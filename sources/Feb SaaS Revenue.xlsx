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pauljackson/Downloads/"/>
    </mc:Choice>
  </mc:AlternateContent>
  <xr:revisionPtr revIDLastSave="0" documentId="13_ncr:1_{7CB749AE-05DC-F144-8027-D6278DADBD56}" xr6:coauthVersionLast="47" xr6:coauthVersionMax="47" xr10:uidLastSave="{00000000-0000-0000-0000-000000000000}"/>
  <bookViews>
    <workbookView xWindow="460" yWindow="2300" windowWidth="28800" windowHeight="16080" activeTab="1" xr2:uid="{00000000-000D-0000-FFFF-FFFF00000000}"/>
  </bookViews>
  <sheets>
    <sheet name="AccountSummary (New)" sheetId="9" r:id="rId1"/>
    <sheet name="AccountSummary" sheetId="1" r:id="rId2"/>
    <sheet name="CurrentSaaS" sheetId="13" r:id="rId3"/>
    <sheet name="PrepaySummary" sheetId="5" r:id="rId4"/>
    <sheet name="Invoices" sheetId="3" r:id="rId5"/>
    <sheet name="Accounts" sheetId="2" r:id="rId6"/>
    <sheet name="InvoiceLines" sheetId="4" r:id="rId7"/>
    <sheet name="CreditMemos" sheetId="10" r:id="rId8"/>
    <sheet name="CreditMemoLines" sheetId="11" r:id="rId9"/>
    <sheet name="Marketing Metrics" sheetId="12" r:id="rId10"/>
    <sheet name="CountsForFormulas" sheetId="6" r:id="rId11"/>
  </sheets>
  <definedNames>
    <definedName name="_xlnm._FilterDatabase" localSheetId="4" hidden="1">'Invoices'!#REF!</definedName>
    <definedName name="_xlnm._FilterDatabase" localSheetId="5" hidden="1">'Accounts'!$A$1:$BD$2</definedName>
    <definedName name="_xlnm._FilterDatabase" localSheetId="7" hidden="1">'CreditMemos'!$A$1:$U$2430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<sst xmlns="http://schemas.openxmlformats.org/spreadsheetml/2006/main" count="6075" uniqueCount="6075">
  <si>
    <t>SyncType</t>
  </si>
  <si>
    <t>All</t>
  </si>
  <si>
    <t>QBDT</t>
  </si>
  <si>
    <t>QBO</t>
  </si>
  <si>
    <t>Xero</t>
  </si>
  <si>
    <t>none</t>
  </si>
  <si>
    <t>Platform</t>
  </si>
  <si>
    <t>Classic</t>
  </si>
  <si>
    <t>New</t>
  </si>
  <si>
    <t>Channel</t>
  </si>
  <si>
    <t>Referred</t>
  </si>
  <si>
    <t>Managed</t>
  </si>
  <si>
    <t>Direct</t>
  </si>
  <si>
    <t>*Trialers*</t>
  </si>
  <si>
    <t>Trials started this month</t>
  </si>
  <si>
    <t>Made their first payment</t>
  </si>
  <si>
    <t>Packs per Account</t>
  </si>
  <si>
    <t>Users per Account</t>
  </si>
  <si>
    <t>ARPC First Invoice</t>
  </si>
  <si>
    <t>Total SaaS from Trialers</t>
  </si>
  <si>
    <t>Trialers Lost in month they paid</t>
  </si>
  <si>
    <t>% who cancel</t>
  </si>
  <si>
    <t>Paid but cancelled before EOM</t>
  </si>
  <si>
    <t>Net: Paid, retained EOM</t>
  </si>
  <si>
    <t>*Paying Customers*</t>
  </si>
  <si>
    <t>Starting Count BOM</t>
  </si>
  <si>
    <t>0-30 day cohort as of BOM</t>
  </si>
  <si>
    <t xml:space="preserve">   Total % of Paying Customers</t>
  </si>
  <si>
    <t xml:space="preserve">   Loss %</t>
  </si>
  <si>
    <t xml:space="preserve">   Lost Count</t>
  </si>
  <si>
    <t xml:space="preserve">   Retained Count</t>
  </si>
  <si>
    <t xml:space="preserve">   Packs per Account</t>
  </si>
  <si>
    <t xml:space="preserve">   Users per Account</t>
  </si>
  <si>
    <t xml:space="preserve">   ARPC</t>
  </si>
  <si>
    <t xml:space="preserve">   SaaS</t>
  </si>
  <si>
    <t>31-60 day cohort as of BOM</t>
  </si>
  <si>
    <t>61-90 day cohort as of BOM</t>
  </si>
  <si>
    <t>91-180 day cohort as of BOM</t>
  </si>
  <si>
    <t>180+ day cohort as of BOM</t>
  </si>
  <si>
    <t>Total Lost Count</t>
  </si>
  <si>
    <t>Total Retained Count</t>
  </si>
  <si>
    <t>SaaS from Retained Customers</t>
  </si>
  <si>
    <t>Prepay % of Paying Customers</t>
  </si>
  <si>
    <t>Prepay Starting Count BOM</t>
  </si>
  <si>
    <t>Prepay Loss %</t>
  </si>
  <si>
    <t>Prepay Total Lost</t>
  </si>
  <si>
    <t>Prepay Retained</t>
  </si>
  <si>
    <t>ARPC Prepay</t>
  </si>
  <si>
    <t>SaaS from Retained Prepay Customers</t>
  </si>
  <si>
    <t>SaaS from Retained Prepay % of Total</t>
  </si>
  <si>
    <t>Total Paying Customers Lost</t>
  </si>
  <si>
    <t>Lost who paid %</t>
  </si>
  <si>
    <t>Lost who paid Count</t>
  </si>
  <si>
    <t>ARPC lost who paid</t>
  </si>
  <si>
    <t>SaaS from Lost Customers</t>
  </si>
  <si>
    <t>SaaS from Trialers</t>
  </si>
  <si>
    <t>Total Saas (Gross)</t>
  </si>
  <si>
    <t>Paying customers at BOM</t>
  </si>
  <si>
    <t>Monthly % of Paying Customers</t>
  </si>
  <si>
    <t>Monthly Starting Count BOM</t>
  </si>
  <si>
    <t xml:space="preserve">   Total % of Monthly</t>
  </si>
  <si>
    <t>61-180 day cohort as of BOM</t>
  </si>
  <si>
    <t>Monthly Total Lost Count</t>
  </si>
  <si>
    <t>Monthly Total Retained Count</t>
  </si>
  <si>
    <t>SaaS from Retained Monthly Customers</t>
  </si>
  <si>
    <t>Total before discount</t>
  </si>
  <si>
    <t>Approximate discount</t>
  </si>
  <si>
    <t>SaaS from Trialers (Gross)</t>
  </si>
  <si>
    <t>SaaS from Retained Customers (Gross)</t>
  </si>
  <si>
    <t>Paying Customers Count</t>
  </si>
  <si>
    <t>Prepay Affect on Cash</t>
  </si>
  <si>
    <t>Prepay Contracts (cash in)</t>
  </si>
  <si>
    <t>Prepay Applied to Invoices</t>
  </si>
  <si>
    <t>Net</t>
  </si>
  <si>
    <t>CompanyAccount</t>
  </si>
  <si>
    <t>BOMCustomerGrouping</t>
  </si>
  <si>
    <t>EOMCustomerGrouping</t>
  </si>
  <si>
    <t>SaaSPayType</t>
  </si>
  <si>
    <t>AgeAtBOM</t>
  </si>
  <si>
    <t>SaaSIncomeAmount</t>
  </si>
  <si>
    <t>SaasExpense</t>
  </si>
  <si>
    <t>SaaSInvoiceCount</t>
  </si>
  <si>
    <t>PackPaidCount</t>
  </si>
  <si>
    <t>UserPaidCount</t>
  </si>
  <si>
    <t>PSIncomeAmount</t>
  </si>
  <si>
    <t>PSExpenseAmount</t>
  </si>
  <si>
    <t>LiabilityPortion</t>
  </si>
  <si>
    <t>Partner</t>
  </si>
  <si>
    <t>IsPartnerManaged</t>
  </si>
  <si>
    <t>IsActive</t>
  </si>
  <si>
    <t>MethodSignUpDate</t>
  </si>
  <si>
    <t>FirstSaaSInvoiceTxnDate</t>
  </si>
  <si>
    <t>MethodCancellationDate</t>
  </si>
  <si>
    <t>IsNewPayer</t>
  </si>
  <si>
    <t>MethodRep</t>
  </si>
  <si>
    <t>Offering</t>
  </si>
  <si>
    <t>Att_Direct</t>
  </si>
  <si>
    <t>Att_SEO</t>
  </si>
  <si>
    <t>Att_OPN_Other_Peoples_Networks</t>
  </si>
  <si>
    <t>Att_Pay_Per_Click</t>
  </si>
  <si>
    <t>Att_Partners</t>
  </si>
  <si>
    <t>Att_Email</t>
  </si>
  <si>
    <t>Att_Remarketing</t>
  </si>
  <si>
    <t>Att_Social</t>
  </si>
  <si>
    <t>Att_Help_Center</t>
  </si>
  <si>
    <t>Att_Online_Chat_Tool</t>
  </si>
  <si>
    <t>Att_Content</t>
  </si>
  <si>
    <t>Att_Banner_Ads</t>
  </si>
  <si>
    <t>Att_Seminar_Conference</t>
  </si>
  <si>
    <t>Att_Referral_Program</t>
  </si>
  <si>
    <t>Att_Referral_Link</t>
  </si>
  <si>
    <t>Att_Backlinks</t>
  </si>
  <si>
    <t>Att_Other</t>
  </si>
  <si>
    <t>Att_None</t>
  </si>
  <si>
    <t>SyncTypeRegion</t>
  </si>
  <si>
    <t>Vertical</t>
  </si>
  <si>
    <t>Sector</t>
  </si>
  <si>
    <t>CustDatIndustry</t>
  </si>
  <si>
    <t>CustDatFirstSyncCompleted</t>
  </si>
  <si>
    <t>CustDatLastRefreshed</t>
  </si>
  <si>
    <t>CustDatCountOfEmployees</t>
  </si>
  <si>
    <t>CustDatAnnualSales</t>
  </si>
  <si>
    <t>CustDatCountOfCustomers</t>
  </si>
  <si>
    <t>LicenseCount</t>
  </si>
  <si>
    <t>CountOfCustomScreens</t>
  </si>
  <si>
    <t>CountOfCustomScreensMN</t>
  </si>
  <si>
    <t>FromDateFilter</t>
  </si>
  <si>
    <t>ToDateFilter</t>
  </si>
  <si>
    <t>ConversionException</t>
  </si>
  <si>
    <t>ChurnException</t>
  </si>
  <si>
    <t>Custdatlastsaasamount</t>
  </si>
  <si>
    <t>Custdatpreviouslastsaasamount</t>
  </si>
  <si>
    <t>SaaSPayTypeCurrent</t>
  </si>
  <si>
    <t>freedupsolutions</t>
  </si>
  <si>
    <t>Customer</t>
  </si>
  <si>
    <t>Monthly</t>
  </si>
  <si>
    <t>ShaLi</t>
  </si>
  <si>
    <t>Method CRM Pro for QB Desktop</t>
  </si>
  <si>
    <t>US</t>
  </si>
  <si>
    <t>Accounting and Bookkeeping</t>
  </si>
  <si>
    <t>accounting_bookkeeping</t>
  </si>
  <si>
    <t>alcon</t>
  </si>
  <si>
    <t>SukSa</t>
  </si>
  <si>
    <t>Method Full Blown Edition</t>
  </si>
  <si>
    <t>wingeddisc</t>
  </si>
  <si>
    <t>HaPat</t>
  </si>
  <si>
    <t>riddleinc</t>
  </si>
  <si>
    <t>techinthefield</t>
  </si>
  <si>
    <t>PhuPh</t>
  </si>
  <si>
    <t>customaccountingsolutionsllc</t>
  </si>
  <si>
    <t>qx2qxotest1</t>
  </si>
  <si>
    <t>FranReed</t>
  </si>
  <si>
    <t>thebuzzkillersllc</t>
  </si>
  <si>
    <t>RafSy</t>
  </si>
  <si>
    <t>tenkeybusinesssolutionsinc</t>
  </si>
  <si>
    <t>TemplateWynConsulting</t>
  </si>
  <si>
    <t>realitybytesincorporated</t>
  </si>
  <si>
    <t>ceoservices</t>
  </si>
  <si>
    <t>computertrainingresourcesinc</t>
  </si>
  <si>
    <t>businesssolutionsofnorthernkentucky</t>
  </si>
  <si>
    <t>arcticmechanicalinc</t>
  </si>
  <si>
    <t>Trustantial</t>
  </si>
  <si>
    <t>therylangroupllc</t>
  </si>
  <si>
    <t>templatevickilocke</t>
  </si>
  <si>
    <t>KirsoppConsulting</t>
  </si>
  <si>
    <t>activebobcatandtruckingltd</t>
  </si>
  <si>
    <t>JaiPa</t>
  </si>
  <si>
    <t>pegllc</t>
  </si>
  <si>
    <t>IJA Solutions</t>
  </si>
  <si>
    <t>thesolarguys</t>
  </si>
  <si>
    <t>tarabytesolutions</t>
  </si>
  <si>
    <t>templatejeannetarazevits</t>
  </si>
  <si>
    <t>templatebrettbarry</t>
  </si>
  <si>
    <t>templatedavidglantz</t>
  </si>
  <si>
    <t>templatepaulettedreher</t>
  </si>
  <si>
    <t>TemplateHermanBaptist</t>
  </si>
  <si>
    <t>lacrewsbookkeeping</t>
  </si>
  <si>
    <t>TemplateMarkCrews</t>
  </si>
  <si>
    <t>JohnRedmond</t>
  </si>
  <si>
    <t>TemplateDavidGutierrez</t>
  </si>
  <si>
    <t>templatekerryriddle</t>
  </si>
  <si>
    <t>businessownersolutionsservices</t>
  </si>
  <si>
    <t>TemplateLauraRedmond</t>
  </si>
  <si>
    <t>TemplateBethHeffernan</t>
  </si>
  <si>
    <t>rgd</t>
  </si>
  <si>
    <t>Woodard Consulting Group</t>
  </si>
  <si>
    <t>templatecas</t>
  </si>
  <si>
    <t>okfoundry</t>
  </si>
  <si>
    <t>Wyn Solutions</t>
  </si>
  <si>
    <t>ledgerfix</t>
  </si>
  <si>
    <t>Lost</t>
  </si>
  <si>
    <t>TKBSdemo</t>
  </si>
  <si>
    <t>virginialabsupplycorp</t>
  </si>
  <si>
    <t>medicaleducationresourcesllc</t>
  </si>
  <si>
    <t>QuickStart</t>
  </si>
  <si>
    <t>Method Remote Entry Edition</t>
  </si>
  <si>
    <t>TemplateGaleKirsopp</t>
  </si>
  <si>
    <t>antoniomacedo</t>
  </si>
  <si>
    <t>kiccorporation</t>
  </si>
  <si>
    <t>hmebc</t>
  </si>
  <si>
    <t>TemplateRussMcClendon</t>
  </si>
  <si>
    <t>greenlawnindy</t>
  </si>
  <si>
    <t>kathyhahn</t>
  </si>
  <si>
    <t>mehrcpa</t>
  </si>
  <si>
    <t>VRCQBPRO</t>
  </si>
  <si>
    <t>servicedirectgroupllc</t>
  </si>
  <si>
    <t>TemplateMichaelGuy</t>
  </si>
  <si>
    <t>mcnealenterprisesllc</t>
  </si>
  <si>
    <t>calpacific</t>
  </si>
  <si>
    <t>reelwasterecycling</t>
  </si>
  <si>
    <t>DynaPlayLLC</t>
  </si>
  <si>
    <t>scaling</t>
  </si>
  <si>
    <t>azcdl</t>
  </si>
  <si>
    <t>Method CRM Pro for QB Online</t>
  </si>
  <si>
    <t>tmc</t>
  </si>
  <si>
    <t>johnsandyandassociates</t>
  </si>
  <si>
    <t>dpsi</t>
  </si>
  <si>
    <t>Cloud Consultancy</t>
  </si>
  <si>
    <t>safbankproducts</t>
  </si>
  <si>
    <t>Method CRM for QB Online</t>
  </si>
  <si>
    <t>musiciansassociation</t>
  </si>
  <si>
    <t>rai</t>
  </si>
  <si>
    <t>demokathyhahn</t>
  </si>
  <si>
    <t>wynsolutionsinc</t>
  </si>
  <si>
    <t>RussSnyderConsultingLLC</t>
  </si>
  <si>
    <t>valleypublishing</t>
  </si>
  <si>
    <t>bd092404rgr</t>
  </si>
  <si>
    <t>TrinityInteractiveInc</t>
  </si>
  <si>
    <t>marceloslandscapinginc11756</t>
  </si>
  <si>
    <t>screenmedic</t>
  </si>
  <si>
    <t>Prepay</t>
  </si>
  <si>
    <t>pcc</t>
  </si>
  <si>
    <t>SassAccounting</t>
  </si>
  <si>
    <t>Clearify</t>
  </si>
  <si>
    <t>AffordableSeating</t>
  </si>
  <si>
    <t>Method CRM for QB Desktop</t>
  </si>
  <si>
    <t>AffordableSeatingLLC</t>
  </si>
  <si>
    <t>RestaurantFurnitureNet</t>
  </si>
  <si>
    <t>RestaurantFurnitureSupply</t>
  </si>
  <si>
    <t>twinlocustbarnsinc</t>
  </si>
  <si>
    <t>demovictoriacameron</t>
  </si>
  <si>
    <t>memoriesunlimited</t>
  </si>
  <si>
    <t>advancedpoolcoatings1</t>
  </si>
  <si>
    <t>Method:CRM For QBO</t>
  </si>
  <si>
    <t>siegelperformancesystems</t>
  </si>
  <si>
    <t>varc</t>
  </si>
  <si>
    <t>DemoVarc</t>
  </si>
  <si>
    <t>demosmallbusinessbookkeepingsolutions</t>
  </si>
  <si>
    <t>inventoryadvisors</t>
  </si>
  <si>
    <t>jsco</t>
  </si>
  <si>
    <t>Demoenabletechnology</t>
  </si>
  <si>
    <t>selectedfurniture</t>
  </si>
  <si>
    <t>synchronicityfoundation</t>
  </si>
  <si>
    <t>moblemed</t>
  </si>
  <si>
    <t>waste</t>
  </si>
  <si>
    <t>refreshdeal</t>
  </si>
  <si>
    <t>fulcoinc</t>
  </si>
  <si>
    <t>snowbiz</t>
  </si>
  <si>
    <t>infwing</t>
  </si>
  <si>
    <t>mmcfl</t>
  </si>
  <si>
    <t>etecassoc</t>
  </si>
  <si>
    <t>arcool</t>
  </si>
  <si>
    <t>CSConsult</t>
  </si>
  <si>
    <t>gtmlandscapeing</t>
  </si>
  <si>
    <t>ssps</t>
  </si>
  <si>
    <t>mjsystems</t>
  </si>
  <si>
    <t>Tech In The Field</t>
  </si>
  <si>
    <t>nationaladvisor</t>
  </si>
  <si>
    <t>purplemartin</t>
  </si>
  <si>
    <t>CSConsultUK</t>
  </si>
  <si>
    <t>aaa</t>
  </si>
  <si>
    <t>quickstartllc</t>
  </si>
  <si>
    <t>combooksolutions</t>
  </si>
  <si>
    <t>GuruLink</t>
  </si>
  <si>
    <t>apl2000</t>
  </si>
  <si>
    <t>varcannette</t>
  </si>
  <si>
    <t>unitedcomponentsdistributionllc</t>
  </si>
  <si>
    <t>skyproduct</t>
  </si>
  <si>
    <t>lmoor</t>
  </si>
  <si>
    <t>pcdoctor</t>
  </si>
  <si>
    <t>blok</t>
  </si>
  <si>
    <t>nova535uniqueeventspace</t>
  </si>
  <si>
    <t>livingritecenterforbehavioralhealth</t>
  </si>
  <si>
    <t>CFO</t>
  </si>
  <si>
    <t>PrecisionLedger</t>
  </si>
  <si>
    <t>abilitybiz</t>
  </si>
  <si>
    <t>cuttingboardresurfacing</t>
  </si>
  <si>
    <t>lai</t>
  </si>
  <si>
    <t>AccountSolve</t>
  </si>
  <si>
    <t>ccl</t>
  </si>
  <si>
    <t>screensofgeorgia</t>
  </si>
  <si>
    <t>businesscentsllc</t>
  </si>
  <si>
    <t>albcan</t>
  </si>
  <si>
    <t>fishersplumbing</t>
  </si>
  <si>
    <t>Computer Bookkeeping Solutions</t>
  </si>
  <si>
    <t>FPC</t>
  </si>
  <si>
    <t>tcg3</t>
  </si>
  <si>
    <t>secondnaturelearning</t>
  </si>
  <si>
    <t>Stxfn</t>
  </si>
  <si>
    <t>supplyshield</t>
  </si>
  <si>
    <t>pequeatransport</t>
  </si>
  <si>
    <t>pnatc</t>
  </si>
  <si>
    <t>ciamedical</t>
  </si>
  <si>
    <t>dewesoft</t>
  </si>
  <si>
    <t>MMB</t>
  </si>
  <si>
    <t>WDT</t>
  </si>
  <si>
    <t>igcrm</t>
  </si>
  <si>
    <t>cornerstonetf</t>
  </si>
  <si>
    <t>palmbeachaccounting</t>
  </si>
  <si>
    <t>nathanhotlercpa</t>
  </si>
  <si>
    <t>bocabookkeeping</t>
  </si>
  <si>
    <t>SeatingMasters</t>
  </si>
  <si>
    <t>demolai</t>
  </si>
  <si>
    <t>OTBT</t>
  </si>
  <si>
    <t>demootbt</t>
  </si>
  <si>
    <t>americanstonecraft</t>
  </si>
  <si>
    <t>EBS</t>
  </si>
  <si>
    <t>maxwell</t>
  </si>
  <si>
    <t>microdairydesigns</t>
  </si>
  <si>
    <t>DCInc</t>
  </si>
  <si>
    <t>atlanticpersonnelandtenantscreeninginc</t>
  </si>
  <si>
    <t>rbimethodintegrationdemo</t>
  </si>
  <si>
    <t>con911</t>
  </si>
  <si>
    <t>quartsite</t>
  </si>
  <si>
    <t>FreedUP Solutions</t>
  </si>
  <si>
    <t>louschcreations</t>
  </si>
  <si>
    <t>psipressure</t>
  </si>
  <si>
    <t>Out of the Box Technology</t>
  </si>
  <si>
    <t>parlights</t>
  </si>
  <si>
    <t>outugocentral</t>
  </si>
  <si>
    <t>lumax</t>
  </si>
  <si>
    <t>qri</t>
  </si>
  <si>
    <t>valorrepairs</t>
  </si>
  <si>
    <t>aquamatic</t>
  </si>
  <si>
    <t>trinitychurchsupply</t>
  </si>
  <si>
    <t>customequipmentcompanyinc</t>
  </si>
  <si>
    <t>homesteadstructures</t>
  </si>
  <si>
    <t>nohvcc</t>
  </si>
  <si>
    <t>isavela</t>
  </si>
  <si>
    <t>JCCCL</t>
  </si>
  <si>
    <t>kendrickbusiness</t>
  </si>
  <si>
    <t>cbrtechnology</t>
  </si>
  <si>
    <t>nogginbuildersllc</t>
  </si>
  <si>
    <t>excelpoolservice</t>
  </si>
  <si>
    <t>NFD</t>
  </si>
  <si>
    <t>mwc</t>
  </si>
  <si>
    <t>airwaveriverside</t>
  </si>
  <si>
    <t>mes</t>
  </si>
  <si>
    <t>stuqua</t>
  </si>
  <si>
    <t>liquidwastesolutions1</t>
  </si>
  <si>
    <t>pjcbiz</t>
  </si>
  <si>
    <t>westarilluminationllc</t>
  </si>
  <si>
    <t>ebproducts</t>
  </si>
  <si>
    <t>sci92</t>
  </si>
  <si>
    <t>aai</t>
  </si>
  <si>
    <t>demoaai</t>
  </si>
  <si>
    <t>imageworks</t>
  </si>
  <si>
    <t>SBS Associates, Inc.</t>
  </si>
  <si>
    <t>hsa</t>
  </si>
  <si>
    <t>robertstechnicalservicesllc</t>
  </si>
  <si>
    <t>ebsdenise</t>
  </si>
  <si>
    <t>ebssara</t>
  </si>
  <si>
    <t>demoebs</t>
  </si>
  <si>
    <t>ebskelli</t>
  </si>
  <si>
    <t>calarbonline</t>
  </si>
  <si>
    <t>fabrikam</t>
  </si>
  <si>
    <t>weightechusa</t>
  </si>
  <si>
    <t>RobertsonBookkeepingSolutions</t>
  </si>
  <si>
    <t>foxiba</t>
  </si>
  <si>
    <t>ebg</t>
  </si>
  <si>
    <t>msf</t>
  </si>
  <si>
    <t>hmtca</t>
  </si>
  <si>
    <t>Accounting America Inc</t>
  </si>
  <si>
    <t>Inbiz</t>
  </si>
  <si>
    <t>bristol1</t>
  </si>
  <si>
    <t>mothership</t>
  </si>
  <si>
    <t>texedotechnologiesinc</t>
  </si>
  <si>
    <t>koopllc</t>
  </si>
  <si>
    <t>granitegaragefloorshq</t>
  </si>
  <si>
    <t>absolutesurety</t>
  </si>
  <si>
    <t>cuttingedgetraining</t>
  </si>
  <si>
    <t>bham</t>
  </si>
  <si>
    <t>keybusinesssolutions</t>
  </si>
  <si>
    <t>conequippartsandequipmentllc</t>
  </si>
  <si>
    <t>healthgradenetworks</t>
  </si>
  <si>
    <t>artbrandsllc</t>
  </si>
  <si>
    <t>devriescpaapc</t>
  </si>
  <si>
    <t>deltataudelta</t>
  </si>
  <si>
    <t>thetachi</t>
  </si>
  <si>
    <t>lovetthome</t>
  </si>
  <si>
    <t>Annie Kendrick</t>
  </si>
  <si>
    <t>restor</t>
  </si>
  <si>
    <t>lovettinc</t>
  </si>
  <si>
    <t>uss</t>
  </si>
  <si>
    <t>chiphi</t>
  </si>
  <si>
    <t>css</t>
  </si>
  <si>
    <t>iatse720</t>
  </si>
  <si>
    <t>clearcreekwaterpros</t>
  </si>
  <si>
    <t>johnsandy</t>
  </si>
  <si>
    <t>altech</t>
  </si>
  <si>
    <t>smufen</t>
  </si>
  <si>
    <t>burpak</t>
  </si>
  <si>
    <t>mvwd</t>
  </si>
  <si>
    <t>Method Field Services for QB Desktop</t>
  </si>
  <si>
    <t>synergysoftware</t>
  </si>
  <si>
    <t>ntgproducts</t>
  </si>
  <si>
    <t>pinline</t>
  </si>
  <si>
    <t>tectonixsteelinc</t>
  </si>
  <si>
    <t>plans3d</t>
  </si>
  <si>
    <t>culinarymarketingconcepts</t>
  </si>
  <si>
    <t>lsut</t>
  </si>
  <si>
    <t>LAI</t>
  </si>
  <si>
    <t>iatselocal720</t>
  </si>
  <si>
    <t>oakpark</t>
  </si>
  <si>
    <t>chicago</t>
  </si>
  <si>
    <t>mcfarlinstanfordllc</t>
  </si>
  <si>
    <t>globalgatecontrols</t>
  </si>
  <si>
    <t>lespoochs</t>
  </si>
  <si>
    <t>shedsunlimited</t>
  </si>
  <si>
    <t>shedsunlimitedrestore20250106</t>
  </si>
  <si>
    <t>isainccrm</t>
  </si>
  <si>
    <t>budgeteaseqbo</t>
  </si>
  <si>
    <t>thestoragegroup</t>
  </si>
  <si>
    <t>gmfhospitalityinc</t>
  </si>
  <si>
    <t>mojofeet</t>
  </si>
  <si>
    <t>houseofqcrm</t>
  </si>
  <si>
    <t>idsheat</t>
  </si>
  <si>
    <t>sunburstaz</t>
  </si>
  <si>
    <t>andys</t>
  </si>
  <si>
    <t>morisawadekovenpc</t>
  </si>
  <si>
    <t>coloradoglass</t>
  </si>
  <si>
    <t>mbgakllc</t>
  </si>
  <si>
    <t>aquaview</t>
  </si>
  <si>
    <t>sunburstca</t>
  </si>
  <si>
    <t>mhraccounting</t>
  </si>
  <si>
    <t>windowmakeover1</t>
  </si>
  <si>
    <t>goldenrule</t>
  </si>
  <si>
    <t>shasep</t>
  </si>
  <si>
    <t>methodmobility</t>
  </si>
  <si>
    <t>southloop</t>
  </si>
  <si>
    <t>php</t>
  </si>
  <si>
    <t>ctiusa</t>
  </si>
  <si>
    <t>vmgindustries</t>
  </si>
  <si>
    <t>suffolkarchers</t>
  </si>
  <si>
    <t>srlusa</t>
  </si>
  <si>
    <t>affordablemedical</t>
  </si>
  <si>
    <t>stw</t>
  </si>
  <si>
    <t>hype</t>
  </si>
  <si>
    <t>msconcord</t>
  </si>
  <si>
    <t>Outdoor Living Brands, Inc</t>
  </si>
  <si>
    <t>brechtel</t>
  </si>
  <si>
    <t>actionmn</t>
  </si>
  <si>
    <t>QUICKBOOKKEEPING</t>
  </si>
  <si>
    <t>theosbornegroup</t>
  </si>
  <si>
    <t>Energized Accounting</t>
  </si>
  <si>
    <t>stellalightinginc</t>
  </si>
  <si>
    <t>desertrootspestcontrol</t>
  </si>
  <si>
    <t>quickbooksmadeeasy</t>
  </si>
  <si>
    <t>madison</t>
  </si>
  <si>
    <t>jit</t>
  </si>
  <si>
    <t>denver</t>
  </si>
  <si>
    <t>boulder</t>
  </si>
  <si>
    <t>arcorinc</t>
  </si>
  <si>
    <t>mtausa</t>
  </si>
  <si>
    <t>glsvinc</t>
  </si>
  <si>
    <t>langemedical</t>
  </si>
  <si>
    <t>cuescriptsales</t>
  </si>
  <si>
    <t>The Accounting System Company Ltd</t>
  </si>
  <si>
    <t>northernassoc</t>
  </si>
  <si>
    <t>McFarlin Stanford LLC</t>
  </si>
  <si>
    <t>eastviewelectric</t>
  </si>
  <si>
    <t>downersgrove</t>
  </si>
  <si>
    <t>smcharlotte</t>
  </si>
  <si>
    <t>sfccn</t>
  </si>
  <si>
    <t>Quick Bookkeeping and Accounting LLC</t>
  </si>
  <si>
    <t>vcinc2</t>
  </si>
  <si>
    <t>prodraft</t>
  </si>
  <si>
    <t>naperville</t>
  </si>
  <si>
    <t>division9associates</t>
  </si>
  <si>
    <t>SynergyNowInc</t>
  </si>
  <si>
    <t>Method:Donor for QBD</t>
  </si>
  <si>
    <t>giantmicrobes</t>
  </si>
  <si>
    <t>benartikov</t>
  </si>
  <si>
    <t>proav</t>
  </si>
  <si>
    <t>leontineserver</t>
  </si>
  <si>
    <t>DarwinEventGroup</t>
  </si>
  <si>
    <t>synergynewonline</t>
  </si>
  <si>
    <t>Method:Donor for QBO</t>
  </si>
  <si>
    <t>iemusallc2015</t>
  </si>
  <si>
    <t>acuityelectronicsinc</t>
  </si>
  <si>
    <t>technisoilglobal</t>
  </si>
  <si>
    <t>foremanprocleaning</t>
  </si>
  <si>
    <t>SandSationalLawns</t>
  </si>
  <si>
    <t>srwdistribution</t>
  </si>
  <si>
    <t>blingmaster</t>
  </si>
  <si>
    <t>tastypuff</t>
  </si>
  <si>
    <t>poynterlandscape</t>
  </si>
  <si>
    <t>idescosafetycorp</t>
  </si>
  <si>
    <t>Altiro Solutions</t>
  </si>
  <si>
    <t>Method:CRM for QBD</t>
  </si>
  <si>
    <t>anp</t>
  </si>
  <si>
    <t>fromtheretohereimports</t>
  </si>
  <si>
    <t>dbmanagementandassociatesinc</t>
  </si>
  <si>
    <t>namasteny</t>
  </si>
  <si>
    <t>midatlanticexpositions</t>
  </si>
  <si>
    <t>ws2015</t>
  </si>
  <si>
    <t>happe</t>
  </si>
  <si>
    <t>primroseventuresllc</t>
  </si>
  <si>
    <t>vartest</t>
  </si>
  <si>
    <t>thegutterguys</t>
  </si>
  <si>
    <t>incx</t>
  </si>
  <si>
    <t>gogetgeekqboa</t>
  </si>
  <si>
    <t>sencorediamondtools</t>
  </si>
  <si>
    <t>msjacksonvicksburg</t>
  </si>
  <si>
    <t>childrenslantern</t>
  </si>
  <si>
    <t>fastrfid</t>
  </si>
  <si>
    <t>omniausa</t>
  </si>
  <si>
    <t>photovaclasercorp</t>
  </si>
  <si>
    <t>gulfcoastinternet</t>
  </si>
  <si>
    <t>wecare</t>
  </si>
  <si>
    <t>vhouse</t>
  </si>
  <si>
    <t>chapnik</t>
  </si>
  <si>
    <t>budgetinks1</t>
  </si>
  <si>
    <t>nanoandmoreusa1</t>
  </si>
  <si>
    <t>vetmedinc</t>
  </si>
  <si>
    <t>cdsanalytical</t>
  </si>
  <si>
    <t>dtaglobal</t>
  </si>
  <si>
    <t>e2efoodpackinc</t>
  </si>
  <si>
    <t>tenaciouslyteal</t>
  </si>
  <si>
    <t>raptor</t>
  </si>
  <si>
    <t>windowwashing2000</t>
  </si>
  <si>
    <t>oasisirrigation</t>
  </si>
  <si>
    <t>ontogolf</t>
  </si>
  <si>
    <t>qps</t>
  </si>
  <si>
    <t>strickland</t>
  </si>
  <si>
    <t>heavensentministries</t>
  </si>
  <si>
    <t>reinfordlandscapes</t>
  </si>
  <si>
    <t>solariscanada</t>
  </si>
  <si>
    <t>SVPold</t>
  </si>
  <si>
    <t>MaBin</t>
  </si>
  <si>
    <t>eu</t>
  </si>
  <si>
    <t>modcycles</t>
  </si>
  <si>
    <t>hblzh</t>
  </si>
  <si>
    <t>qualityairsolutions</t>
  </si>
  <si>
    <t>westernsquare1</t>
  </si>
  <si>
    <t>racecardynamicsofarizonainc</t>
  </si>
  <si>
    <t>entitled</t>
  </si>
  <si>
    <t>titancs</t>
  </si>
  <si>
    <t>mcc</t>
  </si>
  <si>
    <t>allprotechnical</t>
  </si>
  <si>
    <t>audiovideosupply</t>
  </si>
  <si>
    <t>ccr</t>
  </si>
  <si>
    <t>christianlifeministries1</t>
  </si>
  <si>
    <t>cottonwoodkids1</t>
  </si>
  <si>
    <t>hpcs</t>
  </si>
  <si>
    <t>Go Get Geek!</t>
  </si>
  <si>
    <t>cfas2911</t>
  </si>
  <si>
    <t>restaurantfurniturecom</t>
  </si>
  <si>
    <t>reinanbusinesssolutions</t>
  </si>
  <si>
    <t>ravizzausa</t>
  </si>
  <si>
    <t>locvb</t>
  </si>
  <si>
    <t>Craig Computers</t>
  </si>
  <si>
    <t>jfycons</t>
  </si>
  <si>
    <t>swsgroup1</t>
  </si>
  <si>
    <t>lambifundofhaitiinc</t>
  </si>
  <si>
    <t>QuickBooks Made Easy</t>
  </si>
  <si>
    <t>labfinder</t>
  </si>
  <si>
    <t>sbbsflorida</t>
  </si>
  <si>
    <t>vis2</t>
  </si>
  <si>
    <t>waterscienceinc</t>
  </si>
  <si>
    <t>apdminc</t>
  </si>
  <si>
    <t>advancedtelecomsystems1</t>
  </si>
  <si>
    <t>elecraft7</t>
  </si>
  <si>
    <t>zaroczynskiandassociates1</t>
  </si>
  <si>
    <t>drms</t>
  </si>
  <si>
    <t>go1priority1</t>
  </si>
  <si>
    <t>catchdogtrainers</t>
  </si>
  <si>
    <t>danielstestaccount</t>
  </si>
  <si>
    <t>nswcnew</t>
  </si>
  <si>
    <t>aswsouth</t>
  </si>
  <si>
    <t>padeusa</t>
  </si>
  <si>
    <t>edtm1</t>
  </si>
  <si>
    <t>planitmeasuring</t>
  </si>
  <si>
    <t>Shelley Camm CPA</t>
  </si>
  <si>
    <t>atlanticgraphics</t>
  </si>
  <si>
    <t>euphp</t>
  </si>
  <si>
    <t>democompany1</t>
  </si>
  <si>
    <t>datamemorysales</t>
  </si>
  <si>
    <t>techinthefield1</t>
  </si>
  <si>
    <t>mccormickwestern1</t>
  </si>
  <si>
    <t>theivyexperience</t>
  </si>
  <si>
    <t>midatlanticasphalt</t>
  </si>
  <si>
    <t>SaaSphalt for QBD</t>
  </si>
  <si>
    <t>stablehollow1</t>
  </si>
  <si>
    <t>freedupdataopticsinc</t>
  </si>
  <si>
    <t>universityfellowshipchurch</t>
  </si>
  <si>
    <t>braininjurycentervc</t>
  </si>
  <si>
    <t>booksmarts</t>
  </si>
  <si>
    <t>westernpackaging</t>
  </si>
  <si>
    <t>mmtrenching</t>
  </si>
  <si>
    <t>primefish</t>
  </si>
  <si>
    <t>cityfloral</t>
  </si>
  <si>
    <t>merrimuseenterprisesllc</t>
  </si>
  <si>
    <t>ir2017</t>
  </si>
  <si>
    <t>riqbo</t>
  </si>
  <si>
    <t>vedafarming1</t>
  </si>
  <si>
    <t>printersdisabilitytrust</t>
  </si>
  <si>
    <t>fjsproductionsllc</t>
  </si>
  <si>
    <t>rapidfireprotectionnew</t>
  </si>
  <si>
    <t>uatllc</t>
  </si>
  <si>
    <t>spus</t>
  </si>
  <si>
    <t>innovativeoncologysolutions</t>
  </si>
  <si>
    <t>asphaltandmore</t>
  </si>
  <si>
    <t>SaaSphalt for QBO</t>
  </si>
  <si>
    <t>bharatiyatempleofflint</t>
  </si>
  <si>
    <t>lkqbo</t>
  </si>
  <si>
    <t>exloc9</t>
  </si>
  <si>
    <t>cchw</t>
  </si>
  <si>
    <t>Home Watch IT, LLC</t>
  </si>
  <si>
    <t>emsc</t>
  </si>
  <si>
    <t>oro</t>
  </si>
  <si>
    <t>seaciderfarmandciderhouse</t>
  </si>
  <si>
    <t>solarcontractordemo</t>
  </si>
  <si>
    <t>suntreksolar</t>
  </si>
  <si>
    <t>globalpackage</t>
  </si>
  <si>
    <t>penwestcanada</t>
  </si>
  <si>
    <t>hebrewrootscongregationofcasper</t>
  </si>
  <si>
    <t>bottomlinetaxaccounting</t>
  </si>
  <si>
    <t>hisbbsa</t>
  </si>
  <si>
    <t>dwsmgt</t>
  </si>
  <si>
    <t>socalcleaningandrestoration</t>
  </si>
  <si>
    <t>bataviafoodpantry1</t>
  </si>
  <si>
    <t>insidestories</t>
  </si>
  <si>
    <t>elementalenergy</t>
  </si>
  <si>
    <t>solarqbdemo</t>
  </si>
  <si>
    <t>pipefusionservicesinc</t>
  </si>
  <si>
    <t>elmusa</t>
  </si>
  <si>
    <t>agralarm1</t>
  </si>
  <si>
    <t>datamemorymarketing</t>
  </si>
  <si>
    <t>hidcorind</t>
  </si>
  <si>
    <t>koiscenterstg</t>
  </si>
  <si>
    <t>transforminstitute</t>
  </si>
  <si>
    <t>goodfootdeliveryservice1</t>
  </si>
  <si>
    <t>somerset</t>
  </si>
  <si>
    <t>cashadvantage1</t>
  </si>
  <si>
    <t>driveunlimited</t>
  </si>
  <si>
    <t>pillstashios</t>
  </si>
  <si>
    <t>koiscenter</t>
  </si>
  <si>
    <t>lawifiguy1</t>
  </si>
  <si>
    <t>ctsolutions</t>
  </si>
  <si>
    <t>demotest</t>
  </si>
  <si>
    <t>vprbrands</t>
  </si>
  <si>
    <t>Trialer</t>
  </si>
  <si>
    <t>CuSuc</t>
  </si>
  <si>
    <t>msconsulting</t>
  </si>
  <si>
    <t>dummycal85</t>
  </si>
  <si>
    <t>bradcelmainis</t>
  </si>
  <si>
    <t>coolsealgaskets</t>
  </si>
  <si>
    <t>fpsga</t>
  </si>
  <si>
    <t>grothouse</t>
  </si>
  <si>
    <t>MNV Software</t>
  </si>
  <si>
    <t>kamoorecpa</t>
  </si>
  <si>
    <t>diversair</t>
  </si>
  <si>
    <t>tggburlington</t>
  </si>
  <si>
    <t>AtlantaWM</t>
  </si>
  <si>
    <t>genprollc</t>
  </si>
  <si>
    <t>moosulkwan</t>
  </si>
  <si>
    <t>onsight</t>
  </si>
  <si>
    <t>woodardco</t>
  </si>
  <si>
    <t>flowerhouse</t>
  </si>
  <si>
    <t>donnascookies</t>
  </si>
  <si>
    <t>exposuresfineart</t>
  </si>
  <si>
    <t>fpp1</t>
  </si>
  <si>
    <t>sa123</t>
  </si>
  <si>
    <t>customturnings</t>
  </si>
  <si>
    <t>granitegaragefloorsnashville</t>
  </si>
  <si>
    <t>digitalsignageresolutions1</t>
  </si>
  <si>
    <t>caninedimensions1</t>
  </si>
  <si>
    <t>linkssc</t>
  </si>
  <si>
    <t>nellieshairemporiumincnew</t>
  </si>
  <si>
    <t>mifra</t>
  </si>
  <si>
    <t>servsixus</t>
  </si>
  <si>
    <t>hwit</t>
  </si>
  <si>
    <t>lvhw</t>
  </si>
  <si>
    <t>laborofhopefoundation</t>
  </si>
  <si>
    <t>godfreygroup</t>
  </si>
  <si>
    <t>wcssd</t>
  </si>
  <si>
    <t>accountablebooks</t>
  </si>
  <si>
    <t>ct</t>
  </si>
  <si>
    <t>soldiersports</t>
  </si>
  <si>
    <t>illinoisinstitute</t>
  </si>
  <si>
    <t>vpnz</t>
  </si>
  <si>
    <t>brion</t>
  </si>
  <si>
    <t>thesplashhottubspools</t>
  </si>
  <si>
    <t>HomeschoolConnect</t>
  </si>
  <si>
    <t>dmitriyco1</t>
  </si>
  <si>
    <t>hylunia</t>
  </si>
  <si>
    <t>prostack</t>
  </si>
  <si>
    <t>visibleedgeinc1</t>
  </si>
  <si>
    <t>nickdelpalacio</t>
  </si>
  <si>
    <t>lenworth</t>
  </si>
  <si>
    <t>containerone1</t>
  </si>
  <si>
    <t>cnw</t>
  </si>
  <si>
    <t>mcu</t>
  </si>
  <si>
    <t>kingswaychurch</t>
  </si>
  <si>
    <t>ErazorBits2017</t>
  </si>
  <si>
    <t>loringit</t>
  </si>
  <si>
    <t>rhinebeckaerodromemuseum</t>
  </si>
  <si>
    <t>mwofnj</t>
  </si>
  <si>
    <t>hillcresttransitionalhousingofbuchanancounty</t>
  </si>
  <si>
    <t>tippmannarmscompanyllc</t>
  </si>
  <si>
    <t>GGFNebraska</t>
  </si>
  <si>
    <t>joefixitllc</t>
  </si>
  <si>
    <t>anytimecoffee</t>
  </si>
  <si>
    <t>cadsupplies1</t>
  </si>
  <si>
    <t>sdbsolutions</t>
  </si>
  <si>
    <t>ErazorBits2018</t>
  </si>
  <si>
    <t>synacktek</t>
  </si>
  <si>
    <t>knf</t>
  </si>
  <si>
    <t>stagepolymers</t>
  </si>
  <si>
    <t>TGGNewport</t>
  </si>
  <si>
    <t>GGCActive</t>
  </si>
  <si>
    <t>ggcactiverestore20250303</t>
  </si>
  <si>
    <t>threeqtr</t>
  </si>
  <si>
    <t>celluma</t>
  </si>
  <si>
    <t>TaraByte Solutions</t>
  </si>
  <si>
    <t>appackagingcorp</t>
  </si>
  <si>
    <t>allinlearning</t>
  </si>
  <si>
    <t>yoongli</t>
  </si>
  <si>
    <t>stallwatch</t>
  </si>
  <si>
    <t>americandreamraingutters</t>
  </si>
  <si>
    <t>theheartpinecompany</t>
  </si>
  <si>
    <t>cbsappsqbd</t>
  </si>
  <si>
    <t>supergreensolutionsofcentralminnesota</t>
  </si>
  <si>
    <t>carylandscapeinc</t>
  </si>
  <si>
    <t>gandbsheds</t>
  </si>
  <si>
    <t>wildcatstriping</t>
  </si>
  <si>
    <t>newgodesigninc</t>
  </si>
  <si>
    <t>dedicatedaccess1725936ontinc</t>
  </si>
  <si>
    <t>tilesaversnv</t>
  </si>
  <si>
    <t>magnummarketing</t>
  </si>
  <si>
    <t>BenchmarkBiomedical</t>
  </si>
  <si>
    <t>neighborhoodguttersllc</t>
  </si>
  <si>
    <t>ascocarbondioxideinc</t>
  </si>
  <si>
    <t>ggtech</t>
  </si>
  <si>
    <t>classicrockfaceblock</t>
  </si>
  <si>
    <t>allfloridagutters</t>
  </si>
  <si>
    <t>kgservicespllc</t>
  </si>
  <si>
    <t>matikairons</t>
  </si>
  <si>
    <t>gphotonsinc1</t>
  </si>
  <si>
    <t>glassrenu</t>
  </si>
  <si>
    <t>deviceopticallc</t>
  </si>
  <si>
    <t>eaglesensorscontrols</t>
  </si>
  <si>
    <t>brocksgaptrainingcenter</t>
  </si>
  <si>
    <t>fujimats</t>
  </si>
  <si>
    <t>graygreenlabsystems</t>
  </si>
  <si>
    <t>VARC Solutions</t>
  </si>
  <si>
    <t>fourseas</t>
  </si>
  <si>
    <t>gsbs</t>
  </si>
  <si>
    <t>stellarair</t>
  </si>
  <si>
    <t>blhomewatch</t>
  </si>
  <si>
    <t>veritas1</t>
  </si>
  <si>
    <t>PlanetPOS</t>
  </si>
  <si>
    <t>ponyexpressinc1</t>
  </si>
  <si>
    <t>foxmark</t>
  </si>
  <si>
    <t>cipherintegrityllc</t>
  </si>
  <si>
    <t>NovusFireProtectionConsultingInc</t>
  </si>
  <si>
    <t>AppDirect</t>
  </si>
  <si>
    <t>SBMF</t>
  </si>
  <si>
    <t>officefurniturecentreglasgow</t>
  </si>
  <si>
    <t>albertlpunktinc1</t>
  </si>
  <si>
    <t>harringtonpm</t>
  </si>
  <si>
    <t>AVAILForensicsCo1</t>
  </si>
  <si>
    <t>svmethodpoc</t>
  </si>
  <si>
    <t>HomeWatchITLLC</t>
  </si>
  <si>
    <t>affluentconsultinggroupllc</t>
  </si>
  <si>
    <t>niagaramachine1</t>
  </si>
  <si>
    <t>CarlsonConcierge</t>
  </si>
  <si>
    <t>LinnWest</t>
  </si>
  <si>
    <t>wagnerranchservices</t>
  </si>
  <si>
    <t>fxpartnersusa1</t>
  </si>
  <si>
    <t>dimagesinc</t>
  </si>
  <si>
    <t>calgaryhomewatch</t>
  </si>
  <si>
    <t>toddwagnerranchservicescom</t>
  </si>
  <si>
    <t>M7bookkeeping</t>
  </si>
  <si>
    <t>modernaccountants</t>
  </si>
  <si>
    <t>fifoil</t>
  </si>
  <si>
    <t>hayesnorthcoastdental</t>
  </si>
  <si>
    <t>SBSAccountingAdvisors</t>
  </si>
  <si>
    <t>motordocllc</t>
  </si>
  <si>
    <t>sbsqbo</t>
  </si>
  <si>
    <t>novamen</t>
  </si>
  <si>
    <t>UpstateFamilies</t>
  </si>
  <si>
    <t>Flexmark</t>
  </si>
  <si>
    <t>krmastercarpentry2005</t>
  </si>
  <si>
    <t>usafleetsolutions</t>
  </si>
  <si>
    <t>washlincllc</t>
  </si>
  <si>
    <t>amiconexion</t>
  </si>
  <si>
    <t>fosterkeencutL</t>
  </si>
  <si>
    <t>holysmoke</t>
  </si>
  <si>
    <t>jpbanka</t>
  </si>
  <si>
    <t>houhyd</t>
  </si>
  <si>
    <t>saudercpa</t>
  </si>
  <si>
    <t>execestatemgmt</t>
  </si>
  <si>
    <t>TGGOFCPA</t>
  </si>
  <si>
    <t>wardupitgrove</t>
  </si>
  <si>
    <t>migrosaidinc</t>
  </si>
  <si>
    <t>nonprofitdemo</t>
  </si>
  <si>
    <t>summermorriscpa</t>
  </si>
  <si>
    <t>imagineitdone</t>
  </si>
  <si>
    <t>equipmentguys</t>
  </si>
  <si>
    <t>newmoonentertainment</t>
  </si>
  <si>
    <t>packagingoptionsusa</t>
  </si>
  <si>
    <t>brownsafe</t>
  </si>
  <si>
    <t>encoresc</t>
  </si>
  <si>
    <t>barnescustomupholstery2</t>
  </si>
  <si>
    <t>trask2000</t>
  </si>
  <si>
    <t>cmdcpa</t>
  </si>
  <si>
    <t>abeep</t>
  </si>
  <si>
    <t>svpllc</t>
  </si>
  <si>
    <t>perennialllc</t>
  </si>
  <si>
    <t>shelliehunt</t>
  </si>
  <si>
    <t>bridalextravaganzainc</t>
  </si>
  <si>
    <t>tiffanyjstewartcpa</t>
  </si>
  <si>
    <t>jlracing</t>
  </si>
  <si>
    <t>youthreachgulfcoastinc</t>
  </si>
  <si>
    <t>negg</t>
  </si>
  <si>
    <t>slkcpa</t>
  </si>
  <si>
    <t>shedyard</t>
  </si>
  <si>
    <t>amtax1040</t>
  </si>
  <si>
    <t>precisionaccountinghawaiillc</t>
  </si>
  <si>
    <t>ezloinnovation</t>
  </si>
  <si>
    <t>apexstone</t>
  </si>
  <si>
    <t>KilungFoundation</t>
  </si>
  <si>
    <t>Business Owner Solutions and Services</t>
  </si>
  <si>
    <t>starfishministries</t>
  </si>
  <si>
    <t>kgmenterprises</t>
  </si>
  <si>
    <t>mdxone</t>
  </si>
  <si>
    <t>MiamiAccountant</t>
  </si>
  <si>
    <t>prioritek</t>
  </si>
  <si>
    <t>keastenterprises</t>
  </si>
  <si>
    <t>blkcorp</t>
  </si>
  <si>
    <t>affinityr</t>
  </si>
  <si>
    <t>doggonetaxi</t>
  </si>
  <si>
    <t>songbirdacademy</t>
  </si>
  <si>
    <t>accountmobility</t>
  </si>
  <si>
    <t>hopestonecatholicformationinc1</t>
  </si>
  <si>
    <t>jewishrockradio</t>
  </si>
  <si>
    <t>centrolegalworks</t>
  </si>
  <si>
    <t>acuityadvantage</t>
  </si>
  <si>
    <t>atWork</t>
  </si>
  <si>
    <t>excelpkgsystems</t>
  </si>
  <si>
    <t>donschroedercpa</t>
  </si>
  <si>
    <t>digitalbeans</t>
  </si>
  <si>
    <t>rawfood</t>
  </si>
  <si>
    <t>one27foundation</t>
  </si>
  <si>
    <t>castlehomechecks</t>
  </si>
  <si>
    <t>iconoffice</t>
  </si>
  <si>
    <t>brilliantsolutionsgroupinc1</t>
  </si>
  <si>
    <t>solutionresources1</t>
  </si>
  <si>
    <t>CunninghamPianoCo</t>
  </si>
  <si>
    <t>leespermitserviceinc</t>
  </si>
  <si>
    <t>suncoastenclosures1</t>
  </si>
  <si>
    <t>stmatthewsmusicguild</t>
  </si>
  <si>
    <t>vaskoadvisors</t>
  </si>
  <si>
    <t>equalizedproductions</t>
  </si>
  <si>
    <t>our25th</t>
  </si>
  <si>
    <t>integritybpm</t>
  </si>
  <si>
    <t>neighborpro</t>
  </si>
  <si>
    <t>MYGUTTERLOCK</t>
  </si>
  <si>
    <t>grahamaccountingbiz</t>
  </si>
  <si>
    <t>expressassembly1</t>
  </si>
  <si>
    <t>thecathouse</t>
  </si>
  <si>
    <t>directflooring</t>
  </si>
  <si>
    <t>afghanicts</t>
  </si>
  <si>
    <t>satterleytrainingconsultingllc1</t>
  </si>
  <si>
    <t>chloescookies</t>
  </si>
  <si>
    <t>nerdenterprises</t>
  </si>
  <si>
    <t>pickonus</t>
  </si>
  <si>
    <t>dhsoftwarealliance1</t>
  </si>
  <si>
    <t>sarnerfinancial</t>
  </si>
  <si>
    <t>podiatrycc</t>
  </si>
  <si>
    <t>MikPa</t>
  </si>
  <si>
    <t>saraccountingsolutionsllc</t>
  </si>
  <si>
    <t>voltairesystems</t>
  </si>
  <si>
    <t>chapmanco</t>
  </si>
  <si>
    <t>americanaccountingservices</t>
  </si>
  <si>
    <t>USTestingEquipment</t>
  </si>
  <si>
    <t>affordablebuildingconceptsllc</t>
  </si>
  <si>
    <t>headnhome</t>
  </si>
  <si>
    <t>deaftax</t>
  </si>
  <si>
    <t>rainguardok</t>
  </si>
  <si>
    <t>countingcloud</t>
  </si>
  <si>
    <t>paintapplicatorsllc</t>
  </si>
  <si>
    <t>texasboomcompany</t>
  </si>
  <si>
    <t>dashrllc</t>
  </si>
  <si>
    <t>werestore</t>
  </si>
  <si>
    <t>marellyaedsfirstaid2</t>
  </si>
  <si>
    <t>deltakits1</t>
  </si>
  <si>
    <t>GGFWestDallas</t>
  </si>
  <si>
    <t>accountsinline</t>
  </si>
  <si>
    <t>GGFBaltimore</t>
  </si>
  <si>
    <t>reflektechnologiescorporation</t>
  </si>
  <si>
    <t>haydenfire1</t>
  </si>
  <si>
    <t>SunshineUSALLC1</t>
  </si>
  <si>
    <t>back2internationalltd</t>
  </si>
  <si>
    <t>petersammsequipmentltd</t>
  </si>
  <si>
    <t>hydrocleanequipment</t>
  </si>
  <si>
    <t>bournvilleheating</t>
  </si>
  <si>
    <t>Cloud Accounting Support Services Ltd</t>
  </si>
  <si>
    <t>futurecity</t>
  </si>
  <si>
    <t>thebookkeepingbureau</t>
  </si>
  <si>
    <t>bookledgers</t>
  </si>
  <si>
    <t>mjab</t>
  </si>
  <si>
    <t>worldlinkinternationalministriesuk</t>
  </si>
  <si>
    <t>perpetualcpa</t>
  </si>
  <si>
    <t>leightontax</t>
  </si>
  <si>
    <t>CTCITECH20</t>
  </si>
  <si>
    <t>wilsmanfinancialservices</t>
  </si>
  <si>
    <t>uprighttechnicalservicesllc</t>
  </si>
  <si>
    <t>mli</t>
  </si>
  <si>
    <t>Net Plus Consulting, Inc.</t>
  </si>
  <si>
    <t>amstat</t>
  </si>
  <si>
    <t>Layer8</t>
  </si>
  <si>
    <t>aquashieldenclosures</t>
  </si>
  <si>
    <t>latitudesecuritysolutions</t>
  </si>
  <si>
    <t>abutmentdirectCo1</t>
  </si>
  <si>
    <t>pbaccounting</t>
  </si>
  <si>
    <t>ncslate</t>
  </si>
  <si>
    <t>hollingbery</t>
  </si>
  <si>
    <t>consilium</t>
  </si>
  <si>
    <t>millikencorporationllc</t>
  </si>
  <si>
    <t>barlomedia</t>
  </si>
  <si>
    <t>bccrmed</t>
  </si>
  <si>
    <t>pacificergonomics</t>
  </si>
  <si>
    <t>wyattviolinshop1</t>
  </si>
  <si>
    <t>Print4OneLLC</t>
  </si>
  <si>
    <t>jmercerandassociatesinc</t>
  </si>
  <si>
    <t>campbellconsultantspa</t>
  </si>
  <si>
    <t>akzanwholesale</t>
  </si>
  <si>
    <t>katyadvisors</t>
  </si>
  <si>
    <t>Solavantilighting1</t>
  </si>
  <si>
    <t>thenumbersgroup</t>
  </si>
  <si>
    <t>acutedata1</t>
  </si>
  <si>
    <t>gws</t>
  </si>
  <si>
    <t>jclstrategies</t>
  </si>
  <si>
    <t>cloudvarallc</t>
  </si>
  <si>
    <t>islandsashanddoorNEW</t>
  </si>
  <si>
    <t>nwseaport</t>
  </si>
  <si>
    <t>avlelectronicsllc</t>
  </si>
  <si>
    <t>solsticeag</t>
  </si>
  <si>
    <t>welteroofing</t>
  </si>
  <si>
    <t>quality1st</t>
  </si>
  <si>
    <t>polarisbookkeeping</t>
  </si>
  <si>
    <t>sensationalbasketsincCo1</t>
  </si>
  <si>
    <t>opgo</t>
  </si>
  <si>
    <t>theblastbagCo1</t>
  </si>
  <si>
    <t>sumakenorthamerica1</t>
  </si>
  <si>
    <t>sesserbiz</t>
  </si>
  <si>
    <t>stepsgms</t>
  </si>
  <si>
    <t>thriveadvisory</t>
  </si>
  <si>
    <t>precisionsurgicalinc</t>
  </si>
  <si>
    <t>slk cpa</t>
  </si>
  <si>
    <t>sumakenorthamericaMT</t>
  </si>
  <si>
    <t>cinematichealtheducationCo1</t>
  </si>
  <si>
    <t>budgeteasebookkeepingllc</t>
  </si>
  <si>
    <t>AmericanValueMetrics</t>
  </si>
  <si>
    <t>mireauxms</t>
  </si>
  <si>
    <t>encorescllc</t>
  </si>
  <si>
    <t>cbsllc</t>
  </si>
  <si>
    <t>starvalleyflowersinc</t>
  </si>
  <si>
    <t>tricountyfireextinguishersllcCo1</t>
  </si>
  <si>
    <t>wildlifedistilleryinc</t>
  </si>
  <si>
    <t>Xhamia</t>
  </si>
  <si>
    <t>GGFDenver</t>
  </si>
  <si>
    <t>stanwoodredimix</t>
  </si>
  <si>
    <t>goldengroveglobal</t>
  </si>
  <si>
    <t>cfsusa1</t>
  </si>
  <si>
    <t>BonOpusSales</t>
  </si>
  <si>
    <t>mj2</t>
  </si>
  <si>
    <t>bigrigpower</t>
  </si>
  <si>
    <t>rapidindustriesqbd</t>
  </si>
  <si>
    <t>redeagleinternational</t>
  </si>
  <si>
    <t>quickpacs</t>
  </si>
  <si>
    <t>TrueFinancialTalent</t>
  </si>
  <si>
    <t>proanalyticsllcCo2</t>
  </si>
  <si>
    <t>alerthomewatch</t>
  </si>
  <si>
    <t>pastcoleyaccountancy</t>
  </si>
  <si>
    <t>techninjaconsulting</t>
  </si>
  <si>
    <t>ckccpasadvisors</t>
  </si>
  <si>
    <t>drelectric</t>
  </si>
  <si>
    <t>Keelforce</t>
  </si>
  <si>
    <t>lifetimeteallc</t>
  </si>
  <si>
    <t>westvillageshomewatch</t>
  </si>
  <si>
    <t>CapitalTax2</t>
  </si>
  <si>
    <t>timberwolfforest</t>
  </si>
  <si>
    <t>rgvegas</t>
  </si>
  <si>
    <t>flipproductions</t>
  </si>
  <si>
    <t>mhbookkeeping</t>
  </si>
  <si>
    <t>gcminvestments</t>
  </si>
  <si>
    <t>argos</t>
  </si>
  <si>
    <t>btbaccounting</t>
  </si>
  <si>
    <t>hillmanbookkeepingCo1</t>
  </si>
  <si>
    <t>marylandclockandwatch</t>
  </si>
  <si>
    <t>ASDT</t>
  </si>
  <si>
    <t>Sound Business Services, Inc.</t>
  </si>
  <si>
    <t>morantenterprises</t>
  </si>
  <si>
    <t>boeckeler</t>
  </si>
  <si>
    <t>DBAccountingSS</t>
  </si>
  <si>
    <t>themovingcompany</t>
  </si>
  <si>
    <t>triplexsales</t>
  </si>
  <si>
    <t>eucliddesigngroup</t>
  </si>
  <si>
    <t>strategicprofitsolutions</t>
  </si>
  <si>
    <t>teleport</t>
  </si>
  <si>
    <t>teccpaintingCo1</t>
  </si>
  <si>
    <t>wayneholmesmutualaid</t>
  </si>
  <si>
    <t>abacusbusinesssolutions</t>
  </si>
  <si>
    <t>satswana</t>
  </si>
  <si>
    <t>mse</t>
  </si>
  <si>
    <t>Jh &amp; Associates</t>
  </si>
  <si>
    <t>mohnew</t>
  </si>
  <si>
    <t>medcity</t>
  </si>
  <si>
    <t>DeltaSigmaPhi</t>
  </si>
  <si>
    <t>PiLambdaPhi</t>
  </si>
  <si>
    <t>KappaSigma</t>
  </si>
  <si>
    <t>qatlab</t>
  </si>
  <si>
    <t>accountingbeyond</t>
  </si>
  <si>
    <t>exergamefitness</t>
  </si>
  <si>
    <t>leichtseattle1</t>
  </si>
  <si>
    <t>dlomgroup</t>
  </si>
  <si>
    <t>southcoastwholesale1</t>
  </si>
  <si>
    <t>ATSVerifyProtectcom</t>
  </si>
  <si>
    <t>innovativeenergy</t>
  </si>
  <si>
    <t>dars</t>
  </si>
  <si>
    <t>hitechplating</t>
  </si>
  <si>
    <t>NewEnglandLanguageSchoolInc</t>
  </si>
  <si>
    <t>ledettraining</t>
  </si>
  <si>
    <t>cmagroupcollinsmellody</t>
  </si>
  <si>
    <t>WNYProfessionalTechnologies</t>
  </si>
  <si>
    <t>dataserv</t>
  </si>
  <si>
    <t>bbbsilCo1</t>
  </si>
  <si>
    <t>raybiotech</t>
  </si>
  <si>
    <t>MiscioneConsulting</t>
  </si>
  <si>
    <t>kmsbookkeepingservices</t>
  </si>
  <si>
    <t>AyPat</t>
  </si>
  <si>
    <t>lebureauCo1</t>
  </si>
  <si>
    <t>madisondogmallc</t>
  </si>
  <si>
    <t>kimcoxinc</t>
  </si>
  <si>
    <t>gillindustries</t>
  </si>
  <si>
    <t>pondershollow</t>
  </si>
  <si>
    <t>KoziChecks</t>
  </si>
  <si>
    <t>craykaiser</t>
  </si>
  <si>
    <t>JHALLC</t>
  </si>
  <si>
    <t>veteransmemorialbuilding</t>
  </si>
  <si>
    <t>amitydigital</t>
  </si>
  <si>
    <t>GGFCharlotte</t>
  </si>
  <si>
    <t>GGFNorfolk</t>
  </si>
  <si>
    <t>FoamRubberFabricators</t>
  </si>
  <si>
    <t>kmiscione</t>
  </si>
  <si>
    <t>centerforindependence</t>
  </si>
  <si>
    <t>jmscpa</t>
  </si>
  <si>
    <t>dealer121</t>
  </si>
  <si>
    <t>surepulsemedicallimited</t>
  </si>
  <si>
    <t>joshuasaddickhypnotherapyllc</t>
  </si>
  <si>
    <t>maassociates</t>
  </si>
  <si>
    <t>areasonfor</t>
  </si>
  <si>
    <t>trusleraccounting</t>
  </si>
  <si>
    <t>patchmypc</t>
  </si>
  <si>
    <t>ogdenbookkeepingtaxCo1</t>
  </si>
  <si>
    <t>ebsautoequip</t>
  </si>
  <si>
    <t>answeraide</t>
  </si>
  <si>
    <t>urbanfrontltd</t>
  </si>
  <si>
    <t>fris</t>
  </si>
  <si>
    <t>newliferefinishinghsv</t>
  </si>
  <si>
    <t>vantagemeasure</t>
  </si>
  <si>
    <t>efloor</t>
  </si>
  <si>
    <t>iowatgroupincCo1</t>
  </si>
  <si>
    <t>tfriedl</t>
  </si>
  <si>
    <t>onestophomewatch</t>
  </si>
  <si>
    <t>pqsys</t>
  </si>
  <si>
    <t>savvybirdconsultingllc</t>
  </si>
  <si>
    <t>icrasolutionsllc</t>
  </si>
  <si>
    <t>agproinc</t>
  </si>
  <si>
    <t>tritterfeeferCo1</t>
  </si>
  <si>
    <t>pnatcdiv</t>
  </si>
  <si>
    <t>fourseasonshomeservices</t>
  </si>
  <si>
    <t>sitepreps</t>
  </si>
  <si>
    <t>christiancampushouse</t>
  </si>
  <si>
    <t>pamartinezcpa</t>
  </si>
  <si>
    <t>crossingborderslanguagecenter</t>
  </si>
  <si>
    <t>AvantSleep</t>
  </si>
  <si>
    <t>jmsilvaproservicesinc</t>
  </si>
  <si>
    <t>HBLGroupSA</t>
  </si>
  <si>
    <t>simpleinc980</t>
  </si>
  <si>
    <t>balancedatmllc1</t>
  </si>
  <si>
    <t>peet</t>
  </si>
  <si>
    <t>canadianassistivetechnologyltd</t>
  </si>
  <si>
    <t>divineorderllc</t>
  </si>
  <si>
    <t>floridigenous</t>
  </si>
  <si>
    <t>portal1gnite</t>
  </si>
  <si>
    <t>aristabusinessservicesllc</t>
  </si>
  <si>
    <t>digscoopllc</t>
  </si>
  <si>
    <t>aqualumaledlighting</t>
  </si>
  <si>
    <t>theawningfactory</t>
  </si>
  <si>
    <t>HCCI</t>
  </si>
  <si>
    <t>swampfoxinnovationsllc</t>
  </si>
  <si>
    <t>ecpaccounting20119</t>
  </si>
  <si>
    <t>baselineophthalmicsystems</t>
  </si>
  <si>
    <t>LaurieAshe</t>
  </si>
  <si>
    <t>bshaccounting</t>
  </si>
  <si>
    <t>chesapeakesailmakers</t>
  </si>
  <si>
    <t>penniwiseaccountingservices</t>
  </si>
  <si>
    <t>luvianoconsulting</t>
  </si>
  <si>
    <t>mikescleancut</t>
  </si>
  <si>
    <t>thewaldoaccountingfirm</t>
  </si>
  <si>
    <t>cabinetcentralCo1</t>
  </si>
  <si>
    <t>dhgs</t>
  </si>
  <si>
    <t>backofficeally</t>
  </si>
  <si>
    <t>EmpireElectronicsInc</t>
  </si>
  <si>
    <t>NadalieUSA</t>
  </si>
  <si>
    <t>BarrelBuildersInc</t>
  </si>
  <si>
    <t>GGFAtlantaHQ</t>
  </si>
  <si>
    <t>purearth2o</t>
  </si>
  <si>
    <t>dxfinancialsolutions</t>
  </si>
  <si>
    <t>promax</t>
  </si>
  <si>
    <t>rocklandpros</t>
  </si>
  <si>
    <t>acc80535</t>
  </si>
  <si>
    <t>victoriabogdanovichcpa</t>
  </si>
  <si>
    <t>jeffrosscpa</t>
  </si>
  <si>
    <t>advancedhomewatch</t>
  </si>
  <si>
    <t>ptegolfCo1</t>
  </si>
  <si>
    <t>cvpc</t>
  </si>
  <si>
    <t>europenaingredientsCo1</t>
  </si>
  <si>
    <t>sylvacorp</t>
  </si>
  <si>
    <t>blc2</t>
  </si>
  <si>
    <t>BottomLine Consulting, Inc.</t>
  </si>
  <si>
    <t>wlbas</t>
  </si>
  <si>
    <t>thesawyergroup</t>
  </si>
  <si>
    <t>GroundsWork</t>
  </si>
  <si>
    <t>BioAgEnergy</t>
  </si>
  <si>
    <t>Surfaceco</t>
  </si>
  <si>
    <t>suncoast</t>
  </si>
  <si>
    <t>jefferiesinc</t>
  </si>
  <si>
    <t>pinkbusinessadvisorsllc</t>
  </si>
  <si>
    <t>mtradefutures</t>
  </si>
  <si>
    <t>glfcorptestingaccount</t>
  </si>
  <si>
    <t>wplastics</t>
  </si>
  <si>
    <t>rfdistributor</t>
  </si>
  <si>
    <t>CannaWaste</t>
  </si>
  <si>
    <t>trilliumbookkeepingincCo1</t>
  </si>
  <si>
    <t>iwatch4you</t>
  </si>
  <si>
    <t>livefor1inc</t>
  </si>
  <si>
    <t>wilkindennyslimited</t>
  </si>
  <si>
    <t>Db Accounting &amp; Software Solutions</t>
  </si>
  <si>
    <t>cratuscanada</t>
  </si>
  <si>
    <t>maverikoilsllc</t>
  </si>
  <si>
    <t>cethassociatespcCo1</t>
  </si>
  <si>
    <t>ancientartsfibrecrafts</t>
  </si>
  <si>
    <t>camoffice</t>
  </si>
  <si>
    <t>natchezchildrensservices</t>
  </si>
  <si>
    <t>The Taylor Group</t>
  </si>
  <si>
    <t>liquidlitigationmanagement</t>
  </si>
  <si>
    <t>dfinancialservicesllc</t>
  </si>
  <si>
    <t>morepreparedCo2</t>
  </si>
  <si>
    <t>svnbusinesssolutionsCo1</t>
  </si>
  <si>
    <t>EnglandLogistics</t>
  </si>
  <si>
    <t>excellmed</t>
  </si>
  <si>
    <t>GarageLivingWashington</t>
  </si>
  <si>
    <t>GarageLivingCincinnati</t>
  </si>
  <si>
    <t>GarageLivingSiouxFalls</t>
  </si>
  <si>
    <t>GarageLivingToronto</t>
  </si>
  <si>
    <t>ascemetropolitansection</t>
  </si>
  <si>
    <t>elmhurstyorkfieldfoodpantry</t>
  </si>
  <si>
    <t>safestructuredesigns</t>
  </si>
  <si>
    <t>thinkforwardaccounting</t>
  </si>
  <si>
    <t>tecsci</t>
  </si>
  <si>
    <t>scg</t>
  </si>
  <si>
    <t>sommselection</t>
  </si>
  <si>
    <t>nahaksportsinc</t>
  </si>
  <si>
    <t>dfsconsultinggroupltd</t>
  </si>
  <si>
    <t>Planttours</t>
  </si>
  <si>
    <t>ipme</t>
  </si>
  <si>
    <t>gnallpcharteredprofessionalaccountants</t>
  </si>
  <si>
    <t>melganprecisionconsultingllc</t>
  </si>
  <si>
    <t>demurodasinc</t>
  </si>
  <si>
    <t>citypointumc</t>
  </si>
  <si>
    <t>thegraceinstitute</t>
  </si>
  <si>
    <t xml:space="preserve">Dx Financial Solutions,  Inc.</t>
  </si>
  <si>
    <t>mandolare</t>
  </si>
  <si>
    <t>hushcityspCo1</t>
  </si>
  <si>
    <t>MBConsultingAccounting</t>
  </si>
  <si>
    <t>highcottonCo2</t>
  </si>
  <si>
    <t>bassbrushes</t>
  </si>
  <si>
    <t>ose123</t>
  </si>
  <si>
    <t>aawws</t>
  </si>
  <si>
    <t>flextraninc</t>
  </si>
  <si>
    <t>RapidRecovery</t>
  </si>
  <si>
    <t>dextersource</t>
  </si>
  <si>
    <t>europenaingredientsCo2</t>
  </si>
  <si>
    <t>mastercraftpaintingdecoratingincCo2</t>
  </si>
  <si>
    <t>sunbrightledsystemsllc</t>
  </si>
  <si>
    <t>acc82937</t>
  </si>
  <si>
    <t>rescomdesignsinc</t>
  </si>
  <si>
    <t>renewoutreachCo1</t>
  </si>
  <si>
    <t>gitchsportswearCo1</t>
  </si>
  <si>
    <t>gexcorpCo1</t>
  </si>
  <si>
    <t>Peak Advisers Llc</t>
  </si>
  <si>
    <t>assuredlogisticsenterpriseCo1</t>
  </si>
  <si>
    <t>mavincapitalfinancelimited</t>
  </si>
  <si>
    <t>powercubelimited</t>
  </si>
  <si>
    <t>vita</t>
  </si>
  <si>
    <t>loretech</t>
  </si>
  <si>
    <t>verbaljudoinstituteinc</t>
  </si>
  <si>
    <t>manerfire</t>
  </si>
  <si>
    <t>terrairrigation</t>
  </si>
  <si>
    <t>kingstonsfinestvaluessavings</t>
  </si>
  <si>
    <t>moderntaxationandaccountancyserviceslimited</t>
  </si>
  <si>
    <t>cheloniscpaprofessionalcorporation</t>
  </si>
  <si>
    <t>reliableairsolutionsllc</t>
  </si>
  <si>
    <t>advancedpetroleumsystems</t>
  </si>
  <si>
    <t>adventurewagon</t>
  </si>
  <si>
    <t>artemisbiosolutions</t>
  </si>
  <si>
    <t>bindersincCo1</t>
  </si>
  <si>
    <t>yoderbilt</t>
  </si>
  <si>
    <t>impactfulcommercellc</t>
  </si>
  <si>
    <t>keybusinesssolutionsdbaqtrak</t>
  </si>
  <si>
    <t>ecaoh</t>
  </si>
  <si>
    <t>Jrmequipment</t>
  </si>
  <si>
    <t>valuemetrik</t>
  </si>
  <si>
    <t>InfoSeal</t>
  </si>
  <si>
    <t>manatee</t>
  </si>
  <si>
    <t>interactivecpa</t>
  </si>
  <si>
    <t>BBCRE</t>
  </si>
  <si>
    <t>spkassociates</t>
  </si>
  <si>
    <t>bigskyhome</t>
  </si>
  <si>
    <t>techtradeglobal</t>
  </si>
  <si>
    <t>TheMarksGroup</t>
  </si>
  <si>
    <t>tropicallogistixCo1</t>
  </si>
  <si>
    <t>saasdirectCo1</t>
  </si>
  <si>
    <t>mustangtechnologiesllc</t>
  </si>
  <si>
    <t>caseco</t>
  </si>
  <si>
    <t>certifiedbiz1</t>
  </si>
  <si>
    <t>elzahraeducation</t>
  </si>
  <si>
    <t>j2medicalsupplyinc</t>
  </si>
  <si>
    <t>selectrow</t>
  </si>
  <si>
    <t>lifefirstincCo1</t>
  </si>
  <si>
    <t>dayella</t>
  </si>
  <si>
    <t>bertelsonprecast</t>
  </si>
  <si>
    <t>lifecharmsltd</t>
  </si>
  <si>
    <t>FratelloCigar</t>
  </si>
  <si>
    <t>lilyrosenumbers</t>
  </si>
  <si>
    <t>hilltimespublishinginc</t>
  </si>
  <si>
    <t>americanwholesaledistributors</t>
  </si>
  <si>
    <t>HBLGroupBD</t>
  </si>
  <si>
    <t>akstudios</t>
  </si>
  <si>
    <t>intellergyqbdt</t>
  </si>
  <si>
    <t>vprovantagellc</t>
  </si>
  <si>
    <t>nukitchens132</t>
  </si>
  <si>
    <t>njsolarsafetyllcdbanationalwindowfilmCo1</t>
  </si>
  <si>
    <t>faruv</t>
  </si>
  <si>
    <t>faruvCo1</t>
  </si>
  <si>
    <t>wrico</t>
  </si>
  <si>
    <t>controlledaccess</t>
  </si>
  <si>
    <t>Keystone</t>
  </si>
  <si>
    <t>renovatepaintanddesign</t>
  </si>
  <si>
    <t>StaplesOilCoInc</t>
  </si>
  <si>
    <t>imagn</t>
  </si>
  <si>
    <t>acc85482</t>
  </si>
  <si>
    <t>chasetechltd</t>
  </si>
  <si>
    <t>ubabllc</t>
  </si>
  <si>
    <t>McVeighGlobal</t>
  </si>
  <si>
    <t>herbalsalvationllc</t>
  </si>
  <si>
    <t>accessprinterproductsinc</t>
  </si>
  <si>
    <t>optopolusa</t>
  </si>
  <si>
    <t>Treeform</t>
  </si>
  <si>
    <t>acc85792</t>
  </si>
  <si>
    <t>lihua</t>
  </si>
  <si>
    <t>phh</t>
  </si>
  <si>
    <t>griffcovalve</t>
  </si>
  <si>
    <t>GarageLivingPalmSprings</t>
  </si>
  <si>
    <t>commair</t>
  </si>
  <si>
    <t>abcwindowsandmorellc</t>
  </si>
  <si>
    <t>northstatefence</t>
  </si>
  <si>
    <t>fundsaverinc</t>
  </si>
  <si>
    <t>allencpa</t>
  </si>
  <si>
    <t>cagolichcpallc</t>
  </si>
  <si>
    <t>safetnose</t>
  </si>
  <si>
    <t>shadefix</t>
  </si>
  <si>
    <t>thenationaldigest</t>
  </si>
  <si>
    <t>glacierhops</t>
  </si>
  <si>
    <t>LH</t>
  </si>
  <si>
    <t>arkimportexportcenterllc</t>
  </si>
  <si>
    <t>RefreshAustralia</t>
  </si>
  <si>
    <t>TexStar</t>
  </si>
  <si>
    <t>BarbaraMcLeanConsulting</t>
  </si>
  <si>
    <t>transitionhabitatconservancy</t>
  </si>
  <si>
    <t>brookebresnan</t>
  </si>
  <si>
    <t>SWSGroup2020</t>
  </si>
  <si>
    <t>echlerelectricllcCo1</t>
  </si>
  <si>
    <t>sunwatchswfl</t>
  </si>
  <si>
    <t>NOOBEH</t>
  </si>
  <si>
    <t>ustelephonenetworksinc</t>
  </si>
  <si>
    <t>OdysseyHouse</t>
  </si>
  <si>
    <t>chicagolanddirectincCo1</t>
  </si>
  <si>
    <t>mdbiologix</t>
  </si>
  <si>
    <t>mj3</t>
  </si>
  <si>
    <t>arautosolutionsllc</t>
  </si>
  <si>
    <t>advantagehomehealthsolutions</t>
  </si>
  <si>
    <t>DGS</t>
  </si>
  <si>
    <t>smilejv2</t>
  </si>
  <si>
    <t>GGFChattanooga</t>
  </si>
  <si>
    <t>paradigmlabs</t>
  </si>
  <si>
    <t>GGFOrlandoWest</t>
  </si>
  <si>
    <t>sonoranprocess</t>
  </si>
  <si>
    <t>fhu</t>
  </si>
  <si>
    <t>wilcoelectronicsystemsinc</t>
  </si>
  <si>
    <t>LappStructures</t>
  </si>
  <si>
    <t>thedouglaswatsonstudioltd</t>
  </si>
  <si>
    <t>diamondTechnologies</t>
  </si>
  <si>
    <t>primeaccountingservicesptyltd</t>
  </si>
  <si>
    <t>blueshadowsolutionsinc</t>
  </si>
  <si>
    <t>BaumCo</t>
  </si>
  <si>
    <t>Reflections</t>
  </si>
  <si>
    <t>FinancialSoftwareInnovations</t>
  </si>
  <si>
    <t>JudicialServicesRR</t>
  </si>
  <si>
    <t>hickslp</t>
  </si>
  <si>
    <t>hicklsp</t>
  </si>
  <si>
    <t>OSC</t>
  </si>
  <si>
    <t>testnowllc</t>
  </si>
  <si>
    <t>Compuguide</t>
  </si>
  <si>
    <t>dearstone</t>
  </si>
  <si>
    <t>advancedtherapeuticsukltd</t>
  </si>
  <si>
    <t>KZFG</t>
  </si>
  <si>
    <t>trunniontable</t>
  </si>
  <si>
    <t>chartsdotcompliancecompanyCo1</t>
  </si>
  <si>
    <t>crscorporaterelocationsystemsinc</t>
  </si>
  <si>
    <t>stwsincCo1</t>
  </si>
  <si>
    <t>stwsinc</t>
  </si>
  <si>
    <t>smartsolutionandeconsultancysarl</t>
  </si>
  <si>
    <t>pdtassociatesllcCo1</t>
  </si>
  <si>
    <t>FloresCPA</t>
  </si>
  <si>
    <t>CryturUSA</t>
  </si>
  <si>
    <t>allsportnettingCo1</t>
  </si>
  <si>
    <t>iasprofessionalservices</t>
  </si>
  <si>
    <t>ELANINSUREUSVI</t>
  </si>
  <si>
    <t>Brandow Consulting</t>
  </si>
  <si>
    <t>bachtobasicsinc</t>
  </si>
  <si>
    <t>espline</t>
  </si>
  <si>
    <t>focusonyourvision01</t>
  </si>
  <si>
    <t>crcontracting</t>
  </si>
  <si>
    <t>dentmagicswltd</t>
  </si>
  <si>
    <t>silverbackcommunicationsllcCo1</t>
  </si>
  <si>
    <t>vacationhw</t>
  </si>
  <si>
    <t>spiritedbluffsllc</t>
  </si>
  <si>
    <t>Eastwestemb2</t>
  </si>
  <si>
    <t>thornelCo1</t>
  </si>
  <si>
    <t>haygor</t>
  </si>
  <si>
    <t>anytimebarsuppliesllcCo1</t>
  </si>
  <si>
    <t>labelsplusCo1</t>
  </si>
  <si>
    <t>luisjoelvazquezcpapa</t>
  </si>
  <si>
    <t>thefinancialdepartment</t>
  </si>
  <si>
    <t>liquidwasteremovalCo1</t>
  </si>
  <si>
    <t>thehumanesocietyofkentcountyinc</t>
  </si>
  <si>
    <t>printicsincCo1</t>
  </si>
  <si>
    <t>weoptimizebusiness</t>
  </si>
  <si>
    <t>thestoryschool</t>
  </si>
  <si>
    <t>intermarketsinc</t>
  </si>
  <si>
    <t>snydercpas</t>
  </si>
  <si>
    <t>VCSGTAWest</t>
  </si>
  <si>
    <t>biggameusaCo2</t>
  </si>
  <si>
    <t>wildlifepartners</t>
  </si>
  <si>
    <t>ngalatrading</t>
  </si>
  <si>
    <t>QuickBooksCenter</t>
  </si>
  <si>
    <t>comanpublishingcompany</t>
  </si>
  <si>
    <t>coolbluedistribution</t>
  </si>
  <si>
    <t>antares</t>
  </si>
  <si>
    <t>mtaCo1</t>
  </si>
  <si>
    <t>probookkeepersonline</t>
  </si>
  <si>
    <t>GarageLivingNashville</t>
  </si>
  <si>
    <t>amesresearchinc</t>
  </si>
  <si>
    <t>caapinc</t>
  </si>
  <si>
    <t>AUSDecking</t>
  </si>
  <si>
    <t>pbestatemgmt</t>
  </si>
  <si>
    <t>coachellavalleyhw</t>
  </si>
  <si>
    <t>kempswindowsinc</t>
  </si>
  <si>
    <t>swiftwareadvisory</t>
  </si>
  <si>
    <t>knexMethod</t>
  </si>
  <si>
    <t>painintheartstattoostudio</t>
  </si>
  <si>
    <t>premierCo1</t>
  </si>
  <si>
    <t>DMM2021</t>
  </si>
  <si>
    <t>DMS2021</t>
  </si>
  <si>
    <t>OrganizedInteriors</t>
  </si>
  <si>
    <t>advicealliance</t>
  </si>
  <si>
    <t>BGT</t>
  </si>
  <si>
    <t>stevenshopefund</t>
  </si>
  <si>
    <t>ASFirm</t>
  </si>
  <si>
    <t>happydayflower</t>
  </si>
  <si>
    <t>GLW2021</t>
  </si>
  <si>
    <t>FLH</t>
  </si>
  <si>
    <t>logoknits1</t>
  </si>
  <si>
    <t>beacon</t>
  </si>
  <si>
    <t>DMM21</t>
  </si>
  <si>
    <t>mtechlocks</t>
  </si>
  <si>
    <t>ASDW</t>
  </si>
  <si>
    <t>firestationfurniture</t>
  </si>
  <si>
    <t>arccpa</t>
  </si>
  <si>
    <t>codingbull</t>
  </si>
  <si>
    <t>equipmentlockCo</t>
  </si>
  <si>
    <t>JudicialServicesCR</t>
  </si>
  <si>
    <t>mdcarts1</t>
  </si>
  <si>
    <t>LPIShownetwork</t>
  </si>
  <si>
    <t>naic</t>
  </si>
  <si>
    <t>winecountryconnection</t>
  </si>
  <si>
    <t>perlistenaudiollc</t>
  </si>
  <si>
    <t>MYOSCORP</t>
  </si>
  <si>
    <t>Accounting Synergies</t>
  </si>
  <si>
    <t>yourcardogllc</t>
  </si>
  <si>
    <t>nantucketsinksusa</t>
  </si>
  <si>
    <t>surfsidepoolsandspasllc</t>
  </si>
  <si>
    <t>symbiosisuklimited</t>
  </si>
  <si>
    <t>wavedistro1</t>
  </si>
  <si>
    <t>paschick</t>
  </si>
  <si>
    <t>MPDmedical</t>
  </si>
  <si>
    <t>Youngandsonshvac</t>
  </si>
  <si>
    <t>vineridgeresortltd</t>
  </si>
  <si>
    <t>jerodstrong</t>
  </si>
  <si>
    <t>scenemagazineCo1</t>
  </si>
  <si>
    <t>easystoreselfstoragelimited</t>
  </si>
  <si>
    <t>advancedwildlifecontrolinc</t>
  </si>
  <si>
    <t>terrapin</t>
  </si>
  <si>
    <t>egminc</t>
  </si>
  <si>
    <t>imagehomedecorlp</t>
  </si>
  <si>
    <t>frontrange</t>
  </si>
  <si>
    <t>bcbhomes</t>
  </si>
  <si>
    <t>sofiascookiesCo1</t>
  </si>
  <si>
    <t>TurfPrepSales</t>
  </si>
  <si>
    <t>marinkitchenco</t>
  </si>
  <si>
    <t>solarsoundcorp</t>
  </si>
  <si>
    <t>burly</t>
  </si>
  <si>
    <t>fivestarstaff2</t>
  </si>
  <si>
    <t>pivotenterprises</t>
  </si>
  <si>
    <t>millertowing</t>
  </si>
  <si>
    <t>slopeside</t>
  </si>
  <si>
    <t>jobena</t>
  </si>
  <si>
    <t>thrivehousingnetwork</t>
  </si>
  <si>
    <t>hettaglogg</t>
  </si>
  <si>
    <t>ambuild</t>
  </si>
  <si>
    <t>soulflylodge</t>
  </si>
  <si>
    <t>Legitshipcbd06</t>
  </si>
  <si>
    <t>promotionalproductsfulfillmentdistributionltdCo1</t>
  </si>
  <si>
    <t>mfmh</t>
  </si>
  <si>
    <t>BorealBusiness</t>
  </si>
  <si>
    <t>dracon</t>
  </si>
  <si>
    <t>Garfieldplumbing</t>
  </si>
  <si>
    <t>SnoValleyPS</t>
  </si>
  <si>
    <t>marinkitchenCoLLC</t>
  </si>
  <si>
    <t>ozopenergysystemsinc</t>
  </si>
  <si>
    <t>spectrumcon</t>
  </si>
  <si>
    <t>homewatchofct</t>
  </si>
  <si>
    <t>countrytymesheds</t>
  </si>
  <si>
    <t>highfivesnonprofitfoundation</t>
  </si>
  <si>
    <t>UrRao</t>
  </si>
  <si>
    <t>ngotax</t>
  </si>
  <si>
    <t>enerfusioninc</t>
  </si>
  <si>
    <t>caribbeandiagnosticsltdCo1</t>
  </si>
  <si>
    <t>BenShaffer</t>
  </si>
  <si>
    <t>artisticassociatesinc</t>
  </si>
  <si>
    <t>liquimedlock</t>
  </si>
  <si>
    <t>dardamanagement</t>
  </si>
  <si>
    <t>Dairytech</t>
  </si>
  <si>
    <t>DylanMarch</t>
  </si>
  <si>
    <t>bardianivalves</t>
  </si>
  <si>
    <t>MarinKitchencoINC</t>
  </si>
  <si>
    <t>namusa</t>
  </si>
  <si>
    <t>spencerlisteraccessmricom</t>
  </si>
  <si>
    <t>dynamicworkflowsolutions</t>
  </si>
  <si>
    <t>northeaststructuresinc</t>
  </si>
  <si>
    <t>diamondem</t>
  </si>
  <si>
    <t>intellbioCo3</t>
  </si>
  <si>
    <t>aosolutions</t>
  </si>
  <si>
    <t>kuumbamadeCo2</t>
  </si>
  <si>
    <t>suburbanenterprises</t>
  </si>
  <si>
    <t>careerlabsvr</t>
  </si>
  <si>
    <t>GodfreyandJones</t>
  </si>
  <si>
    <t>stellalightingincCo1</t>
  </si>
  <si>
    <t>WonkyConfections</t>
  </si>
  <si>
    <t>ReuningMcKim</t>
  </si>
  <si>
    <t>ondeck</t>
  </si>
  <si>
    <t>MustangSouth</t>
  </si>
  <si>
    <t>GarageLivingAtlanta</t>
  </si>
  <si>
    <t>cimethod</t>
  </si>
  <si>
    <t>penusa</t>
  </si>
  <si>
    <t>lls</t>
  </si>
  <si>
    <t>olympiquesit</t>
  </si>
  <si>
    <t>gulfcoastwomanmagazine</t>
  </si>
  <si>
    <t>NCIC</t>
  </si>
  <si>
    <t>fitzsfishpondsllc</t>
  </si>
  <si>
    <t>cbma</t>
  </si>
  <si>
    <t>stopro</t>
  </si>
  <si>
    <t>aswnorth</t>
  </si>
  <si>
    <t>marinedoorsllc</t>
  </si>
  <si>
    <t>ctofficeoftreasury</t>
  </si>
  <si>
    <t>indianaautomotiveequipment</t>
  </si>
  <si>
    <t>simplygreenenvironmentalltd</t>
  </si>
  <si>
    <t>hydroponicresearchinc</t>
  </si>
  <si>
    <t>ecoscapeuk</t>
  </si>
  <si>
    <t>dfspartnersllc</t>
  </si>
  <si>
    <t>TGGMaryland</t>
  </si>
  <si>
    <t>qlssinc</t>
  </si>
  <si>
    <t>kariksystems</t>
  </si>
  <si>
    <t>safetytrack</t>
  </si>
  <si>
    <t>parkmanwoodworks2</t>
  </si>
  <si>
    <t>daiwahealthdevelopment</t>
  </si>
  <si>
    <t>thinksmartpos</t>
  </si>
  <si>
    <t>allinlearning2</t>
  </si>
  <si>
    <t>None</t>
  </si>
  <si>
    <t>Method:CRM</t>
  </si>
  <si>
    <t>clinicallyspeaking</t>
  </si>
  <si>
    <t>dcooperworksllc</t>
  </si>
  <si>
    <t>medicalapplicationrepairandsales</t>
  </si>
  <si>
    <t>southwestpianos</t>
  </si>
  <si>
    <t>dawnhousemovers</t>
  </si>
  <si>
    <t>iconusa</t>
  </si>
  <si>
    <t>computerandtechnologysolutionsinc</t>
  </si>
  <si>
    <t>blueheroncollaborativellc</t>
  </si>
  <si>
    <t>Integrity Process Management LLC</t>
  </si>
  <si>
    <t>shernbaousainc</t>
  </si>
  <si>
    <t>terapiasaheba</t>
  </si>
  <si>
    <t>duffymechanicalllc2</t>
  </si>
  <si>
    <t>propertihomeconciergellc</t>
  </si>
  <si>
    <t>edgewoodlandscape</t>
  </si>
  <si>
    <t>americanwholesaledistributors2</t>
  </si>
  <si>
    <t>alpsp2</t>
  </si>
  <si>
    <t>turnkey</t>
  </si>
  <si>
    <t>trusted</t>
  </si>
  <si>
    <t>estrella</t>
  </si>
  <si>
    <t>officefirstsolutions</t>
  </si>
  <si>
    <t>netvpro</t>
  </si>
  <si>
    <t>gonaples</t>
  </si>
  <si>
    <t>liquitube</t>
  </si>
  <si>
    <t>pattechnology2</t>
  </si>
  <si>
    <t>thebigwoodsonthetrinity</t>
  </si>
  <si>
    <t>tcmerrittslandsurveyors</t>
  </si>
  <si>
    <t>schemmbowlinginc</t>
  </si>
  <si>
    <t>turfaidllc</t>
  </si>
  <si>
    <t>encompasssupply</t>
  </si>
  <si>
    <t>lancasterandassociatesinc2</t>
  </si>
  <si>
    <t>sierrapadre</t>
  </si>
  <si>
    <t>solutionsplogixinc</t>
  </si>
  <si>
    <t>medicalz2</t>
  </si>
  <si>
    <t>grassrootsrecyclingltd</t>
  </si>
  <si>
    <t>griffinmedicalassociatesincdbagriffinmo</t>
  </si>
  <si>
    <t>lonestarbadge2</t>
  </si>
  <si>
    <t>maia</t>
  </si>
  <si>
    <t>macagenciesltdtamacandpureeyewear</t>
  </si>
  <si>
    <t>newenglandroofing</t>
  </si>
  <si>
    <t>assuredestates</t>
  </si>
  <si>
    <t>snoozies</t>
  </si>
  <si>
    <t>floridacoastplumbingandgas</t>
  </si>
  <si>
    <t>huntercattlecompany2</t>
  </si>
  <si>
    <t>lowrymanufacturingcompany2</t>
  </si>
  <si>
    <t>artisanhardwoodflooring</t>
  </si>
  <si>
    <t>ductcleanscotland</t>
  </si>
  <si>
    <t>lancevalves2</t>
  </si>
  <si>
    <t>appliedwatertechnologies</t>
  </si>
  <si>
    <t>adoredbeastapothecary</t>
  </si>
  <si>
    <t>alphagammarho2</t>
  </si>
  <si>
    <t>westernresourceslegalcenter2</t>
  </si>
  <si>
    <t>concreteetc</t>
  </si>
  <si>
    <t>confettisweets</t>
  </si>
  <si>
    <t>tristatebiomedicalsolutions2</t>
  </si>
  <si>
    <t>footprintpromotions</t>
  </si>
  <si>
    <t>alliedmachinerysalesllc</t>
  </si>
  <si>
    <t>healthcarestoragesolutionscorporation</t>
  </si>
  <si>
    <t>metkonusainc</t>
  </si>
  <si>
    <t>djmcgauleyandassociatesinc</t>
  </si>
  <si>
    <t>aircraftholdingsolutions2</t>
  </si>
  <si>
    <t>libertycommunications</t>
  </si>
  <si>
    <t>Wilco</t>
  </si>
  <si>
    <t>criticalenvironmentalremediationindustries</t>
  </si>
  <si>
    <t>easternwearparts</t>
  </si>
  <si>
    <t>storemytruckcom</t>
  </si>
  <si>
    <t>smartstructuring</t>
  </si>
  <si>
    <t>barwongrovetransport2</t>
  </si>
  <si>
    <t>ViennaInternationalGroup</t>
  </si>
  <si>
    <t>ThePianoPlaceMichigan</t>
  </si>
  <si>
    <t>ncalightingsolutionsinc</t>
  </si>
  <si>
    <t>Method:FieldServices for QBD</t>
  </si>
  <si>
    <t>visualconceptslightinginc</t>
  </si>
  <si>
    <t>marylandscreens2</t>
  </si>
  <si>
    <t>hgstrashremoval</t>
  </si>
  <si>
    <t>madscienceofmilwaukeeinc2inspire</t>
  </si>
  <si>
    <t>advanceddatasolutions2</t>
  </si>
  <si>
    <t>cmitsolutionsofstamford</t>
  </si>
  <si>
    <t>firstmedicalinternationalcorp2</t>
  </si>
  <si>
    <t>makmechanical</t>
  </si>
  <si>
    <t>madscienceofchicagosuburbs</t>
  </si>
  <si>
    <t>capitalcityawning3</t>
  </si>
  <si>
    <t>premiumair</t>
  </si>
  <si>
    <t>mybutlerswfl</t>
  </si>
  <si>
    <t>futurebuildingnursingprepcenterinc</t>
  </si>
  <si>
    <t>arrowconservation2</t>
  </si>
  <si>
    <t>progressivedairysystemsllc</t>
  </si>
  <si>
    <t>indianaresidential2</t>
  </si>
  <si>
    <t>nugentjewelry</t>
  </si>
  <si>
    <t>dtcshycat1</t>
  </si>
  <si>
    <t>nexthomedisasterrelieffoundationc01</t>
  </si>
  <si>
    <t>desertvalley</t>
  </si>
  <si>
    <t>begoodstudios</t>
  </si>
  <si>
    <t>swinarskiandcompany</t>
  </si>
  <si>
    <t>universalpowerconversion</t>
  </si>
  <si>
    <t>mastersaddles</t>
  </si>
  <si>
    <t>Net Result</t>
  </si>
  <si>
    <t>jcconsultinggroup2</t>
  </si>
  <si>
    <t>centricityvisioninc3</t>
  </si>
  <si>
    <t>jsbdesignsco</t>
  </si>
  <si>
    <t>pinnacleindustrialsupply</t>
  </si>
  <si>
    <t>utahmountainadventures</t>
  </si>
  <si>
    <t>intothegardenlandscapingservices</t>
  </si>
  <si>
    <t>lakedogoconee</t>
  </si>
  <si>
    <t>alldaycpagroup</t>
  </si>
  <si>
    <t>viederaenterprisesinc</t>
  </si>
  <si>
    <t>legacyheattreatment</t>
  </si>
  <si>
    <t>fmpublicationsltd</t>
  </si>
  <si>
    <t>italinteriorslimited</t>
  </si>
  <si>
    <t>GGFPhoenixEastValley</t>
  </si>
  <si>
    <t>formationqb2</t>
  </si>
  <si>
    <t>furnitureprocorp</t>
  </si>
  <si>
    <t>thehousewatchers</t>
  </si>
  <si>
    <t>fosterlakeandpondmanagement</t>
  </si>
  <si>
    <t>trioniccorp2</t>
  </si>
  <si>
    <t>grogreenlawncareinc2</t>
  </si>
  <si>
    <t>lighthousehrsupport</t>
  </si>
  <si>
    <t>csmproductsinc</t>
  </si>
  <si>
    <t>visithoodriver</t>
  </si>
  <si>
    <t>qbtrainingexpertsltd</t>
  </si>
  <si>
    <t>ethosnetworksystems</t>
  </si>
  <si>
    <t>vtechnicaltextiles</t>
  </si>
  <si>
    <t>coastalmediasolutions</t>
  </si>
  <si>
    <t>safaribeltingsystemsinc</t>
  </si>
  <si>
    <t>lubesquadny</t>
  </si>
  <si>
    <t>royceenterprisesllc2</t>
  </si>
  <si>
    <t>crslaboratories</t>
  </si>
  <si>
    <t>emberdefensellc</t>
  </si>
  <si>
    <t>greatlakes</t>
  </si>
  <si>
    <t>morethanblinds</t>
  </si>
  <si>
    <t>cpffloorsllc</t>
  </si>
  <si>
    <t>ameritechfacilitysupplyllc</t>
  </si>
  <si>
    <t>connectdirectinc</t>
  </si>
  <si>
    <t>wholelogreclaimed3</t>
  </si>
  <si>
    <t>lancoacquisitionllc</t>
  </si>
  <si>
    <t>battlesystemsltd</t>
  </si>
  <si>
    <t>BestDesigns</t>
  </si>
  <si>
    <t>gracebridgeallianceinc2</t>
  </si>
  <si>
    <t>willtowingroupinc</t>
  </si>
  <si>
    <t>zoleantllc</t>
  </si>
  <si>
    <t>swissmadebrandsusa2</t>
  </si>
  <si>
    <t>prestigeislandexports</t>
  </si>
  <si>
    <t>condowatch</t>
  </si>
  <si>
    <t>BereahFarms</t>
  </si>
  <si>
    <t>happyhw2</t>
  </si>
  <si>
    <t>changingcourseproductionsinc</t>
  </si>
  <si>
    <t>bookedauthorsllc</t>
  </si>
  <si>
    <t>greatlocationsinc</t>
  </si>
  <si>
    <t>HMCA</t>
  </si>
  <si>
    <t>bluepoint</t>
  </si>
  <si>
    <t>USAAdoredBeast</t>
  </si>
  <si>
    <t>mindcloud2</t>
  </si>
  <si>
    <t>vortexsurgical</t>
  </si>
  <si>
    <t>rlhindustriesinc2</t>
  </si>
  <si>
    <t>lampnutra2</t>
  </si>
  <si>
    <t>machamersteamwrightsllc</t>
  </si>
  <si>
    <t>academicenrichmentmadscienceofdetroit</t>
  </si>
  <si>
    <t>folkpittsburgh</t>
  </si>
  <si>
    <t>bbuservicesofwv2</t>
  </si>
  <si>
    <t>eliteelectric</t>
  </si>
  <si>
    <t>GLOUTERIORS</t>
  </si>
  <si>
    <t>huetherheatingandcooling3</t>
  </si>
  <si>
    <t>sixdtconseil2</t>
  </si>
  <si>
    <t>waltersmusicstudio</t>
  </si>
  <si>
    <t>cmsrlt</t>
  </si>
  <si>
    <t>vasteksolutionsinc</t>
  </si>
  <si>
    <t>renuesystems2</t>
  </si>
  <si>
    <t>lillipadmarine2</t>
  </si>
  <si>
    <t>cashionfishingrods2</t>
  </si>
  <si>
    <t>inspiredsciencesllc</t>
  </si>
  <si>
    <t>hwwhidbey</t>
  </si>
  <si>
    <t>psfood</t>
  </si>
  <si>
    <t>djsdigitalllc</t>
  </si>
  <si>
    <t>telemaxxltd</t>
  </si>
  <si>
    <t>refineusa</t>
  </si>
  <si>
    <t>privatelinc2</t>
  </si>
  <si>
    <t>maplewoodbusinesspartners</t>
  </si>
  <si>
    <t>rehasenseukltd</t>
  </si>
  <si>
    <t>tollfamily</t>
  </si>
  <si>
    <t>pavemasterpavinginc2</t>
  </si>
  <si>
    <t>landmarkprinting</t>
  </si>
  <si>
    <t>friendsofodyssey</t>
  </si>
  <si>
    <t>domaindirectoryllc2</t>
  </si>
  <si>
    <t>az</t>
  </si>
  <si>
    <t>standardvisionllc2restore20250815</t>
  </si>
  <si>
    <t>Rebecca Dyer Cpa</t>
  </si>
  <si>
    <t>standardvisionllc2</t>
  </si>
  <si>
    <t>ppcindustries1</t>
  </si>
  <si>
    <t>refexpertsandhvacllc</t>
  </si>
  <si>
    <t>perine2</t>
  </si>
  <si>
    <t>goodchemistry</t>
  </si>
  <si>
    <t>iko</t>
  </si>
  <si>
    <t>getsalesinc</t>
  </si>
  <si>
    <t>worldsecurityandelectric</t>
  </si>
  <si>
    <t>worldsecurityandelectricrestore20260313</t>
  </si>
  <si>
    <t>hwmadison</t>
  </si>
  <si>
    <t>ibixsurfacetechnologies</t>
  </si>
  <si>
    <t>access2mobilityinc</t>
  </si>
  <si>
    <t>djsdigitalllc2</t>
  </si>
  <si>
    <t>ambliftinc2</t>
  </si>
  <si>
    <t>Kustom Kartel</t>
  </si>
  <si>
    <t>innovativemicrosystemsconsultinginc3</t>
  </si>
  <si>
    <t>upcarepartnersandassociates</t>
  </si>
  <si>
    <t>colorantic</t>
  </si>
  <si>
    <t>thedesignconcierge3</t>
  </si>
  <si>
    <t>animalhospitalsupplyinc2</t>
  </si>
  <si>
    <t>brownsmillingsupply</t>
  </si>
  <si>
    <t>mindsinmotioninc</t>
  </si>
  <si>
    <t>digitalvideogroup2</t>
  </si>
  <si>
    <t>tuffeventsllc</t>
  </si>
  <si>
    <t>connectcriticalinfrastructuresolutionslimi</t>
  </si>
  <si>
    <t>southerncartridges</t>
  </si>
  <si>
    <t>impladentltd</t>
  </si>
  <si>
    <t>biotecitaliauk5</t>
  </si>
  <si>
    <t>synergyengineering</t>
  </si>
  <si>
    <t>accredited2</t>
  </si>
  <si>
    <t>nomipackaging2</t>
  </si>
  <si>
    <t>SignpostUSA</t>
  </si>
  <si>
    <t>ruggedcrossranchministries</t>
  </si>
  <si>
    <t>deserthaushomewatchservices</t>
  </si>
  <si>
    <t>elitehomewatchers</t>
  </si>
  <si>
    <t>bluebirdgrainfarms2</t>
  </si>
  <si>
    <t>delectabledemos</t>
  </si>
  <si>
    <t>streamtechsolutions</t>
  </si>
  <si>
    <t>amjaysoftwaresolutionsinc</t>
  </si>
  <si>
    <t>aboveandbeyondtreeservicellc</t>
  </si>
  <si>
    <t>mobilitycityofbocaraton</t>
  </si>
  <si>
    <t>Mobility City Franchises</t>
  </si>
  <si>
    <t>vjgraphics</t>
  </si>
  <si>
    <t>centrallibertyproperties</t>
  </si>
  <si>
    <t>fluidfocusllc</t>
  </si>
  <si>
    <t>hydeparkpartners</t>
  </si>
  <si>
    <t>mizrachi</t>
  </si>
  <si>
    <t>legendarygroupinc</t>
  </si>
  <si>
    <t>olympusequipment</t>
  </si>
  <si>
    <t>nozzteqinc</t>
  </si>
  <si>
    <t>derwasofwelshpoolltd2</t>
  </si>
  <si>
    <t>logogolfchipsinc</t>
  </si>
  <si>
    <t>heritagesheds</t>
  </si>
  <si>
    <t>balzenbookkeeping</t>
  </si>
  <si>
    <t>jonathanslandingpropertymanagement</t>
  </si>
  <si>
    <t>capecodretractable2</t>
  </si>
  <si>
    <t>umjca</t>
  </si>
  <si>
    <t>premierhomewatchandconcierge</t>
  </si>
  <si>
    <t>mayfairtreecareltd</t>
  </si>
  <si>
    <t>paygration</t>
  </si>
  <si>
    <t>durabikelocker</t>
  </si>
  <si>
    <t>richcompower</t>
  </si>
  <si>
    <t>americanactionforum</t>
  </si>
  <si>
    <t>mdellc</t>
  </si>
  <si>
    <t>foranrealty</t>
  </si>
  <si>
    <t>totalsafety</t>
  </si>
  <si>
    <t>swannew</t>
  </si>
  <si>
    <t>qas3</t>
  </si>
  <si>
    <t>marispropertymgmt</t>
  </si>
  <si>
    <t>cabacpas</t>
  </si>
  <si>
    <t>Method:CRM for Xero</t>
  </si>
  <si>
    <t>barcasconsulting</t>
  </si>
  <si>
    <t>carolinacoastalgasandcontractingllc</t>
  </si>
  <si>
    <t>NorthWPianos</t>
  </si>
  <si>
    <t>bucklandscaping</t>
  </si>
  <si>
    <t>1Gnite</t>
  </si>
  <si>
    <t>breakertechnologyamericallc</t>
  </si>
  <si>
    <t>andreatchoquettecocom</t>
  </si>
  <si>
    <t>gopowertrain2</t>
  </si>
  <si>
    <t>caandgfinanceandaccountancy</t>
  </si>
  <si>
    <t>jacktoursandtravelservicenv</t>
  </si>
  <si>
    <t>igotaguy</t>
  </si>
  <si>
    <t>SouthwestFL</t>
  </si>
  <si>
    <t>bizsolve2</t>
  </si>
  <si>
    <t>hsabearings</t>
  </si>
  <si>
    <t>bktmp</t>
  </si>
  <si>
    <t>OZOPENGINEERINGANDDESIGNINC</t>
  </si>
  <si>
    <t>profwhytekratom</t>
  </si>
  <si>
    <t>adpaintingandrenovationsinc</t>
  </si>
  <si>
    <t>prioritypublicsafetyllc</t>
  </si>
  <si>
    <t>Method:FieldServices for QBO</t>
  </si>
  <si>
    <t>rivalbranding</t>
  </si>
  <si>
    <t>maconstructiongroup</t>
  </si>
  <si>
    <t>EdinburgTexas</t>
  </si>
  <si>
    <t>ElkridgeMaryland</t>
  </si>
  <si>
    <t>OklahomaCityOklahoma</t>
  </si>
  <si>
    <t>HoustonTexas</t>
  </si>
  <si>
    <t>StLouisMissouri</t>
  </si>
  <si>
    <t>DearbornMichigan</t>
  </si>
  <si>
    <t>AlexandriaVirginia</t>
  </si>
  <si>
    <t>SarasotaFlorida</t>
  </si>
  <si>
    <t>OverlandParkKansas</t>
  </si>
  <si>
    <t>AustinTexas</t>
  </si>
  <si>
    <t>GraysLakeIllinois</t>
  </si>
  <si>
    <t>ConroeTexas</t>
  </si>
  <si>
    <t>NewOrleansLouisiana</t>
  </si>
  <si>
    <t>MissouriCityTexas</t>
  </si>
  <si>
    <t>PhoenixArizona</t>
  </si>
  <si>
    <t>HamptonRoadsVirginia</t>
  </si>
  <si>
    <t>microchemlaboratoryllc</t>
  </si>
  <si>
    <t>perfectlypurepools3</t>
  </si>
  <si>
    <t>patchmanagementinc</t>
  </si>
  <si>
    <t>impulseradarusainc</t>
  </si>
  <si>
    <t>bantonengineering</t>
  </si>
  <si>
    <t>oregonrestorationco</t>
  </si>
  <si>
    <t>jerseyshorehomewatch</t>
  </si>
  <si>
    <t>cwfame</t>
  </si>
  <si>
    <t>desertarc2</t>
  </si>
  <si>
    <t>kustomkartel</t>
  </si>
  <si>
    <t>jtrefrigerationserviceslimited</t>
  </si>
  <si>
    <t>eqlocktest</t>
  </si>
  <si>
    <t>seedsofhope2</t>
  </si>
  <si>
    <t>summitmillinginc</t>
  </si>
  <si>
    <t>southwestpestmgmt</t>
  </si>
  <si>
    <t>MobilityCityofFortWorth</t>
  </si>
  <si>
    <t>berniekeimcpaprofessionalcorpooration</t>
  </si>
  <si>
    <t>sfrinc2</t>
  </si>
  <si>
    <t>lawsondrayage</t>
  </si>
  <si>
    <t>camachocoffee</t>
  </si>
  <si>
    <t>salutedistributors</t>
  </si>
  <si>
    <t>babsonandcompany</t>
  </si>
  <si>
    <t>doneanddonehome2</t>
  </si>
  <si>
    <t>Bach To Basics, Inc</t>
  </si>
  <si>
    <t>propersyurp</t>
  </si>
  <si>
    <t>optimumvetsolutions</t>
  </si>
  <si>
    <t>aedeschristiholdingsincdbadubalbros</t>
  </si>
  <si>
    <t>maxinesniderinc</t>
  </si>
  <si>
    <t>westerndovetailinc2</t>
  </si>
  <si>
    <t>nationalwindowfilm</t>
  </si>
  <si>
    <t>doozlandllc</t>
  </si>
  <si>
    <t>liquidsandmoreinc</t>
  </si>
  <si>
    <t>universalfleetandtire</t>
  </si>
  <si>
    <t>cleanheatmtllc</t>
  </si>
  <si>
    <t>pipespy2</t>
  </si>
  <si>
    <t>calcert</t>
  </si>
  <si>
    <t>GarageLivingSaltLakeCity</t>
  </si>
  <si>
    <t>georgiastage</t>
  </si>
  <si>
    <t>comfortzonewindowtinting</t>
  </si>
  <si>
    <t>smsprecisiontech2</t>
  </si>
  <si>
    <t>bigislandpmc</t>
  </si>
  <si>
    <t>freedomrangerhatcheryinc</t>
  </si>
  <si>
    <t>infoforyoullcdbaarisawater2</t>
  </si>
  <si>
    <t>arczonecominc</t>
  </si>
  <si>
    <t>captureh2o</t>
  </si>
  <si>
    <t>redrhinoorphanageproject</t>
  </si>
  <si>
    <t>adventtelecominc3</t>
  </si>
  <si>
    <t>StricklandsMyrtleBeach</t>
  </si>
  <si>
    <t>cathxmedicalinc2</t>
  </si>
  <si>
    <t>uniquegardensandlandscapes</t>
  </si>
  <si>
    <t>athensareahomelessshelter</t>
  </si>
  <si>
    <t>roadrunner2</t>
  </si>
  <si>
    <t>hardscapecontractors</t>
  </si>
  <si>
    <t>imperialprivacysystemsllc</t>
  </si>
  <si>
    <t>elan</t>
  </si>
  <si>
    <t>penacargoexpress3</t>
  </si>
  <si>
    <t>whclenterprises2</t>
  </si>
  <si>
    <t>kandbfloorcoveringllc</t>
  </si>
  <si>
    <t>jonathaneribockinc</t>
  </si>
  <si>
    <t>sourcelab</t>
  </si>
  <si>
    <t>roadrunnershopsupplies</t>
  </si>
  <si>
    <t>mostotech4</t>
  </si>
  <si>
    <t>simpleliving</t>
  </si>
  <si>
    <t>irrigaid</t>
  </si>
  <si>
    <t>brpmett02</t>
  </si>
  <si>
    <t>valleygreenfoods</t>
  </si>
  <si>
    <t>craftcanningandprinting</t>
  </si>
  <si>
    <t>garagefloors1day</t>
  </si>
  <si>
    <t>theislandcompany</t>
  </si>
  <si>
    <t>bignotemusic</t>
  </si>
  <si>
    <t>Direct Pay Systems</t>
  </si>
  <si>
    <t>restaurantequipmentservicellc</t>
  </si>
  <si>
    <t>legitfiguresdemo</t>
  </si>
  <si>
    <t>psg2</t>
  </si>
  <si>
    <t>simplygreenrecyclinginc</t>
  </si>
  <si>
    <t>redeagleplumbingllc</t>
  </si>
  <si>
    <t>pacificstandardenvironmentalinc</t>
  </si>
  <si>
    <t>accountabilityconsulting</t>
  </si>
  <si>
    <t>zokos</t>
  </si>
  <si>
    <t>diwhheating</t>
  </si>
  <si>
    <t>fmhomewatch3</t>
  </si>
  <si>
    <t>privatelabelsupport</t>
  </si>
  <si>
    <t>datatekltd</t>
  </si>
  <si>
    <t>rpssewerservicesllc</t>
  </si>
  <si>
    <t>theattachmentcompanyllc</t>
  </si>
  <si>
    <t>sigmaalphaepsilon2</t>
  </si>
  <si>
    <t>whiteglovesmovingandinstallationinc2</t>
  </si>
  <si>
    <t>Method Customization</t>
  </si>
  <si>
    <t>StPeteClearWaterFL</t>
  </si>
  <si>
    <t>thewindowguild</t>
  </si>
  <si>
    <t>sternbildinc</t>
  </si>
  <si>
    <t>waterfrontsolutions</t>
  </si>
  <si>
    <t>walicom</t>
  </si>
  <si>
    <t>southernmaryland</t>
  </si>
  <si>
    <t>sandrpoolsllc</t>
  </si>
  <si>
    <t>dare2dance</t>
  </si>
  <si>
    <t>Down 2 The Penny Small Business Solutions</t>
  </si>
  <si>
    <t>kingoillubricantsllc</t>
  </si>
  <si>
    <t>aflagandflagpole</t>
  </si>
  <si>
    <t>kcma</t>
  </si>
  <si>
    <t>makdaddycarts</t>
  </si>
  <si>
    <t>orbograph</t>
  </si>
  <si>
    <t>sfchocolate2</t>
  </si>
  <si>
    <t>CEO Services</t>
  </si>
  <si>
    <t>gustinhydraulicsinc</t>
  </si>
  <si>
    <t>balancedbusinessservicesllc</t>
  </si>
  <si>
    <t>summersstreet</t>
  </si>
  <si>
    <t>designheatingandairconditioninginc</t>
  </si>
  <si>
    <t>John Sandy and Associates Co</t>
  </si>
  <si>
    <t>astormedialimited</t>
  </si>
  <si>
    <t>phikappatau2</t>
  </si>
  <si>
    <t>caroltechnologies</t>
  </si>
  <si>
    <t>down2thepennysmallbusinesssolutions</t>
  </si>
  <si>
    <t>mobilitycityoflasvegas</t>
  </si>
  <si>
    <t>johnmarksre2</t>
  </si>
  <si>
    <t>carolinacompactorrepair</t>
  </si>
  <si>
    <t>thelighthouseinstallationllc</t>
  </si>
  <si>
    <t>mekongmultiply</t>
  </si>
  <si>
    <t>sakeenahcoltd</t>
  </si>
  <si>
    <t>GutterSolutionsKM</t>
  </si>
  <si>
    <t>dolifeattached3</t>
  </si>
  <si>
    <t>hccigarsdaytonallc2</t>
  </si>
  <si>
    <t>paladinpower2</t>
  </si>
  <si>
    <t>aallsiteelectric</t>
  </si>
  <si>
    <t>desertarccrm</t>
  </si>
  <si>
    <t>psbassociateaccountingtaxservices</t>
  </si>
  <si>
    <t>carefreehomewatch2</t>
  </si>
  <si>
    <t>pedalo</t>
  </si>
  <si>
    <t>wolfeboroboatcompany</t>
  </si>
  <si>
    <t>gayneslabsinc</t>
  </si>
  <si>
    <t>homewatchservicesplus2</t>
  </si>
  <si>
    <t>coramdeoacademy</t>
  </si>
  <si>
    <t>farmxs</t>
  </si>
  <si>
    <t>east495</t>
  </si>
  <si>
    <t>crittercatchersinc</t>
  </si>
  <si>
    <t>brokenoakdistillingco2</t>
  </si>
  <si>
    <t>cabinetcornerllc</t>
  </si>
  <si>
    <t>cornerstonerestorationllc2</t>
  </si>
  <si>
    <t>sierraloghomes</t>
  </si>
  <si>
    <t>breeztruckingservicesllc</t>
  </si>
  <si>
    <t>botanaway</t>
  </si>
  <si>
    <t>michaelorourkeproductionsinc</t>
  </si>
  <si>
    <t>weinstallcamerasnet2</t>
  </si>
  <si>
    <t>accuratehomewatch2</t>
  </si>
  <si>
    <t>uvwatersystemsptyltd</t>
  </si>
  <si>
    <t>jouffreinc2</t>
  </si>
  <si>
    <t>megaelevatorparts2</t>
  </si>
  <si>
    <t>zetabetatau</t>
  </si>
  <si>
    <t>eknotecservices</t>
  </si>
  <si>
    <t>eknotecdemo</t>
  </si>
  <si>
    <t>wa</t>
  </si>
  <si>
    <t>auxiumsystemsinc2</t>
  </si>
  <si>
    <t>thewristbandcompany</t>
  </si>
  <si>
    <t>mobilitycityofomaha</t>
  </si>
  <si>
    <t>elitehomemanagement</t>
  </si>
  <si>
    <t>fivepointsag</t>
  </si>
  <si>
    <t>repssinc</t>
  </si>
  <si>
    <t>nellcote</t>
  </si>
  <si>
    <t>premierpropertysolutionsinc</t>
  </si>
  <si>
    <t>mobilitycityofidaho</t>
  </si>
  <si>
    <t>lionoutdoor</t>
  </si>
  <si>
    <t>bodegatile</t>
  </si>
  <si>
    <t>GGFSanAntonio</t>
  </si>
  <si>
    <t>ringlerlandscapedesignco</t>
  </si>
  <si>
    <t>nationalkitchensbathsandmore1</t>
  </si>
  <si>
    <t>internationalcertificationandreciprocityco</t>
  </si>
  <si>
    <t>arbourdale</t>
  </si>
  <si>
    <t>coastalpropertyrepair2</t>
  </si>
  <si>
    <t>mobilitycityofnorthtexas</t>
  </si>
  <si>
    <t>bridgingtech</t>
  </si>
  <si>
    <t>gxconnectptyltdtagaprocmedia2</t>
  </si>
  <si>
    <t>txhillcountryconcierge</t>
  </si>
  <si>
    <t>gazconfort</t>
  </si>
  <si>
    <t>scanics</t>
  </si>
  <si>
    <t>dynamicdoorsolutionsltd</t>
  </si>
  <si>
    <t>procurementequipment</t>
  </si>
  <si>
    <t>dentalocator</t>
  </si>
  <si>
    <t>cloudonmelimited</t>
  </si>
  <si>
    <t>dolphinheatexchangerusa</t>
  </si>
  <si>
    <t>propestmen</t>
  </si>
  <si>
    <t>bakerhookerandassociates</t>
  </si>
  <si>
    <t>unicellsupply2</t>
  </si>
  <si>
    <t>airwavecommunicationdept1</t>
  </si>
  <si>
    <t>chargesmartevllc</t>
  </si>
  <si>
    <t>sdsautomation</t>
  </si>
  <si>
    <t>shieldstaxandcpa</t>
  </si>
  <si>
    <t>wilsontoellnercpa</t>
  </si>
  <si>
    <t>worldpettravelusa</t>
  </si>
  <si>
    <t>vsimple</t>
  </si>
  <si>
    <t>shieldstaxandcpa2</t>
  </si>
  <si>
    <t>longislandnurseryandlandscapeassoc</t>
  </si>
  <si>
    <t>whispervalley2</t>
  </si>
  <si>
    <t>netzerousa2</t>
  </si>
  <si>
    <t>allwindowanddoorservices</t>
  </si>
  <si>
    <t>goldenrulehomewatchandconcierge</t>
  </si>
  <si>
    <t>multiseal2</t>
  </si>
  <si>
    <t>ecowerks</t>
  </si>
  <si>
    <t>stewardshipresources</t>
  </si>
  <si>
    <t>firstmatehomewatch</t>
  </si>
  <si>
    <t>revista</t>
  </si>
  <si>
    <t>csiestrie2</t>
  </si>
  <si>
    <t>preferredcoinexchange</t>
  </si>
  <si>
    <t>checkmyhome</t>
  </si>
  <si>
    <t>mobilitycityoflakeland</t>
  </si>
  <si>
    <t>recoverylogisticsservicesinc2</t>
  </si>
  <si>
    <t>coastaltransfers</t>
  </si>
  <si>
    <t>monify2</t>
  </si>
  <si>
    <t>sarasotahomewatch</t>
  </si>
  <si>
    <t>maplevalley</t>
  </si>
  <si>
    <t>maineneedhams</t>
  </si>
  <si>
    <t>completeelectricalsolutions</t>
  </si>
  <si>
    <t>thealbertgroup</t>
  </si>
  <si>
    <t>printicsdemoaccount</t>
  </si>
  <si>
    <t>preceptor</t>
  </si>
  <si>
    <t>humboticsautomationllc</t>
  </si>
  <si>
    <t>northamericamattresscorp</t>
  </si>
  <si>
    <t>homewatcherlv</t>
  </si>
  <si>
    <t>permarkbadges2</t>
  </si>
  <si>
    <t>Printics Inc</t>
  </si>
  <si>
    <t>hihtechnologies2</t>
  </si>
  <si>
    <t>holdit</t>
  </si>
  <si>
    <t>prosecurefzco</t>
  </si>
  <si>
    <t>southwesternpts</t>
  </si>
  <si>
    <t>preferredbathinc</t>
  </si>
  <si>
    <t>cacompenv</t>
  </si>
  <si>
    <t>zoleantfeedceuticalsbv</t>
  </si>
  <si>
    <t>clearconnections</t>
  </si>
  <si>
    <t>sunnyskieshomewatch</t>
  </si>
  <si>
    <t>apavsolutionsinc</t>
  </si>
  <si>
    <t>royceenterprisesllc</t>
  </si>
  <si>
    <t>biancoplbgandhtginc</t>
  </si>
  <si>
    <t>veteransassociationfoodbank</t>
  </si>
  <si>
    <t>test75</t>
  </si>
  <si>
    <t>fitnessandexercisesolutions3</t>
  </si>
  <si>
    <t>edaccountingandmanagement</t>
  </si>
  <si>
    <t>stairsolution</t>
  </si>
  <si>
    <t>precisionadvising</t>
  </si>
  <si>
    <t>irisfinancialgroup</t>
  </si>
  <si>
    <t>fivehundredandfivethousandsixhundredandtwe</t>
  </si>
  <si>
    <t>silvertecmfginc2</t>
  </si>
  <si>
    <t>glfast4</t>
  </si>
  <si>
    <t>scappman</t>
  </si>
  <si>
    <t>traxandmore</t>
  </si>
  <si>
    <t>closeuphomewatch</t>
  </si>
  <si>
    <t>annandaleelectricalservicesltd</t>
  </si>
  <si>
    <t>signpoststudio</t>
  </si>
  <si>
    <t>safehandsystemsllc</t>
  </si>
  <si>
    <t>theschoolsofoasischristianacademy</t>
  </si>
  <si>
    <t>sunshinellc2023</t>
  </si>
  <si>
    <t>nexttechnologysystems</t>
  </si>
  <si>
    <t>searchkingllc</t>
  </si>
  <si>
    <t>lockandleavehomewatch</t>
  </si>
  <si>
    <t>here4youhomewatch</t>
  </si>
  <si>
    <t>brandowconsultingqbo</t>
  </si>
  <si>
    <t>halamotors</t>
  </si>
  <si>
    <t>nwdisplays</t>
  </si>
  <si>
    <t>airfiltersales</t>
  </si>
  <si>
    <t>advancedairleakdetectionservicesinc2</t>
  </si>
  <si>
    <t>fcinnovations</t>
  </si>
  <si>
    <t>rhinoskintoughusainc</t>
  </si>
  <si>
    <t>surfaceteccorp3</t>
  </si>
  <si>
    <t>firesafetyservicesinc2</t>
  </si>
  <si>
    <t>eshhardwareandfarmsupplyllc2</t>
  </si>
  <si>
    <t>thegreenor</t>
  </si>
  <si>
    <t>precisionequipmentsystemsllc</t>
  </si>
  <si>
    <t>jefffisherinc2</t>
  </si>
  <si>
    <t>victorcastilloincdbatortilleriatemecula</t>
  </si>
  <si>
    <t>customindustrialservicesllc</t>
  </si>
  <si>
    <t>alfcchamberfoundation</t>
  </si>
  <si>
    <t>mobilitycityofgreaterdenver</t>
  </si>
  <si>
    <t>prophecysimplifiedinc</t>
  </si>
  <si>
    <t>sparrowfreedomproject</t>
  </si>
  <si>
    <t>kendellseafood2</t>
  </si>
  <si>
    <t>hw3palms</t>
  </si>
  <si>
    <t>robinsonsrefuse</t>
  </si>
  <si>
    <t>icb</t>
  </si>
  <si>
    <t>cdmcanada4</t>
  </si>
  <si>
    <t>thebookkeepingxpertsllc</t>
  </si>
  <si>
    <t>shercomindustries3</t>
  </si>
  <si>
    <t>amssoftware</t>
  </si>
  <si>
    <t>sandbaradvisors</t>
  </si>
  <si>
    <t>flautoequipment</t>
  </si>
  <si>
    <t>highriserestoration</t>
  </si>
  <si>
    <t>fibonaccillc</t>
  </si>
  <si>
    <t>marylanddecking3</t>
  </si>
  <si>
    <t>endlessfunllc</t>
  </si>
  <si>
    <t>biotradingdmcc</t>
  </si>
  <si>
    <t>fiveatheart</t>
  </si>
  <si>
    <t>hylconsultingandsolutions</t>
  </si>
  <si>
    <t>countryhomecreations</t>
  </si>
  <si>
    <t>actionlighting</t>
  </si>
  <si>
    <t>hblglobalpte</t>
  </si>
  <si>
    <t>majesticturboofdallas2</t>
  </si>
  <si>
    <t>infinitimedia</t>
  </si>
  <si>
    <t>sawsolutionsinc</t>
  </si>
  <si>
    <t>retrocraft</t>
  </si>
  <si>
    <t>hydraxissolutions</t>
  </si>
  <si>
    <t>saasphalt23</t>
  </si>
  <si>
    <t>antaressaddle</t>
  </si>
  <si>
    <t>unlimitedconcrete</t>
  </si>
  <si>
    <t>detonategroupinc2</t>
  </si>
  <si>
    <t>technicalservicesgroupinc</t>
  </si>
  <si>
    <t>ontariometalproducts3</t>
  </si>
  <si>
    <t>sterlinghardwareltd</t>
  </si>
  <si>
    <t>simplicitymarketingscotlandltd</t>
  </si>
  <si>
    <t>smuckerpelleting</t>
  </si>
  <si>
    <t>mobilitycityofhiltonheadsouthcarolina</t>
  </si>
  <si>
    <t>thepaintersinc2</t>
  </si>
  <si>
    <t>lemacaronus</t>
  </si>
  <si>
    <t>buildappswithoutcodedemo7</t>
  </si>
  <si>
    <t>leddy</t>
  </si>
  <si>
    <t>lafittesseafood</t>
  </si>
  <si>
    <t>millibar</t>
  </si>
  <si>
    <t>annapolishomeconcierge</t>
  </si>
  <si>
    <t>smstechsolutionsllc</t>
  </si>
  <si>
    <t>utahdts</t>
  </si>
  <si>
    <t>mngragency</t>
  </si>
  <si>
    <t>seasontoseasonhorticulturalservices</t>
  </si>
  <si>
    <t>lumienlighting</t>
  </si>
  <si>
    <t>delmarvadesigncenter</t>
  </si>
  <si>
    <t>trixpestmanagement3</t>
  </si>
  <si>
    <t>Mngr Llc</t>
  </si>
  <si>
    <t>a2alogistics</t>
  </si>
  <si>
    <t>chinookfarminnovationsinc</t>
  </si>
  <si>
    <t>blueridgescreenproducts</t>
  </si>
  <si>
    <t>welshhottubs2</t>
  </si>
  <si>
    <t>seatify</t>
  </si>
  <si>
    <t>mountainhometlc</t>
  </si>
  <si>
    <t>iceworksbathco</t>
  </si>
  <si>
    <t>riendomarketinginc</t>
  </si>
  <si>
    <t>childhealthanddevelopmentinstituteinc</t>
  </si>
  <si>
    <t>stairliftsofsouthwestflorida</t>
  </si>
  <si>
    <t>alliedglassandmirrorllc</t>
  </si>
  <si>
    <t>noseyneighborhomewatch</t>
  </si>
  <si>
    <t>trimetstorage3</t>
  </si>
  <si>
    <t>hudsonvalleyhomewatch</t>
  </si>
  <si>
    <t>adkfragrancefarm</t>
  </si>
  <si>
    <t>oversizedmachineindustries</t>
  </si>
  <si>
    <t>foodsalive</t>
  </si>
  <si>
    <t>versatileus</t>
  </si>
  <si>
    <t>calcertcorporation</t>
  </si>
  <si>
    <t>siquesttechnologysdnbhd</t>
  </si>
  <si>
    <t>buildappswithoutcode</t>
  </si>
  <si>
    <t>GGFSarasota</t>
  </si>
  <si>
    <t>lonestarwater</t>
  </si>
  <si>
    <t>riderresidential</t>
  </si>
  <si>
    <t>marylandbiochemicalcompany</t>
  </si>
  <si>
    <t>synertree</t>
  </si>
  <si>
    <t>amandalynnglutenfree</t>
  </si>
  <si>
    <t>gunitepros</t>
  </si>
  <si>
    <t>prokennex2</t>
  </si>
  <si>
    <t>highpeakfirstaidtrainingltd</t>
  </si>
  <si>
    <t>thecolourblindmagician</t>
  </si>
  <si>
    <t>earthtechlandscapeinc2</t>
  </si>
  <si>
    <t>cypressengine</t>
  </si>
  <si>
    <t>pyranak</t>
  </si>
  <si>
    <t>commercialsupportsolutionsllc</t>
  </si>
  <si>
    <t>obrienproductions5</t>
  </si>
  <si>
    <t>beyonddetailedsolutions</t>
  </si>
  <si>
    <t>safeharborhomewatchnj</t>
  </si>
  <si>
    <t>guardianangel</t>
  </si>
  <si>
    <t>rojascigarsllc</t>
  </si>
  <si>
    <t>mobilitycityofspringfield</t>
  </si>
  <si>
    <t>riderresidentialmammoth</t>
  </si>
  <si>
    <t>rocklandhomewatchservices</t>
  </si>
  <si>
    <t>priestsrefrigerationinc</t>
  </si>
  <si>
    <t>wellmanexteriorsinc</t>
  </si>
  <si>
    <t>globalmechanicalltd</t>
  </si>
  <si>
    <t>vcssalesanddistribution</t>
  </si>
  <si>
    <t>hoabooksllc</t>
  </si>
  <si>
    <t>elysianlabsllc3</t>
  </si>
  <si>
    <t>maverickconcerts3</t>
  </si>
  <si>
    <t>selectdocksystemsllc</t>
  </si>
  <si>
    <t>mobbmountaindistillers</t>
  </si>
  <si>
    <t>axsiondigital</t>
  </si>
  <si>
    <t>mrpservicesllp2</t>
  </si>
  <si>
    <t>idahocdltraining</t>
  </si>
  <si>
    <t>kaossoftwearllc</t>
  </si>
  <si>
    <t>joethehomepro2</t>
  </si>
  <si>
    <t>thermolex</t>
  </si>
  <si>
    <t>westernfloors2</t>
  </si>
  <si>
    <t>GGFBostonMiddlesex</t>
  </si>
  <si>
    <t>cltguttergloveinc</t>
  </si>
  <si>
    <t>tripdrip</t>
  </si>
  <si>
    <t>renofixmaintenanceandfacilitiesmanagements</t>
  </si>
  <si>
    <t>kearfabrication</t>
  </si>
  <si>
    <t>docudavit4</t>
  </si>
  <si>
    <t>wpcdesign</t>
  </si>
  <si>
    <t>vintagemakesllc</t>
  </si>
  <si>
    <t>paysuite2</t>
  </si>
  <si>
    <t>wiseadvice</t>
  </si>
  <si>
    <t>fitec</t>
  </si>
  <si>
    <t>Marwan Dajani Business Solutions</t>
  </si>
  <si>
    <t>njsolutionsinc</t>
  </si>
  <si>
    <t>markezing</t>
  </si>
  <si>
    <t>cumsausa</t>
  </si>
  <si>
    <t>goodlifehomewatch</t>
  </si>
  <si>
    <t>ebasesolutions2</t>
  </si>
  <si>
    <t>b2bepartners</t>
  </si>
  <si>
    <t>aplpg3</t>
  </si>
  <si>
    <t>barriedriveway</t>
  </si>
  <si>
    <t>criterioncriticalsystems</t>
  </si>
  <si>
    <t>saveonlaser</t>
  </si>
  <si>
    <t>ntpaccurateaccounting</t>
  </si>
  <si>
    <t>smokinggoose2</t>
  </si>
  <si>
    <t>medspainstituteofamerica</t>
  </si>
  <si>
    <t>reinanbusinesssolutionsllc</t>
  </si>
  <si>
    <t>kgconcretellc</t>
  </si>
  <si>
    <t>greenesmarinellc</t>
  </si>
  <si>
    <t>thierrylasry2</t>
  </si>
  <si>
    <t>besafehomewatch</t>
  </si>
  <si>
    <t>getbold</t>
  </si>
  <si>
    <t>topsecretcustoms</t>
  </si>
  <si>
    <t>cggschmidt2</t>
  </si>
  <si>
    <t>vipsupplyco</t>
  </si>
  <si>
    <t>dpfxpress2</t>
  </si>
  <si>
    <t>mobexinc</t>
  </si>
  <si>
    <t>keenequipmentrepairltd</t>
  </si>
  <si>
    <t>brettspoolservicellc</t>
  </si>
  <si>
    <t>prairiegrainanalyzers2</t>
  </si>
  <si>
    <t>destiny2sport2</t>
  </si>
  <si>
    <t>modcribs2</t>
  </si>
  <si>
    <t>onetimebookkeeping</t>
  </si>
  <si>
    <t>otinc</t>
  </si>
  <si>
    <t>crownhomewatch</t>
  </si>
  <si>
    <t>dieselfuelmaintenanceinc</t>
  </si>
  <si>
    <t>phsislandsassociation</t>
  </si>
  <si>
    <t>uniquedesignsolutionsllc</t>
  </si>
  <si>
    <t>samkaramandsons</t>
  </si>
  <si>
    <t>nonstopdiamondsolutions</t>
  </si>
  <si>
    <t>jendatech</t>
  </si>
  <si>
    <t>adrianwilkins2</t>
  </si>
  <si>
    <t>crm2</t>
  </si>
  <si>
    <t>homesolutionproviders</t>
  </si>
  <si>
    <t>cabinetrx</t>
  </si>
  <si>
    <t>bramattcomputingltd</t>
  </si>
  <si>
    <t>beaconseed</t>
  </si>
  <si>
    <t>bandkmurphyplumbingheatingandcoolingllc</t>
  </si>
  <si>
    <t>californialongtermcarebilling</t>
  </si>
  <si>
    <t>bookmanelectricalservicesinc</t>
  </si>
  <si>
    <t>cnsystems</t>
  </si>
  <si>
    <t>cnbizsystems2</t>
  </si>
  <si>
    <t>ptmachinetool</t>
  </si>
  <si>
    <t>envisionacademy</t>
  </si>
  <si>
    <t>fluxstudios2</t>
  </si>
  <si>
    <t>overlandvehiclesystems2</t>
  </si>
  <si>
    <t>printmanager</t>
  </si>
  <si>
    <t>bmrmachinerepair</t>
  </si>
  <si>
    <t>steerintrailersales</t>
  </si>
  <si>
    <t>royalhomewatch</t>
  </si>
  <si>
    <t>specialtechnicalservicesinc</t>
  </si>
  <si>
    <t>mobilitycityofpbg</t>
  </si>
  <si>
    <t>mobilitycitycolumbusoh2</t>
  </si>
  <si>
    <t>kraftmed</t>
  </si>
  <si>
    <t>worldreachmissionsinc2</t>
  </si>
  <si>
    <t>terrazaspecialties</t>
  </si>
  <si>
    <t>GGFOcala</t>
  </si>
  <si>
    <t>gulfcoasthomewatch</t>
  </si>
  <si>
    <t>actinternational</t>
  </si>
  <si>
    <t>d2w</t>
  </si>
  <si>
    <t>chuckhafner</t>
  </si>
  <si>
    <t>oberlanderandco</t>
  </si>
  <si>
    <t>oprecycling</t>
  </si>
  <si>
    <t>thorntontaxandfinancialservices</t>
  </si>
  <si>
    <t>classicbuildingservicesinc</t>
  </si>
  <si>
    <t>farmtosummit</t>
  </si>
  <si>
    <t>resourcesiteservices</t>
  </si>
  <si>
    <t>monogramcabinetry</t>
  </si>
  <si>
    <t>kinetictoolsinc</t>
  </si>
  <si>
    <t>goodnessmedialimited</t>
  </si>
  <si>
    <t>trevibeverages</t>
  </si>
  <si>
    <t>hattrickdistributioninc</t>
  </si>
  <si>
    <t>invitaintelligence</t>
  </si>
  <si>
    <t>future1s</t>
  </si>
  <si>
    <t>solutionsimptcpa</t>
  </si>
  <si>
    <t>skinuva</t>
  </si>
  <si>
    <t>southwestenvirotxpartnersllc</t>
  </si>
  <si>
    <t>rawsolutionzlimited</t>
  </si>
  <si>
    <t>qualityflooring</t>
  </si>
  <si>
    <t>allstarwasteservicesllc</t>
  </si>
  <si>
    <t>spatialgenomics3</t>
  </si>
  <si>
    <t>rcswiftllc</t>
  </si>
  <si>
    <t>mobilitycityoflawrenceville</t>
  </si>
  <si>
    <t>amariesbathflowershop3</t>
  </si>
  <si>
    <t>cbsi</t>
  </si>
  <si>
    <t>ambessenterprisesinc3</t>
  </si>
  <si>
    <t>thomasleighlightingllc</t>
  </si>
  <si>
    <t>americanyachtagents</t>
  </si>
  <si>
    <t>The Alternative Board Of Ft. Lauderdale</t>
  </si>
  <si>
    <t>lesencres3</t>
  </si>
  <si>
    <t>abacusprimellcdbastxsolution</t>
  </si>
  <si>
    <t>kbhconsulting</t>
  </si>
  <si>
    <t>flowmeasurementservices</t>
  </si>
  <si>
    <t>windowtreat2</t>
  </si>
  <si>
    <t>orysa</t>
  </si>
  <si>
    <t>thefinancialintegritygroup</t>
  </si>
  <si>
    <t>c4buildingmaintenanceltd</t>
  </si>
  <si>
    <t>intelligentenergysystemsltdqboa</t>
  </si>
  <si>
    <t>nora</t>
  </si>
  <si>
    <t>halderinc</t>
  </si>
  <si>
    <t>okmag</t>
  </si>
  <si>
    <t>wktrincdbafloridadocks</t>
  </si>
  <si>
    <t>yorkscientific</t>
  </si>
  <si>
    <t>trigonimaging5</t>
  </si>
  <si>
    <t>cleaningnetworkofalbertainc</t>
  </si>
  <si>
    <t>okcmetroplexllc2</t>
  </si>
  <si>
    <t>fbfnorthamerica</t>
  </si>
  <si>
    <t>wtidistributioninc</t>
  </si>
  <si>
    <t>allenenviro</t>
  </si>
  <si>
    <t>greatnorthernfishcompanyincorporationdbano</t>
  </si>
  <si>
    <t>muleresophonicguitars</t>
  </si>
  <si>
    <t>cappadociarugsllc</t>
  </si>
  <si>
    <t>Aybatax Inc</t>
  </si>
  <si>
    <t>GGFSanFernandoValley</t>
  </si>
  <si>
    <t>crucibleag</t>
  </si>
  <si>
    <t>clearsig</t>
  </si>
  <si>
    <t>rowanconsulting</t>
  </si>
  <si>
    <t>southfieldmi</t>
  </si>
  <si>
    <t>mjsqtd2</t>
  </si>
  <si>
    <t>ftlenterprises</t>
  </si>
  <si>
    <t>knightnets</t>
  </si>
  <si>
    <t>amelandscape</t>
  </si>
  <si>
    <t>gostarproducts</t>
  </si>
  <si>
    <t>GGFAshvilleNC</t>
  </si>
  <si>
    <t>mobilitycityoforangecountyca</t>
  </si>
  <si>
    <t>accurateforklift3</t>
  </si>
  <si>
    <t>administrationsheriffltd</t>
  </si>
  <si>
    <t>redbrickfinancialpartners2</t>
  </si>
  <si>
    <t>fencetrac2</t>
  </si>
  <si>
    <t>hartlandinstituteofhealthandeducation</t>
  </si>
  <si>
    <t>transformation</t>
  </si>
  <si>
    <t>canada</t>
  </si>
  <si>
    <t>americanbackcountry</t>
  </si>
  <si>
    <t>jandlhomewatch</t>
  </si>
  <si>
    <t>buddyventuresinternationalltd2</t>
  </si>
  <si>
    <t>enzusainc</t>
  </si>
  <si>
    <t>solventdirect</t>
  </si>
  <si>
    <t>prionesource</t>
  </si>
  <si>
    <t>select1transportllc</t>
  </si>
  <si>
    <t>sres</t>
  </si>
  <si>
    <t>craftingclouds</t>
  </si>
  <si>
    <t>unitybusinesssense</t>
  </si>
  <si>
    <t>onwamarine2</t>
  </si>
  <si>
    <t>elitehomeprofessional</t>
  </si>
  <si>
    <t>unisongroup</t>
  </si>
  <si>
    <t>restaurantsystems</t>
  </si>
  <si>
    <t>baconmail</t>
  </si>
  <si>
    <t>eyesonsite</t>
  </si>
  <si>
    <t>ifsgroupusa</t>
  </si>
  <si>
    <t>jazzmninc2</t>
  </si>
  <si>
    <t>americanlithiumenergy2</t>
  </si>
  <si>
    <t>bestbookkeepingdecision</t>
  </si>
  <si>
    <t>etc3</t>
  </si>
  <si>
    <t>integriturf2</t>
  </si>
  <si>
    <t>bajareadymixllc</t>
  </si>
  <si>
    <t>allgoodhomewatch</t>
  </si>
  <si>
    <t>alphaoverheaddoorsllc3</t>
  </si>
  <si>
    <t>thibaultsequipmentservicesllc</t>
  </si>
  <si>
    <t>vectorranddinc</t>
  </si>
  <si>
    <t>Foundation Bi</t>
  </si>
  <si>
    <t>colonyroofing</t>
  </si>
  <si>
    <t>GGFCoastalCarolina</t>
  </si>
  <si>
    <t>waggzinc</t>
  </si>
  <si>
    <t>texasmetalcarports</t>
  </si>
  <si>
    <t>sportmedia</t>
  </si>
  <si>
    <t>customiserusltd</t>
  </si>
  <si>
    <t>duralinesystemsinc2</t>
  </si>
  <si>
    <t>coastalhomewatchllc</t>
  </si>
  <si>
    <t>eyeoftheheartcenterllc</t>
  </si>
  <si>
    <t>lifemark</t>
  </si>
  <si>
    <t>skybluepoolservice</t>
  </si>
  <si>
    <t>acheerfulgiver</t>
  </si>
  <si>
    <t>bigskyhomemanagement</t>
  </si>
  <si>
    <t>allenmemorialsllc</t>
  </si>
  <si>
    <t>jftgroup4</t>
  </si>
  <si>
    <t>unitedwayestevan</t>
  </si>
  <si>
    <t>homehawkllc</t>
  </si>
  <si>
    <t>techriver</t>
  </si>
  <si>
    <t>industrialhorsepowerplus</t>
  </si>
  <si>
    <t>joyolightgroupinc7</t>
  </si>
  <si>
    <t>creativegazebos</t>
  </si>
  <si>
    <t>hblindia</t>
  </si>
  <si>
    <t>royalwisesolutionsinc</t>
  </si>
  <si>
    <t>somsofttechnologiesllc</t>
  </si>
  <si>
    <t>circleofcaregivers</t>
  </si>
  <si>
    <t>ailanasurveyingandgeomatics</t>
  </si>
  <si>
    <t>americanaerospacecomponentsllc</t>
  </si>
  <si>
    <t>tempetrophy2</t>
  </si>
  <si>
    <t>saturnelectricalservices</t>
  </si>
  <si>
    <t>firstchoiceinstallationllc</t>
  </si>
  <si>
    <t>gallovichconsultingllc</t>
  </si>
  <si>
    <t>altatree</t>
  </si>
  <si>
    <t>drugandalcoholtestingassociates</t>
  </si>
  <si>
    <t>delphiniumconcierge</t>
  </si>
  <si>
    <t>elementalsheltersolutionsllc2</t>
  </si>
  <si>
    <t>cmoorellc</t>
  </si>
  <si>
    <t>jeffatthefoldingdoorstorecom</t>
  </si>
  <si>
    <t>passiontreeco</t>
  </si>
  <si>
    <t>GGFWestDallasUSA</t>
  </si>
  <si>
    <t>jafedecorating</t>
  </si>
  <si>
    <t>autorescuetools</t>
  </si>
  <si>
    <t>veteranhomeservices</t>
  </si>
  <si>
    <t>ronaldwebbbuilder</t>
  </si>
  <si>
    <t>QuickBooks</t>
  </si>
  <si>
    <t>higginsonconsultingltd</t>
  </si>
  <si>
    <t>patcert</t>
  </si>
  <si>
    <t>avongroup</t>
  </si>
  <si>
    <t>creativecurve</t>
  </si>
  <si>
    <t>litsoutheast</t>
  </si>
  <si>
    <t>brakinnovationsinc</t>
  </si>
  <si>
    <t>mxglobalcenter</t>
  </si>
  <si>
    <t>chimeraintegrationsllc</t>
  </si>
  <si>
    <t>lifelinerecoverycenter2</t>
  </si>
  <si>
    <t>spikeonsitesolutions</t>
  </si>
  <si>
    <t>topsecretcustomsandrestorations</t>
  </si>
  <si>
    <t>methodintegration2</t>
  </si>
  <si>
    <t>decastrosllc</t>
  </si>
  <si>
    <t>jerseyshoresunrisebakery2</t>
  </si>
  <si>
    <t>frostysquirrelcpa</t>
  </si>
  <si>
    <t>paintapplicators</t>
  </si>
  <si>
    <t>bmscentral</t>
  </si>
  <si>
    <t>pmpcsandbox</t>
  </si>
  <si>
    <t>mauinativenursery</t>
  </si>
  <si>
    <t>jdshouseoftrophies</t>
  </si>
  <si>
    <t>finelinecreativeartscenter</t>
  </si>
  <si>
    <t>pioneersourcingsolutionsllc</t>
  </si>
  <si>
    <t>marcatodirectlimited2</t>
  </si>
  <si>
    <t>totalfoodservice</t>
  </si>
  <si>
    <t>celebritycpr3</t>
  </si>
  <si>
    <t>dalmatianfireequipment</t>
  </si>
  <si>
    <t>nordexadvancedtechnologyinc</t>
  </si>
  <si>
    <t>JimStreet</t>
  </si>
  <si>
    <t>megaohmcommunicationsptyltd</t>
  </si>
  <si>
    <t>luxuryair</t>
  </si>
  <si>
    <t>wtti4</t>
  </si>
  <si>
    <t>hongkongmarket</t>
  </si>
  <si>
    <t>fullserviceagencygroup</t>
  </si>
  <si>
    <t>whiteherrinmetals</t>
  </si>
  <si>
    <t>eastcoastsportmarine3</t>
  </si>
  <si>
    <t>boutiqueampsdistribution</t>
  </si>
  <si>
    <t>a1ahomewatchandconciergeservices</t>
  </si>
  <si>
    <t>mobilitycityoflouisville</t>
  </si>
  <si>
    <t>smithcpasandassociates</t>
  </si>
  <si>
    <t>topdogparts</t>
  </si>
  <si>
    <t>relentlessrecoveryinc</t>
  </si>
  <si>
    <t>idlewoodwcid2</t>
  </si>
  <si>
    <t>cloud9av</t>
  </si>
  <si>
    <t>ippowerhouse</t>
  </si>
  <si>
    <t>xspotproducts</t>
  </si>
  <si>
    <t>justbusinessandtaxsolutions</t>
  </si>
  <si>
    <t>primodoors6</t>
  </si>
  <si>
    <t>multiresidentialsupplyltd</t>
  </si>
  <si>
    <t>transmetroninc3</t>
  </si>
  <si>
    <t>mytcoatcommercialoutdoorfurniture</t>
  </si>
  <si>
    <t>fishtnkinc</t>
  </si>
  <si>
    <t>smcbcazzahraa</t>
  </si>
  <si>
    <t>Acute Data Systems</t>
  </si>
  <si>
    <t>commfitness3</t>
  </si>
  <si>
    <t>homewatchofarizona2</t>
  </si>
  <si>
    <t>tandssalesinc</t>
  </si>
  <si>
    <t>casanapleshomewatch</t>
  </si>
  <si>
    <t>reflektech</t>
  </si>
  <si>
    <t>wearingwilliamsltd2</t>
  </si>
  <si>
    <t>toplinebev2</t>
  </si>
  <si>
    <t>comteksecuritysolutions</t>
  </si>
  <si>
    <t>pghorticulturelimited</t>
  </si>
  <si>
    <t>trendysurfaces</t>
  </si>
  <si>
    <t>thebridgeofstormlake</t>
  </si>
  <si>
    <t>limbbusterllc</t>
  </si>
  <si>
    <t>westchester</t>
  </si>
  <si>
    <t>goldnerdockconstruction</t>
  </si>
  <si>
    <t>tdmmiddleeast2</t>
  </si>
  <si>
    <t>jemmcollc</t>
  </si>
  <si>
    <t>gibbonsfiberglass</t>
  </si>
  <si>
    <t>acuityadvantage2</t>
  </si>
  <si>
    <t>nationalfiltersupply</t>
  </si>
  <si>
    <t>sunriseindustrialcleanersinc</t>
  </si>
  <si>
    <t>vettedventures</t>
  </si>
  <si>
    <t>thewayhouses2</t>
  </si>
  <si>
    <t>biitconsulting</t>
  </si>
  <si>
    <t>atlanticindustrialcorp</t>
  </si>
  <si>
    <t>sdelevatorlifts</t>
  </si>
  <si>
    <t>studio11</t>
  </si>
  <si>
    <t>championproducts2</t>
  </si>
  <si>
    <t>kitassociates</t>
  </si>
  <si>
    <t>forkliftsrepairsandsales</t>
  </si>
  <si>
    <t>Thornton Tax &amp; Financial Services</t>
  </si>
  <si>
    <t>area51sportsltd</t>
  </si>
  <si>
    <t>dyetusainc</t>
  </si>
  <si>
    <t>weitekamprefrigeration</t>
  </si>
  <si>
    <t>natureperfect2</t>
  </si>
  <si>
    <t>drewaltizer2</t>
  </si>
  <si>
    <t>halosilinternationalnxtllc</t>
  </si>
  <si>
    <t>northernnestservices</t>
  </si>
  <si>
    <t>federalcitycouncil4</t>
  </si>
  <si>
    <t>biophotasincsandbox</t>
  </si>
  <si>
    <t>broderickbuilders</t>
  </si>
  <si>
    <t>peterboroughlakers</t>
  </si>
  <si>
    <t>crownlandmanagement</t>
  </si>
  <si>
    <t>biosolinc</t>
  </si>
  <si>
    <t>centromatixdentallab2</t>
  </si>
  <si>
    <t>flooringrva</t>
  </si>
  <si>
    <t>dinosaw2</t>
  </si>
  <si>
    <t>tipsyponypartybarllc</t>
  </si>
  <si>
    <t>tristaterigging</t>
  </si>
  <si>
    <t>savannahga</t>
  </si>
  <si>
    <t>ebamethod</t>
  </si>
  <si>
    <t>energycurve</t>
  </si>
  <si>
    <t>paradisefoundhomewatch2</t>
  </si>
  <si>
    <t>hudsongeotechnics</t>
  </si>
  <si>
    <t>pma13</t>
  </si>
  <si>
    <t>Striglia Enterprises</t>
  </si>
  <si>
    <t>mustangnorth</t>
  </si>
  <si>
    <t>mautekinc</t>
  </si>
  <si>
    <t>ghimaccountancyapc</t>
  </si>
  <si>
    <t>advancedblindsandawnings</t>
  </si>
  <si>
    <t>dellamar</t>
  </si>
  <si>
    <t>aandmdiscountfurniture4</t>
  </si>
  <si>
    <t>readsource</t>
  </si>
  <si>
    <t>fuelinjectorclinic2</t>
  </si>
  <si>
    <t>hyvebookkeeping</t>
  </si>
  <si>
    <t>identigrow</t>
  </si>
  <si>
    <t>periodmouldings2</t>
  </si>
  <si>
    <t>mikedupuyhawkfood</t>
  </si>
  <si>
    <t>crismonarcaccts</t>
  </si>
  <si>
    <t>crismonarcaccts2</t>
  </si>
  <si>
    <t>terrairrigationeast</t>
  </si>
  <si>
    <t>twinforksestatemanagement</t>
  </si>
  <si>
    <t>evolvemedia2</t>
  </si>
  <si>
    <t>csgnamllc2</t>
  </si>
  <si>
    <t>newadwag2024v2</t>
  </si>
  <si>
    <t>sitelinkwirelessllc</t>
  </si>
  <si>
    <t>paragonshuttersinternationalptyltd</t>
  </si>
  <si>
    <t>bernhardtservices</t>
  </si>
  <si>
    <t>abletreeserviceremoval</t>
  </si>
  <si>
    <t>lonestarhomewatch</t>
  </si>
  <si>
    <t>reavanti</t>
  </si>
  <si>
    <t>catalystsuretypartners</t>
  </si>
  <si>
    <t>materialsolutions</t>
  </si>
  <si>
    <t>commercialfilterservicesinc</t>
  </si>
  <si>
    <t>avnsystems</t>
  </si>
  <si>
    <t>boothmedicalequipment2</t>
  </si>
  <si>
    <t>Darwin Business Solutions</t>
  </si>
  <si>
    <t>quipementsvegtech</t>
  </si>
  <si>
    <t>yudoinc</t>
  </si>
  <si>
    <t>totalhomewatch</t>
  </si>
  <si>
    <t>rohmtek</t>
  </si>
  <si>
    <t>brewersicecompanyllc</t>
  </si>
  <si>
    <t>preferredcommunications</t>
  </si>
  <si>
    <t>criticalpathintegratorsllc</t>
  </si>
  <si>
    <t>worksafetci</t>
  </si>
  <si>
    <t>nextsteporlando4</t>
  </si>
  <si>
    <t>swagco</t>
  </si>
  <si>
    <t>GGFKnoxville</t>
  </si>
  <si>
    <t>anchorhomewatchandconcierge</t>
  </si>
  <si>
    <t>sixdegreesnorthbeveragegroup</t>
  </si>
  <si>
    <t>xcelhomecomfort2</t>
  </si>
  <si>
    <t>page44llc</t>
  </si>
  <si>
    <t>keegorinternationallimited</t>
  </si>
  <si>
    <t>uniclox</t>
  </si>
  <si>
    <t>thetravellerinc</t>
  </si>
  <si>
    <t>triplecreekturfllc</t>
  </si>
  <si>
    <t>rcomasonryandrestorationllc</t>
  </si>
  <si>
    <t>armorcoatingsinc</t>
  </si>
  <si>
    <t>ashburntree</t>
  </si>
  <si>
    <t>atlanticsurvey</t>
  </si>
  <si>
    <t>worcestercountygold</t>
  </si>
  <si>
    <t>lawrencevillecorp</t>
  </si>
  <si>
    <t>fourseasonsskylights</t>
  </si>
  <si>
    <t>mightyserv</t>
  </si>
  <si>
    <t>pfpspokane2</t>
  </si>
  <si>
    <t>planetarydesign2</t>
  </si>
  <si>
    <t>bigboresignsllc</t>
  </si>
  <si>
    <t>livernoismotorsports</t>
  </si>
  <si>
    <t>wefillinc</t>
  </si>
  <si>
    <t>lionheartkombucha</t>
  </si>
  <si>
    <t>perlite</t>
  </si>
  <si>
    <t>alleloconsulting</t>
  </si>
  <si>
    <t>mobilitycityofsandiego</t>
  </si>
  <si>
    <t>atlanticrestaurantandsupermarketequipment</t>
  </si>
  <si>
    <t>galaxy2</t>
  </si>
  <si>
    <t>highrock</t>
  </si>
  <si>
    <t>TGGEggHarbor</t>
  </si>
  <si>
    <t>fogartyslakeflowermarina</t>
  </si>
  <si>
    <t>gahmusa</t>
  </si>
  <si>
    <t>nbcopesltd</t>
  </si>
  <si>
    <t>hesperus</t>
  </si>
  <si>
    <t>ucoat</t>
  </si>
  <si>
    <t>peoplesutilitycorporation</t>
  </si>
  <si>
    <t>gsconstructiongroup</t>
  </si>
  <si>
    <t>tradepak2</t>
  </si>
  <si>
    <t>urgentmd</t>
  </si>
  <si>
    <t>vortex2</t>
  </si>
  <si>
    <t>elitestoneworks</t>
  </si>
  <si>
    <t>volitant2</t>
  </si>
  <si>
    <t>powerwashplusinc</t>
  </si>
  <si>
    <t>fivebmf</t>
  </si>
  <si>
    <t>neptunesafety</t>
  </si>
  <si>
    <t>ranchandcointeriors</t>
  </si>
  <si>
    <t>cbsolutionslp</t>
  </si>
  <si>
    <t>abbeyhardware</t>
  </si>
  <si>
    <t>turnservllc2</t>
  </si>
  <si>
    <t>homesteadpropertywatchandmanagementservice</t>
  </si>
  <si>
    <t>mpactbeverage2</t>
  </si>
  <si>
    <t>txmhr</t>
  </si>
  <si>
    <t>pentagonservices</t>
  </si>
  <si>
    <t>turfgrasslandscape2</t>
  </si>
  <si>
    <t>hydrolawninc</t>
  </si>
  <si>
    <t>hdindustriesinc</t>
  </si>
  <si>
    <t>brinksmfgco</t>
  </si>
  <si>
    <t>kingscreekservices</t>
  </si>
  <si>
    <t>atlasbuildingsystems</t>
  </si>
  <si>
    <t>pandhrenovations</t>
  </si>
  <si>
    <t>globalimagingproducts</t>
  </si>
  <si>
    <t>amplifyyourride</t>
  </si>
  <si>
    <t>denex2</t>
  </si>
  <si>
    <t>vermonthomewatch</t>
  </si>
  <si>
    <t>upstateretractablescreens</t>
  </si>
  <si>
    <t>ingramoaks</t>
  </si>
  <si>
    <t>goldsealservices</t>
  </si>
  <si>
    <t>upstakinc</t>
  </si>
  <si>
    <t>electroniclife2</t>
  </si>
  <si>
    <t>techm3incdbapureforge</t>
  </si>
  <si>
    <t>safelivingsolutionsllc</t>
  </si>
  <si>
    <t>contextglobal2</t>
  </si>
  <si>
    <t>prowatchhomeservices</t>
  </si>
  <si>
    <t>tandtpools</t>
  </si>
  <si>
    <t>peterlugerbk</t>
  </si>
  <si>
    <t>peterlugergn</t>
  </si>
  <si>
    <t>jcmayandcompany2</t>
  </si>
  <si>
    <t>fowlergaragedoor</t>
  </si>
  <si>
    <t>crmservices2</t>
  </si>
  <si>
    <t>relaxandroamhomeservices</t>
  </si>
  <si>
    <t>reliableroofandremodeling</t>
  </si>
  <si>
    <t>evdsamerica</t>
  </si>
  <si>
    <t>appletongreenbay</t>
  </si>
  <si>
    <t>hesperus2</t>
  </si>
  <si>
    <t>leadingedgesales2</t>
  </si>
  <si>
    <t>powellengineering</t>
  </si>
  <si>
    <t>hipcellar</t>
  </si>
  <si>
    <t>anchorsupply2</t>
  </si>
  <si>
    <t>maynardrodandgunclub2</t>
  </si>
  <si>
    <t>nexregcomplinceinc</t>
  </si>
  <si>
    <t>opulencewoodproducts</t>
  </si>
  <si>
    <t>mobilitycityofkingofprussia</t>
  </si>
  <si>
    <t>unitedoverheaddoorcorp2</t>
  </si>
  <si>
    <t>verdesolaris</t>
  </si>
  <si>
    <t>equustockopcollc</t>
  </si>
  <si>
    <t>accentcoatings2</t>
  </si>
  <si>
    <t>automatictransmissiondesign</t>
  </si>
  <si>
    <t>fireandsafetyequipmentco</t>
  </si>
  <si>
    <t>agsconsultants</t>
  </si>
  <si>
    <t>hixsons</t>
  </si>
  <si>
    <t>Method:Proposals for QBO</t>
  </si>
  <si>
    <t>thealternativeboardofftlauderdale</t>
  </si>
  <si>
    <t>livewallmedia2</t>
  </si>
  <si>
    <t>westporthomewatch</t>
  </si>
  <si>
    <t>bradleyinformationsystemsltd</t>
  </si>
  <si>
    <t>advprosecurity</t>
  </si>
  <si>
    <t>boxgangmanufacturing2</t>
  </si>
  <si>
    <t>changeit</t>
  </si>
  <si>
    <t>vodaiq</t>
  </si>
  <si>
    <t>crowncreationsinc</t>
  </si>
  <si>
    <t>urbanforestengineeringinc</t>
  </si>
  <si>
    <t>bigislandpropertymonitoring</t>
  </si>
  <si>
    <t>consultantengineeringservicepllc</t>
  </si>
  <si>
    <t>triunemerycenter</t>
  </si>
  <si>
    <t>yourhome</t>
  </si>
  <si>
    <t>constructiongroupofamerica</t>
  </si>
  <si>
    <t>nikstarinc</t>
  </si>
  <si>
    <t>advancecleaningequipment</t>
  </si>
  <si>
    <t>riggsrequest</t>
  </si>
  <si>
    <t>lotzofcarehomewatch</t>
  </si>
  <si>
    <t>agxcel2</t>
  </si>
  <si>
    <t>stjohninthewildernessorthodoxsanctuarysoci</t>
  </si>
  <si>
    <t>engineeringbusiness</t>
  </si>
  <si>
    <t>guardianangelhomewatchofswflllc</t>
  </si>
  <si>
    <t>oshamt</t>
  </si>
  <si>
    <t>lynk3ddistributingllc</t>
  </si>
  <si>
    <t>safensecure</t>
  </si>
  <si>
    <t>standardvinyl</t>
  </si>
  <si>
    <t>wjob1230</t>
  </si>
  <si>
    <t>pacificlink</t>
  </si>
  <si>
    <t>roimetalbuildings</t>
  </si>
  <si>
    <t>trimports</t>
  </si>
  <si>
    <t>yorkbarbell3</t>
  </si>
  <si>
    <t>northriverelectricinc</t>
  </si>
  <si>
    <t>nevadaillumination</t>
  </si>
  <si>
    <t>boswellwindows3</t>
  </si>
  <si>
    <t>dsagllc2</t>
  </si>
  <si>
    <t>agpharma</t>
  </si>
  <si>
    <t>thejpcookecompany</t>
  </si>
  <si>
    <t>duomogroupinc2</t>
  </si>
  <si>
    <t>arcadiaacademy</t>
  </si>
  <si>
    <t>trustviewaccountingandtaxservices</t>
  </si>
  <si>
    <t>sunnyhomewatchservices</t>
  </si>
  <si>
    <t>whenandhowconciergeservices</t>
  </si>
  <si>
    <t>bikinipoolsofflorida</t>
  </si>
  <si>
    <t>sierratrainingandconsultinginc</t>
  </si>
  <si>
    <t>sunshinebaby</t>
  </si>
  <si>
    <t>smithdrillingak</t>
  </si>
  <si>
    <t>peachstatebeverageandcoffeeservice</t>
  </si>
  <si>
    <t>loscinco</t>
  </si>
  <si>
    <t>hightidehomewatchservices</t>
  </si>
  <si>
    <t>pridgenbrothers</t>
  </si>
  <si>
    <t>brandguardvents</t>
  </si>
  <si>
    <t>hikinghounds</t>
  </si>
  <si>
    <t>sylcadesigns2</t>
  </si>
  <si>
    <t>stagpowerrentals</t>
  </si>
  <si>
    <t>lmhdistribution</t>
  </si>
  <si>
    <t>murcielagollc</t>
  </si>
  <si>
    <t>joynetwork</t>
  </si>
  <si>
    <t>modisystems</t>
  </si>
  <si>
    <t>custerfence</t>
  </si>
  <si>
    <t>woundcarestakeholders</t>
  </si>
  <si>
    <t>sdns</t>
  </si>
  <si>
    <t>kriskissnerea</t>
  </si>
  <si>
    <t>synchronicityltd</t>
  </si>
  <si>
    <t>mobilitycityofcoloradosprings</t>
  </si>
  <si>
    <t>mobilitycityofcostalalabama</t>
  </si>
  <si>
    <t>aquabondinc2</t>
  </si>
  <si>
    <t>camcraigconsulting</t>
  </si>
  <si>
    <t>ensureaseal2</t>
  </si>
  <si>
    <t>montessorischoolofcu</t>
  </si>
  <si>
    <t>apparelstuffrus2</t>
  </si>
  <si>
    <t>Kris Kissner Ea</t>
  </si>
  <si>
    <t>ggfsandbox</t>
  </si>
  <si>
    <t>sowim</t>
  </si>
  <si>
    <t>flightsalesgroup</t>
  </si>
  <si>
    <t>evolutiontrailertechnologies</t>
  </si>
  <si>
    <t>hydrospraywashsystemsinc</t>
  </si>
  <si>
    <t>revamp2</t>
  </si>
  <si>
    <t>The Works Services /Revamp</t>
  </si>
  <si>
    <t>ekologellc</t>
  </si>
  <si>
    <t>recollc</t>
  </si>
  <si>
    <t>ceramicainc</t>
  </si>
  <si>
    <t>breezeproductsinc</t>
  </si>
  <si>
    <t>reachconnects</t>
  </si>
  <si>
    <t>simplifiedhomelife</t>
  </si>
  <si>
    <t>etts</t>
  </si>
  <si>
    <t>marineinnovations2</t>
  </si>
  <si>
    <t>elitecommercialcleaning</t>
  </si>
  <si>
    <t>beingwellca</t>
  </si>
  <si>
    <t>ait3</t>
  </si>
  <si>
    <t>genluke</t>
  </si>
  <si>
    <t>lucidfinancials</t>
  </si>
  <si>
    <t>goodnatureinc</t>
  </si>
  <si>
    <t>roofdepotusa2</t>
  </si>
  <si>
    <t>pbrlaboratoriesinc</t>
  </si>
  <si>
    <t>protectconstruction</t>
  </si>
  <si>
    <t>greenvalleyflooring</t>
  </si>
  <si>
    <t>howellfencing</t>
  </si>
  <si>
    <t>insiemewines</t>
  </si>
  <si>
    <t>vzpdigital</t>
  </si>
  <si>
    <t>firetankpros</t>
  </si>
  <si>
    <t>threezdentalsupplies</t>
  </si>
  <si>
    <t>reidwitlinltd</t>
  </si>
  <si>
    <t>redjacketorchards</t>
  </si>
  <si>
    <t>bereahfarmsnew</t>
  </si>
  <si>
    <t>sandiegohandymaamllc</t>
  </si>
  <si>
    <t>smindustries3</t>
  </si>
  <si>
    <t>ajco</t>
  </si>
  <si>
    <t>heaveaway</t>
  </si>
  <si>
    <t>navajocountysheriffsauxillaryvolunteers</t>
  </si>
  <si>
    <t>hotsyclean</t>
  </si>
  <si>
    <t>pipestoneperformingartscenter2</t>
  </si>
  <si>
    <t>mobilitycityofgreatercincinnati</t>
  </si>
  <si>
    <t>jspropropertymanagement</t>
  </si>
  <si>
    <t>thatcadgirl4</t>
  </si>
  <si>
    <t>academicandathleticdevelopment</t>
  </si>
  <si>
    <t>seatinghub2</t>
  </si>
  <si>
    <t>rightleadbookkeeping</t>
  </si>
  <si>
    <t>taharkabrothers</t>
  </si>
  <si>
    <t>GGFNaples</t>
  </si>
  <si>
    <t>housecheckguys</t>
  </si>
  <si>
    <t>simplifiedhomelife2</t>
  </si>
  <si>
    <t>agnbsolutions</t>
  </si>
  <si>
    <t>tlusso</t>
  </si>
  <si>
    <t>vikingcommunicationsinc2</t>
  </si>
  <si>
    <t>exegy</t>
  </si>
  <si>
    <t>freshenergyinc2</t>
  </si>
  <si>
    <t>ebraxaccountingandtax</t>
  </si>
  <si>
    <t>jetprosllc</t>
  </si>
  <si>
    <t>woodcontractingservices</t>
  </si>
  <si>
    <t>norcada3</t>
  </si>
  <si>
    <t>mobilitycityofrogersarkansas</t>
  </si>
  <si>
    <t>staplesenterprises4</t>
  </si>
  <si>
    <t>twomillionsixhundredandsixteenthousandfive</t>
  </si>
  <si>
    <t>southweststeelfabrication</t>
  </si>
  <si>
    <t>highpowerproducts</t>
  </si>
  <si>
    <t>nedia</t>
  </si>
  <si>
    <t>mobilitycityofworcestermassachusetts</t>
  </si>
  <si>
    <t>storageitsolutions</t>
  </si>
  <si>
    <t>theedencompaniesllc</t>
  </si>
  <si>
    <t>lesgerstionsdmanagementlin</t>
  </si>
  <si>
    <t>vectorr</t>
  </si>
  <si>
    <t>hallknifeandforge</t>
  </si>
  <si>
    <t>prestigeawardslimited</t>
  </si>
  <si>
    <t>soundcrawlsllc</t>
  </si>
  <si>
    <t>easttimberandcorenovationsandconstruction</t>
  </si>
  <si>
    <t>loveyourneighborconnection2</t>
  </si>
  <si>
    <t>ftbateam4</t>
  </si>
  <si>
    <t>donerightirrigation</t>
  </si>
  <si>
    <t>ccdieselperformance</t>
  </si>
  <si>
    <t>mobilitycityofsouthernutah</t>
  </si>
  <si>
    <t>jheitlimited</t>
  </si>
  <si>
    <t>overheaddoorcoofeasternidaho</t>
  </si>
  <si>
    <t>babcockpeaceofmind</t>
  </si>
  <si>
    <t>redstonetechnical</t>
  </si>
  <si>
    <t>automatedroomcontrolsinc2</t>
  </si>
  <si>
    <t>legacyplumbingnc</t>
  </si>
  <si>
    <t>intercert</t>
  </si>
  <si>
    <t>aandvbusinesssolutions</t>
  </si>
  <si>
    <t>sonomasecondhome</t>
  </si>
  <si>
    <t>lakeguard</t>
  </si>
  <si>
    <t>pesaventollc</t>
  </si>
  <si>
    <t>gicrremodeling</t>
  </si>
  <si>
    <t>whitesail</t>
  </si>
  <si>
    <t>arboragri</t>
  </si>
  <si>
    <t>mobilitycityofmilpitas</t>
  </si>
  <si>
    <t>cpnaccounting</t>
  </si>
  <si>
    <t>ktbrightcpa</t>
  </si>
  <si>
    <t>denoneyewear</t>
  </si>
  <si>
    <t>thepoolenclosureguys</t>
  </si>
  <si>
    <t>opcdistributionllc</t>
  </si>
  <si>
    <t>unisoninc2</t>
  </si>
  <si>
    <t>aleproinsurancelogisticsllc</t>
  </si>
  <si>
    <t>taxofficesfat2</t>
  </si>
  <si>
    <t>lmrmedia</t>
  </si>
  <si>
    <t>jh2owaterllc2</t>
  </si>
  <si>
    <t>totalfeedsinc</t>
  </si>
  <si>
    <t>treskeptylimited</t>
  </si>
  <si>
    <t>bakerhydraulics</t>
  </si>
  <si>
    <t>premiumgrassblades</t>
  </si>
  <si>
    <t>georgiapowdercoating</t>
  </si>
  <si>
    <t>dancingstarllc</t>
  </si>
  <si>
    <t>alefteambusinesssolutions</t>
  </si>
  <si>
    <t>mnjenterprisellc</t>
  </si>
  <si>
    <t>chemproservicesinc</t>
  </si>
  <si>
    <t>redeemerlutheranschool2</t>
  </si>
  <si>
    <t>hucksterinc</t>
  </si>
  <si>
    <t>sixhundredandtwentyninegroup</t>
  </si>
  <si>
    <t>marimbawarehouse2</t>
  </si>
  <si>
    <t>vertiguard</t>
  </si>
  <si>
    <t>missionsministries</t>
  </si>
  <si>
    <t>ultraingredients4</t>
  </si>
  <si>
    <t>lrcpaandconsultantsllc</t>
  </si>
  <si>
    <t>lambdachialpha</t>
  </si>
  <si>
    <t>circlethreedesigns3</t>
  </si>
  <si>
    <t>fusiontechmedia</t>
  </si>
  <si>
    <t>callanindustrial</t>
  </si>
  <si>
    <t>bluecoralsportfishingtowers</t>
  </si>
  <si>
    <t>warriorprecastllc</t>
  </si>
  <si>
    <t>cooksdoorsandmouldingsinc</t>
  </si>
  <si>
    <t>papajifoods3</t>
  </si>
  <si>
    <t>soinsscribeinc</t>
  </si>
  <si>
    <t>protechequipment</t>
  </si>
  <si>
    <t>noorwholesale</t>
  </si>
  <si>
    <t>apfcgroup</t>
  </si>
  <si>
    <t>getsimplebox2</t>
  </si>
  <si>
    <t>midwesttechnology</t>
  </si>
  <si>
    <t>morganscliff</t>
  </si>
  <si>
    <t>datashreddercorporation</t>
  </si>
  <si>
    <t>valleyvueassociation</t>
  </si>
  <si>
    <t>ninjatechnologies3</t>
  </si>
  <si>
    <t>briarford2</t>
  </si>
  <si>
    <t>xpertpaintingandwallpapering</t>
  </si>
  <si>
    <t>innovativeinc</t>
  </si>
  <si>
    <t>mitchellglasscompany</t>
  </si>
  <si>
    <t>twobirds</t>
  </si>
  <si>
    <t>sierraconveyor2</t>
  </si>
  <si>
    <t>qualityroofingsolutions</t>
  </si>
  <si>
    <t>stormsolutionsplus2</t>
  </si>
  <si>
    <t>asapcarpetsandmore</t>
  </si>
  <si>
    <t>boldpromotionsinc2</t>
  </si>
  <si>
    <t>acct22</t>
  </si>
  <si>
    <t>bluntwrap</t>
  </si>
  <si>
    <t>aquaviveinc</t>
  </si>
  <si>
    <t>bairespackusa2</t>
  </si>
  <si>
    <t>coastalwipers</t>
  </si>
  <si>
    <t>mcgdesignservices</t>
  </si>
  <si>
    <t>drivosity2</t>
  </si>
  <si>
    <t>computerlearningcentersincdbaforwardlearni</t>
  </si>
  <si>
    <t>scribe</t>
  </si>
  <si>
    <t>gandfagserviceinc</t>
  </si>
  <si>
    <t>corp12</t>
  </si>
  <si>
    <t>gcislingersllc</t>
  </si>
  <si>
    <t>americantankcoinc2</t>
  </si>
  <si>
    <t>tanneryrowllc</t>
  </si>
  <si>
    <t>stardomcorporatecommunications</t>
  </si>
  <si>
    <t>vanguarddefensegroupllc</t>
  </si>
  <si>
    <t>refreshlondon</t>
  </si>
  <si>
    <t>fotofinderaustraliaptyltd</t>
  </si>
  <si>
    <t>canadalab</t>
  </si>
  <si>
    <t>hawkvalve</t>
  </si>
  <si>
    <t>underhillinternational</t>
  </si>
  <si>
    <t>bestoilllc</t>
  </si>
  <si>
    <t>sbsqbodemo2</t>
  </si>
  <si>
    <t>theclousergroup</t>
  </si>
  <si>
    <t>businesscontinuum</t>
  </si>
  <si>
    <t>ontariooutbuildinglondon</t>
  </si>
  <si>
    <t>sinclairbioresources</t>
  </si>
  <si>
    <t>callanindustrial2</t>
  </si>
  <si>
    <t>adhesivetemplatesinc</t>
  </si>
  <si>
    <t>acmouldingandmillworkltd</t>
  </si>
  <si>
    <t>tandycpa</t>
  </si>
  <si>
    <t>mobilitycityofphoenix2</t>
  </si>
  <si>
    <t>stakconsulting</t>
  </si>
  <si>
    <t>fullthrottlecommerciallandscapingllcdbaful</t>
  </si>
  <si>
    <t>cpvusanew</t>
  </si>
  <si>
    <t>mobilityplushome</t>
  </si>
  <si>
    <t>theplumbingcompanycollc</t>
  </si>
  <si>
    <t>ultimateshirtcompany</t>
  </si>
  <si>
    <t>jnpservices</t>
  </si>
  <si>
    <t>petitvin2</t>
  </si>
  <si>
    <t>terrapin2</t>
  </si>
  <si>
    <t>fairlanefurniturerestorers3</t>
  </si>
  <si>
    <t>kandedistributing2</t>
  </si>
  <si>
    <t>tannerproperties</t>
  </si>
  <si>
    <t>chalmersford</t>
  </si>
  <si>
    <t>elitecoingroup</t>
  </si>
  <si>
    <t>bituox</t>
  </si>
  <si>
    <t>woodperformance</t>
  </si>
  <si>
    <t>driveshaftparts3</t>
  </si>
  <si>
    <t>pmiinstall</t>
  </si>
  <si>
    <t>bieldentalcabinetsrebielcompanyinc</t>
  </si>
  <si>
    <t>blueskypd</t>
  </si>
  <si>
    <t>sparklewashofpugetsound</t>
  </si>
  <si>
    <t>gimbelsmechanicalsolutions</t>
  </si>
  <si>
    <t>velocityoilfieldserviceincorporated</t>
  </si>
  <si>
    <t>camdenmilitaryacademy</t>
  </si>
  <si>
    <t>davinciandtesla</t>
  </si>
  <si>
    <t>tristateelevator2</t>
  </si>
  <si>
    <t>mjjdassociatesllc</t>
  </si>
  <si>
    <t>miamadisonpropertiesllc</t>
  </si>
  <si>
    <t>naplesfloridahomeservices</t>
  </si>
  <si>
    <t>edreedcompany</t>
  </si>
  <si>
    <t>bradleyengineering</t>
  </si>
  <si>
    <t>hisigns</t>
  </si>
  <si>
    <t>mobilitycityofchicago</t>
  </si>
  <si>
    <t>playbackprodigyllc</t>
  </si>
  <si>
    <t>rexdistributioninc</t>
  </si>
  <si>
    <t>tricountyhomewatch</t>
  </si>
  <si>
    <t>asymchem2</t>
  </si>
  <si>
    <t>expeditionstationassociationinc</t>
  </si>
  <si>
    <t>highlandhousecondominiumassocinc</t>
  </si>
  <si>
    <t>luxurydistributiongroup</t>
  </si>
  <si>
    <t>provideosecurity</t>
  </si>
  <si>
    <t>sullawayengineeringinc</t>
  </si>
  <si>
    <t>waccamawlandscaping</t>
  </si>
  <si>
    <t>fortyeightbarriers</t>
  </si>
  <si>
    <t>chaselandscaping</t>
  </si>
  <si>
    <t>aromaticfragrancetechnologies</t>
  </si>
  <si>
    <t>calvisiususa</t>
  </si>
  <si>
    <t>vektr</t>
  </si>
  <si>
    <t>bryantelectric</t>
  </si>
  <si>
    <t>walnookllc2</t>
  </si>
  <si>
    <t>rodytruckscenterofmiami</t>
  </si>
  <si>
    <t>mansonsmarine</t>
  </si>
  <si>
    <t>ozenairtechnology2</t>
  </si>
  <si>
    <t>hamiltonandruizcoinc</t>
  </si>
  <si>
    <t>raicescubanascigarsusainc2</t>
  </si>
  <si>
    <t>dynamicpartners</t>
  </si>
  <si>
    <t>toptobottom</t>
  </si>
  <si>
    <t>directsurgicalequipment</t>
  </si>
  <si>
    <t>thelightconsultancyltd</t>
  </si>
  <si>
    <t>test147</t>
  </si>
  <si>
    <t>omnidatasys2</t>
  </si>
  <si>
    <t>waggle</t>
  </si>
  <si>
    <t>lightconsultancy</t>
  </si>
  <si>
    <t>danbertechnologies2</t>
  </si>
  <si>
    <t>propropertyltd3</t>
  </si>
  <si>
    <t>coldstoragedoorsservice</t>
  </si>
  <si>
    <t>summitflooring</t>
  </si>
  <si>
    <t>vandlsales</t>
  </si>
  <si>
    <t>summitlaboratories2</t>
  </si>
  <si>
    <t>sonomachampagnesabres</t>
  </si>
  <si>
    <t>ibksinc</t>
  </si>
  <si>
    <t>publicmetal</t>
  </si>
  <si>
    <t>hudsonohhomewatch</t>
  </si>
  <si>
    <t>kerrywilkensinc</t>
  </si>
  <si>
    <t>cascadiamanagementgroupllc</t>
  </si>
  <si>
    <t>vfwinesinc</t>
  </si>
  <si>
    <t>jentschcompany</t>
  </si>
  <si>
    <t>groundscrewflorida</t>
  </si>
  <si>
    <t>mercuryaccountants2</t>
  </si>
  <si>
    <t>puzzlesthatrock</t>
  </si>
  <si>
    <t>gittings</t>
  </si>
  <si>
    <t>tcssllc3</t>
  </si>
  <si>
    <t>pettravelsolution</t>
  </si>
  <si>
    <t>danwidthqboa</t>
  </si>
  <si>
    <t>selectfireprotection</t>
  </si>
  <si>
    <t>carolinaprecisiontool3</t>
  </si>
  <si>
    <t>trifectaplumbingsolutions</t>
  </si>
  <si>
    <t>foamtechinc</t>
  </si>
  <si>
    <t>sherbistone</t>
  </si>
  <si>
    <t>perfuze</t>
  </si>
  <si>
    <t>hologramhealth</t>
  </si>
  <si>
    <t>cornerstonegrp</t>
  </si>
  <si>
    <t>kemperfumeextractionsystemsllc</t>
  </si>
  <si>
    <t>ChWon</t>
  </si>
  <si>
    <t>marinepollutioncontrolcorp</t>
  </si>
  <si>
    <t>Schoolofbookkeeping.Com</t>
  </si>
  <si>
    <t>ltspec</t>
  </si>
  <si>
    <t>moorethanmaintenance</t>
  </si>
  <si>
    <t>dddirect</t>
  </si>
  <si>
    <t>altacorporateservices</t>
  </si>
  <si>
    <t>easternairinc</t>
  </si>
  <si>
    <t>garydeutschcpa</t>
  </si>
  <si>
    <t>egeproducts</t>
  </si>
  <si>
    <t>highaltitudemanufacturingglobalinc</t>
  </si>
  <si>
    <t>couturemedia3</t>
  </si>
  <si>
    <t>tereliablehomewatch</t>
  </si>
  <si>
    <t>topstitchoffloridainc2</t>
  </si>
  <si>
    <t>schoolofbookkeeping</t>
  </si>
  <si>
    <t>hexcoreofamerica</t>
  </si>
  <si>
    <t>davantllc</t>
  </si>
  <si>
    <t>misterbathroom</t>
  </si>
  <si>
    <t>foreigntaxcpa</t>
  </si>
  <si>
    <t>Foreign Tax Cpa, Llc</t>
  </si>
  <si>
    <t>wetbasementsolutions</t>
  </si>
  <si>
    <t>totallifecareplanninginc</t>
  </si>
  <si>
    <t>copperstatemachine</t>
  </si>
  <si>
    <t>lincolnparkassociates</t>
  </si>
  <si>
    <t>gutterguysofmaryland</t>
  </si>
  <si>
    <t>fishfoodies</t>
  </si>
  <si>
    <t>crookedoak</t>
  </si>
  <si>
    <t>carlsondockandbarge</t>
  </si>
  <si>
    <t>theesportcompany</t>
  </si>
  <si>
    <t>renuesystemsofmauiandthebigisland</t>
  </si>
  <si>
    <t>pacificcollisionequipment</t>
  </si>
  <si>
    <t>dombrowskiforensicengineers</t>
  </si>
  <si>
    <t>memofix</t>
  </si>
  <si>
    <t>iduron</t>
  </si>
  <si>
    <t>londonhousestaging</t>
  </si>
  <si>
    <t>flroofdecks</t>
  </si>
  <si>
    <t>tufcoflooringllc</t>
  </si>
  <si>
    <t>mobilitycityofthecapitaldistrict</t>
  </si>
  <si>
    <t>randolphpaper2</t>
  </si>
  <si>
    <t>duecksmechanicalinc</t>
  </si>
  <si>
    <t>britishhydraulicsltd</t>
  </si>
  <si>
    <t>ridethewindebikes</t>
  </si>
  <si>
    <t>tandltelecommunications</t>
  </si>
  <si>
    <t>endrocinesurgeryqualityfoundation</t>
  </si>
  <si>
    <t>safesteps</t>
  </si>
  <si>
    <t>thehayneshouseofhopeinc</t>
  </si>
  <si>
    <t>embarkpettransport2</t>
  </si>
  <si>
    <t>treatmenttechnology</t>
  </si>
  <si>
    <t>mobilitycityofsanfranciscoca</t>
  </si>
  <si>
    <t>rpgpowersystems</t>
  </si>
  <si>
    <t>mripluss</t>
  </si>
  <si>
    <t>gareysseweranddraincleaningllc2</t>
  </si>
  <si>
    <t>homewatchconcierge</t>
  </si>
  <si>
    <t>marinegassupplieslimited</t>
  </si>
  <si>
    <t>jcarolpackaging</t>
  </si>
  <si>
    <t>liquimedlock2</t>
  </si>
  <si>
    <t>vogona</t>
  </si>
  <si>
    <t>larasdesignllc</t>
  </si>
  <si>
    <t>assistabossinc</t>
  </si>
  <si>
    <t>montanamixers</t>
  </si>
  <si>
    <t>ledsolutionsllc2</t>
  </si>
  <si>
    <t>seagateestatemanagement</t>
  </si>
  <si>
    <t>betterbuychairsinc</t>
  </si>
  <si>
    <t>stormsafeprotection</t>
  </si>
  <si>
    <t>fishersystems2</t>
  </si>
  <si>
    <t>ceo40groupinc</t>
  </si>
  <si>
    <t>upfrontservices</t>
  </si>
  <si>
    <t>theatticdepot2</t>
  </si>
  <si>
    <t>deepvacassociatesllc</t>
  </si>
  <si>
    <t>imperialautomationandcontrolsinc</t>
  </si>
  <si>
    <t>lmcmaintenanceservicesltd</t>
  </si>
  <si>
    <t>fivehundredandfiftyfivedistribution</t>
  </si>
  <si>
    <t>gersontech</t>
  </si>
  <si>
    <t>mobilitycityoflasvegas2</t>
  </si>
  <si>
    <t>goldenstatepools</t>
  </si>
  <si>
    <t>experiencepoolandspa</t>
  </si>
  <si>
    <t>jplumbingandair</t>
  </si>
  <si>
    <t>rollinghillslandscapes3</t>
  </si>
  <si>
    <t>herzogveneers2</t>
  </si>
  <si>
    <t>hodgewesterncorp</t>
  </si>
  <si>
    <t>jandgheatingandairconditioning6</t>
  </si>
  <si>
    <t>rlxsolutions</t>
  </si>
  <si>
    <t>deccanfoods4</t>
  </si>
  <si>
    <t>airproaustin</t>
  </si>
  <si>
    <t>kitchensrus</t>
  </si>
  <si>
    <t>optimabisolutionsllc</t>
  </si>
  <si>
    <t>kingstonanimalrescue</t>
  </si>
  <si>
    <t>intrepidrocks2</t>
  </si>
  <si>
    <t>carolinalightinggroup</t>
  </si>
  <si>
    <t>chefschoicelv</t>
  </si>
  <si>
    <t>sincitycfo</t>
  </si>
  <si>
    <t>fullcirclesolutionsllc</t>
  </si>
  <si>
    <t>midwestimagingsolutions</t>
  </si>
  <si>
    <t>pneumaticplus</t>
  </si>
  <si>
    <t>sfandbincdbasfandbllc</t>
  </si>
  <si>
    <t>crijopets</t>
  </si>
  <si>
    <t>ontariometalroofersltd</t>
  </si>
  <si>
    <t>rainwatermanagmentsolutions</t>
  </si>
  <si>
    <t>farmersconservationalliance</t>
  </si>
  <si>
    <t>texascomplianceenvironmentalllc1</t>
  </si>
  <si>
    <t>highlinepavementmaint</t>
  </si>
  <si>
    <t>optionsforwomenriverfalls</t>
  </si>
  <si>
    <t>prestonhardware</t>
  </si>
  <si>
    <t>southgateprocessequipmentinc</t>
  </si>
  <si>
    <t>vintedgewinery</t>
  </si>
  <si>
    <t>bespokewinerysolutions</t>
  </si>
  <si>
    <t>gaspcoastal2</t>
  </si>
  <si>
    <t>n2nusa</t>
  </si>
  <si>
    <t>glimmerglassfiberglasspools</t>
  </si>
  <si>
    <t>efficientcleaningservicesltd</t>
  </si>
  <si>
    <t>golfinvite2</t>
  </si>
  <si>
    <t>surgebuildersllc</t>
  </si>
  <si>
    <t>experthosiery</t>
  </si>
  <si>
    <t>adaptersplusinc2</t>
  </si>
  <si>
    <t>junekconsulting</t>
  </si>
  <si>
    <t>pnladvisory</t>
  </si>
  <si>
    <t>TGGBucks</t>
  </si>
  <si>
    <t>theshedyard2</t>
  </si>
  <si>
    <t>vacairindustries</t>
  </si>
  <si>
    <t>fresnoca</t>
  </si>
  <si>
    <t>shreveportla</t>
  </si>
  <si>
    <t>kennebeccabinetry</t>
  </si>
  <si>
    <t>flagguard</t>
  </si>
  <si>
    <t>commercialupholsteryservices</t>
  </si>
  <si>
    <t>summitec</t>
  </si>
  <si>
    <t>mitralsolution</t>
  </si>
  <si>
    <t>bmhequipment4</t>
  </si>
  <si>
    <t>pnladvisory2</t>
  </si>
  <si>
    <t>wallbedsnmore</t>
  </si>
  <si>
    <t>italianchamberofcommerceincanadawest</t>
  </si>
  <si>
    <t>dektex</t>
  </si>
  <si>
    <t>chempenn</t>
  </si>
  <si>
    <t>endureconcretecoatings2</t>
  </si>
  <si>
    <t>flipoffice4</t>
  </si>
  <si>
    <t>serveuaccounting</t>
  </si>
  <si>
    <t>progressivewestman3</t>
  </si>
  <si>
    <t>genardcompany</t>
  </si>
  <si>
    <t>rayhil2</t>
  </si>
  <si>
    <t>waterlandscapesupply</t>
  </si>
  <si>
    <t>supremeice</t>
  </si>
  <si>
    <t>vietnamesedistrictofthecandma</t>
  </si>
  <si>
    <t>breittechnologiesllc</t>
  </si>
  <si>
    <t>cooksmart2</t>
  </si>
  <si>
    <t>utterservicesllc</t>
  </si>
  <si>
    <t>pointtopointsolutioninc</t>
  </si>
  <si>
    <t>smcclainstonecoinc</t>
  </si>
  <si>
    <t>allaccesseventstaffing2</t>
  </si>
  <si>
    <t>key2tech</t>
  </si>
  <si>
    <t>elixirwinegroup2</t>
  </si>
  <si>
    <t>advocatebridgellc</t>
  </si>
  <si>
    <t>greenvisionslandscape2</t>
  </si>
  <si>
    <t>naturesdnaturfandtreecareinc</t>
  </si>
  <si>
    <t>toolrange2</t>
  </si>
  <si>
    <t>radiogearheads</t>
  </si>
  <si>
    <t>dubgifcollc</t>
  </si>
  <si>
    <t>vanpeltfencing</t>
  </si>
  <si>
    <t>seagateestatemanagement2</t>
  </si>
  <si>
    <t>elevatedmetalscorp2</t>
  </si>
  <si>
    <t>bookpage2</t>
  </si>
  <si>
    <t>nlfmasonry</t>
  </si>
  <si>
    <t>digitalsilva</t>
  </si>
  <si>
    <t>fortmyersfl</t>
  </si>
  <si>
    <t>gsova</t>
  </si>
  <si>
    <t>southerncompanyservicesllc</t>
  </si>
  <si>
    <t>naplescommunityhomewatch</t>
  </si>
  <si>
    <t>gutterwiz2</t>
  </si>
  <si>
    <t>caequipsvc</t>
  </si>
  <si>
    <t>blurevents</t>
  </si>
  <si>
    <t>gtsimulators</t>
  </si>
  <si>
    <t>hcprepandmaintenance2</t>
  </si>
  <si>
    <t>a2zsupplies</t>
  </si>
  <si>
    <t>pdwaterscapes</t>
  </si>
  <si>
    <t>curtisdrillinginc</t>
  </si>
  <si>
    <t>glimmerglassfiberglasspoolsgeorgia</t>
  </si>
  <si>
    <t>foodequipmentexchange</t>
  </si>
  <si>
    <t>coastalequipservices</t>
  </si>
  <si>
    <t>allenproducts</t>
  </si>
  <si>
    <t>rillfoods5</t>
  </si>
  <si>
    <t>codipsausa</t>
  </si>
  <si>
    <t>finepefumery</t>
  </si>
  <si>
    <t>norenthermal</t>
  </si>
  <si>
    <t>lavenderlegal</t>
  </si>
  <si>
    <t>sobremesamanagement2</t>
  </si>
  <si>
    <t>garagelivingnewbrunswick</t>
  </si>
  <si>
    <t>pumpkintaxcompany2</t>
  </si>
  <si>
    <t>southshoredesigncenter</t>
  </si>
  <si>
    <t>crotega</t>
  </si>
  <si>
    <t>detailedpaintcompany</t>
  </si>
  <si>
    <t>southernaggregates2</t>
  </si>
  <si>
    <t>dispodepot</t>
  </si>
  <si>
    <t>techmediq</t>
  </si>
  <si>
    <t>jmbeverage</t>
  </si>
  <si>
    <t>fleeteforce</t>
  </si>
  <si>
    <t>sanlightamericasllc</t>
  </si>
  <si>
    <t>centralfloridaforkliftinc</t>
  </si>
  <si>
    <t>craftpaintingandcarpentryllc</t>
  </si>
  <si>
    <t>osupplies</t>
  </si>
  <si>
    <t>greenmoab</t>
  </si>
  <si>
    <t>spoonriverblacktopllc3</t>
  </si>
  <si>
    <t>epccigar</t>
  </si>
  <si>
    <t>magicgreensinc</t>
  </si>
  <si>
    <t>thymeandseasonscateringatriverdalemanor</t>
  </si>
  <si>
    <t>heritagemontessorischool</t>
  </si>
  <si>
    <t>codewhitelab2</t>
  </si>
  <si>
    <t>adersagroupllc</t>
  </si>
  <si>
    <t>forgeelectriccompany</t>
  </si>
  <si>
    <t>getthru</t>
  </si>
  <si>
    <t>theforkliftpeople2</t>
  </si>
  <si>
    <t>gencobuildersllc</t>
  </si>
  <si>
    <t>redamosuites</t>
  </si>
  <si>
    <t>theblindco</t>
  </si>
  <si>
    <t>rowinplumbinginc</t>
  </si>
  <si>
    <t>highpeakspaintingllc</t>
  </si>
  <si>
    <t>weekdayeastsidebridge</t>
  </si>
  <si>
    <t>scooperdudepetwasteremovalllc</t>
  </si>
  <si>
    <t>corecablinginc</t>
  </si>
  <si>
    <t>sterlingsoftenerslimited</t>
  </si>
  <si>
    <t>steadfast2</t>
  </si>
  <si>
    <t>fireandiceheatingandairconditioning</t>
  </si>
  <si>
    <t>bluewaterconsultinginc</t>
  </si>
  <si>
    <t>divineplantdesign</t>
  </si>
  <si>
    <t>newlineservicesinc</t>
  </si>
  <si>
    <t>lincolnpavement</t>
  </si>
  <si>
    <t>Eberly Systems Llc</t>
  </si>
  <si>
    <t>hddsupply</t>
  </si>
  <si>
    <t>doubleldistributors</t>
  </si>
  <si>
    <t>apluschem</t>
  </si>
  <si>
    <t>austermillerroofing</t>
  </si>
  <si>
    <t>wrgriegerexcavation2</t>
  </si>
  <si>
    <t>cinemastageinc</t>
  </si>
  <si>
    <t>red88eyewearinc</t>
  </si>
  <si>
    <t>automatedatticstair</t>
  </si>
  <si>
    <t>superior3</t>
  </si>
  <si>
    <t>j2kconsultingcorp</t>
  </si>
  <si>
    <t>fayettetrailersllc2</t>
  </si>
  <si>
    <t>jtechnologygroupincdbawnyprofessionaltechn</t>
  </si>
  <si>
    <t>guardianshepherdhomewatch</t>
  </si>
  <si>
    <t>rainbowconcreteindustrieslimited</t>
  </si>
  <si>
    <t>crescentcreekestates</t>
  </si>
  <si>
    <t>languagesinmotionltd</t>
  </si>
  <si>
    <t>cconsultingllc</t>
  </si>
  <si>
    <t>islesboroaffordableproperty2</t>
  </si>
  <si>
    <t>northstarbuildings</t>
  </si>
  <si>
    <t>acsdistributionllc</t>
  </si>
  <si>
    <t>rockcommunications</t>
  </si>
  <si>
    <t>vendingmanagementservices</t>
  </si>
  <si>
    <t>chairstuff3</t>
  </si>
  <si>
    <t>Build Apps Without Code</t>
  </si>
  <si>
    <t>holeintheroof2</t>
  </si>
  <si>
    <t>cincinnaticommercialandresidentialrepair</t>
  </si>
  <si>
    <t>interstategraphics</t>
  </si>
  <si>
    <t>vickyshelpinghands2</t>
  </si>
  <si>
    <t>nupointsystems2</t>
  </si>
  <si>
    <t>dmvhub</t>
  </si>
  <si>
    <t>woodforminteriorsltd</t>
  </si>
  <si>
    <t>centralvacuumservice8</t>
  </si>
  <si>
    <t>coffeebeancorral2</t>
  </si>
  <si>
    <t>sportexsales</t>
  </si>
  <si>
    <t>sabradental</t>
  </si>
  <si>
    <t>abcsbusinessconsultingllc</t>
  </si>
  <si>
    <t>mhqnewmexico</t>
  </si>
  <si>
    <t>boschfamilybrewingcompanyllc</t>
  </si>
  <si>
    <t>northernlightselectric3</t>
  </si>
  <si>
    <t>insightsurgical</t>
  </si>
  <si>
    <t>spsurfacing</t>
  </si>
  <si>
    <t>royalpalmfloors</t>
  </si>
  <si>
    <t>prestigeautosalon</t>
  </si>
  <si>
    <t>uspropaint</t>
  </si>
  <si>
    <t>suburbanshopper2</t>
  </si>
  <si>
    <t>promoeqp</t>
  </si>
  <si>
    <t>surecaninc</t>
  </si>
  <si>
    <t>premiumpb2</t>
  </si>
  <si>
    <t>turnertradeschool</t>
  </si>
  <si>
    <t>instockgaragedoorsinc</t>
  </si>
  <si>
    <t>dunncountyhumanesociety3</t>
  </si>
  <si>
    <t>argentsolar</t>
  </si>
  <si>
    <t>sigtinc</t>
  </si>
  <si>
    <t>walstonequipmentservicesllc</t>
  </si>
  <si>
    <t>aclark</t>
  </si>
  <si>
    <t>peterboroughbathrenovators2</t>
  </si>
  <si>
    <t>greenandchapmanjv</t>
  </si>
  <si>
    <t>ukrooze</t>
  </si>
  <si>
    <t>techcomm</t>
  </si>
  <si>
    <t>nuewal</t>
  </si>
  <si>
    <t>outriggerpads</t>
  </si>
  <si>
    <t>clubskibromont</t>
  </si>
  <si>
    <t>diversifiedroofingservicesllc</t>
  </si>
  <si>
    <t>fullcitysupply3</t>
  </si>
  <si>
    <t>electricalgeneratorsandpumpservicesltd</t>
  </si>
  <si>
    <t>TGGNewCastle</t>
  </si>
  <si>
    <t>gaylordhardwood</t>
  </si>
  <si>
    <t>boninfantefrictioninc</t>
  </si>
  <si>
    <t>aandjanitorialservices</t>
  </si>
  <si>
    <t>outlookfilm3</t>
  </si>
  <si>
    <t>maaribu</t>
  </si>
  <si>
    <t>lloydwatersandassociates</t>
  </si>
  <si>
    <t>pcparlor</t>
  </si>
  <si>
    <t>cyclallc</t>
  </si>
  <si>
    <t>nationcor</t>
  </si>
  <si>
    <t>clandestinelabz</t>
  </si>
  <si>
    <t>thewoodwardgroupinc</t>
  </si>
  <si>
    <t>facefirstinc2</t>
  </si>
  <si>
    <t>stocklogcc2</t>
  </si>
  <si>
    <t>keepingmanchesterclean</t>
  </si>
  <si>
    <t>tankwizards</t>
  </si>
  <si>
    <t>lot49llcdbabox7imports</t>
  </si>
  <si>
    <t>sterilemate</t>
  </si>
  <si>
    <t>gasketdoctor</t>
  </si>
  <si>
    <t>benbloss2</t>
  </si>
  <si>
    <t>treefrogenvironmentalproducts2</t>
  </si>
  <si>
    <t>aiointegrationsllc</t>
  </si>
  <si>
    <t>eforcecompliance</t>
  </si>
  <si>
    <t>advancedsecuritycorp</t>
  </si>
  <si>
    <t>labedahockeygear</t>
  </si>
  <si>
    <t>nfowlerbrosinc</t>
  </si>
  <si>
    <t>bawcdemo</t>
  </si>
  <si>
    <t>dosesteel2</t>
  </si>
  <si>
    <t>thecarekioskptyltd</t>
  </si>
  <si>
    <t>miabsgpteltd</t>
  </si>
  <si>
    <t>reliablefencemetrowest</t>
  </si>
  <si>
    <t>proairkc</t>
  </si>
  <si>
    <t>horticulturalalliancellc</t>
  </si>
  <si>
    <t>eighthundredandfifteenmetalworks</t>
  </si>
  <si>
    <t>revivehealthcaregroup</t>
  </si>
  <si>
    <t>sestexas</t>
  </si>
  <si>
    <t>lightingxcorp</t>
  </si>
  <si>
    <t>coloradoheartrescue</t>
  </si>
  <si>
    <t>easternwireproducts</t>
  </si>
  <si>
    <t>homestairliftrentalsltd</t>
  </si>
  <si>
    <t>Crafting Clouds Inc.</t>
  </si>
  <si>
    <t>topwatermgmt</t>
  </si>
  <si>
    <t>australiannaturalsoap</t>
  </si>
  <si>
    <t>autosynccorp</t>
  </si>
  <si>
    <t>dentalequipmentspecialists</t>
  </si>
  <si>
    <t>swjus</t>
  </si>
  <si>
    <t>honourthework</t>
  </si>
  <si>
    <t>rocklandbusinessassociation</t>
  </si>
  <si>
    <t>militarypilotsupplyoftexasllc</t>
  </si>
  <si>
    <t>centralindustrialservicegroup</t>
  </si>
  <si>
    <t>badgerham</t>
  </si>
  <si>
    <t>sandnlandscapedesign</t>
  </si>
  <si>
    <t>fundraisingbrick</t>
  </si>
  <si>
    <t>freemansreachgreenhouses</t>
  </si>
  <si>
    <t>acuitycomplianceltd</t>
  </si>
  <si>
    <t>megatruckingllc</t>
  </si>
  <si>
    <t>picturethisframinginc</t>
  </si>
  <si>
    <t>ctcitechnology5</t>
  </si>
  <si>
    <t>mokanfastenerandsupply</t>
  </si>
  <si>
    <t>youthtennissandiego</t>
  </si>
  <si>
    <t>nblepdbahomewatchsuncoast</t>
  </si>
  <si>
    <t>cleverblu</t>
  </si>
  <si>
    <t>siapinhorticultureinc</t>
  </si>
  <si>
    <t>classicexhaustsystemsllc</t>
  </si>
  <si>
    <t>aaapws</t>
  </si>
  <si>
    <t>lindaahamiltoncpallc</t>
  </si>
  <si>
    <t>Method:Proposals for Xero</t>
  </si>
  <si>
    <t>artisanclassicorganinc</t>
  </si>
  <si>
    <t>hoosierhomewatchservice</t>
  </si>
  <si>
    <t>assembledproductspecialists</t>
  </si>
  <si>
    <t>superiorcleaningequipmentinc</t>
  </si>
  <si>
    <t>nuthatch</t>
  </si>
  <si>
    <t>bulldogonsite</t>
  </si>
  <si>
    <t>commercialequipmentservices</t>
  </si>
  <si>
    <t>ottequipment2</t>
  </si>
  <si>
    <t>Kibler It Services</t>
  </si>
  <si>
    <t>mountwaterwelldrilling</t>
  </si>
  <si>
    <t>amarenusa</t>
  </si>
  <si>
    <t>straightlinegrout</t>
  </si>
  <si>
    <t>awcomm2</t>
  </si>
  <si>
    <t>durawattle</t>
  </si>
  <si>
    <t>bayareamolding2</t>
  </si>
  <si>
    <t>advancedhomewatch2</t>
  </si>
  <si>
    <t>rufusbuilderservices</t>
  </si>
  <si>
    <t>madfarm</t>
  </si>
  <si>
    <t>memiairellc</t>
  </si>
  <si>
    <t>rockymountainstickerco</t>
  </si>
  <si>
    <t>allfloridawallsystems2</t>
  </si>
  <si>
    <t>floorsetc</t>
  </si>
  <si>
    <t>partontreeservicesllc</t>
  </si>
  <si>
    <t>propercarehomeservices</t>
  </si>
  <si>
    <t>koalathomeservices</t>
  </si>
  <si>
    <t>kabsolution2</t>
  </si>
  <si>
    <t>mountainshadowsmartialarts2</t>
  </si>
  <si>
    <t>waynetseventyllc2</t>
  </si>
  <si>
    <t>reaganwirelesscorp</t>
  </si>
  <si>
    <t>jacksonvillefl</t>
  </si>
  <si>
    <t>omnivisionhomeservicesllc</t>
  </si>
  <si>
    <t>hausermaninstalls</t>
  </si>
  <si>
    <t>superiorasphalt3</t>
  </si>
  <si>
    <t>rawlovesunscreen</t>
  </si>
  <si>
    <t>nearymartin</t>
  </si>
  <si>
    <t>latitudepark2</t>
  </si>
  <si>
    <t>confidentialdatadisposal</t>
  </si>
  <si>
    <t>medallionfence</t>
  </si>
  <si>
    <t>laserconnectionllc</t>
  </si>
  <si>
    <t>dossierwine</t>
  </si>
  <si>
    <t>clarkbookkeepingservicesllc</t>
  </si>
  <si>
    <t>acute</t>
  </si>
  <si>
    <t>pspglobalwines2</t>
  </si>
  <si>
    <t>eastdevontreecareltd</t>
  </si>
  <si>
    <t>esmtx2</t>
  </si>
  <si>
    <t>moeller</t>
  </si>
  <si>
    <t>consumerappliances</t>
  </si>
  <si>
    <t>cmavconsulting4</t>
  </si>
  <si>
    <t>emptynesthomeservices</t>
  </si>
  <si>
    <t>rivercitydoor3</t>
  </si>
  <si>
    <t>riverworks</t>
  </si>
  <si>
    <t>trekntidetechpros</t>
  </si>
  <si>
    <t>paradisefoundhomewatchllc</t>
  </si>
  <si>
    <t>ohmtextilerestoration1</t>
  </si>
  <si>
    <t>mauihomeelements</t>
  </si>
  <si>
    <t>byisbeveragellc2</t>
  </si>
  <si>
    <t>nwremarketing3</t>
  </si>
  <si>
    <t>ghentindustrialsupplyinc</t>
  </si>
  <si>
    <t>wpvc2</t>
  </si>
  <si>
    <t>emerytusadvisorsllc</t>
  </si>
  <si>
    <t>miminternationalinc</t>
  </si>
  <si>
    <t>m18subscribekmppartnermanaged</t>
  </si>
  <si>
    <t>Method Test</t>
  </si>
  <si>
    <t>kiblerenterprises</t>
  </si>
  <si>
    <t>thegaragemakeovercompany</t>
  </si>
  <si>
    <t>threehundredandninepaving2</t>
  </si>
  <si>
    <t>thedentfix</t>
  </si>
  <si>
    <t>donecdistributors</t>
  </si>
  <si>
    <t>heartlandforestconsultingllc</t>
  </si>
  <si>
    <t>collectivesociety</t>
  </si>
  <si>
    <t>deerparkstairs2</t>
  </si>
  <si>
    <t>cmavconsultingmx</t>
  </si>
  <si>
    <t>taxbizusa2</t>
  </si>
  <si>
    <t>belgraviahomeservices</t>
  </si>
  <si>
    <t>sanantoniotx</t>
  </si>
  <si>
    <t>howardcountymd</t>
  </si>
  <si>
    <t>metaltechinc2</t>
  </si>
  <si>
    <t>kenwoodkitchens</t>
  </si>
  <si>
    <t>strongwellness</t>
  </si>
  <si>
    <t>serigging</t>
  </si>
  <si>
    <t>firesafetysolutions</t>
  </si>
  <si>
    <t>jfsenterprises</t>
  </si>
  <si>
    <t>abhasafinancialservices2</t>
  </si>
  <si>
    <t>customhoseus</t>
  </si>
  <si>
    <t>artbrandsholdings</t>
  </si>
  <si>
    <t>homeicenorthamerica2</t>
  </si>
  <si>
    <t>midwestbuildingsupply</t>
  </si>
  <si>
    <t>bl2systemsllc</t>
  </si>
  <si>
    <t>todaytomorrowapparel</t>
  </si>
  <si>
    <t>kodiakbreakersandsuppliesinc</t>
  </si>
  <si>
    <t>integratedmedical</t>
  </si>
  <si>
    <t>newlevelproperties2</t>
  </si>
  <si>
    <t>precisiondoors3</t>
  </si>
  <si>
    <t>efficientheatingandair</t>
  </si>
  <si>
    <t>selectgroupservices</t>
  </si>
  <si>
    <t>elhtruckandtrailer</t>
  </si>
  <si>
    <t>amtonllcbabyclubchic</t>
  </si>
  <si>
    <t>thomashayesstudio3</t>
  </si>
  <si>
    <t>vanguardelevator</t>
  </si>
  <si>
    <t>livingwaterimprovements</t>
  </si>
  <si>
    <t>trinitysiteservices</t>
  </si>
  <si>
    <t>cfodirect</t>
  </si>
  <si>
    <t>grazianobrothers</t>
  </si>
  <si>
    <t>mountainelectricllc3</t>
  </si>
  <si>
    <t>uniquewoodfloor</t>
  </si>
  <si>
    <t>iservebiomedical</t>
  </si>
  <si>
    <t>sacsboge</t>
  </si>
  <si>
    <t>asocietygroupinc</t>
  </si>
  <si>
    <t>perryco</t>
  </si>
  <si>
    <t>topoffice</t>
  </si>
  <si>
    <t>internationalstairproductsinc</t>
  </si>
  <si>
    <t>webcoteindustries2</t>
  </si>
  <si>
    <t>bassickinsights</t>
  </si>
  <si>
    <t>drinkade</t>
  </si>
  <si>
    <t>cdalighting</t>
  </si>
  <si>
    <t>getorganized</t>
  </si>
  <si>
    <t>statewideoregon</t>
  </si>
  <si>
    <t>jimslandscapeandlawncarellc</t>
  </si>
  <si>
    <t>makej</t>
  </si>
  <si>
    <t>rscinc2</t>
  </si>
  <si>
    <t>theyardml</t>
  </si>
  <si>
    <t>fenixautomotivedesignllc2</t>
  </si>
  <si>
    <t>prompterpeople2</t>
  </si>
  <si>
    <t>youbetulaenvironmentalinc</t>
  </si>
  <si>
    <t>foreverflawless6</t>
  </si>
  <si>
    <t>r365itservicesinc2</t>
  </si>
  <si>
    <t>jjsprotap</t>
  </si>
  <si>
    <t>bonchazbakerycafeinc</t>
  </si>
  <si>
    <t>mailsouthjerseyllc</t>
  </si>
  <si>
    <t>southeastenterprise</t>
  </si>
  <si>
    <t>nandmhomeservices</t>
  </si>
  <si>
    <t>seriantinspections</t>
  </si>
  <si>
    <t>safeguardsecurityservicesinc</t>
  </si>
  <si>
    <t>marispropertymanagementandcleaningsvcs</t>
  </si>
  <si>
    <t>fosterus</t>
  </si>
  <si>
    <t>techtimecommunications</t>
  </si>
  <si>
    <t>inversionesroda</t>
  </si>
  <si>
    <t>zinggreen3</t>
  </si>
  <si>
    <t>rescomdesignssc</t>
  </si>
  <si>
    <t>oseanc</t>
  </si>
  <si>
    <t>upstateanodizellc</t>
  </si>
  <si>
    <t>allexhibitsolutions</t>
  </si>
  <si>
    <t>geonovideveloment</t>
  </si>
  <si>
    <t>independentcompressorservices</t>
  </si>
  <si>
    <t>customindustrial2</t>
  </si>
  <si>
    <t>trademarksafetyandrescueltd</t>
  </si>
  <si>
    <t>altirosolutions</t>
  </si>
  <si>
    <t>apexpetroleum</t>
  </si>
  <si>
    <t>icandyenergydrink</t>
  </si>
  <si>
    <t>kingofmushrooms2</t>
  </si>
  <si>
    <t>thecelticgroup</t>
  </si>
  <si>
    <t>edwardstreeandlandscapellc</t>
  </si>
  <si>
    <t>vialarm</t>
  </si>
  <si>
    <t>rcmaintenanceandremodelinginc</t>
  </si>
  <si>
    <t>solshinehair</t>
  </si>
  <si>
    <t>dpalex</t>
  </si>
  <si>
    <t>firsttrackscoldbrew</t>
  </si>
  <si>
    <t>gothamcleaners</t>
  </si>
  <si>
    <t>sheffieldsupplyandequipment</t>
  </si>
  <si>
    <t>sheffieldsupplyandequipmentoftexasllc</t>
  </si>
  <si>
    <t>crimsonimaging</t>
  </si>
  <si>
    <t>bioskinaestheticsinc</t>
  </si>
  <si>
    <t>tangiblecreative2</t>
  </si>
  <si>
    <t>biocleanwa</t>
  </si>
  <si>
    <t>monetwaterandicellc2</t>
  </si>
  <si>
    <t>willamettevalleyitpros</t>
  </si>
  <si>
    <t>capellasystemsllc</t>
  </si>
  <si>
    <t>andersontradecorporation</t>
  </si>
  <si>
    <t>wainsecurityinc5</t>
  </si>
  <si>
    <t>sacredstudiosinc</t>
  </si>
  <si>
    <t>flplumbing</t>
  </si>
  <si>
    <t>gogetit24</t>
  </si>
  <si>
    <t>c4effects</t>
  </si>
  <si>
    <t>konnectenergy</t>
  </si>
  <si>
    <t>suitepieces</t>
  </si>
  <si>
    <t>brandxmetalsinc2</t>
  </si>
  <si>
    <t>osea2</t>
  </si>
  <si>
    <t>creflodollarministrieseurope</t>
  </si>
  <si>
    <t>threespringsministriesinc</t>
  </si>
  <si>
    <t>wedgwoodgardencenterinc</t>
  </si>
  <si>
    <t>rakit3</t>
  </si>
  <si>
    <t>emeryallen2</t>
  </si>
  <si>
    <t>tophathomecomfortservices2</t>
  </si>
  <si>
    <t>ultimax</t>
  </si>
  <si>
    <t>africanchoicemarketltd</t>
  </si>
  <si>
    <t>candhaggregatesllc</t>
  </si>
  <si>
    <t>dtsdirect</t>
  </si>
  <si>
    <t>trinityfinancialservicesofexeterllc</t>
  </si>
  <si>
    <t>legacysipsllc</t>
  </si>
  <si>
    <t>grantsgardens</t>
  </si>
  <si>
    <t>shrinkwrappingsupplies</t>
  </si>
  <si>
    <t>statestreetproductsllc</t>
  </si>
  <si>
    <t>youngblutag</t>
  </si>
  <si>
    <t>sjeccdfoundation</t>
  </si>
  <si>
    <t>geekoutsolutions</t>
  </si>
  <si>
    <t>valuationlitigation</t>
  </si>
  <si>
    <t>goojdesign2</t>
  </si>
  <si>
    <t>masterwash</t>
  </si>
  <si>
    <t>neillwellservicesllc</t>
  </si>
  <si>
    <t>uselitegear</t>
  </si>
  <si>
    <t>hemmaliving</t>
  </si>
  <si>
    <t>trifunoretailsolutionsinc</t>
  </si>
  <si>
    <t>plasmaprocessgroup4</t>
  </si>
  <si>
    <t>poseidonmemorialreef</t>
  </si>
  <si>
    <t>ruizlopezcpa</t>
  </si>
  <si>
    <t>lbvision</t>
  </si>
  <si>
    <t>readyvista</t>
  </si>
  <si>
    <t>gulflandservices</t>
  </si>
  <si>
    <t>kiotel</t>
  </si>
  <si>
    <t>thirtysixbbackgroundchecks</t>
  </si>
  <si>
    <t>helenarosejewelry</t>
  </si>
  <si>
    <t>big</t>
  </si>
  <si>
    <t>eneconcorporation</t>
  </si>
  <si>
    <t>gowesttshirtcompany</t>
  </si>
  <si>
    <t>renogreenlandscaping</t>
  </si>
  <si>
    <t>krakenhomeservicesllc</t>
  </si>
  <si>
    <t>prosourcegroup</t>
  </si>
  <si>
    <t>clleanfacilitymaintenanceservices</t>
  </si>
  <si>
    <t>bpmservices</t>
  </si>
  <si>
    <t>signaramaoakville</t>
  </si>
  <si>
    <t>americansupplycompanyinc</t>
  </si>
  <si>
    <t>decopanels2</t>
  </si>
  <si>
    <t>roeblingandcollc</t>
  </si>
  <si>
    <t>savannahsurfaces2</t>
  </si>
  <si>
    <t>a1solarconsultingllc</t>
  </si>
  <si>
    <t>canadawestgaragedoorslp</t>
  </si>
  <si>
    <t>strigliaenterprisesdemos</t>
  </si>
  <si>
    <t>qikturfllc</t>
  </si>
  <si>
    <t>triteksystemsinc</t>
  </si>
  <si>
    <t>justgaragedoors</t>
  </si>
  <si>
    <t>milanieng</t>
  </si>
  <si>
    <t>larryssausage</t>
  </si>
  <si>
    <t>floridastacks</t>
  </si>
  <si>
    <t>katiethecleaninglady</t>
  </si>
  <si>
    <t>fontainebleaulakessinglefamilyhomeswesthoa</t>
  </si>
  <si>
    <t>digpig</t>
  </si>
  <si>
    <t>camelenergyinc</t>
  </si>
  <si>
    <t>bamglobal</t>
  </si>
  <si>
    <t>myfearlessbookkeeper</t>
  </si>
  <si>
    <t>bundlrco</t>
  </si>
  <si>
    <t>bandtcommunicationsinc3</t>
  </si>
  <si>
    <t>silverlinejudaica</t>
  </si>
  <si>
    <t>mobilitycityholdings</t>
  </si>
  <si>
    <t>lumasam</t>
  </si>
  <si>
    <t>acesecurityakron</t>
  </si>
  <si>
    <t>mycologicalnaturalproducts</t>
  </si>
  <si>
    <t>empireheatingandairconditioning</t>
  </si>
  <si>
    <t>agienviroclean2</t>
  </si>
  <si>
    <t>artcofabricsnorthamericainc2</t>
  </si>
  <si>
    <t>winchesterjacllc</t>
  </si>
  <si>
    <t>decohomesupplyllc</t>
  </si>
  <si>
    <t>reallygoodproperty</t>
  </si>
  <si>
    <t>ssifiresolutions</t>
  </si>
  <si>
    <t>pneusquebecnet</t>
  </si>
  <si>
    <t>hybridelectronics4</t>
  </si>
  <si>
    <t>stamfordtimeandco</t>
  </si>
  <si>
    <t>federationfuels</t>
  </si>
  <si>
    <t>nexthirestaffcorp</t>
  </si>
  <si>
    <t>crystalwaterpoolservices</t>
  </si>
  <si>
    <t>adamsandassociatesaccountingadvisors</t>
  </si>
  <si>
    <t>catsfilters</t>
  </si>
  <si>
    <t>ukroozeoforlando</t>
  </si>
  <si>
    <t>morgancustomwindows</t>
  </si>
  <si>
    <t>controlconceptsinc</t>
  </si>
  <si>
    <t>jellchemicals</t>
  </si>
  <si>
    <t>eagledx</t>
  </si>
  <si>
    <t>affordablequalitypainting</t>
  </si>
  <si>
    <t>aquaticnutritioninc</t>
  </si>
  <si>
    <t>westcoastexhibit</t>
  </si>
  <si>
    <t>piperproperties</t>
  </si>
  <si>
    <t>cefiro4</t>
  </si>
  <si>
    <t>hamptonroadsdownsizing</t>
  </si>
  <si>
    <t>alltrussinc</t>
  </si>
  <si>
    <t>tarheelgeneratorservices</t>
  </si>
  <si>
    <t>tekkometals</t>
  </si>
  <si>
    <t>countryclubhomewatch</t>
  </si>
  <si>
    <t>harborcitysupply</t>
  </si>
  <si>
    <t>lacrews2</t>
  </si>
  <si>
    <t>stream9</t>
  </si>
  <si>
    <t>emlinc</t>
  </si>
  <si>
    <t>beaconhill</t>
  </si>
  <si>
    <t>jetprosmaintenance</t>
  </si>
  <si>
    <t>realledgersfinancialpllc</t>
  </si>
  <si>
    <t>totalbiomasssolution</t>
  </si>
  <si>
    <t>worryfreefood</t>
  </si>
  <si>
    <t>prevasive</t>
  </si>
  <si>
    <t>thebuyingnetwork2</t>
  </si>
  <si>
    <t>worksafetyllc</t>
  </si>
  <si>
    <t>universalwaste</t>
  </si>
  <si>
    <t>sunsetturfandlandscapellc2</t>
  </si>
  <si>
    <t>sitepieces2</t>
  </si>
  <si>
    <t>manotickheatingandcoolinginc</t>
  </si>
  <si>
    <t>digitalmindspr</t>
  </si>
  <si>
    <t>sterlingfulfillmentinc2</t>
  </si>
  <si>
    <t>mtkinternational</t>
  </si>
  <si>
    <t>steelecomponents</t>
  </si>
  <si>
    <t>disabilitysa3</t>
  </si>
  <si>
    <t>heavisideindustriesinc</t>
  </si>
  <si>
    <t>ezbrandsllc</t>
  </si>
  <si>
    <t>boninfantefriction2</t>
  </si>
  <si>
    <t>wixconsultingltd</t>
  </si>
  <si>
    <t>ontariowaterpowerassociation</t>
  </si>
  <si>
    <t>pricepointbuying2</t>
  </si>
  <si>
    <t>hedlundpainting</t>
  </si>
  <si>
    <t>villagehomewatchandservices</t>
  </si>
  <si>
    <t>cwidigital</t>
  </si>
  <si>
    <t>categorycreations</t>
  </si>
  <si>
    <t>nspireexperts</t>
  </si>
  <si>
    <t>gulfharvest2</t>
  </si>
  <si>
    <t>justiceinc2</t>
  </si>
  <si>
    <t>equiproltd</t>
  </si>
  <si>
    <t>hallbeck</t>
  </si>
  <si>
    <t>metroemergencyupfittersllc</t>
  </si>
  <si>
    <t>aviationpartshub</t>
  </si>
  <si>
    <t>harbertcastingrepair</t>
  </si>
  <si>
    <t>compass5</t>
  </si>
  <si>
    <t>homewatchitdoo</t>
  </si>
  <si>
    <t>alpenglowelevatedpropertymanagement</t>
  </si>
  <si>
    <t>capitalabrasivesllc</t>
  </si>
  <si>
    <t>goodinassociatesltd3</t>
  </si>
  <si>
    <t>scoozievents</t>
  </si>
  <si>
    <t>capokb</t>
  </si>
  <si>
    <t>rjdrews3</t>
  </si>
  <si>
    <t>parsene</t>
  </si>
  <si>
    <t>proautodealersupplyinc</t>
  </si>
  <si>
    <t>davishoseinc</t>
  </si>
  <si>
    <t>accesscasters3</t>
  </si>
  <si>
    <t>forensixconsulting</t>
  </si>
  <si>
    <t>greenvillesc</t>
  </si>
  <si>
    <t>georgiapowdercoating3</t>
  </si>
  <si>
    <t>highlandslatincottageschoolbillings</t>
  </si>
  <si>
    <t>maxwellequipmentcompanyinc</t>
  </si>
  <si>
    <t>melodiqagency2</t>
  </si>
  <si>
    <t>electronet</t>
  </si>
  <si>
    <t>projectmastercr</t>
  </si>
  <si>
    <t>anzengineering3</t>
  </si>
  <si>
    <t>roomelandsurveying</t>
  </si>
  <si>
    <t>southernfluidsystemsinc</t>
  </si>
  <si>
    <t>bathtubdoctor3</t>
  </si>
  <si>
    <t>intermeuble2</t>
  </si>
  <si>
    <t>smakdab</t>
  </si>
  <si>
    <t>stevenenterprises2</t>
  </si>
  <si>
    <t>merrickpremierproperties</t>
  </si>
  <si>
    <t>namesakebrewing</t>
  </si>
  <si>
    <t>questonedistributors</t>
  </si>
  <si>
    <t>planesights</t>
  </si>
  <si>
    <t>herderplumbinginc</t>
  </si>
  <si>
    <t>op76cattle</t>
  </si>
  <si>
    <t>leadcorestrategies3</t>
  </si>
  <si>
    <t>contractorslicenseprep</t>
  </si>
  <si>
    <t>diamondbladedistributorsllc</t>
  </si>
  <si>
    <t>socalfencesupply2</t>
  </si>
  <si>
    <t>titancommercialpainting</t>
  </si>
  <si>
    <t>sitechsetx3</t>
  </si>
  <si>
    <t>ritetechnology</t>
  </si>
  <si>
    <t>geotoolsusa</t>
  </si>
  <si>
    <t>modernwallsystems2</t>
  </si>
  <si>
    <t>nowcfo2</t>
  </si>
  <si>
    <t>streamlinenv</t>
  </si>
  <si>
    <t>newenglandcremationsupply</t>
  </si>
  <si>
    <t>carolinalight</t>
  </si>
  <si>
    <t>hrroofingsupply</t>
  </si>
  <si>
    <t>achiazer3</t>
  </si>
  <si>
    <t>rainfordsarboriculture2</t>
  </si>
  <si>
    <t>summitequipment</t>
  </si>
  <si>
    <t>centralauctiongroup</t>
  </si>
  <si>
    <t>jbtechnicalsupport2</t>
  </si>
  <si>
    <t>tearoffproducts2</t>
  </si>
  <si>
    <t>mcmmobilervrepairandservice</t>
  </si>
  <si>
    <t>ramireztamales</t>
  </si>
  <si>
    <t>woodlabuae</t>
  </si>
  <si>
    <t>newlevelcapital</t>
  </si>
  <si>
    <t>academiadelainmaculadaconcepcin</t>
  </si>
  <si>
    <t>aggressiveplumbing</t>
  </si>
  <si>
    <t>sanecotecltd</t>
  </si>
  <si>
    <t>elitesourcingandlogistics</t>
  </si>
  <si>
    <t>proactiveelevatorservices</t>
  </si>
  <si>
    <t>apexfiltrationservices</t>
  </si>
  <si>
    <t>imjp</t>
  </si>
  <si>
    <t>brownsafe2</t>
  </si>
  <si>
    <t>thechristcenter</t>
  </si>
  <si>
    <t>linnwest2</t>
  </si>
  <si>
    <t>smeedcommunicationservices</t>
  </si>
  <si>
    <t>hefestustech2</t>
  </si>
  <si>
    <t>advantagelandscape</t>
  </si>
  <si>
    <t>gpsbuild</t>
  </si>
  <si>
    <t>ashesiuniversitylbg4</t>
  </si>
  <si>
    <t>commonwealthindustrialinc</t>
  </si>
  <si>
    <t>wmuniformgroup</t>
  </si>
  <si>
    <t>industrialodorcontrol2</t>
  </si>
  <si>
    <t>tccsarl</t>
  </si>
  <si>
    <t>thehygeniellc</t>
  </si>
  <si>
    <t>simmonscustomgranite</t>
  </si>
  <si>
    <t>atlantictelecomllc2</t>
  </si>
  <si>
    <t>synapsetechllc</t>
  </si>
  <si>
    <t>instantjungle2</t>
  </si>
  <si>
    <t>ruedawineco</t>
  </si>
  <si>
    <t>pssmanufacturing</t>
  </si>
  <si>
    <t>blackstonesportsinc2</t>
  </si>
  <si>
    <t>kaplanforensicpsychologicalservices</t>
  </si>
  <si>
    <t>victorvilleglass</t>
  </si>
  <si>
    <t>dylanwilliamscpa</t>
  </si>
  <si>
    <t>abconlinemedia</t>
  </si>
  <si>
    <t>brindledigitalmarketing</t>
  </si>
  <si>
    <t>agribestfeeds2</t>
  </si>
  <si>
    <t>fasttrackmarketing2</t>
  </si>
  <si>
    <t>koolwaysports</t>
  </si>
  <si>
    <t>qal2</t>
  </si>
  <si>
    <t>fibercablesdirect</t>
  </si>
  <si>
    <t>cosmosbathingsystems</t>
  </si>
  <si>
    <t>theupholsteryshop</t>
  </si>
  <si>
    <t>cascadiaevergreen2</t>
  </si>
  <si>
    <t>elijahfireministries</t>
  </si>
  <si>
    <t>cuveecoffee</t>
  </si>
  <si>
    <t>cornerstonelandsurveying</t>
  </si>
  <si>
    <t>ulectrictechnologyllc</t>
  </si>
  <si>
    <t>sierracontainergroup</t>
  </si>
  <si>
    <t>nuweighscales</t>
  </si>
  <si>
    <t>intermtntestingltd</t>
  </si>
  <si>
    <t>montevitamanagement</t>
  </si>
  <si>
    <t>legalbillingsolutionsinc</t>
  </si>
  <si>
    <t>moellerplumbing</t>
  </si>
  <si>
    <t>eliteautosounds2</t>
  </si>
  <si>
    <t>lhcustomtravelinsuranceservicesllc</t>
  </si>
  <si>
    <t>mcbautobodyandcustomsltd</t>
  </si>
  <si>
    <t>appenninofoodusa</t>
  </si>
  <si>
    <t>southernelegancelandscapingllc</t>
  </si>
  <si>
    <t>codeshoppesamplecompany</t>
  </si>
  <si>
    <t>andreaniusa</t>
  </si>
  <si>
    <t>dwellxpm</t>
  </si>
  <si>
    <t>routerelieverspersonnelsolutionsinc</t>
  </si>
  <si>
    <t>indyepoxyflooring</t>
  </si>
  <si>
    <t>sevenhundredandsixteenhomewatch</t>
  </si>
  <si>
    <t>hendersonenterprises</t>
  </si>
  <si>
    <t>refinededgebladesharpening</t>
  </si>
  <si>
    <t>bloomquistsepticinspectionsllc</t>
  </si>
  <si>
    <t>macdonaldcrane</t>
  </si>
  <si>
    <t>erchelpdesk</t>
  </si>
  <si>
    <t>gothamlgt</t>
  </si>
  <si>
    <t>sanicousacorp</t>
  </si>
  <si>
    <t>dylanblakecustoms</t>
  </si>
  <si>
    <t>totalhomecontrol</t>
  </si>
  <si>
    <t>champlinassociates2</t>
  </si>
  <si>
    <t>radsuramerica</t>
  </si>
  <si>
    <t>customstripesinc</t>
  </si>
  <si>
    <t>zippyzebraplumbing</t>
  </si>
  <si>
    <t>gateguard</t>
  </si>
  <si>
    <t>criticalsolutionsltd</t>
  </si>
  <si>
    <t>nxtchlng</t>
  </si>
  <si>
    <t>journeywithjarardllc</t>
  </si>
  <si>
    <t>bestalarmcompany</t>
  </si>
  <si>
    <t>centraleaglesinc</t>
  </si>
  <si>
    <t>abideinc2</t>
  </si>
  <si>
    <t>blissgourmet</t>
  </si>
  <si>
    <t>richcor2</t>
  </si>
  <si>
    <t>cvhinternational</t>
  </si>
  <si>
    <t>anssteelbuildings</t>
  </si>
  <si>
    <t>thageel</t>
  </si>
  <si>
    <t>shopsosafe</t>
  </si>
  <si>
    <t>acentel</t>
  </si>
  <si>
    <t>absoluteworkwear</t>
  </si>
  <si>
    <t>moderncompressorsales</t>
  </si>
  <si>
    <t>newbeginningsroofingandconstructionllc</t>
  </si>
  <si>
    <t>sagehomechef</t>
  </si>
  <si>
    <t>bathformation</t>
  </si>
  <si>
    <t>thermalbridgingsolutions</t>
  </si>
  <si>
    <t>worryfreeaccounting2</t>
  </si>
  <si>
    <t>thenewbritaintransportationcompany</t>
  </si>
  <si>
    <t>thunderbirdjewelryinc3</t>
  </si>
  <si>
    <t>brynnrhodesllc</t>
  </si>
  <si>
    <t>mobilitycitylakelandfl2</t>
  </si>
  <si>
    <t>purlieulandscapes</t>
  </si>
  <si>
    <t>havanapublishinggroupinc</t>
  </si>
  <si>
    <t>pmimountainandmain</t>
  </si>
  <si>
    <t>lumerasolarinc</t>
  </si>
  <si>
    <t>donkaviagency</t>
  </si>
  <si>
    <t>stonyglencamp</t>
  </si>
  <si>
    <t>seventyonevisuals2</t>
  </si>
  <si>
    <t>tracerystone3</t>
  </si>
  <si>
    <t>gorillahammers4</t>
  </si>
  <si>
    <t>Account Ability Consulting Inc.</t>
  </si>
  <si>
    <t>greenhousefoodbank</t>
  </si>
  <si>
    <t>windywestplumbing2</t>
  </si>
  <si>
    <t>helmswifi</t>
  </si>
  <si>
    <t>safehavenhomeandpropertywatch</t>
  </si>
  <si>
    <t>collinbox4</t>
  </si>
  <si>
    <t>lonestarlinerless</t>
  </si>
  <si>
    <t>burnewiin2</t>
  </si>
  <si>
    <t>firstchoicesurveyinginc</t>
  </si>
  <si>
    <t>coxtelserv</t>
  </si>
  <si>
    <t>jaecoortho</t>
  </si>
  <si>
    <t>playgroundinstaller</t>
  </si>
  <si>
    <t>prochemtx</t>
  </si>
  <si>
    <t>beauforts</t>
  </si>
  <si>
    <t>KayKa</t>
  </si>
  <si>
    <t>communityhealthinternational</t>
  </si>
  <si>
    <t>powerplastics3</t>
  </si>
  <si>
    <t>roomelandsurveying3</t>
  </si>
  <si>
    <t>dbuoy</t>
  </si>
  <si>
    <t>constructionmaterialspecialists</t>
  </si>
  <si>
    <t>g3packaging2</t>
  </si>
  <si>
    <t>turnkeylogisticsdbamegamaterials</t>
  </si>
  <si>
    <t>independenteyewearcollective</t>
  </si>
  <si>
    <t>twentyoneagain</t>
  </si>
  <si>
    <t>vellasamycontracting</t>
  </si>
  <si>
    <t>norwooddeviceanddiagnostics</t>
  </si>
  <si>
    <t>gsi2</t>
  </si>
  <si>
    <t>floorsandtilesinc2</t>
  </si>
  <si>
    <t>billbrock</t>
  </si>
  <si>
    <t>relomypet</t>
  </si>
  <si>
    <t>armacorpinc</t>
  </si>
  <si>
    <t>shannongalvanizing2</t>
  </si>
  <si>
    <t>jramllc</t>
  </si>
  <si>
    <t>coloradobaptists2</t>
  </si>
  <si>
    <t>coffeeman</t>
  </si>
  <si>
    <t>berrybusinesssystems</t>
  </si>
  <si>
    <t>trueworldfoodsseattlellc</t>
  </si>
  <si>
    <t>gsinks</t>
  </si>
  <si>
    <t>palmchemical</t>
  </si>
  <si>
    <t>deansbeansorganiccoffee4</t>
  </si>
  <si>
    <t>procaminc2</t>
  </si>
  <si>
    <t>formersinternational5</t>
  </si>
  <si>
    <t>homeeffectsllc2</t>
  </si>
  <si>
    <t>gptmaps4</t>
  </si>
  <si>
    <t>promaxpropertymanagement</t>
  </si>
  <si>
    <t>cravins</t>
  </si>
  <si>
    <t>industrimax2</t>
  </si>
  <si>
    <t>truestrideflooring</t>
  </si>
  <si>
    <t>bestquiltsewknitproductsltd</t>
  </si>
  <si>
    <t>autosan</t>
  </si>
  <si>
    <t>renaissancehomerepairandhaulingllc</t>
  </si>
  <si>
    <t>conservationandmuseumservices</t>
  </si>
  <si>
    <t>btslandclearing</t>
  </si>
  <si>
    <t>sandboxcrojack</t>
  </si>
  <si>
    <t>lubecorenortheastllc</t>
  </si>
  <si>
    <t>davidzuidemainc</t>
  </si>
  <si>
    <t>araocigars</t>
  </si>
  <si>
    <t>sslintlcorp</t>
  </si>
  <si>
    <t>maureenleugersllc</t>
  </si>
  <si>
    <t>tanfirealarms</t>
  </si>
  <si>
    <t>shieldkc</t>
  </si>
  <si>
    <t>donamireyainc</t>
  </si>
  <si>
    <t>churchnurds</t>
  </si>
  <si>
    <t>paulbergeronjrcontractinginc3</t>
  </si>
  <si>
    <t>thesportslinkinc</t>
  </si>
  <si>
    <t>homeplacerisksolutions2</t>
  </si>
  <si>
    <t>glensafetechnologyinc</t>
  </si>
  <si>
    <t>industrialaccesscontrols5</t>
  </si>
  <si>
    <t>dieselinsurance</t>
  </si>
  <si>
    <t>fptsinc</t>
  </si>
  <si>
    <t>victortransport</t>
  </si>
  <si>
    <t>fourlane4</t>
  </si>
  <si>
    <t>activansweraudioimagesinternationalinc</t>
  </si>
  <si>
    <t>airtecusa</t>
  </si>
  <si>
    <t>m8trixcommunications2</t>
  </si>
  <si>
    <t>surdejwebsolutions</t>
  </si>
  <si>
    <t>peakperformancecampers</t>
  </si>
  <si>
    <t>mobilitycityoftampafl</t>
  </si>
  <si>
    <t>consolidatedservicesgroupofexeterllc</t>
  </si>
  <si>
    <t>ccdoortech</t>
  </si>
  <si>
    <t>jeffgibbsteakdeckrepairs</t>
  </si>
  <si>
    <t>brazukacorp</t>
  </si>
  <si>
    <t>echolifellc</t>
  </si>
  <si>
    <t>faxexpress4</t>
  </si>
  <si>
    <t>evenmix</t>
  </si>
  <si>
    <t>jasecommercialcleaning2</t>
  </si>
  <si>
    <t>ckactdepotllc</t>
  </si>
  <si>
    <t>imagetelephonellc</t>
  </si>
  <si>
    <t>pokaccounting</t>
  </si>
  <si>
    <t>columbianeon</t>
  </si>
  <si>
    <t>jdcsupply</t>
  </si>
  <si>
    <t>cassinala2</t>
  </si>
  <si>
    <t>proxose</t>
  </si>
  <si>
    <t>keygardener</t>
  </si>
  <si>
    <t>missionlaundryequipment3</t>
  </si>
  <si>
    <t>fullerholdingsllc</t>
  </si>
  <si>
    <t>gymtechfitness</t>
  </si>
  <si>
    <t>alliedtechnical</t>
  </si>
  <si>
    <t>americansafetyandfirehouse</t>
  </si>
  <si>
    <t>ipibybison</t>
  </si>
  <si>
    <t>seimi</t>
  </si>
  <si>
    <t>jadexteriors3</t>
  </si>
  <si>
    <t>sigscompany</t>
  </si>
  <si>
    <t>kb24communicationsinc</t>
  </si>
  <si>
    <t>tyrinternationalinc</t>
  </si>
  <si>
    <t>teldataenterprisenetworks2</t>
  </si>
  <si>
    <t>gcdoorsandclosets</t>
  </si>
  <si>
    <t>terrastonellc2</t>
  </si>
  <si>
    <t>laurelharbormarinaandyachtclub</t>
  </si>
  <si>
    <t>technometalpostofseattle</t>
  </si>
  <si>
    <t>evmax</t>
  </si>
  <si>
    <t>revivalhome</t>
  </si>
  <si>
    <t>risecannabis</t>
  </si>
  <si>
    <t>battlerattle</t>
  </si>
  <si>
    <t>technicaledgeboatingllc</t>
  </si>
  <si>
    <t>rgasphaltandconcrete</t>
  </si>
  <si>
    <t>aragososouthllc</t>
  </si>
  <si>
    <t>wavefitech</t>
  </si>
  <si>
    <t>dipietroandassociatesinc</t>
  </si>
  <si>
    <t>windowfitters</t>
  </si>
  <si>
    <t>cmtenvironmetnalcontrols</t>
  </si>
  <si>
    <t>stickersandmore4</t>
  </si>
  <si>
    <t>grindstoneelectricalandmaintenance2</t>
  </si>
  <si>
    <t>blaneysappliancerepairllc</t>
  </si>
  <si>
    <t>fetterenterprisesincdbadebrovys</t>
  </si>
  <si>
    <t>genevaservicesltd</t>
  </si>
  <si>
    <t>els3</t>
  </si>
  <si>
    <t>metspeedlabel</t>
  </si>
  <si>
    <t>Fast Trac Consulting</t>
  </si>
  <si>
    <t>lubelska</t>
  </si>
  <si>
    <t>hyfloequipmentcompany3</t>
  </si>
  <si>
    <t>tinyhomesofhope</t>
  </si>
  <si>
    <t>wcsoilworks</t>
  </si>
  <si>
    <t>safetouch</t>
  </si>
  <si>
    <t>advancedmarinefabricationllc2</t>
  </si>
  <si>
    <t>capstc</t>
  </si>
  <si>
    <t>scottduttonassociates</t>
  </si>
  <si>
    <t>honestwaterfilter</t>
  </si>
  <si>
    <t>homewatchofarizona3</t>
  </si>
  <si>
    <t>process360pbc</t>
  </si>
  <si>
    <t>destinleakdetection2</t>
  </si>
  <si>
    <t>allmakeappliances</t>
  </si>
  <si>
    <t>novalighting</t>
  </si>
  <si>
    <t>datacentersolutions</t>
  </si>
  <si>
    <t>wnetworking</t>
  </si>
  <si>
    <t>allforfamily</t>
  </si>
  <si>
    <t>easfireservices</t>
  </si>
  <si>
    <t>littlehornengineeringllc</t>
  </si>
  <si>
    <t>healthcaremaintenanceservices</t>
  </si>
  <si>
    <t>ssisanitary</t>
  </si>
  <si>
    <t>highendcompaniesllc</t>
  </si>
  <si>
    <t>waycosalesinc</t>
  </si>
  <si>
    <t>mastercraneandhoist</t>
  </si>
  <si>
    <t>octopusgdn</t>
  </si>
  <si>
    <t>westernheatingandairllc</t>
  </si>
  <si>
    <t>vandalenindustries</t>
  </si>
  <si>
    <t>cotektheamericas</t>
  </si>
  <si>
    <t>brontebaycpaprofessionalcorporation2</t>
  </si>
  <si>
    <t>bluewatercas2</t>
  </si>
  <si>
    <t>mammothlive2</t>
  </si>
  <si>
    <t>westernslopefire</t>
  </si>
  <si>
    <t>bandbshowroom</t>
  </si>
  <si>
    <t>dragonpowerpromo</t>
  </si>
  <si>
    <t>bluegrasspoolmanagement</t>
  </si>
  <si>
    <t>duttonarchitecturepllc</t>
  </si>
  <si>
    <t>pacificmicrosystemsllc</t>
  </si>
  <si>
    <t>completeplumbingservicesinc</t>
  </si>
  <si>
    <t>adoninetworks</t>
  </si>
  <si>
    <t>marlinzpharma2</t>
  </si>
  <si>
    <t>resilientfireprotection</t>
  </si>
  <si>
    <t>worldnetworksystems</t>
  </si>
  <si>
    <t>sublimatetechnologiesllc</t>
  </si>
  <si>
    <t>studiopartnership</t>
  </si>
  <si>
    <t>rivergatedoorsupply</t>
  </si>
  <si>
    <t>threethirteeninc</t>
  </si>
  <si>
    <t>airtechsolutions</t>
  </si>
  <si>
    <t>jollygl</t>
  </si>
  <si>
    <t>mikalacorporation</t>
  </si>
  <si>
    <t>a1treeservices2</t>
  </si>
  <si>
    <t>a1forestrygroupllc2</t>
  </si>
  <si>
    <t>a1vegetationmanagement</t>
  </si>
  <si>
    <t>manexusa5</t>
  </si>
  <si>
    <t>maritimegoodfood</t>
  </si>
  <si>
    <t>synova</t>
  </si>
  <si>
    <t>egfservicesinc</t>
  </si>
  <si>
    <t>ngi</t>
  </si>
  <si>
    <t>gotaguy</t>
  </si>
  <si>
    <t>renovvo</t>
  </si>
  <si>
    <t>coulombengineeringinc</t>
  </si>
  <si>
    <t>stockman</t>
  </si>
  <si>
    <t>azequipmentrepair</t>
  </si>
  <si>
    <t>expresscrossdockingllc</t>
  </si>
  <si>
    <t>superior5</t>
  </si>
  <si>
    <t>lucidpay</t>
  </si>
  <si>
    <t>deltalogisticsinc</t>
  </si>
  <si>
    <t>terraboundsolutions</t>
  </si>
  <si>
    <t>intercontinentaltraderinc</t>
  </si>
  <si>
    <t>garagedoorworks2</t>
  </si>
  <si>
    <t>agtbookkeeping</t>
  </si>
  <si>
    <t>magicbreezekombucha</t>
  </si>
  <si>
    <t>pittmanoilcompany</t>
  </si>
  <si>
    <t>whiteriverblasters</t>
  </si>
  <si>
    <t>gonzalezcarpetsuppliesllc</t>
  </si>
  <si>
    <t>skyprogressdigital</t>
  </si>
  <si>
    <t>ercsolutionsinc</t>
  </si>
  <si>
    <t>fcs3</t>
  </si>
  <si>
    <t>elev8equipment</t>
  </si>
  <si>
    <t>oakridgefoamandcoatingsystemsinc</t>
  </si>
  <si>
    <t>ercsolutions</t>
  </si>
  <si>
    <t>sfcconstruction</t>
  </si>
  <si>
    <t>masterchefpr2</t>
  </si>
  <si>
    <t>letgracein</t>
  </si>
  <si>
    <t>rockymountainelectricandcontrolllc</t>
  </si>
  <si>
    <t>baymonservalllp</t>
  </si>
  <si>
    <t>cleanslatefinancialservices</t>
  </si>
  <si>
    <t>premiersiteservices</t>
  </si>
  <si>
    <t>cuttingboardsofflorida</t>
  </si>
  <si>
    <t>earthworksnaturalorganics</t>
  </si>
  <si>
    <t>Cleanslate Financial Services</t>
  </si>
  <si>
    <t>titansportsflooring</t>
  </si>
  <si>
    <t>cardinalcomms3</t>
  </si>
  <si>
    <t>mastcontracting</t>
  </si>
  <si>
    <t>protronixcontrols3</t>
  </si>
  <si>
    <t>mtsforqb</t>
  </si>
  <si>
    <t>bcacunderground</t>
  </si>
  <si>
    <t>epssignsupply2</t>
  </si>
  <si>
    <t>greeleyweldcountyairportauthority</t>
  </si>
  <si>
    <t>bisonoutdoorproducts2</t>
  </si>
  <si>
    <t>reddox</t>
  </si>
  <si>
    <t>buhlerpainting</t>
  </si>
  <si>
    <t>apexadvisorsus</t>
  </si>
  <si>
    <t>handicapsign</t>
  </si>
  <si>
    <t>dennisonlubricantsinc</t>
  </si>
  <si>
    <t>impressionav</t>
  </si>
  <si>
    <t>haseebkhan</t>
  </si>
  <si>
    <t>ahlan</t>
  </si>
  <si>
    <t>fmcpreschool</t>
  </si>
  <si>
    <t>stayathomebookkeepingmoms</t>
  </si>
  <si>
    <t>northwestcommunities</t>
  </si>
  <si>
    <t>markhhookerandassociates</t>
  </si>
  <si>
    <t>kingandqueenofclean2</t>
  </si>
  <si>
    <t>luuhalexx</t>
  </si>
  <si>
    <t>almeidacontbil</t>
  </si>
  <si>
    <t>dipanddowglassworks2</t>
  </si>
  <si>
    <t>scotchtownhills</t>
  </si>
  <si>
    <t>Method:FieldServices for Xero</t>
  </si>
  <si>
    <t>appraisalsandevaluations</t>
  </si>
  <si>
    <t>latinoconsultingandnotarygroupllc</t>
  </si>
  <si>
    <t>beselerconstruction</t>
  </si>
  <si>
    <t>williamsservicesgroup</t>
  </si>
  <si>
    <t>ampedsoftwareusa</t>
  </si>
  <si>
    <t>dallascountyhealthdepartment</t>
  </si>
  <si>
    <t>legacyplumbing26</t>
  </si>
  <si>
    <t>princemanagement</t>
  </si>
  <si>
    <t>orko</t>
  </si>
  <si>
    <t>csw2</t>
  </si>
  <si>
    <t>alfrescoheating2</t>
  </si>
  <si>
    <t>accesscarriercenter</t>
  </si>
  <si>
    <t>swathiindianmarket</t>
  </si>
  <si>
    <t>coolfixapplianceandhvacserviceltd</t>
  </si>
  <si>
    <t>twopeoplecleaning</t>
  </si>
  <si>
    <t>nomadobookkeepingllc</t>
  </si>
  <si>
    <t>starnesservicesllc</t>
  </si>
  <si>
    <t>cnjscleaningandhandyservices</t>
  </si>
  <si>
    <t>unitedglobaltradingcorp9</t>
  </si>
  <si>
    <t>obeglass</t>
  </si>
  <si>
    <t>prairiecurbsandsurfacesolutions</t>
  </si>
  <si>
    <t>bluebirdretirement</t>
  </si>
  <si>
    <t>tinkercreekcontracting</t>
  </si>
  <si>
    <t>kristyvaughanbookkeeping</t>
  </si>
  <si>
    <t>officedeals</t>
  </si>
  <si>
    <t>ameritech</t>
  </si>
  <si>
    <t>momenezzat</t>
  </si>
  <si>
    <t>mtc2</t>
  </si>
  <si>
    <t>a2zautomotivellc2</t>
  </si>
  <si>
    <t>dhanoatransportationservicesltd</t>
  </si>
  <si>
    <t>weida</t>
  </si>
  <si>
    <t>skaklsco</t>
  </si>
  <si>
    <t>precisionmedicalequipment</t>
  </si>
  <si>
    <t>miltonwbosleyandco</t>
  </si>
  <si>
    <t>jrunited3</t>
  </si>
  <si>
    <t>desertarc3</t>
  </si>
  <si>
    <t>menatropicals</t>
  </si>
  <si>
    <t>daveevans</t>
  </si>
  <si>
    <t>caroltech</t>
  </si>
  <si>
    <t>galaxycorporation</t>
  </si>
  <si>
    <t>admin4</t>
  </si>
  <si>
    <t>aqbconsultancy</t>
  </si>
  <si>
    <t>dustbunnysbegone</t>
  </si>
  <si>
    <t>aryansaas</t>
  </si>
  <si>
    <t>majdkorj</t>
  </si>
  <si>
    <t>blevinscorporation</t>
  </si>
  <si>
    <t>capturedmomentslimited13</t>
  </si>
  <si>
    <t>techsatcommunications</t>
  </si>
  <si>
    <t>pacificgeomaticslimited3</t>
  </si>
  <si>
    <t>blevinsassetmanagement</t>
  </si>
  <si>
    <t>blevinsholdings</t>
  </si>
  <si>
    <t>joly</t>
  </si>
  <si>
    <t>capitalsuppliesinc</t>
  </si>
  <si>
    <t>rrplett</t>
  </si>
  <si>
    <t>revivalsolar</t>
  </si>
  <si>
    <t>johan</t>
  </si>
  <si>
    <t>hpiunifiedinc</t>
  </si>
  <si>
    <t>thesecond2day</t>
  </si>
  <si>
    <t>trifieldenergy</t>
  </si>
  <si>
    <t>coldent</t>
  </si>
  <si>
    <t>trinivamanagementgroup</t>
  </si>
  <si>
    <t>gutierrezservices</t>
  </si>
  <si>
    <t>kerriebradshaw</t>
  </si>
  <si>
    <t>beatneed</t>
  </si>
  <si>
    <t>comfortworkspace</t>
  </si>
  <si>
    <t>naim</t>
  </si>
  <si>
    <t>adfaengr</t>
  </si>
  <si>
    <t>harmonyalexapressllc</t>
  </si>
  <si>
    <t>theneurobridge</t>
  </si>
  <si>
    <t>ameliaservicegroup</t>
  </si>
  <si>
    <t>prestigeelectricllc3</t>
  </si>
  <si>
    <t>hylprojectsolutionsinc</t>
  </si>
  <si>
    <t>onestchoicegeneralservicesinc</t>
  </si>
  <si>
    <t>bestelitecleaningservicesinc</t>
  </si>
  <si>
    <t>crawfordmovingandstorage</t>
  </si>
  <si>
    <t>mpinc</t>
  </si>
  <si>
    <t>elderco</t>
  </si>
  <si>
    <t>growconstruction2</t>
  </si>
  <si>
    <t>pakarcctvmsdnbhd4</t>
  </si>
  <si>
    <t>balanceupaccounting3</t>
  </si>
  <si>
    <t>aiimagingsupplies</t>
  </si>
  <si>
    <t>cajunkleenproductsllc</t>
  </si>
  <si>
    <t>millermobility</t>
  </si>
  <si>
    <t>thebartoncocarpets</t>
  </si>
  <si>
    <t>shxrlxy</t>
  </si>
  <si>
    <t>mobilitycityoflubbocktx</t>
  </si>
  <si>
    <t>creativeedgephotostudio</t>
  </si>
  <si>
    <t>cladform</t>
  </si>
  <si>
    <t>jmorigintechnosoftpvtltd</t>
  </si>
  <si>
    <t>leon</t>
  </si>
  <si>
    <t>embolx</t>
  </si>
  <si>
    <t>cladform2</t>
  </si>
  <si>
    <t>lakeloreleiohio</t>
  </si>
  <si>
    <t>woodfieldpress</t>
  </si>
  <si>
    <t>rayhan</t>
  </si>
  <si>
    <t>eliteartenterprisesllc2</t>
  </si>
  <si>
    <t>dubokutv</t>
  </si>
  <si>
    <t>bhap</t>
  </si>
  <si>
    <t>innovate360marketingsolutionsllc</t>
  </si>
  <si>
    <t>roofingandremodelsllc</t>
  </si>
  <si>
    <t>asyqya</t>
  </si>
  <si>
    <t>unitedtonertechinc</t>
  </si>
  <si>
    <t>intelligentvistamedinc</t>
  </si>
  <si>
    <t>rodwindowwashing</t>
  </si>
  <si>
    <t>metropcsgoogleheadquarters</t>
  </si>
  <si>
    <t>abtaillc</t>
  </si>
  <si>
    <t>afcfloorcoverings</t>
  </si>
  <si>
    <t>rasif</t>
  </si>
  <si>
    <t>njnjn</t>
  </si>
  <si>
    <t>floyjsinvestmentsinc</t>
  </si>
  <si>
    <t>matteo</t>
  </si>
  <si>
    <t>mobilitycityofvancouverwa</t>
  </si>
  <si>
    <t>bellevilleindustries</t>
  </si>
  <si>
    <t>sevenspringshomeownersassociation</t>
  </si>
  <si>
    <t>paxorconstruction3</t>
  </si>
  <si>
    <t>castlebar3</t>
  </si>
  <si>
    <t>backtoyourplacecateringltd</t>
  </si>
  <si>
    <t>hydroeci</t>
  </si>
  <si>
    <t>tarsus</t>
  </si>
  <si>
    <t>azapch</t>
  </si>
  <si>
    <t>hammerhillcomputers</t>
  </si>
  <si>
    <t>filmexmaintenance</t>
  </si>
  <si>
    <t>vanguardenvironments</t>
  </si>
  <si>
    <t>dauplaiseandsonsaviationservices</t>
  </si>
  <si>
    <t>owellsholdings</t>
  </si>
  <si>
    <t>picoelectrique2</t>
  </si>
  <si>
    <t>israfilsardar</t>
  </si>
  <si>
    <t>fabroelectrical</t>
  </si>
  <si>
    <t>edrinnamarie</t>
  </si>
  <si>
    <t>wheelersautomotive</t>
  </si>
  <si>
    <t>bluewatersolutions</t>
  </si>
  <si>
    <t>daniel5</t>
  </si>
  <si>
    <t>cleansuitessolutions2</t>
  </si>
  <si>
    <t>digiviewsecuritylimited</t>
  </si>
  <si>
    <t>speedyelectricltd</t>
  </si>
  <si>
    <t>ironeagleis</t>
  </si>
  <si>
    <t>mccartyofficemachinesinc</t>
  </si>
  <si>
    <t>arkconcrete</t>
  </si>
  <si>
    <t>koatji3</t>
  </si>
  <si>
    <t>mediuminteractive2</t>
  </si>
  <si>
    <t>argentaklantenservice</t>
  </si>
  <si>
    <t>sociamedia</t>
  </si>
  <si>
    <t>mobilecom</t>
  </si>
  <si>
    <t>gnieentertainmentllc</t>
  </si>
  <si>
    <t>synergyelectricsales</t>
  </si>
  <si>
    <t>azrevive</t>
  </si>
  <si>
    <t>mgstrategies</t>
  </si>
  <si>
    <t>ylacsinaconsultinggroup</t>
  </si>
  <si>
    <t>greenriverinnovations</t>
  </si>
  <si>
    <t>zendeskinc2</t>
  </si>
  <si>
    <t>ericcrowelldevelopmentllc</t>
  </si>
  <si>
    <t>trinityelectricalinc</t>
  </si>
  <si>
    <t>accorddl</t>
  </si>
  <si>
    <t>cherrywoodpartnersinc</t>
  </si>
  <si>
    <t>goldanddiamonds</t>
  </si>
  <si>
    <t>accountand</t>
  </si>
  <si>
    <t>horizonproservicesllc</t>
  </si>
  <si>
    <t>bcfluidpowerofflorence3</t>
  </si>
  <si>
    <t>guarddognetworks</t>
  </si>
  <si>
    <t>sunshinedaydreamfarm</t>
  </si>
  <si>
    <t>richthemoverandjunkremoval</t>
  </si>
  <si>
    <t>latortillavelozinc</t>
  </si>
  <si>
    <t>sustainablepavementtechnologies</t>
  </si>
  <si>
    <t>vettrends2</t>
  </si>
  <si>
    <t>cmp2</t>
  </si>
  <si>
    <t>midwestmobilewaterjet</t>
  </si>
  <si>
    <t>pricelesscaterings2</t>
  </si>
  <si>
    <t>mobilitycityofsacramentoca</t>
  </si>
  <si>
    <t>uslawnsofmadison</t>
  </si>
  <si>
    <t>dirowin</t>
  </si>
  <si>
    <t>ckrsolarllc</t>
  </si>
  <si>
    <t>minagroafricaresources</t>
  </si>
  <si>
    <t>pourpintmediainc</t>
  </si>
  <si>
    <t>hotsiderestaurantrepair</t>
  </si>
  <si>
    <t>laaztecafoods</t>
  </si>
  <si>
    <t>jlsolutions</t>
  </si>
  <si>
    <t>royalpalnfloors</t>
  </si>
  <si>
    <t>wadeswebworks</t>
  </si>
  <si>
    <t>bedsbydesign5</t>
  </si>
  <si>
    <t>colonialenterprise</t>
  </si>
  <si>
    <t>swemmerllc</t>
  </si>
  <si>
    <t>americancompressor</t>
  </si>
  <si>
    <t>academydogtrainingownedbyjason</t>
  </si>
  <si>
    <t>supplyit</t>
  </si>
  <si>
    <t>smartsol</t>
  </si>
  <si>
    <t>abcoaddressingmachinecorp2</t>
  </si>
  <si>
    <t>avayem</t>
  </si>
  <si>
    <t>haydentreeandpropertyexpertsllc</t>
  </si>
  <si>
    <t>treemax</t>
  </si>
  <si>
    <t>calvarychapelcorona</t>
  </si>
  <si>
    <t>classicfinishesllc2</t>
  </si>
  <si>
    <t>energymizerinc2</t>
  </si>
  <si>
    <t>quickads</t>
  </si>
  <si>
    <t>helenlucasbookkeeper</t>
  </si>
  <si>
    <t>na58</t>
  </si>
  <si>
    <t>realfinds</t>
  </si>
  <si>
    <t>tools4brokers</t>
  </si>
  <si>
    <t>advancedwater2</t>
  </si>
  <si>
    <t>workflow2</t>
  </si>
  <si>
    <t>pacificstargutterservice</t>
  </si>
  <si>
    <t>ibr</t>
  </si>
  <si>
    <t>etcinstitute5</t>
  </si>
  <si>
    <t>southforkdistributors</t>
  </si>
  <si>
    <t>knockroeinc</t>
  </si>
  <si>
    <t>memosoutdoorservicellc</t>
  </si>
  <si>
    <t>lisashair</t>
  </si>
  <si>
    <t>slickwerks</t>
  </si>
  <si>
    <t>blackwellelectricllc2</t>
  </si>
  <si>
    <t>hutsonindustrialservices</t>
  </si>
  <si>
    <t>macanik</t>
  </si>
  <si>
    <t>hcfinaccservices</t>
  </si>
  <si>
    <t>steadfastconstruction</t>
  </si>
  <si>
    <t>freemanplumbingservices2</t>
  </si>
  <si>
    <t>joshspavinginc6</t>
  </si>
  <si>
    <t>armalincusa</t>
  </si>
  <si>
    <t>adventmissioninstituteinc</t>
  </si>
  <si>
    <t>jus</t>
  </si>
  <si>
    <t>bvbtradingcompany</t>
  </si>
  <si>
    <t>mininono</t>
  </si>
  <si>
    <t>laughingstocktheatreco</t>
  </si>
  <si>
    <t>jandatiresandfleetservice</t>
  </si>
  <si>
    <t>griswoldsmobilemechanic</t>
  </si>
  <si>
    <t>jlesidingsolutionsllc</t>
  </si>
  <si>
    <t>mustafa2</t>
  </si>
  <si>
    <t>zaresto</t>
  </si>
  <si>
    <t>glamevents</t>
  </si>
  <si>
    <t>pishime</t>
  </si>
  <si>
    <t>trebley</t>
  </si>
  <si>
    <t>tackettdeckbuilders</t>
  </si>
  <si>
    <t>lowlandpumpsllc</t>
  </si>
  <si>
    <t>twohundredandfortysevenmoving3</t>
  </si>
  <si>
    <t>na59</t>
  </si>
  <si>
    <t>connectedauto</t>
  </si>
  <si>
    <t>himanshubind</t>
  </si>
  <si>
    <t>famfirstglobal</t>
  </si>
  <si>
    <t>wholesalekitchenandbaths</t>
  </si>
  <si>
    <t>npchomeservices</t>
  </si>
  <si>
    <t>qualityflooringgroup</t>
  </si>
  <si>
    <t>dog</t>
  </si>
  <si>
    <t>lucymortonbeauty</t>
  </si>
  <si>
    <t>knoxhomemanagementandconcierge</t>
  </si>
  <si>
    <t>hamiltonfab</t>
  </si>
  <si>
    <t>test198</t>
  </si>
  <si>
    <t>entertentmentsmg</t>
  </si>
  <si>
    <t>citytocitycouriersbandbexpressllc</t>
  </si>
  <si>
    <t>ashfieldkitchensandinteriorsltd</t>
  </si>
  <si>
    <t>topcontent</t>
  </si>
  <si>
    <t>eubonus</t>
  </si>
  <si>
    <t>piritalandscaping</t>
  </si>
  <si>
    <t>sneadsneedfamilyreunion</t>
  </si>
  <si>
    <t>dmestimatingandconsulting</t>
  </si>
  <si>
    <t>reliabletaxfinancial</t>
  </si>
  <si>
    <t>blueadadvertisingllc</t>
  </si>
  <si>
    <t>advancedguttersllc</t>
  </si>
  <si>
    <t>omearaatticsolutionsltd</t>
  </si>
  <si>
    <t>personal24</t>
  </si>
  <si>
    <t>oktopi</t>
  </si>
  <si>
    <t>dnadraincleaningandsewer</t>
  </si>
  <si>
    <t>skshepon</t>
  </si>
  <si>
    <t>bradperry2</t>
  </si>
  <si>
    <t>btcinvestltd</t>
  </si>
  <si>
    <t>sttasnim</t>
  </si>
  <si>
    <t>kjinstalls</t>
  </si>
  <si>
    <t>ndlovuzuncut</t>
  </si>
  <si>
    <t>starladyglow</t>
  </si>
  <si>
    <t>houghandpuffballoons</t>
  </si>
  <si>
    <t>washingtondiamond</t>
  </si>
  <si>
    <t>cuttingedgeidaho</t>
  </si>
  <si>
    <t>grandrapidschaircompany</t>
  </si>
  <si>
    <t>student27</t>
  </si>
  <si>
    <t>buildprowarehouse2</t>
  </si>
  <si>
    <t>flowersgptogethry</t>
  </si>
  <si>
    <t>barakahjudollc</t>
  </si>
  <si>
    <t>c2constructioninc2</t>
  </si>
  <si>
    <t>smartsol2</t>
  </si>
  <si>
    <t>americanboringinc</t>
  </si>
  <si>
    <t>ikonosgroup</t>
  </si>
  <si>
    <t>axeandsawclimbingservices2</t>
  </si>
  <si>
    <t>na5</t>
  </si>
  <si>
    <t>pureshinemobiledetailing</t>
  </si>
  <si>
    <t>evolutionweldingandfabrication2</t>
  </si>
  <si>
    <t>mouldsolutions2</t>
  </si>
  <si>
    <t>pinkcleaning</t>
  </si>
  <si>
    <t>nmairfilter</t>
  </si>
  <si>
    <t>iceasap2</t>
  </si>
  <si>
    <t>brucewayneveteranshospital</t>
  </si>
  <si>
    <t>leonardohandymanservicellc</t>
  </si>
  <si>
    <t>cornerstonetire</t>
  </si>
  <si>
    <t>marinscustomapparel</t>
  </si>
  <si>
    <t>lower48</t>
  </si>
  <si>
    <t>prosper2</t>
  </si>
  <si>
    <t>method131</t>
  </si>
  <si>
    <t>hautepet</t>
  </si>
  <si>
    <t>risingsunbillboards</t>
  </si>
  <si>
    <t>twothousandandtwentytdc</t>
  </si>
  <si>
    <t>gestionproled</t>
  </si>
  <si>
    <t>survivalgearandprep</t>
  </si>
  <si>
    <t>tileandcarpetworld</t>
  </si>
  <si>
    <t>tcg4</t>
  </si>
  <si>
    <t>bnbfindsllc</t>
  </si>
  <si>
    <t>presleysway</t>
  </si>
  <si>
    <t>compaia</t>
  </si>
  <si>
    <t>terraburst4</t>
  </si>
  <si>
    <t>camelottaxservicesllc</t>
  </si>
  <si>
    <t>samilligan</t>
  </si>
  <si>
    <t>crojackcapitalinc</t>
  </si>
  <si>
    <t>crojackcapitalamericainc</t>
  </si>
  <si>
    <t>crojackcapitalinternationalinc</t>
  </si>
  <si>
    <t>cyberocean</t>
  </si>
  <si>
    <t>highpower</t>
  </si>
  <si>
    <t>pipeandmetalcenteroftexas2</t>
  </si>
  <si>
    <t>universaltrucksales</t>
  </si>
  <si>
    <t>marincheeseco</t>
  </si>
  <si>
    <t>thejumpropestore2</t>
  </si>
  <si>
    <t>goldentechnologieslouisianallc</t>
  </si>
  <si>
    <t>non3</t>
  </si>
  <si>
    <t>gotex2</t>
  </si>
  <si>
    <t>ajobwelldonelawncarenlandscapellc</t>
  </si>
  <si>
    <t>bgjconsult</t>
  </si>
  <si>
    <t>tshepabasadi</t>
  </si>
  <si>
    <t>powerlinemachinery</t>
  </si>
  <si>
    <t>envirotraceltd</t>
  </si>
  <si>
    <t>fryfreshedibleoils</t>
  </si>
  <si>
    <t>vanbecksroofingandsiding</t>
  </si>
  <si>
    <t>centricmfg</t>
  </si>
  <si>
    <t>nau</t>
  </si>
  <si>
    <t>sevafi</t>
  </si>
  <si>
    <t>justcallollie2</t>
  </si>
  <si>
    <t>torrestaxservicesandbookkeepingcom</t>
  </si>
  <si>
    <t>fastmail2</t>
  </si>
  <si>
    <t>wearablesca</t>
  </si>
  <si>
    <t>rev320</t>
  </si>
  <si>
    <t>zerolimitlifestyle2</t>
  </si>
  <si>
    <t>gladdenmusicllc</t>
  </si>
  <si>
    <t>gkbpaintingservices</t>
  </si>
  <si>
    <t>healthcity2</t>
  </si>
  <si>
    <t>foxadvertisingandmediacompany</t>
  </si>
  <si>
    <t>rankindustries</t>
  </si>
  <si>
    <t>Method:Proposals for QBD</t>
  </si>
  <si>
    <t>marcss</t>
  </si>
  <si>
    <t>fosterinstruments</t>
  </si>
  <si>
    <t>controlexportinc</t>
  </si>
  <si>
    <t>baileyspurepressurewash</t>
  </si>
  <si>
    <t>mahadi</t>
  </si>
  <si>
    <t>dipapi</t>
  </si>
  <si>
    <t>shanteltestbusiness</t>
  </si>
  <si>
    <t>waterwell</t>
  </si>
  <si>
    <t>acmlight</t>
  </si>
  <si>
    <t>beautycode</t>
  </si>
  <si>
    <t>oakandledgerbooks</t>
  </si>
  <si>
    <t>crossroadschristianfellowship2</t>
  </si>
  <si>
    <t>milahnaflooring</t>
  </si>
  <si>
    <t>iiitk</t>
  </si>
  <si>
    <t>luckhealthcentrellc</t>
  </si>
  <si>
    <t>greenfacilitycleaningllc</t>
  </si>
  <si>
    <t>albrightbookkeeping</t>
  </si>
  <si>
    <t>commercialconcretesolutions</t>
  </si>
  <si>
    <t>ogcroteauplumbing</t>
  </si>
  <si>
    <t>lforeman</t>
  </si>
  <si>
    <t>startech</t>
  </si>
  <si>
    <t>partnersinc</t>
  </si>
  <si>
    <t>rustudio</t>
  </si>
  <si>
    <t>ennovarellc</t>
  </si>
  <si>
    <t>victorvilleglasscoinc</t>
  </si>
  <si>
    <t>avsfenceandscreen</t>
  </si>
  <si>
    <t>genaer</t>
  </si>
  <si>
    <t>mobilitycityoftemeculaca</t>
  </si>
  <si>
    <t>mississippiprodesigncenterllc</t>
  </si>
  <si>
    <t>fieupstate</t>
  </si>
  <si>
    <t>brutonelectric</t>
  </si>
  <si>
    <t>saad3</t>
  </si>
  <si>
    <t>pmh</t>
  </si>
  <si>
    <t>danddrenovationsllc</t>
  </si>
  <si>
    <t>naj</t>
  </si>
  <si>
    <t>extremedrywallfinishesllc</t>
  </si>
  <si>
    <t>groovngraphx</t>
  </si>
  <si>
    <t>vitalitynew</t>
  </si>
  <si>
    <t>elafans</t>
  </si>
  <si>
    <t>carolynvaughan2</t>
  </si>
  <si>
    <t>luxformae01</t>
  </si>
  <si>
    <t>pg2</t>
  </si>
  <si>
    <t xml:space="preserve">Zaroczynski  Associates</t>
  </si>
  <si>
    <t>haapy</t>
  </si>
  <si>
    <t>reinswoxbridgerealty</t>
  </si>
  <si>
    <t>invoicetemple</t>
  </si>
  <si>
    <t>freelancer7</t>
  </si>
  <si>
    <t>hotsymiami</t>
  </si>
  <si>
    <t>liftedhandsglobal</t>
  </si>
  <si>
    <t>lakeshoreag</t>
  </si>
  <si>
    <t>loopi</t>
  </si>
  <si>
    <t>test200</t>
  </si>
  <si>
    <t>lucroup</t>
  </si>
  <si>
    <t>workbridgeplacement</t>
  </si>
  <si>
    <t>channelmastersgroup</t>
  </si>
  <si>
    <t>aceentertainmentllc</t>
  </si>
  <si>
    <t>miamipartyentertainment</t>
  </si>
  <si>
    <t>achconsultinginc</t>
  </si>
  <si>
    <t>biancotax</t>
  </si>
  <si>
    <t>alenergie</t>
  </si>
  <si>
    <t>gmangeorge</t>
  </si>
  <si>
    <t>abel2</t>
  </si>
  <si>
    <t>thebetterguysinc</t>
  </si>
  <si>
    <t>alptekinbookkeeping</t>
  </si>
  <si>
    <t>marielyvazquez</t>
  </si>
  <si>
    <t>cdmsa</t>
  </si>
  <si>
    <t>gestioncobe2</t>
  </si>
  <si>
    <t>asdel</t>
  </si>
  <si>
    <t>abcd10</t>
  </si>
  <si>
    <t>midsouthavionics</t>
  </si>
  <si>
    <t>hershysfencinginc</t>
  </si>
  <si>
    <t>filtech</t>
  </si>
  <si>
    <t>optimalimagingsupplies</t>
  </si>
  <si>
    <t>tomikoinc2</t>
  </si>
  <si>
    <t>marvinyorkeprofessionalcorporation5</t>
  </si>
  <si>
    <t>signaturespecialtycontractorsinc</t>
  </si>
  <si>
    <t>rictuned</t>
  </si>
  <si>
    <t>bvsales2</t>
  </si>
  <si>
    <t>tahiriheatingandcooling</t>
  </si>
  <si>
    <t>dbacomputerese</t>
  </si>
  <si>
    <t>tradecorpventures</t>
  </si>
  <si>
    <t>pound4poundfitnessequipment</t>
  </si>
  <si>
    <t>kimballelectronics</t>
  </si>
  <si>
    <t>tes4</t>
  </si>
  <si>
    <t>valubyl2</t>
  </si>
  <si>
    <t>brattmobile</t>
  </si>
  <si>
    <t>roetac</t>
  </si>
  <si>
    <t>frrfgy</t>
  </si>
  <si>
    <t>brandys2</t>
  </si>
  <si>
    <t>castlehillcapitalpartnersinc</t>
  </si>
  <si>
    <t>icecreamexpressinc</t>
  </si>
  <si>
    <t>jn</t>
  </si>
  <si>
    <t>perspectivepictures</t>
  </si>
  <si>
    <t>hydrocremationllc</t>
  </si>
  <si>
    <t>industrialdepotco</t>
  </si>
  <si>
    <t>drinkwillibald</t>
  </si>
  <si>
    <t>firstchoicepsllc2</t>
  </si>
  <si>
    <t>betterbuychairs3</t>
  </si>
  <si>
    <t>polymolding</t>
  </si>
  <si>
    <t>self31</t>
  </si>
  <si>
    <t>redbirdtechnologysolutionsllc</t>
  </si>
  <si>
    <t>alternativeenergy4</t>
  </si>
  <si>
    <t>thc2</t>
  </si>
  <si>
    <t>alphacloudcommercialinc2</t>
  </si>
  <si>
    <t>cesrepairs2</t>
  </si>
  <si>
    <t>kbotaservicesllc</t>
  </si>
  <si>
    <t>floridaadvocacygroupllc</t>
  </si>
  <si>
    <t>redwoodproinc</t>
  </si>
  <si>
    <t>violaelprimo</t>
  </si>
  <si>
    <t>sweetchocolate</t>
  </si>
  <si>
    <t>expertsolutiontechnologies</t>
  </si>
  <si>
    <t>theinfinitydecks</t>
  </si>
  <si>
    <t>imagemedtechnologies</t>
  </si>
  <si>
    <t>onehundredandtenemployees</t>
  </si>
  <si>
    <t>wholesalerebarllc</t>
  </si>
  <si>
    <t>sallyscleaning</t>
  </si>
  <si>
    <t>lansinginstrument</t>
  </si>
  <si>
    <t>a2zwaste</t>
  </si>
  <si>
    <t>martekdavits</t>
  </si>
  <si>
    <t>bbendeavors</t>
  </si>
  <si>
    <t>concentrix2</t>
  </si>
  <si>
    <t>mashburnwasteandenvironmentalservices</t>
  </si>
  <si>
    <t>fixnco2</t>
  </si>
  <si>
    <t>jpjtradingllc</t>
  </si>
  <si>
    <t>cheryandclark</t>
  </si>
  <si>
    <t>fourmtrucking2</t>
  </si>
  <si>
    <t>liveagent</t>
  </si>
  <si>
    <t>honeleadership</t>
  </si>
  <si>
    <t>grubhub</t>
  </si>
  <si>
    <t>robbinsandryanllc</t>
  </si>
  <si>
    <t>habitatformissionsinc</t>
  </si>
  <si>
    <t>zetaglobal</t>
  </si>
  <si>
    <t>mageplaza</t>
  </si>
  <si>
    <t>bigcommerce</t>
  </si>
  <si>
    <t>remax2</t>
  </si>
  <si>
    <t>mitel</t>
  </si>
  <si>
    <t>mayamnoyan</t>
  </si>
  <si>
    <t>proofpoint</t>
  </si>
  <si>
    <t>visionprorh2</t>
  </si>
  <si>
    <t>modofire2</t>
  </si>
  <si>
    <t>sdc2</t>
  </si>
  <si>
    <t>auraprint2</t>
  </si>
  <si>
    <t>teekays</t>
  </si>
  <si>
    <t>deepscrubberscleaningservices</t>
  </si>
  <si>
    <t>visyara</t>
  </si>
  <si>
    <t>freshworks</t>
  </si>
  <si>
    <t>wxptqbs</t>
  </si>
  <si>
    <t>skydesolutions</t>
  </si>
  <si>
    <t>rissa</t>
  </si>
  <si>
    <t>thekitchenman</t>
  </si>
  <si>
    <t>northlakelandsurveyinginc</t>
  </si>
  <si>
    <t>flashequipment4</t>
  </si>
  <si>
    <t>westgeorgiacommercialpropertyservices</t>
  </si>
  <si>
    <t>montereybayseaweeds</t>
  </si>
  <si>
    <t>gpcloudworks</t>
  </si>
  <si>
    <t>nauticalfinancialservicesllc</t>
  </si>
  <si>
    <t>oursaviornewamericanschool</t>
  </si>
  <si>
    <t>thomasleighlightingllc2</t>
  </si>
  <si>
    <t>dekahomeandpatio3</t>
  </si>
  <si>
    <t>precisionrepairandcalibrationinc</t>
  </si>
  <si>
    <t>majestayegypt</t>
  </si>
  <si>
    <t>tspcanada</t>
  </si>
  <si>
    <t>cdinc</t>
  </si>
  <si>
    <t>tillmanntillmanrealtygroup</t>
  </si>
  <si>
    <t>aplusfireplaces</t>
  </si>
  <si>
    <t>depauloelectric</t>
  </si>
  <si>
    <t>hausconsulting</t>
  </si>
  <si>
    <t>meikosea</t>
  </si>
  <si>
    <t>gsggroupconstructionllc</t>
  </si>
  <si>
    <t>nlheatingcool</t>
  </si>
  <si>
    <t>jooxindustries</t>
  </si>
  <si>
    <t>exocetsecurityinc</t>
  </si>
  <si>
    <t>thebismarkgroup</t>
  </si>
  <si>
    <t>goingsails</t>
  </si>
  <si>
    <t>sumptersolarservices</t>
  </si>
  <si>
    <t>incopartes4</t>
  </si>
  <si>
    <t>duttonafamilycampground</t>
  </si>
  <si>
    <t>solutionscale</t>
  </si>
  <si>
    <t>irdhomes</t>
  </si>
  <si>
    <t>innovativebricksystemsllc</t>
  </si>
  <si>
    <t>Sesser Business Services Inc</t>
  </si>
  <si>
    <t>exucom</t>
  </si>
  <si>
    <t>hawkeyeoilfieldsupplyllc</t>
  </si>
  <si>
    <t>manzomachininginc</t>
  </si>
  <si>
    <t>premiumtechcoatinginc</t>
  </si>
  <si>
    <t>delozierguitars</t>
  </si>
  <si>
    <t>vistechestrieinc</t>
  </si>
  <si>
    <t>ubstx</t>
  </si>
  <si>
    <t>shareinternational</t>
  </si>
  <si>
    <t>allwayscleansolutions</t>
  </si>
  <si>
    <t>alphalabs</t>
  </si>
  <si>
    <t>bella3</t>
  </si>
  <si>
    <t>daransheltonsplace</t>
  </si>
  <si>
    <t>vertexconsultingltd</t>
  </si>
  <si>
    <t>salmantimecenter</t>
  </si>
  <si>
    <t>thedepot</t>
  </si>
  <si>
    <t>mathieupopuluscpainc</t>
  </si>
  <si>
    <t>sequoiacommunicationsinc</t>
  </si>
  <si>
    <t>pacificislandexpressserviceslimited4</t>
  </si>
  <si>
    <t>commsunlimited3</t>
  </si>
  <si>
    <t>yasirmoktar</t>
  </si>
  <si>
    <t>bridgetechnologiesltd</t>
  </si>
  <si>
    <t>topshelfbookkeeping</t>
  </si>
  <si>
    <t>testcompany21</t>
  </si>
  <si>
    <t>buyersrealestate</t>
  </si>
  <si>
    <t>northwellhealth</t>
  </si>
  <si>
    <t>valorabusinesssolutions</t>
  </si>
  <si>
    <t>brightmindslearningcenter</t>
  </si>
  <si>
    <t>davisflooringssytemscom</t>
  </si>
  <si>
    <t>greengrowthplanting</t>
  </si>
  <si>
    <t>kaindoh</t>
  </si>
  <si>
    <t>facetometaphor</t>
  </si>
  <si>
    <t>davidallen</t>
  </si>
  <si>
    <t>yumecasdnbhd</t>
  </si>
  <si>
    <t>sevenhundredandseventysevenservice</t>
  </si>
  <si>
    <t>chestnuttloggingllc</t>
  </si>
  <si>
    <t>m18katrinam012625</t>
  </si>
  <si>
    <t>traffordgroupllc3</t>
  </si>
  <si>
    <t>progressivetech2</t>
  </si>
  <si>
    <t>kdmanchorinc</t>
  </si>
  <si>
    <t>restaurantbarn</t>
  </si>
  <si>
    <t>titansportsflooring2</t>
  </si>
  <si>
    <t>goodlifeinc</t>
  </si>
  <si>
    <t>coastlinelift</t>
  </si>
  <si>
    <t>grand2</t>
  </si>
  <si>
    <t>fairbankbookkeepingandpayroll</t>
  </si>
  <si>
    <t>dirtdirectme</t>
  </si>
  <si>
    <t>jrzroofing</t>
  </si>
  <si>
    <t>zackfence</t>
  </si>
  <si>
    <t>edmontecalvo</t>
  </si>
  <si>
    <t>elmayainc2</t>
  </si>
  <si>
    <t>aknesemencesindignes</t>
  </si>
  <si>
    <t>vahud</t>
  </si>
  <si>
    <t>thedesiregroup</t>
  </si>
  <si>
    <t>sunriseearthworks3</t>
  </si>
  <si>
    <t>yourhomeelectricalandhandymanservicesllc</t>
  </si>
  <si>
    <t>getterdunneindustries</t>
  </si>
  <si>
    <t>weldowelding</t>
  </si>
  <si>
    <t>Lucid Financials Llc</t>
  </si>
  <si>
    <t>wisefoxpoolsinc</t>
  </si>
  <si>
    <t>kmkventures2</t>
  </si>
  <si>
    <t>curatedservicesgroup</t>
  </si>
  <si>
    <t>bigfoottrailersllc</t>
  </si>
  <si>
    <t>hossain</t>
  </si>
  <si>
    <t>morrisontirecenter</t>
  </si>
  <si>
    <t>thearkconcretespecialtiesinc</t>
  </si>
  <si>
    <t>jrmartinezconcretellc</t>
  </si>
  <si>
    <t>lupuswarriorsunited</t>
  </si>
  <si>
    <t>merrillshomerepairandrenovationsllc</t>
  </si>
  <si>
    <t>communitycrew</t>
  </si>
  <si>
    <t>caribbeanclosers</t>
  </si>
  <si>
    <t>bettyjeangrubs</t>
  </si>
  <si>
    <t>scottysottensen</t>
  </si>
  <si>
    <t>it9</t>
  </si>
  <si>
    <t>newstucco</t>
  </si>
  <si>
    <t>statewidehireptyltd</t>
  </si>
  <si>
    <t>conseilinnu</t>
  </si>
  <si>
    <t>universityofagriculture</t>
  </si>
  <si>
    <t>jumar</t>
  </si>
  <si>
    <t>safelanesolutions</t>
  </si>
  <si>
    <t>citizensuk3</t>
  </si>
  <si>
    <t>autosupershield4</t>
  </si>
  <si>
    <t>insideout3</t>
  </si>
  <si>
    <t>testorgn</t>
  </si>
  <si>
    <t>sureshsingh</t>
  </si>
  <si>
    <t>fgs2</t>
  </si>
  <si>
    <t>strathmere</t>
  </si>
  <si>
    <t>genesysgroupecapitalinc</t>
  </si>
  <si>
    <t>usdryice4</t>
  </si>
  <si>
    <t>partnersinproduction</t>
  </si>
  <si>
    <t>coastlineyachtmanagement</t>
  </si>
  <si>
    <t>dollsbeautystore</t>
  </si>
  <si>
    <t>skyworksconsultinginc</t>
  </si>
  <si>
    <t>tintzmanranch</t>
  </si>
  <si>
    <t>midsouthdental</t>
  </si>
  <si>
    <t>fingerlakesstone</t>
  </si>
  <si>
    <t>housecrafters</t>
  </si>
  <si>
    <t>bishopdistributionllc</t>
  </si>
  <si>
    <t>sanantoniocopiercompany</t>
  </si>
  <si>
    <t>martindennis</t>
  </si>
  <si>
    <t>tiveyconstructioninc</t>
  </si>
  <si>
    <t>gibsonprintsource</t>
  </si>
  <si>
    <t>siegelsolutions2</t>
  </si>
  <si>
    <t>fcjclothing2</t>
  </si>
  <si>
    <t>northstarit2</t>
  </si>
  <si>
    <t>hoafinancialsolutionsllc</t>
  </si>
  <si>
    <t>tilingmuskokainc</t>
  </si>
  <si>
    <t>kscloudassociates</t>
  </si>
  <si>
    <t>poopsavvy</t>
  </si>
  <si>
    <t>hipontech2</t>
  </si>
  <si>
    <t>bradchubbsbroker2</t>
  </si>
  <si>
    <t>greenscapesco</t>
  </si>
  <si>
    <t>jsgmonitoring</t>
  </si>
  <si>
    <t>grassrootspetcare</t>
  </si>
  <si>
    <t>alancomminselectrical</t>
  </si>
  <si>
    <t>fetzerfinancial10</t>
  </si>
  <si>
    <t>method132</t>
  </si>
  <si>
    <t>trapenergysolutions2</t>
  </si>
  <si>
    <t>kieleyelectric</t>
  </si>
  <si>
    <t>pfeifer2</t>
  </si>
  <si>
    <t>blessedassuranceministries2</t>
  </si>
  <si>
    <t>leodroid</t>
  </si>
  <si>
    <t>aquamarineservices</t>
  </si>
  <si>
    <t>camachotires</t>
  </si>
  <si>
    <t>shevcomonuments</t>
  </si>
  <si>
    <t>alloymarketingltd</t>
  </si>
  <si>
    <t>solcomms</t>
  </si>
  <si>
    <t>solcomms2</t>
  </si>
  <si>
    <t>baxterwood3</t>
  </si>
  <si>
    <t>aquamarineservices2</t>
  </si>
  <si>
    <t>tnlstucco</t>
  </si>
  <si>
    <t>klaritiefarmsinc</t>
  </si>
  <si>
    <t>ohioams</t>
  </si>
  <si>
    <t>fpa4u</t>
  </si>
  <si>
    <t>georgesplumbing</t>
  </si>
  <si>
    <t>freightandlogistics2</t>
  </si>
  <si>
    <t>hydestreetcommunityservices</t>
  </si>
  <si>
    <t>newmindgroup2</t>
  </si>
  <si>
    <t>eagleonthedouble</t>
  </si>
  <si>
    <t>resident</t>
  </si>
  <si>
    <t>handabookkeepingandtaxservicesltd</t>
  </si>
  <si>
    <t>progloworld</t>
  </si>
  <si>
    <t>moldmedicinc2</t>
  </si>
  <si>
    <t>joezone</t>
  </si>
  <si>
    <t>almighty</t>
  </si>
  <si>
    <t>worldorganization</t>
  </si>
  <si>
    <t>rpmliftandautorepair</t>
  </si>
  <si>
    <t>abdullah4</t>
  </si>
  <si>
    <t>tebafruits</t>
  </si>
  <si>
    <t>persepolistax</t>
  </si>
  <si>
    <t>propertihomeconcierge</t>
  </si>
  <si>
    <t>bkent</t>
  </si>
  <si>
    <t>neatfreakscleaningcompanyllc</t>
  </si>
  <si>
    <t>cleaningconnectioninc2</t>
  </si>
  <si>
    <t>nashpackaging</t>
  </si>
  <si>
    <t>revitaearth</t>
  </si>
  <si>
    <t>sondrinienterprises</t>
  </si>
  <si>
    <t>gobywalnutproductsinc</t>
  </si>
  <si>
    <t>snack2go</t>
  </si>
  <si>
    <t>fusionfinishes</t>
  </si>
  <si>
    <t>aurariadentallab</t>
  </si>
  <si>
    <t>socalfencesupply32</t>
  </si>
  <si>
    <t>comalwoodproducts</t>
  </si>
  <si>
    <t>communitycrew2</t>
  </si>
  <si>
    <t>carvertile</t>
  </si>
  <si>
    <t>iavi</t>
  </si>
  <si>
    <t>anacolin</t>
  </si>
  <si>
    <t>schoolanwork</t>
  </si>
  <si>
    <t>poolsplus</t>
  </si>
  <si>
    <t>hamelsupply</t>
  </si>
  <si>
    <t>proautomationinc</t>
  </si>
  <si>
    <t>projectmilestone</t>
  </si>
  <si>
    <t>norcaldiamond6</t>
  </si>
  <si>
    <t>hinesinvestigativeandextendedservices</t>
  </si>
  <si>
    <t>paciifccoasttest</t>
  </si>
  <si>
    <t>magshoes</t>
  </si>
  <si>
    <t>creativesaints</t>
  </si>
  <si>
    <t>swiftbooksllc</t>
  </si>
  <si>
    <t>gabrielsolaresm</t>
  </si>
  <si>
    <t>arfinancialgroup</t>
  </si>
  <si>
    <t>bigdhreylimited</t>
  </si>
  <si>
    <t>shorrty</t>
  </si>
  <si>
    <t>anmolassociates</t>
  </si>
  <si>
    <t>virgilian2</t>
  </si>
  <si>
    <t>hoafinancialsolutions</t>
  </si>
  <si>
    <t>squamishmobilemechanic2</t>
  </si>
  <si>
    <t>ag6</t>
  </si>
  <si>
    <t>truenorthfireplaces</t>
  </si>
  <si>
    <t>morgantownchurchofgod</t>
  </si>
  <si>
    <t>tlp2</t>
  </si>
  <si>
    <t>maxicleaningservicing</t>
  </si>
  <si>
    <t>ericsmovers</t>
  </si>
  <si>
    <t>premierglassworksllc2</t>
  </si>
  <si>
    <t>sentrycustomsecurity</t>
  </si>
  <si>
    <t>patriotmoneyreserve</t>
  </si>
  <si>
    <t>curtistech2</t>
  </si>
  <si>
    <t>chibetty</t>
  </si>
  <si>
    <t>mailchimpinc</t>
  </si>
  <si>
    <t>NelDe</t>
  </si>
  <si>
    <t>pacificstargutterserviceinc</t>
  </si>
  <si>
    <t>jebukhan56</t>
  </si>
  <si>
    <t>sosi</t>
  </si>
  <si>
    <t>junied</t>
  </si>
  <si>
    <t>nirob</t>
  </si>
  <si>
    <t>bystormheatingandcooling</t>
  </si>
  <si>
    <t>rocketwave</t>
  </si>
  <si>
    <t>medojnr</t>
  </si>
  <si>
    <t>onsiteautomotivesolutions</t>
  </si>
  <si>
    <t>virginiaradonsystems</t>
  </si>
  <si>
    <t>bembryprofessionalservicespllc</t>
  </si>
  <si>
    <t>meddo</t>
  </si>
  <si>
    <t>simi</t>
  </si>
  <si>
    <t>powerkickmartialartsacademy</t>
  </si>
  <si>
    <t>frostysofty</t>
  </si>
  <si>
    <t>johalsolutions</t>
  </si>
  <si>
    <t>mahim2</t>
  </si>
  <si>
    <t>amarajyothieducationaltrust</t>
  </si>
  <si>
    <t>veltruckslimited</t>
  </si>
  <si>
    <t>industridesigns</t>
  </si>
  <si>
    <t>aeroates</t>
  </si>
  <si>
    <t>ibelectric</t>
  </si>
  <si>
    <t>spraytechinsulation</t>
  </si>
  <si>
    <t>johnkotaconstruction</t>
  </si>
  <si>
    <t>grace3technologies</t>
  </si>
  <si>
    <t>intelgest4</t>
  </si>
  <si>
    <t>lighthouseenv</t>
  </si>
  <si>
    <t>devincio</t>
  </si>
  <si>
    <t>bluewatercas3</t>
  </si>
  <si>
    <t>wendys</t>
  </si>
  <si>
    <t>serendipityseasonings</t>
  </si>
  <si>
    <t>display5</t>
  </si>
  <si>
    <t>mobilitycityofrogersar</t>
  </si>
  <si>
    <t>firepitcampgroundllc</t>
  </si>
  <si>
    <t>karmoinc</t>
  </si>
  <si>
    <t>nuth</t>
  </si>
  <si>
    <t>csginc</t>
  </si>
  <si>
    <t>internationalfireprotection</t>
  </si>
  <si>
    <t>dmconstructionservices</t>
  </si>
  <si>
    <t>themasortistrategicresearchinstitute</t>
  </si>
  <si>
    <t>rksbusinessservicesllc</t>
  </si>
  <si>
    <t>igniteyourincome</t>
  </si>
  <si>
    <t>susanamata</t>
  </si>
  <si>
    <t>susanamata2</t>
  </si>
  <si>
    <t>amazoncenter</t>
  </si>
  <si>
    <t>nucleus2</t>
  </si>
  <si>
    <t>threadcoprint</t>
  </si>
  <si>
    <t>slapjackscontractingllc</t>
  </si>
  <si>
    <t>blackrosesrealestatelandscapebuildingmaint</t>
  </si>
  <si>
    <t>hellomondaybookkeeping2</t>
  </si>
  <si>
    <t>maetex</t>
  </si>
  <si>
    <t>dhruvainfosys</t>
  </si>
  <si>
    <t>threessentials</t>
  </si>
  <si>
    <t>holidaycoachcompany</t>
  </si>
  <si>
    <t>callisonelectricheatingandcooling</t>
  </si>
  <si>
    <t>intelligentvistamedinc2</t>
  </si>
  <si>
    <t>fandcdistributorsinc</t>
  </si>
  <si>
    <t>pintrill</t>
  </si>
  <si>
    <t>dheparts</t>
  </si>
  <si>
    <t>pointsecurity3</t>
  </si>
  <si>
    <t>overstockdiscountflooringllc</t>
  </si>
  <si>
    <t>arklightcollc</t>
  </si>
  <si>
    <t>patridgecommercialalignments</t>
  </si>
  <si>
    <t>bethenny</t>
  </si>
  <si>
    <t>innuwindow2</t>
  </si>
  <si>
    <t>placementsolutions</t>
  </si>
  <si>
    <t>brooledltd</t>
  </si>
  <si>
    <t>advancetechelectric</t>
  </si>
  <si>
    <t>dheparts2</t>
  </si>
  <si>
    <t>saiogeel</t>
  </si>
  <si>
    <t>quiktrak</t>
  </si>
  <si>
    <t>pvconstructionllc</t>
  </si>
  <si>
    <t>rentvoe</t>
  </si>
  <si>
    <t>pantheonglobalsolutionsllc</t>
  </si>
  <si>
    <t>caprallc</t>
  </si>
  <si>
    <t>silverstateplastics</t>
  </si>
  <si>
    <t>geotec</t>
  </si>
  <si>
    <t>generationteasanddrinks</t>
  </si>
  <si>
    <t>quickbooksupportnet5</t>
  </si>
  <si>
    <t>jmshomeimprovementandremodelingllc</t>
  </si>
  <si>
    <t>harshitakoshti</t>
  </si>
  <si>
    <t>dolneypublishing</t>
  </si>
  <si>
    <t>dailyaudiobible</t>
  </si>
  <si>
    <t>truegrainimportsllc</t>
  </si>
  <si>
    <t>evergreenforestproducts2</t>
  </si>
  <si>
    <t>methodyurizirianovtest</t>
  </si>
  <si>
    <t>stillwaterandco</t>
  </si>
  <si>
    <t>dillar</t>
  </si>
  <si>
    <t>everettsflowers</t>
  </si>
  <si>
    <t>slickwerks2</t>
  </si>
  <si>
    <t>powercoinc</t>
  </si>
  <si>
    <t>primepestcontrolvillc</t>
  </si>
  <si>
    <t>Green Horizon Accounting</t>
  </si>
  <si>
    <t>certusa</t>
  </si>
  <si>
    <t>flacrete</t>
  </si>
  <si>
    <t>holidaycoachcompany2</t>
  </si>
  <si>
    <t>ripipeguys2</t>
  </si>
  <si>
    <t>artfullyetched</t>
  </si>
  <si>
    <t>alwaysreal</t>
  </si>
  <si>
    <t>bbemarko</t>
  </si>
  <si>
    <t>allianceelectriclv</t>
  </si>
  <si>
    <t>bga</t>
  </si>
  <si>
    <t>danielgivens</t>
  </si>
  <si>
    <t>brynnrhodes</t>
  </si>
  <si>
    <t>mcdcom</t>
  </si>
  <si>
    <t>popsbirding2</t>
  </si>
  <si>
    <t>ahfuck</t>
  </si>
  <si>
    <t>wilmeralvarado</t>
  </si>
  <si>
    <t>lonniegarrett</t>
  </si>
  <si>
    <t>reauxandco</t>
  </si>
  <si>
    <t>faisal2</t>
  </si>
  <si>
    <t>faisal3</t>
  </si>
  <si>
    <t>javierdesarden</t>
  </si>
  <si>
    <t>codexsolution</t>
  </si>
  <si>
    <t>kalyar</t>
  </si>
  <si>
    <t>amazuma</t>
  </si>
  <si>
    <t>enterprisesystemscorporation</t>
  </si>
  <si>
    <t>wmgreenroofing</t>
  </si>
  <si>
    <t>primocompta</t>
  </si>
  <si>
    <t>fibergard</t>
  </si>
  <si>
    <t>pantheonglobalit</t>
  </si>
  <si>
    <t>fanscreens</t>
  </si>
  <si>
    <t>keyboardrichcom</t>
  </si>
  <si>
    <t>bethenny2</t>
  </si>
  <si>
    <t>reddoortaxes</t>
  </si>
  <si>
    <t>trial9</t>
  </si>
  <si>
    <t>pantheonglobalit2</t>
  </si>
  <si>
    <t>inghamengineering2</t>
  </si>
  <si>
    <t>coreviaventuresolutions</t>
  </si>
  <si>
    <t>ckdavisbookkeeping</t>
  </si>
  <si>
    <t>flowmedia</t>
  </si>
  <si>
    <t>majestichomemanagementservices</t>
  </si>
  <si>
    <t>fitecbiogas2</t>
  </si>
  <si>
    <t>blackstaraluminum</t>
  </si>
  <si>
    <t>palmettobiblecamp</t>
  </si>
  <si>
    <t>fitecbiogasinc</t>
  </si>
  <si>
    <t>wellworksenergyservicesinc</t>
  </si>
  <si>
    <t>wickedbrews</t>
  </si>
  <si>
    <t>helloworld</t>
  </si>
  <si>
    <t>kcbubblescrubbers</t>
  </si>
  <si>
    <t>danielladorta</t>
  </si>
  <si>
    <t>dialedin2</t>
  </si>
  <si>
    <t>learning3</t>
  </si>
  <si>
    <t>tsc2</t>
  </si>
  <si>
    <t>qbo2</t>
  </si>
  <si>
    <t>artsekta2</t>
  </si>
  <si>
    <t>weirdmachine</t>
  </si>
  <si>
    <t>darrellaccounting</t>
  </si>
  <si>
    <t>blackballcorp2</t>
  </si>
  <si>
    <t>pcmechanic</t>
  </si>
  <si>
    <t>thejumpropestore3</t>
  </si>
  <si>
    <t>newenglandsurfacemaintenance</t>
  </si>
  <si>
    <t>nova3</t>
  </si>
  <si>
    <t>trispecllc</t>
  </si>
  <si>
    <t>coastalclearwindowwashing</t>
  </si>
  <si>
    <t>slipskisolutions</t>
  </si>
  <si>
    <t>starcraft</t>
  </si>
  <si>
    <t>blackballcorp3</t>
  </si>
  <si>
    <t>arcelectricalcorp</t>
  </si>
  <si>
    <t>mountwaterwelldrilling2</t>
  </si>
  <si>
    <t>pelicanreefinc</t>
  </si>
  <si>
    <t>blueskiesproductdistribution</t>
  </si>
  <si>
    <t>flourishlawpllc</t>
  </si>
  <si>
    <t>crackyabackseasonings</t>
  </si>
  <si>
    <t>consulting4</t>
  </si>
  <si>
    <t>huahaocommercialtradingcoltd</t>
  </si>
  <si>
    <t>kindacetransportllc</t>
  </si>
  <si>
    <t>assistedinterventions</t>
  </si>
  <si>
    <t>latinoknowledge</t>
  </si>
  <si>
    <t>battenkillbudsllc</t>
  </si>
  <si>
    <t>britney</t>
  </si>
  <si>
    <t>dakotacartage</t>
  </si>
  <si>
    <t>aaaa2</t>
  </si>
  <si>
    <t>grizzlygraphicsnm</t>
  </si>
  <si>
    <t>frontexservicesllc</t>
  </si>
  <si>
    <t>bostonchairmassage</t>
  </si>
  <si>
    <t>unitedglobaltradingcorp10</t>
  </si>
  <si>
    <t>oxiliumservices</t>
  </si>
  <si>
    <t>forefrontfencing</t>
  </si>
  <si>
    <t>reiim</t>
  </si>
  <si>
    <t>mariasmealsonwheels</t>
  </si>
  <si>
    <t>khalidalrasheed</t>
  </si>
  <si>
    <t>heavenshavenlivingfacility</t>
  </si>
  <si>
    <t>magnumdoorsolutionsinc</t>
  </si>
  <si>
    <t>lifeinfullness</t>
  </si>
  <si>
    <t>knockoutfirewood</t>
  </si>
  <si>
    <t>knockoutwaterdelivery</t>
  </si>
  <si>
    <t>bloomfieldnetworks</t>
  </si>
  <si>
    <t>electricaloptions</t>
  </si>
  <si>
    <t>persepolistax2</t>
  </si>
  <si>
    <t>capefearfloorcarellc</t>
  </si>
  <si>
    <t>assisther</t>
  </si>
  <si>
    <t>lessmovement</t>
  </si>
  <si>
    <t>school5</t>
  </si>
  <si>
    <t>renovvo2</t>
  </si>
  <si>
    <t>waterwell2</t>
  </si>
  <si>
    <t>redbirdfarms</t>
  </si>
  <si>
    <t>jrkcraftsmen</t>
  </si>
  <si>
    <t>houghtireautocenterllc</t>
  </si>
  <si>
    <t>commandz</t>
  </si>
  <si>
    <t>commandz2</t>
  </si>
  <si>
    <t>acocamtrading2</t>
  </si>
  <si>
    <t>bmijamaica</t>
  </si>
  <si>
    <t>mzahradnikschedule</t>
  </si>
  <si>
    <t>Method:FieldServices</t>
  </si>
  <si>
    <t>silverlinejudaica2</t>
  </si>
  <si>
    <t>premiercleaningandpropertymaintenancellc</t>
  </si>
  <si>
    <t>ptpconsultantsllc</t>
  </si>
  <si>
    <t>antoinetanguay</t>
  </si>
  <si>
    <t>broadviewscreen2</t>
  </si>
  <si>
    <t>antoinetanguay2</t>
  </si>
  <si>
    <t>heritageamishfurniture</t>
  </si>
  <si>
    <t>pacifictrack</t>
  </si>
  <si>
    <t>getcakewalktest5</t>
  </si>
  <si>
    <t>elinktech</t>
  </si>
  <si>
    <t>nhcr</t>
  </si>
  <si>
    <t>oregonoutdoorlighting</t>
  </si>
  <si>
    <t>cirrusmedicaltecchnologies</t>
  </si>
  <si>
    <t>pjscustom</t>
  </si>
  <si>
    <t>chrismyersgeneralcontracting</t>
  </si>
  <si>
    <t>absent</t>
  </si>
  <si>
    <t>nclusionary</t>
  </si>
  <si>
    <t>ambenvironmental</t>
  </si>
  <si>
    <t>directchairs</t>
  </si>
  <si>
    <t>sms4</t>
  </si>
  <si>
    <t>jewnenterpriseinc</t>
  </si>
  <si>
    <t>groundsolutions</t>
  </si>
  <si>
    <t>buschbroselevatorcoinc</t>
  </si>
  <si>
    <t>cajcllc</t>
  </si>
  <si>
    <t>thesunriseorganization</t>
  </si>
  <si>
    <t>shellyincorporated</t>
  </si>
  <si>
    <t>topturfandpestllc</t>
  </si>
  <si>
    <t>wellsangels</t>
  </si>
  <si>
    <t>shellynorthcarolinainc</t>
  </si>
  <si>
    <t>blossomdentalconsulting</t>
  </si>
  <si>
    <t>rhinopak</t>
  </si>
  <si>
    <t>esfa</t>
  </si>
  <si>
    <t>easybreezeairconditioningandrefrigeration</t>
  </si>
  <si>
    <t>test201</t>
  </si>
  <si>
    <t>ecogardens4</t>
  </si>
  <si>
    <t>seedconcepts</t>
  </si>
  <si>
    <t>kellyandcobookkeeping</t>
  </si>
  <si>
    <t>tylercopelandfresh</t>
  </si>
  <si>
    <t>eastcoastescalatorcleaning</t>
  </si>
  <si>
    <t>wastecostsolutionsinc</t>
  </si>
  <si>
    <t>alphainscriptions</t>
  </si>
  <si>
    <t>bookkeepingsolutionsllc</t>
  </si>
  <si>
    <t>careolinawellnessandinfusioncenter</t>
  </si>
  <si>
    <t>lesbatisseurshm</t>
  </si>
  <si>
    <t>tmtlciih</t>
  </si>
  <si>
    <t>allphaseconstructionco</t>
  </si>
  <si>
    <t>alternativelifestylesystems2</t>
  </si>
  <si>
    <t>greenconnectionconstruction</t>
  </si>
  <si>
    <t>selectbeveragellc</t>
  </si>
  <si>
    <t>xpertcontractorllc</t>
  </si>
  <si>
    <t>toptechexperts</t>
  </si>
  <si>
    <t>prestigeav</t>
  </si>
  <si>
    <t>processqinc</t>
  </si>
  <si>
    <t>tobysmechanicalllc</t>
  </si>
  <si>
    <t>elsaroofingcompanyinc3</t>
  </si>
  <si>
    <t>velconconstructiongroup</t>
  </si>
  <si>
    <t>mine6</t>
  </si>
  <si>
    <t>ricardo3</t>
  </si>
  <si>
    <t>zendeskinc3</t>
  </si>
  <si>
    <t>testintuit3</t>
  </si>
  <si>
    <t>thenorthridge</t>
  </si>
  <si>
    <t>intuit52</t>
  </si>
  <si>
    <t>bestaroundtown</t>
  </si>
  <si>
    <t>abdallah</t>
  </si>
  <si>
    <t>fourpointsplatinum</t>
  </si>
  <si>
    <t>hoosierhomewatchservice2</t>
  </si>
  <si>
    <t>blackhawksecurityllc</t>
  </si>
  <si>
    <t>allservicessouthflorida2</t>
  </si>
  <si>
    <t>legoreconsultingllc</t>
  </si>
  <si>
    <t>company9</t>
  </si>
  <si>
    <t>vinestreethillcemetery</t>
  </si>
  <si>
    <t>miller</t>
  </si>
  <si>
    <t>welchtax</t>
  </si>
  <si>
    <t>environmentalserviceandequipment</t>
  </si>
  <si>
    <t>aspenfibernetworks</t>
  </si>
  <si>
    <t>sumterhomeinsulators2</t>
  </si>
  <si>
    <t>pmt2</t>
  </si>
  <si>
    <t>greenelinegenetics</t>
  </si>
  <si>
    <t>michaelyuoh</t>
  </si>
  <si>
    <t>ram2</t>
  </si>
  <si>
    <t>cornerstonebookkeepingandconsulting</t>
  </si>
  <si>
    <t>oliverorg</t>
  </si>
  <si>
    <t>metahnomis2</t>
  </si>
  <si>
    <t>waypointnetworks</t>
  </si>
  <si>
    <t>autodoctor</t>
  </si>
  <si>
    <t>floridacommercialdivinginstitute</t>
  </si>
  <si>
    <t>sansorium</t>
  </si>
  <si>
    <t>ottercommercialservices</t>
  </si>
  <si>
    <t>parkwestbjjcom</t>
  </si>
  <si>
    <t>marvinjperry</t>
  </si>
  <si>
    <t>sovannymao</t>
  </si>
  <si>
    <t>twohundredandfiftythreeglass</t>
  </si>
  <si>
    <t>klaasenwoodfloors</t>
  </si>
  <si>
    <t>puranaccounting</t>
  </si>
  <si>
    <t>puranaccountingandtaxsolutionlab</t>
  </si>
  <si>
    <t>rmdevelopingllc</t>
  </si>
  <si>
    <t>etsy</t>
  </si>
  <si>
    <t>greenschool</t>
  </si>
  <si>
    <t>thirtyonenorthelectric</t>
  </si>
  <si>
    <t>dafamipro</t>
  </si>
  <si>
    <t>ecogroup</t>
  </si>
  <si>
    <t>startwell</t>
  </si>
  <si>
    <t>maksudan</t>
  </si>
  <si>
    <t>muhammadmudasir</t>
  </si>
  <si>
    <t>redssonicservices</t>
  </si>
  <si>
    <t>revitaearth2</t>
  </si>
  <si>
    <t>klaasenwoodfloors2</t>
  </si>
  <si>
    <t>cascadeservicescompanyinc</t>
  </si>
  <si>
    <t>highlandgroundcareltd</t>
  </si>
  <si>
    <t>safetouchllc</t>
  </si>
  <si>
    <t>crmofthecarolinasllc2</t>
  </si>
  <si>
    <t>evenplay</t>
  </si>
  <si>
    <t>renewandrise</t>
  </si>
  <si>
    <t>kadcoceramics</t>
  </si>
  <si>
    <t>thecrazysalesllc</t>
  </si>
  <si>
    <t>jrsuppression</t>
  </si>
  <si>
    <t>etallinc2</t>
  </si>
  <si>
    <t>youngtermiteandpestcontrolinc2</t>
  </si>
  <si>
    <t>clairanddeesoperations</t>
  </si>
  <si>
    <t>cleanlikethesun</t>
  </si>
  <si>
    <t>tonysgarage</t>
  </si>
  <si>
    <t>nxtlevelav</t>
  </si>
  <si>
    <t>cortenusa</t>
  </si>
  <si>
    <t>eisindustrialrefrigeration</t>
  </si>
  <si>
    <t>digitech</t>
  </si>
  <si>
    <t>houstoneps</t>
  </si>
  <si>
    <t>afterfivehvacllc</t>
  </si>
  <si>
    <t>greenschool2</t>
  </si>
  <si>
    <t>namelokliquorlimited2</t>
  </si>
  <si>
    <t>mrjonh</t>
  </si>
  <si>
    <t>palmettobiblecamp2</t>
  </si>
  <si>
    <t>jeffsatworkofficefurniture</t>
  </si>
  <si>
    <t>vaqueros07llccorporacin</t>
  </si>
  <si>
    <t>purekbfinc2</t>
  </si>
  <si>
    <t>steintexmfgnyllc</t>
  </si>
  <si>
    <t>tmigroupllctaxandaccounting2</t>
  </si>
  <si>
    <t>tmigroupllctaxandaccounting</t>
  </si>
  <si>
    <t>sabadohomes</t>
  </si>
  <si>
    <t>wdrps</t>
  </si>
  <si>
    <t>ridgewoodmeadowscondoassn</t>
  </si>
  <si>
    <t>sociamedia2</t>
  </si>
  <si>
    <t>dekorbutik2</t>
  </si>
  <si>
    <t>forotekmanufacturingltd</t>
  </si>
  <si>
    <t>albanyboxcompany</t>
  </si>
  <si>
    <t>shwardlandscapes</t>
  </si>
  <si>
    <t>crownwheelemech2</t>
  </si>
  <si>
    <t>bethenny3</t>
  </si>
  <si>
    <t>cmshuster2</t>
  </si>
  <si>
    <t>poorboyzconstruction</t>
  </si>
  <si>
    <t>poorboyzconstruction2</t>
  </si>
  <si>
    <t>rescuesolutions</t>
  </si>
  <si>
    <t>hsc2</t>
  </si>
  <si>
    <t>socialgoodinactioninc2</t>
  </si>
  <si>
    <t>bridgetechnologies</t>
  </si>
  <si>
    <t>bridgetechnologies2</t>
  </si>
  <si>
    <t>wrightvibebookkeeping</t>
  </si>
  <si>
    <t>abdulmalikassociates</t>
  </si>
  <si>
    <t>nazrawiti</t>
  </si>
  <si>
    <t>swissleadersgroup</t>
  </si>
  <si>
    <t>principalappraisals</t>
  </si>
  <si>
    <t>apollossplayhouse</t>
  </si>
  <si>
    <t>heenacommunication</t>
  </si>
  <si>
    <t>featherstonaccountingservicesllc</t>
  </si>
  <si>
    <t>numinousinvolvements</t>
  </si>
  <si>
    <t>allpro2</t>
  </si>
  <si>
    <t>gti</t>
  </si>
  <si>
    <t>aaa1transportation2</t>
  </si>
  <si>
    <t>nowasteaustralia</t>
  </si>
  <si>
    <t>ramirezproperty</t>
  </si>
  <si>
    <t>malkoludji</t>
  </si>
  <si>
    <t>racengineering</t>
  </si>
  <si>
    <t>adam4</t>
  </si>
  <si>
    <t>reddoorpestcontrol3</t>
  </si>
  <si>
    <t>gritandgearsolutions</t>
  </si>
  <si>
    <t>wisher</t>
  </si>
  <si>
    <t>meritoelectros</t>
  </si>
  <si>
    <t>techfensesolutions</t>
  </si>
  <si>
    <t>kaiserpermanente</t>
  </si>
  <si>
    <t>rictuned2</t>
  </si>
  <si>
    <t>mcdonaldskenziecorp</t>
  </si>
  <si>
    <t>ponuka</t>
  </si>
  <si>
    <t>ponuka2</t>
  </si>
  <si>
    <t>ponuka3</t>
  </si>
  <si>
    <t>dane</t>
  </si>
  <si>
    <t>airspecialistsllc</t>
  </si>
  <si>
    <t>virtualdesk</t>
  </si>
  <si>
    <t>acelectriccontractors</t>
  </si>
  <si>
    <t>pfbuildingservices</t>
  </si>
  <si>
    <t>aksanabookkeeping</t>
  </si>
  <si>
    <t>aksanabookkeeping2</t>
  </si>
  <si>
    <t>aiias</t>
  </si>
  <si>
    <t>aiias2</t>
  </si>
  <si>
    <t>achiever</t>
  </si>
  <si>
    <t>holcombhomeimprovement2</t>
  </si>
  <si>
    <t>bronxltd</t>
  </si>
  <si>
    <t>innocent</t>
  </si>
  <si>
    <t>myknoll</t>
  </si>
  <si>
    <t>methodm11m183</t>
  </si>
  <si>
    <t>thriveearthproducts</t>
  </si>
  <si>
    <t>paceheatandair</t>
  </si>
  <si>
    <t>trinityequipmentco</t>
  </si>
  <si>
    <t>qseglobalinc</t>
  </si>
  <si>
    <t>middletygercommunitycenter</t>
  </si>
  <si>
    <t>ottercommercialservices2</t>
  </si>
  <si>
    <t>bepristine</t>
  </si>
  <si>
    <t>slolifecompany</t>
  </si>
  <si>
    <t>volts</t>
  </si>
  <si>
    <t>fivehundredandtwoeliteremodeling</t>
  </si>
  <si>
    <t>fivehundredandtwoeliteremodeling2</t>
  </si>
  <si>
    <t>disadayandnightcare</t>
  </si>
  <si>
    <t>semacsa</t>
  </si>
  <si>
    <t>westtexasprotein</t>
  </si>
  <si>
    <t>westtexasprotein2</t>
  </si>
  <si>
    <t>vapt</t>
  </si>
  <si>
    <t>ramirezpropertysolutionsllc</t>
  </si>
  <si>
    <t>allmaintenanceservices</t>
  </si>
  <si>
    <t>sothearoth</t>
  </si>
  <si>
    <t>bayswater</t>
  </si>
  <si>
    <t>Method Multi-entity For QBO</t>
  </si>
  <si>
    <t>crmorg</t>
  </si>
  <si>
    <t>kcbookkeeping</t>
  </si>
  <si>
    <t>ezekiel</t>
  </si>
  <si>
    <t>theburbankfirm</t>
  </si>
  <si>
    <t>yberausa</t>
  </si>
  <si>
    <t>micomprallc</t>
  </si>
  <si>
    <t>blumsseafood</t>
  </si>
  <si>
    <t>charlessmithassociates4</t>
  </si>
  <si>
    <t>fromgroundup</t>
  </si>
  <si>
    <t>division8andcbdoors</t>
  </si>
  <si>
    <t>travauxctenord</t>
  </si>
  <si>
    <t>vlmtrial</t>
  </si>
  <si>
    <t>rvalueinsulation</t>
  </si>
  <si>
    <t>sealsandstripesasphaltcompany</t>
  </si>
  <si>
    <t>aftermathdistro</t>
  </si>
  <si>
    <t>threethirteeninc2</t>
  </si>
  <si>
    <t>mulligansequipmentsales</t>
  </si>
  <si>
    <t>theperformancecollaborative</t>
  </si>
  <si>
    <t>mitgroup2</t>
  </si>
  <si>
    <t>hbarricade</t>
  </si>
  <si>
    <t>reevescontractoring</t>
  </si>
  <si>
    <t>cleanwayjanitorial</t>
  </si>
  <si>
    <t>highfivesnonprofitfoundation2</t>
  </si>
  <si>
    <t>toituretnt3</t>
  </si>
  <si>
    <t>splinterwolfevents</t>
  </si>
  <si>
    <t>remodelingserviceshernanderz</t>
  </si>
  <si>
    <t>rescuerhythmstrainingllc</t>
  </si>
  <si>
    <t>accountingfortaxsolutions</t>
  </si>
  <si>
    <t>splinterwolfproductionsandevents</t>
  </si>
  <si>
    <t>terpmail2</t>
  </si>
  <si>
    <t>overtureunlimitedllc</t>
  </si>
  <si>
    <t>centralpacificag</t>
  </si>
  <si>
    <t>aimeepuglisivirtualassistant</t>
  </si>
  <si>
    <t>lowflowatermanagementandleakdetection</t>
  </si>
  <si>
    <t>allcitybrickstainingllc</t>
  </si>
  <si>
    <t>avaratak</t>
  </si>
  <si>
    <t>ambroseupholsteryllc</t>
  </si>
  <si>
    <t>veronexisconsultingllc</t>
  </si>
  <si>
    <t>fortiusmechanical</t>
  </si>
  <si>
    <t>mosdosmeharambrisk</t>
  </si>
  <si>
    <t>remservemedical</t>
  </si>
  <si>
    <t>theautosuite</t>
  </si>
  <si>
    <t>k9moldguide</t>
  </si>
  <si>
    <t>lidarifloors</t>
  </si>
  <si>
    <t>trueworldfoodslosangelesllc</t>
  </si>
  <si>
    <t>lifestylebookkeeping</t>
  </si>
  <si>
    <t>pacificcoastcleaning</t>
  </si>
  <si>
    <t>foodatfirst</t>
  </si>
  <si>
    <t>wildroverfood4</t>
  </si>
  <si>
    <t>lucrasystems</t>
  </si>
  <si>
    <t>acctiviti</t>
  </si>
  <si>
    <t>isina</t>
  </si>
  <si>
    <t>rennercompanies</t>
  </si>
  <si>
    <t>raptorwireline</t>
  </si>
  <si>
    <t>viridisdesignandgardens2</t>
  </si>
  <si>
    <t>perimetersecuritysolutions</t>
  </si>
  <si>
    <t>packetmicro</t>
  </si>
  <si>
    <t>contourcoatings2</t>
  </si>
  <si>
    <t>wcwservicesinc</t>
  </si>
  <si>
    <t>cheflinksupply2</t>
  </si>
  <si>
    <t>sealsandstripes</t>
  </si>
  <si>
    <t>daudxvirus</t>
  </si>
  <si>
    <t>isina2</t>
  </si>
  <si>
    <t>odysseymobileautorepair</t>
  </si>
  <si>
    <t>availsvc2</t>
  </si>
  <si>
    <t>andiimediallc</t>
  </si>
  <si>
    <t>levelup2</t>
  </si>
  <si>
    <t>levelup3</t>
  </si>
  <si>
    <t>ecoscapeuk3</t>
  </si>
  <si>
    <t>maker3</t>
  </si>
  <si>
    <t>matthaslem</t>
  </si>
  <si>
    <t>alabamawire</t>
  </si>
  <si>
    <t>test202</t>
  </si>
  <si>
    <t>shellyncincorporated</t>
  </si>
  <si>
    <t>aircraftdynamics</t>
  </si>
  <si>
    <t>structurescan</t>
  </si>
  <si>
    <t>maxiking</t>
  </si>
  <si>
    <t>austinvillelimestonecompany</t>
  </si>
  <si>
    <t>dccables</t>
  </si>
  <si>
    <t>tremblantcheznous</t>
  </si>
  <si>
    <t>rivali</t>
  </si>
  <si>
    <t>source1aerospace</t>
  </si>
  <si>
    <t>mpilwenhle</t>
  </si>
  <si>
    <t>isina3</t>
  </si>
  <si>
    <t>wdhbc</t>
  </si>
  <si>
    <t>uniformstores</t>
  </si>
  <si>
    <t>edgarsfeedandseed</t>
  </si>
  <si>
    <t>luxbrushpainting</t>
  </si>
  <si>
    <t>superiordentalworks</t>
  </si>
  <si>
    <t>maazenterprises</t>
  </si>
  <si>
    <t>ethveninc</t>
  </si>
  <si>
    <t>testorg13</t>
  </si>
  <si>
    <t>nexussolution</t>
  </si>
  <si>
    <t>atlasweldingandfabrication</t>
  </si>
  <si>
    <t>ivlgbtresourcecenter</t>
  </si>
  <si>
    <t>crossfoot</t>
  </si>
  <si>
    <t>tuhin</t>
  </si>
  <si>
    <t>intuit53</t>
  </si>
  <si>
    <t>excelsiouslimitedtareceiptbot2</t>
  </si>
  <si>
    <t>kdassosciates</t>
  </si>
  <si>
    <t>goldenbookkeeping</t>
  </si>
  <si>
    <t>hursthardwoods7</t>
  </si>
  <si>
    <t>integrityhomecareandtreeservice</t>
  </si>
  <si>
    <t>gfkgroup</t>
  </si>
  <si>
    <t>trainsmart</t>
  </si>
  <si>
    <t>eastgrandfenceco</t>
  </si>
  <si>
    <t>remmgroup2</t>
  </si>
  <si>
    <t>thebestgroup</t>
  </si>
  <si>
    <t>aandsfencingllc</t>
  </si>
  <si>
    <t>teamargus</t>
  </si>
  <si>
    <t>home46</t>
  </si>
  <si>
    <t>republicfloor</t>
  </si>
  <si>
    <t>greatintl</t>
  </si>
  <si>
    <t>jackmillsapcompanyinc</t>
  </si>
  <si>
    <t>closlandscape</t>
  </si>
  <si>
    <t>ldjexecutiveandlifecoaching</t>
  </si>
  <si>
    <t>howardelectric</t>
  </si>
  <si>
    <t>pswremodelllc</t>
  </si>
  <si>
    <t>emr</t>
  </si>
  <si>
    <t>tillmangroup2</t>
  </si>
  <si>
    <t>growoldgracefully</t>
  </si>
  <si>
    <t>distinctcabinetsptyltd</t>
  </si>
  <si>
    <t>collegestudent</t>
  </si>
  <si>
    <t>aungfimaly</t>
  </si>
  <si>
    <t>splinterunit</t>
  </si>
  <si>
    <t>appleat7982</t>
  </si>
  <si>
    <t>appleat79822</t>
  </si>
  <si>
    <t>dmdautoparts</t>
  </si>
  <si>
    <t>thebestgroup2</t>
  </si>
  <si>
    <t>excavationblangerinc</t>
  </si>
  <si>
    <t>jacksimpsonphotography</t>
  </si>
  <si>
    <t>sunnyblack</t>
  </si>
  <si>
    <t>cmh2</t>
  </si>
  <si>
    <t>pnc2</t>
  </si>
  <si>
    <t>smartprinting2</t>
  </si>
  <si>
    <t>jbnetworksinc</t>
  </si>
  <si>
    <t>smvl2</t>
  </si>
  <si>
    <t>tristan</t>
  </si>
  <si>
    <t>farahnazarmangoo</t>
  </si>
  <si>
    <t>pluribus</t>
  </si>
  <si>
    <t>obxcertifiedpoolandspaservicesllc6</t>
  </si>
  <si>
    <t>aplustaxservice</t>
  </si>
  <si>
    <t>bellspropertymanagementllc</t>
  </si>
  <si>
    <t>jmgconstructionll</t>
  </si>
  <si>
    <t>paragonpowerllc</t>
  </si>
  <si>
    <t>guardian3</t>
  </si>
  <si>
    <t>brownandsons</t>
  </si>
  <si>
    <t>southhuronofficesolutionsinc4</t>
  </si>
  <si>
    <t>plomberiesg</t>
  </si>
  <si>
    <t>biosrebooted</t>
  </si>
  <si>
    <t>walkerheatingandairllc</t>
  </si>
  <si>
    <t>wuilsonsroofingllc</t>
  </si>
  <si>
    <t>sh2</t>
  </si>
  <si>
    <t>rmbfinancial</t>
  </si>
  <si>
    <t>selina</t>
  </si>
  <si>
    <t>selina2</t>
  </si>
  <si>
    <t>annapolistaxpros</t>
  </si>
  <si>
    <t>allangingerich</t>
  </si>
  <si>
    <t>pgl</t>
  </si>
  <si>
    <t>naturallegacy</t>
  </si>
  <si>
    <t>flooredbyus</t>
  </si>
  <si>
    <t>xadmin2</t>
  </si>
  <si>
    <t>kyletownsservicesllc</t>
  </si>
  <si>
    <t>williamsgpmgroupltd</t>
  </si>
  <si>
    <t>designbuildworkshopinc</t>
  </si>
  <si>
    <t>tanya</t>
  </si>
  <si>
    <t>ctcitechnology6</t>
  </si>
  <si>
    <t>eunitel</t>
  </si>
  <si>
    <t>minitaursalesinc</t>
  </si>
  <si>
    <t>eunitel2</t>
  </si>
  <si>
    <t>westcoastsealcoating</t>
  </si>
  <si>
    <t>nuhan</t>
  </si>
  <si>
    <t>renovationsuccess</t>
  </si>
  <si>
    <t>empireprecast2</t>
  </si>
  <si>
    <t>protest</t>
  </si>
  <si>
    <t>amerigrowrecycling</t>
  </si>
  <si>
    <t>bluebirdgardening</t>
  </si>
  <si>
    <t>testorgjason1</t>
  </si>
  <si>
    <t>tanti</t>
  </si>
  <si>
    <t>coldencorporation</t>
  </si>
  <si>
    <t>vinkinc</t>
  </si>
  <si>
    <t>seventreeswellness</t>
  </si>
  <si>
    <t>felstiner</t>
  </si>
  <si>
    <t>midfloridafastenersllc</t>
  </si>
  <si>
    <t>floydsflooringandmore</t>
  </si>
  <si>
    <t>oiltraderzinc</t>
  </si>
  <si>
    <t>elitecrane</t>
  </si>
  <si>
    <t>ridenourslife1820</t>
  </si>
  <si>
    <t>demedicahn</t>
  </si>
  <si>
    <t>justanotherwash</t>
  </si>
  <si>
    <t>testdrivefrqc</t>
  </si>
  <si>
    <t>jmequipmentinc</t>
  </si>
  <si>
    <t>d05eng</t>
  </si>
  <si>
    <t>clearflowfinance</t>
  </si>
  <si>
    <t>energiatv</t>
  </si>
  <si>
    <t>starrjconstruction</t>
  </si>
  <si>
    <t>noblewindowcleaningllc2</t>
  </si>
  <si>
    <t>parthenterprise</t>
  </si>
  <si>
    <t>tectah</t>
  </si>
  <si>
    <t>atlascleaningco</t>
  </si>
  <si>
    <t>peritasai</t>
  </si>
  <si>
    <t>rmp2</t>
  </si>
  <si>
    <t>flexosupplycompany</t>
  </si>
  <si>
    <t>besafamilylandscaping</t>
  </si>
  <si>
    <t>centennialhillscpa</t>
  </si>
  <si>
    <t>truepointllc</t>
  </si>
  <si>
    <t>family4</t>
  </si>
  <si>
    <t>abcpr2</t>
  </si>
  <si>
    <t>kendallrawlsandashleyrose</t>
  </si>
  <si>
    <t>sightandsoundbydesign</t>
  </si>
  <si>
    <t>cjinternationaltechconsultingllc</t>
  </si>
  <si>
    <t>synergyhomecareofwoodbridge</t>
  </si>
  <si>
    <t>angelrsindingllc</t>
  </si>
  <si>
    <t>creeksidecabinbookkeepingllc</t>
  </si>
  <si>
    <t>ffffff</t>
  </si>
  <si>
    <t>ninehundredandelevenbookkeepersllc</t>
  </si>
  <si>
    <t>agfmarbleandgraniteinc</t>
  </si>
  <si>
    <t>energiatv2</t>
  </si>
  <si>
    <t>beaujardin</t>
  </si>
  <si>
    <t>ventura2</t>
  </si>
  <si>
    <t>peakscapeslawncare</t>
  </si>
  <si>
    <t>acdavisinc</t>
  </si>
  <si>
    <t>venturasalesltd</t>
  </si>
  <si>
    <t>flairconstructionltd</t>
  </si>
  <si>
    <t>starrjanitorial2</t>
  </si>
  <si>
    <t>azgreencleanteam</t>
  </si>
  <si>
    <t>businessowner</t>
  </si>
  <si>
    <t>tti2</t>
  </si>
  <si>
    <t>psiservicesiiiinc</t>
  </si>
  <si>
    <t>joyscleaning</t>
  </si>
  <si>
    <t>gwtransportrefrigerationllc2</t>
  </si>
  <si>
    <t>complianceassuranceassociatesinc</t>
  </si>
  <si>
    <t>alfordscustomhardwoodfloors</t>
  </si>
  <si>
    <t>newlightelectric</t>
  </si>
  <si>
    <t>newlightelectric2</t>
  </si>
  <si>
    <t>john6</t>
  </si>
  <si>
    <t>taharkabrothers2</t>
  </si>
  <si>
    <t>sionbusinesssolutions</t>
  </si>
  <si>
    <t>galayr</t>
  </si>
  <si>
    <t>weavergrainbins</t>
  </si>
  <si>
    <t>nethmarandsons</t>
  </si>
  <si>
    <t>csllc</t>
  </si>
  <si>
    <t>mg2taxconsulting</t>
  </si>
  <si>
    <t>intuit54</t>
  </si>
  <si>
    <t>uniquepaksales</t>
  </si>
  <si>
    <t>thebackwoodscollc</t>
  </si>
  <si>
    <t>eightleap</t>
  </si>
  <si>
    <t>kingshengesolutionspty</t>
  </si>
  <si>
    <t>rustorus</t>
  </si>
  <si>
    <t>ashiksubudhi</t>
  </si>
  <si>
    <t>ikram</t>
  </si>
  <si>
    <t>qandellc</t>
  </si>
  <si>
    <t>gmail7</t>
  </si>
  <si>
    <t>jpmulveyplumbingandheatinginc</t>
  </si>
  <si>
    <t>tooldcker</t>
  </si>
  <si>
    <t>sparkproservices</t>
  </si>
  <si>
    <t>ttlrecycling3</t>
  </si>
  <si>
    <t>teemark</t>
  </si>
  <si>
    <t>officerusltd2</t>
  </si>
  <si>
    <t>lynnmariehome</t>
  </si>
  <si>
    <t>fiw</t>
  </si>
  <si>
    <t>perinelowe2</t>
  </si>
  <si>
    <t>amerigrow</t>
  </si>
  <si>
    <t>amerigrow2</t>
  </si>
  <si>
    <t>nucowireless</t>
  </si>
  <si>
    <t>atoztreeandturf</t>
  </si>
  <si>
    <t>yourpersonalgardenerandarborist</t>
  </si>
  <si>
    <t>bowie</t>
  </si>
  <si>
    <t>genaerpowersystems2</t>
  </si>
  <si>
    <t>qseglobalinc2</t>
  </si>
  <si>
    <t>socialretail</t>
  </si>
  <si>
    <t>balancedadvantage</t>
  </si>
  <si>
    <t>bow2sternllc</t>
  </si>
  <si>
    <t>bluedolphin</t>
  </si>
  <si>
    <t>coolboats</t>
  </si>
  <si>
    <t>wheelhousepandp</t>
  </si>
  <si>
    <t>metroled3</t>
  </si>
  <si>
    <t>ctcitechnology7</t>
  </si>
  <si>
    <t>mrwhizservices</t>
  </si>
  <si>
    <t>carddungeon</t>
  </si>
  <si>
    <t>startech2</t>
  </si>
  <si>
    <t>onethousandandthirtyshortstreet</t>
  </si>
  <si>
    <t>greenschool3</t>
  </si>
  <si>
    <t>hitch42</t>
  </si>
  <si>
    <t>yaaace</t>
  </si>
  <si>
    <t>transconstruction</t>
  </si>
  <si>
    <t>cleanlikethesun2</t>
  </si>
  <si>
    <t>ipay2</t>
  </si>
  <si>
    <t>healthcare</t>
  </si>
  <si>
    <t>horntraceng</t>
  </si>
  <si>
    <t>tooldockerequipmentsopcpvtltd</t>
  </si>
  <si>
    <t>coronaprintingcompanyinc</t>
  </si>
  <si>
    <t>jmroofing</t>
  </si>
  <si>
    <t>alltradescontracting</t>
  </si>
  <si>
    <t>tekorderinc</t>
  </si>
  <si>
    <t>ryanwaterproofing</t>
  </si>
  <si>
    <t>storylandstudios</t>
  </si>
  <si>
    <t>twentyfourhourtek</t>
  </si>
  <si>
    <t>ny</t>
  </si>
  <si>
    <t>nycparksmarinas</t>
  </si>
  <si>
    <t>moorinstrumentsinc</t>
  </si>
  <si>
    <t>cheflinksupply3</t>
  </si>
  <si>
    <t>parsonseugene</t>
  </si>
  <si>
    <t>charlestonoutdoordesign</t>
  </si>
  <si>
    <t>oracledistribution</t>
  </si>
  <si>
    <t>totalsocialmgllc</t>
  </si>
  <si>
    <t>wellsfargotheprivatetrust4</t>
  </si>
  <si>
    <t>wellsfargotheprivatetrust5</t>
  </si>
  <si>
    <t>samplecompany72</t>
  </si>
  <si>
    <t>samplecompany73</t>
  </si>
  <si>
    <t>samplecompany74</t>
  </si>
  <si>
    <t>fintrix360</t>
  </si>
  <si>
    <t>hilltoproofinginc</t>
  </si>
  <si>
    <t>sarii</t>
  </si>
  <si>
    <t>oakstonefinancialsllp</t>
  </si>
  <si>
    <t>softwashguy</t>
  </si>
  <si>
    <t>constructxpert</t>
  </si>
  <si>
    <t>riverrun</t>
  </si>
  <si>
    <t>purekbfinc3</t>
  </si>
  <si>
    <t>newtechindustries</t>
  </si>
  <si>
    <t>bestfleetservicesltd</t>
  </si>
  <si>
    <t>sandboxcommunications</t>
  </si>
  <si>
    <t>coastlinekitchendesign</t>
  </si>
  <si>
    <t>hamiltonmcgregorandassociates</t>
  </si>
  <si>
    <t>majesticteezllc</t>
  </si>
  <si>
    <t>unknown</t>
  </si>
  <si>
    <t>unassigned-LRP</t>
  </si>
  <si>
    <t>unassigned-newshootsbamboo</t>
  </si>
  <si>
    <t>unassigned-harmonylabandsafety</t>
  </si>
  <si>
    <t>unassigned-thermaltransfersystemsinc</t>
  </si>
  <si>
    <t>unassigned-theinternationalwinecompany</t>
  </si>
  <si>
    <t>unassigned-primusbusinessmanagement</t>
  </si>
  <si>
    <t>unassigned-stiehltech</t>
  </si>
  <si>
    <t>unassigned-brigantiproductdevelopmentgroup</t>
  </si>
  <si>
    <t>unassigned-asaflooring</t>
  </si>
  <si>
    <t>unassigned-eliteconcretecoatings</t>
  </si>
  <si>
    <t>unassigned-vanamoutdoors</t>
  </si>
  <si>
    <t>Date</t>
  </si>
  <si>
    <t>Days in Month</t>
  </si>
  <si>
    <t>Trials</t>
  </si>
  <si>
    <t>Total Customers BOM</t>
  </si>
  <si>
    <t>Total Customers EOM</t>
  </si>
  <si>
    <t>Lost Customers</t>
  </si>
  <si>
    <t>Same Month Trials to Customers</t>
  </si>
  <si>
    <t>Same Month Trial to Customer Conversion Rate</t>
  </si>
  <si>
    <t>30 -Day Conversions</t>
  </si>
  <si>
    <t>60-Day Conversions</t>
  </si>
  <si>
    <t>90-Day Conversions</t>
  </si>
  <si>
    <t>Linear Conversions</t>
  </si>
  <si>
    <t>Linear Conversion Rate</t>
  </si>
  <si>
    <t>ARPC. First Invoice</t>
  </si>
  <si>
    <t>Revenue from Trials</t>
  </si>
  <si>
    <t>Saas Revenue</t>
  </si>
  <si>
    <t>PS Revenue</t>
  </si>
  <si>
    <t>ARPC</t>
  </si>
  <si>
    <t>MRR</t>
  </si>
  <si>
    <t>Same Month Conversions SEO</t>
  </si>
  <si>
    <t>Same Month Conversions SEM</t>
  </si>
  <si>
    <t>Same Month Conversions Intuit</t>
  </si>
  <si>
    <t>Same Month Conversions Partner</t>
  </si>
  <si>
    <t>Same Month Conversions Owned</t>
  </si>
  <si>
    <t>Same Month Conversions Email</t>
  </si>
  <si>
    <t>Same Month Conversions Direct</t>
  </si>
  <si>
    <t>Same Month Conversions Social</t>
  </si>
  <si>
    <t>Same Month Conversions Unkown</t>
  </si>
  <si>
    <t>30-Day Conversions SEO</t>
  </si>
  <si>
    <t>30-Day Conversions SEM</t>
  </si>
  <si>
    <t>30-Day Conversions Intuit</t>
  </si>
  <si>
    <t>30-Day Conversions Partner</t>
  </si>
  <si>
    <t>30-Day Conversions Email</t>
  </si>
  <si>
    <t>30-Day Conversions Direct</t>
  </si>
  <si>
    <t>30-Day Conversions Social</t>
  </si>
  <si>
    <t>30-Day Conversions Unkown</t>
  </si>
  <si>
    <t>60-Day Conversions SEO</t>
  </si>
  <si>
    <t>60-Day Conversions SEM</t>
  </si>
  <si>
    <t>60-Day Conversions Intuit</t>
  </si>
  <si>
    <t>60-Day Conversions Partner</t>
  </si>
  <si>
    <t>60-Day Conversions Email</t>
  </si>
  <si>
    <t>60-Day Conversions Direct</t>
  </si>
  <si>
    <t>60-Day Conversions Social</t>
  </si>
  <si>
    <t>60-Day Conversions Unkown</t>
  </si>
  <si>
    <t>Linear Conversion Rate SEO</t>
  </si>
  <si>
    <t>Linear Conversion Rate SEM</t>
  </si>
  <si>
    <t>Linear Conversion Rate Intuit</t>
  </si>
  <si>
    <t>Linear Conversion Rate Partner</t>
  </si>
  <si>
    <t>Linear Conversion Rate Owned</t>
  </si>
  <si>
    <t>Linear Conversion Rate Email</t>
  </si>
  <si>
    <t>Linear Conversion Rate Direct</t>
  </si>
  <si>
    <t>Linear Conversion Rate Social</t>
  </si>
  <si>
    <t>Linear Conversion Rate Unkown</t>
  </si>
  <si>
    <t>Overall Monthly Churn</t>
  </si>
  <si>
    <t>Overall Churn SEO</t>
  </si>
  <si>
    <t>Overall Churn SEM</t>
  </si>
  <si>
    <t>Overall Churn Intuit</t>
  </si>
  <si>
    <t>Overall Churn Partner</t>
  </si>
  <si>
    <t>Overall Churn Owned</t>
  </si>
  <si>
    <t>Overall Churn Email</t>
  </si>
  <si>
    <t>Overall Churn Direct</t>
  </si>
  <si>
    <t>Overall Churn Social</t>
  </si>
  <si>
    <t>Overall Churn Unknown</t>
  </si>
  <si>
    <t>Trials SEO</t>
  </si>
  <si>
    <t>Trials SEM</t>
  </si>
  <si>
    <t>Trials Intuit</t>
  </si>
  <si>
    <t>Trials Partners</t>
  </si>
  <si>
    <t>Trials Email</t>
  </si>
  <si>
    <t>Trials Owned</t>
  </si>
  <si>
    <t>Trials Direct</t>
  </si>
  <si>
    <t>Trials Social</t>
  </si>
  <si>
    <t>Trials Unknown</t>
  </si>
  <si>
    <t>MRR SEO</t>
  </si>
  <si>
    <t>MRR SEM</t>
  </si>
  <si>
    <t>MRR Intuit</t>
  </si>
  <si>
    <t>MRR Partners</t>
  </si>
  <si>
    <t>MRR Owned</t>
  </si>
  <si>
    <t>MRR Email</t>
  </si>
  <si>
    <t>MRR Direct</t>
  </si>
  <si>
    <t>MRR Social</t>
  </si>
  <si>
    <t>MRR Unknown</t>
  </si>
  <si>
    <t>ARPC SEO</t>
  </si>
  <si>
    <t>ARPC SEM</t>
  </si>
  <si>
    <t>ARPC Intuit</t>
  </si>
  <si>
    <t>ARPC Partners</t>
  </si>
  <si>
    <t>ARPC Owned</t>
  </si>
  <si>
    <t>ARPC Email</t>
  </si>
  <si>
    <t>ARPC Direct</t>
  </si>
  <si>
    <t>ARPC Social</t>
  </si>
  <si>
    <t>ARPC Unknown</t>
  </si>
  <si>
    <t>LTR SEO</t>
  </si>
  <si>
    <t>LTR SEM</t>
  </si>
  <si>
    <t>LTR Intuit</t>
  </si>
  <si>
    <t>LTR Partners</t>
  </si>
  <si>
    <t>LTR Owned</t>
  </si>
  <si>
    <t>LTR Email</t>
  </si>
  <si>
    <t>LTR Direct</t>
  </si>
  <si>
    <t>LTR Social</t>
  </si>
  <si>
    <t>LTR Unknown</t>
  </si>
  <si>
    <t>Churn Manufacturing</t>
  </si>
  <si>
    <t xml:space="preserve">Trials  Manufacturing</t>
  </si>
  <si>
    <t>BOM Manufacturing</t>
  </si>
  <si>
    <t>Saas Revenue Manufacturing</t>
  </si>
  <si>
    <t>PS Revenue Manufacturing</t>
  </si>
  <si>
    <t>MRR Manufacturing</t>
  </si>
  <si>
    <t>ARPC Manufacturing</t>
  </si>
  <si>
    <t>LTR Manufacturing</t>
  </si>
  <si>
    <t xml:space="preserve">Customer Average Annual Revenue -  Manufacturing</t>
  </si>
  <si>
    <t>Customer Average Number of Employees - Manufacturing</t>
  </si>
  <si>
    <t xml:space="preserve">Trials Average Annual Revenue -  Manufacturing</t>
  </si>
  <si>
    <t>Trials Average Number of Employees - Manufacturing</t>
  </si>
  <si>
    <t>BOM - SEO Manufacturing</t>
  </si>
  <si>
    <t>BOM - SEM Manufacturing</t>
  </si>
  <si>
    <t>BOM - Intuit Manufacturing</t>
  </si>
  <si>
    <t>BOM - Partner Manufacturing</t>
  </si>
  <si>
    <t>BOM - Email Manufacturing</t>
  </si>
  <si>
    <t>BOM - Direct Manufacturing</t>
  </si>
  <si>
    <t xml:space="preserve">BOM -  Social Manufacturing</t>
  </si>
  <si>
    <t>BOM - Unknown Manufacturing</t>
  </si>
  <si>
    <t>Trials - SEO Manufacturing</t>
  </si>
  <si>
    <t>Trials - SEM Manufacturing</t>
  </si>
  <si>
    <t>Trials - Intuit Manufacturing</t>
  </si>
  <si>
    <t>Trials - Partner Manufacturing</t>
  </si>
  <si>
    <t>Trials Email Manufacturing</t>
  </si>
  <si>
    <t>Trials - Direct Manufacturing</t>
  </si>
  <si>
    <t>Trials Social Manufacturing</t>
  </si>
  <si>
    <t>Trials - Unknown Manufacturing</t>
  </si>
  <si>
    <t>Churn Wholesale and distribution</t>
  </si>
  <si>
    <t xml:space="preserve">Trials  Wholesale and distribution</t>
  </si>
  <si>
    <t>BOM Wholesale and distribution</t>
  </si>
  <si>
    <t>Saas Revenue Wholesale and distribution</t>
  </si>
  <si>
    <t>PS Revenue Wholesale and distribution</t>
  </si>
  <si>
    <t>MRR Wholesale and distribution</t>
  </si>
  <si>
    <t>ARPC Wholesale and distribution</t>
  </si>
  <si>
    <t>LTR Wholesale and distribution</t>
  </si>
  <si>
    <t xml:space="preserve">Customer Average Annual Revenue -  Wholesale and distribution</t>
  </si>
  <si>
    <t>Customer Average Number of Employees - Wholesale and distribution</t>
  </si>
  <si>
    <t xml:space="preserve">Trials Average Annual Revenue -  Wholesale and distribution</t>
  </si>
  <si>
    <t>Trials Average Number of Employees - Wholesale and distribution</t>
  </si>
  <si>
    <t>BOM - SEO Wholesale and distribution</t>
  </si>
  <si>
    <t>BOM - SEM Wholesale and distribution</t>
  </si>
  <si>
    <t>BOM - Intuit Wholesale and distribution</t>
  </si>
  <si>
    <t>BOM - Partner Wholesale and distribution</t>
  </si>
  <si>
    <t>BOM - Email Wholesale and distribution</t>
  </si>
  <si>
    <t>BOM - Direct Wholesale and distribution</t>
  </si>
  <si>
    <t xml:space="preserve">BOM -  Social Wholesale and distribution</t>
  </si>
  <si>
    <t>BOM - Unknown Wholesale and distribution</t>
  </si>
  <si>
    <t>Trials - SEO Wholesale and distribution</t>
  </si>
  <si>
    <t>Trials - SEM Wholesale and distribution</t>
  </si>
  <si>
    <t>Trials - Intuit Wholesale and distribution</t>
  </si>
  <si>
    <t>Trials - Partner Wholesale and distribution</t>
  </si>
  <si>
    <t>Trials Email Wholesale and distribution</t>
  </si>
  <si>
    <t>Trials - Direct Wholesale and distribution</t>
  </si>
  <si>
    <t>Trials Social Wholesale and distribution</t>
  </si>
  <si>
    <t>Trials - Unknown Wholesale and distribution</t>
  </si>
  <si>
    <t>Churn Construction</t>
  </si>
  <si>
    <t xml:space="preserve">Trials  Construction</t>
  </si>
  <si>
    <t>BOM Construction</t>
  </si>
  <si>
    <t>Saas Revenue Construction</t>
  </si>
  <si>
    <t>PS Revenue Construction</t>
  </si>
  <si>
    <t>MRR Construction</t>
  </si>
  <si>
    <t>ARPC Construction</t>
  </si>
  <si>
    <t>LTR Construction</t>
  </si>
  <si>
    <t xml:space="preserve">Customer Average Annual Revenue -  Construction</t>
  </si>
  <si>
    <t>Customer Average Number of Employees - Construction</t>
  </si>
  <si>
    <t xml:space="preserve">Trials Average Annual Revenue -  Construction</t>
  </si>
  <si>
    <t>Trials Average Number of Employees - Construction</t>
  </si>
  <si>
    <t>BOM - SEO Construction</t>
  </si>
  <si>
    <t>BOM - SEM Construction</t>
  </si>
  <si>
    <t>BOM - Intuit Construction</t>
  </si>
  <si>
    <t>BOM - Partner Construction</t>
  </si>
  <si>
    <t>BOM - Email Construction</t>
  </si>
  <si>
    <t>BOM - Direct Construction</t>
  </si>
  <si>
    <t xml:space="preserve">BOM -  Social Construction</t>
  </si>
  <si>
    <t>BOM - Unknown Construction</t>
  </si>
  <si>
    <t>Trials - SEO Construction</t>
  </si>
  <si>
    <t>Trials - SEM Construction</t>
  </si>
  <si>
    <t>Trials - Intuit Construction</t>
  </si>
  <si>
    <t>Trials - Partner Construction</t>
  </si>
  <si>
    <t>Trials Email Construction</t>
  </si>
  <si>
    <t>Trials - Direct Construction</t>
  </si>
  <si>
    <t>Trials Social Construction</t>
  </si>
  <si>
    <t>Trials - Unknown Construction</t>
  </si>
  <si>
    <t>Churn Field Services</t>
  </si>
  <si>
    <t xml:space="preserve">Trials  Field Services</t>
  </si>
  <si>
    <t>BOM Field Services</t>
  </si>
  <si>
    <t>Saas Revenue Field Services</t>
  </si>
  <si>
    <t>PS Revenue Field Services</t>
  </si>
  <si>
    <t>MRR Field Services</t>
  </si>
  <si>
    <t>ARPC Field Services</t>
  </si>
  <si>
    <t>LTR Field Services</t>
  </si>
  <si>
    <t xml:space="preserve">Customer Average Annual Revenue -  Field Services</t>
  </si>
  <si>
    <t>Customer Average Number of Employees - Field Services</t>
  </si>
  <si>
    <t xml:space="preserve">Trials Average Annual Revenue -  Field Services</t>
  </si>
  <si>
    <t>Trials Average Number of Employees - Field Services</t>
  </si>
  <si>
    <t>BOM - SEO Field Services</t>
  </si>
  <si>
    <t>BOM - SEM Field Services</t>
  </si>
  <si>
    <t>BOM - Intuit Field Services</t>
  </si>
  <si>
    <t>BOM - Partner Field Services</t>
  </si>
  <si>
    <t>BOM - Email Field Services</t>
  </si>
  <si>
    <t>BOM - Direct Field Services</t>
  </si>
  <si>
    <t xml:space="preserve">BOM -  Social Field Services</t>
  </si>
  <si>
    <t>BOM - Unknown Field Services</t>
  </si>
  <si>
    <t>Trials - SEO Field Services</t>
  </si>
  <si>
    <t>Trials - SEM Field Services</t>
  </si>
  <si>
    <t>Trials - Intuit Field Services</t>
  </si>
  <si>
    <t>Trials - Partner Field Services</t>
  </si>
  <si>
    <t>Trials Email Field Services</t>
  </si>
  <si>
    <t>Trials - Direct Field Services</t>
  </si>
  <si>
    <t>Trials Social Field Services</t>
  </si>
  <si>
    <t>Trials - Unknown Field Services</t>
  </si>
  <si>
    <t>Churn Consulting and Professional Services</t>
  </si>
  <si>
    <t xml:space="preserve">Trials  Consulting and Professional Services</t>
  </si>
  <si>
    <t>BOM Consulting and Professional Services</t>
  </si>
  <si>
    <t>Saas Revenue Consulting and Professional Services</t>
  </si>
  <si>
    <t>PS Revenue Consulting and Professional Services</t>
  </si>
  <si>
    <t>MRR Consulting and Professional Services</t>
  </si>
  <si>
    <t>ARPC Consulting and Professional Services</t>
  </si>
  <si>
    <t>LTR Consulting and Professional Services</t>
  </si>
  <si>
    <t xml:space="preserve">Customer Average Annual Revenue -  Consulting and Professional Services</t>
  </si>
  <si>
    <t>Customer Average Number of Employees - Consulting and Professional Services</t>
  </si>
  <si>
    <t xml:space="preserve">Trials Average Annual Revenue -  Consulting and Professional Services</t>
  </si>
  <si>
    <t>Trials Average Number of Employees - Consulting and Professional Services</t>
  </si>
  <si>
    <t>BOM - SEO Consulting and Professional Services</t>
  </si>
  <si>
    <t>BOM - SEM Consulting and Professional Services</t>
  </si>
  <si>
    <t>BOM - Intuit Consulting and Professional Services</t>
  </si>
  <si>
    <t>BOM - Partner Consulting and Professional Services</t>
  </si>
  <si>
    <t>BOM - Email Consulting and Professional Services</t>
  </si>
  <si>
    <t>BOM - Direct Consulting and Professional Services</t>
  </si>
  <si>
    <t xml:space="preserve">BOM -  Social Consulting and Professional Services</t>
  </si>
  <si>
    <t>BOM - Unknown Consulting and Professional Services</t>
  </si>
  <si>
    <t>Trials - SEO Consulting and Professional Services</t>
  </si>
  <si>
    <t>Trials - SEM Consulting and Professional Services</t>
  </si>
  <si>
    <t>Trials - Intuit Consulting and Professional Services</t>
  </si>
  <si>
    <t>Trials - Partner Consulting and Professional Services</t>
  </si>
  <si>
    <t>Trials Email Consulting and Professional Services</t>
  </si>
  <si>
    <t>Trials - Direct Consulting and Professional Services</t>
  </si>
  <si>
    <t>Trials Social Consulting and Professional Services</t>
  </si>
  <si>
    <t>Trials - Unknown Consulting and Professional Services</t>
  </si>
  <si>
    <t>Churn Retail</t>
  </si>
  <si>
    <t xml:space="preserve">Trials  Retail</t>
  </si>
  <si>
    <t>BOM Retail</t>
  </si>
  <si>
    <t>Saas Revenue Retail</t>
  </si>
  <si>
    <t>PS Revenue Retail</t>
  </si>
  <si>
    <t>MRR Retail</t>
  </si>
  <si>
    <t>ARPC Retail</t>
  </si>
  <si>
    <t>LTR Retail</t>
  </si>
  <si>
    <t xml:space="preserve">Customer Average Annual Revenue -  Retail</t>
  </si>
  <si>
    <t>Customer Average Number of Employees - Retail</t>
  </si>
  <si>
    <t xml:space="preserve">Trials Average Annual Revenue -  Retail</t>
  </si>
  <si>
    <t>Trials Average Number of Employees - Retail</t>
  </si>
  <si>
    <t>BOM - SEO Retail</t>
  </si>
  <si>
    <t>BOM - SEM Retail</t>
  </si>
  <si>
    <t>BOM - Intuit Retail</t>
  </si>
  <si>
    <t>BOM - Partner Retail</t>
  </si>
  <si>
    <t>BOM - Email Retail</t>
  </si>
  <si>
    <t>BOM - Direct Retail</t>
  </si>
  <si>
    <t xml:space="preserve">BOM -  Social Retail</t>
  </si>
  <si>
    <t>BOM - Unknown Retail</t>
  </si>
  <si>
    <t>Trials - SEO Retail</t>
  </si>
  <si>
    <t>Trials - SEM Retail</t>
  </si>
  <si>
    <t>Trials - Intuit Retail</t>
  </si>
  <si>
    <t>Trials - Partner Retail</t>
  </si>
  <si>
    <t>Trials Email Retail</t>
  </si>
  <si>
    <t>Trials - Direct Retail</t>
  </si>
  <si>
    <t>Trials Social Retail</t>
  </si>
  <si>
    <t>Trials - Unknown Retail</t>
  </si>
  <si>
    <t>Churn Non-profit, govt or religious organization</t>
  </si>
  <si>
    <t xml:space="preserve">Trials  Non-profit, govt or religious organization</t>
  </si>
  <si>
    <t>BOM Non-profit, govt or religious organization</t>
  </si>
  <si>
    <t>Saas Revenue Non-profit, govt or religious organization</t>
  </si>
  <si>
    <t>PS Revenue Non-profit, govt or religious organization</t>
  </si>
  <si>
    <t>MRR Non-profit, govt or religious organization</t>
  </si>
  <si>
    <t>ARPC Non-profit, govt or religious organization</t>
  </si>
  <si>
    <t>LTR Non-profit, govt or religious organization</t>
  </si>
  <si>
    <t xml:space="preserve">Customer Average Annual Revenue -  Non-profit, govt or religious organization</t>
  </si>
  <si>
    <t>Customer Average Number of Employees - Non-profit, govt or religious organization</t>
  </si>
  <si>
    <t xml:space="preserve">Trials Average Annual Revenue -  Non-profit, govt or religious organization</t>
  </si>
  <si>
    <t>Trials Average Number of Employees - Non-profit, govt or religious organization</t>
  </si>
  <si>
    <t>BOM - SEO Non-profit, govt or religious organization</t>
  </si>
  <si>
    <t>BOM - SEM Non-profit, govt or religious organization</t>
  </si>
  <si>
    <t>BOM - Intuit Non-profit, govt or religious organization</t>
  </si>
  <si>
    <t>BOM - Partner Non-profit, govt or religious organization</t>
  </si>
  <si>
    <t>BOM - Email Non-profit, govt or religious organization</t>
  </si>
  <si>
    <t>BOM - Direct Non-profit, govt or religious organization</t>
  </si>
  <si>
    <t xml:space="preserve">BOM -  Social Non-profit, govt or religious organization</t>
  </si>
  <si>
    <t>BOM - Unknown Non-profit, govt or religious organization</t>
  </si>
  <si>
    <t>Trials - SEO Non-profit, govt or religious organization</t>
  </si>
  <si>
    <t>Trials - SEM Non-profit, govt or religious organization</t>
  </si>
  <si>
    <t>Trials - Intuit Non-profit, govt or religious organization</t>
  </si>
  <si>
    <t>Trials - Partner Non-profit, govt or religious organization</t>
  </si>
  <si>
    <t>Trials Email Non-profit, govt or religious organization</t>
  </si>
  <si>
    <t>Trials - Direct Non-profit, govt or religious organization</t>
  </si>
  <si>
    <t>Trials Social Non-profit, govt or religious organization</t>
  </si>
  <si>
    <t>Trials - Unknown Non-profit, govt or religious organization</t>
  </si>
  <si>
    <t>Churn Communications, Entertainment and Media</t>
  </si>
  <si>
    <t xml:space="preserve">Trials  Communications, Entertainment and Media</t>
  </si>
  <si>
    <t>BOM Communications, Entertainment and Media</t>
  </si>
  <si>
    <t>Saas Revenue Communications, Entertainment and Media</t>
  </si>
  <si>
    <t>PS Revenue Communications, Entertainment and Media</t>
  </si>
  <si>
    <t>MRR Communications, Entertainment and Media</t>
  </si>
  <si>
    <t>ARPC Communications, Entertainment and Media</t>
  </si>
  <si>
    <t>LTR Communications, Entertainment and Media</t>
  </si>
  <si>
    <t xml:space="preserve">Customer Average Annual Revenue -  Communications, Entertainment and Media</t>
  </si>
  <si>
    <t>Customer Average Number of Employees - Communications, Entertainment and Media</t>
  </si>
  <si>
    <t xml:space="preserve">Trials Average Annual Revenue -  Communications, Entertainment and Media</t>
  </si>
  <si>
    <t>Trials Average Number of Employees - Communications, Entertainment and Media</t>
  </si>
  <si>
    <t>BOM - SEO Communications, Entertainment and Media</t>
  </si>
  <si>
    <t>BOM - SEM Communications, Entertainment and Media</t>
  </si>
  <si>
    <t>BOM - Intuit Communications, Entertainment and Media</t>
  </si>
  <si>
    <t>BOM - Partner Communications, Entertainment and Media</t>
  </si>
  <si>
    <t>BOM - Email Communications, Entertainment and Media</t>
  </si>
  <si>
    <t>BOM - Direct Communications, Entertainment and Media</t>
  </si>
  <si>
    <t xml:space="preserve">BOM -  Social Communications, Entertainment and Media</t>
  </si>
  <si>
    <t>BOM - Unknown Communications, Entertainment and Media</t>
  </si>
  <si>
    <t>Trials - SEO Communications, Entertainment and Media</t>
  </si>
  <si>
    <t>Trials - SEM Communications, Entertainment and Media</t>
  </si>
  <si>
    <t>Trials - Intuit Communications, Entertainment and Media</t>
  </si>
  <si>
    <t>Trials - Partner Communications, Entertainment and Media</t>
  </si>
  <si>
    <t>Trials Email Communications, Entertainment and Media</t>
  </si>
  <si>
    <t>Trials - Direct Communications, Entertainment and Media</t>
  </si>
  <si>
    <t>Trials Social Communications, Entertainment and Media</t>
  </si>
  <si>
    <t>Trials - Unknown Communications, Entertainment and Media</t>
  </si>
  <si>
    <t>Churn IT and computer related</t>
  </si>
  <si>
    <t xml:space="preserve">Trials  IT and computer related</t>
  </si>
  <si>
    <t>BOM IT and computer related</t>
  </si>
  <si>
    <t>Saas Revenue IT and computer related</t>
  </si>
  <si>
    <t>PS Revenue IT and computer related</t>
  </si>
  <si>
    <t>MRR IT and computer related</t>
  </si>
  <si>
    <t>ARPC IT and computer related</t>
  </si>
  <si>
    <t>LTR IT and computer related</t>
  </si>
  <si>
    <t xml:space="preserve">Customer Average Annual Revenue -  IT and computer related</t>
  </si>
  <si>
    <t>Customer Average Number of Employees - IT and computer related</t>
  </si>
  <si>
    <t xml:space="preserve">Trials Average Annual Revenue -  IT and computer related</t>
  </si>
  <si>
    <t>Trials Average Number of Employees - IT and computer related</t>
  </si>
  <si>
    <t>BOM - SEO IT and computer related</t>
  </si>
  <si>
    <t>BOM - SEM IT and computer related</t>
  </si>
  <si>
    <t>BOM - Intuit IT and computer related</t>
  </si>
  <si>
    <t>BOM - Partner IT and computer related</t>
  </si>
  <si>
    <t>BOM - Email IT and computer related</t>
  </si>
  <si>
    <t>BOM - Direct IT and computer related</t>
  </si>
  <si>
    <t xml:space="preserve">BOM -  Social IT and computer related</t>
  </si>
  <si>
    <t>BOM - Unknown IT and computer related</t>
  </si>
  <si>
    <t>Trials - SEO IT and computer related</t>
  </si>
  <si>
    <t>Trials - SEM IT and computer related</t>
  </si>
  <si>
    <t>Trials - Intuit IT and computer related</t>
  </si>
  <si>
    <t>Trials - Partner IT and computer related</t>
  </si>
  <si>
    <t>Trials Email IT and computer related</t>
  </si>
  <si>
    <t>Trials - Direct IT and computer related</t>
  </si>
  <si>
    <t>Trials Social IT and computer related</t>
  </si>
  <si>
    <t>Trials - Unknown IT and computer related</t>
  </si>
  <si>
    <t>Churn General service based</t>
  </si>
  <si>
    <t xml:space="preserve">Trials  General service based</t>
  </si>
  <si>
    <t>BOM General service based</t>
  </si>
  <si>
    <t>Saas Revenue General service based</t>
  </si>
  <si>
    <t>PS Revenue General service based</t>
  </si>
  <si>
    <t>MRR General service based</t>
  </si>
  <si>
    <t>ARPC General service based</t>
  </si>
  <si>
    <t>LTR General service based</t>
  </si>
  <si>
    <t xml:space="preserve">Customer Average Annual Revenue -  General service based</t>
  </si>
  <si>
    <t>Customer Average Number of Employees - General service based</t>
  </si>
  <si>
    <t xml:space="preserve">Trials Average Annual Revenue -  General service based</t>
  </si>
  <si>
    <t>Trials Average Number of Employees - General service based</t>
  </si>
  <si>
    <t>BOM - SEO General service based</t>
  </si>
  <si>
    <t>BOM - SEM General service based</t>
  </si>
  <si>
    <t>BOM - Intuit General service based</t>
  </si>
  <si>
    <t>BOM - Partner General service based</t>
  </si>
  <si>
    <t>BOM - Email General service based</t>
  </si>
  <si>
    <t>BOM - Direct General service based</t>
  </si>
  <si>
    <t xml:space="preserve">BOM -  Social General service based</t>
  </si>
  <si>
    <t>BOM - Unknown General service based</t>
  </si>
  <si>
    <t>Trials - SEO General service based</t>
  </si>
  <si>
    <t>Trials - SEM General service based</t>
  </si>
  <si>
    <t>Trials - Intuit General service based</t>
  </si>
  <si>
    <t>Trials - Partner General service based</t>
  </si>
  <si>
    <t>Trials Email General service based</t>
  </si>
  <si>
    <t>Trials - Direct General service based</t>
  </si>
  <si>
    <t>Trials Social General service based</t>
  </si>
  <si>
    <t>Trials - Unknown General service based</t>
  </si>
  <si>
    <t>Churn Other</t>
  </si>
  <si>
    <t xml:space="preserve">Trials  Other</t>
  </si>
  <si>
    <t>BOM Other</t>
  </si>
  <si>
    <t>Saas Revenue Other</t>
  </si>
  <si>
    <t>PS Revenue Other</t>
  </si>
  <si>
    <t>MRR Other</t>
  </si>
  <si>
    <t>ARPC Other</t>
  </si>
  <si>
    <t>LTR Other</t>
  </si>
  <si>
    <t xml:space="preserve">Customer Average Annual Revenue -  Other</t>
  </si>
  <si>
    <t>Customer Average Number of Employees - Other</t>
  </si>
  <si>
    <t xml:space="preserve">Trials Average Annual Revenue -  Other</t>
  </si>
  <si>
    <t>Trials Average Number of Employees - Other</t>
  </si>
  <si>
    <t>BOM - SEO Other</t>
  </si>
  <si>
    <t>BOM - SEM Other</t>
  </si>
  <si>
    <t>BOM - Intuit Other</t>
  </si>
  <si>
    <t>BOM - Partner Other</t>
  </si>
  <si>
    <t>BOM - Email Other</t>
  </si>
  <si>
    <t>BOM - Direct Other</t>
  </si>
  <si>
    <t xml:space="preserve">BOM -  Social Other</t>
  </si>
  <si>
    <t>BOM - Unknown Other</t>
  </si>
  <si>
    <t>Trials - SEO Other</t>
  </si>
  <si>
    <t>Trials - SEM Other</t>
  </si>
  <si>
    <t>Trials - Intuit Other</t>
  </si>
  <si>
    <t>Trials - Partner Other</t>
  </si>
  <si>
    <t>Trials Email Other</t>
  </si>
  <si>
    <t>Trials - Direct Other</t>
  </si>
  <si>
    <t>Trials Social Other</t>
  </si>
  <si>
    <t>Trials - Unknown Other</t>
  </si>
  <si>
    <t>Churn Accounting and Bookkeeping</t>
  </si>
  <si>
    <t xml:space="preserve">Trials  Accounting and Bookkeeping</t>
  </si>
  <si>
    <t>BOM Accounting and Bookkeeping</t>
  </si>
  <si>
    <t>Saas Revenue Accounting and Bookkeeping</t>
  </si>
  <si>
    <t>PS Revenue Accounting and Bookkeeping</t>
  </si>
  <si>
    <t>MRR Accounting and Bookkeeping</t>
  </si>
  <si>
    <t>ARPC Accounting and Bookkeeping</t>
  </si>
  <si>
    <t>LTR Accounting and Bookkeeping</t>
  </si>
  <si>
    <t xml:space="preserve">Customer Average Annual Revenue -  Accounting and Bookkeeping</t>
  </si>
  <si>
    <t>Customer Average Number of Employees - Accounting and Bookkeeping</t>
  </si>
  <si>
    <t xml:space="preserve">Trials Average Annual Revenue -  Accounting and Bookkeeping</t>
  </si>
  <si>
    <t>Trials Average Number of Employees - Accounting and Bookkeeping</t>
  </si>
  <si>
    <t>BOM - SEO Accounting and Bookkeeping</t>
  </si>
  <si>
    <t>BOM - SEM Accounting and Bookkeeping</t>
  </si>
  <si>
    <t>BOM - Intuit Accounting and Bookkeeping</t>
  </si>
  <si>
    <t>BOM - Partner Accounting and Bookkeeping</t>
  </si>
  <si>
    <t>BOM - Email Accounting and Bookkeeping</t>
  </si>
  <si>
    <t>BOM - Direct Accounting and Bookkeeping</t>
  </si>
  <si>
    <t xml:space="preserve">BOM -  Social Accounting and Bookkeeping</t>
  </si>
  <si>
    <t>BOM - Unknown Accounting and Bookkeeping</t>
  </si>
  <si>
    <t>Trials - SEO Accounting and Bookkeeping</t>
  </si>
  <si>
    <t>Trials - SEM Accounting and Bookkeeping</t>
  </si>
  <si>
    <t>Trials - Intuit Accounting and Bookkeeping</t>
  </si>
  <si>
    <t>Trials - Partner Accounting and Bookkeeping</t>
  </si>
  <si>
    <t>Trials Email Accounting and Bookkeeping</t>
  </si>
  <si>
    <t>Trials - Direct Accounting and Bookkeeping</t>
  </si>
  <si>
    <t>Trials Social Accounting and Bookkeeping</t>
  </si>
  <si>
    <t>Trials - Unknown Accounting and Bookkeeping</t>
  </si>
  <si>
    <t>Customer Life Time (Months)</t>
  </si>
  <si>
    <t>Curent Period Year</t>
  </si>
  <si>
    <t>Accounts BOM</t>
  </si>
  <si>
    <t>Current Peroid Month</t>
  </si>
  <si>
    <t>Lost Accounts</t>
  </si>
  <si>
    <t>Previous Period (30) Date</t>
  </si>
  <si>
    <t>Accounts EOM</t>
  </si>
  <si>
    <t>Previous Period Year</t>
  </si>
  <si>
    <t xml:space="preserve">New  Customers</t>
  </si>
  <si>
    <t xml:space="preserve">Previous Period  Month</t>
  </si>
  <si>
    <t>LostNew Customers</t>
  </si>
  <si>
    <t>Previous Period (60) Date</t>
  </si>
  <si>
    <t>Churn Formula taken from:</t>
  </si>
  <si>
    <t>https://blog.recurly.com/better-way-to-calculate-your-churn-rate</t>
  </si>
  <si>
    <t xml:space="preserve"> </t>
  </si>
  <si>
    <t>Previous Period (90) Date</t>
  </si>
  <si>
    <t>Saas Revenue from SEO</t>
  </si>
  <si>
    <t>Saas Revenue from SEM</t>
  </si>
  <si>
    <t>Saas Revenue from Intuit</t>
  </si>
  <si>
    <t>Saas Revenue from Partners</t>
  </si>
  <si>
    <t>Saas Revenue from Email</t>
  </si>
  <si>
    <t>Saas Revenue from Direct</t>
  </si>
  <si>
    <t>Saas Revenue from Social</t>
  </si>
  <si>
    <t>Saas Revenue from Unknown</t>
  </si>
  <si>
    <t>PS Revenue from SEO</t>
  </si>
  <si>
    <t>PS Revenue from SEM</t>
  </si>
  <si>
    <t>PS Revenue from Intuit</t>
  </si>
  <si>
    <t>PS Revenue from Partners</t>
  </si>
  <si>
    <t>PS Revenue from Email</t>
  </si>
  <si>
    <t>PS Revenue from Direct</t>
  </si>
  <si>
    <t>PS Revenue from Social</t>
  </si>
  <si>
    <t>PS Revenue from Unknown</t>
  </si>
  <si>
    <t>QBO Saas Revenue from SEO</t>
  </si>
  <si>
    <t>QBDT Saas Revenue from SEO</t>
  </si>
  <si>
    <t>QBO Saas Revenue from SEM</t>
  </si>
  <si>
    <t>QBDT Saas Revenue from SEM</t>
  </si>
  <si>
    <t>QBO Saas Revenue from Intuit</t>
  </si>
  <si>
    <t>QBDT Saas Revenue from Intuit</t>
  </si>
  <si>
    <t>QBO Saas Revenue from Partners</t>
  </si>
  <si>
    <t>QBDT Saas Revenue from Partners</t>
  </si>
  <si>
    <t>QBO Saas Revenue from Email</t>
  </si>
  <si>
    <t>QBDT Saas Revenue from Email</t>
  </si>
  <si>
    <t>QBO Saas Revenue from Direct</t>
  </si>
  <si>
    <t>QBDT Saas Revenue from Direct</t>
  </si>
  <si>
    <t>QBO Saas Revenue from Social</t>
  </si>
  <si>
    <t>QBDT Saas Revenue from Social</t>
  </si>
  <si>
    <t>QBO Saas Revenue from Unknown</t>
  </si>
  <si>
    <t>QBDT Saas Revenue from Unknown</t>
  </si>
  <si>
    <t>QBO PS Revenue from SEO</t>
  </si>
  <si>
    <t>QBDT PS Revenue from SEO</t>
  </si>
  <si>
    <t>QBO PS Revenue from SEM</t>
  </si>
  <si>
    <t>QBDT PS Revenue from SEM</t>
  </si>
  <si>
    <t>QBO PS Revenue from Intuit</t>
  </si>
  <si>
    <t>QBDT PS Revenue from Intuit</t>
  </si>
  <si>
    <t>QBO PS Revenue from Partners</t>
  </si>
  <si>
    <t>QBDT PS Revenue from Partners</t>
  </si>
  <si>
    <t>QBO PS Revenue from Email</t>
  </si>
  <si>
    <t>QBDT PS Revenue from Email</t>
  </si>
  <si>
    <t>QBO PS Revenue from Direct</t>
  </si>
  <si>
    <t>QBDT PS Revenue from Direct</t>
  </si>
  <si>
    <t>QBO PS Revenue from Social</t>
  </si>
  <si>
    <t>QBDT PS Revenue from Social</t>
  </si>
  <si>
    <t>QBO PS Revenue from Unknown</t>
  </si>
  <si>
    <t>QBDT PS Revenue from Unknown</t>
  </si>
  <si>
    <t>Counts</t>
  </si>
  <si>
    <t>Count of All Accounts</t>
  </si>
  <si>
    <t>Count Of All Invoices</t>
  </si>
  <si>
    <t>Count Of All Credit Memos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</si>
</sst>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m\-dd\ hh:mm"/>
    <numFmt numFmtId="165" formatCode="&quot;$&quot;#,##0.00"/>
    <numFmt numFmtId="166" formatCode="mm/dd/yyyy"/>
    <numFmt numFmtId="167" formatCode="mmmm"/>
    <numFmt numFmtId="168" formatCode="yyyy\-mm\-dd"/>
    <numFmt numFmtId="169" formatCode="yyyy-MMM-dd HH:mm"/>
  </numFmts>
  <fonts count="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333333"/>
      <name val="Verdana"/>
      <family val="2"/>
    </font>
    <font>
      <sz val="12"/>
      <color rgb="FF0A010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/>
    <xf numFmtId="43" fontId="4" fillId="0" borderId="0"/>
    <xf numFmtId="43" fontId="4" fillId="0" borderId="0"/>
    <xf numFmtId="44" fontId="4" fillId="0" borderId="0"/>
    <xf numFmtId="9" fontId="4" fillId="0" borderId="0"/>
  </cellStyleXfs>
  <cellXfs count="69">
    <xf numFmtId="0" applyNumberFormat="1" fontId="0" applyFont="1" fillId="0" applyFill="1" borderId="0" applyBorder="1" xfId="0"/>
    <xf numFmtId="43" applyNumberFormat="1" fontId="4" applyFont="1" fillId="0" applyFill="1" borderId="0" applyBorder="1" xfId="1"/>
    <xf numFmtId="43" applyNumberFormat="1" fontId="4" applyFont="1" fillId="0" applyFill="1" borderId="0" applyBorder="1" xfId="2"/>
    <xf numFmtId="44" applyNumberFormat="1" fontId="4" applyFont="1" fillId="0" applyFill="1" borderId="0" applyBorder="1" xfId="3"/>
    <xf numFmtId="9" applyNumberFormat="1" fontId="4" applyFont="1" fillId="0" applyFill="1" borderId="0" applyBorder="1" xfId="4"/>
    <xf numFmtId="0" applyNumberFormat="1" fontId="0" applyFont="1" fillId="0" applyFill="1" borderId="1" applyBorder="1" xfId="0">
      <alignment vertical="center"/>
    </xf>
    <xf numFmtId="0" applyNumberFormat="1" fontId="0" applyFont="1" fillId="0" applyFill="1" borderId="2" applyBorder="1" xfId="0">
      <alignment vertical="center"/>
    </xf>
    <xf numFmtId="0" applyNumberFormat="1" fontId="0" applyFont="1" fillId="0" applyFill="1" borderId="0" applyBorder="1" xfId="0">
      <alignment horizontal="left"/>
    </xf>
    <xf numFmtId="2" applyNumberFormat="1" fontId="0" applyFont="1" fillId="0" applyFill="1" borderId="0" applyBorder="1" xfId="0"/>
    <xf numFmtId="2" applyNumberFormat="1" fontId="5" applyFont="1" fillId="0" applyFill="1" borderId="0" applyBorder="1" xfId="0"/>
    <xf numFmtId="44" applyNumberFormat="1" fontId="5" applyFont="1" fillId="0" applyFill="1" borderId="0" applyBorder="1" xfId="3"/>
    <xf numFmtId="0" applyNumberFormat="1" fontId="5" applyFont="1" fillId="0" applyFill="1" borderId="1" applyBorder="1" xfId="0">
      <alignment vertical="center"/>
    </xf>
    <xf numFmtId="10" applyNumberFormat="1" fontId="0" applyFont="1" fillId="0" applyFill="1" borderId="0" applyBorder="1" xfId="4"/>
    <xf numFmtId="0" applyNumberFormat="1" fontId="0" applyFont="1" fillId="2" applyFill="1" borderId="0" applyBorder="1" xfId="0"/>
    <xf numFmtId="44" applyNumberFormat="1" fontId="0" applyFont="1" fillId="2" applyFill="1" borderId="0" applyBorder="1" xfId="3"/>
    <xf numFmtId="10" applyNumberFormat="1" fontId="0" applyFont="1" fillId="2" applyFill="1" borderId="0" applyBorder="1" xfId="4"/>
    <xf numFmtId="0" applyNumberFormat="1" fontId="5" applyFont="1" fillId="2" applyFill="1" borderId="0" applyBorder="1" xfId="0"/>
    <xf numFmtId="2" applyNumberFormat="1" fontId="0" applyFont="1" fillId="2" applyFill="1" borderId="0" applyBorder="1" xfId="0"/>
    <xf numFmtId="44" applyNumberFormat="1" fontId="4" applyFont="1" fillId="2" applyFill="1" borderId="0" applyBorder="1" xfId="3"/>
    <xf numFmtId="0" applyNumberFormat="1" fontId="5" applyFont="1" fillId="0" applyFill="1" borderId="0" applyBorder="1" xfId="0"/>
    <xf numFmtId="44" applyNumberFormat="1" fontId="0" applyFont="1" fillId="3" applyFill="1" borderId="0" applyBorder="1" xfId="3"/>
    <xf numFmtId="44" applyNumberFormat="1" fontId="0" applyFont="1" fillId="3" applyFill="1" borderId="3" applyBorder="1" xfId="3"/>
    <xf numFmtId="44" applyNumberFormat="1" fontId="0" applyFont="1" fillId="0" applyFill="1" borderId="0" applyBorder="1" xfId="3"/>
    <xf numFmtId="10" applyNumberFormat="1" fontId="4" applyFont="1" fillId="0" applyFill="1" borderId="0" applyBorder="1" xfId="4"/>
    <xf numFmtId="10" applyNumberFormat="1" fontId="5" applyFont="1" fillId="0" applyFill="1" borderId="0" applyBorder="1" xfId="4"/>
    <xf numFmtId="10" applyNumberFormat="1" fontId="4" applyFont="1" fillId="2" applyFill="1" borderId="0" applyBorder="1" xfId="4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166" applyNumberFormat="1" fontId="0" applyFont="1" fillId="0" applyFill="1" borderId="0" applyBorder="1" xfId="0"/>
    <xf numFmtId="1" applyNumberFormat="1" fontId="0" applyFont="1" fillId="0" applyFill="1" borderId="0" applyBorder="1" xfId="0"/>
    <xf numFmtId="165" applyNumberFormat="1" fontId="5" applyFont="1" fillId="0" applyFill="1" borderId="0" applyBorder="1" xfId="0">
      <alignment horizontal="center" vertical="center" wrapText="1"/>
    </xf>
    <xf numFmtId="165" applyNumberFormat="1" fontId="5" applyFont="1" fillId="2" applyFill="1" borderId="0" applyBorder="1" xfId="0">
      <alignment horizontal="center" vertical="center" wrapText="1"/>
    </xf>
    <xf numFmtId="0" applyNumberFormat="1" fontId="6" applyFont="1" fillId="2" applyFill="1" borderId="0" applyBorder="1" xfId="0">
      <alignment horizontal="center" vertical="center" wrapText="1"/>
    </xf>
    <xf numFmtId="166" applyNumberFormat="1" fontId="6" applyFont="1" fillId="2" applyFill="1" borderId="0" applyBorder="1" xfId="0">
      <alignment horizontal="center" vertical="center" wrapText="1"/>
    </xf>
    <xf numFmtId="1" applyNumberFormat="1" fontId="6" applyFont="1" fillId="2" applyFill="1" borderId="0" applyBorder="1" xfId="0">
      <alignment horizontal="center" vertical="center" wrapText="1"/>
    </xf>
    <xf numFmtId="0" applyNumberFormat="1" fontId="3" applyFont="1" fillId="0" applyFill="1" borderId="0" applyBorder="1" xfId="0"/>
    <xf numFmtId="166" applyNumberFormat="1" fontId="3" applyFont="1" fillId="0" applyFill="1" borderId="0" applyBorder="1" xfId="0"/>
    <xf numFmtId="1" applyNumberFormat="1" fontId="3" applyFont="1" fillId="0" applyFill="1" borderId="0" applyBorder="1" xfId="0"/>
    <xf numFmtId="10" applyNumberFormat="1" fontId="3" applyFont="1" fillId="0" applyFill="1" borderId="0" applyBorder="1" xfId="4"/>
    <xf numFmtId="0" applyNumberFormat="1" fontId="7" applyFont="1" fillId="0" applyFill="1" borderId="0" applyBorder="1" xfId="0"/>
    <xf numFmtId="9" applyNumberFormat="1" fontId="3" applyFont="1" fillId="0" applyFill="1" borderId="0" applyBorder="1" xfId="4"/>
    <xf numFmtId="165" applyNumberFormat="1" fontId="3" applyFont="1" fillId="0" applyFill="1" borderId="0" applyBorder="1" xfId="0"/>
    <xf numFmtId="43" applyNumberFormat="1" fontId="3" applyFont="1" fillId="0" applyFill="1" borderId="0" applyBorder="1" xfId="1"/>
    <xf numFmtId="2" applyNumberFormat="1" fontId="3" applyFont="1" fillId="0" applyFill="1" borderId="0" applyBorder="1" xfId="0"/>
    <xf numFmtId="0" applyNumberFormat="1" fontId="3" applyFont="1" fillId="2" applyFill="1" borderId="0" applyBorder="1" xfId="0"/>
    <xf numFmtId="166" applyNumberFormat="1" fontId="3" applyFont="1" fillId="2" applyFill="1" borderId="0" applyBorder="1" xfId="0"/>
    <xf numFmtId="14" applyNumberFormat="1" fontId="3" applyFont="1" fillId="2" applyFill="1" borderId="0" applyBorder="1" xfId="0"/>
    <xf numFmtId="0" applyNumberFormat="1" fontId="6" applyFont="1" fillId="2" applyFill="1" borderId="0" applyBorder="1" xfId="0"/>
    <xf numFmtId="2" applyNumberFormat="1" fontId="3" applyFont="1" fillId="2" applyFill="1" borderId="0" applyBorder="1" xfId="0"/>
    <xf numFmtId="166" applyNumberFormat="1" fontId="6" applyFont="1" fillId="2" applyFill="1" borderId="0" applyBorder="1" xfId="0"/>
    <xf numFmtId="1" applyNumberFormat="1" fontId="3" applyFont="1" fillId="2" applyFill="1" borderId="0" applyBorder="1" xfId="0"/>
    <xf numFmtId="2" applyNumberFormat="1" fontId="6" applyFont="1" fillId="2" applyFill="1" borderId="0" applyBorder="1" xfId="0"/>
    <xf numFmtId="168" applyNumberFormat="1" fontId="3" applyFont="1" fillId="2" applyFill="1" borderId="0" applyBorder="1" xfId="0"/>
    <xf numFmtId="0" applyNumberFormat="1" fontId="6" applyFont="1" fillId="0" applyFill="1" borderId="0" applyBorder="1" xfId="0">
      <alignment horizontal="right"/>
    </xf>
    <xf numFmtId="0" applyNumberFormat="1" fontId="8" applyFont="1" fillId="0" applyFill="1" borderId="0" applyBorder="1" xfId="0"/>
    <xf numFmtId="168" applyNumberFormat="1" fontId="3" applyFont="1" fillId="0" applyFill="1" borderId="0" applyBorder="1" xfId="0"/>
    <xf numFmtId="167" applyNumberFormat="1" fontId="3" applyFont="1" fillId="0" applyFill="1" borderId="0" applyBorder="1" xfId="0"/>
    <xf numFmtId="0" applyNumberFormat="1" fontId="6" applyFont="1" fillId="2" applyFill="1" borderId="0" applyBorder="1" xfId="0">
      <alignment horizontal="right"/>
    </xf>
    <xf numFmtId="0" applyNumberFormat="1" fontId="6" applyFont="1" fillId="2" applyFill="1" borderId="0" applyBorder="1" xfId="0">
      <alignment horizontal="right" vertical="center"/>
    </xf>
    <xf numFmtId="2" applyNumberFormat="1" fontId="3" applyFont="1" fillId="0" applyFill="1" borderId="0" applyBorder="1" xfId="1"/>
    <xf numFmtId="0" applyNumberFormat="1" fontId="6" applyFont="1" fillId="0" applyFill="1" borderId="0" applyBorder="1" xfId="0">
      <alignment horizontal="center" vertical="center" wrapText="1"/>
    </xf>
    <xf numFmtId="0" applyNumberFormat="1" fontId="6" applyFont="1" fillId="0" applyFill="1" borderId="0" applyBorder="1" xfId="0"/>
    <xf numFmtId="2" applyNumberFormat="1" fontId="3" applyFont="1" fillId="2" applyFill="1" borderId="0" applyBorder="1" xfId="1"/>
    <xf numFmtId="1" applyNumberFormat="1" fontId="7" applyFont="1" fillId="0" applyFill="1" borderId="0" applyBorder="1" xfId="0"/>
    <xf numFmtId="1" applyNumberFormat="1" fontId="4" applyFont="1" fillId="0" applyFill="1" borderId="0" applyBorder="1" xfId="4"/>
    <xf numFmtId="0" applyNumberFormat="1" fontId="2" applyFont="1" fillId="0" applyFill="1" borderId="0" applyBorder="1" xfId="0"/>
    <xf numFmtId="0" applyNumberFormat="1" fontId="1" applyFont="1" fillId="0" applyFill="1" borderId="0" applyBorder="1" xfId="0"/>
    <xf numFmtId="1" applyNumberFormat="1" fontId="5" applyFont="1" fillId="0" applyFill="1" borderId="0" applyBorder="1" xfId="0"/>
    <xf numFmtId="169" applyNumberFormat="1" fontId="0" applyFont="1" fillId="0" applyFill="1" borderId="0" applyBorder="1" xfId="0"/>
  </cellXfs>
  <cellStyles count="5">
    <cellStyle name="Comma" xfId="1" builtinId="3"/>
    <cellStyle name="Comma 2" xfId="2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1"/>
  <sheetViews>
    <sheetView workbookViewId="0">
      <pane xSplit="1" ySplit="3" topLeftCell="G4" activePane="bottomRight" state="frozen"/>
      <selection pane="topRight" activeCell="B1" sqref="B1"/>
      <selection pane="bottomLeft" activeCell="A4" sqref="A4"/>
      <selection pane="bottomRight" activeCell="V6" sqref="V6"/>
    </sheetView>
  </sheetViews>
  <sheetFormatPr baseColWidth="10" defaultColWidth="8.6640625" defaultRowHeight="15" x14ac:dyDescent="0.2"/>
  <cols>
    <col min="1" max="1" width="37" customWidth="1"/>
    <col min="2" max="6" bestFit="1" width="12.33203125" customWidth="1"/>
    <col min="7" max="8" width="12.33203125" customWidth="1"/>
    <col min="9" max="9" bestFit="1" width="12.33203125" customWidth="1" style="19"/>
    <col min="10" max="13" bestFit="1" width="12.33203125" customWidth="1"/>
    <col min="14" max="15" width="12.33203125" customWidth="1"/>
    <col min="16" max="16" bestFit="1" width="12.33203125" customWidth="1" style="19"/>
    <col min="17" max="19" bestFit="1" width="12.33203125" customWidth="1"/>
    <col min="20" max="20" bestFit="1" width="12.5" customWidth="1"/>
    <col min="21" max="22" width="12.5" customWidth="1"/>
    <col min="23" max="23" bestFit="1" width="12.5" customWidth="1" style="19"/>
  </cols>
  <sheetData>
    <row r="1">
      <c r="A1" s="7" t="s">
        <v>0</v>
      </c>
      <c r="B1" s="19" t="s">
        <v>1</v>
      </c>
      <c r="C1" s="0" t="s">
        <v>2</v>
      </c>
      <c r="D1" s="0" t="s">
        <v>2</v>
      </c>
      <c r="E1" s="0" t="s">
        <v>3</v>
      </c>
      <c r="F1" s="0" t="s">
        <v>3</v>
      </c>
      <c r="G1" s="0" t="s">
        <v>4</v>
      </c>
      <c r="H1" s="0" t="s">
        <v>5</v>
      </c>
      <c r="I1" s="19" t="s">
        <v>1</v>
      </c>
      <c r="J1" s="0" t="s">
        <v>2</v>
      </c>
      <c r="K1" s="0" t="s">
        <v>2</v>
      </c>
      <c r="L1" s="0" t="s">
        <v>3</v>
      </c>
      <c r="M1" s="0" t="s">
        <v>3</v>
      </c>
      <c r="N1" s="0" t="s">
        <v>4</v>
      </c>
      <c r="O1" s="0" t="s">
        <v>5</v>
      </c>
      <c r="P1" s="19" t="s">
        <v>1</v>
      </c>
      <c r="Q1" s="0" t="s">
        <v>2</v>
      </c>
      <c r="R1" s="0" t="s">
        <v>2</v>
      </c>
      <c r="S1" s="0" t="s">
        <v>3</v>
      </c>
      <c r="T1" s="0" t="s">
        <v>3</v>
      </c>
      <c r="U1" s="0" t="s">
        <v>4</v>
      </c>
      <c r="V1" s="0" t="s">
        <v>5</v>
      </c>
      <c r="W1" s="19" t="s">
        <v>1</v>
      </c>
    </row>
    <row r="2">
      <c r="A2" s="7" t="s">
        <v>6</v>
      </c>
      <c r="B2" s="19" t="s">
        <v>1</v>
      </c>
      <c r="C2" s="0" t="s">
        <v>7</v>
      </c>
      <c r="D2" s="0" t="s">
        <v>8</v>
      </c>
      <c r="E2" s="0" t="s">
        <v>7</v>
      </c>
      <c r="F2" s="0" t="s">
        <v>8</v>
      </c>
      <c r="G2" s="0" t="s">
        <v>8</v>
      </c>
      <c r="H2" s="0" t="s">
        <v>8</v>
      </c>
      <c r="I2" s="19" t="s">
        <v>1</v>
      </c>
      <c r="J2" s="0" t="s">
        <v>7</v>
      </c>
      <c r="K2" s="0" t="s">
        <v>8</v>
      </c>
      <c r="L2" s="0" t="s">
        <v>7</v>
      </c>
      <c r="M2" s="0" t="s">
        <v>8</v>
      </c>
      <c r="N2" s="0" t="s">
        <v>8</v>
      </c>
      <c r="O2" s="0" t="s">
        <v>8</v>
      </c>
      <c r="P2" s="19" t="s">
        <v>1</v>
      </c>
      <c r="Q2" s="0" t="s">
        <v>7</v>
      </c>
      <c r="R2" s="0" t="s">
        <v>8</v>
      </c>
      <c r="S2" s="0" t="s">
        <v>7</v>
      </c>
      <c r="T2" s="0" t="s">
        <v>8</v>
      </c>
      <c r="U2" s="0" t="s">
        <v>8</v>
      </c>
      <c r="V2" s="0" t="s">
        <v>8</v>
      </c>
      <c r="W2" s="19" t="s">
        <v>1</v>
      </c>
    </row>
    <row r="3">
      <c r="A3" s="7" t="s">
        <v>9</v>
      </c>
      <c r="B3" s="19" t="s">
        <v>1</v>
      </c>
      <c r="C3" s="0" t="s">
        <v>10</v>
      </c>
      <c r="D3" s="0" t="s">
        <v>10</v>
      </c>
      <c r="E3" s="0" t="s">
        <v>10</v>
      </c>
      <c r="F3" s="0" t="s">
        <v>10</v>
      </c>
      <c r="G3" s="0" t="s">
        <v>10</v>
      </c>
      <c r="H3" s="0" t="s">
        <v>10</v>
      </c>
      <c r="I3" s="19" t="s">
        <v>10</v>
      </c>
      <c r="J3" s="0" t="s">
        <v>11</v>
      </c>
      <c r="K3" s="0" t="s">
        <v>11</v>
      </c>
      <c r="L3" s="0" t="s">
        <v>11</v>
      </c>
      <c r="M3" s="0" t="s">
        <v>11</v>
      </c>
      <c r="N3" s="0" t="s">
        <v>11</v>
      </c>
      <c r="O3" s="0" t="s">
        <v>11</v>
      </c>
      <c r="P3" s="19" t="s">
        <v>11</v>
      </c>
      <c r="Q3" s="0" t="s">
        <v>12</v>
      </c>
      <c r="R3" s="0" t="s">
        <v>12</v>
      </c>
      <c r="S3" s="0" t="s">
        <v>12</v>
      </c>
      <c r="T3" s="0" t="s">
        <v>12</v>
      </c>
      <c r="U3" s="0" t="s">
        <v>12</v>
      </c>
      <c r="V3" s="0" t="s">
        <v>12</v>
      </c>
      <c r="W3" s="19" t="s">
        <v>12</v>
      </c>
    </row>
    <row r="4">
      <c r="A4" s="5" t="s">
        <v>13</v>
      </c>
      <c r="D4" s="8"/>
    </row>
    <row r="5">
      <c r="A5" s="5" t="s">
        <v>14</v>
      </c>
      <c r="B5" s="0">
        <f>I5+P5+W5</f>
        <v>0</v>
      </c>
      <c r="C5" s="0">
        <f>COUNTIFS(Accounts!$E:$E,'AccountSummary (New)'!C$1,Accounts!$G:$G,'AccountSummary (New)'!C$2,Accounts!$F:$F,'AccountSummary (New)'!C$3,Accounts!$B:$B,"none",Accounts!$BF:$BF,FALSE)</f>
        <v>0</v>
      </c>
      <c r="D5" s="0">
        <f>COUNTIFS(Accounts!$E:$E,'AccountSummary (New)'!D$1,Accounts!$G:$G,'AccountSummary (New)'!D$2,Accounts!$F:$F,'AccountSummary (New)'!D$3,Accounts!$B:$B,"none",Accounts!$BF:$BF,FALSE)</f>
        <v>0</v>
      </c>
      <c r="E5" s="0">
        <f>COUNTIFS(Accounts!$E:$E,'AccountSummary (New)'!E$1,Accounts!$G:$G,'AccountSummary (New)'!E$2,Accounts!$F:$F,'AccountSummary (New)'!E$3,Accounts!$B:$B,"none",Accounts!$BF:$BF,FALSE)</f>
        <v>0</v>
      </c>
      <c r="F5" s="0">
        <f>COUNTIFS(Accounts!$E:$E,'AccountSummary (New)'!F$1,Accounts!$G:$G,'AccountSummary (New)'!F$2,Accounts!$F:$F,'AccountSummary (New)'!F$3,Accounts!$B:$B,"none",Accounts!$BF:$BF,FALSE)</f>
        <v>0</v>
      </c>
      <c r="G5" s="0">
        <f>COUNTIFS(Accounts!$E:$E,'AccountSummary (New)'!G$1,Accounts!$G:$G,'AccountSummary (New)'!G$2,Accounts!$F:$F,'AccountSummary (New)'!G$3,Accounts!$B:$B,"none",Accounts!$BF:$BF,FALSE)</f>
        <v>0</v>
      </c>
      <c r="H5" s="0">
        <f>COUNTIFS(Accounts!$E:$E,'AccountSummary (New)'!H$1,Accounts!$G:$G,'AccountSummary (New)'!H$2,Accounts!$F:$F,'AccountSummary (New)'!H$3,Accounts!$B:$B,"none",Accounts!$BF:$BF,FALSE)+COUNTIFS(Accounts!$E:$E,"QuickBooks",Accounts!$G:$G,'AccountSummary (New)'!H$2,Accounts!$F:$F,'AccountSummary (New)'!H$3,Accounts!$B:$B,"none",Accounts!$BF:$BF,FALSE)</f>
        <v>0</v>
      </c>
      <c r="I5" s="19">
        <f>SUM(C5:H5)</f>
        <v>0</v>
      </c>
      <c r="J5" s="0">
        <f>COUNTIFS(Accounts!$E:$E,'AccountSummary (New)'!J$1,Accounts!$G:$G,'AccountSummary (New)'!J$2,Accounts!$F:$F,'AccountSummary (New)'!J$3,Accounts!$B:$B,"none",Accounts!$BF:$BF,FALSE)</f>
        <v>0</v>
      </c>
      <c r="K5" s="0">
        <f>COUNTIFS(Accounts!$E:$E,'AccountSummary (New)'!K$1,Accounts!$G:$G,'AccountSummary (New)'!K$2,Accounts!$F:$F,'AccountSummary (New)'!K$3,Accounts!$B:$B,"none",Accounts!$BF:$BF,FALSE)</f>
        <v>0</v>
      </c>
      <c r="L5" s="0">
        <f>COUNTIFS(Accounts!$E:$E,'AccountSummary (New)'!L$1,Accounts!$G:$G,'AccountSummary (New)'!L$2,Accounts!$F:$F,'AccountSummary (New)'!L$3,Accounts!$B:$B,"none",Accounts!$BF:$BF,FALSE)</f>
        <v>0</v>
      </c>
      <c r="M5" s="0">
        <f>COUNTIFS(Accounts!$E:$E,'AccountSummary (New)'!M$1,Accounts!$G:$G,'AccountSummary (New)'!M$2,Accounts!$F:$F,'AccountSummary (New)'!M$3,Accounts!$B:$B,"none",Accounts!$BF:$BF,FALSE)</f>
        <v>0</v>
      </c>
      <c r="N5" s="0">
        <f>COUNTIFS(Accounts!$E:$E,'AccountSummary (New)'!N$1,Accounts!$G:$G,'AccountSummary (New)'!N$2,Accounts!$F:$F,'AccountSummary (New)'!N$3,Accounts!$B:$B,"none",Accounts!$BF:$BF,FALSE)</f>
        <v>0</v>
      </c>
      <c r="O5" s="0">
        <f>COUNTIFS(Accounts!$E:$E,'AccountSummary (New)'!O$1,Accounts!$G:$G,'AccountSummary (New)'!O$2,Accounts!$F:$F,'AccountSummary (New)'!O$3,Accounts!$B:$B,"none",Accounts!$BF:$BF,FALSE)+COUNTIFS(Accounts!$E:$E,"QuickBooks",Accounts!$G:$G,'AccountSummary (New)'!O$2,Accounts!$F:$F,'AccountSummary (New)'!O$3,Accounts!$B:$B,"none",Accounts!$BF:$BF,FALSE)</f>
        <v>0</v>
      </c>
      <c r="P5" s="19">
        <f>SUM(J5:O5)</f>
        <v>0</v>
      </c>
      <c r="Q5" s="0">
        <f>COUNTIFS(Accounts!$E:$E,'AccountSummary (New)'!Q$1,Accounts!$G:$G,'AccountSummary (New)'!Q$2,Accounts!$F:$F,'AccountSummary (New)'!Q$3,Accounts!$B:$B,"none",Accounts!$BF:$BF,FALSE)</f>
        <v>0</v>
      </c>
      <c r="R5" s="0">
        <f>COUNTIFS(Accounts!$E:$E,'AccountSummary (New)'!R$1,Accounts!$G:$G,'AccountSummary (New)'!R$2,Accounts!$F:$F,'AccountSummary (New)'!R$3,Accounts!$B:$B,"none",Accounts!$BF:$BF,FALSE)</f>
        <v>0</v>
      </c>
      <c r="S5" s="0">
        <f>COUNTIFS(Accounts!$E:$E,'AccountSummary (New)'!S$1,Accounts!$G:$G,'AccountSummary (New)'!S$2,Accounts!$F:$F,'AccountSummary (New)'!S$3,Accounts!$B:$B,"none",Accounts!$BF:$BF,FALSE)</f>
        <v>0</v>
      </c>
      <c r="T5" s="0">
        <f>COUNTIFS(Accounts!$E:$E,'AccountSummary (New)'!T$1,Accounts!$G:$G,'AccountSummary (New)'!T$2,Accounts!$F:$F,'AccountSummary (New)'!T$3,Accounts!$B:$B,"none",Accounts!$BF:$BF,FALSE)</f>
        <v>0</v>
      </c>
      <c r="U5" s="0">
        <f>COUNTIFS(Accounts!$E:$E,'AccountSummary (New)'!U$1,Accounts!$G:$G,'AccountSummary (New)'!U$2,Accounts!$F:$F,'AccountSummary (New)'!U$3,Accounts!$B:$B,"none",Accounts!$BF:$BF,FALSE)</f>
        <v>0</v>
      </c>
      <c r="V5" s="0">
        <f>COUNTIFS(Accounts!$E:$E,'AccountSummary (New)'!V$1,Accounts!$G:$G,'AccountSummary (New)'!V$2,Accounts!$F:$F,'AccountSummary (New)'!V$3,Accounts!$B:$B,"none",Accounts!$BF:$BF,FALSE)+COUNTIFS(Accounts!$E:$E,"QuickBooks",Accounts!$G:$G,'AccountSummary (New)'!V$2,Accounts!$F:$F,'AccountSummary (New)'!V$3,Accounts!$B:$B,"none",Accounts!$BF:$BF,FALSE)</f>
        <v>0</v>
      </c>
      <c r="W5" s="19">
        <f>SUM(Q5:V5)</f>
        <v>0</v>
      </c>
    </row>
    <row r="6">
      <c r="A6" s="5"/>
    </row>
    <row r="7">
      <c r="A7" s="5" t="s">
        <v>15</v>
      </c>
      <c r="B7" s="13">
        <f>I7+P7+W7</f>
        <v>0</v>
      </c>
      <c r="C7" s="0">
        <f>COUNTIFS(Accounts!$E:$E,'AccountSummary (New)'!C$1,Accounts!$G:$G,'AccountSummary (New)'!C$2,Accounts!$F:$F,'AccountSummary (New)'!C$3,Accounts!$W:$W,1)</f>
        <v>0</v>
      </c>
      <c r="D7" s="0">
        <f>COUNTIFS(Accounts!$E:$E,'AccountSummary (New)'!D$1,Accounts!$G:$G,'AccountSummary (New)'!D$2,Accounts!$F:$F,'AccountSummary (New)'!D$3,Accounts!$W:$W,1)</f>
        <v>0</v>
      </c>
      <c r="E7" s="0">
        <f>COUNTIFS(Accounts!$E:$E,'AccountSummary (New)'!E$1,Accounts!$G:$G,'AccountSummary (New)'!E$2,Accounts!$F:$F,'AccountSummary (New)'!E$3,Accounts!$W:$W,1)</f>
        <v>0</v>
      </c>
      <c r="F7" s="0">
        <f>COUNTIFS(Accounts!$E:$E,'AccountSummary (New)'!F$1,Accounts!$G:$G,'AccountSummary (New)'!F$2,Accounts!$F:$F,'AccountSummary (New)'!F$3,Accounts!$W:$W,1)</f>
        <v>0</v>
      </c>
      <c r="G7" s="0">
        <f>COUNTIFS(Accounts!$E:$E,'AccountSummary (New)'!G$1,Accounts!$G:$G,'AccountSummary (New)'!G$2,Accounts!$F:$F,'AccountSummary (New)'!G$3,Accounts!$W:$W,1)</f>
        <v>0</v>
      </c>
      <c r="H7" s="0">
        <f>COUNTIFS(Accounts!$E:$E,'AccountSummary (New)'!H$1,Accounts!$G:$G,'AccountSummary (New)'!H$2,Accounts!$F:$F,'AccountSummary (New)'!H$3,Accounts!$W:$W,1)</f>
        <v>0</v>
      </c>
      <c r="I7" s="19">
        <f>SUM(C7:H7)</f>
        <v>0</v>
      </c>
      <c r="J7" s="0">
        <f>COUNTIFS(Accounts!$E:$E,'AccountSummary (New)'!J$1,Accounts!$G:$G,'AccountSummary (New)'!J$2,Accounts!$F:$F,'AccountSummary (New)'!J$3,Accounts!$W:$W,1)</f>
        <v>0</v>
      </c>
      <c r="K7" s="0">
        <f>COUNTIFS(Accounts!$E:$E,'AccountSummary (New)'!K$1,Accounts!$G:$G,'AccountSummary (New)'!K$2,Accounts!$F:$F,'AccountSummary (New)'!K$3,Accounts!$W:$W,1)</f>
        <v>0</v>
      </c>
      <c r="L7" s="0">
        <f>COUNTIFS(Accounts!$E:$E,'AccountSummary (New)'!L$1,Accounts!$G:$G,'AccountSummary (New)'!L$2,Accounts!$F:$F,'AccountSummary (New)'!L$3,Accounts!$W:$W,1)</f>
        <v>0</v>
      </c>
      <c r="M7" s="0">
        <f>COUNTIFS(Accounts!$E:$E,'AccountSummary (New)'!M$1,Accounts!$G:$G,'AccountSummary (New)'!M$2,Accounts!$F:$F,'AccountSummary (New)'!M$3,Accounts!$W:$W,1)</f>
        <v>0</v>
      </c>
      <c r="N7" s="0">
        <f>COUNTIFS(Accounts!$E:$E,'AccountSummary (New)'!N$1,Accounts!$G:$G,'AccountSummary (New)'!N$2,Accounts!$F:$F,'AccountSummary (New)'!N$3,Accounts!$W:$W,1)</f>
        <v>0</v>
      </c>
      <c r="O7" s="0">
        <f>COUNTIFS(Accounts!$E:$E,'AccountSummary (New)'!O$1,Accounts!$G:$G,'AccountSummary (New)'!O$2,Accounts!$F:$F,'AccountSummary (New)'!O$3,Accounts!$W:$W,1)</f>
        <v>0</v>
      </c>
      <c r="P7" s="19">
        <f>SUM(J7:O7)</f>
        <v>0</v>
      </c>
      <c r="Q7" s="0">
        <f>COUNTIFS(Accounts!$E:$E,'AccountSummary (New)'!Q$1,Accounts!$G:$G,'AccountSummary (New)'!Q$2,Accounts!$F:$F,'AccountSummary (New)'!Q$3,Accounts!$W:$W,1)</f>
        <v>0</v>
      </c>
      <c r="R7" s="0">
        <f>COUNTIFS(Accounts!$E:$E,'AccountSummary (New)'!R$1,Accounts!$G:$G,'AccountSummary (New)'!R$2,Accounts!$F:$F,'AccountSummary (New)'!R$3,Accounts!$W:$W,1)</f>
        <v>0</v>
      </c>
      <c r="S7" s="0">
        <f>COUNTIFS(Accounts!$E:$E,'AccountSummary (New)'!S$1,Accounts!$G:$G,'AccountSummary (New)'!S$2,Accounts!$F:$F,'AccountSummary (New)'!S$3,Accounts!$W:$W,1)</f>
        <v>0</v>
      </c>
      <c r="T7" s="0">
        <f>COUNTIFS(Accounts!$E:$E,'AccountSummary (New)'!T$1,Accounts!$G:$G,'AccountSummary (New)'!T$2,Accounts!$F:$F,'AccountSummary (New)'!T$3,Accounts!$W:$W,1)</f>
        <v>0</v>
      </c>
      <c r="U7" s="0">
        <f>COUNTIFS(Accounts!$E:$E,'AccountSummary (New)'!U$1,Accounts!$G:$G,'AccountSummary (New)'!U$2,Accounts!$F:$F,'AccountSummary (New)'!U$3,Accounts!$W:$W,1)</f>
        <v>0</v>
      </c>
      <c r="V7" s="0">
        <f>COUNTIFS(Accounts!$E:$E,'AccountSummary (New)'!V$1,Accounts!$G:$G,'AccountSummary (New)'!V$2,Accounts!$F:$F,'AccountSummary (New)'!V$3,Accounts!$W:$W,1)</f>
        <v>0</v>
      </c>
      <c r="W7" s="19">
        <f>SUM(Q7:V7)</f>
        <v>0</v>
      </c>
    </row>
    <row r="8">
      <c r="A8" s="6" t="s">
        <v>16</v>
      </c>
      <c r="B8" s="17">
        <f>IF(B7=0,0,SUMIFS(Accounts!$L:$L,Accounts!$W:$W,1)/B7)</f>
        <v>0</v>
      </c>
      <c r="C8" s="8">
        <f>IF(C7=0,0,SUMIFS(Accounts!$L:$L,Accounts!$E:$E,'AccountSummary (New)'!C$1,Accounts!$G:$G,'AccountSummary (New)'!C$2,Accounts!$F:$F,'AccountSummary (New)'!C$3,Accounts!$W:$W,1)/C7)</f>
        <v>0</v>
      </c>
      <c r="D8" s="8">
        <f>IF(D7=0,0,SUMIFS(Accounts!$L:$L,Accounts!$E:$E,'AccountSummary (New)'!D$1,Accounts!$G:$G,'AccountSummary (New)'!D$2,Accounts!$F:$F,'AccountSummary (New)'!D$3,Accounts!$W:$W,1)/D7)</f>
        <v>0</v>
      </c>
      <c r="E8" s="8">
        <f>IF(E7=0,0,SUMIFS(Accounts!$L:$L,Accounts!$E:$E,'AccountSummary (New)'!E$1,Accounts!$G:$G,'AccountSummary (New)'!E$2,Accounts!$F:$F,'AccountSummary (New)'!E$3,Accounts!$W:$W,1)/E7)</f>
        <v>0</v>
      </c>
      <c r="F8" s="8">
        <f>IF(F7=0,0,SUMIFS(Accounts!$L:$L,Accounts!$E:$E,'AccountSummary (New)'!F$1,Accounts!$G:$G,'AccountSummary (New)'!F$2,Accounts!$F:$F,'AccountSummary (New)'!F$3,Accounts!$W:$W,1)/F7)</f>
        <v>0</v>
      </c>
      <c r="G8" s="8">
        <f>IF(G7=0,0,SUMIFS(Accounts!$L:$L,Accounts!$E:$E,'AccountSummary (New)'!G$1,Accounts!$G:$G,'AccountSummary (New)'!G$2,Accounts!$F:$F,'AccountSummary (New)'!G$3,Accounts!$W:$W,1)/G7)</f>
        <v>0</v>
      </c>
      <c r="H8" s="8">
        <f>IF(H7=0,0,SUMIFS(Accounts!$L:$L,Accounts!$E:$E,'AccountSummary (New)'!H$1,Accounts!$G:$G,'AccountSummary (New)'!H$2,Accounts!$F:$F,'AccountSummary (New)'!H$3,Accounts!$W:$W,1)/H7)</f>
        <v>0</v>
      </c>
      <c r="I8" s="9">
        <f>IF(I7=0,0,SUMIFS(Accounts!$L:$L,Accounts!$F:$F,'AccountSummary (New)'!I$3,Accounts!$W:$W,1)/I7)</f>
        <v>0</v>
      </c>
      <c r="J8" s="8">
        <f>IF(J7=0,0,SUMIFS(Accounts!$L:$L,Accounts!$E:$E,'AccountSummary (New)'!J$1,Accounts!$G:$G,'AccountSummary (New)'!J$2,Accounts!$F:$F,'AccountSummary (New)'!J$3,Accounts!$W:$W,1)/J7)</f>
        <v>0</v>
      </c>
      <c r="K8" s="8">
        <f>IF(K7=0,0,SUMIFS(Accounts!$L:$L,Accounts!$E:$E,'AccountSummary (New)'!K$1,Accounts!$G:$G,'AccountSummary (New)'!K$2,Accounts!$F:$F,'AccountSummary (New)'!K$3,Accounts!$W:$W,1)/K7)</f>
        <v>0</v>
      </c>
      <c r="L8" s="8">
        <f>IF(L7=0,0,SUMIFS(Accounts!$L:$L,Accounts!$E:$E,'AccountSummary (New)'!L$1,Accounts!$G:$G,'AccountSummary (New)'!L$2,Accounts!$F:$F,'AccountSummary (New)'!L$3,Accounts!$W:$W,1)/L7)</f>
        <v>0</v>
      </c>
      <c r="M8" s="8">
        <f>IF(M7=0,0,SUMIFS(Accounts!$L:$L,Accounts!$E:$E,'AccountSummary (New)'!M$1,Accounts!$G:$G,'AccountSummary (New)'!M$2,Accounts!$F:$F,'AccountSummary (New)'!M$3,Accounts!$W:$W,1)/M7)</f>
        <v>0</v>
      </c>
      <c r="N8" s="8">
        <f>IF(N7=0,0,SUMIFS(Accounts!$L:$L,Accounts!$E:$E,'AccountSummary (New)'!N$1,Accounts!$G:$G,'AccountSummary (New)'!N$2,Accounts!$F:$F,'AccountSummary (New)'!N$3,Accounts!$W:$W,1)/N7)</f>
        <v>0</v>
      </c>
      <c r="O8" s="8">
        <f>IF(O7=0,0,SUMIFS(Accounts!$L:$L,Accounts!$E:$E,'AccountSummary (New)'!O$1,Accounts!$G:$G,'AccountSummary (New)'!O$2,Accounts!$F:$F,'AccountSummary (New)'!O$3,Accounts!$W:$W,1)/O7)</f>
        <v>0</v>
      </c>
      <c r="P8" s="9">
        <f>IF(P7=0,0,SUMIFS(Accounts!$L:$L,Accounts!$F:$F,'AccountSummary (New)'!P$3,Accounts!$W:$W,1)/P7)</f>
        <v>0</v>
      </c>
      <c r="Q8" s="8">
        <f>IF(Q7=0,0,SUMIFS(Accounts!$L:$L,Accounts!$E:$E,'AccountSummary (New)'!Q$1,Accounts!$G:$G,'AccountSummary (New)'!Q$2,Accounts!$F:$F,'AccountSummary (New)'!Q$3,Accounts!$W:$W,1)/Q7)</f>
        <v>0</v>
      </c>
      <c r="R8" s="8">
        <f>IF(R7=0,0,SUMIFS(Accounts!$L:$L,Accounts!$E:$E,'AccountSummary (New)'!R$1,Accounts!$G:$G,'AccountSummary (New)'!R$2,Accounts!$F:$F,'AccountSummary (New)'!R$3,Accounts!$W:$W,1)/R7)</f>
        <v>0</v>
      </c>
      <c r="S8" s="8">
        <f>IF(S7=0,0,SUMIFS(Accounts!$L:$L,Accounts!$E:$E,'AccountSummary (New)'!S$1,Accounts!$G:$G,'AccountSummary (New)'!S$2,Accounts!$F:$F,'AccountSummary (New)'!S$3,Accounts!$W:$W,1)/S7)</f>
        <v>0</v>
      </c>
      <c r="T8" s="8">
        <f>IF(T7=0,0,SUMIFS(Accounts!$L:$L,Accounts!$E:$E,'AccountSummary (New)'!T$1,Accounts!$G:$G,'AccountSummary (New)'!T$2,Accounts!$F:$F,'AccountSummary (New)'!T$3,Accounts!$W:$W,1)/T7)</f>
        <v>0</v>
      </c>
      <c r="U8" s="8">
        <f>IF(U7=0,0,SUMIFS(Accounts!$L:$L,Accounts!$E:$E,'AccountSummary (New)'!U$1,Accounts!$G:$G,'AccountSummary (New)'!U$2,Accounts!$F:$F,'AccountSummary (New)'!U$3,Accounts!$W:$W,1)/U7)</f>
        <v>0</v>
      </c>
      <c r="V8" s="8">
        <f>IF(V7=0,0,SUMIFS(Accounts!$L:$L,Accounts!$E:$E,'AccountSummary (New)'!V$1,Accounts!$G:$G,'AccountSummary (New)'!V$2,Accounts!$F:$F,'AccountSummary (New)'!V$3,Accounts!$W:$W,1)/V7)</f>
        <v>0</v>
      </c>
      <c r="W8" s="9">
        <f>IF(W7=0,0,SUMIFS(Accounts!$L:$L,Accounts!$F:$F,'AccountSummary (New)'!W$3,Accounts!$W:$W,1)/W7)</f>
        <v>0</v>
      </c>
    </row>
    <row r="9">
      <c r="A9" s="6" t="s">
        <v>17</v>
      </c>
      <c r="B9" s="17">
        <f>IF(B7=0,0,SUMIFS(Accounts!$M:$M,Accounts!$W:$W,1)/B7)</f>
        <v>0</v>
      </c>
      <c r="C9" s="8">
        <f>IF(C7=0,0,SUMIFS(Accounts!$M:$M,Accounts!$E:$E,'AccountSummary (New)'!C$1,Accounts!$G:$G,'AccountSummary (New)'!C$2,Accounts!$F:$F,'AccountSummary (New)'!C$3,Accounts!$W:$W,1)/C7)</f>
        <v>0</v>
      </c>
      <c r="D9" s="8">
        <f>IF(D7=0,0,SUMIFS(Accounts!$M:$M,Accounts!$E:$E,'AccountSummary (New)'!D$1,Accounts!$G:$G,'AccountSummary (New)'!D$2,Accounts!$F:$F,'AccountSummary (New)'!D$3,Accounts!$W:$W,1)/D7)</f>
        <v>0</v>
      </c>
      <c r="E9" s="8">
        <f>IF(E7=0,0,SUMIFS(Accounts!$M:$M,Accounts!$E:$E,'AccountSummary (New)'!E$1,Accounts!$G:$G,'AccountSummary (New)'!E$2,Accounts!$F:$F,'AccountSummary (New)'!E$3,Accounts!$W:$W,1)/E7)</f>
        <v>0</v>
      </c>
      <c r="F9" s="8">
        <f>IF(F7=0,0,SUMIFS(Accounts!$M:$M,Accounts!$E:$E,'AccountSummary (New)'!F$1,Accounts!$G:$G,'AccountSummary (New)'!F$2,Accounts!$F:$F,'AccountSummary (New)'!F$3,Accounts!$W:$W,1)/F7)</f>
        <v>0</v>
      </c>
      <c r="G9" s="8">
        <f>IF(G7=0,0,SUMIFS(Accounts!$M:$M,Accounts!$E:$E,'AccountSummary (New)'!G$1,Accounts!$G:$G,'AccountSummary (New)'!G$2,Accounts!$F:$F,'AccountSummary (New)'!G$3,Accounts!$W:$W,1)/G7)</f>
        <v>0</v>
      </c>
      <c r="H9" s="8">
        <f>IF(H7=0,0,SUMIFS(Accounts!$M:$M,Accounts!$E:$E,'AccountSummary (New)'!H$1,Accounts!$G:$G,'AccountSummary (New)'!H$2,Accounts!$F:$F,'AccountSummary (New)'!H$3,Accounts!$W:$W,1)/H7)</f>
        <v>0</v>
      </c>
      <c r="I9" s="9">
        <f>IF(I7=0,0,SUMIFS(Accounts!$M:$M,Accounts!$F:$F,'AccountSummary (New)'!I$3,Accounts!$W:$W,1)/I7)</f>
        <v>0</v>
      </c>
      <c r="J9" s="8">
        <f>IF(J7=0,0,SUMIFS(Accounts!$M:$M,Accounts!$E:$E,'AccountSummary (New)'!J$1,Accounts!$G:$G,'AccountSummary (New)'!J$2,Accounts!$F:$F,'AccountSummary (New)'!J$3,Accounts!$W:$W,1)/J7)</f>
        <v>0</v>
      </c>
      <c r="K9" s="8">
        <f>IF(K7=0,0,SUMIFS(Accounts!$M:$M,Accounts!$E:$E,'AccountSummary (New)'!K$1,Accounts!$G:$G,'AccountSummary (New)'!K$2,Accounts!$F:$F,'AccountSummary (New)'!K$3,Accounts!$W:$W,1)/K7)</f>
        <v>0</v>
      </c>
      <c r="L9" s="8">
        <f>IF(L7=0,0,SUMIFS(Accounts!$M:$M,Accounts!$E:$E,'AccountSummary (New)'!L$1,Accounts!$G:$G,'AccountSummary (New)'!L$2,Accounts!$F:$F,'AccountSummary (New)'!L$3,Accounts!$W:$W,1)/L7)</f>
        <v>0</v>
      </c>
      <c r="M9" s="8">
        <f>IF(M7=0,0,SUMIFS(Accounts!$M:$M,Accounts!$E:$E,'AccountSummary (New)'!M$1,Accounts!$G:$G,'AccountSummary (New)'!M$2,Accounts!$F:$F,'AccountSummary (New)'!M$3,Accounts!$W:$W,1)/M7)</f>
        <v>0</v>
      </c>
      <c r="N9" s="8">
        <f>IF(N7=0,0,SUMIFS(Accounts!$M:$M,Accounts!$E:$E,'AccountSummary (New)'!N$1,Accounts!$G:$G,'AccountSummary (New)'!N$2,Accounts!$F:$F,'AccountSummary (New)'!N$3,Accounts!$W:$W,1)/N7)</f>
        <v>0</v>
      </c>
      <c r="O9" s="8">
        <f>IF(O7=0,0,SUMIFS(Accounts!$M:$M,Accounts!$E:$E,'AccountSummary (New)'!O$1,Accounts!$G:$G,'AccountSummary (New)'!O$2,Accounts!$F:$F,'AccountSummary (New)'!O$3,Accounts!$W:$W,1)/O7)</f>
        <v>0</v>
      </c>
      <c r="P9" s="9">
        <f>IF(P7=0,0,SUMIFS(Accounts!$M:$M,Accounts!$F:$F,'AccountSummary (New)'!P$3,Accounts!$W:$W,1)/P7)</f>
        <v>0</v>
      </c>
      <c r="Q9" s="8">
        <f>IF(Q7=0,0,SUMIFS(Accounts!$M:$M,Accounts!$E:$E,'AccountSummary (New)'!Q$1,Accounts!$G:$G,'AccountSummary (New)'!Q$2,Accounts!$F:$F,'AccountSummary (New)'!Q$3,Accounts!$W:$W,1)/Q7)</f>
        <v>0</v>
      </c>
      <c r="R9" s="8">
        <f>IF(R7=0,0,SUMIFS(Accounts!$M:$M,Accounts!$E:$E,'AccountSummary (New)'!R$1,Accounts!$G:$G,'AccountSummary (New)'!R$2,Accounts!$F:$F,'AccountSummary (New)'!R$3,Accounts!$W:$W,1)/R7)</f>
        <v>0</v>
      </c>
      <c r="S9" s="8">
        <f>IF(S7=0,0,SUMIFS(Accounts!$M:$M,Accounts!$E:$E,'AccountSummary (New)'!S$1,Accounts!$G:$G,'AccountSummary (New)'!S$2,Accounts!$F:$F,'AccountSummary (New)'!S$3,Accounts!$W:$W,1)/S7)</f>
        <v>0</v>
      </c>
      <c r="T9" s="8">
        <f>IF(T7=0,0,SUMIFS(Accounts!$M:$M,Accounts!$E:$E,'AccountSummary (New)'!T$1,Accounts!$G:$G,'AccountSummary (New)'!T$2,Accounts!$F:$F,'AccountSummary (New)'!T$3,Accounts!$W:$W,1)/T7)</f>
        <v>0</v>
      </c>
      <c r="U9" s="8">
        <f>IF(U7=0,0,SUMIFS(Accounts!$M:$M,Accounts!$E:$E,'AccountSummary (New)'!U$1,Accounts!$G:$G,'AccountSummary (New)'!U$2,Accounts!$F:$F,'AccountSummary (New)'!U$3,Accounts!$W:$W,1)/U7)</f>
        <v>0</v>
      </c>
      <c r="V9" s="8">
        <f>IF(V7=0,0,SUMIFS(Accounts!$M:$M,Accounts!$E:$E,'AccountSummary (New)'!V$1,Accounts!$G:$G,'AccountSummary (New)'!V$2,Accounts!$F:$F,'AccountSummary (New)'!V$3,Accounts!$W:$W,1)/V7)</f>
        <v>0</v>
      </c>
      <c r="W9" s="9">
        <f>IF(W7=0,0,SUMIFS(Accounts!$M:$M,Accounts!$F:$F,'AccountSummary (New)'!W$3,Accounts!$W:$W,1)/W7)</f>
        <v>0</v>
      </c>
    </row>
    <row r="10">
      <c r="A10" s="5" t="s">
        <v>18</v>
      </c>
      <c r="B10" s="14">
        <f>IF(B7=0,0,B11/B7)</f>
        <v>0</v>
      </c>
      <c r="C10" s="22">
        <f ref="C10:W10" t="shared" si="0">IF(C7=0,0,C11/C7)</f>
        <v>0</v>
      </c>
      <c r="D10" s="22">
        <f t="shared" si="0"/>
        <v>0</v>
      </c>
      <c r="E10" s="22">
        <f t="shared" si="0"/>
        <v>0</v>
      </c>
      <c r="F10" s="22">
        <f t="shared" si="0"/>
        <v>0</v>
      </c>
      <c r="G10" s="22">
        <f t="shared" si="0"/>
        <v>0</v>
      </c>
      <c r="H10" s="22">
        <f t="shared" si="0"/>
        <v>0</v>
      </c>
      <c r="I10" s="10">
        <f t="shared" si="0"/>
        <v>0</v>
      </c>
      <c r="J10" s="22">
        <f t="shared" si="0"/>
        <v>0</v>
      </c>
      <c r="K10" s="22">
        <f t="shared" si="0"/>
        <v>0</v>
      </c>
      <c r="L10" s="22">
        <f t="shared" si="0"/>
        <v>0</v>
      </c>
      <c r="M10" s="22">
        <f t="shared" si="0"/>
        <v>0</v>
      </c>
      <c r="N10" s="22">
        <f t="shared" si="0"/>
        <v>0</v>
      </c>
      <c r="O10" s="22">
        <f t="shared" si="0"/>
        <v>0</v>
      </c>
      <c r="P10" s="10">
        <f t="shared" si="0"/>
        <v>0</v>
      </c>
      <c r="Q10" s="22">
        <f t="shared" si="0"/>
        <v>0</v>
      </c>
      <c r="R10" s="22">
        <f t="shared" si="0"/>
        <v>0</v>
      </c>
      <c r="S10" s="22">
        <f t="shared" si="0"/>
        <v>0</v>
      </c>
      <c r="T10" s="22">
        <f t="shared" si="0"/>
        <v>0</v>
      </c>
      <c r="U10" s="22">
        <f t="shared" si="0"/>
        <v>0</v>
      </c>
      <c r="V10" s="22">
        <f t="shared" si="0"/>
        <v>0</v>
      </c>
      <c r="W10" s="10">
        <f t="shared" si="0"/>
        <v>0</v>
      </c>
    </row>
    <row r="11">
      <c r="A11" s="11" t="s">
        <v>19</v>
      </c>
      <c r="B11" s="14">
        <f>I11+P11+W11</f>
        <v>0</v>
      </c>
      <c r="C11" s="22">
        <f>SUMIFS(Accounts!$I:$I,Accounts!$E:$E,'AccountSummary (New)'!C$1,Accounts!$G:$G,'AccountSummary (New)'!C$2,Accounts!$F:$F,'AccountSummary (New)'!C$3,Accounts!$W:$W,1)</f>
        <v>0</v>
      </c>
      <c r="D11" s="22">
        <f>SUMIFS(Accounts!$I:$I,Accounts!$E:$E,'AccountSummary (New)'!D$1,Accounts!$G:$G,'AccountSummary (New)'!D$2,Accounts!$F:$F,'AccountSummary (New)'!D$3,Accounts!$W:$W,1)</f>
        <v>0</v>
      </c>
      <c r="E11" s="22">
        <f>SUMIFS(Accounts!$I:$I,Accounts!$E:$E,'AccountSummary (New)'!E$1,Accounts!$G:$G,'AccountSummary (New)'!E$2,Accounts!$F:$F,'AccountSummary (New)'!E$3,Accounts!$W:$W,1)</f>
        <v>0</v>
      </c>
      <c r="F11" s="22">
        <f>SUMIFS(Accounts!$I:$I,Accounts!$E:$E,'AccountSummary (New)'!F$1,Accounts!$G:$G,'AccountSummary (New)'!F$2,Accounts!$F:$F,'AccountSummary (New)'!F$3,Accounts!$W:$W,1)</f>
        <v>0</v>
      </c>
      <c r="G11" s="22">
        <f>SUMIFS(Accounts!$I:$I,Accounts!$E:$E,'AccountSummary (New)'!G$1,Accounts!$G:$G,'AccountSummary (New)'!G$2,Accounts!$F:$F,'AccountSummary (New)'!G$3,Accounts!$W:$W,1)</f>
        <v>0</v>
      </c>
      <c r="H11" s="22">
        <f>SUMIFS(Accounts!$I:$I,Accounts!$E:$E,'AccountSummary (New)'!H$1,Accounts!$G:$G,'AccountSummary (New)'!H$2,Accounts!$F:$F,'AccountSummary (New)'!H$3,Accounts!$W:$W,1)</f>
        <v>0</v>
      </c>
      <c r="I11" s="10">
        <f>SUM(C11:F11)</f>
        <v>0</v>
      </c>
      <c r="J11" s="22">
        <f>SUMIFS(Accounts!$I:$I,Accounts!$E:$E,'AccountSummary (New)'!J$1,Accounts!$G:$G,'AccountSummary (New)'!J$2,Accounts!$F:$F,'AccountSummary (New)'!J$3,Accounts!$W:$W,1)</f>
        <v>0</v>
      </c>
      <c r="K11" s="22">
        <f>SUMIFS(Accounts!$I:$I,Accounts!$E:$E,'AccountSummary (New)'!K$1,Accounts!$G:$G,'AccountSummary (New)'!K$2,Accounts!$F:$F,'AccountSummary (New)'!K$3,Accounts!$W:$W,1)</f>
        <v>0</v>
      </c>
      <c r="L11" s="22">
        <f>SUMIFS(Accounts!$I:$I,Accounts!$E:$E,'AccountSummary (New)'!L$1,Accounts!$G:$G,'AccountSummary (New)'!L$2,Accounts!$F:$F,'AccountSummary (New)'!L$3,Accounts!$W:$W,1)</f>
        <v>0</v>
      </c>
      <c r="M11" s="22">
        <f>SUMIFS(Accounts!$I:$I,Accounts!$E:$E,'AccountSummary (New)'!M$1,Accounts!$G:$G,'AccountSummary (New)'!M$2,Accounts!$F:$F,'AccountSummary (New)'!M$3,Accounts!$W:$W,1)</f>
        <v>0</v>
      </c>
      <c r="N11" s="22">
        <f>SUMIFS(Accounts!$I:$I,Accounts!$E:$E,'AccountSummary (New)'!N$1,Accounts!$G:$G,'AccountSummary (New)'!N$2,Accounts!$F:$F,'AccountSummary (New)'!N$3,Accounts!$W:$W,1)</f>
        <v>0</v>
      </c>
      <c r="O11" s="22">
        <f>SUMIFS(Accounts!$I:$I,Accounts!$E:$E,'AccountSummary (New)'!O$1,Accounts!$G:$G,'AccountSummary (New)'!O$2,Accounts!$F:$F,'AccountSummary (New)'!O$3,Accounts!$W:$W,1)</f>
        <v>0</v>
      </c>
      <c r="P11" s="10">
        <f>SUM(J11:M11)</f>
        <v>0</v>
      </c>
      <c r="Q11" s="22">
        <f>SUMIFS(Accounts!$I:$I,Accounts!$E:$E,'AccountSummary (New)'!Q$1,Accounts!$G:$G,'AccountSummary (New)'!Q$2,Accounts!$F:$F,'AccountSummary (New)'!Q$3,Accounts!$W:$W,1)</f>
        <v>0</v>
      </c>
      <c r="R11" s="22">
        <f>SUMIFS(Accounts!$I:$I,Accounts!$E:$E,'AccountSummary (New)'!R$1,Accounts!$G:$G,'AccountSummary (New)'!R$2,Accounts!$F:$F,'AccountSummary (New)'!R$3,Accounts!$W:$W,1)</f>
        <v>0</v>
      </c>
      <c r="S11" s="22">
        <f>SUMIFS(Accounts!$I:$I,Accounts!$E:$E,'AccountSummary (New)'!S$1,Accounts!$G:$G,'AccountSummary (New)'!S$2,Accounts!$F:$F,'AccountSummary (New)'!S$3,Accounts!$W:$W,1)</f>
        <v>0</v>
      </c>
      <c r="T11" s="22">
        <f>SUMIFS(Accounts!$I:$I,Accounts!$E:$E,'AccountSummary (New)'!T$1,Accounts!$G:$G,'AccountSummary (New)'!T$2,Accounts!$F:$F,'AccountSummary (New)'!T$3,Accounts!$W:$W,1)</f>
        <v>0</v>
      </c>
      <c r="U11" s="22">
        <f>SUMIFS(Accounts!$I:$I,Accounts!$E:$E,'AccountSummary (New)'!U$1,Accounts!$G:$G,'AccountSummary (New)'!U$2,Accounts!$F:$F,'AccountSummary (New)'!U$3,Accounts!$W:$W,1)</f>
        <v>0</v>
      </c>
      <c r="V11" s="22">
        <f>SUMIFS(Accounts!$I:$I,Accounts!$E:$E,'AccountSummary (New)'!V$1,Accounts!$G:$G,'AccountSummary (New)'!V$2,Accounts!$F:$F,'AccountSummary (New)'!V$3,Accounts!$W:$W,1)</f>
        <v>0</v>
      </c>
      <c r="W11" s="10">
        <f>SUM(Q11:V11)</f>
        <v>0</v>
      </c>
    </row>
    <row r="12">
      <c r="A12" s="11"/>
      <c r="B12" s="13"/>
    </row>
    <row r="13">
      <c r="A13" s="5" t="s">
        <v>20</v>
      </c>
      <c r="B13" s="13"/>
    </row>
    <row r="14">
      <c r="A14" s="5" t="s">
        <v>21</v>
      </c>
      <c r="B14" s="15">
        <f>IF(B7=0,0,B15/B7)</f>
        <v>0</v>
      </c>
      <c r="C14" s="12">
        <f ref="C14:W14" t="shared" si="1">IF(C7=0,0,C15/C7)</f>
        <v>0</v>
      </c>
      <c r="D14" s="12">
        <f t="shared" si="1"/>
        <v>0</v>
      </c>
      <c r="E14" s="12">
        <f t="shared" si="1"/>
        <v>0</v>
      </c>
      <c r="F14" s="12">
        <f t="shared" si="1"/>
        <v>0</v>
      </c>
      <c r="G14" s="12">
        <f t="shared" si="1"/>
        <v>0</v>
      </c>
      <c r="H14" s="12">
        <f t="shared" si="1"/>
        <v>0</v>
      </c>
      <c r="I14" s="24">
        <f t="shared" si="1"/>
        <v>0</v>
      </c>
      <c r="J14" s="12">
        <f t="shared" si="1"/>
        <v>0</v>
      </c>
      <c r="K14" s="12">
        <f t="shared" si="1"/>
        <v>0</v>
      </c>
      <c r="L14" s="12">
        <f t="shared" si="1"/>
        <v>0</v>
      </c>
      <c r="M14" s="12">
        <f t="shared" si="1"/>
        <v>0</v>
      </c>
      <c r="N14" s="12">
        <f t="shared" si="1"/>
        <v>0</v>
      </c>
      <c r="O14" s="12">
        <f t="shared" si="1"/>
        <v>0</v>
      </c>
      <c r="P14" s="24">
        <f t="shared" si="1"/>
        <v>0</v>
      </c>
      <c r="Q14" s="12">
        <f t="shared" si="1"/>
        <v>0</v>
      </c>
      <c r="R14" s="12">
        <f t="shared" si="1"/>
        <v>0</v>
      </c>
      <c r="S14" s="12">
        <f t="shared" si="1"/>
        <v>0</v>
      </c>
      <c r="T14" s="12">
        <f t="shared" si="1"/>
        <v>0</v>
      </c>
      <c r="U14" s="12">
        <f t="shared" si="1"/>
        <v>0</v>
      </c>
      <c r="V14" s="12">
        <f t="shared" si="1"/>
        <v>0</v>
      </c>
      <c r="W14" s="24">
        <f t="shared" si="1"/>
        <v>0</v>
      </c>
    </row>
    <row r="15">
      <c r="A15" s="5" t="s">
        <v>22</v>
      </c>
      <c r="B15" s="13">
        <f>I15+P15+W15</f>
        <v>0</v>
      </c>
      <c r="C15" s="0">
        <f>COUNTIFS(Accounts!$E:$E,'AccountSummary (New)'!C$1,Accounts!$G:$G,'AccountSummary (New)'!C$2,Accounts!$F:$F,'AccountSummary (New)'!C$3,Accounts!$W:$W,1,Accounts!$C:$C,"Lost")</f>
        <v>0</v>
      </c>
      <c r="D15" s="0">
        <f>COUNTIFS(Accounts!$E:$E,'AccountSummary (New)'!D$1,Accounts!$G:$G,'AccountSummary (New)'!D$2,Accounts!$F:$F,'AccountSummary (New)'!D$3,Accounts!$W:$W,1,Accounts!$C:$C,"Lost")</f>
        <v>0</v>
      </c>
      <c r="E15" s="0">
        <f>COUNTIFS(Accounts!$E:$E,'AccountSummary (New)'!E$1,Accounts!$G:$G,'AccountSummary (New)'!E$2,Accounts!$F:$F,'AccountSummary (New)'!E$3,Accounts!$W:$W,1,Accounts!$C:$C,"Lost")</f>
        <v>0</v>
      </c>
      <c r="F15" s="0">
        <f>COUNTIFS(Accounts!$E:$E,'AccountSummary (New)'!F$1,Accounts!$G:$G,'AccountSummary (New)'!F$2,Accounts!$F:$F,'AccountSummary (New)'!F$3,Accounts!$W:$W,1,Accounts!$C:$C,"Lost")</f>
        <v>0</v>
      </c>
      <c r="G15" s="0">
        <f>COUNTIFS(Accounts!$E:$E,'AccountSummary (New)'!G$1,Accounts!$G:$G,'AccountSummary (New)'!G$2,Accounts!$F:$F,'AccountSummary (New)'!G$3,Accounts!$W:$W,1,Accounts!$C:$C,"Lost")</f>
        <v>0</v>
      </c>
      <c r="H15" s="0">
        <f>COUNTIFS(Accounts!$E:$E,'AccountSummary (New)'!H$1,Accounts!$G:$G,'AccountSummary (New)'!H$2,Accounts!$F:$F,'AccountSummary (New)'!H$3,Accounts!$W:$W,1,Accounts!$C:$C,"Lost")</f>
        <v>0</v>
      </c>
      <c r="I15" s="19">
        <f>SUM(C15:H15)</f>
        <v>0</v>
      </c>
      <c r="J15" s="0">
        <f>COUNTIFS(Accounts!$E:$E,'AccountSummary (New)'!J$1,Accounts!$G:$G,'AccountSummary (New)'!J$2,Accounts!$F:$F,'AccountSummary (New)'!J$3,Accounts!$W:$W,1,Accounts!$C:$C,"Lost")</f>
        <v>0</v>
      </c>
      <c r="K15" s="0">
        <f>COUNTIFS(Accounts!$E:$E,'AccountSummary (New)'!K$1,Accounts!$G:$G,'AccountSummary (New)'!K$2,Accounts!$F:$F,'AccountSummary (New)'!K$3,Accounts!$W:$W,1,Accounts!$C:$C,"Lost")</f>
        <v>0</v>
      </c>
      <c r="L15" s="0">
        <f>COUNTIFS(Accounts!$E:$E,'AccountSummary (New)'!L$1,Accounts!$G:$G,'AccountSummary (New)'!L$2,Accounts!$F:$F,'AccountSummary (New)'!L$3,Accounts!$W:$W,1,Accounts!$C:$C,"Lost")</f>
        <v>0</v>
      </c>
      <c r="M15" s="0">
        <f>COUNTIFS(Accounts!$E:$E,'AccountSummary (New)'!M$1,Accounts!$G:$G,'AccountSummary (New)'!M$2,Accounts!$F:$F,'AccountSummary (New)'!M$3,Accounts!$W:$W,1,Accounts!$C:$C,"Lost")</f>
        <v>0</v>
      </c>
      <c r="N15" s="0">
        <f>COUNTIFS(Accounts!$E:$E,'AccountSummary (New)'!N$1,Accounts!$G:$G,'AccountSummary (New)'!N$2,Accounts!$F:$F,'AccountSummary (New)'!N$3,Accounts!$W:$W,1,Accounts!$C:$C,"Lost")</f>
        <v>0</v>
      </c>
      <c r="O15" s="0">
        <f>COUNTIFS(Accounts!$E:$E,'AccountSummary (New)'!O$1,Accounts!$G:$G,'AccountSummary (New)'!O$2,Accounts!$F:$F,'AccountSummary (New)'!O$3,Accounts!$W:$W,1,Accounts!$C:$C,"Lost")</f>
        <v>0</v>
      </c>
      <c r="P15" s="19">
        <f>SUM(J15:O15)</f>
        <v>0</v>
      </c>
      <c r="Q15" s="0">
        <f>COUNTIFS(Accounts!$E:$E,'AccountSummary (New)'!Q$1,Accounts!$G:$G,'AccountSummary (New)'!Q$2,Accounts!$F:$F,'AccountSummary (New)'!Q$3,Accounts!$W:$W,1,Accounts!$C:$C,"Lost")</f>
        <v>0</v>
      </c>
      <c r="R15" s="0">
        <f>COUNTIFS(Accounts!$E:$E,'AccountSummary (New)'!R$1,Accounts!$G:$G,'AccountSummary (New)'!R$2,Accounts!$F:$F,'AccountSummary (New)'!R$3,Accounts!$W:$W,1,Accounts!$C:$C,"Lost")</f>
        <v>0</v>
      </c>
      <c r="S15" s="0">
        <f>COUNTIFS(Accounts!$E:$E,'AccountSummary (New)'!S$1,Accounts!$G:$G,'AccountSummary (New)'!S$2,Accounts!$F:$F,'AccountSummary (New)'!S$3,Accounts!$W:$W,1,Accounts!$C:$C,"Lost")</f>
        <v>0</v>
      </c>
      <c r="T15" s="0">
        <f>COUNTIFS(Accounts!$E:$E,'AccountSummary (New)'!T$1,Accounts!$G:$G,'AccountSummary (New)'!T$2,Accounts!$F:$F,'AccountSummary (New)'!T$3,Accounts!$W:$W,1,Accounts!$C:$C,"Lost")</f>
        <v>0</v>
      </c>
      <c r="U15" s="0">
        <f>COUNTIFS(Accounts!$E:$E,'AccountSummary (New)'!U$1,Accounts!$G:$G,'AccountSummary (New)'!U$2,Accounts!$F:$F,'AccountSummary (New)'!U$3,Accounts!$W:$W,1,Accounts!$C:$C,"Lost")</f>
        <v>0</v>
      </c>
      <c r="V15" s="0">
        <f>COUNTIFS(Accounts!$E:$E,'AccountSummary (New)'!V$1,Accounts!$G:$G,'AccountSummary (New)'!V$2,Accounts!$F:$F,'AccountSummary (New)'!V$3,Accounts!$W:$W,1,Accounts!$C:$C,"Lost")</f>
        <v>0</v>
      </c>
      <c r="W15" s="19">
        <f>SUM(Q15:V15)</f>
        <v>0</v>
      </c>
    </row>
    <row r="16">
      <c r="A16" s="5" t="s">
        <v>23</v>
      </c>
      <c r="B16" s="13">
        <f>I16+P16+W16</f>
        <v>0</v>
      </c>
      <c r="C16" s="0">
        <f ref="C16:H16" t="shared" si="2">C7-C15</f>
        <v>0</v>
      </c>
      <c r="D16" s="0">
        <f t="shared" si="2"/>
        <v>0</v>
      </c>
      <c r="E16" s="0">
        <f t="shared" si="2"/>
        <v>0</v>
      </c>
      <c r="F16" s="0">
        <f t="shared" si="2"/>
        <v>0</v>
      </c>
      <c r="G16" s="0">
        <f t="shared" si="2"/>
        <v>0</v>
      </c>
      <c r="H16" s="0">
        <f t="shared" si="2"/>
        <v>0</v>
      </c>
      <c r="I16" s="19">
        <f>SUM(C16:H16)</f>
        <v>0</v>
      </c>
      <c r="J16" s="0">
        <f ref="J16:O16" t="shared" si="3">J7-J15</f>
        <v>0</v>
      </c>
      <c r="K16" s="0">
        <f t="shared" si="3"/>
        <v>0</v>
      </c>
      <c r="L16" s="0">
        <f t="shared" si="3"/>
        <v>0</v>
      </c>
      <c r="M16" s="0">
        <f t="shared" si="3"/>
        <v>0</v>
      </c>
      <c r="N16" s="0">
        <f t="shared" si="3"/>
        <v>0</v>
      </c>
      <c r="O16" s="0">
        <f t="shared" si="3"/>
        <v>0</v>
      </c>
      <c r="P16" s="19">
        <f>SUM(J16:O16)</f>
        <v>0</v>
      </c>
      <c r="Q16" s="0">
        <f ref="Q16:V16" t="shared" si="4">Q7-Q15</f>
        <v>0</v>
      </c>
      <c r="R16" s="0">
        <f t="shared" si="4"/>
        <v>0</v>
      </c>
      <c r="S16" s="0">
        <f t="shared" si="4"/>
        <v>0</v>
      </c>
      <c r="T16" s="0">
        <f t="shared" si="4"/>
        <v>0</v>
      </c>
      <c r="U16" s="0">
        <f t="shared" si="4"/>
        <v>0</v>
      </c>
      <c r="V16" s="0">
        <f t="shared" si="4"/>
        <v>0</v>
      </c>
      <c r="W16" s="19">
        <f>SUM(Q16:V16)</f>
        <v>0</v>
      </c>
    </row>
    <row r="17">
      <c r="A17" s="5"/>
      <c r="B17" s="13"/>
    </row>
    <row r="18">
      <c r="A18" s="5" t="s">
        <v>24</v>
      </c>
      <c r="B18" s="13"/>
    </row>
    <row r="19">
      <c r="A19" s="5" t="s">
        <v>25</v>
      </c>
      <c r="B19" s="13">
        <f>I19+P19+W19</f>
        <v>1</v>
      </c>
      <c r="C19" s="0">
        <f>COUNTIFS(Accounts!$E:$E,'AccountSummary (New)'!C$1,Accounts!$G:$G,'AccountSummary (New)'!C$2,Accounts!$F:$F,'AccountSummary (New)'!C$3,Accounts!$B:$B,"Customer")</f>
        <v>0</v>
      </c>
      <c r="D19" s="0">
        <f>COUNTIFS(Accounts!$E:$E,'AccountSummary (New)'!D$1,Accounts!$G:$G,'AccountSummary (New)'!D$2,Accounts!$F:$F,'AccountSummary (New)'!D$3,Accounts!$B:$B,"Customer")</f>
        <v>0</v>
      </c>
      <c r="E19" s="0">
        <f>COUNTIFS(Accounts!$E:$E,'AccountSummary (New)'!E$1,Accounts!$G:$G,'AccountSummary (New)'!E$2,Accounts!$F:$F,'AccountSummary (New)'!E$3,Accounts!$B:$B,"Customer")</f>
        <v>0</v>
      </c>
      <c r="F19" s="0">
        <f>COUNTIFS(Accounts!$E:$E,'AccountSummary (New)'!F$1,Accounts!$G:$G,'AccountSummary (New)'!F$2,Accounts!$F:$F,'AccountSummary (New)'!F$3,Accounts!$B:$B,"Customer")</f>
        <v>0</v>
      </c>
      <c r="G19" s="0">
        <f>COUNTIFS(Accounts!$E:$E,'AccountSummary (New)'!G$1,Accounts!$G:$G,'AccountSummary (New)'!G$2,Accounts!$F:$F,'AccountSummary (New)'!G$3,Accounts!$B:$B,"Customer")</f>
        <v>0</v>
      </c>
      <c r="H19" s="0">
        <f>COUNTIFS(Accounts!$E:$E,'AccountSummary (New)'!H$1,Accounts!$G:$G,'AccountSummary (New)'!H$2,Accounts!$F:$F,'AccountSummary (New)'!H$3,Accounts!$B:$B,"Customer")</f>
        <v>0</v>
      </c>
      <c r="I19" s="19">
        <f>SUM(C19:H19)</f>
        <v>0</v>
      </c>
      <c r="J19" s="0">
        <f>COUNTIFS(Accounts!$E:$E,'AccountSummary (New)'!J$1,Accounts!$G:$G,'AccountSummary (New)'!J$2,Accounts!$F:$F,'AccountSummary (New)'!J$3,Accounts!$B:$B,"Customer")</f>
        <v>0</v>
      </c>
      <c r="K19" s="0">
        <f>COUNTIFS(Accounts!$E:$E,'AccountSummary (New)'!K$1,Accounts!$G:$G,'AccountSummary (New)'!K$2,Accounts!$F:$F,'AccountSummary (New)'!K$3,Accounts!$B:$B,"Customer")</f>
        <v>0</v>
      </c>
      <c r="L19" s="0">
        <f>COUNTIFS(Accounts!$E:$E,'AccountSummary (New)'!L$1,Accounts!$G:$G,'AccountSummary (New)'!L$2,Accounts!$F:$F,'AccountSummary (New)'!L$3,Accounts!$B:$B,"Customer")</f>
        <v>0</v>
      </c>
      <c r="M19" s="0">
        <f>COUNTIFS(Accounts!$E:$E,'AccountSummary (New)'!M$1,Accounts!$G:$G,'AccountSummary (New)'!M$2,Accounts!$F:$F,'AccountSummary (New)'!M$3,Accounts!$B:$B,"Customer")</f>
        <v>0</v>
      </c>
      <c r="N19" s="0">
        <f>COUNTIFS(Accounts!$E:$E,'AccountSummary (New)'!N$1,Accounts!$G:$G,'AccountSummary (New)'!N$2,Accounts!$F:$F,'AccountSummary (New)'!N$3,Accounts!$B:$B,"Customer")</f>
        <v>0</v>
      </c>
      <c r="O19" s="0">
        <f>COUNTIFS(Accounts!$E:$E,'AccountSummary (New)'!O$1,Accounts!$G:$G,'AccountSummary (New)'!O$2,Accounts!$F:$F,'AccountSummary (New)'!O$3,Accounts!$B:$B,"Customer")</f>
        <v>0</v>
      </c>
      <c r="P19" s="19">
        <f>SUM(J19:O19)</f>
        <v>0</v>
      </c>
      <c r="Q19" s="0">
        <f>COUNTIFS(Accounts!$E:$E,'AccountSummary (New)'!Q$1,Accounts!$G:$G,'AccountSummary (New)'!Q$2,Accounts!$F:$F,'AccountSummary (New)'!Q$3,Accounts!$B:$B,"Customer")</f>
        <v>0</v>
      </c>
      <c r="R19" s="0">
        <f>COUNTIFS(Accounts!$E:$E,'AccountSummary (New)'!R$1,Accounts!$G:$G,'AccountSummary (New)'!R$2,Accounts!$F:$F,'AccountSummary (New)'!R$3,Accounts!$B:$B,"Customer")</f>
        <v>1</v>
      </c>
      <c r="S19" s="0">
        <f>COUNTIFS(Accounts!$E:$E,'AccountSummary (New)'!S$1,Accounts!$G:$G,'AccountSummary (New)'!S$2,Accounts!$F:$F,'AccountSummary (New)'!S$3,Accounts!$B:$B,"Customer")</f>
        <v>0</v>
      </c>
      <c r="T19" s="0">
        <f>COUNTIFS(Accounts!$E:$E,'AccountSummary (New)'!T$1,Accounts!$G:$G,'AccountSummary (New)'!T$2,Accounts!$F:$F,'AccountSummary (New)'!T$3,Accounts!$B:$B,"Customer")</f>
        <v>0</v>
      </c>
      <c r="U19" s="0">
        <f>COUNTIFS(Accounts!$E:$E,'AccountSummary (New)'!U$1,Accounts!$G:$G,'AccountSummary (New)'!U$2,Accounts!$F:$F,'AccountSummary (New)'!U$3,Accounts!$B:$B,"Customer")</f>
        <v>0</v>
      </c>
      <c r="V19" s="0">
        <f>COUNTIFS(Accounts!$E:$E,'AccountSummary (New)'!V$1,Accounts!$G:$G,'AccountSummary (New)'!V$2,Accounts!$F:$F,'AccountSummary (New)'!V$3,Accounts!$B:$B,"Customer")</f>
        <v>0</v>
      </c>
      <c r="W19" s="19">
        <f>SUM(Q19:V19)</f>
        <v>1</v>
      </c>
    </row>
    <row r="20">
      <c r="A20" s="5"/>
      <c r="B20" s="13"/>
    </row>
    <row r="21">
      <c r="A21" s="5" t="s">
        <v>26</v>
      </c>
      <c r="B21" s="13"/>
    </row>
    <row r="22">
      <c r="A22" s="5" t="s">
        <v>27</v>
      </c>
      <c r="B22" s="15">
        <f ref="B22:W22" t="shared" si="5">IF(B$19=0,0,(B24+B25)/B$19)</f>
        <v>0</v>
      </c>
      <c r="C22" s="12">
        <f>IF(C$19=0,0,(C24+C25)/C$19)</f>
        <v>0</v>
      </c>
      <c r="D22" s="12">
        <f t="shared" si="5"/>
        <v>0</v>
      </c>
      <c r="E22" s="12">
        <f t="shared" si="5"/>
        <v>0</v>
      </c>
      <c r="F22" s="12">
        <f t="shared" si="5"/>
        <v>0</v>
      </c>
      <c r="G22" s="12">
        <f t="shared" si="5"/>
        <v>0</v>
      </c>
      <c r="H22" s="12">
        <f t="shared" si="5"/>
        <v>0</v>
      </c>
      <c r="I22" s="24">
        <f t="shared" si="5"/>
        <v>0</v>
      </c>
      <c r="J22" s="12">
        <f t="shared" si="5"/>
        <v>0</v>
      </c>
      <c r="K22" s="12">
        <f t="shared" si="5"/>
        <v>0</v>
      </c>
      <c r="L22" s="12">
        <f t="shared" si="5"/>
        <v>0</v>
      </c>
      <c r="M22" s="12">
        <f t="shared" si="5"/>
        <v>0</v>
      </c>
      <c r="N22" s="12">
        <f t="shared" si="5"/>
        <v>0</v>
      </c>
      <c r="O22" s="12">
        <f t="shared" si="5"/>
        <v>0</v>
      </c>
      <c r="P22" s="24">
        <f t="shared" si="5"/>
        <v>0</v>
      </c>
      <c r="Q22" s="12">
        <f t="shared" si="5"/>
        <v>0</v>
      </c>
      <c r="R22" s="12">
        <f t="shared" si="5"/>
        <v>0</v>
      </c>
      <c r="S22" s="12">
        <f t="shared" si="5"/>
        <v>0</v>
      </c>
      <c r="T22" s="12">
        <f t="shared" si="5"/>
        <v>0</v>
      </c>
      <c r="U22" s="12">
        <f t="shared" si="5"/>
        <v>0</v>
      </c>
      <c r="V22" s="12">
        <f t="shared" si="5"/>
        <v>0</v>
      </c>
      <c r="W22" s="24">
        <f t="shared" si="5"/>
        <v>0</v>
      </c>
    </row>
    <row r="23">
      <c r="A23" s="5" t="s">
        <v>28</v>
      </c>
      <c r="B23" s="15">
        <f ref="B23:W23" t="shared" si="6">IF((B24+B25)=0,0,B24/(B24+B25))</f>
        <v>0</v>
      </c>
      <c r="C23" s="12">
        <f t="shared" si="6"/>
        <v>0</v>
      </c>
      <c r="D23" s="12">
        <f t="shared" si="6"/>
        <v>0</v>
      </c>
      <c r="E23" s="12">
        <f t="shared" si="6"/>
        <v>0</v>
      </c>
      <c r="F23" s="12">
        <f t="shared" si="6"/>
        <v>0</v>
      </c>
      <c r="G23" s="12">
        <f t="shared" si="6"/>
        <v>0</v>
      </c>
      <c r="H23" s="12">
        <f t="shared" si="6"/>
        <v>0</v>
      </c>
      <c r="I23" s="24">
        <f t="shared" si="6"/>
        <v>0</v>
      </c>
      <c r="J23" s="12">
        <f t="shared" si="6"/>
        <v>0</v>
      </c>
      <c r="K23" s="12">
        <f t="shared" si="6"/>
        <v>0</v>
      </c>
      <c r="L23" s="12">
        <f t="shared" si="6"/>
        <v>0</v>
      </c>
      <c r="M23" s="12">
        <f t="shared" si="6"/>
        <v>0</v>
      </c>
      <c r="N23" s="12">
        <f t="shared" si="6"/>
        <v>0</v>
      </c>
      <c r="O23" s="12">
        <f t="shared" si="6"/>
        <v>0</v>
      </c>
      <c r="P23" s="24">
        <f t="shared" si="6"/>
        <v>0</v>
      </c>
      <c r="Q23" s="12">
        <f t="shared" si="6"/>
        <v>0</v>
      </c>
      <c r="R23" s="12">
        <f t="shared" si="6"/>
        <v>0</v>
      </c>
      <c r="S23" s="12">
        <f t="shared" si="6"/>
        <v>0</v>
      </c>
      <c r="T23" s="12">
        <f t="shared" si="6"/>
        <v>0</v>
      </c>
      <c r="U23" s="12">
        <f t="shared" si="6"/>
        <v>0</v>
      </c>
      <c r="V23" s="12">
        <f t="shared" si="6"/>
        <v>0</v>
      </c>
      <c r="W23" s="24">
        <f t="shared" si="6"/>
        <v>0</v>
      </c>
    </row>
    <row r="24">
      <c r="A24" s="5" t="s">
        <v>29</v>
      </c>
      <c r="B24" s="13">
        <f>I24+P24+W24</f>
        <v>0</v>
      </c>
      <c r="C24" s="0">
        <f>COUNTIFS(Accounts!$E:$E,'AccountSummary (New)'!C$1,Accounts!$G:$G,'AccountSummary (New)'!C$2,Accounts!$F:$F,'AccountSummary (New)'!C$3,Accounts!$B:$B,"Customer",Accounts!$C:$C,"Lost",Accounts!$H:$H,"&lt;="&amp;30)</f>
        <v>0</v>
      </c>
      <c r="D24" s="0">
        <f>COUNTIFS(Accounts!$E:$E,'AccountSummary (New)'!D$1,Accounts!$G:$G,'AccountSummary (New)'!D$2,Accounts!$F:$F,'AccountSummary (New)'!D$3,Accounts!$B:$B,"Customer",Accounts!$C:$C,"Lost",Accounts!$H:$H,"&lt;="&amp;30)</f>
        <v>0</v>
      </c>
      <c r="E24" s="0">
        <f>COUNTIFS(Accounts!$E:$E,'AccountSummary (New)'!E$1,Accounts!$G:$G,'AccountSummary (New)'!E$2,Accounts!$F:$F,'AccountSummary (New)'!E$3,Accounts!$B:$B,"Customer",Accounts!$C:$C,"Lost",Accounts!$H:$H,"&lt;="&amp;30)</f>
        <v>0</v>
      </c>
      <c r="F24" s="0">
        <f>COUNTIFS(Accounts!$E:$E,'AccountSummary (New)'!F$1,Accounts!$G:$G,'AccountSummary (New)'!F$2,Accounts!$F:$F,'AccountSummary (New)'!F$3,Accounts!$B:$B,"Customer",Accounts!$C:$C,"Lost",Accounts!$H:$H,"&lt;="&amp;30)</f>
        <v>0</v>
      </c>
      <c r="G24" s="0">
        <f>COUNTIFS(Accounts!$E:$E,'AccountSummary (New)'!G$1,Accounts!$G:$G,'AccountSummary (New)'!G$2,Accounts!$F:$F,'AccountSummary (New)'!G$3,Accounts!$B:$B,"Customer",Accounts!$C:$C,"Lost",Accounts!$H:$H,"&lt;="&amp;30)</f>
        <v>0</v>
      </c>
      <c r="H24" s="0">
        <f>COUNTIFS(Accounts!$E:$E,'AccountSummary (New)'!H$1,Accounts!$G:$G,'AccountSummary (New)'!H$2,Accounts!$F:$F,'AccountSummary (New)'!H$3,Accounts!$B:$B,"Customer",Accounts!$C:$C,"Lost",Accounts!$H:$H,"&lt;="&amp;30)</f>
        <v>0</v>
      </c>
      <c r="I24" s="19">
        <f>SUM(C24:H24)</f>
        <v>0</v>
      </c>
      <c r="J24" s="0">
        <f>COUNTIFS(Accounts!$E:$E,'AccountSummary (New)'!J$1,Accounts!$G:$G,'AccountSummary (New)'!J$2,Accounts!$F:$F,'AccountSummary (New)'!J$3,Accounts!$B:$B,"Customer",Accounts!$C:$C,"Lost",Accounts!$H:$H,"&lt;="&amp;30)</f>
        <v>0</v>
      </c>
      <c r="K24" s="0">
        <f>COUNTIFS(Accounts!$E:$E,'AccountSummary (New)'!K$1,Accounts!$G:$G,'AccountSummary (New)'!K$2,Accounts!$F:$F,'AccountSummary (New)'!K$3,Accounts!$B:$B,"Customer",Accounts!$C:$C,"Lost",Accounts!$H:$H,"&lt;="&amp;30)</f>
        <v>0</v>
      </c>
      <c r="L24" s="0">
        <f>COUNTIFS(Accounts!$E:$E,'AccountSummary (New)'!L$1,Accounts!$G:$G,'AccountSummary (New)'!L$2,Accounts!$F:$F,'AccountSummary (New)'!L$3,Accounts!$B:$B,"Customer",Accounts!$C:$C,"Lost",Accounts!$H:$H,"&lt;="&amp;30)</f>
        <v>0</v>
      </c>
      <c r="M24" s="0">
        <f>COUNTIFS(Accounts!$E:$E,'AccountSummary (New)'!M$1,Accounts!$G:$G,'AccountSummary (New)'!M$2,Accounts!$F:$F,'AccountSummary (New)'!M$3,Accounts!$B:$B,"Customer",Accounts!$C:$C,"Lost",Accounts!$H:$H,"&lt;="&amp;30)</f>
        <v>0</v>
      </c>
      <c r="N24" s="0">
        <f>COUNTIFS(Accounts!$E:$E,'AccountSummary (New)'!N$1,Accounts!$G:$G,'AccountSummary (New)'!N$2,Accounts!$F:$F,'AccountSummary (New)'!N$3,Accounts!$B:$B,"Customer",Accounts!$C:$C,"Lost",Accounts!$H:$H,"&lt;="&amp;30)</f>
        <v>0</v>
      </c>
      <c r="O24" s="0">
        <f>COUNTIFS(Accounts!$E:$E,'AccountSummary (New)'!O$1,Accounts!$G:$G,'AccountSummary (New)'!O$2,Accounts!$F:$F,'AccountSummary (New)'!O$3,Accounts!$B:$B,"Customer",Accounts!$C:$C,"Lost",Accounts!$H:$H,"&lt;="&amp;30)</f>
        <v>0</v>
      </c>
      <c r="P24" s="19">
        <f>SUM(J24:O24)</f>
        <v>0</v>
      </c>
      <c r="Q24" s="0">
        <f>COUNTIFS(Accounts!$E:$E,'AccountSummary (New)'!Q$1,Accounts!$G:$G,'AccountSummary (New)'!Q$2,Accounts!$F:$F,'AccountSummary (New)'!Q$3,Accounts!$B:$B,"Customer",Accounts!$C:$C,"Lost",Accounts!$H:$H,"&lt;="&amp;30)</f>
        <v>0</v>
      </c>
      <c r="R24" s="0">
        <f>COUNTIFS(Accounts!$E:$E,'AccountSummary (New)'!R$1,Accounts!$G:$G,'AccountSummary (New)'!R$2,Accounts!$F:$F,'AccountSummary (New)'!R$3,Accounts!$B:$B,"Customer",Accounts!$C:$C,"Lost",Accounts!$H:$H,"&lt;="&amp;30)</f>
        <v>0</v>
      </c>
      <c r="S24" s="0">
        <f>COUNTIFS(Accounts!$E:$E,'AccountSummary (New)'!S$1,Accounts!$G:$G,'AccountSummary (New)'!S$2,Accounts!$F:$F,'AccountSummary (New)'!S$3,Accounts!$B:$B,"Customer",Accounts!$C:$C,"Lost",Accounts!$H:$H,"&lt;="&amp;30)</f>
        <v>0</v>
      </c>
      <c r="T24" s="0">
        <f>COUNTIFS(Accounts!$E:$E,'AccountSummary (New)'!T$1,Accounts!$G:$G,'AccountSummary (New)'!T$2,Accounts!$F:$F,'AccountSummary (New)'!T$3,Accounts!$B:$B,"Customer",Accounts!$C:$C,"Lost",Accounts!$H:$H,"&lt;="&amp;30)</f>
        <v>0</v>
      </c>
      <c r="U24" s="0">
        <f>COUNTIFS(Accounts!$E:$E,'AccountSummary (New)'!U$1,Accounts!$G:$G,'AccountSummary (New)'!U$2,Accounts!$F:$F,'AccountSummary (New)'!U$3,Accounts!$B:$B,"Customer",Accounts!$C:$C,"Lost",Accounts!$H:$H,"&lt;="&amp;30)</f>
        <v>0</v>
      </c>
      <c r="V24" s="0">
        <f>COUNTIFS(Accounts!$E:$E,'AccountSummary (New)'!V$1,Accounts!$G:$G,'AccountSummary (New)'!V$2,Accounts!$F:$F,'AccountSummary (New)'!V$3,Accounts!$B:$B,"Customer",Accounts!$C:$C,"Lost",Accounts!$H:$H,"&lt;="&amp;30)</f>
        <v>0</v>
      </c>
      <c r="W24" s="19">
        <f>SUM(Q24:V24)</f>
        <v>0</v>
      </c>
    </row>
    <row r="25">
      <c r="A25" s="5" t="s">
        <v>30</v>
      </c>
      <c r="B25" s="13">
        <f>I25+P25+W25</f>
        <v>0</v>
      </c>
      <c r="C25" s="0">
        <f>COUNTIFS(Accounts!$E:$E,'AccountSummary (New)'!C$1,Accounts!$G:$G,'AccountSummary (New)'!C$2,Accounts!$F:$F,'AccountSummary (New)'!C$3,Accounts!$B:$B,"Customer",Accounts!$C:$C,"Customer",Accounts!$H:$H,"&lt;="&amp;30)</f>
        <v>0</v>
      </c>
      <c r="D25" s="0">
        <f>COUNTIFS(Accounts!$E:$E,'AccountSummary (New)'!D$1,Accounts!$G:$G,'AccountSummary (New)'!D$2,Accounts!$F:$F,'AccountSummary (New)'!D$3,Accounts!$B:$B,"Customer",Accounts!$C:$C,"Customer",Accounts!$H:$H,"&lt;="&amp;30)</f>
        <v>0</v>
      </c>
      <c r="E25" s="0">
        <f>COUNTIFS(Accounts!$E:$E,'AccountSummary (New)'!E$1,Accounts!$G:$G,'AccountSummary (New)'!E$2,Accounts!$F:$F,'AccountSummary (New)'!E$3,Accounts!$B:$B,"Customer",Accounts!$C:$C,"Customer",Accounts!$H:$H,"&lt;="&amp;30)</f>
        <v>0</v>
      </c>
      <c r="F25" s="0">
        <f>COUNTIFS(Accounts!$E:$E,'AccountSummary (New)'!F$1,Accounts!$G:$G,'AccountSummary (New)'!F$2,Accounts!$F:$F,'AccountSummary (New)'!F$3,Accounts!$B:$B,"Customer",Accounts!$C:$C,"Customer",Accounts!$H:$H,"&lt;="&amp;30)</f>
        <v>0</v>
      </c>
      <c r="G25" s="0">
        <f>COUNTIFS(Accounts!$E:$E,'AccountSummary (New)'!G$1,Accounts!$G:$G,'AccountSummary (New)'!G$2,Accounts!$F:$F,'AccountSummary (New)'!G$3,Accounts!$B:$B,"Customer",Accounts!$C:$C,"Customer",Accounts!$H:$H,"&lt;="&amp;30)</f>
        <v>0</v>
      </c>
      <c r="H25" s="0">
        <f>COUNTIFS(Accounts!$E:$E,'AccountSummary (New)'!H$1,Accounts!$G:$G,'AccountSummary (New)'!H$2,Accounts!$F:$F,'AccountSummary (New)'!H$3,Accounts!$B:$B,"Customer",Accounts!$C:$C,"Customer",Accounts!$H:$H,"&lt;="&amp;30)</f>
        <v>0</v>
      </c>
      <c r="I25" s="19">
        <f>SUM(C25:H25)</f>
        <v>0</v>
      </c>
      <c r="J25" s="0">
        <f>COUNTIFS(Accounts!$E:$E,'AccountSummary (New)'!J$1,Accounts!$G:$G,'AccountSummary (New)'!J$2,Accounts!$F:$F,'AccountSummary (New)'!J$3,Accounts!$B:$B,"Customer",Accounts!$C:$C,"Customer",Accounts!$H:$H,"&lt;="&amp;30)</f>
        <v>0</v>
      </c>
      <c r="K25" s="0">
        <f>COUNTIFS(Accounts!$E:$E,'AccountSummary (New)'!K$1,Accounts!$G:$G,'AccountSummary (New)'!K$2,Accounts!$F:$F,'AccountSummary (New)'!K$3,Accounts!$B:$B,"Customer",Accounts!$C:$C,"Customer",Accounts!$H:$H,"&lt;="&amp;30)</f>
        <v>0</v>
      </c>
      <c r="L25" s="0">
        <f>COUNTIFS(Accounts!$E:$E,'AccountSummary (New)'!L$1,Accounts!$G:$G,'AccountSummary (New)'!L$2,Accounts!$F:$F,'AccountSummary (New)'!L$3,Accounts!$B:$B,"Customer",Accounts!$C:$C,"Customer",Accounts!$H:$H,"&lt;="&amp;30)</f>
        <v>0</v>
      </c>
      <c r="M25" s="0">
        <f>COUNTIFS(Accounts!$E:$E,'AccountSummary (New)'!M$1,Accounts!$G:$G,'AccountSummary (New)'!M$2,Accounts!$F:$F,'AccountSummary (New)'!M$3,Accounts!$B:$B,"Customer",Accounts!$C:$C,"Customer",Accounts!$H:$H,"&lt;="&amp;30)</f>
        <v>0</v>
      </c>
      <c r="N25" s="0">
        <f>COUNTIFS(Accounts!$E:$E,'AccountSummary (New)'!N$1,Accounts!$G:$G,'AccountSummary (New)'!N$2,Accounts!$F:$F,'AccountSummary (New)'!N$3,Accounts!$B:$B,"Customer",Accounts!$C:$C,"Customer",Accounts!$H:$H,"&lt;="&amp;30)</f>
        <v>0</v>
      </c>
      <c r="O25" s="0">
        <f>COUNTIFS(Accounts!$E:$E,'AccountSummary (New)'!O$1,Accounts!$G:$G,'AccountSummary (New)'!O$2,Accounts!$F:$F,'AccountSummary (New)'!O$3,Accounts!$B:$B,"Customer",Accounts!$C:$C,"Customer",Accounts!$H:$H,"&lt;="&amp;30)</f>
        <v>0</v>
      </c>
      <c r="P25" s="19">
        <f>SUM(J25:O25)</f>
        <v>0</v>
      </c>
      <c r="Q25" s="0">
        <f>COUNTIFS(Accounts!$E:$E,'AccountSummary (New)'!Q$1,Accounts!$G:$G,'AccountSummary (New)'!Q$2,Accounts!$F:$F,'AccountSummary (New)'!Q$3,Accounts!$B:$B,"Customer",Accounts!$C:$C,"Customer",Accounts!$H:$H,"&lt;="&amp;30)</f>
        <v>0</v>
      </c>
      <c r="R25" s="0">
        <f>COUNTIFS(Accounts!$E:$E,'AccountSummary (New)'!R$1,Accounts!$G:$G,'AccountSummary (New)'!R$2,Accounts!$F:$F,'AccountSummary (New)'!R$3,Accounts!$B:$B,"Customer",Accounts!$C:$C,"Customer",Accounts!$H:$H,"&lt;="&amp;30)</f>
        <v>0</v>
      </c>
      <c r="S25" s="0">
        <f>COUNTIFS(Accounts!$E:$E,'AccountSummary (New)'!S$1,Accounts!$G:$G,'AccountSummary (New)'!S$2,Accounts!$F:$F,'AccountSummary (New)'!S$3,Accounts!$B:$B,"Customer",Accounts!$C:$C,"Customer",Accounts!$H:$H,"&lt;="&amp;30)</f>
        <v>0</v>
      </c>
      <c r="T25" s="0">
        <f>COUNTIFS(Accounts!$E:$E,'AccountSummary (New)'!T$1,Accounts!$G:$G,'AccountSummary (New)'!T$2,Accounts!$F:$F,'AccountSummary (New)'!T$3,Accounts!$B:$B,"Customer",Accounts!$C:$C,"Customer",Accounts!$H:$H,"&lt;="&amp;30)</f>
        <v>0</v>
      </c>
      <c r="U25" s="0">
        <f>COUNTIFS(Accounts!$E:$E,'AccountSummary (New)'!U$1,Accounts!$G:$G,'AccountSummary (New)'!U$2,Accounts!$F:$F,'AccountSummary (New)'!U$3,Accounts!$B:$B,"Customer",Accounts!$C:$C,"Customer",Accounts!$H:$H,"&lt;="&amp;30)</f>
        <v>0</v>
      </c>
      <c r="V25" s="0">
        <f>COUNTIFS(Accounts!$E:$E,'AccountSummary (New)'!V$1,Accounts!$G:$G,'AccountSummary (New)'!V$2,Accounts!$F:$F,'AccountSummary (New)'!V$3,Accounts!$B:$B,"Customer",Accounts!$C:$C,"Customer",Accounts!$H:$H,"&lt;="&amp;30)</f>
        <v>0</v>
      </c>
      <c r="W25" s="19">
        <f>SUM(Q25:V25)</f>
        <v>0</v>
      </c>
    </row>
    <row r="26">
      <c r="A26" s="6" t="s">
        <v>31</v>
      </c>
      <c r="B26" s="16">
        <f>IF(B25=0,0,SUMIFS(Accounts!$L:$L,Accounts!$W:$W,0,Accounts!$C:$C,"Customer",Accounts!$H:$H,"&lt;="&amp;30)/B25)</f>
        <v>0</v>
      </c>
      <c r="C26" s="0">
        <f>IF(C25=0,0,SUMIFS(Accounts!$L:$L,Accounts!$E:$E,'AccountSummary (New)'!C$1,Accounts!$G:$G,'AccountSummary (New)'!C$2,Accounts!$F:$F,'AccountSummary (New)'!C$3,Accounts!$W:$W,0,Accounts!$C:$C,"Customer",Accounts!$H:$H,"&lt;="&amp;30)/C25)</f>
        <v>0</v>
      </c>
      <c r="D26" s="0">
        <f>IF(D25=0,0,SUMIFS(Accounts!$L:$L,Accounts!$E:$E,'AccountSummary (New)'!D$1,Accounts!$G:$G,'AccountSummary (New)'!D$2,Accounts!$F:$F,'AccountSummary (New)'!D$3,Accounts!$W:$W,0,Accounts!$C:$C,"Customer",Accounts!$H:$H,"&lt;="&amp;30)/D25)</f>
        <v>0</v>
      </c>
      <c r="E26" s="0">
        <f>IF(E25=0,0,SUMIFS(Accounts!$L:$L,Accounts!$E:$E,'AccountSummary (New)'!E$1,Accounts!$G:$G,'AccountSummary (New)'!E$2,Accounts!$F:$F,'AccountSummary (New)'!E$3,Accounts!$W:$W,0,Accounts!$C:$C,"Customer",Accounts!$H:$H,"&lt;="&amp;30)/E25)</f>
        <v>0</v>
      </c>
      <c r="F26" s="0">
        <f>IF(F25=0,0,SUMIFS(Accounts!$L:$L,Accounts!$E:$E,'AccountSummary (New)'!F$1,Accounts!$G:$G,'AccountSummary (New)'!F$2,Accounts!$F:$F,'AccountSummary (New)'!F$3,Accounts!$W:$W,0,Accounts!$C:$C,"Customer",Accounts!$H:$H,"&lt;="&amp;30)/F25)</f>
        <v>0</v>
      </c>
      <c r="G26" s="0">
        <f>IF(G25=0,0,SUMIFS(Accounts!$L:$L,Accounts!$E:$E,'AccountSummary (New)'!G$1,Accounts!$G:$G,'AccountSummary (New)'!G$2,Accounts!$F:$F,'AccountSummary (New)'!G$3,Accounts!$W:$W,0,Accounts!$C:$C,"Customer",Accounts!$H:$H,"&lt;="&amp;30)/G25)</f>
        <v>0</v>
      </c>
      <c r="H26" s="0">
        <f>IF(H25=0,0,SUMIFS(Accounts!$L:$L,Accounts!$E:$E,'AccountSummary (New)'!H$1,Accounts!$G:$G,'AccountSummary (New)'!H$2,Accounts!$F:$F,'AccountSummary (New)'!H$3,Accounts!$W:$W,0,Accounts!$C:$C,"Customer",Accounts!$H:$H,"&lt;="&amp;30)/H25)</f>
        <v>0</v>
      </c>
      <c r="I26" s="19">
        <f>IF(I25=0,0,SUMIFS(Accounts!$L:$L,Accounts!$F:$F,'AccountSummary (New)'!I$3,Accounts!$W:$W,0,Accounts!$C:$C,"Customer",Accounts!$H:$H,"&lt;="&amp;30)/I25)</f>
        <v>0</v>
      </c>
      <c r="J26" s="0">
        <f>IF(J25=0,0,SUMIFS(Accounts!$L:$L,Accounts!$E:$E,'AccountSummary (New)'!J$1,Accounts!$G:$G,'AccountSummary (New)'!J$2,Accounts!$F:$F,'AccountSummary (New)'!J$3,Accounts!$W:$W,0,Accounts!$C:$C,"Customer",Accounts!$H:$H,"&lt;="&amp;30)/J25)</f>
        <v>0</v>
      </c>
      <c r="K26" s="0">
        <f>IF(K25=0,0,SUMIFS(Accounts!$L:$L,Accounts!$E:$E,'AccountSummary (New)'!K$1,Accounts!$G:$G,'AccountSummary (New)'!K$2,Accounts!$F:$F,'AccountSummary (New)'!K$3,Accounts!$W:$W,0,Accounts!$C:$C,"Customer",Accounts!$H:$H,"&lt;="&amp;30)/K25)</f>
        <v>0</v>
      </c>
      <c r="L26" s="0">
        <f>IF(L25=0,0,SUMIFS(Accounts!$L:$L,Accounts!$E:$E,'AccountSummary (New)'!L$1,Accounts!$G:$G,'AccountSummary (New)'!L$2,Accounts!$F:$F,'AccountSummary (New)'!L$3,Accounts!$W:$W,0,Accounts!$C:$C,"Customer",Accounts!$H:$H,"&lt;="&amp;30)/L25)</f>
        <v>0</v>
      </c>
      <c r="M26" s="0">
        <f>IF(M25=0,0,SUMIFS(Accounts!$L:$L,Accounts!$E:$E,'AccountSummary (New)'!M$1,Accounts!$G:$G,'AccountSummary (New)'!M$2,Accounts!$F:$F,'AccountSummary (New)'!M$3,Accounts!$W:$W,0,Accounts!$C:$C,"Customer",Accounts!$H:$H,"&lt;="&amp;30)/M25)</f>
        <v>0</v>
      </c>
      <c r="N26" s="0">
        <f>IF(N25=0,0,SUMIFS(Accounts!$L:$L,Accounts!$E:$E,'AccountSummary (New)'!N$1,Accounts!$G:$G,'AccountSummary (New)'!N$2,Accounts!$F:$F,'AccountSummary (New)'!N$3,Accounts!$W:$W,0,Accounts!$C:$C,"Customer",Accounts!$H:$H,"&lt;="&amp;30)/N25)</f>
        <v>0</v>
      </c>
      <c r="O26" s="0">
        <f>IF(O25=0,0,SUMIFS(Accounts!$L:$L,Accounts!$E:$E,'AccountSummary (New)'!O$1,Accounts!$G:$G,'AccountSummary (New)'!O$2,Accounts!$F:$F,'AccountSummary (New)'!O$3,Accounts!$W:$W,0,Accounts!$C:$C,"Customer",Accounts!$H:$H,"&lt;="&amp;30)/O25)</f>
        <v>0</v>
      </c>
      <c r="P26" s="19">
        <f>IF(P25=0,0,SUMIFS(Accounts!$L:$L,Accounts!$F:$F,'AccountSummary (New)'!P$3,Accounts!$W:$W,0,Accounts!$C:$C,"Customer",Accounts!$H:$H,"&lt;="&amp;30)/P25)</f>
        <v>0</v>
      </c>
      <c r="Q26" s="0">
        <f>IF(Q25=0,0,SUMIFS(Accounts!$L:$L,Accounts!$E:$E,'AccountSummary (New)'!Q$1,Accounts!$G:$G,'AccountSummary (New)'!Q$2,Accounts!$F:$F,'AccountSummary (New)'!Q$3,Accounts!$W:$W,0,Accounts!$C:$C,"Customer",Accounts!$H:$H,"&lt;="&amp;30)/Q25)</f>
        <v>0</v>
      </c>
      <c r="R26" s="0">
        <f>IF(R25=0,0,SUMIFS(Accounts!$L:$L,Accounts!$E:$E,'AccountSummary (New)'!R$1,Accounts!$G:$G,'AccountSummary (New)'!R$2,Accounts!$F:$F,'AccountSummary (New)'!R$3,Accounts!$W:$W,0,Accounts!$C:$C,"Customer",Accounts!$H:$H,"&lt;="&amp;30)/R25)</f>
        <v>0</v>
      </c>
      <c r="S26" s="0">
        <f>IF(S25=0,0,SUMIFS(Accounts!$L:$L,Accounts!$E:$E,'AccountSummary (New)'!S$1,Accounts!$G:$G,'AccountSummary (New)'!S$2,Accounts!$F:$F,'AccountSummary (New)'!S$3,Accounts!$W:$W,0,Accounts!$C:$C,"Customer",Accounts!$H:$H,"&lt;="&amp;30)/S25)</f>
        <v>0</v>
      </c>
      <c r="T26" s="0">
        <f>IF(T25=0,0,SUMIFS(Accounts!$L:$L,Accounts!$E:$E,'AccountSummary (New)'!T$1,Accounts!$G:$G,'AccountSummary (New)'!T$2,Accounts!$F:$F,'AccountSummary (New)'!T$3,Accounts!$W:$W,0,Accounts!$C:$C,"Customer",Accounts!$H:$H,"&lt;="&amp;30)/T25)</f>
        <v>0</v>
      </c>
      <c r="U26" s="0">
        <f>IF(U25=0,0,SUMIFS(Accounts!$L:$L,Accounts!$E:$E,'AccountSummary (New)'!U$1,Accounts!$G:$G,'AccountSummary (New)'!U$2,Accounts!$F:$F,'AccountSummary (New)'!U$3,Accounts!$W:$W,0,Accounts!$C:$C,"Customer",Accounts!$H:$H,"&lt;="&amp;30)/U25)</f>
        <v>0</v>
      </c>
      <c r="V26" s="0">
        <f>IF(V25=0,0,SUMIFS(Accounts!$L:$L,Accounts!$E:$E,'AccountSummary (New)'!V$1,Accounts!$G:$G,'AccountSummary (New)'!V$2,Accounts!$F:$F,'AccountSummary (New)'!V$3,Accounts!$W:$W,0,Accounts!$C:$C,"Customer",Accounts!$H:$H,"&lt;="&amp;30)/V25)</f>
        <v>0</v>
      </c>
      <c r="W26" s="19">
        <f>IF(W25=0,0,SUMIFS(Accounts!$L:$L,Accounts!$F:$F,'AccountSummary (New)'!W$3,Accounts!$W:$W,0,Accounts!$C:$C,"Customer",Accounts!$H:$H,"&lt;="&amp;30)/W25)</f>
        <v>0</v>
      </c>
    </row>
    <row r="27">
      <c r="A27" s="6" t="s">
        <v>32</v>
      </c>
      <c r="B27" s="16">
        <f>IF(B25=0,0,SUMIFS(Accounts!$M:$M,Accounts!$W:$W,0,Accounts!$C:$C,"Customer",Accounts!$H:$H,"&lt;="&amp;30)/B25)</f>
        <v>0</v>
      </c>
      <c r="C27" s="0">
        <f>IF(C25=0,0,SUMIFS(Accounts!$M:$M,Accounts!$E:$E,'AccountSummary (New)'!C$1,Accounts!$G:$G,'AccountSummary (New)'!C$2,Accounts!$F:$F,'AccountSummary (New)'!C$3,Accounts!$W:$W,0,Accounts!$C:$C,"Customer",Accounts!$H:$H,"&lt;="&amp;30)/C25)</f>
        <v>0</v>
      </c>
      <c r="D27" s="0">
        <f>IF(D25=0,0,SUMIFS(Accounts!$M:$M,Accounts!$E:$E,'AccountSummary (New)'!D$1,Accounts!$G:$G,'AccountSummary (New)'!D$2,Accounts!$F:$F,'AccountSummary (New)'!D$3,Accounts!$W:$W,0,Accounts!$C:$C,"Customer",Accounts!$H:$H,"&lt;="&amp;30)/D25)</f>
        <v>0</v>
      </c>
      <c r="E27" s="0">
        <f>IF(E25=0,0,SUMIFS(Accounts!$M:$M,Accounts!$E:$E,'AccountSummary (New)'!E$1,Accounts!$G:$G,'AccountSummary (New)'!E$2,Accounts!$F:$F,'AccountSummary (New)'!E$3,Accounts!$W:$W,0,Accounts!$C:$C,"Customer",Accounts!$H:$H,"&lt;="&amp;30)/E25)</f>
        <v>0</v>
      </c>
      <c r="F27" s="0">
        <f>IF(F25=0,0,SUMIFS(Accounts!$M:$M,Accounts!$E:$E,'AccountSummary (New)'!F$1,Accounts!$G:$G,'AccountSummary (New)'!F$2,Accounts!$F:$F,'AccountSummary (New)'!F$3,Accounts!$W:$W,0,Accounts!$C:$C,"Customer",Accounts!$H:$H,"&lt;="&amp;30)/F25)</f>
        <v>0</v>
      </c>
      <c r="G27" s="0">
        <f>IF(G25=0,0,SUMIFS(Accounts!$M:$M,Accounts!$E:$E,'AccountSummary (New)'!G$1,Accounts!$G:$G,'AccountSummary (New)'!G$2,Accounts!$F:$F,'AccountSummary (New)'!G$3,Accounts!$W:$W,0,Accounts!$C:$C,"Customer",Accounts!$H:$H,"&lt;="&amp;30)/G25)</f>
        <v>0</v>
      </c>
      <c r="H27" s="0">
        <f>IF(H25=0,0,SUMIFS(Accounts!$M:$M,Accounts!$E:$E,'AccountSummary (New)'!H$1,Accounts!$G:$G,'AccountSummary (New)'!H$2,Accounts!$F:$F,'AccountSummary (New)'!H$3,Accounts!$W:$W,0,Accounts!$C:$C,"Customer",Accounts!$H:$H,"&lt;="&amp;30)/H25)</f>
        <v>0</v>
      </c>
      <c r="I27" s="19">
        <f>IF(I25=0,0,SUMIFS(Accounts!$M:$M,Accounts!$F:$F,'AccountSummary (New)'!I$3,Accounts!$W:$W,0,Accounts!$C:$C,"Customer",Accounts!$H:$H,"&lt;="&amp;30)/I25)</f>
        <v>0</v>
      </c>
      <c r="J27" s="0">
        <f>IF(J25=0,0,SUMIFS(Accounts!$M:$M,Accounts!$E:$E,'AccountSummary (New)'!J$1,Accounts!$G:$G,'AccountSummary (New)'!J$2,Accounts!$F:$F,'AccountSummary (New)'!J$3,Accounts!$W:$W,0,Accounts!$C:$C,"Customer",Accounts!$H:$H,"&lt;="&amp;30)/J25)</f>
        <v>0</v>
      </c>
      <c r="K27" s="0">
        <f>IF(K25=0,0,SUMIFS(Accounts!$M:$M,Accounts!$E:$E,'AccountSummary (New)'!K$1,Accounts!$G:$G,'AccountSummary (New)'!K$2,Accounts!$F:$F,'AccountSummary (New)'!K$3,Accounts!$W:$W,0,Accounts!$C:$C,"Customer",Accounts!$H:$H,"&lt;="&amp;30)/K25)</f>
        <v>0</v>
      </c>
      <c r="L27" s="0">
        <f>IF(L25=0,0,SUMIFS(Accounts!$M:$M,Accounts!$E:$E,'AccountSummary (New)'!L$1,Accounts!$G:$G,'AccountSummary (New)'!L$2,Accounts!$F:$F,'AccountSummary (New)'!L$3,Accounts!$W:$W,0,Accounts!$C:$C,"Customer",Accounts!$H:$H,"&lt;="&amp;30)/L25)</f>
        <v>0</v>
      </c>
      <c r="M27" s="0">
        <f>IF(M25=0,0,SUMIFS(Accounts!$M:$M,Accounts!$E:$E,'AccountSummary (New)'!M$1,Accounts!$G:$G,'AccountSummary (New)'!M$2,Accounts!$F:$F,'AccountSummary (New)'!M$3,Accounts!$W:$W,0,Accounts!$C:$C,"Customer",Accounts!$H:$H,"&lt;="&amp;30)/M25)</f>
        <v>0</v>
      </c>
      <c r="N27" s="0">
        <f>IF(N25=0,0,SUMIFS(Accounts!$M:$M,Accounts!$E:$E,'AccountSummary (New)'!N$1,Accounts!$G:$G,'AccountSummary (New)'!N$2,Accounts!$F:$F,'AccountSummary (New)'!N$3,Accounts!$W:$W,0,Accounts!$C:$C,"Customer",Accounts!$H:$H,"&lt;="&amp;30)/N25)</f>
        <v>0</v>
      </c>
      <c r="O27" s="0">
        <f>IF(O25=0,0,SUMIFS(Accounts!$M:$M,Accounts!$E:$E,'AccountSummary (New)'!O$1,Accounts!$G:$G,'AccountSummary (New)'!O$2,Accounts!$F:$F,'AccountSummary (New)'!O$3,Accounts!$W:$W,0,Accounts!$C:$C,"Customer",Accounts!$H:$H,"&lt;="&amp;30)/O25)</f>
        <v>0</v>
      </c>
      <c r="P27" s="19">
        <f>IF(P25=0,0,SUMIFS(Accounts!$M:$M,Accounts!$F:$F,'AccountSummary (New)'!P$3,Accounts!$W:$W,0,Accounts!$C:$C,"Customer",Accounts!$H:$H,"&lt;="&amp;30)/P25)</f>
        <v>0</v>
      </c>
      <c r="Q27" s="0">
        <f>IF(Q25=0,0,SUMIFS(Accounts!$M:$M,Accounts!$E:$E,'AccountSummary (New)'!Q$1,Accounts!$G:$G,'AccountSummary (New)'!Q$2,Accounts!$F:$F,'AccountSummary (New)'!Q$3,Accounts!$W:$W,0,Accounts!$C:$C,"Customer",Accounts!$H:$H,"&lt;="&amp;30)/Q25)</f>
        <v>0</v>
      </c>
      <c r="R27" s="0">
        <f>IF(R25=0,0,SUMIFS(Accounts!$M:$M,Accounts!$E:$E,'AccountSummary (New)'!R$1,Accounts!$G:$G,'AccountSummary (New)'!R$2,Accounts!$F:$F,'AccountSummary (New)'!R$3,Accounts!$W:$W,0,Accounts!$C:$C,"Customer",Accounts!$H:$H,"&lt;="&amp;30)/R25)</f>
        <v>0</v>
      </c>
      <c r="S27" s="0">
        <f>IF(S25=0,0,SUMIFS(Accounts!$M:$M,Accounts!$E:$E,'AccountSummary (New)'!S$1,Accounts!$G:$G,'AccountSummary (New)'!S$2,Accounts!$F:$F,'AccountSummary (New)'!S$3,Accounts!$W:$W,0,Accounts!$C:$C,"Customer",Accounts!$H:$H,"&lt;="&amp;30)/S25)</f>
        <v>0</v>
      </c>
      <c r="T27" s="0">
        <f>IF(T25=0,0,SUMIFS(Accounts!$M:$M,Accounts!$E:$E,'AccountSummary (New)'!T$1,Accounts!$G:$G,'AccountSummary (New)'!T$2,Accounts!$F:$F,'AccountSummary (New)'!T$3,Accounts!$W:$W,0,Accounts!$C:$C,"Customer",Accounts!$H:$H,"&lt;="&amp;30)/T25)</f>
        <v>0</v>
      </c>
      <c r="U27" s="0">
        <f>IF(U25=0,0,SUMIFS(Accounts!$M:$M,Accounts!$E:$E,'AccountSummary (New)'!U$1,Accounts!$G:$G,'AccountSummary (New)'!U$2,Accounts!$F:$F,'AccountSummary (New)'!U$3,Accounts!$W:$W,0,Accounts!$C:$C,"Customer",Accounts!$H:$H,"&lt;="&amp;30)/U25)</f>
        <v>0</v>
      </c>
      <c r="V27" s="0">
        <f>IF(V25=0,0,SUMIFS(Accounts!$M:$M,Accounts!$E:$E,'AccountSummary (New)'!V$1,Accounts!$G:$G,'AccountSummary (New)'!V$2,Accounts!$F:$F,'AccountSummary (New)'!V$3,Accounts!$W:$W,0,Accounts!$C:$C,"Customer",Accounts!$H:$H,"&lt;="&amp;30)/V25)</f>
        <v>0</v>
      </c>
      <c r="W27" s="19">
        <f>IF(W25=0,0,SUMIFS(Accounts!$M:$M,Accounts!$F:$F,'AccountSummary (New)'!W$3,Accounts!$W:$W,0,Accounts!$C:$C,"Customer",Accounts!$H:$H,"&lt;="&amp;30)/W25)</f>
        <v>0</v>
      </c>
    </row>
    <row r="28">
      <c r="A28" s="5" t="s">
        <v>33</v>
      </c>
      <c r="B28" s="14">
        <f ref="B28:W28" t="shared" si="7">IF(B25=0,0,B29/B25)</f>
        <v>0</v>
      </c>
      <c r="C28" s="22">
        <f t="shared" si="7"/>
        <v>0</v>
      </c>
      <c r="D28" s="22">
        <f t="shared" si="7"/>
        <v>0</v>
      </c>
      <c r="E28" s="22">
        <f t="shared" si="7"/>
        <v>0</v>
      </c>
      <c r="F28" s="22">
        <f t="shared" si="7"/>
        <v>0</v>
      </c>
      <c r="G28" s="22">
        <f t="shared" si="7"/>
        <v>0</v>
      </c>
      <c r="H28" s="22">
        <f t="shared" si="7"/>
        <v>0</v>
      </c>
      <c r="I28" s="10">
        <f t="shared" si="7"/>
        <v>0</v>
      </c>
      <c r="J28" s="22">
        <f t="shared" si="7"/>
        <v>0</v>
      </c>
      <c r="K28" s="22">
        <f t="shared" si="7"/>
        <v>0</v>
      </c>
      <c r="L28" s="22">
        <f t="shared" si="7"/>
        <v>0</v>
      </c>
      <c r="M28" s="22">
        <f t="shared" si="7"/>
        <v>0</v>
      </c>
      <c r="N28" s="22">
        <f t="shared" si="7"/>
        <v>0</v>
      </c>
      <c r="O28" s="22">
        <f t="shared" si="7"/>
        <v>0</v>
      </c>
      <c r="P28" s="10">
        <f t="shared" si="7"/>
        <v>0</v>
      </c>
      <c r="Q28" s="22">
        <f t="shared" si="7"/>
        <v>0</v>
      </c>
      <c r="R28" s="22">
        <f t="shared" si="7"/>
        <v>0</v>
      </c>
      <c r="S28" s="22">
        <f t="shared" si="7"/>
        <v>0</v>
      </c>
      <c r="T28" s="22">
        <f t="shared" si="7"/>
        <v>0</v>
      </c>
      <c r="U28" s="22">
        <f t="shared" si="7"/>
        <v>0</v>
      </c>
      <c r="V28" s="22">
        <f t="shared" si="7"/>
        <v>0</v>
      </c>
      <c r="W28" s="10">
        <f t="shared" si="7"/>
        <v>0</v>
      </c>
    </row>
    <row r="29">
      <c r="A29" s="5" t="s">
        <v>34</v>
      </c>
      <c r="B29" s="14">
        <f>I29+P29+W29</f>
        <v>0</v>
      </c>
      <c r="C29" s="22">
        <f>SUMIFS(Accounts!$I:$I,Accounts!$E:$E,'AccountSummary (New)'!C$1,Accounts!$G:$G,'AccountSummary (New)'!C$2,Accounts!$F:$F,'AccountSummary (New)'!C$3,Accounts!$W:$W,0,Accounts!$C:$C,"Customer",Accounts!$H:$H,"&lt;="&amp;30)</f>
        <v>0</v>
      </c>
      <c r="D29" s="22">
        <f>SUMIFS(Accounts!$I:$I,Accounts!$E:$E,'AccountSummary (New)'!D$1,Accounts!$G:$G,'AccountSummary (New)'!D$2,Accounts!$F:$F,'AccountSummary (New)'!D$3,Accounts!$W:$W,0,Accounts!$C:$C,"Customer",Accounts!$H:$H,"&lt;="&amp;30)</f>
        <v>0</v>
      </c>
      <c r="E29" s="22">
        <f>SUMIFS(Accounts!$I:$I,Accounts!$E:$E,'AccountSummary (New)'!E$1,Accounts!$G:$G,'AccountSummary (New)'!E$2,Accounts!$F:$F,'AccountSummary (New)'!E$3,Accounts!$W:$W,0,Accounts!$C:$C,"Customer",Accounts!$H:$H,"&lt;="&amp;30)</f>
        <v>0</v>
      </c>
      <c r="F29" s="22">
        <f>SUMIFS(Accounts!$I:$I,Accounts!$E:$E,'AccountSummary (New)'!F$1,Accounts!$G:$G,'AccountSummary (New)'!F$2,Accounts!$F:$F,'AccountSummary (New)'!F$3,Accounts!$W:$W,0,Accounts!$C:$C,"Customer",Accounts!$H:$H,"&lt;="&amp;30)</f>
        <v>0</v>
      </c>
      <c r="G29" s="22">
        <f>SUMIFS(Accounts!$I:$I,Accounts!$E:$E,'AccountSummary (New)'!G$1,Accounts!$G:$G,'AccountSummary (New)'!G$2,Accounts!$F:$F,'AccountSummary (New)'!G$3,Accounts!$W:$W,0,Accounts!$C:$C,"Customer",Accounts!$H:$H,"&lt;="&amp;30)</f>
        <v>0</v>
      </c>
      <c r="H29" s="22">
        <f>SUMIFS(Accounts!$I:$I,Accounts!$E:$E,'AccountSummary (New)'!H$1,Accounts!$G:$G,'AccountSummary (New)'!H$2,Accounts!$F:$F,'AccountSummary (New)'!H$3,Accounts!$W:$W,0,Accounts!$C:$C,"Customer",Accounts!$H:$H,"&lt;="&amp;30)</f>
        <v>0</v>
      </c>
      <c r="I29" s="10">
        <f>SUM(C29:H29)</f>
        <v>0</v>
      </c>
      <c r="J29" s="22">
        <f>SUMIFS(Accounts!$I:$I,Accounts!$E:$E,'AccountSummary (New)'!J$1,Accounts!$G:$G,'AccountSummary (New)'!J$2,Accounts!$F:$F,'AccountSummary (New)'!J$3,Accounts!$W:$W,0,Accounts!$C:$C,"Customer",Accounts!$H:$H,"&lt;="&amp;30)</f>
        <v>0</v>
      </c>
      <c r="K29" s="22">
        <f>SUMIFS(Accounts!$I:$I,Accounts!$E:$E,'AccountSummary (New)'!K$1,Accounts!$G:$G,'AccountSummary (New)'!K$2,Accounts!$F:$F,'AccountSummary (New)'!K$3,Accounts!$W:$W,0,Accounts!$C:$C,"Customer",Accounts!$H:$H,"&lt;="&amp;30)</f>
        <v>0</v>
      </c>
      <c r="L29" s="22">
        <f>SUMIFS(Accounts!$I:$I,Accounts!$E:$E,'AccountSummary (New)'!L$1,Accounts!$G:$G,'AccountSummary (New)'!L$2,Accounts!$F:$F,'AccountSummary (New)'!L$3,Accounts!$W:$W,0,Accounts!$C:$C,"Customer",Accounts!$H:$H,"&lt;="&amp;30)</f>
        <v>0</v>
      </c>
      <c r="M29" s="22">
        <f>SUMIFS(Accounts!$I:$I,Accounts!$E:$E,'AccountSummary (New)'!M$1,Accounts!$G:$G,'AccountSummary (New)'!M$2,Accounts!$F:$F,'AccountSummary (New)'!M$3,Accounts!$W:$W,0,Accounts!$C:$C,"Customer",Accounts!$H:$H,"&lt;="&amp;30)</f>
        <v>0</v>
      </c>
      <c r="N29" s="22">
        <f>SUMIFS(Accounts!$I:$I,Accounts!$E:$E,'AccountSummary (New)'!N$1,Accounts!$G:$G,'AccountSummary (New)'!N$2,Accounts!$F:$F,'AccountSummary (New)'!N$3,Accounts!$W:$W,0,Accounts!$C:$C,"Customer",Accounts!$H:$H,"&lt;="&amp;30)</f>
        <v>0</v>
      </c>
      <c r="O29" s="22">
        <f>SUMIFS(Accounts!$I:$I,Accounts!$E:$E,'AccountSummary (New)'!O$1,Accounts!$G:$G,'AccountSummary (New)'!O$2,Accounts!$F:$F,'AccountSummary (New)'!O$3,Accounts!$W:$W,0,Accounts!$C:$C,"Customer",Accounts!$H:$H,"&lt;="&amp;30)</f>
        <v>0</v>
      </c>
      <c r="P29" s="10">
        <f>SUM(J29:O29)</f>
        <v>0</v>
      </c>
      <c r="Q29" s="22">
        <f>SUMIFS(Accounts!$I:$I,Accounts!$E:$E,'AccountSummary (New)'!Q$1,Accounts!$G:$G,'AccountSummary (New)'!Q$2,Accounts!$F:$F,'AccountSummary (New)'!Q$3,Accounts!$W:$W,0,Accounts!$C:$C,"Customer",Accounts!$H:$H,"&lt;="&amp;30)</f>
        <v>0</v>
      </c>
      <c r="R29" s="22">
        <f>SUMIFS(Accounts!$I:$I,Accounts!$E:$E,'AccountSummary (New)'!R$1,Accounts!$G:$G,'AccountSummary (New)'!R$2,Accounts!$F:$F,'AccountSummary (New)'!R$3,Accounts!$W:$W,0,Accounts!$C:$C,"Customer",Accounts!$H:$H,"&lt;="&amp;30)</f>
        <v>0</v>
      </c>
      <c r="S29" s="22">
        <f>SUMIFS(Accounts!$I:$I,Accounts!$E:$E,'AccountSummary (New)'!S$1,Accounts!$G:$G,'AccountSummary (New)'!S$2,Accounts!$F:$F,'AccountSummary (New)'!S$3,Accounts!$W:$W,0,Accounts!$C:$C,"Customer",Accounts!$H:$H,"&lt;="&amp;30)</f>
        <v>0</v>
      </c>
      <c r="T29" s="22">
        <f>SUMIFS(Accounts!$I:$I,Accounts!$E:$E,'AccountSummary (New)'!T$1,Accounts!$G:$G,'AccountSummary (New)'!T$2,Accounts!$F:$F,'AccountSummary (New)'!T$3,Accounts!$W:$W,0,Accounts!$C:$C,"Customer",Accounts!$H:$H,"&lt;="&amp;30)</f>
        <v>0</v>
      </c>
      <c r="U29" s="22">
        <f>SUMIFS(Accounts!$I:$I,Accounts!$E:$E,'AccountSummary (New)'!U$1,Accounts!$G:$G,'AccountSummary (New)'!U$2,Accounts!$F:$F,'AccountSummary (New)'!U$3,Accounts!$W:$W,0,Accounts!$C:$C,"Customer",Accounts!$H:$H,"&lt;="&amp;30)</f>
        <v>0</v>
      </c>
      <c r="V29" s="22">
        <f>SUMIFS(Accounts!$I:$I,Accounts!$E:$E,'AccountSummary (New)'!V$1,Accounts!$G:$G,'AccountSummary (New)'!V$2,Accounts!$F:$F,'AccountSummary (New)'!V$3,Accounts!$W:$W,0,Accounts!$C:$C,"Customer",Accounts!$H:$H,"&lt;="&amp;30)</f>
        <v>0</v>
      </c>
      <c r="W29" s="10">
        <f>SUM(Q29:V29)</f>
        <v>0</v>
      </c>
    </row>
    <row r="30">
      <c r="A30" s="5" t="s">
        <v>35</v>
      </c>
      <c r="B30" s="14"/>
      <c r="C30" s="22"/>
      <c r="D30" s="22"/>
      <c r="E30" s="22"/>
      <c r="F30" s="22"/>
      <c r="G30" s="22"/>
      <c r="H30" s="22"/>
      <c r="I30" s="10"/>
      <c r="J30" s="22"/>
      <c r="K30" s="22"/>
      <c r="L30" s="22"/>
      <c r="M30" s="22"/>
      <c r="N30" s="22"/>
      <c r="O30" s="22"/>
      <c r="P30" s="10"/>
      <c r="Q30" s="22"/>
      <c r="R30" s="22"/>
      <c r="S30" s="22"/>
      <c r="T30" s="22"/>
      <c r="U30" s="22"/>
      <c r="V30" s="22"/>
      <c r="W30" s="10"/>
    </row>
    <row r="31">
      <c r="A31" s="5" t="s">
        <v>27</v>
      </c>
      <c r="B31" s="15">
        <f ref="B31:W31" t="shared" si="8">IF(B$19=0,0,(B33+B34)/B$19)</f>
        <v>0</v>
      </c>
      <c r="C31" s="12">
        <f t="shared" si="8"/>
        <v>0</v>
      </c>
      <c r="D31" s="12">
        <f t="shared" si="8"/>
        <v>0</v>
      </c>
      <c r="E31" s="12">
        <f t="shared" si="8"/>
        <v>0</v>
      </c>
      <c r="F31" s="12">
        <f t="shared" si="8"/>
        <v>0</v>
      </c>
      <c r="G31" s="12">
        <f t="shared" si="8"/>
        <v>0</v>
      </c>
      <c r="H31" s="12">
        <f t="shared" si="8"/>
        <v>0</v>
      </c>
      <c r="I31" s="24">
        <f t="shared" si="8"/>
        <v>0</v>
      </c>
      <c r="J31" s="12">
        <f t="shared" si="8"/>
        <v>0</v>
      </c>
      <c r="K31" s="12">
        <f t="shared" si="8"/>
        <v>0</v>
      </c>
      <c r="L31" s="12">
        <f t="shared" si="8"/>
        <v>0</v>
      </c>
      <c r="M31" s="12">
        <f t="shared" si="8"/>
        <v>0</v>
      </c>
      <c r="N31" s="12">
        <f t="shared" si="8"/>
        <v>0</v>
      </c>
      <c r="O31" s="12">
        <f t="shared" si="8"/>
        <v>0</v>
      </c>
      <c r="P31" s="24">
        <f t="shared" si="8"/>
        <v>0</v>
      </c>
      <c r="Q31" s="12">
        <f t="shared" si="8"/>
        <v>0</v>
      </c>
      <c r="R31" s="12">
        <f t="shared" si="8"/>
        <v>0</v>
      </c>
      <c r="S31" s="12">
        <f t="shared" si="8"/>
        <v>0</v>
      </c>
      <c r="T31" s="12">
        <f t="shared" si="8"/>
        <v>0</v>
      </c>
      <c r="U31" s="12">
        <f t="shared" si="8"/>
        <v>0</v>
      </c>
      <c r="V31" s="12">
        <f t="shared" si="8"/>
        <v>0</v>
      </c>
      <c r="W31" s="24">
        <f t="shared" si="8"/>
        <v>0</v>
      </c>
    </row>
    <row r="32">
      <c r="A32" s="5" t="s">
        <v>28</v>
      </c>
      <c r="B32" s="15">
        <f ref="B32:W32" t="shared" si="9">IF((B33+B34)=0,0,B33/(B33+B34))</f>
        <v>0</v>
      </c>
      <c r="C32" s="12">
        <f t="shared" si="9"/>
        <v>0</v>
      </c>
      <c r="D32" s="12">
        <f t="shared" si="9"/>
        <v>0</v>
      </c>
      <c r="E32" s="12">
        <f t="shared" si="9"/>
        <v>0</v>
      </c>
      <c r="F32" s="12">
        <f t="shared" si="9"/>
        <v>0</v>
      </c>
      <c r="G32" s="12">
        <f t="shared" si="9"/>
        <v>0</v>
      </c>
      <c r="H32" s="12">
        <f t="shared" si="9"/>
        <v>0</v>
      </c>
      <c r="I32" s="24">
        <f t="shared" si="9"/>
        <v>0</v>
      </c>
      <c r="J32" s="12">
        <f t="shared" si="9"/>
        <v>0</v>
      </c>
      <c r="K32" s="12">
        <f t="shared" si="9"/>
        <v>0</v>
      </c>
      <c r="L32" s="12">
        <f t="shared" si="9"/>
        <v>0</v>
      </c>
      <c r="M32" s="12">
        <f t="shared" si="9"/>
        <v>0</v>
      </c>
      <c r="N32" s="12">
        <f t="shared" si="9"/>
        <v>0</v>
      </c>
      <c r="O32" s="12">
        <f t="shared" si="9"/>
        <v>0</v>
      </c>
      <c r="P32" s="24">
        <f t="shared" si="9"/>
        <v>0</v>
      </c>
      <c r="Q32" s="12">
        <f t="shared" si="9"/>
        <v>0</v>
      </c>
      <c r="R32" s="12">
        <f t="shared" si="9"/>
        <v>0</v>
      </c>
      <c r="S32" s="12">
        <f t="shared" si="9"/>
        <v>0</v>
      </c>
      <c r="T32" s="12">
        <f t="shared" si="9"/>
        <v>0</v>
      </c>
      <c r="U32" s="12">
        <f t="shared" si="9"/>
        <v>0</v>
      </c>
      <c r="V32" s="12">
        <f t="shared" si="9"/>
        <v>0</v>
      </c>
      <c r="W32" s="24">
        <f t="shared" si="9"/>
        <v>0</v>
      </c>
    </row>
    <row r="33">
      <c r="A33" s="5" t="s">
        <v>29</v>
      </c>
      <c r="B33" s="13">
        <f>I33+P33+W33</f>
        <v>0</v>
      </c>
      <c r="C33" s="0">
        <f>COUNTIFS(Accounts!$E:$E,'AccountSummary (New)'!C$1,Accounts!$G:$G,'AccountSummary (New)'!C$2,Accounts!$F:$F,'AccountSummary (New)'!C$3,Accounts!$B:$B,"Customer",Accounts!$C:$C,"Lost",Accounts!$H:$H,"&gt;"&amp;30,Accounts!$H:$H,"&lt;="&amp;60)</f>
        <v>0</v>
      </c>
      <c r="D33" s="0">
        <f>COUNTIFS(Accounts!$E:$E,'AccountSummary (New)'!D$1,Accounts!$G:$G,'AccountSummary (New)'!D$2,Accounts!$F:$F,'AccountSummary (New)'!D$3,Accounts!$B:$B,"Customer",Accounts!$C:$C,"Lost",Accounts!$H:$H,"&gt;"&amp;30,Accounts!$H:$H,"&lt;="&amp;60)</f>
        <v>0</v>
      </c>
      <c r="E33" s="0">
        <f>COUNTIFS(Accounts!$E:$E,'AccountSummary (New)'!E$1,Accounts!$G:$G,'AccountSummary (New)'!E$2,Accounts!$F:$F,'AccountSummary (New)'!E$3,Accounts!$B:$B,"Customer",Accounts!$C:$C,"Lost",Accounts!$H:$H,"&gt;"&amp;30,Accounts!$H:$H,"&lt;="&amp;60)</f>
        <v>0</v>
      </c>
      <c r="F33" s="0">
        <f>COUNTIFS(Accounts!$E:$E,'AccountSummary (New)'!F$1,Accounts!$G:$G,'AccountSummary (New)'!F$2,Accounts!$F:$F,'AccountSummary (New)'!F$3,Accounts!$B:$B,"Customer",Accounts!$C:$C,"Lost",Accounts!$H:$H,"&gt;"&amp;30,Accounts!$H:$H,"&lt;="&amp;60)</f>
        <v>0</v>
      </c>
      <c r="G33" s="0">
        <f>COUNTIFS(Accounts!$E:$E,'AccountSummary (New)'!G$1,Accounts!$G:$G,'AccountSummary (New)'!G$2,Accounts!$F:$F,'AccountSummary (New)'!G$3,Accounts!$B:$B,"Customer",Accounts!$C:$C,"Lost",Accounts!$H:$H,"&gt;"&amp;30,Accounts!$H:$H,"&lt;="&amp;60)</f>
        <v>0</v>
      </c>
      <c r="H33" s="0">
        <f>COUNTIFS(Accounts!$E:$E,'AccountSummary (New)'!H$1,Accounts!$G:$G,'AccountSummary (New)'!H$2,Accounts!$F:$F,'AccountSummary (New)'!H$3,Accounts!$B:$B,"Customer",Accounts!$C:$C,"Lost",Accounts!$H:$H,"&gt;"&amp;30,Accounts!$H:$H,"&lt;="&amp;60)</f>
        <v>0</v>
      </c>
      <c r="I33" s="19">
        <f>SUM(C33:H33)</f>
        <v>0</v>
      </c>
      <c r="J33" s="0">
        <f>COUNTIFS(Accounts!$E:$E,'AccountSummary (New)'!J$1,Accounts!$G:$G,'AccountSummary (New)'!J$2,Accounts!$F:$F,'AccountSummary (New)'!J$3,Accounts!$B:$B,"Customer",Accounts!$C:$C,"Lost",Accounts!$H:$H,"&gt;"&amp;30,Accounts!$H:$H,"&lt;="&amp;60)</f>
        <v>0</v>
      </c>
      <c r="K33" s="0">
        <f>COUNTIFS(Accounts!$E:$E,'AccountSummary (New)'!K$1,Accounts!$G:$G,'AccountSummary (New)'!K$2,Accounts!$F:$F,'AccountSummary (New)'!K$3,Accounts!$B:$B,"Customer",Accounts!$C:$C,"Lost",Accounts!$H:$H,"&gt;"&amp;30,Accounts!$H:$H,"&lt;="&amp;60)</f>
        <v>0</v>
      </c>
      <c r="L33" s="0">
        <f>COUNTIFS(Accounts!$E:$E,'AccountSummary (New)'!L$1,Accounts!$G:$G,'AccountSummary (New)'!L$2,Accounts!$F:$F,'AccountSummary (New)'!L$3,Accounts!$B:$B,"Customer",Accounts!$C:$C,"Lost",Accounts!$H:$H,"&gt;"&amp;30,Accounts!$H:$H,"&lt;="&amp;60)</f>
        <v>0</v>
      </c>
      <c r="M33" s="0">
        <f>COUNTIFS(Accounts!$E:$E,'AccountSummary (New)'!M$1,Accounts!$G:$G,'AccountSummary (New)'!M$2,Accounts!$F:$F,'AccountSummary (New)'!M$3,Accounts!$B:$B,"Customer",Accounts!$C:$C,"Lost",Accounts!$H:$H,"&gt;"&amp;30,Accounts!$H:$H,"&lt;="&amp;60)</f>
        <v>0</v>
      </c>
      <c r="N33" s="0">
        <f>COUNTIFS(Accounts!$E:$E,'AccountSummary (New)'!N$1,Accounts!$G:$G,'AccountSummary (New)'!N$2,Accounts!$F:$F,'AccountSummary (New)'!N$3,Accounts!$B:$B,"Customer",Accounts!$C:$C,"Lost",Accounts!$H:$H,"&gt;"&amp;30,Accounts!$H:$H,"&lt;="&amp;60)</f>
        <v>0</v>
      </c>
      <c r="O33" s="0">
        <f>COUNTIFS(Accounts!$E:$E,'AccountSummary (New)'!O$1,Accounts!$G:$G,'AccountSummary (New)'!O$2,Accounts!$F:$F,'AccountSummary (New)'!O$3,Accounts!$B:$B,"Customer",Accounts!$C:$C,"Lost",Accounts!$H:$H,"&gt;"&amp;30,Accounts!$H:$H,"&lt;="&amp;60)</f>
        <v>0</v>
      </c>
      <c r="P33" s="19">
        <f>SUM(J33:O33)</f>
        <v>0</v>
      </c>
      <c r="Q33" s="0">
        <f>COUNTIFS(Accounts!$E:$E,'AccountSummary (New)'!Q$1,Accounts!$G:$G,'AccountSummary (New)'!Q$2,Accounts!$F:$F,'AccountSummary (New)'!Q$3,Accounts!$B:$B,"Customer",Accounts!$C:$C,"Lost",Accounts!$H:$H,"&gt;"&amp;30,Accounts!$H:$H,"&lt;="&amp;60)</f>
        <v>0</v>
      </c>
      <c r="R33" s="0">
        <f>COUNTIFS(Accounts!$E:$E,'AccountSummary (New)'!R$1,Accounts!$G:$G,'AccountSummary (New)'!R$2,Accounts!$F:$F,'AccountSummary (New)'!R$3,Accounts!$B:$B,"Customer",Accounts!$C:$C,"Lost",Accounts!$H:$H,"&gt;"&amp;30,Accounts!$H:$H,"&lt;="&amp;60)</f>
        <v>0</v>
      </c>
      <c r="S33" s="0">
        <f>COUNTIFS(Accounts!$E:$E,'AccountSummary (New)'!S$1,Accounts!$G:$G,'AccountSummary (New)'!S$2,Accounts!$F:$F,'AccountSummary (New)'!S$3,Accounts!$B:$B,"Customer",Accounts!$C:$C,"Lost",Accounts!$H:$H,"&gt;"&amp;30,Accounts!$H:$H,"&lt;="&amp;60)</f>
        <v>0</v>
      </c>
      <c r="T33" s="0">
        <f>COUNTIFS(Accounts!$E:$E,'AccountSummary (New)'!T$1,Accounts!$G:$G,'AccountSummary (New)'!T$2,Accounts!$F:$F,'AccountSummary (New)'!T$3,Accounts!$B:$B,"Customer",Accounts!$C:$C,"Lost",Accounts!$H:$H,"&gt;"&amp;30,Accounts!$H:$H,"&lt;="&amp;60)</f>
        <v>0</v>
      </c>
      <c r="U33" s="0">
        <f>COUNTIFS(Accounts!$E:$E,'AccountSummary (New)'!U$1,Accounts!$G:$G,'AccountSummary (New)'!U$2,Accounts!$F:$F,'AccountSummary (New)'!U$3,Accounts!$B:$B,"Customer",Accounts!$C:$C,"Lost",Accounts!$H:$H,"&gt;"&amp;30,Accounts!$H:$H,"&lt;="&amp;60)</f>
        <v>0</v>
      </c>
      <c r="V33" s="0">
        <f>COUNTIFS(Accounts!$E:$E,'AccountSummary (New)'!V$1,Accounts!$G:$G,'AccountSummary (New)'!V$2,Accounts!$F:$F,'AccountSummary (New)'!V$3,Accounts!$B:$B,"Customer",Accounts!$C:$C,"Lost",Accounts!$H:$H,"&gt;"&amp;30,Accounts!$H:$H,"&lt;="&amp;60)</f>
        <v>0</v>
      </c>
      <c r="W33" s="19">
        <f>SUM(Q33:V33)</f>
        <v>0</v>
      </c>
    </row>
    <row r="34">
      <c r="A34" s="5" t="s">
        <v>30</v>
      </c>
      <c r="B34" s="13">
        <f>I34+P34+W34</f>
        <v>0</v>
      </c>
      <c r="C34" s="0">
        <f>COUNTIFS(Accounts!$E:$E,'AccountSummary (New)'!C$1,Accounts!$G:$G,'AccountSummary (New)'!C$2,Accounts!$F:$F,'AccountSummary (New)'!C$3,Accounts!$B:$B,"Customer",Accounts!$C:$C,"Customer",Accounts!$H:$H,"&gt;"&amp;30,Accounts!$H:$H,"&lt;="&amp;60)</f>
        <v>0</v>
      </c>
      <c r="D34" s="0">
        <f>COUNTIFS(Accounts!$E:$E,'AccountSummary (New)'!D$1,Accounts!$G:$G,'AccountSummary (New)'!D$2,Accounts!$F:$F,'AccountSummary (New)'!D$3,Accounts!$B:$B,"Customer",Accounts!$C:$C,"Customer",Accounts!$H:$H,"&gt;"&amp;30,Accounts!$H:$H,"&lt;="&amp;60)</f>
        <v>0</v>
      </c>
      <c r="E34" s="0">
        <f>COUNTIFS(Accounts!$E:$E,'AccountSummary (New)'!E$1,Accounts!$G:$G,'AccountSummary (New)'!E$2,Accounts!$F:$F,'AccountSummary (New)'!E$3,Accounts!$B:$B,"Customer",Accounts!$C:$C,"Customer",Accounts!$H:$H,"&gt;"&amp;30,Accounts!$H:$H,"&lt;="&amp;60)</f>
        <v>0</v>
      </c>
      <c r="F34" s="0">
        <f>COUNTIFS(Accounts!$E:$E,'AccountSummary (New)'!F$1,Accounts!$G:$G,'AccountSummary (New)'!F$2,Accounts!$F:$F,'AccountSummary (New)'!F$3,Accounts!$B:$B,"Customer",Accounts!$C:$C,"Customer",Accounts!$H:$H,"&gt;"&amp;30,Accounts!$H:$H,"&lt;="&amp;60)</f>
        <v>0</v>
      </c>
      <c r="G34" s="0">
        <f>COUNTIFS(Accounts!$E:$E,'AccountSummary (New)'!G$1,Accounts!$G:$G,'AccountSummary (New)'!G$2,Accounts!$F:$F,'AccountSummary (New)'!G$3,Accounts!$B:$B,"Customer",Accounts!$C:$C,"Customer",Accounts!$H:$H,"&gt;"&amp;30,Accounts!$H:$H,"&lt;="&amp;60)</f>
        <v>0</v>
      </c>
      <c r="H34" s="0">
        <f>COUNTIFS(Accounts!$E:$E,'AccountSummary (New)'!H$1,Accounts!$G:$G,'AccountSummary (New)'!H$2,Accounts!$F:$F,'AccountSummary (New)'!H$3,Accounts!$B:$B,"Customer",Accounts!$C:$C,"Customer",Accounts!$H:$H,"&gt;"&amp;30,Accounts!$H:$H,"&lt;="&amp;60)</f>
        <v>0</v>
      </c>
      <c r="I34" s="19">
        <f>SUM(C34:H34)</f>
        <v>0</v>
      </c>
      <c r="J34" s="0">
        <f>COUNTIFS(Accounts!$E:$E,'AccountSummary (New)'!J$1,Accounts!$G:$G,'AccountSummary (New)'!J$2,Accounts!$F:$F,'AccountSummary (New)'!J$3,Accounts!$B:$B,"Customer",Accounts!$C:$C,"Customer",Accounts!$H:$H,"&gt;"&amp;30,Accounts!$H:$H,"&lt;="&amp;60)</f>
        <v>0</v>
      </c>
      <c r="K34" s="0">
        <f>COUNTIFS(Accounts!$E:$E,'AccountSummary (New)'!K$1,Accounts!$G:$G,'AccountSummary (New)'!K$2,Accounts!$F:$F,'AccountSummary (New)'!K$3,Accounts!$B:$B,"Customer",Accounts!$C:$C,"Customer",Accounts!$H:$H,"&gt;"&amp;30,Accounts!$H:$H,"&lt;="&amp;60)</f>
        <v>0</v>
      </c>
      <c r="L34" s="0">
        <f>COUNTIFS(Accounts!$E:$E,'AccountSummary (New)'!L$1,Accounts!$G:$G,'AccountSummary (New)'!L$2,Accounts!$F:$F,'AccountSummary (New)'!L$3,Accounts!$B:$B,"Customer",Accounts!$C:$C,"Customer",Accounts!$H:$H,"&gt;"&amp;30,Accounts!$H:$H,"&lt;="&amp;60)</f>
        <v>0</v>
      </c>
      <c r="M34" s="0">
        <f>COUNTIFS(Accounts!$E:$E,'AccountSummary (New)'!M$1,Accounts!$G:$G,'AccountSummary (New)'!M$2,Accounts!$F:$F,'AccountSummary (New)'!M$3,Accounts!$B:$B,"Customer",Accounts!$C:$C,"Customer",Accounts!$H:$H,"&gt;"&amp;30,Accounts!$H:$H,"&lt;="&amp;60)</f>
        <v>0</v>
      </c>
      <c r="N34" s="0">
        <f>COUNTIFS(Accounts!$E:$E,'AccountSummary (New)'!N$1,Accounts!$G:$G,'AccountSummary (New)'!N$2,Accounts!$F:$F,'AccountSummary (New)'!N$3,Accounts!$B:$B,"Customer",Accounts!$C:$C,"Customer",Accounts!$H:$H,"&gt;"&amp;30,Accounts!$H:$H,"&lt;="&amp;60)</f>
        <v>0</v>
      </c>
      <c r="O34" s="0">
        <f>COUNTIFS(Accounts!$E:$E,'AccountSummary (New)'!O$1,Accounts!$G:$G,'AccountSummary (New)'!O$2,Accounts!$F:$F,'AccountSummary (New)'!O$3,Accounts!$B:$B,"Customer",Accounts!$C:$C,"Customer",Accounts!$H:$H,"&gt;"&amp;30,Accounts!$H:$H,"&lt;="&amp;60)</f>
        <v>0</v>
      </c>
      <c r="P34" s="19">
        <f>SUM(J34:O34)</f>
        <v>0</v>
      </c>
      <c r="Q34" s="0">
        <f>COUNTIFS(Accounts!$E:$E,'AccountSummary (New)'!Q$1,Accounts!$G:$G,'AccountSummary (New)'!Q$2,Accounts!$F:$F,'AccountSummary (New)'!Q$3,Accounts!$B:$B,"Customer",Accounts!$C:$C,"Customer",Accounts!$H:$H,"&gt;"&amp;30,Accounts!$H:$H,"&lt;="&amp;60)</f>
        <v>0</v>
      </c>
      <c r="R34" s="0">
        <f>COUNTIFS(Accounts!$E:$E,'AccountSummary (New)'!R$1,Accounts!$G:$G,'AccountSummary (New)'!R$2,Accounts!$F:$F,'AccountSummary (New)'!R$3,Accounts!$B:$B,"Customer",Accounts!$C:$C,"Customer",Accounts!$H:$H,"&gt;"&amp;30,Accounts!$H:$H,"&lt;="&amp;60)</f>
        <v>0</v>
      </c>
      <c r="S34" s="0">
        <f>COUNTIFS(Accounts!$E:$E,'AccountSummary (New)'!S$1,Accounts!$G:$G,'AccountSummary (New)'!S$2,Accounts!$F:$F,'AccountSummary (New)'!S$3,Accounts!$B:$B,"Customer",Accounts!$C:$C,"Customer",Accounts!$H:$H,"&gt;"&amp;30,Accounts!$H:$H,"&lt;="&amp;60)</f>
        <v>0</v>
      </c>
      <c r="T34" s="0">
        <f>COUNTIFS(Accounts!$E:$E,'AccountSummary (New)'!T$1,Accounts!$G:$G,'AccountSummary (New)'!T$2,Accounts!$F:$F,'AccountSummary (New)'!T$3,Accounts!$B:$B,"Customer",Accounts!$C:$C,"Customer",Accounts!$H:$H,"&gt;"&amp;30,Accounts!$H:$H,"&lt;="&amp;60)</f>
        <v>0</v>
      </c>
      <c r="U34" s="0">
        <f>COUNTIFS(Accounts!$E:$E,'AccountSummary (New)'!U$1,Accounts!$G:$G,'AccountSummary (New)'!U$2,Accounts!$F:$F,'AccountSummary (New)'!U$3,Accounts!$B:$B,"Customer",Accounts!$C:$C,"Customer",Accounts!$H:$H,"&gt;"&amp;30,Accounts!$H:$H,"&lt;="&amp;60)</f>
        <v>0</v>
      </c>
      <c r="V34" s="0">
        <f>COUNTIFS(Accounts!$E:$E,'AccountSummary (New)'!V$1,Accounts!$G:$G,'AccountSummary (New)'!V$2,Accounts!$F:$F,'AccountSummary (New)'!V$3,Accounts!$B:$B,"Customer",Accounts!$C:$C,"Customer",Accounts!$H:$H,"&gt;"&amp;30,Accounts!$H:$H,"&lt;="&amp;60)</f>
        <v>0</v>
      </c>
      <c r="W34" s="19">
        <f>SUM(Q34:V34)</f>
        <v>0</v>
      </c>
    </row>
    <row r="35">
      <c r="A35" s="6" t="s">
        <v>31</v>
      </c>
      <c r="B35" s="17">
        <f>IF(B34=0,0,SUMIFS(Accounts!$L:$L,Accounts!$W:$W,0,Accounts!$C:$C,"Customer",Accounts!$H:$H,"&gt;"&amp;30,Accounts!$H:$H,"&lt;="&amp;60)/B34)</f>
        <v>0</v>
      </c>
      <c r="C35" s="8">
        <f>IF(C34=0,0,SUMIFS(Accounts!$L:$L,Accounts!$E:$E,'AccountSummary (New)'!C$1,Accounts!$G:$G,'AccountSummary (New)'!C$2,Accounts!$F:$F,'AccountSummary (New)'!C$3,Accounts!$W:$W,0,Accounts!$C:$C,"Customer",Accounts!$H:$H,"&gt;"&amp;30,Accounts!$H:$H,"&lt;="&amp;60)/C34)</f>
        <v>0</v>
      </c>
      <c r="D35" s="8">
        <f>IF(D34=0,0,SUMIFS(Accounts!$L:$L,Accounts!$E:$E,'AccountSummary (New)'!D$1,Accounts!$G:$G,'AccountSummary (New)'!D$2,Accounts!$F:$F,'AccountSummary (New)'!D$3,Accounts!$W:$W,0,Accounts!$C:$C,"Customer",Accounts!$H:$H,"&gt;"&amp;30,Accounts!$H:$H,"&lt;="&amp;60)/D34)</f>
        <v>0</v>
      </c>
      <c r="E35" s="8">
        <f>IF(E34=0,0,SUMIFS(Accounts!$L:$L,Accounts!$E:$E,'AccountSummary (New)'!E$1,Accounts!$G:$G,'AccountSummary (New)'!E$2,Accounts!$F:$F,'AccountSummary (New)'!E$3,Accounts!$W:$W,0,Accounts!$C:$C,"Customer",Accounts!$H:$H,"&gt;"&amp;30,Accounts!$H:$H,"&lt;="&amp;60)/E34)</f>
        <v>0</v>
      </c>
      <c r="F35" s="8">
        <f>IF(F34=0,0,SUMIFS(Accounts!$L:$L,Accounts!$E:$E,'AccountSummary (New)'!F$1,Accounts!$G:$G,'AccountSummary (New)'!F$2,Accounts!$F:$F,'AccountSummary (New)'!F$3,Accounts!$W:$W,0,Accounts!$C:$C,"Customer",Accounts!$H:$H,"&gt;"&amp;30,Accounts!$H:$H,"&lt;="&amp;60)/F34)</f>
        <v>0</v>
      </c>
      <c r="G35" s="8">
        <f>IF(G34=0,0,SUMIFS(Accounts!$L:$L,Accounts!$E:$E,'AccountSummary (New)'!G$1,Accounts!$G:$G,'AccountSummary (New)'!G$2,Accounts!$F:$F,'AccountSummary (New)'!G$3,Accounts!$W:$W,0,Accounts!$C:$C,"Customer",Accounts!$H:$H,"&gt;"&amp;30,Accounts!$H:$H,"&lt;="&amp;60)/G34)</f>
        <v>0</v>
      </c>
      <c r="H35" s="8">
        <f>IF(H34=0,0,SUMIFS(Accounts!$L:$L,Accounts!$E:$E,'AccountSummary (New)'!H$1,Accounts!$G:$G,'AccountSummary (New)'!H$2,Accounts!$F:$F,'AccountSummary (New)'!H$3,Accounts!$W:$W,0,Accounts!$C:$C,"Customer",Accounts!$H:$H,"&gt;"&amp;30,Accounts!$H:$H,"&lt;="&amp;60)/H34)</f>
        <v>0</v>
      </c>
      <c r="I35" s="9">
        <f>IF(I34=0,0,SUMIFS(Accounts!$L:$L,Accounts!$F:$F,'AccountSummary (New)'!I$3,Accounts!$W:$W,0,Accounts!$C:$C,"Customer",Accounts!$H:$H,"&gt;"&amp;30,Accounts!$H:$H,"&lt;="&amp;60)/I34)</f>
        <v>0</v>
      </c>
      <c r="J35" s="8">
        <f>IF(J34=0,0,SUMIFS(Accounts!$L:$L,Accounts!$E:$E,'AccountSummary (New)'!J$1,Accounts!$G:$G,'AccountSummary (New)'!J$2,Accounts!$F:$F,'AccountSummary (New)'!J$3,Accounts!$W:$W,0,Accounts!$C:$C,"Customer",Accounts!$H:$H,"&gt;"&amp;30,Accounts!$H:$H,"&lt;="&amp;60)/J34)</f>
        <v>0</v>
      </c>
      <c r="K35" s="8">
        <f>IF(K34=0,0,SUMIFS(Accounts!$L:$L,Accounts!$E:$E,'AccountSummary (New)'!K$1,Accounts!$G:$G,'AccountSummary (New)'!K$2,Accounts!$F:$F,'AccountSummary (New)'!K$3,Accounts!$W:$W,0,Accounts!$C:$C,"Customer",Accounts!$H:$H,"&gt;"&amp;30,Accounts!$H:$H,"&lt;="&amp;60)/K34)</f>
        <v>0</v>
      </c>
      <c r="L35" s="8">
        <f>IF(L34=0,0,SUMIFS(Accounts!$L:$L,Accounts!$E:$E,'AccountSummary (New)'!L$1,Accounts!$G:$G,'AccountSummary (New)'!L$2,Accounts!$F:$F,'AccountSummary (New)'!L$3,Accounts!$W:$W,0,Accounts!$C:$C,"Customer",Accounts!$H:$H,"&gt;"&amp;30,Accounts!$H:$H,"&lt;="&amp;60)/L34)</f>
        <v>0</v>
      </c>
      <c r="M35" s="8">
        <f>IF(M34=0,0,SUMIFS(Accounts!$L:$L,Accounts!$E:$E,'AccountSummary (New)'!M$1,Accounts!$G:$G,'AccountSummary (New)'!M$2,Accounts!$F:$F,'AccountSummary (New)'!M$3,Accounts!$W:$W,0,Accounts!$C:$C,"Customer",Accounts!$H:$H,"&gt;"&amp;30,Accounts!$H:$H,"&lt;="&amp;60)/M34)</f>
        <v>0</v>
      </c>
      <c r="N35" s="8">
        <f>IF(N34=0,0,SUMIFS(Accounts!$L:$L,Accounts!$E:$E,'AccountSummary (New)'!N$1,Accounts!$G:$G,'AccountSummary (New)'!N$2,Accounts!$F:$F,'AccountSummary (New)'!N$3,Accounts!$W:$W,0,Accounts!$C:$C,"Customer",Accounts!$H:$H,"&gt;"&amp;30,Accounts!$H:$H,"&lt;="&amp;60)/N34)</f>
        <v>0</v>
      </c>
      <c r="O35" s="8">
        <f>IF(O34=0,0,SUMIFS(Accounts!$L:$L,Accounts!$E:$E,'AccountSummary (New)'!O$1,Accounts!$G:$G,'AccountSummary (New)'!O$2,Accounts!$F:$F,'AccountSummary (New)'!O$3,Accounts!$W:$W,0,Accounts!$C:$C,"Customer",Accounts!$H:$H,"&gt;"&amp;30,Accounts!$H:$H,"&lt;="&amp;60)/O34)</f>
        <v>0</v>
      </c>
      <c r="P35" s="9">
        <f>IF(P34=0,0,SUMIFS(Accounts!$L:$L,Accounts!$F:$F,'AccountSummary (New)'!P$3,Accounts!$W:$W,0,Accounts!$C:$C,"Customer",Accounts!$H:$H,"&gt;"&amp;30,Accounts!$H:$H,"&lt;="&amp;60)/P34)</f>
        <v>0</v>
      </c>
      <c r="Q35" s="8">
        <f>IF(Q34=0,0,SUMIFS(Accounts!$L:$L,Accounts!$E:$E,'AccountSummary (New)'!Q$1,Accounts!$G:$G,'AccountSummary (New)'!Q$2,Accounts!$F:$F,'AccountSummary (New)'!Q$3,Accounts!$W:$W,0,Accounts!$C:$C,"Customer",Accounts!$H:$H,"&gt;"&amp;30,Accounts!$H:$H,"&lt;="&amp;60)/Q34)</f>
        <v>0</v>
      </c>
      <c r="R35" s="8">
        <f>IF(R34=0,0,SUMIFS(Accounts!$L:$L,Accounts!$E:$E,'AccountSummary (New)'!R$1,Accounts!$G:$G,'AccountSummary (New)'!R$2,Accounts!$F:$F,'AccountSummary (New)'!R$3,Accounts!$W:$W,0,Accounts!$C:$C,"Customer",Accounts!$H:$H,"&gt;"&amp;30,Accounts!$H:$H,"&lt;="&amp;60)/R34)</f>
        <v>0</v>
      </c>
      <c r="S35" s="8">
        <f>IF(S34=0,0,SUMIFS(Accounts!$L:$L,Accounts!$E:$E,'AccountSummary (New)'!S$1,Accounts!$G:$G,'AccountSummary (New)'!S$2,Accounts!$F:$F,'AccountSummary (New)'!S$3,Accounts!$W:$W,0,Accounts!$C:$C,"Customer",Accounts!$H:$H,"&gt;"&amp;30,Accounts!$H:$H,"&lt;="&amp;60)/S34)</f>
        <v>0</v>
      </c>
      <c r="T35" s="8">
        <f>IF(T34=0,0,SUMIFS(Accounts!$L:$L,Accounts!$E:$E,'AccountSummary (New)'!T$1,Accounts!$G:$G,'AccountSummary (New)'!T$2,Accounts!$F:$F,'AccountSummary (New)'!T$3,Accounts!$W:$W,0,Accounts!$C:$C,"Customer",Accounts!$H:$H,"&gt;"&amp;30,Accounts!$H:$H,"&lt;="&amp;60)/T34)</f>
        <v>0</v>
      </c>
      <c r="U35" s="8">
        <f>IF(U34=0,0,SUMIFS(Accounts!$L:$L,Accounts!$E:$E,'AccountSummary (New)'!U$1,Accounts!$G:$G,'AccountSummary (New)'!U$2,Accounts!$F:$F,'AccountSummary (New)'!U$3,Accounts!$W:$W,0,Accounts!$C:$C,"Customer",Accounts!$H:$H,"&gt;"&amp;30,Accounts!$H:$H,"&lt;="&amp;60)/U34)</f>
        <v>0</v>
      </c>
      <c r="V35" s="8">
        <f>IF(V34=0,0,SUMIFS(Accounts!$L:$L,Accounts!$E:$E,'AccountSummary (New)'!V$1,Accounts!$G:$G,'AccountSummary (New)'!V$2,Accounts!$F:$F,'AccountSummary (New)'!V$3,Accounts!$W:$W,0,Accounts!$C:$C,"Customer",Accounts!$H:$H,"&gt;"&amp;30,Accounts!$H:$H,"&lt;="&amp;60)/V34)</f>
        <v>0</v>
      </c>
      <c r="W35" s="9">
        <f>IF(W34=0,0,SUMIFS(Accounts!$L:$L,Accounts!$F:$F,'AccountSummary (New)'!W$3,Accounts!$W:$W,0,Accounts!$C:$C,"Customer",Accounts!$H:$H,"&gt;"&amp;30,Accounts!$H:$H,"&lt;="&amp;60)/W34)</f>
        <v>0</v>
      </c>
    </row>
    <row r="36">
      <c r="A36" s="6" t="s">
        <v>32</v>
      </c>
      <c r="B36" s="17">
        <f>IF(B34=0,0,SUMIFS(Accounts!$M:$M,Accounts!$W:$W,0,Accounts!$C:$C,"Customer",Accounts!$H:$H,"&gt;"&amp;30,Accounts!$H:$H,"&lt;="&amp;60)/B34)</f>
        <v>0</v>
      </c>
      <c r="C36" s="8">
        <f>IF(C34=0,0,SUMIFS(Accounts!$M:$M,Accounts!$E:$E,'AccountSummary (New)'!C$1,Accounts!$G:$G,'AccountSummary (New)'!C$2,Accounts!$F:$F,'AccountSummary (New)'!C$3,Accounts!$W:$W,0,Accounts!$C:$C,"Customer",Accounts!$H:$H,"&gt;"&amp;30,Accounts!$H:$H,"&lt;="&amp;60)/C34)</f>
        <v>0</v>
      </c>
      <c r="D36" s="8">
        <f>IF(D34=0,0,SUMIFS(Accounts!$M:$M,Accounts!$E:$E,'AccountSummary (New)'!D$1,Accounts!$G:$G,'AccountSummary (New)'!D$2,Accounts!$F:$F,'AccountSummary (New)'!D$3,Accounts!$W:$W,0,Accounts!$C:$C,"Customer",Accounts!$H:$H,"&gt;"&amp;30,Accounts!$H:$H,"&lt;="&amp;60)/D34)</f>
        <v>0</v>
      </c>
      <c r="E36" s="8">
        <f>IF(E34=0,0,SUMIFS(Accounts!$M:$M,Accounts!$E:$E,'AccountSummary (New)'!E$1,Accounts!$G:$G,'AccountSummary (New)'!E$2,Accounts!$F:$F,'AccountSummary (New)'!E$3,Accounts!$W:$W,0,Accounts!$C:$C,"Customer",Accounts!$H:$H,"&gt;"&amp;30,Accounts!$H:$H,"&lt;="&amp;60)/E34)</f>
        <v>0</v>
      </c>
      <c r="F36" s="8">
        <f>IF(F34=0,0,SUMIFS(Accounts!$M:$M,Accounts!$E:$E,'AccountSummary (New)'!F$1,Accounts!$G:$G,'AccountSummary (New)'!F$2,Accounts!$F:$F,'AccountSummary (New)'!F$3,Accounts!$W:$W,0,Accounts!$C:$C,"Customer",Accounts!$H:$H,"&gt;"&amp;30,Accounts!$H:$H,"&lt;="&amp;60)/F34)</f>
        <v>0</v>
      </c>
      <c r="G36" s="8">
        <f>IF(G34=0,0,SUMIFS(Accounts!$M:$M,Accounts!$E:$E,'AccountSummary (New)'!G$1,Accounts!$G:$G,'AccountSummary (New)'!G$2,Accounts!$F:$F,'AccountSummary (New)'!G$3,Accounts!$W:$W,0,Accounts!$C:$C,"Customer",Accounts!$H:$H,"&gt;"&amp;30,Accounts!$H:$H,"&lt;="&amp;60)/G34)</f>
        <v>0</v>
      </c>
      <c r="H36" s="8">
        <f>IF(H34=0,0,SUMIFS(Accounts!$M:$M,Accounts!$E:$E,'AccountSummary (New)'!H$1,Accounts!$G:$G,'AccountSummary (New)'!H$2,Accounts!$F:$F,'AccountSummary (New)'!H$3,Accounts!$W:$W,0,Accounts!$C:$C,"Customer",Accounts!$H:$H,"&gt;"&amp;30,Accounts!$H:$H,"&lt;="&amp;60)/H34)</f>
        <v>0</v>
      </c>
      <c r="I36" s="9">
        <f>IF(I34=0,0,SUMIFS(Accounts!$M:$M,Accounts!$F:$F,'AccountSummary (New)'!I$3,Accounts!$W:$W,0,Accounts!$C:$C,"Customer",Accounts!$H:$H,"&gt;"&amp;30,Accounts!$H:$H,"&lt;="&amp;60)/I34)</f>
        <v>0</v>
      </c>
      <c r="J36" s="8">
        <f>IF(J34=0,0,SUMIFS(Accounts!$M:$M,Accounts!$E:$E,'AccountSummary (New)'!J$1,Accounts!$G:$G,'AccountSummary (New)'!J$2,Accounts!$F:$F,'AccountSummary (New)'!J$3,Accounts!$W:$W,0,Accounts!$C:$C,"Customer",Accounts!$H:$H,"&gt;"&amp;30,Accounts!$H:$H,"&lt;="&amp;60)/J34)</f>
        <v>0</v>
      </c>
      <c r="K36" s="8">
        <f>IF(K34=0,0,SUMIFS(Accounts!$M:$M,Accounts!$E:$E,'AccountSummary (New)'!K$1,Accounts!$G:$G,'AccountSummary (New)'!K$2,Accounts!$F:$F,'AccountSummary (New)'!K$3,Accounts!$W:$W,0,Accounts!$C:$C,"Customer",Accounts!$H:$H,"&gt;"&amp;30,Accounts!$H:$H,"&lt;="&amp;60)/K34)</f>
        <v>0</v>
      </c>
      <c r="L36" s="8">
        <f>IF(L34=0,0,SUMIFS(Accounts!$M:$M,Accounts!$E:$E,'AccountSummary (New)'!L$1,Accounts!$G:$G,'AccountSummary (New)'!L$2,Accounts!$F:$F,'AccountSummary (New)'!L$3,Accounts!$W:$W,0,Accounts!$C:$C,"Customer",Accounts!$H:$H,"&gt;"&amp;30,Accounts!$H:$H,"&lt;="&amp;60)/L34)</f>
        <v>0</v>
      </c>
      <c r="M36" s="8">
        <f>IF(M34=0,0,SUMIFS(Accounts!$M:$M,Accounts!$E:$E,'AccountSummary (New)'!M$1,Accounts!$G:$G,'AccountSummary (New)'!M$2,Accounts!$F:$F,'AccountSummary (New)'!M$3,Accounts!$W:$W,0,Accounts!$C:$C,"Customer",Accounts!$H:$H,"&gt;"&amp;30,Accounts!$H:$H,"&lt;="&amp;60)/M34)</f>
        <v>0</v>
      </c>
      <c r="N36" s="8">
        <f>IF(N34=0,0,SUMIFS(Accounts!$M:$M,Accounts!$E:$E,'AccountSummary (New)'!N$1,Accounts!$G:$G,'AccountSummary (New)'!N$2,Accounts!$F:$F,'AccountSummary (New)'!N$3,Accounts!$W:$W,0,Accounts!$C:$C,"Customer",Accounts!$H:$H,"&gt;"&amp;30,Accounts!$H:$H,"&lt;="&amp;60)/N34)</f>
        <v>0</v>
      </c>
      <c r="O36" s="8">
        <f>IF(O34=0,0,SUMIFS(Accounts!$M:$M,Accounts!$E:$E,'AccountSummary (New)'!O$1,Accounts!$G:$G,'AccountSummary (New)'!O$2,Accounts!$F:$F,'AccountSummary (New)'!O$3,Accounts!$W:$W,0,Accounts!$C:$C,"Customer",Accounts!$H:$H,"&gt;"&amp;30,Accounts!$H:$H,"&lt;="&amp;60)/O34)</f>
        <v>0</v>
      </c>
      <c r="P36" s="9">
        <f>IF(P34=0,0,SUMIFS(Accounts!$M:$M,Accounts!$F:$F,'AccountSummary (New)'!P$3,Accounts!$W:$W,0,Accounts!$C:$C,"Customer",Accounts!$H:$H,"&gt;"&amp;30,Accounts!$H:$H,"&lt;="&amp;60)/P34)</f>
        <v>0</v>
      </c>
      <c r="Q36" s="8">
        <f>IF(Q34=0,0,SUMIFS(Accounts!$M:$M,Accounts!$E:$E,'AccountSummary (New)'!Q$1,Accounts!$G:$G,'AccountSummary (New)'!Q$2,Accounts!$F:$F,'AccountSummary (New)'!Q$3,Accounts!$W:$W,0,Accounts!$C:$C,"Customer",Accounts!$H:$H,"&gt;"&amp;30,Accounts!$H:$H,"&lt;="&amp;60)/Q34)</f>
        <v>0</v>
      </c>
      <c r="R36" s="8">
        <f>IF(R34=0,0,SUMIFS(Accounts!$M:$M,Accounts!$E:$E,'AccountSummary (New)'!R$1,Accounts!$G:$G,'AccountSummary (New)'!R$2,Accounts!$F:$F,'AccountSummary (New)'!R$3,Accounts!$W:$W,0,Accounts!$C:$C,"Customer",Accounts!$H:$H,"&gt;"&amp;30,Accounts!$H:$H,"&lt;="&amp;60)/R34)</f>
        <v>0</v>
      </c>
      <c r="S36" s="8">
        <f>IF(S34=0,0,SUMIFS(Accounts!$M:$M,Accounts!$E:$E,'AccountSummary (New)'!S$1,Accounts!$G:$G,'AccountSummary (New)'!S$2,Accounts!$F:$F,'AccountSummary (New)'!S$3,Accounts!$W:$W,0,Accounts!$C:$C,"Customer",Accounts!$H:$H,"&gt;"&amp;30,Accounts!$H:$H,"&lt;="&amp;60)/S34)</f>
        <v>0</v>
      </c>
      <c r="T36" s="8">
        <f>IF(T34=0,0,SUMIFS(Accounts!$M:$M,Accounts!$E:$E,'AccountSummary (New)'!T$1,Accounts!$G:$G,'AccountSummary (New)'!T$2,Accounts!$F:$F,'AccountSummary (New)'!T$3,Accounts!$W:$W,0,Accounts!$C:$C,"Customer",Accounts!$H:$H,"&gt;"&amp;30,Accounts!$H:$H,"&lt;="&amp;60)/T34)</f>
        <v>0</v>
      </c>
      <c r="U36" s="8">
        <f>IF(U34=0,0,SUMIFS(Accounts!$M:$M,Accounts!$E:$E,'AccountSummary (New)'!U$1,Accounts!$G:$G,'AccountSummary (New)'!U$2,Accounts!$F:$F,'AccountSummary (New)'!U$3,Accounts!$W:$W,0,Accounts!$C:$C,"Customer",Accounts!$H:$H,"&gt;"&amp;30,Accounts!$H:$H,"&lt;="&amp;60)/U34)</f>
        <v>0</v>
      </c>
      <c r="V36" s="8">
        <f>IF(V34=0,0,SUMIFS(Accounts!$M:$M,Accounts!$E:$E,'AccountSummary (New)'!V$1,Accounts!$G:$G,'AccountSummary (New)'!V$2,Accounts!$F:$F,'AccountSummary (New)'!V$3,Accounts!$W:$W,0,Accounts!$C:$C,"Customer",Accounts!$H:$H,"&gt;"&amp;30,Accounts!$H:$H,"&lt;="&amp;60)/V34)</f>
        <v>0</v>
      </c>
      <c r="W36" s="9">
        <f>IF(W34=0,0,SUMIFS(Accounts!$M:$M,Accounts!$F:$F,'AccountSummary (New)'!W$3,Accounts!$W:$W,0,Accounts!$C:$C,"Customer",Accounts!$H:$H,"&gt;"&amp;30,Accounts!$H:$H,"&lt;="&amp;60)/W34)</f>
        <v>0</v>
      </c>
    </row>
    <row r="37">
      <c r="A37" s="5" t="s">
        <v>33</v>
      </c>
      <c r="B37" s="14">
        <f ref="B37:W37" t="shared" si="10">IF(B34=0,0,B38/B34)</f>
        <v>0</v>
      </c>
      <c r="C37" s="22">
        <f t="shared" si="10"/>
        <v>0</v>
      </c>
      <c r="D37" s="22">
        <f t="shared" si="10"/>
        <v>0</v>
      </c>
      <c r="E37" s="22">
        <f t="shared" si="10"/>
        <v>0</v>
      </c>
      <c r="F37" s="22">
        <f t="shared" si="10"/>
        <v>0</v>
      </c>
      <c r="G37" s="22">
        <f t="shared" si="10"/>
        <v>0</v>
      </c>
      <c r="H37" s="22">
        <f t="shared" si="10"/>
        <v>0</v>
      </c>
      <c r="I37" s="10">
        <f t="shared" si="10"/>
        <v>0</v>
      </c>
      <c r="J37" s="22">
        <f t="shared" si="10"/>
        <v>0</v>
      </c>
      <c r="K37" s="22">
        <f t="shared" si="10"/>
        <v>0</v>
      </c>
      <c r="L37" s="22">
        <f t="shared" si="10"/>
        <v>0</v>
      </c>
      <c r="M37" s="22">
        <f t="shared" si="10"/>
        <v>0</v>
      </c>
      <c r="N37" s="22">
        <f t="shared" si="10"/>
        <v>0</v>
      </c>
      <c r="O37" s="22">
        <f t="shared" si="10"/>
        <v>0</v>
      </c>
      <c r="P37" s="10">
        <f t="shared" si="10"/>
        <v>0</v>
      </c>
      <c r="Q37" s="22">
        <f t="shared" si="10"/>
        <v>0</v>
      </c>
      <c r="R37" s="22">
        <f t="shared" si="10"/>
        <v>0</v>
      </c>
      <c r="S37" s="22">
        <f t="shared" si="10"/>
        <v>0</v>
      </c>
      <c r="T37" s="22">
        <f t="shared" si="10"/>
        <v>0</v>
      </c>
      <c r="U37" s="22">
        <f t="shared" si="10"/>
        <v>0</v>
      </c>
      <c r="V37" s="22">
        <f t="shared" si="10"/>
        <v>0</v>
      </c>
      <c r="W37" s="10">
        <f t="shared" si="10"/>
        <v>0</v>
      </c>
    </row>
    <row r="38">
      <c r="A38" s="5" t="s">
        <v>34</v>
      </c>
      <c r="B38" s="14">
        <f>I38+P38+W38</f>
        <v>0</v>
      </c>
      <c r="C38" s="22">
        <f>SUMIFS(Accounts!$I:$I,Accounts!$E:$E,'AccountSummary (New)'!C$1,Accounts!$G:$G,'AccountSummary (New)'!C$2,Accounts!$F:$F,'AccountSummary (New)'!C$3,Accounts!$W:$W,0,Accounts!$C:$C,"Customer",Accounts!$H:$H,"&gt;"&amp;30,Accounts!$H:$H,"&lt;="&amp;60)</f>
        <v>0</v>
      </c>
      <c r="D38" s="22">
        <f>SUMIFS(Accounts!$I:$I,Accounts!$E:$E,'AccountSummary (New)'!D$1,Accounts!$G:$G,'AccountSummary (New)'!D$2,Accounts!$F:$F,'AccountSummary (New)'!D$3,Accounts!$W:$W,0,Accounts!$C:$C,"Customer",Accounts!$H:$H,"&gt;"&amp;30,Accounts!$H:$H,"&lt;="&amp;60)</f>
        <v>0</v>
      </c>
      <c r="E38" s="22">
        <f>SUMIFS(Accounts!$I:$I,Accounts!$E:$E,'AccountSummary (New)'!E$1,Accounts!$G:$G,'AccountSummary (New)'!E$2,Accounts!$F:$F,'AccountSummary (New)'!E$3,Accounts!$W:$W,0,Accounts!$C:$C,"Customer",Accounts!$H:$H,"&gt;"&amp;30,Accounts!$H:$H,"&lt;="&amp;60)</f>
        <v>0</v>
      </c>
      <c r="F38" s="22">
        <f>SUMIFS(Accounts!$I:$I,Accounts!$E:$E,'AccountSummary (New)'!F$1,Accounts!$G:$G,'AccountSummary (New)'!F$2,Accounts!$F:$F,'AccountSummary (New)'!F$3,Accounts!$W:$W,0,Accounts!$C:$C,"Customer",Accounts!$H:$H,"&gt;"&amp;30,Accounts!$H:$H,"&lt;="&amp;60)</f>
        <v>0</v>
      </c>
      <c r="G38" s="22">
        <f>SUMIFS(Accounts!$I:$I,Accounts!$E:$E,'AccountSummary (New)'!G$1,Accounts!$G:$G,'AccountSummary (New)'!G$2,Accounts!$F:$F,'AccountSummary (New)'!G$3,Accounts!$W:$W,0,Accounts!$C:$C,"Customer",Accounts!$H:$H,"&gt;"&amp;30,Accounts!$H:$H,"&lt;="&amp;60)</f>
        <v>0</v>
      </c>
      <c r="H38" s="22">
        <f>SUMIFS(Accounts!$I:$I,Accounts!$E:$E,'AccountSummary (New)'!H$1,Accounts!$G:$G,'AccountSummary (New)'!H$2,Accounts!$F:$F,'AccountSummary (New)'!H$3,Accounts!$W:$W,0,Accounts!$C:$C,"Customer",Accounts!$H:$H,"&gt;"&amp;30,Accounts!$H:$H,"&lt;="&amp;60)</f>
        <v>0</v>
      </c>
      <c r="I38" s="10">
        <f>SUM(C38:H38)</f>
        <v>0</v>
      </c>
      <c r="J38" s="22">
        <f>SUMIFS(Accounts!$I:$I,Accounts!$E:$E,'AccountSummary (New)'!J$1,Accounts!$G:$G,'AccountSummary (New)'!J$2,Accounts!$F:$F,'AccountSummary (New)'!J$3,Accounts!$W:$W,0,Accounts!$C:$C,"Customer",Accounts!$H:$H,"&gt;"&amp;30,Accounts!$H:$H,"&lt;="&amp;60)</f>
        <v>0</v>
      </c>
      <c r="K38" s="22">
        <f>SUMIFS(Accounts!$I:$I,Accounts!$E:$E,'AccountSummary (New)'!K$1,Accounts!$G:$G,'AccountSummary (New)'!K$2,Accounts!$F:$F,'AccountSummary (New)'!K$3,Accounts!$W:$W,0,Accounts!$C:$C,"Customer",Accounts!$H:$H,"&gt;"&amp;30,Accounts!$H:$H,"&lt;="&amp;60)</f>
        <v>0</v>
      </c>
      <c r="L38" s="22">
        <f>SUMIFS(Accounts!$I:$I,Accounts!$E:$E,'AccountSummary (New)'!L$1,Accounts!$G:$G,'AccountSummary (New)'!L$2,Accounts!$F:$F,'AccountSummary (New)'!L$3,Accounts!$W:$W,0,Accounts!$C:$C,"Customer",Accounts!$H:$H,"&gt;"&amp;30,Accounts!$H:$H,"&lt;="&amp;60)</f>
        <v>0</v>
      </c>
      <c r="M38" s="22">
        <f>SUMIFS(Accounts!$I:$I,Accounts!$E:$E,'AccountSummary (New)'!M$1,Accounts!$G:$G,'AccountSummary (New)'!M$2,Accounts!$F:$F,'AccountSummary (New)'!M$3,Accounts!$W:$W,0,Accounts!$C:$C,"Customer",Accounts!$H:$H,"&gt;"&amp;30,Accounts!$H:$H,"&lt;="&amp;60)</f>
        <v>0</v>
      </c>
      <c r="N38" s="22">
        <f>SUMIFS(Accounts!$I:$I,Accounts!$E:$E,'AccountSummary (New)'!N$1,Accounts!$G:$G,'AccountSummary (New)'!N$2,Accounts!$F:$F,'AccountSummary (New)'!N$3,Accounts!$W:$W,0,Accounts!$C:$C,"Customer",Accounts!$H:$H,"&gt;"&amp;30,Accounts!$H:$H,"&lt;="&amp;60)</f>
        <v>0</v>
      </c>
      <c r="O38" s="22">
        <f>SUMIFS(Accounts!$I:$I,Accounts!$E:$E,'AccountSummary (New)'!O$1,Accounts!$G:$G,'AccountSummary (New)'!O$2,Accounts!$F:$F,'AccountSummary (New)'!O$3,Accounts!$W:$W,0,Accounts!$C:$C,"Customer",Accounts!$H:$H,"&gt;"&amp;30,Accounts!$H:$H,"&lt;="&amp;60)</f>
        <v>0</v>
      </c>
      <c r="P38" s="10">
        <f>SUM(J38:O38)</f>
        <v>0</v>
      </c>
      <c r="Q38" s="22">
        <f>SUMIFS(Accounts!$I:$I,Accounts!$E:$E,'AccountSummary (New)'!Q$1,Accounts!$G:$G,'AccountSummary (New)'!Q$2,Accounts!$F:$F,'AccountSummary (New)'!Q$3,Accounts!$W:$W,0,Accounts!$C:$C,"Customer",Accounts!$H:$H,"&gt;"&amp;30,Accounts!$H:$H,"&lt;="&amp;60)</f>
        <v>0</v>
      </c>
      <c r="R38" s="22">
        <f>SUMIFS(Accounts!$I:$I,Accounts!$E:$E,'AccountSummary (New)'!R$1,Accounts!$G:$G,'AccountSummary (New)'!R$2,Accounts!$F:$F,'AccountSummary (New)'!R$3,Accounts!$W:$W,0,Accounts!$C:$C,"Customer",Accounts!$H:$H,"&gt;"&amp;30,Accounts!$H:$H,"&lt;="&amp;60)</f>
        <v>0</v>
      </c>
      <c r="S38" s="22">
        <f>SUMIFS(Accounts!$I:$I,Accounts!$E:$E,'AccountSummary (New)'!S$1,Accounts!$G:$G,'AccountSummary (New)'!S$2,Accounts!$F:$F,'AccountSummary (New)'!S$3,Accounts!$W:$W,0,Accounts!$C:$C,"Customer",Accounts!$H:$H,"&gt;"&amp;30,Accounts!$H:$H,"&lt;="&amp;60)</f>
        <v>0</v>
      </c>
      <c r="T38" s="22">
        <f>SUMIFS(Accounts!$I:$I,Accounts!$E:$E,'AccountSummary (New)'!T$1,Accounts!$G:$G,'AccountSummary (New)'!T$2,Accounts!$F:$F,'AccountSummary (New)'!T$3,Accounts!$W:$W,0,Accounts!$C:$C,"Customer",Accounts!$H:$H,"&gt;"&amp;30,Accounts!$H:$H,"&lt;="&amp;60)</f>
        <v>0</v>
      </c>
      <c r="U38" s="22">
        <f>SUMIFS(Accounts!$I:$I,Accounts!$E:$E,'AccountSummary (New)'!U$1,Accounts!$G:$G,'AccountSummary (New)'!U$2,Accounts!$F:$F,'AccountSummary (New)'!U$3,Accounts!$W:$W,0,Accounts!$C:$C,"Customer",Accounts!$H:$H,"&gt;"&amp;30,Accounts!$H:$H,"&lt;="&amp;60)</f>
        <v>0</v>
      </c>
      <c r="V38" s="22">
        <f>SUMIFS(Accounts!$I:$I,Accounts!$E:$E,'AccountSummary (New)'!V$1,Accounts!$G:$G,'AccountSummary (New)'!V$2,Accounts!$F:$F,'AccountSummary (New)'!V$3,Accounts!$W:$W,0,Accounts!$C:$C,"Customer",Accounts!$H:$H,"&gt;"&amp;30,Accounts!$H:$H,"&lt;="&amp;60)</f>
        <v>0</v>
      </c>
      <c r="W38" s="10">
        <f>SUM(Q38:V38)</f>
        <v>0</v>
      </c>
    </row>
    <row r="39">
      <c r="A39" s="5" t="s">
        <v>36</v>
      </c>
      <c r="B39" s="14"/>
      <c r="C39" s="22"/>
      <c r="D39" s="22"/>
      <c r="E39" s="22"/>
      <c r="F39" s="22"/>
      <c r="G39" s="22"/>
      <c r="H39" s="22"/>
      <c r="I39" s="10"/>
      <c r="J39" s="22"/>
      <c r="K39" s="22"/>
      <c r="L39" s="22"/>
      <c r="M39" s="22"/>
      <c r="N39" s="22"/>
      <c r="O39" s="22"/>
      <c r="P39" s="10"/>
      <c r="Q39" s="22"/>
      <c r="R39" s="22"/>
      <c r="S39" s="22"/>
      <c r="T39" s="22"/>
      <c r="U39" s="22"/>
      <c r="V39" s="22"/>
      <c r="W39" s="10"/>
    </row>
    <row r="40">
      <c r="A40" s="5" t="s">
        <v>27</v>
      </c>
      <c r="B40" s="15">
        <f ref="B40:W40" t="shared" si="11">IF(B$19=0,0,(B42+B43)/B$19)</f>
        <v>0</v>
      </c>
      <c r="C40" s="12">
        <f t="shared" si="11"/>
        <v>0</v>
      </c>
      <c r="D40" s="12">
        <f t="shared" si="11"/>
        <v>0</v>
      </c>
      <c r="E40" s="12">
        <f t="shared" si="11"/>
        <v>0</v>
      </c>
      <c r="F40" s="12">
        <f t="shared" si="11"/>
        <v>0</v>
      </c>
      <c r="G40" s="12">
        <f t="shared" si="11"/>
        <v>0</v>
      </c>
      <c r="H40" s="12">
        <f t="shared" si="11"/>
        <v>0</v>
      </c>
      <c r="I40" s="24">
        <f t="shared" si="11"/>
        <v>0</v>
      </c>
      <c r="J40" s="12">
        <f t="shared" si="11"/>
        <v>0</v>
      </c>
      <c r="K40" s="12">
        <f t="shared" si="11"/>
        <v>0</v>
      </c>
      <c r="L40" s="12">
        <f t="shared" si="11"/>
        <v>0</v>
      </c>
      <c r="M40" s="12">
        <f t="shared" si="11"/>
        <v>0</v>
      </c>
      <c r="N40" s="12">
        <f t="shared" si="11"/>
        <v>0</v>
      </c>
      <c r="O40" s="12">
        <f t="shared" si="11"/>
        <v>0</v>
      </c>
      <c r="P40" s="24">
        <f t="shared" si="11"/>
        <v>0</v>
      </c>
      <c r="Q40" s="12">
        <f t="shared" si="11"/>
        <v>0</v>
      </c>
      <c r="R40" s="12">
        <f t="shared" si="11"/>
        <v>0</v>
      </c>
      <c r="S40" s="12">
        <f t="shared" si="11"/>
        <v>0</v>
      </c>
      <c r="T40" s="12">
        <f t="shared" si="11"/>
        <v>0</v>
      </c>
      <c r="U40" s="12">
        <f t="shared" si="11"/>
        <v>0</v>
      </c>
      <c r="V40" s="12">
        <f t="shared" si="11"/>
        <v>0</v>
      </c>
      <c r="W40" s="24">
        <f t="shared" si="11"/>
        <v>0</v>
      </c>
    </row>
    <row r="41">
      <c r="A41" s="5" t="s">
        <v>28</v>
      </c>
      <c r="B41" s="15">
        <f ref="B41:W41" t="shared" si="12">IF((B42+B43)=0,0,B42/(B42+B43))</f>
        <v>0</v>
      </c>
      <c r="C41" s="12">
        <f t="shared" si="12"/>
        <v>0</v>
      </c>
      <c r="D41" s="12">
        <f t="shared" si="12"/>
        <v>0</v>
      </c>
      <c r="E41" s="12">
        <f t="shared" si="12"/>
        <v>0</v>
      </c>
      <c r="F41" s="12">
        <f t="shared" si="12"/>
        <v>0</v>
      </c>
      <c r="G41" s="12">
        <f t="shared" si="12"/>
        <v>0</v>
      </c>
      <c r="H41" s="12">
        <f t="shared" si="12"/>
        <v>0</v>
      </c>
      <c r="I41" s="24">
        <f t="shared" si="12"/>
        <v>0</v>
      </c>
      <c r="J41" s="12">
        <f t="shared" si="12"/>
        <v>0</v>
      </c>
      <c r="K41" s="12">
        <f t="shared" si="12"/>
        <v>0</v>
      </c>
      <c r="L41" s="12">
        <f t="shared" si="12"/>
        <v>0</v>
      </c>
      <c r="M41" s="12">
        <f t="shared" si="12"/>
        <v>0</v>
      </c>
      <c r="N41" s="12">
        <f t="shared" si="12"/>
        <v>0</v>
      </c>
      <c r="O41" s="12">
        <f t="shared" si="12"/>
        <v>0</v>
      </c>
      <c r="P41" s="24">
        <f t="shared" si="12"/>
        <v>0</v>
      </c>
      <c r="Q41" s="12">
        <f t="shared" si="12"/>
        <v>0</v>
      </c>
      <c r="R41" s="12">
        <f t="shared" si="12"/>
        <v>0</v>
      </c>
      <c r="S41" s="12">
        <f t="shared" si="12"/>
        <v>0</v>
      </c>
      <c r="T41" s="12">
        <f t="shared" si="12"/>
        <v>0</v>
      </c>
      <c r="U41" s="12">
        <f t="shared" si="12"/>
        <v>0</v>
      </c>
      <c r="V41" s="12">
        <f t="shared" si="12"/>
        <v>0</v>
      </c>
      <c r="W41" s="24">
        <f t="shared" si="12"/>
        <v>0</v>
      </c>
    </row>
    <row r="42">
      <c r="A42" s="5" t="s">
        <v>29</v>
      </c>
      <c r="B42" s="13">
        <f>I42+P42+W42</f>
        <v>0</v>
      </c>
      <c r="C42" s="0">
        <f>COUNTIFS(Accounts!$E:$E,'AccountSummary (New)'!C$1,Accounts!$G:$G,'AccountSummary (New)'!C$2,Accounts!$F:$F,'AccountSummary (New)'!C$3,Accounts!$B:$B,"Customer",Accounts!$C:$C,"Lost",Accounts!$H:$H,"&gt;"&amp;60,Accounts!$H:$H,"&lt;="&amp;90)</f>
        <v>0</v>
      </c>
      <c r="D42" s="0">
        <f>COUNTIFS(Accounts!$E:$E,'AccountSummary (New)'!D$1,Accounts!$G:$G,'AccountSummary (New)'!D$2,Accounts!$F:$F,'AccountSummary (New)'!D$3,Accounts!$B:$B,"Customer",Accounts!$C:$C,"Lost",Accounts!$H:$H,"&gt;"&amp;60,Accounts!$H:$H,"&lt;="&amp;90)</f>
        <v>0</v>
      </c>
      <c r="E42" s="0">
        <f>COUNTIFS(Accounts!$E:$E,'AccountSummary (New)'!E$1,Accounts!$G:$G,'AccountSummary (New)'!E$2,Accounts!$F:$F,'AccountSummary (New)'!E$3,Accounts!$B:$B,"Customer",Accounts!$C:$C,"Lost",Accounts!$H:$H,"&gt;"&amp;60,Accounts!$H:$H,"&lt;="&amp;90)</f>
        <v>0</v>
      </c>
      <c r="F42" s="0">
        <f>COUNTIFS(Accounts!$E:$E,'AccountSummary (New)'!F$1,Accounts!$G:$G,'AccountSummary (New)'!F$2,Accounts!$F:$F,'AccountSummary (New)'!F$3,Accounts!$B:$B,"Customer",Accounts!$C:$C,"Lost",Accounts!$H:$H,"&gt;"&amp;60,Accounts!$H:$H,"&lt;="&amp;90)</f>
        <v>0</v>
      </c>
      <c r="G42" s="0">
        <f>COUNTIFS(Accounts!$E:$E,'AccountSummary (New)'!G$1,Accounts!$G:$G,'AccountSummary (New)'!G$2,Accounts!$F:$F,'AccountSummary (New)'!G$3,Accounts!$B:$B,"Customer",Accounts!$C:$C,"Lost",Accounts!$H:$H,"&gt;"&amp;60,Accounts!$H:$H,"&lt;="&amp;90)</f>
        <v>0</v>
      </c>
      <c r="H42" s="0">
        <f>COUNTIFS(Accounts!$E:$E,'AccountSummary (New)'!H$1,Accounts!$G:$G,'AccountSummary (New)'!H$2,Accounts!$F:$F,'AccountSummary (New)'!H$3,Accounts!$B:$B,"Customer",Accounts!$C:$C,"Lost",Accounts!$H:$H,"&gt;"&amp;60,Accounts!$H:$H,"&lt;="&amp;90)</f>
        <v>0</v>
      </c>
      <c r="I42" s="19">
        <f>SUM(C42:H42)</f>
        <v>0</v>
      </c>
      <c r="J42" s="0">
        <f>COUNTIFS(Accounts!$E:$E,'AccountSummary (New)'!J$1,Accounts!$G:$G,'AccountSummary (New)'!J$2,Accounts!$F:$F,'AccountSummary (New)'!J$3,Accounts!$B:$B,"Customer",Accounts!$C:$C,"Lost",Accounts!$H:$H,"&gt;"&amp;60,Accounts!$H:$H,"&lt;="&amp;90)</f>
        <v>0</v>
      </c>
      <c r="K42" s="0">
        <f>COUNTIFS(Accounts!$E:$E,'AccountSummary (New)'!K$1,Accounts!$G:$G,'AccountSummary (New)'!K$2,Accounts!$F:$F,'AccountSummary (New)'!K$3,Accounts!$B:$B,"Customer",Accounts!$C:$C,"Lost",Accounts!$H:$H,"&gt;"&amp;60,Accounts!$H:$H,"&lt;="&amp;90)</f>
        <v>0</v>
      </c>
      <c r="L42" s="0">
        <f>COUNTIFS(Accounts!$E:$E,'AccountSummary (New)'!L$1,Accounts!$G:$G,'AccountSummary (New)'!L$2,Accounts!$F:$F,'AccountSummary (New)'!L$3,Accounts!$B:$B,"Customer",Accounts!$C:$C,"Lost",Accounts!$H:$H,"&gt;"&amp;60,Accounts!$H:$H,"&lt;="&amp;90)</f>
        <v>0</v>
      </c>
      <c r="M42" s="0">
        <f>COUNTIFS(Accounts!$E:$E,'AccountSummary (New)'!M$1,Accounts!$G:$G,'AccountSummary (New)'!M$2,Accounts!$F:$F,'AccountSummary (New)'!M$3,Accounts!$B:$B,"Customer",Accounts!$C:$C,"Lost",Accounts!$H:$H,"&gt;"&amp;60,Accounts!$H:$H,"&lt;="&amp;90)</f>
        <v>0</v>
      </c>
      <c r="N42" s="0">
        <f>COUNTIFS(Accounts!$E:$E,'AccountSummary (New)'!N$1,Accounts!$G:$G,'AccountSummary (New)'!N$2,Accounts!$F:$F,'AccountSummary (New)'!N$3,Accounts!$B:$B,"Customer",Accounts!$C:$C,"Lost",Accounts!$H:$H,"&gt;"&amp;60,Accounts!$H:$H,"&lt;="&amp;90)</f>
        <v>0</v>
      </c>
      <c r="O42" s="0">
        <f>COUNTIFS(Accounts!$E:$E,'AccountSummary (New)'!O$1,Accounts!$G:$G,'AccountSummary (New)'!O$2,Accounts!$F:$F,'AccountSummary (New)'!O$3,Accounts!$B:$B,"Customer",Accounts!$C:$C,"Lost",Accounts!$H:$H,"&gt;"&amp;60,Accounts!$H:$H,"&lt;="&amp;90)</f>
        <v>0</v>
      </c>
      <c r="P42" s="19">
        <f>SUM(J42:O42)</f>
        <v>0</v>
      </c>
      <c r="Q42" s="0">
        <f>COUNTIFS(Accounts!$E:$E,'AccountSummary (New)'!Q$1,Accounts!$G:$G,'AccountSummary (New)'!Q$2,Accounts!$F:$F,'AccountSummary (New)'!Q$3,Accounts!$B:$B,"Customer",Accounts!$C:$C,"Lost",Accounts!$H:$H,"&gt;"&amp;60,Accounts!$H:$H,"&lt;="&amp;90)</f>
        <v>0</v>
      </c>
      <c r="R42" s="0">
        <f>COUNTIFS(Accounts!$E:$E,'AccountSummary (New)'!R$1,Accounts!$G:$G,'AccountSummary (New)'!R$2,Accounts!$F:$F,'AccountSummary (New)'!R$3,Accounts!$B:$B,"Customer",Accounts!$C:$C,"Lost",Accounts!$H:$H,"&gt;"&amp;60,Accounts!$H:$H,"&lt;="&amp;90)</f>
        <v>0</v>
      </c>
      <c r="S42" s="0">
        <f>COUNTIFS(Accounts!$E:$E,'AccountSummary (New)'!S$1,Accounts!$G:$G,'AccountSummary (New)'!S$2,Accounts!$F:$F,'AccountSummary (New)'!S$3,Accounts!$B:$B,"Customer",Accounts!$C:$C,"Lost",Accounts!$H:$H,"&gt;"&amp;60,Accounts!$H:$H,"&lt;="&amp;90)</f>
        <v>0</v>
      </c>
      <c r="T42" s="0">
        <f>COUNTIFS(Accounts!$E:$E,'AccountSummary (New)'!T$1,Accounts!$G:$G,'AccountSummary (New)'!T$2,Accounts!$F:$F,'AccountSummary (New)'!T$3,Accounts!$B:$B,"Customer",Accounts!$C:$C,"Lost",Accounts!$H:$H,"&gt;"&amp;60,Accounts!$H:$H,"&lt;="&amp;90)</f>
        <v>0</v>
      </c>
      <c r="U42" s="0">
        <f>COUNTIFS(Accounts!$E:$E,'AccountSummary (New)'!U$1,Accounts!$G:$G,'AccountSummary (New)'!U$2,Accounts!$F:$F,'AccountSummary (New)'!U$3,Accounts!$B:$B,"Customer",Accounts!$C:$C,"Lost",Accounts!$H:$H,"&gt;"&amp;60,Accounts!$H:$H,"&lt;="&amp;90)</f>
        <v>0</v>
      </c>
      <c r="V42" s="0">
        <f>COUNTIFS(Accounts!$E:$E,'AccountSummary (New)'!V$1,Accounts!$G:$G,'AccountSummary (New)'!V$2,Accounts!$F:$F,'AccountSummary (New)'!V$3,Accounts!$B:$B,"Customer",Accounts!$C:$C,"Lost",Accounts!$H:$H,"&gt;"&amp;60,Accounts!$H:$H,"&lt;="&amp;90)</f>
        <v>0</v>
      </c>
      <c r="W42" s="19">
        <f>SUM(Q42:V42)</f>
        <v>0</v>
      </c>
    </row>
    <row r="43">
      <c r="A43" s="5" t="s">
        <v>30</v>
      </c>
      <c r="B43" s="13">
        <f>I43+P43+W43</f>
        <v>0</v>
      </c>
      <c r="C43" s="0">
        <f>COUNTIFS(Accounts!$E:$E,'AccountSummary (New)'!C$1,Accounts!$G:$G,'AccountSummary (New)'!C$2,Accounts!$F:$F,'AccountSummary (New)'!C$3,Accounts!$B:$B,"Customer",Accounts!$C:$C,"Customer",Accounts!$H:$H,"&gt;"&amp;60,Accounts!$H:$H,"&lt;="&amp;90)</f>
        <v>0</v>
      </c>
      <c r="D43" s="0">
        <f>COUNTIFS(Accounts!$E:$E,'AccountSummary (New)'!D$1,Accounts!$G:$G,'AccountSummary (New)'!D$2,Accounts!$F:$F,'AccountSummary (New)'!D$3,Accounts!$B:$B,"Customer",Accounts!$C:$C,"Customer",Accounts!$H:$H,"&gt;"&amp;60,Accounts!$H:$H,"&lt;="&amp;90)</f>
        <v>0</v>
      </c>
      <c r="E43" s="0">
        <f>COUNTIFS(Accounts!$E:$E,'AccountSummary (New)'!E$1,Accounts!$G:$G,'AccountSummary (New)'!E$2,Accounts!$F:$F,'AccountSummary (New)'!E$3,Accounts!$B:$B,"Customer",Accounts!$C:$C,"Customer",Accounts!$H:$H,"&gt;"&amp;60,Accounts!$H:$H,"&lt;="&amp;90)</f>
        <v>0</v>
      </c>
      <c r="F43" s="0">
        <f>COUNTIFS(Accounts!$E:$E,'AccountSummary (New)'!F$1,Accounts!$G:$G,'AccountSummary (New)'!F$2,Accounts!$F:$F,'AccountSummary (New)'!F$3,Accounts!$B:$B,"Customer",Accounts!$C:$C,"Customer",Accounts!$H:$H,"&gt;"&amp;60,Accounts!$H:$H,"&lt;="&amp;90)</f>
        <v>0</v>
      </c>
      <c r="G43" s="0">
        <f>COUNTIFS(Accounts!$E:$E,'AccountSummary (New)'!G$1,Accounts!$G:$G,'AccountSummary (New)'!G$2,Accounts!$F:$F,'AccountSummary (New)'!G$3,Accounts!$B:$B,"Customer",Accounts!$C:$C,"Customer",Accounts!$H:$H,"&gt;"&amp;60,Accounts!$H:$H,"&lt;="&amp;90)</f>
        <v>0</v>
      </c>
      <c r="H43" s="0">
        <f>COUNTIFS(Accounts!$E:$E,'AccountSummary (New)'!H$1,Accounts!$G:$G,'AccountSummary (New)'!H$2,Accounts!$F:$F,'AccountSummary (New)'!H$3,Accounts!$B:$B,"Customer",Accounts!$C:$C,"Customer",Accounts!$H:$H,"&gt;"&amp;60,Accounts!$H:$H,"&lt;="&amp;90)</f>
        <v>0</v>
      </c>
      <c r="I43" s="19">
        <f>SUM(C43:H43)</f>
        <v>0</v>
      </c>
      <c r="J43" s="0">
        <f>COUNTIFS(Accounts!$E:$E,'AccountSummary (New)'!J$1,Accounts!$G:$G,'AccountSummary (New)'!J$2,Accounts!$F:$F,'AccountSummary (New)'!J$3,Accounts!$B:$B,"Customer",Accounts!$C:$C,"Customer",Accounts!$H:$H,"&gt;"&amp;60,Accounts!$H:$H,"&lt;="&amp;90)</f>
        <v>0</v>
      </c>
      <c r="K43" s="0">
        <f>COUNTIFS(Accounts!$E:$E,'AccountSummary (New)'!K$1,Accounts!$G:$G,'AccountSummary (New)'!K$2,Accounts!$F:$F,'AccountSummary (New)'!K$3,Accounts!$B:$B,"Customer",Accounts!$C:$C,"Customer",Accounts!$H:$H,"&gt;"&amp;60,Accounts!$H:$H,"&lt;="&amp;90)</f>
        <v>0</v>
      </c>
      <c r="L43" s="0">
        <f>COUNTIFS(Accounts!$E:$E,'AccountSummary (New)'!L$1,Accounts!$G:$G,'AccountSummary (New)'!L$2,Accounts!$F:$F,'AccountSummary (New)'!L$3,Accounts!$B:$B,"Customer",Accounts!$C:$C,"Customer",Accounts!$H:$H,"&gt;"&amp;60,Accounts!$H:$H,"&lt;="&amp;90)</f>
        <v>0</v>
      </c>
      <c r="M43" s="0">
        <f>COUNTIFS(Accounts!$E:$E,'AccountSummary (New)'!M$1,Accounts!$G:$G,'AccountSummary (New)'!M$2,Accounts!$F:$F,'AccountSummary (New)'!M$3,Accounts!$B:$B,"Customer",Accounts!$C:$C,"Customer",Accounts!$H:$H,"&gt;"&amp;60,Accounts!$H:$H,"&lt;="&amp;90)</f>
        <v>0</v>
      </c>
      <c r="N43" s="0">
        <f>COUNTIFS(Accounts!$E:$E,'AccountSummary (New)'!N$1,Accounts!$G:$G,'AccountSummary (New)'!N$2,Accounts!$F:$F,'AccountSummary (New)'!N$3,Accounts!$B:$B,"Customer",Accounts!$C:$C,"Customer",Accounts!$H:$H,"&gt;"&amp;60,Accounts!$H:$H,"&lt;="&amp;90)</f>
        <v>0</v>
      </c>
      <c r="O43" s="0">
        <f>COUNTIFS(Accounts!$E:$E,'AccountSummary (New)'!O$1,Accounts!$G:$G,'AccountSummary (New)'!O$2,Accounts!$F:$F,'AccountSummary (New)'!O$3,Accounts!$B:$B,"Customer",Accounts!$C:$C,"Customer",Accounts!$H:$H,"&gt;"&amp;60,Accounts!$H:$H,"&lt;="&amp;90)</f>
        <v>0</v>
      </c>
      <c r="P43" s="19">
        <f>SUM(J43:O43)</f>
        <v>0</v>
      </c>
      <c r="Q43" s="0">
        <f>COUNTIFS(Accounts!$E:$E,'AccountSummary (New)'!Q$1,Accounts!$G:$G,'AccountSummary (New)'!Q$2,Accounts!$F:$F,'AccountSummary (New)'!Q$3,Accounts!$B:$B,"Customer",Accounts!$C:$C,"Customer",Accounts!$H:$H,"&gt;"&amp;60,Accounts!$H:$H,"&lt;="&amp;90)</f>
        <v>0</v>
      </c>
      <c r="R43" s="0">
        <f>COUNTIFS(Accounts!$E:$E,'AccountSummary (New)'!R$1,Accounts!$G:$G,'AccountSummary (New)'!R$2,Accounts!$F:$F,'AccountSummary (New)'!R$3,Accounts!$B:$B,"Customer",Accounts!$C:$C,"Customer",Accounts!$H:$H,"&gt;"&amp;60,Accounts!$H:$H,"&lt;="&amp;90)</f>
        <v>0</v>
      </c>
      <c r="S43" s="0">
        <f>COUNTIFS(Accounts!$E:$E,'AccountSummary (New)'!S$1,Accounts!$G:$G,'AccountSummary (New)'!S$2,Accounts!$F:$F,'AccountSummary (New)'!S$3,Accounts!$B:$B,"Customer",Accounts!$C:$C,"Customer",Accounts!$H:$H,"&gt;"&amp;60,Accounts!$H:$H,"&lt;="&amp;90)</f>
        <v>0</v>
      </c>
      <c r="T43" s="0">
        <f>COUNTIFS(Accounts!$E:$E,'AccountSummary (New)'!T$1,Accounts!$G:$G,'AccountSummary (New)'!T$2,Accounts!$F:$F,'AccountSummary (New)'!T$3,Accounts!$B:$B,"Customer",Accounts!$C:$C,"Customer",Accounts!$H:$H,"&gt;"&amp;60,Accounts!$H:$H,"&lt;="&amp;90)</f>
        <v>0</v>
      </c>
      <c r="U43" s="0">
        <f>COUNTIFS(Accounts!$E:$E,'AccountSummary (New)'!U$1,Accounts!$G:$G,'AccountSummary (New)'!U$2,Accounts!$F:$F,'AccountSummary (New)'!U$3,Accounts!$B:$B,"Customer",Accounts!$C:$C,"Customer",Accounts!$H:$H,"&gt;"&amp;60,Accounts!$H:$H,"&lt;="&amp;90)</f>
        <v>0</v>
      </c>
      <c r="V43" s="0">
        <f>COUNTIFS(Accounts!$E:$E,'AccountSummary (New)'!V$1,Accounts!$G:$G,'AccountSummary (New)'!V$2,Accounts!$F:$F,'AccountSummary (New)'!V$3,Accounts!$B:$B,"Customer",Accounts!$C:$C,"Customer",Accounts!$H:$H,"&gt;"&amp;60,Accounts!$H:$H,"&lt;="&amp;90)</f>
        <v>0</v>
      </c>
      <c r="W43" s="19">
        <f>SUM(Q43:V43)</f>
        <v>0</v>
      </c>
    </row>
    <row r="44">
      <c r="A44" s="6" t="s">
        <v>31</v>
      </c>
      <c r="B44" s="17">
        <f>IF(B43=0,0,SUMIFS(Accounts!$L:$L,Accounts!$W:$W,0,Accounts!$C:$C,"Customer",Accounts!$H:$H,"&gt;"&amp;60,Accounts!$H:$H,"&lt;="&amp;90)/B43)</f>
        <v>0</v>
      </c>
      <c r="C44" s="8">
        <f>IF(C43=0,0,SUMIFS(Accounts!$L:$L,Accounts!$E:$E,'AccountSummary (New)'!C$1,Accounts!$G:$G,'AccountSummary (New)'!C$2,Accounts!$F:$F,'AccountSummary (New)'!C$3,Accounts!$W:$W,0,Accounts!$C:$C,"Customer",Accounts!$H:$H,"&gt;"&amp;60,Accounts!$H:$H,"&lt;="&amp;90)/C43)</f>
        <v>0</v>
      </c>
      <c r="D44" s="8">
        <f>IF(D43=0,0,SUMIFS(Accounts!$L:$L,Accounts!$E:$E,'AccountSummary (New)'!D$1,Accounts!$G:$G,'AccountSummary (New)'!D$2,Accounts!$F:$F,'AccountSummary (New)'!D$3,Accounts!$W:$W,0,Accounts!$C:$C,"Customer",Accounts!$H:$H,"&gt;"&amp;60,Accounts!$H:$H,"&lt;="&amp;90)/D43)</f>
        <v>0</v>
      </c>
      <c r="E44" s="8">
        <f>IF(E43=0,0,SUMIFS(Accounts!$L:$L,Accounts!$E:$E,'AccountSummary (New)'!E$1,Accounts!$G:$G,'AccountSummary (New)'!E$2,Accounts!$F:$F,'AccountSummary (New)'!E$3,Accounts!$W:$W,0,Accounts!$C:$C,"Customer",Accounts!$H:$H,"&gt;"&amp;60,Accounts!$H:$H,"&lt;="&amp;90)/E43)</f>
        <v>0</v>
      </c>
      <c r="F44" s="8">
        <f>IF(F43=0,0,SUMIFS(Accounts!$L:$L,Accounts!$E:$E,'AccountSummary (New)'!F$1,Accounts!$G:$G,'AccountSummary (New)'!F$2,Accounts!$F:$F,'AccountSummary (New)'!F$3,Accounts!$W:$W,0,Accounts!$C:$C,"Customer",Accounts!$H:$H,"&gt;"&amp;60,Accounts!$H:$H,"&lt;="&amp;90)/F43)</f>
        <v>0</v>
      </c>
      <c r="G44" s="8">
        <f>IF(G43=0,0,SUMIFS(Accounts!$L:$L,Accounts!$E:$E,'AccountSummary (New)'!G$1,Accounts!$G:$G,'AccountSummary (New)'!G$2,Accounts!$F:$F,'AccountSummary (New)'!G$3,Accounts!$W:$W,0,Accounts!$C:$C,"Customer",Accounts!$H:$H,"&gt;"&amp;60,Accounts!$H:$H,"&lt;="&amp;90)/G43)</f>
        <v>0</v>
      </c>
      <c r="H44" s="8">
        <f>IF(H43=0,0,SUMIFS(Accounts!$L:$L,Accounts!$E:$E,'AccountSummary (New)'!H$1,Accounts!$G:$G,'AccountSummary (New)'!H$2,Accounts!$F:$F,'AccountSummary (New)'!H$3,Accounts!$W:$W,0,Accounts!$C:$C,"Customer",Accounts!$H:$H,"&gt;"&amp;60,Accounts!$H:$H,"&lt;="&amp;90)/H43)</f>
        <v>0</v>
      </c>
      <c r="I44" s="9">
        <f>IF(I43=0,0,SUMIFS(Accounts!$L:$L,Accounts!$F:$F,'AccountSummary (New)'!I$3,Accounts!$W:$W,0,Accounts!$C:$C,"Customer",Accounts!$H:$H,"&gt;"&amp;60,Accounts!$H:$H,"&lt;="&amp;90)/I43)</f>
        <v>0</v>
      </c>
      <c r="J44" s="8">
        <f>IF(J43=0,0,SUMIFS(Accounts!$L:$L,Accounts!$E:$E,'AccountSummary (New)'!J$1,Accounts!$G:$G,'AccountSummary (New)'!J$2,Accounts!$F:$F,'AccountSummary (New)'!J$3,Accounts!$W:$W,0,Accounts!$C:$C,"Customer",Accounts!$H:$H,"&gt;"&amp;60,Accounts!$H:$H,"&lt;="&amp;90)/J43)</f>
        <v>0</v>
      </c>
      <c r="K44" s="8">
        <f>IF(K43=0,0,SUMIFS(Accounts!$L:$L,Accounts!$E:$E,'AccountSummary (New)'!K$1,Accounts!$G:$G,'AccountSummary (New)'!K$2,Accounts!$F:$F,'AccountSummary (New)'!K$3,Accounts!$W:$W,0,Accounts!$C:$C,"Customer",Accounts!$H:$H,"&gt;"&amp;60,Accounts!$H:$H,"&lt;="&amp;90)/K43)</f>
        <v>0</v>
      </c>
      <c r="L44" s="8">
        <f>IF(L43=0,0,SUMIFS(Accounts!$L:$L,Accounts!$E:$E,'AccountSummary (New)'!L$1,Accounts!$G:$G,'AccountSummary (New)'!L$2,Accounts!$F:$F,'AccountSummary (New)'!L$3,Accounts!$W:$W,0,Accounts!$C:$C,"Customer",Accounts!$H:$H,"&gt;"&amp;60,Accounts!$H:$H,"&lt;="&amp;90)/L43)</f>
        <v>0</v>
      </c>
      <c r="M44" s="8">
        <f>IF(M43=0,0,SUMIFS(Accounts!$L:$L,Accounts!$E:$E,'AccountSummary (New)'!M$1,Accounts!$G:$G,'AccountSummary (New)'!M$2,Accounts!$F:$F,'AccountSummary (New)'!M$3,Accounts!$W:$W,0,Accounts!$C:$C,"Customer",Accounts!$H:$H,"&gt;"&amp;60,Accounts!$H:$H,"&lt;="&amp;90)/M43)</f>
        <v>0</v>
      </c>
      <c r="N44" s="8">
        <f>IF(N43=0,0,SUMIFS(Accounts!$L:$L,Accounts!$E:$E,'AccountSummary (New)'!N$1,Accounts!$G:$G,'AccountSummary (New)'!N$2,Accounts!$F:$F,'AccountSummary (New)'!N$3,Accounts!$W:$W,0,Accounts!$C:$C,"Customer",Accounts!$H:$H,"&gt;"&amp;60,Accounts!$H:$H,"&lt;="&amp;90)/N43)</f>
        <v>0</v>
      </c>
      <c r="O44" s="8">
        <f>IF(O43=0,0,SUMIFS(Accounts!$L:$L,Accounts!$E:$E,'AccountSummary (New)'!O$1,Accounts!$G:$G,'AccountSummary (New)'!O$2,Accounts!$F:$F,'AccountSummary (New)'!O$3,Accounts!$W:$W,0,Accounts!$C:$C,"Customer",Accounts!$H:$H,"&gt;"&amp;60,Accounts!$H:$H,"&lt;="&amp;90)/O43)</f>
        <v>0</v>
      </c>
      <c r="P44" s="9">
        <f>IF(P43=0,0,SUMIFS(Accounts!$L:$L,Accounts!$F:$F,'AccountSummary (New)'!P$3,Accounts!$W:$W,0,Accounts!$C:$C,"Customer",Accounts!$H:$H,"&gt;"&amp;60,Accounts!$H:$H,"&lt;="&amp;90)/P43)</f>
        <v>0</v>
      </c>
      <c r="Q44" s="8">
        <f>IF(Q43=0,0,SUMIFS(Accounts!$L:$L,Accounts!$E:$E,'AccountSummary (New)'!Q$1,Accounts!$G:$G,'AccountSummary (New)'!Q$2,Accounts!$F:$F,'AccountSummary (New)'!Q$3,Accounts!$W:$W,0,Accounts!$C:$C,"Customer",Accounts!$H:$H,"&gt;"&amp;60,Accounts!$H:$H,"&lt;="&amp;90)/Q43)</f>
        <v>0</v>
      </c>
      <c r="R44" s="8">
        <f>IF(R43=0,0,SUMIFS(Accounts!$L:$L,Accounts!$E:$E,'AccountSummary (New)'!R$1,Accounts!$G:$G,'AccountSummary (New)'!R$2,Accounts!$F:$F,'AccountSummary (New)'!R$3,Accounts!$W:$W,0,Accounts!$C:$C,"Customer",Accounts!$H:$H,"&gt;"&amp;60,Accounts!$H:$H,"&lt;="&amp;90)/R43)</f>
        <v>0</v>
      </c>
      <c r="S44" s="8">
        <f>IF(S43=0,0,SUMIFS(Accounts!$L:$L,Accounts!$E:$E,'AccountSummary (New)'!S$1,Accounts!$G:$G,'AccountSummary (New)'!S$2,Accounts!$F:$F,'AccountSummary (New)'!S$3,Accounts!$W:$W,0,Accounts!$C:$C,"Customer",Accounts!$H:$H,"&gt;"&amp;60,Accounts!$H:$H,"&lt;="&amp;90)/S43)</f>
        <v>0</v>
      </c>
      <c r="T44" s="8">
        <f>IF(T43=0,0,SUMIFS(Accounts!$L:$L,Accounts!$E:$E,'AccountSummary (New)'!T$1,Accounts!$G:$G,'AccountSummary (New)'!T$2,Accounts!$F:$F,'AccountSummary (New)'!T$3,Accounts!$W:$W,0,Accounts!$C:$C,"Customer",Accounts!$H:$H,"&gt;"&amp;60,Accounts!$H:$H,"&lt;="&amp;90)/T43)</f>
        <v>0</v>
      </c>
      <c r="U44" s="8">
        <f>IF(U43=0,0,SUMIFS(Accounts!$L:$L,Accounts!$E:$E,'AccountSummary (New)'!U$1,Accounts!$G:$G,'AccountSummary (New)'!U$2,Accounts!$F:$F,'AccountSummary (New)'!U$3,Accounts!$W:$W,0,Accounts!$C:$C,"Customer",Accounts!$H:$H,"&gt;"&amp;60,Accounts!$H:$H,"&lt;="&amp;90)/U43)</f>
        <v>0</v>
      </c>
      <c r="V44" s="8">
        <f>IF(V43=0,0,SUMIFS(Accounts!$L:$L,Accounts!$E:$E,'AccountSummary (New)'!V$1,Accounts!$G:$G,'AccountSummary (New)'!V$2,Accounts!$F:$F,'AccountSummary (New)'!V$3,Accounts!$W:$W,0,Accounts!$C:$C,"Customer",Accounts!$H:$H,"&gt;"&amp;60,Accounts!$H:$H,"&lt;="&amp;90)/V43)</f>
        <v>0</v>
      </c>
      <c r="W44" s="9">
        <f>IF(W43=0,0,SUMIFS(Accounts!$L:$L,Accounts!$F:$F,'AccountSummary (New)'!W$3,Accounts!$W:$W,0,Accounts!$C:$C,"Customer",Accounts!$H:$H,"&gt;"&amp;60,Accounts!$H:$H,"&lt;="&amp;90)/W43)</f>
        <v>0</v>
      </c>
    </row>
    <row r="45">
      <c r="A45" s="6" t="s">
        <v>32</v>
      </c>
      <c r="B45" s="17">
        <f>IF(B43=0,0,SUMIFS(Accounts!$M:$M,Accounts!$W:$W,0,Accounts!$C:$C,"Customer",Accounts!$H:$H,"&gt;"&amp;60,Accounts!$H:$H,"&lt;="&amp;90)/B43)</f>
        <v>0</v>
      </c>
      <c r="C45" s="8">
        <f>IF(C43=0,0,SUMIFS(Accounts!$M:$M,Accounts!$E:$E,'AccountSummary (New)'!C$1,Accounts!$G:$G,'AccountSummary (New)'!C$2,Accounts!$F:$F,'AccountSummary (New)'!C$3,Accounts!$W:$W,0,Accounts!$C:$C,"Customer",Accounts!$H:$H,"&gt;"&amp;60,Accounts!$H:$H,"&lt;="&amp;90)/C43)</f>
        <v>0</v>
      </c>
      <c r="D45" s="8">
        <f>IF(D43=0,0,SUMIFS(Accounts!$M:$M,Accounts!$E:$E,'AccountSummary (New)'!D$1,Accounts!$G:$G,'AccountSummary (New)'!D$2,Accounts!$F:$F,'AccountSummary (New)'!D$3,Accounts!$W:$W,0,Accounts!$C:$C,"Customer",Accounts!$H:$H,"&gt;"&amp;60,Accounts!$H:$H,"&lt;="&amp;90)/D43)</f>
        <v>0</v>
      </c>
      <c r="E45" s="8">
        <f>IF(E43=0,0,SUMIFS(Accounts!$M:$M,Accounts!$E:$E,'AccountSummary (New)'!E$1,Accounts!$G:$G,'AccountSummary (New)'!E$2,Accounts!$F:$F,'AccountSummary (New)'!E$3,Accounts!$W:$W,0,Accounts!$C:$C,"Customer",Accounts!$H:$H,"&gt;"&amp;60,Accounts!$H:$H,"&lt;="&amp;90)/E43)</f>
        <v>0</v>
      </c>
      <c r="F45" s="8">
        <f>IF(F43=0,0,SUMIFS(Accounts!$M:$M,Accounts!$E:$E,'AccountSummary (New)'!F$1,Accounts!$G:$G,'AccountSummary (New)'!F$2,Accounts!$F:$F,'AccountSummary (New)'!F$3,Accounts!$W:$W,0,Accounts!$C:$C,"Customer",Accounts!$H:$H,"&gt;"&amp;60,Accounts!$H:$H,"&lt;="&amp;90)/F43)</f>
        <v>0</v>
      </c>
      <c r="G45" s="8">
        <f>IF(G43=0,0,SUMIFS(Accounts!$M:$M,Accounts!$E:$E,'AccountSummary (New)'!G$1,Accounts!$G:$G,'AccountSummary (New)'!G$2,Accounts!$F:$F,'AccountSummary (New)'!G$3,Accounts!$W:$W,0,Accounts!$C:$C,"Customer",Accounts!$H:$H,"&gt;"&amp;60,Accounts!$H:$H,"&lt;="&amp;90)/G43)</f>
        <v>0</v>
      </c>
      <c r="H45" s="8">
        <f>IF(H43=0,0,SUMIFS(Accounts!$M:$M,Accounts!$E:$E,'AccountSummary (New)'!H$1,Accounts!$G:$G,'AccountSummary (New)'!H$2,Accounts!$F:$F,'AccountSummary (New)'!H$3,Accounts!$W:$W,0,Accounts!$C:$C,"Customer",Accounts!$H:$H,"&gt;"&amp;60,Accounts!$H:$H,"&lt;="&amp;90)/H43)</f>
        <v>0</v>
      </c>
      <c r="I45" s="9">
        <f>IF(I43=0,0,SUMIFS(Accounts!$M:$M,Accounts!$F:$F,'AccountSummary (New)'!I$3,Accounts!$W:$W,0,Accounts!$C:$C,"Customer",Accounts!$H:$H,"&gt;"&amp;60,Accounts!$H:$H,"&lt;="&amp;90)/I43)</f>
        <v>0</v>
      </c>
      <c r="J45" s="8">
        <f>IF(J43=0,0,SUMIFS(Accounts!$M:$M,Accounts!$E:$E,'AccountSummary (New)'!J$1,Accounts!$G:$G,'AccountSummary (New)'!J$2,Accounts!$F:$F,'AccountSummary (New)'!J$3,Accounts!$W:$W,0,Accounts!$C:$C,"Customer",Accounts!$H:$H,"&gt;"&amp;60,Accounts!$H:$H,"&lt;="&amp;90)/J43)</f>
        <v>0</v>
      </c>
      <c r="K45" s="8">
        <f>IF(K43=0,0,SUMIFS(Accounts!$M:$M,Accounts!$E:$E,'AccountSummary (New)'!K$1,Accounts!$G:$G,'AccountSummary (New)'!K$2,Accounts!$F:$F,'AccountSummary (New)'!K$3,Accounts!$W:$W,0,Accounts!$C:$C,"Customer",Accounts!$H:$H,"&gt;"&amp;60,Accounts!$H:$H,"&lt;="&amp;90)/K43)</f>
        <v>0</v>
      </c>
      <c r="L45" s="8">
        <f>IF(L43=0,0,SUMIFS(Accounts!$M:$M,Accounts!$E:$E,'AccountSummary (New)'!L$1,Accounts!$G:$G,'AccountSummary (New)'!L$2,Accounts!$F:$F,'AccountSummary (New)'!L$3,Accounts!$W:$W,0,Accounts!$C:$C,"Customer",Accounts!$H:$H,"&gt;"&amp;60,Accounts!$H:$H,"&lt;="&amp;90)/L43)</f>
        <v>0</v>
      </c>
      <c r="M45" s="8">
        <f>IF(M43=0,0,SUMIFS(Accounts!$M:$M,Accounts!$E:$E,'AccountSummary (New)'!M$1,Accounts!$G:$G,'AccountSummary (New)'!M$2,Accounts!$F:$F,'AccountSummary (New)'!M$3,Accounts!$W:$W,0,Accounts!$C:$C,"Customer",Accounts!$H:$H,"&gt;"&amp;60,Accounts!$H:$H,"&lt;="&amp;90)/M43)</f>
        <v>0</v>
      </c>
      <c r="N45" s="8">
        <f>IF(N43=0,0,SUMIFS(Accounts!$M:$M,Accounts!$E:$E,'AccountSummary (New)'!N$1,Accounts!$G:$G,'AccountSummary (New)'!N$2,Accounts!$F:$F,'AccountSummary (New)'!N$3,Accounts!$W:$W,0,Accounts!$C:$C,"Customer",Accounts!$H:$H,"&gt;"&amp;60,Accounts!$H:$H,"&lt;="&amp;90)/N43)</f>
        <v>0</v>
      </c>
      <c r="O45" s="8">
        <f>IF(O43=0,0,SUMIFS(Accounts!$M:$M,Accounts!$E:$E,'AccountSummary (New)'!O$1,Accounts!$G:$G,'AccountSummary (New)'!O$2,Accounts!$F:$F,'AccountSummary (New)'!O$3,Accounts!$W:$W,0,Accounts!$C:$C,"Customer",Accounts!$H:$H,"&gt;"&amp;60,Accounts!$H:$H,"&lt;="&amp;90)/O43)</f>
        <v>0</v>
      </c>
      <c r="P45" s="9">
        <f>IF(P43=0,0,SUMIFS(Accounts!$M:$M,Accounts!$F:$F,'AccountSummary (New)'!P$3,Accounts!$W:$W,0,Accounts!$C:$C,"Customer",Accounts!$H:$H,"&gt;"&amp;60,Accounts!$H:$H,"&lt;="&amp;90)/P43)</f>
        <v>0</v>
      </c>
      <c r="Q45" s="8">
        <f>IF(Q43=0,0,SUMIFS(Accounts!$M:$M,Accounts!$E:$E,'AccountSummary (New)'!Q$1,Accounts!$G:$G,'AccountSummary (New)'!Q$2,Accounts!$F:$F,'AccountSummary (New)'!Q$3,Accounts!$W:$W,0,Accounts!$C:$C,"Customer",Accounts!$H:$H,"&gt;"&amp;60,Accounts!$H:$H,"&lt;="&amp;90)/Q43)</f>
        <v>0</v>
      </c>
      <c r="R45" s="8">
        <f>IF(R43=0,0,SUMIFS(Accounts!$M:$M,Accounts!$E:$E,'AccountSummary (New)'!R$1,Accounts!$G:$G,'AccountSummary (New)'!R$2,Accounts!$F:$F,'AccountSummary (New)'!R$3,Accounts!$W:$W,0,Accounts!$C:$C,"Customer",Accounts!$H:$H,"&gt;"&amp;60,Accounts!$H:$H,"&lt;="&amp;90)/R43)</f>
        <v>0</v>
      </c>
      <c r="S45" s="8">
        <f>IF(S43=0,0,SUMIFS(Accounts!$M:$M,Accounts!$E:$E,'AccountSummary (New)'!S$1,Accounts!$G:$G,'AccountSummary (New)'!S$2,Accounts!$F:$F,'AccountSummary (New)'!S$3,Accounts!$W:$W,0,Accounts!$C:$C,"Customer",Accounts!$H:$H,"&gt;"&amp;60,Accounts!$H:$H,"&lt;="&amp;90)/S43)</f>
        <v>0</v>
      </c>
      <c r="T45" s="8">
        <f>IF(T43=0,0,SUMIFS(Accounts!$M:$M,Accounts!$E:$E,'AccountSummary (New)'!T$1,Accounts!$G:$G,'AccountSummary (New)'!T$2,Accounts!$F:$F,'AccountSummary (New)'!T$3,Accounts!$W:$W,0,Accounts!$C:$C,"Customer",Accounts!$H:$H,"&gt;"&amp;60,Accounts!$H:$H,"&lt;="&amp;90)/T43)</f>
        <v>0</v>
      </c>
      <c r="U45" s="8">
        <f>IF(U43=0,0,SUMIFS(Accounts!$M:$M,Accounts!$E:$E,'AccountSummary (New)'!U$1,Accounts!$G:$G,'AccountSummary (New)'!U$2,Accounts!$F:$F,'AccountSummary (New)'!U$3,Accounts!$W:$W,0,Accounts!$C:$C,"Customer",Accounts!$H:$H,"&gt;"&amp;60,Accounts!$H:$H,"&lt;="&amp;90)/U43)</f>
        <v>0</v>
      </c>
      <c r="V45" s="8">
        <f>IF(V43=0,0,SUMIFS(Accounts!$M:$M,Accounts!$E:$E,'AccountSummary (New)'!V$1,Accounts!$G:$G,'AccountSummary (New)'!V$2,Accounts!$F:$F,'AccountSummary (New)'!V$3,Accounts!$W:$W,0,Accounts!$C:$C,"Customer",Accounts!$H:$H,"&gt;"&amp;60,Accounts!$H:$H,"&lt;="&amp;90)/V43)</f>
        <v>0</v>
      </c>
      <c r="W45" s="9">
        <f>IF(W43=0,0,SUMIFS(Accounts!$M:$M,Accounts!$F:$F,'AccountSummary (New)'!W$3,Accounts!$W:$W,0,Accounts!$C:$C,"Customer",Accounts!$H:$H,"&gt;"&amp;60,Accounts!$H:$H,"&lt;="&amp;90)/W43)</f>
        <v>0</v>
      </c>
    </row>
    <row r="46">
      <c r="A46" s="5" t="s">
        <v>33</v>
      </c>
      <c r="B46" s="14">
        <f ref="B46:W46" t="shared" si="13">IF(B43=0,0,B47/B43)</f>
        <v>0</v>
      </c>
      <c r="C46" s="22">
        <f t="shared" si="13"/>
        <v>0</v>
      </c>
      <c r="D46" s="22">
        <f t="shared" si="13"/>
        <v>0</v>
      </c>
      <c r="E46" s="22">
        <f t="shared" si="13"/>
        <v>0</v>
      </c>
      <c r="F46" s="22">
        <f t="shared" si="13"/>
        <v>0</v>
      </c>
      <c r="G46" s="22">
        <f t="shared" si="13"/>
        <v>0</v>
      </c>
      <c r="H46" s="22">
        <f t="shared" si="13"/>
        <v>0</v>
      </c>
      <c r="I46" s="10">
        <f t="shared" si="13"/>
        <v>0</v>
      </c>
      <c r="J46" s="22">
        <f t="shared" si="13"/>
        <v>0</v>
      </c>
      <c r="K46" s="22">
        <f t="shared" si="13"/>
        <v>0</v>
      </c>
      <c r="L46" s="22">
        <f t="shared" si="13"/>
        <v>0</v>
      </c>
      <c r="M46" s="22">
        <f t="shared" si="13"/>
        <v>0</v>
      </c>
      <c r="N46" s="22">
        <f t="shared" si="13"/>
        <v>0</v>
      </c>
      <c r="O46" s="22">
        <f t="shared" si="13"/>
        <v>0</v>
      </c>
      <c r="P46" s="10">
        <f t="shared" si="13"/>
        <v>0</v>
      </c>
      <c r="Q46" s="22">
        <f t="shared" si="13"/>
        <v>0</v>
      </c>
      <c r="R46" s="22">
        <f t="shared" si="13"/>
        <v>0</v>
      </c>
      <c r="S46" s="22">
        <f t="shared" si="13"/>
        <v>0</v>
      </c>
      <c r="T46" s="22">
        <f t="shared" si="13"/>
        <v>0</v>
      </c>
      <c r="U46" s="22">
        <f t="shared" si="13"/>
        <v>0</v>
      </c>
      <c r="V46" s="22">
        <f t="shared" si="13"/>
        <v>0</v>
      </c>
      <c r="W46" s="10">
        <f t="shared" si="13"/>
        <v>0</v>
      </c>
    </row>
    <row r="47">
      <c r="A47" s="5" t="s">
        <v>34</v>
      </c>
      <c r="B47" s="14">
        <f>I47+P47+W47</f>
        <v>0</v>
      </c>
      <c r="C47" s="22">
        <f>SUMIFS(Accounts!$I:$I,Accounts!$E:$E,'AccountSummary (New)'!C$1,Accounts!$G:$G,'AccountSummary (New)'!C$2,Accounts!$F:$F,'AccountSummary (New)'!C$3,Accounts!$W:$W,0,Accounts!$C:$C,"Customer",Accounts!$H:$H,"&gt;"&amp;60,Accounts!$H:$H,"&lt;="&amp;90)</f>
        <v>0</v>
      </c>
      <c r="D47" s="22">
        <f>SUMIFS(Accounts!$I:$I,Accounts!$E:$E,'AccountSummary (New)'!D$1,Accounts!$G:$G,'AccountSummary (New)'!D$2,Accounts!$F:$F,'AccountSummary (New)'!D$3,Accounts!$W:$W,0,Accounts!$C:$C,"Customer",Accounts!$H:$H,"&gt;"&amp;60,Accounts!$H:$H,"&lt;="&amp;90)</f>
        <v>0</v>
      </c>
      <c r="E47" s="22">
        <f>SUMIFS(Accounts!$I:$I,Accounts!$E:$E,'AccountSummary (New)'!E$1,Accounts!$G:$G,'AccountSummary (New)'!E$2,Accounts!$F:$F,'AccountSummary (New)'!E$3,Accounts!$W:$W,0,Accounts!$C:$C,"Customer",Accounts!$H:$H,"&gt;"&amp;60,Accounts!$H:$H,"&lt;="&amp;90)</f>
        <v>0</v>
      </c>
      <c r="F47" s="22">
        <f>SUMIFS(Accounts!$I:$I,Accounts!$E:$E,'AccountSummary (New)'!F$1,Accounts!$G:$G,'AccountSummary (New)'!F$2,Accounts!$F:$F,'AccountSummary (New)'!F$3,Accounts!$W:$W,0,Accounts!$C:$C,"Customer",Accounts!$H:$H,"&gt;"&amp;60,Accounts!$H:$H,"&lt;="&amp;90)</f>
        <v>0</v>
      </c>
      <c r="G47" s="22">
        <f>SUMIFS(Accounts!$I:$I,Accounts!$E:$E,'AccountSummary (New)'!G$1,Accounts!$G:$G,'AccountSummary (New)'!G$2,Accounts!$F:$F,'AccountSummary (New)'!G$3,Accounts!$W:$W,0,Accounts!$C:$C,"Customer",Accounts!$H:$H,"&gt;"&amp;60,Accounts!$H:$H,"&lt;="&amp;90)</f>
        <v>0</v>
      </c>
      <c r="H47" s="22">
        <f>SUMIFS(Accounts!$I:$I,Accounts!$E:$E,'AccountSummary (New)'!H$1,Accounts!$G:$G,'AccountSummary (New)'!H$2,Accounts!$F:$F,'AccountSummary (New)'!H$3,Accounts!$W:$W,0,Accounts!$C:$C,"Customer",Accounts!$H:$H,"&gt;"&amp;60,Accounts!$H:$H,"&lt;="&amp;90)</f>
        <v>0</v>
      </c>
      <c r="I47" s="10">
        <f>SUM(C47:H47)</f>
        <v>0</v>
      </c>
      <c r="J47" s="22">
        <f>SUMIFS(Accounts!$I:$I,Accounts!$E:$E,'AccountSummary (New)'!J$1,Accounts!$G:$G,'AccountSummary (New)'!J$2,Accounts!$F:$F,'AccountSummary (New)'!J$3,Accounts!$W:$W,0,Accounts!$C:$C,"Customer",Accounts!$H:$H,"&gt;"&amp;60,Accounts!$H:$H,"&lt;="&amp;90)</f>
        <v>0</v>
      </c>
      <c r="K47" s="22">
        <f>SUMIFS(Accounts!$I:$I,Accounts!$E:$E,'AccountSummary (New)'!K$1,Accounts!$G:$G,'AccountSummary (New)'!K$2,Accounts!$F:$F,'AccountSummary (New)'!K$3,Accounts!$W:$W,0,Accounts!$C:$C,"Customer",Accounts!$H:$H,"&gt;"&amp;60,Accounts!$H:$H,"&lt;="&amp;90)</f>
        <v>0</v>
      </c>
      <c r="L47" s="22">
        <f>SUMIFS(Accounts!$I:$I,Accounts!$E:$E,'AccountSummary (New)'!L$1,Accounts!$G:$G,'AccountSummary (New)'!L$2,Accounts!$F:$F,'AccountSummary (New)'!L$3,Accounts!$W:$W,0,Accounts!$C:$C,"Customer",Accounts!$H:$H,"&gt;"&amp;60,Accounts!$H:$H,"&lt;="&amp;90)</f>
        <v>0</v>
      </c>
      <c r="M47" s="22">
        <f>SUMIFS(Accounts!$I:$I,Accounts!$E:$E,'AccountSummary (New)'!M$1,Accounts!$G:$G,'AccountSummary (New)'!M$2,Accounts!$F:$F,'AccountSummary (New)'!M$3,Accounts!$W:$W,0,Accounts!$C:$C,"Customer",Accounts!$H:$H,"&gt;"&amp;60,Accounts!$H:$H,"&lt;="&amp;90)</f>
        <v>0</v>
      </c>
      <c r="N47" s="22">
        <f>SUMIFS(Accounts!$I:$I,Accounts!$E:$E,'AccountSummary (New)'!N$1,Accounts!$G:$G,'AccountSummary (New)'!N$2,Accounts!$F:$F,'AccountSummary (New)'!N$3,Accounts!$W:$W,0,Accounts!$C:$C,"Customer",Accounts!$H:$H,"&gt;"&amp;60,Accounts!$H:$H,"&lt;="&amp;90)</f>
        <v>0</v>
      </c>
      <c r="O47" s="22">
        <f>SUMIFS(Accounts!$I:$I,Accounts!$E:$E,'AccountSummary (New)'!O$1,Accounts!$G:$G,'AccountSummary (New)'!O$2,Accounts!$F:$F,'AccountSummary (New)'!O$3,Accounts!$W:$W,0,Accounts!$C:$C,"Customer",Accounts!$H:$H,"&gt;"&amp;60,Accounts!$H:$H,"&lt;="&amp;90)</f>
        <v>0</v>
      </c>
      <c r="P47" s="10">
        <f>SUM(J47:O47)</f>
        <v>0</v>
      </c>
      <c r="Q47" s="22">
        <f>SUMIFS(Accounts!$I:$I,Accounts!$E:$E,'AccountSummary (New)'!Q$1,Accounts!$G:$G,'AccountSummary (New)'!Q$2,Accounts!$F:$F,'AccountSummary (New)'!Q$3,Accounts!$W:$W,0,Accounts!$C:$C,"Customer",Accounts!$H:$H,"&gt;"&amp;60,Accounts!$H:$H,"&lt;="&amp;90)</f>
        <v>0</v>
      </c>
      <c r="R47" s="22">
        <f>SUMIFS(Accounts!$I:$I,Accounts!$E:$E,'AccountSummary (New)'!R$1,Accounts!$G:$G,'AccountSummary (New)'!R$2,Accounts!$F:$F,'AccountSummary (New)'!R$3,Accounts!$W:$W,0,Accounts!$C:$C,"Customer",Accounts!$H:$H,"&gt;"&amp;60,Accounts!$H:$H,"&lt;="&amp;90)</f>
        <v>0</v>
      </c>
      <c r="S47" s="22">
        <f>SUMIFS(Accounts!$I:$I,Accounts!$E:$E,'AccountSummary (New)'!S$1,Accounts!$G:$G,'AccountSummary (New)'!S$2,Accounts!$F:$F,'AccountSummary (New)'!S$3,Accounts!$W:$W,0,Accounts!$C:$C,"Customer",Accounts!$H:$H,"&gt;"&amp;60,Accounts!$H:$H,"&lt;="&amp;90)</f>
        <v>0</v>
      </c>
      <c r="T47" s="22">
        <f>SUMIFS(Accounts!$I:$I,Accounts!$E:$E,'AccountSummary (New)'!T$1,Accounts!$G:$G,'AccountSummary (New)'!T$2,Accounts!$F:$F,'AccountSummary (New)'!T$3,Accounts!$W:$W,0,Accounts!$C:$C,"Customer",Accounts!$H:$H,"&gt;"&amp;60,Accounts!$H:$H,"&lt;="&amp;90)</f>
        <v>0</v>
      </c>
      <c r="U47" s="22">
        <f>SUMIFS(Accounts!$I:$I,Accounts!$E:$E,'AccountSummary (New)'!U$1,Accounts!$G:$G,'AccountSummary (New)'!U$2,Accounts!$F:$F,'AccountSummary (New)'!U$3,Accounts!$W:$W,0,Accounts!$C:$C,"Customer",Accounts!$H:$H,"&gt;"&amp;60,Accounts!$H:$H,"&lt;="&amp;90)</f>
        <v>0</v>
      </c>
      <c r="V47" s="22">
        <f>SUMIFS(Accounts!$I:$I,Accounts!$E:$E,'AccountSummary (New)'!V$1,Accounts!$G:$G,'AccountSummary (New)'!V$2,Accounts!$F:$F,'AccountSummary (New)'!V$3,Accounts!$W:$W,0,Accounts!$C:$C,"Customer",Accounts!$H:$H,"&gt;"&amp;60,Accounts!$H:$H,"&lt;="&amp;90)</f>
        <v>0</v>
      </c>
      <c r="W47" s="10">
        <f>SUM(Q47:V47)</f>
        <v>0</v>
      </c>
    </row>
    <row r="48">
      <c r="A48" s="5" t="s">
        <v>37</v>
      </c>
      <c r="B48" s="14"/>
      <c r="C48" s="22"/>
      <c r="D48" s="22"/>
      <c r="E48" s="22"/>
      <c r="F48" s="22"/>
      <c r="G48" s="22"/>
      <c r="H48" s="22"/>
      <c r="I48" s="10"/>
      <c r="J48" s="22"/>
      <c r="K48" s="22"/>
      <c r="L48" s="22"/>
      <c r="M48" s="22"/>
      <c r="N48" s="22"/>
      <c r="O48" s="22"/>
      <c r="P48" s="10"/>
      <c r="Q48" s="22"/>
      <c r="R48" s="22"/>
      <c r="S48" s="22"/>
      <c r="T48" s="22"/>
      <c r="U48" s="22"/>
      <c r="V48" s="22"/>
      <c r="W48" s="10"/>
    </row>
    <row r="49">
      <c r="A49" s="5" t="s">
        <v>27</v>
      </c>
      <c r="B49" s="15">
        <f ref="B49:W49" t="shared" si="14">IF(B$19=0,0,(B51+B52)/B$19)</f>
        <v>0</v>
      </c>
      <c r="C49" s="12">
        <f t="shared" si="14"/>
        <v>0</v>
      </c>
      <c r="D49" s="12">
        <f t="shared" si="14"/>
        <v>0</v>
      </c>
      <c r="E49" s="12">
        <f t="shared" si="14"/>
        <v>0</v>
      </c>
      <c r="F49" s="12">
        <f t="shared" si="14"/>
        <v>0</v>
      </c>
      <c r="G49" s="12">
        <f t="shared" si="14"/>
        <v>0</v>
      </c>
      <c r="H49" s="12">
        <f t="shared" si="14"/>
        <v>0</v>
      </c>
      <c r="I49" s="24">
        <f t="shared" si="14"/>
        <v>0</v>
      </c>
      <c r="J49" s="12">
        <f t="shared" si="14"/>
        <v>0</v>
      </c>
      <c r="K49" s="12">
        <f t="shared" si="14"/>
        <v>0</v>
      </c>
      <c r="L49" s="12">
        <f t="shared" si="14"/>
        <v>0</v>
      </c>
      <c r="M49" s="12">
        <f t="shared" si="14"/>
        <v>0</v>
      </c>
      <c r="N49" s="12">
        <f t="shared" si="14"/>
        <v>0</v>
      </c>
      <c r="O49" s="12">
        <f t="shared" si="14"/>
        <v>0</v>
      </c>
      <c r="P49" s="24">
        <f t="shared" si="14"/>
        <v>0</v>
      </c>
      <c r="Q49" s="12">
        <f t="shared" si="14"/>
        <v>0</v>
      </c>
      <c r="R49" s="12">
        <f t="shared" si="14"/>
        <v>0</v>
      </c>
      <c r="S49" s="12">
        <f t="shared" si="14"/>
        <v>0</v>
      </c>
      <c r="T49" s="12">
        <f t="shared" si="14"/>
        <v>0</v>
      </c>
      <c r="U49" s="12">
        <f t="shared" si="14"/>
        <v>0</v>
      </c>
      <c r="V49" s="12">
        <f t="shared" si="14"/>
        <v>0</v>
      </c>
      <c r="W49" s="24">
        <f t="shared" si="14"/>
        <v>0</v>
      </c>
    </row>
    <row r="50">
      <c r="A50" s="5" t="s">
        <v>28</v>
      </c>
      <c r="B50" s="15">
        <f>IF((B51+B52)=0,0,B51/(B51+B52))</f>
        <v>0</v>
      </c>
      <c r="C50" s="12">
        <f ref="C50:W50" t="shared" si="15">IF((C51+C52)=0,0,C51/(C51+C52))</f>
        <v>0</v>
      </c>
      <c r="D50" s="12">
        <f t="shared" si="15"/>
        <v>0</v>
      </c>
      <c r="E50" s="12">
        <f t="shared" si="15"/>
        <v>0</v>
      </c>
      <c r="F50" s="12">
        <f t="shared" si="15"/>
        <v>0</v>
      </c>
      <c r="G50" s="12">
        <f t="shared" si="15"/>
        <v>0</v>
      </c>
      <c r="H50" s="12">
        <f t="shared" si="15"/>
        <v>0</v>
      </c>
      <c r="I50" s="24">
        <f t="shared" si="15"/>
        <v>0</v>
      </c>
      <c r="J50" s="12">
        <f t="shared" si="15"/>
        <v>0</v>
      </c>
      <c r="K50" s="12">
        <f t="shared" si="15"/>
        <v>0</v>
      </c>
      <c r="L50" s="12">
        <f t="shared" si="15"/>
        <v>0</v>
      </c>
      <c r="M50" s="12">
        <f t="shared" si="15"/>
        <v>0</v>
      </c>
      <c r="N50" s="12">
        <f t="shared" si="15"/>
        <v>0</v>
      </c>
      <c r="O50" s="12">
        <f t="shared" si="15"/>
        <v>0</v>
      </c>
      <c r="P50" s="24">
        <f t="shared" si="15"/>
        <v>0</v>
      </c>
      <c r="Q50" s="12">
        <f t="shared" si="15"/>
        <v>0</v>
      </c>
      <c r="R50" s="12">
        <f t="shared" si="15"/>
        <v>0</v>
      </c>
      <c r="S50" s="12">
        <f t="shared" si="15"/>
        <v>0</v>
      </c>
      <c r="T50" s="12">
        <f t="shared" si="15"/>
        <v>0</v>
      </c>
      <c r="U50" s="12">
        <f t="shared" si="15"/>
        <v>0</v>
      </c>
      <c r="V50" s="12">
        <f t="shared" si="15"/>
        <v>0</v>
      </c>
      <c r="W50" s="24">
        <f t="shared" si="15"/>
        <v>0</v>
      </c>
    </row>
    <row r="51">
      <c r="A51" s="5" t="s">
        <v>29</v>
      </c>
      <c r="B51" s="13">
        <f>I51+P51+W51</f>
        <v>0</v>
      </c>
      <c r="C51" s="0">
        <f>COUNTIFS(Accounts!$E:$E,'AccountSummary (New)'!C$1,Accounts!$G:$G,'AccountSummary (New)'!C$2,Accounts!$F:$F,'AccountSummary (New)'!C$3,Accounts!$B:$B,"Customer",Accounts!$C:$C,"Lost",Accounts!$H:$H,"&gt;"&amp;90,Accounts!$H:$H,"&lt;="&amp;180)</f>
        <v>0</v>
      </c>
      <c r="D51" s="0">
        <f>COUNTIFS(Accounts!$E:$E,'AccountSummary (New)'!D$1,Accounts!$G:$G,'AccountSummary (New)'!D$2,Accounts!$F:$F,'AccountSummary (New)'!D$3,Accounts!$B:$B,"Customer",Accounts!$C:$C,"Lost",Accounts!$H:$H,"&gt;"&amp;90,Accounts!$H:$H,"&lt;="&amp;180)</f>
        <v>0</v>
      </c>
      <c r="E51" s="0">
        <f>COUNTIFS(Accounts!$E:$E,'AccountSummary (New)'!E$1,Accounts!$G:$G,'AccountSummary (New)'!E$2,Accounts!$F:$F,'AccountSummary (New)'!E$3,Accounts!$B:$B,"Customer",Accounts!$C:$C,"Lost",Accounts!$H:$H,"&gt;"&amp;90,Accounts!$H:$H,"&lt;="&amp;180)</f>
        <v>0</v>
      </c>
      <c r="F51" s="0">
        <f>COUNTIFS(Accounts!$E:$E,'AccountSummary (New)'!F$1,Accounts!$G:$G,'AccountSummary (New)'!F$2,Accounts!$F:$F,'AccountSummary (New)'!F$3,Accounts!$B:$B,"Customer",Accounts!$C:$C,"Lost",Accounts!$H:$H,"&gt;"&amp;90,Accounts!$H:$H,"&lt;="&amp;180)</f>
        <v>0</v>
      </c>
      <c r="G51" s="0">
        <f>COUNTIFS(Accounts!$E:$E,'AccountSummary (New)'!G$1,Accounts!$G:$G,'AccountSummary (New)'!G$2,Accounts!$F:$F,'AccountSummary (New)'!G$3,Accounts!$B:$B,"Customer",Accounts!$C:$C,"Lost",Accounts!$H:$H,"&gt;"&amp;90,Accounts!$H:$H,"&lt;="&amp;180)</f>
        <v>0</v>
      </c>
      <c r="H51" s="0">
        <f>COUNTIFS(Accounts!$E:$E,'AccountSummary (New)'!H$1,Accounts!$G:$G,'AccountSummary (New)'!H$2,Accounts!$F:$F,'AccountSummary (New)'!H$3,Accounts!$B:$B,"Customer",Accounts!$C:$C,"Lost",Accounts!$H:$H,"&gt;"&amp;90,Accounts!$H:$H,"&lt;="&amp;180)</f>
        <v>0</v>
      </c>
      <c r="I51" s="19">
        <f>SUM(C51:H51)</f>
        <v>0</v>
      </c>
      <c r="J51" s="0">
        <f>COUNTIFS(Accounts!$E:$E,'AccountSummary (New)'!J$1,Accounts!$G:$G,'AccountSummary (New)'!J$2,Accounts!$F:$F,'AccountSummary (New)'!J$3,Accounts!$B:$B,"Customer",Accounts!$C:$C,"Lost",Accounts!$H:$H,"&gt;"&amp;90,Accounts!$H:$H,"&lt;="&amp;180)</f>
        <v>0</v>
      </c>
      <c r="K51" s="0">
        <f>COUNTIFS(Accounts!$E:$E,'AccountSummary (New)'!K$1,Accounts!$G:$G,'AccountSummary (New)'!K$2,Accounts!$F:$F,'AccountSummary (New)'!K$3,Accounts!$B:$B,"Customer",Accounts!$C:$C,"Lost",Accounts!$H:$H,"&gt;"&amp;90,Accounts!$H:$H,"&lt;="&amp;180)</f>
        <v>0</v>
      </c>
      <c r="L51" s="0">
        <f>COUNTIFS(Accounts!$E:$E,'AccountSummary (New)'!L$1,Accounts!$G:$G,'AccountSummary (New)'!L$2,Accounts!$F:$F,'AccountSummary (New)'!L$3,Accounts!$B:$B,"Customer",Accounts!$C:$C,"Lost",Accounts!$H:$H,"&gt;"&amp;90,Accounts!$H:$H,"&lt;="&amp;180)</f>
        <v>0</v>
      </c>
      <c r="M51" s="0">
        <f>COUNTIFS(Accounts!$E:$E,'AccountSummary (New)'!M$1,Accounts!$G:$G,'AccountSummary (New)'!M$2,Accounts!$F:$F,'AccountSummary (New)'!M$3,Accounts!$B:$B,"Customer",Accounts!$C:$C,"Lost",Accounts!$H:$H,"&gt;"&amp;90,Accounts!$H:$H,"&lt;="&amp;180)</f>
        <v>0</v>
      </c>
      <c r="N51" s="0">
        <f>COUNTIFS(Accounts!$E:$E,'AccountSummary (New)'!N$1,Accounts!$G:$G,'AccountSummary (New)'!N$2,Accounts!$F:$F,'AccountSummary (New)'!N$3,Accounts!$B:$B,"Customer",Accounts!$C:$C,"Lost",Accounts!$H:$H,"&gt;"&amp;90,Accounts!$H:$H,"&lt;="&amp;180)</f>
        <v>0</v>
      </c>
      <c r="O51" s="0">
        <f>COUNTIFS(Accounts!$E:$E,'AccountSummary (New)'!O$1,Accounts!$G:$G,'AccountSummary (New)'!O$2,Accounts!$F:$F,'AccountSummary (New)'!O$3,Accounts!$B:$B,"Customer",Accounts!$C:$C,"Lost",Accounts!$H:$H,"&gt;"&amp;90,Accounts!$H:$H,"&lt;="&amp;180)</f>
        <v>0</v>
      </c>
      <c r="P51" s="19">
        <f>SUM(J51:O51)</f>
        <v>0</v>
      </c>
      <c r="Q51" s="0">
        <f>COUNTIFS(Accounts!$E:$E,'AccountSummary (New)'!Q$1,Accounts!$G:$G,'AccountSummary (New)'!Q$2,Accounts!$F:$F,'AccountSummary (New)'!Q$3,Accounts!$B:$B,"Customer",Accounts!$C:$C,"Lost",Accounts!$H:$H,"&gt;"&amp;90,Accounts!$H:$H,"&lt;="&amp;180)</f>
        <v>0</v>
      </c>
      <c r="R51" s="0">
        <f>COUNTIFS(Accounts!$E:$E,'AccountSummary (New)'!R$1,Accounts!$G:$G,'AccountSummary (New)'!R$2,Accounts!$F:$F,'AccountSummary (New)'!R$3,Accounts!$B:$B,"Customer",Accounts!$C:$C,"Lost",Accounts!$H:$H,"&gt;"&amp;90,Accounts!$H:$H,"&lt;="&amp;180)</f>
        <v>0</v>
      </c>
      <c r="S51" s="0">
        <f>COUNTIFS(Accounts!$E:$E,'AccountSummary (New)'!S$1,Accounts!$G:$G,'AccountSummary (New)'!S$2,Accounts!$F:$F,'AccountSummary (New)'!S$3,Accounts!$B:$B,"Customer",Accounts!$C:$C,"Lost",Accounts!$H:$H,"&gt;"&amp;90,Accounts!$H:$H,"&lt;="&amp;180)</f>
        <v>0</v>
      </c>
      <c r="T51" s="0">
        <f>COUNTIFS(Accounts!$E:$E,'AccountSummary (New)'!T$1,Accounts!$G:$G,'AccountSummary (New)'!T$2,Accounts!$F:$F,'AccountSummary (New)'!T$3,Accounts!$B:$B,"Customer",Accounts!$C:$C,"Lost",Accounts!$H:$H,"&gt;"&amp;90,Accounts!$H:$H,"&lt;="&amp;180)</f>
        <v>0</v>
      </c>
      <c r="U51" s="0">
        <f>COUNTIFS(Accounts!$E:$E,'AccountSummary (New)'!U$1,Accounts!$G:$G,'AccountSummary (New)'!U$2,Accounts!$F:$F,'AccountSummary (New)'!U$3,Accounts!$B:$B,"Customer",Accounts!$C:$C,"Lost",Accounts!$H:$H,"&gt;"&amp;90,Accounts!$H:$H,"&lt;="&amp;180)</f>
        <v>0</v>
      </c>
      <c r="V51" s="0">
        <f>COUNTIFS(Accounts!$E:$E,'AccountSummary (New)'!V$1,Accounts!$G:$G,'AccountSummary (New)'!V$2,Accounts!$F:$F,'AccountSummary (New)'!V$3,Accounts!$B:$B,"Customer",Accounts!$C:$C,"Lost",Accounts!$H:$H,"&gt;"&amp;90,Accounts!$H:$H,"&lt;="&amp;180)</f>
        <v>0</v>
      </c>
      <c r="W51" s="19">
        <f>SUM(Q51:V51)</f>
        <v>0</v>
      </c>
    </row>
    <row r="52">
      <c r="A52" s="5" t="s">
        <v>30</v>
      </c>
      <c r="B52" s="13">
        <f>I52+P52+W52</f>
        <v>0</v>
      </c>
      <c r="C52" s="0">
        <f>COUNTIFS(Accounts!$E:$E,'AccountSummary (New)'!C$1,Accounts!$G:$G,'AccountSummary (New)'!C$2,Accounts!$F:$F,'AccountSummary (New)'!C$3,Accounts!$B:$B,"Customer",Accounts!$C:$C,"Customer",Accounts!$H:$H,"&gt;"&amp;90,Accounts!$H:$H,"&lt;="&amp;180)</f>
        <v>0</v>
      </c>
      <c r="D52" s="0">
        <f>COUNTIFS(Accounts!$E:$E,'AccountSummary (New)'!D$1,Accounts!$G:$G,'AccountSummary (New)'!D$2,Accounts!$F:$F,'AccountSummary (New)'!D$3,Accounts!$B:$B,"Customer",Accounts!$C:$C,"Customer",Accounts!$H:$H,"&gt;"&amp;90,Accounts!$H:$H,"&lt;="&amp;180)</f>
        <v>0</v>
      </c>
      <c r="E52" s="0">
        <f>COUNTIFS(Accounts!$E:$E,'AccountSummary (New)'!E$1,Accounts!$G:$G,'AccountSummary (New)'!E$2,Accounts!$F:$F,'AccountSummary (New)'!E$3,Accounts!$B:$B,"Customer",Accounts!$C:$C,"Customer",Accounts!$H:$H,"&gt;"&amp;90,Accounts!$H:$H,"&lt;="&amp;180)</f>
        <v>0</v>
      </c>
      <c r="F52" s="0">
        <f>COUNTIFS(Accounts!$E:$E,'AccountSummary (New)'!F$1,Accounts!$G:$G,'AccountSummary (New)'!F$2,Accounts!$F:$F,'AccountSummary (New)'!F$3,Accounts!$B:$B,"Customer",Accounts!$C:$C,"Customer",Accounts!$H:$H,"&gt;"&amp;90,Accounts!$H:$H,"&lt;="&amp;180)</f>
        <v>0</v>
      </c>
      <c r="G52" s="0">
        <f>COUNTIFS(Accounts!$E:$E,'AccountSummary (New)'!G$1,Accounts!$G:$G,'AccountSummary (New)'!G$2,Accounts!$F:$F,'AccountSummary (New)'!G$3,Accounts!$B:$B,"Customer",Accounts!$C:$C,"Customer",Accounts!$H:$H,"&gt;"&amp;90,Accounts!$H:$H,"&lt;="&amp;180)</f>
        <v>0</v>
      </c>
      <c r="H52" s="0">
        <f>COUNTIFS(Accounts!$E:$E,'AccountSummary (New)'!H$1,Accounts!$G:$G,'AccountSummary (New)'!H$2,Accounts!$F:$F,'AccountSummary (New)'!H$3,Accounts!$B:$B,"Customer",Accounts!$C:$C,"Customer",Accounts!$H:$H,"&gt;"&amp;90,Accounts!$H:$H,"&lt;="&amp;180)</f>
        <v>0</v>
      </c>
      <c r="I52" s="19">
        <f>SUM(C52:H52)</f>
        <v>0</v>
      </c>
      <c r="J52" s="0">
        <f>COUNTIFS(Accounts!$E:$E,'AccountSummary (New)'!J$1,Accounts!$G:$G,'AccountSummary (New)'!J$2,Accounts!$F:$F,'AccountSummary (New)'!J$3,Accounts!$B:$B,"Customer",Accounts!$C:$C,"Customer",Accounts!$H:$H,"&gt;"&amp;90,Accounts!$H:$H,"&lt;="&amp;180)</f>
        <v>0</v>
      </c>
      <c r="K52" s="0">
        <f>COUNTIFS(Accounts!$E:$E,'AccountSummary (New)'!K$1,Accounts!$G:$G,'AccountSummary (New)'!K$2,Accounts!$F:$F,'AccountSummary (New)'!K$3,Accounts!$B:$B,"Customer",Accounts!$C:$C,"Customer",Accounts!$H:$H,"&gt;"&amp;90,Accounts!$H:$H,"&lt;="&amp;180)</f>
        <v>0</v>
      </c>
      <c r="L52" s="0">
        <f>COUNTIFS(Accounts!$E:$E,'AccountSummary (New)'!L$1,Accounts!$G:$G,'AccountSummary (New)'!L$2,Accounts!$F:$F,'AccountSummary (New)'!L$3,Accounts!$B:$B,"Customer",Accounts!$C:$C,"Customer",Accounts!$H:$H,"&gt;"&amp;90,Accounts!$H:$H,"&lt;="&amp;180)</f>
        <v>0</v>
      </c>
      <c r="M52" s="0">
        <f>COUNTIFS(Accounts!$E:$E,'AccountSummary (New)'!M$1,Accounts!$G:$G,'AccountSummary (New)'!M$2,Accounts!$F:$F,'AccountSummary (New)'!M$3,Accounts!$B:$B,"Customer",Accounts!$C:$C,"Customer",Accounts!$H:$H,"&gt;"&amp;90,Accounts!$H:$H,"&lt;="&amp;180)</f>
        <v>0</v>
      </c>
      <c r="N52" s="0">
        <f>COUNTIFS(Accounts!$E:$E,'AccountSummary (New)'!N$1,Accounts!$G:$G,'AccountSummary (New)'!N$2,Accounts!$F:$F,'AccountSummary (New)'!N$3,Accounts!$B:$B,"Customer",Accounts!$C:$C,"Customer",Accounts!$H:$H,"&gt;"&amp;90,Accounts!$H:$H,"&lt;="&amp;180)</f>
        <v>0</v>
      </c>
      <c r="O52" s="0">
        <f>COUNTIFS(Accounts!$E:$E,'AccountSummary (New)'!O$1,Accounts!$G:$G,'AccountSummary (New)'!O$2,Accounts!$F:$F,'AccountSummary (New)'!O$3,Accounts!$B:$B,"Customer",Accounts!$C:$C,"Customer",Accounts!$H:$H,"&gt;"&amp;90,Accounts!$H:$H,"&lt;="&amp;180)</f>
        <v>0</v>
      </c>
      <c r="P52" s="19">
        <f>SUM(J52:O52)</f>
        <v>0</v>
      </c>
      <c r="Q52" s="0">
        <f>COUNTIFS(Accounts!$E:$E,'AccountSummary (New)'!Q$1,Accounts!$G:$G,'AccountSummary (New)'!Q$2,Accounts!$F:$F,'AccountSummary (New)'!Q$3,Accounts!$B:$B,"Customer",Accounts!$C:$C,"Customer",Accounts!$H:$H,"&gt;"&amp;90,Accounts!$H:$H,"&lt;="&amp;180)</f>
        <v>0</v>
      </c>
      <c r="R52" s="0">
        <f>COUNTIFS(Accounts!$E:$E,'AccountSummary (New)'!R$1,Accounts!$G:$G,'AccountSummary (New)'!R$2,Accounts!$F:$F,'AccountSummary (New)'!R$3,Accounts!$B:$B,"Customer",Accounts!$C:$C,"Customer",Accounts!$H:$H,"&gt;"&amp;90,Accounts!$H:$H,"&lt;="&amp;180)</f>
        <v>0</v>
      </c>
      <c r="S52" s="0">
        <f>COUNTIFS(Accounts!$E:$E,'AccountSummary (New)'!S$1,Accounts!$G:$G,'AccountSummary (New)'!S$2,Accounts!$F:$F,'AccountSummary (New)'!S$3,Accounts!$B:$B,"Customer",Accounts!$C:$C,"Customer",Accounts!$H:$H,"&gt;"&amp;90,Accounts!$H:$H,"&lt;="&amp;180)</f>
        <v>0</v>
      </c>
      <c r="T52" s="0">
        <f>COUNTIFS(Accounts!$E:$E,'AccountSummary (New)'!T$1,Accounts!$G:$G,'AccountSummary (New)'!T$2,Accounts!$F:$F,'AccountSummary (New)'!T$3,Accounts!$B:$B,"Customer",Accounts!$C:$C,"Customer",Accounts!$H:$H,"&gt;"&amp;90,Accounts!$H:$H,"&lt;="&amp;180)</f>
        <v>0</v>
      </c>
      <c r="U52" s="0">
        <f>COUNTIFS(Accounts!$E:$E,'AccountSummary (New)'!U$1,Accounts!$G:$G,'AccountSummary (New)'!U$2,Accounts!$F:$F,'AccountSummary (New)'!U$3,Accounts!$B:$B,"Customer",Accounts!$C:$C,"Customer",Accounts!$H:$H,"&gt;"&amp;90,Accounts!$H:$H,"&lt;="&amp;180)</f>
        <v>0</v>
      </c>
      <c r="V52" s="0">
        <f>COUNTIFS(Accounts!$E:$E,'AccountSummary (New)'!V$1,Accounts!$G:$G,'AccountSummary (New)'!V$2,Accounts!$F:$F,'AccountSummary (New)'!V$3,Accounts!$B:$B,"Customer",Accounts!$C:$C,"Customer",Accounts!$H:$H,"&gt;"&amp;90,Accounts!$H:$H,"&lt;="&amp;180)</f>
        <v>0</v>
      </c>
      <c r="W52" s="19">
        <f>SUM(Q52:V52)</f>
        <v>0</v>
      </c>
    </row>
    <row r="53">
      <c r="A53" s="6" t="s">
        <v>31</v>
      </c>
      <c r="B53" s="17">
        <f>IF(B52=0,0,SUMIFS(Accounts!$L:$L,Accounts!$W:$W,0,Accounts!$C:$C,"Customer",Accounts!$H:$H,"&gt;"&amp;60,Accounts!$H:$H,"&lt;="&amp;90)/B52)</f>
        <v>0</v>
      </c>
      <c r="C53" s="8">
        <f>IF(C52=0,0,SUMIFS(Accounts!$L:$L,Accounts!$E:$E,'AccountSummary (New)'!C$1,Accounts!$G:$G,'AccountSummary (New)'!C$2,Accounts!$F:$F,'AccountSummary (New)'!C$3,Accounts!$W:$W,0,Accounts!$C:$C,"Customer",Accounts!$H:$H,"&gt;"&amp;90,Accounts!$H:$H,"&lt;="&amp;180)/C52)</f>
        <v>0</v>
      </c>
      <c r="D53" s="8">
        <f>IF(D52=0,0,SUMIFS(Accounts!$L:$L,Accounts!$E:$E,'AccountSummary (New)'!D$1,Accounts!$G:$G,'AccountSummary (New)'!D$2,Accounts!$F:$F,'AccountSummary (New)'!D$3,Accounts!$W:$W,0,Accounts!$C:$C,"Customer",Accounts!$H:$H,"&gt;"&amp;90,Accounts!$H:$H,"&lt;="&amp;180)/D52)</f>
        <v>0</v>
      </c>
      <c r="E53" s="8">
        <f>IF(E52=0,0,SUMIFS(Accounts!$L:$L,Accounts!$E:$E,'AccountSummary (New)'!E$1,Accounts!$G:$G,'AccountSummary (New)'!E$2,Accounts!$F:$F,'AccountSummary (New)'!E$3,Accounts!$W:$W,0,Accounts!$C:$C,"Customer",Accounts!$H:$H,"&gt;"&amp;90,Accounts!$H:$H,"&lt;="&amp;180)/E52)</f>
        <v>0</v>
      </c>
      <c r="F53" s="8">
        <f>IF(F52=0,0,SUMIFS(Accounts!$L:$L,Accounts!$E:$E,'AccountSummary (New)'!F$1,Accounts!$G:$G,'AccountSummary (New)'!F$2,Accounts!$F:$F,'AccountSummary (New)'!F$3,Accounts!$W:$W,0,Accounts!$C:$C,"Customer",Accounts!$H:$H,"&gt;"&amp;90,Accounts!$H:$H,"&lt;="&amp;180)/F52)</f>
        <v>0</v>
      </c>
      <c r="G53" s="8">
        <f>IF(G52=0,0,SUMIFS(Accounts!$L:$L,Accounts!$E:$E,'AccountSummary (New)'!G$1,Accounts!$G:$G,'AccountSummary (New)'!G$2,Accounts!$F:$F,'AccountSummary (New)'!G$3,Accounts!$W:$W,0,Accounts!$C:$C,"Customer",Accounts!$H:$H,"&gt;"&amp;90,Accounts!$H:$H,"&lt;="&amp;180)/G52)</f>
        <v>0</v>
      </c>
      <c r="H53" s="8">
        <f>IF(H52=0,0,SUMIFS(Accounts!$L:$L,Accounts!$E:$E,'AccountSummary (New)'!H$1,Accounts!$G:$G,'AccountSummary (New)'!H$2,Accounts!$F:$F,'AccountSummary (New)'!H$3,Accounts!$W:$W,0,Accounts!$C:$C,"Customer",Accounts!$H:$H,"&gt;"&amp;90,Accounts!$H:$H,"&lt;="&amp;180)/H52)</f>
        <v>0</v>
      </c>
      <c r="I53" s="9">
        <f>IF(I52=0,0,SUMIFS(Accounts!$L:$L,Accounts!$F:$F,'AccountSummary (New)'!I$3,Accounts!$W:$W,0,Accounts!$C:$C,"Customer",Accounts!$H:$H,"&gt;"&amp;90,Accounts!$H:$H,"&lt;="&amp;180)/I52)</f>
        <v>0</v>
      </c>
      <c r="J53" s="8">
        <f>IF(J52=0,0,SUMIFS(Accounts!$L:$L,Accounts!$E:$E,'AccountSummary (New)'!J$1,Accounts!$G:$G,'AccountSummary (New)'!J$2,Accounts!$F:$F,'AccountSummary (New)'!J$3,Accounts!$W:$W,0,Accounts!$C:$C,"Customer",Accounts!$H:$H,"&gt;"&amp;90,Accounts!$H:$H,"&lt;="&amp;180)/J52)</f>
        <v>0</v>
      </c>
      <c r="K53" s="8">
        <f>IF(K52=0,0,SUMIFS(Accounts!$L:$L,Accounts!$E:$E,'AccountSummary (New)'!K$1,Accounts!$G:$G,'AccountSummary (New)'!K$2,Accounts!$F:$F,'AccountSummary (New)'!K$3,Accounts!$W:$W,0,Accounts!$C:$C,"Customer",Accounts!$H:$H,"&gt;"&amp;90,Accounts!$H:$H,"&lt;="&amp;180)/K52)</f>
        <v>0</v>
      </c>
      <c r="L53" s="8">
        <f>IF(L52=0,0,SUMIFS(Accounts!$L:$L,Accounts!$E:$E,'AccountSummary (New)'!L$1,Accounts!$G:$G,'AccountSummary (New)'!L$2,Accounts!$F:$F,'AccountSummary (New)'!L$3,Accounts!$W:$W,0,Accounts!$C:$C,"Customer",Accounts!$H:$H,"&gt;"&amp;90,Accounts!$H:$H,"&lt;="&amp;180)/L52)</f>
        <v>0</v>
      </c>
      <c r="M53" s="8">
        <f>IF(M52=0,0,SUMIFS(Accounts!$L:$L,Accounts!$E:$E,'AccountSummary (New)'!M$1,Accounts!$G:$G,'AccountSummary (New)'!M$2,Accounts!$F:$F,'AccountSummary (New)'!M$3,Accounts!$W:$W,0,Accounts!$C:$C,"Customer",Accounts!$H:$H,"&gt;"&amp;90,Accounts!$H:$H,"&lt;="&amp;180)/M52)</f>
        <v>0</v>
      </c>
      <c r="N53" s="8">
        <f>IF(N52=0,0,SUMIFS(Accounts!$L:$L,Accounts!$E:$E,'AccountSummary (New)'!N$1,Accounts!$G:$G,'AccountSummary (New)'!N$2,Accounts!$F:$F,'AccountSummary (New)'!N$3,Accounts!$W:$W,0,Accounts!$C:$C,"Customer",Accounts!$H:$H,"&gt;"&amp;90,Accounts!$H:$H,"&lt;="&amp;180)/N52)</f>
        <v>0</v>
      </c>
      <c r="O53" s="8">
        <f>IF(O52=0,0,SUMIFS(Accounts!$L:$L,Accounts!$E:$E,'AccountSummary (New)'!O$1,Accounts!$G:$G,'AccountSummary (New)'!O$2,Accounts!$F:$F,'AccountSummary (New)'!O$3,Accounts!$W:$W,0,Accounts!$C:$C,"Customer",Accounts!$H:$H,"&gt;"&amp;90,Accounts!$H:$H,"&lt;="&amp;180)/O52)</f>
        <v>0</v>
      </c>
      <c r="P53" s="9">
        <f>IF(P52=0,0,SUMIFS(Accounts!$L:$L,Accounts!$F:$F,'AccountSummary (New)'!P$3,Accounts!$W:$W,0,Accounts!$C:$C,"Customer",Accounts!$H:$H,"&gt;"&amp;90,Accounts!$H:$H,"&lt;="&amp;180)/P52)</f>
        <v>0</v>
      </c>
      <c r="Q53" s="8">
        <f>IF(Q52=0,0,SUMIFS(Accounts!$L:$L,Accounts!$E:$E,'AccountSummary (New)'!Q$1,Accounts!$G:$G,'AccountSummary (New)'!Q$2,Accounts!$F:$F,'AccountSummary (New)'!Q$3,Accounts!$W:$W,0,Accounts!$C:$C,"Customer",Accounts!$H:$H,"&gt;"&amp;90,Accounts!$H:$H,"&lt;="&amp;180)/Q52)</f>
        <v>0</v>
      </c>
      <c r="R53" s="8">
        <f>IF(R52=0,0,SUMIFS(Accounts!$L:$L,Accounts!$E:$E,'AccountSummary (New)'!R$1,Accounts!$G:$G,'AccountSummary (New)'!R$2,Accounts!$F:$F,'AccountSummary (New)'!R$3,Accounts!$W:$W,0,Accounts!$C:$C,"Customer",Accounts!$H:$H,"&gt;"&amp;90,Accounts!$H:$H,"&lt;="&amp;180)/R52)</f>
        <v>0</v>
      </c>
      <c r="S53" s="8">
        <f>IF(S52=0,0,SUMIFS(Accounts!$L:$L,Accounts!$E:$E,'AccountSummary (New)'!S$1,Accounts!$G:$G,'AccountSummary (New)'!S$2,Accounts!$F:$F,'AccountSummary (New)'!S$3,Accounts!$W:$W,0,Accounts!$C:$C,"Customer",Accounts!$H:$H,"&gt;"&amp;90,Accounts!$H:$H,"&lt;="&amp;180)/S52)</f>
        <v>0</v>
      </c>
      <c r="T53" s="8">
        <f>IF(T52=0,0,SUMIFS(Accounts!$L:$L,Accounts!$E:$E,'AccountSummary (New)'!T$1,Accounts!$G:$G,'AccountSummary (New)'!T$2,Accounts!$F:$F,'AccountSummary (New)'!T$3,Accounts!$W:$W,0,Accounts!$C:$C,"Customer",Accounts!$H:$H,"&gt;"&amp;90,Accounts!$H:$H,"&lt;="&amp;180)/T52)</f>
        <v>0</v>
      </c>
      <c r="U53" s="8">
        <f>IF(U52=0,0,SUMIFS(Accounts!$L:$L,Accounts!$E:$E,'AccountSummary (New)'!U$1,Accounts!$G:$G,'AccountSummary (New)'!U$2,Accounts!$F:$F,'AccountSummary (New)'!U$3,Accounts!$W:$W,0,Accounts!$C:$C,"Customer",Accounts!$H:$H,"&gt;"&amp;90,Accounts!$H:$H,"&lt;="&amp;180)/U52)</f>
        <v>0</v>
      </c>
      <c r="V53" s="8">
        <f>IF(V52=0,0,SUMIFS(Accounts!$L:$L,Accounts!$E:$E,'AccountSummary (New)'!V$1,Accounts!$G:$G,'AccountSummary (New)'!V$2,Accounts!$F:$F,'AccountSummary (New)'!V$3,Accounts!$W:$W,0,Accounts!$C:$C,"Customer",Accounts!$H:$H,"&gt;"&amp;90,Accounts!$H:$H,"&lt;="&amp;180)/V52)</f>
        <v>0</v>
      </c>
      <c r="W53" s="9">
        <f>IF(W52=0,0,SUMIFS(Accounts!$L:$L,Accounts!$F:$F,'AccountSummary (New)'!W$3,Accounts!$W:$W,0,Accounts!$C:$C,"Customer",Accounts!$H:$H,"&gt;"&amp;90,Accounts!$H:$H,"&lt;="&amp;180)/W52)</f>
        <v>0</v>
      </c>
    </row>
    <row r="54">
      <c r="A54" s="6" t="s">
        <v>32</v>
      </c>
      <c r="B54" s="17">
        <f>IF(B52=0,0,SUMIFS(Accounts!$M:$M,Accounts!$W:$W,0,Accounts!$C:$C,"Customer",Accounts!$H:$H,"&gt;"&amp;60,Accounts!$H:$H,"&lt;="&amp;90)/B52)</f>
        <v>0</v>
      </c>
      <c r="C54" s="8">
        <f>IF(C52=0,0,SUMIFS(Accounts!$M:$M,Accounts!$E:$E,'AccountSummary (New)'!C$1,Accounts!$G:$G,'AccountSummary (New)'!C$2,Accounts!$F:$F,'AccountSummary (New)'!C$3,Accounts!$W:$W,0,Accounts!$C:$C,"Customer",Accounts!$H:$H,"&gt;"&amp;90,Accounts!$H:$H,"&lt;="&amp;180)/C52)</f>
        <v>0</v>
      </c>
      <c r="D54" s="8">
        <f>IF(D52=0,0,SUMIFS(Accounts!$M:$M,Accounts!$E:$E,'AccountSummary (New)'!D$1,Accounts!$G:$G,'AccountSummary (New)'!D$2,Accounts!$F:$F,'AccountSummary (New)'!D$3,Accounts!$W:$W,0,Accounts!$C:$C,"Customer",Accounts!$H:$H,"&gt;"&amp;90,Accounts!$H:$H,"&lt;="&amp;180)/D52)</f>
        <v>0</v>
      </c>
      <c r="E54" s="8">
        <f>IF(E52=0,0,SUMIFS(Accounts!$M:$M,Accounts!$E:$E,'AccountSummary (New)'!E$1,Accounts!$G:$G,'AccountSummary (New)'!E$2,Accounts!$F:$F,'AccountSummary (New)'!E$3,Accounts!$W:$W,0,Accounts!$C:$C,"Customer",Accounts!$H:$H,"&gt;"&amp;90,Accounts!$H:$H,"&lt;="&amp;180)/E52)</f>
        <v>0</v>
      </c>
      <c r="F54" s="8">
        <f>IF(F52=0,0,SUMIFS(Accounts!$M:$M,Accounts!$E:$E,'AccountSummary (New)'!F$1,Accounts!$G:$G,'AccountSummary (New)'!F$2,Accounts!$F:$F,'AccountSummary (New)'!F$3,Accounts!$W:$W,0,Accounts!$C:$C,"Customer",Accounts!$H:$H,"&gt;"&amp;90,Accounts!$H:$H,"&lt;="&amp;180)/F52)</f>
        <v>0</v>
      </c>
      <c r="G54" s="8">
        <f>IF(G52=0,0,SUMIFS(Accounts!$M:$M,Accounts!$E:$E,'AccountSummary (New)'!G$1,Accounts!$G:$G,'AccountSummary (New)'!G$2,Accounts!$F:$F,'AccountSummary (New)'!G$3,Accounts!$W:$W,0,Accounts!$C:$C,"Customer",Accounts!$H:$H,"&gt;"&amp;90,Accounts!$H:$H,"&lt;="&amp;180)/G52)</f>
        <v>0</v>
      </c>
      <c r="H54" s="8">
        <f>IF(H52=0,0,SUMIFS(Accounts!$M:$M,Accounts!$E:$E,'AccountSummary (New)'!H$1,Accounts!$G:$G,'AccountSummary (New)'!H$2,Accounts!$F:$F,'AccountSummary (New)'!H$3,Accounts!$W:$W,0,Accounts!$C:$C,"Customer",Accounts!$H:$H,"&gt;"&amp;90,Accounts!$H:$H,"&lt;="&amp;180)/H52)</f>
        <v>0</v>
      </c>
      <c r="I54" s="9">
        <f>IF(I52=0,0,SUMIFS(Accounts!$M:$M,Accounts!$F:$F,'AccountSummary (New)'!I$3,Accounts!$W:$W,0,Accounts!$C:$C,"Customer",Accounts!$H:$H,"&gt;"&amp;90,Accounts!$H:$H,"&lt;="&amp;180)/I52)</f>
        <v>0</v>
      </c>
      <c r="J54" s="8">
        <f>IF(J52=0,0,SUMIFS(Accounts!$M:$M,Accounts!$E:$E,'AccountSummary (New)'!J$1,Accounts!$G:$G,'AccountSummary (New)'!J$2,Accounts!$F:$F,'AccountSummary (New)'!J$3,Accounts!$W:$W,0,Accounts!$C:$C,"Customer",Accounts!$H:$H,"&gt;"&amp;90,Accounts!$H:$H,"&lt;="&amp;180)/J52)</f>
        <v>0</v>
      </c>
      <c r="K54" s="8">
        <f>IF(K52=0,0,SUMIFS(Accounts!$M:$M,Accounts!$E:$E,'AccountSummary (New)'!K$1,Accounts!$G:$G,'AccountSummary (New)'!K$2,Accounts!$F:$F,'AccountSummary (New)'!K$3,Accounts!$W:$W,0,Accounts!$C:$C,"Customer",Accounts!$H:$H,"&gt;"&amp;90,Accounts!$H:$H,"&lt;="&amp;180)/K52)</f>
        <v>0</v>
      </c>
      <c r="L54" s="8">
        <f>IF(L52=0,0,SUMIFS(Accounts!$M:$M,Accounts!$E:$E,'AccountSummary (New)'!L$1,Accounts!$G:$G,'AccountSummary (New)'!L$2,Accounts!$F:$F,'AccountSummary (New)'!L$3,Accounts!$W:$W,0,Accounts!$C:$C,"Customer",Accounts!$H:$H,"&gt;"&amp;90,Accounts!$H:$H,"&lt;="&amp;180)/L52)</f>
        <v>0</v>
      </c>
      <c r="M54" s="8">
        <f>IF(M52=0,0,SUMIFS(Accounts!$M:$M,Accounts!$E:$E,'AccountSummary (New)'!M$1,Accounts!$G:$G,'AccountSummary (New)'!M$2,Accounts!$F:$F,'AccountSummary (New)'!M$3,Accounts!$W:$W,0,Accounts!$C:$C,"Customer",Accounts!$H:$H,"&gt;"&amp;90,Accounts!$H:$H,"&lt;="&amp;180)/M52)</f>
        <v>0</v>
      </c>
      <c r="N54" s="8">
        <f>IF(N52=0,0,SUMIFS(Accounts!$M:$M,Accounts!$E:$E,'AccountSummary (New)'!N$1,Accounts!$G:$G,'AccountSummary (New)'!N$2,Accounts!$F:$F,'AccountSummary (New)'!N$3,Accounts!$W:$W,0,Accounts!$C:$C,"Customer",Accounts!$H:$H,"&gt;"&amp;90,Accounts!$H:$H,"&lt;="&amp;180)/N52)</f>
        <v>0</v>
      </c>
      <c r="O54" s="8">
        <f>IF(O52=0,0,SUMIFS(Accounts!$M:$M,Accounts!$E:$E,'AccountSummary (New)'!O$1,Accounts!$G:$G,'AccountSummary (New)'!O$2,Accounts!$F:$F,'AccountSummary (New)'!O$3,Accounts!$W:$W,0,Accounts!$C:$C,"Customer",Accounts!$H:$H,"&gt;"&amp;90,Accounts!$H:$H,"&lt;="&amp;180)/O52)</f>
        <v>0</v>
      </c>
      <c r="P54" s="9">
        <f>IF(P52=0,0,SUMIFS(Accounts!$M:$M,Accounts!$F:$F,'AccountSummary (New)'!P$3,Accounts!$W:$W,0,Accounts!$C:$C,"Customer",Accounts!$H:$H,"&gt;"&amp;90,Accounts!$H:$H,"&lt;="&amp;180)/P52)</f>
        <v>0</v>
      </c>
      <c r="Q54" s="8">
        <f>IF(Q52=0,0,SUMIFS(Accounts!$M:$M,Accounts!$E:$E,'AccountSummary (New)'!Q$1,Accounts!$G:$G,'AccountSummary (New)'!Q$2,Accounts!$F:$F,'AccountSummary (New)'!Q$3,Accounts!$W:$W,0,Accounts!$C:$C,"Customer",Accounts!$H:$H,"&gt;"&amp;90,Accounts!$H:$H,"&lt;="&amp;180)/Q52)</f>
        <v>0</v>
      </c>
      <c r="R54" s="8">
        <f>IF(R52=0,0,SUMIFS(Accounts!$M:$M,Accounts!$E:$E,'AccountSummary (New)'!R$1,Accounts!$G:$G,'AccountSummary (New)'!R$2,Accounts!$F:$F,'AccountSummary (New)'!R$3,Accounts!$W:$W,0,Accounts!$C:$C,"Customer",Accounts!$H:$H,"&gt;"&amp;90,Accounts!$H:$H,"&lt;="&amp;180)/R52)</f>
        <v>0</v>
      </c>
      <c r="S54" s="8">
        <f>IF(S52=0,0,SUMIFS(Accounts!$M:$M,Accounts!$E:$E,'AccountSummary (New)'!S$1,Accounts!$G:$G,'AccountSummary (New)'!S$2,Accounts!$F:$F,'AccountSummary (New)'!S$3,Accounts!$W:$W,0,Accounts!$C:$C,"Customer",Accounts!$H:$H,"&gt;"&amp;90,Accounts!$H:$H,"&lt;="&amp;180)/S52)</f>
        <v>0</v>
      </c>
      <c r="T54" s="8">
        <f>IF(T52=0,0,SUMIFS(Accounts!$M:$M,Accounts!$E:$E,'AccountSummary (New)'!T$1,Accounts!$G:$G,'AccountSummary (New)'!T$2,Accounts!$F:$F,'AccountSummary (New)'!T$3,Accounts!$W:$W,0,Accounts!$C:$C,"Customer",Accounts!$H:$H,"&gt;"&amp;90,Accounts!$H:$H,"&lt;="&amp;180)/T52)</f>
        <v>0</v>
      </c>
      <c r="U54" s="8">
        <f>IF(U52=0,0,SUMIFS(Accounts!$M:$M,Accounts!$E:$E,'AccountSummary (New)'!U$1,Accounts!$G:$G,'AccountSummary (New)'!U$2,Accounts!$F:$F,'AccountSummary (New)'!U$3,Accounts!$W:$W,0,Accounts!$C:$C,"Customer",Accounts!$H:$H,"&gt;"&amp;90,Accounts!$H:$H,"&lt;="&amp;180)/U52)</f>
        <v>0</v>
      </c>
      <c r="V54" s="8">
        <f>IF(V52=0,0,SUMIFS(Accounts!$M:$M,Accounts!$E:$E,'AccountSummary (New)'!V$1,Accounts!$G:$G,'AccountSummary (New)'!V$2,Accounts!$F:$F,'AccountSummary (New)'!V$3,Accounts!$W:$W,0,Accounts!$C:$C,"Customer",Accounts!$H:$H,"&gt;"&amp;90,Accounts!$H:$H,"&lt;="&amp;180)/V52)</f>
        <v>0</v>
      </c>
      <c r="W54" s="9">
        <f>IF(W52=0,0,SUMIFS(Accounts!$M:$M,Accounts!$F:$F,'AccountSummary (New)'!W$3,Accounts!$W:$W,0,Accounts!$C:$C,"Customer",Accounts!$H:$H,"&gt;"&amp;90,Accounts!$H:$H,"&lt;="&amp;180)/W52)</f>
        <v>0</v>
      </c>
    </row>
    <row r="55">
      <c r="A55" s="5" t="s">
        <v>33</v>
      </c>
      <c r="B55" s="14">
        <f>IF(B52=0,0,B56/B52)</f>
        <v>0</v>
      </c>
      <c r="C55" s="22">
        <f ref="C55:W55" t="shared" si="16">IF(C52=0,0,C56/C52)</f>
        <v>0</v>
      </c>
      <c r="D55" s="22">
        <f t="shared" si="16"/>
        <v>0</v>
      </c>
      <c r="E55" s="22">
        <f t="shared" si="16"/>
        <v>0</v>
      </c>
      <c r="F55" s="22">
        <f t="shared" si="16"/>
        <v>0</v>
      </c>
      <c r="G55" s="22">
        <f t="shared" si="16"/>
        <v>0</v>
      </c>
      <c r="H55" s="22">
        <f t="shared" si="16"/>
        <v>0</v>
      </c>
      <c r="I55" s="10">
        <f t="shared" si="16"/>
        <v>0</v>
      </c>
      <c r="J55" s="22">
        <f t="shared" si="16"/>
        <v>0</v>
      </c>
      <c r="K55" s="22">
        <f t="shared" si="16"/>
        <v>0</v>
      </c>
      <c r="L55" s="22">
        <f t="shared" si="16"/>
        <v>0</v>
      </c>
      <c r="M55" s="22">
        <f t="shared" si="16"/>
        <v>0</v>
      </c>
      <c r="N55" s="22">
        <f t="shared" si="16"/>
        <v>0</v>
      </c>
      <c r="O55" s="22">
        <f t="shared" si="16"/>
        <v>0</v>
      </c>
      <c r="P55" s="10">
        <f t="shared" si="16"/>
        <v>0</v>
      </c>
      <c r="Q55" s="22">
        <f t="shared" si="16"/>
        <v>0</v>
      </c>
      <c r="R55" s="22">
        <f t="shared" si="16"/>
        <v>0</v>
      </c>
      <c r="S55" s="22">
        <f t="shared" si="16"/>
        <v>0</v>
      </c>
      <c r="T55" s="22">
        <f t="shared" si="16"/>
        <v>0</v>
      </c>
      <c r="U55" s="22">
        <f t="shared" si="16"/>
        <v>0</v>
      </c>
      <c r="V55" s="22">
        <f t="shared" si="16"/>
        <v>0</v>
      </c>
      <c r="W55" s="10">
        <f t="shared" si="16"/>
        <v>0</v>
      </c>
    </row>
    <row r="56">
      <c r="A56" s="5" t="s">
        <v>34</v>
      </c>
      <c r="B56" s="14">
        <f>I56+P56+W56</f>
        <v>0</v>
      </c>
      <c r="C56" s="22">
        <f>SUMIFS(Accounts!$I:$I,Accounts!$E:$E,'AccountSummary (New)'!C$1,Accounts!$G:$G,'AccountSummary (New)'!C$2,Accounts!$F:$F,'AccountSummary (New)'!C$3,Accounts!$W:$W,0,Accounts!$C:$C,"Customer",Accounts!$H:$H,"&gt;"&amp;90,Accounts!$H:$H,"&lt;="&amp;180)</f>
        <v>0</v>
      </c>
      <c r="D56" s="22">
        <f>SUMIFS(Accounts!$I:$I,Accounts!$E:$E,'AccountSummary (New)'!D$1,Accounts!$G:$G,'AccountSummary (New)'!D$2,Accounts!$F:$F,'AccountSummary (New)'!D$3,Accounts!$W:$W,0,Accounts!$C:$C,"Customer",Accounts!$H:$H,"&gt;"&amp;90,Accounts!$H:$H,"&lt;="&amp;180)</f>
        <v>0</v>
      </c>
      <c r="E56" s="22">
        <f>SUMIFS(Accounts!$I:$I,Accounts!$E:$E,'AccountSummary (New)'!E$1,Accounts!$G:$G,'AccountSummary (New)'!E$2,Accounts!$F:$F,'AccountSummary (New)'!E$3,Accounts!$W:$W,0,Accounts!$C:$C,"Customer",Accounts!$H:$H,"&gt;"&amp;90,Accounts!$H:$H,"&lt;="&amp;180)</f>
        <v>0</v>
      </c>
      <c r="F56" s="22">
        <f>SUMIFS(Accounts!$I:$I,Accounts!$E:$E,'AccountSummary (New)'!F$1,Accounts!$G:$G,'AccountSummary (New)'!F$2,Accounts!$F:$F,'AccountSummary (New)'!F$3,Accounts!$W:$W,0,Accounts!$C:$C,"Customer",Accounts!$H:$H,"&gt;"&amp;90,Accounts!$H:$H,"&lt;="&amp;180)</f>
        <v>0</v>
      </c>
      <c r="G56" s="22">
        <f>SUMIFS(Accounts!$I:$I,Accounts!$E:$E,'AccountSummary (New)'!G$1,Accounts!$G:$G,'AccountSummary (New)'!G$2,Accounts!$F:$F,'AccountSummary (New)'!G$3,Accounts!$W:$W,0,Accounts!$C:$C,"Customer",Accounts!$H:$H,"&gt;"&amp;90,Accounts!$H:$H,"&lt;="&amp;180)</f>
        <v>0</v>
      </c>
      <c r="H56" s="22">
        <f>SUMIFS(Accounts!$I:$I,Accounts!$E:$E,'AccountSummary (New)'!H$1,Accounts!$G:$G,'AccountSummary (New)'!H$2,Accounts!$F:$F,'AccountSummary (New)'!H$3,Accounts!$W:$W,0,Accounts!$C:$C,"Customer",Accounts!$H:$H,"&gt;"&amp;90,Accounts!$H:$H,"&lt;="&amp;180)</f>
        <v>0</v>
      </c>
      <c r="I56" s="10">
        <f>SUM(C56:H56)</f>
        <v>0</v>
      </c>
      <c r="J56" s="22">
        <f>SUMIFS(Accounts!$I:$I,Accounts!$E:$E,'AccountSummary (New)'!J$1,Accounts!$G:$G,'AccountSummary (New)'!J$2,Accounts!$F:$F,'AccountSummary (New)'!J$3,Accounts!$W:$W,0,Accounts!$C:$C,"Customer",Accounts!$H:$H,"&gt;"&amp;90,Accounts!$H:$H,"&lt;="&amp;180)</f>
        <v>0</v>
      </c>
      <c r="K56" s="22">
        <f>SUMIFS(Accounts!$I:$I,Accounts!$E:$E,'AccountSummary (New)'!K$1,Accounts!$G:$G,'AccountSummary (New)'!K$2,Accounts!$F:$F,'AccountSummary (New)'!K$3,Accounts!$W:$W,0,Accounts!$C:$C,"Customer",Accounts!$H:$H,"&gt;"&amp;90,Accounts!$H:$H,"&lt;="&amp;180)</f>
        <v>0</v>
      </c>
      <c r="L56" s="22">
        <f>SUMIFS(Accounts!$I:$I,Accounts!$E:$E,'AccountSummary (New)'!L$1,Accounts!$G:$G,'AccountSummary (New)'!L$2,Accounts!$F:$F,'AccountSummary (New)'!L$3,Accounts!$W:$W,0,Accounts!$C:$C,"Customer",Accounts!$H:$H,"&gt;"&amp;90,Accounts!$H:$H,"&lt;="&amp;180)</f>
        <v>0</v>
      </c>
      <c r="M56" s="22">
        <f>SUMIFS(Accounts!$I:$I,Accounts!$E:$E,'AccountSummary (New)'!M$1,Accounts!$G:$G,'AccountSummary (New)'!M$2,Accounts!$F:$F,'AccountSummary (New)'!M$3,Accounts!$W:$W,0,Accounts!$C:$C,"Customer",Accounts!$H:$H,"&gt;"&amp;90,Accounts!$H:$H,"&lt;="&amp;180)</f>
        <v>0</v>
      </c>
      <c r="N56" s="22">
        <f>SUMIFS(Accounts!$I:$I,Accounts!$E:$E,'AccountSummary (New)'!N$1,Accounts!$G:$G,'AccountSummary (New)'!N$2,Accounts!$F:$F,'AccountSummary (New)'!N$3,Accounts!$W:$W,0,Accounts!$C:$C,"Customer",Accounts!$H:$H,"&gt;"&amp;90,Accounts!$H:$H,"&lt;="&amp;180)</f>
        <v>0</v>
      </c>
      <c r="O56" s="22">
        <f>SUMIFS(Accounts!$I:$I,Accounts!$E:$E,'AccountSummary (New)'!O$1,Accounts!$G:$G,'AccountSummary (New)'!O$2,Accounts!$F:$F,'AccountSummary (New)'!O$3,Accounts!$W:$W,0,Accounts!$C:$C,"Customer",Accounts!$H:$H,"&gt;"&amp;90,Accounts!$H:$H,"&lt;="&amp;180)</f>
        <v>0</v>
      </c>
      <c r="P56" s="10">
        <f>SUM(J56:O56)</f>
        <v>0</v>
      </c>
      <c r="Q56" s="22">
        <f>SUMIFS(Accounts!$I:$I,Accounts!$E:$E,'AccountSummary (New)'!Q$1,Accounts!$G:$G,'AccountSummary (New)'!Q$2,Accounts!$F:$F,'AccountSummary (New)'!Q$3,Accounts!$W:$W,0,Accounts!$C:$C,"Customer",Accounts!$H:$H,"&gt;"&amp;90,Accounts!$H:$H,"&lt;="&amp;180)</f>
        <v>0</v>
      </c>
      <c r="R56" s="22">
        <f>SUMIFS(Accounts!$I:$I,Accounts!$E:$E,'AccountSummary (New)'!R$1,Accounts!$G:$G,'AccountSummary (New)'!R$2,Accounts!$F:$F,'AccountSummary (New)'!R$3,Accounts!$W:$W,0,Accounts!$C:$C,"Customer",Accounts!$H:$H,"&gt;"&amp;90,Accounts!$H:$H,"&lt;="&amp;180)</f>
        <v>0</v>
      </c>
      <c r="S56" s="22">
        <f>SUMIFS(Accounts!$I:$I,Accounts!$E:$E,'AccountSummary (New)'!S$1,Accounts!$G:$G,'AccountSummary (New)'!S$2,Accounts!$F:$F,'AccountSummary (New)'!S$3,Accounts!$W:$W,0,Accounts!$C:$C,"Customer",Accounts!$H:$H,"&gt;"&amp;90,Accounts!$H:$H,"&lt;="&amp;180)</f>
        <v>0</v>
      </c>
      <c r="T56" s="22">
        <f>SUMIFS(Accounts!$I:$I,Accounts!$E:$E,'AccountSummary (New)'!T$1,Accounts!$G:$G,'AccountSummary (New)'!T$2,Accounts!$F:$F,'AccountSummary (New)'!T$3,Accounts!$W:$W,0,Accounts!$C:$C,"Customer",Accounts!$H:$H,"&gt;"&amp;90,Accounts!$H:$H,"&lt;="&amp;180)</f>
        <v>0</v>
      </c>
      <c r="U56" s="22">
        <f>SUMIFS(Accounts!$I:$I,Accounts!$E:$E,'AccountSummary (New)'!U$1,Accounts!$G:$G,'AccountSummary (New)'!U$2,Accounts!$F:$F,'AccountSummary (New)'!U$3,Accounts!$W:$W,0,Accounts!$C:$C,"Customer",Accounts!$H:$H,"&gt;"&amp;90,Accounts!$H:$H,"&lt;="&amp;180)</f>
        <v>0</v>
      </c>
      <c r="V56" s="22">
        <f>SUMIFS(Accounts!$I:$I,Accounts!$E:$E,'AccountSummary (New)'!V$1,Accounts!$G:$G,'AccountSummary (New)'!V$2,Accounts!$F:$F,'AccountSummary (New)'!V$3,Accounts!$W:$W,0,Accounts!$C:$C,"Customer",Accounts!$H:$H,"&gt;"&amp;90,Accounts!$H:$H,"&lt;="&amp;180)</f>
        <v>0</v>
      </c>
      <c r="W56" s="10">
        <f>SUM(Q56:V56)</f>
        <v>0</v>
      </c>
    </row>
    <row r="57">
      <c r="A57" s="5" t="s">
        <v>38</v>
      </c>
      <c r="B57" s="14"/>
      <c r="C57" s="22"/>
      <c r="D57" s="22"/>
      <c r="E57" s="22"/>
      <c r="F57" s="22"/>
      <c r="G57" s="22"/>
      <c r="H57" s="22"/>
      <c r="I57" s="10"/>
      <c r="J57" s="22"/>
      <c r="K57" s="22"/>
      <c r="L57" s="22"/>
      <c r="M57" s="22"/>
      <c r="N57" s="22"/>
      <c r="O57" s="22"/>
      <c r="P57" s="10"/>
      <c r="Q57" s="22"/>
      <c r="R57" s="22"/>
      <c r="S57" s="22"/>
      <c r="T57" s="22"/>
      <c r="U57" s="22"/>
      <c r="V57" s="22"/>
      <c r="W57" s="10"/>
    </row>
    <row r="58">
      <c r="A58" s="5" t="s">
        <v>27</v>
      </c>
      <c r="B58" s="15">
        <f ref="B58:W58" t="shared" si="17">IF(B$19=0,0,(B60+B61)/B$19)</f>
        <v>1</v>
      </c>
      <c r="C58" s="12">
        <f t="shared" si="17"/>
        <v>0</v>
      </c>
      <c r="D58" s="12">
        <f t="shared" si="17"/>
        <v>0</v>
      </c>
      <c r="E58" s="12">
        <f t="shared" si="17"/>
        <v>0</v>
      </c>
      <c r="F58" s="12">
        <f t="shared" si="17"/>
        <v>0</v>
      </c>
      <c r="G58" s="12">
        <f t="shared" si="17"/>
        <v>0</v>
      </c>
      <c r="H58" s="12">
        <f t="shared" si="17"/>
        <v>0</v>
      </c>
      <c r="I58" s="24">
        <f t="shared" si="17"/>
        <v>0</v>
      </c>
      <c r="J58" s="12">
        <f t="shared" si="17"/>
        <v>0</v>
      </c>
      <c r="K58" s="12">
        <f t="shared" si="17"/>
        <v>0</v>
      </c>
      <c r="L58" s="12">
        <f t="shared" si="17"/>
        <v>0</v>
      </c>
      <c r="M58" s="12">
        <f t="shared" si="17"/>
        <v>0</v>
      </c>
      <c r="N58" s="12">
        <f t="shared" si="17"/>
        <v>0</v>
      </c>
      <c r="O58" s="12">
        <f t="shared" si="17"/>
        <v>0</v>
      </c>
      <c r="P58" s="24">
        <f t="shared" si="17"/>
        <v>0</v>
      </c>
      <c r="Q58" s="12">
        <f t="shared" si="17"/>
        <v>0</v>
      </c>
      <c r="R58" s="12">
        <f t="shared" si="17"/>
        <v>1</v>
      </c>
      <c r="S58" s="12">
        <f t="shared" si="17"/>
        <v>0</v>
      </c>
      <c r="T58" s="12">
        <f t="shared" si="17"/>
        <v>0</v>
      </c>
      <c r="U58" s="12">
        <f t="shared" si="17"/>
        <v>0</v>
      </c>
      <c r="V58" s="12">
        <f t="shared" si="17"/>
        <v>0</v>
      </c>
      <c r="W58" s="24">
        <f t="shared" si="17"/>
        <v>1</v>
      </c>
    </row>
    <row r="59">
      <c r="A59" s="5" t="s">
        <v>28</v>
      </c>
      <c r="B59" s="15">
        <f ref="B59:W59" t="shared" si="18">IF((B60+B61)=0,0,B60/(B60+B61))</f>
        <v>0</v>
      </c>
      <c r="C59" s="12">
        <f t="shared" si="18"/>
        <v>0</v>
      </c>
      <c r="D59" s="12">
        <f t="shared" si="18"/>
        <v>0</v>
      </c>
      <c r="E59" s="12">
        <f t="shared" si="18"/>
        <v>0</v>
      </c>
      <c r="F59" s="12">
        <f t="shared" si="18"/>
        <v>0</v>
      </c>
      <c r="G59" s="12">
        <f t="shared" si="18"/>
        <v>0</v>
      </c>
      <c r="H59" s="12">
        <f t="shared" si="18"/>
        <v>0</v>
      </c>
      <c r="I59" s="24">
        <f t="shared" si="18"/>
        <v>0</v>
      </c>
      <c r="J59" s="12">
        <f t="shared" si="18"/>
        <v>0</v>
      </c>
      <c r="K59" s="12">
        <f t="shared" si="18"/>
        <v>0</v>
      </c>
      <c r="L59" s="12">
        <f t="shared" si="18"/>
        <v>0</v>
      </c>
      <c r="M59" s="12">
        <f t="shared" si="18"/>
        <v>0</v>
      </c>
      <c r="N59" s="12">
        <f t="shared" si="18"/>
        <v>0</v>
      </c>
      <c r="O59" s="12">
        <f t="shared" si="18"/>
        <v>0</v>
      </c>
      <c r="P59" s="24">
        <f t="shared" si="18"/>
        <v>0</v>
      </c>
      <c r="Q59" s="12">
        <f t="shared" si="18"/>
        <v>0</v>
      </c>
      <c r="R59" s="12">
        <f t="shared" si="18"/>
        <v>0</v>
      </c>
      <c r="S59" s="12">
        <f t="shared" si="18"/>
        <v>0</v>
      </c>
      <c r="T59" s="12">
        <f t="shared" si="18"/>
        <v>0</v>
      </c>
      <c r="U59" s="12">
        <f t="shared" si="18"/>
        <v>0</v>
      </c>
      <c r="V59" s="12">
        <f t="shared" si="18"/>
        <v>0</v>
      </c>
      <c r="W59" s="24">
        <f t="shared" si="18"/>
        <v>0</v>
      </c>
    </row>
    <row r="60">
      <c r="A60" s="5" t="s">
        <v>29</v>
      </c>
      <c r="B60" s="13">
        <f>I60+P60+W60</f>
        <v>0</v>
      </c>
      <c r="C60" s="0">
        <f>COUNTIFS(Accounts!$E:$E,'AccountSummary (New)'!C$1,Accounts!$G:$G,'AccountSummary (New)'!C$2,Accounts!$F:$F,'AccountSummary (New)'!C$3,Accounts!$B:$B,"Customer",Accounts!$C:$C,"Lost",Accounts!$H:$H,"&gt;"&amp;180)</f>
        <v>0</v>
      </c>
      <c r="D60" s="0">
        <f>COUNTIFS(Accounts!$E:$E,'AccountSummary (New)'!D$1,Accounts!$G:$G,'AccountSummary (New)'!D$2,Accounts!$F:$F,'AccountSummary (New)'!D$3,Accounts!$B:$B,"Customer",Accounts!$C:$C,"Lost",Accounts!$H:$H,"&gt;"&amp;180)</f>
        <v>0</v>
      </c>
      <c r="E60" s="0">
        <f>COUNTIFS(Accounts!$E:$E,'AccountSummary (New)'!E$1,Accounts!$G:$G,'AccountSummary (New)'!E$2,Accounts!$F:$F,'AccountSummary (New)'!E$3,Accounts!$B:$B,"Customer",Accounts!$C:$C,"Lost",Accounts!$H:$H,"&gt;"&amp;180)</f>
        <v>0</v>
      </c>
      <c r="F60" s="0">
        <f>COUNTIFS(Accounts!$E:$E,'AccountSummary (New)'!F$1,Accounts!$G:$G,'AccountSummary (New)'!F$2,Accounts!$F:$F,'AccountSummary (New)'!F$3,Accounts!$B:$B,"Customer",Accounts!$C:$C,"Lost",Accounts!$H:$H,"&gt;"&amp;180)</f>
        <v>0</v>
      </c>
      <c r="G60" s="0">
        <f>COUNTIFS(Accounts!$E:$E,'AccountSummary (New)'!G$1,Accounts!$G:$G,'AccountSummary (New)'!G$2,Accounts!$F:$F,'AccountSummary (New)'!G$3,Accounts!$B:$B,"Customer",Accounts!$C:$C,"Lost",Accounts!$H:$H,"&gt;"&amp;180)</f>
        <v>0</v>
      </c>
      <c r="H60" s="0">
        <f>COUNTIFS(Accounts!$E:$E,'AccountSummary (New)'!H$1,Accounts!$G:$G,'AccountSummary (New)'!H$2,Accounts!$F:$F,'AccountSummary (New)'!H$3,Accounts!$B:$B,"Customer",Accounts!$C:$C,"Lost",Accounts!$H:$H,"&gt;"&amp;180)</f>
        <v>0</v>
      </c>
      <c r="I60" s="19">
        <f>SUM(C60:H60)</f>
        <v>0</v>
      </c>
      <c r="J60" s="0">
        <f>COUNTIFS(Accounts!$E:$E,'AccountSummary (New)'!J$1,Accounts!$G:$G,'AccountSummary (New)'!J$2,Accounts!$F:$F,'AccountSummary (New)'!J$3,Accounts!$B:$B,"Customer",Accounts!$C:$C,"Lost",Accounts!$H:$H,"&gt;"&amp;180)</f>
        <v>0</v>
      </c>
      <c r="K60" s="0">
        <f>COUNTIFS(Accounts!$E:$E,'AccountSummary (New)'!K$1,Accounts!$G:$G,'AccountSummary (New)'!K$2,Accounts!$F:$F,'AccountSummary (New)'!K$3,Accounts!$B:$B,"Customer",Accounts!$C:$C,"Lost",Accounts!$H:$H,"&gt;"&amp;180)</f>
        <v>0</v>
      </c>
      <c r="L60" s="0">
        <f>COUNTIFS(Accounts!$E:$E,'AccountSummary (New)'!L$1,Accounts!$G:$G,'AccountSummary (New)'!L$2,Accounts!$F:$F,'AccountSummary (New)'!L$3,Accounts!$B:$B,"Customer",Accounts!$C:$C,"Lost",Accounts!$H:$H,"&gt;"&amp;180)</f>
        <v>0</v>
      </c>
      <c r="M60" s="0">
        <f>COUNTIFS(Accounts!$E:$E,'AccountSummary (New)'!M$1,Accounts!$G:$G,'AccountSummary (New)'!M$2,Accounts!$F:$F,'AccountSummary (New)'!M$3,Accounts!$B:$B,"Customer",Accounts!$C:$C,"Lost",Accounts!$H:$H,"&gt;"&amp;180)</f>
        <v>0</v>
      </c>
      <c r="N60" s="0">
        <f>COUNTIFS(Accounts!$E:$E,'AccountSummary (New)'!N$1,Accounts!$G:$G,'AccountSummary (New)'!N$2,Accounts!$F:$F,'AccountSummary (New)'!N$3,Accounts!$B:$B,"Customer",Accounts!$C:$C,"Lost",Accounts!$H:$H,"&gt;"&amp;180)</f>
        <v>0</v>
      </c>
      <c r="O60" s="0">
        <f>COUNTIFS(Accounts!$E:$E,'AccountSummary (New)'!O$1,Accounts!$G:$G,'AccountSummary (New)'!O$2,Accounts!$F:$F,'AccountSummary (New)'!O$3,Accounts!$B:$B,"Customer",Accounts!$C:$C,"Lost",Accounts!$H:$H,"&gt;"&amp;180)</f>
        <v>0</v>
      </c>
      <c r="P60" s="19">
        <f>SUM(J60:O60)</f>
        <v>0</v>
      </c>
      <c r="Q60" s="0">
        <f>COUNTIFS(Accounts!$E:$E,'AccountSummary (New)'!Q$1,Accounts!$G:$G,'AccountSummary (New)'!Q$2,Accounts!$F:$F,'AccountSummary (New)'!Q$3,Accounts!$B:$B,"Customer",Accounts!$C:$C,"Lost",Accounts!$H:$H,"&gt;"&amp;180)</f>
        <v>0</v>
      </c>
      <c r="R60" s="0">
        <f>COUNTIFS(Accounts!$E:$E,'AccountSummary (New)'!R$1,Accounts!$G:$G,'AccountSummary (New)'!R$2,Accounts!$F:$F,'AccountSummary (New)'!R$3,Accounts!$B:$B,"Customer",Accounts!$C:$C,"Lost",Accounts!$H:$H,"&gt;"&amp;180)</f>
        <v>0</v>
      </c>
      <c r="S60" s="0">
        <f>COUNTIFS(Accounts!$E:$E,'AccountSummary (New)'!S$1,Accounts!$G:$G,'AccountSummary (New)'!S$2,Accounts!$F:$F,'AccountSummary (New)'!S$3,Accounts!$B:$B,"Customer",Accounts!$C:$C,"Lost",Accounts!$H:$H,"&gt;"&amp;180)</f>
        <v>0</v>
      </c>
      <c r="T60" s="0">
        <f>COUNTIFS(Accounts!$E:$E,'AccountSummary (New)'!T$1,Accounts!$G:$G,'AccountSummary (New)'!T$2,Accounts!$F:$F,'AccountSummary (New)'!T$3,Accounts!$B:$B,"Customer",Accounts!$C:$C,"Lost",Accounts!$H:$H,"&gt;"&amp;180)</f>
        <v>0</v>
      </c>
      <c r="U60" s="0">
        <f>COUNTIFS(Accounts!$E:$E,'AccountSummary (New)'!U$1,Accounts!$G:$G,'AccountSummary (New)'!U$2,Accounts!$F:$F,'AccountSummary (New)'!U$3,Accounts!$B:$B,"Customer",Accounts!$C:$C,"Lost",Accounts!$H:$H,"&gt;"&amp;180)</f>
        <v>0</v>
      </c>
      <c r="V60" s="0">
        <f>COUNTIFS(Accounts!$E:$E,'AccountSummary (New)'!V$1,Accounts!$G:$G,'AccountSummary (New)'!V$2,Accounts!$F:$F,'AccountSummary (New)'!V$3,Accounts!$B:$B,"Customer",Accounts!$C:$C,"Lost",Accounts!$H:$H,"&gt;"&amp;180)</f>
        <v>0</v>
      </c>
      <c r="W60" s="19">
        <f>SUM(Q60:V60)</f>
        <v>0</v>
      </c>
    </row>
    <row r="61">
      <c r="A61" s="5" t="s">
        <v>30</v>
      </c>
      <c r="B61" s="13">
        <f>I61+P61+W61</f>
        <v>1</v>
      </c>
      <c r="C61" s="0">
        <f>COUNTIFS(Accounts!$E:$E,'AccountSummary (New)'!C$1,Accounts!$G:$G,'AccountSummary (New)'!C$2,Accounts!$F:$F,'AccountSummary (New)'!C$3,Accounts!$B:$B,"Customer",Accounts!$C:$C,"Customer",Accounts!$H:$H,"&gt;"&amp;180)</f>
        <v>0</v>
      </c>
      <c r="D61" s="0">
        <f>COUNTIFS(Accounts!$E:$E,'AccountSummary (New)'!D$1,Accounts!$G:$G,'AccountSummary (New)'!D$2,Accounts!$F:$F,'AccountSummary (New)'!D$3,Accounts!$B:$B,"Customer",Accounts!$C:$C,"Customer",Accounts!$H:$H,"&gt;"&amp;180)</f>
        <v>0</v>
      </c>
      <c r="E61" s="0">
        <f>COUNTIFS(Accounts!$E:$E,'AccountSummary (New)'!E$1,Accounts!$G:$G,'AccountSummary (New)'!E$2,Accounts!$F:$F,'AccountSummary (New)'!E$3,Accounts!$B:$B,"Customer",Accounts!$C:$C,"Customer",Accounts!$H:$H,"&gt;"&amp;180)</f>
        <v>0</v>
      </c>
      <c r="F61" s="0">
        <f>COUNTIFS(Accounts!$E:$E,'AccountSummary (New)'!F$1,Accounts!$G:$G,'AccountSummary (New)'!F$2,Accounts!$F:$F,'AccountSummary (New)'!F$3,Accounts!$B:$B,"Customer",Accounts!$C:$C,"Customer",Accounts!$H:$H,"&gt;"&amp;180)</f>
        <v>0</v>
      </c>
      <c r="G61" s="0">
        <f>COUNTIFS(Accounts!$E:$E,'AccountSummary (New)'!G$1,Accounts!$G:$G,'AccountSummary (New)'!G$2,Accounts!$F:$F,'AccountSummary (New)'!G$3,Accounts!$B:$B,"Customer",Accounts!$C:$C,"Customer",Accounts!$H:$H,"&gt;"&amp;180)</f>
        <v>0</v>
      </c>
      <c r="H61" s="0">
        <f>COUNTIFS(Accounts!$E:$E,'AccountSummary (New)'!H$1,Accounts!$G:$G,'AccountSummary (New)'!H$2,Accounts!$F:$F,'AccountSummary (New)'!H$3,Accounts!$B:$B,"Customer",Accounts!$C:$C,"Customer",Accounts!$H:$H,"&gt;"&amp;180)</f>
        <v>0</v>
      </c>
      <c r="I61" s="19">
        <f>SUM(C61:H61)</f>
        <v>0</v>
      </c>
      <c r="J61" s="0">
        <f>COUNTIFS(Accounts!$E:$E,'AccountSummary (New)'!J$1,Accounts!$G:$G,'AccountSummary (New)'!J$2,Accounts!$F:$F,'AccountSummary (New)'!J$3,Accounts!$B:$B,"Customer",Accounts!$C:$C,"Customer",Accounts!$H:$H,"&gt;"&amp;180)</f>
        <v>0</v>
      </c>
      <c r="K61" s="0">
        <f>COUNTIFS(Accounts!$E:$E,'AccountSummary (New)'!K$1,Accounts!$G:$G,'AccountSummary (New)'!K$2,Accounts!$F:$F,'AccountSummary (New)'!K$3,Accounts!$B:$B,"Customer",Accounts!$C:$C,"Customer",Accounts!$H:$H,"&gt;"&amp;180)</f>
        <v>0</v>
      </c>
      <c r="L61" s="0">
        <f>COUNTIFS(Accounts!$E:$E,'AccountSummary (New)'!L$1,Accounts!$G:$G,'AccountSummary (New)'!L$2,Accounts!$F:$F,'AccountSummary (New)'!L$3,Accounts!$B:$B,"Customer",Accounts!$C:$C,"Customer",Accounts!$H:$H,"&gt;"&amp;180)</f>
        <v>0</v>
      </c>
      <c r="M61" s="0">
        <f>COUNTIFS(Accounts!$E:$E,'AccountSummary (New)'!M$1,Accounts!$G:$G,'AccountSummary (New)'!M$2,Accounts!$F:$F,'AccountSummary (New)'!M$3,Accounts!$B:$B,"Customer",Accounts!$C:$C,"Customer",Accounts!$H:$H,"&gt;"&amp;180)</f>
        <v>0</v>
      </c>
      <c r="N61" s="0">
        <f>COUNTIFS(Accounts!$E:$E,'AccountSummary (New)'!N$1,Accounts!$G:$G,'AccountSummary (New)'!N$2,Accounts!$F:$F,'AccountSummary (New)'!N$3,Accounts!$B:$B,"Customer",Accounts!$C:$C,"Customer",Accounts!$H:$H,"&gt;"&amp;180)</f>
        <v>0</v>
      </c>
      <c r="O61" s="0">
        <f>COUNTIFS(Accounts!$E:$E,'AccountSummary (New)'!O$1,Accounts!$G:$G,'AccountSummary (New)'!O$2,Accounts!$F:$F,'AccountSummary (New)'!O$3,Accounts!$B:$B,"Customer",Accounts!$C:$C,"Customer",Accounts!$H:$H,"&gt;"&amp;180)</f>
        <v>0</v>
      </c>
      <c r="P61" s="19">
        <f>SUM(J61:O61)</f>
        <v>0</v>
      </c>
      <c r="Q61" s="0">
        <f>COUNTIFS(Accounts!$E:$E,'AccountSummary (New)'!Q$1,Accounts!$G:$G,'AccountSummary (New)'!Q$2,Accounts!$F:$F,'AccountSummary (New)'!Q$3,Accounts!$B:$B,"Customer",Accounts!$C:$C,"Customer",Accounts!$H:$H,"&gt;"&amp;180)</f>
        <v>0</v>
      </c>
      <c r="R61" s="0">
        <f>COUNTIFS(Accounts!$E:$E,'AccountSummary (New)'!R$1,Accounts!$G:$G,'AccountSummary (New)'!R$2,Accounts!$F:$F,'AccountSummary (New)'!R$3,Accounts!$B:$B,"Customer",Accounts!$C:$C,"Customer",Accounts!$H:$H,"&gt;"&amp;180)</f>
        <v>1</v>
      </c>
      <c r="S61" s="0">
        <f>COUNTIFS(Accounts!$E:$E,'AccountSummary (New)'!S$1,Accounts!$G:$G,'AccountSummary (New)'!S$2,Accounts!$F:$F,'AccountSummary (New)'!S$3,Accounts!$B:$B,"Customer",Accounts!$C:$C,"Customer",Accounts!$H:$H,"&gt;"&amp;180)</f>
        <v>0</v>
      </c>
      <c r="T61" s="0">
        <f>COUNTIFS(Accounts!$E:$E,'AccountSummary (New)'!T$1,Accounts!$G:$G,'AccountSummary (New)'!T$2,Accounts!$F:$F,'AccountSummary (New)'!T$3,Accounts!$B:$B,"Customer",Accounts!$C:$C,"Customer",Accounts!$H:$H,"&gt;"&amp;180)</f>
        <v>0</v>
      </c>
      <c r="U61" s="0">
        <f>COUNTIFS(Accounts!$E:$E,'AccountSummary (New)'!U$1,Accounts!$G:$G,'AccountSummary (New)'!U$2,Accounts!$F:$F,'AccountSummary (New)'!U$3,Accounts!$B:$B,"Customer",Accounts!$C:$C,"Customer",Accounts!$H:$H,"&gt;"&amp;180)</f>
        <v>0</v>
      </c>
      <c r="V61" s="0">
        <f>COUNTIFS(Accounts!$E:$E,'AccountSummary (New)'!V$1,Accounts!$G:$G,'AccountSummary (New)'!V$2,Accounts!$F:$F,'AccountSummary (New)'!V$3,Accounts!$B:$B,"Customer",Accounts!$C:$C,"Customer",Accounts!$H:$H,"&gt;"&amp;180)</f>
        <v>0</v>
      </c>
      <c r="W61" s="19">
        <f>SUM(Q61:V61)</f>
        <v>1</v>
      </c>
    </row>
    <row r="62">
      <c r="A62" s="6" t="s">
        <v>31</v>
      </c>
      <c r="B62" s="17">
        <f>IF(B61=0,0,SUMIFS(Accounts!$L:$L,Accounts!$W:$W,0,Accounts!$C:$C,"Customer",Accounts!$H:$H,"&gt;"&amp;180)/B61)</f>
        <v>3</v>
      </c>
      <c r="C62" s="8">
        <f>IF(C61=0,0,SUMIFS(Accounts!$L:$L,Accounts!$E:$E,'AccountSummary (New)'!C$1,Accounts!$G:$G,'AccountSummary (New)'!C$2,Accounts!$F:$F,'AccountSummary (New)'!C$3,Accounts!$W:$W,0,Accounts!$C:$C,"Customer",Accounts!$H:$H,"&gt;"&amp;180)/C61)</f>
        <v>0</v>
      </c>
      <c r="D62" s="8">
        <f>IF(D61=0,0,SUMIFS(Accounts!$L:$L,Accounts!$E:$E,'AccountSummary (New)'!D$1,Accounts!$G:$G,'AccountSummary (New)'!D$2,Accounts!$F:$F,'AccountSummary (New)'!D$3,Accounts!$W:$W,0,Accounts!$C:$C,"Customer",Accounts!$H:$H,"&gt;"&amp;180)/D61)</f>
        <v>0</v>
      </c>
      <c r="E62" s="8">
        <f>IF(E61=0,0,SUMIFS(Accounts!$L:$L,Accounts!$E:$E,'AccountSummary (New)'!E$1,Accounts!$G:$G,'AccountSummary (New)'!E$2,Accounts!$F:$F,'AccountSummary (New)'!E$3,Accounts!$W:$W,0,Accounts!$C:$C,"Customer",Accounts!$H:$H,"&gt;"&amp;180)/E61)</f>
        <v>0</v>
      </c>
      <c r="F62" s="8">
        <f>IF(F61=0,0,SUMIFS(Accounts!$L:$L,Accounts!$E:$E,'AccountSummary (New)'!F$1,Accounts!$G:$G,'AccountSummary (New)'!F$2,Accounts!$F:$F,'AccountSummary (New)'!F$3,Accounts!$W:$W,0,Accounts!$C:$C,"Customer",Accounts!$H:$H,"&gt;"&amp;180)/F61)</f>
        <v>0</v>
      </c>
      <c r="G62" s="8">
        <f>IF(G61=0,0,SUMIFS(Accounts!$L:$L,Accounts!$E:$E,'AccountSummary (New)'!G$1,Accounts!$G:$G,'AccountSummary (New)'!G$2,Accounts!$F:$F,'AccountSummary (New)'!G$3,Accounts!$W:$W,0,Accounts!$C:$C,"Customer",Accounts!$H:$H,"&gt;"&amp;180)/G61)</f>
        <v>0</v>
      </c>
      <c r="H62" s="8">
        <f>IF(H61=0,0,SUMIFS(Accounts!$L:$L,Accounts!$E:$E,'AccountSummary (New)'!H$1,Accounts!$G:$G,'AccountSummary (New)'!H$2,Accounts!$F:$F,'AccountSummary (New)'!H$3,Accounts!$W:$W,0,Accounts!$C:$C,"Customer",Accounts!$H:$H,"&gt;"&amp;180)/H61)</f>
        <v>0</v>
      </c>
      <c r="I62" s="9">
        <f>IF(I61=0,0,SUMIFS(Accounts!$L:$L,Accounts!$F:$F,'AccountSummary (New)'!I$3,Accounts!$W:$W,0,Accounts!$C:$C,"Customer",Accounts!$H:$H,"&gt;"&amp;60,Accounts!$H:$H,"&lt;="&amp;180)/I61)</f>
        <v>0</v>
      </c>
      <c r="J62" s="8">
        <f>IF(J61=0,0,SUMIFS(Accounts!$L:$L,Accounts!$E:$E,'AccountSummary (New)'!J$1,Accounts!$G:$G,'AccountSummary (New)'!J$2,Accounts!$F:$F,'AccountSummary (New)'!J$3,Accounts!$W:$W,0,Accounts!$C:$C,"Customer",Accounts!$H:$H,"&gt;"&amp;180)/J61)</f>
        <v>0</v>
      </c>
      <c r="K62" s="8">
        <f>IF(K61=0,0,SUMIFS(Accounts!$L:$L,Accounts!$E:$E,'AccountSummary (New)'!K$1,Accounts!$G:$G,'AccountSummary (New)'!K$2,Accounts!$F:$F,'AccountSummary (New)'!K$3,Accounts!$W:$W,0,Accounts!$C:$C,"Customer",Accounts!$H:$H,"&gt;"&amp;180)/K61)</f>
        <v>0</v>
      </c>
      <c r="L62" s="8">
        <f>IF(L61=0,0,SUMIFS(Accounts!$L:$L,Accounts!$E:$E,'AccountSummary (New)'!L$1,Accounts!$G:$G,'AccountSummary (New)'!L$2,Accounts!$F:$F,'AccountSummary (New)'!L$3,Accounts!$W:$W,0,Accounts!$C:$C,"Customer",Accounts!$H:$H,"&gt;"&amp;180)/L61)</f>
        <v>0</v>
      </c>
      <c r="M62" s="8">
        <f>IF(M61=0,0,SUMIFS(Accounts!$L:$L,Accounts!$E:$E,'AccountSummary (New)'!M$1,Accounts!$G:$G,'AccountSummary (New)'!M$2,Accounts!$F:$F,'AccountSummary (New)'!M$3,Accounts!$W:$W,0,Accounts!$C:$C,"Customer",Accounts!$H:$H,"&gt;"&amp;180)/M61)</f>
        <v>0</v>
      </c>
      <c r="N62" s="8">
        <f>IF(N61=0,0,SUMIFS(Accounts!$L:$L,Accounts!$E:$E,'AccountSummary (New)'!N$1,Accounts!$G:$G,'AccountSummary (New)'!N$2,Accounts!$F:$F,'AccountSummary (New)'!N$3,Accounts!$W:$W,0,Accounts!$C:$C,"Customer",Accounts!$H:$H,"&gt;"&amp;180)/N61)</f>
        <v>0</v>
      </c>
      <c r="O62" s="8">
        <f>IF(O61=0,0,SUMIFS(Accounts!$L:$L,Accounts!$E:$E,'AccountSummary (New)'!O$1,Accounts!$G:$G,'AccountSummary (New)'!O$2,Accounts!$F:$F,'AccountSummary (New)'!O$3,Accounts!$W:$W,0,Accounts!$C:$C,"Customer",Accounts!$H:$H,"&gt;"&amp;180)/O61)</f>
        <v>0</v>
      </c>
      <c r="P62" s="9">
        <f>IF(P61=0,0,SUMIFS(Accounts!$L:$L,Accounts!$F:$F,'AccountSummary (New)'!P$3,Accounts!$W:$W,0,Accounts!$C:$C,"Customer",Accounts!$H:$H,"&gt;"&amp;60,Accounts!$H:$H,"&lt;="&amp;180)/P61)</f>
        <v>0</v>
      </c>
      <c r="Q62" s="8">
        <f>IF(Q61=0,0,SUMIFS(Accounts!$L:$L,Accounts!$E:$E,'AccountSummary (New)'!Q$1,Accounts!$G:$G,'AccountSummary (New)'!Q$2,Accounts!$F:$F,'AccountSummary (New)'!Q$3,Accounts!$W:$W,0,Accounts!$C:$C,"Customer",Accounts!$H:$H,"&gt;"&amp;180)/Q61)</f>
        <v>0</v>
      </c>
      <c r="R62" s="8">
        <f>IF(R61=0,0,SUMIFS(Accounts!$L:$L,Accounts!$E:$E,'AccountSummary (New)'!R$1,Accounts!$G:$G,'AccountSummary (New)'!R$2,Accounts!$F:$F,'AccountSummary (New)'!R$3,Accounts!$W:$W,0,Accounts!$C:$C,"Customer",Accounts!$H:$H,"&gt;"&amp;180)/R61)</f>
        <v>3</v>
      </c>
      <c r="S62" s="8">
        <f>IF(S61=0,0,SUMIFS(Accounts!$L:$L,Accounts!$E:$E,'AccountSummary (New)'!S$1,Accounts!$G:$G,'AccountSummary (New)'!S$2,Accounts!$F:$F,'AccountSummary (New)'!S$3,Accounts!$W:$W,0,Accounts!$C:$C,"Customer",Accounts!$H:$H,"&gt;"&amp;180)/S61)</f>
        <v>0</v>
      </c>
      <c r="T62" s="8">
        <f>IF(T61=0,0,SUMIFS(Accounts!$L:$L,Accounts!$E:$E,'AccountSummary (New)'!T$1,Accounts!$G:$G,'AccountSummary (New)'!T$2,Accounts!$F:$F,'AccountSummary (New)'!T$3,Accounts!$W:$W,0,Accounts!$C:$C,"Customer",Accounts!$H:$H,"&gt;"&amp;180)/T61)</f>
        <v>0</v>
      </c>
      <c r="U62" s="8">
        <f>IF(U61=0,0,SUMIFS(Accounts!$L:$L,Accounts!$E:$E,'AccountSummary (New)'!U$1,Accounts!$G:$G,'AccountSummary (New)'!U$2,Accounts!$F:$F,'AccountSummary (New)'!U$3,Accounts!$W:$W,0,Accounts!$C:$C,"Customer",Accounts!$H:$H,"&gt;"&amp;180)/U61)</f>
        <v>0</v>
      </c>
      <c r="V62" s="8">
        <f>IF(V61=0,0,SUMIFS(Accounts!$L:$L,Accounts!$E:$E,'AccountSummary (New)'!V$1,Accounts!$G:$G,'AccountSummary (New)'!V$2,Accounts!$F:$F,'AccountSummary (New)'!V$3,Accounts!$W:$W,0,Accounts!$C:$C,"Customer",Accounts!$H:$H,"&gt;"&amp;180)/V61)</f>
        <v>0</v>
      </c>
      <c r="W62" s="9">
        <f>IF(W61=0,0,SUMIFS(Accounts!$L:$L,Accounts!$F:$F,'AccountSummary (New)'!W$3,Accounts!$W:$W,0,Accounts!$C:$C,"Customer",Accounts!$H:$H,"&gt;"&amp;60,Accounts!$H:$H,"&lt;="&amp;180)/W61)</f>
        <v>0</v>
      </c>
    </row>
    <row r="63">
      <c r="A63" s="6" t="s">
        <v>32</v>
      </c>
      <c r="B63" s="17">
        <f>IF(B61=0,0,SUMIFS(Accounts!$M:$M,Accounts!$W:$W,0,Accounts!$C:$C,"Customer",Accounts!$H:$H,"&gt;"&amp;180)/B61)</f>
        <v>2</v>
      </c>
      <c r="C63" s="8">
        <f>IF(C61=0,0,SUMIFS(Accounts!$M:$M,Accounts!$E:$E,'AccountSummary (New)'!C$1,Accounts!$G:$G,'AccountSummary (New)'!C$2,Accounts!$F:$F,'AccountSummary (New)'!C$3,Accounts!$W:$W,0,Accounts!$C:$C,"Customer",Accounts!$H:$H,"&gt;"&amp;180)/C61)</f>
        <v>0</v>
      </c>
      <c r="D63" s="8">
        <f>IF(D61=0,0,SUMIFS(Accounts!$M:$M,Accounts!$E:$E,'AccountSummary (New)'!D$1,Accounts!$G:$G,'AccountSummary (New)'!D$2,Accounts!$F:$F,'AccountSummary (New)'!D$3,Accounts!$W:$W,0,Accounts!$C:$C,"Customer",Accounts!$H:$H,"&gt;"&amp;180)/D61)</f>
        <v>0</v>
      </c>
      <c r="E63" s="8">
        <f>IF(E61=0,0,SUMIFS(Accounts!$M:$M,Accounts!$E:$E,'AccountSummary (New)'!E$1,Accounts!$G:$G,'AccountSummary (New)'!E$2,Accounts!$F:$F,'AccountSummary (New)'!E$3,Accounts!$W:$W,0,Accounts!$C:$C,"Customer",Accounts!$H:$H,"&gt;"&amp;180)/E61)</f>
        <v>0</v>
      </c>
      <c r="F63" s="8">
        <f>IF(F61=0,0,SUMIFS(Accounts!$M:$M,Accounts!$E:$E,'AccountSummary (New)'!F$1,Accounts!$G:$G,'AccountSummary (New)'!F$2,Accounts!$F:$F,'AccountSummary (New)'!F$3,Accounts!$W:$W,0,Accounts!$C:$C,"Customer",Accounts!$H:$H,"&gt;"&amp;180)/F61)</f>
        <v>0</v>
      </c>
      <c r="G63" s="8">
        <f>IF(G61=0,0,SUMIFS(Accounts!$M:$M,Accounts!$E:$E,'AccountSummary (New)'!G$1,Accounts!$G:$G,'AccountSummary (New)'!G$2,Accounts!$F:$F,'AccountSummary (New)'!G$3,Accounts!$W:$W,0,Accounts!$C:$C,"Customer",Accounts!$H:$H,"&gt;"&amp;180)/G61)</f>
        <v>0</v>
      </c>
      <c r="H63" s="8">
        <f>IF(H61=0,0,SUMIFS(Accounts!$M:$M,Accounts!$E:$E,'AccountSummary (New)'!H$1,Accounts!$G:$G,'AccountSummary (New)'!H$2,Accounts!$F:$F,'AccountSummary (New)'!H$3,Accounts!$W:$W,0,Accounts!$C:$C,"Customer",Accounts!$H:$H,"&gt;"&amp;180)/H61)</f>
        <v>0</v>
      </c>
      <c r="I63" s="9">
        <f>IF(I61=0,0,SUMIFS(Accounts!$M:$M,Accounts!$F:$F,'AccountSummary (New)'!I$3,Accounts!$W:$W,0,Accounts!$C:$C,"Customer",Accounts!$H:$H,"&gt;"&amp;60,Accounts!$H:$H,"&lt;="&amp;180)/I61)</f>
        <v>0</v>
      </c>
      <c r="J63" s="8">
        <f>IF(J61=0,0,SUMIFS(Accounts!$M:$M,Accounts!$E:$E,'AccountSummary (New)'!J$1,Accounts!$G:$G,'AccountSummary (New)'!J$2,Accounts!$F:$F,'AccountSummary (New)'!J$3,Accounts!$W:$W,0,Accounts!$C:$C,"Customer",Accounts!$H:$H,"&gt;"&amp;180)/J61)</f>
        <v>0</v>
      </c>
      <c r="K63" s="8">
        <f>IF(K61=0,0,SUMIFS(Accounts!$M:$M,Accounts!$E:$E,'AccountSummary (New)'!K$1,Accounts!$G:$G,'AccountSummary (New)'!K$2,Accounts!$F:$F,'AccountSummary (New)'!K$3,Accounts!$W:$W,0,Accounts!$C:$C,"Customer",Accounts!$H:$H,"&gt;"&amp;180)/K61)</f>
        <v>0</v>
      </c>
      <c r="L63" s="8">
        <f>IF(L61=0,0,SUMIFS(Accounts!$M:$M,Accounts!$E:$E,'AccountSummary (New)'!L$1,Accounts!$G:$G,'AccountSummary (New)'!L$2,Accounts!$F:$F,'AccountSummary (New)'!L$3,Accounts!$W:$W,0,Accounts!$C:$C,"Customer",Accounts!$H:$H,"&gt;"&amp;180)/L61)</f>
        <v>0</v>
      </c>
      <c r="M63" s="8">
        <f>IF(M61=0,0,SUMIFS(Accounts!$M:$M,Accounts!$E:$E,'AccountSummary (New)'!M$1,Accounts!$G:$G,'AccountSummary (New)'!M$2,Accounts!$F:$F,'AccountSummary (New)'!M$3,Accounts!$W:$W,0,Accounts!$C:$C,"Customer",Accounts!$H:$H,"&gt;"&amp;180)/M61)</f>
        <v>0</v>
      </c>
      <c r="N63" s="8">
        <f>IF(N61=0,0,SUMIFS(Accounts!$M:$M,Accounts!$E:$E,'AccountSummary (New)'!N$1,Accounts!$G:$G,'AccountSummary (New)'!N$2,Accounts!$F:$F,'AccountSummary (New)'!N$3,Accounts!$W:$W,0,Accounts!$C:$C,"Customer",Accounts!$H:$H,"&gt;"&amp;180)/N61)</f>
        <v>0</v>
      </c>
      <c r="O63" s="8">
        <f>IF(O61=0,0,SUMIFS(Accounts!$M:$M,Accounts!$E:$E,'AccountSummary (New)'!O$1,Accounts!$G:$G,'AccountSummary (New)'!O$2,Accounts!$F:$F,'AccountSummary (New)'!O$3,Accounts!$W:$W,0,Accounts!$C:$C,"Customer",Accounts!$H:$H,"&gt;"&amp;180)/O61)</f>
        <v>0</v>
      </c>
      <c r="P63" s="9">
        <f>IF(P61=0,0,SUMIFS(Accounts!$M:$M,Accounts!$F:$F,'AccountSummary (New)'!P$3,Accounts!$W:$W,0,Accounts!$C:$C,"Customer",Accounts!$H:$H,"&gt;"&amp;60,Accounts!$H:$H,"&lt;="&amp;180)/P61)</f>
        <v>0</v>
      </c>
      <c r="Q63" s="8">
        <f>IF(Q61=0,0,SUMIFS(Accounts!$M:$M,Accounts!$E:$E,'AccountSummary (New)'!Q$1,Accounts!$G:$G,'AccountSummary (New)'!Q$2,Accounts!$F:$F,'AccountSummary (New)'!Q$3,Accounts!$W:$W,0,Accounts!$C:$C,"Customer",Accounts!$H:$H,"&gt;"&amp;180)/Q61)</f>
        <v>0</v>
      </c>
      <c r="R63" s="8">
        <f>IF(R61=0,0,SUMIFS(Accounts!$M:$M,Accounts!$E:$E,'AccountSummary (New)'!R$1,Accounts!$G:$G,'AccountSummary (New)'!R$2,Accounts!$F:$F,'AccountSummary (New)'!R$3,Accounts!$W:$W,0,Accounts!$C:$C,"Customer",Accounts!$H:$H,"&gt;"&amp;180)/R61)</f>
        <v>2</v>
      </c>
      <c r="S63" s="8">
        <f>IF(S61=0,0,SUMIFS(Accounts!$M:$M,Accounts!$E:$E,'AccountSummary (New)'!S$1,Accounts!$G:$G,'AccountSummary (New)'!S$2,Accounts!$F:$F,'AccountSummary (New)'!S$3,Accounts!$W:$W,0,Accounts!$C:$C,"Customer",Accounts!$H:$H,"&gt;"&amp;180)/S61)</f>
        <v>0</v>
      </c>
      <c r="T63" s="8">
        <f>IF(T61=0,0,SUMIFS(Accounts!$M:$M,Accounts!$E:$E,'AccountSummary (New)'!T$1,Accounts!$G:$G,'AccountSummary (New)'!T$2,Accounts!$F:$F,'AccountSummary (New)'!T$3,Accounts!$W:$W,0,Accounts!$C:$C,"Customer",Accounts!$H:$H,"&gt;"&amp;180)/T61)</f>
        <v>0</v>
      </c>
      <c r="U63" s="8">
        <f>IF(U61=0,0,SUMIFS(Accounts!$M:$M,Accounts!$E:$E,'AccountSummary (New)'!U$1,Accounts!$G:$G,'AccountSummary (New)'!U$2,Accounts!$F:$F,'AccountSummary (New)'!U$3,Accounts!$W:$W,0,Accounts!$C:$C,"Customer",Accounts!$H:$H,"&gt;"&amp;180)/U61)</f>
        <v>0</v>
      </c>
      <c r="V63" s="8">
        <f>IF(V61=0,0,SUMIFS(Accounts!$M:$M,Accounts!$E:$E,'AccountSummary (New)'!V$1,Accounts!$G:$G,'AccountSummary (New)'!V$2,Accounts!$F:$F,'AccountSummary (New)'!V$3,Accounts!$W:$W,0,Accounts!$C:$C,"Customer",Accounts!$H:$H,"&gt;"&amp;180)/V61)</f>
        <v>0</v>
      </c>
      <c r="W63" s="9">
        <f>IF(W61=0,0,SUMIFS(Accounts!$M:$M,Accounts!$F:$F,'AccountSummary (New)'!W$3,Accounts!$W:$W,0,Accounts!$C:$C,"Customer",Accounts!$H:$H,"&gt;"&amp;60,Accounts!$H:$H,"&lt;="&amp;180)/W61)</f>
        <v>0</v>
      </c>
    </row>
    <row r="64">
      <c r="A64" s="5" t="s">
        <v>33</v>
      </c>
      <c r="B64" s="14">
        <f ref="B64:W64" t="shared" si="19">IF(B61=0,0,B65/B61)</f>
        <v>0</v>
      </c>
      <c r="C64" s="22">
        <f t="shared" si="19"/>
        <v>0</v>
      </c>
      <c r="D64" s="22">
        <f t="shared" si="19"/>
        <v>0</v>
      </c>
      <c r="E64" s="22">
        <f t="shared" si="19"/>
        <v>0</v>
      </c>
      <c r="F64" s="22">
        <f t="shared" si="19"/>
        <v>0</v>
      </c>
      <c r="G64" s="22">
        <f t="shared" si="19"/>
        <v>0</v>
      </c>
      <c r="H64" s="22">
        <f t="shared" si="19"/>
        <v>0</v>
      </c>
      <c r="I64" s="10">
        <f t="shared" si="19"/>
        <v>0</v>
      </c>
      <c r="J64" s="22">
        <f t="shared" si="19"/>
        <v>0</v>
      </c>
      <c r="K64" s="22">
        <f t="shared" si="19"/>
        <v>0</v>
      </c>
      <c r="L64" s="22">
        <f t="shared" si="19"/>
        <v>0</v>
      </c>
      <c r="M64" s="22">
        <f t="shared" si="19"/>
        <v>0</v>
      </c>
      <c r="N64" s="22">
        <f t="shared" si="19"/>
        <v>0</v>
      </c>
      <c r="O64" s="22">
        <f t="shared" si="19"/>
        <v>0</v>
      </c>
      <c r="P64" s="10">
        <f t="shared" si="19"/>
        <v>0</v>
      </c>
      <c r="Q64" s="22">
        <f t="shared" si="19"/>
        <v>0</v>
      </c>
      <c r="R64" s="22">
        <f t="shared" si="19"/>
        <v>0</v>
      </c>
      <c r="S64" s="22">
        <f t="shared" si="19"/>
        <v>0</v>
      </c>
      <c r="T64" s="22">
        <f t="shared" si="19"/>
        <v>0</v>
      </c>
      <c r="U64" s="22">
        <f t="shared" si="19"/>
        <v>0</v>
      </c>
      <c r="V64" s="22">
        <f t="shared" si="19"/>
        <v>0</v>
      </c>
      <c r="W64" s="10">
        <f t="shared" si="19"/>
        <v>0</v>
      </c>
    </row>
    <row r="65">
      <c r="A65" s="5" t="s">
        <v>34</v>
      </c>
      <c r="B65" s="14">
        <f>I65+P65+W65</f>
        <v>0</v>
      </c>
      <c r="C65" s="22">
        <f>SUMIFS(Accounts!$I:$I,Accounts!$E:$E,'AccountSummary (New)'!C$1,Accounts!$G:$G,'AccountSummary (New)'!C$2,Accounts!$F:$F,'AccountSummary (New)'!C$3,Accounts!$W:$W,0,Accounts!$C:$C,"Customer",Accounts!$C:$C,"Customer",Accounts!$H:$H,"&gt;"&amp;180)</f>
        <v>0</v>
      </c>
      <c r="D65" s="22">
        <f>SUMIFS(Accounts!$I:$I,Accounts!$E:$E,'AccountSummary (New)'!D$1,Accounts!$G:$G,'AccountSummary (New)'!D$2,Accounts!$F:$F,'AccountSummary (New)'!D$3,Accounts!$W:$W,0,Accounts!$C:$C,"Customer",Accounts!$C:$C,"Customer",Accounts!$H:$H,"&gt;"&amp;180)</f>
        <v>0</v>
      </c>
      <c r="E65" s="22">
        <f>SUMIFS(Accounts!$I:$I,Accounts!$E:$E,'AccountSummary (New)'!E$1,Accounts!$G:$G,'AccountSummary (New)'!E$2,Accounts!$F:$F,'AccountSummary (New)'!E$3,Accounts!$W:$W,0,Accounts!$C:$C,"Customer",Accounts!$C:$C,"Customer",Accounts!$H:$H,"&gt;"&amp;180)</f>
        <v>0</v>
      </c>
      <c r="F65" s="22">
        <f>SUMIFS(Accounts!$I:$I,Accounts!$E:$E,'AccountSummary (New)'!F$1,Accounts!$G:$G,'AccountSummary (New)'!F$2,Accounts!$F:$F,'AccountSummary (New)'!F$3,Accounts!$W:$W,0,Accounts!$C:$C,"Customer",Accounts!$C:$C,"Customer",Accounts!$H:$H,"&gt;"&amp;180)</f>
        <v>0</v>
      </c>
      <c r="G65" s="22">
        <f>SUMIFS(Accounts!$I:$I,Accounts!$E:$E,'AccountSummary (New)'!G$1,Accounts!$G:$G,'AccountSummary (New)'!G$2,Accounts!$F:$F,'AccountSummary (New)'!G$3,Accounts!$W:$W,0,Accounts!$C:$C,"Customer",Accounts!$C:$C,"Customer",Accounts!$H:$H,"&gt;"&amp;180)</f>
        <v>0</v>
      </c>
      <c r="H65" s="22">
        <f>SUMIFS(Accounts!$I:$I,Accounts!$E:$E,'AccountSummary (New)'!H$1,Accounts!$G:$G,'AccountSummary (New)'!H$2,Accounts!$F:$F,'AccountSummary (New)'!H$3,Accounts!$W:$W,0,Accounts!$C:$C,"Customer",Accounts!$C:$C,"Customer",Accounts!$H:$H,"&gt;"&amp;180)</f>
        <v>0</v>
      </c>
      <c r="I65" s="10">
        <f>SUM(C65:H65)</f>
        <v>0</v>
      </c>
      <c r="J65" s="22">
        <f>SUMIFS(Accounts!$I:$I,Accounts!$E:$E,'AccountSummary (New)'!J$1,Accounts!$G:$G,'AccountSummary (New)'!J$2,Accounts!$F:$F,'AccountSummary (New)'!J$3,Accounts!$W:$W,0,Accounts!$C:$C,"Customer",Accounts!$C:$C,"Customer",Accounts!$H:$H,"&gt;"&amp;180)</f>
        <v>0</v>
      </c>
      <c r="K65" s="22">
        <f>SUMIFS(Accounts!$I:$I,Accounts!$E:$E,'AccountSummary (New)'!K$1,Accounts!$G:$G,'AccountSummary (New)'!K$2,Accounts!$F:$F,'AccountSummary (New)'!K$3,Accounts!$W:$W,0,Accounts!$C:$C,"Customer",Accounts!$C:$C,"Customer",Accounts!$H:$H,"&gt;"&amp;180)</f>
        <v>0</v>
      </c>
      <c r="L65" s="22">
        <f>SUMIFS(Accounts!$I:$I,Accounts!$E:$E,'AccountSummary (New)'!L$1,Accounts!$G:$G,'AccountSummary (New)'!L$2,Accounts!$F:$F,'AccountSummary (New)'!L$3,Accounts!$W:$W,0,Accounts!$C:$C,"Customer",Accounts!$C:$C,"Customer",Accounts!$H:$H,"&gt;"&amp;180)</f>
        <v>0</v>
      </c>
      <c r="M65" s="22">
        <f>SUMIFS(Accounts!$I:$I,Accounts!$E:$E,'AccountSummary (New)'!M$1,Accounts!$G:$G,'AccountSummary (New)'!M$2,Accounts!$F:$F,'AccountSummary (New)'!M$3,Accounts!$W:$W,0,Accounts!$C:$C,"Customer",Accounts!$C:$C,"Customer",Accounts!$H:$H,"&gt;"&amp;180)</f>
        <v>0</v>
      </c>
      <c r="N65" s="22">
        <f>SUMIFS(Accounts!$I:$I,Accounts!$E:$E,'AccountSummary (New)'!N$1,Accounts!$G:$G,'AccountSummary (New)'!N$2,Accounts!$F:$F,'AccountSummary (New)'!N$3,Accounts!$W:$W,0,Accounts!$C:$C,"Customer",Accounts!$C:$C,"Customer",Accounts!$H:$H,"&gt;"&amp;180)</f>
        <v>0</v>
      </c>
      <c r="O65" s="22">
        <f>SUMIFS(Accounts!$I:$I,Accounts!$E:$E,'AccountSummary (New)'!O$1,Accounts!$G:$G,'AccountSummary (New)'!O$2,Accounts!$F:$F,'AccountSummary (New)'!O$3,Accounts!$W:$W,0,Accounts!$C:$C,"Customer",Accounts!$C:$C,"Customer",Accounts!$H:$H,"&gt;"&amp;180)</f>
        <v>0</v>
      </c>
      <c r="P65" s="10">
        <f>SUM(J65:O65)</f>
        <v>0</v>
      </c>
      <c r="Q65" s="22">
        <f>SUMIFS(Accounts!$I:$I,Accounts!$E:$E,'AccountSummary (New)'!Q$1,Accounts!$G:$G,'AccountSummary (New)'!Q$2,Accounts!$F:$F,'AccountSummary (New)'!Q$3,Accounts!$W:$W,0,Accounts!$C:$C,"Customer",Accounts!$C:$C,"Customer",Accounts!$H:$H,"&gt;"&amp;180)</f>
        <v>0</v>
      </c>
      <c r="R65" s="22">
        <f>SUMIFS(Accounts!$I:$I,Accounts!$E:$E,'AccountSummary (New)'!R$1,Accounts!$G:$G,'AccountSummary (New)'!R$2,Accounts!$F:$F,'AccountSummary (New)'!R$3,Accounts!$W:$W,0,Accounts!$C:$C,"Customer",Accounts!$C:$C,"Customer",Accounts!$H:$H,"&gt;"&amp;180)</f>
        <v>0</v>
      </c>
      <c r="S65" s="22">
        <f>SUMIFS(Accounts!$I:$I,Accounts!$E:$E,'AccountSummary (New)'!S$1,Accounts!$G:$G,'AccountSummary (New)'!S$2,Accounts!$F:$F,'AccountSummary (New)'!S$3,Accounts!$W:$W,0,Accounts!$C:$C,"Customer",Accounts!$C:$C,"Customer",Accounts!$H:$H,"&gt;"&amp;180)</f>
        <v>0</v>
      </c>
      <c r="T65" s="22">
        <f>SUMIFS(Accounts!$I:$I,Accounts!$E:$E,'AccountSummary (New)'!T$1,Accounts!$G:$G,'AccountSummary (New)'!T$2,Accounts!$F:$F,'AccountSummary (New)'!T$3,Accounts!$W:$W,0,Accounts!$C:$C,"Customer",Accounts!$C:$C,"Customer",Accounts!$H:$H,"&gt;"&amp;180)</f>
        <v>0</v>
      </c>
      <c r="U65" s="22">
        <f>SUMIFS(Accounts!$I:$I,Accounts!$E:$E,'AccountSummary (New)'!U$1,Accounts!$G:$G,'AccountSummary (New)'!U$2,Accounts!$F:$F,'AccountSummary (New)'!U$3,Accounts!$W:$W,0,Accounts!$C:$C,"Customer",Accounts!$C:$C,"Customer",Accounts!$H:$H,"&gt;"&amp;180)</f>
        <v>0</v>
      </c>
      <c r="V65" s="22">
        <f>SUMIFS(Accounts!$I:$I,Accounts!$E:$E,'AccountSummary (New)'!V$1,Accounts!$G:$G,'AccountSummary (New)'!V$2,Accounts!$F:$F,'AccountSummary (New)'!V$3,Accounts!$W:$W,0,Accounts!$C:$C,"Customer",Accounts!$C:$C,"Customer",Accounts!$H:$H,"&gt;"&amp;180)</f>
        <v>0</v>
      </c>
      <c r="W65" s="10">
        <f>SUM(Q65:V65)</f>
        <v>0</v>
      </c>
    </row>
    <row r="66">
      <c r="A66" s="5" t="s">
        <v>39</v>
      </c>
      <c r="B66" s="13">
        <f>I66+P66+W66</f>
        <v>0</v>
      </c>
      <c r="C66" s="0">
        <f ref="C66:H67" t="shared" si="20">C24+C33+C42+C51+C60</f>
        <v>0</v>
      </c>
      <c r="D66" s="0">
        <f t="shared" si="20"/>
        <v>0</v>
      </c>
      <c r="E66" s="0">
        <f t="shared" si="20"/>
        <v>0</v>
      </c>
      <c r="F66" s="0">
        <f t="shared" si="20"/>
        <v>0</v>
      </c>
      <c r="G66" s="0">
        <f t="shared" si="20"/>
        <v>0</v>
      </c>
      <c r="H66" s="0">
        <f t="shared" si="20"/>
        <v>0</v>
      </c>
      <c r="I66" s="19">
        <f>SUM(C66:H66)</f>
        <v>0</v>
      </c>
      <c r="J66" s="0">
        <f>J24+J33+J42+J51+J60</f>
        <v>0</v>
      </c>
      <c r="K66" s="0">
        <f>K24+K33+K42+K51+K60</f>
        <v>0</v>
      </c>
      <c r="L66" s="0">
        <f>L24+L33+L42+L60</f>
        <v>0</v>
      </c>
      <c r="M66" s="0">
        <f ref="M66:O67" t="shared" si="21">M24+M33+M42+M51+M60</f>
        <v>0</v>
      </c>
      <c r="N66" s="0">
        <f t="shared" si="21"/>
        <v>0</v>
      </c>
      <c r="O66" s="0">
        <f t="shared" si="21"/>
        <v>0</v>
      </c>
      <c r="P66" s="19">
        <f>SUM(J66:O66)</f>
        <v>0</v>
      </c>
      <c r="Q66" s="0">
        <f ref="Q66:V67" t="shared" si="22">Q24+Q33+Q42+Q51+Q60</f>
        <v>0</v>
      </c>
      <c r="R66" s="0">
        <f t="shared" si="22"/>
        <v>0</v>
      </c>
      <c r="S66" s="0">
        <f t="shared" si="22"/>
        <v>0</v>
      </c>
      <c r="T66" s="0">
        <f t="shared" si="22"/>
        <v>0</v>
      </c>
      <c r="U66" s="0">
        <f t="shared" si="22"/>
        <v>0</v>
      </c>
      <c r="V66" s="0">
        <f t="shared" si="22"/>
        <v>0</v>
      </c>
      <c r="W66" s="19">
        <f>SUM(Q66:V66)</f>
        <v>0</v>
      </c>
    </row>
    <row r="67">
      <c r="A67" s="5" t="s">
        <v>40</v>
      </c>
      <c r="B67" s="13">
        <f>I67+P67+W67</f>
        <v>1</v>
      </c>
      <c r="C67" s="0">
        <f t="shared" si="20"/>
        <v>0</v>
      </c>
      <c r="D67" s="0">
        <f t="shared" si="20"/>
        <v>0</v>
      </c>
      <c r="E67" s="0">
        <f t="shared" si="20"/>
        <v>0</v>
      </c>
      <c r="F67" s="0">
        <f t="shared" si="20"/>
        <v>0</v>
      </c>
      <c r="G67" s="0">
        <f t="shared" si="20"/>
        <v>0</v>
      </c>
      <c r="H67" s="0">
        <f t="shared" si="20"/>
        <v>0</v>
      </c>
      <c r="I67" s="19">
        <f>SUM(C67:H67)</f>
        <v>0</v>
      </c>
      <c r="J67" s="0">
        <f>J25+J34+J43+J52+J61</f>
        <v>0</v>
      </c>
      <c r="K67" s="0">
        <f>K25+K34+K43+K52+K61</f>
        <v>0</v>
      </c>
      <c r="L67" s="0">
        <f>L25+L34+L43+L52+L61</f>
        <v>0</v>
      </c>
      <c r="M67" s="0">
        <f t="shared" si="21"/>
        <v>0</v>
      </c>
      <c r="N67" s="0">
        <f t="shared" si="21"/>
        <v>0</v>
      </c>
      <c r="O67" s="0">
        <f t="shared" si="21"/>
        <v>0</v>
      </c>
      <c r="P67" s="19">
        <f>SUM(J67:O67)</f>
        <v>0</v>
      </c>
      <c r="Q67" s="0">
        <f t="shared" si="22"/>
        <v>0</v>
      </c>
      <c r="R67" s="0">
        <f t="shared" si="22"/>
        <v>1</v>
      </c>
      <c r="S67" s="0">
        <f t="shared" si="22"/>
        <v>0</v>
      </c>
      <c r="T67" s="0">
        <f t="shared" si="22"/>
        <v>0</v>
      </c>
      <c r="U67" s="0">
        <f t="shared" si="22"/>
        <v>0</v>
      </c>
      <c r="V67" s="0">
        <f t="shared" si="22"/>
        <v>0</v>
      </c>
      <c r="W67" s="19">
        <f>SUM(Q67:V67)</f>
        <v>1</v>
      </c>
    </row>
    <row r="68">
      <c r="A68" s="11" t="s">
        <v>41</v>
      </c>
      <c r="B68" s="14">
        <f>I68+P68+W68</f>
        <v>0</v>
      </c>
      <c r="C68" s="22">
        <f ref="C68:H68" t="shared" si="23">C29+C38+C47+C56+C65</f>
        <v>0</v>
      </c>
      <c r="D68" s="22">
        <f t="shared" si="23"/>
        <v>0</v>
      </c>
      <c r="E68" s="22">
        <f t="shared" si="23"/>
        <v>0</v>
      </c>
      <c r="F68" s="22">
        <f t="shared" si="23"/>
        <v>0</v>
      </c>
      <c r="G68" s="22">
        <f t="shared" si="23"/>
        <v>0</v>
      </c>
      <c r="H68" s="22">
        <f t="shared" si="23"/>
        <v>0</v>
      </c>
      <c r="I68" s="10">
        <f>SUM(C68:H68)</f>
        <v>0</v>
      </c>
      <c r="J68" s="22">
        <f ref="J68:O68" t="shared" si="24">J29+J38+J47+J56+J65</f>
        <v>0</v>
      </c>
      <c r="K68" s="22">
        <f t="shared" si="24"/>
        <v>0</v>
      </c>
      <c r="L68" s="22">
        <f t="shared" si="24"/>
        <v>0</v>
      </c>
      <c r="M68" s="22">
        <f t="shared" si="24"/>
        <v>0</v>
      </c>
      <c r="N68" s="22">
        <f t="shared" si="24"/>
        <v>0</v>
      </c>
      <c r="O68" s="22">
        <f t="shared" si="24"/>
        <v>0</v>
      </c>
      <c r="P68" s="10">
        <f>SUM(J68:O68)</f>
        <v>0</v>
      </c>
      <c r="Q68" s="22">
        <f ref="Q68:V68" t="shared" si="25">Q29+Q38+Q47+Q56+Q65</f>
        <v>0</v>
      </c>
      <c r="R68" s="22">
        <f t="shared" si="25"/>
        <v>0</v>
      </c>
      <c r="S68" s="22">
        <f t="shared" si="25"/>
        <v>0</v>
      </c>
      <c r="T68" s="22">
        <f t="shared" si="25"/>
        <v>0</v>
      </c>
      <c r="U68" s="22">
        <f t="shared" si="25"/>
        <v>0</v>
      </c>
      <c r="V68" s="22">
        <f t="shared" si="25"/>
        <v>0</v>
      </c>
      <c r="W68" s="10">
        <f>SUM(Q68:V68)</f>
        <v>0</v>
      </c>
    </row>
    <row r="69">
      <c r="B69" s="13"/>
    </row>
    <row r="70">
      <c r="A70" s="5" t="s">
        <v>42</v>
      </c>
      <c r="B70" s="15">
        <f ref="B70:J70" t="shared" si="26">IF(B19=0,0,B71/B19)</f>
        <v>0</v>
      </c>
      <c r="C70" s="12">
        <f t="shared" si="26"/>
        <v>0</v>
      </c>
      <c r="D70" s="12">
        <f t="shared" si="26"/>
        <v>0</v>
      </c>
      <c r="E70" s="12">
        <f t="shared" si="26"/>
        <v>0</v>
      </c>
      <c r="F70" s="12">
        <f t="shared" si="26"/>
        <v>0</v>
      </c>
      <c r="G70" s="12">
        <f t="shared" si="26"/>
        <v>0</v>
      </c>
      <c r="H70" s="12">
        <f t="shared" si="26"/>
        <v>0</v>
      </c>
      <c r="I70" s="24">
        <f t="shared" si="26"/>
        <v>0</v>
      </c>
      <c r="J70" s="12">
        <f t="shared" si="26"/>
        <v>0</v>
      </c>
      <c r="K70" s="12">
        <f>IF(K18=0,0,K71/K19)</f>
        <v>0</v>
      </c>
      <c r="L70" s="12">
        <f ref="L70:W70" t="shared" si="27">IF(L19=0,0,L71/L19)</f>
        <v>0</v>
      </c>
      <c r="M70" s="12">
        <f t="shared" si="27"/>
        <v>0</v>
      </c>
      <c r="N70" s="12">
        <f t="shared" si="27"/>
        <v>0</v>
      </c>
      <c r="O70" s="12">
        <f t="shared" si="27"/>
        <v>0</v>
      </c>
      <c r="P70" s="24">
        <f t="shared" si="27"/>
        <v>0</v>
      </c>
      <c r="Q70" s="12">
        <f t="shared" si="27"/>
        <v>0</v>
      </c>
      <c r="R70" s="12">
        <f t="shared" si="27"/>
        <v>0</v>
      </c>
      <c r="S70" s="12">
        <f t="shared" si="27"/>
        <v>0</v>
      </c>
      <c r="T70" s="12">
        <f t="shared" si="27"/>
        <v>0</v>
      </c>
      <c r="U70" s="12">
        <f t="shared" si="27"/>
        <v>0</v>
      </c>
      <c r="V70" s="12">
        <f t="shared" si="27"/>
        <v>0</v>
      </c>
      <c r="W70" s="24">
        <f t="shared" si="27"/>
        <v>0</v>
      </c>
    </row>
    <row r="71">
      <c r="A71" s="5" t="s">
        <v>43</v>
      </c>
      <c r="B71" s="13">
        <f>I71+P71+W71</f>
        <v>0</v>
      </c>
      <c r="C71" s="0">
        <f>COUNTIFS(Accounts!$E:$E,'AccountSummary (New)'!C$1,Accounts!$G:$G,'AccountSummary (New)'!C$2,Accounts!$F:$F,'AccountSummary (New)'!C$3,Accounts!$B:$B,"Customer",Accounts!$D:$D,"Prepay")</f>
        <v>0</v>
      </c>
      <c r="D71" s="0">
        <f>COUNTIFS(Accounts!$E:$E,'AccountSummary (New)'!D$1,Accounts!$G:$G,'AccountSummary (New)'!D$2,Accounts!$F:$F,'AccountSummary (New)'!D$3,Accounts!$B:$B,"Customer",Accounts!$D:$D,"Prepay")</f>
        <v>0</v>
      </c>
      <c r="E71" s="0">
        <f>COUNTIFS(Accounts!$E:$E,'AccountSummary (New)'!E$1,Accounts!$G:$G,'AccountSummary (New)'!E$2,Accounts!$F:$F,'AccountSummary (New)'!E$3,Accounts!$B:$B,"Customer",Accounts!$D:$D,"Prepay")</f>
        <v>0</v>
      </c>
      <c r="F71" s="0">
        <f>COUNTIFS(Accounts!$E:$E,'AccountSummary (New)'!F$1,Accounts!$G:$G,'AccountSummary (New)'!F$2,Accounts!$F:$F,'AccountSummary (New)'!F$3,Accounts!$B:$B,"Customer",Accounts!$D:$D,"Prepay")</f>
        <v>0</v>
      </c>
      <c r="G71" s="0">
        <f>COUNTIFS(Accounts!$E:$E,'AccountSummary (New)'!G$1,Accounts!$G:$G,'AccountSummary (New)'!G$2,Accounts!$F:$F,'AccountSummary (New)'!G$3,Accounts!$B:$B,"Customer",Accounts!$D:$D,"Prepay")</f>
        <v>0</v>
      </c>
      <c r="H71" s="0">
        <f>COUNTIFS(Accounts!$E:$E,'AccountSummary (New)'!H$1,Accounts!$G:$G,'AccountSummary (New)'!H$2,Accounts!$F:$F,'AccountSummary (New)'!H$3,Accounts!$B:$B,"Customer",Accounts!$D:$D,"Prepay")</f>
        <v>0</v>
      </c>
      <c r="I71" s="19">
        <f>SUM(C71:H71)</f>
        <v>0</v>
      </c>
      <c r="J71" s="0">
        <f>COUNTIFS(Accounts!$E:$E,'AccountSummary (New)'!J$1,Accounts!$G:$G,'AccountSummary (New)'!J$2,Accounts!$F:$F,'AccountSummary (New)'!J$3,Accounts!$B:$B,"Customer",Accounts!$D:$D,"Prepay")</f>
        <v>0</v>
      </c>
      <c r="K71" s="0">
        <f>COUNTIFS(Accounts!$E:$E,'AccountSummary (New)'!K$1,Accounts!$G:$G,'AccountSummary (New)'!K$2,Accounts!$F:$F,'AccountSummary (New)'!K$3,Accounts!$B:$B,"Customer",Accounts!$D:$D,"Prepay")</f>
        <v>0</v>
      </c>
      <c r="L71" s="0">
        <f>COUNTIFS(Accounts!$E:$E,'AccountSummary (New)'!L$1,Accounts!$G:$G,'AccountSummary (New)'!L$2,Accounts!$F:$F,'AccountSummary (New)'!L$3,Accounts!$B:$B,"Customer",Accounts!$D:$D,"Prepay")</f>
        <v>0</v>
      </c>
      <c r="M71" s="0">
        <f>COUNTIFS(Accounts!$E:$E,'AccountSummary (New)'!M$1,Accounts!$G:$G,'AccountSummary (New)'!M$2,Accounts!$F:$F,'AccountSummary (New)'!M$3,Accounts!$B:$B,"Customer",Accounts!$D:$D,"Prepay")</f>
        <v>0</v>
      </c>
      <c r="N71" s="0">
        <f>COUNTIFS(Accounts!$E:$E,'AccountSummary (New)'!N$1,Accounts!$G:$G,'AccountSummary (New)'!N$2,Accounts!$F:$F,'AccountSummary (New)'!N$3,Accounts!$B:$B,"Customer",Accounts!$D:$D,"Prepay")</f>
        <v>0</v>
      </c>
      <c r="O71" s="0">
        <f>COUNTIFS(Accounts!$E:$E,'AccountSummary (New)'!O$1,Accounts!$G:$G,'AccountSummary (New)'!O$2,Accounts!$F:$F,'AccountSummary (New)'!O$3,Accounts!$B:$B,"Customer",Accounts!$D:$D,"Prepay")</f>
        <v>0</v>
      </c>
      <c r="P71" s="19">
        <f>SUM(J71:O71)</f>
        <v>0</v>
      </c>
      <c r="Q71" s="0">
        <f>COUNTIFS(Accounts!$E:$E,'AccountSummary (New)'!Q$1,Accounts!$G:$G,'AccountSummary (New)'!Q$2,Accounts!$F:$F,'AccountSummary (New)'!Q$3,Accounts!$B:$B,"Customer",Accounts!$D:$D,"Prepay")</f>
        <v>0</v>
      </c>
      <c r="R71" s="0">
        <f>COUNTIFS(Accounts!$E:$E,'AccountSummary (New)'!R$1,Accounts!$G:$G,'AccountSummary (New)'!R$2,Accounts!$F:$F,'AccountSummary (New)'!R$3,Accounts!$B:$B,"Customer",Accounts!$D:$D,"Prepay")</f>
        <v>0</v>
      </c>
      <c r="S71" s="0">
        <f>COUNTIFS(Accounts!$E:$E,'AccountSummary (New)'!S$1,Accounts!$G:$G,'AccountSummary (New)'!S$2,Accounts!$F:$F,'AccountSummary (New)'!S$3,Accounts!$B:$B,"Customer",Accounts!$D:$D,"Prepay")</f>
        <v>0</v>
      </c>
      <c r="T71" s="0">
        <f>COUNTIFS(Accounts!$E:$E,'AccountSummary (New)'!T$1,Accounts!$G:$G,'AccountSummary (New)'!T$2,Accounts!$F:$F,'AccountSummary (New)'!T$3,Accounts!$B:$B,"Customer",Accounts!$D:$D,"Prepay")</f>
        <v>0</v>
      </c>
      <c r="U71" s="0">
        <f>COUNTIFS(Accounts!$E:$E,'AccountSummary (New)'!U$1,Accounts!$G:$G,'AccountSummary (New)'!U$2,Accounts!$F:$F,'AccountSummary (New)'!U$3,Accounts!$B:$B,"Customer",Accounts!$D:$D,"Prepay")</f>
        <v>0</v>
      </c>
      <c r="V71" s="0">
        <f>COUNTIFS(Accounts!$E:$E,'AccountSummary (New)'!V$1,Accounts!$G:$G,'AccountSummary (New)'!V$2,Accounts!$F:$F,'AccountSummary (New)'!V$3,Accounts!$B:$B,"Customer",Accounts!$D:$D,"Prepay")</f>
        <v>0</v>
      </c>
      <c r="W71" s="19">
        <f>SUM(Q71:V71)</f>
        <v>0</v>
      </c>
    </row>
    <row r="72">
      <c r="A72" s="5" t="s">
        <v>44</v>
      </c>
      <c r="B72" s="15">
        <f ref="B72:W72" t="shared" si="28">IF(B71=0,0,B73/B71)</f>
        <v>0</v>
      </c>
      <c r="C72" s="12">
        <f t="shared" si="28"/>
        <v>0</v>
      </c>
      <c r="D72" s="12">
        <f t="shared" si="28"/>
        <v>0</v>
      </c>
      <c r="E72" s="12">
        <f t="shared" si="28"/>
        <v>0</v>
      </c>
      <c r="F72" s="12">
        <f t="shared" si="28"/>
        <v>0</v>
      </c>
      <c r="G72" s="12">
        <f t="shared" si="28"/>
        <v>0</v>
      </c>
      <c r="H72" s="12">
        <f t="shared" si="28"/>
        <v>0</v>
      </c>
      <c r="I72" s="24">
        <f t="shared" si="28"/>
        <v>0</v>
      </c>
      <c r="J72" s="12">
        <f t="shared" si="28"/>
        <v>0</v>
      </c>
      <c r="K72" s="12">
        <f t="shared" si="28"/>
        <v>0</v>
      </c>
      <c r="L72" s="12">
        <f t="shared" si="28"/>
        <v>0</v>
      </c>
      <c r="M72" s="12">
        <f t="shared" si="28"/>
        <v>0</v>
      </c>
      <c r="N72" s="12">
        <f t="shared" si="28"/>
        <v>0</v>
      </c>
      <c r="O72" s="12">
        <f t="shared" si="28"/>
        <v>0</v>
      </c>
      <c r="P72" s="24">
        <f t="shared" si="28"/>
        <v>0</v>
      </c>
      <c r="Q72" s="12">
        <f t="shared" si="28"/>
        <v>0</v>
      </c>
      <c r="R72" s="12">
        <f t="shared" si="28"/>
        <v>0</v>
      </c>
      <c r="S72" s="12">
        <f t="shared" si="28"/>
        <v>0</v>
      </c>
      <c r="T72" s="12">
        <f t="shared" si="28"/>
        <v>0</v>
      </c>
      <c r="U72" s="12">
        <f t="shared" si="28"/>
        <v>0</v>
      </c>
      <c r="V72" s="12">
        <f t="shared" si="28"/>
        <v>0</v>
      </c>
      <c r="W72" s="24">
        <f t="shared" si="28"/>
        <v>0</v>
      </c>
    </row>
    <row r="73">
      <c r="A73" s="5" t="s">
        <v>45</v>
      </c>
      <c r="B73" s="13">
        <f>I73+P73+W73</f>
        <v>0</v>
      </c>
      <c r="C73" s="0">
        <f>COUNTIFS(Accounts!$E:$E,'AccountSummary (New)'!C$1,Accounts!$G:$G,'AccountSummary (New)'!C$2,Accounts!$F:$F,'AccountSummary (New)'!C$3,Accounts!$B:$B,"Customer",Accounts!$D:$D,"Prepay",Accounts!$C:$C,"Lost")</f>
        <v>0</v>
      </c>
      <c r="D73" s="0">
        <f>COUNTIFS(Accounts!$E:$E,'AccountSummary (New)'!D$1,Accounts!$G:$G,'AccountSummary (New)'!D$2,Accounts!$F:$F,'AccountSummary (New)'!D$3,Accounts!$B:$B,"Customer",Accounts!$D:$D,"Prepay",Accounts!$C:$C,"Lost")</f>
        <v>0</v>
      </c>
      <c r="E73" s="0">
        <f>COUNTIFS(Accounts!$E:$E,'AccountSummary (New)'!E$1,Accounts!$G:$G,'AccountSummary (New)'!E$2,Accounts!$F:$F,'AccountSummary (New)'!E$3,Accounts!$B:$B,"Customer",Accounts!$D:$D,"Prepay",Accounts!$C:$C,"Lost")</f>
        <v>0</v>
      </c>
      <c r="F73" s="0">
        <f>COUNTIFS(Accounts!$E:$E,'AccountSummary (New)'!F$1,Accounts!$G:$G,'AccountSummary (New)'!F$2,Accounts!$F:$F,'AccountSummary (New)'!F$3,Accounts!$B:$B,"Customer",Accounts!$D:$D,"Prepay",Accounts!$C:$C,"Lost")</f>
        <v>0</v>
      </c>
      <c r="G73" s="0">
        <f>COUNTIFS(Accounts!$E:$E,'AccountSummary (New)'!G$1,Accounts!$G:$G,'AccountSummary (New)'!G$2,Accounts!$F:$F,'AccountSummary (New)'!G$3,Accounts!$B:$B,"Customer",Accounts!$D:$D,"Prepay",Accounts!$C:$C,"Lost")</f>
        <v>0</v>
      </c>
      <c r="H73" s="0">
        <f>COUNTIFS(Accounts!$E:$E,'AccountSummary (New)'!H$1,Accounts!$G:$G,'AccountSummary (New)'!H$2,Accounts!$F:$F,'AccountSummary (New)'!H$3,Accounts!$B:$B,"Customer",Accounts!$D:$D,"Prepay",Accounts!$C:$C,"Lost")</f>
        <v>0</v>
      </c>
      <c r="I73" s="19">
        <f>SUM(C73:H73)</f>
        <v>0</v>
      </c>
      <c r="J73" s="0">
        <f>COUNTIFS(Accounts!$E:$E,'AccountSummary (New)'!J$1,Accounts!$G:$G,'AccountSummary (New)'!J$2,Accounts!$F:$F,'AccountSummary (New)'!J$3,Accounts!$B:$B,"Customer",Accounts!$D:$D,"Prepay",Accounts!$C:$C,"Lost")</f>
        <v>0</v>
      </c>
      <c r="K73" s="0">
        <f>COUNTIFS(Accounts!$E:$E,'AccountSummary (New)'!K$1,Accounts!$G:$G,'AccountSummary (New)'!K$2,Accounts!$F:$F,'AccountSummary (New)'!K$3,Accounts!$B:$B,"Customer",Accounts!$D:$D,"Prepay",Accounts!$C:$C,"Lost")</f>
        <v>0</v>
      </c>
      <c r="L73" s="0">
        <f>COUNTIFS(Accounts!$E:$E,'AccountSummary (New)'!L$1,Accounts!$G:$G,'AccountSummary (New)'!L$2,Accounts!$F:$F,'AccountSummary (New)'!L$3,Accounts!$B:$B,"Customer",Accounts!$D:$D,"Prepay",Accounts!$C:$C,"Lost")</f>
        <v>0</v>
      </c>
      <c r="M73" s="0">
        <f>COUNTIFS(Accounts!$E:$E,'AccountSummary (New)'!M$1,Accounts!$G:$G,'AccountSummary (New)'!M$2,Accounts!$F:$F,'AccountSummary (New)'!M$3,Accounts!$B:$B,"Customer",Accounts!$D:$D,"Prepay",Accounts!$C:$C,"Lost")</f>
        <v>0</v>
      </c>
      <c r="N73" s="0">
        <f>COUNTIFS(Accounts!$E:$E,'AccountSummary (New)'!N$1,Accounts!$G:$G,'AccountSummary (New)'!N$2,Accounts!$F:$F,'AccountSummary (New)'!N$3,Accounts!$B:$B,"Customer",Accounts!$D:$D,"Prepay",Accounts!$C:$C,"Lost")</f>
        <v>0</v>
      </c>
      <c r="O73" s="0">
        <f>COUNTIFS(Accounts!$E:$E,'AccountSummary (New)'!O$1,Accounts!$G:$G,'AccountSummary (New)'!O$2,Accounts!$F:$F,'AccountSummary (New)'!O$3,Accounts!$B:$B,"Customer",Accounts!$D:$D,"Prepay",Accounts!$C:$C,"Lost")</f>
        <v>0</v>
      </c>
      <c r="P73" s="19">
        <f>SUM(J73:O73)</f>
        <v>0</v>
      </c>
      <c r="Q73" s="0">
        <f>COUNTIFS(Accounts!$E:$E,'AccountSummary (New)'!Q$1,Accounts!$G:$G,'AccountSummary (New)'!Q$2,Accounts!$F:$F,'AccountSummary (New)'!Q$3,Accounts!$B:$B,"Customer",Accounts!$D:$D,"Prepay",Accounts!$C:$C,"Lost")</f>
        <v>0</v>
      </c>
      <c r="R73" s="0">
        <f>COUNTIFS(Accounts!$E:$E,'AccountSummary (New)'!R$1,Accounts!$G:$G,'AccountSummary (New)'!R$2,Accounts!$F:$F,'AccountSummary (New)'!R$3,Accounts!$B:$B,"Customer",Accounts!$D:$D,"Prepay",Accounts!$C:$C,"Lost")</f>
        <v>0</v>
      </c>
      <c r="S73" s="0">
        <f>COUNTIFS(Accounts!$E:$E,'AccountSummary (New)'!S$1,Accounts!$G:$G,'AccountSummary (New)'!S$2,Accounts!$F:$F,'AccountSummary (New)'!S$3,Accounts!$B:$B,"Customer",Accounts!$D:$D,"Prepay",Accounts!$C:$C,"Lost")</f>
        <v>0</v>
      </c>
      <c r="T73" s="0">
        <f>COUNTIFS(Accounts!$E:$E,'AccountSummary (New)'!T$1,Accounts!$G:$G,'AccountSummary (New)'!T$2,Accounts!$F:$F,'AccountSummary (New)'!T$3,Accounts!$B:$B,"Customer",Accounts!$D:$D,"Prepay",Accounts!$C:$C,"Lost")</f>
        <v>0</v>
      </c>
      <c r="U73" s="0">
        <f>COUNTIFS(Accounts!$E:$E,'AccountSummary (New)'!U$1,Accounts!$G:$G,'AccountSummary (New)'!U$2,Accounts!$F:$F,'AccountSummary (New)'!U$3,Accounts!$B:$B,"Customer",Accounts!$D:$D,"Prepay",Accounts!$C:$C,"Lost")</f>
        <v>0</v>
      </c>
      <c r="V73" s="0">
        <f>COUNTIFS(Accounts!$E:$E,'AccountSummary (New)'!V$1,Accounts!$G:$G,'AccountSummary (New)'!V$2,Accounts!$F:$F,'AccountSummary (New)'!V$3,Accounts!$B:$B,"Customer",Accounts!$D:$D,"Prepay",Accounts!$C:$C,"Lost")</f>
        <v>0</v>
      </c>
      <c r="W73" s="19">
        <f>SUM(Q73:V73)</f>
        <v>0</v>
      </c>
    </row>
    <row r="74">
      <c r="A74" s="5" t="s">
        <v>46</v>
      </c>
      <c r="B74" s="13">
        <f>I74+P74+W74</f>
        <v>0</v>
      </c>
      <c r="C74" s="0">
        <f>COUNTIFS(Accounts!$E:$E,'AccountSummary (New)'!C$1,Accounts!$G:$G,'AccountSummary (New)'!C$2,Accounts!$F:$F,'AccountSummary (New)'!C$3,Accounts!$B:$B,"Customer",Accounts!$D:$D,"Prepay",Accounts!$C:$C,"Customer")</f>
        <v>0</v>
      </c>
      <c r="D74" s="0">
        <f>COUNTIFS(Accounts!$E:$E,'AccountSummary (New)'!D$1,Accounts!$G:$G,'AccountSummary (New)'!D$2,Accounts!$F:$F,'AccountSummary (New)'!D$3,Accounts!$B:$B,"Customer",Accounts!$D:$D,"Prepay",Accounts!$C:$C,"Customer")</f>
        <v>0</v>
      </c>
      <c r="E74" s="0">
        <f>COUNTIFS(Accounts!$E:$E,'AccountSummary (New)'!E$1,Accounts!$G:$G,'AccountSummary (New)'!E$2,Accounts!$F:$F,'AccountSummary (New)'!E$3,Accounts!$B:$B,"Customer",Accounts!$D:$D,"Prepay",Accounts!$C:$C,"Customer")</f>
        <v>0</v>
      </c>
      <c r="F74" s="0">
        <f>COUNTIFS(Accounts!$E:$E,'AccountSummary (New)'!F$1,Accounts!$G:$G,'AccountSummary (New)'!F$2,Accounts!$F:$F,'AccountSummary (New)'!F$3,Accounts!$B:$B,"Customer",Accounts!$D:$D,"Prepay",Accounts!$C:$C,"Customer")</f>
        <v>0</v>
      </c>
      <c r="G74" s="0">
        <f>COUNTIFS(Accounts!$E:$E,'AccountSummary (New)'!G$1,Accounts!$G:$G,'AccountSummary (New)'!G$2,Accounts!$F:$F,'AccountSummary (New)'!G$3,Accounts!$B:$B,"Customer",Accounts!$D:$D,"Prepay",Accounts!$C:$C,"Customer")</f>
        <v>0</v>
      </c>
      <c r="H74" s="0">
        <f>COUNTIFS(Accounts!$E:$E,'AccountSummary (New)'!H$1,Accounts!$G:$G,'AccountSummary (New)'!H$2,Accounts!$F:$F,'AccountSummary (New)'!H$3,Accounts!$B:$B,"Customer",Accounts!$D:$D,"Prepay",Accounts!$C:$C,"Customer")</f>
        <v>0</v>
      </c>
      <c r="I74" s="19">
        <f>SUM(C74:H74)</f>
        <v>0</v>
      </c>
      <c r="J74" s="0">
        <f>COUNTIFS(Accounts!$E:$E,'AccountSummary (New)'!J$1,Accounts!$G:$G,'AccountSummary (New)'!J$2,Accounts!$F:$F,'AccountSummary (New)'!J$3,Accounts!$B:$B,"Customer",Accounts!$D:$D,"Prepay",Accounts!$C:$C,"Customer")</f>
        <v>0</v>
      </c>
      <c r="K74" s="0">
        <f>COUNTIFS(Accounts!$E:$E,'AccountSummary (New)'!K$1,Accounts!$G:$G,'AccountSummary (New)'!K$2,Accounts!$F:$F,'AccountSummary (New)'!K$3,Accounts!$B:$B,"Customer",Accounts!$D:$D,"Prepay",Accounts!$C:$C,"Customer")</f>
        <v>0</v>
      </c>
      <c r="L74" s="0">
        <f>COUNTIFS(Accounts!$E:$E,'AccountSummary (New)'!L$1,Accounts!$G:$G,'AccountSummary (New)'!L$2,Accounts!$F:$F,'AccountSummary (New)'!L$3,Accounts!$B:$B,"Customer",Accounts!$D:$D,"Prepay",Accounts!$C:$C,"Customer")</f>
        <v>0</v>
      </c>
      <c r="M74" s="0">
        <f>COUNTIFS(Accounts!$E:$E,'AccountSummary (New)'!M$1,Accounts!$G:$G,'AccountSummary (New)'!M$2,Accounts!$F:$F,'AccountSummary (New)'!M$3,Accounts!$B:$B,"Customer",Accounts!$D:$D,"Prepay",Accounts!$C:$C,"Customer")</f>
        <v>0</v>
      </c>
      <c r="N74" s="0">
        <f>COUNTIFS(Accounts!$E:$E,'AccountSummary (New)'!N$1,Accounts!$G:$G,'AccountSummary (New)'!N$2,Accounts!$F:$F,'AccountSummary (New)'!N$3,Accounts!$B:$B,"Customer",Accounts!$D:$D,"Prepay",Accounts!$C:$C,"Customer")</f>
        <v>0</v>
      </c>
      <c r="O74" s="0">
        <f>COUNTIFS(Accounts!$E:$E,'AccountSummary (New)'!O$1,Accounts!$G:$G,'AccountSummary (New)'!O$2,Accounts!$F:$F,'AccountSummary (New)'!O$3,Accounts!$B:$B,"Customer",Accounts!$D:$D,"Prepay",Accounts!$C:$C,"Customer")</f>
        <v>0</v>
      </c>
      <c r="P74" s="19">
        <f>SUM(J74:O74)</f>
        <v>0</v>
      </c>
      <c r="Q74" s="0">
        <f>COUNTIFS(Accounts!$E:$E,'AccountSummary (New)'!Q$1,Accounts!$G:$G,'AccountSummary (New)'!Q$2,Accounts!$F:$F,'AccountSummary (New)'!Q$3,Accounts!$B:$B,"Customer",Accounts!$D:$D,"Prepay",Accounts!$C:$C,"Customer")</f>
        <v>0</v>
      </c>
      <c r="R74" s="0">
        <f>COUNTIFS(Accounts!$E:$E,'AccountSummary (New)'!R$1,Accounts!$G:$G,'AccountSummary (New)'!R$2,Accounts!$F:$F,'AccountSummary (New)'!R$3,Accounts!$B:$B,"Customer",Accounts!$D:$D,"Prepay",Accounts!$C:$C,"Customer")</f>
        <v>0</v>
      </c>
      <c r="S74" s="0">
        <f>COUNTIFS(Accounts!$E:$E,'AccountSummary (New)'!S$1,Accounts!$G:$G,'AccountSummary (New)'!S$2,Accounts!$F:$F,'AccountSummary (New)'!S$3,Accounts!$B:$B,"Customer",Accounts!$D:$D,"Prepay",Accounts!$C:$C,"Customer")</f>
        <v>0</v>
      </c>
      <c r="T74" s="0">
        <f>COUNTIFS(Accounts!$E:$E,'AccountSummary (New)'!T$1,Accounts!$G:$G,'AccountSummary (New)'!T$2,Accounts!$F:$F,'AccountSummary (New)'!T$3,Accounts!$B:$B,"Customer",Accounts!$D:$D,"Prepay",Accounts!$C:$C,"Customer")</f>
        <v>0</v>
      </c>
      <c r="U74" s="0">
        <f>COUNTIFS(Accounts!$E:$E,'AccountSummary (New)'!U$1,Accounts!$G:$G,'AccountSummary (New)'!U$2,Accounts!$F:$F,'AccountSummary (New)'!U$3,Accounts!$B:$B,"Customer",Accounts!$D:$D,"Prepay",Accounts!$C:$C,"Customer")</f>
        <v>0</v>
      </c>
      <c r="V74" s="0">
        <f>COUNTIFS(Accounts!$E:$E,'AccountSummary (New)'!V$1,Accounts!$G:$G,'AccountSummary (New)'!V$2,Accounts!$F:$F,'AccountSummary (New)'!V$3,Accounts!$B:$B,"Customer",Accounts!$D:$D,"Prepay",Accounts!$C:$C,"Customer")</f>
        <v>0</v>
      </c>
      <c r="W74" s="19">
        <f>SUM(Q74:V74)</f>
        <v>0</v>
      </c>
    </row>
    <row r="75">
      <c r="A75" s="6" t="s">
        <v>16</v>
      </c>
      <c r="B75" s="17">
        <f>IF(B74=0,0,SUMIFS(Accounts!$L:$L,Accounts!$W:$W,0,Accounts!$C:$C,"Customer",Accounts!$D:$D,"Prepay")/B74)</f>
        <v>0</v>
      </c>
      <c r="C75" s="8">
        <f>IF(C74=0,0,SUMIFS(Accounts!$L:$L,Accounts!$E:$E,'AccountSummary (New)'!C$1,Accounts!$G:$G,'AccountSummary (New)'!C$2,Accounts!$F:$F,'AccountSummary (New)'!C$3,Accounts!$W:$W,0,Accounts!$C:$C,"Customer",Accounts!$D:$D,"Prepay")/C74)</f>
        <v>0</v>
      </c>
      <c r="D75" s="8">
        <f>IF(D74=0,0,SUMIFS(Accounts!$L:$L,Accounts!$E:$E,'AccountSummary (New)'!D$1,Accounts!$G:$G,'AccountSummary (New)'!D$2,Accounts!$F:$F,'AccountSummary (New)'!D$3,Accounts!$W:$W,0,Accounts!$C:$C,"Customer",Accounts!$D:$D,"Prepay")/D74)</f>
        <v>0</v>
      </c>
      <c r="E75" s="8">
        <f>IF(E74=0,0,SUMIFS(Accounts!$L:$L,Accounts!$E:$E,'AccountSummary (New)'!E$1,Accounts!$G:$G,'AccountSummary (New)'!E$2,Accounts!$F:$F,'AccountSummary (New)'!E$3,Accounts!$W:$W,0,Accounts!$C:$C,"Customer",Accounts!$D:$D,"Prepay")/E74)</f>
        <v>0</v>
      </c>
      <c r="F75" s="8">
        <f>IF(F74=0,0,SUMIFS(Accounts!$L:$L,Accounts!$E:$E,'AccountSummary (New)'!F$1,Accounts!$G:$G,'AccountSummary (New)'!F$2,Accounts!$F:$F,'AccountSummary (New)'!F$3,Accounts!$W:$W,0,Accounts!$C:$C,"Customer",Accounts!$D:$D,"Prepay")/F74)</f>
        <v>0</v>
      </c>
      <c r="G75" s="8">
        <f>IF(G74=0,0,SUMIFS(Accounts!$L:$L,Accounts!$E:$E,'AccountSummary (New)'!G$1,Accounts!$G:$G,'AccountSummary (New)'!G$2,Accounts!$F:$F,'AccountSummary (New)'!G$3,Accounts!$W:$W,0,Accounts!$C:$C,"Customer",Accounts!$D:$D,"Prepay")/G74)</f>
        <v>0</v>
      </c>
      <c r="H75" s="8">
        <f>IF(H74=0,0,SUMIFS(Accounts!$L:$L,Accounts!$E:$E,'AccountSummary (New)'!H$1,Accounts!$G:$G,'AccountSummary (New)'!H$2,Accounts!$F:$F,'AccountSummary (New)'!H$3,Accounts!$W:$W,0,Accounts!$C:$C,"Customer",Accounts!$D:$D,"Prepay")/H74)</f>
        <v>0</v>
      </c>
      <c r="I75" s="9">
        <f>IF(I74=0,0,SUMIFS(Accounts!$L:$L,Accounts!$F:$F,'AccountSummary (New)'!I$3,Accounts!$W:$W,0,Accounts!$C:$C,"Customer",Accounts!$D:$D,"Prepay")/I74)</f>
        <v>0</v>
      </c>
      <c r="J75" s="8">
        <f>IF(J74=0,0,SUMIFS(Accounts!$L:$L,Accounts!$E:$E,'AccountSummary (New)'!J$1,Accounts!$G:$G,'AccountSummary (New)'!J$2,Accounts!$F:$F,'AccountSummary (New)'!J$3,Accounts!$W:$W,0,Accounts!$C:$C,"Customer",Accounts!$D:$D,"Prepay")/J74)</f>
        <v>0</v>
      </c>
      <c r="K75" s="8">
        <f>IF(K74=0,0,SUMIFS(Accounts!$L:$L,Accounts!$E:$E,'AccountSummary (New)'!K$1,Accounts!$G:$G,'AccountSummary (New)'!K$2,Accounts!$F:$F,'AccountSummary (New)'!K$3,Accounts!$W:$W,0,Accounts!$C:$C,"Customer",Accounts!$D:$D,"Prepay")/K74)</f>
        <v>0</v>
      </c>
      <c r="L75" s="8">
        <f>IF(L74=0,0,SUMIFS(Accounts!$L:$L,Accounts!$E:$E,'AccountSummary (New)'!L$1,Accounts!$G:$G,'AccountSummary (New)'!L$2,Accounts!$F:$F,'AccountSummary (New)'!L$3,Accounts!$W:$W,0,Accounts!$C:$C,"Customer",Accounts!$D:$D,"Prepay")/L74)</f>
        <v>0</v>
      </c>
      <c r="M75" s="8">
        <f>IF(M74=0,0,SUMIFS(Accounts!$L:$L,Accounts!$E:$E,'AccountSummary (New)'!M$1,Accounts!$G:$G,'AccountSummary (New)'!M$2,Accounts!$F:$F,'AccountSummary (New)'!M$3,Accounts!$W:$W,0,Accounts!$C:$C,"Customer",Accounts!$D:$D,"Prepay")/M74)</f>
        <v>0</v>
      </c>
      <c r="N75" s="8">
        <f>IF(N74=0,0,SUMIFS(Accounts!$L:$L,Accounts!$E:$E,'AccountSummary (New)'!N$1,Accounts!$G:$G,'AccountSummary (New)'!N$2,Accounts!$F:$F,'AccountSummary (New)'!N$3,Accounts!$W:$W,0,Accounts!$C:$C,"Customer",Accounts!$D:$D,"Prepay")/N74)</f>
        <v>0</v>
      </c>
      <c r="O75" s="8">
        <f>IF(O74=0,0,SUMIFS(Accounts!$L:$L,Accounts!$E:$E,'AccountSummary (New)'!O$1,Accounts!$G:$G,'AccountSummary (New)'!O$2,Accounts!$F:$F,'AccountSummary (New)'!O$3,Accounts!$W:$W,0,Accounts!$C:$C,"Customer",Accounts!$D:$D,"Prepay")/O74)</f>
        <v>0</v>
      </c>
      <c r="P75" s="9">
        <f>IF(P74=0,0,SUMIFS(Accounts!$L:$L,Accounts!$F:$F,'AccountSummary (New)'!P$3,Accounts!$W:$W,0,Accounts!$C:$C,"Customer",Accounts!$D:$D,"Prepay")/P74)</f>
        <v>0</v>
      </c>
      <c r="Q75" s="8">
        <f>IF(Q74=0,0,SUMIFS(Accounts!$L:$L,Accounts!$E:$E,'AccountSummary (New)'!Q$1,Accounts!$G:$G,'AccountSummary (New)'!Q$2,Accounts!$F:$F,'AccountSummary (New)'!Q$3,Accounts!$W:$W,0,Accounts!$C:$C,"Customer",Accounts!$D:$D,"Prepay")/Q74)</f>
        <v>0</v>
      </c>
      <c r="R75" s="8">
        <f>IF(R74=0,0,SUMIFS(Accounts!$L:$L,Accounts!$E:$E,'AccountSummary (New)'!R$1,Accounts!$G:$G,'AccountSummary (New)'!R$2,Accounts!$F:$F,'AccountSummary (New)'!R$3,Accounts!$W:$W,0,Accounts!$C:$C,"Customer",Accounts!$D:$D,"Prepay")/R74)</f>
        <v>0</v>
      </c>
      <c r="S75" s="8">
        <f>IF(S74=0,0,SUMIFS(Accounts!$L:$L,Accounts!$E:$E,'AccountSummary (New)'!S$1,Accounts!$G:$G,'AccountSummary (New)'!S$2,Accounts!$F:$F,'AccountSummary (New)'!S$3,Accounts!$W:$W,0,Accounts!$C:$C,"Customer",Accounts!$D:$D,"Prepay")/S74)</f>
        <v>0</v>
      </c>
      <c r="T75" s="8">
        <f>IF(T74=0,0,SUMIFS(Accounts!$L:$L,Accounts!$E:$E,'AccountSummary (New)'!T$1,Accounts!$G:$G,'AccountSummary (New)'!T$2,Accounts!$F:$F,'AccountSummary (New)'!T$3,Accounts!$W:$W,0,Accounts!$C:$C,"Customer",Accounts!$D:$D,"Prepay")/T74)</f>
        <v>0</v>
      </c>
      <c r="U75" s="8">
        <f>IF(U74=0,0,SUMIFS(Accounts!$L:$L,Accounts!$E:$E,'AccountSummary (New)'!U$1,Accounts!$G:$G,'AccountSummary (New)'!U$2,Accounts!$F:$F,'AccountSummary (New)'!U$3,Accounts!$W:$W,0,Accounts!$C:$C,"Customer",Accounts!$D:$D,"Prepay")/U74)</f>
        <v>0</v>
      </c>
      <c r="V75" s="8">
        <f>IF(V74=0,0,SUMIFS(Accounts!$L:$L,Accounts!$E:$E,'AccountSummary (New)'!V$1,Accounts!$G:$G,'AccountSummary (New)'!V$2,Accounts!$F:$F,'AccountSummary (New)'!V$3,Accounts!$W:$W,0,Accounts!$C:$C,"Customer",Accounts!$D:$D,"Prepay")/V74)</f>
        <v>0</v>
      </c>
      <c r="W75" s="9">
        <f>IF(W74=0,0,SUMIFS(Accounts!$L:$L,Accounts!$F:$F,'AccountSummary (New)'!W$3,Accounts!$W:$W,0,Accounts!$C:$C,"Customer",Accounts!$D:$D,"Prepay")/W74)</f>
        <v>0</v>
      </c>
    </row>
    <row r="76">
      <c r="A76" s="6" t="s">
        <v>17</v>
      </c>
      <c r="B76" s="17">
        <f>IF(B74=0,0,SUMIFS(Accounts!$M:$M,Accounts!$W:$W,0,Accounts!$C:$C,"Customer",Accounts!$D:$D,"Prepay")/B74)</f>
        <v>0</v>
      </c>
      <c r="C76" s="8">
        <f>IF(C74=0,0,SUMIFS(Accounts!$M:$M,Accounts!$E:$E,'AccountSummary (New)'!C$1,Accounts!$G:$G,'AccountSummary (New)'!C$2,Accounts!$F:$F,'AccountSummary (New)'!C$3,Accounts!$W:$W,0,Accounts!$C:$C,"Customer",Accounts!$D:$D,"Prepay")/C74)</f>
        <v>0</v>
      </c>
      <c r="D76" s="8">
        <f>IF(D74=0,0,SUMIFS(Accounts!$M:$M,Accounts!$E:$E,'AccountSummary (New)'!D$1,Accounts!$G:$G,'AccountSummary (New)'!D$2,Accounts!$F:$F,'AccountSummary (New)'!D$3,Accounts!$W:$W,0,Accounts!$C:$C,"Customer",Accounts!$D:$D,"Prepay")/D74)</f>
        <v>0</v>
      </c>
      <c r="E76" s="8">
        <f>IF(E74=0,0,SUMIFS(Accounts!$M:$M,Accounts!$E:$E,'AccountSummary (New)'!E$1,Accounts!$G:$G,'AccountSummary (New)'!E$2,Accounts!$F:$F,'AccountSummary (New)'!E$3,Accounts!$W:$W,0,Accounts!$C:$C,"Customer",Accounts!$D:$D,"Prepay")/E74)</f>
        <v>0</v>
      </c>
      <c r="F76" s="8">
        <f>IF(F74=0,0,SUMIFS(Accounts!$M:$M,Accounts!$E:$E,'AccountSummary (New)'!F$1,Accounts!$G:$G,'AccountSummary (New)'!F$2,Accounts!$F:$F,'AccountSummary (New)'!F$3,Accounts!$W:$W,0,Accounts!$C:$C,"Customer",Accounts!$D:$D,"Prepay")/F74)</f>
        <v>0</v>
      </c>
      <c r="G76" s="8">
        <f>IF(G74=0,0,SUMIFS(Accounts!$M:$M,Accounts!$E:$E,'AccountSummary (New)'!G$1,Accounts!$G:$G,'AccountSummary (New)'!G$2,Accounts!$F:$F,'AccountSummary (New)'!G$3,Accounts!$W:$W,0,Accounts!$C:$C,"Customer",Accounts!$D:$D,"Prepay")/G74)</f>
        <v>0</v>
      </c>
      <c r="H76" s="8">
        <f>IF(H74=0,0,SUMIFS(Accounts!$M:$M,Accounts!$E:$E,'AccountSummary (New)'!H$1,Accounts!$G:$G,'AccountSummary (New)'!H$2,Accounts!$F:$F,'AccountSummary (New)'!H$3,Accounts!$W:$W,0,Accounts!$C:$C,"Customer",Accounts!$D:$D,"Prepay")/H74)</f>
        <v>0</v>
      </c>
      <c r="I76" s="9">
        <f>IF(I74=0,0,SUMIFS(Accounts!$M:$M,Accounts!$F:$F,'AccountSummary (New)'!I$3,Accounts!$W:$W,0,Accounts!$C:$C,"Customer",Accounts!$D:$D,"Prepay")/I74)</f>
        <v>0</v>
      </c>
      <c r="J76" s="8">
        <f>IF(J74=0,0,SUMIFS(Accounts!$M:$M,Accounts!$E:$E,'AccountSummary (New)'!J$1,Accounts!$G:$G,'AccountSummary (New)'!J$2,Accounts!$F:$F,'AccountSummary (New)'!J$3,Accounts!$W:$W,0,Accounts!$C:$C,"Customer",Accounts!$D:$D,"Prepay")/J74)</f>
        <v>0</v>
      </c>
      <c r="K76" s="8">
        <f>IF(K74=0,0,SUMIFS(Accounts!$M:$M,Accounts!$E:$E,'AccountSummary (New)'!K$1,Accounts!$G:$G,'AccountSummary (New)'!K$2,Accounts!$F:$F,'AccountSummary (New)'!K$3,Accounts!$W:$W,0,Accounts!$C:$C,"Customer",Accounts!$D:$D,"Prepay")/K74)</f>
        <v>0</v>
      </c>
      <c r="L76" s="8">
        <f>IF(L74=0,0,SUMIFS(Accounts!$M:$M,Accounts!$E:$E,'AccountSummary (New)'!L$1,Accounts!$G:$G,'AccountSummary (New)'!L$2,Accounts!$F:$F,'AccountSummary (New)'!L$3,Accounts!$W:$W,0,Accounts!$C:$C,"Customer",Accounts!$D:$D,"Prepay")/L74)</f>
        <v>0</v>
      </c>
      <c r="M76" s="8">
        <f>IF(M74=0,0,SUMIFS(Accounts!$M:$M,Accounts!$E:$E,'AccountSummary (New)'!M$1,Accounts!$G:$G,'AccountSummary (New)'!M$2,Accounts!$F:$F,'AccountSummary (New)'!M$3,Accounts!$W:$W,0,Accounts!$C:$C,"Customer",Accounts!$D:$D,"Prepay")/M74)</f>
        <v>0</v>
      </c>
      <c r="N76" s="8">
        <f>IF(N74=0,0,SUMIFS(Accounts!$M:$M,Accounts!$E:$E,'AccountSummary (New)'!N$1,Accounts!$G:$G,'AccountSummary (New)'!N$2,Accounts!$F:$F,'AccountSummary (New)'!N$3,Accounts!$W:$W,0,Accounts!$C:$C,"Customer",Accounts!$D:$D,"Prepay")/N74)</f>
        <v>0</v>
      </c>
      <c r="O76" s="8">
        <f>IF(O74=0,0,SUMIFS(Accounts!$M:$M,Accounts!$E:$E,'AccountSummary (New)'!O$1,Accounts!$G:$G,'AccountSummary (New)'!O$2,Accounts!$F:$F,'AccountSummary (New)'!O$3,Accounts!$W:$W,0,Accounts!$C:$C,"Customer",Accounts!$D:$D,"Prepay")/O74)</f>
        <v>0</v>
      </c>
      <c r="P76" s="9">
        <f>IF(P74=0,0,SUMIFS(Accounts!$M:$M,Accounts!$F:$F,'AccountSummary (New)'!P$3,Accounts!$W:$W,0,Accounts!$C:$C,"Customer",Accounts!$D:$D,"Prepay")/P74)</f>
        <v>0</v>
      </c>
      <c r="Q76" s="8">
        <f>IF(Q74=0,0,SUMIFS(Accounts!$M:$M,Accounts!$E:$E,'AccountSummary (New)'!Q$1,Accounts!$G:$G,'AccountSummary (New)'!Q$2,Accounts!$F:$F,'AccountSummary (New)'!Q$3,Accounts!$W:$W,0,Accounts!$C:$C,"Customer",Accounts!$D:$D,"Prepay")/Q74)</f>
        <v>0</v>
      </c>
      <c r="R76" s="8">
        <f>IF(R74=0,0,SUMIFS(Accounts!$M:$M,Accounts!$E:$E,'AccountSummary (New)'!R$1,Accounts!$G:$G,'AccountSummary (New)'!R$2,Accounts!$F:$F,'AccountSummary (New)'!R$3,Accounts!$W:$W,0,Accounts!$C:$C,"Customer",Accounts!$D:$D,"Prepay")/R74)</f>
        <v>0</v>
      </c>
      <c r="S76" s="8">
        <f>IF(S74=0,0,SUMIFS(Accounts!$M:$M,Accounts!$E:$E,'AccountSummary (New)'!S$1,Accounts!$G:$G,'AccountSummary (New)'!S$2,Accounts!$F:$F,'AccountSummary (New)'!S$3,Accounts!$W:$W,0,Accounts!$C:$C,"Customer",Accounts!$D:$D,"Prepay")/S74)</f>
        <v>0</v>
      </c>
      <c r="T76" s="8">
        <f>IF(T74=0,0,SUMIFS(Accounts!$M:$M,Accounts!$E:$E,'AccountSummary (New)'!T$1,Accounts!$G:$G,'AccountSummary (New)'!T$2,Accounts!$F:$F,'AccountSummary (New)'!T$3,Accounts!$W:$W,0,Accounts!$C:$C,"Customer",Accounts!$D:$D,"Prepay")/T74)</f>
        <v>0</v>
      </c>
      <c r="U76" s="8">
        <f>IF(U74=0,0,SUMIFS(Accounts!$M:$M,Accounts!$E:$E,'AccountSummary (New)'!U$1,Accounts!$G:$G,'AccountSummary (New)'!U$2,Accounts!$F:$F,'AccountSummary (New)'!U$3,Accounts!$W:$W,0,Accounts!$C:$C,"Customer",Accounts!$D:$D,"Prepay")/U74)</f>
        <v>0</v>
      </c>
      <c r="V76" s="8">
        <f>IF(V74=0,0,SUMIFS(Accounts!$M:$M,Accounts!$E:$E,'AccountSummary (New)'!V$1,Accounts!$G:$G,'AccountSummary (New)'!V$2,Accounts!$F:$F,'AccountSummary (New)'!V$3,Accounts!$W:$W,0,Accounts!$C:$C,"Customer",Accounts!$D:$D,"Prepay")/V74)</f>
        <v>0</v>
      </c>
      <c r="W76" s="9">
        <f>IF(W74=0,0,SUMIFS(Accounts!$M:$M,Accounts!$F:$F,'AccountSummary (New)'!W$3,Accounts!$W:$W,0,Accounts!$C:$C,"Customer",Accounts!$D:$D,"Prepay")/W74)</f>
        <v>0</v>
      </c>
    </row>
    <row r="77">
      <c r="A77" s="5" t="s">
        <v>47</v>
      </c>
      <c r="B77" s="14">
        <f ref="B77:W77" t="shared" si="29">IF(B74=0,0,B78/B74)</f>
        <v>0</v>
      </c>
      <c r="C77" s="22">
        <f t="shared" si="29"/>
        <v>0</v>
      </c>
      <c r="D77" s="22">
        <f t="shared" si="29"/>
        <v>0</v>
      </c>
      <c r="E77" s="22">
        <f t="shared" si="29"/>
        <v>0</v>
      </c>
      <c r="F77" s="22">
        <f t="shared" si="29"/>
        <v>0</v>
      </c>
      <c r="G77" s="22">
        <f t="shared" si="29"/>
        <v>0</v>
      </c>
      <c r="H77" s="22">
        <f t="shared" si="29"/>
        <v>0</v>
      </c>
      <c r="I77" s="10">
        <f t="shared" si="29"/>
        <v>0</v>
      </c>
      <c r="J77" s="22">
        <f t="shared" si="29"/>
        <v>0</v>
      </c>
      <c r="K77" s="22">
        <f t="shared" si="29"/>
        <v>0</v>
      </c>
      <c r="L77" s="22">
        <f t="shared" si="29"/>
        <v>0</v>
      </c>
      <c r="M77" s="22">
        <f t="shared" si="29"/>
        <v>0</v>
      </c>
      <c r="N77" s="22">
        <f t="shared" si="29"/>
        <v>0</v>
      </c>
      <c r="O77" s="22">
        <f t="shared" si="29"/>
        <v>0</v>
      </c>
      <c r="P77" s="10">
        <f t="shared" si="29"/>
        <v>0</v>
      </c>
      <c r="Q77" s="22">
        <f t="shared" si="29"/>
        <v>0</v>
      </c>
      <c r="R77" s="22">
        <f t="shared" si="29"/>
        <v>0</v>
      </c>
      <c r="S77" s="22">
        <f t="shared" si="29"/>
        <v>0</v>
      </c>
      <c r="T77" s="22">
        <f t="shared" si="29"/>
        <v>0</v>
      </c>
      <c r="U77" s="22">
        <f t="shared" si="29"/>
        <v>0</v>
      </c>
      <c r="V77" s="22">
        <f t="shared" si="29"/>
        <v>0</v>
      </c>
      <c r="W77" s="10">
        <f t="shared" si="29"/>
        <v>0</v>
      </c>
    </row>
    <row r="78">
      <c r="A78" s="5" t="s">
        <v>48</v>
      </c>
      <c r="B78" s="14">
        <f>I78+P78+W78</f>
        <v>0</v>
      </c>
      <c r="C78" s="22">
        <f>SUMIFS(Accounts!$I:$I,Accounts!$E:$E,'AccountSummary (New)'!C$1,Accounts!$G:$G,'AccountSummary (New)'!C$2,Accounts!$F:$F,'AccountSummary (New)'!C$3,Accounts!$W:$W,0,Accounts!$C:$C,"Customer",Accounts!$D:$D,"Prepay")</f>
        <v>0</v>
      </c>
      <c r="D78" s="22">
        <f>SUMIFS(Accounts!$I:$I,Accounts!$E:$E,'AccountSummary (New)'!D$1,Accounts!$G:$G,'AccountSummary (New)'!D$2,Accounts!$F:$F,'AccountSummary (New)'!D$3,Accounts!$W:$W,0,Accounts!$C:$C,"Customer",Accounts!$D:$D,"Prepay")</f>
        <v>0</v>
      </c>
      <c r="E78" s="22">
        <f>SUMIFS(Accounts!$I:$I,Accounts!$E:$E,'AccountSummary (New)'!E$1,Accounts!$G:$G,'AccountSummary (New)'!E$2,Accounts!$F:$F,'AccountSummary (New)'!E$3,Accounts!$W:$W,0,Accounts!$C:$C,"Customer",Accounts!$D:$D,"Prepay")</f>
        <v>0</v>
      </c>
      <c r="F78" s="22">
        <f>SUMIFS(Accounts!$I:$I,Accounts!$E:$E,'AccountSummary (New)'!F$1,Accounts!$G:$G,'AccountSummary (New)'!F$2,Accounts!$F:$F,'AccountSummary (New)'!F$3,Accounts!$W:$W,0,Accounts!$C:$C,"Customer",Accounts!$D:$D,"Prepay")</f>
        <v>0</v>
      </c>
      <c r="G78" s="22">
        <f>SUMIFS(Accounts!$I:$I,Accounts!$E:$E,'AccountSummary (New)'!G$1,Accounts!$G:$G,'AccountSummary (New)'!G$2,Accounts!$F:$F,'AccountSummary (New)'!G$3,Accounts!$W:$W,0,Accounts!$C:$C,"Customer",Accounts!$D:$D,"Prepay")</f>
        <v>0</v>
      </c>
      <c r="H78" s="22">
        <f>SUMIFS(Accounts!$I:$I,Accounts!$E:$E,'AccountSummary (New)'!H$1,Accounts!$G:$G,'AccountSummary (New)'!H$2,Accounts!$F:$F,'AccountSummary (New)'!H$3,Accounts!$W:$W,0,Accounts!$C:$C,"Customer",Accounts!$D:$D,"Prepay")</f>
        <v>0</v>
      </c>
      <c r="I78" s="10">
        <f>SUM(C78:H78)</f>
        <v>0</v>
      </c>
      <c r="J78" s="22">
        <f>SUMIFS(Accounts!$I:$I,Accounts!$E:$E,'AccountSummary (New)'!J$1,Accounts!$G:$G,'AccountSummary (New)'!J$2,Accounts!$F:$F,'AccountSummary (New)'!J$3,Accounts!$W:$W,0,Accounts!$C:$C,"Customer",Accounts!$D:$D,"Prepay")</f>
        <v>0</v>
      </c>
      <c r="K78" s="22">
        <f>SUMIFS(Accounts!$I:$I,Accounts!$E:$E,'AccountSummary (New)'!K$1,Accounts!$G:$G,'AccountSummary (New)'!K$2,Accounts!$F:$F,'AccountSummary (New)'!K$3,Accounts!$W:$W,0,Accounts!$C:$C,"Customer",Accounts!$D:$D,"Prepay")</f>
        <v>0</v>
      </c>
      <c r="L78" s="22">
        <f>SUMIFS(Accounts!$I:$I,Accounts!$E:$E,'AccountSummary (New)'!L$1,Accounts!$G:$G,'AccountSummary (New)'!L$2,Accounts!$F:$F,'AccountSummary (New)'!L$3,Accounts!$W:$W,0,Accounts!$C:$C,"Customer",Accounts!$D:$D,"Prepay")</f>
        <v>0</v>
      </c>
      <c r="M78" s="22">
        <f>SUMIFS(Accounts!$I:$I,Accounts!$E:$E,'AccountSummary (New)'!M$1,Accounts!$G:$G,'AccountSummary (New)'!M$2,Accounts!$F:$F,'AccountSummary (New)'!M$3,Accounts!$W:$W,0,Accounts!$C:$C,"Customer",Accounts!$D:$D,"Prepay")</f>
        <v>0</v>
      </c>
      <c r="N78" s="22">
        <f>SUMIFS(Accounts!$I:$I,Accounts!$E:$E,'AccountSummary (New)'!N$1,Accounts!$G:$G,'AccountSummary (New)'!N$2,Accounts!$F:$F,'AccountSummary (New)'!N$3,Accounts!$W:$W,0,Accounts!$C:$C,"Customer",Accounts!$D:$D,"Prepay")</f>
        <v>0</v>
      </c>
      <c r="O78" s="22">
        <f>SUMIFS(Accounts!$I:$I,Accounts!$E:$E,'AccountSummary (New)'!O$1,Accounts!$G:$G,'AccountSummary (New)'!O$2,Accounts!$F:$F,'AccountSummary (New)'!O$3,Accounts!$W:$W,0,Accounts!$C:$C,"Customer",Accounts!$D:$D,"Prepay")</f>
        <v>0</v>
      </c>
      <c r="P78" s="10">
        <f>SUM(J78:O78)</f>
        <v>0</v>
      </c>
      <c r="Q78" s="22">
        <f>SUMIFS(Accounts!$I:$I,Accounts!$E:$E,'AccountSummary (New)'!Q$1,Accounts!$G:$G,'AccountSummary (New)'!Q$2,Accounts!$F:$F,'AccountSummary (New)'!Q$3,Accounts!$W:$W,0,Accounts!$C:$C,"Customer",Accounts!$D:$D,"Prepay")</f>
        <v>0</v>
      </c>
      <c r="R78" s="22">
        <f>SUMIFS(Accounts!$I:$I,Accounts!$E:$E,'AccountSummary (New)'!R$1,Accounts!$G:$G,'AccountSummary (New)'!R$2,Accounts!$F:$F,'AccountSummary (New)'!R$3,Accounts!$W:$W,0,Accounts!$C:$C,"Customer",Accounts!$D:$D,"Prepay")</f>
        <v>0</v>
      </c>
      <c r="S78" s="22">
        <f>SUMIFS(Accounts!$I:$I,Accounts!$E:$E,'AccountSummary (New)'!S$1,Accounts!$G:$G,'AccountSummary (New)'!S$2,Accounts!$F:$F,'AccountSummary (New)'!S$3,Accounts!$W:$W,0,Accounts!$C:$C,"Customer",Accounts!$D:$D,"Prepay")</f>
        <v>0</v>
      </c>
      <c r="T78" s="22">
        <f>SUMIFS(Accounts!$I:$I,Accounts!$E:$E,'AccountSummary (New)'!T$1,Accounts!$G:$G,'AccountSummary (New)'!T$2,Accounts!$F:$F,'AccountSummary (New)'!T$3,Accounts!$W:$W,0,Accounts!$C:$C,"Customer",Accounts!$D:$D,"Prepay")</f>
        <v>0</v>
      </c>
      <c r="U78" s="22">
        <f>SUMIFS(Accounts!$I:$I,Accounts!$E:$E,'AccountSummary (New)'!U$1,Accounts!$G:$G,'AccountSummary (New)'!U$2,Accounts!$F:$F,'AccountSummary (New)'!U$3,Accounts!$W:$W,0,Accounts!$C:$C,"Customer",Accounts!$D:$D,"Prepay")</f>
        <v>0</v>
      </c>
      <c r="V78" s="22">
        <f>SUMIFS(Accounts!$I:$I,Accounts!$E:$E,'AccountSummary (New)'!V$1,Accounts!$G:$G,'AccountSummary (New)'!V$2,Accounts!$F:$F,'AccountSummary (New)'!V$3,Accounts!$W:$W,0,Accounts!$C:$C,"Customer",Accounts!$D:$D,"Prepay")</f>
        <v>0</v>
      </c>
      <c r="W78" s="10">
        <f>SUM(Q78:V78)</f>
        <v>0</v>
      </c>
    </row>
    <row r="79">
      <c r="A79" s="5" t="s">
        <v>49</v>
      </c>
      <c r="B79" s="25" t="e">
        <f ref="B79:W79" t="shared" si="30">B78/B68</f>
        <v>#DIV/0!</v>
      </c>
      <c r="C79" s="23" t="e">
        <f t="shared" si="30"/>
        <v>#DIV/0!</v>
      </c>
      <c r="D79" s="23" t="e">
        <f t="shared" si="30"/>
        <v>#DIV/0!</v>
      </c>
      <c r="E79" s="23" t="e">
        <f t="shared" si="30"/>
        <v>#DIV/0!</v>
      </c>
      <c r="F79" s="23" t="e">
        <f t="shared" si="30"/>
        <v>#DIV/0!</v>
      </c>
      <c r="G79" s="23" t="e">
        <f t="shared" si="30"/>
        <v>#DIV/0!</v>
      </c>
      <c r="H79" s="23" t="e">
        <f t="shared" si="30"/>
        <v>#DIV/0!</v>
      </c>
      <c r="I79" s="24" t="e">
        <f t="shared" si="30"/>
        <v>#DIV/0!</v>
      </c>
      <c r="J79" s="23" t="e">
        <f t="shared" si="30"/>
        <v>#DIV/0!</v>
      </c>
      <c r="K79" s="23" t="e">
        <f t="shared" si="30"/>
        <v>#DIV/0!</v>
      </c>
      <c r="L79" s="23" t="e">
        <f t="shared" si="30"/>
        <v>#DIV/0!</v>
      </c>
      <c r="M79" s="23" t="e">
        <f t="shared" si="30"/>
        <v>#DIV/0!</v>
      </c>
      <c r="N79" s="23" t="e">
        <f t="shared" si="30"/>
        <v>#DIV/0!</v>
      </c>
      <c r="O79" s="23" t="e">
        <f t="shared" si="30"/>
        <v>#DIV/0!</v>
      </c>
      <c r="P79" s="24" t="e">
        <f t="shared" si="30"/>
        <v>#DIV/0!</v>
      </c>
      <c r="Q79" s="23" t="e">
        <f t="shared" si="30"/>
        <v>#DIV/0!</v>
      </c>
      <c r="R79" s="23" t="e">
        <f t="shared" si="30"/>
        <v>#DIV/0!</v>
      </c>
      <c r="S79" s="23" t="e">
        <f t="shared" si="30"/>
        <v>#DIV/0!</v>
      </c>
      <c r="T79" s="23" t="e">
        <f t="shared" si="30"/>
        <v>#DIV/0!</v>
      </c>
      <c r="U79" s="23" t="e">
        <f t="shared" si="30"/>
        <v>#DIV/0!</v>
      </c>
      <c r="V79" s="23" t="e">
        <f t="shared" si="30"/>
        <v>#DIV/0!</v>
      </c>
      <c r="W79" s="24" t="e">
        <f t="shared" si="30"/>
        <v>#DIV/0!</v>
      </c>
    </row>
    <row r="80">
      <c r="A80" s="5"/>
      <c r="B80" s="13"/>
    </row>
    <row r="81">
      <c r="A81" s="5" t="s">
        <v>50</v>
      </c>
      <c r="B81" s="13">
        <f>I81+P81+W81</f>
        <v>0</v>
      </c>
      <c r="C81" s="0">
        <f>COUNTIFS(Accounts!$E:$E,'AccountSummary (New)'!C$1,Accounts!$G:$G,'AccountSummary (New)'!C$2,Accounts!$F:$F,'AccountSummary (New)'!C$3,Accounts!$C:$C,"Lost",Accounts!$BG:$BG,FALSE)</f>
        <v>0</v>
      </c>
      <c r="D81" s="0">
        <f>COUNTIFS(Accounts!$E:$E,'AccountSummary (New)'!D$1,Accounts!$G:$G,'AccountSummary (New)'!D$2,Accounts!$F:$F,'AccountSummary (New)'!D$3,Accounts!$C:$C,"Lost",Accounts!$BG:$BG,FALSE)</f>
        <v>0</v>
      </c>
      <c r="E81" s="0">
        <f>COUNTIFS(Accounts!$E:$E,'AccountSummary (New)'!E$1,Accounts!$G:$G,'AccountSummary (New)'!E$2,Accounts!$F:$F,'AccountSummary (New)'!E$3,Accounts!$C:$C,"Lost",Accounts!$BG:$BG,FALSE)</f>
        <v>0</v>
      </c>
      <c r="F81" s="0">
        <f>COUNTIFS(Accounts!$E:$E,'AccountSummary (New)'!F$1,Accounts!$G:$G,'AccountSummary (New)'!F$2,Accounts!$F:$F,'AccountSummary (New)'!F$3,Accounts!$C:$C,"Lost",Accounts!$BG:$BG,FALSE)</f>
        <v>0</v>
      </c>
      <c r="G81" s="0">
        <f>COUNTIFS(Accounts!$E:$E,'AccountSummary (New)'!G$1,Accounts!$G:$G,'AccountSummary (New)'!G$2,Accounts!$F:$F,'AccountSummary (New)'!G$3,Accounts!$C:$C,"Lost",Accounts!$BG:$BG,FALSE)</f>
        <v>0</v>
      </c>
      <c r="H81" s="0">
        <f>COUNTIFS(Accounts!$E:$E,'AccountSummary (New)'!H$1,Accounts!$G:$G,'AccountSummary (New)'!H$2,Accounts!$F:$F,'AccountSummary (New)'!H$3,Accounts!$C:$C,"Lost",Accounts!$BG:$BG,FALSE)</f>
        <v>0</v>
      </c>
      <c r="I81" s="19">
        <f>SUM(C81:H81)</f>
        <v>0</v>
      </c>
      <c r="J81" s="0">
        <f>COUNTIFS(Accounts!$E:$E,'AccountSummary (New)'!J$1,Accounts!$G:$G,'AccountSummary (New)'!J$2,Accounts!$F:$F,'AccountSummary (New)'!J$3,Accounts!$C:$C,"Lost",Accounts!$BG:$BG,FALSE)</f>
        <v>0</v>
      </c>
      <c r="K81" s="0">
        <f>COUNTIFS(Accounts!$E:$E,'AccountSummary (New)'!K$1,Accounts!$G:$G,'AccountSummary (New)'!K$2,Accounts!$F:$F,'AccountSummary (New)'!K$3,Accounts!$C:$C,"Lost",Accounts!$BG:$BG,FALSE)</f>
        <v>0</v>
      </c>
      <c r="L81" s="0">
        <f>COUNTIFS(Accounts!$E:$E,'AccountSummary (New)'!L$1,Accounts!$G:$G,'AccountSummary (New)'!L$2,Accounts!$F:$F,'AccountSummary (New)'!L$3,Accounts!$C:$C,"Lost",Accounts!$BG:$BG,FALSE)</f>
        <v>0</v>
      </c>
      <c r="M81" s="0">
        <f>COUNTIFS(Accounts!$E:$E,'AccountSummary (New)'!M$1,Accounts!$G:$G,'AccountSummary (New)'!M$2,Accounts!$F:$F,'AccountSummary (New)'!M$3,Accounts!$C:$C,"Lost",Accounts!$BG:$BG,FALSE)</f>
        <v>0</v>
      </c>
      <c r="N81" s="0">
        <f>COUNTIFS(Accounts!$E:$E,'AccountSummary (New)'!N$1,Accounts!$G:$G,'AccountSummary (New)'!N$2,Accounts!$F:$F,'AccountSummary (New)'!N$3,Accounts!$C:$C,"Lost",Accounts!$BG:$BG,FALSE)</f>
        <v>0</v>
      </c>
      <c r="O81" s="0">
        <f>COUNTIFS(Accounts!$E:$E,'AccountSummary (New)'!O$1,Accounts!$G:$G,'AccountSummary (New)'!O$2,Accounts!$F:$F,'AccountSummary (New)'!O$3,Accounts!$C:$C,"Lost",Accounts!$BG:$BG,FALSE)</f>
        <v>0</v>
      </c>
      <c r="P81" s="19">
        <f>SUM(J81:O81)</f>
        <v>0</v>
      </c>
      <c r="Q81" s="0">
        <f>COUNTIFS(Accounts!$E:$E,'AccountSummary (New)'!Q$1,Accounts!$G:$G,'AccountSummary (New)'!Q$2,Accounts!$F:$F,'AccountSummary (New)'!Q$3,Accounts!$C:$C,"Lost",Accounts!$BG:$BG,FALSE)</f>
        <v>0</v>
      </c>
      <c r="R81" s="0">
        <f>COUNTIFS(Accounts!$E:$E,'AccountSummary (New)'!R$1,Accounts!$G:$G,'AccountSummary (New)'!R$2,Accounts!$F:$F,'AccountSummary (New)'!R$3,Accounts!$C:$C,"Lost",Accounts!$BG:$BG,FALSE)</f>
        <v>0</v>
      </c>
      <c r="S81" s="0">
        <f>COUNTIFS(Accounts!$E:$E,'AccountSummary (New)'!S$1,Accounts!$G:$G,'AccountSummary (New)'!S$2,Accounts!$F:$F,'AccountSummary (New)'!S$3,Accounts!$C:$C,"Lost",Accounts!$BG:$BG,FALSE)</f>
        <v>0</v>
      </c>
      <c r="T81" s="0">
        <f>COUNTIFS(Accounts!$E:$E,'AccountSummary (New)'!T$1,Accounts!$G:$G,'AccountSummary (New)'!T$2,Accounts!$F:$F,'AccountSummary (New)'!T$3,Accounts!$C:$C,"Lost",Accounts!$BG:$BG,FALSE)</f>
        <v>0</v>
      </c>
      <c r="U81" s="0">
        <f>COUNTIFS(Accounts!$E:$E,'AccountSummary (New)'!U$1,Accounts!$G:$G,'AccountSummary (New)'!U$2,Accounts!$F:$F,'AccountSummary (New)'!U$3,Accounts!$C:$C,"Lost",Accounts!$BG:$BG,FALSE)</f>
        <v>0</v>
      </c>
      <c r="V81" s="0">
        <f>COUNTIFS(Accounts!$E:$E,'AccountSummary (New)'!V$1,Accounts!$G:$G,'AccountSummary (New)'!V$2,Accounts!$F:$F,'AccountSummary (New)'!V$3,Accounts!$C:$C,"Lost",Accounts!$BG:$BG,FALSE)</f>
        <v>0</v>
      </c>
      <c r="W81" s="19">
        <f>SUM(Q81:V81)</f>
        <v>0</v>
      </c>
    </row>
    <row r="82">
      <c r="A82" s="5" t="s">
        <v>51</v>
      </c>
      <c r="B82" s="15">
        <f ref="B82:W82" t="shared" si="31">IF(B81=0,0,B83/B81)</f>
        <v>0</v>
      </c>
      <c r="C82" s="12">
        <f t="shared" si="31"/>
        <v>0</v>
      </c>
      <c r="D82" s="12">
        <f t="shared" si="31"/>
        <v>0</v>
      </c>
      <c r="E82" s="12">
        <f t="shared" si="31"/>
        <v>0</v>
      </c>
      <c r="F82" s="12">
        <f t="shared" si="31"/>
        <v>0</v>
      </c>
      <c r="G82" s="12">
        <f t="shared" si="31"/>
        <v>0</v>
      </c>
      <c r="H82" s="12">
        <f t="shared" si="31"/>
        <v>0</v>
      </c>
      <c r="I82" s="24">
        <f t="shared" si="31"/>
        <v>0</v>
      </c>
      <c r="J82" s="12">
        <f t="shared" si="31"/>
        <v>0</v>
      </c>
      <c r="K82" s="12">
        <f t="shared" si="31"/>
        <v>0</v>
      </c>
      <c r="L82" s="12">
        <f t="shared" si="31"/>
        <v>0</v>
      </c>
      <c r="M82" s="12">
        <f t="shared" si="31"/>
        <v>0</v>
      </c>
      <c r="N82" s="12">
        <f t="shared" si="31"/>
        <v>0</v>
      </c>
      <c r="O82" s="12">
        <f t="shared" si="31"/>
        <v>0</v>
      </c>
      <c r="P82" s="24">
        <f t="shared" si="31"/>
        <v>0</v>
      </c>
      <c r="Q82" s="12">
        <f t="shared" si="31"/>
        <v>0</v>
      </c>
      <c r="R82" s="12">
        <f t="shared" si="31"/>
        <v>0</v>
      </c>
      <c r="S82" s="12">
        <f t="shared" si="31"/>
        <v>0</v>
      </c>
      <c r="T82" s="12">
        <f t="shared" si="31"/>
        <v>0</v>
      </c>
      <c r="U82" s="12">
        <f t="shared" si="31"/>
        <v>0</v>
      </c>
      <c r="V82" s="12">
        <f t="shared" si="31"/>
        <v>0</v>
      </c>
      <c r="W82" s="24">
        <f t="shared" si="31"/>
        <v>0</v>
      </c>
    </row>
    <row r="83">
      <c r="A83" s="5" t="s">
        <v>52</v>
      </c>
      <c r="B83" s="13">
        <f>I83+P83+W83</f>
        <v>0</v>
      </c>
      <c r="C83" s="0">
        <f>COUNTIFS(Accounts!$E:$E,'AccountSummary (New)'!C$1,Accounts!$G:$G,'AccountSummary (New)'!C$2,Accounts!$F:$F,'AccountSummary (New)'!C$3,Accounts!$B:$B,"Customer",Accounts!$C:$C,"Lost",Accounts!$I:$I,"&gt;"&amp;0)</f>
        <v>0</v>
      </c>
      <c r="D83" s="0">
        <f>COUNTIFS(Accounts!$E:$E,'AccountSummary (New)'!D$1,Accounts!$G:$G,'AccountSummary (New)'!D$2,Accounts!$F:$F,'AccountSummary (New)'!D$3,Accounts!$B:$B,"Customer",Accounts!$C:$C,"Lost",Accounts!$I:$I,"&gt;"&amp;0)</f>
        <v>0</v>
      </c>
      <c r="E83" s="0">
        <f>COUNTIFS(Accounts!$E:$E,'AccountSummary (New)'!E$1,Accounts!$G:$G,'AccountSummary (New)'!E$2,Accounts!$F:$F,'AccountSummary (New)'!E$3,Accounts!$B:$B,"Customer",Accounts!$C:$C,"Lost",Accounts!$I:$I,"&gt;"&amp;0)</f>
        <v>0</v>
      </c>
      <c r="F83" s="0">
        <f>COUNTIFS(Accounts!$E:$E,'AccountSummary (New)'!F$1,Accounts!$G:$G,'AccountSummary (New)'!F$2,Accounts!$F:$F,'AccountSummary (New)'!F$3,Accounts!$B:$B,"Customer",Accounts!$C:$C,"Lost",Accounts!$I:$I,"&gt;"&amp;0)</f>
        <v>0</v>
      </c>
      <c r="G83" s="0">
        <f>COUNTIFS(Accounts!$E:$E,'AccountSummary (New)'!G$1,Accounts!$G:$G,'AccountSummary (New)'!G$2,Accounts!$F:$F,'AccountSummary (New)'!G$3,Accounts!$B:$B,"Customer",Accounts!$C:$C,"Lost",Accounts!$I:$I,"&gt;"&amp;0)</f>
        <v>0</v>
      </c>
      <c r="H83" s="0">
        <f>COUNTIFS(Accounts!$E:$E,'AccountSummary (New)'!H$1,Accounts!$G:$G,'AccountSummary (New)'!H$2,Accounts!$F:$F,'AccountSummary (New)'!H$3,Accounts!$B:$B,"Customer",Accounts!$C:$C,"Lost",Accounts!$I:$I,"&gt;"&amp;0)</f>
        <v>0</v>
      </c>
      <c r="I83" s="19">
        <f>SUM(C83:H83)</f>
        <v>0</v>
      </c>
      <c r="J83" s="0">
        <f>COUNTIFS(Accounts!$E:$E,'AccountSummary (New)'!J$1,Accounts!$G:$G,'AccountSummary (New)'!J$2,Accounts!$F:$F,'AccountSummary (New)'!J$3,Accounts!$B:$B,"Customer",Accounts!$C:$C,"Lost",Accounts!$I:$I,"&gt;"&amp;0)</f>
        <v>0</v>
      </c>
      <c r="K83" s="0">
        <f>COUNTIFS(Accounts!$E:$E,'AccountSummary (New)'!K$1,Accounts!$G:$G,'AccountSummary (New)'!K$2,Accounts!$F:$F,'AccountSummary (New)'!K$3,Accounts!$B:$B,"Customer",Accounts!$C:$C,"Lost",Accounts!$I:$I,"&gt;"&amp;0)</f>
        <v>0</v>
      </c>
      <c r="L83" s="0">
        <f>COUNTIFS(Accounts!$E:$E,'AccountSummary (New)'!L$1,Accounts!$G:$G,'AccountSummary (New)'!L$2,Accounts!$F:$F,'AccountSummary (New)'!L$3,Accounts!$B:$B,"Customer",Accounts!$C:$C,"Lost",Accounts!$I:$I,"&gt;"&amp;0)</f>
        <v>0</v>
      </c>
      <c r="M83" s="0">
        <f>COUNTIFS(Accounts!$E:$E,'AccountSummary (New)'!M$1,Accounts!$G:$G,'AccountSummary (New)'!M$2,Accounts!$F:$F,'AccountSummary (New)'!M$3,Accounts!$B:$B,"Customer",Accounts!$C:$C,"Lost",Accounts!$I:$I,"&gt;"&amp;0)</f>
        <v>0</v>
      </c>
      <c r="N83" s="0">
        <f>COUNTIFS(Accounts!$E:$E,'AccountSummary (New)'!N$1,Accounts!$G:$G,'AccountSummary (New)'!N$2,Accounts!$F:$F,'AccountSummary (New)'!N$3,Accounts!$B:$B,"Customer",Accounts!$C:$C,"Lost",Accounts!$I:$I,"&gt;"&amp;0)</f>
        <v>0</v>
      </c>
      <c r="O83" s="0">
        <f>COUNTIFS(Accounts!$E:$E,'AccountSummary (New)'!O$1,Accounts!$G:$G,'AccountSummary (New)'!O$2,Accounts!$F:$F,'AccountSummary (New)'!O$3,Accounts!$B:$B,"Customer",Accounts!$C:$C,"Lost",Accounts!$I:$I,"&gt;"&amp;0)</f>
        <v>0</v>
      </c>
      <c r="P83" s="19">
        <f>SUM(J83:O83)</f>
        <v>0</v>
      </c>
      <c r="Q83" s="0">
        <f>COUNTIFS(Accounts!$E:$E,'AccountSummary (New)'!Q$1,Accounts!$G:$G,'AccountSummary (New)'!Q$2,Accounts!$F:$F,'AccountSummary (New)'!Q$3,Accounts!$B:$B,"Customer",Accounts!$C:$C,"Lost",Accounts!$I:$I,"&gt;"&amp;0)</f>
        <v>0</v>
      </c>
      <c r="R83" s="0">
        <f>COUNTIFS(Accounts!$E:$E,'AccountSummary (New)'!R$1,Accounts!$G:$G,'AccountSummary (New)'!R$2,Accounts!$F:$F,'AccountSummary (New)'!R$3,Accounts!$B:$B,"Customer",Accounts!$C:$C,"Lost",Accounts!$I:$I,"&gt;"&amp;0)</f>
        <v>0</v>
      </c>
      <c r="S83" s="0">
        <f>COUNTIFS(Accounts!$E:$E,'AccountSummary (New)'!S$1,Accounts!$G:$G,'AccountSummary (New)'!S$2,Accounts!$F:$F,'AccountSummary (New)'!S$3,Accounts!$B:$B,"Customer",Accounts!$C:$C,"Lost",Accounts!$I:$I,"&gt;"&amp;0)</f>
        <v>0</v>
      </c>
      <c r="T83" s="0">
        <f>COUNTIFS(Accounts!$E:$E,'AccountSummary (New)'!T$1,Accounts!$G:$G,'AccountSummary (New)'!T$2,Accounts!$F:$F,'AccountSummary (New)'!T$3,Accounts!$B:$B,"Customer",Accounts!$C:$C,"Lost",Accounts!$I:$I,"&gt;"&amp;0)</f>
        <v>0</v>
      </c>
      <c r="U83" s="0">
        <f>COUNTIFS(Accounts!$E:$E,'AccountSummary (New)'!U$1,Accounts!$G:$G,'AccountSummary (New)'!U$2,Accounts!$F:$F,'AccountSummary (New)'!U$3,Accounts!$B:$B,"Customer",Accounts!$C:$C,"Lost",Accounts!$I:$I,"&gt;"&amp;0)</f>
        <v>0</v>
      </c>
      <c r="V83" s="0">
        <f>COUNTIFS(Accounts!$E:$E,'AccountSummary (New)'!V$1,Accounts!$G:$G,'AccountSummary (New)'!V$2,Accounts!$F:$F,'AccountSummary (New)'!V$3,Accounts!$B:$B,"Customer",Accounts!$C:$C,"Lost",Accounts!$I:$I,"&gt;"&amp;0)</f>
        <v>0</v>
      </c>
      <c r="W83" s="19">
        <f>SUM(Q83:V83)</f>
        <v>0</v>
      </c>
    </row>
    <row r="84">
      <c r="A84" s="5" t="s">
        <v>53</v>
      </c>
      <c r="B84" s="18">
        <f>IF(B83=0,0,B85/B83)</f>
        <v>0</v>
      </c>
      <c r="C84" s="22">
        <f ref="C84:H84" t="shared" si="32">IF(C81=0,0,C85/C81)</f>
        <v>0</v>
      </c>
      <c r="D84" s="22">
        <f t="shared" si="32"/>
        <v>0</v>
      </c>
      <c r="E84" s="22">
        <f t="shared" si="32"/>
        <v>0</v>
      </c>
      <c r="F84" s="22">
        <f t="shared" si="32"/>
        <v>0</v>
      </c>
      <c r="G84" s="22">
        <f t="shared" si="32"/>
        <v>0</v>
      </c>
      <c r="H84" s="22">
        <f t="shared" si="32"/>
        <v>0</v>
      </c>
      <c r="I84" s="10">
        <f>IF(I83=0,0,I85/I83)</f>
        <v>0</v>
      </c>
      <c r="J84" s="22">
        <f ref="J84:O84" t="shared" si="33">IF(J81=0,0,J85/J81)</f>
        <v>0</v>
      </c>
      <c r="K84" s="22">
        <f t="shared" si="33"/>
        <v>0</v>
      </c>
      <c r="L84" s="22">
        <f t="shared" si="33"/>
        <v>0</v>
      </c>
      <c r="M84" s="22">
        <f t="shared" si="33"/>
        <v>0</v>
      </c>
      <c r="N84" s="22">
        <f t="shared" si="33"/>
        <v>0</v>
      </c>
      <c r="O84" s="22">
        <f t="shared" si="33"/>
        <v>0</v>
      </c>
      <c r="P84" s="10">
        <f>IF(P83=0,0,P85/P83)</f>
        <v>0</v>
      </c>
      <c r="Q84" s="22">
        <f ref="Q84:V84" t="shared" si="34">IF(Q81=0,0,Q85/Q81)</f>
        <v>0</v>
      </c>
      <c r="R84" s="22">
        <f t="shared" si="34"/>
        <v>0</v>
      </c>
      <c r="S84" s="22">
        <f t="shared" si="34"/>
        <v>0</v>
      </c>
      <c r="T84" s="22">
        <f t="shared" si="34"/>
        <v>0</v>
      </c>
      <c r="U84" s="22">
        <f t="shared" si="34"/>
        <v>0</v>
      </c>
      <c r="V84" s="22">
        <f t="shared" si="34"/>
        <v>0</v>
      </c>
      <c r="W84" s="10">
        <f>IF(W83=0,0,W85/W83)</f>
        <v>0</v>
      </c>
    </row>
    <row r="85">
      <c r="A85" s="11" t="s">
        <v>54</v>
      </c>
      <c r="B85" s="14">
        <f>I85+P85+W85</f>
        <v>0</v>
      </c>
      <c r="C85" s="22">
        <f>SUMIFS(Accounts!$I:$I,Accounts!$E:$E,'AccountSummary (New)'!C$1,Accounts!$G:$G,'AccountSummary (New)'!C$2,Accounts!$F:$F,'AccountSummary (New)'!C$3,Accounts!$W:$W,0,Accounts!$C:$C,"Lost")</f>
        <v>0</v>
      </c>
      <c r="D85" s="22">
        <f>SUMIFS(Accounts!$I:$I,Accounts!$E:$E,'AccountSummary (New)'!D$1,Accounts!$G:$G,'AccountSummary (New)'!D$2,Accounts!$F:$F,'AccountSummary (New)'!D$3,Accounts!$W:$W,0,Accounts!$C:$C,"Lost")</f>
        <v>0</v>
      </c>
      <c r="E85" s="22">
        <f>SUMIFS(Accounts!$I:$I,Accounts!$E:$E,'AccountSummary (New)'!E$1,Accounts!$G:$G,'AccountSummary (New)'!E$2,Accounts!$F:$F,'AccountSummary (New)'!E$3,Accounts!$W:$W,0,Accounts!$C:$C,"Lost")</f>
        <v>0</v>
      </c>
      <c r="F85" s="22">
        <f>SUMIFS(Accounts!$I:$I,Accounts!$E:$E,'AccountSummary (New)'!F$1,Accounts!$G:$G,'AccountSummary (New)'!F$2,Accounts!$F:$F,'AccountSummary (New)'!F$3,Accounts!$W:$W,0,Accounts!$C:$C,"Lost")</f>
        <v>0</v>
      </c>
      <c r="G85" s="22">
        <f>SUMIFS(Accounts!$I:$I,Accounts!$E:$E,'AccountSummary (New)'!G$1,Accounts!$G:$G,'AccountSummary (New)'!G$2,Accounts!$F:$F,'AccountSummary (New)'!G$3,Accounts!$W:$W,0,Accounts!$C:$C,"Lost")</f>
        <v>0</v>
      </c>
      <c r="H85" s="22">
        <f>SUMIFS(Accounts!$I:$I,Accounts!$E:$E,'AccountSummary (New)'!H$1,Accounts!$G:$G,'AccountSummary (New)'!H$2,Accounts!$F:$F,'AccountSummary (New)'!H$3,Accounts!$W:$W,0,Accounts!$C:$C,"Lost")</f>
        <v>0</v>
      </c>
      <c r="I85" s="10">
        <f>SUM(C85:H85)</f>
        <v>0</v>
      </c>
      <c r="J85" s="22">
        <f>SUMIFS(Accounts!$I:$I,Accounts!$E:$E,'AccountSummary (New)'!J$1,Accounts!$G:$G,'AccountSummary (New)'!J$2,Accounts!$F:$F,'AccountSummary (New)'!J$3,Accounts!$W:$W,0,Accounts!$C:$C,"Lost")</f>
        <v>0</v>
      </c>
      <c r="K85" s="22">
        <f>SUMIFS(Accounts!$I:$I,Accounts!$E:$E,'AccountSummary (New)'!K$1,Accounts!$G:$G,'AccountSummary (New)'!K$2,Accounts!$F:$F,'AccountSummary (New)'!K$3,Accounts!$W:$W,0,Accounts!$C:$C,"Lost")</f>
        <v>0</v>
      </c>
      <c r="L85" s="22">
        <f>SUMIFS(Accounts!$I:$I,Accounts!$E:$E,'AccountSummary (New)'!L$1,Accounts!$G:$G,'AccountSummary (New)'!L$2,Accounts!$F:$F,'AccountSummary (New)'!L$3,Accounts!$W:$W,0,Accounts!$C:$C,"Lost")</f>
        <v>0</v>
      </c>
      <c r="M85" s="22">
        <f>SUMIFS(Accounts!$I:$I,Accounts!$E:$E,'AccountSummary (New)'!M$1,Accounts!$G:$G,'AccountSummary (New)'!M$2,Accounts!$F:$F,'AccountSummary (New)'!M$3,Accounts!$W:$W,0,Accounts!$C:$C,"Lost")</f>
        <v>0</v>
      </c>
      <c r="N85" s="22">
        <f>SUMIFS(Accounts!$I:$I,Accounts!$E:$E,'AccountSummary (New)'!N$1,Accounts!$G:$G,'AccountSummary (New)'!N$2,Accounts!$F:$F,'AccountSummary (New)'!N$3,Accounts!$W:$W,0,Accounts!$C:$C,"Lost")</f>
        <v>0</v>
      </c>
      <c r="O85" s="22">
        <f>SUMIFS(Accounts!$I:$I,Accounts!$E:$E,'AccountSummary (New)'!O$1,Accounts!$G:$G,'AccountSummary (New)'!O$2,Accounts!$F:$F,'AccountSummary (New)'!O$3,Accounts!$W:$W,0,Accounts!$C:$C,"Lost")</f>
        <v>0</v>
      </c>
      <c r="P85" s="10">
        <f>SUM(J85:O85)</f>
        <v>0</v>
      </c>
      <c r="Q85" s="22">
        <f>SUMIFS(Accounts!$I:$I,Accounts!$E:$E,'AccountSummary (New)'!Q$1,Accounts!$G:$G,'AccountSummary (New)'!Q$2,Accounts!$F:$F,'AccountSummary (New)'!Q$3,Accounts!$W:$W,0,Accounts!$C:$C,"Lost")</f>
        <v>0</v>
      </c>
      <c r="R85" s="22">
        <f>SUMIFS(Accounts!$I:$I,Accounts!$E:$E,'AccountSummary (New)'!R$1,Accounts!$G:$G,'AccountSummary (New)'!R$2,Accounts!$F:$F,'AccountSummary (New)'!R$3,Accounts!$W:$W,0,Accounts!$C:$C,"Lost")</f>
        <v>0</v>
      </c>
      <c r="S85" s="22">
        <f>SUMIFS(Accounts!$I:$I,Accounts!$E:$E,'AccountSummary (New)'!S$1,Accounts!$G:$G,'AccountSummary (New)'!S$2,Accounts!$F:$F,'AccountSummary (New)'!S$3,Accounts!$W:$W,0,Accounts!$C:$C,"Lost")</f>
        <v>0</v>
      </c>
      <c r="T85" s="22">
        <f>SUMIFS(Accounts!$I:$I,Accounts!$E:$E,'AccountSummary (New)'!T$1,Accounts!$G:$G,'AccountSummary (New)'!T$2,Accounts!$F:$F,'AccountSummary (New)'!T$3,Accounts!$W:$W,0,Accounts!$C:$C,"Lost")</f>
        <v>0</v>
      </c>
      <c r="U85" s="22">
        <f>SUMIFS(Accounts!$I:$I,Accounts!$E:$E,'AccountSummary (New)'!U$1,Accounts!$G:$G,'AccountSummary (New)'!U$2,Accounts!$F:$F,'AccountSummary (New)'!U$3,Accounts!$W:$W,0,Accounts!$C:$C,"Lost")</f>
        <v>0</v>
      </c>
      <c r="V85" s="22">
        <f>SUMIFS(Accounts!$I:$I,Accounts!$E:$E,'AccountSummary (New)'!V$1,Accounts!$G:$G,'AccountSummary (New)'!V$2,Accounts!$F:$F,'AccountSummary (New)'!V$3,Accounts!$W:$W,0,Accounts!$C:$C,"Lost")</f>
        <v>0</v>
      </c>
      <c r="W85" s="10">
        <f>SUM(Q85:V85)</f>
        <v>0</v>
      </c>
    </row>
    <row r="86">
      <c r="A86" s="5"/>
    </row>
    <row r="87">
      <c r="A87" s="5" t="s">
        <v>55</v>
      </c>
      <c r="B87" s="22">
        <f>I87+P87+W87</f>
        <v>0</v>
      </c>
      <c r="C87" s="22">
        <f ref="C87:H87" t="shared" si="35">C11</f>
        <v>0</v>
      </c>
      <c r="D87" s="22">
        <f t="shared" si="35"/>
        <v>0</v>
      </c>
      <c r="E87" s="22">
        <f t="shared" si="35"/>
        <v>0</v>
      </c>
      <c r="F87" s="22">
        <f t="shared" si="35"/>
        <v>0</v>
      </c>
      <c r="G87" s="22">
        <f t="shared" si="35"/>
        <v>0</v>
      </c>
      <c r="H87" s="22">
        <f t="shared" si="35"/>
        <v>0</v>
      </c>
      <c r="I87" s="10">
        <f>SUM(C87:H87)</f>
        <v>0</v>
      </c>
      <c r="J87" s="22">
        <f ref="J87:O87" t="shared" si="36">J11</f>
        <v>0</v>
      </c>
      <c r="K87" s="22">
        <f t="shared" si="36"/>
        <v>0</v>
      </c>
      <c r="L87" s="22">
        <f t="shared" si="36"/>
        <v>0</v>
      </c>
      <c r="M87" s="22">
        <f t="shared" si="36"/>
        <v>0</v>
      </c>
      <c r="N87" s="22">
        <f t="shared" si="36"/>
        <v>0</v>
      </c>
      <c r="O87" s="22">
        <f t="shared" si="36"/>
        <v>0</v>
      </c>
      <c r="P87" s="10">
        <f>SUM(J87:O87)</f>
        <v>0</v>
      </c>
      <c r="Q87" s="22">
        <f ref="Q87:V87" t="shared" si="37">Q11</f>
        <v>0</v>
      </c>
      <c r="R87" s="22">
        <f t="shared" si="37"/>
        <v>0</v>
      </c>
      <c r="S87" s="22">
        <f t="shared" si="37"/>
        <v>0</v>
      </c>
      <c r="T87" s="22">
        <f t="shared" si="37"/>
        <v>0</v>
      </c>
      <c r="U87" s="22">
        <f t="shared" si="37"/>
        <v>0</v>
      </c>
      <c r="V87" s="22">
        <f t="shared" si="37"/>
        <v>0</v>
      </c>
      <c r="W87" s="10">
        <f>SUM(Q87:V87)</f>
        <v>0</v>
      </c>
    </row>
    <row r="88">
      <c r="A88" s="5" t="s">
        <v>41</v>
      </c>
      <c r="B88" s="22">
        <f>I88+P88+W88</f>
        <v>0</v>
      </c>
      <c r="C88" s="22">
        <f ref="C88:H88" t="shared" si="38">C68</f>
        <v>0</v>
      </c>
      <c r="D88" s="22">
        <f t="shared" si="38"/>
        <v>0</v>
      </c>
      <c r="E88" s="22">
        <f t="shared" si="38"/>
        <v>0</v>
      </c>
      <c r="F88" s="22">
        <f t="shared" si="38"/>
        <v>0</v>
      </c>
      <c r="G88" s="22">
        <f t="shared" si="38"/>
        <v>0</v>
      </c>
      <c r="H88" s="22">
        <f t="shared" si="38"/>
        <v>0</v>
      </c>
      <c r="I88" s="10">
        <f>SUM(C88:H88)</f>
        <v>0</v>
      </c>
      <c r="J88" s="22">
        <f ref="J88:O88" t="shared" si="39">J68</f>
        <v>0</v>
      </c>
      <c r="K88" s="22">
        <f t="shared" si="39"/>
        <v>0</v>
      </c>
      <c r="L88" s="22">
        <f t="shared" si="39"/>
        <v>0</v>
      </c>
      <c r="M88" s="22">
        <f t="shared" si="39"/>
        <v>0</v>
      </c>
      <c r="N88" s="22">
        <f t="shared" si="39"/>
        <v>0</v>
      </c>
      <c r="O88" s="22">
        <f t="shared" si="39"/>
        <v>0</v>
      </c>
      <c r="P88" s="10">
        <f>SUM(J88:O88)</f>
        <v>0</v>
      </c>
      <c r="Q88" s="22">
        <f ref="Q88:V88" t="shared" si="40">Q68</f>
        <v>0</v>
      </c>
      <c r="R88" s="22">
        <f t="shared" si="40"/>
        <v>0</v>
      </c>
      <c r="S88" s="22">
        <f t="shared" si="40"/>
        <v>0</v>
      </c>
      <c r="T88" s="22">
        <f t="shared" si="40"/>
        <v>0</v>
      </c>
      <c r="U88" s="22">
        <f t="shared" si="40"/>
        <v>0</v>
      </c>
      <c r="V88" s="22">
        <f t="shared" si="40"/>
        <v>0</v>
      </c>
      <c r="W88" s="10">
        <f>SUM(Q88:V88)</f>
        <v>0</v>
      </c>
    </row>
    <row r="89">
      <c r="A89" s="5" t="s">
        <v>54</v>
      </c>
      <c r="B89" s="22">
        <f>I89+P89+W89</f>
        <v>0</v>
      </c>
      <c r="C89" s="22">
        <f ref="C89:H89" t="shared" si="41">C85</f>
        <v>0</v>
      </c>
      <c r="D89" s="22">
        <f t="shared" si="41"/>
        <v>0</v>
      </c>
      <c r="E89" s="22">
        <f t="shared" si="41"/>
        <v>0</v>
      </c>
      <c r="F89" s="22">
        <f t="shared" si="41"/>
        <v>0</v>
      </c>
      <c r="G89" s="22">
        <f t="shared" si="41"/>
        <v>0</v>
      </c>
      <c r="H89" s="22">
        <f t="shared" si="41"/>
        <v>0</v>
      </c>
      <c r="I89" s="10">
        <f>SUM(C89:H89)</f>
        <v>0</v>
      </c>
      <c r="J89" s="22">
        <f ref="J89:O89" t="shared" si="42">J85</f>
        <v>0</v>
      </c>
      <c r="K89" s="22">
        <f t="shared" si="42"/>
        <v>0</v>
      </c>
      <c r="L89" s="22">
        <f t="shared" si="42"/>
        <v>0</v>
      </c>
      <c r="M89" s="22">
        <f t="shared" si="42"/>
        <v>0</v>
      </c>
      <c r="N89" s="22">
        <f t="shared" si="42"/>
        <v>0</v>
      </c>
      <c r="O89" s="22">
        <f t="shared" si="42"/>
        <v>0</v>
      </c>
      <c r="P89" s="10">
        <f>SUM(J89:O89)</f>
        <v>0</v>
      </c>
      <c r="Q89" s="22">
        <f ref="Q89:V89" t="shared" si="43">Q85</f>
        <v>0</v>
      </c>
      <c r="R89" s="22">
        <f t="shared" si="43"/>
        <v>0</v>
      </c>
      <c r="S89" s="22">
        <f t="shared" si="43"/>
        <v>0</v>
      </c>
      <c r="T89" s="22">
        <f t="shared" si="43"/>
        <v>0</v>
      </c>
      <c r="U89" s="22">
        <f t="shared" si="43"/>
        <v>0</v>
      </c>
      <c r="V89" s="22">
        <f t="shared" si="43"/>
        <v>0</v>
      </c>
      <c r="W89" s="10">
        <f>SUM(Q89:V89)</f>
        <v>0</v>
      </c>
    </row>
    <row r="90">
      <c r="A90" s="5"/>
    </row>
    <row r="91">
      <c r="A91" s="11" t="s">
        <v>56</v>
      </c>
      <c r="B91" s="22">
        <f>I91+P91+W91</f>
        <v>0</v>
      </c>
      <c r="C91" s="22">
        <f ref="C91:H91" t="shared" si="44">C87+C88+C89</f>
        <v>0</v>
      </c>
      <c r="D91" s="22">
        <f t="shared" si="44"/>
        <v>0</v>
      </c>
      <c r="E91" s="22">
        <f t="shared" si="44"/>
        <v>0</v>
      </c>
      <c r="F91" s="22">
        <f t="shared" si="44"/>
        <v>0</v>
      </c>
      <c r="G91" s="22">
        <f t="shared" si="44"/>
        <v>0</v>
      </c>
      <c r="H91" s="22">
        <f t="shared" si="44"/>
        <v>0</v>
      </c>
      <c r="I91" s="10">
        <f>SUM(C91:H91)</f>
        <v>0</v>
      </c>
      <c r="J91" s="22">
        <f ref="J91:O91" t="shared" si="45">J87+J88+J89</f>
        <v>0</v>
      </c>
      <c r="K91" s="22">
        <f t="shared" si="45"/>
        <v>0</v>
      </c>
      <c r="L91" s="22">
        <f t="shared" si="45"/>
        <v>0</v>
      </c>
      <c r="M91" s="22">
        <f t="shared" si="45"/>
        <v>0</v>
      </c>
      <c r="N91" s="22">
        <f t="shared" si="45"/>
        <v>0</v>
      </c>
      <c r="O91" s="22">
        <f t="shared" si="45"/>
        <v>0</v>
      </c>
      <c r="P91" s="10">
        <f>SUM(J91:O91)</f>
        <v>0</v>
      </c>
      <c r="Q91" s="22">
        <f ref="Q91:V91" t="shared" si="46">Q87+Q88+Q89</f>
        <v>0</v>
      </c>
      <c r="R91" s="22">
        <f t="shared" si="46"/>
        <v>0</v>
      </c>
      <c r="S91" s="22">
        <f t="shared" si="46"/>
        <v>0</v>
      </c>
      <c r="T91" s="22">
        <f t="shared" si="46"/>
        <v>0</v>
      </c>
      <c r="U91" s="22">
        <f t="shared" si="46"/>
        <v>0</v>
      </c>
      <c r="V91" s="22">
        <f t="shared" si="46"/>
        <v>0</v>
      </c>
      <c r="W91" s="10">
        <f>SUM(Q91:V91)</f>
        <v>0</v>
      </c>
    </row>
  </sheetData>
  <pageMargins left="0.7" right="0.7" top="0.75" bottom="0.75" header="0.3" footer="0.3"/>
  <pageSetup paperSize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3"/>
  <sheetViews>
    <sheetView tabSelected="1" workbookViewId="0">
      <pane xSplit="1" ySplit="3" topLeftCell="H4" activePane="bottomRight" state="frozen"/>
      <selection pane="topRight" activeCell="B1" sqref="B1"/>
      <selection pane="bottomLeft" activeCell="A4" sqref="A4"/>
      <selection pane="bottomRight" activeCell="V5" sqref="V5"/>
    </sheetView>
  </sheetViews>
  <sheetFormatPr baseColWidth="10" defaultColWidth="8.6640625" defaultRowHeight="15" x14ac:dyDescent="0.2"/>
  <cols>
    <col min="1" max="1" width="37" customWidth="1"/>
    <col min="2" max="8" bestFit="1" width="12.33203125" customWidth="1"/>
    <col min="9" max="9" bestFit="1" width="12.33203125" customWidth="1" style="19"/>
    <col min="10" max="15" bestFit="1" width="12.33203125" customWidth="1"/>
    <col min="16" max="16" bestFit="1" width="12.33203125" customWidth="1" style="19"/>
    <col min="17" max="19" bestFit="1" width="12.33203125" customWidth="1"/>
    <col min="20" max="22" bestFit="1" width="12.5" customWidth="1"/>
    <col min="23" max="23" bestFit="1" width="12.5" customWidth="1" style="19"/>
  </cols>
  <sheetData>
    <row r="1">
      <c r="A1" s="7" t="s">
        <v>0</v>
      </c>
      <c r="B1" s="19" t="s">
        <v>1</v>
      </c>
      <c r="C1" s="0" t="s">
        <v>2</v>
      </c>
      <c r="D1" s="0" t="s">
        <v>2</v>
      </c>
      <c r="E1" s="0" t="s">
        <v>3</v>
      </c>
      <c r="F1" s="0" t="s">
        <v>3</v>
      </c>
      <c r="G1" s="0" t="s">
        <v>4</v>
      </c>
      <c r="H1" s="0" t="s">
        <v>5</v>
      </c>
      <c r="I1" s="19" t="s">
        <v>1</v>
      </c>
      <c r="J1" s="0" t="s">
        <v>2</v>
      </c>
      <c r="K1" s="0" t="s">
        <v>2</v>
      </c>
      <c r="L1" s="0" t="s">
        <v>3</v>
      </c>
      <c r="M1" s="0" t="s">
        <v>3</v>
      </c>
      <c r="N1" s="0" t="s">
        <v>4</v>
      </c>
      <c r="O1" s="0" t="s">
        <v>5</v>
      </c>
      <c r="P1" s="19" t="s">
        <v>1</v>
      </c>
      <c r="Q1" s="0" t="s">
        <v>2</v>
      </c>
      <c r="R1" s="0" t="s">
        <v>2</v>
      </c>
      <c r="S1" s="0" t="s">
        <v>3</v>
      </c>
      <c r="T1" s="0" t="s">
        <v>3</v>
      </c>
      <c r="U1" s="0" t="s">
        <v>4</v>
      </c>
      <c r="V1" s="0" t="s">
        <v>5</v>
      </c>
      <c r="W1" s="19" t="s">
        <v>1</v>
      </c>
    </row>
    <row r="2">
      <c r="A2" s="7" t="s">
        <v>6</v>
      </c>
      <c r="B2" s="19" t="s">
        <v>1</v>
      </c>
      <c r="C2" s="0" t="s">
        <v>7</v>
      </c>
      <c r="D2" s="0" t="s">
        <v>8</v>
      </c>
      <c r="E2" s="0" t="s">
        <v>7</v>
      </c>
      <c r="F2" s="0" t="s">
        <v>8</v>
      </c>
      <c r="G2" s="0" t="s">
        <v>8</v>
      </c>
      <c r="H2" s="0" t="s">
        <v>8</v>
      </c>
      <c r="I2" s="19" t="s">
        <v>1</v>
      </c>
      <c r="J2" s="0" t="s">
        <v>7</v>
      </c>
      <c r="K2" s="0" t="s">
        <v>8</v>
      </c>
      <c r="L2" s="0" t="s">
        <v>7</v>
      </c>
      <c r="M2" s="0" t="s">
        <v>8</v>
      </c>
      <c r="N2" s="0" t="s">
        <v>8</v>
      </c>
      <c r="O2" s="0" t="s">
        <v>8</v>
      </c>
      <c r="P2" s="19" t="s">
        <v>1</v>
      </c>
      <c r="Q2" s="0" t="s">
        <v>7</v>
      </c>
      <c r="R2" s="0" t="s">
        <v>8</v>
      </c>
      <c r="S2" s="0" t="s">
        <v>7</v>
      </c>
      <c r="T2" s="0" t="s">
        <v>8</v>
      </c>
      <c r="U2" s="0" t="s">
        <v>8</v>
      </c>
      <c r="V2" s="0" t="s">
        <v>8</v>
      </c>
      <c r="W2" s="19" t="s">
        <v>1</v>
      </c>
    </row>
    <row r="3">
      <c r="A3" s="7" t="s">
        <v>9</v>
      </c>
      <c r="B3" s="19" t="s">
        <v>1</v>
      </c>
      <c r="C3" s="0" t="s">
        <v>10</v>
      </c>
      <c r="D3" s="0" t="s">
        <v>10</v>
      </c>
      <c r="E3" s="0" t="s">
        <v>10</v>
      </c>
      <c r="F3" s="0" t="s">
        <v>10</v>
      </c>
      <c r="G3" s="0" t="s">
        <v>10</v>
      </c>
      <c r="H3" s="0" t="s">
        <v>10</v>
      </c>
      <c r="I3" s="19" t="s">
        <v>10</v>
      </c>
      <c r="J3" s="0" t="s">
        <v>11</v>
      </c>
      <c r="K3" s="0" t="s">
        <v>11</v>
      </c>
      <c r="L3" s="0" t="s">
        <v>11</v>
      </c>
      <c r="M3" s="0" t="s">
        <v>11</v>
      </c>
      <c r="N3" s="0" t="s">
        <v>11</v>
      </c>
      <c r="O3" s="0" t="s">
        <v>11</v>
      </c>
      <c r="P3" s="19" t="s">
        <v>11</v>
      </c>
      <c r="Q3" s="0" t="s">
        <v>12</v>
      </c>
      <c r="R3" s="0" t="s">
        <v>12</v>
      </c>
      <c r="S3" s="0" t="s">
        <v>12</v>
      </c>
      <c r="T3" s="0" t="s">
        <v>12</v>
      </c>
      <c r="U3" s="0" t="s">
        <v>12</v>
      </c>
      <c r="V3" s="0" t="s">
        <v>12</v>
      </c>
      <c r="W3" s="19" t="s">
        <v>12</v>
      </c>
    </row>
    <row r="4">
      <c r="A4" s="5" t="s">
        <v>13</v>
      </c>
      <c r="D4" s="8"/>
    </row>
    <row r="5">
      <c r="A5" s="5" t="s">
        <v>14</v>
      </c>
      <c r="B5" s="0">
        <f>I5+P5+W5</f>
        <v>0</v>
      </c>
      <c r="C5" s="0">
        <f>COUNTIFS(Accounts!$E:$E,C$1,Accounts!$G:$G,C$2,Accounts!$F:$F,C$3,Accounts!$B:$B,"none",Accounts!$BF:$BF,FALSE)</f>
        <v>0</v>
      </c>
      <c r="D5" s="0">
        <f>COUNTIFS(Accounts!$E:$E,D$1,Accounts!$G:$G,D$2,Accounts!$F:$F,D$3,Accounts!$B:$B,"none",Accounts!$BF:$BF,FALSE)</f>
        <v>0</v>
      </c>
      <c r="E5" s="0">
        <f>COUNTIFS(Accounts!$E:$E,E$1,Accounts!$G:$G,E$2,Accounts!$F:$F,E$3,Accounts!$B:$B,"none",Accounts!$BF:$BF,FALSE)</f>
        <v>0</v>
      </c>
      <c r="F5" s="0">
        <f>COUNTIFS(Accounts!$E:$E,F$1,Accounts!$G:$G,F$2,Accounts!$F:$F,F$3,Accounts!$B:$B,"none",Accounts!$BF:$BF,FALSE)</f>
        <v>0</v>
      </c>
      <c r="G5" s="0">
        <f>COUNTIFS(Accounts!$E:$E,G$1,Accounts!$G:$G,G$2,Accounts!$F:$F,G$3,Accounts!$B:$B,"none",Accounts!$BF:$BF,FALSE)</f>
        <v>0</v>
      </c>
      <c r="H5" s="0">
        <f>COUNTIFS(Accounts!$E:$E,H$1,Accounts!$G:$G,H$2,Accounts!$F:$F,H$3,Accounts!$B:$B,"none",Accounts!$BF:$BF,FALSE)+COUNTIFS(Accounts!$E:$E,"QuickBooks",Accounts!$G:$G,H$2,Accounts!$F:$F,H$3,Accounts!$B:$B,"none",Accounts!$BF:$BF,FALSE)</f>
        <v>0</v>
      </c>
      <c r="I5" s="19">
        <f>SUM(C5:H5)</f>
        <v>0</v>
      </c>
      <c r="J5" s="0">
        <f>COUNTIFS(Accounts!$E:$E,J$1,Accounts!$G:$G,J$2,Accounts!$F:$F,J$3,Accounts!$B:$B,"none",Accounts!$BF:$BF,FALSE)</f>
        <v>0</v>
      </c>
      <c r="K5" s="0">
        <f>COUNTIFS(Accounts!$E:$E,K$1,Accounts!$G:$G,K$2,Accounts!$F:$F,K$3,Accounts!$B:$B,"none",Accounts!$BF:$BF,FALSE)</f>
        <v>0</v>
      </c>
      <c r="L5" s="0">
        <f>COUNTIFS(Accounts!$E:$E,L$1,Accounts!$G:$G,L$2,Accounts!$F:$F,L$3,Accounts!$B:$B,"none",Accounts!$BF:$BF,FALSE)</f>
        <v>0</v>
      </c>
      <c r="M5" s="0">
        <f>COUNTIFS(Accounts!$E:$E,M$1,Accounts!$G:$G,M$2,Accounts!$F:$F,M$3,Accounts!$B:$B,"none",Accounts!$BF:$BF,FALSE)</f>
        <v>0</v>
      </c>
      <c r="N5" s="0">
        <f>COUNTIFS(Accounts!$E:$E,N$1,Accounts!$G:$G,N$2,Accounts!$F:$F,N$3,Accounts!$B:$B,"none",Accounts!$BF:$BF,FALSE)</f>
        <v>0</v>
      </c>
      <c r="O5" s="0">
        <f>COUNTIFS(Accounts!$E:$E,O$1,Accounts!$G:$G,O$2,Accounts!$F:$F,O$3,Accounts!$B:$B,"none",Accounts!$BF:$BF,FALSE)+COUNTIFS(Accounts!$E:$E,"QuickBooks",Accounts!$G:$G,O$2,Accounts!$F:$F,O$3,Accounts!$B:$B,"none",Accounts!$BF:$BF,FALSE)</f>
        <v>0</v>
      </c>
      <c r="P5" s="19">
        <f>SUM(J5:O5)</f>
        <v>0</v>
      </c>
      <c r="Q5" s="0">
        <f>COUNTIFS(Accounts!$E:$E,Q$1,Accounts!$G:$G,Q$2,Accounts!$F:$F,Q$3,Accounts!$B:$B,"none",Accounts!$BF:$BF,FALSE)</f>
        <v>0</v>
      </c>
      <c r="R5" s="0">
        <f>COUNTIFS(Accounts!$E:$E,R$1,Accounts!$G:$G,R$2,Accounts!$F:$F,R$3,Accounts!$B:$B,"none",Accounts!$BF:$BF,FALSE)</f>
        <v>0</v>
      </c>
      <c r="S5" s="0">
        <f>COUNTIFS(Accounts!$E:$E,S$1,Accounts!$G:$G,S$2,Accounts!$F:$F,S$3,Accounts!$B:$B,"none",Accounts!$BF:$BF,FALSE)</f>
        <v>0</v>
      </c>
      <c r="T5" s="0">
        <f>COUNTIFS(Accounts!$E:$E,T$1,Accounts!$G:$G,T$2,Accounts!$F:$F,T$3,Accounts!$B:$B,"none",Accounts!$BF:$BF,FALSE)</f>
        <v>0</v>
      </c>
      <c r="U5" s="0">
        <f>COUNTIFS(Accounts!$E:$E,U$1,Accounts!$G:$G,U$2,Accounts!$F:$F,U$3,Accounts!$B:$B,"none",Accounts!$BF:$BF,FALSE)</f>
        <v>0</v>
      </c>
      <c r="V5" s="0">
        <f>COUNTIFS(Accounts!$E:$E,V$1,Accounts!$G:$G,V$2,Accounts!$F:$F,V$3,Accounts!$B:$B,"none",Accounts!$BF:$BF,FALSE)+COUNTIFS(Accounts!$E:$E,"QuickBooks",Accounts!$G:$G,V$2,Accounts!$F:$F,V$3,Accounts!$B:$B,"none",Accounts!$BF:$BF,FALSE)</f>
        <v>0</v>
      </c>
      <c r="W5" s="19">
        <f>SUM(Q5:V5)</f>
        <v>0</v>
      </c>
    </row>
    <row r="6">
      <c r="A6" s="5"/>
    </row>
    <row r="7">
      <c r="A7" s="5" t="s">
        <v>15</v>
      </c>
      <c r="B7" s="13">
        <f>I7+P7+W7</f>
        <v>0</v>
      </c>
      <c r="C7" s="0">
        <f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""),1)</f>
        <v>0</v>
      </c>
      <c r="D7" s="0">
        <f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""),1)</f>
        <v>0</v>
      </c>
      <c r="E7" s="0">
        <f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""),1)</f>
        <v>0</v>
      </c>
      <c r="F7" s="0">
        <f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""),1)</f>
        <v>0</v>
      </c>
      <c r="G7" s="0">
        <f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""),1)</f>
        <v>0</v>
      </c>
      <c r="H7" s="0">
        <f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""),1)</f>
        <v>0</v>
      </c>
      <c r="I7" s="19">
        <f>SUM(C7:H7)</f>
        <v>0</v>
      </c>
      <c r="J7" s="0">
        <f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""),1)</f>
        <v>0</v>
      </c>
      <c r="K7" s="0">
        <f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""),1)</f>
        <v>0</v>
      </c>
      <c r="L7" s="0">
        <f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""),1)</f>
        <v>0</v>
      </c>
      <c r="M7" s="0">
        <f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""),1)</f>
        <v>0</v>
      </c>
      <c r="N7" s="0">
        <f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""),1)</f>
        <v>0</v>
      </c>
      <c r="O7" s="0">
        <f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""),1)</f>
        <v>0</v>
      </c>
      <c r="P7" s="19">
        <f>SUM(J7:O7)</f>
        <v>0</v>
      </c>
      <c r="Q7" s="0">
        <f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""),1)</f>
        <v>0</v>
      </c>
      <c r="R7" s="0">
        <f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""),1)</f>
        <v>0</v>
      </c>
      <c r="S7" s="0">
        <f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""),1)</f>
        <v>0</v>
      </c>
      <c r="T7" s="0">
        <f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""),1)</f>
        <v>0</v>
      </c>
      <c r="U7" s="0">
        <f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""),1)</f>
        <v>0</v>
      </c>
      <c r="V7" s="0">
        <f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""),1)</f>
        <v>0</v>
      </c>
      <c r="W7" s="19">
        <f>SUM(Q7:V7)</f>
        <v>0</v>
      </c>
    </row>
    <row r="8">
      <c r="A8" s="6" t="s">
        <v>16</v>
      </c>
      <c r="B8" s="17">
        <f>IF(B7=0,0,SUMIFS(INDIRECT("Accounts!$L$2:$L$" &amp; CountsForFormulas!$D$3 &amp; ""),INDIRECT("Accounts!$W$2:$W$" &amp; CountsForFormulas!$D$3 &amp; ""),1)/B7)</f>
        <v>0</v>
      </c>
      <c r="C8" s="8">
        <f>IF(C7=0,0,SUMIFS(INDIRECT("Accounts!$L$2:$L$"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""),1)/C7)</f>
        <v>0</v>
      </c>
      <c r="D8" s="8">
        <f>IF(D7=0,0,SUMIFS(INDIRECT("Accounts!$L$2:$L$"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""),1)/D7)</f>
        <v>0</v>
      </c>
      <c r="E8" s="8">
        <f>IF(E7=0,0,SUMIFS(INDIRECT("Accounts!$L$2:$L$"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""),1)/E7)</f>
        <v>0</v>
      </c>
      <c r="F8" s="8">
        <f>IF(F7=0,0,SUMIFS(INDIRECT("Accounts!$L$2:$L$"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""),1)/F7)</f>
        <v>0</v>
      </c>
      <c r="G8" s="8">
        <f>IF(G7=0,0,SUMIFS(INDIRECT("Accounts!$L$2:$L$"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""),1)/G7)</f>
        <v>0</v>
      </c>
      <c r="H8" s="8">
        <f>IF(H7=0,0,SUMIFS(INDIRECT("Accounts!$L$2:$L$"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""),1)/H7)</f>
        <v>0</v>
      </c>
      <c r="I8" s="9">
        <f>IF(I7=0,0,SUMIFS(INDIRECT("Accounts!$L$2:$L$" &amp; CountsForFormulas!$D$3 &amp; ""),INDIRECT("Accounts!$F$2:$F$" &amp; CountsForFormulas!$D$3 &amp; ""),AccountSummary!I$3,INDIRECT("Accounts!$W$2:$W$" &amp; CountsForFormulas!$D$3 &amp; ""),1)/I7)</f>
        <v>0</v>
      </c>
      <c r="J8" s="8">
        <f>IF(J7=0,0,SUMIFS(INDIRECT("Accounts!$L$2:$L$"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""),1)/J7)</f>
        <v>0</v>
      </c>
      <c r="K8" s="8">
        <f>IF(K7=0,0,SUMIFS(INDIRECT("Accounts!$L$2:$L$"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""),1)/K7)</f>
        <v>0</v>
      </c>
      <c r="L8" s="8">
        <f>IF(L7=0,0,SUMIFS(INDIRECT("Accounts!$L$2:$L$"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""),1)/L7)</f>
        <v>0</v>
      </c>
      <c r="M8" s="8">
        <f>IF(M7=0,0,SUMIFS(INDIRECT("Accounts!$L$2:$L$"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""),1)/M7)</f>
        <v>0</v>
      </c>
      <c r="N8" s="8">
        <f>IF(N7=0,0,SUMIFS(INDIRECT("Accounts!$L$2:$L$"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""),1)/N7)</f>
        <v>0</v>
      </c>
      <c r="O8" s="8">
        <f>IF(O7=0,0,SUMIFS(INDIRECT("Accounts!$L$2:$L$"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""),1)/O7)</f>
        <v>0</v>
      </c>
      <c r="P8" s="9">
        <f>IF(P7=0,0,SUMIFS(INDIRECT("Accounts!$L$2:$L$" &amp; CountsForFormulas!$D$3 &amp; ""),INDIRECT("Accounts!$F$2:$F$" &amp; CountsForFormulas!$D$3 &amp; ""),AccountSummary!P$3,INDIRECT("Accounts!$W$2:$W$" &amp; CountsForFormulas!$D$3 &amp; ""),1)/P7)</f>
        <v>0</v>
      </c>
      <c r="Q8" s="8">
        <f>IF(Q7=0,0,SUMIFS(INDIRECT("Accounts!$L$2:$L$"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""),1)/Q7)</f>
        <v>0</v>
      </c>
      <c r="R8" s="8">
        <f>IF(R7=0,0,SUMIFS(INDIRECT("Accounts!$L$2:$L$"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""),1)/R7)</f>
        <v>0</v>
      </c>
      <c r="S8" s="8">
        <f>IF(S7=0,0,SUMIFS(INDIRECT("Accounts!$L$2:$L$"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""),1)/S7)</f>
        <v>0</v>
      </c>
      <c r="T8" s="8">
        <f>IF(T7=0,0,SUMIFS(INDIRECT("Accounts!$L$2:$L$"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""),1)/T7)</f>
        <v>0</v>
      </c>
      <c r="U8" s="8">
        <f>IF(U7=0,0,SUMIFS(INDIRECT("Accounts!$L$2:$L$"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""),1)/U7)</f>
        <v>0</v>
      </c>
      <c r="V8" s="8">
        <f>IF(V7=0,0,SUMIFS(INDIRECT("Accounts!$L$2:$L$"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""),1)/V7)</f>
        <v>0</v>
      </c>
      <c r="W8" s="9">
        <f>IF(W7=0,0,SUMIFS(INDIRECT("Accounts!$L$2:$L$" &amp; CountsForFormulas!$D$3 &amp; ""),INDIRECT("Accounts!$F$2:$F$" &amp; CountsForFormulas!$D$3 &amp; ""),AccountSummary!W$3,INDIRECT("Accounts!$W$2:$W$" &amp; CountsForFormulas!$D$3 &amp; ""),1)/W7)</f>
        <v>0</v>
      </c>
    </row>
    <row r="9">
      <c r="A9" s="6" t="s">
        <v>17</v>
      </c>
      <c r="B9" s="17">
        <f>IF(B7=0,0,SUMIFS(INDIRECT("Accounts!$M$2:$M$" &amp; CountsForFormulas!$D$3 &amp; ""),INDIRECT("Accounts!$W$2:$W$" &amp; CountsForFormulas!$D$3 &amp; ""),1)/B7)</f>
        <v>0</v>
      </c>
      <c r="C9" s="8">
        <f>IF(C7=0,0,SUMIFS(INDIRECT("Accounts!$M$2:$M$"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""),1)/C7)</f>
        <v>0</v>
      </c>
      <c r="D9" s="8">
        <f>IF(D7=0,0,SUMIFS(INDIRECT("Accounts!$M$2:$M$"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""),1)/D7)</f>
        <v>0</v>
      </c>
      <c r="E9" s="8">
        <f>IF(E7=0,0,SUMIFS(INDIRECT("Accounts!$M$2:$M$"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""),1)/E7)</f>
        <v>0</v>
      </c>
      <c r="F9" s="8">
        <f>IF(F7=0,0,SUMIFS(INDIRECT("Accounts!$M$2:$M$"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""),1)/F7)</f>
        <v>0</v>
      </c>
      <c r="G9" s="8">
        <f>IF(G7=0,0,SUMIFS(INDIRECT("Accounts!$M$2:$M$"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""),1)/G7)</f>
        <v>0</v>
      </c>
      <c r="H9" s="8">
        <f>IF(H7=0,0,SUMIFS(INDIRECT("Accounts!$M$2:$M$"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""),1)/H7)</f>
        <v>0</v>
      </c>
      <c r="I9" s="9">
        <f>IF(I7=0,0,SUMIFS(INDIRECT("Accounts!$M$2:$M$" &amp; CountsForFormulas!$D$3 &amp; ""),INDIRECT("Accounts!$F$2:$F$" &amp; CountsForFormulas!$D$3 &amp; ""),AccountSummary!I$3,INDIRECT("Accounts!$W$2:$W$" &amp; CountsForFormulas!$D$3 &amp; ""),1)/I7)</f>
        <v>0</v>
      </c>
      <c r="J9" s="8">
        <f>IF(J7=0,0,SUMIFS(INDIRECT("Accounts!$M$2:$M$"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""),1)/J7)</f>
        <v>0</v>
      </c>
      <c r="K9" s="8">
        <f>IF(K7=0,0,SUMIFS(INDIRECT("Accounts!$M$2:$M$"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""),1)/K7)</f>
        <v>0</v>
      </c>
      <c r="L9" s="8">
        <f>IF(L7=0,0,SUMIFS(INDIRECT("Accounts!$M$2:$M$"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""),1)/L7)</f>
        <v>0</v>
      </c>
      <c r="M9" s="8">
        <f>IF(M7=0,0,SUMIFS(INDIRECT("Accounts!$M$2:$M$"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""),1)/M7)</f>
        <v>0</v>
      </c>
      <c r="N9" s="8">
        <f>IF(N7=0,0,SUMIFS(INDIRECT("Accounts!$M$2:$M$"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""),1)/N7)</f>
        <v>0</v>
      </c>
      <c r="O9" s="8">
        <f>IF(O7=0,0,SUMIFS(INDIRECT("Accounts!$M$2:$M$"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""),1)/O7)</f>
        <v>0</v>
      </c>
      <c r="P9" s="9">
        <f>IF(P7=0,0,SUMIFS(INDIRECT("Accounts!$M$2:$M$" &amp; CountsForFormulas!$D$3 &amp; ""),INDIRECT("Accounts!$F$2:$F$" &amp; CountsForFormulas!$D$3 &amp; ""),AccountSummary!P$3,INDIRECT("Accounts!$W$2:$W$" &amp; CountsForFormulas!$D$3 &amp; ""),1)/P7)</f>
        <v>0</v>
      </c>
      <c r="Q9" s="8">
        <f>IF(Q7=0,0,SUMIFS(INDIRECT("Accounts!$M$2:$M$"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""),1)/Q7)</f>
        <v>0</v>
      </c>
      <c r="R9" s="8">
        <f>IF(R7=0,0,SUMIFS(INDIRECT("Accounts!$M$2:$M$"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""),1)/R7)</f>
        <v>0</v>
      </c>
      <c r="S9" s="8">
        <f>IF(S7=0,0,SUMIFS(INDIRECT("Accounts!$M$2:$M$"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""),1)/S7)</f>
        <v>0</v>
      </c>
      <c r="T9" s="8">
        <f>IF(T7=0,0,SUMIFS(INDIRECT("Accounts!$M$2:$M$"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""),1)/T7)</f>
        <v>0</v>
      </c>
      <c r="U9" s="8">
        <f>IF(U7=0,0,SUMIFS(INDIRECT("Accounts!$M$2:$M$"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""),1)/U7)</f>
        <v>0</v>
      </c>
      <c r="V9" s="8">
        <f>IF(V7=0,0,SUMIFS(INDIRECT("Accounts!$M$2:$M$"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""),1)/V7)</f>
        <v>0</v>
      </c>
      <c r="W9" s="9">
        <f>IF(W7=0,0,SUMIFS(INDIRECT("Accounts!$M$2:$M$" &amp; CountsForFormulas!$D$3 &amp; ""),INDIRECT("Accounts!$F$2:$F$" &amp; CountsForFormulas!$D$3 &amp; ""),AccountSummary!W$3,INDIRECT("Accounts!$W$2:$W$" &amp; CountsForFormulas!$D$3 &amp; ""),1)/W7)</f>
        <v>0</v>
      </c>
    </row>
    <row r="10">
      <c r="A10" s="5" t="s">
        <v>18</v>
      </c>
      <c r="B10" s="14">
        <f ref="B10:W10" t="shared" si="0">IF(B7=0,0,B11/B7)</f>
        <v>0</v>
      </c>
      <c r="C10" s="22">
        <f t="shared" si="0"/>
        <v>0</v>
      </c>
      <c r="D10" s="22">
        <f t="shared" si="0"/>
        <v>0</v>
      </c>
      <c r="E10" s="22">
        <f t="shared" si="0"/>
        <v>0</v>
      </c>
      <c r="F10" s="22">
        <f t="shared" si="0"/>
        <v>0</v>
      </c>
      <c r="G10" s="22">
        <f t="shared" si="0"/>
        <v>0</v>
      </c>
      <c r="H10" s="22">
        <f t="shared" si="0"/>
        <v>0</v>
      </c>
      <c r="I10" s="10">
        <f t="shared" si="0"/>
        <v>0</v>
      </c>
      <c r="J10" s="22">
        <f t="shared" si="0"/>
        <v>0</v>
      </c>
      <c r="K10" s="22">
        <f t="shared" si="0"/>
        <v>0</v>
      </c>
      <c r="L10" s="22">
        <f t="shared" si="0"/>
        <v>0</v>
      </c>
      <c r="M10" s="22">
        <f t="shared" si="0"/>
        <v>0</v>
      </c>
      <c r="N10" s="22">
        <f t="shared" si="0"/>
        <v>0</v>
      </c>
      <c r="O10" s="22">
        <f t="shared" si="0"/>
        <v>0</v>
      </c>
      <c r="P10" s="10">
        <f t="shared" si="0"/>
        <v>0</v>
      </c>
      <c r="Q10" s="22">
        <f t="shared" si="0"/>
        <v>0</v>
      </c>
      <c r="R10" s="22">
        <f t="shared" si="0"/>
        <v>0</v>
      </c>
      <c r="S10" s="22">
        <f t="shared" si="0"/>
        <v>0</v>
      </c>
      <c r="T10" s="22">
        <f t="shared" si="0"/>
        <v>0</v>
      </c>
      <c r="U10" s="22">
        <f t="shared" si="0"/>
        <v>0</v>
      </c>
      <c r="V10" s="22">
        <f t="shared" si="0"/>
        <v>0</v>
      </c>
      <c r="W10" s="10">
        <f t="shared" si="0"/>
        <v>0</v>
      </c>
    </row>
    <row r="11">
      <c r="A11" s="11" t="s">
        <v>19</v>
      </c>
      <c r="B11" s="14">
        <f>I11+P11+W11</f>
        <v>0</v>
      </c>
      <c r="C11" s="22">
        <f>SUMIFS(INDIRECT("Accounts!$I$2:$I$"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""),1)</f>
        <v>0</v>
      </c>
      <c r="D11" s="22">
        <f>SUMIFS(INDIRECT("Accounts!$I$2:$I$"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""),1)</f>
        <v>0</v>
      </c>
      <c r="E11" s="22">
        <f>SUMIFS(INDIRECT("Accounts!$I$2:$I$"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""),1)</f>
        <v>0</v>
      </c>
      <c r="F11" s="22">
        <f>SUMIFS(INDIRECT("Accounts!$I$2:$I$"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""),1)</f>
        <v>0</v>
      </c>
      <c r="G11" s="22">
        <f>SUMIFS(INDIRECT("Accounts!$I$2:$I$"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""),1)</f>
        <v>0</v>
      </c>
      <c r="H11" s="22">
        <f>SUMIFS(INDIRECT("Accounts!$I$2:$I$"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""),1)</f>
        <v>0</v>
      </c>
      <c r="I11" s="10">
        <f>SUM(C11:H11)</f>
        <v>0</v>
      </c>
      <c r="J11" s="22">
        <f>SUMIFS(INDIRECT("Accounts!$I$2:$I$"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""),1)</f>
        <v>0</v>
      </c>
      <c r="K11" s="22">
        <f>SUMIFS(INDIRECT("Accounts!$I$2:$I$"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""),1)</f>
        <v>0</v>
      </c>
      <c r="L11" s="22">
        <f>SUMIFS(INDIRECT("Accounts!$I$2:$I$"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""),1)</f>
        <v>0</v>
      </c>
      <c r="M11" s="22">
        <f>SUMIFS(INDIRECT("Accounts!$I$2:$I$"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""),1)</f>
        <v>0</v>
      </c>
      <c r="N11" s="22">
        <f>SUMIFS(INDIRECT("Accounts!$I$2:$I$"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""),1)</f>
        <v>0</v>
      </c>
      <c r="O11" s="22">
        <f>SUMIFS(INDIRECT("Accounts!$I$2:$I$"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""),1)</f>
        <v>0</v>
      </c>
      <c r="P11" s="10">
        <f>SUM(J11:O11)</f>
        <v>0</v>
      </c>
      <c r="Q11" s="22">
        <f>SUMIFS(INDIRECT("Accounts!$I$2:$I$"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""),1)</f>
        <v>0</v>
      </c>
      <c r="R11" s="22">
        <f>SUMIFS(INDIRECT("Accounts!$I$2:$I$"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""),1)</f>
        <v>0</v>
      </c>
      <c r="S11" s="22">
        <f>SUMIFS(INDIRECT("Accounts!$I$2:$I$"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""),1)</f>
        <v>0</v>
      </c>
      <c r="T11" s="22">
        <f>SUMIFS(INDIRECT("Accounts!$I$2:$I$"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""),1)</f>
        <v>0</v>
      </c>
      <c r="U11" s="22">
        <f>SUMIFS(INDIRECT("Accounts!$I$2:$I$"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""),1)</f>
        <v>0</v>
      </c>
      <c r="V11" s="22">
        <f>SUMIFS(INDIRECT("Accounts!$I$2:$I$"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""),1)</f>
        <v>0</v>
      </c>
      <c r="W11" s="10">
        <f>SUM(Q11:V11)</f>
        <v>0</v>
      </c>
    </row>
    <row r="12">
      <c r="A12" s="11"/>
      <c r="B12" s="13"/>
    </row>
    <row r="13">
      <c r="A13" s="5" t="s">
        <v>20</v>
      </c>
      <c r="B13" s="13"/>
    </row>
    <row r="14">
      <c r="A14" s="5" t="s">
        <v>21</v>
      </c>
      <c r="B14" s="15">
        <f ref="B14:W14" t="shared" si="1">IF(B7=0,0,B15/B7)</f>
        <v>0</v>
      </c>
      <c r="C14" s="12">
        <f t="shared" si="1"/>
        <v>0</v>
      </c>
      <c r="D14" s="12">
        <f t="shared" si="1"/>
        <v>0</v>
      </c>
      <c r="E14" s="12">
        <f t="shared" si="1"/>
        <v>0</v>
      </c>
      <c r="F14" s="12">
        <f t="shared" si="1"/>
        <v>0</v>
      </c>
      <c r="G14" s="12">
        <f t="shared" si="1"/>
        <v>0</v>
      </c>
      <c r="H14" s="12">
        <f t="shared" si="1"/>
        <v>0</v>
      </c>
      <c r="I14" s="24">
        <f t="shared" si="1"/>
        <v>0</v>
      </c>
      <c r="J14" s="12">
        <f t="shared" si="1"/>
        <v>0</v>
      </c>
      <c r="K14" s="12">
        <f t="shared" si="1"/>
        <v>0</v>
      </c>
      <c r="L14" s="12">
        <f t="shared" si="1"/>
        <v>0</v>
      </c>
      <c r="M14" s="12">
        <f t="shared" si="1"/>
        <v>0</v>
      </c>
      <c r="N14" s="12">
        <f t="shared" si="1"/>
        <v>0</v>
      </c>
      <c r="O14" s="12">
        <f t="shared" si="1"/>
        <v>0</v>
      </c>
      <c r="P14" s="24">
        <f t="shared" si="1"/>
        <v>0</v>
      </c>
      <c r="Q14" s="12">
        <f t="shared" si="1"/>
        <v>0</v>
      </c>
      <c r="R14" s="12">
        <f t="shared" si="1"/>
        <v>0</v>
      </c>
      <c r="S14" s="12">
        <f t="shared" si="1"/>
        <v>0</v>
      </c>
      <c r="T14" s="12">
        <f t="shared" si="1"/>
        <v>0</v>
      </c>
      <c r="U14" s="12">
        <f t="shared" si="1"/>
        <v>0</v>
      </c>
      <c r="V14" s="12">
        <f t="shared" si="1"/>
        <v>0</v>
      </c>
      <c r="W14" s="24">
        <f t="shared" si="1"/>
        <v>0</v>
      </c>
    </row>
    <row r="15">
      <c r="A15" s="5" t="s">
        <v>22</v>
      </c>
      <c r="B15" s="13">
        <f>I15+P15+W15</f>
        <v>0</v>
      </c>
      <c r="C15" s="0">
        <f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""),1,INDIRECT("Accounts!$C$2:$C$" &amp; CountsForFormulas!$D$3 &amp; ""),"Lost")</f>
        <v>0</v>
      </c>
      <c r="D15" s="0">
        <f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""),1,INDIRECT("Accounts!$C$2:$C$" &amp; CountsForFormulas!$D$3 &amp; ""),"Lost")</f>
        <v>0</v>
      </c>
      <c r="E15" s="0">
        <f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""),1,INDIRECT("Accounts!$C$2:$C$" &amp; CountsForFormulas!$D$3 &amp; ""),"Lost")</f>
        <v>0</v>
      </c>
      <c r="F15" s="0">
        <f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""),1,INDIRECT("Accounts!$C$2:$C$" &amp; CountsForFormulas!$D$3 &amp; ""),"Lost")</f>
        <v>0</v>
      </c>
      <c r="G15" s="0">
        <f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""),1,INDIRECT("Accounts!$C$2:$C$" &amp; CountsForFormulas!$D$3 &amp; ""),"Lost")</f>
        <v>0</v>
      </c>
      <c r="H15" s="0">
        <f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""),1,INDIRECT("Accounts!$C$2:$C$" &amp; CountsForFormulas!$D$3 &amp; ""),"Lost")</f>
        <v>0</v>
      </c>
      <c r="I15" s="19">
        <f>SUM(C15:H15)</f>
        <v>0</v>
      </c>
      <c r="J15" s="0">
        <f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""),1,INDIRECT("Accounts!$C$2:$C$" &amp; CountsForFormulas!$D$3 &amp; ""),"Lost")</f>
        <v>0</v>
      </c>
      <c r="K15" s="0">
        <f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""),1,INDIRECT("Accounts!$C$2:$C$" &amp; CountsForFormulas!$D$3 &amp; ""),"Lost")</f>
        <v>0</v>
      </c>
      <c r="L15" s="0">
        <f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""),1,INDIRECT("Accounts!$C$2:$C$" &amp; CountsForFormulas!$D$3 &amp; ""),"Lost")</f>
        <v>0</v>
      </c>
      <c r="M15" s="0">
        <f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""),1,INDIRECT("Accounts!$C$2:$C$" &amp; CountsForFormulas!$D$3 &amp; ""),"Lost")</f>
        <v>0</v>
      </c>
      <c r="N15" s="0">
        <f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""),1,INDIRECT("Accounts!$C$2:$C$" &amp; CountsForFormulas!$D$3 &amp; ""),"Lost")</f>
        <v>0</v>
      </c>
      <c r="O15" s="0">
        <f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""),1,INDIRECT("Accounts!$C$2:$C$" &amp; CountsForFormulas!$D$3 &amp; ""),"Lost")</f>
        <v>0</v>
      </c>
      <c r="P15" s="19">
        <f>SUM(J15:O15)</f>
        <v>0</v>
      </c>
      <c r="Q15" s="0">
        <f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""),1,INDIRECT("Accounts!$C$2:$C$" &amp; CountsForFormulas!$D$3 &amp; ""),"Lost")</f>
        <v>0</v>
      </c>
      <c r="R15" s="0">
        <f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""),1,INDIRECT("Accounts!$C$2:$C$" &amp; CountsForFormulas!$D$3 &amp; ""),"Lost")</f>
        <v>0</v>
      </c>
      <c r="S15" s="0">
        <f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""),1,INDIRECT("Accounts!$C$2:$C$" &amp; CountsForFormulas!$D$3 &amp; ""),"Lost")</f>
        <v>0</v>
      </c>
      <c r="T15" s="0">
        <f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""),1,INDIRECT("Accounts!$C$2:$C$" &amp; CountsForFormulas!$D$3 &amp; ""),"Lost")</f>
        <v>0</v>
      </c>
      <c r="U15" s="0">
        <f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""),1,INDIRECT("Accounts!$C$2:$C$" &amp; CountsForFormulas!$D$3 &amp; ""),"Lost")</f>
        <v>0</v>
      </c>
      <c r="V15" s="0">
        <f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""),1,INDIRECT("Accounts!$C$2:$C$" &amp; CountsForFormulas!$D$3 &amp; ""),"Lost")</f>
        <v>0</v>
      </c>
      <c r="W15" s="19">
        <f>SUM(Q15:V15)</f>
        <v>0</v>
      </c>
    </row>
    <row r="16">
      <c r="A16" s="5" t="s">
        <v>23</v>
      </c>
      <c r="B16" s="13">
        <f>I16+P16+W16</f>
        <v>0</v>
      </c>
      <c r="C16" s="0">
        <f ref="C16:H16" t="shared" si="2">C7-C15</f>
        <v>0</v>
      </c>
      <c r="D16" s="0">
        <f t="shared" si="2"/>
        <v>0</v>
      </c>
      <c r="E16" s="0">
        <f t="shared" si="2"/>
        <v>0</v>
      </c>
      <c r="F16" s="0">
        <f t="shared" si="2"/>
        <v>0</v>
      </c>
      <c r="G16" s="0">
        <f t="shared" si="2"/>
        <v>0</v>
      </c>
      <c r="H16" s="0">
        <f t="shared" si="2"/>
        <v>0</v>
      </c>
      <c r="I16" s="19">
        <f>SUM(C16:H16)</f>
        <v>0</v>
      </c>
      <c r="J16" s="0">
        <f ref="J16:O16" t="shared" si="3">J7-J15</f>
        <v>0</v>
      </c>
      <c r="K16" s="0">
        <f t="shared" si="3"/>
        <v>0</v>
      </c>
      <c r="L16" s="0">
        <f t="shared" si="3"/>
        <v>0</v>
      </c>
      <c r="M16" s="0">
        <f t="shared" si="3"/>
        <v>0</v>
      </c>
      <c r="N16" s="0">
        <f t="shared" si="3"/>
        <v>0</v>
      </c>
      <c r="O16" s="0">
        <f t="shared" si="3"/>
        <v>0</v>
      </c>
      <c r="P16" s="19">
        <f>SUM(J16:O16)</f>
        <v>0</v>
      </c>
      <c r="Q16" s="0">
        <f ref="Q16:V16" t="shared" si="4">Q7-Q15</f>
        <v>0</v>
      </c>
      <c r="R16" s="0">
        <f t="shared" si="4"/>
        <v>0</v>
      </c>
      <c r="S16" s="0">
        <f t="shared" si="4"/>
        <v>0</v>
      </c>
      <c r="T16" s="0">
        <f t="shared" si="4"/>
        <v>0</v>
      </c>
      <c r="U16" s="0">
        <f t="shared" si="4"/>
        <v>0</v>
      </c>
      <c r="V16" s="0">
        <f t="shared" si="4"/>
        <v>0</v>
      </c>
      <c r="W16" s="19">
        <f>SUM(Q16:V16)</f>
        <v>0</v>
      </c>
    </row>
    <row r="17">
      <c r="A17" s="5"/>
      <c r="B17" s="13"/>
    </row>
    <row r="18">
      <c r="A18" s="5" t="s">
        <v>24</v>
      </c>
      <c r="B18" s="13"/>
    </row>
    <row r="19">
      <c r="A19" s="5" t="s">
        <v>57</v>
      </c>
      <c r="B19" s="13">
        <f>I19+P19+W19</f>
        <v>1</v>
      </c>
      <c r="C19" s="0">
        <f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""),"Customer")</f>
        <v>0</v>
      </c>
      <c r="D19" s="0">
        <f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""),"Customer")</f>
        <v>0</v>
      </c>
      <c r="E19" s="0">
        <f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""),"Customer")</f>
        <v>0</v>
      </c>
      <c r="F19" s="0">
        <f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""),"Customer")</f>
        <v>0</v>
      </c>
      <c r="G19" s="0">
        <f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""),"Customer")</f>
        <v>0</v>
      </c>
      <c r="H19" s="0">
        <f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""),"Customer")</f>
        <v>0</v>
      </c>
      <c r="I19" s="19">
        <f>SUM(C19:H19)</f>
        <v>0</v>
      </c>
      <c r="J19" s="0">
        <f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""),"Customer")</f>
        <v>0</v>
      </c>
      <c r="K19" s="0">
        <f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""),"Customer")</f>
        <v>0</v>
      </c>
      <c r="L19" s="0">
        <f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""),"Customer")</f>
        <v>0</v>
      </c>
      <c r="M19" s="0">
        <f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""),"Customer")</f>
        <v>0</v>
      </c>
      <c r="N19" s="0">
        <f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""),"Customer")</f>
        <v>0</v>
      </c>
      <c r="O19" s="0">
        <f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""),"Customer")</f>
        <v>0</v>
      </c>
      <c r="P19" s="19">
        <f>SUM(J19:O19)</f>
        <v>0</v>
      </c>
      <c r="Q19" s="0">
        <f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""),"Customer")</f>
        <v>0</v>
      </c>
      <c r="R19" s="0">
        <f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""),"Customer")</f>
        <v>1</v>
      </c>
      <c r="S19" s="0">
        <f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""),"Customer")</f>
        <v>0</v>
      </c>
      <c r="T19" s="0">
        <f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""),"Customer")</f>
        <v>0</v>
      </c>
      <c r="U19" s="0">
        <f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""),"Customer")</f>
        <v>0</v>
      </c>
      <c r="V19" s="0">
        <f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""),"Customer")</f>
        <v>0</v>
      </c>
      <c r="W19" s="19">
        <f>SUM(Q19:V19)</f>
        <v>1</v>
      </c>
    </row>
    <row r="20">
      <c r="A20" s="5"/>
      <c r="B20" s="13"/>
    </row>
    <row r="21">
      <c r="A21" s="5" t="s">
        <v>58</v>
      </c>
      <c r="B21" s="15">
        <f ref="B21:W21" t="shared" si="5">IF(B19=0,0,B22/B19)</f>
        <v>1</v>
      </c>
      <c r="C21" s="12">
        <f t="shared" si="5"/>
        <v>0</v>
      </c>
      <c r="D21" s="12">
        <f t="shared" si="5"/>
        <v>0</v>
      </c>
      <c r="E21" s="12">
        <f t="shared" si="5"/>
        <v>0</v>
      </c>
      <c r="F21" s="12">
        <f t="shared" si="5"/>
        <v>0</v>
      </c>
      <c r="G21" s="12">
        <f t="shared" si="5"/>
        <v>0</v>
      </c>
      <c r="H21" s="12">
        <f t="shared" si="5"/>
        <v>0</v>
      </c>
      <c r="I21" s="24">
        <f t="shared" si="5"/>
        <v>0</v>
      </c>
      <c r="J21" s="12">
        <f t="shared" si="5"/>
        <v>0</v>
      </c>
      <c r="K21" s="12">
        <f t="shared" si="5"/>
        <v>0</v>
      </c>
      <c r="L21" s="12">
        <f t="shared" si="5"/>
        <v>0</v>
      </c>
      <c r="M21" s="12">
        <f t="shared" si="5"/>
        <v>0</v>
      </c>
      <c r="N21" s="12">
        <f t="shared" si="5"/>
        <v>0</v>
      </c>
      <c r="O21" s="12">
        <f t="shared" si="5"/>
        <v>0</v>
      </c>
      <c r="P21" s="24">
        <f t="shared" si="5"/>
        <v>0</v>
      </c>
      <c r="Q21" s="12">
        <f t="shared" si="5"/>
        <v>0</v>
      </c>
      <c r="R21" s="12">
        <f t="shared" si="5"/>
        <v>1</v>
      </c>
      <c r="S21" s="12">
        <f t="shared" si="5"/>
        <v>0</v>
      </c>
      <c r="T21" s="12">
        <f t="shared" si="5"/>
        <v>0</v>
      </c>
      <c r="U21" s="12">
        <f t="shared" si="5"/>
        <v>0</v>
      </c>
      <c r="V21" s="12">
        <f t="shared" si="5"/>
        <v>0</v>
      </c>
      <c r="W21" s="24">
        <f t="shared" si="5"/>
        <v>1</v>
      </c>
    </row>
    <row r="22">
      <c r="A22" s="5" t="s">
        <v>59</v>
      </c>
      <c r="B22" s="13">
        <f>I22+P22+W22</f>
        <v>1</v>
      </c>
      <c r="C22" s="0">
        <f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""),"Monthly")</f>
        <v>0</v>
      </c>
      <c r="D22" s="0">
        <f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""),"Monthly")</f>
        <v>0</v>
      </c>
      <c r="E22" s="0">
        <f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""),"Monthly")</f>
        <v>0</v>
      </c>
      <c r="F22" s="0">
        <f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""),"Monthly")</f>
        <v>0</v>
      </c>
      <c r="G22" s="0">
        <f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""),"Monthly")</f>
        <v>0</v>
      </c>
      <c r="H22" s="0">
        <f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""),"Monthly")</f>
        <v>0</v>
      </c>
      <c r="I22" s="19">
        <f>SUM(C22:H22)</f>
        <v>0</v>
      </c>
      <c r="J22" s="0">
        <f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""),"Monthly")</f>
        <v>0</v>
      </c>
      <c r="K22" s="0">
        <f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""),"Monthly")</f>
        <v>0</v>
      </c>
      <c r="L22" s="0">
        <f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""),"Monthly")</f>
        <v>0</v>
      </c>
      <c r="M22" s="0">
        <f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""),"Monthly")</f>
        <v>0</v>
      </c>
      <c r="N22" s="0">
        <f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""),"Monthly")</f>
        <v>0</v>
      </c>
      <c r="O22" s="0">
        <f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""),"Monthly")</f>
        <v>0</v>
      </c>
      <c r="P22" s="19">
        <f>SUM(J22:O22)</f>
        <v>0</v>
      </c>
      <c r="Q22" s="0">
        <f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""),"Monthly")</f>
        <v>0</v>
      </c>
      <c r="R22" s="0">
        <f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""),"Monthly")</f>
        <v>1</v>
      </c>
      <c r="S22" s="0">
        <f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""),"Monthly")</f>
        <v>0</v>
      </c>
      <c r="T22" s="0">
        <f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""),"Monthly")</f>
        <v>0</v>
      </c>
      <c r="U22" s="0">
        <f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""),"Monthly")</f>
        <v>0</v>
      </c>
      <c r="V22" s="0">
        <f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""),"Monthly")</f>
        <v>0</v>
      </c>
      <c r="W22" s="19">
        <f>SUM(Q22:V22)</f>
        <v>1</v>
      </c>
    </row>
    <row r="23">
      <c r="A23" s="5" t="s">
        <v>26</v>
      </c>
      <c r="B23" s="13"/>
    </row>
    <row r="24">
      <c r="A24" s="5" t="s">
        <v>60</v>
      </c>
      <c r="B24" s="15">
        <f ref="B24:W24" t="shared" si="6">IF(B22=0,0,(B26+B27)/B22)</f>
        <v>0</v>
      </c>
      <c r="C24" s="12">
        <f t="shared" si="6"/>
        <v>0</v>
      </c>
      <c r="D24" s="12">
        <f t="shared" si="6"/>
        <v>0</v>
      </c>
      <c r="E24" s="12">
        <f t="shared" si="6"/>
        <v>0</v>
      </c>
      <c r="F24" s="12">
        <f t="shared" si="6"/>
        <v>0</v>
      </c>
      <c r="G24" s="12">
        <f t="shared" si="6"/>
        <v>0</v>
      </c>
      <c r="H24" s="12">
        <f t="shared" si="6"/>
        <v>0</v>
      </c>
      <c r="I24" s="24">
        <f t="shared" si="6"/>
        <v>0</v>
      </c>
      <c r="J24" s="12">
        <f t="shared" si="6"/>
        <v>0</v>
      </c>
      <c r="K24" s="12">
        <f t="shared" si="6"/>
        <v>0</v>
      </c>
      <c r="L24" s="12">
        <f t="shared" si="6"/>
        <v>0</v>
      </c>
      <c r="M24" s="12">
        <f t="shared" si="6"/>
        <v>0</v>
      </c>
      <c r="N24" s="12">
        <f t="shared" si="6"/>
        <v>0</v>
      </c>
      <c r="O24" s="12">
        <f t="shared" si="6"/>
        <v>0</v>
      </c>
      <c r="P24" s="24">
        <f t="shared" si="6"/>
        <v>0</v>
      </c>
      <c r="Q24" s="12">
        <f t="shared" si="6"/>
        <v>0</v>
      </c>
      <c r="R24" s="12">
        <f t="shared" si="6"/>
        <v>0</v>
      </c>
      <c r="S24" s="12">
        <f t="shared" si="6"/>
        <v>0</v>
      </c>
      <c r="T24" s="12">
        <f t="shared" si="6"/>
        <v>0</v>
      </c>
      <c r="U24" s="12">
        <f t="shared" si="6"/>
        <v>0</v>
      </c>
      <c r="V24" s="12">
        <f t="shared" si="6"/>
        <v>0</v>
      </c>
      <c r="W24" s="24">
        <f t="shared" si="6"/>
        <v>0</v>
      </c>
    </row>
    <row r="25">
      <c r="A25" s="5" t="s">
        <v>28</v>
      </c>
      <c r="B25" s="15">
        <f ref="B25:W25" t="shared" si="7">IF((B26+B27)=0,0,B26/(B26+B27))</f>
        <v>0</v>
      </c>
      <c r="C25" s="12">
        <f t="shared" si="7"/>
        <v>0</v>
      </c>
      <c r="D25" s="12">
        <f t="shared" si="7"/>
        <v>0</v>
      </c>
      <c r="E25" s="12">
        <f t="shared" si="7"/>
        <v>0</v>
      </c>
      <c r="F25" s="12">
        <f t="shared" si="7"/>
        <v>0</v>
      </c>
      <c r="G25" s="12">
        <f t="shared" si="7"/>
        <v>0</v>
      </c>
      <c r="H25" s="12">
        <f t="shared" si="7"/>
        <v>0</v>
      </c>
      <c r="I25" s="24">
        <f t="shared" si="7"/>
        <v>0</v>
      </c>
      <c r="J25" s="12">
        <f t="shared" si="7"/>
        <v>0</v>
      </c>
      <c r="K25" s="12">
        <f t="shared" si="7"/>
        <v>0</v>
      </c>
      <c r="L25" s="12">
        <f t="shared" si="7"/>
        <v>0</v>
      </c>
      <c r="M25" s="12">
        <f t="shared" si="7"/>
        <v>0</v>
      </c>
      <c r="N25" s="12">
        <f t="shared" si="7"/>
        <v>0</v>
      </c>
      <c r="O25" s="12">
        <f t="shared" si="7"/>
        <v>0</v>
      </c>
      <c r="P25" s="24">
        <f t="shared" si="7"/>
        <v>0</v>
      </c>
      <c r="Q25" s="12">
        <f t="shared" si="7"/>
        <v>0</v>
      </c>
      <c r="R25" s="12">
        <f t="shared" si="7"/>
        <v>0</v>
      </c>
      <c r="S25" s="12">
        <f t="shared" si="7"/>
        <v>0</v>
      </c>
      <c r="T25" s="12">
        <f t="shared" si="7"/>
        <v>0</v>
      </c>
      <c r="U25" s="12">
        <f t="shared" si="7"/>
        <v>0</v>
      </c>
      <c r="V25" s="12">
        <f t="shared" si="7"/>
        <v>0</v>
      </c>
      <c r="W25" s="24">
        <f t="shared" si="7"/>
        <v>0</v>
      </c>
    </row>
    <row r="26">
      <c r="A26" s="5" t="s">
        <v>29</v>
      </c>
      <c r="B26" s="13">
        <f>I26+P26+W26</f>
        <v>0</v>
      </c>
      <c r="C26" s="0">
        <f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D26" s="0">
        <f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E26" s="0">
        <f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F26" s="0">
        <f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G26" s="0">
        <f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H26" s="0">
        <f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I26" s="19">
        <f>SUM(C26:H26)</f>
        <v>0</v>
      </c>
      <c r="J26" s="0">
        <f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K26" s="0">
        <f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L26" s="0">
        <f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M26" s="0">
        <f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N26" s="0">
        <f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O26" s="0">
        <f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P26" s="19">
        <f>SUM(J26:O26)</f>
        <v>0</v>
      </c>
      <c r="Q26" s="0">
        <f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R26" s="0">
        <f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S26" s="0">
        <f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T26" s="0">
        <f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U26" s="0">
        <f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V26" s="0">
        <f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""),"&lt;="&amp;30)</f>
        <v>0</v>
      </c>
      <c r="W26" s="19">
        <f>SUM(Q26:V26)</f>
        <v>0</v>
      </c>
    </row>
    <row r="27">
      <c r="A27" s="5" t="s">
        <v>30</v>
      </c>
      <c r="B27" s="13">
        <f>I27+P27+W27</f>
        <v>0</v>
      </c>
      <c r="C27" s="0">
        <f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D27" s="0">
        <f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E27" s="0">
        <f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F27" s="0">
        <f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G27" s="0">
        <f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H27" s="0">
        <f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I27" s="19">
        <f>SUM(C27:H27)</f>
        <v>0</v>
      </c>
      <c r="J27" s="0">
        <f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K27" s="0">
        <f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L27" s="0">
        <f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M27" s="0">
        <f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N27" s="0">
        <f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O27" s="0">
        <f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P27" s="19">
        <f>SUM(J27:O27)</f>
        <v>0</v>
      </c>
      <c r="Q27" s="0">
        <f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R27" s="0">
        <f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S27" s="0">
        <f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T27" s="0">
        <f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U27" s="0">
        <f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V27" s="0">
        <f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""),"&lt;="&amp;30)</f>
        <v>0</v>
      </c>
      <c r="W27" s="19">
        <f>SUM(Q27:V27)</f>
        <v>0</v>
      </c>
    </row>
    <row r="28">
      <c r="A28" s="6" t="s">
        <v>31</v>
      </c>
      <c r="B28" s="16">
        <f>IF(B27=0,0,SUMIFS(INDIRECT("Accounts!$L$2:$L$" &amp; CountsForFormulas!$D$3 &amp; ""),INDIRECT("Accounts!$W$2:$W$"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""),"&lt;="&amp;30)/B27)</f>
        <v>0</v>
      </c>
      <c r="C28" s="0">
        <f>IF(C27=0,0,SUMIFS(INDIRECT("Accounts!$L$2:$L$"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""),"&lt;="&amp;30)/C27)</f>
        <v>0</v>
      </c>
      <c r="D28" s="0">
        <f>IF(D27=0,0,SUMIFS(INDIRECT("Accounts!$L$2:$L$"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""),"&lt;="&amp;30)/D27)</f>
        <v>0</v>
      </c>
      <c r="E28" s="0">
        <f>IF(E27=0,0,SUMIFS(INDIRECT("Accounts!$L$2:$L$"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""),"&lt;="&amp;30)/E27)</f>
        <v>0</v>
      </c>
      <c r="F28" s="0">
        <f>IF(F27=0,0,SUMIFS(INDIRECT("Accounts!$L$2:$L$"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""),"&lt;="&amp;30)/F27)</f>
        <v>0</v>
      </c>
      <c r="G28" s="0">
        <f>IF(G27=0,0,SUMIFS(INDIRECT("Accounts!$L$2:$L$"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""),"&lt;="&amp;30)/G27)</f>
        <v>0</v>
      </c>
      <c r="H28" s="0">
        <f>IF(H27=0,0,SUMIFS(INDIRECT("Accounts!$L$2:$L$"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""),"&lt;="&amp;30)/H27)</f>
        <v>0</v>
      </c>
      <c r="I28" s="19">
        <f>IF(I27=0,0,SUMIFS(INDIRECT("Accounts!$L$2:$L$" &amp; CountsForFormulas!$D$3 &amp; ""),INDIRECT("Accounts!$F$2:$F$" &amp; CountsForFormulas!$D$3 &amp; ""),AccountSummary!I$3,INDIRECT("Accounts!$W$2:$W$"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""),"&lt;="&amp;30)/I27)</f>
        <v>0</v>
      </c>
      <c r="J28" s="0">
        <f>IF(J27=0,0,SUMIFS(INDIRECT("Accounts!$L$2:$L$"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""),"&lt;="&amp;30)/J27)</f>
        <v>0</v>
      </c>
      <c r="K28" s="0">
        <f>IF(K27=0,0,SUMIFS(INDIRECT("Accounts!$L$2:$L$"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""),"&lt;="&amp;30)/K27)</f>
        <v>0</v>
      </c>
      <c r="L28" s="0">
        <f>IF(L27=0,0,SUMIFS(INDIRECT("Accounts!$L$2:$L$"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""),"&lt;="&amp;30)/L27)</f>
        <v>0</v>
      </c>
      <c r="M28" s="0">
        <f>IF(M27=0,0,SUMIFS(INDIRECT("Accounts!$L$2:$L$"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""),"&lt;="&amp;30)/M27)</f>
        <v>0</v>
      </c>
      <c r="N28" s="0">
        <f>IF(N27=0,0,SUMIFS(INDIRECT("Accounts!$L$2:$L$"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""),"&lt;="&amp;30)/N27)</f>
        <v>0</v>
      </c>
      <c r="O28" s="0">
        <f>IF(O27=0,0,SUMIFS(INDIRECT("Accounts!$L$2:$L$"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""),"&lt;="&amp;30)/O27)</f>
        <v>0</v>
      </c>
      <c r="P28" s="19">
        <f>IF(P27=0,0,SUMIFS(INDIRECT("Accounts!$L$2:$L$" &amp; CountsForFormulas!$D$3 &amp; ""),INDIRECT("Accounts!$F$2:$F$" &amp; CountsForFormulas!$D$3 &amp; ""),AccountSummary!P$3,INDIRECT("Accounts!$W$2:$W$"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""),"&lt;="&amp;30)/P27)</f>
        <v>0</v>
      </c>
      <c r="Q28" s="0">
        <f>IF(Q27=0,0,SUMIFS(INDIRECT("Accounts!$L$2:$L$"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""),"&lt;="&amp;30)/Q27)</f>
        <v>0</v>
      </c>
      <c r="R28" s="0">
        <f>IF(R27=0,0,SUMIFS(INDIRECT("Accounts!$L$2:$L$"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""),"&lt;="&amp;30)/R27)</f>
        <v>0</v>
      </c>
      <c r="S28" s="0">
        <f>IF(S27=0,0,SUMIFS(INDIRECT("Accounts!$L$2:$L$"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""),"&lt;="&amp;30)/S27)</f>
        <v>0</v>
      </c>
      <c r="T28" s="0">
        <f>IF(T27=0,0,SUMIFS(INDIRECT("Accounts!$L$2:$L$"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""),"&lt;="&amp;30)/T27)</f>
        <v>0</v>
      </c>
      <c r="U28" s="0">
        <f>IF(U27=0,0,SUMIFS(INDIRECT("Accounts!$L$2:$L$"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""),"&lt;="&amp;30)/U27)</f>
        <v>0</v>
      </c>
      <c r="V28" s="0">
        <f>IF(V27=0,0,SUMIFS(INDIRECT("Accounts!$L$2:$L$"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""),"&lt;="&amp;30)/V27)</f>
        <v>0</v>
      </c>
      <c r="W28" s="19">
        <f>IF(W27=0,0,SUMIFS(INDIRECT("Accounts!$L$2:$L$" &amp; CountsForFormulas!$D$3 &amp; ""),INDIRECT("Accounts!$F$2:$F$" &amp; CountsForFormulas!$D$3 &amp; ""),AccountSummary!W$3,INDIRECT("Accounts!$W$2:$W$"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""),"&lt;="&amp;30)/W27)</f>
        <v>0</v>
      </c>
    </row>
    <row r="29">
      <c r="A29" s="6" t="s">
        <v>32</v>
      </c>
      <c r="B29" s="16">
        <f>IF(B27=0,0,SUMIFS(INDIRECT("Accounts!$M$2:$M$" &amp; CountsForFormulas!$D$3 &amp; ""),INDIRECT("Accounts!$W$2:$W$"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""),"&lt;="&amp;30)/B27)</f>
        <v>0</v>
      </c>
      <c r="C29" s="0">
        <f>IF(C27=0,0,SUMIFS(INDIRECT("Accounts!$M$2:$M$"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""),"&lt;="&amp;30)/C27)</f>
        <v>0</v>
      </c>
      <c r="D29" s="0">
        <f>IF(D27=0,0,SUMIFS(INDIRECT("Accounts!$M$2:$M$"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""),"&lt;="&amp;30)/D27)</f>
        <v>0</v>
      </c>
      <c r="E29" s="0">
        <f>IF(E27=0,0,SUMIFS(INDIRECT("Accounts!$M$2:$M$"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""),"&lt;="&amp;30)/E27)</f>
        <v>0</v>
      </c>
      <c r="F29" s="0">
        <f>IF(F27=0,0,SUMIFS(INDIRECT("Accounts!$M$2:$M$"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""),"&lt;="&amp;30)/F27)</f>
        <v>0</v>
      </c>
      <c r="G29" s="0">
        <f>IF(G27=0,0,SUMIFS(INDIRECT("Accounts!$M$2:$M$"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""),"&lt;="&amp;30)/G27)</f>
        <v>0</v>
      </c>
      <c r="H29" s="0">
        <f>IF(H27=0,0,SUMIFS(INDIRECT("Accounts!$M$2:$M$"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""),"&lt;="&amp;30)/H27)</f>
        <v>0</v>
      </c>
      <c r="I29" s="19">
        <f>IF(I27=0,0,SUMIFS(INDIRECT("Accounts!$M$2:$M$" &amp; CountsForFormulas!$D$3 &amp; ""),INDIRECT("Accounts!$F$2:$F$" &amp; CountsForFormulas!$D$3 &amp; ""),AccountSummary!I$3,INDIRECT("Accounts!$W$2:$W$"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""),"&lt;="&amp;30)/I27)</f>
        <v>0</v>
      </c>
      <c r="J29" s="0">
        <f>IF(J27=0,0,SUMIFS(INDIRECT("Accounts!$M$2:$M$"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""),"&lt;="&amp;30)/J27)</f>
        <v>0</v>
      </c>
      <c r="K29" s="0">
        <f>IF(K27=0,0,SUMIFS(INDIRECT("Accounts!$M$2:$M$"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""),"&lt;="&amp;30)/K27)</f>
        <v>0</v>
      </c>
      <c r="L29" s="0">
        <f>IF(L27=0,0,SUMIFS(INDIRECT("Accounts!$M$2:$M$"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""),"&lt;="&amp;30)/L27)</f>
        <v>0</v>
      </c>
      <c r="M29" s="0">
        <f>IF(M27=0,0,SUMIFS(INDIRECT("Accounts!$M$2:$M$"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""),"&lt;="&amp;30)/M27)</f>
        <v>0</v>
      </c>
      <c r="N29" s="0">
        <f>IF(N27=0,0,SUMIFS(INDIRECT("Accounts!$M$2:$M$"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""),"&lt;="&amp;30)/N27)</f>
        <v>0</v>
      </c>
      <c r="O29" s="0">
        <f>IF(O27=0,0,SUMIFS(INDIRECT("Accounts!$M$2:$M$"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""),"&lt;="&amp;30)/O27)</f>
        <v>0</v>
      </c>
      <c r="P29" s="19">
        <f>IF(P27=0,0,SUMIFS(INDIRECT("Accounts!$M$2:$M$" &amp; CountsForFormulas!$D$3 &amp; ""),INDIRECT("Accounts!$F$2:$F$" &amp; CountsForFormulas!$D$3 &amp; ""),AccountSummary!P$3,INDIRECT("Accounts!$W$2:$W$"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""),"&lt;="&amp;30)/P27)</f>
        <v>0</v>
      </c>
      <c r="Q29" s="0">
        <f>IF(Q27=0,0,SUMIFS(INDIRECT("Accounts!$M$2:$M$"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""),"&lt;="&amp;30)/Q27)</f>
        <v>0</v>
      </c>
      <c r="R29" s="0">
        <f>IF(R27=0,0,SUMIFS(INDIRECT("Accounts!$M$2:$M$"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""),"&lt;="&amp;30)/R27)</f>
        <v>0</v>
      </c>
      <c r="S29" s="0">
        <f>IF(S27=0,0,SUMIFS(INDIRECT("Accounts!$M$2:$M$"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""),"&lt;="&amp;30)/S27)</f>
        <v>0</v>
      </c>
      <c r="T29" s="0">
        <f>IF(T27=0,0,SUMIFS(INDIRECT("Accounts!$M$2:$M$"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""),"&lt;="&amp;30)/T27)</f>
        <v>0</v>
      </c>
      <c r="U29" s="0">
        <f>IF(U27=0,0,SUMIFS(INDIRECT("Accounts!$M$2:$M$"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""),"&lt;="&amp;30)/U27)</f>
        <v>0</v>
      </c>
      <c r="V29" s="0">
        <f>IF(V27=0,0,SUMIFS(INDIRECT("Accounts!$M$2:$M$"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""),"&lt;="&amp;30)/V27)</f>
        <v>0</v>
      </c>
      <c r="W29" s="19">
        <f>IF(W27=0,0,SUMIFS(INDIRECT("Accounts!$M$2:$M$" &amp; CountsForFormulas!$D$3 &amp; ""),INDIRECT("Accounts!$F$2:$F$" &amp; CountsForFormulas!$D$3 &amp; ""),AccountSummary!W$3,INDIRECT("Accounts!$W$2:$W$"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""),"&lt;="&amp;30)/W27)</f>
        <v>0</v>
      </c>
    </row>
    <row r="30">
      <c r="A30" s="5" t="s">
        <v>33</v>
      </c>
      <c r="B30" s="14">
        <f ref="B30:W30" t="shared" si="8">IF(B27=0,0,B31/B27)</f>
        <v>0</v>
      </c>
      <c r="C30" s="22">
        <f t="shared" si="8"/>
        <v>0</v>
      </c>
      <c r="D30" s="22">
        <f t="shared" si="8"/>
        <v>0</v>
      </c>
      <c r="E30" s="22">
        <f t="shared" si="8"/>
        <v>0</v>
      </c>
      <c r="F30" s="22">
        <f t="shared" si="8"/>
        <v>0</v>
      </c>
      <c r="G30" s="22">
        <f t="shared" si="8"/>
        <v>0</v>
      </c>
      <c r="H30" s="22">
        <f t="shared" si="8"/>
        <v>0</v>
      </c>
      <c r="I30" s="10">
        <f t="shared" si="8"/>
        <v>0</v>
      </c>
      <c r="J30" s="22">
        <f t="shared" si="8"/>
        <v>0</v>
      </c>
      <c r="K30" s="22">
        <f t="shared" si="8"/>
        <v>0</v>
      </c>
      <c r="L30" s="22">
        <f t="shared" si="8"/>
        <v>0</v>
      </c>
      <c r="M30" s="22">
        <f t="shared" si="8"/>
        <v>0</v>
      </c>
      <c r="N30" s="22">
        <f t="shared" si="8"/>
        <v>0</v>
      </c>
      <c r="O30" s="22">
        <f t="shared" si="8"/>
        <v>0</v>
      </c>
      <c r="P30" s="10">
        <f t="shared" si="8"/>
        <v>0</v>
      </c>
      <c r="Q30" s="22">
        <f t="shared" si="8"/>
        <v>0</v>
      </c>
      <c r="R30" s="22">
        <f t="shared" si="8"/>
        <v>0</v>
      </c>
      <c r="S30" s="22">
        <f t="shared" si="8"/>
        <v>0</v>
      </c>
      <c r="T30" s="22">
        <f t="shared" si="8"/>
        <v>0</v>
      </c>
      <c r="U30" s="22">
        <f t="shared" si="8"/>
        <v>0</v>
      </c>
      <c r="V30" s="22">
        <f t="shared" si="8"/>
        <v>0</v>
      </c>
      <c r="W30" s="10">
        <f t="shared" si="8"/>
        <v>0</v>
      </c>
    </row>
    <row r="31">
      <c r="A31" s="5" t="s">
        <v>34</v>
      </c>
      <c r="B31" s="14">
        <f>I31+P31+W31</f>
        <v>0</v>
      </c>
      <c r="C31" s="22">
        <f>SUMIFS(INDIRECT("Accounts!$I$2:$I$"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D31" s="22">
        <f>SUMIFS(INDIRECT("Accounts!$I$2:$I$"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E31" s="22">
        <f>SUMIFS(INDIRECT("Accounts!$I$2:$I$"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F31" s="22">
        <f>SUMIFS(INDIRECT("Accounts!$I$2:$I$"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G31" s="22">
        <f>SUMIFS(INDIRECT("Accounts!$I$2:$I$"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H31" s="22">
        <f>SUMIFS(INDIRECT("Accounts!$I$2:$I$"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I31" s="10">
        <f>SUM(C31:H31)</f>
        <v>0</v>
      </c>
      <c r="J31" s="22">
        <f>SUMIFS(INDIRECT("Accounts!$I$2:$I$"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K31" s="22">
        <f>SUMIFS(INDIRECT("Accounts!$I$2:$I$"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L31" s="22">
        <f>SUMIFS(INDIRECT("Accounts!$I$2:$I$"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M31" s="22">
        <f>SUMIFS(INDIRECT("Accounts!$I$2:$I$"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N31" s="22">
        <f>SUMIFS(INDIRECT("Accounts!$I$2:$I$"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O31" s="22">
        <f>SUMIFS(INDIRECT("Accounts!$I$2:$I$"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P31" s="10">
        <f>SUM(J31:O31)</f>
        <v>0</v>
      </c>
      <c r="Q31" s="22">
        <f>SUMIFS(INDIRECT("Accounts!$I$2:$I$"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R31" s="22">
        <f>SUMIFS(INDIRECT("Accounts!$I$2:$I$"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S31" s="22">
        <f>SUMIFS(INDIRECT("Accounts!$I$2:$I$"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T31" s="22">
        <f>SUMIFS(INDIRECT("Accounts!$I$2:$I$"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U31" s="22">
        <f>SUMIFS(INDIRECT("Accounts!$I$2:$I$"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V31" s="22">
        <f>SUMIFS(INDIRECT("Accounts!$I$2:$I$"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""),"&lt;="&amp;30)</f>
        <v>0</v>
      </c>
      <c r="W31" s="10">
        <f>SUM(Q31:V31)</f>
        <v>0</v>
      </c>
    </row>
    <row r="32">
      <c r="A32" s="5" t="s">
        <v>35</v>
      </c>
      <c r="B32" s="14"/>
      <c r="C32" s="22"/>
      <c r="D32" s="22"/>
      <c r="E32" s="22"/>
      <c r="F32" s="22"/>
      <c r="G32" s="22"/>
      <c r="H32" s="22"/>
      <c r="I32" s="10"/>
      <c r="J32" s="22"/>
      <c r="K32" s="22"/>
      <c r="L32" s="22"/>
      <c r="M32" s="22"/>
      <c r="N32" s="22"/>
      <c r="O32" s="22"/>
      <c r="P32" s="10"/>
      <c r="Q32" s="22"/>
      <c r="R32" s="22"/>
      <c r="S32" s="22"/>
      <c r="T32" s="22"/>
      <c r="U32" s="22"/>
      <c r="V32" s="22"/>
      <c r="W32" s="10"/>
    </row>
    <row r="33">
      <c r="A33" s="5" t="s">
        <v>60</v>
      </c>
      <c r="B33" s="15">
        <f ref="B33:W33" t="shared" si="9">IF(B22=0,0,(B35+B36)/B22)</f>
        <v>0</v>
      </c>
      <c r="C33" s="12">
        <f t="shared" si="9"/>
        <v>0</v>
      </c>
      <c r="D33" s="12">
        <f t="shared" si="9"/>
        <v>0</v>
      </c>
      <c r="E33" s="12">
        <f t="shared" si="9"/>
        <v>0</v>
      </c>
      <c r="F33" s="12">
        <f t="shared" si="9"/>
        <v>0</v>
      </c>
      <c r="G33" s="12">
        <f t="shared" si="9"/>
        <v>0</v>
      </c>
      <c r="H33" s="12">
        <f t="shared" si="9"/>
        <v>0</v>
      </c>
      <c r="I33" s="24">
        <f t="shared" si="9"/>
        <v>0</v>
      </c>
      <c r="J33" s="12">
        <f t="shared" si="9"/>
        <v>0</v>
      </c>
      <c r="K33" s="12">
        <f t="shared" si="9"/>
        <v>0</v>
      </c>
      <c r="L33" s="12">
        <f t="shared" si="9"/>
        <v>0</v>
      </c>
      <c r="M33" s="12">
        <f t="shared" si="9"/>
        <v>0</v>
      </c>
      <c r="N33" s="12">
        <f t="shared" si="9"/>
        <v>0</v>
      </c>
      <c r="O33" s="12">
        <f t="shared" si="9"/>
        <v>0</v>
      </c>
      <c r="P33" s="24">
        <f t="shared" si="9"/>
        <v>0</v>
      </c>
      <c r="Q33" s="12">
        <f t="shared" si="9"/>
        <v>0</v>
      </c>
      <c r="R33" s="12">
        <f t="shared" si="9"/>
        <v>0</v>
      </c>
      <c r="S33" s="12">
        <f t="shared" si="9"/>
        <v>0</v>
      </c>
      <c r="T33" s="12">
        <f t="shared" si="9"/>
        <v>0</v>
      </c>
      <c r="U33" s="12">
        <f t="shared" si="9"/>
        <v>0</v>
      </c>
      <c r="V33" s="12">
        <f t="shared" si="9"/>
        <v>0</v>
      </c>
      <c r="W33" s="24">
        <f t="shared" si="9"/>
        <v>0</v>
      </c>
    </row>
    <row r="34">
      <c r="A34" s="5" t="s">
        <v>28</v>
      </c>
      <c r="B34" s="15">
        <f ref="B34:W34" t="shared" si="10">IF((B35+B36)=0,0,B35/(B35+B36))</f>
        <v>0</v>
      </c>
      <c r="C34" s="12">
        <f t="shared" si="10"/>
        <v>0</v>
      </c>
      <c r="D34" s="12">
        <f t="shared" si="10"/>
        <v>0</v>
      </c>
      <c r="E34" s="12">
        <f t="shared" si="10"/>
        <v>0</v>
      </c>
      <c r="F34" s="12">
        <f t="shared" si="10"/>
        <v>0</v>
      </c>
      <c r="G34" s="12">
        <f t="shared" si="10"/>
        <v>0</v>
      </c>
      <c r="H34" s="12">
        <f t="shared" si="10"/>
        <v>0</v>
      </c>
      <c r="I34" s="24">
        <f t="shared" si="10"/>
        <v>0</v>
      </c>
      <c r="J34" s="12">
        <f t="shared" si="10"/>
        <v>0</v>
      </c>
      <c r="K34" s="12">
        <f t="shared" si="10"/>
        <v>0</v>
      </c>
      <c r="L34" s="12">
        <f t="shared" si="10"/>
        <v>0</v>
      </c>
      <c r="M34" s="12">
        <f t="shared" si="10"/>
        <v>0</v>
      </c>
      <c r="N34" s="12">
        <f t="shared" si="10"/>
        <v>0</v>
      </c>
      <c r="O34" s="12">
        <f t="shared" si="10"/>
        <v>0</v>
      </c>
      <c r="P34" s="24">
        <f t="shared" si="10"/>
        <v>0</v>
      </c>
      <c r="Q34" s="12">
        <f t="shared" si="10"/>
        <v>0</v>
      </c>
      <c r="R34" s="12">
        <f t="shared" si="10"/>
        <v>0</v>
      </c>
      <c r="S34" s="12">
        <f t="shared" si="10"/>
        <v>0</v>
      </c>
      <c r="T34" s="12">
        <f t="shared" si="10"/>
        <v>0</v>
      </c>
      <c r="U34" s="12">
        <f t="shared" si="10"/>
        <v>0</v>
      </c>
      <c r="V34" s="12">
        <f t="shared" si="10"/>
        <v>0</v>
      </c>
      <c r="W34" s="24">
        <f t="shared" si="10"/>
        <v>0</v>
      </c>
    </row>
    <row r="35">
      <c r="A35" s="5" t="s">
        <v>29</v>
      </c>
      <c r="B35" s="13">
        <f>I35+P35+W35</f>
        <v>0</v>
      </c>
      <c r="C35" s="0">
        <f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D35" s="0">
        <f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E35" s="0">
        <f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F35" s="0">
        <f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G35" s="0">
        <f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H35" s="0">
        <f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I35" s="19">
        <f>SUM(C35:H35)</f>
        <v>0</v>
      </c>
      <c r="J35" s="0">
        <f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K35" s="0">
        <f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L35" s="0">
        <f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M35" s="0">
        <f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N35" s="0">
        <f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O35" s="0">
        <f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P35" s="19">
        <f>SUM(J35:O35)</f>
        <v>0</v>
      </c>
      <c r="Q35" s="0">
        <f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R35" s="0">
        <f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S35" s="0">
        <f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T35" s="0">
        <f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U35" s="0">
        <f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V35" s="0">
        <f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""),"&gt;"&amp;30,INDIRECT("Accounts!$H$2:$H$" &amp; CountsForFormulas!$D$3 &amp; ""),"&lt;="&amp;60)</f>
        <v>0</v>
      </c>
      <c r="W35" s="19">
        <f>SUM(Q35:V35)</f>
        <v>0</v>
      </c>
    </row>
    <row r="36">
      <c r="A36" s="5" t="s">
        <v>30</v>
      </c>
      <c r="B36" s="13">
        <f>I36+P36+W36</f>
        <v>0</v>
      </c>
      <c r="C36" s="0">
        <f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D36" s="0">
        <f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E36" s="0">
        <f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F36" s="0">
        <f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G36" s="0">
        <f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H36" s="0">
        <f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I36" s="19">
        <f>SUM(C36:H36)</f>
        <v>0</v>
      </c>
      <c r="J36" s="0">
        <f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K36" s="0">
        <f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L36" s="0">
        <f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M36" s="0">
        <f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N36" s="0">
        <f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O36" s="0">
        <f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P36" s="19">
        <f>SUM(J36:O36)</f>
        <v>0</v>
      </c>
      <c r="Q36" s="0">
        <f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R36" s="0">
        <f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S36" s="0">
        <f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T36" s="0">
        <f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U36" s="0">
        <f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V36" s="0">
        <f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""),"&gt;"&amp;30,INDIRECT("Accounts!$H$2:$H$" &amp; CountsForFormulas!$D$3 &amp; ""),"&lt;="&amp;60)</f>
        <v>0</v>
      </c>
      <c r="W36" s="19">
        <f>SUM(Q36:V36)</f>
        <v>0</v>
      </c>
    </row>
    <row r="37">
      <c r="A37" s="6" t="s">
        <v>31</v>
      </c>
      <c r="B37" s="17">
        <f>IF(B36=0,0,SUMIFS(INDIRECT("Accounts!$L$2:$L$" &amp; CountsForFormulas!$D$3 &amp; ""),INDIRECT("Accounts!$W$2:$W$"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""),"&lt;="&amp;60)/B36)</f>
        <v>0</v>
      </c>
      <c r="C37" s="8">
        <f>IF(C36=0,0,SUMIFS(INDIRECT("Accounts!$L$2:$L$"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""),"&lt;="&amp;60)/C36)</f>
        <v>0</v>
      </c>
      <c r="D37" s="8">
        <f>IF(D36=0,0,SUMIFS(INDIRECT("Accounts!$L$2:$L$"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""),"&lt;="&amp;60)/D36)</f>
        <v>0</v>
      </c>
      <c r="E37" s="8">
        <f>IF(E36=0,0,SUMIFS(INDIRECT("Accounts!$L$2:$L$"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""),"&lt;="&amp;60)/E36)</f>
        <v>0</v>
      </c>
      <c r="F37" s="8">
        <f>IF(F36=0,0,SUMIFS(INDIRECT("Accounts!$L$2:$L$"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""),"&lt;="&amp;60)/F36)</f>
        <v>0</v>
      </c>
      <c r="G37" s="8">
        <f>IF(G36=0,0,SUMIFS(INDIRECT("Accounts!$L$2:$L$"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""),"&lt;="&amp;60)/G36)</f>
        <v>0</v>
      </c>
      <c r="H37" s="8">
        <f>IF(H36=0,0,SUMIFS(INDIRECT("Accounts!$L$2:$L$"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""),"&lt;="&amp;60)/H36)</f>
        <v>0</v>
      </c>
      <c r="I37" s="9">
        <f>IF(I36=0,0,SUMIFS(INDIRECT("Accounts!$L$2:$L$" &amp; CountsForFormulas!$D$3 &amp; ""),INDIRECT("Accounts!$F$2:$F$" &amp; CountsForFormulas!$D$3 &amp; ""),AccountSummary!I$3,INDIRECT("Accounts!$W$2:$W$"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""),"&lt;="&amp;60)/I36)</f>
        <v>0</v>
      </c>
      <c r="J37" s="8">
        <f>IF(J36=0,0,SUMIFS(INDIRECT("Accounts!$L$2:$L$"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""),"&lt;="&amp;60)/J36)</f>
        <v>0</v>
      </c>
      <c r="K37" s="8">
        <f>IF(K36=0,0,SUMIFS(INDIRECT("Accounts!$L$2:$L$"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""),"&lt;="&amp;60)/K36)</f>
        <v>0</v>
      </c>
      <c r="L37" s="8">
        <f>IF(L36=0,0,SUMIFS(INDIRECT("Accounts!$L$2:$L$"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""),"&lt;="&amp;60)/L36)</f>
        <v>0</v>
      </c>
      <c r="M37" s="8">
        <f>IF(M36=0,0,SUMIFS(INDIRECT("Accounts!$L$2:$L$"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""),"&lt;="&amp;60)/M36)</f>
        <v>0</v>
      </c>
      <c r="N37" s="8">
        <f>IF(N36=0,0,SUMIFS(INDIRECT("Accounts!$L$2:$L$"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""),"&lt;="&amp;60)/N36)</f>
        <v>0</v>
      </c>
      <c r="O37" s="8">
        <f>IF(O36=0,0,SUMIFS(INDIRECT("Accounts!$L$2:$L$"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""),"&lt;="&amp;60)/O36)</f>
        <v>0</v>
      </c>
      <c r="P37" s="9">
        <f>IF(P36=0,0,SUMIFS(INDIRECT("Accounts!$L$2:$L$" &amp; CountsForFormulas!$D$3 &amp; ""),INDIRECT("Accounts!$F$2:$F$" &amp; CountsForFormulas!$D$3 &amp; ""),AccountSummary!P$3,INDIRECT("Accounts!$W$2:$W$"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""),"&lt;="&amp;60)/P36)</f>
        <v>0</v>
      </c>
      <c r="Q37" s="8">
        <f>IF(Q36=0,0,SUMIFS(INDIRECT("Accounts!$L$2:$L$"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""),"&lt;="&amp;60)/Q36)</f>
        <v>0</v>
      </c>
      <c r="R37" s="8">
        <f>IF(R36=0,0,SUMIFS(INDIRECT("Accounts!$L$2:$L$"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""),"&lt;="&amp;60)/R36)</f>
        <v>0</v>
      </c>
      <c r="S37" s="8">
        <f>IF(S36=0,0,SUMIFS(INDIRECT("Accounts!$L$2:$L$"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""),"&lt;="&amp;60)/S36)</f>
        <v>0</v>
      </c>
      <c r="T37" s="8">
        <f>IF(T36=0,0,SUMIFS(INDIRECT("Accounts!$L$2:$L$"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""),"&lt;="&amp;60)/T36)</f>
        <v>0</v>
      </c>
      <c r="U37" s="8">
        <f>IF(U36=0,0,SUMIFS(INDIRECT("Accounts!$L$2:$L$"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""),"&lt;="&amp;60)/U36)</f>
        <v>0</v>
      </c>
      <c r="V37" s="8">
        <f>IF(V36=0,0,SUMIFS(INDIRECT("Accounts!$L$2:$L$"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""),"&lt;="&amp;60)/V36)</f>
        <v>0</v>
      </c>
      <c r="W37" s="9">
        <f>IF(W36=0,0,SUMIFS(INDIRECT("Accounts!$L$2:$L$" &amp; CountsForFormulas!$D$3 &amp; ""),INDIRECT("Accounts!$F$2:$F$" &amp; CountsForFormulas!$D$3 &amp; ""),AccountSummary!W$3,INDIRECT("Accounts!$W$2:$W$"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""),"&lt;="&amp;60)/W36)</f>
        <v>0</v>
      </c>
    </row>
    <row r="38">
      <c r="A38" s="6" t="s">
        <v>32</v>
      </c>
      <c r="B38" s="17">
        <f>IF(B36=0,0,SUMIFS(INDIRECT("Accounts!$M$2:$M$" &amp; CountsForFormulas!$D$3 &amp; ""),INDIRECT("Accounts!$W$2:$W$"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""),"&lt;="&amp;60)/B36)</f>
        <v>0</v>
      </c>
      <c r="C38" s="8">
        <f>IF(C36=0,0,SUMIFS(INDIRECT("Accounts!$M$2:$M$"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""),"&lt;="&amp;60)/C36)</f>
        <v>0</v>
      </c>
      <c r="D38" s="8">
        <f>IF(D36=0,0,SUMIFS(INDIRECT("Accounts!$M$2:$M$"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""),"&lt;="&amp;60)/D36)</f>
        <v>0</v>
      </c>
      <c r="E38" s="8">
        <f>IF(E36=0,0,SUMIFS(INDIRECT("Accounts!$M$2:$M$"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""),"&lt;="&amp;60)/E36)</f>
        <v>0</v>
      </c>
      <c r="F38" s="8">
        <f>IF(F36=0,0,SUMIFS(INDIRECT("Accounts!$M$2:$M$"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""),"&lt;="&amp;60)/F36)</f>
        <v>0</v>
      </c>
      <c r="G38" s="8">
        <f>IF(G36=0,0,SUMIFS(INDIRECT("Accounts!$M$2:$M$"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""),"&lt;="&amp;60)/G36)</f>
        <v>0</v>
      </c>
      <c r="H38" s="8">
        <f>IF(H36=0,0,SUMIFS(INDIRECT("Accounts!$M$2:$M$"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""),"&lt;="&amp;60)/H36)</f>
        <v>0</v>
      </c>
      <c r="I38" s="9">
        <f>IF(I36=0,0,SUMIFS(INDIRECT("Accounts!$M$2:$M$" &amp; CountsForFormulas!$D$3 &amp; ""),INDIRECT("Accounts!$F$2:$F$" &amp; CountsForFormulas!$D$3 &amp; ""),AccountSummary!I$3,INDIRECT("Accounts!$W$2:$W$"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""),"&lt;="&amp;60)/I36)</f>
        <v>0</v>
      </c>
      <c r="J38" s="8">
        <f>IF(J36=0,0,SUMIFS(INDIRECT("Accounts!$M$2:$M$"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""),"&lt;="&amp;60)/J36)</f>
        <v>0</v>
      </c>
      <c r="K38" s="8">
        <f>IF(K36=0,0,SUMIFS(INDIRECT("Accounts!$M$2:$M$"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""),"&lt;="&amp;60)/K36)</f>
        <v>0</v>
      </c>
      <c r="L38" s="8">
        <f>IF(L36=0,0,SUMIFS(INDIRECT("Accounts!$M$2:$M$"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""),"&lt;="&amp;60)/L36)</f>
        <v>0</v>
      </c>
      <c r="M38" s="8">
        <f>IF(M36=0,0,SUMIFS(INDIRECT("Accounts!$M$2:$M$"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""),"&lt;="&amp;60)/M36)</f>
        <v>0</v>
      </c>
      <c r="N38" s="8">
        <f>IF(N36=0,0,SUMIFS(INDIRECT("Accounts!$M$2:$M$"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""),"&lt;="&amp;60)/N36)</f>
        <v>0</v>
      </c>
      <c r="O38" s="8">
        <f>IF(O36=0,0,SUMIFS(INDIRECT("Accounts!$M$2:$M$"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""),"&lt;="&amp;60)/O36)</f>
        <v>0</v>
      </c>
      <c r="P38" s="9">
        <f>IF(P36=0,0,SUMIFS(INDIRECT("Accounts!$M$2:$M$" &amp; CountsForFormulas!$D$3 &amp; ""),INDIRECT("Accounts!$F$2:$F$" &amp; CountsForFormulas!$D$3 &amp; ""),AccountSummary!P$3,INDIRECT("Accounts!$W$2:$W$"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""),"&lt;="&amp;60)/P36)</f>
        <v>0</v>
      </c>
      <c r="Q38" s="8">
        <f>IF(Q36=0,0,SUMIFS(INDIRECT("Accounts!$M$2:$M$"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""),"&lt;="&amp;60)/Q36)</f>
        <v>0</v>
      </c>
      <c r="R38" s="8">
        <f>IF(R36=0,0,SUMIFS(INDIRECT("Accounts!$M$2:$M$"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""),"&lt;="&amp;60)/R36)</f>
        <v>0</v>
      </c>
      <c r="S38" s="8">
        <f>IF(S36=0,0,SUMIFS(INDIRECT("Accounts!$M$2:$M$"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""),"&lt;="&amp;60)/S36)</f>
        <v>0</v>
      </c>
      <c r="T38" s="8">
        <f>IF(T36=0,0,SUMIFS(INDIRECT("Accounts!$M$2:$M$"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""),"&lt;="&amp;60)/T36)</f>
        <v>0</v>
      </c>
      <c r="U38" s="8">
        <f>IF(U36=0,0,SUMIFS(INDIRECT("Accounts!$M$2:$M$"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""),"&lt;="&amp;60)/U36)</f>
        <v>0</v>
      </c>
      <c r="V38" s="8">
        <f>IF(V36=0,0,SUMIFS(INDIRECT("Accounts!$M$2:$M$"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""),"&lt;="&amp;60)/V36)</f>
        <v>0</v>
      </c>
      <c r="W38" s="9">
        <f>IF(W36=0,0,SUMIFS(INDIRECT("Accounts!$M$2:$M$" &amp; CountsForFormulas!$D$3 &amp; ""),INDIRECT("Accounts!$F$2:$F$" &amp; CountsForFormulas!$D$3 &amp; ""),AccountSummary!W$3,INDIRECT("Accounts!$W$2:$W$"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""),"&lt;="&amp;60)/W36)</f>
        <v>0</v>
      </c>
    </row>
    <row r="39">
      <c r="A39" s="5" t="s">
        <v>33</v>
      </c>
      <c r="B39" s="14">
        <f ref="B39:W39" t="shared" si="11">IF(B36=0,0,B40/B36)</f>
        <v>0</v>
      </c>
      <c r="C39" s="22">
        <f t="shared" si="11"/>
        <v>0</v>
      </c>
      <c r="D39" s="22">
        <f t="shared" si="11"/>
        <v>0</v>
      </c>
      <c r="E39" s="22">
        <f t="shared" si="11"/>
        <v>0</v>
      </c>
      <c r="F39" s="22">
        <f t="shared" si="11"/>
        <v>0</v>
      </c>
      <c r="G39" s="22">
        <f t="shared" si="11"/>
        <v>0</v>
      </c>
      <c r="H39" s="22">
        <f t="shared" si="11"/>
        <v>0</v>
      </c>
      <c r="I39" s="10">
        <f t="shared" si="11"/>
        <v>0</v>
      </c>
      <c r="J39" s="22">
        <f t="shared" si="11"/>
        <v>0</v>
      </c>
      <c r="K39" s="22">
        <f t="shared" si="11"/>
        <v>0</v>
      </c>
      <c r="L39" s="22">
        <f t="shared" si="11"/>
        <v>0</v>
      </c>
      <c r="M39" s="22">
        <f t="shared" si="11"/>
        <v>0</v>
      </c>
      <c r="N39" s="22">
        <f t="shared" si="11"/>
        <v>0</v>
      </c>
      <c r="O39" s="22">
        <f t="shared" si="11"/>
        <v>0</v>
      </c>
      <c r="P39" s="10">
        <f t="shared" si="11"/>
        <v>0</v>
      </c>
      <c r="Q39" s="22">
        <f t="shared" si="11"/>
        <v>0</v>
      </c>
      <c r="R39" s="22">
        <f t="shared" si="11"/>
        <v>0</v>
      </c>
      <c r="S39" s="22">
        <f t="shared" si="11"/>
        <v>0</v>
      </c>
      <c r="T39" s="22">
        <f t="shared" si="11"/>
        <v>0</v>
      </c>
      <c r="U39" s="22">
        <f t="shared" si="11"/>
        <v>0</v>
      </c>
      <c r="V39" s="22">
        <f t="shared" si="11"/>
        <v>0</v>
      </c>
      <c r="W39" s="10">
        <f t="shared" si="11"/>
        <v>0</v>
      </c>
    </row>
    <row r="40">
      <c r="A40" s="5" t="s">
        <v>34</v>
      </c>
      <c r="B40" s="14">
        <f>I40+P40+W40</f>
        <v>0</v>
      </c>
      <c r="C40" s="22">
        <f>SUMIFS(INDIRECT("Accounts!$I$2:$I$"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D40" s="22">
        <f>SUMIFS(INDIRECT("Accounts!$I$2:$I$"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E40" s="22">
        <f>SUMIFS(INDIRECT("Accounts!$I$2:$I$"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F40" s="22">
        <f>SUMIFS(INDIRECT("Accounts!$I$2:$I$"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G40" s="22">
        <f>SUMIFS(INDIRECT("Accounts!$I$2:$I$"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H40" s="22">
        <f>SUMIFS(INDIRECT("Accounts!$I$2:$I$"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I40" s="10">
        <f>SUM(C40:H40)</f>
        <v>0</v>
      </c>
      <c r="J40" s="22">
        <f>SUMIFS(INDIRECT("Accounts!$I$2:$I$"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K40" s="22">
        <f>SUMIFS(INDIRECT("Accounts!$I$2:$I$"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L40" s="22">
        <f>SUMIFS(INDIRECT("Accounts!$I$2:$I$"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M40" s="22">
        <f>SUMIFS(INDIRECT("Accounts!$I$2:$I$"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N40" s="22">
        <f>SUMIFS(INDIRECT("Accounts!$I$2:$I$"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O40" s="22">
        <f>SUMIFS(INDIRECT("Accounts!$I$2:$I$"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P40" s="10">
        <f>SUM(J40:O40)</f>
        <v>0</v>
      </c>
      <c r="Q40" s="22">
        <f>SUMIFS(INDIRECT("Accounts!$I$2:$I$"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R40" s="22">
        <f>SUMIFS(INDIRECT("Accounts!$I$2:$I$"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S40" s="22">
        <f>SUMIFS(INDIRECT("Accounts!$I$2:$I$"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T40" s="22">
        <f>SUMIFS(INDIRECT("Accounts!$I$2:$I$"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U40" s="22">
        <f>SUMIFS(INDIRECT("Accounts!$I$2:$I$"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V40" s="22">
        <f>SUMIFS(INDIRECT("Accounts!$I$2:$I$"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""),"&gt;"&amp;30,INDIRECT("Accounts!$H$2:$H$" &amp; CountsForFormulas!$D$3 &amp; ""),"&lt;="&amp;60)</f>
        <v>0</v>
      </c>
      <c r="W40" s="10">
        <f>SUM(Q40:V40)</f>
        <v>0</v>
      </c>
    </row>
    <row r="41">
      <c r="A41" s="5" t="s">
        <v>61</v>
      </c>
      <c r="B41" s="14"/>
      <c r="C41" s="22"/>
      <c r="D41" s="22"/>
      <c r="E41" s="22"/>
      <c r="F41" s="22"/>
      <c r="G41" s="22"/>
      <c r="H41" s="22"/>
      <c r="I41" s="10"/>
      <c r="J41" s="22"/>
      <c r="K41" s="22"/>
      <c r="L41" s="22"/>
      <c r="M41" s="22"/>
      <c r="N41" s="22"/>
      <c r="O41" s="22"/>
      <c r="P41" s="10"/>
      <c r="Q41" s="22"/>
      <c r="R41" s="22"/>
      <c r="S41" s="22"/>
      <c r="T41" s="22"/>
      <c r="U41" s="22"/>
      <c r="V41" s="22"/>
      <c r="W41" s="10"/>
    </row>
    <row r="42">
      <c r="A42" s="5" t="s">
        <v>60</v>
      </c>
      <c r="B42" s="15">
        <f ref="B42:W42" t="shared" si="12">IF(B22=0,0,(B44+B45)/B22)</f>
        <v>0</v>
      </c>
      <c r="C42" s="12">
        <f t="shared" si="12"/>
        <v>0</v>
      </c>
      <c r="D42" s="12">
        <f t="shared" si="12"/>
        <v>0</v>
      </c>
      <c r="E42" s="12">
        <f t="shared" si="12"/>
        <v>0</v>
      </c>
      <c r="F42" s="12">
        <f t="shared" si="12"/>
        <v>0</v>
      </c>
      <c r="G42" s="12">
        <f t="shared" si="12"/>
        <v>0</v>
      </c>
      <c r="H42" s="12">
        <f t="shared" si="12"/>
        <v>0</v>
      </c>
      <c r="I42" s="24">
        <f t="shared" si="12"/>
        <v>0</v>
      </c>
      <c r="J42" s="12">
        <f t="shared" si="12"/>
        <v>0</v>
      </c>
      <c r="K42" s="12">
        <f t="shared" si="12"/>
        <v>0</v>
      </c>
      <c r="L42" s="12">
        <f t="shared" si="12"/>
        <v>0</v>
      </c>
      <c r="M42" s="12">
        <f t="shared" si="12"/>
        <v>0</v>
      </c>
      <c r="N42" s="12">
        <f t="shared" si="12"/>
        <v>0</v>
      </c>
      <c r="O42" s="12">
        <f t="shared" si="12"/>
        <v>0</v>
      </c>
      <c r="P42" s="24">
        <f t="shared" si="12"/>
        <v>0</v>
      </c>
      <c r="Q42" s="12">
        <f t="shared" si="12"/>
        <v>0</v>
      </c>
      <c r="R42" s="12">
        <f t="shared" si="12"/>
        <v>0</v>
      </c>
      <c r="S42" s="12">
        <f t="shared" si="12"/>
        <v>0</v>
      </c>
      <c r="T42" s="12">
        <f t="shared" si="12"/>
        <v>0</v>
      </c>
      <c r="U42" s="12">
        <f t="shared" si="12"/>
        <v>0</v>
      </c>
      <c r="V42" s="12">
        <f t="shared" si="12"/>
        <v>0</v>
      </c>
      <c r="W42" s="24">
        <f t="shared" si="12"/>
        <v>0</v>
      </c>
    </row>
    <row r="43">
      <c r="A43" s="5" t="s">
        <v>28</v>
      </c>
      <c r="B43" s="15">
        <f ref="B43:W43" t="shared" si="13">IF((B44+B45)=0,0,B44/(B44+B45))</f>
        <v>0</v>
      </c>
      <c r="C43" s="12">
        <f t="shared" si="13"/>
        <v>0</v>
      </c>
      <c r="D43" s="12">
        <f t="shared" si="13"/>
        <v>0</v>
      </c>
      <c r="E43" s="12">
        <f t="shared" si="13"/>
        <v>0</v>
      </c>
      <c r="F43" s="12">
        <f t="shared" si="13"/>
        <v>0</v>
      </c>
      <c r="G43" s="12">
        <f t="shared" si="13"/>
        <v>0</v>
      </c>
      <c r="H43" s="12">
        <f t="shared" si="13"/>
        <v>0</v>
      </c>
      <c r="I43" s="24">
        <f t="shared" si="13"/>
        <v>0</v>
      </c>
      <c r="J43" s="12">
        <f t="shared" si="13"/>
        <v>0</v>
      </c>
      <c r="K43" s="12">
        <f t="shared" si="13"/>
        <v>0</v>
      </c>
      <c r="L43" s="12">
        <f t="shared" si="13"/>
        <v>0</v>
      </c>
      <c r="M43" s="12">
        <f t="shared" si="13"/>
        <v>0</v>
      </c>
      <c r="N43" s="12">
        <f t="shared" si="13"/>
        <v>0</v>
      </c>
      <c r="O43" s="12">
        <f t="shared" si="13"/>
        <v>0</v>
      </c>
      <c r="P43" s="24">
        <f t="shared" si="13"/>
        <v>0</v>
      </c>
      <c r="Q43" s="12">
        <f t="shared" si="13"/>
        <v>0</v>
      </c>
      <c r="R43" s="12">
        <f t="shared" si="13"/>
        <v>0</v>
      </c>
      <c r="S43" s="12">
        <f t="shared" si="13"/>
        <v>0</v>
      </c>
      <c r="T43" s="12">
        <f t="shared" si="13"/>
        <v>0</v>
      </c>
      <c r="U43" s="12">
        <f t="shared" si="13"/>
        <v>0</v>
      </c>
      <c r="V43" s="12">
        <f t="shared" si="13"/>
        <v>0</v>
      </c>
      <c r="W43" s="24">
        <f t="shared" si="13"/>
        <v>0</v>
      </c>
    </row>
    <row r="44">
      <c r="A44" s="5" t="s">
        <v>29</v>
      </c>
      <c r="B44" s="13">
        <f>I44+P44+W44</f>
        <v>0</v>
      </c>
      <c r="C44" s="0">
        <f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D44" s="0">
        <f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E44" s="0">
        <f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F44" s="0">
        <f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G44" s="0">
        <f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H44" s="0">
        <f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I44" s="19">
        <f>SUM(C44:H44)</f>
        <v>0</v>
      </c>
      <c r="J44" s="0">
        <f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K44" s="0">
        <f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L44" s="0">
        <f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M44" s="0">
        <f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N44" s="0">
        <f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O44" s="0">
        <f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P44" s="19">
        <f>SUM(J44:O44)</f>
        <v>0</v>
      </c>
      <c r="Q44" s="0">
        <f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R44" s="0">
        <f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S44" s="0">
        <f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T44" s="0">
        <f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U44" s="0">
        <f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V44" s="0">
        <f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""),"&gt;"&amp;60,INDIRECT("Accounts!$H$2:$H$" &amp; CountsForFormulas!$D$3 &amp; ""),"&lt;="&amp;180)</f>
        <v>0</v>
      </c>
      <c r="W44" s="19">
        <f>SUM(Q44:V44)</f>
        <v>0</v>
      </c>
    </row>
    <row r="45">
      <c r="A45" s="5" t="s">
        <v>30</v>
      </c>
      <c r="B45" s="13">
        <f>I45+P45+W45</f>
        <v>0</v>
      </c>
      <c r="C45" s="0">
        <f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D45" s="0">
        <f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E45" s="0">
        <f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F45" s="0">
        <f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G45" s="0">
        <f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H45" s="0">
        <f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I45" s="19">
        <f>SUM(C45:H45)</f>
        <v>0</v>
      </c>
      <c r="J45" s="0">
        <f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K45" s="0">
        <f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L45" s="0">
        <f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M45" s="0">
        <f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N45" s="0">
        <f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O45" s="0">
        <f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P45" s="19">
        <f>SUM(J45:O45)</f>
        <v>0</v>
      </c>
      <c r="Q45" s="0">
        <f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R45" s="0">
        <f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S45" s="0">
        <f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T45" s="0">
        <f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U45" s="0">
        <f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V45" s="0">
        <f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""),"&gt;"&amp;60,INDIRECT("Accounts!$H$2:$H$" &amp; CountsForFormulas!$D$3 &amp; ""),"&lt;="&amp;180)</f>
        <v>0</v>
      </c>
      <c r="W45" s="19">
        <f>SUM(Q45:V45)</f>
        <v>0</v>
      </c>
    </row>
    <row r="46">
      <c r="A46" s="6" t="s">
        <v>31</v>
      </c>
      <c r="B46" s="17">
        <f>IF(B45=0,0,SUMIFS(INDIRECT("Accounts!$L$2:$L$" &amp; CountsForFormulas!$D$3 &amp; ""),INDIRECT("Accounts!$W$2:$W$"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""),"&lt;="&amp;180)/B45)</f>
        <v>0</v>
      </c>
      <c r="C46" s="8">
        <f>IF(C45=0,0,SUMIFS(INDIRECT("Accounts!$L$2:$L$"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""),"&lt;="&amp;180)/C45)</f>
        <v>0</v>
      </c>
      <c r="D46" s="8">
        <f>IF(D45=0,0,SUMIFS(INDIRECT("Accounts!$L$2:$L$"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""),"&lt;="&amp;180)/D45)</f>
        <v>0</v>
      </c>
      <c r="E46" s="8">
        <f>IF(E45=0,0,SUMIFS(INDIRECT("Accounts!$L$2:$L$"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""),"&lt;="&amp;180)/E45)</f>
        <v>0</v>
      </c>
      <c r="F46" s="8">
        <f>IF(F45=0,0,SUMIFS(INDIRECT("Accounts!$L$2:$L$"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""),"&lt;="&amp;180)/F45)</f>
        <v>0</v>
      </c>
      <c r="G46" s="8">
        <f>IF(G45=0,0,SUMIFS(INDIRECT("Accounts!$L$2:$L$"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""),"&lt;="&amp;180)/G45)</f>
        <v>0</v>
      </c>
      <c r="H46" s="8">
        <f>IF(H45=0,0,SUMIFS(INDIRECT("Accounts!$L$2:$L$"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""),"&lt;="&amp;180)/H45)</f>
        <v>0</v>
      </c>
      <c r="I46" s="9">
        <f>IF(I45=0,0,SUMIFS(INDIRECT("Accounts!$L$2:$L$" &amp; CountsForFormulas!$D$3 &amp; ""),INDIRECT("Accounts!$F$2:$F$" &amp; CountsForFormulas!$D$3 &amp; ""),AccountSummary!I$3,INDIRECT("Accounts!$W$2:$W$"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""),"&lt;="&amp;180)/I45)</f>
        <v>0</v>
      </c>
      <c r="J46" s="8">
        <f>IF(J45=0,0,SUMIFS(INDIRECT("Accounts!$L$2:$L$"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""),"&lt;="&amp;180)/J45)</f>
        <v>0</v>
      </c>
      <c r="K46" s="8">
        <f>IF(K45=0,0,SUMIFS(INDIRECT("Accounts!$L$2:$L$"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""),"&lt;="&amp;180)/K45)</f>
        <v>0</v>
      </c>
      <c r="L46" s="8">
        <f>IF(L45=0,0,SUMIFS(INDIRECT("Accounts!$L$2:$L$"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""),"&lt;="&amp;180)/L45)</f>
        <v>0</v>
      </c>
      <c r="M46" s="8">
        <f>IF(M45=0,0,SUMIFS(INDIRECT("Accounts!$L$2:$L$"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""),"&lt;="&amp;180)/M45)</f>
        <v>0</v>
      </c>
      <c r="N46" s="8">
        <f>IF(N45=0,0,SUMIFS(INDIRECT("Accounts!$L$2:$L$"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""),"&lt;="&amp;180)/N45)</f>
        <v>0</v>
      </c>
      <c r="O46" s="8">
        <f>IF(O45=0,0,SUMIFS(INDIRECT("Accounts!$L$2:$L$"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""),"&lt;="&amp;180)/O45)</f>
        <v>0</v>
      </c>
      <c r="P46" s="9">
        <f>IF(P45=0,0,SUMIFS(INDIRECT("Accounts!$L$2:$L$" &amp; CountsForFormulas!$D$3 &amp; ""),INDIRECT("Accounts!$F$2:$F$" &amp; CountsForFormulas!$D$3 &amp; ""),AccountSummary!P$3,INDIRECT("Accounts!$W$2:$W$"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""),"&lt;="&amp;180)/P45)</f>
        <v>0</v>
      </c>
      <c r="Q46" s="8">
        <f>IF(Q45=0,0,SUMIFS(INDIRECT("Accounts!$L$2:$L$"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""),"&lt;="&amp;180)/Q45)</f>
        <v>0</v>
      </c>
      <c r="R46" s="8">
        <f>IF(R45=0,0,SUMIFS(INDIRECT("Accounts!$L$2:$L$"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""),"&lt;="&amp;180)/R45)</f>
        <v>0</v>
      </c>
      <c r="S46" s="8">
        <f>IF(S45=0,0,SUMIFS(INDIRECT("Accounts!$L$2:$L$"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""),"&lt;="&amp;180)/S45)</f>
        <v>0</v>
      </c>
      <c r="T46" s="8">
        <f>IF(T45=0,0,SUMIFS(INDIRECT("Accounts!$L$2:$L$"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""),"&lt;="&amp;180)/T45)</f>
        <v>0</v>
      </c>
      <c r="U46" s="8">
        <f>IF(U45=0,0,SUMIFS(INDIRECT("Accounts!$L$2:$L$"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""),"&lt;="&amp;180)/U45)</f>
        <v>0</v>
      </c>
      <c r="V46" s="8">
        <f>IF(V45=0,0,SUMIFS(INDIRECT("Accounts!$L$2:$L$"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""),"&lt;="&amp;180)/V45)</f>
        <v>0</v>
      </c>
      <c r="W46" s="9">
        <f>IF(W45=0,0,SUMIFS(INDIRECT("Accounts!$L$2:$L$" &amp; CountsForFormulas!$D$3 &amp; ""),INDIRECT("Accounts!$F$2:$F$" &amp; CountsForFormulas!$D$3 &amp; ""),AccountSummary!W$3,INDIRECT("Accounts!$W$2:$W$"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""),"&lt;="&amp;180)/W45)</f>
        <v>0</v>
      </c>
    </row>
    <row r="47">
      <c r="A47" s="6" t="s">
        <v>32</v>
      </c>
      <c r="B47" s="17">
        <f>IF(B45=0,0,SUMIFS(INDIRECT("Accounts!$M$2:$M$" &amp; CountsForFormulas!$D$3 &amp; ""),INDIRECT("Accounts!$W$2:$W$"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""),"&lt;="&amp;180)/B45)</f>
        <v>0</v>
      </c>
      <c r="C47" s="8">
        <f>IF(C45=0,0,SUMIFS(INDIRECT("Accounts!$M$2:$M$"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""),"&lt;="&amp;180)/C45)</f>
        <v>0</v>
      </c>
      <c r="D47" s="8">
        <f>IF(D45=0,0,SUMIFS(INDIRECT("Accounts!$M$2:$M$"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""),"&lt;="&amp;180)/D45)</f>
        <v>0</v>
      </c>
      <c r="E47" s="8">
        <f>IF(E45=0,0,SUMIFS(INDIRECT("Accounts!$M$2:$M$"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""),"&lt;="&amp;180)/E45)</f>
        <v>0</v>
      </c>
      <c r="F47" s="8">
        <f>IF(F45=0,0,SUMIFS(INDIRECT("Accounts!$M$2:$M$"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""),"&lt;="&amp;180)/F45)</f>
        <v>0</v>
      </c>
      <c r="G47" s="8">
        <f>IF(G45=0,0,SUMIFS(INDIRECT("Accounts!$M$2:$M$"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""),"&lt;="&amp;180)/G45)</f>
        <v>0</v>
      </c>
      <c r="H47" s="8">
        <f>IF(H45=0,0,SUMIFS(INDIRECT("Accounts!$M$2:$M$"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""),"&lt;="&amp;180)/H45)</f>
        <v>0</v>
      </c>
      <c r="I47" s="9">
        <f>IF(I45=0,0,SUMIFS(INDIRECT("Accounts!$M$2:$M$" &amp; CountsForFormulas!$D$3 &amp; ""),INDIRECT("Accounts!$F$2:$F$" &amp; CountsForFormulas!$D$3 &amp; ""),AccountSummary!I$3,INDIRECT("Accounts!$W$2:$W$"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""),"&lt;="&amp;180)/I45)</f>
        <v>0</v>
      </c>
      <c r="J47" s="8">
        <f>IF(J45=0,0,SUMIFS(INDIRECT("Accounts!$M$2:$M$"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""),"&lt;="&amp;180)/J45)</f>
        <v>0</v>
      </c>
      <c r="K47" s="8">
        <f>IF(K45=0,0,SUMIFS(INDIRECT("Accounts!$M$2:$M$"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""),"&lt;="&amp;180)/K45)</f>
        <v>0</v>
      </c>
      <c r="L47" s="8">
        <f>IF(L45=0,0,SUMIFS(INDIRECT("Accounts!$M$2:$M$"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""),"&lt;="&amp;180)/L45)</f>
        <v>0</v>
      </c>
      <c r="M47" s="8">
        <f>IF(M45=0,0,SUMIFS(INDIRECT("Accounts!$M$2:$M$"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""),"&lt;="&amp;180)/M45)</f>
        <v>0</v>
      </c>
      <c r="N47" s="8">
        <f>IF(N45=0,0,SUMIFS(INDIRECT("Accounts!$M$2:$M$"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""),"&lt;="&amp;180)/N45)</f>
        <v>0</v>
      </c>
      <c r="O47" s="8">
        <f>IF(O45=0,0,SUMIFS(INDIRECT("Accounts!$M$2:$M$"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""),"&lt;="&amp;180)/O45)</f>
        <v>0</v>
      </c>
      <c r="P47" s="9">
        <f>IF(P45=0,0,SUMIFS(INDIRECT("Accounts!$M$2:$M$" &amp; CountsForFormulas!$D$3 &amp; ""),INDIRECT("Accounts!$F$2:$F$" &amp; CountsForFormulas!$D$3 &amp; ""),AccountSummary!P$3,INDIRECT("Accounts!$W$2:$W$"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""),"&lt;="&amp;180)/P45)</f>
        <v>0</v>
      </c>
      <c r="Q47" s="8">
        <f>IF(Q45=0,0,SUMIFS(INDIRECT("Accounts!$M$2:$M$"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""),"&lt;="&amp;180)/Q45)</f>
        <v>0</v>
      </c>
      <c r="R47" s="8">
        <f>IF(R45=0,0,SUMIFS(INDIRECT("Accounts!$M$2:$M$"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""),"&lt;="&amp;180)/R45)</f>
        <v>0</v>
      </c>
      <c r="S47" s="8">
        <f>IF(S45=0,0,SUMIFS(INDIRECT("Accounts!$M$2:$M$"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""),"&lt;="&amp;180)/S45)</f>
        <v>0</v>
      </c>
      <c r="T47" s="8">
        <f>IF(T45=0,0,SUMIFS(INDIRECT("Accounts!$M$2:$M$"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""),"&lt;="&amp;180)/T45)</f>
        <v>0</v>
      </c>
      <c r="U47" s="8">
        <f>IF(U45=0,0,SUMIFS(INDIRECT("Accounts!$M$2:$M$"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""),"&lt;="&amp;180)/U45)</f>
        <v>0</v>
      </c>
      <c r="V47" s="8">
        <f>IF(V45=0,0,SUMIFS(INDIRECT("Accounts!$M$2:$M$"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""),"&lt;="&amp;180)/V45)</f>
        <v>0</v>
      </c>
      <c r="W47" s="9">
        <f>IF(W45=0,0,SUMIFS(INDIRECT("Accounts!$M$2:$M$" &amp; CountsForFormulas!$D$3 &amp; ""),INDIRECT("Accounts!$F$2:$F$" &amp; CountsForFormulas!$D$3 &amp; ""),AccountSummary!W$3,INDIRECT("Accounts!$W$2:$W$"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""),"&lt;="&amp;180)/W45)</f>
        <v>0</v>
      </c>
    </row>
    <row r="48">
      <c r="A48" s="5" t="s">
        <v>33</v>
      </c>
      <c r="B48" s="14">
        <f ref="B48:W48" t="shared" si="14">IF(B45=0,0,B49/B45)</f>
        <v>0</v>
      </c>
      <c r="C48" s="22">
        <f t="shared" si="14"/>
        <v>0</v>
      </c>
      <c r="D48" s="22">
        <f t="shared" si="14"/>
        <v>0</v>
      </c>
      <c r="E48" s="22">
        <f t="shared" si="14"/>
        <v>0</v>
      </c>
      <c r="F48" s="22">
        <f t="shared" si="14"/>
        <v>0</v>
      </c>
      <c r="G48" s="22">
        <f t="shared" si="14"/>
        <v>0</v>
      </c>
      <c r="H48" s="22">
        <f t="shared" si="14"/>
        <v>0</v>
      </c>
      <c r="I48" s="10">
        <f t="shared" si="14"/>
        <v>0</v>
      </c>
      <c r="J48" s="22">
        <f t="shared" si="14"/>
        <v>0</v>
      </c>
      <c r="K48" s="22">
        <f t="shared" si="14"/>
        <v>0</v>
      </c>
      <c r="L48" s="22">
        <f t="shared" si="14"/>
        <v>0</v>
      </c>
      <c r="M48" s="22">
        <f t="shared" si="14"/>
        <v>0</v>
      </c>
      <c r="N48" s="22">
        <f t="shared" si="14"/>
        <v>0</v>
      </c>
      <c r="O48" s="22">
        <f t="shared" si="14"/>
        <v>0</v>
      </c>
      <c r="P48" s="10">
        <f t="shared" si="14"/>
        <v>0</v>
      </c>
      <c r="Q48" s="22">
        <f t="shared" si="14"/>
        <v>0</v>
      </c>
      <c r="R48" s="22">
        <f t="shared" si="14"/>
        <v>0</v>
      </c>
      <c r="S48" s="22">
        <f t="shared" si="14"/>
        <v>0</v>
      </c>
      <c r="T48" s="22">
        <f t="shared" si="14"/>
        <v>0</v>
      </c>
      <c r="U48" s="22">
        <f t="shared" si="14"/>
        <v>0</v>
      </c>
      <c r="V48" s="22">
        <f t="shared" si="14"/>
        <v>0</v>
      </c>
      <c r="W48" s="10">
        <f t="shared" si="14"/>
        <v>0</v>
      </c>
    </row>
    <row r="49">
      <c r="A49" s="5" t="s">
        <v>34</v>
      </c>
      <c r="B49" s="14">
        <f>I49+P49+W49</f>
        <v>0</v>
      </c>
      <c r="C49" s="22">
        <f>SUMIFS(INDIRECT("Accounts!$I$2:$I$"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D49" s="22">
        <f>SUMIFS(INDIRECT("Accounts!$I$2:$I$"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E49" s="22">
        <f>SUMIFS(INDIRECT("Accounts!$I$2:$I$"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F49" s="22">
        <f>SUMIFS(INDIRECT("Accounts!$I$2:$I$"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G49" s="22">
        <f>SUMIFS(INDIRECT("Accounts!$I$2:$I$"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H49" s="22">
        <f>SUMIFS(INDIRECT("Accounts!$I$2:$I$"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I49" s="10">
        <f>SUM(C49:H49)</f>
        <v>0</v>
      </c>
      <c r="J49" s="22">
        <f>SUMIFS(INDIRECT("Accounts!$I$2:$I$"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K49" s="22">
        <f>SUMIFS(INDIRECT("Accounts!$I$2:$I$"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L49" s="22">
        <f>SUMIFS(INDIRECT("Accounts!$I$2:$I$"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M49" s="22">
        <f>SUMIFS(INDIRECT("Accounts!$I$2:$I$"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N49" s="22">
        <f>SUMIFS(INDIRECT("Accounts!$I$2:$I$"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O49" s="22">
        <f>SUMIFS(INDIRECT("Accounts!$I$2:$I$"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P49" s="10">
        <f>SUM(J49:O49)</f>
        <v>0</v>
      </c>
      <c r="Q49" s="22">
        <f>SUMIFS(INDIRECT("Accounts!$I$2:$I$"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R49" s="22">
        <f>SUMIFS(INDIRECT("Accounts!$I$2:$I$"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S49" s="22">
        <f>SUMIFS(INDIRECT("Accounts!$I$2:$I$"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T49" s="22">
        <f>SUMIFS(INDIRECT("Accounts!$I$2:$I$"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U49" s="22">
        <f>SUMIFS(INDIRECT("Accounts!$I$2:$I$"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V49" s="22">
        <f>SUMIFS(INDIRECT("Accounts!$I$2:$I$"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</f>
        <v>0</v>
      </c>
      <c r="W49" s="10">
        <f>SUM(Q49:V49)</f>
        <v>0</v>
      </c>
    </row>
    <row r="50">
      <c r="A50" s="5" t="s">
        <v>38</v>
      </c>
      <c r="B50" s="14"/>
      <c r="C50" s="22"/>
      <c r="D50" s="22"/>
      <c r="E50" s="22"/>
      <c r="F50" s="22"/>
      <c r="G50" s="22"/>
      <c r="H50" s="22"/>
      <c r="I50" s="10"/>
      <c r="J50" s="22"/>
      <c r="K50" s="22"/>
      <c r="L50" s="22"/>
      <c r="M50" s="22"/>
      <c r="N50" s="22"/>
      <c r="O50" s="22"/>
      <c r="P50" s="10"/>
      <c r="Q50" s="22"/>
      <c r="R50" s="22"/>
      <c r="S50" s="22"/>
      <c r="T50" s="22"/>
      <c r="U50" s="22"/>
      <c r="V50" s="22"/>
      <c r="W50" s="10"/>
    </row>
    <row r="51">
      <c r="A51" s="5" t="s">
        <v>60</v>
      </c>
      <c r="B51" s="15">
        <f ref="B51:W51" t="shared" si="15">IF(B22=0,0,(B53+B54)/B22)</f>
        <v>1</v>
      </c>
      <c r="C51" s="12">
        <f t="shared" si="15"/>
        <v>0</v>
      </c>
      <c r="D51" s="12">
        <f t="shared" si="15"/>
        <v>0</v>
      </c>
      <c r="E51" s="12">
        <f t="shared" si="15"/>
        <v>0</v>
      </c>
      <c r="F51" s="12">
        <f t="shared" si="15"/>
        <v>0</v>
      </c>
      <c r="G51" s="12">
        <f t="shared" si="15"/>
        <v>0</v>
      </c>
      <c r="H51" s="12">
        <f t="shared" si="15"/>
        <v>0</v>
      </c>
      <c r="I51" s="24">
        <f t="shared" si="15"/>
        <v>0</v>
      </c>
      <c r="J51" s="12">
        <f t="shared" si="15"/>
        <v>0</v>
      </c>
      <c r="K51" s="12">
        <f t="shared" si="15"/>
        <v>0</v>
      </c>
      <c r="L51" s="12">
        <f t="shared" si="15"/>
        <v>0</v>
      </c>
      <c r="M51" s="12">
        <f t="shared" si="15"/>
        <v>0</v>
      </c>
      <c r="N51" s="12">
        <f t="shared" si="15"/>
        <v>0</v>
      </c>
      <c r="O51" s="12">
        <f t="shared" si="15"/>
        <v>0</v>
      </c>
      <c r="P51" s="24">
        <f t="shared" si="15"/>
        <v>0</v>
      </c>
      <c r="Q51" s="12">
        <f t="shared" si="15"/>
        <v>0</v>
      </c>
      <c r="R51" s="12">
        <f t="shared" si="15"/>
        <v>1</v>
      </c>
      <c r="S51" s="12">
        <f t="shared" si="15"/>
        <v>0</v>
      </c>
      <c r="T51" s="12">
        <f t="shared" si="15"/>
        <v>0</v>
      </c>
      <c r="U51" s="12">
        <f t="shared" si="15"/>
        <v>0</v>
      </c>
      <c r="V51" s="12">
        <f t="shared" si="15"/>
        <v>0</v>
      </c>
      <c r="W51" s="24">
        <f t="shared" si="15"/>
        <v>1</v>
      </c>
    </row>
    <row r="52">
      <c r="A52" s="5" t="s">
        <v>28</v>
      </c>
      <c r="B52" s="15">
        <f ref="B52:W52" t="shared" si="16">IF((B53+B54)=0,0,B53/(B53+B54))</f>
        <v>0</v>
      </c>
      <c r="C52" s="12">
        <f t="shared" si="16"/>
        <v>0</v>
      </c>
      <c r="D52" s="12">
        <f t="shared" si="16"/>
        <v>0</v>
      </c>
      <c r="E52" s="12">
        <f t="shared" si="16"/>
        <v>0</v>
      </c>
      <c r="F52" s="12">
        <f t="shared" si="16"/>
        <v>0</v>
      </c>
      <c r="G52" s="12">
        <f t="shared" si="16"/>
        <v>0</v>
      </c>
      <c r="H52" s="12">
        <f t="shared" si="16"/>
        <v>0</v>
      </c>
      <c r="I52" s="24">
        <f t="shared" si="16"/>
        <v>0</v>
      </c>
      <c r="J52" s="12">
        <f t="shared" si="16"/>
        <v>0</v>
      </c>
      <c r="K52" s="12">
        <f t="shared" si="16"/>
        <v>0</v>
      </c>
      <c r="L52" s="12">
        <f t="shared" si="16"/>
        <v>0</v>
      </c>
      <c r="M52" s="12">
        <f t="shared" si="16"/>
        <v>0</v>
      </c>
      <c r="N52" s="12">
        <f t="shared" si="16"/>
        <v>0</v>
      </c>
      <c r="O52" s="12">
        <f t="shared" si="16"/>
        <v>0</v>
      </c>
      <c r="P52" s="24">
        <f t="shared" si="16"/>
        <v>0</v>
      </c>
      <c r="Q52" s="12">
        <f t="shared" si="16"/>
        <v>0</v>
      </c>
      <c r="R52" s="12">
        <f t="shared" si="16"/>
        <v>0</v>
      </c>
      <c r="S52" s="12">
        <f t="shared" si="16"/>
        <v>0</v>
      </c>
      <c r="T52" s="12">
        <f t="shared" si="16"/>
        <v>0</v>
      </c>
      <c r="U52" s="12">
        <f t="shared" si="16"/>
        <v>0</v>
      </c>
      <c r="V52" s="12">
        <f t="shared" si="16"/>
        <v>0</v>
      </c>
      <c r="W52" s="24">
        <f t="shared" si="16"/>
        <v>0</v>
      </c>
    </row>
    <row r="53">
      <c r="A53" s="5" t="s">
        <v>29</v>
      </c>
      <c r="B53" s="13">
        <f>I53+P53+W53</f>
        <v>0</v>
      </c>
      <c r="C53" s="0">
        <f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D53" s="0">
        <f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E53" s="0">
        <f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F53" s="0">
        <f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G53" s="0">
        <f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H53" s="0">
        <f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I53" s="19">
        <f>SUM(C53:H53)</f>
        <v>0</v>
      </c>
      <c r="J53" s="0">
        <f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K53" s="0">
        <f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L53" s="0">
        <f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M53" s="0">
        <f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N53" s="0">
        <f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O53" s="0">
        <f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P53" s="19">
        <f>SUM(J53:O53)</f>
        <v>0</v>
      </c>
      <c r="Q53" s="0">
        <f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R53" s="0">
        <f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S53" s="0">
        <f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T53" s="0">
        <f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U53" s="0">
        <f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V53" s="0">
        <f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""),"Monthly",INDIRECT("Accounts!$C$2:$C$" &amp; CountsForFormulas!$D$3 &amp; ""),"Lost",INDIRECT("Accounts!$H$2:$H$" &amp; CountsForFormulas!$D$3 &amp; ""),"&gt;"&amp;180)</f>
        <v>0</v>
      </c>
      <c r="W53" s="19">
        <f>SUM(Q53:V53)</f>
        <v>0</v>
      </c>
    </row>
    <row r="54">
      <c r="A54" s="5" t="s">
        <v>30</v>
      </c>
      <c r="B54" s="13">
        <f>I54+P54+W54</f>
        <v>1</v>
      </c>
      <c r="C54" s="0">
        <f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D54" s="0">
        <f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E54" s="0">
        <f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F54" s="0">
        <f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G54" s="0">
        <f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H54" s="0">
        <f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I54" s="19">
        <f>SUM(C54:H54)</f>
        <v>0</v>
      </c>
      <c r="J54" s="0">
        <f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K54" s="0">
        <f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L54" s="0">
        <f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M54" s="0">
        <f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N54" s="0">
        <f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O54" s="0">
        <f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P54" s="19">
        <f>SUM(J54:O54)</f>
        <v>0</v>
      </c>
      <c r="Q54" s="0">
        <f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R54" s="0">
        <f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1</v>
      </c>
      <c r="S54" s="0">
        <f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T54" s="0">
        <f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U54" s="0">
        <f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V54" s="0">
        <f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W54" s="19">
        <f>SUM(Q54:V54)</f>
        <v>1</v>
      </c>
    </row>
    <row r="55">
      <c r="A55" s="6" t="s">
        <v>31</v>
      </c>
      <c r="B55" s="17">
        <f>IF(B54=0,0,SUMIFS(INDIRECT("Accounts!$L$2:$L$" &amp; CountsForFormulas!$D$3 &amp; ""),INDIRECT("Accounts!$W$2:$W$"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""),"&gt;"&amp;180)/B54)</f>
        <v>3</v>
      </c>
      <c r="C55" s="8">
        <f>IF(C54=0,0,SUMIFS(INDIRECT("Accounts!$L$2:$L$"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""),"&gt;"&amp;180)/C54)</f>
        <v>0</v>
      </c>
      <c r="D55" s="8">
        <f>IF(D54=0,0,SUMIFS(INDIRECT("Accounts!$L$2:$L$"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""),"&gt;"&amp;180)/D54)</f>
        <v>0</v>
      </c>
      <c r="E55" s="8">
        <f>IF(E54=0,0,SUMIFS(INDIRECT("Accounts!$L$2:$L$"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""),"&gt;"&amp;180)/E54)</f>
        <v>0</v>
      </c>
      <c r="F55" s="8">
        <f>IF(F54=0,0,SUMIFS(INDIRECT("Accounts!$L$2:$L$"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""),"&gt;"&amp;180)/F54)</f>
        <v>0</v>
      </c>
      <c r="G55" s="8">
        <f>IF(G54=0,0,SUMIFS(INDIRECT("Accounts!$L$2:$L$"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""),"&gt;"&amp;180)/G54)</f>
        <v>0</v>
      </c>
      <c r="H55" s="8">
        <f>IF(H54=0,0,SUMIFS(INDIRECT("Accounts!$L$2:$L$"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""),"&gt;"&amp;180)/H54)</f>
        <v>0</v>
      </c>
      <c r="I55" s="9">
        <f>IF(I54=0,0,SUMIFS(INDIRECT("Accounts!$L$2:$L$" &amp; CountsForFormulas!$D$3 &amp; ""),INDIRECT("Accounts!$F$2:$F$" &amp; CountsForFormulas!$D$3 &amp; ""),AccountSummary!I$3,INDIRECT("Accounts!$W$2:$W$"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""),"&lt;="&amp;180)/I54)</f>
        <v>0</v>
      </c>
      <c r="J55" s="8">
        <f>IF(J54=0,0,SUMIFS(INDIRECT("Accounts!$L$2:$L$"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""),"&gt;"&amp;180)/J54)</f>
        <v>0</v>
      </c>
      <c r="K55" s="8">
        <f>IF(K54=0,0,SUMIFS(INDIRECT("Accounts!$L$2:$L$"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""),"&gt;"&amp;180)/K54)</f>
        <v>0</v>
      </c>
      <c r="L55" s="8">
        <f>IF(L54=0,0,SUMIFS(INDIRECT("Accounts!$L$2:$L$"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""),"&gt;"&amp;180)/L54)</f>
        <v>0</v>
      </c>
      <c r="M55" s="8">
        <f>IF(M54=0,0,SUMIFS(INDIRECT("Accounts!$L$2:$L$"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""),"&gt;"&amp;180)/M54)</f>
        <v>0</v>
      </c>
      <c r="N55" s="8">
        <f>IF(N54=0,0,SUMIFS(INDIRECT("Accounts!$L$2:$L$"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""),"&gt;"&amp;180)/N54)</f>
        <v>0</v>
      </c>
      <c r="O55" s="8">
        <f>IF(O54=0,0,SUMIFS(INDIRECT("Accounts!$L$2:$L$"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""),"&gt;"&amp;180)/O54)</f>
        <v>0</v>
      </c>
      <c r="P55" s="9">
        <f>IF(P54=0,0,SUMIFS(INDIRECT("Accounts!$L$2:$L$" &amp; CountsForFormulas!$D$3 &amp; ""),INDIRECT("Accounts!$F$2:$F$" &amp; CountsForFormulas!$D$3 &amp; ""),AccountSummary!P$3,INDIRECT("Accounts!$W$2:$W$"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""),"&lt;="&amp;180)/P54)</f>
        <v>0</v>
      </c>
      <c r="Q55" s="8">
        <f>IF(Q54=0,0,SUMIFS(INDIRECT("Accounts!$L$2:$L$"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""),"&gt;"&amp;180)/Q54)</f>
        <v>0</v>
      </c>
      <c r="R55" s="8">
        <f>IF(R54=0,0,SUMIFS(INDIRECT("Accounts!$L$2:$L$"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""),"&gt;"&amp;180)/R54)</f>
        <v>3</v>
      </c>
      <c r="S55" s="8">
        <f>IF(S54=0,0,SUMIFS(INDIRECT("Accounts!$L$2:$L$"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""),"&gt;"&amp;180)/S54)</f>
        <v>0</v>
      </c>
      <c r="T55" s="8">
        <f>IF(T54=0,0,SUMIFS(INDIRECT("Accounts!$L$2:$L$"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""),"&gt;"&amp;180)/T54)</f>
        <v>0</v>
      </c>
      <c r="U55" s="8">
        <f>IF(U54=0,0,SUMIFS(INDIRECT("Accounts!$L$2:$L$"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""),"&gt;"&amp;180)/U54)</f>
        <v>0</v>
      </c>
      <c r="V55" s="8">
        <f>IF(V54=0,0,SUMIFS(INDIRECT("Accounts!$L$2:$L$"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""),"&gt;"&amp;180)/V54)</f>
        <v>0</v>
      </c>
      <c r="W55" s="9">
        <f>IF(W54=0,0,SUMIFS(INDIRECT("Accounts!$L$2:$L$" &amp; CountsForFormulas!$D$3 &amp; ""),INDIRECT("Accounts!$F$2:$F$" &amp; CountsForFormulas!$D$3 &amp; ""),AccountSummary!W$3,INDIRECT("Accounts!$W$2:$W$"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""),"&gt;"&amp;180)/W54)</f>
        <v>3</v>
      </c>
    </row>
    <row r="56">
      <c r="A56" s="6" t="s">
        <v>32</v>
      </c>
      <c r="B56" s="17">
        <f>IF(B54=0,0,SUMIFS(INDIRECT("Accounts!$M$2:$M$" &amp; CountsForFormulas!$D$3 &amp; ""),INDIRECT("Accounts!$W$2:$W$"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""),"&gt;"&amp;180)/B54)</f>
        <v>2</v>
      </c>
      <c r="C56" s="8">
        <f>IF(C54=0,0,SUMIFS(INDIRECT("Accounts!$M$2:$M$"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""),"&gt;"&amp;180)/C54)</f>
        <v>0</v>
      </c>
      <c r="D56" s="8">
        <f>IF(D54=0,0,SUMIFS(INDIRECT("Accounts!$M$2:$M$"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""),"&gt;"&amp;180)/D54)</f>
        <v>0</v>
      </c>
      <c r="E56" s="8">
        <f>IF(E54=0,0,SUMIFS(INDIRECT("Accounts!$M$2:$M$"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""),"&gt;"&amp;180)/E54)</f>
        <v>0</v>
      </c>
      <c r="F56" s="8">
        <f>IF(F54=0,0,SUMIFS(INDIRECT("Accounts!$M$2:$M$"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""),"&gt;"&amp;180)/F54)</f>
        <v>0</v>
      </c>
      <c r="G56" s="8">
        <f>IF(G54=0,0,SUMIFS(INDIRECT("Accounts!$M$2:$M$"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""),"&gt;"&amp;180)/G54)</f>
        <v>0</v>
      </c>
      <c r="H56" s="8">
        <f>IF(H54=0,0,SUMIFS(INDIRECT("Accounts!$M$2:$M$"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""),"&gt;"&amp;180)/H54)</f>
        <v>0</v>
      </c>
      <c r="I56" s="9">
        <f>IF(I54=0,0,SUMIFS(INDIRECT("Accounts!$M$2:$M$" &amp; CountsForFormulas!$D$3 &amp; ""),INDIRECT("Accounts!$F$2:$F$" &amp; CountsForFormulas!$D$3 &amp; ""),AccountSummary!I$3,INDIRECT("Accounts!$W$2:$W$"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""),"&lt;="&amp;180)/I54)</f>
        <v>0</v>
      </c>
      <c r="J56" s="8">
        <f>IF(J54=0,0,SUMIFS(INDIRECT("Accounts!$M$2:$M$"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""),"&gt;"&amp;180)/J54)</f>
        <v>0</v>
      </c>
      <c r="K56" s="8">
        <f>IF(K54=0,0,SUMIFS(INDIRECT("Accounts!$M$2:$M$"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""),"&gt;"&amp;180)/K54)</f>
        <v>0</v>
      </c>
      <c r="L56" s="8">
        <f>IF(L54=0,0,SUMIFS(INDIRECT("Accounts!$M$2:$M$"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""),"&gt;"&amp;180)/L54)</f>
        <v>0</v>
      </c>
      <c r="M56" s="8">
        <f>IF(M54=0,0,SUMIFS(INDIRECT("Accounts!$M$2:$M$"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""),"&gt;"&amp;180)/M54)</f>
        <v>0</v>
      </c>
      <c r="N56" s="8">
        <f>IF(N54=0,0,SUMIFS(INDIRECT("Accounts!$M$2:$M$"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""),"&gt;"&amp;180)/N54)</f>
        <v>0</v>
      </c>
      <c r="O56" s="8">
        <f>IF(O54=0,0,SUMIFS(INDIRECT("Accounts!$M$2:$M$"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""),"&gt;"&amp;180)/O54)</f>
        <v>0</v>
      </c>
      <c r="P56" s="9">
        <f>IF(P54=0,0,SUMIFS(INDIRECT("Accounts!$M$2:$M$" &amp; CountsForFormulas!$D$3 &amp; ""),INDIRECT("Accounts!$F$2:$F$" &amp; CountsForFormulas!$D$3 &amp; ""),AccountSummary!P$3,INDIRECT("Accounts!$W$2:$W$"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""),"&gt;"&amp;60,INDIRECT("Accounts!$H$2:$H$" &amp; CountsForFormulas!$D$3 &amp; ""),"&lt;="&amp;180)/P54)</f>
        <v>0</v>
      </c>
      <c r="Q56" s="8">
        <f>IF(Q54=0,0,SUMIFS(INDIRECT("Accounts!$M$2:$M$"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""),"&gt;"&amp;180)/Q54)</f>
        <v>0</v>
      </c>
      <c r="R56" s="8">
        <f>IF(R54=0,0,SUMIFS(INDIRECT("Accounts!$M$2:$M$"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""),"&gt;"&amp;180)/R54)</f>
        <v>2</v>
      </c>
      <c r="S56" s="8">
        <f>IF(S54=0,0,SUMIFS(INDIRECT("Accounts!$M$2:$M$"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""),"&gt;"&amp;180)/S54)</f>
        <v>0</v>
      </c>
      <c r="T56" s="8">
        <f>IF(T54=0,0,SUMIFS(INDIRECT("Accounts!$M$2:$M$"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""),"&gt;"&amp;180)/T54)</f>
        <v>0</v>
      </c>
      <c r="U56" s="8">
        <f>IF(U54=0,0,SUMIFS(INDIRECT("Accounts!$M$2:$M$"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""),"&gt;"&amp;180)/U54)</f>
        <v>0</v>
      </c>
      <c r="V56" s="8">
        <f>IF(V54=0,0,SUMIFS(INDIRECT("Accounts!$M$2:$M$"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""),"&gt;"&amp;180)/V54)</f>
        <v>0</v>
      </c>
      <c r="W56" s="9">
        <f>IF(W54=0,0,SUMIFS(INDIRECT("Accounts!$M$2:$M$" &amp; CountsForFormulas!$D$3 &amp; ""),INDIRECT("Accounts!$F$2:$F$" &amp; CountsForFormulas!$D$3 &amp; ""),AccountSummary!W$3,INDIRECT("Accounts!$W$2:$W$" &amp; CountsForFormulas!$D$3 &amp; ""),0,INDIRECT("Accounts!$C$2:$C$" &amp; CountsForFormulas!$D$3 &amp; ""),"Customer",INDIRECT("Accounts!$D$2:$D$" &amp; CountsForFormulas!$D$3 &amp; ""),"Monthly",INDIRECT("Accounts!$H$2:$H$" &amp; CountsForFormulas!$D$3 &amp; ""),"&gt;"&amp;180)/W54)</f>
        <v>2</v>
      </c>
    </row>
    <row r="57">
      <c r="A57" s="5" t="s">
        <v>33</v>
      </c>
      <c r="B57" s="14">
        <f ref="B57:W57" t="shared" si="17">IF(B54=0,0,B58/B54)</f>
        <v>0</v>
      </c>
      <c r="C57" s="22">
        <f t="shared" si="17"/>
        <v>0</v>
      </c>
      <c r="D57" s="22">
        <f t="shared" si="17"/>
        <v>0</v>
      </c>
      <c r="E57" s="22">
        <f t="shared" si="17"/>
        <v>0</v>
      </c>
      <c r="F57" s="22">
        <f t="shared" si="17"/>
        <v>0</v>
      </c>
      <c r="G57" s="22">
        <f t="shared" si="17"/>
        <v>0</v>
      </c>
      <c r="H57" s="22">
        <f t="shared" si="17"/>
        <v>0</v>
      </c>
      <c r="I57" s="10">
        <f t="shared" si="17"/>
        <v>0</v>
      </c>
      <c r="J57" s="22">
        <f t="shared" si="17"/>
        <v>0</v>
      </c>
      <c r="K57" s="22">
        <f t="shared" si="17"/>
        <v>0</v>
      </c>
      <c r="L57" s="22">
        <f t="shared" si="17"/>
        <v>0</v>
      </c>
      <c r="M57" s="22">
        <f t="shared" si="17"/>
        <v>0</v>
      </c>
      <c r="N57" s="22">
        <f t="shared" si="17"/>
        <v>0</v>
      </c>
      <c r="O57" s="22">
        <f t="shared" si="17"/>
        <v>0</v>
      </c>
      <c r="P57" s="10">
        <f t="shared" si="17"/>
        <v>0</v>
      </c>
      <c r="Q57" s="22">
        <f t="shared" si="17"/>
        <v>0</v>
      </c>
      <c r="R57" s="22">
        <f t="shared" si="17"/>
        <v>0</v>
      </c>
      <c r="S57" s="22">
        <f t="shared" si="17"/>
        <v>0</v>
      </c>
      <c r="T57" s="22">
        <f t="shared" si="17"/>
        <v>0</v>
      </c>
      <c r="U57" s="22">
        <f t="shared" si="17"/>
        <v>0</v>
      </c>
      <c r="V57" s="22">
        <f t="shared" si="17"/>
        <v>0</v>
      </c>
      <c r="W57" s="10">
        <f t="shared" si="17"/>
        <v>0</v>
      </c>
    </row>
    <row r="58">
      <c r="A58" s="5" t="s">
        <v>34</v>
      </c>
      <c r="B58" s="14">
        <f>I58+P58+W58</f>
        <v>0</v>
      </c>
      <c r="C58" s="22">
        <f>SUMIFS(INDIRECT("Accounts!$I$2:$I$"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D58" s="22">
        <f>SUMIFS(INDIRECT("Accounts!$I$2:$I$"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E58" s="22">
        <f>SUMIFS(INDIRECT("Accounts!$I$2:$I$"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F58" s="22">
        <f>SUMIFS(INDIRECT("Accounts!$I$2:$I$"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G58" s="22">
        <f>SUMIFS(INDIRECT("Accounts!$I$2:$I$"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H58" s="22">
        <f>SUMIFS(INDIRECT("Accounts!$I$2:$I$"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I58" s="10">
        <f>SUM(C58:H58)</f>
        <v>0</v>
      </c>
      <c r="J58" s="22">
        <f>SUMIFS(INDIRECT("Accounts!$I$2:$I$"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K58" s="22">
        <f>SUMIFS(INDIRECT("Accounts!$I$2:$I$"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L58" s="22">
        <f>SUMIFS(INDIRECT("Accounts!$I$2:$I$"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M58" s="22">
        <f>SUMIFS(INDIRECT("Accounts!$I$2:$I$"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N58" s="22">
        <f>SUMIFS(INDIRECT("Accounts!$I$2:$I$"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O58" s="22">
        <f>SUMIFS(INDIRECT("Accounts!$I$2:$I$"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P58" s="10">
        <f>SUM(J58:O58)</f>
        <v>0</v>
      </c>
      <c r="Q58" s="22">
        <f>SUMIFS(INDIRECT("Accounts!$I$2:$I$"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R58" s="22">
        <f>SUMIFS(INDIRECT("Accounts!$I$2:$I$"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S58" s="22">
        <f>SUMIFS(INDIRECT("Accounts!$I$2:$I$"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T58" s="22">
        <f>SUMIFS(INDIRECT("Accounts!$I$2:$I$"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U58" s="22">
        <f>SUMIFS(INDIRECT("Accounts!$I$2:$I$"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V58" s="22">
        <f>SUMIFS(INDIRECT("Accounts!$I$2:$I$"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""),"Monthly",INDIRECT("Accounts!$C$2:$C$" &amp; CountsForFormulas!$D$3 &amp; ""),"Customer",INDIRECT("Accounts!$H$2:$H$" &amp; CountsForFormulas!$D$3 &amp; ""),"&gt;"&amp;180)</f>
        <v>0</v>
      </c>
      <c r="W58" s="10">
        <f>SUM(Q58:V58)</f>
        <v>0</v>
      </c>
    </row>
    <row r="59">
      <c r="A59" s="5" t="s">
        <v>62</v>
      </c>
      <c r="B59" s="13">
        <f>I59+P59+W59</f>
        <v>0</v>
      </c>
      <c r="C59" s="0">
        <f ref="C59:H60" t="shared" si="18">C26+C35+C44+C53</f>
        <v>0</v>
      </c>
      <c r="D59" s="0">
        <f t="shared" si="18"/>
        <v>0</v>
      </c>
      <c r="E59" s="0">
        <f t="shared" si="18"/>
        <v>0</v>
      </c>
      <c r="F59" s="0">
        <f t="shared" si="18"/>
        <v>0</v>
      </c>
      <c r="G59" s="0">
        <f t="shared" si="18"/>
        <v>0</v>
      </c>
      <c r="H59" s="0">
        <f t="shared" si="18"/>
        <v>0</v>
      </c>
      <c r="I59" s="19">
        <f>SUM(C59:H59)</f>
        <v>0</v>
      </c>
      <c r="J59" s="0">
        <f ref="J59:O60" t="shared" si="19">J26+J35+J44+J53</f>
        <v>0</v>
      </c>
      <c r="K59" s="0">
        <f t="shared" si="19"/>
        <v>0</v>
      </c>
      <c r="L59" s="0">
        <f t="shared" si="19"/>
        <v>0</v>
      </c>
      <c r="M59" s="0">
        <f t="shared" si="19"/>
        <v>0</v>
      </c>
      <c r="N59" s="0">
        <f t="shared" si="19"/>
        <v>0</v>
      </c>
      <c r="O59" s="0">
        <f t="shared" si="19"/>
        <v>0</v>
      </c>
      <c r="P59" s="19">
        <f>SUM(J59:O59)</f>
        <v>0</v>
      </c>
      <c r="Q59" s="0">
        <f ref="Q59:V60" t="shared" si="20">Q26+Q35+Q44+Q53</f>
        <v>0</v>
      </c>
      <c r="R59" s="0">
        <f t="shared" si="20"/>
        <v>0</v>
      </c>
      <c r="S59" s="0">
        <f t="shared" si="20"/>
        <v>0</v>
      </c>
      <c r="T59" s="0">
        <f t="shared" si="20"/>
        <v>0</v>
      </c>
      <c r="U59" s="0">
        <f t="shared" si="20"/>
        <v>0</v>
      </c>
      <c r="V59" s="0">
        <f t="shared" si="20"/>
        <v>0</v>
      </c>
      <c r="W59" s="19">
        <f>SUM(Q59:V59)</f>
        <v>0</v>
      </c>
    </row>
    <row r="60">
      <c r="A60" s="5" t="s">
        <v>63</v>
      </c>
      <c r="B60" s="13">
        <f>I60+P60+W60</f>
        <v>1</v>
      </c>
      <c r="C60" s="0">
        <f t="shared" si="18"/>
        <v>0</v>
      </c>
      <c r="D60" s="0">
        <f t="shared" si="18"/>
        <v>0</v>
      </c>
      <c r="E60" s="0">
        <f t="shared" si="18"/>
        <v>0</v>
      </c>
      <c r="F60" s="0">
        <f t="shared" si="18"/>
        <v>0</v>
      </c>
      <c r="G60" s="0">
        <f t="shared" si="18"/>
        <v>0</v>
      </c>
      <c r="H60" s="0">
        <f t="shared" si="18"/>
        <v>0</v>
      </c>
      <c r="I60" s="19">
        <f>SUM(C60:H60)</f>
        <v>0</v>
      </c>
      <c r="J60" s="0">
        <f t="shared" si="19"/>
        <v>0</v>
      </c>
      <c r="K60" s="0">
        <f t="shared" si="19"/>
        <v>0</v>
      </c>
      <c r="L60" s="0">
        <f t="shared" si="19"/>
        <v>0</v>
      </c>
      <c r="M60" s="0">
        <f t="shared" si="19"/>
        <v>0</v>
      </c>
      <c r="N60" s="0">
        <f t="shared" si="19"/>
        <v>0</v>
      </c>
      <c r="O60" s="0">
        <f t="shared" si="19"/>
        <v>0</v>
      </c>
      <c r="P60" s="19">
        <f>SUM(J60:O60)</f>
        <v>0</v>
      </c>
      <c r="Q60" s="0">
        <f t="shared" si="20"/>
        <v>0</v>
      </c>
      <c r="R60" s="0">
        <f t="shared" si="20"/>
        <v>1</v>
      </c>
      <c r="S60" s="0">
        <f t="shared" si="20"/>
        <v>0</v>
      </c>
      <c r="T60" s="0">
        <f t="shared" si="20"/>
        <v>0</v>
      </c>
      <c r="U60" s="0">
        <f t="shared" si="20"/>
        <v>0</v>
      </c>
      <c r="V60" s="0">
        <f t="shared" si="20"/>
        <v>0</v>
      </c>
      <c r="W60" s="19">
        <f>SUM(Q60:V60)</f>
        <v>1</v>
      </c>
    </row>
    <row r="61">
      <c r="A61" s="11" t="s">
        <v>64</v>
      </c>
      <c r="B61" s="14">
        <f>I61+P61+W61</f>
        <v>0</v>
      </c>
      <c r="C61" s="22">
        <f ref="C61:H61" t="shared" si="21">C31+C40+C49+C58</f>
        <v>0</v>
      </c>
      <c r="D61" s="22">
        <f t="shared" si="21"/>
        <v>0</v>
      </c>
      <c r="E61" s="22">
        <f t="shared" si="21"/>
        <v>0</v>
      </c>
      <c r="F61" s="22">
        <f t="shared" si="21"/>
        <v>0</v>
      </c>
      <c r="G61" s="22">
        <f t="shared" si="21"/>
        <v>0</v>
      </c>
      <c r="H61" s="22">
        <f t="shared" si="21"/>
        <v>0</v>
      </c>
      <c r="I61" s="10">
        <f>SUM(C61:H61)</f>
        <v>0</v>
      </c>
      <c r="J61" s="22">
        <f ref="J61:O61" t="shared" si="22">J31+J40+J49+J58</f>
        <v>0</v>
      </c>
      <c r="K61" s="22">
        <f t="shared" si="22"/>
        <v>0</v>
      </c>
      <c r="L61" s="22">
        <f t="shared" si="22"/>
        <v>0</v>
      </c>
      <c r="M61" s="22">
        <f t="shared" si="22"/>
        <v>0</v>
      </c>
      <c r="N61" s="22">
        <f t="shared" si="22"/>
        <v>0</v>
      </c>
      <c r="O61" s="22">
        <f t="shared" si="22"/>
        <v>0</v>
      </c>
      <c r="P61" s="10">
        <f>SUM(J61:O61)</f>
        <v>0</v>
      </c>
      <c r="Q61" s="22">
        <f ref="Q61:V61" t="shared" si="23">Q31+Q40+Q49+Q58</f>
        <v>0</v>
      </c>
      <c r="R61" s="22">
        <f t="shared" si="23"/>
        <v>0</v>
      </c>
      <c r="S61" s="22">
        <f t="shared" si="23"/>
        <v>0</v>
      </c>
      <c r="T61" s="22">
        <f t="shared" si="23"/>
        <v>0</v>
      </c>
      <c r="U61" s="22">
        <f t="shared" si="23"/>
        <v>0</v>
      </c>
      <c r="V61" s="22">
        <f t="shared" si="23"/>
        <v>0</v>
      </c>
      <c r="W61" s="10">
        <f>SUM(Q61:V61)</f>
        <v>0</v>
      </c>
    </row>
    <row r="62">
      <c r="B62" s="13"/>
    </row>
    <row r="63">
      <c r="A63" s="5" t="s">
        <v>42</v>
      </c>
      <c r="B63" s="15">
        <f ref="B63:W63" t="shared" si="24">IF(B19=0,0,B64/B19)</f>
        <v>0</v>
      </c>
      <c r="C63" s="12">
        <f t="shared" si="24"/>
        <v>0</v>
      </c>
      <c r="D63" s="12">
        <f t="shared" si="24"/>
        <v>0</v>
      </c>
      <c r="E63" s="12">
        <f t="shared" si="24"/>
        <v>0</v>
      </c>
      <c r="F63" s="12">
        <f t="shared" si="24"/>
        <v>0</v>
      </c>
      <c r="G63" s="12">
        <f t="shared" si="24"/>
        <v>0</v>
      </c>
      <c r="H63" s="12">
        <f t="shared" si="24"/>
        <v>0</v>
      </c>
      <c r="I63" s="24">
        <f t="shared" si="24"/>
        <v>0</v>
      </c>
      <c r="J63" s="12">
        <f t="shared" si="24"/>
        <v>0</v>
      </c>
      <c r="K63" s="12">
        <f t="shared" si="24"/>
        <v>0</v>
      </c>
      <c r="L63" s="12">
        <f t="shared" si="24"/>
        <v>0</v>
      </c>
      <c r="M63" s="12">
        <f t="shared" si="24"/>
        <v>0</v>
      </c>
      <c r="N63" s="12">
        <f t="shared" si="24"/>
        <v>0</v>
      </c>
      <c r="O63" s="12">
        <f t="shared" si="24"/>
        <v>0</v>
      </c>
      <c r="P63" s="24">
        <f t="shared" si="24"/>
        <v>0</v>
      </c>
      <c r="Q63" s="23">
        <f t="shared" si="24"/>
        <v>0</v>
      </c>
      <c r="R63" s="23">
        <f t="shared" si="24"/>
        <v>0</v>
      </c>
      <c r="S63" s="23">
        <f t="shared" si="24"/>
        <v>0</v>
      </c>
      <c r="T63" s="23">
        <f t="shared" si="24"/>
        <v>0</v>
      </c>
      <c r="U63" s="23">
        <f t="shared" si="24"/>
        <v>0</v>
      </c>
      <c r="V63" s="23">
        <f t="shared" si="24"/>
        <v>0</v>
      </c>
      <c r="W63" s="24">
        <f t="shared" si="24"/>
        <v>0</v>
      </c>
    </row>
    <row r="64">
      <c r="A64" s="5" t="s">
        <v>43</v>
      </c>
      <c r="B64" s="13">
        <f>I64+P64+W64</f>
        <v>0</v>
      </c>
      <c r="C64" s="0">
        <f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""),"Prepay")</f>
        <v>0</v>
      </c>
      <c r="D64" s="0">
        <f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""),"Prepay")</f>
        <v>0</v>
      </c>
      <c r="E64" s="0">
        <f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""),"Prepay")</f>
        <v>0</v>
      </c>
      <c r="F64" s="0">
        <f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""),"Prepay")</f>
        <v>0</v>
      </c>
      <c r="G64" s="0">
        <f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""),"Prepay")</f>
        <v>0</v>
      </c>
      <c r="H64" s="0">
        <f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""),"Prepay")</f>
        <v>0</v>
      </c>
      <c r="I64" s="19">
        <f>SUM(C64:H64)</f>
        <v>0</v>
      </c>
      <c r="J64" s="0">
        <f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""),"Prepay")</f>
        <v>0</v>
      </c>
      <c r="K64" s="0">
        <f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""),"Prepay")</f>
        <v>0</v>
      </c>
      <c r="L64" s="0">
        <f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""),"Prepay")</f>
        <v>0</v>
      </c>
      <c r="M64" s="0">
        <f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""),"Prepay")</f>
        <v>0</v>
      </c>
      <c r="N64" s="0">
        <f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""),"Prepay")</f>
        <v>0</v>
      </c>
      <c r="O64" s="0">
        <f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""),"Prepay")</f>
        <v>0</v>
      </c>
      <c r="P64" s="19">
        <f>SUM(J64:O64)</f>
        <v>0</v>
      </c>
      <c r="Q64" s="0">
        <f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""),"Prepay")</f>
        <v>0</v>
      </c>
      <c r="R64" s="0">
        <f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""),"Prepay")</f>
        <v>0</v>
      </c>
      <c r="S64" s="0">
        <f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""),"Prepay")</f>
        <v>0</v>
      </c>
      <c r="T64" s="0">
        <f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""),"Prepay")</f>
        <v>0</v>
      </c>
      <c r="U64" s="0">
        <f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""),"Prepay")</f>
        <v>0</v>
      </c>
      <c r="V64" s="0">
        <f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""),"Prepay")</f>
        <v>0</v>
      </c>
      <c r="W64" s="19">
        <f>SUM(Q64:V64)</f>
        <v>0</v>
      </c>
    </row>
    <row r="65">
      <c r="A65" s="5" t="s">
        <v>44</v>
      </c>
      <c r="B65" s="15">
        <f ref="B65:W65" t="shared" si="25">IF(B64=0,0,B66/B64)</f>
        <v>0</v>
      </c>
      <c r="C65" s="12">
        <f t="shared" si="25"/>
        <v>0</v>
      </c>
      <c r="D65" s="12">
        <f t="shared" si="25"/>
        <v>0</v>
      </c>
      <c r="E65" s="12">
        <f t="shared" si="25"/>
        <v>0</v>
      </c>
      <c r="F65" s="12">
        <f t="shared" si="25"/>
        <v>0</v>
      </c>
      <c r="G65" s="12">
        <f t="shared" si="25"/>
        <v>0</v>
      </c>
      <c r="H65" s="12">
        <f t="shared" si="25"/>
        <v>0</v>
      </c>
      <c r="I65" s="24">
        <f t="shared" si="25"/>
        <v>0</v>
      </c>
      <c r="J65" s="12">
        <f t="shared" si="25"/>
        <v>0</v>
      </c>
      <c r="K65" s="12">
        <f t="shared" si="25"/>
        <v>0</v>
      </c>
      <c r="L65" s="12">
        <f t="shared" si="25"/>
        <v>0</v>
      </c>
      <c r="M65" s="12">
        <f t="shared" si="25"/>
        <v>0</v>
      </c>
      <c r="N65" s="12">
        <f t="shared" si="25"/>
        <v>0</v>
      </c>
      <c r="O65" s="12">
        <f t="shared" si="25"/>
        <v>0</v>
      </c>
      <c r="P65" s="24">
        <f t="shared" si="25"/>
        <v>0</v>
      </c>
      <c r="Q65" s="12">
        <f t="shared" si="25"/>
        <v>0</v>
      </c>
      <c r="R65" s="12">
        <f t="shared" si="25"/>
        <v>0</v>
      </c>
      <c r="S65" s="12">
        <f t="shared" si="25"/>
        <v>0</v>
      </c>
      <c r="T65" s="12">
        <f t="shared" si="25"/>
        <v>0</v>
      </c>
      <c r="U65" s="12">
        <f t="shared" si="25"/>
        <v>0</v>
      </c>
      <c r="V65" s="12">
        <f t="shared" si="25"/>
        <v>0</v>
      </c>
      <c r="W65" s="24">
        <f t="shared" si="25"/>
        <v>0</v>
      </c>
    </row>
    <row r="66">
      <c r="A66" s="5" t="s">
        <v>45</v>
      </c>
      <c r="B66" s="13">
        <f>I66+P66+W66</f>
        <v>0</v>
      </c>
      <c r="C66" s="0">
        <f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""),"Prepay",INDIRECT("Accounts!$C$2:$C$" &amp; CountsForFormulas!$D$3 &amp; ""),"Lost")</f>
        <v>0</v>
      </c>
      <c r="D66" s="0">
        <f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""),"Prepay",INDIRECT("Accounts!$C$2:$C$" &amp; CountsForFormulas!$D$3 &amp; ""),"Lost")</f>
        <v>0</v>
      </c>
      <c r="E66" s="0">
        <f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""),"Prepay",INDIRECT("Accounts!$C$2:$C$" &amp; CountsForFormulas!$D$3 &amp; ""),"Lost")</f>
        <v>0</v>
      </c>
      <c r="F66" s="0">
        <f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""),"Prepay",INDIRECT("Accounts!$C$2:$C$" &amp; CountsForFormulas!$D$3 &amp; ""),"Lost")</f>
        <v>0</v>
      </c>
      <c r="G66" s="0">
        <f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""),"Prepay",INDIRECT("Accounts!$C$2:$C$" &amp; CountsForFormulas!$D$3 &amp; ""),"Lost")</f>
        <v>0</v>
      </c>
      <c r="H66" s="0">
        <f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""),"Prepay",INDIRECT("Accounts!$C$2:$C$" &amp; CountsForFormulas!$D$3 &amp; ""),"Lost")</f>
        <v>0</v>
      </c>
      <c r="I66" s="19">
        <f>SUM(C66:H66)</f>
        <v>0</v>
      </c>
      <c r="J66" s="0">
        <f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""),"Prepay",INDIRECT("Accounts!$C$2:$C$" &amp; CountsForFormulas!$D$3 &amp; ""),"Lost")</f>
        <v>0</v>
      </c>
      <c r="K66" s="0">
        <f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""),"Prepay",INDIRECT("Accounts!$C$2:$C$" &amp; CountsForFormulas!$D$3 &amp; ""),"Lost")</f>
        <v>0</v>
      </c>
      <c r="L66" s="0">
        <f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""),"Prepay",INDIRECT("Accounts!$C$2:$C$" &amp; CountsForFormulas!$D$3 &amp; ""),"Lost")</f>
        <v>0</v>
      </c>
      <c r="M66" s="0">
        <f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""),"Prepay",INDIRECT("Accounts!$C$2:$C$" &amp; CountsForFormulas!$D$3 &amp; ""),"Lost")</f>
        <v>0</v>
      </c>
      <c r="N66" s="0">
        <f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""),"Prepay",INDIRECT("Accounts!$C$2:$C$" &amp; CountsForFormulas!$D$3 &amp; ""),"Lost")</f>
        <v>0</v>
      </c>
      <c r="O66" s="0">
        <f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""),"Prepay",INDIRECT("Accounts!$C$2:$C$" &amp; CountsForFormulas!$D$3 &amp; ""),"Lost")</f>
        <v>0</v>
      </c>
      <c r="P66" s="19">
        <f>SUM(J66:O66)</f>
        <v>0</v>
      </c>
      <c r="Q66" s="0">
        <f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""),"Prepay",INDIRECT("Accounts!$C$2:$C$" &amp; CountsForFormulas!$D$3 &amp; ""),"Lost")</f>
        <v>0</v>
      </c>
      <c r="R66" s="0">
        <f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""),"Prepay",INDIRECT("Accounts!$C$2:$C$" &amp; CountsForFormulas!$D$3 &amp; ""),"Lost")</f>
        <v>0</v>
      </c>
      <c r="S66" s="0">
        <f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""),"Prepay",INDIRECT("Accounts!$C$2:$C$" &amp; CountsForFormulas!$D$3 &amp; ""),"Lost")</f>
        <v>0</v>
      </c>
      <c r="T66" s="0">
        <f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""),"Prepay",INDIRECT("Accounts!$C$2:$C$" &amp; CountsForFormulas!$D$3 &amp; ""),"Lost")</f>
        <v>0</v>
      </c>
      <c r="U66" s="0">
        <f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""),"Prepay",INDIRECT("Accounts!$C$2:$C$" &amp; CountsForFormulas!$D$3 &amp; ""),"Lost")</f>
        <v>0</v>
      </c>
      <c r="V66" s="0">
        <f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""),"Prepay",INDIRECT("Accounts!$C$2:$C$" &amp; CountsForFormulas!$D$3 &amp; ""),"Lost")</f>
        <v>0</v>
      </c>
      <c r="W66" s="19">
        <f>SUM(Q66:V66)</f>
        <v>0</v>
      </c>
    </row>
    <row r="67">
      <c r="A67" s="5" t="s">
        <v>46</v>
      </c>
      <c r="B67" s="13">
        <f>I67+P67+W67</f>
        <v>0</v>
      </c>
      <c r="C67" s="0">
        <f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D67" s="0">
        <f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E67" s="0">
        <f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F67" s="0">
        <f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G67" s="0">
        <f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H67" s="0">
        <f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I67" s="19">
        <f>SUM(C67:H67)</f>
        <v>0</v>
      </c>
      <c r="J67" s="0">
        <f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K67" s="0">
        <f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L67" s="0">
        <f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M67" s="0">
        <f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N67" s="0">
        <f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O67" s="0">
        <f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P67" s="19">
        <f>SUM(J67:O67)</f>
        <v>0</v>
      </c>
      <c r="Q67" s="0">
        <f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R67" s="0">
        <f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S67" s="0">
        <f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T67" s="0">
        <f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U67" s="0">
        <f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V67" s="0">
        <f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""),"Customer",INDIRECT("Accounts!$D$2:$D$" &amp; CountsForFormulas!$D$3 &amp; ""),"Prepay",INDIRECT("Accounts!$C$2:$C$" &amp; CountsForFormulas!$D$3 &amp; ""),"Customer")</f>
        <v>0</v>
      </c>
      <c r="W67" s="19">
        <f>SUM(Q67:V67)</f>
        <v>0</v>
      </c>
    </row>
    <row r="68">
      <c r="A68" s="6" t="s">
        <v>16</v>
      </c>
      <c r="B68" s="17">
        <f>IF(B67=0,0,SUMIFS(INDIRECT("Accounts!$L$2:$L$" &amp; CountsForFormulas!$D$3 &amp; ""),INDIRECT("Accounts!$W$2:$W$" &amp; CountsForFormulas!$D$3 &amp; ""),0,INDIRECT("Accounts!$C$2:$C$" &amp; CountsForFormulas!$D$3 &amp; ""),"Customer",INDIRECT("Accounts!$D$2:$D$" &amp; CountsForFormulas!$D$3 &amp; ""),"Prepay")/B67)</f>
        <v>0</v>
      </c>
      <c r="C68" s="8">
        <f>IF(C67=0,0,SUMIFS(INDIRECT("Accounts!$L$2:$L$"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""),"Prepay")/C67)</f>
        <v>0</v>
      </c>
      <c r="D68" s="8">
        <f>IF(D67=0,0,SUMIFS(INDIRECT("Accounts!$L$2:$L$"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""),"Prepay")/D67)</f>
        <v>0</v>
      </c>
      <c r="E68" s="8">
        <f>IF(E67=0,0,SUMIFS(INDIRECT("Accounts!$L$2:$L$"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""),"Prepay")/E67)</f>
        <v>0</v>
      </c>
      <c r="F68" s="8">
        <f>IF(F67=0,0,SUMIFS(INDIRECT("Accounts!$L$2:$L$"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""),"Prepay")/F67)</f>
        <v>0</v>
      </c>
      <c r="G68" s="8">
        <f>IF(G67=0,0,SUMIFS(INDIRECT("Accounts!$L$2:$L$"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""),"Prepay")/G67)</f>
        <v>0</v>
      </c>
      <c r="H68" s="8">
        <f>IF(H67=0,0,SUMIFS(INDIRECT("Accounts!$L$2:$L$"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""),"Prepay")/H67)</f>
        <v>0</v>
      </c>
      <c r="I68" s="9">
        <f>IF(I67=0,0,SUMIFS(INDIRECT("Accounts!$L$2:$L$" &amp; CountsForFormulas!$D$3 &amp; ""),INDIRECT("Accounts!$F$2:$F$" &amp; CountsForFormulas!$D$3 &amp; ""),AccountSummary!I$3,INDIRECT("Accounts!$W$2:$W$" &amp; CountsForFormulas!$D$3 &amp; ""),0,INDIRECT("Accounts!$C$2:$C$" &amp; CountsForFormulas!$D$3 &amp; ""),"Customer",INDIRECT("Accounts!$D$2:$D$" &amp; CountsForFormulas!$D$3 &amp; ""),"Prepay")/I67)</f>
        <v>0</v>
      </c>
      <c r="J68" s="8">
        <f>IF(J67=0,0,SUMIFS(INDIRECT("Accounts!$L$2:$L$"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""),"Prepay")/J67)</f>
        <v>0</v>
      </c>
      <c r="K68" s="8">
        <f>IF(K67=0,0,SUMIFS(INDIRECT("Accounts!$L$2:$L$"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""),"Prepay")/K67)</f>
        <v>0</v>
      </c>
      <c r="L68" s="8">
        <f>IF(L67=0,0,SUMIFS(INDIRECT("Accounts!$L$2:$L$"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""),"Prepay")/L67)</f>
        <v>0</v>
      </c>
      <c r="M68" s="8">
        <f>IF(M67=0,0,SUMIFS(INDIRECT("Accounts!$L$2:$L$"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""),"Prepay")/M67)</f>
        <v>0</v>
      </c>
      <c r="N68" s="8">
        <f>IF(N67=0,0,SUMIFS(INDIRECT("Accounts!$L$2:$L$"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""),"Prepay")/N67)</f>
        <v>0</v>
      </c>
      <c r="O68" s="8">
        <f>IF(O67=0,0,SUMIFS(INDIRECT("Accounts!$L$2:$L$"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""),"Prepay")/O67)</f>
        <v>0</v>
      </c>
      <c r="P68" s="9">
        <f>IF(P67=0,0,SUMIFS(INDIRECT("Accounts!$L$2:$L$" &amp; CountsForFormulas!$D$3 &amp; ""),INDIRECT("Accounts!$F$2:$F$" &amp; CountsForFormulas!$D$3 &amp; ""),AccountSummary!P$3,INDIRECT("Accounts!$W$2:$W$" &amp; CountsForFormulas!$D$3 &amp; ""),0,INDIRECT("Accounts!$C$2:$C$" &amp; CountsForFormulas!$D$3 &amp; ""),"Customer",INDIRECT("Accounts!$D$2:$D$" &amp; CountsForFormulas!$D$3 &amp; ""),"Prepay")/P67)</f>
        <v>0</v>
      </c>
      <c r="Q68" s="8">
        <f>IF(Q67=0,0,SUMIFS(INDIRECT("Accounts!$L$2:$L$"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""),"Prepay")/Q67)</f>
        <v>0</v>
      </c>
      <c r="R68" s="8">
        <f>IF(R67=0,0,SUMIFS(INDIRECT("Accounts!$L$2:$L$"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""),"Prepay")/R67)</f>
        <v>0</v>
      </c>
      <c r="S68" s="8">
        <f>IF(S67=0,0,SUMIFS(INDIRECT("Accounts!$L$2:$L$"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""),"Prepay")/S67)</f>
        <v>0</v>
      </c>
      <c r="T68" s="8">
        <f>IF(T67=0,0,SUMIFS(INDIRECT("Accounts!$L$2:$L$"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""),"Prepay")/T67)</f>
        <v>0</v>
      </c>
      <c r="U68" s="8">
        <f>IF(U67=0,0,SUMIFS(INDIRECT("Accounts!$L$2:$L$"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""),"Prepay")/U67)</f>
        <v>0</v>
      </c>
      <c r="V68" s="8">
        <f>IF(V67=0,0,SUMIFS(INDIRECT("Accounts!$L$2:$L$"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""),"Prepay")/V67)</f>
        <v>0</v>
      </c>
      <c r="W68" s="9">
        <f>IF(W67=0,0,SUMIFS(INDIRECT("Accounts!$L$2:$L$" &amp; CountsForFormulas!$D$3 &amp; ""),INDIRECT("Accounts!$F$2:$F$" &amp; CountsForFormulas!$D$3 &amp; ""),AccountSummary!W$3,INDIRECT("Accounts!$W$2:$W$" &amp; CountsForFormulas!$D$3 &amp; ""),0,INDIRECT("Accounts!$C$2:$C$" &amp; CountsForFormulas!$D$3 &amp; ""),"Customer",INDIRECT("Accounts!$D$2:$D$" &amp; CountsForFormulas!$D$3 &amp; ""),"Prepay")/W67)</f>
        <v>0</v>
      </c>
    </row>
    <row r="69">
      <c r="A69" s="6" t="s">
        <v>17</v>
      </c>
      <c r="B69" s="17">
        <f>IF(B67=0,0,SUMIFS(INDIRECT("Accounts!$M$2:$M$" &amp; CountsForFormulas!$D$3 &amp; ""),INDIRECT("Accounts!$W$2:$W$" &amp; CountsForFormulas!$D$3 &amp; ""),0,INDIRECT("Accounts!$C$2:$C$" &amp; CountsForFormulas!$D$3 &amp; ""),"Customer",INDIRECT("Accounts!$D$2:$D$" &amp; CountsForFormulas!$D$3 &amp; ""),"Prepay")/B67)</f>
        <v>0</v>
      </c>
      <c r="C69" s="8">
        <f>IF(C67=0,0,SUMIFS(INDIRECT("Accounts!$M$2:$M$"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""),"Prepay")/C67)</f>
        <v>0</v>
      </c>
      <c r="D69" s="8">
        <f>IF(D67=0,0,SUMIFS(INDIRECT("Accounts!$M$2:$M$"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""),"Prepay")/D67)</f>
        <v>0</v>
      </c>
      <c r="E69" s="8">
        <f>IF(E67=0,0,SUMIFS(INDIRECT("Accounts!$M$2:$M$"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""),"Prepay")/E67)</f>
        <v>0</v>
      </c>
      <c r="F69" s="8">
        <f>IF(F67=0,0,SUMIFS(INDIRECT("Accounts!$M$2:$M$"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""),"Prepay")/F67)</f>
        <v>0</v>
      </c>
      <c r="G69" s="8">
        <f>IF(G67=0,0,SUMIFS(INDIRECT("Accounts!$M$2:$M$"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""),"Prepay")/G67)</f>
        <v>0</v>
      </c>
      <c r="H69" s="8">
        <f>IF(H67=0,0,SUMIFS(INDIRECT("Accounts!$M$2:$M$"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""),"Prepay")/H67)</f>
        <v>0</v>
      </c>
      <c r="I69" s="9">
        <f>IF(I67=0,0,SUMIFS(INDIRECT("Accounts!$M$2:$M$" &amp; CountsForFormulas!$D$3 &amp; ""),INDIRECT("Accounts!$F$2:$F$" &amp; CountsForFormulas!$D$3 &amp; ""),AccountSummary!I$3,INDIRECT("Accounts!$W$2:$W$" &amp; CountsForFormulas!$D$3 &amp; ""),0,INDIRECT("Accounts!$C$2:$C$" &amp; CountsForFormulas!$D$3 &amp; ""),"Customer",INDIRECT("Accounts!$D$2:$D$" &amp; CountsForFormulas!$D$3 &amp; ""),"Prepay")/I67)</f>
        <v>0</v>
      </c>
      <c r="J69" s="8">
        <f>IF(J67=0,0,SUMIFS(INDIRECT("Accounts!$M$2:$M$"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""),"Prepay")/J67)</f>
        <v>0</v>
      </c>
      <c r="K69" s="8">
        <f>IF(K67=0,0,SUMIFS(INDIRECT("Accounts!$M$2:$M$"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""),"Prepay")/K67)</f>
        <v>0</v>
      </c>
      <c r="L69" s="8">
        <f>IF(L67=0,0,SUMIFS(INDIRECT("Accounts!$M$2:$M$"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""),"Prepay")/L67)</f>
        <v>0</v>
      </c>
      <c r="M69" s="8">
        <f>IF(M67=0,0,SUMIFS(INDIRECT("Accounts!$M$2:$M$"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""),"Prepay")/M67)</f>
        <v>0</v>
      </c>
      <c r="N69" s="8">
        <f>IF(N67=0,0,SUMIFS(INDIRECT("Accounts!$M$2:$M$"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""),"Prepay")/N67)</f>
        <v>0</v>
      </c>
      <c r="O69" s="8">
        <f>IF(O67=0,0,SUMIFS(INDIRECT("Accounts!$M$2:$M$"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""),"Prepay")/O67)</f>
        <v>0</v>
      </c>
      <c r="P69" s="9">
        <f>IF(P67=0,0,SUMIFS(INDIRECT("Accounts!$M$2:$M$" &amp; CountsForFormulas!$D$3 &amp; ""),INDIRECT("Accounts!$F$2:$F$" &amp; CountsForFormulas!$D$3 &amp; ""),AccountSummary!P$3,INDIRECT("Accounts!$W$2:$W$" &amp; CountsForFormulas!$D$3 &amp; ""),0,INDIRECT("Accounts!$C$2:$C$" &amp; CountsForFormulas!$D$3 &amp; ""),"Customer",INDIRECT("Accounts!$D$2:$D$" &amp; CountsForFormulas!$D$3 &amp; ""),"Prepay")/P67)</f>
        <v>0</v>
      </c>
      <c r="Q69" s="8">
        <f>IF(Q67=0,0,SUMIFS(INDIRECT("Accounts!$M$2:$M$"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""),"Prepay")/Q67)</f>
        <v>0</v>
      </c>
      <c r="R69" s="8">
        <f>IF(R67=0,0,SUMIFS(INDIRECT("Accounts!$M$2:$M$"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""),"Prepay")/R67)</f>
        <v>0</v>
      </c>
      <c r="S69" s="8">
        <f>IF(S67=0,0,SUMIFS(INDIRECT("Accounts!$M$2:$M$"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""),"Prepay")/S67)</f>
        <v>0</v>
      </c>
      <c r="T69" s="8">
        <f>IF(T67=0,0,SUMIFS(INDIRECT("Accounts!$M$2:$M$"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""),"Prepay")/T67)</f>
        <v>0</v>
      </c>
      <c r="U69" s="8">
        <f>IF(U67=0,0,SUMIFS(INDIRECT("Accounts!$M$2:$M$"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""),"Prepay")/U67)</f>
        <v>0</v>
      </c>
      <c r="V69" s="8">
        <f>IF(V67=0,0,SUMIFS(INDIRECT("Accounts!$M$2:$M$"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""),"Prepay")/V67)</f>
        <v>0</v>
      </c>
      <c r="W69" s="9">
        <f>IF(W67=0,0,SUMIFS(INDIRECT("Accounts!$M$2:$M$" &amp; CountsForFormulas!$D$3 &amp; ""),INDIRECT("Accounts!$F$2:$F$" &amp; CountsForFormulas!$D$3 &amp; ""),AccountSummary!W$3,INDIRECT("Accounts!$W$2:$W$" &amp; CountsForFormulas!$D$3 &amp; ""),0,INDIRECT("Accounts!$C$2:$C$" &amp; CountsForFormulas!$D$3 &amp; ""),"Customer",INDIRECT("Accounts!$D$2:$D$" &amp; CountsForFormulas!$D$3 &amp; ""),"Prepay")/W67)</f>
        <v>0</v>
      </c>
    </row>
    <row r="70">
      <c r="A70" s="5" t="s">
        <v>47</v>
      </c>
      <c r="B70" s="14">
        <f ref="B70:W70" t="shared" si="26">IF(B67=0,0,B71/B67)</f>
        <v>0</v>
      </c>
      <c r="C70" s="22">
        <f t="shared" si="26"/>
        <v>0</v>
      </c>
      <c r="D70" s="22">
        <f t="shared" si="26"/>
        <v>0</v>
      </c>
      <c r="E70" s="22">
        <f t="shared" si="26"/>
        <v>0</v>
      </c>
      <c r="F70" s="22">
        <f t="shared" si="26"/>
        <v>0</v>
      </c>
      <c r="G70" s="22">
        <f t="shared" si="26"/>
        <v>0</v>
      </c>
      <c r="H70" s="22">
        <f t="shared" si="26"/>
        <v>0</v>
      </c>
      <c r="I70" s="10">
        <f t="shared" si="26"/>
        <v>0</v>
      </c>
      <c r="J70" s="22">
        <f t="shared" si="26"/>
        <v>0</v>
      </c>
      <c r="K70" s="22">
        <f t="shared" si="26"/>
        <v>0</v>
      </c>
      <c r="L70" s="22">
        <f t="shared" si="26"/>
        <v>0</v>
      </c>
      <c r="M70" s="22">
        <f t="shared" si="26"/>
        <v>0</v>
      </c>
      <c r="N70" s="22">
        <f t="shared" si="26"/>
        <v>0</v>
      </c>
      <c r="O70" s="22">
        <f t="shared" si="26"/>
        <v>0</v>
      </c>
      <c r="P70" s="10">
        <f t="shared" si="26"/>
        <v>0</v>
      </c>
      <c r="Q70" s="22">
        <f t="shared" si="26"/>
        <v>0</v>
      </c>
      <c r="R70" s="22">
        <f t="shared" si="26"/>
        <v>0</v>
      </c>
      <c r="S70" s="22">
        <f t="shared" si="26"/>
        <v>0</v>
      </c>
      <c r="T70" s="22">
        <f t="shared" si="26"/>
        <v>0</v>
      </c>
      <c r="U70" s="22">
        <f t="shared" si="26"/>
        <v>0</v>
      </c>
      <c r="V70" s="22">
        <f t="shared" si="26"/>
        <v>0</v>
      </c>
      <c r="W70" s="10">
        <f t="shared" si="26"/>
        <v>0</v>
      </c>
    </row>
    <row r="71">
      <c r="A71" s="11" t="s">
        <v>48</v>
      </c>
      <c r="B71" s="14">
        <f>I71+P71+W71</f>
        <v>0</v>
      </c>
      <c r="C71" s="22">
        <f>SUMIFS(INDIRECT("Accounts!$I$2:$I$"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""),"Customer",INDIRECT("Accounts!$D$2:$D$" &amp; CountsForFormulas!$D$3 &amp; ""),"Prepay")</f>
        <v>0</v>
      </c>
      <c r="D71" s="22">
        <f>SUMIFS(INDIRECT("Accounts!$I$2:$I$"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""),"Customer",INDIRECT("Accounts!$D$2:$D$" &amp; CountsForFormulas!$D$3 &amp; ""),"Prepay")</f>
        <v>0</v>
      </c>
      <c r="E71" s="22">
        <f>SUMIFS(INDIRECT("Accounts!$I$2:$I$"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""),"Customer",INDIRECT("Accounts!$D$2:$D$" &amp; CountsForFormulas!$D$3 &amp; ""),"Prepay")</f>
        <v>0</v>
      </c>
      <c r="F71" s="22">
        <f>SUMIFS(INDIRECT("Accounts!$I$2:$I$"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""),"Customer",INDIRECT("Accounts!$D$2:$D$" &amp; CountsForFormulas!$D$3 &amp; ""),"Prepay")</f>
        <v>0</v>
      </c>
      <c r="G71" s="22">
        <f>SUMIFS(INDIRECT("Accounts!$I$2:$I$"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""),"Customer",INDIRECT("Accounts!$D$2:$D$" &amp; CountsForFormulas!$D$3 &amp; ""),"Prepay")</f>
        <v>0</v>
      </c>
      <c r="H71" s="22">
        <f>SUMIFS(INDIRECT("Accounts!$I$2:$I$"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""),"Customer",INDIRECT("Accounts!$D$2:$D$" &amp; CountsForFormulas!$D$3 &amp; ""),"Prepay")</f>
        <v>0</v>
      </c>
      <c r="I71" s="10">
        <f>SUM(C71:H71)</f>
        <v>0</v>
      </c>
      <c r="J71" s="22">
        <f>SUMIFS(INDIRECT("Accounts!$I$2:$I$"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""),"Customer",INDIRECT("Accounts!$D$2:$D$" &amp; CountsForFormulas!$D$3 &amp; ""),"Prepay")</f>
        <v>0</v>
      </c>
      <c r="K71" s="22">
        <f>SUMIFS(INDIRECT("Accounts!$I$2:$I$"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""),"Customer",INDIRECT("Accounts!$D$2:$D$" &amp; CountsForFormulas!$D$3 &amp; ""),"Prepay")</f>
        <v>0</v>
      </c>
      <c r="L71" s="22">
        <f>SUMIFS(INDIRECT("Accounts!$I$2:$I$"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""),"Customer",INDIRECT("Accounts!$D$2:$D$" &amp; CountsForFormulas!$D$3 &amp; ""),"Prepay")</f>
        <v>0</v>
      </c>
      <c r="M71" s="22">
        <f>SUMIFS(INDIRECT("Accounts!$I$2:$I$"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""),"Customer",INDIRECT("Accounts!$D$2:$D$" &amp; CountsForFormulas!$D$3 &amp; ""),"Prepay")</f>
        <v>0</v>
      </c>
      <c r="N71" s="22">
        <f>SUMIFS(INDIRECT("Accounts!$I$2:$I$"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""),"Customer",INDIRECT("Accounts!$D$2:$D$" &amp; CountsForFormulas!$D$3 &amp; ""),"Prepay")</f>
        <v>0</v>
      </c>
      <c r="O71" s="22">
        <f>SUMIFS(INDIRECT("Accounts!$I$2:$I$"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""),"Customer",INDIRECT("Accounts!$D$2:$D$" &amp; CountsForFormulas!$D$3 &amp; ""),"Prepay")</f>
        <v>0</v>
      </c>
      <c r="P71" s="10">
        <f>SUM(J71:O71)</f>
        <v>0</v>
      </c>
      <c r="Q71" s="22">
        <f>SUMIFS(INDIRECT("Accounts!$I$2:$I$"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""),"Customer",INDIRECT("Accounts!$D$2:$D$" &amp; CountsForFormulas!$D$3 &amp; ""),"Prepay")</f>
        <v>0</v>
      </c>
      <c r="R71" s="22">
        <f>SUMIFS(INDIRECT("Accounts!$I$2:$I$"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""),"Customer",INDIRECT("Accounts!$D$2:$D$" &amp; CountsForFormulas!$D$3 &amp; ""),"Prepay")</f>
        <v>0</v>
      </c>
      <c r="S71" s="22">
        <f>SUMIFS(INDIRECT("Accounts!$I$2:$I$"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""),"Customer",INDIRECT("Accounts!$D$2:$D$" &amp; CountsForFormulas!$D$3 &amp; ""),"Prepay")</f>
        <v>0</v>
      </c>
      <c r="T71" s="22">
        <f>SUMIFS(INDIRECT("Accounts!$I$2:$I$"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""),"Customer",INDIRECT("Accounts!$D$2:$D$" &amp; CountsForFormulas!$D$3 &amp; ""),"Prepay")</f>
        <v>0</v>
      </c>
      <c r="U71" s="22">
        <f>SUMIFS(INDIRECT("Accounts!$I$2:$I$"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""),"Customer",INDIRECT("Accounts!$D$2:$D$" &amp; CountsForFormulas!$D$3 &amp; ""),"Prepay")</f>
        <v>0</v>
      </c>
      <c r="V71" s="22">
        <f>SUMIFS(INDIRECT("Accounts!$I$2:$I$"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""),"Customer",INDIRECT("Accounts!$D$2:$D$" &amp; CountsForFormulas!$D$3 &amp; ""),"Prepay")</f>
        <v>0</v>
      </c>
      <c r="W71" s="10">
        <f>SUM(Q71:V71)</f>
        <v>0</v>
      </c>
    </row>
    <row r="72">
      <c r="A72" s="5"/>
      <c r="B72" s="13"/>
    </row>
    <row r="73">
      <c r="A73" s="5" t="s">
        <v>50</v>
      </c>
      <c r="B73" s="13">
        <f>I73+P73+W73</f>
        <v>0</v>
      </c>
      <c r="C73" s="0">
        <f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""),"Customer",INDIRECT("Accounts!$C$2:$C$" &amp; CountsForFormulas!$D$3 &amp; ""),"Lost")</f>
        <v>0</v>
      </c>
      <c r="D73" s="0">
        <f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""),"Customer",INDIRECT("Accounts!$C$2:$C$" &amp; CountsForFormulas!$D$3 &amp; ""),"Lost")</f>
        <v>0</v>
      </c>
      <c r="E73" s="0">
        <f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""),"Customer",INDIRECT("Accounts!$C$2:$C$" &amp; CountsForFormulas!$D$3 &amp; ""),"Lost")</f>
        <v>0</v>
      </c>
      <c r="F73" s="0">
        <f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""),"Customer",INDIRECT("Accounts!$C$2:$C$" &amp; CountsForFormulas!$D$3 &amp; ""),"Lost")</f>
        <v>0</v>
      </c>
      <c r="G73" s="0">
        <f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""),"Customer",INDIRECT("Accounts!$C$2:$C$" &amp; CountsForFormulas!$D$3 &amp; ""),"Lost")</f>
        <v>0</v>
      </c>
      <c r="H73" s="0">
        <f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""),"Customer",INDIRECT("Accounts!$C$2:$C$" &amp; CountsForFormulas!$D$3 &amp; ""),"Lost")</f>
        <v>0</v>
      </c>
      <c r="I73" s="19">
        <f>SUM(C73:H73)</f>
        <v>0</v>
      </c>
      <c r="J73" s="0">
        <f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""),"Customer",INDIRECT("Accounts!$C$2:$C$" &amp; CountsForFormulas!$D$3 &amp; ""),"Lost")</f>
        <v>0</v>
      </c>
      <c r="K73" s="0">
        <f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""),"Customer",INDIRECT("Accounts!$C$2:$C$" &amp; CountsForFormulas!$D$3 &amp; ""),"Lost")</f>
        <v>0</v>
      </c>
      <c r="L73" s="0">
        <f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""),"Customer",INDIRECT("Accounts!$C$2:$C$" &amp; CountsForFormulas!$D$3 &amp; ""),"Lost")</f>
        <v>0</v>
      </c>
      <c r="M73" s="0">
        <f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""),"Customer",INDIRECT("Accounts!$C$2:$C$" &amp; CountsForFormulas!$D$3 &amp; ""),"Lost")</f>
        <v>0</v>
      </c>
      <c r="N73" s="0">
        <f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""),"Customer",INDIRECT("Accounts!$C$2:$C$" &amp; CountsForFormulas!$D$3 &amp; ""),"Lost")</f>
        <v>0</v>
      </c>
      <c r="O73" s="0">
        <f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""),"Customer",INDIRECT("Accounts!$C$2:$C$" &amp; CountsForFormulas!$D$3 &amp; ""),"Lost")</f>
        <v>0</v>
      </c>
      <c r="P73" s="19">
        <f>SUM(J73:O73)</f>
        <v>0</v>
      </c>
      <c r="Q73" s="0">
        <f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""),"Customer",INDIRECT("Accounts!$C$2:$C$" &amp; CountsForFormulas!$D$3 &amp; ""),"Lost")</f>
        <v>0</v>
      </c>
      <c r="R73" s="0">
        <f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""),"Customer",INDIRECT("Accounts!$C$2:$C$" &amp; CountsForFormulas!$D$3 &amp; ""),"Lost")</f>
        <v>0</v>
      </c>
      <c r="S73" s="0">
        <f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""),"Customer",INDIRECT("Accounts!$C$2:$C$" &amp; CountsForFormulas!$D$3 &amp; ""),"Lost")</f>
        <v>0</v>
      </c>
      <c r="T73" s="0">
        <f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""),"Customer",INDIRECT("Accounts!$C$2:$C$" &amp; CountsForFormulas!$D$3 &amp; ""),"Lost")</f>
        <v>0</v>
      </c>
      <c r="U73" s="0">
        <f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""),"Customer",INDIRECT("Accounts!$C$2:$C$" &amp; CountsForFormulas!$D$3 &amp; ""),"Lost")</f>
        <v>0</v>
      </c>
      <c r="V73" s="0">
        <f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""),"Customer",INDIRECT("Accounts!$C$2:$C$" &amp; CountsForFormulas!$D$3 &amp; ""),"Lost")</f>
        <v>0</v>
      </c>
      <c r="W73" s="19">
        <f>SUM(Q73:V73)</f>
        <v>0</v>
      </c>
    </row>
    <row r="74">
      <c r="A74" s="5" t="s">
        <v>51</v>
      </c>
      <c r="B74" s="15">
        <f ref="B74:W74" t="shared" si="27">IF(B73=0,0,B75/B73)</f>
        <v>0</v>
      </c>
      <c r="C74" s="12">
        <f t="shared" si="27"/>
        <v>0</v>
      </c>
      <c r="D74" s="12">
        <f t="shared" si="27"/>
        <v>0</v>
      </c>
      <c r="E74" s="12">
        <f t="shared" si="27"/>
        <v>0</v>
      </c>
      <c r="F74" s="12">
        <f t="shared" si="27"/>
        <v>0</v>
      </c>
      <c r="G74" s="12">
        <f t="shared" si="27"/>
        <v>0</v>
      </c>
      <c r="H74" s="12">
        <f t="shared" si="27"/>
        <v>0</v>
      </c>
      <c r="I74" s="24">
        <f t="shared" si="27"/>
        <v>0</v>
      </c>
      <c r="J74" s="12">
        <f t="shared" si="27"/>
        <v>0</v>
      </c>
      <c r="K74" s="12">
        <f t="shared" si="27"/>
        <v>0</v>
      </c>
      <c r="L74" s="12">
        <f t="shared" si="27"/>
        <v>0</v>
      </c>
      <c r="M74" s="12">
        <f t="shared" si="27"/>
        <v>0</v>
      </c>
      <c r="N74" s="12">
        <f t="shared" si="27"/>
        <v>0</v>
      </c>
      <c r="O74" s="12">
        <f t="shared" si="27"/>
        <v>0</v>
      </c>
      <c r="P74" s="24">
        <f t="shared" si="27"/>
        <v>0</v>
      </c>
      <c r="Q74" s="12">
        <f t="shared" si="27"/>
        <v>0</v>
      </c>
      <c r="R74" s="12">
        <f t="shared" si="27"/>
        <v>0</v>
      </c>
      <c r="S74" s="12">
        <f t="shared" si="27"/>
        <v>0</v>
      </c>
      <c r="T74" s="12">
        <f t="shared" si="27"/>
        <v>0</v>
      </c>
      <c r="U74" s="12">
        <f t="shared" si="27"/>
        <v>0</v>
      </c>
      <c r="V74" s="12">
        <f t="shared" si="27"/>
        <v>0</v>
      </c>
      <c r="W74" s="24">
        <f t="shared" si="27"/>
        <v>0</v>
      </c>
    </row>
    <row r="75">
      <c r="A75" s="5" t="s">
        <v>52</v>
      </c>
      <c r="B75" s="13">
        <f>I75+P75+W75</f>
        <v>0</v>
      </c>
      <c r="C75" s="0">
        <f>COUNTIFS(INDIRECT("Accounts!$E$2:$E$"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D75" s="0">
        <f>COUNTIFS(INDIRECT("Accounts!$E$2:$E$"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E75" s="0">
        <f>COUNTIFS(INDIRECT("Accounts!$E$2:$E$"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F75" s="0">
        <f>COUNTIFS(INDIRECT("Accounts!$E$2:$E$"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G75" s="0">
        <f>COUNTIFS(INDIRECT("Accounts!$E$2:$E$"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H75" s="0">
        <f>COUNTIFS(INDIRECT("Accounts!$E$2:$E$"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I75" s="19">
        <f>SUM(C75:H75)</f>
        <v>0</v>
      </c>
      <c r="J75" s="0">
        <f>COUNTIFS(INDIRECT("Accounts!$E$2:$E$"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K75" s="0">
        <f>COUNTIFS(INDIRECT("Accounts!$E$2:$E$"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L75" s="0">
        <f>COUNTIFS(INDIRECT("Accounts!$E$2:$E$"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M75" s="0">
        <f>COUNTIFS(INDIRECT("Accounts!$E$2:$E$"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N75" s="0">
        <f>COUNTIFS(INDIRECT("Accounts!$E$2:$E$"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O75" s="0">
        <f>COUNTIFS(INDIRECT("Accounts!$E$2:$E$"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P75" s="19">
        <f>SUM(J75:O75)</f>
        <v>0</v>
      </c>
      <c r="Q75" s="0">
        <f>COUNTIFS(INDIRECT("Accounts!$E$2:$E$"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R75" s="0">
        <f>COUNTIFS(INDIRECT("Accounts!$E$2:$E$"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S75" s="0">
        <f>COUNTIFS(INDIRECT("Accounts!$E$2:$E$"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T75" s="0">
        <f>COUNTIFS(INDIRECT("Accounts!$E$2:$E$"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U75" s="0">
        <f>COUNTIFS(INDIRECT("Accounts!$E$2:$E$"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V75" s="0">
        <f>COUNTIFS(INDIRECT("Accounts!$E$2:$E$"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""),AccountSummary!V$3,INDIRECT("Accounts!$B$2:$B$" &amp; CountsForFormulas!$D$3 &amp; ""),"Customer",INDIRECT("Accounts!$C$2:$C$" &amp; CountsForFormulas!$D$3 &amp; ""),"Lost",INDIRECT("Accounts!$I$2:$I$" &amp; CountsForFormulas!$D$3 &amp; ""),"&gt;"&amp;0)</f>
        <v>0</v>
      </c>
      <c r="W75" s="19">
        <f>SUM(Q75:V75)</f>
        <v>0</v>
      </c>
    </row>
    <row r="76">
      <c r="A76" s="5" t="s">
        <v>53</v>
      </c>
      <c r="B76" s="18">
        <f>IF(B75=0,0,B77/B75)</f>
        <v>0</v>
      </c>
      <c r="C76" s="22">
        <f ref="C76:H76" t="shared" si="28">IF(C73=0,0,C77/C73)</f>
        <v>0</v>
      </c>
      <c r="D76" s="22">
        <f t="shared" si="28"/>
        <v>0</v>
      </c>
      <c r="E76" s="22">
        <f t="shared" si="28"/>
        <v>0</v>
      </c>
      <c r="F76" s="22">
        <f t="shared" si="28"/>
        <v>0</v>
      </c>
      <c r="G76" s="22">
        <f t="shared" si="28"/>
        <v>0</v>
      </c>
      <c r="H76" s="22">
        <f t="shared" si="28"/>
        <v>0</v>
      </c>
      <c r="I76" s="10">
        <f>IF(I75=0,0,I77/I75)</f>
        <v>0</v>
      </c>
      <c r="J76" s="22">
        <f ref="J76:O76" t="shared" si="29">IF(J73=0,0,J77/J73)</f>
        <v>0</v>
      </c>
      <c r="K76" s="22">
        <f t="shared" si="29"/>
        <v>0</v>
      </c>
      <c r="L76" s="22">
        <f t="shared" si="29"/>
        <v>0</v>
      </c>
      <c r="M76" s="22">
        <f t="shared" si="29"/>
        <v>0</v>
      </c>
      <c r="N76" s="22">
        <f t="shared" si="29"/>
        <v>0</v>
      </c>
      <c r="O76" s="22">
        <f t="shared" si="29"/>
        <v>0</v>
      </c>
      <c r="P76" s="10">
        <f>IF(P75=0,0,P77/P75)</f>
        <v>0</v>
      </c>
      <c r="Q76" s="22">
        <f ref="Q76:V76" t="shared" si="30">IF(Q73=0,0,Q77/Q73)</f>
        <v>0</v>
      </c>
      <c r="R76" s="22">
        <f t="shared" si="30"/>
        <v>0</v>
      </c>
      <c r="S76" s="22">
        <f t="shared" si="30"/>
        <v>0</v>
      </c>
      <c r="T76" s="22">
        <f t="shared" si="30"/>
        <v>0</v>
      </c>
      <c r="U76" s="22">
        <f t="shared" si="30"/>
        <v>0</v>
      </c>
      <c r="V76" s="22">
        <f t="shared" si="30"/>
        <v>0</v>
      </c>
      <c r="W76" s="10">
        <f>IF(W75=0,0,W77/W75)</f>
        <v>0</v>
      </c>
    </row>
    <row r="77">
      <c r="A77" s="11" t="s">
        <v>54</v>
      </c>
      <c r="B77" s="14">
        <f>I77+P77+W77</f>
        <v>0</v>
      </c>
      <c r="C77" s="22">
        <f>SUMIFS(INDIRECT("Accounts!$I$2:$I$" &amp; CountsForFormulas!$D$3 &amp; ""),INDIRECT("Accounts!$E$2:$E$" &amp; CountsForFormulas!$D$3 &amp; ""),AccountSummary!C$1,INDIRECT("Accounts!$G$2:$G$" &amp; CountsForFormulas!$D$3 &amp; ""),AccountSummary!C$2,INDIRECT("Accounts!$F$2:$F$" &amp; CountsForFormulas!$D$3 &amp; ""),AccountSummary!C$3,INDIRECT("Accounts!$W$2:$W$" &amp; CountsForFormulas!$D$3 &amp; ""),0,INDIRECT("Accounts!$C$2:$C$" &amp; CountsForFormulas!$D$3 &amp; ""),"Lost")</f>
        <v>0</v>
      </c>
      <c r="D77" s="22">
        <f>SUMIFS(INDIRECT("Accounts!$I$2:$I$" &amp; CountsForFormulas!$D$3 &amp; ""),INDIRECT("Accounts!$E$2:$E$" &amp; CountsForFormulas!$D$3 &amp; ""),AccountSummary!D$1,INDIRECT("Accounts!$G$2:$G$" &amp; CountsForFormulas!$D$3 &amp; ""),AccountSummary!D$2,INDIRECT("Accounts!$F$2:$F$" &amp; CountsForFormulas!$D$3 &amp; ""),AccountSummary!D$3,INDIRECT("Accounts!$W$2:$W$" &amp; CountsForFormulas!$D$3 &amp; ""),0,INDIRECT("Accounts!$C$2:$C$" &amp; CountsForFormulas!$D$3 &amp; ""),"Lost")</f>
        <v>0</v>
      </c>
      <c r="E77" s="22">
        <f>SUMIFS(INDIRECT("Accounts!$I$2:$I$" &amp; CountsForFormulas!$D$3 &amp; ""),INDIRECT("Accounts!$E$2:$E$" &amp; CountsForFormulas!$D$3 &amp; ""),AccountSummary!E$1,INDIRECT("Accounts!$G$2:$G$" &amp; CountsForFormulas!$D$3 &amp; ""),AccountSummary!E$2,INDIRECT("Accounts!$F$2:$F$" &amp; CountsForFormulas!$D$3 &amp; ""),AccountSummary!E$3,INDIRECT("Accounts!$W$2:$W$" &amp; CountsForFormulas!$D$3 &amp; ""),0,INDIRECT("Accounts!$C$2:$C$" &amp; CountsForFormulas!$D$3 &amp; ""),"Lost")</f>
        <v>0</v>
      </c>
      <c r="F77" s="22">
        <f>SUMIFS(INDIRECT("Accounts!$I$2:$I$" &amp; CountsForFormulas!$D$3 &amp; ""),INDIRECT("Accounts!$E$2:$E$" &amp; CountsForFormulas!$D$3 &amp; ""),AccountSummary!F$1,INDIRECT("Accounts!$G$2:$G$" &amp; CountsForFormulas!$D$3 &amp; ""),AccountSummary!F$2,INDIRECT("Accounts!$F$2:$F$" &amp; CountsForFormulas!$D$3 &amp; ""),AccountSummary!F$3,INDIRECT("Accounts!$W$2:$W$" &amp; CountsForFormulas!$D$3 &amp; ""),0,INDIRECT("Accounts!$C$2:$C$" &amp; CountsForFormulas!$D$3 &amp; ""),"Lost")</f>
        <v>0</v>
      </c>
      <c r="G77" s="22">
        <f>SUMIFS(INDIRECT("Accounts!$I$2:$I$" &amp; CountsForFormulas!$D$3 &amp; ""),INDIRECT("Accounts!$E$2:$E$" &amp; CountsForFormulas!$D$3 &amp; ""),AccountSummary!G$1,INDIRECT("Accounts!$G$2:$G$" &amp; CountsForFormulas!$D$3 &amp; ""),AccountSummary!G$2,INDIRECT("Accounts!$F$2:$F$" &amp; CountsForFormulas!$D$3 &amp; ""),AccountSummary!G$3,INDIRECT("Accounts!$W$2:$W$" &amp; CountsForFormulas!$D$3 &amp; ""),0,INDIRECT("Accounts!$C$2:$C$" &amp; CountsForFormulas!$D$3 &amp; ""),"Lost")</f>
        <v>0</v>
      </c>
      <c r="H77" s="22">
        <f>SUMIFS(INDIRECT("Accounts!$I$2:$I$" &amp; CountsForFormulas!$D$3 &amp; ""),INDIRECT("Accounts!$E$2:$E$" &amp; CountsForFormulas!$D$3 &amp; ""),AccountSummary!H$1,INDIRECT("Accounts!$G$2:$G$" &amp; CountsForFormulas!$D$3 &amp; ""),AccountSummary!H$2,INDIRECT("Accounts!$F$2:$F$" &amp; CountsForFormulas!$D$3 &amp; ""),AccountSummary!H$3,INDIRECT("Accounts!$W$2:$W$" &amp; CountsForFormulas!$D$3 &amp; ""),0,INDIRECT("Accounts!$C$2:$C$" &amp; CountsForFormulas!$D$3 &amp; ""),"Lost")</f>
        <v>0</v>
      </c>
      <c r="I77" s="10">
        <f>SUM(C77:H77)</f>
        <v>0</v>
      </c>
      <c r="J77" s="22">
        <f>SUMIFS(INDIRECT("Accounts!$I$2:$I$" &amp; CountsForFormulas!$D$3 &amp; ""),INDIRECT("Accounts!$E$2:$E$" &amp; CountsForFormulas!$D$3 &amp; ""),AccountSummary!J$1,INDIRECT("Accounts!$G$2:$G$" &amp; CountsForFormulas!$D$3 &amp; ""),AccountSummary!J$2,INDIRECT("Accounts!$F$2:$F$" &amp; CountsForFormulas!$D$3 &amp; ""),AccountSummary!J$3,INDIRECT("Accounts!$W$2:$W$" &amp; CountsForFormulas!$D$3 &amp; ""),0,INDIRECT("Accounts!$C$2:$C$" &amp; CountsForFormulas!$D$3 &amp; ""),"Lost")</f>
        <v>0</v>
      </c>
      <c r="K77" s="22">
        <f>SUMIFS(INDIRECT("Accounts!$I$2:$I$" &amp; CountsForFormulas!$D$3 &amp; ""),INDIRECT("Accounts!$E$2:$E$" &amp; CountsForFormulas!$D$3 &amp; ""),AccountSummary!K$1,INDIRECT("Accounts!$G$2:$G$" &amp; CountsForFormulas!$D$3 &amp; ""),AccountSummary!K$2,INDIRECT("Accounts!$F$2:$F$" &amp; CountsForFormulas!$D$3 &amp; ""),AccountSummary!K$3,INDIRECT("Accounts!$W$2:$W$" &amp; CountsForFormulas!$D$3 &amp; ""),0,INDIRECT("Accounts!$C$2:$C$" &amp; CountsForFormulas!$D$3 &amp; ""),"Lost")</f>
        <v>0</v>
      </c>
      <c r="L77" s="22">
        <f>SUMIFS(INDIRECT("Accounts!$I$2:$I$" &amp; CountsForFormulas!$D$3 &amp; ""),INDIRECT("Accounts!$E$2:$E$" &amp; CountsForFormulas!$D$3 &amp; ""),AccountSummary!L$1,INDIRECT("Accounts!$G$2:$G$" &amp; CountsForFormulas!$D$3 &amp; ""),AccountSummary!L$2,INDIRECT("Accounts!$F$2:$F$" &amp; CountsForFormulas!$D$3 &amp; ""),AccountSummary!L$3,INDIRECT("Accounts!$W$2:$W$" &amp; CountsForFormulas!$D$3 &amp; ""),0,INDIRECT("Accounts!$C$2:$C$" &amp; CountsForFormulas!$D$3 &amp; ""),"Lost")</f>
        <v>0</v>
      </c>
      <c r="M77" s="22">
        <f>SUMIFS(INDIRECT("Accounts!$I$2:$I$" &amp; CountsForFormulas!$D$3 &amp; ""),INDIRECT("Accounts!$E$2:$E$" &amp; CountsForFormulas!$D$3 &amp; ""),AccountSummary!M$1,INDIRECT("Accounts!$G$2:$G$" &amp; CountsForFormulas!$D$3 &amp; ""),AccountSummary!M$2,INDIRECT("Accounts!$F$2:$F$" &amp; CountsForFormulas!$D$3 &amp; ""),AccountSummary!M$3,INDIRECT("Accounts!$W$2:$W$" &amp; CountsForFormulas!$D$3 &amp; ""),0,INDIRECT("Accounts!$C$2:$C$" &amp; CountsForFormulas!$D$3 &amp; ""),"Lost")</f>
        <v>0</v>
      </c>
      <c r="N77" s="22">
        <f>SUMIFS(INDIRECT("Accounts!$I$2:$I$" &amp; CountsForFormulas!$D$3 &amp; ""),INDIRECT("Accounts!$E$2:$E$" &amp; CountsForFormulas!$D$3 &amp; ""),AccountSummary!N$1,INDIRECT("Accounts!$G$2:$G$" &amp; CountsForFormulas!$D$3 &amp; ""),AccountSummary!N$2,INDIRECT("Accounts!$F$2:$F$" &amp; CountsForFormulas!$D$3 &amp; ""),AccountSummary!N$3,INDIRECT("Accounts!$W$2:$W$" &amp; CountsForFormulas!$D$3 &amp; ""),0,INDIRECT("Accounts!$C$2:$C$" &amp; CountsForFormulas!$D$3 &amp; ""),"Lost")</f>
        <v>0</v>
      </c>
      <c r="O77" s="22">
        <f>SUMIFS(INDIRECT("Accounts!$I$2:$I$" &amp; CountsForFormulas!$D$3 &amp; ""),INDIRECT("Accounts!$E$2:$E$" &amp; CountsForFormulas!$D$3 &amp; ""),AccountSummary!O$1,INDIRECT("Accounts!$G$2:$G$" &amp; CountsForFormulas!$D$3 &amp; ""),AccountSummary!O$2,INDIRECT("Accounts!$F$2:$F$" &amp; CountsForFormulas!$D$3 &amp; ""),AccountSummary!O$3,INDIRECT("Accounts!$W$2:$W$" &amp; CountsForFormulas!$D$3 &amp; ""),0,INDIRECT("Accounts!$C$2:$C$" &amp; CountsForFormulas!$D$3 &amp; ""),"Lost")</f>
        <v>0</v>
      </c>
      <c r="P77" s="10">
        <f>SUM(J77:O77)</f>
        <v>0</v>
      </c>
      <c r="Q77" s="22">
        <f>SUMIFS(INDIRECT("Accounts!$I$2:$I$" &amp; CountsForFormulas!$D$3 &amp; ""),INDIRECT("Accounts!$E$2:$E$" &amp; CountsForFormulas!$D$3 &amp; ""),AccountSummary!Q$1,INDIRECT("Accounts!$G$2:$G$" &amp; CountsForFormulas!$D$3 &amp; ""),AccountSummary!Q$2,INDIRECT("Accounts!$F$2:$F$" &amp; CountsForFormulas!$D$3 &amp; ""),AccountSummary!Q$3,INDIRECT("Accounts!$W$2:$W$" &amp; CountsForFormulas!$D$3 &amp; ""),0,INDIRECT("Accounts!$C$2:$C$" &amp; CountsForFormulas!$D$3 &amp; ""),"Lost")</f>
        <v>0</v>
      </c>
      <c r="R77" s="22">
        <f>SUMIFS(INDIRECT("Accounts!$I$2:$I$" &amp; CountsForFormulas!$D$3 &amp; ""),INDIRECT("Accounts!$E$2:$E$" &amp; CountsForFormulas!$D$3 &amp; ""),AccountSummary!R$1,INDIRECT("Accounts!$G$2:$G$" &amp; CountsForFormulas!$D$3 &amp; ""),AccountSummary!R$2,INDIRECT("Accounts!$F$2:$F$" &amp; CountsForFormulas!$D$3 &amp; ""),AccountSummary!R$3,INDIRECT("Accounts!$W$2:$W$" &amp; CountsForFormulas!$D$3 &amp; ""),0,INDIRECT("Accounts!$C$2:$C$" &amp; CountsForFormulas!$D$3 &amp; ""),"Lost")</f>
        <v>0</v>
      </c>
      <c r="S77" s="22">
        <f>SUMIFS(INDIRECT("Accounts!$I$2:$I$" &amp; CountsForFormulas!$D$3 &amp; ""),INDIRECT("Accounts!$E$2:$E$" &amp; CountsForFormulas!$D$3 &amp; ""),AccountSummary!S$1,INDIRECT("Accounts!$G$2:$G$" &amp; CountsForFormulas!$D$3 &amp; ""),AccountSummary!S$2,INDIRECT("Accounts!$F$2:$F$" &amp; CountsForFormulas!$D$3 &amp; ""),AccountSummary!S$3,INDIRECT("Accounts!$W$2:$W$" &amp; CountsForFormulas!$D$3 &amp; ""),0,INDIRECT("Accounts!$C$2:$C$" &amp; CountsForFormulas!$D$3 &amp; ""),"Lost")</f>
        <v>0</v>
      </c>
      <c r="T77" s="22">
        <f>SUMIFS(INDIRECT("Accounts!$I$2:$I$" &amp; CountsForFormulas!$D$3 &amp; ""),INDIRECT("Accounts!$E$2:$E$" &amp; CountsForFormulas!$D$3 &amp; ""),AccountSummary!T$1,INDIRECT("Accounts!$G$2:$G$" &amp; CountsForFormulas!$D$3 &amp; ""),AccountSummary!T$2,INDIRECT("Accounts!$F$2:$F$" &amp; CountsForFormulas!$D$3 &amp; ""),AccountSummary!T$3,INDIRECT("Accounts!$W$2:$W$" &amp; CountsForFormulas!$D$3 &amp; ""),0,INDIRECT("Accounts!$C$2:$C$" &amp; CountsForFormulas!$D$3 &amp; ""),"Lost")</f>
        <v>0</v>
      </c>
      <c r="U77" s="22">
        <f>SUMIFS(INDIRECT("Accounts!$I$2:$I$" &amp; CountsForFormulas!$D$3 &amp; ""),INDIRECT("Accounts!$E$2:$E$" &amp; CountsForFormulas!$D$3 &amp; ""),AccountSummary!U$1,INDIRECT("Accounts!$G$2:$G$" &amp; CountsForFormulas!$D$3 &amp; ""),AccountSummary!U$2,INDIRECT("Accounts!$F$2:$F$" &amp; CountsForFormulas!$D$3 &amp; ""),AccountSummary!U$3,INDIRECT("Accounts!$W$2:$W$" &amp; CountsForFormulas!$D$3 &amp; ""),0,INDIRECT("Accounts!$C$2:$C$" &amp; CountsForFormulas!$D$3 &amp; ""),"Lost")</f>
        <v>0</v>
      </c>
      <c r="V77" s="22">
        <f>SUMIFS(INDIRECT("Accounts!$I$2:$I$" &amp; CountsForFormulas!$D$3 &amp; ""),INDIRECT("Accounts!$E$2:$E$" &amp; CountsForFormulas!$D$3 &amp; ""),AccountSummary!V$1,INDIRECT("Accounts!$G$2:$G$" &amp; CountsForFormulas!$D$3 &amp; ""),AccountSummary!V$2,INDIRECT("Accounts!$F$2:$F$" &amp; CountsForFormulas!$D$3 &amp; ""),AccountSummary!V$3,INDIRECT("Accounts!$W$2:$W$" &amp; CountsForFormulas!$D$3 &amp; ""),0,INDIRECT("Accounts!$C$2:$C$" &amp; CountsForFormulas!$D$3 &amp; ""),"Lost")</f>
        <v>0</v>
      </c>
      <c r="W77" s="10">
        <f>SUM(Q77:V77)</f>
        <v>0</v>
      </c>
    </row>
    <row r="78">
      <c r="A78" s="5"/>
    </row>
    <row r="79">
      <c r="A79" s="5" t="s">
        <v>55</v>
      </c>
      <c r="B79" s="22">
        <f>I79+P79+W79</f>
        <v>0</v>
      </c>
      <c r="C79" s="22">
        <f ref="C79:H79" t="shared" si="31">C11</f>
        <v>0</v>
      </c>
      <c r="D79" s="22">
        <f t="shared" si="31"/>
        <v>0</v>
      </c>
      <c r="E79" s="22">
        <f t="shared" si="31"/>
        <v>0</v>
      </c>
      <c r="F79" s="22">
        <f t="shared" si="31"/>
        <v>0</v>
      </c>
      <c r="G79" s="22">
        <f t="shared" si="31"/>
        <v>0</v>
      </c>
      <c r="H79" s="22">
        <f t="shared" si="31"/>
        <v>0</v>
      </c>
      <c r="I79" s="10">
        <f>SUM(C79:H79)</f>
        <v>0</v>
      </c>
      <c r="J79" s="22">
        <f ref="J79:O79" t="shared" si="32">J11</f>
        <v>0</v>
      </c>
      <c r="K79" s="22">
        <f t="shared" si="32"/>
        <v>0</v>
      </c>
      <c r="L79" s="22">
        <f t="shared" si="32"/>
        <v>0</v>
      </c>
      <c r="M79" s="22">
        <f t="shared" si="32"/>
        <v>0</v>
      </c>
      <c r="N79" s="22">
        <f t="shared" si="32"/>
        <v>0</v>
      </c>
      <c r="O79" s="22">
        <f t="shared" si="32"/>
        <v>0</v>
      </c>
      <c r="P79" s="10">
        <f>SUM(J79:O79)</f>
        <v>0</v>
      </c>
      <c r="Q79" s="22">
        <f ref="Q79:V79" t="shared" si="33">Q11</f>
        <v>0</v>
      </c>
      <c r="R79" s="22">
        <f t="shared" si="33"/>
        <v>0</v>
      </c>
      <c r="S79" s="22">
        <f t="shared" si="33"/>
        <v>0</v>
      </c>
      <c r="T79" s="22">
        <f t="shared" si="33"/>
        <v>0</v>
      </c>
      <c r="U79" s="22">
        <f t="shared" si="33"/>
        <v>0</v>
      </c>
      <c r="V79" s="22">
        <f t="shared" si="33"/>
        <v>0</v>
      </c>
      <c r="W79" s="10">
        <f>SUM(Q79:V79)</f>
        <v>0</v>
      </c>
    </row>
    <row r="80">
      <c r="A80" s="5" t="s">
        <v>41</v>
      </c>
      <c r="B80" s="22">
        <f>I80+P80+W80</f>
        <v>0</v>
      </c>
      <c r="C80" s="22">
        <f ref="C80:H80" t="shared" si="34">C61+C71</f>
        <v>0</v>
      </c>
      <c r="D80" s="22">
        <f t="shared" si="34"/>
        <v>0</v>
      </c>
      <c r="E80" s="22">
        <f t="shared" si="34"/>
        <v>0</v>
      </c>
      <c r="F80" s="22">
        <f t="shared" si="34"/>
        <v>0</v>
      </c>
      <c r="G80" s="22">
        <f t="shared" si="34"/>
        <v>0</v>
      </c>
      <c r="H80" s="22">
        <f t="shared" si="34"/>
        <v>0</v>
      </c>
      <c r="I80" s="10">
        <f>SUM(C80:H80)</f>
        <v>0</v>
      </c>
      <c r="J80" s="22">
        <f ref="J80:O80" t="shared" si="35">J61+J71</f>
        <v>0</v>
      </c>
      <c r="K80" s="22">
        <f t="shared" si="35"/>
        <v>0</v>
      </c>
      <c r="L80" s="22">
        <f t="shared" si="35"/>
        <v>0</v>
      </c>
      <c r="M80" s="22">
        <f t="shared" si="35"/>
        <v>0</v>
      </c>
      <c r="N80" s="22">
        <f t="shared" si="35"/>
        <v>0</v>
      </c>
      <c r="O80" s="22">
        <f t="shared" si="35"/>
        <v>0</v>
      </c>
      <c r="P80" s="10">
        <f>SUM(J80:O80)</f>
        <v>0</v>
      </c>
      <c r="Q80" s="22">
        <f ref="Q80:V80" t="shared" si="36">Q61+Q71</f>
        <v>0</v>
      </c>
      <c r="R80" s="22">
        <f t="shared" si="36"/>
        <v>0</v>
      </c>
      <c r="S80" s="22">
        <f t="shared" si="36"/>
        <v>0</v>
      </c>
      <c r="T80" s="22">
        <f t="shared" si="36"/>
        <v>0</v>
      </c>
      <c r="U80" s="22">
        <f t="shared" si="36"/>
        <v>0</v>
      </c>
      <c r="V80" s="22">
        <f t="shared" si="36"/>
        <v>0</v>
      </c>
      <c r="W80" s="10">
        <f>SUM(Q80:V80)</f>
        <v>0</v>
      </c>
    </row>
    <row r="81">
      <c r="A81" s="5" t="s">
        <v>54</v>
      </c>
      <c r="B81" s="22">
        <f>I81+P81+W81</f>
        <v>0</v>
      </c>
      <c r="C81" s="22">
        <f ref="C81:H81" t="shared" si="37">C77</f>
        <v>0</v>
      </c>
      <c r="D81" s="22">
        <f t="shared" si="37"/>
        <v>0</v>
      </c>
      <c r="E81" s="22">
        <f t="shared" si="37"/>
        <v>0</v>
      </c>
      <c r="F81" s="22">
        <f t="shared" si="37"/>
        <v>0</v>
      </c>
      <c r="G81" s="22">
        <f t="shared" si="37"/>
        <v>0</v>
      </c>
      <c r="H81" s="22">
        <f t="shared" si="37"/>
        <v>0</v>
      </c>
      <c r="I81" s="10">
        <f>SUM(C81:H81)</f>
        <v>0</v>
      </c>
      <c r="J81" s="22">
        <f ref="J81:O81" t="shared" si="38">J77</f>
        <v>0</v>
      </c>
      <c r="K81" s="22">
        <f t="shared" si="38"/>
        <v>0</v>
      </c>
      <c r="L81" s="22">
        <f t="shared" si="38"/>
        <v>0</v>
      </c>
      <c r="M81" s="22">
        <f t="shared" si="38"/>
        <v>0</v>
      </c>
      <c r="N81" s="22">
        <f t="shared" si="38"/>
        <v>0</v>
      </c>
      <c r="O81" s="22">
        <f t="shared" si="38"/>
        <v>0</v>
      </c>
      <c r="P81" s="10">
        <f>SUM(J81:O81)</f>
        <v>0</v>
      </c>
      <c r="Q81" s="22">
        <f ref="Q81:V81" t="shared" si="39">Q77</f>
        <v>0</v>
      </c>
      <c r="R81" s="22">
        <f t="shared" si="39"/>
        <v>0</v>
      </c>
      <c r="S81" s="22">
        <f t="shared" si="39"/>
        <v>0</v>
      </c>
      <c r="T81" s="22">
        <f t="shared" si="39"/>
        <v>0</v>
      </c>
      <c r="U81" s="22">
        <f t="shared" si="39"/>
        <v>0</v>
      </c>
      <c r="V81" s="22">
        <f t="shared" si="39"/>
        <v>0</v>
      </c>
      <c r="W81" s="10">
        <f>SUM(Q81:V81)</f>
        <v>0</v>
      </c>
    </row>
    <row r="82">
      <c r="A82" s="5"/>
    </row>
    <row r="83">
      <c r="A83" s="11" t="s">
        <v>56</v>
      </c>
      <c r="B83" s="22">
        <f>I83+P83+W83</f>
        <v>0</v>
      </c>
      <c r="C83" s="22">
        <f ref="C83:H83" t="shared" si="40">C79+C80+C81</f>
        <v>0</v>
      </c>
      <c r="D83" s="22">
        <f t="shared" si="40"/>
        <v>0</v>
      </c>
      <c r="E83" s="22">
        <f t="shared" si="40"/>
        <v>0</v>
      </c>
      <c r="F83" s="22">
        <f t="shared" si="40"/>
        <v>0</v>
      </c>
      <c r="G83" s="22">
        <f t="shared" si="40"/>
        <v>0</v>
      </c>
      <c r="H83" s="22">
        <f t="shared" si="40"/>
        <v>0</v>
      </c>
      <c r="I83" s="10">
        <f>SUM(C83:H83)</f>
        <v>0</v>
      </c>
      <c r="J83" s="22">
        <f ref="J83:O83" t="shared" si="41">J79+J80+J81</f>
        <v>0</v>
      </c>
      <c r="K83" s="22">
        <f t="shared" si="41"/>
        <v>0</v>
      </c>
      <c r="L83" s="22">
        <f t="shared" si="41"/>
        <v>0</v>
      </c>
      <c r="M83" s="22">
        <f t="shared" si="41"/>
        <v>0</v>
      </c>
      <c r="N83" s="22">
        <f t="shared" si="41"/>
        <v>0</v>
      </c>
      <c r="O83" s="22">
        <f t="shared" si="41"/>
        <v>0</v>
      </c>
      <c r="P83" s="10">
        <f>SUM(J83:O83)</f>
        <v>0</v>
      </c>
      <c r="Q83" s="22">
        <f ref="Q83:V83" t="shared" si="42">Q79+Q80+Q81</f>
        <v>0</v>
      </c>
      <c r="R83" s="22">
        <f t="shared" si="42"/>
        <v>0</v>
      </c>
      <c r="S83" s="22">
        <f t="shared" si="42"/>
        <v>0</v>
      </c>
      <c r="T83" s="22">
        <f t="shared" si="42"/>
        <v>0</v>
      </c>
      <c r="U83" s="22">
        <f t="shared" si="42"/>
        <v>0</v>
      </c>
      <c r="V83" s="22">
        <f t="shared" si="42"/>
        <v>0</v>
      </c>
      <c r="W83" s="10">
        <f>SUM(Q83:V83)</f>
        <v>0</v>
      </c>
    </row>
  </sheetData>
  <pageMargins left="0.7" right="0.7" top="0.75" bottom="0.75" header="0.3" footer="0.3"/>
  <pageSetup paperSize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8"/>
  <sheetViews>
    <sheetView workbookViewId="0">
      <pane xSplit="1" ySplit="3" topLeftCell="H4" activePane="bottomRight" state="frozen"/>
      <selection pane="topRight" activeCell="B1" sqref="B1"/>
      <selection pane="bottomLeft" activeCell="A4" sqref="A4"/>
      <selection pane="bottomRight" activeCell="W39" sqref="W39"/>
    </sheetView>
  </sheetViews>
  <sheetFormatPr baseColWidth="10" defaultColWidth="8.6640625" defaultRowHeight="15" x14ac:dyDescent="0.2"/>
  <cols>
    <col min="1" max="1" width="37" customWidth="1"/>
    <col min="2" max="6" bestFit="1" width="12.33203125" customWidth="1"/>
    <col min="7" max="8" width="12.33203125" customWidth="1"/>
    <col min="9" max="9" bestFit="1" width="12.33203125" customWidth="1" style="19"/>
    <col min="10" max="13" bestFit="1" width="12.33203125" customWidth="1"/>
    <col min="14" max="15" width="12.33203125" customWidth="1"/>
    <col min="16" max="16" bestFit="1" width="12.33203125" customWidth="1" style="19"/>
    <col min="17" max="19" bestFit="1" width="12.33203125" customWidth="1"/>
    <col min="20" max="20" bestFit="1" width="12.5" customWidth="1"/>
    <col min="21" max="22" width="12.5" customWidth="1"/>
    <col min="23" max="23" bestFit="1" width="12.5" customWidth="1" style="19"/>
  </cols>
  <sheetData>
    <row r="1">
      <c r="A1" s="7" t="s">
        <v>0</v>
      </c>
      <c r="B1" s="19" t="s">
        <v>1</v>
      </c>
      <c r="C1" s="0" t="s">
        <v>2</v>
      </c>
      <c r="D1" s="0" t="s">
        <v>2</v>
      </c>
      <c r="E1" s="0" t="s">
        <v>3</v>
      </c>
      <c r="F1" s="0" t="s">
        <v>3</v>
      </c>
      <c r="G1" s="0" t="s">
        <v>4</v>
      </c>
      <c r="H1" s="0" t="s">
        <v>5</v>
      </c>
      <c r="I1" s="19" t="s">
        <v>1</v>
      </c>
      <c r="J1" s="0" t="s">
        <v>2</v>
      </c>
      <c r="K1" s="0" t="s">
        <v>2</v>
      </c>
      <c r="L1" s="0" t="s">
        <v>3</v>
      </c>
      <c r="M1" s="0" t="s">
        <v>3</v>
      </c>
      <c r="N1" s="0" t="s">
        <v>4</v>
      </c>
      <c r="O1" s="0" t="s">
        <v>5</v>
      </c>
      <c r="P1" s="19" t="s">
        <v>1</v>
      </c>
      <c r="Q1" s="0" t="s">
        <v>2</v>
      </c>
      <c r="R1" s="0" t="s">
        <v>2</v>
      </c>
      <c r="S1" s="0" t="s">
        <v>3</v>
      </c>
      <c r="T1" s="0" t="s">
        <v>3</v>
      </c>
      <c r="U1" s="0" t="s">
        <v>4</v>
      </c>
      <c r="V1" s="0" t="s">
        <v>5</v>
      </c>
      <c r="W1" s="19" t="s">
        <v>1</v>
      </c>
    </row>
    <row r="2">
      <c r="A2" s="7" t="s">
        <v>6</v>
      </c>
      <c r="B2" s="19" t="s">
        <v>1</v>
      </c>
      <c r="C2" s="0" t="s">
        <v>7</v>
      </c>
      <c r="D2" s="0" t="s">
        <v>8</v>
      </c>
      <c r="E2" s="0" t="s">
        <v>7</v>
      </c>
      <c r="F2" s="0" t="s">
        <v>8</v>
      </c>
      <c r="G2" s="0" t="s">
        <v>8</v>
      </c>
      <c r="H2" s="0" t="s">
        <v>8</v>
      </c>
      <c r="I2" s="19" t="s">
        <v>1</v>
      </c>
      <c r="J2" s="0" t="s">
        <v>7</v>
      </c>
      <c r="K2" s="0" t="s">
        <v>8</v>
      </c>
      <c r="L2" s="0" t="s">
        <v>7</v>
      </c>
      <c r="M2" s="0" t="s">
        <v>8</v>
      </c>
      <c r="N2" s="0" t="s">
        <v>8</v>
      </c>
      <c r="O2" s="0" t="s">
        <v>8</v>
      </c>
      <c r="P2" s="19" t="s">
        <v>1</v>
      </c>
      <c r="Q2" s="0" t="s">
        <v>7</v>
      </c>
      <c r="R2" s="0" t="s">
        <v>8</v>
      </c>
      <c r="S2" s="0" t="s">
        <v>7</v>
      </c>
      <c r="T2" s="0" t="s">
        <v>8</v>
      </c>
      <c r="U2" s="0" t="s">
        <v>8</v>
      </c>
      <c r="V2" s="0" t="s">
        <v>8</v>
      </c>
      <c r="W2" s="19" t="s">
        <v>1</v>
      </c>
    </row>
    <row r="3" ht="16">
      <c r="A3" s="7" t="s">
        <v>9</v>
      </c>
      <c r="B3" s="19" t="s">
        <v>1</v>
      </c>
      <c r="C3" s="0" t="s">
        <v>10</v>
      </c>
      <c r="D3" s="0" t="s">
        <v>10</v>
      </c>
      <c r="E3" s="0" t="s">
        <v>10</v>
      </c>
      <c r="F3" s="0" t="s">
        <v>10</v>
      </c>
      <c r="G3" s="0" t="s">
        <v>10</v>
      </c>
      <c r="H3" s="0" t="s">
        <v>10</v>
      </c>
      <c r="I3" s="19" t="s">
        <v>10</v>
      </c>
      <c r="J3" s="0" t="s">
        <v>11</v>
      </c>
      <c r="K3" s="0" t="s">
        <v>11</v>
      </c>
      <c r="L3" s="0" t="s">
        <v>11</v>
      </c>
      <c r="M3" s="0" t="s">
        <v>11</v>
      </c>
      <c r="N3" s="0" t="s">
        <v>11</v>
      </c>
      <c r="O3" s="0" t="s">
        <v>11</v>
      </c>
      <c r="P3" s="19" t="s">
        <v>11</v>
      </c>
      <c r="Q3" s="0" t="s">
        <v>12</v>
      </c>
      <c r="R3" s="0" t="s">
        <v>12</v>
      </c>
      <c r="S3" s="0" t="s">
        <v>12</v>
      </c>
      <c r="T3" s="0" t="s">
        <v>12</v>
      </c>
      <c r="U3" s="0" t="s">
        <v>12</v>
      </c>
      <c r="V3" s="0" t="s">
        <v>12</v>
      </c>
      <c r="W3" s="19" t="s">
        <v>12</v>
      </c>
    </row>
    <row r="4" ht="16">
      <c r="A4" s="5" t="s">
        <v>13</v>
      </c>
      <c r="D4" s="8"/>
    </row>
    <row r="5" ht="16">
      <c r="A5" s="5"/>
    </row>
    <row r="6" ht="16">
      <c r="A6" s="5" t="s">
        <v>15</v>
      </c>
      <c r="B6" s="13">
        <f>I6+P6+W6</f>
        <v>0</v>
      </c>
      <c r="C6" s="0">
        <f>COUNTIFS(Accounts!$E:$E,CurrentSaaS!C$1,Accounts!$G:$G,CurrentSaaS!C$2,Accounts!$F:$F,CurrentSaaS!C$3,Accounts!$W:$W,1)</f>
        <v>0</v>
      </c>
      <c r="D6" s="0">
        <f>COUNTIFS(Accounts!$E:$E,CurrentSaaS!D$1,Accounts!$G:$G,CurrentSaaS!D$2,Accounts!$F:$F,CurrentSaaS!D$3,Accounts!$W:$W,1)</f>
        <v>0</v>
      </c>
      <c r="E6" s="0">
        <f>COUNTIFS(Accounts!$E:$E,CurrentSaaS!E$1,Accounts!$G:$G,CurrentSaaS!E$2,Accounts!$F:$F,CurrentSaaS!E$3,Accounts!$W:$W,1)</f>
        <v>0</v>
      </c>
      <c r="F6" s="0">
        <f>COUNTIFS(Accounts!$E:$E,CurrentSaaS!F$1,Accounts!$G:$G,CurrentSaaS!F$2,Accounts!$F:$F,CurrentSaaS!F$3,Accounts!$W:$W,1)</f>
        <v>0</v>
      </c>
      <c r="G6" s="0">
        <f>COUNTIFS(Accounts!$E:$E,CurrentSaaS!G$1,Accounts!$G:$G,CurrentSaaS!G$2,Accounts!$F:$F,CurrentSaaS!G$3,Accounts!$W:$W,1)</f>
        <v>0</v>
      </c>
      <c r="H6" s="0">
        <f>COUNTIFS(Accounts!$E:$E,CurrentSaaS!H$1,Accounts!$G:$G,CurrentSaaS!H$2,Accounts!$F:$F,CurrentSaaS!H$3,Accounts!$W:$W,1)</f>
        <v>0</v>
      </c>
      <c r="I6" s="19">
        <f>SUM(C6:H6)</f>
        <v>0</v>
      </c>
      <c r="J6" s="0">
        <f>COUNTIFS(Accounts!$E:$E,CurrentSaaS!J$1,Accounts!$G:$G,CurrentSaaS!J$2,Accounts!$F:$F,CurrentSaaS!J$3,Accounts!$W:$W,1)</f>
        <v>0</v>
      </c>
      <c r="K6" s="0">
        <f>COUNTIFS(Accounts!$E:$E,CurrentSaaS!K$1,Accounts!$G:$G,CurrentSaaS!K$2,Accounts!$F:$F,CurrentSaaS!K$3,Accounts!$W:$W,1)</f>
        <v>0</v>
      </c>
      <c r="L6" s="0">
        <f>COUNTIFS(Accounts!$E:$E,CurrentSaaS!L$1,Accounts!$G:$G,CurrentSaaS!L$2,Accounts!$F:$F,CurrentSaaS!L$3,Accounts!$W:$W,1)</f>
        <v>0</v>
      </c>
      <c r="M6" s="0">
        <f>COUNTIFS(Accounts!$E:$E,CurrentSaaS!M$1,Accounts!$G:$G,CurrentSaaS!M$2,Accounts!$F:$F,CurrentSaaS!M$3,Accounts!$W:$W,1)</f>
        <v>0</v>
      </c>
      <c r="N6" s="0">
        <f>COUNTIFS(Accounts!$E:$E,CurrentSaaS!N$1,Accounts!$G:$G,CurrentSaaS!N$2,Accounts!$F:$F,CurrentSaaS!N$3,Accounts!$W:$W,1)</f>
        <v>0</v>
      </c>
      <c r="O6" s="0">
        <f>COUNTIFS(Accounts!$E:$E,CurrentSaaS!O$1,Accounts!$G:$G,CurrentSaaS!O$2,Accounts!$F:$F,CurrentSaaS!O$3,Accounts!$W:$W,1)</f>
        <v>0</v>
      </c>
      <c r="P6" s="19">
        <f>SUM(J6:O6)</f>
        <v>0</v>
      </c>
      <c r="Q6" s="0">
        <f>COUNTIFS(Accounts!$E:$E,CurrentSaaS!Q$1,Accounts!$G:$G,CurrentSaaS!Q$2,Accounts!$F:$F,CurrentSaaS!Q$3,Accounts!$W:$W,1)</f>
        <v>0</v>
      </c>
      <c r="R6" s="0">
        <f>COUNTIFS(Accounts!$E:$E,CurrentSaaS!R$1,Accounts!$G:$G,CurrentSaaS!R$2,Accounts!$F:$F,CurrentSaaS!R$3,Accounts!$W:$W,1)</f>
        <v>0</v>
      </c>
      <c r="S6" s="0">
        <f>COUNTIFS(Accounts!$E:$E,CurrentSaaS!S$1,Accounts!$G:$G,CurrentSaaS!S$2,Accounts!$F:$F,CurrentSaaS!S$3,Accounts!$W:$W,1)</f>
        <v>0</v>
      </c>
      <c r="T6" s="0">
        <f>COUNTIFS(Accounts!$E:$E,CurrentSaaS!T$1,Accounts!$G:$G,CurrentSaaS!T$2,Accounts!$F:$F,CurrentSaaS!T$3,Accounts!$W:$W,1)</f>
        <v>0</v>
      </c>
      <c r="U6" s="0">
        <f>COUNTIFS(Accounts!$E:$E,CurrentSaaS!U$1,Accounts!$G:$G,CurrentSaaS!U$2,Accounts!$F:$F,CurrentSaaS!U$3,Accounts!$W:$W,1)</f>
        <v>0</v>
      </c>
      <c r="V6" s="0">
        <f>COUNTIFS(Accounts!$E:$E,CurrentSaaS!V$1,Accounts!$G:$G,CurrentSaaS!V$2,Accounts!$F:$F,CurrentSaaS!V$3,Accounts!$W:$W,1)</f>
        <v>0</v>
      </c>
      <c r="W6" s="19">
        <f>SUM(Q6:V6)</f>
        <v>0</v>
      </c>
    </row>
    <row r="7" ht="16">
      <c r="A7" s="5" t="s">
        <v>18</v>
      </c>
      <c r="B7" s="14">
        <f ref="B7:W7" t="shared" si="0">IF(B6=0,0,B8/B6)</f>
        <v>0</v>
      </c>
      <c r="C7" s="22">
        <f t="shared" si="0"/>
        <v>0</v>
      </c>
      <c r="D7" s="22">
        <f t="shared" si="0"/>
        <v>0</v>
      </c>
      <c r="E7" s="22">
        <f t="shared" si="0"/>
        <v>0</v>
      </c>
      <c r="F7" s="22">
        <f t="shared" si="0"/>
        <v>0</v>
      </c>
      <c r="G7" s="22">
        <f t="shared" si="0"/>
        <v>0</v>
      </c>
      <c r="H7" s="22">
        <f t="shared" si="0"/>
        <v>0</v>
      </c>
      <c r="I7" s="10">
        <f t="shared" si="0"/>
        <v>0</v>
      </c>
      <c r="J7" s="22">
        <f t="shared" si="0"/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10">
        <f t="shared" si="0"/>
        <v>0</v>
      </c>
      <c r="Q7" s="22">
        <f t="shared" si="0"/>
        <v>0</v>
      </c>
      <c r="R7" s="22">
        <f t="shared" si="0"/>
        <v>0</v>
      </c>
      <c r="S7" s="22">
        <f t="shared" si="0"/>
        <v>0</v>
      </c>
      <c r="T7" s="22">
        <f t="shared" si="0"/>
        <v>0</v>
      </c>
      <c r="U7" s="22">
        <f t="shared" si="0"/>
        <v>0</v>
      </c>
      <c r="V7" s="22">
        <f t="shared" si="0"/>
        <v>0</v>
      </c>
      <c r="W7" s="10">
        <f t="shared" si="0"/>
        <v>0</v>
      </c>
    </row>
    <row r="8" ht="16">
      <c r="A8" s="11" t="s">
        <v>19</v>
      </c>
      <c r="B8" s="14">
        <f>I8+P8+W8</f>
        <v>0</v>
      </c>
      <c r="C8" s="22">
        <f>SUMIFS(Accounts!$BH:$BH,Accounts!$E:$E,CurrentSaaS!C$1,Accounts!$G:$G,CurrentSaaS!C$2,Accounts!$F:$F,CurrentSaaS!C$3,Accounts!$W:$W,1)</f>
        <v>0</v>
      </c>
      <c r="D8" s="22">
        <f>SUMIFS(Accounts!$BH:$BH,Accounts!$E:$E,CurrentSaaS!D$1,Accounts!$G:$G,CurrentSaaS!D$2,Accounts!$F:$F,CurrentSaaS!D$3,Accounts!$W:$W,1)</f>
        <v>0</v>
      </c>
      <c r="E8" s="22">
        <f>SUMIFS(Accounts!$BH:$BH,Accounts!$E:$E,CurrentSaaS!E$1,Accounts!$G:$G,CurrentSaaS!E$2,Accounts!$F:$F,CurrentSaaS!E$3,Accounts!$W:$W,1)</f>
        <v>0</v>
      </c>
      <c r="F8" s="22">
        <f>SUMIFS(Accounts!$BH:$BH,Accounts!$E:$E,CurrentSaaS!F$1,Accounts!$G:$G,CurrentSaaS!F$2,Accounts!$F:$F,CurrentSaaS!F$3,Accounts!$W:$W,1)</f>
        <v>0</v>
      </c>
      <c r="G8" s="22">
        <f>SUMIFS(Accounts!$BH:$BH,Accounts!$E:$E,CurrentSaaS!G$1,Accounts!$G:$G,CurrentSaaS!G$2,Accounts!$F:$F,CurrentSaaS!G$3,Accounts!$W:$W,1)</f>
        <v>0</v>
      </c>
      <c r="H8" s="22">
        <f>SUMIFS(Accounts!$BH:$BH,Accounts!$E:$E,CurrentSaaS!H$1,Accounts!$G:$G,CurrentSaaS!H$2,Accounts!$F:$F,CurrentSaaS!H$3,Accounts!$W:$W,1)</f>
        <v>0</v>
      </c>
      <c r="I8" s="10">
        <f>SUM(C8:H8)</f>
        <v>0</v>
      </c>
      <c r="J8" s="22">
        <f>SUMIFS(Accounts!$BH:$BH,Accounts!$E:$E,CurrentSaaS!J$1,Accounts!$G:$G,CurrentSaaS!J$2,Accounts!$F:$F,CurrentSaaS!J$3,Accounts!$W:$W,1)</f>
        <v>0</v>
      </c>
      <c r="K8" s="22">
        <f>SUMIFS(Accounts!$BH:$BH,Accounts!$E:$E,CurrentSaaS!K$1,Accounts!$G:$G,CurrentSaaS!K$2,Accounts!$F:$F,CurrentSaaS!K$3,Accounts!$W:$W,1)</f>
        <v>0</v>
      </c>
      <c r="L8" s="22">
        <f>SUMIFS(Accounts!$BH:$BH,Accounts!$E:$E,CurrentSaaS!L$1,Accounts!$G:$G,CurrentSaaS!L$2,Accounts!$F:$F,CurrentSaaS!L$3,Accounts!$W:$W,1)</f>
        <v>0</v>
      </c>
      <c r="M8" s="22">
        <f>SUMIFS(Accounts!$BH:$BH,Accounts!$E:$E,CurrentSaaS!M$1,Accounts!$G:$G,CurrentSaaS!M$2,Accounts!$F:$F,CurrentSaaS!M$3,Accounts!$W:$W,1)</f>
        <v>0</v>
      </c>
      <c r="N8" s="22">
        <f>SUMIFS(Accounts!$BH:$BH,Accounts!$E:$E,CurrentSaaS!N$1,Accounts!$G:$G,CurrentSaaS!N$2,Accounts!$F:$F,CurrentSaaS!N$3,Accounts!$W:$W,1)</f>
        <v>0</v>
      </c>
      <c r="O8" s="22">
        <f>SUMIFS(Accounts!$BH:$BH,Accounts!$E:$E,CurrentSaaS!O$1,Accounts!$G:$G,CurrentSaaS!O$2,Accounts!$F:$F,CurrentSaaS!O$3,Accounts!$W:$W,1)</f>
        <v>0</v>
      </c>
      <c r="P8" s="10">
        <f>SUM(J8:O8)</f>
        <v>0</v>
      </c>
      <c r="Q8" s="22">
        <f>SUMIFS(Accounts!$BH:$BH,Accounts!$E:$E,CurrentSaaS!Q$1,Accounts!$G:$G,CurrentSaaS!Q$2,Accounts!$F:$F,CurrentSaaS!Q$3,Accounts!$W:$W,1)</f>
        <v>0</v>
      </c>
      <c r="R8" s="22">
        <f>SUMIFS(Accounts!$BH:$BH,Accounts!$E:$E,CurrentSaaS!R$1,Accounts!$G:$G,CurrentSaaS!R$2,Accounts!$F:$F,CurrentSaaS!R$3,Accounts!$W:$W,1)</f>
        <v>0</v>
      </c>
      <c r="S8" s="22">
        <f>SUMIFS(Accounts!$BH:$BH,Accounts!$E:$E,CurrentSaaS!S$1,Accounts!$G:$G,CurrentSaaS!S$2,Accounts!$F:$F,CurrentSaaS!S$3,Accounts!$W:$W,1)</f>
        <v>0</v>
      </c>
      <c r="T8" s="22">
        <f>SUMIFS(Accounts!$BH:$BH,Accounts!$E:$E,CurrentSaaS!T$1,Accounts!$G:$G,CurrentSaaS!T$2,Accounts!$F:$F,CurrentSaaS!T$3,Accounts!$W:$W,1)</f>
        <v>0</v>
      </c>
      <c r="U8" s="22">
        <f>SUMIFS(Accounts!$BH:$BH,Accounts!$E:$E,CurrentSaaS!U$1,Accounts!$G:$G,CurrentSaaS!U$2,Accounts!$F:$F,CurrentSaaS!U$3,Accounts!$W:$W,1)</f>
        <v>0</v>
      </c>
      <c r="V8" s="22">
        <f>SUMIFS(Accounts!$BH:$BH,Accounts!$E:$E,CurrentSaaS!V$1,Accounts!$G:$G,CurrentSaaS!V$2,Accounts!$F:$F,CurrentSaaS!V$3,Accounts!$W:$W,1)</f>
        <v>0</v>
      </c>
      <c r="W8" s="10">
        <f>SUM(Q8:V8)</f>
        <v>0</v>
      </c>
    </row>
    <row r="9" ht="16">
      <c r="A9" s="11"/>
      <c r="B9" s="13"/>
    </row>
    <row r="10" ht="16">
      <c r="A10" s="5" t="s">
        <v>24</v>
      </c>
      <c r="B10" s="13"/>
    </row>
    <row r="11" ht="16">
      <c r="A11" s="5" t="s">
        <v>26</v>
      </c>
      <c r="B11" s="13"/>
    </row>
    <row r="12" ht="16">
      <c r="A12" s="5" t="s">
        <v>30</v>
      </c>
      <c r="B12" s="13">
        <f>I12+P12+W12</f>
        <v>0</v>
      </c>
      <c r="C12" s="0">
        <f>COUNTIFS(Accounts!$E:$E,CurrentSaaS!C$1,Accounts!$G:$G,CurrentSaaS!C$2,Accounts!$F:$F,CurrentSaaS!C$3,Accounts!$B:$B,"Customer",Accounts!$BJ:$BJ,"Monthly",Accounts!$C:$C,"Customer",Accounts!$H:$H,"&lt;="&amp;30)</f>
        <v>0</v>
      </c>
      <c r="D12" s="0">
        <f>COUNTIFS(Accounts!$E:$E,CurrentSaaS!D$1,Accounts!$G:$G,CurrentSaaS!D$2,Accounts!$F:$F,CurrentSaaS!D$3,Accounts!$B:$B,"Customer",Accounts!$BJ:$BJ,"Monthly",Accounts!$C:$C,"Customer",Accounts!$H:$H,"&lt;="&amp;30)</f>
        <v>0</v>
      </c>
      <c r="E12" s="0">
        <f>COUNTIFS(Accounts!$E:$E,CurrentSaaS!E$1,Accounts!$G:$G,CurrentSaaS!E$2,Accounts!$F:$F,CurrentSaaS!E$3,Accounts!$B:$B,"Customer",Accounts!$BJ:$BJ,"Monthly",Accounts!$C:$C,"Customer",Accounts!$H:$H,"&lt;="&amp;30)</f>
        <v>0</v>
      </c>
      <c r="F12" s="0">
        <f>COUNTIFS(Accounts!$E:$E,CurrentSaaS!F$1,Accounts!$G:$G,CurrentSaaS!F$2,Accounts!$F:$F,CurrentSaaS!F$3,Accounts!$B:$B,"Customer",Accounts!$BJ:$BJ,"Monthly",Accounts!$C:$C,"Customer",Accounts!$H:$H,"&lt;="&amp;30)</f>
        <v>0</v>
      </c>
      <c r="G12" s="0">
        <f>COUNTIFS(Accounts!$E:$E,CurrentSaaS!G$1,Accounts!$G:$G,CurrentSaaS!G$2,Accounts!$F:$F,CurrentSaaS!G$3,Accounts!$B:$B,"Customer",Accounts!$BJ:$BJ,"Monthly",Accounts!$C:$C,"Customer",Accounts!$H:$H,"&lt;="&amp;30)</f>
        <v>0</v>
      </c>
      <c r="H12" s="0">
        <f>COUNTIFS(Accounts!$E:$E,CurrentSaaS!H$1,Accounts!$G:$G,CurrentSaaS!H$2,Accounts!$F:$F,CurrentSaaS!H$3,Accounts!$B:$B,"Customer",Accounts!$BJ:$BJ,"Monthly",Accounts!$C:$C,"Customer",Accounts!$H:$H,"&lt;="&amp;30)</f>
        <v>0</v>
      </c>
      <c r="I12" s="19">
        <f>SUM(C12:H12)</f>
        <v>0</v>
      </c>
      <c r="J12" s="0">
        <f>COUNTIFS(Accounts!$E:$E,CurrentSaaS!J$1,Accounts!$G:$G,CurrentSaaS!J$2,Accounts!$F:$F,CurrentSaaS!J$3,Accounts!$B:$B,"Customer",Accounts!$BJ:$BJ,"Monthly",Accounts!$C:$C,"Customer",Accounts!$H:$H,"&lt;="&amp;30)</f>
        <v>0</v>
      </c>
      <c r="K12" s="0">
        <f>COUNTIFS(Accounts!$E:$E,CurrentSaaS!K$1,Accounts!$G:$G,CurrentSaaS!K$2,Accounts!$F:$F,CurrentSaaS!K$3,Accounts!$B:$B,"Customer",Accounts!$BJ:$BJ,"Monthly",Accounts!$C:$C,"Customer",Accounts!$H:$H,"&lt;="&amp;30)</f>
        <v>0</v>
      </c>
      <c r="L12" s="0">
        <f>COUNTIFS(Accounts!$E:$E,CurrentSaaS!L$1,Accounts!$G:$G,CurrentSaaS!L$2,Accounts!$F:$F,CurrentSaaS!L$3,Accounts!$B:$B,"Customer",Accounts!$BJ:$BJ,"Monthly",Accounts!$C:$C,"Customer",Accounts!$H:$H,"&lt;="&amp;30)</f>
        <v>0</v>
      </c>
      <c r="M12" s="0">
        <f>COUNTIFS(Accounts!$E:$E,CurrentSaaS!M$1,Accounts!$G:$G,CurrentSaaS!M$2,Accounts!$F:$F,CurrentSaaS!M$3,Accounts!$B:$B,"Customer",Accounts!$BJ:$BJ,"Monthly",Accounts!$C:$C,"Customer",Accounts!$H:$H,"&lt;="&amp;30)</f>
        <v>0</v>
      </c>
      <c r="N12" s="0">
        <f>COUNTIFS(Accounts!$E:$E,CurrentSaaS!N$1,Accounts!$G:$G,CurrentSaaS!N$2,Accounts!$F:$F,CurrentSaaS!N$3,Accounts!$B:$B,"Customer",Accounts!$BJ:$BJ,"Monthly",Accounts!$C:$C,"Customer",Accounts!$H:$H,"&lt;="&amp;30)</f>
        <v>0</v>
      </c>
      <c r="O12" s="0">
        <f>COUNTIFS(Accounts!$E:$E,CurrentSaaS!O$1,Accounts!$G:$G,CurrentSaaS!O$2,Accounts!$F:$F,CurrentSaaS!O$3,Accounts!$B:$B,"Customer",Accounts!$BJ:$BJ,"Monthly",Accounts!$C:$C,"Customer",Accounts!$H:$H,"&lt;="&amp;30)</f>
        <v>0</v>
      </c>
      <c r="P12" s="19">
        <f>SUM(J12:O12)</f>
        <v>0</v>
      </c>
      <c r="Q12" s="0">
        <f>COUNTIFS(Accounts!$E:$E,CurrentSaaS!Q$1,Accounts!$G:$G,CurrentSaaS!Q$2,Accounts!$F:$F,CurrentSaaS!Q$3,Accounts!$B:$B,"Customer",Accounts!$BJ:$BJ,"Monthly",Accounts!$C:$C,"Customer",Accounts!$H:$H,"&lt;="&amp;30)</f>
        <v>0</v>
      </c>
      <c r="R12" s="0">
        <f>COUNTIFS(Accounts!$E:$E,CurrentSaaS!R$1,Accounts!$G:$G,CurrentSaaS!R$2,Accounts!$F:$F,CurrentSaaS!R$3,Accounts!$B:$B,"Customer",Accounts!$BJ:$BJ,"Monthly",Accounts!$C:$C,"Customer",Accounts!$H:$H,"&lt;="&amp;30)</f>
        <v>0</v>
      </c>
      <c r="S12" s="0">
        <f>COUNTIFS(Accounts!$E:$E,CurrentSaaS!S$1,Accounts!$G:$G,CurrentSaaS!S$2,Accounts!$F:$F,CurrentSaaS!S$3,Accounts!$B:$B,"Customer",Accounts!$BJ:$BJ,"Monthly",Accounts!$C:$C,"Customer",Accounts!$H:$H,"&lt;="&amp;30)</f>
        <v>0</v>
      </c>
      <c r="T12" s="0">
        <f>COUNTIFS(Accounts!$E:$E,CurrentSaaS!T$1,Accounts!$G:$G,CurrentSaaS!T$2,Accounts!$F:$F,CurrentSaaS!T$3,Accounts!$B:$B,"Customer",Accounts!$BJ:$BJ,"Monthly",Accounts!$C:$C,"Customer",Accounts!$H:$H,"&lt;="&amp;30)</f>
        <v>0</v>
      </c>
      <c r="U12" s="0">
        <f>COUNTIFS(Accounts!$E:$E,CurrentSaaS!U$1,Accounts!$G:$G,CurrentSaaS!U$2,Accounts!$F:$F,CurrentSaaS!U$3,Accounts!$B:$B,"Customer",Accounts!$BJ:$BJ,"Monthly",Accounts!$C:$C,"Customer",Accounts!$H:$H,"&lt;="&amp;30)</f>
        <v>0</v>
      </c>
      <c r="V12" s="0">
        <f>COUNTIFS(Accounts!$E:$E,CurrentSaaS!V$1,Accounts!$G:$G,CurrentSaaS!V$2,Accounts!$F:$F,CurrentSaaS!V$3,Accounts!$B:$B,"Customer",Accounts!$BJ:$BJ,"Monthly",Accounts!$C:$C,"Customer",Accounts!$H:$H,"&lt;="&amp;30)</f>
        <v>0</v>
      </c>
      <c r="W12" s="19">
        <f>SUM(Q12:V12)</f>
        <v>0</v>
      </c>
    </row>
    <row r="13" ht="16">
      <c r="A13" s="5" t="s">
        <v>33</v>
      </c>
      <c r="B13" s="14">
        <f ref="B13:W13" t="shared" si="1">IF(B12=0,0,B14/B12)</f>
        <v>0</v>
      </c>
      <c r="C13" s="22">
        <f t="shared" si="1"/>
        <v>0</v>
      </c>
      <c r="D13" s="22">
        <f t="shared" si="1"/>
        <v>0</v>
      </c>
      <c r="E13" s="22">
        <f t="shared" si="1"/>
        <v>0</v>
      </c>
      <c r="F13" s="22">
        <f t="shared" si="1"/>
        <v>0</v>
      </c>
      <c r="G13" s="22">
        <f t="shared" si="1"/>
        <v>0</v>
      </c>
      <c r="H13" s="22">
        <f t="shared" si="1"/>
        <v>0</v>
      </c>
      <c r="I13" s="10">
        <f t="shared" si="1"/>
        <v>0</v>
      </c>
      <c r="J13" s="22">
        <f t="shared" si="1"/>
        <v>0</v>
      </c>
      <c r="K13" s="22">
        <f t="shared" si="1"/>
        <v>0</v>
      </c>
      <c r="L13" s="22">
        <f t="shared" si="1"/>
        <v>0</v>
      </c>
      <c r="M13" s="22">
        <f t="shared" si="1"/>
        <v>0</v>
      </c>
      <c r="N13" s="22">
        <f t="shared" si="1"/>
        <v>0</v>
      </c>
      <c r="O13" s="22">
        <f t="shared" si="1"/>
        <v>0</v>
      </c>
      <c r="P13" s="10">
        <f t="shared" si="1"/>
        <v>0</v>
      </c>
      <c r="Q13" s="22">
        <f t="shared" si="1"/>
        <v>0</v>
      </c>
      <c r="R13" s="22">
        <f t="shared" si="1"/>
        <v>0</v>
      </c>
      <c r="S13" s="22">
        <f t="shared" si="1"/>
        <v>0</v>
      </c>
      <c r="T13" s="22">
        <f t="shared" si="1"/>
        <v>0</v>
      </c>
      <c r="U13" s="22">
        <f t="shared" si="1"/>
        <v>0</v>
      </c>
      <c r="V13" s="22">
        <f t="shared" si="1"/>
        <v>0</v>
      </c>
      <c r="W13" s="10">
        <f t="shared" si="1"/>
        <v>0</v>
      </c>
    </row>
    <row r="14" ht="16">
      <c r="A14" s="5" t="s">
        <v>34</v>
      </c>
      <c r="B14" s="14">
        <f>I14+P14+W14</f>
        <v>0</v>
      </c>
      <c r="C14" s="22">
        <f>SUMIFS(Accounts!$BH:$BH,Accounts!$E:$E,CurrentSaaS!C$1,Accounts!$G:$G,CurrentSaaS!C$2,Accounts!$F:$F,CurrentSaaS!C$3,Accounts!$W:$W,0,Accounts!$C:$C,"Customer",Accounts!$BJ:$BJ,"Monthly",Accounts!$H:$H,"&lt;="&amp;30)</f>
        <v>0</v>
      </c>
      <c r="D14" s="22">
        <f>SUMIFS(Accounts!$BH:$BH,Accounts!$E:$E,CurrentSaaS!D$1,Accounts!$G:$G,CurrentSaaS!D$2,Accounts!$F:$F,CurrentSaaS!D$3,Accounts!$W:$W,0,Accounts!$C:$C,"Customer",Accounts!$BJ:$BJ,"Monthly",Accounts!$H:$H,"&lt;="&amp;30)</f>
        <v>0</v>
      </c>
      <c r="E14" s="22">
        <f>SUMIFS(Accounts!$BH:$BH,Accounts!$E:$E,CurrentSaaS!E$1,Accounts!$G:$G,CurrentSaaS!E$2,Accounts!$F:$F,CurrentSaaS!E$3,Accounts!$W:$W,0,Accounts!$C:$C,"Customer",Accounts!$BJ:$BJ,"Monthly",Accounts!$H:$H,"&lt;="&amp;30)</f>
        <v>0</v>
      </c>
      <c r="F14" s="22">
        <f>SUMIFS(Accounts!$BH:$BH,Accounts!$E:$E,CurrentSaaS!F$1,Accounts!$G:$G,CurrentSaaS!F$2,Accounts!$F:$F,CurrentSaaS!F$3,Accounts!$W:$W,0,Accounts!$C:$C,"Customer",Accounts!$BJ:$BJ,"Monthly",Accounts!$H:$H,"&lt;="&amp;30)</f>
        <v>0</v>
      </c>
      <c r="G14" s="22">
        <f>SUMIFS(Accounts!$BH:$BH,Accounts!$E:$E,CurrentSaaS!G$1,Accounts!$G:$G,CurrentSaaS!G$2,Accounts!$F:$F,CurrentSaaS!G$3,Accounts!$W:$W,0,Accounts!$C:$C,"Customer",Accounts!$BJ:$BJ,"Monthly",Accounts!$H:$H,"&lt;="&amp;30)</f>
        <v>0</v>
      </c>
      <c r="H14" s="22">
        <f>SUMIFS(Accounts!$BH:$BH,Accounts!$E:$E,CurrentSaaS!H$1,Accounts!$G:$G,CurrentSaaS!H$2,Accounts!$F:$F,CurrentSaaS!H$3,Accounts!$W:$W,0,Accounts!$C:$C,"Customer",Accounts!$BJ:$BJ,"Monthly",Accounts!$H:$H,"&lt;="&amp;30)</f>
        <v>0</v>
      </c>
      <c r="I14" s="10">
        <f>SUM(C14:H14)</f>
        <v>0</v>
      </c>
      <c r="J14" s="22">
        <f>SUMIFS(Accounts!$BH:$BH,Accounts!$E:$E,CurrentSaaS!J$1,Accounts!$G:$G,CurrentSaaS!J$2,Accounts!$F:$F,CurrentSaaS!J$3,Accounts!$W:$W,0,Accounts!$C:$C,"Customer",Accounts!$BJ:$BJ,"Monthly",Accounts!$H:$H,"&lt;="&amp;30)</f>
        <v>0</v>
      </c>
      <c r="K14" s="22">
        <f>SUMIFS(Accounts!$BH:$BH,Accounts!$E:$E,CurrentSaaS!K$1,Accounts!$G:$G,CurrentSaaS!K$2,Accounts!$F:$F,CurrentSaaS!K$3,Accounts!$W:$W,0,Accounts!$C:$C,"Customer",Accounts!$BJ:$BJ,"Monthly",Accounts!$H:$H,"&lt;="&amp;30)</f>
        <v>0</v>
      </c>
      <c r="L14" s="22">
        <f>SUMIFS(Accounts!$BH:$BH,Accounts!$E:$E,CurrentSaaS!L$1,Accounts!$G:$G,CurrentSaaS!L$2,Accounts!$F:$F,CurrentSaaS!L$3,Accounts!$W:$W,0,Accounts!$C:$C,"Customer",Accounts!$BJ:$BJ,"Monthly",Accounts!$H:$H,"&lt;="&amp;30)</f>
        <v>0</v>
      </c>
      <c r="M14" s="22">
        <f>SUMIFS(Accounts!$BH:$BH,Accounts!$E:$E,CurrentSaaS!M$1,Accounts!$G:$G,CurrentSaaS!M$2,Accounts!$F:$F,CurrentSaaS!M$3,Accounts!$W:$W,0,Accounts!$C:$C,"Customer",Accounts!$BJ:$BJ,"Monthly",Accounts!$H:$H,"&lt;="&amp;30)</f>
        <v>0</v>
      </c>
      <c r="N14" s="22">
        <f>SUMIFS(Accounts!$BH:$BH,Accounts!$E:$E,CurrentSaaS!N$1,Accounts!$G:$G,CurrentSaaS!N$2,Accounts!$F:$F,CurrentSaaS!N$3,Accounts!$W:$W,0,Accounts!$C:$C,"Customer",Accounts!$BJ:$BJ,"Monthly",Accounts!$H:$H,"&lt;="&amp;30)</f>
        <v>0</v>
      </c>
      <c r="O14" s="22">
        <f>SUMIFS(Accounts!$BH:$BH,Accounts!$E:$E,CurrentSaaS!O$1,Accounts!$G:$G,CurrentSaaS!O$2,Accounts!$F:$F,CurrentSaaS!O$3,Accounts!$W:$W,0,Accounts!$C:$C,"Customer",Accounts!$BJ:$BJ,"Monthly",Accounts!$H:$H,"&lt;="&amp;30)</f>
        <v>0</v>
      </c>
      <c r="P14" s="10">
        <f>SUM(J14:O14)</f>
        <v>0</v>
      </c>
      <c r="Q14" s="22">
        <f>SUMIFS(Accounts!$BH:$BH,Accounts!$E:$E,CurrentSaaS!Q$1,Accounts!$G:$G,CurrentSaaS!Q$2,Accounts!$F:$F,CurrentSaaS!Q$3,Accounts!$W:$W,0,Accounts!$C:$C,"Customer",Accounts!$BJ:$BJ,"Monthly",Accounts!$H:$H,"&lt;="&amp;30)</f>
        <v>0</v>
      </c>
      <c r="R14" s="22">
        <f>SUMIFS(Accounts!$BH:$BH,Accounts!$E:$E,CurrentSaaS!R$1,Accounts!$G:$G,CurrentSaaS!R$2,Accounts!$F:$F,CurrentSaaS!R$3,Accounts!$W:$W,0,Accounts!$C:$C,"Customer",Accounts!$BJ:$BJ,"Monthly",Accounts!$H:$H,"&lt;="&amp;30)</f>
        <v>0</v>
      </c>
      <c r="S14" s="22">
        <f>SUMIFS(Accounts!$BH:$BH,Accounts!$E:$E,CurrentSaaS!S$1,Accounts!$G:$G,CurrentSaaS!S$2,Accounts!$F:$F,CurrentSaaS!S$3,Accounts!$W:$W,0,Accounts!$C:$C,"Customer",Accounts!$BJ:$BJ,"Monthly",Accounts!$H:$H,"&lt;="&amp;30)</f>
        <v>0</v>
      </c>
      <c r="T14" s="22">
        <f>SUMIFS(Accounts!$BH:$BH,Accounts!$E:$E,CurrentSaaS!T$1,Accounts!$G:$G,CurrentSaaS!T$2,Accounts!$F:$F,CurrentSaaS!T$3,Accounts!$W:$W,0,Accounts!$C:$C,"Customer",Accounts!$BJ:$BJ,"Monthly",Accounts!$H:$H,"&lt;="&amp;30)</f>
        <v>0</v>
      </c>
      <c r="U14" s="22">
        <f>SUMIFS(Accounts!$BH:$BH,Accounts!$E:$E,CurrentSaaS!U$1,Accounts!$G:$G,CurrentSaaS!U$2,Accounts!$F:$F,CurrentSaaS!U$3,Accounts!$W:$W,0,Accounts!$C:$C,"Customer",Accounts!$BJ:$BJ,"Monthly",Accounts!$H:$H,"&lt;="&amp;30)</f>
        <v>0</v>
      </c>
      <c r="V14" s="22">
        <f>SUMIFS(Accounts!$BH:$BH,Accounts!$E:$E,CurrentSaaS!V$1,Accounts!$G:$G,CurrentSaaS!V$2,Accounts!$F:$F,CurrentSaaS!V$3,Accounts!$W:$W,0,Accounts!$C:$C,"Customer",Accounts!$BJ:$BJ,"Monthly",Accounts!$H:$H,"&lt;="&amp;30)</f>
        <v>0</v>
      </c>
      <c r="W14" s="10">
        <f>SUM(Q14:V14)</f>
        <v>0</v>
      </c>
    </row>
    <row r="15" ht="16">
      <c r="A15" s="5" t="s">
        <v>35</v>
      </c>
      <c r="B15" s="14"/>
      <c r="C15" s="22"/>
      <c r="D15" s="22"/>
      <c r="E15" s="22"/>
      <c r="F15" s="22"/>
      <c r="G15" s="22"/>
      <c r="H15" s="22"/>
      <c r="I15" s="10"/>
      <c r="J15" s="22"/>
      <c r="K15" s="22"/>
      <c r="L15" s="22"/>
      <c r="M15" s="22"/>
      <c r="N15" s="22"/>
      <c r="O15" s="22"/>
      <c r="P15" s="10"/>
      <c r="Q15" s="22"/>
      <c r="R15" s="22"/>
      <c r="S15" s="22"/>
      <c r="T15" s="22"/>
      <c r="U15" s="22"/>
      <c r="V15" s="22"/>
      <c r="W15" s="10"/>
    </row>
    <row r="16" ht="16">
      <c r="A16" s="5" t="s">
        <v>30</v>
      </c>
      <c r="B16" s="13">
        <f>I16+P16+W16</f>
        <v>0</v>
      </c>
      <c r="C16" s="0">
        <f>COUNTIFS(Accounts!$E:$E,CurrentSaaS!C$1,Accounts!$G:$G,CurrentSaaS!C$2,Accounts!$F:$F,CurrentSaaS!C$3,Accounts!$B:$B,"Customer",Accounts!$BJ:$BJ,"Monthly",Accounts!$C:$C,"Customer",Accounts!$H:$H,"&gt;"&amp;30,Accounts!$H:$H,"&lt;="&amp;60)</f>
        <v>0</v>
      </c>
      <c r="D16" s="0">
        <f>COUNTIFS(Accounts!$E:$E,CurrentSaaS!D$1,Accounts!$G:$G,CurrentSaaS!D$2,Accounts!$F:$F,CurrentSaaS!D$3,Accounts!$B:$B,"Customer",Accounts!$BJ:$BJ,"Monthly",Accounts!$C:$C,"Customer",Accounts!$H:$H,"&gt;"&amp;30,Accounts!$H:$H,"&lt;="&amp;60)</f>
        <v>0</v>
      </c>
      <c r="E16" s="0">
        <f>COUNTIFS(Accounts!$E:$E,CurrentSaaS!E$1,Accounts!$G:$G,CurrentSaaS!E$2,Accounts!$F:$F,CurrentSaaS!E$3,Accounts!$B:$B,"Customer",Accounts!$BJ:$BJ,"Monthly",Accounts!$C:$C,"Customer",Accounts!$H:$H,"&gt;"&amp;30,Accounts!$H:$H,"&lt;="&amp;60)</f>
        <v>0</v>
      </c>
      <c r="F16" s="0">
        <f>COUNTIFS(Accounts!$E:$E,CurrentSaaS!F$1,Accounts!$G:$G,CurrentSaaS!F$2,Accounts!$F:$F,CurrentSaaS!F$3,Accounts!$B:$B,"Customer",Accounts!$BJ:$BJ,"Monthly",Accounts!$C:$C,"Customer",Accounts!$H:$H,"&gt;"&amp;30,Accounts!$H:$H,"&lt;="&amp;60)</f>
        <v>0</v>
      </c>
      <c r="G16" s="0">
        <f>COUNTIFS(Accounts!$E:$E,CurrentSaaS!G$1,Accounts!$G:$G,CurrentSaaS!G$2,Accounts!$F:$F,CurrentSaaS!G$3,Accounts!$B:$B,"Customer",Accounts!$BJ:$BJ,"Monthly",Accounts!$C:$C,"Customer",Accounts!$H:$H,"&gt;"&amp;30,Accounts!$H:$H,"&lt;="&amp;60)</f>
        <v>0</v>
      </c>
      <c r="H16" s="0">
        <f>COUNTIFS(Accounts!$E:$E,CurrentSaaS!H$1,Accounts!$G:$G,CurrentSaaS!H$2,Accounts!$F:$F,CurrentSaaS!H$3,Accounts!$B:$B,"Customer",Accounts!$BJ:$BJ,"Monthly",Accounts!$C:$C,"Customer",Accounts!$H:$H,"&gt;"&amp;30,Accounts!$H:$H,"&lt;="&amp;60)</f>
        <v>0</v>
      </c>
      <c r="I16" s="19">
        <f>SUM(C16:H16)</f>
        <v>0</v>
      </c>
      <c r="J16" s="0">
        <f>COUNTIFS(Accounts!$E:$E,CurrentSaaS!J$1,Accounts!$G:$G,CurrentSaaS!J$2,Accounts!$F:$F,CurrentSaaS!J$3,Accounts!$B:$B,"Customer",Accounts!$BJ:$BJ,"Monthly",Accounts!$C:$C,"Customer",Accounts!$H:$H,"&gt;"&amp;30,Accounts!$H:$H,"&lt;="&amp;60)</f>
        <v>0</v>
      </c>
      <c r="K16" s="0">
        <f>COUNTIFS(Accounts!$E:$E,CurrentSaaS!K$1,Accounts!$G:$G,CurrentSaaS!K$2,Accounts!$F:$F,CurrentSaaS!K$3,Accounts!$B:$B,"Customer",Accounts!$BJ:$BJ,"Monthly",Accounts!$C:$C,"Customer",Accounts!$H:$H,"&gt;"&amp;30,Accounts!$H:$H,"&lt;="&amp;60)</f>
        <v>0</v>
      </c>
      <c r="L16" s="0">
        <f>COUNTIFS(Accounts!$E:$E,CurrentSaaS!L$1,Accounts!$G:$G,CurrentSaaS!L$2,Accounts!$F:$F,CurrentSaaS!L$3,Accounts!$B:$B,"Customer",Accounts!$BJ:$BJ,"Monthly",Accounts!$C:$C,"Customer",Accounts!$H:$H,"&gt;"&amp;30,Accounts!$H:$H,"&lt;="&amp;60)</f>
        <v>0</v>
      </c>
      <c r="M16" s="0">
        <f>COUNTIFS(Accounts!$E:$E,CurrentSaaS!M$1,Accounts!$G:$G,CurrentSaaS!M$2,Accounts!$F:$F,CurrentSaaS!M$3,Accounts!$B:$B,"Customer",Accounts!$BJ:$BJ,"Monthly",Accounts!$C:$C,"Customer",Accounts!$H:$H,"&gt;"&amp;30,Accounts!$H:$H,"&lt;="&amp;60)</f>
        <v>0</v>
      </c>
      <c r="N16" s="0">
        <f>COUNTIFS(Accounts!$E:$E,CurrentSaaS!N$1,Accounts!$G:$G,CurrentSaaS!N$2,Accounts!$F:$F,CurrentSaaS!N$3,Accounts!$B:$B,"Customer",Accounts!$BJ:$BJ,"Monthly",Accounts!$C:$C,"Customer",Accounts!$H:$H,"&gt;"&amp;30,Accounts!$H:$H,"&lt;="&amp;60)</f>
        <v>0</v>
      </c>
      <c r="O16" s="0">
        <f>COUNTIFS(Accounts!$E:$E,CurrentSaaS!O$1,Accounts!$G:$G,CurrentSaaS!O$2,Accounts!$F:$F,CurrentSaaS!O$3,Accounts!$B:$B,"Customer",Accounts!$BJ:$BJ,"Monthly",Accounts!$C:$C,"Customer",Accounts!$H:$H,"&gt;"&amp;30,Accounts!$H:$H,"&lt;="&amp;60)</f>
        <v>0</v>
      </c>
      <c r="P16" s="19">
        <f>SUM(J16:O16)</f>
        <v>0</v>
      </c>
      <c r="Q16" s="0">
        <f>COUNTIFS(Accounts!$E:$E,CurrentSaaS!Q$1,Accounts!$G:$G,CurrentSaaS!Q$2,Accounts!$F:$F,CurrentSaaS!Q$3,Accounts!$B:$B,"Customer",Accounts!$BJ:$BJ,"Monthly",Accounts!$C:$C,"Customer",Accounts!$H:$H,"&gt;"&amp;30,Accounts!$H:$H,"&lt;="&amp;60)</f>
        <v>0</v>
      </c>
      <c r="R16" s="0">
        <f>COUNTIFS(Accounts!$E:$E,CurrentSaaS!R$1,Accounts!$G:$G,CurrentSaaS!R$2,Accounts!$F:$F,CurrentSaaS!R$3,Accounts!$B:$B,"Customer",Accounts!$BJ:$BJ,"Monthly",Accounts!$C:$C,"Customer",Accounts!$H:$H,"&gt;"&amp;30,Accounts!$H:$H,"&lt;="&amp;60)</f>
        <v>0</v>
      </c>
      <c r="S16" s="0">
        <f>COUNTIFS(Accounts!$E:$E,CurrentSaaS!S$1,Accounts!$G:$G,CurrentSaaS!S$2,Accounts!$F:$F,CurrentSaaS!S$3,Accounts!$B:$B,"Customer",Accounts!$BJ:$BJ,"Monthly",Accounts!$C:$C,"Customer",Accounts!$H:$H,"&gt;"&amp;30,Accounts!$H:$H,"&lt;="&amp;60)</f>
        <v>0</v>
      </c>
      <c r="T16" s="0">
        <f>COUNTIFS(Accounts!$E:$E,CurrentSaaS!T$1,Accounts!$G:$G,CurrentSaaS!T$2,Accounts!$F:$F,CurrentSaaS!T$3,Accounts!$B:$B,"Customer",Accounts!$BJ:$BJ,"Monthly",Accounts!$C:$C,"Customer",Accounts!$H:$H,"&gt;"&amp;30,Accounts!$H:$H,"&lt;="&amp;60)</f>
        <v>0</v>
      </c>
      <c r="U16" s="0">
        <f>COUNTIFS(Accounts!$E:$E,CurrentSaaS!U$1,Accounts!$G:$G,CurrentSaaS!U$2,Accounts!$F:$F,CurrentSaaS!U$3,Accounts!$B:$B,"Customer",Accounts!$BJ:$BJ,"Monthly",Accounts!$C:$C,"Customer",Accounts!$H:$H,"&gt;"&amp;30,Accounts!$H:$H,"&lt;="&amp;60)</f>
        <v>0</v>
      </c>
      <c r="V16" s="0">
        <f>COUNTIFS(Accounts!$E:$E,CurrentSaaS!V$1,Accounts!$G:$G,CurrentSaaS!V$2,Accounts!$F:$F,CurrentSaaS!V$3,Accounts!$B:$B,"Customer",Accounts!$BJ:$BJ,"Monthly",Accounts!$C:$C,"Customer",Accounts!$H:$H,"&gt;"&amp;30,Accounts!$H:$H,"&lt;="&amp;60)</f>
        <v>0</v>
      </c>
      <c r="W16" s="19">
        <f>SUM(Q16:V16)</f>
        <v>0</v>
      </c>
    </row>
    <row r="17" ht="16">
      <c r="A17" s="5" t="s">
        <v>33</v>
      </c>
      <c r="B17" s="14">
        <f ref="B17:W17" t="shared" si="2">IF(B16=0,0,B18/B16)</f>
        <v>0</v>
      </c>
      <c r="C17" s="22">
        <f t="shared" si="2"/>
        <v>0</v>
      </c>
      <c r="D17" s="22">
        <f t="shared" si="2"/>
        <v>0</v>
      </c>
      <c r="E17" s="22">
        <f t="shared" si="2"/>
        <v>0</v>
      </c>
      <c r="F17" s="22">
        <f t="shared" si="2"/>
        <v>0</v>
      </c>
      <c r="G17" s="22">
        <f t="shared" si="2"/>
        <v>0</v>
      </c>
      <c r="H17" s="22">
        <f t="shared" si="2"/>
        <v>0</v>
      </c>
      <c r="I17" s="10">
        <f t="shared" si="2"/>
        <v>0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0</v>
      </c>
      <c r="O17" s="22">
        <f t="shared" si="2"/>
        <v>0</v>
      </c>
      <c r="P17" s="10">
        <f t="shared" si="2"/>
        <v>0</v>
      </c>
      <c r="Q17" s="22">
        <f t="shared" si="2"/>
        <v>0</v>
      </c>
      <c r="R17" s="22">
        <f t="shared" si="2"/>
        <v>0</v>
      </c>
      <c r="S17" s="22">
        <f t="shared" si="2"/>
        <v>0</v>
      </c>
      <c r="T17" s="22">
        <f t="shared" si="2"/>
        <v>0</v>
      </c>
      <c r="U17" s="22">
        <f t="shared" si="2"/>
        <v>0</v>
      </c>
      <c r="V17" s="22">
        <f t="shared" si="2"/>
        <v>0</v>
      </c>
      <c r="W17" s="10">
        <f t="shared" si="2"/>
        <v>0</v>
      </c>
    </row>
    <row r="18" ht="16">
      <c r="A18" s="5" t="s">
        <v>34</v>
      </c>
      <c r="B18" s="14">
        <f>I18+P18+W18</f>
        <v>0</v>
      </c>
      <c r="C18" s="22">
        <f>SUMIFS(Accounts!$BH:$BH,Accounts!$E:$E,CurrentSaaS!C$1,Accounts!$G:$G,CurrentSaaS!C$2,Accounts!$F:$F,CurrentSaaS!C$3,Accounts!$W:$W,0,Accounts!$C:$C,"Customer",Accounts!$BJ:$BJ,"Monthly",Accounts!$H:$H,"&gt;"&amp;30,Accounts!$H:$H,"&lt;="&amp;60)</f>
        <v>0</v>
      </c>
      <c r="D18" s="22">
        <f>SUMIFS(Accounts!$BH:$BH,Accounts!$E:$E,CurrentSaaS!D$1,Accounts!$G:$G,CurrentSaaS!D$2,Accounts!$F:$F,CurrentSaaS!D$3,Accounts!$W:$W,0,Accounts!$C:$C,"Customer",Accounts!$BJ:$BJ,"Monthly",Accounts!$H:$H,"&gt;"&amp;30,Accounts!$H:$H,"&lt;="&amp;60)</f>
        <v>0</v>
      </c>
      <c r="E18" s="22">
        <f>SUMIFS(Accounts!$BH:$BH,Accounts!$E:$E,CurrentSaaS!E$1,Accounts!$G:$G,CurrentSaaS!E$2,Accounts!$F:$F,CurrentSaaS!E$3,Accounts!$W:$W,0,Accounts!$C:$C,"Customer",Accounts!$BJ:$BJ,"Monthly",Accounts!$H:$H,"&gt;"&amp;30,Accounts!$H:$H,"&lt;="&amp;60)</f>
        <v>0</v>
      </c>
      <c r="F18" s="22">
        <f>SUMIFS(Accounts!$BH:$BH,Accounts!$E:$E,CurrentSaaS!F$1,Accounts!$G:$G,CurrentSaaS!F$2,Accounts!$F:$F,CurrentSaaS!F$3,Accounts!$W:$W,0,Accounts!$C:$C,"Customer",Accounts!$BJ:$BJ,"Monthly",Accounts!$H:$H,"&gt;"&amp;30,Accounts!$H:$H,"&lt;="&amp;60)</f>
        <v>0</v>
      </c>
      <c r="G18" s="22">
        <f>SUMIFS(Accounts!$BH:$BH,Accounts!$E:$E,CurrentSaaS!G$1,Accounts!$G:$G,CurrentSaaS!G$2,Accounts!$F:$F,CurrentSaaS!G$3,Accounts!$W:$W,0,Accounts!$C:$C,"Customer",Accounts!$BJ:$BJ,"Monthly",Accounts!$H:$H,"&gt;"&amp;30,Accounts!$H:$H,"&lt;="&amp;60)</f>
        <v>0</v>
      </c>
      <c r="H18" s="22">
        <f>SUMIFS(Accounts!$BH:$BH,Accounts!$E:$E,CurrentSaaS!H$1,Accounts!$G:$G,CurrentSaaS!H$2,Accounts!$F:$F,CurrentSaaS!H$3,Accounts!$W:$W,0,Accounts!$C:$C,"Customer",Accounts!$BJ:$BJ,"Monthly",Accounts!$H:$H,"&gt;"&amp;30,Accounts!$H:$H,"&lt;="&amp;60)</f>
        <v>0</v>
      </c>
      <c r="I18" s="10">
        <f>SUM(C18:H18)</f>
        <v>0</v>
      </c>
      <c r="J18" s="22">
        <f>SUMIFS(Accounts!$BH:$BH,Accounts!$E:$E,CurrentSaaS!J$1,Accounts!$G:$G,CurrentSaaS!J$2,Accounts!$F:$F,CurrentSaaS!J$3,Accounts!$W:$W,0,Accounts!$C:$C,"Customer",Accounts!$BJ:$BJ,"Monthly",Accounts!$H:$H,"&gt;"&amp;30,Accounts!$H:$H,"&lt;="&amp;60)</f>
        <v>0</v>
      </c>
      <c r="K18" s="22">
        <f>SUMIFS(Accounts!$BH:$BH,Accounts!$E:$E,CurrentSaaS!K$1,Accounts!$G:$G,CurrentSaaS!K$2,Accounts!$F:$F,CurrentSaaS!K$3,Accounts!$W:$W,0,Accounts!$C:$C,"Customer",Accounts!$BJ:$BJ,"Monthly",Accounts!$H:$H,"&gt;"&amp;30,Accounts!$H:$H,"&lt;="&amp;60)</f>
        <v>0</v>
      </c>
      <c r="L18" s="22">
        <f>SUMIFS(Accounts!$BH:$BH,Accounts!$E:$E,CurrentSaaS!L$1,Accounts!$G:$G,CurrentSaaS!L$2,Accounts!$F:$F,CurrentSaaS!L$3,Accounts!$W:$W,0,Accounts!$C:$C,"Customer",Accounts!$BJ:$BJ,"Monthly",Accounts!$H:$H,"&gt;"&amp;30,Accounts!$H:$H,"&lt;="&amp;60)</f>
        <v>0</v>
      </c>
      <c r="M18" s="22">
        <f>SUMIFS(Accounts!$BH:$BH,Accounts!$E:$E,CurrentSaaS!M$1,Accounts!$G:$G,CurrentSaaS!M$2,Accounts!$F:$F,CurrentSaaS!M$3,Accounts!$W:$W,0,Accounts!$C:$C,"Customer",Accounts!$BJ:$BJ,"Monthly",Accounts!$H:$H,"&gt;"&amp;30,Accounts!$H:$H,"&lt;="&amp;60)</f>
        <v>0</v>
      </c>
      <c r="N18" s="22">
        <f>SUMIFS(Accounts!$BH:$BH,Accounts!$E:$E,CurrentSaaS!N$1,Accounts!$G:$G,CurrentSaaS!N$2,Accounts!$F:$F,CurrentSaaS!N$3,Accounts!$W:$W,0,Accounts!$C:$C,"Customer",Accounts!$BJ:$BJ,"Monthly",Accounts!$H:$H,"&gt;"&amp;30,Accounts!$H:$H,"&lt;="&amp;60)</f>
        <v>0</v>
      </c>
      <c r="O18" s="22">
        <f>SUMIFS(Accounts!$BH:$BH,Accounts!$E:$E,CurrentSaaS!O$1,Accounts!$G:$G,CurrentSaaS!O$2,Accounts!$F:$F,CurrentSaaS!O$3,Accounts!$W:$W,0,Accounts!$C:$C,"Customer",Accounts!$BJ:$BJ,"Monthly",Accounts!$H:$H,"&gt;"&amp;30,Accounts!$H:$H,"&lt;="&amp;60)</f>
        <v>0</v>
      </c>
      <c r="P18" s="10">
        <f>SUM(J18:O18)</f>
        <v>0</v>
      </c>
      <c r="Q18" s="22">
        <f>SUMIFS(Accounts!$BH:$BH,Accounts!$E:$E,CurrentSaaS!Q$1,Accounts!$G:$G,CurrentSaaS!Q$2,Accounts!$F:$F,CurrentSaaS!Q$3,Accounts!$W:$W,0,Accounts!$C:$C,"Customer",Accounts!$BJ:$BJ,"Monthly",Accounts!$H:$H,"&gt;"&amp;30,Accounts!$H:$H,"&lt;="&amp;60)</f>
        <v>0</v>
      </c>
      <c r="R18" s="22">
        <f>SUMIFS(Accounts!$BH:$BH,Accounts!$E:$E,CurrentSaaS!R$1,Accounts!$G:$G,CurrentSaaS!R$2,Accounts!$F:$F,CurrentSaaS!R$3,Accounts!$W:$W,0,Accounts!$C:$C,"Customer",Accounts!$BJ:$BJ,"Monthly",Accounts!$H:$H,"&gt;"&amp;30,Accounts!$H:$H,"&lt;="&amp;60)</f>
        <v>0</v>
      </c>
      <c r="S18" s="22">
        <f>SUMIFS(Accounts!$BH:$BH,Accounts!$E:$E,CurrentSaaS!S$1,Accounts!$G:$G,CurrentSaaS!S$2,Accounts!$F:$F,CurrentSaaS!S$3,Accounts!$W:$W,0,Accounts!$C:$C,"Customer",Accounts!$BJ:$BJ,"Monthly",Accounts!$H:$H,"&gt;"&amp;30,Accounts!$H:$H,"&lt;="&amp;60)</f>
        <v>0</v>
      </c>
      <c r="T18" s="22">
        <f>SUMIFS(Accounts!$BH:$BH,Accounts!$E:$E,CurrentSaaS!T$1,Accounts!$G:$G,CurrentSaaS!T$2,Accounts!$F:$F,CurrentSaaS!T$3,Accounts!$W:$W,0,Accounts!$C:$C,"Customer",Accounts!$BJ:$BJ,"Monthly",Accounts!$H:$H,"&gt;"&amp;30,Accounts!$H:$H,"&lt;="&amp;60)</f>
        <v>0</v>
      </c>
      <c r="U18" s="22">
        <f>SUMIFS(Accounts!$BH:$BH,Accounts!$E:$E,CurrentSaaS!U$1,Accounts!$G:$G,CurrentSaaS!U$2,Accounts!$F:$F,CurrentSaaS!U$3,Accounts!$W:$W,0,Accounts!$C:$C,"Customer",Accounts!$BJ:$BJ,"Monthly",Accounts!$H:$H,"&gt;"&amp;30,Accounts!$H:$H,"&lt;="&amp;60)</f>
        <v>0</v>
      </c>
      <c r="V18" s="22">
        <f>SUMIFS(Accounts!$BH:$BH,Accounts!$E:$E,CurrentSaaS!V$1,Accounts!$G:$G,CurrentSaaS!V$2,Accounts!$F:$F,CurrentSaaS!V$3,Accounts!$W:$W,0,Accounts!$C:$C,"Customer",Accounts!$BJ:$BJ,"Monthly",Accounts!$H:$H,"&gt;"&amp;30,Accounts!$H:$H,"&lt;="&amp;60)</f>
        <v>0</v>
      </c>
      <c r="W18" s="10">
        <f>SUM(Q18:V18)</f>
        <v>0</v>
      </c>
    </row>
    <row r="19" ht="16">
      <c r="A19" s="5" t="s">
        <v>61</v>
      </c>
      <c r="B19" s="14"/>
      <c r="C19" s="22"/>
      <c r="D19" s="22"/>
      <c r="E19" s="22"/>
      <c r="F19" s="22"/>
      <c r="G19" s="22"/>
      <c r="H19" s="22"/>
      <c r="I19" s="10"/>
      <c r="J19" s="22"/>
      <c r="K19" s="22"/>
      <c r="L19" s="22"/>
      <c r="M19" s="22"/>
      <c r="N19" s="22"/>
      <c r="O19" s="22"/>
      <c r="P19" s="10"/>
      <c r="Q19" s="22"/>
      <c r="R19" s="22"/>
      <c r="S19" s="22"/>
      <c r="T19" s="22"/>
      <c r="U19" s="22"/>
      <c r="V19" s="22"/>
      <c r="W19" s="10"/>
    </row>
    <row r="20" ht="16">
      <c r="A20" s="5" t="s">
        <v>30</v>
      </c>
      <c r="B20" s="13">
        <f>I20+P20+W20</f>
        <v>0</v>
      </c>
      <c r="C20" s="0">
        <f>COUNTIFS(Accounts!$E:$E,CurrentSaaS!C$1,Accounts!$G:$G,CurrentSaaS!C$2,Accounts!$F:$F,CurrentSaaS!C$3,Accounts!$B:$B,"Customer",Accounts!$BJ:$BJ,"Monthly",Accounts!$C:$C,"Customer",Accounts!$H:$H,"&gt;"&amp;60,Accounts!$H:$H,"&lt;="&amp;180)</f>
        <v>0</v>
      </c>
      <c r="D20" s="0">
        <f>COUNTIFS(Accounts!$E:$E,CurrentSaaS!D$1,Accounts!$G:$G,CurrentSaaS!D$2,Accounts!$F:$F,CurrentSaaS!D$3,Accounts!$B:$B,"Customer",Accounts!$BJ:$BJ,"Monthly",Accounts!$C:$C,"Customer",Accounts!$H:$H,"&gt;"&amp;60,Accounts!$H:$H,"&lt;="&amp;180)</f>
        <v>0</v>
      </c>
      <c r="E20" s="0">
        <f>COUNTIFS(Accounts!$E:$E,CurrentSaaS!E$1,Accounts!$G:$G,CurrentSaaS!E$2,Accounts!$F:$F,CurrentSaaS!E$3,Accounts!$B:$B,"Customer",Accounts!$BJ:$BJ,"Monthly",Accounts!$C:$C,"Customer",Accounts!$H:$H,"&gt;"&amp;60,Accounts!$H:$H,"&lt;="&amp;180)</f>
        <v>0</v>
      </c>
      <c r="F20" s="0">
        <f>COUNTIFS(Accounts!$E:$E,CurrentSaaS!F$1,Accounts!$G:$G,CurrentSaaS!F$2,Accounts!$F:$F,CurrentSaaS!F$3,Accounts!$B:$B,"Customer",Accounts!$BJ:$BJ,"Monthly",Accounts!$C:$C,"Customer",Accounts!$H:$H,"&gt;"&amp;60,Accounts!$H:$H,"&lt;="&amp;180)</f>
        <v>0</v>
      </c>
      <c r="G20" s="0">
        <f>COUNTIFS(Accounts!$E:$E,CurrentSaaS!G$1,Accounts!$G:$G,CurrentSaaS!G$2,Accounts!$F:$F,CurrentSaaS!G$3,Accounts!$B:$B,"Customer",Accounts!$BJ:$BJ,"Monthly",Accounts!$C:$C,"Customer",Accounts!$H:$H,"&gt;"&amp;60,Accounts!$H:$H,"&lt;="&amp;180)</f>
        <v>0</v>
      </c>
      <c r="H20" s="0">
        <f>COUNTIFS(Accounts!$E:$E,CurrentSaaS!H$1,Accounts!$G:$G,CurrentSaaS!H$2,Accounts!$F:$F,CurrentSaaS!H$3,Accounts!$B:$B,"Customer",Accounts!$BJ:$BJ,"Monthly",Accounts!$C:$C,"Customer",Accounts!$H:$H,"&gt;"&amp;60,Accounts!$H:$H,"&lt;="&amp;180)</f>
        <v>0</v>
      </c>
      <c r="I20" s="19">
        <f>SUM(C20:H20)</f>
        <v>0</v>
      </c>
      <c r="J20" s="0">
        <f>COUNTIFS(Accounts!$E:$E,CurrentSaaS!J$1,Accounts!$G:$G,CurrentSaaS!J$2,Accounts!$F:$F,CurrentSaaS!J$3,Accounts!$B:$B,"Customer",Accounts!$BJ:$BJ,"Monthly",Accounts!$C:$C,"Customer",Accounts!$H:$H,"&gt;"&amp;60,Accounts!$H:$H,"&lt;="&amp;180)</f>
        <v>0</v>
      </c>
      <c r="K20" s="0">
        <f>COUNTIFS(Accounts!$E:$E,CurrentSaaS!K$1,Accounts!$G:$G,CurrentSaaS!K$2,Accounts!$F:$F,CurrentSaaS!K$3,Accounts!$B:$B,"Customer",Accounts!$BJ:$BJ,"Monthly",Accounts!$C:$C,"Customer",Accounts!$H:$H,"&gt;"&amp;60,Accounts!$H:$H,"&lt;="&amp;180)</f>
        <v>0</v>
      </c>
      <c r="L20" s="0">
        <f>COUNTIFS(Accounts!$E:$E,CurrentSaaS!L$1,Accounts!$G:$G,CurrentSaaS!L$2,Accounts!$F:$F,CurrentSaaS!L$3,Accounts!$B:$B,"Customer",Accounts!$BJ:$BJ,"Monthly",Accounts!$C:$C,"Customer",Accounts!$H:$H,"&gt;"&amp;60,Accounts!$H:$H,"&lt;="&amp;180)</f>
        <v>0</v>
      </c>
      <c r="M20" s="0">
        <f>COUNTIFS(Accounts!$E:$E,CurrentSaaS!M$1,Accounts!$G:$G,CurrentSaaS!M$2,Accounts!$F:$F,CurrentSaaS!M$3,Accounts!$B:$B,"Customer",Accounts!$BJ:$BJ,"Monthly",Accounts!$C:$C,"Customer",Accounts!$H:$H,"&gt;"&amp;60,Accounts!$H:$H,"&lt;="&amp;180)</f>
        <v>0</v>
      </c>
      <c r="N20" s="0">
        <f>COUNTIFS(Accounts!$E:$E,CurrentSaaS!N$1,Accounts!$G:$G,CurrentSaaS!N$2,Accounts!$F:$F,CurrentSaaS!N$3,Accounts!$B:$B,"Customer",Accounts!$BJ:$BJ,"Monthly",Accounts!$C:$C,"Customer",Accounts!$H:$H,"&gt;"&amp;60,Accounts!$H:$H,"&lt;="&amp;180)</f>
        <v>0</v>
      </c>
      <c r="O20" s="0">
        <f>COUNTIFS(Accounts!$E:$E,CurrentSaaS!O$1,Accounts!$G:$G,CurrentSaaS!O$2,Accounts!$F:$F,CurrentSaaS!O$3,Accounts!$B:$B,"Customer",Accounts!$BJ:$BJ,"Monthly",Accounts!$C:$C,"Customer",Accounts!$H:$H,"&gt;"&amp;60,Accounts!$H:$H,"&lt;="&amp;180)</f>
        <v>0</v>
      </c>
      <c r="P20" s="19">
        <f>SUM(J20:O20)</f>
        <v>0</v>
      </c>
      <c r="Q20" s="0">
        <f>COUNTIFS(Accounts!$E:$E,CurrentSaaS!Q$1,Accounts!$G:$G,CurrentSaaS!Q$2,Accounts!$F:$F,CurrentSaaS!Q$3,Accounts!$B:$B,"Customer",Accounts!$BJ:$BJ,"Monthly",Accounts!$C:$C,"Customer",Accounts!$H:$H,"&gt;"&amp;60,Accounts!$H:$H,"&lt;="&amp;180)</f>
        <v>0</v>
      </c>
      <c r="R20" s="0">
        <f>COUNTIFS(Accounts!$E:$E,CurrentSaaS!R$1,Accounts!$G:$G,CurrentSaaS!R$2,Accounts!$F:$F,CurrentSaaS!R$3,Accounts!$B:$B,"Customer",Accounts!$BJ:$BJ,"Monthly",Accounts!$C:$C,"Customer",Accounts!$H:$H,"&gt;"&amp;60,Accounts!$H:$H,"&lt;="&amp;180)</f>
        <v>0</v>
      </c>
      <c r="S20" s="0">
        <f>COUNTIFS(Accounts!$E:$E,CurrentSaaS!S$1,Accounts!$G:$G,CurrentSaaS!S$2,Accounts!$F:$F,CurrentSaaS!S$3,Accounts!$B:$B,"Customer",Accounts!$BJ:$BJ,"Monthly",Accounts!$C:$C,"Customer",Accounts!$H:$H,"&gt;"&amp;60,Accounts!$H:$H,"&lt;="&amp;180)</f>
        <v>0</v>
      </c>
      <c r="T20" s="0">
        <f>COUNTIFS(Accounts!$E:$E,CurrentSaaS!T$1,Accounts!$G:$G,CurrentSaaS!T$2,Accounts!$F:$F,CurrentSaaS!T$3,Accounts!$B:$B,"Customer",Accounts!$BJ:$BJ,"Monthly",Accounts!$C:$C,"Customer",Accounts!$H:$H,"&gt;"&amp;60,Accounts!$H:$H,"&lt;="&amp;180)</f>
        <v>0</v>
      </c>
      <c r="U20" s="0">
        <f>COUNTIFS(Accounts!$E:$E,CurrentSaaS!U$1,Accounts!$G:$G,CurrentSaaS!U$2,Accounts!$F:$F,CurrentSaaS!U$3,Accounts!$B:$B,"Customer",Accounts!$BJ:$BJ,"Monthly",Accounts!$C:$C,"Customer",Accounts!$H:$H,"&gt;"&amp;60,Accounts!$H:$H,"&lt;="&amp;180)</f>
        <v>0</v>
      </c>
      <c r="V20" s="0">
        <f>COUNTIFS(Accounts!$E:$E,CurrentSaaS!V$1,Accounts!$G:$G,CurrentSaaS!V$2,Accounts!$F:$F,CurrentSaaS!V$3,Accounts!$B:$B,"Customer",Accounts!$BJ:$BJ,"Monthly",Accounts!$C:$C,"Customer",Accounts!$H:$H,"&gt;"&amp;60,Accounts!$H:$H,"&lt;="&amp;180)</f>
        <v>0</v>
      </c>
      <c r="W20" s="19">
        <f>SUM(Q20:V20)</f>
        <v>0</v>
      </c>
    </row>
    <row r="21" ht="16">
      <c r="A21" s="5" t="s">
        <v>33</v>
      </c>
      <c r="B21" s="14">
        <f ref="B21:W21" t="shared" si="3">IF(B20=0,0,B22/B20)</f>
        <v>0</v>
      </c>
      <c r="C21" s="22">
        <f t="shared" si="3"/>
        <v>0</v>
      </c>
      <c r="D21" s="22">
        <f t="shared" si="3"/>
        <v>0</v>
      </c>
      <c r="E21" s="22">
        <f t="shared" si="3"/>
        <v>0</v>
      </c>
      <c r="F21" s="22">
        <f t="shared" si="3"/>
        <v>0</v>
      </c>
      <c r="G21" s="22">
        <f t="shared" si="3"/>
        <v>0</v>
      </c>
      <c r="H21" s="22">
        <f t="shared" si="3"/>
        <v>0</v>
      </c>
      <c r="I21" s="10">
        <f t="shared" si="3"/>
        <v>0</v>
      </c>
      <c r="J21" s="22">
        <f t="shared" si="3"/>
        <v>0</v>
      </c>
      <c r="K21" s="22">
        <f t="shared" si="3"/>
        <v>0</v>
      </c>
      <c r="L21" s="22">
        <f t="shared" si="3"/>
        <v>0</v>
      </c>
      <c r="M21" s="22">
        <f t="shared" si="3"/>
        <v>0</v>
      </c>
      <c r="N21" s="22">
        <f t="shared" si="3"/>
        <v>0</v>
      </c>
      <c r="O21" s="22">
        <f t="shared" si="3"/>
        <v>0</v>
      </c>
      <c r="P21" s="10">
        <f t="shared" si="3"/>
        <v>0</v>
      </c>
      <c r="Q21" s="22">
        <f t="shared" si="3"/>
        <v>0</v>
      </c>
      <c r="R21" s="22">
        <f t="shared" si="3"/>
        <v>0</v>
      </c>
      <c r="S21" s="22">
        <f t="shared" si="3"/>
        <v>0</v>
      </c>
      <c r="T21" s="22">
        <f t="shared" si="3"/>
        <v>0</v>
      </c>
      <c r="U21" s="22">
        <f t="shared" si="3"/>
        <v>0</v>
      </c>
      <c r="V21" s="22">
        <f t="shared" si="3"/>
        <v>0</v>
      </c>
      <c r="W21" s="10">
        <f t="shared" si="3"/>
        <v>0</v>
      </c>
    </row>
    <row r="22" ht="16">
      <c r="A22" s="5" t="s">
        <v>34</v>
      </c>
      <c r="B22" s="14">
        <f>I22+P22+W22</f>
        <v>0</v>
      </c>
      <c r="C22" s="22">
        <f>SUMIFS(Accounts!$BH:$BH,Accounts!$E:$E,CurrentSaaS!C$1,Accounts!$G:$G,CurrentSaaS!C$2,Accounts!$F:$F,CurrentSaaS!C$3,Accounts!$W:$W,0,Accounts!$C:$C,"Customer",Accounts!$BJ:$BJ,"Monthly",Accounts!$H:$H,"&gt;"&amp;60,Accounts!$H:$H,"&lt;="&amp;180)</f>
        <v>0</v>
      </c>
      <c r="D22" s="22">
        <f>SUMIFS(Accounts!$BH:$BH,Accounts!$E:$E,CurrentSaaS!D$1,Accounts!$G:$G,CurrentSaaS!D$2,Accounts!$F:$F,CurrentSaaS!D$3,Accounts!$W:$W,0,Accounts!$C:$C,"Customer",Accounts!$BJ:$BJ,"Monthly",Accounts!$H:$H,"&gt;"&amp;60,Accounts!$H:$H,"&lt;="&amp;180)</f>
        <v>0</v>
      </c>
      <c r="E22" s="22">
        <f>SUMIFS(Accounts!$BH:$BH,Accounts!$E:$E,CurrentSaaS!E$1,Accounts!$G:$G,CurrentSaaS!E$2,Accounts!$F:$F,CurrentSaaS!E$3,Accounts!$W:$W,0,Accounts!$C:$C,"Customer",Accounts!$BJ:$BJ,"Monthly",Accounts!$H:$H,"&gt;"&amp;60,Accounts!$H:$H,"&lt;="&amp;180)</f>
        <v>0</v>
      </c>
      <c r="F22" s="22">
        <f>SUMIFS(Accounts!$BH:$BH,Accounts!$E:$E,CurrentSaaS!F$1,Accounts!$G:$G,CurrentSaaS!F$2,Accounts!$F:$F,CurrentSaaS!F$3,Accounts!$W:$W,0,Accounts!$C:$C,"Customer",Accounts!$BJ:$BJ,"Monthly",Accounts!$H:$H,"&gt;"&amp;60,Accounts!$H:$H,"&lt;="&amp;180)</f>
        <v>0</v>
      </c>
      <c r="G22" s="22">
        <f>SUMIFS(Accounts!$BH:$BH,Accounts!$E:$E,CurrentSaaS!G$1,Accounts!$G:$G,CurrentSaaS!G$2,Accounts!$F:$F,CurrentSaaS!G$3,Accounts!$W:$W,0,Accounts!$C:$C,"Customer",Accounts!$BJ:$BJ,"Monthly",Accounts!$H:$H,"&gt;"&amp;60,Accounts!$H:$H,"&lt;="&amp;180)</f>
        <v>0</v>
      </c>
      <c r="H22" s="22">
        <f>SUMIFS(Accounts!$BH:$BH,Accounts!$E:$E,CurrentSaaS!H$1,Accounts!$G:$G,CurrentSaaS!H$2,Accounts!$F:$F,CurrentSaaS!H$3,Accounts!$W:$W,0,Accounts!$C:$C,"Customer",Accounts!$BJ:$BJ,"Monthly",Accounts!$H:$H,"&gt;"&amp;60,Accounts!$H:$H,"&lt;="&amp;180)</f>
        <v>0</v>
      </c>
      <c r="I22" s="10">
        <f>SUM(C22:H22)</f>
        <v>0</v>
      </c>
      <c r="J22" s="22">
        <f>SUMIFS(Accounts!$BH:$BH,Accounts!$E:$E,CurrentSaaS!J$1,Accounts!$G:$G,CurrentSaaS!J$2,Accounts!$F:$F,CurrentSaaS!J$3,Accounts!$W:$W,0,Accounts!$C:$C,"Customer",Accounts!$BJ:$BJ,"Monthly",Accounts!$H:$H,"&gt;"&amp;60,Accounts!$H:$H,"&lt;="&amp;180)</f>
        <v>0</v>
      </c>
      <c r="K22" s="22">
        <f>SUMIFS(Accounts!$BH:$BH,Accounts!$E:$E,CurrentSaaS!K$1,Accounts!$G:$G,CurrentSaaS!K$2,Accounts!$F:$F,CurrentSaaS!K$3,Accounts!$W:$W,0,Accounts!$C:$C,"Customer",Accounts!$BJ:$BJ,"Monthly",Accounts!$H:$H,"&gt;"&amp;60,Accounts!$H:$H,"&lt;="&amp;180)</f>
        <v>0</v>
      </c>
      <c r="L22" s="22">
        <f>SUMIFS(Accounts!$BH:$BH,Accounts!$E:$E,CurrentSaaS!L$1,Accounts!$G:$G,CurrentSaaS!L$2,Accounts!$F:$F,CurrentSaaS!L$3,Accounts!$W:$W,0,Accounts!$C:$C,"Customer",Accounts!$BJ:$BJ,"Monthly",Accounts!$H:$H,"&gt;"&amp;60,Accounts!$H:$H,"&lt;="&amp;180)</f>
        <v>0</v>
      </c>
      <c r="M22" s="22">
        <f>SUMIFS(Accounts!$BH:$BH,Accounts!$E:$E,CurrentSaaS!M$1,Accounts!$G:$G,CurrentSaaS!M$2,Accounts!$F:$F,CurrentSaaS!M$3,Accounts!$W:$W,0,Accounts!$C:$C,"Customer",Accounts!$BJ:$BJ,"Monthly",Accounts!$H:$H,"&gt;"&amp;60,Accounts!$H:$H,"&lt;="&amp;180)</f>
        <v>0</v>
      </c>
      <c r="N22" s="22">
        <f>SUMIFS(Accounts!$BH:$BH,Accounts!$E:$E,CurrentSaaS!N$1,Accounts!$G:$G,CurrentSaaS!N$2,Accounts!$F:$F,CurrentSaaS!N$3,Accounts!$W:$W,0,Accounts!$C:$C,"Customer",Accounts!$BJ:$BJ,"Monthly",Accounts!$H:$H,"&gt;"&amp;60,Accounts!$H:$H,"&lt;="&amp;180)</f>
        <v>0</v>
      </c>
      <c r="O22" s="22">
        <f>SUMIFS(Accounts!$BH:$BH,Accounts!$E:$E,CurrentSaaS!O$1,Accounts!$G:$G,CurrentSaaS!O$2,Accounts!$F:$F,CurrentSaaS!O$3,Accounts!$W:$W,0,Accounts!$C:$C,"Customer",Accounts!$BJ:$BJ,"Monthly",Accounts!$H:$H,"&gt;"&amp;60,Accounts!$H:$H,"&lt;="&amp;180)</f>
        <v>0</v>
      </c>
      <c r="P22" s="10">
        <f>SUM(J22:O22)</f>
        <v>0</v>
      </c>
      <c r="Q22" s="22">
        <f>SUMIFS(Accounts!$BH:$BH,Accounts!$E:$E,CurrentSaaS!Q$1,Accounts!$G:$G,CurrentSaaS!Q$2,Accounts!$F:$F,CurrentSaaS!Q$3,Accounts!$W:$W,0,Accounts!$C:$C,"Customer",Accounts!$BJ:$BJ,"Monthly",Accounts!$H:$H,"&gt;"&amp;60,Accounts!$H:$H,"&lt;="&amp;180)</f>
        <v>0</v>
      </c>
      <c r="R22" s="22">
        <f>SUMIFS(Accounts!$BH:$BH,Accounts!$E:$E,CurrentSaaS!R$1,Accounts!$G:$G,CurrentSaaS!R$2,Accounts!$F:$F,CurrentSaaS!R$3,Accounts!$W:$W,0,Accounts!$C:$C,"Customer",Accounts!$BJ:$BJ,"Monthly",Accounts!$H:$H,"&gt;"&amp;60,Accounts!$H:$H,"&lt;="&amp;180)</f>
        <v>0</v>
      </c>
      <c r="S22" s="22">
        <f>SUMIFS(Accounts!$BH:$BH,Accounts!$E:$E,CurrentSaaS!S$1,Accounts!$G:$G,CurrentSaaS!S$2,Accounts!$F:$F,CurrentSaaS!S$3,Accounts!$W:$W,0,Accounts!$C:$C,"Customer",Accounts!$BJ:$BJ,"Monthly",Accounts!$H:$H,"&gt;"&amp;60,Accounts!$H:$H,"&lt;="&amp;180)</f>
        <v>0</v>
      </c>
      <c r="T22" s="22">
        <f>SUMIFS(Accounts!$BH:$BH,Accounts!$E:$E,CurrentSaaS!T$1,Accounts!$G:$G,CurrentSaaS!T$2,Accounts!$F:$F,CurrentSaaS!T$3,Accounts!$W:$W,0,Accounts!$C:$C,"Customer",Accounts!$BJ:$BJ,"Monthly",Accounts!$H:$H,"&gt;"&amp;60,Accounts!$H:$H,"&lt;="&amp;180)</f>
        <v>0</v>
      </c>
      <c r="U22" s="22">
        <f>SUMIFS(Accounts!$BH:$BH,Accounts!$E:$E,CurrentSaaS!U$1,Accounts!$G:$G,CurrentSaaS!U$2,Accounts!$F:$F,CurrentSaaS!U$3,Accounts!$W:$W,0,Accounts!$C:$C,"Customer",Accounts!$BJ:$BJ,"Monthly",Accounts!$H:$H,"&gt;"&amp;60,Accounts!$H:$H,"&lt;="&amp;180)</f>
        <v>0</v>
      </c>
      <c r="V22" s="22">
        <f>SUMIFS(Accounts!$BH:$BH,Accounts!$E:$E,CurrentSaaS!V$1,Accounts!$G:$G,CurrentSaaS!V$2,Accounts!$F:$F,CurrentSaaS!V$3,Accounts!$W:$W,0,Accounts!$C:$C,"Customer",Accounts!$BJ:$BJ,"Monthly",Accounts!$H:$H,"&gt;"&amp;60,Accounts!$H:$H,"&lt;="&amp;180)</f>
        <v>0</v>
      </c>
      <c r="W22" s="10">
        <f>SUM(Q22:V22)</f>
        <v>0</v>
      </c>
    </row>
    <row r="23" ht="16">
      <c r="A23" s="5" t="s">
        <v>38</v>
      </c>
      <c r="B23" s="14"/>
      <c r="C23" s="22"/>
      <c r="D23" s="22"/>
      <c r="E23" s="22"/>
      <c r="F23" s="22"/>
      <c r="G23" s="22"/>
      <c r="H23" s="22"/>
      <c r="I23" s="10"/>
      <c r="J23" s="22"/>
      <c r="K23" s="22"/>
      <c r="L23" s="22"/>
      <c r="M23" s="22"/>
      <c r="N23" s="22"/>
      <c r="O23" s="22"/>
      <c r="P23" s="10"/>
      <c r="Q23" s="22"/>
      <c r="R23" s="22"/>
      <c r="S23" s="22"/>
      <c r="T23" s="22"/>
      <c r="U23" s="22"/>
      <c r="V23" s="22"/>
      <c r="W23" s="10"/>
    </row>
    <row r="24" ht="16">
      <c r="A24" s="5" t="s">
        <v>30</v>
      </c>
      <c r="B24" s="13">
        <f>I24+P24+W24</f>
        <v>1</v>
      </c>
      <c r="C24" s="0">
        <f>COUNTIFS(Accounts!$E:$E,CurrentSaaS!C$1,Accounts!$G:$G,CurrentSaaS!C$2,Accounts!$F:$F,CurrentSaaS!C$3,Accounts!$B:$B,"Customer",Accounts!$BJ:$BJ,"Monthly",Accounts!$C:$C,"Customer",Accounts!$H:$H,"&gt;"&amp;180)</f>
        <v>0</v>
      </c>
      <c r="D24" s="0">
        <f>COUNTIFS(Accounts!$E:$E,CurrentSaaS!D$1,Accounts!$G:$G,CurrentSaaS!D$2,Accounts!$F:$F,CurrentSaaS!D$3,Accounts!$B:$B,"Customer",Accounts!$BJ:$BJ,"Monthly",Accounts!$C:$C,"Customer",Accounts!$H:$H,"&gt;"&amp;180)</f>
        <v>0</v>
      </c>
      <c r="E24" s="0">
        <f>COUNTIFS(Accounts!$E:$E,CurrentSaaS!E$1,Accounts!$G:$G,CurrentSaaS!E$2,Accounts!$F:$F,CurrentSaaS!E$3,Accounts!$B:$B,"Customer",Accounts!$BJ:$BJ,"Monthly",Accounts!$C:$C,"Customer",Accounts!$H:$H,"&gt;"&amp;180)</f>
        <v>0</v>
      </c>
      <c r="F24" s="0">
        <f>COUNTIFS(Accounts!$E:$E,CurrentSaaS!F$1,Accounts!$G:$G,CurrentSaaS!F$2,Accounts!$F:$F,CurrentSaaS!F$3,Accounts!$B:$B,"Customer",Accounts!$BJ:$BJ,"Monthly",Accounts!$C:$C,"Customer",Accounts!$H:$H,"&gt;"&amp;180)</f>
        <v>0</v>
      </c>
      <c r="G24" s="0">
        <f>COUNTIFS(Accounts!$E:$E,CurrentSaaS!G$1,Accounts!$G:$G,CurrentSaaS!G$2,Accounts!$F:$F,CurrentSaaS!G$3,Accounts!$B:$B,"Customer",Accounts!$BJ:$BJ,"Monthly",Accounts!$C:$C,"Customer",Accounts!$H:$H,"&gt;"&amp;180)</f>
        <v>0</v>
      </c>
      <c r="H24" s="0">
        <f>COUNTIFS(Accounts!$E:$E,CurrentSaaS!H$1,Accounts!$G:$G,CurrentSaaS!H$2,Accounts!$F:$F,CurrentSaaS!H$3,Accounts!$B:$B,"Customer",Accounts!$BJ:$BJ,"Monthly",Accounts!$C:$C,"Customer",Accounts!$H:$H,"&gt;"&amp;180)</f>
        <v>0</v>
      </c>
      <c r="I24" s="19">
        <f>SUM(C24:H24)</f>
        <v>0</v>
      </c>
      <c r="J24" s="0">
        <f>COUNTIFS(Accounts!$E:$E,CurrentSaaS!J$1,Accounts!$G:$G,CurrentSaaS!J$2,Accounts!$F:$F,CurrentSaaS!J$3,Accounts!$B:$B,"Customer",Accounts!$BJ:$BJ,"Monthly",Accounts!$C:$C,"Customer",Accounts!$H:$H,"&gt;"&amp;180)</f>
        <v>0</v>
      </c>
      <c r="K24" s="0">
        <f>COUNTIFS(Accounts!$E:$E,CurrentSaaS!K$1,Accounts!$G:$G,CurrentSaaS!K$2,Accounts!$F:$F,CurrentSaaS!K$3,Accounts!$B:$B,"Customer",Accounts!$BJ:$BJ,"Monthly",Accounts!$C:$C,"Customer",Accounts!$H:$H,"&gt;"&amp;180)</f>
        <v>0</v>
      </c>
      <c r="L24" s="0">
        <f>COUNTIFS(Accounts!$E:$E,CurrentSaaS!L$1,Accounts!$G:$G,CurrentSaaS!L$2,Accounts!$F:$F,CurrentSaaS!L$3,Accounts!$B:$B,"Customer",Accounts!$BJ:$BJ,"Monthly",Accounts!$C:$C,"Customer",Accounts!$H:$H,"&gt;"&amp;180)</f>
        <v>0</v>
      </c>
      <c r="M24" s="0">
        <f>COUNTIFS(Accounts!$E:$E,CurrentSaaS!M$1,Accounts!$G:$G,CurrentSaaS!M$2,Accounts!$F:$F,CurrentSaaS!M$3,Accounts!$B:$B,"Customer",Accounts!$BJ:$BJ,"Monthly",Accounts!$C:$C,"Customer",Accounts!$H:$H,"&gt;"&amp;180)</f>
        <v>0</v>
      </c>
      <c r="N24" s="0">
        <f>COUNTIFS(Accounts!$E:$E,CurrentSaaS!N$1,Accounts!$G:$G,CurrentSaaS!N$2,Accounts!$F:$F,CurrentSaaS!N$3,Accounts!$B:$B,"Customer",Accounts!$BJ:$BJ,"Monthly",Accounts!$C:$C,"Customer",Accounts!$H:$H,"&gt;"&amp;180)</f>
        <v>0</v>
      </c>
      <c r="O24" s="0">
        <f>COUNTIFS(Accounts!$E:$E,CurrentSaaS!O$1,Accounts!$G:$G,CurrentSaaS!O$2,Accounts!$F:$F,CurrentSaaS!O$3,Accounts!$B:$B,"Customer",Accounts!$BJ:$BJ,"Monthly",Accounts!$C:$C,"Customer",Accounts!$H:$H,"&gt;"&amp;180)</f>
        <v>0</v>
      </c>
      <c r="P24" s="19">
        <f>SUM(J24:O24)</f>
        <v>0</v>
      </c>
      <c r="Q24" s="0">
        <f>COUNTIFS(Accounts!$E:$E,CurrentSaaS!Q$1,Accounts!$G:$G,CurrentSaaS!Q$2,Accounts!$F:$F,CurrentSaaS!Q$3,Accounts!$B:$B,"Customer",Accounts!$BJ:$BJ,"Monthly",Accounts!$C:$C,"Customer",Accounts!$H:$H,"&gt;"&amp;180)</f>
        <v>0</v>
      </c>
      <c r="R24" s="0">
        <f>COUNTIFS(Accounts!$E:$E,CurrentSaaS!R$1,Accounts!$G:$G,CurrentSaaS!R$2,Accounts!$F:$F,CurrentSaaS!R$3,Accounts!$B:$B,"Customer",Accounts!$BJ:$BJ,"Monthly",Accounts!$C:$C,"Customer",Accounts!$H:$H,"&gt;"&amp;180)</f>
        <v>1</v>
      </c>
      <c r="S24" s="0">
        <f>COUNTIFS(Accounts!$E:$E,CurrentSaaS!S$1,Accounts!$G:$G,CurrentSaaS!S$2,Accounts!$F:$F,CurrentSaaS!S$3,Accounts!$B:$B,"Customer",Accounts!$BJ:$BJ,"Monthly",Accounts!$C:$C,"Customer",Accounts!$H:$H,"&gt;"&amp;180)</f>
        <v>0</v>
      </c>
      <c r="T24" s="0">
        <f>COUNTIFS(Accounts!$E:$E,CurrentSaaS!T$1,Accounts!$G:$G,CurrentSaaS!T$2,Accounts!$F:$F,CurrentSaaS!T$3,Accounts!$B:$B,"Customer",Accounts!$BJ:$BJ,"Monthly",Accounts!$C:$C,"Customer",Accounts!$H:$H,"&gt;"&amp;180)</f>
        <v>0</v>
      </c>
      <c r="U24" s="0">
        <f>COUNTIFS(Accounts!$E:$E,CurrentSaaS!U$1,Accounts!$G:$G,CurrentSaaS!U$2,Accounts!$F:$F,CurrentSaaS!U$3,Accounts!$B:$B,"Customer",Accounts!$BJ:$BJ,"Monthly",Accounts!$C:$C,"Customer",Accounts!$H:$H,"&gt;"&amp;180)</f>
        <v>0</v>
      </c>
      <c r="V24" s="0">
        <f>COUNTIFS(Accounts!$E:$E,CurrentSaaS!V$1,Accounts!$G:$G,CurrentSaaS!V$2,Accounts!$F:$F,CurrentSaaS!V$3,Accounts!$B:$B,"Customer",Accounts!$BJ:$BJ,"Monthly",Accounts!$C:$C,"Customer",Accounts!$H:$H,"&gt;"&amp;180)</f>
        <v>0</v>
      </c>
      <c r="W24" s="19">
        <f>SUM(Q24:V24)</f>
        <v>1</v>
      </c>
    </row>
    <row r="25" ht="16">
      <c r="A25" s="5" t="s">
        <v>33</v>
      </c>
      <c r="B25" s="14">
        <f ref="B25:W25" t="shared" si="4">IF(B24=0,0,B26/B24)</f>
        <v>0</v>
      </c>
      <c r="C25" s="22">
        <f t="shared" si="4"/>
        <v>0</v>
      </c>
      <c r="D25" s="22">
        <f t="shared" si="4"/>
        <v>0</v>
      </c>
      <c r="E25" s="22">
        <f t="shared" si="4"/>
        <v>0</v>
      </c>
      <c r="F25" s="22">
        <f t="shared" si="4"/>
        <v>0</v>
      </c>
      <c r="G25" s="22">
        <f t="shared" si="4"/>
        <v>0</v>
      </c>
      <c r="H25" s="22">
        <f t="shared" si="4"/>
        <v>0</v>
      </c>
      <c r="I25" s="10">
        <f t="shared" si="4"/>
        <v>0</v>
      </c>
      <c r="J25" s="22">
        <f t="shared" si="4"/>
        <v>0</v>
      </c>
      <c r="K25" s="22">
        <f t="shared" si="4"/>
        <v>0</v>
      </c>
      <c r="L25" s="22">
        <f t="shared" si="4"/>
        <v>0</v>
      </c>
      <c r="M25" s="22">
        <f t="shared" si="4"/>
        <v>0</v>
      </c>
      <c r="N25" s="22">
        <f t="shared" si="4"/>
        <v>0</v>
      </c>
      <c r="O25" s="22">
        <f t="shared" si="4"/>
        <v>0</v>
      </c>
      <c r="P25" s="10">
        <f t="shared" si="4"/>
        <v>0</v>
      </c>
      <c r="Q25" s="22">
        <f t="shared" si="4"/>
        <v>0</v>
      </c>
      <c r="R25" s="22">
        <f t="shared" si="4"/>
        <v>0</v>
      </c>
      <c r="S25" s="22">
        <f t="shared" si="4"/>
        <v>0</v>
      </c>
      <c r="T25" s="22">
        <f t="shared" si="4"/>
        <v>0</v>
      </c>
      <c r="U25" s="22">
        <f t="shared" si="4"/>
        <v>0</v>
      </c>
      <c r="V25" s="22">
        <f t="shared" si="4"/>
        <v>0</v>
      </c>
      <c r="W25" s="10">
        <f t="shared" si="4"/>
        <v>0</v>
      </c>
    </row>
    <row r="26" ht="16">
      <c r="A26" s="5" t="s">
        <v>34</v>
      </c>
      <c r="B26" s="14">
        <f>I26+P26+W26</f>
        <v>0</v>
      </c>
      <c r="C26" s="22">
        <f>SUMIFS(Accounts!$BH:$BH,Accounts!$E:$E,CurrentSaaS!C$1,Accounts!$G:$G,CurrentSaaS!C$2,Accounts!$F:$F,CurrentSaaS!C$3,Accounts!$W:$W,0,Accounts!$C:$C,"Customer",Accounts!$BJ:$BJ,"Monthly",Accounts!$C:$C,"Customer",Accounts!$H:$H,"&gt;"&amp;180)</f>
        <v>0</v>
      </c>
      <c r="D26" s="22">
        <f>SUMIFS(Accounts!$BH:$BH,Accounts!$E:$E,CurrentSaaS!D$1,Accounts!$G:$G,CurrentSaaS!D$2,Accounts!$F:$F,CurrentSaaS!D$3,Accounts!$W:$W,0,Accounts!$C:$C,"Customer",Accounts!$BJ:$BJ,"Monthly",Accounts!$C:$C,"Customer",Accounts!$H:$H,"&gt;"&amp;180)</f>
        <v>0</v>
      </c>
      <c r="E26" s="22">
        <f>SUMIFS(Accounts!$BH:$BH,Accounts!$E:$E,CurrentSaaS!E$1,Accounts!$G:$G,CurrentSaaS!E$2,Accounts!$F:$F,CurrentSaaS!E$3,Accounts!$W:$W,0,Accounts!$C:$C,"Customer",Accounts!$BJ:$BJ,"Monthly",Accounts!$C:$C,"Customer",Accounts!$H:$H,"&gt;"&amp;180)</f>
        <v>0</v>
      </c>
      <c r="F26" s="22">
        <f>SUMIFS(Accounts!$BH:$BH,Accounts!$E:$E,CurrentSaaS!F$1,Accounts!$G:$G,CurrentSaaS!F$2,Accounts!$F:$F,CurrentSaaS!F$3,Accounts!$W:$W,0,Accounts!$C:$C,"Customer",Accounts!$BJ:$BJ,"Monthly",Accounts!$C:$C,"Customer",Accounts!$H:$H,"&gt;"&amp;180)</f>
        <v>0</v>
      </c>
      <c r="G26" s="22">
        <f>SUMIFS(Accounts!$BH:$BH,Accounts!$E:$E,CurrentSaaS!G$1,Accounts!$G:$G,CurrentSaaS!G$2,Accounts!$F:$F,CurrentSaaS!G$3,Accounts!$W:$W,0,Accounts!$C:$C,"Customer",Accounts!$BJ:$BJ,"Monthly",Accounts!$C:$C,"Customer",Accounts!$H:$H,"&gt;"&amp;180)</f>
        <v>0</v>
      </c>
      <c r="H26" s="22">
        <f>SUMIFS(Accounts!$BH:$BH,Accounts!$E:$E,CurrentSaaS!H$1,Accounts!$G:$G,CurrentSaaS!H$2,Accounts!$F:$F,CurrentSaaS!H$3,Accounts!$W:$W,0,Accounts!$C:$C,"Customer",Accounts!$BJ:$BJ,"Monthly",Accounts!$C:$C,"Customer",Accounts!$H:$H,"&gt;"&amp;180)</f>
        <v>0</v>
      </c>
      <c r="I26" s="10">
        <f>SUM(C26:H26)</f>
        <v>0</v>
      </c>
      <c r="J26" s="22">
        <f>SUMIFS(Accounts!$BH:$BH,Accounts!$E:$E,CurrentSaaS!J$1,Accounts!$G:$G,CurrentSaaS!J$2,Accounts!$F:$F,CurrentSaaS!J$3,Accounts!$W:$W,0,Accounts!$C:$C,"Customer",Accounts!$BJ:$BJ,"Monthly",Accounts!$C:$C,"Customer",Accounts!$H:$H,"&gt;"&amp;180)</f>
        <v>0</v>
      </c>
      <c r="K26" s="22">
        <f>SUMIFS(Accounts!$BH:$BH,Accounts!$E:$E,CurrentSaaS!K$1,Accounts!$G:$G,CurrentSaaS!K$2,Accounts!$F:$F,CurrentSaaS!K$3,Accounts!$W:$W,0,Accounts!$C:$C,"Customer",Accounts!$BJ:$BJ,"Monthly",Accounts!$C:$C,"Customer",Accounts!$H:$H,"&gt;"&amp;180)</f>
        <v>0</v>
      </c>
      <c r="L26" s="22">
        <f>SUMIFS(Accounts!$BH:$BH,Accounts!$E:$E,CurrentSaaS!L$1,Accounts!$G:$G,CurrentSaaS!L$2,Accounts!$F:$F,CurrentSaaS!L$3,Accounts!$W:$W,0,Accounts!$C:$C,"Customer",Accounts!$BJ:$BJ,"Monthly",Accounts!$C:$C,"Customer",Accounts!$H:$H,"&gt;"&amp;180)</f>
        <v>0</v>
      </c>
      <c r="M26" s="22">
        <f>SUMIFS(Accounts!$BH:$BH,Accounts!$E:$E,CurrentSaaS!M$1,Accounts!$G:$G,CurrentSaaS!M$2,Accounts!$F:$F,CurrentSaaS!M$3,Accounts!$W:$W,0,Accounts!$C:$C,"Customer",Accounts!$BJ:$BJ,"Monthly",Accounts!$C:$C,"Customer",Accounts!$H:$H,"&gt;"&amp;180)</f>
        <v>0</v>
      </c>
      <c r="N26" s="22">
        <f>SUMIFS(Accounts!$BH:$BH,Accounts!$E:$E,CurrentSaaS!N$1,Accounts!$G:$G,CurrentSaaS!N$2,Accounts!$F:$F,CurrentSaaS!N$3,Accounts!$W:$W,0,Accounts!$C:$C,"Customer",Accounts!$BJ:$BJ,"Monthly",Accounts!$C:$C,"Customer",Accounts!$H:$H,"&gt;"&amp;180)</f>
        <v>0</v>
      </c>
      <c r="O26" s="22">
        <f>SUMIFS(Accounts!$BH:$BH,Accounts!$E:$E,CurrentSaaS!O$1,Accounts!$G:$G,CurrentSaaS!O$2,Accounts!$F:$F,CurrentSaaS!O$3,Accounts!$W:$W,0,Accounts!$C:$C,"Customer",Accounts!$BJ:$BJ,"Monthly",Accounts!$C:$C,"Customer",Accounts!$H:$H,"&gt;"&amp;180)</f>
        <v>0</v>
      </c>
      <c r="P26" s="10">
        <f>SUM(J26:O26)</f>
        <v>0</v>
      </c>
      <c r="Q26" s="22">
        <f>SUMIFS(Accounts!$BH:$BH,Accounts!$E:$E,CurrentSaaS!Q$1,Accounts!$G:$G,CurrentSaaS!Q$2,Accounts!$F:$F,CurrentSaaS!Q$3,Accounts!$W:$W,0,Accounts!$C:$C,"Customer",Accounts!$BJ:$BJ,"Monthly",Accounts!$C:$C,"Customer",Accounts!$H:$H,"&gt;"&amp;180)</f>
        <v>0</v>
      </c>
      <c r="R26" s="22">
        <f>SUMIFS(Accounts!$BH:$BH,Accounts!$E:$E,CurrentSaaS!R$1,Accounts!$G:$G,CurrentSaaS!R$2,Accounts!$F:$F,CurrentSaaS!R$3,Accounts!$W:$W,0,Accounts!$C:$C,"Customer",Accounts!$BJ:$BJ,"Monthly",Accounts!$C:$C,"Customer",Accounts!$H:$H,"&gt;"&amp;180)</f>
        <v>0</v>
      </c>
      <c r="S26" s="22">
        <f>SUMIFS(Accounts!$BH:$BH,Accounts!$E:$E,CurrentSaaS!S$1,Accounts!$G:$G,CurrentSaaS!S$2,Accounts!$F:$F,CurrentSaaS!S$3,Accounts!$W:$W,0,Accounts!$C:$C,"Customer",Accounts!$BJ:$BJ,"Monthly",Accounts!$C:$C,"Customer",Accounts!$H:$H,"&gt;"&amp;180)</f>
        <v>0</v>
      </c>
      <c r="T26" s="22">
        <f>SUMIFS(Accounts!$BH:$BH,Accounts!$E:$E,CurrentSaaS!T$1,Accounts!$G:$G,CurrentSaaS!T$2,Accounts!$F:$F,CurrentSaaS!T$3,Accounts!$W:$W,0,Accounts!$C:$C,"Customer",Accounts!$BJ:$BJ,"Monthly",Accounts!$C:$C,"Customer",Accounts!$H:$H,"&gt;"&amp;180)</f>
        <v>0</v>
      </c>
      <c r="U26" s="22">
        <f>SUMIFS(Accounts!$BH:$BH,Accounts!$E:$E,CurrentSaaS!U$1,Accounts!$G:$G,CurrentSaaS!U$2,Accounts!$F:$F,CurrentSaaS!U$3,Accounts!$W:$W,0,Accounts!$C:$C,"Customer",Accounts!$BJ:$BJ,"Monthly",Accounts!$C:$C,"Customer",Accounts!$H:$H,"&gt;"&amp;180)</f>
        <v>0</v>
      </c>
      <c r="V26" s="22">
        <f>SUMIFS(Accounts!$BH:$BH,Accounts!$E:$E,CurrentSaaS!V$1,Accounts!$G:$G,CurrentSaaS!V$2,Accounts!$F:$F,CurrentSaaS!V$3,Accounts!$W:$W,0,Accounts!$C:$C,"Customer",Accounts!$BJ:$BJ,"Monthly",Accounts!$C:$C,"Customer",Accounts!$H:$H,"&gt;"&amp;180)</f>
        <v>0</v>
      </c>
      <c r="W26" s="10">
        <f>SUM(Q26:V26)</f>
        <v>0</v>
      </c>
    </row>
    <row r="27" ht="16">
      <c r="A27" s="5" t="s">
        <v>63</v>
      </c>
      <c r="B27" s="13">
        <f>I27+P27+W27</f>
        <v>1</v>
      </c>
      <c r="C27" s="0">
        <f ref="C27:H27" t="shared" si="5">C12+C16+C20+C24</f>
        <v>0</v>
      </c>
      <c r="D27" s="0">
        <f t="shared" si="5"/>
        <v>0</v>
      </c>
      <c r="E27" s="0">
        <f t="shared" si="5"/>
        <v>0</v>
      </c>
      <c r="F27" s="0">
        <f t="shared" si="5"/>
        <v>0</v>
      </c>
      <c r="G27" s="0">
        <f t="shared" si="5"/>
        <v>0</v>
      </c>
      <c r="H27" s="0">
        <f t="shared" si="5"/>
        <v>0</v>
      </c>
      <c r="I27" s="19">
        <f>SUM(C27:H27)</f>
        <v>0</v>
      </c>
      <c r="J27" s="0">
        <f ref="J27:O27" t="shared" si="6">J12+J16+J20+J24</f>
        <v>0</v>
      </c>
      <c r="K27" s="0">
        <f t="shared" si="6"/>
        <v>0</v>
      </c>
      <c r="L27" s="0">
        <f t="shared" si="6"/>
        <v>0</v>
      </c>
      <c r="M27" s="0">
        <f t="shared" si="6"/>
        <v>0</v>
      </c>
      <c r="N27" s="0">
        <f t="shared" si="6"/>
        <v>0</v>
      </c>
      <c r="O27" s="0">
        <f t="shared" si="6"/>
        <v>0</v>
      </c>
      <c r="P27" s="19">
        <f>SUM(J27:O27)</f>
        <v>0</v>
      </c>
      <c r="Q27" s="0">
        <f ref="Q27:V27" t="shared" si="7">Q12+Q16+Q20+Q24</f>
        <v>0</v>
      </c>
      <c r="R27" s="0">
        <f t="shared" si="7"/>
        <v>1</v>
      </c>
      <c r="S27" s="0">
        <f t="shared" si="7"/>
        <v>0</v>
      </c>
      <c r="T27" s="0">
        <f t="shared" si="7"/>
        <v>0</v>
      </c>
      <c r="U27" s="0">
        <f t="shared" si="7"/>
        <v>0</v>
      </c>
      <c r="V27" s="0">
        <f t="shared" si="7"/>
        <v>0</v>
      </c>
      <c r="W27" s="19">
        <f>SUM(Q27:V27)</f>
        <v>1</v>
      </c>
    </row>
    <row r="28" ht="16">
      <c r="A28" s="11" t="s">
        <v>64</v>
      </c>
      <c r="B28" s="14">
        <f>I28+P28+W28</f>
        <v>0</v>
      </c>
      <c r="C28" s="22">
        <f ref="C28:H28" t="shared" si="8">C14+C18+C22+C26</f>
        <v>0</v>
      </c>
      <c r="D28" s="22">
        <f t="shared" si="8"/>
        <v>0</v>
      </c>
      <c r="E28" s="22">
        <f t="shared" si="8"/>
        <v>0</v>
      </c>
      <c r="F28" s="22">
        <f t="shared" si="8"/>
        <v>0</v>
      </c>
      <c r="G28" s="22">
        <f t="shared" si="8"/>
        <v>0</v>
      </c>
      <c r="H28" s="22">
        <f t="shared" si="8"/>
        <v>0</v>
      </c>
      <c r="I28" s="10">
        <f>SUM(C28:H28)</f>
        <v>0</v>
      </c>
      <c r="J28" s="22">
        <f ref="J28:O28" t="shared" si="9">J14+J18+J22+J26</f>
        <v>0</v>
      </c>
      <c r="K28" s="22">
        <f t="shared" si="9"/>
        <v>0</v>
      </c>
      <c r="L28" s="22">
        <f t="shared" si="9"/>
        <v>0</v>
      </c>
      <c r="M28" s="22">
        <f t="shared" si="9"/>
        <v>0</v>
      </c>
      <c r="N28" s="22">
        <f t="shared" si="9"/>
        <v>0</v>
      </c>
      <c r="O28" s="22">
        <f t="shared" si="9"/>
        <v>0</v>
      </c>
      <c r="P28" s="10">
        <f>SUM(J28:O28)</f>
        <v>0</v>
      </c>
      <c r="Q28" s="22">
        <f ref="Q28:V28" t="shared" si="10">Q14+Q18+Q22+Q26</f>
        <v>0</v>
      </c>
      <c r="R28" s="22">
        <f t="shared" si="10"/>
        <v>0</v>
      </c>
      <c r="S28" s="22">
        <f t="shared" si="10"/>
        <v>0</v>
      </c>
      <c r="T28" s="22">
        <f t="shared" si="10"/>
        <v>0</v>
      </c>
      <c r="U28" s="22">
        <f t="shared" si="10"/>
        <v>0</v>
      </c>
      <c r="V28" s="22">
        <f t="shared" si="10"/>
        <v>0</v>
      </c>
      <c r="W28" s="10">
        <f>SUM(Q28:V28)</f>
        <v>0</v>
      </c>
    </row>
    <row r="29" ht="16">
      <c r="B29" s="13"/>
    </row>
    <row r="30" ht="16">
      <c r="A30" s="5" t="s">
        <v>46</v>
      </c>
      <c r="B30" s="13">
        <f>I30+P30+W30</f>
        <v>0</v>
      </c>
      <c r="C30" s="0">
        <f>COUNTIFS(Accounts!$E:$E,CurrentSaaS!C$1,Accounts!$G:$G,CurrentSaaS!C$2,Accounts!$F:$F,CurrentSaaS!C$3,Accounts!$B:$B,"Customer",Accounts!$BJ:$BJ,"Prepay",Accounts!$C:$C,"Customer")</f>
        <v>0</v>
      </c>
      <c r="D30" s="0">
        <f>COUNTIFS(Accounts!$E:$E,CurrentSaaS!D$1,Accounts!$G:$G,CurrentSaaS!D$2,Accounts!$F:$F,CurrentSaaS!D$3,Accounts!$B:$B,"Customer",Accounts!$BJ:$BJ,"Prepay",Accounts!$C:$C,"Customer")</f>
        <v>0</v>
      </c>
      <c r="E30" s="0">
        <f>COUNTIFS(Accounts!$E:$E,CurrentSaaS!E$1,Accounts!$G:$G,CurrentSaaS!E$2,Accounts!$F:$F,CurrentSaaS!E$3,Accounts!$B:$B,"Customer",Accounts!$BJ:$BJ,"Prepay",Accounts!$C:$C,"Customer")</f>
        <v>0</v>
      </c>
      <c r="F30" s="0">
        <f>COUNTIFS(Accounts!$E:$E,CurrentSaaS!F$1,Accounts!$G:$G,CurrentSaaS!F$2,Accounts!$F:$F,CurrentSaaS!F$3,Accounts!$B:$B,"Customer",Accounts!$BJ:$BJ,"Prepay",Accounts!$C:$C,"Customer")</f>
        <v>0</v>
      </c>
      <c r="G30" s="0">
        <f>COUNTIFS(Accounts!$E:$E,CurrentSaaS!G$1,Accounts!$G:$G,CurrentSaaS!G$2,Accounts!$F:$F,CurrentSaaS!G$3,Accounts!$B:$B,"Customer",Accounts!$BJ:$BJ,"Prepay",Accounts!$C:$C,"Customer")</f>
        <v>0</v>
      </c>
      <c r="H30" s="0">
        <f>COUNTIFS(Accounts!$E:$E,CurrentSaaS!H$1,Accounts!$G:$G,CurrentSaaS!H$2,Accounts!$F:$F,CurrentSaaS!H$3,Accounts!$B:$B,"Customer",Accounts!$BJ:$BJ,"Prepay",Accounts!$C:$C,"Customer")</f>
        <v>0</v>
      </c>
      <c r="I30" s="19">
        <f>SUM(C30:H30)</f>
        <v>0</v>
      </c>
      <c r="J30" s="0">
        <f>COUNTIFS(Accounts!$E:$E,CurrentSaaS!J$1,Accounts!$G:$G,CurrentSaaS!J$2,Accounts!$F:$F,CurrentSaaS!J$3,Accounts!$B:$B,"Customer",Accounts!$BJ:$BJ,"Prepay",Accounts!$C:$C,"Customer")</f>
        <v>0</v>
      </c>
      <c r="K30" s="0">
        <f>COUNTIFS(Accounts!$E:$E,CurrentSaaS!K$1,Accounts!$G:$G,CurrentSaaS!K$2,Accounts!$F:$F,CurrentSaaS!K$3,Accounts!$B:$B,"Customer",Accounts!$BJ:$BJ,"Prepay",Accounts!$C:$C,"Customer")</f>
        <v>0</v>
      </c>
      <c r="L30" s="0">
        <f>COUNTIFS(Accounts!$E:$E,CurrentSaaS!L$1,Accounts!$G:$G,CurrentSaaS!L$2,Accounts!$F:$F,CurrentSaaS!L$3,Accounts!$B:$B,"Customer",Accounts!$BJ:$BJ,"Prepay",Accounts!$C:$C,"Customer")</f>
        <v>0</v>
      </c>
      <c r="M30" s="0">
        <f>COUNTIFS(Accounts!$E:$E,CurrentSaaS!M$1,Accounts!$G:$G,CurrentSaaS!M$2,Accounts!$F:$F,CurrentSaaS!M$3,Accounts!$B:$B,"Customer",Accounts!$BJ:$BJ,"Prepay",Accounts!$C:$C,"Customer")</f>
        <v>0</v>
      </c>
      <c r="N30" s="0">
        <f>COUNTIFS(Accounts!$E:$E,CurrentSaaS!N$1,Accounts!$G:$G,CurrentSaaS!N$2,Accounts!$F:$F,CurrentSaaS!N$3,Accounts!$B:$B,"Customer",Accounts!$BJ:$BJ,"Prepay",Accounts!$C:$C,"Customer")</f>
        <v>0</v>
      </c>
      <c r="O30" s="0">
        <f>COUNTIFS(Accounts!$E:$E,CurrentSaaS!O$1,Accounts!$G:$G,CurrentSaaS!O$2,Accounts!$F:$F,CurrentSaaS!O$3,Accounts!$B:$B,"Customer",Accounts!$BJ:$BJ,"Prepay",Accounts!$C:$C,"Customer")</f>
        <v>0</v>
      </c>
      <c r="P30" s="19">
        <f>SUM(J30:O30)</f>
        <v>0</v>
      </c>
      <c r="Q30" s="0">
        <f>COUNTIFS(Accounts!$E:$E,CurrentSaaS!Q$1,Accounts!$G:$G,CurrentSaaS!Q$2,Accounts!$F:$F,CurrentSaaS!Q$3,Accounts!$B:$B,"Customer",Accounts!$BJ:$BJ,"Prepay",Accounts!$C:$C,"Customer")</f>
        <v>0</v>
      </c>
      <c r="R30" s="0">
        <f>COUNTIFS(Accounts!$E:$E,CurrentSaaS!R$1,Accounts!$G:$G,CurrentSaaS!R$2,Accounts!$F:$F,CurrentSaaS!R$3,Accounts!$B:$B,"Customer",Accounts!$BJ:$BJ,"Prepay",Accounts!$C:$C,"Customer")</f>
        <v>0</v>
      </c>
      <c r="S30" s="0">
        <f>COUNTIFS(Accounts!$E:$E,CurrentSaaS!S$1,Accounts!$G:$G,CurrentSaaS!S$2,Accounts!$F:$F,CurrentSaaS!S$3,Accounts!$B:$B,"Customer",Accounts!$BJ:$BJ,"Prepay",Accounts!$C:$C,"Customer")</f>
        <v>0</v>
      </c>
      <c r="T30" s="0">
        <f>COUNTIFS(Accounts!$E:$E,CurrentSaaS!T$1,Accounts!$G:$G,CurrentSaaS!T$2,Accounts!$F:$F,CurrentSaaS!T$3,Accounts!$B:$B,"Customer",Accounts!$BJ:$BJ,"Prepay",Accounts!$C:$C,"Customer")</f>
        <v>0</v>
      </c>
      <c r="U30" s="0">
        <f>COUNTIFS(Accounts!$E:$E,CurrentSaaS!U$1,Accounts!$G:$G,CurrentSaaS!U$2,Accounts!$F:$F,CurrentSaaS!U$3,Accounts!$B:$B,"Customer",Accounts!$BJ:$BJ,"Prepay",Accounts!$C:$C,"Customer")</f>
        <v>0</v>
      </c>
      <c r="V30" s="0">
        <f>COUNTIFS(Accounts!$E:$E,CurrentSaaS!V$1,Accounts!$G:$G,CurrentSaaS!V$2,Accounts!$F:$F,CurrentSaaS!V$3,Accounts!$B:$B,"Customer",Accounts!$BJ:$BJ,"Prepay",Accounts!$C:$C,"Customer")</f>
        <v>0</v>
      </c>
      <c r="W30" s="19">
        <f>SUM(Q30:V30)</f>
        <v>0</v>
      </c>
    </row>
    <row r="31" ht="16">
      <c r="A31" s="5" t="s">
        <v>65</v>
      </c>
      <c r="B31" s="14">
        <f>I31+P31+W31</f>
        <v>0</v>
      </c>
      <c r="C31" s="22">
        <f>SUMIFS(Accounts!$BH:$BH,Accounts!$E:$E,CurrentSaaS!C$1,Accounts!$G:$G,CurrentSaaS!C$2,Accounts!$F:$F,CurrentSaaS!C$3,Accounts!$W:$W,0,Accounts!$C:$C,"Customer",Accounts!$BJ:$BJ,"Prepay")</f>
        <v>0</v>
      </c>
      <c r="D31" s="22">
        <f>SUMIFS(Accounts!$BH:$BH,Accounts!$E:$E,CurrentSaaS!D$1,Accounts!$G:$G,CurrentSaaS!D$2,Accounts!$F:$F,CurrentSaaS!D$3,Accounts!$W:$W,0,Accounts!$C:$C,"Customer",Accounts!$BJ:$BJ,"Prepay")</f>
        <v>0</v>
      </c>
      <c r="E31" s="22">
        <f>SUMIFS(Accounts!$BH:$BH,Accounts!$E:$E,CurrentSaaS!E$1,Accounts!$G:$G,CurrentSaaS!E$2,Accounts!$F:$F,CurrentSaaS!E$3,Accounts!$W:$W,0,Accounts!$C:$C,"Customer",Accounts!$BJ:$BJ,"Prepay")</f>
        <v>0</v>
      </c>
      <c r="F31" s="22">
        <f>SUMIFS(Accounts!$BH:$BH,Accounts!$E:$E,CurrentSaaS!F$1,Accounts!$G:$G,CurrentSaaS!F$2,Accounts!$F:$F,CurrentSaaS!F$3,Accounts!$W:$W,0,Accounts!$C:$C,"Customer",Accounts!$BJ:$BJ,"Prepay")</f>
        <v>0</v>
      </c>
      <c r="G31" s="22">
        <f>SUMIFS(Accounts!$BH:$BH,Accounts!$E:$E,CurrentSaaS!G$1,Accounts!$G:$G,CurrentSaaS!G$2,Accounts!$F:$F,CurrentSaaS!G$3,Accounts!$W:$W,0,Accounts!$C:$C,"Customer",Accounts!$BJ:$BJ,"Prepay")</f>
        <v>0</v>
      </c>
      <c r="H31" s="22">
        <f>SUMIFS(Accounts!$BH:$BH,Accounts!$E:$E,CurrentSaaS!H$1,Accounts!$G:$G,CurrentSaaS!H$2,Accounts!$F:$F,CurrentSaaS!H$3,Accounts!$W:$W,0,Accounts!$C:$C,"Customer",Accounts!$BJ:$BJ,"Prepay")</f>
        <v>0</v>
      </c>
      <c r="I31" s="10">
        <f>SUM(C31:H31)</f>
        <v>0</v>
      </c>
      <c r="J31" s="22">
        <f>SUMIFS(Accounts!$BH:$BH,Accounts!$E:$E,CurrentSaaS!J$1,Accounts!$G:$G,CurrentSaaS!J$2,Accounts!$F:$F,CurrentSaaS!J$3,Accounts!$W:$W,0,Accounts!$C:$C,"Customer",Accounts!$BJ:$BJ,"Prepay")</f>
        <v>0</v>
      </c>
      <c r="K31" s="22">
        <f>SUMIFS(Accounts!$BH:$BH,Accounts!$E:$E,CurrentSaaS!K$1,Accounts!$G:$G,CurrentSaaS!K$2,Accounts!$F:$F,CurrentSaaS!K$3,Accounts!$W:$W,0,Accounts!$C:$C,"Customer",Accounts!$BJ:$BJ,"Prepay")</f>
        <v>0</v>
      </c>
      <c r="L31" s="22">
        <f>SUMIFS(Accounts!$BH:$BH,Accounts!$E:$E,CurrentSaaS!L$1,Accounts!$G:$G,CurrentSaaS!L$2,Accounts!$F:$F,CurrentSaaS!L$3,Accounts!$W:$W,0,Accounts!$C:$C,"Customer",Accounts!$BJ:$BJ,"Prepay")</f>
        <v>0</v>
      </c>
      <c r="M31" s="22">
        <f>SUMIFS(Accounts!$BH:$BH,Accounts!$E:$E,CurrentSaaS!M$1,Accounts!$G:$G,CurrentSaaS!M$2,Accounts!$F:$F,CurrentSaaS!M$3,Accounts!$W:$W,0,Accounts!$C:$C,"Customer",Accounts!$BJ:$BJ,"Prepay")</f>
        <v>0</v>
      </c>
      <c r="N31" s="22">
        <f>SUMIFS(Accounts!$BH:$BH,Accounts!$E:$E,CurrentSaaS!N$1,Accounts!$G:$G,CurrentSaaS!N$2,Accounts!$F:$F,CurrentSaaS!N$3,Accounts!$W:$W,0,Accounts!$C:$C,"Customer",Accounts!$BJ:$BJ,"Prepay")</f>
        <v>0</v>
      </c>
      <c r="O31" s="22">
        <f>SUMIFS(Accounts!$BH:$BH,Accounts!$E:$E,CurrentSaaS!O$1,Accounts!$G:$G,CurrentSaaS!O$2,Accounts!$F:$F,CurrentSaaS!O$3,Accounts!$W:$W,0,Accounts!$C:$C,"Customer",Accounts!$BJ:$BJ,"Prepay")</f>
        <v>0</v>
      </c>
      <c r="P31" s="10">
        <f>SUM(J31:O31)</f>
        <v>0</v>
      </c>
      <c r="Q31" s="22">
        <f>SUMIFS(Accounts!$BH:$BH,Accounts!$E:$E,CurrentSaaS!Q$1,Accounts!$G:$G,CurrentSaaS!Q$2,Accounts!$F:$F,CurrentSaaS!Q$3,Accounts!$W:$W,0,Accounts!$C:$C,"Customer",Accounts!$BJ:$BJ,"Prepay")</f>
        <v>0</v>
      </c>
      <c r="R31" s="22">
        <f>SUMIFS(Accounts!$BH:$BH,Accounts!$E:$E,CurrentSaaS!R$1,Accounts!$G:$G,CurrentSaaS!R$2,Accounts!$F:$F,CurrentSaaS!R$3,Accounts!$W:$W,0,Accounts!$C:$C,"Customer",Accounts!$BJ:$BJ,"Prepay")</f>
        <v>0</v>
      </c>
      <c r="S31" s="22">
        <f>SUMIFS(Accounts!$BH:$BH,Accounts!$E:$E,CurrentSaaS!S$1,Accounts!$G:$G,CurrentSaaS!S$2,Accounts!$F:$F,CurrentSaaS!S$3,Accounts!$W:$W,0,Accounts!$C:$C,"Customer",Accounts!$BJ:$BJ,"Prepay")</f>
        <v>0</v>
      </c>
      <c r="T31" s="22">
        <f>SUMIFS(Accounts!$BH:$BH,Accounts!$E:$E,CurrentSaaS!T$1,Accounts!$G:$G,CurrentSaaS!T$2,Accounts!$F:$F,CurrentSaaS!T$3,Accounts!$W:$W,0,Accounts!$C:$C,"Customer",Accounts!$BJ:$BJ,"Prepay")</f>
        <v>0</v>
      </c>
      <c r="U31" s="22">
        <f>SUMIFS(Accounts!$BH:$BH,Accounts!$E:$E,CurrentSaaS!U$1,Accounts!$G:$G,CurrentSaaS!U$2,Accounts!$F:$F,CurrentSaaS!U$3,Accounts!$W:$W,0,Accounts!$C:$C,"Customer",Accounts!$BJ:$BJ,"Prepay")</f>
        <v>0</v>
      </c>
      <c r="V31" s="22">
        <f>SUMIFS(Accounts!$BH:$BH,Accounts!$E:$E,CurrentSaaS!V$1,Accounts!$G:$G,CurrentSaaS!V$2,Accounts!$F:$F,CurrentSaaS!V$3,Accounts!$W:$W,0,Accounts!$C:$C,"Customer",Accounts!$BJ:$BJ,"Prepay")</f>
        <v>0</v>
      </c>
      <c r="W31" s="10">
        <f>SUM(Q31:V31)</f>
        <v>0</v>
      </c>
    </row>
    <row r="32" ht="16">
      <c r="A32" s="5" t="s">
        <v>66</v>
      </c>
      <c r="B32" s="14">
        <f>IF(B30=0,0,B31/B30)</f>
        <v>0</v>
      </c>
      <c r="C32" s="22">
        <f ref="C32:H32" t="shared" si="11">C31*0.1</f>
        <v>0</v>
      </c>
      <c r="D32" s="22">
        <f t="shared" si="11"/>
        <v>0</v>
      </c>
      <c r="E32" s="22">
        <f t="shared" si="11"/>
        <v>0</v>
      </c>
      <c r="F32" s="22">
        <f t="shared" si="11"/>
        <v>0</v>
      </c>
      <c r="G32" s="22">
        <f t="shared" si="11"/>
        <v>0</v>
      </c>
      <c r="H32" s="22">
        <f t="shared" si="11"/>
        <v>0</v>
      </c>
      <c r="I32" s="10">
        <f>SUM(C32:H32)</f>
        <v>0</v>
      </c>
      <c r="J32" s="22">
        <f ref="J32:O32" t="shared" si="12">J31*0.1</f>
        <v>0</v>
      </c>
      <c r="K32" s="22">
        <f t="shared" si="12"/>
        <v>0</v>
      </c>
      <c r="L32" s="22">
        <f t="shared" si="12"/>
        <v>0</v>
      </c>
      <c r="M32" s="22">
        <f t="shared" si="12"/>
        <v>0</v>
      </c>
      <c r="N32" s="22">
        <f t="shared" si="12"/>
        <v>0</v>
      </c>
      <c r="O32" s="22">
        <f t="shared" si="12"/>
        <v>0</v>
      </c>
      <c r="P32" s="10">
        <f>SUM(J32:O32)</f>
        <v>0</v>
      </c>
      <c r="Q32" s="22">
        <f ref="Q32:V32" t="shared" si="13">Q31*0.1</f>
        <v>0</v>
      </c>
      <c r="R32" s="22">
        <f t="shared" si="13"/>
        <v>0</v>
      </c>
      <c r="S32" s="22">
        <f t="shared" si="13"/>
        <v>0</v>
      </c>
      <c r="T32" s="22">
        <f t="shared" si="13"/>
        <v>0</v>
      </c>
      <c r="U32" s="22">
        <f t="shared" si="13"/>
        <v>0</v>
      </c>
      <c r="V32" s="22">
        <f t="shared" si="13"/>
        <v>0</v>
      </c>
      <c r="W32" s="10">
        <f>SUM(Q32:V32)</f>
        <v>0</v>
      </c>
    </row>
    <row r="33" ht="16">
      <c r="A33" s="11" t="s">
        <v>48</v>
      </c>
      <c r="B33" s="14">
        <f>I33+P33+W33</f>
        <v>0</v>
      </c>
      <c r="C33" s="22">
        <f ref="C33:K33" t="shared" si="14">C31-C32</f>
        <v>0</v>
      </c>
      <c r="D33" s="22">
        <f t="shared" si="14"/>
        <v>0</v>
      </c>
      <c r="E33" s="22">
        <f t="shared" si="14"/>
        <v>0</v>
      </c>
      <c r="F33" s="22">
        <f t="shared" si="14"/>
        <v>0</v>
      </c>
      <c r="G33" s="22">
        <f t="shared" si="14"/>
        <v>0</v>
      </c>
      <c r="H33" s="22">
        <f t="shared" si="14"/>
        <v>0</v>
      </c>
      <c r="I33" s="10">
        <f t="shared" si="14"/>
        <v>0</v>
      </c>
      <c r="J33" s="22">
        <f t="shared" si="14"/>
        <v>0</v>
      </c>
      <c r="K33" s="22">
        <f t="shared" si="14"/>
        <v>0</v>
      </c>
      <c r="L33" s="22"/>
      <c r="M33" s="22">
        <f>M31-M32</f>
        <v>0</v>
      </c>
      <c r="N33" s="22">
        <f>N31-N32</f>
        <v>0</v>
      </c>
      <c r="O33" s="22">
        <f>O31-O32</f>
        <v>0</v>
      </c>
      <c r="P33" s="10">
        <f>P31-P32</f>
        <v>0</v>
      </c>
      <c r="Q33" s="22">
        <f>Q31-Q32</f>
        <v>0</v>
      </c>
      <c r="R33" s="22">
        <f>R31-R32</f>
        <v>0</v>
      </c>
      <c r="S33" s="22"/>
      <c r="T33" s="22">
        <f>T31-T32</f>
        <v>0</v>
      </c>
      <c r="U33" s="22">
        <f>U31-U32</f>
        <v>0</v>
      </c>
      <c r="V33" s="22">
        <f>V31-V32</f>
        <v>0</v>
      </c>
      <c r="W33" s="10">
        <f>W31-W32</f>
        <v>0</v>
      </c>
    </row>
    <row r="34" ht="16">
      <c r="A34" s="5" t="s">
        <v>47</v>
      </c>
      <c r="B34" s="14">
        <f ref="B34:W34" t="shared" si="17">IF(B30=0,0,B33/B30)</f>
        <v>0</v>
      </c>
      <c r="C34" s="22">
        <f t="shared" si="17"/>
        <v>0</v>
      </c>
      <c r="D34" s="22">
        <f t="shared" si="17"/>
        <v>0</v>
      </c>
      <c r="E34" s="22">
        <f t="shared" si="17"/>
        <v>0</v>
      </c>
      <c r="F34" s="22">
        <f t="shared" si="17"/>
        <v>0</v>
      </c>
      <c r="G34" s="22">
        <f t="shared" si="17"/>
        <v>0</v>
      </c>
      <c r="H34" s="22">
        <f t="shared" si="17"/>
        <v>0</v>
      </c>
      <c r="I34" s="10">
        <f t="shared" si="17"/>
        <v>0</v>
      </c>
      <c r="J34" s="22">
        <f t="shared" si="17"/>
        <v>0</v>
      </c>
      <c r="K34" s="22">
        <f t="shared" si="17"/>
        <v>0</v>
      </c>
      <c r="L34" s="22">
        <f t="shared" si="17"/>
        <v>0</v>
      </c>
      <c r="M34" s="22">
        <f t="shared" si="17"/>
        <v>0</v>
      </c>
      <c r="N34" s="22">
        <f t="shared" si="17"/>
        <v>0</v>
      </c>
      <c r="O34" s="22">
        <f t="shared" si="17"/>
        <v>0</v>
      </c>
      <c r="P34" s="10">
        <f t="shared" si="17"/>
        <v>0</v>
      </c>
      <c r="Q34" s="22">
        <f t="shared" si="17"/>
        <v>0</v>
      </c>
      <c r="R34" s="22">
        <f t="shared" si="17"/>
        <v>0</v>
      </c>
      <c r="S34" s="22">
        <f t="shared" si="17"/>
        <v>0</v>
      </c>
      <c r="T34" s="22">
        <f t="shared" si="17"/>
        <v>0</v>
      </c>
      <c r="U34" s="22">
        <f t="shared" si="17"/>
        <v>0</v>
      </c>
      <c r="V34" s="22">
        <f t="shared" si="17"/>
        <v>0</v>
      </c>
      <c r="W34" s="10">
        <f t="shared" si="17"/>
        <v>0</v>
      </c>
    </row>
    <row r="35" ht="16">
      <c r="A35" s="5"/>
    </row>
    <row r="36" ht="16">
      <c r="A36" s="5" t="s">
        <v>67</v>
      </c>
      <c r="B36" s="22">
        <f>I36+P36+W36</f>
        <v>0</v>
      </c>
      <c r="C36" s="22">
        <f ref="C36:H36" t="shared" si="18">C8</f>
        <v>0</v>
      </c>
      <c r="D36" s="22">
        <f t="shared" si="18"/>
        <v>0</v>
      </c>
      <c r="E36" s="22">
        <f t="shared" si="18"/>
        <v>0</v>
      </c>
      <c r="F36" s="22">
        <f t="shared" si="18"/>
        <v>0</v>
      </c>
      <c r="G36" s="22">
        <f t="shared" si="18"/>
        <v>0</v>
      </c>
      <c r="H36" s="22">
        <f t="shared" si="18"/>
        <v>0</v>
      </c>
      <c r="I36" s="10">
        <f>SUM(C36:H36)</f>
        <v>0</v>
      </c>
      <c r="J36" s="22">
        <f ref="J36:O36" t="shared" si="19">J8</f>
        <v>0</v>
      </c>
      <c r="K36" s="22">
        <f t="shared" si="19"/>
        <v>0</v>
      </c>
      <c r="L36" s="22">
        <f t="shared" si="19"/>
        <v>0</v>
      </c>
      <c r="M36" s="22">
        <f t="shared" si="19"/>
        <v>0</v>
      </c>
      <c r="N36" s="22">
        <f t="shared" si="19"/>
        <v>0</v>
      </c>
      <c r="O36" s="22">
        <f t="shared" si="19"/>
        <v>0</v>
      </c>
      <c r="P36" s="10">
        <f>SUM(J36:O36)</f>
        <v>0</v>
      </c>
      <c r="Q36" s="22">
        <f ref="Q36:V36" t="shared" si="20">Q8</f>
        <v>0</v>
      </c>
      <c r="R36" s="22">
        <f t="shared" si="20"/>
        <v>0</v>
      </c>
      <c r="S36" s="22">
        <f t="shared" si="20"/>
        <v>0</v>
      </c>
      <c r="T36" s="22">
        <f t="shared" si="20"/>
        <v>0</v>
      </c>
      <c r="U36" s="22">
        <f t="shared" si="20"/>
        <v>0</v>
      </c>
      <c r="V36" s="22">
        <f t="shared" si="20"/>
        <v>0</v>
      </c>
      <c r="W36" s="10">
        <f>SUM(Q36:V36)</f>
        <v>0</v>
      </c>
    </row>
    <row r="37" ht="16">
      <c r="A37" s="5" t="s">
        <v>68</v>
      </c>
      <c r="B37" s="22">
        <f>I37+P37+W37</f>
        <v>0</v>
      </c>
      <c r="C37" s="22">
        <f ref="C37:H37" t="shared" si="21">C28+C33</f>
        <v>0</v>
      </c>
      <c r="D37" s="22">
        <f t="shared" si="21"/>
        <v>0</v>
      </c>
      <c r="E37" s="22">
        <f t="shared" si="21"/>
        <v>0</v>
      </c>
      <c r="F37" s="22">
        <f t="shared" si="21"/>
        <v>0</v>
      </c>
      <c r="G37" s="22">
        <f t="shared" si="21"/>
        <v>0</v>
      </c>
      <c r="H37" s="22">
        <f t="shared" si="21"/>
        <v>0</v>
      </c>
      <c r="I37" s="10">
        <f>SUM(C37:H37)</f>
        <v>0</v>
      </c>
      <c r="J37" s="22">
        <f ref="J37:O37" t="shared" si="22">J28+J33</f>
        <v>0</v>
      </c>
      <c r="K37" s="22">
        <f t="shared" si="22"/>
        <v>0</v>
      </c>
      <c r="L37" s="22">
        <f t="shared" si="22"/>
        <v>0</v>
      </c>
      <c r="M37" s="22">
        <f t="shared" si="22"/>
        <v>0</v>
      </c>
      <c r="N37" s="22">
        <f t="shared" si="22"/>
        <v>0</v>
      </c>
      <c r="O37" s="22">
        <f t="shared" si="22"/>
        <v>0</v>
      </c>
      <c r="P37" s="10">
        <f>SUM(J37:O37)</f>
        <v>0</v>
      </c>
      <c r="Q37" s="22">
        <f ref="Q37:V37" t="shared" si="23">Q28+Q33</f>
        <v>0</v>
      </c>
      <c r="R37" s="22">
        <f t="shared" si="23"/>
        <v>0</v>
      </c>
      <c r="S37" s="22">
        <f t="shared" si="23"/>
        <v>0</v>
      </c>
      <c r="T37" s="22">
        <f t="shared" si="23"/>
        <v>0</v>
      </c>
      <c r="U37" s="22">
        <f t="shared" si="23"/>
        <v>0</v>
      </c>
      <c r="V37" s="22">
        <f t="shared" si="23"/>
        <v>0</v>
      </c>
      <c r="W37" s="10">
        <f>SUM(Q37:V37)</f>
        <v>0</v>
      </c>
    </row>
    <row r="38" ht="16">
      <c r="A38" s="5" t="s">
        <v>69</v>
      </c>
      <c r="B38" s="29">
        <f ref="B38:W38" t="shared" si="24">B30+B24+B20+B16+B12+B6</f>
        <v>1</v>
      </c>
      <c r="C38" s="29">
        <f t="shared" si="24"/>
        <v>0</v>
      </c>
      <c r="D38" s="29">
        <f t="shared" si="24"/>
        <v>0</v>
      </c>
      <c r="E38" s="29">
        <f t="shared" si="24"/>
        <v>0</v>
      </c>
      <c r="F38" s="29">
        <f t="shared" si="24"/>
        <v>0</v>
      </c>
      <c r="G38" s="29">
        <f t="shared" si="24"/>
        <v>0</v>
      </c>
      <c r="H38" s="29">
        <f t="shared" si="24"/>
        <v>0</v>
      </c>
      <c r="I38" s="67">
        <f t="shared" si="24"/>
        <v>0</v>
      </c>
      <c r="J38" s="29">
        <f t="shared" si="24"/>
        <v>0</v>
      </c>
      <c r="K38" s="29">
        <f t="shared" si="24"/>
        <v>0</v>
      </c>
      <c r="L38" s="29">
        <f t="shared" si="24"/>
        <v>0</v>
      </c>
      <c r="M38" s="29">
        <f t="shared" si="24"/>
        <v>0</v>
      </c>
      <c r="N38" s="29">
        <f t="shared" si="24"/>
        <v>0</v>
      </c>
      <c r="O38" s="29">
        <f t="shared" si="24"/>
        <v>0</v>
      </c>
      <c r="P38" s="67">
        <f t="shared" si="24"/>
        <v>0</v>
      </c>
      <c r="Q38" s="29">
        <f t="shared" si="24"/>
        <v>0</v>
      </c>
      <c r="R38" s="29">
        <f t="shared" si="24"/>
        <v>1</v>
      </c>
      <c r="S38" s="29">
        <f t="shared" si="24"/>
        <v>0</v>
      </c>
      <c r="T38" s="29">
        <f t="shared" si="24"/>
        <v>0</v>
      </c>
      <c r="U38" s="29">
        <f t="shared" si="24"/>
        <v>0</v>
      </c>
      <c r="V38" s="29">
        <f t="shared" si="24"/>
        <v>0</v>
      </c>
      <c r="W38" s="67">
        <f t="shared" si="24"/>
        <v>1</v>
      </c>
    </row>
  </sheetData>
  <pageMargins left="0.7" right="0.7" top="0.75" bottom="0.75" header="0.3" footer="0.3"/>
  <pageSetup paperSize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activeCell="D3" sqref="D3"/>
    </sheetView>
  </sheetViews>
  <sheetFormatPr baseColWidth="10" defaultColWidth="8.83203125" defaultRowHeight="15" x14ac:dyDescent="0.2"/>
  <cols>
    <col min="4" max="4" bestFit="1" width="11.6640625" customWidth="1"/>
  </cols>
  <sheetData>
    <row r="1">
      <c r="A1" s="19" t="s">
        <v>70</v>
      </c>
    </row>
    <row r="3">
      <c r="A3" s="0" t="s">
        <v>71</v>
      </c>
      <c r="D3" s="20">
        <f>SUMIFS(INDIRECT("Invoices!N2:N" &amp; CountsForFormulas!$D$4 &amp; ""),INDIRECT("Invoices!F2:F" &amp; CountsForFormulas!$D$4 &amp; ""),"PrepayContract")</f>
        <v>0</v>
      </c>
    </row>
    <row r="4">
      <c r="A4" s="0" t="s">
        <v>72</v>
      </c>
      <c r="D4" s="21">
        <f>SUMIFS(INDIRECT("Invoices!N2:N" &amp; CountsForFormulas!$D$4 &amp; ""),INDIRECT("Invoices!F2:F" &amp; CountsForFormulas!$D$4 &amp; ""),"SaaS")</f>
        <v>0</v>
      </c>
    </row>
    <row r="5">
      <c r="A5" s="0" t="s">
        <v>73</v>
      </c>
      <c r="D5" s="22">
        <f>D3+D4</f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Views>
    <sheetView workbookViewId="0">
      <pane ySplit="1" topLeftCell="A2" activePane="bottomLeft" state="frozen"/>
      <selection pane="bottomLeft" activeCell="C12" sqref="C12"/>
    </sheetView>
  </sheetViews>
  <sheetFormatPr baseColWidth="10" defaultColWidth="8.83203125" defaultRowHeight="15" x14ac:dyDescent="0.2"/>
  <cols>
    <col min="3" max="3" width="8.83203125" customWidth="1" style="26"/>
  </cols>
  <sheetData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5304"/>
  <sheetViews>
    <sheetView topLeftCell="AZ1" workbookViewId="0">
      <pane ySplit="1" topLeftCell="A2" activePane="bottomLeft" state="frozenSplit"/>
      <selection pane="bottomLeft" activeCell="BJ3" sqref="BJ3"/>
    </sheetView>
  </sheetViews>
  <sheetFormatPr baseColWidth="10" defaultColWidth="8.83203125" defaultRowHeight="15" x14ac:dyDescent="0.2"/>
  <cols>
    <col min="20" max="20" width="18.6640625" customWidth="1" style="68"/>
    <col min="21" max="21" width="24.83203125" customWidth="1" style="68"/>
    <col min="22" max="22" width="19.1640625" customWidth="1" style="68"/>
    <col min="23" max="23" width="13.83203125" customWidth="1"/>
    <col min="45" max="45" width="36.83203125" customWidth="1"/>
    <col min="46" max="46" width="61.33203125" customWidth="1"/>
    <col min="47" max="47" width="13.1640625" customWidth="1"/>
    <col min="48" max="48" width="13.1640625" customWidth="1" style="68"/>
    <col min="49" max="49" width="13.1640625" customWidth="1" style="68"/>
    <col min="50" max="50" width="20.6640625" customWidth="1"/>
    <col min="51" max="51" width="16.5" customWidth="1" style="27"/>
    <col min="52" max="55" width="13.1640625" customWidth="1"/>
    <col min="56" max="56" width="22.6640625" customWidth="1" style="68"/>
    <col min="57" max="57" width="8.83203125" customWidth="1" style="68"/>
  </cols>
  <sheetData>
    <row r="1">
      <c r="A1" s="0" t="s">
        <v>74</v>
      </c>
      <c r="B1" s="0" t="s">
        <v>75</v>
      </c>
      <c r="C1" s="0" t="s">
        <v>76</v>
      </c>
      <c r="D1" s="0" t="s">
        <v>77</v>
      </c>
      <c r="E1" s="0" t="s">
        <v>0</v>
      </c>
      <c r="F1" s="0" t="s">
        <v>9</v>
      </c>
      <c r="G1" s="0" t="s">
        <v>6</v>
      </c>
      <c r="H1" s="0" t="s">
        <v>78</v>
      </c>
      <c r="I1" s="0" t="s">
        <v>79</v>
      </c>
      <c r="J1" s="0" t="s">
        <v>80</v>
      </c>
      <c r="K1" s="0" t="s">
        <v>81</v>
      </c>
      <c r="L1" s="0" t="s">
        <v>82</v>
      </c>
      <c r="M1" s="0" t="s">
        <v>83</v>
      </c>
      <c r="N1" s="0" t="s">
        <v>84</v>
      </c>
      <c r="O1" s="0" t="s">
        <v>85</v>
      </c>
      <c r="P1" s="0" t="s">
        <v>86</v>
      </c>
      <c r="Q1" s="0" t="s">
        <v>87</v>
      </c>
      <c r="R1" s="0" t="s">
        <v>88</v>
      </c>
      <c r="S1" s="0" t="s">
        <v>89</v>
      </c>
      <c r="T1" s="68" t="s">
        <v>90</v>
      </c>
      <c r="U1" s="68" t="s">
        <v>91</v>
      </c>
      <c r="V1" s="68" t="s">
        <v>92</v>
      </c>
      <c r="W1" s="0" t="s">
        <v>93</v>
      </c>
      <c r="X1" s="0" t="s">
        <v>94</v>
      </c>
      <c r="Y1" s="0" t="s">
        <v>95</v>
      </c>
      <c r="Z1" s="0" t="s">
        <v>96</v>
      </c>
      <c r="AA1" s="0" t="s">
        <v>97</v>
      </c>
      <c r="AB1" s="0" t="s">
        <v>98</v>
      </c>
      <c r="AC1" s="0" t="s">
        <v>99</v>
      </c>
      <c r="AD1" s="0" t="s">
        <v>100</v>
      </c>
      <c r="AE1" s="0" t="s">
        <v>101</v>
      </c>
      <c r="AF1" s="0" t="s">
        <v>102</v>
      </c>
      <c r="AG1" s="0" t="s">
        <v>103</v>
      </c>
      <c r="AH1" s="0" t="s">
        <v>104</v>
      </c>
      <c r="AI1" s="0" t="s">
        <v>105</v>
      </c>
      <c r="AJ1" s="0" t="s">
        <v>106</v>
      </c>
      <c r="AK1" s="0" t="s">
        <v>107</v>
      </c>
      <c r="AL1" s="0" t="s">
        <v>108</v>
      </c>
      <c r="AM1" s="0" t="s">
        <v>109</v>
      </c>
      <c r="AN1" s="0" t="s">
        <v>110</v>
      </c>
      <c r="AO1" s="0" t="s">
        <v>111</v>
      </c>
      <c r="AP1" s="0" t="s">
        <v>112</v>
      </c>
      <c r="AQ1" s="0" t="s">
        <v>113</v>
      </c>
      <c r="AR1" s="0" t="s">
        <v>114</v>
      </c>
      <c r="AS1" s="0" t="s">
        <v>115</v>
      </c>
      <c r="AT1" s="0" t="s">
        <v>116</v>
      </c>
      <c r="AU1" s="0" t="s">
        <v>117</v>
      </c>
      <c r="AV1" s="68" t="s">
        <v>118</v>
      </c>
      <c r="AW1" s="68" t="s">
        <v>119</v>
      </c>
      <c r="AX1" s="0" t="s">
        <v>120</v>
      </c>
      <c r="AY1" s="27" t="s">
        <v>121</v>
      </c>
      <c r="AZ1" s="0" t="s">
        <v>122</v>
      </c>
      <c r="BA1" s="0" t="s">
        <v>123</v>
      </c>
      <c r="BB1" s="0" t="s">
        <v>124</v>
      </c>
      <c r="BC1" s="0" t="s">
        <v>125</v>
      </c>
      <c r="BD1" s="68" t="s">
        <v>126</v>
      </c>
      <c r="BE1" s="68" t="s">
        <v>127</v>
      </c>
      <c r="BF1" s="0" t="s">
        <v>128</v>
      </c>
      <c r="BG1" s="0" t="s">
        <v>129</v>
      </c>
      <c r="BH1" s="0" t="s">
        <v>130</v>
      </c>
      <c r="BI1" s="0" t="s">
        <v>131</v>
      </c>
      <c r="BJ1" s="0" t="s">
        <v>132</v>
      </c>
    </row>
    <row r="2">
      <c r="A2" s="0" t="s">
        <v>133</v>
      </c>
      <c r="B2" s="0" t="s">
        <v>134</v>
      </c>
      <c r="C2" s="0" t="s">
        <v>134</v>
      </c>
      <c r="D2" s="0" t="s">
        <v>135</v>
      </c>
      <c r="E2" s="0" t="s">
        <v>2</v>
      </c>
      <c r="F2" s="0" t="s">
        <v>12</v>
      </c>
      <c r="G2" s="0" t="s">
        <v>8</v>
      </c>
      <c r="H2" s="0">
        <v>6331</v>
      </c>
      <c r="I2" s="0">
        <v>0</v>
      </c>
      <c r="J2" s="0">
        <v>0</v>
      </c>
      <c r="K2" s="0">
        <v>1</v>
      </c>
      <c r="L2" s="0">
        <v>3</v>
      </c>
      <c r="M2" s="0">
        <v>1</v>
      </c>
      <c r="N2" s="0">
        <v>0</v>
      </c>
      <c r="O2" s="0">
        <v>0</v>
      </c>
      <c r="P2" s="0">
        <v>0</v>
      </c>
      <c r="R2" s="0" t="b">
        <v>0</v>
      </c>
      <c r="S2" s="0" t="b">
        <v>1</v>
      </c>
      <c r="T2" s="68">
        <v>39722.5</v>
      </c>
      <c r="U2" s="68">
        <v>41244.5</v>
      </c>
      <c r="V2" s="68">
        <v>0</v>
      </c>
      <c r="W2" s="0">
        <f>IF(IF(B2="none",1,IF(B2="Trialer",1,0))+IF(C2="Customer",1,IF(C2="Lost",1,0))=2,1,0)</f>
      </c>
      <c r="X2" s="0" t="s">
        <v>136</v>
      </c>
      <c r="Y2" s="0" t="s">
        <v>137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1</v>
      </c>
      <c r="AR2" s="0" t="s">
        <v>138</v>
      </c>
      <c r="AS2" s="0" t="s">
        <v>139</v>
      </c>
      <c r="AT2" s="0" t="s">
        <v>140</v>
      </c>
      <c r="AU2" s="0" t="s">
        <v>140</v>
      </c>
      <c r="AV2" s="68">
        <v>40542</v>
      </c>
      <c r="AW2" s="68">
        <v>43391.0875</v>
      </c>
      <c r="AX2" s="0">
        <v>0</v>
      </c>
      <c r="AY2" s="27">
        <v>0</v>
      </c>
      <c r="AZ2" s="0">
        <v>577</v>
      </c>
      <c r="BA2" s="0">
        <v>2</v>
      </c>
      <c r="BB2" s="0">
        <v>63</v>
      </c>
      <c r="BC2" s="0">
        <v>27</v>
      </c>
      <c r="BD2" s="68">
        <v>46054.1666666667</v>
      </c>
      <c r="BE2" s="68">
        <v>46082.1666666667</v>
      </c>
      <c r="BF2" s="0" t="b">
        <v>0</v>
      </c>
      <c r="BG2" s="0" t="b">
        <v>0</v>
      </c>
      <c r="BH2" s="0">
        <v>0</v>
      </c>
      <c r="BI2" s="0">
        <v>0</v>
      </c>
      <c r="BJ2" s="0" t="s">
        <v>135</v>
      </c>
    </row>
    <row r="3">
      <c r="A3" s="0" t="s">
        <v>141</v>
      </c>
      <c r="B3" s="0" t="s">
        <v>134</v>
      </c>
      <c r="C3" s="0" t="s">
        <v>134</v>
      </c>
      <c r="D3" s="0" t="s">
        <v>135</v>
      </c>
      <c r="E3" s="0" t="s">
        <v>2</v>
      </c>
      <c r="F3" s="0" t="s">
        <v>12</v>
      </c>
      <c r="G3" s="0" t="s">
        <v>7</v>
      </c>
      <c r="H3" s="0">
        <v>6255</v>
      </c>
      <c r="I3" s="0">
        <v>130</v>
      </c>
      <c r="J3" s="0">
        <v>0</v>
      </c>
      <c r="K3" s="0">
        <v>1</v>
      </c>
      <c r="L3" s="0">
        <v>1</v>
      </c>
      <c r="M3" s="0">
        <v>2</v>
      </c>
      <c r="N3" s="0">
        <v>0</v>
      </c>
      <c r="O3" s="0">
        <v>0</v>
      </c>
      <c r="P3" s="0">
        <v>0</v>
      </c>
      <c r="R3" s="0" t="b">
        <v>0</v>
      </c>
      <c r="S3" s="0" t="b">
        <v>1</v>
      </c>
      <c r="T3" s="68">
        <v>39798.9583333333</v>
      </c>
      <c r="U3" s="68">
        <v>40770.5416666667</v>
      </c>
      <c r="V3" s="68">
        <v>0</v>
      </c>
      <c r="W3" s="0">
        <f>IF(IF(B3="none",1,IF(B3="Trialer",1,0))+IF(C3="Customer",1,IF(C3="Lost",1,0))=2,1,0)</f>
      </c>
      <c r="X3" s="0" t="s">
        <v>142</v>
      </c>
      <c r="Y3" s="0" t="s">
        <v>143</v>
      </c>
      <c r="AV3" s="68"/>
      <c r="AW3" s="68"/>
      <c r="AY3" s="27"/>
      <c r="BD3" s="68">
        <v>46054.1666666667</v>
      </c>
      <c r="BE3" s="68">
        <v>46082.1666666667</v>
      </c>
      <c r="BF3" s="0" t="b">
        <v>0</v>
      </c>
      <c r="BG3" s="0" t="b">
        <v>0</v>
      </c>
      <c r="BH3" s="0">
        <v>95</v>
      </c>
      <c r="BI3" s="0">
        <v>95</v>
      </c>
      <c r="BJ3" s="0" t="s">
        <v>135</v>
      </c>
    </row>
    <row r="4">
      <c r="A4" s="0" t="s">
        <v>144</v>
      </c>
      <c r="B4" s="0" t="s">
        <v>134</v>
      </c>
      <c r="C4" s="0" t="s">
        <v>134</v>
      </c>
      <c r="D4" s="0" t="s">
        <v>135</v>
      </c>
      <c r="E4" s="0" t="s">
        <v>2</v>
      </c>
      <c r="F4" s="0" t="s">
        <v>12</v>
      </c>
      <c r="G4" s="0" t="s">
        <v>8</v>
      </c>
      <c r="H4" s="0">
        <v>6195</v>
      </c>
      <c r="I4" s="0">
        <v>0</v>
      </c>
      <c r="J4" s="0">
        <v>0</v>
      </c>
      <c r="K4" s="0">
        <v>1</v>
      </c>
      <c r="L4" s="0">
        <v>2</v>
      </c>
      <c r="M4" s="0">
        <v>1</v>
      </c>
      <c r="N4" s="0">
        <v>0</v>
      </c>
      <c r="O4" s="0">
        <v>0</v>
      </c>
      <c r="P4" s="0">
        <v>0</v>
      </c>
      <c r="R4" s="0" t="b">
        <v>0</v>
      </c>
      <c r="S4" s="0" t="b">
        <v>1</v>
      </c>
      <c r="T4" s="68">
        <v>39858.5</v>
      </c>
      <c r="U4" s="68">
        <v>41258.5</v>
      </c>
      <c r="V4" s="68">
        <v>0</v>
      </c>
      <c r="W4" s="0">
        <f>IF(IF(B4="none",1,IF(B4="Trialer",1,0))+IF(C4="Customer",1,IF(C4="Lost",1,0))=2,1,0)</f>
      </c>
      <c r="X4" s="0" t="s">
        <v>145</v>
      </c>
      <c r="Y4" s="0" t="s">
        <v>137</v>
      </c>
      <c r="AV4" s="68"/>
      <c r="AW4" s="68"/>
      <c r="AY4" s="27"/>
      <c r="BD4" s="68">
        <v>46054.1666666667</v>
      </c>
      <c r="BE4" s="68">
        <v>46082.1666666667</v>
      </c>
      <c r="BF4" s="0" t="b">
        <v>0</v>
      </c>
      <c r="BG4" s="0" t="b">
        <v>0</v>
      </c>
      <c r="BH4" s="0">
        <v>0</v>
      </c>
      <c r="BI4" s="0">
        <v>0</v>
      </c>
      <c r="BJ4" s="0" t="s">
        <v>135</v>
      </c>
    </row>
    <row r="5">
      <c r="A5" s="0" t="s">
        <v>146</v>
      </c>
      <c r="B5" s="0" t="s">
        <v>134</v>
      </c>
      <c r="C5" s="0" t="s">
        <v>134</v>
      </c>
      <c r="D5" s="0" t="s">
        <v>135</v>
      </c>
      <c r="E5" s="0" t="s">
        <v>2</v>
      </c>
      <c r="F5" s="0" t="s">
        <v>12</v>
      </c>
      <c r="G5" s="0" t="s">
        <v>8</v>
      </c>
      <c r="H5" s="0">
        <v>6097</v>
      </c>
      <c r="I5" s="0">
        <v>0</v>
      </c>
      <c r="J5" s="0">
        <v>0</v>
      </c>
      <c r="K5" s="0">
        <v>1</v>
      </c>
      <c r="L5" s="0">
        <v>5</v>
      </c>
      <c r="M5" s="0">
        <v>2</v>
      </c>
      <c r="N5" s="0">
        <v>0</v>
      </c>
      <c r="O5" s="0">
        <v>0</v>
      </c>
      <c r="P5" s="0">
        <v>0</v>
      </c>
      <c r="R5" s="0" t="b">
        <v>0</v>
      </c>
      <c r="S5" s="0" t="b">
        <v>1</v>
      </c>
      <c r="T5" s="68">
        <v>39956.5</v>
      </c>
      <c r="U5" s="68">
        <v>41266.5</v>
      </c>
      <c r="V5" s="68">
        <v>0</v>
      </c>
      <c r="W5" s="0">
        <f>IF(IF(B5="none",1,IF(B5="Trialer",1,0))+IF(C5="Customer",1,IF(C5="Lost",1,0))=2,1,0)</f>
      </c>
      <c r="X5" s="0" t="s">
        <v>136</v>
      </c>
      <c r="Y5" s="0" t="s">
        <v>137</v>
      </c>
      <c r="AV5" s="68"/>
      <c r="AW5" s="68"/>
      <c r="AY5" s="27"/>
      <c r="BD5" s="68">
        <v>46054.1666666667</v>
      </c>
      <c r="BE5" s="68">
        <v>46082.1666666667</v>
      </c>
      <c r="BF5" s="0" t="b">
        <v>0</v>
      </c>
      <c r="BG5" s="0" t="b">
        <v>0</v>
      </c>
      <c r="BH5" s="0">
        <v>0</v>
      </c>
      <c r="BI5" s="0">
        <v>0</v>
      </c>
      <c r="BJ5" s="0" t="s">
        <v>135</v>
      </c>
    </row>
    <row r="6">
      <c r="A6" s="0" t="s">
        <v>147</v>
      </c>
      <c r="B6" s="0" t="s">
        <v>134</v>
      </c>
      <c r="C6" s="0" t="s">
        <v>134</v>
      </c>
      <c r="D6" s="0" t="s">
        <v>135</v>
      </c>
      <c r="E6" s="0" t="s">
        <v>2</v>
      </c>
      <c r="F6" s="0" t="s">
        <v>12</v>
      </c>
      <c r="G6" s="0" t="s">
        <v>8</v>
      </c>
      <c r="H6" s="0">
        <v>6045</v>
      </c>
      <c r="I6" s="0">
        <v>0</v>
      </c>
      <c r="J6" s="0">
        <v>0</v>
      </c>
      <c r="K6" s="0">
        <v>1</v>
      </c>
      <c r="L6" s="0">
        <v>1</v>
      </c>
      <c r="M6" s="0">
        <v>1</v>
      </c>
      <c r="N6" s="0">
        <v>0</v>
      </c>
      <c r="O6" s="0">
        <v>0</v>
      </c>
      <c r="P6" s="0">
        <v>0</v>
      </c>
      <c r="R6" s="0" t="b">
        <v>0</v>
      </c>
      <c r="S6" s="0" t="b">
        <v>1</v>
      </c>
      <c r="T6" s="68">
        <v>40008.5</v>
      </c>
      <c r="U6" s="68">
        <v>41257.5</v>
      </c>
      <c r="V6" s="68">
        <v>0</v>
      </c>
      <c r="W6" s="0">
        <f>IF(IF(B6="none",1,IF(B6="Trialer",1,0))+IF(C6="Customer",1,IF(C6="Lost",1,0))=2,1,0)</f>
      </c>
      <c r="X6" s="0" t="s">
        <v>148</v>
      </c>
      <c r="Y6" s="0" t="s">
        <v>137</v>
      </c>
      <c r="AV6" s="68"/>
      <c r="AW6" s="68"/>
      <c r="AY6" s="27"/>
      <c r="BD6" s="68">
        <v>46054.1666666667</v>
      </c>
      <c r="BE6" s="68">
        <v>46082.1666666667</v>
      </c>
      <c r="BF6" s="0" t="b">
        <v>0</v>
      </c>
      <c r="BG6" s="0" t="b">
        <v>0</v>
      </c>
      <c r="BH6" s="0">
        <v>0</v>
      </c>
      <c r="BI6" s="0">
        <v>0</v>
      </c>
      <c r="BJ6" s="0" t="s">
        <v>135</v>
      </c>
    </row>
    <row r="7">
      <c r="A7" s="0" t="s">
        <v>149</v>
      </c>
      <c r="B7" s="0" t="s">
        <v>134</v>
      </c>
      <c r="C7" s="0" t="s">
        <v>134</v>
      </c>
      <c r="D7" s="0" t="s">
        <v>135</v>
      </c>
      <c r="E7" s="0" t="s">
        <v>2</v>
      </c>
      <c r="F7" s="0" t="s">
        <v>12</v>
      </c>
      <c r="G7" s="0" t="s">
        <v>8</v>
      </c>
      <c r="H7" s="0">
        <v>6042</v>
      </c>
      <c r="I7" s="0">
        <v>0</v>
      </c>
      <c r="J7" s="0">
        <v>0</v>
      </c>
      <c r="K7" s="0">
        <v>1</v>
      </c>
      <c r="L7" s="0">
        <v>3</v>
      </c>
      <c r="M7" s="0">
        <v>1</v>
      </c>
      <c r="N7" s="0">
        <v>0</v>
      </c>
      <c r="O7" s="0">
        <v>0</v>
      </c>
      <c r="P7" s="0">
        <v>0</v>
      </c>
      <c r="R7" s="0" t="b">
        <v>0</v>
      </c>
      <c r="S7" s="0" t="b">
        <v>1</v>
      </c>
      <c r="T7" s="68">
        <v>40011.5</v>
      </c>
      <c r="U7" s="68">
        <v>41260.5</v>
      </c>
      <c r="V7" s="68">
        <v>0</v>
      </c>
      <c r="W7" s="0">
        <f>IF(IF(B7="none",1,IF(B7="Trialer",1,0))+IF(C7="Customer",1,IF(C7="Lost",1,0))=2,1,0)</f>
      </c>
      <c r="X7" s="0" t="s">
        <v>136</v>
      </c>
      <c r="Y7" s="0" t="s">
        <v>137</v>
      </c>
      <c r="AV7" s="68"/>
      <c r="AW7" s="68"/>
      <c r="AY7" s="27"/>
      <c r="BD7" s="68">
        <v>46054.1666666667</v>
      </c>
      <c r="BE7" s="68">
        <v>46082.1666666667</v>
      </c>
      <c r="BF7" s="0" t="b">
        <v>0</v>
      </c>
      <c r="BG7" s="0" t="b">
        <v>0</v>
      </c>
      <c r="BH7" s="0">
        <v>0</v>
      </c>
      <c r="BI7" s="0">
        <v>0</v>
      </c>
      <c r="BJ7" s="0" t="s">
        <v>135</v>
      </c>
    </row>
    <row r="8">
      <c r="A8" s="0" t="s">
        <v>150</v>
      </c>
      <c r="B8" s="0" t="s">
        <v>134</v>
      </c>
      <c r="C8" s="0" t="s">
        <v>134</v>
      </c>
      <c r="D8" s="0" t="s">
        <v>135</v>
      </c>
      <c r="E8" s="0" t="s">
        <v>2</v>
      </c>
      <c r="F8" s="0" t="s">
        <v>12</v>
      </c>
      <c r="G8" s="0" t="s">
        <v>8</v>
      </c>
      <c r="H8" s="0">
        <v>6031</v>
      </c>
      <c r="I8" s="0">
        <v>0</v>
      </c>
      <c r="J8" s="0">
        <v>0</v>
      </c>
      <c r="K8" s="0">
        <v>1</v>
      </c>
      <c r="L8" s="0">
        <v>1</v>
      </c>
      <c r="M8" s="0">
        <v>1</v>
      </c>
      <c r="N8" s="0">
        <v>0</v>
      </c>
      <c r="O8" s="0">
        <v>0</v>
      </c>
      <c r="P8" s="0">
        <v>0</v>
      </c>
      <c r="R8" s="0" t="b">
        <v>0</v>
      </c>
      <c r="S8" s="0" t="b">
        <v>1</v>
      </c>
      <c r="T8" s="68">
        <v>40022.5</v>
      </c>
      <c r="U8" s="68">
        <v>41266.5</v>
      </c>
      <c r="V8" s="68">
        <v>0</v>
      </c>
      <c r="W8" s="0">
        <f>IF(IF(B8="none",1,IF(B8="Trialer",1,0))+IF(C8="Customer",1,IF(C8="Lost",1,0))=2,1,0)</f>
      </c>
      <c r="X8" s="0" t="s">
        <v>148</v>
      </c>
      <c r="Y8" s="0" t="s">
        <v>137</v>
      </c>
      <c r="AV8" s="68"/>
      <c r="AW8" s="68"/>
      <c r="AY8" s="27"/>
      <c r="BD8" s="68">
        <v>46054.1666666667</v>
      </c>
      <c r="BE8" s="68">
        <v>46082.1666666667</v>
      </c>
      <c r="BF8" s="0" t="b">
        <v>0</v>
      </c>
      <c r="BG8" s="0" t="b">
        <v>0</v>
      </c>
      <c r="BH8" s="0">
        <v>0</v>
      </c>
      <c r="BI8" s="0">
        <v>0</v>
      </c>
      <c r="BJ8" s="0" t="s">
        <v>135</v>
      </c>
    </row>
    <row r="9">
      <c r="A9" s="0" t="s">
        <v>151</v>
      </c>
      <c r="B9" s="0" t="s">
        <v>134</v>
      </c>
      <c r="C9" s="0" t="s">
        <v>134</v>
      </c>
      <c r="D9" s="0" t="s">
        <v>135</v>
      </c>
      <c r="E9" s="0" t="s">
        <v>2</v>
      </c>
      <c r="F9" s="0" t="s">
        <v>12</v>
      </c>
      <c r="G9" s="0" t="s">
        <v>8</v>
      </c>
      <c r="H9" s="0">
        <v>6029</v>
      </c>
      <c r="I9" s="0">
        <v>0</v>
      </c>
      <c r="J9" s="0">
        <v>0</v>
      </c>
      <c r="K9" s="0">
        <v>1</v>
      </c>
      <c r="L9" s="0">
        <v>3</v>
      </c>
      <c r="M9" s="0">
        <v>2</v>
      </c>
      <c r="N9" s="0">
        <v>0</v>
      </c>
      <c r="O9" s="0">
        <v>0</v>
      </c>
      <c r="P9" s="0">
        <v>0</v>
      </c>
      <c r="R9" s="0" t="b">
        <v>0</v>
      </c>
      <c r="S9" s="0" t="b">
        <v>1</v>
      </c>
      <c r="T9" s="68">
        <v>40024.5</v>
      </c>
      <c r="U9" s="68">
        <v>41243.5</v>
      </c>
      <c r="V9" s="68">
        <v>0</v>
      </c>
      <c r="W9" s="0">
        <f>IF(IF(B9="none",1,IF(B9="Trialer",1,0))+IF(C9="Customer",1,IF(C9="Lost",1,0))=2,1,0)</f>
      </c>
      <c r="X9" s="0" t="s">
        <v>136</v>
      </c>
      <c r="Y9" s="0" t="s">
        <v>137</v>
      </c>
      <c r="AV9" s="68"/>
      <c r="AW9" s="68"/>
      <c r="AY9" s="27"/>
      <c r="BD9" s="68">
        <v>46054.1666666667</v>
      </c>
      <c r="BE9" s="68">
        <v>46082.1666666667</v>
      </c>
      <c r="BF9" s="0" t="b">
        <v>0</v>
      </c>
      <c r="BG9" s="0" t="b">
        <v>0</v>
      </c>
      <c r="BH9" s="0">
        <v>0</v>
      </c>
      <c r="BI9" s="0">
        <v>0</v>
      </c>
      <c r="BJ9" s="0" t="s">
        <v>135</v>
      </c>
    </row>
    <row r="10">
      <c r="A10" s="0" t="s">
        <v>152</v>
      </c>
      <c r="B10" s="0" t="s">
        <v>134</v>
      </c>
      <c r="C10" s="0" t="s">
        <v>134</v>
      </c>
      <c r="D10" s="0" t="s">
        <v>135</v>
      </c>
      <c r="E10" s="0" t="s">
        <v>2</v>
      </c>
      <c r="F10" s="0" t="s">
        <v>12</v>
      </c>
      <c r="G10" s="0" t="s">
        <v>7</v>
      </c>
      <c r="H10" s="0">
        <v>6025</v>
      </c>
      <c r="I10" s="0">
        <v>0</v>
      </c>
      <c r="J10" s="0">
        <v>0</v>
      </c>
      <c r="K10" s="0">
        <v>1</v>
      </c>
      <c r="L10" s="0">
        <v>1</v>
      </c>
      <c r="M10" s="0">
        <v>3</v>
      </c>
      <c r="N10" s="0">
        <v>0</v>
      </c>
      <c r="O10" s="0">
        <v>0</v>
      </c>
      <c r="P10" s="0">
        <v>0</v>
      </c>
      <c r="R10" s="0" t="b">
        <v>0</v>
      </c>
      <c r="S10" s="0" t="b">
        <v>1</v>
      </c>
      <c r="T10" s="68">
        <v>40028.5</v>
      </c>
      <c r="U10" s="68">
        <v>40789.5416666667</v>
      </c>
      <c r="V10" s="68">
        <v>0</v>
      </c>
      <c r="W10" s="0">
        <f>IF(IF(B10="none",1,IF(B10="Trialer",1,0))+IF(C10="Customer",1,IF(C10="Lost",1,0))=2,1,0)</f>
      </c>
      <c r="X10" s="0" t="s">
        <v>153</v>
      </c>
      <c r="Y10" s="0" t="s">
        <v>143</v>
      </c>
      <c r="AV10" s="68"/>
      <c r="AW10" s="68"/>
      <c r="AY10" s="27"/>
      <c r="BD10" s="68">
        <v>46054.1666666667</v>
      </c>
      <c r="BE10" s="68">
        <v>46082.1666666667</v>
      </c>
      <c r="BF10" s="0" t="b">
        <v>0</v>
      </c>
      <c r="BG10" s="0" t="b">
        <v>0</v>
      </c>
      <c r="BH10" s="0">
        <v>0</v>
      </c>
      <c r="BI10" s="0">
        <v>0</v>
      </c>
      <c r="BJ10" s="0" t="s">
        <v>135</v>
      </c>
    </row>
    <row r="11">
      <c r="A11" s="0" t="s">
        <v>154</v>
      </c>
      <c r="B11" s="0" t="s">
        <v>134</v>
      </c>
      <c r="C11" s="0" t="s">
        <v>134</v>
      </c>
      <c r="D11" s="0" t="s">
        <v>135</v>
      </c>
      <c r="E11" s="0" t="s">
        <v>2</v>
      </c>
      <c r="F11" s="0" t="s">
        <v>12</v>
      </c>
      <c r="G11" s="0" t="s">
        <v>8</v>
      </c>
      <c r="H11" s="0">
        <v>6015</v>
      </c>
      <c r="I11" s="0">
        <v>0</v>
      </c>
      <c r="J11" s="0">
        <v>0</v>
      </c>
      <c r="K11" s="0">
        <v>1</v>
      </c>
      <c r="L11" s="0">
        <v>4</v>
      </c>
      <c r="M11" s="0">
        <v>3</v>
      </c>
      <c r="N11" s="0">
        <v>0</v>
      </c>
      <c r="O11" s="0">
        <v>0</v>
      </c>
      <c r="P11" s="0">
        <v>0</v>
      </c>
      <c r="R11" s="0" t="b">
        <v>0</v>
      </c>
      <c r="S11" s="0" t="b">
        <v>1</v>
      </c>
      <c r="T11" s="68">
        <v>40038.5</v>
      </c>
      <c r="U11" s="68">
        <v>41256.5</v>
      </c>
      <c r="V11" s="68">
        <v>0</v>
      </c>
      <c r="W11" s="0">
        <f>IF(IF(B11="none",1,IF(B11="Trialer",1,0))+IF(C11="Customer",1,IF(C11="Lost",1,0))=2,1,0)</f>
      </c>
      <c r="X11" s="0" t="s">
        <v>148</v>
      </c>
      <c r="Y11" s="0" t="s">
        <v>137</v>
      </c>
      <c r="AV11" s="68"/>
      <c r="AW11" s="68"/>
      <c r="AY11" s="27"/>
      <c r="BD11" s="68">
        <v>46054.1666666667</v>
      </c>
      <c r="BE11" s="68">
        <v>46082.1666666667</v>
      </c>
      <c r="BF11" s="0" t="b">
        <v>0</v>
      </c>
      <c r="BG11" s="0" t="b">
        <v>0</v>
      </c>
      <c r="BH11" s="0">
        <v>0</v>
      </c>
      <c r="BI11" s="0">
        <v>0</v>
      </c>
      <c r="BJ11" s="0" t="s">
        <v>135</v>
      </c>
    </row>
    <row r="12">
      <c r="A12" s="0" t="s">
        <v>155</v>
      </c>
      <c r="B12" s="0" t="s">
        <v>134</v>
      </c>
      <c r="C12" s="0" t="s">
        <v>134</v>
      </c>
      <c r="D12" s="0" t="s">
        <v>135</v>
      </c>
      <c r="E12" s="0" t="s">
        <v>2</v>
      </c>
      <c r="F12" s="0" t="s">
        <v>12</v>
      </c>
      <c r="G12" s="0" t="s">
        <v>8</v>
      </c>
      <c r="H12" s="0">
        <v>6014</v>
      </c>
      <c r="I12" s="0">
        <v>0</v>
      </c>
      <c r="J12" s="0">
        <v>0</v>
      </c>
      <c r="K12" s="0">
        <v>1</v>
      </c>
      <c r="L12" s="0">
        <v>2</v>
      </c>
      <c r="M12" s="0">
        <v>1</v>
      </c>
      <c r="N12" s="0">
        <v>0</v>
      </c>
      <c r="O12" s="0">
        <v>0</v>
      </c>
      <c r="P12" s="0">
        <v>0</v>
      </c>
      <c r="R12" s="0" t="b">
        <v>0</v>
      </c>
      <c r="S12" s="0" t="b">
        <v>1</v>
      </c>
      <c r="T12" s="68">
        <v>40039.5</v>
      </c>
      <c r="U12" s="68">
        <v>41257.5</v>
      </c>
      <c r="V12" s="68">
        <v>0</v>
      </c>
      <c r="W12" s="0">
        <f>IF(IF(B12="none",1,IF(B12="Trialer",1,0))+IF(C12="Customer",1,IF(C12="Lost",1,0))=2,1,0)</f>
      </c>
      <c r="X12" s="0" t="s">
        <v>136</v>
      </c>
      <c r="Y12" s="0" t="s">
        <v>137</v>
      </c>
      <c r="AV12" s="68"/>
      <c r="AW12" s="68"/>
      <c r="AY12" s="27"/>
      <c r="BD12" s="68">
        <v>46054.1666666667</v>
      </c>
      <c r="BE12" s="68">
        <v>46082.1666666667</v>
      </c>
      <c r="BF12" s="0" t="b">
        <v>0</v>
      </c>
      <c r="BG12" s="0" t="b">
        <v>0</v>
      </c>
      <c r="BH12" s="0">
        <v>0</v>
      </c>
      <c r="BI12" s="0">
        <v>0</v>
      </c>
      <c r="BJ12" s="0" t="s">
        <v>135</v>
      </c>
    </row>
    <row r="13">
      <c r="A13" s="0" t="s">
        <v>156</v>
      </c>
      <c r="B13" s="0" t="s">
        <v>134</v>
      </c>
      <c r="C13" s="0" t="s">
        <v>134</v>
      </c>
      <c r="D13" s="0" t="s">
        <v>135</v>
      </c>
      <c r="E13" s="0" t="s">
        <v>2</v>
      </c>
      <c r="F13" s="0" t="s">
        <v>12</v>
      </c>
      <c r="G13" s="0" t="s">
        <v>8</v>
      </c>
      <c r="H13" s="0">
        <v>5975</v>
      </c>
      <c r="I13" s="0">
        <v>0</v>
      </c>
      <c r="J13" s="0">
        <v>0</v>
      </c>
      <c r="K13" s="0">
        <v>1</v>
      </c>
      <c r="L13" s="0">
        <v>2</v>
      </c>
      <c r="M13" s="0">
        <v>1</v>
      </c>
      <c r="N13" s="0">
        <v>0</v>
      </c>
      <c r="O13" s="0">
        <v>0</v>
      </c>
      <c r="P13" s="0">
        <v>0</v>
      </c>
      <c r="R13" s="0" t="b">
        <v>0</v>
      </c>
      <c r="S13" s="0" t="b">
        <v>1</v>
      </c>
      <c r="T13" s="68">
        <v>40078.5</v>
      </c>
      <c r="U13" s="68">
        <v>41265.5</v>
      </c>
      <c r="V13" s="68">
        <v>0</v>
      </c>
      <c r="W13" s="0">
        <f>IF(IF(B13="none",1,IF(B13="Trialer",1,0))+IF(C13="Customer",1,IF(C13="Lost",1,0))=2,1,0)</f>
      </c>
      <c r="X13" s="0" t="s">
        <v>148</v>
      </c>
      <c r="Y13" s="0" t="s">
        <v>137</v>
      </c>
      <c r="AV13" s="68"/>
      <c r="AW13" s="68"/>
      <c r="AY13" s="27"/>
      <c r="BD13" s="68">
        <v>46054.1666666667</v>
      </c>
      <c r="BE13" s="68">
        <v>46082.1666666667</v>
      </c>
      <c r="BF13" s="0" t="b">
        <v>0</v>
      </c>
      <c r="BG13" s="0" t="b">
        <v>0</v>
      </c>
      <c r="BH13" s="0">
        <v>0</v>
      </c>
      <c r="BI13" s="0">
        <v>0</v>
      </c>
      <c r="BJ13" s="0" t="s">
        <v>135</v>
      </c>
    </row>
    <row r="14">
      <c r="A14" s="0" t="s">
        <v>157</v>
      </c>
      <c r="B14" s="0" t="s">
        <v>134</v>
      </c>
      <c r="C14" s="0" t="s">
        <v>134</v>
      </c>
      <c r="D14" s="0" t="s">
        <v>135</v>
      </c>
      <c r="E14" s="0" t="s">
        <v>2</v>
      </c>
      <c r="F14" s="0" t="s">
        <v>12</v>
      </c>
      <c r="G14" s="0" t="s">
        <v>8</v>
      </c>
      <c r="H14" s="0">
        <v>5948</v>
      </c>
      <c r="I14" s="0">
        <v>0</v>
      </c>
      <c r="J14" s="0">
        <v>0</v>
      </c>
      <c r="K14" s="0">
        <v>1</v>
      </c>
      <c r="L14" s="0">
        <v>5</v>
      </c>
      <c r="M14" s="0">
        <v>2</v>
      </c>
      <c r="N14" s="0">
        <v>0</v>
      </c>
      <c r="O14" s="0">
        <v>0</v>
      </c>
      <c r="P14" s="0">
        <v>0</v>
      </c>
      <c r="R14" s="0" t="b">
        <v>0</v>
      </c>
      <c r="S14" s="0" t="b">
        <v>1</v>
      </c>
      <c r="T14" s="68">
        <v>40105.5</v>
      </c>
      <c r="U14" s="68">
        <v>41262.5</v>
      </c>
      <c r="V14" s="68">
        <v>0</v>
      </c>
      <c r="W14" s="0">
        <f>IF(IF(B14="none",1,IF(B14="Trialer",1,0))+IF(C14="Customer",1,IF(C14="Lost",1,0))=2,1,0)</f>
      </c>
      <c r="X14" s="0" t="s">
        <v>148</v>
      </c>
      <c r="Y14" s="0" t="s">
        <v>137</v>
      </c>
      <c r="AV14" s="68"/>
      <c r="AW14" s="68"/>
      <c r="AY14" s="27"/>
      <c r="BD14" s="68">
        <v>46054.1666666667</v>
      </c>
      <c r="BE14" s="68">
        <v>46082.1666666667</v>
      </c>
      <c r="BF14" s="0" t="b">
        <v>0</v>
      </c>
      <c r="BG14" s="0" t="b">
        <v>0</v>
      </c>
      <c r="BH14" s="0">
        <v>0</v>
      </c>
      <c r="BI14" s="0">
        <v>0</v>
      </c>
      <c r="BJ14" s="0" t="s">
        <v>135</v>
      </c>
    </row>
    <row r="15">
      <c r="A15" s="0" t="s">
        <v>158</v>
      </c>
      <c r="B15" s="0" t="s">
        <v>134</v>
      </c>
      <c r="C15" s="0" t="s">
        <v>134</v>
      </c>
      <c r="D15" s="0" t="s">
        <v>135</v>
      </c>
      <c r="E15" s="0" t="s">
        <v>2</v>
      </c>
      <c r="F15" s="0" t="s">
        <v>12</v>
      </c>
      <c r="G15" s="0" t="s">
        <v>7</v>
      </c>
      <c r="H15" s="0">
        <v>5910</v>
      </c>
      <c r="I15" s="0">
        <v>28</v>
      </c>
      <c r="J15" s="0">
        <v>0</v>
      </c>
      <c r="K15" s="0">
        <v>1</v>
      </c>
      <c r="L15" s="0">
        <v>1</v>
      </c>
      <c r="M15" s="0">
        <v>2</v>
      </c>
      <c r="N15" s="0">
        <v>0</v>
      </c>
      <c r="O15" s="0">
        <v>0</v>
      </c>
      <c r="P15" s="0">
        <v>0</v>
      </c>
      <c r="R15" s="0" t="b">
        <v>0</v>
      </c>
      <c r="S15" s="0" t="b">
        <v>1</v>
      </c>
      <c r="T15" s="68">
        <v>40143.5</v>
      </c>
      <c r="U15" s="68">
        <v>41269.5</v>
      </c>
      <c r="V15" s="68">
        <v>0</v>
      </c>
      <c r="W15" s="0">
        <f>IF(IF(B15="none",1,IF(B15="Trialer",1,0))+IF(C15="Customer",1,IF(C15="Lost",1,0))=2,1,0)</f>
      </c>
      <c r="X15" s="0" t="s">
        <v>153</v>
      </c>
      <c r="Y15" s="0" t="s">
        <v>137</v>
      </c>
      <c r="AV15" s="68"/>
      <c r="AW15" s="68"/>
      <c r="AY15" s="27"/>
      <c r="BD15" s="68">
        <v>46054.1666666667</v>
      </c>
      <c r="BE15" s="68">
        <v>46082.1666666667</v>
      </c>
      <c r="BF15" s="0" t="b">
        <v>0</v>
      </c>
      <c r="BG15" s="0" t="b">
        <v>0</v>
      </c>
      <c r="BH15" s="0">
        <v>0</v>
      </c>
      <c r="BI15" s="0">
        <v>0</v>
      </c>
      <c r="BJ15" s="0" t="s">
        <v>135</v>
      </c>
    </row>
    <row r="16">
      <c r="A16" s="0" t="s">
        <v>159</v>
      </c>
      <c r="B16" s="0" t="s">
        <v>134</v>
      </c>
      <c r="C16" s="0" t="s">
        <v>134</v>
      </c>
      <c r="D16" s="0" t="s">
        <v>135</v>
      </c>
      <c r="E16" s="0" t="s">
        <v>2</v>
      </c>
      <c r="F16" s="0" t="s">
        <v>12</v>
      </c>
      <c r="G16" s="0" t="s">
        <v>8</v>
      </c>
      <c r="H16" s="0">
        <v>5876</v>
      </c>
      <c r="I16" s="0">
        <v>0</v>
      </c>
      <c r="J16" s="0">
        <v>0</v>
      </c>
      <c r="K16" s="0">
        <v>1</v>
      </c>
      <c r="L16" s="0">
        <v>5</v>
      </c>
      <c r="M16" s="0">
        <v>2</v>
      </c>
      <c r="N16" s="0">
        <v>0</v>
      </c>
      <c r="O16" s="0">
        <v>0</v>
      </c>
      <c r="P16" s="0">
        <v>0</v>
      </c>
      <c r="R16" s="0" t="b">
        <v>0</v>
      </c>
      <c r="S16" s="0" t="b">
        <v>1</v>
      </c>
      <c r="T16" s="68">
        <v>40177.5</v>
      </c>
      <c r="U16" s="68">
        <v>41243.5</v>
      </c>
      <c r="V16" s="68">
        <v>0</v>
      </c>
      <c r="W16" s="0">
        <f>IF(IF(B16="none",1,IF(B16="Trialer",1,0))+IF(C16="Customer",1,IF(C16="Lost",1,0))=2,1,0)</f>
      </c>
      <c r="X16" s="0" t="s">
        <v>148</v>
      </c>
      <c r="Y16" s="0" t="s">
        <v>137</v>
      </c>
      <c r="AV16" s="68"/>
      <c r="AW16" s="68"/>
      <c r="AY16" s="27"/>
      <c r="BD16" s="68">
        <v>46054.1666666667</v>
      </c>
      <c r="BE16" s="68">
        <v>46082.1666666667</v>
      </c>
      <c r="BF16" s="0" t="b">
        <v>0</v>
      </c>
      <c r="BG16" s="0" t="b">
        <v>0</v>
      </c>
      <c r="BH16" s="0">
        <v>0</v>
      </c>
      <c r="BI16" s="0">
        <v>0</v>
      </c>
      <c r="BJ16" s="0" t="s">
        <v>135</v>
      </c>
    </row>
    <row r="17">
      <c r="A17" s="0" t="s">
        <v>160</v>
      </c>
      <c r="B17" s="0" t="s">
        <v>134</v>
      </c>
      <c r="C17" s="0" t="s">
        <v>134</v>
      </c>
      <c r="D17" s="0" t="s">
        <v>135</v>
      </c>
      <c r="E17" s="0" t="s">
        <v>2</v>
      </c>
      <c r="F17" s="0" t="s">
        <v>12</v>
      </c>
      <c r="G17" s="0" t="s">
        <v>7</v>
      </c>
      <c r="H17" s="0">
        <v>5873</v>
      </c>
      <c r="I17" s="0">
        <v>315</v>
      </c>
      <c r="J17" s="0">
        <v>0</v>
      </c>
      <c r="K17" s="0">
        <v>1</v>
      </c>
      <c r="L17" s="0">
        <v>1</v>
      </c>
      <c r="M17" s="0">
        <v>20</v>
      </c>
      <c r="N17" s="0">
        <v>0</v>
      </c>
      <c r="O17" s="0">
        <v>0</v>
      </c>
      <c r="P17" s="0">
        <v>0</v>
      </c>
      <c r="R17" s="0" t="b">
        <v>0</v>
      </c>
      <c r="S17" s="0" t="b">
        <v>1</v>
      </c>
      <c r="T17" s="68">
        <v>40180.5</v>
      </c>
      <c r="U17" s="68">
        <v>40757.5416666667</v>
      </c>
      <c r="V17" s="68">
        <v>0</v>
      </c>
      <c r="W17" s="0">
        <f>IF(IF(B17="none",1,IF(B17="Trialer",1,0))+IF(C17="Customer",1,IF(C17="Lost",1,0))=2,1,0)</f>
      </c>
      <c r="X17" s="0" t="s">
        <v>145</v>
      </c>
      <c r="Y17" s="0" t="s">
        <v>143</v>
      </c>
      <c r="AV17" s="68"/>
      <c r="AW17" s="68"/>
      <c r="AY17" s="27"/>
      <c r="BD17" s="68">
        <v>46054.1666666667</v>
      </c>
      <c r="BE17" s="68">
        <v>46082.1666666667</v>
      </c>
      <c r="BF17" s="0" t="b">
        <v>0</v>
      </c>
      <c r="BG17" s="0" t="b">
        <v>0</v>
      </c>
      <c r="BH17" s="0">
        <v>365</v>
      </c>
      <c r="BI17" s="0">
        <v>365</v>
      </c>
      <c r="BJ17" s="0" t="s">
        <v>135</v>
      </c>
    </row>
    <row r="18">
      <c r="A18" s="0" t="s">
        <v>161</v>
      </c>
      <c r="B18" s="0" t="s">
        <v>134</v>
      </c>
      <c r="C18" s="0" t="s">
        <v>134</v>
      </c>
      <c r="D18" s="0" t="s">
        <v>135</v>
      </c>
      <c r="E18" s="0" t="s">
        <v>2</v>
      </c>
      <c r="F18" s="0" t="s">
        <v>12</v>
      </c>
      <c r="G18" s="0" t="s">
        <v>7</v>
      </c>
      <c r="H18" s="0">
        <v>5863</v>
      </c>
      <c r="I18" s="0">
        <v>0</v>
      </c>
      <c r="J18" s="0">
        <v>0</v>
      </c>
      <c r="K18" s="0">
        <v>1</v>
      </c>
      <c r="L18" s="0">
        <v>1</v>
      </c>
      <c r="M18" s="0">
        <v>1</v>
      </c>
      <c r="N18" s="0">
        <v>0</v>
      </c>
      <c r="O18" s="0">
        <v>0</v>
      </c>
      <c r="P18" s="0">
        <v>0</v>
      </c>
      <c r="R18" s="0" t="b">
        <v>0</v>
      </c>
      <c r="S18" s="0" t="b">
        <v>1</v>
      </c>
      <c r="T18" s="68">
        <v>40190.5</v>
      </c>
      <c r="U18" s="68">
        <v>41255.5</v>
      </c>
      <c r="V18" s="68">
        <v>0</v>
      </c>
      <c r="W18" s="0">
        <f>IF(IF(B18="none",1,IF(B18="Trialer",1,0))+IF(C18="Customer",1,IF(C18="Lost",1,0))=2,1,0)</f>
      </c>
      <c r="X18" s="0" t="s">
        <v>148</v>
      </c>
      <c r="Y18" s="0" t="s">
        <v>137</v>
      </c>
      <c r="AV18" s="68"/>
      <c r="AW18" s="68"/>
      <c r="AY18" s="27"/>
      <c r="BD18" s="68">
        <v>46054.1666666667</v>
      </c>
      <c r="BE18" s="68">
        <v>46082.1666666667</v>
      </c>
      <c r="BF18" s="0" t="b">
        <v>0</v>
      </c>
      <c r="BG18" s="0" t="b">
        <v>0</v>
      </c>
      <c r="BH18" s="0">
        <v>0</v>
      </c>
      <c r="BI18" s="0">
        <v>0</v>
      </c>
      <c r="BJ18" s="0" t="s">
        <v>135</v>
      </c>
    </row>
    <row r="19">
      <c r="A19" s="0" t="s">
        <v>162</v>
      </c>
      <c r="B19" s="0" t="s">
        <v>134</v>
      </c>
      <c r="C19" s="0" t="s">
        <v>134</v>
      </c>
      <c r="D19" s="0" t="s">
        <v>135</v>
      </c>
      <c r="E19" s="0" t="s">
        <v>2</v>
      </c>
      <c r="F19" s="0" t="s">
        <v>12</v>
      </c>
      <c r="G19" s="0" t="s">
        <v>7</v>
      </c>
      <c r="H19" s="0">
        <v>5815</v>
      </c>
      <c r="I19" s="0">
        <v>0</v>
      </c>
      <c r="J19" s="0">
        <v>0</v>
      </c>
      <c r="K19" s="0">
        <v>1</v>
      </c>
      <c r="L19" s="0">
        <v>1</v>
      </c>
      <c r="M19" s="0">
        <v>1</v>
      </c>
      <c r="N19" s="0">
        <v>0</v>
      </c>
      <c r="O19" s="0">
        <v>0</v>
      </c>
      <c r="P19" s="0">
        <v>0</v>
      </c>
      <c r="R19" s="0" t="b">
        <v>0</v>
      </c>
      <c r="S19" s="0" t="b">
        <v>1</v>
      </c>
      <c r="T19" s="68">
        <v>40238.5</v>
      </c>
      <c r="U19" s="68">
        <v>41244.5</v>
      </c>
      <c r="V19" s="68">
        <v>0</v>
      </c>
      <c r="W19" s="0">
        <f>IF(IF(B19="none",1,IF(B19="Trialer",1,0))+IF(C19="Customer",1,IF(C19="Lost",1,0))=2,1,0)</f>
      </c>
      <c r="X19" s="0" t="s">
        <v>148</v>
      </c>
      <c r="Y19" s="0" t="s">
        <v>137</v>
      </c>
      <c r="AV19" s="68"/>
      <c r="AW19" s="68"/>
      <c r="AY19" s="27"/>
      <c r="BD19" s="68">
        <v>46054.1666666667</v>
      </c>
      <c r="BE19" s="68">
        <v>46082.1666666667</v>
      </c>
      <c r="BF19" s="0" t="b">
        <v>0</v>
      </c>
      <c r="BG19" s="0" t="b">
        <v>0</v>
      </c>
      <c r="BH19" s="0">
        <v>0</v>
      </c>
      <c r="BI19" s="0">
        <v>0</v>
      </c>
      <c r="BJ19" s="0" t="s">
        <v>135</v>
      </c>
    </row>
    <row r="20">
      <c r="A20" s="0" t="s">
        <v>163</v>
      </c>
      <c r="B20" s="0" t="s">
        <v>134</v>
      </c>
      <c r="C20" s="0" t="s">
        <v>134</v>
      </c>
      <c r="D20" s="0" t="s">
        <v>135</v>
      </c>
      <c r="E20" s="0" t="s">
        <v>2</v>
      </c>
      <c r="F20" s="0" t="s">
        <v>12</v>
      </c>
      <c r="G20" s="0" t="s">
        <v>8</v>
      </c>
      <c r="H20" s="0">
        <v>5793</v>
      </c>
      <c r="I20" s="0">
        <v>0</v>
      </c>
      <c r="J20" s="0">
        <v>0</v>
      </c>
      <c r="K20" s="0">
        <v>1</v>
      </c>
      <c r="L20" s="0">
        <v>6</v>
      </c>
      <c r="M20" s="0">
        <v>1</v>
      </c>
      <c r="N20" s="0">
        <v>0</v>
      </c>
      <c r="O20" s="0">
        <v>0</v>
      </c>
      <c r="P20" s="0">
        <v>0</v>
      </c>
      <c r="R20" s="0" t="b">
        <v>0</v>
      </c>
      <c r="S20" s="0" t="b">
        <v>1</v>
      </c>
      <c r="T20" s="68">
        <v>40260.5</v>
      </c>
      <c r="U20" s="68">
        <v>41266.5</v>
      </c>
      <c r="V20" s="68">
        <v>0</v>
      </c>
      <c r="W20" s="0">
        <f>IF(IF(B20="none",1,IF(B20="Trialer",1,0))+IF(C20="Customer",1,IF(C20="Lost",1,0))=2,1,0)</f>
      </c>
      <c r="X20" s="0" t="s">
        <v>148</v>
      </c>
      <c r="Y20" s="0" t="s">
        <v>137</v>
      </c>
      <c r="AV20" s="68"/>
      <c r="AW20" s="68"/>
      <c r="AY20" s="27"/>
      <c r="BD20" s="68">
        <v>46054.1666666667</v>
      </c>
      <c r="BE20" s="68">
        <v>46082.1666666667</v>
      </c>
      <c r="BF20" s="0" t="b">
        <v>0</v>
      </c>
      <c r="BG20" s="0" t="b">
        <v>0</v>
      </c>
      <c r="BH20" s="0">
        <v>0</v>
      </c>
      <c r="BI20" s="0">
        <v>0</v>
      </c>
      <c r="BJ20" s="0" t="s">
        <v>135</v>
      </c>
    </row>
    <row r="21">
      <c r="A21" s="0" t="s">
        <v>164</v>
      </c>
      <c r="B21" s="0" t="s">
        <v>134</v>
      </c>
      <c r="C21" s="0" t="s">
        <v>134</v>
      </c>
      <c r="D21" s="0" t="s">
        <v>135</v>
      </c>
      <c r="E21" s="0" t="s">
        <v>2</v>
      </c>
      <c r="F21" s="0" t="s">
        <v>12</v>
      </c>
      <c r="G21" s="0" t="s">
        <v>7</v>
      </c>
      <c r="H21" s="0">
        <v>5786</v>
      </c>
      <c r="I21" s="0">
        <v>0</v>
      </c>
      <c r="J21" s="0">
        <v>0</v>
      </c>
      <c r="K21" s="0">
        <v>1</v>
      </c>
      <c r="L21" s="0">
        <v>1</v>
      </c>
      <c r="M21" s="0">
        <v>1</v>
      </c>
      <c r="N21" s="0">
        <v>0</v>
      </c>
      <c r="O21" s="0">
        <v>0</v>
      </c>
      <c r="P21" s="0">
        <v>0</v>
      </c>
      <c r="R21" s="0" t="b">
        <v>0</v>
      </c>
      <c r="S21" s="0" t="b">
        <v>1</v>
      </c>
      <c r="T21" s="68">
        <v>40267.5</v>
      </c>
      <c r="U21" s="68">
        <v>41243.5</v>
      </c>
      <c r="V21" s="68">
        <v>0</v>
      </c>
      <c r="W21" s="0">
        <f>IF(IF(B21="none",1,IF(B21="Trialer",1,0))+IF(C21="Customer",1,IF(C21="Lost",1,0))=2,1,0)</f>
      </c>
      <c r="X21" s="0" t="s">
        <v>136</v>
      </c>
      <c r="Y21" s="0" t="s">
        <v>137</v>
      </c>
      <c r="AV21" s="68"/>
      <c r="AW21" s="68"/>
      <c r="AY21" s="27"/>
      <c r="BD21" s="68">
        <v>46054.1666666667</v>
      </c>
      <c r="BE21" s="68">
        <v>46082.1666666667</v>
      </c>
      <c r="BF21" s="0" t="b">
        <v>0</v>
      </c>
      <c r="BG21" s="0" t="b">
        <v>0</v>
      </c>
      <c r="BH21" s="0">
        <v>0</v>
      </c>
      <c r="BI21" s="0">
        <v>0</v>
      </c>
      <c r="BJ21" s="0" t="s">
        <v>135</v>
      </c>
    </row>
    <row r="22">
      <c r="A22" s="0" t="s">
        <v>165</v>
      </c>
      <c r="B22" s="0" t="s">
        <v>134</v>
      </c>
      <c r="C22" s="0" t="s">
        <v>134</v>
      </c>
      <c r="D22" s="0" t="s">
        <v>135</v>
      </c>
      <c r="E22" s="0" t="s">
        <v>2</v>
      </c>
      <c r="F22" s="0" t="s">
        <v>12</v>
      </c>
      <c r="G22" s="0" t="s">
        <v>7</v>
      </c>
      <c r="H22" s="0">
        <v>5768</v>
      </c>
      <c r="I22" s="0">
        <v>68</v>
      </c>
      <c r="J22" s="0">
        <v>0</v>
      </c>
      <c r="K22" s="0">
        <v>1</v>
      </c>
      <c r="L22" s="0">
        <v>1</v>
      </c>
      <c r="M22" s="0">
        <v>2</v>
      </c>
      <c r="N22" s="0">
        <v>0</v>
      </c>
      <c r="O22" s="0">
        <v>0</v>
      </c>
      <c r="P22" s="0">
        <v>0</v>
      </c>
      <c r="R22" s="0" t="b">
        <v>0</v>
      </c>
      <c r="S22" s="0" t="b">
        <v>1</v>
      </c>
      <c r="T22" s="68">
        <v>40285.5</v>
      </c>
      <c r="U22" s="68">
        <v>40772.5416666667</v>
      </c>
      <c r="V22" s="68">
        <v>0</v>
      </c>
      <c r="W22" s="0">
        <f>IF(IF(B22="none",1,IF(B22="Trialer",1,0))+IF(C22="Customer",1,IF(C22="Lost",1,0))=2,1,0)</f>
      </c>
      <c r="X22" s="0" t="s">
        <v>166</v>
      </c>
      <c r="Y22" s="0" t="s">
        <v>143</v>
      </c>
      <c r="AV22" s="68"/>
      <c r="AW22" s="68"/>
      <c r="AY22" s="27"/>
      <c r="BD22" s="68">
        <v>46054.1666666667</v>
      </c>
      <c r="BE22" s="68">
        <v>46082.1666666667</v>
      </c>
      <c r="BF22" s="0" t="b">
        <v>0</v>
      </c>
      <c r="BG22" s="0" t="b">
        <v>0</v>
      </c>
      <c r="BH22" s="0">
        <v>68</v>
      </c>
      <c r="BI22" s="0">
        <v>68</v>
      </c>
      <c r="BJ22" s="0" t="s">
        <v>135</v>
      </c>
    </row>
    <row r="23">
      <c r="A23" s="0" t="s">
        <v>167</v>
      </c>
      <c r="B23" s="0" t="s">
        <v>134</v>
      </c>
      <c r="C23" s="0" t="s">
        <v>134</v>
      </c>
      <c r="D23" s="0" t="s">
        <v>135</v>
      </c>
      <c r="E23" s="0" t="s">
        <v>2</v>
      </c>
      <c r="F23" s="0" t="s">
        <v>11</v>
      </c>
      <c r="G23" s="0" t="s">
        <v>7</v>
      </c>
      <c r="H23" s="0">
        <v>5765</v>
      </c>
      <c r="I23" s="0">
        <v>308</v>
      </c>
      <c r="J23" s="0">
        <v>0</v>
      </c>
      <c r="K23" s="0">
        <v>1</v>
      </c>
      <c r="L23" s="0">
        <v>1</v>
      </c>
      <c r="M23" s="0">
        <v>20</v>
      </c>
      <c r="N23" s="0">
        <v>0</v>
      </c>
      <c r="O23" s="0">
        <v>0</v>
      </c>
      <c r="P23" s="0">
        <v>0</v>
      </c>
      <c r="Q23" s="0" t="s">
        <v>168</v>
      </c>
      <c r="R23" s="0" t="b">
        <v>1</v>
      </c>
      <c r="S23" s="0" t="b">
        <v>1</v>
      </c>
      <c r="T23" s="68">
        <v>40288.125</v>
      </c>
      <c r="U23" s="68">
        <v>40776.5</v>
      </c>
      <c r="V23" s="68">
        <v>0</v>
      </c>
      <c r="W23" s="0">
        <f>IF(IF(B23="none",1,IF(B23="Trialer",1,0))+IF(C23="Customer",1,IF(C23="Lost",1,0))=2,1,0)</f>
      </c>
      <c r="X23" s="0" t="s">
        <v>148</v>
      </c>
      <c r="Y23" s="0" t="s">
        <v>143</v>
      </c>
      <c r="AV23" s="68"/>
      <c r="AW23" s="68"/>
      <c r="AY23" s="27"/>
      <c r="BD23" s="68">
        <v>46054.1666666667</v>
      </c>
      <c r="BE23" s="68">
        <v>46082.1666666667</v>
      </c>
      <c r="BF23" s="0" t="b">
        <v>0</v>
      </c>
      <c r="BG23" s="0" t="b">
        <v>0</v>
      </c>
      <c r="BH23" s="0">
        <v>508</v>
      </c>
      <c r="BI23" s="0">
        <v>508</v>
      </c>
      <c r="BJ23" s="0" t="s">
        <v>135</v>
      </c>
    </row>
    <row r="24">
      <c r="A24" s="0" t="s">
        <v>169</v>
      </c>
      <c r="B24" s="0" t="s">
        <v>134</v>
      </c>
      <c r="C24" s="0" t="s">
        <v>134</v>
      </c>
      <c r="D24" s="0" t="s">
        <v>135</v>
      </c>
      <c r="E24" s="0" t="s">
        <v>2</v>
      </c>
      <c r="F24" s="0" t="s">
        <v>12</v>
      </c>
      <c r="G24" s="0" t="s">
        <v>7</v>
      </c>
      <c r="H24" s="0">
        <v>5729</v>
      </c>
      <c r="I24" s="0">
        <v>358</v>
      </c>
      <c r="J24" s="0">
        <v>0</v>
      </c>
      <c r="K24" s="0">
        <v>1</v>
      </c>
      <c r="L24" s="0">
        <v>1</v>
      </c>
      <c r="M24" s="0">
        <v>17</v>
      </c>
      <c r="N24" s="0">
        <v>0</v>
      </c>
      <c r="O24" s="0">
        <v>0</v>
      </c>
      <c r="P24" s="0">
        <v>0</v>
      </c>
      <c r="R24" s="0" t="b">
        <v>0</v>
      </c>
      <c r="S24" s="0" t="b">
        <v>1</v>
      </c>
      <c r="T24" s="68">
        <v>40324.5</v>
      </c>
      <c r="U24" s="68">
        <v>40781.5416666667</v>
      </c>
      <c r="V24" s="68">
        <v>0</v>
      </c>
      <c r="W24" s="0">
        <f>IF(IF(B24="none",1,IF(B24="Trialer",1,0))+IF(C24="Customer",1,IF(C24="Lost",1,0))=2,1,0)</f>
      </c>
      <c r="X24" s="0" t="s">
        <v>148</v>
      </c>
      <c r="Y24" s="0" t="s">
        <v>143</v>
      </c>
      <c r="AV24" s="68"/>
      <c r="AW24" s="68"/>
      <c r="AY24" s="27"/>
      <c r="BD24" s="68">
        <v>46054.1666666667</v>
      </c>
      <c r="BE24" s="68">
        <v>46082.1666666667</v>
      </c>
      <c r="BF24" s="0" t="b">
        <v>0</v>
      </c>
      <c r="BG24" s="0" t="b">
        <v>0</v>
      </c>
      <c r="BH24" s="0">
        <v>548</v>
      </c>
      <c r="BI24" s="0">
        <v>548</v>
      </c>
      <c r="BJ24" s="0" t="s">
        <v>135</v>
      </c>
    </row>
    <row r="25">
      <c r="A25" s="0" t="s">
        <v>170</v>
      </c>
      <c r="B25" s="0" t="s">
        <v>134</v>
      </c>
      <c r="C25" s="0" t="s">
        <v>134</v>
      </c>
      <c r="D25" s="0" t="s">
        <v>135</v>
      </c>
      <c r="E25" s="0" t="s">
        <v>2</v>
      </c>
      <c r="F25" s="0" t="s">
        <v>12</v>
      </c>
      <c r="G25" s="0" t="s">
        <v>8</v>
      </c>
      <c r="H25" s="0">
        <v>5728</v>
      </c>
      <c r="I25" s="0">
        <v>0</v>
      </c>
      <c r="J25" s="0">
        <v>0</v>
      </c>
      <c r="K25" s="0">
        <v>1</v>
      </c>
      <c r="L25" s="0">
        <v>3</v>
      </c>
      <c r="M25" s="0">
        <v>1</v>
      </c>
      <c r="N25" s="0">
        <v>0</v>
      </c>
      <c r="O25" s="0">
        <v>0</v>
      </c>
      <c r="P25" s="0">
        <v>0</v>
      </c>
      <c r="R25" s="0" t="b">
        <v>0</v>
      </c>
      <c r="S25" s="0" t="b">
        <v>1</v>
      </c>
      <c r="T25" s="68">
        <v>40325.5</v>
      </c>
      <c r="U25" s="68">
        <v>41270.5</v>
      </c>
      <c r="V25" s="68">
        <v>0</v>
      </c>
      <c r="W25" s="0">
        <f>IF(IF(B25="none",1,IF(B25="Trialer",1,0))+IF(C25="Customer",1,IF(C25="Lost",1,0))=2,1,0)</f>
      </c>
      <c r="X25" s="0" t="s">
        <v>148</v>
      </c>
      <c r="Y25" s="0" t="s">
        <v>137</v>
      </c>
      <c r="AV25" s="68"/>
      <c r="AW25" s="68"/>
      <c r="AY25" s="27"/>
      <c r="BD25" s="68">
        <v>46054.1666666667</v>
      </c>
      <c r="BE25" s="68">
        <v>46082.1666666667</v>
      </c>
      <c r="BF25" s="0" t="b">
        <v>0</v>
      </c>
      <c r="BG25" s="0" t="b">
        <v>0</v>
      </c>
      <c r="BH25" s="0">
        <v>0</v>
      </c>
      <c r="BI25" s="0">
        <v>0</v>
      </c>
      <c r="BJ25" s="0" t="s">
        <v>135</v>
      </c>
    </row>
    <row r="26">
      <c r="A26" s="0" t="s">
        <v>171</v>
      </c>
      <c r="B26" s="0" t="s">
        <v>134</v>
      </c>
      <c r="C26" s="0" t="s">
        <v>134</v>
      </c>
      <c r="D26" s="0" t="s">
        <v>135</v>
      </c>
      <c r="E26" s="0" t="s">
        <v>2</v>
      </c>
      <c r="F26" s="0" t="s">
        <v>12</v>
      </c>
      <c r="G26" s="0" t="s">
        <v>8</v>
      </c>
      <c r="H26" s="0">
        <v>5728</v>
      </c>
      <c r="I26" s="0">
        <v>0</v>
      </c>
      <c r="J26" s="0">
        <v>0</v>
      </c>
      <c r="K26" s="0">
        <v>1</v>
      </c>
      <c r="L26" s="0">
        <v>3</v>
      </c>
      <c r="M26" s="0">
        <v>1</v>
      </c>
      <c r="N26" s="0">
        <v>0</v>
      </c>
      <c r="O26" s="0">
        <v>0</v>
      </c>
      <c r="P26" s="0">
        <v>0</v>
      </c>
      <c r="R26" s="0" t="b">
        <v>0</v>
      </c>
      <c r="S26" s="0" t="b">
        <v>1</v>
      </c>
      <c r="T26" s="68">
        <v>40325.5</v>
      </c>
      <c r="U26" s="68">
        <v>41270.5</v>
      </c>
      <c r="V26" s="68">
        <v>0</v>
      </c>
      <c r="W26" s="0">
        <f>IF(IF(B26="none",1,IF(B26="Trialer",1,0))+IF(C26="Customer",1,IF(C26="Lost",1,0))=2,1,0)</f>
      </c>
      <c r="X26" s="0" t="s">
        <v>148</v>
      </c>
      <c r="Y26" s="0" t="s">
        <v>137</v>
      </c>
      <c r="AV26" s="68"/>
      <c r="AW26" s="68"/>
      <c r="AY26" s="27"/>
      <c r="BD26" s="68">
        <v>46054.1666666667</v>
      </c>
      <c r="BE26" s="68">
        <v>46082.1666666667</v>
      </c>
      <c r="BF26" s="0" t="b">
        <v>0</v>
      </c>
      <c r="BG26" s="0" t="b">
        <v>0</v>
      </c>
      <c r="BH26" s="0">
        <v>0</v>
      </c>
      <c r="BI26" s="0">
        <v>0</v>
      </c>
      <c r="BJ26" s="0" t="s">
        <v>135</v>
      </c>
    </row>
    <row r="27">
      <c r="A27" s="0" t="s">
        <v>172</v>
      </c>
      <c r="B27" s="0" t="s">
        <v>134</v>
      </c>
      <c r="C27" s="0" t="s">
        <v>134</v>
      </c>
      <c r="D27" s="0" t="s">
        <v>135</v>
      </c>
      <c r="E27" s="0" t="s">
        <v>2</v>
      </c>
      <c r="F27" s="0" t="s">
        <v>12</v>
      </c>
      <c r="G27" s="0" t="s">
        <v>8</v>
      </c>
      <c r="H27" s="0">
        <v>5727</v>
      </c>
      <c r="I27" s="0">
        <v>0</v>
      </c>
      <c r="J27" s="0">
        <v>0</v>
      </c>
      <c r="K27" s="0">
        <v>1</v>
      </c>
      <c r="L27" s="0">
        <v>1</v>
      </c>
      <c r="M27" s="0">
        <v>1</v>
      </c>
      <c r="N27" s="0">
        <v>0</v>
      </c>
      <c r="O27" s="0">
        <v>0</v>
      </c>
      <c r="P27" s="0">
        <v>0</v>
      </c>
      <c r="R27" s="0" t="b">
        <v>0</v>
      </c>
      <c r="S27" s="0" t="b">
        <v>1</v>
      </c>
      <c r="T27" s="68">
        <v>40326.5</v>
      </c>
      <c r="U27" s="68">
        <v>41271.5</v>
      </c>
      <c r="V27" s="68">
        <v>0</v>
      </c>
      <c r="W27" s="0">
        <f>IF(IF(B27="none",1,IF(B27="Trialer",1,0))+IF(C27="Customer",1,IF(C27="Lost",1,0))=2,1,0)</f>
      </c>
      <c r="X27" s="0" t="s">
        <v>148</v>
      </c>
      <c r="Y27" s="0" t="s">
        <v>137</v>
      </c>
      <c r="AV27" s="68"/>
      <c r="AW27" s="68"/>
      <c r="AY27" s="27"/>
      <c r="BD27" s="68">
        <v>46054.1666666667</v>
      </c>
      <c r="BE27" s="68">
        <v>46082.1666666667</v>
      </c>
      <c r="BF27" s="0" t="b">
        <v>0</v>
      </c>
      <c r="BG27" s="0" t="b">
        <v>0</v>
      </c>
      <c r="BH27" s="0">
        <v>0</v>
      </c>
      <c r="BI27" s="0">
        <v>0</v>
      </c>
      <c r="BJ27" s="0" t="s">
        <v>135</v>
      </c>
    </row>
    <row r="28">
      <c r="A28" s="0" t="s">
        <v>173</v>
      </c>
      <c r="B28" s="0" t="s">
        <v>134</v>
      </c>
      <c r="C28" s="0" t="s">
        <v>134</v>
      </c>
      <c r="D28" s="0" t="s">
        <v>135</v>
      </c>
      <c r="E28" s="0" t="s">
        <v>2</v>
      </c>
      <c r="F28" s="0" t="s">
        <v>12</v>
      </c>
      <c r="G28" s="0" t="s">
        <v>8</v>
      </c>
      <c r="H28" s="0">
        <v>5727</v>
      </c>
      <c r="I28" s="0">
        <v>0</v>
      </c>
      <c r="J28" s="0">
        <v>0</v>
      </c>
      <c r="K28" s="0">
        <v>1</v>
      </c>
      <c r="L28" s="0">
        <v>2</v>
      </c>
      <c r="M28" s="0">
        <v>1</v>
      </c>
      <c r="N28" s="0">
        <v>0</v>
      </c>
      <c r="O28" s="0">
        <v>0</v>
      </c>
      <c r="P28" s="0">
        <v>0</v>
      </c>
      <c r="R28" s="0" t="b">
        <v>0</v>
      </c>
      <c r="S28" s="0" t="b">
        <v>1</v>
      </c>
      <c r="T28" s="68">
        <v>40326.5</v>
      </c>
      <c r="U28" s="68">
        <v>41271.5</v>
      </c>
      <c r="V28" s="68">
        <v>0</v>
      </c>
      <c r="W28" s="0">
        <f>IF(IF(B28="none",1,IF(B28="Trialer",1,0))+IF(C28="Customer",1,IF(C28="Lost",1,0))=2,1,0)</f>
      </c>
      <c r="X28" s="0" t="s">
        <v>136</v>
      </c>
      <c r="Y28" s="0" t="s">
        <v>137</v>
      </c>
      <c r="AV28" s="68"/>
      <c r="AW28" s="68"/>
      <c r="AY28" s="27"/>
      <c r="BD28" s="68">
        <v>46054.1666666667</v>
      </c>
      <c r="BE28" s="68">
        <v>46082.1666666667</v>
      </c>
      <c r="BF28" s="0" t="b">
        <v>0</v>
      </c>
      <c r="BG28" s="0" t="b">
        <v>0</v>
      </c>
      <c r="BH28" s="0">
        <v>0</v>
      </c>
      <c r="BI28" s="0">
        <v>0</v>
      </c>
      <c r="BJ28" s="0" t="s">
        <v>135</v>
      </c>
    </row>
    <row r="29">
      <c r="A29" s="0" t="s">
        <v>174</v>
      </c>
      <c r="B29" s="0" t="s">
        <v>134</v>
      </c>
      <c r="C29" s="0" t="s">
        <v>134</v>
      </c>
      <c r="D29" s="0" t="s">
        <v>135</v>
      </c>
      <c r="E29" s="0" t="s">
        <v>2</v>
      </c>
      <c r="F29" s="0" t="s">
        <v>12</v>
      </c>
      <c r="G29" s="0" t="s">
        <v>8</v>
      </c>
      <c r="H29" s="0">
        <v>5723</v>
      </c>
      <c r="I29" s="0">
        <v>0</v>
      </c>
      <c r="J29" s="0">
        <v>0</v>
      </c>
      <c r="K29" s="0">
        <v>1</v>
      </c>
      <c r="L29" s="0">
        <v>4</v>
      </c>
      <c r="M29" s="0">
        <v>1</v>
      </c>
      <c r="N29" s="0">
        <v>0</v>
      </c>
      <c r="O29" s="0">
        <v>0</v>
      </c>
      <c r="P29" s="0">
        <v>0</v>
      </c>
      <c r="R29" s="0" t="b">
        <v>0</v>
      </c>
      <c r="S29" s="0" t="b">
        <v>1</v>
      </c>
      <c r="T29" s="68">
        <v>40330.5</v>
      </c>
      <c r="U29" s="68">
        <v>41244.5</v>
      </c>
      <c r="V29" s="68">
        <v>0</v>
      </c>
      <c r="W29" s="0">
        <f>IF(IF(B29="none",1,IF(B29="Trialer",1,0))+IF(C29="Customer",1,IF(C29="Lost",1,0))=2,1,0)</f>
      </c>
      <c r="X29" s="0" t="s">
        <v>148</v>
      </c>
      <c r="Y29" s="0" t="s">
        <v>137</v>
      </c>
      <c r="AV29" s="68"/>
      <c r="AW29" s="68"/>
      <c r="AY29" s="27"/>
      <c r="BD29" s="68">
        <v>46054.1666666667</v>
      </c>
      <c r="BE29" s="68">
        <v>46082.1666666667</v>
      </c>
      <c r="BF29" s="0" t="b">
        <v>0</v>
      </c>
      <c r="BG29" s="0" t="b">
        <v>0</v>
      </c>
      <c r="BH29" s="0">
        <v>0</v>
      </c>
      <c r="BI29" s="0">
        <v>0</v>
      </c>
      <c r="BJ29" s="0" t="s">
        <v>135</v>
      </c>
    </row>
    <row r="30">
      <c r="A30" s="0" t="s">
        <v>175</v>
      </c>
      <c r="B30" s="0" t="s">
        <v>134</v>
      </c>
      <c r="C30" s="0" t="s">
        <v>134</v>
      </c>
      <c r="D30" s="0" t="s">
        <v>135</v>
      </c>
      <c r="E30" s="0" t="s">
        <v>2</v>
      </c>
      <c r="F30" s="0" t="s">
        <v>12</v>
      </c>
      <c r="G30" s="0" t="s">
        <v>7</v>
      </c>
      <c r="H30" s="0">
        <v>5723</v>
      </c>
      <c r="I30" s="0">
        <v>0</v>
      </c>
      <c r="J30" s="0">
        <v>0</v>
      </c>
      <c r="K30" s="0">
        <v>1</v>
      </c>
      <c r="L30" s="0">
        <v>1</v>
      </c>
      <c r="M30" s="0">
        <v>1</v>
      </c>
      <c r="N30" s="0">
        <v>0</v>
      </c>
      <c r="O30" s="0">
        <v>0</v>
      </c>
      <c r="P30" s="0">
        <v>0</v>
      </c>
      <c r="R30" s="0" t="b">
        <v>0</v>
      </c>
      <c r="S30" s="0" t="b">
        <v>1</v>
      </c>
      <c r="T30" s="68">
        <v>40330.5</v>
      </c>
      <c r="U30" s="68">
        <v>41244.5</v>
      </c>
      <c r="V30" s="68">
        <v>0</v>
      </c>
      <c r="W30" s="0">
        <f>IF(IF(B30="none",1,IF(B30="Trialer",1,0))+IF(C30="Customer",1,IF(C30="Lost",1,0))=2,1,0)</f>
      </c>
      <c r="X30" s="0" t="s">
        <v>148</v>
      </c>
      <c r="Y30" s="0" t="s">
        <v>137</v>
      </c>
      <c r="AV30" s="68"/>
      <c r="AW30" s="68"/>
      <c r="AY30" s="27"/>
      <c r="BD30" s="68">
        <v>46054.1666666667</v>
      </c>
      <c r="BE30" s="68">
        <v>46082.1666666667</v>
      </c>
      <c r="BF30" s="0" t="b">
        <v>0</v>
      </c>
      <c r="BG30" s="0" t="b">
        <v>0</v>
      </c>
      <c r="BH30" s="0">
        <v>0</v>
      </c>
      <c r="BI30" s="0">
        <v>0</v>
      </c>
      <c r="BJ30" s="0" t="s">
        <v>135</v>
      </c>
    </row>
    <row r="31">
      <c r="A31" s="0" t="s">
        <v>176</v>
      </c>
      <c r="B31" s="0" t="s">
        <v>134</v>
      </c>
      <c r="C31" s="0" t="s">
        <v>134</v>
      </c>
      <c r="D31" s="0" t="s">
        <v>135</v>
      </c>
      <c r="E31" s="0" t="s">
        <v>2</v>
      </c>
      <c r="F31" s="0" t="s">
        <v>12</v>
      </c>
      <c r="G31" s="0" t="s">
        <v>8</v>
      </c>
      <c r="H31" s="0">
        <v>5722</v>
      </c>
      <c r="I31" s="0">
        <v>0</v>
      </c>
      <c r="J31" s="0">
        <v>0</v>
      </c>
      <c r="K31" s="0">
        <v>1</v>
      </c>
      <c r="L31" s="0">
        <v>1</v>
      </c>
      <c r="M31" s="0">
        <v>1</v>
      </c>
      <c r="N31" s="0">
        <v>0</v>
      </c>
      <c r="O31" s="0">
        <v>0</v>
      </c>
      <c r="P31" s="0">
        <v>0</v>
      </c>
      <c r="R31" s="0" t="b">
        <v>0</v>
      </c>
      <c r="S31" s="0" t="b">
        <v>1</v>
      </c>
      <c r="T31" s="68">
        <v>40331.5</v>
      </c>
      <c r="U31" s="68">
        <v>41245.5</v>
      </c>
      <c r="V31" s="68">
        <v>0</v>
      </c>
      <c r="W31" s="0">
        <f>IF(IF(B31="none",1,IF(B31="Trialer",1,0))+IF(C31="Customer",1,IF(C31="Lost",1,0))=2,1,0)</f>
      </c>
      <c r="X31" s="0" t="s">
        <v>136</v>
      </c>
      <c r="Y31" s="0" t="s">
        <v>137</v>
      </c>
      <c r="AV31" s="68"/>
      <c r="AW31" s="68"/>
      <c r="AY31" s="27"/>
      <c r="BD31" s="68">
        <v>46054.1666666667</v>
      </c>
      <c r="BE31" s="68">
        <v>46082.1666666667</v>
      </c>
      <c r="BF31" s="0" t="b">
        <v>0</v>
      </c>
      <c r="BG31" s="0" t="b">
        <v>0</v>
      </c>
      <c r="BH31" s="0">
        <v>0</v>
      </c>
      <c r="BI31" s="0">
        <v>0</v>
      </c>
      <c r="BJ31" s="0" t="s">
        <v>135</v>
      </c>
    </row>
    <row r="32">
      <c r="A32" s="0" t="s">
        <v>177</v>
      </c>
      <c r="B32" s="0" t="s">
        <v>134</v>
      </c>
      <c r="C32" s="0" t="s">
        <v>134</v>
      </c>
      <c r="D32" s="0" t="s">
        <v>135</v>
      </c>
      <c r="E32" s="0" t="s">
        <v>2</v>
      </c>
      <c r="F32" s="0" t="s">
        <v>12</v>
      </c>
      <c r="G32" s="0" t="s">
        <v>7</v>
      </c>
      <c r="H32" s="0">
        <v>5716</v>
      </c>
      <c r="I32" s="0">
        <v>0</v>
      </c>
      <c r="J32" s="0">
        <v>0</v>
      </c>
      <c r="K32" s="0">
        <v>1</v>
      </c>
      <c r="L32" s="0">
        <v>1</v>
      </c>
      <c r="M32" s="0">
        <v>1</v>
      </c>
      <c r="N32" s="0">
        <v>0</v>
      </c>
      <c r="O32" s="0">
        <v>0</v>
      </c>
      <c r="P32" s="0">
        <v>0</v>
      </c>
      <c r="R32" s="0" t="b">
        <v>0</v>
      </c>
      <c r="S32" s="0" t="b">
        <v>1</v>
      </c>
      <c r="T32" s="68">
        <v>40337.5</v>
      </c>
      <c r="U32" s="68">
        <v>41245.5</v>
      </c>
      <c r="V32" s="68">
        <v>0</v>
      </c>
      <c r="W32" s="0">
        <f>IF(IF(B32="none",1,IF(B32="Trialer",1,0))+IF(C32="Customer",1,IF(C32="Lost",1,0))=2,1,0)</f>
      </c>
      <c r="X32" s="0" t="s">
        <v>136</v>
      </c>
      <c r="Y32" s="0" t="s">
        <v>137</v>
      </c>
      <c r="AV32" s="68"/>
      <c r="AW32" s="68"/>
      <c r="AY32" s="27"/>
      <c r="BD32" s="68">
        <v>46054.1666666667</v>
      </c>
      <c r="BE32" s="68">
        <v>46082.1666666667</v>
      </c>
      <c r="BF32" s="0" t="b">
        <v>0</v>
      </c>
      <c r="BG32" s="0" t="b">
        <v>0</v>
      </c>
      <c r="BH32" s="0">
        <v>0</v>
      </c>
      <c r="BI32" s="0">
        <v>0</v>
      </c>
      <c r="BJ32" s="0" t="s">
        <v>135</v>
      </c>
    </row>
    <row r="33">
      <c r="A33" s="0" t="s">
        <v>178</v>
      </c>
      <c r="B33" s="0" t="s">
        <v>134</v>
      </c>
      <c r="C33" s="0" t="s">
        <v>134</v>
      </c>
      <c r="D33" s="0" t="s">
        <v>135</v>
      </c>
      <c r="E33" s="0" t="s">
        <v>2</v>
      </c>
      <c r="F33" s="0" t="s">
        <v>12</v>
      </c>
      <c r="G33" s="0" t="s">
        <v>7</v>
      </c>
      <c r="H33" s="0">
        <v>5699</v>
      </c>
      <c r="I33" s="0">
        <v>0</v>
      </c>
      <c r="J33" s="0">
        <v>0</v>
      </c>
      <c r="K33" s="0">
        <v>1</v>
      </c>
      <c r="L33" s="0">
        <v>1</v>
      </c>
      <c r="M33" s="0">
        <v>2</v>
      </c>
      <c r="N33" s="0">
        <v>0</v>
      </c>
      <c r="O33" s="0">
        <v>0</v>
      </c>
      <c r="P33" s="0">
        <v>0</v>
      </c>
      <c r="R33" s="0" t="b">
        <v>0</v>
      </c>
      <c r="S33" s="0" t="b">
        <v>1</v>
      </c>
      <c r="T33" s="68">
        <v>40354.5</v>
      </c>
      <c r="U33" s="68">
        <v>41268.5</v>
      </c>
      <c r="V33" s="68">
        <v>0</v>
      </c>
      <c r="W33" s="0">
        <f>IF(IF(B33="none",1,IF(B33="Trialer",1,0))+IF(C33="Customer",1,IF(C33="Lost",1,0))=2,1,0)</f>
      </c>
      <c r="X33" s="0" t="s">
        <v>136</v>
      </c>
      <c r="Y33" s="0" t="s">
        <v>137</v>
      </c>
      <c r="AV33" s="68"/>
      <c r="AW33" s="68"/>
      <c r="AY33" s="27"/>
      <c r="BD33" s="68">
        <v>46054.1666666667</v>
      </c>
      <c r="BE33" s="68">
        <v>46082.1666666667</v>
      </c>
      <c r="BF33" s="0" t="b">
        <v>0</v>
      </c>
      <c r="BG33" s="0" t="b">
        <v>0</v>
      </c>
      <c r="BH33" s="0">
        <v>0</v>
      </c>
      <c r="BI33" s="0">
        <v>0</v>
      </c>
      <c r="BJ33" s="0" t="s">
        <v>135</v>
      </c>
    </row>
    <row r="34">
      <c r="A34" s="0" t="s">
        <v>179</v>
      </c>
      <c r="B34" s="0" t="s">
        <v>134</v>
      </c>
      <c r="C34" s="0" t="s">
        <v>134</v>
      </c>
      <c r="D34" s="0" t="s">
        <v>135</v>
      </c>
      <c r="E34" s="0" t="s">
        <v>2</v>
      </c>
      <c r="F34" s="0" t="s">
        <v>12</v>
      </c>
      <c r="G34" s="0" t="s">
        <v>8</v>
      </c>
      <c r="H34" s="0">
        <v>5695</v>
      </c>
      <c r="I34" s="0">
        <v>0</v>
      </c>
      <c r="J34" s="0">
        <v>0</v>
      </c>
      <c r="K34" s="0">
        <v>1</v>
      </c>
      <c r="L34" s="0">
        <v>3</v>
      </c>
      <c r="M34" s="0">
        <v>1</v>
      </c>
      <c r="N34" s="0">
        <v>0</v>
      </c>
      <c r="O34" s="0">
        <v>0</v>
      </c>
      <c r="P34" s="0">
        <v>0</v>
      </c>
      <c r="R34" s="0" t="b">
        <v>0</v>
      </c>
      <c r="S34" s="0" t="b">
        <v>1</v>
      </c>
      <c r="T34" s="68">
        <v>40358.5</v>
      </c>
      <c r="U34" s="68">
        <v>41272.5</v>
      </c>
      <c r="V34" s="68">
        <v>0</v>
      </c>
      <c r="W34" s="0">
        <f>IF(IF(B34="none",1,IF(B34="Trialer",1,0))+IF(C34="Customer",1,IF(C34="Lost",1,0))=2,1,0)</f>
      </c>
      <c r="X34" s="0" t="s">
        <v>148</v>
      </c>
      <c r="Y34" s="0" t="s">
        <v>137</v>
      </c>
      <c r="AV34" s="68"/>
      <c r="AW34" s="68"/>
      <c r="AY34" s="27"/>
      <c r="BD34" s="68">
        <v>46054.1666666667</v>
      </c>
      <c r="BE34" s="68">
        <v>46082.1666666667</v>
      </c>
      <c r="BF34" s="0" t="b">
        <v>0</v>
      </c>
      <c r="BG34" s="0" t="b">
        <v>0</v>
      </c>
      <c r="BH34" s="0">
        <v>0</v>
      </c>
      <c r="BI34" s="0">
        <v>0</v>
      </c>
      <c r="BJ34" s="0" t="s">
        <v>135</v>
      </c>
    </row>
    <row r="35">
      <c r="A35" s="0" t="s">
        <v>180</v>
      </c>
      <c r="B35" s="0" t="s">
        <v>134</v>
      </c>
      <c r="C35" s="0" t="s">
        <v>134</v>
      </c>
      <c r="D35" s="0" t="s">
        <v>135</v>
      </c>
      <c r="E35" s="0" t="s">
        <v>2</v>
      </c>
      <c r="F35" s="0" t="s">
        <v>12</v>
      </c>
      <c r="G35" s="0" t="s">
        <v>8</v>
      </c>
      <c r="H35" s="0">
        <v>5692</v>
      </c>
      <c r="I35" s="0">
        <v>0</v>
      </c>
      <c r="J35" s="0">
        <v>0</v>
      </c>
      <c r="K35" s="0">
        <v>1</v>
      </c>
      <c r="L35" s="0">
        <v>2</v>
      </c>
      <c r="M35" s="0">
        <v>1</v>
      </c>
      <c r="N35" s="0">
        <v>0</v>
      </c>
      <c r="O35" s="0">
        <v>0</v>
      </c>
      <c r="P35" s="0">
        <v>0</v>
      </c>
      <c r="R35" s="0" t="b">
        <v>0</v>
      </c>
      <c r="S35" s="0" t="b">
        <v>1</v>
      </c>
      <c r="T35" s="68">
        <v>40361.5</v>
      </c>
      <c r="U35" s="68">
        <v>41245.5</v>
      </c>
      <c r="V35" s="68">
        <v>0</v>
      </c>
      <c r="W35" s="0">
        <f>IF(IF(B35="none",1,IF(B35="Trialer",1,0))+IF(C35="Customer",1,IF(C35="Lost",1,0))=2,1,0)</f>
      </c>
      <c r="X35" s="0" t="s">
        <v>136</v>
      </c>
      <c r="Y35" s="0" t="s">
        <v>137</v>
      </c>
      <c r="AV35" s="68"/>
      <c r="AW35" s="68"/>
      <c r="AY35" s="27"/>
      <c r="BD35" s="68">
        <v>46054.1666666667</v>
      </c>
      <c r="BE35" s="68">
        <v>46082.1666666667</v>
      </c>
      <c r="BF35" s="0" t="b">
        <v>0</v>
      </c>
      <c r="BG35" s="0" t="b">
        <v>0</v>
      </c>
      <c r="BH35" s="0">
        <v>0</v>
      </c>
      <c r="BI35" s="0">
        <v>0</v>
      </c>
      <c r="BJ35" s="0" t="s">
        <v>135</v>
      </c>
    </row>
    <row r="36">
      <c r="A36" s="0" t="s">
        <v>181</v>
      </c>
      <c r="B36" s="0" t="s">
        <v>134</v>
      </c>
      <c r="C36" s="0" t="s">
        <v>134</v>
      </c>
      <c r="D36" s="0" t="s">
        <v>135</v>
      </c>
      <c r="E36" s="0" t="s">
        <v>2</v>
      </c>
      <c r="F36" s="0" t="s">
        <v>12</v>
      </c>
      <c r="G36" s="0" t="s">
        <v>8</v>
      </c>
      <c r="H36" s="0">
        <v>5678</v>
      </c>
      <c r="I36" s="0">
        <v>0</v>
      </c>
      <c r="J36" s="0">
        <v>0</v>
      </c>
      <c r="K36" s="0">
        <v>1</v>
      </c>
      <c r="L36" s="0">
        <v>2</v>
      </c>
      <c r="M36" s="0">
        <v>1</v>
      </c>
      <c r="N36" s="0">
        <v>0</v>
      </c>
      <c r="O36" s="0">
        <v>0</v>
      </c>
      <c r="P36" s="0">
        <v>0</v>
      </c>
      <c r="R36" s="0" t="b">
        <v>0</v>
      </c>
      <c r="S36" s="0" t="b">
        <v>1</v>
      </c>
      <c r="T36" s="68">
        <v>40375.5</v>
      </c>
      <c r="U36" s="68">
        <v>41259.5</v>
      </c>
      <c r="V36" s="68">
        <v>0</v>
      </c>
      <c r="W36" s="0">
        <f>IF(IF(B36="none",1,IF(B36="Trialer",1,0))+IF(C36="Customer",1,IF(C36="Lost",1,0))=2,1,0)</f>
      </c>
      <c r="X36" s="0" t="s">
        <v>148</v>
      </c>
      <c r="Y36" s="0" t="s">
        <v>137</v>
      </c>
      <c r="AV36" s="68"/>
      <c r="AW36" s="68"/>
      <c r="AY36" s="27"/>
      <c r="BD36" s="68">
        <v>46054.1666666667</v>
      </c>
      <c r="BE36" s="68">
        <v>46082.1666666667</v>
      </c>
      <c r="BF36" s="0" t="b">
        <v>0</v>
      </c>
      <c r="BG36" s="0" t="b">
        <v>0</v>
      </c>
      <c r="BH36" s="0">
        <v>0</v>
      </c>
      <c r="BI36" s="0">
        <v>0</v>
      </c>
      <c r="BJ36" s="0" t="s">
        <v>135</v>
      </c>
    </row>
    <row r="37">
      <c r="A37" s="0" t="s">
        <v>182</v>
      </c>
      <c r="B37" s="0" t="s">
        <v>134</v>
      </c>
      <c r="C37" s="0" t="s">
        <v>134</v>
      </c>
      <c r="D37" s="0" t="s">
        <v>135</v>
      </c>
      <c r="E37" s="0" t="s">
        <v>2</v>
      </c>
      <c r="F37" s="0" t="s">
        <v>12</v>
      </c>
      <c r="G37" s="0" t="s">
        <v>8</v>
      </c>
      <c r="H37" s="0">
        <v>5678</v>
      </c>
      <c r="I37" s="0">
        <v>49</v>
      </c>
      <c r="J37" s="0">
        <v>0</v>
      </c>
      <c r="K37" s="0">
        <v>1</v>
      </c>
      <c r="L37" s="0">
        <v>3</v>
      </c>
      <c r="M37" s="0">
        <v>3</v>
      </c>
      <c r="N37" s="0">
        <v>0</v>
      </c>
      <c r="O37" s="0">
        <v>0</v>
      </c>
      <c r="P37" s="0">
        <v>0</v>
      </c>
      <c r="R37" s="0" t="b">
        <v>0</v>
      </c>
      <c r="S37" s="0" t="b">
        <v>1</v>
      </c>
      <c r="T37" s="68">
        <v>40375.5</v>
      </c>
      <c r="U37" s="68">
        <v>41259.5</v>
      </c>
      <c r="V37" s="68">
        <v>0</v>
      </c>
      <c r="W37" s="0">
        <f>IF(IF(B37="none",1,IF(B37="Trialer",1,0))+IF(C37="Customer",1,IF(C37="Lost",1,0))=2,1,0)</f>
      </c>
      <c r="X37" s="0" t="s">
        <v>136</v>
      </c>
      <c r="Y37" s="0" t="s">
        <v>137</v>
      </c>
      <c r="AV37" s="68"/>
      <c r="AW37" s="68"/>
      <c r="AY37" s="27"/>
      <c r="BD37" s="68">
        <v>46054.1666666667</v>
      </c>
      <c r="BE37" s="68">
        <v>46082.1666666667</v>
      </c>
      <c r="BF37" s="0" t="b">
        <v>0</v>
      </c>
      <c r="BG37" s="0" t="b">
        <v>0</v>
      </c>
      <c r="BH37" s="0">
        <v>49</v>
      </c>
      <c r="BI37" s="0">
        <v>49</v>
      </c>
      <c r="BJ37" s="0" t="s">
        <v>135</v>
      </c>
    </row>
    <row r="38">
      <c r="A38" s="0" t="s">
        <v>183</v>
      </c>
      <c r="B38" s="0" t="s">
        <v>134</v>
      </c>
      <c r="C38" s="0" t="s">
        <v>134</v>
      </c>
      <c r="D38" s="0" t="s">
        <v>135</v>
      </c>
      <c r="E38" s="0" t="s">
        <v>2</v>
      </c>
      <c r="F38" s="0" t="s">
        <v>12</v>
      </c>
      <c r="G38" s="0" t="s">
        <v>8</v>
      </c>
      <c r="H38" s="0">
        <v>5673</v>
      </c>
      <c r="I38" s="0">
        <v>0</v>
      </c>
      <c r="J38" s="0">
        <v>0</v>
      </c>
      <c r="K38" s="0">
        <v>1</v>
      </c>
      <c r="L38" s="0">
        <v>1</v>
      </c>
      <c r="M38" s="0">
        <v>1</v>
      </c>
      <c r="N38" s="0">
        <v>0</v>
      </c>
      <c r="O38" s="0">
        <v>0</v>
      </c>
      <c r="P38" s="0">
        <v>0</v>
      </c>
      <c r="R38" s="0" t="b">
        <v>0</v>
      </c>
      <c r="S38" s="0" t="b">
        <v>1</v>
      </c>
      <c r="T38" s="68">
        <v>40380.5</v>
      </c>
      <c r="U38" s="68">
        <v>41243.5</v>
      </c>
      <c r="V38" s="68">
        <v>0</v>
      </c>
      <c r="W38" s="0">
        <f>IF(IF(B38="none",1,IF(B38="Trialer",1,0))+IF(C38="Customer",1,IF(C38="Lost",1,0))=2,1,0)</f>
      </c>
      <c r="X38" s="0" t="s">
        <v>148</v>
      </c>
      <c r="Y38" s="0" t="s">
        <v>137</v>
      </c>
      <c r="AV38" s="68"/>
      <c r="AW38" s="68"/>
      <c r="AY38" s="27"/>
      <c r="BD38" s="68">
        <v>46054.1666666667</v>
      </c>
      <c r="BE38" s="68">
        <v>46082.1666666667</v>
      </c>
      <c r="BF38" s="0" t="b">
        <v>0</v>
      </c>
      <c r="BG38" s="0" t="b">
        <v>0</v>
      </c>
      <c r="BH38" s="0">
        <v>0</v>
      </c>
      <c r="BI38" s="0">
        <v>0</v>
      </c>
      <c r="BJ38" s="0" t="s">
        <v>135</v>
      </c>
    </row>
    <row r="39">
      <c r="A39" s="0" t="s">
        <v>184</v>
      </c>
      <c r="B39" s="0" t="s">
        <v>134</v>
      </c>
      <c r="C39" s="0" t="s">
        <v>134</v>
      </c>
      <c r="D39" s="0" t="s">
        <v>135</v>
      </c>
      <c r="E39" s="0" t="s">
        <v>2</v>
      </c>
      <c r="F39" s="0" t="s">
        <v>10</v>
      </c>
      <c r="G39" s="0" t="s">
        <v>7</v>
      </c>
      <c r="H39" s="0">
        <v>5672</v>
      </c>
      <c r="I39" s="0">
        <v>533.2</v>
      </c>
      <c r="J39" s="0">
        <v>0</v>
      </c>
      <c r="K39" s="0">
        <v>1</v>
      </c>
      <c r="L39" s="0">
        <v>1</v>
      </c>
      <c r="M39" s="0">
        <v>1069</v>
      </c>
      <c r="N39" s="0">
        <v>0</v>
      </c>
      <c r="O39" s="0">
        <v>0</v>
      </c>
      <c r="P39" s="0">
        <v>0</v>
      </c>
      <c r="Q39" s="0" t="s">
        <v>185</v>
      </c>
      <c r="R39" s="0" t="b">
        <v>0</v>
      </c>
      <c r="S39" s="0" t="b">
        <v>1</v>
      </c>
      <c r="T39" s="68">
        <v>40381.68125</v>
      </c>
      <c r="U39" s="68">
        <v>40777.5</v>
      </c>
      <c r="V39" s="68">
        <v>0</v>
      </c>
      <c r="W39" s="0">
        <f>IF(IF(B39="none",1,IF(B39="Trialer",1,0))+IF(C39="Customer",1,IF(C39="Lost",1,0))=2,1,0)</f>
      </c>
      <c r="X39" s="0" t="s">
        <v>148</v>
      </c>
      <c r="Y39" s="0" t="s">
        <v>143</v>
      </c>
      <c r="AV39" s="68"/>
      <c r="AW39" s="68"/>
      <c r="AY39" s="27"/>
      <c r="BD39" s="68">
        <v>46054.1666666667</v>
      </c>
      <c r="BE39" s="68">
        <v>46082.1666666667</v>
      </c>
      <c r="BF39" s="0" t="b">
        <v>0</v>
      </c>
      <c r="BG39" s="0" t="b">
        <v>0</v>
      </c>
      <c r="BH39" s="0">
        <v>670.3</v>
      </c>
      <c r="BI39" s="0">
        <v>666.7</v>
      </c>
      <c r="BJ39" s="0" t="s">
        <v>135</v>
      </c>
    </row>
    <row r="40">
      <c r="A40" s="0" t="s">
        <v>186</v>
      </c>
      <c r="B40" s="0" t="s">
        <v>134</v>
      </c>
      <c r="C40" s="0" t="s">
        <v>134</v>
      </c>
      <c r="D40" s="0" t="s">
        <v>135</v>
      </c>
      <c r="E40" s="0" t="s">
        <v>2</v>
      </c>
      <c r="F40" s="0" t="s">
        <v>12</v>
      </c>
      <c r="G40" s="0" t="s">
        <v>8</v>
      </c>
      <c r="H40" s="0">
        <v>5651</v>
      </c>
      <c r="I40" s="0">
        <v>0</v>
      </c>
      <c r="J40" s="0">
        <v>0</v>
      </c>
      <c r="K40" s="0">
        <v>1</v>
      </c>
      <c r="L40" s="0">
        <v>1</v>
      </c>
      <c r="M40" s="0">
        <v>1</v>
      </c>
      <c r="N40" s="0">
        <v>0</v>
      </c>
      <c r="O40" s="0">
        <v>0</v>
      </c>
      <c r="P40" s="0">
        <v>0</v>
      </c>
      <c r="R40" s="0" t="b">
        <v>0</v>
      </c>
      <c r="S40" s="0" t="b">
        <v>1</v>
      </c>
      <c r="T40" s="68">
        <v>40402.5</v>
      </c>
      <c r="U40" s="68">
        <v>41255.5</v>
      </c>
      <c r="V40" s="68">
        <v>0</v>
      </c>
      <c r="W40" s="0">
        <f>IF(IF(B40="none",1,IF(B40="Trialer",1,0))+IF(C40="Customer",1,IF(C40="Lost",1,0))=2,1,0)</f>
      </c>
      <c r="X40" s="0" t="s">
        <v>136</v>
      </c>
      <c r="Y40" s="0" t="s">
        <v>137</v>
      </c>
      <c r="AV40" s="68"/>
      <c r="AW40" s="68"/>
      <c r="AY40" s="27"/>
      <c r="BD40" s="68">
        <v>46054.1666666667</v>
      </c>
      <c r="BE40" s="68">
        <v>46082.1666666667</v>
      </c>
      <c r="BF40" s="0" t="b">
        <v>0</v>
      </c>
      <c r="BG40" s="0" t="b">
        <v>0</v>
      </c>
      <c r="BH40" s="0">
        <v>0</v>
      </c>
      <c r="BI40" s="0">
        <v>0</v>
      </c>
      <c r="BJ40" s="0" t="s">
        <v>135</v>
      </c>
    </row>
    <row r="41">
      <c r="A41" s="0" t="s">
        <v>187</v>
      </c>
      <c r="B41" s="0" t="s">
        <v>134</v>
      </c>
      <c r="C41" s="0" t="s">
        <v>134</v>
      </c>
      <c r="D41" s="0" t="s">
        <v>135</v>
      </c>
      <c r="E41" s="0" t="s">
        <v>2</v>
      </c>
      <c r="F41" s="0" t="s">
        <v>10</v>
      </c>
      <c r="G41" s="0" t="s">
        <v>7</v>
      </c>
      <c r="H41" s="0">
        <v>5640</v>
      </c>
      <c r="I41" s="0">
        <v>155</v>
      </c>
      <c r="J41" s="0">
        <v>0</v>
      </c>
      <c r="K41" s="0">
        <v>1</v>
      </c>
      <c r="L41" s="0">
        <v>1</v>
      </c>
      <c r="M41" s="0">
        <v>4</v>
      </c>
      <c r="N41" s="0">
        <v>0</v>
      </c>
      <c r="O41" s="0">
        <v>0</v>
      </c>
      <c r="P41" s="0">
        <v>0</v>
      </c>
      <c r="Q41" s="0" t="s">
        <v>188</v>
      </c>
      <c r="R41" s="0" t="b">
        <v>0</v>
      </c>
      <c r="S41" s="0" t="b">
        <v>1</v>
      </c>
      <c r="T41" s="68">
        <v>40413.6590277778</v>
      </c>
      <c r="U41" s="68">
        <v>40778.5416666667</v>
      </c>
      <c r="V41" s="68">
        <v>0</v>
      </c>
      <c r="W41" s="0">
        <f>IF(IF(B41="none",1,IF(B41="Trialer",1,0))+IF(C41="Customer",1,IF(C41="Lost",1,0))=2,1,0)</f>
      </c>
      <c r="X41" s="0" t="s">
        <v>136</v>
      </c>
      <c r="Y41" s="0" t="s">
        <v>137</v>
      </c>
      <c r="AV41" s="68"/>
      <c r="AW41" s="68"/>
      <c r="AY41" s="27"/>
      <c r="BD41" s="68">
        <v>46054.1666666667</v>
      </c>
      <c r="BE41" s="68">
        <v>46082.1666666667</v>
      </c>
      <c r="BF41" s="0" t="b">
        <v>0</v>
      </c>
      <c r="BG41" s="0" t="b">
        <v>0</v>
      </c>
      <c r="BH41" s="0">
        <v>155</v>
      </c>
      <c r="BI41" s="0">
        <v>155</v>
      </c>
      <c r="BJ41" s="0" t="s">
        <v>135</v>
      </c>
    </row>
    <row r="42">
      <c r="A42" s="0" t="s">
        <v>189</v>
      </c>
      <c r="B42" s="0" t="s">
        <v>134</v>
      </c>
      <c r="C42" s="0" t="s">
        <v>190</v>
      </c>
      <c r="D42" s="0" t="s">
        <v>135</v>
      </c>
      <c r="E42" s="0" t="s">
        <v>2</v>
      </c>
      <c r="F42" s="0" t="s">
        <v>12</v>
      </c>
      <c r="G42" s="0" t="s">
        <v>8</v>
      </c>
      <c r="H42" s="0">
        <v>5608</v>
      </c>
      <c r="I42" s="0">
        <v>0</v>
      </c>
      <c r="J42" s="0">
        <v>0</v>
      </c>
      <c r="K42" s="0">
        <v>1</v>
      </c>
      <c r="L42" s="0">
        <v>2</v>
      </c>
      <c r="M42" s="0">
        <v>1</v>
      </c>
      <c r="N42" s="0">
        <v>0</v>
      </c>
      <c r="O42" s="0">
        <v>0</v>
      </c>
      <c r="P42" s="0">
        <v>0</v>
      </c>
      <c r="R42" s="0" t="b">
        <v>0</v>
      </c>
      <c r="S42" s="0" t="b">
        <v>0</v>
      </c>
      <c r="T42" s="68">
        <v>40445.5</v>
      </c>
      <c r="U42" s="68">
        <v>41298.5</v>
      </c>
      <c r="V42" s="68">
        <v>46077.3628125</v>
      </c>
      <c r="W42" s="0">
        <f>IF(IF(B42="none",1,IF(B42="Trialer",1,0))+IF(C42="Customer",1,IF(C42="Lost",1,0))=2,1,0)</f>
      </c>
      <c r="X42" s="0" t="s">
        <v>142</v>
      </c>
      <c r="Y42" s="0" t="s">
        <v>137</v>
      </c>
      <c r="AV42" s="68"/>
      <c r="AW42" s="68"/>
      <c r="AY42" s="27"/>
      <c r="BD42" s="68">
        <v>46054.1666666667</v>
      </c>
      <c r="BE42" s="68">
        <v>46082.1666666667</v>
      </c>
      <c r="BF42" s="0" t="b">
        <v>0</v>
      </c>
      <c r="BG42" s="0" t="b">
        <v>0</v>
      </c>
      <c r="BH42" s="0">
        <v>0</v>
      </c>
      <c r="BI42" s="0">
        <v>0</v>
      </c>
      <c r="BJ42" s="0" t="s">
        <v>135</v>
      </c>
    </row>
    <row r="43">
      <c r="A43" s="0" t="s">
        <v>191</v>
      </c>
      <c r="B43" s="0" t="s">
        <v>134</v>
      </c>
      <c r="C43" s="0" t="s">
        <v>134</v>
      </c>
      <c r="D43" s="0" t="s">
        <v>135</v>
      </c>
      <c r="E43" s="0" t="s">
        <v>2</v>
      </c>
      <c r="F43" s="0" t="s">
        <v>12</v>
      </c>
      <c r="G43" s="0" t="s">
        <v>7</v>
      </c>
      <c r="H43" s="0">
        <v>5602</v>
      </c>
      <c r="I43" s="0">
        <v>0</v>
      </c>
      <c r="J43" s="0">
        <v>0</v>
      </c>
      <c r="K43" s="0">
        <v>1</v>
      </c>
      <c r="L43" s="0">
        <v>1</v>
      </c>
      <c r="M43" s="0">
        <v>1</v>
      </c>
      <c r="N43" s="0">
        <v>0</v>
      </c>
      <c r="O43" s="0">
        <v>0</v>
      </c>
      <c r="P43" s="0">
        <v>0</v>
      </c>
      <c r="R43" s="0" t="b">
        <v>0</v>
      </c>
      <c r="S43" s="0" t="b">
        <v>1</v>
      </c>
      <c r="T43" s="68">
        <v>40451.5</v>
      </c>
      <c r="U43" s="68">
        <v>41243.5</v>
      </c>
      <c r="V43" s="68">
        <v>0</v>
      </c>
      <c r="W43" s="0">
        <f>IF(IF(B43="none",1,IF(B43="Trialer",1,0))+IF(C43="Customer",1,IF(C43="Lost",1,0))=2,1,0)</f>
      </c>
      <c r="X43" s="0" t="s">
        <v>148</v>
      </c>
      <c r="Y43" s="0" t="s">
        <v>137</v>
      </c>
      <c r="AV43" s="68"/>
      <c r="AW43" s="68"/>
      <c r="AY43" s="27"/>
      <c r="BD43" s="68">
        <v>46054.1666666667</v>
      </c>
      <c r="BE43" s="68">
        <v>46082.1666666667</v>
      </c>
      <c r="BF43" s="0" t="b">
        <v>0</v>
      </c>
      <c r="BG43" s="0" t="b">
        <v>0</v>
      </c>
      <c r="BH43" s="0">
        <v>0</v>
      </c>
      <c r="BI43" s="0">
        <v>0</v>
      </c>
      <c r="BJ43" s="0" t="s">
        <v>135</v>
      </c>
    </row>
    <row r="44">
      <c r="A44" s="0" t="s">
        <v>192</v>
      </c>
      <c r="B44" s="0" t="s">
        <v>134</v>
      </c>
      <c r="C44" s="0" t="s">
        <v>134</v>
      </c>
      <c r="D44" s="0" t="s">
        <v>135</v>
      </c>
      <c r="E44" s="0" t="s">
        <v>2</v>
      </c>
      <c r="F44" s="0" t="s">
        <v>10</v>
      </c>
      <c r="G44" s="0" t="s">
        <v>7</v>
      </c>
      <c r="H44" s="0">
        <v>5594</v>
      </c>
      <c r="I44" s="0">
        <v>200</v>
      </c>
      <c r="J44" s="0">
        <v>0</v>
      </c>
      <c r="K44" s="0">
        <v>1</v>
      </c>
      <c r="L44" s="0">
        <v>1</v>
      </c>
      <c r="M44" s="0">
        <v>5</v>
      </c>
      <c r="N44" s="0">
        <v>0</v>
      </c>
      <c r="O44" s="0">
        <v>0</v>
      </c>
      <c r="P44" s="0">
        <v>0</v>
      </c>
      <c r="Q44" s="0" t="s">
        <v>188</v>
      </c>
      <c r="R44" s="0" t="b">
        <v>0</v>
      </c>
      <c r="S44" s="0" t="b">
        <v>1</v>
      </c>
      <c r="T44" s="68">
        <v>40459.5</v>
      </c>
      <c r="U44" s="68">
        <v>40763.5416666667</v>
      </c>
      <c r="V44" s="68">
        <v>0</v>
      </c>
      <c r="W44" s="0">
        <f>IF(IF(B44="none",1,IF(B44="Trialer",1,0))+IF(C44="Customer",1,IF(C44="Lost",1,0))=2,1,0)</f>
      </c>
      <c r="X44" s="0" t="s">
        <v>136</v>
      </c>
      <c r="Y44" s="0" t="s">
        <v>137</v>
      </c>
      <c r="AV44" s="68"/>
      <c r="AW44" s="68"/>
      <c r="AY44" s="27"/>
      <c r="BD44" s="68">
        <v>46054.1666666667</v>
      </c>
      <c r="BE44" s="68">
        <v>46082.1666666667</v>
      </c>
      <c r="BF44" s="0" t="b">
        <v>0</v>
      </c>
      <c r="BG44" s="0" t="b">
        <v>0</v>
      </c>
      <c r="BH44" s="0">
        <v>200</v>
      </c>
      <c r="BI44" s="0">
        <v>200</v>
      </c>
      <c r="BJ44" s="0" t="s">
        <v>135</v>
      </c>
    </row>
    <row r="45">
      <c r="A45" s="0" t="s">
        <v>193</v>
      </c>
      <c r="B45" s="0" t="s">
        <v>134</v>
      </c>
      <c r="C45" s="0" t="s">
        <v>134</v>
      </c>
      <c r="D45" s="0" t="s">
        <v>135</v>
      </c>
      <c r="E45" s="0" t="s">
        <v>2</v>
      </c>
      <c r="F45" s="0" t="s">
        <v>10</v>
      </c>
      <c r="G45" s="0" t="s">
        <v>8</v>
      </c>
      <c r="H45" s="0">
        <v>5587</v>
      </c>
      <c r="I45" s="0">
        <v>160</v>
      </c>
      <c r="J45" s="0">
        <v>0</v>
      </c>
      <c r="K45" s="0">
        <v>1</v>
      </c>
      <c r="L45" s="0">
        <v>2</v>
      </c>
      <c r="M45" s="0">
        <v>4</v>
      </c>
      <c r="N45" s="0">
        <v>0</v>
      </c>
      <c r="O45" s="0">
        <v>0</v>
      </c>
      <c r="P45" s="0">
        <v>0</v>
      </c>
      <c r="Q45" s="0" t="s">
        <v>194</v>
      </c>
      <c r="R45" s="0" t="b">
        <v>0</v>
      </c>
      <c r="S45" s="0" t="b">
        <v>1</v>
      </c>
      <c r="T45" s="68">
        <v>40466.5</v>
      </c>
      <c r="U45" s="68">
        <v>40770.5</v>
      </c>
      <c r="V45" s="68">
        <v>0</v>
      </c>
      <c r="W45" s="0">
        <f>IF(IF(B45="none",1,IF(B45="Trialer",1,0))+IF(C45="Customer",1,IF(C45="Lost",1,0))=2,1,0)</f>
      </c>
      <c r="X45" s="0" t="s">
        <v>148</v>
      </c>
      <c r="Y45" s="0" t="s">
        <v>195</v>
      </c>
      <c r="AV45" s="68"/>
      <c r="AW45" s="68"/>
      <c r="AY45" s="27"/>
      <c r="BD45" s="68">
        <v>46054.1666666667</v>
      </c>
      <c r="BE45" s="68">
        <v>46082.1666666667</v>
      </c>
      <c r="BF45" s="0" t="b">
        <v>0</v>
      </c>
      <c r="BG45" s="0" t="b">
        <v>0</v>
      </c>
      <c r="BH45" s="0">
        <v>160</v>
      </c>
      <c r="BI45" s="0">
        <v>160</v>
      </c>
      <c r="BJ45" s="0" t="s">
        <v>135</v>
      </c>
    </row>
    <row r="46">
      <c r="A46" s="0" t="s">
        <v>196</v>
      </c>
      <c r="B46" s="0" t="s">
        <v>134</v>
      </c>
      <c r="C46" s="0" t="s">
        <v>134</v>
      </c>
      <c r="D46" s="0" t="s">
        <v>135</v>
      </c>
      <c r="E46" s="0" t="s">
        <v>2</v>
      </c>
      <c r="F46" s="0" t="s">
        <v>12</v>
      </c>
      <c r="G46" s="0" t="s">
        <v>7</v>
      </c>
      <c r="H46" s="0">
        <v>5535</v>
      </c>
      <c r="I46" s="0">
        <v>0</v>
      </c>
      <c r="J46" s="0">
        <v>0</v>
      </c>
      <c r="K46" s="0">
        <v>1</v>
      </c>
      <c r="L46" s="0">
        <v>1</v>
      </c>
      <c r="M46" s="0">
        <v>1</v>
      </c>
      <c r="N46" s="0">
        <v>0</v>
      </c>
      <c r="O46" s="0">
        <v>0</v>
      </c>
      <c r="P46" s="0">
        <v>0</v>
      </c>
      <c r="R46" s="0" t="b">
        <v>0</v>
      </c>
      <c r="S46" s="0" t="b">
        <v>1</v>
      </c>
      <c r="T46" s="68">
        <v>40518.5</v>
      </c>
      <c r="U46" s="68">
        <v>41249.5</v>
      </c>
      <c r="V46" s="68">
        <v>0</v>
      </c>
      <c r="W46" s="0">
        <f>IF(IF(B46="none",1,IF(B46="Trialer",1,0))+IF(C46="Customer",1,IF(C46="Lost",1,0))=2,1,0)</f>
      </c>
      <c r="X46" s="0" t="s">
        <v>136</v>
      </c>
      <c r="Y46" s="0" t="s">
        <v>137</v>
      </c>
      <c r="AV46" s="68"/>
      <c r="AW46" s="68"/>
      <c r="AY46" s="27"/>
      <c r="BD46" s="68">
        <v>46054.1666666667</v>
      </c>
      <c r="BE46" s="68">
        <v>46082.1666666667</v>
      </c>
      <c r="BF46" s="0" t="b">
        <v>0</v>
      </c>
      <c r="BG46" s="0" t="b">
        <v>0</v>
      </c>
      <c r="BH46" s="0">
        <v>0</v>
      </c>
      <c r="BI46" s="0">
        <v>0</v>
      </c>
      <c r="BJ46" s="0" t="s">
        <v>135</v>
      </c>
    </row>
    <row r="47">
      <c r="A47" s="0" t="s">
        <v>197</v>
      </c>
      <c r="B47" s="0" t="s">
        <v>134</v>
      </c>
      <c r="C47" s="0" t="s">
        <v>134</v>
      </c>
      <c r="D47" s="0" t="s">
        <v>135</v>
      </c>
      <c r="E47" s="0" t="s">
        <v>2</v>
      </c>
      <c r="F47" s="0" t="s">
        <v>12</v>
      </c>
      <c r="G47" s="0" t="s">
        <v>8</v>
      </c>
      <c r="H47" s="0">
        <v>5497</v>
      </c>
      <c r="I47" s="0">
        <v>0</v>
      </c>
      <c r="J47" s="0">
        <v>0</v>
      </c>
      <c r="K47" s="0">
        <v>1</v>
      </c>
      <c r="L47" s="0">
        <v>1</v>
      </c>
      <c r="M47" s="0">
        <v>1</v>
      </c>
      <c r="N47" s="0">
        <v>0</v>
      </c>
      <c r="O47" s="0">
        <v>0</v>
      </c>
      <c r="P47" s="0">
        <v>0</v>
      </c>
      <c r="R47" s="0" t="b">
        <v>0</v>
      </c>
      <c r="S47" s="0" t="b">
        <v>1</v>
      </c>
      <c r="T47" s="68">
        <v>40556.5</v>
      </c>
      <c r="U47" s="68">
        <v>41287.5</v>
      </c>
      <c r="V47" s="68">
        <v>0</v>
      </c>
      <c r="W47" s="0">
        <f>IF(IF(B47="none",1,IF(B47="Trialer",1,0))+IF(C47="Customer",1,IF(C47="Lost",1,0))=2,1,0)</f>
      </c>
      <c r="X47" s="0" t="s">
        <v>148</v>
      </c>
      <c r="Y47" s="0" t="s">
        <v>137</v>
      </c>
      <c r="AV47" s="68"/>
      <c r="AW47" s="68"/>
      <c r="AY47" s="27"/>
      <c r="BD47" s="68">
        <v>46054.1666666667</v>
      </c>
      <c r="BE47" s="68">
        <v>46082.1666666667</v>
      </c>
      <c r="BF47" s="0" t="b">
        <v>0</v>
      </c>
      <c r="BG47" s="0" t="b">
        <v>0</v>
      </c>
      <c r="BH47" s="0">
        <v>0</v>
      </c>
      <c r="BI47" s="0">
        <v>0</v>
      </c>
      <c r="BJ47" s="0" t="s">
        <v>135</v>
      </c>
    </row>
    <row r="48">
      <c r="A48" s="0" t="s">
        <v>198</v>
      </c>
      <c r="B48" s="0" t="s">
        <v>134</v>
      </c>
      <c r="C48" s="0" t="s">
        <v>134</v>
      </c>
      <c r="D48" s="0" t="s">
        <v>135</v>
      </c>
      <c r="E48" s="0" t="s">
        <v>2</v>
      </c>
      <c r="F48" s="0" t="s">
        <v>12</v>
      </c>
      <c r="G48" s="0" t="s">
        <v>7</v>
      </c>
      <c r="H48" s="0">
        <v>5490</v>
      </c>
      <c r="I48" s="0">
        <v>65</v>
      </c>
      <c r="J48" s="0">
        <v>0</v>
      </c>
      <c r="K48" s="0">
        <v>1</v>
      </c>
      <c r="L48" s="0">
        <v>1</v>
      </c>
      <c r="M48" s="0">
        <v>1</v>
      </c>
      <c r="N48" s="0">
        <v>0</v>
      </c>
      <c r="O48" s="0">
        <v>0</v>
      </c>
      <c r="P48" s="0">
        <v>0</v>
      </c>
      <c r="R48" s="0" t="b">
        <v>0</v>
      </c>
      <c r="S48" s="0" t="b">
        <v>1</v>
      </c>
      <c r="T48" s="68">
        <v>40563.5</v>
      </c>
      <c r="U48" s="68">
        <v>40775.5416666667</v>
      </c>
      <c r="V48" s="68">
        <v>0</v>
      </c>
      <c r="W48" s="0">
        <f>IF(IF(B48="none",1,IF(B48="Trialer",1,0))+IF(C48="Customer",1,IF(C48="Lost",1,0))=2,1,0)</f>
      </c>
      <c r="X48" s="0" t="s">
        <v>166</v>
      </c>
      <c r="Y48" s="0" t="s">
        <v>137</v>
      </c>
      <c r="AV48" s="68"/>
      <c r="AW48" s="68"/>
      <c r="AY48" s="27"/>
      <c r="BD48" s="68">
        <v>46054.1666666667</v>
      </c>
      <c r="BE48" s="68">
        <v>46082.1666666667</v>
      </c>
      <c r="BF48" s="0" t="b">
        <v>0</v>
      </c>
      <c r="BG48" s="0" t="b">
        <v>0</v>
      </c>
      <c r="BH48" s="0">
        <v>65</v>
      </c>
      <c r="BI48" s="0">
        <v>65</v>
      </c>
      <c r="BJ48" s="0" t="s">
        <v>135</v>
      </c>
    </row>
    <row r="49">
      <c r="A49" s="0" t="s">
        <v>199</v>
      </c>
      <c r="B49" s="0" t="s">
        <v>134</v>
      </c>
      <c r="C49" s="0" t="s">
        <v>134</v>
      </c>
      <c r="D49" s="0" t="s">
        <v>135</v>
      </c>
      <c r="E49" s="0" t="s">
        <v>2</v>
      </c>
      <c r="F49" s="0" t="s">
        <v>12</v>
      </c>
      <c r="G49" s="0" t="s">
        <v>7</v>
      </c>
      <c r="H49" s="0">
        <v>5479</v>
      </c>
      <c r="I49" s="0">
        <v>185</v>
      </c>
      <c r="J49" s="0">
        <v>0</v>
      </c>
      <c r="K49" s="0">
        <v>1</v>
      </c>
      <c r="L49" s="0">
        <v>1</v>
      </c>
      <c r="M49" s="0">
        <v>5</v>
      </c>
      <c r="N49" s="0">
        <v>0</v>
      </c>
      <c r="O49" s="0">
        <v>0</v>
      </c>
      <c r="P49" s="0">
        <v>0</v>
      </c>
      <c r="R49" s="0" t="b">
        <v>0</v>
      </c>
      <c r="S49" s="0" t="b">
        <v>1</v>
      </c>
      <c r="T49" s="68">
        <v>40574.5755902778</v>
      </c>
      <c r="U49" s="68">
        <v>40783.5416666667</v>
      </c>
      <c r="V49" s="68">
        <v>0</v>
      </c>
      <c r="W49" s="0">
        <f>IF(IF(B49="none",1,IF(B49="Trialer",1,0))+IF(C49="Customer",1,IF(C49="Lost",1,0))=2,1,0)</f>
      </c>
      <c r="X49" s="0" t="s">
        <v>148</v>
      </c>
      <c r="Y49" s="0" t="s">
        <v>143</v>
      </c>
      <c r="AV49" s="68"/>
      <c r="AW49" s="68"/>
      <c r="AY49" s="27"/>
      <c r="BD49" s="68">
        <v>46054.1666666667</v>
      </c>
      <c r="BE49" s="68">
        <v>46082.1666666667</v>
      </c>
      <c r="BF49" s="0" t="b">
        <v>0</v>
      </c>
      <c r="BG49" s="0" t="b">
        <v>0</v>
      </c>
      <c r="BH49" s="0">
        <v>185</v>
      </c>
      <c r="BI49" s="0">
        <v>185</v>
      </c>
      <c r="BJ49" s="0" t="s">
        <v>135</v>
      </c>
    </row>
    <row r="50">
      <c r="A50" s="0" t="s">
        <v>200</v>
      </c>
      <c r="B50" s="0" t="s">
        <v>134</v>
      </c>
      <c r="C50" s="0" t="s">
        <v>134</v>
      </c>
      <c r="D50" s="0" t="s">
        <v>135</v>
      </c>
      <c r="E50" s="0" t="s">
        <v>2</v>
      </c>
      <c r="F50" s="0" t="s">
        <v>12</v>
      </c>
      <c r="G50" s="0" t="s">
        <v>7</v>
      </c>
      <c r="H50" s="0">
        <v>5469</v>
      </c>
      <c r="I50" s="0">
        <v>0</v>
      </c>
      <c r="J50" s="0">
        <v>0</v>
      </c>
      <c r="K50" s="0">
        <v>1</v>
      </c>
      <c r="L50" s="0">
        <v>1</v>
      </c>
      <c r="M50" s="0">
        <v>1</v>
      </c>
      <c r="N50" s="0">
        <v>0</v>
      </c>
      <c r="O50" s="0">
        <v>0</v>
      </c>
      <c r="P50" s="0">
        <v>0</v>
      </c>
      <c r="R50" s="0" t="b">
        <v>0</v>
      </c>
      <c r="S50" s="0" t="b">
        <v>1</v>
      </c>
      <c r="T50" s="68">
        <v>40584.5</v>
      </c>
      <c r="U50" s="68">
        <v>41253.5</v>
      </c>
      <c r="V50" s="68">
        <v>0</v>
      </c>
      <c r="W50" s="0">
        <f>IF(IF(B50="none",1,IF(B50="Trialer",1,0))+IF(C50="Customer",1,IF(C50="Lost",1,0))=2,1,0)</f>
      </c>
      <c r="X50" s="0" t="s">
        <v>148</v>
      </c>
      <c r="Y50" s="0" t="s">
        <v>137</v>
      </c>
      <c r="AV50" s="68"/>
      <c r="AW50" s="68"/>
      <c r="AY50" s="27"/>
      <c r="BD50" s="68">
        <v>46054.1666666667</v>
      </c>
      <c r="BE50" s="68">
        <v>46082.1666666667</v>
      </c>
      <c r="BF50" s="0" t="b">
        <v>0</v>
      </c>
      <c r="BG50" s="0" t="b">
        <v>0</v>
      </c>
      <c r="BH50" s="0">
        <v>0</v>
      </c>
      <c r="BI50" s="0">
        <v>0</v>
      </c>
      <c r="BJ50" s="0" t="s">
        <v>135</v>
      </c>
    </row>
    <row r="51">
      <c r="A51" s="0" t="s">
        <v>201</v>
      </c>
      <c r="B51" s="0" t="s">
        <v>134</v>
      </c>
      <c r="C51" s="0" t="s">
        <v>134</v>
      </c>
      <c r="D51" s="0" t="s">
        <v>135</v>
      </c>
      <c r="E51" s="0" t="s">
        <v>2</v>
      </c>
      <c r="F51" s="0" t="s">
        <v>12</v>
      </c>
      <c r="G51" s="0" t="s">
        <v>7</v>
      </c>
      <c r="H51" s="0">
        <v>5437</v>
      </c>
      <c r="I51" s="0">
        <v>101</v>
      </c>
      <c r="J51" s="0">
        <v>0</v>
      </c>
      <c r="K51" s="0">
        <v>1</v>
      </c>
      <c r="L51" s="0">
        <v>1</v>
      </c>
      <c r="M51" s="0">
        <v>4</v>
      </c>
      <c r="N51" s="0">
        <v>0</v>
      </c>
      <c r="O51" s="0">
        <v>0</v>
      </c>
      <c r="P51" s="0">
        <v>0</v>
      </c>
      <c r="R51" s="0" t="b">
        <v>0</v>
      </c>
      <c r="S51" s="0" t="b">
        <v>1</v>
      </c>
      <c r="T51" s="68">
        <v>40616.5</v>
      </c>
      <c r="U51" s="68">
        <v>40769.5416666667</v>
      </c>
      <c r="V51" s="68">
        <v>0</v>
      </c>
      <c r="W51" s="0">
        <f>IF(IF(B51="none",1,IF(B51="Trialer",1,0))+IF(C51="Customer",1,IF(C51="Lost",1,0))=2,1,0)</f>
      </c>
      <c r="X51" s="0" t="s">
        <v>142</v>
      </c>
      <c r="Y51" s="0" t="s">
        <v>143</v>
      </c>
      <c r="AV51" s="68"/>
      <c r="AW51" s="68"/>
      <c r="AY51" s="27"/>
      <c r="BD51" s="68">
        <v>46054.1666666667</v>
      </c>
      <c r="BE51" s="68">
        <v>46082.1666666667</v>
      </c>
      <c r="BF51" s="0" t="b">
        <v>0</v>
      </c>
      <c r="BG51" s="0" t="b">
        <v>0</v>
      </c>
      <c r="BH51" s="0">
        <v>101</v>
      </c>
      <c r="BI51" s="0">
        <v>101</v>
      </c>
      <c r="BJ51" s="0" t="s">
        <v>135</v>
      </c>
    </row>
    <row r="52">
      <c r="A52" s="0" t="s">
        <v>202</v>
      </c>
      <c r="B52" s="0" t="s">
        <v>134</v>
      </c>
      <c r="C52" s="0" t="s">
        <v>134</v>
      </c>
      <c r="D52" s="0" t="s">
        <v>135</v>
      </c>
      <c r="E52" s="0" t="s">
        <v>2</v>
      </c>
      <c r="F52" s="0" t="s">
        <v>12</v>
      </c>
      <c r="G52" s="0" t="s">
        <v>8</v>
      </c>
      <c r="H52" s="0">
        <v>5379</v>
      </c>
      <c r="I52" s="0">
        <v>0</v>
      </c>
      <c r="J52" s="0">
        <v>0</v>
      </c>
      <c r="K52" s="0">
        <v>1</v>
      </c>
      <c r="L52" s="0">
        <v>2</v>
      </c>
      <c r="M52" s="0">
        <v>1</v>
      </c>
      <c r="N52" s="0">
        <v>0</v>
      </c>
      <c r="O52" s="0">
        <v>0</v>
      </c>
      <c r="P52" s="0">
        <v>0</v>
      </c>
      <c r="R52" s="0" t="b">
        <v>0</v>
      </c>
      <c r="S52" s="0" t="b">
        <v>1</v>
      </c>
      <c r="T52" s="68">
        <v>40674.5</v>
      </c>
      <c r="U52" s="68">
        <v>41285.5</v>
      </c>
      <c r="V52" s="68">
        <v>0</v>
      </c>
      <c r="W52" s="0">
        <f>IF(IF(B52="none",1,IF(B52="Trialer",1,0))+IF(C52="Customer",1,IF(C52="Lost",1,0))=2,1,0)</f>
      </c>
      <c r="X52" s="0" t="s">
        <v>148</v>
      </c>
      <c r="Y52" s="0" t="s">
        <v>137</v>
      </c>
      <c r="AV52" s="68"/>
      <c r="AW52" s="68"/>
      <c r="AY52" s="27"/>
      <c r="BD52" s="68">
        <v>46054.1666666667</v>
      </c>
      <c r="BE52" s="68">
        <v>46082.1666666667</v>
      </c>
      <c r="BF52" s="0" t="b">
        <v>0</v>
      </c>
      <c r="BG52" s="0" t="b">
        <v>0</v>
      </c>
      <c r="BH52" s="0">
        <v>0</v>
      </c>
      <c r="BI52" s="0">
        <v>0</v>
      </c>
      <c r="BJ52" s="0" t="s">
        <v>135</v>
      </c>
    </row>
    <row r="53">
      <c r="A53" s="0" t="s">
        <v>203</v>
      </c>
      <c r="B53" s="0" t="s">
        <v>134</v>
      </c>
      <c r="C53" s="0" t="s">
        <v>134</v>
      </c>
      <c r="D53" s="0" t="s">
        <v>135</v>
      </c>
      <c r="E53" s="0" t="s">
        <v>2</v>
      </c>
      <c r="F53" s="0" t="s">
        <v>12</v>
      </c>
      <c r="G53" s="0" t="s">
        <v>8</v>
      </c>
      <c r="H53" s="0">
        <v>5358</v>
      </c>
      <c r="I53" s="0">
        <v>0</v>
      </c>
      <c r="J53" s="0">
        <v>0</v>
      </c>
      <c r="K53" s="0">
        <v>1</v>
      </c>
      <c r="L53" s="0">
        <v>1</v>
      </c>
      <c r="M53" s="0">
        <v>1</v>
      </c>
      <c r="N53" s="0">
        <v>0</v>
      </c>
      <c r="O53" s="0">
        <v>0</v>
      </c>
      <c r="P53" s="0">
        <v>0</v>
      </c>
      <c r="R53" s="0" t="b">
        <v>0</v>
      </c>
      <c r="S53" s="0" t="b">
        <v>1</v>
      </c>
      <c r="T53" s="68">
        <v>40695.5</v>
      </c>
      <c r="U53" s="68">
        <v>41244.5</v>
      </c>
      <c r="V53" s="68">
        <v>0</v>
      </c>
      <c r="W53" s="0">
        <f>IF(IF(B53="none",1,IF(B53="Trialer",1,0))+IF(C53="Customer",1,IF(C53="Lost",1,0))=2,1,0)</f>
      </c>
      <c r="X53" s="0" t="s">
        <v>142</v>
      </c>
      <c r="Y53" s="0" t="s">
        <v>137</v>
      </c>
      <c r="AV53" s="68"/>
      <c r="AW53" s="68"/>
      <c r="AY53" s="27"/>
      <c r="BD53" s="68">
        <v>46054.1666666667</v>
      </c>
      <c r="BE53" s="68">
        <v>46082.1666666667</v>
      </c>
      <c r="BF53" s="0" t="b">
        <v>0</v>
      </c>
      <c r="BG53" s="0" t="b">
        <v>0</v>
      </c>
      <c r="BH53" s="0">
        <v>0</v>
      </c>
      <c r="BI53" s="0">
        <v>0</v>
      </c>
      <c r="BJ53" s="0" t="s">
        <v>135</v>
      </c>
    </row>
    <row r="54">
      <c r="A54" s="0" t="s">
        <v>204</v>
      </c>
      <c r="B54" s="0" t="s">
        <v>134</v>
      </c>
      <c r="C54" s="0" t="s">
        <v>134</v>
      </c>
      <c r="D54" s="0" t="s">
        <v>135</v>
      </c>
      <c r="E54" s="0" t="s">
        <v>2</v>
      </c>
      <c r="F54" s="0" t="s">
        <v>12</v>
      </c>
      <c r="G54" s="0" t="s">
        <v>8</v>
      </c>
      <c r="H54" s="0">
        <v>5356</v>
      </c>
      <c r="I54" s="0">
        <v>0</v>
      </c>
      <c r="J54" s="0">
        <v>0</v>
      </c>
      <c r="K54" s="0">
        <v>1</v>
      </c>
      <c r="L54" s="0">
        <v>1</v>
      </c>
      <c r="M54" s="0">
        <v>1</v>
      </c>
      <c r="N54" s="0">
        <v>0</v>
      </c>
      <c r="O54" s="0">
        <v>0</v>
      </c>
      <c r="P54" s="0">
        <v>0</v>
      </c>
      <c r="R54" s="0" t="b">
        <v>0</v>
      </c>
      <c r="S54" s="0" t="b">
        <v>1</v>
      </c>
      <c r="T54" s="68">
        <v>40697.5</v>
      </c>
      <c r="U54" s="68">
        <v>41246.5</v>
      </c>
      <c r="V54" s="68">
        <v>0</v>
      </c>
      <c r="W54" s="0">
        <f>IF(IF(B54="none",1,IF(B54="Trialer",1,0))+IF(C54="Customer",1,IF(C54="Lost",1,0))=2,1,0)</f>
      </c>
      <c r="X54" s="0" t="s">
        <v>136</v>
      </c>
      <c r="Y54" s="0" t="s">
        <v>137</v>
      </c>
      <c r="AV54" s="68"/>
      <c r="AW54" s="68"/>
      <c r="AY54" s="27"/>
      <c r="BD54" s="68">
        <v>46054.1666666667</v>
      </c>
      <c r="BE54" s="68">
        <v>46082.1666666667</v>
      </c>
      <c r="BF54" s="0" t="b">
        <v>0</v>
      </c>
      <c r="BG54" s="0" t="b">
        <v>0</v>
      </c>
      <c r="BH54" s="0">
        <v>0</v>
      </c>
      <c r="BI54" s="0">
        <v>0</v>
      </c>
      <c r="BJ54" s="0" t="s">
        <v>135</v>
      </c>
    </row>
    <row r="55">
      <c r="A55" s="0" t="s">
        <v>205</v>
      </c>
      <c r="B55" s="0" t="s">
        <v>134</v>
      </c>
      <c r="C55" s="0" t="s">
        <v>134</v>
      </c>
      <c r="D55" s="0" t="s">
        <v>135</v>
      </c>
      <c r="E55" s="0" t="s">
        <v>2</v>
      </c>
      <c r="F55" s="0" t="s">
        <v>12</v>
      </c>
      <c r="G55" s="0" t="s">
        <v>7</v>
      </c>
      <c r="H55" s="0">
        <v>5341</v>
      </c>
      <c r="I55" s="0">
        <v>205</v>
      </c>
      <c r="J55" s="0">
        <v>0</v>
      </c>
      <c r="K55" s="0">
        <v>1</v>
      </c>
      <c r="L55" s="0">
        <v>1</v>
      </c>
      <c r="M55" s="0">
        <v>6</v>
      </c>
      <c r="N55" s="0">
        <v>0</v>
      </c>
      <c r="O55" s="0">
        <v>0</v>
      </c>
      <c r="P55" s="0">
        <v>0</v>
      </c>
      <c r="R55" s="0" t="b">
        <v>0</v>
      </c>
      <c r="S55" s="0" t="b">
        <v>1</v>
      </c>
      <c r="T55" s="68">
        <v>40712.5</v>
      </c>
      <c r="U55" s="68">
        <v>40773.5416666667</v>
      </c>
      <c r="V55" s="68">
        <v>0</v>
      </c>
      <c r="W55" s="0">
        <f>IF(IF(B55="none",1,IF(B55="Trialer",1,0))+IF(C55="Customer",1,IF(C55="Lost",1,0))=2,1,0)</f>
      </c>
      <c r="X55" s="0" t="s">
        <v>145</v>
      </c>
      <c r="Y55" s="0" t="s">
        <v>143</v>
      </c>
      <c r="AV55" s="68"/>
      <c r="AW55" s="68"/>
      <c r="AY55" s="27"/>
      <c r="BD55" s="68">
        <v>46054.1666666667</v>
      </c>
      <c r="BE55" s="68">
        <v>46082.1666666667</v>
      </c>
      <c r="BF55" s="0" t="b">
        <v>0</v>
      </c>
      <c r="BG55" s="0" t="b">
        <v>0</v>
      </c>
      <c r="BH55" s="0">
        <v>215</v>
      </c>
      <c r="BI55" s="0">
        <v>215</v>
      </c>
      <c r="BJ55" s="0" t="s">
        <v>135</v>
      </c>
    </row>
    <row r="56">
      <c r="A56" s="0" t="s">
        <v>206</v>
      </c>
      <c r="B56" s="0" t="s">
        <v>134</v>
      </c>
      <c r="C56" s="0" t="s">
        <v>134</v>
      </c>
      <c r="D56" s="0" t="s">
        <v>135</v>
      </c>
      <c r="E56" s="0" t="s">
        <v>2</v>
      </c>
      <c r="F56" s="0" t="s">
        <v>12</v>
      </c>
      <c r="G56" s="0" t="s">
        <v>8</v>
      </c>
      <c r="H56" s="0">
        <v>5338</v>
      </c>
      <c r="I56" s="0">
        <v>0</v>
      </c>
      <c r="J56" s="0">
        <v>0</v>
      </c>
      <c r="K56" s="0">
        <v>1</v>
      </c>
      <c r="L56" s="0">
        <v>1</v>
      </c>
      <c r="M56" s="0">
        <v>1</v>
      </c>
      <c r="N56" s="0">
        <v>0</v>
      </c>
      <c r="O56" s="0">
        <v>0</v>
      </c>
      <c r="P56" s="0">
        <v>0</v>
      </c>
      <c r="R56" s="0" t="b">
        <v>0</v>
      </c>
      <c r="S56" s="0" t="b">
        <v>1</v>
      </c>
      <c r="T56" s="68">
        <v>40715.5</v>
      </c>
      <c r="U56" s="68">
        <v>41264.5</v>
      </c>
      <c r="V56" s="68">
        <v>0</v>
      </c>
      <c r="W56" s="0">
        <f>IF(IF(B56="none",1,IF(B56="Trialer",1,0))+IF(C56="Customer",1,IF(C56="Lost",1,0))=2,1,0)</f>
      </c>
      <c r="X56" s="0" t="s">
        <v>142</v>
      </c>
      <c r="Y56" s="0" t="s">
        <v>137</v>
      </c>
      <c r="AV56" s="68"/>
      <c r="AW56" s="68"/>
      <c r="AY56" s="27"/>
      <c r="BD56" s="68">
        <v>46054.1666666667</v>
      </c>
      <c r="BE56" s="68">
        <v>46082.1666666667</v>
      </c>
      <c r="BF56" s="0" t="b">
        <v>0</v>
      </c>
      <c r="BG56" s="0" t="b">
        <v>0</v>
      </c>
      <c r="BH56" s="0">
        <v>0</v>
      </c>
      <c r="BI56" s="0">
        <v>0</v>
      </c>
      <c r="BJ56" s="0" t="s">
        <v>135</v>
      </c>
    </row>
    <row r="57">
      <c r="A57" s="0" t="s">
        <v>207</v>
      </c>
      <c r="B57" s="0" t="s">
        <v>134</v>
      </c>
      <c r="C57" s="0" t="s">
        <v>134</v>
      </c>
      <c r="D57" s="0" t="s">
        <v>135</v>
      </c>
      <c r="E57" s="0" t="s">
        <v>2</v>
      </c>
      <c r="F57" s="0" t="s">
        <v>12</v>
      </c>
      <c r="G57" s="0" t="s">
        <v>8</v>
      </c>
      <c r="H57" s="0">
        <v>5332</v>
      </c>
      <c r="I57" s="0">
        <v>0</v>
      </c>
      <c r="J57" s="0">
        <v>0</v>
      </c>
      <c r="K57" s="0">
        <v>1</v>
      </c>
      <c r="L57" s="0">
        <v>4</v>
      </c>
      <c r="M57" s="0">
        <v>2</v>
      </c>
      <c r="N57" s="0">
        <v>0</v>
      </c>
      <c r="O57" s="0">
        <v>0</v>
      </c>
      <c r="P57" s="0">
        <v>0</v>
      </c>
      <c r="R57" s="0" t="b">
        <v>0</v>
      </c>
      <c r="S57" s="0" t="b">
        <v>1</v>
      </c>
      <c r="T57" s="68">
        <v>40721.5</v>
      </c>
      <c r="U57" s="68">
        <v>41270.5</v>
      </c>
      <c r="V57" s="68">
        <v>0</v>
      </c>
      <c r="W57" s="0">
        <f>IF(IF(B57="none",1,IF(B57="Trialer",1,0))+IF(C57="Customer",1,IF(C57="Lost",1,0))=2,1,0)</f>
      </c>
      <c r="X57" s="0" t="s">
        <v>153</v>
      </c>
      <c r="Y57" s="0" t="s">
        <v>137</v>
      </c>
      <c r="AV57" s="68"/>
      <c r="AW57" s="68"/>
      <c r="AY57" s="27"/>
      <c r="BD57" s="68">
        <v>46054.1666666667</v>
      </c>
      <c r="BE57" s="68">
        <v>46082.1666666667</v>
      </c>
      <c r="BF57" s="0" t="b">
        <v>0</v>
      </c>
      <c r="BG57" s="0" t="b">
        <v>0</v>
      </c>
      <c r="BH57" s="0">
        <v>0</v>
      </c>
      <c r="BI57" s="0">
        <v>0</v>
      </c>
      <c r="BJ57" s="0" t="s">
        <v>135</v>
      </c>
    </row>
    <row r="58">
      <c r="A58" s="0" t="s">
        <v>208</v>
      </c>
      <c r="B58" s="0" t="s">
        <v>134</v>
      </c>
      <c r="C58" s="0" t="s">
        <v>134</v>
      </c>
      <c r="D58" s="0" t="s">
        <v>135</v>
      </c>
      <c r="E58" s="0" t="s">
        <v>2</v>
      </c>
      <c r="F58" s="0" t="s">
        <v>10</v>
      </c>
      <c r="G58" s="0" t="s">
        <v>7</v>
      </c>
      <c r="H58" s="0">
        <v>5331</v>
      </c>
      <c r="I58" s="0">
        <v>205</v>
      </c>
      <c r="J58" s="0">
        <v>0</v>
      </c>
      <c r="K58" s="0">
        <v>1</v>
      </c>
      <c r="L58" s="0">
        <v>1</v>
      </c>
      <c r="M58" s="0">
        <v>6</v>
      </c>
      <c r="N58" s="0">
        <v>0</v>
      </c>
      <c r="O58" s="0">
        <v>0</v>
      </c>
      <c r="P58" s="0">
        <v>0</v>
      </c>
      <c r="Q58" s="0" t="s">
        <v>185</v>
      </c>
      <c r="R58" s="0" t="b">
        <v>0</v>
      </c>
      <c r="S58" s="0" t="b">
        <v>1</v>
      </c>
      <c r="T58" s="68">
        <v>40722.5423611111</v>
      </c>
      <c r="U58" s="68">
        <v>40783.5416666667</v>
      </c>
      <c r="V58" s="68">
        <v>0</v>
      </c>
      <c r="W58" s="0">
        <f>IF(IF(B58="none",1,IF(B58="Trialer",1,0))+IF(C58="Customer",1,IF(C58="Lost",1,0))=2,1,0)</f>
      </c>
      <c r="X58" s="0" t="s">
        <v>148</v>
      </c>
      <c r="Y58" s="0" t="s">
        <v>143</v>
      </c>
      <c r="AV58" s="68"/>
      <c r="AW58" s="68"/>
      <c r="AY58" s="27"/>
      <c r="BD58" s="68">
        <v>46054.1666666667</v>
      </c>
      <c r="BE58" s="68">
        <v>46082.1666666667</v>
      </c>
      <c r="BF58" s="0" t="b">
        <v>0</v>
      </c>
      <c r="BG58" s="0" t="b">
        <v>0</v>
      </c>
      <c r="BH58" s="0">
        <v>185</v>
      </c>
      <c r="BI58" s="0">
        <v>185</v>
      </c>
      <c r="BJ58" s="0" t="s">
        <v>135</v>
      </c>
    </row>
    <row r="59">
      <c r="A59" s="0" t="s">
        <v>209</v>
      </c>
      <c r="B59" s="0" t="s">
        <v>134</v>
      </c>
      <c r="C59" s="0" t="s">
        <v>134</v>
      </c>
      <c r="D59" s="0" t="s">
        <v>135</v>
      </c>
      <c r="E59" s="0" t="s">
        <v>2</v>
      </c>
      <c r="F59" s="0" t="s">
        <v>12</v>
      </c>
      <c r="G59" s="0" t="s">
        <v>7</v>
      </c>
      <c r="H59" s="0">
        <v>5297</v>
      </c>
      <c r="I59" s="0">
        <v>570</v>
      </c>
      <c r="J59" s="0">
        <v>0</v>
      </c>
      <c r="K59" s="0">
        <v>1</v>
      </c>
      <c r="L59" s="0">
        <v>1</v>
      </c>
      <c r="M59" s="0">
        <v>8</v>
      </c>
      <c r="N59" s="0">
        <v>0</v>
      </c>
      <c r="O59" s="0">
        <v>0</v>
      </c>
      <c r="P59" s="0">
        <v>0</v>
      </c>
      <c r="R59" s="0" t="b">
        <v>0</v>
      </c>
      <c r="S59" s="0" t="b">
        <v>1</v>
      </c>
      <c r="T59" s="68">
        <v>40756.7293634259</v>
      </c>
      <c r="U59" s="68">
        <v>40787.5416666667</v>
      </c>
      <c r="V59" s="68">
        <v>0</v>
      </c>
      <c r="W59" s="0">
        <f>IF(IF(B59="none",1,IF(B59="Trialer",1,0))+IF(C59="Customer",1,IF(C59="Lost",1,0))=2,1,0)</f>
      </c>
      <c r="X59" s="0" t="s">
        <v>136</v>
      </c>
      <c r="Y59" s="0" t="s">
        <v>137</v>
      </c>
      <c r="AV59" s="68"/>
      <c r="AW59" s="68"/>
      <c r="AY59" s="27"/>
      <c r="BD59" s="68">
        <v>46054.1666666667</v>
      </c>
      <c r="BE59" s="68">
        <v>46082.1666666667</v>
      </c>
      <c r="BF59" s="0" t="b">
        <v>0</v>
      </c>
      <c r="BG59" s="0" t="b">
        <v>0</v>
      </c>
      <c r="BH59" s="0">
        <v>520</v>
      </c>
      <c r="BI59" s="0">
        <v>520</v>
      </c>
      <c r="BJ59" s="0" t="s">
        <v>135</v>
      </c>
    </row>
    <row r="60">
      <c r="A60" s="0" t="s">
        <v>210</v>
      </c>
      <c r="B60" s="0" t="s">
        <v>134</v>
      </c>
      <c r="C60" s="0" t="s">
        <v>134</v>
      </c>
      <c r="D60" s="0" t="s">
        <v>135</v>
      </c>
      <c r="E60" s="0" t="s">
        <v>2</v>
      </c>
      <c r="F60" s="0" t="s">
        <v>12</v>
      </c>
      <c r="G60" s="0" t="s">
        <v>7</v>
      </c>
      <c r="H60" s="0">
        <v>5259</v>
      </c>
      <c r="I60" s="0">
        <v>40</v>
      </c>
      <c r="J60" s="0">
        <v>0</v>
      </c>
      <c r="K60" s="0">
        <v>1</v>
      </c>
      <c r="L60" s="0">
        <v>1</v>
      </c>
      <c r="M60" s="0">
        <v>1</v>
      </c>
      <c r="N60" s="0">
        <v>0</v>
      </c>
      <c r="O60" s="0">
        <v>0</v>
      </c>
      <c r="P60" s="0">
        <v>0</v>
      </c>
      <c r="R60" s="0" t="b">
        <v>0</v>
      </c>
      <c r="S60" s="0" t="b">
        <v>1</v>
      </c>
      <c r="T60" s="68">
        <v>40794.5</v>
      </c>
      <c r="U60" s="68">
        <v>40824.5416666667</v>
      </c>
      <c r="V60" s="68">
        <v>0</v>
      </c>
      <c r="W60" s="0">
        <f>IF(IF(B60="none",1,IF(B60="Trialer",1,0))+IF(C60="Customer",1,IF(C60="Lost",1,0))=2,1,0)</f>
      </c>
      <c r="X60" s="0" t="s">
        <v>166</v>
      </c>
      <c r="Y60" s="0" t="s">
        <v>137</v>
      </c>
      <c r="AV60" s="68"/>
      <c r="AW60" s="68"/>
      <c r="AY60" s="27"/>
      <c r="BD60" s="68">
        <v>46054.1666666667</v>
      </c>
      <c r="BE60" s="68">
        <v>46082.1666666667</v>
      </c>
      <c r="BF60" s="0" t="b">
        <v>0</v>
      </c>
      <c r="BG60" s="0" t="b">
        <v>0</v>
      </c>
      <c r="BH60" s="0">
        <v>40</v>
      </c>
      <c r="BI60" s="0">
        <v>40</v>
      </c>
      <c r="BJ60" s="0" t="s">
        <v>135</v>
      </c>
    </row>
    <row r="61">
      <c r="A61" s="0" t="s">
        <v>211</v>
      </c>
      <c r="B61" s="0" t="s">
        <v>134</v>
      </c>
      <c r="C61" s="0" t="s">
        <v>134</v>
      </c>
      <c r="D61" s="0" t="s">
        <v>135</v>
      </c>
      <c r="E61" s="0" t="s">
        <v>2</v>
      </c>
      <c r="F61" s="0" t="s">
        <v>12</v>
      </c>
      <c r="G61" s="0" t="s">
        <v>7</v>
      </c>
      <c r="H61" s="0">
        <v>5214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R61" s="0" t="b">
        <v>0</v>
      </c>
      <c r="S61" s="0" t="b">
        <v>1</v>
      </c>
      <c r="T61" s="68">
        <v>40839.4444444444</v>
      </c>
      <c r="U61" s="68">
        <v>40870.5</v>
      </c>
      <c r="V61" s="68">
        <v>0</v>
      </c>
      <c r="W61" s="0">
        <f>IF(IF(B61="none",1,IF(B61="Trialer",1,0))+IF(C61="Customer",1,IF(C61="Lost",1,0))=2,1,0)</f>
      </c>
      <c r="X61" s="0" t="s">
        <v>148</v>
      </c>
      <c r="Y61" s="0" t="s">
        <v>137</v>
      </c>
      <c r="AV61" s="68"/>
      <c r="AW61" s="68"/>
      <c r="AY61" s="27"/>
      <c r="BD61" s="68">
        <v>46054.1666666667</v>
      </c>
      <c r="BE61" s="68">
        <v>46082.1666666667</v>
      </c>
      <c r="BF61" s="0" t="b">
        <v>0</v>
      </c>
      <c r="BG61" s="0" t="b">
        <v>0</v>
      </c>
      <c r="BH61" s="0">
        <v>80</v>
      </c>
      <c r="BI61" s="0">
        <v>80</v>
      </c>
      <c r="BJ61" s="0" t="s">
        <v>135</v>
      </c>
    </row>
    <row r="62">
      <c r="A62" s="0" t="s">
        <v>212</v>
      </c>
      <c r="B62" s="0" t="s">
        <v>134</v>
      </c>
      <c r="C62" s="0" t="s">
        <v>134</v>
      </c>
      <c r="D62" s="0" t="s">
        <v>135</v>
      </c>
      <c r="E62" s="0" t="s">
        <v>3</v>
      </c>
      <c r="F62" s="0" t="s">
        <v>12</v>
      </c>
      <c r="G62" s="0" t="s">
        <v>8</v>
      </c>
      <c r="H62" s="0">
        <v>5213</v>
      </c>
      <c r="I62" s="0">
        <v>110</v>
      </c>
      <c r="J62" s="0">
        <v>0</v>
      </c>
      <c r="K62" s="0">
        <v>1</v>
      </c>
      <c r="L62" s="0">
        <v>2</v>
      </c>
      <c r="M62" s="0">
        <v>4</v>
      </c>
      <c r="N62" s="0">
        <v>0</v>
      </c>
      <c r="O62" s="0">
        <v>0</v>
      </c>
      <c r="P62" s="0">
        <v>0</v>
      </c>
      <c r="R62" s="0" t="b">
        <v>0</v>
      </c>
      <c r="S62" s="0" t="b">
        <v>1</v>
      </c>
      <c r="T62" s="68">
        <v>40840.6507407407</v>
      </c>
      <c r="U62" s="68">
        <v>40871.5</v>
      </c>
      <c r="V62" s="68">
        <v>0</v>
      </c>
      <c r="W62" s="0">
        <f>IF(IF(B62="none",1,IF(B62="Trialer",1,0))+IF(C62="Customer",1,IF(C62="Lost",1,0))=2,1,0)</f>
      </c>
      <c r="X62" s="0" t="s">
        <v>136</v>
      </c>
      <c r="Y62" s="0" t="s">
        <v>213</v>
      </c>
      <c r="AV62" s="68"/>
      <c r="AW62" s="68"/>
      <c r="AY62" s="27"/>
      <c r="BD62" s="68">
        <v>46054.1666666667</v>
      </c>
      <c r="BE62" s="68">
        <v>46082.1666666667</v>
      </c>
      <c r="BF62" s="0" t="b">
        <v>0</v>
      </c>
      <c r="BG62" s="0" t="b">
        <v>0</v>
      </c>
      <c r="BH62" s="0">
        <v>110</v>
      </c>
      <c r="BI62" s="0">
        <v>110</v>
      </c>
      <c r="BJ62" s="0" t="s">
        <v>135</v>
      </c>
    </row>
    <row r="63">
      <c r="A63" s="0" t="s">
        <v>214</v>
      </c>
      <c r="B63" s="0" t="s">
        <v>134</v>
      </c>
      <c r="C63" s="0" t="s">
        <v>134</v>
      </c>
      <c r="D63" s="0" t="s">
        <v>135</v>
      </c>
      <c r="E63" s="0" t="s">
        <v>2</v>
      </c>
      <c r="F63" s="0" t="s">
        <v>12</v>
      </c>
      <c r="G63" s="0" t="s">
        <v>7</v>
      </c>
      <c r="H63" s="0">
        <v>5206</v>
      </c>
      <c r="I63" s="0">
        <v>575</v>
      </c>
      <c r="J63" s="0">
        <v>0</v>
      </c>
      <c r="K63" s="0">
        <v>1</v>
      </c>
      <c r="L63" s="0">
        <v>1</v>
      </c>
      <c r="M63" s="0">
        <v>39</v>
      </c>
      <c r="N63" s="0">
        <v>0</v>
      </c>
      <c r="O63" s="0">
        <v>0</v>
      </c>
      <c r="P63" s="0">
        <v>0</v>
      </c>
      <c r="R63" s="0" t="b">
        <v>0</v>
      </c>
      <c r="S63" s="0" t="b">
        <v>1</v>
      </c>
      <c r="T63" s="68">
        <v>40847.5</v>
      </c>
      <c r="U63" s="68">
        <v>40877.5</v>
      </c>
      <c r="V63" s="68">
        <v>0</v>
      </c>
      <c r="W63" s="0">
        <f>IF(IF(B63="none",1,IF(B63="Trialer",1,0))+IF(C63="Customer",1,IF(C63="Lost",1,0))=2,1,0)</f>
      </c>
      <c r="X63" s="0" t="s">
        <v>148</v>
      </c>
      <c r="Y63" s="0" t="s">
        <v>137</v>
      </c>
      <c r="AV63" s="68"/>
      <c r="AW63" s="68"/>
      <c r="AY63" s="27"/>
      <c r="BD63" s="68">
        <v>46054.1666666667</v>
      </c>
      <c r="BE63" s="68">
        <v>46082.1666666667</v>
      </c>
      <c r="BF63" s="0" t="b">
        <v>0</v>
      </c>
      <c r="BG63" s="0" t="b">
        <v>0</v>
      </c>
      <c r="BH63" s="0">
        <v>1205</v>
      </c>
      <c r="BI63" s="0">
        <v>1205</v>
      </c>
      <c r="BJ63" s="0" t="s">
        <v>135</v>
      </c>
    </row>
    <row r="64">
      <c r="A64" s="0" t="s">
        <v>215</v>
      </c>
      <c r="B64" s="0" t="s">
        <v>134</v>
      </c>
      <c r="C64" s="0" t="s">
        <v>134</v>
      </c>
      <c r="D64" s="0" t="s">
        <v>135</v>
      </c>
      <c r="E64" s="0" t="s">
        <v>2</v>
      </c>
      <c r="F64" s="0" t="s">
        <v>12</v>
      </c>
      <c r="G64" s="0" t="s">
        <v>8</v>
      </c>
      <c r="H64" s="0">
        <v>5199</v>
      </c>
      <c r="I64" s="0">
        <v>2718.75</v>
      </c>
      <c r="J64" s="0">
        <v>0</v>
      </c>
      <c r="K64" s="0">
        <v>2</v>
      </c>
      <c r="L64" s="0">
        <v>6</v>
      </c>
      <c r="M64" s="0">
        <v>2</v>
      </c>
      <c r="N64" s="0">
        <v>77.5</v>
      </c>
      <c r="O64" s="0">
        <v>-77.5</v>
      </c>
      <c r="P64" s="0">
        <v>0</v>
      </c>
      <c r="R64" s="0" t="b">
        <v>0</v>
      </c>
      <c r="S64" s="0" t="b">
        <v>1</v>
      </c>
      <c r="T64" s="68">
        <v>40854.5</v>
      </c>
      <c r="U64" s="68">
        <v>41312.5</v>
      </c>
      <c r="V64" s="68">
        <v>0</v>
      </c>
      <c r="W64" s="0">
        <f>IF(IF(B64="none",1,IF(B64="Trialer",1,0))+IF(C64="Customer",1,IF(C64="Lost",1,0))=2,1,0)</f>
      </c>
      <c r="X64" s="0" t="s">
        <v>145</v>
      </c>
      <c r="Y64" s="0" t="s">
        <v>137</v>
      </c>
      <c r="AV64" s="68"/>
      <c r="AW64" s="68"/>
      <c r="AY64" s="27"/>
      <c r="BD64" s="68">
        <v>46054.1666666667</v>
      </c>
      <c r="BE64" s="68">
        <v>46082.1666666667</v>
      </c>
      <c r="BF64" s="0" t="b">
        <v>0</v>
      </c>
      <c r="BG64" s="0" t="b">
        <v>0</v>
      </c>
      <c r="BH64" s="0">
        <v>0</v>
      </c>
      <c r="BI64" s="0">
        <v>0</v>
      </c>
      <c r="BJ64" s="0" t="s">
        <v>135</v>
      </c>
    </row>
    <row r="65">
      <c r="A65" s="0" t="s">
        <v>216</v>
      </c>
      <c r="B65" s="0" t="s">
        <v>134</v>
      </c>
      <c r="C65" s="0" t="s">
        <v>134</v>
      </c>
      <c r="D65" s="0" t="s">
        <v>135</v>
      </c>
      <c r="E65" s="0" t="s">
        <v>2</v>
      </c>
      <c r="F65" s="0" t="s">
        <v>10</v>
      </c>
      <c r="G65" s="0" t="s">
        <v>7</v>
      </c>
      <c r="H65" s="0">
        <v>5184</v>
      </c>
      <c r="I65" s="0">
        <v>40</v>
      </c>
      <c r="J65" s="0">
        <v>0</v>
      </c>
      <c r="K65" s="0">
        <v>1</v>
      </c>
      <c r="L65" s="0">
        <v>1</v>
      </c>
      <c r="M65" s="0">
        <v>1</v>
      </c>
      <c r="N65" s="0">
        <v>0</v>
      </c>
      <c r="O65" s="0">
        <v>0</v>
      </c>
      <c r="P65" s="0">
        <v>0</v>
      </c>
      <c r="Q65" s="0" t="s">
        <v>217</v>
      </c>
      <c r="R65" s="0" t="b">
        <v>0</v>
      </c>
      <c r="S65" s="0" t="b">
        <v>1</v>
      </c>
      <c r="T65" s="68">
        <v>40869.5</v>
      </c>
      <c r="U65" s="68">
        <v>40899.5</v>
      </c>
      <c r="V65" s="68">
        <v>0</v>
      </c>
      <c r="W65" s="0">
        <f>IF(IF(B65="none",1,IF(B65="Trialer",1,0))+IF(C65="Customer",1,IF(C65="Lost",1,0))=2,1,0)</f>
      </c>
      <c r="X65" s="0" t="s">
        <v>136</v>
      </c>
      <c r="Y65" s="0" t="s">
        <v>137</v>
      </c>
      <c r="AV65" s="68"/>
      <c r="AW65" s="68"/>
      <c r="AY65" s="27"/>
      <c r="BD65" s="68">
        <v>46054.1666666667</v>
      </c>
      <c r="BE65" s="68">
        <v>46082.1666666667</v>
      </c>
      <c r="BF65" s="0" t="b">
        <v>0</v>
      </c>
      <c r="BG65" s="0" t="b">
        <v>0</v>
      </c>
      <c r="BH65" s="0">
        <v>40</v>
      </c>
      <c r="BI65" s="0">
        <v>40</v>
      </c>
      <c r="BJ65" s="0" t="s">
        <v>135</v>
      </c>
    </row>
    <row r="66">
      <c r="A66" s="0" t="s">
        <v>218</v>
      </c>
      <c r="B66" s="0" t="s">
        <v>134</v>
      </c>
      <c r="C66" s="0" t="s">
        <v>134</v>
      </c>
      <c r="D66" s="0" t="s">
        <v>135</v>
      </c>
      <c r="E66" s="0" t="s">
        <v>3</v>
      </c>
      <c r="F66" s="0" t="s">
        <v>12</v>
      </c>
      <c r="G66" s="0" t="s">
        <v>7</v>
      </c>
      <c r="H66" s="0">
        <v>5177</v>
      </c>
      <c r="I66" s="0">
        <v>50</v>
      </c>
      <c r="J66" s="0">
        <v>0</v>
      </c>
      <c r="K66" s="0">
        <v>1</v>
      </c>
      <c r="L66" s="0">
        <v>1</v>
      </c>
      <c r="M66" s="0">
        <v>2</v>
      </c>
      <c r="N66" s="0">
        <v>0</v>
      </c>
      <c r="O66" s="0">
        <v>0</v>
      </c>
      <c r="P66" s="0">
        <v>0</v>
      </c>
      <c r="R66" s="0" t="b">
        <v>0</v>
      </c>
      <c r="S66" s="0" t="b">
        <v>1</v>
      </c>
      <c r="T66" s="68">
        <v>40876.6332060185</v>
      </c>
      <c r="U66" s="68">
        <v>40906.5</v>
      </c>
      <c r="V66" s="68">
        <v>0</v>
      </c>
      <c r="W66" s="0">
        <f>IF(IF(B66="none",1,IF(B66="Trialer",1,0))+IF(C66="Customer",1,IF(C66="Lost",1,0))=2,1,0)</f>
      </c>
      <c r="X66" s="0" t="s">
        <v>142</v>
      </c>
      <c r="Y66" s="0" t="s">
        <v>219</v>
      </c>
      <c r="AV66" s="68"/>
      <c r="AW66" s="68"/>
      <c r="AY66" s="27"/>
      <c r="BD66" s="68">
        <v>46054.1666666667</v>
      </c>
      <c r="BE66" s="68">
        <v>46082.1666666667</v>
      </c>
      <c r="BF66" s="0" t="b">
        <v>0</v>
      </c>
      <c r="BG66" s="0" t="b">
        <v>0</v>
      </c>
      <c r="BH66" s="0">
        <v>50</v>
      </c>
      <c r="BI66" s="0">
        <v>50</v>
      </c>
      <c r="BJ66" s="0" t="s">
        <v>135</v>
      </c>
    </row>
    <row r="67">
      <c r="A67" s="0" t="s">
        <v>220</v>
      </c>
      <c r="B67" s="0" t="s">
        <v>134</v>
      </c>
      <c r="C67" s="0" t="s">
        <v>134</v>
      </c>
      <c r="D67" s="0" t="s">
        <v>135</v>
      </c>
      <c r="E67" s="0" t="s">
        <v>2</v>
      </c>
      <c r="F67" s="0" t="s">
        <v>12</v>
      </c>
      <c r="G67" s="0" t="s">
        <v>7</v>
      </c>
      <c r="H67" s="0">
        <v>5176</v>
      </c>
      <c r="I67" s="0">
        <v>65</v>
      </c>
      <c r="J67" s="0">
        <v>0</v>
      </c>
      <c r="K67" s="0">
        <v>1</v>
      </c>
      <c r="L67" s="0">
        <v>1</v>
      </c>
      <c r="M67" s="0">
        <v>1</v>
      </c>
      <c r="N67" s="0">
        <v>0</v>
      </c>
      <c r="O67" s="0">
        <v>0</v>
      </c>
      <c r="P67" s="0">
        <v>0</v>
      </c>
      <c r="R67" s="0" t="b">
        <v>0</v>
      </c>
      <c r="S67" s="0" t="b">
        <v>1</v>
      </c>
      <c r="T67" s="68">
        <v>40877.5</v>
      </c>
      <c r="U67" s="68">
        <v>40907.5</v>
      </c>
      <c r="V67" s="68">
        <v>0</v>
      </c>
      <c r="W67" s="0">
        <f>IF(IF(B67="none",1,IF(B67="Trialer",1,0))+IF(C67="Customer",1,IF(C67="Lost",1,0))=2,1,0)</f>
      </c>
      <c r="X67" s="0" t="s">
        <v>153</v>
      </c>
      <c r="Y67" s="0" t="s">
        <v>137</v>
      </c>
      <c r="AV67" s="68"/>
      <c r="AW67" s="68"/>
      <c r="AY67" s="27"/>
      <c r="BD67" s="68">
        <v>46054.1666666667</v>
      </c>
      <c r="BE67" s="68">
        <v>46082.1666666667</v>
      </c>
      <c r="BF67" s="0" t="b">
        <v>0</v>
      </c>
      <c r="BG67" s="0" t="b">
        <v>0</v>
      </c>
      <c r="BH67" s="0">
        <v>65</v>
      </c>
      <c r="BI67" s="0">
        <v>65</v>
      </c>
      <c r="BJ67" s="0" t="s">
        <v>135</v>
      </c>
    </row>
    <row r="68">
      <c r="A68" s="0" t="s">
        <v>221</v>
      </c>
      <c r="B68" s="0" t="s">
        <v>134</v>
      </c>
      <c r="C68" s="0" t="s">
        <v>134</v>
      </c>
      <c r="D68" s="0" t="s">
        <v>135</v>
      </c>
      <c r="E68" s="0" t="s">
        <v>3</v>
      </c>
      <c r="F68" s="0" t="s">
        <v>12</v>
      </c>
      <c r="G68" s="0" t="s">
        <v>7</v>
      </c>
      <c r="H68" s="0">
        <v>5172</v>
      </c>
      <c r="I68" s="0">
        <v>120</v>
      </c>
      <c r="J68" s="0">
        <v>0</v>
      </c>
      <c r="K68" s="0">
        <v>1</v>
      </c>
      <c r="L68" s="0">
        <v>1</v>
      </c>
      <c r="M68" s="0">
        <v>8</v>
      </c>
      <c r="N68" s="0">
        <v>0</v>
      </c>
      <c r="O68" s="0">
        <v>0</v>
      </c>
      <c r="P68" s="0">
        <v>0</v>
      </c>
      <c r="R68" s="0" t="b">
        <v>0</v>
      </c>
      <c r="S68" s="0" t="b">
        <v>1</v>
      </c>
      <c r="T68" s="68">
        <v>40881.5</v>
      </c>
      <c r="U68" s="68">
        <v>40912.5</v>
      </c>
      <c r="V68" s="68">
        <v>0</v>
      </c>
      <c r="W68" s="0">
        <f>IF(IF(B68="none",1,IF(B68="Trialer",1,0))+IF(C68="Customer",1,IF(C68="Lost",1,0))=2,1,0)</f>
      </c>
      <c r="X68" s="0" t="s">
        <v>136</v>
      </c>
      <c r="Y68" s="0" t="s">
        <v>213</v>
      </c>
      <c r="AV68" s="68"/>
      <c r="AW68" s="68"/>
      <c r="AY68" s="27"/>
      <c r="BD68" s="68">
        <v>46054.1666666667</v>
      </c>
      <c r="BE68" s="68">
        <v>46082.1666666667</v>
      </c>
      <c r="BF68" s="0" t="b">
        <v>0</v>
      </c>
      <c r="BG68" s="0" t="b">
        <v>0</v>
      </c>
      <c r="BH68" s="0">
        <v>120</v>
      </c>
      <c r="BI68" s="0">
        <v>120</v>
      </c>
      <c r="BJ68" s="0" t="s">
        <v>135</v>
      </c>
    </row>
    <row r="69">
      <c r="A69" s="0" t="s">
        <v>222</v>
      </c>
      <c r="B69" s="0" t="s">
        <v>134</v>
      </c>
      <c r="C69" s="0" t="s">
        <v>134</v>
      </c>
      <c r="D69" s="0" t="s">
        <v>135</v>
      </c>
      <c r="E69" s="0" t="s">
        <v>2</v>
      </c>
      <c r="F69" s="0" t="s">
        <v>12</v>
      </c>
      <c r="G69" s="0" t="s">
        <v>8</v>
      </c>
      <c r="H69" s="0">
        <v>5162</v>
      </c>
      <c r="I69" s="0">
        <v>0</v>
      </c>
      <c r="J69" s="0">
        <v>0</v>
      </c>
      <c r="K69" s="0">
        <v>1</v>
      </c>
      <c r="L69" s="0">
        <v>2</v>
      </c>
      <c r="M69" s="0">
        <v>1</v>
      </c>
      <c r="N69" s="0">
        <v>0</v>
      </c>
      <c r="O69" s="0">
        <v>0</v>
      </c>
      <c r="P69" s="0">
        <v>0</v>
      </c>
      <c r="R69" s="0" t="b">
        <v>0</v>
      </c>
      <c r="S69" s="0" t="b">
        <v>1</v>
      </c>
      <c r="T69" s="68">
        <v>40891.5</v>
      </c>
      <c r="U69" s="68">
        <v>41257.5</v>
      </c>
      <c r="V69" s="68">
        <v>0</v>
      </c>
      <c r="W69" s="0">
        <f>IF(IF(B69="none",1,IF(B69="Trialer",1,0))+IF(C69="Customer",1,IF(C69="Lost",1,0))=2,1,0)</f>
      </c>
      <c r="X69" s="0" t="s">
        <v>148</v>
      </c>
      <c r="Y69" s="0" t="s">
        <v>137</v>
      </c>
      <c r="AV69" s="68"/>
      <c r="AW69" s="68"/>
      <c r="AY69" s="27"/>
      <c r="BD69" s="68">
        <v>46054.1666666667</v>
      </c>
      <c r="BE69" s="68">
        <v>46082.1666666667</v>
      </c>
      <c r="BF69" s="0" t="b">
        <v>0</v>
      </c>
      <c r="BG69" s="0" t="b">
        <v>0</v>
      </c>
      <c r="BH69" s="0">
        <v>0</v>
      </c>
      <c r="BI69" s="0">
        <v>0</v>
      </c>
      <c r="BJ69" s="0" t="s">
        <v>135</v>
      </c>
    </row>
    <row r="70">
      <c r="A70" s="0" t="s">
        <v>223</v>
      </c>
      <c r="B70" s="0" t="s">
        <v>134</v>
      </c>
      <c r="C70" s="0" t="s">
        <v>134</v>
      </c>
      <c r="D70" s="0" t="s">
        <v>135</v>
      </c>
      <c r="E70" s="0" t="s">
        <v>3</v>
      </c>
      <c r="F70" s="0" t="s">
        <v>12</v>
      </c>
      <c r="G70" s="0" t="s">
        <v>8</v>
      </c>
      <c r="H70" s="0">
        <v>5156</v>
      </c>
      <c r="I70" s="0">
        <v>0</v>
      </c>
      <c r="J70" s="0">
        <v>0</v>
      </c>
      <c r="K70" s="0">
        <v>1</v>
      </c>
      <c r="L70" s="0">
        <v>3</v>
      </c>
      <c r="M70" s="0">
        <v>3</v>
      </c>
      <c r="N70" s="0">
        <v>0</v>
      </c>
      <c r="O70" s="0">
        <v>0</v>
      </c>
      <c r="P70" s="0">
        <v>0</v>
      </c>
      <c r="R70" s="0" t="b">
        <v>0</v>
      </c>
      <c r="S70" s="0" t="b">
        <v>1</v>
      </c>
      <c r="T70" s="68">
        <v>40897.5</v>
      </c>
      <c r="U70" s="68">
        <v>41263.5</v>
      </c>
      <c r="V70" s="68">
        <v>0</v>
      </c>
      <c r="W70" s="0">
        <f>IF(IF(B70="none",1,IF(B70="Trialer",1,0))+IF(C70="Customer",1,IF(C70="Lost",1,0))=2,1,0)</f>
      </c>
      <c r="X70" s="0" t="s">
        <v>136</v>
      </c>
      <c r="Y70" s="0" t="s">
        <v>213</v>
      </c>
      <c r="AV70" s="68"/>
      <c r="AW70" s="68"/>
      <c r="AY70" s="27"/>
      <c r="BD70" s="68">
        <v>46054.1666666667</v>
      </c>
      <c r="BE70" s="68">
        <v>46082.1666666667</v>
      </c>
      <c r="BF70" s="0" t="b">
        <v>0</v>
      </c>
      <c r="BG70" s="0" t="b">
        <v>0</v>
      </c>
      <c r="BH70" s="0">
        <v>0</v>
      </c>
      <c r="BI70" s="0">
        <v>0</v>
      </c>
      <c r="BJ70" s="0" t="s">
        <v>135</v>
      </c>
    </row>
    <row r="71">
      <c r="A71" s="0" t="s">
        <v>224</v>
      </c>
      <c r="B71" s="0" t="s">
        <v>134</v>
      </c>
      <c r="C71" s="0" t="s">
        <v>134</v>
      </c>
      <c r="D71" s="0" t="s">
        <v>135</v>
      </c>
      <c r="E71" s="0" t="s">
        <v>2</v>
      </c>
      <c r="F71" s="0" t="s">
        <v>12</v>
      </c>
      <c r="G71" s="0" t="s">
        <v>7</v>
      </c>
      <c r="H71" s="0">
        <v>5147</v>
      </c>
      <c r="I71" s="0">
        <v>0</v>
      </c>
      <c r="J71" s="0">
        <v>0</v>
      </c>
      <c r="K71" s="0">
        <v>1</v>
      </c>
      <c r="L71" s="0">
        <v>1</v>
      </c>
      <c r="M71" s="0">
        <v>5</v>
      </c>
      <c r="N71" s="0">
        <v>0</v>
      </c>
      <c r="O71" s="0">
        <v>0</v>
      </c>
      <c r="P71" s="0">
        <v>0</v>
      </c>
      <c r="R71" s="0" t="b">
        <v>0</v>
      </c>
      <c r="S71" s="0" t="b">
        <v>1</v>
      </c>
      <c r="T71" s="68">
        <v>40906.5</v>
      </c>
      <c r="U71" s="68">
        <v>41288.5</v>
      </c>
      <c r="V71" s="68">
        <v>0</v>
      </c>
      <c r="W71" s="0">
        <f>IF(IF(B71="none",1,IF(B71="Trialer",1,0))+IF(C71="Customer",1,IF(C71="Lost",1,0))=2,1,0)</f>
      </c>
      <c r="X71" s="0" t="s">
        <v>145</v>
      </c>
      <c r="Y71" s="0" t="s">
        <v>137</v>
      </c>
      <c r="AV71" s="68"/>
      <c r="AW71" s="68"/>
      <c r="AY71" s="27"/>
      <c r="BD71" s="68">
        <v>46054.1666666667</v>
      </c>
      <c r="BE71" s="68">
        <v>46082.1666666667</v>
      </c>
      <c r="BF71" s="0" t="b">
        <v>0</v>
      </c>
      <c r="BG71" s="0" t="b">
        <v>0</v>
      </c>
      <c r="BH71" s="0">
        <v>0</v>
      </c>
      <c r="BI71" s="0">
        <v>0</v>
      </c>
      <c r="BJ71" s="0" t="s">
        <v>135</v>
      </c>
    </row>
    <row r="72">
      <c r="A72" s="0" t="s">
        <v>225</v>
      </c>
      <c r="B72" s="0" t="s">
        <v>134</v>
      </c>
      <c r="C72" s="0" t="s">
        <v>134</v>
      </c>
      <c r="D72" s="0" t="s">
        <v>135</v>
      </c>
      <c r="E72" s="0" t="s">
        <v>3</v>
      </c>
      <c r="F72" s="0" t="s">
        <v>12</v>
      </c>
      <c r="G72" s="0" t="s">
        <v>7</v>
      </c>
      <c r="H72" s="0">
        <v>5144</v>
      </c>
      <c r="I72" s="0">
        <v>25</v>
      </c>
      <c r="J72" s="0">
        <v>0</v>
      </c>
      <c r="K72" s="0">
        <v>1</v>
      </c>
      <c r="L72" s="0">
        <v>1</v>
      </c>
      <c r="M72" s="0">
        <v>1</v>
      </c>
      <c r="N72" s="0">
        <v>0</v>
      </c>
      <c r="O72" s="0">
        <v>0</v>
      </c>
      <c r="P72" s="0">
        <v>0</v>
      </c>
      <c r="R72" s="0" t="b">
        <v>0</v>
      </c>
      <c r="S72" s="0" t="b">
        <v>1</v>
      </c>
      <c r="T72" s="68">
        <v>40909.5</v>
      </c>
      <c r="U72" s="68">
        <v>40940.5</v>
      </c>
      <c r="V72" s="68">
        <v>0</v>
      </c>
      <c r="W72" s="0">
        <f>IF(IF(B72="none",1,IF(B72="Trialer",1,0))+IF(C72="Customer",1,IF(C72="Lost",1,0))=2,1,0)</f>
      </c>
      <c r="X72" s="0" t="s">
        <v>166</v>
      </c>
      <c r="Y72" s="0" t="s">
        <v>219</v>
      </c>
      <c r="AV72" s="68"/>
      <c r="AW72" s="68"/>
      <c r="AY72" s="27"/>
      <c r="BD72" s="68">
        <v>46054.1666666667</v>
      </c>
      <c r="BE72" s="68">
        <v>46082.1666666667</v>
      </c>
      <c r="BF72" s="0" t="b">
        <v>0</v>
      </c>
      <c r="BG72" s="0" t="b">
        <v>0</v>
      </c>
      <c r="BH72" s="0">
        <v>25</v>
      </c>
      <c r="BI72" s="0">
        <v>25</v>
      </c>
      <c r="BJ72" s="0" t="s">
        <v>135</v>
      </c>
    </row>
    <row r="73">
      <c r="A73" s="0" t="s">
        <v>226</v>
      </c>
      <c r="B73" s="0" t="s">
        <v>134</v>
      </c>
      <c r="C73" s="0" t="s">
        <v>134</v>
      </c>
      <c r="D73" s="0" t="s">
        <v>135</v>
      </c>
      <c r="E73" s="0" t="s">
        <v>3</v>
      </c>
      <c r="F73" s="0" t="s">
        <v>10</v>
      </c>
      <c r="G73" s="0" t="s">
        <v>7</v>
      </c>
      <c r="H73" s="0">
        <v>5122</v>
      </c>
      <c r="I73" s="0">
        <v>80</v>
      </c>
      <c r="J73" s="0">
        <v>0</v>
      </c>
      <c r="K73" s="0">
        <v>1</v>
      </c>
      <c r="L73" s="0">
        <v>1</v>
      </c>
      <c r="M73" s="0">
        <v>2</v>
      </c>
      <c r="N73" s="0">
        <v>0</v>
      </c>
      <c r="O73" s="0">
        <v>0</v>
      </c>
      <c r="P73" s="0">
        <v>0</v>
      </c>
      <c r="Q73" s="0" t="s">
        <v>188</v>
      </c>
      <c r="R73" s="0" t="b">
        <v>0</v>
      </c>
      <c r="S73" s="0" t="b">
        <v>1</v>
      </c>
      <c r="T73" s="68">
        <v>40931.5</v>
      </c>
      <c r="U73" s="68">
        <v>40962.5</v>
      </c>
      <c r="V73" s="68">
        <v>0</v>
      </c>
      <c r="W73" s="0">
        <f>IF(IF(B73="none",1,IF(B73="Trialer",1,0))+IF(C73="Customer",1,IF(C73="Lost",1,0))=2,1,0)</f>
      </c>
      <c r="X73" s="0" t="s">
        <v>136</v>
      </c>
      <c r="Y73" s="0" t="s">
        <v>213</v>
      </c>
      <c r="AV73" s="68"/>
      <c r="AW73" s="68"/>
      <c r="AY73" s="27"/>
      <c r="BD73" s="68">
        <v>46054.1666666667</v>
      </c>
      <c r="BE73" s="68">
        <v>46082.1666666667</v>
      </c>
      <c r="BF73" s="0" t="b">
        <v>0</v>
      </c>
      <c r="BG73" s="0" t="b">
        <v>0</v>
      </c>
      <c r="BH73" s="0">
        <v>80</v>
      </c>
      <c r="BI73" s="0">
        <v>80</v>
      </c>
      <c r="BJ73" s="0" t="s">
        <v>135</v>
      </c>
    </row>
    <row r="74">
      <c r="A74" s="0" t="s">
        <v>227</v>
      </c>
      <c r="B74" s="0" t="s">
        <v>134</v>
      </c>
      <c r="C74" s="0" t="s">
        <v>134</v>
      </c>
      <c r="D74" s="0" t="s">
        <v>135</v>
      </c>
      <c r="E74" s="0" t="s">
        <v>3</v>
      </c>
      <c r="F74" s="0" t="s">
        <v>12</v>
      </c>
      <c r="G74" s="0" t="s">
        <v>7</v>
      </c>
      <c r="H74" s="0">
        <v>5081</v>
      </c>
      <c r="I74" s="0">
        <v>0</v>
      </c>
      <c r="J74" s="0">
        <v>0</v>
      </c>
      <c r="K74" s="0">
        <v>1</v>
      </c>
      <c r="L74" s="0">
        <v>1</v>
      </c>
      <c r="M74" s="0">
        <v>1</v>
      </c>
      <c r="N74" s="0">
        <v>0</v>
      </c>
      <c r="O74" s="0">
        <v>0</v>
      </c>
      <c r="P74" s="0">
        <v>0</v>
      </c>
      <c r="R74" s="0" t="b">
        <v>0</v>
      </c>
      <c r="S74" s="0" t="b">
        <v>1</v>
      </c>
      <c r="T74" s="68">
        <v>40972.5</v>
      </c>
      <c r="U74" s="68">
        <v>41003.5416666667</v>
      </c>
      <c r="V74" s="68">
        <v>0</v>
      </c>
      <c r="W74" s="0">
        <f>IF(IF(B74="none",1,IF(B74="Trialer",1,0))+IF(C74="Customer",1,IF(C74="Lost",1,0))=2,1,0)</f>
      </c>
      <c r="X74" s="0" t="s">
        <v>166</v>
      </c>
      <c r="Y74" s="0" t="s">
        <v>213</v>
      </c>
      <c r="AV74" s="68"/>
      <c r="AW74" s="68"/>
      <c r="AY74" s="27"/>
      <c r="BD74" s="68">
        <v>46054.1666666667</v>
      </c>
      <c r="BE74" s="68">
        <v>46082.1666666667</v>
      </c>
      <c r="BF74" s="0" t="b">
        <v>0</v>
      </c>
      <c r="BG74" s="0" t="b">
        <v>0</v>
      </c>
      <c r="BH74" s="0">
        <v>0</v>
      </c>
      <c r="BI74" s="0">
        <v>0</v>
      </c>
      <c r="BJ74" s="0" t="s">
        <v>135</v>
      </c>
    </row>
    <row r="75">
      <c r="A75" s="0" t="s">
        <v>228</v>
      </c>
      <c r="B75" s="0" t="s">
        <v>134</v>
      </c>
      <c r="C75" s="0" t="s">
        <v>134</v>
      </c>
      <c r="D75" s="0" t="s">
        <v>135</v>
      </c>
      <c r="E75" s="0" t="s">
        <v>2</v>
      </c>
      <c r="F75" s="0" t="s">
        <v>12</v>
      </c>
      <c r="G75" s="0" t="s">
        <v>7</v>
      </c>
      <c r="H75" s="0">
        <v>5072</v>
      </c>
      <c r="I75" s="0">
        <v>80</v>
      </c>
      <c r="J75" s="0">
        <v>0</v>
      </c>
      <c r="K75" s="0">
        <v>1</v>
      </c>
      <c r="L75" s="0">
        <v>1</v>
      </c>
      <c r="M75" s="0">
        <v>2</v>
      </c>
      <c r="N75" s="0">
        <v>0</v>
      </c>
      <c r="O75" s="0">
        <v>0</v>
      </c>
      <c r="P75" s="0">
        <v>0</v>
      </c>
      <c r="R75" s="0" t="b">
        <v>0</v>
      </c>
      <c r="S75" s="0" t="b">
        <v>1</v>
      </c>
      <c r="T75" s="68">
        <v>40981.4317939815</v>
      </c>
      <c r="U75" s="68">
        <v>41012.5416666667</v>
      </c>
      <c r="V75" s="68">
        <v>0</v>
      </c>
      <c r="W75" s="0">
        <f>IF(IF(B75="none",1,IF(B75="Trialer",1,0))+IF(C75="Customer",1,IF(C75="Lost",1,0))=2,1,0)</f>
      </c>
      <c r="X75" s="0" t="s">
        <v>142</v>
      </c>
      <c r="Y75" s="0" t="s">
        <v>137</v>
      </c>
      <c r="AV75" s="68"/>
      <c r="AW75" s="68"/>
      <c r="AY75" s="27"/>
      <c r="BD75" s="68">
        <v>46054.1666666667</v>
      </c>
      <c r="BE75" s="68">
        <v>46082.1666666667</v>
      </c>
      <c r="BF75" s="0" t="b">
        <v>0</v>
      </c>
      <c r="BG75" s="0" t="b">
        <v>0</v>
      </c>
      <c r="BH75" s="0">
        <v>80</v>
      </c>
      <c r="BI75" s="0">
        <v>80</v>
      </c>
      <c r="BJ75" s="0" t="s">
        <v>135</v>
      </c>
    </row>
    <row r="76">
      <c r="A76" s="0" t="s">
        <v>229</v>
      </c>
      <c r="B76" s="0" t="s">
        <v>134</v>
      </c>
      <c r="C76" s="0" t="s">
        <v>134</v>
      </c>
      <c r="D76" s="0" t="s">
        <v>230</v>
      </c>
      <c r="E76" s="0" t="s">
        <v>3</v>
      </c>
      <c r="F76" s="0" t="s">
        <v>12</v>
      </c>
      <c r="G76" s="0" t="s">
        <v>7</v>
      </c>
      <c r="H76" s="0">
        <v>5066</v>
      </c>
      <c r="I76" s="0">
        <v>216</v>
      </c>
      <c r="J76" s="0">
        <v>0</v>
      </c>
      <c r="K76" s="0">
        <v>1</v>
      </c>
      <c r="L76" s="0">
        <v>1</v>
      </c>
      <c r="M76" s="0">
        <v>6</v>
      </c>
      <c r="N76" s="0">
        <v>0</v>
      </c>
      <c r="O76" s="0">
        <v>0</v>
      </c>
      <c r="P76" s="0">
        <v>-216</v>
      </c>
      <c r="R76" s="0" t="b">
        <v>0</v>
      </c>
      <c r="S76" s="0" t="b">
        <v>1</v>
      </c>
      <c r="T76" s="68">
        <v>40987.5</v>
      </c>
      <c r="U76" s="68">
        <v>41018.5416666667</v>
      </c>
      <c r="V76" s="68">
        <v>0</v>
      </c>
      <c r="W76" s="0">
        <f>IF(IF(B76="none",1,IF(B76="Trialer",1,0))+IF(C76="Customer",1,IF(C76="Lost",1,0))=2,1,0)</f>
      </c>
      <c r="X76" s="0" t="s">
        <v>136</v>
      </c>
      <c r="Y76" s="0" t="s">
        <v>213</v>
      </c>
      <c r="AV76" s="68"/>
      <c r="AW76" s="68"/>
      <c r="AY76" s="27"/>
      <c r="BD76" s="68">
        <v>46054.1666666667</v>
      </c>
      <c r="BE76" s="68">
        <v>46082.1666666667</v>
      </c>
      <c r="BF76" s="0" t="b">
        <v>0</v>
      </c>
      <c r="BG76" s="0" t="b">
        <v>0</v>
      </c>
      <c r="BH76" s="0">
        <v>240</v>
      </c>
      <c r="BI76" s="0">
        <v>240</v>
      </c>
      <c r="BJ76" s="0" t="s">
        <v>230</v>
      </c>
    </row>
    <row r="77">
      <c r="A77" s="0" t="s">
        <v>231</v>
      </c>
      <c r="B77" s="0" t="s">
        <v>134</v>
      </c>
      <c r="C77" s="0" t="s">
        <v>134</v>
      </c>
      <c r="D77" s="0" t="s">
        <v>135</v>
      </c>
      <c r="E77" s="0" t="s">
        <v>2</v>
      </c>
      <c r="F77" s="0" t="s">
        <v>10</v>
      </c>
      <c r="G77" s="0" t="s">
        <v>7</v>
      </c>
      <c r="H77" s="0">
        <v>5052</v>
      </c>
      <c r="I77" s="0">
        <v>40</v>
      </c>
      <c r="J77" s="0">
        <v>0</v>
      </c>
      <c r="K77" s="0">
        <v>1</v>
      </c>
      <c r="L77" s="0">
        <v>1</v>
      </c>
      <c r="M77" s="0">
        <v>1</v>
      </c>
      <c r="N77" s="0">
        <v>0</v>
      </c>
      <c r="O77" s="0">
        <v>0</v>
      </c>
      <c r="P77" s="0">
        <v>0</v>
      </c>
      <c r="Q77" s="0" t="s">
        <v>217</v>
      </c>
      <c r="R77" s="0" t="b">
        <v>0</v>
      </c>
      <c r="S77" s="0" t="b">
        <v>1</v>
      </c>
      <c r="T77" s="68">
        <v>41001.5</v>
      </c>
      <c r="U77" s="68">
        <v>41031.5416666667</v>
      </c>
      <c r="V77" s="68">
        <v>0</v>
      </c>
      <c r="W77" s="0">
        <f>IF(IF(B77="none",1,IF(B77="Trialer",1,0))+IF(C77="Customer",1,IF(C77="Lost",1,0))=2,1,0)</f>
      </c>
      <c r="X77" s="0" t="s">
        <v>136</v>
      </c>
      <c r="Y77" s="0" t="s">
        <v>137</v>
      </c>
      <c r="AV77" s="68"/>
      <c r="AW77" s="68"/>
      <c r="AY77" s="27"/>
      <c r="BD77" s="68">
        <v>46054.1666666667</v>
      </c>
      <c r="BE77" s="68">
        <v>46082.1666666667</v>
      </c>
      <c r="BF77" s="0" t="b">
        <v>0</v>
      </c>
      <c r="BG77" s="0" t="b">
        <v>0</v>
      </c>
      <c r="BH77" s="0">
        <v>40</v>
      </c>
      <c r="BI77" s="0">
        <v>40</v>
      </c>
      <c r="BJ77" s="0" t="s">
        <v>135</v>
      </c>
    </row>
    <row r="78">
      <c r="A78" s="0" t="s">
        <v>232</v>
      </c>
      <c r="B78" s="0" t="s">
        <v>134</v>
      </c>
      <c r="C78" s="0" t="s">
        <v>134</v>
      </c>
      <c r="D78" s="0" t="s">
        <v>135</v>
      </c>
      <c r="E78" s="0" t="s">
        <v>2</v>
      </c>
      <c r="F78" s="0" t="s">
        <v>12</v>
      </c>
      <c r="G78" s="0" t="s">
        <v>7</v>
      </c>
      <c r="H78" s="0">
        <v>5043</v>
      </c>
      <c r="I78" s="0">
        <v>0</v>
      </c>
      <c r="J78" s="0">
        <v>0</v>
      </c>
      <c r="K78" s="0">
        <v>1</v>
      </c>
      <c r="L78" s="0">
        <v>1</v>
      </c>
      <c r="M78" s="0">
        <v>5</v>
      </c>
      <c r="N78" s="0">
        <v>0</v>
      </c>
      <c r="O78" s="0">
        <v>0</v>
      </c>
      <c r="P78" s="0">
        <v>0</v>
      </c>
      <c r="R78" s="0" t="b">
        <v>0</v>
      </c>
      <c r="S78" s="0" t="b">
        <v>1</v>
      </c>
      <c r="T78" s="68">
        <v>41010.5</v>
      </c>
      <c r="U78" s="68">
        <v>41254.5</v>
      </c>
      <c r="V78" s="68">
        <v>0</v>
      </c>
      <c r="W78" s="0">
        <f>IF(IF(B78="none",1,IF(B78="Trialer",1,0))+IF(C78="Customer",1,IF(C78="Lost",1,0))=2,1,0)</f>
      </c>
      <c r="X78" s="0" t="s">
        <v>148</v>
      </c>
      <c r="Y78" s="0" t="s">
        <v>137</v>
      </c>
      <c r="AV78" s="68"/>
      <c r="AW78" s="68"/>
      <c r="AY78" s="27"/>
      <c r="BD78" s="68">
        <v>46054.1666666667</v>
      </c>
      <c r="BE78" s="68">
        <v>46082.1666666667</v>
      </c>
      <c r="BF78" s="0" t="b">
        <v>0</v>
      </c>
      <c r="BG78" s="0" t="b">
        <v>0</v>
      </c>
      <c r="BH78" s="0">
        <v>0</v>
      </c>
      <c r="BI78" s="0">
        <v>0</v>
      </c>
      <c r="BJ78" s="0" t="s">
        <v>135</v>
      </c>
    </row>
    <row r="79">
      <c r="A79" s="0" t="s">
        <v>233</v>
      </c>
      <c r="B79" s="0" t="s">
        <v>134</v>
      </c>
      <c r="C79" s="0" t="s">
        <v>134</v>
      </c>
      <c r="D79" s="0" t="s">
        <v>135</v>
      </c>
      <c r="E79" s="0" t="s">
        <v>2</v>
      </c>
      <c r="F79" s="0" t="s">
        <v>12</v>
      </c>
      <c r="G79" s="0" t="s">
        <v>7</v>
      </c>
      <c r="H79" s="0">
        <v>5043</v>
      </c>
      <c r="I79" s="0">
        <v>0</v>
      </c>
      <c r="J79" s="0">
        <v>0</v>
      </c>
      <c r="K79" s="0">
        <v>1</v>
      </c>
      <c r="L79" s="0">
        <v>1</v>
      </c>
      <c r="M79" s="0">
        <v>1</v>
      </c>
      <c r="N79" s="0">
        <v>0</v>
      </c>
      <c r="O79" s="0">
        <v>0</v>
      </c>
      <c r="P79" s="0">
        <v>0</v>
      </c>
      <c r="R79" s="0" t="b">
        <v>0</v>
      </c>
      <c r="S79" s="0" t="b">
        <v>1</v>
      </c>
      <c r="T79" s="68">
        <v>41010.6854166667</v>
      </c>
      <c r="U79" s="68">
        <v>43080.5</v>
      </c>
      <c r="V79" s="68">
        <v>0</v>
      </c>
      <c r="W79" s="0">
        <f>IF(IF(B79="none",1,IF(B79="Trialer",1,0))+IF(C79="Customer",1,IF(C79="Lost",1,0))=2,1,0)</f>
      </c>
      <c r="X79" s="0" t="s">
        <v>153</v>
      </c>
      <c r="Y79" s="0" t="s">
        <v>137</v>
      </c>
      <c r="AV79" s="68"/>
      <c r="AW79" s="68"/>
      <c r="AY79" s="27"/>
      <c r="BD79" s="68">
        <v>46054.1666666667</v>
      </c>
      <c r="BE79" s="68">
        <v>46082.1666666667</v>
      </c>
      <c r="BF79" s="0" t="b">
        <v>0</v>
      </c>
      <c r="BG79" s="0" t="b">
        <v>0</v>
      </c>
      <c r="BH79" s="0">
        <v>0</v>
      </c>
      <c r="BI79" s="0">
        <v>0</v>
      </c>
      <c r="BJ79" s="0" t="s">
        <v>135</v>
      </c>
    </row>
    <row r="80">
      <c r="A80" s="0" t="s">
        <v>234</v>
      </c>
      <c r="B80" s="0" t="s">
        <v>134</v>
      </c>
      <c r="C80" s="0" t="s">
        <v>134</v>
      </c>
      <c r="D80" s="0" t="s">
        <v>230</v>
      </c>
      <c r="E80" s="0" t="s">
        <v>2</v>
      </c>
      <c r="F80" s="0" t="s">
        <v>12</v>
      </c>
      <c r="G80" s="0" t="s">
        <v>7</v>
      </c>
      <c r="H80" s="0">
        <v>5041</v>
      </c>
      <c r="I80" s="0">
        <v>22.5</v>
      </c>
      <c r="J80" s="0">
        <v>0</v>
      </c>
      <c r="K80" s="0">
        <v>1</v>
      </c>
      <c r="L80" s="0">
        <v>1</v>
      </c>
      <c r="M80" s="0">
        <v>1</v>
      </c>
      <c r="N80" s="0">
        <v>0</v>
      </c>
      <c r="O80" s="0">
        <v>0</v>
      </c>
      <c r="P80" s="0">
        <v>-22.5</v>
      </c>
      <c r="R80" s="0" t="b">
        <v>0</v>
      </c>
      <c r="S80" s="0" t="b">
        <v>1</v>
      </c>
      <c r="T80" s="68">
        <v>41012.5</v>
      </c>
      <c r="U80" s="68">
        <v>41042.5416666667</v>
      </c>
      <c r="V80" s="68">
        <v>0</v>
      </c>
      <c r="W80" s="0">
        <f>IF(IF(B80="none",1,IF(B80="Trialer",1,0))+IF(C80="Customer",1,IF(C80="Lost",1,0))=2,1,0)</f>
      </c>
      <c r="X80" s="0" t="s">
        <v>145</v>
      </c>
      <c r="Y80" s="0" t="s">
        <v>235</v>
      </c>
      <c r="AV80" s="68"/>
      <c r="AW80" s="68"/>
      <c r="AY80" s="27"/>
      <c r="BD80" s="68">
        <v>46054.1666666667</v>
      </c>
      <c r="BE80" s="68">
        <v>46082.1666666667</v>
      </c>
      <c r="BF80" s="0" t="b">
        <v>0</v>
      </c>
      <c r="BG80" s="0" t="b">
        <v>0</v>
      </c>
      <c r="BH80" s="0">
        <v>25</v>
      </c>
      <c r="BI80" s="0">
        <v>25</v>
      </c>
      <c r="BJ80" s="0" t="s">
        <v>230</v>
      </c>
    </row>
    <row r="81">
      <c r="A81" s="0" t="s">
        <v>236</v>
      </c>
      <c r="B81" s="0" t="s">
        <v>134</v>
      </c>
      <c r="C81" s="0" t="s">
        <v>134</v>
      </c>
      <c r="D81" s="0" t="s">
        <v>230</v>
      </c>
      <c r="E81" s="0" t="s">
        <v>2</v>
      </c>
      <c r="F81" s="0" t="s">
        <v>12</v>
      </c>
      <c r="G81" s="0" t="s">
        <v>7</v>
      </c>
      <c r="H81" s="0">
        <v>5039</v>
      </c>
      <c r="I81" s="0">
        <v>22.5</v>
      </c>
      <c r="J81" s="0">
        <v>0</v>
      </c>
      <c r="K81" s="0">
        <v>1</v>
      </c>
      <c r="L81" s="0">
        <v>1</v>
      </c>
      <c r="M81" s="0">
        <v>1</v>
      </c>
      <c r="N81" s="0">
        <v>0</v>
      </c>
      <c r="O81" s="0">
        <v>0</v>
      </c>
      <c r="P81" s="0">
        <v>-22.5</v>
      </c>
      <c r="R81" s="0" t="b">
        <v>0</v>
      </c>
      <c r="S81" s="0" t="b">
        <v>1</v>
      </c>
      <c r="T81" s="68">
        <v>41014.5</v>
      </c>
      <c r="U81" s="68">
        <v>41044.5416666667</v>
      </c>
      <c r="V81" s="68">
        <v>0</v>
      </c>
      <c r="W81" s="0">
        <f>IF(IF(B81="none",1,IF(B81="Trialer",1,0))+IF(C81="Customer",1,IF(C81="Lost",1,0))=2,1,0)</f>
      </c>
      <c r="X81" s="0" t="s">
        <v>145</v>
      </c>
      <c r="Y81" s="0" t="s">
        <v>235</v>
      </c>
      <c r="AV81" s="68"/>
      <c r="AW81" s="68"/>
      <c r="AY81" s="27"/>
      <c r="BD81" s="68">
        <v>46054.1666666667</v>
      </c>
      <c r="BE81" s="68">
        <v>46082.1666666667</v>
      </c>
      <c r="BF81" s="0" t="b">
        <v>0</v>
      </c>
      <c r="BG81" s="0" t="b">
        <v>0</v>
      </c>
      <c r="BH81" s="0">
        <v>25</v>
      </c>
      <c r="BI81" s="0">
        <v>25</v>
      </c>
      <c r="BJ81" s="0" t="s">
        <v>230</v>
      </c>
    </row>
    <row r="82">
      <c r="A82" s="0" t="s">
        <v>237</v>
      </c>
      <c r="B82" s="0" t="s">
        <v>134</v>
      </c>
      <c r="C82" s="0" t="s">
        <v>134</v>
      </c>
      <c r="D82" s="0" t="s">
        <v>230</v>
      </c>
      <c r="E82" s="0" t="s">
        <v>2</v>
      </c>
      <c r="F82" s="0" t="s">
        <v>12</v>
      </c>
      <c r="G82" s="0" t="s">
        <v>7</v>
      </c>
      <c r="H82" s="0">
        <v>5039</v>
      </c>
      <c r="I82" s="0">
        <v>22.5</v>
      </c>
      <c r="J82" s="0">
        <v>0</v>
      </c>
      <c r="K82" s="0">
        <v>1</v>
      </c>
      <c r="L82" s="0">
        <v>1</v>
      </c>
      <c r="M82" s="0">
        <v>1</v>
      </c>
      <c r="N82" s="0">
        <v>0</v>
      </c>
      <c r="O82" s="0">
        <v>0</v>
      </c>
      <c r="P82" s="0">
        <v>-22.5</v>
      </c>
      <c r="R82" s="0" t="b">
        <v>0</v>
      </c>
      <c r="S82" s="0" t="b">
        <v>1</v>
      </c>
      <c r="T82" s="68">
        <v>41014.5</v>
      </c>
      <c r="U82" s="68">
        <v>41044.5416666667</v>
      </c>
      <c r="V82" s="68">
        <v>0</v>
      </c>
      <c r="W82" s="0">
        <f>IF(IF(B82="none",1,IF(B82="Trialer",1,0))+IF(C82="Customer",1,IF(C82="Lost",1,0))=2,1,0)</f>
      </c>
      <c r="X82" s="0" t="s">
        <v>145</v>
      </c>
      <c r="Y82" s="0" t="s">
        <v>235</v>
      </c>
      <c r="AV82" s="68"/>
      <c r="AW82" s="68"/>
      <c r="AY82" s="27"/>
      <c r="BD82" s="68">
        <v>46054.1666666667</v>
      </c>
      <c r="BE82" s="68">
        <v>46082.1666666667</v>
      </c>
      <c r="BF82" s="0" t="b">
        <v>0</v>
      </c>
      <c r="BG82" s="0" t="b">
        <v>0</v>
      </c>
      <c r="BH82" s="0">
        <v>25</v>
      </c>
      <c r="BI82" s="0">
        <v>25</v>
      </c>
      <c r="BJ82" s="0" t="s">
        <v>230</v>
      </c>
    </row>
    <row r="83">
      <c r="A83" s="0" t="s">
        <v>238</v>
      </c>
      <c r="B83" s="0" t="s">
        <v>134</v>
      </c>
      <c r="C83" s="0" t="s">
        <v>134</v>
      </c>
      <c r="D83" s="0" t="s">
        <v>230</v>
      </c>
      <c r="E83" s="0" t="s">
        <v>2</v>
      </c>
      <c r="F83" s="0" t="s">
        <v>12</v>
      </c>
      <c r="G83" s="0" t="s">
        <v>7</v>
      </c>
      <c r="H83" s="0">
        <v>5038</v>
      </c>
      <c r="I83" s="0">
        <v>22.5</v>
      </c>
      <c r="J83" s="0">
        <v>0</v>
      </c>
      <c r="K83" s="0">
        <v>1</v>
      </c>
      <c r="L83" s="0">
        <v>1</v>
      </c>
      <c r="M83" s="0">
        <v>1</v>
      </c>
      <c r="N83" s="0">
        <v>0</v>
      </c>
      <c r="O83" s="0">
        <v>0</v>
      </c>
      <c r="P83" s="0">
        <v>-22.5</v>
      </c>
      <c r="R83" s="0" t="b">
        <v>0</v>
      </c>
      <c r="S83" s="0" t="b">
        <v>1</v>
      </c>
      <c r="T83" s="68">
        <v>41015.5</v>
      </c>
      <c r="U83" s="68">
        <v>41045.5416666667</v>
      </c>
      <c r="V83" s="68">
        <v>0</v>
      </c>
      <c r="W83" s="0">
        <f>IF(IF(B83="none",1,IF(B83="Trialer",1,0))+IF(C83="Customer",1,IF(C83="Lost",1,0))=2,1,0)</f>
      </c>
      <c r="X83" s="0" t="s">
        <v>145</v>
      </c>
      <c r="Y83" s="0" t="s">
        <v>235</v>
      </c>
      <c r="AV83" s="68"/>
      <c r="AW83" s="68"/>
      <c r="AY83" s="27"/>
      <c r="BD83" s="68">
        <v>46054.1666666667</v>
      </c>
      <c r="BE83" s="68">
        <v>46082.1666666667</v>
      </c>
      <c r="BF83" s="0" t="b">
        <v>0</v>
      </c>
      <c r="BG83" s="0" t="b">
        <v>0</v>
      </c>
      <c r="BH83" s="0">
        <v>25</v>
      </c>
      <c r="BI83" s="0">
        <v>25</v>
      </c>
      <c r="BJ83" s="0" t="s">
        <v>230</v>
      </c>
    </row>
    <row r="84">
      <c r="A84" s="0" t="s">
        <v>239</v>
      </c>
      <c r="B84" s="0" t="s">
        <v>134</v>
      </c>
      <c r="C84" s="0" t="s">
        <v>134</v>
      </c>
      <c r="D84" s="0" t="s">
        <v>230</v>
      </c>
      <c r="E84" s="0" t="s">
        <v>2</v>
      </c>
      <c r="F84" s="0" t="s">
        <v>12</v>
      </c>
      <c r="G84" s="0" t="s">
        <v>7</v>
      </c>
      <c r="H84" s="0">
        <v>5034</v>
      </c>
      <c r="I84" s="0">
        <v>180</v>
      </c>
      <c r="J84" s="0">
        <v>0</v>
      </c>
      <c r="K84" s="0">
        <v>1</v>
      </c>
      <c r="L84" s="0">
        <v>1</v>
      </c>
      <c r="M84" s="0">
        <v>5</v>
      </c>
      <c r="N84" s="0">
        <v>0</v>
      </c>
      <c r="O84" s="0">
        <v>0</v>
      </c>
      <c r="P84" s="0">
        <v>-180</v>
      </c>
      <c r="R84" s="0" t="b">
        <v>0</v>
      </c>
      <c r="S84" s="0" t="b">
        <v>1</v>
      </c>
      <c r="T84" s="68">
        <v>41019.425</v>
      </c>
      <c r="U84" s="68">
        <v>41049.5416666667</v>
      </c>
      <c r="V84" s="68">
        <v>0</v>
      </c>
      <c r="W84" s="0">
        <f>IF(IF(B84="none",1,IF(B84="Trialer",1,0))+IF(C84="Customer",1,IF(C84="Lost",1,0))=2,1,0)</f>
      </c>
      <c r="X84" s="0" t="s">
        <v>136</v>
      </c>
      <c r="Y84" s="0" t="s">
        <v>137</v>
      </c>
      <c r="AV84" s="68"/>
      <c r="AW84" s="68"/>
      <c r="AY84" s="27"/>
      <c r="BD84" s="68">
        <v>46054.1666666667</v>
      </c>
      <c r="BE84" s="68">
        <v>46082.1666666667</v>
      </c>
      <c r="BF84" s="0" t="b">
        <v>0</v>
      </c>
      <c r="BG84" s="0" t="b">
        <v>0</v>
      </c>
      <c r="BH84" s="0">
        <v>200</v>
      </c>
      <c r="BI84" s="0">
        <v>200</v>
      </c>
      <c r="BJ84" s="0" t="s">
        <v>230</v>
      </c>
    </row>
    <row r="85">
      <c r="A85" s="0" t="s">
        <v>240</v>
      </c>
      <c r="B85" s="0" t="s">
        <v>134</v>
      </c>
      <c r="C85" s="0" t="s">
        <v>134</v>
      </c>
      <c r="D85" s="0" t="s">
        <v>135</v>
      </c>
      <c r="E85" s="0" t="s">
        <v>2</v>
      </c>
      <c r="F85" s="0" t="s">
        <v>12</v>
      </c>
      <c r="G85" s="0" t="s">
        <v>8</v>
      </c>
      <c r="H85" s="0">
        <v>5020</v>
      </c>
      <c r="I85" s="0">
        <v>0</v>
      </c>
      <c r="J85" s="0">
        <v>0</v>
      </c>
      <c r="K85" s="0">
        <v>1</v>
      </c>
      <c r="L85" s="0">
        <v>3</v>
      </c>
      <c r="M85" s="0">
        <v>2</v>
      </c>
      <c r="N85" s="0">
        <v>0</v>
      </c>
      <c r="O85" s="0">
        <v>0</v>
      </c>
      <c r="P85" s="0">
        <v>0</v>
      </c>
      <c r="R85" s="0" t="b">
        <v>0</v>
      </c>
      <c r="S85" s="0" t="b">
        <v>1</v>
      </c>
      <c r="T85" s="68">
        <v>41033.5</v>
      </c>
      <c r="U85" s="68">
        <v>41247.5</v>
      </c>
      <c r="V85" s="68">
        <v>0</v>
      </c>
      <c r="W85" s="0">
        <f>IF(IF(B85="none",1,IF(B85="Trialer",1,0))+IF(C85="Customer",1,IF(C85="Lost",1,0))=2,1,0)</f>
      </c>
      <c r="X85" s="0" t="s">
        <v>136</v>
      </c>
      <c r="Y85" s="0" t="s">
        <v>137</v>
      </c>
      <c r="AV85" s="68"/>
      <c r="AW85" s="68"/>
      <c r="AY85" s="27"/>
      <c r="BD85" s="68">
        <v>46054.1666666667</v>
      </c>
      <c r="BE85" s="68">
        <v>46082.1666666667</v>
      </c>
      <c r="BF85" s="0" t="b">
        <v>0</v>
      </c>
      <c r="BG85" s="0" t="b">
        <v>0</v>
      </c>
      <c r="BH85" s="0">
        <v>0</v>
      </c>
      <c r="BI85" s="0">
        <v>0</v>
      </c>
      <c r="BJ85" s="0" t="s">
        <v>135</v>
      </c>
    </row>
    <row r="86">
      <c r="A86" s="0" t="s">
        <v>241</v>
      </c>
      <c r="B86" s="0" t="s">
        <v>134</v>
      </c>
      <c r="C86" s="0" t="s">
        <v>134</v>
      </c>
      <c r="D86" s="0" t="s">
        <v>230</v>
      </c>
      <c r="E86" s="0" t="s">
        <v>2</v>
      </c>
      <c r="F86" s="0" t="s">
        <v>10</v>
      </c>
      <c r="G86" s="0" t="s">
        <v>7</v>
      </c>
      <c r="H86" s="0">
        <v>5015</v>
      </c>
      <c r="I86" s="0">
        <v>144</v>
      </c>
      <c r="J86" s="0">
        <v>0</v>
      </c>
      <c r="K86" s="0">
        <v>1</v>
      </c>
      <c r="L86" s="0">
        <v>1</v>
      </c>
      <c r="M86" s="0">
        <v>4</v>
      </c>
      <c r="N86" s="0">
        <v>0</v>
      </c>
      <c r="O86" s="0">
        <v>0</v>
      </c>
      <c r="P86" s="0">
        <v>-144</v>
      </c>
      <c r="Q86" s="0" t="s">
        <v>217</v>
      </c>
      <c r="R86" s="0" t="b">
        <v>0</v>
      </c>
      <c r="S86" s="0" t="b">
        <v>1</v>
      </c>
      <c r="T86" s="68">
        <v>41038.5</v>
      </c>
      <c r="U86" s="68">
        <v>41069.5416666667</v>
      </c>
      <c r="V86" s="68">
        <v>0</v>
      </c>
      <c r="W86" s="0">
        <f>IF(IF(B86="none",1,IF(B86="Trialer",1,0))+IF(C86="Customer",1,IF(C86="Lost",1,0))=2,1,0)</f>
      </c>
      <c r="X86" s="0" t="s">
        <v>136</v>
      </c>
      <c r="Y86" s="0" t="s">
        <v>137</v>
      </c>
      <c r="AV86" s="68"/>
      <c r="AW86" s="68"/>
      <c r="AY86" s="27"/>
      <c r="BD86" s="68">
        <v>46054.1666666667</v>
      </c>
      <c r="BE86" s="68">
        <v>46082.1666666667</v>
      </c>
      <c r="BF86" s="0" t="b">
        <v>0</v>
      </c>
      <c r="BG86" s="0" t="b">
        <v>0</v>
      </c>
      <c r="BH86" s="0">
        <v>160</v>
      </c>
      <c r="BI86" s="0">
        <v>160</v>
      </c>
      <c r="BJ86" s="0" t="s">
        <v>230</v>
      </c>
    </row>
    <row r="87">
      <c r="A87" s="0" t="s">
        <v>242</v>
      </c>
      <c r="B87" s="0" t="s">
        <v>134</v>
      </c>
      <c r="C87" s="0" t="s">
        <v>134</v>
      </c>
      <c r="D87" s="0" t="s">
        <v>230</v>
      </c>
      <c r="E87" s="0" t="s">
        <v>3</v>
      </c>
      <c r="F87" s="0" t="s">
        <v>12</v>
      </c>
      <c r="G87" s="0" t="s">
        <v>8</v>
      </c>
      <c r="H87" s="0">
        <v>5000</v>
      </c>
      <c r="I87" s="0">
        <v>256.5</v>
      </c>
      <c r="J87" s="0">
        <v>0</v>
      </c>
      <c r="K87" s="0">
        <v>1</v>
      </c>
      <c r="L87" s="0">
        <v>2</v>
      </c>
      <c r="M87" s="0">
        <v>9</v>
      </c>
      <c r="N87" s="0">
        <v>0</v>
      </c>
      <c r="O87" s="0">
        <v>0</v>
      </c>
      <c r="P87" s="0">
        <v>-256.5</v>
      </c>
      <c r="R87" s="0" t="b">
        <v>0</v>
      </c>
      <c r="S87" s="0" t="b">
        <v>1</v>
      </c>
      <c r="T87" s="68">
        <v>41053.5</v>
      </c>
      <c r="U87" s="68">
        <v>41084.5416666667</v>
      </c>
      <c r="V87" s="68">
        <v>0</v>
      </c>
      <c r="W87" s="0">
        <f>IF(IF(B87="none",1,IF(B87="Trialer",1,0))+IF(C87="Customer",1,IF(C87="Lost",1,0))=2,1,0)</f>
      </c>
      <c r="X87" s="0" t="s">
        <v>148</v>
      </c>
      <c r="Y87" s="0" t="s">
        <v>243</v>
      </c>
      <c r="AV87" s="68"/>
      <c r="AW87" s="68"/>
      <c r="AY87" s="27"/>
      <c r="BD87" s="68">
        <v>46054.1666666667</v>
      </c>
      <c r="BE87" s="68">
        <v>46082.1666666667</v>
      </c>
      <c r="BF87" s="0" t="b">
        <v>0</v>
      </c>
      <c r="BG87" s="0" t="b">
        <v>0</v>
      </c>
      <c r="BH87" s="0">
        <v>285</v>
      </c>
      <c r="BI87" s="0">
        <v>285</v>
      </c>
      <c r="BJ87" s="0" t="s">
        <v>230</v>
      </c>
    </row>
    <row r="88">
      <c r="A88" s="0" t="s">
        <v>244</v>
      </c>
      <c r="B88" s="0" t="s">
        <v>134</v>
      </c>
      <c r="C88" s="0" t="s">
        <v>134</v>
      </c>
      <c r="D88" s="0" t="s">
        <v>135</v>
      </c>
      <c r="E88" s="0" t="s">
        <v>3</v>
      </c>
      <c r="F88" s="0" t="s">
        <v>12</v>
      </c>
      <c r="G88" s="0" t="s">
        <v>7</v>
      </c>
      <c r="H88" s="0">
        <v>4980</v>
      </c>
      <c r="I88" s="0">
        <v>80</v>
      </c>
      <c r="J88" s="0">
        <v>0</v>
      </c>
      <c r="K88" s="0">
        <v>1</v>
      </c>
      <c r="L88" s="0">
        <v>1</v>
      </c>
      <c r="M88" s="0">
        <v>2</v>
      </c>
      <c r="N88" s="0">
        <v>0</v>
      </c>
      <c r="O88" s="0">
        <v>0</v>
      </c>
      <c r="P88" s="0">
        <v>0</v>
      </c>
      <c r="R88" s="0" t="b">
        <v>0</v>
      </c>
      <c r="S88" s="0" t="b">
        <v>1</v>
      </c>
      <c r="T88" s="68">
        <v>41073.5</v>
      </c>
      <c r="U88" s="68">
        <v>41103.5</v>
      </c>
      <c r="V88" s="68">
        <v>0</v>
      </c>
      <c r="W88" s="0">
        <f>IF(IF(B88="none",1,IF(B88="Trialer",1,0))+IF(C88="Customer",1,IF(C88="Lost",1,0))=2,1,0)</f>
      </c>
      <c r="X88" s="0" t="s">
        <v>153</v>
      </c>
      <c r="Y88" s="0" t="s">
        <v>213</v>
      </c>
      <c r="AV88" s="68"/>
      <c r="AW88" s="68"/>
      <c r="AY88" s="27"/>
      <c r="BD88" s="68">
        <v>46054.1666666667</v>
      </c>
      <c r="BE88" s="68">
        <v>46082.1666666667</v>
      </c>
      <c r="BF88" s="0" t="b">
        <v>0</v>
      </c>
      <c r="BG88" s="0" t="b">
        <v>0</v>
      </c>
      <c r="BH88" s="0">
        <v>80</v>
      </c>
      <c r="BI88" s="0">
        <v>80</v>
      </c>
      <c r="BJ88" s="0" t="s">
        <v>135</v>
      </c>
    </row>
    <row r="89">
      <c r="A89" s="0" t="s">
        <v>245</v>
      </c>
      <c r="B89" s="0" t="s">
        <v>134</v>
      </c>
      <c r="C89" s="0" t="s">
        <v>134</v>
      </c>
      <c r="D89" s="0" t="s">
        <v>135</v>
      </c>
      <c r="E89" s="0" t="s">
        <v>2</v>
      </c>
      <c r="F89" s="0" t="s">
        <v>12</v>
      </c>
      <c r="G89" s="0" t="s">
        <v>8</v>
      </c>
      <c r="H89" s="0">
        <v>4965</v>
      </c>
      <c r="I89" s="0">
        <v>0</v>
      </c>
      <c r="J89" s="0">
        <v>0</v>
      </c>
      <c r="K89" s="0">
        <v>1</v>
      </c>
      <c r="L89" s="0">
        <v>2</v>
      </c>
      <c r="M89" s="0">
        <v>1</v>
      </c>
      <c r="N89" s="0">
        <v>0</v>
      </c>
      <c r="O89" s="0">
        <v>0</v>
      </c>
      <c r="P89" s="0">
        <v>0</v>
      </c>
      <c r="R89" s="0" t="b">
        <v>0</v>
      </c>
      <c r="S89" s="0" t="b">
        <v>1</v>
      </c>
      <c r="T89" s="68">
        <v>41088.5</v>
      </c>
      <c r="U89" s="68">
        <v>41237.5</v>
      </c>
      <c r="V89" s="68">
        <v>0</v>
      </c>
      <c r="W89" s="0">
        <f>IF(IF(B89="none",1,IF(B89="Trialer",1,0))+IF(C89="Customer",1,IF(C89="Lost",1,0))=2,1,0)</f>
      </c>
      <c r="X89" s="0" t="s">
        <v>136</v>
      </c>
      <c r="Y89" s="0" t="s">
        <v>137</v>
      </c>
      <c r="AV89" s="68"/>
      <c r="AW89" s="68"/>
      <c r="AY89" s="27"/>
      <c r="BD89" s="68">
        <v>46054.1666666667</v>
      </c>
      <c r="BE89" s="68">
        <v>46082.1666666667</v>
      </c>
      <c r="BF89" s="0" t="b">
        <v>0</v>
      </c>
      <c r="BG89" s="0" t="b">
        <v>0</v>
      </c>
      <c r="BH89" s="0">
        <v>0</v>
      </c>
      <c r="BI89" s="0">
        <v>0</v>
      </c>
      <c r="BJ89" s="0" t="s">
        <v>135</v>
      </c>
    </row>
    <row r="90">
      <c r="A90" s="0" t="s">
        <v>246</v>
      </c>
      <c r="B90" s="0" t="s">
        <v>134</v>
      </c>
      <c r="C90" s="0" t="s">
        <v>134</v>
      </c>
      <c r="D90" s="0" t="s">
        <v>135</v>
      </c>
      <c r="E90" s="0" t="s">
        <v>2</v>
      </c>
      <c r="F90" s="0" t="s">
        <v>12</v>
      </c>
      <c r="G90" s="0" t="s">
        <v>7</v>
      </c>
      <c r="H90" s="0">
        <v>4965</v>
      </c>
      <c r="I90" s="0">
        <v>0</v>
      </c>
      <c r="J90" s="0">
        <v>0</v>
      </c>
      <c r="K90" s="0">
        <v>1</v>
      </c>
      <c r="L90" s="0">
        <v>1</v>
      </c>
      <c r="M90" s="0">
        <v>2</v>
      </c>
      <c r="N90" s="0">
        <v>0</v>
      </c>
      <c r="O90" s="0">
        <v>0</v>
      </c>
      <c r="P90" s="0">
        <v>0</v>
      </c>
      <c r="R90" s="0" t="b">
        <v>0</v>
      </c>
      <c r="S90" s="0" t="b">
        <v>1</v>
      </c>
      <c r="T90" s="68">
        <v>41088.5</v>
      </c>
      <c r="U90" s="68">
        <v>41237.5</v>
      </c>
      <c r="V90" s="68">
        <v>0</v>
      </c>
      <c r="W90" s="0">
        <f>IF(IF(B90="none",1,IF(B90="Trialer",1,0))+IF(C90="Customer",1,IF(C90="Lost",1,0))=2,1,0)</f>
      </c>
      <c r="X90" s="0" t="s">
        <v>136</v>
      </c>
      <c r="Y90" s="0" t="s">
        <v>137</v>
      </c>
      <c r="AV90" s="68"/>
      <c r="AW90" s="68"/>
      <c r="AY90" s="27"/>
      <c r="BD90" s="68">
        <v>46054.1666666667</v>
      </c>
      <c r="BE90" s="68">
        <v>46082.1666666667</v>
      </c>
      <c r="BF90" s="0" t="b">
        <v>0</v>
      </c>
      <c r="BG90" s="0" t="b">
        <v>0</v>
      </c>
      <c r="BH90" s="0">
        <v>0</v>
      </c>
      <c r="BI90" s="0">
        <v>0</v>
      </c>
      <c r="BJ90" s="0" t="s">
        <v>135</v>
      </c>
    </row>
    <row r="91">
      <c r="A91" s="0" t="s">
        <v>247</v>
      </c>
      <c r="B91" s="0" t="s">
        <v>134</v>
      </c>
      <c r="C91" s="0" t="s">
        <v>134</v>
      </c>
      <c r="D91" s="0" t="s">
        <v>135</v>
      </c>
      <c r="E91" s="0" t="s">
        <v>2</v>
      </c>
      <c r="F91" s="0" t="s">
        <v>12</v>
      </c>
      <c r="G91" s="0" t="s">
        <v>8</v>
      </c>
      <c r="H91" s="0">
        <v>4947</v>
      </c>
      <c r="I91" s="0">
        <v>0</v>
      </c>
      <c r="J91" s="0">
        <v>0</v>
      </c>
      <c r="K91" s="0">
        <v>1</v>
      </c>
      <c r="L91" s="0">
        <v>3</v>
      </c>
      <c r="M91" s="0">
        <v>1</v>
      </c>
      <c r="N91" s="0">
        <v>0</v>
      </c>
      <c r="O91" s="0">
        <v>0</v>
      </c>
      <c r="P91" s="0">
        <v>0</v>
      </c>
      <c r="R91" s="0" t="b">
        <v>0</v>
      </c>
      <c r="S91" s="0" t="b">
        <v>1</v>
      </c>
      <c r="T91" s="68">
        <v>41106.5</v>
      </c>
      <c r="U91" s="68">
        <v>41259.5</v>
      </c>
      <c r="V91" s="68">
        <v>0</v>
      </c>
      <c r="W91" s="0">
        <f>IF(IF(B91="none",1,IF(B91="Trialer",1,0))+IF(C91="Customer",1,IF(C91="Lost",1,0))=2,1,0)</f>
      </c>
      <c r="X91" s="0" t="s">
        <v>136</v>
      </c>
      <c r="Y91" s="0" t="s">
        <v>137</v>
      </c>
      <c r="AV91" s="68"/>
      <c r="AW91" s="68"/>
      <c r="AY91" s="27"/>
      <c r="BD91" s="68">
        <v>46054.1666666667</v>
      </c>
      <c r="BE91" s="68">
        <v>46082.1666666667</v>
      </c>
      <c r="BF91" s="0" t="b">
        <v>0</v>
      </c>
      <c r="BG91" s="0" t="b">
        <v>0</v>
      </c>
      <c r="BH91" s="0">
        <v>0</v>
      </c>
      <c r="BI91" s="0">
        <v>0</v>
      </c>
      <c r="BJ91" s="0" t="s">
        <v>135</v>
      </c>
    </row>
    <row r="92">
      <c r="A92" s="0" t="s">
        <v>248</v>
      </c>
      <c r="B92" s="0" t="s">
        <v>134</v>
      </c>
      <c r="C92" s="0" t="s">
        <v>134</v>
      </c>
      <c r="D92" s="0" t="s">
        <v>135</v>
      </c>
      <c r="E92" s="0" t="s">
        <v>3</v>
      </c>
      <c r="F92" s="0" t="s">
        <v>12</v>
      </c>
      <c r="G92" s="0" t="s">
        <v>7</v>
      </c>
      <c r="H92" s="0">
        <v>4946</v>
      </c>
      <c r="I92" s="0">
        <v>75</v>
      </c>
      <c r="J92" s="0">
        <v>0</v>
      </c>
      <c r="K92" s="0">
        <v>1</v>
      </c>
      <c r="L92" s="0">
        <v>1</v>
      </c>
      <c r="M92" s="0">
        <v>3</v>
      </c>
      <c r="N92" s="0">
        <v>0</v>
      </c>
      <c r="O92" s="0">
        <v>0</v>
      </c>
      <c r="P92" s="0">
        <v>0</v>
      </c>
      <c r="R92" s="0" t="b">
        <v>0</v>
      </c>
      <c r="S92" s="0" t="b">
        <v>1</v>
      </c>
      <c r="T92" s="68">
        <v>41107.5</v>
      </c>
      <c r="U92" s="68">
        <v>41138.5416666667</v>
      </c>
      <c r="V92" s="68">
        <v>0</v>
      </c>
      <c r="W92" s="0">
        <f>IF(IF(B92="none",1,IF(B92="Trialer",1,0))+IF(C92="Customer",1,IF(C92="Lost",1,0))=2,1,0)</f>
      </c>
      <c r="X92" s="0" t="s">
        <v>142</v>
      </c>
      <c r="Y92" s="0" t="s">
        <v>219</v>
      </c>
      <c r="AV92" s="68"/>
      <c r="AW92" s="68"/>
      <c r="AY92" s="27"/>
      <c r="BD92" s="68">
        <v>46054.1666666667</v>
      </c>
      <c r="BE92" s="68">
        <v>46082.1666666667</v>
      </c>
      <c r="BF92" s="0" t="b">
        <v>0</v>
      </c>
      <c r="BG92" s="0" t="b">
        <v>0</v>
      </c>
      <c r="BH92" s="0">
        <v>75</v>
      </c>
      <c r="BI92" s="0">
        <v>75</v>
      </c>
      <c r="BJ92" s="0" t="s">
        <v>135</v>
      </c>
    </row>
    <row r="93">
      <c r="A93" s="0" t="s">
        <v>249</v>
      </c>
      <c r="B93" s="0" t="s">
        <v>134</v>
      </c>
      <c r="C93" s="0" t="s">
        <v>134</v>
      </c>
      <c r="D93" s="0" t="s">
        <v>135</v>
      </c>
      <c r="E93" s="0" t="s">
        <v>2</v>
      </c>
      <c r="F93" s="0" t="s">
        <v>12</v>
      </c>
      <c r="G93" s="0" t="s">
        <v>7</v>
      </c>
      <c r="H93" s="0">
        <v>4932</v>
      </c>
      <c r="I93" s="0">
        <v>50</v>
      </c>
      <c r="J93" s="0">
        <v>0</v>
      </c>
      <c r="K93" s="0">
        <v>1</v>
      </c>
      <c r="L93" s="0">
        <v>1</v>
      </c>
      <c r="M93" s="0">
        <v>2</v>
      </c>
      <c r="N93" s="0">
        <v>0</v>
      </c>
      <c r="O93" s="0">
        <v>0</v>
      </c>
      <c r="P93" s="0">
        <v>0</v>
      </c>
      <c r="R93" s="0" t="b">
        <v>0</v>
      </c>
      <c r="S93" s="0" t="b">
        <v>1</v>
      </c>
      <c r="T93" s="68">
        <v>41121.4987152778</v>
      </c>
      <c r="U93" s="68">
        <v>41152.5416666667</v>
      </c>
      <c r="V93" s="68">
        <v>0</v>
      </c>
      <c r="W93" s="0">
        <f>IF(IF(B93="none",1,IF(B93="Trialer",1,0))+IF(C93="Customer",1,IF(C93="Lost",1,0))=2,1,0)</f>
      </c>
      <c r="X93" s="0" t="s">
        <v>142</v>
      </c>
      <c r="Y93" s="0" t="s">
        <v>235</v>
      </c>
      <c r="AV93" s="68"/>
      <c r="AW93" s="68"/>
      <c r="AY93" s="27"/>
      <c r="BD93" s="68">
        <v>46054.1666666667</v>
      </c>
      <c r="BE93" s="68">
        <v>46082.1666666667</v>
      </c>
      <c r="BF93" s="0" t="b">
        <v>0</v>
      </c>
      <c r="BG93" s="0" t="b">
        <v>0</v>
      </c>
      <c r="BH93" s="0">
        <v>50</v>
      </c>
      <c r="BI93" s="0">
        <v>50</v>
      </c>
      <c r="BJ93" s="0" t="s">
        <v>135</v>
      </c>
    </row>
    <row r="94">
      <c r="A94" s="0" t="s">
        <v>250</v>
      </c>
      <c r="B94" s="0" t="s">
        <v>134</v>
      </c>
      <c r="C94" s="0" t="s">
        <v>134</v>
      </c>
      <c r="D94" s="0" t="s">
        <v>135</v>
      </c>
      <c r="E94" s="0" t="s">
        <v>2</v>
      </c>
      <c r="F94" s="0" t="s">
        <v>12</v>
      </c>
      <c r="G94" s="0" t="s">
        <v>7</v>
      </c>
      <c r="H94" s="0">
        <v>4925</v>
      </c>
      <c r="I94" s="0">
        <v>0</v>
      </c>
      <c r="J94" s="0">
        <v>0</v>
      </c>
      <c r="K94" s="0">
        <v>1</v>
      </c>
      <c r="L94" s="0">
        <v>1</v>
      </c>
      <c r="M94" s="0">
        <v>2</v>
      </c>
      <c r="N94" s="0">
        <v>0</v>
      </c>
      <c r="O94" s="0">
        <v>0</v>
      </c>
      <c r="P94" s="0">
        <v>0</v>
      </c>
      <c r="R94" s="0" t="b">
        <v>0</v>
      </c>
      <c r="S94" s="0" t="b">
        <v>1</v>
      </c>
      <c r="T94" s="68">
        <v>41128.5</v>
      </c>
      <c r="U94" s="68">
        <v>41220.5</v>
      </c>
      <c r="V94" s="68">
        <v>0</v>
      </c>
      <c r="W94" s="0">
        <f>IF(IF(B94="none",1,IF(B94="Trialer",1,0))+IF(C94="Customer",1,IF(C94="Lost",1,0))=2,1,0)</f>
      </c>
      <c r="X94" s="0" t="s">
        <v>153</v>
      </c>
      <c r="Y94" s="0" t="s">
        <v>137</v>
      </c>
      <c r="AV94" s="68"/>
      <c r="AW94" s="68"/>
      <c r="AY94" s="27"/>
      <c r="BD94" s="68">
        <v>46054.1666666667</v>
      </c>
      <c r="BE94" s="68">
        <v>46082.1666666667</v>
      </c>
      <c r="BF94" s="0" t="b">
        <v>0</v>
      </c>
      <c r="BG94" s="0" t="b">
        <v>0</v>
      </c>
      <c r="BH94" s="0">
        <v>0</v>
      </c>
      <c r="BI94" s="0">
        <v>0</v>
      </c>
      <c r="BJ94" s="0" t="s">
        <v>135</v>
      </c>
    </row>
    <row r="95">
      <c r="A95" s="0" t="s">
        <v>251</v>
      </c>
      <c r="B95" s="0" t="s">
        <v>134</v>
      </c>
      <c r="C95" s="0" t="s">
        <v>134</v>
      </c>
      <c r="D95" s="0" t="s">
        <v>230</v>
      </c>
      <c r="E95" s="0" t="s">
        <v>2</v>
      </c>
      <c r="F95" s="0" t="s">
        <v>12</v>
      </c>
      <c r="G95" s="0" t="s">
        <v>7</v>
      </c>
      <c r="H95" s="0">
        <v>4916</v>
      </c>
      <c r="I95" s="0">
        <v>22.5</v>
      </c>
      <c r="J95" s="0">
        <v>0</v>
      </c>
      <c r="K95" s="0">
        <v>1</v>
      </c>
      <c r="L95" s="0">
        <v>1</v>
      </c>
      <c r="M95" s="0">
        <v>1</v>
      </c>
      <c r="N95" s="0">
        <v>0</v>
      </c>
      <c r="O95" s="0">
        <v>0</v>
      </c>
      <c r="P95" s="0">
        <v>-22.5</v>
      </c>
      <c r="R95" s="0" t="b">
        <v>0</v>
      </c>
      <c r="S95" s="0" t="b">
        <v>1</v>
      </c>
      <c r="T95" s="68">
        <v>41137.5</v>
      </c>
      <c r="U95" s="68">
        <v>41168.5416666667</v>
      </c>
      <c r="V95" s="68">
        <v>0</v>
      </c>
      <c r="W95" s="0">
        <f>IF(IF(B95="none",1,IF(B95="Trialer",1,0))+IF(C95="Customer",1,IF(C95="Lost",1,0))=2,1,0)</f>
      </c>
      <c r="X95" s="0" t="s">
        <v>145</v>
      </c>
      <c r="Y95" s="0" t="s">
        <v>235</v>
      </c>
      <c r="AV95" s="68"/>
      <c r="AW95" s="68"/>
      <c r="AY95" s="27"/>
      <c r="BD95" s="68">
        <v>46054.1666666667</v>
      </c>
      <c r="BE95" s="68">
        <v>46082.1666666667</v>
      </c>
      <c r="BF95" s="0" t="b">
        <v>0</v>
      </c>
      <c r="BG95" s="0" t="b">
        <v>0</v>
      </c>
      <c r="BH95" s="0">
        <v>25</v>
      </c>
      <c r="BI95" s="0">
        <v>25</v>
      </c>
      <c r="BJ95" s="0" t="s">
        <v>230</v>
      </c>
    </row>
    <row r="96">
      <c r="A96" s="0" t="s">
        <v>252</v>
      </c>
      <c r="B96" s="0" t="s">
        <v>134</v>
      </c>
      <c r="C96" s="0" t="s">
        <v>134</v>
      </c>
      <c r="D96" s="0" t="s">
        <v>230</v>
      </c>
      <c r="E96" s="0" t="s">
        <v>2</v>
      </c>
      <c r="F96" s="0" t="s">
        <v>10</v>
      </c>
      <c r="G96" s="0" t="s">
        <v>8</v>
      </c>
      <c r="H96" s="0">
        <v>4903</v>
      </c>
      <c r="I96" s="0">
        <v>36</v>
      </c>
      <c r="J96" s="0">
        <v>0</v>
      </c>
      <c r="K96" s="0">
        <v>1</v>
      </c>
      <c r="L96" s="0">
        <v>2</v>
      </c>
      <c r="M96" s="0">
        <v>1</v>
      </c>
      <c r="N96" s="0">
        <v>0</v>
      </c>
      <c r="O96" s="0">
        <v>0</v>
      </c>
      <c r="P96" s="0">
        <v>-36</v>
      </c>
      <c r="Q96" s="0" t="s">
        <v>217</v>
      </c>
      <c r="R96" s="0" t="b">
        <v>0</v>
      </c>
      <c r="S96" s="0" t="b">
        <v>1</v>
      </c>
      <c r="T96" s="68">
        <v>41150.5</v>
      </c>
      <c r="U96" s="68">
        <v>41181.5416666667</v>
      </c>
      <c r="V96" s="68">
        <v>0</v>
      </c>
      <c r="W96" s="0">
        <f>IF(IF(B96="none",1,IF(B96="Trialer",1,0))+IF(C96="Customer",1,IF(C96="Lost",1,0))=2,1,0)</f>
      </c>
      <c r="X96" s="0" t="s">
        <v>136</v>
      </c>
      <c r="Y96" s="0" t="s">
        <v>137</v>
      </c>
      <c r="AV96" s="68"/>
      <c r="AW96" s="68"/>
      <c r="AY96" s="27"/>
      <c r="BD96" s="68">
        <v>46054.1666666667</v>
      </c>
      <c r="BE96" s="68">
        <v>46082.1666666667</v>
      </c>
      <c r="BF96" s="0" t="b">
        <v>0</v>
      </c>
      <c r="BG96" s="0" t="b">
        <v>0</v>
      </c>
      <c r="BH96" s="0">
        <v>40</v>
      </c>
      <c r="BI96" s="0">
        <v>40</v>
      </c>
      <c r="BJ96" s="0" t="s">
        <v>230</v>
      </c>
    </row>
    <row r="97">
      <c r="A97" s="0" t="s">
        <v>253</v>
      </c>
      <c r="B97" s="0" t="s">
        <v>134</v>
      </c>
      <c r="C97" s="0" t="s">
        <v>134</v>
      </c>
      <c r="D97" s="0" t="s">
        <v>135</v>
      </c>
      <c r="E97" s="0" t="s">
        <v>3</v>
      </c>
      <c r="F97" s="0" t="s">
        <v>12</v>
      </c>
      <c r="G97" s="0" t="s">
        <v>7</v>
      </c>
      <c r="H97" s="0">
        <v>4895</v>
      </c>
      <c r="I97" s="0">
        <v>40</v>
      </c>
      <c r="J97" s="0">
        <v>0</v>
      </c>
      <c r="K97" s="0">
        <v>1</v>
      </c>
      <c r="L97" s="0">
        <v>1</v>
      </c>
      <c r="M97" s="0">
        <v>1</v>
      </c>
      <c r="N97" s="0">
        <v>0</v>
      </c>
      <c r="O97" s="0">
        <v>0</v>
      </c>
      <c r="P97" s="0">
        <v>0</v>
      </c>
      <c r="R97" s="0" t="b">
        <v>0</v>
      </c>
      <c r="S97" s="0" t="b">
        <v>1</v>
      </c>
      <c r="T97" s="68">
        <v>41158.7493634259</v>
      </c>
      <c r="U97" s="68">
        <v>41188.5416666667</v>
      </c>
      <c r="V97" s="68">
        <v>0</v>
      </c>
      <c r="W97" s="0">
        <f>IF(IF(B97="none",1,IF(B97="Trialer",1,0))+IF(C97="Customer",1,IF(C97="Lost",1,0))=2,1,0)</f>
      </c>
      <c r="X97" s="0" t="s">
        <v>166</v>
      </c>
      <c r="Y97" s="0" t="s">
        <v>213</v>
      </c>
      <c r="AV97" s="68"/>
      <c r="AW97" s="68"/>
      <c r="AY97" s="27"/>
      <c r="BD97" s="68">
        <v>46054.1666666667</v>
      </c>
      <c r="BE97" s="68">
        <v>46082.1666666667</v>
      </c>
      <c r="BF97" s="0" t="b">
        <v>0</v>
      </c>
      <c r="BG97" s="0" t="b">
        <v>0</v>
      </c>
      <c r="BH97" s="0">
        <v>40</v>
      </c>
      <c r="BI97" s="0">
        <v>40</v>
      </c>
      <c r="BJ97" s="0" t="s">
        <v>135</v>
      </c>
    </row>
    <row r="98">
      <c r="A98" s="0" t="s">
        <v>254</v>
      </c>
      <c r="B98" s="0" t="s">
        <v>134</v>
      </c>
      <c r="C98" s="0" t="s">
        <v>134</v>
      </c>
      <c r="D98" s="0" t="s">
        <v>135</v>
      </c>
      <c r="E98" s="0" t="s">
        <v>2</v>
      </c>
      <c r="F98" s="0" t="s">
        <v>12</v>
      </c>
      <c r="G98" s="0" t="s">
        <v>7</v>
      </c>
      <c r="H98" s="0">
        <v>4894</v>
      </c>
      <c r="I98" s="0">
        <v>40</v>
      </c>
      <c r="J98" s="0">
        <v>0</v>
      </c>
      <c r="K98" s="0">
        <v>1</v>
      </c>
      <c r="L98" s="0">
        <v>1</v>
      </c>
      <c r="M98" s="0">
        <v>1</v>
      </c>
      <c r="N98" s="0">
        <v>0</v>
      </c>
      <c r="O98" s="0">
        <v>0</v>
      </c>
      <c r="P98" s="0">
        <v>0</v>
      </c>
      <c r="R98" s="0" t="b">
        <v>0</v>
      </c>
      <c r="S98" s="0" t="b">
        <v>1</v>
      </c>
      <c r="T98" s="68">
        <v>41159.6997685185</v>
      </c>
      <c r="U98" s="68">
        <v>41189.5416666667</v>
      </c>
      <c r="V98" s="68">
        <v>0</v>
      </c>
      <c r="W98" s="0">
        <f>IF(IF(B98="none",1,IF(B98="Trialer",1,0))+IF(C98="Customer",1,IF(C98="Lost",1,0))=2,1,0)</f>
      </c>
      <c r="X98" s="0" t="s">
        <v>166</v>
      </c>
      <c r="Y98" s="0" t="s">
        <v>137</v>
      </c>
      <c r="AV98" s="68"/>
      <c r="AW98" s="68"/>
      <c r="AY98" s="27"/>
      <c r="BD98" s="68">
        <v>46054.1666666667</v>
      </c>
      <c r="BE98" s="68">
        <v>46082.1666666667</v>
      </c>
      <c r="BF98" s="0" t="b">
        <v>0</v>
      </c>
      <c r="BG98" s="0" t="b">
        <v>0</v>
      </c>
      <c r="BH98" s="0">
        <v>40</v>
      </c>
      <c r="BI98" s="0">
        <v>40</v>
      </c>
      <c r="BJ98" s="0" t="s">
        <v>135</v>
      </c>
    </row>
    <row r="99">
      <c r="A99" s="0" t="s">
        <v>255</v>
      </c>
      <c r="B99" s="0" t="s">
        <v>134</v>
      </c>
      <c r="C99" s="0" t="s">
        <v>134</v>
      </c>
      <c r="D99" s="0" t="s">
        <v>230</v>
      </c>
      <c r="E99" s="0" t="s">
        <v>3</v>
      </c>
      <c r="F99" s="0" t="s">
        <v>12</v>
      </c>
      <c r="G99" s="0" t="s">
        <v>8</v>
      </c>
      <c r="H99" s="0">
        <v>4891</v>
      </c>
      <c r="I99" s="0">
        <v>531</v>
      </c>
      <c r="J99" s="0">
        <v>0</v>
      </c>
      <c r="K99" s="0">
        <v>1</v>
      </c>
      <c r="L99" s="0">
        <v>4</v>
      </c>
      <c r="M99" s="0">
        <v>14</v>
      </c>
      <c r="N99" s="0">
        <v>0</v>
      </c>
      <c r="O99" s="0">
        <v>0</v>
      </c>
      <c r="P99" s="0">
        <v>-531</v>
      </c>
      <c r="R99" s="0" t="b">
        <v>0</v>
      </c>
      <c r="S99" s="0" t="b">
        <v>1</v>
      </c>
      <c r="T99" s="68">
        <v>41162.8875</v>
      </c>
      <c r="U99" s="68">
        <v>41192.5416666667</v>
      </c>
      <c r="V99" s="68">
        <v>0</v>
      </c>
      <c r="W99" s="0">
        <f>IF(IF(B99="none",1,IF(B99="Trialer",1,0))+IF(C99="Customer",1,IF(C99="Lost",1,0))=2,1,0)</f>
      </c>
      <c r="X99" s="0" t="s">
        <v>136</v>
      </c>
      <c r="Y99" s="0" t="s">
        <v>213</v>
      </c>
      <c r="AV99" s="68"/>
      <c r="AW99" s="68"/>
      <c r="AY99" s="27"/>
      <c r="BD99" s="68">
        <v>46054.1666666667</v>
      </c>
      <c r="BE99" s="68">
        <v>46082.1666666667</v>
      </c>
      <c r="BF99" s="0" t="b">
        <v>0</v>
      </c>
      <c r="BG99" s="0" t="b">
        <v>0</v>
      </c>
      <c r="BH99" s="0">
        <v>590</v>
      </c>
      <c r="BI99" s="0">
        <v>590</v>
      </c>
      <c r="BJ99" s="0" t="s">
        <v>230</v>
      </c>
    </row>
    <row r="100">
      <c r="A100" s="0" t="s">
        <v>256</v>
      </c>
      <c r="B100" s="0" t="s">
        <v>134</v>
      </c>
      <c r="C100" s="0" t="s">
        <v>134</v>
      </c>
      <c r="D100" s="0" t="s">
        <v>135</v>
      </c>
      <c r="E100" s="0" t="s">
        <v>2</v>
      </c>
      <c r="F100" s="0" t="s">
        <v>12</v>
      </c>
      <c r="G100" s="0" t="s">
        <v>7</v>
      </c>
      <c r="H100" s="0">
        <v>4888</v>
      </c>
      <c r="I100" s="0">
        <v>80</v>
      </c>
      <c r="J100" s="0">
        <v>0</v>
      </c>
      <c r="K100" s="0">
        <v>1</v>
      </c>
      <c r="L100" s="0">
        <v>1</v>
      </c>
      <c r="M100" s="0">
        <v>2</v>
      </c>
      <c r="N100" s="0">
        <v>0</v>
      </c>
      <c r="O100" s="0">
        <v>0</v>
      </c>
      <c r="P100" s="0">
        <v>0</v>
      </c>
      <c r="R100" s="0" t="b">
        <v>0</v>
      </c>
      <c r="S100" s="0" t="b">
        <v>1</v>
      </c>
      <c r="T100" s="68">
        <v>41165.5415740741</v>
      </c>
      <c r="U100" s="68">
        <v>41195.5416666667</v>
      </c>
      <c r="V100" s="68">
        <v>0</v>
      </c>
      <c r="W100" s="0">
        <f>IF(IF(B100="none",1,IF(B100="Trialer",1,0))+IF(C100="Customer",1,IF(C100="Lost",1,0))=2,1,0)</f>
      </c>
      <c r="X100" s="0" t="s">
        <v>166</v>
      </c>
      <c r="Y100" s="0" t="s">
        <v>137</v>
      </c>
      <c r="AV100" s="68"/>
      <c r="AW100" s="68"/>
      <c r="AY100" s="27"/>
      <c r="BD100" s="68">
        <v>46054.1666666667</v>
      </c>
      <c r="BE100" s="68">
        <v>46082.1666666667</v>
      </c>
      <c r="BF100" s="0" t="b">
        <v>0</v>
      </c>
      <c r="BG100" s="0" t="b">
        <v>0</v>
      </c>
      <c r="BH100" s="0">
        <v>80</v>
      </c>
      <c r="BI100" s="0">
        <v>80</v>
      </c>
      <c r="BJ100" s="0" t="s">
        <v>135</v>
      </c>
    </row>
    <row r="101">
      <c r="A101" s="0" t="s">
        <v>257</v>
      </c>
      <c r="B101" s="0" t="s">
        <v>134</v>
      </c>
      <c r="C101" s="0" t="s">
        <v>134</v>
      </c>
      <c r="D101" s="0" t="s">
        <v>135</v>
      </c>
      <c r="E101" s="0" t="s">
        <v>2</v>
      </c>
      <c r="F101" s="0" t="s">
        <v>12</v>
      </c>
      <c r="G101" s="0" t="s">
        <v>8</v>
      </c>
      <c r="H101" s="0">
        <v>4880</v>
      </c>
      <c r="I101" s="0">
        <v>74</v>
      </c>
      <c r="J101" s="0">
        <v>0</v>
      </c>
      <c r="K101" s="0">
        <v>1</v>
      </c>
      <c r="L101" s="0">
        <v>2</v>
      </c>
      <c r="M101" s="0">
        <v>2</v>
      </c>
      <c r="N101" s="0">
        <v>0</v>
      </c>
      <c r="O101" s="0">
        <v>0</v>
      </c>
      <c r="P101" s="0">
        <v>0</v>
      </c>
      <c r="R101" s="0" t="b">
        <v>0</v>
      </c>
      <c r="S101" s="0" t="b">
        <v>1</v>
      </c>
      <c r="T101" s="68">
        <v>41173.5</v>
      </c>
      <c r="U101" s="68">
        <v>41203.5416666667</v>
      </c>
      <c r="V101" s="68">
        <v>0</v>
      </c>
      <c r="W101" s="0">
        <f>IF(IF(B101="none",1,IF(B101="Trialer",1,0))+IF(C101="Customer",1,IF(C101="Lost",1,0))=2,1,0)</f>
      </c>
      <c r="X101" s="0" t="s">
        <v>142</v>
      </c>
      <c r="Y101" s="0" t="s">
        <v>235</v>
      </c>
      <c r="AV101" s="68"/>
      <c r="AW101" s="68"/>
      <c r="AY101" s="27"/>
      <c r="BD101" s="68">
        <v>46054.1666666667</v>
      </c>
      <c r="BE101" s="68">
        <v>46082.1666666667</v>
      </c>
      <c r="BF101" s="0" t="b">
        <v>0</v>
      </c>
      <c r="BG101" s="0" t="b">
        <v>0</v>
      </c>
      <c r="BH101" s="0">
        <v>74</v>
      </c>
      <c r="BI101" s="0">
        <v>74</v>
      </c>
      <c r="BJ101" s="0" t="s">
        <v>135</v>
      </c>
    </row>
    <row r="102">
      <c r="A102" s="0" t="s">
        <v>258</v>
      </c>
      <c r="B102" s="0" t="s">
        <v>134</v>
      </c>
      <c r="C102" s="0" t="s">
        <v>134</v>
      </c>
      <c r="D102" s="0" t="s">
        <v>230</v>
      </c>
      <c r="E102" s="0" t="s">
        <v>3</v>
      </c>
      <c r="F102" s="0" t="s">
        <v>12</v>
      </c>
      <c r="G102" s="0" t="s">
        <v>7</v>
      </c>
      <c r="H102" s="0">
        <v>4864</v>
      </c>
      <c r="I102" s="0">
        <v>22.5</v>
      </c>
      <c r="J102" s="0">
        <v>0</v>
      </c>
      <c r="K102" s="0">
        <v>1</v>
      </c>
      <c r="L102" s="0">
        <v>1</v>
      </c>
      <c r="M102" s="0">
        <v>1</v>
      </c>
      <c r="N102" s="0">
        <v>0</v>
      </c>
      <c r="O102" s="0">
        <v>0</v>
      </c>
      <c r="P102" s="0">
        <v>-22.5</v>
      </c>
      <c r="R102" s="0" t="b">
        <v>0</v>
      </c>
      <c r="S102" s="0" t="b">
        <v>1</v>
      </c>
      <c r="T102" s="68">
        <v>41189.7884259259</v>
      </c>
      <c r="U102" s="68">
        <v>41220.5</v>
      </c>
      <c r="V102" s="68">
        <v>0</v>
      </c>
      <c r="W102" s="0">
        <f>IF(IF(B102="none",1,IF(B102="Trialer",1,0))+IF(C102="Customer",1,IF(C102="Lost",1,0))=2,1,0)</f>
      </c>
      <c r="X102" s="0" t="s">
        <v>142</v>
      </c>
      <c r="Y102" s="0" t="s">
        <v>219</v>
      </c>
      <c r="AV102" s="68"/>
      <c r="AW102" s="68"/>
      <c r="AY102" s="27"/>
      <c r="BD102" s="68">
        <v>46054.1666666667</v>
      </c>
      <c r="BE102" s="68">
        <v>46082.1666666667</v>
      </c>
      <c r="BF102" s="0" t="b">
        <v>0</v>
      </c>
      <c r="BG102" s="0" t="b">
        <v>0</v>
      </c>
      <c r="BH102" s="0">
        <v>25</v>
      </c>
      <c r="BI102" s="0">
        <v>25</v>
      </c>
      <c r="BJ102" s="0" t="s">
        <v>230</v>
      </c>
    </row>
    <row r="103">
      <c r="A103" s="0" t="s">
        <v>259</v>
      </c>
      <c r="B103" s="0" t="s">
        <v>134</v>
      </c>
      <c r="C103" s="0" t="s">
        <v>134</v>
      </c>
      <c r="D103" s="0" t="s">
        <v>135</v>
      </c>
      <c r="E103" s="0" t="s">
        <v>3</v>
      </c>
      <c r="F103" s="0" t="s">
        <v>12</v>
      </c>
      <c r="G103" s="0" t="s">
        <v>7</v>
      </c>
      <c r="H103" s="0">
        <v>4863</v>
      </c>
      <c r="I103" s="0">
        <v>605</v>
      </c>
      <c r="J103" s="0">
        <v>0</v>
      </c>
      <c r="K103" s="0">
        <v>1</v>
      </c>
      <c r="L103" s="0">
        <v>1</v>
      </c>
      <c r="M103" s="0">
        <v>7</v>
      </c>
      <c r="N103" s="0">
        <v>418.5</v>
      </c>
      <c r="O103" s="0">
        <v>0</v>
      </c>
      <c r="P103" s="0">
        <v>0</v>
      </c>
      <c r="R103" s="0" t="b">
        <v>0</v>
      </c>
      <c r="S103" s="0" t="b">
        <v>1</v>
      </c>
      <c r="T103" s="68">
        <v>41190.06875</v>
      </c>
      <c r="U103" s="68">
        <v>41221.5</v>
      </c>
      <c r="V103" s="68">
        <v>0</v>
      </c>
      <c r="W103" s="0">
        <f>IF(IF(B103="none",1,IF(B103="Trialer",1,0))+IF(C103="Customer",1,IF(C103="Lost",1,0))=2,1,0)</f>
      </c>
      <c r="X103" s="0" t="s">
        <v>148</v>
      </c>
      <c r="Y103" s="0" t="s">
        <v>213</v>
      </c>
      <c r="AV103" s="68"/>
      <c r="AW103" s="68"/>
      <c r="AY103" s="27"/>
      <c r="BD103" s="68">
        <v>46054.1666666667</v>
      </c>
      <c r="BE103" s="68">
        <v>46082.1666666667</v>
      </c>
      <c r="BF103" s="0" t="b">
        <v>0</v>
      </c>
      <c r="BG103" s="0" t="b">
        <v>0</v>
      </c>
      <c r="BH103" s="0">
        <v>280</v>
      </c>
      <c r="BI103" s="0">
        <v>280</v>
      </c>
      <c r="BJ103" s="0" t="s">
        <v>135</v>
      </c>
    </row>
    <row r="104">
      <c r="A104" s="0" t="s">
        <v>260</v>
      </c>
      <c r="B104" s="0" t="s">
        <v>134</v>
      </c>
      <c r="C104" s="0" t="s">
        <v>134</v>
      </c>
      <c r="D104" s="0" t="s">
        <v>135</v>
      </c>
      <c r="E104" s="0" t="s">
        <v>2</v>
      </c>
      <c r="F104" s="0" t="s">
        <v>12</v>
      </c>
      <c r="G104" s="0" t="s">
        <v>7</v>
      </c>
      <c r="H104" s="0">
        <v>4854</v>
      </c>
      <c r="I104" s="0">
        <v>0</v>
      </c>
      <c r="J104" s="0">
        <v>0</v>
      </c>
      <c r="K104" s="0">
        <v>1</v>
      </c>
      <c r="L104" s="0">
        <v>1</v>
      </c>
      <c r="M104" s="0">
        <v>1</v>
      </c>
      <c r="N104" s="0">
        <v>0</v>
      </c>
      <c r="O104" s="0">
        <v>0</v>
      </c>
      <c r="P104" s="0">
        <v>0</v>
      </c>
      <c r="R104" s="0" t="b">
        <v>0</v>
      </c>
      <c r="S104" s="0" t="b">
        <v>1</v>
      </c>
      <c r="T104" s="68">
        <v>41199.5</v>
      </c>
      <c r="U104" s="68">
        <v>41260.5</v>
      </c>
      <c r="V104" s="68">
        <v>0</v>
      </c>
      <c r="W104" s="0">
        <f>IF(IF(B104="none",1,IF(B104="Trialer",1,0))+IF(C104="Customer",1,IF(C104="Lost",1,0))=2,1,0)</f>
      </c>
      <c r="X104" s="0" t="s">
        <v>153</v>
      </c>
      <c r="Y104" s="0" t="s">
        <v>137</v>
      </c>
      <c r="AV104" s="68"/>
      <c r="AW104" s="68"/>
      <c r="AY104" s="27"/>
      <c r="BD104" s="68">
        <v>46054.1666666667</v>
      </c>
      <c r="BE104" s="68">
        <v>46082.1666666667</v>
      </c>
      <c r="BF104" s="0" t="b">
        <v>0</v>
      </c>
      <c r="BG104" s="0" t="b">
        <v>0</v>
      </c>
      <c r="BH104" s="0">
        <v>0</v>
      </c>
      <c r="BI104" s="0">
        <v>0</v>
      </c>
      <c r="BJ104" s="0" t="s">
        <v>135</v>
      </c>
    </row>
    <row r="105">
      <c r="A105" s="0" t="s">
        <v>261</v>
      </c>
      <c r="B105" s="0" t="s">
        <v>134</v>
      </c>
      <c r="C105" s="0" t="s">
        <v>134</v>
      </c>
      <c r="D105" s="0" t="s">
        <v>135</v>
      </c>
      <c r="E105" s="0" t="s">
        <v>2</v>
      </c>
      <c r="F105" s="0" t="s">
        <v>10</v>
      </c>
      <c r="G105" s="0" t="s">
        <v>7</v>
      </c>
      <c r="H105" s="0">
        <v>4845</v>
      </c>
      <c r="I105" s="0">
        <v>32</v>
      </c>
      <c r="J105" s="0">
        <v>0</v>
      </c>
      <c r="K105" s="0">
        <v>1</v>
      </c>
      <c r="L105" s="0">
        <v>1</v>
      </c>
      <c r="M105" s="0">
        <v>1</v>
      </c>
      <c r="N105" s="0">
        <v>0</v>
      </c>
      <c r="O105" s="0">
        <v>0</v>
      </c>
      <c r="P105" s="0">
        <v>0</v>
      </c>
      <c r="Q105" s="0" t="s">
        <v>262</v>
      </c>
      <c r="R105" s="0" t="b">
        <v>0</v>
      </c>
      <c r="S105" s="0" t="b">
        <v>1</v>
      </c>
      <c r="T105" s="68">
        <v>41208.5</v>
      </c>
      <c r="U105" s="68">
        <v>41239.5</v>
      </c>
      <c r="V105" s="68">
        <v>0</v>
      </c>
      <c r="W105" s="0">
        <f>IF(IF(B105="none",1,IF(B105="Trialer",1,0))+IF(C105="Customer",1,IF(C105="Lost",1,0))=2,1,0)</f>
      </c>
      <c r="X105" s="0" t="s">
        <v>148</v>
      </c>
      <c r="Y105" s="0" t="s">
        <v>137</v>
      </c>
      <c r="AV105" s="68"/>
      <c r="AW105" s="68"/>
      <c r="AY105" s="27"/>
      <c r="BD105" s="68">
        <v>46054.1666666667</v>
      </c>
      <c r="BE105" s="68">
        <v>46082.1666666667</v>
      </c>
      <c r="BF105" s="0" t="b">
        <v>0</v>
      </c>
      <c r="BG105" s="0" t="b">
        <v>0</v>
      </c>
      <c r="BH105" s="0">
        <v>32</v>
      </c>
      <c r="BI105" s="0">
        <v>32</v>
      </c>
      <c r="BJ105" s="0" t="s">
        <v>135</v>
      </c>
    </row>
    <row r="106">
      <c r="A106" s="0" t="s">
        <v>263</v>
      </c>
      <c r="B106" s="0" t="s">
        <v>134</v>
      </c>
      <c r="C106" s="0" t="s">
        <v>134</v>
      </c>
      <c r="D106" s="0" t="s">
        <v>135</v>
      </c>
      <c r="E106" s="0" t="s">
        <v>3</v>
      </c>
      <c r="F106" s="0" t="s">
        <v>12</v>
      </c>
      <c r="G106" s="0" t="s">
        <v>7</v>
      </c>
      <c r="H106" s="0">
        <v>4835</v>
      </c>
      <c r="I106" s="0">
        <v>40</v>
      </c>
      <c r="J106" s="0">
        <v>0</v>
      </c>
      <c r="K106" s="0">
        <v>1</v>
      </c>
      <c r="L106" s="0">
        <v>1</v>
      </c>
      <c r="M106" s="0">
        <v>1</v>
      </c>
      <c r="N106" s="0">
        <v>0</v>
      </c>
      <c r="O106" s="0">
        <v>0</v>
      </c>
      <c r="P106" s="0">
        <v>0</v>
      </c>
      <c r="R106" s="0" t="b">
        <v>0</v>
      </c>
      <c r="S106" s="0" t="b">
        <v>1</v>
      </c>
      <c r="T106" s="68">
        <v>41218.5</v>
      </c>
      <c r="U106" s="68">
        <v>41248.5</v>
      </c>
      <c r="V106" s="68">
        <v>0</v>
      </c>
      <c r="W106" s="0">
        <f>IF(IF(B106="none",1,IF(B106="Trialer",1,0))+IF(C106="Customer",1,IF(C106="Lost",1,0))=2,1,0)</f>
      </c>
      <c r="X106" s="0" t="s">
        <v>142</v>
      </c>
      <c r="Y106" s="0" t="s">
        <v>213</v>
      </c>
      <c r="AV106" s="68"/>
      <c r="AW106" s="68"/>
      <c r="AY106" s="27"/>
      <c r="BD106" s="68">
        <v>46054.1666666667</v>
      </c>
      <c r="BE106" s="68">
        <v>46082.1666666667</v>
      </c>
      <c r="BF106" s="0" t="b">
        <v>0</v>
      </c>
      <c r="BG106" s="0" t="b">
        <v>0</v>
      </c>
      <c r="BH106" s="0">
        <v>40</v>
      </c>
      <c r="BI106" s="0">
        <v>40</v>
      </c>
      <c r="BJ106" s="0" t="s">
        <v>135</v>
      </c>
    </row>
    <row r="107">
      <c r="A107" s="0" t="s">
        <v>264</v>
      </c>
      <c r="B107" s="0" t="s">
        <v>134</v>
      </c>
      <c r="C107" s="0" t="s">
        <v>134</v>
      </c>
      <c r="D107" s="0" t="s">
        <v>135</v>
      </c>
      <c r="E107" s="0" t="s">
        <v>2</v>
      </c>
      <c r="F107" s="0" t="s">
        <v>12</v>
      </c>
      <c r="G107" s="0" t="s">
        <v>7</v>
      </c>
      <c r="H107" s="0">
        <v>4834</v>
      </c>
      <c r="I107" s="0">
        <v>160</v>
      </c>
      <c r="J107" s="0">
        <v>0</v>
      </c>
      <c r="K107" s="0">
        <v>1</v>
      </c>
      <c r="L107" s="0">
        <v>1</v>
      </c>
      <c r="M107" s="0">
        <v>4</v>
      </c>
      <c r="N107" s="0">
        <v>0</v>
      </c>
      <c r="O107" s="0">
        <v>0</v>
      </c>
      <c r="P107" s="0">
        <v>0</v>
      </c>
      <c r="R107" s="0" t="b">
        <v>0</v>
      </c>
      <c r="S107" s="0" t="b">
        <v>0</v>
      </c>
      <c r="T107" s="68">
        <v>41219.5</v>
      </c>
      <c r="U107" s="68">
        <v>41249.5</v>
      </c>
      <c r="V107" s="68">
        <v>46094.5003240741</v>
      </c>
      <c r="W107" s="0">
        <f>IF(IF(B107="none",1,IF(B107="Trialer",1,0))+IF(C107="Customer",1,IF(C107="Lost",1,0))=2,1,0)</f>
      </c>
      <c r="X107" s="0" t="s">
        <v>145</v>
      </c>
      <c r="Y107" s="0" t="s">
        <v>137</v>
      </c>
      <c r="AV107" s="68"/>
      <c r="AW107" s="68"/>
      <c r="AY107" s="27"/>
      <c r="BD107" s="68">
        <v>46054.1666666667</v>
      </c>
      <c r="BE107" s="68">
        <v>46082.1666666667</v>
      </c>
      <c r="BF107" s="0" t="b">
        <v>0</v>
      </c>
      <c r="BG107" s="0" t="b">
        <v>0</v>
      </c>
      <c r="BH107" s="0">
        <v>160</v>
      </c>
      <c r="BI107" s="0">
        <v>160</v>
      </c>
      <c r="BJ107" s="0" t="s">
        <v>135</v>
      </c>
    </row>
    <row r="108">
      <c r="A108" s="0" t="s">
        <v>265</v>
      </c>
      <c r="B108" s="0" t="s">
        <v>134</v>
      </c>
      <c r="C108" s="0" t="s">
        <v>134</v>
      </c>
      <c r="D108" s="0" t="s">
        <v>135</v>
      </c>
      <c r="E108" s="0" t="s">
        <v>2</v>
      </c>
      <c r="F108" s="0" t="s">
        <v>10</v>
      </c>
      <c r="G108" s="0" t="s">
        <v>7</v>
      </c>
      <c r="H108" s="0">
        <v>4834</v>
      </c>
      <c r="I108" s="0">
        <v>150</v>
      </c>
      <c r="J108" s="0">
        <v>0</v>
      </c>
      <c r="K108" s="0">
        <v>1</v>
      </c>
      <c r="L108" s="0">
        <v>1</v>
      </c>
      <c r="M108" s="0">
        <v>6</v>
      </c>
      <c r="N108" s="0">
        <v>0</v>
      </c>
      <c r="O108" s="0">
        <v>0</v>
      </c>
      <c r="P108" s="0">
        <v>0</v>
      </c>
      <c r="Q108" s="0" t="s">
        <v>266</v>
      </c>
      <c r="R108" s="0" t="b">
        <v>0</v>
      </c>
      <c r="S108" s="0" t="b">
        <v>1</v>
      </c>
      <c r="T108" s="68">
        <v>41219.5013888889</v>
      </c>
      <c r="U108" s="68">
        <v>41249.5</v>
      </c>
      <c r="V108" s="68">
        <v>0</v>
      </c>
      <c r="W108" s="0">
        <f>IF(IF(B108="none",1,IF(B108="Trialer",1,0))+IF(C108="Customer",1,IF(C108="Lost",1,0))=2,1,0)</f>
      </c>
      <c r="X108" s="0" t="s">
        <v>148</v>
      </c>
      <c r="Y108" s="0" t="s">
        <v>235</v>
      </c>
      <c r="AV108" s="68"/>
      <c r="AW108" s="68"/>
      <c r="AY108" s="27"/>
      <c r="BD108" s="68">
        <v>46054.1666666667</v>
      </c>
      <c r="BE108" s="68">
        <v>46082.1666666667</v>
      </c>
      <c r="BF108" s="0" t="b">
        <v>0</v>
      </c>
      <c r="BG108" s="0" t="b">
        <v>0</v>
      </c>
      <c r="BH108" s="0">
        <v>150</v>
      </c>
      <c r="BI108" s="0">
        <v>150</v>
      </c>
      <c r="BJ108" s="0" t="s">
        <v>135</v>
      </c>
    </row>
    <row r="109">
      <c r="A109" s="0" t="s">
        <v>267</v>
      </c>
      <c r="B109" s="0" t="s">
        <v>134</v>
      </c>
      <c r="C109" s="0" t="s">
        <v>134</v>
      </c>
      <c r="D109" s="0" t="s">
        <v>135</v>
      </c>
      <c r="E109" s="0" t="s">
        <v>2</v>
      </c>
      <c r="F109" s="0" t="s">
        <v>12</v>
      </c>
      <c r="G109" s="0" t="s">
        <v>7</v>
      </c>
      <c r="H109" s="0">
        <v>4826</v>
      </c>
      <c r="I109" s="0">
        <v>0</v>
      </c>
      <c r="J109" s="0">
        <v>0</v>
      </c>
      <c r="K109" s="0">
        <v>1</v>
      </c>
      <c r="L109" s="0">
        <v>1</v>
      </c>
      <c r="M109" s="0">
        <v>1</v>
      </c>
      <c r="N109" s="0">
        <v>0</v>
      </c>
      <c r="O109" s="0">
        <v>0</v>
      </c>
      <c r="P109" s="0">
        <v>0</v>
      </c>
      <c r="R109" s="0" t="b">
        <v>0</v>
      </c>
      <c r="S109" s="0" t="b">
        <v>1</v>
      </c>
      <c r="T109" s="68">
        <v>41227.8625</v>
      </c>
      <c r="U109" s="68">
        <v>41227.5</v>
      </c>
      <c r="V109" s="68">
        <v>0</v>
      </c>
      <c r="W109" s="0">
        <f>IF(IF(B109="none",1,IF(B109="Trialer",1,0))+IF(C109="Customer",1,IF(C109="Lost",1,0))=2,1,0)</f>
      </c>
      <c r="X109" s="0" t="s">
        <v>148</v>
      </c>
      <c r="Y109" s="0" t="s">
        <v>137</v>
      </c>
      <c r="AV109" s="68"/>
      <c r="AW109" s="68"/>
      <c r="AY109" s="27"/>
      <c r="BD109" s="68">
        <v>46054.1666666667</v>
      </c>
      <c r="BE109" s="68">
        <v>46082.1666666667</v>
      </c>
      <c r="BF109" s="0" t="b">
        <v>0</v>
      </c>
      <c r="BG109" s="0" t="b">
        <v>0</v>
      </c>
      <c r="BH109" s="0">
        <v>0</v>
      </c>
      <c r="BI109" s="0">
        <v>0</v>
      </c>
      <c r="BJ109" s="0" t="s">
        <v>135</v>
      </c>
    </row>
    <row r="110">
      <c r="A110" s="0" t="s">
        <v>268</v>
      </c>
      <c r="B110" s="0" t="s">
        <v>134</v>
      </c>
      <c r="C110" s="0" t="s">
        <v>134</v>
      </c>
      <c r="D110" s="0" t="s">
        <v>135</v>
      </c>
      <c r="E110" s="0" t="s">
        <v>2</v>
      </c>
      <c r="F110" s="0" t="s">
        <v>12</v>
      </c>
      <c r="G110" s="0" t="s">
        <v>8</v>
      </c>
      <c r="H110" s="0">
        <v>4824</v>
      </c>
      <c r="I110" s="0">
        <v>17.5</v>
      </c>
      <c r="J110" s="0">
        <v>0</v>
      </c>
      <c r="K110" s="0">
        <v>1</v>
      </c>
      <c r="L110" s="0">
        <v>2</v>
      </c>
      <c r="M110" s="0">
        <v>1</v>
      </c>
      <c r="N110" s="0">
        <v>0</v>
      </c>
      <c r="O110" s="0">
        <v>0</v>
      </c>
      <c r="P110" s="0">
        <v>0</v>
      </c>
      <c r="R110" s="0" t="b">
        <v>0</v>
      </c>
      <c r="S110" s="0" t="b">
        <v>1</v>
      </c>
      <c r="T110" s="68">
        <v>41229.5</v>
      </c>
      <c r="U110" s="68">
        <v>41292.5</v>
      </c>
      <c r="V110" s="68">
        <v>0</v>
      </c>
      <c r="W110" s="0">
        <f>IF(IF(B110="none",1,IF(B110="Trialer",1,0))+IF(C110="Customer",1,IF(C110="Lost",1,0))=2,1,0)</f>
      </c>
      <c r="X110" s="0" t="s">
        <v>153</v>
      </c>
      <c r="Y110" s="0" t="s">
        <v>235</v>
      </c>
      <c r="AV110" s="68"/>
      <c r="AW110" s="68"/>
      <c r="AY110" s="27"/>
      <c r="BD110" s="68">
        <v>46054.1666666667</v>
      </c>
      <c r="BE110" s="68">
        <v>46082.1666666667</v>
      </c>
      <c r="BF110" s="0" t="b">
        <v>0</v>
      </c>
      <c r="BG110" s="0" t="b">
        <v>0</v>
      </c>
      <c r="BH110" s="0">
        <v>17.5</v>
      </c>
      <c r="BI110" s="0">
        <v>17.5</v>
      </c>
      <c r="BJ110" s="0" t="s">
        <v>135</v>
      </c>
    </row>
    <row r="111">
      <c r="A111" s="0" t="s">
        <v>269</v>
      </c>
      <c r="B111" s="0" t="s">
        <v>134</v>
      </c>
      <c r="C111" s="0" t="s">
        <v>134</v>
      </c>
      <c r="D111" s="0" t="s">
        <v>135</v>
      </c>
      <c r="E111" s="0" t="s">
        <v>2</v>
      </c>
      <c r="F111" s="0" t="s">
        <v>12</v>
      </c>
      <c r="G111" s="0" t="s">
        <v>8</v>
      </c>
      <c r="H111" s="0">
        <v>4813</v>
      </c>
      <c r="I111" s="0">
        <v>0</v>
      </c>
      <c r="J111" s="0">
        <v>0</v>
      </c>
      <c r="K111" s="0">
        <v>1</v>
      </c>
      <c r="L111" s="0">
        <v>6</v>
      </c>
      <c r="M111" s="0">
        <v>2</v>
      </c>
      <c r="N111" s="0">
        <v>0</v>
      </c>
      <c r="O111" s="0">
        <v>0</v>
      </c>
      <c r="P111" s="0">
        <v>0</v>
      </c>
      <c r="R111" s="0" t="b">
        <v>0</v>
      </c>
      <c r="S111" s="0" t="b">
        <v>1</v>
      </c>
      <c r="T111" s="68">
        <v>41240.5</v>
      </c>
      <c r="U111" s="68">
        <v>41270.5</v>
      </c>
      <c r="V111" s="68">
        <v>0</v>
      </c>
      <c r="W111" s="0">
        <f>IF(IF(B111="none",1,IF(B111="Trialer",1,0))+IF(C111="Customer",1,IF(C111="Lost",1,0))=2,1,0)</f>
      </c>
      <c r="X111" s="0" t="s">
        <v>148</v>
      </c>
      <c r="Y111" s="0" t="s">
        <v>137</v>
      </c>
      <c r="AV111" s="68"/>
      <c r="AW111" s="68"/>
      <c r="AY111" s="27"/>
      <c r="BD111" s="68">
        <v>46054.1666666667</v>
      </c>
      <c r="BE111" s="68">
        <v>46082.1666666667</v>
      </c>
      <c r="BF111" s="0" t="b">
        <v>0</v>
      </c>
      <c r="BG111" s="0" t="b">
        <v>0</v>
      </c>
      <c r="BH111" s="0">
        <v>0</v>
      </c>
      <c r="BI111" s="0">
        <v>0</v>
      </c>
      <c r="BJ111" s="0" t="s">
        <v>135</v>
      </c>
    </row>
    <row r="112">
      <c r="A112" s="0" t="s">
        <v>270</v>
      </c>
      <c r="B112" s="0" t="s">
        <v>134</v>
      </c>
      <c r="C112" s="0" t="s">
        <v>134</v>
      </c>
      <c r="D112" s="0" t="s">
        <v>135</v>
      </c>
      <c r="E112" s="0" t="s">
        <v>2</v>
      </c>
      <c r="F112" s="0" t="s">
        <v>10</v>
      </c>
      <c r="G112" s="0" t="s">
        <v>7</v>
      </c>
      <c r="H112" s="0">
        <v>4812</v>
      </c>
      <c r="I112" s="0">
        <v>325</v>
      </c>
      <c r="J112" s="0">
        <v>0</v>
      </c>
      <c r="K112" s="0">
        <v>1</v>
      </c>
      <c r="L112" s="0">
        <v>1</v>
      </c>
      <c r="M112" s="0">
        <v>13</v>
      </c>
      <c r="N112" s="0">
        <v>0</v>
      </c>
      <c r="O112" s="0">
        <v>0</v>
      </c>
      <c r="P112" s="0">
        <v>0</v>
      </c>
      <c r="Q112" s="0" t="s">
        <v>217</v>
      </c>
      <c r="R112" s="0" t="b">
        <v>0</v>
      </c>
      <c r="S112" s="0" t="b">
        <v>1</v>
      </c>
      <c r="T112" s="68">
        <v>41241.5</v>
      </c>
      <c r="U112" s="68">
        <v>41271.5</v>
      </c>
      <c r="V112" s="68">
        <v>0</v>
      </c>
      <c r="W112" s="0">
        <f>IF(IF(B112="none",1,IF(B112="Trialer",1,0))+IF(C112="Customer",1,IF(C112="Lost",1,0))=2,1,0)</f>
      </c>
      <c r="X112" s="0" t="s">
        <v>136</v>
      </c>
      <c r="Y112" s="0" t="s">
        <v>235</v>
      </c>
      <c r="AV112" s="68"/>
      <c r="AW112" s="68"/>
      <c r="AY112" s="27"/>
      <c r="BD112" s="68">
        <v>46054.1666666667</v>
      </c>
      <c r="BE112" s="68">
        <v>46082.1666666667</v>
      </c>
      <c r="BF112" s="0" t="b">
        <v>0</v>
      </c>
      <c r="BG112" s="0" t="b">
        <v>0</v>
      </c>
      <c r="BH112" s="0">
        <v>325</v>
      </c>
      <c r="BI112" s="0">
        <v>325</v>
      </c>
      <c r="BJ112" s="0" t="s">
        <v>135</v>
      </c>
    </row>
    <row r="113">
      <c r="A113" s="0" t="s">
        <v>271</v>
      </c>
      <c r="B113" s="0" t="s">
        <v>134</v>
      </c>
      <c r="C113" s="0" t="s">
        <v>134</v>
      </c>
      <c r="D113" s="0" t="s">
        <v>135</v>
      </c>
      <c r="E113" s="0" t="s">
        <v>2</v>
      </c>
      <c r="F113" s="0" t="s">
        <v>12</v>
      </c>
      <c r="G113" s="0" t="s">
        <v>8</v>
      </c>
      <c r="H113" s="0">
        <v>4808</v>
      </c>
      <c r="I113" s="0">
        <v>0</v>
      </c>
      <c r="J113" s="0">
        <v>0</v>
      </c>
      <c r="K113" s="0">
        <v>1</v>
      </c>
      <c r="L113" s="0">
        <v>2</v>
      </c>
      <c r="M113" s="0">
        <v>2</v>
      </c>
      <c r="N113" s="0">
        <v>0</v>
      </c>
      <c r="O113" s="0">
        <v>0</v>
      </c>
      <c r="P113" s="0">
        <v>0</v>
      </c>
      <c r="R113" s="0" t="b">
        <v>0</v>
      </c>
      <c r="S113" s="0" t="b">
        <v>1</v>
      </c>
      <c r="T113" s="68">
        <v>41245.5</v>
      </c>
      <c r="U113" s="68">
        <v>41276.5</v>
      </c>
      <c r="V113" s="68">
        <v>0</v>
      </c>
      <c r="W113" s="0">
        <f>IF(IF(B113="none",1,IF(B113="Trialer",1,0))+IF(C113="Customer",1,IF(C113="Lost",1,0))=2,1,0)</f>
      </c>
      <c r="X113" s="0" t="s">
        <v>153</v>
      </c>
      <c r="Y113" s="0" t="s">
        <v>137</v>
      </c>
      <c r="AV113" s="68"/>
      <c r="AW113" s="68"/>
      <c r="AY113" s="27"/>
      <c r="BD113" s="68">
        <v>46054.1666666667</v>
      </c>
      <c r="BE113" s="68">
        <v>46082.1666666667</v>
      </c>
      <c r="BF113" s="0" t="b">
        <v>0</v>
      </c>
      <c r="BG113" s="0" t="b">
        <v>0</v>
      </c>
      <c r="BH113" s="0">
        <v>0</v>
      </c>
      <c r="BI113" s="0">
        <v>0</v>
      </c>
      <c r="BJ113" s="0" t="s">
        <v>135</v>
      </c>
    </row>
    <row r="114">
      <c r="A114" s="0" t="s">
        <v>272</v>
      </c>
      <c r="B114" s="0" t="s">
        <v>134</v>
      </c>
      <c r="C114" s="0" t="s">
        <v>134</v>
      </c>
      <c r="D114" s="0" t="s">
        <v>135</v>
      </c>
      <c r="E114" s="0" t="s">
        <v>2</v>
      </c>
      <c r="F114" s="0" t="s">
        <v>12</v>
      </c>
      <c r="G114" s="0" t="s">
        <v>8</v>
      </c>
      <c r="H114" s="0">
        <v>4800</v>
      </c>
      <c r="I114" s="0">
        <v>0</v>
      </c>
      <c r="J114" s="0">
        <v>0</v>
      </c>
      <c r="K114" s="0">
        <v>1</v>
      </c>
      <c r="L114" s="0">
        <v>3</v>
      </c>
      <c r="M114" s="0">
        <v>3</v>
      </c>
      <c r="N114" s="0">
        <v>0</v>
      </c>
      <c r="O114" s="0">
        <v>0</v>
      </c>
      <c r="P114" s="0">
        <v>0</v>
      </c>
      <c r="R114" s="0" t="b">
        <v>0</v>
      </c>
      <c r="S114" s="0" t="b">
        <v>1</v>
      </c>
      <c r="T114" s="68">
        <v>41253.5</v>
      </c>
      <c r="U114" s="68">
        <v>41343.5416666667</v>
      </c>
      <c r="V114" s="68">
        <v>0</v>
      </c>
      <c r="W114" s="0">
        <f>IF(IF(B114="none",1,IF(B114="Trialer",1,0))+IF(C114="Customer",1,IF(C114="Lost",1,0))=2,1,0)</f>
      </c>
      <c r="X114" s="0" t="s">
        <v>148</v>
      </c>
      <c r="Y114" s="0" t="s">
        <v>137</v>
      </c>
      <c r="AV114" s="68"/>
      <c r="AW114" s="68"/>
      <c r="AY114" s="27"/>
      <c r="BD114" s="68">
        <v>46054.1666666667</v>
      </c>
      <c r="BE114" s="68">
        <v>46082.1666666667</v>
      </c>
      <c r="BF114" s="0" t="b">
        <v>0</v>
      </c>
      <c r="BG114" s="0" t="b">
        <v>0</v>
      </c>
      <c r="BH114" s="0">
        <v>0</v>
      </c>
      <c r="BI114" s="0">
        <v>0</v>
      </c>
      <c r="BJ114" s="0" t="s">
        <v>135</v>
      </c>
    </row>
    <row r="115">
      <c r="A115" s="0" t="s">
        <v>273</v>
      </c>
      <c r="B115" s="0" t="s">
        <v>134</v>
      </c>
      <c r="C115" s="0" t="s">
        <v>134</v>
      </c>
      <c r="D115" s="0" t="s">
        <v>135</v>
      </c>
      <c r="E115" s="0" t="s">
        <v>2</v>
      </c>
      <c r="F115" s="0" t="s">
        <v>12</v>
      </c>
      <c r="G115" s="0" t="s">
        <v>7</v>
      </c>
      <c r="H115" s="0">
        <v>4774</v>
      </c>
      <c r="I115" s="0">
        <v>0</v>
      </c>
      <c r="J115" s="0">
        <v>0</v>
      </c>
      <c r="K115" s="0">
        <v>1</v>
      </c>
      <c r="L115" s="0">
        <v>1</v>
      </c>
      <c r="M115" s="0">
        <v>1</v>
      </c>
      <c r="N115" s="0">
        <v>0</v>
      </c>
      <c r="O115" s="0">
        <v>0</v>
      </c>
      <c r="P115" s="0">
        <v>0</v>
      </c>
      <c r="R115" s="0" t="b">
        <v>0</v>
      </c>
      <c r="S115" s="0" t="b">
        <v>1</v>
      </c>
      <c r="T115" s="68">
        <v>41279.5</v>
      </c>
      <c r="U115" s="68">
        <v>41948.5</v>
      </c>
      <c r="V115" s="68">
        <v>0</v>
      </c>
      <c r="W115" s="0">
        <f>IF(IF(B115="none",1,IF(B115="Trialer",1,0))+IF(C115="Customer",1,IF(C115="Lost",1,0))=2,1,0)</f>
      </c>
      <c r="X115" s="0" t="s">
        <v>166</v>
      </c>
      <c r="Y115" s="0" t="s">
        <v>137</v>
      </c>
      <c r="AV115" s="68"/>
      <c r="AW115" s="68"/>
      <c r="AY115" s="27"/>
      <c r="BD115" s="68">
        <v>46054.1666666667</v>
      </c>
      <c r="BE115" s="68">
        <v>46082.1666666667</v>
      </c>
      <c r="BF115" s="0" t="b">
        <v>0</v>
      </c>
      <c r="BG115" s="0" t="b">
        <v>0</v>
      </c>
      <c r="BH115" s="0">
        <v>0</v>
      </c>
      <c r="BI115" s="0">
        <v>0</v>
      </c>
      <c r="BJ115" s="0" t="s">
        <v>135</v>
      </c>
    </row>
    <row r="116">
      <c r="A116" s="0" t="s">
        <v>274</v>
      </c>
      <c r="B116" s="0" t="s">
        <v>134</v>
      </c>
      <c r="C116" s="0" t="s">
        <v>134</v>
      </c>
      <c r="D116" s="0" t="s">
        <v>230</v>
      </c>
      <c r="E116" s="0" t="s">
        <v>3</v>
      </c>
      <c r="F116" s="0" t="s">
        <v>12</v>
      </c>
      <c r="G116" s="0" t="s">
        <v>7</v>
      </c>
      <c r="H116" s="0">
        <v>4772</v>
      </c>
      <c r="I116" s="0">
        <v>45</v>
      </c>
      <c r="J116" s="0">
        <v>0</v>
      </c>
      <c r="K116" s="0">
        <v>1</v>
      </c>
      <c r="L116" s="0">
        <v>1</v>
      </c>
      <c r="M116" s="0">
        <v>2</v>
      </c>
      <c r="N116" s="0">
        <v>0</v>
      </c>
      <c r="O116" s="0">
        <v>0</v>
      </c>
      <c r="P116" s="0">
        <v>-45</v>
      </c>
      <c r="R116" s="0" t="b">
        <v>0</v>
      </c>
      <c r="S116" s="0" t="b">
        <v>1</v>
      </c>
      <c r="T116" s="68">
        <v>41281.6079976852</v>
      </c>
      <c r="U116" s="68">
        <v>41312.5</v>
      </c>
      <c r="V116" s="68">
        <v>0</v>
      </c>
      <c r="W116" s="0">
        <f>IF(IF(B116="none",1,IF(B116="Trialer",1,0))+IF(C116="Customer",1,IF(C116="Lost",1,0))=2,1,0)</f>
      </c>
      <c r="X116" s="0" t="s">
        <v>142</v>
      </c>
      <c r="Y116" s="0" t="s">
        <v>219</v>
      </c>
      <c r="AV116" s="68"/>
      <c r="AW116" s="68"/>
      <c r="AY116" s="27"/>
      <c r="BD116" s="68">
        <v>46054.1666666667</v>
      </c>
      <c r="BE116" s="68">
        <v>46082.1666666667</v>
      </c>
      <c r="BF116" s="0" t="b">
        <v>0</v>
      </c>
      <c r="BG116" s="0" t="b">
        <v>0</v>
      </c>
      <c r="BH116" s="0">
        <v>50</v>
      </c>
      <c r="BI116" s="0">
        <v>50</v>
      </c>
      <c r="BJ116" s="0" t="s">
        <v>230</v>
      </c>
    </row>
    <row r="117">
      <c r="A117" s="0" t="s">
        <v>275</v>
      </c>
      <c r="B117" s="0" t="s">
        <v>134</v>
      </c>
      <c r="C117" s="0" t="s">
        <v>134</v>
      </c>
      <c r="D117" s="0" t="s">
        <v>135</v>
      </c>
      <c r="E117" s="0" t="s">
        <v>2</v>
      </c>
      <c r="F117" s="0" t="s">
        <v>12</v>
      </c>
      <c r="G117" s="0" t="s">
        <v>8</v>
      </c>
      <c r="H117" s="0">
        <v>4762</v>
      </c>
      <c r="I117" s="0">
        <v>0</v>
      </c>
      <c r="J117" s="0">
        <v>0</v>
      </c>
      <c r="K117" s="0">
        <v>1</v>
      </c>
      <c r="L117" s="0">
        <v>3</v>
      </c>
      <c r="M117" s="0">
        <v>1</v>
      </c>
      <c r="N117" s="0">
        <v>0</v>
      </c>
      <c r="O117" s="0">
        <v>0</v>
      </c>
      <c r="P117" s="0">
        <v>0</v>
      </c>
      <c r="R117" s="0" t="b">
        <v>0</v>
      </c>
      <c r="S117" s="0" t="b">
        <v>1</v>
      </c>
      <c r="T117" s="68">
        <v>41291.5</v>
      </c>
      <c r="U117" s="68">
        <v>41322.5</v>
      </c>
      <c r="V117" s="68">
        <v>0</v>
      </c>
      <c r="W117" s="0">
        <f>IF(IF(B117="none",1,IF(B117="Trialer",1,0))+IF(C117="Customer",1,IF(C117="Lost",1,0))=2,1,0)</f>
      </c>
      <c r="X117" s="0" t="s">
        <v>136</v>
      </c>
      <c r="Y117" s="0" t="s">
        <v>137</v>
      </c>
      <c r="AV117" s="68"/>
      <c r="AW117" s="68"/>
      <c r="AY117" s="27"/>
      <c r="BD117" s="68">
        <v>46054.1666666667</v>
      </c>
      <c r="BE117" s="68">
        <v>46082.1666666667</v>
      </c>
      <c r="BF117" s="0" t="b">
        <v>0</v>
      </c>
      <c r="BG117" s="0" t="b">
        <v>0</v>
      </c>
      <c r="BH117" s="0">
        <v>0</v>
      </c>
      <c r="BI117" s="0">
        <v>0</v>
      </c>
      <c r="BJ117" s="0" t="s">
        <v>135</v>
      </c>
    </row>
    <row r="118">
      <c r="A118" s="0" t="s">
        <v>276</v>
      </c>
      <c r="B118" s="0" t="s">
        <v>134</v>
      </c>
      <c r="C118" s="0" t="s">
        <v>134</v>
      </c>
      <c r="D118" s="0" t="s">
        <v>135</v>
      </c>
      <c r="E118" s="0" t="s">
        <v>3</v>
      </c>
      <c r="F118" s="0" t="s">
        <v>12</v>
      </c>
      <c r="G118" s="0" t="s">
        <v>7</v>
      </c>
      <c r="H118" s="0">
        <v>4755</v>
      </c>
      <c r="I118" s="0">
        <v>40</v>
      </c>
      <c r="J118" s="0">
        <v>0</v>
      </c>
      <c r="K118" s="0">
        <v>1</v>
      </c>
      <c r="L118" s="0">
        <v>1</v>
      </c>
      <c r="M118" s="0">
        <v>1</v>
      </c>
      <c r="N118" s="0">
        <v>0</v>
      </c>
      <c r="O118" s="0">
        <v>0</v>
      </c>
      <c r="P118" s="0">
        <v>0</v>
      </c>
      <c r="R118" s="0" t="b">
        <v>0</v>
      </c>
      <c r="S118" s="0" t="b">
        <v>1</v>
      </c>
      <c r="T118" s="68">
        <v>41298.1416782407</v>
      </c>
      <c r="U118" s="68">
        <v>41329.5</v>
      </c>
      <c r="V118" s="68">
        <v>0</v>
      </c>
      <c r="W118" s="0">
        <f>IF(IF(B118="none",1,IF(B118="Trialer",1,0))+IF(C118="Customer",1,IF(C118="Lost",1,0))=2,1,0)</f>
      </c>
      <c r="X118" s="0" t="s">
        <v>142</v>
      </c>
      <c r="Y118" s="0" t="s">
        <v>213</v>
      </c>
      <c r="AV118" s="68"/>
      <c r="AW118" s="68"/>
      <c r="AY118" s="27"/>
      <c r="BD118" s="68">
        <v>46054.1666666667</v>
      </c>
      <c r="BE118" s="68">
        <v>46082.1666666667</v>
      </c>
      <c r="BF118" s="0" t="b">
        <v>0</v>
      </c>
      <c r="BG118" s="0" t="b">
        <v>0</v>
      </c>
      <c r="BH118" s="0">
        <v>40</v>
      </c>
      <c r="BI118" s="0">
        <v>40</v>
      </c>
      <c r="BJ118" s="0" t="s">
        <v>135</v>
      </c>
    </row>
    <row r="119">
      <c r="A119" s="0" t="s">
        <v>277</v>
      </c>
      <c r="B119" s="0" t="s">
        <v>134</v>
      </c>
      <c r="C119" s="0" t="s">
        <v>134</v>
      </c>
      <c r="D119" s="0" t="s">
        <v>230</v>
      </c>
      <c r="E119" s="0" t="s">
        <v>2</v>
      </c>
      <c r="F119" s="0" t="s">
        <v>12</v>
      </c>
      <c r="G119" s="0" t="s">
        <v>8</v>
      </c>
      <c r="H119" s="0">
        <v>4755</v>
      </c>
      <c r="I119" s="0">
        <v>670.6</v>
      </c>
      <c r="J119" s="0">
        <v>0</v>
      </c>
      <c r="K119" s="0">
        <v>1</v>
      </c>
      <c r="L119" s="0">
        <v>4</v>
      </c>
      <c r="M119" s="0">
        <v>6</v>
      </c>
      <c r="N119" s="0">
        <v>0</v>
      </c>
      <c r="O119" s="0">
        <v>0</v>
      </c>
      <c r="P119" s="0">
        <v>-345.6</v>
      </c>
      <c r="R119" s="0" t="b">
        <v>0</v>
      </c>
      <c r="S119" s="0" t="b">
        <v>1</v>
      </c>
      <c r="T119" s="68">
        <v>41298.5</v>
      </c>
      <c r="U119" s="68">
        <v>41330.5</v>
      </c>
      <c r="V119" s="68">
        <v>0</v>
      </c>
      <c r="W119" s="0">
        <f>IF(IF(B119="none",1,IF(B119="Trialer",1,0))+IF(C119="Customer",1,IF(C119="Lost",1,0))=2,1,0)</f>
      </c>
      <c r="X119" s="0" t="s">
        <v>148</v>
      </c>
      <c r="Y119" s="0" t="s">
        <v>137</v>
      </c>
      <c r="AV119" s="68"/>
      <c r="AW119" s="68"/>
      <c r="AY119" s="27"/>
      <c r="BD119" s="68">
        <v>46054.1666666667</v>
      </c>
      <c r="BE119" s="68">
        <v>46082.1666666667</v>
      </c>
      <c r="BF119" s="0" t="b">
        <v>0</v>
      </c>
      <c r="BG119" s="0" t="b">
        <v>0</v>
      </c>
      <c r="BH119" s="0">
        <v>384</v>
      </c>
      <c r="BI119" s="0">
        <v>384</v>
      </c>
      <c r="BJ119" s="0" t="s">
        <v>230</v>
      </c>
    </row>
    <row r="120">
      <c r="A120" s="0" t="s">
        <v>278</v>
      </c>
      <c r="B120" s="0" t="s">
        <v>134</v>
      </c>
      <c r="C120" s="0" t="s">
        <v>134</v>
      </c>
      <c r="D120" s="0" t="s">
        <v>135</v>
      </c>
      <c r="E120" s="0" t="s">
        <v>2</v>
      </c>
      <c r="F120" s="0" t="s">
        <v>12</v>
      </c>
      <c r="G120" s="0" t="s">
        <v>8</v>
      </c>
      <c r="H120" s="0">
        <v>4755</v>
      </c>
      <c r="I120" s="0">
        <v>25</v>
      </c>
      <c r="J120" s="0">
        <v>0</v>
      </c>
      <c r="K120" s="0">
        <v>1</v>
      </c>
      <c r="L120" s="0">
        <v>1</v>
      </c>
      <c r="M120" s="0">
        <v>1</v>
      </c>
      <c r="N120" s="0">
        <v>0</v>
      </c>
      <c r="O120" s="0">
        <v>0</v>
      </c>
      <c r="P120" s="0">
        <v>0</v>
      </c>
      <c r="R120" s="0" t="b">
        <v>0</v>
      </c>
      <c r="S120" s="0" t="b">
        <v>1</v>
      </c>
      <c r="T120" s="68">
        <v>41298.7597222222</v>
      </c>
      <c r="U120" s="68">
        <v>41329.5</v>
      </c>
      <c r="V120" s="68">
        <v>0</v>
      </c>
      <c r="W120" s="0">
        <f>IF(IF(B120="none",1,IF(B120="Trialer",1,0))+IF(C120="Customer",1,IF(C120="Lost",1,0))=2,1,0)</f>
      </c>
      <c r="X120" s="0" t="s">
        <v>142</v>
      </c>
      <c r="Y120" s="0" t="s">
        <v>235</v>
      </c>
      <c r="AV120" s="68"/>
      <c r="AW120" s="68"/>
      <c r="AY120" s="27"/>
      <c r="BD120" s="68">
        <v>46054.1666666667</v>
      </c>
      <c r="BE120" s="68">
        <v>46082.1666666667</v>
      </c>
      <c r="BF120" s="0" t="b">
        <v>0</v>
      </c>
      <c r="BG120" s="0" t="b">
        <v>0</v>
      </c>
      <c r="BH120" s="0">
        <v>25</v>
      </c>
      <c r="BI120" s="0">
        <v>25</v>
      </c>
      <c r="BJ120" s="0" t="s">
        <v>135</v>
      </c>
    </row>
    <row r="121">
      <c r="A121" s="0" t="s">
        <v>279</v>
      </c>
      <c r="B121" s="0" t="s">
        <v>134</v>
      </c>
      <c r="C121" s="0" t="s">
        <v>134</v>
      </c>
      <c r="D121" s="0" t="s">
        <v>135</v>
      </c>
      <c r="E121" s="0" t="s">
        <v>2</v>
      </c>
      <c r="F121" s="0" t="s">
        <v>12</v>
      </c>
      <c r="G121" s="0" t="s">
        <v>8</v>
      </c>
      <c r="H121" s="0">
        <v>4753</v>
      </c>
      <c r="I121" s="0">
        <v>0</v>
      </c>
      <c r="J121" s="0">
        <v>0</v>
      </c>
      <c r="K121" s="0">
        <v>1</v>
      </c>
      <c r="L121" s="0">
        <v>3</v>
      </c>
      <c r="M121" s="0">
        <v>1</v>
      </c>
      <c r="N121" s="0">
        <v>0</v>
      </c>
      <c r="O121" s="0">
        <v>0</v>
      </c>
      <c r="P121" s="0">
        <v>0</v>
      </c>
      <c r="R121" s="0" t="b">
        <v>0</v>
      </c>
      <c r="S121" s="0" t="b">
        <v>1</v>
      </c>
      <c r="T121" s="68">
        <v>41300.5</v>
      </c>
      <c r="U121" s="68">
        <v>41337.5</v>
      </c>
      <c r="V121" s="68">
        <v>0</v>
      </c>
      <c r="W121" s="0">
        <f>IF(IF(B121="none",1,IF(B121="Trialer",1,0))+IF(C121="Customer",1,IF(C121="Lost",1,0))=2,1,0)</f>
      </c>
      <c r="X121" s="0" t="s">
        <v>136</v>
      </c>
      <c r="Y121" s="0" t="s">
        <v>137</v>
      </c>
      <c r="AV121" s="68"/>
      <c r="AW121" s="68"/>
      <c r="AY121" s="27"/>
      <c r="BD121" s="68">
        <v>46054.1666666667</v>
      </c>
      <c r="BE121" s="68">
        <v>46082.1666666667</v>
      </c>
      <c r="BF121" s="0" t="b">
        <v>0</v>
      </c>
      <c r="BG121" s="0" t="b">
        <v>0</v>
      </c>
      <c r="BH121" s="0">
        <v>0</v>
      </c>
      <c r="BI121" s="0">
        <v>0</v>
      </c>
      <c r="BJ121" s="0" t="s">
        <v>135</v>
      </c>
    </row>
    <row r="122">
      <c r="A122" s="0" t="s">
        <v>280</v>
      </c>
      <c r="B122" s="0" t="s">
        <v>134</v>
      </c>
      <c r="C122" s="0" t="s">
        <v>134</v>
      </c>
      <c r="D122" s="0" t="s">
        <v>230</v>
      </c>
      <c r="E122" s="0" t="s">
        <v>3</v>
      </c>
      <c r="F122" s="0" t="s">
        <v>10</v>
      </c>
      <c r="G122" s="0" t="s">
        <v>7</v>
      </c>
      <c r="H122" s="0">
        <v>4750</v>
      </c>
      <c r="I122" s="0">
        <v>468</v>
      </c>
      <c r="J122" s="0">
        <v>0</v>
      </c>
      <c r="K122" s="0">
        <v>1</v>
      </c>
      <c r="L122" s="0">
        <v>1</v>
      </c>
      <c r="M122" s="0">
        <v>13</v>
      </c>
      <c r="N122" s="0">
        <v>0</v>
      </c>
      <c r="O122" s="0">
        <v>0</v>
      </c>
      <c r="P122" s="0">
        <v>-468</v>
      </c>
      <c r="Q122" s="0" t="s">
        <v>217</v>
      </c>
      <c r="R122" s="0" t="b">
        <v>0</v>
      </c>
      <c r="S122" s="0" t="b">
        <v>1</v>
      </c>
      <c r="T122" s="68">
        <v>41303.5</v>
      </c>
      <c r="U122" s="68">
        <v>41333.5</v>
      </c>
      <c r="V122" s="68">
        <v>0</v>
      </c>
      <c r="W122" s="0">
        <f>IF(IF(B122="none",1,IF(B122="Trialer",1,0))+IF(C122="Customer",1,IF(C122="Lost",1,0))=2,1,0)</f>
      </c>
      <c r="X122" s="0" t="s">
        <v>136</v>
      </c>
      <c r="Y122" s="0" t="s">
        <v>243</v>
      </c>
      <c r="AV122" s="68"/>
      <c r="AW122" s="68"/>
      <c r="AY122" s="27"/>
      <c r="BD122" s="68">
        <v>46054.1666666667</v>
      </c>
      <c r="BE122" s="68">
        <v>46082.1666666667</v>
      </c>
      <c r="BF122" s="0" t="b">
        <v>0</v>
      </c>
      <c r="BG122" s="0" t="b">
        <v>0</v>
      </c>
      <c r="BH122" s="0">
        <v>560</v>
      </c>
      <c r="BI122" s="0">
        <v>560</v>
      </c>
      <c r="BJ122" s="0" t="s">
        <v>230</v>
      </c>
    </row>
    <row r="123">
      <c r="A123" s="0" t="s">
        <v>281</v>
      </c>
      <c r="B123" s="0" t="s">
        <v>134</v>
      </c>
      <c r="C123" s="0" t="s">
        <v>134</v>
      </c>
      <c r="D123" s="0" t="s">
        <v>135</v>
      </c>
      <c r="E123" s="0" t="s">
        <v>3</v>
      </c>
      <c r="F123" s="0" t="s">
        <v>12</v>
      </c>
      <c r="G123" s="0" t="s">
        <v>8</v>
      </c>
      <c r="H123" s="0">
        <v>4749</v>
      </c>
      <c r="I123" s="0">
        <v>195</v>
      </c>
      <c r="J123" s="0">
        <v>0</v>
      </c>
      <c r="K123" s="0">
        <v>1</v>
      </c>
      <c r="L123" s="0">
        <v>3</v>
      </c>
      <c r="M123" s="0">
        <v>5</v>
      </c>
      <c r="N123" s="0">
        <v>0</v>
      </c>
      <c r="O123" s="0">
        <v>0</v>
      </c>
      <c r="P123" s="0">
        <v>0</v>
      </c>
      <c r="R123" s="0" t="b">
        <v>0</v>
      </c>
      <c r="S123" s="0" t="b">
        <v>1</v>
      </c>
      <c r="T123" s="68">
        <v>41304.5</v>
      </c>
      <c r="U123" s="68">
        <v>41333.5</v>
      </c>
      <c r="V123" s="68">
        <v>0</v>
      </c>
      <c r="W123" s="0">
        <f>IF(IF(B123="none",1,IF(B123="Trialer",1,0))+IF(C123="Customer",1,IF(C123="Lost",1,0))=2,1,0)</f>
      </c>
      <c r="X123" s="0" t="s">
        <v>136</v>
      </c>
      <c r="Y123" s="0" t="s">
        <v>213</v>
      </c>
      <c r="AV123" s="68"/>
      <c r="AW123" s="68"/>
      <c r="AY123" s="27"/>
      <c r="BD123" s="68">
        <v>46054.1666666667</v>
      </c>
      <c r="BE123" s="68">
        <v>46082.1666666667</v>
      </c>
      <c r="BF123" s="0" t="b">
        <v>0</v>
      </c>
      <c r="BG123" s="0" t="b">
        <v>0</v>
      </c>
      <c r="BH123" s="0">
        <v>195</v>
      </c>
      <c r="BI123" s="0">
        <v>195</v>
      </c>
      <c r="BJ123" s="0" t="s">
        <v>135</v>
      </c>
    </row>
    <row r="124">
      <c r="A124" s="0" t="s">
        <v>282</v>
      </c>
      <c r="B124" s="0" t="s">
        <v>134</v>
      </c>
      <c r="C124" s="0" t="s">
        <v>134</v>
      </c>
      <c r="D124" s="0" t="s">
        <v>135</v>
      </c>
      <c r="E124" s="0" t="s">
        <v>3</v>
      </c>
      <c r="F124" s="0" t="s">
        <v>12</v>
      </c>
      <c r="G124" s="0" t="s">
        <v>7</v>
      </c>
      <c r="H124" s="0">
        <v>4744</v>
      </c>
      <c r="I124" s="0">
        <v>140</v>
      </c>
      <c r="J124" s="0">
        <v>0</v>
      </c>
      <c r="K124" s="0">
        <v>1</v>
      </c>
      <c r="L124" s="0">
        <v>1</v>
      </c>
      <c r="M124" s="0">
        <v>402</v>
      </c>
      <c r="N124" s="0">
        <v>0</v>
      </c>
      <c r="O124" s="0">
        <v>0</v>
      </c>
      <c r="P124" s="0">
        <v>0</v>
      </c>
      <c r="R124" s="0" t="b">
        <v>0</v>
      </c>
      <c r="S124" s="0" t="b">
        <v>1</v>
      </c>
      <c r="T124" s="68">
        <v>41309.871712963</v>
      </c>
      <c r="U124" s="68">
        <v>41337.5</v>
      </c>
      <c r="V124" s="68">
        <v>0</v>
      </c>
      <c r="W124" s="0">
        <f>IF(IF(B124="none",1,IF(B124="Trialer",1,0))+IF(C124="Customer",1,IF(C124="Lost",1,0))=2,1,0)</f>
      </c>
      <c r="X124" s="0" t="s">
        <v>142</v>
      </c>
      <c r="Y124" s="0" t="s">
        <v>213</v>
      </c>
      <c r="AV124" s="68"/>
      <c r="AW124" s="68"/>
      <c r="AY124" s="27"/>
      <c r="BD124" s="68">
        <v>46054.1666666667</v>
      </c>
      <c r="BE124" s="68">
        <v>46082.1666666667</v>
      </c>
      <c r="BF124" s="0" t="b">
        <v>0</v>
      </c>
      <c r="BG124" s="0" t="b">
        <v>0</v>
      </c>
      <c r="BH124" s="0">
        <v>80</v>
      </c>
      <c r="BI124" s="0">
        <v>80</v>
      </c>
      <c r="BJ124" s="0" t="s">
        <v>135</v>
      </c>
    </row>
    <row r="125">
      <c r="A125" s="0" t="s">
        <v>283</v>
      </c>
      <c r="B125" s="0" t="s">
        <v>134</v>
      </c>
      <c r="C125" s="0" t="s">
        <v>134</v>
      </c>
      <c r="D125" s="0" t="s">
        <v>135</v>
      </c>
      <c r="E125" s="0" t="s">
        <v>2</v>
      </c>
      <c r="F125" s="0" t="s">
        <v>12</v>
      </c>
      <c r="G125" s="0" t="s">
        <v>8</v>
      </c>
      <c r="H125" s="0">
        <v>4742</v>
      </c>
      <c r="I125" s="0">
        <v>0</v>
      </c>
      <c r="J125" s="0">
        <v>0</v>
      </c>
      <c r="K125" s="0">
        <v>1</v>
      </c>
      <c r="L125" s="0">
        <v>1</v>
      </c>
      <c r="M125" s="0">
        <v>1</v>
      </c>
      <c r="N125" s="0">
        <v>0</v>
      </c>
      <c r="O125" s="0">
        <v>0</v>
      </c>
      <c r="P125" s="0">
        <v>0</v>
      </c>
      <c r="R125" s="0" t="b">
        <v>0</v>
      </c>
      <c r="S125" s="0" t="b">
        <v>1</v>
      </c>
      <c r="T125" s="68">
        <v>41311.5</v>
      </c>
      <c r="U125" s="68">
        <v>41645.5</v>
      </c>
      <c r="V125" s="68">
        <v>0</v>
      </c>
      <c r="W125" s="0">
        <f>IF(IF(B125="none",1,IF(B125="Trialer",1,0))+IF(C125="Customer",1,IF(C125="Lost",1,0))=2,1,0)</f>
      </c>
      <c r="X125" s="0" t="s">
        <v>142</v>
      </c>
      <c r="Y125" s="0" t="s">
        <v>137</v>
      </c>
      <c r="AV125" s="68"/>
      <c r="AW125" s="68"/>
      <c r="AY125" s="27"/>
      <c r="BD125" s="68">
        <v>46054.1666666667</v>
      </c>
      <c r="BE125" s="68">
        <v>46082.1666666667</v>
      </c>
      <c r="BF125" s="0" t="b">
        <v>0</v>
      </c>
      <c r="BG125" s="0" t="b">
        <v>0</v>
      </c>
      <c r="BH125" s="0">
        <v>0</v>
      </c>
      <c r="BI125" s="0">
        <v>0</v>
      </c>
      <c r="BJ125" s="0" t="s">
        <v>135</v>
      </c>
    </row>
    <row r="126">
      <c r="A126" s="0" t="s">
        <v>284</v>
      </c>
      <c r="B126" s="0" t="s">
        <v>134</v>
      </c>
      <c r="C126" s="0" t="s">
        <v>134</v>
      </c>
      <c r="D126" s="0" t="s">
        <v>135</v>
      </c>
      <c r="E126" s="0" t="s">
        <v>2</v>
      </c>
      <c r="F126" s="0" t="s">
        <v>12</v>
      </c>
      <c r="G126" s="0" t="s">
        <v>7</v>
      </c>
      <c r="H126" s="0">
        <v>4742</v>
      </c>
      <c r="I126" s="0">
        <v>0</v>
      </c>
      <c r="J126" s="0">
        <v>0</v>
      </c>
      <c r="K126" s="0">
        <v>1</v>
      </c>
      <c r="L126" s="0">
        <v>1</v>
      </c>
      <c r="M126" s="0">
        <v>1</v>
      </c>
      <c r="N126" s="0">
        <v>0</v>
      </c>
      <c r="O126" s="0">
        <v>0</v>
      </c>
      <c r="P126" s="0">
        <v>0</v>
      </c>
      <c r="R126" s="0" t="b">
        <v>0</v>
      </c>
      <c r="S126" s="0" t="b">
        <v>1</v>
      </c>
      <c r="T126" s="68">
        <v>41311.5</v>
      </c>
      <c r="U126" s="68">
        <v>41339.5</v>
      </c>
      <c r="V126" s="68">
        <v>0</v>
      </c>
      <c r="W126" s="0">
        <f>IF(IF(B126="none",1,IF(B126="Trialer",1,0))+IF(C126="Customer",1,IF(C126="Lost",1,0))=2,1,0)</f>
      </c>
      <c r="X126" s="0" t="s">
        <v>153</v>
      </c>
      <c r="Y126" s="0" t="s">
        <v>137</v>
      </c>
      <c r="AV126" s="68"/>
      <c r="AW126" s="68"/>
      <c r="AY126" s="27"/>
      <c r="BD126" s="68">
        <v>46054.1666666667</v>
      </c>
      <c r="BE126" s="68">
        <v>46082.1666666667</v>
      </c>
      <c r="BF126" s="0" t="b">
        <v>0</v>
      </c>
      <c r="BG126" s="0" t="b">
        <v>0</v>
      </c>
      <c r="BH126" s="0">
        <v>0</v>
      </c>
      <c r="BI126" s="0">
        <v>0</v>
      </c>
      <c r="BJ126" s="0" t="s">
        <v>135</v>
      </c>
    </row>
    <row r="127">
      <c r="A127" s="0" t="s">
        <v>285</v>
      </c>
      <c r="B127" s="0" t="s">
        <v>134</v>
      </c>
      <c r="C127" s="0" t="s">
        <v>134</v>
      </c>
      <c r="D127" s="0" t="s">
        <v>135</v>
      </c>
      <c r="E127" s="0" t="s">
        <v>2</v>
      </c>
      <c r="F127" s="0" t="s">
        <v>12</v>
      </c>
      <c r="G127" s="0" t="s">
        <v>7</v>
      </c>
      <c r="H127" s="0">
        <v>4729</v>
      </c>
      <c r="I127" s="0">
        <v>200</v>
      </c>
      <c r="J127" s="0">
        <v>0</v>
      </c>
      <c r="K127" s="0">
        <v>1</v>
      </c>
      <c r="L127" s="0">
        <v>1</v>
      </c>
      <c r="M127" s="0">
        <v>5</v>
      </c>
      <c r="N127" s="0">
        <v>0</v>
      </c>
      <c r="O127" s="0">
        <v>0</v>
      </c>
      <c r="P127" s="0">
        <v>0</v>
      </c>
      <c r="R127" s="0" t="b">
        <v>0</v>
      </c>
      <c r="S127" s="0" t="b">
        <v>1</v>
      </c>
      <c r="T127" s="68">
        <v>41324.5</v>
      </c>
      <c r="U127" s="68">
        <v>41352.5416666667</v>
      </c>
      <c r="V127" s="68">
        <v>0</v>
      </c>
      <c r="W127" s="0">
        <f>IF(IF(B127="none",1,IF(B127="Trialer",1,0))+IF(C127="Customer",1,IF(C127="Lost",1,0))=2,1,0)</f>
      </c>
      <c r="X127" s="0" t="s">
        <v>145</v>
      </c>
      <c r="Y127" s="0" t="s">
        <v>137</v>
      </c>
      <c r="AV127" s="68"/>
      <c r="AW127" s="68"/>
      <c r="AY127" s="27"/>
      <c r="BD127" s="68">
        <v>46054.1666666667</v>
      </c>
      <c r="BE127" s="68">
        <v>46082.1666666667</v>
      </c>
      <c r="BF127" s="0" t="b">
        <v>0</v>
      </c>
      <c r="BG127" s="0" t="b">
        <v>0</v>
      </c>
      <c r="BH127" s="0">
        <v>200</v>
      </c>
      <c r="BI127" s="0">
        <v>200</v>
      </c>
      <c r="BJ127" s="0" t="s">
        <v>135</v>
      </c>
    </row>
    <row r="128">
      <c r="A128" s="0" t="s">
        <v>286</v>
      </c>
      <c r="B128" s="0" t="s">
        <v>134</v>
      </c>
      <c r="C128" s="0" t="s">
        <v>134</v>
      </c>
      <c r="D128" s="0" t="s">
        <v>230</v>
      </c>
      <c r="E128" s="0" t="s">
        <v>2</v>
      </c>
      <c r="F128" s="0" t="s">
        <v>12</v>
      </c>
      <c r="G128" s="0" t="s">
        <v>7</v>
      </c>
      <c r="H128" s="0">
        <v>4721</v>
      </c>
      <c r="I128" s="0">
        <v>72</v>
      </c>
      <c r="J128" s="0">
        <v>0</v>
      </c>
      <c r="K128" s="0">
        <v>1</v>
      </c>
      <c r="L128" s="0">
        <v>1</v>
      </c>
      <c r="M128" s="0">
        <v>2</v>
      </c>
      <c r="N128" s="0">
        <v>0</v>
      </c>
      <c r="O128" s="0">
        <v>0</v>
      </c>
      <c r="P128" s="0">
        <v>-72</v>
      </c>
      <c r="R128" s="0" t="b">
        <v>0</v>
      </c>
      <c r="S128" s="0" t="b">
        <v>1</v>
      </c>
      <c r="T128" s="68">
        <v>41332.5</v>
      </c>
      <c r="U128" s="68">
        <v>41361.5416666667</v>
      </c>
      <c r="V128" s="68">
        <v>0</v>
      </c>
      <c r="W128" s="0">
        <f>IF(IF(B128="none",1,IF(B128="Trialer",1,0))+IF(C128="Customer",1,IF(C128="Lost",1,0))=2,1,0)</f>
      </c>
      <c r="X128" s="0" t="s">
        <v>142</v>
      </c>
      <c r="Y128" s="0" t="s">
        <v>137</v>
      </c>
      <c r="AV128" s="68"/>
      <c r="AW128" s="68"/>
      <c r="AY128" s="27"/>
      <c r="BD128" s="68">
        <v>46054.1666666667</v>
      </c>
      <c r="BE128" s="68">
        <v>46082.1666666667</v>
      </c>
      <c r="BF128" s="0" t="b">
        <v>0</v>
      </c>
      <c r="BG128" s="0" t="b">
        <v>0</v>
      </c>
      <c r="BH128" s="0">
        <v>80</v>
      </c>
      <c r="BI128" s="0">
        <v>80</v>
      </c>
      <c r="BJ128" s="0" t="s">
        <v>230</v>
      </c>
    </row>
    <row r="129">
      <c r="A129" s="0" t="s">
        <v>287</v>
      </c>
      <c r="B129" s="0" t="s">
        <v>134</v>
      </c>
      <c r="C129" s="0" t="s">
        <v>134</v>
      </c>
      <c r="D129" s="0" t="s">
        <v>135</v>
      </c>
      <c r="E129" s="0" t="s">
        <v>2</v>
      </c>
      <c r="F129" s="0" t="s">
        <v>12</v>
      </c>
      <c r="G129" s="0" t="s">
        <v>8</v>
      </c>
      <c r="H129" s="0">
        <v>4715</v>
      </c>
      <c r="I129" s="0">
        <v>0</v>
      </c>
      <c r="J129" s="0">
        <v>0</v>
      </c>
      <c r="K129" s="0">
        <v>1</v>
      </c>
      <c r="L129" s="0">
        <v>3</v>
      </c>
      <c r="M129" s="0">
        <v>1</v>
      </c>
      <c r="N129" s="0">
        <v>0</v>
      </c>
      <c r="O129" s="0">
        <v>0</v>
      </c>
      <c r="P129" s="0">
        <v>0</v>
      </c>
      <c r="R129" s="0" t="b">
        <v>0</v>
      </c>
      <c r="S129" s="0" t="b">
        <v>1</v>
      </c>
      <c r="T129" s="68">
        <v>41338.5</v>
      </c>
      <c r="U129" s="68">
        <v>41369.5416666667</v>
      </c>
      <c r="V129" s="68">
        <v>0</v>
      </c>
      <c r="W129" s="0">
        <f>IF(IF(B129="none",1,IF(B129="Trialer",1,0))+IF(C129="Customer",1,IF(C129="Lost",1,0))=2,1,0)</f>
      </c>
      <c r="X129" s="0" t="s">
        <v>148</v>
      </c>
      <c r="Y129" s="0" t="s">
        <v>137</v>
      </c>
      <c r="AV129" s="68"/>
      <c r="AW129" s="68"/>
      <c r="AY129" s="27"/>
      <c r="BD129" s="68">
        <v>46054.1666666667</v>
      </c>
      <c r="BE129" s="68">
        <v>46082.1666666667</v>
      </c>
      <c r="BF129" s="0" t="b">
        <v>0</v>
      </c>
      <c r="BG129" s="0" t="b">
        <v>0</v>
      </c>
      <c r="BH129" s="0">
        <v>0</v>
      </c>
      <c r="BI129" s="0">
        <v>0</v>
      </c>
      <c r="BJ129" s="0" t="s">
        <v>135</v>
      </c>
    </row>
    <row r="130">
      <c r="A130" s="0" t="s">
        <v>288</v>
      </c>
      <c r="B130" s="0" t="s">
        <v>134</v>
      </c>
      <c r="C130" s="0" t="s">
        <v>134</v>
      </c>
      <c r="D130" s="0" t="s">
        <v>135</v>
      </c>
      <c r="E130" s="0" t="s">
        <v>2</v>
      </c>
      <c r="F130" s="0" t="s">
        <v>12</v>
      </c>
      <c r="G130" s="0" t="s">
        <v>7</v>
      </c>
      <c r="H130" s="0">
        <v>4707</v>
      </c>
      <c r="I130" s="0">
        <v>0</v>
      </c>
      <c r="J130" s="0">
        <v>0</v>
      </c>
      <c r="K130" s="0">
        <v>1</v>
      </c>
      <c r="L130" s="0">
        <v>1</v>
      </c>
      <c r="M130" s="0">
        <v>2</v>
      </c>
      <c r="N130" s="0">
        <v>0</v>
      </c>
      <c r="O130" s="0">
        <v>0</v>
      </c>
      <c r="P130" s="0">
        <v>0</v>
      </c>
      <c r="R130" s="0" t="b">
        <v>0</v>
      </c>
      <c r="S130" s="0" t="b">
        <v>1</v>
      </c>
      <c r="T130" s="68">
        <v>41346.5</v>
      </c>
      <c r="U130" s="68">
        <v>41377.5416666667</v>
      </c>
      <c r="V130" s="68">
        <v>0</v>
      </c>
      <c r="W130" s="0">
        <f>IF(IF(B130="none",1,IF(B130="Trialer",1,0))+IF(C130="Customer",1,IF(C130="Lost",1,0))=2,1,0)</f>
      </c>
      <c r="X130" s="0" t="s">
        <v>153</v>
      </c>
      <c r="Y130" s="0" t="s">
        <v>137</v>
      </c>
      <c r="AV130" s="68"/>
      <c r="AW130" s="68"/>
      <c r="AY130" s="27"/>
      <c r="BD130" s="68">
        <v>46054.1666666667</v>
      </c>
      <c r="BE130" s="68">
        <v>46082.1666666667</v>
      </c>
      <c r="BF130" s="0" t="b">
        <v>0</v>
      </c>
      <c r="BG130" s="0" t="b">
        <v>0</v>
      </c>
      <c r="BH130" s="0">
        <v>0</v>
      </c>
      <c r="BI130" s="0">
        <v>0</v>
      </c>
      <c r="BJ130" s="0" t="s">
        <v>135</v>
      </c>
    </row>
    <row r="131">
      <c r="A131" s="0" t="s">
        <v>289</v>
      </c>
      <c r="B131" s="0" t="s">
        <v>134</v>
      </c>
      <c r="C131" s="0" t="s">
        <v>134</v>
      </c>
      <c r="D131" s="0" t="s">
        <v>135</v>
      </c>
      <c r="E131" s="0" t="s">
        <v>3</v>
      </c>
      <c r="F131" s="0" t="s">
        <v>12</v>
      </c>
      <c r="G131" s="0" t="s">
        <v>7</v>
      </c>
      <c r="H131" s="0">
        <v>4700</v>
      </c>
      <c r="I131" s="0">
        <v>0</v>
      </c>
      <c r="J131" s="0">
        <v>0</v>
      </c>
      <c r="K131" s="0">
        <v>1</v>
      </c>
      <c r="L131" s="0">
        <v>1</v>
      </c>
      <c r="M131" s="0">
        <v>5</v>
      </c>
      <c r="N131" s="0">
        <v>0</v>
      </c>
      <c r="O131" s="0">
        <v>0</v>
      </c>
      <c r="P131" s="0">
        <v>0</v>
      </c>
      <c r="R131" s="0" t="b">
        <v>0</v>
      </c>
      <c r="S131" s="0" t="b">
        <v>1</v>
      </c>
      <c r="T131" s="68">
        <v>41353.5</v>
      </c>
      <c r="U131" s="68">
        <v>41384.5416666667</v>
      </c>
      <c r="V131" s="68">
        <v>0</v>
      </c>
      <c r="W131" s="0">
        <f>IF(IF(B131="none",1,IF(B131="Trialer",1,0))+IF(C131="Customer",1,IF(C131="Lost",1,0))=2,1,0)</f>
      </c>
      <c r="X131" s="0" t="s">
        <v>136</v>
      </c>
      <c r="Y131" s="0" t="s">
        <v>213</v>
      </c>
      <c r="AV131" s="68"/>
      <c r="AW131" s="68"/>
      <c r="AY131" s="27"/>
      <c r="BD131" s="68">
        <v>46054.1666666667</v>
      </c>
      <c r="BE131" s="68">
        <v>46082.1666666667</v>
      </c>
      <c r="BF131" s="0" t="b">
        <v>0</v>
      </c>
      <c r="BG131" s="0" t="b">
        <v>0</v>
      </c>
      <c r="BH131" s="0">
        <v>0</v>
      </c>
      <c r="BI131" s="0">
        <v>0</v>
      </c>
      <c r="BJ131" s="0" t="s">
        <v>135</v>
      </c>
    </row>
    <row r="132">
      <c r="A132" s="0" t="s">
        <v>290</v>
      </c>
      <c r="B132" s="0" t="s">
        <v>134</v>
      </c>
      <c r="C132" s="0" t="s">
        <v>134</v>
      </c>
      <c r="D132" s="0" t="s">
        <v>135</v>
      </c>
      <c r="E132" s="0" t="s">
        <v>2</v>
      </c>
      <c r="F132" s="0" t="s">
        <v>12</v>
      </c>
      <c r="G132" s="0" t="s">
        <v>7</v>
      </c>
      <c r="H132" s="0">
        <v>4700</v>
      </c>
      <c r="I132" s="0">
        <v>280</v>
      </c>
      <c r="J132" s="0">
        <v>0</v>
      </c>
      <c r="K132" s="0">
        <v>1</v>
      </c>
      <c r="L132" s="0">
        <v>1</v>
      </c>
      <c r="M132" s="0">
        <v>7</v>
      </c>
      <c r="N132" s="0">
        <v>0</v>
      </c>
      <c r="O132" s="0">
        <v>0</v>
      </c>
      <c r="P132" s="0">
        <v>0</v>
      </c>
      <c r="R132" s="0" t="b">
        <v>0</v>
      </c>
      <c r="S132" s="0" t="b">
        <v>1</v>
      </c>
      <c r="T132" s="68">
        <v>41353.562037037</v>
      </c>
      <c r="U132" s="68">
        <v>41389.5416666667</v>
      </c>
      <c r="V132" s="68">
        <v>0</v>
      </c>
      <c r="W132" s="0">
        <f>IF(IF(B132="none",1,IF(B132="Trialer",1,0))+IF(C132="Customer",1,IF(C132="Lost",1,0))=2,1,0)</f>
      </c>
      <c r="X132" s="0" t="s">
        <v>148</v>
      </c>
      <c r="Y132" s="0" t="s">
        <v>137</v>
      </c>
      <c r="AV132" s="68"/>
      <c r="AW132" s="68"/>
      <c r="AY132" s="27"/>
      <c r="BD132" s="68">
        <v>46054.1666666667</v>
      </c>
      <c r="BE132" s="68">
        <v>46082.1666666667</v>
      </c>
      <c r="BF132" s="0" t="b">
        <v>0</v>
      </c>
      <c r="BG132" s="0" t="b">
        <v>0</v>
      </c>
      <c r="BH132" s="0">
        <v>280</v>
      </c>
      <c r="BI132" s="0">
        <v>280</v>
      </c>
      <c r="BJ132" s="0" t="s">
        <v>135</v>
      </c>
    </row>
    <row r="133">
      <c r="A133" s="0" t="s">
        <v>291</v>
      </c>
      <c r="B133" s="0" t="s">
        <v>134</v>
      </c>
      <c r="C133" s="0" t="s">
        <v>134</v>
      </c>
      <c r="D133" s="0" t="s">
        <v>135</v>
      </c>
      <c r="E133" s="0" t="s">
        <v>2</v>
      </c>
      <c r="F133" s="0" t="s">
        <v>12</v>
      </c>
      <c r="G133" s="0" t="s">
        <v>8</v>
      </c>
      <c r="H133" s="0">
        <v>4696</v>
      </c>
      <c r="I133" s="0">
        <v>0</v>
      </c>
      <c r="J133" s="0">
        <v>0</v>
      </c>
      <c r="K133" s="0">
        <v>1</v>
      </c>
      <c r="L133" s="0">
        <v>3</v>
      </c>
      <c r="M133" s="0">
        <v>3</v>
      </c>
      <c r="N133" s="0">
        <v>0</v>
      </c>
      <c r="O133" s="0">
        <v>0</v>
      </c>
      <c r="P133" s="0">
        <v>0</v>
      </c>
      <c r="R133" s="0" t="b">
        <v>0</v>
      </c>
      <c r="S133" s="0" t="b">
        <v>1</v>
      </c>
      <c r="T133" s="68">
        <v>41357.5</v>
      </c>
      <c r="U133" s="68">
        <v>41418.5416666667</v>
      </c>
      <c r="V133" s="68">
        <v>0</v>
      </c>
      <c r="W133" s="0">
        <f>IF(IF(B133="none",1,IF(B133="Trialer",1,0))+IF(C133="Customer",1,IF(C133="Lost",1,0))=2,1,0)</f>
      </c>
      <c r="X133" s="0" t="s">
        <v>136</v>
      </c>
      <c r="Y133" s="0" t="s">
        <v>137</v>
      </c>
      <c r="AV133" s="68"/>
      <c r="AW133" s="68"/>
      <c r="AY133" s="27"/>
      <c r="BD133" s="68">
        <v>46054.1666666667</v>
      </c>
      <c r="BE133" s="68">
        <v>46082.1666666667</v>
      </c>
      <c r="BF133" s="0" t="b">
        <v>0</v>
      </c>
      <c r="BG133" s="0" t="b">
        <v>0</v>
      </c>
      <c r="BH133" s="0">
        <v>0</v>
      </c>
      <c r="BI133" s="0">
        <v>0</v>
      </c>
      <c r="BJ133" s="0" t="s">
        <v>135</v>
      </c>
    </row>
    <row r="134">
      <c r="A134" s="0" t="s">
        <v>292</v>
      </c>
      <c r="B134" s="0" t="s">
        <v>134</v>
      </c>
      <c r="C134" s="0" t="s">
        <v>134</v>
      </c>
      <c r="D134" s="0" t="s">
        <v>135</v>
      </c>
      <c r="E134" s="0" t="s">
        <v>2</v>
      </c>
      <c r="F134" s="0" t="s">
        <v>12</v>
      </c>
      <c r="G134" s="0" t="s">
        <v>8</v>
      </c>
      <c r="H134" s="0">
        <v>4693</v>
      </c>
      <c r="I134" s="0">
        <v>0</v>
      </c>
      <c r="J134" s="0">
        <v>0</v>
      </c>
      <c r="K134" s="0">
        <v>1</v>
      </c>
      <c r="L134" s="0">
        <v>1</v>
      </c>
      <c r="M134" s="0">
        <v>1</v>
      </c>
      <c r="N134" s="0">
        <v>0</v>
      </c>
      <c r="O134" s="0">
        <v>0</v>
      </c>
      <c r="P134" s="0">
        <v>0</v>
      </c>
      <c r="R134" s="0" t="b">
        <v>0</v>
      </c>
      <c r="S134" s="0" t="b">
        <v>1</v>
      </c>
      <c r="T134" s="68">
        <v>41360.6923611111</v>
      </c>
      <c r="U134" s="68">
        <v>43158.5</v>
      </c>
      <c r="V134" s="68">
        <v>0</v>
      </c>
      <c r="W134" s="0">
        <f>IF(IF(B134="none",1,IF(B134="Trialer",1,0))+IF(C134="Customer",1,IF(C134="Lost",1,0))=2,1,0)</f>
      </c>
      <c r="X134" s="0" t="s">
        <v>153</v>
      </c>
      <c r="Y134" s="0" t="s">
        <v>137</v>
      </c>
      <c r="AV134" s="68"/>
      <c r="AW134" s="68"/>
      <c r="AY134" s="27"/>
      <c r="BD134" s="68">
        <v>46054.1666666667</v>
      </c>
      <c r="BE134" s="68">
        <v>46082.1666666667</v>
      </c>
      <c r="BF134" s="0" t="b">
        <v>0</v>
      </c>
      <c r="BG134" s="0" t="b">
        <v>0</v>
      </c>
      <c r="BH134" s="0">
        <v>0</v>
      </c>
      <c r="BI134" s="0">
        <v>0</v>
      </c>
      <c r="BJ134" s="0" t="s">
        <v>135</v>
      </c>
    </row>
    <row r="135">
      <c r="A135" s="0" t="s">
        <v>293</v>
      </c>
      <c r="B135" s="0" t="s">
        <v>134</v>
      </c>
      <c r="C135" s="0" t="s">
        <v>134</v>
      </c>
      <c r="D135" s="0" t="s">
        <v>135</v>
      </c>
      <c r="E135" s="0" t="s">
        <v>2</v>
      </c>
      <c r="F135" s="0" t="s">
        <v>10</v>
      </c>
      <c r="G135" s="0" t="s">
        <v>8</v>
      </c>
      <c r="H135" s="0">
        <v>4666</v>
      </c>
      <c r="I135" s="0">
        <v>45</v>
      </c>
      <c r="J135" s="0">
        <v>0</v>
      </c>
      <c r="K135" s="0">
        <v>1</v>
      </c>
      <c r="L135" s="0">
        <v>3</v>
      </c>
      <c r="M135" s="0">
        <v>1</v>
      </c>
      <c r="N135" s="0">
        <v>0</v>
      </c>
      <c r="O135" s="0">
        <v>0</v>
      </c>
      <c r="P135" s="0">
        <v>0</v>
      </c>
      <c r="Q135" s="0" t="s">
        <v>294</v>
      </c>
      <c r="R135" s="0" t="b">
        <v>0</v>
      </c>
      <c r="S135" s="0" t="b">
        <v>1</v>
      </c>
      <c r="T135" s="68">
        <v>41387.6951388889</v>
      </c>
      <c r="U135" s="68">
        <v>41417.5416666667</v>
      </c>
      <c r="V135" s="68">
        <v>0</v>
      </c>
      <c r="W135" s="0">
        <f>IF(IF(B135="none",1,IF(B135="Trialer",1,0))+IF(C135="Customer",1,IF(C135="Lost",1,0))=2,1,0)</f>
      </c>
      <c r="X135" s="0" t="s">
        <v>148</v>
      </c>
      <c r="Y135" s="0" t="s">
        <v>137</v>
      </c>
      <c r="AV135" s="68"/>
      <c r="AW135" s="68"/>
      <c r="AY135" s="27"/>
      <c r="BD135" s="68">
        <v>46054.1666666667</v>
      </c>
      <c r="BE135" s="68">
        <v>46082.1666666667</v>
      </c>
      <c r="BF135" s="0" t="b">
        <v>0</v>
      </c>
      <c r="BG135" s="0" t="b">
        <v>0</v>
      </c>
      <c r="BH135" s="0">
        <v>45</v>
      </c>
      <c r="BI135" s="0">
        <v>45</v>
      </c>
      <c r="BJ135" s="0" t="s">
        <v>135</v>
      </c>
    </row>
    <row r="136">
      <c r="A136" s="0" t="s">
        <v>295</v>
      </c>
      <c r="B136" s="0" t="s">
        <v>134</v>
      </c>
      <c r="C136" s="0" t="s">
        <v>134</v>
      </c>
      <c r="D136" s="0" t="s">
        <v>135</v>
      </c>
      <c r="E136" s="0" t="s">
        <v>2</v>
      </c>
      <c r="F136" s="0" t="s">
        <v>12</v>
      </c>
      <c r="G136" s="0" t="s">
        <v>7</v>
      </c>
      <c r="H136" s="0">
        <v>4664</v>
      </c>
      <c r="I136" s="0">
        <v>0</v>
      </c>
      <c r="J136" s="0">
        <v>0</v>
      </c>
      <c r="K136" s="0">
        <v>1</v>
      </c>
      <c r="L136" s="0">
        <v>1</v>
      </c>
      <c r="M136" s="0">
        <v>3</v>
      </c>
      <c r="N136" s="0">
        <v>0</v>
      </c>
      <c r="O136" s="0">
        <v>0</v>
      </c>
      <c r="P136" s="0">
        <v>0</v>
      </c>
      <c r="R136" s="0" t="b">
        <v>0</v>
      </c>
      <c r="S136" s="0" t="b">
        <v>1</v>
      </c>
      <c r="T136" s="68">
        <v>41389.5</v>
      </c>
      <c r="U136" s="68">
        <v>41419.5416666667</v>
      </c>
      <c r="V136" s="68">
        <v>0</v>
      </c>
      <c r="W136" s="0">
        <f>IF(IF(B136="none",1,IF(B136="Trialer",1,0))+IF(C136="Customer",1,IF(C136="Lost",1,0))=2,1,0)</f>
      </c>
      <c r="X136" s="0" t="s">
        <v>142</v>
      </c>
      <c r="Y136" s="0" t="s">
        <v>137</v>
      </c>
      <c r="AV136" s="68"/>
      <c r="AW136" s="68"/>
      <c r="AY136" s="27"/>
      <c r="BD136" s="68">
        <v>46054.1666666667</v>
      </c>
      <c r="BE136" s="68">
        <v>46082.1666666667</v>
      </c>
      <c r="BF136" s="0" t="b">
        <v>0</v>
      </c>
      <c r="BG136" s="0" t="b">
        <v>0</v>
      </c>
      <c r="BH136" s="0">
        <v>0</v>
      </c>
      <c r="BI136" s="0">
        <v>0</v>
      </c>
      <c r="BJ136" s="0" t="s">
        <v>135</v>
      </c>
    </row>
    <row r="137">
      <c r="A137" s="0" t="s">
        <v>296</v>
      </c>
      <c r="B137" s="0" t="s">
        <v>134</v>
      </c>
      <c r="C137" s="0" t="s">
        <v>134</v>
      </c>
      <c r="D137" s="0" t="s">
        <v>135</v>
      </c>
      <c r="E137" s="0" t="s">
        <v>2</v>
      </c>
      <c r="F137" s="0" t="s">
        <v>12</v>
      </c>
      <c r="G137" s="0" t="s">
        <v>8</v>
      </c>
      <c r="H137" s="0">
        <v>4656</v>
      </c>
      <c r="I137" s="0">
        <v>963</v>
      </c>
      <c r="J137" s="0">
        <v>0</v>
      </c>
      <c r="K137" s="0">
        <v>1</v>
      </c>
      <c r="L137" s="0">
        <v>6</v>
      </c>
      <c r="M137" s="0">
        <v>10</v>
      </c>
      <c r="N137" s="0">
        <v>2449</v>
      </c>
      <c r="O137" s="0">
        <v>-77.5</v>
      </c>
      <c r="P137" s="0">
        <v>0</v>
      </c>
      <c r="R137" s="0" t="b">
        <v>0</v>
      </c>
      <c r="S137" s="0" t="b">
        <v>1</v>
      </c>
      <c r="T137" s="68">
        <v>41397.5</v>
      </c>
      <c r="U137" s="68">
        <v>41428.5416666667</v>
      </c>
      <c r="V137" s="68">
        <v>0</v>
      </c>
      <c r="W137" s="0">
        <f>IF(IF(B137="none",1,IF(B137="Trialer",1,0))+IF(C137="Customer",1,IF(C137="Lost",1,0))=2,1,0)</f>
      </c>
      <c r="X137" s="0" t="s">
        <v>148</v>
      </c>
      <c r="Y137" s="0" t="s">
        <v>137</v>
      </c>
      <c r="AV137" s="68"/>
      <c r="AW137" s="68"/>
      <c r="AY137" s="27"/>
      <c r="BD137" s="68">
        <v>46054.1666666667</v>
      </c>
      <c r="BE137" s="68">
        <v>46082.1666666667</v>
      </c>
      <c r="BF137" s="0" t="b">
        <v>0</v>
      </c>
      <c r="BG137" s="0" t="b">
        <v>0</v>
      </c>
      <c r="BH137" s="0">
        <v>638</v>
      </c>
      <c r="BI137" s="0">
        <v>638</v>
      </c>
      <c r="BJ137" s="0" t="s">
        <v>135</v>
      </c>
    </row>
    <row r="138">
      <c r="A138" s="0" t="s">
        <v>297</v>
      </c>
      <c r="B138" s="0" t="s">
        <v>134</v>
      </c>
      <c r="C138" s="0" t="s">
        <v>134</v>
      </c>
      <c r="D138" s="0" t="s">
        <v>230</v>
      </c>
      <c r="E138" s="0" t="s">
        <v>3</v>
      </c>
      <c r="F138" s="0" t="s">
        <v>12</v>
      </c>
      <c r="G138" s="0" t="s">
        <v>7</v>
      </c>
      <c r="H138" s="0">
        <v>4625</v>
      </c>
      <c r="I138" s="0">
        <v>45</v>
      </c>
      <c r="J138" s="0">
        <v>0</v>
      </c>
      <c r="K138" s="0">
        <v>1</v>
      </c>
      <c r="L138" s="0">
        <v>1</v>
      </c>
      <c r="M138" s="0">
        <v>2</v>
      </c>
      <c r="N138" s="0">
        <v>0</v>
      </c>
      <c r="O138" s="0">
        <v>0</v>
      </c>
      <c r="P138" s="0">
        <v>-45</v>
      </c>
      <c r="R138" s="0" t="b">
        <v>0</v>
      </c>
      <c r="S138" s="0" t="b">
        <v>1</v>
      </c>
      <c r="T138" s="68">
        <v>41428.5</v>
      </c>
      <c r="U138" s="68">
        <v>41458.5416666667</v>
      </c>
      <c r="V138" s="68">
        <v>0</v>
      </c>
      <c r="W138" s="0">
        <f>IF(IF(B138="none",1,IF(B138="Trialer",1,0))+IF(C138="Customer",1,IF(C138="Lost",1,0))=2,1,0)</f>
      </c>
      <c r="X138" s="0" t="s">
        <v>142</v>
      </c>
      <c r="Y138" s="0" t="s">
        <v>219</v>
      </c>
      <c r="AV138" s="68"/>
      <c r="AW138" s="68"/>
      <c r="AY138" s="27"/>
      <c r="BD138" s="68">
        <v>46054.1666666667</v>
      </c>
      <c r="BE138" s="68">
        <v>46082.1666666667</v>
      </c>
      <c r="BF138" s="0" t="b">
        <v>0</v>
      </c>
      <c r="BG138" s="0" t="b">
        <v>0</v>
      </c>
      <c r="BH138" s="0">
        <v>50</v>
      </c>
      <c r="BI138" s="0">
        <v>50</v>
      </c>
      <c r="BJ138" s="0" t="s">
        <v>230</v>
      </c>
    </row>
    <row r="139">
      <c r="A139" s="0" t="s">
        <v>298</v>
      </c>
      <c r="B139" s="0" t="s">
        <v>134</v>
      </c>
      <c r="C139" s="0" t="s">
        <v>134</v>
      </c>
      <c r="D139" s="0" t="s">
        <v>135</v>
      </c>
      <c r="E139" s="0" t="s">
        <v>3</v>
      </c>
      <c r="F139" s="0" t="s">
        <v>12</v>
      </c>
      <c r="G139" s="0" t="s">
        <v>7</v>
      </c>
      <c r="H139" s="0">
        <v>4621</v>
      </c>
      <c r="I139" s="0">
        <v>0</v>
      </c>
      <c r="J139" s="0">
        <v>0</v>
      </c>
      <c r="K139" s="0">
        <v>1</v>
      </c>
      <c r="L139" s="0">
        <v>1</v>
      </c>
      <c r="M139" s="0">
        <v>1</v>
      </c>
      <c r="N139" s="0">
        <v>0</v>
      </c>
      <c r="O139" s="0">
        <v>0</v>
      </c>
      <c r="P139" s="0">
        <v>0</v>
      </c>
      <c r="R139" s="0" t="b">
        <v>0</v>
      </c>
      <c r="S139" s="0" t="b">
        <v>1</v>
      </c>
      <c r="T139" s="68">
        <v>41432.5</v>
      </c>
      <c r="U139" s="68">
        <v>41462.5416666667</v>
      </c>
      <c r="V139" s="68">
        <v>0</v>
      </c>
      <c r="W139" s="0">
        <f>IF(IF(B139="none",1,IF(B139="Trialer",1,0))+IF(C139="Customer",1,IF(C139="Lost",1,0))=2,1,0)</f>
      </c>
      <c r="X139" s="0" t="s">
        <v>153</v>
      </c>
      <c r="Y139" s="0" t="s">
        <v>213</v>
      </c>
      <c r="AV139" s="68"/>
      <c r="AW139" s="68"/>
      <c r="AY139" s="27"/>
      <c r="BD139" s="68">
        <v>46054.1666666667</v>
      </c>
      <c r="BE139" s="68">
        <v>46082.1666666667</v>
      </c>
      <c r="BF139" s="0" t="b">
        <v>0</v>
      </c>
      <c r="BG139" s="0" t="b">
        <v>0</v>
      </c>
      <c r="BH139" s="0">
        <v>0</v>
      </c>
      <c r="BI139" s="0">
        <v>0</v>
      </c>
      <c r="BJ139" s="0" t="s">
        <v>135</v>
      </c>
    </row>
    <row r="140">
      <c r="A140" s="0" t="s">
        <v>299</v>
      </c>
      <c r="B140" s="0" t="s">
        <v>134</v>
      </c>
      <c r="C140" s="0" t="s">
        <v>134</v>
      </c>
      <c r="D140" s="0" t="s">
        <v>135</v>
      </c>
      <c r="E140" s="0" t="s">
        <v>2</v>
      </c>
      <c r="F140" s="0" t="s">
        <v>12</v>
      </c>
      <c r="G140" s="0" t="s">
        <v>8</v>
      </c>
      <c r="H140" s="0">
        <v>4617</v>
      </c>
      <c r="I140" s="0">
        <v>741</v>
      </c>
      <c r="J140" s="0">
        <v>0</v>
      </c>
      <c r="K140" s="0">
        <v>1</v>
      </c>
      <c r="L140" s="0">
        <v>3</v>
      </c>
      <c r="M140" s="0">
        <v>8</v>
      </c>
      <c r="N140" s="0">
        <v>0</v>
      </c>
      <c r="O140" s="0">
        <v>0</v>
      </c>
      <c r="P140" s="0">
        <v>0</v>
      </c>
      <c r="R140" s="0" t="b">
        <v>0</v>
      </c>
      <c r="S140" s="0" t="b">
        <v>1</v>
      </c>
      <c r="T140" s="68">
        <v>41436.5</v>
      </c>
      <c r="U140" s="68">
        <v>41466.5416666667</v>
      </c>
      <c r="V140" s="68">
        <v>0</v>
      </c>
      <c r="W140" s="0">
        <f>IF(IF(B140="none",1,IF(B140="Trialer",1,0))+IF(C140="Customer",1,IF(C140="Lost",1,0))=2,1,0)</f>
      </c>
      <c r="X140" s="0" t="s">
        <v>145</v>
      </c>
      <c r="Y140" s="0" t="s">
        <v>137</v>
      </c>
      <c r="AV140" s="68"/>
      <c r="AW140" s="68"/>
      <c r="AY140" s="27"/>
      <c r="BD140" s="68">
        <v>46054.1666666667</v>
      </c>
      <c r="BE140" s="68">
        <v>46082.1666666667</v>
      </c>
      <c r="BF140" s="0" t="b">
        <v>0</v>
      </c>
      <c r="BG140" s="0" t="b">
        <v>0</v>
      </c>
      <c r="BH140" s="0">
        <v>416</v>
      </c>
      <c r="BI140" s="0">
        <v>416</v>
      </c>
      <c r="BJ140" s="0" t="s">
        <v>135</v>
      </c>
    </row>
    <row r="141">
      <c r="A141" s="0" t="s">
        <v>300</v>
      </c>
      <c r="B141" s="0" t="s">
        <v>134</v>
      </c>
      <c r="C141" s="0" t="s">
        <v>134</v>
      </c>
      <c r="D141" s="0" t="s">
        <v>230</v>
      </c>
      <c r="E141" s="0" t="s">
        <v>2</v>
      </c>
      <c r="F141" s="0" t="s">
        <v>10</v>
      </c>
      <c r="G141" s="0" t="s">
        <v>7</v>
      </c>
      <c r="H141" s="0">
        <v>4616</v>
      </c>
      <c r="I141" s="0">
        <v>36</v>
      </c>
      <c r="J141" s="0">
        <v>0</v>
      </c>
      <c r="K141" s="0">
        <v>1</v>
      </c>
      <c r="L141" s="0">
        <v>1</v>
      </c>
      <c r="M141" s="0">
        <v>1</v>
      </c>
      <c r="N141" s="0">
        <v>0</v>
      </c>
      <c r="O141" s="0">
        <v>0</v>
      </c>
      <c r="P141" s="0">
        <v>-36</v>
      </c>
      <c r="Q141" s="0" t="s">
        <v>294</v>
      </c>
      <c r="R141" s="0" t="b">
        <v>0</v>
      </c>
      <c r="S141" s="0" t="b">
        <v>1</v>
      </c>
      <c r="T141" s="68">
        <v>41437.6986111111</v>
      </c>
      <c r="U141" s="68">
        <v>41467.5416666667</v>
      </c>
      <c r="V141" s="68">
        <v>0</v>
      </c>
      <c r="W141" s="0">
        <f>IF(IF(B141="none",1,IF(B141="Trialer",1,0))+IF(C141="Customer",1,IF(C141="Lost",1,0))=2,1,0)</f>
      </c>
      <c r="X141" s="0" t="s">
        <v>148</v>
      </c>
      <c r="Y141" s="0" t="s">
        <v>137</v>
      </c>
      <c r="AV141" s="68"/>
      <c r="AW141" s="68"/>
      <c r="AY141" s="27"/>
      <c r="BD141" s="68">
        <v>46054.1666666667</v>
      </c>
      <c r="BE141" s="68">
        <v>46082.1666666667</v>
      </c>
      <c r="BF141" s="0" t="b">
        <v>0</v>
      </c>
      <c r="BG141" s="0" t="b">
        <v>0</v>
      </c>
      <c r="BH141" s="0">
        <v>40</v>
      </c>
      <c r="BI141" s="0">
        <v>40</v>
      </c>
      <c r="BJ141" s="0" t="s">
        <v>230</v>
      </c>
    </row>
    <row r="142">
      <c r="A142" s="0" t="s">
        <v>301</v>
      </c>
      <c r="B142" s="0" t="s">
        <v>134</v>
      </c>
      <c r="C142" s="0" t="s">
        <v>134</v>
      </c>
      <c r="D142" s="0" t="s">
        <v>135</v>
      </c>
      <c r="E142" s="0" t="s">
        <v>2</v>
      </c>
      <c r="F142" s="0" t="s">
        <v>12</v>
      </c>
      <c r="G142" s="0" t="s">
        <v>8</v>
      </c>
      <c r="H142" s="0">
        <v>4615</v>
      </c>
      <c r="I142" s="0">
        <v>0</v>
      </c>
      <c r="J142" s="0">
        <v>0</v>
      </c>
      <c r="K142" s="0">
        <v>1</v>
      </c>
      <c r="L142" s="0">
        <v>3</v>
      </c>
      <c r="M142" s="0">
        <v>2</v>
      </c>
      <c r="N142" s="0">
        <v>0</v>
      </c>
      <c r="O142" s="0">
        <v>0</v>
      </c>
      <c r="P142" s="0">
        <v>0</v>
      </c>
      <c r="R142" s="0" t="b">
        <v>0</v>
      </c>
      <c r="S142" s="0" t="b">
        <v>1</v>
      </c>
      <c r="T142" s="68">
        <v>41438.5</v>
      </c>
      <c r="U142" s="68">
        <v>41468.5416666667</v>
      </c>
      <c r="V142" s="68">
        <v>0</v>
      </c>
      <c r="W142" s="0">
        <f>IF(IF(B142="none",1,IF(B142="Trialer",1,0))+IF(C142="Customer",1,IF(C142="Lost",1,0))=2,1,0)</f>
      </c>
      <c r="X142" s="0" t="s">
        <v>142</v>
      </c>
      <c r="Y142" s="0" t="s">
        <v>137</v>
      </c>
      <c r="AV142" s="68"/>
      <c r="AW142" s="68"/>
      <c r="AY142" s="27"/>
      <c r="BD142" s="68">
        <v>46054.1666666667</v>
      </c>
      <c r="BE142" s="68">
        <v>46082.1666666667</v>
      </c>
      <c r="BF142" s="0" t="b">
        <v>0</v>
      </c>
      <c r="BG142" s="0" t="b">
        <v>0</v>
      </c>
      <c r="BH142" s="0">
        <v>0</v>
      </c>
      <c r="BI142" s="0">
        <v>0</v>
      </c>
      <c r="BJ142" s="0" t="s">
        <v>135</v>
      </c>
    </row>
    <row r="143">
      <c r="A143" s="0" t="s">
        <v>302</v>
      </c>
      <c r="B143" s="0" t="s">
        <v>134</v>
      </c>
      <c r="C143" s="0" t="s">
        <v>134</v>
      </c>
      <c r="D143" s="0" t="s">
        <v>135</v>
      </c>
      <c r="E143" s="0" t="s">
        <v>2</v>
      </c>
      <c r="F143" s="0" t="s">
        <v>12</v>
      </c>
      <c r="G143" s="0" t="s">
        <v>7</v>
      </c>
      <c r="H143" s="0">
        <v>4608</v>
      </c>
      <c r="I143" s="0">
        <v>1120</v>
      </c>
      <c r="J143" s="0">
        <v>0</v>
      </c>
      <c r="K143" s="0">
        <v>1</v>
      </c>
      <c r="L143" s="0">
        <v>1</v>
      </c>
      <c r="M143" s="0">
        <v>28</v>
      </c>
      <c r="N143" s="0">
        <v>0</v>
      </c>
      <c r="O143" s="0">
        <v>0</v>
      </c>
      <c r="P143" s="0">
        <v>0</v>
      </c>
      <c r="R143" s="0" t="b">
        <v>0</v>
      </c>
      <c r="S143" s="0" t="b">
        <v>1</v>
      </c>
      <c r="T143" s="68">
        <v>41445.7041666667</v>
      </c>
      <c r="U143" s="68">
        <v>41475.5</v>
      </c>
      <c r="V143" s="68">
        <v>0</v>
      </c>
      <c r="W143" s="0">
        <f>IF(IF(B143="none",1,IF(B143="Trialer",1,0))+IF(C143="Customer",1,IF(C143="Lost",1,0))=2,1,0)</f>
      </c>
      <c r="X143" s="0" t="s">
        <v>148</v>
      </c>
      <c r="Y143" s="0" t="s">
        <v>137</v>
      </c>
      <c r="AV143" s="68"/>
      <c r="AW143" s="68"/>
      <c r="AY143" s="27"/>
      <c r="BD143" s="68">
        <v>46054.1666666667</v>
      </c>
      <c r="BE143" s="68">
        <v>46082.1666666667</v>
      </c>
      <c r="BF143" s="0" t="b">
        <v>0</v>
      </c>
      <c r="BG143" s="0" t="b">
        <v>0</v>
      </c>
      <c r="BH143" s="0">
        <v>1120</v>
      </c>
      <c r="BI143" s="0">
        <v>1120</v>
      </c>
      <c r="BJ143" s="0" t="s">
        <v>135</v>
      </c>
    </row>
    <row r="144">
      <c r="A144" s="0" t="s">
        <v>303</v>
      </c>
      <c r="B144" s="0" t="s">
        <v>134</v>
      </c>
      <c r="C144" s="0" t="s">
        <v>134</v>
      </c>
      <c r="D144" s="0" t="s">
        <v>135</v>
      </c>
      <c r="E144" s="0" t="s">
        <v>2</v>
      </c>
      <c r="F144" s="0" t="s">
        <v>12</v>
      </c>
      <c r="G144" s="0" t="s">
        <v>8</v>
      </c>
      <c r="H144" s="0">
        <v>4602</v>
      </c>
      <c r="I144" s="0">
        <v>3342</v>
      </c>
      <c r="J144" s="0">
        <v>0</v>
      </c>
      <c r="K144" s="0">
        <v>1</v>
      </c>
      <c r="L144" s="0">
        <v>4</v>
      </c>
      <c r="M144" s="0">
        <v>74</v>
      </c>
      <c r="N144" s="0">
        <v>0</v>
      </c>
      <c r="O144" s="0">
        <v>0</v>
      </c>
      <c r="P144" s="0">
        <v>0</v>
      </c>
      <c r="R144" s="0" t="b">
        <v>0</v>
      </c>
      <c r="S144" s="0" t="b">
        <v>1</v>
      </c>
      <c r="T144" s="68">
        <v>41451.5</v>
      </c>
      <c r="U144" s="68">
        <v>41481.5416666667</v>
      </c>
      <c r="V144" s="68">
        <v>0</v>
      </c>
      <c r="W144" s="0">
        <f>IF(IF(B144="none",1,IF(B144="Trialer",1,0))+IF(C144="Customer",1,IF(C144="Lost",1,0))=2,1,0)</f>
      </c>
      <c r="X144" s="0" t="s">
        <v>148</v>
      </c>
      <c r="Y144" s="0" t="s">
        <v>137</v>
      </c>
      <c r="AV144" s="68"/>
      <c r="AW144" s="68"/>
      <c r="AY144" s="27"/>
      <c r="BD144" s="68">
        <v>46054.1666666667</v>
      </c>
      <c r="BE144" s="68">
        <v>46082.1666666667</v>
      </c>
      <c r="BF144" s="0" t="b">
        <v>0</v>
      </c>
      <c r="BG144" s="0" t="b">
        <v>0</v>
      </c>
      <c r="BH144" s="0">
        <v>3387</v>
      </c>
      <c r="BI144" s="0">
        <v>3387</v>
      </c>
      <c r="BJ144" s="0" t="s">
        <v>135</v>
      </c>
    </row>
    <row r="145">
      <c r="A145" s="0" t="s">
        <v>304</v>
      </c>
      <c r="B145" s="0" t="s">
        <v>134</v>
      </c>
      <c r="C145" s="0" t="s">
        <v>134</v>
      </c>
      <c r="D145" s="0" t="s">
        <v>135</v>
      </c>
      <c r="E145" s="0" t="s">
        <v>2</v>
      </c>
      <c r="F145" s="0" t="s">
        <v>12</v>
      </c>
      <c r="G145" s="0" t="s">
        <v>8</v>
      </c>
      <c r="H145" s="0">
        <v>4590</v>
      </c>
      <c r="I145" s="0">
        <v>0</v>
      </c>
      <c r="J145" s="0">
        <v>0</v>
      </c>
      <c r="K145" s="0">
        <v>1</v>
      </c>
      <c r="L145" s="0">
        <v>5</v>
      </c>
      <c r="M145" s="0">
        <v>2</v>
      </c>
      <c r="N145" s="0">
        <v>0</v>
      </c>
      <c r="O145" s="0">
        <v>0</v>
      </c>
      <c r="P145" s="0">
        <v>0</v>
      </c>
      <c r="R145" s="0" t="b">
        <v>0</v>
      </c>
      <c r="S145" s="0" t="b">
        <v>1</v>
      </c>
      <c r="T145" s="68">
        <v>41463.5</v>
      </c>
      <c r="U145" s="68">
        <v>41494.5416666667</v>
      </c>
      <c r="V145" s="68">
        <v>0</v>
      </c>
      <c r="W145" s="0">
        <f>IF(IF(B145="none",1,IF(B145="Trialer",1,0))+IF(C145="Customer",1,IF(C145="Lost",1,0))=2,1,0)</f>
      </c>
      <c r="X145" s="0" t="s">
        <v>142</v>
      </c>
      <c r="Y145" s="0" t="s">
        <v>137</v>
      </c>
      <c r="AV145" s="68"/>
      <c r="AW145" s="68"/>
      <c r="AY145" s="27"/>
      <c r="BD145" s="68">
        <v>46054.1666666667</v>
      </c>
      <c r="BE145" s="68">
        <v>46082.1666666667</v>
      </c>
      <c r="BF145" s="0" t="b">
        <v>0</v>
      </c>
      <c r="BG145" s="0" t="b">
        <v>0</v>
      </c>
      <c r="BH145" s="0">
        <v>0</v>
      </c>
      <c r="BI145" s="0">
        <v>0</v>
      </c>
      <c r="BJ145" s="0" t="s">
        <v>135</v>
      </c>
    </row>
    <row r="146">
      <c r="A146" s="0" t="s">
        <v>305</v>
      </c>
      <c r="B146" s="0" t="s">
        <v>134</v>
      </c>
      <c r="C146" s="0" t="s">
        <v>134</v>
      </c>
      <c r="D146" s="0" t="s">
        <v>135</v>
      </c>
      <c r="E146" s="0" t="s">
        <v>2</v>
      </c>
      <c r="F146" s="0" t="s">
        <v>12</v>
      </c>
      <c r="G146" s="0" t="s">
        <v>7</v>
      </c>
      <c r="H146" s="0">
        <v>4588</v>
      </c>
      <c r="I146" s="0">
        <v>0</v>
      </c>
      <c r="J146" s="0">
        <v>0</v>
      </c>
      <c r="K146" s="0">
        <v>1</v>
      </c>
      <c r="L146" s="0">
        <v>1</v>
      </c>
      <c r="M146" s="0">
        <v>1</v>
      </c>
      <c r="N146" s="0">
        <v>0</v>
      </c>
      <c r="O146" s="0">
        <v>0</v>
      </c>
      <c r="P146" s="0">
        <v>0</v>
      </c>
      <c r="R146" s="0" t="b">
        <v>0</v>
      </c>
      <c r="S146" s="0" t="b">
        <v>1</v>
      </c>
      <c r="T146" s="68">
        <v>41465.5</v>
      </c>
      <c r="U146" s="68">
        <v>41496.5416666667</v>
      </c>
      <c r="V146" s="68">
        <v>0</v>
      </c>
      <c r="W146" s="0">
        <f>IF(IF(B146="none",1,IF(B146="Trialer",1,0))+IF(C146="Customer",1,IF(C146="Lost",1,0))=2,1,0)</f>
      </c>
      <c r="X146" s="0" t="s">
        <v>145</v>
      </c>
      <c r="Y146" s="0" t="s">
        <v>137</v>
      </c>
      <c r="AV146" s="68"/>
      <c r="AW146" s="68"/>
      <c r="AY146" s="27"/>
      <c r="BD146" s="68">
        <v>46054.1666666667</v>
      </c>
      <c r="BE146" s="68">
        <v>46082.1666666667</v>
      </c>
      <c r="BF146" s="0" t="b">
        <v>0</v>
      </c>
      <c r="BG146" s="0" t="b">
        <v>0</v>
      </c>
      <c r="BH146" s="0">
        <v>0</v>
      </c>
      <c r="BI146" s="0">
        <v>0</v>
      </c>
      <c r="BJ146" s="0" t="s">
        <v>135</v>
      </c>
    </row>
    <row r="147">
      <c r="A147" s="0" t="s">
        <v>306</v>
      </c>
      <c r="B147" s="0" t="s">
        <v>134</v>
      </c>
      <c r="C147" s="0" t="s">
        <v>134</v>
      </c>
      <c r="D147" s="0" t="s">
        <v>135</v>
      </c>
      <c r="E147" s="0" t="s">
        <v>3</v>
      </c>
      <c r="F147" s="0" t="s">
        <v>12</v>
      </c>
      <c r="G147" s="0" t="s">
        <v>8</v>
      </c>
      <c r="H147" s="0">
        <v>4584</v>
      </c>
      <c r="I147" s="0">
        <v>0</v>
      </c>
      <c r="J147" s="0">
        <v>0</v>
      </c>
      <c r="K147" s="0">
        <v>1</v>
      </c>
      <c r="L147" s="0">
        <v>3</v>
      </c>
      <c r="M147" s="0">
        <v>1</v>
      </c>
      <c r="N147" s="0">
        <v>0</v>
      </c>
      <c r="O147" s="0">
        <v>0</v>
      </c>
      <c r="P147" s="0">
        <v>0</v>
      </c>
      <c r="R147" s="0" t="b">
        <v>0</v>
      </c>
      <c r="S147" s="0" t="b">
        <v>1</v>
      </c>
      <c r="T147" s="68">
        <v>41469.5</v>
      </c>
      <c r="U147" s="68">
        <v>41531.5416666667</v>
      </c>
      <c r="V147" s="68">
        <v>0</v>
      </c>
      <c r="W147" s="0">
        <f>IF(IF(B147="none",1,IF(B147="Trialer",1,0))+IF(C147="Customer",1,IF(C147="Lost",1,0))=2,1,0)</f>
      </c>
      <c r="X147" s="0" t="s">
        <v>166</v>
      </c>
      <c r="Y147" s="0" t="s">
        <v>213</v>
      </c>
      <c r="AV147" s="68"/>
      <c r="AW147" s="68"/>
      <c r="AY147" s="27"/>
      <c r="BD147" s="68">
        <v>46054.1666666667</v>
      </c>
      <c r="BE147" s="68">
        <v>46082.1666666667</v>
      </c>
      <c r="BF147" s="0" t="b">
        <v>0</v>
      </c>
      <c r="BG147" s="0" t="b">
        <v>0</v>
      </c>
      <c r="BH147" s="0">
        <v>0</v>
      </c>
      <c r="BI147" s="0">
        <v>0</v>
      </c>
      <c r="BJ147" s="0" t="s">
        <v>135</v>
      </c>
    </row>
    <row r="148">
      <c r="A148" s="0" t="s">
        <v>307</v>
      </c>
      <c r="B148" s="0" t="s">
        <v>134</v>
      </c>
      <c r="C148" s="0" t="s">
        <v>134</v>
      </c>
      <c r="D148" s="0" t="s">
        <v>135</v>
      </c>
      <c r="E148" s="0" t="s">
        <v>2</v>
      </c>
      <c r="F148" s="0" t="s">
        <v>12</v>
      </c>
      <c r="G148" s="0" t="s">
        <v>7</v>
      </c>
      <c r="H148" s="0">
        <v>4581</v>
      </c>
      <c r="I148" s="0">
        <v>800</v>
      </c>
      <c r="J148" s="0">
        <v>0</v>
      </c>
      <c r="K148" s="0">
        <v>1</v>
      </c>
      <c r="L148" s="0">
        <v>1</v>
      </c>
      <c r="M148" s="0">
        <v>20</v>
      </c>
      <c r="N148" s="0">
        <v>0</v>
      </c>
      <c r="O148" s="0">
        <v>0</v>
      </c>
      <c r="P148" s="0">
        <v>0</v>
      </c>
      <c r="R148" s="0" t="b">
        <v>0</v>
      </c>
      <c r="S148" s="0" t="b">
        <v>1</v>
      </c>
      <c r="T148" s="68">
        <v>41472.5</v>
      </c>
      <c r="U148" s="68">
        <v>41505.5</v>
      </c>
      <c r="V148" s="68">
        <v>0</v>
      </c>
      <c r="W148" s="0">
        <f>IF(IF(B148="none",1,IF(B148="Trialer",1,0))+IF(C148="Customer",1,IF(C148="Lost",1,0))=2,1,0)</f>
      </c>
      <c r="X148" s="0" t="s">
        <v>148</v>
      </c>
      <c r="Y148" s="0" t="s">
        <v>137</v>
      </c>
      <c r="AV148" s="68"/>
      <c r="AW148" s="68"/>
      <c r="AY148" s="27"/>
      <c r="BD148" s="68">
        <v>46054.1666666667</v>
      </c>
      <c r="BE148" s="68">
        <v>46082.1666666667</v>
      </c>
      <c r="BF148" s="0" t="b">
        <v>0</v>
      </c>
      <c r="BG148" s="0" t="b">
        <v>0</v>
      </c>
      <c r="BH148" s="0">
        <v>800</v>
      </c>
      <c r="BI148" s="0">
        <v>800</v>
      </c>
      <c r="BJ148" s="0" t="s">
        <v>135</v>
      </c>
    </row>
    <row r="149">
      <c r="A149" s="0" t="s">
        <v>308</v>
      </c>
      <c r="B149" s="0" t="s">
        <v>134</v>
      </c>
      <c r="C149" s="0" t="s">
        <v>134</v>
      </c>
      <c r="D149" s="0" t="s">
        <v>135</v>
      </c>
      <c r="E149" s="0" t="s">
        <v>2</v>
      </c>
      <c r="F149" s="0" t="s">
        <v>12</v>
      </c>
      <c r="G149" s="0" t="s">
        <v>8</v>
      </c>
      <c r="H149" s="0">
        <v>4581</v>
      </c>
      <c r="I149" s="0">
        <v>0</v>
      </c>
      <c r="J149" s="0">
        <v>0</v>
      </c>
      <c r="K149" s="0">
        <v>1</v>
      </c>
      <c r="L149" s="0">
        <v>3</v>
      </c>
      <c r="M149" s="0">
        <v>1</v>
      </c>
      <c r="N149" s="0">
        <v>0</v>
      </c>
      <c r="O149" s="0">
        <v>0</v>
      </c>
      <c r="P149" s="0">
        <v>0</v>
      </c>
      <c r="R149" s="0" t="b">
        <v>0</v>
      </c>
      <c r="S149" s="0" t="b">
        <v>1</v>
      </c>
      <c r="T149" s="68">
        <v>41472.5</v>
      </c>
      <c r="U149" s="68">
        <v>41565.5416666667</v>
      </c>
      <c r="V149" s="68">
        <v>0</v>
      </c>
      <c r="W149" s="0">
        <f>IF(IF(B149="none",1,IF(B149="Trialer",1,0))+IF(C149="Customer",1,IF(C149="Lost",1,0))=2,1,0)</f>
      </c>
      <c r="X149" s="0" t="s">
        <v>142</v>
      </c>
      <c r="Y149" s="0" t="s">
        <v>137</v>
      </c>
      <c r="AV149" s="68"/>
      <c r="AW149" s="68"/>
      <c r="AY149" s="27"/>
      <c r="BD149" s="68">
        <v>46054.1666666667</v>
      </c>
      <c r="BE149" s="68">
        <v>46082.1666666667</v>
      </c>
      <c r="BF149" s="0" t="b">
        <v>0</v>
      </c>
      <c r="BG149" s="0" t="b">
        <v>0</v>
      </c>
      <c r="BH149" s="0">
        <v>0</v>
      </c>
      <c r="BI149" s="0">
        <v>0</v>
      </c>
      <c r="BJ149" s="0" t="s">
        <v>135</v>
      </c>
    </row>
    <row r="150">
      <c r="A150" s="0" t="s">
        <v>309</v>
      </c>
      <c r="B150" s="0" t="s">
        <v>134</v>
      </c>
      <c r="C150" s="0" t="s">
        <v>134</v>
      </c>
      <c r="D150" s="0" t="s">
        <v>135</v>
      </c>
      <c r="E150" s="0" t="s">
        <v>3</v>
      </c>
      <c r="F150" s="0" t="s">
        <v>12</v>
      </c>
      <c r="G150" s="0" t="s">
        <v>8</v>
      </c>
      <c r="H150" s="0">
        <v>4579</v>
      </c>
      <c r="I150" s="0">
        <v>0</v>
      </c>
      <c r="J150" s="0">
        <v>0</v>
      </c>
      <c r="K150" s="0">
        <v>1</v>
      </c>
      <c r="L150" s="0">
        <v>5</v>
      </c>
      <c r="M150" s="0">
        <v>1</v>
      </c>
      <c r="N150" s="0">
        <v>0</v>
      </c>
      <c r="O150" s="0">
        <v>0</v>
      </c>
      <c r="P150" s="0">
        <v>0</v>
      </c>
      <c r="R150" s="0" t="b">
        <v>0</v>
      </c>
      <c r="S150" s="0" t="b">
        <v>1</v>
      </c>
      <c r="T150" s="68">
        <v>41474.5</v>
      </c>
      <c r="U150" s="68">
        <v>41505.5416666667</v>
      </c>
      <c r="V150" s="68">
        <v>0</v>
      </c>
      <c r="W150" s="0">
        <f>IF(IF(B150="none",1,IF(B150="Trialer",1,0))+IF(C150="Customer",1,IF(C150="Lost",1,0))=2,1,0)</f>
      </c>
      <c r="X150" s="0" t="s">
        <v>142</v>
      </c>
      <c r="Y150" s="0" t="s">
        <v>213</v>
      </c>
      <c r="AV150" s="68"/>
      <c r="AW150" s="68"/>
      <c r="AY150" s="27"/>
      <c r="BD150" s="68">
        <v>46054.1666666667</v>
      </c>
      <c r="BE150" s="68">
        <v>46082.1666666667</v>
      </c>
      <c r="BF150" s="0" t="b">
        <v>0</v>
      </c>
      <c r="BG150" s="0" t="b">
        <v>0</v>
      </c>
      <c r="BH150" s="0">
        <v>0</v>
      </c>
      <c r="BI150" s="0">
        <v>0</v>
      </c>
      <c r="BJ150" s="0" t="s">
        <v>135</v>
      </c>
    </row>
    <row r="151">
      <c r="A151" s="0" t="s">
        <v>310</v>
      </c>
      <c r="B151" s="0" t="s">
        <v>134</v>
      </c>
      <c r="C151" s="0" t="s">
        <v>134</v>
      </c>
      <c r="D151" s="0" t="s">
        <v>135</v>
      </c>
      <c r="E151" s="0" t="s">
        <v>2</v>
      </c>
      <c r="F151" s="0" t="s">
        <v>12</v>
      </c>
      <c r="G151" s="0" t="s">
        <v>8</v>
      </c>
      <c r="H151" s="0">
        <v>4578</v>
      </c>
      <c r="I151" s="0">
        <v>0</v>
      </c>
      <c r="J151" s="0">
        <v>0</v>
      </c>
      <c r="K151" s="0">
        <v>1</v>
      </c>
      <c r="L151" s="0">
        <v>2</v>
      </c>
      <c r="M151" s="0">
        <v>2</v>
      </c>
      <c r="N151" s="0">
        <v>0</v>
      </c>
      <c r="O151" s="0">
        <v>0</v>
      </c>
      <c r="P151" s="0">
        <v>0</v>
      </c>
      <c r="R151" s="0" t="b">
        <v>0</v>
      </c>
      <c r="S151" s="0" t="b">
        <v>1</v>
      </c>
      <c r="T151" s="68">
        <v>41475.5</v>
      </c>
      <c r="U151" s="68">
        <v>41506.5416666667</v>
      </c>
      <c r="V151" s="68">
        <v>0</v>
      </c>
      <c r="W151" s="0">
        <f>IF(IF(B151="none",1,IF(B151="Trialer",1,0))+IF(C151="Customer",1,IF(C151="Lost",1,0))=2,1,0)</f>
      </c>
      <c r="X151" s="0" t="s">
        <v>166</v>
      </c>
      <c r="Y151" s="0" t="s">
        <v>137</v>
      </c>
      <c r="AV151" s="68"/>
      <c r="AW151" s="68"/>
      <c r="AY151" s="27"/>
      <c r="BD151" s="68">
        <v>46054.1666666667</v>
      </c>
      <c r="BE151" s="68">
        <v>46082.1666666667</v>
      </c>
      <c r="BF151" s="0" t="b">
        <v>0</v>
      </c>
      <c r="BG151" s="0" t="b">
        <v>0</v>
      </c>
      <c r="BH151" s="0">
        <v>0</v>
      </c>
      <c r="BI151" s="0">
        <v>0</v>
      </c>
      <c r="BJ151" s="0" t="s">
        <v>135</v>
      </c>
    </row>
    <row r="152">
      <c r="A152" s="0" t="s">
        <v>311</v>
      </c>
      <c r="B152" s="0" t="s">
        <v>134</v>
      </c>
      <c r="C152" s="0" t="s">
        <v>134</v>
      </c>
      <c r="D152" s="0" t="s">
        <v>230</v>
      </c>
      <c r="E152" s="0" t="s">
        <v>2</v>
      </c>
      <c r="F152" s="0" t="s">
        <v>12</v>
      </c>
      <c r="G152" s="0" t="s">
        <v>7</v>
      </c>
      <c r="H152" s="0">
        <v>4575</v>
      </c>
      <c r="I152" s="0">
        <v>22.5</v>
      </c>
      <c r="J152" s="0">
        <v>0</v>
      </c>
      <c r="K152" s="0">
        <v>1</v>
      </c>
      <c r="L152" s="0">
        <v>1</v>
      </c>
      <c r="M152" s="0">
        <v>1</v>
      </c>
      <c r="N152" s="0">
        <v>0</v>
      </c>
      <c r="O152" s="0">
        <v>0</v>
      </c>
      <c r="P152" s="0">
        <v>-22.5</v>
      </c>
      <c r="R152" s="0" t="b">
        <v>0</v>
      </c>
      <c r="S152" s="0" t="b">
        <v>1</v>
      </c>
      <c r="T152" s="68">
        <v>41478.5</v>
      </c>
      <c r="U152" s="68">
        <v>41520.5416666667</v>
      </c>
      <c r="V152" s="68">
        <v>0</v>
      </c>
      <c r="W152" s="0">
        <f>IF(IF(B152="none",1,IF(B152="Trialer",1,0))+IF(C152="Customer",1,IF(C152="Lost",1,0))=2,1,0)</f>
      </c>
      <c r="X152" s="0" t="s">
        <v>145</v>
      </c>
      <c r="Y152" s="0" t="s">
        <v>235</v>
      </c>
      <c r="AV152" s="68"/>
      <c r="AW152" s="68"/>
      <c r="AY152" s="27"/>
      <c r="BD152" s="68">
        <v>46054.1666666667</v>
      </c>
      <c r="BE152" s="68">
        <v>46082.1666666667</v>
      </c>
      <c r="BF152" s="0" t="b">
        <v>0</v>
      </c>
      <c r="BG152" s="0" t="b">
        <v>0</v>
      </c>
      <c r="BH152" s="0">
        <v>25</v>
      </c>
      <c r="BI152" s="0">
        <v>25</v>
      </c>
      <c r="BJ152" s="0" t="s">
        <v>230</v>
      </c>
    </row>
    <row r="153">
      <c r="A153" s="0" t="s">
        <v>312</v>
      </c>
      <c r="B153" s="0" t="s">
        <v>134</v>
      </c>
      <c r="C153" s="0" t="s">
        <v>134</v>
      </c>
      <c r="D153" s="0" t="s">
        <v>135</v>
      </c>
      <c r="E153" s="0" t="s">
        <v>2</v>
      </c>
      <c r="F153" s="0" t="s">
        <v>12</v>
      </c>
      <c r="G153" s="0" t="s">
        <v>8</v>
      </c>
      <c r="H153" s="0">
        <v>4573</v>
      </c>
      <c r="I153" s="0">
        <v>0</v>
      </c>
      <c r="J153" s="0">
        <v>0</v>
      </c>
      <c r="K153" s="0">
        <v>1</v>
      </c>
      <c r="L153" s="0">
        <v>3</v>
      </c>
      <c r="M153" s="0">
        <v>1</v>
      </c>
      <c r="N153" s="0">
        <v>0</v>
      </c>
      <c r="O153" s="0">
        <v>0</v>
      </c>
      <c r="P153" s="0">
        <v>0</v>
      </c>
      <c r="R153" s="0" t="b">
        <v>0</v>
      </c>
      <c r="S153" s="0" t="b">
        <v>1</v>
      </c>
      <c r="T153" s="68">
        <v>41480.5</v>
      </c>
      <c r="U153" s="68">
        <v>41511.5416666667</v>
      </c>
      <c r="V153" s="68">
        <v>0</v>
      </c>
      <c r="W153" s="0">
        <f>IF(IF(B153="none",1,IF(B153="Trialer",1,0))+IF(C153="Customer",1,IF(C153="Lost",1,0))=2,1,0)</f>
      </c>
      <c r="X153" s="0" t="s">
        <v>148</v>
      </c>
      <c r="Y153" s="0" t="s">
        <v>137</v>
      </c>
      <c r="AV153" s="68"/>
      <c r="AW153" s="68"/>
      <c r="AY153" s="27"/>
      <c r="BD153" s="68">
        <v>46054.1666666667</v>
      </c>
      <c r="BE153" s="68">
        <v>46082.1666666667</v>
      </c>
      <c r="BF153" s="0" t="b">
        <v>0</v>
      </c>
      <c r="BG153" s="0" t="b">
        <v>0</v>
      </c>
      <c r="BH153" s="0">
        <v>0</v>
      </c>
      <c r="BI153" s="0">
        <v>0</v>
      </c>
      <c r="BJ153" s="0" t="s">
        <v>135</v>
      </c>
    </row>
    <row r="154">
      <c r="A154" s="0" t="s">
        <v>313</v>
      </c>
      <c r="B154" s="0" t="s">
        <v>134</v>
      </c>
      <c r="C154" s="0" t="s">
        <v>134</v>
      </c>
      <c r="D154" s="0" t="s">
        <v>135</v>
      </c>
      <c r="E154" s="0" t="s">
        <v>2</v>
      </c>
      <c r="F154" s="0" t="s">
        <v>12</v>
      </c>
      <c r="G154" s="0" t="s">
        <v>7</v>
      </c>
      <c r="H154" s="0">
        <v>4567</v>
      </c>
      <c r="I154" s="0">
        <v>0</v>
      </c>
      <c r="J154" s="0">
        <v>0</v>
      </c>
      <c r="K154" s="0">
        <v>1</v>
      </c>
      <c r="L154" s="0">
        <v>1</v>
      </c>
      <c r="M154" s="0">
        <v>4</v>
      </c>
      <c r="N154" s="0">
        <v>0</v>
      </c>
      <c r="O154" s="0">
        <v>0</v>
      </c>
      <c r="P154" s="0">
        <v>0</v>
      </c>
      <c r="R154" s="0" t="b">
        <v>0</v>
      </c>
      <c r="S154" s="0" t="b">
        <v>1</v>
      </c>
      <c r="T154" s="68">
        <v>41486.5</v>
      </c>
      <c r="U154" s="68">
        <v>41517.5416666667</v>
      </c>
      <c r="V154" s="68">
        <v>0</v>
      </c>
      <c r="W154" s="0">
        <f>IF(IF(B154="none",1,IF(B154="Trialer",1,0))+IF(C154="Customer",1,IF(C154="Lost",1,0))=2,1,0)</f>
      </c>
      <c r="X154" s="0" t="s">
        <v>136</v>
      </c>
      <c r="Y154" s="0" t="s">
        <v>137</v>
      </c>
      <c r="AV154" s="68"/>
      <c r="AW154" s="68"/>
      <c r="AY154" s="27"/>
      <c r="BD154" s="68">
        <v>46054.1666666667</v>
      </c>
      <c r="BE154" s="68">
        <v>46082.1666666667</v>
      </c>
      <c r="BF154" s="0" t="b">
        <v>0</v>
      </c>
      <c r="BG154" s="0" t="b">
        <v>0</v>
      </c>
      <c r="BH154" s="0">
        <v>0</v>
      </c>
      <c r="BI154" s="0">
        <v>0</v>
      </c>
      <c r="BJ154" s="0" t="s">
        <v>135</v>
      </c>
    </row>
    <row r="155">
      <c r="A155" s="0" t="s">
        <v>314</v>
      </c>
      <c r="B155" s="0" t="s">
        <v>134</v>
      </c>
      <c r="C155" s="0" t="s">
        <v>134</v>
      </c>
      <c r="D155" s="0" t="s">
        <v>135</v>
      </c>
      <c r="E155" s="0" t="s">
        <v>2</v>
      </c>
      <c r="F155" s="0" t="s">
        <v>12</v>
      </c>
      <c r="G155" s="0" t="s">
        <v>8</v>
      </c>
      <c r="H155" s="0">
        <v>4567</v>
      </c>
      <c r="I155" s="0">
        <v>0</v>
      </c>
      <c r="J155" s="0">
        <v>0</v>
      </c>
      <c r="K155" s="0">
        <v>1</v>
      </c>
      <c r="L155" s="0">
        <v>2</v>
      </c>
      <c r="M155" s="0">
        <v>1</v>
      </c>
      <c r="N155" s="0">
        <v>0</v>
      </c>
      <c r="O155" s="0">
        <v>0</v>
      </c>
      <c r="P155" s="0">
        <v>0</v>
      </c>
      <c r="R155" s="0" t="b">
        <v>0</v>
      </c>
      <c r="S155" s="0" t="b">
        <v>1</v>
      </c>
      <c r="T155" s="68">
        <v>41486.5</v>
      </c>
      <c r="U155" s="68">
        <v>41517.5416666667</v>
      </c>
      <c r="V155" s="68">
        <v>0</v>
      </c>
      <c r="W155" s="0">
        <f>IF(IF(B155="none",1,IF(B155="Trialer",1,0))+IF(C155="Customer",1,IF(C155="Lost",1,0))=2,1,0)</f>
      </c>
      <c r="X155" s="0" t="s">
        <v>136</v>
      </c>
      <c r="Y155" s="0" t="s">
        <v>137</v>
      </c>
      <c r="AV155" s="68"/>
      <c r="AW155" s="68"/>
      <c r="AY155" s="27"/>
      <c r="BD155" s="68">
        <v>46054.1666666667</v>
      </c>
      <c r="BE155" s="68">
        <v>46082.1666666667</v>
      </c>
      <c r="BF155" s="0" t="b">
        <v>0</v>
      </c>
      <c r="BG155" s="0" t="b">
        <v>0</v>
      </c>
      <c r="BH155" s="0">
        <v>0</v>
      </c>
      <c r="BI155" s="0">
        <v>0</v>
      </c>
      <c r="BJ155" s="0" t="s">
        <v>135</v>
      </c>
    </row>
    <row r="156">
      <c r="A156" s="0" t="s">
        <v>315</v>
      </c>
      <c r="B156" s="0" t="s">
        <v>134</v>
      </c>
      <c r="C156" s="0" t="s">
        <v>134</v>
      </c>
      <c r="D156" s="0" t="s">
        <v>230</v>
      </c>
      <c r="E156" s="0" t="s">
        <v>3</v>
      </c>
      <c r="F156" s="0" t="s">
        <v>12</v>
      </c>
      <c r="G156" s="0" t="s">
        <v>8</v>
      </c>
      <c r="H156" s="0">
        <v>4557</v>
      </c>
      <c r="I156" s="0">
        <v>31.5</v>
      </c>
      <c r="J156" s="0">
        <v>0</v>
      </c>
      <c r="K156" s="0">
        <v>1</v>
      </c>
      <c r="L156" s="0">
        <v>2</v>
      </c>
      <c r="M156" s="0">
        <v>1</v>
      </c>
      <c r="N156" s="0">
        <v>0</v>
      </c>
      <c r="O156" s="0">
        <v>0</v>
      </c>
      <c r="P156" s="0">
        <v>-31.5</v>
      </c>
      <c r="R156" s="0" t="b">
        <v>0</v>
      </c>
      <c r="S156" s="0" t="b">
        <v>1</v>
      </c>
      <c r="T156" s="68">
        <v>41496.6027777778</v>
      </c>
      <c r="U156" s="68">
        <v>41529.5416666667</v>
      </c>
      <c r="V156" s="68">
        <v>0</v>
      </c>
      <c r="W156" s="0">
        <f>IF(IF(B156="none",1,IF(B156="Trialer",1,0))+IF(C156="Customer",1,IF(C156="Lost",1,0))=2,1,0)</f>
      </c>
      <c r="X156" s="0" t="s">
        <v>166</v>
      </c>
      <c r="Y156" s="0" t="s">
        <v>219</v>
      </c>
      <c r="AV156" s="68"/>
      <c r="AW156" s="68"/>
      <c r="AY156" s="27"/>
      <c r="BD156" s="68">
        <v>46054.1666666667</v>
      </c>
      <c r="BE156" s="68">
        <v>46082.1666666667</v>
      </c>
      <c r="BF156" s="0" t="b">
        <v>0</v>
      </c>
      <c r="BG156" s="0" t="b">
        <v>0</v>
      </c>
      <c r="BH156" s="0">
        <v>35</v>
      </c>
      <c r="BI156" s="0">
        <v>35</v>
      </c>
      <c r="BJ156" s="0" t="s">
        <v>230</v>
      </c>
    </row>
    <row r="157">
      <c r="A157" s="0" t="s">
        <v>316</v>
      </c>
      <c r="B157" s="0" t="s">
        <v>134</v>
      </c>
      <c r="C157" s="0" t="s">
        <v>134</v>
      </c>
      <c r="D157" s="0" t="s">
        <v>135</v>
      </c>
      <c r="E157" s="0" t="s">
        <v>2</v>
      </c>
      <c r="F157" s="0" t="s">
        <v>12</v>
      </c>
      <c r="G157" s="0" t="s">
        <v>7</v>
      </c>
      <c r="H157" s="0">
        <v>4541</v>
      </c>
      <c r="I157" s="0">
        <v>0</v>
      </c>
      <c r="J157" s="0">
        <v>0</v>
      </c>
      <c r="K157" s="0">
        <v>1</v>
      </c>
      <c r="L157" s="0">
        <v>1</v>
      </c>
      <c r="M157" s="0">
        <v>2</v>
      </c>
      <c r="N157" s="0">
        <v>0</v>
      </c>
      <c r="O157" s="0">
        <v>0</v>
      </c>
      <c r="P157" s="0">
        <v>0</v>
      </c>
      <c r="R157" s="0" t="b">
        <v>0</v>
      </c>
      <c r="S157" s="0" t="b">
        <v>1</v>
      </c>
      <c r="T157" s="68">
        <v>41512.5</v>
      </c>
      <c r="U157" s="68">
        <v>41543.5416666667</v>
      </c>
      <c r="V157" s="68">
        <v>0</v>
      </c>
      <c r="W157" s="0">
        <f>IF(IF(B157="none",1,IF(B157="Trialer",1,0))+IF(C157="Customer",1,IF(C157="Lost",1,0))=2,1,0)</f>
      </c>
      <c r="X157" s="0" t="s">
        <v>136</v>
      </c>
      <c r="Y157" s="0" t="s">
        <v>137</v>
      </c>
      <c r="AV157" s="68"/>
      <c r="AW157" s="68"/>
      <c r="AY157" s="27"/>
      <c r="BD157" s="68">
        <v>46054.1666666667</v>
      </c>
      <c r="BE157" s="68">
        <v>46082.1666666667</v>
      </c>
      <c r="BF157" s="0" t="b">
        <v>0</v>
      </c>
      <c r="BG157" s="0" t="b">
        <v>0</v>
      </c>
      <c r="BH157" s="0">
        <v>0</v>
      </c>
      <c r="BI157" s="0">
        <v>0</v>
      </c>
      <c r="BJ157" s="0" t="s">
        <v>135</v>
      </c>
    </row>
    <row r="158">
      <c r="A158" s="0" t="s">
        <v>317</v>
      </c>
      <c r="B158" s="0" t="s">
        <v>134</v>
      </c>
      <c r="C158" s="0" t="s">
        <v>134</v>
      </c>
      <c r="D158" s="0" t="s">
        <v>135</v>
      </c>
      <c r="E158" s="0" t="s">
        <v>2</v>
      </c>
      <c r="F158" s="0" t="s">
        <v>12</v>
      </c>
      <c r="G158" s="0" t="s">
        <v>8</v>
      </c>
      <c r="H158" s="0">
        <v>4541</v>
      </c>
      <c r="I158" s="0">
        <v>0</v>
      </c>
      <c r="J158" s="0">
        <v>0</v>
      </c>
      <c r="K158" s="0">
        <v>1</v>
      </c>
      <c r="L158" s="0">
        <v>2</v>
      </c>
      <c r="M158" s="0">
        <v>1</v>
      </c>
      <c r="N158" s="0">
        <v>0</v>
      </c>
      <c r="O158" s="0">
        <v>0</v>
      </c>
      <c r="P158" s="0">
        <v>0</v>
      </c>
      <c r="R158" s="0" t="b">
        <v>0</v>
      </c>
      <c r="S158" s="0" t="b">
        <v>1</v>
      </c>
      <c r="T158" s="68">
        <v>41512.5</v>
      </c>
      <c r="U158" s="68">
        <v>41543.5</v>
      </c>
      <c r="V158" s="68">
        <v>0</v>
      </c>
      <c r="W158" s="0">
        <f>IF(IF(B158="none",1,IF(B158="Trialer",1,0))+IF(C158="Customer",1,IF(C158="Lost",1,0))=2,1,0)</f>
      </c>
      <c r="X158" s="0" t="s">
        <v>142</v>
      </c>
      <c r="Y158" s="0" t="s">
        <v>137</v>
      </c>
      <c r="AV158" s="68"/>
      <c r="AW158" s="68"/>
      <c r="AY158" s="27"/>
      <c r="BD158" s="68">
        <v>46054.1666666667</v>
      </c>
      <c r="BE158" s="68">
        <v>46082.1666666667</v>
      </c>
      <c r="BF158" s="0" t="b">
        <v>0</v>
      </c>
      <c r="BG158" s="0" t="b">
        <v>0</v>
      </c>
      <c r="BH158" s="0">
        <v>0</v>
      </c>
      <c r="BI158" s="0">
        <v>0</v>
      </c>
      <c r="BJ158" s="0" t="s">
        <v>135</v>
      </c>
    </row>
    <row r="159">
      <c r="A159" s="0" t="s">
        <v>318</v>
      </c>
      <c r="B159" s="0" t="s">
        <v>134</v>
      </c>
      <c r="C159" s="0" t="s">
        <v>134</v>
      </c>
      <c r="D159" s="0" t="s">
        <v>135</v>
      </c>
      <c r="E159" s="0" t="s">
        <v>2</v>
      </c>
      <c r="F159" s="0" t="s">
        <v>12</v>
      </c>
      <c r="G159" s="0" t="s">
        <v>7</v>
      </c>
      <c r="H159" s="0">
        <v>4538</v>
      </c>
      <c r="I159" s="0">
        <v>75</v>
      </c>
      <c r="J159" s="0">
        <v>0</v>
      </c>
      <c r="K159" s="0">
        <v>1</v>
      </c>
      <c r="L159" s="0">
        <v>1</v>
      </c>
      <c r="M159" s="0">
        <v>3</v>
      </c>
      <c r="N159" s="0">
        <v>0</v>
      </c>
      <c r="O159" s="0">
        <v>0</v>
      </c>
      <c r="P159" s="0">
        <v>0</v>
      </c>
      <c r="R159" s="0" t="b">
        <v>0</v>
      </c>
      <c r="S159" s="0" t="b">
        <v>1</v>
      </c>
      <c r="T159" s="68">
        <v>41515.6159722222</v>
      </c>
      <c r="U159" s="68">
        <v>41546.5416666667</v>
      </c>
      <c r="V159" s="68">
        <v>0</v>
      </c>
      <c r="W159" s="0">
        <f>IF(IF(B159="none",1,IF(B159="Trialer",1,0))+IF(C159="Customer",1,IF(C159="Lost",1,0))=2,1,0)</f>
      </c>
      <c r="X159" s="0" t="s">
        <v>142</v>
      </c>
      <c r="Y159" s="0" t="s">
        <v>235</v>
      </c>
      <c r="AV159" s="68"/>
      <c r="AW159" s="68"/>
      <c r="AY159" s="27"/>
      <c r="BD159" s="68">
        <v>46054.1666666667</v>
      </c>
      <c r="BE159" s="68">
        <v>46082.1666666667</v>
      </c>
      <c r="BF159" s="0" t="b">
        <v>0</v>
      </c>
      <c r="BG159" s="0" t="b">
        <v>0</v>
      </c>
      <c r="BH159" s="0">
        <v>75</v>
      </c>
      <c r="BI159" s="0">
        <v>75</v>
      </c>
      <c r="BJ159" s="0" t="s">
        <v>135</v>
      </c>
    </row>
    <row r="160">
      <c r="A160" s="0" t="s">
        <v>319</v>
      </c>
      <c r="B160" s="0" t="s">
        <v>134</v>
      </c>
      <c r="C160" s="0" t="s">
        <v>134</v>
      </c>
      <c r="D160" s="0" t="s">
        <v>135</v>
      </c>
      <c r="E160" s="0" t="s">
        <v>3</v>
      </c>
      <c r="F160" s="0" t="s">
        <v>12</v>
      </c>
      <c r="G160" s="0" t="s">
        <v>7</v>
      </c>
      <c r="H160" s="0">
        <v>4530</v>
      </c>
      <c r="I160" s="0">
        <v>0</v>
      </c>
      <c r="J160" s="0">
        <v>0</v>
      </c>
      <c r="K160" s="0">
        <v>1</v>
      </c>
      <c r="L160" s="0">
        <v>1</v>
      </c>
      <c r="M160" s="0">
        <v>2</v>
      </c>
      <c r="N160" s="0">
        <v>0</v>
      </c>
      <c r="O160" s="0">
        <v>0</v>
      </c>
      <c r="P160" s="0">
        <v>0</v>
      </c>
      <c r="R160" s="0" t="b">
        <v>0</v>
      </c>
      <c r="S160" s="0" t="b">
        <v>1</v>
      </c>
      <c r="T160" s="68">
        <v>41523.5</v>
      </c>
      <c r="U160" s="68">
        <v>41553.5416666667</v>
      </c>
      <c r="V160" s="68">
        <v>0</v>
      </c>
      <c r="W160" s="0">
        <f>IF(IF(B160="none",1,IF(B160="Trialer",1,0))+IF(C160="Customer",1,IF(C160="Lost",1,0))=2,1,0)</f>
      </c>
      <c r="X160" s="0" t="s">
        <v>166</v>
      </c>
      <c r="Y160" s="0" t="s">
        <v>213</v>
      </c>
      <c r="AV160" s="68"/>
      <c r="AW160" s="68"/>
      <c r="AY160" s="27"/>
      <c r="BD160" s="68">
        <v>46054.1666666667</v>
      </c>
      <c r="BE160" s="68">
        <v>46082.1666666667</v>
      </c>
      <c r="BF160" s="0" t="b">
        <v>0</v>
      </c>
      <c r="BG160" s="0" t="b">
        <v>0</v>
      </c>
      <c r="BH160" s="0">
        <v>0</v>
      </c>
      <c r="BI160" s="0">
        <v>0</v>
      </c>
      <c r="BJ160" s="0" t="s">
        <v>135</v>
      </c>
    </row>
    <row r="161">
      <c r="A161" s="0" t="s">
        <v>320</v>
      </c>
      <c r="B161" s="0" t="s">
        <v>134</v>
      </c>
      <c r="C161" s="0" t="s">
        <v>134</v>
      </c>
      <c r="D161" s="0" t="s">
        <v>135</v>
      </c>
      <c r="E161" s="0" t="s">
        <v>2</v>
      </c>
      <c r="F161" s="0" t="s">
        <v>12</v>
      </c>
      <c r="G161" s="0" t="s">
        <v>7</v>
      </c>
      <c r="H161" s="0">
        <v>4523</v>
      </c>
      <c r="I161" s="0">
        <v>120</v>
      </c>
      <c r="J161" s="0">
        <v>0</v>
      </c>
      <c r="K161" s="0">
        <v>1</v>
      </c>
      <c r="L161" s="0">
        <v>1</v>
      </c>
      <c r="M161" s="0">
        <v>3</v>
      </c>
      <c r="N161" s="0">
        <v>0</v>
      </c>
      <c r="O161" s="0">
        <v>0</v>
      </c>
      <c r="P161" s="0">
        <v>0</v>
      </c>
      <c r="R161" s="0" t="b">
        <v>0</v>
      </c>
      <c r="S161" s="0" t="b">
        <v>0</v>
      </c>
      <c r="T161" s="68">
        <v>41530.4936342593</v>
      </c>
      <c r="U161" s="68">
        <v>41561.5416666667</v>
      </c>
      <c r="V161" s="68">
        <v>46098.707650463</v>
      </c>
      <c r="W161" s="0">
        <f>IF(IF(B161="none",1,IF(B161="Trialer",1,0))+IF(C161="Customer",1,IF(C161="Lost",1,0))=2,1,0)</f>
      </c>
      <c r="X161" s="0" t="s">
        <v>142</v>
      </c>
      <c r="Y161" s="0" t="s">
        <v>137</v>
      </c>
      <c r="AV161" s="68"/>
      <c r="AW161" s="68"/>
      <c r="AY161" s="27"/>
      <c r="BD161" s="68">
        <v>46054.1666666667</v>
      </c>
      <c r="BE161" s="68">
        <v>46082.1666666667</v>
      </c>
      <c r="BF161" s="0" t="b">
        <v>0</v>
      </c>
      <c r="BG161" s="0" t="b">
        <v>0</v>
      </c>
      <c r="BH161" s="0">
        <v>120</v>
      </c>
      <c r="BI161" s="0">
        <v>120</v>
      </c>
      <c r="BJ161" s="0" t="s">
        <v>135</v>
      </c>
    </row>
    <row r="162">
      <c r="A162" s="0" t="s">
        <v>321</v>
      </c>
      <c r="B162" s="0" t="s">
        <v>134</v>
      </c>
      <c r="C162" s="0" t="s">
        <v>134</v>
      </c>
      <c r="D162" s="0" t="s">
        <v>135</v>
      </c>
      <c r="E162" s="0" t="s">
        <v>2</v>
      </c>
      <c r="F162" s="0" t="s">
        <v>12</v>
      </c>
      <c r="G162" s="0" t="s">
        <v>7</v>
      </c>
      <c r="H162" s="0">
        <v>4523</v>
      </c>
      <c r="I162" s="0">
        <v>0</v>
      </c>
      <c r="J162" s="0">
        <v>0</v>
      </c>
      <c r="K162" s="0">
        <v>1</v>
      </c>
      <c r="L162" s="0">
        <v>1</v>
      </c>
      <c r="M162" s="0">
        <v>1</v>
      </c>
      <c r="N162" s="0">
        <v>0</v>
      </c>
      <c r="O162" s="0">
        <v>0</v>
      </c>
      <c r="P162" s="0">
        <v>0</v>
      </c>
      <c r="R162" s="0" t="b">
        <v>0</v>
      </c>
      <c r="S162" s="0" t="b">
        <v>1</v>
      </c>
      <c r="T162" s="68">
        <v>41530.5</v>
      </c>
      <c r="U162" s="68">
        <v>41560.5</v>
      </c>
      <c r="V162" s="68">
        <v>0</v>
      </c>
      <c r="W162" s="0">
        <f>IF(IF(B162="none",1,IF(B162="Trialer",1,0))+IF(C162="Customer",1,IF(C162="Lost",1,0))=2,1,0)</f>
      </c>
      <c r="X162" s="0" t="s">
        <v>148</v>
      </c>
      <c r="Y162" s="0" t="s">
        <v>137</v>
      </c>
      <c r="AV162" s="68"/>
      <c r="AW162" s="68"/>
      <c r="AY162" s="27"/>
      <c r="BD162" s="68">
        <v>46054.1666666667</v>
      </c>
      <c r="BE162" s="68">
        <v>46082.1666666667</v>
      </c>
      <c r="BF162" s="0" t="b">
        <v>0</v>
      </c>
      <c r="BG162" s="0" t="b">
        <v>0</v>
      </c>
      <c r="BH162" s="0">
        <v>0</v>
      </c>
      <c r="BI162" s="0">
        <v>0</v>
      </c>
      <c r="BJ162" s="0" t="s">
        <v>135</v>
      </c>
    </row>
    <row r="163">
      <c r="A163" s="0" t="s">
        <v>322</v>
      </c>
      <c r="B163" s="0" t="s">
        <v>134</v>
      </c>
      <c r="C163" s="0" t="s">
        <v>134</v>
      </c>
      <c r="D163" s="0" t="s">
        <v>135</v>
      </c>
      <c r="E163" s="0" t="s">
        <v>3</v>
      </c>
      <c r="F163" s="0" t="s">
        <v>12</v>
      </c>
      <c r="G163" s="0" t="s">
        <v>8</v>
      </c>
      <c r="H163" s="0">
        <v>4510</v>
      </c>
      <c r="I163" s="0">
        <v>69</v>
      </c>
      <c r="J163" s="0">
        <v>0</v>
      </c>
      <c r="K163" s="0">
        <v>1</v>
      </c>
      <c r="L163" s="0">
        <v>5</v>
      </c>
      <c r="M163" s="0">
        <v>1</v>
      </c>
      <c r="N163" s="0">
        <v>0</v>
      </c>
      <c r="O163" s="0">
        <v>0</v>
      </c>
      <c r="P163" s="0">
        <v>0</v>
      </c>
      <c r="R163" s="0" t="b">
        <v>0</v>
      </c>
      <c r="S163" s="0" t="b">
        <v>1</v>
      </c>
      <c r="T163" s="68">
        <v>41543.6475115741</v>
      </c>
      <c r="U163" s="68">
        <v>41575.5416666667</v>
      </c>
      <c r="V163" s="68">
        <v>0</v>
      </c>
      <c r="W163" s="0">
        <f>IF(IF(B163="none",1,IF(B163="Trialer",1,0))+IF(C163="Customer",1,IF(C163="Lost",1,0))=2,1,0)</f>
      </c>
      <c r="X163" s="0" t="s">
        <v>166</v>
      </c>
      <c r="Y163" s="0" t="s">
        <v>213</v>
      </c>
      <c r="AV163" s="68"/>
      <c r="AW163" s="68"/>
      <c r="AY163" s="27"/>
      <c r="BD163" s="68">
        <v>46054.1666666667</v>
      </c>
      <c r="BE163" s="68">
        <v>46082.1666666667</v>
      </c>
      <c r="BF163" s="0" t="b">
        <v>0</v>
      </c>
      <c r="BG163" s="0" t="b">
        <v>0</v>
      </c>
      <c r="BH163" s="0">
        <v>69</v>
      </c>
      <c r="BI163" s="0">
        <v>69</v>
      </c>
      <c r="BJ163" s="0" t="s">
        <v>135</v>
      </c>
    </row>
    <row r="164">
      <c r="A164" s="0" t="s">
        <v>323</v>
      </c>
      <c r="B164" s="0" t="s">
        <v>134</v>
      </c>
      <c r="C164" s="0" t="s">
        <v>134</v>
      </c>
      <c r="D164" s="0" t="s">
        <v>135</v>
      </c>
      <c r="E164" s="0" t="s">
        <v>2</v>
      </c>
      <c r="F164" s="0" t="s">
        <v>11</v>
      </c>
      <c r="G164" s="0" t="s">
        <v>8</v>
      </c>
      <c r="H164" s="0">
        <v>4504</v>
      </c>
      <c r="I164" s="0">
        <v>64</v>
      </c>
      <c r="J164" s="0">
        <v>0</v>
      </c>
      <c r="K164" s="0">
        <v>1</v>
      </c>
      <c r="L164" s="0">
        <v>2</v>
      </c>
      <c r="M164" s="0">
        <v>2</v>
      </c>
      <c r="N164" s="0">
        <v>0</v>
      </c>
      <c r="O164" s="0">
        <v>0</v>
      </c>
      <c r="P164" s="0">
        <v>0</v>
      </c>
      <c r="Q164" s="0" t="s">
        <v>324</v>
      </c>
      <c r="R164" s="0" t="b">
        <v>1</v>
      </c>
      <c r="S164" s="0" t="b">
        <v>1</v>
      </c>
      <c r="T164" s="68">
        <v>41549.5</v>
      </c>
      <c r="U164" s="68">
        <v>41580.5416666667</v>
      </c>
      <c r="V164" s="68">
        <v>0</v>
      </c>
      <c r="W164" s="0">
        <f>IF(IF(B164="none",1,IF(B164="Trialer",1,0))+IF(C164="Customer",1,IF(C164="Lost",1,0))=2,1,0)</f>
      </c>
      <c r="X164" s="0" t="s">
        <v>136</v>
      </c>
      <c r="Y164" s="0" t="s">
        <v>235</v>
      </c>
      <c r="AV164" s="68"/>
      <c r="AW164" s="68"/>
      <c r="AY164" s="27"/>
      <c r="BD164" s="68">
        <v>46054.1666666667</v>
      </c>
      <c r="BE164" s="68">
        <v>46082.1666666667</v>
      </c>
      <c r="BF164" s="0" t="b">
        <v>0</v>
      </c>
      <c r="BG164" s="0" t="b">
        <v>0</v>
      </c>
      <c r="BH164" s="0">
        <v>64</v>
      </c>
      <c r="BI164" s="0">
        <v>64</v>
      </c>
      <c r="BJ164" s="0" t="s">
        <v>135</v>
      </c>
    </row>
    <row r="165">
      <c r="A165" s="0" t="s">
        <v>325</v>
      </c>
      <c r="B165" s="0" t="s">
        <v>134</v>
      </c>
      <c r="C165" s="0" t="s">
        <v>134</v>
      </c>
      <c r="D165" s="0" t="s">
        <v>230</v>
      </c>
      <c r="E165" s="0" t="s">
        <v>2</v>
      </c>
      <c r="F165" s="0" t="s">
        <v>12</v>
      </c>
      <c r="G165" s="0" t="s">
        <v>7</v>
      </c>
      <c r="H165" s="0">
        <v>4504</v>
      </c>
      <c r="I165" s="0">
        <v>72</v>
      </c>
      <c r="J165" s="0">
        <v>0</v>
      </c>
      <c r="K165" s="0">
        <v>1</v>
      </c>
      <c r="L165" s="0">
        <v>1</v>
      </c>
      <c r="M165" s="0">
        <v>2</v>
      </c>
      <c r="N165" s="0">
        <v>0</v>
      </c>
      <c r="O165" s="0">
        <v>0</v>
      </c>
      <c r="P165" s="0">
        <v>-72</v>
      </c>
      <c r="R165" s="0" t="b">
        <v>0</v>
      </c>
      <c r="S165" s="0" t="b">
        <v>1</v>
      </c>
      <c r="T165" s="68">
        <v>41549.5</v>
      </c>
      <c r="U165" s="68">
        <v>41583.5</v>
      </c>
      <c r="V165" s="68">
        <v>0</v>
      </c>
      <c r="W165" s="0">
        <f>IF(IF(B165="none",1,IF(B165="Trialer",1,0))+IF(C165="Customer",1,IF(C165="Lost",1,0))=2,1,0)</f>
      </c>
      <c r="X165" s="0" t="s">
        <v>142</v>
      </c>
      <c r="Y165" s="0" t="s">
        <v>137</v>
      </c>
      <c r="AV165" s="68"/>
      <c r="AW165" s="68"/>
      <c r="AY165" s="27"/>
      <c r="BD165" s="68">
        <v>46054.1666666667</v>
      </c>
      <c r="BE165" s="68">
        <v>46082.1666666667</v>
      </c>
      <c r="BF165" s="0" t="b">
        <v>0</v>
      </c>
      <c r="BG165" s="0" t="b">
        <v>0</v>
      </c>
      <c r="BH165" s="0">
        <v>80</v>
      </c>
      <c r="BI165" s="0">
        <v>80</v>
      </c>
      <c r="BJ165" s="0" t="s">
        <v>230</v>
      </c>
    </row>
    <row r="166">
      <c r="A166" s="0" t="s">
        <v>326</v>
      </c>
      <c r="B166" s="0" t="s">
        <v>134</v>
      </c>
      <c r="C166" s="0" t="s">
        <v>134</v>
      </c>
      <c r="D166" s="0" t="s">
        <v>135</v>
      </c>
      <c r="E166" s="0" t="s">
        <v>2</v>
      </c>
      <c r="F166" s="0" t="s">
        <v>11</v>
      </c>
      <c r="G166" s="0" t="s">
        <v>7</v>
      </c>
      <c r="H166" s="0">
        <v>4502</v>
      </c>
      <c r="I166" s="0">
        <v>200</v>
      </c>
      <c r="J166" s="0">
        <v>0</v>
      </c>
      <c r="K166" s="0">
        <v>1</v>
      </c>
      <c r="L166" s="0">
        <v>1</v>
      </c>
      <c r="M166" s="0">
        <v>10</v>
      </c>
      <c r="N166" s="0">
        <v>0</v>
      </c>
      <c r="O166" s="0">
        <v>0</v>
      </c>
      <c r="P166" s="0">
        <v>0</v>
      </c>
      <c r="Q166" s="0" t="s">
        <v>327</v>
      </c>
      <c r="R166" s="0" t="b">
        <v>1</v>
      </c>
      <c r="S166" s="0" t="b">
        <v>1</v>
      </c>
      <c r="T166" s="68">
        <v>41551.8191782407</v>
      </c>
      <c r="U166" s="68">
        <v>41582.5</v>
      </c>
      <c r="V166" s="68">
        <v>0</v>
      </c>
      <c r="W166" s="0">
        <f>IF(IF(B166="none",1,IF(B166="Trialer",1,0))+IF(C166="Customer",1,IF(C166="Lost",1,0))=2,1,0)</f>
      </c>
      <c r="X166" s="0" t="s">
        <v>136</v>
      </c>
      <c r="Y166" s="0" t="s">
        <v>235</v>
      </c>
      <c r="AV166" s="68"/>
      <c r="AW166" s="68"/>
      <c r="AY166" s="27"/>
      <c r="BD166" s="68">
        <v>46054.1666666667</v>
      </c>
      <c r="BE166" s="68">
        <v>46082.1666666667</v>
      </c>
      <c r="BF166" s="0" t="b">
        <v>0</v>
      </c>
      <c r="BG166" s="0" t="b">
        <v>0</v>
      </c>
      <c r="BH166" s="0">
        <v>200</v>
      </c>
      <c r="BI166" s="0">
        <v>200</v>
      </c>
      <c r="BJ166" s="0" t="s">
        <v>135</v>
      </c>
    </row>
    <row r="167">
      <c r="A167" s="0" t="s">
        <v>328</v>
      </c>
      <c r="B167" s="0" t="s">
        <v>134</v>
      </c>
      <c r="C167" s="0" t="s">
        <v>134</v>
      </c>
      <c r="D167" s="0" t="s">
        <v>135</v>
      </c>
      <c r="E167" s="0" t="s">
        <v>2</v>
      </c>
      <c r="F167" s="0" t="s">
        <v>12</v>
      </c>
      <c r="G167" s="0" t="s">
        <v>7</v>
      </c>
      <c r="H167" s="0">
        <v>4497</v>
      </c>
      <c r="I167" s="0">
        <v>640</v>
      </c>
      <c r="J167" s="0">
        <v>0</v>
      </c>
      <c r="K167" s="0">
        <v>1</v>
      </c>
      <c r="L167" s="0">
        <v>1</v>
      </c>
      <c r="M167" s="0">
        <v>16</v>
      </c>
      <c r="N167" s="0">
        <v>0</v>
      </c>
      <c r="O167" s="0">
        <v>0</v>
      </c>
      <c r="P167" s="0">
        <v>0</v>
      </c>
      <c r="R167" s="0" t="b">
        <v>0</v>
      </c>
      <c r="S167" s="0" t="b">
        <v>1</v>
      </c>
      <c r="T167" s="68">
        <v>41556.5</v>
      </c>
      <c r="U167" s="68">
        <v>41587.5</v>
      </c>
      <c r="V167" s="68">
        <v>0</v>
      </c>
      <c r="W167" s="0">
        <f>IF(IF(B167="none",1,IF(B167="Trialer",1,0))+IF(C167="Customer",1,IF(C167="Lost",1,0))=2,1,0)</f>
      </c>
      <c r="X167" s="0" t="s">
        <v>148</v>
      </c>
      <c r="Y167" s="0" t="s">
        <v>137</v>
      </c>
      <c r="AV167" s="68"/>
      <c r="AW167" s="68"/>
      <c r="AY167" s="27"/>
      <c r="BD167" s="68">
        <v>46054.1666666667</v>
      </c>
      <c r="BE167" s="68">
        <v>46082.1666666667</v>
      </c>
      <c r="BF167" s="0" t="b">
        <v>0</v>
      </c>
      <c r="BG167" s="0" t="b">
        <v>0</v>
      </c>
      <c r="BH167" s="0">
        <v>640</v>
      </c>
      <c r="BI167" s="0">
        <v>640</v>
      </c>
      <c r="BJ167" s="0" t="s">
        <v>135</v>
      </c>
    </row>
    <row r="168">
      <c r="A168" s="0" t="s">
        <v>329</v>
      </c>
      <c r="B168" s="0" t="s">
        <v>134</v>
      </c>
      <c r="C168" s="0" t="s">
        <v>134</v>
      </c>
      <c r="D168" s="0" t="s">
        <v>230</v>
      </c>
      <c r="E168" s="0" t="s">
        <v>2</v>
      </c>
      <c r="F168" s="0" t="s">
        <v>12</v>
      </c>
      <c r="G168" s="0" t="s">
        <v>7</v>
      </c>
      <c r="H168" s="0">
        <v>4484</v>
      </c>
      <c r="I168" s="0">
        <v>36</v>
      </c>
      <c r="J168" s="0">
        <v>0</v>
      </c>
      <c r="K168" s="0">
        <v>1</v>
      </c>
      <c r="L168" s="0">
        <v>1</v>
      </c>
      <c r="M168" s="0">
        <v>1</v>
      </c>
      <c r="N168" s="0">
        <v>0</v>
      </c>
      <c r="O168" s="0">
        <v>0</v>
      </c>
      <c r="P168" s="0">
        <v>396</v>
      </c>
      <c r="R168" s="0" t="b">
        <v>0</v>
      </c>
      <c r="S168" s="0" t="b">
        <v>1</v>
      </c>
      <c r="T168" s="68">
        <v>41569.6885185185</v>
      </c>
      <c r="U168" s="68">
        <v>41600.5</v>
      </c>
      <c r="V168" s="68">
        <v>0</v>
      </c>
      <c r="W168" s="0">
        <f>IF(IF(B168="none",1,IF(B168="Trialer",1,0))+IF(C168="Customer",1,IF(C168="Lost",1,0))=2,1,0)</f>
      </c>
      <c r="X168" s="0" t="s">
        <v>145</v>
      </c>
      <c r="Y168" s="0" t="s">
        <v>137</v>
      </c>
      <c r="AV168" s="68"/>
      <c r="AW168" s="68"/>
      <c r="AY168" s="27"/>
      <c r="BD168" s="68">
        <v>46054.1666666667</v>
      </c>
      <c r="BE168" s="68">
        <v>46082.1666666667</v>
      </c>
      <c r="BF168" s="0" t="b">
        <v>0</v>
      </c>
      <c r="BG168" s="0" t="b">
        <v>0</v>
      </c>
      <c r="BH168" s="0">
        <v>40</v>
      </c>
      <c r="BI168" s="0">
        <v>40</v>
      </c>
      <c r="BJ168" s="0" t="s">
        <v>230</v>
      </c>
    </row>
    <row r="169">
      <c r="A169" s="0" t="s">
        <v>330</v>
      </c>
      <c r="B169" s="0" t="s">
        <v>134</v>
      </c>
      <c r="C169" s="0" t="s">
        <v>134</v>
      </c>
      <c r="D169" s="0" t="s">
        <v>135</v>
      </c>
      <c r="E169" s="0" t="s">
        <v>2</v>
      </c>
      <c r="F169" s="0" t="s">
        <v>12</v>
      </c>
      <c r="G169" s="0" t="s">
        <v>7</v>
      </c>
      <c r="H169" s="0">
        <v>4483</v>
      </c>
      <c r="I169" s="0">
        <v>440</v>
      </c>
      <c r="J169" s="0">
        <v>0</v>
      </c>
      <c r="K169" s="0">
        <v>1</v>
      </c>
      <c r="L169" s="0">
        <v>1</v>
      </c>
      <c r="M169" s="0">
        <v>11</v>
      </c>
      <c r="N169" s="0">
        <v>0</v>
      </c>
      <c r="O169" s="0">
        <v>0</v>
      </c>
      <c r="P169" s="0">
        <v>0</v>
      </c>
      <c r="R169" s="0" t="b">
        <v>0</v>
      </c>
      <c r="S169" s="0" t="b">
        <v>1</v>
      </c>
      <c r="T169" s="68">
        <v>41570.5</v>
      </c>
      <c r="U169" s="68">
        <v>41601.5</v>
      </c>
      <c r="V169" s="68">
        <v>0</v>
      </c>
      <c r="W169" s="0">
        <f>IF(IF(B169="none",1,IF(B169="Trialer",1,0))+IF(C169="Customer",1,IF(C169="Lost",1,0))=2,1,0)</f>
      </c>
      <c r="X169" s="0" t="s">
        <v>148</v>
      </c>
      <c r="Y169" s="0" t="s">
        <v>137</v>
      </c>
      <c r="AV169" s="68"/>
      <c r="AW169" s="68"/>
      <c r="AY169" s="27"/>
      <c r="BD169" s="68">
        <v>46054.1666666667</v>
      </c>
      <c r="BE169" s="68">
        <v>46082.1666666667</v>
      </c>
      <c r="BF169" s="0" t="b">
        <v>0</v>
      </c>
      <c r="BG169" s="0" t="b">
        <v>0</v>
      </c>
      <c r="BH169" s="0">
        <v>440</v>
      </c>
      <c r="BI169" s="0">
        <v>440</v>
      </c>
      <c r="BJ169" s="0" t="s">
        <v>135</v>
      </c>
    </row>
    <row r="170">
      <c r="A170" s="0" t="s">
        <v>331</v>
      </c>
      <c r="B170" s="0" t="s">
        <v>134</v>
      </c>
      <c r="C170" s="0" t="s">
        <v>134</v>
      </c>
      <c r="D170" s="0" t="s">
        <v>135</v>
      </c>
      <c r="E170" s="0" t="s">
        <v>2</v>
      </c>
      <c r="F170" s="0" t="s">
        <v>12</v>
      </c>
      <c r="G170" s="0" t="s">
        <v>8</v>
      </c>
      <c r="H170" s="0">
        <v>4478</v>
      </c>
      <c r="I170" s="0">
        <v>49</v>
      </c>
      <c r="J170" s="0">
        <v>0</v>
      </c>
      <c r="K170" s="0">
        <v>1</v>
      </c>
      <c r="L170" s="0">
        <v>3</v>
      </c>
      <c r="M170" s="0">
        <v>1</v>
      </c>
      <c r="N170" s="0">
        <v>0</v>
      </c>
      <c r="O170" s="0">
        <v>0</v>
      </c>
      <c r="P170" s="0">
        <v>0</v>
      </c>
      <c r="R170" s="0" t="b">
        <v>0</v>
      </c>
      <c r="S170" s="0" t="b">
        <v>1</v>
      </c>
      <c r="T170" s="68">
        <v>41575.6345486111</v>
      </c>
      <c r="U170" s="68">
        <v>41606.5</v>
      </c>
      <c r="V170" s="68">
        <v>0</v>
      </c>
      <c r="W170" s="0">
        <f>IF(IF(B170="none",1,IF(B170="Trialer",1,0))+IF(C170="Customer",1,IF(C170="Lost",1,0))=2,1,0)</f>
      </c>
      <c r="X170" s="0" t="s">
        <v>136</v>
      </c>
      <c r="Y170" s="0" t="s">
        <v>137</v>
      </c>
      <c r="AV170" s="68"/>
      <c r="AW170" s="68"/>
      <c r="AY170" s="27"/>
      <c r="BD170" s="68">
        <v>46054.1666666667</v>
      </c>
      <c r="BE170" s="68">
        <v>46082.1666666667</v>
      </c>
      <c r="BF170" s="0" t="b">
        <v>0</v>
      </c>
      <c r="BG170" s="0" t="b">
        <v>0</v>
      </c>
      <c r="BH170" s="0">
        <v>49</v>
      </c>
      <c r="BI170" s="0">
        <v>49</v>
      </c>
      <c r="BJ170" s="0" t="s">
        <v>135</v>
      </c>
    </row>
    <row r="171">
      <c r="A171" s="0" t="s">
        <v>332</v>
      </c>
      <c r="B171" s="0" t="s">
        <v>134</v>
      </c>
      <c r="C171" s="0" t="s">
        <v>134</v>
      </c>
      <c r="D171" s="0" t="s">
        <v>230</v>
      </c>
      <c r="E171" s="0" t="s">
        <v>3</v>
      </c>
      <c r="F171" s="0" t="s">
        <v>12</v>
      </c>
      <c r="G171" s="0" t="s">
        <v>7</v>
      </c>
      <c r="H171" s="0">
        <v>4475</v>
      </c>
      <c r="I171" s="0">
        <v>108</v>
      </c>
      <c r="J171" s="0">
        <v>0</v>
      </c>
      <c r="K171" s="0">
        <v>1</v>
      </c>
      <c r="L171" s="0">
        <v>1</v>
      </c>
      <c r="M171" s="0">
        <v>3</v>
      </c>
      <c r="N171" s="0">
        <v>0</v>
      </c>
      <c r="O171" s="0">
        <v>0</v>
      </c>
      <c r="P171" s="0">
        <v>-108</v>
      </c>
      <c r="R171" s="0" t="b">
        <v>0</v>
      </c>
      <c r="S171" s="0" t="b">
        <v>1</v>
      </c>
      <c r="T171" s="68">
        <v>41578.4171180556</v>
      </c>
      <c r="U171" s="68">
        <v>41611.5</v>
      </c>
      <c r="V171" s="68">
        <v>0</v>
      </c>
      <c r="W171" s="0">
        <f>IF(IF(B171="none",1,IF(B171="Trialer",1,0))+IF(C171="Customer",1,IF(C171="Lost",1,0))=2,1,0)</f>
      </c>
      <c r="X171" s="0" t="s">
        <v>142</v>
      </c>
      <c r="Y171" s="0" t="s">
        <v>243</v>
      </c>
      <c r="AV171" s="68"/>
      <c r="AW171" s="68"/>
      <c r="AY171" s="27"/>
      <c r="BD171" s="68">
        <v>46054.1666666667</v>
      </c>
      <c r="BE171" s="68">
        <v>46082.1666666667</v>
      </c>
      <c r="BF171" s="0" t="b">
        <v>0</v>
      </c>
      <c r="BG171" s="0" t="b">
        <v>0</v>
      </c>
      <c r="BH171" s="0">
        <v>120</v>
      </c>
      <c r="BI171" s="0">
        <v>120</v>
      </c>
      <c r="BJ171" s="0" t="s">
        <v>230</v>
      </c>
    </row>
    <row r="172">
      <c r="A172" s="0" t="s">
        <v>333</v>
      </c>
      <c r="B172" s="0" t="s">
        <v>134</v>
      </c>
      <c r="C172" s="0" t="s">
        <v>134</v>
      </c>
      <c r="D172" s="0" t="s">
        <v>135</v>
      </c>
      <c r="E172" s="0" t="s">
        <v>2</v>
      </c>
      <c r="F172" s="0" t="s">
        <v>12</v>
      </c>
      <c r="G172" s="0" t="s">
        <v>7</v>
      </c>
      <c r="H172" s="0">
        <v>4469</v>
      </c>
      <c r="I172" s="0">
        <v>1213.25</v>
      </c>
      <c r="J172" s="0">
        <v>0</v>
      </c>
      <c r="K172" s="0">
        <v>2</v>
      </c>
      <c r="L172" s="0">
        <v>1</v>
      </c>
      <c r="M172" s="0">
        <v>20</v>
      </c>
      <c r="N172" s="0">
        <v>0</v>
      </c>
      <c r="O172" s="0">
        <v>0</v>
      </c>
      <c r="P172" s="0">
        <v>0</v>
      </c>
      <c r="R172" s="0" t="b">
        <v>0</v>
      </c>
      <c r="S172" s="0" t="b">
        <v>1</v>
      </c>
      <c r="T172" s="68">
        <v>41584.7555555556</v>
      </c>
      <c r="U172" s="68">
        <v>41618.5</v>
      </c>
      <c r="V172" s="68">
        <v>0</v>
      </c>
      <c r="W172" s="0">
        <f>IF(IF(B172="none",1,IF(B172="Trialer",1,0))+IF(C172="Customer",1,IF(C172="Lost",1,0))=2,1,0)</f>
      </c>
      <c r="X172" s="0" t="s">
        <v>148</v>
      </c>
      <c r="Y172" s="0" t="s">
        <v>137</v>
      </c>
      <c r="AV172" s="68"/>
      <c r="AW172" s="68"/>
      <c r="AY172" s="27"/>
      <c r="BD172" s="68">
        <v>46054.1666666667</v>
      </c>
      <c r="BE172" s="68">
        <v>46082.1666666667</v>
      </c>
      <c r="BF172" s="0" t="b">
        <v>0</v>
      </c>
      <c r="BG172" s="0" t="b">
        <v>0</v>
      </c>
      <c r="BH172" s="0">
        <v>800</v>
      </c>
      <c r="BI172" s="0">
        <v>800</v>
      </c>
      <c r="BJ172" s="0" t="s">
        <v>135</v>
      </c>
    </row>
    <row r="173">
      <c r="A173" s="0" t="s">
        <v>334</v>
      </c>
      <c r="B173" s="0" t="s">
        <v>134</v>
      </c>
      <c r="C173" s="0" t="s">
        <v>134</v>
      </c>
      <c r="D173" s="0" t="s">
        <v>135</v>
      </c>
      <c r="E173" s="0" t="s">
        <v>3</v>
      </c>
      <c r="F173" s="0" t="s">
        <v>12</v>
      </c>
      <c r="G173" s="0" t="s">
        <v>7</v>
      </c>
      <c r="H173" s="0">
        <v>4462</v>
      </c>
      <c r="I173" s="0">
        <v>80</v>
      </c>
      <c r="J173" s="0">
        <v>0</v>
      </c>
      <c r="K173" s="0">
        <v>1</v>
      </c>
      <c r="L173" s="0">
        <v>1</v>
      </c>
      <c r="M173" s="0">
        <v>2</v>
      </c>
      <c r="N173" s="0">
        <v>0</v>
      </c>
      <c r="O173" s="0">
        <v>0</v>
      </c>
      <c r="P173" s="0">
        <v>0</v>
      </c>
      <c r="R173" s="0" t="b">
        <v>0</v>
      </c>
      <c r="S173" s="0" t="b">
        <v>1</v>
      </c>
      <c r="T173" s="68">
        <v>41591.5</v>
      </c>
      <c r="U173" s="68">
        <v>41621.5</v>
      </c>
      <c r="V173" s="68">
        <v>0</v>
      </c>
      <c r="W173" s="0">
        <f>IF(IF(B173="none",1,IF(B173="Trialer",1,0))+IF(C173="Customer",1,IF(C173="Lost",1,0))=2,1,0)</f>
      </c>
      <c r="X173" s="0" t="s">
        <v>166</v>
      </c>
      <c r="Y173" s="0" t="s">
        <v>213</v>
      </c>
      <c r="AV173" s="68"/>
      <c r="AW173" s="68"/>
      <c r="AY173" s="27"/>
      <c r="BD173" s="68">
        <v>46054.1666666667</v>
      </c>
      <c r="BE173" s="68">
        <v>46082.1666666667</v>
      </c>
      <c r="BF173" s="0" t="b">
        <v>0</v>
      </c>
      <c r="BG173" s="0" t="b">
        <v>0</v>
      </c>
      <c r="BH173" s="0">
        <v>80</v>
      </c>
      <c r="BI173" s="0">
        <v>80</v>
      </c>
      <c r="BJ173" s="0" t="s">
        <v>135</v>
      </c>
    </row>
    <row r="174">
      <c r="A174" s="0" t="s">
        <v>335</v>
      </c>
      <c r="B174" s="0" t="s">
        <v>134</v>
      </c>
      <c r="C174" s="0" t="s">
        <v>134</v>
      </c>
      <c r="D174" s="0" t="s">
        <v>135</v>
      </c>
      <c r="E174" s="0" t="s">
        <v>2</v>
      </c>
      <c r="F174" s="0" t="s">
        <v>12</v>
      </c>
      <c r="G174" s="0" t="s">
        <v>7</v>
      </c>
      <c r="H174" s="0">
        <v>4454</v>
      </c>
      <c r="I174" s="0">
        <v>280</v>
      </c>
      <c r="J174" s="0">
        <v>0</v>
      </c>
      <c r="K174" s="0">
        <v>1</v>
      </c>
      <c r="L174" s="0">
        <v>1</v>
      </c>
      <c r="M174" s="0">
        <v>7</v>
      </c>
      <c r="N174" s="0">
        <v>0</v>
      </c>
      <c r="O174" s="0">
        <v>0</v>
      </c>
      <c r="P174" s="0">
        <v>0</v>
      </c>
      <c r="R174" s="0" t="b">
        <v>0</v>
      </c>
      <c r="S174" s="0" t="b">
        <v>1</v>
      </c>
      <c r="T174" s="68">
        <v>41599.66875</v>
      </c>
      <c r="U174" s="68">
        <v>41629.5</v>
      </c>
      <c r="V174" s="68">
        <v>0</v>
      </c>
      <c r="W174" s="0">
        <f>IF(IF(B174="none",1,IF(B174="Trialer",1,0))+IF(C174="Customer",1,IF(C174="Lost",1,0))=2,1,0)</f>
      </c>
      <c r="X174" s="0" t="s">
        <v>148</v>
      </c>
      <c r="Y174" s="0" t="s">
        <v>137</v>
      </c>
      <c r="AV174" s="68"/>
      <c r="AW174" s="68"/>
      <c r="AY174" s="27"/>
      <c r="BD174" s="68">
        <v>46054.1666666667</v>
      </c>
      <c r="BE174" s="68">
        <v>46082.1666666667</v>
      </c>
      <c r="BF174" s="0" t="b">
        <v>0</v>
      </c>
      <c r="BG174" s="0" t="b">
        <v>0</v>
      </c>
      <c r="BH174" s="0">
        <v>280</v>
      </c>
      <c r="BI174" s="0">
        <v>280</v>
      </c>
      <c r="BJ174" s="0" t="s">
        <v>135</v>
      </c>
    </row>
    <row r="175">
      <c r="A175" s="0" t="s">
        <v>336</v>
      </c>
      <c r="B175" s="0" t="s">
        <v>134</v>
      </c>
      <c r="C175" s="0" t="s">
        <v>134</v>
      </c>
      <c r="D175" s="0" t="s">
        <v>135</v>
      </c>
      <c r="E175" s="0" t="s">
        <v>2</v>
      </c>
      <c r="F175" s="0" t="s">
        <v>10</v>
      </c>
      <c r="G175" s="0" t="s">
        <v>8</v>
      </c>
      <c r="H175" s="0">
        <v>4448</v>
      </c>
      <c r="I175" s="0">
        <v>801</v>
      </c>
      <c r="J175" s="0">
        <v>0</v>
      </c>
      <c r="K175" s="0">
        <v>1</v>
      </c>
      <c r="L175" s="0">
        <v>3</v>
      </c>
      <c r="M175" s="0">
        <v>19</v>
      </c>
      <c r="N175" s="0">
        <v>852.5</v>
      </c>
      <c r="O175" s="0">
        <v>0</v>
      </c>
      <c r="P175" s="0">
        <v>0</v>
      </c>
      <c r="Q175" s="0" t="s">
        <v>294</v>
      </c>
      <c r="R175" s="0" t="b">
        <v>0</v>
      </c>
      <c r="S175" s="0" t="b">
        <v>1</v>
      </c>
      <c r="T175" s="68">
        <v>41605.5</v>
      </c>
      <c r="U175" s="68">
        <v>41635.5</v>
      </c>
      <c r="V175" s="68">
        <v>0</v>
      </c>
      <c r="W175" s="0">
        <f>IF(IF(B175="none",1,IF(B175="Trialer",1,0))+IF(C175="Customer",1,IF(C175="Lost",1,0))=2,1,0)</f>
      </c>
      <c r="X175" s="0" t="s">
        <v>148</v>
      </c>
      <c r="Y175" s="0" t="s">
        <v>137</v>
      </c>
      <c r="AV175" s="68"/>
      <c r="AW175" s="68"/>
      <c r="AY175" s="27"/>
      <c r="BD175" s="68">
        <v>46054.1666666667</v>
      </c>
      <c r="BE175" s="68">
        <v>46082.1666666667</v>
      </c>
      <c r="BF175" s="0" t="b">
        <v>0</v>
      </c>
      <c r="BG175" s="0" t="b">
        <v>0</v>
      </c>
      <c r="BH175" s="0">
        <v>813</v>
      </c>
      <c r="BI175" s="0">
        <v>813</v>
      </c>
      <c r="BJ175" s="0" t="s">
        <v>135</v>
      </c>
    </row>
    <row r="176">
      <c r="A176" s="0" t="s">
        <v>337</v>
      </c>
      <c r="B176" s="0" t="s">
        <v>134</v>
      </c>
      <c r="C176" s="0" t="s">
        <v>134</v>
      </c>
      <c r="D176" s="0" t="s">
        <v>230</v>
      </c>
      <c r="E176" s="0" t="s">
        <v>2</v>
      </c>
      <c r="F176" s="0" t="s">
        <v>12</v>
      </c>
      <c r="G176" s="0" t="s">
        <v>7</v>
      </c>
      <c r="H176" s="0">
        <v>4439</v>
      </c>
      <c r="I176" s="0">
        <v>36</v>
      </c>
      <c r="J176" s="0">
        <v>0</v>
      </c>
      <c r="K176" s="0">
        <v>1</v>
      </c>
      <c r="L176" s="0">
        <v>1</v>
      </c>
      <c r="M176" s="0">
        <v>1</v>
      </c>
      <c r="N176" s="0">
        <v>0</v>
      </c>
      <c r="O176" s="0">
        <v>0</v>
      </c>
      <c r="P176" s="0">
        <v>-36</v>
      </c>
      <c r="R176" s="0" t="b">
        <v>0</v>
      </c>
      <c r="S176" s="0" t="b">
        <v>1</v>
      </c>
      <c r="T176" s="68">
        <v>41614.8033333333</v>
      </c>
      <c r="U176" s="68">
        <v>41646.5</v>
      </c>
      <c r="V176" s="68">
        <v>0</v>
      </c>
      <c r="W176" s="0">
        <f>IF(IF(B176="none",1,IF(B176="Trialer",1,0))+IF(C176="Customer",1,IF(C176="Lost",1,0))=2,1,0)</f>
      </c>
      <c r="X176" s="0" t="s">
        <v>166</v>
      </c>
      <c r="Y176" s="0" t="s">
        <v>137</v>
      </c>
      <c r="AV176" s="68"/>
      <c r="AW176" s="68"/>
      <c r="AY176" s="27"/>
      <c r="BD176" s="68">
        <v>46054.1666666667</v>
      </c>
      <c r="BE176" s="68">
        <v>46082.1666666667</v>
      </c>
      <c r="BF176" s="0" t="b">
        <v>0</v>
      </c>
      <c r="BG176" s="0" t="b">
        <v>0</v>
      </c>
      <c r="BH176" s="0">
        <v>40</v>
      </c>
      <c r="BI176" s="0">
        <v>40</v>
      </c>
      <c r="BJ176" s="0" t="s">
        <v>230</v>
      </c>
    </row>
    <row r="177">
      <c r="A177" s="0" t="s">
        <v>338</v>
      </c>
      <c r="B177" s="0" t="s">
        <v>134</v>
      </c>
      <c r="C177" s="0" t="s">
        <v>134</v>
      </c>
      <c r="D177" s="0" t="s">
        <v>230</v>
      </c>
      <c r="E177" s="0" t="s">
        <v>2</v>
      </c>
      <c r="F177" s="0" t="s">
        <v>12</v>
      </c>
      <c r="G177" s="0" t="s">
        <v>7</v>
      </c>
      <c r="H177" s="0">
        <v>4437</v>
      </c>
      <c r="I177" s="0">
        <v>72</v>
      </c>
      <c r="J177" s="0">
        <v>0</v>
      </c>
      <c r="K177" s="0">
        <v>1</v>
      </c>
      <c r="L177" s="0">
        <v>1</v>
      </c>
      <c r="M177" s="0">
        <v>2</v>
      </c>
      <c r="N177" s="0">
        <v>0</v>
      </c>
      <c r="O177" s="0">
        <v>0</v>
      </c>
      <c r="P177" s="0">
        <v>-72</v>
      </c>
      <c r="R177" s="0" t="b">
        <v>0</v>
      </c>
      <c r="S177" s="0" t="b">
        <v>1</v>
      </c>
      <c r="T177" s="68">
        <v>41616.5</v>
      </c>
      <c r="U177" s="68">
        <v>41678.5</v>
      </c>
      <c r="V177" s="68">
        <v>0</v>
      </c>
      <c r="W177" s="0">
        <f>IF(IF(B177="none",1,IF(B177="Trialer",1,0))+IF(C177="Customer",1,IF(C177="Lost",1,0))=2,1,0)</f>
      </c>
      <c r="X177" s="0" t="s">
        <v>153</v>
      </c>
      <c r="Y177" s="0" t="s">
        <v>137</v>
      </c>
      <c r="AV177" s="68"/>
      <c r="AW177" s="68"/>
      <c r="AY177" s="27"/>
      <c r="BD177" s="68">
        <v>46054.1666666667</v>
      </c>
      <c r="BE177" s="68">
        <v>46082.1666666667</v>
      </c>
      <c r="BF177" s="0" t="b">
        <v>0</v>
      </c>
      <c r="BG177" s="0" t="b">
        <v>0</v>
      </c>
      <c r="BH177" s="0">
        <v>80</v>
      </c>
      <c r="BI177" s="0">
        <v>80</v>
      </c>
      <c r="BJ177" s="0" t="s">
        <v>230</v>
      </c>
    </row>
    <row r="178">
      <c r="A178" s="0" t="s">
        <v>339</v>
      </c>
      <c r="B178" s="0" t="s">
        <v>134</v>
      </c>
      <c r="C178" s="0" t="s">
        <v>134</v>
      </c>
      <c r="D178" s="0" t="s">
        <v>135</v>
      </c>
      <c r="E178" s="0" t="s">
        <v>2</v>
      </c>
      <c r="F178" s="0" t="s">
        <v>12</v>
      </c>
      <c r="G178" s="0" t="s">
        <v>7</v>
      </c>
      <c r="H178" s="0">
        <v>4436</v>
      </c>
      <c r="I178" s="0">
        <v>0</v>
      </c>
      <c r="J178" s="0">
        <v>0</v>
      </c>
      <c r="K178" s="0">
        <v>1</v>
      </c>
      <c r="L178" s="0">
        <v>1</v>
      </c>
      <c r="M178" s="0">
        <v>1</v>
      </c>
      <c r="N178" s="0">
        <v>0</v>
      </c>
      <c r="O178" s="0">
        <v>0</v>
      </c>
      <c r="P178" s="0">
        <v>0</v>
      </c>
      <c r="R178" s="0" t="b">
        <v>0</v>
      </c>
      <c r="S178" s="0" t="b">
        <v>1</v>
      </c>
      <c r="T178" s="68">
        <v>41617.5</v>
      </c>
      <c r="U178" s="68">
        <v>41648.5</v>
      </c>
      <c r="V178" s="68">
        <v>0</v>
      </c>
      <c r="W178" s="0">
        <f>IF(IF(B178="none",1,IF(B178="Trialer",1,0))+IF(C178="Customer",1,IF(C178="Lost",1,0))=2,1,0)</f>
      </c>
      <c r="X178" s="0" t="s">
        <v>136</v>
      </c>
      <c r="Y178" s="0" t="s">
        <v>137</v>
      </c>
      <c r="AV178" s="68"/>
      <c r="AW178" s="68"/>
      <c r="AY178" s="27"/>
      <c r="BD178" s="68">
        <v>46054.1666666667</v>
      </c>
      <c r="BE178" s="68">
        <v>46082.1666666667</v>
      </c>
      <c r="BF178" s="0" t="b">
        <v>0</v>
      </c>
      <c r="BG178" s="0" t="b">
        <v>0</v>
      </c>
      <c r="BH178" s="0">
        <v>0</v>
      </c>
      <c r="BI178" s="0">
        <v>0</v>
      </c>
      <c r="BJ178" s="0" t="s">
        <v>135</v>
      </c>
    </row>
    <row r="179">
      <c r="A179" s="0" t="s">
        <v>340</v>
      </c>
      <c r="B179" s="0" t="s">
        <v>134</v>
      </c>
      <c r="C179" s="0" t="s">
        <v>134</v>
      </c>
      <c r="D179" s="0" t="s">
        <v>135</v>
      </c>
      <c r="E179" s="0" t="s">
        <v>2</v>
      </c>
      <c r="F179" s="0" t="s">
        <v>12</v>
      </c>
      <c r="G179" s="0" t="s">
        <v>8</v>
      </c>
      <c r="H179" s="0">
        <v>4436</v>
      </c>
      <c r="I179" s="0">
        <v>0</v>
      </c>
      <c r="J179" s="0">
        <v>0</v>
      </c>
      <c r="K179" s="0">
        <v>1</v>
      </c>
      <c r="L179" s="0">
        <v>5</v>
      </c>
      <c r="M179" s="0">
        <v>1</v>
      </c>
      <c r="N179" s="0">
        <v>0</v>
      </c>
      <c r="O179" s="0">
        <v>0</v>
      </c>
      <c r="P179" s="0">
        <v>0</v>
      </c>
      <c r="R179" s="0" t="b">
        <v>0</v>
      </c>
      <c r="S179" s="0" t="b">
        <v>1</v>
      </c>
      <c r="T179" s="68">
        <v>41617.5</v>
      </c>
      <c r="U179" s="68">
        <v>41648.5</v>
      </c>
      <c r="V179" s="68">
        <v>0</v>
      </c>
      <c r="W179" s="0">
        <f>IF(IF(B179="none",1,IF(B179="Trialer",1,0))+IF(C179="Customer",1,IF(C179="Lost",1,0))=2,1,0)</f>
      </c>
      <c r="X179" s="0" t="s">
        <v>148</v>
      </c>
      <c r="Y179" s="0" t="s">
        <v>137</v>
      </c>
      <c r="AV179" s="68"/>
      <c r="AW179" s="68"/>
      <c r="AY179" s="27"/>
      <c r="BD179" s="68">
        <v>46054.1666666667</v>
      </c>
      <c r="BE179" s="68">
        <v>46082.1666666667</v>
      </c>
      <c r="BF179" s="0" t="b">
        <v>0</v>
      </c>
      <c r="BG179" s="0" t="b">
        <v>0</v>
      </c>
      <c r="BH179" s="0">
        <v>0</v>
      </c>
      <c r="BI179" s="0">
        <v>0</v>
      </c>
      <c r="BJ179" s="0" t="s">
        <v>135</v>
      </c>
    </row>
    <row r="180">
      <c r="A180" s="0" t="s">
        <v>341</v>
      </c>
      <c r="B180" s="0" t="s">
        <v>134</v>
      </c>
      <c r="C180" s="0" t="s">
        <v>134</v>
      </c>
      <c r="D180" s="0" t="s">
        <v>135</v>
      </c>
      <c r="E180" s="0" t="s">
        <v>2</v>
      </c>
      <c r="F180" s="0" t="s">
        <v>12</v>
      </c>
      <c r="G180" s="0" t="s">
        <v>8</v>
      </c>
      <c r="H180" s="0">
        <v>4433</v>
      </c>
      <c r="I180" s="0">
        <v>0</v>
      </c>
      <c r="J180" s="0">
        <v>0</v>
      </c>
      <c r="K180" s="0">
        <v>1</v>
      </c>
      <c r="L180" s="0">
        <v>3</v>
      </c>
      <c r="M180" s="0">
        <v>5</v>
      </c>
      <c r="N180" s="0">
        <v>0</v>
      </c>
      <c r="O180" s="0">
        <v>0</v>
      </c>
      <c r="P180" s="0">
        <v>0</v>
      </c>
      <c r="R180" s="0" t="b">
        <v>0</v>
      </c>
      <c r="S180" s="0" t="b">
        <v>1</v>
      </c>
      <c r="T180" s="68">
        <v>41620.5</v>
      </c>
      <c r="U180" s="68">
        <v>41651.5</v>
      </c>
      <c r="V180" s="68">
        <v>0</v>
      </c>
      <c r="W180" s="0">
        <f>IF(IF(B180="none",1,IF(B180="Trialer",1,0))+IF(C180="Customer",1,IF(C180="Lost",1,0))=2,1,0)</f>
      </c>
      <c r="X180" s="0" t="s">
        <v>136</v>
      </c>
      <c r="Y180" s="0" t="s">
        <v>137</v>
      </c>
      <c r="AV180" s="68"/>
      <c r="AW180" s="68"/>
      <c r="AY180" s="27"/>
      <c r="BD180" s="68">
        <v>46054.1666666667</v>
      </c>
      <c r="BE180" s="68">
        <v>46082.1666666667</v>
      </c>
      <c r="BF180" s="0" t="b">
        <v>0</v>
      </c>
      <c r="BG180" s="0" t="b">
        <v>0</v>
      </c>
      <c r="BH180" s="0">
        <v>0</v>
      </c>
      <c r="BI180" s="0">
        <v>0</v>
      </c>
      <c r="BJ180" s="0" t="s">
        <v>135</v>
      </c>
    </row>
    <row r="181">
      <c r="A181" s="0" t="s">
        <v>342</v>
      </c>
      <c r="B181" s="0" t="s">
        <v>134</v>
      </c>
      <c r="C181" s="0" t="s">
        <v>134</v>
      </c>
      <c r="D181" s="0" t="s">
        <v>135</v>
      </c>
      <c r="E181" s="0" t="s">
        <v>2</v>
      </c>
      <c r="F181" s="0" t="s">
        <v>12</v>
      </c>
      <c r="G181" s="0" t="s">
        <v>7</v>
      </c>
      <c r="H181" s="0">
        <v>4432</v>
      </c>
      <c r="I181" s="0">
        <v>80</v>
      </c>
      <c r="J181" s="0">
        <v>0</v>
      </c>
      <c r="K181" s="0">
        <v>1</v>
      </c>
      <c r="L181" s="0">
        <v>1</v>
      </c>
      <c r="M181" s="0">
        <v>2</v>
      </c>
      <c r="N181" s="0">
        <v>0</v>
      </c>
      <c r="O181" s="0">
        <v>0</v>
      </c>
      <c r="P181" s="0">
        <v>0</v>
      </c>
      <c r="R181" s="0" t="b">
        <v>0</v>
      </c>
      <c r="S181" s="0" t="b">
        <v>1</v>
      </c>
      <c r="T181" s="68">
        <v>41621.7145833333</v>
      </c>
      <c r="U181" s="68">
        <v>41652.5</v>
      </c>
      <c r="V181" s="68">
        <v>0</v>
      </c>
      <c r="W181" s="0">
        <f>IF(IF(B181="none",1,IF(B181="Trialer",1,0))+IF(C181="Customer",1,IF(C181="Lost",1,0))=2,1,0)</f>
      </c>
      <c r="X181" s="0" t="s">
        <v>166</v>
      </c>
      <c r="Y181" s="0" t="s">
        <v>137</v>
      </c>
      <c r="AV181" s="68"/>
      <c r="AW181" s="68"/>
      <c r="AY181" s="27"/>
      <c r="BD181" s="68">
        <v>46054.1666666667</v>
      </c>
      <c r="BE181" s="68">
        <v>46082.1666666667</v>
      </c>
      <c r="BF181" s="0" t="b">
        <v>0</v>
      </c>
      <c r="BG181" s="0" t="b">
        <v>0</v>
      </c>
      <c r="BH181" s="0">
        <v>80</v>
      </c>
      <c r="BI181" s="0">
        <v>80</v>
      </c>
      <c r="BJ181" s="0" t="s">
        <v>135</v>
      </c>
    </row>
    <row r="182">
      <c r="A182" s="0" t="s">
        <v>343</v>
      </c>
      <c r="B182" s="0" t="s">
        <v>134</v>
      </c>
      <c r="C182" s="0" t="s">
        <v>134</v>
      </c>
      <c r="D182" s="0" t="s">
        <v>135</v>
      </c>
      <c r="E182" s="0" t="s">
        <v>2</v>
      </c>
      <c r="F182" s="0" t="s">
        <v>12</v>
      </c>
      <c r="G182" s="0" t="s">
        <v>7</v>
      </c>
      <c r="H182" s="0">
        <v>4418</v>
      </c>
      <c r="I182" s="0">
        <v>800</v>
      </c>
      <c r="J182" s="0">
        <v>0</v>
      </c>
      <c r="K182" s="0">
        <v>1</v>
      </c>
      <c r="L182" s="0">
        <v>1</v>
      </c>
      <c r="M182" s="0">
        <v>20</v>
      </c>
      <c r="N182" s="0">
        <v>0</v>
      </c>
      <c r="O182" s="0">
        <v>0</v>
      </c>
      <c r="P182" s="0">
        <v>0</v>
      </c>
      <c r="R182" s="0" t="b">
        <v>0</v>
      </c>
      <c r="S182" s="0" t="b">
        <v>1</v>
      </c>
      <c r="T182" s="68">
        <v>41635.5</v>
      </c>
      <c r="U182" s="68">
        <v>41670.5</v>
      </c>
      <c r="V182" s="68">
        <v>0</v>
      </c>
      <c r="W182" s="0">
        <f>IF(IF(B182="none",1,IF(B182="Trialer",1,0))+IF(C182="Customer",1,IF(C182="Lost",1,0))=2,1,0)</f>
      </c>
      <c r="X182" s="0" t="s">
        <v>145</v>
      </c>
      <c r="Y182" s="0" t="s">
        <v>137</v>
      </c>
      <c r="AV182" s="68"/>
      <c r="AW182" s="68"/>
      <c r="AY182" s="27"/>
      <c r="BD182" s="68">
        <v>46054.1666666667</v>
      </c>
      <c r="BE182" s="68">
        <v>46082.1666666667</v>
      </c>
      <c r="BF182" s="0" t="b">
        <v>0</v>
      </c>
      <c r="BG182" s="0" t="b">
        <v>0</v>
      </c>
      <c r="BH182" s="0">
        <v>800</v>
      </c>
      <c r="BI182" s="0">
        <v>800</v>
      </c>
      <c r="BJ182" s="0" t="s">
        <v>135</v>
      </c>
    </row>
    <row r="183">
      <c r="A183" s="0" t="s">
        <v>344</v>
      </c>
      <c r="B183" s="0" t="s">
        <v>134</v>
      </c>
      <c r="C183" s="0" t="s">
        <v>134</v>
      </c>
      <c r="D183" s="0" t="s">
        <v>135</v>
      </c>
      <c r="E183" s="0" t="s">
        <v>2</v>
      </c>
      <c r="F183" s="0" t="s">
        <v>12</v>
      </c>
      <c r="G183" s="0" t="s">
        <v>7</v>
      </c>
      <c r="H183" s="0">
        <v>4411</v>
      </c>
      <c r="I183" s="0">
        <v>25</v>
      </c>
      <c r="J183" s="0">
        <v>0</v>
      </c>
      <c r="K183" s="0">
        <v>1</v>
      </c>
      <c r="L183" s="0">
        <v>1</v>
      </c>
      <c r="M183" s="0">
        <v>1</v>
      </c>
      <c r="N183" s="0">
        <v>0</v>
      </c>
      <c r="O183" s="0">
        <v>0</v>
      </c>
      <c r="P183" s="0">
        <v>0</v>
      </c>
      <c r="R183" s="0" t="b">
        <v>0</v>
      </c>
      <c r="S183" s="0" t="b">
        <v>1</v>
      </c>
      <c r="T183" s="68">
        <v>41642.6114236111</v>
      </c>
      <c r="U183" s="68">
        <v>41673.5</v>
      </c>
      <c r="V183" s="68">
        <v>0</v>
      </c>
      <c r="W183" s="0">
        <f>IF(IF(B183="none",1,IF(B183="Trialer",1,0))+IF(C183="Customer",1,IF(C183="Lost",1,0))=2,1,0)</f>
      </c>
      <c r="X183" s="0" t="s">
        <v>142</v>
      </c>
      <c r="Y183" s="0" t="s">
        <v>235</v>
      </c>
      <c r="AV183" s="68"/>
      <c r="AW183" s="68"/>
      <c r="AY183" s="27"/>
      <c r="BD183" s="68">
        <v>46054.1666666667</v>
      </c>
      <c r="BE183" s="68">
        <v>46082.1666666667</v>
      </c>
      <c r="BF183" s="0" t="b">
        <v>0</v>
      </c>
      <c r="BG183" s="0" t="b">
        <v>0</v>
      </c>
      <c r="BH183" s="0">
        <v>25</v>
      </c>
      <c r="BI183" s="0">
        <v>25</v>
      </c>
      <c r="BJ183" s="0" t="s">
        <v>135</v>
      </c>
    </row>
    <row r="184">
      <c r="A184" s="0" t="s">
        <v>345</v>
      </c>
      <c r="B184" s="0" t="s">
        <v>134</v>
      </c>
      <c r="C184" s="0" t="s">
        <v>134</v>
      </c>
      <c r="D184" s="0" t="s">
        <v>230</v>
      </c>
      <c r="E184" s="0" t="s">
        <v>3</v>
      </c>
      <c r="F184" s="0" t="s">
        <v>12</v>
      </c>
      <c r="G184" s="0" t="s">
        <v>8</v>
      </c>
      <c r="H184" s="0">
        <v>4406</v>
      </c>
      <c r="I184" s="0">
        <v>22.5</v>
      </c>
      <c r="J184" s="0">
        <v>0</v>
      </c>
      <c r="K184" s="0">
        <v>1</v>
      </c>
      <c r="L184" s="0">
        <v>1</v>
      </c>
      <c r="M184" s="0">
        <v>1</v>
      </c>
      <c r="N184" s="0">
        <v>0</v>
      </c>
      <c r="O184" s="0">
        <v>0</v>
      </c>
      <c r="P184" s="0">
        <v>-22.5</v>
      </c>
      <c r="R184" s="0" t="b">
        <v>0</v>
      </c>
      <c r="S184" s="0" t="b">
        <v>1</v>
      </c>
      <c r="T184" s="68">
        <v>41647.54375</v>
      </c>
      <c r="U184" s="68">
        <v>41678.5</v>
      </c>
      <c r="V184" s="68">
        <v>0</v>
      </c>
      <c r="W184" s="0">
        <f>IF(IF(B184="none",1,IF(B184="Trialer",1,0))+IF(C184="Customer",1,IF(C184="Lost",1,0))=2,1,0)</f>
      </c>
      <c r="X184" s="0" t="s">
        <v>166</v>
      </c>
      <c r="Y184" s="0" t="s">
        <v>243</v>
      </c>
      <c r="AV184" s="68"/>
      <c r="AW184" s="68"/>
      <c r="AY184" s="27"/>
      <c r="BD184" s="68">
        <v>46054.1666666667</v>
      </c>
      <c r="BE184" s="68">
        <v>46082.1666666667</v>
      </c>
      <c r="BF184" s="0" t="b">
        <v>0</v>
      </c>
      <c r="BG184" s="0" t="b">
        <v>0</v>
      </c>
      <c r="BH184" s="0">
        <v>25</v>
      </c>
      <c r="BI184" s="0">
        <v>25</v>
      </c>
      <c r="BJ184" s="0" t="s">
        <v>230</v>
      </c>
    </row>
    <row r="185">
      <c r="A185" s="0" t="s">
        <v>346</v>
      </c>
      <c r="B185" s="0" t="s">
        <v>134</v>
      </c>
      <c r="C185" s="0" t="s">
        <v>134</v>
      </c>
      <c r="D185" s="0" t="s">
        <v>135</v>
      </c>
      <c r="E185" s="0" t="s">
        <v>2</v>
      </c>
      <c r="F185" s="0" t="s">
        <v>12</v>
      </c>
      <c r="G185" s="0" t="s">
        <v>8</v>
      </c>
      <c r="H185" s="0">
        <v>4405</v>
      </c>
      <c r="I185" s="0">
        <v>677</v>
      </c>
      <c r="J185" s="0">
        <v>0</v>
      </c>
      <c r="K185" s="0">
        <v>1</v>
      </c>
      <c r="L185" s="0">
        <v>3</v>
      </c>
      <c r="M185" s="0">
        <v>14</v>
      </c>
      <c r="N185" s="0">
        <v>0</v>
      </c>
      <c r="O185" s="0">
        <v>0</v>
      </c>
      <c r="P185" s="0">
        <v>0</v>
      </c>
      <c r="R185" s="0" t="b">
        <v>0</v>
      </c>
      <c r="S185" s="0" t="b">
        <v>1</v>
      </c>
      <c r="T185" s="68">
        <v>41648.5</v>
      </c>
      <c r="U185" s="68">
        <v>41680.5</v>
      </c>
      <c r="V185" s="68">
        <v>0</v>
      </c>
      <c r="W185" s="0">
        <f>IF(IF(B185="none",1,IF(B185="Trialer",1,0))+IF(C185="Customer",1,IF(C185="Lost",1,0))=2,1,0)</f>
      </c>
      <c r="X185" s="0" t="s">
        <v>148</v>
      </c>
      <c r="Y185" s="0" t="s">
        <v>137</v>
      </c>
      <c r="AV185" s="68"/>
      <c r="AW185" s="68"/>
      <c r="AY185" s="27"/>
      <c r="BD185" s="68">
        <v>46054.1666666667</v>
      </c>
      <c r="BE185" s="68">
        <v>46082.1666666667</v>
      </c>
      <c r="BF185" s="0" t="b">
        <v>0</v>
      </c>
      <c r="BG185" s="0" t="b">
        <v>0</v>
      </c>
      <c r="BH185" s="0">
        <v>784</v>
      </c>
      <c r="BI185" s="0">
        <v>784</v>
      </c>
      <c r="BJ185" s="0" t="s">
        <v>135</v>
      </c>
    </row>
    <row r="186">
      <c r="A186" s="0" t="s">
        <v>347</v>
      </c>
      <c r="B186" s="0" t="s">
        <v>134</v>
      </c>
      <c r="C186" s="0" t="s">
        <v>134</v>
      </c>
      <c r="D186" s="0" t="s">
        <v>135</v>
      </c>
      <c r="E186" s="0" t="s">
        <v>2</v>
      </c>
      <c r="F186" s="0" t="s">
        <v>12</v>
      </c>
      <c r="G186" s="0" t="s">
        <v>7</v>
      </c>
      <c r="H186" s="0">
        <v>4404</v>
      </c>
      <c r="I186" s="0">
        <v>240</v>
      </c>
      <c r="J186" s="0">
        <v>0</v>
      </c>
      <c r="K186" s="0">
        <v>1</v>
      </c>
      <c r="L186" s="0">
        <v>1</v>
      </c>
      <c r="M186" s="0">
        <v>6</v>
      </c>
      <c r="N186" s="0">
        <v>0</v>
      </c>
      <c r="O186" s="0">
        <v>0</v>
      </c>
      <c r="P186" s="0">
        <v>0</v>
      </c>
      <c r="R186" s="0" t="b">
        <v>0</v>
      </c>
      <c r="S186" s="0" t="b">
        <v>1</v>
      </c>
      <c r="T186" s="68">
        <v>41649.4037731482</v>
      </c>
      <c r="U186" s="68">
        <v>41680.5</v>
      </c>
      <c r="V186" s="68">
        <v>0</v>
      </c>
      <c r="W186" s="0">
        <f>IF(IF(B186="none",1,IF(B186="Trialer",1,0))+IF(C186="Customer",1,IF(C186="Lost",1,0))=2,1,0)</f>
      </c>
      <c r="X186" s="0" t="s">
        <v>136</v>
      </c>
      <c r="Y186" s="0" t="s">
        <v>137</v>
      </c>
      <c r="AV186" s="68"/>
      <c r="AW186" s="68"/>
      <c r="AY186" s="27"/>
      <c r="BD186" s="68">
        <v>46054.1666666667</v>
      </c>
      <c r="BE186" s="68">
        <v>46082.1666666667</v>
      </c>
      <c r="BF186" s="0" t="b">
        <v>0</v>
      </c>
      <c r="BG186" s="0" t="b">
        <v>0</v>
      </c>
      <c r="BH186" s="0">
        <v>240</v>
      </c>
      <c r="BI186" s="0">
        <v>240</v>
      </c>
      <c r="BJ186" s="0" t="s">
        <v>135</v>
      </c>
    </row>
    <row r="187">
      <c r="A187" s="0" t="s">
        <v>348</v>
      </c>
      <c r="B187" s="0" t="s">
        <v>134</v>
      </c>
      <c r="C187" s="0" t="s">
        <v>134</v>
      </c>
      <c r="D187" s="0" t="s">
        <v>135</v>
      </c>
      <c r="E187" s="0" t="s">
        <v>2</v>
      </c>
      <c r="F187" s="0" t="s">
        <v>10</v>
      </c>
      <c r="G187" s="0" t="s">
        <v>8</v>
      </c>
      <c r="H187" s="0">
        <v>4403</v>
      </c>
      <c r="I187" s="0">
        <v>25</v>
      </c>
      <c r="J187" s="0">
        <v>0</v>
      </c>
      <c r="K187" s="0">
        <v>1</v>
      </c>
      <c r="L187" s="0">
        <v>1</v>
      </c>
      <c r="M187" s="0">
        <v>1</v>
      </c>
      <c r="N187" s="0">
        <v>0</v>
      </c>
      <c r="O187" s="0">
        <v>0</v>
      </c>
      <c r="P187" s="0">
        <v>0</v>
      </c>
      <c r="Q187" s="0" t="s">
        <v>294</v>
      </c>
      <c r="R187" s="0" t="b">
        <v>0</v>
      </c>
      <c r="S187" s="0" t="b">
        <v>1</v>
      </c>
      <c r="T187" s="68">
        <v>41650.6333333333</v>
      </c>
      <c r="U187" s="68">
        <v>41681.5</v>
      </c>
      <c r="V187" s="68">
        <v>0</v>
      </c>
      <c r="W187" s="0">
        <f>IF(IF(B187="none",1,IF(B187="Trialer",1,0))+IF(C187="Customer",1,IF(C187="Lost",1,0))=2,1,0)</f>
      </c>
      <c r="X187" s="0" t="s">
        <v>148</v>
      </c>
      <c r="Y187" s="0" t="s">
        <v>137</v>
      </c>
      <c r="AV187" s="68"/>
      <c r="AW187" s="68"/>
      <c r="AY187" s="27"/>
      <c r="BD187" s="68">
        <v>46054.1666666667</v>
      </c>
      <c r="BE187" s="68">
        <v>46082.1666666667</v>
      </c>
      <c r="BF187" s="0" t="b">
        <v>0</v>
      </c>
      <c r="BG187" s="0" t="b">
        <v>0</v>
      </c>
      <c r="BH187" s="0">
        <v>25</v>
      </c>
      <c r="BI187" s="0">
        <v>25</v>
      </c>
      <c r="BJ187" s="0" t="s">
        <v>135</v>
      </c>
    </row>
    <row r="188">
      <c r="A188" s="0" t="s">
        <v>349</v>
      </c>
      <c r="B188" s="0" t="s">
        <v>134</v>
      </c>
      <c r="C188" s="0" t="s">
        <v>134</v>
      </c>
      <c r="D188" s="0" t="s">
        <v>135</v>
      </c>
      <c r="E188" s="0" t="s">
        <v>2</v>
      </c>
      <c r="F188" s="0" t="s">
        <v>12</v>
      </c>
      <c r="G188" s="0" t="s">
        <v>7</v>
      </c>
      <c r="H188" s="0">
        <v>4400</v>
      </c>
      <c r="I188" s="0">
        <v>240</v>
      </c>
      <c r="J188" s="0">
        <v>0</v>
      </c>
      <c r="K188" s="0">
        <v>1</v>
      </c>
      <c r="L188" s="0">
        <v>1</v>
      </c>
      <c r="M188" s="0">
        <v>6</v>
      </c>
      <c r="N188" s="0">
        <v>0</v>
      </c>
      <c r="O188" s="0">
        <v>0</v>
      </c>
      <c r="P188" s="0">
        <v>0</v>
      </c>
      <c r="R188" s="0" t="b">
        <v>0</v>
      </c>
      <c r="S188" s="0" t="b">
        <v>1</v>
      </c>
      <c r="T188" s="68">
        <v>41653.5</v>
      </c>
      <c r="U188" s="68">
        <v>41684.5</v>
      </c>
      <c r="V188" s="68">
        <v>0</v>
      </c>
      <c r="W188" s="0">
        <f>IF(IF(B188="none",1,IF(B188="Trialer",1,0))+IF(C188="Customer",1,IF(C188="Lost",1,0))=2,1,0)</f>
      </c>
      <c r="X188" s="0" t="s">
        <v>136</v>
      </c>
      <c r="Y188" s="0" t="s">
        <v>137</v>
      </c>
      <c r="AV188" s="68"/>
      <c r="AW188" s="68"/>
      <c r="AY188" s="27"/>
      <c r="BD188" s="68">
        <v>46054.1666666667</v>
      </c>
      <c r="BE188" s="68">
        <v>46082.1666666667</v>
      </c>
      <c r="BF188" s="0" t="b">
        <v>0</v>
      </c>
      <c r="BG188" s="0" t="b">
        <v>0</v>
      </c>
      <c r="BH188" s="0">
        <v>240</v>
      </c>
      <c r="BI188" s="0">
        <v>240</v>
      </c>
      <c r="BJ188" s="0" t="s">
        <v>135</v>
      </c>
    </row>
    <row r="189">
      <c r="A189" s="0" t="s">
        <v>350</v>
      </c>
      <c r="B189" s="0" t="s">
        <v>134</v>
      </c>
      <c r="C189" s="0" t="s">
        <v>134</v>
      </c>
      <c r="D189" s="0" t="s">
        <v>135</v>
      </c>
      <c r="E189" s="0" t="s">
        <v>3</v>
      </c>
      <c r="F189" s="0" t="s">
        <v>12</v>
      </c>
      <c r="G189" s="0" t="s">
        <v>8</v>
      </c>
      <c r="H189" s="0">
        <v>4400</v>
      </c>
      <c r="I189" s="0">
        <v>0</v>
      </c>
      <c r="J189" s="0">
        <v>0</v>
      </c>
      <c r="K189" s="0">
        <v>1</v>
      </c>
      <c r="L189" s="0">
        <v>3</v>
      </c>
      <c r="M189" s="0">
        <v>1</v>
      </c>
      <c r="N189" s="0">
        <v>0</v>
      </c>
      <c r="O189" s="0">
        <v>0</v>
      </c>
      <c r="P189" s="0">
        <v>0</v>
      </c>
      <c r="R189" s="0" t="b">
        <v>0</v>
      </c>
      <c r="S189" s="0" t="b">
        <v>1</v>
      </c>
      <c r="T189" s="68">
        <v>41653.5</v>
      </c>
      <c r="U189" s="68">
        <v>41684.5</v>
      </c>
      <c r="V189" s="68">
        <v>0</v>
      </c>
      <c r="W189" s="0">
        <f>IF(IF(B189="none",1,IF(B189="Trialer",1,0))+IF(C189="Customer",1,IF(C189="Lost",1,0))=2,1,0)</f>
      </c>
      <c r="X189" s="0" t="s">
        <v>142</v>
      </c>
      <c r="Y189" s="0" t="s">
        <v>213</v>
      </c>
      <c r="AV189" s="68"/>
      <c r="AW189" s="68"/>
      <c r="AY189" s="27"/>
      <c r="BD189" s="68">
        <v>46054.1666666667</v>
      </c>
      <c r="BE189" s="68">
        <v>46082.1666666667</v>
      </c>
      <c r="BF189" s="0" t="b">
        <v>0</v>
      </c>
      <c r="BG189" s="0" t="b">
        <v>0</v>
      </c>
      <c r="BH189" s="0">
        <v>0</v>
      </c>
      <c r="BI189" s="0">
        <v>0</v>
      </c>
      <c r="BJ189" s="0" t="s">
        <v>135</v>
      </c>
    </row>
    <row r="190">
      <c r="A190" s="0" t="s">
        <v>351</v>
      </c>
      <c r="B190" s="0" t="s">
        <v>134</v>
      </c>
      <c r="C190" s="0" t="s">
        <v>134</v>
      </c>
      <c r="D190" s="0" t="s">
        <v>135</v>
      </c>
      <c r="E190" s="0" t="s">
        <v>3</v>
      </c>
      <c r="F190" s="0" t="s">
        <v>12</v>
      </c>
      <c r="G190" s="0" t="s">
        <v>8</v>
      </c>
      <c r="H190" s="0">
        <v>4400</v>
      </c>
      <c r="I190" s="0">
        <v>49</v>
      </c>
      <c r="J190" s="0">
        <v>0</v>
      </c>
      <c r="K190" s="0">
        <v>1</v>
      </c>
      <c r="L190" s="0">
        <v>3</v>
      </c>
      <c r="M190" s="0">
        <v>1</v>
      </c>
      <c r="N190" s="0">
        <v>0</v>
      </c>
      <c r="O190" s="0">
        <v>0</v>
      </c>
      <c r="P190" s="0">
        <v>0</v>
      </c>
      <c r="R190" s="0" t="b">
        <v>0</v>
      </c>
      <c r="S190" s="0" t="b">
        <v>1</v>
      </c>
      <c r="T190" s="68">
        <v>41653.66875</v>
      </c>
      <c r="U190" s="68">
        <v>41705.5</v>
      </c>
      <c r="V190" s="68">
        <v>0</v>
      </c>
      <c r="W190" s="0">
        <f>IF(IF(B190="none",1,IF(B190="Trialer",1,0))+IF(C190="Customer",1,IF(C190="Lost",1,0))=2,1,0)</f>
      </c>
      <c r="X190" s="0" t="s">
        <v>166</v>
      </c>
      <c r="Y190" s="0" t="s">
        <v>243</v>
      </c>
      <c r="AV190" s="68"/>
      <c r="AW190" s="68"/>
      <c r="AY190" s="27"/>
      <c r="BD190" s="68">
        <v>46054.1666666667</v>
      </c>
      <c r="BE190" s="68">
        <v>46082.1666666667</v>
      </c>
      <c r="BF190" s="0" t="b">
        <v>0</v>
      </c>
      <c r="BG190" s="0" t="b">
        <v>0</v>
      </c>
      <c r="BH190" s="0">
        <v>49</v>
      </c>
      <c r="BI190" s="0">
        <v>49</v>
      </c>
      <c r="BJ190" s="0" t="s">
        <v>135</v>
      </c>
    </row>
    <row r="191">
      <c r="A191" s="0" t="s">
        <v>352</v>
      </c>
      <c r="B191" s="0" t="s">
        <v>134</v>
      </c>
      <c r="C191" s="0" t="s">
        <v>134</v>
      </c>
      <c r="D191" s="0" t="s">
        <v>135</v>
      </c>
      <c r="E191" s="0" t="s">
        <v>2</v>
      </c>
      <c r="F191" s="0" t="s">
        <v>12</v>
      </c>
      <c r="G191" s="0" t="s">
        <v>7</v>
      </c>
      <c r="H191" s="0">
        <v>4398</v>
      </c>
      <c r="I191" s="0">
        <v>120</v>
      </c>
      <c r="J191" s="0">
        <v>0</v>
      </c>
      <c r="K191" s="0">
        <v>1</v>
      </c>
      <c r="L191" s="0">
        <v>1</v>
      </c>
      <c r="M191" s="0">
        <v>3</v>
      </c>
      <c r="N191" s="0">
        <v>0</v>
      </c>
      <c r="O191" s="0">
        <v>0</v>
      </c>
      <c r="P191" s="0">
        <v>0</v>
      </c>
      <c r="R191" s="0" t="b">
        <v>0</v>
      </c>
      <c r="S191" s="0" t="b">
        <v>1</v>
      </c>
      <c r="T191" s="68">
        <v>41655.4694444444</v>
      </c>
      <c r="U191" s="68">
        <v>41705.5</v>
      </c>
      <c r="V191" s="68">
        <v>0</v>
      </c>
      <c r="W191" s="0">
        <f>IF(IF(B191="none",1,IF(B191="Trialer",1,0))+IF(C191="Customer",1,IF(C191="Lost",1,0))=2,1,0)</f>
      </c>
      <c r="X191" s="0" t="s">
        <v>145</v>
      </c>
      <c r="Y191" s="0" t="s">
        <v>137</v>
      </c>
      <c r="AV191" s="68"/>
      <c r="AW191" s="68"/>
      <c r="AY191" s="27"/>
      <c r="BD191" s="68">
        <v>46054.1666666667</v>
      </c>
      <c r="BE191" s="68">
        <v>46082.1666666667</v>
      </c>
      <c r="BF191" s="0" t="b">
        <v>0</v>
      </c>
      <c r="BG191" s="0" t="b">
        <v>0</v>
      </c>
      <c r="BH191" s="0">
        <v>120</v>
      </c>
      <c r="BI191" s="0">
        <v>120</v>
      </c>
      <c r="BJ191" s="0" t="s">
        <v>135</v>
      </c>
    </row>
    <row r="192">
      <c r="A192" s="0" t="s">
        <v>353</v>
      </c>
      <c r="B192" s="0" t="s">
        <v>134</v>
      </c>
      <c r="C192" s="0" t="s">
        <v>134</v>
      </c>
      <c r="D192" s="0" t="s">
        <v>135</v>
      </c>
      <c r="E192" s="0" t="s">
        <v>2</v>
      </c>
      <c r="F192" s="0" t="s">
        <v>12</v>
      </c>
      <c r="G192" s="0" t="s">
        <v>8</v>
      </c>
      <c r="H192" s="0">
        <v>4368</v>
      </c>
      <c r="I192" s="0">
        <v>102</v>
      </c>
      <c r="J192" s="0">
        <v>0</v>
      </c>
      <c r="K192" s="0">
        <v>1</v>
      </c>
      <c r="L192" s="0">
        <v>2</v>
      </c>
      <c r="M192" s="0">
        <v>3</v>
      </c>
      <c r="N192" s="0">
        <v>0</v>
      </c>
      <c r="O192" s="0">
        <v>0</v>
      </c>
      <c r="P192" s="0">
        <v>0</v>
      </c>
      <c r="R192" s="0" t="b">
        <v>0</v>
      </c>
      <c r="S192" s="0" t="b">
        <v>1</v>
      </c>
      <c r="T192" s="68">
        <v>41685.588912037</v>
      </c>
      <c r="U192" s="68">
        <v>41726.5416666667</v>
      </c>
      <c r="V192" s="68">
        <v>0</v>
      </c>
      <c r="W192" s="0">
        <f>IF(IF(B192="none",1,IF(B192="Trialer",1,0))+IF(C192="Customer",1,IF(C192="Lost",1,0))=2,1,0)</f>
      </c>
      <c r="X192" s="0" t="s">
        <v>166</v>
      </c>
      <c r="Y192" s="0" t="s">
        <v>137</v>
      </c>
      <c r="AV192" s="68"/>
      <c r="AW192" s="68"/>
      <c r="AY192" s="27"/>
      <c r="BD192" s="68">
        <v>46054.1666666667</v>
      </c>
      <c r="BE192" s="68">
        <v>46082.1666666667</v>
      </c>
      <c r="BF192" s="0" t="b">
        <v>0</v>
      </c>
      <c r="BG192" s="0" t="b">
        <v>0</v>
      </c>
      <c r="BH192" s="0">
        <v>102</v>
      </c>
      <c r="BI192" s="0">
        <v>102</v>
      </c>
      <c r="BJ192" s="0" t="s">
        <v>135</v>
      </c>
    </row>
    <row r="193">
      <c r="A193" s="0" t="s">
        <v>354</v>
      </c>
      <c r="B193" s="0" t="s">
        <v>134</v>
      </c>
      <c r="C193" s="0" t="s">
        <v>134</v>
      </c>
      <c r="D193" s="0" t="s">
        <v>135</v>
      </c>
      <c r="E193" s="0" t="s">
        <v>2</v>
      </c>
      <c r="F193" s="0" t="s">
        <v>12</v>
      </c>
      <c r="G193" s="0" t="s">
        <v>8</v>
      </c>
      <c r="H193" s="0">
        <v>4365</v>
      </c>
      <c r="I193" s="0">
        <v>0</v>
      </c>
      <c r="J193" s="0">
        <v>0</v>
      </c>
      <c r="K193" s="0">
        <v>1</v>
      </c>
      <c r="L193" s="0">
        <v>4</v>
      </c>
      <c r="M193" s="0">
        <v>1</v>
      </c>
      <c r="N193" s="0">
        <v>0</v>
      </c>
      <c r="O193" s="0">
        <v>0</v>
      </c>
      <c r="P193" s="0">
        <v>0</v>
      </c>
      <c r="R193" s="0" t="b">
        <v>0</v>
      </c>
      <c r="S193" s="0" t="b">
        <v>1</v>
      </c>
      <c r="T193" s="68">
        <v>41688.5</v>
      </c>
      <c r="U193" s="68">
        <v>42234.5416666667</v>
      </c>
      <c r="V193" s="68">
        <v>0</v>
      </c>
      <c r="W193" s="0">
        <f>IF(IF(B193="none",1,IF(B193="Trialer",1,0))+IF(C193="Customer",1,IF(C193="Lost",1,0))=2,1,0)</f>
      </c>
      <c r="X193" s="0" t="s">
        <v>148</v>
      </c>
      <c r="Y193" s="0" t="s">
        <v>137</v>
      </c>
      <c r="AV193" s="68"/>
      <c r="AW193" s="68"/>
      <c r="AY193" s="27"/>
      <c r="BD193" s="68">
        <v>46054.1666666667</v>
      </c>
      <c r="BE193" s="68">
        <v>46082.1666666667</v>
      </c>
      <c r="BF193" s="0" t="b">
        <v>0</v>
      </c>
      <c r="BG193" s="0" t="b">
        <v>0</v>
      </c>
      <c r="BH193" s="0">
        <v>0</v>
      </c>
      <c r="BI193" s="0">
        <v>0</v>
      </c>
      <c r="BJ193" s="0" t="s">
        <v>135</v>
      </c>
    </row>
    <row r="194">
      <c r="A194" s="0" t="s">
        <v>355</v>
      </c>
      <c r="B194" s="0" t="s">
        <v>134</v>
      </c>
      <c r="C194" s="0" t="s">
        <v>134</v>
      </c>
      <c r="D194" s="0" t="s">
        <v>135</v>
      </c>
      <c r="E194" s="0" t="s">
        <v>2</v>
      </c>
      <c r="F194" s="0" t="s">
        <v>12</v>
      </c>
      <c r="G194" s="0" t="s">
        <v>8</v>
      </c>
      <c r="H194" s="0">
        <v>4365</v>
      </c>
      <c r="I194" s="0">
        <v>0</v>
      </c>
      <c r="J194" s="0">
        <v>0</v>
      </c>
      <c r="K194" s="0">
        <v>1</v>
      </c>
      <c r="L194" s="0">
        <v>3</v>
      </c>
      <c r="M194" s="0">
        <v>1</v>
      </c>
      <c r="N194" s="0">
        <v>0</v>
      </c>
      <c r="O194" s="0">
        <v>0</v>
      </c>
      <c r="P194" s="0">
        <v>0</v>
      </c>
      <c r="R194" s="0" t="b">
        <v>0</v>
      </c>
      <c r="S194" s="0" t="b">
        <v>1</v>
      </c>
      <c r="T194" s="68">
        <v>41688.5</v>
      </c>
      <c r="U194" s="68">
        <v>42234.5416666667</v>
      </c>
      <c r="V194" s="68">
        <v>0</v>
      </c>
      <c r="W194" s="0">
        <f>IF(IF(B194="none",1,IF(B194="Trialer",1,0))+IF(C194="Customer",1,IF(C194="Lost",1,0))=2,1,0)</f>
      </c>
      <c r="X194" s="0" t="s">
        <v>148</v>
      </c>
      <c r="Y194" s="0" t="s">
        <v>137</v>
      </c>
      <c r="AV194" s="68"/>
      <c r="AW194" s="68"/>
      <c r="AY194" s="27"/>
      <c r="BD194" s="68">
        <v>46054.1666666667</v>
      </c>
      <c r="BE194" s="68">
        <v>46082.1666666667</v>
      </c>
      <c r="BF194" s="0" t="b">
        <v>0</v>
      </c>
      <c r="BG194" s="0" t="b">
        <v>0</v>
      </c>
      <c r="BH194" s="0">
        <v>0</v>
      </c>
      <c r="BI194" s="0">
        <v>0</v>
      </c>
      <c r="BJ194" s="0" t="s">
        <v>135</v>
      </c>
    </row>
    <row r="195">
      <c r="A195" s="0" t="s">
        <v>356</v>
      </c>
      <c r="B195" s="0" t="s">
        <v>134</v>
      </c>
      <c r="C195" s="0" t="s">
        <v>134</v>
      </c>
      <c r="D195" s="0" t="s">
        <v>230</v>
      </c>
      <c r="E195" s="0" t="s">
        <v>2</v>
      </c>
      <c r="F195" s="0" t="s">
        <v>10</v>
      </c>
      <c r="G195" s="0" t="s">
        <v>7</v>
      </c>
      <c r="H195" s="0">
        <v>4361</v>
      </c>
      <c r="I195" s="0">
        <v>180</v>
      </c>
      <c r="J195" s="0">
        <v>0</v>
      </c>
      <c r="K195" s="0">
        <v>1</v>
      </c>
      <c r="L195" s="0">
        <v>1</v>
      </c>
      <c r="M195" s="0">
        <v>5</v>
      </c>
      <c r="N195" s="0">
        <v>0</v>
      </c>
      <c r="O195" s="0">
        <v>0</v>
      </c>
      <c r="P195" s="0">
        <v>-180</v>
      </c>
      <c r="Q195" s="0" t="s">
        <v>357</v>
      </c>
      <c r="R195" s="0" t="b">
        <v>0</v>
      </c>
      <c r="S195" s="0" t="b">
        <v>1</v>
      </c>
      <c r="T195" s="68">
        <v>41692.6854166667</v>
      </c>
      <c r="U195" s="68">
        <v>41720.5416666667</v>
      </c>
      <c r="V195" s="68">
        <v>0</v>
      </c>
      <c r="W195" s="0">
        <f>IF(IF(B195="none",1,IF(B195="Trialer",1,0))+IF(C195="Customer",1,IF(C195="Lost",1,0))=2,1,0)</f>
      </c>
      <c r="X195" s="0" t="s">
        <v>148</v>
      </c>
      <c r="Y195" s="0" t="s">
        <v>137</v>
      </c>
      <c r="AV195" s="68"/>
      <c r="AW195" s="68"/>
      <c r="AY195" s="27"/>
      <c r="BD195" s="68">
        <v>46054.1666666667</v>
      </c>
      <c r="BE195" s="68">
        <v>46082.1666666667</v>
      </c>
      <c r="BF195" s="0" t="b">
        <v>0</v>
      </c>
      <c r="BG195" s="0" t="b">
        <v>0</v>
      </c>
      <c r="BH195" s="0">
        <v>200</v>
      </c>
      <c r="BI195" s="0">
        <v>200</v>
      </c>
      <c r="BJ195" s="0" t="s">
        <v>230</v>
      </c>
    </row>
    <row r="196">
      <c r="A196" s="0" t="s">
        <v>358</v>
      </c>
      <c r="B196" s="0" t="s">
        <v>134</v>
      </c>
      <c r="C196" s="0" t="s">
        <v>134</v>
      </c>
      <c r="D196" s="0" t="s">
        <v>135</v>
      </c>
      <c r="E196" s="0" t="s">
        <v>2</v>
      </c>
      <c r="F196" s="0" t="s">
        <v>12</v>
      </c>
      <c r="G196" s="0" t="s">
        <v>8</v>
      </c>
      <c r="H196" s="0">
        <v>4350</v>
      </c>
      <c r="I196" s="0">
        <v>52</v>
      </c>
      <c r="J196" s="0">
        <v>0</v>
      </c>
      <c r="K196" s="0">
        <v>1</v>
      </c>
      <c r="L196" s="0">
        <v>3</v>
      </c>
      <c r="M196" s="0">
        <v>1</v>
      </c>
      <c r="N196" s="0">
        <v>0</v>
      </c>
      <c r="O196" s="0">
        <v>0</v>
      </c>
      <c r="P196" s="0">
        <v>0</v>
      </c>
      <c r="R196" s="0" t="b">
        <v>0</v>
      </c>
      <c r="S196" s="0" t="b">
        <v>1</v>
      </c>
      <c r="T196" s="68">
        <v>41703.5</v>
      </c>
      <c r="U196" s="68">
        <v>41737.5416666667</v>
      </c>
      <c r="V196" s="68">
        <v>0</v>
      </c>
      <c r="W196" s="0">
        <f>IF(IF(B196="none",1,IF(B196="Trialer",1,0))+IF(C196="Customer",1,IF(C196="Lost",1,0))=2,1,0)</f>
      </c>
      <c r="X196" s="0" t="s">
        <v>166</v>
      </c>
      <c r="Y196" s="0" t="s">
        <v>235</v>
      </c>
      <c r="AV196" s="68"/>
      <c r="AW196" s="68"/>
      <c r="AY196" s="27"/>
      <c r="BD196" s="68">
        <v>46054.1666666667</v>
      </c>
      <c r="BE196" s="68">
        <v>46082.1666666667</v>
      </c>
      <c r="BF196" s="0" t="b">
        <v>0</v>
      </c>
      <c r="BG196" s="0" t="b">
        <v>0</v>
      </c>
      <c r="BH196" s="0">
        <v>52</v>
      </c>
      <c r="BI196" s="0">
        <v>52</v>
      </c>
      <c r="BJ196" s="0" t="s">
        <v>135</v>
      </c>
    </row>
    <row r="197">
      <c r="A197" s="0" t="s">
        <v>359</v>
      </c>
      <c r="B197" s="0" t="s">
        <v>134</v>
      </c>
      <c r="C197" s="0" t="s">
        <v>134</v>
      </c>
      <c r="D197" s="0" t="s">
        <v>135</v>
      </c>
      <c r="E197" s="0" t="s">
        <v>2</v>
      </c>
      <c r="F197" s="0" t="s">
        <v>12</v>
      </c>
      <c r="G197" s="0" t="s">
        <v>8</v>
      </c>
      <c r="H197" s="0">
        <v>4344</v>
      </c>
      <c r="I197" s="0">
        <v>0</v>
      </c>
      <c r="J197" s="0">
        <v>0</v>
      </c>
      <c r="K197" s="0">
        <v>1</v>
      </c>
      <c r="L197" s="0">
        <v>2</v>
      </c>
      <c r="M197" s="0">
        <v>3</v>
      </c>
      <c r="N197" s="0">
        <v>0</v>
      </c>
      <c r="O197" s="0">
        <v>0</v>
      </c>
      <c r="P197" s="0">
        <v>0</v>
      </c>
      <c r="R197" s="0" t="b">
        <v>0</v>
      </c>
      <c r="S197" s="0" t="b">
        <v>1</v>
      </c>
      <c r="T197" s="68">
        <v>41709.5</v>
      </c>
      <c r="U197" s="68">
        <v>41740.5</v>
      </c>
      <c r="V197" s="68">
        <v>0</v>
      </c>
      <c r="W197" s="0">
        <f>IF(IF(B197="none",1,IF(B197="Trialer",1,0))+IF(C197="Customer",1,IF(C197="Lost",1,0))=2,1,0)</f>
      </c>
      <c r="X197" s="0" t="s">
        <v>153</v>
      </c>
      <c r="Y197" s="0" t="s">
        <v>137</v>
      </c>
      <c r="AV197" s="68"/>
      <c r="AW197" s="68"/>
      <c r="AY197" s="27"/>
      <c r="BD197" s="68">
        <v>46054.1666666667</v>
      </c>
      <c r="BE197" s="68">
        <v>46082.1666666667</v>
      </c>
      <c r="BF197" s="0" t="b">
        <v>0</v>
      </c>
      <c r="BG197" s="0" t="b">
        <v>0</v>
      </c>
      <c r="BH197" s="0">
        <v>0</v>
      </c>
      <c r="BI197" s="0">
        <v>0</v>
      </c>
      <c r="BJ197" s="0" t="s">
        <v>135</v>
      </c>
    </row>
    <row r="198">
      <c r="A198" s="0" t="s">
        <v>360</v>
      </c>
      <c r="B198" s="0" t="s">
        <v>134</v>
      </c>
      <c r="C198" s="0" t="s">
        <v>134</v>
      </c>
      <c r="D198" s="0" t="s">
        <v>135</v>
      </c>
      <c r="E198" s="0" t="s">
        <v>2</v>
      </c>
      <c r="F198" s="0" t="s">
        <v>12</v>
      </c>
      <c r="G198" s="0" t="s">
        <v>7</v>
      </c>
      <c r="H198" s="0">
        <v>4343</v>
      </c>
      <c r="I198" s="0">
        <v>0</v>
      </c>
      <c r="J198" s="0">
        <v>0</v>
      </c>
      <c r="K198" s="0">
        <v>1</v>
      </c>
      <c r="L198" s="0">
        <v>1</v>
      </c>
      <c r="M198" s="0">
        <v>1</v>
      </c>
      <c r="N198" s="0">
        <v>0</v>
      </c>
      <c r="O198" s="0">
        <v>0</v>
      </c>
      <c r="P198" s="0">
        <v>0</v>
      </c>
      <c r="R198" s="0" t="b">
        <v>0</v>
      </c>
      <c r="S198" s="0" t="b">
        <v>1</v>
      </c>
      <c r="T198" s="68">
        <v>41710.5</v>
      </c>
      <c r="U198" s="68">
        <v>41757.5416666667</v>
      </c>
      <c r="V198" s="68">
        <v>0</v>
      </c>
      <c r="W198" s="0">
        <f>IF(IF(B198="none",1,IF(B198="Trialer",1,0))+IF(C198="Customer",1,IF(C198="Lost",1,0))=2,1,0)</f>
      </c>
      <c r="X198" s="0" t="s">
        <v>136</v>
      </c>
      <c r="Y198" s="0" t="s">
        <v>137</v>
      </c>
      <c r="AV198" s="68"/>
      <c r="AW198" s="68"/>
      <c r="AY198" s="27"/>
      <c r="BD198" s="68">
        <v>46054.1666666667</v>
      </c>
      <c r="BE198" s="68">
        <v>46082.1666666667</v>
      </c>
      <c r="BF198" s="0" t="b">
        <v>0</v>
      </c>
      <c r="BG198" s="0" t="b">
        <v>0</v>
      </c>
      <c r="BH198" s="0">
        <v>0</v>
      </c>
      <c r="BI198" s="0">
        <v>0</v>
      </c>
      <c r="BJ198" s="0" t="s">
        <v>135</v>
      </c>
    </row>
    <row r="199">
      <c r="A199" s="0" t="s">
        <v>361</v>
      </c>
      <c r="B199" s="0" t="s">
        <v>134</v>
      </c>
      <c r="C199" s="0" t="s">
        <v>134</v>
      </c>
      <c r="D199" s="0" t="s">
        <v>135</v>
      </c>
      <c r="E199" s="0" t="s">
        <v>2</v>
      </c>
      <c r="F199" s="0" t="s">
        <v>12</v>
      </c>
      <c r="G199" s="0" t="s">
        <v>7</v>
      </c>
      <c r="H199" s="0">
        <v>4343</v>
      </c>
      <c r="I199" s="0">
        <v>0</v>
      </c>
      <c r="J199" s="0">
        <v>0</v>
      </c>
      <c r="K199" s="0">
        <v>1</v>
      </c>
      <c r="L199" s="0">
        <v>1</v>
      </c>
      <c r="M199" s="0">
        <v>1</v>
      </c>
      <c r="N199" s="0">
        <v>0</v>
      </c>
      <c r="O199" s="0">
        <v>0</v>
      </c>
      <c r="P199" s="0">
        <v>0</v>
      </c>
      <c r="R199" s="0" t="b">
        <v>0</v>
      </c>
      <c r="S199" s="0" t="b">
        <v>1</v>
      </c>
      <c r="T199" s="68">
        <v>41710.5</v>
      </c>
      <c r="U199" s="68">
        <v>41757.5416666667</v>
      </c>
      <c r="V199" s="68">
        <v>0</v>
      </c>
      <c r="W199" s="0">
        <f>IF(IF(B199="none",1,IF(B199="Trialer",1,0))+IF(C199="Customer",1,IF(C199="Lost",1,0))=2,1,0)</f>
      </c>
      <c r="X199" s="0" t="s">
        <v>136</v>
      </c>
      <c r="Y199" s="0" t="s">
        <v>137</v>
      </c>
      <c r="AV199" s="68"/>
      <c r="AW199" s="68"/>
      <c r="AY199" s="27"/>
      <c r="BD199" s="68">
        <v>46054.1666666667</v>
      </c>
      <c r="BE199" s="68">
        <v>46082.1666666667</v>
      </c>
      <c r="BF199" s="0" t="b">
        <v>0</v>
      </c>
      <c r="BG199" s="0" t="b">
        <v>0</v>
      </c>
      <c r="BH199" s="0">
        <v>0</v>
      </c>
      <c r="BI199" s="0">
        <v>0</v>
      </c>
      <c r="BJ199" s="0" t="s">
        <v>135</v>
      </c>
    </row>
    <row r="200">
      <c r="A200" s="0" t="s">
        <v>362</v>
      </c>
      <c r="B200" s="0" t="s">
        <v>134</v>
      </c>
      <c r="C200" s="0" t="s">
        <v>134</v>
      </c>
      <c r="D200" s="0" t="s">
        <v>135</v>
      </c>
      <c r="E200" s="0" t="s">
        <v>2</v>
      </c>
      <c r="F200" s="0" t="s">
        <v>12</v>
      </c>
      <c r="G200" s="0" t="s">
        <v>7</v>
      </c>
      <c r="H200" s="0">
        <v>4338</v>
      </c>
      <c r="I200" s="0">
        <v>0</v>
      </c>
      <c r="J200" s="0">
        <v>0</v>
      </c>
      <c r="K200" s="0">
        <v>1</v>
      </c>
      <c r="L200" s="0">
        <v>1</v>
      </c>
      <c r="M200" s="0">
        <v>1</v>
      </c>
      <c r="N200" s="0">
        <v>0</v>
      </c>
      <c r="O200" s="0">
        <v>0</v>
      </c>
      <c r="P200" s="0">
        <v>0</v>
      </c>
      <c r="R200" s="0" t="b">
        <v>0</v>
      </c>
      <c r="S200" s="0" t="b">
        <v>1</v>
      </c>
      <c r="T200" s="68">
        <v>41715.5</v>
      </c>
      <c r="U200" s="68">
        <v>41757.5416666667</v>
      </c>
      <c r="V200" s="68">
        <v>0</v>
      </c>
      <c r="W200" s="0">
        <f>IF(IF(B200="none",1,IF(B200="Trialer",1,0))+IF(C200="Customer",1,IF(C200="Lost",1,0))=2,1,0)</f>
      </c>
      <c r="X200" s="0" t="s">
        <v>136</v>
      </c>
      <c r="Y200" s="0" t="s">
        <v>137</v>
      </c>
      <c r="AV200" s="68"/>
      <c r="AW200" s="68"/>
      <c r="AY200" s="27"/>
      <c r="BD200" s="68">
        <v>46054.1666666667</v>
      </c>
      <c r="BE200" s="68">
        <v>46082.1666666667</v>
      </c>
      <c r="BF200" s="0" t="b">
        <v>0</v>
      </c>
      <c r="BG200" s="0" t="b">
        <v>0</v>
      </c>
      <c r="BH200" s="0">
        <v>0</v>
      </c>
      <c r="BI200" s="0">
        <v>0</v>
      </c>
      <c r="BJ200" s="0" t="s">
        <v>135</v>
      </c>
    </row>
    <row r="201">
      <c r="A201" s="0" t="s">
        <v>363</v>
      </c>
      <c r="B201" s="0" t="s">
        <v>134</v>
      </c>
      <c r="C201" s="0" t="s">
        <v>134</v>
      </c>
      <c r="D201" s="0" t="s">
        <v>135</v>
      </c>
      <c r="E201" s="0" t="s">
        <v>2</v>
      </c>
      <c r="F201" s="0" t="s">
        <v>12</v>
      </c>
      <c r="G201" s="0" t="s">
        <v>7</v>
      </c>
      <c r="H201" s="0">
        <v>4336</v>
      </c>
      <c r="I201" s="0">
        <v>0</v>
      </c>
      <c r="J201" s="0">
        <v>0</v>
      </c>
      <c r="K201" s="0">
        <v>1</v>
      </c>
      <c r="L201" s="0">
        <v>1</v>
      </c>
      <c r="M201" s="0">
        <v>2</v>
      </c>
      <c r="N201" s="0">
        <v>0</v>
      </c>
      <c r="O201" s="0">
        <v>0</v>
      </c>
      <c r="P201" s="0">
        <v>0</v>
      </c>
      <c r="R201" s="0" t="b">
        <v>0</v>
      </c>
      <c r="S201" s="0" t="b">
        <v>1</v>
      </c>
      <c r="T201" s="68">
        <v>41717.5</v>
      </c>
      <c r="U201" s="68">
        <v>41748.5416666667</v>
      </c>
      <c r="V201" s="68">
        <v>0</v>
      </c>
      <c r="W201" s="0">
        <f>IF(IF(B201="none",1,IF(B201="Trialer",1,0))+IF(C201="Customer",1,IF(C201="Lost",1,0))=2,1,0)</f>
      </c>
      <c r="X201" s="0" t="s">
        <v>153</v>
      </c>
      <c r="Y201" s="0" t="s">
        <v>137</v>
      </c>
      <c r="AV201" s="68"/>
      <c r="AW201" s="68"/>
      <c r="AY201" s="27"/>
      <c r="BD201" s="68">
        <v>46054.1666666667</v>
      </c>
      <c r="BE201" s="68">
        <v>46082.1666666667</v>
      </c>
      <c r="BF201" s="0" t="b">
        <v>0</v>
      </c>
      <c r="BG201" s="0" t="b">
        <v>0</v>
      </c>
      <c r="BH201" s="0">
        <v>0</v>
      </c>
      <c r="BI201" s="0">
        <v>0</v>
      </c>
      <c r="BJ201" s="0" t="s">
        <v>135</v>
      </c>
    </row>
    <row r="202">
      <c r="A202" s="0" t="s">
        <v>364</v>
      </c>
      <c r="B202" s="0" t="s">
        <v>134</v>
      </c>
      <c r="C202" s="0" t="s">
        <v>134</v>
      </c>
      <c r="D202" s="0" t="s">
        <v>135</v>
      </c>
      <c r="E202" s="0" t="s">
        <v>3</v>
      </c>
      <c r="F202" s="0" t="s">
        <v>12</v>
      </c>
      <c r="G202" s="0" t="s">
        <v>7</v>
      </c>
      <c r="H202" s="0">
        <v>4332</v>
      </c>
      <c r="I202" s="0">
        <v>75</v>
      </c>
      <c r="J202" s="0">
        <v>0</v>
      </c>
      <c r="K202" s="0">
        <v>1</v>
      </c>
      <c r="L202" s="0">
        <v>1</v>
      </c>
      <c r="M202" s="0">
        <v>3</v>
      </c>
      <c r="N202" s="0">
        <v>0</v>
      </c>
      <c r="O202" s="0">
        <v>0</v>
      </c>
      <c r="P202" s="0">
        <v>0</v>
      </c>
      <c r="R202" s="0" t="b">
        <v>0</v>
      </c>
      <c r="S202" s="0" t="b">
        <v>1</v>
      </c>
      <c r="T202" s="68">
        <v>41721.5</v>
      </c>
      <c r="U202" s="68">
        <v>41782.5416666667</v>
      </c>
      <c r="V202" s="68">
        <v>0</v>
      </c>
      <c r="W202" s="0">
        <f>IF(IF(B202="none",1,IF(B202="Trialer",1,0))+IF(C202="Customer",1,IF(C202="Lost",1,0))=2,1,0)</f>
      </c>
      <c r="X202" s="0" t="s">
        <v>142</v>
      </c>
      <c r="Y202" s="0" t="s">
        <v>219</v>
      </c>
      <c r="AV202" s="68"/>
      <c r="AW202" s="68"/>
      <c r="AY202" s="27"/>
      <c r="BD202" s="68">
        <v>46054.1666666667</v>
      </c>
      <c r="BE202" s="68">
        <v>46082.1666666667</v>
      </c>
      <c r="BF202" s="0" t="b">
        <v>0</v>
      </c>
      <c r="BG202" s="0" t="b">
        <v>0</v>
      </c>
      <c r="BH202" s="0">
        <v>75</v>
      </c>
      <c r="BI202" s="0">
        <v>75</v>
      </c>
      <c r="BJ202" s="0" t="s">
        <v>135</v>
      </c>
    </row>
    <row r="203">
      <c r="A203" s="0" t="s">
        <v>365</v>
      </c>
      <c r="B203" s="0" t="s">
        <v>134</v>
      </c>
      <c r="C203" s="0" t="s">
        <v>134</v>
      </c>
      <c r="D203" s="0" t="s">
        <v>135</v>
      </c>
      <c r="E203" s="0" t="s">
        <v>2</v>
      </c>
      <c r="F203" s="0" t="s">
        <v>12</v>
      </c>
      <c r="G203" s="0" t="s">
        <v>8</v>
      </c>
      <c r="H203" s="0">
        <v>4329</v>
      </c>
      <c r="I203" s="0">
        <v>0</v>
      </c>
      <c r="J203" s="0">
        <v>0</v>
      </c>
      <c r="K203" s="0">
        <v>1</v>
      </c>
      <c r="L203" s="0">
        <v>3</v>
      </c>
      <c r="M203" s="0">
        <v>1</v>
      </c>
      <c r="N203" s="0">
        <v>0</v>
      </c>
      <c r="O203" s="0">
        <v>0</v>
      </c>
      <c r="P203" s="0">
        <v>0</v>
      </c>
      <c r="R203" s="0" t="b">
        <v>0</v>
      </c>
      <c r="S203" s="0" t="b">
        <v>1</v>
      </c>
      <c r="T203" s="68">
        <v>41724.5</v>
      </c>
      <c r="U203" s="68">
        <v>41816.5416666667</v>
      </c>
      <c r="V203" s="68">
        <v>0</v>
      </c>
      <c r="W203" s="0">
        <f>IF(IF(B203="none",1,IF(B203="Trialer",1,0))+IF(C203="Customer",1,IF(C203="Lost",1,0))=2,1,0)</f>
      </c>
      <c r="X203" s="0" t="s">
        <v>136</v>
      </c>
      <c r="Y203" s="0" t="s">
        <v>137</v>
      </c>
      <c r="AV203" s="68"/>
      <c r="AW203" s="68"/>
      <c r="AY203" s="27"/>
      <c r="BD203" s="68">
        <v>46054.1666666667</v>
      </c>
      <c r="BE203" s="68">
        <v>46082.1666666667</v>
      </c>
      <c r="BF203" s="0" t="b">
        <v>0</v>
      </c>
      <c r="BG203" s="0" t="b">
        <v>0</v>
      </c>
      <c r="BH203" s="0">
        <v>0</v>
      </c>
      <c r="BI203" s="0">
        <v>0</v>
      </c>
      <c r="BJ203" s="0" t="s">
        <v>135</v>
      </c>
    </row>
    <row r="204">
      <c r="A204" s="0" t="s">
        <v>366</v>
      </c>
      <c r="B204" s="0" t="s">
        <v>134</v>
      </c>
      <c r="C204" s="0" t="s">
        <v>134</v>
      </c>
      <c r="D204" s="0" t="s">
        <v>135</v>
      </c>
      <c r="E204" s="0" t="s">
        <v>2</v>
      </c>
      <c r="F204" s="0" t="s">
        <v>12</v>
      </c>
      <c r="G204" s="0" t="s">
        <v>8</v>
      </c>
      <c r="H204" s="0">
        <v>4328</v>
      </c>
      <c r="I204" s="0">
        <v>184</v>
      </c>
      <c r="J204" s="0">
        <v>0</v>
      </c>
      <c r="K204" s="0">
        <v>1</v>
      </c>
      <c r="L204" s="0">
        <v>3</v>
      </c>
      <c r="M204" s="0">
        <v>4</v>
      </c>
      <c r="N204" s="0">
        <v>0</v>
      </c>
      <c r="O204" s="0">
        <v>0</v>
      </c>
      <c r="P204" s="0">
        <v>0</v>
      </c>
      <c r="R204" s="0" t="b">
        <v>0</v>
      </c>
      <c r="S204" s="0" t="b">
        <v>1</v>
      </c>
      <c r="T204" s="68">
        <v>41725.5</v>
      </c>
      <c r="U204" s="68">
        <v>41760.5416666667</v>
      </c>
      <c r="V204" s="68">
        <v>0</v>
      </c>
      <c r="W204" s="0">
        <f>IF(IF(B204="none",1,IF(B204="Trialer",1,0))+IF(C204="Customer",1,IF(C204="Lost",1,0))=2,1,0)</f>
      </c>
      <c r="X204" s="0" t="s">
        <v>145</v>
      </c>
      <c r="Y204" s="0" t="s">
        <v>235</v>
      </c>
      <c r="AV204" s="68"/>
      <c r="AW204" s="68"/>
      <c r="AY204" s="27"/>
      <c r="BD204" s="68">
        <v>46054.1666666667</v>
      </c>
      <c r="BE204" s="68">
        <v>46082.1666666667</v>
      </c>
      <c r="BF204" s="0" t="b">
        <v>0</v>
      </c>
      <c r="BG204" s="0" t="b">
        <v>0</v>
      </c>
      <c r="BH204" s="0">
        <v>184</v>
      </c>
      <c r="BI204" s="0">
        <v>184</v>
      </c>
      <c r="BJ204" s="0" t="s">
        <v>135</v>
      </c>
    </row>
    <row r="205">
      <c r="A205" s="0" t="s">
        <v>367</v>
      </c>
      <c r="B205" s="0" t="s">
        <v>134</v>
      </c>
      <c r="C205" s="0" t="s">
        <v>134</v>
      </c>
      <c r="D205" s="0" t="s">
        <v>135</v>
      </c>
      <c r="E205" s="0" t="s">
        <v>3</v>
      </c>
      <c r="F205" s="0" t="s">
        <v>12</v>
      </c>
      <c r="G205" s="0" t="s">
        <v>7</v>
      </c>
      <c r="H205" s="0">
        <v>4324</v>
      </c>
      <c r="I205" s="0">
        <v>0</v>
      </c>
      <c r="J205" s="0">
        <v>0</v>
      </c>
      <c r="K205" s="0">
        <v>1</v>
      </c>
      <c r="L205" s="0">
        <v>1</v>
      </c>
      <c r="M205" s="0">
        <v>2</v>
      </c>
      <c r="N205" s="0">
        <v>0</v>
      </c>
      <c r="O205" s="0">
        <v>0</v>
      </c>
      <c r="P205" s="0">
        <v>0</v>
      </c>
      <c r="R205" s="0" t="b">
        <v>0</v>
      </c>
      <c r="S205" s="0" t="b">
        <v>1</v>
      </c>
      <c r="T205" s="68">
        <v>41729.5</v>
      </c>
      <c r="U205" s="68">
        <v>41759.5416666667</v>
      </c>
      <c r="V205" s="68">
        <v>0</v>
      </c>
      <c r="W205" s="0">
        <f>IF(IF(B205="none",1,IF(B205="Trialer",1,0))+IF(C205="Customer",1,IF(C205="Lost",1,0))=2,1,0)</f>
      </c>
      <c r="X205" s="0" t="s">
        <v>153</v>
      </c>
      <c r="Y205" s="0" t="s">
        <v>213</v>
      </c>
      <c r="AV205" s="68"/>
      <c r="AW205" s="68"/>
      <c r="AY205" s="27"/>
      <c r="BD205" s="68">
        <v>46054.1666666667</v>
      </c>
      <c r="BE205" s="68">
        <v>46082.1666666667</v>
      </c>
      <c r="BF205" s="0" t="b">
        <v>0</v>
      </c>
      <c r="BG205" s="0" t="b">
        <v>0</v>
      </c>
      <c r="BH205" s="0">
        <v>0</v>
      </c>
      <c r="BI205" s="0">
        <v>0</v>
      </c>
      <c r="BJ205" s="0" t="s">
        <v>135</v>
      </c>
    </row>
    <row r="206">
      <c r="A206" s="0" t="s">
        <v>368</v>
      </c>
      <c r="B206" s="0" t="s">
        <v>134</v>
      </c>
      <c r="C206" s="0" t="s">
        <v>134</v>
      </c>
      <c r="D206" s="0" t="s">
        <v>135</v>
      </c>
      <c r="E206" s="0" t="s">
        <v>2</v>
      </c>
      <c r="F206" s="0" t="s">
        <v>10</v>
      </c>
      <c r="G206" s="0" t="s">
        <v>8</v>
      </c>
      <c r="H206" s="0">
        <v>4320</v>
      </c>
      <c r="I206" s="0">
        <v>80</v>
      </c>
      <c r="J206" s="0">
        <v>0</v>
      </c>
      <c r="K206" s="0">
        <v>1</v>
      </c>
      <c r="L206" s="0">
        <v>2</v>
      </c>
      <c r="M206" s="0">
        <v>2</v>
      </c>
      <c r="N206" s="0">
        <v>0</v>
      </c>
      <c r="O206" s="0">
        <v>0</v>
      </c>
      <c r="P206" s="0">
        <v>0</v>
      </c>
      <c r="Q206" s="0" t="s">
        <v>294</v>
      </c>
      <c r="R206" s="0" t="b">
        <v>0</v>
      </c>
      <c r="S206" s="0" t="b">
        <v>1</v>
      </c>
      <c r="T206" s="68">
        <v>41733.5</v>
      </c>
      <c r="U206" s="68">
        <v>41763.5416666667</v>
      </c>
      <c r="V206" s="68">
        <v>0</v>
      </c>
      <c r="W206" s="0">
        <f>IF(IF(B206="none",1,IF(B206="Trialer",1,0))+IF(C206="Customer",1,IF(C206="Lost",1,0))=2,1,0)</f>
      </c>
      <c r="X206" s="0" t="s">
        <v>148</v>
      </c>
      <c r="Y206" s="0" t="s">
        <v>137</v>
      </c>
      <c r="AV206" s="68"/>
      <c r="AW206" s="68"/>
      <c r="AY206" s="27"/>
      <c r="BD206" s="68">
        <v>46054.1666666667</v>
      </c>
      <c r="BE206" s="68">
        <v>46082.1666666667</v>
      </c>
      <c r="BF206" s="0" t="b">
        <v>0</v>
      </c>
      <c r="BG206" s="0" t="b">
        <v>0</v>
      </c>
      <c r="BH206" s="0">
        <v>80</v>
      </c>
      <c r="BI206" s="0">
        <v>80</v>
      </c>
      <c r="BJ206" s="0" t="s">
        <v>135</v>
      </c>
    </row>
    <row r="207">
      <c r="A207" s="0" t="s">
        <v>369</v>
      </c>
      <c r="B207" s="0" t="s">
        <v>134</v>
      </c>
      <c r="C207" s="0" t="s">
        <v>134</v>
      </c>
      <c r="D207" s="0" t="s">
        <v>135</v>
      </c>
      <c r="E207" s="0" t="s">
        <v>2</v>
      </c>
      <c r="F207" s="0" t="s">
        <v>10</v>
      </c>
      <c r="G207" s="0" t="s">
        <v>7</v>
      </c>
      <c r="H207" s="0">
        <v>4315</v>
      </c>
      <c r="I207" s="0">
        <v>120</v>
      </c>
      <c r="J207" s="0">
        <v>0</v>
      </c>
      <c r="K207" s="0">
        <v>1</v>
      </c>
      <c r="L207" s="0">
        <v>1</v>
      </c>
      <c r="M207" s="0">
        <v>3</v>
      </c>
      <c r="N207" s="0">
        <v>0</v>
      </c>
      <c r="O207" s="0">
        <v>0</v>
      </c>
      <c r="P207" s="0">
        <v>0</v>
      </c>
      <c r="Q207" s="0" t="s">
        <v>185</v>
      </c>
      <c r="R207" s="0" t="b">
        <v>0</v>
      </c>
      <c r="S207" s="0" t="b">
        <v>1</v>
      </c>
      <c r="T207" s="68">
        <v>41738.5</v>
      </c>
      <c r="U207" s="68">
        <v>41768.5416666667</v>
      </c>
      <c r="V207" s="68">
        <v>0</v>
      </c>
      <c r="W207" s="0">
        <f>IF(IF(B207="none",1,IF(B207="Trialer",1,0))+IF(C207="Customer",1,IF(C207="Lost",1,0))=2,1,0)</f>
      </c>
      <c r="X207" s="0" t="s">
        <v>148</v>
      </c>
      <c r="Y207" s="0" t="s">
        <v>137</v>
      </c>
      <c r="AV207" s="68"/>
      <c r="AW207" s="68"/>
      <c r="AY207" s="27"/>
      <c r="BD207" s="68">
        <v>46054.1666666667</v>
      </c>
      <c r="BE207" s="68">
        <v>46082.1666666667</v>
      </c>
      <c r="BF207" s="0" t="b">
        <v>0</v>
      </c>
      <c r="BG207" s="0" t="b">
        <v>0</v>
      </c>
      <c r="BH207" s="0">
        <v>120</v>
      </c>
      <c r="BI207" s="0">
        <v>120</v>
      </c>
      <c r="BJ207" s="0" t="s">
        <v>135</v>
      </c>
    </row>
    <row r="208">
      <c r="A208" s="0" t="s">
        <v>370</v>
      </c>
      <c r="B208" s="0" t="s">
        <v>134</v>
      </c>
      <c r="C208" s="0" t="s">
        <v>134</v>
      </c>
      <c r="D208" s="0" t="s">
        <v>135</v>
      </c>
      <c r="E208" s="0" t="s">
        <v>3</v>
      </c>
      <c r="F208" s="0" t="s">
        <v>12</v>
      </c>
      <c r="G208" s="0" t="s">
        <v>8</v>
      </c>
      <c r="H208" s="0">
        <v>4314</v>
      </c>
      <c r="I208" s="0">
        <v>82</v>
      </c>
      <c r="J208" s="0">
        <v>0</v>
      </c>
      <c r="K208" s="0">
        <v>1</v>
      </c>
      <c r="L208" s="0">
        <v>4</v>
      </c>
      <c r="M208" s="0">
        <v>2</v>
      </c>
      <c r="N208" s="0">
        <v>0</v>
      </c>
      <c r="O208" s="0">
        <v>0</v>
      </c>
      <c r="P208" s="0">
        <v>0</v>
      </c>
      <c r="R208" s="0" t="b">
        <v>0</v>
      </c>
      <c r="S208" s="0" t="b">
        <v>1</v>
      </c>
      <c r="T208" s="68">
        <v>41739.5</v>
      </c>
      <c r="U208" s="68">
        <v>41769.5</v>
      </c>
      <c r="V208" s="68">
        <v>0</v>
      </c>
      <c r="W208" s="0">
        <f>IF(IF(B208="none",1,IF(B208="Trialer",1,0))+IF(C208="Customer",1,IF(C208="Lost",1,0))=2,1,0)</f>
      </c>
      <c r="X208" s="0" t="s">
        <v>166</v>
      </c>
      <c r="Y208" s="0" t="s">
        <v>219</v>
      </c>
      <c r="AV208" s="68"/>
      <c r="AW208" s="68"/>
      <c r="AY208" s="27"/>
      <c r="BD208" s="68">
        <v>46054.1666666667</v>
      </c>
      <c r="BE208" s="68">
        <v>46082.1666666667</v>
      </c>
      <c r="BF208" s="0" t="b">
        <v>0</v>
      </c>
      <c r="BG208" s="0" t="b">
        <v>0</v>
      </c>
      <c r="BH208" s="0">
        <v>82</v>
      </c>
      <c r="BI208" s="0">
        <v>82</v>
      </c>
      <c r="BJ208" s="0" t="s">
        <v>135</v>
      </c>
    </row>
    <row r="209">
      <c r="A209" s="0" t="s">
        <v>371</v>
      </c>
      <c r="B209" s="0" t="s">
        <v>134</v>
      </c>
      <c r="C209" s="0" t="s">
        <v>134</v>
      </c>
      <c r="D209" s="0" t="s">
        <v>135</v>
      </c>
      <c r="E209" s="0" t="s">
        <v>2</v>
      </c>
      <c r="F209" s="0" t="s">
        <v>10</v>
      </c>
      <c r="G209" s="0" t="s">
        <v>7</v>
      </c>
      <c r="H209" s="0">
        <v>4314</v>
      </c>
      <c r="I209" s="0">
        <v>440</v>
      </c>
      <c r="J209" s="0">
        <v>0</v>
      </c>
      <c r="K209" s="0">
        <v>1</v>
      </c>
      <c r="L209" s="0">
        <v>1</v>
      </c>
      <c r="M209" s="0">
        <v>11</v>
      </c>
      <c r="N209" s="0">
        <v>0</v>
      </c>
      <c r="O209" s="0">
        <v>0</v>
      </c>
      <c r="P209" s="0">
        <v>0</v>
      </c>
      <c r="Q209" s="0" t="s">
        <v>372</v>
      </c>
      <c r="R209" s="0" t="b">
        <v>0</v>
      </c>
      <c r="S209" s="0" t="b">
        <v>1</v>
      </c>
      <c r="T209" s="68">
        <v>41739.5</v>
      </c>
      <c r="U209" s="68">
        <v>41772.5416666667</v>
      </c>
      <c r="V209" s="68">
        <v>0</v>
      </c>
      <c r="W209" s="0">
        <f>IF(IF(B209="none",1,IF(B209="Trialer",1,0))+IF(C209="Customer",1,IF(C209="Lost",1,0))=2,1,0)</f>
      </c>
      <c r="X209" s="0" t="s">
        <v>148</v>
      </c>
      <c r="Y209" s="0" t="s">
        <v>137</v>
      </c>
      <c r="AV209" s="68"/>
      <c r="AW209" s="68"/>
      <c r="AY209" s="27"/>
      <c r="BD209" s="68">
        <v>46054.1666666667</v>
      </c>
      <c r="BE209" s="68">
        <v>46082.1666666667</v>
      </c>
      <c r="BF209" s="0" t="b">
        <v>0</v>
      </c>
      <c r="BG209" s="0" t="b">
        <v>0</v>
      </c>
      <c r="BH209" s="0">
        <v>440</v>
      </c>
      <c r="BI209" s="0">
        <v>440</v>
      </c>
      <c r="BJ209" s="0" t="s">
        <v>135</v>
      </c>
    </row>
    <row r="210">
      <c r="A210" s="0" t="s">
        <v>373</v>
      </c>
      <c r="B210" s="0" t="s">
        <v>134</v>
      </c>
      <c r="C210" s="0" t="s">
        <v>134</v>
      </c>
      <c r="D210" s="0" t="s">
        <v>135</v>
      </c>
      <c r="E210" s="0" t="s">
        <v>3</v>
      </c>
      <c r="F210" s="0" t="s">
        <v>12</v>
      </c>
      <c r="G210" s="0" t="s">
        <v>7</v>
      </c>
      <c r="H210" s="0">
        <v>4282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R210" s="0" t="b">
        <v>0</v>
      </c>
      <c r="S210" s="0" t="b">
        <v>1</v>
      </c>
      <c r="T210" s="68">
        <v>41771.5</v>
      </c>
      <c r="U210" s="68">
        <v>41802.5</v>
      </c>
      <c r="V210" s="68">
        <v>0</v>
      </c>
      <c r="W210" s="0">
        <f>IF(IF(B210="none",1,IF(B210="Trialer",1,0))+IF(C210="Customer",1,IF(C210="Lost",1,0))=2,1,0)</f>
      </c>
      <c r="X210" s="0" t="s">
        <v>142</v>
      </c>
      <c r="Y210" s="0" t="s">
        <v>213</v>
      </c>
      <c r="AV210" s="68"/>
      <c r="AW210" s="68"/>
      <c r="AY210" s="27"/>
      <c r="BD210" s="68">
        <v>46054.1666666667</v>
      </c>
      <c r="BE210" s="68">
        <v>46082.1666666667</v>
      </c>
      <c r="BF210" s="0" t="b">
        <v>0</v>
      </c>
      <c r="BG210" s="0" t="b">
        <v>0</v>
      </c>
      <c r="BH210" s="0">
        <v>0</v>
      </c>
      <c r="BI210" s="0">
        <v>0</v>
      </c>
      <c r="BJ210" s="0" t="s">
        <v>135</v>
      </c>
    </row>
    <row r="211">
      <c r="A211" s="0" t="s">
        <v>374</v>
      </c>
      <c r="B211" s="0" t="s">
        <v>134</v>
      </c>
      <c r="C211" s="0" t="s">
        <v>134</v>
      </c>
      <c r="D211" s="0" t="s">
        <v>230</v>
      </c>
      <c r="E211" s="0" t="s">
        <v>2</v>
      </c>
      <c r="F211" s="0" t="s">
        <v>12</v>
      </c>
      <c r="G211" s="0" t="s">
        <v>8</v>
      </c>
      <c r="H211" s="0">
        <v>4282</v>
      </c>
      <c r="I211" s="0">
        <v>266.4</v>
      </c>
      <c r="J211" s="0">
        <v>0</v>
      </c>
      <c r="K211" s="0">
        <v>1</v>
      </c>
      <c r="L211" s="0">
        <v>2</v>
      </c>
      <c r="M211" s="0">
        <v>8</v>
      </c>
      <c r="N211" s="0">
        <v>0</v>
      </c>
      <c r="O211" s="0">
        <v>0</v>
      </c>
      <c r="P211" s="0">
        <v>-266.4</v>
      </c>
      <c r="R211" s="0" t="b">
        <v>0</v>
      </c>
      <c r="S211" s="0" t="b">
        <v>1</v>
      </c>
      <c r="T211" s="68">
        <v>41771.6834143518</v>
      </c>
      <c r="U211" s="68">
        <v>41802.5416666667</v>
      </c>
      <c r="V211" s="68">
        <v>0</v>
      </c>
      <c r="W211" s="0">
        <f>IF(IF(B211="none",1,IF(B211="Trialer",1,0))+IF(C211="Customer",1,IF(C211="Lost",1,0))=2,1,0)</f>
      </c>
      <c r="X211" s="0" t="s">
        <v>136</v>
      </c>
      <c r="Y211" s="0" t="s">
        <v>235</v>
      </c>
      <c r="AV211" s="68"/>
      <c r="AW211" s="68"/>
      <c r="AY211" s="27"/>
      <c r="BD211" s="68">
        <v>46054.1666666667</v>
      </c>
      <c r="BE211" s="68">
        <v>46082.1666666667</v>
      </c>
      <c r="BF211" s="0" t="b">
        <v>0</v>
      </c>
      <c r="BG211" s="0" t="b">
        <v>0</v>
      </c>
      <c r="BH211" s="0">
        <v>296</v>
      </c>
      <c r="BI211" s="0">
        <v>296</v>
      </c>
      <c r="BJ211" s="0" t="s">
        <v>230</v>
      </c>
    </row>
    <row r="212">
      <c r="A212" s="0" t="s">
        <v>375</v>
      </c>
      <c r="B212" s="0" t="s">
        <v>134</v>
      </c>
      <c r="C212" s="0" t="s">
        <v>134</v>
      </c>
      <c r="D212" s="0" t="s">
        <v>230</v>
      </c>
      <c r="E212" s="0" t="s">
        <v>2</v>
      </c>
      <c r="F212" s="0" t="s">
        <v>12</v>
      </c>
      <c r="G212" s="0" t="s">
        <v>7</v>
      </c>
      <c r="H212" s="0">
        <v>4281</v>
      </c>
      <c r="I212" s="0">
        <v>36</v>
      </c>
      <c r="J212" s="0">
        <v>0</v>
      </c>
      <c r="K212" s="0">
        <v>1</v>
      </c>
      <c r="L212" s="0">
        <v>1</v>
      </c>
      <c r="M212" s="0">
        <v>1</v>
      </c>
      <c r="N212" s="0">
        <v>0</v>
      </c>
      <c r="O212" s="0">
        <v>0</v>
      </c>
      <c r="P212" s="0">
        <v>-36</v>
      </c>
      <c r="R212" s="0" t="b">
        <v>0</v>
      </c>
      <c r="S212" s="0" t="b">
        <v>1</v>
      </c>
      <c r="T212" s="68">
        <v>41772.5960069444</v>
      </c>
      <c r="U212" s="68">
        <v>41772.5416666667</v>
      </c>
      <c r="V212" s="68">
        <v>0</v>
      </c>
      <c r="W212" s="0">
        <f>IF(IF(B212="none",1,IF(B212="Trialer",1,0))+IF(C212="Customer",1,IF(C212="Lost",1,0))=2,1,0)</f>
      </c>
      <c r="X212" s="0" t="s">
        <v>145</v>
      </c>
      <c r="Y212" s="0" t="s">
        <v>137</v>
      </c>
      <c r="AV212" s="68"/>
      <c r="AW212" s="68"/>
      <c r="AY212" s="27"/>
      <c r="BD212" s="68">
        <v>46054.1666666667</v>
      </c>
      <c r="BE212" s="68">
        <v>46082.1666666667</v>
      </c>
      <c r="BF212" s="0" t="b">
        <v>0</v>
      </c>
      <c r="BG212" s="0" t="b">
        <v>0</v>
      </c>
      <c r="BH212" s="0">
        <v>40</v>
      </c>
      <c r="BI212" s="0">
        <v>40</v>
      </c>
      <c r="BJ212" s="0" t="s">
        <v>230</v>
      </c>
    </row>
    <row r="213">
      <c r="A213" s="0" t="s">
        <v>376</v>
      </c>
      <c r="B213" s="0" t="s">
        <v>134</v>
      </c>
      <c r="C213" s="0" t="s">
        <v>134</v>
      </c>
      <c r="D213" s="0" t="s">
        <v>135</v>
      </c>
      <c r="E213" s="0" t="s">
        <v>3</v>
      </c>
      <c r="F213" s="0" t="s">
        <v>12</v>
      </c>
      <c r="G213" s="0" t="s">
        <v>7</v>
      </c>
      <c r="H213" s="0">
        <v>4281</v>
      </c>
      <c r="I213" s="0">
        <v>480</v>
      </c>
      <c r="J213" s="0">
        <v>0</v>
      </c>
      <c r="K213" s="0">
        <v>1</v>
      </c>
      <c r="L213" s="0">
        <v>1</v>
      </c>
      <c r="M213" s="0">
        <v>12</v>
      </c>
      <c r="N213" s="0">
        <v>0</v>
      </c>
      <c r="O213" s="0">
        <v>0</v>
      </c>
      <c r="P213" s="0">
        <v>0</v>
      </c>
      <c r="R213" s="0" t="b">
        <v>0</v>
      </c>
      <c r="S213" s="0" t="b">
        <v>1</v>
      </c>
      <c r="T213" s="68">
        <v>41772.6611111111</v>
      </c>
      <c r="U213" s="68">
        <v>41803.5</v>
      </c>
      <c r="V213" s="68">
        <v>0</v>
      </c>
      <c r="W213" s="0">
        <f>IF(IF(B213="none",1,IF(B213="Trialer",1,0))+IF(C213="Customer",1,IF(C213="Lost",1,0))=2,1,0)</f>
      </c>
      <c r="X213" s="0" t="s">
        <v>145</v>
      </c>
      <c r="Y213" s="0" t="s">
        <v>213</v>
      </c>
      <c r="AV213" s="68"/>
      <c r="AW213" s="68"/>
      <c r="AY213" s="27"/>
      <c r="BD213" s="68">
        <v>46054.1666666667</v>
      </c>
      <c r="BE213" s="68">
        <v>46082.1666666667</v>
      </c>
      <c r="BF213" s="0" t="b">
        <v>0</v>
      </c>
      <c r="BG213" s="0" t="b">
        <v>0</v>
      </c>
      <c r="BH213" s="0">
        <v>480</v>
      </c>
      <c r="BI213" s="0">
        <v>480</v>
      </c>
      <c r="BJ213" s="0" t="s">
        <v>135</v>
      </c>
    </row>
    <row r="214">
      <c r="A214" s="0" t="s">
        <v>377</v>
      </c>
      <c r="B214" s="0" t="s">
        <v>134</v>
      </c>
      <c r="C214" s="0" t="s">
        <v>134</v>
      </c>
      <c r="D214" s="0" t="s">
        <v>135</v>
      </c>
      <c r="E214" s="0" t="s">
        <v>3</v>
      </c>
      <c r="F214" s="0" t="s">
        <v>12</v>
      </c>
      <c r="G214" s="0" t="s">
        <v>7</v>
      </c>
      <c r="H214" s="0">
        <v>4264</v>
      </c>
      <c r="I214" s="0">
        <v>40</v>
      </c>
      <c r="J214" s="0">
        <v>0</v>
      </c>
      <c r="K214" s="0">
        <v>1</v>
      </c>
      <c r="L214" s="0">
        <v>1</v>
      </c>
      <c r="M214" s="0">
        <v>1</v>
      </c>
      <c r="N214" s="0">
        <v>0</v>
      </c>
      <c r="O214" s="0">
        <v>0</v>
      </c>
      <c r="P214" s="0">
        <v>0</v>
      </c>
      <c r="R214" s="0" t="b">
        <v>0</v>
      </c>
      <c r="S214" s="0" t="b">
        <v>1</v>
      </c>
      <c r="T214" s="68">
        <v>41789.064212963</v>
      </c>
      <c r="U214" s="68">
        <v>41820.5416666667</v>
      </c>
      <c r="V214" s="68">
        <v>0</v>
      </c>
      <c r="W214" s="0">
        <f>IF(IF(B214="none",1,IF(B214="Trialer",1,0))+IF(C214="Customer",1,IF(C214="Lost",1,0))=2,1,0)</f>
      </c>
      <c r="X214" s="0" t="s">
        <v>142</v>
      </c>
      <c r="Y214" s="0" t="s">
        <v>213</v>
      </c>
      <c r="AV214" s="68"/>
      <c r="AW214" s="68"/>
      <c r="AY214" s="27"/>
      <c r="BD214" s="68">
        <v>46054.1666666667</v>
      </c>
      <c r="BE214" s="68">
        <v>46082.1666666667</v>
      </c>
      <c r="BF214" s="0" t="b">
        <v>0</v>
      </c>
      <c r="BG214" s="0" t="b">
        <v>0</v>
      </c>
      <c r="BH214" s="0">
        <v>40</v>
      </c>
      <c r="BI214" s="0">
        <v>40</v>
      </c>
      <c r="BJ214" s="0" t="s">
        <v>135</v>
      </c>
    </row>
    <row r="215">
      <c r="A215" s="0" t="s">
        <v>378</v>
      </c>
      <c r="B215" s="0" t="s">
        <v>134</v>
      </c>
      <c r="C215" s="0" t="s">
        <v>134</v>
      </c>
      <c r="D215" s="0" t="s">
        <v>135</v>
      </c>
      <c r="E215" s="0" t="s">
        <v>2</v>
      </c>
      <c r="F215" s="0" t="s">
        <v>12</v>
      </c>
      <c r="G215" s="0" t="s">
        <v>7</v>
      </c>
      <c r="H215" s="0">
        <v>4259</v>
      </c>
      <c r="I215" s="0">
        <v>280</v>
      </c>
      <c r="J215" s="0">
        <v>0</v>
      </c>
      <c r="K215" s="0">
        <v>1</v>
      </c>
      <c r="L215" s="0">
        <v>1</v>
      </c>
      <c r="M215" s="0">
        <v>7</v>
      </c>
      <c r="N215" s="0">
        <v>0</v>
      </c>
      <c r="O215" s="0">
        <v>0</v>
      </c>
      <c r="P215" s="0">
        <v>0</v>
      </c>
      <c r="R215" s="0" t="b">
        <v>0</v>
      </c>
      <c r="S215" s="0" t="b">
        <v>1</v>
      </c>
      <c r="T215" s="68">
        <v>41794.5</v>
      </c>
      <c r="U215" s="68">
        <v>41824.5416666667</v>
      </c>
      <c r="V215" s="68">
        <v>0</v>
      </c>
      <c r="W215" s="0">
        <f>IF(IF(B215="none",1,IF(B215="Trialer",1,0))+IF(C215="Customer",1,IF(C215="Lost",1,0))=2,1,0)</f>
      </c>
      <c r="X215" s="0" t="s">
        <v>145</v>
      </c>
      <c r="Y215" s="0" t="s">
        <v>137</v>
      </c>
      <c r="AV215" s="68"/>
      <c r="AW215" s="68"/>
      <c r="AY215" s="27"/>
      <c r="BD215" s="68">
        <v>46054.1666666667</v>
      </c>
      <c r="BE215" s="68">
        <v>46082.1666666667</v>
      </c>
      <c r="BF215" s="0" t="b">
        <v>0</v>
      </c>
      <c r="BG215" s="0" t="b">
        <v>0</v>
      </c>
      <c r="BH215" s="0">
        <v>280</v>
      </c>
      <c r="BI215" s="0">
        <v>280</v>
      </c>
      <c r="BJ215" s="0" t="s">
        <v>135</v>
      </c>
    </row>
    <row r="216">
      <c r="A216" s="0" t="s">
        <v>379</v>
      </c>
      <c r="B216" s="0" t="s">
        <v>134</v>
      </c>
      <c r="C216" s="0" t="s">
        <v>134</v>
      </c>
      <c r="D216" s="0" t="s">
        <v>135</v>
      </c>
      <c r="E216" s="0" t="s">
        <v>3</v>
      </c>
      <c r="F216" s="0" t="s">
        <v>12</v>
      </c>
      <c r="G216" s="0" t="s">
        <v>7</v>
      </c>
      <c r="H216" s="0">
        <v>4258</v>
      </c>
      <c r="I216" s="0">
        <v>80</v>
      </c>
      <c r="J216" s="0">
        <v>0</v>
      </c>
      <c r="K216" s="0">
        <v>1</v>
      </c>
      <c r="L216" s="0">
        <v>1</v>
      </c>
      <c r="M216" s="0">
        <v>2</v>
      </c>
      <c r="N216" s="0">
        <v>0</v>
      </c>
      <c r="O216" s="0">
        <v>0</v>
      </c>
      <c r="P216" s="0">
        <v>0</v>
      </c>
      <c r="R216" s="0" t="b">
        <v>0</v>
      </c>
      <c r="S216" s="0" t="b">
        <v>1</v>
      </c>
      <c r="T216" s="68">
        <v>41795.5</v>
      </c>
      <c r="U216" s="68">
        <v>41825.5416666667</v>
      </c>
      <c r="V216" s="68">
        <v>0</v>
      </c>
      <c r="W216" s="0">
        <f>IF(IF(B216="none",1,IF(B216="Trialer",1,0))+IF(C216="Customer",1,IF(C216="Lost",1,0))=2,1,0)</f>
      </c>
      <c r="X216" s="0" t="s">
        <v>142</v>
      </c>
      <c r="Y216" s="0" t="s">
        <v>213</v>
      </c>
      <c r="AV216" s="68"/>
      <c r="AW216" s="68"/>
      <c r="AY216" s="27"/>
      <c r="BD216" s="68">
        <v>46054.1666666667</v>
      </c>
      <c r="BE216" s="68">
        <v>46082.1666666667</v>
      </c>
      <c r="BF216" s="0" t="b">
        <v>0</v>
      </c>
      <c r="BG216" s="0" t="b">
        <v>0</v>
      </c>
      <c r="BH216" s="0">
        <v>80</v>
      </c>
      <c r="BI216" s="0">
        <v>80</v>
      </c>
      <c r="BJ216" s="0" t="s">
        <v>135</v>
      </c>
    </row>
    <row r="217">
      <c r="A217" s="0" t="s">
        <v>380</v>
      </c>
      <c r="B217" s="0" t="s">
        <v>134</v>
      </c>
      <c r="C217" s="0" t="s">
        <v>134</v>
      </c>
      <c r="D217" s="0" t="s">
        <v>135</v>
      </c>
      <c r="E217" s="0" t="s">
        <v>2</v>
      </c>
      <c r="F217" s="0" t="s">
        <v>12</v>
      </c>
      <c r="G217" s="0" t="s">
        <v>8</v>
      </c>
      <c r="H217" s="0">
        <v>4254</v>
      </c>
      <c r="I217" s="0">
        <v>405</v>
      </c>
      <c r="J217" s="0">
        <v>0</v>
      </c>
      <c r="K217" s="0">
        <v>1</v>
      </c>
      <c r="L217" s="0">
        <v>3</v>
      </c>
      <c r="M217" s="0">
        <v>9</v>
      </c>
      <c r="N217" s="0">
        <v>0</v>
      </c>
      <c r="O217" s="0">
        <v>0</v>
      </c>
      <c r="P217" s="0">
        <v>0</v>
      </c>
      <c r="R217" s="0" t="b">
        <v>0</v>
      </c>
      <c r="S217" s="0" t="b">
        <v>1</v>
      </c>
      <c r="T217" s="68">
        <v>41799.5</v>
      </c>
      <c r="U217" s="68">
        <v>41830.5416666667</v>
      </c>
      <c r="V217" s="68">
        <v>0</v>
      </c>
      <c r="W217" s="0">
        <f>IF(IF(B217="none",1,IF(B217="Trialer",1,0))+IF(C217="Customer",1,IF(C217="Lost",1,0))=2,1,0)</f>
      </c>
      <c r="X217" s="0" t="s">
        <v>145</v>
      </c>
      <c r="Y217" s="0" t="s">
        <v>137</v>
      </c>
      <c r="AV217" s="68"/>
      <c r="AW217" s="68"/>
      <c r="AY217" s="27"/>
      <c r="BD217" s="68">
        <v>46054.1666666667</v>
      </c>
      <c r="BE217" s="68">
        <v>46082.1666666667</v>
      </c>
      <c r="BF217" s="0" t="b">
        <v>0</v>
      </c>
      <c r="BG217" s="0" t="b">
        <v>0</v>
      </c>
      <c r="BH217" s="0">
        <v>405</v>
      </c>
      <c r="BI217" s="0">
        <v>405</v>
      </c>
      <c r="BJ217" s="0" t="s">
        <v>135</v>
      </c>
    </row>
    <row r="218">
      <c r="A218" s="0" t="s">
        <v>381</v>
      </c>
      <c r="B218" s="0" t="s">
        <v>134</v>
      </c>
      <c r="C218" s="0" t="s">
        <v>134</v>
      </c>
      <c r="D218" s="0" t="s">
        <v>135</v>
      </c>
      <c r="E218" s="0" t="s">
        <v>2</v>
      </c>
      <c r="F218" s="0" t="s">
        <v>12</v>
      </c>
      <c r="G218" s="0" t="s">
        <v>8</v>
      </c>
      <c r="H218" s="0">
        <v>4252</v>
      </c>
      <c r="I218" s="0">
        <v>40</v>
      </c>
      <c r="J218" s="0">
        <v>0</v>
      </c>
      <c r="K218" s="0">
        <v>1</v>
      </c>
      <c r="L218" s="0">
        <v>2</v>
      </c>
      <c r="M218" s="0">
        <v>1</v>
      </c>
      <c r="N218" s="0">
        <v>0</v>
      </c>
      <c r="O218" s="0">
        <v>0</v>
      </c>
      <c r="P218" s="0">
        <v>0</v>
      </c>
      <c r="R218" s="0" t="b">
        <v>0</v>
      </c>
      <c r="S218" s="0" t="b">
        <v>1</v>
      </c>
      <c r="T218" s="68">
        <v>41801.5</v>
      </c>
      <c r="U218" s="68">
        <v>41831.5416666667</v>
      </c>
      <c r="V218" s="68">
        <v>0</v>
      </c>
      <c r="W218" s="0">
        <f>IF(IF(B218="none",1,IF(B218="Trialer",1,0))+IF(C218="Customer",1,IF(C218="Lost",1,0))=2,1,0)</f>
      </c>
      <c r="X218" s="0" t="s">
        <v>166</v>
      </c>
      <c r="Y218" s="0" t="s">
        <v>137</v>
      </c>
      <c r="AV218" s="68"/>
      <c r="AW218" s="68"/>
      <c r="AY218" s="27"/>
      <c r="BD218" s="68">
        <v>46054.1666666667</v>
      </c>
      <c r="BE218" s="68">
        <v>46082.1666666667</v>
      </c>
      <c r="BF218" s="0" t="b">
        <v>0</v>
      </c>
      <c r="BG218" s="0" t="b">
        <v>0</v>
      </c>
      <c r="BH218" s="0">
        <v>40</v>
      </c>
      <c r="BI218" s="0">
        <v>40</v>
      </c>
      <c r="BJ218" s="0" t="s">
        <v>135</v>
      </c>
    </row>
    <row r="219">
      <c r="A219" s="0" t="s">
        <v>382</v>
      </c>
      <c r="B219" s="0" t="s">
        <v>134</v>
      </c>
      <c r="C219" s="0" t="s">
        <v>134</v>
      </c>
      <c r="D219" s="0" t="s">
        <v>135</v>
      </c>
      <c r="E219" s="0" t="s">
        <v>2</v>
      </c>
      <c r="F219" s="0" t="s">
        <v>12</v>
      </c>
      <c r="G219" s="0" t="s">
        <v>8</v>
      </c>
      <c r="H219" s="0">
        <v>4252</v>
      </c>
      <c r="I219" s="0">
        <v>468</v>
      </c>
      <c r="J219" s="0">
        <v>0</v>
      </c>
      <c r="K219" s="0">
        <v>1</v>
      </c>
      <c r="L219" s="0">
        <v>4</v>
      </c>
      <c r="M219" s="0">
        <v>12</v>
      </c>
      <c r="N219" s="0">
        <v>0</v>
      </c>
      <c r="O219" s="0">
        <v>0</v>
      </c>
      <c r="P219" s="0">
        <v>0</v>
      </c>
      <c r="R219" s="0" t="b">
        <v>0</v>
      </c>
      <c r="S219" s="0" t="b">
        <v>1</v>
      </c>
      <c r="T219" s="68">
        <v>41801.5</v>
      </c>
      <c r="U219" s="68">
        <v>41836.5416666667</v>
      </c>
      <c r="V219" s="68">
        <v>0</v>
      </c>
      <c r="W219" s="0">
        <f>IF(IF(B219="none",1,IF(B219="Trialer",1,0))+IF(C219="Customer",1,IF(C219="Lost",1,0))=2,1,0)</f>
      </c>
      <c r="X219" s="0" t="s">
        <v>148</v>
      </c>
      <c r="Y219" s="0" t="s">
        <v>235</v>
      </c>
      <c r="AV219" s="68"/>
      <c r="AW219" s="68"/>
      <c r="AY219" s="27"/>
      <c r="BD219" s="68">
        <v>46054.1666666667</v>
      </c>
      <c r="BE219" s="68">
        <v>46082.1666666667</v>
      </c>
      <c r="BF219" s="0" t="b">
        <v>0</v>
      </c>
      <c r="BG219" s="0" t="b">
        <v>0</v>
      </c>
      <c r="BH219" s="0">
        <v>468</v>
      </c>
      <c r="BI219" s="0">
        <v>468</v>
      </c>
      <c r="BJ219" s="0" t="s">
        <v>135</v>
      </c>
    </row>
    <row r="220">
      <c r="A220" s="0" t="s">
        <v>383</v>
      </c>
      <c r="B220" s="0" t="s">
        <v>134</v>
      </c>
      <c r="C220" s="0" t="s">
        <v>134</v>
      </c>
      <c r="D220" s="0" t="s">
        <v>135</v>
      </c>
      <c r="E220" s="0" t="s">
        <v>2</v>
      </c>
      <c r="F220" s="0" t="s">
        <v>12</v>
      </c>
      <c r="G220" s="0" t="s">
        <v>7</v>
      </c>
      <c r="H220" s="0">
        <v>4251</v>
      </c>
      <c r="I220" s="0">
        <v>240</v>
      </c>
      <c r="J220" s="0">
        <v>0</v>
      </c>
      <c r="K220" s="0">
        <v>1</v>
      </c>
      <c r="L220" s="0">
        <v>1</v>
      </c>
      <c r="M220" s="0">
        <v>6</v>
      </c>
      <c r="N220" s="0">
        <v>0</v>
      </c>
      <c r="O220" s="0">
        <v>0</v>
      </c>
      <c r="P220" s="0">
        <v>0</v>
      </c>
      <c r="R220" s="0" t="b">
        <v>0</v>
      </c>
      <c r="S220" s="0" t="b">
        <v>1</v>
      </c>
      <c r="T220" s="68">
        <v>41802.5</v>
      </c>
      <c r="U220" s="68">
        <v>41834.5416666667</v>
      </c>
      <c r="V220" s="68">
        <v>0</v>
      </c>
      <c r="W220" s="0">
        <f>IF(IF(B220="none",1,IF(B220="Trialer",1,0))+IF(C220="Customer",1,IF(C220="Lost",1,0))=2,1,0)</f>
      </c>
      <c r="X220" s="0" t="s">
        <v>148</v>
      </c>
      <c r="Y220" s="0" t="s">
        <v>137</v>
      </c>
      <c r="AV220" s="68"/>
      <c r="AW220" s="68"/>
      <c r="AY220" s="27"/>
      <c r="BD220" s="68">
        <v>46054.1666666667</v>
      </c>
      <c r="BE220" s="68">
        <v>46082.1666666667</v>
      </c>
      <c r="BF220" s="0" t="b">
        <v>0</v>
      </c>
      <c r="BG220" s="0" t="b">
        <v>0</v>
      </c>
      <c r="BH220" s="0">
        <v>240</v>
      </c>
      <c r="BI220" s="0">
        <v>240</v>
      </c>
      <c r="BJ220" s="0" t="s">
        <v>135</v>
      </c>
    </row>
    <row r="221">
      <c r="A221" s="0" t="s">
        <v>384</v>
      </c>
      <c r="B221" s="0" t="s">
        <v>134</v>
      </c>
      <c r="C221" s="0" t="s">
        <v>134</v>
      </c>
      <c r="D221" s="0" t="s">
        <v>135</v>
      </c>
      <c r="E221" s="0" t="s">
        <v>3</v>
      </c>
      <c r="F221" s="0" t="s">
        <v>12</v>
      </c>
      <c r="G221" s="0" t="s">
        <v>7</v>
      </c>
      <c r="H221" s="0">
        <v>4243</v>
      </c>
      <c r="I221" s="0">
        <v>100</v>
      </c>
      <c r="J221" s="0">
        <v>0</v>
      </c>
      <c r="K221" s="0">
        <v>1</v>
      </c>
      <c r="L221" s="0">
        <v>1</v>
      </c>
      <c r="M221" s="0">
        <v>4</v>
      </c>
      <c r="N221" s="0">
        <v>0</v>
      </c>
      <c r="O221" s="0">
        <v>0</v>
      </c>
      <c r="P221" s="0">
        <v>0</v>
      </c>
      <c r="R221" s="0" t="b">
        <v>0</v>
      </c>
      <c r="S221" s="0" t="b">
        <v>0</v>
      </c>
      <c r="T221" s="68">
        <v>41810.1562615741</v>
      </c>
      <c r="U221" s="68">
        <v>41840.5416666667</v>
      </c>
      <c r="V221" s="68">
        <v>46083.6473842593</v>
      </c>
      <c r="W221" s="0">
        <f>IF(IF(B221="none",1,IF(B221="Trialer",1,0))+IF(C221="Customer",1,IF(C221="Lost",1,0))=2,1,0)</f>
      </c>
      <c r="X221" s="0" t="s">
        <v>136</v>
      </c>
      <c r="Y221" s="0" t="s">
        <v>219</v>
      </c>
      <c r="AV221" s="68"/>
      <c r="AW221" s="68"/>
      <c r="AY221" s="27"/>
      <c r="BD221" s="68">
        <v>46054.1666666667</v>
      </c>
      <c r="BE221" s="68">
        <v>46082.1666666667</v>
      </c>
      <c r="BF221" s="0" t="b">
        <v>0</v>
      </c>
      <c r="BG221" s="0" t="b">
        <v>0</v>
      </c>
      <c r="BH221" s="0">
        <v>100</v>
      </c>
      <c r="BI221" s="0">
        <v>100</v>
      </c>
      <c r="BJ221" s="0" t="s">
        <v>135</v>
      </c>
    </row>
    <row r="222">
      <c r="A222" s="0" t="s">
        <v>385</v>
      </c>
      <c r="B222" s="0" t="s">
        <v>134</v>
      </c>
      <c r="C222" s="0" t="s">
        <v>134</v>
      </c>
      <c r="D222" s="0" t="s">
        <v>135</v>
      </c>
      <c r="E222" s="0" t="s">
        <v>2</v>
      </c>
      <c r="F222" s="0" t="s">
        <v>12</v>
      </c>
      <c r="G222" s="0" t="s">
        <v>7</v>
      </c>
      <c r="H222" s="0">
        <v>4239</v>
      </c>
      <c r="I222" s="0">
        <v>150</v>
      </c>
      <c r="J222" s="0">
        <v>0</v>
      </c>
      <c r="K222" s="0">
        <v>1</v>
      </c>
      <c r="L222" s="0">
        <v>1</v>
      </c>
      <c r="M222" s="0">
        <v>6</v>
      </c>
      <c r="N222" s="0">
        <v>0</v>
      </c>
      <c r="O222" s="0">
        <v>0</v>
      </c>
      <c r="P222" s="0">
        <v>0</v>
      </c>
      <c r="R222" s="0" t="b">
        <v>0</v>
      </c>
      <c r="S222" s="0" t="b">
        <v>1</v>
      </c>
      <c r="T222" s="68">
        <v>41814.3519675926</v>
      </c>
      <c r="U222" s="68">
        <v>41844.5416666667</v>
      </c>
      <c r="V222" s="68">
        <v>0</v>
      </c>
      <c r="W222" s="0">
        <f>IF(IF(B222="none",1,IF(B222="Trialer",1,0))+IF(C222="Customer",1,IF(C222="Lost",1,0))=2,1,0)</f>
      </c>
      <c r="X222" s="0" t="s">
        <v>148</v>
      </c>
      <c r="Y222" s="0" t="s">
        <v>235</v>
      </c>
      <c r="AV222" s="68"/>
      <c r="AW222" s="68"/>
      <c r="AY222" s="27"/>
      <c r="BD222" s="68">
        <v>46054.1666666667</v>
      </c>
      <c r="BE222" s="68">
        <v>46082.1666666667</v>
      </c>
      <c r="BF222" s="0" t="b">
        <v>0</v>
      </c>
      <c r="BG222" s="0" t="b">
        <v>0</v>
      </c>
      <c r="BH222" s="0">
        <v>150</v>
      </c>
      <c r="BI222" s="0">
        <v>150</v>
      </c>
      <c r="BJ222" s="0" t="s">
        <v>135</v>
      </c>
    </row>
    <row r="223">
      <c r="A223" s="0" t="s">
        <v>386</v>
      </c>
      <c r="B223" s="0" t="s">
        <v>134</v>
      </c>
      <c r="C223" s="0" t="s">
        <v>134</v>
      </c>
      <c r="D223" s="0" t="s">
        <v>135</v>
      </c>
      <c r="E223" s="0" t="s">
        <v>2</v>
      </c>
      <c r="F223" s="0" t="s">
        <v>12</v>
      </c>
      <c r="G223" s="0" t="s">
        <v>7</v>
      </c>
      <c r="H223" s="0">
        <v>4238</v>
      </c>
      <c r="I223" s="0">
        <v>120</v>
      </c>
      <c r="J223" s="0">
        <v>0</v>
      </c>
      <c r="K223" s="0">
        <v>1</v>
      </c>
      <c r="L223" s="0">
        <v>1</v>
      </c>
      <c r="M223" s="0">
        <v>3</v>
      </c>
      <c r="N223" s="0">
        <v>0</v>
      </c>
      <c r="O223" s="0">
        <v>0</v>
      </c>
      <c r="P223" s="0">
        <v>0</v>
      </c>
      <c r="R223" s="0" t="b">
        <v>0</v>
      </c>
      <c r="S223" s="0" t="b">
        <v>1</v>
      </c>
      <c r="T223" s="68">
        <v>41815.9145833333</v>
      </c>
      <c r="U223" s="68">
        <v>41848.5416666667</v>
      </c>
      <c r="V223" s="68">
        <v>0</v>
      </c>
      <c r="W223" s="0">
        <f>IF(IF(B223="none",1,IF(B223="Trialer",1,0))+IF(C223="Customer",1,IF(C223="Lost",1,0))=2,1,0)</f>
      </c>
      <c r="X223" s="0" t="s">
        <v>142</v>
      </c>
      <c r="Y223" s="0" t="s">
        <v>137</v>
      </c>
      <c r="AV223" s="68"/>
      <c r="AW223" s="68"/>
      <c r="AY223" s="27"/>
      <c r="BD223" s="68">
        <v>46054.1666666667</v>
      </c>
      <c r="BE223" s="68">
        <v>46082.1666666667</v>
      </c>
      <c r="BF223" s="0" t="b">
        <v>0</v>
      </c>
      <c r="BG223" s="0" t="b">
        <v>0</v>
      </c>
      <c r="BH223" s="0">
        <v>120</v>
      </c>
      <c r="BI223" s="0">
        <v>120</v>
      </c>
      <c r="BJ223" s="0" t="s">
        <v>135</v>
      </c>
    </row>
    <row r="224">
      <c r="A224" s="0" t="s">
        <v>387</v>
      </c>
      <c r="B224" s="0" t="s">
        <v>134</v>
      </c>
      <c r="C224" s="0" t="s">
        <v>134</v>
      </c>
      <c r="D224" s="0" t="s">
        <v>135</v>
      </c>
      <c r="E224" s="0" t="s">
        <v>2</v>
      </c>
      <c r="F224" s="0" t="s">
        <v>12</v>
      </c>
      <c r="G224" s="0" t="s">
        <v>8</v>
      </c>
      <c r="H224" s="0">
        <v>4232</v>
      </c>
      <c r="I224" s="0">
        <v>172</v>
      </c>
      <c r="J224" s="0">
        <v>0</v>
      </c>
      <c r="K224" s="0">
        <v>1</v>
      </c>
      <c r="L224" s="0">
        <v>3</v>
      </c>
      <c r="M224" s="0">
        <v>4</v>
      </c>
      <c r="N224" s="0">
        <v>0</v>
      </c>
      <c r="O224" s="0">
        <v>0</v>
      </c>
      <c r="P224" s="0">
        <v>0</v>
      </c>
      <c r="R224" s="0" t="b">
        <v>0</v>
      </c>
      <c r="S224" s="0" t="b">
        <v>1</v>
      </c>
      <c r="T224" s="68">
        <v>41821.5</v>
      </c>
      <c r="U224" s="68">
        <v>41852.5</v>
      </c>
      <c r="V224" s="68">
        <v>0</v>
      </c>
      <c r="W224" s="0">
        <f>IF(IF(B224="none",1,IF(B224="Trialer",1,0))+IF(C224="Customer",1,IF(C224="Lost",1,0))=2,1,0)</f>
      </c>
      <c r="X224" s="0" t="s">
        <v>145</v>
      </c>
      <c r="Y224" s="0" t="s">
        <v>235</v>
      </c>
      <c r="AV224" s="68"/>
      <c r="AW224" s="68"/>
      <c r="AY224" s="27"/>
      <c r="BD224" s="68">
        <v>46054.1666666667</v>
      </c>
      <c r="BE224" s="68">
        <v>46082.1666666667</v>
      </c>
      <c r="BF224" s="0" t="b">
        <v>0</v>
      </c>
      <c r="BG224" s="0" t="b">
        <v>0</v>
      </c>
      <c r="BH224" s="0">
        <v>172</v>
      </c>
      <c r="BI224" s="0">
        <v>172</v>
      </c>
      <c r="BJ224" s="0" t="s">
        <v>135</v>
      </c>
    </row>
    <row r="225">
      <c r="A225" s="0" t="s">
        <v>388</v>
      </c>
      <c r="B225" s="0" t="s">
        <v>134</v>
      </c>
      <c r="C225" s="0" t="s">
        <v>134</v>
      </c>
      <c r="D225" s="0" t="s">
        <v>135</v>
      </c>
      <c r="E225" s="0" t="s">
        <v>2</v>
      </c>
      <c r="F225" s="0" t="s">
        <v>12</v>
      </c>
      <c r="G225" s="0" t="s">
        <v>8</v>
      </c>
      <c r="H225" s="0">
        <v>4226</v>
      </c>
      <c r="I225" s="0">
        <v>190</v>
      </c>
      <c r="J225" s="0">
        <v>0</v>
      </c>
      <c r="K225" s="0">
        <v>1</v>
      </c>
      <c r="L225" s="0">
        <v>4</v>
      </c>
      <c r="M225" s="0">
        <v>4</v>
      </c>
      <c r="N225" s="0">
        <v>0</v>
      </c>
      <c r="O225" s="0">
        <v>0</v>
      </c>
      <c r="P225" s="0">
        <v>0</v>
      </c>
      <c r="R225" s="0" t="b">
        <v>0</v>
      </c>
      <c r="S225" s="0" t="b">
        <v>1</v>
      </c>
      <c r="T225" s="68">
        <v>41827.5</v>
      </c>
      <c r="U225" s="68">
        <v>41858.5416666667</v>
      </c>
      <c r="V225" s="68">
        <v>0</v>
      </c>
      <c r="W225" s="0">
        <f>IF(IF(B225="none",1,IF(B225="Trialer",1,0))+IF(C225="Customer",1,IF(C225="Lost",1,0))=2,1,0)</f>
      </c>
      <c r="X225" s="0" t="s">
        <v>145</v>
      </c>
      <c r="Y225" s="0" t="s">
        <v>137</v>
      </c>
      <c r="AV225" s="68"/>
      <c r="AW225" s="68"/>
      <c r="AY225" s="27"/>
      <c r="BD225" s="68">
        <v>46054.1666666667</v>
      </c>
      <c r="BE225" s="68">
        <v>46082.1666666667</v>
      </c>
      <c r="BF225" s="0" t="b">
        <v>0</v>
      </c>
      <c r="BG225" s="0" t="b">
        <v>0</v>
      </c>
      <c r="BH225" s="0">
        <v>190</v>
      </c>
      <c r="BI225" s="0">
        <v>190</v>
      </c>
      <c r="BJ225" s="0" t="s">
        <v>135</v>
      </c>
    </row>
    <row r="226">
      <c r="A226" s="0" t="s">
        <v>389</v>
      </c>
      <c r="B226" s="0" t="s">
        <v>134</v>
      </c>
      <c r="C226" s="0" t="s">
        <v>134</v>
      </c>
      <c r="D226" s="0" t="s">
        <v>135</v>
      </c>
      <c r="E226" s="0" t="s">
        <v>2</v>
      </c>
      <c r="F226" s="0" t="s">
        <v>10</v>
      </c>
      <c r="G226" s="0" t="s">
        <v>7</v>
      </c>
      <c r="H226" s="0">
        <v>4226</v>
      </c>
      <c r="I226" s="0">
        <v>40</v>
      </c>
      <c r="J226" s="0">
        <v>0</v>
      </c>
      <c r="K226" s="0">
        <v>1</v>
      </c>
      <c r="L226" s="0">
        <v>1</v>
      </c>
      <c r="M226" s="0">
        <v>1</v>
      </c>
      <c r="N226" s="0">
        <v>0</v>
      </c>
      <c r="O226" s="0">
        <v>0</v>
      </c>
      <c r="P226" s="0">
        <v>0</v>
      </c>
      <c r="Q226" s="0" t="s">
        <v>390</v>
      </c>
      <c r="R226" s="0" t="b">
        <v>0</v>
      </c>
      <c r="S226" s="0" t="b">
        <v>1</v>
      </c>
      <c r="T226" s="68">
        <v>41827.6354166667</v>
      </c>
      <c r="U226" s="68">
        <v>41858.5416666667</v>
      </c>
      <c r="V226" s="68">
        <v>0</v>
      </c>
      <c r="W226" s="0">
        <f>IF(IF(B226="none",1,IF(B226="Trialer",1,0))+IF(C226="Customer",1,IF(C226="Lost",1,0))=2,1,0)</f>
      </c>
      <c r="X226" s="0" t="s">
        <v>148</v>
      </c>
      <c r="Y226" s="0" t="s">
        <v>137</v>
      </c>
      <c r="AV226" s="68"/>
      <c r="AW226" s="68"/>
      <c r="AY226" s="27"/>
      <c r="BD226" s="68">
        <v>46054.1666666667</v>
      </c>
      <c r="BE226" s="68">
        <v>46082.1666666667</v>
      </c>
      <c r="BF226" s="0" t="b">
        <v>0</v>
      </c>
      <c r="BG226" s="0" t="b">
        <v>0</v>
      </c>
      <c r="BH226" s="0">
        <v>40</v>
      </c>
      <c r="BI226" s="0">
        <v>40</v>
      </c>
      <c r="BJ226" s="0" t="s">
        <v>135</v>
      </c>
    </row>
    <row r="227">
      <c r="A227" s="0" t="s">
        <v>391</v>
      </c>
      <c r="B227" s="0" t="s">
        <v>134</v>
      </c>
      <c r="C227" s="0" t="s">
        <v>134</v>
      </c>
      <c r="D227" s="0" t="s">
        <v>135</v>
      </c>
      <c r="E227" s="0" t="s">
        <v>2</v>
      </c>
      <c r="F227" s="0" t="s">
        <v>10</v>
      </c>
      <c r="G227" s="0" t="s">
        <v>7</v>
      </c>
      <c r="H227" s="0">
        <v>4225</v>
      </c>
      <c r="I227" s="0">
        <v>40</v>
      </c>
      <c r="J227" s="0">
        <v>0</v>
      </c>
      <c r="K227" s="0">
        <v>1</v>
      </c>
      <c r="L227" s="0">
        <v>1</v>
      </c>
      <c r="M227" s="0">
        <v>1</v>
      </c>
      <c r="N227" s="0">
        <v>0</v>
      </c>
      <c r="O227" s="0">
        <v>0</v>
      </c>
      <c r="P227" s="0">
        <v>0</v>
      </c>
      <c r="Q227" s="0" t="s">
        <v>390</v>
      </c>
      <c r="R227" s="0" t="b">
        <v>0</v>
      </c>
      <c r="S227" s="0" t="b">
        <v>1</v>
      </c>
      <c r="T227" s="68">
        <v>41828.8861111111</v>
      </c>
      <c r="U227" s="68">
        <v>41828.5416666667</v>
      </c>
      <c r="V227" s="68">
        <v>0</v>
      </c>
      <c r="W227" s="0">
        <f>IF(IF(B227="none",1,IF(B227="Trialer",1,0))+IF(C227="Customer",1,IF(C227="Lost",1,0))=2,1,0)</f>
      </c>
      <c r="X227" s="0" t="s">
        <v>148</v>
      </c>
      <c r="Y227" s="0" t="s">
        <v>137</v>
      </c>
      <c r="AV227" s="68"/>
      <c r="AW227" s="68"/>
      <c r="AY227" s="27"/>
      <c r="BD227" s="68">
        <v>46054.1666666667</v>
      </c>
      <c r="BE227" s="68">
        <v>46082.1666666667</v>
      </c>
      <c r="BF227" s="0" t="b">
        <v>0</v>
      </c>
      <c r="BG227" s="0" t="b">
        <v>0</v>
      </c>
      <c r="BH227" s="0">
        <v>40</v>
      </c>
      <c r="BI227" s="0">
        <v>40</v>
      </c>
      <c r="BJ227" s="0" t="s">
        <v>135</v>
      </c>
    </row>
    <row r="228">
      <c r="A228" s="0" t="s">
        <v>392</v>
      </c>
      <c r="B228" s="0" t="s">
        <v>134</v>
      </c>
      <c r="C228" s="0" t="s">
        <v>134</v>
      </c>
      <c r="D228" s="0" t="s">
        <v>135</v>
      </c>
      <c r="E228" s="0" t="s">
        <v>2</v>
      </c>
      <c r="F228" s="0" t="s">
        <v>10</v>
      </c>
      <c r="G228" s="0" t="s">
        <v>7</v>
      </c>
      <c r="H228" s="0">
        <v>4225</v>
      </c>
      <c r="I228" s="0">
        <v>40</v>
      </c>
      <c r="J228" s="0">
        <v>0</v>
      </c>
      <c r="K228" s="0">
        <v>1</v>
      </c>
      <c r="L228" s="0">
        <v>1</v>
      </c>
      <c r="M228" s="0">
        <v>1</v>
      </c>
      <c r="N228" s="0">
        <v>0</v>
      </c>
      <c r="O228" s="0">
        <v>0</v>
      </c>
      <c r="P228" s="0">
        <v>0</v>
      </c>
      <c r="Q228" s="0" t="s">
        <v>390</v>
      </c>
      <c r="R228" s="0" t="b">
        <v>0</v>
      </c>
      <c r="S228" s="0" t="b">
        <v>1</v>
      </c>
      <c r="T228" s="68">
        <v>41828.8888888889</v>
      </c>
      <c r="U228" s="68">
        <v>41828.5416666667</v>
      </c>
      <c r="V228" s="68">
        <v>0</v>
      </c>
      <c r="W228" s="0">
        <f>IF(IF(B228="none",1,IF(B228="Trialer",1,0))+IF(C228="Customer",1,IF(C228="Lost",1,0))=2,1,0)</f>
      </c>
      <c r="X228" s="0" t="s">
        <v>148</v>
      </c>
      <c r="Y228" s="0" t="s">
        <v>137</v>
      </c>
      <c r="AV228" s="68"/>
      <c r="AW228" s="68"/>
      <c r="AY228" s="27"/>
      <c r="BD228" s="68">
        <v>46054.1666666667</v>
      </c>
      <c r="BE228" s="68">
        <v>46082.1666666667</v>
      </c>
      <c r="BF228" s="0" t="b">
        <v>0</v>
      </c>
      <c r="BG228" s="0" t="b">
        <v>0</v>
      </c>
      <c r="BH228" s="0">
        <v>40</v>
      </c>
      <c r="BI228" s="0">
        <v>40</v>
      </c>
      <c r="BJ228" s="0" t="s">
        <v>135</v>
      </c>
    </row>
    <row r="229">
      <c r="A229" s="0" t="s">
        <v>393</v>
      </c>
      <c r="B229" s="0" t="s">
        <v>134</v>
      </c>
      <c r="C229" s="0" t="s">
        <v>134</v>
      </c>
      <c r="D229" s="0" t="s">
        <v>135</v>
      </c>
      <c r="E229" s="0" t="s">
        <v>2</v>
      </c>
      <c r="F229" s="0" t="s">
        <v>10</v>
      </c>
      <c r="G229" s="0" t="s">
        <v>7</v>
      </c>
      <c r="H229" s="0">
        <v>4224</v>
      </c>
      <c r="I229" s="0">
        <v>120</v>
      </c>
      <c r="J229" s="0">
        <v>0</v>
      </c>
      <c r="K229" s="0">
        <v>1</v>
      </c>
      <c r="L229" s="0">
        <v>1</v>
      </c>
      <c r="M229" s="0">
        <v>3</v>
      </c>
      <c r="N229" s="0">
        <v>0</v>
      </c>
      <c r="O229" s="0">
        <v>0</v>
      </c>
      <c r="P229" s="0">
        <v>0</v>
      </c>
      <c r="Q229" s="0" t="s">
        <v>185</v>
      </c>
      <c r="R229" s="0" t="b">
        <v>0</v>
      </c>
      <c r="S229" s="0" t="b">
        <v>1</v>
      </c>
      <c r="T229" s="68">
        <v>41829.4798611111</v>
      </c>
      <c r="U229" s="68">
        <v>41860.5416666667</v>
      </c>
      <c r="V229" s="68">
        <v>0</v>
      </c>
      <c r="W229" s="0">
        <f>IF(IF(B229="none",1,IF(B229="Trialer",1,0))+IF(C229="Customer",1,IF(C229="Lost",1,0))=2,1,0)</f>
      </c>
      <c r="X229" s="0" t="s">
        <v>148</v>
      </c>
      <c r="Y229" s="0" t="s">
        <v>137</v>
      </c>
      <c r="AV229" s="68"/>
      <c r="AW229" s="68"/>
      <c r="AY229" s="27"/>
      <c r="BD229" s="68">
        <v>46054.1666666667</v>
      </c>
      <c r="BE229" s="68">
        <v>46082.1666666667</v>
      </c>
      <c r="BF229" s="0" t="b">
        <v>0</v>
      </c>
      <c r="BG229" s="0" t="b">
        <v>0</v>
      </c>
      <c r="BH229" s="0">
        <v>120</v>
      </c>
      <c r="BI229" s="0">
        <v>120</v>
      </c>
      <c r="BJ229" s="0" t="s">
        <v>135</v>
      </c>
    </row>
    <row r="230">
      <c r="A230" s="0" t="s">
        <v>394</v>
      </c>
      <c r="B230" s="0" t="s">
        <v>134</v>
      </c>
      <c r="C230" s="0" t="s">
        <v>134</v>
      </c>
      <c r="D230" s="0" t="s">
        <v>135</v>
      </c>
      <c r="E230" s="0" t="s">
        <v>2</v>
      </c>
      <c r="F230" s="0" t="s">
        <v>12</v>
      </c>
      <c r="G230" s="0" t="s">
        <v>8</v>
      </c>
      <c r="H230" s="0">
        <v>4224</v>
      </c>
      <c r="I230" s="0">
        <v>212</v>
      </c>
      <c r="J230" s="0">
        <v>0</v>
      </c>
      <c r="K230" s="0">
        <v>1</v>
      </c>
      <c r="L230" s="0">
        <v>3</v>
      </c>
      <c r="M230" s="0">
        <v>5</v>
      </c>
      <c r="N230" s="0">
        <v>0</v>
      </c>
      <c r="O230" s="0">
        <v>0</v>
      </c>
      <c r="P230" s="0">
        <v>0</v>
      </c>
      <c r="R230" s="0" t="b">
        <v>0</v>
      </c>
      <c r="S230" s="0" t="b">
        <v>1</v>
      </c>
      <c r="T230" s="68">
        <v>41829.5</v>
      </c>
      <c r="U230" s="68">
        <v>41860.5416666667</v>
      </c>
      <c r="V230" s="68">
        <v>0</v>
      </c>
      <c r="W230" s="0">
        <f>IF(IF(B230="none",1,IF(B230="Trialer",1,0))+IF(C230="Customer",1,IF(C230="Lost",1,0))=2,1,0)</f>
      </c>
      <c r="X230" s="0" t="s">
        <v>136</v>
      </c>
      <c r="Y230" s="0" t="s">
        <v>235</v>
      </c>
      <c r="AV230" s="68"/>
      <c r="AW230" s="68"/>
      <c r="AY230" s="27"/>
      <c r="BD230" s="68">
        <v>46054.1666666667</v>
      </c>
      <c r="BE230" s="68">
        <v>46082.1666666667</v>
      </c>
      <c r="BF230" s="0" t="b">
        <v>0</v>
      </c>
      <c r="BG230" s="0" t="b">
        <v>0</v>
      </c>
      <c r="BH230" s="0">
        <v>212</v>
      </c>
      <c r="BI230" s="0">
        <v>212</v>
      </c>
      <c r="BJ230" s="0" t="s">
        <v>135</v>
      </c>
    </row>
    <row r="231">
      <c r="A231" s="0" t="s">
        <v>395</v>
      </c>
      <c r="B231" s="0" t="s">
        <v>134</v>
      </c>
      <c r="C231" s="0" t="s">
        <v>134</v>
      </c>
      <c r="D231" s="0" t="s">
        <v>135</v>
      </c>
      <c r="E231" s="0" t="s">
        <v>2</v>
      </c>
      <c r="F231" s="0" t="s">
        <v>10</v>
      </c>
      <c r="G231" s="0" t="s">
        <v>7</v>
      </c>
      <c r="H231" s="0">
        <v>4223</v>
      </c>
      <c r="I231" s="0">
        <v>320</v>
      </c>
      <c r="J231" s="0">
        <v>0</v>
      </c>
      <c r="K231" s="0">
        <v>1</v>
      </c>
      <c r="L231" s="0">
        <v>1</v>
      </c>
      <c r="M231" s="0">
        <v>8</v>
      </c>
      <c r="N231" s="0">
        <v>0</v>
      </c>
      <c r="O231" s="0">
        <v>0</v>
      </c>
      <c r="P231" s="0">
        <v>0</v>
      </c>
      <c r="Q231" s="0" t="s">
        <v>185</v>
      </c>
      <c r="R231" s="0" t="b">
        <v>0</v>
      </c>
      <c r="S231" s="0" t="b">
        <v>1</v>
      </c>
      <c r="T231" s="68">
        <v>41830.5</v>
      </c>
      <c r="U231" s="68">
        <v>41830.5</v>
      </c>
      <c r="V231" s="68">
        <v>0</v>
      </c>
      <c r="W231" s="0">
        <f>IF(IF(B231="none",1,IF(B231="Trialer",1,0))+IF(C231="Customer",1,IF(C231="Lost",1,0))=2,1,0)</f>
      </c>
      <c r="X231" s="0" t="s">
        <v>148</v>
      </c>
      <c r="Y231" s="0" t="s">
        <v>137</v>
      </c>
      <c r="AV231" s="68"/>
      <c r="AW231" s="68"/>
      <c r="AY231" s="27"/>
      <c r="BD231" s="68">
        <v>46054.1666666667</v>
      </c>
      <c r="BE231" s="68">
        <v>46082.1666666667</v>
      </c>
      <c r="BF231" s="0" t="b">
        <v>0</v>
      </c>
      <c r="BG231" s="0" t="b">
        <v>0</v>
      </c>
      <c r="BH231" s="0">
        <v>320</v>
      </c>
      <c r="BI231" s="0">
        <v>320</v>
      </c>
      <c r="BJ231" s="0" t="s">
        <v>135</v>
      </c>
    </row>
    <row r="232">
      <c r="A232" s="0" t="s">
        <v>396</v>
      </c>
      <c r="B232" s="0" t="s">
        <v>134</v>
      </c>
      <c r="C232" s="0" t="s">
        <v>134</v>
      </c>
      <c r="D232" s="0" t="s">
        <v>135</v>
      </c>
      <c r="E232" s="0" t="s">
        <v>2</v>
      </c>
      <c r="F232" s="0" t="s">
        <v>10</v>
      </c>
      <c r="G232" s="0" t="s">
        <v>7</v>
      </c>
      <c r="H232" s="0">
        <v>4218</v>
      </c>
      <c r="I232" s="0">
        <v>40</v>
      </c>
      <c r="J232" s="0">
        <v>0</v>
      </c>
      <c r="K232" s="0">
        <v>1</v>
      </c>
      <c r="L232" s="0">
        <v>1</v>
      </c>
      <c r="M232" s="0">
        <v>1</v>
      </c>
      <c r="N232" s="0">
        <v>0</v>
      </c>
      <c r="O232" s="0">
        <v>0</v>
      </c>
      <c r="P232" s="0">
        <v>0</v>
      </c>
      <c r="Q232" s="0" t="s">
        <v>203</v>
      </c>
      <c r="R232" s="0" t="b">
        <v>0</v>
      </c>
      <c r="S232" s="0" t="b">
        <v>1</v>
      </c>
      <c r="T232" s="68">
        <v>41835.605474537</v>
      </c>
      <c r="U232" s="68">
        <v>41866.5416666667</v>
      </c>
      <c r="V232" s="68">
        <v>0</v>
      </c>
      <c r="W232" s="0">
        <f>IF(IF(B232="none",1,IF(B232="Trialer",1,0))+IF(C232="Customer",1,IF(C232="Lost",1,0))=2,1,0)</f>
      </c>
      <c r="X232" s="0" t="s">
        <v>136</v>
      </c>
      <c r="Y232" s="0" t="s">
        <v>137</v>
      </c>
      <c r="AV232" s="68"/>
      <c r="AW232" s="68"/>
      <c r="AY232" s="27"/>
      <c r="BD232" s="68">
        <v>46054.1666666667</v>
      </c>
      <c r="BE232" s="68">
        <v>46082.1666666667</v>
      </c>
      <c r="BF232" s="0" t="b">
        <v>0</v>
      </c>
      <c r="BG232" s="0" t="b">
        <v>0</v>
      </c>
      <c r="BH232" s="0">
        <v>40</v>
      </c>
      <c r="BI232" s="0">
        <v>40</v>
      </c>
      <c r="BJ232" s="0" t="s">
        <v>135</v>
      </c>
    </row>
    <row r="233">
      <c r="A233" s="0" t="s">
        <v>397</v>
      </c>
      <c r="B233" s="0" t="s">
        <v>134</v>
      </c>
      <c r="C233" s="0" t="s">
        <v>134</v>
      </c>
      <c r="D233" s="0" t="s">
        <v>135</v>
      </c>
      <c r="E233" s="0" t="s">
        <v>3</v>
      </c>
      <c r="F233" s="0" t="s">
        <v>12</v>
      </c>
      <c r="G233" s="0" t="s">
        <v>8</v>
      </c>
      <c r="H233" s="0">
        <v>4205</v>
      </c>
      <c r="I233" s="0">
        <v>173</v>
      </c>
      <c r="J233" s="0">
        <v>0</v>
      </c>
      <c r="K233" s="0">
        <v>1</v>
      </c>
      <c r="L233" s="0">
        <v>3</v>
      </c>
      <c r="M233" s="0">
        <v>5</v>
      </c>
      <c r="N233" s="0">
        <v>0</v>
      </c>
      <c r="O233" s="0">
        <v>0</v>
      </c>
      <c r="P233" s="0">
        <v>0</v>
      </c>
      <c r="R233" s="0" t="b">
        <v>0</v>
      </c>
      <c r="S233" s="0" t="b">
        <v>1</v>
      </c>
      <c r="T233" s="68">
        <v>41848.5</v>
      </c>
      <c r="U233" s="68">
        <v>41879.5</v>
      </c>
      <c r="V233" s="68">
        <v>0</v>
      </c>
      <c r="W233" s="0">
        <f>IF(IF(B233="none",1,IF(B233="Trialer",1,0))+IF(C233="Customer",1,IF(C233="Lost",1,0))=2,1,0)</f>
      </c>
      <c r="X233" s="0" t="s">
        <v>136</v>
      </c>
      <c r="Y233" s="0" t="s">
        <v>243</v>
      </c>
      <c r="AV233" s="68"/>
      <c r="AW233" s="68"/>
      <c r="AY233" s="27"/>
      <c r="BD233" s="68">
        <v>46054.1666666667</v>
      </c>
      <c r="BE233" s="68">
        <v>46082.1666666667</v>
      </c>
      <c r="BF233" s="0" t="b">
        <v>0</v>
      </c>
      <c r="BG233" s="0" t="b">
        <v>0</v>
      </c>
      <c r="BH233" s="0">
        <v>173</v>
      </c>
      <c r="BI233" s="0">
        <v>173</v>
      </c>
      <c r="BJ233" s="0" t="s">
        <v>135</v>
      </c>
    </row>
    <row r="234">
      <c r="A234" s="0" t="s">
        <v>398</v>
      </c>
      <c r="B234" s="0" t="s">
        <v>134</v>
      </c>
      <c r="C234" s="0" t="s">
        <v>134</v>
      </c>
      <c r="D234" s="0" t="s">
        <v>135</v>
      </c>
      <c r="E234" s="0" t="s">
        <v>2</v>
      </c>
      <c r="F234" s="0" t="s">
        <v>12</v>
      </c>
      <c r="G234" s="0" t="s">
        <v>8</v>
      </c>
      <c r="H234" s="0">
        <v>4196</v>
      </c>
      <c r="I234" s="0">
        <v>0</v>
      </c>
      <c r="J234" s="0">
        <v>0</v>
      </c>
      <c r="K234" s="0">
        <v>1</v>
      </c>
      <c r="L234" s="0">
        <v>6</v>
      </c>
      <c r="M234" s="0">
        <v>2</v>
      </c>
      <c r="N234" s="0">
        <v>0</v>
      </c>
      <c r="O234" s="0">
        <v>0</v>
      </c>
      <c r="P234" s="0">
        <v>0</v>
      </c>
      <c r="R234" s="0" t="b">
        <v>0</v>
      </c>
      <c r="S234" s="0" t="b">
        <v>1</v>
      </c>
      <c r="T234" s="68">
        <v>41857.5</v>
      </c>
      <c r="U234" s="68">
        <v>41888.5416666667</v>
      </c>
      <c r="V234" s="68">
        <v>0</v>
      </c>
      <c r="W234" s="0">
        <f>IF(IF(B234="none",1,IF(B234="Trialer",1,0))+IF(C234="Customer",1,IF(C234="Lost",1,0))=2,1,0)</f>
      </c>
      <c r="X234" s="0" t="s">
        <v>145</v>
      </c>
      <c r="Y234" s="0" t="s">
        <v>137</v>
      </c>
      <c r="AV234" s="68"/>
      <c r="AW234" s="68"/>
      <c r="AY234" s="27"/>
      <c r="BD234" s="68">
        <v>46054.1666666667</v>
      </c>
      <c r="BE234" s="68">
        <v>46082.1666666667</v>
      </c>
      <c r="BF234" s="0" t="b">
        <v>0</v>
      </c>
      <c r="BG234" s="0" t="b">
        <v>0</v>
      </c>
      <c r="BH234" s="0">
        <v>0</v>
      </c>
      <c r="BI234" s="0">
        <v>0</v>
      </c>
      <c r="BJ234" s="0" t="s">
        <v>135</v>
      </c>
    </row>
    <row r="235">
      <c r="A235" s="0" t="s">
        <v>399</v>
      </c>
      <c r="B235" s="0" t="s">
        <v>134</v>
      </c>
      <c r="C235" s="0" t="s">
        <v>134</v>
      </c>
      <c r="D235" s="0" t="s">
        <v>230</v>
      </c>
      <c r="E235" s="0" t="s">
        <v>3</v>
      </c>
      <c r="F235" s="0" t="s">
        <v>12</v>
      </c>
      <c r="G235" s="0" t="s">
        <v>7</v>
      </c>
      <c r="H235" s="0">
        <v>4182</v>
      </c>
      <c r="I235" s="0">
        <v>45</v>
      </c>
      <c r="J235" s="0">
        <v>0</v>
      </c>
      <c r="K235" s="0">
        <v>1</v>
      </c>
      <c r="L235" s="0">
        <v>1</v>
      </c>
      <c r="M235" s="0">
        <v>2</v>
      </c>
      <c r="N235" s="0">
        <v>0</v>
      </c>
      <c r="O235" s="0">
        <v>0</v>
      </c>
      <c r="P235" s="0">
        <v>-45</v>
      </c>
      <c r="R235" s="0" t="b">
        <v>0</v>
      </c>
      <c r="S235" s="0" t="b">
        <v>1</v>
      </c>
      <c r="T235" s="68">
        <v>41871.9603935185</v>
      </c>
      <c r="U235" s="68">
        <v>41902.5416666667</v>
      </c>
      <c r="V235" s="68">
        <v>0</v>
      </c>
      <c r="W235" s="0">
        <f>IF(IF(B235="none",1,IF(B235="Trialer",1,0))+IF(C235="Customer",1,IF(C235="Lost",1,0))=2,1,0)</f>
      </c>
      <c r="X235" s="0" t="s">
        <v>142</v>
      </c>
      <c r="Y235" s="0" t="s">
        <v>219</v>
      </c>
      <c r="AV235" s="68"/>
      <c r="AW235" s="68"/>
      <c r="AY235" s="27"/>
      <c r="BD235" s="68">
        <v>46054.1666666667</v>
      </c>
      <c r="BE235" s="68">
        <v>46082.1666666667</v>
      </c>
      <c r="BF235" s="0" t="b">
        <v>0</v>
      </c>
      <c r="BG235" s="0" t="b">
        <v>0</v>
      </c>
      <c r="BH235" s="0">
        <v>50</v>
      </c>
      <c r="BI235" s="0">
        <v>50</v>
      </c>
      <c r="BJ235" s="0" t="s">
        <v>230</v>
      </c>
    </row>
    <row r="236">
      <c r="A236" s="0" t="s">
        <v>400</v>
      </c>
      <c r="B236" s="0" t="s">
        <v>134</v>
      </c>
      <c r="C236" s="0" t="s">
        <v>134</v>
      </c>
      <c r="D236" s="0" t="s">
        <v>135</v>
      </c>
      <c r="E236" s="0" t="s">
        <v>2</v>
      </c>
      <c r="F236" s="0" t="s">
        <v>10</v>
      </c>
      <c r="G236" s="0" t="s">
        <v>8</v>
      </c>
      <c r="H236" s="0">
        <v>4181</v>
      </c>
      <c r="I236" s="0">
        <v>110</v>
      </c>
      <c r="J236" s="0">
        <v>0</v>
      </c>
      <c r="K236" s="0">
        <v>1</v>
      </c>
      <c r="L236" s="0">
        <v>2</v>
      </c>
      <c r="M236" s="0">
        <v>4</v>
      </c>
      <c r="N236" s="0">
        <v>0</v>
      </c>
      <c r="O236" s="0">
        <v>0</v>
      </c>
      <c r="P236" s="0">
        <v>0</v>
      </c>
      <c r="Q236" s="0" t="s">
        <v>294</v>
      </c>
      <c r="R236" s="0" t="b">
        <v>0</v>
      </c>
      <c r="S236" s="0" t="b">
        <v>1</v>
      </c>
      <c r="T236" s="68">
        <v>41872.6548611111</v>
      </c>
      <c r="U236" s="68">
        <v>41903.5416666667</v>
      </c>
      <c r="V236" s="68">
        <v>0</v>
      </c>
      <c r="W236" s="0">
        <f>IF(IF(B236="none",1,IF(B236="Trialer",1,0))+IF(C236="Customer",1,IF(C236="Lost",1,0))=2,1,0)</f>
      </c>
      <c r="X236" s="0" t="s">
        <v>148</v>
      </c>
      <c r="Y236" s="0" t="s">
        <v>137</v>
      </c>
      <c r="AV236" s="68"/>
      <c r="AW236" s="68"/>
      <c r="AY236" s="27"/>
      <c r="BD236" s="68">
        <v>46054.1666666667</v>
      </c>
      <c r="BE236" s="68">
        <v>46082.1666666667</v>
      </c>
      <c r="BF236" s="0" t="b">
        <v>0</v>
      </c>
      <c r="BG236" s="0" t="b">
        <v>0</v>
      </c>
      <c r="BH236" s="0">
        <v>110</v>
      </c>
      <c r="BI236" s="0">
        <v>110</v>
      </c>
      <c r="BJ236" s="0" t="s">
        <v>135</v>
      </c>
    </row>
    <row r="237">
      <c r="A237" s="0" t="s">
        <v>401</v>
      </c>
      <c r="B237" s="0" t="s">
        <v>134</v>
      </c>
      <c r="C237" s="0" t="s">
        <v>134</v>
      </c>
      <c r="D237" s="0" t="s">
        <v>230</v>
      </c>
      <c r="E237" s="0" t="s">
        <v>2</v>
      </c>
      <c r="F237" s="0" t="s">
        <v>10</v>
      </c>
      <c r="G237" s="0" t="s">
        <v>8</v>
      </c>
      <c r="H237" s="0">
        <v>4174</v>
      </c>
      <c r="I237" s="0">
        <v>22.5</v>
      </c>
      <c r="J237" s="0">
        <v>0</v>
      </c>
      <c r="K237" s="0">
        <v>1</v>
      </c>
      <c r="L237" s="0">
        <v>1</v>
      </c>
      <c r="M237" s="0">
        <v>1</v>
      </c>
      <c r="N237" s="0">
        <v>0</v>
      </c>
      <c r="O237" s="0">
        <v>0</v>
      </c>
      <c r="P237" s="0">
        <v>-22.5</v>
      </c>
      <c r="Q237" s="0" t="s">
        <v>294</v>
      </c>
      <c r="R237" s="0" t="b">
        <v>0</v>
      </c>
      <c r="S237" s="0" t="b">
        <v>1</v>
      </c>
      <c r="T237" s="68">
        <v>41879.5881944444</v>
      </c>
      <c r="U237" s="68">
        <v>41910.5416666667</v>
      </c>
      <c r="V237" s="68">
        <v>0</v>
      </c>
      <c r="W237" s="0">
        <f>IF(IF(B237="none",1,IF(B237="Trialer",1,0))+IF(C237="Customer",1,IF(C237="Lost",1,0))=2,1,0)</f>
      </c>
      <c r="X237" s="0" t="s">
        <v>148</v>
      </c>
      <c r="Y237" s="0" t="s">
        <v>137</v>
      </c>
      <c r="AV237" s="68"/>
      <c r="AW237" s="68"/>
      <c r="AY237" s="27"/>
      <c r="BD237" s="68">
        <v>46054.1666666667</v>
      </c>
      <c r="BE237" s="68">
        <v>46082.1666666667</v>
      </c>
      <c r="BF237" s="0" t="b">
        <v>0</v>
      </c>
      <c r="BG237" s="0" t="b">
        <v>0</v>
      </c>
      <c r="BH237" s="0">
        <v>25</v>
      </c>
      <c r="BI237" s="0">
        <v>25</v>
      </c>
      <c r="BJ237" s="0" t="s">
        <v>230</v>
      </c>
    </row>
    <row r="238">
      <c r="A238" s="0" t="s">
        <v>402</v>
      </c>
      <c r="B238" s="0" t="s">
        <v>134</v>
      </c>
      <c r="C238" s="0" t="s">
        <v>134</v>
      </c>
      <c r="D238" s="0" t="s">
        <v>135</v>
      </c>
      <c r="E238" s="0" t="s">
        <v>2</v>
      </c>
      <c r="F238" s="0" t="s">
        <v>10</v>
      </c>
      <c r="G238" s="0" t="s">
        <v>8</v>
      </c>
      <c r="H238" s="0">
        <v>4173</v>
      </c>
      <c r="I238" s="0">
        <v>1381</v>
      </c>
      <c r="J238" s="0">
        <v>0</v>
      </c>
      <c r="K238" s="0">
        <v>1</v>
      </c>
      <c r="L238" s="0">
        <v>4</v>
      </c>
      <c r="M238" s="0">
        <v>29</v>
      </c>
      <c r="N238" s="0">
        <v>0</v>
      </c>
      <c r="O238" s="0">
        <v>0</v>
      </c>
      <c r="P238" s="0">
        <v>0</v>
      </c>
      <c r="Q238" s="0" t="s">
        <v>266</v>
      </c>
      <c r="R238" s="0" t="b">
        <v>0</v>
      </c>
      <c r="S238" s="0" t="b">
        <v>1</v>
      </c>
      <c r="T238" s="68">
        <v>41880.3340277778</v>
      </c>
      <c r="U238" s="68">
        <v>42489.5</v>
      </c>
      <c r="V238" s="68">
        <v>0</v>
      </c>
      <c r="W238" s="0">
        <f>IF(IF(B238="none",1,IF(B238="Trialer",1,0))+IF(C238="Customer",1,IF(C238="Lost",1,0))=2,1,0)</f>
      </c>
      <c r="X238" s="0" t="s">
        <v>145</v>
      </c>
      <c r="Y238" s="0" t="s">
        <v>403</v>
      </c>
      <c r="AV238" s="68"/>
      <c r="AW238" s="68"/>
      <c r="AY238" s="27"/>
      <c r="BD238" s="68">
        <v>46054.1666666667</v>
      </c>
      <c r="BE238" s="68">
        <v>46082.1666666667</v>
      </c>
      <c r="BF238" s="0" t="b">
        <v>0</v>
      </c>
      <c r="BG238" s="0" t="b">
        <v>0</v>
      </c>
      <c r="BH238" s="0">
        <v>1336</v>
      </c>
      <c r="BI238" s="0">
        <v>1426</v>
      </c>
      <c r="BJ238" s="0" t="s">
        <v>135</v>
      </c>
    </row>
    <row r="239">
      <c r="A239" s="0" t="s">
        <v>404</v>
      </c>
      <c r="B239" s="0" t="s">
        <v>134</v>
      </c>
      <c r="C239" s="0" t="s">
        <v>134</v>
      </c>
      <c r="D239" s="0" t="s">
        <v>230</v>
      </c>
      <c r="E239" s="0" t="s">
        <v>2</v>
      </c>
      <c r="F239" s="0" t="s">
        <v>12</v>
      </c>
      <c r="G239" s="0" t="s">
        <v>7</v>
      </c>
      <c r="H239" s="0">
        <v>4161</v>
      </c>
      <c r="I239" s="0">
        <v>72</v>
      </c>
      <c r="J239" s="0">
        <v>0</v>
      </c>
      <c r="K239" s="0">
        <v>1</v>
      </c>
      <c r="L239" s="0">
        <v>1</v>
      </c>
      <c r="M239" s="0">
        <v>2</v>
      </c>
      <c r="N239" s="0">
        <v>0</v>
      </c>
      <c r="O239" s="0">
        <v>0</v>
      </c>
      <c r="P239" s="0">
        <v>-72</v>
      </c>
      <c r="R239" s="0" t="b">
        <v>0</v>
      </c>
      <c r="S239" s="0" t="b">
        <v>1</v>
      </c>
      <c r="T239" s="68">
        <v>41892.4737962963</v>
      </c>
      <c r="U239" s="68">
        <v>41922.5416666667</v>
      </c>
      <c r="V239" s="68">
        <v>0</v>
      </c>
      <c r="W239" s="0">
        <f>IF(IF(B239="none",1,IF(B239="Trialer",1,0))+IF(C239="Customer",1,IF(C239="Lost",1,0))=2,1,0)</f>
      </c>
      <c r="X239" s="0" t="s">
        <v>142</v>
      </c>
      <c r="Y239" s="0" t="s">
        <v>137</v>
      </c>
      <c r="AV239" s="68"/>
      <c r="AW239" s="68"/>
      <c r="AY239" s="27"/>
      <c r="BD239" s="68">
        <v>46054.1666666667</v>
      </c>
      <c r="BE239" s="68">
        <v>46082.1666666667</v>
      </c>
      <c r="BF239" s="0" t="b">
        <v>0</v>
      </c>
      <c r="BG239" s="0" t="b">
        <v>0</v>
      </c>
      <c r="BH239" s="0">
        <v>80</v>
      </c>
      <c r="BI239" s="0">
        <v>80</v>
      </c>
      <c r="BJ239" s="0" t="s">
        <v>230</v>
      </c>
    </row>
    <row r="240">
      <c r="A240" s="0" t="s">
        <v>405</v>
      </c>
      <c r="B240" s="0" t="s">
        <v>134</v>
      </c>
      <c r="C240" s="0" t="s">
        <v>134</v>
      </c>
      <c r="D240" s="0" t="s">
        <v>135</v>
      </c>
      <c r="E240" s="0" t="s">
        <v>2</v>
      </c>
      <c r="F240" s="0" t="s">
        <v>12</v>
      </c>
      <c r="G240" s="0" t="s">
        <v>7</v>
      </c>
      <c r="H240" s="0">
        <v>4161</v>
      </c>
      <c r="I240" s="0">
        <v>320</v>
      </c>
      <c r="J240" s="0">
        <v>0</v>
      </c>
      <c r="K240" s="0">
        <v>1</v>
      </c>
      <c r="L240" s="0">
        <v>1</v>
      </c>
      <c r="M240" s="0">
        <v>8</v>
      </c>
      <c r="N240" s="0">
        <v>0</v>
      </c>
      <c r="O240" s="0">
        <v>0</v>
      </c>
      <c r="P240" s="0">
        <v>0</v>
      </c>
      <c r="R240" s="0" t="b">
        <v>0</v>
      </c>
      <c r="S240" s="0" t="b">
        <v>1</v>
      </c>
      <c r="T240" s="68">
        <v>41892.5</v>
      </c>
      <c r="U240" s="68">
        <v>41924.5416666667</v>
      </c>
      <c r="V240" s="68">
        <v>0</v>
      </c>
      <c r="W240" s="0">
        <f>IF(IF(B240="none",1,IF(B240="Trialer",1,0))+IF(C240="Customer",1,IF(C240="Lost",1,0))=2,1,0)</f>
      </c>
      <c r="X240" s="0" t="s">
        <v>148</v>
      </c>
      <c r="Y240" s="0" t="s">
        <v>137</v>
      </c>
      <c r="AV240" s="68"/>
      <c r="AW240" s="68"/>
      <c r="AY240" s="27"/>
      <c r="BD240" s="68">
        <v>46054.1666666667</v>
      </c>
      <c r="BE240" s="68">
        <v>46082.1666666667</v>
      </c>
      <c r="BF240" s="0" t="b">
        <v>0</v>
      </c>
      <c r="BG240" s="0" t="b">
        <v>0</v>
      </c>
      <c r="BH240" s="0">
        <v>320</v>
      </c>
      <c r="BI240" s="0">
        <v>320</v>
      </c>
      <c r="BJ240" s="0" t="s">
        <v>135</v>
      </c>
    </row>
    <row r="241">
      <c r="A241" s="0" t="s">
        <v>406</v>
      </c>
      <c r="B241" s="0" t="s">
        <v>134</v>
      </c>
      <c r="C241" s="0" t="s">
        <v>190</v>
      </c>
      <c r="D241" s="0" t="s">
        <v>135</v>
      </c>
      <c r="E241" s="0" t="s">
        <v>3</v>
      </c>
      <c r="F241" s="0" t="s">
        <v>12</v>
      </c>
      <c r="G241" s="0" t="s">
        <v>7</v>
      </c>
      <c r="H241" s="0">
        <v>4155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R241" s="0" t="b">
        <v>0</v>
      </c>
      <c r="S241" s="0" t="b">
        <v>0</v>
      </c>
      <c r="T241" s="68">
        <v>41898.8958333333</v>
      </c>
      <c r="U241" s="68">
        <v>41928.5416666667</v>
      </c>
      <c r="V241" s="68">
        <v>46067.3869444444</v>
      </c>
      <c r="W241" s="0">
        <f>IF(IF(B241="none",1,IF(B241="Trialer",1,0))+IF(C241="Customer",1,IF(C241="Lost",1,0))=2,1,0)</f>
      </c>
      <c r="X241" s="0" t="s">
        <v>142</v>
      </c>
      <c r="Y241" s="0" t="s">
        <v>213</v>
      </c>
      <c r="AV241" s="68"/>
      <c r="AW241" s="68"/>
      <c r="AY241" s="27"/>
      <c r="BD241" s="68">
        <v>46054.1666666667</v>
      </c>
      <c r="BE241" s="68">
        <v>46082.1666666667</v>
      </c>
      <c r="BF241" s="0" t="b">
        <v>0</v>
      </c>
      <c r="BG241" s="0" t="b">
        <v>0</v>
      </c>
      <c r="BH241" s="0">
        <v>120</v>
      </c>
      <c r="BI241" s="0">
        <v>120</v>
      </c>
      <c r="BJ241" s="0" t="s">
        <v>135</v>
      </c>
    </row>
    <row r="242">
      <c r="A242" s="0" t="s">
        <v>407</v>
      </c>
      <c r="B242" s="0" t="s">
        <v>134</v>
      </c>
      <c r="C242" s="0" t="s">
        <v>134</v>
      </c>
      <c r="D242" s="0" t="s">
        <v>135</v>
      </c>
      <c r="E242" s="0" t="s">
        <v>2</v>
      </c>
      <c r="F242" s="0" t="s">
        <v>12</v>
      </c>
      <c r="G242" s="0" t="s">
        <v>7</v>
      </c>
      <c r="H242" s="0">
        <v>4153</v>
      </c>
      <c r="I242" s="0">
        <v>160</v>
      </c>
      <c r="J242" s="0">
        <v>0</v>
      </c>
      <c r="K242" s="0">
        <v>1</v>
      </c>
      <c r="L242" s="0">
        <v>1</v>
      </c>
      <c r="M242" s="0">
        <v>4</v>
      </c>
      <c r="N242" s="0">
        <v>0</v>
      </c>
      <c r="O242" s="0">
        <v>0</v>
      </c>
      <c r="P242" s="0">
        <v>0</v>
      </c>
      <c r="R242" s="0" t="b">
        <v>0</v>
      </c>
      <c r="S242" s="0" t="b">
        <v>1</v>
      </c>
      <c r="T242" s="68">
        <v>41900.5</v>
      </c>
      <c r="U242" s="68">
        <v>41932.5416666667</v>
      </c>
      <c r="V242" s="68">
        <v>0</v>
      </c>
      <c r="W242" s="0">
        <f>IF(IF(B242="none",1,IF(B242="Trialer",1,0))+IF(C242="Customer",1,IF(C242="Lost",1,0))=2,1,0)</f>
      </c>
      <c r="X242" s="0" t="s">
        <v>136</v>
      </c>
      <c r="Y242" s="0" t="s">
        <v>137</v>
      </c>
      <c r="AV242" s="68"/>
      <c r="AW242" s="68"/>
      <c r="AY242" s="27"/>
      <c r="BD242" s="68">
        <v>46054.1666666667</v>
      </c>
      <c r="BE242" s="68">
        <v>46082.1666666667</v>
      </c>
      <c r="BF242" s="0" t="b">
        <v>0</v>
      </c>
      <c r="BG242" s="0" t="b">
        <v>0</v>
      </c>
      <c r="BH242" s="0">
        <v>160</v>
      </c>
      <c r="BI242" s="0">
        <v>160</v>
      </c>
      <c r="BJ242" s="0" t="s">
        <v>135</v>
      </c>
    </row>
    <row r="243">
      <c r="A243" s="0" t="s">
        <v>408</v>
      </c>
      <c r="B243" s="0" t="s">
        <v>134</v>
      </c>
      <c r="C243" s="0" t="s">
        <v>134</v>
      </c>
      <c r="D243" s="0" t="s">
        <v>135</v>
      </c>
      <c r="E243" s="0" t="s">
        <v>3</v>
      </c>
      <c r="F243" s="0" t="s">
        <v>12</v>
      </c>
      <c r="G243" s="0" t="s">
        <v>7</v>
      </c>
      <c r="H243" s="0">
        <v>4147</v>
      </c>
      <c r="I243" s="0">
        <v>40</v>
      </c>
      <c r="J243" s="0">
        <v>0</v>
      </c>
      <c r="K243" s="0">
        <v>1</v>
      </c>
      <c r="L243" s="0">
        <v>1</v>
      </c>
      <c r="M243" s="0">
        <v>1</v>
      </c>
      <c r="N243" s="0">
        <v>0</v>
      </c>
      <c r="O243" s="0">
        <v>0</v>
      </c>
      <c r="P243" s="0">
        <v>0</v>
      </c>
      <c r="R243" s="0" t="b">
        <v>0</v>
      </c>
      <c r="S243" s="0" t="b">
        <v>1</v>
      </c>
      <c r="T243" s="68">
        <v>41906.897650463</v>
      </c>
      <c r="U243" s="68">
        <v>41936.5416666667</v>
      </c>
      <c r="V243" s="68">
        <v>0</v>
      </c>
      <c r="W243" s="0">
        <f>IF(IF(B243="none",1,IF(B243="Trialer",1,0))+IF(C243="Customer",1,IF(C243="Lost",1,0))=2,1,0)</f>
      </c>
      <c r="X243" s="0" t="s">
        <v>142</v>
      </c>
      <c r="Y243" s="0" t="s">
        <v>213</v>
      </c>
      <c r="AV243" s="68"/>
      <c r="AW243" s="68"/>
      <c r="AY243" s="27"/>
      <c r="BD243" s="68">
        <v>46054.1666666667</v>
      </c>
      <c r="BE243" s="68">
        <v>46082.1666666667</v>
      </c>
      <c r="BF243" s="0" t="b">
        <v>0</v>
      </c>
      <c r="BG243" s="0" t="b">
        <v>0</v>
      </c>
      <c r="BH243" s="0">
        <v>40</v>
      </c>
      <c r="BI243" s="0">
        <v>40</v>
      </c>
      <c r="BJ243" s="0" t="s">
        <v>135</v>
      </c>
    </row>
    <row r="244">
      <c r="A244" s="0" t="s">
        <v>409</v>
      </c>
      <c r="B244" s="0" t="s">
        <v>134</v>
      </c>
      <c r="C244" s="0" t="s">
        <v>134</v>
      </c>
      <c r="D244" s="0" t="s">
        <v>135</v>
      </c>
      <c r="E244" s="0" t="s">
        <v>2</v>
      </c>
      <c r="F244" s="0" t="s">
        <v>10</v>
      </c>
      <c r="G244" s="0" t="s">
        <v>7</v>
      </c>
      <c r="H244" s="0">
        <v>4145</v>
      </c>
      <c r="I244" s="0">
        <v>80</v>
      </c>
      <c r="J244" s="0">
        <v>0</v>
      </c>
      <c r="K244" s="0">
        <v>1</v>
      </c>
      <c r="L244" s="0">
        <v>1</v>
      </c>
      <c r="M244" s="0">
        <v>2</v>
      </c>
      <c r="N244" s="0">
        <v>0</v>
      </c>
      <c r="O244" s="0">
        <v>0</v>
      </c>
      <c r="P244" s="0">
        <v>0</v>
      </c>
      <c r="Q244" s="0" t="s">
        <v>324</v>
      </c>
      <c r="R244" s="0" t="b">
        <v>0</v>
      </c>
      <c r="S244" s="0" t="b">
        <v>1</v>
      </c>
      <c r="T244" s="68">
        <v>41908.5</v>
      </c>
      <c r="U244" s="68">
        <v>41938.5416666667</v>
      </c>
      <c r="V244" s="68">
        <v>0</v>
      </c>
      <c r="W244" s="0">
        <f>IF(IF(B244="none",1,IF(B244="Trialer",1,0))+IF(C244="Customer",1,IF(C244="Lost",1,0))=2,1,0)</f>
      </c>
      <c r="X244" s="0" t="s">
        <v>136</v>
      </c>
      <c r="Y244" s="0" t="s">
        <v>137</v>
      </c>
      <c r="AV244" s="68"/>
      <c r="AW244" s="68"/>
      <c r="AY244" s="27"/>
      <c r="BD244" s="68">
        <v>46054.1666666667</v>
      </c>
      <c r="BE244" s="68">
        <v>46082.1666666667</v>
      </c>
      <c r="BF244" s="0" t="b">
        <v>0</v>
      </c>
      <c r="BG244" s="0" t="b">
        <v>0</v>
      </c>
      <c r="BH244" s="0">
        <v>80</v>
      </c>
      <c r="BI244" s="0">
        <v>80</v>
      </c>
      <c r="BJ244" s="0" t="s">
        <v>135</v>
      </c>
    </row>
    <row r="245">
      <c r="A245" s="0" t="s">
        <v>410</v>
      </c>
      <c r="B245" s="0" t="s">
        <v>134</v>
      </c>
      <c r="C245" s="0" t="s">
        <v>134</v>
      </c>
      <c r="D245" s="0" t="s">
        <v>135</v>
      </c>
      <c r="E245" s="0" t="s">
        <v>2</v>
      </c>
      <c r="F245" s="0" t="s">
        <v>10</v>
      </c>
      <c r="G245" s="0" t="s">
        <v>7</v>
      </c>
      <c r="H245" s="0">
        <v>4140</v>
      </c>
      <c r="I245" s="0">
        <v>96</v>
      </c>
      <c r="J245" s="0">
        <v>0</v>
      </c>
      <c r="K245" s="0">
        <v>1</v>
      </c>
      <c r="L245" s="0">
        <v>1</v>
      </c>
      <c r="M245" s="0">
        <v>3</v>
      </c>
      <c r="N245" s="0">
        <v>0</v>
      </c>
      <c r="O245" s="0">
        <v>0</v>
      </c>
      <c r="P245" s="0">
        <v>0</v>
      </c>
      <c r="Q245" s="0" t="s">
        <v>411</v>
      </c>
      <c r="R245" s="0" t="b">
        <v>0</v>
      </c>
      <c r="S245" s="0" t="b">
        <v>1</v>
      </c>
      <c r="T245" s="68">
        <v>41913.8604166667</v>
      </c>
      <c r="U245" s="68">
        <v>41944.5</v>
      </c>
      <c r="V245" s="68">
        <v>0</v>
      </c>
      <c r="W245" s="0">
        <f>IF(IF(B245="none",1,IF(B245="Trialer",1,0))+IF(C245="Customer",1,IF(C245="Lost",1,0))=2,1,0)</f>
      </c>
      <c r="X245" s="0" t="s">
        <v>148</v>
      </c>
      <c r="Y245" s="0" t="s">
        <v>137</v>
      </c>
      <c r="AV245" s="68"/>
      <c r="AW245" s="68"/>
      <c r="AY245" s="27"/>
      <c r="BD245" s="68">
        <v>46054.1666666667</v>
      </c>
      <c r="BE245" s="68">
        <v>46082.1666666667</v>
      </c>
      <c r="BF245" s="0" t="b">
        <v>0</v>
      </c>
      <c r="BG245" s="0" t="b">
        <v>0</v>
      </c>
      <c r="BH245" s="0">
        <v>96</v>
      </c>
      <c r="BI245" s="0">
        <v>96</v>
      </c>
      <c r="BJ245" s="0" t="s">
        <v>135</v>
      </c>
    </row>
    <row r="246">
      <c r="A246" s="0" t="s">
        <v>412</v>
      </c>
      <c r="B246" s="0" t="s">
        <v>134</v>
      </c>
      <c r="C246" s="0" t="s">
        <v>134</v>
      </c>
      <c r="D246" s="0" t="s">
        <v>135</v>
      </c>
      <c r="E246" s="0" t="s">
        <v>2</v>
      </c>
      <c r="F246" s="0" t="s">
        <v>10</v>
      </c>
      <c r="G246" s="0" t="s">
        <v>7</v>
      </c>
      <c r="H246" s="0">
        <v>4138</v>
      </c>
      <c r="I246" s="0">
        <v>320</v>
      </c>
      <c r="J246" s="0">
        <v>0</v>
      </c>
      <c r="K246" s="0">
        <v>1</v>
      </c>
      <c r="L246" s="0">
        <v>1</v>
      </c>
      <c r="M246" s="0">
        <v>8</v>
      </c>
      <c r="N246" s="0">
        <v>0</v>
      </c>
      <c r="O246" s="0">
        <v>0</v>
      </c>
      <c r="P246" s="0">
        <v>0</v>
      </c>
      <c r="Q246" s="0" t="s">
        <v>203</v>
      </c>
      <c r="R246" s="0" t="b">
        <v>0</v>
      </c>
      <c r="S246" s="0" t="b">
        <v>1</v>
      </c>
      <c r="T246" s="68">
        <v>41915.5</v>
      </c>
      <c r="U246" s="68">
        <v>41947.5</v>
      </c>
      <c r="V246" s="68">
        <v>0</v>
      </c>
      <c r="W246" s="0">
        <f>IF(IF(B246="none",1,IF(B246="Trialer",1,0))+IF(C246="Customer",1,IF(C246="Lost",1,0))=2,1,0)</f>
      </c>
      <c r="X246" s="0" t="s">
        <v>136</v>
      </c>
      <c r="Y246" s="0" t="s">
        <v>137</v>
      </c>
      <c r="AV246" s="68"/>
      <c r="AW246" s="68"/>
      <c r="AY246" s="27"/>
      <c r="BD246" s="68">
        <v>46054.1666666667</v>
      </c>
      <c r="BE246" s="68">
        <v>46082.1666666667</v>
      </c>
      <c r="BF246" s="0" t="b">
        <v>0</v>
      </c>
      <c r="BG246" s="0" t="b">
        <v>0</v>
      </c>
      <c r="BH246" s="0">
        <v>320</v>
      </c>
      <c r="BI246" s="0">
        <v>320</v>
      </c>
      <c r="BJ246" s="0" t="s">
        <v>135</v>
      </c>
    </row>
    <row r="247">
      <c r="A247" s="0" t="s">
        <v>413</v>
      </c>
      <c r="B247" s="0" t="s">
        <v>134</v>
      </c>
      <c r="C247" s="0" t="s">
        <v>134</v>
      </c>
      <c r="D247" s="0" t="s">
        <v>230</v>
      </c>
      <c r="E247" s="0" t="s">
        <v>2</v>
      </c>
      <c r="F247" s="0" t="s">
        <v>12</v>
      </c>
      <c r="G247" s="0" t="s">
        <v>7</v>
      </c>
      <c r="H247" s="0">
        <v>4119</v>
      </c>
      <c r="I247" s="0">
        <v>72</v>
      </c>
      <c r="J247" s="0">
        <v>0</v>
      </c>
      <c r="K247" s="0">
        <v>1</v>
      </c>
      <c r="L247" s="0">
        <v>1</v>
      </c>
      <c r="M247" s="0">
        <v>2</v>
      </c>
      <c r="N247" s="0">
        <v>0</v>
      </c>
      <c r="O247" s="0">
        <v>0</v>
      </c>
      <c r="P247" s="0">
        <v>-72</v>
      </c>
      <c r="R247" s="0" t="b">
        <v>0</v>
      </c>
      <c r="S247" s="0" t="b">
        <v>1</v>
      </c>
      <c r="T247" s="68">
        <v>41934.5913078704</v>
      </c>
      <c r="U247" s="68">
        <v>41934.5416666667</v>
      </c>
      <c r="V247" s="68">
        <v>0</v>
      </c>
      <c r="W247" s="0">
        <f>IF(IF(B247="none",1,IF(B247="Trialer",1,0))+IF(C247="Customer",1,IF(C247="Lost",1,0))=2,1,0)</f>
      </c>
      <c r="X247" s="0" t="s">
        <v>145</v>
      </c>
      <c r="Y247" s="0" t="s">
        <v>137</v>
      </c>
      <c r="AV247" s="68"/>
      <c r="AW247" s="68"/>
      <c r="AY247" s="27"/>
      <c r="BD247" s="68">
        <v>46054.1666666667</v>
      </c>
      <c r="BE247" s="68">
        <v>46082.1666666667</v>
      </c>
      <c r="BF247" s="0" t="b">
        <v>0</v>
      </c>
      <c r="BG247" s="0" t="b">
        <v>0</v>
      </c>
      <c r="BH247" s="0">
        <v>80</v>
      </c>
      <c r="BI247" s="0">
        <v>80</v>
      </c>
      <c r="BJ247" s="0" t="s">
        <v>230</v>
      </c>
    </row>
    <row r="248">
      <c r="A248" s="0" t="s">
        <v>414</v>
      </c>
      <c r="B248" s="0" t="s">
        <v>134</v>
      </c>
      <c r="C248" s="0" t="s">
        <v>134</v>
      </c>
      <c r="D248" s="0" t="s">
        <v>230</v>
      </c>
      <c r="E248" s="0" t="s">
        <v>2</v>
      </c>
      <c r="F248" s="0" t="s">
        <v>12</v>
      </c>
      <c r="G248" s="0" t="s">
        <v>7</v>
      </c>
      <c r="H248" s="0">
        <v>4119</v>
      </c>
      <c r="I248" s="0">
        <v>144</v>
      </c>
      <c r="J248" s="0">
        <v>0</v>
      </c>
      <c r="K248" s="0">
        <v>1</v>
      </c>
      <c r="L248" s="0">
        <v>1</v>
      </c>
      <c r="M248" s="0">
        <v>4</v>
      </c>
      <c r="N248" s="0">
        <v>0</v>
      </c>
      <c r="O248" s="0">
        <v>0</v>
      </c>
      <c r="P248" s="0">
        <v>-144</v>
      </c>
      <c r="R248" s="0" t="b">
        <v>0</v>
      </c>
      <c r="S248" s="0" t="b">
        <v>1</v>
      </c>
      <c r="T248" s="68">
        <v>41934.6228472222</v>
      </c>
      <c r="U248" s="68">
        <v>41934.5416666667</v>
      </c>
      <c r="V248" s="68">
        <v>0</v>
      </c>
      <c r="W248" s="0">
        <f>IF(IF(B248="none",1,IF(B248="Trialer",1,0))+IF(C248="Customer",1,IF(C248="Lost",1,0))=2,1,0)</f>
      </c>
      <c r="X248" s="0" t="s">
        <v>145</v>
      </c>
      <c r="Y248" s="0" t="s">
        <v>137</v>
      </c>
      <c r="AV248" s="68"/>
      <c r="AW248" s="68"/>
      <c r="AY248" s="27"/>
      <c r="BD248" s="68">
        <v>46054.1666666667</v>
      </c>
      <c r="BE248" s="68">
        <v>46082.1666666667</v>
      </c>
      <c r="BF248" s="0" t="b">
        <v>0</v>
      </c>
      <c r="BG248" s="0" t="b">
        <v>0</v>
      </c>
      <c r="BH248" s="0">
        <v>160</v>
      </c>
      <c r="BI248" s="0">
        <v>160</v>
      </c>
      <c r="BJ248" s="0" t="s">
        <v>230</v>
      </c>
    </row>
    <row r="249">
      <c r="A249" s="0" t="s">
        <v>415</v>
      </c>
      <c r="B249" s="0" t="s">
        <v>134</v>
      </c>
      <c r="C249" s="0" t="s">
        <v>134</v>
      </c>
      <c r="D249" s="0" t="s">
        <v>135</v>
      </c>
      <c r="E249" s="0" t="s">
        <v>3</v>
      </c>
      <c r="F249" s="0" t="s">
        <v>12</v>
      </c>
      <c r="G249" s="0" t="s">
        <v>8</v>
      </c>
      <c r="H249" s="0">
        <v>4108</v>
      </c>
      <c r="I249" s="0">
        <v>0</v>
      </c>
      <c r="J249" s="0">
        <v>0</v>
      </c>
      <c r="K249" s="0">
        <v>1</v>
      </c>
      <c r="L249" s="0">
        <v>2</v>
      </c>
      <c r="M249" s="0">
        <v>2</v>
      </c>
      <c r="N249" s="0">
        <v>0</v>
      </c>
      <c r="O249" s="0">
        <v>0</v>
      </c>
      <c r="P249" s="0">
        <v>0</v>
      </c>
      <c r="R249" s="0" t="b">
        <v>0</v>
      </c>
      <c r="S249" s="0" t="b">
        <v>1</v>
      </c>
      <c r="T249" s="68">
        <v>41945.4583333333</v>
      </c>
      <c r="U249" s="68">
        <v>43071.5</v>
      </c>
      <c r="V249" s="68">
        <v>0</v>
      </c>
      <c r="W249" s="0">
        <f>IF(IF(B249="none",1,IF(B249="Trialer",1,0))+IF(C249="Customer",1,IF(C249="Lost",1,0))=2,1,0)</f>
      </c>
      <c r="X249" s="0" t="s">
        <v>153</v>
      </c>
      <c r="Y249" s="0" t="s">
        <v>213</v>
      </c>
      <c r="AV249" s="68"/>
      <c r="AW249" s="68"/>
      <c r="AY249" s="27"/>
      <c r="BD249" s="68">
        <v>46054.1666666667</v>
      </c>
      <c r="BE249" s="68">
        <v>46082.1666666667</v>
      </c>
      <c r="BF249" s="0" t="b">
        <v>0</v>
      </c>
      <c r="BG249" s="0" t="b">
        <v>0</v>
      </c>
      <c r="BH249" s="0">
        <v>0</v>
      </c>
      <c r="BI249" s="0">
        <v>0</v>
      </c>
      <c r="BJ249" s="0" t="s">
        <v>135</v>
      </c>
    </row>
    <row r="250">
      <c r="A250" s="0" t="s">
        <v>416</v>
      </c>
      <c r="B250" s="0" t="s">
        <v>134</v>
      </c>
      <c r="C250" s="0" t="s">
        <v>134</v>
      </c>
      <c r="D250" s="0" t="s">
        <v>230</v>
      </c>
      <c r="E250" s="0" t="s">
        <v>2</v>
      </c>
      <c r="F250" s="0" t="s">
        <v>12</v>
      </c>
      <c r="G250" s="0" t="s">
        <v>7</v>
      </c>
      <c r="H250" s="0">
        <v>4098</v>
      </c>
      <c r="I250" s="0">
        <v>540</v>
      </c>
      <c r="J250" s="0">
        <v>0</v>
      </c>
      <c r="K250" s="0">
        <v>1</v>
      </c>
      <c r="L250" s="0">
        <v>1</v>
      </c>
      <c r="M250" s="0">
        <v>15</v>
      </c>
      <c r="N250" s="0">
        <v>0</v>
      </c>
      <c r="O250" s="0">
        <v>0</v>
      </c>
      <c r="P250" s="0">
        <v>-540</v>
      </c>
      <c r="R250" s="0" t="b">
        <v>0</v>
      </c>
      <c r="S250" s="0" t="b">
        <v>1</v>
      </c>
      <c r="T250" s="68">
        <v>41955.5337962963</v>
      </c>
      <c r="U250" s="68">
        <v>41987.5</v>
      </c>
      <c r="V250" s="68">
        <v>0</v>
      </c>
      <c r="W250" s="0">
        <f>IF(IF(B250="none",1,IF(B250="Trialer",1,0))+IF(C250="Customer",1,IF(C250="Lost",1,0))=2,1,0)</f>
      </c>
      <c r="X250" s="0" t="s">
        <v>145</v>
      </c>
      <c r="Y250" s="0" t="s">
        <v>137</v>
      </c>
      <c r="AV250" s="68"/>
      <c r="AW250" s="68"/>
      <c r="AY250" s="27"/>
      <c r="BD250" s="68">
        <v>46054.1666666667</v>
      </c>
      <c r="BE250" s="68">
        <v>46082.1666666667</v>
      </c>
      <c r="BF250" s="0" t="b">
        <v>0</v>
      </c>
      <c r="BG250" s="0" t="b">
        <v>0</v>
      </c>
      <c r="BH250" s="0">
        <v>560</v>
      </c>
      <c r="BI250" s="0">
        <v>560</v>
      </c>
      <c r="BJ250" s="0" t="s">
        <v>230</v>
      </c>
    </row>
    <row r="251">
      <c r="A251" s="0" t="s">
        <v>417</v>
      </c>
      <c r="B251" s="0" t="s">
        <v>134</v>
      </c>
      <c r="C251" s="0" t="s">
        <v>134</v>
      </c>
      <c r="D251" s="0" t="s">
        <v>135</v>
      </c>
      <c r="E251" s="0" t="s">
        <v>2</v>
      </c>
      <c r="F251" s="0" t="s">
        <v>10</v>
      </c>
      <c r="G251" s="0" t="s">
        <v>8</v>
      </c>
      <c r="H251" s="0">
        <v>4097</v>
      </c>
      <c r="I251" s="0">
        <v>309</v>
      </c>
      <c r="J251" s="0">
        <v>0</v>
      </c>
      <c r="K251" s="0">
        <v>1</v>
      </c>
      <c r="L251" s="0">
        <v>5</v>
      </c>
      <c r="M251" s="0">
        <v>6</v>
      </c>
      <c r="N251" s="0">
        <v>0</v>
      </c>
      <c r="O251" s="0">
        <v>0</v>
      </c>
      <c r="P251" s="0">
        <v>0</v>
      </c>
      <c r="Q251" s="0" t="s">
        <v>357</v>
      </c>
      <c r="R251" s="0" t="b">
        <v>0</v>
      </c>
      <c r="S251" s="0" t="b">
        <v>1</v>
      </c>
      <c r="T251" s="68">
        <v>41956.4847222222</v>
      </c>
      <c r="U251" s="68">
        <v>41986.5</v>
      </c>
      <c r="V251" s="68">
        <v>0</v>
      </c>
      <c r="W251" s="0">
        <f>IF(IF(B251="none",1,IF(B251="Trialer",1,0))+IF(C251="Customer",1,IF(C251="Lost",1,0))=2,1,0)</f>
      </c>
      <c r="X251" s="0" t="s">
        <v>148</v>
      </c>
      <c r="Y251" s="0" t="s">
        <v>137</v>
      </c>
      <c r="AV251" s="68"/>
      <c r="AW251" s="68"/>
      <c r="AY251" s="27"/>
      <c r="BD251" s="68">
        <v>46054.1666666667</v>
      </c>
      <c r="BE251" s="68">
        <v>46082.1666666667</v>
      </c>
      <c r="BF251" s="0" t="b">
        <v>0</v>
      </c>
      <c r="BG251" s="0" t="b">
        <v>0</v>
      </c>
      <c r="BH251" s="0">
        <v>309</v>
      </c>
      <c r="BI251" s="0">
        <v>309</v>
      </c>
      <c r="BJ251" s="0" t="s">
        <v>135</v>
      </c>
    </row>
    <row r="252">
      <c r="A252" s="0" t="s">
        <v>418</v>
      </c>
      <c r="B252" s="0" t="s">
        <v>134</v>
      </c>
      <c r="C252" s="0" t="s">
        <v>134</v>
      </c>
      <c r="D252" s="0" t="s">
        <v>135</v>
      </c>
      <c r="E252" s="0" t="s">
        <v>2</v>
      </c>
      <c r="F252" s="0" t="s">
        <v>10</v>
      </c>
      <c r="G252" s="0" t="s">
        <v>8</v>
      </c>
      <c r="H252" s="0">
        <v>4095</v>
      </c>
      <c r="I252" s="0">
        <v>1225</v>
      </c>
      <c r="J252" s="0">
        <v>0</v>
      </c>
      <c r="K252" s="0">
        <v>1</v>
      </c>
      <c r="L252" s="0">
        <v>2</v>
      </c>
      <c r="M252" s="0">
        <v>26</v>
      </c>
      <c r="N252" s="0">
        <v>0</v>
      </c>
      <c r="O252" s="0">
        <v>0</v>
      </c>
      <c r="P252" s="0">
        <v>0</v>
      </c>
      <c r="Q252" s="0" t="s">
        <v>294</v>
      </c>
      <c r="R252" s="0" t="b">
        <v>0</v>
      </c>
      <c r="S252" s="0" t="b">
        <v>1</v>
      </c>
      <c r="T252" s="68">
        <v>41958.5</v>
      </c>
      <c r="U252" s="68">
        <v>41988.5</v>
      </c>
      <c r="V252" s="68">
        <v>0</v>
      </c>
      <c r="W252" s="0">
        <f>IF(IF(B252="none",1,IF(B252="Trialer",1,0))+IF(C252="Customer",1,IF(C252="Lost",1,0))=2,1,0)</f>
      </c>
      <c r="X252" s="0" t="s">
        <v>148</v>
      </c>
      <c r="Y252" s="0" t="s">
        <v>137</v>
      </c>
      <c r="AV252" s="68"/>
      <c r="AW252" s="68"/>
      <c r="AY252" s="27"/>
      <c r="BD252" s="68">
        <v>46054.1666666667</v>
      </c>
      <c r="BE252" s="68">
        <v>46082.1666666667</v>
      </c>
      <c r="BF252" s="0" t="b">
        <v>0</v>
      </c>
      <c r="BG252" s="0" t="b">
        <v>0</v>
      </c>
      <c r="BH252" s="0">
        <v>935</v>
      </c>
      <c r="BI252" s="0">
        <v>935</v>
      </c>
      <c r="BJ252" s="0" t="s">
        <v>135</v>
      </c>
    </row>
    <row r="253">
      <c r="A253" s="0" t="s">
        <v>419</v>
      </c>
      <c r="B253" s="0" t="s">
        <v>134</v>
      </c>
      <c r="C253" s="0" t="s">
        <v>134</v>
      </c>
      <c r="D253" s="0" t="s">
        <v>135</v>
      </c>
      <c r="E253" s="0" t="s">
        <v>2</v>
      </c>
      <c r="F253" s="0" t="s">
        <v>12</v>
      </c>
      <c r="G253" s="0" t="s">
        <v>8</v>
      </c>
      <c r="H253" s="0">
        <v>4095</v>
      </c>
      <c r="I253" s="0">
        <v>0</v>
      </c>
      <c r="J253" s="0">
        <v>0</v>
      </c>
      <c r="K253" s="0">
        <v>1</v>
      </c>
      <c r="L253" s="0">
        <v>1</v>
      </c>
      <c r="M253" s="0">
        <v>1</v>
      </c>
      <c r="N253" s="0">
        <v>0</v>
      </c>
      <c r="O253" s="0">
        <v>0</v>
      </c>
      <c r="P253" s="0">
        <v>0</v>
      </c>
      <c r="R253" s="0" t="b">
        <v>0</v>
      </c>
      <c r="S253" s="0" t="b">
        <v>1</v>
      </c>
      <c r="T253" s="68">
        <v>41958.5</v>
      </c>
      <c r="U253" s="68">
        <v>45703.2916666667</v>
      </c>
      <c r="V253" s="68">
        <v>0</v>
      </c>
      <c r="W253" s="0">
        <f>IF(IF(B253="none",1,IF(B253="Trialer",1,0))+IF(C253="Customer",1,IF(C253="Lost",1,0))=2,1,0)</f>
      </c>
      <c r="X253" s="0" t="s">
        <v>148</v>
      </c>
      <c r="Y253" s="0" t="s">
        <v>137</v>
      </c>
      <c r="AV253" s="68"/>
      <c r="AW253" s="68"/>
      <c r="AY253" s="27"/>
      <c r="BD253" s="68">
        <v>46054.1666666667</v>
      </c>
      <c r="BE253" s="68">
        <v>46082.1666666667</v>
      </c>
      <c r="BF253" s="0" t="b">
        <v>0</v>
      </c>
      <c r="BG253" s="0" t="b">
        <v>0</v>
      </c>
      <c r="BH253" s="0">
        <v>0</v>
      </c>
      <c r="BI253" s="0">
        <v>0</v>
      </c>
      <c r="BJ253" s="0" t="s">
        <v>135</v>
      </c>
    </row>
    <row r="254">
      <c r="A254" s="0" t="s">
        <v>420</v>
      </c>
      <c r="B254" s="0" t="s">
        <v>134</v>
      </c>
      <c r="C254" s="0" t="s">
        <v>134</v>
      </c>
      <c r="D254" s="0" t="s">
        <v>230</v>
      </c>
      <c r="E254" s="0" t="s">
        <v>3</v>
      </c>
      <c r="F254" s="0" t="s">
        <v>12</v>
      </c>
      <c r="G254" s="0" t="s">
        <v>8</v>
      </c>
      <c r="H254" s="0">
        <v>4077</v>
      </c>
      <c r="I254" s="0">
        <v>628.2</v>
      </c>
      <c r="J254" s="0">
        <v>0</v>
      </c>
      <c r="K254" s="0">
        <v>1</v>
      </c>
      <c r="L254" s="0">
        <v>4</v>
      </c>
      <c r="M254" s="0">
        <v>23</v>
      </c>
      <c r="N254" s="0">
        <v>0</v>
      </c>
      <c r="O254" s="0">
        <v>0</v>
      </c>
      <c r="P254" s="0">
        <v>-628.2</v>
      </c>
      <c r="R254" s="0" t="b">
        <v>0</v>
      </c>
      <c r="S254" s="0" t="b">
        <v>1</v>
      </c>
      <c r="T254" s="68">
        <v>41976.6522106481</v>
      </c>
      <c r="U254" s="68">
        <v>42010.5</v>
      </c>
      <c r="V254" s="68">
        <v>0</v>
      </c>
      <c r="W254" s="0">
        <f>IF(IF(B254="none",1,IF(B254="Trialer",1,0))+IF(C254="Customer",1,IF(C254="Lost",1,0))=2,1,0)</f>
      </c>
      <c r="X254" s="0" t="s">
        <v>148</v>
      </c>
      <c r="Y254" s="0" t="s">
        <v>219</v>
      </c>
      <c r="AV254" s="68"/>
      <c r="AW254" s="68"/>
      <c r="AY254" s="27"/>
      <c r="BD254" s="68">
        <v>46054.1666666667</v>
      </c>
      <c r="BE254" s="68">
        <v>46082.1666666667</v>
      </c>
      <c r="BF254" s="0" t="b">
        <v>0</v>
      </c>
      <c r="BG254" s="0" t="b">
        <v>0</v>
      </c>
      <c r="BH254" s="0">
        <v>698</v>
      </c>
      <c r="BI254" s="0">
        <v>698</v>
      </c>
      <c r="BJ254" s="0" t="s">
        <v>230</v>
      </c>
    </row>
    <row r="255">
      <c r="A255" s="0" t="s">
        <v>421</v>
      </c>
      <c r="B255" s="0" t="s">
        <v>134</v>
      </c>
      <c r="C255" s="0" t="s">
        <v>134</v>
      </c>
      <c r="D255" s="0" t="s">
        <v>135</v>
      </c>
      <c r="E255" s="0" t="s">
        <v>3</v>
      </c>
      <c r="F255" s="0" t="s">
        <v>12</v>
      </c>
      <c r="G255" s="0" t="s">
        <v>8</v>
      </c>
      <c r="H255" s="0">
        <v>4072</v>
      </c>
      <c r="I255" s="0">
        <v>0</v>
      </c>
      <c r="J255" s="0">
        <v>0</v>
      </c>
      <c r="K255" s="0">
        <v>1</v>
      </c>
      <c r="L255" s="0">
        <v>1</v>
      </c>
      <c r="M255" s="0">
        <v>3</v>
      </c>
      <c r="N255" s="0">
        <v>0</v>
      </c>
      <c r="O255" s="0">
        <v>0</v>
      </c>
      <c r="P255" s="0">
        <v>0</v>
      </c>
      <c r="R255" s="0" t="b">
        <v>0</v>
      </c>
      <c r="S255" s="0" t="b">
        <v>1</v>
      </c>
      <c r="T255" s="68">
        <v>41981.5</v>
      </c>
      <c r="U255" s="68">
        <v>42043.5</v>
      </c>
      <c r="V255" s="68">
        <v>0</v>
      </c>
      <c r="W255" s="0">
        <f>IF(IF(B255="none",1,IF(B255="Trialer",1,0))+IF(C255="Customer",1,IF(C255="Lost",1,0))=2,1,0)</f>
      </c>
      <c r="X255" s="0" t="s">
        <v>148</v>
      </c>
      <c r="Y255" s="0" t="s">
        <v>213</v>
      </c>
      <c r="AV255" s="68"/>
      <c r="AW255" s="68"/>
      <c r="AY255" s="27"/>
      <c r="BD255" s="68">
        <v>46054.1666666667</v>
      </c>
      <c r="BE255" s="68">
        <v>46082.1666666667</v>
      </c>
      <c r="BF255" s="0" t="b">
        <v>0</v>
      </c>
      <c r="BG255" s="0" t="b">
        <v>1</v>
      </c>
      <c r="BH255" s="0">
        <v>0</v>
      </c>
      <c r="BI255" s="0">
        <v>0</v>
      </c>
      <c r="BJ255" s="0" t="s">
        <v>135</v>
      </c>
    </row>
    <row r="256">
      <c r="A256" s="0" t="s">
        <v>422</v>
      </c>
      <c r="B256" s="0" t="s">
        <v>134</v>
      </c>
      <c r="C256" s="0" t="s">
        <v>134</v>
      </c>
      <c r="D256" s="0" t="s">
        <v>135</v>
      </c>
      <c r="E256" s="0" t="s">
        <v>3</v>
      </c>
      <c r="F256" s="0" t="s">
        <v>12</v>
      </c>
      <c r="G256" s="0" t="s">
        <v>8</v>
      </c>
      <c r="H256" s="0">
        <v>4068</v>
      </c>
      <c r="I256" s="0">
        <v>1787</v>
      </c>
      <c r="J256" s="0">
        <v>0</v>
      </c>
      <c r="K256" s="0">
        <v>1</v>
      </c>
      <c r="L256" s="0">
        <v>4</v>
      </c>
      <c r="M256" s="0">
        <v>44</v>
      </c>
      <c r="N256" s="0">
        <v>155</v>
      </c>
      <c r="O256" s="0">
        <v>-155</v>
      </c>
      <c r="P256" s="0">
        <v>0</v>
      </c>
      <c r="R256" s="0" t="b">
        <v>0</v>
      </c>
      <c r="S256" s="0" t="b">
        <v>1</v>
      </c>
      <c r="T256" s="68">
        <v>41985.5</v>
      </c>
      <c r="U256" s="68">
        <v>42041.5</v>
      </c>
      <c r="V256" s="68">
        <v>0</v>
      </c>
      <c r="W256" s="0">
        <f>IF(IF(B256="none",1,IF(B256="Trialer",1,0))+IF(C256="Customer",1,IF(C256="Lost",1,0))=2,1,0)</f>
      </c>
      <c r="X256" s="0" t="s">
        <v>148</v>
      </c>
      <c r="Y256" s="0" t="s">
        <v>213</v>
      </c>
      <c r="AV256" s="68"/>
      <c r="AW256" s="68"/>
      <c r="AY256" s="27"/>
      <c r="BD256" s="68">
        <v>46054.1666666667</v>
      </c>
      <c r="BE256" s="68">
        <v>46082.1666666667</v>
      </c>
      <c r="BF256" s="0" t="b">
        <v>0</v>
      </c>
      <c r="BG256" s="0" t="b">
        <v>0</v>
      </c>
      <c r="BH256" s="0">
        <v>1462</v>
      </c>
      <c r="BI256" s="0">
        <v>1462</v>
      </c>
      <c r="BJ256" s="0" t="s">
        <v>135</v>
      </c>
    </row>
    <row r="257">
      <c r="A257" s="0" t="s">
        <v>423</v>
      </c>
      <c r="B257" s="0" t="s">
        <v>134</v>
      </c>
      <c r="C257" s="0" t="s">
        <v>134</v>
      </c>
      <c r="D257" s="0" t="s">
        <v>135</v>
      </c>
      <c r="E257" s="0" t="s">
        <v>3</v>
      </c>
      <c r="F257" s="0" t="s">
        <v>12</v>
      </c>
      <c r="G257" s="0" t="s">
        <v>7</v>
      </c>
      <c r="H257" s="0">
        <v>4068</v>
      </c>
      <c r="I257" s="0">
        <v>125</v>
      </c>
      <c r="J257" s="0">
        <v>0</v>
      </c>
      <c r="K257" s="0">
        <v>1</v>
      </c>
      <c r="L257" s="0">
        <v>1</v>
      </c>
      <c r="M257" s="0">
        <v>5</v>
      </c>
      <c r="N257" s="0">
        <v>0</v>
      </c>
      <c r="O257" s="0">
        <v>0</v>
      </c>
      <c r="P257" s="0">
        <v>0</v>
      </c>
      <c r="R257" s="0" t="b">
        <v>0</v>
      </c>
      <c r="S257" s="0" t="b">
        <v>1</v>
      </c>
      <c r="T257" s="68">
        <v>41985.5</v>
      </c>
      <c r="U257" s="68">
        <v>42016.5</v>
      </c>
      <c r="V257" s="68">
        <v>0</v>
      </c>
      <c r="W257" s="0">
        <f>IF(IF(B257="none",1,IF(B257="Trialer",1,0))+IF(C257="Customer",1,IF(C257="Lost",1,0))=2,1,0)</f>
      </c>
      <c r="X257" s="0" t="s">
        <v>136</v>
      </c>
      <c r="Y257" s="0" t="s">
        <v>219</v>
      </c>
      <c r="AV257" s="68"/>
      <c r="AW257" s="68"/>
      <c r="AY257" s="27"/>
      <c r="BD257" s="68">
        <v>46054.1666666667</v>
      </c>
      <c r="BE257" s="68">
        <v>46082.1666666667</v>
      </c>
      <c r="BF257" s="0" t="b">
        <v>0</v>
      </c>
      <c r="BG257" s="0" t="b">
        <v>0</v>
      </c>
      <c r="BH257" s="0">
        <v>125</v>
      </c>
      <c r="BI257" s="0">
        <v>125</v>
      </c>
      <c r="BJ257" s="0" t="s">
        <v>135</v>
      </c>
    </row>
    <row r="258">
      <c r="A258" s="0" t="s">
        <v>424</v>
      </c>
      <c r="B258" s="0" t="s">
        <v>134</v>
      </c>
      <c r="C258" s="0" t="s">
        <v>134</v>
      </c>
      <c r="D258" s="0" t="s">
        <v>135</v>
      </c>
      <c r="E258" s="0" t="s">
        <v>3</v>
      </c>
      <c r="F258" s="0" t="s">
        <v>12</v>
      </c>
      <c r="G258" s="0" t="s">
        <v>7</v>
      </c>
      <c r="H258" s="0">
        <v>4068</v>
      </c>
      <c r="I258" s="0">
        <v>50</v>
      </c>
      <c r="J258" s="0">
        <v>0</v>
      </c>
      <c r="K258" s="0">
        <v>1</v>
      </c>
      <c r="L258" s="0">
        <v>1</v>
      </c>
      <c r="M258" s="0">
        <v>2</v>
      </c>
      <c r="N258" s="0">
        <v>0</v>
      </c>
      <c r="O258" s="0">
        <v>0</v>
      </c>
      <c r="P258" s="0">
        <v>0</v>
      </c>
      <c r="R258" s="0" t="b">
        <v>0</v>
      </c>
      <c r="S258" s="0" t="b">
        <v>1</v>
      </c>
      <c r="T258" s="68">
        <v>41985.5</v>
      </c>
      <c r="U258" s="68">
        <v>42019.5</v>
      </c>
      <c r="V258" s="68">
        <v>0</v>
      </c>
      <c r="W258" s="0">
        <f>IF(IF(B258="none",1,IF(B258="Trialer",1,0))+IF(C258="Customer",1,IF(C258="Lost",1,0))=2,1,0)</f>
      </c>
      <c r="X258" s="0" t="s">
        <v>142</v>
      </c>
      <c r="Y258" s="0" t="s">
        <v>219</v>
      </c>
      <c r="AV258" s="68"/>
      <c r="AW258" s="68"/>
      <c r="AY258" s="27"/>
      <c r="BD258" s="68">
        <v>46054.1666666667</v>
      </c>
      <c r="BE258" s="68">
        <v>46082.1666666667</v>
      </c>
      <c r="BF258" s="0" t="b">
        <v>0</v>
      </c>
      <c r="BG258" s="0" t="b">
        <v>0</v>
      </c>
      <c r="BH258" s="0">
        <v>50</v>
      </c>
      <c r="BI258" s="0">
        <v>50</v>
      </c>
      <c r="BJ258" s="0" t="s">
        <v>135</v>
      </c>
    </row>
    <row r="259">
      <c r="A259" s="0" t="s">
        <v>425</v>
      </c>
      <c r="B259" s="0" t="s">
        <v>134</v>
      </c>
      <c r="C259" s="0" t="s">
        <v>134</v>
      </c>
      <c r="D259" s="0" t="s">
        <v>135</v>
      </c>
      <c r="E259" s="0" t="s">
        <v>3</v>
      </c>
      <c r="F259" s="0" t="s">
        <v>12</v>
      </c>
      <c r="G259" s="0" t="s">
        <v>8</v>
      </c>
      <c r="H259" s="0">
        <v>4065</v>
      </c>
      <c r="I259" s="0">
        <v>25</v>
      </c>
      <c r="J259" s="0">
        <v>0</v>
      </c>
      <c r="K259" s="0">
        <v>1</v>
      </c>
      <c r="L259" s="0">
        <v>1</v>
      </c>
      <c r="M259" s="0">
        <v>1</v>
      </c>
      <c r="N259" s="0">
        <v>0</v>
      </c>
      <c r="O259" s="0">
        <v>0</v>
      </c>
      <c r="P259" s="0">
        <v>0</v>
      </c>
      <c r="R259" s="0" t="b">
        <v>0</v>
      </c>
      <c r="S259" s="0" t="b">
        <v>1</v>
      </c>
      <c r="T259" s="68">
        <v>41988.5</v>
      </c>
      <c r="U259" s="68">
        <v>42024.5</v>
      </c>
      <c r="V259" s="68">
        <v>0</v>
      </c>
      <c r="W259" s="0">
        <f>IF(IF(B259="none",1,IF(B259="Trialer",1,0))+IF(C259="Customer",1,IF(C259="Lost",1,0))=2,1,0)</f>
      </c>
      <c r="X259" s="0" t="s">
        <v>166</v>
      </c>
      <c r="Y259" s="0" t="s">
        <v>219</v>
      </c>
      <c r="AV259" s="68"/>
      <c r="AW259" s="68"/>
      <c r="AY259" s="27"/>
      <c r="BD259" s="68">
        <v>46054.1666666667</v>
      </c>
      <c r="BE259" s="68">
        <v>46082.1666666667</v>
      </c>
      <c r="BF259" s="0" t="b">
        <v>0</v>
      </c>
      <c r="BG259" s="0" t="b">
        <v>0</v>
      </c>
      <c r="BH259" s="0">
        <v>25</v>
      </c>
      <c r="BI259" s="0">
        <v>25</v>
      </c>
      <c r="BJ259" s="0" t="s">
        <v>135</v>
      </c>
    </row>
    <row r="260">
      <c r="A260" s="0" t="s">
        <v>426</v>
      </c>
      <c r="B260" s="0" t="s">
        <v>134</v>
      </c>
      <c r="C260" s="0" t="s">
        <v>134</v>
      </c>
      <c r="D260" s="0" t="s">
        <v>230</v>
      </c>
      <c r="E260" s="0" t="s">
        <v>2</v>
      </c>
      <c r="F260" s="0" t="s">
        <v>12</v>
      </c>
      <c r="G260" s="0" t="s">
        <v>8</v>
      </c>
      <c r="H260" s="0">
        <v>4065</v>
      </c>
      <c r="I260" s="0">
        <v>63</v>
      </c>
      <c r="J260" s="0">
        <v>0</v>
      </c>
      <c r="K260" s="0">
        <v>1</v>
      </c>
      <c r="L260" s="0">
        <v>2</v>
      </c>
      <c r="M260" s="0">
        <v>2</v>
      </c>
      <c r="N260" s="0">
        <v>0</v>
      </c>
      <c r="O260" s="0">
        <v>0</v>
      </c>
      <c r="P260" s="0">
        <v>-63</v>
      </c>
      <c r="R260" s="0" t="b">
        <v>0</v>
      </c>
      <c r="S260" s="0" t="b">
        <v>1</v>
      </c>
      <c r="T260" s="68">
        <v>41988.5844675926</v>
      </c>
      <c r="U260" s="68">
        <v>42019.5</v>
      </c>
      <c r="V260" s="68">
        <v>0</v>
      </c>
      <c r="W260" s="0">
        <f>IF(IF(B260="none",1,IF(B260="Trialer",1,0))+IF(C260="Customer",1,IF(C260="Lost",1,0))=2,1,0)</f>
      </c>
      <c r="X260" s="0" t="s">
        <v>142</v>
      </c>
      <c r="Y260" s="0" t="s">
        <v>235</v>
      </c>
      <c r="AV260" s="68"/>
      <c r="AW260" s="68"/>
      <c r="AY260" s="27"/>
      <c r="BD260" s="68">
        <v>46054.1666666667</v>
      </c>
      <c r="BE260" s="68">
        <v>46082.1666666667</v>
      </c>
      <c r="BF260" s="0" t="b">
        <v>0</v>
      </c>
      <c r="BG260" s="0" t="b">
        <v>0</v>
      </c>
      <c r="BH260" s="0">
        <v>70</v>
      </c>
      <c r="BI260" s="0">
        <v>70</v>
      </c>
      <c r="BJ260" s="0" t="s">
        <v>230</v>
      </c>
    </row>
    <row r="261">
      <c r="A261" s="0" t="s">
        <v>427</v>
      </c>
      <c r="B261" s="0" t="s">
        <v>134</v>
      </c>
      <c r="C261" s="0" t="s">
        <v>134</v>
      </c>
      <c r="D261" s="0" t="s">
        <v>135</v>
      </c>
      <c r="E261" s="0" t="s">
        <v>2</v>
      </c>
      <c r="F261" s="0" t="s">
        <v>12</v>
      </c>
      <c r="G261" s="0" t="s">
        <v>7</v>
      </c>
      <c r="H261" s="0">
        <v>4065</v>
      </c>
      <c r="I261" s="0">
        <v>40</v>
      </c>
      <c r="J261" s="0">
        <v>0</v>
      </c>
      <c r="K261" s="0">
        <v>1</v>
      </c>
      <c r="L261" s="0">
        <v>1</v>
      </c>
      <c r="M261" s="0">
        <v>1</v>
      </c>
      <c r="N261" s="0">
        <v>0</v>
      </c>
      <c r="O261" s="0">
        <v>0</v>
      </c>
      <c r="P261" s="0">
        <v>0</v>
      </c>
      <c r="R261" s="0" t="b">
        <v>0</v>
      </c>
      <c r="S261" s="0" t="b">
        <v>1</v>
      </c>
      <c r="T261" s="68">
        <v>41988.7798611111</v>
      </c>
      <c r="U261" s="68">
        <v>42019.5</v>
      </c>
      <c r="V261" s="68">
        <v>0</v>
      </c>
      <c r="W261" s="0">
        <f>IF(IF(B261="none",1,IF(B261="Trialer",1,0))+IF(C261="Customer",1,IF(C261="Lost",1,0))=2,1,0)</f>
      </c>
      <c r="X261" s="0" t="s">
        <v>166</v>
      </c>
      <c r="Y261" s="0" t="s">
        <v>137</v>
      </c>
      <c r="AV261" s="68"/>
      <c r="AW261" s="68"/>
      <c r="AY261" s="27"/>
      <c r="BD261" s="68">
        <v>46054.1666666667</v>
      </c>
      <c r="BE261" s="68">
        <v>46082.1666666667</v>
      </c>
      <c r="BF261" s="0" t="b">
        <v>0</v>
      </c>
      <c r="BG261" s="0" t="b">
        <v>0</v>
      </c>
      <c r="BH261" s="0">
        <v>40</v>
      </c>
      <c r="BI261" s="0">
        <v>40</v>
      </c>
      <c r="BJ261" s="0" t="s">
        <v>135</v>
      </c>
    </row>
    <row r="262">
      <c r="A262" s="0" t="s">
        <v>428</v>
      </c>
      <c r="B262" s="0" t="s">
        <v>134</v>
      </c>
      <c r="C262" s="0" t="s">
        <v>134</v>
      </c>
      <c r="D262" s="0" t="s">
        <v>135</v>
      </c>
      <c r="E262" s="0" t="s">
        <v>2</v>
      </c>
      <c r="F262" s="0" t="s">
        <v>12</v>
      </c>
      <c r="G262" s="0" t="s">
        <v>7</v>
      </c>
      <c r="H262" s="0">
        <v>4064</v>
      </c>
      <c r="I262" s="0">
        <v>1257</v>
      </c>
      <c r="J262" s="0">
        <v>0</v>
      </c>
      <c r="K262" s="0">
        <v>1</v>
      </c>
      <c r="L262" s="0">
        <v>1</v>
      </c>
      <c r="M262" s="0">
        <v>44</v>
      </c>
      <c r="N262" s="0">
        <v>0</v>
      </c>
      <c r="O262" s="0">
        <v>0</v>
      </c>
      <c r="P262" s="0">
        <v>0</v>
      </c>
      <c r="R262" s="0" t="b">
        <v>0</v>
      </c>
      <c r="S262" s="0" t="b">
        <v>1</v>
      </c>
      <c r="T262" s="68">
        <v>41989.457025463</v>
      </c>
      <c r="U262" s="68">
        <v>42020.5</v>
      </c>
      <c r="V262" s="68">
        <v>0</v>
      </c>
      <c r="W262" s="0">
        <f>IF(IF(B262="none",1,IF(B262="Trialer",1,0))+IF(C262="Customer",1,IF(C262="Lost",1,0))=2,1,0)</f>
      </c>
      <c r="X262" s="0" t="s">
        <v>148</v>
      </c>
      <c r="Y262" s="0" t="s">
        <v>137</v>
      </c>
      <c r="AV262" s="68"/>
      <c r="AW262" s="68"/>
      <c r="AY262" s="27"/>
      <c r="BD262" s="68">
        <v>46054.1666666667</v>
      </c>
      <c r="BE262" s="68">
        <v>46082.1666666667</v>
      </c>
      <c r="BF262" s="0" t="b">
        <v>0</v>
      </c>
      <c r="BG262" s="0" t="b">
        <v>0</v>
      </c>
      <c r="BH262" s="0">
        <v>932</v>
      </c>
      <c r="BI262" s="0">
        <v>932</v>
      </c>
      <c r="BJ262" s="0" t="s">
        <v>135</v>
      </c>
    </row>
    <row r="263">
      <c r="A263" s="0" t="s">
        <v>429</v>
      </c>
      <c r="B263" s="0" t="s">
        <v>134</v>
      </c>
      <c r="C263" s="0" t="s">
        <v>134</v>
      </c>
      <c r="D263" s="0" t="s">
        <v>230</v>
      </c>
      <c r="E263" s="0" t="s">
        <v>2</v>
      </c>
      <c r="F263" s="0" t="s">
        <v>12</v>
      </c>
      <c r="G263" s="0" t="s">
        <v>8</v>
      </c>
      <c r="H263" s="0">
        <v>4060</v>
      </c>
      <c r="I263" s="0">
        <v>160.2</v>
      </c>
      <c r="J263" s="0">
        <v>0</v>
      </c>
      <c r="K263" s="0">
        <v>1</v>
      </c>
      <c r="L263" s="0">
        <v>4</v>
      </c>
      <c r="M263" s="0">
        <v>4</v>
      </c>
      <c r="N263" s="0">
        <v>0</v>
      </c>
      <c r="O263" s="0">
        <v>0</v>
      </c>
      <c r="P263" s="0">
        <v>-160.2</v>
      </c>
      <c r="R263" s="0" t="b">
        <v>0</v>
      </c>
      <c r="S263" s="0" t="b">
        <v>1</v>
      </c>
      <c r="T263" s="68">
        <v>41993.5</v>
      </c>
      <c r="U263" s="68">
        <v>42024.5</v>
      </c>
      <c r="V263" s="68">
        <v>0</v>
      </c>
      <c r="W263" s="0">
        <f>IF(IF(B263="none",1,IF(B263="Trialer",1,0))+IF(C263="Customer",1,IF(C263="Lost",1,0))=2,1,0)</f>
      </c>
      <c r="X263" s="0" t="s">
        <v>145</v>
      </c>
      <c r="Y263" s="0" t="s">
        <v>137</v>
      </c>
      <c r="AV263" s="68"/>
      <c r="AW263" s="68"/>
      <c r="AY263" s="27"/>
      <c r="BD263" s="68">
        <v>46054.1666666667</v>
      </c>
      <c r="BE263" s="68">
        <v>46082.1666666667</v>
      </c>
      <c r="BF263" s="0" t="b">
        <v>0</v>
      </c>
      <c r="BG263" s="0" t="b">
        <v>0</v>
      </c>
      <c r="BH263" s="0">
        <v>178</v>
      </c>
      <c r="BI263" s="0">
        <v>178</v>
      </c>
      <c r="BJ263" s="0" t="s">
        <v>230</v>
      </c>
    </row>
    <row r="264">
      <c r="A264" s="0" t="s">
        <v>430</v>
      </c>
      <c r="B264" s="0" t="s">
        <v>134</v>
      </c>
      <c r="C264" s="0" t="s">
        <v>134</v>
      </c>
      <c r="D264" s="0" t="s">
        <v>135</v>
      </c>
      <c r="E264" s="0" t="s">
        <v>2</v>
      </c>
      <c r="F264" s="0" t="s">
        <v>12</v>
      </c>
      <c r="G264" s="0" t="s">
        <v>7</v>
      </c>
      <c r="H264" s="0">
        <v>4058</v>
      </c>
      <c r="I264" s="0">
        <v>80</v>
      </c>
      <c r="J264" s="0">
        <v>0</v>
      </c>
      <c r="K264" s="0">
        <v>1</v>
      </c>
      <c r="L264" s="0">
        <v>1</v>
      </c>
      <c r="M264" s="0">
        <v>2</v>
      </c>
      <c r="N264" s="0">
        <v>0</v>
      </c>
      <c r="O264" s="0">
        <v>0</v>
      </c>
      <c r="P264" s="0">
        <v>0</v>
      </c>
      <c r="R264" s="0" t="b">
        <v>0</v>
      </c>
      <c r="S264" s="0" t="b">
        <v>1</v>
      </c>
      <c r="T264" s="68">
        <v>41995.5</v>
      </c>
      <c r="U264" s="68">
        <v>42027.5</v>
      </c>
      <c r="V264" s="68">
        <v>0</v>
      </c>
      <c r="W264" s="0">
        <f>IF(IF(B264="none",1,IF(B264="Trialer",1,0))+IF(C264="Customer",1,IF(C264="Lost",1,0))=2,1,0)</f>
      </c>
      <c r="X264" s="0" t="s">
        <v>142</v>
      </c>
      <c r="Y264" s="0" t="s">
        <v>137</v>
      </c>
      <c r="AV264" s="68"/>
      <c r="AW264" s="68"/>
      <c r="AY264" s="27"/>
      <c r="BD264" s="68">
        <v>46054.1666666667</v>
      </c>
      <c r="BE264" s="68">
        <v>46082.1666666667</v>
      </c>
      <c r="BF264" s="0" t="b">
        <v>0</v>
      </c>
      <c r="BG264" s="0" t="b">
        <v>0</v>
      </c>
      <c r="BH264" s="0">
        <v>80</v>
      </c>
      <c r="BI264" s="0">
        <v>80</v>
      </c>
      <c r="BJ264" s="0" t="s">
        <v>135</v>
      </c>
    </row>
    <row r="265">
      <c r="A265" s="0" t="s">
        <v>431</v>
      </c>
      <c r="B265" s="0" t="s">
        <v>134</v>
      </c>
      <c r="C265" s="0" t="s">
        <v>134</v>
      </c>
      <c r="D265" s="0" t="s">
        <v>135</v>
      </c>
      <c r="E265" s="0" t="s">
        <v>2</v>
      </c>
      <c r="F265" s="0" t="s">
        <v>12</v>
      </c>
      <c r="G265" s="0" t="s">
        <v>7</v>
      </c>
      <c r="H265" s="0">
        <v>4054</v>
      </c>
      <c r="I265" s="0">
        <v>160</v>
      </c>
      <c r="J265" s="0">
        <v>0</v>
      </c>
      <c r="K265" s="0">
        <v>1</v>
      </c>
      <c r="L265" s="0">
        <v>1</v>
      </c>
      <c r="M265" s="0">
        <v>4</v>
      </c>
      <c r="N265" s="0">
        <v>0</v>
      </c>
      <c r="O265" s="0">
        <v>0</v>
      </c>
      <c r="P265" s="0">
        <v>0</v>
      </c>
      <c r="R265" s="0" t="b">
        <v>0</v>
      </c>
      <c r="S265" s="0" t="b">
        <v>1</v>
      </c>
      <c r="T265" s="68">
        <v>41999.6727662037</v>
      </c>
      <c r="U265" s="68">
        <v>42033.5</v>
      </c>
      <c r="V265" s="68">
        <v>0</v>
      </c>
      <c r="W265" s="0">
        <f>IF(IF(B265="none",1,IF(B265="Trialer",1,0))+IF(C265="Customer",1,IF(C265="Lost",1,0))=2,1,0)</f>
      </c>
      <c r="X265" s="0" t="s">
        <v>148</v>
      </c>
      <c r="Y265" s="0" t="s">
        <v>137</v>
      </c>
      <c r="AV265" s="68"/>
      <c r="AW265" s="68"/>
      <c r="AY265" s="27"/>
      <c r="BD265" s="68">
        <v>46054.1666666667</v>
      </c>
      <c r="BE265" s="68">
        <v>46082.1666666667</v>
      </c>
      <c r="BF265" s="0" t="b">
        <v>0</v>
      </c>
      <c r="BG265" s="0" t="b">
        <v>0</v>
      </c>
      <c r="BH265" s="0">
        <v>160</v>
      </c>
      <c r="BI265" s="0">
        <v>160</v>
      </c>
      <c r="BJ265" s="0" t="s">
        <v>135</v>
      </c>
    </row>
    <row r="266">
      <c r="A266" s="0" t="s">
        <v>432</v>
      </c>
      <c r="B266" s="0" t="s">
        <v>134</v>
      </c>
      <c r="C266" s="0" t="s">
        <v>134</v>
      </c>
      <c r="D266" s="0" t="s">
        <v>135</v>
      </c>
      <c r="E266" s="0" t="s">
        <v>3</v>
      </c>
      <c r="F266" s="0" t="s">
        <v>12</v>
      </c>
      <c r="G266" s="0" t="s">
        <v>7</v>
      </c>
      <c r="H266" s="0">
        <v>4050</v>
      </c>
      <c r="I266" s="0">
        <v>50</v>
      </c>
      <c r="J266" s="0">
        <v>0</v>
      </c>
      <c r="K266" s="0">
        <v>1</v>
      </c>
      <c r="L266" s="0">
        <v>1</v>
      </c>
      <c r="M266" s="0">
        <v>2</v>
      </c>
      <c r="N266" s="0">
        <v>0</v>
      </c>
      <c r="O266" s="0">
        <v>0</v>
      </c>
      <c r="P266" s="0">
        <v>0</v>
      </c>
      <c r="R266" s="0" t="b">
        <v>0</v>
      </c>
      <c r="S266" s="0" t="b">
        <v>1</v>
      </c>
      <c r="T266" s="68">
        <v>42003.5</v>
      </c>
      <c r="U266" s="68">
        <v>42034.5</v>
      </c>
      <c r="V266" s="68">
        <v>0</v>
      </c>
      <c r="W266" s="0">
        <f>IF(IF(B266="none",1,IF(B266="Trialer",1,0))+IF(C266="Customer",1,IF(C266="Lost",1,0))=2,1,0)</f>
      </c>
      <c r="X266" s="0" t="s">
        <v>142</v>
      </c>
      <c r="Y266" s="0" t="s">
        <v>219</v>
      </c>
      <c r="AV266" s="68"/>
      <c r="AW266" s="68"/>
      <c r="AY266" s="27"/>
      <c r="BD266" s="68">
        <v>46054.1666666667</v>
      </c>
      <c r="BE266" s="68">
        <v>46082.1666666667</v>
      </c>
      <c r="BF266" s="0" t="b">
        <v>0</v>
      </c>
      <c r="BG266" s="0" t="b">
        <v>0</v>
      </c>
      <c r="BH266" s="0">
        <v>50</v>
      </c>
      <c r="BI266" s="0">
        <v>50</v>
      </c>
      <c r="BJ266" s="0" t="s">
        <v>135</v>
      </c>
    </row>
    <row r="267">
      <c r="A267" s="0" t="s">
        <v>433</v>
      </c>
      <c r="B267" s="0" t="s">
        <v>134</v>
      </c>
      <c r="C267" s="0" t="s">
        <v>134</v>
      </c>
      <c r="D267" s="0" t="s">
        <v>135</v>
      </c>
      <c r="E267" s="0" t="s">
        <v>2</v>
      </c>
      <c r="F267" s="0" t="s">
        <v>12</v>
      </c>
      <c r="G267" s="0" t="s">
        <v>7</v>
      </c>
      <c r="H267" s="0">
        <v>4044</v>
      </c>
      <c r="I267" s="0">
        <v>40</v>
      </c>
      <c r="J267" s="0">
        <v>0</v>
      </c>
      <c r="K267" s="0">
        <v>1</v>
      </c>
      <c r="L267" s="0">
        <v>1</v>
      </c>
      <c r="M267" s="0">
        <v>1</v>
      </c>
      <c r="N267" s="0">
        <v>0</v>
      </c>
      <c r="O267" s="0">
        <v>0</v>
      </c>
      <c r="P267" s="0">
        <v>0</v>
      </c>
      <c r="R267" s="0" t="b">
        <v>0</v>
      </c>
      <c r="S267" s="0" t="b">
        <v>1</v>
      </c>
      <c r="T267" s="68">
        <v>42009.7765162037</v>
      </c>
      <c r="U267" s="68">
        <v>42040.5</v>
      </c>
      <c r="V267" s="68">
        <v>0</v>
      </c>
      <c r="W267" s="0">
        <f>IF(IF(B267="none",1,IF(B267="Trialer",1,0))+IF(C267="Customer",1,IF(C267="Lost",1,0))=2,1,0)</f>
      </c>
      <c r="X267" s="0" t="s">
        <v>166</v>
      </c>
      <c r="Y267" s="0" t="s">
        <v>137</v>
      </c>
      <c r="AV267" s="68"/>
      <c r="AW267" s="68"/>
      <c r="AY267" s="27"/>
      <c r="BD267" s="68">
        <v>46054.1666666667</v>
      </c>
      <c r="BE267" s="68">
        <v>46082.1666666667</v>
      </c>
      <c r="BF267" s="0" t="b">
        <v>0</v>
      </c>
      <c r="BG267" s="0" t="b">
        <v>0</v>
      </c>
      <c r="BH267" s="0">
        <v>40</v>
      </c>
      <c r="BI267" s="0">
        <v>40</v>
      </c>
      <c r="BJ267" s="0" t="s">
        <v>135</v>
      </c>
    </row>
    <row r="268">
      <c r="A268" s="0" t="s">
        <v>434</v>
      </c>
      <c r="B268" s="0" t="s">
        <v>134</v>
      </c>
      <c r="C268" s="0" t="s">
        <v>134</v>
      </c>
      <c r="D268" s="0" t="s">
        <v>230</v>
      </c>
      <c r="E268" s="0" t="s">
        <v>2</v>
      </c>
      <c r="F268" s="0" t="s">
        <v>12</v>
      </c>
      <c r="G268" s="0" t="s">
        <v>7</v>
      </c>
      <c r="H268" s="0">
        <v>4035</v>
      </c>
      <c r="I268" s="0">
        <v>45</v>
      </c>
      <c r="J268" s="0">
        <v>0</v>
      </c>
      <c r="K268" s="0">
        <v>1</v>
      </c>
      <c r="L268" s="0">
        <v>1</v>
      </c>
      <c r="M268" s="0">
        <v>2</v>
      </c>
      <c r="N268" s="0">
        <v>0</v>
      </c>
      <c r="O268" s="0">
        <v>0</v>
      </c>
      <c r="P268" s="0">
        <v>-45</v>
      </c>
      <c r="R268" s="0" t="b">
        <v>0</v>
      </c>
      <c r="S268" s="0" t="b">
        <v>1</v>
      </c>
      <c r="T268" s="68">
        <v>42018.6881944444</v>
      </c>
      <c r="U268" s="68">
        <v>42050.5</v>
      </c>
      <c r="V268" s="68">
        <v>0</v>
      </c>
      <c r="W268" s="0">
        <f>IF(IF(B268="none",1,IF(B268="Trialer",1,0))+IF(C268="Customer",1,IF(C268="Lost",1,0))=2,1,0)</f>
      </c>
      <c r="X268" s="0" t="s">
        <v>142</v>
      </c>
      <c r="Y268" s="0" t="s">
        <v>235</v>
      </c>
      <c r="AV268" s="68"/>
      <c r="AW268" s="68"/>
      <c r="AY268" s="27"/>
      <c r="BD268" s="68">
        <v>46054.1666666667</v>
      </c>
      <c r="BE268" s="68">
        <v>46082.1666666667</v>
      </c>
      <c r="BF268" s="0" t="b">
        <v>0</v>
      </c>
      <c r="BG268" s="0" t="b">
        <v>0</v>
      </c>
      <c r="BH268" s="0">
        <v>50</v>
      </c>
      <c r="BI268" s="0">
        <v>50</v>
      </c>
      <c r="BJ268" s="0" t="s">
        <v>230</v>
      </c>
    </row>
    <row r="269">
      <c r="A269" s="0" t="s">
        <v>435</v>
      </c>
      <c r="B269" s="0" t="s">
        <v>134</v>
      </c>
      <c r="C269" s="0" t="s">
        <v>134</v>
      </c>
      <c r="D269" s="0" t="s">
        <v>135</v>
      </c>
      <c r="E269" s="0" t="s">
        <v>2</v>
      </c>
      <c r="F269" s="0" t="s">
        <v>10</v>
      </c>
      <c r="G269" s="0" t="s">
        <v>7</v>
      </c>
      <c r="H269" s="0">
        <v>4032</v>
      </c>
      <c r="I269" s="0">
        <v>280</v>
      </c>
      <c r="J269" s="0">
        <v>0</v>
      </c>
      <c r="K269" s="0">
        <v>1</v>
      </c>
      <c r="L269" s="0">
        <v>1</v>
      </c>
      <c r="M269" s="0">
        <v>7</v>
      </c>
      <c r="N269" s="0">
        <v>0</v>
      </c>
      <c r="O269" s="0">
        <v>0</v>
      </c>
      <c r="P269" s="0">
        <v>0</v>
      </c>
      <c r="Q269" s="0" t="s">
        <v>266</v>
      </c>
      <c r="R269" s="0" t="b">
        <v>0</v>
      </c>
      <c r="S269" s="0" t="b">
        <v>1</v>
      </c>
      <c r="T269" s="68">
        <v>42021.6381944444</v>
      </c>
      <c r="U269" s="68">
        <v>42052.5</v>
      </c>
      <c r="V269" s="68">
        <v>0</v>
      </c>
      <c r="W269" s="0">
        <f>IF(IF(B269="none",1,IF(B269="Trialer",1,0))+IF(C269="Customer",1,IF(C269="Lost",1,0))=2,1,0)</f>
      </c>
      <c r="X269" s="0" t="s">
        <v>148</v>
      </c>
      <c r="Y269" s="0" t="s">
        <v>403</v>
      </c>
      <c r="AV269" s="68"/>
      <c r="AW269" s="68"/>
      <c r="AY269" s="27"/>
      <c r="BD269" s="68">
        <v>46054.1666666667</v>
      </c>
      <c r="BE269" s="68">
        <v>46082.1666666667</v>
      </c>
      <c r="BF269" s="0" t="b">
        <v>0</v>
      </c>
      <c r="BG269" s="0" t="b">
        <v>0</v>
      </c>
      <c r="BH269" s="0">
        <v>280</v>
      </c>
      <c r="BI269" s="0">
        <v>280</v>
      </c>
      <c r="BJ269" s="0" t="s">
        <v>135</v>
      </c>
    </row>
    <row r="270">
      <c r="A270" s="0" t="s">
        <v>436</v>
      </c>
      <c r="B270" s="0" t="s">
        <v>134</v>
      </c>
      <c r="C270" s="0" t="s">
        <v>134</v>
      </c>
      <c r="D270" s="0" t="s">
        <v>135</v>
      </c>
      <c r="E270" s="0" t="s">
        <v>3</v>
      </c>
      <c r="F270" s="0" t="s">
        <v>12</v>
      </c>
      <c r="G270" s="0" t="s">
        <v>7</v>
      </c>
      <c r="H270" s="0">
        <v>4030</v>
      </c>
      <c r="I270" s="0">
        <v>40</v>
      </c>
      <c r="J270" s="0">
        <v>0</v>
      </c>
      <c r="K270" s="0">
        <v>1</v>
      </c>
      <c r="L270" s="0">
        <v>1</v>
      </c>
      <c r="M270" s="0">
        <v>1</v>
      </c>
      <c r="N270" s="0">
        <v>0</v>
      </c>
      <c r="O270" s="0">
        <v>0</v>
      </c>
      <c r="P270" s="0">
        <v>0</v>
      </c>
      <c r="R270" s="0" t="b">
        <v>0</v>
      </c>
      <c r="S270" s="0" t="b">
        <v>1</v>
      </c>
      <c r="T270" s="68">
        <v>42023.7173032407</v>
      </c>
      <c r="U270" s="68">
        <v>42054.5</v>
      </c>
      <c r="V270" s="68">
        <v>0</v>
      </c>
      <c r="W270" s="0">
        <f>IF(IF(B270="none",1,IF(B270="Trialer",1,0))+IF(C270="Customer",1,IF(C270="Lost",1,0))=2,1,0)</f>
      </c>
      <c r="X270" s="0" t="s">
        <v>166</v>
      </c>
      <c r="Y270" s="0" t="s">
        <v>213</v>
      </c>
      <c r="AV270" s="68"/>
      <c r="AW270" s="68"/>
      <c r="AY270" s="27"/>
      <c r="BD270" s="68">
        <v>46054.1666666667</v>
      </c>
      <c r="BE270" s="68">
        <v>46082.1666666667</v>
      </c>
      <c r="BF270" s="0" t="b">
        <v>0</v>
      </c>
      <c r="BG270" s="0" t="b">
        <v>0</v>
      </c>
      <c r="BH270" s="0">
        <v>40</v>
      </c>
      <c r="BI270" s="0">
        <v>40</v>
      </c>
      <c r="BJ270" s="0" t="s">
        <v>135</v>
      </c>
    </row>
    <row r="271">
      <c r="A271" s="0" t="s">
        <v>437</v>
      </c>
      <c r="B271" s="0" t="s">
        <v>134</v>
      </c>
      <c r="C271" s="0" t="s">
        <v>134</v>
      </c>
      <c r="D271" s="0" t="s">
        <v>230</v>
      </c>
      <c r="E271" s="0" t="s">
        <v>3</v>
      </c>
      <c r="F271" s="0" t="s">
        <v>10</v>
      </c>
      <c r="G271" s="0" t="s">
        <v>7</v>
      </c>
      <c r="H271" s="0">
        <v>4029</v>
      </c>
      <c r="I271" s="0">
        <v>72</v>
      </c>
      <c r="J271" s="0">
        <v>0</v>
      </c>
      <c r="K271" s="0">
        <v>1</v>
      </c>
      <c r="L271" s="0">
        <v>1</v>
      </c>
      <c r="M271" s="0">
        <v>2</v>
      </c>
      <c r="N271" s="0">
        <v>0</v>
      </c>
      <c r="O271" s="0">
        <v>0</v>
      </c>
      <c r="P271" s="0">
        <v>-72</v>
      </c>
      <c r="Q271" s="0" t="s">
        <v>294</v>
      </c>
      <c r="R271" s="0" t="b">
        <v>0</v>
      </c>
      <c r="S271" s="0" t="b">
        <v>1</v>
      </c>
      <c r="T271" s="68">
        <v>42024.6875</v>
      </c>
      <c r="U271" s="68">
        <v>42055.5</v>
      </c>
      <c r="V271" s="68">
        <v>0</v>
      </c>
      <c r="W271" s="0">
        <f>IF(IF(B271="none",1,IF(B271="Trialer",1,0))+IF(C271="Customer",1,IF(C271="Lost",1,0))=2,1,0)</f>
      </c>
      <c r="X271" s="0" t="s">
        <v>148</v>
      </c>
      <c r="Y271" s="0" t="s">
        <v>243</v>
      </c>
      <c r="AV271" s="68"/>
      <c r="AW271" s="68"/>
      <c r="AY271" s="27"/>
      <c r="BD271" s="68">
        <v>46054.1666666667</v>
      </c>
      <c r="BE271" s="68">
        <v>46082.1666666667</v>
      </c>
      <c r="BF271" s="0" t="b">
        <v>0</v>
      </c>
      <c r="BG271" s="0" t="b">
        <v>0</v>
      </c>
      <c r="BH271" s="0">
        <v>80</v>
      </c>
      <c r="BI271" s="0">
        <v>80</v>
      </c>
      <c r="BJ271" s="0" t="s">
        <v>230</v>
      </c>
    </row>
    <row r="272">
      <c r="A272" s="0" t="s">
        <v>438</v>
      </c>
      <c r="B272" s="0" t="s">
        <v>134</v>
      </c>
      <c r="C272" s="0" t="s">
        <v>134</v>
      </c>
      <c r="D272" s="0" t="s">
        <v>135</v>
      </c>
      <c r="E272" s="0" t="s">
        <v>3</v>
      </c>
      <c r="F272" s="0" t="s">
        <v>12</v>
      </c>
      <c r="G272" s="0" t="s">
        <v>7</v>
      </c>
      <c r="H272" s="0">
        <v>4024</v>
      </c>
      <c r="I272" s="0">
        <v>200</v>
      </c>
      <c r="J272" s="0">
        <v>0</v>
      </c>
      <c r="K272" s="0">
        <v>1</v>
      </c>
      <c r="L272" s="0">
        <v>1</v>
      </c>
      <c r="M272" s="0">
        <v>5</v>
      </c>
      <c r="N272" s="0">
        <v>0</v>
      </c>
      <c r="O272" s="0">
        <v>0</v>
      </c>
      <c r="P272" s="0">
        <v>0</v>
      </c>
      <c r="R272" s="0" t="b">
        <v>0</v>
      </c>
      <c r="S272" s="0" t="b">
        <v>1</v>
      </c>
      <c r="T272" s="68">
        <v>42029.7458333333</v>
      </c>
      <c r="U272" s="68">
        <v>42060.5</v>
      </c>
      <c r="V272" s="68">
        <v>0</v>
      </c>
      <c r="W272" s="0">
        <f>IF(IF(B272="none",1,IF(B272="Trialer",1,0))+IF(C272="Customer",1,IF(C272="Lost",1,0))=2,1,0)</f>
      </c>
      <c r="X272" s="0" t="s">
        <v>136</v>
      </c>
      <c r="Y272" s="0" t="s">
        <v>213</v>
      </c>
      <c r="AV272" s="68"/>
      <c r="AW272" s="68"/>
      <c r="AY272" s="27"/>
      <c r="BD272" s="68">
        <v>46054.1666666667</v>
      </c>
      <c r="BE272" s="68">
        <v>46082.1666666667</v>
      </c>
      <c r="BF272" s="0" t="b">
        <v>0</v>
      </c>
      <c r="BG272" s="0" t="b">
        <v>0</v>
      </c>
      <c r="BH272" s="0">
        <v>200</v>
      </c>
      <c r="BI272" s="0">
        <v>200</v>
      </c>
      <c r="BJ272" s="0" t="s">
        <v>135</v>
      </c>
    </row>
    <row r="273">
      <c r="A273" s="0" t="s">
        <v>439</v>
      </c>
      <c r="B273" s="0" t="s">
        <v>134</v>
      </c>
      <c r="C273" s="0" t="s">
        <v>134</v>
      </c>
      <c r="D273" s="0" t="s">
        <v>230</v>
      </c>
      <c r="E273" s="0" t="s">
        <v>2</v>
      </c>
      <c r="F273" s="0" t="s">
        <v>12</v>
      </c>
      <c r="G273" s="0" t="s">
        <v>7</v>
      </c>
      <c r="H273" s="0">
        <v>4020</v>
      </c>
      <c r="I273" s="0">
        <v>36</v>
      </c>
      <c r="J273" s="0">
        <v>0</v>
      </c>
      <c r="K273" s="0">
        <v>1</v>
      </c>
      <c r="L273" s="0">
        <v>1</v>
      </c>
      <c r="M273" s="0">
        <v>1</v>
      </c>
      <c r="N273" s="0">
        <v>0</v>
      </c>
      <c r="O273" s="0">
        <v>0</v>
      </c>
      <c r="P273" s="0">
        <v>-36</v>
      </c>
      <c r="R273" s="0" t="b">
        <v>0</v>
      </c>
      <c r="S273" s="0" t="b">
        <v>1</v>
      </c>
      <c r="T273" s="68">
        <v>42033.5614814815</v>
      </c>
      <c r="U273" s="68">
        <v>42033.5</v>
      </c>
      <c r="V273" s="68">
        <v>0</v>
      </c>
      <c r="W273" s="0">
        <f>IF(IF(B273="none",1,IF(B273="Trialer",1,0))+IF(C273="Customer",1,IF(C273="Lost",1,0))=2,1,0)</f>
      </c>
      <c r="X273" s="0" t="s">
        <v>145</v>
      </c>
      <c r="Y273" s="0" t="s">
        <v>137</v>
      </c>
      <c r="AV273" s="68"/>
      <c r="AW273" s="68"/>
      <c r="AY273" s="27"/>
      <c r="BD273" s="68">
        <v>46054.1666666667</v>
      </c>
      <c r="BE273" s="68">
        <v>46082.1666666667</v>
      </c>
      <c r="BF273" s="0" t="b">
        <v>0</v>
      </c>
      <c r="BG273" s="0" t="b">
        <v>0</v>
      </c>
      <c r="BH273" s="0">
        <v>40</v>
      </c>
      <c r="BI273" s="0">
        <v>40</v>
      </c>
      <c r="BJ273" s="0" t="s">
        <v>230</v>
      </c>
    </row>
    <row r="274">
      <c r="A274" s="0" t="s">
        <v>440</v>
      </c>
      <c r="B274" s="0" t="s">
        <v>134</v>
      </c>
      <c r="C274" s="0" t="s">
        <v>134</v>
      </c>
      <c r="D274" s="0" t="s">
        <v>135</v>
      </c>
      <c r="E274" s="0" t="s">
        <v>2</v>
      </c>
      <c r="F274" s="0" t="s">
        <v>12</v>
      </c>
      <c r="G274" s="0" t="s">
        <v>7</v>
      </c>
      <c r="H274" s="0">
        <v>4015</v>
      </c>
      <c r="I274" s="0">
        <v>1080</v>
      </c>
      <c r="J274" s="0">
        <v>0</v>
      </c>
      <c r="K274" s="0">
        <v>1</v>
      </c>
      <c r="L274" s="0">
        <v>1</v>
      </c>
      <c r="M274" s="0">
        <v>27</v>
      </c>
      <c r="N274" s="0">
        <v>0</v>
      </c>
      <c r="O274" s="0">
        <v>0</v>
      </c>
      <c r="P274" s="0">
        <v>0</v>
      </c>
      <c r="R274" s="0" t="b">
        <v>0</v>
      </c>
      <c r="S274" s="0" t="b">
        <v>1</v>
      </c>
      <c r="T274" s="68">
        <v>42038.5</v>
      </c>
      <c r="U274" s="68">
        <v>42067.5</v>
      </c>
      <c r="V274" s="68">
        <v>0</v>
      </c>
      <c r="W274" s="0">
        <f>IF(IF(B274="none",1,IF(B274="Trialer",1,0))+IF(C274="Customer",1,IF(C274="Lost",1,0))=2,1,0)</f>
      </c>
      <c r="X274" s="0" t="s">
        <v>148</v>
      </c>
      <c r="Y274" s="0" t="s">
        <v>137</v>
      </c>
      <c r="AV274" s="68"/>
      <c r="AW274" s="68"/>
      <c r="AY274" s="27"/>
      <c r="BD274" s="68">
        <v>46054.1666666667</v>
      </c>
      <c r="BE274" s="68">
        <v>46082.1666666667</v>
      </c>
      <c r="BF274" s="0" t="b">
        <v>0</v>
      </c>
      <c r="BG274" s="0" t="b">
        <v>0</v>
      </c>
      <c r="BH274" s="0">
        <v>1080</v>
      </c>
      <c r="BI274" s="0">
        <v>1080</v>
      </c>
      <c r="BJ274" s="0" t="s">
        <v>135</v>
      </c>
    </row>
    <row r="275">
      <c r="A275" s="0" t="s">
        <v>441</v>
      </c>
      <c r="B275" s="0" t="s">
        <v>134</v>
      </c>
      <c r="C275" s="0" t="s">
        <v>134</v>
      </c>
      <c r="D275" s="0" t="s">
        <v>135</v>
      </c>
      <c r="E275" s="0" t="s">
        <v>2</v>
      </c>
      <c r="F275" s="0" t="s">
        <v>12</v>
      </c>
      <c r="G275" s="0" t="s">
        <v>8</v>
      </c>
      <c r="H275" s="0">
        <v>4014</v>
      </c>
      <c r="I275" s="0">
        <v>384</v>
      </c>
      <c r="J275" s="0">
        <v>0</v>
      </c>
      <c r="K275" s="0">
        <v>1</v>
      </c>
      <c r="L275" s="0">
        <v>5</v>
      </c>
      <c r="M275" s="0">
        <v>10</v>
      </c>
      <c r="N275" s="0">
        <v>0</v>
      </c>
      <c r="O275" s="0">
        <v>0</v>
      </c>
      <c r="P275" s="0">
        <v>0</v>
      </c>
      <c r="R275" s="0" t="b">
        <v>0</v>
      </c>
      <c r="S275" s="0" t="b">
        <v>1</v>
      </c>
      <c r="T275" s="68">
        <v>42039.2899189815</v>
      </c>
      <c r="U275" s="68">
        <v>42067.5</v>
      </c>
      <c r="V275" s="68">
        <v>0</v>
      </c>
      <c r="W275" s="0">
        <f>IF(IF(B275="none",1,IF(B275="Trialer",1,0))+IF(C275="Customer",1,IF(C275="Lost",1,0))=2,1,0)</f>
      </c>
      <c r="X275" s="0" t="s">
        <v>145</v>
      </c>
      <c r="Y275" s="0" t="s">
        <v>137</v>
      </c>
      <c r="AV275" s="68"/>
      <c r="AW275" s="68"/>
      <c r="AY275" s="27"/>
      <c r="BD275" s="68">
        <v>46054.1666666667</v>
      </c>
      <c r="BE275" s="68">
        <v>46082.1666666667</v>
      </c>
      <c r="BF275" s="0" t="b">
        <v>0</v>
      </c>
      <c r="BG275" s="0" t="b">
        <v>0</v>
      </c>
      <c r="BH275" s="0">
        <v>384</v>
      </c>
      <c r="BI275" s="0">
        <v>384</v>
      </c>
      <c r="BJ275" s="0" t="s">
        <v>135</v>
      </c>
    </row>
    <row r="276">
      <c r="A276" s="0" t="s">
        <v>442</v>
      </c>
      <c r="B276" s="0" t="s">
        <v>134</v>
      </c>
      <c r="C276" s="0" t="s">
        <v>190</v>
      </c>
      <c r="D276" s="0" t="s">
        <v>135</v>
      </c>
      <c r="E276" s="0" t="s">
        <v>2</v>
      </c>
      <c r="F276" s="0" t="s">
        <v>12</v>
      </c>
      <c r="G276" s="0" t="s">
        <v>7</v>
      </c>
      <c r="H276" s="0">
        <v>4010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R276" s="0" t="b">
        <v>0</v>
      </c>
      <c r="S276" s="0" t="b">
        <v>0</v>
      </c>
      <c r="T276" s="68">
        <v>42043.7696296296</v>
      </c>
      <c r="U276" s="68">
        <v>42072.5416666667</v>
      </c>
      <c r="V276" s="68">
        <v>46059.7416666667</v>
      </c>
      <c r="W276" s="0">
        <f>IF(IF(B276="none",1,IF(B276="Trialer",1,0))+IF(C276="Customer",1,IF(C276="Lost",1,0))=2,1,0)</f>
      </c>
      <c r="X276" s="0" t="s">
        <v>153</v>
      </c>
      <c r="Y276" s="0" t="s">
        <v>137</v>
      </c>
      <c r="AV276" s="68"/>
      <c r="AW276" s="68"/>
      <c r="AY276" s="27"/>
      <c r="BD276" s="68">
        <v>46054.1666666667</v>
      </c>
      <c r="BE276" s="68">
        <v>46082.1666666667</v>
      </c>
      <c r="BF276" s="0" t="b">
        <v>0</v>
      </c>
      <c r="BG276" s="0" t="b">
        <v>0</v>
      </c>
      <c r="BH276" s="0">
        <v>114</v>
      </c>
      <c r="BI276" s="0">
        <v>114</v>
      </c>
      <c r="BJ276" s="0" t="s">
        <v>135</v>
      </c>
    </row>
    <row r="277">
      <c r="A277" s="0" t="s">
        <v>443</v>
      </c>
      <c r="B277" s="0" t="s">
        <v>134</v>
      </c>
      <c r="C277" s="0" t="s">
        <v>134</v>
      </c>
      <c r="D277" s="0" t="s">
        <v>135</v>
      </c>
      <c r="E277" s="0" t="s">
        <v>3</v>
      </c>
      <c r="F277" s="0" t="s">
        <v>12</v>
      </c>
      <c r="G277" s="0" t="s">
        <v>7</v>
      </c>
      <c r="H277" s="0">
        <v>4000</v>
      </c>
      <c r="I277" s="0">
        <v>40</v>
      </c>
      <c r="J277" s="0">
        <v>0</v>
      </c>
      <c r="K277" s="0">
        <v>1</v>
      </c>
      <c r="L277" s="0">
        <v>1</v>
      </c>
      <c r="M277" s="0">
        <v>1</v>
      </c>
      <c r="N277" s="0">
        <v>0</v>
      </c>
      <c r="O277" s="0">
        <v>0</v>
      </c>
      <c r="P277" s="0">
        <v>0</v>
      </c>
      <c r="R277" s="0" t="b">
        <v>0</v>
      </c>
      <c r="S277" s="0" t="b">
        <v>1</v>
      </c>
      <c r="T277" s="68">
        <v>42053.3911226852</v>
      </c>
      <c r="U277" s="68">
        <v>42082.5416666667</v>
      </c>
      <c r="V277" s="68">
        <v>0</v>
      </c>
      <c r="W277" s="0">
        <f>IF(IF(B277="none",1,IF(B277="Trialer",1,0))+IF(C277="Customer",1,IF(C277="Lost",1,0))=2,1,0)</f>
      </c>
      <c r="X277" s="0" t="s">
        <v>166</v>
      </c>
      <c r="Y277" s="0" t="s">
        <v>213</v>
      </c>
      <c r="AV277" s="68"/>
      <c r="AW277" s="68"/>
      <c r="AY277" s="27"/>
      <c r="BD277" s="68">
        <v>46054.1666666667</v>
      </c>
      <c r="BE277" s="68">
        <v>46082.1666666667</v>
      </c>
      <c r="BF277" s="0" t="b">
        <v>0</v>
      </c>
      <c r="BG277" s="0" t="b">
        <v>0</v>
      </c>
      <c r="BH277" s="0">
        <v>40</v>
      </c>
      <c r="BI277" s="0">
        <v>40</v>
      </c>
      <c r="BJ277" s="0" t="s">
        <v>135</v>
      </c>
    </row>
    <row r="278">
      <c r="A278" s="0" t="s">
        <v>444</v>
      </c>
      <c r="B278" s="0" t="s">
        <v>134</v>
      </c>
      <c r="C278" s="0" t="s">
        <v>134</v>
      </c>
      <c r="D278" s="0" t="s">
        <v>135</v>
      </c>
      <c r="E278" s="0" t="s">
        <v>2</v>
      </c>
      <c r="F278" s="0" t="s">
        <v>10</v>
      </c>
      <c r="G278" s="0" t="s">
        <v>7</v>
      </c>
      <c r="H278" s="0">
        <v>4000</v>
      </c>
      <c r="I278" s="0">
        <v>80</v>
      </c>
      <c r="J278" s="0">
        <v>0</v>
      </c>
      <c r="K278" s="0">
        <v>1</v>
      </c>
      <c r="L278" s="0">
        <v>1</v>
      </c>
      <c r="M278" s="0">
        <v>2</v>
      </c>
      <c r="N278" s="0">
        <v>0</v>
      </c>
      <c r="O278" s="0">
        <v>0</v>
      </c>
      <c r="P278" s="0">
        <v>0</v>
      </c>
      <c r="Q278" s="0" t="s">
        <v>357</v>
      </c>
      <c r="R278" s="0" t="b">
        <v>0</v>
      </c>
      <c r="S278" s="0" t="b">
        <v>1</v>
      </c>
      <c r="T278" s="68">
        <v>42053.5</v>
      </c>
      <c r="U278" s="68">
        <v>42081.5416666667</v>
      </c>
      <c r="V278" s="68">
        <v>0</v>
      </c>
      <c r="W278" s="0">
        <f>IF(IF(B278="none",1,IF(B278="Trialer",1,0))+IF(C278="Customer",1,IF(C278="Lost",1,0))=2,1,0)</f>
      </c>
      <c r="X278" s="0" t="s">
        <v>148</v>
      </c>
      <c r="Y278" s="0" t="s">
        <v>137</v>
      </c>
      <c r="AV278" s="68"/>
      <c r="AW278" s="68"/>
      <c r="AY278" s="27"/>
      <c r="BD278" s="68">
        <v>46054.1666666667</v>
      </c>
      <c r="BE278" s="68">
        <v>46082.1666666667</v>
      </c>
      <c r="BF278" s="0" t="b">
        <v>0</v>
      </c>
      <c r="BG278" s="0" t="b">
        <v>0</v>
      </c>
      <c r="BH278" s="0">
        <v>45</v>
      </c>
      <c r="BI278" s="0">
        <v>45</v>
      </c>
      <c r="BJ278" s="0" t="s">
        <v>135</v>
      </c>
    </row>
    <row r="279">
      <c r="A279" s="0" t="s">
        <v>445</v>
      </c>
      <c r="B279" s="0" t="s">
        <v>134</v>
      </c>
      <c r="C279" s="0" t="s">
        <v>134</v>
      </c>
      <c r="D279" s="0" t="s">
        <v>230</v>
      </c>
      <c r="E279" s="0" t="s">
        <v>2</v>
      </c>
      <c r="F279" s="0" t="s">
        <v>12</v>
      </c>
      <c r="G279" s="0" t="s">
        <v>7</v>
      </c>
      <c r="H279" s="0">
        <v>3995</v>
      </c>
      <c r="I279" s="0">
        <v>360</v>
      </c>
      <c r="J279" s="0">
        <v>0</v>
      </c>
      <c r="K279" s="0">
        <v>1</v>
      </c>
      <c r="L279" s="0">
        <v>1</v>
      </c>
      <c r="M279" s="0">
        <v>10</v>
      </c>
      <c r="N279" s="0">
        <v>0</v>
      </c>
      <c r="O279" s="0">
        <v>0</v>
      </c>
      <c r="P279" s="0">
        <v>-360</v>
      </c>
      <c r="R279" s="0" t="b">
        <v>0</v>
      </c>
      <c r="S279" s="0" t="b">
        <v>1</v>
      </c>
      <c r="T279" s="68">
        <v>42058.2958333333</v>
      </c>
      <c r="U279" s="68">
        <v>42090.5416666667</v>
      </c>
      <c r="V279" s="68">
        <v>0</v>
      </c>
      <c r="W279" s="0">
        <f>IF(IF(B279="none",1,IF(B279="Trialer",1,0))+IF(C279="Customer",1,IF(C279="Lost",1,0))=2,1,0)</f>
      </c>
      <c r="X279" s="0" t="s">
        <v>145</v>
      </c>
      <c r="Y279" s="0" t="s">
        <v>137</v>
      </c>
      <c r="AV279" s="68"/>
      <c r="AW279" s="68"/>
      <c r="AY279" s="27"/>
      <c r="BD279" s="68">
        <v>46054.1666666667</v>
      </c>
      <c r="BE279" s="68">
        <v>46082.1666666667</v>
      </c>
      <c r="BF279" s="0" t="b">
        <v>0</v>
      </c>
      <c r="BG279" s="0" t="b">
        <v>0</v>
      </c>
      <c r="BH279" s="0">
        <v>400</v>
      </c>
      <c r="BI279" s="0">
        <v>400</v>
      </c>
      <c r="BJ279" s="0" t="s">
        <v>230</v>
      </c>
    </row>
    <row r="280">
      <c r="A280" s="0" t="s">
        <v>446</v>
      </c>
      <c r="B280" s="0" t="s">
        <v>134</v>
      </c>
      <c r="C280" s="0" t="s">
        <v>134</v>
      </c>
      <c r="D280" s="0" t="s">
        <v>135</v>
      </c>
      <c r="E280" s="0" t="s">
        <v>2</v>
      </c>
      <c r="F280" s="0" t="s">
        <v>10</v>
      </c>
      <c r="G280" s="0" t="s">
        <v>7</v>
      </c>
      <c r="H280" s="0">
        <v>3995</v>
      </c>
      <c r="I280" s="0">
        <v>400</v>
      </c>
      <c r="J280" s="0">
        <v>0</v>
      </c>
      <c r="K280" s="0">
        <v>1</v>
      </c>
      <c r="L280" s="0">
        <v>1</v>
      </c>
      <c r="M280" s="0">
        <v>10</v>
      </c>
      <c r="N280" s="0">
        <v>0</v>
      </c>
      <c r="O280" s="0">
        <v>0</v>
      </c>
      <c r="P280" s="0">
        <v>0</v>
      </c>
      <c r="Q280" s="0" t="s">
        <v>185</v>
      </c>
      <c r="R280" s="0" t="b">
        <v>0</v>
      </c>
      <c r="S280" s="0" t="b">
        <v>1</v>
      </c>
      <c r="T280" s="68">
        <v>42058.5</v>
      </c>
      <c r="U280" s="68">
        <v>42086.5416666667</v>
      </c>
      <c r="V280" s="68">
        <v>0</v>
      </c>
      <c r="W280" s="0">
        <f>IF(IF(B280="none",1,IF(B280="Trialer",1,0))+IF(C280="Customer",1,IF(C280="Lost",1,0))=2,1,0)</f>
      </c>
      <c r="X280" s="0" t="s">
        <v>148</v>
      </c>
      <c r="Y280" s="0" t="s">
        <v>137</v>
      </c>
      <c r="AV280" s="68"/>
      <c r="AW280" s="68"/>
      <c r="AY280" s="27"/>
      <c r="BD280" s="68">
        <v>46054.1666666667</v>
      </c>
      <c r="BE280" s="68">
        <v>46082.1666666667</v>
      </c>
      <c r="BF280" s="0" t="b">
        <v>0</v>
      </c>
      <c r="BG280" s="0" t="b">
        <v>0</v>
      </c>
      <c r="BH280" s="0">
        <v>400</v>
      </c>
      <c r="BI280" s="0">
        <v>400</v>
      </c>
      <c r="BJ280" s="0" t="s">
        <v>135</v>
      </c>
    </row>
    <row r="281">
      <c r="A281" s="0" t="s">
        <v>447</v>
      </c>
      <c r="B281" s="0" t="s">
        <v>134</v>
      </c>
      <c r="C281" s="0" t="s">
        <v>134</v>
      </c>
      <c r="D281" s="0" t="s">
        <v>135</v>
      </c>
      <c r="E281" s="0" t="s">
        <v>2</v>
      </c>
      <c r="F281" s="0" t="s">
        <v>12</v>
      </c>
      <c r="G281" s="0" t="s">
        <v>7</v>
      </c>
      <c r="H281" s="0">
        <v>3986</v>
      </c>
      <c r="I281" s="0">
        <v>25</v>
      </c>
      <c r="J281" s="0">
        <v>0</v>
      </c>
      <c r="K281" s="0">
        <v>1</v>
      </c>
      <c r="L281" s="0">
        <v>1</v>
      </c>
      <c r="M281" s="0">
        <v>1</v>
      </c>
      <c r="N281" s="0">
        <v>0</v>
      </c>
      <c r="O281" s="0">
        <v>0</v>
      </c>
      <c r="P281" s="0">
        <v>0</v>
      </c>
      <c r="R281" s="0" t="b">
        <v>0</v>
      </c>
      <c r="S281" s="0" t="b">
        <v>1</v>
      </c>
      <c r="T281" s="68">
        <v>42067.4111111111</v>
      </c>
      <c r="U281" s="68">
        <v>42101.5416666667</v>
      </c>
      <c r="V281" s="68">
        <v>0</v>
      </c>
      <c r="W281" s="0">
        <f>IF(IF(B281="none",1,IF(B281="Trialer",1,0))+IF(C281="Customer",1,IF(C281="Lost",1,0))=2,1,0)</f>
      </c>
      <c r="X281" s="0" t="s">
        <v>166</v>
      </c>
      <c r="Y281" s="0" t="s">
        <v>235</v>
      </c>
      <c r="AV281" s="68"/>
      <c r="AW281" s="68"/>
      <c r="AY281" s="27"/>
      <c r="BD281" s="68">
        <v>46054.1666666667</v>
      </c>
      <c r="BE281" s="68">
        <v>46082.1666666667</v>
      </c>
      <c r="BF281" s="0" t="b">
        <v>0</v>
      </c>
      <c r="BG281" s="0" t="b">
        <v>0</v>
      </c>
      <c r="BH281" s="0">
        <v>25</v>
      </c>
      <c r="BI281" s="0">
        <v>25</v>
      </c>
      <c r="BJ281" s="0" t="s">
        <v>135</v>
      </c>
    </row>
    <row r="282">
      <c r="A282" s="0" t="s">
        <v>448</v>
      </c>
      <c r="B282" s="0" t="s">
        <v>134</v>
      </c>
      <c r="C282" s="0" t="s">
        <v>134</v>
      </c>
      <c r="D282" s="0" t="s">
        <v>135</v>
      </c>
      <c r="E282" s="0" t="s">
        <v>2</v>
      </c>
      <c r="F282" s="0" t="s">
        <v>11</v>
      </c>
      <c r="G282" s="0" t="s">
        <v>7</v>
      </c>
      <c r="H282" s="0">
        <v>3980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 t="s">
        <v>449</v>
      </c>
      <c r="R282" s="0" t="b">
        <v>1</v>
      </c>
      <c r="S282" s="0" t="b">
        <v>0</v>
      </c>
      <c r="T282" s="68">
        <v>42073.40625</v>
      </c>
      <c r="U282" s="68">
        <v>42073.5</v>
      </c>
      <c r="V282" s="68">
        <v>0</v>
      </c>
      <c r="W282" s="0">
        <f>IF(IF(B282="none",1,IF(B282="Trialer",1,0))+IF(C282="Customer",1,IF(C282="Lost",1,0))=2,1,0)</f>
      </c>
      <c r="X282" s="0" t="s">
        <v>136</v>
      </c>
      <c r="Y282" s="0" t="s">
        <v>137</v>
      </c>
      <c r="AV282" s="68"/>
      <c r="AW282" s="68"/>
      <c r="AY282" s="27"/>
      <c r="BD282" s="68">
        <v>46054.1666666667</v>
      </c>
      <c r="BE282" s="68">
        <v>46082.1666666667</v>
      </c>
      <c r="BF282" s="0" t="b">
        <v>0</v>
      </c>
      <c r="BG282" s="0" t="b">
        <v>0</v>
      </c>
      <c r="BH282" s="0">
        <v>40</v>
      </c>
      <c r="BI282" s="0">
        <v>0</v>
      </c>
      <c r="BJ282" s="0" t="s">
        <v>135</v>
      </c>
    </row>
    <row r="283">
      <c r="A283" s="0" t="s">
        <v>450</v>
      </c>
      <c r="B283" s="0" t="s">
        <v>134</v>
      </c>
      <c r="C283" s="0" t="s">
        <v>134</v>
      </c>
      <c r="D283" s="0" t="s">
        <v>230</v>
      </c>
      <c r="E283" s="0" t="s">
        <v>2</v>
      </c>
      <c r="F283" s="0" t="s">
        <v>12</v>
      </c>
      <c r="G283" s="0" t="s">
        <v>8</v>
      </c>
      <c r="H283" s="0">
        <v>3980</v>
      </c>
      <c r="I283" s="0">
        <v>145.8</v>
      </c>
      <c r="J283" s="0">
        <v>0</v>
      </c>
      <c r="K283" s="0">
        <v>1</v>
      </c>
      <c r="L283" s="0">
        <v>5</v>
      </c>
      <c r="M283" s="0">
        <v>3</v>
      </c>
      <c r="N283" s="0">
        <v>0</v>
      </c>
      <c r="O283" s="0">
        <v>0</v>
      </c>
      <c r="P283" s="0">
        <v>1603.8</v>
      </c>
      <c r="R283" s="0" t="b">
        <v>0</v>
      </c>
      <c r="S283" s="0" t="b">
        <v>1</v>
      </c>
      <c r="T283" s="68">
        <v>42073.5</v>
      </c>
      <c r="U283" s="68">
        <v>42111.5416666667</v>
      </c>
      <c r="V283" s="68">
        <v>0</v>
      </c>
      <c r="W283" s="0">
        <f>IF(IF(B283="none",1,IF(B283="Trialer",1,0))+IF(C283="Customer",1,IF(C283="Lost",1,0))=2,1,0)</f>
      </c>
      <c r="X283" s="0" t="s">
        <v>142</v>
      </c>
      <c r="Y283" s="0" t="s">
        <v>235</v>
      </c>
      <c r="AV283" s="68"/>
      <c r="AW283" s="68"/>
      <c r="AY283" s="27"/>
      <c r="BD283" s="68">
        <v>46054.1666666667</v>
      </c>
      <c r="BE283" s="68">
        <v>46082.1666666667</v>
      </c>
      <c r="BF283" s="0" t="b">
        <v>0</v>
      </c>
      <c r="BG283" s="0" t="b">
        <v>0</v>
      </c>
      <c r="BH283" s="0">
        <v>162</v>
      </c>
      <c r="BI283" s="0">
        <v>162</v>
      </c>
      <c r="BJ283" s="0" t="s">
        <v>230</v>
      </c>
    </row>
    <row r="284">
      <c r="A284" s="0" t="s">
        <v>451</v>
      </c>
      <c r="B284" s="0" t="s">
        <v>134</v>
      </c>
      <c r="C284" s="0" t="s">
        <v>134</v>
      </c>
      <c r="D284" s="0" t="s">
        <v>135</v>
      </c>
      <c r="E284" s="0" t="s">
        <v>2</v>
      </c>
      <c r="F284" s="0" t="s">
        <v>12</v>
      </c>
      <c r="G284" s="0" t="s">
        <v>8</v>
      </c>
      <c r="H284" s="0">
        <v>3974</v>
      </c>
      <c r="I284" s="0">
        <v>70</v>
      </c>
      <c r="J284" s="0">
        <v>0</v>
      </c>
      <c r="K284" s="0">
        <v>1</v>
      </c>
      <c r="L284" s="0">
        <v>3</v>
      </c>
      <c r="M284" s="0">
        <v>2</v>
      </c>
      <c r="N284" s="0">
        <v>0</v>
      </c>
      <c r="O284" s="0">
        <v>0</v>
      </c>
      <c r="P284" s="0">
        <v>0</v>
      </c>
      <c r="R284" s="0" t="b">
        <v>0</v>
      </c>
      <c r="S284" s="0" t="b">
        <v>0</v>
      </c>
      <c r="T284" s="68">
        <v>42079.5</v>
      </c>
      <c r="U284" s="68">
        <v>42110.5416666667</v>
      </c>
      <c r="V284" s="68">
        <v>46087.5905671296</v>
      </c>
      <c r="W284" s="0">
        <f>IF(IF(B284="none",1,IF(B284="Trialer",1,0))+IF(C284="Customer",1,IF(C284="Lost",1,0))=2,1,0)</f>
      </c>
      <c r="X284" s="0" t="s">
        <v>142</v>
      </c>
      <c r="Y284" s="0" t="s">
        <v>235</v>
      </c>
      <c r="AV284" s="68"/>
      <c r="AW284" s="68"/>
      <c r="AY284" s="27"/>
      <c r="BD284" s="68">
        <v>46054.1666666667</v>
      </c>
      <c r="BE284" s="68">
        <v>46082.1666666667</v>
      </c>
      <c r="BF284" s="0" t="b">
        <v>0</v>
      </c>
      <c r="BG284" s="0" t="b">
        <v>0</v>
      </c>
      <c r="BH284" s="0">
        <v>70</v>
      </c>
      <c r="BI284" s="0">
        <v>70</v>
      </c>
      <c r="BJ284" s="0" t="s">
        <v>135</v>
      </c>
    </row>
    <row r="285">
      <c r="A285" s="0" t="s">
        <v>452</v>
      </c>
      <c r="B285" s="0" t="s">
        <v>134</v>
      </c>
      <c r="C285" s="0" t="s">
        <v>134</v>
      </c>
      <c r="D285" s="0" t="s">
        <v>135</v>
      </c>
      <c r="E285" s="0" t="s">
        <v>3</v>
      </c>
      <c r="F285" s="0" t="s">
        <v>12</v>
      </c>
      <c r="G285" s="0" t="s">
        <v>8</v>
      </c>
      <c r="H285" s="0">
        <v>3974</v>
      </c>
      <c r="I285" s="0">
        <v>0</v>
      </c>
      <c r="J285" s="0">
        <v>0</v>
      </c>
      <c r="K285" s="0">
        <v>1</v>
      </c>
      <c r="L285" s="0">
        <v>2</v>
      </c>
      <c r="M285" s="0">
        <v>1</v>
      </c>
      <c r="N285" s="0">
        <v>0</v>
      </c>
      <c r="O285" s="0">
        <v>0</v>
      </c>
      <c r="P285" s="0">
        <v>0</v>
      </c>
      <c r="R285" s="0" t="b">
        <v>0</v>
      </c>
      <c r="S285" s="0" t="b">
        <v>1</v>
      </c>
      <c r="T285" s="68">
        <v>42079.5</v>
      </c>
      <c r="U285" s="68">
        <v>42110.5416666667</v>
      </c>
      <c r="V285" s="68">
        <v>0</v>
      </c>
      <c r="W285" s="0">
        <f>IF(IF(B285="none",1,IF(B285="Trialer",1,0))+IF(C285="Customer",1,IF(C285="Lost",1,0))=2,1,0)</f>
      </c>
      <c r="X285" s="0" t="s">
        <v>153</v>
      </c>
      <c r="Y285" s="0" t="s">
        <v>213</v>
      </c>
      <c r="AV285" s="68"/>
      <c r="AW285" s="68"/>
      <c r="AY285" s="27"/>
      <c r="BD285" s="68">
        <v>46054.1666666667</v>
      </c>
      <c r="BE285" s="68">
        <v>46082.1666666667</v>
      </c>
      <c r="BF285" s="0" t="b">
        <v>0</v>
      </c>
      <c r="BG285" s="0" t="b">
        <v>0</v>
      </c>
      <c r="BH285" s="0">
        <v>0</v>
      </c>
      <c r="BI285" s="0">
        <v>0</v>
      </c>
      <c r="BJ285" s="0" t="s">
        <v>135</v>
      </c>
    </row>
    <row r="286">
      <c r="A286" s="0" t="s">
        <v>453</v>
      </c>
      <c r="B286" s="0" t="s">
        <v>134</v>
      </c>
      <c r="C286" s="0" t="s">
        <v>134</v>
      </c>
      <c r="D286" s="0" t="s">
        <v>135</v>
      </c>
      <c r="E286" s="0" t="s">
        <v>2</v>
      </c>
      <c r="F286" s="0" t="s">
        <v>10</v>
      </c>
      <c r="G286" s="0" t="s">
        <v>8</v>
      </c>
      <c r="H286" s="0">
        <v>3974</v>
      </c>
      <c r="I286" s="0">
        <v>371</v>
      </c>
      <c r="J286" s="0">
        <v>0</v>
      </c>
      <c r="K286" s="0">
        <v>1</v>
      </c>
      <c r="L286" s="0">
        <v>2</v>
      </c>
      <c r="M286" s="0">
        <v>11</v>
      </c>
      <c r="N286" s="0">
        <v>77.5</v>
      </c>
      <c r="O286" s="0">
        <v>-77.5</v>
      </c>
      <c r="P286" s="0">
        <v>0</v>
      </c>
      <c r="Q286" s="0" t="s">
        <v>454</v>
      </c>
      <c r="R286" s="0" t="b">
        <v>0</v>
      </c>
      <c r="S286" s="0" t="b">
        <v>1</v>
      </c>
      <c r="T286" s="68">
        <v>42079.6942476852</v>
      </c>
      <c r="U286" s="68">
        <v>42110.5416666667</v>
      </c>
      <c r="V286" s="68">
        <v>0</v>
      </c>
      <c r="W286" s="0">
        <f>IF(IF(B286="none",1,IF(B286="Trialer",1,0))+IF(C286="Customer",1,IF(C286="Lost",1,0))=2,1,0)</f>
      </c>
      <c r="X286" s="0" t="s">
        <v>148</v>
      </c>
      <c r="Y286" s="0" t="s">
        <v>235</v>
      </c>
      <c r="AV286" s="68"/>
      <c r="AW286" s="68"/>
      <c r="AY286" s="27"/>
      <c r="BD286" s="68">
        <v>46054.1666666667</v>
      </c>
      <c r="BE286" s="68">
        <v>46082.1666666667</v>
      </c>
      <c r="BF286" s="0" t="b">
        <v>0</v>
      </c>
      <c r="BG286" s="0" t="b">
        <v>0</v>
      </c>
      <c r="BH286" s="0">
        <v>371</v>
      </c>
      <c r="BI286" s="0">
        <v>371</v>
      </c>
      <c r="BJ286" s="0" t="s">
        <v>135</v>
      </c>
    </row>
    <row r="287">
      <c r="A287" s="0" t="s">
        <v>455</v>
      </c>
      <c r="B287" s="0" t="s">
        <v>134</v>
      </c>
      <c r="C287" s="0" t="s">
        <v>134</v>
      </c>
      <c r="D287" s="0" t="s">
        <v>135</v>
      </c>
      <c r="E287" s="0" t="s">
        <v>2</v>
      </c>
      <c r="F287" s="0" t="s">
        <v>12</v>
      </c>
      <c r="G287" s="0" t="s">
        <v>7</v>
      </c>
      <c r="H287" s="0">
        <v>3973</v>
      </c>
      <c r="I287" s="0">
        <v>160</v>
      </c>
      <c r="J287" s="0">
        <v>0</v>
      </c>
      <c r="K287" s="0">
        <v>1</v>
      </c>
      <c r="L287" s="0">
        <v>1</v>
      </c>
      <c r="M287" s="0">
        <v>4</v>
      </c>
      <c r="N287" s="0">
        <v>0</v>
      </c>
      <c r="O287" s="0">
        <v>0</v>
      </c>
      <c r="P287" s="0">
        <v>0</v>
      </c>
      <c r="R287" s="0" t="b">
        <v>0</v>
      </c>
      <c r="S287" s="0" t="b">
        <v>1</v>
      </c>
      <c r="T287" s="68">
        <v>42080.7403587963</v>
      </c>
      <c r="U287" s="68">
        <v>42114.5416666667</v>
      </c>
      <c r="V287" s="68">
        <v>0</v>
      </c>
      <c r="W287" s="0">
        <f>IF(IF(B287="none",1,IF(B287="Trialer",1,0))+IF(C287="Customer",1,IF(C287="Lost",1,0))=2,1,0)</f>
      </c>
      <c r="X287" s="0" t="s">
        <v>145</v>
      </c>
      <c r="Y287" s="0" t="s">
        <v>137</v>
      </c>
      <c r="AV287" s="68"/>
      <c r="AW287" s="68"/>
      <c r="AY287" s="27"/>
      <c r="BD287" s="68">
        <v>46054.1666666667</v>
      </c>
      <c r="BE287" s="68">
        <v>46082.1666666667</v>
      </c>
      <c r="BF287" s="0" t="b">
        <v>0</v>
      </c>
      <c r="BG287" s="0" t="b">
        <v>0</v>
      </c>
      <c r="BH287" s="0">
        <v>160</v>
      </c>
      <c r="BI287" s="0">
        <v>160</v>
      </c>
      <c r="BJ287" s="0" t="s">
        <v>135</v>
      </c>
    </row>
    <row r="288">
      <c r="A288" s="0" t="s">
        <v>456</v>
      </c>
      <c r="B288" s="0" t="s">
        <v>134</v>
      </c>
      <c r="C288" s="0" t="s">
        <v>134</v>
      </c>
      <c r="D288" s="0" t="s">
        <v>135</v>
      </c>
      <c r="E288" s="0" t="s">
        <v>2</v>
      </c>
      <c r="F288" s="0" t="s">
        <v>12</v>
      </c>
      <c r="G288" s="0" t="s">
        <v>8</v>
      </c>
      <c r="H288" s="0">
        <v>3972</v>
      </c>
      <c r="I288" s="0">
        <v>98</v>
      </c>
      <c r="J288" s="0">
        <v>0</v>
      </c>
      <c r="K288" s="0">
        <v>1</v>
      </c>
      <c r="L288" s="0">
        <v>3</v>
      </c>
      <c r="M288" s="0">
        <v>2</v>
      </c>
      <c r="N288" s="0">
        <v>0</v>
      </c>
      <c r="O288" s="0">
        <v>0</v>
      </c>
      <c r="P288" s="0">
        <v>0</v>
      </c>
      <c r="R288" s="0" t="b">
        <v>0</v>
      </c>
      <c r="S288" s="0" t="b">
        <v>1</v>
      </c>
      <c r="T288" s="68">
        <v>42081.5</v>
      </c>
      <c r="U288" s="68">
        <v>42112.5416666667</v>
      </c>
      <c r="V288" s="68">
        <v>0</v>
      </c>
      <c r="W288" s="0">
        <f>IF(IF(B288="none",1,IF(B288="Trialer",1,0))+IF(C288="Customer",1,IF(C288="Lost",1,0))=2,1,0)</f>
      </c>
      <c r="X288" s="0" t="s">
        <v>142</v>
      </c>
      <c r="Y288" s="0" t="s">
        <v>137</v>
      </c>
      <c r="AV288" s="68"/>
      <c r="AW288" s="68"/>
      <c r="AY288" s="27"/>
      <c r="BD288" s="68">
        <v>46054.1666666667</v>
      </c>
      <c r="BE288" s="68">
        <v>46082.1666666667</v>
      </c>
      <c r="BF288" s="0" t="b">
        <v>0</v>
      </c>
      <c r="BG288" s="0" t="b">
        <v>0</v>
      </c>
      <c r="BH288" s="0">
        <v>98</v>
      </c>
      <c r="BI288" s="0">
        <v>98</v>
      </c>
      <c r="BJ288" s="0" t="s">
        <v>135</v>
      </c>
    </row>
    <row r="289">
      <c r="A289" s="0" t="s">
        <v>457</v>
      </c>
      <c r="B289" s="0" t="s">
        <v>134</v>
      </c>
      <c r="C289" s="0" t="s">
        <v>134</v>
      </c>
      <c r="D289" s="0" t="s">
        <v>135</v>
      </c>
      <c r="E289" s="0" t="s">
        <v>2</v>
      </c>
      <c r="F289" s="0" t="s">
        <v>12</v>
      </c>
      <c r="G289" s="0" t="s">
        <v>8</v>
      </c>
      <c r="H289" s="0">
        <v>3971</v>
      </c>
      <c r="I289" s="0">
        <v>0</v>
      </c>
      <c r="J289" s="0">
        <v>0</v>
      </c>
      <c r="K289" s="0">
        <v>1</v>
      </c>
      <c r="L289" s="0">
        <v>2</v>
      </c>
      <c r="M289" s="0">
        <v>1</v>
      </c>
      <c r="N289" s="0">
        <v>0</v>
      </c>
      <c r="O289" s="0">
        <v>0</v>
      </c>
      <c r="P289" s="0">
        <v>0</v>
      </c>
      <c r="R289" s="0" t="b">
        <v>0</v>
      </c>
      <c r="S289" s="0" t="b">
        <v>1</v>
      </c>
      <c r="T289" s="68">
        <v>42082.5</v>
      </c>
      <c r="U289" s="68">
        <v>42174.5416666667</v>
      </c>
      <c r="V289" s="68">
        <v>0</v>
      </c>
      <c r="W289" s="0">
        <f>IF(IF(B289="none",1,IF(B289="Trialer",1,0))+IF(C289="Customer",1,IF(C289="Lost",1,0))=2,1,0)</f>
      </c>
      <c r="X289" s="0" t="s">
        <v>148</v>
      </c>
      <c r="Y289" s="0" t="s">
        <v>137</v>
      </c>
      <c r="AV289" s="68"/>
      <c r="AW289" s="68"/>
      <c r="AY289" s="27"/>
      <c r="BD289" s="68">
        <v>46054.1666666667</v>
      </c>
      <c r="BE289" s="68">
        <v>46082.1666666667</v>
      </c>
      <c r="BF289" s="0" t="b">
        <v>0</v>
      </c>
      <c r="BG289" s="0" t="b">
        <v>0</v>
      </c>
      <c r="BH289" s="0">
        <v>0</v>
      </c>
      <c r="BI289" s="0">
        <v>0</v>
      </c>
      <c r="BJ289" s="0" t="s">
        <v>135</v>
      </c>
    </row>
    <row r="290">
      <c r="A290" s="0" t="s">
        <v>458</v>
      </c>
      <c r="B290" s="0" t="s">
        <v>134</v>
      </c>
      <c r="C290" s="0" t="s">
        <v>134</v>
      </c>
      <c r="D290" s="0" t="s">
        <v>230</v>
      </c>
      <c r="E290" s="0" t="s">
        <v>2</v>
      </c>
      <c r="F290" s="0" t="s">
        <v>12</v>
      </c>
      <c r="G290" s="0" t="s">
        <v>7</v>
      </c>
      <c r="H290" s="0">
        <v>3964</v>
      </c>
      <c r="I290" s="0">
        <v>144</v>
      </c>
      <c r="J290" s="0">
        <v>0</v>
      </c>
      <c r="K290" s="0">
        <v>1</v>
      </c>
      <c r="L290" s="0">
        <v>1</v>
      </c>
      <c r="M290" s="0">
        <v>4</v>
      </c>
      <c r="N290" s="0">
        <v>0</v>
      </c>
      <c r="O290" s="0">
        <v>0</v>
      </c>
      <c r="P290" s="0">
        <v>-144</v>
      </c>
      <c r="R290" s="0" t="b">
        <v>0</v>
      </c>
      <c r="S290" s="0" t="b">
        <v>1</v>
      </c>
      <c r="T290" s="68">
        <v>42089.5165393519</v>
      </c>
      <c r="U290" s="68">
        <v>42089.5416666667</v>
      </c>
      <c r="V290" s="68">
        <v>0</v>
      </c>
      <c r="W290" s="0">
        <f>IF(IF(B290="none",1,IF(B290="Trialer",1,0))+IF(C290="Customer",1,IF(C290="Lost",1,0))=2,1,0)</f>
      </c>
      <c r="X290" s="0" t="s">
        <v>145</v>
      </c>
      <c r="Y290" s="0" t="s">
        <v>137</v>
      </c>
      <c r="AV290" s="68"/>
      <c r="AW290" s="68"/>
      <c r="AY290" s="27"/>
      <c r="BD290" s="68">
        <v>46054.1666666667</v>
      </c>
      <c r="BE290" s="68">
        <v>46082.1666666667</v>
      </c>
      <c r="BF290" s="0" t="b">
        <v>0</v>
      </c>
      <c r="BG290" s="0" t="b">
        <v>0</v>
      </c>
      <c r="BH290" s="0">
        <v>160</v>
      </c>
      <c r="BI290" s="0">
        <v>160</v>
      </c>
      <c r="BJ290" s="0" t="s">
        <v>230</v>
      </c>
    </row>
    <row r="291">
      <c r="A291" s="0" t="s">
        <v>459</v>
      </c>
      <c r="B291" s="0" t="s">
        <v>134</v>
      </c>
      <c r="C291" s="0" t="s">
        <v>134</v>
      </c>
      <c r="D291" s="0" t="s">
        <v>135</v>
      </c>
      <c r="E291" s="0" t="s">
        <v>2</v>
      </c>
      <c r="F291" s="0" t="s">
        <v>10</v>
      </c>
      <c r="G291" s="0" t="s">
        <v>7</v>
      </c>
      <c r="H291" s="0">
        <v>3946</v>
      </c>
      <c r="I291" s="0">
        <v>280</v>
      </c>
      <c r="J291" s="0">
        <v>0</v>
      </c>
      <c r="K291" s="0">
        <v>1</v>
      </c>
      <c r="L291" s="0">
        <v>1</v>
      </c>
      <c r="M291" s="0">
        <v>7</v>
      </c>
      <c r="N291" s="0">
        <v>0</v>
      </c>
      <c r="O291" s="0">
        <v>0</v>
      </c>
      <c r="P291" s="0">
        <v>0</v>
      </c>
      <c r="Q291" s="0" t="s">
        <v>266</v>
      </c>
      <c r="R291" s="0" t="b">
        <v>0</v>
      </c>
      <c r="S291" s="0" t="b">
        <v>1</v>
      </c>
      <c r="T291" s="68">
        <v>42107.5</v>
      </c>
      <c r="U291" s="68">
        <v>42137.5416666667</v>
      </c>
      <c r="V291" s="68">
        <v>0</v>
      </c>
      <c r="W291" s="0">
        <f>IF(IF(B291="none",1,IF(B291="Trialer",1,0))+IF(C291="Customer",1,IF(C291="Lost",1,0))=2,1,0)</f>
      </c>
      <c r="X291" s="0" t="s">
        <v>148</v>
      </c>
      <c r="Y291" s="0" t="s">
        <v>137</v>
      </c>
      <c r="AV291" s="68"/>
      <c r="AW291" s="68"/>
      <c r="AY291" s="27"/>
      <c r="BD291" s="68">
        <v>46054.1666666667</v>
      </c>
      <c r="BE291" s="68">
        <v>46082.1666666667</v>
      </c>
      <c r="BF291" s="0" t="b">
        <v>0</v>
      </c>
      <c r="BG291" s="0" t="b">
        <v>0</v>
      </c>
      <c r="BH291" s="0">
        <v>280</v>
      </c>
      <c r="BI291" s="0">
        <v>280</v>
      </c>
      <c r="BJ291" s="0" t="s">
        <v>135</v>
      </c>
    </row>
    <row r="292">
      <c r="A292" s="0" t="s">
        <v>460</v>
      </c>
      <c r="B292" s="0" t="s">
        <v>134</v>
      </c>
      <c r="C292" s="0" t="s">
        <v>134</v>
      </c>
      <c r="D292" s="0" t="s">
        <v>230</v>
      </c>
      <c r="E292" s="0" t="s">
        <v>2</v>
      </c>
      <c r="F292" s="0" t="s">
        <v>12</v>
      </c>
      <c r="G292" s="0" t="s">
        <v>7</v>
      </c>
      <c r="H292" s="0">
        <v>3945</v>
      </c>
      <c r="I292" s="0">
        <v>36</v>
      </c>
      <c r="J292" s="0">
        <v>0</v>
      </c>
      <c r="K292" s="0">
        <v>1</v>
      </c>
      <c r="L292" s="0">
        <v>1</v>
      </c>
      <c r="M292" s="0">
        <v>1</v>
      </c>
      <c r="N292" s="0">
        <v>0</v>
      </c>
      <c r="O292" s="0">
        <v>0</v>
      </c>
      <c r="P292" s="0">
        <v>-36</v>
      </c>
      <c r="R292" s="0" t="b">
        <v>0</v>
      </c>
      <c r="S292" s="0" t="b">
        <v>1</v>
      </c>
      <c r="T292" s="68">
        <v>42108.5791666667</v>
      </c>
      <c r="U292" s="68">
        <v>42108.5416666667</v>
      </c>
      <c r="V292" s="68">
        <v>0</v>
      </c>
      <c r="W292" s="0">
        <f>IF(IF(B292="none",1,IF(B292="Trialer",1,0))+IF(C292="Customer",1,IF(C292="Lost",1,0))=2,1,0)</f>
      </c>
      <c r="X292" s="0" t="s">
        <v>145</v>
      </c>
      <c r="Y292" s="0" t="s">
        <v>137</v>
      </c>
      <c r="AV292" s="68"/>
      <c r="AW292" s="68"/>
      <c r="AY292" s="27"/>
      <c r="BD292" s="68">
        <v>46054.1666666667</v>
      </c>
      <c r="BE292" s="68">
        <v>46082.1666666667</v>
      </c>
      <c r="BF292" s="0" t="b">
        <v>0</v>
      </c>
      <c r="BG292" s="0" t="b">
        <v>0</v>
      </c>
      <c r="BH292" s="0">
        <v>40</v>
      </c>
      <c r="BI292" s="0">
        <v>40</v>
      </c>
      <c r="BJ292" s="0" t="s">
        <v>230</v>
      </c>
    </row>
    <row r="293">
      <c r="A293" s="0" t="s">
        <v>461</v>
      </c>
      <c r="B293" s="0" t="s">
        <v>134</v>
      </c>
      <c r="C293" s="0" t="s">
        <v>134</v>
      </c>
      <c r="D293" s="0" t="s">
        <v>230</v>
      </c>
      <c r="E293" s="0" t="s">
        <v>2</v>
      </c>
      <c r="F293" s="0" t="s">
        <v>12</v>
      </c>
      <c r="G293" s="0" t="s">
        <v>7</v>
      </c>
      <c r="H293" s="0">
        <v>3945</v>
      </c>
      <c r="I293" s="0">
        <v>36</v>
      </c>
      <c r="J293" s="0">
        <v>0</v>
      </c>
      <c r="K293" s="0">
        <v>1</v>
      </c>
      <c r="L293" s="0">
        <v>1</v>
      </c>
      <c r="M293" s="0">
        <v>1</v>
      </c>
      <c r="N293" s="0">
        <v>0</v>
      </c>
      <c r="O293" s="0">
        <v>0</v>
      </c>
      <c r="P293" s="0">
        <v>-36</v>
      </c>
      <c r="R293" s="0" t="b">
        <v>0</v>
      </c>
      <c r="S293" s="0" t="b">
        <v>1</v>
      </c>
      <c r="T293" s="68">
        <v>42108.58125</v>
      </c>
      <c r="U293" s="68">
        <v>42108.5416666667</v>
      </c>
      <c r="V293" s="68">
        <v>0</v>
      </c>
      <c r="W293" s="0">
        <f>IF(IF(B293="none",1,IF(B293="Trialer",1,0))+IF(C293="Customer",1,IF(C293="Lost",1,0))=2,1,0)</f>
      </c>
      <c r="X293" s="0" t="s">
        <v>145</v>
      </c>
      <c r="Y293" s="0" t="s">
        <v>137</v>
      </c>
      <c r="AV293" s="68"/>
      <c r="AW293" s="68"/>
      <c r="AY293" s="27"/>
      <c r="BD293" s="68">
        <v>46054.1666666667</v>
      </c>
      <c r="BE293" s="68">
        <v>46082.1666666667</v>
      </c>
      <c r="BF293" s="0" t="b">
        <v>0</v>
      </c>
      <c r="BG293" s="0" t="b">
        <v>0</v>
      </c>
      <c r="BH293" s="0">
        <v>40</v>
      </c>
      <c r="BI293" s="0">
        <v>40</v>
      </c>
      <c r="BJ293" s="0" t="s">
        <v>230</v>
      </c>
    </row>
    <row r="294">
      <c r="A294" s="0" t="s">
        <v>462</v>
      </c>
      <c r="B294" s="0" t="s">
        <v>134</v>
      </c>
      <c r="C294" s="0" t="s">
        <v>134</v>
      </c>
      <c r="D294" s="0" t="s">
        <v>135</v>
      </c>
      <c r="E294" s="0" t="s">
        <v>3</v>
      </c>
      <c r="F294" s="0" t="s">
        <v>12</v>
      </c>
      <c r="G294" s="0" t="s">
        <v>8</v>
      </c>
      <c r="H294" s="0">
        <v>3943</v>
      </c>
      <c r="I294" s="0">
        <v>285</v>
      </c>
      <c r="J294" s="0">
        <v>0</v>
      </c>
      <c r="K294" s="0">
        <v>1</v>
      </c>
      <c r="L294" s="0">
        <v>4</v>
      </c>
      <c r="M294" s="0">
        <v>5</v>
      </c>
      <c r="N294" s="0">
        <v>0</v>
      </c>
      <c r="O294" s="0">
        <v>0</v>
      </c>
      <c r="P294" s="0">
        <v>0</v>
      </c>
      <c r="R294" s="0" t="b">
        <v>0</v>
      </c>
      <c r="S294" s="0" t="b">
        <v>1</v>
      </c>
      <c r="T294" s="68">
        <v>42110.6975115741</v>
      </c>
      <c r="U294" s="68">
        <v>42140.5416666667</v>
      </c>
      <c r="V294" s="68">
        <v>0</v>
      </c>
      <c r="W294" s="0">
        <f>IF(IF(B294="none",1,IF(B294="Trialer",1,0))+IF(C294="Customer",1,IF(C294="Lost",1,0))=2,1,0)</f>
      </c>
      <c r="X294" s="0" t="s">
        <v>145</v>
      </c>
      <c r="Y294" s="0" t="s">
        <v>213</v>
      </c>
      <c r="AV294" s="68"/>
      <c r="AW294" s="68"/>
      <c r="AY294" s="27"/>
      <c r="BD294" s="68">
        <v>46054.1666666667</v>
      </c>
      <c r="BE294" s="68">
        <v>46082.1666666667</v>
      </c>
      <c r="BF294" s="0" t="b">
        <v>0</v>
      </c>
      <c r="BG294" s="0" t="b">
        <v>0</v>
      </c>
      <c r="BH294" s="0">
        <v>228</v>
      </c>
      <c r="BI294" s="0">
        <v>228</v>
      </c>
      <c r="BJ294" s="0" t="s">
        <v>135</v>
      </c>
    </row>
    <row r="295">
      <c r="A295" s="0" t="s">
        <v>463</v>
      </c>
      <c r="B295" s="0" t="s">
        <v>134</v>
      </c>
      <c r="C295" s="0" t="s">
        <v>134</v>
      </c>
      <c r="D295" s="0" t="s">
        <v>135</v>
      </c>
      <c r="E295" s="0" t="s">
        <v>2</v>
      </c>
      <c r="F295" s="0" t="s">
        <v>12</v>
      </c>
      <c r="G295" s="0" t="s">
        <v>7</v>
      </c>
      <c r="H295" s="0">
        <v>3932</v>
      </c>
      <c r="I295" s="0">
        <v>375</v>
      </c>
      <c r="J295" s="0">
        <v>0</v>
      </c>
      <c r="K295" s="0">
        <v>1</v>
      </c>
      <c r="L295" s="0">
        <v>1</v>
      </c>
      <c r="M295" s="0">
        <v>15</v>
      </c>
      <c r="N295" s="0">
        <v>0</v>
      </c>
      <c r="O295" s="0">
        <v>0</v>
      </c>
      <c r="P295" s="0">
        <v>0</v>
      </c>
      <c r="R295" s="0" t="b">
        <v>0</v>
      </c>
      <c r="S295" s="0" t="b">
        <v>1</v>
      </c>
      <c r="T295" s="68">
        <v>42121.5</v>
      </c>
      <c r="U295" s="68">
        <v>42185.5416666667</v>
      </c>
      <c r="V295" s="68">
        <v>0</v>
      </c>
      <c r="W295" s="0">
        <f>IF(IF(B295="none",1,IF(B295="Trialer",1,0))+IF(C295="Customer",1,IF(C295="Lost",1,0))=2,1,0)</f>
      </c>
      <c r="X295" s="0" t="s">
        <v>148</v>
      </c>
      <c r="Y295" s="0" t="s">
        <v>235</v>
      </c>
      <c r="AV295" s="68"/>
      <c r="AW295" s="68"/>
      <c r="AY295" s="27"/>
      <c r="BD295" s="68">
        <v>46054.1666666667</v>
      </c>
      <c r="BE295" s="68">
        <v>46082.1666666667</v>
      </c>
      <c r="BF295" s="0" t="b">
        <v>0</v>
      </c>
      <c r="BG295" s="0" t="b">
        <v>0</v>
      </c>
      <c r="BH295" s="0">
        <v>375</v>
      </c>
      <c r="BI295" s="0">
        <v>375</v>
      </c>
      <c r="BJ295" s="0" t="s">
        <v>135</v>
      </c>
    </row>
    <row r="296">
      <c r="A296" s="0" t="s">
        <v>464</v>
      </c>
      <c r="B296" s="0" t="s">
        <v>134</v>
      </c>
      <c r="C296" s="0" t="s">
        <v>134</v>
      </c>
      <c r="D296" s="0" t="s">
        <v>135</v>
      </c>
      <c r="E296" s="0" t="s">
        <v>2</v>
      </c>
      <c r="F296" s="0" t="s">
        <v>12</v>
      </c>
      <c r="G296" s="0" t="s">
        <v>8</v>
      </c>
      <c r="H296" s="0">
        <v>3930</v>
      </c>
      <c r="I296" s="0">
        <v>310</v>
      </c>
      <c r="J296" s="0">
        <v>0</v>
      </c>
      <c r="K296" s="0">
        <v>1</v>
      </c>
      <c r="L296" s="0">
        <v>3</v>
      </c>
      <c r="M296" s="0">
        <v>7</v>
      </c>
      <c r="N296" s="0">
        <v>0</v>
      </c>
      <c r="O296" s="0">
        <v>0</v>
      </c>
      <c r="P296" s="0">
        <v>0</v>
      </c>
      <c r="R296" s="0" t="b">
        <v>0</v>
      </c>
      <c r="S296" s="0" t="b">
        <v>1</v>
      </c>
      <c r="T296" s="68">
        <v>42123.5</v>
      </c>
      <c r="U296" s="68">
        <v>42156.5416666667</v>
      </c>
      <c r="V296" s="68">
        <v>0</v>
      </c>
      <c r="W296" s="0">
        <f>IF(IF(B296="none",1,IF(B296="Trialer",1,0))+IF(C296="Customer",1,IF(C296="Lost",1,0))=2,1,0)</f>
      </c>
      <c r="X296" s="0" t="s">
        <v>148</v>
      </c>
      <c r="Y296" s="0" t="s">
        <v>235</v>
      </c>
      <c r="AV296" s="68"/>
      <c r="AW296" s="68"/>
      <c r="AY296" s="27"/>
      <c r="BD296" s="68">
        <v>46054.1666666667</v>
      </c>
      <c r="BE296" s="68">
        <v>46082.1666666667</v>
      </c>
      <c r="BF296" s="0" t="b">
        <v>0</v>
      </c>
      <c r="BG296" s="0" t="b">
        <v>0</v>
      </c>
      <c r="BH296" s="0">
        <v>310</v>
      </c>
      <c r="BI296" s="0">
        <v>310</v>
      </c>
      <c r="BJ296" s="0" t="s">
        <v>135</v>
      </c>
    </row>
    <row r="297">
      <c r="A297" s="0" t="s">
        <v>465</v>
      </c>
      <c r="B297" s="0" t="s">
        <v>134</v>
      </c>
      <c r="C297" s="0" t="s">
        <v>134</v>
      </c>
      <c r="D297" s="0" t="s">
        <v>135</v>
      </c>
      <c r="E297" s="0" t="s">
        <v>2</v>
      </c>
      <c r="F297" s="0" t="s">
        <v>12</v>
      </c>
      <c r="G297" s="0" t="s">
        <v>7</v>
      </c>
      <c r="H297" s="0">
        <v>3927</v>
      </c>
      <c r="I297" s="0">
        <v>40</v>
      </c>
      <c r="J297" s="0">
        <v>0</v>
      </c>
      <c r="K297" s="0">
        <v>1</v>
      </c>
      <c r="L297" s="0">
        <v>1</v>
      </c>
      <c r="M297" s="0">
        <v>1</v>
      </c>
      <c r="N297" s="0">
        <v>0</v>
      </c>
      <c r="O297" s="0">
        <v>0</v>
      </c>
      <c r="P297" s="0">
        <v>0</v>
      </c>
      <c r="R297" s="0" t="b">
        <v>0</v>
      </c>
      <c r="S297" s="0" t="b">
        <v>1</v>
      </c>
      <c r="T297" s="68">
        <v>42126.5</v>
      </c>
      <c r="U297" s="68">
        <v>42172.5416666667</v>
      </c>
      <c r="V297" s="68">
        <v>0</v>
      </c>
      <c r="W297" s="0">
        <f>IF(IF(B297="none",1,IF(B297="Trialer",1,0))+IF(C297="Customer",1,IF(C297="Lost",1,0))=2,1,0)</f>
      </c>
      <c r="X297" s="0" t="s">
        <v>166</v>
      </c>
      <c r="Y297" s="0" t="s">
        <v>137</v>
      </c>
      <c r="AV297" s="68"/>
      <c r="AW297" s="68"/>
      <c r="AY297" s="27"/>
      <c r="BD297" s="68">
        <v>46054.1666666667</v>
      </c>
      <c r="BE297" s="68">
        <v>46082.1666666667</v>
      </c>
      <c r="BF297" s="0" t="b">
        <v>0</v>
      </c>
      <c r="BG297" s="0" t="b">
        <v>0</v>
      </c>
      <c r="BH297" s="0">
        <v>40</v>
      </c>
      <c r="BI297" s="0">
        <v>40</v>
      </c>
      <c r="BJ297" s="0" t="s">
        <v>135</v>
      </c>
    </row>
    <row r="298">
      <c r="A298" s="0" t="s">
        <v>466</v>
      </c>
      <c r="B298" s="0" t="s">
        <v>134</v>
      </c>
      <c r="C298" s="0" t="s">
        <v>134</v>
      </c>
      <c r="D298" s="0" t="s">
        <v>135</v>
      </c>
      <c r="E298" s="0" t="s">
        <v>2</v>
      </c>
      <c r="F298" s="0" t="s">
        <v>10</v>
      </c>
      <c r="G298" s="0" t="s">
        <v>7</v>
      </c>
      <c r="H298" s="0">
        <v>3923</v>
      </c>
      <c r="I298" s="0">
        <v>40</v>
      </c>
      <c r="J298" s="0">
        <v>0</v>
      </c>
      <c r="K298" s="0">
        <v>1</v>
      </c>
      <c r="L298" s="0">
        <v>1</v>
      </c>
      <c r="M298" s="0">
        <v>1</v>
      </c>
      <c r="N298" s="0">
        <v>0</v>
      </c>
      <c r="O298" s="0">
        <v>0</v>
      </c>
      <c r="P298" s="0">
        <v>0</v>
      </c>
      <c r="Q298" s="0" t="s">
        <v>467</v>
      </c>
      <c r="R298" s="0" t="b">
        <v>0</v>
      </c>
      <c r="S298" s="0" t="b">
        <v>1</v>
      </c>
      <c r="T298" s="68">
        <v>42130.5</v>
      </c>
      <c r="U298" s="68">
        <v>42164.5416666667</v>
      </c>
      <c r="V298" s="68">
        <v>0</v>
      </c>
      <c r="W298" s="0">
        <f>IF(IF(B298="none",1,IF(B298="Trialer",1,0))+IF(C298="Customer",1,IF(C298="Lost",1,0))=2,1,0)</f>
      </c>
      <c r="X298" s="0" t="s">
        <v>148</v>
      </c>
      <c r="Y298" s="0" t="s">
        <v>137</v>
      </c>
      <c r="AV298" s="68"/>
      <c r="AW298" s="68"/>
      <c r="AY298" s="27"/>
      <c r="BD298" s="68">
        <v>46054.1666666667</v>
      </c>
      <c r="BE298" s="68">
        <v>46082.1666666667</v>
      </c>
      <c r="BF298" s="0" t="b">
        <v>0</v>
      </c>
      <c r="BG298" s="0" t="b">
        <v>0</v>
      </c>
      <c r="BH298" s="0">
        <v>40</v>
      </c>
      <c r="BI298" s="0">
        <v>40</v>
      </c>
      <c r="BJ298" s="0" t="s">
        <v>135</v>
      </c>
    </row>
    <row r="299">
      <c r="A299" s="0" t="s">
        <v>468</v>
      </c>
      <c r="B299" s="0" t="s">
        <v>134</v>
      </c>
      <c r="C299" s="0" t="s">
        <v>134</v>
      </c>
      <c r="D299" s="0" t="s">
        <v>135</v>
      </c>
      <c r="E299" s="0" t="s">
        <v>3</v>
      </c>
      <c r="F299" s="0" t="s">
        <v>10</v>
      </c>
      <c r="G299" s="0" t="s">
        <v>8</v>
      </c>
      <c r="H299" s="0">
        <v>3919</v>
      </c>
      <c r="I299" s="0">
        <v>95</v>
      </c>
      <c r="J299" s="0">
        <v>0</v>
      </c>
      <c r="K299" s="0">
        <v>1</v>
      </c>
      <c r="L299" s="0">
        <v>2</v>
      </c>
      <c r="M299" s="0">
        <v>3</v>
      </c>
      <c r="N299" s="0">
        <v>0</v>
      </c>
      <c r="O299" s="0">
        <v>0</v>
      </c>
      <c r="P299" s="0">
        <v>0</v>
      </c>
      <c r="Q299" s="0" t="s">
        <v>469</v>
      </c>
      <c r="R299" s="0" t="b">
        <v>0</v>
      </c>
      <c r="S299" s="0" t="b">
        <v>1</v>
      </c>
      <c r="T299" s="68">
        <v>42134.5</v>
      </c>
      <c r="U299" s="68">
        <v>42165.5416666667</v>
      </c>
      <c r="V299" s="68">
        <v>0</v>
      </c>
      <c r="W299" s="0">
        <f>IF(IF(B299="none",1,IF(B299="Trialer",1,0))+IF(C299="Customer",1,IF(C299="Lost",1,0))=2,1,0)</f>
      </c>
      <c r="X299" s="0" t="s">
        <v>148</v>
      </c>
      <c r="Y299" s="0" t="s">
        <v>213</v>
      </c>
      <c r="AV299" s="68"/>
      <c r="AW299" s="68"/>
      <c r="AY299" s="27"/>
      <c r="BD299" s="68">
        <v>46054.1666666667</v>
      </c>
      <c r="BE299" s="68">
        <v>46082.1666666667</v>
      </c>
      <c r="BF299" s="0" t="b">
        <v>0</v>
      </c>
      <c r="BG299" s="0" t="b">
        <v>0</v>
      </c>
      <c r="BH299" s="0">
        <v>95</v>
      </c>
      <c r="BI299" s="0">
        <v>95</v>
      </c>
      <c r="BJ299" s="0" t="s">
        <v>135</v>
      </c>
    </row>
    <row r="300">
      <c r="A300" s="0" t="s">
        <v>470</v>
      </c>
      <c r="B300" s="0" t="s">
        <v>134</v>
      </c>
      <c r="C300" s="0" t="s">
        <v>134</v>
      </c>
      <c r="D300" s="0" t="s">
        <v>135</v>
      </c>
      <c r="E300" s="0" t="s">
        <v>3</v>
      </c>
      <c r="F300" s="0" t="s">
        <v>12</v>
      </c>
      <c r="G300" s="0" t="s">
        <v>8</v>
      </c>
      <c r="H300" s="0">
        <v>3914</v>
      </c>
      <c r="I300" s="0">
        <v>45</v>
      </c>
      <c r="J300" s="0">
        <v>0</v>
      </c>
      <c r="K300" s="0">
        <v>1</v>
      </c>
      <c r="L300" s="0">
        <v>3</v>
      </c>
      <c r="M300" s="0">
        <v>1</v>
      </c>
      <c r="N300" s="0">
        <v>0</v>
      </c>
      <c r="O300" s="0">
        <v>0</v>
      </c>
      <c r="P300" s="0">
        <v>0</v>
      </c>
      <c r="R300" s="0" t="b">
        <v>0</v>
      </c>
      <c r="S300" s="0" t="b">
        <v>1</v>
      </c>
      <c r="T300" s="68">
        <v>42139.5</v>
      </c>
      <c r="U300" s="68">
        <v>42170.5416666667</v>
      </c>
      <c r="V300" s="68">
        <v>0</v>
      </c>
      <c r="W300" s="0">
        <f>IF(IF(B300="none",1,IF(B300="Trialer",1,0))+IF(C300="Customer",1,IF(C300="Lost",1,0))=2,1,0)</f>
      </c>
      <c r="X300" s="0" t="s">
        <v>142</v>
      </c>
      <c r="Y300" s="0" t="s">
        <v>213</v>
      </c>
      <c r="AV300" s="68"/>
      <c r="AW300" s="68"/>
      <c r="AY300" s="27"/>
      <c r="BD300" s="68">
        <v>46054.1666666667</v>
      </c>
      <c r="BE300" s="68">
        <v>46082.1666666667</v>
      </c>
      <c r="BF300" s="0" t="b">
        <v>0</v>
      </c>
      <c r="BG300" s="0" t="b">
        <v>0</v>
      </c>
      <c r="BH300" s="0">
        <v>45</v>
      </c>
      <c r="BI300" s="0">
        <v>45</v>
      </c>
      <c r="BJ300" s="0" t="s">
        <v>135</v>
      </c>
    </row>
    <row r="301">
      <c r="A301" s="0" t="s">
        <v>471</v>
      </c>
      <c r="B301" s="0" t="s">
        <v>134</v>
      </c>
      <c r="C301" s="0" t="s">
        <v>134</v>
      </c>
      <c r="D301" s="0" t="s">
        <v>230</v>
      </c>
      <c r="E301" s="0" t="s">
        <v>2</v>
      </c>
      <c r="F301" s="0" t="s">
        <v>12</v>
      </c>
      <c r="G301" s="0" t="s">
        <v>7</v>
      </c>
      <c r="H301" s="0">
        <v>3910</v>
      </c>
      <c r="I301" s="0">
        <v>72</v>
      </c>
      <c r="J301" s="0">
        <v>0</v>
      </c>
      <c r="K301" s="0">
        <v>1</v>
      </c>
      <c r="L301" s="0">
        <v>1</v>
      </c>
      <c r="M301" s="0">
        <v>2</v>
      </c>
      <c r="N301" s="0">
        <v>0</v>
      </c>
      <c r="O301" s="0">
        <v>0</v>
      </c>
      <c r="P301" s="0">
        <v>-72</v>
      </c>
      <c r="R301" s="0" t="b">
        <v>0</v>
      </c>
      <c r="S301" s="0" t="b">
        <v>1</v>
      </c>
      <c r="T301" s="68">
        <v>42143.7329282407</v>
      </c>
      <c r="U301" s="68">
        <v>42143.5416666667</v>
      </c>
      <c r="V301" s="68">
        <v>0</v>
      </c>
      <c r="W301" s="0">
        <f>IF(IF(B301="none",1,IF(B301="Trialer",1,0))+IF(C301="Customer",1,IF(C301="Lost",1,0))=2,1,0)</f>
      </c>
      <c r="X301" s="0" t="s">
        <v>145</v>
      </c>
      <c r="Y301" s="0" t="s">
        <v>137</v>
      </c>
      <c r="AV301" s="68"/>
      <c r="AW301" s="68"/>
      <c r="AY301" s="27"/>
      <c r="BD301" s="68">
        <v>46054.1666666667</v>
      </c>
      <c r="BE301" s="68">
        <v>46082.1666666667</v>
      </c>
      <c r="BF301" s="0" t="b">
        <v>0</v>
      </c>
      <c r="BG301" s="0" t="b">
        <v>0</v>
      </c>
      <c r="BH301" s="0">
        <v>80</v>
      </c>
      <c r="BI301" s="0">
        <v>80</v>
      </c>
      <c r="BJ301" s="0" t="s">
        <v>230</v>
      </c>
    </row>
    <row r="302">
      <c r="A302" s="0" t="s">
        <v>472</v>
      </c>
      <c r="B302" s="0" t="s">
        <v>134</v>
      </c>
      <c r="C302" s="0" t="s">
        <v>134</v>
      </c>
      <c r="D302" s="0" t="s">
        <v>230</v>
      </c>
      <c r="E302" s="0" t="s">
        <v>3</v>
      </c>
      <c r="F302" s="0" t="s">
        <v>12</v>
      </c>
      <c r="G302" s="0" t="s">
        <v>7</v>
      </c>
      <c r="H302" s="0">
        <v>3907</v>
      </c>
      <c r="I302" s="0">
        <v>432</v>
      </c>
      <c r="J302" s="0">
        <v>0</v>
      </c>
      <c r="K302" s="0">
        <v>1</v>
      </c>
      <c r="L302" s="0">
        <v>1</v>
      </c>
      <c r="M302" s="0">
        <v>12</v>
      </c>
      <c r="N302" s="0">
        <v>0</v>
      </c>
      <c r="O302" s="0">
        <v>0</v>
      </c>
      <c r="P302" s="0">
        <v>-432</v>
      </c>
      <c r="R302" s="0" t="b">
        <v>0</v>
      </c>
      <c r="S302" s="0" t="b">
        <v>1</v>
      </c>
      <c r="T302" s="68">
        <v>42146.5</v>
      </c>
      <c r="U302" s="68">
        <v>42185.5416666667</v>
      </c>
      <c r="V302" s="68">
        <v>0</v>
      </c>
      <c r="W302" s="0">
        <f>IF(IF(B302="none",1,IF(B302="Trialer",1,0))+IF(C302="Customer",1,IF(C302="Lost",1,0))=2,1,0)</f>
      </c>
      <c r="X302" s="0" t="s">
        <v>148</v>
      </c>
      <c r="Y302" s="0" t="s">
        <v>213</v>
      </c>
      <c r="AV302" s="68"/>
      <c r="AW302" s="68"/>
      <c r="AY302" s="27"/>
      <c r="BD302" s="68">
        <v>46054.1666666667</v>
      </c>
      <c r="BE302" s="68">
        <v>46082.1666666667</v>
      </c>
      <c r="BF302" s="0" t="b">
        <v>0</v>
      </c>
      <c r="BG302" s="0" t="b">
        <v>0</v>
      </c>
      <c r="BH302" s="0">
        <v>480</v>
      </c>
      <c r="BI302" s="0">
        <v>480</v>
      </c>
      <c r="BJ302" s="0" t="s">
        <v>230</v>
      </c>
    </row>
    <row r="303">
      <c r="A303" s="0" t="s">
        <v>473</v>
      </c>
      <c r="B303" s="0" t="s">
        <v>134</v>
      </c>
      <c r="C303" s="0" t="s">
        <v>134</v>
      </c>
      <c r="D303" s="0" t="s">
        <v>135</v>
      </c>
      <c r="E303" s="0" t="s">
        <v>2</v>
      </c>
      <c r="F303" s="0" t="s">
        <v>10</v>
      </c>
      <c r="G303" s="0" t="s">
        <v>7</v>
      </c>
      <c r="H303" s="0">
        <v>3901</v>
      </c>
      <c r="I303" s="0">
        <v>120</v>
      </c>
      <c r="J303" s="0">
        <v>0</v>
      </c>
      <c r="K303" s="0">
        <v>1</v>
      </c>
      <c r="L303" s="0">
        <v>1</v>
      </c>
      <c r="M303" s="0">
        <v>3</v>
      </c>
      <c r="N303" s="0">
        <v>0</v>
      </c>
      <c r="O303" s="0">
        <v>0</v>
      </c>
      <c r="P303" s="0">
        <v>0</v>
      </c>
      <c r="Q303" s="0" t="s">
        <v>474</v>
      </c>
      <c r="R303" s="0" t="b">
        <v>0</v>
      </c>
      <c r="S303" s="0" t="b">
        <v>1</v>
      </c>
      <c r="T303" s="68">
        <v>42152.6659722222</v>
      </c>
      <c r="U303" s="68">
        <v>42184.5416666667</v>
      </c>
      <c r="V303" s="68">
        <v>0</v>
      </c>
      <c r="W303" s="0">
        <f>IF(IF(B303="none",1,IF(B303="Trialer",1,0))+IF(C303="Customer",1,IF(C303="Lost",1,0))=2,1,0)</f>
      </c>
      <c r="X303" s="0" t="s">
        <v>148</v>
      </c>
      <c r="Y303" s="0" t="s">
        <v>137</v>
      </c>
      <c r="AV303" s="68"/>
      <c r="AW303" s="68"/>
      <c r="AY303" s="27"/>
      <c r="BD303" s="68">
        <v>46054.1666666667</v>
      </c>
      <c r="BE303" s="68">
        <v>46082.1666666667</v>
      </c>
      <c r="BF303" s="0" t="b">
        <v>0</v>
      </c>
      <c r="BG303" s="0" t="b">
        <v>0</v>
      </c>
      <c r="BH303" s="0">
        <v>120</v>
      </c>
      <c r="BI303" s="0">
        <v>120</v>
      </c>
      <c r="BJ303" s="0" t="s">
        <v>135</v>
      </c>
    </row>
    <row r="304">
      <c r="A304" s="0" t="s">
        <v>475</v>
      </c>
      <c r="B304" s="0" t="s">
        <v>134</v>
      </c>
      <c r="C304" s="0" t="s">
        <v>134</v>
      </c>
      <c r="D304" s="0" t="s">
        <v>135</v>
      </c>
      <c r="E304" s="0" t="s">
        <v>2</v>
      </c>
      <c r="F304" s="0" t="s">
        <v>12</v>
      </c>
      <c r="G304" s="0" t="s">
        <v>8</v>
      </c>
      <c r="H304" s="0">
        <v>3894</v>
      </c>
      <c r="I304" s="0">
        <v>75</v>
      </c>
      <c r="J304" s="0">
        <v>0</v>
      </c>
      <c r="K304" s="0">
        <v>1</v>
      </c>
      <c r="L304" s="0">
        <v>1</v>
      </c>
      <c r="M304" s="0">
        <v>3</v>
      </c>
      <c r="N304" s="0">
        <v>0</v>
      </c>
      <c r="O304" s="0">
        <v>0</v>
      </c>
      <c r="P304" s="0">
        <v>0</v>
      </c>
      <c r="R304" s="0" t="b">
        <v>0</v>
      </c>
      <c r="S304" s="0" t="b">
        <v>1</v>
      </c>
      <c r="T304" s="68">
        <v>42159.6775347222</v>
      </c>
      <c r="U304" s="68">
        <v>42189.5416666667</v>
      </c>
      <c r="V304" s="68">
        <v>0</v>
      </c>
      <c r="W304" s="0">
        <f>IF(IF(B304="none",1,IF(B304="Trialer",1,0))+IF(C304="Customer",1,IF(C304="Lost",1,0))=2,1,0)</f>
      </c>
      <c r="X304" s="0" t="s">
        <v>142</v>
      </c>
      <c r="Y304" s="0" t="s">
        <v>235</v>
      </c>
      <c r="AV304" s="68"/>
      <c r="AW304" s="68"/>
      <c r="AY304" s="27"/>
      <c r="BD304" s="68">
        <v>46054.1666666667</v>
      </c>
      <c r="BE304" s="68">
        <v>46082.1666666667</v>
      </c>
      <c r="BF304" s="0" t="b">
        <v>0</v>
      </c>
      <c r="BG304" s="0" t="b">
        <v>0</v>
      </c>
      <c r="BH304" s="0">
        <v>75</v>
      </c>
      <c r="BI304" s="0">
        <v>75</v>
      </c>
      <c r="BJ304" s="0" t="s">
        <v>135</v>
      </c>
    </row>
    <row r="305">
      <c r="A305" s="0" t="s">
        <v>476</v>
      </c>
      <c r="B305" s="0" t="s">
        <v>134</v>
      </c>
      <c r="C305" s="0" t="s">
        <v>134</v>
      </c>
      <c r="D305" s="0" t="s">
        <v>230</v>
      </c>
      <c r="E305" s="0" t="s">
        <v>3</v>
      </c>
      <c r="F305" s="0" t="s">
        <v>12</v>
      </c>
      <c r="G305" s="0" t="s">
        <v>7</v>
      </c>
      <c r="H305" s="0">
        <v>3890</v>
      </c>
      <c r="I305" s="0">
        <v>72</v>
      </c>
      <c r="J305" s="0">
        <v>0</v>
      </c>
      <c r="K305" s="0">
        <v>1</v>
      </c>
      <c r="L305" s="0">
        <v>1</v>
      </c>
      <c r="M305" s="0">
        <v>2</v>
      </c>
      <c r="N305" s="0">
        <v>0</v>
      </c>
      <c r="O305" s="0">
        <v>0</v>
      </c>
      <c r="P305" s="0">
        <v>-72</v>
      </c>
      <c r="R305" s="0" t="b">
        <v>0</v>
      </c>
      <c r="S305" s="0" t="b">
        <v>1</v>
      </c>
      <c r="T305" s="68">
        <v>42163.5</v>
      </c>
      <c r="U305" s="68">
        <v>42193.5416666667</v>
      </c>
      <c r="V305" s="68">
        <v>0</v>
      </c>
      <c r="W305" s="0">
        <f>IF(IF(B305="none",1,IF(B305="Trialer",1,0))+IF(C305="Customer",1,IF(C305="Lost",1,0))=2,1,0)</f>
      </c>
      <c r="X305" s="0" t="s">
        <v>166</v>
      </c>
      <c r="Y305" s="0" t="s">
        <v>213</v>
      </c>
      <c r="AV305" s="68"/>
      <c r="AW305" s="68"/>
      <c r="AY305" s="27"/>
      <c r="BD305" s="68">
        <v>46054.1666666667</v>
      </c>
      <c r="BE305" s="68">
        <v>46082.1666666667</v>
      </c>
      <c r="BF305" s="0" t="b">
        <v>0</v>
      </c>
      <c r="BG305" s="0" t="b">
        <v>0</v>
      </c>
      <c r="BH305" s="0">
        <v>80</v>
      </c>
      <c r="BI305" s="0">
        <v>80</v>
      </c>
      <c r="BJ305" s="0" t="s">
        <v>230</v>
      </c>
    </row>
    <row r="306">
      <c r="A306" s="0" t="s">
        <v>477</v>
      </c>
      <c r="B306" s="0" t="s">
        <v>134</v>
      </c>
      <c r="C306" s="0" t="s">
        <v>134</v>
      </c>
      <c r="D306" s="0" t="s">
        <v>230</v>
      </c>
      <c r="E306" s="0" t="s">
        <v>2</v>
      </c>
      <c r="F306" s="0" t="s">
        <v>12</v>
      </c>
      <c r="G306" s="0" t="s">
        <v>7</v>
      </c>
      <c r="H306" s="0">
        <v>3889</v>
      </c>
      <c r="I306" s="0">
        <v>36</v>
      </c>
      <c r="J306" s="0">
        <v>0</v>
      </c>
      <c r="K306" s="0">
        <v>1</v>
      </c>
      <c r="L306" s="0">
        <v>1</v>
      </c>
      <c r="M306" s="0">
        <v>1</v>
      </c>
      <c r="N306" s="0">
        <v>0</v>
      </c>
      <c r="O306" s="0">
        <v>0</v>
      </c>
      <c r="P306" s="0">
        <v>-36</v>
      </c>
      <c r="R306" s="0" t="b">
        <v>0</v>
      </c>
      <c r="S306" s="0" t="b">
        <v>1</v>
      </c>
      <c r="T306" s="68">
        <v>42164.7109027778</v>
      </c>
      <c r="U306" s="68">
        <v>42164.5416666667</v>
      </c>
      <c r="V306" s="68">
        <v>0</v>
      </c>
      <c r="W306" s="0">
        <f>IF(IF(B306="none",1,IF(B306="Trialer",1,0))+IF(C306="Customer",1,IF(C306="Lost",1,0))=2,1,0)</f>
      </c>
      <c r="X306" s="0" t="s">
        <v>145</v>
      </c>
      <c r="Y306" s="0" t="s">
        <v>137</v>
      </c>
      <c r="AV306" s="68"/>
      <c r="AW306" s="68"/>
      <c r="AY306" s="27"/>
      <c r="BD306" s="68">
        <v>46054.1666666667</v>
      </c>
      <c r="BE306" s="68">
        <v>46082.1666666667</v>
      </c>
      <c r="BF306" s="0" t="b">
        <v>0</v>
      </c>
      <c r="BG306" s="0" t="b">
        <v>0</v>
      </c>
      <c r="BH306" s="0">
        <v>40</v>
      </c>
      <c r="BI306" s="0">
        <v>40</v>
      </c>
      <c r="BJ306" s="0" t="s">
        <v>230</v>
      </c>
    </row>
    <row r="307">
      <c r="A307" s="0" t="s">
        <v>478</v>
      </c>
      <c r="B307" s="0" t="s">
        <v>134</v>
      </c>
      <c r="C307" s="0" t="s">
        <v>134</v>
      </c>
      <c r="D307" s="0" t="s">
        <v>230</v>
      </c>
      <c r="E307" s="0" t="s">
        <v>3</v>
      </c>
      <c r="F307" s="0" t="s">
        <v>12</v>
      </c>
      <c r="G307" s="0" t="s">
        <v>7</v>
      </c>
      <c r="H307" s="0">
        <v>3888</v>
      </c>
      <c r="I307" s="0">
        <v>324</v>
      </c>
      <c r="J307" s="0">
        <v>0</v>
      </c>
      <c r="K307" s="0">
        <v>1</v>
      </c>
      <c r="L307" s="0">
        <v>1</v>
      </c>
      <c r="M307" s="0">
        <v>9</v>
      </c>
      <c r="N307" s="0">
        <v>0</v>
      </c>
      <c r="O307" s="0">
        <v>0</v>
      </c>
      <c r="P307" s="0">
        <v>-324</v>
      </c>
      <c r="R307" s="0" t="b">
        <v>0</v>
      </c>
      <c r="S307" s="0" t="b">
        <v>1</v>
      </c>
      <c r="T307" s="68">
        <v>42165.4048611111</v>
      </c>
      <c r="U307" s="68">
        <v>42199.5416666667</v>
      </c>
      <c r="V307" s="68">
        <v>0</v>
      </c>
      <c r="W307" s="0">
        <f>IF(IF(B307="none",1,IF(B307="Trialer",1,0))+IF(C307="Customer",1,IF(C307="Lost",1,0))=2,1,0)</f>
      </c>
      <c r="X307" s="0" t="s">
        <v>148</v>
      </c>
      <c r="Y307" s="0" t="s">
        <v>213</v>
      </c>
      <c r="AV307" s="68"/>
      <c r="AW307" s="68"/>
      <c r="AY307" s="27"/>
      <c r="BD307" s="68">
        <v>46054.1666666667</v>
      </c>
      <c r="BE307" s="68">
        <v>46082.1666666667</v>
      </c>
      <c r="BF307" s="0" t="b">
        <v>0</v>
      </c>
      <c r="BG307" s="0" t="b">
        <v>0</v>
      </c>
      <c r="BH307" s="0">
        <v>320</v>
      </c>
      <c r="BI307" s="0">
        <v>320</v>
      </c>
      <c r="BJ307" s="0" t="s">
        <v>230</v>
      </c>
    </row>
    <row r="308">
      <c r="A308" s="0" t="s">
        <v>479</v>
      </c>
      <c r="B308" s="0" t="s">
        <v>134</v>
      </c>
      <c r="C308" s="0" t="s">
        <v>134</v>
      </c>
      <c r="D308" s="0" t="s">
        <v>135</v>
      </c>
      <c r="E308" s="0" t="s">
        <v>2</v>
      </c>
      <c r="F308" s="0" t="s">
        <v>12</v>
      </c>
      <c r="G308" s="0" t="s">
        <v>8</v>
      </c>
      <c r="H308" s="0">
        <v>3887</v>
      </c>
      <c r="I308" s="0">
        <v>0</v>
      </c>
      <c r="J308" s="0">
        <v>0</v>
      </c>
      <c r="K308" s="0">
        <v>1</v>
      </c>
      <c r="L308" s="0">
        <v>1</v>
      </c>
      <c r="M308" s="0">
        <v>1</v>
      </c>
      <c r="N308" s="0">
        <v>0</v>
      </c>
      <c r="O308" s="0">
        <v>0</v>
      </c>
      <c r="P308" s="0">
        <v>0</v>
      </c>
      <c r="R308" s="0" t="b">
        <v>0</v>
      </c>
      <c r="S308" s="0" t="b">
        <v>1</v>
      </c>
      <c r="T308" s="68">
        <v>42166.475</v>
      </c>
      <c r="U308" s="68">
        <v>42258.5416666667</v>
      </c>
      <c r="V308" s="68">
        <v>0</v>
      </c>
      <c r="W308" s="0">
        <f>IF(IF(B308="none",1,IF(B308="Trialer",1,0))+IF(C308="Customer",1,IF(C308="Lost",1,0))=2,1,0)</f>
      </c>
      <c r="X308" s="0" t="s">
        <v>148</v>
      </c>
      <c r="Y308" s="0" t="s">
        <v>480</v>
      </c>
      <c r="AV308" s="68"/>
      <c r="AW308" s="68"/>
      <c r="AY308" s="27"/>
      <c r="BD308" s="68">
        <v>46054.1666666667</v>
      </c>
      <c r="BE308" s="68">
        <v>46082.1666666667</v>
      </c>
      <c r="BF308" s="0" t="b">
        <v>0</v>
      </c>
      <c r="BG308" s="0" t="b">
        <v>0</v>
      </c>
      <c r="BH308" s="0">
        <v>0</v>
      </c>
      <c r="BI308" s="0">
        <v>0</v>
      </c>
      <c r="BJ308" s="0" t="s">
        <v>135</v>
      </c>
    </row>
    <row r="309">
      <c r="A309" s="0" t="s">
        <v>481</v>
      </c>
      <c r="B309" s="0" t="s">
        <v>134</v>
      </c>
      <c r="C309" s="0" t="s">
        <v>134</v>
      </c>
      <c r="D309" s="0" t="s">
        <v>230</v>
      </c>
      <c r="E309" s="0" t="s">
        <v>2</v>
      </c>
      <c r="F309" s="0" t="s">
        <v>12</v>
      </c>
      <c r="G309" s="0" t="s">
        <v>7</v>
      </c>
      <c r="H309" s="0">
        <v>3882</v>
      </c>
      <c r="I309" s="0">
        <v>72</v>
      </c>
      <c r="J309" s="0">
        <v>0</v>
      </c>
      <c r="K309" s="0">
        <v>1</v>
      </c>
      <c r="L309" s="0">
        <v>1</v>
      </c>
      <c r="M309" s="0">
        <v>2</v>
      </c>
      <c r="N309" s="0">
        <v>0</v>
      </c>
      <c r="O309" s="0">
        <v>0</v>
      </c>
      <c r="P309" s="0">
        <v>-72</v>
      </c>
      <c r="R309" s="0" t="b">
        <v>0</v>
      </c>
      <c r="S309" s="0" t="b">
        <v>1</v>
      </c>
      <c r="T309" s="68">
        <v>42171.5</v>
      </c>
      <c r="U309" s="68">
        <v>42201.5416666667</v>
      </c>
      <c r="V309" s="68">
        <v>0</v>
      </c>
      <c r="W309" s="0">
        <f>IF(IF(B309="none",1,IF(B309="Trialer",1,0))+IF(C309="Customer",1,IF(C309="Lost",1,0))=2,1,0)</f>
      </c>
      <c r="X309" s="0" t="s">
        <v>142</v>
      </c>
      <c r="Y309" s="0" t="s">
        <v>137</v>
      </c>
      <c r="AV309" s="68"/>
      <c r="AW309" s="68"/>
      <c r="AY309" s="27"/>
      <c r="BD309" s="68">
        <v>46054.1666666667</v>
      </c>
      <c r="BE309" s="68">
        <v>46082.1666666667</v>
      </c>
      <c r="BF309" s="0" t="b">
        <v>0</v>
      </c>
      <c r="BG309" s="0" t="b">
        <v>0</v>
      </c>
      <c r="BH309" s="0">
        <v>80</v>
      </c>
      <c r="BI309" s="0">
        <v>80</v>
      </c>
      <c r="BJ309" s="0" t="s">
        <v>230</v>
      </c>
    </row>
    <row r="310">
      <c r="A310" s="0" t="s">
        <v>482</v>
      </c>
      <c r="B310" s="0" t="s">
        <v>134</v>
      </c>
      <c r="C310" s="0" t="s">
        <v>134</v>
      </c>
      <c r="D310" s="0" t="s">
        <v>135</v>
      </c>
      <c r="E310" s="0" t="s">
        <v>2</v>
      </c>
      <c r="F310" s="0" t="s">
        <v>12</v>
      </c>
      <c r="G310" s="0" t="s">
        <v>8</v>
      </c>
      <c r="H310" s="0">
        <v>3882</v>
      </c>
      <c r="I310" s="0">
        <v>245</v>
      </c>
      <c r="J310" s="0">
        <v>0</v>
      </c>
      <c r="K310" s="0">
        <v>1</v>
      </c>
      <c r="L310" s="0">
        <v>3</v>
      </c>
      <c r="M310" s="0">
        <v>5</v>
      </c>
      <c r="N310" s="0">
        <v>0</v>
      </c>
      <c r="O310" s="0">
        <v>0</v>
      </c>
      <c r="P310" s="0">
        <v>0</v>
      </c>
      <c r="R310" s="0" t="b">
        <v>0</v>
      </c>
      <c r="S310" s="0" t="b">
        <v>1</v>
      </c>
      <c r="T310" s="68">
        <v>42171.5</v>
      </c>
      <c r="U310" s="68">
        <v>42206.5416666667</v>
      </c>
      <c r="V310" s="68">
        <v>0</v>
      </c>
      <c r="W310" s="0">
        <f>IF(IF(B310="none",1,IF(B310="Trialer",1,0))+IF(C310="Customer",1,IF(C310="Lost",1,0))=2,1,0)</f>
      </c>
      <c r="X310" s="0" t="s">
        <v>145</v>
      </c>
      <c r="Y310" s="0" t="s">
        <v>137</v>
      </c>
      <c r="AV310" s="68"/>
      <c r="AW310" s="68"/>
      <c r="AY310" s="27"/>
      <c r="BD310" s="68">
        <v>46054.1666666667</v>
      </c>
      <c r="BE310" s="68">
        <v>46082.1666666667</v>
      </c>
      <c r="BF310" s="0" t="b">
        <v>0</v>
      </c>
      <c r="BG310" s="0" t="b">
        <v>0</v>
      </c>
      <c r="BH310" s="0">
        <v>245</v>
      </c>
      <c r="BI310" s="0">
        <v>245</v>
      </c>
      <c r="BJ310" s="0" t="s">
        <v>135</v>
      </c>
    </row>
    <row r="311">
      <c r="A311" s="0" t="s">
        <v>483</v>
      </c>
      <c r="B311" s="0" t="s">
        <v>134</v>
      </c>
      <c r="C311" s="0" t="s">
        <v>134</v>
      </c>
      <c r="D311" s="0" t="s">
        <v>135</v>
      </c>
      <c r="E311" s="0" t="s">
        <v>2</v>
      </c>
      <c r="F311" s="0" t="s">
        <v>12</v>
      </c>
      <c r="G311" s="0" t="s">
        <v>8</v>
      </c>
      <c r="H311" s="0">
        <v>3855</v>
      </c>
      <c r="I311" s="0">
        <v>138</v>
      </c>
      <c r="J311" s="0">
        <v>0</v>
      </c>
      <c r="K311" s="0">
        <v>1</v>
      </c>
      <c r="L311" s="0">
        <v>3</v>
      </c>
      <c r="M311" s="0">
        <v>3</v>
      </c>
      <c r="N311" s="0">
        <v>0</v>
      </c>
      <c r="O311" s="0">
        <v>0</v>
      </c>
      <c r="P311" s="0">
        <v>0</v>
      </c>
      <c r="R311" s="0" t="b">
        <v>0</v>
      </c>
      <c r="S311" s="0" t="b">
        <v>1</v>
      </c>
      <c r="T311" s="68">
        <v>42198.5</v>
      </c>
      <c r="U311" s="68">
        <v>42233.5416666667</v>
      </c>
      <c r="V311" s="68">
        <v>0</v>
      </c>
      <c r="W311" s="0">
        <f>IF(IF(B311="none",1,IF(B311="Trialer",1,0))+IF(C311="Customer",1,IF(C311="Lost",1,0))=2,1,0)</f>
      </c>
      <c r="X311" s="0" t="s">
        <v>142</v>
      </c>
      <c r="Y311" s="0" t="s">
        <v>137</v>
      </c>
      <c r="AV311" s="68"/>
      <c r="AW311" s="68"/>
      <c r="AY311" s="27"/>
      <c r="BD311" s="68">
        <v>46054.1666666667</v>
      </c>
      <c r="BE311" s="68">
        <v>46082.1666666667</v>
      </c>
      <c r="BF311" s="0" t="b">
        <v>0</v>
      </c>
      <c r="BG311" s="0" t="b">
        <v>0</v>
      </c>
      <c r="BH311" s="0">
        <v>138</v>
      </c>
      <c r="BI311" s="0">
        <v>138</v>
      </c>
      <c r="BJ311" s="0" t="s">
        <v>135</v>
      </c>
    </row>
    <row r="312">
      <c r="A312" s="0" t="s">
        <v>484</v>
      </c>
      <c r="B312" s="0" t="s">
        <v>134</v>
      </c>
      <c r="C312" s="0" t="s">
        <v>134</v>
      </c>
      <c r="D312" s="0" t="s">
        <v>135</v>
      </c>
      <c r="E312" s="0" t="s">
        <v>2</v>
      </c>
      <c r="F312" s="0" t="s">
        <v>12</v>
      </c>
      <c r="G312" s="0" t="s">
        <v>8</v>
      </c>
      <c r="H312" s="0">
        <v>3845</v>
      </c>
      <c r="I312" s="0">
        <v>637</v>
      </c>
      <c r="J312" s="0">
        <v>0</v>
      </c>
      <c r="K312" s="0">
        <v>1</v>
      </c>
      <c r="L312" s="0">
        <v>3</v>
      </c>
      <c r="M312" s="0">
        <v>13</v>
      </c>
      <c r="N312" s="0">
        <v>0</v>
      </c>
      <c r="O312" s="0">
        <v>0</v>
      </c>
      <c r="P312" s="0">
        <v>0</v>
      </c>
      <c r="R312" s="0" t="b">
        <v>0</v>
      </c>
      <c r="S312" s="0" t="b">
        <v>1</v>
      </c>
      <c r="T312" s="68">
        <v>42208.6146990741</v>
      </c>
      <c r="U312" s="68">
        <v>42239.5416666667</v>
      </c>
      <c r="V312" s="68">
        <v>0</v>
      </c>
      <c r="W312" s="0">
        <f>IF(IF(B312="none",1,IF(B312="Trialer",1,0))+IF(C312="Customer",1,IF(C312="Lost",1,0))=2,1,0)</f>
      </c>
      <c r="X312" s="0" t="s">
        <v>148</v>
      </c>
      <c r="Y312" s="0" t="s">
        <v>137</v>
      </c>
      <c r="AV312" s="68"/>
      <c r="AW312" s="68"/>
      <c r="AY312" s="27"/>
      <c r="BD312" s="68">
        <v>46054.1666666667</v>
      </c>
      <c r="BE312" s="68">
        <v>46082.1666666667</v>
      </c>
      <c r="BF312" s="0" t="b">
        <v>0</v>
      </c>
      <c r="BG312" s="0" t="b">
        <v>0</v>
      </c>
      <c r="BH312" s="0">
        <v>588</v>
      </c>
      <c r="BI312" s="0">
        <v>588</v>
      </c>
      <c r="BJ312" s="0" t="s">
        <v>135</v>
      </c>
    </row>
    <row r="313">
      <c r="A313" s="0" t="s">
        <v>485</v>
      </c>
      <c r="B313" s="0" t="s">
        <v>134</v>
      </c>
      <c r="C313" s="0" t="s">
        <v>134</v>
      </c>
      <c r="D313" s="0" t="s">
        <v>135</v>
      </c>
      <c r="E313" s="0" t="s">
        <v>3</v>
      </c>
      <c r="F313" s="0" t="s">
        <v>12</v>
      </c>
      <c r="G313" s="0" t="s">
        <v>7</v>
      </c>
      <c r="H313" s="0">
        <v>3841</v>
      </c>
      <c r="I313" s="0">
        <v>25</v>
      </c>
      <c r="J313" s="0">
        <v>0</v>
      </c>
      <c r="K313" s="0">
        <v>1</v>
      </c>
      <c r="L313" s="0">
        <v>1</v>
      </c>
      <c r="M313" s="0">
        <v>1</v>
      </c>
      <c r="N313" s="0">
        <v>0</v>
      </c>
      <c r="O313" s="0">
        <v>0</v>
      </c>
      <c r="P313" s="0">
        <v>0</v>
      </c>
      <c r="R313" s="0" t="b">
        <v>0</v>
      </c>
      <c r="S313" s="0" t="b">
        <v>1</v>
      </c>
      <c r="T313" s="68">
        <v>42212.5</v>
      </c>
      <c r="U313" s="68">
        <v>42244.5416666667</v>
      </c>
      <c r="V313" s="68">
        <v>0</v>
      </c>
      <c r="W313" s="0">
        <f>IF(IF(B313="none",1,IF(B313="Trialer",1,0))+IF(C313="Customer",1,IF(C313="Lost",1,0))=2,1,0)</f>
      </c>
      <c r="X313" s="0" t="s">
        <v>166</v>
      </c>
      <c r="Y313" s="0" t="s">
        <v>213</v>
      </c>
      <c r="AV313" s="68"/>
      <c r="AW313" s="68"/>
      <c r="AY313" s="27"/>
      <c r="BD313" s="68">
        <v>46054.1666666667</v>
      </c>
      <c r="BE313" s="68">
        <v>46082.1666666667</v>
      </c>
      <c r="BF313" s="0" t="b">
        <v>0</v>
      </c>
      <c r="BG313" s="0" t="b">
        <v>0</v>
      </c>
      <c r="BH313" s="0">
        <v>25</v>
      </c>
      <c r="BI313" s="0">
        <v>25</v>
      </c>
      <c r="BJ313" s="0" t="s">
        <v>135</v>
      </c>
    </row>
    <row r="314">
      <c r="A314" s="0" t="s">
        <v>486</v>
      </c>
      <c r="B314" s="0" t="s">
        <v>134</v>
      </c>
      <c r="C314" s="0" t="s">
        <v>134</v>
      </c>
      <c r="D314" s="0" t="s">
        <v>135</v>
      </c>
      <c r="E314" s="0" t="s">
        <v>3</v>
      </c>
      <c r="F314" s="0" t="s">
        <v>12</v>
      </c>
      <c r="G314" s="0" t="s">
        <v>8</v>
      </c>
      <c r="H314" s="0">
        <v>3838</v>
      </c>
      <c r="I314" s="0">
        <v>0</v>
      </c>
      <c r="J314" s="0">
        <v>0</v>
      </c>
      <c r="K314" s="0">
        <v>1</v>
      </c>
      <c r="L314" s="0">
        <v>1</v>
      </c>
      <c r="M314" s="0">
        <v>1</v>
      </c>
      <c r="N314" s="0">
        <v>0</v>
      </c>
      <c r="O314" s="0">
        <v>0</v>
      </c>
      <c r="P314" s="0">
        <v>0</v>
      </c>
      <c r="R314" s="0" t="b">
        <v>0</v>
      </c>
      <c r="S314" s="0" t="b">
        <v>1</v>
      </c>
      <c r="T314" s="68">
        <v>42215.3888888889</v>
      </c>
      <c r="U314" s="68">
        <v>42246.5416666667</v>
      </c>
      <c r="V314" s="68">
        <v>0</v>
      </c>
      <c r="W314" s="0">
        <f>IF(IF(B314="none",1,IF(B314="Trialer",1,0))+IF(C314="Customer",1,IF(C314="Lost",1,0))=2,1,0)</f>
      </c>
      <c r="X314" s="0" t="s">
        <v>148</v>
      </c>
      <c r="Y314" s="0" t="s">
        <v>487</v>
      </c>
      <c r="AV314" s="68"/>
      <c r="AW314" s="68"/>
      <c r="AY314" s="27"/>
      <c r="BD314" s="68">
        <v>46054.1666666667</v>
      </c>
      <c r="BE314" s="68">
        <v>46082.1666666667</v>
      </c>
      <c r="BF314" s="0" t="b">
        <v>0</v>
      </c>
      <c r="BG314" s="0" t="b">
        <v>0</v>
      </c>
      <c r="BH314" s="0">
        <v>0</v>
      </c>
      <c r="BI314" s="0">
        <v>0</v>
      </c>
      <c r="BJ314" s="0" t="s">
        <v>135</v>
      </c>
    </row>
    <row r="315">
      <c r="A315" s="0" t="s">
        <v>488</v>
      </c>
      <c r="B315" s="0" t="s">
        <v>134</v>
      </c>
      <c r="C315" s="0" t="s">
        <v>134</v>
      </c>
      <c r="D315" s="0" t="s">
        <v>230</v>
      </c>
      <c r="E315" s="0" t="s">
        <v>2</v>
      </c>
      <c r="F315" s="0" t="s">
        <v>12</v>
      </c>
      <c r="G315" s="0" t="s">
        <v>7</v>
      </c>
      <c r="H315" s="0">
        <v>3829</v>
      </c>
      <c r="I315" s="0">
        <v>685</v>
      </c>
      <c r="J315" s="0">
        <v>0</v>
      </c>
      <c r="K315" s="0">
        <v>1</v>
      </c>
      <c r="L315" s="0">
        <v>1</v>
      </c>
      <c r="M315" s="0">
        <v>10</v>
      </c>
      <c r="N315" s="0">
        <v>697.5</v>
      </c>
      <c r="O315" s="0">
        <v>0</v>
      </c>
      <c r="P315" s="0">
        <v>-360</v>
      </c>
      <c r="R315" s="0" t="b">
        <v>0</v>
      </c>
      <c r="S315" s="0" t="b">
        <v>1</v>
      </c>
      <c r="T315" s="68">
        <v>42224.5</v>
      </c>
      <c r="U315" s="68">
        <v>42255.5416666667</v>
      </c>
      <c r="V315" s="68">
        <v>0</v>
      </c>
      <c r="W315" s="0">
        <f>IF(IF(B315="none",1,IF(B315="Trialer",1,0))+IF(C315="Customer",1,IF(C315="Lost",1,0))=2,1,0)</f>
      </c>
      <c r="X315" s="0" t="s">
        <v>145</v>
      </c>
      <c r="Y315" s="0" t="s">
        <v>137</v>
      </c>
      <c r="AV315" s="68"/>
      <c r="AW315" s="68"/>
      <c r="AY315" s="27"/>
      <c r="BD315" s="68">
        <v>46054.1666666667</v>
      </c>
      <c r="BE315" s="68">
        <v>46082.1666666667</v>
      </c>
      <c r="BF315" s="0" t="b">
        <v>0</v>
      </c>
      <c r="BG315" s="0" t="b">
        <v>0</v>
      </c>
      <c r="BH315" s="0">
        <v>400</v>
      </c>
      <c r="BI315" s="0">
        <v>400</v>
      </c>
      <c r="BJ315" s="0" t="s">
        <v>230</v>
      </c>
    </row>
    <row r="316">
      <c r="A316" s="0" t="s">
        <v>489</v>
      </c>
      <c r="B316" s="0" t="s">
        <v>134</v>
      </c>
      <c r="C316" s="0" t="s">
        <v>134</v>
      </c>
      <c r="D316" s="0" t="s">
        <v>135</v>
      </c>
      <c r="E316" s="0" t="s">
        <v>3</v>
      </c>
      <c r="F316" s="0" t="s">
        <v>12</v>
      </c>
      <c r="G316" s="0" t="s">
        <v>7</v>
      </c>
      <c r="H316" s="0">
        <v>3827</v>
      </c>
      <c r="I316" s="0">
        <v>200</v>
      </c>
      <c r="J316" s="0">
        <v>0</v>
      </c>
      <c r="K316" s="0">
        <v>1</v>
      </c>
      <c r="L316" s="0">
        <v>1</v>
      </c>
      <c r="M316" s="0">
        <v>5</v>
      </c>
      <c r="N316" s="0">
        <v>0</v>
      </c>
      <c r="O316" s="0">
        <v>0</v>
      </c>
      <c r="P316" s="0">
        <v>0</v>
      </c>
      <c r="R316" s="0" t="b">
        <v>0</v>
      </c>
      <c r="S316" s="0" t="b">
        <v>1</v>
      </c>
      <c r="T316" s="68">
        <v>42226.5983333333</v>
      </c>
      <c r="U316" s="68">
        <v>42257.5416666667</v>
      </c>
      <c r="V316" s="68">
        <v>0</v>
      </c>
      <c r="W316" s="0">
        <f>IF(IF(B316="none",1,IF(B316="Trialer",1,0))+IF(C316="Customer",1,IF(C316="Lost",1,0))=2,1,0)</f>
      </c>
      <c r="X316" s="0" t="s">
        <v>136</v>
      </c>
      <c r="Y316" s="0" t="s">
        <v>213</v>
      </c>
      <c r="AV316" s="68"/>
      <c r="AW316" s="68"/>
      <c r="AY316" s="27"/>
      <c r="BD316" s="68">
        <v>46054.1666666667</v>
      </c>
      <c r="BE316" s="68">
        <v>46082.1666666667</v>
      </c>
      <c r="BF316" s="0" t="b">
        <v>0</v>
      </c>
      <c r="BG316" s="0" t="b">
        <v>0</v>
      </c>
      <c r="BH316" s="0">
        <v>200</v>
      </c>
      <c r="BI316" s="0">
        <v>200</v>
      </c>
      <c r="BJ316" s="0" t="s">
        <v>135</v>
      </c>
    </row>
    <row r="317">
      <c r="A317" s="0" t="s">
        <v>490</v>
      </c>
      <c r="B317" s="0" t="s">
        <v>134</v>
      </c>
      <c r="C317" s="0" t="s">
        <v>134</v>
      </c>
      <c r="D317" s="0" t="s">
        <v>135</v>
      </c>
      <c r="E317" s="0" t="s">
        <v>2</v>
      </c>
      <c r="F317" s="0" t="s">
        <v>12</v>
      </c>
      <c r="G317" s="0" t="s">
        <v>7</v>
      </c>
      <c r="H317" s="0">
        <v>3818</v>
      </c>
      <c r="I317" s="0">
        <v>160</v>
      </c>
      <c r="J317" s="0">
        <v>0</v>
      </c>
      <c r="K317" s="0">
        <v>1</v>
      </c>
      <c r="L317" s="0">
        <v>1</v>
      </c>
      <c r="M317" s="0">
        <v>4</v>
      </c>
      <c r="N317" s="0">
        <v>0</v>
      </c>
      <c r="O317" s="0">
        <v>0</v>
      </c>
      <c r="P317" s="0">
        <v>0</v>
      </c>
      <c r="R317" s="0" t="b">
        <v>0</v>
      </c>
      <c r="S317" s="0" t="b">
        <v>1</v>
      </c>
      <c r="T317" s="68">
        <v>42235.5</v>
      </c>
      <c r="U317" s="68">
        <v>42271.5416666667</v>
      </c>
      <c r="V317" s="68">
        <v>0</v>
      </c>
      <c r="W317" s="0">
        <f>IF(IF(B317="none",1,IF(B317="Trialer",1,0))+IF(C317="Customer",1,IF(C317="Lost",1,0))=2,1,0)</f>
      </c>
      <c r="X317" s="0" t="s">
        <v>145</v>
      </c>
      <c r="Y317" s="0" t="s">
        <v>137</v>
      </c>
      <c r="AV317" s="68"/>
      <c r="AW317" s="68"/>
      <c r="AY317" s="27"/>
      <c r="BD317" s="68">
        <v>46054.1666666667</v>
      </c>
      <c r="BE317" s="68">
        <v>46082.1666666667</v>
      </c>
      <c r="BF317" s="0" t="b">
        <v>0</v>
      </c>
      <c r="BG317" s="0" t="b">
        <v>0</v>
      </c>
      <c r="BH317" s="0">
        <v>120</v>
      </c>
      <c r="BI317" s="0">
        <v>80</v>
      </c>
      <c r="BJ317" s="0" t="s">
        <v>135</v>
      </c>
    </row>
    <row r="318">
      <c r="A318" s="0" t="s">
        <v>491</v>
      </c>
      <c r="B318" s="0" t="s">
        <v>134</v>
      </c>
      <c r="C318" s="0" t="s">
        <v>134</v>
      </c>
      <c r="D318" s="0" t="s">
        <v>135</v>
      </c>
      <c r="E318" s="0" t="s">
        <v>3</v>
      </c>
      <c r="F318" s="0" t="s">
        <v>12</v>
      </c>
      <c r="G318" s="0" t="s">
        <v>8</v>
      </c>
      <c r="H318" s="0">
        <v>3815</v>
      </c>
      <c r="I318" s="0">
        <v>297</v>
      </c>
      <c r="J318" s="0">
        <v>0</v>
      </c>
      <c r="K318" s="0">
        <v>1</v>
      </c>
      <c r="L318" s="0">
        <v>4</v>
      </c>
      <c r="M318" s="0">
        <v>7</v>
      </c>
      <c r="N318" s="0">
        <v>0</v>
      </c>
      <c r="O318" s="0">
        <v>0</v>
      </c>
      <c r="P318" s="0">
        <v>0</v>
      </c>
      <c r="R318" s="0" t="b">
        <v>0</v>
      </c>
      <c r="S318" s="0" t="b">
        <v>1</v>
      </c>
      <c r="T318" s="68">
        <v>42238.9392939815</v>
      </c>
      <c r="U318" s="68">
        <v>42277.5416666667</v>
      </c>
      <c r="V318" s="68">
        <v>0</v>
      </c>
      <c r="W318" s="0">
        <f>IF(IF(B318="none",1,IF(B318="Trialer",1,0))+IF(C318="Customer",1,IF(C318="Lost",1,0))=2,1,0)</f>
      </c>
      <c r="X318" s="0" t="s">
        <v>148</v>
      </c>
      <c r="Y318" s="0" t="s">
        <v>213</v>
      </c>
      <c r="AV318" s="68"/>
      <c r="AW318" s="68"/>
      <c r="AY318" s="27"/>
      <c r="BD318" s="68">
        <v>46054.1666666667</v>
      </c>
      <c r="BE318" s="68">
        <v>46082.1666666667</v>
      </c>
      <c r="BF318" s="0" t="b">
        <v>0</v>
      </c>
      <c r="BG318" s="0" t="b">
        <v>0</v>
      </c>
      <c r="BH318" s="0">
        <v>297</v>
      </c>
      <c r="BI318" s="0">
        <v>297</v>
      </c>
      <c r="BJ318" s="0" t="s">
        <v>135</v>
      </c>
    </row>
    <row r="319">
      <c r="A319" s="0" t="s">
        <v>492</v>
      </c>
      <c r="B319" s="0" t="s">
        <v>134</v>
      </c>
      <c r="C319" s="0" t="s">
        <v>134</v>
      </c>
      <c r="D319" s="0" t="s">
        <v>135</v>
      </c>
      <c r="E319" s="0" t="s">
        <v>2</v>
      </c>
      <c r="F319" s="0" t="s">
        <v>12</v>
      </c>
      <c r="G319" s="0" t="s">
        <v>7</v>
      </c>
      <c r="H319" s="0">
        <v>3810</v>
      </c>
      <c r="I319" s="0">
        <v>25</v>
      </c>
      <c r="J319" s="0">
        <v>0</v>
      </c>
      <c r="K319" s="0">
        <v>1</v>
      </c>
      <c r="L319" s="0">
        <v>1</v>
      </c>
      <c r="M319" s="0">
        <v>1</v>
      </c>
      <c r="N319" s="0">
        <v>0</v>
      </c>
      <c r="O319" s="0">
        <v>0</v>
      </c>
      <c r="P319" s="0">
        <v>0</v>
      </c>
      <c r="R319" s="0" t="b">
        <v>0</v>
      </c>
      <c r="S319" s="0" t="b">
        <v>1</v>
      </c>
      <c r="T319" s="68">
        <v>42243.8594907407</v>
      </c>
      <c r="U319" s="68">
        <v>42282.5416666667</v>
      </c>
      <c r="V319" s="68">
        <v>0</v>
      </c>
      <c r="W319" s="0">
        <f>IF(IF(B319="none",1,IF(B319="Trialer",1,0))+IF(C319="Customer",1,IF(C319="Lost",1,0))=2,1,0)</f>
      </c>
      <c r="X319" s="0" t="s">
        <v>166</v>
      </c>
      <c r="Y319" s="0" t="s">
        <v>235</v>
      </c>
      <c r="AV319" s="68"/>
      <c r="AW319" s="68"/>
      <c r="AY319" s="27"/>
      <c r="BD319" s="68">
        <v>46054.1666666667</v>
      </c>
      <c r="BE319" s="68">
        <v>46082.1666666667</v>
      </c>
      <c r="BF319" s="0" t="b">
        <v>0</v>
      </c>
      <c r="BG319" s="0" t="b">
        <v>0</v>
      </c>
      <c r="BH319" s="0">
        <v>25</v>
      </c>
      <c r="BI319" s="0">
        <v>25</v>
      </c>
      <c r="BJ319" s="0" t="s">
        <v>135</v>
      </c>
    </row>
    <row r="320">
      <c r="A320" s="0" t="s">
        <v>493</v>
      </c>
      <c r="B320" s="0" t="s">
        <v>134</v>
      </c>
      <c r="C320" s="0" t="s">
        <v>134</v>
      </c>
      <c r="D320" s="0" t="s">
        <v>135</v>
      </c>
      <c r="E320" s="0" t="s">
        <v>3</v>
      </c>
      <c r="F320" s="0" t="s">
        <v>12</v>
      </c>
      <c r="G320" s="0" t="s">
        <v>7</v>
      </c>
      <c r="H320" s="0">
        <v>3806</v>
      </c>
      <c r="I320" s="0">
        <v>40</v>
      </c>
      <c r="J320" s="0">
        <v>0</v>
      </c>
      <c r="K320" s="0">
        <v>1</v>
      </c>
      <c r="L320" s="0">
        <v>1</v>
      </c>
      <c r="M320" s="0">
        <v>1</v>
      </c>
      <c r="N320" s="0">
        <v>0</v>
      </c>
      <c r="O320" s="0">
        <v>0</v>
      </c>
      <c r="P320" s="0">
        <v>0</v>
      </c>
      <c r="R320" s="0" t="b">
        <v>0</v>
      </c>
      <c r="S320" s="0" t="b">
        <v>1</v>
      </c>
      <c r="T320" s="68">
        <v>42247.7382407407</v>
      </c>
      <c r="U320" s="68">
        <v>42277.5416666667</v>
      </c>
      <c r="V320" s="68">
        <v>0</v>
      </c>
      <c r="W320" s="0">
        <f>IF(IF(B320="none",1,IF(B320="Trialer",1,0))+IF(C320="Customer",1,IF(C320="Lost",1,0))=2,1,0)</f>
      </c>
      <c r="X320" s="0" t="s">
        <v>142</v>
      </c>
      <c r="Y320" s="0" t="s">
        <v>213</v>
      </c>
      <c r="AV320" s="68"/>
      <c r="AW320" s="68"/>
      <c r="AY320" s="27"/>
      <c r="BD320" s="68">
        <v>46054.1666666667</v>
      </c>
      <c r="BE320" s="68">
        <v>46082.1666666667</v>
      </c>
      <c r="BF320" s="0" t="b">
        <v>0</v>
      </c>
      <c r="BG320" s="0" t="b">
        <v>0</v>
      </c>
      <c r="BH320" s="0">
        <v>40</v>
      </c>
      <c r="BI320" s="0">
        <v>40</v>
      </c>
      <c r="BJ320" s="0" t="s">
        <v>135</v>
      </c>
    </row>
    <row r="321">
      <c r="A321" s="0" t="s">
        <v>494</v>
      </c>
      <c r="B321" s="0" t="s">
        <v>134</v>
      </c>
      <c r="C321" s="0" t="s">
        <v>134</v>
      </c>
      <c r="D321" s="0" t="s">
        <v>135</v>
      </c>
      <c r="E321" s="0" t="s">
        <v>2</v>
      </c>
      <c r="F321" s="0" t="s">
        <v>12</v>
      </c>
      <c r="G321" s="0" t="s">
        <v>7</v>
      </c>
      <c r="H321" s="0">
        <v>3802</v>
      </c>
      <c r="I321" s="0">
        <v>25</v>
      </c>
      <c r="J321" s="0">
        <v>0</v>
      </c>
      <c r="K321" s="0">
        <v>1</v>
      </c>
      <c r="L321" s="0">
        <v>1</v>
      </c>
      <c r="M321" s="0">
        <v>1</v>
      </c>
      <c r="N321" s="0">
        <v>0</v>
      </c>
      <c r="O321" s="0">
        <v>0</v>
      </c>
      <c r="P321" s="0">
        <v>0</v>
      </c>
      <c r="R321" s="0" t="b">
        <v>0</v>
      </c>
      <c r="S321" s="0" t="b">
        <v>1</v>
      </c>
      <c r="T321" s="68">
        <v>42251.4866666667</v>
      </c>
      <c r="U321" s="68">
        <v>42282.5416666667</v>
      </c>
      <c r="V321" s="68">
        <v>0</v>
      </c>
      <c r="W321" s="0">
        <f>IF(IF(B321="none",1,IF(B321="Trialer",1,0))+IF(C321="Customer",1,IF(C321="Lost",1,0))=2,1,0)</f>
      </c>
      <c r="X321" s="0" t="s">
        <v>166</v>
      </c>
      <c r="Y321" s="0" t="s">
        <v>235</v>
      </c>
      <c r="AV321" s="68"/>
      <c r="AW321" s="68"/>
      <c r="AY321" s="27"/>
      <c r="BD321" s="68">
        <v>46054.1666666667</v>
      </c>
      <c r="BE321" s="68">
        <v>46082.1666666667</v>
      </c>
      <c r="BF321" s="0" t="b">
        <v>0</v>
      </c>
      <c r="BG321" s="0" t="b">
        <v>0</v>
      </c>
      <c r="BH321" s="0">
        <v>25</v>
      </c>
      <c r="BI321" s="0">
        <v>25</v>
      </c>
      <c r="BJ321" s="0" t="s">
        <v>135</v>
      </c>
    </row>
    <row r="322">
      <c r="A322" s="0" t="s">
        <v>495</v>
      </c>
      <c r="B322" s="0" t="s">
        <v>134</v>
      </c>
      <c r="C322" s="0" t="s">
        <v>134</v>
      </c>
      <c r="D322" s="0" t="s">
        <v>230</v>
      </c>
      <c r="E322" s="0" t="s">
        <v>2</v>
      </c>
      <c r="F322" s="0" t="s">
        <v>12</v>
      </c>
      <c r="G322" s="0" t="s">
        <v>7</v>
      </c>
      <c r="H322" s="0">
        <v>3797</v>
      </c>
      <c r="I322" s="0">
        <v>108</v>
      </c>
      <c r="J322" s="0">
        <v>0</v>
      </c>
      <c r="K322" s="0">
        <v>1</v>
      </c>
      <c r="L322" s="0">
        <v>1</v>
      </c>
      <c r="M322" s="0">
        <v>3</v>
      </c>
      <c r="N322" s="0">
        <v>0</v>
      </c>
      <c r="O322" s="0">
        <v>0</v>
      </c>
      <c r="P322" s="0">
        <v>-108</v>
      </c>
      <c r="R322" s="0" t="b">
        <v>0</v>
      </c>
      <c r="S322" s="0" t="b">
        <v>1</v>
      </c>
      <c r="T322" s="68">
        <v>42256.7789351852</v>
      </c>
      <c r="U322" s="68">
        <v>42289.5416666667</v>
      </c>
      <c r="V322" s="68">
        <v>0</v>
      </c>
      <c r="W322" s="0">
        <f>IF(IF(B322="none",1,IF(B322="Trialer",1,0))+IF(C322="Customer",1,IF(C322="Lost",1,0))=2,1,0)</f>
      </c>
      <c r="X322" s="0" t="s">
        <v>142</v>
      </c>
      <c r="Y322" s="0" t="s">
        <v>137</v>
      </c>
      <c r="AV322" s="68"/>
      <c r="AW322" s="68"/>
      <c r="AY322" s="27"/>
      <c r="BD322" s="68">
        <v>46054.1666666667</v>
      </c>
      <c r="BE322" s="68">
        <v>46082.1666666667</v>
      </c>
      <c r="BF322" s="0" t="b">
        <v>0</v>
      </c>
      <c r="BG322" s="0" t="b">
        <v>0</v>
      </c>
      <c r="BH322" s="0">
        <v>120</v>
      </c>
      <c r="BI322" s="0">
        <v>120</v>
      </c>
      <c r="BJ322" s="0" t="s">
        <v>230</v>
      </c>
    </row>
    <row r="323">
      <c r="A323" s="0" t="s">
        <v>496</v>
      </c>
      <c r="B323" s="0" t="s">
        <v>134</v>
      </c>
      <c r="C323" s="0" t="s">
        <v>134</v>
      </c>
      <c r="D323" s="0" t="s">
        <v>135</v>
      </c>
      <c r="E323" s="0" t="s">
        <v>2</v>
      </c>
      <c r="F323" s="0" t="s">
        <v>12</v>
      </c>
      <c r="G323" s="0" t="s">
        <v>7</v>
      </c>
      <c r="H323" s="0">
        <v>3783</v>
      </c>
      <c r="I323" s="0">
        <v>275</v>
      </c>
      <c r="J323" s="0">
        <v>0</v>
      </c>
      <c r="K323" s="0">
        <v>1</v>
      </c>
      <c r="L323" s="0">
        <v>1</v>
      </c>
      <c r="M323" s="0">
        <v>11</v>
      </c>
      <c r="N323" s="0">
        <v>0</v>
      </c>
      <c r="O323" s="0">
        <v>0</v>
      </c>
      <c r="P323" s="0">
        <v>0</v>
      </c>
      <c r="R323" s="0" t="b">
        <v>0</v>
      </c>
      <c r="S323" s="0" t="b">
        <v>1</v>
      </c>
      <c r="T323" s="68">
        <v>42270.5</v>
      </c>
      <c r="U323" s="68">
        <v>42300.5416666667</v>
      </c>
      <c r="V323" s="68">
        <v>0</v>
      </c>
      <c r="W323" s="0">
        <f>IF(IF(B323="none",1,IF(B323="Trialer",1,0))+IF(C323="Customer",1,IF(C323="Lost",1,0))=2,1,0)</f>
      </c>
      <c r="X323" s="0" t="s">
        <v>148</v>
      </c>
      <c r="Y323" s="0" t="s">
        <v>235</v>
      </c>
      <c r="AV323" s="68"/>
      <c r="AW323" s="68"/>
      <c r="AY323" s="27"/>
      <c r="BD323" s="68">
        <v>46054.1666666667</v>
      </c>
      <c r="BE323" s="68">
        <v>46082.1666666667</v>
      </c>
      <c r="BF323" s="0" t="b">
        <v>0</v>
      </c>
      <c r="BG323" s="0" t="b">
        <v>0</v>
      </c>
      <c r="BH323" s="0">
        <v>275</v>
      </c>
      <c r="BI323" s="0">
        <v>275</v>
      </c>
      <c r="BJ323" s="0" t="s">
        <v>135</v>
      </c>
    </row>
    <row r="324">
      <c r="A324" s="0" t="s">
        <v>497</v>
      </c>
      <c r="B324" s="0" t="s">
        <v>134</v>
      </c>
      <c r="C324" s="0" t="s">
        <v>134</v>
      </c>
      <c r="D324" s="0" t="s">
        <v>135</v>
      </c>
      <c r="E324" s="0" t="s">
        <v>2</v>
      </c>
      <c r="F324" s="0" t="s">
        <v>10</v>
      </c>
      <c r="G324" s="0" t="s">
        <v>7</v>
      </c>
      <c r="H324" s="0">
        <v>3774</v>
      </c>
      <c r="I324" s="0">
        <v>120</v>
      </c>
      <c r="J324" s="0">
        <v>0</v>
      </c>
      <c r="K324" s="0">
        <v>1</v>
      </c>
      <c r="L324" s="0">
        <v>1</v>
      </c>
      <c r="M324" s="0">
        <v>3</v>
      </c>
      <c r="N324" s="0">
        <v>0</v>
      </c>
      <c r="O324" s="0">
        <v>0</v>
      </c>
      <c r="P324" s="0">
        <v>0</v>
      </c>
      <c r="Q324" s="0" t="s">
        <v>498</v>
      </c>
      <c r="R324" s="0" t="b">
        <v>0</v>
      </c>
      <c r="S324" s="0" t="b">
        <v>1</v>
      </c>
      <c r="T324" s="68">
        <v>42279.4972222222</v>
      </c>
      <c r="U324" s="68">
        <v>42318.5</v>
      </c>
      <c r="V324" s="68">
        <v>0</v>
      </c>
      <c r="W324" s="0">
        <f>IF(IF(B324="none",1,IF(B324="Trialer",1,0))+IF(C324="Customer",1,IF(C324="Lost",1,0))=2,1,0)</f>
      </c>
      <c r="X324" s="0" t="s">
        <v>136</v>
      </c>
      <c r="Y324" s="0" t="s">
        <v>499</v>
      </c>
      <c r="AV324" s="68"/>
      <c r="AW324" s="68"/>
      <c r="AY324" s="27"/>
      <c r="BD324" s="68">
        <v>46054.1666666667</v>
      </c>
      <c r="BE324" s="68">
        <v>46082.1666666667</v>
      </c>
      <c r="BF324" s="0" t="b">
        <v>0</v>
      </c>
      <c r="BG324" s="0" t="b">
        <v>0</v>
      </c>
      <c r="BH324" s="0">
        <v>120</v>
      </c>
      <c r="BI324" s="0">
        <v>120</v>
      </c>
      <c r="BJ324" s="0" t="s">
        <v>135</v>
      </c>
    </row>
    <row r="325">
      <c r="A325" s="0" t="s">
        <v>500</v>
      </c>
      <c r="B325" s="0" t="s">
        <v>134</v>
      </c>
      <c r="C325" s="0" t="s">
        <v>134</v>
      </c>
      <c r="D325" s="0" t="s">
        <v>135</v>
      </c>
      <c r="E325" s="0" t="s">
        <v>3</v>
      </c>
      <c r="F325" s="0" t="s">
        <v>10</v>
      </c>
      <c r="G325" s="0" t="s">
        <v>8</v>
      </c>
      <c r="H325" s="0">
        <v>3768</v>
      </c>
      <c r="I325" s="0">
        <v>294</v>
      </c>
      <c r="J325" s="0">
        <v>0</v>
      </c>
      <c r="K325" s="0">
        <v>1</v>
      </c>
      <c r="L325" s="0">
        <v>3</v>
      </c>
      <c r="M325" s="0">
        <v>6</v>
      </c>
      <c r="N325" s="0">
        <v>77.5</v>
      </c>
      <c r="O325" s="0">
        <v>0</v>
      </c>
      <c r="P325" s="0">
        <v>0</v>
      </c>
      <c r="Q325" s="0" t="s">
        <v>357</v>
      </c>
      <c r="R325" s="0" t="b">
        <v>0</v>
      </c>
      <c r="S325" s="0" t="b">
        <v>1</v>
      </c>
      <c r="T325" s="68">
        <v>42285.5</v>
      </c>
      <c r="U325" s="68">
        <v>42316.5</v>
      </c>
      <c r="V325" s="68">
        <v>0</v>
      </c>
      <c r="W325" s="0">
        <f>IF(IF(B325="none",1,IF(B325="Trialer",1,0))+IF(C325="Customer",1,IF(C325="Lost",1,0))=2,1,0)</f>
      </c>
      <c r="X325" s="0" t="s">
        <v>148</v>
      </c>
      <c r="Y325" s="0" t="s">
        <v>137</v>
      </c>
      <c r="AV325" s="68"/>
      <c r="AW325" s="68"/>
      <c r="AY325" s="27"/>
      <c r="BD325" s="68">
        <v>46054.1666666667</v>
      </c>
      <c r="BE325" s="68">
        <v>46082.1666666667</v>
      </c>
      <c r="BF325" s="0" t="b">
        <v>0</v>
      </c>
      <c r="BG325" s="0" t="b">
        <v>0</v>
      </c>
      <c r="BH325" s="0">
        <v>294</v>
      </c>
      <c r="BI325" s="0">
        <v>294</v>
      </c>
      <c r="BJ325" s="0" t="s">
        <v>135</v>
      </c>
    </row>
    <row r="326">
      <c r="A326" s="0" t="s">
        <v>501</v>
      </c>
      <c r="B326" s="0" t="s">
        <v>134</v>
      </c>
      <c r="C326" s="0" t="s">
        <v>134</v>
      </c>
      <c r="D326" s="0" t="s">
        <v>230</v>
      </c>
      <c r="E326" s="0" t="s">
        <v>3</v>
      </c>
      <c r="F326" s="0" t="s">
        <v>12</v>
      </c>
      <c r="G326" s="0" t="s">
        <v>7</v>
      </c>
      <c r="H326" s="0">
        <v>3761</v>
      </c>
      <c r="I326" s="0">
        <v>45</v>
      </c>
      <c r="J326" s="0">
        <v>0</v>
      </c>
      <c r="K326" s="0">
        <v>1</v>
      </c>
      <c r="L326" s="0">
        <v>1</v>
      </c>
      <c r="M326" s="0">
        <v>2</v>
      </c>
      <c r="N326" s="0">
        <v>0</v>
      </c>
      <c r="O326" s="0">
        <v>0</v>
      </c>
      <c r="P326" s="0">
        <v>-45</v>
      </c>
      <c r="R326" s="0" t="b">
        <v>0</v>
      </c>
      <c r="S326" s="0" t="b">
        <v>1</v>
      </c>
      <c r="T326" s="68">
        <v>42292.5</v>
      </c>
      <c r="U326" s="68">
        <v>42324.5</v>
      </c>
      <c r="V326" s="68">
        <v>0</v>
      </c>
      <c r="W326" s="0">
        <f>IF(IF(B326="none",1,IF(B326="Trialer",1,0))+IF(C326="Customer",1,IF(C326="Lost",1,0))=2,1,0)</f>
      </c>
      <c r="X326" s="0" t="s">
        <v>142</v>
      </c>
      <c r="Y326" s="0" t="s">
        <v>219</v>
      </c>
      <c r="AV326" s="68"/>
      <c r="AW326" s="68"/>
      <c r="AY326" s="27"/>
      <c r="BD326" s="68">
        <v>46054.1666666667</v>
      </c>
      <c r="BE326" s="68">
        <v>46082.1666666667</v>
      </c>
      <c r="BF326" s="0" t="b">
        <v>0</v>
      </c>
      <c r="BG326" s="0" t="b">
        <v>0</v>
      </c>
      <c r="BH326" s="0">
        <v>50</v>
      </c>
      <c r="BI326" s="0">
        <v>50</v>
      </c>
      <c r="BJ326" s="0" t="s">
        <v>230</v>
      </c>
    </row>
    <row r="327">
      <c r="A327" s="0" t="s">
        <v>502</v>
      </c>
      <c r="B327" s="0" t="s">
        <v>134</v>
      </c>
      <c r="C327" s="0" t="s">
        <v>134</v>
      </c>
      <c r="D327" s="0" t="s">
        <v>135</v>
      </c>
      <c r="E327" s="0" t="s">
        <v>2</v>
      </c>
      <c r="F327" s="0" t="s">
        <v>12</v>
      </c>
      <c r="G327" s="0" t="s">
        <v>7</v>
      </c>
      <c r="H327" s="0">
        <v>3761</v>
      </c>
      <c r="I327" s="0">
        <v>80</v>
      </c>
      <c r="J327" s="0">
        <v>0</v>
      </c>
      <c r="K327" s="0">
        <v>1</v>
      </c>
      <c r="L327" s="0">
        <v>1</v>
      </c>
      <c r="M327" s="0">
        <v>2</v>
      </c>
      <c r="N327" s="0">
        <v>0</v>
      </c>
      <c r="O327" s="0">
        <v>0</v>
      </c>
      <c r="P327" s="0">
        <v>0</v>
      </c>
      <c r="R327" s="0" t="b">
        <v>0</v>
      </c>
      <c r="S327" s="0" t="b">
        <v>1</v>
      </c>
      <c r="T327" s="68">
        <v>42292.5</v>
      </c>
      <c r="U327" s="68">
        <v>42323.5</v>
      </c>
      <c r="V327" s="68">
        <v>0</v>
      </c>
      <c r="W327" s="0">
        <f>IF(IF(B327="none",1,IF(B327="Trialer",1,0))+IF(C327="Customer",1,IF(C327="Lost",1,0))=2,1,0)</f>
      </c>
      <c r="X327" s="0" t="s">
        <v>136</v>
      </c>
      <c r="Y327" s="0" t="s">
        <v>137</v>
      </c>
      <c r="AV327" s="68"/>
      <c r="AW327" s="68"/>
      <c r="AY327" s="27"/>
      <c r="BD327" s="68">
        <v>46054.1666666667</v>
      </c>
      <c r="BE327" s="68">
        <v>46082.1666666667</v>
      </c>
      <c r="BF327" s="0" t="b">
        <v>0</v>
      </c>
      <c r="BG327" s="0" t="b">
        <v>0</v>
      </c>
      <c r="BH327" s="0">
        <v>160</v>
      </c>
      <c r="BI327" s="0">
        <v>160</v>
      </c>
      <c r="BJ327" s="0" t="s">
        <v>135</v>
      </c>
    </row>
    <row r="328">
      <c r="A328" s="0" t="s">
        <v>503</v>
      </c>
      <c r="B328" s="0" t="s">
        <v>134</v>
      </c>
      <c r="C328" s="0" t="s">
        <v>134</v>
      </c>
      <c r="D328" s="0" t="s">
        <v>135</v>
      </c>
      <c r="E328" s="0" t="s">
        <v>3</v>
      </c>
      <c r="F328" s="0" t="s">
        <v>12</v>
      </c>
      <c r="G328" s="0" t="s">
        <v>7</v>
      </c>
      <c r="H328" s="0">
        <v>3759</v>
      </c>
      <c r="I328" s="0">
        <v>80</v>
      </c>
      <c r="J328" s="0">
        <v>0</v>
      </c>
      <c r="K328" s="0">
        <v>1</v>
      </c>
      <c r="L328" s="0">
        <v>1</v>
      </c>
      <c r="M328" s="0">
        <v>2</v>
      </c>
      <c r="N328" s="0">
        <v>0</v>
      </c>
      <c r="O328" s="0">
        <v>0</v>
      </c>
      <c r="P328" s="0">
        <v>0</v>
      </c>
      <c r="R328" s="0" t="b">
        <v>0</v>
      </c>
      <c r="S328" s="0" t="b">
        <v>1</v>
      </c>
      <c r="T328" s="68">
        <v>42294.0178125</v>
      </c>
      <c r="U328" s="68">
        <v>42325.5</v>
      </c>
      <c r="V328" s="68">
        <v>0</v>
      </c>
      <c r="W328" s="0">
        <f>IF(IF(B328="none",1,IF(B328="Trialer",1,0))+IF(C328="Customer",1,IF(C328="Lost",1,0))=2,1,0)</f>
      </c>
      <c r="X328" s="0" t="s">
        <v>142</v>
      </c>
      <c r="Y328" s="0" t="s">
        <v>213</v>
      </c>
      <c r="AV328" s="68"/>
      <c r="AW328" s="68"/>
      <c r="AY328" s="27"/>
      <c r="BD328" s="68">
        <v>46054.1666666667</v>
      </c>
      <c r="BE328" s="68">
        <v>46082.1666666667</v>
      </c>
      <c r="BF328" s="0" t="b">
        <v>0</v>
      </c>
      <c r="BG328" s="0" t="b">
        <v>0</v>
      </c>
      <c r="BH328" s="0">
        <v>80</v>
      </c>
      <c r="BI328" s="0">
        <v>80</v>
      </c>
      <c r="BJ328" s="0" t="s">
        <v>135</v>
      </c>
    </row>
    <row r="329">
      <c r="A329" s="0" t="s">
        <v>504</v>
      </c>
      <c r="B329" s="0" t="s">
        <v>134</v>
      </c>
      <c r="C329" s="0" t="s">
        <v>134</v>
      </c>
      <c r="D329" s="0" t="s">
        <v>135</v>
      </c>
      <c r="E329" s="0" t="s">
        <v>2</v>
      </c>
      <c r="F329" s="0" t="s">
        <v>12</v>
      </c>
      <c r="G329" s="0" t="s">
        <v>8</v>
      </c>
      <c r="H329" s="0">
        <v>3756</v>
      </c>
      <c r="I329" s="0">
        <v>49</v>
      </c>
      <c r="J329" s="0">
        <v>0</v>
      </c>
      <c r="K329" s="0">
        <v>1</v>
      </c>
      <c r="L329" s="0">
        <v>3</v>
      </c>
      <c r="M329" s="0">
        <v>1</v>
      </c>
      <c r="N329" s="0">
        <v>0</v>
      </c>
      <c r="O329" s="0">
        <v>0</v>
      </c>
      <c r="P329" s="0">
        <v>0</v>
      </c>
      <c r="R329" s="0" t="b">
        <v>0</v>
      </c>
      <c r="S329" s="0" t="b">
        <v>1</v>
      </c>
      <c r="T329" s="68">
        <v>42297.5</v>
      </c>
      <c r="U329" s="68">
        <v>42328.5</v>
      </c>
      <c r="V329" s="68">
        <v>0</v>
      </c>
      <c r="W329" s="0">
        <f>IF(IF(B329="none",1,IF(B329="Trialer",1,0))+IF(C329="Customer",1,IF(C329="Lost",1,0))=2,1,0)</f>
      </c>
      <c r="X329" s="0" t="s">
        <v>166</v>
      </c>
      <c r="Y329" s="0" t="s">
        <v>137</v>
      </c>
      <c r="AV329" s="68"/>
      <c r="AW329" s="68"/>
      <c r="AY329" s="27"/>
      <c r="BD329" s="68">
        <v>46054.1666666667</v>
      </c>
      <c r="BE329" s="68">
        <v>46082.1666666667</v>
      </c>
      <c r="BF329" s="0" t="b">
        <v>0</v>
      </c>
      <c r="BG329" s="0" t="b">
        <v>0</v>
      </c>
      <c r="BH329" s="0">
        <v>49</v>
      </c>
      <c r="BI329" s="0">
        <v>49</v>
      </c>
      <c r="BJ329" s="0" t="s">
        <v>135</v>
      </c>
    </row>
    <row r="330">
      <c r="A330" s="0" t="s">
        <v>505</v>
      </c>
      <c r="B330" s="0" t="s">
        <v>134</v>
      </c>
      <c r="C330" s="0" t="s">
        <v>134</v>
      </c>
      <c r="D330" s="0" t="s">
        <v>135</v>
      </c>
      <c r="E330" s="0" t="s">
        <v>2</v>
      </c>
      <c r="F330" s="0" t="s">
        <v>12</v>
      </c>
      <c r="G330" s="0" t="s">
        <v>8</v>
      </c>
      <c r="H330" s="0">
        <v>3756</v>
      </c>
      <c r="I330" s="0">
        <v>1458.75</v>
      </c>
      <c r="J330" s="0">
        <v>0</v>
      </c>
      <c r="K330" s="0">
        <v>2</v>
      </c>
      <c r="L330" s="0">
        <v>2</v>
      </c>
      <c r="M330" s="0">
        <v>23</v>
      </c>
      <c r="N330" s="0">
        <v>0</v>
      </c>
      <c r="O330" s="0">
        <v>0</v>
      </c>
      <c r="P330" s="0">
        <v>0</v>
      </c>
      <c r="R330" s="0" t="b">
        <v>0</v>
      </c>
      <c r="S330" s="0" t="b">
        <v>1</v>
      </c>
      <c r="T330" s="68">
        <v>42297.5</v>
      </c>
      <c r="U330" s="68">
        <v>42338.5</v>
      </c>
      <c r="V330" s="68">
        <v>0</v>
      </c>
      <c r="W330" s="0">
        <f>IF(IF(B330="none",1,IF(B330="Trialer",1,0))+IF(C330="Customer",1,IF(C330="Lost",1,0))=2,1,0)</f>
      </c>
      <c r="X330" s="0" t="s">
        <v>145</v>
      </c>
      <c r="Y330" s="0" t="s">
        <v>137</v>
      </c>
      <c r="AV330" s="68"/>
      <c r="AW330" s="68"/>
      <c r="AY330" s="27"/>
      <c r="BD330" s="68">
        <v>46054.1666666667</v>
      </c>
      <c r="BE330" s="68">
        <v>46082.1666666667</v>
      </c>
      <c r="BF330" s="0" t="b">
        <v>0</v>
      </c>
      <c r="BG330" s="0" t="b">
        <v>0</v>
      </c>
      <c r="BH330" s="0">
        <v>798</v>
      </c>
      <c r="BI330" s="0">
        <v>798</v>
      </c>
      <c r="BJ330" s="0" t="s">
        <v>135</v>
      </c>
    </row>
    <row r="331">
      <c r="A331" s="0" t="s">
        <v>506</v>
      </c>
      <c r="B331" s="0" t="s">
        <v>134</v>
      </c>
      <c r="C331" s="0" t="s">
        <v>134</v>
      </c>
      <c r="D331" s="0" t="s">
        <v>135</v>
      </c>
      <c r="E331" s="0" t="s">
        <v>3</v>
      </c>
      <c r="F331" s="0" t="s">
        <v>12</v>
      </c>
      <c r="G331" s="0" t="s">
        <v>8</v>
      </c>
      <c r="H331" s="0">
        <v>3744</v>
      </c>
      <c r="I331" s="0">
        <v>0</v>
      </c>
      <c r="J331" s="0">
        <v>0</v>
      </c>
      <c r="K331" s="0">
        <v>1</v>
      </c>
      <c r="L331" s="0">
        <v>2</v>
      </c>
      <c r="M331" s="0">
        <v>1</v>
      </c>
      <c r="N331" s="0">
        <v>0</v>
      </c>
      <c r="O331" s="0">
        <v>0</v>
      </c>
      <c r="P331" s="0">
        <v>0</v>
      </c>
      <c r="R331" s="0" t="b">
        <v>0</v>
      </c>
      <c r="S331" s="0" t="b">
        <v>1</v>
      </c>
      <c r="T331" s="68">
        <v>42309.5006944444</v>
      </c>
      <c r="U331" s="68">
        <v>43070.5</v>
      </c>
      <c r="V331" s="68">
        <v>0</v>
      </c>
      <c r="W331" s="0">
        <f>IF(IF(B331="none",1,IF(B331="Trialer",1,0))+IF(C331="Customer",1,IF(C331="Lost",1,0))=2,1,0)</f>
      </c>
      <c r="X331" s="0" t="s">
        <v>148</v>
      </c>
      <c r="Y331" s="0" t="s">
        <v>213</v>
      </c>
      <c r="AV331" s="68"/>
      <c r="AW331" s="68"/>
      <c r="AY331" s="27"/>
      <c r="BD331" s="68">
        <v>46054.1666666667</v>
      </c>
      <c r="BE331" s="68">
        <v>46082.1666666667</v>
      </c>
      <c r="BF331" s="0" t="b">
        <v>0</v>
      </c>
      <c r="BG331" s="0" t="b">
        <v>0</v>
      </c>
      <c r="BH331" s="0">
        <v>0</v>
      </c>
      <c r="BI331" s="0">
        <v>0</v>
      </c>
      <c r="BJ331" s="0" t="s">
        <v>135</v>
      </c>
    </row>
    <row r="332">
      <c r="A332" s="0" t="s">
        <v>507</v>
      </c>
      <c r="B332" s="0" t="s">
        <v>134</v>
      </c>
      <c r="C332" s="0" t="s">
        <v>134</v>
      </c>
      <c r="D332" s="0" t="s">
        <v>135</v>
      </c>
      <c r="E332" s="0" t="s">
        <v>2</v>
      </c>
      <c r="F332" s="0" t="s">
        <v>12</v>
      </c>
      <c r="G332" s="0" t="s">
        <v>8</v>
      </c>
      <c r="H332" s="0">
        <v>3742</v>
      </c>
      <c r="I332" s="0">
        <v>300</v>
      </c>
      <c r="J332" s="0">
        <v>0</v>
      </c>
      <c r="K332" s="0">
        <v>1</v>
      </c>
      <c r="L332" s="0">
        <v>1</v>
      </c>
      <c r="M332" s="0">
        <v>12</v>
      </c>
      <c r="N332" s="0">
        <v>0</v>
      </c>
      <c r="O332" s="0">
        <v>0</v>
      </c>
      <c r="P332" s="0">
        <v>0</v>
      </c>
      <c r="R332" s="0" t="b">
        <v>0</v>
      </c>
      <c r="S332" s="0" t="b">
        <v>1</v>
      </c>
      <c r="T332" s="68">
        <v>42311.5</v>
      </c>
      <c r="U332" s="68">
        <v>42341.5</v>
      </c>
      <c r="V332" s="68">
        <v>0</v>
      </c>
      <c r="W332" s="0">
        <f>IF(IF(B332="none",1,IF(B332="Trialer",1,0))+IF(C332="Customer",1,IF(C332="Lost",1,0))=2,1,0)</f>
      </c>
      <c r="X332" s="0" t="s">
        <v>148</v>
      </c>
      <c r="Y332" s="0" t="s">
        <v>137</v>
      </c>
      <c r="AV332" s="68"/>
      <c r="AW332" s="68"/>
      <c r="AY332" s="27"/>
      <c r="BD332" s="68">
        <v>46054.1666666667</v>
      </c>
      <c r="BE332" s="68">
        <v>46082.1666666667</v>
      </c>
      <c r="BF332" s="0" t="b">
        <v>0</v>
      </c>
      <c r="BG332" s="0" t="b">
        <v>0</v>
      </c>
      <c r="BH332" s="0">
        <v>300</v>
      </c>
      <c r="BI332" s="0">
        <v>300</v>
      </c>
      <c r="BJ332" s="0" t="s">
        <v>135</v>
      </c>
    </row>
    <row r="333">
      <c r="A333" s="0" t="s">
        <v>508</v>
      </c>
      <c r="B333" s="0" t="s">
        <v>134</v>
      </c>
      <c r="C333" s="0" t="s">
        <v>134</v>
      </c>
      <c r="D333" s="0" t="s">
        <v>135</v>
      </c>
      <c r="E333" s="0" t="s">
        <v>2</v>
      </c>
      <c r="F333" s="0" t="s">
        <v>10</v>
      </c>
      <c r="G333" s="0" t="s">
        <v>7</v>
      </c>
      <c r="H333" s="0">
        <v>3729</v>
      </c>
      <c r="I333" s="0">
        <v>520</v>
      </c>
      <c r="J333" s="0">
        <v>0</v>
      </c>
      <c r="K333" s="0">
        <v>1</v>
      </c>
      <c r="L333" s="0">
        <v>1</v>
      </c>
      <c r="M333" s="0">
        <v>13</v>
      </c>
      <c r="N333" s="0">
        <v>0</v>
      </c>
      <c r="O333" s="0">
        <v>0</v>
      </c>
      <c r="P333" s="0">
        <v>0</v>
      </c>
      <c r="Q333" s="0" t="s">
        <v>357</v>
      </c>
      <c r="R333" s="0" t="b">
        <v>0</v>
      </c>
      <c r="S333" s="0" t="b">
        <v>1</v>
      </c>
      <c r="T333" s="68">
        <v>42324.4152777778</v>
      </c>
      <c r="U333" s="68">
        <v>42354.5</v>
      </c>
      <c r="V333" s="68">
        <v>0</v>
      </c>
      <c r="W333" s="0">
        <f>IF(IF(B333="none",1,IF(B333="Trialer",1,0))+IF(C333="Customer",1,IF(C333="Lost",1,0))=2,1,0)</f>
      </c>
      <c r="X333" s="0" t="s">
        <v>148</v>
      </c>
      <c r="Y333" s="0" t="s">
        <v>137</v>
      </c>
      <c r="AV333" s="68"/>
      <c r="AW333" s="68"/>
      <c r="AY333" s="27"/>
      <c r="BD333" s="68">
        <v>46054.1666666667</v>
      </c>
      <c r="BE333" s="68">
        <v>46082.1666666667</v>
      </c>
      <c r="BF333" s="0" t="b">
        <v>0</v>
      </c>
      <c r="BG333" s="0" t="b">
        <v>0</v>
      </c>
      <c r="BH333" s="0">
        <v>520</v>
      </c>
      <c r="BI333" s="0">
        <v>520</v>
      </c>
      <c r="BJ333" s="0" t="s">
        <v>135</v>
      </c>
    </row>
    <row r="334">
      <c r="A334" s="0" t="s">
        <v>509</v>
      </c>
      <c r="B334" s="0" t="s">
        <v>134</v>
      </c>
      <c r="C334" s="0" t="s">
        <v>134</v>
      </c>
      <c r="D334" s="0" t="s">
        <v>135</v>
      </c>
      <c r="E334" s="0" t="s">
        <v>3</v>
      </c>
      <c r="F334" s="0" t="s">
        <v>12</v>
      </c>
      <c r="G334" s="0" t="s">
        <v>8</v>
      </c>
      <c r="H334" s="0">
        <v>3725</v>
      </c>
      <c r="I334" s="0">
        <v>465.25</v>
      </c>
      <c r="J334" s="0">
        <v>0</v>
      </c>
      <c r="K334" s="0">
        <v>2</v>
      </c>
      <c r="L334" s="0">
        <v>3</v>
      </c>
      <c r="M334" s="0">
        <v>1</v>
      </c>
      <c r="N334" s="0">
        <v>0</v>
      </c>
      <c r="O334" s="0">
        <v>0</v>
      </c>
      <c r="P334" s="0">
        <v>0</v>
      </c>
      <c r="R334" s="0" t="b">
        <v>0</v>
      </c>
      <c r="S334" s="0" t="b">
        <v>1</v>
      </c>
      <c r="T334" s="68">
        <v>42328.3528935185</v>
      </c>
      <c r="U334" s="68">
        <v>42373.5</v>
      </c>
      <c r="V334" s="68">
        <v>0</v>
      </c>
      <c r="W334" s="0">
        <f>IF(IF(B334="none",1,IF(B334="Trialer",1,0))+IF(C334="Customer",1,IF(C334="Lost",1,0))=2,1,0)</f>
      </c>
      <c r="X334" s="0" t="s">
        <v>136</v>
      </c>
      <c r="Y334" s="0" t="s">
        <v>213</v>
      </c>
      <c r="AV334" s="68"/>
      <c r="AW334" s="68"/>
      <c r="AY334" s="27"/>
      <c r="BD334" s="68">
        <v>46054.1666666667</v>
      </c>
      <c r="BE334" s="68">
        <v>46082.1666666667</v>
      </c>
      <c r="BF334" s="0" t="b">
        <v>0</v>
      </c>
      <c r="BG334" s="0" t="b">
        <v>0</v>
      </c>
      <c r="BH334" s="0">
        <v>52</v>
      </c>
      <c r="BI334" s="0">
        <v>52</v>
      </c>
      <c r="BJ334" s="0" t="s">
        <v>135</v>
      </c>
    </row>
    <row r="335">
      <c r="A335" s="0" t="s">
        <v>510</v>
      </c>
      <c r="B335" s="0" t="s">
        <v>134</v>
      </c>
      <c r="C335" s="0" t="s">
        <v>134</v>
      </c>
      <c r="D335" s="0" t="s">
        <v>135</v>
      </c>
      <c r="E335" s="0" t="s">
        <v>3</v>
      </c>
      <c r="F335" s="0" t="s">
        <v>12</v>
      </c>
      <c r="G335" s="0" t="s">
        <v>8</v>
      </c>
      <c r="H335" s="0">
        <v>3725</v>
      </c>
      <c r="I335" s="0">
        <v>75</v>
      </c>
      <c r="J335" s="0">
        <v>0</v>
      </c>
      <c r="K335" s="0">
        <v>1</v>
      </c>
      <c r="L335" s="0">
        <v>1</v>
      </c>
      <c r="M335" s="0">
        <v>3</v>
      </c>
      <c r="N335" s="0">
        <v>0</v>
      </c>
      <c r="O335" s="0">
        <v>0</v>
      </c>
      <c r="P335" s="0">
        <v>0</v>
      </c>
      <c r="R335" s="0" t="b">
        <v>0</v>
      </c>
      <c r="S335" s="0" t="b">
        <v>1</v>
      </c>
      <c r="T335" s="68">
        <v>42328.5</v>
      </c>
      <c r="U335" s="68">
        <v>42367.5</v>
      </c>
      <c r="V335" s="68">
        <v>0</v>
      </c>
      <c r="W335" s="0">
        <f>IF(IF(B335="none",1,IF(B335="Trialer",1,0))+IF(C335="Customer",1,IF(C335="Lost",1,0))=2,1,0)</f>
      </c>
      <c r="X335" s="0" t="s">
        <v>166</v>
      </c>
      <c r="Y335" s="0" t="s">
        <v>243</v>
      </c>
      <c r="AV335" s="68"/>
      <c r="AW335" s="68"/>
      <c r="AY335" s="27"/>
      <c r="BD335" s="68">
        <v>46054.1666666667</v>
      </c>
      <c r="BE335" s="68">
        <v>46082.1666666667</v>
      </c>
      <c r="BF335" s="0" t="b">
        <v>0</v>
      </c>
      <c r="BG335" s="0" t="b">
        <v>0</v>
      </c>
      <c r="BH335" s="0">
        <v>75</v>
      </c>
      <c r="BI335" s="0">
        <v>75</v>
      </c>
      <c r="BJ335" s="0" t="s">
        <v>135</v>
      </c>
    </row>
    <row r="336">
      <c r="A336" s="0" t="s">
        <v>511</v>
      </c>
      <c r="B336" s="0" t="s">
        <v>134</v>
      </c>
      <c r="C336" s="0" t="s">
        <v>134</v>
      </c>
      <c r="D336" s="0" t="s">
        <v>135</v>
      </c>
      <c r="E336" s="0" t="s">
        <v>3</v>
      </c>
      <c r="F336" s="0" t="s">
        <v>12</v>
      </c>
      <c r="G336" s="0" t="s">
        <v>7</v>
      </c>
      <c r="H336" s="0">
        <v>3720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R336" s="0" t="b">
        <v>0</v>
      </c>
      <c r="S336" s="0" t="b">
        <v>1</v>
      </c>
      <c r="T336" s="68">
        <v>42333.5</v>
      </c>
      <c r="U336" s="68">
        <v>42363.5</v>
      </c>
      <c r="V336" s="68">
        <v>0</v>
      </c>
      <c r="W336" s="0">
        <f>IF(IF(B336="none",1,IF(B336="Trialer",1,0))+IF(C336="Customer",1,IF(C336="Lost",1,0))=2,1,0)</f>
      </c>
      <c r="X336" s="0" t="s">
        <v>153</v>
      </c>
      <c r="Y336" s="0" t="s">
        <v>213</v>
      </c>
      <c r="AV336" s="68"/>
      <c r="AW336" s="68"/>
      <c r="AY336" s="27"/>
      <c r="BD336" s="68">
        <v>46054.1666666667</v>
      </c>
      <c r="BE336" s="68">
        <v>46082.1666666667</v>
      </c>
      <c r="BF336" s="0" t="b">
        <v>0</v>
      </c>
      <c r="BG336" s="0" t="b">
        <v>0</v>
      </c>
      <c r="BH336" s="0">
        <v>0</v>
      </c>
      <c r="BI336" s="0">
        <v>0</v>
      </c>
      <c r="BJ336" s="0" t="s">
        <v>135</v>
      </c>
    </row>
    <row r="337">
      <c r="A337" s="0" t="s">
        <v>512</v>
      </c>
      <c r="B337" s="0" t="s">
        <v>134</v>
      </c>
      <c r="C337" s="0" t="s">
        <v>134</v>
      </c>
      <c r="D337" s="0" t="s">
        <v>135</v>
      </c>
      <c r="E337" s="0" t="s">
        <v>2</v>
      </c>
      <c r="F337" s="0" t="s">
        <v>12</v>
      </c>
      <c r="G337" s="0" t="s">
        <v>8</v>
      </c>
      <c r="H337" s="0">
        <v>3714</v>
      </c>
      <c r="I337" s="0">
        <v>720</v>
      </c>
      <c r="J337" s="0">
        <v>0</v>
      </c>
      <c r="K337" s="0">
        <v>1</v>
      </c>
      <c r="L337" s="0">
        <v>4</v>
      </c>
      <c r="M337" s="0">
        <v>18</v>
      </c>
      <c r="N337" s="0">
        <v>0</v>
      </c>
      <c r="O337" s="0">
        <v>0</v>
      </c>
      <c r="P337" s="0">
        <v>0</v>
      </c>
      <c r="R337" s="0" t="b">
        <v>0</v>
      </c>
      <c r="S337" s="0" t="b">
        <v>1</v>
      </c>
      <c r="T337" s="68">
        <v>42339.6951388889</v>
      </c>
      <c r="U337" s="68">
        <v>42373.5</v>
      </c>
      <c r="V337" s="68">
        <v>0</v>
      </c>
      <c r="W337" s="0">
        <f>IF(IF(B337="none",1,IF(B337="Trialer",1,0))+IF(C337="Customer",1,IF(C337="Lost",1,0))=2,1,0)</f>
      </c>
      <c r="X337" s="0" t="s">
        <v>148</v>
      </c>
      <c r="Y337" s="0" t="s">
        <v>137</v>
      </c>
      <c r="AV337" s="68"/>
      <c r="AW337" s="68"/>
      <c r="AY337" s="27"/>
      <c r="BD337" s="68">
        <v>46054.1666666667</v>
      </c>
      <c r="BE337" s="68">
        <v>46082.1666666667</v>
      </c>
      <c r="BF337" s="0" t="b">
        <v>0</v>
      </c>
      <c r="BG337" s="0" t="b">
        <v>0</v>
      </c>
      <c r="BH337" s="0">
        <v>720</v>
      </c>
      <c r="BI337" s="0">
        <v>720</v>
      </c>
      <c r="BJ337" s="0" t="s">
        <v>135</v>
      </c>
    </row>
    <row r="338">
      <c r="A338" s="0" t="s">
        <v>513</v>
      </c>
      <c r="B338" s="0" t="s">
        <v>134</v>
      </c>
      <c r="C338" s="0" t="s">
        <v>134</v>
      </c>
      <c r="D338" s="0" t="s">
        <v>135</v>
      </c>
      <c r="E338" s="0" t="s">
        <v>2</v>
      </c>
      <c r="F338" s="0" t="s">
        <v>11</v>
      </c>
      <c r="G338" s="0" t="s">
        <v>7</v>
      </c>
      <c r="H338" s="0">
        <v>3713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 t="s">
        <v>449</v>
      </c>
      <c r="R338" s="0" t="b">
        <v>1</v>
      </c>
      <c r="S338" s="0" t="b">
        <v>0</v>
      </c>
      <c r="T338" s="68">
        <v>42340.7284722222</v>
      </c>
      <c r="U338" s="68">
        <v>42340.5</v>
      </c>
      <c r="V338" s="68">
        <v>0</v>
      </c>
      <c r="W338" s="0">
        <f>IF(IF(B338="none",1,IF(B338="Trialer",1,0))+IF(C338="Customer",1,IF(C338="Lost",1,0))=2,1,0)</f>
      </c>
      <c r="X338" s="0" t="s">
        <v>136</v>
      </c>
      <c r="Y338" s="0" t="s">
        <v>137</v>
      </c>
      <c r="AV338" s="68"/>
      <c r="AW338" s="68"/>
      <c r="AY338" s="27"/>
      <c r="BD338" s="68">
        <v>46054.1666666667</v>
      </c>
      <c r="BE338" s="68">
        <v>46082.1666666667</v>
      </c>
      <c r="BF338" s="0" t="b">
        <v>0</v>
      </c>
      <c r="BG338" s="0" t="b">
        <v>0</v>
      </c>
      <c r="BH338" s="0">
        <v>40</v>
      </c>
      <c r="BI338" s="0">
        <v>0</v>
      </c>
      <c r="BJ338" s="0" t="s">
        <v>135</v>
      </c>
    </row>
    <row r="339">
      <c r="A339" s="0" t="s">
        <v>514</v>
      </c>
      <c r="B339" s="0" t="s">
        <v>134</v>
      </c>
      <c r="C339" s="0" t="s">
        <v>134</v>
      </c>
      <c r="D339" s="0" t="s">
        <v>230</v>
      </c>
      <c r="E339" s="0" t="s">
        <v>3</v>
      </c>
      <c r="F339" s="0" t="s">
        <v>12</v>
      </c>
      <c r="G339" s="0" t="s">
        <v>8</v>
      </c>
      <c r="H339" s="0">
        <v>3712</v>
      </c>
      <c r="I339" s="0">
        <v>22.5</v>
      </c>
      <c r="J339" s="0">
        <v>0</v>
      </c>
      <c r="K339" s="0">
        <v>1</v>
      </c>
      <c r="L339" s="0">
        <v>1</v>
      </c>
      <c r="M339" s="0">
        <v>1</v>
      </c>
      <c r="N339" s="0">
        <v>0</v>
      </c>
      <c r="O339" s="0">
        <v>0</v>
      </c>
      <c r="P339" s="0">
        <v>-22.5</v>
      </c>
      <c r="R339" s="0" t="b">
        <v>0</v>
      </c>
      <c r="S339" s="0" t="b">
        <v>1</v>
      </c>
      <c r="T339" s="68">
        <v>42341.3985648148</v>
      </c>
      <c r="U339" s="68">
        <v>42373.5</v>
      </c>
      <c r="V339" s="68">
        <v>0</v>
      </c>
      <c r="W339" s="0">
        <f>IF(IF(B339="none",1,IF(B339="Trialer",1,0))+IF(C339="Customer",1,IF(C339="Lost",1,0))=2,1,0)</f>
      </c>
      <c r="X339" s="0" t="s">
        <v>166</v>
      </c>
      <c r="Y339" s="0" t="s">
        <v>487</v>
      </c>
      <c r="AV339" s="68"/>
      <c r="AW339" s="68"/>
      <c r="AY339" s="27"/>
      <c r="BD339" s="68">
        <v>46054.1666666667</v>
      </c>
      <c r="BE339" s="68">
        <v>46082.1666666667</v>
      </c>
      <c r="BF339" s="0" t="b">
        <v>0</v>
      </c>
      <c r="BG339" s="0" t="b">
        <v>0</v>
      </c>
      <c r="BH339" s="0">
        <v>25</v>
      </c>
      <c r="BI339" s="0">
        <v>25</v>
      </c>
      <c r="BJ339" s="0" t="s">
        <v>230</v>
      </c>
    </row>
    <row r="340">
      <c r="A340" s="0" t="s">
        <v>515</v>
      </c>
      <c r="B340" s="0" t="s">
        <v>134</v>
      </c>
      <c r="C340" s="0" t="s">
        <v>134</v>
      </c>
      <c r="D340" s="0" t="s">
        <v>230</v>
      </c>
      <c r="E340" s="0" t="s">
        <v>3</v>
      </c>
      <c r="F340" s="0" t="s">
        <v>12</v>
      </c>
      <c r="G340" s="0" t="s">
        <v>8</v>
      </c>
      <c r="H340" s="0">
        <v>3711</v>
      </c>
      <c r="I340" s="0">
        <v>63</v>
      </c>
      <c r="J340" s="0">
        <v>0</v>
      </c>
      <c r="K340" s="0">
        <v>1</v>
      </c>
      <c r="L340" s="0">
        <v>2</v>
      </c>
      <c r="M340" s="0">
        <v>2</v>
      </c>
      <c r="N340" s="0">
        <v>0</v>
      </c>
      <c r="O340" s="0">
        <v>0</v>
      </c>
      <c r="P340" s="0">
        <v>-63</v>
      </c>
      <c r="R340" s="0" t="b">
        <v>0</v>
      </c>
      <c r="S340" s="0" t="b">
        <v>1</v>
      </c>
      <c r="T340" s="68">
        <v>42342.5486111111</v>
      </c>
      <c r="U340" s="68">
        <v>42373.5</v>
      </c>
      <c r="V340" s="68">
        <v>0</v>
      </c>
      <c r="W340" s="0">
        <f>IF(IF(B340="none",1,IF(B340="Trialer",1,0))+IF(C340="Customer",1,IF(C340="Lost",1,0))=2,1,0)</f>
      </c>
      <c r="X340" s="0" t="s">
        <v>142</v>
      </c>
      <c r="Y340" s="0" t="s">
        <v>243</v>
      </c>
      <c r="AV340" s="68"/>
      <c r="AW340" s="68"/>
      <c r="AY340" s="27"/>
      <c r="BD340" s="68">
        <v>46054.1666666667</v>
      </c>
      <c r="BE340" s="68">
        <v>46082.1666666667</v>
      </c>
      <c r="BF340" s="0" t="b">
        <v>0</v>
      </c>
      <c r="BG340" s="0" t="b">
        <v>0</v>
      </c>
      <c r="BH340" s="0">
        <v>70</v>
      </c>
      <c r="BI340" s="0">
        <v>70</v>
      </c>
      <c r="BJ340" s="0" t="s">
        <v>230</v>
      </c>
    </row>
    <row r="341">
      <c r="A341" s="0" t="s">
        <v>516</v>
      </c>
      <c r="B341" s="0" t="s">
        <v>134</v>
      </c>
      <c r="C341" s="0" t="s">
        <v>134</v>
      </c>
      <c r="D341" s="0" t="s">
        <v>135</v>
      </c>
      <c r="E341" s="0" t="s">
        <v>2</v>
      </c>
      <c r="F341" s="0" t="s">
        <v>12</v>
      </c>
      <c r="G341" s="0" t="s">
        <v>7</v>
      </c>
      <c r="H341" s="0">
        <v>3700</v>
      </c>
      <c r="I341" s="0">
        <v>25</v>
      </c>
      <c r="J341" s="0">
        <v>0</v>
      </c>
      <c r="K341" s="0">
        <v>1</v>
      </c>
      <c r="L341" s="0">
        <v>1</v>
      </c>
      <c r="M341" s="0">
        <v>1</v>
      </c>
      <c r="N341" s="0">
        <v>0</v>
      </c>
      <c r="O341" s="0">
        <v>0</v>
      </c>
      <c r="P341" s="0">
        <v>0</v>
      </c>
      <c r="R341" s="0" t="b">
        <v>0</v>
      </c>
      <c r="S341" s="0" t="b">
        <v>1</v>
      </c>
      <c r="T341" s="68">
        <v>42353.5747685185</v>
      </c>
      <c r="U341" s="68">
        <v>42389.5</v>
      </c>
      <c r="V341" s="68">
        <v>0</v>
      </c>
      <c r="W341" s="0">
        <f>IF(IF(B341="none",1,IF(B341="Trialer",1,0))+IF(C341="Customer",1,IF(C341="Lost",1,0))=2,1,0)</f>
      </c>
      <c r="X341" s="0" t="s">
        <v>166</v>
      </c>
      <c r="Y341" s="0" t="s">
        <v>137</v>
      </c>
      <c r="AV341" s="68"/>
      <c r="AW341" s="68"/>
      <c r="AY341" s="27"/>
      <c r="BD341" s="68">
        <v>46054.1666666667</v>
      </c>
      <c r="BE341" s="68">
        <v>46082.1666666667</v>
      </c>
      <c r="BF341" s="0" t="b">
        <v>0</v>
      </c>
      <c r="BG341" s="0" t="b">
        <v>0</v>
      </c>
      <c r="BH341" s="0">
        <v>25</v>
      </c>
      <c r="BI341" s="0">
        <v>25</v>
      </c>
      <c r="BJ341" s="0" t="s">
        <v>135</v>
      </c>
    </row>
    <row r="342">
      <c r="A342" s="0" t="s">
        <v>517</v>
      </c>
      <c r="B342" s="0" t="s">
        <v>134</v>
      </c>
      <c r="C342" s="0" t="s">
        <v>134</v>
      </c>
      <c r="D342" s="0" t="s">
        <v>135</v>
      </c>
      <c r="E342" s="0" t="s">
        <v>2</v>
      </c>
      <c r="F342" s="0" t="s">
        <v>12</v>
      </c>
      <c r="G342" s="0" t="s">
        <v>7</v>
      </c>
      <c r="H342" s="0">
        <v>3699</v>
      </c>
      <c r="I342" s="0">
        <v>280</v>
      </c>
      <c r="J342" s="0">
        <v>0</v>
      </c>
      <c r="K342" s="0">
        <v>1</v>
      </c>
      <c r="L342" s="0">
        <v>1</v>
      </c>
      <c r="M342" s="0">
        <v>7</v>
      </c>
      <c r="N342" s="0">
        <v>0</v>
      </c>
      <c r="O342" s="0">
        <v>0</v>
      </c>
      <c r="P342" s="0">
        <v>0</v>
      </c>
      <c r="R342" s="0" t="b">
        <v>0</v>
      </c>
      <c r="S342" s="0" t="b">
        <v>1</v>
      </c>
      <c r="T342" s="68">
        <v>42354.5</v>
      </c>
      <c r="U342" s="68">
        <v>42385.5</v>
      </c>
      <c r="V342" s="68">
        <v>0</v>
      </c>
      <c r="W342" s="0">
        <f>IF(IF(B342="none",1,IF(B342="Trialer",1,0))+IF(C342="Customer",1,IF(C342="Lost",1,0))=2,1,0)</f>
      </c>
      <c r="X342" s="0" t="s">
        <v>136</v>
      </c>
      <c r="Y342" s="0" t="s">
        <v>137</v>
      </c>
      <c r="AV342" s="68"/>
      <c r="AW342" s="68"/>
      <c r="AY342" s="27"/>
      <c r="BD342" s="68">
        <v>46054.1666666667</v>
      </c>
      <c r="BE342" s="68">
        <v>46082.1666666667</v>
      </c>
      <c r="BF342" s="0" t="b">
        <v>0</v>
      </c>
      <c r="BG342" s="0" t="b">
        <v>0</v>
      </c>
      <c r="BH342" s="0">
        <v>280</v>
      </c>
      <c r="BI342" s="0">
        <v>280</v>
      </c>
      <c r="BJ342" s="0" t="s">
        <v>135</v>
      </c>
    </row>
    <row r="343">
      <c r="A343" s="0" t="s">
        <v>518</v>
      </c>
      <c r="B343" s="0" t="s">
        <v>134</v>
      </c>
      <c r="C343" s="0" t="s">
        <v>134</v>
      </c>
      <c r="D343" s="0" t="s">
        <v>135</v>
      </c>
      <c r="E343" s="0" t="s">
        <v>2</v>
      </c>
      <c r="F343" s="0" t="s">
        <v>12</v>
      </c>
      <c r="G343" s="0" t="s">
        <v>7</v>
      </c>
      <c r="H343" s="0">
        <v>3697</v>
      </c>
      <c r="I343" s="0">
        <v>25</v>
      </c>
      <c r="J343" s="0">
        <v>0</v>
      </c>
      <c r="K343" s="0">
        <v>1</v>
      </c>
      <c r="L343" s="0">
        <v>1</v>
      </c>
      <c r="M343" s="0">
        <v>1</v>
      </c>
      <c r="N343" s="0">
        <v>0</v>
      </c>
      <c r="O343" s="0">
        <v>0</v>
      </c>
      <c r="P343" s="0">
        <v>0</v>
      </c>
      <c r="R343" s="0" t="b">
        <v>0</v>
      </c>
      <c r="S343" s="0" t="b">
        <v>1</v>
      </c>
      <c r="T343" s="68">
        <v>42356.44375</v>
      </c>
      <c r="U343" s="68">
        <v>42387.5</v>
      </c>
      <c r="V343" s="68">
        <v>0</v>
      </c>
      <c r="W343" s="0">
        <f>IF(IF(B343="none",1,IF(B343="Trialer",1,0))+IF(C343="Customer",1,IF(C343="Lost",1,0))=2,1,0)</f>
      </c>
      <c r="X343" s="0" t="s">
        <v>166</v>
      </c>
      <c r="Y343" s="0" t="s">
        <v>137</v>
      </c>
      <c r="AV343" s="68"/>
      <c r="AW343" s="68"/>
      <c r="AY343" s="27"/>
      <c r="BD343" s="68">
        <v>46054.1666666667</v>
      </c>
      <c r="BE343" s="68">
        <v>46082.1666666667</v>
      </c>
      <c r="BF343" s="0" t="b">
        <v>0</v>
      </c>
      <c r="BG343" s="0" t="b">
        <v>0</v>
      </c>
      <c r="BH343" s="0">
        <v>25</v>
      </c>
      <c r="BI343" s="0">
        <v>25</v>
      </c>
      <c r="BJ343" s="0" t="s">
        <v>135</v>
      </c>
    </row>
    <row r="344">
      <c r="A344" s="0" t="s">
        <v>519</v>
      </c>
      <c r="B344" s="0" t="s">
        <v>134</v>
      </c>
      <c r="C344" s="0" t="s">
        <v>134</v>
      </c>
      <c r="D344" s="0" t="s">
        <v>135</v>
      </c>
      <c r="E344" s="0" t="s">
        <v>2</v>
      </c>
      <c r="F344" s="0" t="s">
        <v>10</v>
      </c>
      <c r="G344" s="0" t="s">
        <v>8</v>
      </c>
      <c r="H344" s="0">
        <v>3694</v>
      </c>
      <c r="I344" s="0">
        <v>50</v>
      </c>
      <c r="J344" s="0">
        <v>0</v>
      </c>
      <c r="K344" s="0">
        <v>1</v>
      </c>
      <c r="L344" s="0">
        <v>1</v>
      </c>
      <c r="M344" s="0">
        <v>2</v>
      </c>
      <c r="N344" s="0">
        <v>0</v>
      </c>
      <c r="O344" s="0">
        <v>0</v>
      </c>
      <c r="P344" s="0">
        <v>0</v>
      </c>
      <c r="Q344" s="0" t="s">
        <v>294</v>
      </c>
      <c r="R344" s="0" t="b">
        <v>0</v>
      </c>
      <c r="S344" s="0" t="b">
        <v>1</v>
      </c>
      <c r="T344" s="68">
        <v>42359.6714467593</v>
      </c>
      <c r="U344" s="68">
        <v>42390.5</v>
      </c>
      <c r="V344" s="68">
        <v>0</v>
      </c>
      <c r="W344" s="0">
        <f>IF(IF(B344="none",1,IF(B344="Trialer",1,0))+IF(C344="Customer",1,IF(C344="Lost",1,0))=2,1,0)</f>
      </c>
      <c r="X344" s="0" t="s">
        <v>148</v>
      </c>
      <c r="Y344" s="0" t="s">
        <v>499</v>
      </c>
      <c r="AV344" s="68"/>
      <c r="AW344" s="68"/>
      <c r="AY344" s="27"/>
      <c r="BD344" s="68">
        <v>46054.1666666667</v>
      </c>
      <c r="BE344" s="68">
        <v>46082.1666666667</v>
      </c>
      <c r="BF344" s="0" t="b">
        <v>0</v>
      </c>
      <c r="BG344" s="0" t="b">
        <v>0</v>
      </c>
      <c r="BH344" s="0">
        <v>50</v>
      </c>
      <c r="BI344" s="0">
        <v>50</v>
      </c>
      <c r="BJ344" s="0" t="s">
        <v>135</v>
      </c>
    </row>
    <row r="345">
      <c r="A345" s="0" t="s">
        <v>520</v>
      </c>
      <c r="B345" s="0" t="s">
        <v>134</v>
      </c>
      <c r="C345" s="0" t="s">
        <v>134</v>
      </c>
      <c r="D345" s="0" t="s">
        <v>135</v>
      </c>
      <c r="E345" s="0" t="s">
        <v>2</v>
      </c>
      <c r="F345" s="0" t="s">
        <v>10</v>
      </c>
      <c r="G345" s="0" t="s">
        <v>8</v>
      </c>
      <c r="H345" s="0">
        <v>3692</v>
      </c>
      <c r="I345" s="0">
        <v>80</v>
      </c>
      <c r="J345" s="0">
        <v>0</v>
      </c>
      <c r="K345" s="0">
        <v>1</v>
      </c>
      <c r="L345" s="0">
        <v>2</v>
      </c>
      <c r="M345" s="0">
        <v>2</v>
      </c>
      <c r="N345" s="0">
        <v>0</v>
      </c>
      <c r="O345" s="0">
        <v>0</v>
      </c>
      <c r="P345" s="0">
        <v>0</v>
      </c>
      <c r="Q345" s="0" t="s">
        <v>357</v>
      </c>
      <c r="R345" s="0" t="b">
        <v>0</v>
      </c>
      <c r="S345" s="0" t="b">
        <v>1</v>
      </c>
      <c r="T345" s="68">
        <v>42361.4888888889</v>
      </c>
      <c r="U345" s="68">
        <v>42394.5</v>
      </c>
      <c r="V345" s="68">
        <v>0</v>
      </c>
      <c r="W345" s="0">
        <f>IF(IF(B345="none",1,IF(B345="Trialer",1,0))+IF(C345="Customer",1,IF(C345="Lost",1,0))=2,1,0)</f>
      </c>
      <c r="X345" s="0" t="s">
        <v>148</v>
      </c>
      <c r="Y345" s="0" t="s">
        <v>137</v>
      </c>
      <c r="AV345" s="68"/>
      <c r="AW345" s="68"/>
      <c r="AY345" s="27"/>
      <c r="BD345" s="68">
        <v>46054.1666666667</v>
      </c>
      <c r="BE345" s="68">
        <v>46082.1666666667</v>
      </c>
      <c r="BF345" s="0" t="b">
        <v>0</v>
      </c>
      <c r="BG345" s="0" t="b">
        <v>0</v>
      </c>
      <c r="BH345" s="0">
        <v>80</v>
      </c>
      <c r="BI345" s="0">
        <v>80</v>
      </c>
      <c r="BJ345" s="0" t="s">
        <v>135</v>
      </c>
    </row>
    <row r="346">
      <c r="A346" s="0" t="s">
        <v>521</v>
      </c>
      <c r="B346" s="0" t="s">
        <v>134</v>
      </c>
      <c r="C346" s="0" t="s">
        <v>134</v>
      </c>
      <c r="D346" s="0" t="s">
        <v>135</v>
      </c>
      <c r="E346" s="0" t="s">
        <v>3</v>
      </c>
      <c r="F346" s="0" t="s">
        <v>12</v>
      </c>
      <c r="G346" s="0" t="s">
        <v>8</v>
      </c>
      <c r="H346" s="0">
        <v>3682</v>
      </c>
      <c r="I346" s="0">
        <v>0</v>
      </c>
      <c r="J346" s="0">
        <v>0</v>
      </c>
      <c r="K346" s="0">
        <v>1</v>
      </c>
      <c r="L346" s="0">
        <v>2</v>
      </c>
      <c r="M346" s="0">
        <v>1</v>
      </c>
      <c r="N346" s="0">
        <v>0</v>
      </c>
      <c r="O346" s="0">
        <v>0</v>
      </c>
      <c r="P346" s="0">
        <v>0</v>
      </c>
      <c r="R346" s="0" t="b">
        <v>0</v>
      </c>
      <c r="S346" s="0" t="b">
        <v>1</v>
      </c>
      <c r="T346" s="68">
        <v>42371.5833333333</v>
      </c>
      <c r="U346" s="68">
        <v>42402.5</v>
      </c>
      <c r="V346" s="68">
        <v>0</v>
      </c>
      <c r="W346" s="0">
        <f>IF(IF(B346="none",1,IF(B346="Trialer",1,0))+IF(C346="Customer",1,IF(C346="Lost",1,0))=2,1,0)</f>
      </c>
      <c r="X346" s="0" t="s">
        <v>153</v>
      </c>
      <c r="Y346" s="0" t="s">
        <v>213</v>
      </c>
      <c r="AV346" s="68"/>
      <c r="AW346" s="68"/>
      <c r="AY346" s="27"/>
      <c r="BD346" s="68">
        <v>46054.1666666667</v>
      </c>
      <c r="BE346" s="68">
        <v>46082.1666666667</v>
      </c>
      <c r="BF346" s="0" t="b">
        <v>0</v>
      </c>
      <c r="BG346" s="0" t="b">
        <v>0</v>
      </c>
      <c r="BH346" s="0">
        <v>0</v>
      </c>
      <c r="BI346" s="0">
        <v>0</v>
      </c>
      <c r="BJ346" s="0" t="s">
        <v>135</v>
      </c>
    </row>
    <row r="347">
      <c r="A347" s="0" t="s">
        <v>522</v>
      </c>
      <c r="B347" s="0" t="s">
        <v>134</v>
      </c>
      <c r="C347" s="0" t="s">
        <v>134</v>
      </c>
      <c r="D347" s="0" t="s">
        <v>135</v>
      </c>
      <c r="E347" s="0" t="s">
        <v>3</v>
      </c>
      <c r="F347" s="0" t="s">
        <v>12</v>
      </c>
      <c r="G347" s="0" t="s">
        <v>8</v>
      </c>
      <c r="H347" s="0">
        <v>3678</v>
      </c>
      <c r="I347" s="0">
        <v>25</v>
      </c>
      <c r="J347" s="0">
        <v>0</v>
      </c>
      <c r="K347" s="0">
        <v>1</v>
      </c>
      <c r="L347" s="0">
        <v>1</v>
      </c>
      <c r="M347" s="0">
        <v>1</v>
      </c>
      <c r="N347" s="0">
        <v>0</v>
      </c>
      <c r="O347" s="0">
        <v>0</v>
      </c>
      <c r="P347" s="0">
        <v>0</v>
      </c>
      <c r="R347" s="0" t="b">
        <v>0</v>
      </c>
      <c r="S347" s="0" t="b">
        <v>0</v>
      </c>
      <c r="T347" s="68">
        <v>42375.6814583333</v>
      </c>
      <c r="U347" s="68">
        <v>42412.5</v>
      </c>
      <c r="V347" s="68">
        <v>46087.5014467593</v>
      </c>
      <c r="W347" s="0">
        <f>IF(IF(B347="none",1,IF(B347="Trialer",1,0))+IF(C347="Customer",1,IF(C347="Lost",1,0))=2,1,0)</f>
      </c>
      <c r="X347" s="0" t="s">
        <v>142</v>
      </c>
      <c r="Y347" s="0" t="s">
        <v>243</v>
      </c>
      <c r="AV347" s="68"/>
      <c r="AW347" s="68"/>
      <c r="AY347" s="27"/>
      <c r="BD347" s="68">
        <v>46054.1666666667</v>
      </c>
      <c r="BE347" s="68">
        <v>46082.1666666667</v>
      </c>
      <c r="BF347" s="0" t="b">
        <v>0</v>
      </c>
      <c r="BG347" s="0" t="b">
        <v>0</v>
      </c>
      <c r="BH347" s="0">
        <v>25</v>
      </c>
      <c r="BI347" s="0">
        <v>25</v>
      </c>
      <c r="BJ347" s="0" t="s">
        <v>135</v>
      </c>
    </row>
    <row r="348">
      <c r="A348" s="0" t="s">
        <v>523</v>
      </c>
      <c r="B348" s="0" t="s">
        <v>134</v>
      </c>
      <c r="C348" s="0" t="s">
        <v>134</v>
      </c>
      <c r="D348" s="0" t="s">
        <v>135</v>
      </c>
      <c r="E348" s="0" t="s">
        <v>3</v>
      </c>
      <c r="F348" s="0" t="s">
        <v>12</v>
      </c>
      <c r="G348" s="0" t="s">
        <v>7</v>
      </c>
      <c r="H348" s="0">
        <v>3670</v>
      </c>
      <c r="I348" s="0">
        <v>120</v>
      </c>
      <c r="J348" s="0">
        <v>0</v>
      </c>
      <c r="K348" s="0">
        <v>1</v>
      </c>
      <c r="L348" s="0">
        <v>1</v>
      </c>
      <c r="M348" s="0">
        <v>3</v>
      </c>
      <c r="N348" s="0">
        <v>0</v>
      </c>
      <c r="O348" s="0">
        <v>0</v>
      </c>
      <c r="P348" s="0">
        <v>0</v>
      </c>
      <c r="R348" s="0" t="b">
        <v>0</v>
      </c>
      <c r="S348" s="0" t="b">
        <v>1</v>
      </c>
      <c r="T348" s="68">
        <v>42383.4992708333</v>
      </c>
      <c r="U348" s="68">
        <v>42416.5</v>
      </c>
      <c r="V348" s="68">
        <v>0</v>
      </c>
      <c r="W348" s="0">
        <f>IF(IF(B348="none",1,IF(B348="Trialer",1,0))+IF(C348="Customer",1,IF(C348="Lost",1,0))=2,1,0)</f>
      </c>
      <c r="X348" s="0" t="s">
        <v>166</v>
      </c>
      <c r="Y348" s="0" t="s">
        <v>213</v>
      </c>
      <c r="AV348" s="68"/>
      <c r="AW348" s="68"/>
      <c r="AY348" s="27"/>
      <c r="BD348" s="68">
        <v>46054.1666666667</v>
      </c>
      <c r="BE348" s="68">
        <v>46082.1666666667</v>
      </c>
      <c r="BF348" s="0" t="b">
        <v>0</v>
      </c>
      <c r="BG348" s="0" t="b">
        <v>0</v>
      </c>
      <c r="BH348" s="0">
        <v>120</v>
      </c>
      <c r="BI348" s="0">
        <v>120</v>
      </c>
      <c r="BJ348" s="0" t="s">
        <v>135</v>
      </c>
    </row>
    <row r="349">
      <c r="A349" s="0" t="s">
        <v>524</v>
      </c>
      <c r="B349" s="0" t="s">
        <v>134</v>
      </c>
      <c r="C349" s="0" t="s">
        <v>134</v>
      </c>
      <c r="D349" s="0" t="s">
        <v>135</v>
      </c>
      <c r="E349" s="0" t="s">
        <v>2</v>
      </c>
      <c r="F349" s="0" t="s">
        <v>12</v>
      </c>
      <c r="G349" s="0" t="s">
        <v>7</v>
      </c>
      <c r="H349" s="0">
        <v>3662</v>
      </c>
      <c r="I349" s="0">
        <v>40</v>
      </c>
      <c r="J349" s="0">
        <v>0</v>
      </c>
      <c r="K349" s="0">
        <v>1</v>
      </c>
      <c r="L349" s="0">
        <v>1</v>
      </c>
      <c r="M349" s="0">
        <v>1</v>
      </c>
      <c r="N349" s="0">
        <v>0</v>
      </c>
      <c r="O349" s="0">
        <v>0</v>
      </c>
      <c r="P349" s="0">
        <v>0</v>
      </c>
      <c r="R349" s="0" t="b">
        <v>0</v>
      </c>
      <c r="S349" s="0" t="b">
        <v>1</v>
      </c>
      <c r="T349" s="68">
        <v>42391.5</v>
      </c>
      <c r="U349" s="68">
        <v>42425.5</v>
      </c>
      <c r="V349" s="68">
        <v>0</v>
      </c>
      <c r="W349" s="0">
        <f>IF(IF(B349="none",1,IF(B349="Trialer",1,0))+IF(C349="Customer",1,IF(C349="Lost",1,0))=2,1,0)</f>
      </c>
      <c r="X349" s="0" t="s">
        <v>166</v>
      </c>
      <c r="Y349" s="0" t="s">
        <v>137</v>
      </c>
      <c r="AV349" s="68"/>
      <c r="AW349" s="68"/>
      <c r="AY349" s="27"/>
      <c r="BD349" s="68">
        <v>46054.1666666667</v>
      </c>
      <c r="BE349" s="68">
        <v>46082.1666666667</v>
      </c>
      <c r="BF349" s="0" t="b">
        <v>0</v>
      </c>
      <c r="BG349" s="0" t="b">
        <v>0</v>
      </c>
      <c r="BH349" s="0">
        <v>40</v>
      </c>
      <c r="BI349" s="0">
        <v>40</v>
      </c>
      <c r="BJ349" s="0" t="s">
        <v>135</v>
      </c>
    </row>
    <row r="350">
      <c r="A350" s="0" t="s">
        <v>525</v>
      </c>
      <c r="B350" s="0" t="s">
        <v>134</v>
      </c>
      <c r="C350" s="0" t="s">
        <v>134</v>
      </c>
      <c r="D350" s="0" t="s">
        <v>135</v>
      </c>
      <c r="E350" s="0" t="s">
        <v>2</v>
      </c>
      <c r="F350" s="0" t="s">
        <v>12</v>
      </c>
      <c r="G350" s="0" t="s">
        <v>7</v>
      </c>
      <c r="H350" s="0">
        <v>3659</v>
      </c>
      <c r="I350" s="0">
        <v>480</v>
      </c>
      <c r="J350" s="0">
        <v>0</v>
      </c>
      <c r="K350" s="0">
        <v>1</v>
      </c>
      <c r="L350" s="0">
        <v>1</v>
      </c>
      <c r="M350" s="0">
        <v>12</v>
      </c>
      <c r="N350" s="0">
        <v>0</v>
      </c>
      <c r="O350" s="0">
        <v>0</v>
      </c>
      <c r="P350" s="0">
        <v>0</v>
      </c>
      <c r="R350" s="0" t="b">
        <v>0</v>
      </c>
      <c r="S350" s="0" t="b">
        <v>1</v>
      </c>
      <c r="T350" s="68">
        <v>42394.5</v>
      </c>
      <c r="U350" s="68">
        <v>42445.5416666667</v>
      </c>
      <c r="V350" s="68">
        <v>0</v>
      </c>
      <c r="W350" s="0">
        <f>IF(IF(B350="none",1,IF(B350="Trialer",1,0))+IF(C350="Customer",1,IF(C350="Lost",1,0))=2,1,0)</f>
      </c>
      <c r="X350" s="0" t="s">
        <v>148</v>
      </c>
      <c r="Y350" s="0" t="s">
        <v>137</v>
      </c>
      <c r="AV350" s="68"/>
      <c r="AW350" s="68"/>
      <c r="AY350" s="27"/>
      <c r="BD350" s="68">
        <v>46054.1666666667</v>
      </c>
      <c r="BE350" s="68">
        <v>46082.1666666667</v>
      </c>
      <c r="BF350" s="0" t="b">
        <v>0</v>
      </c>
      <c r="BG350" s="0" t="b">
        <v>0</v>
      </c>
      <c r="BH350" s="0">
        <v>480</v>
      </c>
      <c r="BI350" s="0">
        <v>480</v>
      </c>
      <c r="BJ350" s="0" t="s">
        <v>135</v>
      </c>
    </row>
    <row r="351">
      <c r="A351" s="0" t="s">
        <v>526</v>
      </c>
      <c r="B351" s="0" t="s">
        <v>134</v>
      </c>
      <c r="C351" s="0" t="s">
        <v>134</v>
      </c>
      <c r="D351" s="0" t="s">
        <v>135</v>
      </c>
      <c r="E351" s="0" t="s">
        <v>2</v>
      </c>
      <c r="F351" s="0" t="s">
        <v>12</v>
      </c>
      <c r="G351" s="0" t="s">
        <v>7</v>
      </c>
      <c r="H351" s="0">
        <v>3658</v>
      </c>
      <c r="I351" s="0">
        <v>25</v>
      </c>
      <c r="J351" s="0">
        <v>0</v>
      </c>
      <c r="K351" s="0">
        <v>1</v>
      </c>
      <c r="L351" s="0">
        <v>1</v>
      </c>
      <c r="M351" s="0">
        <v>1</v>
      </c>
      <c r="N351" s="0">
        <v>0</v>
      </c>
      <c r="O351" s="0">
        <v>0</v>
      </c>
      <c r="P351" s="0">
        <v>0</v>
      </c>
      <c r="R351" s="0" t="b">
        <v>0</v>
      </c>
      <c r="S351" s="0" t="b">
        <v>1</v>
      </c>
      <c r="T351" s="68">
        <v>42395.4975231482</v>
      </c>
      <c r="U351" s="68">
        <v>42431.5</v>
      </c>
      <c r="V351" s="68">
        <v>0</v>
      </c>
      <c r="W351" s="0">
        <f>IF(IF(B351="none",1,IF(B351="Trialer",1,0))+IF(C351="Customer",1,IF(C351="Lost",1,0))=2,1,0)</f>
      </c>
      <c r="X351" s="0" t="s">
        <v>166</v>
      </c>
      <c r="Y351" s="0" t="s">
        <v>235</v>
      </c>
      <c r="AV351" s="68"/>
      <c r="AW351" s="68"/>
      <c r="AY351" s="27"/>
      <c r="BD351" s="68">
        <v>46054.1666666667</v>
      </c>
      <c r="BE351" s="68">
        <v>46082.1666666667</v>
      </c>
      <c r="BF351" s="0" t="b">
        <v>0</v>
      </c>
      <c r="BG351" s="0" t="b">
        <v>0</v>
      </c>
      <c r="BH351" s="0">
        <v>25</v>
      </c>
      <c r="BI351" s="0">
        <v>25</v>
      </c>
      <c r="BJ351" s="0" t="s">
        <v>135</v>
      </c>
    </row>
    <row r="352">
      <c r="A352" s="0" t="s">
        <v>527</v>
      </c>
      <c r="B352" s="0" t="s">
        <v>134</v>
      </c>
      <c r="C352" s="0" t="s">
        <v>134</v>
      </c>
      <c r="D352" s="0" t="s">
        <v>135</v>
      </c>
      <c r="E352" s="0" t="s">
        <v>2</v>
      </c>
      <c r="F352" s="0" t="s">
        <v>12</v>
      </c>
      <c r="G352" s="0" t="s">
        <v>8</v>
      </c>
      <c r="H352" s="0">
        <v>3658</v>
      </c>
      <c r="I352" s="0">
        <v>40</v>
      </c>
      <c r="J352" s="0">
        <v>0</v>
      </c>
      <c r="K352" s="0">
        <v>1</v>
      </c>
      <c r="L352" s="0">
        <v>2</v>
      </c>
      <c r="M352" s="0">
        <v>1</v>
      </c>
      <c r="N352" s="0">
        <v>0</v>
      </c>
      <c r="O352" s="0">
        <v>0</v>
      </c>
      <c r="P352" s="0">
        <v>0</v>
      </c>
      <c r="R352" s="0" t="b">
        <v>0</v>
      </c>
      <c r="S352" s="0" t="b">
        <v>1</v>
      </c>
      <c r="T352" s="68">
        <v>42395.6421064815</v>
      </c>
      <c r="U352" s="68">
        <v>42436.5</v>
      </c>
      <c r="V352" s="68">
        <v>0</v>
      </c>
      <c r="W352" s="0">
        <f>IF(IF(B352="none",1,IF(B352="Trialer",1,0))+IF(C352="Customer",1,IF(C352="Lost",1,0))=2,1,0)</f>
      </c>
      <c r="X352" s="0" t="s">
        <v>166</v>
      </c>
      <c r="Y352" s="0" t="s">
        <v>137</v>
      </c>
      <c r="AV352" s="68"/>
      <c r="AW352" s="68"/>
      <c r="AY352" s="27"/>
      <c r="BD352" s="68">
        <v>46054.1666666667</v>
      </c>
      <c r="BE352" s="68">
        <v>46082.1666666667</v>
      </c>
      <c r="BF352" s="0" t="b">
        <v>0</v>
      </c>
      <c r="BG352" s="0" t="b">
        <v>0</v>
      </c>
      <c r="BH352" s="0">
        <v>40</v>
      </c>
      <c r="BI352" s="0">
        <v>40</v>
      </c>
      <c r="BJ352" s="0" t="s">
        <v>135</v>
      </c>
    </row>
    <row r="353">
      <c r="A353" s="0" t="s">
        <v>528</v>
      </c>
      <c r="B353" s="0" t="s">
        <v>134</v>
      </c>
      <c r="C353" s="0" t="s">
        <v>134</v>
      </c>
      <c r="D353" s="0" t="s">
        <v>135</v>
      </c>
      <c r="E353" s="0" t="s">
        <v>3</v>
      </c>
      <c r="F353" s="0" t="s">
        <v>12</v>
      </c>
      <c r="G353" s="0" t="s">
        <v>8</v>
      </c>
      <c r="H353" s="0">
        <v>3653</v>
      </c>
      <c r="I353" s="0">
        <v>50</v>
      </c>
      <c r="J353" s="0">
        <v>0</v>
      </c>
      <c r="K353" s="0">
        <v>1</v>
      </c>
      <c r="L353" s="0">
        <v>1</v>
      </c>
      <c r="M353" s="0">
        <v>2</v>
      </c>
      <c r="N353" s="0">
        <v>0</v>
      </c>
      <c r="O353" s="0">
        <v>0</v>
      </c>
      <c r="P353" s="0">
        <v>0</v>
      </c>
      <c r="R353" s="0" t="b">
        <v>0</v>
      </c>
      <c r="S353" s="0" t="b">
        <v>1</v>
      </c>
      <c r="T353" s="68">
        <v>42400.7076388889</v>
      </c>
      <c r="U353" s="68">
        <v>42429.5</v>
      </c>
      <c r="V353" s="68">
        <v>0</v>
      </c>
      <c r="W353" s="0">
        <f>IF(IF(B353="none",1,IF(B353="Trialer",1,0))+IF(C353="Customer",1,IF(C353="Lost",1,0))=2,1,0)</f>
      </c>
      <c r="X353" s="0" t="s">
        <v>166</v>
      </c>
      <c r="Y353" s="0" t="s">
        <v>487</v>
      </c>
      <c r="AV353" s="68"/>
      <c r="AW353" s="68"/>
      <c r="AY353" s="27"/>
      <c r="BD353" s="68">
        <v>46054.1666666667</v>
      </c>
      <c r="BE353" s="68">
        <v>46082.1666666667</v>
      </c>
      <c r="BF353" s="0" t="b">
        <v>0</v>
      </c>
      <c r="BG353" s="0" t="b">
        <v>0</v>
      </c>
      <c r="BH353" s="0">
        <v>50</v>
      </c>
      <c r="BI353" s="0">
        <v>50</v>
      </c>
      <c r="BJ353" s="0" t="s">
        <v>135</v>
      </c>
    </row>
    <row r="354">
      <c r="A354" s="0" t="s">
        <v>529</v>
      </c>
      <c r="B354" s="0" t="s">
        <v>134</v>
      </c>
      <c r="C354" s="0" t="s">
        <v>134</v>
      </c>
      <c r="D354" s="0" t="s">
        <v>135</v>
      </c>
      <c r="E354" s="0" t="s">
        <v>3</v>
      </c>
      <c r="F354" s="0" t="s">
        <v>12</v>
      </c>
      <c r="G354" s="0" t="s">
        <v>8</v>
      </c>
      <c r="H354" s="0">
        <v>3645</v>
      </c>
      <c r="I354" s="0">
        <v>255</v>
      </c>
      <c r="J354" s="0">
        <v>0</v>
      </c>
      <c r="K354" s="0">
        <v>1</v>
      </c>
      <c r="L354" s="0">
        <v>3</v>
      </c>
      <c r="M354" s="0">
        <v>7</v>
      </c>
      <c r="N354" s="0">
        <v>0</v>
      </c>
      <c r="O354" s="0">
        <v>0</v>
      </c>
      <c r="P354" s="0">
        <v>0</v>
      </c>
      <c r="R354" s="0" t="b">
        <v>0</v>
      </c>
      <c r="S354" s="0" t="b">
        <v>1</v>
      </c>
      <c r="T354" s="68">
        <v>42408.8027777778</v>
      </c>
      <c r="U354" s="68">
        <v>42439.5</v>
      </c>
      <c r="V354" s="68">
        <v>0</v>
      </c>
      <c r="W354" s="0">
        <f>IF(IF(B354="none",1,IF(B354="Trialer",1,0))+IF(C354="Customer",1,IF(C354="Lost",1,0))=2,1,0)</f>
      </c>
      <c r="X354" s="0" t="s">
        <v>148</v>
      </c>
      <c r="Y354" s="0" t="s">
        <v>243</v>
      </c>
      <c r="AV354" s="68"/>
      <c r="AW354" s="68"/>
      <c r="AY354" s="27"/>
      <c r="BD354" s="68">
        <v>46054.1666666667</v>
      </c>
      <c r="BE354" s="68">
        <v>46082.1666666667</v>
      </c>
      <c r="BF354" s="0" t="b">
        <v>0</v>
      </c>
      <c r="BG354" s="0" t="b">
        <v>0</v>
      </c>
      <c r="BH354" s="0">
        <v>255</v>
      </c>
      <c r="BI354" s="0">
        <v>255</v>
      </c>
      <c r="BJ354" s="0" t="s">
        <v>135</v>
      </c>
    </row>
    <row r="355">
      <c r="A355" s="0" t="s">
        <v>530</v>
      </c>
      <c r="B355" s="0" t="s">
        <v>134</v>
      </c>
      <c r="C355" s="0" t="s">
        <v>134</v>
      </c>
      <c r="D355" s="0" t="s">
        <v>135</v>
      </c>
      <c r="E355" s="0" t="s">
        <v>3</v>
      </c>
      <c r="F355" s="0" t="s">
        <v>12</v>
      </c>
      <c r="G355" s="0" t="s">
        <v>7</v>
      </c>
      <c r="H355" s="0">
        <v>3644</v>
      </c>
      <c r="I355" s="0">
        <v>40</v>
      </c>
      <c r="J355" s="0">
        <v>0</v>
      </c>
      <c r="K355" s="0">
        <v>1</v>
      </c>
      <c r="L355" s="0">
        <v>1</v>
      </c>
      <c r="M355" s="0">
        <v>1</v>
      </c>
      <c r="N355" s="0">
        <v>0</v>
      </c>
      <c r="O355" s="0">
        <v>0</v>
      </c>
      <c r="P355" s="0">
        <v>0</v>
      </c>
      <c r="R355" s="0" t="b">
        <v>0</v>
      </c>
      <c r="S355" s="0" t="b">
        <v>1</v>
      </c>
      <c r="T355" s="68">
        <v>42409.5</v>
      </c>
      <c r="U355" s="68">
        <v>42439.5</v>
      </c>
      <c r="V355" s="68">
        <v>0</v>
      </c>
      <c r="W355" s="0">
        <f>IF(IF(B355="none",1,IF(B355="Trialer",1,0))+IF(C355="Customer",1,IF(C355="Lost",1,0))=2,1,0)</f>
      </c>
      <c r="X355" s="0" t="s">
        <v>142</v>
      </c>
      <c r="Y355" s="0" t="s">
        <v>213</v>
      </c>
      <c r="AV355" s="68"/>
      <c r="AW355" s="68"/>
      <c r="AY355" s="27"/>
      <c r="BD355" s="68">
        <v>46054.1666666667</v>
      </c>
      <c r="BE355" s="68">
        <v>46082.1666666667</v>
      </c>
      <c r="BF355" s="0" t="b">
        <v>0</v>
      </c>
      <c r="BG355" s="0" t="b">
        <v>0</v>
      </c>
      <c r="BH355" s="0">
        <v>40</v>
      </c>
      <c r="BI355" s="0">
        <v>40</v>
      </c>
      <c r="BJ355" s="0" t="s">
        <v>135</v>
      </c>
    </row>
    <row r="356">
      <c r="A356" s="0" t="s">
        <v>531</v>
      </c>
      <c r="B356" s="0" t="s">
        <v>134</v>
      </c>
      <c r="C356" s="0" t="s">
        <v>134</v>
      </c>
      <c r="D356" s="0" t="s">
        <v>135</v>
      </c>
      <c r="E356" s="0" t="s">
        <v>2</v>
      </c>
      <c r="F356" s="0" t="s">
        <v>12</v>
      </c>
      <c r="G356" s="0" t="s">
        <v>7</v>
      </c>
      <c r="H356" s="0">
        <v>3642</v>
      </c>
      <c r="I356" s="0">
        <v>40</v>
      </c>
      <c r="J356" s="0">
        <v>0</v>
      </c>
      <c r="K356" s="0">
        <v>1</v>
      </c>
      <c r="L356" s="0">
        <v>1</v>
      </c>
      <c r="M356" s="0">
        <v>1</v>
      </c>
      <c r="N356" s="0">
        <v>0</v>
      </c>
      <c r="O356" s="0">
        <v>0</v>
      </c>
      <c r="P356" s="0">
        <v>0</v>
      </c>
      <c r="R356" s="0" t="b">
        <v>0</v>
      </c>
      <c r="S356" s="0" t="b">
        <v>1</v>
      </c>
      <c r="T356" s="68">
        <v>42411.4604166667</v>
      </c>
      <c r="U356" s="68">
        <v>42440.5</v>
      </c>
      <c r="V356" s="68">
        <v>0</v>
      </c>
      <c r="W356" s="0">
        <f>IF(IF(B356="none",1,IF(B356="Trialer",1,0))+IF(C356="Customer",1,IF(C356="Lost",1,0))=2,1,0)</f>
      </c>
      <c r="X356" s="0" t="s">
        <v>166</v>
      </c>
      <c r="Y356" s="0" t="s">
        <v>137</v>
      </c>
      <c r="AV356" s="68"/>
      <c r="AW356" s="68"/>
      <c r="AY356" s="27"/>
      <c r="BD356" s="68">
        <v>46054.1666666667</v>
      </c>
      <c r="BE356" s="68">
        <v>46082.1666666667</v>
      </c>
      <c r="BF356" s="0" t="b">
        <v>0</v>
      </c>
      <c r="BG356" s="0" t="b">
        <v>0</v>
      </c>
      <c r="BH356" s="0">
        <v>40</v>
      </c>
      <c r="BI356" s="0">
        <v>40</v>
      </c>
      <c r="BJ356" s="0" t="s">
        <v>135</v>
      </c>
    </row>
    <row r="357">
      <c r="A357" s="0" t="s">
        <v>532</v>
      </c>
      <c r="B357" s="0" t="s">
        <v>134</v>
      </c>
      <c r="C357" s="0" t="s">
        <v>134</v>
      </c>
      <c r="D357" s="0" t="s">
        <v>135</v>
      </c>
      <c r="E357" s="0" t="s">
        <v>2</v>
      </c>
      <c r="F357" s="0" t="s">
        <v>12</v>
      </c>
      <c r="G357" s="0" t="s">
        <v>8</v>
      </c>
      <c r="H357" s="0">
        <v>3630</v>
      </c>
      <c r="I357" s="0">
        <v>268</v>
      </c>
      <c r="J357" s="0">
        <v>0</v>
      </c>
      <c r="K357" s="0">
        <v>1</v>
      </c>
      <c r="L357" s="0">
        <v>4</v>
      </c>
      <c r="M357" s="0">
        <v>7</v>
      </c>
      <c r="N357" s="0">
        <v>0</v>
      </c>
      <c r="O357" s="0">
        <v>0</v>
      </c>
      <c r="P357" s="0">
        <v>0</v>
      </c>
      <c r="R357" s="0" t="b">
        <v>0</v>
      </c>
      <c r="S357" s="0" t="b">
        <v>1</v>
      </c>
      <c r="T357" s="68">
        <v>42423.7097222222</v>
      </c>
      <c r="U357" s="68">
        <v>42454.5416666667</v>
      </c>
      <c r="V357" s="68">
        <v>0</v>
      </c>
      <c r="W357" s="0">
        <f>IF(IF(B357="none",1,IF(B357="Trialer",1,0))+IF(C357="Customer",1,IF(C357="Lost",1,0))=2,1,0)</f>
      </c>
      <c r="X357" s="0" t="s">
        <v>148</v>
      </c>
      <c r="Y357" s="0" t="s">
        <v>137</v>
      </c>
      <c r="AV357" s="68"/>
      <c r="AW357" s="68"/>
      <c r="AY357" s="27"/>
      <c r="BD357" s="68">
        <v>46054.1666666667</v>
      </c>
      <c r="BE357" s="68">
        <v>46082.1666666667</v>
      </c>
      <c r="BF357" s="0" t="b">
        <v>0</v>
      </c>
      <c r="BG357" s="0" t="b">
        <v>0</v>
      </c>
      <c r="BH357" s="0">
        <v>268</v>
      </c>
      <c r="BI357" s="0">
        <v>268</v>
      </c>
      <c r="BJ357" s="0" t="s">
        <v>135</v>
      </c>
    </row>
    <row r="358">
      <c r="A358" s="0" t="s">
        <v>533</v>
      </c>
      <c r="B358" s="0" t="s">
        <v>134</v>
      </c>
      <c r="C358" s="0" t="s">
        <v>134</v>
      </c>
      <c r="D358" s="0" t="s">
        <v>135</v>
      </c>
      <c r="E358" s="0" t="s">
        <v>2</v>
      </c>
      <c r="F358" s="0" t="s">
        <v>12</v>
      </c>
      <c r="G358" s="0" t="s">
        <v>7</v>
      </c>
      <c r="H358" s="0">
        <v>3629</v>
      </c>
      <c r="I358" s="0">
        <v>40</v>
      </c>
      <c r="J358" s="0">
        <v>0</v>
      </c>
      <c r="K358" s="0">
        <v>1</v>
      </c>
      <c r="L358" s="0">
        <v>1</v>
      </c>
      <c r="M358" s="0">
        <v>1</v>
      </c>
      <c r="N358" s="0">
        <v>0</v>
      </c>
      <c r="O358" s="0">
        <v>0</v>
      </c>
      <c r="P358" s="0">
        <v>0</v>
      </c>
      <c r="R358" s="0" t="b">
        <v>0</v>
      </c>
      <c r="S358" s="0" t="b">
        <v>0</v>
      </c>
      <c r="T358" s="68">
        <v>42424.4409722222</v>
      </c>
      <c r="U358" s="68">
        <v>42458.5416666667</v>
      </c>
      <c r="V358" s="68">
        <v>46085.662037037</v>
      </c>
      <c r="W358" s="0">
        <f>IF(IF(B358="none",1,IF(B358="Trialer",1,0))+IF(C358="Customer",1,IF(C358="Lost",1,0))=2,1,0)</f>
      </c>
      <c r="X358" s="0" t="s">
        <v>145</v>
      </c>
      <c r="Y358" s="0" t="s">
        <v>137</v>
      </c>
      <c r="AV358" s="68"/>
      <c r="AW358" s="68"/>
      <c r="AY358" s="27"/>
      <c r="BD358" s="68">
        <v>46054.1666666667</v>
      </c>
      <c r="BE358" s="68">
        <v>46082.1666666667</v>
      </c>
      <c r="BF358" s="0" t="b">
        <v>0</v>
      </c>
      <c r="BG358" s="0" t="b">
        <v>0</v>
      </c>
      <c r="BH358" s="0">
        <v>40</v>
      </c>
      <c r="BI358" s="0">
        <v>40</v>
      </c>
      <c r="BJ358" s="0" t="s">
        <v>135</v>
      </c>
    </row>
    <row r="359">
      <c r="A359" s="0" t="s">
        <v>534</v>
      </c>
      <c r="B359" s="0" t="s">
        <v>134</v>
      </c>
      <c r="C359" s="0" t="s">
        <v>134</v>
      </c>
      <c r="D359" s="0" t="s">
        <v>135</v>
      </c>
      <c r="E359" s="0" t="s">
        <v>2</v>
      </c>
      <c r="F359" s="0" t="s">
        <v>12</v>
      </c>
      <c r="G359" s="0" t="s">
        <v>7</v>
      </c>
      <c r="H359" s="0">
        <v>3622</v>
      </c>
      <c r="I359" s="0">
        <v>720</v>
      </c>
      <c r="J359" s="0">
        <v>0</v>
      </c>
      <c r="K359" s="0">
        <v>1</v>
      </c>
      <c r="L359" s="0">
        <v>1</v>
      </c>
      <c r="M359" s="0">
        <v>18</v>
      </c>
      <c r="N359" s="0">
        <v>0</v>
      </c>
      <c r="O359" s="0">
        <v>0</v>
      </c>
      <c r="P359" s="0">
        <v>0</v>
      </c>
      <c r="R359" s="0" t="b">
        <v>0</v>
      </c>
      <c r="S359" s="0" t="b">
        <v>1</v>
      </c>
      <c r="T359" s="68">
        <v>42431.5</v>
      </c>
      <c r="U359" s="68">
        <v>42468.5416666667</v>
      </c>
      <c r="V359" s="68">
        <v>0</v>
      </c>
      <c r="W359" s="0">
        <f>IF(IF(B359="none",1,IF(B359="Trialer",1,0))+IF(C359="Customer",1,IF(C359="Lost",1,0))=2,1,0)</f>
      </c>
      <c r="X359" s="0" t="s">
        <v>145</v>
      </c>
      <c r="Y359" s="0" t="s">
        <v>137</v>
      </c>
      <c r="AV359" s="68"/>
      <c r="AW359" s="68"/>
      <c r="AY359" s="27"/>
      <c r="BD359" s="68">
        <v>46054.1666666667</v>
      </c>
      <c r="BE359" s="68">
        <v>46082.1666666667</v>
      </c>
      <c r="BF359" s="0" t="b">
        <v>0</v>
      </c>
      <c r="BG359" s="0" t="b">
        <v>0</v>
      </c>
      <c r="BH359" s="0">
        <v>680</v>
      </c>
      <c r="BI359" s="0">
        <v>680</v>
      </c>
      <c r="BJ359" s="0" t="s">
        <v>135</v>
      </c>
    </row>
    <row r="360">
      <c r="A360" s="0" t="s">
        <v>535</v>
      </c>
      <c r="B360" s="0" t="s">
        <v>134</v>
      </c>
      <c r="C360" s="0" t="s">
        <v>134</v>
      </c>
      <c r="D360" s="0" t="s">
        <v>135</v>
      </c>
      <c r="E360" s="0" t="s">
        <v>2</v>
      </c>
      <c r="F360" s="0" t="s">
        <v>12</v>
      </c>
      <c r="G360" s="0" t="s">
        <v>8</v>
      </c>
      <c r="H360" s="0">
        <v>3622</v>
      </c>
      <c r="I360" s="0">
        <v>25</v>
      </c>
      <c r="J360" s="0">
        <v>0</v>
      </c>
      <c r="K360" s="0">
        <v>1</v>
      </c>
      <c r="L360" s="0">
        <v>1</v>
      </c>
      <c r="M360" s="0">
        <v>1</v>
      </c>
      <c r="N360" s="0">
        <v>0</v>
      </c>
      <c r="O360" s="0">
        <v>0</v>
      </c>
      <c r="P360" s="0">
        <v>0</v>
      </c>
      <c r="R360" s="0" t="b">
        <v>0</v>
      </c>
      <c r="S360" s="0" t="b">
        <v>1</v>
      </c>
      <c r="T360" s="68">
        <v>42431.6679398148</v>
      </c>
      <c r="U360" s="68">
        <v>42465.5416666667</v>
      </c>
      <c r="V360" s="68">
        <v>0</v>
      </c>
      <c r="W360" s="0">
        <f>IF(IF(B360="none",1,IF(B360="Trialer",1,0))+IF(C360="Customer",1,IF(C360="Lost",1,0))=2,1,0)</f>
      </c>
      <c r="X360" s="0" t="s">
        <v>166</v>
      </c>
      <c r="Y360" s="0" t="s">
        <v>480</v>
      </c>
      <c r="AV360" s="68"/>
      <c r="AW360" s="68"/>
      <c r="AY360" s="27"/>
      <c r="BD360" s="68">
        <v>46054.1666666667</v>
      </c>
      <c r="BE360" s="68">
        <v>46082.1666666667</v>
      </c>
      <c r="BF360" s="0" t="b">
        <v>0</v>
      </c>
      <c r="BG360" s="0" t="b">
        <v>0</v>
      </c>
      <c r="BH360" s="0">
        <v>25</v>
      </c>
      <c r="BI360" s="0">
        <v>25</v>
      </c>
      <c r="BJ360" s="0" t="s">
        <v>135</v>
      </c>
    </row>
    <row r="361">
      <c r="A361" s="0" t="s">
        <v>536</v>
      </c>
      <c r="B361" s="0" t="s">
        <v>134</v>
      </c>
      <c r="C361" s="0" t="s">
        <v>134</v>
      </c>
      <c r="D361" s="0" t="s">
        <v>135</v>
      </c>
      <c r="E361" s="0" t="s">
        <v>2</v>
      </c>
      <c r="F361" s="0" t="s">
        <v>10</v>
      </c>
      <c r="G361" s="0" t="s">
        <v>8</v>
      </c>
      <c r="H361" s="0">
        <v>3621</v>
      </c>
      <c r="I361" s="0">
        <v>70</v>
      </c>
      <c r="J361" s="0">
        <v>0</v>
      </c>
      <c r="K361" s="0">
        <v>1</v>
      </c>
      <c r="L361" s="0">
        <v>2</v>
      </c>
      <c r="M361" s="0">
        <v>2</v>
      </c>
      <c r="N361" s="0">
        <v>0</v>
      </c>
      <c r="O361" s="0">
        <v>0</v>
      </c>
      <c r="P361" s="0">
        <v>0</v>
      </c>
      <c r="Q361" s="0" t="s">
        <v>294</v>
      </c>
      <c r="R361" s="0" t="b">
        <v>0</v>
      </c>
      <c r="S361" s="0" t="b">
        <v>1</v>
      </c>
      <c r="T361" s="68">
        <v>42432.3520833333</v>
      </c>
      <c r="U361" s="68">
        <v>42463.5416666667</v>
      </c>
      <c r="V361" s="68">
        <v>0</v>
      </c>
      <c r="W361" s="0">
        <f>IF(IF(B361="none",1,IF(B361="Trialer",1,0))+IF(C361="Customer",1,IF(C361="Lost",1,0))=2,1,0)</f>
      </c>
      <c r="X361" s="0" t="s">
        <v>148</v>
      </c>
      <c r="Y361" s="0" t="s">
        <v>499</v>
      </c>
      <c r="AV361" s="68"/>
      <c r="AW361" s="68"/>
      <c r="AY361" s="27"/>
      <c r="BD361" s="68">
        <v>46054.1666666667</v>
      </c>
      <c r="BE361" s="68">
        <v>46082.1666666667</v>
      </c>
      <c r="BF361" s="0" t="b">
        <v>0</v>
      </c>
      <c r="BG361" s="0" t="b">
        <v>0</v>
      </c>
      <c r="BH361" s="0">
        <v>70</v>
      </c>
      <c r="BI361" s="0">
        <v>70</v>
      </c>
      <c r="BJ361" s="0" t="s">
        <v>135</v>
      </c>
    </row>
    <row r="362">
      <c r="A362" s="0" t="s">
        <v>537</v>
      </c>
      <c r="B362" s="0" t="s">
        <v>134</v>
      </c>
      <c r="C362" s="0" t="s">
        <v>134</v>
      </c>
      <c r="D362" s="0" t="s">
        <v>135</v>
      </c>
      <c r="E362" s="0" t="s">
        <v>2</v>
      </c>
      <c r="F362" s="0" t="s">
        <v>12</v>
      </c>
      <c r="G362" s="0" t="s">
        <v>8</v>
      </c>
      <c r="H362" s="0">
        <v>3621</v>
      </c>
      <c r="I362" s="0">
        <v>1231</v>
      </c>
      <c r="J362" s="0">
        <v>0</v>
      </c>
      <c r="K362" s="0">
        <v>1</v>
      </c>
      <c r="L362" s="0">
        <v>4</v>
      </c>
      <c r="M362" s="0">
        <v>18</v>
      </c>
      <c r="N362" s="0">
        <v>0</v>
      </c>
      <c r="O362" s="0">
        <v>0</v>
      </c>
      <c r="P362" s="0">
        <v>0</v>
      </c>
      <c r="R362" s="0" t="b">
        <v>0</v>
      </c>
      <c r="S362" s="0" t="b">
        <v>1</v>
      </c>
      <c r="T362" s="68">
        <v>42432.5</v>
      </c>
      <c r="U362" s="68">
        <v>42463.5</v>
      </c>
      <c r="V362" s="68">
        <v>0</v>
      </c>
      <c r="W362" s="0">
        <f>IF(IF(B362="none",1,IF(B362="Trialer",1,0))+IF(C362="Customer",1,IF(C362="Lost",1,0))=2,1,0)</f>
      </c>
      <c r="X362" s="0" t="s">
        <v>145</v>
      </c>
      <c r="Y362" s="0" t="s">
        <v>137</v>
      </c>
      <c r="AV362" s="68"/>
      <c r="AW362" s="68"/>
      <c r="AY362" s="27"/>
      <c r="BD362" s="68">
        <v>46054.1666666667</v>
      </c>
      <c r="BE362" s="68">
        <v>46082.1666666667</v>
      </c>
      <c r="BF362" s="0" t="b">
        <v>0</v>
      </c>
      <c r="BG362" s="0" t="b">
        <v>0</v>
      </c>
      <c r="BH362" s="0">
        <v>1011</v>
      </c>
      <c r="BI362" s="0">
        <v>1011</v>
      </c>
      <c r="BJ362" s="0" t="s">
        <v>135</v>
      </c>
    </row>
    <row r="363">
      <c r="A363" s="0" t="s">
        <v>538</v>
      </c>
      <c r="B363" s="0" t="s">
        <v>134</v>
      </c>
      <c r="C363" s="0" t="s">
        <v>134</v>
      </c>
      <c r="D363" s="0" t="s">
        <v>135</v>
      </c>
      <c r="E363" s="0" t="s">
        <v>2</v>
      </c>
      <c r="F363" s="0" t="s">
        <v>12</v>
      </c>
      <c r="G363" s="0" t="s">
        <v>7</v>
      </c>
      <c r="H363" s="0">
        <v>3613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R363" s="0" t="b">
        <v>0</v>
      </c>
      <c r="S363" s="0" t="b">
        <v>0</v>
      </c>
      <c r="T363" s="68">
        <v>42440.7951388889</v>
      </c>
      <c r="U363" s="68">
        <v>42471.5416666667</v>
      </c>
      <c r="V363" s="68">
        <v>0</v>
      </c>
      <c r="W363" s="0">
        <f>IF(IF(B363="none",1,IF(B363="Trialer",1,0))+IF(C363="Customer",1,IF(C363="Lost",1,0))=2,1,0)</f>
      </c>
      <c r="X363" s="0" t="s">
        <v>539</v>
      </c>
      <c r="Y363" s="0" t="s">
        <v>137</v>
      </c>
      <c r="AV363" s="68"/>
      <c r="AW363" s="68"/>
      <c r="AY363" s="27"/>
      <c r="BD363" s="68">
        <v>46054.1666666667</v>
      </c>
      <c r="BE363" s="68">
        <v>46082.1666666667</v>
      </c>
      <c r="BF363" s="0" t="b">
        <v>0</v>
      </c>
      <c r="BG363" s="0" t="b">
        <v>0</v>
      </c>
      <c r="BH363" s="0">
        <v>160</v>
      </c>
      <c r="BI363" s="0">
        <v>0</v>
      </c>
      <c r="BJ363" s="0" t="s">
        <v>135</v>
      </c>
    </row>
    <row r="364">
      <c r="A364" s="0" t="s">
        <v>540</v>
      </c>
      <c r="B364" s="0" t="s">
        <v>134</v>
      </c>
      <c r="C364" s="0" t="s">
        <v>134</v>
      </c>
      <c r="D364" s="0" t="s">
        <v>135</v>
      </c>
      <c r="E364" s="0" t="s">
        <v>2</v>
      </c>
      <c r="F364" s="0" t="s">
        <v>12</v>
      </c>
      <c r="G364" s="0" t="s">
        <v>8</v>
      </c>
      <c r="H364" s="0">
        <v>3605</v>
      </c>
      <c r="I364" s="0">
        <v>90</v>
      </c>
      <c r="J364" s="0">
        <v>0</v>
      </c>
      <c r="K364" s="0">
        <v>1</v>
      </c>
      <c r="L364" s="0">
        <v>3</v>
      </c>
      <c r="M364" s="0">
        <v>2</v>
      </c>
      <c r="N364" s="0">
        <v>0</v>
      </c>
      <c r="O364" s="0">
        <v>0</v>
      </c>
      <c r="P364" s="0">
        <v>0</v>
      </c>
      <c r="R364" s="0" t="b">
        <v>0</v>
      </c>
      <c r="S364" s="0" t="b">
        <v>1</v>
      </c>
      <c r="T364" s="68">
        <v>42448.5118055556</v>
      </c>
      <c r="U364" s="68">
        <v>42479.5416666667</v>
      </c>
      <c r="V364" s="68">
        <v>0</v>
      </c>
      <c r="W364" s="0">
        <f>IF(IF(B364="none",1,IF(B364="Trialer",1,0))+IF(C364="Customer",1,IF(C364="Lost",1,0))=2,1,0)</f>
      </c>
      <c r="X364" s="0" t="s">
        <v>142</v>
      </c>
      <c r="Y364" s="0" t="s">
        <v>499</v>
      </c>
      <c r="AV364" s="68"/>
      <c r="AW364" s="68"/>
      <c r="AY364" s="27"/>
      <c r="BD364" s="68">
        <v>46054.1666666667</v>
      </c>
      <c r="BE364" s="68">
        <v>46082.1666666667</v>
      </c>
      <c r="BF364" s="0" t="b">
        <v>0</v>
      </c>
      <c r="BG364" s="0" t="b">
        <v>0</v>
      </c>
      <c r="BH364" s="0">
        <v>90</v>
      </c>
      <c r="BI364" s="0">
        <v>90</v>
      </c>
      <c r="BJ364" s="0" t="s">
        <v>135</v>
      </c>
    </row>
    <row r="365">
      <c r="A365" s="0" t="s">
        <v>541</v>
      </c>
      <c r="B365" s="0" t="s">
        <v>134</v>
      </c>
      <c r="C365" s="0" t="s">
        <v>134</v>
      </c>
      <c r="D365" s="0" t="s">
        <v>135</v>
      </c>
      <c r="E365" s="0" t="s">
        <v>2</v>
      </c>
      <c r="F365" s="0" t="s">
        <v>12</v>
      </c>
      <c r="G365" s="0" t="s">
        <v>8</v>
      </c>
      <c r="H365" s="0">
        <v>3589</v>
      </c>
      <c r="I365" s="0">
        <v>130</v>
      </c>
      <c r="J365" s="0">
        <v>0</v>
      </c>
      <c r="K365" s="0">
        <v>1</v>
      </c>
      <c r="L365" s="0">
        <v>2</v>
      </c>
      <c r="M365" s="0">
        <v>4</v>
      </c>
      <c r="N365" s="0">
        <v>0</v>
      </c>
      <c r="O365" s="0">
        <v>0</v>
      </c>
      <c r="P365" s="0">
        <v>0</v>
      </c>
      <c r="R365" s="0" t="b">
        <v>0</v>
      </c>
      <c r="S365" s="0" t="b">
        <v>1</v>
      </c>
      <c r="T365" s="68">
        <v>42464.5</v>
      </c>
      <c r="U365" s="68">
        <v>42494.5416666667</v>
      </c>
      <c r="V365" s="68">
        <v>0</v>
      </c>
      <c r="W365" s="0">
        <f>IF(IF(B365="none",1,IF(B365="Trialer",1,0))+IF(C365="Customer",1,IF(C365="Lost",1,0))=2,1,0)</f>
      </c>
      <c r="X365" s="0" t="s">
        <v>136</v>
      </c>
      <c r="Y365" s="0" t="s">
        <v>499</v>
      </c>
      <c r="AV365" s="68"/>
      <c r="AW365" s="68"/>
      <c r="AY365" s="27"/>
      <c r="BD365" s="68">
        <v>46054.1666666667</v>
      </c>
      <c r="BE365" s="68">
        <v>46082.1666666667</v>
      </c>
      <c r="BF365" s="0" t="b">
        <v>0</v>
      </c>
      <c r="BG365" s="0" t="b">
        <v>0</v>
      </c>
      <c r="BH365" s="0">
        <v>130</v>
      </c>
      <c r="BI365" s="0">
        <v>130</v>
      </c>
      <c r="BJ365" s="0" t="s">
        <v>135</v>
      </c>
    </row>
    <row r="366">
      <c r="A366" s="0" t="s">
        <v>542</v>
      </c>
      <c r="B366" s="0" t="s">
        <v>134</v>
      </c>
      <c r="C366" s="0" t="s">
        <v>134</v>
      </c>
      <c r="D366" s="0" t="s">
        <v>135</v>
      </c>
      <c r="E366" s="0" t="s">
        <v>2</v>
      </c>
      <c r="F366" s="0" t="s">
        <v>10</v>
      </c>
      <c r="G366" s="0" t="s">
        <v>7</v>
      </c>
      <c r="H366" s="0">
        <v>3588</v>
      </c>
      <c r="I366" s="0">
        <v>40</v>
      </c>
      <c r="J366" s="0">
        <v>0</v>
      </c>
      <c r="K366" s="0">
        <v>1</v>
      </c>
      <c r="L366" s="0">
        <v>1</v>
      </c>
      <c r="M366" s="0">
        <v>1</v>
      </c>
      <c r="N366" s="0">
        <v>0</v>
      </c>
      <c r="O366" s="0">
        <v>0</v>
      </c>
      <c r="P366" s="0">
        <v>0</v>
      </c>
      <c r="Q366" s="0" t="s">
        <v>266</v>
      </c>
      <c r="R366" s="0" t="b">
        <v>0</v>
      </c>
      <c r="S366" s="0" t="b">
        <v>1</v>
      </c>
      <c r="T366" s="68">
        <v>42465.5</v>
      </c>
      <c r="U366" s="68">
        <v>42465.5</v>
      </c>
      <c r="V366" s="68">
        <v>0</v>
      </c>
      <c r="W366" s="0">
        <f>IF(IF(B366="none",1,IF(B366="Trialer",1,0))+IF(C366="Customer",1,IF(C366="Lost",1,0))=2,1,0)</f>
      </c>
      <c r="X366" s="0" t="s">
        <v>148</v>
      </c>
      <c r="Y366" s="0" t="s">
        <v>137</v>
      </c>
      <c r="AV366" s="68"/>
      <c r="AW366" s="68"/>
      <c r="AY366" s="27"/>
      <c r="BD366" s="68">
        <v>46054.1666666667</v>
      </c>
      <c r="BE366" s="68">
        <v>46082.1666666667</v>
      </c>
      <c r="BF366" s="0" t="b">
        <v>0</v>
      </c>
      <c r="BG366" s="0" t="b">
        <v>0</v>
      </c>
      <c r="BH366" s="0">
        <v>40</v>
      </c>
      <c r="BI366" s="0">
        <v>40</v>
      </c>
      <c r="BJ366" s="0" t="s">
        <v>135</v>
      </c>
    </row>
    <row r="367">
      <c r="A367" s="0" t="s">
        <v>543</v>
      </c>
      <c r="B367" s="0" t="s">
        <v>134</v>
      </c>
      <c r="C367" s="0" t="s">
        <v>134</v>
      </c>
      <c r="D367" s="0" t="s">
        <v>135</v>
      </c>
      <c r="E367" s="0" t="s">
        <v>2</v>
      </c>
      <c r="F367" s="0" t="s">
        <v>12</v>
      </c>
      <c r="G367" s="0" t="s">
        <v>8</v>
      </c>
      <c r="H367" s="0">
        <v>3580</v>
      </c>
      <c r="I367" s="0">
        <v>270</v>
      </c>
      <c r="J367" s="0">
        <v>0</v>
      </c>
      <c r="K367" s="0">
        <v>1</v>
      </c>
      <c r="L367" s="0">
        <v>3</v>
      </c>
      <c r="M367" s="0">
        <v>6</v>
      </c>
      <c r="N367" s="0">
        <v>0</v>
      </c>
      <c r="O367" s="0">
        <v>0</v>
      </c>
      <c r="P367" s="0">
        <v>0</v>
      </c>
      <c r="R367" s="0" t="b">
        <v>0</v>
      </c>
      <c r="S367" s="0" t="b">
        <v>1</v>
      </c>
      <c r="T367" s="68">
        <v>42473.5</v>
      </c>
      <c r="U367" s="68">
        <v>42503.5416666667</v>
      </c>
      <c r="V367" s="68">
        <v>0</v>
      </c>
      <c r="W367" s="0">
        <f>IF(IF(B367="none",1,IF(B367="Trialer",1,0))+IF(C367="Customer",1,IF(C367="Lost",1,0))=2,1,0)</f>
      </c>
      <c r="X367" s="0" t="s">
        <v>136</v>
      </c>
      <c r="Y367" s="0" t="s">
        <v>499</v>
      </c>
      <c r="AV367" s="68"/>
      <c r="AW367" s="68"/>
      <c r="AY367" s="27"/>
      <c r="BD367" s="68">
        <v>46054.1666666667</v>
      </c>
      <c r="BE367" s="68">
        <v>46082.1666666667</v>
      </c>
      <c r="BF367" s="0" t="b">
        <v>0</v>
      </c>
      <c r="BG367" s="0" t="b">
        <v>0</v>
      </c>
      <c r="BH367" s="0">
        <v>270</v>
      </c>
      <c r="BI367" s="0">
        <v>270</v>
      </c>
      <c r="BJ367" s="0" t="s">
        <v>135</v>
      </c>
    </row>
    <row r="368">
      <c r="A368" s="0" t="s">
        <v>544</v>
      </c>
      <c r="B368" s="0" t="s">
        <v>134</v>
      </c>
      <c r="C368" s="0" t="s">
        <v>134</v>
      </c>
      <c r="D368" s="0" t="s">
        <v>135</v>
      </c>
      <c r="E368" s="0" t="s">
        <v>2</v>
      </c>
      <c r="F368" s="0" t="s">
        <v>10</v>
      </c>
      <c r="G368" s="0" t="s">
        <v>8</v>
      </c>
      <c r="H368" s="0">
        <v>3575</v>
      </c>
      <c r="I368" s="0">
        <v>182</v>
      </c>
      <c r="J368" s="0">
        <v>0</v>
      </c>
      <c r="K368" s="0">
        <v>1</v>
      </c>
      <c r="L368" s="0">
        <v>3</v>
      </c>
      <c r="M368" s="0">
        <v>6</v>
      </c>
      <c r="N368" s="0">
        <v>0</v>
      </c>
      <c r="O368" s="0">
        <v>0</v>
      </c>
      <c r="P368" s="0">
        <v>0</v>
      </c>
      <c r="Q368" s="0" t="s">
        <v>217</v>
      </c>
      <c r="R368" s="0" t="b">
        <v>0</v>
      </c>
      <c r="S368" s="0" t="b">
        <v>1</v>
      </c>
      <c r="T368" s="68">
        <v>42478.6958333333</v>
      </c>
      <c r="U368" s="68">
        <v>42508.5416666667</v>
      </c>
      <c r="V368" s="68">
        <v>0</v>
      </c>
      <c r="W368" s="0">
        <f>IF(IF(B368="none",1,IF(B368="Trialer",1,0))+IF(C368="Customer",1,IF(C368="Lost",1,0))=2,1,0)</f>
      </c>
      <c r="X368" s="0" t="s">
        <v>136</v>
      </c>
      <c r="Y368" s="0" t="s">
        <v>499</v>
      </c>
      <c r="AV368" s="68"/>
      <c r="AW368" s="68"/>
      <c r="AY368" s="27"/>
      <c r="BD368" s="68">
        <v>46054.1666666667</v>
      </c>
      <c r="BE368" s="68">
        <v>46082.1666666667</v>
      </c>
      <c r="BF368" s="0" t="b">
        <v>0</v>
      </c>
      <c r="BG368" s="0" t="b">
        <v>0</v>
      </c>
      <c r="BH368" s="0">
        <v>182</v>
      </c>
      <c r="BI368" s="0">
        <v>182</v>
      </c>
      <c r="BJ368" s="0" t="s">
        <v>135</v>
      </c>
    </row>
    <row r="369">
      <c r="A369" s="0" t="s">
        <v>545</v>
      </c>
      <c r="B369" s="0" t="s">
        <v>134</v>
      </c>
      <c r="C369" s="0" t="s">
        <v>134</v>
      </c>
      <c r="D369" s="0" t="s">
        <v>135</v>
      </c>
      <c r="E369" s="0" t="s">
        <v>3</v>
      </c>
      <c r="F369" s="0" t="s">
        <v>12</v>
      </c>
      <c r="G369" s="0" t="s">
        <v>8</v>
      </c>
      <c r="H369" s="0">
        <v>3574</v>
      </c>
      <c r="I369" s="0">
        <v>80</v>
      </c>
      <c r="J369" s="0">
        <v>0</v>
      </c>
      <c r="K369" s="0">
        <v>1</v>
      </c>
      <c r="L369" s="0">
        <v>3</v>
      </c>
      <c r="M369" s="0">
        <v>2</v>
      </c>
      <c r="N369" s="0">
        <v>0</v>
      </c>
      <c r="O369" s="0">
        <v>0</v>
      </c>
      <c r="P369" s="0">
        <v>0</v>
      </c>
      <c r="R369" s="0" t="b">
        <v>0</v>
      </c>
      <c r="S369" s="0" t="b">
        <v>1</v>
      </c>
      <c r="T369" s="68">
        <v>42479.8339699074</v>
      </c>
      <c r="U369" s="68">
        <v>42509.5416666667</v>
      </c>
      <c r="V369" s="68">
        <v>0</v>
      </c>
      <c r="W369" s="0">
        <f>IF(IF(B369="none",1,IF(B369="Trialer",1,0))+IF(C369="Customer",1,IF(C369="Lost",1,0))=2,1,0)</f>
      </c>
      <c r="X369" s="0" t="s">
        <v>166</v>
      </c>
      <c r="Y369" s="0" t="s">
        <v>243</v>
      </c>
      <c r="AV369" s="68"/>
      <c r="AW369" s="68"/>
      <c r="AY369" s="27"/>
      <c r="BD369" s="68">
        <v>46054.1666666667</v>
      </c>
      <c r="BE369" s="68">
        <v>46082.1666666667</v>
      </c>
      <c r="BF369" s="0" t="b">
        <v>0</v>
      </c>
      <c r="BG369" s="0" t="b">
        <v>0</v>
      </c>
      <c r="BH369" s="0">
        <v>80</v>
      </c>
      <c r="BI369" s="0">
        <v>80</v>
      </c>
      <c r="BJ369" s="0" t="s">
        <v>135</v>
      </c>
    </row>
    <row r="370">
      <c r="A370" s="0" t="s">
        <v>546</v>
      </c>
      <c r="B370" s="0" t="s">
        <v>134</v>
      </c>
      <c r="C370" s="0" t="s">
        <v>134</v>
      </c>
      <c r="D370" s="0" t="s">
        <v>135</v>
      </c>
      <c r="E370" s="0" t="s">
        <v>3</v>
      </c>
      <c r="F370" s="0" t="s">
        <v>12</v>
      </c>
      <c r="G370" s="0" t="s">
        <v>8</v>
      </c>
      <c r="H370" s="0">
        <v>3573</v>
      </c>
      <c r="I370" s="0">
        <v>90</v>
      </c>
      <c r="J370" s="0">
        <v>0</v>
      </c>
      <c r="K370" s="0">
        <v>1</v>
      </c>
      <c r="L370" s="0">
        <v>3</v>
      </c>
      <c r="M370" s="0">
        <v>2</v>
      </c>
      <c r="N370" s="0">
        <v>0</v>
      </c>
      <c r="O370" s="0">
        <v>0</v>
      </c>
      <c r="P370" s="0">
        <v>0</v>
      </c>
      <c r="R370" s="0" t="b">
        <v>0</v>
      </c>
      <c r="S370" s="0" t="b">
        <v>1</v>
      </c>
      <c r="T370" s="68">
        <v>42480.6728240741</v>
      </c>
      <c r="U370" s="68">
        <v>42510.5416666667</v>
      </c>
      <c r="V370" s="68">
        <v>0</v>
      </c>
      <c r="W370" s="0">
        <f>IF(IF(B370="none",1,IF(B370="Trialer",1,0))+IF(C370="Customer",1,IF(C370="Lost",1,0))=2,1,0)</f>
      </c>
      <c r="X370" s="0" t="s">
        <v>166</v>
      </c>
      <c r="Y370" s="0" t="s">
        <v>243</v>
      </c>
      <c r="AV370" s="68"/>
      <c r="AW370" s="68"/>
      <c r="AY370" s="27"/>
      <c r="BD370" s="68">
        <v>46054.1666666667</v>
      </c>
      <c r="BE370" s="68">
        <v>46082.1666666667</v>
      </c>
      <c r="BF370" s="0" t="b">
        <v>0</v>
      </c>
      <c r="BG370" s="0" t="b">
        <v>0</v>
      </c>
      <c r="BH370" s="0">
        <v>90</v>
      </c>
      <c r="BI370" s="0">
        <v>90</v>
      </c>
      <c r="BJ370" s="0" t="s">
        <v>135</v>
      </c>
    </row>
    <row r="371">
      <c r="A371" s="0" t="s">
        <v>547</v>
      </c>
      <c r="B371" s="0" t="s">
        <v>134</v>
      </c>
      <c r="C371" s="0" t="s">
        <v>134</v>
      </c>
      <c r="D371" s="0" t="s">
        <v>135</v>
      </c>
      <c r="E371" s="0" t="s">
        <v>2</v>
      </c>
      <c r="F371" s="0" t="s">
        <v>12</v>
      </c>
      <c r="G371" s="0" t="s">
        <v>7</v>
      </c>
      <c r="H371" s="0">
        <v>3566</v>
      </c>
      <c r="I371" s="0">
        <v>80</v>
      </c>
      <c r="J371" s="0">
        <v>0</v>
      </c>
      <c r="K371" s="0">
        <v>1</v>
      </c>
      <c r="L371" s="0">
        <v>1</v>
      </c>
      <c r="M371" s="0">
        <v>2</v>
      </c>
      <c r="N371" s="0">
        <v>0</v>
      </c>
      <c r="O371" s="0">
        <v>0</v>
      </c>
      <c r="P371" s="0">
        <v>0</v>
      </c>
      <c r="R371" s="0" t="b">
        <v>0</v>
      </c>
      <c r="S371" s="0" t="b">
        <v>1</v>
      </c>
      <c r="T371" s="68">
        <v>42487.6832638889</v>
      </c>
      <c r="U371" s="68">
        <v>42517.5416666667</v>
      </c>
      <c r="V371" s="68">
        <v>0</v>
      </c>
      <c r="W371" s="0">
        <f>IF(IF(B371="none",1,IF(B371="Trialer",1,0))+IF(C371="Customer",1,IF(C371="Lost",1,0))=2,1,0)</f>
      </c>
      <c r="X371" s="0" t="s">
        <v>142</v>
      </c>
      <c r="Y371" s="0" t="s">
        <v>499</v>
      </c>
      <c r="AV371" s="68"/>
      <c r="AW371" s="68"/>
      <c r="AY371" s="27"/>
      <c r="BD371" s="68">
        <v>46054.1666666667</v>
      </c>
      <c r="BE371" s="68">
        <v>46082.1666666667</v>
      </c>
      <c r="BF371" s="0" t="b">
        <v>0</v>
      </c>
      <c r="BG371" s="0" t="b">
        <v>0</v>
      </c>
      <c r="BH371" s="0">
        <v>80</v>
      </c>
      <c r="BI371" s="0">
        <v>80</v>
      </c>
      <c r="BJ371" s="0" t="s">
        <v>135</v>
      </c>
    </row>
    <row r="372">
      <c r="A372" s="0" t="s">
        <v>548</v>
      </c>
      <c r="B372" s="0" t="s">
        <v>134</v>
      </c>
      <c r="C372" s="0" t="s">
        <v>134</v>
      </c>
      <c r="D372" s="0" t="s">
        <v>135</v>
      </c>
      <c r="E372" s="0" t="s">
        <v>2</v>
      </c>
      <c r="F372" s="0" t="s">
        <v>10</v>
      </c>
      <c r="G372" s="0" t="s">
        <v>8</v>
      </c>
      <c r="H372" s="0">
        <v>3562</v>
      </c>
      <c r="I372" s="0">
        <v>35</v>
      </c>
      <c r="J372" s="0">
        <v>0</v>
      </c>
      <c r="K372" s="0">
        <v>1</v>
      </c>
      <c r="L372" s="0">
        <v>2</v>
      </c>
      <c r="M372" s="0">
        <v>1</v>
      </c>
      <c r="N372" s="0">
        <v>0</v>
      </c>
      <c r="O372" s="0">
        <v>0</v>
      </c>
      <c r="P372" s="0">
        <v>0</v>
      </c>
      <c r="Q372" s="0" t="s">
        <v>411</v>
      </c>
      <c r="R372" s="0" t="b">
        <v>0</v>
      </c>
      <c r="S372" s="0" t="b">
        <v>1</v>
      </c>
      <c r="T372" s="68">
        <v>42491.8965277778</v>
      </c>
      <c r="U372" s="68">
        <v>42522.5</v>
      </c>
      <c r="V372" s="68">
        <v>0</v>
      </c>
      <c r="W372" s="0">
        <f>IF(IF(B372="none",1,IF(B372="Trialer",1,0))+IF(C372="Customer",1,IF(C372="Lost",1,0))=2,1,0)</f>
      </c>
      <c r="X372" s="0" t="s">
        <v>148</v>
      </c>
      <c r="Y372" s="0" t="s">
        <v>499</v>
      </c>
      <c r="AV372" s="68"/>
      <c r="AW372" s="68"/>
      <c r="AY372" s="27"/>
      <c r="BD372" s="68">
        <v>46054.1666666667</v>
      </c>
      <c r="BE372" s="68">
        <v>46082.1666666667</v>
      </c>
      <c r="BF372" s="0" t="b">
        <v>0</v>
      </c>
      <c r="BG372" s="0" t="b">
        <v>0</v>
      </c>
      <c r="BH372" s="0">
        <v>35</v>
      </c>
      <c r="BI372" s="0">
        <v>35</v>
      </c>
      <c r="BJ372" s="0" t="s">
        <v>135</v>
      </c>
    </row>
    <row r="373">
      <c r="A373" s="0" t="s">
        <v>549</v>
      </c>
      <c r="B373" s="0" t="s">
        <v>134</v>
      </c>
      <c r="C373" s="0" t="s">
        <v>134</v>
      </c>
      <c r="D373" s="0" t="s">
        <v>230</v>
      </c>
      <c r="E373" s="0" t="s">
        <v>2</v>
      </c>
      <c r="F373" s="0" t="s">
        <v>12</v>
      </c>
      <c r="G373" s="0" t="s">
        <v>8</v>
      </c>
      <c r="H373" s="0">
        <v>3559</v>
      </c>
      <c r="I373" s="0">
        <v>67.5</v>
      </c>
      <c r="J373" s="0">
        <v>0</v>
      </c>
      <c r="K373" s="0">
        <v>1</v>
      </c>
      <c r="L373" s="0">
        <v>1</v>
      </c>
      <c r="M373" s="0">
        <v>3</v>
      </c>
      <c r="N373" s="0">
        <v>0</v>
      </c>
      <c r="O373" s="0">
        <v>0</v>
      </c>
      <c r="P373" s="0">
        <v>-67.5</v>
      </c>
      <c r="R373" s="0" t="b">
        <v>0</v>
      </c>
      <c r="S373" s="0" t="b">
        <v>1</v>
      </c>
      <c r="T373" s="68">
        <v>42494.4541666667</v>
      </c>
      <c r="U373" s="68">
        <v>42525.5416666667</v>
      </c>
      <c r="V373" s="68">
        <v>0</v>
      </c>
      <c r="W373" s="0">
        <f>IF(IF(B373="none",1,IF(B373="Trialer",1,0))+IF(C373="Customer",1,IF(C373="Lost",1,0))=2,1,0)</f>
      </c>
      <c r="X373" s="0" t="s">
        <v>142</v>
      </c>
      <c r="Y373" s="0" t="s">
        <v>499</v>
      </c>
      <c r="AV373" s="68"/>
      <c r="AW373" s="68"/>
      <c r="AY373" s="27"/>
      <c r="BD373" s="68">
        <v>46054.1666666667</v>
      </c>
      <c r="BE373" s="68">
        <v>46082.1666666667</v>
      </c>
      <c r="BF373" s="0" t="b">
        <v>0</v>
      </c>
      <c r="BG373" s="0" t="b">
        <v>0</v>
      </c>
      <c r="BH373" s="0">
        <v>75</v>
      </c>
      <c r="BI373" s="0">
        <v>75</v>
      </c>
      <c r="BJ373" s="0" t="s">
        <v>230</v>
      </c>
    </row>
    <row r="374">
      <c r="A374" s="0" t="s">
        <v>550</v>
      </c>
      <c r="B374" s="0" t="s">
        <v>134</v>
      </c>
      <c r="C374" s="0" t="s">
        <v>134</v>
      </c>
      <c r="D374" s="0" t="s">
        <v>230</v>
      </c>
      <c r="E374" s="0" t="s">
        <v>2</v>
      </c>
      <c r="F374" s="0" t="s">
        <v>12</v>
      </c>
      <c r="G374" s="0" t="s">
        <v>7</v>
      </c>
      <c r="H374" s="0">
        <v>3553</v>
      </c>
      <c r="I374" s="0">
        <v>108</v>
      </c>
      <c r="J374" s="0">
        <v>0</v>
      </c>
      <c r="K374" s="0">
        <v>1</v>
      </c>
      <c r="L374" s="0">
        <v>1</v>
      </c>
      <c r="M374" s="0">
        <v>3</v>
      </c>
      <c r="N374" s="0">
        <v>0</v>
      </c>
      <c r="O374" s="0">
        <v>0</v>
      </c>
      <c r="P374" s="0">
        <v>-108</v>
      </c>
      <c r="R374" s="0" t="b">
        <v>0</v>
      </c>
      <c r="S374" s="0" t="b">
        <v>1</v>
      </c>
      <c r="T374" s="68">
        <v>42500.5</v>
      </c>
      <c r="U374" s="68">
        <v>42531.5</v>
      </c>
      <c r="V374" s="68">
        <v>0</v>
      </c>
      <c r="W374" s="0">
        <f>IF(IF(B374="none",1,IF(B374="Trialer",1,0))+IF(C374="Customer",1,IF(C374="Lost",1,0))=2,1,0)</f>
      </c>
      <c r="X374" s="0" t="s">
        <v>142</v>
      </c>
      <c r="Y374" s="0" t="s">
        <v>499</v>
      </c>
      <c r="AV374" s="68"/>
      <c r="AW374" s="68"/>
      <c r="AY374" s="27"/>
      <c r="BD374" s="68">
        <v>46054.1666666667</v>
      </c>
      <c r="BE374" s="68">
        <v>46082.1666666667</v>
      </c>
      <c r="BF374" s="0" t="b">
        <v>0</v>
      </c>
      <c r="BG374" s="0" t="b">
        <v>0</v>
      </c>
      <c r="BH374" s="0">
        <v>120</v>
      </c>
      <c r="BI374" s="0">
        <v>120</v>
      </c>
      <c r="BJ374" s="0" t="s">
        <v>230</v>
      </c>
    </row>
    <row r="375">
      <c r="A375" s="0" t="s">
        <v>551</v>
      </c>
      <c r="B375" s="0" t="s">
        <v>134</v>
      </c>
      <c r="C375" s="0" t="s">
        <v>134</v>
      </c>
      <c r="D375" s="0" t="s">
        <v>135</v>
      </c>
      <c r="E375" s="0" t="s">
        <v>2</v>
      </c>
      <c r="F375" s="0" t="s">
        <v>12</v>
      </c>
      <c r="G375" s="0" t="s">
        <v>8</v>
      </c>
      <c r="H375" s="0">
        <v>3553</v>
      </c>
      <c r="I375" s="0">
        <v>215</v>
      </c>
      <c r="J375" s="0">
        <v>0</v>
      </c>
      <c r="K375" s="0">
        <v>1</v>
      </c>
      <c r="L375" s="0">
        <v>3</v>
      </c>
      <c r="M375" s="0">
        <v>5</v>
      </c>
      <c r="N375" s="0">
        <v>0</v>
      </c>
      <c r="O375" s="0">
        <v>0</v>
      </c>
      <c r="P375" s="0">
        <v>0</v>
      </c>
      <c r="R375" s="0" t="b">
        <v>0</v>
      </c>
      <c r="S375" s="0" t="b">
        <v>1</v>
      </c>
      <c r="T375" s="68">
        <v>42500.6201388889</v>
      </c>
      <c r="U375" s="68">
        <v>42531.5416666667</v>
      </c>
      <c r="V375" s="68">
        <v>0</v>
      </c>
      <c r="W375" s="0">
        <f>IF(IF(B375="none",1,IF(B375="Trialer",1,0))+IF(C375="Customer",1,IF(C375="Lost",1,0))=2,1,0)</f>
      </c>
      <c r="X375" s="0" t="s">
        <v>136</v>
      </c>
      <c r="Y375" s="0" t="s">
        <v>499</v>
      </c>
      <c r="AV375" s="68"/>
      <c r="AW375" s="68"/>
      <c r="AY375" s="27"/>
      <c r="BD375" s="68">
        <v>46054.1666666667</v>
      </c>
      <c r="BE375" s="68">
        <v>46082.1666666667</v>
      </c>
      <c r="BF375" s="0" t="b">
        <v>0</v>
      </c>
      <c r="BG375" s="0" t="b">
        <v>0</v>
      </c>
      <c r="BH375" s="0">
        <v>215</v>
      </c>
      <c r="BI375" s="0">
        <v>215</v>
      </c>
      <c r="BJ375" s="0" t="s">
        <v>135</v>
      </c>
    </row>
    <row r="376">
      <c r="A376" s="0" t="s">
        <v>552</v>
      </c>
      <c r="B376" s="0" t="s">
        <v>134</v>
      </c>
      <c r="C376" s="0" t="s">
        <v>134</v>
      </c>
      <c r="D376" s="0" t="s">
        <v>135</v>
      </c>
      <c r="E376" s="0" t="s">
        <v>3</v>
      </c>
      <c r="F376" s="0" t="s">
        <v>12</v>
      </c>
      <c r="G376" s="0" t="s">
        <v>8</v>
      </c>
      <c r="H376" s="0">
        <v>3552</v>
      </c>
      <c r="I376" s="0">
        <v>25</v>
      </c>
      <c r="J376" s="0">
        <v>0</v>
      </c>
      <c r="K376" s="0">
        <v>1</v>
      </c>
      <c r="L376" s="0">
        <v>1</v>
      </c>
      <c r="M376" s="0">
        <v>1</v>
      </c>
      <c r="N376" s="0">
        <v>0</v>
      </c>
      <c r="O376" s="0">
        <v>0</v>
      </c>
      <c r="P376" s="0">
        <v>0</v>
      </c>
      <c r="R376" s="0" t="b">
        <v>0</v>
      </c>
      <c r="S376" s="0" t="b">
        <v>1</v>
      </c>
      <c r="T376" s="68">
        <v>42501.509537037</v>
      </c>
      <c r="U376" s="68">
        <v>42532.5416666667</v>
      </c>
      <c r="V376" s="68">
        <v>0</v>
      </c>
      <c r="W376" s="0">
        <f>IF(IF(B376="none",1,IF(B376="Trialer",1,0))+IF(C376="Customer",1,IF(C376="Lost",1,0))=2,1,0)</f>
      </c>
      <c r="X376" s="0" t="s">
        <v>142</v>
      </c>
      <c r="Y376" s="0" t="s">
        <v>487</v>
      </c>
      <c r="AV376" s="68"/>
      <c r="AW376" s="68"/>
      <c r="AY376" s="27"/>
      <c r="BD376" s="68">
        <v>46054.1666666667</v>
      </c>
      <c r="BE376" s="68">
        <v>46082.1666666667</v>
      </c>
      <c r="BF376" s="0" t="b">
        <v>0</v>
      </c>
      <c r="BG376" s="0" t="b">
        <v>0</v>
      </c>
      <c r="BH376" s="0">
        <v>25</v>
      </c>
      <c r="BI376" s="0">
        <v>25</v>
      </c>
      <c r="BJ376" s="0" t="s">
        <v>135</v>
      </c>
    </row>
    <row r="377">
      <c r="A377" s="0" t="s">
        <v>553</v>
      </c>
      <c r="B377" s="0" t="s">
        <v>134</v>
      </c>
      <c r="C377" s="0" t="s">
        <v>134</v>
      </c>
      <c r="D377" s="0" t="s">
        <v>135</v>
      </c>
      <c r="E377" s="0" t="s">
        <v>2</v>
      </c>
      <c r="F377" s="0" t="s">
        <v>12</v>
      </c>
      <c r="G377" s="0" t="s">
        <v>8</v>
      </c>
      <c r="H377" s="0">
        <v>3551</v>
      </c>
      <c r="I377" s="0">
        <v>45</v>
      </c>
      <c r="J377" s="0">
        <v>0</v>
      </c>
      <c r="K377" s="0">
        <v>1</v>
      </c>
      <c r="L377" s="0">
        <v>3</v>
      </c>
      <c r="M377" s="0">
        <v>1</v>
      </c>
      <c r="N377" s="0">
        <v>0</v>
      </c>
      <c r="O377" s="0">
        <v>0</v>
      </c>
      <c r="P377" s="0">
        <v>0</v>
      </c>
      <c r="R377" s="0" t="b">
        <v>0</v>
      </c>
      <c r="S377" s="0" t="b">
        <v>1</v>
      </c>
      <c r="T377" s="68">
        <v>42502.5325347222</v>
      </c>
      <c r="U377" s="68">
        <v>42533.5416666667</v>
      </c>
      <c r="V377" s="68">
        <v>0</v>
      </c>
      <c r="W377" s="0">
        <f>IF(IF(B377="none",1,IF(B377="Trialer",1,0))+IF(C377="Customer",1,IF(C377="Lost",1,0))=2,1,0)</f>
      </c>
      <c r="X377" s="0" t="s">
        <v>166</v>
      </c>
      <c r="Y377" s="0" t="s">
        <v>499</v>
      </c>
      <c r="AV377" s="68"/>
      <c r="AW377" s="68"/>
      <c r="AY377" s="27"/>
      <c r="BD377" s="68">
        <v>46054.1666666667</v>
      </c>
      <c r="BE377" s="68">
        <v>46082.1666666667</v>
      </c>
      <c r="BF377" s="0" t="b">
        <v>0</v>
      </c>
      <c r="BG377" s="0" t="b">
        <v>0</v>
      </c>
      <c r="BH377" s="0">
        <v>45</v>
      </c>
      <c r="BI377" s="0">
        <v>45</v>
      </c>
      <c r="BJ377" s="0" t="s">
        <v>135</v>
      </c>
    </row>
    <row r="378">
      <c r="A378" s="0" t="s">
        <v>554</v>
      </c>
      <c r="B378" s="0" t="s">
        <v>134</v>
      </c>
      <c r="C378" s="0" t="s">
        <v>134</v>
      </c>
      <c r="D378" s="0" t="s">
        <v>135</v>
      </c>
      <c r="E378" s="0" t="s">
        <v>3</v>
      </c>
      <c r="F378" s="0" t="s">
        <v>11</v>
      </c>
      <c r="G378" s="0" t="s">
        <v>7</v>
      </c>
      <c r="H378" s="0">
        <v>3544</v>
      </c>
      <c r="I378" s="0">
        <v>32</v>
      </c>
      <c r="J378" s="0">
        <v>0</v>
      </c>
      <c r="K378" s="0">
        <v>1</v>
      </c>
      <c r="L378" s="0">
        <v>1</v>
      </c>
      <c r="M378" s="0">
        <v>1</v>
      </c>
      <c r="N378" s="0">
        <v>0</v>
      </c>
      <c r="O378" s="0">
        <v>0</v>
      </c>
      <c r="P378" s="0">
        <v>0</v>
      </c>
      <c r="Q378" s="0" t="s">
        <v>555</v>
      </c>
      <c r="R378" s="0" t="b">
        <v>1</v>
      </c>
      <c r="S378" s="0" t="b">
        <v>1</v>
      </c>
      <c r="T378" s="68">
        <v>42509.4465277778</v>
      </c>
      <c r="U378" s="68">
        <v>42540.5416666667</v>
      </c>
      <c r="V378" s="68">
        <v>0</v>
      </c>
      <c r="W378" s="0">
        <f>IF(IF(B378="none",1,IF(B378="Trialer",1,0))+IF(C378="Customer",1,IF(C378="Lost",1,0))=2,1,0)</f>
      </c>
      <c r="X378" s="0" t="s">
        <v>148</v>
      </c>
      <c r="Y378" s="0" t="s">
        <v>243</v>
      </c>
      <c r="AV378" s="68"/>
      <c r="AW378" s="68"/>
      <c r="AY378" s="27"/>
      <c r="BD378" s="68">
        <v>46054.1666666667</v>
      </c>
      <c r="BE378" s="68">
        <v>46082.1666666667</v>
      </c>
      <c r="BF378" s="0" t="b">
        <v>0</v>
      </c>
      <c r="BG378" s="0" t="b">
        <v>0</v>
      </c>
      <c r="BH378" s="0">
        <v>32</v>
      </c>
      <c r="BI378" s="0">
        <v>32</v>
      </c>
      <c r="BJ378" s="0" t="s">
        <v>135</v>
      </c>
    </row>
    <row r="379">
      <c r="A379" s="0" t="s">
        <v>556</v>
      </c>
      <c r="B379" s="0" t="s">
        <v>134</v>
      </c>
      <c r="C379" s="0" t="s">
        <v>134</v>
      </c>
      <c r="D379" s="0" t="s">
        <v>135</v>
      </c>
      <c r="E379" s="0" t="s">
        <v>3</v>
      </c>
      <c r="F379" s="0" t="s">
        <v>12</v>
      </c>
      <c r="G379" s="0" t="s">
        <v>8</v>
      </c>
      <c r="H379" s="0">
        <v>3539</v>
      </c>
      <c r="I379" s="0">
        <v>0</v>
      </c>
      <c r="J379" s="0">
        <v>0</v>
      </c>
      <c r="K379" s="0">
        <v>1</v>
      </c>
      <c r="L379" s="0">
        <v>3</v>
      </c>
      <c r="M379" s="0">
        <v>1</v>
      </c>
      <c r="N379" s="0">
        <v>0</v>
      </c>
      <c r="O379" s="0">
        <v>0</v>
      </c>
      <c r="P379" s="0">
        <v>0</v>
      </c>
      <c r="R379" s="0" t="b">
        <v>0</v>
      </c>
      <c r="S379" s="0" t="b">
        <v>1</v>
      </c>
      <c r="T379" s="68">
        <v>42514.7826388889</v>
      </c>
      <c r="U379" s="68">
        <v>42545.5416666667</v>
      </c>
      <c r="V379" s="68">
        <v>0</v>
      </c>
      <c r="W379" s="0">
        <f>IF(IF(B379="none",1,IF(B379="Trialer",1,0))+IF(C379="Customer",1,IF(C379="Lost",1,0))=2,1,0)</f>
      </c>
      <c r="X379" s="0" t="s">
        <v>148</v>
      </c>
      <c r="Y379" s="0" t="s">
        <v>243</v>
      </c>
      <c r="AV379" s="68"/>
      <c r="AW379" s="68"/>
      <c r="AY379" s="27"/>
      <c r="BD379" s="68">
        <v>46054.1666666667</v>
      </c>
      <c r="BE379" s="68">
        <v>46082.1666666667</v>
      </c>
      <c r="BF379" s="0" t="b">
        <v>0</v>
      </c>
      <c r="BG379" s="0" t="b">
        <v>0</v>
      </c>
      <c r="BH379" s="0">
        <v>0</v>
      </c>
      <c r="BI379" s="0">
        <v>0</v>
      </c>
      <c r="BJ379" s="0" t="s">
        <v>135</v>
      </c>
    </row>
    <row r="380">
      <c r="A380" s="0" t="s">
        <v>557</v>
      </c>
      <c r="B380" s="0" t="s">
        <v>134</v>
      </c>
      <c r="C380" s="0" t="s">
        <v>134</v>
      </c>
      <c r="D380" s="0" t="s">
        <v>230</v>
      </c>
      <c r="E380" s="0" t="s">
        <v>2</v>
      </c>
      <c r="F380" s="0" t="s">
        <v>12</v>
      </c>
      <c r="G380" s="0" t="s">
        <v>7</v>
      </c>
      <c r="H380" s="0">
        <v>3536</v>
      </c>
      <c r="I380" s="0">
        <v>36</v>
      </c>
      <c r="J380" s="0">
        <v>0</v>
      </c>
      <c r="K380" s="0">
        <v>1</v>
      </c>
      <c r="L380" s="0">
        <v>1</v>
      </c>
      <c r="M380" s="0">
        <v>1</v>
      </c>
      <c r="N380" s="0">
        <v>0</v>
      </c>
      <c r="O380" s="0">
        <v>0</v>
      </c>
      <c r="P380" s="0">
        <v>396</v>
      </c>
      <c r="R380" s="0" t="b">
        <v>0</v>
      </c>
      <c r="S380" s="0" t="b">
        <v>1</v>
      </c>
      <c r="T380" s="68">
        <v>42517.2077199074</v>
      </c>
      <c r="U380" s="68">
        <v>42548.5416666667</v>
      </c>
      <c r="V380" s="68">
        <v>0</v>
      </c>
      <c r="W380" s="0">
        <f>IF(IF(B380="none",1,IF(B380="Trialer",1,0))+IF(C380="Customer",1,IF(C380="Lost",1,0))=2,1,0)</f>
      </c>
      <c r="X380" s="0" t="s">
        <v>145</v>
      </c>
      <c r="Y380" s="0" t="s">
        <v>499</v>
      </c>
      <c r="AV380" s="68"/>
      <c r="AW380" s="68"/>
      <c r="AY380" s="27"/>
      <c r="BD380" s="68">
        <v>46054.1666666667</v>
      </c>
      <c r="BE380" s="68">
        <v>46082.1666666667</v>
      </c>
      <c r="BF380" s="0" t="b">
        <v>0</v>
      </c>
      <c r="BG380" s="0" t="b">
        <v>0</v>
      </c>
      <c r="BH380" s="0">
        <v>40</v>
      </c>
      <c r="BI380" s="0">
        <v>40</v>
      </c>
      <c r="BJ380" s="0" t="s">
        <v>230</v>
      </c>
    </row>
    <row r="381">
      <c r="A381" s="0" t="s">
        <v>558</v>
      </c>
      <c r="B381" s="0" t="s">
        <v>134</v>
      </c>
      <c r="C381" s="0" t="s">
        <v>134</v>
      </c>
      <c r="D381" s="0" t="s">
        <v>135</v>
      </c>
      <c r="E381" s="0" t="s">
        <v>3</v>
      </c>
      <c r="F381" s="0" t="s">
        <v>12</v>
      </c>
      <c r="G381" s="0" t="s">
        <v>8</v>
      </c>
      <c r="H381" s="0">
        <v>3536</v>
      </c>
      <c r="I381" s="0">
        <v>0</v>
      </c>
      <c r="J381" s="0">
        <v>0</v>
      </c>
      <c r="K381" s="0">
        <v>1</v>
      </c>
      <c r="L381" s="0">
        <v>6</v>
      </c>
      <c r="M381" s="0">
        <v>2</v>
      </c>
      <c r="N381" s="0">
        <v>0</v>
      </c>
      <c r="O381" s="0">
        <v>0</v>
      </c>
      <c r="P381" s="0">
        <v>0</v>
      </c>
      <c r="R381" s="0" t="b">
        <v>0</v>
      </c>
      <c r="S381" s="0" t="b">
        <v>1</v>
      </c>
      <c r="T381" s="68">
        <v>42517.5</v>
      </c>
      <c r="U381" s="68">
        <v>42548.5416666667</v>
      </c>
      <c r="V381" s="68">
        <v>0</v>
      </c>
      <c r="W381" s="0">
        <f>IF(IF(B381="none",1,IF(B381="Trialer",1,0))+IF(C381="Customer",1,IF(C381="Lost",1,0))=2,1,0)</f>
      </c>
      <c r="X381" s="0" t="s">
        <v>142</v>
      </c>
      <c r="Y381" s="0" t="s">
        <v>243</v>
      </c>
      <c r="AV381" s="68"/>
      <c r="AW381" s="68"/>
      <c r="AY381" s="27"/>
      <c r="BD381" s="68">
        <v>46054.1666666667</v>
      </c>
      <c r="BE381" s="68">
        <v>46082.1666666667</v>
      </c>
      <c r="BF381" s="0" t="b">
        <v>0</v>
      </c>
      <c r="BG381" s="0" t="b">
        <v>0</v>
      </c>
      <c r="BH381" s="0">
        <v>0</v>
      </c>
      <c r="BI381" s="0">
        <v>0</v>
      </c>
      <c r="BJ381" s="0" t="s">
        <v>135</v>
      </c>
    </row>
    <row r="382">
      <c r="A382" s="0" t="s">
        <v>559</v>
      </c>
      <c r="B382" s="0" t="s">
        <v>134</v>
      </c>
      <c r="C382" s="0" t="s">
        <v>134</v>
      </c>
      <c r="D382" s="0" t="s">
        <v>135</v>
      </c>
      <c r="E382" s="0" t="s">
        <v>3</v>
      </c>
      <c r="F382" s="0" t="s">
        <v>12</v>
      </c>
      <c r="G382" s="0" t="s">
        <v>8</v>
      </c>
      <c r="H382" s="0">
        <v>3523</v>
      </c>
      <c r="I382" s="0">
        <v>114</v>
      </c>
      <c r="J382" s="0">
        <v>0</v>
      </c>
      <c r="K382" s="0">
        <v>1</v>
      </c>
      <c r="L382" s="0">
        <v>4</v>
      </c>
      <c r="M382" s="0">
        <v>2</v>
      </c>
      <c r="N382" s="0">
        <v>0</v>
      </c>
      <c r="O382" s="0">
        <v>0</v>
      </c>
      <c r="P382" s="0">
        <v>0</v>
      </c>
      <c r="R382" s="0" t="b">
        <v>0</v>
      </c>
      <c r="S382" s="0" t="b">
        <v>1</v>
      </c>
      <c r="T382" s="68">
        <v>42530.4708333333</v>
      </c>
      <c r="U382" s="68">
        <v>42560.5416666667</v>
      </c>
      <c r="V382" s="68">
        <v>0</v>
      </c>
      <c r="W382" s="0">
        <f>IF(IF(B382="none",1,IF(B382="Trialer",1,0))+IF(C382="Customer",1,IF(C382="Lost",1,0))=2,1,0)</f>
      </c>
      <c r="X382" s="0" t="s">
        <v>142</v>
      </c>
      <c r="Y382" s="0" t="s">
        <v>243</v>
      </c>
      <c r="AV382" s="68"/>
      <c r="AW382" s="68"/>
      <c r="AY382" s="27"/>
      <c r="BD382" s="68">
        <v>46054.1666666667</v>
      </c>
      <c r="BE382" s="68">
        <v>46082.1666666667</v>
      </c>
      <c r="BF382" s="0" t="b">
        <v>0</v>
      </c>
      <c r="BG382" s="0" t="b">
        <v>0</v>
      </c>
      <c r="BH382" s="0">
        <v>114</v>
      </c>
      <c r="BI382" s="0">
        <v>114</v>
      </c>
      <c r="BJ382" s="0" t="s">
        <v>135</v>
      </c>
    </row>
    <row r="383">
      <c r="A383" s="0" t="s">
        <v>560</v>
      </c>
      <c r="B383" s="0" t="s">
        <v>134</v>
      </c>
      <c r="C383" s="0" t="s">
        <v>134</v>
      </c>
      <c r="D383" s="0" t="s">
        <v>135</v>
      </c>
      <c r="E383" s="0" t="s">
        <v>2</v>
      </c>
      <c r="F383" s="0" t="s">
        <v>10</v>
      </c>
      <c r="G383" s="0" t="s">
        <v>8</v>
      </c>
      <c r="H383" s="0">
        <v>3522</v>
      </c>
      <c r="I383" s="0">
        <v>160</v>
      </c>
      <c r="J383" s="0">
        <v>0</v>
      </c>
      <c r="K383" s="0">
        <v>1</v>
      </c>
      <c r="L383" s="0">
        <v>3</v>
      </c>
      <c r="M383" s="0">
        <v>4</v>
      </c>
      <c r="N383" s="0">
        <v>0</v>
      </c>
      <c r="O383" s="0">
        <v>0</v>
      </c>
      <c r="P383" s="0">
        <v>0</v>
      </c>
      <c r="Q383" s="0" t="s">
        <v>561</v>
      </c>
      <c r="R383" s="0" t="b">
        <v>0</v>
      </c>
      <c r="S383" s="0" t="b">
        <v>1</v>
      </c>
      <c r="T383" s="68">
        <v>42531.4895833333</v>
      </c>
      <c r="U383" s="68">
        <v>42561.5416666667</v>
      </c>
      <c r="V383" s="68">
        <v>0</v>
      </c>
      <c r="W383" s="0">
        <f>IF(IF(B383="none",1,IF(B383="Trialer",1,0))+IF(C383="Customer",1,IF(C383="Lost",1,0))=2,1,0)</f>
      </c>
      <c r="X383" s="0" t="s">
        <v>148</v>
      </c>
      <c r="Y383" s="0" t="s">
        <v>499</v>
      </c>
      <c r="AV383" s="68"/>
      <c r="AW383" s="68"/>
      <c r="AY383" s="27"/>
      <c r="BD383" s="68">
        <v>46054.1666666667</v>
      </c>
      <c r="BE383" s="68">
        <v>46082.1666666667</v>
      </c>
      <c r="BF383" s="0" t="b">
        <v>0</v>
      </c>
      <c r="BG383" s="0" t="b">
        <v>0</v>
      </c>
      <c r="BH383" s="0">
        <v>160</v>
      </c>
      <c r="BI383" s="0">
        <v>160</v>
      </c>
      <c r="BJ383" s="0" t="s">
        <v>135</v>
      </c>
    </row>
    <row r="384">
      <c r="A384" s="0" t="s">
        <v>562</v>
      </c>
      <c r="B384" s="0" t="s">
        <v>134</v>
      </c>
      <c r="C384" s="0" t="s">
        <v>134</v>
      </c>
      <c r="D384" s="0" t="s">
        <v>135</v>
      </c>
      <c r="E384" s="0" t="s">
        <v>2</v>
      </c>
      <c r="F384" s="0" t="s">
        <v>12</v>
      </c>
      <c r="G384" s="0" t="s">
        <v>8</v>
      </c>
      <c r="H384" s="0">
        <v>3519</v>
      </c>
      <c r="I384" s="0">
        <v>0</v>
      </c>
      <c r="J384" s="0">
        <v>0</v>
      </c>
      <c r="K384" s="0">
        <v>1</v>
      </c>
      <c r="L384" s="0">
        <v>5</v>
      </c>
      <c r="M384" s="0">
        <v>1</v>
      </c>
      <c r="N384" s="0">
        <v>0</v>
      </c>
      <c r="O384" s="0">
        <v>0</v>
      </c>
      <c r="P384" s="0">
        <v>0</v>
      </c>
      <c r="R384" s="0" t="b">
        <v>0</v>
      </c>
      <c r="S384" s="0" t="b">
        <v>1</v>
      </c>
      <c r="T384" s="68">
        <v>42534.5</v>
      </c>
      <c r="U384" s="68">
        <v>42564.5416666667</v>
      </c>
      <c r="V384" s="68">
        <v>0</v>
      </c>
      <c r="W384" s="0">
        <f>IF(IF(B384="none",1,IF(B384="Trialer",1,0))+IF(C384="Customer",1,IF(C384="Lost",1,0))=2,1,0)</f>
      </c>
      <c r="X384" s="0" t="s">
        <v>148</v>
      </c>
      <c r="Y384" s="0" t="s">
        <v>499</v>
      </c>
      <c r="AV384" s="68"/>
      <c r="AW384" s="68"/>
      <c r="AY384" s="27"/>
      <c r="BD384" s="68">
        <v>46054.1666666667</v>
      </c>
      <c r="BE384" s="68">
        <v>46082.1666666667</v>
      </c>
      <c r="BF384" s="0" t="b">
        <v>0</v>
      </c>
      <c r="BG384" s="0" t="b">
        <v>0</v>
      </c>
      <c r="BH384" s="0">
        <v>0</v>
      </c>
      <c r="BI384" s="0">
        <v>0</v>
      </c>
      <c r="BJ384" s="0" t="s">
        <v>135</v>
      </c>
    </row>
    <row r="385">
      <c r="A385" s="0" t="s">
        <v>563</v>
      </c>
      <c r="B385" s="0" t="s">
        <v>134</v>
      </c>
      <c r="C385" s="0" t="s">
        <v>134</v>
      </c>
      <c r="D385" s="0" t="s">
        <v>135</v>
      </c>
      <c r="E385" s="0" t="s">
        <v>2</v>
      </c>
      <c r="F385" s="0" t="s">
        <v>12</v>
      </c>
      <c r="G385" s="0" t="s">
        <v>7</v>
      </c>
      <c r="H385" s="0">
        <v>3509</v>
      </c>
      <c r="I385" s="0">
        <v>40</v>
      </c>
      <c r="J385" s="0">
        <v>0</v>
      </c>
      <c r="K385" s="0">
        <v>1</v>
      </c>
      <c r="L385" s="0">
        <v>1</v>
      </c>
      <c r="M385" s="0">
        <v>1</v>
      </c>
      <c r="N385" s="0">
        <v>0</v>
      </c>
      <c r="O385" s="0">
        <v>0</v>
      </c>
      <c r="P385" s="0">
        <v>0</v>
      </c>
      <c r="R385" s="0" t="b">
        <v>0</v>
      </c>
      <c r="S385" s="0" t="b">
        <v>1</v>
      </c>
      <c r="T385" s="68">
        <v>42544.6638888889</v>
      </c>
      <c r="U385" s="68">
        <v>42574.5416666667</v>
      </c>
      <c r="V385" s="68">
        <v>0</v>
      </c>
      <c r="W385" s="0">
        <f>IF(IF(B385="none",1,IF(B385="Trialer",1,0))+IF(C385="Customer",1,IF(C385="Lost",1,0))=2,1,0)</f>
      </c>
      <c r="X385" s="0" t="s">
        <v>145</v>
      </c>
      <c r="Y385" s="0" t="s">
        <v>499</v>
      </c>
      <c r="AV385" s="68"/>
      <c r="AW385" s="68"/>
      <c r="AY385" s="27"/>
      <c r="BD385" s="68">
        <v>46054.1666666667</v>
      </c>
      <c r="BE385" s="68">
        <v>46082.1666666667</v>
      </c>
      <c r="BF385" s="0" t="b">
        <v>0</v>
      </c>
      <c r="BG385" s="0" t="b">
        <v>0</v>
      </c>
      <c r="BH385" s="0">
        <v>40</v>
      </c>
      <c r="BI385" s="0">
        <v>40</v>
      </c>
      <c r="BJ385" s="0" t="s">
        <v>135</v>
      </c>
    </row>
    <row r="386">
      <c r="A386" s="0" t="s">
        <v>564</v>
      </c>
      <c r="B386" s="0" t="s">
        <v>134</v>
      </c>
      <c r="C386" s="0" t="s">
        <v>134</v>
      </c>
      <c r="D386" s="0" t="s">
        <v>135</v>
      </c>
      <c r="E386" s="0" t="s">
        <v>3</v>
      </c>
      <c r="F386" s="0" t="s">
        <v>10</v>
      </c>
      <c r="G386" s="0" t="s">
        <v>8</v>
      </c>
      <c r="H386" s="0">
        <v>3509</v>
      </c>
      <c r="I386" s="0">
        <v>25</v>
      </c>
      <c r="J386" s="0">
        <v>0</v>
      </c>
      <c r="K386" s="0">
        <v>1</v>
      </c>
      <c r="L386" s="0">
        <v>1</v>
      </c>
      <c r="M386" s="0">
        <v>1</v>
      </c>
      <c r="N386" s="0">
        <v>0</v>
      </c>
      <c r="O386" s="0">
        <v>0</v>
      </c>
      <c r="P386" s="0">
        <v>0</v>
      </c>
      <c r="Q386" s="0" t="s">
        <v>565</v>
      </c>
      <c r="R386" s="0" t="b">
        <v>0</v>
      </c>
      <c r="S386" s="0" t="b">
        <v>1</v>
      </c>
      <c r="T386" s="68">
        <v>42544.6770833333</v>
      </c>
      <c r="U386" s="68">
        <v>42574.5416666667</v>
      </c>
      <c r="V386" s="68">
        <v>0</v>
      </c>
      <c r="W386" s="0">
        <f>IF(IF(B386="none",1,IF(B386="Trialer",1,0))+IF(C386="Customer",1,IF(C386="Lost",1,0))=2,1,0)</f>
      </c>
      <c r="X386" s="0" t="s">
        <v>148</v>
      </c>
      <c r="Y386" s="0" t="s">
        <v>243</v>
      </c>
      <c r="AV386" s="68"/>
      <c r="AW386" s="68"/>
      <c r="AY386" s="27"/>
      <c r="BD386" s="68">
        <v>46054.1666666667</v>
      </c>
      <c r="BE386" s="68">
        <v>46082.1666666667</v>
      </c>
      <c r="BF386" s="0" t="b">
        <v>0</v>
      </c>
      <c r="BG386" s="0" t="b">
        <v>0</v>
      </c>
      <c r="BH386" s="0">
        <v>25</v>
      </c>
      <c r="BI386" s="0">
        <v>25</v>
      </c>
      <c r="BJ386" s="0" t="s">
        <v>135</v>
      </c>
    </row>
    <row r="387">
      <c r="A387" s="0" t="s">
        <v>566</v>
      </c>
      <c r="B387" s="0" t="s">
        <v>134</v>
      </c>
      <c r="C387" s="0" t="s">
        <v>134</v>
      </c>
      <c r="D387" s="0" t="s">
        <v>135</v>
      </c>
      <c r="E387" s="0" t="s">
        <v>3</v>
      </c>
      <c r="F387" s="0" t="s">
        <v>12</v>
      </c>
      <c r="G387" s="0" t="s">
        <v>8</v>
      </c>
      <c r="H387" s="0">
        <v>3505</v>
      </c>
      <c r="I387" s="0">
        <v>45</v>
      </c>
      <c r="J387" s="0">
        <v>0</v>
      </c>
      <c r="K387" s="0">
        <v>1</v>
      </c>
      <c r="L387" s="0">
        <v>3</v>
      </c>
      <c r="M387" s="0">
        <v>1</v>
      </c>
      <c r="N387" s="0">
        <v>0</v>
      </c>
      <c r="O387" s="0">
        <v>0</v>
      </c>
      <c r="P387" s="0">
        <v>0</v>
      </c>
      <c r="R387" s="0" t="b">
        <v>0</v>
      </c>
      <c r="S387" s="0" t="b">
        <v>1</v>
      </c>
      <c r="T387" s="68">
        <v>42548.5478819444</v>
      </c>
      <c r="U387" s="68">
        <v>42578.5416666667</v>
      </c>
      <c r="V387" s="68">
        <v>0</v>
      </c>
      <c r="W387" s="0">
        <f>IF(IF(B387="none",1,IF(B387="Trialer",1,0))+IF(C387="Customer",1,IF(C387="Lost",1,0))=2,1,0)</f>
      </c>
      <c r="X387" s="0" t="s">
        <v>142</v>
      </c>
      <c r="Y387" s="0" t="s">
        <v>243</v>
      </c>
      <c r="AV387" s="68"/>
      <c r="AW387" s="68"/>
      <c r="AY387" s="27"/>
      <c r="BD387" s="68">
        <v>46054.1666666667</v>
      </c>
      <c r="BE387" s="68">
        <v>46082.1666666667</v>
      </c>
      <c r="BF387" s="0" t="b">
        <v>0</v>
      </c>
      <c r="BG387" s="0" t="b">
        <v>0</v>
      </c>
      <c r="BH387" s="0">
        <v>45</v>
      </c>
      <c r="BI387" s="0">
        <v>45</v>
      </c>
      <c r="BJ387" s="0" t="s">
        <v>135</v>
      </c>
    </row>
    <row r="388">
      <c r="A388" s="0" t="s">
        <v>567</v>
      </c>
      <c r="B388" s="0" t="s">
        <v>134</v>
      </c>
      <c r="C388" s="0" t="s">
        <v>134</v>
      </c>
      <c r="D388" s="0" t="s">
        <v>135</v>
      </c>
      <c r="E388" s="0" t="s">
        <v>3</v>
      </c>
      <c r="F388" s="0" t="s">
        <v>12</v>
      </c>
      <c r="G388" s="0" t="s">
        <v>8</v>
      </c>
      <c r="H388" s="0">
        <v>3504</v>
      </c>
      <c r="I388" s="0">
        <v>0</v>
      </c>
      <c r="J388" s="0">
        <v>0</v>
      </c>
      <c r="K388" s="0">
        <v>1</v>
      </c>
      <c r="L388" s="0">
        <v>3</v>
      </c>
      <c r="M388" s="0">
        <v>3</v>
      </c>
      <c r="N388" s="0">
        <v>0</v>
      </c>
      <c r="O388" s="0">
        <v>0</v>
      </c>
      <c r="P388" s="0">
        <v>0</v>
      </c>
      <c r="R388" s="0" t="b">
        <v>0</v>
      </c>
      <c r="S388" s="0" t="b">
        <v>1</v>
      </c>
      <c r="T388" s="68">
        <v>42549.39375</v>
      </c>
      <c r="U388" s="68">
        <v>42579.5416666667</v>
      </c>
      <c r="V388" s="68">
        <v>0</v>
      </c>
      <c r="W388" s="0">
        <f>IF(IF(B388="none",1,IF(B388="Trialer",1,0))+IF(C388="Customer",1,IF(C388="Lost",1,0))=2,1,0)</f>
      </c>
      <c r="X388" s="0" t="s">
        <v>136</v>
      </c>
      <c r="Y388" s="0" t="s">
        <v>243</v>
      </c>
      <c r="AV388" s="68"/>
      <c r="AW388" s="68"/>
      <c r="AY388" s="27"/>
      <c r="BD388" s="68">
        <v>46054.1666666667</v>
      </c>
      <c r="BE388" s="68">
        <v>46082.1666666667</v>
      </c>
      <c r="BF388" s="0" t="b">
        <v>0</v>
      </c>
      <c r="BG388" s="0" t="b">
        <v>0</v>
      </c>
      <c r="BH388" s="0">
        <v>0</v>
      </c>
      <c r="BI388" s="0">
        <v>0</v>
      </c>
      <c r="BJ388" s="0" t="s">
        <v>135</v>
      </c>
    </row>
    <row r="389">
      <c r="A389" s="0" t="s">
        <v>568</v>
      </c>
      <c r="B389" s="0" t="s">
        <v>134</v>
      </c>
      <c r="C389" s="0" t="s">
        <v>134</v>
      </c>
      <c r="D389" s="0" t="s">
        <v>135</v>
      </c>
      <c r="E389" s="0" t="s">
        <v>2</v>
      </c>
      <c r="F389" s="0" t="s">
        <v>12</v>
      </c>
      <c r="G389" s="0" t="s">
        <v>8</v>
      </c>
      <c r="H389" s="0">
        <v>3504</v>
      </c>
      <c r="I389" s="0">
        <v>755</v>
      </c>
      <c r="J389" s="0">
        <v>0</v>
      </c>
      <c r="K389" s="0">
        <v>1</v>
      </c>
      <c r="L389" s="0">
        <v>3</v>
      </c>
      <c r="M389" s="0">
        <v>17</v>
      </c>
      <c r="N389" s="0">
        <v>0</v>
      </c>
      <c r="O389" s="0">
        <v>0</v>
      </c>
      <c r="P389" s="0">
        <v>0</v>
      </c>
      <c r="R389" s="0" t="b">
        <v>0</v>
      </c>
      <c r="S389" s="0" t="b">
        <v>1</v>
      </c>
      <c r="T389" s="68">
        <v>42549.4055555556</v>
      </c>
      <c r="U389" s="68">
        <v>42579.5416666667</v>
      </c>
      <c r="V389" s="68">
        <v>0</v>
      </c>
      <c r="W389" s="0">
        <f>IF(IF(B389="none",1,IF(B389="Trialer",1,0))+IF(C389="Customer",1,IF(C389="Lost",1,0))=2,1,0)</f>
      </c>
      <c r="X389" s="0" t="s">
        <v>148</v>
      </c>
      <c r="Y389" s="0" t="s">
        <v>499</v>
      </c>
      <c r="AV389" s="68"/>
      <c r="AW389" s="68"/>
      <c r="AY389" s="27"/>
      <c r="BD389" s="68">
        <v>46054.1666666667</v>
      </c>
      <c r="BE389" s="68">
        <v>46082.1666666667</v>
      </c>
      <c r="BF389" s="0" t="b">
        <v>0</v>
      </c>
      <c r="BG389" s="0" t="b">
        <v>0</v>
      </c>
      <c r="BH389" s="0">
        <v>755</v>
      </c>
      <c r="BI389" s="0">
        <v>755</v>
      </c>
      <c r="BJ389" s="0" t="s">
        <v>135</v>
      </c>
    </row>
    <row r="390">
      <c r="A390" s="0" t="s">
        <v>569</v>
      </c>
      <c r="B390" s="0" t="s">
        <v>134</v>
      </c>
      <c r="C390" s="0" t="s">
        <v>134</v>
      </c>
      <c r="D390" s="0" t="s">
        <v>135</v>
      </c>
      <c r="E390" s="0" t="s">
        <v>3</v>
      </c>
      <c r="F390" s="0" t="s">
        <v>12</v>
      </c>
      <c r="G390" s="0" t="s">
        <v>8</v>
      </c>
      <c r="H390" s="0">
        <v>3499</v>
      </c>
      <c r="I390" s="0">
        <v>90</v>
      </c>
      <c r="J390" s="0">
        <v>0</v>
      </c>
      <c r="K390" s="0">
        <v>1</v>
      </c>
      <c r="L390" s="0">
        <v>3</v>
      </c>
      <c r="M390" s="0">
        <v>2</v>
      </c>
      <c r="N390" s="0">
        <v>0</v>
      </c>
      <c r="O390" s="0">
        <v>0</v>
      </c>
      <c r="P390" s="0">
        <v>0</v>
      </c>
      <c r="R390" s="0" t="b">
        <v>0</v>
      </c>
      <c r="S390" s="0" t="b">
        <v>1</v>
      </c>
      <c r="T390" s="68">
        <v>42554.6388888889</v>
      </c>
      <c r="U390" s="68">
        <v>42585.5416666667</v>
      </c>
      <c r="V390" s="68">
        <v>0</v>
      </c>
      <c r="W390" s="0">
        <f>IF(IF(B390="none",1,IF(B390="Trialer",1,0))+IF(C390="Customer",1,IF(C390="Lost",1,0))=2,1,0)</f>
      </c>
      <c r="X390" s="0" t="s">
        <v>166</v>
      </c>
      <c r="Y390" s="0" t="s">
        <v>243</v>
      </c>
      <c r="AV390" s="68"/>
      <c r="AW390" s="68"/>
      <c r="AY390" s="27"/>
      <c r="BD390" s="68">
        <v>46054.1666666667</v>
      </c>
      <c r="BE390" s="68">
        <v>46082.1666666667</v>
      </c>
      <c r="BF390" s="0" t="b">
        <v>0</v>
      </c>
      <c r="BG390" s="0" t="b">
        <v>0</v>
      </c>
      <c r="BH390" s="0">
        <v>90</v>
      </c>
      <c r="BI390" s="0">
        <v>90</v>
      </c>
      <c r="BJ390" s="0" t="s">
        <v>135</v>
      </c>
    </row>
    <row r="391">
      <c r="A391" s="0" t="s">
        <v>570</v>
      </c>
      <c r="B391" s="0" t="s">
        <v>134</v>
      </c>
      <c r="C391" s="0" t="s">
        <v>134</v>
      </c>
      <c r="D391" s="0" t="s">
        <v>135</v>
      </c>
      <c r="E391" s="0" t="s">
        <v>3</v>
      </c>
      <c r="F391" s="0" t="s">
        <v>12</v>
      </c>
      <c r="G391" s="0" t="s">
        <v>8</v>
      </c>
      <c r="H391" s="0">
        <v>3496</v>
      </c>
      <c r="I391" s="0">
        <v>235</v>
      </c>
      <c r="J391" s="0">
        <v>0</v>
      </c>
      <c r="K391" s="0">
        <v>1</v>
      </c>
      <c r="L391" s="0">
        <v>3</v>
      </c>
      <c r="M391" s="0">
        <v>7</v>
      </c>
      <c r="N391" s="0">
        <v>0</v>
      </c>
      <c r="O391" s="0">
        <v>0</v>
      </c>
      <c r="P391" s="0">
        <v>0</v>
      </c>
      <c r="R391" s="0" t="b">
        <v>0</v>
      </c>
      <c r="S391" s="0" t="b">
        <v>1</v>
      </c>
      <c r="T391" s="68">
        <v>42557.8256944444</v>
      </c>
      <c r="U391" s="68">
        <v>42588.5416666667</v>
      </c>
      <c r="V391" s="68">
        <v>0</v>
      </c>
      <c r="W391" s="0">
        <f>IF(IF(B391="none",1,IF(B391="Trialer",1,0))+IF(C391="Customer",1,IF(C391="Lost",1,0))=2,1,0)</f>
      </c>
      <c r="X391" s="0" t="s">
        <v>145</v>
      </c>
      <c r="Y391" s="0" t="s">
        <v>243</v>
      </c>
      <c r="AV391" s="68"/>
      <c r="AW391" s="68"/>
      <c r="AY391" s="27"/>
      <c r="BD391" s="68">
        <v>46054.1666666667</v>
      </c>
      <c r="BE391" s="68">
        <v>46082.1666666667</v>
      </c>
      <c r="BF391" s="0" t="b">
        <v>0</v>
      </c>
      <c r="BG391" s="0" t="b">
        <v>0</v>
      </c>
      <c r="BH391" s="0">
        <v>210</v>
      </c>
      <c r="BI391" s="0">
        <v>210</v>
      </c>
      <c r="BJ391" s="0" t="s">
        <v>135</v>
      </c>
    </row>
    <row r="392">
      <c r="A392" s="0" t="s">
        <v>571</v>
      </c>
      <c r="B392" s="0" t="s">
        <v>134</v>
      </c>
      <c r="C392" s="0" t="s">
        <v>134</v>
      </c>
      <c r="D392" s="0" t="s">
        <v>135</v>
      </c>
      <c r="E392" s="0" t="s">
        <v>3</v>
      </c>
      <c r="F392" s="0" t="s">
        <v>12</v>
      </c>
      <c r="G392" s="0" t="s">
        <v>8</v>
      </c>
      <c r="H392" s="0">
        <v>3488</v>
      </c>
      <c r="I392" s="0">
        <v>25</v>
      </c>
      <c r="J392" s="0">
        <v>0</v>
      </c>
      <c r="K392" s="0">
        <v>1</v>
      </c>
      <c r="L392" s="0">
        <v>1</v>
      </c>
      <c r="M392" s="0">
        <v>1</v>
      </c>
      <c r="N392" s="0">
        <v>0</v>
      </c>
      <c r="O392" s="0">
        <v>0</v>
      </c>
      <c r="P392" s="0">
        <v>0</v>
      </c>
      <c r="R392" s="0" t="b">
        <v>0</v>
      </c>
      <c r="S392" s="0" t="b">
        <v>1</v>
      </c>
      <c r="T392" s="68">
        <v>42565.4935763889</v>
      </c>
      <c r="U392" s="68">
        <v>42596.5416666667</v>
      </c>
      <c r="V392" s="68">
        <v>0</v>
      </c>
      <c r="W392" s="0">
        <f>IF(IF(B392="none",1,IF(B392="Trialer",1,0))+IF(C392="Customer",1,IF(C392="Lost",1,0))=2,1,0)</f>
      </c>
      <c r="X392" s="0" t="s">
        <v>142</v>
      </c>
      <c r="Y392" s="0" t="s">
        <v>243</v>
      </c>
      <c r="AV392" s="68"/>
      <c r="AW392" s="68"/>
      <c r="AY392" s="27"/>
      <c r="BD392" s="68">
        <v>46054.1666666667</v>
      </c>
      <c r="BE392" s="68">
        <v>46082.1666666667</v>
      </c>
      <c r="BF392" s="0" t="b">
        <v>0</v>
      </c>
      <c r="BG392" s="0" t="b">
        <v>0</v>
      </c>
      <c r="BH392" s="0">
        <v>25</v>
      </c>
      <c r="BI392" s="0">
        <v>25</v>
      </c>
      <c r="BJ392" s="0" t="s">
        <v>135</v>
      </c>
    </row>
    <row r="393">
      <c r="A393" s="0" t="s">
        <v>572</v>
      </c>
      <c r="B393" s="0" t="s">
        <v>134</v>
      </c>
      <c r="C393" s="0" t="s">
        <v>134</v>
      </c>
      <c r="D393" s="0" t="s">
        <v>135</v>
      </c>
      <c r="E393" s="0" t="s">
        <v>2</v>
      </c>
      <c r="F393" s="0" t="s">
        <v>12</v>
      </c>
      <c r="G393" s="0" t="s">
        <v>8</v>
      </c>
      <c r="H393" s="0">
        <v>3483</v>
      </c>
      <c r="I393" s="0">
        <v>555</v>
      </c>
      <c r="J393" s="0">
        <v>0</v>
      </c>
      <c r="K393" s="0">
        <v>1</v>
      </c>
      <c r="L393" s="0">
        <v>3</v>
      </c>
      <c r="M393" s="0">
        <v>19</v>
      </c>
      <c r="N393" s="0">
        <v>0</v>
      </c>
      <c r="O393" s="0">
        <v>0</v>
      </c>
      <c r="P393" s="0">
        <v>0</v>
      </c>
      <c r="R393" s="0" t="b">
        <v>0</v>
      </c>
      <c r="S393" s="0" t="b">
        <v>1</v>
      </c>
      <c r="T393" s="68">
        <v>42570.5527777778</v>
      </c>
      <c r="U393" s="68">
        <v>42601.5416666667</v>
      </c>
      <c r="V393" s="68">
        <v>0</v>
      </c>
      <c r="W393" s="0">
        <f>IF(IF(B393="none",1,IF(B393="Trialer",1,0))+IF(C393="Customer",1,IF(C393="Lost",1,0))=2,1,0)</f>
      </c>
      <c r="X393" s="0" t="s">
        <v>145</v>
      </c>
      <c r="Y393" s="0" t="s">
        <v>499</v>
      </c>
      <c r="AV393" s="68"/>
      <c r="AW393" s="68"/>
      <c r="AY393" s="27"/>
      <c r="BD393" s="68">
        <v>46054.1666666667</v>
      </c>
      <c r="BE393" s="68">
        <v>46082.1666666667</v>
      </c>
      <c r="BF393" s="0" t="b">
        <v>0</v>
      </c>
      <c r="BG393" s="0" t="b">
        <v>0</v>
      </c>
      <c r="BH393" s="0">
        <v>570</v>
      </c>
      <c r="BI393" s="0">
        <v>570</v>
      </c>
      <c r="BJ393" s="0" t="s">
        <v>135</v>
      </c>
    </row>
    <row r="394">
      <c r="A394" s="0" t="s">
        <v>573</v>
      </c>
      <c r="B394" s="0" t="s">
        <v>134</v>
      </c>
      <c r="C394" s="0" t="s">
        <v>134</v>
      </c>
      <c r="D394" s="0" t="s">
        <v>135</v>
      </c>
      <c r="E394" s="0" t="s">
        <v>3</v>
      </c>
      <c r="F394" s="0" t="s">
        <v>12</v>
      </c>
      <c r="G394" s="0" t="s">
        <v>8</v>
      </c>
      <c r="H394" s="0">
        <v>3476</v>
      </c>
      <c r="I394" s="0">
        <v>0</v>
      </c>
      <c r="J394" s="0">
        <v>0</v>
      </c>
      <c r="K394" s="0">
        <v>1</v>
      </c>
      <c r="L394" s="0">
        <v>6</v>
      </c>
      <c r="M394" s="0">
        <v>3</v>
      </c>
      <c r="N394" s="0">
        <v>0</v>
      </c>
      <c r="O394" s="0">
        <v>0</v>
      </c>
      <c r="P394" s="0">
        <v>0</v>
      </c>
      <c r="R394" s="0" t="b">
        <v>0</v>
      </c>
      <c r="S394" s="0" t="b">
        <v>1</v>
      </c>
      <c r="T394" s="68">
        <v>42577.5</v>
      </c>
      <c r="U394" s="68">
        <v>42608.5416666667</v>
      </c>
      <c r="V394" s="68">
        <v>0</v>
      </c>
      <c r="W394" s="0">
        <f>IF(IF(B394="none",1,IF(B394="Trialer",1,0))+IF(C394="Customer",1,IF(C394="Lost",1,0))=2,1,0)</f>
      </c>
      <c r="X394" s="0" t="s">
        <v>153</v>
      </c>
      <c r="Y394" s="0" t="s">
        <v>243</v>
      </c>
      <c r="AV394" s="68"/>
      <c r="AW394" s="68"/>
      <c r="AY394" s="27"/>
      <c r="BD394" s="68">
        <v>46054.1666666667</v>
      </c>
      <c r="BE394" s="68">
        <v>46082.1666666667</v>
      </c>
      <c r="BF394" s="0" t="b">
        <v>1</v>
      </c>
      <c r="BG394" s="0" t="b">
        <v>0</v>
      </c>
      <c r="BH394" s="0">
        <v>0</v>
      </c>
      <c r="BI394" s="0">
        <v>0</v>
      </c>
      <c r="BJ394" s="0" t="s">
        <v>135</v>
      </c>
    </row>
    <row r="395">
      <c r="A395" s="0" t="s">
        <v>574</v>
      </c>
      <c r="B395" s="0" t="s">
        <v>134</v>
      </c>
      <c r="C395" s="0" t="s">
        <v>134</v>
      </c>
      <c r="D395" s="0" t="s">
        <v>230</v>
      </c>
      <c r="E395" s="0" t="s">
        <v>2</v>
      </c>
      <c r="F395" s="0" t="s">
        <v>12</v>
      </c>
      <c r="G395" s="0" t="s">
        <v>8</v>
      </c>
      <c r="H395" s="0">
        <v>3463</v>
      </c>
      <c r="I395" s="0">
        <v>130.5</v>
      </c>
      <c r="J395" s="0">
        <v>0</v>
      </c>
      <c r="K395" s="0">
        <v>1</v>
      </c>
      <c r="L395" s="0">
        <v>4</v>
      </c>
      <c r="M395" s="0">
        <v>3</v>
      </c>
      <c r="N395" s="0">
        <v>0</v>
      </c>
      <c r="O395" s="0">
        <v>0</v>
      </c>
      <c r="P395" s="0">
        <v>-130.5</v>
      </c>
      <c r="R395" s="0" t="b">
        <v>0</v>
      </c>
      <c r="S395" s="0" t="b">
        <v>1</v>
      </c>
      <c r="T395" s="68">
        <v>42590.2638888889</v>
      </c>
      <c r="U395" s="68">
        <v>42621.5416666667</v>
      </c>
      <c r="V395" s="68">
        <v>0</v>
      </c>
      <c r="W395" s="0">
        <f>IF(IF(B395="none",1,IF(B395="Trialer",1,0))+IF(C395="Customer",1,IF(C395="Lost",1,0))=2,1,0)</f>
      </c>
      <c r="X395" s="0" t="s">
        <v>148</v>
      </c>
      <c r="Y395" s="0" t="s">
        <v>499</v>
      </c>
      <c r="AV395" s="68"/>
      <c r="AW395" s="68"/>
      <c r="AY395" s="27"/>
      <c r="BD395" s="68">
        <v>46054.1666666667</v>
      </c>
      <c r="BE395" s="68">
        <v>46082.1666666667</v>
      </c>
      <c r="BF395" s="0" t="b">
        <v>0</v>
      </c>
      <c r="BG395" s="0" t="b">
        <v>0</v>
      </c>
      <c r="BH395" s="0">
        <v>145</v>
      </c>
      <c r="BI395" s="0">
        <v>145</v>
      </c>
      <c r="BJ395" s="0" t="s">
        <v>230</v>
      </c>
    </row>
    <row r="396">
      <c r="A396" s="0" t="s">
        <v>575</v>
      </c>
      <c r="B396" s="0" t="s">
        <v>134</v>
      </c>
      <c r="C396" s="0" t="s">
        <v>134</v>
      </c>
      <c r="D396" s="0" t="s">
        <v>135</v>
      </c>
      <c r="E396" s="0" t="s">
        <v>2</v>
      </c>
      <c r="F396" s="0" t="s">
        <v>12</v>
      </c>
      <c r="G396" s="0" t="s">
        <v>8</v>
      </c>
      <c r="H396" s="0">
        <v>3449</v>
      </c>
      <c r="I396" s="0">
        <v>50</v>
      </c>
      <c r="J396" s="0">
        <v>0</v>
      </c>
      <c r="K396" s="0">
        <v>1</v>
      </c>
      <c r="L396" s="0">
        <v>1</v>
      </c>
      <c r="M396" s="0">
        <v>2</v>
      </c>
      <c r="N396" s="0">
        <v>0</v>
      </c>
      <c r="O396" s="0">
        <v>0</v>
      </c>
      <c r="P396" s="0">
        <v>0</v>
      </c>
      <c r="R396" s="0" t="b">
        <v>0</v>
      </c>
      <c r="S396" s="0" t="b">
        <v>1</v>
      </c>
      <c r="T396" s="68">
        <v>42604.6916666667</v>
      </c>
      <c r="U396" s="68">
        <v>42635.5416666667</v>
      </c>
      <c r="V396" s="68">
        <v>0</v>
      </c>
      <c r="W396" s="0">
        <f>IF(IF(B396="none",1,IF(B396="Trialer",1,0))+IF(C396="Customer",1,IF(C396="Lost",1,0))=2,1,0)</f>
      </c>
      <c r="X396" s="0" t="s">
        <v>148</v>
      </c>
      <c r="Y396" s="0" t="s">
        <v>499</v>
      </c>
      <c r="AV396" s="68"/>
      <c r="AW396" s="68"/>
      <c r="AY396" s="27"/>
      <c r="BD396" s="68">
        <v>46054.1666666667</v>
      </c>
      <c r="BE396" s="68">
        <v>46082.1666666667</v>
      </c>
      <c r="BF396" s="0" t="b">
        <v>0</v>
      </c>
      <c r="BG396" s="0" t="b">
        <v>0</v>
      </c>
      <c r="BH396" s="0">
        <v>50</v>
      </c>
      <c r="BI396" s="0">
        <v>50</v>
      </c>
      <c r="BJ396" s="0" t="s">
        <v>135</v>
      </c>
    </row>
    <row r="397">
      <c r="A397" s="0" t="s">
        <v>576</v>
      </c>
      <c r="B397" s="0" t="s">
        <v>134</v>
      </c>
      <c r="C397" s="0" t="s">
        <v>134</v>
      </c>
      <c r="D397" s="0" t="s">
        <v>230</v>
      </c>
      <c r="E397" s="0" t="s">
        <v>2</v>
      </c>
      <c r="F397" s="0" t="s">
        <v>12</v>
      </c>
      <c r="G397" s="0" t="s">
        <v>8</v>
      </c>
      <c r="H397" s="0">
        <v>3419</v>
      </c>
      <c r="I397" s="0">
        <v>63</v>
      </c>
      <c r="J397" s="0">
        <v>0</v>
      </c>
      <c r="K397" s="0">
        <v>1</v>
      </c>
      <c r="L397" s="0">
        <v>2</v>
      </c>
      <c r="M397" s="0">
        <v>2</v>
      </c>
      <c r="N397" s="0">
        <v>0</v>
      </c>
      <c r="O397" s="0">
        <v>0</v>
      </c>
      <c r="P397" s="0">
        <v>-63</v>
      </c>
      <c r="R397" s="0" t="b">
        <v>0</v>
      </c>
      <c r="S397" s="0" t="b">
        <v>1</v>
      </c>
      <c r="T397" s="68">
        <v>42634.6035069444</v>
      </c>
      <c r="U397" s="68">
        <v>42664.5416666667</v>
      </c>
      <c r="V397" s="68">
        <v>0</v>
      </c>
      <c r="W397" s="0">
        <f>IF(IF(B397="none",1,IF(B397="Trialer",1,0))+IF(C397="Customer",1,IF(C397="Lost",1,0))=2,1,0)</f>
      </c>
      <c r="X397" s="0" t="s">
        <v>166</v>
      </c>
      <c r="Y397" s="0" t="s">
        <v>499</v>
      </c>
      <c r="AV397" s="68"/>
      <c r="AW397" s="68"/>
      <c r="AY397" s="27"/>
      <c r="BD397" s="68">
        <v>46054.1666666667</v>
      </c>
      <c r="BE397" s="68">
        <v>46082.1666666667</v>
      </c>
      <c r="BF397" s="0" t="b">
        <v>0</v>
      </c>
      <c r="BG397" s="0" t="b">
        <v>0</v>
      </c>
      <c r="BH397" s="0">
        <v>70</v>
      </c>
      <c r="BI397" s="0">
        <v>70</v>
      </c>
      <c r="BJ397" s="0" t="s">
        <v>230</v>
      </c>
    </row>
    <row r="398">
      <c r="A398" s="0" t="s">
        <v>577</v>
      </c>
      <c r="B398" s="0" t="s">
        <v>134</v>
      </c>
      <c r="C398" s="0" t="s">
        <v>134</v>
      </c>
      <c r="D398" s="0" t="s">
        <v>135</v>
      </c>
      <c r="E398" s="0" t="s">
        <v>3</v>
      </c>
      <c r="F398" s="0" t="s">
        <v>12</v>
      </c>
      <c r="G398" s="0" t="s">
        <v>8</v>
      </c>
      <c r="H398" s="0">
        <v>3418</v>
      </c>
      <c r="I398" s="0">
        <v>215</v>
      </c>
      <c r="J398" s="0">
        <v>0</v>
      </c>
      <c r="K398" s="0">
        <v>1</v>
      </c>
      <c r="L398" s="0">
        <v>3</v>
      </c>
      <c r="M398" s="0">
        <v>5</v>
      </c>
      <c r="N398" s="0">
        <v>0</v>
      </c>
      <c r="O398" s="0">
        <v>0</v>
      </c>
      <c r="P398" s="0">
        <v>0</v>
      </c>
      <c r="R398" s="0" t="b">
        <v>0</v>
      </c>
      <c r="S398" s="0" t="b">
        <v>1</v>
      </c>
      <c r="T398" s="68">
        <v>42635.7694444444</v>
      </c>
      <c r="U398" s="68">
        <v>42665.5416666667</v>
      </c>
      <c r="V398" s="68">
        <v>0</v>
      </c>
      <c r="W398" s="0">
        <f>IF(IF(B398="none",1,IF(B398="Trialer",1,0))+IF(C398="Customer",1,IF(C398="Lost",1,0))=2,1,0)</f>
      </c>
      <c r="X398" s="0" t="s">
        <v>148</v>
      </c>
      <c r="Y398" s="0" t="s">
        <v>243</v>
      </c>
      <c r="AV398" s="68"/>
      <c r="AW398" s="68"/>
      <c r="AY398" s="27"/>
      <c r="BD398" s="68">
        <v>46054.1666666667</v>
      </c>
      <c r="BE398" s="68">
        <v>46082.1666666667</v>
      </c>
      <c r="BF398" s="0" t="b">
        <v>0</v>
      </c>
      <c r="BG398" s="0" t="b">
        <v>0</v>
      </c>
      <c r="BH398" s="0">
        <v>215</v>
      </c>
      <c r="BI398" s="0">
        <v>215</v>
      </c>
      <c r="BJ398" s="0" t="s">
        <v>135</v>
      </c>
    </row>
    <row r="399">
      <c r="A399" s="0" t="s">
        <v>578</v>
      </c>
      <c r="B399" s="0" t="s">
        <v>134</v>
      </c>
      <c r="C399" s="0" t="s">
        <v>134</v>
      </c>
      <c r="D399" s="0" t="s">
        <v>135</v>
      </c>
      <c r="E399" s="0" t="s">
        <v>2</v>
      </c>
      <c r="F399" s="0" t="s">
        <v>12</v>
      </c>
      <c r="G399" s="0" t="s">
        <v>8</v>
      </c>
      <c r="H399" s="0">
        <v>3413</v>
      </c>
      <c r="I399" s="0">
        <v>0</v>
      </c>
      <c r="J399" s="0">
        <v>0</v>
      </c>
      <c r="K399" s="0">
        <v>1</v>
      </c>
      <c r="L399" s="0">
        <v>4</v>
      </c>
      <c r="M399" s="0">
        <v>1</v>
      </c>
      <c r="N399" s="0">
        <v>0</v>
      </c>
      <c r="O399" s="0">
        <v>0</v>
      </c>
      <c r="P399" s="0">
        <v>0</v>
      </c>
      <c r="R399" s="0" t="b">
        <v>0</v>
      </c>
      <c r="S399" s="0" t="b">
        <v>1</v>
      </c>
      <c r="T399" s="68">
        <v>42640.8944444444</v>
      </c>
      <c r="U399" s="68">
        <v>42670.5416666667</v>
      </c>
      <c r="V399" s="68">
        <v>0</v>
      </c>
      <c r="W399" s="0">
        <f>IF(IF(B399="none",1,IF(B399="Trialer",1,0))+IF(C399="Customer",1,IF(C399="Lost",1,0))=2,1,0)</f>
      </c>
      <c r="X399" s="0" t="s">
        <v>153</v>
      </c>
      <c r="Y399" s="0" t="s">
        <v>499</v>
      </c>
      <c r="AV399" s="68"/>
      <c r="AW399" s="68"/>
      <c r="AY399" s="27"/>
      <c r="BD399" s="68">
        <v>46054.1666666667</v>
      </c>
      <c r="BE399" s="68">
        <v>46082.1666666667</v>
      </c>
      <c r="BF399" s="0" t="b">
        <v>0</v>
      </c>
      <c r="BG399" s="0" t="b">
        <v>0</v>
      </c>
      <c r="BH399" s="0">
        <v>0</v>
      </c>
      <c r="BI399" s="0">
        <v>0</v>
      </c>
      <c r="BJ399" s="0" t="s">
        <v>135</v>
      </c>
    </row>
    <row r="400">
      <c r="A400" s="0" t="s">
        <v>579</v>
      </c>
      <c r="B400" s="0" t="s">
        <v>134</v>
      </c>
      <c r="C400" s="0" t="s">
        <v>134</v>
      </c>
      <c r="D400" s="0" t="s">
        <v>135</v>
      </c>
      <c r="E400" s="0" t="s">
        <v>2</v>
      </c>
      <c r="F400" s="0" t="s">
        <v>12</v>
      </c>
      <c r="G400" s="0" t="s">
        <v>8</v>
      </c>
      <c r="H400" s="0">
        <v>3405</v>
      </c>
      <c r="I400" s="0">
        <v>220</v>
      </c>
      <c r="J400" s="0">
        <v>0</v>
      </c>
      <c r="K400" s="0">
        <v>1</v>
      </c>
      <c r="L400" s="0">
        <v>3</v>
      </c>
      <c r="M400" s="0">
        <v>6</v>
      </c>
      <c r="N400" s="0">
        <v>0</v>
      </c>
      <c r="O400" s="0">
        <v>0</v>
      </c>
      <c r="P400" s="0">
        <v>0</v>
      </c>
      <c r="R400" s="0" t="b">
        <v>0</v>
      </c>
      <c r="S400" s="0" t="b">
        <v>1</v>
      </c>
      <c r="T400" s="68">
        <v>42648.3850347222</v>
      </c>
      <c r="U400" s="68">
        <v>42679.5416666667</v>
      </c>
      <c r="V400" s="68">
        <v>0</v>
      </c>
      <c r="W400" s="0">
        <f>IF(IF(B400="none",1,IF(B400="Trialer",1,0))+IF(C400="Customer",1,IF(C400="Lost",1,0))=2,1,0)</f>
      </c>
      <c r="X400" s="0" t="s">
        <v>145</v>
      </c>
      <c r="Y400" s="0" t="s">
        <v>499</v>
      </c>
      <c r="AV400" s="68"/>
      <c r="AW400" s="68"/>
      <c r="AY400" s="27"/>
      <c r="BD400" s="68">
        <v>46054.1666666667</v>
      </c>
      <c r="BE400" s="68">
        <v>46082.1666666667</v>
      </c>
      <c r="BF400" s="0" t="b">
        <v>0</v>
      </c>
      <c r="BG400" s="0" t="b">
        <v>0</v>
      </c>
      <c r="BH400" s="0">
        <v>220</v>
      </c>
      <c r="BI400" s="0">
        <v>220</v>
      </c>
      <c r="BJ400" s="0" t="s">
        <v>135</v>
      </c>
    </row>
    <row r="401">
      <c r="A401" s="0" t="s">
        <v>580</v>
      </c>
      <c r="B401" s="0" t="s">
        <v>134</v>
      </c>
      <c r="C401" s="0" t="s">
        <v>134</v>
      </c>
      <c r="D401" s="0" t="s">
        <v>230</v>
      </c>
      <c r="E401" s="0" t="s">
        <v>2</v>
      </c>
      <c r="F401" s="0" t="s">
        <v>12</v>
      </c>
      <c r="G401" s="0" t="s">
        <v>8</v>
      </c>
      <c r="H401" s="0">
        <v>3403</v>
      </c>
      <c r="I401" s="0">
        <v>271.8</v>
      </c>
      <c r="J401" s="0">
        <v>0</v>
      </c>
      <c r="K401" s="0">
        <v>1</v>
      </c>
      <c r="L401" s="0">
        <v>4</v>
      </c>
      <c r="M401" s="0">
        <v>10</v>
      </c>
      <c r="N401" s="0">
        <v>0</v>
      </c>
      <c r="O401" s="0">
        <v>0</v>
      </c>
      <c r="P401" s="0">
        <v>-271.8</v>
      </c>
      <c r="R401" s="0" t="b">
        <v>0</v>
      </c>
      <c r="S401" s="0" t="b">
        <v>1</v>
      </c>
      <c r="T401" s="68">
        <v>42650.4631944444</v>
      </c>
      <c r="U401" s="68">
        <v>42681.5</v>
      </c>
      <c r="V401" s="68">
        <v>0</v>
      </c>
      <c r="W401" s="0">
        <f>IF(IF(B401="none",1,IF(B401="Trialer",1,0))+IF(C401="Customer",1,IF(C401="Lost",1,0))=2,1,0)</f>
      </c>
      <c r="X401" s="0" t="s">
        <v>148</v>
      </c>
      <c r="Y401" s="0" t="s">
        <v>499</v>
      </c>
      <c r="AV401" s="68"/>
      <c r="AW401" s="68"/>
      <c r="AY401" s="27"/>
      <c r="BD401" s="68">
        <v>46054.1666666667</v>
      </c>
      <c r="BE401" s="68">
        <v>46082.1666666667</v>
      </c>
      <c r="BF401" s="0" t="b">
        <v>0</v>
      </c>
      <c r="BG401" s="0" t="b">
        <v>0</v>
      </c>
      <c r="BH401" s="0">
        <v>302</v>
      </c>
      <c r="BI401" s="0">
        <v>302</v>
      </c>
      <c r="BJ401" s="0" t="s">
        <v>230</v>
      </c>
    </row>
    <row r="402">
      <c r="A402" s="0" t="s">
        <v>581</v>
      </c>
      <c r="B402" s="0" t="s">
        <v>134</v>
      </c>
      <c r="C402" s="0" t="s">
        <v>134</v>
      </c>
      <c r="D402" s="0" t="s">
        <v>135</v>
      </c>
      <c r="E402" s="0" t="s">
        <v>2</v>
      </c>
      <c r="F402" s="0" t="s">
        <v>12</v>
      </c>
      <c r="G402" s="0" t="s">
        <v>8</v>
      </c>
      <c r="H402" s="0">
        <v>3385</v>
      </c>
      <c r="I402" s="0">
        <v>35</v>
      </c>
      <c r="J402" s="0">
        <v>0</v>
      </c>
      <c r="K402" s="0">
        <v>1</v>
      </c>
      <c r="L402" s="0">
        <v>2</v>
      </c>
      <c r="M402" s="0">
        <v>1</v>
      </c>
      <c r="N402" s="0">
        <v>0</v>
      </c>
      <c r="O402" s="0">
        <v>0</v>
      </c>
      <c r="P402" s="0">
        <v>0</v>
      </c>
      <c r="R402" s="0" t="b">
        <v>0</v>
      </c>
      <c r="S402" s="0" t="b">
        <v>1</v>
      </c>
      <c r="T402" s="68">
        <v>42668.4882407407</v>
      </c>
      <c r="U402" s="68">
        <v>42699.5</v>
      </c>
      <c r="V402" s="68">
        <v>0</v>
      </c>
      <c r="W402" s="0">
        <f>IF(IF(B402="none",1,IF(B402="Trialer",1,0))+IF(C402="Customer",1,IF(C402="Lost",1,0))=2,1,0)</f>
      </c>
      <c r="X402" s="0" t="s">
        <v>166</v>
      </c>
      <c r="Y402" s="0" t="s">
        <v>499</v>
      </c>
      <c r="AV402" s="68"/>
      <c r="AW402" s="68"/>
      <c r="AY402" s="27"/>
      <c r="BD402" s="68">
        <v>46054.1666666667</v>
      </c>
      <c r="BE402" s="68">
        <v>46082.1666666667</v>
      </c>
      <c r="BF402" s="0" t="b">
        <v>0</v>
      </c>
      <c r="BG402" s="0" t="b">
        <v>0</v>
      </c>
      <c r="BH402" s="0">
        <v>35</v>
      </c>
      <c r="BI402" s="0">
        <v>35</v>
      </c>
      <c r="BJ402" s="0" t="s">
        <v>135</v>
      </c>
    </row>
    <row r="403">
      <c r="A403" s="0" t="s">
        <v>582</v>
      </c>
      <c r="B403" s="0" t="s">
        <v>134</v>
      </c>
      <c r="C403" s="0" t="s">
        <v>134</v>
      </c>
      <c r="D403" s="0" t="s">
        <v>135</v>
      </c>
      <c r="E403" s="0" t="s">
        <v>3</v>
      </c>
      <c r="F403" s="0" t="s">
        <v>10</v>
      </c>
      <c r="G403" s="0" t="s">
        <v>8</v>
      </c>
      <c r="H403" s="0">
        <v>3384</v>
      </c>
      <c r="I403" s="0">
        <v>825</v>
      </c>
      <c r="J403" s="0">
        <v>0</v>
      </c>
      <c r="K403" s="0">
        <v>1</v>
      </c>
      <c r="L403" s="0">
        <v>3</v>
      </c>
      <c r="M403" s="0">
        <v>27</v>
      </c>
      <c r="N403" s="0">
        <v>0</v>
      </c>
      <c r="O403" s="0">
        <v>0</v>
      </c>
      <c r="P403" s="0">
        <v>0</v>
      </c>
      <c r="Q403" s="0" t="s">
        <v>583</v>
      </c>
      <c r="R403" s="0" t="b">
        <v>0</v>
      </c>
      <c r="S403" s="0" t="b">
        <v>1</v>
      </c>
      <c r="T403" s="68">
        <v>42669.5</v>
      </c>
      <c r="U403" s="68">
        <v>42700.5</v>
      </c>
      <c r="V403" s="68">
        <v>0</v>
      </c>
      <c r="W403" s="0">
        <f>IF(IF(B403="none",1,IF(B403="Trialer",1,0))+IF(C403="Customer",1,IF(C403="Lost",1,0))=2,1,0)</f>
      </c>
      <c r="X403" s="0" t="s">
        <v>136</v>
      </c>
      <c r="Y403" s="0" t="s">
        <v>243</v>
      </c>
      <c r="AV403" s="68"/>
      <c r="AW403" s="68"/>
      <c r="AY403" s="27"/>
      <c r="BD403" s="68">
        <v>46054.1666666667</v>
      </c>
      <c r="BE403" s="68">
        <v>46082.1666666667</v>
      </c>
      <c r="BF403" s="0" t="b">
        <v>0</v>
      </c>
      <c r="BG403" s="0" t="b">
        <v>0</v>
      </c>
      <c r="BH403" s="0">
        <v>825</v>
      </c>
      <c r="BI403" s="0">
        <v>825</v>
      </c>
      <c r="BJ403" s="0" t="s">
        <v>135</v>
      </c>
    </row>
    <row r="404">
      <c r="A404" s="0" t="s">
        <v>584</v>
      </c>
      <c r="B404" s="0" t="s">
        <v>134</v>
      </c>
      <c r="C404" s="0" t="s">
        <v>134</v>
      </c>
      <c r="D404" s="0" t="s">
        <v>135</v>
      </c>
      <c r="E404" s="0" t="s">
        <v>3</v>
      </c>
      <c r="F404" s="0" t="s">
        <v>12</v>
      </c>
      <c r="G404" s="0" t="s">
        <v>8</v>
      </c>
      <c r="H404" s="0">
        <v>3378</v>
      </c>
      <c r="I404" s="0">
        <v>365</v>
      </c>
      <c r="J404" s="0">
        <v>0</v>
      </c>
      <c r="K404" s="0">
        <v>1</v>
      </c>
      <c r="L404" s="0">
        <v>3</v>
      </c>
      <c r="M404" s="0">
        <v>9</v>
      </c>
      <c r="N404" s="0">
        <v>0</v>
      </c>
      <c r="O404" s="0">
        <v>0</v>
      </c>
      <c r="P404" s="0">
        <v>0</v>
      </c>
      <c r="R404" s="0" t="b">
        <v>0</v>
      </c>
      <c r="S404" s="0" t="b">
        <v>1</v>
      </c>
      <c r="T404" s="68">
        <v>42675.5170601852</v>
      </c>
      <c r="U404" s="68">
        <v>42705.5</v>
      </c>
      <c r="V404" s="68">
        <v>0</v>
      </c>
      <c r="W404" s="0">
        <f>IF(IF(B404="none",1,IF(B404="Trialer",1,0))+IF(C404="Customer",1,IF(C404="Lost",1,0))=2,1,0)</f>
      </c>
      <c r="X404" s="0" t="s">
        <v>148</v>
      </c>
      <c r="Y404" s="0" t="s">
        <v>243</v>
      </c>
      <c r="AV404" s="68"/>
      <c r="AW404" s="68"/>
      <c r="AY404" s="27"/>
      <c r="BD404" s="68">
        <v>46054.1666666667</v>
      </c>
      <c r="BE404" s="68">
        <v>46082.1666666667</v>
      </c>
      <c r="BF404" s="0" t="b">
        <v>0</v>
      </c>
      <c r="BG404" s="0" t="b">
        <v>0</v>
      </c>
      <c r="BH404" s="0">
        <v>365</v>
      </c>
      <c r="BI404" s="0">
        <v>365</v>
      </c>
      <c r="BJ404" s="0" t="s">
        <v>135</v>
      </c>
    </row>
    <row r="405">
      <c r="A405" s="0" t="s">
        <v>585</v>
      </c>
      <c r="B405" s="0" t="s">
        <v>134</v>
      </c>
      <c r="C405" s="0" t="s">
        <v>134</v>
      </c>
      <c r="D405" s="0" t="s">
        <v>135</v>
      </c>
      <c r="E405" s="0" t="s">
        <v>2</v>
      </c>
      <c r="F405" s="0" t="s">
        <v>12</v>
      </c>
      <c r="G405" s="0" t="s">
        <v>7</v>
      </c>
      <c r="H405" s="0">
        <v>3377</v>
      </c>
      <c r="I405" s="0">
        <v>120</v>
      </c>
      <c r="J405" s="0">
        <v>0</v>
      </c>
      <c r="K405" s="0">
        <v>1</v>
      </c>
      <c r="L405" s="0">
        <v>1</v>
      </c>
      <c r="M405" s="0">
        <v>3</v>
      </c>
      <c r="N405" s="0">
        <v>0</v>
      </c>
      <c r="O405" s="0">
        <v>0</v>
      </c>
      <c r="P405" s="0">
        <v>0</v>
      </c>
      <c r="R405" s="0" t="b">
        <v>0</v>
      </c>
      <c r="S405" s="0" t="b">
        <v>1</v>
      </c>
      <c r="T405" s="68">
        <v>42676.5</v>
      </c>
      <c r="U405" s="68">
        <v>42676.5416666667</v>
      </c>
      <c r="V405" s="68">
        <v>0</v>
      </c>
      <c r="W405" s="0">
        <f>IF(IF(B405="none",1,IF(B405="Trialer",1,0))+IF(C405="Customer",1,IF(C405="Lost",1,0))=2,1,0)</f>
      </c>
      <c r="X405" s="0" t="s">
        <v>148</v>
      </c>
      <c r="Y405" s="0" t="s">
        <v>137</v>
      </c>
      <c r="AV405" s="68"/>
      <c r="AW405" s="68"/>
      <c r="AY405" s="27"/>
      <c r="BD405" s="68">
        <v>46054.1666666667</v>
      </c>
      <c r="BE405" s="68">
        <v>46082.1666666667</v>
      </c>
      <c r="BF405" s="0" t="b">
        <v>0</v>
      </c>
      <c r="BG405" s="0" t="b">
        <v>0</v>
      </c>
      <c r="BH405" s="0">
        <v>120</v>
      </c>
      <c r="BI405" s="0">
        <v>120</v>
      </c>
      <c r="BJ405" s="0" t="s">
        <v>135</v>
      </c>
    </row>
    <row r="406">
      <c r="A406" s="0" t="s">
        <v>586</v>
      </c>
      <c r="B406" s="0" t="s">
        <v>134</v>
      </c>
      <c r="C406" s="0" t="s">
        <v>134</v>
      </c>
      <c r="D406" s="0" t="s">
        <v>135</v>
      </c>
      <c r="E406" s="0" t="s">
        <v>3</v>
      </c>
      <c r="F406" s="0" t="s">
        <v>12</v>
      </c>
      <c r="G406" s="0" t="s">
        <v>8</v>
      </c>
      <c r="H406" s="0">
        <v>3372</v>
      </c>
      <c r="I406" s="0">
        <v>0</v>
      </c>
      <c r="J406" s="0">
        <v>0</v>
      </c>
      <c r="K406" s="0">
        <v>1</v>
      </c>
      <c r="L406" s="0">
        <v>6</v>
      </c>
      <c r="M406" s="0">
        <v>1</v>
      </c>
      <c r="N406" s="0">
        <v>0</v>
      </c>
      <c r="O406" s="0">
        <v>0</v>
      </c>
      <c r="P406" s="0">
        <v>0</v>
      </c>
      <c r="R406" s="0" t="b">
        <v>0</v>
      </c>
      <c r="S406" s="0" t="b">
        <v>1</v>
      </c>
      <c r="T406" s="68">
        <v>42681.4305555556</v>
      </c>
      <c r="U406" s="68">
        <v>43076.5</v>
      </c>
      <c r="V406" s="68">
        <v>0</v>
      </c>
      <c r="W406" s="0">
        <f>IF(IF(B406="none",1,IF(B406="Trialer",1,0))+IF(C406="Customer",1,IF(C406="Lost",1,0))=2,1,0)</f>
      </c>
      <c r="X406" s="0" t="s">
        <v>148</v>
      </c>
      <c r="Y406" s="0" t="s">
        <v>243</v>
      </c>
      <c r="AV406" s="68"/>
      <c r="AW406" s="68"/>
      <c r="AY406" s="27"/>
      <c r="BD406" s="68">
        <v>46054.1666666667</v>
      </c>
      <c r="BE406" s="68">
        <v>46082.1666666667</v>
      </c>
      <c r="BF406" s="0" t="b">
        <v>0</v>
      </c>
      <c r="BG406" s="0" t="b">
        <v>0</v>
      </c>
      <c r="BH406" s="0">
        <v>0</v>
      </c>
      <c r="BI406" s="0">
        <v>0</v>
      </c>
      <c r="BJ406" s="0" t="s">
        <v>135</v>
      </c>
    </row>
    <row r="407">
      <c r="A407" s="0" t="s">
        <v>587</v>
      </c>
      <c r="B407" s="0" t="s">
        <v>134</v>
      </c>
      <c r="C407" s="0" t="s">
        <v>134</v>
      </c>
      <c r="D407" s="0" t="s">
        <v>135</v>
      </c>
      <c r="E407" s="0" t="s">
        <v>2</v>
      </c>
      <c r="F407" s="0" t="s">
        <v>12</v>
      </c>
      <c r="G407" s="0" t="s">
        <v>7</v>
      </c>
      <c r="H407" s="0">
        <v>3368</v>
      </c>
      <c r="I407" s="0">
        <v>240</v>
      </c>
      <c r="J407" s="0">
        <v>0</v>
      </c>
      <c r="K407" s="0">
        <v>1</v>
      </c>
      <c r="L407" s="0">
        <v>1</v>
      </c>
      <c r="M407" s="0">
        <v>6</v>
      </c>
      <c r="N407" s="0">
        <v>0</v>
      </c>
      <c r="O407" s="0">
        <v>0</v>
      </c>
      <c r="P407" s="0">
        <v>0</v>
      </c>
      <c r="R407" s="0" t="b">
        <v>0</v>
      </c>
      <c r="S407" s="0" t="b">
        <v>1</v>
      </c>
      <c r="T407" s="68">
        <v>42685.3590740741</v>
      </c>
      <c r="U407" s="68">
        <v>42715.5</v>
      </c>
      <c r="V407" s="68">
        <v>0</v>
      </c>
      <c r="W407" s="0">
        <f>IF(IF(B407="none",1,IF(B407="Trialer",1,0))+IF(C407="Customer",1,IF(C407="Lost",1,0))=2,1,0)</f>
      </c>
      <c r="X407" s="0" t="s">
        <v>145</v>
      </c>
      <c r="Y407" s="0" t="s">
        <v>499</v>
      </c>
      <c r="AV407" s="68"/>
      <c r="AW407" s="68"/>
      <c r="AY407" s="27"/>
      <c r="BD407" s="68">
        <v>46054.1666666667</v>
      </c>
      <c r="BE407" s="68">
        <v>46082.1666666667</v>
      </c>
      <c r="BF407" s="0" t="b">
        <v>0</v>
      </c>
      <c r="BG407" s="0" t="b">
        <v>0</v>
      </c>
      <c r="BH407" s="0">
        <v>240</v>
      </c>
      <c r="BI407" s="0">
        <v>240</v>
      </c>
      <c r="BJ407" s="0" t="s">
        <v>135</v>
      </c>
    </row>
    <row r="408">
      <c r="A408" s="0" t="s">
        <v>588</v>
      </c>
      <c r="B408" s="0" t="s">
        <v>134</v>
      </c>
      <c r="C408" s="0" t="s">
        <v>134</v>
      </c>
      <c r="D408" s="0" t="s">
        <v>135</v>
      </c>
      <c r="E408" s="0" t="s">
        <v>3</v>
      </c>
      <c r="F408" s="0" t="s">
        <v>12</v>
      </c>
      <c r="G408" s="0" t="s">
        <v>8</v>
      </c>
      <c r="H408" s="0">
        <v>3367</v>
      </c>
      <c r="I408" s="0">
        <v>0</v>
      </c>
      <c r="J408" s="0">
        <v>0</v>
      </c>
      <c r="K408" s="0">
        <v>1</v>
      </c>
      <c r="L408" s="0">
        <v>2</v>
      </c>
      <c r="M408" s="0">
        <v>2</v>
      </c>
      <c r="N408" s="0">
        <v>0</v>
      </c>
      <c r="O408" s="0">
        <v>0</v>
      </c>
      <c r="P408" s="0">
        <v>0</v>
      </c>
      <c r="R408" s="0" t="b">
        <v>0</v>
      </c>
      <c r="S408" s="0" t="b">
        <v>1</v>
      </c>
      <c r="T408" s="68">
        <v>42686.8951388889</v>
      </c>
      <c r="U408" s="68">
        <v>42716.5</v>
      </c>
      <c r="V408" s="68">
        <v>0</v>
      </c>
      <c r="W408" s="0">
        <f>IF(IF(B408="none",1,IF(B408="Trialer",1,0))+IF(C408="Customer",1,IF(C408="Lost",1,0))=2,1,0)</f>
      </c>
      <c r="X408" s="0" t="s">
        <v>148</v>
      </c>
      <c r="Y408" s="0" t="s">
        <v>243</v>
      </c>
      <c r="AV408" s="68"/>
      <c r="AW408" s="68"/>
      <c r="AY408" s="27"/>
      <c r="BD408" s="68">
        <v>46054.1666666667</v>
      </c>
      <c r="BE408" s="68">
        <v>46082.1666666667</v>
      </c>
      <c r="BF408" s="0" t="b">
        <v>1</v>
      </c>
      <c r="BG408" s="0" t="b">
        <v>0</v>
      </c>
      <c r="BH408" s="0">
        <v>0</v>
      </c>
      <c r="BI408" s="0">
        <v>0</v>
      </c>
      <c r="BJ408" s="0" t="s">
        <v>135</v>
      </c>
    </row>
    <row r="409">
      <c r="A409" s="0" t="s">
        <v>589</v>
      </c>
      <c r="B409" s="0" t="s">
        <v>134</v>
      </c>
      <c r="C409" s="0" t="s">
        <v>134</v>
      </c>
      <c r="D409" s="0" t="s">
        <v>135</v>
      </c>
      <c r="E409" s="0" t="s">
        <v>2</v>
      </c>
      <c r="F409" s="0" t="s">
        <v>12</v>
      </c>
      <c r="G409" s="0" t="s">
        <v>8</v>
      </c>
      <c r="H409" s="0">
        <v>3363</v>
      </c>
      <c r="I409" s="0">
        <v>60</v>
      </c>
      <c r="J409" s="0">
        <v>0</v>
      </c>
      <c r="K409" s="0">
        <v>1</v>
      </c>
      <c r="L409" s="0">
        <v>2</v>
      </c>
      <c r="M409" s="0">
        <v>2</v>
      </c>
      <c r="N409" s="0">
        <v>0</v>
      </c>
      <c r="O409" s="0">
        <v>0</v>
      </c>
      <c r="P409" s="0">
        <v>0</v>
      </c>
      <c r="R409" s="0" t="b">
        <v>0</v>
      </c>
      <c r="S409" s="0" t="b">
        <v>1</v>
      </c>
      <c r="T409" s="68">
        <v>42690.6679166667</v>
      </c>
      <c r="U409" s="68">
        <v>42720.5</v>
      </c>
      <c r="V409" s="68">
        <v>0</v>
      </c>
      <c r="W409" s="0">
        <f>IF(IF(B409="none",1,IF(B409="Trialer",1,0))+IF(C409="Customer",1,IF(C409="Lost",1,0))=2,1,0)</f>
      </c>
      <c r="X409" s="0" t="s">
        <v>166</v>
      </c>
      <c r="Y409" s="0" t="s">
        <v>499</v>
      </c>
      <c r="AV409" s="68"/>
      <c r="AW409" s="68"/>
      <c r="AY409" s="27"/>
      <c r="BD409" s="68">
        <v>46054.1666666667</v>
      </c>
      <c r="BE409" s="68">
        <v>46082.1666666667</v>
      </c>
      <c r="BF409" s="0" t="b">
        <v>0</v>
      </c>
      <c r="BG409" s="0" t="b">
        <v>0</v>
      </c>
      <c r="BH409" s="0">
        <v>35</v>
      </c>
      <c r="BI409" s="0">
        <v>35</v>
      </c>
      <c r="BJ409" s="0" t="s">
        <v>135</v>
      </c>
    </row>
    <row r="410">
      <c r="A410" s="0" t="s">
        <v>590</v>
      </c>
      <c r="B410" s="0" t="s">
        <v>134</v>
      </c>
      <c r="C410" s="0" t="s">
        <v>134</v>
      </c>
      <c r="D410" s="0" t="s">
        <v>230</v>
      </c>
      <c r="E410" s="0" t="s">
        <v>2</v>
      </c>
      <c r="F410" s="0" t="s">
        <v>12</v>
      </c>
      <c r="G410" s="0" t="s">
        <v>8</v>
      </c>
      <c r="H410" s="0">
        <v>3362</v>
      </c>
      <c r="I410" s="0">
        <v>148.5</v>
      </c>
      <c r="J410" s="0">
        <v>0</v>
      </c>
      <c r="K410" s="0">
        <v>1</v>
      </c>
      <c r="L410" s="0">
        <v>4</v>
      </c>
      <c r="M410" s="0">
        <v>3</v>
      </c>
      <c r="N410" s="0">
        <v>0</v>
      </c>
      <c r="O410" s="0">
        <v>0</v>
      </c>
      <c r="P410" s="0">
        <v>-148.5</v>
      </c>
      <c r="R410" s="0" t="b">
        <v>0</v>
      </c>
      <c r="S410" s="0" t="b">
        <v>0</v>
      </c>
      <c r="T410" s="68">
        <v>42691.5558449074</v>
      </c>
      <c r="U410" s="68">
        <v>42721.5</v>
      </c>
      <c r="V410" s="68">
        <v>46098.4206828704</v>
      </c>
      <c r="W410" s="0">
        <f>IF(IF(B410="none",1,IF(B410="Trialer",1,0))+IF(C410="Customer",1,IF(C410="Lost",1,0))=2,1,0)</f>
      </c>
      <c r="X410" s="0" t="s">
        <v>142</v>
      </c>
      <c r="Y410" s="0" t="s">
        <v>499</v>
      </c>
      <c r="AV410" s="68"/>
      <c r="AW410" s="68"/>
      <c r="AY410" s="27"/>
      <c r="BD410" s="68">
        <v>46054.1666666667</v>
      </c>
      <c r="BE410" s="68">
        <v>46082.1666666667</v>
      </c>
      <c r="BF410" s="0" t="b">
        <v>0</v>
      </c>
      <c r="BG410" s="0" t="b">
        <v>0</v>
      </c>
      <c r="BH410" s="0">
        <v>165</v>
      </c>
      <c r="BI410" s="0">
        <v>165</v>
      </c>
      <c r="BJ410" s="0" t="s">
        <v>230</v>
      </c>
    </row>
    <row r="411">
      <c r="A411" s="0" t="s">
        <v>591</v>
      </c>
      <c r="B411" s="0" t="s">
        <v>134</v>
      </c>
      <c r="C411" s="0" t="s">
        <v>134</v>
      </c>
      <c r="D411" s="0" t="s">
        <v>230</v>
      </c>
      <c r="E411" s="0" t="s">
        <v>2</v>
      </c>
      <c r="F411" s="0" t="s">
        <v>10</v>
      </c>
      <c r="G411" s="0" t="s">
        <v>8</v>
      </c>
      <c r="H411" s="0">
        <v>3349</v>
      </c>
      <c r="I411" s="0">
        <v>485.1</v>
      </c>
      <c r="J411" s="0">
        <v>0</v>
      </c>
      <c r="K411" s="0">
        <v>1</v>
      </c>
      <c r="L411" s="0">
        <v>3</v>
      </c>
      <c r="M411" s="0">
        <v>8</v>
      </c>
      <c r="N411" s="0">
        <v>0</v>
      </c>
      <c r="O411" s="0">
        <v>0</v>
      </c>
      <c r="P411" s="0">
        <v>-485.1</v>
      </c>
      <c r="Q411" s="0" t="s">
        <v>266</v>
      </c>
      <c r="R411" s="0" t="b">
        <v>0</v>
      </c>
      <c r="S411" s="0" t="b">
        <v>1</v>
      </c>
      <c r="T411" s="68">
        <v>42704</v>
      </c>
      <c r="U411" s="68">
        <v>42734.5</v>
      </c>
      <c r="V411" s="68">
        <v>0</v>
      </c>
      <c r="W411" s="0">
        <f>IF(IF(B411="none",1,IF(B411="Trialer",1,0))+IF(C411="Customer",1,IF(C411="Lost",1,0))=2,1,0)</f>
      </c>
      <c r="X411" s="0" t="s">
        <v>148</v>
      </c>
      <c r="Y411" s="0" t="s">
        <v>592</v>
      </c>
      <c r="AV411" s="68"/>
      <c r="AW411" s="68"/>
      <c r="AY411" s="27"/>
      <c r="BD411" s="68">
        <v>46054.1666666667</v>
      </c>
      <c r="BE411" s="68">
        <v>46082.1666666667</v>
      </c>
      <c r="BF411" s="0" t="b">
        <v>0</v>
      </c>
      <c r="BG411" s="0" t="b">
        <v>0</v>
      </c>
      <c r="BH411" s="0">
        <v>539</v>
      </c>
      <c r="BI411" s="0">
        <v>539</v>
      </c>
      <c r="BJ411" s="0" t="s">
        <v>230</v>
      </c>
    </row>
    <row r="412">
      <c r="A412" s="0" t="s">
        <v>593</v>
      </c>
      <c r="B412" s="0" t="s">
        <v>134</v>
      </c>
      <c r="C412" s="0" t="s">
        <v>134</v>
      </c>
      <c r="D412" s="0" t="s">
        <v>230</v>
      </c>
      <c r="E412" s="0" t="s">
        <v>2</v>
      </c>
      <c r="F412" s="0" t="s">
        <v>12</v>
      </c>
      <c r="G412" s="0" t="s">
        <v>8</v>
      </c>
      <c r="H412" s="0">
        <v>3334</v>
      </c>
      <c r="I412" s="0">
        <v>450</v>
      </c>
      <c r="J412" s="0">
        <v>0</v>
      </c>
      <c r="K412" s="0">
        <v>1</v>
      </c>
      <c r="L412" s="0">
        <v>3</v>
      </c>
      <c r="M412" s="0">
        <v>18</v>
      </c>
      <c r="N412" s="0">
        <v>0</v>
      </c>
      <c r="O412" s="0">
        <v>0</v>
      </c>
      <c r="P412" s="0">
        <v>-450</v>
      </c>
      <c r="R412" s="0" t="b">
        <v>0</v>
      </c>
      <c r="S412" s="0" t="b">
        <v>1</v>
      </c>
      <c r="T412" s="68">
        <v>42719.2956828704</v>
      </c>
      <c r="U412" s="68">
        <v>42750.5</v>
      </c>
      <c r="V412" s="68">
        <v>0</v>
      </c>
      <c r="W412" s="0">
        <f>IF(IF(B412="none",1,IF(B412="Trialer",1,0))+IF(C412="Customer",1,IF(C412="Lost",1,0))=2,1,0)</f>
      </c>
      <c r="X412" s="0" t="s">
        <v>148</v>
      </c>
      <c r="Y412" s="0" t="s">
        <v>499</v>
      </c>
      <c r="AV412" s="68"/>
      <c r="AW412" s="68"/>
      <c r="AY412" s="27"/>
      <c r="BD412" s="68">
        <v>46054.1666666667</v>
      </c>
      <c r="BE412" s="68">
        <v>46082.1666666667</v>
      </c>
      <c r="BF412" s="0" t="b">
        <v>0</v>
      </c>
      <c r="BG412" s="0" t="b">
        <v>0</v>
      </c>
      <c r="BH412" s="0">
        <v>525</v>
      </c>
      <c r="BI412" s="0">
        <v>525</v>
      </c>
      <c r="BJ412" s="0" t="s">
        <v>230</v>
      </c>
    </row>
    <row r="413">
      <c r="A413" s="0" t="s">
        <v>594</v>
      </c>
      <c r="B413" s="0" t="s">
        <v>134</v>
      </c>
      <c r="C413" s="0" t="s">
        <v>134</v>
      </c>
      <c r="D413" s="0" t="s">
        <v>135</v>
      </c>
      <c r="E413" s="0" t="s">
        <v>3</v>
      </c>
      <c r="F413" s="0" t="s">
        <v>12</v>
      </c>
      <c r="G413" s="0" t="s">
        <v>8</v>
      </c>
      <c r="H413" s="0">
        <v>3333</v>
      </c>
      <c r="I413" s="0">
        <v>0</v>
      </c>
      <c r="J413" s="0">
        <v>0</v>
      </c>
      <c r="K413" s="0">
        <v>1</v>
      </c>
      <c r="L413" s="0">
        <v>5</v>
      </c>
      <c r="M413" s="0">
        <v>1</v>
      </c>
      <c r="N413" s="0">
        <v>0</v>
      </c>
      <c r="O413" s="0">
        <v>0</v>
      </c>
      <c r="P413" s="0">
        <v>0</v>
      </c>
      <c r="R413" s="0" t="b">
        <v>0</v>
      </c>
      <c r="S413" s="0" t="b">
        <v>1</v>
      </c>
      <c r="T413" s="68">
        <v>42720.5347222222</v>
      </c>
      <c r="U413" s="68">
        <v>42751.5</v>
      </c>
      <c r="V413" s="68">
        <v>0</v>
      </c>
      <c r="W413" s="0">
        <f>IF(IF(B413="none",1,IF(B413="Trialer",1,0))+IF(C413="Customer",1,IF(C413="Lost",1,0))=2,1,0)</f>
      </c>
      <c r="X413" s="0" t="s">
        <v>136</v>
      </c>
      <c r="Y413" s="0" t="s">
        <v>243</v>
      </c>
      <c r="AV413" s="68"/>
      <c r="AW413" s="68"/>
      <c r="AY413" s="27"/>
      <c r="BD413" s="68">
        <v>46054.1666666667</v>
      </c>
      <c r="BE413" s="68">
        <v>46082.1666666667</v>
      </c>
      <c r="BF413" s="0" t="b">
        <v>0</v>
      </c>
      <c r="BG413" s="0" t="b">
        <v>0</v>
      </c>
      <c r="BH413" s="0">
        <v>0</v>
      </c>
      <c r="BI413" s="0">
        <v>0</v>
      </c>
      <c r="BJ413" s="0" t="s">
        <v>135</v>
      </c>
    </row>
    <row r="414">
      <c r="A414" s="0" t="s">
        <v>595</v>
      </c>
      <c r="B414" s="0" t="s">
        <v>134</v>
      </c>
      <c r="C414" s="0" t="s">
        <v>134</v>
      </c>
      <c r="D414" s="0" t="s">
        <v>230</v>
      </c>
      <c r="E414" s="0" t="s">
        <v>3</v>
      </c>
      <c r="F414" s="0" t="s">
        <v>12</v>
      </c>
      <c r="G414" s="0" t="s">
        <v>8</v>
      </c>
      <c r="H414" s="0">
        <v>3330</v>
      </c>
      <c r="I414" s="0">
        <v>31.5</v>
      </c>
      <c r="J414" s="0">
        <v>0</v>
      </c>
      <c r="K414" s="0">
        <v>1</v>
      </c>
      <c r="L414" s="0">
        <v>2</v>
      </c>
      <c r="M414" s="0">
        <v>1</v>
      </c>
      <c r="N414" s="0">
        <v>0</v>
      </c>
      <c r="O414" s="0">
        <v>0</v>
      </c>
      <c r="P414" s="0">
        <v>-31.5</v>
      </c>
      <c r="R414" s="0" t="b">
        <v>0</v>
      </c>
      <c r="S414" s="0" t="b">
        <v>1</v>
      </c>
      <c r="T414" s="68">
        <v>42723.7131018518</v>
      </c>
      <c r="U414" s="68">
        <v>42754.5</v>
      </c>
      <c r="V414" s="68">
        <v>0</v>
      </c>
      <c r="W414" s="0">
        <f>IF(IF(B414="none",1,IF(B414="Trialer",1,0))+IF(C414="Customer",1,IF(C414="Lost",1,0))=2,1,0)</f>
      </c>
      <c r="X414" s="0" t="s">
        <v>142</v>
      </c>
      <c r="Y414" s="0" t="s">
        <v>243</v>
      </c>
      <c r="AV414" s="68"/>
      <c r="AW414" s="68"/>
      <c r="AY414" s="27"/>
      <c r="BD414" s="68">
        <v>46054.1666666667</v>
      </c>
      <c r="BE414" s="68">
        <v>46082.1666666667</v>
      </c>
      <c r="BF414" s="0" t="b">
        <v>0</v>
      </c>
      <c r="BG414" s="0" t="b">
        <v>0</v>
      </c>
      <c r="BH414" s="0">
        <v>35</v>
      </c>
      <c r="BI414" s="0">
        <v>35</v>
      </c>
      <c r="BJ414" s="0" t="s">
        <v>230</v>
      </c>
    </row>
    <row r="415">
      <c r="A415" s="0" t="s">
        <v>596</v>
      </c>
      <c r="B415" s="0" t="s">
        <v>134</v>
      </c>
      <c r="C415" s="0" t="s">
        <v>134</v>
      </c>
      <c r="D415" s="0" t="s">
        <v>230</v>
      </c>
      <c r="E415" s="0" t="s">
        <v>3</v>
      </c>
      <c r="F415" s="0" t="s">
        <v>12</v>
      </c>
      <c r="G415" s="0" t="s">
        <v>8</v>
      </c>
      <c r="H415" s="0">
        <v>3330</v>
      </c>
      <c r="I415" s="0">
        <v>22.5</v>
      </c>
      <c r="J415" s="0">
        <v>0</v>
      </c>
      <c r="K415" s="0">
        <v>1</v>
      </c>
      <c r="L415" s="0">
        <v>1</v>
      </c>
      <c r="M415" s="0">
        <v>1</v>
      </c>
      <c r="N415" s="0">
        <v>0</v>
      </c>
      <c r="O415" s="0">
        <v>0</v>
      </c>
      <c r="P415" s="0">
        <v>-22.5</v>
      </c>
      <c r="R415" s="0" t="b">
        <v>0</v>
      </c>
      <c r="S415" s="0" t="b">
        <v>1</v>
      </c>
      <c r="T415" s="68">
        <v>42723.7211458333</v>
      </c>
      <c r="U415" s="68">
        <v>42754.5</v>
      </c>
      <c r="V415" s="68">
        <v>0</v>
      </c>
      <c r="W415" s="0">
        <f>IF(IF(B415="none",1,IF(B415="Trialer",1,0))+IF(C415="Customer",1,IF(C415="Lost",1,0))=2,1,0)</f>
      </c>
      <c r="X415" s="0" t="s">
        <v>166</v>
      </c>
      <c r="Y415" s="0" t="s">
        <v>243</v>
      </c>
      <c r="AV415" s="68"/>
      <c r="AW415" s="68"/>
      <c r="AY415" s="27"/>
      <c r="BD415" s="68">
        <v>46054.1666666667</v>
      </c>
      <c r="BE415" s="68">
        <v>46082.1666666667</v>
      </c>
      <c r="BF415" s="0" t="b">
        <v>0</v>
      </c>
      <c r="BG415" s="0" t="b">
        <v>0</v>
      </c>
      <c r="BH415" s="0">
        <v>25</v>
      </c>
      <c r="BI415" s="0">
        <v>25</v>
      </c>
      <c r="BJ415" s="0" t="s">
        <v>230</v>
      </c>
    </row>
    <row r="416">
      <c r="A416" s="0" t="s">
        <v>597</v>
      </c>
      <c r="B416" s="0" t="s">
        <v>134</v>
      </c>
      <c r="C416" s="0" t="s">
        <v>134</v>
      </c>
      <c r="D416" s="0" t="s">
        <v>135</v>
      </c>
      <c r="E416" s="0" t="s">
        <v>3</v>
      </c>
      <c r="F416" s="0" t="s">
        <v>12</v>
      </c>
      <c r="G416" s="0" t="s">
        <v>8</v>
      </c>
      <c r="H416" s="0">
        <v>3326</v>
      </c>
      <c r="I416" s="0">
        <v>35</v>
      </c>
      <c r="J416" s="0">
        <v>0</v>
      </c>
      <c r="K416" s="0">
        <v>1</v>
      </c>
      <c r="L416" s="0">
        <v>2</v>
      </c>
      <c r="M416" s="0">
        <v>2</v>
      </c>
      <c r="N416" s="0">
        <v>0</v>
      </c>
      <c r="O416" s="0">
        <v>0</v>
      </c>
      <c r="P416" s="0">
        <v>0</v>
      </c>
      <c r="R416" s="0" t="b">
        <v>0</v>
      </c>
      <c r="S416" s="0" t="b">
        <v>1</v>
      </c>
      <c r="T416" s="68">
        <v>42727.53125</v>
      </c>
      <c r="U416" s="68">
        <v>42758.5</v>
      </c>
      <c r="V416" s="68">
        <v>0</v>
      </c>
      <c r="W416" s="0">
        <f>IF(IF(B416="none",1,IF(B416="Trialer",1,0))+IF(C416="Customer",1,IF(C416="Lost",1,0))=2,1,0)</f>
      </c>
      <c r="X416" s="0" t="s">
        <v>142</v>
      </c>
      <c r="Y416" s="0" t="s">
        <v>243</v>
      </c>
      <c r="AV416" s="68"/>
      <c r="AW416" s="68"/>
      <c r="AY416" s="27"/>
      <c r="BD416" s="68">
        <v>46054.1666666667</v>
      </c>
      <c r="BE416" s="68">
        <v>46082.1666666667</v>
      </c>
      <c r="BF416" s="0" t="b">
        <v>0</v>
      </c>
      <c r="BG416" s="0" t="b">
        <v>0</v>
      </c>
      <c r="BH416" s="0">
        <v>35</v>
      </c>
      <c r="BI416" s="0">
        <v>35</v>
      </c>
      <c r="BJ416" s="0" t="s">
        <v>135</v>
      </c>
    </row>
    <row r="417">
      <c r="A417" s="0" t="s">
        <v>598</v>
      </c>
      <c r="B417" s="0" t="s">
        <v>134</v>
      </c>
      <c r="C417" s="0" t="s">
        <v>134</v>
      </c>
      <c r="D417" s="0" t="s">
        <v>135</v>
      </c>
      <c r="E417" s="0" t="s">
        <v>2</v>
      </c>
      <c r="F417" s="0" t="s">
        <v>10</v>
      </c>
      <c r="G417" s="0" t="s">
        <v>7</v>
      </c>
      <c r="H417" s="0">
        <v>3315</v>
      </c>
      <c r="I417" s="0">
        <v>480</v>
      </c>
      <c r="J417" s="0">
        <v>0</v>
      </c>
      <c r="K417" s="0">
        <v>1</v>
      </c>
      <c r="L417" s="0">
        <v>1</v>
      </c>
      <c r="M417" s="0">
        <v>12</v>
      </c>
      <c r="N417" s="0">
        <v>0</v>
      </c>
      <c r="O417" s="0">
        <v>0</v>
      </c>
      <c r="P417" s="0">
        <v>0</v>
      </c>
      <c r="Q417" s="0" t="s">
        <v>390</v>
      </c>
      <c r="R417" s="0" t="b">
        <v>0</v>
      </c>
      <c r="S417" s="0" t="b">
        <v>1</v>
      </c>
      <c r="T417" s="68">
        <v>42738.6130555556</v>
      </c>
      <c r="U417" s="68">
        <v>42769.5</v>
      </c>
      <c r="V417" s="68">
        <v>0</v>
      </c>
      <c r="W417" s="0">
        <f>IF(IF(B417="none",1,IF(B417="Trialer",1,0))+IF(C417="Customer",1,IF(C417="Lost",1,0))=2,1,0)</f>
      </c>
      <c r="X417" s="0" t="s">
        <v>148</v>
      </c>
      <c r="Y417" s="0" t="s">
        <v>499</v>
      </c>
      <c r="AV417" s="68"/>
      <c r="AW417" s="68"/>
      <c r="AY417" s="27"/>
      <c r="BD417" s="68">
        <v>46054.1666666667</v>
      </c>
      <c r="BE417" s="68">
        <v>46082.1666666667</v>
      </c>
      <c r="BF417" s="0" t="b">
        <v>0</v>
      </c>
      <c r="BG417" s="0" t="b">
        <v>0</v>
      </c>
      <c r="BH417" s="0">
        <v>480</v>
      </c>
      <c r="BI417" s="0">
        <v>480</v>
      </c>
      <c r="BJ417" s="0" t="s">
        <v>135</v>
      </c>
    </row>
    <row r="418">
      <c r="A418" s="0" t="s">
        <v>599</v>
      </c>
      <c r="B418" s="0" t="s">
        <v>134</v>
      </c>
      <c r="C418" s="0" t="s">
        <v>134</v>
      </c>
      <c r="D418" s="0" t="s">
        <v>135</v>
      </c>
      <c r="E418" s="0" t="s">
        <v>2</v>
      </c>
      <c r="F418" s="0" t="s">
        <v>12</v>
      </c>
      <c r="G418" s="0" t="s">
        <v>8</v>
      </c>
      <c r="H418" s="0">
        <v>3315</v>
      </c>
      <c r="I418" s="0">
        <v>94</v>
      </c>
      <c r="J418" s="0">
        <v>0</v>
      </c>
      <c r="K418" s="0">
        <v>1</v>
      </c>
      <c r="L418" s="0">
        <v>3</v>
      </c>
      <c r="M418" s="0">
        <v>2</v>
      </c>
      <c r="N418" s="0">
        <v>0</v>
      </c>
      <c r="O418" s="0">
        <v>0</v>
      </c>
      <c r="P418" s="0">
        <v>0</v>
      </c>
      <c r="R418" s="0" t="b">
        <v>0</v>
      </c>
      <c r="S418" s="0" t="b">
        <v>1</v>
      </c>
      <c r="T418" s="68">
        <v>42738.6973263889</v>
      </c>
      <c r="U418" s="68">
        <v>42769.5</v>
      </c>
      <c r="V418" s="68">
        <v>0</v>
      </c>
      <c r="W418" s="0">
        <f>IF(IF(B418="none",1,IF(B418="Trialer",1,0))+IF(C418="Customer",1,IF(C418="Lost",1,0))=2,1,0)</f>
      </c>
      <c r="X418" s="0" t="s">
        <v>166</v>
      </c>
      <c r="Y418" s="0" t="s">
        <v>499</v>
      </c>
      <c r="AV418" s="68"/>
      <c r="AW418" s="68"/>
      <c r="AY418" s="27"/>
      <c r="BD418" s="68">
        <v>46054.1666666667</v>
      </c>
      <c r="BE418" s="68">
        <v>46082.1666666667</v>
      </c>
      <c r="BF418" s="0" t="b">
        <v>0</v>
      </c>
      <c r="BG418" s="0" t="b">
        <v>0</v>
      </c>
      <c r="BH418" s="0">
        <v>94</v>
      </c>
      <c r="BI418" s="0">
        <v>94</v>
      </c>
      <c r="BJ418" s="0" t="s">
        <v>135</v>
      </c>
    </row>
    <row r="419">
      <c r="A419" s="0" t="s">
        <v>600</v>
      </c>
      <c r="B419" s="0" t="s">
        <v>134</v>
      </c>
      <c r="C419" s="0" t="s">
        <v>190</v>
      </c>
      <c r="D419" s="0" t="s">
        <v>135</v>
      </c>
      <c r="E419" s="0" t="s">
        <v>2</v>
      </c>
      <c r="F419" s="0" t="s">
        <v>12</v>
      </c>
      <c r="G419" s="0" t="s">
        <v>8</v>
      </c>
      <c r="H419" s="0">
        <v>3309</v>
      </c>
      <c r="I419" s="0">
        <v>35</v>
      </c>
      <c r="J419" s="0">
        <v>0</v>
      </c>
      <c r="K419" s="0">
        <v>1</v>
      </c>
      <c r="L419" s="0">
        <v>2</v>
      </c>
      <c r="M419" s="0">
        <v>1</v>
      </c>
      <c r="N419" s="0">
        <v>0</v>
      </c>
      <c r="O419" s="0">
        <v>0</v>
      </c>
      <c r="P419" s="0">
        <v>0</v>
      </c>
      <c r="R419" s="0" t="b">
        <v>0</v>
      </c>
      <c r="S419" s="0" t="b">
        <v>0</v>
      </c>
      <c r="T419" s="68">
        <v>42744.5949884259</v>
      </c>
      <c r="U419" s="68">
        <v>42775.5</v>
      </c>
      <c r="V419" s="68">
        <v>46078.0653009259</v>
      </c>
      <c r="W419" s="0">
        <f>IF(IF(B419="none",1,IF(B419="Trialer",1,0))+IF(C419="Customer",1,IF(C419="Lost",1,0))=2,1,0)</f>
      </c>
      <c r="X419" s="0" t="s">
        <v>142</v>
      </c>
      <c r="Y419" s="0" t="s">
        <v>499</v>
      </c>
      <c r="AV419" s="68"/>
      <c r="AW419" s="68"/>
      <c r="AY419" s="27"/>
      <c r="BD419" s="68">
        <v>46054.1666666667</v>
      </c>
      <c r="BE419" s="68">
        <v>46082.1666666667</v>
      </c>
      <c r="BF419" s="0" t="b">
        <v>0</v>
      </c>
      <c r="BG419" s="0" t="b">
        <v>0</v>
      </c>
      <c r="BH419" s="0">
        <v>35</v>
      </c>
      <c r="BI419" s="0">
        <v>35</v>
      </c>
      <c r="BJ419" s="0" t="s">
        <v>135</v>
      </c>
    </row>
    <row r="420">
      <c r="A420" s="0" t="s">
        <v>601</v>
      </c>
      <c r="B420" s="0" t="s">
        <v>134</v>
      </c>
      <c r="C420" s="0" t="s">
        <v>134</v>
      </c>
      <c r="D420" s="0" t="s">
        <v>230</v>
      </c>
      <c r="E420" s="0" t="s">
        <v>2</v>
      </c>
      <c r="F420" s="0" t="s">
        <v>12</v>
      </c>
      <c r="G420" s="0" t="s">
        <v>8</v>
      </c>
      <c r="H420" s="0">
        <v>3307</v>
      </c>
      <c r="I420" s="0">
        <v>504</v>
      </c>
      <c r="J420" s="0">
        <v>0</v>
      </c>
      <c r="K420" s="0">
        <v>1</v>
      </c>
      <c r="L420" s="0">
        <v>3</v>
      </c>
      <c r="M420" s="0">
        <v>22</v>
      </c>
      <c r="N420" s="0">
        <v>0</v>
      </c>
      <c r="O420" s="0">
        <v>0</v>
      </c>
      <c r="P420" s="0">
        <v>-504</v>
      </c>
      <c r="R420" s="0" t="b">
        <v>0</v>
      </c>
      <c r="S420" s="0" t="b">
        <v>1</v>
      </c>
      <c r="T420" s="68">
        <v>42746.7487384259</v>
      </c>
      <c r="U420" s="68">
        <v>42777.5</v>
      </c>
      <c r="V420" s="68">
        <v>0</v>
      </c>
      <c r="W420" s="0">
        <f>IF(IF(B420="none",1,IF(B420="Trialer",1,0))+IF(C420="Customer",1,IF(C420="Lost",1,0))=2,1,0)</f>
      </c>
      <c r="X420" s="0" t="s">
        <v>148</v>
      </c>
      <c r="Y420" s="0" t="s">
        <v>499</v>
      </c>
      <c r="AV420" s="68"/>
      <c r="AW420" s="68"/>
      <c r="AY420" s="27"/>
      <c r="BD420" s="68">
        <v>46054.1666666667</v>
      </c>
      <c r="BE420" s="68">
        <v>46082.1666666667</v>
      </c>
      <c r="BF420" s="0" t="b">
        <v>0</v>
      </c>
      <c r="BG420" s="0" t="b">
        <v>0</v>
      </c>
      <c r="BH420" s="0">
        <v>605</v>
      </c>
      <c r="BI420" s="0">
        <v>605</v>
      </c>
      <c r="BJ420" s="0" t="s">
        <v>230</v>
      </c>
    </row>
    <row r="421">
      <c r="A421" s="0" t="s">
        <v>602</v>
      </c>
      <c r="B421" s="0" t="s">
        <v>134</v>
      </c>
      <c r="C421" s="0" t="s">
        <v>134</v>
      </c>
      <c r="D421" s="0" t="s">
        <v>135</v>
      </c>
      <c r="E421" s="0" t="s">
        <v>3</v>
      </c>
      <c r="F421" s="0" t="s">
        <v>12</v>
      </c>
      <c r="G421" s="0" t="s">
        <v>8</v>
      </c>
      <c r="H421" s="0">
        <v>3307</v>
      </c>
      <c r="I421" s="0">
        <v>25</v>
      </c>
      <c r="J421" s="0">
        <v>0</v>
      </c>
      <c r="K421" s="0">
        <v>1</v>
      </c>
      <c r="L421" s="0">
        <v>1</v>
      </c>
      <c r="M421" s="0">
        <v>1</v>
      </c>
      <c r="N421" s="0">
        <v>0</v>
      </c>
      <c r="O421" s="0">
        <v>0</v>
      </c>
      <c r="P421" s="0">
        <v>0</v>
      </c>
      <c r="R421" s="0" t="b">
        <v>0</v>
      </c>
      <c r="S421" s="0" t="b">
        <v>1</v>
      </c>
      <c r="T421" s="68">
        <v>42746.75875</v>
      </c>
      <c r="U421" s="68">
        <v>42777.5</v>
      </c>
      <c r="V421" s="68">
        <v>0</v>
      </c>
      <c r="W421" s="0">
        <f>IF(IF(B421="none",1,IF(B421="Trialer",1,0))+IF(C421="Customer",1,IF(C421="Lost",1,0))=2,1,0)</f>
      </c>
      <c r="X421" s="0" t="s">
        <v>142</v>
      </c>
      <c r="Y421" s="0" t="s">
        <v>243</v>
      </c>
      <c r="AV421" s="68"/>
      <c r="AW421" s="68"/>
      <c r="AY421" s="27"/>
      <c r="BD421" s="68">
        <v>46054.1666666667</v>
      </c>
      <c r="BE421" s="68">
        <v>46082.1666666667</v>
      </c>
      <c r="BF421" s="0" t="b">
        <v>0</v>
      </c>
      <c r="BG421" s="0" t="b">
        <v>0</v>
      </c>
      <c r="BH421" s="0">
        <v>25</v>
      </c>
      <c r="BI421" s="0">
        <v>25</v>
      </c>
      <c r="BJ421" s="0" t="s">
        <v>135</v>
      </c>
    </row>
    <row r="422">
      <c r="A422" s="0" t="s">
        <v>603</v>
      </c>
      <c r="B422" s="0" t="s">
        <v>134</v>
      </c>
      <c r="C422" s="0" t="s">
        <v>134</v>
      </c>
      <c r="D422" s="0" t="s">
        <v>230</v>
      </c>
      <c r="E422" s="0" t="s">
        <v>2</v>
      </c>
      <c r="F422" s="0" t="s">
        <v>10</v>
      </c>
      <c r="G422" s="0" t="s">
        <v>8</v>
      </c>
      <c r="H422" s="0">
        <v>3306</v>
      </c>
      <c r="I422" s="0">
        <v>391.5</v>
      </c>
      <c r="J422" s="0">
        <v>0</v>
      </c>
      <c r="K422" s="0">
        <v>1</v>
      </c>
      <c r="L422" s="0">
        <v>3</v>
      </c>
      <c r="M422" s="0">
        <v>17</v>
      </c>
      <c r="N422" s="0">
        <v>0</v>
      </c>
      <c r="O422" s="0">
        <v>0</v>
      </c>
      <c r="P422" s="0">
        <v>-391.5</v>
      </c>
      <c r="Q422" s="0" t="s">
        <v>266</v>
      </c>
      <c r="R422" s="0" t="b">
        <v>0</v>
      </c>
      <c r="S422" s="0" t="b">
        <v>1</v>
      </c>
      <c r="T422" s="68">
        <v>42747.6277777778</v>
      </c>
      <c r="U422" s="68">
        <v>42778.5</v>
      </c>
      <c r="V422" s="68">
        <v>0</v>
      </c>
      <c r="W422" s="0">
        <f>IF(IF(B422="none",1,IF(B422="Trialer",1,0))+IF(C422="Customer",1,IF(C422="Lost",1,0))=2,1,0)</f>
      </c>
      <c r="X422" s="0" t="s">
        <v>148</v>
      </c>
      <c r="Y422" s="0" t="s">
        <v>499</v>
      </c>
      <c r="AV422" s="68"/>
      <c r="AW422" s="68"/>
      <c r="AY422" s="27"/>
      <c r="BD422" s="68">
        <v>46054.1666666667</v>
      </c>
      <c r="BE422" s="68">
        <v>46082.1666666667</v>
      </c>
      <c r="BF422" s="0" t="b">
        <v>0</v>
      </c>
      <c r="BG422" s="0" t="b">
        <v>0</v>
      </c>
      <c r="BH422" s="0">
        <v>435</v>
      </c>
      <c r="BI422" s="0">
        <v>435</v>
      </c>
      <c r="BJ422" s="0" t="s">
        <v>230</v>
      </c>
    </row>
    <row r="423">
      <c r="A423" s="0" t="s">
        <v>604</v>
      </c>
      <c r="B423" s="0" t="s">
        <v>134</v>
      </c>
      <c r="C423" s="0" t="s">
        <v>134</v>
      </c>
      <c r="D423" s="0" t="s">
        <v>135</v>
      </c>
      <c r="E423" s="0" t="s">
        <v>3</v>
      </c>
      <c r="F423" s="0" t="s">
        <v>12</v>
      </c>
      <c r="G423" s="0" t="s">
        <v>8</v>
      </c>
      <c r="H423" s="0">
        <v>3306</v>
      </c>
      <c r="I423" s="0">
        <v>0</v>
      </c>
      <c r="J423" s="0">
        <v>0</v>
      </c>
      <c r="K423" s="0">
        <v>1</v>
      </c>
      <c r="L423" s="0">
        <v>6</v>
      </c>
      <c r="M423" s="0">
        <v>1</v>
      </c>
      <c r="N423" s="0">
        <v>0</v>
      </c>
      <c r="O423" s="0">
        <v>0</v>
      </c>
      <c r="P423" s="0">
        <v>0</v>
      </c>
      <c r="R423" s="0" t="b">
        <v>0</v>
      </c>
      <c r="S423" s="0" t="b">
        <v>1</v>
      </c>
      <c r="T423" s="68">
        <v>42747.7951388889</v>
      </c>
      <c r="U423" s="68">
        <v>42778.5</v>
      </c>
      <c r="V423" s="68">
        <v>0</v>
      </c>
      <c r="W423" s="0">
        <f>IF(IF(B423="none",1,IF(B423="Trialer",1,0))+IF(C423="Customer",1,IF(C423="Lost",1,0))=2,1,0)</f>
      </c>
      <c r="X423" s="0" t="s">
        <v>136</v>
      </c>
      <c r="Y423" s="0" t="s">
        <v>243</v>
      </c>
      <c r="AV423" s="68"/>
      <c r="AW423" s="68"/>
      <c r="AY423" s="27"/>
      <c r="BD423" s="68">
        <v>46054.1666666667</v>
      </c>
      <c r="BE423" s="68">
        <v>46082.1666666667</v>
      </c>
      <c r="BF423" s="0" t="b">
        <v>0</v>
      </c>
      <c r="BG423" s="0" t="b">
        <v>0</v>
      </c>
      <c r="BH423" s="0">
        <v>0</v>
      </c>
      <c r="BI423" s="0">
        <v>0</v>
      </c>
      <c r="BJ423" s="0" t="s">
        <v>135</v>
      </c>
    </row>
    <row r="424">
      <c r="A424" s="0" t="s">
        <v>605</v>
      </c>
      <c r="B424" s="0" t="s">
        <v>134</v>
      </c>
      <c r="C424" s="0" t="s">
        <v>134</v>
      </c>
      <c r="D424" s="0" t="s">
        <v>135</v>
      </c>
      <c r="E424" s="0" t="s">
        <v>2</v>
      </c>
      <c r="F424" s="0" t="s">
        <v>12</v>
      </c>
      <c r="G424" s="0" t="s">
        <v>8</v>
      </c>
      <c r="H424" s="0">
        <v>3305</v>
      </c>
      <c r="I424" s="0">
        <v>90</v>
      </c>
      <c r="J424" s="0">
        <v>0</v>
      </c>
      <c r="K424" s="0">
        <v>1</v>
      </c>
      <c r="L424" s="0">
        <v>3</v>
      </c>
      <c r="M424" s="0">
        <v>2</v>
      </c>
      <c r="N424" s="0">
        <v>0</v>
      </c>
      <c r="O424" s="0">
        <v>0</v>
      </c>
      <c r="P424" s="0">
        <v>0</v>
      </c>
      <c r="R424" s="0" t="b">
        <v>0</v>
      </c>
      <c r="S424" s="0" t="b">
        <v>1</v>
      </c>
      <c r="T424" s="68">
        <v>42748.8290740741</v>
      </c>
      <c r="U424" s="68">
        <v>42779.5</v>
      </c>
      <c r="V424" s="68">
        <v>0</v>
      </c>
      <c r="W424" s="0">
        <f>IF(IF(B424="none",1,IF(B424="Trialer",1,0))+IF(C424="Customer",1,IF(C424="Lost",1,0))=2,1,0)</f>
      </c>
      <c r="X424" s="0" t="s">
        <v>166</v>
      </c>
      <c r="Y424" s="0" t="s">
        <v>499</v>
      </c>
      <c r="AV424" s="68"/>
      <c r="AW424" s="68"/>
      <c r="AY424" s="27"/>
      <c r="BD424" s="68">
        <v>46054.1666666667</v>
      </c>
      <c r="BE424" s="68">
        <v>46082.1666666667</v>
      </c>
      <c r="BF424" s="0" t="b">
        <v>0</v>
      </c>
      <c r="BG424" s="0" t="b">
        <v>0</v>
      </c>
      <c r="BH424" s="0">
        <v>90</v>
      </c>
      <c r="BI424" s="0">
        <v>90</v>
      </c>
      <c r="BJ424" s="0" t="s">
        <v>135</v>
      </c>
    </row>
    <row r="425">
      <c r="A425" s="0" t="s">
        <v>606</v>
      </c>
      <c r="B425" s="0" t="s">
        <v>134</v>
      </c>
      <c r="C425" s="0" t="s">
        <v>134</v>
      </c>
      <c r="D425" s="0" t="s">
        <v>135</v>
      </c>
      <c r="E425" s="0" t="s">
        <v>2</v>
      </c>
      <c r="F425" s="0" t="s">
        <v>12</v>
      </c>
      <c r="G425" s="0" t="s">
        <v>8</v>
      </c>
      <c r="H425" s="0">
        <v>3300</v>
      </c>
      <c r="I425" s="0">
        <v>370</v>
      </c>
      <c r="J425" s="0">
        <v>0</v>
      </c>
      <c r="K425" s="0">
        <v>1</v>
      </c>
      <c r="L425" s="0">
        <v>3</v>
      </c>
      <c r="M425" s="0">
        <v>1</v>
      </c>
      <c r="N425" s="0">
        <v>0</v>
      </c>
      <c r="O425" s="0">
        <v>0</v>
      </c>
      <c r="P425" s="0">
        <v>0</v>
      </c>
      <c r="R425" s="0" t="b">
        <v>0</v>
      </c>
      <c r="S425" s="0" t="b">
        <v>1</v>
      </c>
      <c r="T425" s="68">
        <v>42753.4458912037</v>
      </c>
      <c r="U425" s="68">
        <v>42784.5</v>
      </c>
      <c r="V425" s="68">
        <v>0</v>
      </c>
      <c r="W425" s="0">
        <f>IF(IF(B425="none",1,IF(B425="Trialer",1,0))+IF(C425="Customer",1,IF(C425="Lost",1,0))=2,1,0)</f>
      </c>
      <c r="X425" s="0" t="s">
        <v>136</v>
      </c>
      <c r="Y425" s="0" t="s">
        <v>499</v>
      </c>
      <c r="AV425" s="68"/>
      <c r="AW425" s="68"/>
      <c r="AY425" s="27"/>
      <c r="BD425" s="68">
        <v>46054.1666666667</v>
      </c>
      <c r="BE425" s="68">
        <v>46082.1666666667</v>
      </c>
      <c r="BF425" s="0" t="b">
        <v>0</v>
      </c>
      <c r="BG425" s="0" t="b">
        <v>0</v>
      </c>
      <c r="BH425" s="0">
        <v>45</v>
      </c>
      <c r="BI425" s="0">
        <v>45</v>
      </c>
      <c r="BJ425" s="0" t="s">
        <v>135</v>
      </c>
    </row>
    <row r="426">
      <c r="A426" s="0" t="s">
        <v>607</v>
      </c>
      <c r="B426" s="0" t="s">
        <v>134</v>
      </c>
      <c r="C426" s="0" t="s">
        <v>134</v>
      </c>
      <c r="D426" s="0" t="s">
        <v>135</v>
      </c>
      <c r="E426" s="0" t="s">
        <v>3</v>
      </c>
      <c r="F426" s="0" t="s">
        <v>12</v>
      </c>
      <c r="G426" s="0" t="s">
        <v>8</v>
      </c>
      <c r="H426" s="0">
        <v>3300</v>
      </c>
      <c r="I426" s="0">
        <v>274.94</v>
      </c>
      <c r="J426" s="0">
        <v>0</v>
      </c>
      <c r="K426" s="0">
        <v>1</v>
      </c>
      <c r="L426" s="0">
        <v>4</v>
      </c>
      <c r="M426" s="0">
        <v>6</v>
      </c>
      <c r="N426" s="0">
        <v>0</v>
      </c>
      <c r="O426" s="0">
        <v>0</v>
      </c>
      <c r="P426" s="0">
        <v>0</v>
      </c>
      <c r="R426" s="0" t="b">
        <v>0</v>
      </c>
      <c r="S426" s="0" t="b">
        <v>1</v>
      </c>
      <c r="T426" s="68">
        <v>42753.7604050926</v>
      </c>
      <c r="U426" s="68">
        <v>42784.5</v>
      </c>
      <c r="V426" s="68">
        <v>0</v>
      </c>
      <c r="W426" s="0">
        <f>IF(IF(B426="none",1,IF(B426="Trialer",1,0))+IF(C426="Customer",1,IF(C426="Lost",1,0))=2,1,0)</f>
      </c>
      <c r="X426" s="0" t="s">
        <v>136</v>
      </c>
      <c r="Y426" s="0" t="s">
        <v>243</v>
      </c>
      <c r="AV426" s="68"/>
      <c r="AW426" s="68"/>
      <c r="AY426" s="27"/>
      <c r="BD426" s="68">
        <v>46054.1666666667</v>
      </c>
      <c r="BE426" s="68">
        <v>46082.1666666667</v>
      </c>
      <c r="BF426" s="0" t="b">
        <v>0</v>
      </c>
      <c r="BG426" s="0" t="b">
        <v>0</v>
      </c>
      <c r="BH426" s="0">
        <v>270</v>
      </c>
      <c r="BI426" s="0">
        <v>271.22</v>
      </c>
      <c r="BJ426" s="0" t="s">
        <v>135</v>
      </c>
    </row>
    <row r="427">
      <c r="A427" s="0" t="s">
        <v>608</v>
      </c>
      <c r="B427" s="0" t="s">
        <v>134</v>
      </c>
      <c r="C427" s="0" t="s">
        <v>134</v>
      </c>
      <c r="D427" s="0" t="s">
        <v>230</v>
      </c>
      <c r="E427" s="0" t="s">
        <v>2</v>
      </c>
      <c r="F427" s="0" t="s">
        <v>12</v>
      </c>
      <c r="G427" s="0" t="s">
        <v>8</v>
      </c>
      <c r="H427" s="0">
        <v>3295</v>
      </c>
      <c r="I427" s="0">
        <v>126</v>
      </c>
      <c r="J427" s="0">
        <v>0</v>
      </c>
      <c r="K427" s="0">
        <v>1</v>
      </c>
      <c r="L427" s="0">
        <v>2</v>
      </c>
      <c r="M427" s="0">
        <v>4</v>
      </c>
      <c r="N427" s="0">
        <v>0</v>
      </c>
      <c r="O427" s="0">
        <v>0</v>
      </c>
      <c r="P427" s="0">
        <v>-126</v>
      </c>
      <c r="R427" s="0" t="b">
        <v>0</v>
      </c>
      <c r="S427" s="0" t="b">
        <v>1</v>
      </c>
      <c r="T427" s="68">
        <v>42758.6132523148</v>
      </c>
      <c r="U427" s="68">
        <v>42789.5</v>
      </c>
      <c r="V427" s="68">
        <v>0</v>
      </c>
      <c r="W427" s="0">
        <f>IF(IF(B427="none",1,IF(B427="Trialer",1,0))+IF(C427="Customer",1,IF(C427="Lost",1,0))=2,1,0)</f>
      </c>
      <c r="X427" s="0" t="s">
        <v>145</v>
      </c>
      <c r="Y427" s="0" t="s">
        <v>499</v>
      </c>
      <c r="AV427" s="68"/>
      <c r="AW427" s="68"/>
      <c r="AY427" s="27"/>
      <c r="BD427" s="68">
        <v>46054.1666666667</v>
      </c>
      <c r="BE427" s="68">
        <v>46082.1666666667</v>
      </c>
      <c r="BF427" s="0" t="b">
        <v>1</v>
      </c>
      <c r="BG427" s="0" t="b">
        <v>0</v>
      </c>
      <c r="BH427" s="0">
        <v>140</v>
      </c>
      <c r="BI427" s="0">
        <v>140</v>
      </c>
      <c r="BJ427" s="0" t="s">
        <v>230</v>
      </c>
    </row>
    <row r="428">
      <c r="A428" s="0" t="s">
        <v>609</v>
      </c>
      <c r="B428" s="0" t="s">
        <v>134</v>
      </c>
      <c r="C428" s="0" t="s">
        <v>134</v>
      </c>
      <c r="D428" s="0" t="s">
        <v>230</v>
      </c>
      <c r="E428" s="0" t="s">
        <v>3</v>
      </c>
      <c r="F428" s="0" t="s">
        <v>12</v>
      </c>
      <c r="G428" s="0" t="s">
        <v>8</v>
      </c>
      <c r="H428" s="0">
        <v>3292</v>
      </c>
      <c r="I428" s="0">
        <v>31.5</v>
      </c>
      <c r="J428" s="0">
        <v>0</v>
      </c>
      <c r="K428" s="0">
        <v>1</v>
      </c>
      <c r="L428" s="0">
        <v>2</v>
      </c>
      <c r="M428" s="0">
        <v>1</v>
      </c>
      <c r="N428" s="0">
        <v>0</v>
      </c>
      <c r="O428" s="0">
        <v>0</v>
      </c>
      <c r="P428" s="0">
        <v>-31.5</v>
      </c>
      <c r="R428" s="0" t="b">
        <v>0</v>
      </c>
      <c r="S428" s="0" t="b">
        <v>1</v>
      </c>
      <c r="T428" s="68">
        <v>42761.891875</v>
      </c>
      <c r="U428" s="68">
        <v>42792.5</v>
      </c>
      <c r="V428" s="68">
        <v>0</v>
      </c>
      <c r="W428" s="0">
        <f>IF(IF(B428="none",1,IF(B428="Trialer",1,0))+IF(C428="Customer",1,IF(C428="Lost",1,0))=2,1,0)</f>
      </c>
      <c r="X428" s="0" t="s">
        <v>142</v>
      </c>
      <c r="Y428" s="0" t="s">
        <v>243</v>
      </c>
      <c r="AV428" s="68"/>
      <c r="AW428" s="68"/>
      <c r="AY428" s="27"/>
      <c r="BD428" s="68">
        <v>46054.1666666667</v>
      </c>
      <c r="BE428" s="68">
        <v>46082.1666666667</v>
      </c>
      <c r="BF428" s="0" t="b">
        <v>0</v>
      </c>
      <c r="BG428" s="0" t="b">
        <v>0</v>
      </c>
      <c r="BH428" s="0">
        <v>35</v>
      </c>
      <c r="BI428" s="0">
        <v>35</v>
      </c>
      <c r="BJ428" s="0" t="s">
        <v>230</v>
      </c>
    </row>
    <row r="429">
      <c r="A429" s="0" t="s">
        <v>610</v>
      </c>
      <c r="B429" s="0" t="s">
        <v>134</v>
      </c>
      <c r="C429" s="0" t="s">
        <v>134</v>
      </c>
      <c r="D429" s="0" t="s">
        <v>135</v>
      </c>
      <c r="E429" s="0" t="s">
        <v>2</v>
      </c>
      <c r="F429" s="0" t="s">
        <v>12</v>
      </c>
      <c r="G429" s="0" t="s">
        <v>8</v>
      </c>
      <c r="H429" s="0">
        <v>3287</v>
      </c>
      <c r="I429" s="0">
        <v>210</v>
      </c>
      <c r="J429" s="0">
        <v>0</v>
      </c>
      <c r="K429" s="0">
        <v>1</v>
      </c>
      <c r="L429" s="0">
        <v>2</v>
      </c>
      <c r="M429" s="0">
        <v>6</v>
      </c>
      <c r="N429" s="0">
        <v>0</v>
      </c>
      <c r="O429" s="0">
        <v>0</v>
      </c>
      <c r="P429" s="0">
        <v>0</v>
      </c>
      <c r="R429" s="0" t="b">
        <v>0</v>
      </c>
      <c r="S429" s="0" t="b">
        <v>1</v>
      </c>
      <c r="T429" s="68">
        <v>42766.7846990741</v>
      </c>
      <c r="U429" s="68">
        <v>42794.5</v>
      </c>
      <c r="V429" s="68">
        <v>0</v>
      </c>
      <c r="W429" s="0">
        <f>IF(IF(B429="none",1,IF(B429="Trialer",1,0))+IF(C429="Customer",1,IF(C429="Lost",1,0))=2,1,0)</f>
      </c>
      <c r="X429" s="0" t="s">
        <v>136</v>
      </c>
      <c r="Y429" s="0" t="s">
        <v>499</v>
      </c>
      <c r="AV429" s="68"/>
      <c r="AW429" s="68"/>
      <c r="AY429" s="27"/>
      <c r="BD429" s="68">
        <v>46054.1666666667</v>
      </c>
      <c r="BE429" s="68">
        <v>46082.1666666667</v>
      </c>
      <c r="BF429" s="0" t="b">
        <v>0</v>
      </c>
      <c r="BG429" s="0" t="b">
        <v>0</v>
      </c>
      <c r="BH429" s="0">
        <v>210</v>
      </c>
      <c r="BI429" s="0">
        <v>210</v>
      </c>
      <c r="BJ429" s="0" t="s">
        <v>135</v>
      </c>
    </row>
    <row r="430">
      <c r="A430" s="0" t="s">
        <v>611</v>
      </c>
      <c r="B430" s="0" t="s">
        <v>134</v>
      </c>
      <c r="C430" s="0" t="s">
        <v>134</v>
      </c>
      <c r="D430" s="0" t="s">
        <v>135</v>
      </c>
      <c r="E430" s="0" t="s">
        <v>3</v>
      </c>
      <c r="F430" s="0" t="s">
        <v>12</v>
      </c>
      <c r="G430" s="0" t="s">
        <v>8</v>
      </c>
      <c r="H430" s="0">
        <v>3285</v>
      </c>
      <c r="I430" s="0">
        <v>225</v>
      </c>
      <c r="J430" s="0">
        <v>0</v>
      </c>
      <c r="K430" s="0">
        <v>1</v>
      </c>
      <c r="L430" s="0">
        <v>3</v>
      </c>
      <c r="M430" s="0">
        <v>5</v>
      </c>
      <c r="N430" s="0">
        <v>0</v>
      </c>
      <c r="O430" s="0">
        <v>0</v>
      </c>
      <c r="P430" s="0">
        <v>0</v>
      </c>
      <c r="R430" s="0" t="b">
        <v>0</v>
      </c>
      <c r="S430" s="0" t="b">
        <v>1</v>
      </c>
      <c r="T430" s="68">
        <v>42768.4240046296</v>
      </c>
      <c r="U430" s="68">
        <v>42796.5</v>
      </c>
      <c r="V430" s="68">
        <v>0</v>
      </c>
      <c r="W430" s="0">
        <f>IF(IF(B430="none",1,IF(B430="Trialer",1,0))+IF(C430="Customer",1,IF(C430="Lost",1,0))=2,1,0)</f>
      </c>
      <c r="X430" s="0" t="s">
        <v>148</v>
      </c>
      <c r="Y430" s="0" t="s">
        <v>243</v>
      </c>
      <c r="AV430" s="68"/>
      <c r="AW430" s="68"/>
      <c r="AY430" s="27"/>
      <c r="BD430" s="68">
        <v>46054.1666666667</v>
      </c>
      <c r="BE430" s="68">
        <v>46082.1666666667</v>
      </c>
      <c r="BF430" s="0" t="b">
        <v>0</v>
      </c>
      <c r="BG430" s="0" t="b">
        <v>0</v>
      </c>
      <c r="BH430" s="0">
        <v>225</v>
      </c>
      <c r="BI430" s="0">
        <v>225</v>
      </c>
      <c r="BJ430" s="0" t="s">
        <v>135</v>
      </c>
    </row>
    <row r="431">
      <c r="A431" s="0" t="s">
        <v>612</v>
      </c>
      <c r="B431" s="0" t="s">
        <v>134</v>
      </c>
      <c r="C431" s="0" t="s">
        <v>134</v>
      </c>
      <c r="D431" s="0" t="s">
        <v>135</v>
      </c>
      <c r="E431" s="0" t="s">
        <v>3</v>
      </c>
      <c r="F431" s="0" t="s">
        <v>10</v>
      </c>
      <c r="G431" s="0" t="s">
        <v>8</v>
      </c>
      <c r="H431" s="0">
        <v>3283</v>
      </c>
      <c r="I431" s="0">
        <v>70</v>
      </c>
      <c r="J431" s="0">
        <v>0</v>
      </c>
      <c r="K431" s="0">
        <v>1</v>
      </c>
      <c r="L431" s="0">
        <v>2</v>
      </c>
      <c r="M431" s="0">
        <v>1</v>
      </c>
      <c r="N431" s="0">
        <v>0</v>
      </c>
      <c r="O431" s="0">
        <v>0</v>
      </c>
      <c r="P431" s="0">
        <v>0</v>
      </c>
      <c r="Q431" s="0" t="s">
        <v>266</v>
      </c>
      <c r="R431" s="0" t="b">
        <v>0</v>
      </c>
      <c r="S431" s="0" t="b">
        <v>1</v>
      </c>
      <c r="T431" s="68">
        <v>42770.925</v>
      </c>
      <c r="U431" s="68">
        <v>42798.5</v>
      </c>
      <c r="V431" s="68">
        <v>0</v>
      </c>
      <c r="W431" s="0">
        <f>IF(IF(B431="none",1,IF(B431="Trialer",1,0))+IF(C431="Customer",1,IF(C431="Lost",1,0))=2,1,0)</f>
      </c>
      <c r="X431" s="0" t="s">
        <v>148</v>
      </c>
      <c r="Y431" s="0" t="s">
        <v>613</v>
      </c>
      <c r="AV431" s="68"/>
      <c r="AW431" s="68"/>
      <c r="AY431" s="27"/>
      <c r="BD431" s="68">
        <v>46054.1666666667</v>
      </c>
      <c r="BE431" s="68">
        <v>46082.1666666667</v>
      </c>
      <c r="BF431" s="0" t="b">
        <v>0</v>
      </c>
      <c r="BG431" s="0" t="b">
        <v>0</v>
      </c>
      <c r="BH431" s="0">
        <v>70</v>
      </c>
      <c r="BI431" s="0">
        <v>70</v>
      </c>
      <c r="BJ431" s="0" t="s">
        <v>135</v>
      </c>
    </row>
    <row r="432">
      <c r="A432" s="0" t="s">
        <v>614</v>
      </c>
      <c r="B432" s="0" t="s">
        <v>134</v>
      </c>
      <c r="C432" s="0" t="s">
        <v>134</v>
      </c>
      <c r="D432" s="0" t="s">
        <v>230</v>
      </c>
      <c r="E432" s="0" t="s">
        <v>3</v>
      </c>
      <c r="F432" s="0" t="s">
        <v>10</v>
      </c>
      <c r="G432" s="0" t="s">
        <v>8</v>
      </c>
      <c r="H432" s="0">
        <v>3272</v>
      </c>
      <c r="I432" s="0">
        <v>55.8</v>
      </c>
      <c r="J432" s="0">
        <v>0</v>
      </c>
      <c r="K432" s="0">
        <v>1</v>
      </c>
      <c r="L432" s="0">
        <v>2</v>
      </c>
      <c r="M432" s="0">
        <v>2</v>
      </c>
      <c r="N432" s="0">
        <v>0</v>
      </c>
      <c r="O432" s="0">
        <v>0</v>
      </c>
      <c r="P432" s="0">
        <v>-55.8</v>
      </c>
      <c r="Q432" s="0" t="s">
        <v>615</v>
      </c>
      <c r="R432" s="0" t="b">
        <v>0</v>
      </c>
      <c r="S432" s="0" t="b">
        <v>1</v>
      </c>
      <c r="T432" s="68">
        <v>42781.4701388889</v>
      </c>
      <c r="U432" s="68">
        <v>42809.5416666667</v>
      </c>
      <c r="V432" s="68">
        <v>0</v>
      </c>
      <c r="W432" s="0">
        <f>IF(IF(B432="none",1,IF(B432="Trialer",1,0))+IF(C432="Customer",1,IF(C432="Lost",1,0))=2,1,0)</f>
      </c>
      <c r="X432" s="0" t="s">
        <v>136</v>
      </c>
      <c r="Y432" s="0" t="s">
        <v>487</v>
      </c>
      <c r="AV432" s="68"/>
      <c r="AW432" s="68"/>
      <c r="AY432" s="27"/>
      <c r="BD432" s="68">
        <v>46054.1666666667</v>
      </c>
      <c r="BE432" s="68">
        <v>46082.1666666667</v>
      </c>
      <c r="BF432" s="0" t="b">
        <v>0</v>
      </c>
      <c r="BG432" s="0" t="b">
        <v>0</v>
      </c>
      <c r="BH432" s="0">
        <v>62</v>
      </c>
      <c r="BI432" s="0">
        <v>62</v>
      </c>
      <c r="BJ432" s="0" t="s">
        <v>230</v>
      </c>
    </row>
    <row r="433">
      <c r="A433" s="0" t="s">
        <v>616</v>
      </c>
      <c r="B433" s="0" t="s">
        <v>134</v>
      </c>
      <c r="C433" s="0" t="s">
        <v>134</v>
      </c>
      <c r="D433" s="0" t="s">
        <v>135</v>
      </c>
      <c r="E433" s="0" t="s">
        <v>2</v>
      </c>
      <c r="F433" s="0" t="s">
        <v>12</v>
      </c>
      <c r="G433" s="0" t="s">
        <v>8</v>
      </c>
      <c r="H433" s="0">
        <v>3270</v>
      </c>
      <c r="I433" s="0">
        <v>250</v>
      </c>
      <c r="J433" s="0">
        <v>0</v>
      </c>
      <c r="K433" s="0">
        <v>1</v>
      </c>
      <c r="L433" s="0">
        <v>3</v>
      </c>
      <c r="M433" s="0">
        <v>6</v>
      </c>
      <c r="N433" s="0">
        <v>0</v>
      </c>
      <c r="O433" s="0">
        <v>0</v>
      </c>
      <c r="P433" s="0">
        <v>0</v>
      </c>
      <c r="R433" s="0" t="b">
        <v>0</v>
      </c>
      <c r="S433" s="0" t="b">
        <v>1</v>
      </c>
      <c r="T433" s="68">
        <v>42783.6821643518</v>
      </c>
      <c r="U433" s="68">
        <v>42811.5416666667</v>
      </c>
      <c r="V433" s="68">
        <v>0</v>
      </c>
      <c r="W433" s="0">
        <f>IF(IF(B433="none",1,IF(B433="Trialer",1,0))+IF(C433="Customer",1,IF(C433="Lost",1,0))=2,1,0)</f>
      </c>
      <c r="X433" s="0" t="s">
        <v>145</v>
      </c>
      <c r="Y433" s="0" t="s">
        <v>499</v>
      </c>
      <c r="AV433" s="68"/>
      <c r="AW433" s="68"/>
      <c r="AY433" s="27"/>
      <c r="BD433" s="68">
        <v>46054.1666666667</v>
      </c>
      <c r="BE433" s="68">
        <v>46082.1666666667</v>
      </c>
      <c r="BF433" s="0" t="b">
        <v>0</v>
      </c>
      <c r="BG433" s="0" t="b">
        <v>0</v>
      </c>
      <c r="BH433" s="0">
        <v>250</v>
      </c>
      <c r="BI433" s="0">
        <v>250</v>
      </c>
      <c r="BJ433" s="0" t="s">
        <v>135</v>
      </c>
    </row>
    <row r="434">
      <c r="A434" s="0" t="s">
        <v>617</v>
      </c>
      <c r="B434" s="0" t="s">
        <v>134</v>
      </c>
      <c r="C434" s="0" t="s">
        <v>134</v>
      </c>
      <c r="D434" s="0" t="s">
        <v>135</v>
      </c>
      <c r="E434" s="0" t="s">
        <v>3</v>
      </c>
      <c r="F434" s="0" t="s">
        <v>10</v>
      </c>
      <c r="G434" s="0" t="s">
        <v>8</v>
      </c>
      <c r="H434" s="0">
        <v>3267</v>
      </c>
      <c r="I434" s="0">
        <v>75</v>
      </c>
      <c r="J434" s="0">
        <v>0</v>
      </c>
      <c r="K434" s="0">
        <v>1</v>
      </c>
      <c r="L434" s="0">
        <v>1</v>
      </c>
      <c r="M434" s="0">
        <v>3</v>
      </c>
      <c r="N434" s="0">
        <v>0</v>
      </c>
      <c r="O434" s="0">
        <v>0</v>
      </c>
      <c r="P434" s="0">
        <v>0</v>
      </c>
      <c r="Q434" s="0" t="s">
        <v>618</v>
      </c>
      <c r="R434" s="0" t="b">
        <v>0</v>
      </c>
      <c r="S434" s="0" t="b">
        <v>1</v>
      </c>
      <c r="T434" s="68">
        <v>42786.6347222222</v>
      </c>
      <c r="U434" s="68">
        <v>42818.5</v>
      </c>
      <c r="V434" s="68">
        <v>0</v>
      </c>
      <c r="W434" s="0">
        <f>IF(IF(B434="none",1,IF(B434="Trialer",1,0))+IF(C434="Customer",1,IF(C434="Lost",1,0))=2,1,0)</f>
      </c>
      <c r="X434" s="0" t="s">
        <v>148</v>
      </c>
      <c r="Y434" s="0" t="s">
        <v>243</v>
      </c>
      <c r="AV434" s="68"/>
      <c r="AW434" s="68"/>
      <c r="AY434" s="27"/>
      <c r="BD434" s="68">
        <v>46054.1666666667</v>
      </c>
      <c r="BE434" s="68">
        <v>46082.1666666667</v>
      </c>
      <c r="BF434" s="0" t="b">
        <v>0</v>
      </c>
      <c r="BG434" s="0" t="b">
        <v>0</v>
      </c>
      <c r="BH434" s="0">
        <v>75</v>
      </c>
      <c r="BI434" s="0">
        <v>75</v>
      </c>
      <c r="BJ434" s="0" t="s">
        <v>135</v>
      </c>
    </row>
    <row r="435">
      <c r="A435" s="0" t="s">
        <v>619</v>
      </c>
      <c r="B435" s="0" t="s">
        <v>134</v>
      </c>
      <c r="C435" s="0" t="s">
        <v>134</v>
      </c>
      <c r="D435" s="0" t="s">
        <v>135</v>
      </c>
      <c r="E435" s="0" t="s">
        <v>3</v>
      </c>
      <c r="F435" s="0" t="s">
        <v>12</v>
      </c>
      <c r="G435" s="0" t="s">
        <v>8</v>
      </c>
      <c r="H435" s="0">
        <v>3267</v>
      </c>
      <c r="I435" s="0">
        <v>45</v>
      </c>
      <c r="J435" s="0">
        <v>0</v>
      </c>
      <c r="K435" s="0">
        <v>1</v>
      </c>
      <c r="L435" s="0">
        <v>3</v>
      </c>
      <c r="M435" s="0">
        <v>1</v>
      </c>
      <c r="N435" s="0">
        <v>0</v>
      </c>
      <c r="O435" s="0">
        <v>0</v>
      </c>
      <c r="P435" s="0">
        <v>0</v>
      </c>
      <c r="R435" s="0" t="b">
        <v>0</v>
      </c>
      <c r="S435" s="0" t="b">
        <v>1</v>
      </c>
      <c r="T435" s="68">
        <v>42786.693900463</v>
      </c>
      <c r="U435" s="68">
        <v>42814.5416666667</v>
      </c>
      <c r="V435" s="68">
        <v>0</v>
      </c>
      <c r="W435" s="0">
        <f>IF(IF(B435="none",1,IF(B435="Trialer",1,0))+IF(C435="Customer",1,IF(C435="Lost",1,0))=2,1,0)</f>
      </c>
      <c r="X435" s="0" t="s">
        <v>166</v>
      </c>
      <c r="Y435" s="0" t="s">
        <v>243</v>
      </c>
      <c r="AV435" s="68"/>
      <c r="AW435" s="68"/>
      <c r="AY435" s="27"/>
      <c r="BD435" s="68">
        <v>46054.1666666667</v>
      </c>
      <c r="BE435" s="68">
        <v>46082.1666666667</v>
      </c>
      <c r="BF435" s="0" t="b">
        <v>0</v>
      </c>
      <c r="BG435" s="0" t="b">
        <v>0</v>
      </c>
      <c r="BH435" s="0">
        <v>45</v>
      </c>
      <c r="BI435" s="0">
        <v>45</v>
      </c>
      <c r="BJ435" s="0" t="s">
        <v>135</v>
      </c>
    </row>
    <row r="436">
      <c r="A436" s="0" t="s">
        <v>620</v>
      </c>
      <c r="B436" s="0" t="s">
        <v>134</v>
      </c>
      <c r="C436" s="0" t="s">
        <v>134</v>
      </c>
      <c r="D436" s="0" t="s">
        <v>135</v>
      </c>
      <c r="E436" s="0" t="s">
        <v>3</v>
      </c>
      <c r="F436" s="0" t="s">
        <v>10</v>
      </c>
      <c r="G436" s="0" t="s">
        <v>8</v>
      </c>
      <c r="H436" s="0">
        <v>3264</v>
      </c>
      <c r="I436" s="0">
        <v>50</v>
      </c>
      <c r="J436" s="0">
        <v>0</v>
      </c>
      <c r="K436" s="0">
        <v>1</v>
      </c>
      <c r="L436" s="0">
        <v>1</v>
      </c>
      <c r="M436" s="0">
        <v>2</v>
      </c>
      <c r="N436" s="0">
        <v>0</v>
      </c>
      <c r="O436" s="0">
        <v>0</v>
      </c>
      <c r="P436" s="0">
        <v>0</v>
      </c>
      <c r="Q436" s="0" t="s">
        <v>618</v>
      </c>
      <c r="R436" s="0" t="b">
        <v>0</v>
      </c>
      <c r="S436" s="0" t="b">
        <v>1</v>
      </c>
      <c r="T436" s="68">
        <v>42789.5</v>
      </c>
      <c r="U436" s="68">
        <v>42823.5</v>
      </c>
      <c r="V436" s="68">
        <v>0</v>
      </c>
      <c r="W436" s="0">
        <f>IF(IF(B436="none",1,IF(B436="Trialer",1,0))+IF(C436="Customer",1,IF(C436="Lost",1,0))=2,1,0)</f>
      </c>
      <c r="X436" s="0" t="s">
        <v>148</v>
      </c>
      <c r="Y436" s="0" t="s">
        <v>243</v>
      </c>
      <c r="AV436" s="68"/>
      <c r="AW436" s="68"/>
      <c r="AY436" s="27"/>
      <c r="BD436" s="68">
        <v>46054.1666666667</v>
      </c>
      <c r="BE436" s="68">
        <v>46082.1666666667</v>
      </c>
      <c r="BF436" s="0" t="b">
        <v>0</v>
      </c>
      <c r="BG436" s="0" t="b">
        <v>0</v>
      </c>
      <c r="BH436" s="0">
        <v>50</v>
      </c>
      <c r="BI436" s="0">
        <v>50</v>
      </c>
      <c r="BJ436" s="0" t="s">
        <v>135</v>
      </c>
    </row>
    <row r="437">
      <c r="A437" s="0" t="s">
        <v>621</v>
      </c>
      <c r="B437" s="0" t="s">
        <v>134</v>
      </c>
      <c r="C437" s="0" t="s">
        <v>134</v>
      </c>
      <c r="D437" s="0" t="s">
        <v>230</v>
      </c>
      <c r="E437" s="0" t="s">
        <v>2</v>
      </c>
      <c r="F437" s="0" t="s">
        <v>12</v>
      </c>
      <c r="G437" s="0" t="s">
        <v>8</v>
      </c>
      <c r="H437" s="0">
        <v>3263</v>
      </c>
      <c r="I437" s="0">
        <v>112.5</v>
      </c>
      <c r="J437" s="0">
        <v>0</v>
      </c>
      <c r="K437" s="0">
        <v>1</v>
      </c>
      <c r="L437" s="0">
        <v>3</v>
      </c>
      <c r="M437" s="0">
        <v>3</v>
      </c>
      <c r="N437" s="0">
        <v>0</v>
      </c>
      <c r="O437" s="0">
        <v>0</v>
      </c>
      <c r="P437" s="0">
        <v>-112.5</v>
      </c>
      <c r="R437" s="0" t="b">
        <v>0</v>
      </c>
      <c r="S437" s="0" t="b">
        <v>1</v>
      </c>
      <c r="T437" s="68">
        <v>42790.7206597222</v>
      </c>
      <c r="U437" s="68">
        <v>42821.5416666667</v>
      </c>
      <c r="V437" s="68">
        <v>0</v>
      </c>
      <c r="W437" s="0">
        <f>IF(IF(B437="none",1,IF(B437="Trialer",1,0))+IF(C437="Customer",1,IF(C437="Lost",1,0))=2,1,0)</f>
      </c>
      <c r="X437" s="0" t="s">
        <v>142</v>
      </c>
      <c r="Y437" s="0" t="s">
        <v>499</v>
      </c>
      <c r="AV437" s="68"/>
      <c r="AW437" s="68"/>
      <c r="AY437" s="27"/>
      <c r="BD437" s="68">
        <v>46054.1666666667</v>
      </c>
      <c r="BE437" s="68">
        <v>46082.1666666667</v>
      </c>
      <c r="BF437" s="0" t="b">
        <v>0</v>
      </c>
      <c r="BG437" s="0" t="b">
        <v>0</v>
      </c>
      <c r="BH437" s="0">
        <v>125</v>
      </c>
      <c r="BI437" s="0">
        <v>125</v>
      </c>
      <c r="BJ437" s="0" t="s">
        <v>230</v>
      </c>
    </row>
    <row r="438">
      <c r="A438" s="0" t="s">
        <v>622</v>
      </c>
      <c r="B438" s="0" t="s">
        <v>134</v>
      </c>
      <c r="C438" s="0" t="s">
        <v>134</v>
      </c>
      <c r="D438" s="0" t="s">
        <v>135</v>
      </c>
      <c r="E438" s="0" t="s">
        <v>2</v>
      </c>
      <c r="F438" s="0" t="s">
        <v>12</v>
      </c>
      <c r="G438" s="0" t="s">
        <v>8</v>
      </c>
      <c r="H438" s="0">
        <v>3258</v>
      </c>
      <c r="I438" s="0">
        <v>0</v>
      </c>
      <c r="J438" s="0">
        <v>0</v>
      </c>
      <c r="K438" s="0">
        <v>1</v>
      </c>
      <c r="L438" s="0">
        <v>1</v>
      </c>
      <c r="M438" s="0">
        <v>1</v>
      </c>
      <c r="N438" s="0">
        <v>0</v>
      </c>
      <c r="O438" s="0">
        <v>0</v>
      </c>
      <c r="P438" s="0">
        <v>0</v>
      </c>
      <c r="R438" s="0" t="b">
        <v>0</v>
      </c>
      <c r="S438" s="0" t="b">
        <v>1</v>
      </c>
      <c r="T438" s="68">
        <v>42795.6152777778</v>
      </c>
      <c r="U438" s="68">
        <v>42826.5416666667</v>
      </c>
      <c r="V438" s="68">
        <v>0</v>
      </c>
      <c r="W438" s="0">
        <f>IF(IF(B438="none",1,IF(B438="Trialer",1,0))+IF(C438="Customer",1,IF(C438="Lost",1,0))=2,1,0)</f>
      </c>
      <c r="X438" s="0" t="s">
        <v>148</v>
      </c>
      <c r="Y438" s="0" t="s">
        <v>499</v>
      </c>
      <c r="AV438" s="68"/>
      <c r="AW438" s="68"/>
      <c r="AY438" s="27"/>
      <c r="BD438" s="68">
        <v>46054.1666666667</v>
      </c>
      <c r="BE438" s="68">
        <v>46082.1666666667</v>
      </c>
      <c r="BF438" s="0" t="b">
        <v>0</v>
      </c>
      <c r="BG438" s="0" t="b">
        <v>0</v>
      </c>
      <c r="BH438" s="0">
        <v>0</v>
      </c>
      <c r="BI438" s="0">
        <v>0</v>
      </c>
      <c r="BJ438" s="0" t="s">
        <v>135</v>
      </c>
    </row>
    <row r="439">
      <c r="A439" s="0" t="s">
        <v>623</v>
      </c>
      <c r="B439" s="0" t="s">
        <v>134</v>
      </c>
      <c r="C439" s="0" t="s">
        <v>134</v>
      </c>
      <c r="D439" s="0" t="s">
        <v>135</v>
      </c>
      <c r="E439" s="0" t="s">
        <v>2</v>
      </c>
      <c r="F439" s="0" t="s">
        <v>12</v>
      </c>
      <c r="G439" s="0" t="s">
        <v>8</v>
      </c>
      <c r="H439" s="0">
        <v>3256</v>
      </c>
      <c r="I439" s="0">
        <v>1984</v>
      </c>
      <c r="J439" s="0">
        <v>0</v>
      </c>
      <c r="K439" s="0">
        <v>1</v>
      </c>
      <c r="L439" s="0">
        <v>6</v>
      </c>
      <c r="M439" s="0">
        <v>33</v>
      </c>
      <c r="N439" s="0">
        <v>418.5</v>
      </c>
      <c r="O439" s="0">
        <v>0</v>
      </c>
      <c r="P439" s="0">
        <v>0</v>
      </c>
      <c r="R439" s="0" t="b">
        <v>0</v>
      </c>
      <c r="S439" s="0" t="b">
        <v>1</v>
      </c>
      <c r="T439" s="68">
        <v>42797.6472222222</v>
      </c>
      <c r="U439" s="68">
        <v>42828.5416666667</v>
      </c>
      <c r="V439" s="68">
        <v>0</v>
      </c>
      <c r="W439" s="0">
        <f>IF(IF(B439="none",1,IF(B439="Trialer",1,0))+IF(C439="Customer",1,IF(C439="Lost",1,0))=2,1,0)</f>
      </c>
      <c r="X439" s="0" t="s">
        <v>145</v>
      </c>
      <c r="Y439" s="0" t="s">
        <v>499</v>
      </c>
      <c r="AV439" s="68"/>
      <c r="AW439" s="68"/>
      <c r="AY439" s="27"/>
      <c r="BD439" s="68">
        <v>46054.1666666667</v>
      </c>
      <c r="BE439" s="68">
        <v>46082.1666666667</v>
      </c>
      <c r="BF439" s="0" t="b">
        <v>0</v>
      </c>
      <c r="BG439" s="0" t="b">
        <v>0</v>
      </c>
      <c r="BH439" s="0">
        <v>1669</v>
      </c>
      <c r="BI439" s="0">
        <v>1669</v>
      </c>
      <c r="BJ439" s="0" t="s">
        <v>135</v>
      </c>
    </row>
    <row r="440">
      <c r="A440" s="0" t="s">
        <v>624</v>
      </c>
      <c r="B440" s="0" t="s">
        <v>134</v>
      </c>
      <c r="C440" s="0" t="s">
        <v>134</v>
      </c>
      <c r="D440" s="0" t="s">
        <v>230</v>
      </c>
      <c r="E440" s="0" t="s">
        <v>2</v>
      </c>
      <c r="F440" s="0" t="s">
        <v>12</v>
      </c>
      <c r="G440" s="0" t="s">
        <v>8</v>
      </c>
      <c r="H440" s="0">
        <v>3251</v>
      </c>
      <c r="I440" s="0">
        <v>63</v>
      </c>
      <c r="J440" s="0">
        <v>0</v>
      </c>
      <c r="K440" s="0">
        <v>1</v>
      </c>
      <c r="L440" s="0">
        <v>2</v>
      </c>
      <c r="M440" s="0">
        <v>2</v>
      </c>
      <c r="N440" s="0">
        <v>0</v>
      </c>
      <c r="O440" s="0">
        <v>0</v>
      </c>
      <c r="P440" s="0">
        <v>-63</v>
      </c>
      <c r="R440" s="0" t="b">
        <v>0</v>
      </c>
      <c r="S440" s="0" t="b">
        <v>1</v>
      </c>
      <c r="T440" s="68">
        <v>42802.6601967593</v>
      </c>
      <c r="U440" s="68">
        <v>42833.5416666667</v>
      </c>
      <c r="V440" s="68">
        <v>0</v>
      </c>
      <c r="W440" s="0">
        <f>IF(IF(B440="none",1,IF(B440="Trialer",1,0))+IF(C440="Customer",1,IF(C440="Lost",1,0))=2,1,0)</f>
      </c>
      <c r="X440" s="0" t="s">
        <v>153</v>
      </c>
      <c r="Y440" s="0" t="s">
        <v>499</v>
      </c>
      <c r="AV440" s="68"/>
      <c r="AW440" s="68"/>
      <c r="AY440" s="27"/>
      <c r="BD440" s="68">
        <v>46054.1666666667</v>
      </c>
      <c r="BE440" s="68">
        <v>46082.1666666667</v>
      </c>
      <c r="BF440" s="0" t="b">
        <v>0</v>
      </c>
      <c r="BG440" s="0" t="b">
        <v>0</v>
      </c>
      <c r="BH440" s="0">
        <v>70</v>
      </c>
      <c r="BI440" s="0">
        <v>70</v>
      </c>
      <c r="BJ440" s="0" t="s">
        <v>230</v>
      </c>
    </row>
    <row r="441">
      <c r="A441" s="0" t="s">
        <v>625</v>
      </c>
      <c r="B441" s="0" t="s">
        <v>134</v>
      </c>
      <c r="C441" s="0" t="s">
        <v>134</v>
      </c>
      <c r="D441" s="0" t="s">
        <v>230</v>
      </c>
      <c r="E441" s="0" t="s">
        <v>2</v>
      </c>
      <c r="F441" s="0" t="s">
        <v>12</v>
      </c>
      <c r="G441" s="0" t="s">
        <v>8</v>
      </c>
      <c r="H441" s="0">
        <v>3251</v>
      </c>
      <c r="I441" s="0">
        <v>108</v>
      </c>
      <c r="J441" s="0">
        <v>0</v>
      </c>
      <c r="K441" s="0">
        <v>1</v>
      </c>
      <c r="L441" s="0">
        <v>2</v>
      </c>
      <c r="M441" s="0">
        <v>4</v>
      </c>
      <c r="N441" s="0">
        <v>0</v>
      </c>
      <c r="O441" s="0">
        <v>0</v>
      </c>
      <c r="P441" s="0">
        <v>-108</v>
      </c>
      <c r="R441" s="0" t="b">
        <v>0</v>
      </c>
      <c r="S441" s="0" t="b">
        <v>1</v>
      </c>
      <c r="T441" s="68">
        <v>42802.6825</v>
      </c>
      <c r="U441" s="68">
        <v>42833.5416666667</v>
      </c>
      <c r="V441" s="68">
        <v>0</v>
      </c>
      <c r="W441" s="0">
        <f>IF(IF(B441="none",1,IF(B441="Trialer",1,0))+IF(C441="Customer",1,IF(C441="Lost",1,0))=2,1,0)</f>
      </c>
      <c r="X441" s="0" t="s">
        <v>148</v>
      </c>
      <c r="Y441" s="0" t="s">
        <v>499</v>
      </c>
      <c r="AV441" s="68"/>
      <c r="AW441" s="68"/>
      <c r="AY441" s="27"/>
      <c r="BD441" s="68">
        <v>46054.1666666667</v>
      </c>
      <c r="BE441" s="68">
        <v>46082.1666666667</v>
      </c>
      <c r="BF441" s="0" t="b">
        <v>0</v>
      </c>
      <c r="BG441" s="0" t="b">
        <v>0</v>
      </c>
      <c r="BH441" s="0">
        <v>120</v>
      </c>
      <c r="BI441" s="0">
        <v>120</v>
      </c>
      <c r="BJ441" s="0" t="s">
        <v>230</v>
      </c>
    </row>
    <row r="442">
      <c r="A442" s="0" t="s">
        <v>626</v>
      </c>
      <c r="B442" s="0" t="s">
        <v>134</v>
      </c>
      <c r="C442" s="0" t="s">
        <v>134</v>
      </c>
      <c r="D442" s="0" t="s">
        <v>230</v>
      </c>
      <c r="E442" s="0" t="s">
        <v>3</v>
      </c>
      <c r="F442" s="0" t="s">
        <v>12</v>
      </c>
      <c r="G442" s="0" t="s">
        <v>8</v>
      </c>
      <c r="H442" s="0">
        <v>3246</v>
      </c>
      <c r="I442" s="0">
        <v>67.5</v>
      </c>
      <c r="J442" s="0">
        <v>0</v>
      </c>
      <c r="K442" s="0">
        <v>1</v>
      </c>
      <c r="L442" s="0">
        <v>1</v>
      </c>
      <c r="M442" s="0">
        <v>3</v>
      </c>
      <c r="N442" s="0">
        <v>0</v>
      </c>
      <c r="O442" s="0">
        <v>0</v>
      </c>
      <c r="P442" s="0">
        <v>-67.5</v>
      </c>
      <c r="R442" s="0" t="b">
        <v>0</v>
      </c>
      <c r="S442" s="0" t="b">
        <v>1</v>
      </c>
      <c r="T442" s="68">
        <v>42807.5542708333</v>
      </c>
      <c r="U442" s="68">
        <v>42839.5416666667</v>
      </c>
      <c r="V442" s="68">
        <v>0</v>
      </c>
      <c r="W442" s="0">
        <f>IF(IF(B442="none",1,IF(B442="Trialer",1,0))+IF(C442="Customer",1,IF(C442="Lost",1,0))=2,1,0)</f>
      </c>
      <c r="X442" s="0" t="s">
        <v>166</v>
      </c>
      <c r="Y442" s="0" t="s">
        <v>487</v>
      </c>
      <c r="AV442" s="68"/>
      <c r="AW442" s="68"/>
      <c r="AY442" s="27"/>
      <c r="BD442" s="68">
        <v>46054.1666666667</v>
      </c>
      <c r="BE442" s="68">
        <v>46082.1666666667</v>
      </c>
      <c r="BF442" s="0" t="b">
        <v>0</v>
      </c>
      <c r="BG442" s="0" t="b">
        <v>0</v>
      </c>
      <c r="BH442" s="0">
        <v>75</v>
      </c>
      <c r="BI442" s="0">
        <v>75</v>
      </c>
      <c r="BJ442" s="0" t="s">
        <v>230</v>
      </c>
    </row>
    <row r="443">
      <c r="A443" s="0" t="s">
        <v>627</v>
      </c>
      <c r="B443" s="0" t="s">
        <v>134</v>
      </c>
      <c r="C443" s="0" t="s">
        <v>134</v>
      </c>
      <c r="D443" s="0" t="s">
        <v>135</v>
      </c>
      <c r="E443" s="0" t="s">
        <v>3</v>
      </c>
      <c r="F443" s="0" t="s">
        <v>12</v>
      </c>
      <c r="G443" s="0" t="s">
        <v>8</v>
      </c>
      <c r="H443" s="0">
        <v>3243</v>
      </c>
      <c r="I443" s="0">
        <v>0</v>
      </c>
      <c r="J443" s="0">
        <v>0</v>
      </c>
      <c r="K443" s="0">
        <v>1</v>
      </c>
      <c r="L443" s="0">
        <v>4</v>
      </c>
      <c r="M443" s="0">
        <v>2</v>
      </c>
      <c r="N443" s="0">
        <v>0</v>
      </c>
      <c r="O443" s="0">
        <v>0</v>
      </c>
      <c r="P443" s="0">
        <v>0</v>
      </c>
      <c r="R443" s="0" t="b">
        <v>0</v>
      </c>
      <c r="S443" s="0" t="b">
        <v>1</v>
      </c>
      <c r="T443" s="68">
        <v>42810.7013888889</v>
      </c>
      <c r="U443" s="68">
        <v>42841.5416666667</v>
      </c>
      <c r="V443" s="68">
        <v>0</v>
      </c>
      <c r="W443" s="0">
        <f>IF(IF(B443="none",1,IF(B443="Trialer",1,0))+IF(C443="Customer",1,IF(C443="Lost",1,0))=2,1,0)</f>
      </c>
      <c r="X443" s="0" t="s">
        <v>153</v>
      </c>
      <c r="Y443" s="0" t="s">
        <v>243</v>
      </c>
      <c r="AV443" s="68"/>
      <c r="AW443" s="68"/>
      <c r="AY443" s="27"/>
      <c r="BD443" s="68">
        <v>46054.1666666667</v>
      </c>
      <c r="BE443" s="68">
        <v>46082.1666666667</v>
      </c>
      <c r="BF443" s="0" t="b">
        <v>0</v>
      </c>
      <c r="BG443" s="0" t="b">
        <v>0</v>
      </c>
      <c r="BH443" s="0">
        <v>0</v>
      </c>
      <c r="BI443" s="0">
        <v>0</v>
      </c>
      <c r="BJ443" s="0" t="s">
        <v>135</v>
      </c>
    </row>
    <row r="444">
      <c r="A444" s="0" t="s">
        <v>628</v>
      </c>
      <c r="B444" s="0" t="s">
        <v>134</v>
      </c>
      <c r="C444" s="0" t="s">
        <v>134</v>
      </c>
      <c r="D444" s="0" t="s">
        <v>230</v>
      </c>
      <c r="E444" s="0" t="s">
        <v>2</v>
      </c>
      <c r="F444" s="0" t="s">
        <v>12</v>
      </c>
      <c r="G444" s="0" t="s">
        <v>8</v>
      </c>
      <c r="H444" s="0">
        <v>3239</v>
      </c>
      <c r="I444" s="0">
        <v>22.5</v>
      </c>
      <c r="J444" s="0">
        <v>0</v>
      </c>
      <c r="K444" s="0">
        <v>1</v>
      </c>
      <c r="L444" s="0">
        <v>1</v>
      </c>
      <c r="M444" s="0">
        <v>1</v>
      </c>
      <c r="N444" s="0">
        <v>0</v>
      </c>
      <c r="O444" s="0">
        <v>0</v>
      </c>
      <c r="P444" s="0">
        <v>-22.5</v>
      </c>
      <c r="R444" s="0" t="b">
        <v>0</v>
      </c>
      <c r="S444" s="0" t="b">
        <v>1</v>
      </c>
      <c r="T444" s="68">
        <v>42814.3961226852</v>
      </c>
      <c r="U444" s="68">
        <v>42845.5416666667</v>
      </c>
      <c r="V444" s="68">
        <v>0</v>
      </c>
      <c r="W444" s="0">
        <f>IF(IF(B444="none",1,IF(B444="Trialer",1,0))+IF(C444="Customer",1,IF(C444="Lost",1,0))=2,1,0)</f>
      </c>
      <c r="X444" s="0" t="s">
        <v>142</v>
      </c>
      <c r="Y444" s="0" t="s">
        <v>499</v>
      </c>
      <c r="AV444" s="68"/>
      <c r="AW444" s="68"/>
      <c r="AY444" s="27"/>
      <c r="BD444" s="68">
        <v>46054.1666666667</v>
      </c>
      <c r="BE444" s="68">
        <v>46082.1666666667</v>
      </c>
      <c r="BF444" s="0" t="b">
        <v>0</v>
      </c>
      <c r="BG444" s="0" t="b">
        <v>0</v>
      </c>
      <c r="BH444" s="0">
        <v>25</v>
      </c>
      <c r="BI444" s="0">
        <v>25</v>
      </c>
      <c r="BJ444" s="0" t="s">
        <v>230</v>
      </c>
    </row>
    <row r="445">
      <c r="A445" s="0" t="s">
        <v>629</v>
      </c>
      <c r="B445" s="0" t="s">
        <v>134</v>
      </c>
      <c r="C445" s="0" t="s">
        <v>134</v>
      </c>
      <c r="D445" s="0" t="s">
        <v>135</v>
      </c>
      <c r="E445" s="0" t="s">
        <v>2</v>
      </c>
      <c r="F445" s="0" t="s">
        <v>12</v>
      </c>
      <c r="G445" s="0" t="s">
        <v>8</v>
      </c>
      <c r="H445" s="0">
        <v>3237</v>
      </c>
      <c r="I445" s="0">
        <v>450</v>
      </c>
      <c r="J445" s="0">
        <v>0</v>
      </c>
      <c r="K445" s="0">
        <v>1</v>
      </c>
      <c r="L445" s="0">
        <v>1</v>
      </c>
      <c r="M445" s="0">
        <v>18</v>
      </c>
      <c r="N445" s="0">
        <v>0</v>
      </c>
      <c r="O445" s="0">
        <v>0</v>
      </c>
      <c r="P445" s="0">
        <v>0</v>
      </c>
      <c r="R445" s="0" t="b">
        <v>0</v>
      </c>
      <c r="S445" s="0" t="b">
        <v>1</v>
      </c>
      <c r="T445" s="68">
        <v>42816.516712963</v>
      </c>
      <c r="U445" s="68">
        <v>42847.5416666667</v>
      </c>
      <c r="V445" s="68">
        <v>0</v>
      </c>
      <c r="W445" s="0">
        <f>IF(IF(B445="none",1,IF(B445="Trialer",1,0))+IF(C445="Customer",1,IF(C445="Lost",1,0))=2,1,0)</f>
      </c>
      <c r="X445" s="0" t="s">
        <v>148</v>
      </c>
      <c r="Y445" s="0" t="s">
        <v>499</v>
      </c>
      <c r="AV445" s="68"/>
      <c r="AW445" s="68"/>
      <c r="AY445" s="27"/>
      <c r="BD445" s="68">
        <v>46054.1666666667</v>
      </c>
      <c r="BE445" s="68">
        <v>46082.1666666667</v>
      </c>
      <c r="BF445" s="0" t="b">
        <v>0</v>
      </c>
      <c r="BG445" s="0" t="b">
        <v>0</v>
      </c>
      <c r="BH445" s="0">
        <v>50</v>
      </c>
      <c r="BI445" s="0">
        <v>50</v>
      </c>
      <c r="BJ445" s="0" t="s">
        <v>135</v>
      </c>
    </row>
    <row r="446">
      <c r="A446" s="0" t="s">
        <v>630</v>
      </c>
      <c r="B446" s="0" t="s">
        <v>134</v>
      </c>
      <c r="C446" s="0" t="s">
        <v>134</v>
      </c>
      <c r="D446" s="0" t="s">
        <v>135</v>
      </c>
      <c r="E446" s="0" t="s">
        <v>2</v>
      </c>
      <c r="F446" s="0" t="s">
        <v>10</v>
      </c>
      <c r="G446" s="0" t="s">
        <v>7</v>
      </c>
      <c r="H446" s="0">
        <v>3228</v>
      </c>
      <c r="I446" s="0">
        <v>120</v>
      </c>
      <c r="J446" s="0">
        <v>0</v>
      </c>
      <c r="K446" s="0">
        <v>1</v>
      </c>
      <c r="L446" s="0">
        <v>1</v>
      </c>
      <c r="M446" s="0">
        <v>3</v>
      </c>
      <c r="N446" s="0">
        <v>0</v>
      </c>
      <c r="O446" s="0">
        <v>0</v>
      </c>
      <c r="P446" s="0">
        <v>0</v>
      </c>
      <c r="Q446" s="0" t="s">
        <v>266</v>
      </c>
      <c r="R446" s="0" t="b">
        <v>0</v>
      </c>
      <c r="S446" s="0" t="b">
        <v>1</v>
      </c>
      <c r="T446" s="68">
        <v>42825.5</v>
      </c>
      <c r="U446" s="68">
        <v>42863.5416666667</v>
      </c>
      <c r="V446" s="68">
        <v>0</v>
      </c>
      <c r="W446" s="0">
        <f>IF(IF(B446="none",1,IF(B446="Trialer",1,0))+IF(C446="Customer",1,IF(C446="Lost",1,0))=2,1,0)</f>
      </c>
      <c r="X446" s="0" t="s">
        <v>148</v>
      </c>
      <c r="Y446" s="0" t="s">
        <v>499</v>
      </c>
      <c r="AV446" s="68"/>
      <c r="AW446" s="68"/>
      <c r="AY446" s="27"/>
      <c r="BD446" s="68">
        <v>46054.1666666667</v>
      </c>
      <c r="BE446" s="68">
        <v>46082.1666666667</v>
      </c>
      <c r="BF446" s="0" t="b">
        <v>0</v>
      </c>
      <c r="BG446" s="0" t="b">
        <v>0</v>
      </c>
      <c r="BH446" s="0">
        <v>120</v>
      </c>
      <c r="BI446" s="0">
        <v>120</v>
      </c>
      <c r="BJ446" s="0" t="s">
        <v>135</v>
      </c>
    </row>
    <row r="447">
      <c r="A447" s="0" t="s">
        <v>631</v>
      </c>
      <c r="B447" s="0" t="s">
        <v>134</v>
      </c>
      <c r="C447" s="0" t="s">
        <v>134</v>
      </c>
      <c r="D447" s="0" t="s">
        <v>230</v>
      </c>
      <c r="E447" s="0" t="s">
        <v>3</v>
      </c>
      <c r="F447" s="0" t="s">
        <v>12</v>
      </c>
      <c r="G447" s="0" t="s">
        <v>8</v>
      </c>
      <c r="H447" s="0">
        <v>3228</v>
      </c>
      <c r="I447" s="0">
        <v>67.5</v>
      </c>
      <c r="J447" s="0">
        <v>0</v>
      </c>
      <c r="K447" s="0">
        <v>1</v>
      </c>
      <c r="L447" s="0">
        <v>1</v>
      </c>
      <c r="M447" s="0">
        <v>3</v>
      </c>
      <c r="N447" s="0">
        <v>0</v>
      </c>
      <c r="O447" s="0">
        <v>0</v>
      </c>
      <c r="P447" s="0">
        <v>-67.5</v>
      </c>
      <c r="R447" s="0" t="b">
        <v>0</v>
      </c>
      <c r="S447" s="0" t="b">
        <v>1</v>
      </c>
      <c r="T447" s="68">
        <v>42825.7218865741</v>
      </c>
      <c r="U447" s="68">
        <v>42855.5416666667</v>
      </c>
      <c r="V447" s="68">
        <v>0</v>
      </c>
      <c r="W447" s="0">
        <f>IF(IF(B447="none",1,IF(B447="Trialer",1,0))+IF(C447="Customer",1,IF(C447="Lost",1,0))=2,1,0)</f>
      </c>
      <c r="X447" s="0" t="s">
        <v>142</v>
      </c>
      <c r="Y447" s="0" t="s">
        <v>243</v>
      </c>
      <c r="AV447" s="68"/>
      <c r="AW447" s="68"/>
      <c r="AY447" s="27"/>
      <c r="BD447" s="68">
        <v>46054.1666666667</v>
      </c>
      <c r="BE447" s="68">
        <v>46082.1666666667</v>
      </c>
      <c r="BF447" s="0" t="b">
        <v>0</v>
      </c>
      <c r="BG447" s="0" t="b">
        <v>0</v>
      </c>
      <c r="BH447" s="0">
        <v>75</v>
      </c>
      <c r="BI447" s="0">
        <v>75</v>
      </c>
      <c r="BJ447" s="0" t="s">
        <v>230</v>
      </c>
    </row>
    <row r="448">
      <c r="A448" s="0" t="s">
        <v>632</v>
      </c>
      <c r="B448" s="0" t="s">
        <v>134</v>
      </c>
      <c r="C448" s="0" t="s">
        <v>134</v>
      </c>
      <c r="D448" s="0" t="s">
        <v>135</v>
      </c>
      <c r="E448" s="0" t="s">
        <v>3</v>
      </c>
      <c r="F448" s="0" t="s">
        <v>12</v>
      </c>
      <c r="G448" s="0" t="s">
        <v>8</v>
      </c>
      <c r="H448" s="0">
        <v>3225</v>
      </c>
      <c r="I448" s="0">
        <v>90</v>
      </c>
      <c r="J448" s="0">
        <v>0</v>
      </c>
      <c r="K448" s="0">
        <v>1</v>
      </c>
      <c r="L448" s="0">
        <v>3</v>
      </c>
      <c r="M448" s="0">
        <v>2</v>
      </c>
      <c r="N448" s="0">
        <v>0</v>
      </c>
      <c r="O448" s="0">
        <v>0</v>
      </c>
      <c r="P448" s="0">
        <v>0</v>
      </c>
      <c r="R448" s="0" t="b">
        <v>0</v>
      </c>
      <c r="S448" s="0" t="b">
        <v>1</v>
      </c>
      <c r="T448" s="68">
        <v>42828.5736111111</v>
      </c>
      <c r="U448" s="68">
        <v>42858.5416666667</v>
      </c>
      <c r="V448" s="68">
        <v>0</v>
      </c>
      <c r="W448" s="0">
        <f>IF(IF(B448="none",1,IF(B448="Trialer",1,0))+IF(C448="Customer",1,IF(C448="Lost",1,0))=2,1,0)</f>
      </c>
      <c r="X448" s="0" t="s">
        <v>142</v>
      </c>
      <c r="Y448" s="0" t="s">
        <v>243</v>
      </c>
      <c r="AV448" s="68"/>
      <c r="AW448" s="68"/>
      <c r="AY448" s="27"/>
      <c r="BD448" s="68">
        <v>46054.1666666667</v>
      </c>
      <c r="BE448" s="68">
        <v>46082.1666666667</v>
      </c>
      <c r="BF448" s="0" t="b">
        <v>0</v>
      </c>
      <c r="BG448" s="0" t="b">
        <v>0</v>
      </c>
      <c r="BH448" s="0">
        <v>90</v>
      </c>
      <c r="BI448" s="0">
        <v>90</v>
      </c>
      <c r="BJ448" s="0" t="s">
        <v>135</v>
      </c>
    </row>
    <row r="449">
      <c r="A449" s="0" t="s">
        <v>633</v>
      </c>
      <c r="B449" s="0" t="s">
        <v>134</v>
      </c>
      <c r="C449" s="0" t="s">
        <v>134</v>
      </c>
      <c r="D449" s="0" t="s">
        <v>135</v>
      </c>
      <c r="E449" s="0" t="s">
        <v>2</v>
      </c>
      <c r="F449" s="0" t="s">
        <v>10</v>
      </c>
      <c r="G449" s="0" t="s">
        <v>8</v>
      </c>
      <c r="H449" s="0">
        <v>3222</v>
      </c>
      <c r="I449" s="0">
        <v>841</v>
      </c>
      <c r="J449" s="0">
        <v>0</v>
      </c>
      <c r="K449" s="0">
        <v>1</v>
      </c>
      <c r="L449" s="0">
        <v>4</v>
      </c>
      <c r="M449" s="0">
        <v>20</v>
      </c>
      <c r="N449" s="0">
        <v>0</v>
      </c>
      <c r="O449" s="0">
        <v>0</v>
      </c>
      <c r="P449" s="0">
        <v>0</v>
      </c>
      <c r="Q449" s="0" t="s">
        <v>390</v>
      </c>
      <c r="R449" s="0" t="b">
        <v>0</v>
      </c>
      <c r="S449" s="0" t="b">
        <v>1</v>
      </c>
      <c r="T449" s="68">
        <v>42831.6883101852</v>
      </c>
      <c r="U449" s="68">
        <v>42861.5416666667</v>
      </c>
      <c r="V449" s="68">
        <v>0</v>
      </c>
      <c r="W449" s="0">
        <f>IF(IF(B449="none",1,IF(B449="Trialer",1,0))+IF(C449="Customer",1,IF(C449="Lost",1,0))=2,1,0)</f>
      </c>
      <c r="X449" s="0" t="s">
        <v>148</v>
      </c>
      <c r="Y449" s="0" t="s">
        <v>499</v>
      </c>
      <c r="AV449" s="68"/>
      <c r="AW449" s="68"/>
      <c r="AY449" s="27"/>
      <c r="BD449" s="68">
        <v>46054.1666666667</v>
      </c>
      <c r="BE449" s="68">
        <v>46082.1666666667</v>
      </c>
      <c r="BF449" s="0" t="b">
        <v>0</v>
      </c>
      <c r="BG449" s="0" t="b">
        <v>0</v>
      </c>
      <c r="BH449" s="0">
        <v>841</v>
      </c>
      <c r="BI449" s="0">
        <v>841</v>
      </c>
      <c r="BJ449" s="0" t="s">
        <v>135</v>
      </c>
    </row>
    <row r="450">
      <c r="A450" s="0" t="s">
        <v>634</v>
      </c>
      <c r="B450" s="0" t="s">
        <v>134</v>
      </c>
      <c r="C450" s="0" t="s">
        <v>134</v>
      </c>
      <c r="D450" s="0" t="s">
        <v>135</v>
      </c>
      <c r="E450" s="0" t="s">
        <v>2</v>
      </c>
      <c r="F450" s="0" t="s">
        <v>12</v>
      </c>
      <c r="G450" s="0" t="s">
        <v>8</v>
      </c>
      <c r="H450" s="0">
        <v>3222</v>
      </c>
      <c r="I450" s="0">
        <v>0</v>
      </c>
      <c r="J450" s="0">
        <v>0</v>
      </c>
      <c r="K450" s="0">
        <v>1</v>
      </c>
      <c r="L450" s="0">
        <v>4</v>
      </c>
      <c r="M450" s="0">
        <v>1</v>
      </c>
      <c r="N450" s="0">
        <v>0</v>
      </c>
      <c r="O450" s="0">
        <v>0</v>
      </c>
      <c r="P450" s="0">
        <v>0</v>
      </c>
      <c r="R450" s="0" t="b">
        <v>0</v>
      </c>
      <c r="S450" s="0" t="b">
        <v>1</v>
      </c>
      <c r="T450" s="68">
        <v>42831.6888888889</v>
      </c>
      <c r="U450" s="68">
        <v>42863.3333333333</v>
      </c>
      <c r="V450" s="68">
        <v>0</v>
      </c>
      <c r="W450" s="0">
        <f>IF(IF(B450="none",1,IF(B450="Trialer",1,0))+IF(C450="Customer",1,IF(C450="Lost",1,0))=2,1,0)</f>
      </c>
      <c r="X450" s="0" t="s">
        <v>148</v>
      </c>
      <c r="Y450" s="0" t="s">
        <v>499</v>
      </c>
      <c r="AV450" s="68"/>
      <c r="AW450" s="68"/>
      <c r="AY450" s="27"/>
      <c r="BD450" s="68">
        <v>46054.1666666667</v>
      </c>
      <c r="BE450" s="68">
        <v>46082.1666666667</v>
      </c>
      <c r="BF450" s="0" t="b">
        <v>0</v>
      </c>
      <c r="BG450" s="0" t="b">
        <v>0</v>
      </c>
      <c r="BH450" s="0">
        <v>0</v>
      </c>
      <c r="BI450" s="0">
        <v>0</v>
      </c>
      <c r="BJ450" s="0" t="s">
        <v>135</v>
      </c>
    </row>
    <row r="451">
      <c r="A451" s="0" t="s">
        <v>635</v>
      </c>
      <c r="B451" s="0" t="s">
        <v>134</v>
      </c>
      <c r="C451" s="0" t="s">
        <v>134</v>
      </c>
      <c r="D451" s="0" t="s">
        <v>230</v>
      </c>
      <c r="E451" s="0" t="s">
        <v>2</v>
      </c>
      <c r="F451" s="0" t="s">
        <v>12</v>
      </c>
      <c r="G451" s="0" t="s">
        <v>8</v>
      </c>
      <c r="H451" s="0">
        <v>3216</v>
      </c>
      <c r="I451" s="0">
        <v>283.5</v>
      </c>
      <c r="J451" s="0">
        <v>0</v>
      </c>
      <c r="K451" s="0">
        <v>1</v>
      </c>
      <c r="L451" s="0">
        <v>3</v>
      </c>
      <c r="M451" s="0">
        <v>7</v>
      </c>
      <c r="N451" s="0">
        <v>0</v>
      </c>
      <c r="O451" s="0">
        <v>0</v>
      </c>
      <c r="P451" s="0">
        <v>-283.5</v>
      </c>
      <c r="R451" s="0" t="b">
        <v>0</v>
      </c>
      <c r="S451" s="0" t="b">
        <v>1</v>
      </c>
      <c r="T451" s="68">
        <v>42837.4513773148</v>
      </c>
      <c r="U451" s="68">
        <v>42867.5416666667</v>
      </c>
      <c r="V451" s="68">
        <v>0</v>
      </c>
      <c r="W451" s="0">
        <f>IF(IF(B451="none",1,IF(B451="Trialer",1,0))+IF(C451="Customer",1,IF(C451="Lost",1,0))=2,1,0)</f>
      </c>
      <c r="X451" s="0" t="s">
        <v>145</v>
      </c>
      <c r="Y451" s="0" t="s">
        <v>499</v>
      </c>
      <c r="AV451" s="68"/>
      <c r="AW451" s="68"/>
      <c r="AY451" s="27"/>
      <c r="BD451" s="68">
        <v>46054.1666666667</v>
      </c>
      <c r="BE451" s="68">
        <v>46082.1666666667</v>
      </c>
      <c r="BF451" s="0" t="b">
        <v>0</v>
      </c>
      <c r="BG451" s="0" t="b">
        <v>0</v>
      </c>
      <c r="BH451" s="0">
        <v>315</v>
      </c>
      <c r="BI451" s="0">
        <v>315</v>
      </c>
      <c r="BJ451" s="0" t="s">
        <v>230</v>
      </c>
    </row>
    <row r="452">
      <c r="A452" s="0" t="s">
        <v>636</v>
      </c>
      <c r="B452" s="0" t="s">
        <v>134</v>
      </c>
      <c r="C452" s="0" t="s">
        <v>134</v>
      </c>
      <c r="D452" s="0" t="s">
        <v>135</v>
      </c>
      <c r="E452" s="0" t="s">
        <v>2</v>
      </c>
      <c r="F452" s="0" t="s">
        <v>12</v>
      </c>
      <c r="G452" s="0" t="s">
        <v>8</v>
      </c>
      <c r="H452" s="0">
        <v>3208</v>
      </c>
      <c r="I452" s="0">
        <v>360</v>
      </c>
      <c r="J452" s="0">
        <v>0</v>
      </c>
      <c r="K452" s="0">
        <v>1</v>
      </c>
      <c r="L452" s="0">
        <v>2</v>
      </c>
      <c r="M452" s="0">
        <v>9</v>
      </c>
      <c r="N452" s="0">
        <v>0</v>
      </c>
      <c r="O452" s="0">
        <v>0</v>
      </c>
      <c r="P452" s="0">
        <v>0</v>
      </c>
      <c r="R452" s="0" t="b">
        <v>0</v>
      </c>
      <c r="S452" s="0" t="b">
        <v>1</v>
      </c>
      <c r="T452" s="68">
        <v>42845.6319444444</v>
      </c>
      <c r="U452" s="68">
        <v>42906.5</v>
      </c>
      <c r="V452" s="68">
        <v>0</v>
      </c>
      <c r="W452" s="0">
        <f>IF(IF(B452="none",1,IF(B452="Trialer",1,0))+IF(C452="Customer",1,IF(C452="Lost",1,0))=2,1,0)</f>
      </c>
      <c r="X452" s="0" t="s">
        <v>148</v>
      </c>
      <c r="Y452" s="0" t="s">
        <v>499</v>
      </c>
      <c r="AV452" s="68"/>
      <c r="AW452" s="68"/>
      <c r="AY452" s="27"/>
      <c r="BD452" s="68">
        <v>46054.1666666667</v>
      </c>
      <c r="BE452" s="68">
        <v>46082.1666666667</v>
      </c>
      <c r="BF452" s="0" t="b">
        <v>0</v>
      </c>
      <c r="BG452" s="0" t="b">
        <v>0</v>
      </c>
      <c r="BH452" s="0">
        <v>360</v>
      </c>
      <c r="BI452" s="0">
        <v>360</v>
      </c>
      <c r="BJ452" s="0" t="s">
        <v>135</v>
      </c>
    </row>
    <row r="453">
      <c r="A453" s="0" t="s">
        <v>637</v>
      </c>
      <c r="B453" s="0" t="s">
        <v>134</v>
      </c>
      <c r="C453" s="0" t="s">
        <v>134</v>
      </c>
      <c r="D453" s="0" t="s">
        <v>135</v>
      </c>
      <c r="E453" s="0" t="s">
        <v>3</v>
      </c>
      <c r="F453" s="0" t="s">
        <v>12</v>
      </c>
      <c r="G453" s="0" t="s">
        <v>8</v>
      </c>
      <c r="H453" s="0">
        <v>3204</v>
      </c>
      <c r="I453" s="0">
        <v>432</v>
      </c>
      <c r="J453" s="0">
        <v>0</v>
      </c>
      <c r="K453" s="0">
        <v>1</v>
      </c>
      <c r="L453" s="0">
        <v>5</v>
      </c>
      <c r="M453" s="0">
        <v>9</v>
      </c>
      <c r="N453" s="0">
        <v>0</v>
      </c>
      <c r="O453" s="0">
        <v>0</v>
      </c>
      <c r="P453" s="0">
        <v>0</v>
      </c>
      <c r="R453" s="0" t="b">
        <v>0</v>
      </c>
      <c r="S453" s="0" t="b">
        <v>1</v>
      </c>
      <c r="T453" s="68">
        <v>42849.7141550926</v>
      </c>
      <c r="U453" s="68">
        <v>42879.5416666667</v>
      </c>
      <c r="V453" s="68">
        <v>0</v>
      </c>
      <c r="W453" s="0">
        <f>IF(IF(B453="none",1,IF(B453="Trialer",1,0))+IF(C453="Customer",1,IF(C453="Lost",1,0))=2,1,0)</f>
      </c>
      <c r="X453" s="0" t="s">
        <v>148</v>
      </c>
      <c r="Y453" s="0" t="s">
        <v>243</v>
      </c>
      <c r="AV453" s="68"/>
      <c r="AW453" s="68"/>
      <c r="AY453" s="27"/>
      <c r="BD453" s="68">
        <v>46054.1666666667</v>
      </c>
      <c r="BE453" s="68">
        <v>46082.1666666667</v>
      </c>
      <c r="BF453" s="0" t="b">
        <v>0</v>
      </c>
      <c r="BG453" s="0" t="b">
        <v>0</v>
      </c>
      <c r="BH453" s="0">
        <v>432</v>
      </c>
      <c r="BI453" s="0">
        <v>432</v>
      </c>
      <c r="BJ453" s="0" t="s">
        <v>135</v>
      </c>
    </row>
    <row r="454">
      <c r="A454" s="0" t="s">
        <v>638</v>
      </c>
      <c r="B454" s="0" t="s">
        <v>134</v>
      </c>
      <c r="C454" s="0" t="s">
        <v>134</v>
      </c>
      <c r="D454" s="0" t="s">
        <v>135</v>
      </c>
      <c r="E454" s="0" t="s">
        <v>2</v>
      </c>
      <c r="F454" s="0" t="s">
        <v>12</v>
      </c>
      <c r="G454" s="0" t="s">
        <v>7</v>
      </c>
      <c r="H454" s="0">
        <v>3203</v>
      </c>
      <c r="I454" s="0">
        <v>40</v>
      </c>
      <c r="J454" s="0">
        <v>0</v>
      </c>
      <c r="K454" s="0">
        <v>1</v>
      </c>
      <c r="L454" s="0">
        <v>1</v>
      </c>
      <c r="M454" s="0">
        <v>1</v>
      </c>
      <c r="N454" s="0">
        <v>0</v>
      </c>
      <c r="O454" s="0">
        <v>0</v>
      </c>
      <c r="P454" s="0">
        <v>0</v>
      </c>
      <c r="R454" s="0" t="b">
        <v>0</v>
      </c>
      <c r="S454" s="0" t="b">
        <v>1</v>
      </c>
      <c r="T454" s="68">
        <v>42850.4568981481</v>
      </c>
      <c r="U454" s="68">
        <v>42850.5416666667</v>
      </c>
      <c r="V454" s="68">
        <v>0</v>
      </c>
      <c r="W454" s="0">
        <f>IF(IF(B454="none",1,IF(B454="Trialer",1,0))+IF(C454="Customer",1,IF(C454="Lost",1,0))=2,1,0)</f>
      </c>
      <c r="X454" s="0" t="s">
        <v>145</v>
      </c>
      <c r="Y454" s="0" t="s">
        <v>499</v>
      </c>
      <c r="AV454" s="68"/>
      <c r="AW454" s="68"/>
      <c r="AY454" s="27"/>
      <c r="BD454" s="68">
        <v>46054.1666666667</v>
      </c>
      <c r="BE454" s="68">
        <v>46082.1666666667</v>
      </c>
      <c r="BF454" s="0" t="b">
        <v>0</v>
      </c>
      <c r="BG454" s="0" t="b">
        <v>0</v>
      </c>
      <c r="BH454" s="0">
        <v>40</v>
      </c>
      <c r="BI454" s="0">
        <v>40</v>
      </c>
      <c r="BJ454" s="0" t="s">
        <v>135</v>
      </c>
    </row>
    <row r="455">
      <c r="A455" s="0" t="s">
        <v>639</v>
      </c>
      <c r="B455" s="0" t="s">
        <v>134</v>
      </c>
      <c r="C455" s="0" t="s">
        <v>134</v>
      </c>
      <c r="D455" s="0" t="s">
        <v>135</v>
      </c>
      <c r="E455" s="0" t="s">
        <v>3</v>
      </c>
      <c r="F455" s="0" t="s">
        <v>12</v>
      </c>
      <c r="G455" s="0" t="s">
        <v>8</v>
      </c>
      <c r="H455" s="0">
        <v>3203</v>
      </c>
      <c r="I455" s="0">
        <v>80</v>
      </c>
      <c r="J455" s="0">
        <v>0</v>
      </c>
      <c r="K455" s="0">
        <v>1</v>
      </c>
      <c r="L455" s="0">
        <v>2</v>
      </c>
      <c r="M455" s="0">
        <v>2</v>
      </c>
      <c r="N455" s="0">
        <v>0</v>
      </c>
      <c r="O455" s="0">
        <v>0</v>
      </c>
      <c r="P455" s="0">
        <v>0</v>
      </c>
      <c r="R455" s="0" t="b">
        <v>0</v>
      </c>
      <c r="S455" s="0" t="b">
        <v>1</v>
      </c>
      <c r="T455" s="68">
        <v>42850.7019907407</v>
      </c>
      <c r="U455" s="68">
        <v>42880.5416666667</v>
      </c>
      <c r="V455" s="68">
        <v>0</v>
      </c>
      <c r="W455" s="0">
        <f>IF(IF(B455="none",1,IF(B455="Trialer",1,0))+IF(C455="Customer",1,IF(C455="Lost",1,0))=2,1,0)</f>
      </c>
      <c r="X455" s="0" t="s">
        <v>142</v>
      </c>
      <c r="Y455" s="0" t="s">
        <v>243</v>
      </c>
      <c r="AV455" s="68"/>
      <c r="AW455" s="68"/>
      <c r="AY455" s="27"/>
      <c r="BD455" s="68">
        <v>46054.1666666667</v>
      </c>
      <c r="BE455" s="68">
        <v>46082.1666666667</v>
      </c>
      <c r="BF455" s="0" t="b">
        <v>0</v>
      </c>
      <c r="BG455" s="0" t="b">
        <v>0</v>
      </c>
      <c r="BH455" s="0">
        <v>80</v>
      </c>
      <c r="BI455" s="0">
        <v>80</v>
      </c>
      <c r="BJ455" s="0" t="s">
        <v>135</v>
      </c>
    </row>
    <row r="456">
      <c r="A456" s="0" t="s">
        <v>640</v>
      </c>
      <c r="B456" s="0" t="s">
        <v>134</v>
      </c>
      <c r="C456" s="0" t="s">
        <v>134</v>
      </c>
      <c r="D456" s="0" t="s">
        <v>135</v>
      </c>
      <c r="E456" s="0" t="s">
        <v>3</v>
      </c>
      <c r="F456" s="0" t="s">
        <v>12</v>
      </c>
      <c r="G456" s="0" t="s">
        <v>8</v>
      </c>
      <c r="H456" s="0">
        <v>3203</v>
      </c>
      <c r="I456" s="0">
        <v>276</v>
      </c>
      <c r="J456" s="0">
        <v>0</v>
      </c>
      <c r="K456" s="0">
        <v>1</v>
      </c>
      <c r="L456" s="0">
        <v>3</v>
      </c>
      <c r="M456" s="0">
        <v>6</v>
      </c>
      <c r="N456" s="0">
        <v>0</v>
      </c>
      <c r="O456" s="0">
        <v>0</v>
      </c>
      <c r="P456" s="0">
        <v>0</v>
      </c>
      <c r="R456" s="0" t="b">
        <v>0</v>
      </c>
      <c r="S456" s="0" t="b">
        <v>1</v>
      </c>
      <c r="T456" s="68">
        <v>42850.7291666667</v>
      </c>
      <c r="U456" s="68">
        <v>42880.5416666667</v>
      </c>
      <c r="V456" s="68">
        <v>0</v>
      </c>
      <c r="W456" s="0">
        <f>IF(IF(B456="none",1,IF(B456="Trialer",1,0))+IF(C456="Customer",1,IF(C456="Lost",1,0))=2,1,0)</f>
      </c>
      <c r="X456" s="0" t="s">
        <v>136</v>
      </c>
      <c r="Y456" s="0" t="s">
        <v>243</v>
      </c>
      <c r="AV456" s="68"/>
      <c r="AW456" s="68"/>
      <c r="AY456" s="27"/>
      <c r="BD456" s="68">
        <v>46054.1666666667</v>
      </c>
      <c r="BE456" s="68">
        <v>46082.1666666667</v>
      </c>
      <c r="BF456" s="0" t="b">
        <v>0</v>
      </c>
      <c r="BG456" s="0" t="b">
        <v>0</v>
      </c>
      <c r="BH456" s="0">
        <v>276</v>
      </c>
      <c r="BI456" s="0">
        <v>276</v>
      </c>
      <c r="BJ456" s="0" t="s">
        <v>135</v>
      </c>
    </row>
    <row r="457">
      <c r="A457" s="0" t="s">
        <v>641</v>
      </c>
      <c r="B457" s="0" t="s">
        <v>134</v>
      </c>
      <c r="C457" s="0" t="s">
        <v>134</v>
      </c>
      <c r="D457" s="0" t="s">
        <v>135</v>
      </c>
      <c r="E457" s="0" t="s">
        <v>3</v>
      </c>
      <c r="F457" s="0" t="s">
        <v>12</v>
      </c>
      <c r="G457" s="0" t="s">
        <v>8</v>
      </c>
      <c r="H457" s="0">
        <v>3202</v>
      </c>
      <c r="I457" s="0">
        <v>80</v>
      </c>
      <c r="J457" s="0">
        <v>0</v>
      </c>
      <c r="K457" s="0">
        <v>1</v>
      </c>
      <c r="L457" s="0">
        <v>2</v>
      </c>
      <c r="M457" s="0">
        <v>2</v>
      </c>
      <c r="N457" s="0">
        <v>0</v>
      </c>
      <c r="O457" s="0">
        <v>0</v>
      </c>
      <c r="P457" s="0">
        <v>0</v>
      </c>
      <c r="R457" s="0" t="b">
        <v>0</v>
      </c>
      <c r="S457" s="0" t="b">
        <v>1</v>
      </c>
      <c r="T457" s="68">
        <v>42851.6153587963</v>
      </c>
      <c r="U457" s="68">
        <v>42908.5416666667</v>
      </c>
      <c r="V457" s="68">
        <v>0</v>
      </c>
      <c r="W457" s="0">
        <f>IF(IF(B457="none",1,IF(B457="Trialer",1,0))+IF(C457="Customer",1,IF(C457="Lost",1,0))=2,1,0)</f>
      </c>
      <c r="X457" s="0" t="s">
        <v>166</v>
      </c>
      <c r="Y457" s="0" t="s">
        <v>243</v>
      </c>
      <c r="AV457" s="68"/>
      <c r="AW457" s="68"/>
      <c r="AY457" s="27"/>
      <c r="BD457" s="68">
        <v>46054.1666666667</v>
      </c>
      <c r="BE457" s="68">
        <v>46082.1666666667</v>
      </c>
      <c r="BF457" s="0" t="b">
        <v>0</v>
      </c>
      <c r="BG457" s="0" t="b">
        <v>0</v>
      </c>
      <c r="BH457" s="0">
        <v>80</v>
      </c>
      <c r="BI457" s="0">
        <v>80</v>
      </c>
      <c r="BJ457" s="0" t="s">
        <v>135</v>
      </c>
    </row>
    <row r="458">
      <c r="A458" s="0" t="s">
        <v>642</v>
      </c>
      <c r="B458" s="0" t="s">
        <v>134</v>
      </c>
      <c r="C458" s="0" t="s">
        <v>134</v>
      </c>
      <c r="D458" s="0" t="s">
        <v>135</v>
      </c>
      <c r="E458" s="0" t="s">
        <v>3</v>
      </c>
      <c r="F458" s="0" t="s">
        <v>12</v>
      </c>
      <c r="G458" s="0" t="s">
        <v>8</v>
      </c>
      <c r="H458" s="0">
        <v>3200</v>
      </c>
      <c r="I458" s="0">
        <v>132</v>
      </c>
      <c r="J458" s="0">
        <v>-132</v>
      </c>
      <c r="K458" s="0">
        <v>1</v>
      </c>
      <c r="L458" s="0">
        <v>3</v>
      </c>
      <c r="M458" s="0">
        <v>3</v>
      </c>
      <c r="N458" s="0">
        <v>0</v>
      </c>
      <c r="O458" s="0">
        <v>0</v>
      </c>
      <c r="P458" s="0">
        <v>0</v>
      </c>
      <c r="R458" s="0" t="b">
        <v>0</v>
      </c>
      <c r="S458" s="0" t="b">
        <v>1</v>
      </c>
      <c r="T458" s="68">
        <v>42853.4361111111</v>
      </c>
      <c r="U458" s="68">
        <v>42914.5416666667</v>
      </c>
      <c r="V458" s="68">
        <v>0</v>
      </c>
      <c r="W458" s="0">
        <f>IF(IF(B458="none",1,IF(B458="Trialer",1,0))+IF(C458="Customer",1,IF(C458="Lost",1,0))=2,1,0)</f>
      </c>
      <c r="X458" s="0" t="s">
        <v>153</v>
      </c>
      <c r="Y458" s="0" t="s">
        <v>243</v>
      </c>
      <c r="AV458" s="68"/>
      <c r="AW458" s="68"/>
      <c r="AY458" s="27"/>
      <c r="BD458" s="68">
        <v>46054.1666666667</v>
      </c>
      <c r="BE458" s="68">
        <v>46082.1666666667</v>
      </c>
      <c r="BF458" s="0" t="b">
        <v>0</v>
      </c>
      <c r="BG458" s="0" t="b">
        <v>0</v>
      </c>
      <c r="BH458" s="0">
        <v>0</v>
      </c>
      <c r="BI458" s="0">
        <v>0</v>
      </c>
      <c r="BJ458" s="0" t="s">
        <v>135</v>
      </c>
    </row>
    <row r="459">
      <c r="A459" s="0" t="s">
        <v>643</v>
      </c>
      <c r="B459" s="0" t="s">
        <v>134</v>
      </c>
      <c r="C459" s="0" t="s">
        <v>134</v>
      </c>
      <c r="D459" s="0" t="s">
        <v>230</v>
      </c>
      <c r="E459" s="0" t="s">
        <v>3</v>
      </c>
      <c r="F459" s="0" t="s">
        <v>12</v>
      </c>
      <c r="G459" s="0" t="s">
        <v>8</v>
      </c>
      <c r="H459" s="0">
        <v>3200</v>
      </c>
      <c r="I459" s="0">
        <v>35</v>
      </c>
      <c r="J459" s="0">
        <v>0</v>
      </c>
      <c r="K459" s="0">
        <v>1</v>
      </c>
      <c r="L459" s="0">
        <v>2</v>
      </c>
      <c r="M459" s="0">
        <v>1</v>
      </c>
      <c r="N459" s="0">
        <v>0</v>
      </c>
      <c r="O459" s="0">
        <v>0</v>
      </c>
      <c r="P459" s="0">
        <v>-35</v>
      </c>
      <c r="R459" s="0" t="b">
        <v>0</v>
      </c>
      <c r="S459" s="0" t="b">
        <v>1</v>
      </c>
      <c r="T459" s="68">
        <v>42853.9345023148</v>
      </c>
      <c r="U459" s="68">
        <v>42883.5416666667</v>
      </c>
      <c r="V459" s="68">
        <v>0</v>
      </c>
      <c r="W459" s="0">
        <f>IF(IF(B459="none",1,IF(B459="Trialer",1,0))+IF(C459="Customer",1,IF(C459="Lost",1,0))=2,1,0)</f>
      </c>
      <c r="X459" s="0" t="s">
        <v>142</v>
      </c>
      <c r="Y459" s="0" t="s">
        <v>243</v>
      </c>
      <c r="AV459" s="68"/>
      <c r="AW459" s="68"/>
      <c r="AY459" s="27"/>
      <c r="BD459" s="68">
        <v>46054.1666666667</v>
      </c>
      <c r="BE459" s="68">
        <v>46082.1666666667</v>
      </c>
      <c r="BF459" s="0" t="b">
        <v>0</v>
      </c>
      <c r="BG459" s="0" t="b">
        <v>0</v>
      </c>
      <c r="BH459" s="0">
        <v>40</v>
      </c>
      <c r="BI459" s="0">
        <v>40</v>
      </c>
      <c r="BJ459" s="0" t="s">
        <v>230</v>
      </c>
    </row>
    <row r="460">
      <c r="A460" s="0" t="s">
        <v>644</v>
      </c>
      <c r="B460" s="0" t="s">
        <v>134</v>
      </c>
      <c r="C460" s="0" t="s">
        <v>134</v>
      </c>
      <c r="D460" s="0" t="s">
        <v>230</v>
      </c>
      <c r="E460" s="0" t="s">
        <v>2</v>
      </c>
      <c r="F460" s="0" t="s">
        <v>12</v>
      </c>
      <c r="G460" s="0" t="s">
        <v>7</v>
      </c>
      <c r="H460" s="0">
        <v>3197</v>
      </c>
      <c r="I460" s="0">
        <v>108</v>
      </c>
      <c r="J460" s="0">
        <v>0</v>
      </c>
      <c r="K460" s="0">
        <v>1</v>
      </c>
      <c r="L460" s="0">
        <v>1</v>
      </c>
      <c r="M460" s="0">
        <v>3</v>
      </c>
      <c r="N460" s="0">
        <v>0</v>
      </c>
      <c r="O460" s="0">
        <v>0</v>
      </c>
      <c r="P460" s="0">
        <v>-108</v>
      </c>
      <c r="R460" s="0" t="b">
        <v>0</v>
      </c>
      <c r="S460" s="0" t="b">
        <v>1</v>
      </c>
      <c r="T460" s="68">
        <v>42856.5</v>
      </c>
      <c r="U460" s="68">
        <v>42887.5416666667</v>
      </c>
      <c r="V460" s="68">
        <v>0</v>
      </c>
      <c r="W460" s="0">
        <f>IF(IF(B460="none",1,IF(B460="Trialer",1,0))+IF(C460="Customer",1,IF(C460="Lost",1,0))=2,1,0)</f>
      </c>
      <c r="X460" s="0" t="s">
        <v>142</v>
      </c>
      <c r="Y460" s="0" t="s">
        <v>499</v>
      </c>
      <c r="AV460" s="68"/>
      <c r="AW460" s="68"/>
      <c r="AY460" s="27"/>
      <c r="BD460" s="68">
        <v>46054.1666666667</v>
      </c>
      <c r="BE460" s="68">
        <v>46082.1666666667</v>
      </c>
      <c r="BF460" s="0" t="b">
        <v>0</v>
      </c>
      <c r="BG460" s="0" t="b">
        <v>0</v>
      </c>
      <c r="BH460" s="0">
        <v>120</v>
      </c>
      <c r="BI460" s="0">
        <v>120</v>
      </c>
      <c r="BJ460" s="0" t="s">
        <v>230</v>
      </c>
    </row>
    <row r="461">
      <c r="A461" s="0" t="s">
        <v>645</v>
      </c>
      <c r="B461" s="0" t="s">
        <v>134</v>
      </c>
      <c r="C461" s="0" t="s">
        <v>134</v>
      </c>
      <c r="D461" s="0" t="s">
        <v>135</v>
      </c>
      <c r="E461" s="0" t="s">
        <v>2</v>
      </c>
      <c r="F461" s="0" t="s">
        <v>12</v>
      </c>
      <c r="G461" s="0" t="s">
        <v>8</v>
      </c>
      <c r="H461" s="0">
        <v>3196</v>
      </c>
      <c r="I461" s="0">
        <v>40</v>
      </c>
      <c r="J461" s="0">
        <v>0</v>
      </c>
      <c r="K461" s="0">
        <v>1</v>
      </c>
      <c r="L461" s="0">
        <v>2</v>
      </c>
      <c r="M461" s="0">
        <v>1</v>
      </c>
      <c r="N461" s="0">
        <v>0</v>
      </c>
      <c r="O461" s="0">
        <v>0</v>
      </c>
      <c r="P461" s="0">
        <v>0</v>
      </c>
      <c r="R461" s="0" t="b">
        <v>0</v>
      </c>
      <c r="S461" s="0" t="b">
        <v>1</v>
      </c>
      <c r="T461" s="68">
        <v>42857.4416666667</v>
      </c>
      <c r="U461" s="68">
        <v>42888.5416666667</v>
      </c>
      <c r="V461" s="68">
        <v>0</v>
      </c>
      <c r="W461" s="0">
        <f>IF(IF(B461="none",1,IF(B461="Trialer",1,0))+IF(C461="Customer",1,IF(C461="Lost",1,0))=2,1,0)</f>
      </c>
      <c r="X461" s="0" t="s">
        <v>142</v>
      </c>
      <c r="Y461" s="0" t="s">
        <v>499</v>
      </c>
      <c r="AV461" s="68"/>
      <c r="AW461" s="68"/>
      <c r="AY461" s="27"/>
      <c r="BD461" s="68">
        <v>46054.1666666667</v>
      </c>
      <c r="BE461" s="68">
        <v>46082.1666666667</v>
      </c>
      <c r="BF461" s="0" t="b">
        <v>0</v>
      </c>
      <c r="BG461" s="0" t="b">
        <v>0</v>
      </c>
      <c r="BH461" s="0">
        <v>40</v>
      </c>
      <c r="BI461" s="0">
        <v>40</v>
      </c>
      <c r="BJ461" s="0" t="s">
        <v>135</v>
      </c>
    </row>
    <row r="462">
      <c r="A462" s="0" t="s">
        <v>646</v>
      </c>
      <c r="B462" s="0" t="s">
        <v>134</v>
      </c>
      <c r="C462" s="0" t="s">
        <v>134</v>
      </c>
      <c r="D462" s="0" t="s">
        <v>230</v>
      </c>
      <c r="E462" s="0" t="s">
        <v>3</v>
      </c>
      <c r="F462" s="0" t="s">
        <v>12</v>
      </c>
      <c r="G462" s="0" t="s">
        <v>8</v>
      </c>
      <c r="H462" s="0">
        <v>3193</v>
      </c>
      <c r="I462" s="0">
        <v>25</v>
      </c>
      <c r="J462" s="0">
        <v>0</v>
      </c>
      <c r="K462" s="0">
        <v>1</v>
      </c>
      <c r="L462" s="0">
        <v>1</v>
      </c>
      <c r="M462" s="0">
        <v>1</v>
      </c>
      <c r="N462" s="0">
        <v>0</v>
      </c>
      <c r="O462" s="0">
        <v>0</v>
      </c>
      <c r="P462" s="0">
        <v>-25</v>
      </c>
      <c r="R462" s="0" t="b">
        <v>0</v>
      </c>
      <c r="S462" s="0" t="b">
        <v>1</v>
      </c>
      <c r="T462" s="68">
        <v>42860.6944444444</v>
      </c>
      <c r="U462" s="68">
        <v>42891.5</v>
      </c>
      <c r="V462" s="68">
        <v>0</v>
      </c>
      <c r="W462" s="0">
        <f>IF(IF(B462="none",1,IF(B462="Trialer",1,0))+IF(C462="Customer",1,IF(C462="Lost",1,0))=2,1,0)</f>
      </c>
      <c r="X462" s="0" t="s">
        <v>166</v>
      </c>
      <c r="Y462" s="0" t="s">
        <v>243</v>
      </c>
      <c r="AV462" s="68"/>
      <c r="AW462" s="68"/>
      <c r="AY462" s="27"/>
      <c r="BD462" s="68">
        <v>46054.1666666667</v>
      </c>
      <c r="BE462" s="68">
        <v>46082.1666666667</v>
      </c>
      <c r="BF462" s="0" t="b">
        <v>0</v>
      </c>
      <c r="BG462" s="0" t="b">
        <v>0</v>
      </c>
      <c r="BH462" s="0">
        <v>28</v>
      </c>
      <c r="BI462" s="0">
        <v>28</v>
      </c>
      <c r="BJ462" s="0" t="s">
        <v>230</v>
      </c>
    </row>
    <row r="463">
      <c r="A463" s="0" t="s">
        <v>647</v>
      </c>
      <c r="B463" s="0" t="s">
        <v>134</v>
      </c>
      <c r="C463" s="0" t="s">
        <v>134</v>
      </c>
      <c r="D463" s="0" t="s">
        <v>230</v>
      </c>
      <c r="E463" s="0" t="s">
        <v>3</v>
      </c>
      <c r="F463" s="0" t="s">
        <v>12</v>
      </c>
      <c r="G463" s="0" t="s">
        <v>8</v>
      </c>
      <c r="H463" s="0">
        <v>3188</v>
      </c>
      <c r="I463" s="0">
        <v>830</v>
      </c>
      <c r="J463" s="0">
        <v>0</v>
      </c>
      <c r="K463" s="0">
        <v>1</v>
      </c>
      <c r="L463" s="0">
        <v>2</v>
      </c>
      <c r="M463" s="0">
        <v>28</v>
      </c>
      <c r="N463" s="0">
        <v>0</v>
      </c>
      <c r="O463" s="0">
        <v>0</v>
      </c>
      <c r="P463" s="0">
        <v>-830</v>
      </c>
      <c r="R463" s="0" t="b">
        <v>0</v>
      </c>
      <c r="S463" s="0" t="b">
        <v>1</v>
      </c>
      <c r="T463" s="68">
        <v>42865.4909722222</v>
      </c>
      <c r="U463" s="68">
        <v>42898.5416666667</v>
      </c>
      <c r="V463" s="68">
        <v>0</v>
      </c>
      <c r="W463" s="0">
        <f>IF(IF(B463="none",1,IF(B463="Trialer",1,0))+IF(C463="Customer",1,IF(C463="Lost",1,0))=2,1,0)</f>
      </c>
      <c r="X463" s="0" t="s">
        <v>148</v>
      </c>
      <c r="Y463" s="0" t="s">
        <v>243</v>
      </c>
      <c r="AV463" s="68"/>
      <c r="AW463" s="68"/>
      <c r="AY463" s="27"/>
      <c r="BD463" s="68">
        <v>46054.1666666667</v>
      </c>
      <c r="BE463" s="68">
        <v>46082.1666666667</v>
      </c>
      <c r="BF463" s="0" t="b">
        <v>0</v>
      </c>
      <c r="BG463" s="0" t="b">
        <v>0</v>
      </c>
      <c r="BH463" s="0">
        <v>940</v>
      </c>
      <c r="BI463" s="0">
        <v>940</v>
      </c>
      <c r="BJ463" s="0" t="s">
        <v>230</v>
      </c>
    </row>
    <row r="464">
      <c r="A464" s="0" t="s">
        <v>648</v>
      </c>
      <c r="B464" s="0" t="s">
        <v>134</v>
      </c>
      <c r="C464" s="0" t="s">
        <v>134</v>
      </c>
      <c r="D464" s="0" t="s">
        <v>135</v>
      </c>
      <c r="E464" s="0" t="s">
        <v>3</v>
      </c>
      <c r="F464" s="0" t="s">
        <v>12</v>
      </c>
      <c r="G464" s="0" t="s">
        <v>8</v>
      </c>
      <c r="H464" s="0">
        <v>3188</v>
      </c>
      <c r="I464" s="0">
        <v>56</v>
      </c>
      <c r="J464" s="0">
        <v>0</v>
      </c>
      <c r="K464" s="0">
        <v>1</v>
      </c>
      <c r="L464" s="0">
        <v>1</v>
      </c>
      <c r="M464" s="0">
        <v>2</v>
      </c>
      <c r="N464" s="0">
        <v>0</v>
      </c>
      <c r="O464" s="0">
        <v>0</v>
      </c>
      <c r="P464" s="0">
        <v>0</v>
      </c>
      <c r="R464" s="0" t="b">
        <v>0</v>
      </c>
      <c r="S464" s="0" t="b">
        <v>1</v>
      </c>
      <c r="T464" s="68">
        <v>42865.681875</v>
      </c>
      <c r="U464" s="68">
        <v>42913.5416666667</v>
      </c>
      <c r="V464" s="68">
        <v>0</v>
      </c>
      <c r="W464" s="0">
        <f>IF(IF(B464="none",1,IF(B464="Trialer",1,0))+IF(C464="Customer",1,IF(C464="Lost",1,0))=2,1,0)</f>
      </c>
      <c r="X464" s="0" t="s">
        <v>142</v>
      </c>
      <c r="Y464" s="0" t="s">
        <v>243</v>
      </c>
      <c r="AV464" s="68"/>
      <c r="AW464" s="68"/>
      <c r="AY464" s="27"/>
      <c r="BD464" s="68">
        <v>46054.1666666667</v>
      </c>
      <c r="BE464" s="68">
        <v>46082.1666666667</v>
      </c>
      <c r="BF464" s="0" t="b">
        <v>0</v>
      </c>
      <c r="BG464" s="0" t="b">
        <v>0</v>
      </c>
      <c r="BH464" s="0">
        <v>56</v>
      </c>
      <c r="BI464" s="0">
        <v>56</v>
      </c>
      <c r="BJ464" s="0" t="s">
        <v>135</v>
      </c>
    </row>
    <row r="465">
      <c r="A465" s="0" t="s">
        <v>649</v>
      </c>
      <c r="B465" s="0" t="s">
        <v>134</v>
      </c>
      <c r="C465" s="0" t="s">
        <v>134</v>
      </c>
      <c r="D465" s="0" t="s">
        <v>135</v>
      </c>
      <c r="E465" s="0" t="s">
        <v>2</v>
      </c>
      <c r="F465" s="0" t="s">
        <v>12</v>
      </c>
      <c r="G465" s="0" t="s">
        <v>8</v>
      </c>
      <c r="H465" s="0">
        <v>3181</v>
      </c>
      <c r="I465" s="0">
        <v>696</v>
      </c>
      <c r="J465" s="0">
        <v>0</v>
      </c>
      <c r="K465" s="0">
        <v>1</v>
      </c>
      <c r="L465" s="0">
        <v>3</v>
      </c>
      <c r="M465" s="0">
        <v>18</v>
      </c>
      <c r="N465" s="0">
        <v>688.75</v>
      </c>
      <c r="O465" s="0">
        <v>0</v>
      </c>
      <c r="P465" s="0">
        <v>0</v>
      </c>
      <c r="R465" s="0" t="b">
        <v>0</v>
      </c>
      <c r="S465" s="0" t="b">
        <v>1</v>
      </c>
      <c r="T465" s="68">
        <v>42872.675</v>
      </c>
      <c r="U465" s="68">
        <v>42903.5416666667</v>
      </c>
      <c r="V465" s="68">
        <v>0</v>
      </c>
      <c r="W465" s="0">
        <f>IF(IF(B465="none",1,IF(B465="Trialer",1,0))+IF(C465="Customer",1,IF(C465="Lost",1,0))=2,1,0)</f>
      </c>
      <c r="X465" s="0" t="s">
        <v>145</v>
      </c>
      <c r="Y465" s="0" t="s">
        <v>499</v>
      </c>
      <c r="AV465" s="68"/>
      <c r="AW465" s="68"/>
      <c r="AY465" s="27"/>
      <c r="BD465" s="68">
        <v>46054.1666666667</v>
      </c>
      <c r="BE465" s="68">
        <v>46082.1666666667</v>
      </c>
      <c r="BF465" s="0" t="b">
        <v>0</v>
      </c>
      <c r="BG465" s="0" t="b">
        <v>0</v>
      </c>
      <c r="BH465" s="0">
        <v>684</v>
      </c>
      <c r="BI465" s="0">
        <v>684</v>
      </c>
      <c r="BJ465" s="0" t="s">
        <v>135</v>
      </c>
    </row>
    <row r="466">
      <c r="A466" s="0" t="s">
        <v>650</v>
      </c>
      <c r="B466" s="0" t="s">
        <v>134</v>
      </c>
      <c r="C466" s="0" t="s">
        <v>134</v>
      </c>
      <c r="D466" s="0" t="s">
        <v>135</v>
      </c>
      <c r="E466" s="0" t="s">
        <v>2</v>
      </c>
      <c r="F466" s="0" t="s">
        <v>12</v>
      </c>
      <c r="G466" s="0" t="s">
        <v>8</v>
      </c>
      <c r="H466" s="0">
        <v>3180</v>
      </c>
      <c r="I466" s="0">
        <v>0</v>
      </c>
      <c r="J466" s="0">
        <v>0</v>
      </c>
      <c r="K466" s="0">
        <v>1</v>
      </c>
      <c r="L466" s="0">
        <v>3</v>
      </c>
      <c r="M466" s="0">
        <v>3</v>
      </c>
      <c r="N466" s="0">
        <v>0</v>
      </c>
      <c r="O466" s="0">
        <v>0</v>
      </c>
      <c r="P466" s="0">
        <v>0</v>
      </c>
      <c r="R466" s="0" t="b">
        <v>0</v>
      </c>
      <c r="S466" s="0" t="b">
        <v>1</v>
      </c>
      <c r="T466" s="68">
        <v>42873.6451388889</v>
      </c>
      <c r="U466" s="68">
        <v>43087.5</v>
      </c>
      <c r="V466" s="68">
        <v>0</v>
      </c>
      <c r="W466" s="0">
        <f>IF(IF(B466="none",1,IF(B466="Trialer",1,0))+IF(C466="Customer",1,IF(C466="Lost",1,0))=2,1,0)</f>
      </c>
      <c r="X466" s="0" t="s">
        <v>153</v>
      </c>
      <c r="Y466" s="0" t="s">
        <v>499</v>
      </c>
      <c r="AV466" s="68"/>
      <c r="AW466" s="68"/>
      <c r="AY466" s="27"/>
      <c r="BD466" s="68">
        <v>46054.1666666667</v>
      </c>
      <c r="BE466" s="68">
        <v>46082.1666666667</v>
      </c>
      <c r="BF466" s="0" t="b">
        <v>1</v>
      </c>
      <c r="BG466" s="0" t="b">
        <v>0</v>
      </c>
      <c r="BH466" s="0">
        <v>0</v>
      </c>
      <c r="BI466" s="0">
        <v>0</v>
      </c>
      <c r="BJ466" s="0" t="s">
        <v>135</v>
      </c>
    </row>
    <row r="467">
      <c r="A467" s="0" t="s">
        <v>651</v>
      </c>
      <c r="B467" s="0" t="s">
        <v>652</v>
      </c>
      <c r="C467" s="0" t="s">
        <v>652</v>
      </c>
      <c r="D467" s="0" t="s">
        <v>135</v>
      </c>
      <c r="E467" s="0" t="s">
        <v>3</v>
      </c>
      <c r="F467" s="0" t="s">
        <v>12</v>
      </c>
      <c r="G467" s="0" t="s">
        <v>8</v>
      </c>
      <c r="H467" s="0">
        <v>3161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R467" s="0" t="b">
        <v>0</v>
      </c>
      <c r="S467" s="0" t="b">
        <v>0</v>
      </c>
      <c r="T467" s="68">
        <v>42892.4152777778</v>
      </c>
      <c r="U467" s="68">
        <v>0</v>
      </c>
      <c r="V467" s="68">
        <v>0</v>
      </c>
      <c r="W467" s="0">
        <f>IF(IF(B467="none",1,IF(B467="Trialer",1,0))+IF(C467="Customer",1,IF(C467="Lost",1,0))=2,1,0)</f>
      </c>
      <c r="X467" s="0" t="s">
        <v>653</v>
      </c>
      <c r="Y467" s="0" t="s">
        <v>243</v>
      </c>
      <c r="AV467" s="68"/>
      <c r="AW467" s="68"/>
      <c r="AY467" s="27"/>
      <c r="BD467" s="68">
        <v>46054.1666666667</v>
      </c>
      <c r="BE467" s="68">
        <v>46082.1666666667</v>
      </c>
      <c r="BF467" s="0" t="b">
        <v>1</v>
      </c>
      <c r="BG467" s="0" t="b">
        <v>0</v>
      </c>
      <c r="BH467" s="0">
        <v>0</v>
      </c>
      <c r="BI467" s="0">
        <v>0</v>
      </c>
      <c r="BJ467" s="0" t="s">
        <v>135</v>
      </c>
    </row>
    <row r="468">
      <c r="A468" s="0" t="s">
        <v>654</v>
      </c>
      <c r="B468" s="0" t="s">
        <v>134</v>
      </c>
      <c r="C468" s="0" t="s">
        <v>134</v>
      </c>
      <c r="D468" s="0" t="s">
        <v>135</v>
      </c>
      <c r="E468" s="0" t="s">
        <v>3</v>
      </c>
      <c r="F468" s="0" t="s">
        <v>12</v>
      </c>
      <c r="G468" s="0" t="s">
        <v>8</v>
      </c>
      <c r="H468" s="0">
        <v>3159</v>
      </c>
      <c r="I468" s="0">
        <v>38</v>
      </c>
      <c r="J468" s="0">
        <v>0</v>
      </c>
      <c r="K468" s="0">
        <v>1</v>
      </c>
      <c r="L468" s="0">
        <v>5</v>
      </c>
      <c r="M468" s="0">
        <v>1</v>
      </c>
      <c r="N468" s="0">
        <v>0</v>
      </c>
      <c r="O468" s="0">
        <v>0</v>
      </c>
      <c r="P468" s="0">
        <v>0</v>
      </c>
      <c r="R468" s="0" t="b">
        <v>0</v>
      </c>
      <c r="S468" s="0" t="b">
        <v>1</v>
      </c>
      <c r="T468" s="68">
        <v>42894.7305555556</v>
      </c>
      <c r="U468" s="68">
        <v>42942.5416666667</v>
      </c>
      <c r="V468" s="68">
        <v>0</v>
      </c>
      <c r="W468" s="0">
        <f>IF(IF(B468="none",1,IF(B468="Trialer",1,0))+IF(C468="Customer",1,IF(C468="Lost",1,0))=2,1,0)</f>
      </c>
      <c r="X468" s="0" t="s">
        <v>142</v>
      </c>
      <c r="Y468" s="0" t="s">
        <v>243</v>
      </c>
      <c r="AV468" s="68"/>
      <c r="AW468" s="68"/>
      <c r="AY468" s="27"/>
      <c r="BD468" s="68">
        <v>46054.1666666667</v>
      </c>
      <c r="BE468" s="68">
        <v>46082.1666666667</v>
      </c>
      <c r="BF468" s="0" t="b">
        <v>0</v>
      </c>
      <c r="BG468" s="0" t="b">
        <v>0</v>
      </c>
      <c r="BH468" s="0">
        <v>38</v>
      </c>
      <c r="BI468" s="0">
        <v>38</v>
      </c>
      <c r="BJ468" s="0" t="s">
        <v>135</v>
      </c>
    </row>
    <row r="469">
      <c r="A469" s="0" t="s">
        <v>655</v>
      </c>
      <c r="B469" s="0" t="s">
        <v>134</v>
      </c>
      <c r="C469" s="0" t="s">
        <v>134</v>
      </c>
      <c r="D469" s="0" t="s">
        <v>135</v>
      </c>
      <c r="E469" s="0" t="s">
        <v>2</v>
      </c>
      <c r="F469" s="0" t="s">
        <v>12</v>
      </c>
      <c r="G469" s="0" t="s">
        <v>8</v>
      </c>
      <c r="H469" s="0">
        <v>3148</v>
      </c>
      <c r="I469" s="0">
        <v>40</v>
      </c>
      <c r="J469" s="0">
        <v>0</v>
      </c>
      <c r="K469" s="0">
        <v>1</v>
      </c>
      <c r="L469" s="0">
        <v>2</v>
      </c>
      <c r="M469" s="0">
        <v>1</v>
      </c>
      <c r="N469" s="0">
        <v>0</v>
      </c>
      <c r="O469" s="0">
        <v>0</v>
      </c>
      <c r="P469" s="0">
        <v>0</v>
      </c>
      <c r="R469" s="0" t="b">
        <v>0</v>
      </c>
      <c r="S469" s="0" t="b">
        <v>1</v>
      </c>
      <c r="T469" s="68">
        <v>42905.3852083333</v>
      </c>
      <c r="U469" s="68">
        <v>42935.5416666667</v>
      </c>
      <c r="V469" s="68">
        <v>0</v>
      </c>
      <c r="W469" s="0">
        <f>IF(IF(B469="none",1,IF(B469="Trialer",1,0))+IF(C469="Customer",1,IF(C469="Lost",1,0))=2,1,0)</f>
      </c>
      <c r="X469" s="0" t="s">
        <v>142</v>
      </c>
      <c r="Y469" s="0" t="s">
        <v>499</v>
      </c>
      <c r="AV469" s="68"/>
      <c r="AW469" s="68"/>
      <c r="AY469" s="27"/>
      <c r="BD469" s="68">
        <v>46054.1666666667</v>
      </c>
      <c r="BE469" s="68">
        <v>46082.1666666667</v>
      </c>
      <c r="BF469" s="0" t="b">
        <v>0</v>
      </c>
      <c r="BG469" s="0" t="b">
        <v>0</v>
      </c>
      <c r="BH469" s="0">
        <v>40</v>
      </c>
      <c r="BI469" s="0">
        <v>40</v>
      </c>
      <c r="BJ469" s="0" t="s">
        <v>135</v>
      </c>
    </row>
    <row r="470">
      <c r="A470" s="0" t="s">
        <v>656</v>
      </c>
      <c r="B470" s="0" t="s">
        <v>134</v>
      </c>
      <c r="C470" s="0" t="s">
        <v>134</v>
      </c>
      <c r="D470" s="0" t="s">
        <v>135</v>
      </c>
      <c r="E470" s="0" t="s">
        <v>3</v>
      </c>
      <c r="F470" s="0" t="s">
        <v>12</v>
      </c>
      <c r="G470" s="0" t="s">
        <v>8</v>
      </c>
      <c r="H470" s="0">
        <v>3141</v>
      </c>
      <c r="I470" s="0">
        <v>0</v>
      </c>
      <c r="J470" s="0">
        <v>0</v>
      </c>
      <c r="K470" s="0">
        <v>1</v>
      </c>
      <c r="L470" s="0">
        <v>3</v>
      </c>
      <c r="M470" s="0">
        <v>1</v>
      </c>
      <c r="N470" s="0">
        <v>0</v>
      </c>
      <c r="O470" s="0">
        <v>0</v>
      </c>
      <c r="P470" s="0">
        <v>0</v>
      </c>
      <c r="R470" s="0" t="b">
        <v>0</v>
      </c>
      <c r="S470" s="0" t="b">
        <v>1</v>
      </c>
      <c r="T470" s="68">
        <v>42912.8284722222</v>
      </c>
      <c r="U470" s="68">
        <v>42950.5416666667</v>
      </c>
      <c r="V470" s="68">
        <v>0</v>
      </c>
      <c r="W470" s="0">
        <f>IF(IF(B470="none",1,IF(B470="Trialer",1,0))+IF(C470="Customer",1,IF(C470="Lost",1,0))=2,1,0)</f>
      </c>
      <c r="X470" s="0" t="s">
        <v>153</v>
      </c>
      <c r="Y470" s="0" t="s">
        <v>243</v>
      </c>
      <c r="AV470" s="68"/>
      <c r="AW470" s="68"/>
      <c r="AY470" s="27"/>
      <c r="BD470" s="68">
        <v>46054.1666666667</v>
      </c>
      <c r="BE470" s="68">
        <v>46082.1666666667</v>
      </c>
      <c r="BF470" s="0" t="b">
        <v>0</v>
      </c>
      <c r="BG470" s="0" t="b">
        <v>0</v>
      </c>
      <c r="BH470" s="0">
        <v>0</v>
      </c>
      <c r="BI470" s="0">
        <v>0</v>
      </c>
      <c r="BJ470" s="0" t="s">
        <v>135</v>
      </c>
    </row>
    <row r="471">
      <c r="A471" s="0" t="s">
        <v>657</v>
      </c>
      <c r="B471" s="0" t="s">
        <v>134</v>
      </c>
      <c r="C471" s="0" t="s">
        <v>134</v>
      </c>
      <c r="D471" s="0" t="s">
        <v>135</v>
      </c>
      <c r="E471" s="0" t="s">
        <v>3</v>
      </c>
      <c r="F471" s="0" t="s">
        <v>12</v>
      </c>
      <c r="G471" s="0" t="s">
        <v>8</v>
      </c>
      <c r="H471" s="0">
        <v>3140</v>
      </c>
      <c r="I471" s="0">
        <v>52</v>
      </c>
      <c r="J471" s="0">
        <v>0</v>
      </c>
      <c r="K471" s="0">
        <v>1</v>
      </c>
      <c r="L471" s="0">
        <v>3</v>
      </c>
      <c r="M471" s="0">
        <v>1</v>
      </c>
      <c r="N471" s="0">
        <v>0</v>
      </c>
      <c r="O471" s="0">
        <v>0</v>
      </c>
      <c r="P471" s="0">
        <v>0</v>
      </c>
      <c r="R471" s="0" t="b">
        <v>0</v>
      </c>
      <c r="S471" s="0" t="b">
        <v>1</v>
      </c>
      <c r="T471" s="68">
        <v>42913.5</v>
      </c>
      <c r="U471" s="68">
        <v>42955.5416666667</v>
      </c>
      <c r="V471" s="68">
        <v>0</v>
      </c>
      <c r="W471" s="0">
        <f>IF(IF(B471="none",1,IF(B471="Trialer",1,0))+IF(C471="Customer",1,IF(C471="Lost",1,0))=2,1,0)</f>
      </c>
      <c r="X471" s="0" t="s">
        <v>142</v>
      </c>
      <c r="Y471" s="0" t="s">
        <v>243</v>
      </c>
      <c r="AV471" s="68"/>
      <c r="AW471" s="68"/>
      <c r="AY471" s="27"/>
      <c r="BD471" s="68">
        <v>46054.1666666667</v>
      </c>
      <c r="BE471" s="68">
        <v>46082.1666666667</v>
      </c>
      <c r="BF471" s="0" t="b">
        <v>0</v>
      </c>
      <c r="BG471" s="0" t="b">
        <v>0</v>
      </c>
      <c r="BH471" s="0">
        <v>52</v>
      </c>
      <c r="BI471" s="0">
        <v>52</v>
      </c>
      <c r="BJ471" s="0" t="s">
        <v>135</v>
      </c>
    </row>
    <row r="472">
      <c r="A472" s="0" t="s">
        <v>658</v>
      </c>
      <c r="B472" s="0" t="s">
        <v>134</v>
      </c>
      <c r="C472" s="0" t="s">
        <v>134</v>
      </c>
      <c r="D472" s="0" t="s">
        <v>135</v>
      </c>
      <c r="E472" s="0" t="s">
        <v>2</v>
      </c>
      <c r="F472" s="0" t="s">
        <v>12</v>
      </c>
      <c r="G472" s="0" t="s">
        <v>8</v>
      </c>
      <c r="H472" s="0">
        <v>3137</v>
      </c>
      <c r="I472" s="0">
        <v>252</v>
      </c>
      <c r="J472" s="0">
        <v>0</v>
      </c>
      <c r="K472" s="0">
        <v>1</v>
      </c>
      <c r="L472" s="0">
        <v>3</v>
      </c>
      <c r="M472" s="0">
        <v>6</v>
      </c>
      <c r="N472" s="0">
        <v>0</v>
      </c>
      <c r="O472" s="0">
        <v>0</v>
      </c>
      <c r="P472" s="0">
        <v>0</v>
      </c>
      <c r="R472" s="0" t="b">
        <v>0</v>
      </c>
      <c r="S472" s="0" t="b">
        <v>1</v>
      </c>
      <c r="T472" s="68">
        <v>42916.479849537</v>
      </c>
      <c r="U472" s="68">
        <v>42946.5416666667</v>
      </c>
      <c r="V472" s="68">
        <v>0</v>
      </c>
      <c r="W472" s="0">
        <f>IF(IF(B472="none",1,IF(B472="Trialer",1,0))+IF(C472="Customer",1,IF(C472="Lost",1,0))=2,1,0)</f>
      </c>
      <c r="X472" s="0" t="s">
        <v>148</v>
      </c>
      <c r="Y472" s="0" t="s">
        <v>499</v>
      </c>
      <c r="AV472" s="68"/>
      <c r="AW472" s="68"/>
      <c r="AY472" s="27"/>
      <c r="BD472" s="68">
        <v>46054.1666666667</v>
      </c>
      <c r="BE472" s="68">
        <v>46082.1666666667</v>
      </c>
      <c r="BF472" s="0" t="b">
        <v>0</v>
      </c>
      <c r="BG472" s="0" t="b">
        <v>0</v>
      </c>
      <c r="BH472" s="0">
        <v>252</v>
      </c>
      <c r="BI472" s="0">
        <v>252</v>
      </c>
      <c r="BJ472" s="0" t="s">
        <v>135</v>
      </c>
    </row>
    <row r="473">
      <c r="A473" s="0" t="s">
        <v>659</v>
      </c>
      <c r="B473" s="0" t="s">
        <v>134</v>
      </c>
      <c r="C473" s="0" t="s">
        <v>134</v>
      </c>
      <c r="D473" s="0" t="s">
        <v>230</v>
      </c>
      <c r="E473" s="0" t="s">
        <v>2</v>
      </c>
      <c r="F473" s="0" t="s">
        <v>10</v>
      </c>
      <c r="G473" s="0" t="s">
        <v>8</v>
      </c>
      <c r="H473" s="0">
        <v>3130</v>
      </c>
      <c r="I473" s="0">
        <v>280</v>
      </c>
      <c r="J473" s="0">
        <v>0</v>
      </c>
      <c r="K473" s="0">
        <v>1</v>
      </c>
      <c r="L473" s="0">
        <v>2</v>
      </c>
      <c r="M473" s="0">
        <v>8</v>
      </c>
      <c r="N473" s="0">
        <v>0</v>
      </c>
      <c r="O473" s="0">
        <v>0</v>
      </c>
      <c r="P473" s="0">
        <v>-280</v>
      </c>
      <c r="Q473" s="0" t="s">
        <v>660</v>
      </c>
      <c r="R473" s="0" t="b">
        <v>0</v>
      </c>
      <c r="S473" s="0" t="b">
        <v>1</v>
      </c>
      <c r="T473" s="68">
        <v>42923.4270833333</v>
      </c>
      <c r="U473" s="68">
        <v>42954.5416666667</v>
      </c>
      <c r="V473" s="68">
        <v>0</v>
      </c>
      <c r="W473" s="0">
        <f>IF(IF(B473="none",1,IF(B473="Trialer",1,0))+IF(C473="Customer",1,IF(C473="Lost",1,0))=2,1,0)</f>
      </c>
      <c r="X473" s="0" t="s">
        <v>148</v>
      </c>
      <c r="Y473" s="0" t="s">
        <v>499</v>
      </c>
      <c r="AV473" s="68"/>
      <c r="AW473" s="68"/>
      <c r="AY473" s="27"/>
      <c r="BD473" s="68">
        <v>46054.1666666667</v>
      </c>
      <c r="BE473" s="68">
        <v>46082.1666666667</v>
      </c>
      <c r="BF473" s="0" t="b">
        <v>0</v>
      </c>
      <c r="BG473" s="0" t="b">
        <v>0</v>
      </c>
      <c r="BH473" s="0">
        <v>320</v>
      </c>
      <c r="BI473" s="0">
        <v>320</v>
      </c>
      <c r="BJ473" s="0" t="s">
        <v>230</v>
      </c>
    </row>
    <row r="474">
      <c r="A474" s="0" t="s">
        <v>661</v>
      </c>
      <c r="B474" s="0" t="s">
        <v>134</v>
      </c>
      <c r="C474" s="0" t="s">
        <v>134</v>
      </c>
      <c r="D474" s="0" t="s">
        <v>135</v>
      </c>
      <c r="E474" s="0" t="s">
        <v>3</v>
      </c>
      <c r="F474" s="0" t="s">
        <v>12</v>
      </c>
      <c r="G474" s="0" t="s">
        <v>8</v>
      </c>
      <c r="H474" s="0">
        <v>3130</v>
      </c>
      <c r="I474" s="0">
        <v>0</v>
      </c>
      <c r="J474" s="0">
        <v>0</v>
      </c>
      <c r="K474" s="0">
        <v>1</v>
      </c>
      <c r="L474" s="0">
        <v>4</v>
      </c>
      <c r="M474" s="0">
        <v>1</v>
      </c>
      <c r="N474" s="0">
        <v>0</v>
      </c>
      <c r="O474" s="0">
        <v>0</v>
      </c>
      <c r="P474" s="0">
        <v>0</v>
      </c>
      <c r="R474" s="0" t="b">
        <v>0</v>
      </c>
      <c r="S474" s="0" t="b">
        <v>1</v>
      </c>
      <c r="T474" s="68">
        <v>42923.6555555556</v>
      </c>
      <c r="U474" s="68">
        <v>42954.5416666667</v>
      </c>
      <c r="V474" s="68">
        <v>0</v>
      </c>
      <c r="W474" s="0">
        <f>IF(IF(B474="none",1,IF(B474="Trialer",1,0))+IF(C474="Customer",1,IF(C474="Lost",1,0))=2,1,0)</f>
      </c>
      <c r="X474" s="0" t="s">
        <v>142</v>
      </c>
      <c r="Y474" s="0" t="s">
        <v>243</v>
      </c>
      <c r="AV474" s="68"/>
      <c r="AW474" s="68"/>
      <c r="AY474" s="27"/>
      <c r="BD474" s="68">
        <v>46054.1666666667</v>
      </c>
      <c r="BE474" s="68">
        <v>46082.1666666667</v>
      </c>
      <c r="BF474" s="0" t="b">
        <v>1</v>
      </c>
      <c r="BG474" s="0" t="b">
        <v>0</v>
      </c>
      <c r="BH474" s="0">
        <v>0</v>
      </c>
      <c r="BI474" s="0">
        <v>0</v>
      </c>
      <c r="BJ474" s="0" t="s">
        <v>135</v>
      </c>
    </row>
    <row r="475">
      <c r="A475" s="0" t="s">
        <v>662</v>
      </c>
      <c r="B475" s="0" t="s">
        <v>134</v>
      </c>
      <c r="C475" s="0" t="s">
        <v>134</v>
      </c>
      <c r="D475" s="0" t="s">
        <v>135</v>
      </c>
      <c r="E475" s="0" t="s">
        <v>2</v>
      </c>
      <c r="F475" s="0" t="s">
        <v>12</v>
      </c>
      <c r="G475" s="0" t="s">
        <v>8</v>
      </c>
      <c r="H475" s="0">
        <v>3123</v>
      </c>
      <c r="I475" s="0">
        <v>396</v>
      </c>
      <c r="J475" s="0">
        <v>0</v>
      </c>
      <c r="K475" s="0">
        <v>1</v>
      </c>
      <c r="L475" s="0">
        <v>5</v>
      </c>
      <c r="M475" s="0">
        <v>6</v>
      </c>
      <c r="N475" s="0">
        <v>0</v>
      </c>
      <c r="O475" s="0">
        <v>0</v>
      </c>
      <c r="P475" s="0">
        <v>0</v>
      </c>
      <c r="R475" s="0" t="b">
        <v>0</v>
      </c>
      <c r="S475" s="0" t="b">
        <v>1</v>
      </c>
      <c r="T475" s="68">
        <v>42930.5215277778</v>
      </c>
      <c r="U475" s="68">
        <v>42962.5416666667</v>
      </c>
      <c r="V475" s="68">
        <v>0</v>
      </c>
      <c r="W475" s="0">
        <f>IF(IF(B475="none",1,IF(B475="Trialer",1,0))+IF(C475="Customer",1,IF(C475="Lost",1,0))=2,1,0)</f>
      </c>
      <c r="X475" s="0" t="s">
        <v>148</v>
      </c>
      <c r="Y475" s="0" t="s">
        <v>499</v>
      </c>
      <c r="AV475" s="68"/>
      <c r="AW475" s="68"/>
      <c r="AY475" s="27"/>
      <c r="BD475" s="68">
        <v>46054.1666666667</v>
      </c>
      <c r="BE475" s="68">
        <v>46082.1666666667</v>
      </c>
      <c r="BF475" s="0" t="b">
        <v>0</v>
      </c>
      <c r="BG475" s="0" t="b">
        <v>0</v>
      </c>
      <c r="BH475" s="0">
        <v>396</v>
      </c>
      <c r="BI475" s="0">
        <v>396</v>
      </c>
      <c r="BJ475" s="0" t="s">
        <v>135</v>
      </c>
    </row>
    <row r="476">
      <c r="A476" s="0" t="s">
        <v>663</v>
      </c>
      <c r="B476" s="0" t="s">
        <v>134</v>
      </c>
      <c r="C476" s="0" t="s">
        <v>134</v>
      </c>
      <c r="D476" s="0" t="s">
        <v>135</v>
      </c>
      <c r="E476" s="0" t="s">
        <v>3</v>
      </c>
      <c r="F476" s="0" t="s">
        <v>12</v>
      </c>
      <c r="G476" s="0" t="s">
        <v>7</v>
      </c>
      <c r="H476" s="0">
        <v>3118</v>
      </c>
      <c r="I476" s="0">
        <v>120</v>
      </c>
      <c r="J476" s="0">
        <v>0</v>
      </c>
      <c r="K476" s="0">
        <v>1</v>
      </c>
      <c r="L476" s="0">
        <v>1</v>
      </c>
      <c r="M476" s="0">
        <v>3</v>
      </c>
      <c r="N476" s="0">
        <v>0</v>
      </c>
      <c r="O476" s="0">
        <v>0</v>
      </c>
      <c r="P476" s="0">
        <v>0</v>
      </c>
      <c r="R476" s="0" t="b">
        <v>0</v>
      </c>
      <c r="S476" s="0" t="b">
        <v>1</v>
      </c>
      <c r="T476" s="68">
        <v>42935.4333333333</v>
      </c>
      <c r="U476" s="68">
        <v>42935.5416666667</v>
      </c>
      <c r="V476" s="68">
        <v>0</v>
      </c>
      <c r="W476" s="0">
        <f>IF(IF(B476="none",1,IF(B476="Trialer",1,0))+IF(C476="Customer",1,IF(C476="Lost",1,0))=2,1,0)</f>
      </c>
      <c r="X476" s="0" t="s">
        <v>136</v>
      </c>
      <c r="Y476" s="0" t="s">
        <v>213</v>
      </c>
      <c r="AV476" s="68"/>
      <c r="AW476" s="68"/>
      <c r="AY476" s="27"/>
      <c r="BD476" s="68">
        <v>46054.1666666667</v>
      </c>
      <c r="BE476" s="68">
        <v>46082.1666666667</v>
      </c>
      <c r="BF476" s="0" t="b">
        <v>0</v>
      </c>
      <c r="BG476" s="0" t="b">
        <v>0</v>
      </c>
      <c r="BH476" s="0">
        <v>120</v>
      </c>
      <c r="BI476" s="0">
        <v>120</v>
      </c>
      <c r="BJ476" s="0" t="s">
        <v>135</v>
      </c>
    </row>
    <row r="477">
      <c r="A477" s="0" t="s">
        <v>664</v>
      </c>
      <c r="B477" s="0" t="s">
        <v>134</v>
      </c>
      <c r="C477" s="0" t="s">
        <v>134</v>
      </c>
      <c r="D477" s="0" t="s">
        <v>135</v>
      </c>
      <c r="E477" s="0" t="s">
        <v>2</v>
      </c>
      <c r="F477" s="0" t="s">
        <v>10</v>
      </c>
      <c r="G477" s="0" t="s">
        <v>7</v>
      </c>
      <c r="H477" s="0">
        <v>3117</v>
      </c>
      <c r="I477" s="0">
        <v>120</v>
      </c>
      <c r="J477" s="0">
        <v>0</v>
      </c>
      <c r="K477" s="0">
        <v>1</v>
      </c>
      <c r="L477" s="0">
        <v>1</v>
      </c>
      <c r="M477" s="0">
        <v>3</v>
      </c>
      <c r="N477" s="0">
        <v>0</v>
      </c>
      <c r="O477" s="0">
        <v>0</v>
      </c>
      <c r="P477" s="0">
        <v>0</v>
      </c>
      <c r="Q477" s="0" t="s">
        <v>266</v>
      </c>
      <c r="R477" s="0" t="b">
        <v>0</v>
      </c>
      <c r="S477" s="0" t="b">
        <v>1</v>
      </c>
      <c r="T477" s="68">
        <v>42936.5</v>
      </c>
      <c r="U477" s="68">
        <v>42936.5416666667</v>
      </c>
      <c r="V477" s="68">
        <v>0</v>
      </c>
      <c r="W477" s="0">
        <f>IF(IF(B477="none",1,IF(B477="Trialer",1,0))+IF(C477="Customer",1,IF(C477="Lost",1,0))=2,1,0)</f>
      </c>
      <c r="X477" s="0" t="s">
        <v>148</v>
      </c>
      <c r="Y477" s="0" t="s">
        <v>403</v>
      </c>
      <c r="AV477" s="68"/>
      <c r="AW477" s="68"/>
      <c r="AY477" s="27"/>
      <c r="BD477" s="68">
        <v>46054.1666666667</v>
      </c>
      <c r="BE477" s="68">
        <v>46082.1666666667</v>
      </c>
      <c r="BF477" s="0" t="b">
        <v>0</v>
      </c>
      <c r="BG477" s="0" t="b">
        <v>0</v>
      </c>
      <c r="BH477" s="0">
        <v>120</v>
      </c>
      <c r="BI477" s="0">
        <v>120</v>
      </c>
      <c r="BJ477" s="0" t="s">
        <v>135</v>
      </c>
    </row>
    <row r="478">
      <c r="A478" s="0" t="s">
        <v>665</v>
      </c>
      <c r="B478" s="0" t="s">
        <v>134</v>
      </c>
      <c r="C478" s="0" t="s">
        <v>134</v>
      </c>
      <c r="D478" s="0" t="s">
        <v>230</v>
      </c>
      <c r="E478" s="0" t="s">
        <v>3</v>
      </c>
      <c r="F478" s="0" t="s">
        <v>12</v>
      </c>
      <c r="G478" s="0" t="s">
        <v>8</v>
      </c>
      <c r="H478" s="0">
        <v>3116</v>
      </c>
      <c r="I478" s="0">
        <v>395</v>
      </c>
      <c r="J478" s="0">
        <v>0</v>
      </c>
      <c r="K478" s="0">
        <v>1</v>
      </c>
      <c r="L478" s="0">
        <v>4</v>
      </c>
      <c r="M478" s="0">
        <v>9</v>
      </c>
      <c r="N478" s="0">
        <v>0</v>
      </c>
      <c r="O478" s="0">
        <v>0</v>
      </c>
      <c r="P478" s="0">
        <v>-395</v>
      </c>
      <c r="R478" s="0" t="b">
        <v>0</v>
      </c>
      <c r="S478" s="0" t="b">
        <v>1</v>
      </c>
      <c r="T478" s="68">
        <v>42937.8013888889</v>
      </c>
      <c r="U478" s="68">
        <v>42970.5416666667</v>
      </c>
      <c r="V478" s="68">
        <v>0</v>
      </c>
      <c r="W478" s="0">
        <f>IF(IF(B478="none",1,IF(B478="Trialer",1,0))+IF(C478="Customer",1,IF(C478="Lost",1,0))=2,1,0)</f>
      </c>
      <c r="X478" s="0" t="s">
        <v>145</v>
      </c>
      <c r="Y478" s="0" t="s">
        <v>243</v>
      </c>
      <c r="AV478" s="68"/>
      <c r="AW478" s="68"/>
      <c r="AY478" s="27"/>
      <c r="BD478" s="68">
        <v>46054.1666666667</v>
      </c>
      <c r="BE478" s="68">
        <v>46082.1666666667</v>
      </c>
      <c r="BF478" s="0" t="b">
        <v>0</v>
      </c>
      <c r="BG478" s="0" t="b">
        <v>0</v>
      </c>
      <c r="BH478" s="0">
        <v>456</v>
      </c>
      <c r="BI478" s="0">
        <v>456</v>
      </c>
      <c r="BJ478" s="0" t="s">
        <v>230</v>
      </c>
    </row>
    <row r="479">
      <c r="A479" s="0" t="s">
        <v>666</v>
      </c>
      <c r="B479" s="0" t="s">
        <v>134</v>
      </c>
      <c r="C479" s="0" t="s">
        <v>134</v>
      </c>
      <c r="D479" s="0" t="s">
        <v>135</v>
      </c>
      <c r="E479" s="0" t="s">
        <v>3</v>
      </c>
      <c r="F479" s="0" t="s">
        <v>12</v>
      </c>
      <c r="G479" s="0" t="s">
        <v>8</v>
      </c>
      <c r="H479" s="0">
        <v>3113</v>
      </c>
      <c r="I479" s="0">
        <v>164</v>
      </c>
      <c r="J479" s="0">
        <v>0</v>
      </c>
      <c r="K479" s="0">
        <v>1</v>
      </c>
      <c r="L479" s="0">
        <v>3</v>
      </c>
      <c r="M479" s="0">
        <v>5</v>
      </c>
      <c r="N479" s="0">
        <v>0</v>
      </c>
      <c r="O479" s="0">
        <v>0</v>
      </c>
      <c r="P479" s="0">
        <v>0</v>
      </c>
      <c r="R479" s="0" t="b">
        <v>0</v>
      </c>
      <c r="S479" s="0" t="b">
        <v>1</v>
      </c>
      <c r="T479" s="68">
        <v>42940.7863310185</v>
      </c>
      <c r="U479" s="68">
        <v>42971.5416666667</v>
      </c>
      <c r="V479" s="68">
        <v>0</v>
      </c>
      <c r="W479" s="0">
        <f>IF(IF(B479="none",1,IF(B479="Trialer",1,0))+IF(C479="Customer",1,IF(C479="Lost",1,0))=2,1,0)</f>
      </c>
      <c r="X479" s="0" t="s">
        <v>136</v>
      </c>
      <c r="Y479" s="0" t="s">
        <v>243</v>
      </c>
      <c r="AV479" s="68"/>
      <c r="AW479" s="68"/>
      <c r="AY479" s="27"/>
      <c r="BD479" s="68">
        <v>46054.1666666667</v>
      </c>
      <c r="BE479" s="68">
        <v>46082.1666666667</v>
      </c>
      <c r="BF479" s="0" t="b">
        <v>0</v>
      </c>
      <c r="BG479" s="0" t="b">
        <v>0</v>
      </c>
      <c r="BH479" s="0">
        <v>164</v>
      </c>
      <c r="BI479" s="0">
        <v>164</v>
      </c>
      <c r="BJ479" s="0" t="s">
        <v>135</v>
      </c>
    </row>
    <row r="480">
      <c r="A480" s="0" t="s">
        <v>667</v>
      </c>
      <c r="B480" s="0" t="s">
        <v>134</v>
      </c>
      <c r="C480" s="0" t="s">
        <v>134</v>
      </c>
      <c r="D480" s="0" t="s">
        <v>230</v>
      </c>
      <c r="E480" s="0" t="s">
        <v>3</v>
      </c>
      <c r="F480" s="0" t="s">
        <v>12</v>
      </c>
      <c r="G480" s="0" t="s">
        <v>8</v>
      </c>
      <c r="H480" s="0">
        <v>3112</v>
      </c>
      <c r="I480" s="0">
        <v>35</v>
      </c>
      <c r="J480" s="0">
        <v>0</v>
      </c>
      <c r="K480" s="0">
        <v>1</v>
      </c>
      <c r="L480" s="0">
        <v>2</v>
      </c>
      <c r="M480" s="0">
        <v>1</v>
      </c>
      <c r="N480" s="0">
        <v>0</v>
      </c>
      <c r="O480" s="0">
        <v>0</v>
      </c>
      <c r="P480" s="0">
        <v>-35</v>
      </c>
      <c r="R480" s="0" t="b">
        <v>0</v>
      </c>
      <c r="S480" s="0" t="b">
        <v>1</v>
      </c>
      <c r="T480" s="68">
        <v>42941.6661805556</v>
      </c>
      <c r="U480" s="68">
        <v>42972.5416666667</v>
      </c>
      <c r="V480" s="68">
        <v>0</v>
      </c>
      <c r="W480" s="0">
        <f>IF(IF(B480="none",1,IF(B480="Trialer",1,0))+IF(C480="Customer",1,IF(C480="Lost",1,0))=2,1,0)</f>
      </c>
      <c r="X480" s="0" t="s">
        <v>142</v>
      </c>
      <c r="Y480" s="0" t="s">
        <v>243</v>
      </c>
      <c r="AV480" s="68"/>
      <c r="AW480" s="68"/>
      <c r="AY480" s="27"/>
      <c r="BD480" s="68">
        <v>46054.1666666667</v>
      </c>
      <c r="BE480" s="68">
        <v>46082.1666666667</v>
      </c>
      <c r="BF480" s="0" t="b">
        <v>0</v>
      </c>
      <c r="BG480" s="0" t="b">
        <v>0</v>
      </c>
      <c r="BH480" s="0">
        <v>40</v>
      </c>
      <c r="BI480" s="0">
        <v>40</v>
      </c>
      <c r="BJ480" s="0" t="s">
        <v>230</v>
      </c>
    </row>
    <row r="481">
      <c r="A481" s="0" t="s">
        <v>668</v>
      </c>
      <c r="B481" s="0" t="s">
        <v>134</v>
      </c>
      <c r="C481" s="0" t="s">
        <v>134</v>
      </c>
      <c r="D481" s="0" t="s">
        <v>135</v>
      </c>
      <c r="E481" s="0" t="s">
        <v>2</v>
      </c>
      <c r="F481" s="0" t="s">
        <v>12</v>
      </c>
      <c r="G481" s="0" t="s">
        <v>8</v>
      </c>
      <c r="H481" s="0">
        <v>3110</v>
      </c>
      <c r="I481" s="0">
        <v>0</v>
      </c>
      <c r="J481" s="0">
        <v>0</v>
      </c>
      <c r="K481" s="0">
        <v>1</v>
      </c>
      <c r="L481" s="0">
        <v>1</v>
      </c>
      <c r="M481" s="0">
        <v>1</v>
      </c>
      <c r="N481" s="0">
        <v>0</v>
      </c>
      <c r="O481" s="0">
        <v>0</v>
      </c>
      <c r="P481" s="0">
        <v>0</v>
      </c>
      <c r="R481" s="0" t="b">
        <v>0</v>
      </c>
      <c r="S481" s="0" t="b">
        <v>1</v>
      </c>
      <c r="T481" s="68">
        <v>42943.3736111111</v>
      </c>
      <c r="U481" s="68">
        <v>42974.5416666667</v>
      </c>
      <c r="V481" s="68">
        <v>0</v>
      </c>
      <c r="W481" s="0">
        <f>IF(IF(B481="none",1,IF(B481="Trialer",1,0))+IF(C481="Customer",1,IF(C481="Lost",1,0))=2,1,0)</f>
      </c>
      <c r="X481" s="0" t="s">
        <v>148</v>
      </c>
      <c r="Y481" s="0" t="s">
        <v>499</v>
      </c>
      <c r="AV481" s="68"/>
      <c r="AW481" s="68"/>
      <c r="AY481" s="27"/>
      <c r="BD481" s="68">
        <v>46054.1666666667</v>
      </c>
      <c r="BE481" s="68">
        <v>46082.1666666667</v>
      </c>
      <c r="BF481" s="0" t="b">
        <v>0</v>
      </c>
      <c r="BG481" s="0" t="b">
        <v>0</v>
      </c>
      <c r="BH481" s="0">
        <v>0</v>
      </c>
      <c r="BI481" s="0">
        <v>0</v>
      </c>
      <c r="BJ481" s="0" t="s">
        <v>135</v>
      </c>
    </row>
    <row r="482">
      <c r="A482" s="0" t="s">
        <v>669</v>
      </c>
      <c r="B482" s="0" t="s">
        <v>134</v>
      </c>
      <c r="C482" s="0" t="s">
        <v>134</v>
      </c>
      <c r="D482" s="0" t="s">
        <v>135</v>
      </c>
      <c r="E482" s="0" t="s">
        <v>2</v>
      </c>
      <c r="F482" s="0" t="s">
        <v>12</v>
      </c>
      <c r="G482" s="0" t="s">
        <v>8</v>
      </c>
      <c r="H482" s="0">
        <v>3109</v>
      </c>
      <c r="I482" s="0">
        <v>40</v>
      </c>
      <c r="J482" s="0">
        <v>0</v>
      </c>
      <c r="K482" s="0">
        <v>1</v>
      </c>
      <c r="L482" s="0">
        <v>2</v>
      </c>
      <c r="M482" s="0">
        <v>1</v>
      </c>
      <c r="N482" s="0">
        <v>0</v>
      </c>
      <c r="O482" s="0">
        <v>0</v>
      </c>
      <c r="P482" s="0">
        <v>0</v>
      </c>
      <c r="R482" s="0" t="b">
        <v>0</v>
      </c>
      <c r="S482" s="0" t="b">
        <v>1</v>
      </c>
      <c r="T482" s="68">
        <v>42944.5444444444</v>
      </c>
      <c r="U482" s="68">
        <v>42975.5416666667</v>
      </c>
      <c r="V482" s="68">
        <v>0</v>
      </c>
      <c r="W482" s="0">
        <f>IF(IF(B482="none",1,IF(B482="Trialer",1,0))+IF(C482="Customer",1,IF(C482="Lost",1,0))=2,1,0)</f>
      </c>
      <c r="X482" s="0" t="s">
        <v>166</v>
      </c>
      <c r="Y482" s="0" t="s">
        <v>499</v>
      </c>
      <c r="AV482" s="68"/>
      <c r="AW482" s="68"/>
      <c r="AY482" s="27"/>
      <c r="BD482" s="68">
        <v>46054.1666666667</v>
      </c>
      <c r="BE482" s="68">
        <v>46082.1666666667</v>
      </c>
      <c r="BF482" s="0" t="b">
        <v>0</v>
      </c>
      <c r="BG482" s="0" t="b">
        <v>0</v>
      </c>
      <c r="BH482" s="0">
        <v>40</v>
      </c>
      <c r="BI482" s="0">
        <v>40</v>
      </c>
      <c r="BJ482" s="0" t="s">
        <v>135</v>
      </c>
    </row>
    <row r="483">
      <c r="A483" s="0" t="s">
        <v>670</v>
      </c>
      <c r="B483" s="0" t="s">
        <v>134</v>
      </c>
      <c r="C483" s="0" t="s">
        <v>134</v>
      </c>
      <c r="D483" s="0" t="s">
        <v>135</v>
      </c>
      <c r="E483" s="0" t="s">
        <v>2</v>
      </c>
      <c r="F483" s="0" t="s">
        <v>12</v>
      </c>
      <c r="G483" s="0" t="s">
        <v>8</v>
      </c>
      <c r="H483" s="0">
        <v>3105</v>
      </c>
      <c r="I483" s="0">
        <v>80</v>
      </c>
      <c r="J483" s="0">
        <v>0</v>
      </c>
      <c r="K483" s="0">
        <v>1</v>
      </c>
      <c r="L483" s="0">
        <v>2</v>
      </c>
      <c r="M483" s="0">
        <v>2</v>
      </c>
      <c r="N483" s="0">
        <v>0</v>
      </c>
      <c r="O483" s="0">
        <v>0</v>
      </c>
      <c r="P483" s="0">
        <v>0</v>
      </c>
      <c r="R483" s="0" t="b">
        <v>0</v>
      </c>
      <c r="S483" s="0" t="b">
        <v>1</v>
      </c>
      <c r="T483" s="68">
        <v>42948.9298611111</v>
      </c>
      <c r="U483" s="68">
        <v>43028.5416666667</v>
      </c>
      <c r="V483" s="68">
        <v>0</v>
      </c>
      <c r="W483" s="0">
        <f>IF(IF(B483="none",1,IF(B483="Trialer",1,0))+IF(C483="Customer",1,IF(C483="Lost",1,0))=2,1,0)</f>
      </c>
      <c r="X483" s="0" t="s">
        <v>142</v>
      </c>
      <c r="Y483" s="0" t="s">
        <v>499</v>
      </c>
      <c r="AV483" s="68"/>
      <c r="AW483" s="68"/>
      <c r="AY483" s="27"/>
      <c r="BD483" s="68">
        <v>46054.1666666667</v>
      </c>
      <c r="BE483" s="68">
        <v>46082.1666666667</v>
      </c>
      <c r="BF483" s="0" t="b">
        <v>0</v>
      </c>
      <c r="BG483" s="0" t="b">
        <v>0</v>
      </c>
      <c r="BH483" s="0">
        <v>80</v>
      </c>
      <c r="BI483" s="0">
        <v>80</v>
      </c>
      <c r="BJ483" s="0" t="s">
        <v>135</v>
      </c>
    </row>
    <row r="484">
      <c r="A484" s="0" t="s">
        <v>671</v>
      </c>
      <c r="B484" s="0" t="s">
        <v>134</v>
      </c>
      <c r="C484" s="0" t="s">
        <v>134</v>
      </c>
      <c r="D484" s="0" t="s">
        <v>230</v>
      </c>
      <c r="E484" s="0" t="s">
        <v>2</v>
      </c>
      <c r="F484" s="0" t="s">
        <v>12</v>
      </c>
      <c r="G484" s="0" t="s">
        <v>8</v>
      </c>
      <c r="H484" s="0">
        <v>3102</v>
      </c>
      <c r="I484" s="0">
        <v>35</v>
      </c>
      <c r="J484" s="0">
        <v>0</v>
      </c>
      <c r="K484" s="0">
        <v>1</v>
      </c>
      <c r="L484" s="0">
        <v>2</v>
      </c>
      <c r="M484" s="0">
        <v>1</v>
      </c>
      <c r="N484" s="0">
        <v>0</v>
      </c>
      <c r="O484" s="0">
        <v>0</v>
      </c>
      <c r="P484" s="0">
        <v>-35</v>
      </c>
      <c r="R484" s="0" t="b">
        <v>0</v>
      </c>
      <c r="S484" s="0" t="b">
        <v>1</v>
      </c>
      <c r="T484" s="68">
        <v>42951.74375</v>
      </c>
      <c r="U484" s="68">
        <v>42982.5416666667</v>
      </c>
      <c r="V484" s="68">
        <v>0</v>
      </c>
      <c r="W484" s="0">
        <f>IF(IF(B484="none",1,IF(B484="Trialer",1,0))+IF(C484="Customer",1,IF(C484="Lost",1,0))=2,1,0)</f>
      </c>
      <c r="X484" s="0" t="s">
        <v>166</v>
      </c>
      <c r="Y484" s="0" t="s">
        <v>499</v>
      </c>
      <c r="AV484" s="68"/>
      <c r="AW484" s="68"/>
      <c r="AY484" s="27"/>
      <c r="BD484" s="68">
        <v>46054.1666666667</v>
      </c>
      <c r="BE484" s="68">
        <v>46082.1666666667</v>
      </c>
      <c r="BF484" s="0" t="b">
        <v>0</v>
      </c>
      <c r="BG484" s="0" t="b">
        <v>0</v>
      </c>
      <c r="BH484" s="0">
        <v>40</v>
      </c>
      <c r="BI484" s="0">
        <v>40</v>
      </c>
      <c r="BJ484" s="0" t="s">
        <v>230</v>
      </c>
    </row>
    <row r="485">
      <c r="A485" s="0" t="s">
        <v>672</v>
      </c>
      <c r="B485" s="0" t="s">
        <v>134</v>
      </c>
      <c r="C485" s="0" t="s">
        <v>134</v>
      </c>
      <c r="D485" s="0" t="s">
        <v>135</v>
      </c>
      <c r="E485" s="0" t="s">
        <v>2</v>
      </c>
      <c r="F485" s="0" t="s">
        <v>12</v>
      </c>
      <c r="G485" s="0" t="s">
        <v>8</v>
      </c>
      <c r="H485" s="0">
        <v>3091</v>
      </c>
      <c r="I485" s="0">
        <v>132</v>
      </c>
      <c r="J485" s="0">
        <v>0</v>
      </c>
      <c r="K485" s="0">
        <v>1</v>
      </c>
      <c r="L485" s="0">
        <v>3</v>
      </c>
      <c r="M485" s="0">
        <v>3</v>
      </c>
      <c r="N485" s="0">
        <v>0</v>
      </c>
      <c r="O485" s="0">
        <v>0</v>
      </c>
      <c r="P485" s="0">
        <v>0</v>
      </c>
      <c r="R485" s="0" t="b">
        <v>0</v>
      </c>
      <c r="S485" s="0" t="b">
        <v>1</v>
      </c>
      <c r="T485" s="68">
        <v>42962.4457523148</v>
      </c>
      <c r="U485" s="68">
        <v>42993.5416666667</v>
      </c>
      <c r="V485" s="68">
        <v>0</v>
      </c>
      <c r="W485" s="0">
        <f>IF(IF(B485="none",1,IF(B485="Trialer",1,0))+IF(C485="Customer",1,IF(C485="Lost",1,0))=2,1,0)</f>
      </c>
      <c r="X485" s="0" t="s">
        <v>142</v>
      </c>
      <c r="Y485" s="0" t="s">
        <v>499</v>
      </c>
      <c r="AV485" s="68"/>
      <c r="AW485" s="68"/>
      <c r="AY485" s="27"/>
      <c r="BD485" s="68">
        <v>46054.1666666667</v>
      </c>
      <c r="BE485" s="68">
        <v>46082.1666666667</v>
      </c>
      <c r="BF485" s="0" t="b">
        <v>0</v>
      </c>
      <c r="BG485" s="0" t="b">
        <v>0</v>
      </c>
      <c r="BH485" s="0">
        <v>132</v>
      </c>
      <c r="BI485" s="0">
        <v>132</v>
      </c>
      <c r="BJ485" s="0" t="s">
        <v>135</v>
      </c>
    </row>
    <row r="486">
      <c r="A486" s="0" t="s">
        <v>673</v>
      </c>
      <c r="B486" s="0" t="s">
        <v>134</v>
      </c>
      <c r="C486" s="0" t="s">
        <v>134</v>
      </c>
      <c r="D486" s="0" t="s">
        <v>230</v>
      </c>
      <c r="E486" s="0" t="s">
        <v>2</v>
      </c>
      <c r="F486" s="0" t="s">
        <v>12</v>
      </c>
      <c r="G486" s="0" t="s">
        <v>8</v>
      </c>
      <c r="H486" s="0">
        <v>3090</v>
      </c>
      <c r="I486" s="0">
        <v>195</v>
      </c>
      <c r="J486" s="0">
        <v>0</v>
      </c>
      <c r="K486" s="0">
        <v>1</v>
      </c>
      <c r="L486" s="0">
        <v>3</v>
      </c>
      <c r="M486" s="0">
        <v>5</v>
      </c>
      <c r="N486" s="0">
        <v>0</v>
      </c>
      <c r="O486" s="0">
        <v>0</v>
      </c>
      <c r="P486" s="0">
        <v>-195</v>
      </c>
      <c r="R486" s="0" t="b">
        <v>0</v>
      </c>
      <c r="S486" s="0" t="b">
        <v>1</v>
      </c>
      <c r="T486" s="68">
        <v>42963.5361111111</v>
      </c>
      <c r="U486" s="68">
        <v>42994.5416666667</v>
      </c>
      <c r="V486" s="68">
        <v>0</v>
      </c>
      <c r="W486" s="0">
        <f>IF(IF(B486="none",1,IF(B486="Trialer",1,0))+IF(C486="Customer",1,IF(C486="Lost",1,0))=2,1,0)</f>
      </c>
      <c r="X486" s="0" t="s">
        <v>148</v>
      </c>
      <c r="Y486" s="0" t="s">
        <v>499</v>
      </c>
      <c r="AV486" s="68"/>
      <c r="AW486" s="68"/>
      <c r="AY486" s="27"/>
      <c r="BD486" s="68">
        <v>46054.1666666667</v>
      </c>
      <c r="BE486" s="68">
        <v>46082.1666666667</v>
      </c>
      <c r="BF486" s="0" t="b">
        <v>0</v>
      </c>
      <c r="BG486" s="0" t="b">
        <v>0</v>
      </c>
      <c r="BH486" s="0">
        <v>224</v>
      </c>
      <c r="BI486" s="0">
        <v>224</v>
      </c>
      <c r="BJ486" s="0" t="s">
        <v>230</v>
      </c>
    </row>
    <row r="487">
      <c r="A487" s="0" t="s">
        <v>674</v>
      </c>
      <c r="B487" s="0" t="s">
        <v>134</v>
      </c>
      <c r="C487" s="0" t="s">
        <v>134</v>
      </c>
      <c r="D487" s="0" t="s">
        <v>230</v>
      </c>
      <c r="E487" s="0" t="s">
        <v>2</v>
      </c>
      <c r="F487" s="0" t="s">
        <v>12</v>
      </c>
      <c r="G487" s="0" t="s">
        <v>8</v>
      </c>
      <c r="H487" s="0">
        <v>3084</v>
      </c>
      <c r="I487" s="0">
        <v>45</v>
      </c>
      <c r="J487" s="0">
        <v>0</v>
      </c>
      <c r="K487" s="0">
        <v>1</v>
      </c>
      <c r="L487" s="0">
        <v>3</v>
      </c>
      <c r="M487" s="0">
        <v>1</v>
      </c>
      <c r="N487" s="0">
        <v>0</v>
      </c>
      <c r="O487" s="0">
        <v>0</v>
      </c>
      <c r="P487" s="0">
        <v>-45</v>
      </c>
      <c r="R487" s="0" t="b">
        <v>0</v>
      </c>
      <c r="S487" s="0" t="b">
        <v>1</v>
      </c>
      <c r="T487" s="68">
        <v>42969.2968634259</v>
      </c>
      <c r="U487" s="68">
        <v>43000.5416666667</v>
      </c>
      <c r="V487" s="68">
        <v>0</v>
      </c>
      <c r="W487" s="0">
        <f>IF(IF(B487="none",1,IF(B487="Trialer",1,0))+IF(C487="Customer",1,IF(C487="Lost",1,0))=2,1,0)</f>
      </c>
      <c r="X487" s="0" t="s">
        <v>142</v>
      </c>
      <c r="Y487" s="0" t="s">
        <v>499</v>
      </c>
      <c r="AV487" s="68"/>
      <c r="AW487" s="68"/>
      <c r="AY487" s="27"/>
      <c r="BD487" s="68">
        <v>46054.1666666667</v>
      </c>
      <c r="BE487" s="68">
        <v>46082.1666666667</v>
      </c>
      <c r="BF487" s="0" t="b">
        <v>0</v>
      </c>
      <c r="BG487" s="0" t="b">
        <v>0</v>
      </c>
      <c r="BH487" s="0">
        <v>52</v>
      </c>
      <c r="BI487" s="0">
        <v>52</v>
      </c>
      <c r="BJ487" s="0" t="s">
        <v>230</v>
      </c>
    </row>
    <row r="488">
      <c r="A488" s="0" t="s">
        <v>675</v>
      </c>
      <c r="B488" s="0" t="s">
        <v>134</v>
      </c>
      <c r="C488" s="0" t="s">
        <v>134</v>
      </c>
      <c r="D488" s="0" t="s">
        <v>135</v>
      </c>
      <c r="E488" s="0" t="s">
        <v>2</v>
      </c>
      <c r="F488" s="0" t="s">
        <v>12</v>
      </c>
      <c r="G488" s="0" t="s">
        <v>7</v>
      </c>
      <c r="H488" s="0">
        <v>3084</v>
      </c>
      <c r="I488" s="0">
        <v>40</v>
      </c>
      <c r="J488" s="0">
        <v>0</v>
      </c>
      <c r="K488" s="0">
        <v>1</v>
      </c>
      <c r="L488" s="0">
        <v>1</v>
      </c>
      <c r="M488" s="0">
        <v>1</v>
      </c>
      <c r="N488" s="0">
        <v>0</v>
      </c>
      <c r="O488" s="0">
        <v>0</v>
      </c>
      <c r="P488" s="0">
        <v>0</v>
      </c>
      <c r="R488" s="0" t="b">
        <v>0</v>
      </c>
      <c r="S488" s="0" t="b">
        <v>1</v>
      </c>
      <c r="T488" s="68">
        <v>42969.5423611111</v>
      </c>
      <c r="U488" s="68">
        <v>42969.5</v>
      </c>
      <c r="V488" s="68">
        <v>0</v>
      </c>
      <c r="W488" s="0">
        <f>IF(IF(B488="none",1,IF(B488="Trialer",1,0))+IF(C488="Customer",1,IF(C488="Lost",1,0))=2,1,0)</f>
      </c>
      <c r="X488" s="0" t="s">
        <v>145</v>
      </c>
      <c r="Y488" s="0" t="s">
        <v>137</v>
      </c>
      <c r="AV488" s="68"/>
      <c r="AW488" s="68"/>
      <c r="AY488" s="27"/>
      <c r="BD488" s="68">
        <v>46054.1666666667</v>
      </c>
      <c r="BE488" s="68">
        <v>46082.1666666667</v>
      </c>
      <c r="BF488" s="0" t="b">
        <v>0</v>
      </c>
      <c r="BG488" s="0" t="b">
        <v>0</v>
      </c>
      <c r="BH488" s="0">
        <v>40</v>
      </c>
      <c r="BI488" s="0">
        <v>40</v>
      </c>
      <c r="BJ488" s="0" t="s">
        <v>135</v>
      </c>
    </row>
    <row r="489">
      <c r="A489" s="0" t="s">
        <v>676</v>
      </c>
      <c r="B489" s="0" t="s">
        <v>134</v>
      </c>
      <c r="C489" s="0" t="s">
        <v>134</v>
      </c>
      <c r="D489" s="0" t="s">
        <v>135</v>
      </c>
      <c r="E489" s="0" t="s">
        <v>3</v>
      </c>
      <c r="F489" s="0" t="s">
        <v>12</v>
      </c>
      <c r="G489" s="0" t="s">
        <v>8</v>
      </c>
      <c r="H489" s="0">
        <v>3083</v>
      </c>
      <c r="I489" s="0">
        <v>52</v>
      </c>
      <c r="J489" s="0">
        <v>0</v>
      </c>
      <c r="K489" s="0">
        <v>1</v>
      </c>
      <c r="L489" s="0">
        <v>3</v>
      </c>
      <c r="M489" s="0">
        <v>1</v>
      </c>
      <c r="N489" s="0">
        <v>0</v>
      </c>
      <c r="O489" s="0">
        <v>0</v>
      </c>
      <c r="P489" s="0">
        <v>0</v>
      </c>
      <c r="R489" s="0" t="b">
        <v>0</v>
      </c>
      <c r="S489" s="0" t="b">
        <v>1</v>
      </c>
      <c r="T489" s="68">
        <v>42970.49375</v>
      </c>
      <c r="U489" s="68">
        <v>43003.5416666667</v>
      </c>
      <c r="V489" s="68">
        <v>0</v>
      </c>
      <c r="W489" s="0">
        <f>IF(IF(B489="none",1,IF(B489="Trialer",1,0))+IF(C489="Customer",1,IF(C489="Lost",1,0))=2,1,0)</f>
      </c>
      <c r="X489" s="0" t="s">
        <v>142</v>
      </c>
      <c r="Y489" s="0" t="s">
        <v>243</v>
      </c>
      <c r="AV489" s="68"/>
      <c r="AW489" s="68"/>
      <c r="AY489" s="27"/>
      <c r="BD489" s="68">
        <v>46054.1666666667</v>
      </c>
      <c r="BE489" s="68">
        <v>46082.1666666667</v>
      </c>
      <c r="BF489" s="0" t="b">
        <v>0</v>
      </c>
      <c r="BG489" s="0" t="b">
        <v>0</v>
      </c>
      <c r="BH489" s="0">
        <v>52</v>
      </c>
      <c r="BI489" s="0">
        <v>52</v>
      </c>
      <c r="BJ489" s="0" t="s">
        <v>135</v>
      </c>
    </row>
    <row r="490">
      <c r="A490" s="0" t="s">
        <v>677</v>
      </c>
      <c r="B490" s="0" t="s">
        <v>134</v>
      </c>
      <c r="C490" s="0" t="s">
        <v>134</v>
      </c>
      <c r="D490" s="0" t="s">
        <v>230</v>
      </c>
      <c r="E490" s="0" t="s">
        <v>2</v>
      </c>
      <c r="F490" s="0" t="s">
        <v>12</v>
      </c>
      <c r="G490" s="0" t="s">
        <v>8</v>
      </c>
      <c r="H490" s="0">
        <v>3083</v>
      </c>
      <c r="I490" s="0">
        <v>100</v>
      </c>
      <c r="J490" s="0">
        <v>0</v>
      </c>
      <c r="K490" s="0">
        <v>1</v>
      </c>
      <c r="L490" s="0">
        <v>1</v>
      </c>
      <c r="M490" s="0">
        <v>4</v>
      </c>
      <c r="N490" s="0">
        <v>0</v>
      </c>
      <c r="O490" s="0">
        <v>0</v>
      </c>
      <c r="P490" s="0">
        <v>-100</v>
      </c>
      <c r="R490" s="0" t="b">
        <v>0</v>
      </c>
      <c r="S490" s="0" t="b">
        <v>1</v>
      </c>
      <c r="T490" s="68">
        <v>42970.8270949074</v>
      </c>
      <c r="U490" s="68">
        <v>43003.5416666667</v>
      </c>
      <c r="V490" s="68">
        <v>0</v>
      </c>
      <c r="W490" s="0">
        <f>IF(IF(B490="none",1,IF(B490="Trialer",1,0))+IF(C490="Customer",1,IF(C490="Lost",1,0))=2,1,0)</f>
      </c>
      <c r="X490" s="0" t="s">
        <v>136</v>
      </c>
      <c r="Y490" s="0" t="s">
        <v>499</v>
      </c>
      <c r="AV490" s="68"/>
      <c r="AW490" s="68"/>
      <c r="AY490" s="27"/>
      <c r="BD490" s="68">
        <v>46054.1666666667</v>
      </c>
      <c r="BE490" s="68">
        <v>46082.1666666667</v>
      </c>
      <c r="BF490" s="0" t="b">
        <v>0</v>
      </c>
      <c r="BG490" s="0" t="b">
        <v>0</v>
      </c>
      <c r="BH490" s="0">
        <v>112</v>
      </c>
      <c r="BI490" s="0">
        <v>112</v>
      </c>
      <c r="BJ490" s="0" t="s">
        <v>230</v>
      </c>
    </row>
    <row r="491">
      <c r="A491" s="0" t="s">
        <v>678</v>
      </c>
      <c r="B491" s="0" t="s">
        <v>134</v>
      </c>
      <c r="C491" s="0" t="s">
        <v>134</v>
      </c>
      <c r="D491" s="0" t="s">
        <v>135</v>
      </c>
      <c r="E491" s="0" t="s">
        <v>2</v>
      </c>
      <c r="F491" s="0" t="s">
        <v>12</v>
      </c>
      <c r="G491" s="0" t="s">
        <v>8</v>
      </c>
      <c r="H491" s="0">
        <v>3082</v>
      </c>
      <c r="I491" s="0">
        <v>40</v>
      </c>
      <c r="J491" s="0">
        <v>0</v>
      </c>
      <c r="K491" s="0">
        <v>1</v>
      </c>
      <c r="L491" s="0">
        <v>2</v>
      </c>
      <c r="M491" s="0">
        <v>1</v>
      </c>
      <c r="N491" s="0">
        <v>0</v>
      </c>
      <c r="O491" s="0">
        <v>0</v>
      </c>
      <c r="P491" s="0">
        <v>0</v>
      </c>
      <c r="R491" s="0" t="b">
        <v>0</v>
      </c>
      <c r="S491" s="0" t="b">
        <v>1</v>
      </c>
      <c r="T491" s="68">
        <v>42971.4464583333</v>
      </c>
      <c r="U491" s="68">
        <v>43002.5416666667</v>
      </c>
      <c r="V491" s="68">
        <v>0</v>
      </c>
      <c r="W491" s="0">
        <f>IF(IF(B491="none",1,IF(B491="Trialer",1,0))+IF(C491="Customer",1,IF(C491="Lost",1,0))=2,1,0)</f>
      </c>
      <c r="X491" s="0" t="s">
        <v>166</v>
      </c>
      <c r="Y491" s="0" t="s">
        <v>480</v>
      </c>
      <c r="AV491" s="68"/>
      <c r="AW491" s="68"/>
      <c r="AY491" s="27"/>
      <c r="BD491" s="68">
        <v>46054.1666666667</v>
      </c>
      <c r="BE491" s="68">
        <v>46082.1666666667</v>
      </c>
      <c r="BF491" s="0" t="b">
        <v>0</v>
      </c>
      <c r="BG491" s="0" t="b">
        <v>0</v>
      </c>
      <c r="BH491" s="0">
        <v>40</v>
      </c>
      <c r="BI491" s="0">
        <v>40</v>
      </c>
      <c r="BJ491" s="0" t="s">
        <v>135</v>
      </c>
    </row>
    <row r="492">
      <c r="A492" s="0" t="s">
        <v>679</v>
      </c>
      <c r="B492" s="0" t="s">
        <v>134</v>
      </c>
      <c r="C492" s="0" t="s">
        <v>134</v>
      </c>
      <c r="D492" s="0" t="s">
        <v>135</v>
      </c>
      <c r="E492" s="0" t="s">
        <v>3</v>
      </c>
      <c r="F492" s="0" t="s">
        <v>12</v>
      </c>
      <c r="G492" s="0" t="s">
        <v>7</v>
      </c>
      <c r="H492" s="0">
        <v>3082</v>
      </c>
      <c r="I492" s="0">
        <v>120</v>
      </c>
      <c r="J492" s="0">
        <v>0</v>
      </c>
      <c r="K492" s="0">
        <v>1</v>
      </c>
      <c r="L492" s="0">
        <v>1</v>
      </c>
      <c r="M492" s="0">
        <v>3</v>
      </c>
      <c r="N492" s="0">
        <v>0</v>
      </c>
      <c r="O492" s="0">
        <v>0</v>
      </c>
      <c r="P492" s="0">
        <v>0</v>
      </c>
      <c r="R492" s="0" t="b">
        <v>0</v>
      </c>
      <c r="S492" s="0" t="b">
        <v>1</v>
      </c>
      <c r="T492" s="68">
        <v>42971.6267361111</v>
      </c>
      <c r="U492" s="68">
        <v>43002.5416666667</v>
      </c>
      <c r="V492" s="68">
        <v>0</v>
      </c>
      <c r="W492" s="0">
        <f>IF(IF(B492="none",1,IF(B492="Trialer",1,0))+IF(C492="Customer",1,IF(C492="Lost",1,0))=2,1,0)</f>
      </c>
      <c r="X492" s="0" t="s">
        <v>142</v>
      </c>
      <c r="Y492" s="0" t="s">
        <v>243</v>
      </c>
      <c r="AV492" s="68"/>
      <c r="AW492" s="68"/>
      <c r="AY492" s="27"/>
      <c r="BD492" s="68">
        <v>46054.1666666667</v>
      </c>
      <c r="BE492" s="68">
        <v>46082.1666666667</v>
      </c>
      <c r="BF492" s="0" t="b">
        <v>0</v>
      </c>
      <c r="BG492" s="0" t="b">
        <v>0</v>
      </c>
      <c r="BH492" s="0">
        <v>120</v>
      </c>
      <c r="BI492" s="0">
        <v>120</v>
      </c>
      <c r="BJ492" s="0" t="s">
        <v>135</v>
      </c>
    </row>
    <row r="493">
      <c r="A493" s="0" t="s">
        <v>680</v>
      </c>
      <c r="B493" s="0" t="s">
        <v>134</v>
      </c>
      <c r="C493" s="0" t="s">
        <v>134</v>
      </c>
      <c r="D493" s="0" t="s">
        <v>230</v>
      </c>
      <c r="E493" s="0" t="s">
        <v>2</v>
      </c>
      <c r="F493" s="0" t="s">
        <v>12</v>
      </c>
      <c r="G493" s="0" t="s">
        <v>8</v>
      </c>
      <c r="H493" s="0">
        <v>3081</v>
      </c>
      <c r="I493" s="0">
        <v>25</v>
      </c>
      <c r="J493" s="0">
        <v>0</v>
      </c>
      <c r="K493" s="0">
        <v>1</v>
      </c>
      <c r="L493" s="0">
        <v>1</v>
      </c>
      <c r="M493" s="0">
        <v>1</v>
      </c>
      <c r="N493" s="0">
        <v>0</v>
      </c>
      <c r="O493" s="0">
        <v>0</v>
      </c>
      <c r="P493" s="0">
        <v>-25</v>
      </c>
      <c r="R493" s="0" t="b">
        <v>0</v>
      </c>
      <c r="S493" s="0" t="b">
        <v>1</v>
      </c>
      <c r="T493" s="68">
        <v>42972.1531134259</v>
      </c>
      <c r="U493" s="68">
        <v>43003.5416666667</v>
      </c>
      <c r="V493" s="68">
        <v>0</v>
      </c>
      <c r="W493" s="0">
        <f>IF(IF(B493="none",1,IF(B493="Trialer",1,0))+IF(C493="Customer",1,IF(C493="Lost",1,0))=2,1,0)</f>
      </c>
      <c r="X493" s="0" t="s">
        <v>142</v>
      </c>
      <c r="Y493" s="0" t="s">
        <v>499</v>
      </c>
      <c r="AV493" s="68"/>
      <c r="AW493" s="68"/>
      <c r="AY493" s="27"/>
      <c r="BD493" s="68">
        <v>46054.1666666667</v>
      </c>
      <c r="BE493" s="68">
        <v>46082.1666666667</v>
      </c>
      <c r="BF493" s="0" t="b">
        <v>0</v>
      </c>
      <c r="BG493" s="0" t="b">
        <v>0</v>
      </c>
      <c r="BH493" s="0">
        <v>28</v>
      </c>
      <c r="BI493" s="0">
        <v>28</v>
      </c>
      <c r="BJ493" s="0" t="s">
        <v>230</v>
      </c>
    </row>
    <row r="494">
      <c r="A494" s="0" t="s">
        <v>681</v>
      </c>
      <c r="B494" s="0" t="s">
        <v>134</v>
      </c>
      <c r="C494" s="0" t="s">
        <v>134</v>
      </c>
      <c r="D494" s="0" t="s">
        <v>135</v>
      </c>
      <c r="E494" s="0" t="s">
        <v>2</v>
      </c>
      <c r="F494" s="0" t="s">
        <v>12</v>
      </c>
      <c r="G494" s="0" t="s">
        <v>8</v>
      </c>
      <c r="H494" s="0">
        <v>3075</v>
      </c>
      <c r="I494" s="0">
        <v>120</v>
      </c>
      <c r="J494" s="0">
        <v>0</v>
      </c>
      <c r="K494" s="0">
        <v>1</v>
      </c>
      <c r="L494" s="0">
        <v>3</v>
      </c>
      <c r="M494" s="0">
        <v>3</v>
      </c>
      <c r="N494" s="0">
        <v>0</v>
      </c>
      <c r="O494" s="0">
        <v>0</v>
      </c>
      <c r="P494" s="0">
        <v>0</v>
      </c>
      <c r="R494" s="0" t="b">
        <v>0</v>
      </c>
      <c r="S494" s="0" t="b">
        <v>1</v>
      </c>
      <c r="T494" s="68">
        <v>42978.9277777778</v>
      </c>
      <c r="U494" s="68">
        <v>43041.5416666667</v>
      </c>
      <c r="V494" s="68">
        <v>0</v>
      </c>
      <c r="W494" s="0">
        <f>IF(IF(B494="none",1,IF(B494="Trialer",1,0))+IF(C494="Customer",1,IF(C494="Lost",1,0))=2,1,0)</f>
      </c>
      <c r="X494" s="0" t="s">
        <v>142</v>
      </c>
      <c r="Y494" s="0" t="s">
        <v>499</v>
      </c>
      <c r="AV494" s="68"/>
      <c r="AW494" s="68"/>
      <c r="AY494" s="27"/>
      <c r="BD494" s="68">
        <v>46054.1666666667</v>
      </c>
      <c r="BE494" s="68">
        <v>46082.1666666667</v>
      </c>
      <c r="BF494" s="0" t="b">
        <v>0</v>
      </c>
      <c r="BG494" s="0" t="b">
        <v>0</v>
      </c>
      <c r="BH494" s="0">
        <v>120</v>
      </c>
      <c r="BI494" s="0">
        <v>120</v>
      </c>
      <c r="BJ494" s="0" t="s">
        <v>135</v>
      </c>
    </row>
    <row r="495">
      <c r="A495" s="0" t="s">
        <v>682</v>
      </c>
      <c r="B495" s="0" t="s">
        <v>134</v>
      </c>
      <c r="C495" s="0" t="s">
        <v>134</v>
      </c>
      <c r="D495" s="0" t="s">
        <v>135</v>
      </c>
      <c r="E495" s="0" t="s">
        <v>3</v>
      </c>
      <c r="F495" s="0" t="s">
        <v>12</v>
      </c>
      <c r="G495" s="0" t="s">
        <v>8</v>
      </c>
      <c r="H495" s="0">
        <v>3071</v>
      </c>
      <c r="I495" s="0">
        <v>0</v>
      </c>
      <c r="J495" s="0">
        <v>0</v>
      </c>
      <c r="K495" s="0">
        <v>1</v>
      </c>
      <c r="L495" s="0">
        <v>5</v>
      </c>
      <c r="M495" s="0">
        <v>2</v>
      </c>
      <c r="N495" s="0">
        <v>0</v>
      </c>
      <c r="O495" s="0">
        <v>0</v>
      </c>
      <c r="P495" s="0">
        <v>0</v>
      </c>
      <c r="R495" s="0" t="b">
        <v>0</v>
      </c>
      <c r="S495" s="0" t="b">
        <v>1</v>
      </c>
      <c r="T495" s="68">
        <v>42982.4916666667</v>
      </c>
      <c r="U495" s="68">
        <v>43012.5416666667</v>
      </c>
      <c r="V495" s="68">
        <v>0</v>
      </c>
      <c r="W495" s="0">
        <f>IF(IF(B495="none",1,IF(B495="Trialer",1,0))+IF(C495="Customer",1,IF(C495="Lost",1,0))=2,1,0)</f>
      </c>
      <c r="X495" s="0" t="s">
        <v>148</v>
      </c>
      <c r="Y495" s="0" t="s">
        <v>243</v>
      </c>
      <c r="AV495" s="68"/>
      <c r="AW495" s="68"/>
      <c r="AY495" s="27"/>
      <c r="BD495" s="68">
        <v>46054.1666666667</v>
      </c>
      <c r="BE495" s="68">
        <v>46082.1666666667</v>
      </c>
      <c r="BF495" s="0" t="b">
        <v>0</v>
      </c>
      <c r="BG495" s="0" t="b">
        <v>0</v>
      </c>
      <c r="BH495" s="0">
        <v>0</v>
      </c>
      <c r="BI495" s="0">
        <v>0</v>
      </c>
      <c r="BJ495" s="0" t="s">
        <v>135</v>
      </c>
    </row>
    <row r="496">
      <c r="A496" s="0" t="s">
        <v>683</v>
      </c>
      <c r="B496" s="0" t="s">
        <v>134</v>
      </c>
      <c r="C496" s="0" t="s">
        <v>134</v>
      </c>
      <c r="D496" s="0" t="s">
        <v>135</v>
      </c>
      <c r="E496" s="0" t="s">
        <v>3</v>
      </c>
      <c r="F496" s="0" t="s">
        <v>10</v>
      </c>
      <c r="G496" s="0" t="s">
        <v>7</v>
      </c>
      <c r="H496" s="0">
        <v>3071</v>
      </c>
      <c r="I496" s="0">
        <v>40</v>
      </c>
      <c r="J496" s="0">
        <v>0</v>
      </c>
      <c r="K496" s="0">
        <v>1</v>
      </c>
      <c r="L496" s="0">
        <v>1</v>
      </c>
      <c r="M496" s="0">
        <v>1</v>
      </c>
      <c r="N496" s="0">
        <v>0</v>
      </c>
      <c r="O496" s="0">
        <v>0</v>
      </c>
      <c r="P496" s="0">
        <v>0</v>
      </c>
      <c r="Q496" s="0" t="s">
        <v>618</v>
      </c>
      <c r="R496" s="0" t="b">
        <v>0</v>
      </c>
      <c r="S496" s="0" t="b">
        <v>1</v>
      </c>
      <c r="T496" s="68">
        <v>42982.4993055556</v>
      </c>
      <c r="U496" s="68">
        <v>43012.5</v>
      </c>
      <c r="V496" s="68">
        <v>0</v>
      </c>
      <c r="W496" s="0">
        <f>IF(IF(B496="none",1,IF(B496="Trialer",1,0))+IF(C496="Customer",1,IF(C496="Lost",1,0))=2,1,0)</f>
      </c>
      <c r="X496" s="0" t="s">
        <v>148</v>
      </c>
      <c r="Y496" s="0" t="s">
        <v>243</v>
      </c>
      <c r="AV496" s="68"/>
      <c r="AW496" s="68"/>
      <c r="AY496" s="27"/>
      <c r="BD496" s="68">
        <v>46054.1666666667</v>
      </c>
      <c r="BE496" s="68">
        <v>46082.1666666667</v>
      </c>
      <c r="BF496" s="0" t="b">
        <v>0</v>
      </c>
      <c r="BG496" s="0" t="b">
        <v>0</v>
      </c>
      <c r="BH496" s="0">
        <v>40</v>
      </c>
      <c r="BI496" s="0">
        <v>40</v>
      </c>
      <c r="BJ496" s="0" t="s">
        <v>135</v>
      </c>
    </row>
    <row r="497">
      <c r="A497" s="0" t="s">
        <v>684</v>
      </c>
      <c r="B497" s="0" t="s">
        <v>134</v>
      </c>
      <c r="C497" s="0" t="s">
        <v>134</v>
      </c>
      <c r="D497" s="0" t="s">
        <v>135</v>
      </c>
      <c r="E497" s="0" t="s">
        <v>3</v>
      </c>
      <c r="F497" s="0" t="s">
        <v>12</v>
      </c>
      <c r="G497" s="0" t="s">
        <v>8</v>
      </c>
      <c r="H497" s="0">
        <v>3070</v>
      </c>
      <c r="I497" s="0">
        <v>28</v>
      </c>
      <c r="J497" s="0">
        <v>0</v>
      </c>
      <c r="K497" s="0">
        <v>1</v>
      </c>
      <c r="L497" s="0">
        <v>1</v>
      </c>
      <c r="M497" s="0">
        <v>1</v>
      </c>
      <c r="N497" s="0">
        <v>0</v>
      </c>
      <c r="O497" s="0">
        <v>0</v>
      </c>
      <c r="P497" s="0">
        <v>0</v>
      </c>
      <c r="R497" s="0" t="b">
        <v>0</v>
      </c>
      <c r="S497" s="0" t="b">
        <v>1</v>
      </c>
      <c r="T497" s="68">
        <v>42983.6363425926</v>
      </c>
      <c r="U497" s="68">
        <v>43013.5416666667</v>
      </c>
      <c r="V497" s="68">
        <v>0</v>
      </c>
      <c r="W497" s="0">
        <f>IF(IF(B497="none",1,IF(B497="Trialer",1,0))+IF(C497="Customer",1,IF(C497="Lost",1,0))=2,1,0)</f>
      </c>
      <c r="X497" s="0" t="s">
        <v>166</v>
      </c>
      <c r="Y497" s="0" t="s">
        <v>487</v>
      </c>
      <c r="AV497" s="68"/>
      <c r="AW497" s="68"/>
      <c r="AY497" s="27"/>
      <c r="BD497" s="68">
        <v>46054.1666666667</v>
      </c>
      <c r="BE497" s="68">
        <v>46082.1666666667</v>
      </c>
      <c r="BF497" s="0" t="b">
        <v>0</v>
      </c>
      <c r="BG497" s="0" t="b">
        <v>0</v>
      </c>
      <c r="BH497" s="0">
        <v>28</v>
      </c>
      <c r="BI497" s="0">
        <v>28</v>
      </c>
      <c r="BJ497" s="0" t="s">
        <v>135</v>
      </c>
    </row>
    <row r="498">
      <c r="A498" s="0" t="s">
        <v>685</v>
      </c>
      <c r="B498" s="0" t="s">
        <v>134</v>
      </c>
      <c r="C498" s="0" t="s">
        <v>134</v>
      </c>
      <c r="D498" s="0" t="s">
        <v>230</v>
      </c>
      <c r="E498" s="0" t="s">
        <v>3</v>
      </c>
      <c r="F498" s="0" t="s">
        <v>12</v>
      </c>
      <c r="G498" s="0" t="s">
        <v>8</v>
      </c>
      <c r="H498" s="0">
        <v>3068</v>
      </c>
      <c r="I498" s="0">
        <v>185</v>
      </c>
      <c r="J498" s="0">
        <v>0</v>
      </c>
      <c r="K498" s="0">
        <v>1</v>
      </c>
      <c r="L498" s="0">
        <v>3</v>
      </c>
      <c r="M498" s="0">
        <v>5</v>
      </c>
      <c r="N498" s="0">
        <v>0</v>
      </c>
      <c r="O498" s="0">
        <v>0</v>
      </c>
      <c r="P498" s="0">
        <v>2035</v>
      </c>
      <c r="R498" s="0" t="b">
        <v>0</v>
      </c>
      <c r="S498" s="0" t="b">
        <v>1</v>
      </c>
      <c r="T498" s="68">
        <v>42985.6867361111</v>
      </c>
      <c r="U498" s="68">
        <v>43015.5416666667</v>
      </c>
      <c r="V498" s="68">
        <v>0</v>
      </c>
      <c r="W498" s="0">
        <f>IF(IF(B498="none",1,IF(B498="Trialer",1,0))+IF(C498="Customer",1,IF(C498="Lost",1,0))=2,1,0)</f>
      </c>
      <c r="X498" s="0" t="s">
        <v>136</v>
      </c>
      <c r="Y498" s="0" t="s">
        <v>243</v>
      </c>
      <c r="AV498" s="68"/>
      <c r="AW498" s="68"/>
      <c r="AY498" s="27"/>
      <c r="BD498" s="68">
        <v>46054.1666666667</v>
      </c>
      <c r="BE498" s="68">
        <v>46082.1666666667</v>
      </c>
      <c r="BF498" s="0" t="b">
        <v>0</v>
      </c>
      <c r="BG498" s="0" t="b">
        <v>0</v>
      </c>
      <c r="BH498" s="0">
        <v>212</v>
      </c>
      <c r="BI498" s="0">
        <v>212</v>
      </c>
      <c r="BJ498" s="0" t="s">
        <v>230</v>
      </c>
    </row>
    <row r="499">
      <c r="A499" s="0" t="s">
        <v>686</v>
      </c>
      <c r="B499" s="0" t="s">
        <v>134</v>
      </c>
      <c r="C499" s="0" t="s">
        <v>134</v>
      </c>
      <c r="D499" s="0" t="s">
        <v>230</v>
      </c>
      <c r="E499" s="0" t="s">
        <v>3</v>
      </c>
      <c r="F499" s="0" t="s">
        <v>12</v>
      </c>
      <c r="G499" s="0" t="s">
        <v>8</v>
      </c>
      <c r="H499" s="0">
        <v>3067</v>
      </c>
      <c r="I499" s="0">
        <v>25</v>
      </c>
      <c r="J499" s="0">
        <v>0</v>
      </c>
      <c r="K499" s="0">
        <v>1</v>
      </c>
      <c r="L499" s="0">
        <v>1</v>
      </c>
      <c r="M499" s="0">
        <v>1</v>
      </c>
      <c r="N499" s="0">
        <v>0</v>
      </c>
      <c r="O499" s="0">
        <v>0</v>
      </c>
      <c r="P499" s="0">
        <v>-25</v>
      </c>
      <c r="R499" s="0" t="b">
        <v>0</v>
      </c>
      <c r="S499" s="0" t="b">
        <v>1</v>
      </c>
      <c r="T499" s="68">
        <v>42986.8731481481</v>
      </c>
      <c r="U499" s="68">
        <v>43016.5416666667</v>
      </c>
      <c r="V499" s="68">
        <v>0</v>
      </c>
      <c r="W499" s="0">
        <f>IF(IF(B499="none",1,IF(B499="Trialer",1,0))+IF(C499="Customer",1,IF(C499="Lost",1,0))=2,1,0)</f>
      </c>
      <c r="X499" s="0" t="s">
        <v>142</v>
      </c>
      <c r="Y499" s="0" t="s">
        <v>487</v>
      </c>
      <c r="AV499" s="68"/>
      <c r="AW499" s="68"/>
      <c r="AY499" s="27"/>
      <c r="BD499" s="68">
        <v>46054.1666666667</v>
      </c>
      <c r="BE499" s="68">
        <v>46082.1666666667</v>
      </c>
      <c r="BF499" s="0" t="b">
        <v>0</v>
      </c>
      <c r="BG499" s="0" t="b">
        <v>0</v>
      </c>
      <c r="BH499" s="0">
        <v>28</v>
      </c>
      <c r="BI499" s="0">
        <v>28</v>
      </c>
      <c r="BJ499" s="0" t="s">
        <v>230</v>
      </c>
    </row>
    <row r="500">
      <c r="A500" s="0" t="s">
        <v>687</v>
      </c>
      <c r="B500" s="0" t="s">
        <v>134</v>
      </c>
      <c r="C500" s="0" t="s">
        <v>134</v>
      </c>
      <c r="D500" s="0" t="s">
        <v>135</v>
      </c>
      <c r="E500" s="0" t="s">
        <v>2</v>
      </c>
      <c r="F500" s="0" t="s">
        <v>12</v>
      </c>
      <c r="G500" s="0" t="s">
        <v>8</v>
      </c>
      <c r="H500" s="0">
        <v>3064</v>
      </c>
      <c r="I500" s="0">
        <v>0</v>
      </c>
      <c r="J500" s="0">
        <v>0</v>
      </c>
      <c r="K500" s="0">
        <v>1</v>
      </c>
      <c r="L500" s="0">
        <v>3</v>
      </c>
      <c r="M500" s="0">
        <v>2</v>
      </c>
      <c r="N500" s="0">
        <v>0</v>
      </c>
      <c r="O500" s="0">
        <v>0</v>
      </c>
      <c r="P500" s="0">
        <v>0</v>
      </c>
      <c r="R500" s="0" t="b">
        <v>0</v>
      </c>
      <c r="S500" s="0" t="b">
        <v>1</v>
      </c>
      <c r="T500" s="68">
        <v>42989.0397453704</v>
      </c>
      <c r="U500" s="68">
        <v>43019.5416666667</v>
      </c>
      <c r="V500" s="68">
        <v>0</v>
      </c>
      <c r="W500" s="0">
        <f>IF(IF(B500="none",1,IF(B500="Trialer",1,0))+IF(C500="Customer",1,IF(C500="Lost",1,0))=2,1,0)</f>
      </c>
      <c r="X500" s="0" t="s">
        <v>148</v>
      </c>
      <c r="Y500" s="0" t="s">
        <v>499</v>
      </c>
      <c r="AV500" s="68"/>
      <c r="AW500" s="68"/>
      <c r="AY500" s="27"/>
      <c r="BD500" s="68">
        <v>46054.1666666667</v>
      </c>
      <c r="BE500" s="68">
        <v>46082.1666666667</v>
      </c>
      <c r="BF500" s="0" t="b">
        <v>0</v>
      </c>
      <c r="BG500" s="0" t="b">
        <v>0</v>
      </c>
      <c r="BH500" s="0">
        <v>0</v>
      </c>
      <c r="BI500" s="0">
        <v>0</v>
      </c>
      <c r="BJ500" s="0" t="s">
        <v>230</v>
      </c>
    </row>
    <row r="501">
      <c r="A501" s="0" t="s">
        <v>688</v>
      </c>
      <c r="B501" s="0" t="s">
        <v>134</v>
      </c>
      <c r="C501" s="0" t="s">
        <v>134</v>
      </c>
      <c r="D501" s="0" t="s">
        <v>135</v>
      </c>
      <c r="E501" s="0" t="s">
        <v>2</v>
      </c>
      <c r="F501" s="0" t="s">
        <v>12</v>
      </c>
      <c r="G501" s="0" t="s">
        <v>8</v>
      </c>
      <c r="H501" s="0">
        <v>3064</v>
      </c>
      <c r="I501" s="0">
        <v>260</v>
      </c>
      <c r="J501" s="0">
        <v>0</v>
      </c>
      <c r="K501" s="0">
        <v>1</v>
      </c>
      <c r="L501" s="0">
        <v>4</v>
      </c>
      <c r="M501" s="0">
        <v>5</v>
      </c>
      <c r="N501" s="0">
        <v>0</v>
      </c>
      <c r="O501" s="0">
        <v>0</v>
      </c>
      <c r="P501" s="0">
        <v>0</v>
      </c>
      <c r="R501" s="0" t="b">
        <v>0</v>
      </c>
      <c r="S501" s="0" t="b">
        <v>1</v>
      </c>
      <c r="T501" s="68">
        <v>42989.6758796296</v>
      </c>
      <c r="U501" s="68">
        <v>43057.5</v>
      </c>
      <c r="V501" s="68">
        <v>0</v>
      </c>
      <c r="W501" s="0">
        <f>IF(IF(B501="none",1,IF(B501="Trialer",1,0))+IF(C501="Customer",1,IF(C501="Lost",1,0))=2,1,0)</f>
      </c>
      <c r="X501" s="0" t="s">
        <v>145</v>
      </c>
      <c r="Y501" s="0" t="s">
        <v>499</v>
      </c>
      <c r="AV501" s="68"/>
      <c r="AW501" s="68"/>
      <c r="AY501" s="27"/>
      <c r="BD501" s="68">
        <v>46054.1666666667</v>
      </c>
      <c r="BE501" s="68">
        <v>46082.1666666667</v>
      </c>
      <c r="BF501" s="0" t="b">
        <v>0</v>
      </c>
      <c r="BG501" s="0" t="b">
        <v>0</v>
      </c>
      <c r="BH501" s="0">
        <v>156</v>
      </c>
      <c r="BI501" s="0">
        <v>156</v>
      </c>
      <c r="BJ501" s="0" t="s">
        <v>135</v>
      </c>
    </row>
    <row r="502">
      <c r="A502" s="0" t="s">
        <v>689</v>
      </c>
      <c r="B502" s="0" t="s">
        <v>134</v>
      </c>
      <c r="C502" s="0" t="s">
        <v>134</v>
      </c>
      <c r="D502" s="0" t="s">
        <v>135</v>
      </c>
      <c r="E502" s="0" t="s">
        <v>2</v>
      </c>
      <c r="F502" s="0" t="s">
        <v>12</v>
      </c>
      <c r="G502" s="0" t="s">
        <v>8</v>
      </c>
      <c r="H502" s="0">
        <v>3060</v>
      </c>
      <c r="I502" s="0">
        <v>52</v>
      </c>
      <c r="J502" s="0">
        <v>0</v>
      </c>
      <c r="K502" s="0">
        <v>1</v>
      </c>
      <c r="L502" s="0">
        <v>3</v>
      </c>
      <c r="M502" s="0">
        <v>1</v>
      </c>
      <c r="N502" s="0">
        <v>0</v>
      </c>
      <c r="O502" s="0">
        <v>0</v>
      </c>
      <c r="P502" s="0">
        <v>0</v>
      </c>
      <c r="R502" s="0" t="b">
        <v>0</v>
      </c>
      <c r="S502" s="0" t="b">
        <v>1</v>
      </c>
      <c r="T502" s="68">
        <v>42993.5895833333</v>
      </c>
      <c r="U502" s="68">
        <v>43023.5416666667</v>
      </c>
      <c r="V502" s="68">
        <v>0</v>
      </c>
      <c r="W502" s="0">
        <f>IF(IF(B502="none",1,IF(B502="Trialer",1,0))+IF(C502="Customer",1,IF(C502="Lost",1,0))=2,1,0)</f>
      </c>
      <c r="X502" s="0" t="s">
        <v>153</v>
      </c>
      <c r="Y502" s="0" t="s">
        <v>499</v>
      </c>
      <c r="AV502" s="68"/>
      <c r="AW502" s="68"/>
      <c r="AY502" s="27"/>
      <c r="BD502" s="68">
        <v>46054.1666666667</v>
      </c>
      <c r="BE502" s="68">
        <v>46082.1666666667</v>
      </c>
      <c r="BF502" s="0" t="b">
        <v>0</v>
      </c>
      <c r="BG502" s="0" t="b">
        <v>0</v>
      </c>
      <c r="BH502" s="0">
        <v>52</v>
      </c>
      <c r="BI502" s="0">
        <v>52</v>
      </c>
      <c r="BJ502" s="0" t="s">
        <v>135</v>
      </c>
    </row>
    <row r="503">
      <c r="A503" s="0" t="s">
        <v>690</v>
      </c>
      <c r="B503" s="0" t="s">
        <v>134</v>
      </c>
      <c r="C503" s="0" t="s">
        <v>134</v>
      </c>
      <c r="D503" s="0" t="s">
        <v>135</v>
      </c>
      <c r="E503" s="0" t="s">
        <v>3</v>
      </c>
      <c r="F503" s="0" t="s">
        <v>12</v>
      </c>
      <c r="G503" s="0" t="s">
        <v>8</v>
      </c>
      <c r="H503" s="0">
        <v>3055</v>
      </c>
      <c r="I503" s="0">
        <v>280</v>
      </c>
      <c r="J503" s="0">
        <v>0</v>
      </c>
      <c r="K503" s="0">
        <v>1</v>
      </c>
      <c r="L503" s="0">
        <v>1</v>
      </c>
      <c r="M503" s="0">
        <v>10</v>
      </c>
      <c r="N503" s="0">
        <v>0</v>
      </c>
      <c r="O503" s="0">
        <v>0</v>
      </c>
      <c r="P503" s="0">
        <v>0</v>
      </c>
      <c r="R503" s="0" t="b">
        <v>0</v>
      </c>
      <c r="S503" s="0" t="b">
        <v>1</v>
      </c>
      <c r="T503" s="68">
        <v>42998.5455324074</v>
      </c>
      <c r="U503" s="68">
        <v>43034.5416666667</v>
      </c>
      <c r="V503" s="68">
        <v>0</v>
      </c>
      <c r="W503" s="0">
        <f>IF(IF(B503="none",1,IF(B503="Trialer",1,0))+IF(C503="Customer",1,IF(C503="Lost",1,0))=2,1,0)</f>
      </c>
      <c r="X503" s="0" t="s">
        <v>148</v>
      </c>
      <c r="Y503" s="0" t="s">
        <v>243</v>
      </c>
      <c r="AV503" s="68"/>
      <c r="AW503" s="68"/>
      <c r="AY503" s="27"/>
      <c r="BD503" s="68">
        <v>46054.1666666667</v>
      </c>
      <c r="BE503" s="68">
        <v>46082.1666666667</v>
      </c>
      <c r="BF503" s="0" t="b">
        <v>0</v>
      </c>
      <c r="BG503" s="0" t="b">
        <v>0</v>
      </c>
      <c r="BH503" s="0">
        <v>280</v>
      </c>
      <c r="BI503" s="0">
        <v>280</v>
      </c>
      <c r="BJ503" s="0" t="s">
        <v>135</v>
      </c>
    </row>
    <row r="504">
      <c r="A504" s="0" t="s">
        <v>691</v>
      </c>
      <c r="B504" s="0" t="s">
        <v>134</v>
      </c>
      <c r="C504" s="0" t="s">
        <v>134</v>
      </c>
      <c r="D504" s="0" t="s">
        <v>230</v>
      </c>
      <c r="E504" s="0" t="s">
        <v>3</v>
      </c>
      <c r="F504" s="0" t="s">
        <v>12</v>
      </c>
      <c r="G504" s="0" t="s">
        <v>7</v>
      </c>
      <c r="H504" s="0">
        <v>3054</v>
      </c>
      <c r="I504" s="0">
        <v>288</v>
      </c>
      <c r="J504" s="0">
        <v>0</v>
      </c>
      <c r="K504" s="0">
        <v>1</v>
      </c>
      <c r="L504" s="0">
        <v>1</v>
      </c>
      <c r="M504" s="0">
        <v>8</v>
      </c>
      <c r="N504" s="0">
        <v>0</v>
      </c>
      <c r="O504" s="0">
        <v>0</v>
      </c>
      <c r="P504" s="0">
        <v>-288</v>
      </c>
      <c r="R504" s="0" t="b">
        <v>0</v>
      </c>
      <c r="S504" s="0" t="b">
        <v>1</v>
      </c>
      <c r="T504" s="68">
        <v>42999.9222222222</v>
      </c>
      <c r="U504" s="68">
        <v>43029.5</v>
      </c>
      <c r="V504" s="68">
        <v>0</v>
      </c>
      <c r="W504" s="0">
        <f>IF(IF(B504="none",1,IF(B504="Trialer",1,0))+IF(C504="Customer",1,IF(C504="Lost",1,0))=2,1,0)</f>
      </c>
      <c r="X504" s="0" t="s">
        <v>145</v>
      </c>
      <c r="Y504" s="0" t="s">
        <v>243</v>
      </c>
      <c r="AV504" s="68"/>
      <c r="AW504" s="68"/>
      <c r="AY504" s="27"/>
      <c r="BD504" s="68">
        <v>46054.1666666667</v>
      </c>
      <c r="BE504" s="68">
        <v>46082.1666666667</v>
      </c>
      <c r="BF504" s="0" t="b">
        <v>0</v>
      </c>
      <c r="BG504" s="0" t="b">
        <v>0</v>
      </c>
      <c r="BH504" s="0">
        <v>320</v>
      </c>
      <c r="BI504" s="0">
        <v>320</v>
      </c>
      <c r="BJ504" s="0" t="s">
        <v>230</v>
      </c>
    </row>
    <row r="505">
      <c r="A505" s="0" t="s">
        <v>692</v>
      </c>
      <c r="B505" s="0" t="s">
        <v>134</v>
      </c>
      <c r="C505" s="0" t="s">
        <v>134</v>
      </c>
      <c r="D505" s="0" t="s">
        <v>230</v>
      </c>
      <c r="E505" s="0" t="s">
        <v>3</v>
      </c>
      <c r="F505" s="0" t="s">
        <v>12</v>
      </c>
      <c r="G505" s="0" t="s">
        <v>8</v>
      </c>
      <c r="H505" s="0">
        <v>3049</v>
      </c>
      <c r="I505" s="0">
        <v>285</v>
      </c>
      <c r="J505" s="0">
        <v>0</v>
      </c>
      <c r="K505" s="0">
        <v>1</v>
      </c>
      <c r="L505" s="0">
        <v>3</v>
      </c>
      <c r="M505" s="0">
        <v>9</v>
      </c>
      <c r="N505" s="0">
        <v>0</v>
      </c>
      <c r="O505" s="0">
        <v>0</v>
      </c>
      <c r="P505" s="0">
        <v>-285</v>
      </c>
      <c r="R505" s="0" t="b">
        <v>0</v>
      </c>
      <c r="S505" s="0" t="b">
        <v>1</v>
      </c>
      <c r="T505" s="68">
        <v>43004.5129282407</v>
      </c>
      <c r="U505" s="68">
        <v>43034.5416666667</v>
      </c>
      <c r="V505" s="68">
        <v>0</v>
      </c>
      <c r="W505" s="0">
        <f>IF(IF(B505="none",1,IF(B505="Trialer",1,0))+IF(C505="Customer",1,IF(C505="Lost",1,0))=2,1,0)</f>
      </c>
      <c r="X505" s="0" t="s">
        <v>145</v>
      </c>
      <c r="Y505" s="0" t="s">
        <v>243</v>
      </c>
      <c r="AV505" s="68"/>
      <c r="AW505" s="68"/>
      <c r="AY505" s="27"/>
      <c r="BD505" s="68">
        <v>46054.1666666667</v>
      </c>
      <c r="BE505" s="68">
        <v>46082.1666666667</v>
      </c>
      <c r="BF505" s="0" t="b">
        <v>0</v>
      </c>
      <c r="BG505" s="0" t="b">
        <v>0</v>
      </c>
      <c r="BH505" s="0">
        <v>296</v>
      </c>
      <c r="BI505" s="0">
        <v>296</v>
      </c>
      <c r="BJ505" s="0" t="s">
        <v>230</v>
      </c>
    </row>
    <row r="506">
      <c r="A506" s="0" t="s">
        <v>693</v>
      </c>
      <c r="B506" s="0" t="s">
        <v>134</v>
      </c>
      <c r="C506" s="0" t="s">
        <v>134</v>
      </c>
      <c r="D506" s="0" t="s">
        <v>135</v>
      </c>
      <c r="E506" s="0" t="s">
        <v>3</v>
      </c>
      <c r="F506" s="0" t="s">
        <v>12</v>
      </c>
      <c r="G506" s="0" t="s">
        <v>8</v>
      </c>
      <c r="H506" s="0">
        <v>3046</v>
      </c>
      <c r="I506" s="0">
        <v>326</v>
      </c>
      <c r="J506" s="0">
        <v>0</v>
      </c>
      <c r="K506" s="0">
        <v>1</v>
      </c>
      <c r="L506" s="0">
        <v>3</v>
      </c>
      <c r="M506" s="0">
        <v>10</v>
      </c>
      <c r="N506" s="0">
        <v>0</v>
      </c>
      <c r="O506" s="0">
        <v>0</v>
      </c>
      <c r="P506" s="0">
        <v>0</v>
      </c>
      <c r="R506" s="0" t="b">
        <v>0</v>
      </c>
      <c r="S506" s="0" t="b">
        <v>1</v>
      </c>
      <c r="T506" s="68">
        <v>43007.5</v>
      </c>
      <c r="U506" s="68">
        <v>43037.5416666667</v>
      </c>
      <c r="V506" s="68">
        <v>0</v>
      </c>
      <c r="W506" s="0">
        <f>IF(IF(B506="none",1,IF(B506="Trialer",1,0))+IF(C506="Customer",1,IF(C506="Lost",1,0))=2,1,0)</f>
      </c>
      <c r="X506" s="0" t="s">
        <v>148</v>
      </c>
      <c r="Y506" s="0" t="s">
        <v>243</v>
      </c>
      <c r="AV506" s="68"/>
      <c r="AW506" s="68"/>
      <c r="AY506" s="27"/>
      <c r="BD506" s="68">
        <v>46054.1666666667</v>
      </c>
      <c r="BE506" s="68">
        <v>46082.1666666667</v>
      </c>
      <c r="BF506" s="0" t="b">
        <v>0</v>
      </c>
      <c r="BG506" s="0" t="b">
        <v>0</v>
      </c>
      <c r="BH506" s="0">
        <v>326</v>
      </c>
      <c r="BI506" s="0">
        <v>326</v>
      </c>
      <c r="BJ506" s="0" t="s">
        <v>135</v>
      </c>
    </row>
    <row r="507">
      <c r="A507" s="0" t="s">
        <v>694</v>
      </c>
      <c r="B507" s="0" t="s">
        <v>134</v>
      </c>
      <c r="C507" s="0" t="s">
        <v>190</v>
      </c>
      <c r="D507" s="0" t="s">
        <v>135</v>
      </c>
      <c r="E507" s="0" t="s">
        <v>3</v>
      </c>
      <c r="F507" s="0" t="s">
        <v>12</v>
      </c>
      <c r="G507" s="0" t="s">
        <v>8</v>
      </c>
      <c r="H507" s="0">
        <v>3033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R507" s="0" t="b">
        <v>0</v>
      </c>
      <c r="S507" s="0" t="b">
        <v>0</v>
      </c>
      <c r="T507" s="68">
        <v>43020.6080671296</v>
      </c>
      <c r="U507" s="68">
        <v>43051.2916666667</v>
      </c>
      <c r="V507" s="68">
        <v>46058.7011805556</v>
      </c>
      <c r="W507" s="0">
        <f>IF(IF(B507="none",1,IF(B507="Trialer",1,0))+IF(C507="Customer",1,IF(C507="Lost",1,0))=2,1,0)</f>
      </c>
      <c r="X507" s="0" t="s">
        <v>142</v>
      </c>
      <c r="Y507" s="0" t="s">
        <v>243</v>
      </c>
      <c r="AV507" s="68"/>
      <c r="AW507" s="68"/>
      <c r="AY507" s="27"/>
      <c r="BD507" s="68">
        <v>46054.1666666667</v>
      </c>
      <c r="BE507" s="68">
        <v>46082.1666666667</v>
      </c>
      <c r="BF507" s="0" t="b">
        <v>0</v>
      </c>
      <c r="BG507" s="0" t="b">
        <v>0</v>
      </c>
      <c r="BH507" s="0">
        <v>104</v>
      </c>
      <c r="BI507" s="0">
        <v>104</v>
      </c>
      <c r="BJ507" s="0" t="s">
        <v>135</v>
      </c>
    </row>
    <row r="508">
      <c r="A508" s="0" t="s">
        <v>695</v>
      </c>
      <c r="B508" s="0" t="s">
        <v>134</v>
      </c>
      <c r="C508" s="0" t="s">
        <v>134</v>
      </c>
      <c r="D508" s="0" t="s">
        <v>230</v>
      </c>
      <c r="E508" s="0" t="s">
        <v>3</v>
      </c>
      <c r="F508" s="0" t="s">
        <v>12</v>
      </c>
      <c r="G508" s="0" t="s">
        <v>8</v>
      </c>
      <c r="H508" s="0">
        <v>3029</v>
      </c>
      <c r="I508" s="0">
        <v>154</v>
      </c>
      <c r="J508" s="0">
        <v>0</v>
      </c>
      <c r="K508" s="0">
        <v>1</v>
      </c>
      <c r="L508" s="0">
        <v>3</v>
      </c>
      <c r="M508" s="0">
        <v>4</v>
      </c>
      <c r="N508" s="0">
        <v>0</v>
      </c>
      <c r="O508" s="0">
        <v>0</v>
      </c>
      <c r="P508" s="0">
        <v>-154</v>
      </c>
      <c r="R508" s="0" t="b">
        <v>0</v>
      </c>
      <c r="S508" s="0" t="b">
        <v>1</v>
      </c>
      <c r="T508" s="68">
        <v>43024.4971643519</v>
      </c>
      <c r="U508" s="68">
        <v>43055.5</v>
      </c>
      <c r="V508" s="68">
        <v>0</v>
      </c>
      <c r="W508" s="0">
        <f>IF(IF(B508="none",1,IF(B508="Trialer",1,0))+IF(C508="Customer",1,IF(C508="Lost",1,0))=2,1,0)</f>
      </c>
      <c r="X508" s="0" t="s">
        <v>145</v>
      </c>
      <c r="Y508" s="0" t="s">
        <v>243</v>
      </c>
      <c r="AV508" s="68"/>
      <c r="AW508" s="68"/>
      <c r="AY508" s="27"/>
      <c r="BD508" s="68">
        <v>46054.1666666667</v>
      </c>
      <c r="BE508" s="68">
        <v>46082.1666666667</v>
      </c>
      <c r="BF508" s="0" t="b">
        <v>0</v>
      </c>
      <c r="BG508" s="0" t="b">
        <v>0</v>
      </c>
      <c r="BH508" s="0">
        <v>175</v>
      </c>
      <c r="BI508" s="0">
        <v>175</v>
      </c>
      <c r="BJ508" s="0" t="s">
        <v>230</v>
      </c>
    </row>
    <row r="509">
      <c r="A509" s="0" t="s">
        <v>696</v>
      </c>
      <c r="B509" s="0" t="s">
        <v>134</v>
      </c>
      <c r="C509" s="0" t="s">
        <v>134</v>
      </c>
      <c r="D509" s="0" t="s">
        <v>135</v>
      </c>
      <c r="E509" s="0" t="s">
        <v>2</v>
      </c>
      <c r="F509" s="0" t="s">
        <v>12</v>
      </c>
      <c r="G509" s="0" t="s">
        <v>8</v>
      </c>
      <c r="H509" s="0">
        <v>3026</v>
      </c>
      <c r="I509" s="0">
        <v>104</v>
      </c>
      <c r="J509" s="0">
        <v>0</v>
      </c>
      <c r="K509" s="0">
        <v>1</v>
      </c>
      <c r="L509" s="0">
        <v>3</v>
      </c>
      <c r="M509" s="0">
        <v>2</v>
      </c>
      <c r="N509" s="0">
        <v>0</v>
      </c>
      <c r="O509" s="0">
        <v>0</v>
      </c>
      <c r="P509" s="0">
        <v>0</v>
      </c>
      <c r="R509" s="0" t="b">
        <v>0</v>
      </c>
      <c r="S509" s="0" t="b">
        <v>1</v>
      </c>
      <c r="T509" s="68">
        <v>43027.5048611111</v>
      </c>
      <c r="U509" s="68">
        <v>43088.5</v>
      </c>
      <c r="V509" s="68">
        <v>0</v>
      </c>
      <c r="W509" s="0">
        <f>IF(IF(B509="none",1,IF(B509="Trialer",1,0))+IF(C509="Customer",1,IF(C509="Lost",1,0))=2,1,0)</f>
      </c>
      <c r="X509" s="0" t="s">
        <v>166</v>
      </c>
      <c r="Y509" s="0" t="s">
        <v>499</v>
      </c>
      <c r="AV509" s="68"/>
      <c r="AW509" s="68"/>
      <c r="AY509" s="27"/>
      <c r="BD509" s="68">
        <v>46054.1666666667</v>
      </c>
      <c r="BE509" s="68">
        <v>46082.1666666667</v>
      </c>
      <c r="BF509" s="0" t="b">
        <v>0</v>
      </c>
      <c r="BG509" s="0" t="b">
        <v>0</v>
      </c>
      <c r="BH509" s="0">
        <v>104</v>
      </c>
      <c r="BI509" s="0">
        <v>104</v>
      </c>
      <c r="BJ509" s="0" t="s">
        <v>135</v>
      </c>
    </row>
    <row r="510">
      <c r="A510" s="0" t="s">
        <v>697</v>
      </c>
      <c r="B510" s="0" t="s">
        <v>134</v>
      </c>
      <c r="C510" s="0" t="s">
        <v>134</v>
      </c>
      <c r="D510" s="0" t="s">
        <v>135</v>
      </c>
      <c r="E510" s="0" t="s">
        <v>2</v>
      </c>
      <c r="F510" s="0" t="s">
        <v>12</v>
      </c>
      <c r="G510" s="0" t="s">
        <v>8</v>
      </c>
      <c r="H510" s="0">
        <v>3025</v>
      </c>
      <c r="I510" s="0">
        <v>1224</v>
      </c>
      <c r="J510" s="0">
        <v>0</v>
      </c>
      <c r="K510" s="0">
        <v>1</v>
      </c>
      <c r="L510" s="0">
        <v>4</v>
      </c>
      <c r="M510" s="0">
        <v>21</v>
      </c>
      <c r="N510" s="0">
        <v>0</v>
      </c>
      <c r="O510" s="0">
        <v>0</v>
      </c>
      <c r="P510" s="0">
        <v>0</v>
      </c>
      <c r="R510" s="0" t="b">
        <v>0</v>
      </c>
      <c r="S510" s="0" t="b">
        <v>1</v>
      </c>
      <c r="T510" s="68">
        <v>43028.5487731481</v>
      </c>
      <c r="U510" s="68">
        <v>43059.5</v>
      </c>
      <c r="V510" s="68">
        <v>0</v>
      </c>
      <c r="W510" s="0">
        <f>IF(IF(B510="none",1,IF(B510="Trialer",1,0))+IF(C510="Customer",1,IF(C510="Lost",1,0))=2,1,0)</f>
      </c>
      <c r="X510" s="0" t="s">
        <v>136</v>
      </c>
      <c r="Y510" s="0" t="s">
        <v>499</v>
      </c>
      <c r="AV510" s="68"/>
      <c r="AW510" s="68"/>
      <c r="AY510" s="27"/>
      <c r="BD510" s="68">
        <v>46054.1666666667</v>
      </c>
      <c r="BE510" s="68">
        <v>46082.1666666667</v>
      </c>
      <c r="BF510" s="0" t="b">
        <v>0</v>
      </c>
      <c r="BG510" s="0" t="b">
        <v>0</v>
      </c>
      <c r="BH510" s="0">
        <v>1224</v>
      </c>
      <c r="BI510" s="0">
        <v>1224</v>
      </c>
      <c r="BJ510" s="0" t="s">
        <v>135</v>
      </c>
    </row>
    <row r="511">
      <c r="A511" s="0" t="s">
        <v>698</v>
      </c>
      <c r="B511" s="0" t="s">
        <v>134</v>
      </c>
      <c r="C511" s="0" t="s">
        <v>134</v>
      </c>
      <c r="D511" s="0" t="s">
        <v>135</v>
      </c>
      <c r="E511" s="0" t="s">
        <v>3</v>
      </c>
      <c r="F511" s="0" t="s">
        <v>12</v>
      </c>
      <c r="G511" s="0" t="s">
        <v>8</v>
      </c>
      <c r="H511" s="0">
        <v>3016</v>
      </c>
      <c r="I511" s="0">
        <v>197</v>
      </c>
      <c r="J511" s="0">
        <v>0</v>
      </c>
      <c r="K511" s="0">
        <v>1</v>
      </c>
      <c r="L511" s="0">
        <v>3</v>
      </c>
      <c r="M511" s="0">
        <v>5</v>
      </c>
      <c r="N511" s="0">
        <v>0</v>
      </c>
      <c r="O511" s="0">
        <v>0</v>
      </c>
      <c r="P511" s="0">
        <v>0</v>
      </c>
      <c r="R511" s="0" t="b">
        <v>0</v>
      </c>
      <c r="S511" s="0" t="b">
        <v>1</v>
      </c>
      <c r="T511" s="68">
        <v>43037.793599537</v>
      </c>
      <c r="U511" s="68">
        <v>43068.5</v>
      </c>
      <c r="V511" s="68">
        <v>0</v>
      </c>
      <c r="W511" s="0">
        <f>IF(IF(B511="none",1,IF(B511="Trialer",1,0))+IF(C511="Customer",1,IF(C511="Lost",1,0))=2,1,0)</f>
      </c>
      <c r="X511" s="0" t="s">
        <v>148</v>
      </c>
      <c r="Y511" s="0" t="s">
        <v>243</v>
      </c>
      <c r="AV511" s="68"/>
      <c r="AW511" s="68"/>
      <c r="AY511" s="27"/>
      <c r="BD511" s="68">
        <v>46054.1666666667</v>
      </c>
      <c r="BE511" s="68">
        <v>46082.1666666667</v>
      </c>
      <c r="BF511" s="0" t="b">
        <v>0</v>
      </c>
      <c r="BG511" s="0" t="b">
        <v>0</v>
      </c>
      <c r="BH511" s="0">
        <v>197</v>
      </c>
      <c r="BI511" s="0">
        <v>197</v>
      </c>
      <c r="BJ511" s="0" t="s">
        <v>135</v>
      </c>
    </row>
    <row r="512">
      <c r="A512" s="0" t="s">
        <v>699</v>
      </c>
      <c r="B512" s="0" t="s">
        <v>134</v>
      </c>
      <c r="C512" s="0" t="s">
        <v>190</v>
      </c>
      <c r="D512" s="0" t="s">
        <v>135</v>
      </c>
      <c r="E512" s="0" t="s">
        <v>3</v>
      </c>
      <c r="F512" s="0" t="s">
        <v>12</v>
      </c>
      <c r="G512" s="0" t="s">
        <v>8</v>
      </c>
      <c r="H512" s="0">
        <v>3015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R512" s="0" t="b">
        <v>0</v>
      </c>
      <c r="S512" s="0" t="b">
        <v>0</v>
      </c>
      <c r="T512" s="68">
        <v>43038.7440740741</v>
      </c>
      <c r="U512" s="68">
        <v>43069.5</v>
      </c>
      <c r="V512" s="68">
        <v>46058.4990856481</v>
      </c>
      <c r="W512" s="0">
        <f>IF(IF(B512="none",1,IF(B512="Trialer",1,0))+IF(C512="Customer",1,IF(C512="Lost",1,0))=2,1,0)</f>
      </c>
      <c r="X512" s="0" t="s">
        <v>142</v>
      </c>
      <c r="Y512" s="0" t="s">
        <v>243</v>
      </c>
      <c r="AV512" s="68"/>
      <c r="AW512" s="68"/>
      <c r="AY512" s="27"/>
      <c r="BD512" s="68">
        <v>46054.1666666667</v>
      </c>
      <c r="BE512" s="68">
        <v>46082.1666666667</v>
      </c>
      <c r="BF512" s="0" t="b">
        <v>0</v>
      </c>
      <c r="BG512" s="0" t="b">
        <v>0</v>
      </c>
      <c r="BH512" s="0">
        <v>49</v>
      </c>
      <c r="BI512" s="0">
        <v>49</v>
      </c>
      <c r="BJ512" s="0" t="s">
        <v>135</v>
      </c>
    </row>
    <row r="513">
      <c r="A513" s="0" t="s">
        <v>700</v>
      </c>
      <c r="B513" s="0" t="s">
        <v>134</v>
      </c>
      <c r="C513" s="0" t="s">
        <v>134</v>
      </c>
      <c r="D513" s="0" t="s">
        <v>135</v>
      </c>
      <c r="E513" s="0" t="s">
        <v>2</v>
      </c>
      <c r="F513" s="0" t="s">
        <v>12</v>
      </c>
      <c r="G513" s="0" t="s">
        <v>8</v>
      </c>
      <c r="H513" s="0">
        <v>3015</v>
      </c>
      <c r="I513" s="0">
        <v>739</v>
      </c>
      <c r="J513" s="0">
        <v>0</v>
      </c>
      <c r="K513" s="0">
        <v>1</v>
      </c>
      <c r="L513" s="0">
        <v>3</v>
      </c>
      <c r="M513" s="0">
        <v>9</v>
      </c>
      <c r="N513" s="0">
        <v>0</v>
      </c>
      <c r="O513" s="0">
        <v>0</v>
      </c>
      <c r="P513" s="0">
        <v>0</v>
      </c>
      <c r="R513" s="0" t="b">
        <v>0</v>
      </c>
      <c r="S513" s="0" t="b">
        <v>1</v>
      </c>
      <c r="T513" s="68">
        <v>43038.8836805556</v>
      </c>
      <c r="U513" s="68">
        <v>43083.5</v>
      </c>
      <c r="V513" s="68">
        <v>0</v>
      </c>
      <c r="W513" s="0">
        <f>IF(IF(B513="none",1,IF(B513="Trialer",1,0))+IF(C513="Customer",1,IF(C513="Lost",1,0))=2,1,0)</f>
      </c>
      <c r="X513" s="0" t="s">
        <v>148</v>
      </c>
      <c r="Y513" s="0" t="s">
        <v>499</v>
      </c>
      <c r="AV513" s="68"/>
      <c r="AW513" s="68"/>
      <c r="AY513" s="27"/>
      <c r="BD513" s="68">
        <v>46054.1666666667</v>
      </c>
      <c r="BE513" s="68">
        <v>46082.1666666667</v>
      </c>
      <c r="BF513" s="0" t="b">
        <v>0</v>
      </c>
      <c r="BG513" s="0" t="b">
        <v>0</v>
      </c>
      <c r="BH513" s="0">
        <v>414</v>
      </c>
      <c r="BI513" s="0">
        <v>414</v>
      </c>
      <c r="BJ513" s="0" t="s">
        <v>135</v>
      </c>
    </row>
    <row r="514">
      <c r="A514" s="0" t="s">
        <v>701</v>
      </c>
      <c r="B514" s="0" t="s">
        <v>134</v>
      </c>
      <c r="C514" s="0" t="s">
        <v>134</v>
      </c>
      <c r="D514" s="0" t="s">
        <v>135</v>
      </c>
      <c r="E514" s="0" t="s">
        <v>3</v>
      </c>
      <c r="F514" s="0" t="s">
        <v>10</v>
      </c>
      <c r="G514" s="0" t="s">
        <v>8</v>
      </c>
      <c r="H514" s="0">
        <v>3012</v>
      </c>
      <c r="I514" s="0">
        <v>1863.25</v>
      </c>
      <c r="J514" s="0">
        <v>0</v>
      </c>
      <c r="K514" s="0">
        <v>2</v>
      </c>
      <c r="L514" s="0">
        <v>6</v>
      </c>
      <c r="M514" s="0">
        <v>28</v>
      </c>
      <c r="N514" s="0">
        <v>0</v>
      </c>
      <c r="O514" s="0">
        <v>0</v>
      </c>
      <c r="P514" s="0">
        <v>0</v>
      </c>
      <c r="Q514" s="0" t="s">
        <v>660</v>
      </c>
      <c r="R514" s="0" t="b">
        <v>0</v>
      </c>
      <c r="S514" s="0" t="b">
        <v>1</v>
      </c>
      <c r="T514" s="68">
        <v>43041.5965277778</v>
      </c>
      <c r="U514" s="68">
        <v>43071.5</v>
      </c>
      <c r="V514" s="68">
        <v>0</v>
      </c>
      <c r="W514" s="0">
        <f>IF(IF(B514="none",1,IF(B514="Trialer",1,0))+IF(C514="Customer",1,IF(C514="Lost",1,0))=2,1,0)</f>
      </c>
      <c r="X514" s="0" t="s">
        <v>148</v>
      </c>
      <c r="Y514" s="0" t="s">
        <v>243</v>
      </c>
      <c r="AV514" s="68"/>
      <c r="AW514" s="68"/>
      <c r="AY514" s="27"/>
      <c r="BD514" s="68">
        <v>46054.1666666667</v>
      </c>
      <c r="BE514" s="68">
        <v>46082.1666666667</v>
      </c>
      <c r="BF514" s="0" t="b">
        <v>0</v>
      </c>
      <c r="BG514" s="0" t="b">
        <v>0</v>
      </c>
      <c r="BH514" s="0">
        <v>1450</v>
      </c>
      <c r="BI514" s="0">
        <v>1450</v>
      </c>
      <c r="BJ514" s="0" t="s">
        <v>135</v>
      </c>
    </row>
    <row r="515">
      <c r="A515" s="0" t="s">
        <v>702</v>
      </c>
      <c r="B515" s="0" t="s">
        <v>134</v>
      </c>
      <c r="C515" s="0" t="s">
        <v>134</v>
      </c>
      <c r="D515" s="0" t="s">
        <v>135</v>
      </c>
      <c r="E515" s="0" t="s">
        <v>2</v>
      </c>
      <c r="F515" s="0" t="s">
        <v>12</v>
      </c>
      <c r="G515" s="0" t="s">
        <v>7</v>
      </c>
      <c r="H515" s="0">
        <v>3012</v>
      </c>
      <c r="I515" s="0">
        <v>40</v>
      </c>
      <c r="J515" s="0">
        <v>0</v>
      </c>
      <c r="K515" s="0">
        <v>1</v>
      </c>
      <c r="L515" s="0">
        <v>1</v>
      </c>
      <c r="M515" s="0">
        <v>1</v>
      </c>
      <c r="N515" s="0">
        <v>0</v>
      </c>
      <c r="O515" s="0">
        <v>0</v>
      </c>
      <c r="P515" s="0">
        <v>0</v>
      </c>
      <c r="R515" s="0" t="b">
        <v>0</v>
      </c>
      <c r="S515" s="0" t="b">
        <v>1</v>
      </c>
      <c r="T515" s="68">
        <v>43042</v>
      </c>
      <c r="U515" s="68">
        <v>43072.5</v>
      </c>
      <c r="V515" s="68">
        <v>0</v>
      </c>
      <c r="W515" s="0">
        <f>IF(IF(B515="none",1,IF(B515="Trialer",1,0))+IF(C515="Customer",1,IF(C515="Lost",1,0))=2,1,0)</f>
      </c>
      <c r="X515" s="0" t="s">
        <v>142</v>
      </c>
      <c r="Y515" s="0" t="s">
        <v>499</v>
      </c>
      <c r="AV515" s="68"/>
      <c r="AW515" s="68"/>
      <c r="AY515" s="27"/>
      <c r="BD515" s="68">
        <v>46054.1666666667</v>
      </c>
      <c r="BE515" s="68">
        <v>46082.1666666667</v>
      </c>
      <c r="BF515" s="0" t="b">
        <v>0</v>
      </c>
      <c r="BG515" s="0" t="b">
        <v>0</v>
      </c>
      <c r="BH515" s="0">
        <v>40</v>
      </c>
      <c r="BI515" s="0">
        <v>40</v>
      </c>
      <c r="BJ515" s="0" t="s">
        <v>135</v>
      </c>
    </row>
    <row r="516">
      <c r="A516" s="0" t="s">
        <v>703</v>
      </c>
      <c r="B516" s="0" t="s">
        <v>134</v>
      </c>
      <c r="C516" s="0" t="s">
        <v>134</v>
      </c>
      <c r="D516" s="0" t="s">
        <v>135</v>
      </c>
      <c r="E516" s="0" t="s">
        <v>2</v>
      </c>
      <c r="F516" s="0" t="s">
        <v>10</v>
      </c>
      <c r="G516" s="0" t="s">
        <v>7</v>
      </c>
      <c r="H516" s="0">
        <v>3000</v>
      </c>
      <c r="I516" s="0">
        <v>40</v>
      </c>
      <c r="J516" s="0">
        <v>0</v>
      </c>
      <c r="K516" s="0">
        <v>1</v>
      </c>
      <c r="L516" s="0">
        <v>1</v>
      </c>
      <c r="M516" s="0">
        <v>1</v>
      </c>
      <c r="N516" s="0">
        <v>0</v>
      </c>
      <c r="O516" s="0">
        <v>0</v>
      </c>
      <c r="P516" s="0">
        <v>0</v>
      </c>
      <c r="Q516" s="0" t="s">
        <v>357</v>
      </c>
      <c r="R516" s="0" t="b">
        <v>0</v>
      </c>
      <c r="S516" s="0" t="b">
        <v>1</v>
      </c>
      <c r="T516" s="68">
        <v>43053.3548611111</v>
      </c>
      <c r="U516" s="68">
        <v>43083.5</v>
      </c>
      <c r="V516" s="68">
        <v>0</v>
      </c>
      <c r="W516" s="0">
        <f>IF(IF(B516="none",1,IF(B516="Trialer",1,0))+IF(C516="Customer",1,IF(C516="Lost",1,0))=2,1,0)</f>
      </c>
      <c r="X516" s="0" t="s">
        <v>148</v>
      </c>
      <c r="Y516" s="0" t="s">
        <v>499</v>
      </c>
      <c r="AV516" s="68"/>
      <c r="AW516" s="68"/>
      <c r="AY516" s="27"/>
      <c r="BD516" s="68">
        <v>46054.1666666667</v>
      </c>
      <c r="BE516" s="68">
        <v>46082.1666666667</v>
      </c>
      <c r="BF516" s="0" t="b">
        <v>0</v>
      </c>
      <c r="BG516" s="0" t="b">
        <v>0</v>
      </c>
      <c r="BH516" s="0">
        <v>40</v>
      </c>
      <c r="BI516" s="0">
        <v>40</v>
      </c>
      <c r="BJ516" s="0" t="s">
        <v>135</v>
      </c>
    </row>
    <row r="517">
      <c r="A517" s="0" t="s">
        <v>704</v>
      </c>
      <c r="B517" s="0" t="s">
        <v>134</v>
      </c>
      <c r="C517" s="0" t="s">
        <v>134</v>
      </c>
      <c r="D517" s="0" t="s">
        <v>135</v>
      </c>
      <c r="E517" s="0" t="s">
        <v>3</v>
      </c>
      <c r="F517" s="0" t="s">
        <v>12</v>
      </c>
      <c r="G517" s="0" t="s">
        <v>8</v>
      </c>
      <c r="H517" s="0">
        <v>2998</v>
      </c>
      <c r="I517" s="0">
        <v>28</v>
      </c>
      <c r="J517" s="0">
        <v>0</v>
      </c>
      <c r="K517" s="0">
        <v>1</v>
      </c>
      <c r="L517" s="0">
        <v>1</v>
      </c>
      <c r="M517" s="0">
        <v>1</v>
      </c>
      <c r="N517" s="0">
        <v>0</v>
      </c>
      <c r="O517" s="0">
        <v>0</v>
      </c>
      <c r="P517" s="0">
        <v>0</v>
      </c>
      <c r="R517" s="0" t="b">
        <v>0</v>
      </c>
      <c r="S517" s="0" t="b">
        <v>1</v>
      </c>
      <c r="T517" s="68">
        <v>43055.63125</v>
      </c>
      <c r="U517" s="68">
        <v>43085.5</v>
      </c>
      <c r="V517" s="68">
        <v>0</v>
      </c>
      <c r="W517" s="0">
        <f>IF(IF(B517="none",1,IF(B517="Trialer",1,0))+IF(C517="Customer",1,IF(C517="Lost",1,0))=2,1,0)</f>
      </c>
      <c r="X517" s="0" t="s">
        <v>166</v>
      </c>
      <c r="Y517" s="0" t="s">
        <v>487</v>
      </c>
      <c r="AV517" s="68"/>
      <c r="AW517" s="68"/>
      <c r="AY517" s="27"/>
      <c r="BD517" s="68">
        <v>46054.1666666667</v>
      </c>
      <c r="BE517" s="68">
        <v>46082.1666666667</v>
      </c>
      <c r="BF517" s="0" t="b">
        <v>0</v>
      </c>
      <c r="BG517" s="0" t="b">
        <v>0</v>
      </c>
      <c r="BH517" s="0">
        <v>28</v>
      </c>
      <c r="BI517" s="0">
        <v>28</v>
      </c>
      <c r="BJ517" s="0" t="s">
        <v>135</v>
      </c>
    </row>
    <row r="518">
      <c r="A518" s="0" t="s">
        <v>705</v>
      </c>
      <c r="B518" s="0" t="s">
        <v>134</v>
      </c>
      <c r="C518" s="0" t="s">
        <v>134</v>
      </c>
      <c r="D518" s="0" t="s">
        <v>135</v>
      </c>
      <c r="E518" s="0" t="s">
        <v>2</v>
      </c>
      <c r="F518" s="0" t="s">
        <v>12</v>
      </c>
      <c r="G518" s="0" t="s">
        <v>7</v>
      </c>
      <c r="H518" s="0">
        <v>2996</v>
      </c>
      <c r="I518" s="0">
        <v>40</v>
      </c>
      <c r="J518" s="0">
        <v>0</v>
      </c>
      <c r="K518" s="0">
        <v>1</v>
      </c>
      <c r="L518" s="0">
        <v>1</v>
      </c>
      <c r="M518" s="0">
        <v>1</v>
      </c>
      <c r="N518" s="0">
        <v>0</v>
      </c>
      <c r="O518" s="0">
        <v>0</v>
      </c>
      <c r="P518" s="0">
        <v>0</v>
      </c>
      <c r="R518" s="0" t="b">
        <v>0</v>
      </c>
      <c r="S518" s="0" t="b">
        <v>1</v>
      </c>
      <c r="T518" s="68">
        <v>43057.71875</v>
      </c>
      <c r="U518" s="68">
        <v>43057.5</v>
      </c>
      <c r="V518" s="68">
        <v>0</v>
      </c>
      <c r="W518" s="0">
        <f>IF(IF(B518="none",1,IF(B518="Trialer",1,0))+IF(C518="Customer",1,IF(C518="Lost",1,0))=2,1,0)</f>
      </c>
      <c r="X518" s="0" t="s">
        <v>145</v>
      </c>
      <c r="Y518" s="0" t="s">
        <v>137</v>
      </c>
      <c r="AV518" s="68"/>
      <c r="AW518" s="68"/>
      <c r="AY518" s="27"/>
      <c r="BD518" s="68">
        <v>46054.1666666667</v>
      </c>
      <c r="BE518" s="68">
        <v>46082.1666666667</v>
      </c>
      <c r="BF518" s="0" t="b">
        <v>0</v>
      </c>
      <c r="BG518" s="0" t="b">
        <v>0</v>
      </c>
      <c r="BH518" s="0">
        <v>40</v>
      </c>
      <c r="BI518" s="0">
        <v>40</v>
      </c>
      <c r="BJ518" s="0" t="s">
        <v>135</v>
      </c>
    </row>
    <row r="519">
      <c r="A519" s="0" t="s">
        <v>706</v>
      </c>
      <c r="B519" s="0" t="s">
        <v>134</v>
      </c>
      <c r="C519" s="0" t="s">
        <v>134</v>
      </c>
      <c r="D519" s="0" t="s">
        <v>135</v>
      </c>
      <c r="E519" s="0" t="s">
        <v>3</v>
      </c>
      <c r="F519" s="0" t="s">
        <v>12</v>
      </c>
      <c r="G519" s="0" t="s">
        <v>8</v>
      </c>
      <c r="H519" s="0">
        <v>2994</v>
      </c>
      <c r="I519" s="0">
        <v>0</v>
      </c>
      <c r="J519" s="0">
        <v>0</v>
      </c>
      <c r="K519" s="0">
        <v>1</v>
      </c>
      <c r="L519" s="0">
        <v>4</v>
      </c>
      <c r="M519" s="0">
        <v>2</v>
      </c>
      <c r="N519" s="0">
        <v>0</v>
      </c>
      <c r="O519" s="0">
        <v>0</v>
      </c>
      <c r="P519" s="0">
        <v>0</v>
      </c>
      <c r="R519" s="0" t="b">
        <v>0</v>
      </c>
      <c r="S519" s="0" t="b">
        <v>1</v>
      </c>
      <c r="T519" s="68">
        <v>43059.6368055556</v>
      </c>
      <c r="U519" s="68">
        <v>43096.5</v>
      </c>
      <c r="V519" s="68">
        <v>0</v>
      </c>
      <c r="W519" s="0">
        <f>IF(IF(B519="none",1,IF(B519="Trialer",1,0))+IF(C519="Customer",1,IF(C519="Lost",1,0))=2,1,0)</f>
      </c>
      <c r="X519" s="0" t="s">
        <v>148</v>
      </c>
      <c r="Y519" s="0" t="s">
        <v>243</v>
      </c>
      <c r="AV519" s="68"/>
      <c r="AW519" s="68"/>
      <c r="AY519" s="27"/>
      <c r="BD519" s="68">
        <v>46054.1666666667</v>
      </c>
      <c r="BE519" s="68">
        <v>46082.1666666667</v>
      </c>
      <c r="BF519" s="0" t="b">
        <v>0</v>
      </c>
      <c r="BG519" s="0" t="b">
        <v>0</v>
      </c>
      <c r="BH519" s="0">
        <v>0</v>
      </c>
      <c r="BI519" s="0">
        <v>0</v>
      </c>
      <c r="BJ519" s="0" t="s">
        <v>135</v>
      </c>
    </row>
    <row r="520">
      <c r="A520" s="0" t="s">
        <v>707</v>
      </c>
      <c r="B520" s="0" t="s">
        <v>134</v>
      </c>
      <c r="C520" s="0" t="s">
        <v>134</v>
      </c>
      <c r="D520" s="0" t="s">
        <v>135</v>
      </c>
      <c r="E520" s="0" t="s">
        <v>3</v>
      </c>
      <c r="F520" s="0" t="s">
        <v>12</v>
      </c>
      <c r="G520" s="0" t="s">
        <v>8</v>
      </c>
      <c r="H520" s="0">
        <v>2983</v>
      </c>
      <c r="I520" s="0">
        <v>28</v>
      </c>
      <c r="J520" s="0">
        <v>0</v>
      </c>
      <c r="K520" s="0">
        <v>1</v>
      </c>
      <c r="L520" s="0">
        <v>1</v>
      </c>
      <c r="M520" s="0">
        <v>1</v>
      </c>
      <c r="N520" s="0">
        <v>0</v>
      </c>
      <c r="O520" s="0">
        <v>0</v>
      </c>
      <c r="P520" s="0">
        <v>0</v>
      </c>
      <c r="R520" s="0" t="b">
        <v>0</v>
      </c>
      <c r="S520" s="0" t="b">
        <v>1</v>
      </c>
      <c r="T520" s="68">
        <v>43070.6685185185</v>
      </c>
      <c r="U520" s="68">
        <v>43109.5</v>
      </c>
      <c r="V520" s="68">
        <v>0</v>
      </c>
      <c r="W520" s="0">
        <f>IF(IF(B520="none",1,IF(B520="Trialer",1,0))+IF(C520="Customer",1,IF(C520="Lost",1,0))=2,1,0)</f>
      </c>
      <c r="X520" s="0" t="s">
        <v>142</v>
      </c>
      <c r="Y520" s="0" t="s">
        <v>487</v>
      </c>
      <c r="AV520" s="68"/>
      <c r="AW520" s="68"/>
      <c r="AY520" s="27"/>
      <c r="BD520" s="68">
        <v>46054.1666666667</v>
      </c>
      <c r="BE520" s="68">
        <v>46082.1666666667</v>
      </c>
      <c r="BF520" s="0" t="b">
        <v>0</v>
      </c>
      <c r="BG520" s="0" t="b">
        <v>0</v>
      </c>
      <c r="BH520" s="0">
        <v>28</v>
      </c>
      <c r="BI520" s="0">
        <v>28</v>
      </c>
      <c r="BJ520" s="0" t="s">
        <v>135</v>
      </c>
    </row>
    <row r="521">
      <c r="A521" s="0" t="s">
        <v>708</v>
      </c>
      <c r="B521" s="0" t="s">
        <v>134</v>
      </c>
      <c r="C521" s="0" t="s">
        <v>134</v>
      </c>
      <c r="D521" s="0" t="s">
        <v>135</v>
      </c>
      <c r="E521" s="0" t="s">
        <v>3</v>
      </c>
      <c r="F521" s="0" t="s">
        <v>12</v>
      </c>
      <c r="G521" s="0" t="s">
        <v>8</v>
      </c>
      <c r="H521" s="0">
        <v>2980</v>
      </c>
      <c r="I521" s="0">
        <v>416</v>
      </c>
      <c r="J521" s="0">
        <v>0</v>
      </c>
      <c r="K521" s="0">
        <v>1</v>
      </c>
      <c r="L521" s="0">
        <v>2</v>
      </c>
      <c r="M521" s="0">
        <v>11</v>
      </c>
      <c r="N521" s="0">
        <v>0</v>
      </c>
      <c r="O521" s="0">
        <v>0</v>
      </c>
      <c r="P521" s="0">
        <v>0</v>
      </c>
      <c r="R521" s="0" t="b">
        <v>0</v>
      </c>
      <c r="S521" s="0" t="b">
        <v>1</v>
      </c>
      <c r="T521" s="68">
        <v>43073.4514814815</v>
      </c>
      <c r="U521" s="68">
        <v>43108.5</v>
      </c>
      <c r="V521" s="68">
        <v>0</v>
      </c>
      <c r="W521" s="0">
        <f>IF(IF(B521="none",1,IF(B521="Trialer",1,0))+IF(C521="Customer",1,IF(C521="Lost",1,0))=2,1,0)</f>
      </c>
      <c r="X521" s="0" t="s">
        <v>148</v>
      </c>
      <c r="Y521" s="0" t="s">
        <v>243</v>
      </c>
      <c r="AV521" s="68"/>
      <c r="AW521" s="68"/>
      <c r="AY521" s="27"/>
      <c r="BD521" s="68">
        <v>46054.1666666667</v>
      </c>
      <c r="BE521" s="68">
        <v>46082.1666666667</v>
      </c>
      <c r="BF521" s="0" t="b">
        <v>0</v>
      </c>
      <c r="BG521" s="0" t="b">
        <v>0</v>
      </c>
      <c r="BH521" s="0">
        <v>416</v>
      </c>
      <c r="BI521" s="0">
        <v>416</v>
      </c>
      <c r="BJ521" s="0" t="s">
        <v>135</v>
      </c>
    </row>
    <row r="522">
      <c r="A522" s="0" t="s">
        <v>709</v>
      </c>
      <c r="B522" s="0" t="s">
        <v>134</v>
      </c>
      <c r="C522" s="0" t="s">
        <v>134</v>
      </c>
      <c r="D522" s="0" t="s">
        <v>230</v>
      </c>
      <c r="E522" s="0" t="s">
        <v>3</v>
      </c>
      <c r="F522" s="0" t="s">
        <v>12</v>
      </c>
      <c r="G522" s="0" t="s">
        <v>8</v>
      </c>
      <c r="H522" s="0">
        <v>2972</v>
      </c>
      <c r="I522" s="0">
        <v>25</v>
      </c>
      <c r="J522" s="0">
        <v>0</v>
      </c>
      <c r="K522" s="0">
        <v>1</v>
      </c>
      <c r="L522" s="0">
        <v>1</v>
      </c>
      <c r="M522" s="0">
        <v>1</v>
      </c>
      <c r="N522" s="0">
        <v>0</v>
      </c>
      <c r="O522" s="0">
        <v>0</v>
      </c>
      <c r="P522" s="0">
        <v>-25</v>
      </c>
      <c r="R522" s="0" t="b">
        <v>0</v>
      </c>
      <c r="S522" s="0" t="b">
        <v>1</v>
      </c>
      <c r="T522" s="68">
        <v>43081.3915162037</v>
      </c>
      <c r="U522" s="68">
        <v>43112.2916666667</v>
      </c>
      <c r="V522" s="68">
        <v>0</v>
      </c>
      <c r="W522" s="0">
        <f>IF(IF(B522="none",1,IF(B522="Trialer",1,0))+IF(C522="Customer",1,IF(C522="Lost",1,0))=2,1,0)</f>
      </c>
      <c r="X522" s="0" t="s">
        <v>142</v>
      </c>
      <c r="Y522" s="0" t="s">
        <v>487</v>
      </c>
      <c r="AV522" s="68"/>
      <c r="AW522" s="68"/>
      <c r="AY522" s="27"/>
      <c r="BD522" s="68">
        <v>46054.1666666667</v>
      </c>
      <c r="BE522" s="68">
        <v>46082.1666666667</v>
      </c>
      <c r="BF522" s="0" t="b">
        <v>0</v>
      </c>
      <c r="BG522" s="0" t="b">
        <v>0</v>
      </c>
      <c r="BH522" s="0">
        <v>28</v>
      </c>
      <c r="BI522" s="0">
        <v>28</v>
      </c>
      <c r="BJ522" s="0" t="s">
        <v>230</v>
      </c>
    </row>
    <row r="523">
      <c r="A523" s="0" t="s">
        <v>710</v>
      </c>
      <c r="B523" s="0" t="s">
        <v>134</v>
      </c>
      <c r="C523" s="0" t="s">
        <v>134</v>
      </c>
      <c r="D523" s="0" t="s">
        <v>135</v>
      </c>
      <c r="E523" s="0" t="s">
        <v>3</v>
      </c>
      <c r="F523" s="0" t="s">
        <v>12</v>
      </c>
      <c r="G523" s="0" t="s">
        <v>8</v>
      </c>
      <c r="H523" s="0">
        <v>2971</v>
      </c>
      <c r="I523" s="0">
        <v>394</v>
      </c>
      <c r="J523" s="0">
        <v>0</v>
      </c>
      <c r="K523" s="0">
        <v>1</v>
      </c>
      <c r="L523" s="0">
        <v>3</v>
      </c>
      <c r="M523" s="0">
        <v>10</v>
      </c>
      <c r="N523" s="0">
        <v>0</v>
      </c>
      <c r="O523" s="0">
        <v>0</v>
      </c>
      <c r="P523" s="0">
        <v>0</v>
      </c>
      <c r="R523" s="0" t="b">
        <v>0</v>
      </c>
      <c r="S523" s="0" t="b">
        <v>1</v>
      </c>
      <c r="T523" s="68">
        <v>43082.6326388889</v>
      </c>
      <c r="U523" s="68">
        <v>43113.5</v>
      </c>
      <c r="V523" s="68">
        <v>0</v>
      </c>
      <c r="W523" s="0">
        <f>IF(IF(B523="none",1,IF(B523="Trialer",1,0))+IF(C523="Customer",1,IF(C523="Lost",1,0))=2,1,0)</f>
      </c>
      <c r="X523" s="0" t="s">
        <v>136</v>
      </c>
      <c r="Y523" s="0" t="s">
        <v>243</v>
      </c>
      <c r="AV523" s="68"/>
      <c r="AW523" s="68"/>
      <c r="AY523" s="27"/>
      <c r="BD523" s="68">
        <v>46054.1666666667</v>
      </c>
      <c r="BE523" s="68">
        <v>46082.1666666667</v>
      </c>
      <c r="BF523" s="0" t="b">
        <v>0</v>
      </c>
      <c r="BG523" s="0" t="b">
        <v>0</v>
      </c>
      <c r="BH523" s="0">
        <v>394</v>
      </c>
      <c r="BI523" s="0">
        <v>394</v>
      </c>
      <c r="BJ523" s="0" t="s">
        <v>135</v>
      </c>
    </row>
    <row r="524">
      <c r="A524" s="0" t="s">
        <v>711</v>
      </c>
      <c r="B524" s="0" t="s">
        <v>134</v>
      </c>
      <c r="C524" s="0" t="s">
        <v>134</v>
      </c>
      <c r="D524" s="0" t="s">
        <v>135</v>
      </c>
      <c r="E524" s="0" t="s">
        <v>2</v>
      </c>
      <c r="F524" s="0" t="s">
        <v>12</v>
      </c>
      <c r="G524" s="0" t="s">
        <v>7</v>
      </c>
      <c r="H524" s="0">
        <v>2964</v>
      </c>
      <c r="I524" s="0">
        <v>40</v>
      </c>
      <c r="J524" s="0">
        <v>0</v>
      </c>
      <c r="K524" s="0">
        <v>1</v>
      </c>
      <c r="L524" s="0">
        <v>1</v>
      </c>
      <c r="M524" s="0">
        <v>1</v>
      </c>
      <c r="N524" s="0">
        <v>0</v>
      </c>
      <c r="O524" s="0">
        <v>0</v>
      </c>
      <c r="P524" s="0">
        <v>0</v>
      </c>
      <c r="R524" s="0" t="b">
        <v>0</v>
      </c>
      <c r="S524" s="0" t="b">
        <v>1</v>
      </c>
      <c r="T524" s="68">
        <v>43089.5791666667</v>
      </c>
      <c r="U524" s="68">
        <v>43089.5</v>
      </c>
      <c r="V524" s="68">
        <v>0</v>
      </c>
      <c r="W524" s="0">
        <f>IF(IF(B524="none",1,IF(B524="Trialer",1,0))+IF(C524="Customer",1,IF(C524="Lost",1,0))=2,1,0)</f>
      </c>
      <c r="X524" s="0" t="s">
        <v>145</v>
      </c>
      <c r="Y524" s="0" t="s">
        <v>137</v>
      </c>
      <c r="AV524" s="68"/>
      <c r="AW524" s="68"/>
      <c r="AY524" s="27"/>
      <c r="BD524" s="68">
        <v>46054.1666666667</v>
      </c>
      <c r="BE524" s="68">
        <v>46082.1666666667</v>
      </c>
      <c r="BF524" s="0" t="b">
        <v>0</v>
      </c>
      <c r="BG524" s="0" t="b">
        <v>0</v>
      </c>
      <c r="BH524" s="0">
        <v>40</v>
      </c>
      <c r="BI524" s="0">
        <v>40</v>
      </c>
      <c r="BJ524" s="0" t="s">
        <v>135</v>
      </c>
    </row>
    <row r="525">
      <c r="A525" s="0" t="s">
        <v>712</v>
      </c>
      <c r="B525" s="0" t="s">
        <v>134</v>
      </c>
      <c r="C525" s="0" t="s">
        <v>134</v>
      </c>
      <c r="D525" s="0" t="s">
        <v>135</v>
      </c>
      <c r="E525" s="0" t="s">
        <v>3</v>
      </c>
      <c r="F525" s="0" t="s">
        <v>10</v>
      </c>
      <c r="G525" s="0" t="s">
        <v>8</v>
      </c>
      <c r="H525" s="0">
        <v>2963</v>
      </c>
      <c r="I525" s="0">
        <v>56</v>
      </c>
      <c r="J525" s="0">
        <v>0</v>
      </c>
      <c r="K525" s="0">
        <v>1</v>
      </c>
      <c r="L525" s="0">
        <v>1</v>
      </c>
      <c r="M525" s="0">
        <v>2</v>
      </c>
      <c r="N525" s="0">
        <v>0</v>
      </c>
      <c r="O525" s="0">
        <v>0</v>
      </c>
      <c r="P525" s="0">
        <v>0</v>
      </c>
      <c r="Q525" s="0" t="s">
        <v>618</v>
      </c>
      <c r="R525" s="0" t="b">
        <v>0</v>
      </c>
      <c r="S525" s="0" t="b">
        <v>1</v>
      </c>
      <c r="T525" s="68">
        <v>43090.5</v>
      </c>
      <c r="U525" s="68">
        <v>43123.5</v>
      </c>
      <c r="V525" s="68">
        <v>0</v>
      </c>
      <c r="W525" s="0">
        <f>IF(IF(B525="none",1,IF(B525="Trialer",1,0))+IF(C525="Customer",1,IF(C525="Lost",1,0))=2,1,0)</f>
      </c>
      <c r="X525" s="0" t="s">
        <v>148</v>
      </c>
      <c r="Y525" s="0" t="s">
        <v>243</v>
      </c>
      <c r="AV525" s="68"/>
      <c r="AW525" s="68"/>
      <c r="AY525" s="27"/>
      <c r="BD525" s="68">
        <v>46054.1666666667</v>
      </c>
      <c r="BE525" s="68">
        <v>46082.1666666667</v>
      </c>
      <c r="BF525" s="0" t="b">
        <v>0</v>
      </c>
      <c r="BG525" s="0" t="b">
        <v>0</v>
      </c>
      <c r="BH525" s="0">
        <v>56</v>
      </c>
      <c r="BI525" s="0">
        <v>56</v>
      </c>
      <c r="BJ525" s="0" t="s">
        <v>135</v>
      </c>
    </row>
    <row r="526">
      <c r="A526" s="0" t="s">
        <v>713</v>
      </c>
      <c r="B526" s="0" t="s">
        <v>134</v>
      </c>
      <c r="C526" s="0" t="s">
        <v>134</v>
      </c>
      <c r="D526" s="0" t="s">
        <v>135</v>
      </c>
      <c r="E526" s="0" t="s">
        <v>2</v>
      </c>
      <c r="F526" s="0" t="s">
        <v>12</v>
      </c>
      <c r="G526" s="0" t="s">
        <v>8</v>
      </c>
      <c r="H526" s="0">
        <v>2963</v>
      </c>
      <c r="I526" s="0">
        <v>148</v>
      </c>
      <c r="J526" s="0">
        <v>0</v>
      </c>
      <c r="K526" s="0">
        <v>1</v>
      </c>
      <c r="L526" s="0">
        <v>2</v>
      </c>
      <c r="M526" s="0">
        <v>4</v>
      </c>
      <c r="N526" s="0">
        <v>0</v>
      </c>
      <c r="O526" s="0">
        <v>0</v>
      </c>
      <c r="P526" s="0">
        <v>0</v>
      </c>
      <c r="R526" s="0" t="b">
        <v>0</v>
      </c>
      <c r="S526" s="0" t="b">
        <v>1</v>
      </c>
      <c r="T526" s="68">
        <v>43090.5590277778</v>
      </c>
      <c r="U526" s="68">
        <v>43121.5</v>
      </c>
      <c r="V526" s="68">
        <v>0</v>
      </c>
      <c r="W526" s="0">
        <f>IF(IF(B526="none",1,IF(B526="Trialer",1,0))+IF(C526="Customer",1,IF(C526="Lost",1,0))=2,1,0)</f>
      </c>
      <c r="X526" s="0" t="s">
        <v>145</v>
      </c>
      <c r="Y526" s="0" t="s">
        <v>499</v>
      </c>
      <c r="AV526" s="68"/>
      <c r="AW526" s="68"/>
      <c r="AY526" s="27"/>
      <c r="BD526" s="68">
        <v>46054.1666666667</v>
      </c>
      <c r="BE526" s="68">
        <v>46082.1666666667</v>
      </c>
      <c r="BF526" s="0" t="b">
        <v>0</v>
      </c>
      <c r="BG526" s="0" t="b">
        <v>0</v>
      </c>
      <c r="BH526" s="0">
        <v>148</v>
      </c>
      <c r="BI526" s="0">
        <v>148</v>
      </c>
      <c r="BJ526" s="0" t="s">
        <v>135</v>
      </c>
    </row>
    <row r="527">
      <c r="A527" s="0" t="s">
        <v>714</v>
      </c>
      <c r="B527" s="0" t="s">
        <v>134</v>
      </c>
      <c r="C527" s="0" t="s">
        <v>190</v>
      </c>
      <c r="D527" s="0" t="s">
        <v>135</v>
      </c>
      <c r="E527" s="0" t="s">
        <v>2</v>
      </c>
      <c r="F527" s="0" t="s">
        <v>12</v>
      </c>
      <c r="G527" s="0" t="s">
        <v>7</v>
      </c>
      <c r="H527" s="0">
        <v>2962</v>
      </c>
      <c r="I527" s="0">
        <v>0</v>
      </c>
      <c r="J527" s="0">
        <v>-200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R527" s="0" t="b">
        <v>0</v>
      </c>
      <c r="S527" s="0" t="b">
        <v>0</v>
      </c>
      <c r="T527" s="68">
        <v>43091.6347222222</v>
      </c>
      <c r="U527" s="68">
        <v>43126.5</v>
      </c>
      <c r="V527" s="68">
        <v>46073.1669328704</v>
      </c>
      <c r="W527" s="0">
        <f>IF(IF(B527="none",1,IF(B527="Trialer",1,0))+IF(C527="Customer",1,IF(C527="Lost",1,0))=2,1,0)</f>
      </c>
      <c r="X527" s="0" t="s">
        <v>148</v>
      </c>
      <c r="Y527" s="0" t="s">
        <v>499</v>
      </c>
      <c r="AV527" s="68"/>
      <c r="AW527" s="68"/>
      <c r="AY527" s="27"/>
      <c r="BD527" s="68">
        <v>46054.1666666667</v>
      </c>
      <c r="BE527" s="68">
        <v>46082.1666666667</v>
      </c>
      <c r="BF527" s="0" t="b">
        <v>0</v>
      </c>
      <c r="BG527" s="0" t="b">
        <v>0</v>
      </c>
      <c r="BH527" s="0">
        <v>200</v>
      </c>
      <c r="BI527" s="0">
        <v>200</v>
      </c>
      <c r="BJ527" s="0" t="s">
        <v>135</v>
      </c>
    </row>
    <row r="528">
      <c r="A528" s="0" t="s">
        <v>715</v>
      </c>
      <c r="B528" s="0" t="s">
        <v>134</v>
      </c>
      <c r="C528" s="0" t="s">
        <v>134</v>
      </c>
      <c r="D528" s="0" t="s">
        <v>135</v>
      </c>
      <c r="E528" s="0" t="s">
        <v>3</v>
      </c>
      <c r="F528" s="0" t="s">
        <v>12</v>
      </c>
      <c r="G528" s="0" t="s">
        <v>8</v>
      </c>
      <c r="H528" s="0">
        <v>2960</v>
      </c>
      <c r="I528" s="0">
        <v>0</v>
      </c>
      <c r="J528" s="0">
        <v>0</v>
      </c>
      <c r="K528" s="0">
        <v>1</v>
      </c>
      <c r="L528" s="0">
        <v>3</v>
      </c>
      <c r="M528" s="0">
        <v>2</v>
      </c>
      <c r="N528" s="0">
        <v>0</v>
      </c>
      <c r="O528" s="0">
        <v>0</v>
      </c>
      <c r="P528" s="0">
        <v>0</v>
      </c>
      <c r="R528" s="0" t="b">
        <v>0</v>
      </c>
      <c r="S528" s="0" t="b">
        <v>1</v>
      </c>
      <c r="T528" s="68">
        <v>43093.5816550926</v>
      </c>
      <c r="U528" s="68">
        <v>43124.5</v>
      </c>
      <c r="V528" s="68">
        <v>0</v>
      </c>
      <c r="W528" s="0">
        <f>IF(IF(B528="none",1,IF(B528="Trialer",1,0))+IF(C528="Customer",1,IF(C528="Lost",1,0))=2,1,0)</f>
      </c>
      <c r="X528" s="0" t="s">
        <v>148</v>
      </c>
      <c r="Y528" s="0" t="s">
        <v>243</v>
      </c>
      <c r="AV528" s="68"/>
      <c r="AW528" s="68"/>
      <c r="AY528" s="27"/>
      <c r="BD528" s="68">
        <v>46054.1666666667</v>
      </c>
      <c r="BE528" s="68">
        <v>46082.1666666667</v>
      </c>
      <c r="BF528" s="0" t="b">
        <v>0</v>
      </c>
      <c r="BG528" s="0" t="b">
        <v>0</v>
      </c>
      <c r="BH528" s="0">
        <v>0</v>
      </c>
      <c r="BI528" s="0">
        <v>0</v>
      </c>
      <c r="BJ528" s="0" t="s">
        <v>135</v>
      </c>
    </row>
    <row r="529">
      <c r="A529" s="0" t="s">
        <v>716</v>
      </c>
      <c r="B529" s="0" t="s">
        <v>134</v>
      </c>
      <c r="C529" s="0" t="s">
        <v>134</v>
      </c>
      <c r="D529" s="0" t="s">
        <v>135</v>
      </c>
      <c r="E529" s="0" t="s">
        <v>2</v>
      </c>
      <c r="F529" s="0" t="s">
        <v>12</v>
      </c>
      <c r="G529" s="0" t="s">
        <v>7</v>
      </c>
      <c r="H529" s="0">
        <v>2957</v>
      </c>
      <c r="I529" s="0">
        <v>40</v>
      </c>
      <c r="J529" s="0">
        <v>0</v>
      </c>
      <c r="K529" s="0">
        <v>1</v>
      </c>
      <c r="L529" s="0">
        <v>1</v>
      </c>
      <c r="M529" s="0">
        <v>1</v>
      </c>
      <c r="N529" s="0">
        <v>0</v>
      </c>
      <c r="O529" s="0">
        <v>0</v>
      </c>
      <c r="P529" s="0">
        <v>0</v>
      </c>
      <c r="R529" s="0" t="b">
        <v>0</v>
      </c>
      <c r="S529" s="0" t="b">
        <v>1</v>
      </c>
      <c r="T529" s="68">
        <v>43096.5</v>
      </c>
      <c r="U529" s="68">
        <v>43096.5</v>
      </c>
      <c r="V529" s="68">
        <v>0</v>
      </c>
      <c r="W529" s="0">
        <f>IF(IF(B529="none",1,IF(B529="Trialer",1,0))+IF(C529="Customer",1,IF(C529="Lost",1,0))=2,1,0)</f>
      </c>
      <c r="X529" s="0" t="s">
        <v>145</v>
      </c>
      <c r="Y529" s="0" t="s">
        <v>137</v>
      </c>
      <c r="AV529" s="68"/>
      <c r="AW529" s="68"/>
      <c r="AY529" s="27"/>
      <c r="BD529" s="68">
        <v>46054.1666666667</v>
      </c>
      <c r="BE529" s="68">
        <v>46082.1666666667</v>
      </c>
      <c r="BF529" s="0" t="b">
        <v>0</v>
      </c>
      <c r="BG529" s="0" t="b">
        <v>0</v>
      </c>
      <c r="BH529" s="0">
        <v>40</v>
      </c>
      <c r="BI529" s="0">
        <v>40</v>
      </c>
      <c r="BJ529" s="0" t="s">
        <v>135</v>
      </c>
    </row>
    <row r="530">
      <c r="A530" s="0" t="s">
        <v>717</v>
      </c>
      <c r="B530" s="0" t="s">
        <v>134</v>
      </c>
      <c r="C530" s="0" t="s">
        <v>134</v>
      </c>
      <c r="D530" s="0" t="s">
        <v>135</v>
      </c>
      <c r="E530" s="0" t="s">
        <v>3</v>
      </c>
      <c r="F530" s="0" t="s">
        <v>12</v>
      </c>
      <c r="G530" s="0" t="s">
        <v>8</v>
      </c>
      <c r="H530" s="0">
        <v>2956</v>
      </c>
      <c r="I530" s="0">
        <v>440</v>
      </c>
      <c r="J530" s="0">
        <v>0</v>
      </c>
      <c r="K530" s="0">
        <v>1</v>
      </c>
      <c r="L530" s="0">
        <v>5</v>
      </c>
      <c r="M530" s="0">
        <v>8</v>
      </c>
      <c r="N530" s="0">
        <v>0</v>
      </c>
      <c r="O530" s="0">
        <v>0</v>
      </c>
      <c r="P530" s="0">
        <v>0</v>
      </c>
      <c r="R530" s="0" t="b">
        <v>0</v>
      </c>
      <c r="S530" s="0" t="b">
        <v>1</v>
      </c>
      <c r="T530" s="68">
        <v>43097.5576388889</v>
      </c>
      <c r="U530" s="68">
        <v>43129.5</v>
      </c>
      <c r="V530" s="68">
        <v>0</v>
      </c>
      <c r="W530" s="0">
        <f>IF(IF(B530="none",1,IF(B530="Trialer",1,0))+IF(C530="Customer",1,IF(C530="Lost",1,0))=2,1,0)</f>
      </c>
      <c r="X530" s="0" t="s">
        <v>136</v>
      </c>
      <c r="Y530" s="0" t="s">
        <v>243</v>
      </c>
      <c r="AV530" s="68"/>
      <c r="AW530" s="68"/>
      <c r="AY530" s="27"/>
      <c r="BD530" s="68">
        <v>46054.1666666667</v>
      </c>
      <c r="BE530" s="68">
        <v>46082.1666666667</v>
      </c>
      <c r="BF530" s="0" t="b">
        <v>0</v>
      </c>
      <c r="BG530" s="0" t="b">
        <v>0</v>
      </c>
      <c r="BH530" s="0">
        <v>440</v>
      </c>
      <c r="BI530" s="0">
        <v>440</v>
      </c>
      <c r="BJ530" s="0" t="s">
        <v>135</v>
      </c>
    </row>
    <row r="531">
      <c r="A531" s="0" t="s">
        <v>718</v>
      </c>
      <c r="B531" s="0" t="s">
        <v>134</v>
      </c>
      <c r="C531" s="0" t="s">
        <v>134</v>
      </c>
      <c r="D531" s="0" t="s">
        <v>135</v>
      </c>
      <c r="E531" s="0" t="s">
        <v>2</v>
      </c>
      <c r="F531" s="0" t="s">
        <v>12</v>
      </c>
      <c r="G531" s="0" t="s">
        <v>8</v>
      </c>
      <c r="H531" s="0">
        <v>2956</v>
      </c>
      <c r="I531" s="0">
        <v>300</v>
      </c>
      <c r="J531" s="0">
        <v>0</v>
      </c>
      <c r="K531" s="0">
        <v>1</v>
      </c>
      <c r="L531" s="0">
        <v>3</v>
      </c>
      <c r="M531" s="0">
        <v>6</v>
      </c>
      <c r="N531" s="0">
        <v>0</v>
      </c>
      <c r="O531" s="0">
        <v>0</v>
      </c>
      <c r="P531" s="0">
        <v>0</v>
      </c>
      <c r="R531" s="0" t="b">
        <v>0</v>
      </c>
      <c r="S531" s="0" t="b">
        <v>1</v>
      </c>
      <c r="T531" s="68">
        <v>43097.7715277778</v>
      </c>
      <c r="U531" s="68">
        <v>43164.5</v>
      </c>
      <c r="V531" s="68">
        <v>0</v>
      </c>
      <c r="W531" s="0">
        <f>IF(IF(B531="none",1,IF(B531="Trialer",1,0))+IF(C531="Customer",1,IF(C531="Lost",1,0))=2,1,0)</f>
      </c>
      <c r="X531" s="0" t="s">
        <v>145</v>
      </c>
      <c r="Y531" s="0" t="s">
        <v>499</v>
      </c>
      <c r="AV531" s="68"/>
      <c r="AW531" s="68"/>
      <c r="AY531" s="27"/>
      <c r="BD531" s="68">
        <v>46054.1666666667</v>
      </c>
      <c r="BE531" s="68">
        <v>46082.1666666667</v>
      </c>
      <c r="BF531" s="0" t="b">
        <v>0</v>
      </c>
      <c r="BG531" s="0" t="b">
        <v>1</v>
      </c>
      <c r="BH531" s="0">
        <v>248</v>
      </c>
      <c r="BI531" s="0">
        <v>248</v>
      </c>
      <c r="BJ531" s="0" t="s">
        <v>135</v>
      </c>
    </row>
    <row r="532">
      <c r="A532" s="0" t="s">
        <v>719</v>
      </c>
      <c r="B532" s="0" t="s">
        <v>134</v>
      </c>
      <c r="C532" s="0" t="s">
        <v>134</v>
      </c>
      <c r="D532" s="0" t="s">
        <v>135</v>
      </c>
      <c r="E532" s="0" t="s">
        <v>3</v>
      </c>
      <c r="F532" s="0" t="s">
        <v>12</v>
      </c>
      <c r="G532" s="0" t="s">
        <v>8</v>
      </c>
      <c r="H532" s="0">
        <v>2954</v>
      </c>
      <c r="I532" s="0">
        <v>104</v>
      </c>
      <c r="J532" s="0">
        <v>0</v>
      </c>
      <c r="K532" s="0">
        <v>1</v>
      </c>
      <c r="L532" s="0">
        <v>3</v>
      </c>
      <c r="M532" s="0">
        <v>2</v>
      </c>
      <c r="N532" s="0">
        <v>0</v>
      </c>
      <c r="O532" s="0">
        <v>0</v>
      </c>
      <c r="P532" s="0">
        <v>0</v>
      </c>
      <c r="R532" s="0" t="b">
        <v>0</v>
      </c>
      <c r="S532" s="0" t="b">
        <v>1</v>
      </c>
      <c r="T532" s="68">
        <v>43099.4188425926</v>
      </c>
      <c r="U532" s="68">
        <v>43145.5</v>
      </c>
      <c r="V532" s="68">
        <v>0</v>
      </c>
      <c r="W532" s="0">
        <f>IF(IF(B532="none",1,IF(B532="Trialer",1,0))+IF(C532="Customer",1,IF(C532="Lost",1,0))=2,1,0)</f>
      </c>
      <c r="X532" s="0" t="s">
        <v>166</v>
      </c>
      <c r="Y532" s="0" t="s">
        <v>243</v>
      </c>
      <c r="AV532" s="68"/>
      <c r="AW532" s="68"/>
      <c r="AY532" s="27"/>
      <c r="BD532" s="68">
        <v>46054.1666666667</v>
      </c>
      <c r="BE532" s="68">
        <v>46082.1666666667</v>
      </c>
      <c r="BF532" s="0" t="b">
        <v>0</v>
      </c>
      <c r="BG532" s="0" t="b">
        <v>0</v>
      </c>
      <c r="BH532" s="0">
        <v>104</v>
      </c>
      <c r="BI532" s="0">
        <v>104</v>
      </c>
      <c r="BJ532" s="0" t="s">
        <v>135</v>
      </c>
    </row>
    <row r="533">
      <c r="A533" s="0" t="s">
        <v>720</v>
      </c>
      <c r="B533" s="0" t="s">
        <v>134</v>
      </c>
      <c r="C533" s="0" t="s">
        <v>134</v>
      </c>
      <c r="D533" s="0" t="s">
        <v>135</v>
      </c>
      <c r="E533" s="0" t="s">
        <v>3</v>
      </c>
      <c r="F533" s="0" t="s">
        <v>12</v>
      </c>
      <c r="G533" s="0" t="s">
        <v>7</v>
      </c>
      <c r="H533" s="0">
        <v>2951</v>
      </c>
      <c r="I533" s="0">
        <v>40</v>
      </c>
      <c r="J533" s="0">
        <v>0</v>
      </c>
      <c r="K533" s="0">
        <v>1</v>
      </c>
      <c r="L533" s="0">
        <v>1</v>
      </c>
      <c r="M533" s="0">
        <v>1</v>
      </c>
      <c r="N533" s="0">
        <v>0</v>
      </c>
      <c r="O533" s="0">
        <v>0</v>
      </c>
      <c r="P533" s="0">
        <v>0</v>
      </c>
      <c r="R533" s="0" t="b">
        <v>0</v>
      </c>
      <c r="S533" s="0" t="b">
        <v>1</v>
      </c>
      <c r="T533" s="68">
        <v>43102.5166666667</v>
      </c>
      <c r="U533" s="68">
        <v>43102.5</v>
      </c>
      <c r="V533" s="68">
        <v>0</v>
      </c>
      <c r="W533" s="0">
        <f>IF(IF(B533="none",1,IF(B533="Trialer",1,0))+IF(C533="Customer",1,IF(C533="Lost",1,0))=2,1,0)</f>
      </c>
      <c r="X533" s="0" t="s">
        <v>136</v>
      </c>
      <c r="Y533" s="0" t="s">
        <v>213</v>
      </c>
      <c r="AV533" s="68"/>
      <c r="AW533" s="68"/>
      <c r="AY533" s="27"/>
      <c r="BD533" s="68">
        <v>46054.1666666667</v>
      </c>
      <c r="BE533" s="68">
        <v>46082.1666666667</v>
      </c>
      <c r="BF533" s="0" t="b">
        <v>0</v>
      </c>
      <c r="BG533" s="0" t="b">
        <v>0</v>
      </c>
      <c r="BH533" s="0">
        <v>40</v>
      </c>
      <c r="BI533" s="0">
        <v>40</v>
      </c>
      <c r="BJ533" s="0" t="s">
        <v>135</v>
      </c>
    </row>
    <row r="534">
      <c r="A534" s="0" t="s">
        <v>721</v>
      </c>
      <c r="B534" s="0" t="s">
        <v>134</v>
      </c>
      <c r="C534" s="0" t="s">
        <v>134</v>
      </c>
      <c r="D534" s="0" t="s">
        <v>230</v>
      </c>
      <c r="E534" s="0" t="s">
        <v>2</v>
      </c>
      <c r="F534" s="0" t="s">
        <v>12</v>
      </c>
      <c r="G534" s="0" t="s">
        <v>7</v>
      </c>
      <c r="H534" s="0">
        <v>2950</v>
      </c>
      <c r="I534" s="0">
        <v>72</v>
      </c>
      <c r="J534" s="0">
        <v>0</v>
      </c>
      <c r="K534" s="0">
        <v>1</v>
      </c>
      <c r="L534" s="0">
        <v>1</v>
      </c>
      <c r="M534" s="0">
        <v>2</v>
      </c>
      <c r="N534" s="0">
        <v>0</v>
      </c>
      <c r="O534" s="0">
        <v>0</v>
      </c>
      <c r="P534" s="0">
        <v>-72</v>
      </c>
      <c r="R534" s="0" t="b">
        <v>0</v>
      </c>
      <c r="S534" s="0" t="b">
        <v>1</v>
      </c>
      <c r="T534" s="68">
        <v>43103.5</v>
      </c>
      <c r="U534" s="68">
        <v>43103.5</v>
      </c>
      <c r="V534" s="68">
        <v>0</v>
      </c>
      <c r="W534" s="0">
        <f>IF(IF(B534="none",1,IF(B534="Trialer",1,0))+IF(C534="Customer",1,IF(C534="Lost",1,0))=2,1,0)</f>
      </c>
      <c r="X534" s="0" t="s">
        <v>145</v>
      </c>
      <c r="Y534" s="0" t="s">
        <v>137</v>
      </c>
      <c r="AV534" s="68"/>
      <c r="AW534" s="68"/>
      <c r="AY534" s="27"/>
      <c r="BD534" s="68">
        <v>46054.1666666667</v>
      </c>
      <c r="BE534" s="68">
        <v>46082.1666666667</v>
      </c>
      <c r="BF534" s="0" t="b">
        <v>0</v>
      </c>
      <c r="BG534" s="0" t="b">
        <v>0</v>
      </c>
      <c r="BH534" s="0">
        <v>80</v>
      </c>
      <c r="BI534" s="0">
        <v>80</v>
      </c>
      <c r="BJ534" s="0" t="s">
        <v>230</v>
      </c>
    </row>
    <row r="535">
      <c r="A535" s="0" t="s">
        <v>722</v>
      </c>
      <c r="B535" s="0" t="s">
        <v>134</v>
      </c>
      <c r="C535" s="0" t="s">
        <v>134</v>
      </c>
      <c r="D535" s="0" t="s">
        <v>230</v>
      </c>
      <c r="E535" s="0" t="s">
        <v>2</v>
      </c>
      <c r="F535" s="0" t="s">
        <v>12</v>
      </c>
      <c r="G535" s="0" t="s">
        <v>7</v>
      </c>
      <c r="H535" s="0">
        <v>2950</v>
      </c>
      <c r="I535" s="0">
        <v>36</v>
      </c>
      <c r="J535" s="0">
        <v>0</v>
      </c>
      <c r="K535" s="0">
        <v>1</v>
      </c>
      <c r="L535" s="0">
        <v>1</v>
      </c>
      <c r="M535" s="0">
        <v>1</v>
      </c>
      <c r="N535" s="0">
        <v>0</v>
      </c>
      <c r="O535" s="0">
        <v>0</v>
      </c>
      <c r="P535" s="0">
        <v>-36</v>
      </c>
      <c r="R535" s="0" t="b">
        <v>0</v>
      </c>
      <c r="S535" s="0" t="b">
        <v>1</v>
      </c>
      <c r="T535" s="68">
        <v>43103.5</v>
      </c>
      <c r="U535" s="68">
        <v>43103.5</v>
      </c>
      <c r="V535" s="68">
        <v>0</v>
      </c>
      <c r="W535" s="0">
        <f>IF(IF(B535="none",1,IF(B535="Trialer",1,0))+IF(C535="Customer",1,IF(C535="Lost",1,0))=2,1,0)</f>
      </c>
      <c r="X535" s="0" t="s">
        <v>145</v>
      </c>
      <c r="Y535" s="0" t="s">
        <v>137</v>
      </c>
      <c r="AV535" s="68"/>
      <c r="AW535" s="68"/>
      <c r="AY535" s="27"/>
      <c r="BD535" s="68">
        <v>46054.1666666667</v>
      </c>
      <c r="BE535" s="68">
        <v>46082.1666666667</v>
      </c>
      <c r="BF535" s="0" t="b">
        <v>0</v>
      </c>
      <c r="BG535" s="0" t="b">
        <v>0</v>
      </c>
      <c r="BH535" s="0">
        <v>40</v>
      </c>
      <c r="BI535" s="0">
        <v>40</v>
      </c>
      <c r="BJ535" s="0" t="s">
        <v>135</v>
      </c>
    </row>
    <row r="536">
      <c r="A536" s="0" t="s">
        <v>723</v>
      </c>
      <c r="B536" s="0" t="s">
        <v>134</v>
      </c>
      <c r="C536" s="0" t="s">
        <v>134</v>
      </c>
      <c r="D536" s="0" t="s">
        <v>230</v>
      </c>
      <c r="E536" s="0" t="s">
        <v>3</v>
      </c>
      <c r="F536" s="0" t="s">
        <v>10</v>
      </c>
      <c r="G536" s="0" t="s">
        <v>8</v>
      </c>
      <c r="H536" s="0">
        <v>2944</v>
      </c>
      <c r="I536" s="0">
        <v>86</v>
      </c>
      <c r="J536" s="0">
        <v>0</v>
      </c>
      <c r="K536" s="0">
        <v>1</v>
      </c>
      <c r="L536" s="0">
        <v>2</v>
      </c>
      <c r="M536" s="0">
        <v>3</v>
      </c>
      <c r="N536" s="0">
        <v>0</v>
      </c>
      <c r="O536" s="0">
        <v>0</v>
      </c>
      <c r="P536" s="0">
        <v>-86</v>
      </c>
      <c r="Q536" s="0" t="s">
        <v>618</v>
      </c>
      <c r="R536" s="0" t="b">
        <v>0</v>
      </c>
      <c r="S536" s="0" t="b">
        <v>1</v>
      </c>
      <c r="T536" s="68">
        <v>43109.5576388889</v>
      </c>
      <c r="U536" s="68">
        <v>43140.5</v>
      </c>
      <c r="V536" s="68">
        <v>0</v>
      </c>
      <c r="W536" s="0">
        <f>IF(IF(B536="none",1,IF(B536="Trialer",1,0))+IF(C536="Customer",1,IF(C536="Lost",1,0))=2,1,0)</f>
      </c>
      <c r="X536" s="0" t="s">
        <v>148</v>
      </c>
      <c r="Y536" s="0" t="s">
        <v>243</v>
      </c>
      <c r="AV536" s="68"/>
      <c r="AW536" s="68"/>
      <c r="AY536" s="27"/>
      <c r="BD536" s="68">
        <v>46054.1666666667</v>
      </c>
      <c r="BE536" s="68">
        <v>46082.1666666667</v>
      </c>
      <c r="BF536" s="0" t="b">
        <v>0</v>
      </c>
      <c r="BG536" s="0" t="b">
        <v>0</v>
      </c>
      <c r="BH536" s="0">
        <v>96</v>
      </c>
      <c r="BI536" s="0">
        <v>96</v>
      </c>
      <c r="BJ536" s="0" t="s">
        <v>230</v>
      </c>
    </row>
    <row r="537">
      <c r="A537" s="0" t="s">
        <v>724</v>
      </c>
      <c r="B537" s="0" t="s">
        <v>134</v>
      </c>
      <c r="C537" s="0" t="s">
        <v>134</v>
      </c>
      <c r="D537" s="0" t="s">
        <v>135</v>
      </c>
      <c r="E537" s="0" t="s">
        <v>2</v>
      </c>
      <c r="F537" s="0" t="s">
        <v>10</v>
      </c>
      <c r="G537" s="0" t="s">
        <v>8</v>
      </c>
      <c r="H537" s="0">
        <v>2943</v>
      </c>
      <c r="I537" s="0">
        <v>1122</v>
      </c>
      <c r="J537" s="0">
        <v>0</v>
      </c>
      <c r="K537" s="0">
        <v>1</v>
      </c>
      <c r="L537" s="0">
        <v>3</v>
      </c>
      <c r="M537" s="0">
        <v>24</v>
      </c>
      <c r="N537" s="0">
        <v>0</v>
      </c>
      <c r="O537" s="0">
        <v>0</v>
      </c>
      <c r="P537" s="0">
        <v>0</v>
      </c>
      <c r="Q537" s="0" t="s">
        <v>725</v>
      </c>
      <c r="R537" s="0" t="b">
        <v>0</v>
      </c>
      <c r="S537" s="0" t="b">
        <v>1</v>
      </c>
      <c r="T537" s="68">
        <v>43110.40625</v>
      </c>
      <c r="U537" s="68">
        <v>43141.5</v>
      </c>
      <c r="V537" s="68">
        <v>0</v>
      </c>
      <c r="W537" s="0">
        <f>IF(IF(B537="none",1,IF(B537="Trialer",1,0))+IF(C537="Customer",1,IF(C537="Lost",1,0))=2,1,0)</f>
      </c>
      <c r="X537" s="0" t="s">
        <v>148</v>
      </c>
      <c r="Y537" s="0" t="s">
        <v>499</v>
      </c>
      <c r="AV537" s="68"/>
      <c r="AW537" s="68"/>
      <c r="AY537" s="27"/>
      <c r="BD537" s="68">
        <v>46054.1666666667</v>
      </c>
      <c r="BE537" s="68">
        <v>46082.1666666667</v>
      </c>
      <c r="BF537" s="0" t="b">
        <v>0</v>
      </c>
      <c r="BG537" s="0" t="b">
        <v>0</v>
      </c>
      <c r="BH537" s="0">
        <v>1122</v>
      </c>
      <c r="BI537" s="0">
        <v>1122</v>
      </c>
      <c r="BJ537" s="0" t="s">
        <v>135</v>
      </c>
    </row>
    <row r="538">
      <c r="A538" s="0" t="s">
        <v>726</v>
      </c>
      <c r="B538" s="0" t="s">
        <v>134</v>
      </c>
      <c r="C538" s="0" t="s">
        <v>134</v>
      </c>
      <c r="D538" s="0" t="s">
        <v>135</v>
      </c>
      <c r="E538" s="0" t="s">
        <v>2</v>
      </c>
      <c r="F538" s="0" t="s">
        <v>12</v>
      </c>
      <c r="G538" s="0" t="s">
        <v>8</v>
      </c>
      <c r="H538" s="0">
        <v>2942</v>
      </c>
      <c r="I538" s="0">
        <v>401</v>
      </c>
      <c r="J538" s="0">
        <v>0</v>
      </c>
      <c r="K538" s="0">
        <v>1</v>
      </c>
      <c r="L538" s="0">
        <v>3</v>
      </c>
      <c r="M538" s="0">
        <v>11</v>
      </c>
      <c r="N538" s="0">
        <v>0</v>
      </c>
      <c r="O538" s="0">
        <v>0</v>
      </c>
      <c r="P538" s="0">
        <v>0</v>
      </c>
      <c r="R538" s="0" t="b">
        <v>0</v>
      </c>
      <c r="S538" s="0" t="b">
        <v>1</v>
      </c>
      <c r="T538" s="68">
        <v>43111.6724768519</v>
      </c>
      <c r="U538" s="68">
        <v>43143.5</v>
      </c>
      <c r="V538" s="68">
        <v>0</v>
      </c>
      <c r="W538" s="0">
        <f>IF(IF(B538="none",1,IF(B538="Trialer",1,0))+IF(C538="Customer",1,IF(C538="Lost",1,0))=2,1,0)</f>
      </c>
      <c r="X538" s="0" t="s">
        <v>145</v>
      </c>
      <c r="Y538" s="0" t="s">
        <v>499</v>
      </c>
      <c r="AV538" s="68"/>
      <c r="AW538" s="68"/>
      <c r="AY538" s="27"/>
      <c r="BD538" s="68">
        <v>46054.1666666667</v>
      </c>
      <c r="BE538" s="68">
        <v>46082.1666666667</v>
      </c>
      <c r="BF538" s="0" t="b">
        <v>0</v>
      </c>
      <c r="BG538" s="0" t="b">
        <v>0</v>
      </c>
      <c r="BH538" s="0">
        <v>401</v>
      </c>
      <c r="BI538" s="0">
        <v>401</v>
      </c>
      <c r="BJ538" s="0" t="s">
        <v>135</v>
      </c>
    </row>
    <row r="539">
      <c r="A539" s="0" t="s">
        <v>727</v>
      </c>
      <c r="B539" s="0" t="s">
        <v>134</v>
      </c>
      <c r="C539" s="0" t="s">
        <v>134</v>
      </c>
      <c r="D539" s="0" t="s">
        <v>135</v>
      </c>
      <c r="E539" s="0" t="s">
        <v>3</v>
      </c>
      <c r="F539" s="0" t="s">
        <v>12</v>
      </c>
      <c r="G539" s="0" t="s">
        <v>8</v>
      </c>
      <c r="H539" s="0">
        <v>2937</v>
      </c>
      <c r="I539" s="0">
        <v>427</v>
      </c>
      <c r="J539" s="0">
        <v>0</v>
      </c>
      <c r="K539" s="0">
        <v>1</v>
      </c>
      <c r="L539" s="0">
        <v>3</v>
      </c>
      <c r="M539" s="0">
        <v>10</v>
      </c>
      <c r="N539" s="0">
        <v>0</v>
      </c>
      <c r="O539" s="0">
        <v>0</v>
      </c>
      <c r="P539" s="0">
        <v>0</v>
      </c>
      <c r="R539" s="0" t="b">
        <v>0</v>
      </c>
      <c r="S539" s="0" t="b">
        <v>1</v>
      </c>
      <c r="T539" s="68">
        <v>43116.5129861111</v>
      </c>
      <c r="U539" s="68">
        <v>43147.5</v>
      </c>
      <c r="V539" s="68">
        <v>0</v>
      </c>
      <c r="W539" s="0">
        <f>IF(IF(B539="none",1,IF(B539="Trialer",1,0))+IF(C539="Customer",1,IF(C539="Lost",1,0))=2,1,0)</f>
      </c>
      <c r="X539" s="0" t="s">
        <v>148</v>
      </c>
      <c r="Y539" s="0" t="s">
        <v>243</v>
      </c>
      <c r="AV539" s="68"/>
      <c r="AW539" s="68"/>
      <c r="AY539" s="27"/>
      <c r="BD539" s="68">
        <v>46054.1666666667</v>
      </c>
      <c r="BE539" s="68">
        <v>46082.1666666667</v>
      </c>
      <c r="BF539" s="0" t="b">
        <v>0</v>
      </c>
      <c r="BG539" s="0" t="b">
        <v>0</v>
      </c>
      <c r="BH539" s="0">
        <v>427</v>
      </c>
      <c r="BI539" s="0">
        <v>427</v>
      </c>
      <c r="BJ539" s="0" t="s">
        <v>135</v>
      </c>
    </row>
    <row r="540">
      <c r="A540" s="0" t="s">
        <v>728</v>
      </c>
      <c r="B540" s="0" t="s">
        <v>134</v>
      </c>
      <c r="C540" s="0" t="s">
        <v>134</v>
      </c>
      <c r="D540" s="0" t="s">
        <v>135</v>
      </c>
      <c r="E540" s="0" t="s">
        <v>3</v>
      </c>
      <c r="F540" s="0" t="s">
        <v>12</v>
      </c>
      <c r="G540" s="0" t="s">
        <v>8</v>
      </c>
      <c r="H540" s="0">
        <v>2937</v>
      </c>
      <c r="I540" s="0">
        <v>138</v>
      </c>
      <c r="J540" s="0">
        <v>0</v>
      </c>
      <c r="K540" s="0">
        <v>1</v>
      </c>
      <c r="L540" s="0">
        <v>3</v>
      </c>
      <c r="M540" s="0">
        <v>3</v>
      </c>
      <c r="N540" s="0">
        <v>0</v>
      </c>
      <c r="O540" s="0">
        <v>0</v>
      </c>
      <c r="P540" s="0">
        <v>0</v>
      </c>
      <c r="R540" s="0" t="b">
        <v>0</v>
      </c>
      <c r="S540" s="0" t="b">
        <v>1</v>
      </c>
      <c r="T540" s="68">
        <v>43116.847662037</v>
      </c>
      <c r="U540" s="68">
        <v>43151.5</v>
      </c>
      <c r="V540" s="68">
        <v>0</v>
      </c>
      <c r="W540" s="0">
        <f>IF(IF(B540="none",1,IF(B540="Trialer",1,0))+IF(C540="Customer",1,IF(C540="Lost",1,0))=2,1,0)</f>
      </c>
      <c r="X540" s="0" t="s">
        <v>166</v>
      </c>
      <c r="Y540" s="0" t="s">
        <v>243</v>
      </c>
      <c r="AV540" s="68"/>
      <c r="AW540" s="68"/>
      <c r="AY540" s="27"/>
      <c r="BD540" s="68">
        <v>46054.1666666667</v>
      </c>
      <c r="BE540" s="68">
        <v>46082.1666666667</v>
      </c>
      <c r="BF540" s="0" t="b">
        <v>0</v>
      </c>
      <c r="BG540" s="0" t="b">
        <v>0</v>
      </c>
      <c r="BH540" s="0">
        <v>138</v>
      </c>
      <c r="BI540" s="0">
        <v>138</v>
      </c>
      <c r="BJ540" s="0" t="s">
        <v>135</v>
      </c>
    </row>
    <row r="541">
      <c r="A541" s="0" t="s">
        <v>729</v>
      </c>
      <c r="B541" s="0" t="s">
        <v>134</v>
      </c>
      <c r="C541" s="0" t="s">
        <v>134</v>
      </c>
      <c r="D541" s="0" t="s">
        <v>135</v>
      </c>
      <c r="E541" s="0" t="s">
        <v>2</v>
      </c>
      <c r="F541" s="0" t="s">
        <v>12</v>
      </c>
      <c r="G541" s="0" t="s">
        <v>8</v>
      </c>
      <c r="H541" s="0">
        <v>2936</v>
      </c>
      <c r="I541" s="0">
        <v>49</v>
      </c>
      <c r="J541" s="0">
        <v>0</v>
      </c>
      <c r="K541" s="0">
        <v>1</v>
      </c>
      <c r="L541" s="0">
        <v>3</v>
      </c>
      <c r="M541" s="0">
        <v>1</v>
      </c>
      <c r="N541" s="0">
        <v>0</v>
      </c>
      <c r="O541" s="0">
        <v>0</v>
      </c>
      <c r="P541" s="0">
        <v>0</v>
      </c>
      <c r="R541" s="0" t="b">
        <v>0</v>
      </c>
      <c r="S541" s="0" t="b">
        <v>1</v>
      </c>
      <c r="T541" s="68">
        <v>43117.6347222222</v>
      </c>
      <c r="U541" s="68">
        <v>43148.5</v>
      </c>
      <c r="V541" s="68">
        <v>0</v>
      </c>
      <c r="W541" s="0">
        <f>IF(IF(B541="none",1,IF(B541="Trialer",1,0))+IF(C541="Customer",1,IF(C541="Lost",1,0))=2,1,0)</f>
      </c>
      <c r="X541" s="0" t="s">
        <v>166</v>
      </c>
      <c r="Y541" s="0" t="s">
        <v>499</v>
      </c>
      <c r="AV541" s="68"/>
      <c r="AW541" s="68"/>
      <c r="AY541" s="27"/>
      <c r="BD541" s="68">
        <v>46054.1666666667</v>
      </c>
      <c r="BE541" s="68">
        <v>46082.1666666667</v>
      </c>
      <c r="BF541" s="0" t="b">
        <v>0</v>
      </c>
      <c r="BG541" s="0" t="b">
        <v>0</v>
      </c>
      <c r="BH541" s="0">
        <v>49</v>
      </c>
      <c r="BI541" s="0">
        <v>49</v>
      </c>
      <c r="BJ541" s="0" t="s">
        <v>135</v>
      </c>
    </row>
    <row r="542">
      <c r="A542" s="0" t="s">
        <v>730</v>
      </c>
      <c r="B542" s="0" t="s">
        <v>134</v>
      </c>
      <c r="C542" s="0" t="s">
        <v>134</v>
      </c>
      <c r="D542" s="0" t="s">
        <v>230</v>
      </c>
      <c r="E542" s="0" t="s">
        <v>2</v>
      </c>
      <c r="F542" s="0" t="s">
        <v>12</v>
      </c>
      <c r="G542" s="0" t="s">
        <v>8</v>
      </c>
      <c r="H542" s="0">
        <v>2930</v>
      </c>
      <c r="I542" s="0">
        <v>36</v>
      </c>
      <c r="J542" s="0">
        <v>0</v>
      </c>
      <c r="K542" s="0">
        <v>1</v>
      </c>
      <c r="L542" s="0">
        <v>2</v>
      </c>
      <c r="M542" s="0">
        <v>1</v>
      </c>
      <c r="N542" s="0">
        <v>0</v>
      </c>
      <c r="O542" s="0">
        <v>0</v>
      </c>
      <c r="P542" s="0">
        <v>-36</v>
      </c>
      <c r="R542" s="0" t="b">
        <v>0</v>
      </c>
      <c r="S542" s="0" t="b">
        <v>1</v>
      </c>
      <c r="T542" s="68">
        <v>43123.6318865741</v>
      </c>
      <c r="U542" s="68">
        <v>43160.5</v>
      </c>
      <c r="V542" s="68">
        <v>0</v>
      </c>
      <c r="W542" s="0">
        <f>IF(IF(B542="none",1,IF(B542="Trialer",1,0))+IF(C542="Customer",1,IF(C542="Lost",1,0))=2,1,0)</f>
      </c>
      <c r="X542" s="0" t="s">
        <v>142</v>
      </c>
      <c r="Y542" s="0" t="s">
        <v>499</v>
      </c>
      <c r="AV542" s="68"/>
      <c r="AW542" s="68"/>
      <c r="AY542" s="27"/>
      <c r="BD542" s="68">
        <v>46054.1666666667</v>
      </c>
      <c r="BE542" s="68">
        <v>46082.1666666667</v>
      </c>
      <c r="BF542" s="0" t="b">
        <v>0</v>
      </c>
      <c r="BG542" s="0" t="b">
        <v>0</v>
      </c>
      <c r="BH542" s="0">
        <v>40</v>
      </c>
      <c r="BI542" s="0">
        <v>40</v>
      </c>
      <c r="BJ542" s="0" t="s">
        <v>230</v>
      </c>
    </row>
    <row r="543">
      <c r="A543" s="0" t="s">
        <v>731</v>
      </c>
      <c r="B543" s="0" t="s">
        <v>134</v>
      </c>
      <c r="C543" s="0" t="s">
        <v>134</v>
      </c>
      <c r="D543" s="0" t="s">
        <v>135</v>
      </c>
      <c r="E543" s="0" t="s">
        <v>3</v>
      </c>
      <c r="F543" s="0" t="s">
        <v>12</v>
      </c>
      <c r="G543" s="0" t="s">
        <v>8</v>
      </c>
      <c r="H543" s="0">
        <v>2928</v>
      </c>
      <c r="I543" s="0">
        <v>196</v>
      </c>
      <c r="J543" s="0">
        <v>0</v>
      </c>
      <c r="K543" s="0">
        <v>1</v>
      </c>
      <c r="L543" s="0">
        <v>3</v>
      </c>
      <c r="M543" s="0">
        <v>4</v>
      </c>
      <c r="N543" s="0">
        <v>0</v>
      </c>
      <c r="O543" s="0">
        <v>0</v>
      </c>
      <c r="P543" s="0">
        <v>0</v>
      </c>
      <c r="R543" s="0" t="b">
        <v>0</v>
      </c>
      <c r="S543" s="0" t="b">
        <v>1</v>
      </c>
      <c r="T543" s="68">
        <v>43125.5886111111</v>
      </c>
      <c r="U543" s="68">
        <v>43156.5</v>
      </c>
      <c r="V543" s="68">
        <v>0</v>
      </c>
      <c r="W543" s="0">
        <f>IF(IF(B543="none",1,IF(B543="Trialer",1,0))+IF(C543="Customer",1,IF(C543="Lost",1,0))=2,1,0)</f>
      </c>
      <c r="X543" s="0" t="s">
        <v>136</v>
      </c>
      <c r="Y543" s="0" t="s">
        <v>243</v>
      </c>
      <c r="AV543" s="68"/>
      <c r="AW543" s="68"/>
      <c r="AY543" s="27"/>
      <c r="BD543" s="68">
        <v>46054.1666666667</v>
      </c>
      <c r="BE543" s="68">
        <v>46082.1666666667</v>
      </c>
      <c r="BF543" s="0" t="b">
        <v>0</v>
      </c>
      <c r="BG543" s="0" t="b">
        <v>0</v>
      </c>
      <c r="BH543" s="0">
        <v>196</v>
      </c>
      <c r="BI543" s="0">
        <v>196</v>
      </c>
      <c r="BJ543" s="0" t="s">
        <v>135</v>
      </c>
    </row>
    <row r="544">
      <c r="A544" s="0" t="s">
        <v>732</v>
      </c>
      <c r="B544" s="0" t="s">
        <v>134</v>
      </c>
      <c r="C544" s="0" t="s">
        <v>134</v>
      </c>
      <c r="D544" s="0" t="s">
        <v>135</v>
      </c>
      <c r="E544" s="0" t="s">
        <v>2</v>
      </c>
      <c r="F544" s="0" t="s">
        <v>12</v>
      </c>
      <c r="G544" s="0" t="s">
        <v>8</v>
      </c>
      <c r="H544" s="0">
        <v>2927</v>
      </c>
      <c r="I544" s="0">
        <v>0</v>
      </c>
      <c r="J544" s="0">
        <v>0</v>
      </c>
      <c r="K544" s="0">
        <v>1</v>
      </c>
      <c r="L544" s="0">
        <v>6</v>
      </c>
      <c r="M544" s="0">
        <v>1</v>
      </c>
      <c r="N544" s="0">
        <v>0</v>
      </c>
      <c r="O544" s="0">
        <v>0</v>
      </c>
      <c r="P544" s="0">
        <v>0</v>
      </c>
      <c r="R544" s="0" t="b">
        <v>0</v>
      </c>
      <c r="S544" s="0" t="b">
        <v>1</v>
      </c>
      <c r="T544" s="68">
        <v>43126.6027777778</v>
      </c>
      <c r="U544" s="68">
        <v>43238.5</v>
      </c>
      <c r="V544" s="68">
        <v>0</v>
      </c>
      <c r="W544" s="0">
        <f>IF(IF(B544="none",1,IF(B544="Trialer",1,0))+IF(C544="Customer",1,IF(C544="Lost",1,0))=2,1,0)</f>
      </c>
      <c r="X544" s="0" t="s">
        <v>148</v>
      </c>
      <c r="Y544" s="0" t="s">
        <v>499</v>
      </c>
      <c r="AV544" s="68"/>
      <c r="AW544" s="68"/>
      <c r="AY544" s="27"/>
      <c r="BD544" s="68">
        <v>46054.1666666667</v>
      </c>
      <c r="BE544" s="68">
        <v>46082.1666666667</v>
      </c>
      <c r="BF544" s="0" t="b">
        <v>0</v>
      </c>
      <c r="BG544" s="0" t="b">
        <v>0</v>
      </c>
      <c r="BH544" s="0">
        <v>0</v>
      </c>
      <c r="BI544" s="0">
        <v>0</v>
      </c>
      <c r="BJ544" s="0" t="s">
        <v>135</v>
      </c>
    </row>
    <row r="545">
      <c r="A545" s="0" t="s">
        <v>733</v>
      </c>
      <c r="B545" s="0" t="s">
        <v>134</v>
      </c>
      <c r="C545" s="0" t="s">
        <v>134</v>
      </c>
      <c r="D545" s="0" t="s">
        <v>230</v>
      </c>
      <c r="E545" s="0" t="s">
        <v>3</v>
      </c>
      <c r="F545" s="0" t="s">
        <v>12</v>
      </c>
      <c r="G545" s="0" t="s">
        <v>8</v>
      </c>
      <c r="H545" s="0">
        <v>2924</v>
      </c>
      <c r="I545" s="0">
        <v>54</v>
      </c>
      <c r="J545" s="0">
        <v>0</v>
      </c>
      <c r="K545" s="0">
        <v>1</v>
      </c>
      <c r="L545" s="0">
        <v>4</v>
      </c>
      <c r="M545" s="0">
        <v>1</v>
      </c>
      <c r="N545" s="0">
        <v>0</v>
      </c>
      <c r="O545" s="0">
        <v>0</v>
      </c>
      <c r="P545" s="0">
        <v>-54</v>
      </c>
      <c r="R545" s="0" t="b">
        <v>0</v>
      </c>
      <c r="S545" s="0" t="b">
        <v>1</v>
      </c>
      <c r="T545" s="68">
        <v>43129.6269328704</v>
      </c>
      <c r="U545" s="68">
        <v>43159.5</v>
      </c>
      <c r="V545" s="68">
        <v>0</v>
      </c>
      <c r="W545" s="0">
        <f>IF(IF(B545="none",1,IF(B545="Trialer",1,0))+IF(C545="Customer",1,IF(C545="Lost",1,0))=2,1,0)</f>
      </c>
      <c r="X545" s="0" t="s">
        <v>142</v>
      </c>
      <c r="Y545" s="0" t="s">
        <v>243</v>
      </c>
      <c r="AV545" s="68"/>
      <c r="AW545" s="68"/>
      <c r="AY545" s="27"/>
      <c r="BD545" s="68">
        <v>46054.1666666667</v>
      </c>
      <c r="BE545" s="68">
        <v>46082.1666666667</v>
      </c>
      <c r="BF545" s="0" t="b">
        <v>0</v>
      </c>
      <c r="BG545" s="0" t="b">
        <v>0</v>
      </c>
      <c r="BH545" s="0">
        <v>61</v>
      </c>
      <c r="BI545" s="0">
        <v>61</v>
      </c>
      <c r="BJ545" s="0" t="s">
        <v>230</v>
      </c>
    </row>
    <row r="546">
      <c r="A546" s="0" t="s">
        <v>734</v>
      </c>
      <c r="B546" s="0" t="s">
        <v>134</v>
      </c>
      <c r="C546" s="0" t="s">
        <v>134</v>
      </c>
      <c r="D546" s="0" t="s">
        <v>135</v>
      </c>
      <c r="E546" s="0" t="s">
        <v>3</v>
      </c>
      <c r="F546" s="0" t="s">
        <v>12</v>
      </c>
      <c r="G546" s="0" t="s">
        <v>8</v>
      </c>
      <c r="H546" s="0">
        <v>2922</v>
      </c>
      <c r="I546" s="0">
        <v>40</v>
      </c>
      <c r="J546" s="0">
        <v>0</v>
      </c>
      <c r="K546" s="0">
        <v>1</v>
      </c>
      <c r="L546" s="0">
        <v>2</v>
      </c>
      <c r="M546" s="0">
        <v>1</v>
      </c>
      <c r="N546" s="0">
        <v>0</v>
      </c>
      <c r="O546" s="0">
        <v>0</v>
      </c>
      <c r="P546" s="0">
        <v>0</v>
      </c>
      <c r="R546" s="0" t="b">
        <v>0</v>
      </c>
      <c r="S546" s="0" t="b">
        <v>1</v>
      </c>
      <c r="T546" s="68">
        <v>43131.6890162037</v>
      </c>
      <c r="U546" s="68">
        <v>43159.5</v>
      </c>
      <c r="V546" s="68">
        <v>0</v>
      </c>
      <c r="W546" s="0">
        <f>IF(IF(B546="none",1,IF(B546="Trialer",1,0))+IF(C546="Customer",1,IF(C546="Lost",1,0))=2,1,0)</f>
      </c>
      <c r="X546" s="0" t="s">
        <v>166</v>
      </c>
      <c r="Y546" s="0" t="s">
        <v>243</v>
      </c>
      <c r="AV546" s="68"/>
      <c r="AW546" s="68"/>
      <c r="AY546" s="27"/>
      <c r="BD546" s="68">
        <v>46054.1666666667</v>
      </c>
      <c r="BE546" s="68">
        <v>46082.1666666667</v>
      </c>
      <c r="BF546" s="0" t="b">
        <v>0</v>
      </c>
      <c r="BG546" s="0" t="b">
        <v>0</v>
      </c>
      <c r="BH546" s="0">
        <v>40</v>
      </c>
      <c r="BI546" s="0">
        <v>40</v>
      </c>
      <c r="BJ546" s="0" t="s">
        <v>135</v>
      </c>
    </row>
    <row r="547">
      <c r="A547" s="0" t="s">
        <v>735</v>
      </c>
      <c r="B547" s="0" t="s">
        <v>134</v>
      </c>
      <c r="C547" s="0" t="s">
        <v>134</v>
      </c>
      <c r="D547" s="0" t="s">
        <v>135</v>
      </c>
      <c r="E547" s="0" t="s">
        <v>2</v>
      </c>
      <c r="F547" s="0" t="s">
        <v>10</v>
      </c>
      <c r="G547" s="0" t="s">
        <v>8</v>
      </c>
      <c r="H547" s="0">
        <v>2920</v>
      </c>
      <c r="I547" s="0">
        <v>795</v>
      </c>
      <c r="J547" s="0">
        <v>0</v>
      </c>
      <c r="K547" s="0">
        <v>1</v>
      </c>
      <c r="L547" s="0">
        <v>4</v>
      </c>
      <c r="M547" s="0">
        <v>15</v>
      </c>
      <c r="N547" s="0">
        <v>0</v>
      </c>
      <c r="O547" s="0">
        <v>0</v>
      </c>
      <c r="P547" s="0">
        <v>0</v>
      </c>
      <c r="Q547" s="0" t="s">
        <v>294</v>
      </c>
      <c r="R547" s="0" t="b">
        <v>0</v>
      </c>
      <c r="S547" s="0" t="b">
        <v>1</v>
      </c>
      <c r="T547" s="68">
        <v>43133.6351157407</v>
      </c>
      <c r="U547" s="68">
        <v>43161.5</v>
      </c>
      <c r="V547" s="68">
        <v>0</v>
      </c>
      <c r="W547" s="0">
        <f>IF(IF(B547="none",1,IF(B547="Trialer",1,0))+IF(C547="Customer",1,IF(C547="Lost",1,0))=2,1,0)</f>
      </c>
      <c r="X547" s="0" t="s">
        <v>148</v>
      </c>
      <c r="Y547" s="0" t="s">
        <v>499</v>
      </c>
      <c r="AV547" s="68"/>
      <c r="AW547" s="68"/>
      <c r="AY547" s="27"/>
      <c r="BD547" s="68">
        <v>46054.1666666667</v>
      </c>
      <c r="BE547" s="68">
        <v>46082.1666666667</v>
      </c>
      <c r="BF547" s="0" t="b">
        <v>0</v>
      </c>
      <c r="BG547" s="0" t="b">
        <v>0</v>
      </c>
      <c r="BH547" s="0">
        <v>795</v>
      </c>
      <c r="BI547" s="0">
        <v>795</v>
      </c>
      <c r="BJ547" s="0" t="s">
        <v>135</v>
      </c>
    </row>
    <row r="548">
      <c r="A548" s="0" t="s">
        <v>736</v>
      </c>
      <c r="B548" s="0" t="s">
        <v>134</v>
      </c>
      <c r="C548" s="0" t="s">
        <v>134</v>
      </c>
      <c r="D548" s="0" t="s">
        <v>135</v>
      </c>
      <c r="E548" s="0" t="s">
        <v>2</v>
      </c>
      <c r="F548" s="0" t="s">
        <v>12</v>
      </c>
      <c r="G548" s="0" t="s">
        <v>8</v>
      </c>
      <c r="H548" s="0">
        <v>2913</v>
      </c>
      <c r="I548" s="0">
        <v>1330</v>
      </c>
      <c r="J548" s="0">
        <v>0</v>
      </c>
      <c r="K548" s="0">
        <v>1</v>
      </c>
      <c r="L548" s="0">
        <v>3</v>
      </c>
      <c r="M548" s="0">
        <v>27</v>
      </c>
      <c r="N548" s="0">
        <v>0</v>
      </c>
      <c r="O548" s="0">
        <v>0</v>
      </c>
      <c r="P548" s="0">
        <v>0</v>
      </c>
      <c r="R548" s="0" t="b">
        <v>0</v>
      </c>
      <c r="S548" s="0" t="b">
        <v>1</v>
      </c>
      <c r="T548" s="68">
        <v>43140.3201388889</v>
      </c>
      <c r="U548" s="68">
        <v>43181.5</v>
      </c>
      <c r="V548" s="68">
        <v>0</v>
      </c>
      <c r="W548" s="0">
        <f>IF(IF(B548="none",1,IF(B548="Trialer",1,0))+IF(C548="Customer",1,IF(C548="Lost",1,0))=2,1,0)</f>
      </c>
      <c r="X548" s="0" t="s">
        <v>148</v>
      </c>
      <c r="Y548" s="0" t="s">
        <v>499</v>
      </c>
      <c r="AV548" s="68"/>
      <c r="AW548" s="68"/>
      <c r="AY548" s="27"/>
      <c r="BD548" s="68">
        <v>46054.1666666667</v>
      </c>
      <c r="BE548" s="68">
        <v>46082.1666666667</v>
      </c>
      <c r="BF548" s="0" t="b">
        <v>0</v>
      </c>
      <c r="BG548" s="0" t="b">
        <v>0</v>
      </c>
      <c r="BH548" s="0">
        <v>1005</v>
      </c>
      <c r="BI548" s="0">
        <v>1005</v>
      </c>
      <c r="BJ548" s="0" t="s">
        <v>135</v>
      </c>
    </row>
    <row r="549">
      <c r="A549" s="0" t="s">
        <v>737</v>
      </c>
      <c r="B549" s="0" t="s">
        <v>134</v>
      </c>
      <c r="C549" s="0" t="s">
        <v>134</v>
      </c>
      <c r="D549" s="0" t="s">
        <v>230</v>
      </c>
      <c r="E549" s="0" t="s">
        <v>3</v>
      </c>
      <c r="F549" s="0" t="s">
        <v>12</v>
      </c>
      <c r="G549" s="0" t="s">
        <v>8</v>
      </c>
      <c r="H549" s="0">
        <v>2909</v>
      </c>
      <c r="I549" s="0">
        <v>25</v>
      </c>
      <c r="J549" s="0">
        <v>0</v>
      </c>
      <c r="K549" s="0">
        <v>1</v>
      </c>
      <c r="L549" s="0">
        <v>1</v>
      </c>
      <c r="M549" s="0">
        <v>1</v>
      </c>
      <c r="N549" s="0">
        <v>0</v>
      </c>
      <c r="O549" s="0">
        <v>0</v>
      </c>
      <c r="P549" s="0">
        <v>-25</v>
      </c>
      <c r="R549" s="0" t="b">
        <v>0</v>
      </c>
      <c r="S549" s="0" t="b">
        <v>1</v>
      </c>
      <c r="T549" s="68">
        <v>43144.6265625</v>
      </c>
      <c r="U549" s="68">
        <v>43172.5416666667</v>
      </c>
      <c r="V549" s="68">
        <v>0</v>
      </c>
      <c r="W549" s="0">
        <f>IF(IF(B549="none",1,IF(B549="Trialer",1,0))+IF(C549="Customer",1,IF(C549="Lost",1,0))=2,1,0)</f>
      </c>
      <c r="X549" s="0" t="s">
        <v>153</v>
      </c>
      <c r="Y549" s="0" t="s">
        <v>243</v>
      </c>
      <c r="AV549" s="68"/>
      <c r="AW549" s="68"/>
      <c r="AY549" s="27"/>
      <c r="BD549" s="68">
        <v>46054.1666666667</v>
      </c>
      <c r="BE549" s="68">
        <v>46082.1666666667</v>
      </c>
      <c r="BF549" s="0" t="b">
        <v>0</v>
      </c>
      <c r="BG549" s="0" t="b">
        <v>0</v>
      </c>
      <c r="BH549" s="0">
        <v>28</v>
      </c>
      <c r="BI549" s="0">
        <v>28</v>
      </c>
      <c r="BJ549" s="0" t="s">
        <v>230</v>
      </c>
    </row>
    <row r="550">
      <c r="A550" s="0" t="s">
        <v>738</v>
      </c>
      <c r="B550" s="0" t="s">
        <v>134</v>
      </c>
      <c r="C550" s="0" t="s">
        <v>134</v>
      </c>
      <c r="D550" s="0" t="s">
        <v>135</v>
      </c>
      <c r="E550" s="0" t="s">
        <v>3</v>
      </c>
      <c r="F550" s="0" t="s">
        <v>12</v>
      </c>
      <c r="G550" s="0" t="s">
        <v>8</v>
      </c>
      <c r="H550" s="0">
        <v>2903</v>
      </c>
      <c r="I550" s="0">
        <v>288</v>
      </c>
      <c r="J550" s="0">
        <v>0</v>
      </c>
      <c r="K550" s="0">
        <v>1</v>
      </c>
      <c r="L550" s="0">
        <v>4</v>
      </c>
      <c r="M550" s="0">
        <v>6</v>
      </c>
      <c r="N550" s="0">
        <v>0</v>
      </c>
      <c r="O550" s="0">
        <v>0</v>
      </c>
      <c r="P550" s="0">
        <v>0</v>
      </c>
      <c r="R550" s="0" t="b">
        <v>0</v>
      </c>
      <c r="S550" s="0" t="b">
        <v>1</v>
      </c>
      <c r="T550" s="68">
        <v>43150.6118055556</v>
      </c>
      <c r="U550" s="68">
        <v>43178.5416666667</v>
      </c>
      <c r="V550" s="68">
        <v>0</v>
      </c>
      <c r="W550" s="0">
        <f>IF(IF(B550="none",1,IF(B550="Trialer",1,0))+IF(C550="Customer",1,IF(C550="Lost",1,0))=2,1,0)</f>
      </c>
      <c r="X550" s="0" t="s">
        <v>148</v>
      </c>
      <c r="Y550" s="0" t="s">
        <v>243</v>
      </c>
      <c r="AV550" s="68"/>
      <c r="AW550" s="68"/>
      <c r="AY550" s="27"/>
      <c r="BD550" s="68">
        <v>46054.1666666667</v>
      </c>
      <c r="BE550" s="68">
        <v>46082.1666666667</v>
      </c>
      <c r="BF550" s="0" t="b">
        <v>0</v>
      </c>
      <c r="BG550" s="0" t="b">
        <v>0</v>
      </c>
      <c r="BH550" s="0">
        <v>288</v>
      </c>
      <c r="BI550" s="0">
        <v>288</v>
      </c>
      <c r="BJ550" s="0" t="s">
        <v>135</v>
      </c>
    </row>
    <row r="551">
      <c r="A551" s="0" t="s">
        <v>739</v>
      </c>
      <c r="B551" s="0" t="s">
        <v>134</v>
      </c>
      <c r="C551" s="0" t="s">
        <v>134</v>
      </c>
      <c r="D551" s="0" t="s">
        <v>135</v>
      </c>
      <c r="E551" s="0" t="s">
        <v>2</v>
      </c>
      <c r="F551" s="0" t="s">
        <v>12</v>
      </c>
      <c r="G551" s="0" t="s">
        <v>8</v>
      </c>
      <c r="H551" s="0">
        <v>2902</v>
      </c>
      <c r="I551" s="0">
        <v>40</v>
      </c>
      <c r="J551" s="0">
        <v>0</v>
      </c>
      <c r="K551" s="0">
        <v>1</v>
      </c>
      <c r="L551" s="0">
        <v>2</v>
      </c>
      <c r="M551" s="0">
        <v>1</v>
      </c>
      <c r="N551" s="0">
        <v>0</v>
      </c>
      <c r="O551" s="0">
        <v>0</v>
      </c>
      <c r="P551" s="0">
        <v>0</v>
      </c>
      <c r="R551" s="0" t="b">
        <v>0</v>
      </c>
      <c r="S551" s="0" t="b">
        <v>1</v>
      </c>
      <c r="T551" s="68">
        <v>43151.58125</v>
      </c>
      <c r="U551" s="68">
        <v>43179.5416666667</v>
      </c>
      <c r="V551" s="68">
        <v>0</v>
      </c>
      <c r="W551" s="0">
        <f>IF(IF(B551="none",1,IF(B551="Trialer",1,0))+IF(C551="Customer",1,IF(C551="Lost",1,0))=2,1,0)</f>
      </c>
      <c r="X551" s="0" t="s">
        <v>153</v>
      </c>
      <c r="Y551" s="0" t="s">
        <v>499</v>
      </c>
      <c r="AV551" s="68"/>
      <c r="AW551" s="68"/>
      <c r="AY551" s="27"/>
      <c r="BD551" s="68">
        <v>46054.1666666667</v>
      </c>
      <c r="BE551" s="68">
        <v>46082.1666666667</v>
      </c>
      <c r="BF551" s="0" t="b">
        <v>0</v>
      </c>
      <c r="BG551" s="0" t="b">
        <v>0</v>
      </c>
      <c r="BH551" s="0">
        <v>40</v>
      </c>
      <c r="BI551" s="0">
        <v>40</v>
      </c>
      <c r="BJ551" s="0" t="s">
        <v>135</v>
      </c>
    </row>
    <row r="552">
      <c r="A552" s="0" t="s">
        <v>740</v>
      </c>
      <c r="B552" s="0" t="s">
        <v>134</v>
      </c>
      <c r="C552" s="0" t="s">
        <v>134</v>
      </c>
      <c r="D552" s="0" t="s">
        <v>230</v>
      </c>
      <c r="E552" s="0" t="s">
        <v>2</v>
      </c>
      <c r="F552" s="0" t="s">
        <v>12</v>
      </c>
      <c r="G552" s="0" t="s">
        <v>8</v>
      </c>
      <c r="H552" s="0">
        <v>2902</v>
      </c>
      <c r="I552" s="0">
        <v>268</v>
      </c>
      <c r="J552" s="0">
        <v>0</v>
      </c>
      <c r="K552" s="0">
        <v>1</v>
      </c>
      <c r="L552" s="0">
        <v>3</v>
      </c>
      <c r="M552" s="0">
        <v>7</v>
      </c>
      <c r="N552" s="0">
        <v>0</v>
      </c>
      <c r="O552" s="0">
        <v>0</v>
      </c>
      <c r="P552" s="0">
        <v>-268</v>
      </c>
      <c r="R552" s="0" t="b">
        <v>0</v>
      </c>
      <c r="S552" s="0" t="b">
        <v>1</v>
      </c>
      <c r="T552" s="68">
        <v>43151.658287037</v>
      </c>
      <c r="U552" s="68">
        <v>43179.5416666667</v>
      </c>
      <c r="V552" s="68">
        <v>0</v>
      </c>
      <c r="W552" s="0">
        <f>IF(IF(B552="none",1,IF(B552="Trialer",1,0))+IF(C552="Customer",1,IF(C552="Lost",1,0))=2,1,0)</f>
      </c>
      <c r="X552" s="0" t="s">
        <v>136</v>
      </c>
      <c r="Y552" s="0" t="s">
        <v>499</v>
      </c>
      <c r="AV552" s="68"/>
      <c r="AW552" s="68"/>
      <c r="AY552" s="27"/>
      <c r="BD552" s="68">
        <v>46054.1666666667</v>
      </c>
      <c r="BE552" s="68">
        <v>46082.1666666667</v>
      </c>
      <c r="BF552" s="0" t="b">
        <v>0</v>
      </c>
      <c r="BG552" s="0" t="b">
        <v>0</v>
      </c>
      <c r="BH552" s="0">
        <v>298</v>
      </c>
      <c r="BI552" s="0">
        <v>298</v>
      </c>
      <c r="BJ552" s="0" t="s">
        <v>230</v>
      </c>
    </row>
    <row r="553">
      <c r="A553" s="0" t="s">
        <v>741</v>
      </c>
      <c r="B553" s="0" t="s">
        <v>134</v>
      </c>
      <c r="C553" s="0" t="s">
        <v>134</v>
      </c>
      <c r="D553" s="0" t="s">
        <v>135</v>
      </c>
      <c r="E553" s="0" t="s">
        <v>3</v>
      </c>
      <c r="F553" s="0" t="s">
        <v>12</v>
      </c>
      <c r="G553" s="0" t="s">
        <v>8</v>
      </c>
      <c r="H553" s="0">
        <v>2895</v>
      </c>
      <c r="I553" s="0">
        <v>232</v>
      </c>
      <c r="J553" s="0">
        <v>0</v>
      </c>
      <c r="K553" s="0">
        <v>1</v>
      </c>
      <c r="L553" s="0">
        <v>4</v>
      </c>
      <c r="M553" s="0">
        <v>4</v>
      </c>
      <c r="N553" s="0">
        <v>0</v>
      </c>
      <c r="O553" s="0">
        <v>0</v>
      </c>
      <c r="P553" s="0">
        <v>0</v>
      </c>
      <c r="R553" s="0" t="b">
        <v>0</v>
      </c>
      <c r="S553" s="0" t="b">
        <v>1</v>
      </c>
      <c r="T553" s="68">
        <v>43158.6756597222</v>
      </c>
      <c r="U553" s="68">
        <v>43192.5416666667</v>
      </c>
      <c r="V553" s="68">
        <v>0</v>
      </c>
      <c r="W553" s="0">
        <f>IF(IF(B553="none",1,IF(B553="Trialer",1,0))+IF(C553="Customer",1,IF(C553="Lost",1,0))=2,1,0)</f>
      </c>
      <c r="X553" s="0" t="s">
        <v>136</v>
      </c>
      <c r="Y553" s="0" t="s">
        <v>243</v>
      </c>
      <c r="AV553" s="68"/>
      <c r="AW553" s="68"/>
      <c r="AY553" s="27"/>
      <c r="BD553" s="68">
        <v>46054.1666666667</v>
      </c>
      <c r="BE553" s="68">
        <v>46082.1666666667</v>
      </c>
      <c r="BF553" s="0" t="b">
        <v>0</v>
      </c>
      <c r="BG553" s="0" t="b">
        <v>0</v>
      </c>
      <c r="BH553" s="0">
        <v>232</v>
      </c>
      <c r="BI553" s="0">
        <v>232</v>
      </c>
      <c r="BJ553" s="0" t="s">
        <v>135</v>
      </c>
    </row>
    <row r="554">
      <c r="A554" s="0" t="s">
        <v>742</v>
      </c>
      <c r="B554" s="0" t="s">
        <v>134</v>
      </c>
      <c r="C554" s="0" t="s">
        <v>134</v>
      </c>
      <c r="D554" s="0" t="s">
        <v>230</v>
      </c>
      <c r="E554" s="0" t="s">
        <v>3</v>
      </c>
      <c r="F554" s="0" t="s">
        <v>12</v>
      </c>
      <c r="G554" s="0" t="s">
        <v>8</v>
      </c>
      <c r="H554" s="0">
        <v>2890</v>
      </c>
      <c r="I554" s="0">
        <v>69</v>
      </c>
      <c r="J554" s="0">
        <v>0</v>
      </c>
      <c r="K554" s="0">
        <v>1</v>
      </c>
      <c r="L554" s="0">
        <v>3</v>
      </c>
      <c r="M554" s="0">
        <v>2</v>
      </c>
      <c r="N554" s="0">
        <v>0</v>
      </c>
      <c r="O554" s="0">
        <v>0</v>
      </c>
      <c r="P554" s="0">
        <v>-69</v>
      </c>
      <c r="R554" s="0" t="b">
        <v>0</v>
      </c>
      <c r="S554" s="0" t="b">
        <v>1</v>
      </c>
      <c r="T554" s="68">
        <v>43163.8180671296</v>
      </c>
      <c r="U554" s="68">
        <v>43194.5416666667</v>
      </c>
      <c r="V554" s="68">
        <v>0</v>
      </c>
      <c r="W554" s="0">
        <f>IF(IF(B554="none",1,IF(B554="Trialer",1,0))+IF(C554="Customer",1,IF(C554="Lost",1,0))=2,1,0)</f>
      </c>
      <c r="X554" s="0" t="s">
        <v>142</v>
      </c>
      <c r="Y554" s="0" t="s">
        <v>243</v>
      </c>
      <c r="AV554" s="68"/>
      <c r="AW554" s="68"/>
      <c r="AY554" s="27"/>
      <c r="BD554" s="68">
        <v>46054.1666666667</v>
      </c>
      <c r="BE554" s="68">
        <v>46082.1666666667</v>
      </c>
      <c r="BF554" s="0" t="b">
        <v>0</v>
      </c>
      <c r="BG554" s="0" t="b">
        <v>0</v>
      </c>
      <c r="BH554" s="0">
        <v>77</v>
      </c>
      <c r="BI554" s="0">
        <v>77</v>
      </c>
      <c r="BJ554" s="0" t="s">
        <v>230</v>
      </c>
    </row>
    <row r="555">
      <c r="A555" s="0" t="s">
        <v>743</v>
      </c>
      <c r="B555" s="0" t="s">
        <v>134</v>
      </c>
      <c r="C555" s="0" t="s">
        <v>134</v>
      </c>
      <c r="D555" s="0" t="s">
        <v>135</v>
      </c>
      <c r="E555" s="0" t="s">
        <v>3</v>
      </c>
      <c r="F555" s="0" t="s">
        <v>12</v>
      </c>
      <c r="G555" s="0" t="s">
        <v>8</v>
      </c>
      <c r="H555" s="0">
        <v>2888</v>
      </c>
      <c r="I555" s="0">
        <v>405</v>
      </c>
      <c r="J555" s="0">
        <v>0</v>
      </c>
      <c r="K555" s="0">
        <v>1</v>
      </c>
      <c r="L555" s="0">
        <v>3</v>
      </c>
      <c r="M555" s="0">
        <v>9</v>
      </c>
      <c r="N555" s="0">
        <v>0</v>
      </c>
      <c r="O555" s="0">
        <v>0</v>
      </c>
      <c r="P555" s="0">
        <v>0</v>
      </c>
      <c r="R555" s="0" t="b">
        <v>0</v>
      </c>
      <c r="S555" s="0" t="b">
        <v>1</v>
      </c>
      <c r="T555" s="68">
        <v>43165.3471990741</v>
      </c>
      <c r="U555" s="68">
        <v>43214.5416666667</v>
      </c>
      <c r="V555" s="68">
        <v>0</v>
      </c>
      <c r="W555" s="0">
        <f>IF(IF(B555="none",1,IF(B555="Trialer",1,0))+IF(C555="Customer",1,IF(C555="Lost",1,0))=2,1,0)</f>
      </c>
      <c r="X555" s="0" t="s">
        <v>148</v>
      </c>
      <c r="Y555" s="0" t="s">
        <v>243</v>
      </c>
      <c r="AV555" s="68"/>
      <c r="AW555" s="68"/>
      <c r="AY555" s="27"/>
      <c r="BD555" s="68">
        <v>46054.1666666667</v>
      </c>
      <c r="BE555" s="68">
        <v>46082.1666666667</v>
      </c>
      <c r="BF555" s="0" t="b">
        <v>0</v>
      </c>
      <c r="BG555" s="0" t="b">
        <v>0</v>
      </c>
      <c r="BH555" s="0">
        <v>405</v>
      </c>
      <c r="BI555" s="0">
        <v>405</v>
      </c>
      <c r="BJ555" s="0" t="s">
        <v>135</v>
      </c>
    </row>
    <row r="556">
      <c r="A556" s="0" t="s">
        <v>744</v>
      </c>
      <c r="B556" s="0" t="s">
        <v>134</v>
      </c>
      <c r="C556" s="0" t="s">
        <v>134</v>
      </c>
      <c r="D556" s="0" t="s">
        <v>135</v>
      </c>
      <c r="E556" s="0" t="s">
        <v>3</v>
      </c>
      <c r="F556" s="0" t="s">
        <v>12</v>
      </c>
      <c r="G556" s="0" t="s">
        <v>8</v>
      </c>
      <c r="H556" s="0">
        <v>2888</v>
      </c>
      <c r="I556" s="0">
        <v>12</v>
      </c>
      <c r="J556" s="0">
        <v>0</v>
      </c>
      <c r="K556" s="0">
        <v>1</v>
      </c>
      <c r="L556" s="0">
        <v>4</v>
      </c>
      <c r="M556" s="0">
        <v>1</v>
      </c>
      <c r="N556" s="0">
        <v>0</v>
      </c>
      <c r="O556" s="0">
        <v>0</v>
      </c>
      <c r="P556" s="0">
        <v>0</v>
      </c>
      <c r="R556" s="0" t="b">
        <v>0</v>
      </c>
      <c r="S556" s="0" t="b">
        <v>1</v>
      </c>
      <c r="T556" s="68">
        <v>43165.6395833333</v>
      </c>
      <c r="U556" s="68">
        <v>43196.5416666667</v>
      </c>
      <c r="V556" s="68">
        <v>0</v>
      </c>
      <c r="W556" s="0">
        <f>IF(IF(B556="none",1,IF(B556="Trialer",1,0))+IF(C556="Customer",1,IF(C556="Lost",1,0))=2,1,0)</f>
      </c>
      <c r="X556" s="0" t="s">
        <v>136</v>
      </c>
      <c r="Y556" s="0" t="s">
        <v>243</v>
      </c>
      <c r="AV556" s="68"/>
      <c r="AW556" s="68"/>
      <c r="AY556" s="27"/>
      <c r="BD556" s="68">
        <v>46054.1666666667</v>
      </c>
      <c r="BE556" s="68">
        <v>46082.1666666667</v>
      </c>
      <c r="BF556" s="0" t="b">
        <v>0</v>
      </c>
      <c r="BG556" s="0" t="b">
        <v>0</v>
      </c>
      <c r="BH556" s="0">
        <v>12</v>
      </c>
      <c r="BI556" s="0">
        <v>12</v>
      </c>
      <c r="BJ556" s="0" t="s">
        <v>135</v>
      </c>
    </row>
    <row r="557">
      <c r="A557" s="0" t="s">
        <v>745</v>
      </c>
      <c r="B557" s="0" t="s">
        <v>134</v>
      </c>
      <c r="C557" s="0" t="s">
        <v>134</v>
      </c>
      <c r="D557" s="0" t="s">
        <v>135</v>
      </c>
      <c r="E557" s="0" t="s">
        <v>2</v>
      </c>
      <c r="F557" s="0" t="s">
        <v>12</v>
      </c>
      <c r="G557" s="0" t="s">
        <v>8</v>
      </c>
      <c r="H557" s="0">
        <v>2887</v>
      </c>
      <c r="I557" s="0">
        <v>147</v>
      </c>
      <c r="J557" s="0">
        <v>0</v>
      </c>
      <c r="K557" s="0">
        <v>1</v>
      </c>
      <c r="L557" s="0">
        <v>3</v>
      </c>
      <c r="M557" s="0">
        <v>3</v>
      </c>
      <c r="N557" s="0">
        <v>0</v>
      </c>
      <c r="O557" s="0">
        <v>0</v>
      </c>
      <c r="P557" s="0">
        <v>0</v>
      </c>
      <c r="R557" s="0" t="b">
        <v>0</v>
      </c>
      <c r="S557" s="0" t="b">
        <v>1</v>
      </c>
      <c r="T557" s="68">
        <v>43166.4135648148</v>
      </c>
      <c r="U557" s="68">
        <v>43200.5416666667</v>
      </c>
      <c r="V557" s="68">
        <v>0</v>
      </c>
      <c r="W557" s="0">
        <f>IF(IF(B557="none",1,IF(B557="Trialer",1,0))+IF(C557="Customer",1,IF(C557="Lost",1,0))=2,1,0)</f>
      </c>
      <c r="X557" s="0" t="s">
        <v>142</v>
      </c>
      <c r="Y557" s="0" t="s">
        <v>499</v>
      </c>
      <c r="AV557" s="68"/>
      <c r="AW557" s="68"/>
      <c r="AY557" s="27"/>
      <c r="BD557" s="68">
        <v>46054.1666666667</v>
      </c>
      <c r="BE557" s="68">
        <v>46082.1666666667</v>
      </c>
      <c r="BF557" s="0" t="b">
        <v>0</v>
      </c>
      <c r="BG557" s="0" t="b">
        <v>0</v>
      </c>
      <c r="BH557" s="0">
        <v>147</v>
      </c>
      <c r="BI557" s="0">
        <v>147</v>
      </c>
      <c r="BJ557" s="0" t="s">
        <v>135</v>
      </c>
    </row>
    <row r="558">
      <c r="A558" s="0" t="s">
        <v>746</v>
      </c>
      <c r="B558" s="0" t="s">
        <v>134</v>
      </c>
      <c r="C558" s="0" t="s">
        <v>134</v>
      </c>
      <c r="D558" s="0" t="s">
        <v>135</v>
      </c>
      <c r="E558" s="0" t="s">
        <v>3</v>
      </c>
      <c r="F558" s="0" t="s">
        <v>12</v>
      </c>
      <c r="G558" s="0" t="s">
        <v>8</v>
      </c>
      <c r="H558" s="0">
        <v>2887</v>
      </c>
      <c r="I558" s="0">
        <v>418</v>
      </c>
      <c r="J558" s="0">
        <v>0</v>
      </c>
      <c r="K558" s="0">
        <v>1</v>
      </c>
      <c r="L558" s="0">
        <v>3</v>
      </c>
      <c r="M558" s="0">
        <v>10</v>
      </c>
      <c r="N558" s="0">
        <v>0</v>
      </c>
      <c r="O558" s="0">
        <v>0</v>
      </c>
      <c r="P558" s="0">
        <v>0</v>
      </c>
      <c r="R558" s="0" t="b">
        <v>0</v>
      </c>
      <c r="S558" s="0" t="b">
        <v>1</v>
      </c>
      <c r="T558" s="68">
        <v>43166.4989814815</v>
      </c>
      <c r="U558" s="68">
        <v>43197.5416666667</v>
      </c>
      <c r="V558" s="68">
        <v>0</v>
      </c>
      <c r="W558" s="0">
        <f>IF(IF(B558="none",1,IF(B558="Trialer",1,0))+IF(C558="Customer",1,IF(C558="Lost",1,0))=2,1,0)</f>
      </c>
      <c r="X558" s="0" t="s">
        <v>148</v>
      </c>
      <c r="Y558" s="0" t="s">
        <v>243</v>
      </c>
      <c r="AV558" s="68"/>
      <c r="AW558" s="68"/>
      <c r="AY558" s="27"/>
      <c r="BD558" s="68">
        <v>46054.1666666667</v>
      </c>
      <c r="BE558" s="68">
        <v>46082.1666666667</v>
      </c>
      <c r="BF558" s="0" t="b">
        <v>0</v>
      </c>
      <c r="BG558" s="0" t="b">
        <v>0</v>
      </c>
      <c r="BH558" s="0">
        <v>418</v>
      </c>
      <c r="BI558" s="0">
        <v>418</v>
      </c>
      <c r="BJ558" s="0" t="s">
        <v>135</v>
      </c>
    </row>
    <row r="559">
      <c r="A559" s="0" t="s">
        <v>747</v>
      </c>
      <c r="B559" s="0" t="s">
        <v>134</v>
      </c>
      <c r="C559" s="0" t="s">
        <v>134</v>
      </c>
      <c r="D559" s="0" t="s">
        <v>135</v>
      </c>
      <c r="E559" s="0" t="s">
        <v>3</v>
      </c>
      <c r="F559" s="0" t="s">
        <v>12</v>
      </c>
      <c r="G559" s="0" t="s">
        <v>8</v>
      </c>
      <c r="H559" s="0">
        <v>2887</v>
      </c>
      <c r="I559" s="0">
        <v>0</v>
      </c>
      <c r="J559" s="0">
        <v>0</v>
      </c>
      <c r="K559" s="0">
        <v>1</v>
      </c>
      <c r="L559" s="0">
        <v>3</v>
      </c>
      <c r="M559" s="0">
        <v>1</v>
      </c>
      <c r="N559" s="0">
        <v>0</v>
      </c>
      <c r="O559" s="0">
        <v>0</v>
      </c>
      <c r="P559" s="0">
        <v>0</v>
      </c>
      <c r="R559" s="0" t="b">
        <v>0</v>
      </c>
      <c r="S559" s="0" t="b">
        <v>1</v>
      </c>
      <c r="T559" s="68">
        <v>43166.725</v>
      </c>
      <c r="U559" s="68">
        <v>43202.5416666667</v>
      </c>
      <c r="V559" s="68">
        <v>0</v>
      </c>
      <c r="W559" s="0">
        <f>IF(IF(B559="none",1,IF(B559="Trialer",1,0))+IF(C559="Customer",1,IF(C559="Lost",1,0))=2,1,0)</f>
      </c>
      <c r="X559" s="0" t="s">
        <v>148</v>
      </c>
      <c r="Y559" s="0" t="s">
        <v>243</v>
      </c>
      <c r="AV559" s="68"/>
      <c r="AW559" s="68"/>
      <c r="AY559" s="27"/>
      <c r="BD559" s="68">
        <v>46054.1666666667</v>
      </c>
      <c r="BE559" s="68">
        <v>46082.1666666667</v>
      </c>
      <c r="BF559" s="0" t="b">
        <v>0</v>
      </c>
      <c r="BG559" s="0" t="b">
        <v>0</v>
      </c>
      <c r="BH559" s="0">
        <v>0</v>
      </c>
      <c r="BI559" s="0">
        <v>0</v>
      </c>
      <c r="BJ559" s="0" t="s">
        <v>135</v>
      </c>
    </row>
    <row r="560">
      <c r="A560" s="0" t="s">
        <v>748</v>
      </c>
      <c r="B560" s="0" t="s">
        <v>134</v>
      </c>
      <c r="C560" s="0" t="s">
        <v>134</v>
      </c>
      <c r="D560" s="0" t="s">
        <v>135</v>
      </c>
      <c r="E560" s="0" t="s">
        <v>2</v>
      </c>
      <c r="F560" s="0" t="s">
        <v>12</v>
      </c>
      <c r="G560" s="0" t="s">
        <v>8</v>
      </c>
      <c r="H560" s="0">
        <v>2879</v>
      </c>
      <c r="I560" s="0">
        <v>28</v>
      </c>
      <c r="J560" s="0">
        <v>0</v>
      </c>
      <c r="K560" s="0">
        <v>1</v>
      </c>
      <c r="L560" s="0">
        <v>1</v>
      </c>
      <c r="M560" s="0">
        <v>1</v>
      </c>
      <c r="N560" s="0">
        <v>0</v>
      </c>
      <c r="O560" s="0">
        <v>0</v>
      </c>
      <c r="P560" s="0">
        <v>0</v>
      </c>
      <c r="R560" s="0" t="b">
        <v>0</v>
      </c>
      <c r="S560" s="0" t="b">
        <v>1</v>
      </c>
      <c r="T560" s="68">
        <v>43174.4375</v>
      </c>
      <c r="U560" s="68">
        <v>43205.5416666667</v>
      </c>
      <c r="V560" s="68">
        <v>0</v>
      </c>
      <c r="W560" s="0">
        <f>IF(IF(B560="none",1,IF(B560="Trialer",1,0))+IF(C560="Customer",1,IF(C560="Lost",1,0))=2,1,0)</f>
      </c>
      <c r="X560" s="0" t="s">
        <v>153</v>
      </c>
      <c r="Y560" s="0" t="s">
        <v>499</v>
      </c>
      <c r="AV560" s="68"/>
      <c r="AW560" s="68"/>
      <c r="AY560" s="27"/>
      <c r="BD560" s="68">
        <v>46054.1666666667</v>
      </c>
      <c r="BE560" s="68">
        <v>46082.1666666667</v>
      </c>
      <c r="BF560" s="0" t="b">
        <v>0</v>
      </c>
      <c r="BG560" s="0" t="b">
        <v>0</v>
      </c>
      <c r="BH560" s="0">
        <v>28</v>
      </c>
      <c r="BI560" s="0">
        <v>28</v>
      </c>
      <c r="BJ560" s="0" t="s">
        <v>135</v>
      </c>
    </row>
    <row r="561">
      <c r="A561" s="0" t="s">
        <v>749</v>
      </c>
      <c r="B561" s="0" t="s">
        <v>134</v>
      </c>
      <c r="C561" s="0" t="s">
        <v>134</v>
      </c>
      <c r="D561" s="0" t="s">
        <v>135</v>
      </c>
      <c r="E561" s="0" t="s">
        <v>3</v>
      </c>
      <c r="F561" s="0" t="s">
        <v>12</v>
      </c>
      <c r="G561" s="0" t="s">
        <v>8</v>
      </c>
      <c r="H561" s="0">
        <v>2878</v>
      </c>
      <c r="I561" s="0">
        <v>0</v>
      </c>
      <c r="J561" s="0">
        <v>0</v>
      </c>
      <c r="K561" s="0">
        <v>1</v>
      </c>
      <c r="L561" s="0">
        <v>3</v>
      </c>
      <c r="M561" s="0">
        <v>1</v>
      </c>
      <c r="N561" s="0">
        <v>0</v>
      </c>
      <c r="O561" s="0">
        <v>0</v>
      </c>
      <c r="P561" s="0">
        <v>0</v>
      </c>
      <c r="R561" s="0" t="b">
        <v>0</v>
      </c>
      <c r="S561" s="0" t="b">
        <v>1</v>
      </c>
      <c r="T561" s="68">
        <v>43175.6104166667</v>
      </c>
      <c r="U561" s="68">
        <v>43235.5416666667</v>
      </c>
      <c r="V561" s="68">
        <v>0</v>
      </c>
      <c r="W561" s="0">
        <f>IF(IF(B561="none",1,IF(B561="Trialer",1,0))+IF(C561="Customer",1,IF(C561="Lost",1,0))=2,1,0)</f>
      </c>
      <c r="X561" s="0" t="s">
        <v>153</v>
      </c>
      <c r="Y561" s="0" t="s">
        <v>243</v>
      </c>
      <c r="AV561" s="68"/>
      <c r="AW561" s="68"/>
      <c r="AY561" s="27"/>
      <c r="BD561" s="68">
        <v>46054.1666666667</v>
      </c>
      <c r="BE561" s="68">
        <v>46082.1666666667</v>
      </c>
      <c r="BF561" s="0" t="b">
        <v>0</v>
      </c>
      <c r="BG561" s="0" t="b">
        <v>0</v>
      </c>
      <c r="BH561" s="0">
        <v>0</v>
      </c>
      <c r="BI561" s="0">
        <v>0</v>
      </c>
      <c r="BJ561" s="0" t="s">
        <v>135</v>
      </c>
    </row>
    <row r="562">
      <c r="A562" s="0" t="s">
        <v>750</v>
      </c>
      <c r="B562" s="0" t="s">
        <v>134</v>
      </c>
      <c r="C562" s="0" t="s">
        <v>134</v>
      </c>
      <c r="D562" s="0" t="s">
        <v>135</v>
      </c>
      <c r="E562" s="0" t="s">
        <v>3</v>
      </c>
      <c r="F562" s="0" t="s">
        <v>12</v>
      </c>
      <c r="G562" s="0" t="s">
        <v>8</v>
      </c>
      <c r="H562" s="0">
        <v>2878</v>
      </c>
      <c r="I562" s="0">
        <v>105</v>
      </c>
      <c r="J562" s="0">
        <v>0</v>
      </c>
      <c r="K562" s="0">
        <v>1</v>
      </c>
      <c r="L562" s="0">
        <v>3</v>
      </c>
      <c r="M562" s="0">
        <v>3</v>
      </c>
      <c r="N562" s="0">
        <v>0</v>
      </c>
      <c r="O562" s="0">
        <v>0</v>
      </c>
      <c r="P562" s="0">
        <v>0</v>
      </c>
      <c r="R562" s="0" t="b">
        <v>0</v>
      </c>
      <c r="S562" s="0" t="b">
        <v>1</v>
      </c>
      <c r="T562" s="68">
        <v>43175.6652777778</v>
      </c>
      <c r="U562" s="68">
        <v>43220.5416666667</v>
      </c>
      <c r="V562" s="68">
        <v>0</v>
      </c>
      <c r="W562" s="0">
        <f>IF(IF(B562="none",1,IF(B562="Trialer",1,0))+IF(C562="Customer",1,IF(C562="Lost",1,0))=2,1,0)</f>
      </c>
      <c r="X562" s="0" t="s">
        <v>142</v>
      </c>
      <c r="Y562" s="0" t="s">
        <v>243</v>
      </c>
      <c r="AV562" s="68"/>
      <c r="AW562" s="68"/>
      <c r="AY562" s="27"/>
      <c r="BD562" s="68">
        <v>46054.1666666667</v>
      </c>
      <c r="BE562" s="68">
        <v>46082.1666666667</v>
      </c>
      <c r="BF562" s="0" t="b">
        <v>0</v>
      </c>
      <c r="BG562" s="0" t="b">
        <v>0</v>
      </c>
      <c r="BH562" s="0">
        <v>105</v>
      </c>
      <c r="BI562" s="0">
        <v>105</v>
      </c>
      <c r="BJ562" s="0" t="s">
        <v>135</v>
      </c>
    </row>
    <row r="563">
      <c r="A563" s="0" t="s">
        <v>751</v>
      </c>
      <c r="B563" s="0" t="s">
        <v>134</v>
      </c>
      <c r="C563" s="0" t="s">
        <v>134</v>
      </c>
      <c r="D563" s="0" t="s">
        <v>135</v>
      </c>
      <c r="E563" s="0" t="s">
        <v>3</v>
      </c>
      <c r="F563" s="0" t="s">
        <v>12</v>
      </c>
      <c r="G563" s="0" t="s">
        <v>8</v>
      </c>
      <c r="H563" s="0">
        <v>2866</v>
      </c>
      <c r="I563" s="0">
        <v>49</v>
      </c>
      <c r="J563" s="0">
        <v>0</v>
      </c>
      <c r="K563" s="0">
        <v>1</v>
      </c>
      <c r="L563" s="0">
        <v>3</v>
      </c>
      <c r="M563" s="0">
        <v>1</v>
      </c>
      <c r="N563" s="0">
        <v>0</v>
      </c>
      <c r="O563" s="0">
        <v>0</v>
      </c>
      <c r="P563" s="0">
        <v>0</v>
      </c>
      <c r="R563" s="0" t="b">
        <v>0</v>
      </c>
      <c r="S563" s="0" t="b">
        <v>1</v>
      </c>
      <c r="T563" s="68">
        <v>43187.6580555556</v>
      </c>
      <c r="U563" s="68">
        <v>43218.5416666667</v>
      </c>
      <c r="V563" s="68">
        <v>0</v>
      </c>
      <c r="W563" s="0">
        <f>IF(IF(B563="none",1,IF(B563="Trialer",1,0))+IF(C563="Customer",1,IF(C563="Lost",1,0))=2,1,0)</f>
      </c>
      <c r="X563" s="0" t="s">
        <v>142</v>
      </c>
      <c r="Y563" s="0" t="s">
        <v>243</v>
      </c>
      <c r="AV563" s="68"/>
      <c r="AW563" s="68"/>
      <c r="AY563" s="27"/>
      <c r="BD563" s="68">
        <v>46054.1666666667</v>
      </c>
      <c r="BE563" s="68">
        <v>46082.1666666667</v>
      </c>
      <c r="BF563" s="0" t="b">
        <v>0</v>
      </c>
      <c r="BG563" s="0" t="b">
        <v>0</v>
      </c>
      <c r="BH563" s="0">
        <v>49</v>
      </c>
      <c r="BI563" s="0">
        <v>49</v>
      </c>
      <c r="BJ563" s="0" t="s">
        <v>135</v>
      </c>
    </row>
    <row r="564">
      <c r="A564" s="0" t="s">
        <v>752</v>
      </c>
      <c r="B564" s="0" t="s">
        <v>134</v>
      </c>
      <c r="C564" s="0" t="s">
        <v>134</v>
      </c>
      <c r="D564" s="0" t="s">
        <v>135</v>
      </c>
      <c r="E564" s="0" t="s">
        <v>3</v>
      </c>
      <c r="F564" s="0" t="s">
        <v>12</v>
      </c>
      <c r="G564" s="0" t="s">
        <v>8</v>
      </c>
      <c r="H564" s="0">
        <v>2853</v>
      </c>
      <c r="I564" s="0">
        <v>84</v>
      </c>
      <c r="J564" s="0">
        <v>0</v>
      </c>
      <c r="K564" s="0">
        <v>1</v>
      </c>
      <c r="L564" s="0">
        <v>1</v>
      </c>
      <c r="M564" s="0">
        <v>3</v>
      </c>
      <c r="N564" s="0">
        <v>0</v>
      </c>
      <c r="O564" s="0">
        <v>0</v>
      </c>
      <c r="P564" s="0">
        <v>0</v>
      </c>
      <c r="R564" s="0" t="b">
        <v>0</v>
      </c>
      <c r="S564" s="0" t="b">
        <v>1</v>
      </c>
      <c r="T564" s="68">
        <v>43200.4678703704</v>
      </c>
      <c r="U564" s="68">
        <v>43230.5416666667</v>
      </c>
      <c r="V564" s="68">
        <v>0</v>
      </c>
      <c r="W564" s="0">
        <f>IF(IF(B564="none",1,IF(B564="Trialer",1,0))+IF(C564="Customer",1,IF(C564="Lost",1,0))=2,1,0)</f>
      </c>
      <c r="X564" s="0" t="s">
        <v>166</v>
      </c>
      <c r="Y564" s="0" t="s">
        <v>243</v>
      </c>
      <c r="AV564" s="68"/>
      <c r="AW564" s="68"/>
      <c r="AY564" s="27"/>
      <c r="BD564" s="68">
        <v>46054.1666666667</v>
      </c>
      <c r="BE564" s="68">
        <v>46082.1666666667</v>
      </c>
      <c r="BF564" s="0" t="b">
        <v>0</v>
      </c>
      <c r="BG564" s="0" t="b">
        <v>0</v>
      </c>
      <c r="BH564" s="0">
        <v>84</v>
      </c>
      <c r="BI564" s="0">
        <v>84</v>
      </c>
      <c r="BJ564" s="0" t="s">
        <v>135</v>
      </c>
    </row>
    <row r="565">
      <c r="A565" s="0" t="s">
        <v>753</v>
      </c>
      <c r="B565" s="0" t="s">
        <v>134</v>
      </c>
      <c r="C565" s="0" t="s">
        <v>134</v>
      </c>
      <c r="D565" s="0" t="s">
        <v>135</v>
      </c>
      <c r="E565" s="0" t="s">
        <v>3</v>
      </c>
      <c r="F565" s="0" t="s">
        <v>12</v>
      </c>
      <c r="G565" s="0" t="s">
        <v>8</v>
      </c>
      <c r="H565" s="0">
        <v>2842</v>
      </c>
      <c r="I565" s="0">
        <v>857.25</v>
      </c>
      <c r="J565" s="0">
        <v>0</v>
      </c>
      <c r="K565" s="0">
        <v>2</v>
      </c>
      <c r="L565" s="0">
        <v>5</v>
      </c>
      <c r="M565" s="0">
        <v>12</v>
      </c>
      <c r="N565" s="0">
        <v>0</v>
      </c>
      <c r="O565" s="0">
        <v>0</v>
      </c>
      <c r="P565" s="0">
        <v>0</v>
      </c>
      <c r="R565" s="0" t="b">
        <v>0</v>
      </c>
      <c r="S565" s="0" t="b">
        <v>1</v>
      </c>
      <c r="T565" s="68">
        <v>43211.823587963</v>
      </c>
      <c r="U565" s="68">
        <v>43245.3333333333</v>
      </c>
      <c r="V565" s="68">
        <v>0</v>
      </c>
      <c r="W565" s="0">
        <f>IF(IF(B565="none",1,IF(B565="Trialer",1,0))+IF(C565="Customer",1,IF(C565="Lost",1,0))=2,1,0)</f>
      </c>
      <c r="X565" s="0" t="s">
        <v>148</v>
      </c>
      <c r="Y565" s="0" t="s">
        <v>243</v>
      </c>
      <c r="AV565" s="68"/>
      <c r="AW565" s="68"/>
      <c r="AY565" s="27"/>
      <c r="BD565" s="68">
        <v>46054.1666666667</v>
      </c>
      <c r="BE565" s="68">
        <v>46082.1666666667</v>
      </c>
      <c r="BF565" s="0" t="b">
        <v>0</v>
      </c>
      <c r="BG565" s="0" t="b">
        <v>0</v>
      </c>
      <c r="BH565" s="0">
        <v>444</v>
      </c>
      <c r="BI565" s="0">
        <v>444</v>
      </c>
      <c r="BJ565" s="0" t="s">
        <v>135</v>
      </c>
    </row>
    <row r="566">
      <c r="A566" s="0" t="s">
        <v>754</v>
      </c>
      <c r="B566" s="0" t="s">
        <v>134</v>
      </c>
      <c r="C566" s="0" t="s">
        <v>134</v>
      </c>
      <c r="D566" s="0" t="s">
        <v>230</v>
      </c>
      <c r="E566" s="0" t="s">
        <v>2</v>
      </c>
      <c r="F566" s="0" t="s">
        <v>12</v>
      </c>
      <c r="G566" s="0" t="s">
        <v>8</v>
      </c>
      <c r="H566" s="0">
        <v>2840</v>
      </c>
      <c r="I566" s="0">
        <v>1351.18</v>
      </c>
      <c r="J566" s="0">
        <v>0</v>
      </c>
      <c r="K566" s="0">
        <v>1</v>
      </c>
      <c r="L566" s="0">
        <v>5</v>
      </c>
      <c r="M566" s="0">
        <v>21</v>
      </c>
      <c r="N566" s="0">
        <v>0</v>
      </c>
      <c r="O566" s="0">
        <v>0</v>
      </c>
      <c r="P566" s="0">
        <v>-1026.18</v>
      </c>
      <c r="R566" s="0" t="b">
        <v>0</v>
      </c>
      <c r="S566" s="0" t="b">
        <v>1</v>
      </c>
      <c r="T566" s="68">
        <v>43213.5072800926</v>
      </c>
      <c r="U566" s="68">
        <v>43257.5416666667</v>
      </c>
      <c r="V566" s="68">
        <v>0</v>
      </c>
      <c r="W566" s="0">
        <f>IF(IF(B566="none",1,IF(B566="Trialer",1,0))+IF(C566="Customer",1,IF(C566="Lost",1,0))=2,1,0)</f>
      </c>
      <c r="X566" s="0" t="s">
        <v>136</v>
      </c>
      <c r="Y566" s="0" t="s">
        <v>499</v>
      </c>
      <c r="AV566" s="68"/>
      <c r="AW566" s="68"/>
      <c r="AY566" s="27"/>
      <c r="BD566" s="68">
        <v>46054.1666666667</v>
      </c>
      <c r="BE566" s="68">
        <v>46082.1666666667</v>
      </c>
      <c r="BF566" s="0" t="b">
        <v>0</v>
      </c>
      <c r="BG566" s="0" t="b">
        <v>0</v>
      </c>
      <c r="BH566" s="0">
        <v>1152</v>
      </c>
      <c r="BI566" s="0">
        <v>1152</v>
      </c>
      <c r="BJ566" s="0" t="s">
        <v>230</v>
      </c>
    </row>
    <row r="567">
      <c r="A567" s="0" t="s">
        <v>755</v>
      </c>
      <c r="B567" s="0" t="s">
        <v>134</v>
      </c>
      <c r="C567" s="0" t="s">
        <v>134</v>
      </c>
      <c r="D567" s="0" t="s">
        <v>135</v>
      </c>
      <c r="E567" s="0" t="s">
        <v>2</v>
      </c>
      <c r="F567" s="0" t="s">
        <v>10</v>
      </c>
      <c r="G567" s="0" t="s">
        <v>8</v>
      </c>
      <c r="H567" s="0">
        <v>2840</v>
      </c>
      <c r="I567" s="0">
        <v>129</v>
      </c>
      <c r="J567" s="0">
        <v>0</v>
      </c>
      <c r="K567" s="0">
        <v>1</v>
      </c>
      <c r="L567" s="0">
        <v>3</v>
      </c>
      <c r="M567" s="0">
        <v>3</v>
      </c>
      <c r="N567" s="0">
        <v>0</v>
      </c>
      <c r="O567" s="0">
        <v>0</v>
      </c>
      <c r="P567" s="0">
        <v>0</v>
      </c>
      <c r="Q567" s="0" t="s">
        <v>756</v>
      </c>
      <c r="R567" s="0" t="b">
        <v>0</v>
      </c>
      <c r="S567" s="0" t="b">
        <v>1</v>
      </c>
      <c r="T567" s="68">
        <v>43213.622025463</v>
      </c>
      <c r="U567" s="68">
        <v>43265.5416666667</v>
      </c>
      <c r="V567" s="68">
        <v>0</v>
      </c>
      <c r="W567" s="0">
        <f>IF(IF(B567="none",1,IF(B567="Trialer",1,0))+IF(C567="Customer",1,IF(C567="Lost",1,0))=2,1,0)</f>
      </c>
      <c r="X567" s="0" t="s">
        <v>136</v>
      </c>
      <c r="Y567" s="0" t="s">
        <v>499</v>
      </c>
      <c r="AV567" s="68"/>
      <c r="AW567" s="68"/>
      <c r="AY567" s="27"/>
      <c r="BD567" s="68">
        <v>46054.1666666667</v>
      </c>
      <c r="BE567" s="68">
        <v>46082.1666666667</v>
      </c>
      <c r="BF567" s="0" t="b">
        <v>0</v>
      </c>
      <c r="BG567" s="0" t="b">
        <v>0</v>
      </c>
      <c r="BH567" s="0">
        <v>129</v>
      </c>
      <c r="BI567" s="0">
        <v>129</v>
      </c>
      <c r="BJ567" s="0" t="s">
        <v>135</v>
      </c>
    </row>
    <row r="568">
      <c r="A568" s="0" t="s">
        <v>757</v>
      </c>
      <c r="B568" s="0" t="s">
        <v>134</v>
      </c>
      <c r="C568" s="0" t="s">
        <v>134</v>
      </c>
      <c r="D568" s="0" t="s">
        <v>230</v>
      </c>
      <c r="E568" s="0" t="s">
        <v>3</v>
      </c>
      <c r="F568" s="0" t="s">
        <v>12</v>
      </c>
      <c r="G568" s="0" t="s">
        <v>8</v>
      </c>
      <c r="H568" s="0">
        <v>2839</v>
      </c>
      <c r="I568" s="0">
        <v>88</v>
      </c>
      <c r="J568" s="0">
        <v>0</v>
      </c>
      <c r="K568" s="0">
        <v>1</v>
      </c>
      <c r="L568" s="0">
        <v>3</v>
      </c>
      <c r="M568" s="0">
        <v>2</v>
      </c>
      <c r="N568" s="0">
        <v>0</v>
      </c>
      <c r="O568" s="0">
        <v>0</v>
      </c>
      <c r="P568" s="0">
        <v>-88</v>
      </c>
      <c r="R568" s="0" t="b">
        <v>0</v>
      </c>
      <c r="S568" s="0" t="b">
        <v>1</v>
      </c>
      <c r="T568" s="68">
        <v>43214.7344097222</v>
      </c>
      <c r="U568" s="68">
        <v>43244.3333333333</v>
      </c>
      <c r="V568" s="68">
        <v>0</v>
      </c>
      <c r="W568" s="0">
        <f>IF(IF(B568="none",1,IF(B568="Trialer",1,0))+IF(C568="Customer",1,IF(C568="Lost",1,0))=2,1,0)</f>
      </c>
      <c r="X568" s="0" t="s">
        <v>142</v>
      </c>
      <c r="Y568" s="0" t="s">
        <v>243</v>
      </c>
      <c r="AV568" s="68"/>
      <c r="AW568" s="68"/>
      <c r="AY568" s="27"/>
      <c r="BD568" s="68">
        <v>46054.1666666667</v>
      </c>
      <c r="BE568" s="68">
        <v>46082.1666666667</v>
      </c>
      <c r="BF568" s="0" t="b">
        <v>0</v>
      </c>
      <c r="BG568" s="0" t="b">
        <v>0</v>
      </c>
      <c r="BH568" s="0">
        <v>98</v>
      </c>
      <c r="BI568" s="0">
        <v>98</v>
      </c>
      <c r="BJ568" s="0" t="s">
        <v>230</v>
      </c>
    </row>
    <row r="569">
      <c r="A569" s="0" t="s">
        <v>758</v>
      </c>
      <c r="B569" s="0" t="s">
        <v>134</v>
      </c>
      <c r="C569" s="0" t="s">
        <v>134</v>
      </c>
      <c r="D569" s="0" t="s">
        <v>135</v>
      </c>
      <c r="E569" s="0" t="s">
        <v>3</v>
      </c>
      <c r="F569" s="0" t="s">
        <v>12</v>
      </c>
      <c r="G569" s="0" t="s">
        <v>8</v>
      </c>
      <c r="H569" s="0">
        <v>2837</v>
      </c>
      <c r="I569" s="0">
        <v>61</v>
      </c>
      <c r="J569" s="0">
        <v>0</v>
      </c>
      <c r="K569" s="0">
        <v>1</v>
      </c>
      <c r="L569" s="0">
        <v>4</v>
      </c>
      <c r="M569" s="0">
        <v>1</v>
      </c>
      <c r="N569" s="0">
        <v>0</v>
      </c>
      <c r="O569" s="0">
        <v>0</v>
      </c>
      <c r="P569" s="0">
        <v>0</v>
      </c>
      <c r="R569" s="0" t="b">
        <v>0</v>
      </c>
      <c r="S569" s="0" t="b">
        <v>1</v>
      </c>
      <c r="T569" s="68">
        <v>43216.0796296296</v>
      </c>
      <c r="U569" s="68">
        <v>43246.5416666667</v>
      </c>
      <c r="V569" s="68">
        <v>0</v>
      </c>
      <c r="W569" s="0">
        <f>IF(IF(B569="none",1,IF(B569="Trialer",1,0))+IF(C569="Customer",1,IF(C569="Lost",1,0))=2,1,0)</f>
      </c>
      <c r="X569" s="0" t="s">
        <v>142</v>
      </c>
      <c r="Y569" s="0" t="s">
        <v>243</v>
      </c>
      <c r="AV569" s="68"/>
      <c r="AW569" s="68"/>
      <c r="AY569" s="27"/>
      <c r="BD569" s="68">
        <v>46054.1666666667</v>
      </c>
      <c r="BE569" s="68">
        <v>46082.1666666667</v>
      </c>
      <c r="BF569" s="0" t="b">
        <v>0</v>
      </c>
      <c r="BG569" s="0" t="b">
        <v>0</v>
      </c>
      <c r="BH569" s="0">
        <v>61</v>
      </c>
      <c r="BI569" s="0">
        <v>61</v>
      </c>
      <c r="BJ569" s="0" t="s">
        <v>135</v>
      </c>
    </row>
    <row r="570">
      <c r="A570" s="0" t="s">
        <v>759</v>
      </c>
      <c r="B570" s="0" t="s">
        <v>134</v>
      </c>
      <c r="C570" s="0" t="s">
        <v>134</v>
      </c>
      <c r="D570" s="0" t="s">
        <v>135</v>
      </c>
      <c r="E570" s="0" t="s">
        <v>2</v>
      </c>
      <c r="F570" s="0" t="s">
        <v>10</v>
      </c>
      <c r="G570" s="0" t="s">
        <v>7</v>
      </c>
      <c r="H570" s="0">
        <v>2837</v>
      </c>
      <c r="I570" s="0">
        <v>680</v>
      </c>
      <c r="J570" s="0">
        <v>0</v>
      </c>
      <c r="K570" s="0">
        <v>1</v>
      </c>
      <c r="L570" s="0">
        <v>1</v>
      </c>
      <c r="M570" s="0">
        <v>17</v>
      </c>
      <c r="N570" s="0">
        <v>0</v>
      </c>
      <c r="O570" s="0">
        <v>0</v>
      </c>
      <c r="P570" s="0">
        <v>0</v>
      </c>
      <c r="Q570" s="0" t="s">
        <v>555</v>
      </c>
      <c r="R570" s="0" t="b">
        <v>0</v>
      </c>
      <c r="S570" s="0" t="b">
        <v>1</v>
      </c>
      <c r="T570" s="68">
        <v>43216.5</v>
      </c>
      <c r="U570" s="68">
        <v>43253.5</v>
      </c>
      <c r="V570" s="68">
        <v>0</v>
      </c>
      <c r="W570" s="0">
        <f>IF(IF(B570="none",1,IF(B570="Trialer",1,0))+IF(C570="Customer",1,IF(C570="Lost",1,0))=2,1,0)</f>
      </c>
      <c r="X570" s="0" t="s">
        <v>148</v>
      </c>
      <c r="Y570" s="0" t="s">
        <v>499</v>
      </c>
      <c r="AV570" s="68"/>
      <c r="AW570" s="68"/>
      <c r="AY570" s="27"/>
      <c r="BD570" s="68">
        <v>46054.1666666667</v>
      </c>
      <c r="BE570" s="68">
        <v>46082.1666666667</v>
      </c>
      <c r="BF570" s="0" t="b">
        <v>0</v>
      </c>
      <c r="BG570" s="0" t="b">
        <v>0</v>
      </c>
      <c r="BH570" s="0">
        <v>680</v>
      </c>
      <c r="BI570" s="0">
        <v>680</v>
      </c>
      <c r="BJ570" s="0" t="s">
        <v>135</v>
      </c>
    </row>
    <row r="571">
      <c r="A571" s="0" t="s">
        <v>760</v>
      </c>
      <c r="B571" s="0" t="s">
        <v>134</v>
      </c>
      <c r="C571" s="0" t="s">
        <v>134</v>
      </c>
      <c r="D571" s="0" t="s">
        <v>135</v>
      </c>
      <c r="E571" s="0" t="s">
        <v>3</v>
      </c>
      <c r="F571" s="0" t="s">
        <v>10</v>
      </c>
      <c r="G571" s="0" t="s">
        <v>8</v>
      </c>
      <c r="H571" s="0">
        <v>2831</v>
      </c>
      <c r="I571" s="0">
        <v>56</v>
      </c>
      <c r="J571" s="0">
        <v>0</v>
      </c>
      <c r="K571" s="0">
        <v>1</v>
      </c>
      <c r="L571" s="0">
        <v>1</v>
      </c>
      <c r="M571" s="0">
        <v>2</v>
      </c>
      <c r="N571" s="0">
        <v>0</v>
      </c>
      <c r="O571" s="0">
        <v>0</v>
      </c>
      <c r="P571" s="0">
        <v>0</v>
      </c>
      <c r="Q571" s="0" t="s">
        <v>618</v>
      </c>
      <c r="R571" s="0" t="b">
        <v>0</v>
      </c>
      <c r="S571" s="0" t="b">
        <v>1</v>
      </c>
      <c r="T571" s="68">
        <v>43222.6194444444</v>
      </c>
      <c r="U571" s="68">
        <v>43253.5</v>
      </c>
      <c r="V571" s="68">
        <v>0</v>
      </c>
      <c r="W571" s="0">
        <f>IF(IF(B571="none",1,IF(B571="Trialer",1,0))+IF(C571="Customer",1,IF(C571="Lost",1,0))=2,1,0)</f>
      </c>
      <c r="X571" s="0" t="s">
        <v>148</v>
      </c>
      <c r="Y571" s="0" t="s">
        <v>243</v>
      </c>
      <c r="AV571" s="68"/>
      <c r="AW571" s="68"/>
      <c r="AY571" s="27"/>
      <c r="BD571" s="68">
        <v>46054.1666666667</v>
      </c>
      <c r="BE571" s="68">
        <v>46082.1666666667</v>
      </c>
      <c r="BF571" s="0" t="b">
        <v>0</v>
      </c>
      <c r="BG571" s="0" t="b">
        <v>0</v>
      </c>
      <c r="BH571" s="0">
        <v>56</v>
      </c>
      <c r="BI571" s="0">
        <v>56</v>
      </c>
      <c r="BJ571" s="0" t="s">
        <v>135</v>
      </c>
    </row>
    <row r="572">
      <c r="A572" s="0" t="s">
        <v>761</v>
      </c>
      <c r="B572" s="0" t="s">
        <v>134</v>
      </c>
      <c r="C572" s="0" t="s">
        <v>134</v>
      </c>
      <c r="D572" s="0" t="s">
        <v>135</v>
      </c>
      <c r="E572" s="0" t="s">
        <v>2</v>
      </c>
      <c r="F572" s="0" t="s">
        <v>12</v>
      </c>
      <c r="G572" s="0" t="s">
        <v>8</v>
      </c>
      <c r="H572" s="0">
        <v>2824</v>
      </c>
      <c r="I572" s="0">
        <v>364</v>
      </c>
      <c r="J572" s="0">
        <v>0</v>
      </c>
      <c r="K572" s="0">
        <v>1</v>
      </c>
      <c r="L572" s="0">
        <v>1</v>
      </c>
      <c r="M572" s="0">
        <v>13</v>
      </c>
      <c r="N572" s="0">
        <v>0</v>
      </c>
      <c r="O572" s="0">
        <v>0</v>
      </c>
      <c r="P572" s="0">
        <v>0</v>
      </c>
      <c r="R572" s="0" t="b">
        <v>0</v>
      </c>
      <c r="S572" s="0" t="b">
        <v>1</v>
      </c>
      <c r="T572" s="68">
        <v>43229.5782175926</v>
      </c>
      <c r="U572" s="68">
        <v>43260.3333333333</v>
      </c>
      <c r="V572" s="68">
        <v>0</v>
      </c>
      <c r="W572" s="0">
        <f>IF(IF(B572="none",1,IF(B572="Trialer",1,0))+IF(C572="Customer",1,IF(C572="Lost",1,0))=2,1,0)</f>
      </c>
      <c r="X572" s="0" t="s">
        <v>148</v>
      </c>
      <c r="Y572" s="0" t="s">
        <v>499</v>
      </c>
      <c r="AV572" s="68"/>
      <c r="AW572" s="68"/>
      <c r="AY572" s="27"/>
      <c r="BD572" s="68">
        <v>46054.1666666667</v>
      </c>
      <c r="BE572" s="68">
        <v>46082.1666666667</v>
      </c>
      <c r="BF572" s="0" t="b">
        <v>0</v>
      </c>
      <c r="BG572" s="0" t="b">
        <v>0</v>
      </c>
      <c r="BH572" s="0">
        <v>56</v>
      </c>
      <c r="BI572" s="0">
        <v>56</v>
      </c>
      <c r="BJ572" s="0" t="s">
        <v>135</v>
      </c>
    </row>
    <row r="573">
      <c r="A573" s="0" t="s">
        <v>762</v>
      </c>
      <c r="B573" s="0" t="s">
        <v>134</v>
      </c>
      <c r="C573" s="0" t="s">
        <v>134</v>
      </c>
      <c r="D573" s="0" t="s">
        <v>135</v>
      </c>
      <c r="E573" s="0" t="s">
        <v>3</v>
      </c>
      <c r="F573" s="0" t="s">
        <v>12</v>
      </c>
      <c r="G573" s="0" t="s">
        <v>8</v>
      </c>
      <c r="H573" s="0">
        <v>2819</v>
      </c>
      <c r="I573" s="0">
        <v>14</v>
      </c>
      <c r="J573" s="0">
        <v>0</v>
      </c>
      <c r="K573" s="0">
        <v>1</v>
      </c>
      <c r="L573" s="0">
        <v>1</v>
      </c>
      <c r="M573" s="0">
        <v>1</v>
      </c>
      <c r="N573" s="0">
        <v>0</v>
      </c>
      <c r="O573" s="0">
        <v>0</v>
      </c>
      <c r="P573" s="0">
        <v>0</v>
      </c>
      <c r="R573" s="0" t="b">
        <v>0</v>
      </c>
      <c r="S573" s="0" t="b">
        <v>1</v>
      </c>
      <c r="T573" s="68">
        <v>43234.1201388889</v>
      </c>
      <c r="U573" s="68">
        <v>43265.3333333333</v>
      </c>
      <c r="V573" s="68">
        <v>0</v>
      </c>
      <c r="W573" s="0">
        <f>IF(IF(B573="none",1,IF(B573="Trialer",1,0))+IF(C573="Customer",1,IF(C573="Lost",1,0))=2,1,0)</f>
      </c>
      <c r="X573" s="0" t="s">
        <v>142</v>
      </c>
      <c r="Y573" s="0" t="s">
        <v>243</v>
      </c>
      <c r="AV573" s="68"/>
      <c r="AW573" s="68"/>
      <c r="AY573" s="27"/>
      <c r="BD573" s="68">
        <v>46054.1666666667</v>
      </c>
      <c r="BE573" s="68">
        <v>46082.1666666667</v>
      </c>
      <c r="BF573" s="0" t="b">
        <v>0</v>
      </c>
      <c r="BG573" s="0" t="b">
        <v>0</v>
      </c>
      <c r="BH573" s="0">
        <v>14</v>
      </c>
      <c r="BI573" s="0">
        <v>14</v>
      </c>
      <c r="BJ573" s="0" t="s">
        <v>135</v>
      </c>
    </row>
    <row r="574">
      <c r="A574" s="0" t="s">
        <v>763</v>
      </c>
      <c r="B574" s="0" t="s">
        <v>134</v>
      </c>
      <c r="C574" s="0" t="s">
        <v>134</v>
      </c>
      <c r="D574" s="0" t="s">
        <v>230</v>
      </c>
      <c r="E574" s="0" t="s">
        <v>3</v>
      </c>
      <c r="F574" s="0" t="s">
        <v>12</v>
      </c>
      <c r="G574" s="0" t="s">
        <v>8</v>
      </c>
      <c r="H574" s="0">
        <v>2818</v>
      </c>
      <c r="I574" s="0">
        <v>72</v>
      </c>
      <c r="J574" s="0">
        <v>0</v>
      </c>
      <c r="K574" s="0">
        <v>1</v>
      </c>
      <c r="L574" s="0">
        <v>2</v>
      </c>
      <c r="M574" s="0">
        <v>2</v>
      </c>
      <c r="N574" s="0">
        <v>0</v>
      </c>
      <c r="O574" s="0">
        <v>0</v>
      </c>
      <c r="P574" s="0">
        <v>-72</v>
      </c>
      <c r="R574" s="0" t="b">
        <v>0</v>
      </c>
      <c r="S574" s="0" t="b">
        <v>1</v>
      </c>
      <c r="T574" s="68">
        <v>43235.5736111111</v>
      </c>
      <c r="U574" s="68">
        <v>43266.3333333333</v>
      </c>
      <c r="V574" s="68">
        <v>0</v>
      </c>
      <c r="W574" s="0">
        <f>IF(IF(B574="none",1,IF(B574="Trialer",1,0))+IF(C574="Customer",1,IF(C574="Lost",1,0))=2,1,0)</f>
      </c>
      <c r="X574" s="0" t="s">
        <v>142</v>
      </c>
      <c r="Y574" s="0" t="s">
        <v>243</v>
      </c>
      <c r="AV574" s="68"/>
      <c r="AW574" s="68"/>
      <c r="AY574" s="27"/>
      <c r="BD574" s="68">
        <v>46054.1666666667</v>
      </c>
      <c r="BE574" s="68">
        <v>46082.1666666667</v>
      </c>
      <c r="BF574" s="0" t="b">
        <v>0</v>
      </c>
      <c r="BG574" s="0" t="b">
        <v>0</v>
      </c>
      <c r="BH574" s="0">
        <v>80</v>
      </c>
      <c r="BI574" s="0">
        <v>80</v>
      </c>
      <c r="BJ574" s="0" t="s">
        <v>230</v>
      </c>
    </row>
    <row r="575">
      <c r="A575" s="0" t="s">
        <v>764</v>
      </c>
      <c r="B575" s="0" t="s">
        <v>134</v>
      </c>
      <c r="C575" s="0" t="s">
        <v>134</v>
      </c>
      <c r="D575" s="0" t="s">
        <v>135</v>
      </c>
      <c r="E575" s="0" t="s">
        <v>3</v>
      </c>
      <c r="F575" s="0" t="s">
        <v>12</v>
      </c>
      <c r="G575" s="0" t="s">
        <v>8</v>
      </c>
      <c r="H575" s="0">
        <v>2812</v>
      </c>
      <c r="I575" s="0">
        <v>1259</v>
      </c>
      <c r="J575" s="0">
        <v>0</v>
      </c>
      <c r="K575" s="0">
        <v>1</v>
      </c>
      <c r="L575" s="0">
        <v>5</v>
      </c>
      <c r="M575" s="0">
        <v>22</v>
      </c>
      <c r="N575" s="0">
        <v>139.5</v>
      </c>
      <c r="O575" s="0">
        <v>0</v>
      </c>
      <c r="P575" s="0">
        <v>0</v>
      </c>
      <c r="R575" s="0" t="b">
        <v>0</v>
      </c>
      <c r="S575" s="0" t="b">
        <v>1</v>
      </c>
      <c r="T575" s="68">
        <v>43241.3973032407</v>
      </c>
      <c r="U575" s="68">
        <v>43272.5416666667</v>
      </c>
      <c r="V575" s="68">
        <v>0</v>
      </c>
      <c r="W575" s="0">
        <f>IF(IF(B575="none",1,IF(B575="Trialer",1,0))+IF(C575="Customer",1,IF(C575="Lost",1,0))=2,1,0)</f>
      </c>
      <c r="X575" s="0" t="s">
        <v>145</v>
      </c>
      <c r="Y575" s="0" t="s">
        <v>243</v>
      </c>
      <c r="AV575" s="68"/>
      <c r="AW575" s="68"/>
      <c r="AY575" s="27"/>
      <c r="BD575" s="68">
        <v>46054.1666666667</v>
      </c>
      <c r="BE575" s="68">
        <v>46082.1666666667</v>
      </c>
      <c r="BF575" s="0" t="b">
        <v>0</v>
      </c>
      <c r="BG575" s="0" t="b">
        <v>0</v>
      </c>
      <c r="BH575" s="0">
        <v>925</v>
      </c>
      <c r="BI575" s="0">
        <v>925</v>
      </c>
      <c r="BJ575" s="0" t="s">
        <v>135</v>
      </c>
    </row>
    <row r="576">
      <c r="A576" s="0" t="s">
        <v>765</v>
      </c>
      <c r="B576" s="0" t="s">
        <v>134</v>
      </c>
      <c r="C576" s="0" t="s">
        <v>134</v>
      </c>
      <c r="D576" s="0" t="s">
        <v>230</v>
      </c>
      <c r="E576" s="0" t="s">
        <v>3</v>
      </c>
      <c r="F576" s="0" t="s">
        <v>12</v>
      </c>
      <c r="G576" s="0" t="s">
        <v>8</v>
      </c>
      <c r="H576" s="0">
        <v>2812</v>
      </c>
      <c r="I576" s="0">
        <v>33</v>
      </c>
      <c r="J576" s="0">
        <v>0</v>
      </c>
      <c r="K576" s="0">
        <v>1</v>
      </c>
      <c r="L576" s="0">
        <v>2</v>
      </c>
      <c r="M576" s="0">
        <v>1</v>
      </c>
      <c r="N576" s="0">
        <v>0</v>
      </c>
      <c r="O576" s="0">
        <v>0</v>
      </c>
      <c r="P576" s="0">
        <v>-33</v>
      </c>
      <c r="R576" s="0" t="b">
        <v>0</v>
      </c>
      <c r="S576" s="0" t="b">
        <v>1</v>
      </c>
      <c r="T576" s="68">
        <v>43241.6146759259</v>
      </c>
      <c r="U576" s="68">
        <v>43272.5416666667</v>
      </c>
      <c r="V576" s="68">
        <v>0</v>
      </c>
      <c r="W576" s="0">
        <f>IF(IF(B576="none",1,IF(B576="Trialer",1,0))+IF(C576="Customer",1,IF(C576="Lost",1,0))=2,1,0)</f>
      </c>
      <c r="X576" s="0" t="s">
        <v>166</v>
      </c>
      <c r="Y576" s="0" t="s">
        <v>243</v>
      </c>
      <c r="AV576" s="68"/>
      <c r="AW576" s="68"/>
      <c r="AY576" s="27"/>
      <c r="BD576" s="68">
        <v>46054.1666666667</v>
      </c>
      <c r="BE576" s="68">
        <v>46082.1666666667</v>
      </c>
      <c r="BF576" s="0" t="b">
        <v>0</v>
      </c>
      <c r="BG576" s="0" t="b">
        <v>0</v>
      </c>
      <c r="BH576" s="0">
        <v>37</v>
      </c>
      <c r="BI576" s="0">
        <v>37</v>
      </c>
      <c r="BJ576" s="0" t="s">
        <v>230</v>
      </c>
    </row>
    <row r="577">
      <c r="A577" s="0" t="s">
        <v>766</v>
      </c>
      <c r="B577" s="0" t="s">
        <v>134</v>
      </c>
      <c r="C577" s="0" t="s">
        <v>134</v>
      </c>
      <c r="D577" s="0" t="s">
        <v>135</v>
      </c>
      <c r="E577" s="0" t="s">
        <v>3</v>
      </c>
      <c r="F577" s="0" t="s">
        <v>10</v>
      </c>
      <c r="G577" s="0" t="s">
        <v>8</v>
      </c>
      <c r="H577" s="0">
        <v>2811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 t="s">
        <v>767</v>
      </c>
      <c r="R577" s="0" t="b">
        <v>0</v>
      </c>
      <c r="S577" s="0" t="b">
        <v>1</v>
      </c>
      <c r="T577" s="68">
        <v>43242.6826388889</v>
      </c>
      <c r="U577" s="68">
        <v>43709.5</v>
      </c>
      <c r="V577" s="68">
        <v>0</v>
      </c>
      <c r="W577" s="0">
        <f>IF(IF(B577="none",1,IF(B577="Trialer",1,0))+IF(C577="Customer",1,IF(C577="Lost",1,0))=2,1,0)</f>
      </c>
      <c r="X577" s="0" t="s">
        <v>148</v>
      </c>
      <c r="Y577" s="0" t="s">
        <v>243</v>
      </c>
      <c r="AV577" s="68"/>
      <c r="AW577" s="68"/>
      <c r="AY577" s="27"/>
      <c r="BD577" s="68">
        <v>46054.1666666667</v>
      </c>
      <c r="BE577" s="68">
        <v>46082.1666666667</v>
      </c>
      <c r="BF577" s="0" t="b">
        <v>0</v>
      </c>
      <c r="BG577" s="0" t="b">
        <v>0</v>
      </c>
      <c r="BH577" s="0">
        <v>0</v>
      </c>
      <c r="BI577" s="0">
        <v>0</v>
      </c>
      <c r="BJ577" s="0" t="s">
        <v>135</v>
      </c>
    </row>
    <row r="578">
      <c r="A578" s="0" t="s">
        <v>768</v>
      </c>
      <c r="B578" s="0" t="s">
        <v>134</v>
      </c>
      <c r="C578" s="0" t="s">
        <v>134</v>
      </c>
      <c r="D578" s="0" t="s">
        <v>135</v>
      </c>
      <c r="E578" s="0" t="s">
        <v>3</v>
      </c>
      <c r="F578" s="0" t="s">
        <v>12</v>
      </c>
      <c r="G578" s="0" t="s">
        <v>8</v>
      </c>
      <c r="H578" s="0">
        <v>2811</v>
      </c>
      <c r="I578" s="0">
        <v>28</v>
      </c>
      <c r="J578" s="0">
        <v>0</v>
      </c>
      <c r="K578" s="0">
        <v>1</v>
      </c>
      <c r="L578" s="0">
        <v>1</v>
      </c>
      <c r="M578" s="0">
        <v>1</v>
      </c>
      <c r="N578" s="0">
        <v>0</v>
      </c>
      <c r="O578" s="0">
        <v>0</v>
      </c>
      <c r="P578" s="0">
        <v>0</v>
      </c>
      <c r="R578" s="0" t="b">
        <v>0</v>
      </c>
      <c r="S578" s="0" t="b">
        <v>1</v>
      </c>
      <c r="T578" s="68">
        <v>43242.7436111111</v>
      </c>
      <c r="U578" s="68">
        <v>43273.5416666667</v>
      </c>
      <c r="V578" s="68">
        <v>0</v>
      </c>
      <c r="W578" s="0">
        <f>IF(IF(B578="none",1,IF(B578="Trialer",1,0))+IF(C578="Customer",1,IF(C578="Lost",1,0))=2,1,0)</f>
      </c>
      <c r="X578" s="0" t="s">
        <v>166</v>
      </c>
      <c r="Y578" s="0" t="s">
        <v>243</v>
      </c>
      <c r="AV578" s="68"/>
      <c r="AW578" s="68"/>
      <c r="AY578" s="27"/>
      <c r="BD578" s="68">
        <v>46054.1666666667</v>
      </c>
      <c r="BE578" s="68">
        <v>46082.1666666667</v>
      </c>
      <c r="BF578" s="0" t="b">
        <v>0</v>
      </c>
      <c r="BG578" s="0" t="b">
        <v>0</v>
      </c>
      <c r="BH578" s="0">
        <v>28</v>
      </c>
      <c r="BI578" s="0">
        <v>28</v>
      </c>
      <c r="BJ578" s="0" t="s">
        <v>135</v>
      </c>
    </row>
    <row r="579">
      <c r="A579" s="0" t="s">
        <v>769</v>
      </c>
      <c r="B579" s="0" t="s">
        <v>134</v>
      </c>
      <c r="C579" s="0" t="s">
        <v>134</v>
      </c>
      <c r="D579" s="0" t="s">
        <v>135</v>
      </c>
      <c r="E579" s="0" t="s">
        <v>3</v>
      </c>
      <c r="F579" s="0" t="s">
        <v>12</v>
      </c>
      <c r="G579" s="0" t="s">
        <v>8</v>
      </c>
      <c r="H579" s="0">
        <v>2807</v>
      </c>
      <c r="I579" s="0">
        <v>200</v>
      </c>
      <c r="J579" s="0">
        <v>0</v>
      </c>
      <c r="K579" s="0">
        <v>1</v>
      </c>
      <c r="L579" s="0">
        <v>2</v>
      </c>
      <c r="M579" s="0">
        <v>5</v>
      </c>
      <c r="N579" s="0">
        <v>0</v>
      </c>
      <c r="O579" s="0">
        <v>0</v>
      </c>
      <c r="P579" s="0">
        <v>0</v>
      </c>
      <c r="R579" s="0" t="b">
        <v>0</v>
      </c>
      <c r="S579" s="0" t="b">
        <v>1</v>
      </c>
      <c r="T579" s="68">
        <v>43246.0086342593</v>
      </c>
      <c r="U579" s="68">
        <v>43277.5416666667</v>
      </c>
      <c r="V579" s="68">
        <v>0</v>
      </c>
      <c r="W579" s="0">
        <f>IF(IF(B579="none",1,IF(B579="Trialer",1,0))+IF(C579="Customer",1,IF(C579="Lost",1,0))=2,1,0)</f>
      </c>
      <c r="X579" s="0" t="s">
        <v>136</v>
      </c>
      <c r="Y579" s="0" t="s">
        <v>243</v>
      </c>
      <c r="AV579" s="68"/>
      <c r="AW579" s="68"/>
      <c r="AY579" s="27"/>
      <c r="BD579" s="68">
        <v>46054.1666666667</v>
      </c>
      <c r="BE579" s="68">
        <v>46082.1666666667</v>
      </c>
      <c r="BF579" s="0" t="b">
        <v>0</v>
      </c>
      <c r="BG579" s="0" t="b">
        <v>0</v>
      </c>
      <c r="BH579" s="0">
        <v>200</v>
      </c>
      <c r="BI579" s="0">
        <v>200</v>
      </c>
      <c r="BJ579" s="0" t="s">
        <v>135</v>
      </c>
    </row>
    <row r="580">
      <c r="A580" s="0" t="s">
        <v>770</v>
      </c>
      <c r="B580" s="0" t="s">
        <v>134</v>
      </c>
      <c r="C580" s="0" t="s">
        <v>134</v>
      </c>
      <c r="D580" s="0" t="s">
        <v>135</v>
      </c>
      <c r="E580" s="0" t="s">
        <v>3</v>
      </c>
      <c r="F580" s="0" t="s">
        <v>12</v>
      </c>
      <c r="G580" s="0" t="s">
        <v>8</v>
      </c>
      <c r="H580" s="0">
        <v>2804</v>
      </c>
      <c r="I580" s="0">
        <v>40</v>
      </c>
      <c r="J580" s="0">
        <v>0</v>
      </c>
      <c r="K580" s="0">
        <v>1</v>
      </c>
      <c r="L580" s="0">
        <v>2</v>
      </c>
      <c r="M580" s="0">
        <v>1</v>
      </c>
      <c r="N580" s="0">
        <v>0</v>
      </c>
      <c r="O580" s="0">
        <v>0</v>
      </c>
      <c r="P580" s="0">
        <v>0</v>
      </c>
      <c r="R580" s="0" t="b">
        <v>0</v>
      </c>
      <c r="S580" s="0" t="b">
        <v>1</v>
      </c>
      <c r="T580" s="68">
        <v>43249.5213310185</v>
      </c>
      <c r="U580" s="68">
        <v>43280.3333333333</v>
      </c>
      <c r="V580" s="68">
        <v>0</v>
      </c>
      <c r="W580" s="0">
        <f>IF(IF(B580="none",1,IF(B580="Trialer",1,0))+IF(C580="Customer",1,IF(C580="Lost",1,0))=2,1,0)</f>
      </c>
      <c r="X580" s="0" t="s">
        <v>166</v>
      </c>
      <c r="Y580" s="0" t="s">
        <v>243</v>
      </c>
      <c r="AV580" s="68"/>
      <c r="AW580" s="68"/>
      <c r="AY580" s="27"/>
      <c r="BD580" s="68">
        <v>46054.1666666667</v>
      </c>
      <c r="BE580" s="68">
        <v>46082.1666666667</v>
      </c>
      <c r="BF580" s="0" t="b">
        <v>0</v>
      </c>
      <c r="BG580" s="0" t="b">
        <v>0</v>
      </c>
      <c r="BH580" s="0">
        <v>40</v>
      </c>
      <c r="BI580" s="0">
        <v>40</v>
      </c>
      <c r="BJ580" s="0" t="s">
        <v>135</v>
      </c>
    </row>
    <row r="581">
      <c r="A581" s="0" t="s">
        <v>771</v>
      </c>
      <c r="B581" s="0" t="s">
        <v>134</v>
      </c>
      <c r="C581" s="0" t="s">
        <v>134</v>
      </c>
      <c r="D581" s="0" t="s">
        <v>135</v>
      </c>
      <c r="E581" s="0" t="s">
        <v>3</v>
      </c>
      <c r="F581" s="0" t="s">
        <v>10</v>
      </c>
      <c r="G581" s="0" t="s">
        <v>8</v>
      </c>
      <c r="H581" s="0">
        <v>2803</v>
      </c>
      <c r="I581" s="0">
        <v>56</v>
      </c>
      <c r="J581" s="0">
        <v>0</v>
      </c>
      <c r="K581" s="0">
        <v>1</v>
      </c>
      <c r="L581" s="0">
        <v>1</v>
      </c>
      <c r="M581" s="0">
        <v>2</v>
      </c>
      <c r="N581" s="0">
        <v>0</v>
      </c>
      <c r="O581" s="0">
        <v>0</v>
      </c>
      <c r="P581" s="0">
        <v>0</v>
      </c>
      <c r="Q581" s="0" t="s">
        <v>618</v>
      </c>
      <c r="R581" s="0" t="b">
        <v>0</v>
      </c>
      <c r="S581" s="0" t="b">
        <v>1</v>
      </c>
      <c r="T581" s="68">
        <v>43250.7194444444</v>
      </c>
      <c r="U581" s="68">
        <v>43281.5</v>
      </c>
      <c r="V581" s="68">
        <v>0</v>
      </c>
      <c r="W581" s="0">
        <f>IF(IF(B581="none",1,IF(B581="Trialer",1,0))+IF(C581="Customer",1,IF(C581="Lost",1,0))=2,1,0)</f>
      </c>
      <c r="X581" s="0" t="s">
        <v>148</v>
      </c>
      <c r="Y581" s="0" t="s">
        <v>243</v>
      </c>
      <c r="AV581" s="68"/>
      <c r="AW581" s="68"/>
      <c r="AY581" s="27"/>
      <c r="BD581" s="68">
        <v>46054.1666666667</v>
      </c>
      <c r="BE581" s="68">
        <v>46082.1666666667</v>
      </c>
      <c r="BF581" s="0" t="b">
        <v>0</v>
      </c>
      <c r="BG581" s="0" t="b">
        <v>0</v>
      </c>
      <c r="BH581" s="0">
        <v>56</v>
      </c>
      <c r="BI581" s="0">
        <v>56</v>
      </c>
      <c r="BJ581" s="0" t="s">
        <v>135</v>
      </c>
    </row>
    <row r="582">
      <c r="A582" s="0" t="s">
        <v>772</v>
      </c>
      <c r="B582" s="0" t="s">
        <v>134</v>
      </c>
      <c r="C582" s="0" t="s">
        <v>134</v>
      </c>
      <c r="D582" s="0" t="s">
        <v>135</v>
      </c>
      <c r="E582" s="0" t="s">
        <v>3</v>
      </c>
      <c r="F582" s="0" t="s">
        <v>10</v>
      </c>
      <c r="G582" s="0" t="s">
        <v>8</v>
      </c>
      <c r="H582" s="0">
        <v>2798</v>
      </c>
      <c r="I582" s="0">
        <v>48.8</v>
      </c>
      <c r="J582" s="0">
        <v>0</v>
      </c>
      <c r="K582" s="0">
        <v>1</v>
      </c>
      <c r="L582" s="0">
        <v>4</v>
      </c>
      <c r="M582" s="0">
        <v>1</v>
      </c>
      <c r="N582" s="0">
        <v>0</v>
      </c>
      <c r="O582" s="0">
        <v>0</v>
      </c>
      <c r="P582" s="0">
        <v>0</v>
      </c>
      <c r="Q582" s="0" t="s">
        <v>767</v>
      </c>
      <c r="R582" s="0" t="b">
        <v>0</v>
      </c>
      <c r="S582" s="0" t="b">
        <v>1</v>
      </c>
      <c r="T582" s="68">
        <v>43255.4520833333</v>
      </c>
      <c r="U582" s="68">
        <v>43709.3333333333</v>
      </c>
      <c r="V582" s="68">
        <v>0</v>
      </c>
      <c r="W582" s="0">
        <f>IF(IF(B582="none",1,IF(B582="Trialer",1,0))+IF(C582="Customer",1,IF(C582="Lost",1,0))=2,1,0)</f>
      </c>
      <c r="X582" s="0" t="s">
        <v>148</v>
      </c>
      <c r="Y582" s="0" t="s">
        <v>243</v>
      </c>
      <c r="AV582" s="68"/>
      <c r="AW582" s="68"/>
      <c r="AY582" s="27"/>
      <c r="BD582" s="68">
        <v>46054.1666666667</v>
      </c>
      <c r="BE582" s="68">
        <v>46082.1666666667</v>
      </c>
      <c r="BF582" s="0" t="b">
        <v>0</v>
      </c>
      <c r="BG582" s="0" t="b">
        <v>0</v>
      </c>
      <c r="BH582" s="0">
        <v>48.8</v>
      </c>
      <c r="BI582" s="0">
        <v>48.8</v>
      </c>
      <c r="BJ582" s="0" t="s">
        <v>135</v>
      </c>
    </row>
    <row r="583">
      <c r="A583" s="0" t="s">
        <v>773</v>
      </c>
      <c r="B583" s="0" t="s">
        <v>134</v>
      </c>
      <c r="C583" s="0" t="s">
        <v>134</v>
      </c>
      <c r="D583" s="0" t="s">
        <v>135</v>
      </c>
      <c r="E583" s="0" t="s">
        <v>3</v>
      </c>
      <c r="F583" s="0" t="s">
        <v>12</v>
      </c>
      <c r="G583" s="0" t="s">
        <v>8</v>
      </c>
      <c r="H583" s="0">
        <v>2797</v>
      </c>
      <c r="I583" s="0">
        <v>0</v>
      </c>
      <c r="J583" s="0">
        <v>0</v>
      </c>
      <c r="K583" s="0">
        <v>1</v>
      </c>
      <c r="L583" s="0">
        <v>3</v>
      </c>
      <c r="M583" s="0">
        <v>1</v>
      </c>
      <c r="N583" s="0">
        <v>0</v>
      </c>
      <c r="O583" s="0">
        <v>0</v>
      </c>
      <c r="P583" s="0">
        <v>0</v>
      </c>
      <c r="R583" s="0" t="b">
        <v>0</v>
      </c>
      <c r="S583" s="0" t="b">
        <v>1</v>
      </c>
      <c r="T583" s="68">
        <v>43256.0076388889</v>
      </c>
      <c r="U583" s="68">
        <v>43286.5416666667</v>
      </c>
      <c r="V583" s="68">
        <v>0</v>
      </c>
      <c r="W583" s="0">
        <f>IF(IF(B583="none",1,IF(B583="Trialer",1,0))+IF(C583="Customer",1,IF(C583="Lost",1,0))=2,1,0)</f>
      </c>
      <c r="X583" s="0" t="s">
        <v>153</v>
      </c>
      <c r="Y583" s="0" t="s">
        <v>243</v>
      </c>
      <c r="AV583" s="68"/>
      <c r="AW583" s="68"/>
      <c r="AY583" s="27"/>
      <c r="BD583" s="68">
        <v>46054.1666666667</v>
      </c>
      <c r="BE583" s="68">
        <v>46082.1666666667</v>
      </c>
      <c r="BF583" s="0" t="b">
        <v>0</v>
      </c>
      <c r="BG583" s="0" t="b">
        <v>0</v>
      </c>
      <c r="BH583" s="0">
        <v>0</v>
      </c>
      <c r="BI583" s="0">
        <v>0</v>
      </c>
      <c r="BJ583" s="0" t="s">
        <v>135</v>
      </c>
    </row>
    <row r="584">
      <c r="A584" s="0" t="s">
        <v>774</v>
      </c>
      <c r="B584" s="0" t="s">
        <v>134</v>
      </c>
      <c r="C584" s="0" t="s">
        <v>134</v>
      </c>
      <c r="D584" s="0" t="s">
        <v>135</v>
      </c>
      <c r="E584" s="0" t="s">
        <v>3</v>
      </c>
      <c r="F584" s="0" t="s">
        <v>12</v>
      </c>
      <c r="G584" s="0" t="s">
        <v>8</v>
      </c>
      <c r="H584" s="0">
        <v>2794</v>
      </c>
      <c r="I584" s="0">
        <v>0</v>
      </c>
      <c r="J584" s="0">
        <v>0</v>
      </c>
      <c r="K584" s="0">
        <v>1</v>
      </c>
      <c r="L584" s="0">
        <v>5</v>
      </c>
      <c r="M584" s="0">
        <v>2</v>
      </c>
      <c r="N584" s="0">
        <v>0</v>
      </c>
      <c r="O584" s="0">
        <v>0</v>
      </c>
      <c r="P584" s="0">
        <v>0</v>
      </c>
      <c r="R584" s="0" t="b">
        <v>0</v>
      </c>
      <c r="S584" s="0" t="b">
        <v>1</v>
      </c>
      <c r="T584" s="68">
        <v>43259.6486111111</v>
      </c>
      <c r="U584" s="68">
        <v>43289.5416666667</v>
      </c>
      <c r="V584" s="68">
        <v>0</v>
      </c>
      <c r="W584" s="0">
        <f>IF(IF(B584="none",1,IF(B584="Trialer",1,0))+IF(C584="Customer",1,IF(C584="Lost",1,0))=2,1,0)</f>
      </c>
      <c r="X584" s="0" t="s">
        <v>148</v>
      </c>
      <c r="Y584" s="0" t="s">
        <v>243</v>
      </c>
      <c r="AV584" s="68"/>
      <c r="AW584" s="68"/>
      <c r="AY584" s="27"/>
      <c r="BD584" s="68">
        <v>46054.1666666667</v>
      </c>
      <c r="BE584" s="68">
        <v>46082.1666666667</v>
      </c>
      <c r="BF584" s="0" t="b">
        <v>0</v>
      </c>
      <c r="BG584" s="0" t="b">
        <v>0</v>
      </c>
      <c r="BH584" s="0">
        <v>0</v>
      </c>
      <c r="BI584" s="0">
        <v>0</v>
      </c>
      <c r="BJ584" s="0" t="s">
        <v>135</v>
      </c>
    </row>
    <row r="585">
      <c r="A585" s="0" t="s">
        <v>775</v>
      </c>
      <c r="B585" s="0" t="s">
        <v>134</v>
      </c>
      <c r="C585" s="0" t="s">
        <v>134</v>
      </c>
      <c r="D585" s="0" t="s">
        <v>135</v>
      </c>
      <c r="E585" s="0" t="s">
        <v>3</v>
      </c>
      <c r="F585" s="0" t="s">
        <v>12</v>
      </c>
      <c r="G585" s="0" t="s">
        <v>8</v>
      </c>
      <c r="H585" s="0">
        <v>2794</v>
      </c>
      <c r="I585" s="0">
        <v>0</v>
      </c>
      <c r="J585" s="0">
        <v>0</v>
      </c>
      <c r="K585" s="0">
        <v>1</v>
      </c>
      <c r="L585" s="0">
        <v>3</v>
      </c>
      <c r="M585" s="0">
        <v>1</v>
      </c>
      <c r="N585" s="0">
        <v>0</v>
      </c>
      <c r="O585" s="0">
        <v>0</v>
      </c>
      <c r="P585" s="0">
        <v>0</v>
      </c>
      <c r="R585" s="0" t="b">
        <v>0</v>
      </c>
      <c r="S585" s="0" t="b">
        <v>1</v>
      </c>
      <c r="T585" s="68">
        <v>43259.90625</v>
      </c>
      <c r="U585" s="68">
        <v>43297.5</v>
      </c>
      <c r="V585" s="68">
        <v>0</v>
      </c>
      <c r="W585" s="0">
        <f>IF(IF(B585="none",1,IF(B585="Trialer",1,0))+IF(C585="Customer",1,IF(C585="Lost",1,0))=2,1,0)</f>
      </c>
      <c r="X585" s="0" t="s">
        <v>136</v>
      </c>
      <c r="Y585" s="0" t="s">
        <v>243</v>
      </c>
      <c r="AV585" s="68"/>
      <c r="AW585" s="68"/>
      <c r="AY585" s="27"/>
      <c r="BD585" s="68">
        <v>46054.1666666667</v>
      </c>
      <c r="BE585" s="68">
        <v>46082.1666666667</v>
      </c>
      <c r="BF585" s="0" t="b">
        <v>0</v>
      </c>
      <c r="BG585" s="0" t="b">
        <v>0</v>
      </c>
      <c r="BH585" s="0">
        <v>0</v>
      </c>
      <c r="BI585" s="0">
        <v>0</v>
      </c>
      <c r="BJ585" s="0" t="s">
        <v>135</v>
      </c>
    </row>
    <row r="586">
      <c r="A586" s="0" t="s">
        <v>776</v>
      </c>
      <c r="B586" s="0" t="s">
        <v>134</v>
      </c>
      <c r="C586" s="0" t="s">
        <v>134</v>
      </c>
      <c r="D586" s="0" t="s">
        <v>135</v>
      </c>
      <c r="E586" s="0" t="s">
        <v>2</v>
      </c>
      <c r="F586" s="0" t="s">
        <v>12</v>
      </c>
      <c r="G586" s="0" t="s">
        <v>8</v>
      </c>
      <c r="H586" s="0">
        <v>2791</v>
      </c>
      <c r="I586" s="0">
        <v>116</v>
      </c>
      <c r="J586" s="0">
        <v>0</v>
      </c>
      <c r="K586" s="0">
        <v>1</v>
      </c>
      <c r="L586" s="0">
        <v>4</v>
      </c>
      <c r="M586" s="0">
        <v>2</v>
      </c>
      <c r="N586" s="0">
        <v>0</v>
      </c>
      <c r="O586" s="0">
        <v>0</v>
      </c>
      <c r="P586" s="0">
        <v>0</v>
      </c>
      <c r="R586" s="0" t="b">
        <v>0</v>
      </c>
      <c r="S586" s="0" t="b">
        <v>1</v>
      </c>
      <c r="T586" s="68">
        <v>43262.6564236111</v>
      </c>
      <c r="U586" s="68">
        <v>43292.5416666667</v>
      </c>
      <c r="V586" s="68">
        <v>0</v>
      </c>
      <c r="W586" s="0">
        <f>IF(IF(B586="none",1,IF(B586="Trialer",1,0))+IF(C586="Customer",1,IF(C586="Lost",1,0))=2,1,0)</f>
      </c>
      <c r="X586" s="0" t="s">
        <v>153</v>
      </c>
      <c r="Y586" s="0" t="s">
        <v>499</v>
      </c>
      <c r="AV586" s="68"/>
      <c r="AW586" s="68"/>
      <c r="AY586" s="27"/>
      <c r="BD586" s="68">
        <v>46054.1666666667</v>
      </c>
      <c r="BE586" s="68">
        <v>46082.1666666667</v>
      </c>
      <c r="BF586" s="0" t="b">
        <v>0</v>
      </c>
      <c r="BG586" s="0" t="b">
        <v>0</v>
      </c>
      <c r="BH586" s="0">
        <v>116</v>
      </c>
      <c r="BI586" s="0">
        <v>116</v>
      </c>
      <c r="BJ586" s="0" t="s">
        <v>135</v>
      </c>
    </row>
    <row r="587">
      <c r="A587" s="0" t="s">
        <v>777</v>
      </c>
      <c r="B587" s="0" t="s">
        <v>134</v>
      </c>
      <c r="C587" s="0" t="s">
        <v>134</v>
      </c>
      <c r="D587" s="0" t="s">
        <v>135</v>
      </c>
      <c r="E587" s="0" t="s">
        <v>3</v>
      </c>
      <c r="F587" s="0" t="s">
        <v>10</v>
      </c>
      <c r="G587" s="0" t="s">
        <v>8</v>
      </c>
      <c r="H587" s="0">
        <v>2790</v>
      </c>
      <c r="I587" s="0">
        <v>44.8</v>
      </c>
      <c r="J587" s="0">
        <v>0</v>
      </c>
      <c r="K587" s="0">
        <v>1</v>
      </c>
      <c r="L587" s="0">
        <v>1</v>
      </c>
      <c r="M587" s="0">
        <v>2</v>
      </c>
      <c r="N587" s="0">
        <v>0</v>
      </c>
      <c r="O587" s="0">
        <v>0</v>
      </c>
      <c r="P587" s="0">
        <v>0</v>
      </c>
      <c r="Q587" s="0" t="s">
        <v>618</v>
      </c>
      <c r="R587" s="0" t="b">
        <v>0</v>
      </c>
      <c r="S587" s="0" t="b">
        <v>1</v>
      </c>
      <c r="T587" s="68">
        <v>43263.4069444444</v>
      </c>
      <c r="U587" s="68">
        <v>43709.3333333333</v>
      </c>
      <c r="V587" s="68">
        <v>0</v>
      </c>
      <c r="W587" s="0">
        <f>IF(IF(B587="none",1,IF(B587="Trialer",1,0))+IF(C587="Customer",1,IF(C587="Lost",1,0))=2,1,0)</f>
      </c>
      <c r="X587" s="0" t="s">
        <v>148</v>
      </c>
      <c r="Y587" s="0" t="s">
        <v>243</v>
      </c>
      <c r="AV587" s="68"/>
      <c r="AW587" s="68"/>
      <c r="AY587" s="27"/>
      <c r="BD587" s="68">
        <v>46054.1666666667</v>
      </c>
      <c r="BE587" s="68">
        <v>46082.1666666667</v>
      </c>
      <c r="BF587" s="0" t="b">
        <v>0</v>
      </c>
      <c r="BG587" s="0" t="b">
        <v>0</v>
      </c>
      <c r="BH587" s="0">
        <v>44.8</v>
      </c>
      <c r="BI587" s="0">
        <v>44.8</v>
      </c>
      <c r="BJ587" s="0" t="s">
        <v>135</v>
      </c>
    </row>
    <row r="588">
      <c r="A588" s="0" t="s">
        <v>778</v>
      </c>
      <c r="B588" s="0" t="s">
        <v>134</v>
      </c>
      <c r="C588" s="0" t="s">
        <v>134</v>
      </c>
      <c r="D588" s="0" t="s">
        <v>135</v>
      </c>
      <c r="E588" s="0" t="s">
        <v>2</v>
      </c>
      <c r="F588" s="0" t="s">
        <v>10</v>
      </c>
      <c r="G588" s="0" t="s">
        <v>7</v>
      </c>
      <c r="H588" s="0">
        <v>2789</v>
      </c>
      <c r="I588" s="0">
        <v>1045</v>
      </c>
      <c r="J588" s="0">
        <v>0</v>
      </c>
      <c r="K588" s="0">
        <v>1</v>
      </c>
      <c r="L588" s="0">
        <v>1</v>
      </c>
      <c r="M588" s="0">
        <v>18</v>
      </c>
      <c r="N588" s="0">
        <v>0</v>
      </c>
      <c r="O588" s="0">
        <v>0</v>
      </c>
      <c r="P588" s="0">
        <v>0</v>
      </c>
      <c r="Q588" s="0" t="s">
        <v>390</v>
      </c>
      <c r="R588" s="0" t="b">
        <v>0</v>
      </c>
      <c r="S588" s="0" t="b">
        <v>1</v>
      </c>
      <c r="T588" s="68">
        <v>43264.5827546296</v>
      </c>
      <c r="U588" s="68">
        <v>43294.5416666667</v>
      </c>
      <c r="V588" s="68">
        <v>0</v>
      </c>
      <c r="W588" s="0">
        <f>IF(IF(B588="none",1,IF(B588="Trialer",1,0))+IF(C588="Customer",1,IF(C588="Lost",1,0))=2,1,0)</f>
      </c>
      <c r="X588" s="0" t="s">
        <v>148</v>
      </c>
      <c r="Y588" s="0" t="s">
        <v>499</v>
      </c>
      <c r="AV588" s="68"/>
      <c r="AW588" s="68"/>
      <c r="AY588" s="27"/>
      <c r="BD588" s="68">
        <v>46054.1666666667</v>
      </c>
      <c r="BE588" s="68">
        <v>46082.1666666667</v>
      </c>
      <c r="BF588" s="0" t="b">
        <v>0</v>
      </c>
      <c r="BG588" s="0" t="b">
        <v>0</v>
      </c>
      <c r="BH588" s="0">
        <v>720</v>
      </c>
      <c r="BI588" s="0">
        <v>720</v>
      </c>
      <c r="BJ588" s="0" t="s">
        <v>135</v>
      </c>
    </row>
    <row r="589">
      <c r="A589" s="0" t="s">
        <v>779</v>
      </c>
      <c r="B589" s="0" t="s">
        <v>134</v>
      </c>
      <c r="C589" s="0" t="s">
        <v>134</v>
      </c>
      <c r="D589" s="0" t="s">
        <v>135</v>
      </c>
      <c r="E589" s="0" t="s">
        <v>2</v>
      </c>
      <c r="F589" s="0" t="s">
        <v>12</v>
      </c>
      <c r="G589" s="0" t="s">
        <v>8</v>
      </c>
      <c r="H589" s="0">
        <v>2785</v>
      </c>
      <c r="I589" s="0">
        <v>49</v>
      </c>
      <c r="J589" s="0">
        <v>0</v>
      </c>
      <c r="K589" s="0">
        <v>1</v>
      </c>
      <c r="L589" s="0">
        <v>3</v>
      </c>
      <c r="M589" s="0">
        <v>1</v>
      </c>
      <c r="N589" s="0">
        <v>0</v>
      </c>
      <c r="O589" s="0">
        <v>0</v>
      </c>
      <c r="P589" s="0">
        <v>0</v>
      </c>
      <c r="R589" s="0" t="b">
        <v>0</v>
      </c>
      <c r="S589" s="0" t="b">
        <v>1</v>
      </c>
      <c r="T589" s="68">
        <v>43268.4032407407</v>
      </c>
      <c r="U589" s="68">
        <v>43298.5416666667</v>
      </c>
      <c r="V589" s="68">
        <v>0</v>
      </c>
      <c r="W589" s="0">
        <f>IF(IF(B589="none",1,IF(B589="Trialer",1,0))+IF(C589="Customer",1,IF(C589="Lost",1,0))=2,1,0)</f>
      </c>
      <c r="X589" s="0" t="s">
        <v>136</v>
      </c>
      <c r="Y589" s="0" t="s">
        <v>499</v>
      </c>
      <c r="AV589" s="68"/>
      <c r="AW589" s="68"/>
      <c r="AY589" s="27"/>
      <c r="BD589" s="68">
        <v>46054.1666666667</v>
      </c>
      <c r="BE589" s="68">
        <v>46082.1666666667</v>
      </c>
      <c r="BF589" s="0" t="b">
        <v>0</v>
      </c>
      <c r="BG589" s="0" t="b">
        <v>0</v>
      </c>
      <c r="BH589" s="0">
        <v>49</v>
      </c>
      <c r="BI589" s="0">
        <v>49</v>
      </c>
      <c r="BJ589" s="0" t="s">
        <v>135</v>
      </c>
    </row>
    <row r="590">
      <c r="A590" s="0" t="s">
        <v>780</v>
      </c>
      <c r="B590" s="0" t="s">
        <v>134</v>
      </c>
      <c r="C590" s="0" t="s">
        <v>134</v>
      </c>
      <c r="D590" s="0" t="s">
        <v>135</v>
      </c>
      <c r="E590" s="0" t="s">
        <v>2</v>
      </c>
      <c r="F590" s="0" t="s">
        <v>12</v>
      </c>
      <c r="G590" s="0" t="s">
        <v>8</v>
      </c>
      <c r="H590" s="0">
        <v>2785</v>
      </c>
      <c r="I590" s="0">
        <v>68</v>
      </c>
      <c r="J590" s="0">
        <v>0</v>
      </c>
      <c r="K590" s="0">
        <v>1</v>
      </c>
      <c r="L590" s="0">
        <v>2</v>
      </c>
      <c r="M590" s="0">
        <v>2</v>
      </c>
      <c r="N590" s="0">
        <v>0</v>
      </c>
      <c r="O590" s="0">
        <v>0</v>
      </c>
      <c r="P590" s="0">
        <v>0</v>
      </c>
      <c r="R590" s="0" t="b">
        <v>0</v>
      </c>
      <c r="S590" s="0" t="b">
        <v>1</v>
      </c>
      <c r="T590" s="68">
        <v>43268.8758796296</v>
      </c>
      <c r="U590" s="68">
        <v>43299.5416666667</v>
      </c>
      <c r="V590" s="68">
        <v>0</v>
      </c>
      <c r="W590" s="0">
        <f>IF(IF(B590="none",1,IF(B590="Trialer",1,0))+IF(C590="Customer",1,IF(C590="Lost",1,0))=2,1,0)</f>
      </c>
      <c r="X590" s="0" t="s">
        <v>142</v>
      </c>
      <c r="Y590" s="0" t="s">
        <v>499</v>
      </c>
      <c r="AV590" s="68"/>
      <c r="AW590" s="68"/>
      <c r="AY590" s="27"/>
      <c r="BD590" s="68">
        <v>46054.1666666667</v>
      </c>
      <c r="BE590" s="68">
        <v>46082.1666666667</v>
      </c>
      <c r="BF590" s="0" t="b">
        <v>0</v>
      </c>
      <c r="BG590" s="0" t="b">
        <v>0</v>
      </c>
      <c r="BH590" s="0">
        <v>68</v>
      </c>
      <c r="BI590" s="0">
        <v>68</v>
      </c>
      <c r="BJ590" s="0" t="s">
        <v>135</v>
      </c>
    </row>
    <row r="591">
      <c r="A591" s="0" t="s">
        <v>781</v>
      </c>
      <c r="B591" s="0" t="s">
        <v>134</v>
      </c>
      <c r="C591" s="0" t="s">
        <v>134</v>
      </c>
      <c r="D591" s="0" t="s">
        <v>135</v>
      </c>
      <c r="E591" s="0" t="s">
        <v>3</v>
      </c>
      <c r="F591" s="0" t="s">
        <v>12</v>
      </c>
      <c r="G591" s="0" t="s">
        <v>8</v>
      </c>
      <c r="H591" s="0">
        <v>2784</v>
      </c>
      <c r="I591" s="0">
        <v>0</v>
      </c>
      <c r="J591" s="0">
        <v>0</v>
      </c>
      <c r="K591" s="0">
        <v>1</v>
      </c>
      <c r="L591" s="0">
        <v>3</v>
      </c>
      <c r="M591" s="0">
        <v>2</v>
      </c>
      <c r="N591" s="0">
        <v>0</v>
      </c>
      <c r="O591" s="0">
        <v>0</v>
      </c>
      <c r="P591" s="0">
        <v>0</v>
      </c>
      <c r="R591" s="0" t="b">
        <v>0</v>
      </c>
      <c r="S591" s="0" t="b">
        <v>1</v>
      </c>
      <c r="T591" s="68">
        <v>43269.5485300926</v>
      </c>
      <c r="U591" s="68">
        <v>43337.5416666667</v>
      </c>
      <c r="V591" s="68">
        <v>0</v>
      </c>
      <c r="W591" s="0">
        <f>IF(IF(B591="none",1,IF(B591="Trialer",1,0))+IF(C591="Customer",1,IF(C591="Lost",1,0))=2,1,0)</f>
      </c>
      <c r="X591" s="0" t="s">
        <v>148</v>
      </c>
      <c r="Y591" s="0" t="s">
        <v>243</v>
      </c>
      <c r="AV591" s="68"/>
      <c r="AW591" s="68"/>
      <c r="AY591" s="27"/>
      <c r="BD591" s="68">
        <v>46054.1666666667</v>
      </c>
      <c r="BE591" s="68">
        <v>46082.1666666667</v>
      </c>
      <c r="BF591" s="0" t="b">
        <v>0</v>
      </c>
      <c r="BG591" s="0" t="b">
        <v>0</v>
      </c>
      <c r="BH591" s="0">
        <v>0</v>
      </c>
      <c r="BI591" s="0">
        <v>0</v>
      </c>
      <c r="BJ591" s="0" t="s">
        <v>135</v>
      </c>
    </row>
    <row r="592">
      <c r="A592" s="0" t="s">
        <v>782</v>
      </c>
      <c r="B592" s="0" t="s">
        <v>134</v>
      </c>
      <c r="C592" s="0" t="s">
        <v>134</v>
      </c>
      <c r="D592" s="0" t="s">
        <v>135</v>
      </c>
      <c r="E592" s="0" t="s">
        <v>3</v>
      </c>
      <c r="F592" s="0" t="s">
        <v>10</v>
      </c>
      <c r="G592" s="0" t="s">
        <v>8</v>
      </c>
      <c r="H592" s="0">
        <v>2784</v>
      </c>
      <c r="I592" s="0">
        <v>208</v>
      </c>
      <c r="J592" s="0">
        <v>0</v>
      </c>
      <c r="K592" s="0">
        <v>1</v>
      </c>
      <c r="L592" s="0">
        <v>2</v>
      </c>
      <c r="M592" s="0">
        <v>7</v>
      </c>
      <c r="N592" s="0">
        <v>0</v>
      </c>
      <c r="O592" s="0">
        <v>0</v>
      </c>
      <c r="P592" s="0">
        <v>0</v>
      </c>
      <c r="Q592" s="0" t="s">
        <v>618</v>
      </c>
      <c r="R592" s="0" t="b">
        <v>0</v>
      </c>
      <c r="S592" s="0" t="b">
        <v>1</v>
      </c>
      <c r="T592" s="68">
        <v>43269.8118055556</v>
      </c>
      <c r="U592" s="68">
        <v>43299.5</v>
      </c>
      <c r="V592" s="68">
        <v>0</v>
      </c>
      <c r="W592" s="0">
        <f>IF(IF(B592="none",1,IF(B592="Trialer",1,0))+IF(C592="Customer",1,IF(C592="Lost",1,0))=2,1,0)</f>
      </c>
      <c r="X592" s="0" t="s">
        <v>148</v>
      </c>
      <c r="Y592" s="0" t="s">
        <v>243</v>
      </c>
      <c r="AV592" s="68"/>
      <c r="AW592" s="68"/>
      <c r="AY592" s="27"/>
      <c r="BD592" s="68">
        <v>46054.1666666667</v>
      </c>
      <c r="BE592" s="68">
        <v>46082.1666666667</v>
      </c>
      <c r="BF592" s="0" t="b">
        <v>0</v>
      </c>
      <c r="BG592" s="0" t="b">
        <v>0</v>
      </c>
      <c r="BH592" s="0">
        <v>208</v>
      </c>
      <c r="BI592" s="0">
        <v>208</v>
      </c>
      <c r="BJ592" s="0" t="s">
        <v>135</v>
      </c>
    </row>
    <row r="593">
      <c r="A593" s="0" t="s">
        <v>783</v>
      </c>
      <c r="B593" s="0" t="s">
        <v>134</v>
      </c>
      <c r="C593" s="0" t="s">
        <v>134</v>
      </c>
      <c r="D593" s="0" t="s">
        <v>230</v>
      </c>
      <c r="E593" s="0" t="s">
        <v>2</v>
      </c>
      <c r="F593" s="0" t="s">
        <v>12</v>
      </c>
      <c r="G593" s="0" t="s">
        <v>8</v>
      </c>
      <c r="H593" s="0">
        <v>2781</v>
      </c>
      <c r="I593" s="0">
        <v>80</v>
      </c>
      <c r="J593" s="0">
        <v>0</v>
      </c>
      <c r="K593" s="0">
        <v>1</v>
      </c>
      <c r="L593" s="0">
        <v>3</v>
      </c>
      <c r="M593" s="0">
        <v>2</v>
      </c>
      <c r="N593" s="0">
        <v>0</v>
      </c>
      <c r="O593" s="0">
        <v>0</v>
      </c>
      <c r="P593" s="0">
        <v>-80</v>
      </c>
      <c r="R593" s="0" t="b">
        <v>0</v>
      </c>
      <c r="S593" s="0" t="b">
        <v>1</v>
      </c>
      <c r="T593" s="68">
        <v>43272.8375694444</v>
      </c>
      <c r="U593" s="68">
        <v>43302.5416666667</v>
      </c>
      <c r="V593" s="68">
        <v>0</v>
      </c>
      <c r="W593" s="0">
        <f>IF(IF(B593="none",1,IF(B593="Trialer",1,0))+IF(C593="Customer",1,IF(C593="Lost",1,0))=2,1,0)</f>
      </c>
      <c r="X593" s="0" t="s">
        <v>136</v>
      </c>
      <c r="Y593" s="0" t="s">
        <v>499</v>
      </c>
      <c r="AV593" s="68"/>
      <c r="AW593" s="68"/>
      <c r="AY593" s="27"/>
      <c r="BD593" s="68">
        <v>46054.1666666667</v>
      </c>
      <c r="BE593" s="68">
        <v>46082.1666666667</v>
      </c>
      <c r="BF593" s="0" t="b">
        <v>0</v>
      </c>
      <c r="BG593" s="0" t="b">
        <v>0</v>
      </c>
      <c r="BH593" s="0">
        <v>89</v>
      </c>
      <c r="BI593" s="0">
        <v>89</v>
      </c>
      <c r="BJ593" s="0" t="s">
        <v>230</v>
      </c>
    </row>
    <row r="594">
      <c r="A594" s="0" t="s">
        <v>784</v>
      </c>
      <c r="B594" s="0" t="s">
        <v>134</v>
      </c>
      <c r="C594" s="0" t="s">
        <v>134</v>
      </c>
      <c r="D594" s="0" t="s">
        <v>135</v>
      </c>
      <c r="E594" s="0" t="s">
        <v>3</v>
      </c>
      <c r="F594" s="0" t="s">
        <v>12</v>
      </c>
      <c r="G594" s="0" t="s">
        <v>8</v>
      </c>
      <c r="H594" s="0">
        <v>2780</v>
      </c>
      <c r="I594" s="0">
        <v>0</v>
      </c>
      <c r="J594" s="0">
        <v>0</v>
      </c>
      <c r="K594" s="0">
        <v>1</v>
      </c>
      <c r="L594" s="0">
        <v>4</v>
      </c>
      <c r="M594" s="0">
        <v>2</v>
      </c>
      <c r="N594" s="0">
        <v>0</v>
      </c>
      <c r="O594" s="0">
        <v>0</v>
      </c>
      <c r="P594" s="0">
        <v>0</v>
      </c>
      <c r="R594" s="0" t="b">
        <v>0</v>
      </c>
      <c r="S594" s="0" t="b">
        <v>1</v>
      </c>
      <c r="T594" s="68">
        <v>43273.6097222222</v>
      </c>
      <c r="U594" s="68">
        <v>43303.5416666667</v>
      </c>
      <c r="V594" s="68">
        <v>0</v>
      </c>
      <c r="W594" s="0">
        <f>IF(IF(B594="none",1,IF(B594="Trialer",1,0))+IF(C594="Customer",1,IF(C594="Lost",1,0))=2,1,0)</f>
      </c>
      <c r="X594" s="0" t="s">
        <v>148</v>
      </c>
      <c r="Y594" s="0" t="s">
        <v>243</v>
      </c>
      <c r="AV594" s="68"/>
      <c r="AW594" s="68"/>
      <c r="AY594" s="27"/>
      <c r="BD594" s="68">
        <v>46054.1666666667</v>
      </c>
      <c r="BE594" s="68">
        <v>46082.1666666667</v>
      </c>
      <c r="BF594" s="0" t="b">
        <v>0</v>
      </c>
      <c r="BG594" s="0" t="b">
        <v>0</v>
      </c>
      <c r="BH594" s="0">
        <v>0</v>
      </c>
      <c r="BI594" s="0">
        <v>0</v>
      </c>
      <c r="BJ594" s="0" t="s">
        <v>135</v>
      </c>
    </row>
    <row r="595">
      <c r="A595" s="0" t="s">
        <v>785</v>
      </c>
      <c r="B595" s="0" t="s">
        <v>134</v>
      </c>
      <c r="C595" s="0" t="s">
        <v>134</v>
      </c>
      <c r="D595" s="0" t="s">
        <v>135</v>
      </c>
      <c r="E595" s="0" t="s">
        <v>3</v>
      </c>
      <c r="F595" s="0" t="s">
        <v>12</v>
      </c>
      <c r="G595" s="0" t="s">
        <v>8</v>
      </c>
      <c r="H595" s="0">
        <v>2779</v>
      </c>
      <c r="I595" s="0">
        <v>0</v>
      </c>
      <c r="J595" s="0">
        <v>0</v>
      </c>
      <c r="K595" s="0">
        <v>1</v>
      </c>
      <c r="L595" s="0">
        <v>2</v>
      </c>
      <c r="M595" s="0">
        <v>2</v>
      </c>
      <c r="N595" s="0">
        <v>0</v>
      </c>
      <c r="O595" s="0">
        <v>0</v>
      </c>
      <c r="P595" s="0">
        <v>0</v>
      </c>
      <c r="R595" s="0" t="b">
        <v>0</v>
      </c>
      <c r="S595" s="0" t="b">
        <v>1</v>
      </c>
      <c r="T595" s="68">
        <v>43274.4208333333</v>
      </c>
      <c r="U595" s="68">
        <v>43353.3333333333</v>
      </c>
      <c r="V595" s="68">
        <v>0</v>
      </c>
      <c r="W595" s="0">
        <f>IF(IF(B595="none",1,IF(B595="Trialer",1,0))+IF(C595="Customer",1,IF(C595="Lost",1,0))=2,1,0)</f>
      </c>
      <c r="X595" s="0" t="s">
        <v>148</v>
      </c>
      <c r="Y595" s="0" t="s">
        <v>243</v>
      </c>
      <c r="AV595" s="68"/>
      <c r="AW595" s="68"/>
      <c r="AY595" s="27"/>
      <c r="BD595" s="68">
        <v>46054.1666666667</v>
      </c>
      <c r="BE595" s="68">
        <v>46082.1666666667</v>
      </c>
      <c r="BF595" s="0" t="b">
        <v>0</v>
      </c>
      <c r="BG595" s="0" t="b">
        <v>0</v>
      </c>
      <c r="BH595" s="0">
        <v>0</v>
      </c>
      <c r="BI595" s="0">
        <v>0</v>
      </c>
      <c r="BJ595" s="0" t="s">
        <v>135</v>
      </c>
    </row>
    <row r="596">
      <c r="A596" s="0" t="s">
        <v>786</v>
      </c>
      <c r="B596" s="0" t="s">
        <v>134</v>
      </c>
      <c r="C596" s="0" t="s">
        <v>134</v>
      </c>
      <c r="D596" s="0" t="s">
        <v>135</v>
      </c>
      <c r="E596" s="0" t="s">
        <v>2</v>
      </c>
      <c r="F596" s="0" t="s">
        <v>12</v>
      </c>
      <c r="G596" s="0" t="s">
        <v>8</v>
      </c>
      <c r="H596" s="0">
        <v>2777</v>
      </c>
      <c r="I596" s="0">
        <v>641</v>
      </c>
      <c r="J596" s="0">
        <v>0</v>
      </c>
      <c r="K596" s="0">
        <v>1</v>
      </c>
      <c r="L596" s="0">
        <v>3</v>
      </c>
      <c r="M596" s="0">
        <v>14</v>
      </c>
      <c r="N596" s="0">
        <v>0</v>
      </c>
      <c r="O596" s="0">
        <v>0</v>
      </c>
      <c r="P596" s="0">
        <v>0</v>
      </c>
      <c r="R596" s="0" t="b">
        <v>0</v>
      </c>
      <c r="S596" s="0" t="b">
        <v>1</v>
      </c>
      <c r="T596" s="68">
        <v>43276.391099537</v>
      </c>
      <c r="U596" s="68">
        <v>43306.5416666667</v>
      </c>
      <c r="V596" s="68">
        <v>0</v>
      </c>
      <c r="W596" s="0">
        <f>IF(IF(B596="none",1,IF(B596="Trialer",1,0))+IF(C596="Customer",1,IF(C596="Lost",1,0))=2,1,0)</f>
      </c>
      <c r="X596" s="0" t="s">
        <v>145</v>
      </c>
      <c r="Y596" s="0" t="s">
        <v>499</v>
      </c>
      <c r="AV596" s="68"/>
      <c r="AW596" s="68"/>
      <c r="AY596" s="27"/>
      <c r="BD596" s="68">
        <v>46054.1666666667</v>
      </c>
      <c r="BE596" s="68">
        <v>46082.1666666667</v>
      </c>
      <c r="BF596" s="0" t="b">
        <v>0</v>
      </c>
      <c r="BG596" s="0" t="b">
        <v>0</v>
      </c>
      <c r="BH596" s="0">
        <v>641</v>
      </c>
      <c r="BI596" s="0">
        <v>641</v>
      </c>
      <c r="BJ596" s="0" t="s">
        <v>135</v>
      </c>
    </row>
    <row r="597">
      <c r="A597" s="0" t="s">
        <v>787</v>
      </c>
      <c r="B597" s="0" t="s">
        <v>134</v>
      </c>
      <c r="C597" s="0" t="s">
        <v>134</v>
      </c>
      <c r="D597" s="0" t="s">
        <v>230</v>
      </c>
      <c r="E597" s="0" t="s">
        <v>3</v>
      </c>
      <c r="F597" s="0" t="s">
        <v>12</v>
      </c>
      <c r="G597" s="0" t="s">
        <v>8</v>
      </c>
      <c r="H597" s="0">
        <v>2775</v>
      </c>
      <c r="I597" s="0">
        <v>54</v>
      </c>
      <c r="J597" s="0">
        <v>0</v>
      </c>
      <c r="K597" s="0">
        <v>1</v>
      </c>
      <c r="L597" s="0">
        <v>4</v>
      </c>
      <c r="M597" s="0">
        <v>1</v>
      </c>
      <c r="N597" s="0">
        <v>0</v>
      </c>
      <c r="O597" s="0">
        <v>0</v>
      </c>
      <c r="P597" s="0">
        <v>-54</v>
      </c>
      <c r="R597" s="0" t="b">
        <v>0</v>
      </c>
      <c r="S597" s="0" t="b">
        <v>1</v>
      </c>
      <c r="T597" s="68">
        <v>43278.6795138889</v>
      </c>
      <c r="U597" s="68">
        <v>43311.5416666667</v>
      </c>
      <c r="V597" s="68">
        <v>0</v>
      </c>
      <c r="W597" s="0">
        <f>IF(IF(B597="none",1,IF(B597="Trialer",1,0))+IF(C597="Customer",1,IF(C597="Lost",1,0))=2,1,0)</f>
      </c>
      <c r="X597" s="0" t="s">
        <v>142</v>
      </c>
      <c r="Y597" s="0" t="s">
        <v>243</v>
      </c>
      <c r="AV597" s="68"/>
      <c r="AW597" s="68"/>
      <c r="AY597" s="27"/>
      <c r="BD597" s="68">
        <v>46054.1666666667</v>
      </c>
      <c r="BE597" s="68">
        <v>46082.1666666667</v>
      </c>
      <c r="BF597" s="0" t="b">
        <v>0</v>
      </c>
      <c r="BG597" s="0" t="b">
        <v>0</v>
      </c>
      <c r="BH597" s="0">
        <v>61</v>
      </c>
      <c r="BI597" s="0">
        <v>61</v>
      </c>
      <c r="BJ597" s="0" t="s">
        <v>230</v>
      </c>
    </row>
    <row r="598">
      <c r="A598" s="0" t="s">
        <v>788</v>
      </c>
      <c r="B598" s="0" t="s">
        <v>134</v>
      </c>
      <c r="C598" s="0" t="s">
        <v>134</v>
      </c>
      <c r="D598" s="0" t="s">
        <v>135</v>
      </c>
      <c r="E598" s="0" t="s">
        <v>3</v>
      </c>
      <c r="F598" s="0" t="s">
        <v>12</v>
      </c>
      <c r="G598" s="0" t="s">
        <v>8</v>
      </c>
      <c r="H598" s="0">
        <v>2774</v>
      </c>
      <c r="I598" s="0">
        <v>0</v>
      </c>
      <c r="J598" s="0">
        <v>0</v>
      </c>
      <c r="K598" s="0">
        <v>1</v>
      </c>
      <c r="L598" s="0">
        <v>2</v>
      </c>
      <c r="M598" s="0">
        <v>2</v>
      </c>
      <c r="N598" s="0">
        <v>0</v>
      </c>
      <c r="O598" s="0">
        <v>0</v>
      </c>
      <c r="P598" s="0">
        <v>0</v>
      </c>
      <c r="R598" s="0" t="b">
        <v>0</v>
      </c>
      <c r="S598" s="0" t="b">
        <v>1</v>
      </c>
      <c r="T598" s="68">
        <v>43279.4530902778</v>
      </c>
      <c r="U598" s="68">
        <v>43309.5416666667</v>
      </c>
      <c r="V598" s="68">
        <v>0</v>
      </c>
      <c r="W598" s="0">
        <f>IF(IF(B598="none",1,IF(B598="Trialer",1,0))+IF(C598="Customer",1,IF(C598="Lost",1,0))=2,1,0)</f>
      </c>
      <c r="X598" s="0" t="s">
        <v>148</v>
      </c>
      <c r="Y598" s="0" t="s">
        <v>243</v>
      </c>
      <c r="AV598" s="68"/>
      <c r="AW598" s="68"/>
      <c r="AY598" s="27"/>
      <c r="BD598" s="68">
        <v>46054.1666666667</v>
      </c>
      <c r="BE598" s="68">
        <v>46082.1666666667</v>
      </c>
      <c r="BF598" s="0" t="b">
        <v>0</v>
      </c>
      <c r="BG598" s="0" t="b">
        <v>0</v>
      </c>
      <c r="BH598" s="0">
        <v>0</v>
      </c>
      <c r="BI598" s="0">
        <v>0</v>
      </c>
      <c r="BJ598" s="0" t="s">
        <v>135</v>
      </c>
    </row>
    <row r="599">
      <c r="A599" s="0" t="s">
        <v>789</v>
      </c>
      <c r="B599" s="0" t="s">
        <v>134</v>
      </c>
      <c r="C599" s="0" t="s">
        <v>134</v>
      </c>
      <c r="D599" s="0" t="s">
        <v>135</v>
      </c>
      <c r="E599" s="0" t="s">
        <v>3</v>
      </c>
      <c r="F599" s="0" t="s">
        <v>12</v>
      </c>
      <c r="G599" s="0" t="s">
        <v>8</v>
      </c>
      <c r="H599" s="0">
        <v>2773</v>
      </c>
      <c r="I599" s="0">
        <v>49</v>
      </c>
      <c r="J599" s="0">
        <v>0</v>
      </c>
      <c r="K599" s="0">
        <v>1</v>
      </c>
      <c r="L599" s="0">
        <v>3</v>
      </c>
      <c r="M599" s="0">
        <v>1</v>
      </c>
      <c r="N599" s="0">
        <v>0</v>
      </c>
      <c r="O599" s="0">
        <v>0</v>
      </c>
      <c r="P599" s="0">
        <v>0</v>
      </c>
      <c r="R599" s="0" t="b">
        <v>0</v>
      </c>
      <c r="S599" s="0" t="b">
        <v>1</v>
      </c>
      <c r="T599" s="68">
        <v>43280.6712037037</v>
      </c>
      <c r="U599" s="68">
        <v>43310.5416666667</v>
      </c>
      <c r="V599" s="68">
        <v>0</v>
      </c>
      <c r="W599" s="0">
        <f>IF(IF(B599="none",1,IF(B599="Trialer",1,0))+IF(C599="Customer",1,IF(C599="Lost",1,0))=2,1,0)</f>
      </c>
      <c r="X599" s="0" t="s">
        <v>142</v>
      </c>
      <c r="Y599" s="0" t="s">
        <v>243</v>
      </c>
      <c r="AV599" s="68"/>
      <c r="AW599" s="68"/>
      <c r="AY599" s="27"/>
      <c r="BD599" s="68">
        <v>46054.1666666667</v>
      </c>
      <c r="BE599" s="68">
        <v>46082.1666666667</v>
      </c>
      <c r="BF599" s="0" t="b">
        <v>0</v>
      </c>
      <c r="BG599" s="0" t="b">
        <v>0</v>
      </c>
      <c r="BH599" s="0">
        <v>49</v>
      </c>
      <c r="BI599" s="0">
        <v>49</v>
      </c>
      <c r="BJ599" s="0" t="s">
        <v>135</v>
      </c>
    </row>
    <row r="600">
      <c r="A600" s="0" t="s">
        <v>790</v>
      </c>
      <c r="B600" s="0" t="s">
        <v>134</v>
      </c>
      <c r="C600" s="0" t="s">
        <v>134</v>
      </c>
      <c r="D600" s="0" t="s">
        <v>135</v>
      </c>
      <c r="E600" s="0" t="s">
        <v>3</v>
      </c>
      <c r="F600" s="0" t="s">
        <v>12</v>
      </c>
      <c r="G600" s="0" t="s">
        <v>8</v>
      </c>
      <c r="H600" s="0">
        <v>2771</v>
      </c>
      <c r="I600" s="0">
        <v>0</v>
      </c>
      <c r="J600" s="0">
        <v>0</v>
      </c>
      <c r="K600" s="0">
        <v>1</v>
      </c>
      <c r="L600" s="0">
        <v>6</v>
      </c>
      <c r="M600" s="0">
        <v>4</v>
      </c>
      <c r="N600" s="0">
        <v>0</v>
      </c>
      <c r="O600" s="0">
        <v>0</v>
      </c>
      <c r="P600" s="0">
        <v>0</v>
      </c>
      <c r="R600" s="0" t="b">
        <v>0</v>
      </c>
      <c r="S600" s="0" t="b">
        <v>1</v>
      </c>
      <c r="T600" s="68">
        <v>43282.3979166667</v>
      </c>
      <c r="U600" s="68">
        <v>43313.3333333333</v>
      </c>
      <c r="V600" s="68">
        <v>0</v>
      </c>
      <c r="W600" s="0">
        <f>IF(IF(B600="none",1,IF(B600="Trialer",1,0))+IF(C600="Customer",1,IF(C600="Lost",1,0))=2,1,0)</f>
      </c>
      <c r="X600" s="0" t="s">
        <v>148</v>
      </c>
      <c r="Y600" s="0" t="s">
        <v>243</v>
      </c>
      <c r="AV600" s="68"/>
      <c r="AW600" s="68"/>
      <c r="AY600" s="27"/>
      <c r="BD600" s="68">
        <v>46054.1666666667</v>
      </c>
      <c r="BE600" s="68">
        <v>46082.1666666667</v>
      </c>
      <c r="BF600" s="0" t="b">
        <v>0</v>
      </c>
      <c r="BG600" s="0" t="b">
        <v>0</v>
      </c>
      <c r="BH600" s="0">
        <v>0</v>
      </c>
      <c r="BI600" s="0">
        <v>0</v>
      </c>
      <c r="BJ600" s="0" t="s">
        <v>135</v>
      </c>
    </row>
    <row r="601">
      <c r="A601" s="0" t="s">
        <v>791</v>
      </c>
      <c r="B601" s="0" t="s">
        <v>134</v>
      </c>
      <c r="C601" s="0" t="s">
        <v>134</v>
      </c>
      <c r="D601" s="0" t="s">
        <v>230</v>
      </c>
      <c r="E601" s="0" t="s">
        <v>2</v>
      </c>
      <c r="F601" s="0" t="s">
        <v>12</v>
      </c>
      <c r="G601" s="0" t="s">
        <v>8</v>
      </c>
      <c r="H601" s="0">
        <v>2756</v>
      </c>
      <c r="I601" s="0">
        <v>760</v>
      </c>
      <c r="J601" s="0">
        <v>0</v>
      </c>
      <c r="K601" s="0">
        <v>1</v>
      </c>
      <c r="L601" s="0">
        <v>3</v>
      </c>
      <c r="M601" s="0">
        <v>18</v>
      </c>
      <c r="N601" s="0">
        <v>0</v>
      </c>
      <c r="O601" s="0">
        <v>0</v>
      </c>
      <c r="P601" s="0">
        <v>-760</v>
      </c>
      <c r="R601" s="0" t="b">
        <v>0</v>
      </c>
      <c r="S601" s="0" t="b">
        <v>1</v>
      </c>
      <c r="T601" s="68">
        <v>43297.5319444444</v>
      </c>
      <c r="U601" s="68">
        <v>43328.5</v>
      </c>
      <c r="V601" s="68">
        <v>0</v>
      </c>
      <c r="W601" s="0">
        <f>IF(IF(B601="none",1,IF(B601="Trialer",1,0))+IF(C601="Customer",1,IF(C601="Lost",1,0))=2,1,0)</f>
      </c>
      <c r="X601" s="0" t="s">
        <v>145</v>
      </c>
      <c r="Y601" s="0" t="s">
        <v>499</v>
      </c>
      <c r="AV601" s="68"/>
      <c r="AW601" s="68"/>
      <c r="AY601" s="27"/>
      <c r="BD601" s="68">
        <v>46054.1666666667</v>
      </c>
      <c r="BE601" s="68">
        <v>46082.1666666667</v>
      </c>
      <c r="BF601" s="0" t="b">
        <v>0</v>
      </c>
      <c r="BG601" s="0" t="b">
        <v>0</v>
      </c>
      <c r="BH601" s="0">
        <v>846</v>
      </c>
      <c r="BI601" s="0">
        <v>846</v>
      </c>
      <c r="BJ601" s="0" t="s">
        <v>230</v>
      </c>
    </row>
    <row r="602">
      <c r="A602" s="0" t="s">
        <v>792</v>
      </c>
      <c r="B602" s="0" t="s">
        <v>134</v>
      </c>
      <c r="C602" s="0" t="s">
        <v>134</v>
      </c>
      <c r="D602" s="0" t="s">
        <v>135</v>
      </c>
      <c r="E602" s="0" t="s">
        <v>3</v>
      </c>
      <c r="F602" s="0" t="s">
        <v>12</v>
      </c>
      <c r="G602" s="0" t="s">
        <v>8</v>
      </c>
      <c r="H602" s="0">
        <v>2756</v>
      </c>
      <c r="I602" s="0">
        <v>28</v>
      </c>
      <c r="J602" s="0">
        <v>0</v>
      </c>
      <c r="K602" s="0">
        <v>1</v>
      </c>
      <c r="L602" s="0">
        <v>1</v>
      </c>
      <c r="M602" s="0">
        <v>1</v>
      </c>
      <c r="N602" s="0">
        <v>0</v>
      </c>
      <c r="O602" s="0">
        <v>0</v>
      </c>
      <c r="P602" s="0">
        <v>0</v>
      </c>
      <c r="R602" s="0" t="b">
        <v>0</v>
      </c>
      <c r="S602" s="0" t="b">
        <v>1</v>
      </c>
      <c r="T602" s="68">
        <v>43297.6849652778</v>
      </c>
      <c r="U602" s="68">
        <v>43328.3333333333</v>
      </c>
      <c r="V602" s="68">
        <v>0</v>
      </c>
      <c r="W602" s="0">
        <f>IF(IF(B602="none",1,IF(B602="Trialer",1,0))+IF(C602="Customer",1,IF(C602="Lost",1,0))=2,1,0)</f>
      </c>
      <c r="X602" s="0" t="s">
        <v>142</v>
      </c>
      <c r="Y602" s="0" t="s">
        <v>487</v>
      </c>
      <c r="AV602" s="68"/>
      <c r="AW602" s="68"/>
      <c r="AY602" s="27"/>
      <c r="BD602" s="68">
        <v>46054.1666666667</v>
      </c>
      <c r="BE602" s="68">
        <v>46082.1666666667</v>
      </c>
      <c r="BF602" s="0" t="b">
        <v>0</v>
      </c>
      <c r="BG602" s="0" t="b">
        <v>0</v>
      </c>
      <c r="BH602" s="0">
        <v>28</v>
      </c>
      <c r="BI602" s="0">
        <v>28</v>
      </c>
      <c r="BJ602" s="0" t="s">
        <v>135</v>
      </c>
    </row>
    <row r="603">
      <c r="A603" s="0" t="s">
        <v>793</v>
      </c>
      <c r="B603" s="0" t="s">
        <v>134</v>
      </c>
      <c r="C603" s="0" t="s">
        <v>134</v>
      </c>
      <c r="D603" s="0" t="s">
        <v>135</v>
      </c>
      <c r="E603" s="0" t="s">
        <v>3</v>
      </c>
      <c r="F603" s="0" t="s">
        <v>12</v>
      </c>
      <c r="G603" s="0" t="s">
        <v>7</v>
      </c>
      <c r="H603" s="0">
        <v>2756</v>
      </c>
      <c r="I603" s="0">
        <v>40</v>
      </c>
      <c r="J603" s="0">
        <v>0</v>
      </c>
      <c r="K603" s="0">
        <v>1</v>
      </c>
      <c r="L603" s="0">
        <v>1</v>
      </c>
      <c r="M603" s="0">
        <v>1</v>
      </c>
      <c r="N603" s="0">
        <v>0</v>
      </c>
      <c r="O603" s="0">
        <v>0</v>
      </c>
      <c r="P603" s="0">
        <v>0</v>
      </c>
      <c r="R603" s="0" t="b">
        <v>0</v>
      </c>
      <c r="S603" s="0" t="b">
        <v>1</v>
      </c>
      <c r="T603" s="68">
        <v>43297.7228472222</v>
      </c>
      <c r="U603" s="68">
        <v>43297.3333333333</v>
      </c>
      <c r="V603" s="68">
        <v>0</v>
      </c>
      <c r="W603" s="0">
        <f>IF(IF(B603="none",1,IF(B603="Trialer",1,0))+IF(C603="Customer",1,IF(C603="Lost",1,0))=2,1,0)</f>
      </c>
      <c r="X603" s="0" t="s">
        <v>145</v>
      </c>
      <c r="Y603" s="0" t="s">
        <v>243</v>
      </c>
      <c r="AV603" s="68"/>
      <c r="AW603" s="68"/>
      <c r="AY603" s="27"/>
      <c r="BD603" s="68">
        <v>46054.1666666667</v>
      </c>
      <c r="BE603" s="68">
        <v>46082.1666666667</v>
      </c>
      <c r="BF603" s="0" t="b">
        <v>0</v>
      </c>
      <c r="BG603" s="0" t="b">
        <v>0</v>
      </c>
      <c r="BH603" s="0">
        <v>40</v>
      </c>
      <c r="BI603" s="0">
        <v>40</v>
      </c>
      <c r="BJ603" s="0" t="s">
        <v>135</v>
      </c>
    </row>
    <row r="604">
      <c r="A604" s="0" t="s">
        <v>794</v>
      </c>
      <c r="B604" s="0" t="s">
        <v>134</v>
      </c>
      <c r="C604" s="0" t="s">
        <v>134</v>
      </c>
      <c r="D604" s="0" t="s">
        <v>135</v>
      </c>
      <c r="E604" s="0" t="s">
        <v>3</v>
      </c>
      <c r="F604" s="0" t="s">
        <v>12</v>
      </c>
      <c r="G604" s="0" t="s">
        <v>8</v>
      </c>
      <c r="H604" s="0">
        <v>2756</v>
      </c>
      <c r="I604" s="0">
        <v>73</v>
      </c>
      <c r="J604" s="0">
        <v>0</v>
      </c>
      <c r="K604" s="0">
        <v>1</v>
      </c>
      <c r="L604" s="0">
        <v>5</v>
      </c>
      <c r="M604" s="0">
        <v>1</v>
      </c>
      <c r="N604" s="0">
        <v>0</v>
      </c>
      <c r="O604" s="0">
        <v>0</v>
      </c>
      <c r="P604" s="0">
        <v>0</v>
      </c>
      <c r="R604" s="0" t="b">
        <v>0</v>
      </c>
      <c r="S604" s="0" t="b">
        <v>1</v>
      </c>
      <c r="T604" s="68">
        <v>43297.7619907407</v>
      </c>
      <c r="U604" s="68">
        <v>43328.5416666667</v>
      </c>
      <c r="V604" s="68">
        <v>0</v>
      </c>
      <c r="W604" s="0">
        <f>IF(IF(B604="none",1,IF(B604="Trialer",1,0))+IF(C604="Customer",1,IF(C604="Lost",1,0))=2,1,0)</f>
      </c>
      <c r="X604" s="0" t="s">
        <v>166</v>
      </c>
      <c r="Y604" s="0" t="s">
        <v>243</v>
      </c>
      <c r="AV604" s="68"/>
      <c r="AW604" s="68"/>
      <c r="AY604" s="27"/>
      <c r="BD604" s="68">
        <v>46054.1666666667</v>
      </c>
      <c r="BE604" s="68">
        <v>46082.1666666667</v>
      </c>
      <c r="BF604" s="0" t="b">
        <v>0</v>
      </c>
      <c r="BG604" s="0" t="b">
        <v>0</v>
      </c>
      <c r="BH604" s="0">
        <v>73</v>
      </c>
      <c r="BI604" s="0">
        <v>73</v>
      </c>
      <c r="BJ604" s="0" t="s">
        <v>135</v>
      </c>
    </row>
    <row r="605">
      <c r="A605" s="0" t="s">
        <v>795</v>
      </c>
      <c r="B605" s="0" t="s">
        <v>134</v>
      </c>
      <c r="C605" s="0" t="s">
        <v>134</v>
      </c>
      <c r="D605" s="0" t="s">
        <v>135</v>
      </c>
      <c r="E605" s="0" t="s">
        <v>3</v>
      </c>
      <c r="F605" s="0" t="s">
        <v>12</v>
      </c>
      <c r="G605" s="0" t="s">
        <v>8</v>
      </c>
      <c r="H605" s="0">
        <v>2754</v>
      </c>
      <c r="I605" s="0">
        <v>1064</v>
      </c>
      <c r="J605" s="0">
        <v>0</v>
      </c>
      <c r="K605" s="0">
        <v>1</v>
      </c>
      <c r="L605" s="0">
        <v>5</v>
      </c>
      <c r="M605" s="0">
        <v>17</v>
      </c>
      <c r="N605" s="0">
        <v>1102</v>
      </c>
      <c r="O605" s="0">
        <v>0</v>
      </c>
      <c r="P605" s="0">
        <v>0</v>
      </c>
      <c r="R605" s="0" t="b">
        <v>0</v>
      </c>
      <c r="S605" s="0" t="b">
        <v>1</v>
      </c>
      <c r="T605" s="68">
        <v>43299.5768634259</v>
      </c>
      <c r="U605" s="68">
        <v>43330.3333333333</v>
      </c>
      <c r="V605" s="68">
        <v>0</v>
      </c>
      <c r="W605" s="0">
        <f>IF(IF(B605="none",1,IF(B605="Trialer",1,0))+IF(C605="Customer",1,IF(C605="Lost",1,0))=2,1,0)</f>
      </c>
      <c r="X605" s="0" t="s">
        <v>148</v>
      </c>
      <c r="Y605" s="0" t="s">
        <v>243</v>
      </c>
      <c r="AV605" s="68"/>
      <c r="AW605" s="68"/>
      <c r="AY605" s="27"/>
      <c r="BD605" s="68">
        <v>46054.1666666667</v>
      </c>
      <c r="BE605" s="68">
        <v>46082.1666666667</v>
      </c>
      <c r="BF605" s="0" t="b">
        <v>0</v>
      </c>
      <c r="BG605" s="0" t="b">
        <v>0</v>
      </c>
      <c r="BH605" s="0">
        <v>1125</v>
      </c>
      <c r="BI605" s="0">
        <v>1125</v>
      </c>
      <c r="BJ605" s="0" t="s">
        <v>135</v>
      </c>
    </row>
    <row r="606">
      <c r="A606" s="0" t="s">
        <v>796</v>
      </c>
      <c r="B606" s="0" t="s">
        <v>134</v>
      </c>
      <c r="C606" s="0" t="s">
        <v>134</v>
      </c>
      <c r="D606" s="0" t="s">
        <v>230</v>
      </c>
      <c r="E606" s="0" t="s">
        <v>3</v>
      </c>
      <c r="F606" s="0" t="s">
        <v>12</v>
      </c>
      <c r="G606" s="0" t="s">
        <v>8</v>
      </c>
      <c r="H606" s="0">
        <v>2754</v>
      </c>
      <c r="I606" s="0">
        <v>152</v>
      </c>
      <c r="J606" s="0">
        <v>0</v>
      </c>
      <c r="K606" s="0">
        <v>1</v>
      </c>
      <c r="L606" s="0">
        <v>4</v>
      </c>
      <c r="M606" s="0">
        <v>3</v>
      </c>
      <c r="N606" s="0">
        <v>0</v>
      </c>
      <c r="O606" s="0">
        <v>0</v>
      </c>
      <c r="P606" s="0">
        <v>-152</v>
      </c>
      <c r="R606" s="0" t="b">
        <v>0</v>
      </c>
      <c r="S606" s="0" t="b">
        <v>1</v>
      </c>
      <c r="T606" s="68">
        <v>43299.6822222222</v>
      </c>
      <c r="U606" s="68">
        <v>43330.5416666667</v>
      </c>
      <c r="V606" s="68">
        <v>0</v>
      </c>
      <c r="W606" s="0">
        <f>IF(IF(B606="none",1,IF(B606="Trialer",1,0))+IF(C606="Customer",1,IF(C606="Lost",1,0))=2,1,0)</f>
      </c>
      <c r="X606" s="0" t="s">
        <v>142</v>
      </c>
      <c r="Y606" s="0" t="s">
        <v>243</v>
      </c>
      <c r="AV606" s="68"/>
      <c r="AW606" s="68"/>
      <c r="AY606" s="27"/>
      <c r="BD606" s="68">
        <v>46054.1666666667</v>
      </c>
      <c r="BE606" s="68">
        <v>46082.1666666667</v>
      </c>
      <c r="BF606" s="0" t="b">
        <v>0</v>
      </c>
      <c r="BG606" s="0" t="b">
        <v>0</v>
      </c>
      <c r="BH606" s="0">
        <v>171</v>
      </c>
      <c r="BI606" s="0">
        <v>171</v>
      </c>
      <c r="BJ606" s="0" t="s">
        <v>230</v>
      </c>
    </row>
    <row r="607">
      <c r="A607" s="0" t="s">
        <v>797</v>
      </c>
      <c r="B607" s="0" t="s">
        <v>134</v>
      </c>
      <c r="C607" s="0" t="s">
        <v>134</v>
      </c>
      <c r="D607" s="0" t="s">
        <v>135</v>
      </c>
      <c r="E607" s="0" t="s">
        <v>3</v>
      </c>
      <c r="F607" s="0" t="s">
        <v>12</v>
      </c>
      <c r="G607" s="0" t="s">
        <v>8</v>
      </c>
      <c r="H607" s="0">
        <v>2753</v>
      </c>
      <c r="I607" s="0">
        <v>28</v>
      </c>
      <c r="J607" s="0">
        <v>0</v>
      </c>
      <c r="K607" s="0">
        <v>1</v>
      </c>
      <c r="L607" s="0">
        <v>1</v>
      </c>
      <c r="M607" s="0">
        <v>1</v>
      </c>
      <c r="N607" s="0">
        <v>0</v>
      </c>
      <c r="O607" s="0">
        <v>0</v>
      </c>
      <c r="P607" s="0">
        <v>0</v>
      </c>
      <c r="R607" s="0" t="b">
        <v>0</v>
      </c>
      <c r="S607" s="0" t="b">
        <v>1</v>
      </c>
      <c r="T607" s="68">
        <v>43300.7097222222</v>
      </c>
      <c r="U607" s="68">
        <v>43331.3333333333</v>
      </c>
      <c r="V607" s="68">
        <v>0</v>
      </c>
      <c r="W607" s="0">
        <f>IF(IF(B607="none",1,IF(B607="Trialer",1,0))+IF(C607="Customer",1,IF(C607="Lost",1,0))=2,1,0)</f>
      </c>
      <c r="X607" s="0" t="s">
        <v>166</v>
      </c>
      <c r="Y607" s="0" t="s">
        <v>243</v>
      </c>
      <c r="AV607" s="68"/>
      <c r="AW607" s="68"/>
      <c r="AY607" s="27"/>
      <c r="BD607" s="68">
        <v>46054.1666666667</v>
      </c>
      <c r="BE607" s="68">
        <v>46082.1666666667</v>
      </c>
      <c r="BF607" s="0" t="b">
        <v>0</v>
      </c>
      <c r="BG607" s="0" t="b">
        <v>0</v>
      </c>
      <c r="BH607" s="0">
        <v>28</v>
      </c>
      <c r="BI607" s="0">
        <v>28</v>
      </c>
      <c r="BJ607" s="0" t="s">
        <v>135</v>
      </c>
    </row>
    <row r="608">
      <c r="A608" s="0" t="s">
        <v>798</v>
      </c>
      <c r="B608" s="0" t="s">
        <v>134</v>
      </c>
      <c r="C608" s="0" t="s">
        <v>134</v>
      </c>
      <c r="D608" s="0" t="s">
        <v>135</v>
      </c>
      <c r="E608" s="0" t="s">
        <v>3</v>
      </c>
      <c r="F608" s="0" t="s">
        <v>12</v>
      </c>
      <c r="G608" s="0" t="s">
        <v>8</v>
      </c>
      <c r="H608" s="0">
        <v>2750</v>
      </c>
      <c r="I608" s="0">
        <v>187</v>
      </c>
      <c r="J608" s="0">
        <v>0</v>
      </c>
      <c r="K608" s="0">
        <v>1</v>
      </c>
      <c r="L608" s="0">
        <v>3</v>
      </c>
      <c r="M608" s="0">
        <v>4</v>
      </c>
      <c r="N608" s="0">
        <v>0</v>
      </c>
      <c r="O608" s="0">
        <v>0</v>
      </c>
      <c r="P608" s="0">
        <v>0</v>
      </c>
      <c r="R608" s="0" t="b">
        <v>0</v>
      </c>
      <c r="S608" s="0" t="b">
        <v>1</v>
      </c>
      <c r="T608" s="68">
        <v>43303.8824884259</v>
      </c>
      <c r="U608" s="68">
        <v>43336.5416666667</v>
      </c>
      <c r="V608" s="68">
        <v>0</v>
      </c>
      <c r="W608" s="0">
        <f>IF(IF(B608="none",1,IF(B608="Trialer",1,0))+IF(C608="Customer",1,IF(C608="Lost",1,0))=2,1,0)</f>
      </c>
      <c r="X608" s="0" t="s">
        <v>136</v>
      </c>
      <c r="Y608" s="0" t="s">
        <v>499</v>
      </c>
      <c r="AV608" s="68"/>
      <c r="AW608" s="68"/>
      <c r="AY608" s="27"/>
      <c r="BD608" s="68">
        <v>46054.1666666667</v>
      </c>
      <c r="BE608" s="68">
        <v>46082.1666666667</v>
      </c>
      <c r="BF608" s="0" t="b">
        <v>0</v>
      </c>
      <c r="BG608" s="0" t="b">
        <v>0</v>
      </c>
      <c r="BH608" s="0">
        <v>187</v>
      </c>
      <c r="BI608" s="0">
        <v>187</v>
      </c>
      <c r="BJ608" s="0" t="s">
        <v>135</v>
      </c>
    </row>
    <row r="609">
      <c r="A609" s="0" t="s">
        <v>799</v>
      </c>
      <c r="B609" s="0" t="s">
        <v>134</v>
      </c>
      <c r="C609" s="0" t="s">
        <v>134</v>
      </c>
      <c r="D609" s="0" t="s">
        <v>135</v>
      </c>
      <c r="E609" s="0" t="s">
        <v>3</v>
      </c>
      <c r="F609" s="0" t="s">
        <v>12</v>
      </c>
      <c r="G609" s="0" t="s">
        <v>8</v>
      </c>
      <c r="H609" s="0">
        <v>2747</v>
      </c>
      <c r="I609" s="0">
        <v>28</v>
      </c>
      <c r="J609" s="0">
        <v>0</v>
      </c>
      <c r="K609" s="0">
        <v>1</v>
      </c>
      <c r="L609" s="0">
        <v>1</v>
      </c>
      <c r="M609" s="0">
        <v>1</v>
      </c>
      <c r="N609" s="0">
        <v>0</v>
      </c>
      <c r="O609" s="0">
        <v>0</v>
      </c>
      <c r="P609" s="0">
        <v>0</v>
      </c>
      <c r="R609" s="0" t="b">
        <v>0</v>
      </c>
      <c r="S609" s="0" t="b">
        <v>1</v>
      </c>
      <c r="T609" s="68">
        <v>43306.4772222222</v>
      </c>
      <c r="U609" s="68">
        <v>43337.5416666667</v>
      </c>
      <c r="V609" s="68">
        <v>0</v>
      </c>
      <c r="W609" s="0">
        <f>IF(IF(B609="none",1,IF(B609="Trialer",1,0))+IF(C609="Customer",1,IF(C609="Lost",1,0))=2,1,0)</f>
      </c>
      <c r="X609" s="0" t="s">
        <v>166</v>
      </c>
      <c r="Y609" s="0" t="s">
        <v>243</v>
      </c>
      <c r="AV609" s="68"/>
      <c r="AW609" s="68"/>
      <c r="AY609" s="27"/>
      <c r="BD609" s="68">
        <v>46054.1666666667</v>
      </c>
      <c r="BE609" s="68">
        <v>46082.1666666667</v>
      </c>
      <c r="BF609" s="0" t="b">
        <v>0</v>
      </c>
      <c r="BG609" s="0" t="b">
        <v>0</v>
      </c>
      <c r="BH609" s="0">
        <v>28</v>
      </c>
      <c r="BI609" s="0">
        <v>28</v>
      </c>
      <c r="BJ609" s="0" t="s">
        <v>135</v>
      </c>
    </row>
    <row r="610">
      <c r="A610" s="0" t="s">
        <v>800</v>
      </c>
      <c r="B610" s="0" t="s">
        <v>134</v>
      </c>
      <c r="C610" s="0" t="s">
        <v>134</v>
      </c>
      <c r="D610" s="0" t="s">
        <v>135</v>
      </c>
      <c r="E610" s="0" t="s">
        <v>3</v>
      </c>
      <c r="F610" s="0" t="s">
        <v>12</v>
      </c>
      <c r="G610" s="0" t="s">
        <v>8</v>
      </c>
      <c r="H610" s="0">
        <v>2747</v>
      </c>
      <c r="I610" s="0">
        <v>0</v>
      </c>
      <c r="J610" s="0">
        <v>0</v>
      </c>
      <c r="K610" s="0">
        <v>1</v>
      </c>
      <c r="L610" s="0">
        <v>3</v>
      </c>
      <c r="M610" s="0">
        <v>1</v>
      </c>
      <c r="N610" s="0">
        <v>0</v>
      </c>
      <c r="O610" s="0">
        <v>0</v>
      </c>
      <c r="P610" s="0">
        <v>0</v>
      </c>
      <c r="R610" s="0" t="b">
        <v>0</v>
      </c>
      <c r="S610" s="0" t="b">
        <v>1</v>
      </c>
      <c r="T610" s="68">
        <v>43306.71</v>
      </c>
      <c r="U610" s="68">
        <v>43347.5416666667</v>
      </c>
      <c r="V610" s="68">
        <v>0</v>
      </c>
      <c r="W610" s="0">
        <f>IF(IF(B610="none",1,IF(B610="Trialer",1,0))+IF(C610="Customer",1,IF(C610="Lost",1,0))=2,1,0)</f>
      </c>
      <c r="X610" s="0" t="s">
        <v>136</v>
      </c>
      <c r="Y610" s="0" t="s">
        <v>243</v>
      </c>
      <c r="AV610" s="68"/>
      <c r="AW610" s="68"/>
      <c r="AY610" s="27"/>
      <c r="BD610" s="68">
        <v>46054.1666666667</v>
      </c>
      <c r="BE610" s="68">
        <v>46082.1666666667</v>
      </c>
      <c r="BF610" s="0" t="b">
        <v>0</v>
      </c>
      <c r="BG610" s="0" t="b">
        <v>0</v>
      </c>
      <c r="BH610" s="0">
        <v>0</v>
      </c>
      <c r="BI610" s="0">
        <v>0</v>
      </c>
      <c r="BJ610" s="0" t="s">
        <v>135</v>
      </c>
    </row>
    <row r="611">
      <c r="A611" s="0" t="s">
        <v>801</v>
      </c>
      <c r="B611" s="0" t="s">
        <v>134</v>
      </c>
      <c r="C611" s="0" t="s">
        <v>134</v>
      </c>
      <c r="D611" s="0" t="s">
        <v>135</v>
      </c>
      <c r="E611" s="0" t="s">
        <v>2</v>
      </c>
      <c r="F611" s="0" t="s">
        <v>12</v>
      </c>
      <c r="G611" s="0" t="s">
        <v>8</v>
      </c>
      <c r="H611" s="0">
        <v>2746</v>
      </c>
      <c r="I611" s="0">
        <v>263</v>
      </c>
      <c r="J611" s="0">
        <v>0</v>
      </c>
      <c r="K611" s="0">
        <v>1</v>
      </c>
      <c r="L611" s="0">
        <v>4</v>
      </c>
      <c r="M611" s="0">
        <v>5</v>
      </c>
      <c r="N611" s="0">
        <v>0</v>
      </c>
      <c r="O611" s="0">
        <v>0</v>
      </c>
      <c r="P611" s="0">
        <v>0</v>
      </c>
      <c r="R611" s="0" t="b">
        <v>0</v>
      </c>
      <c r="S611" s="0" t="b">
        <v>1</v>
      </c>
      <c r="T611" s="68">
        <v>43307.8696759259</v>
      </c>
      <c r="U611" s="68">
        <v>43338.5416666667</v>
      </c>
      <c r="V611" s="68">
        <v>0</v>
      </c>
      <c r="W611" s="0">
        <f>IF(IF(B611="none",1,IF(B611="Trialer",1,0))+IF(C611="Customer",1,IF(C611="Lost",1,0))=2,1,0)</f>
      </c>
      <c r="X611" s="0" t="s">
        <v>136</v>
      </c>
      <c r="Y611" s="0" t="s">
        <v>499</v>
      </c>
      <c r="AV611" s="68"/>
      <c r="AW611" s="68"/>
      <c r="AY611" s="27"/>
      <c r="BD611" s="68">
        <v>46054.1666666667</v>
      </c>
      <c r="BE611" s="68">
        <v>46082.1666666667</v>
      </c>
      <c r="BF611" s="0" t="b">
        <v>0</v>
      </c>
      <c r="BG611" s="0" t="b">
        <v>0</v>
      </c>
      <c r="BH611" s="0">
        <v>263</v>
      </c>
      <c r="BI611" s="0">
        <v>263</v>
      </c>
      <c r="BJ611" s="0" t="s">
        <v>135</v>
      </c>
    </row>
    <row r="612">
      <c r="A612" s="0" t="s">
        <v>802</v>
      </c>
      <c r="B612" s="0" t="s">
        <v>134</v>
      </c>
      <c r="C612" s="0" t="s">
        <v>134</v>
      </c>
      <c r="D612" s="0" t="s">
        <v>135</v>
      </c>
      <c r="E612" s="0" t="s">
        <v>2</v>
      </c>
      <c r="F612" s="0" t="s">
        <v>10</v>
      </c>
      <c r="G612" s="0" t="s">
        <v>8</v>
      </c>
      <c r="H612" s="0">
        <v>2745</v>
      </c>
      <c r="I612" s="0">
        <v>720</v>
      </c>
      <c r="J612" s="0">
        <v>0</v>
      </c>
      <c r="K612" s="0">
        <v>1</v>
      </c>
      <c r="L612" s="0">
        <v>3</v>
      </c>
      <c r="M612" s="0">
        <v>21</v>
      </c>
      <c r="N612" s="0">
        <v>0</v>
      </c>
      <c r="O612" s="0">
        <v>0</v>
      </c>
      <c r="P612" s="0">
        <v>0</v>
      </c>
      <c r="Q612" s="0" t="s">
        <v>294</v>
      </c>
      <c r="R612" s="0" t="b">
        <v>0</v>
      </c>
      <c r="S612" s="0" t="b">
        <v>1</v>
      </c>
      <c r="T612" s="68">
        <v>43308.5770833333</v>
      </c>
      <c r="U612" s="68">
        <v>43339.5416666667</v>
      </c>
      <c r="V612" s="68">
        <v>0</v>
      </c>
      <c r="W612" s="0">
        <f>IF(IF(B612="none",1,IF(B612="Trialer",1,0))+IF(C612="Customer",1,IF(C612="Lost",1,0))=2,1,0)</f>
      </c>
      <c r="X612" s="0" t="s">
        <v>148</v>
      </c>
      <c r="Y612" s="0" t="s">
        <v>499</v>
      </c>
      <c r="AV612" s="68"/>
      <c r="AW612" s="68"/>
      <c r="AY612" s="27"/>
      <c r="BD612" s="68">
        <v>46054.1666666667</v>
      </c>
      <c r="BE612" s="68">
        <v>46082.1666666667</v>
      </c>
      <c r="BF612" s="0" t="b">
        <v>0</v>
      </c>
      <c r="BG612" s="0" t="b">
        <v>0</v>
      </c>
      <c r="BH612" s="0">
        <v>720</v>
      </c>
      <c r="BI612" s="0">
        <v>720</v>
      </c>
      <c r="BJ612" s="0" t="s">
        <v>135</v>
      </c>
    </row>
    <row r="613">
      <c r="A613" s="0" t="s">
        <v>803</v>
      </c>
      <c r="B613" s="0" t="s">
        <v>134</v>
      </c>
      <c r="C613" s="0" t="s">
        <v>134</v>
      </c>
      <c r="D613" s="0" t="s">
        <v>135</v>
      </c>
      <c r="E613" s="0" t="s">
        <v>3</v>
      </c>
      <c r="F613" s="0" t="s">
        <v>10</v>
      </c>
      <c r="G613" s="0" t="s">
        <v>8</v>
      </c>
      <c r="H613" s="0">
        <v>2743</v>
      </c>
      <c r="I613" s="0">
        <v>56</v>
      </c>
      <c r="J613" s="0">
        <v>0</v>
      </c>
      <c r="K613" s="0">
        <v>1</v>
      </c>
      <c r="L613" s="0">
        <v>1</v>
      </c>
      <c r="M613" s="0">
        <v>2</v>
      </c>
      <c r="N613" s="0">
        <v>0</v>
      </c>
      <c r="O613" s="0">
        <v>0</v>
      </c>
      <c r="P613" s="0">
        <v>0</v>
      </c>
      <c r="Q613" s="0" t="s">
        <v>618</v>
      </c>
      <c r="R613" s="0" t="b">
        <v>0</v>
      </c>
      <c r="S613" s="0" t="b">
        <v>1</v>
      </c>
      <c r="T613" s="68">
        <v>43310.7180555556</v>
      </c>
      <c r="U613" s="68">
        <v>43341.5</v>
      </c>
      <c r="V613" s="68">
        <v>0</v>
      </c>
      <c r="W613" s="0">
        <f>IF(IF(B613="none",1,IF(B613="Trialer",1,0))+IF(C613="Customer",1,IF(C613="Lost",1,0))=2,1,0)</f>
      </c>
      <c r="X613" s="0" t="s">
        <v>148</v>
      </c>
      <c r="Y613" s="0" t="s">
        <v>243</v>
      </c>
      <c r="AV613" s="68"/>
      <c r="AW613" s="68"/>
      <c r="AY613" s="27"/>
      <c r="BD613" s="68">
        <v>46054.1666666667</v>
      </c>
      <c r="BE613" s="68">
        <v>46082.1666666667</v>
      </c>
      <c r="BF613" s="0" t="b">
        <v>0</v>
      </c>
      <c r="BG613" s="0" t="b">
        <v>0</v>
      </c>
      <c r="BH613" s="0">
        <v>56</v>
      </c>
      <c r="BI613" s="0">
        <v>56</v>
      </c>
      <c r="BJ613" s="0" t="s">
        <v>135</v>
      </c>
    </row>
    <row r="614">
      <c r="A614" s="0" t="s">
        <v>804</v>
      </c>
      <c r="B614" s="0" t="s">
        <v>134</v>
      </c>
      <c r="C614" s="0" t="s">
        <v>134</v>
      </c>
      <c r="D614" s="0" t="s">
        <v>135</v>
      </c>
      <c r="E614" s="0" t="s">
        <v>3</v>
      </c>
      <c r="F614" s="0" t="s">
        <v>12</v>
      </c>
      <c r="G614" s="0" t="s">
        <v>7</v>
      </c>
      <c r="H614" s="0">
        <v>2742</v>
      </c>
      <c r="I614" s="0">
        <v>40</v>
      </c>
      <c r="J614" s="0">
        <v>0</v>
      </c>
      <c r="K614" s="0">
        <v>1</v>
      </c>
      <c r="L614" s="0">
        <v>1</v>
      </c>
      <c r="M614" s="0">
        <v>1</v>
      </c>
      <c r="N614" s="0">
        <v>0</v>
      </c>
      <c r="O614" s="0">
        <v>0</v>
      </c>
      <c r="P614" s="0">
        <v>0</v>
      </c>
      <c r="R614" s="0" t="b">
        <v>0</v>
      </c>
      <c r="S614" s="0" t="b">
        <v>1</v>
      </c>
      <c r="T614" s="68">
        <v>43311.5</v>
      </c>
      <c r="U614" s="68">
        <v>43311.5416666667</v>
      </c>
      <c r="V614" s="68">
        <v>0</v>
      </c>
      <c r="W614" s="0">
        <f>IF(IF(B614="none",1,IF(B614="Trialer",1,0))+IF(C614="Customer",1,IF(C614="Lost",1,0))=2,1,0)</f>
      </c>
      <c r="X614" s="0" t="s">
        <v>136</v>
      </c>
      <c r="Y614" s="0" t="s">
        <v>213</v>
      </c>
      <c r="AV614" s="68"/>
      <c r="AW614" s="68"/>
      <c r="AY614" s="27"/>
      <c r="BD614" s="68">
        <v>46054.1666666667</v>
      </c>
      <c r="BE614" s="68">
        <v>46082.1666666667</v>
      </c>
      <c r="BF614" s="0" t="b">
        <v>0</v>
      </c>
      <c r="BG614" s="0" t="b">
        <v>0</v>
      </c>
      <c r="BH614" s="0">
        <v>40</v>
      </c>
      <c r="BI614" s="0">
        <v>40</v>
      </c>
      <c r="BJ614" s="0" t="s">
        <v>135</v>
      </c>
    </row>
    <row r="615">
      <c r="A615" s="0" t="s">
        <v>805</v>
      </c>
      <c r="B615" s="0" t="s">
        <v>134</v>
      </c>
      <c r="C615" s="0" t="s">
        <v>134</v>
      </c>
      <c r="D615" s="0" t="s">
        <v>135</v>
      </c>
      <c r="E615" s="0" t="s">
        <v>3</v>
      </c>
      <c r="F615" s="0" t="s">
        <v>12</v>
      </c>
      <c r="G615" s="0" t="s">
        <v>8</v>
      </c>
      <c r="H615" s="0">
        <v>2739</v>
      </c>
      <c r="I615" s="0">
        <v>0</v>
      </c>
      <c r="J615" s="0">
        <v>0</v>
      </c>
      <c r="K615" s="0">
        <v>1</v>
      </c>
      <c r="L615" s="0">
        <v>5</v>
      </c>
      <c r="M615" s="0">
        <v>1</v>
      </c>
      <c r="N615" s="0">
        <v>0</v>
      </c>
      <c r="O615" s="0">
        <v>0</v>
      </c>
      <c r="P615" s="0">
        <v>0</v>
      </c>
      <c r="R615" s="0" t="b">
        <v>0</v>
      </c>
      <c r="S615" s="0" t="b">
        <v>1</v>
      </c>
      <c r="T615" s="68">
        <v>43314.6027777778</v>
      </c>
      <c r="U615" s="68">
        <v>43367.5416666667</v>
      </c>
      <c r="V615" s="68">
        <v>0</v>
      </c>
      <c r="W615" s="0">
        <f>IF(IF(B615="none",1,IF(B615="Trialer",1,0))+IF(C615="Customer",1,IF(C615="Lost",1,0))=2,1,0)</f>
      </c>
      <c r="X615" s="0" t="s">
        <v>148</v>
      </c>
      <c r="Y615" s="0" t="s">
        <v>243</v>
      </c>
      <c r="AV615" s="68"/>
      <c r="AW615" s="68"/>
      <c r="AY615" s="27"/>
      <c r="BD615" s="68">
        <v>46054.1666666667</v>
      </c>
      <c r="BE615" s="68">
        <v>46082.1666666667</v>
      </c>
      <c r="BF615" s="0" t="b">
        <v>0</v>
      </c>
      <c r="BG615" s="0" t="b">
        <v>0</v>
      </c>
      <c r="BH615" s="0">
        <v>0</v>
      </c>
      <c r="BI615" s="0">
        <v>0</v>
      </c>
      <c r="BJ615" s="0" t="s">
        <v>135</v>
      </c>
    </row>
    <row r="616">
      <c r="A616" s="0" t="s">
        <v>806</v>
      </c>
      <c r="B616" s="0" t="s">
        <v>134</v>
      </c>
      <c r="C616" s="0" t="s">
        <v>134</v>
      </c>
      <c r="D616" s="0" t="s">
        <v>135</v>
      </c>
      <c r="E616" s="0" t="s">
        <v>3</v>
      </c>
      <c r="F616" s="0" t="s">
        <v>12</v>
      </c>
      <c r="G616" s="0" t="s">
        <v>8</v>
      </c>
      <c r="H616" s="0">
        <v>2734</v>
      </c>
      <c r="I616" s="0">
        <v>56</v>
      </c>
      <c r="J616" s="0">
        <v>0</v>
      </c>
      <c r="K616" s="0">
        <v>1</v>
      </c>
      <c r="L616" s="0">
        <v>1</v>
      </c>
      <c r="M616" s="0">
        <v>2</v>
      </c>
      <c r="N616" s="0">
        <v>0</v>
      </c>
      <c r="O616" s="0">
        <v>0</v>
      </c>
      <c r="P616" s="0">
        <v>0</v>
      </c>
      <c r="R616" s="0" t="b">
        <v>0</v>
      </c>
      <c r="S616" s="0" t="b">
        <v>1</v>
      </c>
      <c r="T616" s="68">
        <v>43319.5083333333</v>
      </c>
      <c r="U616" s="68">
        <v>43350.5</v>
      </c>
      <c r="V616" s="68">
        <v>0</v>
      </c>
      <c r="W616" s="0">
        <f>IF(IF(B616="none",1,IF(B616="Trialer",1,0))+IF(C616="Customer",1,IF(C616="Lost",1,0))=2,1,0)</f>
      </c>
      <c r="X616" s="0" t="s">
        <v>166</v>
      </c>
      <c r="Y616" s="0" t="s">
        <v>243</v>
      </c>
      <c r="AV616" s="68"/>
      <c r="AW616" s="68"/>
      <c r="AY616" s="27"/>
      <c r="BD616" s="68">
        <v>46054.1666666667</v>
      </c>
      <c r="BE616" s="68">
        <v>46082.1666666667</v>
      </c>
      <c r="BF616" s="0" t="b">
        <v>0</v>
      </c>
      <c r="BG616" s="0" t="b">
        <v>0</v>
      </c>
      <c r="BH616" s="0">
        <v>56</v>
      </c>
      <c r="BI616" s="0">
        <v>56</v>
      </c>
      <c r="BJ616" s="0" t="s">
        <v>135</v>
      </c>
    </row>
    <row r="617">
      <c r="A617" s="0" t="s">
        <v>807</v>
      </c>
      <c r="B617" s="0" t="s">
        <v>134</v>
      </c>
      <c r="C617" s="0" t="s">
        <v>134</v>
      </c>
      <c r="D617" s="0" t="s">
        <v>135</v>
      </c>
      <c r="E617" s="0" t="s">
        <v>3</v>
      </c>
      <c r="F617" s="0" t="s">
        <v>12</v>
      </c>
      <c r="G617" s="0" t="s">
        <v>8</v>
      </c>
      <c r="H617" s="0">
        <v>2733</v>
      </c>
      <c r="I617" s="0">
        <v>0</v>
      </c>
      <c r="J617" s="0">
        <v>0</v>
      </c>
      <c r="K617" s="0">
        <v>1</v>
      </c>
      <c r="L617" s="0">
        <v>3</v>
      </c>
      <c r="M617" s="0">
        <v>1</v>
      </c>
      <c r="N617" s="0">
        <v>0</v>
      </c>
      <c r="O617" s="0">
        <v>0</v>
      </c>
      <c r="P617" s="0">
        <v>0</v>
      </c>
      <c r="R617" s="0" t="b">
        <v>0</v>
      </c>
      <c r="S617" s="0" t="b">
        <v>1</v>
      </c>
      <c r="T617" s="68">
        <v>43320.425</v>
      </c>
      <c r="U617" s="68">
        <v>43351.5416666667</v>
      </c>
      <c r="V617" s="68">
        <v>0</v>
      </c>
      <c r="W617" s="0">
        <f>IF(IF(B617="none",1,IF(B617="Trialer",1,0))+IF(C617="Customer",1,IF(C617="Lost",1,0))=2,1,0)</f>
      </c>
      <c r="X617" s="0" t="s">
        <v>148</v>
      </c>
      <c r="Y617" s="0" t="s">
        <v>243</v>
      </c>
      <c r="AV617" s="68"/>
      <c r="AW617" s="68"/>
      <c r="AY617" s="27"/>
      <c r="BD617" s="68">
        <v>46054.1666666667</v>
      </c>
      <c r="BE617" s="68">
        <v>46082.1666666667</v>
      </c>
      <c r="BF617" s="0" t="b">
        <v>0</v>
      </c>
      <c r="BG617" s="0" t="b">
        <v>0</v>
      </c>
      <c r="BH617" s="0">
        <v>0</v>
      </c>
      <c r="BI617" s="0">
        <v>0</v>
      </c>
      <c r="BJ617" s="0" t="s">
        <v>135</v>
      </c>
    </row>
    <row r="618">
      <c r="A618" s="0" t="s">
        <v>808</v>
      </c>
      <c r="B618" s="0" t="s">
        <v>134</v>
      </c>
      <c r="C618" s="0" t="s">
        <v>134</v>
      </c>
      <c r="D618" s="0" t="s">
        <v>135</v>
      </c>
      <c r="E618" s="0" t="s">
        <v>3</v>
      </c>
      <c r="F618" s="0" t="s">
        <v>12</v>
      </c>
      <c r="G618" s="0" t="s">
        <v>8</v>
      </c>
      <c r="H618" s="0">
        <v>2733</v>
      </c>
      <c r="I618" s="0">
        <v>0</v>
      </c>
      <c r="J618" s="0">
        <v>0</v>
      </c>
      <c r="K618" s="0">
        <v>1</v>
      </c>
      <c r="L618" s="0">
        <v>3</v>
      </c>
      <c r="M618" s="0">
        <v>1</v>
      </c>
      <c r="N618" s="0">
        <v>0</v>
      </c>
      <c r="O618" s="0">
        <v>0</v>
      </c>
      <c r="P618" s="0">
        <v>0</v>
      </c>
      <c r="R618" s="0" t="b">
        <v>0</v>
      </c>
      <c r="S618" s="0" t="b">
        <v>1</v>
      </c>
      <c r="T618" s="68">
        <v>43320.5270833333</v>
      </c>
      <c r="U618" s="68">
        <v>43351.5416666667</v>
      </c>
      <c r="V618" s="68">
        <v>0</v>
      </c>
      <c r="W618" s="0">
        <f>IF(IF(B618="none",1,IF(B618="Trialer",1,0))+IF(C618="Customer",1,IF(C618="Lost",1,0))=2,1,0)</f>
      </c>
      <c r="X618" s="0" t="s">
        <v>148</v>
      </c>
      <c r="Y618" s="0" t="s">
        <v>243</v>
      </c>
      <c r="AV618" s="68"/>
      <c r="AW618" s="68"/>
      <c r="AY618" s="27"/>
      <c r="BD618" s="68">
        <v>46054.1666666667</v>
      </c>
      <c r="BE618" s="68">
        <v>46082.1666666667</v>
      </c>
      <c r="BF618" s="0" t="b">
        <v>0</v>
      </c>
      <c r="BG618" s="0" t="b">
        <v>0</v>
      </c>
      <c r="BH618" s="0">
        <v>0</v>
      </c>
      <c r="BI618" s="0">
        <v>0</v>
      </c>
      <c r="BJ618" s="0" t="s">
        <v>135</v>
      </c>
    </row>
    <row r="619">
      <c r="A619" s="0" t="s">
        <v>809</v>
      </c>
      <c r="B619" s="0" t="s">
        <v>134</v>
      </c>
      <c r="C619" s="0" t="s">
        <v>134</v>
      </c>
      <c r="D619" s="0" t="s">
        <v>135</v>
      </c>
      <c r="E619" s="0" t="s">
        <v>3</v>
      </c>
      <c r="F619" s="0" t="s">
        <v>12</v>
      </c>
      <c r="G619" s="0" t="s">
        <v>8</v>
      </c>
      <c r="H619" s="0">
        <v>2732</v>
      </c>
      <c r="I619" s="0">
        <v>98</v>
      </c>
      <c r="J619" s="0">
        <v>0</v>
      </c>
      <c r="K619" s="0">
        <v>1</v>
      </c>
      <c r="L619" s="0">
        <v>3</v>
      </c>
      <c r="M619" s="0">
        <v>2</v>
      </c>
      <c r="N619" s="0">
        <v>0</v>
      </c>
      <c r="O619" s="0">
        <v>0</v>
      </c>
      <c r="P619" s="0">
        <v>0</v>
      </c>
      <c r="R619" s="0" t="b">
        <v>0</v>
      </c>
      <c r="S619" s="0" t="b">
        <v>1</v>
      </c>
      <c r="T619" s="68">
        <v>43321.6319328704</v>
      </c>
      <c r="U619" s="68">
        <v>43352.5416666667</v>
      </c>
      <c r="V619" s="68">
        <v>0</v>
      </c>
      <c r="W619" s="0">
        <f>IF(IF(B619="none",1,IF(B619="Trialer",1,0))+IF(C619="Customer",1,IF(C619="Lost",1,0))=2,1,0)</f>
      </c>
      <c r="X619" s="0" t="s">
        <v>142</v>
      </c>
      <c r="Y619" s="0" t="s">
        <v>243</v>
      </c>
      <c r="AV619" s="68"/>
      <c r="AW619" s="68"/>
      <c r="AY619" s="27"/>
      <c r="BD619" s="68">
        <v>46054.1666666667</v>
      </c>
      <c r="BE619" s="68">
        <v>46082.1666666667</v>
      </c>
      <c r="BF619" s="0" t="b">
        <v>0</v>
      </c>
      <c r="BG619" s="0" t="b">
        <v>0</v>
      </c>
      <c r="BH619" s="0">
        <v>98</v>
      </c>
      <c r="BI619" s="0">
        <v>98</v>
      </c>
      <c r="BJ619" s="0" t="s">
        <v>135</v>
      </c>
    </row>
    <row r="620">
      <c r="A620" s="0" t="s">
        <v>810</v>
      </c>
      <c r="B620" s="0" t="s">
        <v>134</v>
      </c>
      <c r="C620" s="0" t="s">
        <v>134</v>
      </c>
      <c r="D620" s="0" t="s">
        <v>135</v>
      </c>
      <c r="E620" s="0" t="s">
        <v>2</v>
      </c>
      <c r="F620" s="0" t="s">
        <v>12</v>
      </c>
      <c r="G620" s="0" t="s">
        <v>8</v>
      </c>
      <c r="H620" s="0">
        <v>2731</v>
      </c>
      <c r="I620" s="0">
        <v>374</v>
      </c>
      <c r="J620" s="0">
        <v>0</v>
      </c>
      <c r="K620" s="0">
        <v>1</v>
      </c>
      <c r="L620" s="0">
        <v>3</v>
      </c>
      <c r="M620" s="0">
        <v>8</v>
      </c>
      <c r="N620" s="0">
        <v>0</v>
      </c>
      <c r="O620" s="0">
        <v>0</v>
      </c>
      <c r="P620" s="0">
        <v>0</v>
      </c>
      <c r="R620" s="0" t="b">
        <v>0</v>
      </c>
      <c r="S620" s="0" t="b">
        <v>1</v>
      </c>
      <c r="T620" s="68">
        <v>43322.7364351852</v>
      </c>
      <c r="U620" s="68">
        <v>43353.3333333333</v>
      </c>
      <c r="V620" s="68">
        <v>0</v>
      </c>
      <c r="W620" s="0">
        <f>IF(IF(B620="none",1,IF(B620="Trialer",1,0))+IF(C620="Customer",1,IF(C620="Lost",1,0))=2,1,0)</f>
      </c>
      <c r="X620" s="0" t="s">
        <v>148</v>
      </c>
      <c r="Y620" s="0" t="s">
        <v>499</v>
      </c>
      <c r="AV620" s="68"/>
      <c r="AW620" s="68"/>
      <c r="AY620" s="27"/>
      <c r="BD620" s="68">
        <v>46054.1666666667</v>
      </c>
      <c r="BE620" s="68">
        <v>46082.1666666667</v>
      </c>
      <c r="BF620" s="0" t="b">
        <v>0</v>
      </c>
      <c r="BG620" s="0" t="b">
        <v>0</v>
      </c>
      <c r="BH620" s="0">
        <v>374</v>
      </c>
      <c r="BI620" s="0">
        <v>374</v>
      </c>
      <c r="BJ620" s="0" t="s">
        <v>135</v>
      </c>
    </row>
    <row r="621">
      <c r="A621" s="0" t="s">
        <v>811</v>
      </c>
      <c r="B621" s="0" t="s">
        <v>134</v>
      </c>
      <c r="C621" s="0" t="s">
        <v>134</v>
      </c>
      <c r="D621" s="0" t="s">
        <v>135</v>
      </c>
      <c r="E621" s="0" t="s">
        <v>3</v>
      </c>
      <c r="F621" s="0" t="s">
        <v>12</v>
      </c>
      <c r="G621" s="0" t="s">
        <v>8</v>
      </c>
      <c r="H621" s="0">
        <v>2728</v>
      </c>
      <c r="I621" s="0">
        <v>257</v>
      </c>
      <c r="J621" s="0">
        <v>0</v>
      </c>
      <c r="K621" s="0">
        <v>1</v>
      </c>
      <c r="L621" s="0">
        <v>4</v>
      </c>
      <c r="M621" s="0">
        <v>5</v>
      </c>
      <c r="N621" s="0">
        <v>0</v>
      </c>
      <c r="O621" s="0">
        <v>0</v>
      </c>
      <c r="P621" s="0">
        <v>0</v>
      </c>
      <c r="R621" s="0" t="b">
        <v>0</v>
      </c>
      <c r="S621" s="0" t="b">
        <v>1</v>
      </c>
      <c r="T621" s="68">
        <v>43325.9730208333</v>
      </c>
      <c r="U621" s="68">
        <v>43356.3333333333</v>
      </c>
      <c r="V621" s="68">
        <v>0</v>
      </c>
      <c r="W621" s="0">
        <f>IF(IF(B621="none",1,IF(B621="Trialer",1,0))+IF(C621="Customer",1,IF(C621="Lost",1,0))=2,1,0)</f>
      </c>
      <c r="X621" s="0" t="s">
        <v>148</v>
      </c>
      <c r="Y621" s="0" t="s">
        <v>243</v>
      </c>
      <c r="AV621" s="68"/>
      <c r="AW621" s="68"/>
      <c r="AY621" s="27"/>
      <c r="BD621" s="68">
        <v>46054.1666666667</v>
      </c>
      <c r="BE621" s="68">
        <v>46082.1666666667</v>
      </c>
      <c r="BF621" s="0" t="b">
        <v>0</v>
      </c>
      <c r="BG621" s="0" t="b">
        <v>0</v>
      </c>
      <c r="BH621" s="0">
        <v>208</v>
      </c>
      <c r="BI621" s="0">
        <v>208</v>
      </c>
      <c r="BJ621" s="0" t="s">
        <v>135</v>
      </c>
    </row>
    <row r="622">
      <c r="A622" s="0" t="s">
        <v>812</v>
      </c>
      <c r="B622" s="0" t="s">
        <v>134</v>
      </c>
      <c r="C622" s="0" t="s">
        <v>134</v>
      </c>
      <c r="D622" s="0" t="s">
        <v>135</v>
      </c>
      <c r="E622" s="0" t="s">
        <v>3</v>
      </c>
      <c r="F622" s="0" t="s">
        <v>12</v>
      </c>
      <c r="G622" s="0" t="s">
        <v>8</v>
      </c>
      <c r="H622" s="0">
        <v>2726</v>
      </c>
      <c r="I622" s="0">
        <v>6148.93</v>
      </c>
      <c r="J622" s="0">
        <v>0</v>
      </c>
      <c r="K622" s="0">
        <v>2</v>
      </c>
      <c r="L622" s="0">
        <v>3</v>
      </c>
      <c r="M622" s="0">
        <v>29</v>
      </c>
      <c r="N622" s="0">
        <v>0</v>
      </c>
      <c r="O622" s="0">
        <v>0</v>
      </c>
      <c r="P622" s="0">
        <v>0</v>
      </c>
      <c r="R622" s="0" t="b">
        <v>0</v>
      </c>
      <c r="S622" s="0" t="b">
        <v>1</v>
      </c>
      <c r="T622" s="68">
        <v>43327.5572569444</v>
      </c>
      <c r="U622" s="68">
        <v>43372.5416666667</v>
      </c>
      <c r="V622" s="68">
        <v>0</v>
      </c>
      <c r="W622" s="0">
        <f>IF(IF(B622="none",1,IF(B622="Trialer",1,0))+IF(C622="Customer",1,IF(C622="Lost",1,0))=2,1,0)</f>
      </c>
      <c r="X622" s="0" t="s">
        <v>148</v>
      </c>
      <c r="Y622" s="0" t="s">
        <v>243</v>
      </c>
      <c r="AV622" s="68"/>
      <c r="AW622" s="68"/>
      <c r="AY622" s="27"/>
      <c r="BD622" s="68">
        <v>46054.1666666667</v>
      </c>
      <c r="BE622" s="68">
        <v>46082.1666666667</v>
      </c>
      <c r="BF622" s="0" t="b">
        <v>0</v>
      </c>
      <c r="BG622" s="0" t="b">
        <v>0</v>
      </c>
      <c r="BH622" s="0">
        <v>1508</v>
      </c>
      <c r="BI622" s="0">
        <v>1508</v>
      </c>
      <c r="BJ622" s="0" t="s">
        <v>135</v>
      </c>
    </row>
    <row r="623">
      <c r="A623" s="0" t="s">
        <v>813</v>
      </c>
      <c r="B623" s="0" t="s">
        <v>134</v>
      </c>
      <c r="C623" s="0" t="s">
        <v>134</v>
      </c>
      <c r="D623" s="0" t="s">
        <v>230</v>
      </c>
      <c r="E623" s="0" t="s">
        <v>2</v>
      </c>
      <c r="F623" s="0" t="s">
        <v>12</v>
      </c>
      <c r="G623" s="0" t="s">
        <v>8</v>
      </c>
      <c r="H623" s="0">
        <v>2726</v>
      </c>
      <c r="I623" s="0">
        <v>1123</v>
      </c>
      <c r="J623" s="0">
        <v>0</v>
      </c>
      <c r="K623" s="0">
        <v>1</v>
      </c>
      <c r="L623" s="0">
        <v>5</v>
      </c>
      <c r="M623" s="0">
        <v>20</v>
      </c>
      <c r="N623" s="0">
        <v>0</v>
      </c>
      <c r="O623" s="0">
        <v>0</v>
      </c>
      <c r="P623" s="0">
        <v>8778</v>
      </c>
      <c r="R623" s="0" t="b">
        <v>0</v>
      </c>
      <c r="S623" s="0" t="b">
        <v>1</v>
      </c>
      <c r="T623" s="68">
        <v>43327.6791319444</v>
      </c>
      <c r="U623" s="68">
        <v>43358.5416666667</v>
      </c>
      <c r="V623" s="68">
        <v>0</v>
      </c>
      <c r="W623" s="0">
        <f>IF(IF(B623="none",1,IF(B623="Trialer",1,0))+IF(C623="Customer",1,IF(C623="Lost",1,0))=2,1,0)</f>
      </c>
      <c r="X623" s="0" t="s">
        <v>148</v>
      </c>
      <c r="Y623" s="0" t="s">
        <v>499</v>
      </c>
      <c r="AV623" s="68"/>
      <c r="AW623" s="68"/>
      <c r="AY623" s="27"/>
      <c r="BD623" s="68">
        <v>46054.1666666667</v>
      </c>
      <c r="BE623" s="68">
        <v>46082.1666666667</v>
      </c>
      <c r="BF623" s="0" t="b">
        <v>0</v>
      </c>
      <c r="BG623" s="0" t="b">
        <v>0</v>
      </c>
      <c r="BH623" s="0">
        <v>890</v>
      </c>
      <c r="BI623" s="0">
        <v>890</v>
      </c>
      <c r="BJ623" s="0" t="s">
        <v>230</v>
      </c>
    </row>
    <row r="624">
      <c r="A624" s="0" t="s">
        <v>814</v>
      </c>
      <c r="B624" s="0" t="s">
        <v>134</v>
      </c>
      <c r="C624" s="0" t="s">
        <v>134</v>
      </c>
      <c r="D624" s="0" t="s">
        <v>135</v>
      </c>
      <c r="E624" s="0" t="s">
        <v>2</v>
      </c>
      <c r="F624" s="0" t="s">
        <v>12</v>
      </c>
      <c r="G624" s="0" t="s">
        <v>8</v>
      </c>
      <c r="H624" s="0">
        <v>2725</v>
      </c>
      <c r="I624" s="0">
        <v>0</v>
      </c>
      <c r="J624" s="0">
        <v>0</v>
      </c>
      <c r="K624" s="0">
        <v>1</v>
      </c>
      <c r="L624" s="0">
        <v>3</v>
      </c>
      <c r="M624" s="0">
        <v>1</v>
      </c>
      <c r="N624" s="0">
        <v>0</v>
      </c>
      <c r="O624" s="0">
        <v>0</v>
      </c>
      <c r="P624" s="0">
        <v>0</v>
      </c>
      <c r="R624" s="0" t="b">
        <v>0</v>
      </c>
      <c r="S624" s="0" t="b">
        <v>1</v>
      </c>
      <c r="T624" s="68">
        <v>43328.0409722222</v>
      </c>
      <c r="U624" s="68">
        <v>43359.5</v>
      </c>
      <c r="V624" s="68">
        <v>0</v>
      </c>
      <c r="W624" s="0">
        <f>IF(IF(B624="none",1,IF(B624="Trialer",1,0))+IF(C624="Customer",1,IF(C624="Lost",1,0))=2,1,0)</f>
      </c>
      <c r="X624" s="0" t="s">
        <v>148</v>
      </c>
      <c r="Y624" s="0" t="s">
        <v>499</v>
      </c>
      <c r="AV624" s="68"/>
      <c r="AW624" s="68"/>
      <c r="AY624" s="27"/>
      <c r="BD624" s="68">
        <v>46054.1666666667</v>
      </c>
      <c r="BE624" s="68">
        <v>46082.1666666667</v>
      </c>
      <c r="BF624" s="0" t="b">
        <v>0</v>
      </c>
      <c r="BG624" s="0" t="b">
        <v>0</v>
      </c>
      <c r="BH624" s="0">
        <v>0</v>
      </c>
      <c r="BI624" s="0">
        <v>0</v>
      </c>
      <c r="BJ624" s="0" t="s">
        <v>135</v>
      </c>
    </row>
    <row r="625">
      <c r="A625" s="0" t="s">
        <v>815</v>
      </c>
      <c r="B625" s="0" t="s">
        <v>134</v>
      </c>
      <c r="C625" s="0" t="s">
        <v>134</v>
      </c>
      <c r="D625" s="0" t="s">
        <v>230</v>
      </c>
      <c r="E625" s="0" t="s">
        <v>3</v>
      </c>
      <c r="F625" s="0" t="s">
        <v>10</v>
      </c>
      <c r="G625" s="0" t="s">
        <v>8</v>
      </c>
      <c r="H625" s="0">
        <v>2720</v>
      </c>
      <c r="I625" s="0">
        <v>108</v>
      </c>
      <c r="J625" s="0">
        <v>0</v>
      </c>
      <c r="K625" s="0">
        <v>1</v>
      </c>
      <c r="L625" s="0">
        <v>2</v>
      </c>
      <c r="M625" s="0">
        <v>3</v>
      </c>
      <c r="N625" s="0">
        <v>0</v>
      </c>
      <c r="O625" s="0">
        <v>0</v>
      </c>
      <c r="P625" s="0">
        <v>-108</v>
      </c>
      <c r="Q625" s="0" t="s">
        <v>324</v>
      </c>
      <c r="R625" s="0" t="b">
        <v>0</v>
      </c>
      <c r="S625" s="0" t="b">
        <v>1</v>
      </c>
      <c r="T625" s="68">
        <v>43333.6706828704</v>
      </c>
      <c r="U625" s="68">
        <v>43364.5416666667</v>
      </c>
      <c r="V625" s="68">
        <v>0</v>
      </c>
      <c r="W625" s="0">
        <f>IF(IF(B625="none",1,IF(B625="Trialer",1,0))+IF(C625="Customer",1,IF(C625="Lost",1,0))=2,1,0)</f>
      </c>
      <c r="X625" s="0" t="s">
        <v>136</v>
      </c>
      <c r="Y625" s="0" t="s">
        <v>243</v>
      </c>
      <c r="AV625" s="68"/>
      <c r="AW625" s="68"/>
      <c r="AY625" s="27"/>
      <c r="BD625" s="68">
        <v>46054.1666666667</v>
      </c>
      <c r="BE625" s="68">
        <v>46082.1666666667</v>
      </c>
      <c r="BF625" s="0" t="b">
        <v>0</v>
      </c>
      <c r="BG625" s="0" t="b">
        <v>0</v>
      </c>
      <c r="BH625" s="0">
        <v>120</v>
      </c>
      <c r="BI625" s="0">
        <v>120</v>
      </c>
      <c r="BJ625" s="0" t="s">
        <v>230</v>
      </c>
    </row>
    <row r="626">
      <c r="A626" s="0" t="s">
        <v>816</v>
      </c>
      <c r="B626" s="0" t="s">
        <v>134</v>
      </c>
      <c r="C626" s="0" t="s">
        <v>134</v>
      </c>
      <c r="D626" s="0" t="s">
        <v>135</v>
      </c>
      <c r="E626" s="0" t="s">
        <v>2</v>
      </c>
      <c r="F626" s="0" t="s">
        <v>12</v>
      </c>
      <c r="G626" s="0" t="s">
        <v>8</v>
      </c>
      <c r="H626" s="0">
        <v>2719</v>
      </c>
      <c r="I626" s="0">
        <v>125</v>
      </c>
      <c r="J626" s="0">
        <v>0</v>
      </c>
      <c r="K626" s="0">
        <v>1</v>
      </c>
      <c r="L626" s="0">
        <v>6</v>
      </c>
      <c r="M626" s="0">
        <v>2</v>
      </c>
      <c r="N626" s="0">
        <v>0</v>
      </c>
      <c r="O626" s="0">
        <v>0</v>
      </c>
      <c r="P626" s="0">
        <v>0</v>
      </c>
      <c r="R626" s="0" t="b">
        <v>0</v>
      </c>
      <c r="S626" s="0" t="b">
        <v>1</v>
      </c>
      <c r="T626" s="68">
        <v>43334.5858796296</v>
      </c>
      <c r="U626" s="68">
        <v>43365.5416666667</v>
      </c>
      <c r="V626" s="68">
        <v>0</v>
      </c>
      <c r="W626" s="0">
        <f>IF(IF(B626="none",1,IF(B626="Trialer",1,0))+IF(C626="Customer",1,IF(C626="Lost",1,0))=2,1,0)</f>
      </c>
      <c r="X626" s="0" t="s">
        <v>153</v>
      </c>
      <c r="Y626" s="0" t="s">
        <v>499</v>
      </c>
      <c r="AV626" s="68"/>
      <c r="AW626" s="68"/>
      <c r="AY626" s="27"/>
      <c r="BD626" s="68">
        <v>46054.1666666667</v>
      </c>
      <c r="BE626" s="68">
        <v>46082.1666666667</v>
      </c>
      <c r="BF626" s="0" t="b">
        <v>0</v>
      </c>
      <c r="BG626" s="0" t="b">
        <v>0</v>
      </c>
      <c r="BH626" s="0">
        <v>125</v>
      </c>
      <c r="BI626" s="0">
        <v>125</v>
      </c>
      <c r="BJ626" s="0" t="s">
        <v>135</v>
      </c>
    </row>
    <row r="627">
      <c r="A627" s="0" t="s">
        <v>817</v>
      </c>
      <c r="B627" s="0" t="s">
        <v>134</v>
      </c>
      <c r="C627" s="0" t="s">
        <v>134</v>
      </c>
      <c r="D627" s="0" t="s">
        <v>135</v>
      </c>
      <c r="E627" s="0" t="s">
        <v>3</v>
      </c>
      <c r="F627" s="0" t="s">
        <v>12</v>
      </c>
      <c r="G627" s="0" t="s">
        <v>8</v>
      </c>
      <c r="H627" s="0">
        <v>2719</v>
      </c>
      <c r="I627" s="0">
        <v>0</v>
      </c>
      <c r="J627" s="0">
        <v>0</v>
      </c>
      <c r="K627" s="0">
        <v>1</v>
      </c>
      <c r="L627" s="0">
        <v>3</v>
      </c>
      <c r="M627" s="0">
        <v>1</v>
      </c>
      <c r="N627" s="0">
        <v>0</v>
      </c>
      <c r="O627" s="0">
        <v>0</v>
      </c>
      <c r="P627" s="0">
        <v>0</v>
      </c>
      <c r="R627" s="0" t="b">
        <v>0</v>
      </c>
      <c r="S627" s="0" t="b">
        <v>1</v>
      </c>
      <c r="T627" s="68">
        <v>43334.7131944444</v>
      </c>
      <c r="U627" s="68">
        <v>43365.5416666667</v>
      </c>
      <c r="V627" s="68">
        <v>0</v>
      </c>
      <c r="W627" s="0">
        <f>IF(IF(B627="none",1,IF(B627="Trialer",1,0))+IF(C627="Customer",1,IF(C627="Lost",1,0))=2,1,0)</f>
      </c>
      <c r="X627" s="0" t="s">
        <v>136</v>
      </c>
      <c r="Y627" s="0" t="s">
        <v>243</v>
      </c>
      <c r="AV627" s="68"/>
      <c r="AW627" s="68"/>
      <c r="AY627" s="27"/>
      <c r="BD627" s="68">
        <v>46054.1666666667</v>
      </c>
      <c r="BE627" s="68">
        <v>46082.1666666667</v>
      </c>
      <c r="BF627" s="0" t="b">
        <v>0</v>
      </c>
      <c r="BG627" s="0" t="b">
        <v>0</v>
      </c>
      <c r="BH627" s="0">
        <v>0</v>
      </c>
      <c r="BI627" s="0">
        <v>0</v>
      </c>
      <c r="BJ627" s="0" t="s">
        <v>135</v>
      </c>
    </row>
    <row r="628">
      <c r="A628" s="0" t="s">
        <v>818</v>
      </c>
      <c r="B628" s="0" t="s">
        <v>134</v>
      </c>
      <c r="C628" s="0" t="s">
        <v>134</v>
      </c>
      <c r="D628" s="0" t="s">
        <v>135</v>
      </c>
      <c r="E628" s="0" t="s">
        <v>2</v>
      </c>
      <c r="F628" s="0" t="s">
        <v>12</v>
      </c>
      <c r="G628" s="0" t="s">
        <v>8</v>
      </c>
      <c r="H628" s="0">
        <v>2718</v>
      </c>
      <c r="I628" s="0">
        <v>490</v>
      </c>
      <c r="J628" s="0">
        <v>0</v>
      </c>
      <c r="K628" s="0">
        <v>1</v>
      </c>
      <c r="L628" s="0">
        <v>6</v>
      </c>
      <c r="M628" s="0">
        <v>10</v>
      </c>
      <c r="N628" s="0">
        <v>0</v>
      </c>
      <c r="O628" s="0">
        <v>0</v>
      </c>
      <c r="P628" s="0">
        <v>0</v>
      </c>
      <c r="R628" s="0" t="b">
        <v>0</v>
      </c>
      <c r="S628" s="0" t="b">
        <v>1</v>
      </c>
      <c r="T628" s="68">
        <v>43335.6602662037</v>
      </c>
      <c r="U628" s="68">
        <v>43385.5416666667</v>
      </c>
      <c r="V628" s="68">
        <v>0</v>
      </c>
      <c r="W628" s="0">
        <f>IF(IF(B628="none",1,IF(B628="Trialer",1,0))+IF(C628="Customer",1,IF(C628="Lost",1,0))=2,1,0)</f>
      </c>
      <c r="X628" s="0" t="s">
        <v>148</v>
      </c>
      <c r="Y628" s="0" t="s">
        <v>499</v>
      </c>
      <c r="AV628" s="68"/>
      <c r="AW628" s="68"/>
      <c r="AY628" s="27"/>
      <c r="BD628" s="68">
        <v>46054.1666666667</v>
      </c>
      <c r="BE628" s="68">
        <v>46082.1666666667</v>
      </c>
      <c r="BF628" s="0" t="b">
        <v>0</v>
      </c>
      <c r="BG628" s="0" t="b">
        <v>0</v>
      </c>
      <c r="BH628" s="0">
        <v>530</v>
      </c>
      <c r="BI628" s="0">
        <v>530</v>
      </c>
      <c r="BJ628" s="0" t="s">
        <v>135</v>
      </c>
    </row>
    <row r="629">
      <c r="A629" s="0" t="s">
        <v>819</v>
      </c>
      <c r="B629" s="0" t="s">
        <v>134</v>
      </c>
      <c r="C629" s="0" t="s">
        <v>134</v>
      </c>
      <c r="D629" s="0" t="s">
        <v>230</v>
      </c>
      <c r="E629" s="0" t="s">
        <v>3</v>
      </c>
      <c r="F629" s="0" t="s">
        <v>12</v>
      </c>
      <c r="G629" s="0" t="s">
        <v>8</v>
      </c>
      <c r="H629" s="0">
        <v>2716</v>
      </c>
      <c r="I629" s="0">
        <v>1842</v>
      </c>
      <c r="J629" s="0">
        <v>0</v>
      </c>
      <c r="K629" s="0">
        <v>2</v>
      </c>
      <c r="L629" s="0">
        <v>3</v>
      </c>
      <c r="M629" s="0">
        <v>6</v>
      </c>
      <c r="N629" s="0">
        <v>0</v>
      </c>
      <c r="O629" s="0">
        <v>0</v>
      </c>
      <c r="P629" s="0">
        <v>-276</v>
      </c>
      <c r="R629" s="0" t="b">
        <v>0</v>
      </c>
      <c r="S629" s="0" t="b">
        <v>1</v>
      </c>
      <c r="T629" s="68">
        <v>43337.9084143518</v>
      </c>
      <c r="U629" s="68">
        <v>43368.5416666667</v>
      </c>
      <c r="V629" s="68">
        <v>0</v>
      </c>
      <c r="W629" s="0">
        <f>IF(IF(B629="none",1,IF(B629="Trialer",1,0))+IF(C629="Customer",1,IF(C629="Lost",1,0))=2,1,0)</f>
      </c>
      <c r="X629" s="0" t="s">
        <v>136</v>
      </c>
      <c r="Y629" s="0" t="s">
        <v>243</v>
      </c>
      <c r="AV629" s="68"/>
      <c r="AW629" s="68"/>
      <c r="AY629" s="27"/>
      <c r="BD629" s="68">
        <v>46054.1666666667</v>
      </c>
      <c r="BE629" s="68">
        <v>46082.1666666667</v>
      </c>
      <c r="BF629" s="0" t="b">
        <v>0</v>
      </c>
      <c r="BG629" s="0" t="b">
        <v>0</v>
      </c>
      <c r="BH629" s="0">
        <v>312</v>
      </c>
      <c r="BI629" s="0">
        <v>312</v>
      </c>
      <c r="BJ629" s="0" t="s">
        <v>230</v>
      </c>
    </row>
    <row r="630">
      <c r="A630" s="0" t="s">
        <v>820</v>
      </c>
      <c r="B630" s="0" t="s">
        <v>134</v>
      </c>
      <c r="C630" s="0" t="s">
        <v>134</v>
      </c>
      <c r="D630" s="0" t="s">
        <v>230</v>
      </c>
      <c r="E630" s="0" t="s">
        <v>3</v>
      </c>
      <c r="F630" s="0" t="s">
        <v>12</v>
      </c>
      <c r="G630" s="0" t="s">
        <v>8</v>
      </c>
      <c r="H630" s="0">
        <v>2711</v>
      </c>
      <c r="I630" s="0">
        <v>88</v>
      </c>
      <c r="J630" s="0">
        <v>0</v>
      </c>
      <c r="K630" s="0">
        <v>1</v>
      </c>
      <c r="L630" s="0">
        <v>3</v>
      </c>
      <c r="M630" s="0">
        <v>2</v>
      </c>
      <c r="N630" s="0">
        <v>0</v>
      </c>
      <c r="O630" s="0">
        <v>0</v>
      </c>
      <c r="P630" s="0">
        <v>-88</v>
      </c>
      <c r="R630" s="0" t="b">
        <v>0</v>
      </c>
      <c r="S630" s="0" t="b">
        <v>1</v>
      </c>
      <c r="T630" s="68">
        <v>43342.5191782407</v>
      </c>
      <c r="U630" s="68">
        <v>43373.5416666667</v>
      </c>
      <c r="V630" s="68">
        <v>0</v>
      </c>
      <c r="W630" s="0">
        <f>IF(IF(B630="none",1,IF(B630="Trialer",1,0))+IF(C630="Customer",1,IF(C630="Lost",1,0))=2,1,0)</f>
      </c>
      <c r="X630" s="0" t="s">
        <v>166</v>
      </c>
      <c r="Y630" s="0" t="s">
        <v>243</v>
      </c>
      <c r="AV630" s="68"/>
      <c r="AW630" s="68"/>
      <c r="AY630" s="27"/>
      <c r="BD630" s="68">
        <v>46054.1666666667</v>
      </c>
      <c r="BE630" s="68">
        <v>46082.1666666667</v>
      </c>
      <c r="BF630" s="0" t="b">
        <v>0</v>
      </c>
      <c r="BG630" s="0" t="b">
        <v>0</v>
      </c>
      <c r="BH630" s="0">
        <v>98</v>
      </c>
      <c r="BI630" s="0">
        <v>98</v>
      </c>
      <c r="BJ630" s="0" t="s">
        <v>230</v>
      </c>
    </row>
    <row r="631">
      <c r="A631" s="0" t="s">
        <v>821</v>
      </c>
      <c r="B631" s="0" t="s">
        <v>134</v>
      </c>
      <c r="C631" s="0" t="s">
        <v>134</v>
      </c>
      <c r="D631" s="0" t="s">
        <v>135</v>
      </c>
      <c r="E631" s="0" t="s">
        <v>3</v>
      </c>
      <c r="F631" s="0" t="s">
        <v>12</v>
      </c>
      <c r="G631" s="0" t="s">
        <v>8</v>
      </c>
      <c r="H631" s="0">
        <v>2705</v>
      </c>
      <c r="I631" s="0">
        <v>0</v>
      </c>
      <c r="J631" s="0">
        <v>0</v>
      </c>
      <c r="K631" s="0">
        <v>1</v>
      </c>
      <c r="L631" s="0">
        <v>3</v>
      </c>
      <c r="M631" s="0">
        <v>1</v>
      </c>
      <c r="N631" s="0">
        <v>0</v>
      </c>
      <c r="O631" s="0">
        <v>0</v>
      </c>
      <c r="P631" s="0">
        <v>0</v>
      </c>
      <c r="R631" s="0" t="b">
        <v>0</v>
      </c>
      <c r="S631" s="0" t="b">
        <v>1</v>
      </c>
      <c r="T631" s="68">
        <v>43348.7868055556</v>
      </c>
      <c r="U631" s="68">
        <v>43385.5416666667</v>
      </c>
      <c r="V631" s="68">
        <v>0</v>
      </c>
      <c r="W631" s="0">
        <f>IF(IF(B631="none",1,IF(B631="Trialer",1,0))+IF(C631="Customer",1,IF(C631="Lost",1,0))=2,1,0)</f>
      </c>
      <c r="X631" s="0" t="s">
        <v>136</v>
      </c>
      <c r="Y631" s="0" t="s">
        <v>243</v>
      </c>
      <c r="AV631" s="68"/>
      <c r="AW631" s="68"/>
      <c r="AY631" s="27"/>
      <c r="BD631" s="68">
        <v>46054.1666666667</v>
      </c>
      <c r="BE631" s="68">
        <v>46082.1666666667</v>
      </c>
      <c r="BF631" s="0" t="b">
        <v>0</v>
      </c>
      <c r="BG631" s="0" t="b">
        <v>0</v>
      </c>
      <c r="BH631" s="0">
        <v>0</v>
      </c>
      <c r="BI631" s="0">
        <v>0</v>
      </c>
      <c r="BJ631" s="0" t="s">
        <v>135</v>
      </c>
    </row>
    <row r="632">
      <c r="A632" s="0" t="s">
        <v>822</v>
      </c>
      <c r="B632" s="0" t="s">
        <v>134</v>
      </c>
      <c r="C632" s="0" t="s">
        <v>134</v>
      </c>
      <c r="D632" s="0" t="s">
        <v>230</v>
      </c>
      <c r="E632" s="0" t="s">
        <v>3</v>
      </c>
      <c r="F632" s="0" t="s">
        <v>12</v>
      </c>
      <c r="G632" s="0" t="s">
        <v>8</v>
      </c>
      <c r="H632" s="0">
        <v>2704</v>
      </c>
      <c r="I632" s="0">
        <v>66</v>
      </c>
      <c r="J632" s="0">
        <v>0</v>
      </c>
      <c r="K632" s="0">
        <v>1</v>
      </c>
      <c r="L632" s="0">
        <v>2</v>
      </c>
      <c r="M632" s="0">
        <v>2</v>
      </c>
      <c r="N632" s="0">
        <v>0</v>
      </c>
      <c r="O632" s="0">
        <v>0</v>
      </c>
      <c r="P632" s="0">
        <v>-66</v>
      </c>
      <c r="R632" s="0" t="b">
        <v>0</v>
      </c>
      <c r="S632" s="0" t="b">
        <v>1</v>
      </c>
      <c r="T632" s="68">
        <v>43349.7005671296</v>
      </c>
      <c r="U632" s="68">
        <v>43379.3333333333</v>
      </c>
      <c r="V632" s="68">
        <v>0</v>
      </c>
      <c r="W632" s="0">
        <f>IF(IF(B632="none",1,IF(B632="Trialer",1,0))+IF(C632="Customer",1,IF(C632="Lost",1,0))=2,1,0)</f>
      </c>
      <c r="X632" s="0" t="s">
        <v>142</v>
      </c>
      <c r="Y632" s="0" t="s">
        <v>243</v>
      </c>
      <c r="AV632" s="68"/>
      <c r="AW632" s="68"/>
      <c r="AY632" s="27"/>
      <c r="BD632" s="68">
        <v>46054.1666666667</v>
      </c>
      <c r="BE632" s="68">
        <v>46082.1666666667</v>
      </c>
      <c r="BF632" s="0" t="b">
        <v>0</v>
      </c>
      <c r="BG632" s="0" t="b">
        <v>0</v>
      </c>
      <c r="BH632" s="0">
        <v>74</v>
      </c>
      <c r="BI632" s="0">
        <v>74</v>
      </c>
      <c r="BJ632" s="0" t="s">
        <v>230</v>
      </c>
    </row>
    <row r="633">
      <c r="A633" s="0" t="s">
        <v>823</v>
      </c>
      <c r="B633" s="0" t="s">
        <v>134</v>
      </c>
      <c r="C633" s="0" t="s">
        <v>134</v>
      </c>
      <c r="D633" s="0" t="s">
        <v>135</v>
      </c>
      <c r="E633" s="0" t="s">
        <v>3</v>
      </c>
      <c r="F633" s="0" t="s">
        <v>12</v>
      </c>
      <c r="G633" s="0" t="s">
        <v>8</v>
      </c>
      <c r="H633" s="0">
        <v>2703</v>
      </c>
      <c r="I633" s="0">
        <v>0</v>
      </c>
      <c r="J633" s="0">
        <v>0</v>
      </c>
      <c r="K633" s="0">
        <v>1</v>
      </c>
      <c r="L633" s="0">
        <v>3</v>
      </c>
      <c r="M633" s="0">
        <v>2</v>
      </c>
      <c r="N633" s="0">
        <v>0</v>
      </c>
      <c r="O633" s="0">
        <v>0</v>
      </c>
      <c r="P633" s="0">
        <v>0</v>
      </c>
      <c r="R633" s="0" t="b">
        <v>0</v>
      </c>
      <c r="S633" s="0" t="b">
        <v>1</v>
      </c>
      <c r="T633" s="68">
        <v>43350.7715277778</v>
      </c>
      <c r="U633" s="68">
        <v>43444.5</v>
      </c>
      <c r="V633" s="68">
        <v>0</v>
      </c>
      <c r="W633" s="0">
        <f>IF(IF(B633="none",1,IF(B633="Trialer",1,0))+IF(C633="Customer",1,IF(C633="Lost",1,0))=2,1,0)</f>
      </c>
      <c r="X633" s="0" t="s">
        <v>136</v>
      </c>
      <c r="Y633" s="0" t="s">
        <v>243</v>
      </c>
      <c r="AV633" s="68"/>
      <c r="AW633" s="68"/>
      <c r="AY633" s="27"/>
      <c r="BD633" s="68">
        <v>46054.1666666667</v>
      </c>
      <c r="BE633" s="68">
        <v>46082.1666666667</v>
      </c>
      <c r="BF633" s="0" t="b">
        <v>0</v>
      </c>
      <c r="BG633" s="0" t="b">
        <v>0</v>
      </c>
      <c r="BH633" s="0">
        <v>0</v>
      </c>
      <c r="BI633" s="0">
        <v>0</v>
      </c>
      <c r="BJ633" s="0" t="s">
        <v>135</v>
      </c>
    </row>
    <row r="634">
      <c r="A634" s="0" t="s">
        <v>824</v>
      </c>
      <c r="B634" s="0" t="s">
        <v>134</v>
      </c>
      <c r="C634" s="0" t="s">
        <v>134</v>
      </c>
      <c r="D634" s="0" t="s">
        <v>135</v>
      </c>
      <c r="E634" s="0" t="s">
        <v>3</v>
      </c>
      <c r="F634" s="0" t="s">
        <v>12</v>
      </c>
      <c r="G634" s="0" t="s">
        <v>8</v>
      </c>
      <c r="H634" s="0">
        <v>2703</v>
      </c>
      <c r="I634" s="0">
        <v>120</v>
      </c>
      <c r="J634" s="0">
        <v>0</v>
      </c>
      <c r="K634" s="0">
        <v>1</v>
      </c>
      <c r="L634" s="0">
        <v>2</v>
      </c>
      <c r="M634" s="0">
        <v>3</v>
      </c>
      <c r="N634" s="0">
        <v>0</v>
      </c>
      <c r="O634" s="0">
        <v>0</v>
      </c>
      <c r="P634" s="0">
        <v>0</v>
      </c>
      <c r="R634" s="0" t="b">
        <v>0</v>
      </c>
      <c r="S634" s="0" t="b">
        <v>1</v>
      </c>
      <c r="T634" s="68">
        <v>43350.9537731481</v>
      </c>
      <c r="U634" s="68">
        <v>43380.3333333333</v>
      </c>
      <c r="V634" s="68">
        <v>0</v>
      </c>
      <c r="W634" s="0">
        <f>IF(IF(B634="none",1,IF(B634="Trialer",1,0))+IF(C634="Customer",1,IF(C634="Lost",1,0))=2,1,0)</f>
      </c>
      <c r="X634" s="0" t="s">
        <v>142</v>
      </c>
      <c r="Y634" s="0" t="s">
        <v>243</v>
      </c>
      <c r="AV634" s="68"/>
      <c r="AW634" s="68"/>
      <c r="AY634" s="27"/>
      <c r="BD634" s="68">
        <v>46054.1666666667</v>
      </c>
      <c r="BE634" s="68">
        <v>46082.1666666667</v>
      </c>
      <c r="BF634" s="0" t="b">
        <v>0</v>
      </c>
      <c r="BG634" s="0" t="b">
        <v>0</v>
      </c>
      <c r="BH634" s="0">
        <v>120</v>
      </c>
      <c r="BI634" s="0">
        <v>120</v>
      </c>
      <c r="BJ634" s="0" t="s">
        <v>135</v>
      </c>
    </row>
    <row r="635">
      <c r="A635" s="0" t="s">
        <v>825</v>
      </c>
      <c r="B635" s="0" t="s">
        <v>134</v>
      </c>
      <c r="C635" s="0" t="s">
        <v>134</v>
      </c>
      <c r="D635" s="0" t="s">
        <v>135</v>
      </c>
      <c r="E635" s="0" t="s">
        <v>3</v>
      </c>
      <c r="F635" s="0" t="s">
        <v>12</v>
      </c>
      <c r="G635" s="0" t="s">
        <v>8</v>
      </c>
      <c r="H635" s="0">
        <v>2699</v>
      </c>
      <c r="I635" s="0">
        <v>0</v>
      </c>
      <c r="J635" s="0">
        <v>0</v>
      </c>
      <c r="K635" s="0">
        <v>1</v>
      </c>
      <c r="L635" s="0">
        <v>1</v>
      </c>
      <c r="M635" s="0">
        <v>2</v>
      </c>
      <c r="N635" s="0">
        <v>0</v>
      </c>
      <c r="O635" s="0">
        <v>0</v>
      </c>
      <c r="P635" s="0">
        <v>0</v>
      </c>
      <c r="R635" s="0" t="b">
        <v>0</v>
      </c>
      <c r="S635" s="0" t="b">
        <v>1</v>
      </c>
      <c r="T635" s="68">
        <v>43354.5166666667</v>
      </c>
      <c r="U635" s="68">
        <v>43384.5416666667</v>
      </c>
      <c r="V635" s="68">
        <v>0</v>
      </c>
      <c r="W635" s="0">
        <f>IF(IF(B635="none",1,IF(B635="Trialer",1,0))+IF(C635="Customer",1,IF(C635="Lost",1,0))=2,1,0)</f>
      </c>
      <c r="X635" s="0" t="s">
        <v>148</v>
      </c>
      <c r="Y635" s="0" t="s">
        <v>487</v>
      </c>
      <c r="AV635" s="68"/>
      <c r="AW635" s="68"/>
      <c r="AY635" s="27"/>
      <c r="BD635" s="68">
        <v>46054.1666666667</v>
      </c>
      <c r="BE635" s="68">
        <v>46082.1666666667</v>
      </c>
      <c r="BF635" s="0" t="b">
        <v>0</v>
      </c>
      <c r="BG635" s="0" t="b">
        <v>0</v>
      </c>
      <c r="BH635" s="0">
        <v>0</v>
      </c>
      <c r="BI635" s="0">
        <v>0</v>
      </c>
      <c r="BJ635" s="0" t="s">
        <v>135</v>
      </c>
    </row>
    <row r="636">
      <c r="A636" s="0" t="s">
        <v>826</v>
      </c>
      <c r="B636" s="0" t="s">
        <v>134</v>
      </c>
      <c r="C636" s="0" t="s">
        <v>134</v>
      </c>
      <c r="D636" s="0" t="s">
        <v>230</v>
      </c>
      <c r="E636" s="0" t="s">
        <v>3</v>
      </c>
      <c r="F636" s="0" t="s">
        <v>12</v>
      </c>
      <c r="G636" s="0" t="s">
        <v>8</v>
      </c>
      <c r="H636" s="0">
        <v>2699</v>
      </c>
      <c r="I636" s="0">
        <v>46</v>
      </c>
      <c r="J636" s="0">
        <v>0</v>
      </c>
      <c r="K636" s="0">
        <v>1</v>
      </c>
      <c r="L636" s="0">
        <v>3</v>
      </c>
      <c r="M636" s="0">
        <v>1</v>
      </c>
      <c r="N636" s="0">
        <v>0</v>
      </c>
      <c r="O636" s="0">
        <v>0</v>
      </c>
      <c r="P636" s="0">
        <v>-46</v>
      </c>
      <c r="R636" s="0" t="b">
        <v>0</v>
      </c>
      <c r="S636" s="0" t="b">
        <v>1</v>
      </c>
      <c r="T636" s="68">
        <v>43354.5697685185</v>
      </c>
      <c r="U636" s="68">
        <v>43384.3333333333</v>
      </c>
      <c r="V636" s="68">
        <v>0</v>
      </c>
      <c r="W636" s="0">
        <f>IF(IF(B636="none",1,IF(B636="Trialer",1,0))+IF(C636="Customer",1,IF(C636="Lost",1,0))=2,1,0)</f>
      </c>
      <c r="X636" s="0" t="s">
        <v>166</v>
      </c>
      <c r="Y636" s="0" t="s">
        <v>243</v>
      </c>
      <c r="AV636" s="68"/>
      <c r="AW636" s="68"/>
      <c r="AY636" s="27"/>
      <c r="BD636" s="68">
        <v>46054.1666666667</v>
      </c>
      <c r="BE636" s="68">
        <v>46082.1666666667</v>
      </c>
      <c r="BF636" s="0" t="b">
        <v>0</v>
      </c>
      <c r="BG636" s="0" t="b">
        <v>0</v>
      </c>
      <c r="BH636" s="0">
        <v>52</v>
      </c>
      <c r="BI636" s="0">
        <v>52</v>
      </c>
      <c r="BJ636" s="0" t="s">
        <v>230</v>
      </c>
    </row>
    <row r="637">
      <c r="A637" s="0" t="s">
        <v>827</v>
      </c>
      <c r="B637" s="0" t="s">
        <v>134</v>
      </c>
      <c r="C637" s="0" t="s">
        <v>134</v>
      </c>
      <c r="D637" s="0" t="s">
        <v>135</v>
      </c>
      <c r="E637" s="0" t="s">
        <v>2</v>
      </c>
      <c r="F637" s="0" t="s">
        <v>12</v>
      </c>
      <c r="G637" s="0" t="s">
        <v>8</v>
      </c>
      <c r="H637" s="0">
        <v>2698</v>
      </c>
      <c r="I637" s="0">
        <v>0</v>
      </c>
      <c r="J637" s="0">
        <v>0</v>
      </c>
      <c r="K637" s="0">
        <v>1</v>
      </c>
      <c r="L637" s="0">
        <v>3</v>
      </c>
      <c r="M637" s="0">
        <v>1</v>
      </c>
      <c r="N637" s="0">
        <v>0</v>
      </c>
      <c r="O637" s="0">
        <v>0</v>
      </c>
      <c r="P637" s="0">
        <v>0</v>
      </c>
      <c r="R637" s="0" t="b">
        <v>0</v>
      </c>
      <c r="S637" s="0" t="b">
        <v>1</v>
      </c>
      <c r="T637" s="68">
        <v>43355.5679861111</v>
      </c>
      <c r="U637" s="68">
        <v>43432.5</v>
      </c>
      <c r="V637" s="68">
        <v>0</v>
      </c>
      <c r="W637" s="0">
        <f>IF(IF(B637="none",1,IF(B637="Trialer",1,0))+IF(C637="Customer",1,IF(C637="Lost",1,0))=2,1,0)</f>
      </c>
      <c r="X637" s="0" t="s">
        <v>148</v>
      </c>
      <c r="Y637" s="0" t="s">
        <v>499</v>
      </c>
      <c r="AV637" s="68"/>
      <c r="AW637" s="68"/>
      <c r="AY637" s="27"/>
      <c r="BD637" s="68">
        <v>46054.1666666667</v>
      </c>
      <c r="BE637" s="68">
        <v>46082.1666666667</v>
      </c>
      <c r="BF637" s="0" t="b">
        <v>0</v>
      </c>
      <c r="BG637" s="0" t="b">
        <v>0</v>
      </c>
      <c r="BH637" s="0">
        <v>0</v>
      </c>
      <c r="BI637" s="0">
        <v>0</v>
      </c>
      <c r="BJ637" s="0" t="s">
        <v>135</v>
      </c>
    </row>
    <row r="638">
      <c r="A638" s="0" t="s">
        <v>828</v>
      </c>
      <c r="B638" s="0" t="s">
        <v>134</v>
      </c>
      <c r="C638" s="0" t="s">
        <v>134</v>
      </c>
      <c r="D638" s="0" t="s">
        <v>135</v>
      </c>
      <c r="E638" s="0" t="s">
        <v>2</v>
      </c>
      <c r="F638" s="0" t="s">
        <v>12</v>
      </c>
      <c r="G638" s="0" t="s">
        <v>8</v>
      </c>
      <c r="H638" s="0">
        <v>2698</v>
      </c>
      <c r="I638" s="0">
        <v>123</v>
      </c>
      <c r="J638" s="0">
        <v>0</v>
      </c>
      <c r="K638" s="0">
        <v>1</v>
      </c>
      <c r="L638" s="0">
        <v>3</v>
      </c>
      <c r="M638" s="0">
        <v>3</v>
      </c>
      <c r="N638" s="0">
        <v>0</v>
      </c>
      <c r="O638" s="0">
        <v>0</v>
      </c>
      <c r="P638" s="0">
        <v>0</v>
      </c>
      <c r="R638" s="0" t="b">
        <v>0</v>
      </c>
      <c r="S638" s="0" t="b">
        <v>1</v>
      </c>
      <c r="T638" s="68">
        <v>43355.5925810185</v>
      </c>
      <c r="U638" s="68">
        <v>43385.3333333333</v>
      </c>
      <c r="V638" s="68">
        <v>0</v>
      </c>
      <c r="W638" s="0">
        <f>IF(IF(B638="none",1,IF(B638="Trialer",1,0))+IF(C638="Customer",1,IF(C638="Lost",1,0))=2,1,0)</f>
      </c>
      <c r="X638" s="0" t="s">
        <v>153</v>
      </c>
      <c r="Y638" s="0" t="s">
        <v>499</v>
      </c>
      <c r="AV638" s="68"/>
      <c r="AW638" s="68"/>
      <c r="AY638" s="27"/>
      <c r="BD638" s="68">
        <v>46054.1666666667</v>
      </c>
      <c r="BE638" s="68">
        <v>46082.1666666667</v>
      </c>
      <c r="BF638" s="0" t="b">
        <v>0</v>
      </c>
      <c r="BG638" s="0" t="b">
        <v>0</v>
      </c>
      <c r="BH638" s="0">
        <v>74</v>
      </c>
      <c r="BI638" s="0">
        <v>74</v>
      </c>
      <c r="BJ638" s="0" t="s">
        <v>135</v>
      </c>
    </row>
    <row r="639">
      <c r="A639" s="0" t="s">
        <v>829</v>
      </c>
      <c r="B639" s="0" t="s">
        <v>134</v>
      </c>
      <c r="C639" s="0" t="s">
        <v>134</v>
      </c>
      <c r="D639" s="0" t="s">
        <v>135</v>
      </c>
      <c r="E639" s="0" t="s">
        <v>3</v>
      </c>
      <c r="F639" s="0" t="s">
        <v>12</v>
      </c>
      <c r="G639" s="0" t="s">
        <v>8</v>
      </c>
      <c r="H639" s="0">
        <v>2697</v>
      </c>
      <c r="I639" s="0">
        <v>484</v>
      </c>
      <c r="J639" s="0">
        <v>0</v>
      </c>
      <c r="K639" s="0">
        <v>1</v>
      </c>
      <c r="L639" s="0">
        <v>2</v>
      </c>
      <c r="M639" s="0">
        <v>13</v>
      </c>
      <c r="N639" s="0">
        <v>0</v>
      </c>
      <c r="O639" s="0">
        <v>0</v>
      </c>
      <c r="P639" s="0">
        <v>0</v>
      </c>
      <c r="R639" s="0" t="b">
        <v>0</v>
      </c>
      <c r="S639" s="0" t="b">
        <v>1</v>
      </c>
      <c r="T639" s="68">
        <v>43356.6823148148</v>
      </c>
      <c r="U639" s="68">
        <v>43389.5416666667</v>
      </c>
      <c r="V639" s="68">
        <v>0</v>
      </c>
      <c r="W639" s="0">
        <f>IF(IF(B639="none",1,IF(B639="Trialer",1,0))+IF(C639="Customer",1,IF(C639="Lost",1,0))=2,1,0)</f>
      </c>
      <c r="X639" s="0" t="s">
        <v>136</v>
      </c>
      <c r="Y639" s="0" t="s">
        <v>243</v>
      </c>
      <c r="AV639" s="68"/>
      <c r="AW639" s="68"/>
      <c r="AY639" s="27"/>
      <c r="BD639" s="68">
        <v>46054.1666666667</v>
      </c>
      <c r="BE639" s="68">
        <v>46082.1666666667</v>
      </c>
      <c r="BF639" s="0" t="b">
        <v>0</v>
      </c>
      <c r="BG639" s="0" t="b">
        <v>0</v>
      </c>
      <c r="BH639" s="0">
        <v>484</v>
      </c>
      <c r="BI639" s="0">
        <v>484</v>
      </c>
      <c r="BJ639" s="0" t="s">
        <v>135</v>
      </c>
    </row>
    <row r="640">
      <c r="A640" s="0" t="s">
        <v>830</v>
      </c>
      <c r="B640" s="0" t="s">
        <v>134</v>
      </c>
      <c r="C640" s="0" t="s">
        <v>134</v>
      </c>
      <c r="D640" s="0" t="s">
        <v>135</v>
      </c>
      <c r="E640" s="0" t="s">
        <v>3</v>
      </c>
      <c r="F640" s="0" t="s">
        <v>12</v>
      </c>
      <c r="G640" s="0" t="s">
        <v>8</v>
      </c>
      <c r="H640" s="0">
        <v>2696</v>
      </c>
      <c r="I640" s="0">
        <v>0</v>
      </c>
      <c r="J640" s="0">
        <v>0</v>
      </c>
      <c r="K640" s="0">
        <v>1</v>
      </c>
      <c r="L640" s="0">
        <v>3</v>
      </c>
      <c r="M640" s="0">
        <v>1</v>
      </c>
      <c r="N640" s="0">
        <v>0</v>
      </c>
      <c r="O640" s="0">
        <v>0</v>
      </c>
      <c r="P640" s="0">
        <v>0</v>
      </c>
      <c r="R640" s="0" t="b">
        <v>0</v>
      </c>
      <c r="S640" s="0" t="b">
        <v>1</v>
      </c>
      <c r="T640" s="68">
        <v>43357.6930555556</v>
      </c>
      <c r="U640" s="68">
        <v>43387.5416666667</v>
      </c>
      <c r="V640" s="68">
        <v>0</v>
      </c>
      <c r="W640" s="0">
        <f>IF(IF(B640="none",1,IF(B640="Trialer",1,0))+IF(C640="Customer",1,IF(C640="Lost",1,0))=2,1,0)</f>
      </c>
      <c r="X640" s="0" t="s">
        <v>148</v>
      </c>
      <c r="Y640" s="0" t="s">
        <v>243</v>
      </c>
      <c r="AV640" s="68"/>
      <c r="AW640" s="68"/>
      <c r="AY640" s="27"/>
      <c r="BD640" s="68">
        <v>46054.1666666667</v>
      </c>
      <c r="BE640" s="68">
        <v>46082.1666666667</v>
      </c>
      <c r="BF640" s="0" t="b">
        <v>0</v>
      </c>
      <c r="BG640" s="0" t="b">
        <v>0</v>
      </c>
      <c r="BH640" s="0">
        <v>0</v>
      </c>
      <c r="BI640" s="0">
        <v>0</v>
      </c>
      <c r="BJ640" s="0" t="s">
        <v>230</v>
      </c>
    </row>
    <row r="641">
      <c r="A641" s="0" t="s">
        <v>831</v>
      </c>
      <c r="B641" s="0" t="s">
        <v>134</v>
      </c>
      <c r="C641" s="0" t="s">
        <v>134</v>
      </c>
      <c r="D641" s="0" t="s">
        <v>135</v>
      </c>
      <c r="E641" s="0" t="s">
        <v>2</v>
      </c>
      <c r="F641" s="0" t="s">
        <v>12</v>
      </c>
      <c r="G641" s="0" t="s">
        <v>8</v>
      </c>
      <c r="H641" s="0">
        <v>2691</v>
      </c>
      <c r="I641" s="0">
        <v>49</v>
      </c>
      <c r="J641" s="0">
        <v>0</v>
      </c>
      <c r="K641" s="0">
        <v>1</v>
      </c>
      <c r="L641" s="0">
        <v>3</v>
      </c>
      <c r="M641" s="0">
        <v>1</v>
      </c>
      <c r="N641" s="0">
        <v>0</v>
      </c>
      <c r="O641" s="0">
        <v>0</v>
      </c>
      <c r="P641" s="0">
        <v>0</v>
      </c>
      <c r="R641" s="0" t="b">
        <v>0</v>
      </c>
      <c r="S641" s="0" t="b">
        <v>1</v>
      </c>
      <c r="T641" s="68">
        <v>43362.0392013889</v>
      </c>
      <c r="U641" s="68">
        <v>43395.5416666667</v>
      </c>
      <c r="V641" s="68">
        <v>0</v>
      </c>
      <c r="W641" s="0">
        <f>IF(IF(B641="none",1,IF(B641="Trialer",1,0))+IF(C641="Customer",1,IF(C641="Lost",1,0))=2,1,0)</f>
      </c>
      <c r="X641" s="0" t="s">
        <v>166</v>
      </c>
      <c r="Y641" s="0" t="s">
        <v>499</v>
      </c>
      <c r="AV641" s="68"/>
      <c r="AW641" s="68"/>
      <c r="AY641" s="27"/>
      <c r="BD641" s="68">
        <v>46054.1666666667</v>
      </c>
      <c r="BE641" s="68">
        <v>46082.1666666667</v>
      </c>
      <c r="BF641" s="0" t="b">
        <v>0</v>
      </c>
      <c r="BG641" s="0" t="b">
        <v>0</v>
      </c>
      <c r="BH641" s="0">
        <v>49</v>
      </c>
      <c r="BI641" s="0">
        <v>49</v>
      </c>
      <c r="BJ641" s="0" t="s">
        <v>135</v>
      </c>
    </row>
    <row r="642">
      <c r="A642" s="0" t="s">
        <v>832</v>
      </c>
      <c r="B642" s="0" t="s">
        <v>134</v>
      </c>
      <c r="C642" s="0" t="s">
        <v>134</v>
      </c>
      <c r="D642" s="0" t="s">
        <v>135</v>
      </c>
      <c r="E642" s="0" t="s">
        <v>2</v>
      </c>
      <c r="F642" s="0" t="s">
        <v>12</v>
      </c>
      <c r="G642" s="0" t="s">
        <v>8</v>
      </c>
      <c r="H642" s="0">
        <v>2691</v>
      </c>
      <c r="I642" s="0">
        <v>776</v>
      </c>
      <c r="J642" s="0">
        <v>0</v>
      </c>
      <c r="K642" s="0">
        <v>1</v>
      </c>
      <c r="L642" s="0">
        <v>4</v>
      </c>
      <c r="M642" s="0">
        <v>14</v>
      </c>
      <c r="N642" s="0">
        <v>0</v>
      </c>
      <c r="O642" s="0">
        <v>0</v>
      </c>
      <c r="P642" s="0">
        <v>0</v>
      </c>
      <c r="R642" s="0" t="b">
        <v>0</v>
      </c>
      <c r="S642" s="0" t="b">
        <v>1</v>
      </c>
      <c r="T642" s="68">
        <v>43362.4708680556</v>
      </c>
      <c r="U642" s="68">
        <v>43392.5416666667</v>
      </c>
      <c r="V642" s="68">
        <v>0</v>
      </c>
      <c r="W642" s="0">
        <f>IF(IF(B642="none",1,IF(B642="Trialer",1,0))+IF(C642="Customer",1,IF(C642="Lost",1,0))=2,1,0)</f>
      </c>
      <c r="X642" s="0" t="s">
        <v>148</v>
      </c>
      <c r="Y642" s="0" t="s">
        <v>499</v>
      </c>
      <c r="AV642" s="68"/>
      <c r="AW642" s="68"/>
      <c r="AY642" s="27"/>
      <c r="BD642" s="68">
        <v>46054.1666666667</v>
      </c>
      <c r="BE642" s="68">
        <v>46082.1666666667</v>
      </c>
      <c r="BF642" s="0" t="b">
        <v>0</v>
      </c>
      <c r="BG642" s="0" t="b">
        <v>0</v>
      </c>
      <c r="BH642" s="0">
        <v>776</v>
      </c>
      <c r="BI642" s="0">
        <v>776</v>
      </c>
      <c r="BJ642" s="0" t="s">
        <v>135</v>
      </c>
    </row>
    <row r="643">
      <c r="A643" s="0" t="s">
        <v>833</v>
      </c>
      <c r="B643" s="0" t="s">
        <v>134</v>
      </c>
      <c r="C643" s="0" t="s">
        <v>134</v>
      </c>
      <c r="D643" s="0" t="s">
        <v>135</v>
      </c>
      <c r="E643" s="0" t="s">
        <v>2</v>
      </c>
      <c r="F643" s="0" t="s">
        <v>10</v>
      </c>
      <c r="G643" s="0" t="s">
        <v>8</v>
      </c>
      <c r="H643" s="0">
        <v>2691</v>
      </c>
      <c r="I643" s="0">
        <v>28</v>
      </c>
      <c r="J643" s="0">
        <v>0</v>
      </c>
      <c r="K643" s="0">
        <v>1</v>
      </c>
      <c r="L643" s="0">
        <v>1</v>
      </c>
      <c r="M643" s="0">
        <v>1</v>
      </c>
      <c r="N643" s="0">
        <v>0</v>
      </c>
      <c r="O643" s="0">
        <v>0</v>
      </c>
      <c r="P643" s="0">
        <v>0</v>
      </c>
      <c r="Q643" s="0" t="s">
        <v>834</v>
      </c>
      <c r="R643" s="0" t="b">
        <v>0</v>
      </c>
      <c r="S643" s="0" t="b">
        <v>1</v>
      </c>
      <c r="T643" s="68">
        <v>43362.5501041667</v>
      </c>
      <c r="U643" s="68">
        <v>43392.5416666667</v>
      </c>
      <c r="V643" s="68">
        <v>0</v>
      </c>
      <c r="W643" s="0">
        <f>IF(IF(B643="none",1,IF(B643="Trialer",1,0))+IF(C643="Customer",1,IF(C643="Lost",1,0))=2,1,0)</f>
      </c>
      <c r="X643" s="0" t="s">
        <v>148</v>
      </c>
      <c r="Y643" s="0" t="s">
        <v>480</v>
      </c>
      <c r="AV643" s="68"/>
      <c r="AW643" s="68"/>
      <c r="AY643" s="27"/>
      <c r="BD643" s="68">
        <v>46054.1666666667</v>
      </c>
      <c r="BE643" s="68">
        <v>46082.1666666667</v>
      </c>
      <c r="BF643" s="0" t="b">
        <v>0</v>
      </c>
      <c r="BG643" s="0" t="b">
        <v>0</v>
      </c>
      <c r="BH643" s="0">
        <v>28</v>
      </c>
      <c r="BI643" s="0">
        <v>28</v>
      </c>
      <c r="BJ643" s="0" t="s">
        <v>135</v>
      </c>
    </row>
    <row r="644">
      <c r="A644" s="0" t="s">
        <v>835</v>
      </c>
      <c r="B644" s="0" t="s">
        <v>134</v>
      </c>
      <c r="C644" s="0" t="s">
        <v>134</v>
      </c>
      <c r="D644" s="0" t="s">
        <v>135</v>
      </c>
      <c r="E644" s="0" t="s">
        <v>3</v>
      </c>
      <c r="F644" s="0" t="s">
        <v>12</v>
      </c>
      <c r="G644" s="0" t="s">
        <v>8</v>
      </c>
      <c r="H644" s="0">
        <v>2688</v>
      </c>
      <c r="I644" s="0">
        <v>28</v>
      </c>
      <c r="J644" s="0">
        <v>0</v>
      </c>
      <c r="K644" s="0">
        <v>1</v>
      </c>
      <c r="L644" s="0">
        <v>1</v>
      </c>
      <c r="M644" s="0">
        <v>1</v>
      </c>
      <c r="N644" s="0">
        <v>0</v>
      </c>
      <c r="O644" s="0">
        <v>0</v>
      </c>
      <c r="P644" s="0">
        <v>0</v>
      </c>
      <c r="R644" s="0" t="b">
        <v>0</v>
      </c>
      <c r="S644" s="0" t="b">
        <v>1</v>
      </c>
      <c r="T644" s="68">
        <v>43365.5173032407</v>
      </c>
      <c r="U644" s="68">
        <v>43395.5416666667</v>
      </c>
      <c r="V644" s="68">
        <v>0</v>
      </c>
      <c r="W644" s="0">
        <f>IF(IF(B644="none",1,IF(B644="Trialer",1,0))+IF(C644="Customer",1,IF(C644="Lost",1,0))=2,1,0)</f>
      </c>
      <c r="X644" s="0" t="s">
        <v>166</v>
      </c>
      <c r="Y644" s="0" t="s">
        <v>487</v>
      </c>
      <c r="AV644" s="68"/>
      <c r="AW644" s="68"/>
      <c r="AY644" s="27"/>
      <c r="BD644" s="68">
        <v>46054.1666666667</v>
      </c>
      <c r="BE644" s="68">
        <v>46082.1666666667</v>
      </c>
      <c r="BF644" s="0" t="b">
        <v>0</v>
      </c>
      <c r="BG644" s="0" t="b">
        <v>0</v>
      </c>
      <c r="BH644" s="0">
        <v>28</v>
      </c>
      <c r="BI644" s="0">
        <v>28</v>
      </c>
      <c r="BJ644" s="0" t="s">
        <v>135</v>
      </c>
    </row>
    <row r="645">
      <c r="A645" s="0" t="s">
        <v>836</v>
      </c>
      <c r="B645" s="0" t="s">
        <v>134</v>
      </c>
      <c r="C645" s="0" t="s">
        <v>134</v>
      </c>
      <c r="D645" s="0" t="s">
        <v>135</v>
      </c>
      <c r="E645" s="0" t="s">
        <v>3</v>
      </c>
      <c r="F645" s="0" t="s">
        <v>12</v>
      </c>
      <c r="G645" s="0" t="s">
        <v>8</v>
      </c>
      <c r="H645" s="0">
        <v>2688</v>
      </c>
      <c r="I645" s="0">
        <v>799</v>
      </c>
      <c r="J645" s="0">
        <v>0</v>
      </c>
      <c r="K645" s="0">
        <v>1</v>
      </c>
      <c r="L645" s="0">
        <v>4</v>
      </c>
      <c r="M645" s="0">
        <v>9</v>
      </c>
      <c r="N645" s="0">
        <v>976.5</v>
      </c>
      <c r="O645" s="0">
        <v>0</v>
      </c>
      <c r="P645" s="0">
        <v>0</v>
      </c>
      <c r="R645" s="0" t="b">
        <v>0</v>
      </c>
      <c r="S645" s="0" t="b">
        <v>1</v>
      </c>
      <c r="T645" s="68">
        <v>43365.6029398148</v>
      </c>
      <c r="U645" s="68">
        <v>43396.5416666667</v>
      </c>
      <c r="V645" s="68">
        <v>0</v>
      </c>
      <c r="W645" s="0">
        <f>IF(IF(B645="none",1,IF(B645="Trialer",1,0))+IF(C645="Customer",1,IF(C645="Lost",1,0))=2,1,0)</f>
      </c>
      <c r="X645" s="0" t="s">
        <v>136</v>
      </c>
      <c r="Y645" s="0" t="s">
        <v>243</v>
      </c>
      <c r="AV645" s="68"/>
      <c r="AW645" s="68"/>
      <c r="AY645" s="27"/>
      <c r="BD645" s="68">
        <v>46054.1666666667</v>
      </c>
      <c r="BE645" s="68">
        <v>46082.1666666667</v>
      </c>
      <c r="BF645" s="0" t="b">
        <v>0</v>
      </c>
      <c r="BG645" s="0" t="b">
        <v>0</v>
      </c>
      <c r="BH645" s="0">
        <v>474</v>
      </c>
      <c r="BI645" s="0">
        <v>474</v>
      </c>
      <c r="BJ645" s="0" t="s">
        <v>135</v>
      </c>
    </row>
    <row r="646">
      <c r="A646" s="0" t="s">
        <v>837</v>
      </c>
      <c r="B646" s="0" t="s">
        <v>134</v>
      </c>
      <c r="C646" s="0" t="s">
        <v>134</v>
      </c>
      <c r="D646" s="0" t="s">
        <v>135</v>
      </c>
      <c r="E646" s="0" t="s">
        <v>3</v>
      </c>
      <c r="F646" s="0" t="s">
        <v>12</v>
      </c>
      <c r="G646" s="0" t="s">
        <v>8</v>
      </c>
      <c r="H646" s="0">
        <v>2686</v>
      </c>
      <c r="I646" s="0">
        <v>49</v>
      </c>
      <c r="J646" s="0">
        <v>0</v>
      </c>
      <c r="K646" s="0">
        <v>1</v>
      </c>
      <c r="L646" s="0">
        <v>3</v>
      </c>
      <c r="M646" s="0">
        <v>1</v>
      </c>
      <c r="N646" s="0">
        <v>0</v>
      </c>
      <c r="O646" s="0">
        <v>0</v>
      </c>
      <c r="P646" s="0">
        <v>0</v>
      </c>
      <c r="R646" s="0" t="b">
        <v>0</v>
      </c>
      <c r="S646" s="0" t="b">
        <v>1</v>
      </c>
      <c r="T646" s="68">
        <v>43367.5593865741</v>
      </c>
      <c r="U646" s="68">
        <v>43397.5416666667</v>
      </c>
      <c r="V646" s="68">
        <v>0</v>
      </c>
      <c r="W646" s="0">
        <f>IF(IF(B646="none",1,IF(B646="Trialer",1,0))+IF(C646="Customer",1,IF(C646="Lost",1,0))=2,1,0)</f>
      </c>
      <c r="X646" s="0" t="s">
        <v>166</v>
      </c>
      <c r="Y646" s="0" t="s">
        <v>243</v>
      </c>
      <c r="AV646" s="68"/>
      <c r="AW646" s="68"/>
      <c r="AY646" s="27"/>
      <c r="BD646" s="68">
        <v>46054.1666666667</v>
      </c>
      <c r="BE646" s="68">
        <v>46082.1666666667</v>
      </c>
      <c r="BF646" s="0" t="b">
        <v>0</v>
      </c>
      <c r="BG646" s="0" t="b">
        <v>0</v>
      </c>
      <c r="BH646" s="0">
        <v>49</v>
      </c>
      <c r="BI646" s="0">
        <v>49</v>
      </c>
      <c r="BJ646" s="0" t="s">
        <v>135</v>
      </c>
    </row>
    <row r="647">
      <c r="A647" s="0" t="s">
        <v>838</v>
      </c>
      <c r="B647" s="0" t="s">
        <v>134</v>
      </c>
      <c r="C647" s="0" t="s">
        <v>134</v>
      </c>
      <c r="D647" s="0" t="s">
        <v>135</v>
      </c>
      <c r="E647" s="0" t="s">
        <v>3</v>
      </c>
      <c r="F647" s="0" t="s">
        <v>12</v>
      </c>
      <c r="G647" s="0" t="s">
        <v>8</v>
      </c>
      <c r="H647" s="0">
        <v>2685</v>
      </c>
      <c r="I647" s="0">
        <v>0</v>
      </c>
      <c r="J647" s="0">
        <v>0</v>
      </c>
      <c r="K647" s="0">
        <v>1</v>
      </c>
      <c r="L647" s="0">
        <v>6</v>
      </c>
      <c r="M647" s="0">
        <v>1</v>
      </c>
      <c r="N647" s="0">
        <v>0</v>
      </c>
      <c r="O647" s="0">
        <v>0</v>
      </c>
      <c r="P647" s="0">
        <v>0</v>
      </c>
      <c r="R647" s="0" t="b">
        <v>0</v>
      </c>
      <c r="S647" s="0" t="b">
        <v>1</v>
      </c>
      <c r="T647" s="68">
        <v>43368.68125</v>
      </c>
      <c r="U647" s="68">
        <v>43398.5416666667</v>
      </c>
      <c r="V647" s="68">
        <v>0</v>
      </c>
      <c r="W647" s="0">
        <f>IF(IF(B647="none",1,IF(B647="Trialer",1,0))+IF(C647="Customer",1,IF(C647="Lost",1,0))=2,1,0)</f>
      </c>
      <c r="X647" s="0" t="s">
        <v>136</v>
      </c>
      <c r="Y647" s="0" t="s">
        <v>243</v>
      </c>
      <c r="AV647" s="68"/>
      <c r="AW647" s="68"/>
      <c r="AY647" s="27"/>
      <c r="BD647" s="68">
        <v>46054.1666666667</v>
      </c>
      <c r="BE647" s="68">
        <v>46082.1666666667</v>
      </c>
      <c r="BF647" s="0" t="b">
        <v>0</v>
      </c>
      <c r="BG647" s="0" t="b">
        <v>0</v>
      </c>
      <c r="BH647" s="0">
        <v>0</v>
      </c>
      <c r="BI647" s="0">
        <v>0</v>
      </c>
      <c r="BJ647" s="0" t="s">
        <v>135</v>
      </c>
    </row>
    <row r="648">
      <c r="A648" s="0" t="s">
        <v>839</v>
      </c>
      <c r="B648" s="0" t="s">
        <v>134</v>
      </c>
      <c r="C648" s="0" t="s">
        <v>134</v>
      </c>
      <c r="D648" s="0" t="s">
        <v>135</v>
      </c>
      <c r="E648" s="0" t="s">
        <v>3</v>
      </c>
      <c r="F648" s="0" t="s">
        <v>12</v>
      </c>
      <c r="G648" s="0" t="s">
        <v>8</v>
      </c>
      <c r="H648" s="0">
        <v>2685</v>
      </c>
      <c r="I648" s="0">
        <v>416</v>
      </c>
      <c r="J648" s="0">
        <v>0</v>
      </c>
      <c r="K648" s="0">
        <v>1</v>
      </c>
      <c r="L648" s="0">
        <v>3</v>
      </c>
      <c r="M648" s="0">
        <v>8</v>
      </c>
      <c r="N648" s="0">
        <v>0</v>
      </c>
      <c r="O648" s="0">
        <v>0</v>
      </c>
      <c r="P648" s="0">
        <v>0</v>
      </c>
      <c r="R648" s="0" t="b">
        <v>0</v>
      </c>
      <c r="S648" s="0" t="b">
        <v>1</v>
      </c>
      <c r="T648" s="68">
        <v>43368.7823611111</v>
      </c>
      <c r="U648" s="68">
        <v>43398.5416666667</v>
      </c>
      <c r="V648" s="68">
        <v>0</v>
      </c>
      <c r="W648" s="0">
        <f>IF(IF(B648="none",1,IF(B648="Trialer",1,0))+IF(C648="Customer",1,IF(C648="Lost",1,0))=2,1,0)</f>
      </c>
      <c r="X648" s="0" t="s">
        <v>148</v>
      </c>
      <c r="Y648" s="0" t="s">
        <v>243</v>
      </c>
      <c r="AV648" s="68"/>
      <c r="AW648" s="68"/>
      <c r="AY648" s="27"/>
      <c r="BD648" s="68">
        <v>46054.1666666667</v>
      </c>
      <c r="BE648" s="68">
        <v>46082.1666666667</v>
      </c>
      <c r="BF648" s="0" t="b">
        <v>0</v>
      </c>
      <c r="BG648" s="0" t="b">
        <v>0</v>
      </c>
      <c r="BH648" s="0">
        <v>416</v>
      </c>
      <c r="BI648" s="0">
        <v>416</v>
      </c>
      <c r="BJ648" s="0" t="s">
        <v>135</v>
      </c>
    </row>
    <row r="649">
      <c r="A649" s="0" t="s">
        <v>840</v>
      </c>
      <c r="B649" s="0" t="s">
        <v>134</v>
      </c>
      <c r="C649" s="0" t="s">
        <v>134</v>
      </c>
      <c r="D649" s="0" t="s">
        <v>135</v>
      </c>
      <c r="E649" s="0" t="s">
        <v>2</v>
      </c>
      <c r="F649" s="0" t="s">
        <v>12</v>
      </c>
      <c r="G649" s="0" t="s">
        <v>8</v>
      </c>
      <c r="H649" s="0">
        <v>2683</v>
      </c>
      <c r="I649" s="0">
        <v>104</v>
      </c>
      <c r="J649" s="0">
        <v>0</v>
      </c>
      <c r="K649" s="0">
        <v>1</v>
      </c>
      <c r="L649" s="0">
        <v>3</v>
      </c>
      <c r="M649" s="0">
        <v>2</v>
      </c>
      <c r="N649" s="0">
        <v>0</v>
      </c>
      <c r="O649" s="0">
        <v>0</v>
      </c>
      <c r="P649" s="0">
        <v>0</v>
      </c>
      <c r="R649" s="0" t="b">
        <v>0</v>
      </c>
      <c r="S649" s="0" t="b">
        <v>1</v>
      </c>
      <c r="T649" s="68">
        <v>43370.6853009259</v>
      </c>
      <c r="U649" s="68">
        <v>43407.5416666667</v>
      </c>
      <c r="V649" s="68">
        <v>0</v>
      </c>
      <c r="W649" s="0">
        <f>IF(IF(B649="none",1,IF(B649="Trialer",1,0))+IF(C649="Customer",1,IF(C649="Lost",1,0))=2,1,0)</f>
      </c>
      <c r="X649" s="0" t="s">
        <v>142</v>
      </c>
      <c r="Y649" s="0" t="s">
        <v>499</v>
      </c>
      <c r="AV649" s="68"/>
      <c r="AW649" s="68"/>
      <c r="AY649" s="27"/>
      <c r="BD649" s="68">
        <v>46054.1666666667</v>
      </c>
      <c r="BE649" s="68">
        <v>46082.1666666667</v>
      </c>
      <c r="BF649" s="0" t="b">
        <v>0</v>
      </c>
      <c r="BG649" s="0" t="b">
        <v>0</v>
      </c>
      <c r="BH649" s="0">
        <v>104</v>
      </c>
      <c r="BI649" s="0">
        <v>104</v>
      </c>
      <c r="BJ649" s="0" t="s">
        <v>135</v>
      </c>
    </row>
    <row r="650">
      <c r="A650" s="0" t="s">
        <v>841</v>
      </c>
      <c r="B650" s="0" t="s">
        <v>134</v>
      </c>
      <c r="C650" s="0" t="s">
        <v>134</v>
      </c>
      <c r="D650" s="0" t="s">
        <v>230</v>
      </c>
      <c r="E650" s="0" t="s">
        <v>2</v>
      </c>
      <c r="F650" s="0" t="s">
        <v>12</v>
      </c>
      <c r="G650" s="0" t="s">
        <v>8</v>
      </c>
      <c r="H650" s="0">
        <v>2682</v>
      </c>
      <c r="I650" s="0">
        <v>749</v>
      </c>
      <c r="J650" s="0">
        <v>0</v>
      </c>
      <c r="K650" s="0">
        <v>1</v>
      </c>
      <c r="L650" s="0">
        <v>3</v>
      </c>
      <c r="M650" s="0">
        <v>10</v>
      </c>
      <c r="N650" s="0">
        <v>0</v>
      </c>
      <c r="O650" s="0">
        <v>0</v>
      </c>
      <c r="P650" s="0">
        <v>-424</v>
      </c>
      <c r="R650" s="0" t="b">
        <v>0</v>
      </c>
      <c r="S650" s="0" t="b">
        <v>1</v>
      </c>
      <c r="T650" s="68">
        <v>43371.3721180556</v>
      </c>
      <c r="U650" s="68">
        <v>43401.5416666667</v>
      </c>
      <c r="V650" s="68">
        <v>0</v>
      </c>
      <c r="W650" s="0">
        <f>IF(IF(B650="none",1,IF(B650="Trialer",1,0))+IF(C650="Customer",1,IF(C650="Lost",1,0))=2,1,0)</f>
      </c>
      <c r="X650" s="0" t="s">
        <v>148</v>
      </c>
      <c r="Y650" s="0" t="s">
        <v>499</v>
      </c>
      <c r="AV650" s="68"/>
      <c r="AW650" s="68"/>
      <c r="AY650" s="27"/>
      <c r="BD650" s="68">
        <v>46054.1666666667</v>
      </c>
      <c r="BE650" s="68">
        <v>46082.1666666667</v>
      </c>
      <c r="BF650" s="0" t="b">
        <v>0</v>
      </c>
      <c r="BG650" s="0" t="b">
        <v>0</v>
      </c>
      <c r="BH650" s="0">
        <v>472</v>
      </c>
      <c r="BI650" s="0">
        <v>472</v>
      </c>
      <c r="BJ650" s="0" t="s">
        <v>230</v>
      </c>
    </row>
    <row r="651">
      <c r="A651" s="0" t="s">
        <v>842</v>
      </c>
      <c r="B651" s="0" t="s">
        <v>134</v>
      </c>
      <c r="C651" s="0" t="s">
        <v>134</v>
      </c>
      <c r="D651" s="0" t="s">
        <v>135</v>
      </c>
      <c r="E651" s="0" t="s">
        <v>2</v>
      </c>
      <c r="F651" s="0" t="s">
        <v>12</v>
      </c>
      <c r="G651" s="0" t="s">
        <v>8</v>
      </c>
      <c r="H651" s="0">
        <v>2682</v>
      </c>
      <c r="I651" s="0">
        <v>73</v>
      </c>
      <c r="J651" s="0">
        <v>0</v>
      </c>
      <c r="K651" s="0">
        <v>1</v>
      </c>
      <c r="L651" s="0">
        <v>5</v>
      </c>
      <c r="M651" s="0">
        <v>1</v>
      </c>
      <c r="N651" s="0">
        <v>0</v>
      </c>
      <c r="O651" s="0">
        <v>0</v>
      </c>
      <c r="P651" s="0">
        <v>0</v>
      </c>
      <c r="R651" s="0" t="b">
        <v>0</v>
      </c>
      <c r="S651" s="0" t="b">
        <v>1</v>
      </c>
      <c r="T651" s="68">
        <v>43371.7490740741</v>
      </c>
      <c r="U651" s="68">
        <v>43406.5416666667</v>
      </c>
      <c r="V651" s="68">
        <v>0</v>
      </c>
      <c r="W651" s="0">
        <f>IF(IF(B651="none",1,IF(B651="Trialer",1,0))+IF(C651="Customer",1,IF(C651="Lost",1,0))=2,1,0)</f>
      </c>
      <c r="X651" s="0" t="s">
        <v>142</v>
      </c>
      <c r="Y651" s="0" t="s">
        <v>499</v>
      </c>
      <c r="AV651" s="68"/>
      <c r="AW651" s="68"/>
      <c r="AY651" s="27"/>
      <c r="BD651" s="68">
        <v>46054.1666666667</v>
      </c>
      <c r="BE651" s="68">
        <v>46082.1666666667</v>
      </c>
      <c r="BF651" s="0" t="b">
        <v>0</v>
      </c>
      <c r="BG651" s="0" t="b">
        <v>0</v>
      </c>
      <c r="BH651" s="0">
        <v>73</v>
      </c>
      <c r="BI651" s="0">
        <v>73</v>
      </c>
      <c r="BJ651" s="0" t="s">
        <v>135</v>
      </c>
    </row>
    <row r="652">
      <c r="A652" s="0" t="s">
        <v>843</v>
      </c>
      <c r="B652" s="0" t="s">
        <v>134</v>
      </c>
      <c r="C652" s="0" t="s">
        <v>134</v>
      </c>
      <c r="D652" s="0" t="s">
        <v>135</v>
      </c>
      <c r="E652" s="0" t="s">
        <v>3</v>
      </c>
      <c r="F652" s="0" t="s">
        <v>12</v>
      </c>
      <c r="G652" s="0" t="s">
        <v>8</v>
      </c>
      <c r="H652" s="0">
        <v>2681</v>
      </c>
      <c r="I652" s="0">
        <v>281</v>
      </c>
      <c r="J652" s="0">
        <v>0</v>
      </c>
      <c r="K652" s="0">
        <v>1</v>
      </c>
      <c r="L652" s="0">
        <v>4</v>
      </c>
      <c r="M652" s="0">
        <v>5</v>
      </c>
      <c r="N652" s="0">
        <v>0</v>
      </c>
      <c r="O652" s="0">
        <v>0</v>
      </c>
      <c r="P652" s="0">
        <v>0</v>
      </c>
      <c r="R652" s="0" t="b">
        <v>0</v>
      </c>
      <c r="S652" s="0" t="b">
        <v>1</v>
      </c>
      <c r="T652" s="68">
        <v>43372.7694444444</v>
      </c>
      <c r="U652" s="68">
        <v>43402.5</v>
      </c>
      <c r="V652" s="68">
        <v>0</v>
      </c>
      <c r="W652" s="0">
        <f>IF(IF(B652="none",1,IF(B652="Trialer",1,0))+IF(C652="Customer",1,IF(C652="Lost",1,0))=2,1,0)</f>
      </c>
      <c r="X652" s="0" t="s">
        <v>148</v>
      </c>
      <c r="Y652" s="0" t="s">
        <v>243</v>
      </c>
      <c r="AV652" s="68"/>
      <c r="AW652" s="68"/>
      <c r="AY652" s="27"/>
      <c r="BD652" s="68">
        <v>46054.1666666667</v>
      </c>
      <c r="BE652" s="68">
        <v>46082.1666666667</v>
      </c>
      <c r="BF652" s="0" t="b">
        <v>0</v>
      </c>
      <c r="BG652" s="0" t="b">
        <v>0</v>
      </c>
      <c r="BH652" s="0">
        <v>281</v>
      </c>
      <c r="BI652" s="0">
        <v>281</v>
      </c>
      <c r="BJ652" s="0" t="s">
        <v>135</v>
      </c>
    </row>
    <row r="653">
      <c r="A653" s="0" t="s">
        <v>844</v>
      </c>
      <c r="B653" s="0" t="s">
        <v>134</v>
      </c>
      <c r="C653" s="0" t="s">
        <v>134</v>
      </c>
      <c r="D653" s="0" t="s">
        <v>135</v>
      </c>
      <c r="E653" s="0" t="s">
        <v>3</v>
      </c>
      <c r="F653" s="0" t="s">
        <v>12</v>
      </c>
      <c r="G653" s="0" t="s">
        <v>8</v>
      </c>
      <c r="H653" s="0">
        <v>2678</v>
      </c>
      <c r="I653" s="0">
        <v>170</v>
      </c>
      <c r="J653" s="0">
        <v>0</v>
      </c>
      <c r="K653" s="0">
        <v>1</v>
      </c>
      <c r="L653" s="0">
        <v>3</v>
      </c>
      <c r="M653" s="0">
        <v>5</v>
      </c>
      <c r="N653" s="0">
        <v>0</v>
      </c>
      <c r="O653" s="0">
        <v>0</v>
      </c>
      <c r="P653" s="0">
        <v>0</v>
      </c>
      <c r="R653" s="0" t="b">
        <v>0</v>
      </c>
      <c r="S653" s="0" t="b">
        <v>1</v>
      </c>
      <c r="T653" s="68">
        <v>43375.5326388889</v>
      </c>
      <c r="U653" s="68">
        <v>43434.5</v>
      </c>
      <c r="V653" s="68">
        <v>0</v>
      </c>
      <c r="W653" s="0">
        <f>IF(IF(B653="none",1,IF(B653="Trialer",1,0))+IF(C653="Customer",1,IF(C653="Lost",1,0))=2,1,0)</f>
      </c>
      <c r="X653" s="0" t="s">
        <v>136</v>
      </c>
      <c r="Y653" s="0" t="s">
        <v>243</v>
      </c>
      <c r="AV653" s="68"/>
      <c r="AW653" s="68"/>
      <c r="AY653" s="27"/>
      <c r="BD653" s="68">
        <v>46054.1666666667</v>
      </c>
      <c r="BE653" s="68">
        <v>46082.1666666667</v>
      </c>
      <c r="BF653" s="0" t="b">
        <v>0</v>
      </c>
      <c r="BG653" s="0" t="b">
        <v>0</v>
      </c>
      <c r="BH653" s="0">
        <v>170</v>
      </c>
      <c r="BI653" s="0">
        <v>170</v>
      </c>
      <c r="BJ653" s="0" t="s">
        <v>135</v>
      </c>
    </row>
    <row r="654">
      <c r="A654" s="0" t="s">
        <v>845</v>
      </c>
      <c r="B654" s="0" t="s">
        <v>134</v>
      </c>
      <c r="C654" s="0" t="s">
        <v>134</v>
      </c>
      <c r="D654" s="0" t="s">
        <v>135</v>
      </c>
      <c r="E654" s="0" t="s">
        <v>3</v>
      </c>
      <c r="F654" s="0" t="s">
        <v>12</v>
      </c>
      <c r="G654" s="0" t="s">
        <v>8</v>
      </c>
      <c r="H654" s="0">
        <v>2678</v>
      </c>
      <c r="I654" s="0">
        <v>0</v>
      </c>
      <c r="J654" s="0">
        <v>0</v>
      </c>
      <c r="K654" s="0">
        <v>1</v>
      </c>
      <c r="L654" s="0">
        <v>4</v>
      </c>
      <c r="M654" s="0">
        <v>2</v>
      </c>
      <c r="N654" s="0">
        <v>0</v>
      </c>
      <c r="O654" s="0">
        <v>0</v>
      </c>
      <c r="P654" s="0">
        <v>0</v>
      </c>
      <c r="R654" s="0" t="b">
        <v>0</v>
      </c>
      <c r="S654" s="0" t="b">
        <v>1</v>
      </c>
      <c r="T654" s="68">
        <v>43375.5965277778</v>
      </c>
      <c r="U654" s="68">
        <v>43406.5416666667</v>
      </c>
      <c r="V654" s="68">
        <v>0</v>
      </c>
      <c r="W654" s="0">
        <f>IF(IF(B654="none",1,IF(B654="Trialer",1,0))+IF(C654="Customer",1,IF(C654="Lost",1,0))=2,1,0)</f>
      </c>
      <c r="X654" s="0" t="s">
        <v>148</v>
      </c>
      <c r="Y654" s="0" t="s">
        <v>243</v>
      </c>
      <c r="AV654" s="68"/>
      <c r="AW654" s="68"/>
      <c r="AY654" s="27"/>
      <c r="BD654" s="68">
        <v>46054.1666666667</v>
      </c>
      <c r="BE654" s="68">
        <v>46082.1666666667</v>
      </c>
      <c r="BF654" s="0" t="b">
        <v>0</v>
      </c>
      <c r="BG654" s="0" t="b">
        <v>0</v>
      </c>
      <c r="BH654" s="0">
        <v>0</v>
      </c>
      <c r="BI654" s="0">
        <v>0</v>
      </c>
      <c r="BJ654" s="0" t="s">
        <v>135</v>
      </c>
    </row>
    <row r="655">
      <c r="A655" s="0" t="s">
        <v>846</v>
      </c>
      <c r="B655" s="0" t="s">
        <v>134</v>
      </c>
      <c r="C655" s="0" t="s">
        <v>134</v>
      </c>
      <c r="D655" s="0" t="s">
        <v>135</v>
      </c>
      <c r="E655" s="0" t="s">
        <v>3</v>
      </c>
      <c r="F655" s="0" t="s">
        <v>12</v>
      </c>
      <c r="G655" s="0" t="s">
        <v>8</v>
      </c>
      <c r="H655" s="0">
        <v>2677</v>
      </c>
      <c r="I655" s="0">
        <v>219</v>
      </c>
      <c r="J655" s="0">
        <v>-219</v>
      </c>
      <c r="K655" s="0">
        <v>1</v>
      </c>
      <c r="L655" s="0">
        <v>5</v>
      </c>
      <c r="M655" s="0">
        <v>3</v>
      </c>
      <c r="N655" s="0">
        <v>0</v>
      </c>
      <c r="O655" s="0">
        <v>0</v>
      </c>
      <c r="P655" s="0">
        <v>0</v>
      </c>
      <c r="R655" s="0" t="b">
        <v>0</v>
      </c>
      <c r="S655" s="0" t="b">
        <v>1</v>
      </c>
      <c r="T655" s="68">
        <v>43376.4114583333</v>
      </c>
      <c r="U655" s="68">
        <v>43416.5</v>
      </c>
      <c r="V655" s="68">
        <v>0</v>
      </c>
      <c r="W655" s="0">
        <f>IF(IF(B655="none",1,IF(B655="Trialer",1,0))+IF(C655="Customer",1,IF(C655="Lost",1,0))=2,1,0)</f>
      </c>
      <c r="X655" s="0" t="s">
        <v>166</v>
      </c>
      <c r="Y655" s="0" t="s">
        <v>243</v>
      </c>
      <c r="AV655" s="68"/>
      <c r="AW655" s="68"/>
      <c r="AY655" s="27"/>
      <c r="BD655" s="68">
        <v>46054.1666666667</v>
      </c>
      <c r="BE655" s="68">
        <v>46082.1666666667</v>
      </c>
      <c r="BF655" s="0" t="b">
        <v>0</v>
      </c>
      <c r="BG655" s="0" t="b">
        <v>0</v>
      </c>
      <c r="BH655" s="0">
        <v>0</v>
      </c>
      <c r="BI655" s="0">
        <v>0</v>
      </c>
      <c r="BJ655" s="0" t="s">
        <v>135</v>
      </c>
    </row>
    <row r="656">
      <c r="A656" s="0" t="s">
        <v>847</v>
      </c>
      <c r="B656" s="0" t="s">
        <v>134</v>
      </c>
      <c r="C656" s="0" t="s">
        <v>134</v>
      </c>
      <c r="D656" s="0" t="s">
        <v>135</v>
      </c>
      <c r="E656" s="0" t="s">
        <v>2</v>
      </c>
      <c r="F656" s="0" t="s">
        <v>12</v>
      </c>
      <c r="G656" s="0" t="s">
        <v>8</v>
      </c>
      <c r="H656" s="0">
        <v>2676</v>
      </c>
      <c r="I656" s="0">
        <v>28</v>
      </c>
      <c r="J656" s="0">
        <v>0</v>
      </c>
      <c r="K656" s="0">
        <v>1</v>
      </c>
      <c r="L656" s="0">
        <v>1</v>
      </c>
      <c r="M656" s="0">
        <v>1</v>
      </c>
      <c r="N656" s="0">
        <v>0</v>
      </c>
      <c r="O656" s="0">
        <v>0</v>
      </c>
      <c r="P656" s="0">
        <v>0</v>
      </c>
      <c r="R656" s="0" t="b">
        <v>0</v>
      </c>
      <c r="S656" s="0" t="b">
        <v>1</v>
      </c>
      <c r="T656" s="68">
        <v>43377.7156134259</v>
      </c>
      <c r="U656" s="68">
        <v>43408.5</v>
      </c>
      <c r="V656" s="68">
        <v>0</v>
      </c>
      <c r="W656" s="0">
        <f>IF(IF(B656="none",1,IF(B656="Trialer",1,0))+IF(C656="Customer",1,IF(C656="Lost",1,0))=2,1,0)</f>
      </c>
      <c r="X656" s="0" t="s">
        <v>166</v>
      </c>
      <c r="Y656" s="0" t="s">
        <v>499</v>
      </c>
      <c r="AV656" s="68"/>
      <c r="AW656" s="68"/>
      <c r="AY656" s="27"/>
      <c r="BD656" s="68">
        <v>46054.1666666667</v>
      </c>
      <c r="BE656" s="68">
        <v>46082.1666666667</v>
      </c>
      <c r="BF656" s="0" t="b">
        <v>0</v>
      </c>
      <c r="BG656" s="0" t="b">
        <v>0</v>
      </c>
      <c r="BH656" s="0">
        <v>28</v>
      </c>
      <c r="BI656" s="0">
        <v>28</v>
      </c>
      <c r="BJ656" s="0" t="s">
        <v>135</v>
      </c>
    </row>
    <row r="657">
      <c r="A657" s="0" t="s">
        <v>848</v>
      </c>
      <c r="B657" s="0" t="s">
        <v>134</v>
      </c>
      <c r="C657" s="0" t="s">
        <v>134</v>
      </c>
      <c r="D657" s="0" t="s">
        <v>230</v>
      </c>
      <c r="E657" s="0" t="s">
        <v>2</v>
      </c>
      <c r="F657" s="0" t="s">
        <v>12</v>
      </c>
      <c r="G657" s="0" t="s">
        <v>8</v>
      </c>
      <c r="H657" s="0">
        <v>2675</v>
      </c>
      <c r="I657" s="0">
        <v>80</v>
      </c>
      <c r="J657" s="0">
        <v>0</v>
      </c>
      <c r="K657" s="0">
        <v>1</v>
      </c>
      <c r="L657" s="0">
        <v>3</v>
      </c>
      <c r="M657" s="0">
        <v>2</v>
      </c>
      <c r="N657" s="0">
        <v>0</v>
      </c>
      <c r="O657" s="0">
        <v>0</v>
      </c>
      <c r="P657" s="0">
        <v>-80</v>
      </c>
      <c r="R657" s="0" t="b">
        <v>0</v>
      </c>
      <c r="S657" s="0" t="b">
        <v>1</v>
      </c>
      <c r="T657" s="68">
        <v>43378.4460185185</v>
      </c>
      <c r="U657" s="68">
        <v>43409.5</v>
      </c>
      <c r="V657" s="68">
        <v>0</v>
      </c>
      <c r="W657" s="0">
        <f>IF(IF(B657="none",1,IF(B657="Trialer",1,0))+IF(C657="Customer",1,IF(C657="Lost",1,0))=2,1,0)</f>
      </c>
      <c r="X657" s="0" t="s">
        <v>142</v>
      </c>
      <c r="Y657" s="0" t="s">
        <v>499</v>
      </c>
      <c r="AV657" s="68"/>
      <c r="AW657" s="68"/>
      <c r="AY657" s="27"/>
      <c r="BD657" s="68">
        <v>46054.1666666667</v>
      </c>
      <c r="BE657" s="68">
        <v>46082.1666666667</v>
      </c>
      <c r="BF657" s="0" t="b">
        <v>0</v>
      </c>
      <c r="BG657" s="0" t="b">
        <v>0</v>
      </c>
      <c r="BH657" s="0">
        <v>89</v>
      </c>
      <c r="BI657" s="0">
        <v>89</v>
      </c>
      <c r="BJ657" s="0" t="s">
        <v>230</v>
      </c>
    </row>
    <row r="658">
      <c r="A658" s="0" t="s">
        <v>849</v>
      </c>
      <c r="B658" s="0" t="s">
        <v>134</v>
      </c>
      <c r="C658" s="0" t="s">
        <v>134</v>
      </c>
      <c r="D658" s="0" t="s">
        <v>135</v>
      </c>
      <c r="E658" s="0" t="s">
        <v>3</v>
      </c>
      <c r="F658" s="0" t="s">
        <v>10</v>
      </c>
      <c r="G658" s="0" t="s">
        <v>8</v>
      </c>
      <c r="H658" s="0">
        <v>2675</v>
      </c>
      <c r="I658" s="0">
        <v>168</v>
      </c>
      <c r="J658" s="0">
        <v>0</v>
      </c>
      <c r="K658" s="0">
        <v>1</v>
      </c>
      <c r="L658" s="0">
        <v>1</v>
      </c>
      <c r="M658" s="0">
        <v>6</v>
      </c>
      <c r="N658" s="0">
        <v>0</v>
      </c>
      <c r="O658" s="0">
        <v>0</v>
      </c>
      <c r="P658" s="0">
        <v>0</v>
      </c>
      <c r="Q658" s="0" t="s">
        <v>618</v>
      </c>
      <c r="R658" s="0" t="b">
        <v>0</v>
      </c>
      <c r="S658" s="0" t="b">
        <v>1</v>
      </c>
      <c r="T658" s="68">
        <v>43378.6520833333</v>
      </c>
      <c r="U658" s="68">
        <v>43409.5</v>
      </c>
      <c r="V658" s="68">
        <v>0</v>
      </c>
      <c r="W658" s="0">
        <f>IF(IF(B658="none",1,IF(B658="Trialer",1,0))+IF(C658="Customer",1,IF(C658="Lost",1,0))=2,1,0)</f>
      </c>
      <c r="X658" s="0" t="s">
        <v>148</v>
      </c>
      <c r="Y658" s="0" t="s">
        <v>243</v>
      </c>
      <c r="AV658" s="68"/>
      <c r="AW658" s="68"/>
      <c r="AY658" s="27"/>
      <c r="BD658" s="68">
        <v>46054.1666666667</v>
      </c>
      <c r="BE658" s="68">
        <v>46082.1666666667</v>
      </c>
      <c r="BF658" s="0" t="b">
        <v>0</v>
      </c>
      <c r="BG658" s="0" t="b">
        <v>0</v>
      </c>
      <c r="BH658" s="0">
        <v>168</v>
      </c>
      <c r="BI658" s="0">
        <v>168</v>
      </c>
      <c r="BJ658" s="0" t="s">
        <v>135</v>
      </c>
    </row>
    <row r="659">
      <c r="A659" s="0" t="s">
        <v>850</v>
      </c>
      <c r="B659" s="0" t="s">
        <v>134</v>
      </c>
      <c r="C659" s="0" t="s">
        <v>134</v>
      </c>
      <c r="D659" s="0" t="s">
        <v>230</v>
      </c>
      <c r="E659" s="0" t="s">
        <v>2</v>
      </c>
      <c r="F659" s="0" t="s">
        <v>12</v>
      </c>
      <c r="G659" s="0" t="s">
        <v>8</v>
      </c>
      <c r="H659" s="0">
        <v>2675</v>
      </c>
      <c r="I659" s="0">
        <v>498</v>
      </c>
      <c r="J659" s="0">
        <v>0</v>
      </c>
      <c r="K659" s="0">
        <v>1</v>
      </c>
      <c r="L659" s="0">
        <v>5</v>
      </c>
      <c r="M659" s="0">
        <v>12</v>
      </c>
      <c r="N659" s="0">
        <v>1305</v>
      </c>
      <c r="O659" s="0">
        <v>0</v>
      </c>
      <c r="P659" s="0">
        <v>5478</v>
      </c>
      <c r="R659" s="0" t="b">
        <v>0</v>
      </c>
      <c r="S659" s="0" t="b">
        <v>1</v>
      </c>
      <c r="T659" s="68">
        <v>43378.7055555556</v>
      </c>
      <c r="U659" s="68">
        <v>43422.5</v>
      </c>
      <c r="V659" s="68">
        <v>0</v>
      </c>
      <c r="W659" s="0">
        <f>IF(IF(B659="none",1,IF(B659="Trialer",1,0))+IF(C659="Customer",1,IF(C659="Lost",1,0))=2,1,0)</f>
      </c>
      <c r="X659" s="0" t="s">
        <v>148</v>
      </c>
      <c r="Y659" s="0" t="s">
        <v>499</v>
      </c>
      <c r="AV659" s="68"/>
      <c r="AW659" s="68"/>
      <c r="AY659" s="27"/>
      <c r="BD659" s="68">
        <v>46054.1666666667</v>
      </c>
      <c r="BE659" s="68">
        <v>46082.1666666667</v>
      </c>
      <c r="BF659" s="0" t="b">
        <v>0</v>
      </c>
      <c r="BG659" s="0" t="b">
        <v>0</v>
      </c>
      <c r="BH659" s="0">
        <v>647</v>
      </c>
      <c r="BI659" s="0">
        <v>647</v>
      </c>
      <c r="BJ659" s="0" t="s">
        <v>230</v>
      </c>
    </row>
    <row r="660">
      <c r="A660" s="0" t="s">
        <v>851</v>
      </c>
      <c r="B660" s="0" t="s">
        <v>134</v>
      </c>
      <c r="C660" s="0" t="s">
        <v>190</v>
      </c>
      <c r="D660" s="0" t="s">
        <v>135</v>
      </c>
      <c r="E660" s="0" t="s">
        <v>2</v>
      </c>
      <c r="F660" s="0" t="s">
        <v>12</v>
      </c>
      <c r="G660" s="0" t="s">
        <v>8</v>
      </c>
      <c r="H660" s="0">
        <v>2675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R660" s="0" t="b">
        <v>0</v>
      </c>
      <c r="S660" s="0" t="b">
        <v>0</v>
      </c>
      <c r="T660" s="68">
        <v>43378.7506365741</v>
      </c>
      <c r="U660" s="68">
        <v>43410.5</v>
      </c>
      <c r="V660" s="68">
        <v>46055.9172337963</v>
      </c>
      <c r="W660" s="0">
        <f>IF(IF(B660="none",1,IF(B660="Trialer",1,0))+IF(C660="Customer",1,IF(C660="Lost",1,0))=2,1,0)</f>
      </c>
      <c r="X660" s="0" t="s">
        <v>145</v>
      </c>
      <c r="Y660" s="0" t="s">
        <v>499</v>
      </c>
      <c r="AV660" s="68"/>
      <c r="AW660" s="68"/>
      <c r="AY660" s="27"/>
      <c r="BD660" s="68">
        <v>46054.1666666667</v>
      </c>
      <c r="BE660" s="68">
        <v>46082.1666666667</v>
      </c>
      <c r="BF660" s="0" t="b">
        <v>0</v>
      </c>
      <c r="BG660" s="0" t="b">
        <v>0</v>
      </c>
      <c r="BH660" s="0">
        <v>188</v>
      </c>
      <c r="BI660" s="0">
        <v>188</v>
      </c>
      <c r="BJ660" s="0" t="s">
        <v>135</v>
      </c>
    </row>
    <row r="661">
      <c r="A661" s="0" t="s">
        <v>852</v>
      </c>
      <c r="B661" s="0" t="s">
        <v>134</v>
      </c>
      <c r="C661" s="0" t="s">
        <v>134</v>
      </c>
      <c r="D661" s="0" t="s">
        <v>135</v>
      </c>
      <c r="E661" s="0" t="s">
        <v>3</v>
      </c>
      <c r="F661" s="0" t="s">
        <v>12</v>
      </c>
      <c r="G661" s="0" t="s">
        <v>8</v>
      </c>
      <c r="H661" s="0">
        <v>2673</v>
      </c>
      <c r="I661" s="0">
        <v>0</v>
      </c>
      <c r="J661" s="0">
        <v>0</v>
      </c>
      <c r="K661" s="0">
        <v>1</v>
      </c>
      <c r="L661" s="0">
        <v>3</v>
      </c>
      <c r="M661" s="0">
        <v>1</v>
      </c>
      <c r="N661" s="0">
        <v>0</v>
      </c>
      <c r="O661" s="0">
        <v>0</v>
      </c>
      <c r="P661" s="0">
        <v>0</v>
      </c>
      <c r="R661" s="0" t="b">
        <v>0</v>
      </c>
      <c r="S661" s="0" t="b">
        <v>1</v>
      </c>
      <c r="T661" s="68">
        <v>43380.8875</v>
      </c>
      <c r="U661" s="68">
        <v>43411.5</v>
      </c>
      <c r="V661" s="68">
        <v>0</v>
      </c>
      <c r="W661" s="0">
        <f>IF(IF(B661="none",1,IF(B661="Trialer",1,0))+IF(C661="Customer",1,IF(C661="Lost",1,0))=2,1,0)</f>
      </c>
      <c r="X661" s="0" t="s">
        <v>148</v>
      </c>
      <c r="Y661" s="0" t="s">
        <v>243</v>
      </c>
      <c r="AV661" s="68"/>
      <c r="AW661" s="68"/>
      <c r="AY661" s="27"/>
      <c r="BD661" s="68">
        <v>46054.1666666667</v>
      </c>
      <c r="BE661" s="68">
        <v>46082.1666666667</v>
      </c>
      <c r="BF661" s="0" t="b">
        <v>0</v>
      </c>
      <c r="BG661" s="0" t="b">
        <v>0</v>
      </c>
      <c r="BH661" s="0">
        <v>0</v>
      </c>
      <c r="BI661" s="0">
        <v>0</v>
      </c>
      <c r="BJ661" s="0" t="s">
        <v>135</v>
      </c>
    </row>
    <row r="662">
      <c r="A662" s="0" t="s">
        <v>853</v>
      </c>
      <c r="B662" s="0" t="s">
        <v>134</v>
      </c>
      <c r="C662" s="0" t="s">
        <v>134</v>
      </c>
      <c r="D662" s="0" t="s">
        <v>135</v>
      </c>
      <c r="E662" s="0" t="s">
        <v>3</v>
      </c>
      <c r="F662" s="0" t="s">
        <v>12</v>
      </c>
      <c r="G662" s="0" t="s">
        <v>8</v>
      </c>
      <c r="H662" s="0">
        <v>2672</v>
      </c>
      <c r="I662" s="0">
        <v>0</v>
      </c>
      <c r="J662" s="0">
        <v>0</v>
      </c>
      <c r="K662" s="0">
        <v>1</v>
      </c>
      <c r="L662" s="0">
        <v>3</v>
      </c>
      <c r="M662" s="0">
        <v>1</v>
      </c>
      <c r="N662" s="0">
        <v>0</v>
      </c>
      <c r="O662" s="0">
        <v>0</v>
      </c>
      <c r="P662" s="0">
        <v>0</v>
      </c>
      <c r="R662" s="0" t="b">
        <v>0</v>
      </c>
      <c r="S662" s="0" t="b">
        <v>1</v>
      </c>
      <c r="T662" s="68">
        <v>43381.6555555556</v>
      </c>
      <c r="U662" s="68">
        <v>43412.5</v>
      </c>
      <c r="V662" s="68">
        <v>0</v>
      </c>
      <c r="W662" s="0">
        <f>IF(IF(B662="none",1,IF(B662="Trialer",1,0))+IF(C662="Customer",1,IF(C662="Lost",1,0))=2,1,0)</f>
      </c>
      <c r="X662" s="0" t="s">
        <v>136</v>
      </c>
      <c r="Y662" s="0" t="s">
        <v>243</v>
      </c>
      <c r="AV662" s="68"/>
      <c r="AW662" s="68"/>
      <c r="AY662" s="27"/>
      <c r="BD662" s="68">
        <v>46054.1666666667</v>
      </c>
      <c r="BE662" s="68">
        <v>46082.1666666667</v>
      </c>
      <c r="BF662" s="0" t="b">
        <v>0</v>
      </c>
      <c r="BG662" s="0" t="b">
        <v>0</v>
      </c>
      <c r="BH662" s="0">
        <v>0</v>
      </c>
      <c r="BI662" s="0">
        <v>0</v>
      </c>
      <c r="BJ662" s="0" t="s">
        <v>135</v>
      </c>
    </row>
    <row r="663">
      <c r="A663" s="0" t="s">
        <v>854</v>
      </c>
      <c r="B663" s="0" t="s">
        <v>134</v>
      </c>
      <c r="C663" s="0" t="s">
        <v>134</v>
      </c>
      <c r="D663" s="0" t="s">
        <v>135</v>
      </c>
      <c r="E663" s="0" t="s">
        <v>3</v>
      </c>
      <c r="F663" s="0" t="s">
        <v>12</v>
      </c>
      <c r="G663" s="0" t="s">
        <v>8</v>
      </c>
      <c r="H663" s="0">
        <v>2671</v>
      </c>
      <c r="I663" s="0">
        <v>0</v>
      </c>
      <c r="J663" s="0">
        <v>0</v>
      </c>
      <c r="K663" s="0">
        <v>1</v>
      </c>
      <c r="L663" s="0">
        <v>3</v>
      </c>
      <c r="M663" s="0">
        <v>2</v>
      </c>
      <c r="N663" s="0">
        <v>0</v>
      </c>
      <c r="O663" s="0">
        <v>0</v>
      </c>
      <c r="P663" s="0">
        <v>0</v>
      </c>
      <c r="R663" s="0" t="b">
        <v>0</v>
      </c>
      <c r="S663" s="0" t="b">
        <v>1</v>
      </c>
      <c r="T663" s="68">
        <v>43382.8375</v>
      </c>
      <c r="U663" s="68">
        <v>43412.5</v>
      </c>
      <c r="V663" s="68">
        <v>0</v>
      </c>
      <c r="W663" s="0">
        <f>IF(IF(B663="none",1,IF(B663="Trialer",1,0))+IF(C663="Customer",1,IF(C663="Lost",1,0))=2,1,0)</f>
      </c>
      <c r="X663" s="0" t="s">
        <v>148</v>
      </c>
      <c r="Y663" s="0" t="s">
        <v>243</v>
      </c>
      <c r="AV663" s="68"/>
      <c r="AW663" s="68"/>
      <c r="AY663" s="27"/>
      <c r="BD663" s="68">
        <v>46054.1666666667</v>
      </c>
      <c r="BE663" s="68">
        <v>46082.1666666667</v>
      </c>
      <c r="BF663" s="0" t="b">
        <v>0</v>
      </c>
      <c r="BG663" s="0" t="b">
        <v>0</v>
      </c>
      <c r="BH663" s="0">
        <v>0</v>
      </c>
      <c r="BI663" s="0">
        <v>0</v>
      </c>
      <c r="BJ663" s="0" t="s">
        <v>135</v>
      </c>
    </row>
    <row r="664">
      <c r="A664" s="0" t="s">
        <v>855</v>
      </c>
      <c r="B664" s="0" t="s">
        <v>134</v>
      </c>
      <c r="C664" s="0" t="s">
        <v>134</v>
      </c>
      <c r="D664" s="0" t="s">
        <v>135</v>
      </c>
      <c r="E664" s="0" t="s">
        <v>3</v>
      </c>
      <c r="F664" s="0" t="s">
        <v>12</v>
      </c>
      <c r="G664" s="0" t="s">
        <v>8</v>
      </c>
      <c r="H664" s="0">
        <v>2670</v>
      </c>
      <c r="I664" s="0">
        <v>52</v>
      </c>
      <c r="J664" s="0">
        <v>0</v>
      </c>
      <c r="K664" s="0">
        <v>1</v>
      </c>
      <c r="L664" s="0">
        <v>3</v>
      </c>
      <c r="M664" s="0">
        <v>1</v>
      </c>
      <c r="N664" s="0">
        <v>0</v>
      </c>
      <c r="O664" s="0">
        <v>0</v>
      </c>
      <c r="P664" s="0">
        <v>0</v>
      </c>
      <c r="R664" s="0" t="b">
        <v>0</v>
      </c>
      <c r="S664" s="0" t="b">
        <v>1</v>
      </c>
      <c r="T664" s="68">
        <v>43383.0182060185</v>
      </c>
      <c r="U664" s="68">
        <v>43412.5</v>
      </c>
      <c r="V664" s="68">
        <v>0</v>
      </c>
      <c r="W664" s="0">
        <f>IF(IF(B664="none",1,IF(B664="Trialer",1,0))+IF(C664="Customer",1,IF(C664="Lost",1,0))=2,1,0)</f>
      </c>
      <c r="X664" s="0" t="s">
        <v>142</v>
      </c>
      <c r="Y664" s="0" t="s">
        <v>487</v>
      </c>
      <c r="AV664" s="68"/>
      <c r="AW664" s="68"/>
      <c r="AY664" s="27"/>
      <c r="BD664" s="68">
        <v>46054.1666666667</v>
      </c>
      <c r="BE664" s="68">
        <v>46082.1666666667</v>
      </c>
      <c r="BF664" s="0" t="b">
        <v>0</v>
      </c>
      <c r="BG664" s="0" t="b">
        <v>0</v>
      </c>
      <c r="BH664" s="0">
        <v>52</v>
      </c>
      <c r="BI664" s="0">
        <v>52</v>
      </c>
      <c r="BJ664" s="0" t="s">
        <v>135</v>
      </c>
    </row>
    <row r="665">
      <c r="A665" s="0" t="s">
        <v>856</v>
      </c>
      <c r="B665" s="0" t="s">
        <v>134</v>
      </c>
      <c r="C665" s="0" t="s">
        <v>134</v>
      </c>
      <c r="D665" s="0" t="s">
        <v>135</v>
      </c>
      <c r="E665" s="0" t="s">
        <v>3</v>
      </c>
      <c r="F665" s="0" t="s">
        <v>10</v>
      </c>
      <c r="G665" s="0" t="s">
        <v>8</v>
      </c>
      <c r="H665" s="0">
        <v>2669</v>
      </c>
      <c r="I665" s="0">
        <v>168</v>
      </c>
      <c r="J665" s="0">
        <v>0</v>
      </c>
      <c r="K665" s="0">
        <v>1</v>
      </c>
      <c r="L665" s="0">
        <v>1</v>
      </c>
      <c r="M665" s="0">
        <v>6</v>
      </c>
      <c r="N665" s="0">
        <v>0</v>
      </c>
      <c r="O665" s="0">
        <v>0</v>
      </c>
      <c r="P665" s="0">
        <v>0</v>
      </c>
      <c r="Q665" s="0" t="s">
        <v>618</v>
      </c>
      <c r="R665" s="0" t="b">
        <v>0</v>
      </c>
      <c r="S665" s="0" t="b">
        <v>1</v>
      </c>
      <c r="T665" s="68">
        <v>43384.5423611111</v>
      </c>
      <c r="U665" s="68">
        <v>43414.5</v>
      </c>
      <c r="V665" s="68">
        <v>0</v>
      </c>
      <c r="W665" s="0">
        <f>IF(IF(B665="none",1,IF(B665="Trialer",1,0))+IF(C665="Customer",1,IF(C665="Lost",1,0))=2,1,0)</f>
      </c>
      <c r="X665" s="0" t="s">
        <v>148</v>
      </c>
      <c r="Y665" s="0" t="s">
        <v>243</v>
      </c>
      <c r="AV665" s="68"/>
      <c r="AW665" s="68"/>
      <c r="AY665" s="27"/>
      <c r="BD665" s="68">
        <v>46054.1666666667</v>
      </c>
      <c r="BE665" s="68">
        <v>46082.1666666667</v>
      </c>
      <c r="BF665" s="0" t="b">
        <v>0</v>
      </c>
      <c r="BG665" s="0" t="b">
        <v>0</v>
      </c>
      <c r="BH665" s="0">
        <v>168</v>
      </c>
      <c r="BI665" s="0">
        <v>168</v>
      </c>
      <c r="BJ665" s="0" t="s">
        <v>135</v>
      </c>
    </row>
    <row r="666">
      <c r="A666" s="0" t="s">
        <v>857</v>
      </c>
      <c r="B666" s="0" t="s">
        <v>134</v>
      </c>
      <c r="C666" s="0" t="s">
        <v>134</v>
      </c>
      <c r="D666" s="0" t="s">
        <v>135</v>
      </c>
      <c r="E666" s="0" t="s">
        <v>3</v>
      </c>
      <c r="F666" s="0" t="s">
        <v>12</v>
      </c>
      <c r="G666" s="0" t="s">
        <v>8</v>
      </c>
      <c r="H666" s="0">
        <v>2669</v>
      </c>
      <c r="I666" s="0">
        <v>1190</v>
      </c>
      <c r="J666" s="0">
        <v>0</v>
      </c>
      <c r="K666" s="0">
        <v>1</v>
      </c>
      <c r="L666" s="0">
        <v>5</v>
      </c>
      <c r="M666" s="0">
        <v>19</v>
      </c>
      <c r="N666" s="0">
        <v>976.5</v>
      </c>
      <c r="O666" s="0">
        <v>0</v>
      </c>
      <c r="P666" s="0">
        <v>0</v>
      </c>
      <c r="R666" s="0" t="b">
        <v>0</v>
      </c>
      <c r="S666" s="0" t="b">
        <v>1</v>
      </c>
      <c r="T666" s="68">
        <v>43384.6493055556</v>
      </c>
      <c r="U666" s="68">
        <v>43414.5</v>
      </c>
      <c r="V666" s="68">
        <v>0</v>
      </c>
      <c r="W666" s="0">
        <f>IF(IF(B666="none",1,IF(B666="Trialer",1,0))+IF(C666="Customer",1,IF(C666="Lost",1,0))=2,1,0)</f>
      </c>
      <c r="X666" s="0" t="s">
        <v>148</v>
      </c>
      <c r="Y666" s="0" t="s">
        <v>243</v>
      </c>
      <c r="AV666" s="68"/>
      <c r="AW666" s="68"/>
      <c r="AY666" s="27"/>
      <c r="BD666" s="68">
        <v>46054.1666666667</v>
      </c>
      <c r="BE666" s="68">
        <v>46082.1666666667</v>
      </c>
      <c r="BF666" s="0" t="b">
        <v>0</v>
      </c>
      <c r="BG666" s="0" t="b">
        <v>0</v>
      </c>
      <c r="BH666" s="0">
        <v>905</v>
      </c>
      <c r="BI666" s="0">
        <v>905</v>
      </c>
      <c r="BJ666" s="0" t="s">
        <v>135</v>
      </c>
    </row>
    <row r="667">
      <c r="A667" s="0" t="s">
        <v>858</v>
      </c>
      <c r="B667" s="0" t="s">
        <v>134</v>
      </c>
      <c r="C667" s="0" t="s">
        <v>134</v>
      </c>
      <c r="D667" s="0" t="s">
        <v>135</v>
      </c>
      <c r="E667" s="0" t="s">
        <v>3</v>
      </c>
      <c r="F667" s="0" t="s">
        <v>12</v>
      </c>
      <c r="G667" s="0" t="s">
        <v>8</v>
      </c>
      <c r="H667" s="0">
        <v>2669</v>
      </c>
      <c r="I667" s="0">
        <v>0</v>
      </c>
      <c r="J667" s="0">
        <v>0</v>
      </c>
      <c r="K667" s="0">
        <v>1</v>
      </c>
      <c r="L667" s="0">
        <v>3</v>
      </c>
      <c r="M667" s="0">
        <v>1</v>
      </c>
      <c r="N667" s="0">
        <v>0</v>
      </c>
      <c r="O667" s="0">
        <v>0</v>
      </c>
      <c r="P667" s="0">
        <v>0</v>
      </c>
      <c r="R667" s="0" t="b">
        <v>0</v>
      </c>
      <c r="S667" s="0" t="b">
        <v>1</v>
      </c>
      <c r="T667" s="68">
        <v>43384.7416666667</v>
      </c>
      <c r="U667" s="68">
        <v>43414.5</v>
      </c>
      <c r="V667" s="68">
        <v>0</v>
      </c>
      <c r="W667" s="0">
        <f>IF(IF(B667="none",1,IF(B667="Trialer",1,0))+IF(C667="Customer",1,IF(C667="Lost",1,0))=2,1,0)</f>
      </c>
      <c r="X667" s="0" t="s">
        <v>136</v>
      </c>
      <c r="Y667" s="0" t="s">
        <v>243</v>
      </c>
      <c r="AV667" s="68"/>
      <c r="AW667" s="68"/>
      <c r="AY667" s="27"/>
      <c r="BD667" s="68">
        <v>46054.1666666667</v>
      </c>
      <c r="BE667" s="68">
        <v>46082.1666666667</v>
      </c>
      <c r="BF667" s="0" t="b">
        <v>0</v>
      </c>
      <c r="BG667" s="0" t="b">
        <v>0</v>
      </c>
      <c r="BH667" s="0">
        <v>0</v>
      </c>
      <c r="BI667" s="0">
        <v>0</v>
      </c>
      <c r="BJ667" s="0" t="s">
        <v>135</v>
      </c>
    </row>
    <row r="668">
      <c r="A668" s="0" t="s">
        <v>859</v>
      </c>
      <c r="B668" s="0" t="s">
        <v>134</v>
      </c>
      <c r="C668" s="0" t="s">
        <v>134</v>
      </c>
      <c r="D668" s="0" t="s">
        <v>135</v>
      </c>
      <c r="E668" s="0" t="s">
        <v>2</v>
      </c>
      <c r="F668" s="0" t="s">
        <v>12</v>
      </c>
      <c r="G668" s="0" t="s">
        <v>8</v>
      </c>
      <c r="H668" s="0">
        <v>2668</v>
      </c>
      <c r="I668" s="0">
        <v>0</v>
      </c>
      <c r="J668" s="0">
        <v>0</v>
      </c>
      <c r="K668" s="0">
        <v>1</v>
      </c>
      <c r="L668" s="0">
        <v>3</v>
      </c>
      <c r="M668" s="0">
        <v>2</v>
      </c>
      <c r="N668" s="0">
        <v>0</v>
      </c>
      <c r="O668" s="0">
        <v>0</v>
      </c>
      <c r="P668" s="0">
        <v>0</v>
      </c>
      <c r="R668" s="0" t="b">
        <v>0</v>
      </c>
      <c r="S668" s="0" t="b">
        <v>1</v>
      </c>
      <c r="T668" s="68">
        <v>43385.4715277778</v>
      </c>
      <c r="U668" s="68">
        <v>43415.5</v>
      </c>
      <c r="V668" s="68">
        <v>0</v>
      </c>
      <c r="W668" s="0">
        <f>IF(IF(B668="none",1,IF(B668="Trialer",1,0))+IF(C668="Customer",1,IF(C668="Lost",1,0))=2,1,0)</f>
      </c>
      <c r="X668" s="0" t="s">
        <v>148</v>
      </c>
      <c r="Y668" s="0" t="s">
        <v>499</v>
      </c>
      <c r="AV668" s="68"/>
      <c r="AW668" s="68"/>
      <c r="AY668" s="27"/>
      <c r="BD668" s="68">
        <v>46054.1666666667</v>
      </c>
      <c r="BE668" s="68">
        <v>46082.1666666667</v>
      </c>
      <c r="BF668" s="0" t="b">
        <v>0</v>
      </c>
      <c r="BG668" s="0" t="b">
        <v>0</v>
      </c>
      <c r="BH668" s="0">
        <v>0</v>
      </c>
      <c r="BI668" s="0">
        <v>0</v>
      </c>
      <c r="BJ668" s="0" t="s">
        <v>135</v>
      </c>
    </row>
    <row r="669">
      <c r="A669" s="0" t="s">
        <v>860</v>
      </c>
      <c r="B669" s="0" t="s">
        <v>134</v>
      </c>
      <c r="C669" s="0" t="s">
        <v>134</v>
      </c>
      <c r="D669" s="0" t="s">
        <v>230</v>
      </c>
      <c r="E669" s="0" t="s">
        <v>3</v>
      </c>
      <c r="F669" s="0" t="s">
        <v>12</v>
      </c>
      <c r="G669" s="0" t="s">
        <v>8</v>
      </c>
      <c r="H669" s="0">
        <v>2668</v>
      </c>
      <c r="I669" s="0">
        <v>780</v>
      </c>
      <c r="J669" s="0">
        <v>0</v>
      </c>
      <c r="K669" s="0">
        <v>1</v>
      </c>
      <c r="L669" s="0">
        <v>4</v>
      </c>
      <c r="M669" s="0">
        <v>18</v>
      </c>
      <c r="N669" s="0">
        <v>0</v>
      </c>
      <c r="O669" s="0">
        <v>0</v>
      </c>
      <c r="P669" s="0">
        <v>-780</v>
      </c>
      <c r="R669" s="0" t="b">
        <v>0</v>
      </c>
      <c r="S669" s="0" t="b">
        <v>1</v>
      </c>
      <c r="T669" s="68">
        <v>43385.5322800926</v>
      </c>
      <c r="U669" s="68">
        <v>43434.5</v>
      </c>
      <c r="V669" s="68">
        <v>0</v>
      </c>
      <c r="W669" s="0">
        <f>IF(IF(B669="none",1,IF(B669="Trialer",1,0))+IF(C669="Customer",1,IF(C669="Lost",1,0))=2,1,0)</f>
      </c>
      <c r="X669" s="0" t="s">
        <v>148</v>
      </c>
      <c r="Y669" s="0" t="s">
        <v>243</v>
      </c>
      <c r="AV669" s="68"/>
      <c r="AW669" s="68"/>
      <c r="AY669" s="27"/>
      <c r="BD669" s="68">
        <v>46054.1666666667</v>
      </c>
      <c r="BE669" s="68">
        <v>46082.1666666667</v>
      </c>
      <c r="BF669" s="0" t="b">
        <v>0</v>
      </c>
      <c r="BG669" s="0" t="b">
        <v>0</v>
      </c>
      <c r="BH669" s="0">
        <v>772</v>
      </c>
      <c r="BI669" s="0">
        <v>772</v>
      </c>
      <c r="BJ669" s="0" t="s">
        <v>230</v>
      </c>
    </row>
    <row r="670">
      <c r="A670" s="0" t="s">
        <v>861</v>
      </c>
      <c r="B670" s="0" t="s">
        <v>134</v>
      </c>
      <c r="C670" s="0" t="s">
        <v>134</v>
      </c>
      <c r="D670" s="0" t="s">
        <v>230</v>
      </c>
      <c r="E670" s="0" t="s">
        <v>3</v>
      </c>
      <c r="F670" s="0" t="s">
        <v>12</v>
      </c>
      <c r="G670" s="0" t="s">
        <v>8</v>
      </c>
      <c r="H670" s="0">
        <v>2667</v>
      </c>
      <c r="I670" s="0">
        <v>160</v>
      </c>
      <c r="J670" s="0">
        <v>0</v>
      </c>
      <c r="K670" s="0">
        <v>1</v>
      </c>
      <c r="L670" s="0">
        <v>3</v>
      </c>
      <c r="M670" s="0">
        <v>4</v>
      </c>
      <c r="N670" s="0">
        <v>0</v>
      </c>
      <c r="O670" s="0">
        <v>0</v>
      </c>
      <c r="P670" s="0">
        <v>-160</v>
      </c>
      <c r="R670" s="0" t="b">
        <v>0</v>
      </c>
      <c r="S670" s="0" t="b">
        <v>1</v>
      </c>
      <c r="T670" s="68">
        <v>43386.6209375</v>
      </c>
      <c r="U670" s="68">
        <v>43416.5</v>
      </c>
      <c r="V670" s="68">
        <v>0</v>
      </c>
      <c r="W670" s="0">
        <f>IF(IF(B670="none",1,IF(B670="Trialer",1,0))+IF(C670="Customer",1,IF(C670="Lost",1,0))=2,1,0)</f>
      </c>
      <c r="X670" s="0" t="s">
        <v>148</v>
      </c>
      <c r="Y670" s="0" t="s">
        <v>243</v>
      </c>
      <c r="AV670" s="68"/>
      <c r="AW670" s="68"/>
      <c r="AY670" s="27"/>
      <c r="BD670" s="68">
        <v>46054.1666666667</v>
      </c>
      <c r="BE670" s="68">
        <v>46082.1666666667</v>
      </c>
      <c r="BF670" s="0" t="b">
        <v>0</v>
      </c>
      <c r="BG670" s="0" t="b">
        <v>0</v>
      </c>
      <c r="BH670" s="0">
        <v>178</v>
      </c>
      <c r="BI670" s="0">
        <v>178</v>
      </c>
      <c r="BJ670" s="0" t="s">
        <v>230</v>
      </c>
    </row>
    <row r="671">
      <c r="A671" s="0" t="s">
        <v>862</v>
      </c>
      <c r="B671" s="0" t="s">
        <v>134</v>
      </c>
      <c r="C671" s="0" t="s">
        <v>134</v>
      </c>
      <c r="D671" s="0" t="s">
        <v>135</v>
      </c>
      <c r="E671" s="0" t="s">
        <v>2</v>
      </c>
      <c r="F671" s="0" t="s">
        <v>12</v>
      </c>
      <c r="G671" s="0" t="s">
        <v>8</v>
      </c>
      <c r="H671" s="0">
        <v>2663</v>
      </c>
      <c r="I671" s="0">
        <v>1317</v>
      </c>
      <c r="J671" s="0">
        <v>0</v>
      </c>
      <c r="K671" s="0">
        <v>1</v>
      </c>
      <c r="L671" s="0">
        <v>3</v>
      </c>
      <c r="M671" s="0">
        <v>33</v>
      </c>
      <c r="N671" s="0">
        <v>0</v>
      </c>
      <c r="O671" s="0">
        <v>0</v>
      </c>
      <c r="P671" s="0">
        <v>0</v>
      </c>
      <c r="R671" s="0" t="b">
        <v>0</v>
      </c>
      <c r="S671" s="0" t="b">
        <v>1</v>
      </c>
      <c r="T671" s="68">
        <v>43390.5986111111</v>
      </c>
      <c r="U671" s="68">
        <v>43420.5</v>
      </c>
      <c r="V671" s="68">
        <v>0</v>
      </c>
      <c r="W671" s="0">
        <f>IF(IF(B671="none",1,IF(B671="Trialer",1,0))+IF(C671="Customer",1,IF(C671="Lost",1,0))=2,1,0)</f>
      </c>
      <c r="X671" s="0" t="s">
        <v>145</v>
      </c>
      <c r="Y671" s="0" t="s">
        <v>499</v>
      </c>
      <c r="AV671" s="68"/>
      <c r="AW671" s="68"/>
      <c r="AY671" s="27"/>
      <c r="BD671" s="68">
        <v>46054.1666666667</v>
      </c>
      <c r="BE671" s="68">
        <v>46082.1666666667</v>
      </c>
      <c r="BF671" s="0" t="b">
        <v>0</v>
      </c>
      <c r="BG671" s="0" t="b">
        <v>0</v>
      </c>
      <c r="BH671" s="0">
        <v>1317</v>
      </c>
      <c r="BI671" s="0">
        <v>1317</v>
      </c>
      <c r="BJ671" s="0" t="s">
        <v>135</v>
      </c>
    </row>
    <row r="672">
      <c r="A672" s="0" t="s">
        <v>863</v>
      </c>
      <c r="B672" s="0" t="s">
        <v>134</v>
      </c>
      <c r="C672" s="0" t="s">
        <v>134</v>
      </c>
      <c r="D672" s="0" t="s">
        <v>230</v>
      </c>
      <c r="E672" s="0" t="s">
        <v>3</v>
      </c>
      <c r="F672" s="0" t="s">
        <v>12</v>
      </c>
      <c r="G672" s="0" t="s">
        <v>8</v>
      </c>
      <c r="H672" s="0">
        <v>2663</v>
      </c>
      <c r="I672" s="0">
        <v>95</v>
      </c>
      <c r="J672" s="0">
        <v>0</v>
      </c>
      <c r="K672" s="0">
        <v>1</v>
      </c>
      <c r="L672" s="0">
        <v>2</v>
      </c>
      <c r="M672" s="0">
        <v>3</v>
      </c>
      <c r="N672" s="0">
        <v>0</v>
      </c>
      <c r="O672" s="0">
        <v>0</v>
      </c>
      <c r="P672" s="0">
        <v>-95</v>
      </c>
      <c r="R672" s="0" t="b">
        <v>0</v>
      </c>
      <c r="S672" s="0" t="b">
        <v>1</v>
      </c>
      <c r="T672" s="68">
        <v>43390.7174421296</v>
      </c>
      <c r="U672" s="68">
        <v>43420.5</v>
      </c>
      <c r="V672" s="68">
        <v>0</v>
      </c>
      <c r="W672" s="0">
        <f>IF(IF(B672="none",1,IF(B672="Trialer",1,0))+IF(C672="Customer",1,IF(C672="Lost",1,0))=2,1,0)</f>
      </c>
      <c r="X672" s="0" t="s">
        <v>142</v>
      </c>
      <c r="Y672" s="0" t="s">
        <v>487</v>
      </c>
      <c r="AV672" s="68"/>
      <c r="AW672" s="68"/>
      <c r="AY672" s="27"/>
      <c r="BD672" s="68">
        <v>46054.1666666667</v>
      </c>
      <c r="BE672" s="68">
        <v>46082.1666666667</v>
      </c>
      <c r="BF672" s="0" t="b">
        <v>0</v>
      </c>
      <c r="BG672" s="0" t="b">
        <v>0</v>
      </c>
      <c r="BH672" s="0">
        <v>108</v>
      </c>
      <c r="BI672" s="0">
        <v>108</v>
      </c>
      <c r="BJ672" s="0" t="s">
        <v>230</v>
      </c>
    </row>
    <row r="673">
      <c r="A673" s="0" t="s">
        <v>864</v>
      </c>
      <c r="B673" s="0" t="s">
        <v>134</v>
      </c>
      <c r="C673" s="0" t="s">
        <v>134</v>
      </c>
      <c r="D673" s="0" t="s">
        <v>135</v>
      </c>
      <c r="E673" s="0" t="s">
        <v>3</v>
      </c>
      <c r="F673" s="0" t="s">
        <v>12</v>
      </c>
      <c r="G673" s="0" t="s">
        <v>8</v>
      </c>
      <c r="H673" s="0">
        <v>2657</v>
      </c>
      <c r="I673" s="0">
        <v>0</v>
      </c>
      <c r="J673" s="0">
        <v>0</v>
      </c>
      <c r="K673" s="0">
        <v>1</v>
      </c>
      <c r="L673" s="0">
        <v>3</v>
      </c>
      <c r="M673" s="0">
        <v>2</v>
      </c>
      <c r="N673" s="0">
        <v>0</v>
      </c>
      <c r="O673" s="0">
        <v>0</v>
      </c>
      <c r="P673" s="0">
        <v>0</v>
      </c>
      <c r="R673" s="0" t="b">
        <v>0</v>
      </c>
      <c r="S673" s="0" t="b">
        <v>1</v>
      </c>
      <c r="T673" s="68">
        <v>43396.5611111111</v>
      </c>
      <c r="U673" s="68">
        <v>43426.5</v>
      </c>
      <c r="V673" s="68">
        <v>0</v>
      </c>
      <c r="W673" s="0">
        <f>IF(IF(B673="none",1,IF(B673="Trialer",1,0))+IF(C673="Customer",1,IF(C673="Lost",1,0))=2,1,0)</f>
      </c>
      <c r="X673" s="0" t="s">
        <v>136</v>
      </c>
      <c r="Y673" s="0" t="s">
        <v>243</v>
      </c>
      <c r="AV673" s="68"/>
      <c r="AW673" s="68"/>
      <c r="AY673" s="27"/>
      <c r="BD673" s="68">
        <v>46054.1666666667</v>
      </c>
      <c r="BE673" s="68">
        <v>46082.1666666667</v>
      </c>
      <c r="BF673" s="0" t="b">
        <v>0</v>
      </c>
      <c r="BG673" s="0" t="b">
        <v>0</v>
      </c>
      <c r="BH673" s="0">
        <v>0</v>
      </c>
      <c r="BI673" s="0">
        <v>0</v>
      </c>
      <c r="BJ673" s="0" t="s">
        <v>135</v>
      </c>
    </row>
    <row r="674">
      <c r="A674" s="0" t="s">
        <v>865</v>
      </c>
      <c r="B674" s="0" t="s">
        <v>134</v>
      </c>
      <c r="C674" s="0" t="s">
        <v>134</v>
      </c>
      <c r="D674" s="0" t="s">
        <v>135</v>
      </c>
      <c r="E674" s="0" t="s">
        <v>3</v>
      </c>
      <c r="F674" s="0" t="s">
        <v>12</v>
      </c>
      <c r="G674" s="0" t="s">
        <v>8</v>
      </c>
      <c r="H674" s="0">
        <v>2654</v>
      </c>
      <c r="I674" s="0">
        <v>147</v>
      </c>
      <c r="J674" s="0">
        <v>0</v>
      </c>
      <c r="K674" s="0">
        <v>1</v>
      </c>
      <c r="L674" s="0">
        <v>3</v>
      </c>
      <c r="M674" s="0">
        <v>3</v>
      </c>
      <c r="N674" s="0">
        <v>0</v>
      </c>
      <c r="O674" s="0">
        <v>0</v>
      </c>
      <c r="P674" s="0">
        <v>0</v>
      </c>
      <c r="R674" s="0" t="b">
        <v>0</v>
      </c>
      <c r="S674" s="0" t="b">
        <v>1</v>
      </c>
      <c r="T674" s="68">
        <v>43399.5993055556</v>
      </c>
      <c r="U674" s="68">
        <v>43430.2916666667</v>
      </c>
      <c r="V674" s="68">
        <v>0</v>
      </c>
      <c r="W674" s="0">
        <f>IF(IF(B674="none",1,IF(B674="Trialer",1,0))+IF(C674="Customer",1,IF(C674="Lost",1,0))=2,1,0)</f>
      </c>
      <c r="X674" s="0" t="s">
        <v>142</v>
      </c>
      <c r="Y674" s="0" t="s">
        <v>243</v>
      </c>
      <c r="AV674" s="68"/>
      <c r="AW674" s="68"/>
      <c r="AY674" s="27"/>
      <c r="BD674" s="68">
        <v>46054.1666666667</v>
      </c>
      <c r="BE674" s="68">
        <v>46082.1666666667</v>
      </c>
      <c r="BF674" s="0" t="b">
        <v>0</v>
      </c>
      <c r="BG674" s="0" t="b">
        <v>0</v>
      </c>
      <c r="BH674" s="0">
        <v>98</v>
      </c>
      <c r="BI674" s="0">
        <v>98</v>
      </c>
      <c r="BJ674" s="0" t="s">
        <v>135</v>
      </c>
    </row>
    <row r="675">
      <c r="A675" s="0" t="s">
        <v>866</v>
      </c>
      <c r="B675" s="0" t="s">
        <v>134</v>
      </c>
      <c r="C675" s="0" t="s">
        <v>134</v>
      </c>
      <c r="D675" s="0" t="s">
        <v>135</v>
      </c>
      <c r="E675" s="0" t="s">
        <v>3</v>
      </c>
      <c r="F675" s="0" t="s">
        <v>12</v>
      </c>
      <c r="G675" s="0" t="s">
        <v>8</v>
      </c>
      <c r="H675" s="0">
        <v>2651</v>
      </c>
      <c r="I675" s="0">
        <v>84</v>
      </c>
      <c r="J675" s="0">
        <v>0</v>
      </c>
      <c r="K675" s="0">
        <v>1</v>
      </c>
      <c r="L675" s="0">
        <v>4</v>
      </c>
      <c r="M675" s="0">
        <v>5</v>
      </c>
      <c r="N675" s="0">
        <v>0</v>
      </c>
      <c r="O675" s="0">
        <v>0</v>
      </c>
      <c r="P675" s="0">
        <v>0</v>
      </c>
      <c r="R675" s="0" t="b">
        <v>0</v>
      </c>
      <c r="S675" s="0" t="b">
        <v>1</v>
      </c>
      <c r="T675" s="68">
        <v>43402.4736111111</v>
      </c>
      <c r="U675" s="68">
        <v>43432.5</v>
      </c>
      <c r="V675" s="68">
        <v>0</v>
      </c>
      <c r="W675" s="0">
        <f>IF(IF(B675="none",1,IF(B675="Trialer",1,0))+IF(C675="Customer",1,IF(C675="Lost",1,0))=2,1,0)</f>
      </c>
      <c r="X675" s="0" t="s">
        <v>148</v>
      </c>
      <c r="Y675" s="0" t="s">
        <v>243</v>
      </c>
      <c r="AV675" s="68"/>
      <c r="AW675" s="68"/>
      <c r="AY675" s="27"/>
      <c r="BD675" s="68">
        <v>46054.1666666667</v>
      </c>
      <c r="BE675" s="68">
        <v>46082.1666666667</v>
      </c>
      <c r="BF675" s="0" t="b">
        <v>0</v>
      </c>
      <c r="BG675" s="0" t="b">
        <v>0</v>
      </c>
      <c r="BH675" s="0">
        <v>84</v>
      </c>
      <c r="BI675" s="0">
        <v>84</v>
      </c>
      <c r="BJ675" s="0" t="s">
        <v>135</v>
      </c>
    </row>
    <row r="676">
      <c r="A676" s="0" t="s">
        <v>867</v>
      </c>
      <c r="B676" s="0" t="s">
        <v>134</v>
      </c>
      <c r="C676" s="0" t="s">
        <v>134</v>
      </c>
      <c r="D676" s="0" t="s">
        <v>135</v>
      </c>
      <c r="E676" s="0" t="s">
        <v>3</v>
      </c>
      <c r="F676" s="0" t="s">
        <v>12</v>
      </c>
      <c r="G676" s="0" t="s">
        <v>8</v>
      </c>
      <c r="H676" s="0">
        <v>2650</v>
      </c>
      <c r="I676" s="0">
        <v>0</v>
      </c>
      <c r="J676" s="0">
        <v>0</v>
      </c>
      <c r="K676" s="0">
        <v>1</v>
      </c>
      <c r="L676" s="0">
        <v>4</v>
      </c>
      <c r="M676" s="0">
        <v>1</v>
      </c>
      <c r="N676" s="0">
        <v>0</v>
      </c>
      <c r="O676" s="0">
        <v>0</v>
      </c>
      <c r="P676" s="0">
        <v>0</v>
      </c>
      <c r="R676" s="0" t="b">
        <v>0</v>
      </c>
      <c r="S676" s="0" t="b">
        <v>1</v>
      </c>
      <c r="T676" s="68">
        <v>43403.59375</v>
      </c>
      <c r="U676" s="68">
        <v>43442.2916666667</v>
      </c>
      <c r="V676" s="68">
        <v>0</v>
      </c>
      <c r="W676" s="0">
        <f>IF(IF(B676="none",1,IF(B676="Trialer",1,0))+IF(C676="Customer",1,IF(C676="Lost",1,0))=2,1,0)</f>
      </c>
      <c r="X676" s="0" t="s">
        <v>148</v>
      </c>
      <c r="Y676" s="0" t="s">
        <v>243</v>
      </c>
      <c r="AV676" s="68"/>
      <c r="AW676" s="68"/>
      <c r="AY676" s="27"/>
      <c r="BD676" s="68">
        <v>46054.1666666667</v>
      </c>
      <c r="BE676" s="68">
        <v>46082.1666666667</v>
      </c>
      <c r="BF676" s="0" t="b">
        <v>0</v>
      </c>
      <c r="BG676" s="0" t="b">
        <v>0</v>
      </c>
      <c r="BH676" s="0">
        <v>0</v>
      </c>
      <c r="BI676" s="0">
        <v>0</v>
      </c>
      <c r="BJ676" s="0" t="s">
        <v>135</v>
      </c>
    </row>
    <row r="677">
      <c r="A677" s="0" t="s">
        <v>868</v>
      </c>
      <c r="B677" s="0" t="s">
        <v>134</v>
      </c>
      <c r="C677" s="0" t="s">
        <v>134</v>
      </c>
      <c r="D677" s="0" t="s">
        <v>135</v>
      </c>
      <c r="E677" s="0" t="s">
        <v>3</v>
      </c>
      <c r="F677" s="0" t="s">
        <v>12</v>
      </c>
      <c r="G677" s="0" t="s">
        <v>8</v>
      </c>
      <c r="H677" s="0">
        <v>2645</v>
      </c>
      <c r="I677" s="0">
        <v>175</v>
      </c>
      <c r="J677" s="0">
        <v>0</v>
      </c>
      <c r="K677" s="0">
        <v>1</v>
      </c>
      <c r="L677" s="0">
        <v>3</v>
      </c>
      <c r="M677" s="0">
        <v>4</v>
      </c>
      <c r="N677" s="0">
        <v>0</v>
      </c>
      <c r="O677" s="0">
        <v>0</v>
      </c>
      <c r="P677" s="0">
        <v>0</v>
      </c>
      <c r="R677" s="0" t="b">
        <v>0</v>
      </c>
      <c r="S677" s="0" t="b">
        <v>1</v>
      </c>
      <c r="T677" s="68">
        <v>43408.6994212963</v>
      </c>
      <c r="U677" s="68">
        <v>43474.5</v>
      </c>
      <c r="V677" s="68">
        <v>0</v>
      </c>
      <c r="W677" s="0">
        <f>IF(IF(B677="none",1,IF(B677="Trialer",1,0))+IF(C677="Customer",1,IF(C677="Lost",1,0))=2,1,0)</f>
      </c>
      <c r="X677" s="0" t="s">
        <v>148</v>
      </c>
      <c r="Y677" s="0" t="s">
        <v>243</v>
      </c>
      <c r="AV677" s="68"/>
      <c r="AW677" s="68"/>
      <c r="AY677" s="27"/>
      <c r="BD677" s="68">
        <v>46054.1666666667</v>
      </c>
      <c r="BE677" s="68">
        <v>46082.1666666667</v>
      </c>
      <c r="BF677" s="0" t="b">
        <v>0</v>
      </c>
      <c r="BG677" s="0" t="b">
        <v>0</v>
      </c>
      <c r="BH677" s="0">
        <v>147</v>
      </c>
      <c r="BI677" s="0">
        <v>147</v>
      </c>
      <c r="BJ677" s="0" t="s">
        <v>135</v>
      </c>
    </row>
    <row r="678">
      <c r="A678" s="0" t="s">
        <v>869</v>
      </c>
      <c r="B678" s="0" t="s">
        <v>134</v>
      </c>
      <c r="C678" s="0" t="s">
        <v>134</v>
      </c>
      <c r="D678" s="0" t="s">
        <v>135</v>
      </c>
      <c r="E678" s="0" t="s">
        <v>2</v>
      </c>
      <c r="F678" s="0" t="s">
        <v>12</v>
      </c>
      <c r="G678" s="0" t="s">
        <v>8</v>
      </c>
      <c r="H678" s="0">
        <v>2644</v>
      </c>
      <c r="I678" s="0">
        <v>181</v>
      </c>
      <c r="J678" s="0">
        <v>0</v>
      </c>
      <c r="K678" s="0">
        <v>1</v>
      </c>
      <c r="L678" s="0">
        <v>4</v>
      </c>
      <c r="M678" s="0">
        <v>4</v>
      </c>
      <c r="N678" s="0">
        <v>0</v>
      </c>
      <c r="O678" s="0">
        <v>0</v>
      </c>
      <c r="P678" s="0">
        <v>0</v>
      </c>
      <c r="R678" s="0" t="b">
        <v>0</v>
      </c>
      <c r="S678" s="0" t="b">
        <v>1</v>
      </c>
      <c r="T678" s="68">
        <v>43409.457037037</v>
      </c>
      <c r="U678" s="68">
        <v>43439.5</v>
      </c>
      <c r="V678" s="68">
        <v>0</v>
      </c>
      <c r="W678" s="0">
        <f>IF(IF(B678="none",1,IF(B678="Trialer",1,0))+IF(C678="Customer",1,IF(C678="Lost",1,0))=2,1,0)</f>
      </c>
      <c r="X678" s="0" t="s">
        <v>136</v>
      </c>
      <c r="Y678" s="0" t="s">
        <v>499</v>
      </c>
      <c r="AV678" s="68"/>
      <c r="AW678" s="68"/>
      <c r="AY678" s="27"/>
      <c r="BD678" s="68">
        <v>46054.1666666667</v>
      </c>
      <c r="BE678" s="68">
        <v>46082.1666666667</v>
      </c>
      <c r="BF678" s="0" t="b">
        <v>0</v>
      </c>
      <c r="BG678" s="0" t="b">
        <v>0</v>
      </c>
      <c r="BH678" s="0">
        <v>181</v>
      </c>
      <c r="BI678" s="0">
        <v>181</v>
      </c>
      <c r="BJ678" s="0" t="s">
        <v>135</v>
      </c>
    </row>
    <row r="679">
      <c r="A679" s="0" t="s">
        <v>870</v>
      </c>
      <c r="B679" s="0" t="s">
        <v>134</v>
      </c>
      <c r="C679" s="0" t="s">
        <v>134</v>
      </c>
      <c r="D679" s="0" t="s">
        <v>135</v>
      </c>
      <c r="E679" s="0" t="s">
        <v>3</v>
      </c>
      <c r="F679" s="0" t="s">
        <v>12</v>
      </c>
      <c r="G679" s="0" t="s">
        <v>8</v>
      </c>
      <c r="H679" s="0">
        <v>2641</v>
      </c>
      <c r="I679" s="0">
        <v>0</v>
      </c>
      <c r="J679" s="0">
        <v>0</v>
      </c>
      <c r="K679" s="0">
        <v>1</v>
      </c>
      <c r="L679" s="0">
        <v>3</v>
      </c>
      <c r="M679" s="0">
        <v>2</v>
      </c>
      <c r="N679" s="0">
        <v>0</v>
      </c>
      <c r="O679" s="0">
        <v>0</v>
      </c>
      <c r="P679" s="0">
        <v>0</v>
      </c>
      <c r="R679" s="0" t="b">
        <v>0</v>
      </c>
      <c r="S679" s="0" t="b">
        <v>1</v>
      </c>
      <c r="T679" s="68">
        <v>43412.6302662037</v>
      </c>
      <c r="U679" s="68">
        <v>43448.5</v>
      </c>
      <c r="V679" s="68">
        <v>0</v>
      </c>
      <c r="W679" s="0">
        <f>IF(IF(B679="none",1,IF(B679="Trialer",1,0))+IF(C679="Customer",1,IF(C679="Lost",1,0))=2,1,0)</f>
      </c>
      <c r="X679" s="0" t="s">
        <v>148</v>
      </c>
      <c r="Y679" s="0" t="s">
        <v>243</v>
      </c>
      <c r="AV679" s="68"/>
      <c r="AW679" s="68"/>
      <c r="AY679" s="27"/>
      <c r="BD679" s="68">
        <v>46054.1666666667</v>
      </c>
      <c r="BE679" s="68">
        <v>46082.1666666667</v>
      </c>
      <c r="BF679" s="0" t="b">
        <v>0</v>
      </c>
      <c r="BG679" s="0" t="b">
        <v>0</v>
      </c>
      <c r="BH679" s="0">
        <v>0</v>
      </c>
      <c r="BI679" s="0">
        <v>0</v>
      </c>
      <c r="BJ679" s="0" t="s">
        <v>135</v>
      </c>
    </row>
    <row r="680">
      <c r="A680" s="0" t="s">
        <v>871</v>
      </c>
      <c r="B680" s="0" t="s">
        <v>134</v>
      </c>
      <c r="C680" s="0" t="s">
        <v>134</v>
      </c>
      <c r="D680" s="0" t="s">
        <v>230</v>
      </c>
      <c r="E680" s="0" t="s">
        <v>2</v>
      </c>
      <c r="F680" s="0" t="s">
        <v>12</v>
      </c>
      <c r="G680" s="0" t="s">
        <v>8</v>
      </c>
      <c r="H680" s="0">
        <v>2641</v>
      </c>
      <c r="I680" s="0">
        <v>1164.75</v>
      </c>
      <c r="J680" s="0">
        <v>0</v>
      </c>
      <c r="K680" s="0">
        <v>2</v>
      </c>
      <c r="L680" s="0">
        <v>4</v>
      </c>
      <c r="M680" s="0">
        <v>9</v>
      </c>
      <c r="N680" s="0">
        <v>0</v>
      </c>
      <c r="O680" s="0">
        <v>0</v>
      </c>
      <c r="P680" s="0">
        <v>-476</v>
      </c>
      <c r="R680" s="0" t="b">
        <v>0</v>
      </c>
      <c r="S680" s="0" t="b">
        <v>1</v>
      </c>
      <c r="T680" s="68">
        <v>43412.8277430556</v>
      </c>
      <c r="U680" s="68">
        <v>43442.2916666667</v>
      </c>
      <c r="V680" s="68">
        <v>0</v>
      </c>
      <c r="W680" s="0">
        <f>IF(IF(B680="none",1,IF(B680="Trialer",1,0))+IF(C680="Customer",1,IF(C680="Lost",1,0))=2,1,0)</f>
      </c>
      <c r="X680" s="0" t="s">
        <v>148</v>
      </c>
      <c r="Y680" s="0" t="s">
        <v>499</v>
      </c>
      <c r="AV680" s="68"/>
      <c r="AW680" s="68"/>
      <c r="AY680" s="27"/>
      <c r="BD680" s="68">
        <v>46054.1666666667</v>
      </c>
      <c r="BE680" s="68">
        <v>46082.1666666667</v>
      </c>
      <c r="BF680" s="0" t="b">
        <v>0</v>
      </c>
      <c r="BG680" s="0" t="b">
        <v>0</v>
      </c>
      <c r="BH680" s="0">
        <v>537</v>
      </c>
      <c r="BI680" s="0">
        <v>537</v>
      </c>
      <c r="BJ680" s="0" t="s">
        <v>230</v>
      </c>
    </row>
    <row r="681">
      <c r="A681" s="0" t="s">
        <v>872</v>
      </c>
      <c r="B681" s="0" t="s">
        <v>134</v>
      </c>
      <c r="C681" s="0" t="s">
        <v>134</v>
      </c>
      <c r="D681" s="0" t="s">
        <v>230</v>
      </c>
      <c r="E681" s="0" t="s">
        <v>3</v>
      </c>
      <c r="F681" s="0" t="s">
        <v>12</v>
      </c>
      <c r="G681" s="0" t="s">
        <v>8</v>
      </c>
      <c r="H681" s="0">
        <v>2639</v>
      </c>
      <c r="I681" s="0">
        <v>75</v>
      </c>
      <c r="J681" s="0">
        <v>0</v>
      </c>
      <c r="K681" s="0">
        <v>1</v>
      </c>
      <c r="L681" s="0">
        <v>1</v>
      </c>
      <c r="M681" s="0">
        <v>3</v>
      </c>
      <c r="N681" s="0">
        <v>0</v>
      </c>
      <c r="O681" s="0">
        <v>0</v>
      </c>
      <c r="P681" s="0">
        <v>-75</v>
      </c>
      <c r="R681" s="0" t="b">
        <v>0</v>
      </c>
      <c r="S681" s="0" t="b">
        <v>1</v>
      </c>
      <c r="T681" s="68">
        <v>43414.7402083333</v>
      </c>
      <c r="U681" s="68">
        <v>43444.2916666667</v>
      </c>
      <c r="V681" s="68">
        <v>0</v>
      </c>
      <c r="W681" s="0">
        <f>IF(IF(B681="none",1,IF(B681="Trialer",1,0))+IF(C681="Customer",1,IF(C681="Lost",1,0))=2,1,0)</f>
      </c>
      <c r="X681" s="0" t="s">
        <v>142</v>
      </c>
      <c r="Y681" s="0" t="s">
        <v>487</v>
      </c>
      <c r="AV681" s="68"/>
      <c r="AW681" s="68"/>
      <c r="AY681" s="27"/>
      <c r="BD681" s="68">
        <v>46054.1666666667</v>
      </c>
      <c r="BE681" s="68">
        <v>46082.1666666667</v>
      </c>
      <c r="BF681" s="0" t="b">
        <v>0</v>
      </c>
      <c r="BG681" s="0" t="b">
        <v>0</v>
      </c>
      <c r="BH681" s="0">
        <v>84</v>
      </c>
      <c r="BI681" s="0">
        <v>84</v>
      </c>
      <c r="BJ681" s="0" t="s">
        <v>230</v>
      </c>
    </row>
    <row r="682">
      <c r="A682" s="0" t="s">
        <v>873</v>
      </c>
      <c r="B682" s="0" t="s">
        <v>134</v>
      </c>
      <c r="C682" s="0" t="s">
        <v>134</v>
      </c>
      <c r="D682" s="0" t="s">
        <v>230</v>
      </c>
      <c r="E682" s="0" t="s">
        <v>2</v>
      </c>
      <c r="F682" s="0" t="s">
        <v>10</v>
      </c>
      <c r="G682" s="0" t="s">
        <v>8</v>
      </c>
      <c r="H682" s="0">
        <v>2634</v>
      </c>
      <c r="I682" s="0">
        <v>917</v>
      </c>
      <c r="J682" s="0">
        <v>0</v>
      </c>
      <c r="K682" s="0">
        <v>1</v>
      </c>
      <c r="L682" s="0">
        <v>3</v>
      </c>
      <c r="M682" s="0">
        <v>23</v>
      </c>
      <c r="N682" s="0">
        <v>0</v>
      </c>
      <c r="O682" s="0">
        <v>0</v>
      </c>
      <c r="P682" s="0">
        <v>-917</v>
      </c>
      <c r="Q682" s="0" t="s">
        <v>498</v>
      </c>
      <c r="R682" s="0" t="b">
        <v>0</v>
      </c>
      <c r="S682" s="0" t="b">
        <v>1</v>
      </c>
      <c r="T682" s="68">
        <v>43419.6709490741</v>
      </c>
      <c r="U682" s="68">
        <v>43451.5</v>
      </c>
      <c r="V682" s="68">
        <v>0</v>
      </c>
      <c r="W682" s="0">
        <f>IF(IF(B682="none",1,IF(B682="Trialer",1,0))+IF(C682="Customer",1,IF(C682="Lost",1,0))=2,1,0)</f>
      </c>
      <c r="X682" s="0" t="s">
        <v>136</v>
      </c>
      <c r="Y682" s="0" t="s">
        <v>499</v>
      </c>
      <c r="AV682" s="68"/>
      <c r="AW682" s="68"/>
      <c r="AY682" s="27"/>
      <c r="BD682" s="68">
        <v>46054.1666666667</v>
      </c>
      <c r="BE682" s="68">
        <v>46082.1666666667</v>
      </c>
      <c r="BF682" s="0" t="b">
        <v>0</v>
      </c>
      <c r="BG682" s="0" t="b">
        <v>0</v>
      </c>
      <c r="BH682" s="0">
        <v>1028</v>
      </c>
      <c r="BI682" s="0">
        <v>1028</v>
      </c>
      <c r="BJ682" s="0" t="s">
        <v>230</v>
      </c>
    </row>
    <row r="683">
      <c r="A683" s="0" t="s">
        <v>874</v>
      </c>
      <c r="B683" s="0" t="s">
        <v>134</v>
      </c>
      <c r="C683" s="0" t="s">
        <v>134</v>
      </c>
      <c r="D683" s="0" t="s">
        <v>135</v>
      </c>
      <c r="E683" s="0" t="s">
        <v>2</v>
      </c>
      <c r="F683" s="0" t="s">
        <v>12</v>
      </c>
      <c r="G683" s="0" t="s">
        <v>8</v>
      </c>
      <c r="H683" s="0">
        <v>2632</v>
      </c>
      <c r="I683" s="0">
        <v>0</v>
      </c>
      <c r="J683" s="0">
        <v>0</v>
      </c>
      <c r="K683" s="0">
        <v>1</v>
      </c>
      <c r="L683" s="0">
        <v>1</v>
      </c>
      <c r="M683" s="0">
        <v>2</v>
      </c>
      <c r="N683" s="0">
        <v>0</v>
      </c>
      <c r="O683" s="0">
        <v>0</v>
      </c>
      <c r="P683" s="0">
        <v>0</v>
      </c>
      <c r="R683" s="0" t="b">
        <v>0</v>
      </c>
      <c r="S683" s="0" t="b">
        <v>1</v>
      </c>
      <c r="T683" s="68">
        <v>43421.0211805556</v>
      </c>
      <c r="U683" s="68">
        <v>43483.5</v>
      </c>
      <c r="V683" s="68">
        <v>0</v>
      </c>
      <c r="W683" s="0">
        <f>IF(IF(B683="none",1,IF(B683="Trialer",1,0))+IF(C683="Customer",1,IF(C683="Lost",1,0))=2,1,0)</f>
      </c>
      <c r="X683" s="0" t="s">
        <v>136</v>
      </c>
      <c r="Y683" s="0" t="s">
        <v>499</v>
      </c>
      <c r="AV683" s="68"/>
      <c r="AW683" s="68"/>
      <c r="AY683" s="27"/>
      <c r="BD683" s="68">
        <v>46054.1666666667</v>
      </c>
      <c r="BE683" s="68">
        <v>46082.1666666667</v>
      </c>
      <c r="BF683" s="0" t="b">
        <v>0</v>
      </c>
      <c r="BG683" s="0" t="b">
        <v>0</v>
      </c>
      <c r="BH683" s="0">
        <v>0</v>
      </c>
      <c r="BI683" s="0">
        <v>0</v>
      </c>
      <c r="BJ683" s="0" t="s">
        <v>135</v>
      </c>
    </row>
    <row r="684">
      <c r="A684" s="0" t="s">
        <v>875</v>
      </c>
      <c r="B684" s="0" t="s">
        <v>134</v>
      </c>
      <c r="C684" s="0" t="s">
        <v>134</v>
      </c>
      <c r="D684" s="0" t="s">
        <v>135</v>
      </c>
      <c r="E684" s="0" t="s">
        <v>3</v>
      </c>
      <c r="F684" s="0" t="s">
        <v>12</v>
      </c>
      <c r="G684" s="0" t="s">
        <v>8</v>
      </c>
      <c r="H684" s="0">
        <v>2628</v>
      </c>
      <c r="I684" s="0">
        <v>0</v>
      </c>
      <c r="J684" s="0">
        <v>0</v>
      </c>
      <c r="K684" s="0">
        <v>1</v>
      </c>
      <c r="L684" s="0">
        <v>3</v>
      </c>
      <c r="M684" s="0">
        <v>1</v>
      </c>
      <c r="N684" s="0">
        <v>0</v>
      </c>
      <c r="O684" s="0">
        <v>0</v>
      </c>
      <c r="P684" s="0">
        <v>0</v>
      </c>
      <c r="R684" s="0" t="b">
        <v>0</v>
      </c>
      <c r="S684" s="0" t="b">
        <v>1</v>
      </c>
      <c r="T684" s="68">
        <v>43425.4441087963</v>
      </c>
      <c r="U684" s="68">
        <v>43468.2916666667</v>
      </c>
      <c r="V684" s="68">
        <v>0</v>
      </c>
      <c r="W684" s="0">
        <f>IF(IF(B684="none",1,IF(B684="Trialer",1,0))+IF(C684="Customer",1,IF(C684="Lost",1,0))=2,1,0)</f>
      </c>
      <c r="X684" s="0" t="s">
        <v>148</v>
      </c>
      <c r="Y684" s="0" t="s">
        <v>243</v>
      </c>
      <c r="AV684" s="68"/>
      <c r="AW684" s="68"/>
      <c r="AY684" s="27"/>
      <c r="BD684" s="68">
        <v>46054.1666666667</v>
      </c>
      <c r="BE684" s="68">
        <v>46082.1666666667</v>
      </c>
      <c r="BF684" s="0" t="b">
        <v>0</v>
      </c>
      <c r="BG684" s="0" t="b">
        <v>0</v>
      </c>
      <c r="BH684" s="0">
        <v>0</v>
      </c>
      <c r="BI684" s="0">
        <v>0</v>
      </c>
      <c r="BJ684" s="0" t="s">
        <v>135</v>
      </c>
    </row>
    <row r="685">
      <c r="A685" s="0" t="s">
        <v>876</v>
      </c>
      <c r="B685" s="0" t="s">
        <v>134</v>
      </c>
      <c r="C685" s="0" t="s">
        <v>134</v>
      </c>
      <c r="D685" s="0" t="s">
        <v>135</v>
      </c>
      <c r="E685" s="0" t="s">
        <v>3</v>
      </c>
      <c r="F685" s="0" t="s">
        <v>12</v>
      </c>
      <c r="G685" s="0" t="s">
        <v>8</v>
      </c>
      <c r="H685" s="0">
        <v>2628</v>
      </c>
      <c r="I685" s="0">
        <v>0</v>
      </c>
      <c r="J685" s="0">
        <v>0</v>
      </c>
      <c r="K685" s="0">
        <v>1</v>
      </c>
      <c r="L685" s="0">
        <v>3</v>
      </c>
      <c r="M685" s="0">
        <v>2</v>
      </c>
      <c r="N685" s="0">
        <v>0</v>
      </c>
      <c r="O685" s="0">
        <v>0</v>
      </c>
      <c r="P685" s="0">
        <v>0</v>
      </c>
      <c r="R685" s="0" t="b">
        <v>0</v>
      </c>
      <c r="S685" s="0" t="b">
        <v>1</v>
      </c>
      <c r="T685" s="68">
        <v>43425.4520023148</v>
      </c>
      <c r="U685" s="68">
        <v>43455.5</v>
      </c>
      <c r="V685" s="68">
        <v>0</v>
      </c>
      <c r="W685" s="0">
        <f>IF(IF(B685="none",1,IF(B685="Trialer",1,0))+IF(C685="Customer",1,IF(C685="Lost",1,0))=2,1,0)</f>
      </c>
      <c r="X685" s="0" t="s">
        <v>148</v>
      </c>
      <c r="Y685" s="0" t="s">
        <v>243</v>
      </c>
      <c r="AV685" s="68"/>
      <c r="AW685" s="68"/>
      <c r="AY685" s="27"/>
      <c r="BD685" s="68">
        <v>46054.1666666667</v>
      </c>
      <c r="BE685" s="68">
        <v>46082.1666666667</v>
      </c>
      <c r="BF685" s="0" t="b">
        <v>0</v>
      </c>
      <c r="BG685" s="0" t="b">
        <v>0</v>
      </c>
      <c r="BH685" s="0">
        <v>0</v>
      </c>
      <c r="BI685" s="0">
        <v>0</v>
      </c>
      <c r="BJ685" s="0" t="s">
        <v>135</v>
      </c>
    </row>
    <row r="686">
      <c r="A686" s="0" t="s">
        <v>877</v>
      </c>
      <c r="B686" s="0" t="s">
        <v>134</v>
      </c>
      <c r="C686" s="0" t="s">
        <v>134</v>
      </c>
      <c r="D686" s="0" t="s">
        <v>135</v>
      </c>
      <c r="E686" s="0" t="s">
        <v>3</v>
      </c>
      <c r="F686" s="0" t="s">
        <v>12</v>
      </c>
      <c r="G686" s="0" t="s">
        <v>8</v>
      </c>
      <c r="H686" s="0">
        <v>2623</v>
      </c>
      <c r="I686" s="0">
        <v>0</v>
      </c>
      <c r="J686" s="0">
        <v>0</v>
      </c>
      <c r="K686" s="0">
        <v>1</v>
      </c>
      <c r="L686" s="0">
        <v>3</v>
      </c>
      <c r="M686" s="0">
        <v>1</v>
      </c>
      <c r="N686" s="0">
        <v>0</v>
      </c>
      <c r="O686" s="0">
        <v>0</v>
      </c>
      <c r="P686" s="0">
        <v>0</v>
      </c>
      <c r="R686" s="0" t="b">
        <v>0</v>
      </c>
      <c r="S686" s="0" t="b">
        <v>1</v>
      </c>
      <c r="T686" s="68">
        <v>43430.4904282407</v>
      </c>
      <c r="U686" s="68">
        <v>43461.2916666667</v>
      </c>
      <c r="V686" s="68">
        <v>0</v>
      </c>
      <c r="W686" s="0">
        <f>IF(IF(B686="none",1,IF(B686="Trialer",1,0))+IF(C686="Customer",1,IF(C686="Lost",1,0))=2,1,0)</f>
      </c>
      <c r="X686" s="0" t="s">
        <v>148</v>
      </c>
      <c r="Y686" s="0" t="s">
        <v>243</v>
      </c>
      <c r="AV686" s="68"/>
      <c r="AW686" s="68"/>
      <c r="AY686" s="27"/>
      <c r="BD686" s="68">
        <v>46054.1666666667</v>
      </c>
      <c r="BE686" s="68">
        <v>46082.1666666667</v>
      </c>
      <c r="BF686" s="0" t="b">
        <v>0</v>
      </c>
      <c r="BG686" s="0" t="b">
        <v>0</v>
      </c>
      <c r="BH686" s="0">
        <v>0</v>
      </c>
      <c r="BI686" s="0">
        <v>0</v>
      </c>
      <c r="BJ686" s="0" t="s">
        <v>135</v>
      </c>
    </row>
    <row r="687">
      <c r="A687" s="0" t="s">
        <v>878</v>
      </c>
      <c r="B687" s="0" t="s">
        <v>134</v>
      </c>
      <c r="C687" s="0" t="s">
        <v>134</v>
      </c>
      <c r="D687" s="0" t="s">
        <v>135</v>
      </c>
      <c r="E687" s="0" t="s">
        <v>2</v>
      </c>
      <c r="F687" s="0" t="s">
        <v>12</v>
      </c>
      <c r="G687" s="0" t="s">
        <v>8</v>
      </c>
      <c r="H687" s="0">
        <v>2622</v>
      </c>
      <c r="I687" s="0">
        <v>37</v>
      </c>
      <c r="J687" s="0">
        <v>0</v>
      </c>
      <c r="K687" s="0">
        <v>1</v>
      </c>
      <c r="L687" s="0">
        <v>2</v>
      </c>
      <c r="M687" s="0">
        <v>1</v>
      </c>
      <c r="N687" s="0">
        <v>0</v>
      </c>
      <c r="O687" s="0">
        <v>0</v>
      </c>
      <c r="P687" s="0">
        <v>0</v>
      </c>
      <c r="R687" s="0" t="b">
        <v>0</v>
      </c>
      <c r="S687" s="0" t="b">
        <v>1</v>
      </c>
      <c r="T687" s="68">
        <v>43431.5207523148</v>
      </c>
      <c r="U687" s="68">
        <v>43461.5</v>
      </c>
      <c r="V687" s="68">
        <v>0</v>
      </c>
      <c r="W687" s="0">
        <f>IF(IF(B687="none",1,IF(B687="Trialer",1,0))+IF(C687="Customer",1,IF(C687="Lost",1,0))=2,1,0)</f>
      </c>
      <c r="X687" s="0" t="s">
        <v>166</v>
      </c>
      <c r="Y687" s="0" t="s">
        <v>499</v>
      </c>
      <c r="AV687" s="68"/>
      <c r="AW687" s="68"/>
      <c r="AY687" s="27"/>
      <c r="BD687" s="68">
        <v>46054.1666666667</v>
      </c>
      <c r="BE687" s="68">
        <v>46082.1666666667</v>
      </c>
      <c r="BF687" s="0" t="b">
        <v>0</v>
      </c>
      <c r="BG687" s="0" t="b">
        <v>0</v>
      </c>
      <c r="BH687" s="0">
        <v>37</v>
      </c>
      <c r="BI687" s="0">
        <v>37</v>
      </c>
      <c r="BJ687" s="0" t="s">
        <v>135</v>
      </c>
    </row>
    <row r="688">
      <c r="A688" s="0" t="s">
        <v>879</v>
      </c>
      <c r="B688" s="0" t="s">
        <v>134</v>
      </c>
      <c r="C688" s="0" t="s">
        <v>134</v>
      </c>
      <c r="D688" s="0" t="s">
        <v>135</v>
      </c>
      <c r="E688" s="0" t="s">
        <v>2</v>
      </c>
      <c r="F688" s="0" t="s">
        <v>12</v>
      </c>
      <c r="G688" s="0" t="s">
        <v>8</v>
      </c>
      <c r="H688" s="0">
        <v>2622</v>
      </c>
      <c r="I688" s="0">
        <v>0</v>
      </c>
      <c r="J688" s="0">
        <v>0</v>
      </c>
      <c r="K688" s="0">
        <v>1</v>
      </c>
      <c r="L688" s="0">
        <v>3</v>
      </c>
      <c r="M688" s="0">
        <v>1</v>
      </c>
      <c r="N688" s="0">
        <v>0</v>
      </c>
      <c r="O688" s="0">
        <v>0</v>
      </c>
      <c r="P688" s="0">
        <v>0</v>
      </c>
      <c r="R688" s="0" t="b">
        <v>0</v>
      </c>
      <c r="S688" s="0" t="b">
        <v>1</v>
      </c>
      <c r="T688" s="68">
        <v>43431.6777777778</v>
      </c>
      <c r="U688" s="68">
        <v>43461.2916666667</v>
      </c>
      <c r="V688" s="68">
        <v>0</v>
      </c>
      <c r="W688" s="0">
        <f>IF(IF(B688="none",1,IF(B688="Trialer",1,0))+IF(C688="Customer",1,IF(C688="Lost",1,0))=2,1,0)</f>
      </c>
      <c r="X688" s="0" t="s">
        <v>148</v>
      </c>
      <c r="Y688" s="0" t="s">
        <v>499</v>
      </c>
      <c r="AV688" s="68"/>
      <c r="AW688" s="68"/>
      <c r="AY688" s="27"/>
      <c r="BD688" s="68">
        <v>46054.1666666667</v>
      </c>
      <c r="BE688" s="68">
        <v>46082.1666666667</v>
      </c>
      <c r="BF688" s="0" t="b">
        <v>0</v>
      </c>
      <c r="BG688" s="0" t="b">
        <v>0</v>
      </c>
      <c r="BH688" s="0">
        <v>0</v>
      </c>
      <c r="BI688" s="0">
        <v>0</v>
      </c>
      <c r="BJ688" s="0" t="s">
        <v>135</v>
      </c>
    </row>
    <row r="689">
      <c r="A689" s="0" t="s">
        <v>880</v>
      </c>
      <c r="B689" s="0" t="s">
        <v>134</v>
      </c>
      <c r="C689" s="0" t="s">
        <v>134</v>
      </c>
      <c r="D689" s="0" t="s">
        <v>135</v>
      </c>
      <c r="E689" s="0" t="s">
        <v>3</v>
      </c>
      <c r="F689" s="0" t="s">
        <v>12</v>
      </c>
      <c r="G689" s="0" t="s">
        <v>8</v>
      </c>
      <c r="H689" s="0">
        <v>2621</v>
      </c>
      <c r="I689" s="0">
        <v>0</v>
      </c>
      <c r="J689" s="0">
        <v>0</v>
      </c>
      <c r="K689" s="0">
        <v>1</v>
      </c>
      <c r="L689" s="0">
        <v>3</v>
      </c>
      <c r="M689" s="0">
        <v>1</v>
      </c>
      <c r="N689" s="0">
        <v>0</v>
      </c>
      <c r="O689" s="0">
        <v>0</v>
      </c>
      <c r="P689" s="0">
        <v>0</v>
      </c>
      <c r="R689" s="0" t="b">
        <v>0</v>
      </c>
      <c r="S689" s="0" t="b">
        <v>1</v>
      </c>
      <c r="T689" s="68">
        <v>43432.5180555556</v>
      </c>
      <c r="U689" s="68">
        <v>43462.5</v>
      </c>
      <c r="V689" s="68">
        <v>0</v>
      </c>
      <c r="W689" s="0">
        <f>IF(IF(B689="none",1,IF(B689="Trialer",1,0))+IF(C689="Customer",1,IF(C689="Lost",1,0))=2,1,0)</f>
      </c>
      <c r="X689" s="0" t="s">
        <v>136</v>
      </c>
      <c r="Y689" s="0" t="s">
        <v>243</v>
      </c>
      <c r="AV689" s="68"/>
      <c r="AW689" s="68"/>
      <c r="AY689" s="27"/>
      <c r="BD689" s="68">
        <v>46054.1666666667</v>
      </c>
      <c r="BE689" s="68">
        <v>46082.1666666667</v>
      </c>
      <c r="BF689" s="0" t="b">
        <v>0</v>
      </c>
      <c r="BG689" s="0" t="b">
        <v>0</v>
      </c>
      <c r="BH689" s="0">
        <v>0</v>
      </c>
      <c r="BI689" s="0">
        <v>0</v>
      </c>
      <c r="BJ689" s="0" t="s">
        <v>135</v>
      </c>
    </row>
    <row r="690">
      <c r="A690" s="0" t="s">
        <v>881</v>
      </c>
      <c r="B690" s="0" t="s">
        <v>134</v>
      </c>
      <c r="C690" s="0" t="s">
        <v>134</v>
      </c>
      <c r="D690" s="0" t="s">
        <v>135</v>
      </c>
      <c r="E690" s="0" t="s">
        <v>2</v>
      </c>
      <c r="F690" s="0" t="s">
        <v>12</v>
      </c>
      <c r="G690" s="0" t="s">
        <v>8</v>
      </c>
      <c r="H690" s="0">
        <v>2621</v>
      </c>
      <c r="I690" s="0">
        <v>414</v>
      </c>
      <c r="J690" s="0">
        <v>0</v>
      </c>
      <c r="K690" s="0">
        <v>1</v>
      </c>
      <c r="L690" s="0">
        <v>3</v>
      </c>
      <c r="M690" s="0">
        <v>2</v>
      </c>
      <c r="N690" s="0">
        <v>1255.5</v>
      </c>
      <c r="O690" s="0">
        <v>0</v>
      </c>
      <c r="P690" s="0">
        <v>0</v>
      </c>
      <c r="R690" s="0" t="b">
        <v>0</v>
      </c>
      <c r="S690" s="0" t="b">
        <v>1</v>
      </c>
      <c r="T690" s="68">
        <v>43432.6851388889</v>
      </c>
      <c r="U690" s="68">
        <v>43473.2916666667</v>
      </c>
      <c r="V690" s="68">
        <v>0</v>
      </c>
      <c r="W690" s="0">
        <f>IF(IF(B690="none",1,IF(B690="Trialer",1,0))+IF(C690="Customer",1,IF(C690="Lost",1,0))=2,1,0)</f>
      </c>
      <c r="X690" s="0" t="s">
        <v>882</v>
      </c>
      <c r="Y690" s="0" t="s">
        <v>499</v>
      </c>
      <c r="AV690" s="68"/>
      <c r="AW690" s="68"/>
      <c r="AY690" s="27"/>
      <c r="BD690" s="68">
        <v>46054.1666666667</v>
      </c>
      <c r="BE690" s="68">
        <v>46082.1666666667</v>
      </c>
      <c r="BF690" s="0" t="b">
        <v>0</v>
      </c>
      <c r="BG690" s="0" t="b">
        <v>0</v>
      </c>
      <c r="BH690" s="0">
        <v>89</v>
      </c>
      <c r="BI690" s="0">
        <v>89</v>
      </c>
      <c r="BJ690" s="0" t="s">
        <v>135</v>
      </c>
    </row>
    <row r="691">
      <c r="A691" s="0" t="s">
        <v>883</v>
      </c>
      <c r="B691" s="0" t="s">
        <v>134</v>
      </c>
      <c r="C691" s="0" t="s">
        <v>134</v>
      </c>
      <c r="D691" s="0" t="s">
        <v>135</v>
      </c>
      <c r="E691" s="0" t="s">
        <v>3</v>
      </c>
      <c r="F691" s="0" t="s">
        <v>12</v>
      </c>
      <c r="G691" s="0" t="s">
        <v>8</v>
      </c>
      <c r="H691" s="0">
        <v>2621</v>
      </c>
      <c r="I691" s="0">
        <v>0</v>
      </c>
      <c r="J691" s="0">
        <v>0</v>
      </c>
      <c r="K691" s="0">
        <v>1</v>
      </c>
      <c r="L691" s="0">
        <v>3</v>
      </c>
      <c r="M691" s="0">
        <v>1</v>
      </c>
      <c r="N691" s="0">
        <v>0</v>
      </c>
      <c r="O691" s="0">
        <v>0</v>
      </c>
      <c r="P691" s="0">
        <v>0</v>
      </c>
      <c r="R691" s="0" t="b">
        <v>0</v>
      </c>
      <c r="S691" s="0" t="b">
        <v>1</v>
      </c>
      <c r="T691" s="68">
        <v>43432.9222222222</v>
      </c>
      <c r="U691" s="68">
        <v>43462.5</v>
      </c>
      <c r="V691" s="68">
        <v>0</v>
      </c>
      <c r="W691" s="0">
        <f>IF(IF(B691="none",1,IF(B691="Trialer",1,0))+IF(C691="Customer",1,IF(C691="Lost",1,0))=2,1,0)</f>
      </c>
      <c r="X691" s="0" t="s">
        <v>148</v>
      </c>
      <c r="Y691" s="0" t="s">
        <v>243</v>
      </c>
      <c r="AV691" s="68"/>
      <c r="AW691" s="68"/>
      <c r="AY691" s="27"/>
      <c r="BD691" s="68">
        <v>46054.1666666667</v>
      </c>
      <c r="BE691" s="68">
        <v>46082.1666666667</v>
      </c>
      <c r="BF691" s="0" t="b">
        <v>0</v>
      </c>
      <c r="BG691" s="0" t="b">
        <v>0</v>
      </c>
      <c r="BH691" s="0">
        <v>0</v>
      </c>
      <c r="BI691" s="0">
        <v>0</v>
      </c>
      <c r="BJ691" s="0" t="s">
        <v>230</v>
      </c>
    </row>
    <row r="692">
      <c r="A692" s="0" t="s">
        <v>884</v>
      </c>
      <c r="B692" s="0" t="s">
        <v>134</v>
      </c>
      <c r="C692" s="0" t="s">
        <v>134</v>
      </c>
      <c r="D692" s="0" t="s">
        <v>230</v>
      </c>
      <c r="E692" s="0" t="s">
        <v>2</v>
      </c>
      <c r="F692" s="0" t="s">
        <v>12</v>
      </c>
      <c r="G692" s="0" t="s">
        <v>8</v>
      </c>
      <c r="H692" s="0">
        <v>2620</v>
      </c>
      <c r="I692" s="0">
        <v>246</v>
      </c>
      <c r="J692" s="0">
        <v>0</v>
      </c>
      <c r="K692" s="0">
        <v>1</v>
      </c>
      <c r="L692" s="0">
        <v>3</v>
      </c>
      <c r="M692" s="0">
        <v>7</v>
      </c>
      <c r="N692" s="0">
        <v>0</v>
      </c>
      <c r="O692" s="0">
        <v>0</v>
      </c>
      <c r="P692" s="0">
        <v>-246</v>
      </c>
      <c r="R692" s="0" t="b">
        <v>0</v>
      </c>
      <c r="S692" s="0" t="b">
        <v>1</v>
      </c>
      <c r="T692" s="68">
        <v>43433.5</v>
      </c>
      <c r="U692" s="68">
        <v>43433.5</v>
      </c>
      <c r="V692" s="68">
        <v>0</v>
      </c>
      <c r="W692" s="0">
        <f>IF(IF(B692="none",1,IF(B692="Trialer",1,0))+IF(C692="Customer",1,IF(C692="Lost",1,0))=2,1,0)</f>
      </c>
      <c r="X692" s="0" t="s">
        <v>145</v>
      </c>
      <c r="Y692" s="0" t="s">
        <v>499</v>
      </c>
      <c r="AV692" s="68"/>
      <c r="AW692" s="68"/>
      <c r="AY692" s="27"/>
      <c r="BD692" s="68">
        <v>46054.1666666667</v>
      </c>
      <c r="BE692" s="68">
        <v>46082.1666666667</v>
      </c>
      <c r="BF692" s="0" t="b">
        <v>0</v>
      </c>
      <c r="BG692" s="0" t="b">
        <v>0</v>
      </c>
      <c r="BH692" s="0">
        <v>274</v>
      </c>
      <c r="BI692" s="0">
        <v>274</v>
      </c>
      <c r="BJ692" s="0" t="s">
        <v>230</v>
      </c>
    </row>
    <row r="693">
      <c r="A693" s="0" t="s">
        <v>885</v>
      </c>
      <c r="B693" s="0" t="s">
        <v>134</v>
      </c>
      <c r="C693" s="0" t="s">
        <v>134</v>
      </c>
      <c r="D693" s="0" t="s">
        <v>230</v>
      </c>
      <c r="E693" s="0" t="s">
        <v>3</v>
      </c>
      <c r="F693" s="0" t="s">
        <v>10</v>
      </c>
      <c r="G693" s="0" t="s">
        <v>8</v>
      </c>
      <c r="H693" s="0">
        <v>2619</v>
      </c>
      <c r="I693" s="0">
        <v>1163.54</v>
      </c>
      <c r="J693" s="0">
        <v>0</v>
      </c>
      <c r="K693" s="0">
        <v>1</v>
      </c>
      <c r="L693" s="0">
        <v>3</v>
      </c>
      <c r="M693" s="0">
        <v>42</v>
      </c>
      <c r="N693" s="0">
        <v>0</v>
      </c>
      <c r="O693" s="0">
        <v>0</v>
      </c>
      <c r="P693" s="0">
        <v>12708.46</v>
      </c>
      <c r="Q693" s="0" t="s">
        <v>217</v>
      </c>
      <c r="R693" s="0" t="b">
        <v>0</v>
      </c>
      <c r="S693" s="0" t="b">
        <v>1</v>
      </c>
      <c r="T693" s="68">
        <v>43434.4479166667</v>
      </c>
      <c r="U693" s="68">
        <v>43464.5</v>
      </c>
      <c r="V693" s="68">
        <v>0</v>
      </c>
      <c r="W693" s="0">
        <f>IF(IF(B693="none",1,IF(B693="Trialer",1,0))+IF(C693="Customer",1,IF(C693="Lost",1,0))=2,1,0)</f>
      </c>
      <c r="X693" s="0" t="s">
        <v>136</v>
      </c>
      <c r="Y693" s="0" t="s">
        <v>243</v>
      </c>
      <c r="AV693" s="68"/>
      <c r="AW693" s="68"/>
      <c r="AY693" s="27"/>
      <c r="BD693" s="68">
        <v>46054.1666666667</v>
      </c>
      <c r="BE693" s="68">
        <v>46082.1666666667</v>
      </c>
      <c r="BF693" s="0" t="b">
        <v>0</v>
      </c>
      <c r="BG693" s="0" t="b">
        <v>0</v>
      </c>
      <c r="BH693" s="0">
        <v>1287.07</v>
      </c>
      <c r="BI693" s="0">
        <v>1286.49</v>
      </c>
      <c r="BJ693" s="0" t="s">
        <v>230</v>
      </c>
    </row>
    <row r="694">
      <c r="A694" s="0" t="s">
        <v>886</v>
      </c>
      <c r="B694" s="0" t="s">
        <v>134</v>
      </c>
      <c r="C694" s="0" t="s">
        <v>134</v>
      </c>
      <c r="D694" s="0" t="s">
        <v>135</v>
      </c>
      <c r="E694" s="0" t="s">
        <v>3</v>
      </c>
      <c r="F694" s="0" t="s">
        <v>12</v>
      </c>
      <c r="G694" s="0" t="s">
        <v>8</v>
      </c>
      <c r="H694" s="0">
        <v>2619</v>
      </c>
      <c r="I694" s="0">
        <v>0</v>
      </c>
      <c r="J694" s="0">
        <v>0</v>
      </c>
      <c r="K694" s="0">
        <v>1</v>
      </c>
      <c r="L694" s="0">
        <v>5</v>
      </c>
      <c r="M694" s="0">
        <v>2</v>
      </c>
      <c r="N694" s="0">
        <v>0</v>
      </c>
      <c r="O694" s="0">
        <v>0</v>
      </c>
      <c r="P694" s="0">
        <v>0</v>
      </c>
      <c r="R694" s="0" t="b">
        <v>0</v>
      </c>
      <c r="S694" s="0" t="b">
        <v>1</v>
      </c>
      <c r="T694" s="68">
        <v>43434.6018287037</v>
      </c>
      <c r="U694" s="68">
        <v>43464.5</v>
      </c>
      <c r="V694" s="68">
        <v>0</v>
      </c>
      <c r="W694" s="0">
        <f>IF(IF(B694="none",1,IF(B694="Trialer",1,0))+IF(C694="Customer",1,IF(C694="Lost",1,0))=2,1,0)</f>
      </c>
      <c r="X694" s="0" t="s">
        <v>148</v>
      </c>
      <c r="Y694" s="0" t="s">
        <v>243</v>
      </c>
      <c r="AV694" s="68"/>
      <c r="AW694" s="68"/>
      <c r="AY694" s="27"/>
      <c r="BD694" s="68">
        <v>46054.1666666667</v>
      </c>
      <c r="BE694" s="68">
        <v>46082.1666666667</v>
      </c>
      <c r="BF694" s="0" t="b">
        <v>0</v>
      </c>
      <c r="BG694" s="0" t="b">
        <v>0</v>
      </c>
      <c r="BH694" s="0">
        <v>0</v>
      </c>
      <c r="BI694" s="0">
        <v>0</v>
      </c>
      <c r="BJ694" s="0" t="s">
        <v>135</v>
      </c>
    </row>
    <row r="695">
      <c r="A695" s="0" t="s">
        <v>887</v>
      </c>
      <c r="B695" s="0" t="s">
        <v>134</v>
      </c>
      <c r="C695" s="0" t="s">
        <v>134</v>
      </c>
      <c r="D695" s="0" t="s">
        <v>135</v>
      </c>
      <c r="E695" s="0" t="s">
        <v>2</v>
      </c>
      <c r="F695" s="0" t="s">
        <v>12</v>
      </c>
      <c r="G695" s="0" t="s">
        <v>8</v>
      </c>
      <c r="H695" s="0">
        <v>2619</v>
      </c>
      <c r="I695" s="0">
        <v>122</v>
      </c>
      <c r="J695" s="0">
        <v>0</v>
      </c>
      <c r="K695" s="0">
        <v>1</v>
      </c>
      <c r="L695" s="0">
        <v>4</v>
      </c>
      <c r="M695" s="0">
        <v>2</v>
      </c>
      <c r="N695" s="0">
        <v>0</v>
      </c>
      <c r="O695" s="0">
        <v>0</v>
      </c>
      <c r="P695" s="0">
        <v>0</v>
      </c>
      <c r="R695" s="0" t="b">
        <v>0</v>
      </c>
      <c r="S695" s="0" t="b">
        <v>1</v>
      </c>
      <c r="T695" s="68">
        <v>43434.6119675926</v>
      </c>
      <c r="U695" s="68">
        <v>43440.2916666667</v>
      </c>
      <c r="V695" s="68">
        <v>0</v>
      </c>
      <c r="W695" s="0">
        <f>IF(IF(B695="none",1,IF(B695="Trialer",1,0))+IF(C695="Customer",1,IF(C695="Lost",1,0))=2,1,0)</f>
      </c>
      <c r="X695" s="0" t="s">
        <v>166</v>
      </c>
      <c r="Y695" s="0" t="s">
        <v>499</v>
      </c>
      <c r="AV695" s="68"/>
      <c r="AW695" s="68"/>
      <c r="AY695" s="27"/>
      <c r="BD695" s="68">
        <v>46054.1666666667</v>
      </c>
      <c r="BE695" s="68">
        <v>46082.1666666667</v>
      </c>
      <c r="BF695" s="0" t="b">
        <v>0</v>
      </c>
      <c r="BG695" s="0" t="b">
        <v>0</v>
      </c>
      <c r="BH695" s="0">
        <v>122</v>
      </c>
      <c r="BI695" s="0">
        <v>122</v>
      </c>
      <c r="BJ695" s="0" t="s">
        <v>135</v>
      </c>
    </row>
    <row r="696">
      <c r="A696" s="0" t="s">
        <v>888</v>
      </c>
      <c r="B696" s="0" t="s">
        <v>134</v>
      </c>
      <c r="C696" s="0" t="s">
        <v>134</v>
      </c>
      <c r="D696" s="0" t="s">
        <v>230</v>
      </c>
      <c r="E696" s="0" t="s">
        <v>3</v>
      </c>
      <c r="F696" s="0" t="s">
        <v>12</v>
      </c>
      <c r="G696" s="0" t="s">
        <v>8</v>
      </c>
      <c r="H696" s="0">
        <v>2618</v>
      </c>
      <c r="I696" s="0">
        <v>190</v>
      </c>
      <c r="J696" s="0">
        <v>0</v>
      </c>
      <c r="K696" s="0">
        <v>1</v>
      </c>
      <c r="L696" s="0">
        <v>4</v>
      </c>
      <c r="M696" s="0">
        <v>6</v>
      </c>
      <c r="N696" s="0">
        <v>0</v>
      </c>
      <c r="O696" s="0">
        <v>0</v>
      </c>
      <c r="P696" s="0">
        <v>2090</v>
      </c>
      <c r="R696" s="0" t="b">
        <v>0</v>
      </c>
      <c r="S696" s="0" t="b">
        <v>1</v>
      </c>
      <c r="T696" s="68">
        <v>43435.9260185185</v>
      </c>
      <c r="U696" s="68">
        <v>43464.5</v>
      </c>
      <c r="V696" s="68">
        <v>0</v>
      </c>
      <c r="W696" s="0">
        <f>IF(IF(B696="none",1,IF(B696="Trialer",1,0))+IF(C696="Customer",1,IF(C696="Lost",1,0))=2,1,0)</f>
      </c>
      <c r="X696" s="0" t="s">
        <v>145</v>
      </c>
      <c r="Y696" s="0" t="s">
        <v>243</v>
      </c>
      <c r="AV696" s="68"/>
      <c r="AW696" s="68"/>
      <c r="AY696" s="27"/>
      <c r="BD696" s="68">
        <v>46054.1666666667</v>
      </c>
      <c r="BE696" s="68">
        <v>46082.1666666667</v>
      </c>
      <c r="BF696" s="0" t="b">
        <v>0</v>
      </c>
      <c r="BG696" s="0" t="b">
        <v>0</v>
      </c>
      <c r="BH696" s="0">
        <v>213</v>
      </c>
      <c r="BI696" s="0">
        <v>213</v>
      </c>
      <c r="BJ696" s="0" t="s">
        <v>230</v>
      </c>
    </row>
    <row r="697">
      <c r="A697" s="0" t="s">
        <v>889</v>
      </c>
      <c r="B697" s="0" t="s">
        <v>134</v>
      </c>
      <c r="C697" s="0" t="s">
        <v>134</v>
      </c>
      <c r="D697" s="0" t="s">
        <v>135</v>
      </c>
      <c r="E697" s="0" t="s">
        <v>2</v>
      </c>
      <c r="F697" s="0" t="s">
        <v>12</v>
      </c>
      <c r="G697" s="0" t="s">
        <v>8</v>
      </c>
      <c r="H697" s="0">
        <v>2616</v>
      </c>
      <c r="I697" s="0">
        <v>245</v>
      </c>
      <c r="J697" s="0">
        <v>0</v>
      </c>
      <c r="K697" s="0">
        <v>1</v>
      </c>
      <c r="L697" s="0">
        <v>3</v>
      </c>
      <c r="M697" s="0">
        <v>8</v>
      </c>
      <c r="N697" s="0">
        <v>0</v>
      </c>
      <c r="O697" s="0">
        <v>0</v>
      </c>
      <c r="P697" s="0">
        <v>0</v>
      </c>
      <c r="R697" s="0" t="b">
        <v>0</v>
      </c>
      <c r="S697" s="0" t="b">
        <v>1</v>
      </c>
      <c r="T697" s="68">
        <v>43437.7628009259</v>
      </c>
      <c r="U697" s="68">
        <v>43546.3333333333</v>
      </c>
      <c r="V697" s="68">
        <v>0</v>
      </c>
      <c r="W697" s="0">
        <f>IF(IF(B697="none",1,IF(B697="Trialer",1,0))+IF(C697="Customer",1,IF(C697="Lost",1,0))=2,1,0)</f>
      </c>
      <c r="X697" s="0" t="s">
        <v>136</v>
      </c>
      <c r="Y697" s="0" t="s">
        <v>499</v>
      </c>
      <c r="AV697" s="68"/>
      <c r="AW697" s="68"/>
      <c r="AY697" s="27"/>
      <c r="BD697" s="68">
        <v>46054.1666666667</v>
      </c>
      <c r="BE697" s="68">
        <v>46082.1666666667</v>
      </c>
      <c r="BF697" s="0" t="b">
        <v>0</v>
      </c>
      <c r="BG697" s="0" t="b">
        <v>0</v>
      </c>
      <c r="BH697" s="0">
        <v>245</v>
      </c>
      <c r="BI697" s="0">
        <v>245</v>
      </c>
      <c r="BJ697" s="0" t="s">
        <v>135</v>
      </c>
    </row>
    <row r="698">
      <c r="A698" s="0" t="s">
        <v>890</v>
      </c>
      <c r="B698" s="0" t="s">
        <v>134</v>
      </c>
      <c r="C698" s="0" t="s">
        <v>134</v>
      </c>
      <c r="D698" s="0" t="s">
        <v>135</v>
      </c>
      <c r="E698" s="0" t="s">
        <v>3</v>
      </c>
      <c r="F698" s="0" t="s">
        <v>12</v>
      </c>
      <c r="G698" s="0" t="s">
        <v>8</v>
      </c>
      <c r="H698" s="0">
        <v>2616</v>
      </c>
      <c r="I698" s="0">
        <v>296</v>
      </c>
      <c r="J698" s="0">
        <v>0</v>
      </c>
      <c r="K698" s="0">
        <v>1</v>
      </c>
      <c r="L698" s="0">
        <v>3</v>
      </c>
      <c r="M698" s="0">
        <v>10</v>
      </c>
      <c r="N698" s="0">
        <v>0</v>
      </c>
      <c r="O698" s="0">
        <v>0</v>
      </c>
      <c r="P698" s="0">
        <v>0</v>
      </c>
      <c r="R698" s="0" t="b">
        <v>0</v>
      </c>
      <c r="S698" s="0" t="b">
        <v>1</v>
      </c>
      <c r="T698" s="68">
        <v>43437.9558333333</v>
      </c>
      <c r="U698" s="68">
        <v>43467.5</v>
      </c>
      <c r="V698" s="68">
        <v>0</v>
      </c>
      <c r="W698" s="0">
        <f>IF(IF(B698="none",1,IF(B698="Trialer",1,0))+IF(C698="Customer",1,IF(C698="Lost",1,0))=2,1,0)</f>
      </c>
      <c r="X698" s="0" t="s">
        <v>148</v>
      </c>
      <c r="Y698" s="0" t="s">
        <v>243</v>
      </c>
      <c r="AV698" s="68"/>
      <c r="AW698" s="68"/>
      <c r="AY698" s="27"/>
      <c r="BD698" s="68">
        <v>46054.1666666667</v>
      </c>
      <c r="BE698" s="68">
        <v>46082.1666666667</v>
      </c>
      <c r="BF698" s="0" t="b">
        <v>0</v>
      </c>
      <c r="BG698" s="0" t="b">
        <v>0</v>
      </c>
      <c r="BH698" s="0">
        <v>336</v>
      </c>
      <c r="BI698" s="0">
        <v>336</v>
      </c>
      <c r="BJ698" s="0" t="s">
        <v>135</v>
      </c>
    </row>
    <row r="699">
      <c r="A699" s="0" t="s">
        <v>891</v>
      </c>
      <c r="B699" s="0" t="s">
        <v>134</v>
      </c>
      <c r="C699" s="0" t="s">
        <v>134</v>
      </c>
      <c r="D699" s="0" t="s">
        <v>230</v>
      </c>
      <c r="E699" s="0" t="s">
        <v>2</v>
      </c>
      <c r="F699" s="0" t="s">
        <v>12</v>
      </c>
      <c r="G699" s="0" t="s">
        <v>8</v>
      </c>
      <c r="H699" s="0">
        <v>2615</v>
      </c>
      <c r="I699" s="0">
        <v>935</v>
      </c>
      <c r="J699" s="0">
        <v>0</v>
      </c>
      <c r="K699" s="0">
        <v>1</v>
      </c>
      <c r="L699" s="0">
        <v>4</v>
      </c>
      <c r="M699" s="0">
        <v>16</v>
      </c>
      <c r="N699" s="0">
        <v>0</v>
      </c>
      <c r="O699" s="0">
        <v>0</v>
      </c>
      <c r="P699" s="0">
        <v>-610</v>
      </c>
      <c r="R699" s="0" t="b">
        <v>0</v>
      </c>
      <c r="S699" s="0" t="b">
        <v>1</v>
      </c>
      <c r="T699" s="68">
        <v>43438.6950462963</v>
      </c>
      <c r="U699" s="68">
        <v>43481.5</v>
      </c>
      <c r="V699" s="68">
        <v>0</v>
      </c>
      <c r="W699" s="0">
        <f>IF(IF(B699="none",1,IF(B699="Trialer",1,0))+IF(C699="Customer",1,IF(C699="Lost",1,0))=2,1,0)</f>
      </c>
      <c r="X699" s="0" t="s">
        <v>148</v>
      </c>
      <c r="Y699" s="0" t="s">
        <v>499</v>
      </c>
      <c r="AV699" s="68"/>
      <c r="AW699" s="68"/>
      <c r="AY699" s="27"/>
      <c r="BD699" s="68">
        <v>46054.1666666667</v>
      </c>
      <c r="BE699" s="68">
        <v>46082.1666666667</v>
      </c>
      <c r="BF699" s="0" t="b">
        <v>0</v>
      </c>
      <c r="BG699" s="0" t="b">
        <v>0</v>
      </c>
      <c r="BH699" s="0">
        <v>679</v>
      </c>
      <c r="BI699" s="0">
        <v>679</v>
      </c>
      <c r="BJ699" s="0" t="s">
        <v>230</v>
      </c>
    </row>
    <row r="700">
      <c r="A700" s="0" t="s">
        <v>892</v>
      </c>
      <c r="B700" s="0" t="s">
        <v>134</v>
      </c>
      <c r="C700" s="0" t="s">
        <v>134</v>
      </c>
      <c r="D700" s="0" t="s">
        <v>135</v>
      </c>
      <c r="E700" s="0" t="s">
        <v>3</v>
      </c>
      <c r="F700" s="0" t="s">
        <v>12</v>
      </c>
      <c r="G700" s="0" t="s">
        <v>8</v>
      </c>
      <c r="H700" s="0">
        <v>2614</v>
      </c>
      <c r="I700" s="0">
        <v>0</v>
      </c>
      <c r="J700" s="0">
        <v>0</v>
      </c>
      <c r="K700" s="0">
        <v>1</v>
      </c>
      <c r="L700" s="0">
        <v>4</v>
      </c>
      <c r="M700" s="0">
        <v>2</v>
      </c>
      <c r="N700" s="0">
        <v>0</v>
      </c>
      <c r="O700" s="0">
        <v>0</v>
      </c>
      <c r="P700" s="0">
        <v>0</v>
      </c>
      <c r="R700" s="0" t="b">
        <v>0</v>
      </c>
      <c r="S700" s="0" t="b">
        <v>1</v>
      </c>
      <c r="T700" s="68">
        <v>43439.4909722222</v>
      </c>
      <c r="U700" s="68">
        <v>43469.5</v>
      </c>
      <c r="V700" s="68">
        <v>0</v>
      </c>
      <c r="W700" s="0">
        <f>IF(IF(B700="none",1,IF(B700="Trialer",1,0))+IF(C700="Customer",1,IF(C700="Lost",1,0))=2,1,0)</f>
      </c>
      <c r="X700" s="0" t="s">
        <v>136</v>
      </c>
      <c r="Y700" s="0" t="s">
        <v>243</v>
      </c>
      <c r="AV700" s="68"/>
      <c r="AW700" s="68"/>
      <c r="AY700" s="27"/>
      <c r="BD700" s="68">
        <v>46054.1666666667</v>
      </c>
      <c r="BE700" s="68">
        <v>46082.1666666667</v>
      </c>
      <c r="BF700" s="0" t="b">
        <v>0</v>
      </c>
      <c r="BG700" s="0" t="b">
        <v>0</v>
      </c>
      <c r="BH700" s="0">
        <v>0</v>
      </c>
      <c r="BI700" s="0">
        <v>0</v>
      </c>
      <c r="BJ700" s="0" t="s">
        <v>135</v>
      </c>
    </row>
    <row r="701">
      <c r="A701" s="0" t="s">
        <v>893</v>
      </c>
      <c r="B701" s="0" t="s">
        <v>134</v>
      </c>
      <c r="C701" s="0" t="s">
        <v>134</v>
      </c>
      <c r="D701" s="0" t="s">
        <v>135</v>
      </c>
      <c r="E701" s="0" t="s">
        <v>3</v>
      </c>
      <c r="F701" s="0" t="s">
        <v>12</v>
      </c>
      <c r="G701" s="0" t="s">
        <v>8</v>
      </c>
      <c r="H701" s="0">
        <v>2614</v>
      </c>
      <c r="I701" s="0">
        <v>77</v>
      </c>
      <c r="J701" s="0">
        <v>0</v>
      </c>
      <c r="K701" s="0">
        <v>1</v>
      </c>
      <c r="L701" s="0">
        <v>3</v>
      </c>
      <c r="M701" s="0">
        <v>2</v>
      </c>
      <c r="N701" s="0">
        <v>0</v>
      </c>
      <c r="O701" s="0">
        <v>0</v>
      </c>
      <c r="P701" s="0">
        <v>0</v>
      </c>
      <c r="R701" s="0" t="b">
        <v>0</v>
      </c>
      <c r="S701" s="0" t="b">
        <v>1</v>
      </c>
      <c r="T701" s="68">
        <v>43439.7496527778</v>
      </c>
      <c r="U701" s="68">
        <v>43469.5</v>
      </c>
      <c r="V701" s="68">
        <v>0</v>
      </c>
      <c r="W701" s="0">
        <f>IF(IF(B701="none",1,IF(B701="Trialer",1,0))+IF(C701="Customer",1,IF(C701="Lost",1,0))=2,1,0)</f>
      </c>
      <c r="X701" s="0" t="s">
        <v>153</v>
      </c>
      <c r="Y701" s="0" t="s">
        <v>243</v>
      </c>
      <c r="AV701" s="68"/>
      <c r="AW701" s="68"/>
      <c r="AY701" s="27"/>
      <c r="BD701" s="68">
        <v>46054.1666666667</v>
      </c>
      <c r="BE701" s="68">
        <v>46082.1666666667</v>
      </c>
      <c r="BF701" s="0" t="b">
        <v>0</v>
      </c>
      <c r="BG701" s="0" t="b">
        <v>0</v>
      </c>
      <c r="BH701" s="0">
        <v>40</v>
      </c>
      <c r="BI701" s="0">
        <v>40</v>
      </c>
      <c r="BJ701" s="0" t="s">
        <v>135</v>
      </c>
    </row>
    <row r="702">
      <c r="A702" s="0" t="s">
        <v>894</v>
      </c>
      <c r="B702" s="0" t="s">
        <v>134</v>
      </c>
      <c r="C702" s="0" t="s">
        <v>134</v>
      </c>
      <c r="D702" s="0" t="s">
        <v>135</v>
      </c>
      <c r="E702" s="0" t="s">
        <v>3</v>
      </c>
      <c r="F702" s="0" t="s">
        <v>12</v>
      </c>
      <c r="G702" s="0" t="s">
        <v>8</v>
      </c>
      <c r="H702" s="0">
        <v>2612</v>
      </c>
      <c r="I702" s="0">
        <v>250</v>
      </c>
      <c r="J702" s="0">
        <v>0</v>
      </c>
      <c r="K702" s="0">
        <v>1</v>
      </c>
      <c r="L702" s="0">
        <v>4</v>
      </c>
      <c r="M702" s="0">
        <v>7</v>
      </c>
      <c r="N702" s="0">
        <v>0</v>
      </c>
      <c r="O702" s="0">
        <v>0</v>
      </c>
      <c r="P702" s="0">
        <v>0</v>
      </c>
      <c r="R702" s="0" t="b">
        <v>0</v>
      </c>
      <c r="S702" s="0" t="b">
        <v>1</v>
      </c>
      <c r="T702" s="68">
        <v>43441.5538888889</v>
      </c>
      <c r="U702" s="68">
        <v>43479.5</v>
      </c>
      <c r="V702" s="68">
        <v>0</v>
      </c>
      <c r="W702" s="0">
        <f>IF(IF(B702="none",1,IF(B702="Trialer",1,0))+IF(C702="Customer",1,IF(C702="Lost",1,0))=2,1,0)</f>
      </c>
      <c r="X702" s="0" t="s">
        <v>136</v>
      </c>
      <c r="Y702" s="0" t="s">
        <v>243</v>
      </c>
      <c r="AV702" s="68"/>
      <c r="AW702" s="68"/>
      <c r="AY702" s="27"/>
      <c r="BD702" s="68">
        <v>46054.1666666667</v>
      </c>
      <c r="BE702" s="68">
        <v>46082.1666666667</v>
      </c>
      <c r="BF702" s="0" t="b">
        <v>0</v>
      </c>
      <c r="BG702" s="0" t="b">
        <v>0</v>
      </c>
      <c r="BH702" s="0">
        <v>250</v>
      </c>
      <c r="BI702" s="0">
        <v>250</v>
      </c>
      <c r="BJ702" s="0" t="s">
        <v>135</v>
      </c>
    </row>
    <row r="703">
      <c r="A703" s="0" t="s">
        <v>895</v>
      </c>
      <c r="B703" s="0" t="s">
        <v>134</v>
      </c>
      <c r="C703" s="0" t="s">
        <v>134</v>
      </c>
      <c r="D703" s="0" t="s">
        <v>230</v>
      </c>
      <c r="E703" s="0" t="s">
        <v>3</v>
      </c>
      <c r="F703" s="0" t="s">
        <v>12</v>
      </c>
      <c r="G703" s="0" t="s">
        <v>8</v>
      </c>
      <c r="H703" s="0">
        <v>2608</v>
      </c>
      <c r="I703" s="0">
        <v>25</v>
      </c>
      <c r="J703" s="0">
        <v>0</v>
      </c>
      <c r="K703" s="0">
        <v>1</v>
      </c>
      <c r="L703" s="0">
        <v>1</v>
      </c>
      <c r="M703" s="0">
        <v>1</v>
      </c>
      <c r="N703" s="0">
        <v>0</v>
      </c>
      <c r="O703" s="0">
        <v>0</v>
      </c>
      <c r="P703" s="0">
        <v>275</v>
      </c>
      <c r="R703" s="0" t="b">
        <v>0</v>
      </c>
      <c r="S703" s="0" t="b">
        <v>1</v>
      </c>
      <c r="T703" s="68">
        <v>43445.5680555556</v>
      </c>
      <c r="U703" s="68">
        <v>43475.5</v>
      </c>
      <c r="V703" s="68">
        <v>0</v>
      </c>
      <c r="W703" s="0">
        <f>IF(IF(B703="none",1,IF(B703="Trialer",1,0))+IF(C703="Customer",1,IF(C703="Lost",1,0))=2,1,0)</f>
      </c>
      <c r="X703" s="0" t="s">
        <v>142</v>
      </c>
      <c r="Y703" s="0" t="s">
        <v>243</v>
      </c>
      <c r="AV703" s="68"/>
      <c r="AW703" s="68"/>
      <c r="AY703" s="27"/>
      <c r="BD703" s="68">
        <v>46054.1666666667</v>
      </c>
      <c r="BE703" s="68">
        <v>46082.1666666667</v>
      </c>
      <c r="BF703" s="0" t="b">
        <v>0</v>
      </c>
      <c r="BG703" s="0" t="b">
        <v>0</v>
      </c>
      <c r="BH703" s="0">
        <v>28</v>
      </c>
      <c r="BI703" s="0">
        <v>28</v>
      </c>
      <c r="BJ703" s="0" t="s">
        <v>230</v>
      </c>
    </row>
    <row r="704">
      <c r="A704" s="0" t="s">
        <v>896</v>
      </c>
      <c r="B704" s="0" t="s">
        <v>134</v>
      </c>
      <c r="C704" s="0" t="s">
        <v>134</v>
      </c>
      <c r="D704" s="0" t="s">
        <v>135</v>
      </c>
      <c r="E704" s="0" t="s">
        <v>3</v>
      </c>
      <c r="F704" s="0" t="s">
        <v>12</v>
      </c>
      <c r="G704" s="0" t="s">
        <v>8</v>
      </c>
      <c r="H704" s="0">
        <v>2608</v>
      </c>
      <c r="I704" s="0">
        <v>199</v>
      </c>
      <c r="J704" s="0">
        <v>0</v>
      </c>
      <c r="K704" s="0">
        <v>1</v>
      </c>
      <c r="L704" s="0">
        <v>4</v>
      </c>
      <c r="M704" s="0">
        <v>4</v>
      </c>
      <c r="N704" s="0">
        <v>0</v>
      </c>
      <c r="O704" s="0">
        <v>0</v>
      </c>
      <c r="P704" s="0">
        <v>0</v>
      </c>
      <c r="R704" s="0" t="b">
        <v>0</v>
      </c>
      <c r="S704" s="0" t="b">
        <v>1</v>
      </c>
      <c r="T704" s="68">
        <v>43445.8</v>
      </c>
      <c r="U704" s="68">
        <v>43483.5</v>
      </c>
      <c r="V704" s="68">
        <v>0</v>
      </c>
      <c r="W704" s="0">
        <f>IF(IF(B704="none",1,IF(B704="Trialer",1,0))+IF(C704="Customer",1,IF(C704="Lost",1,0))=2,1,0)</f>
      </c>
      <c r="X704" s="0" t="s">
        <v>136</v>
      </c>
      <c r="Y704" s="0" t="s">
        <v>243</v>
      </c>
      <c r="AV704" s="68"/>
      <c r="AW704" s="68"/>
      <c r="AY704" s="27"/>
      <c r="BD704" s="68">
        <v>46054.1666666667</v>
      </c>
      <c r="BE704" s="68">
        <v>46082.1666666667</v>
      </c>
      <c r="BF704" s="0" t="b">
        <v>0</v>
      </c>
      <c r="BG704" s="0" t="b">
        <v>0</v>
      </c>
      <c r="BH704" s="0">
        <v>199</v>
      </c>
      <c r="BI704" s="0">
        <v>199</v>
      </c>
      <c r="BJ704" s="0" t="s">
        <v>135</v>
      </c>
    </row>
    <row r="705">
      <c r="A705" s="0" t="s">
        <v>897</v>
      </c>
      <c r="B705" s="0" t="s">
        <v>134</v>
      </c>
      <c r="C705" s="0" t="s">
        <v>134</v>
      </c>
      <c r="D705" s="0" t="s">
        <v>135</v>
      </c>
      <c r="E705" s="0" t="s">
        <v>3</v>
      </c>
      <c r="F705" s="0" t="s">
        <v>12</v>
      </c>
      <c r="G705" s="0" t="s">
        <v>8</v>
      </c>
      <c r="H705" s="0">
        <v>2602</v>
      </c>
      <c r="I705" s="0">
        <v>28</v>
      </c>
      <c r="J705" s="0">
        <v>0</v>
      </c>
      <c r="K705" s="0">
        <v>1</v>
      </c>
      <c r="L705" s="0">
        <v>1</v>
      </c>
      <c r="M705" s="0">
        <v>1</v>
      </c>
      <c r="N705" s="0">
        <v>0</v>
      </c>
      <c r="O705" s="0">
        <v>0</v>
      </c>
      <c r="P705" s="0">
        <v>0</v>
      </c>
      <c r="R705" s="0" t="b">
        <v>0</v>
      </c>
      <c r="S705" s="0" t="b">
        <v>1</v>
      </c>
      <c r="T705" s="68">
        <v>43451.5875462963</v>
      </c>
      <c r="U705" s="68">
        <v>43481.5</v>
      </c>
      <c r="V705" s="68">
        <v>0</v>
      </c>
      <c r="W705" s="0">
        <f>IF(IF(B705="none",1,IF(B705="Trialer",1,0))+IF(C705="Customer",1,IF(C705="Lost",1,0))=2,1,0)</f>
      </c>
      <c r="X705" s="0" t="s">
        <v>142</v>
      </c>
      <c r="Y705" s="0" t="s">
        <v>243</v>
      </c>
      <c r="AV705" s="68"/>
      <c r="AW705" s="68"/>
      <c r="AY705" s="27"/>
      <c r="BD705" s="68">
        <v>46054.1666666667</v>
      </c>
      <c r="BE705" s="68">
        <v>46082.1666666667</v>
      </c>
      <c r="BF705" s="0" t="b">
        <v>0</v>
      </c>
      <c r="BG705" s="0" t="b">
        <v>0</v>
      </c>
      <c r="BH705" s="0">
        <v>28</v>
      </c>
      <c r="BI705" s="0">
        <v>28</v>
      </c>
      <c r="BJ705" s="0" t="s">
        <v>135</v>
      </c>
    </row>
    <row r="706">
      <c r="A706" s="0" t="s">
        <v>898</v>
      </c>
      <c r="B706" s="0" t="s">
        <v>134</v>
      </c>
      <c r="C706" s="0" t="s">
        <v>134</v>
      </c>
      <c r="D706" s="0" t="s">
        <v>230</v>
      </c>
      <c r="E706" s="0" t="s">
        <v>2</v>
      </c>
      <c r="F706" s="0" t="s">
        <v>12</v>
      </c>
      <c r="G706" s="0" t="s">
        <v>8</v>
      </c>
      <c r="H706" s="0">
        <v>2601</v>
      </c>
      <c r="I706" s="0">
        <v>252</v>
      </c>
      <c r="J706" s="0">
        <v>0</v>
      </c>
      <c r="K706" s="0">
        <v>1</v>
      </c>
      <c r="L706" s="0">
        <v>2</v>
      </c>
      <c r="M706" s="0">
        <v>7</v>
      </c>
      <c r="N706" s="0">
        <v>0</v>
      </c>
      <c r="O706" s="0">
        <v>0</v>
      </c>
      <c r="P706" s="0">
        <v>-252</v>
      </c>
      <c r="R706" s="0" t="b">
        <v>0</v>
      </c>
      <c r="S706" s="0" t="b">
        <v>1</v>
      </c>
      <c r="T706" s="68">
        <v>43452.4418634259</v>
      </c>
      <c r="U706" s="68">
        <v>43482.5</v>
      </c>
      <c r="V706" s="68">
        <v>0</v>
      </c>
      <c r="W706" s="0">
        <f>IF(IF(B706="none",1,IF(B706="Trialer",1,0))+IF(C706="Customer",1,IF(C706="Lost",1,0))=2,1,0)</f>
      </c>
      <c r="X706" s="0" t="s">
        <v>148</v>
      </c>
      <c r="Y706" s="0" t="s">
        <v>499</v>
      </c>
      <c r="AV706" s="68"/>
      <c r="AW706" s="68"/>
      <c r="AY706" s="27"/>
      <c r="BD706" s="68">
        <v>46054.1666666667</v>
      </c>
      <c r="BE706" s="68">
        <v>46082.1666666667</v>
      </c>
      <c r="BF706" s="0" t="b">
        <v>0</v>
      </c>
      <c r="BG706" s="0" t="b">
        <v>0</v>
      </c>
      <c r="BH706" s="0">
        <v>280</v>
      </c>
      <c r="BI706" s="0">
        <v>280</v>
      </c>
      <c r="BJ706" s="0" t="s">
        <v>230</v>
      </c>
    </row>
    <row r="707">
      <c r="A707" s="0" t="s">
        <v>899</v>
      </c>
      <c r="B707" s="0" t="s">
        <v>134</v>
      </c>
      <c r="C707" s="0" t="s">
        <v>134</v>
      </c>
      <c r="D707" s="0" t="s">
        <v>135</v>
      </c>
      <c r="E707" s="0" t="s">
        <v>2</v>
      </c>
      <c r="F707" s="0" t="s">
        <v>12</v>
      </c>
      <c r="G707" s="0" t="s">
        <v>7</v>
      </c>
      <c r="H707" s="0">
        <v>2601</v>
      </c>
      <c r="I707" s="0">
        <v>40</v>
      </c>
      <c r="J707" s="0">
        <v>0</v>
      </c>
      <c r="K707" s="0">
        <v>1</v>
      </c>
      <c r="L707" s="0">
        <v>1</v>
      </c>
      <c r="M707" s="0">
        <v>1</v>
      </c>
      <c r="N707" s="0">
        <v>0</v>
      </c>
      <c r="O707" s="0">
        <v>0</v>
      </c>
      <c r="P707" s="0">
        <v>0</v>
      </c>
      <c r="R707" s="0" t="b">
        <v>0</v>
      </c>
      <c r="S707" s="0" t="b">
        <v>1</v>
      </c>
      <c r="T707" s="68">
        <v>43452.4597222222</v>
      </c>
      <c r="U707" s="68">
        <v>43452.5</v>
      </c>
      <c r="V707" s="68">
        <v>0</v>
      </c>
      <c r="W707" s="0">
        <f>IF(IF(B707="none",1,IF(B707="Trialer",1,0))+IF(C707="Customer",1,IF(C707="Lost",1,0))=2,1,0)</f>
      </c>
      <c r="X707" s="0" t="s">
        <v>145</v>
      </c>
      <c r="Y707" s="0" t="s">
        <v>137</v>
      </c>
      <c r="AV707" s="68"/>
      <c r="AW707" s="68"/>
      <c r="AY707" s="27"/>
      <c r="BD707" s="68">
        <v>46054.1666666667</v>
      </c>
      <c r="BE707" s="68">
        <v>46082.1666666667</v>
      </c>
      <c r="BF707" s="0" t="b">
        <v>0</v>
      </c>
      <c r="BG707" s="0" t="b">
        <v>0</v>
      </c>
      <c r="BH707" s="0">
        <v>40</v>
      </c>
      <c r="BI707" s="0">
        <v>40</v>
      </c>
      <c r="BJ707" s="0" t="s">
        <v>135</v>
      </c>
    </row>
    <row r="708">
      <c r="A708" s="0" t="s">
        <v>900</v>
      </c>
      <c r="B708" s="0" t="s">
        <v>134</v>
      </c>
      <c r="C708" s="0" t="s">
        <v>134</v>
      </c>
      <c r="D708" s="0" t="s">
        <v>135</v>
      </c>
      <c r="E708" s="0" t="s">
        <v>3</v>
      </c>
      <c r="F708" s="0" t="s">
        <v>12</v>
      </c>
      <c r="G708" s="0" t="s">
        <v>8</v>
      </c>
      <c r="H708" s="0">
        <v>2601</v>
      </c>
      <c r="I708" s="0">
        <v>0</v>
      </c>
      <c r="J708" s="0">
        <v>0</v>
      </c>
      <c r="K708" s="0">
        <v>1</v>
      </c>
      <c r="L708" s="0">
        <v>5</v>
      </c>
      <c r="M708" s="0">
        <v>1</v>
      </c>
      <c r="N708" s="0">
        <v>0</v>
      </c>
      <c r="O708" s="0">
        <v>0</v>
      </c>
      <c r="P708" s="0">
        <v>0</v>
      </c>
      <c r="R708" s="0" t="b">
        <v>0</v>
      </c>
      <c r="S708" s="0" t="b">
        <v>1</v>
      </c>
      <c r="T708" s="68">
        <v>43452.4913310185</v>
      </c>
      <c r="U708" s="68">
        <v>43482.5</v>
      </c>
      <c r="V708" s="68">
        <v>0</v>
      </c>
      <c r="W708" s="0">
        <f>IF(IF(B708="none",1,IF(B708="Trialer",1,0))+IF(C708="Customer",1,IF(C708="Lost",1,0))=2,1,0)</f>
      </c>
      <c r="X708" s="0" t="s">
        <v>148</v>
      </c>
      <c r="Y708" s="0" t="s">
        <v>243</v>
      </c>
      <c r="AV708" s="68"/>
      <c r="AW708" s="68"/>
      <c r="AY708" s="27"/>
      <c r="BD708" s="68">
        <v>46054.1666666667</v>
      </c>
      <c r="BE708" s="68">
        <v>46082.1666666667</v>
      </c>
      <c r="BF708" s="0" t="b">
        <v>0</v>
      </c>
      <c r="BG708" s="0" t="b">
        <v>0</v>
      </c>
      <c r="BH708" s="0">
        <v>0</v>
      </c>
      <c r="BI708" s="0">
        <v>0</v>
      </c>
      <c r="BJ708" s="0" t="s">
        <v>135</v>
      </c>
    </row>
    <row r="709">
      <c r="A709" s="0" t="s">
        <v>901</v>
      </c>
      <c r="B709" s="0" t="s">
        <v>134</v>
      </c>
      <c r="C709" s="0" t="s">
        <v>134</v>
      </c>
      <c r="D709" s="0" t="s">
        <v>135</v>
      </c>
      <c r="E709" s="0" t="s">
        <v>2</v>
      </c>
      <c r="F709" s="0" t="s">
        <v>12</v>
      </c>
      <c r="G709" s="0" t="s">
        <v>7</v>
      </c>
      <c r="H709" s="0">
        <v>2600</v>
      </c>
      <c r="I709" s="0">
        <v>40</v>
      </c>
      <c r="J709" s="0">
        <v>0</v>
      </c>
      <c r="K709" s="0">
        <v>1</v>
      </c>
      <c r="L709" s="0">
        <v>1</v>
      </c>
      <c r="M709" s="0">
        <v>1</v>
      </c>
      <c r="N709" s="0">
        <v>0</v>
      </c>
      <c r="O709" s="0">
        <v>0</v>
      </c>
      <c r="P709" s="0">
        <v>0</v>
      </c>
      <c r="R709" s="0" t="b">
        <v>0</v>
      </c>
      <c r="S709" s="0" t="b">
        <v>1</v>
      </c>
      <c r="T709" s="68">
        <v>43453.2701388889</v>
      </c>
      <c r="U709" s="68">
        <v>43453.5</v>
      </c>
      <c r="V709" s="68">
        <v>0</v>
      </c>
      <c r="W709" s="0">
        <f>IF(IF(B709="none",1,IF(B709="Trialer",1,0))+IF(C709="Customer",1,IF(C709="Lost",1,0))=2,1,0)</f>
      </c>
      <c r="X709" s="0" t="s">
        <v>145</v>
      </c>
      <c r="Y709" s="0" t="s">
        <v>137</v>
      </c>
      <c r="AV709" s="68"/>
      <c r="AW709" s="68"/>
      <c r="AY709" s="27"/>
      <c r="BD709" s="68">
        <v>46054.1666666667</v>
      </c>
      <c r="BE709" s="68">
        <v>46082.1666666667</v>
      </c>
      <c r="BF709" s="0" t="b">
        <v>0</v>
      </c>
      <c r="BG709" s="0" t="b">
        <v>0</v>
      </c>
      <c r="BH709" s="0">
        <v>40</v>
      </c>
      <c r="BI709" s="0">
        <v>40</v>
      </c>
      <c r="BJ709" s="0" t="s">
        <v>135</v>
      </c>
    </row>
    <row r="710">
      <c r="A710" s="0" t="s">
        <v>902</v>
      </c>
      <c r="B710" s="0" t="s">
        <v>134</v>
      </c>
      <c r="C710" s="0" t="s">
        <v>134</v>
      </c>
      <c r="D710" s="0" t="s">
        <v>230</v>
      </c>
      <c r="E710" s="0" t="s">
        <v>3</v>
      </c>
      <c r="F710" s="0" t="s">
        <v>12</v>
      </c>
      <c r="G710" s="0" t="s">
        <v>8</v>
      </c>
      <c r="H710" s="0">
        <v>2600</v>
      </c>
      <c r="I710" s="0">
        <v>468</v>
      </c>
      <c r="J710" s="0">
        <v>0</v>
      </c>
      <c r="K710" s="0">
        <v>1</v>
      </c>
      <c r="L710" s="0">
        <v>3</v>
      </c>
      <c r="M710" s="0">
        <v>11</v>
      </c>
      <c r="N710" s="0">
        <v>0</v>
      </c>
      <c r="O710" s="0">
        <v>0</v>
      </c>
      <c r="P710" s="0">
        <v>5148</v>
      </c>
      <c r="R710" s="0" t="b">
        <v>0</v>
      </c>
      <c r="S710" s="0" t="b">
        <v>1</v>
      </c>
      <c r="T710" s="68">
        <v>43453.7037731481</v>
      </c>
      <c r="U710" s="68">
        <v>43496.5</v>
      </c>
      <c r="V710" s="68">
        <v>0</v>
      </c>
      <c r="W710" s="0">
        <f>IF(IF(B710="none",1,IF(B710="Trialer",1,0))+IF(C710="Customer",1,IF(C710="Lost",1,0))=2,1,0)</f>
      </c>
      <c r="X710" s="0" t="s">
        <v>145</v>
      </c>
      <c r="Y710" s="0" t="s">
        <v>243</v>
      </c>
      <c r="AV710" s="68"/>
      <c r="AW710" s="68"/>
      <c r="AY710" s="27"/>
      <c r="BD710" s="68">
        <v>46054.1666666667</v>
      </c>
      <c r="BE710" s="68">
        <v>46082.1666666667</v>
      </c>
      <c r="BF710" s="0" t="b">
        <v>0</v>
      </c>
      <c r="BG710" s="0" t="b">
        <v>0</v>
      </c>
      <c r="BH710" s="0">
        <v>521</v>
      </c>
      <c r="BI710" s="0">
        <v>521</v>
      </c>
      <c r="BJ710" s="0" t="s">
        <v>230</v>
      </c>
    </row>
    <row r="711">
      <c r="A711" s="0" t="s">
        <v>903</v>
      </c>
      <c r="B711" s="0" t="s">
        <v>134</v>
      </c>
      <c r="C711" s="0" t="s">
        <v>134</v>
      </c>
      <c r="D711" s="0" t="s">
        <v>135</v>
      </c>
      <c r="E711" s="0" t="s">
        <v>2</v>
      </c>
      <c r="F711" s="0" t="s">
        <v>12</v>
      </c>
      <c r="G711" s="0" t="s">
        <v>8</v>
      </c>
      <c r="H711" s="0">
        <v>2595</v>
      </c>
      <c r="I711" s="0">
        <v>453</v>
      </c>
      <c r="J711" s="0">
        <v>0</v>
      </c>
      <c r="K711" s="0">
        <v>1</v>
      </c>
      <c r="L711" s="0">
        <v>4</v>
      </c>
      <c r="M711" s="0">
        <v>15</v>
      </c>
      <c r="N711" s="0">
        <v>0</v>
      </c>
      <c r="O711" s="0">
        <v>0</v>
      </c>
      <c r="P711" s="0">
        <v>0</v>
      </c>
      <c r="R711" s="0" t="b">
        <v>0</v>
      </c>
      <c r="S711" s="0" t="b">
        <v>1</v>
      </c>
      <c r="T711" s="68">
        <v>43458.8111689815</v>
      </c>
      <c r="U711" s="68">
        <v>43488.5</v>
      </c>
      <c r="V711" s="68">
        <v>0</v>
      </c>
      <c r="W711" s="0">
        <f>IF(IF(B711="none",1,IF(B711="Trialer",1,0))+IF(C711="Customer",1,IF(C711="Lost",1,0))=2,1,0)</f>
      </c>
      <c r="X711" s="0" t="s">
        <v>136</v>
      </c>
      <c r="Y711" s="0" t="s">
        <v>499</v>
      </c>
      <c r="AV711" s="68"/>
      <c r="AW711" s="68"/>
      <c r="AY711" s="27"/>
      <c r="BD711" s="68">
        <v>46054.1666666667</v>
      </c>
      <c r="BE711" s="68">
        <v>46082.1666666667</v>
      </c>
      <c r="BF711" s="0" t="b">
        <v>0</v>
      </c>
      <c r="BG711" s="0" t="b">
        <v>0</v>
      </c>
      <c r="BH711" s="0">
        <v>453</v>
      </c>
      <c r="BI711" s="0">
        <v>453</v>
      </c>
      <c r="BJ711" s="0" t="s">
        <v>135</v>
      </c>
    </row>
    <row r="712">
      <c r="A712" s="0" t="s">
        <v>904</v>
      </c>
      <c r="B712" s="0" t="s">
        <v>134</v>
      </c>
      <c r="C712" s="0" t="s">
        <v>134</v>
      </c>
      <c r="D712" s="0" t="s">
        <v>135</v>
      </c>
      <c r="E712" s="0" t="s">
        <v>2</v>
      </c>
      <c r="F712" s="0" t="s">
        <v>12</v>
      </c>
      <c r="G712" s="0" t="s">
        <v>8</v>
      </c>
      <c r="H712" s="0">
        <v>2592</v>
      </c>
      <c r="I712" s="0">
        <v>108</v>
      </c>
      <c r="J712" s="0">
        <v>0</v>
      </c>
      <c r="K712" s="0">
        <v>1</v>
      </c>
      <c r="L712" s="0">
        <v>2</v>
      </c>
      <c r="M712" s="0">
        <v>3</v>
      </c>
      <c r="N712" s="0">
        <v>0</v>
      </c>
      <c r="O712" s="0">
        <v>0</v>
      </c>
      <c r="P712" s="0">
        <v>0</v>
      </c>
      <c r="R712" s="0" t="b">
        <v>0</v>
      </c>
      <c r="S712" s="0" t="b">
        <v>1</v>
      </c>
      <c r="T712" s="68">
        <v>43461.6528472222</v>
      </c>
      <c r="U712" s="68">
        <v>43491.5</v>
      </c>
      <c r="V712" s="68">
        <v>0</v>
      </c>
      <c r="W712" s="0">
        <f>IF(IF(B712="none",1,IF(B712="Trialer",1,0))+IF(C712="Customer",1,IF(C712="Lost",1,0))=2,1,0)</f>
      </c>
      <c r="X712" s="0" t="s">
        <v>148</v>
      </c>
      <c r="Y712" s="0" t="s">
        <v>499</v>
      </c>
      <c r="AV712" s="68"/>
      <c r="AW712" s="68"/>
      <c r="AY712" s="27"/>
      <c r="BD712" s="68">
        <v>46054.1666666667</v>
      </c>
      <c r="BE712" s="68">
        <v>46082.1666666667</v>
      </c>
      <c r="BF712" s="0" t="b">
        <v>0</v>
      </c>
      <c r="BG712" s="0" t="b">
        <v>0</v>
      </c>
      <c r="BH712" s="0">
        <v>108</v>
      </c>
      <c r="BI712" s="0">
        <v>108</v>
      </c>
      <c r="BJ712" s="0" t="s">
        <v>135</v>
      </c>
    </row>
    <row r="713">
      <c r="A713" s="0" t="s">
        <v>905</v>
      </c>
      <c r="B713" s="0" t="s">
        <v>134</v>
      </c>
      <c r="C713" s="0" t="s">
        <v>134</v>
      </c>
      <c r="D713" s="0" t="s">
        <v>135</v>
      </c>
      <c r="E713" s="0" t="s">
        <v>3</v>
      </c>
      <c r="F713" s="0" t="s">
        <v>12</v>
      </c>
      <c r="G713" s="0" t="s">
        <v>8</v>
      </c>
      <c r="H713" s="0">
        <v>2588</v>
      </c>
      <c r="I713" s="0">
        <v>312</v>
      </c>
      <c r="J713" s="0">
        <v>0</v>
      </c>
      <c r="K713" s="0">
        <v>1</v>
      </c>
      <c r="L713" s="0">
        <v>3</v>
      </c>
      <c r="M713" s="0">
        <v>6</v>
      </c>
      <c r="N713" s="0">
        <v>0</v>
      </c>
      <c r="O713" s="0">
        <v>0</v>
      </c>
      <c r="P713" s="0">
        <v>0</v>
      </c>
      <c r="R713" s="0" t="b">
        <v>0</v>
      </c>
      <c r="S713" s="0" t="b">
        <v>1</v>
      </c>
      <c r="T713" s="68">
        <v>43465.3216550926</v>
      </c>
      <c r="U713" s="68">
        <v>43495.5</v>
      </c>
      <c r="V713" s="68">
        <v>0</v>
      </c>
      <c r="W713" s="0">
        <f>IF(IF(B713="none",1,IF(B713="Trialer",1,0))+IF(C713="Customer",1,IF(C713="Lost",1,0))=2,1,0)</f>
      </c>
      <c r="X713" s="0" t="s">
        <v>136</v>
      </c>
      <c r="Y713" s="0" t="s">
        <v>243</v>
      </c>
      <c r="AV713" s="68"/>
      <c r="AW713" s="68"/>
      <c r="AY713" s="27"/>
      <c r="BD713" s="68">
        <v>46054.1666666667</v>
      </c>
      <c r="BE713" s="68">
        <v>46082.1666666667</v>
      </c>
      <c r="BF713" s="0" t="b">
        <v>0</v>
      </c>
      <c r="BG713" s="0" t="b">
        <v>0</v>
      </c>
      <c r="BH713" s="0">
        <v>312</v>
      </c>
      <c r="BI713" s="0">
        <v>312</v>
      </c>
      <c r="BJ713" s="0" t="s">
        <v>135</v>
      </c>
    </row>
    <row r="714">
      <c r="A714" s="0" t="s">
        <v>906</v>
      </c>
      <c r="B714" s="0" t="s">
        <v>134</v>
      </c>
      <c r="C714" s="0" t="s">
        <v>134</v>
      </c>
      <c r="D714" s="0" t="s">
        <v>230</v>
      </c>
      <c r="E714" s="0" t="s">
        <v>3</v>
      </c>
      <c r="F714" s="0" t="s">
        <v>12</v>
      </c>
      <c r="G714" s="0" t="s">
        <v>8</v>
      </c>
      <c r="H714" s="0">
        <v>2586</v>
      </c>
      <c r="I714" s="0">
        <v>44</v>
      </c>
      <c r="J714" s="0">
        <v>0</v>
      </c>
      <c r="K714" s="0">
        <v>1</v>
      </c>
      <c r="L714" s="0">
        <v>3</v>
      </c>
      <c r="M714" s="0">
        <v>1</v>
      </c>
      <c r="N714" s="0">
        <v>0</v>
      </c>
      <c r="O714" s="0">
        <v>0</v>
      </c>
      <c r="P714" s="0">
        <v>-44</v>
      </c>
      <c r="R714" s="0" t="b">
        <v>0</v>
      </c>
      <c r="S714" s="0" t="b">
        <v>1</v>
      </c>
      <c r="T714" s="68">
        <v>43467.1689930556</v>
      </c>
      <c r="U714" s="68">
        <v>43497.5</v>
      </c>
      <c r="V714" s="68">
        <v>0</v>
      </c>
      <c r="W714" s="0">
        <f>IF(IF(B714="none",1,IF(B714="Trialer",1,0))+IF(C714="Customer",1,IF(C714="Lost",1,0))=2,1,0)</f>
      </c>
      <c r="X714" s="0" t="s">
        <v>153</v>
      </c>
      <c r="Y714" s="0" t="s">
        <v>243</v>
      </c>
      <c r="AV714" s="68"/>
      <c r="AW714" s="68"/>
      <c r="AY714" s="27"/>
      <c r="BD714" s="68">
        <v>46054.1666666667</v>
      </c>
      <c r="BE714" s="68">
        <v>46082.1666666667</v>
      </c>
      <c r="BF714" s="0" t="b">
        <v>0</v>
      </c>
      <c r="BG714" s="0" t="b">
        <v>0</v>
      </c>
      <c r="BH714" s="0">
        <v>49</v>
      </c>
      <c r="BI714" s="0">
        <v>49</v>
      </c>
      <c r="BJ714" s="0" t="s">
        <v>230</v>
      </c>
    </row>
    <row r="715">
      <c r="A715" s="0" t="s">
        <v>907</v>
      </c>
      <c r="B715" s="0" t="s">
        <v>134</v>
      </c>
      <c r="C715" s="0" t="s">
        <v>134</v>
      </c>
      <c r="D715" s="0" t="s">
        <v>230</v>
      </c>
      <c r="E715" s="0" t="s">
        <v>2</v>
      </c>
      <c r="F715" s="0" t="s">
        <v>12</v>
      </c>
      <c r="G715" s="0" t="s">
        <v>8</v>
      </c>
      <c r="H715" s="0">
        <v>2586</v>
      </c>
      <c r="I715" s="0">
        <v>239</v>
      </c>
      <c r="J715" s="0">
        <v>0</v>
      </c>
      <c r="K715" s="0">
        <v>1</v>
      </c>
      <c r="L715" s="0">
        <v>4</v>
      </c>
      <c r="M715" s="0">
        <v>6</v>
      </c>
      <c r="N715" s="0">
        <v>620</v>
      </c>
      <c r="O715" s="0">
        <v>0</v>
      </c>
      <c r="P715" s="0">
        <v>-239</v>
      </c>
      <c r="R715" s="0" t="b">
        <v>0</v>
      </c>
      <c r="S715" s="0" t="b">
        <v>1</v>
      </c>
      <c r="T715" s="68">
        <v>43467.7060648148</v>
      </c>
      <c r="U715" s="68">
        <v>43496.5</v>
      </c>
      <c r="V715" s="68">
        <v>0</v>
      </c>
      <c r="W715" s="0">
        <f>IF(IF(B715="none",1,IF(B715="Trialer",1,0))+IF(C715="Customer",1,IF(C715="Lost",1,0))=2,1,0)</f>
      </c>
      <c r="X715" s="0" t="s">
        <v>136</v>
      </c>
      <c r="Y715" s="0" t="s">
        <v>499</v>
      </c>
      <c r="AV715" s="68"/>
      <c r="AW715" s="68"/>
      <c r="AY715" s="27"/>
      <c r="BD715" s="68">
        <v>46054.1666666667</v>
      </c>
      <c r="BE715" s="68">
        <v>46082.1666666667</v>
      </c>
      <c r="BF715" s="0" t="b">
        <v>0</v>
      </c>
      <c r="BG715" s="0" t="b">
        <v>0</v>
      </c>
      <c r="BH715" s="0">
        <v>267</v>
      </c>
      <c r="BI715" s="0">
        <v>267</v>
      </c>
      <c r="BJ715" s="0" t="s">
        <v>230</v>
      </c>
    </row>
    <row r="716">
      <c r="A716" s="0" t="s">
        <v>908</v>
      </c>
      <c r="B716" s="0" t="s">
        <v>134</v>
      </c>
      <c r="C716" s="0" t="s">
        <v>134</v>
      </c>
      <c r="D716" s="0" t="s">
        <v>230</v>
      </c>
      <c r="E716" s="0" t="s">
        <v>3</v>
      </c>
      <c r="F716" s="0" t="s">
        <v>10</v>
      </c>
      <c r="G716" s="0" t="s">
        <v>8</v>
      </c>
      <c r="H716" s="0">
        <v>2584</v>
      </c>
      <c r="I716" s="0">
        <v>25</v>
      </c>
      <c r="J716" s="0">
        <v>0</v>
      </c>
      <c r="K716" s="0">
        <v>1</v>
      </c>
      <c r="L716" s="0">
        <v>1</v>
      </c>
      <c r="M716" s="0">
        <v>1</v>
      </c>
      <c r="N716" s="0">
        <v>0</v>
      </c>
      <c r="O716" s="0">
        <v>0</v>
      </c>
      <c r="P716" s="0">
        <v>-25</v>
      </c>
      <c r="Q716" s="0" t="s">
        <v>909</v>
      </c>
      <c r="R716" s="0" t="b">
        <v>0</v>
      </c>
      <c r="S716" s="0" t="b">
        <v>1</v>
      </c>
      <c r="T716" s="68">
        <v>43469.4877083333</v>
      </c>
      <c r="U716" s="68">
        <v>43500.5</v>
      </c>
      <c r="V716" s="68">
        <v>0</v>
      </c>
      <c r="W716" s="0">
        <f>IF(IF(B716="none",1,IF(B716="Trialer",1,0))+IF(C716="Customer",1,IF(C716="Lost",1,0))=2,1,0)</f>
      </c>
      <c r="X716" s="0" t="s">
        <v>136</v>
      </c>
      <c r="Y716" s="0" t="s">
        <v>243</v>
      </c>
      <c r="AV716" s="68"/>
      <c r="AW716" s="68"/>
      <c r="AY716" s="27"/>
      <c r="BD716" s="68">
        <v>46054.1666666667</v>
      </c>
      <c r="BE716" s="68">
        <v>46082.1666666667</v>
      </c>
      <c r="BF716" s="0" t="b">
        <v>0</v>
      </c>
      <c r="BG716" s="0" t="b">
        <v>0</v>
      </c>
      <c r="BH716" s="0">
        <v>28</v>
      </c>
      <c r="BI716" s="0">
        <v>28</v>
      </c>
      <c r="BJ716" s="0" t="s">
        <v>230</v>
      </c>
    </row>
    <row r="717">
      <c r="A717" s="0" t="s">
        <v>910</v>
      </c>
      <c r="B717" s="0" t="s">
        <v>134</v>
      </c>
      <c r="C717" s="0" t="s">
        <v>134</v>
      </c>
      <c r="D717" s="0" t="s">
        <v>230</v>
      </c>
      <c r="E717" s="0" t="s">
        <v>3</v>
      </c>
      <c r="F717" s="0" t="s">
        <v>12</v>
      </c>
      <c r="G717" s="0" t="s">
        <v>8</v>
      </c>
      <c r="H717" s="0">
        <v>2583</v>
      </c>
      <c r="I717" s="0">
        <v>176</v>
      </c>
      <c r="J717" s="0">
        <v>0</v>
      </c>
      <c r="K717" s="0">
        <v>1</v>
      </c>
      <c r="L717" s="0">
        <v>3</v>
      </c>
      <c r="M717" s="0">
        <v>4</v>
      </c>
      <c r="N717" s="0">
        <v>0</v>
      </c>
      <c r="O717" s="0">
        <v>0</v>
      </c>
      <c r="P717" s="0">
        <v>-176</v>
      </c>
      <c r="R717" s="0" t="b">
        <v>0</v>
      </c>
      <c r="S717" s="0" t="b">
        <v>1</v>
      </c>
      <c r="T717" s="68">
        <v>43470.5211458333</v>
      </c>
      <c r="U717" s="68">
        <v>43500.5</v>
      </c>
      <c r="V717" s="68">
        <v>0</v>
      </c>
      <c r="W717" s="0">
        <f>IF(IF(B717="none",1,IF(B717="Trialer",1,0))+IF(C717="Customer",1,IF(C717="Lost",1,0))=2,1,0)</f>
      </c>
      <c r="X717" s="0" t="s">
        <v>148</v>
      </c>
      <c r="Y717" s="0" t="s">
        <v>243</v>
      </c>
      <c r="AV717" s="68"/>
      <c r="AW717" s="68"/>
      <c r="AY717" s="27"/>
      <c r="BD717" s="68">
        <v>46054.1666666667</v>
      </c>
      <c r="BE717" s="68">
        <v>46082.1666666667</v>
      </c>
      <c r="BF717" s="0" t="b">
        <v>0</v>
      </c>
      <c r="BG717" s="0" t="b">
        <v>0</v>
      </c>
      <c r="BH717" s="0">
        <v>196</v>
      </c>
      <c r="BI717" s="0">
        <v>196</v>
      </c>
      <c r="BJ717" s="0" t="s">
        <v>230</v>
      </c>
    </row>
    <row r="718">
      <c r="A718" s="0" t="s">
        <v>911</v>
      </c>
      <c r="B718" s="0" t="s">
        <v>134</v>
      </c>
      <c r="C718" s="0" t="s">
        <v>134</v>
      </c>
      <c r="D718" s="0" t="s">
        <v>135</v>
      </c>
      <c r="E718" s="0" t="s">
        <v>3</v>
      </c>
      <c r="F718" s="0" t="s">
        <v>12</v>
      </c>
      <c r="G718" s="0" t="s">
        <v>8</v>
      </c>
      <c r="H718" s="0">
        <v>2581</v>
      </c>
      <c r="I718" s="0">
        <v>0</v>
      </c>
      <c r="J718" s="0">
        <v>0</v>
      </c>
      <c r="K718" s="0">
        <v>1</v>
      </c>
      <c r="L718" s="0">
        <v>3</v>
      </c>
      <c r="M718" s="0">
        <v>1</v>
      </c>
      <c r="N718" s="0">
        <v>0</v>
      </c>
      <c r="O718" s="0">
        <v>0</v>
      </c>
      <c r="P718" s="0">
        <v>0</v>
      </c>
      <c r="R718" s="0" t="b">
        <v>0</v>
      </c>
      <c r="S718" s="0" t="b">
        <v>1</v>
      </c>
      <c r="T718" s="68">
        <v>43472.7405671296</v>
      </c>
      <c r="U718" s="68">
        <v>43473.5</v>
      </c>
      <c r="V718" s="68">
        <v>0</v>
      </c>
      <c r="W718" s="0">
        <f>IF(IF(B718="none",1,IF(B718="Trialer",1,0))+IF(C718="Customer",1,IF(C718="Lost",1,0))=2,1,0)</f>
      </c>
      <c r="X718" s="0" t="s">
        <v>148</v>
      </c>
      <c r="Y718" s="0" t="s">
        <v>243</v>
      </c>
      <c r="AV718" s="68"/>
      <c r="AW718" s="68"/>
      <c r="AY718" s="27"/>
      <c r="BD718" s="68">
        <v>46054.1666666667</v>
      </c>
      <c r="BE718" s="68">
        <v>46082.1666666667</v>
      </c>
      <c r="BF718" s="0" t="b">
        <v>0</v>
      </c>
      <c r="BG718" s="0" t="b">
        <v>0</v>
      </c>
      <c r="BH718" s="0">
        <v>0</v>
      </c>
      <c r="BI718" s="0">
        <v>0</v>
      </c>
      <c r="BJ718" s="0" t="s">
        <v>135</v>
      </c>
    </row>
    <row r="719">
      <c r="A719" s="0" t="s">
        <v>912</v>
      </c>
      <c r="B719" s="0" t="s">
        <v>134</v>
      </c>
      <c r="C719" s="0" t="s">
        <v>134</v>
      </c>
      <c r="D719" s="0" t="s">
        <v>135</v>
      </c>
      <c r="E719" s="0" t="s">
        <v>3</v>
      </c>
      <c r="F719" s="0" t="s">
        <v>12</v>
      </c>
      <c r="G719" s="0" t="s">
        <v>8</v>
      </c>
      <c r="H719" s="0">
        <v>2578</v>
      </c>
      <c r="I719" s="0">
        <v>0</v>
      </c>
      <c r="J719" s="0">
        <v>0</v>
      </c>
      <c r="K719" s="0">
        <v>1</v>
      </c>
      <c r="L719" s="0">
        <v>4</v>
      </c>
      <c r="M719" s="0">
        <v>2</v>
      </c>
      <c r="N719" s="0">
        <v>0</v>
      </c>
      <c r="O719" s="0">
        <v>0</v>
      </c>
      <c r="P719" s="0">
        <v>0</v>
      </c>
      <c r="R719" s="0" t="b">
        <v>0</v>
      </c>
      <c r="S719" s="0" t="b">
        <v>1</v>
      </c>
      <c r="T719" s="68">
        <v>43475.8013888889</v>
      </c>
      <c r="U719" s="68">
        <v>43505.5</v>
      </c>
      <c r="V719" s="68">
        <v>0</v>
      </c>
      <c r="W719" s="0">
        <f>IF(IF(B719="none",1,IF(B719="Trialer",1,0))+IF(C719="Customer",1,IF(C719="Lost",1,0))=2,1,0)</f>
      </c>
      <c r="X719" s="0" t="s">
        <v>145</v>
      </c>
      <c r="Y719" s="0" t="s">
        <v>243</v>
      </c>
      <c r="AV719" s="68"/>
      <c r="AW719" s="68"/>
      <c r="AY719" s="27"/>
      <c r="BD719" s="68">
        <v>46054.1666666667</v>
      </c>
      <c r="BE719" s="68">
        <v>46082.1666666667</v>
      </c>
      <c r="BF719" s="0" t="b">
        <v>0</v>
      </c>
      <c r="BG719" s="0" t="b">
        <v>0</v>
      </c>
      <c r="BH719" s="0">
        <v>0</v>
      </c>
      <c r="BI719" s="0">
        <v>0</v>
      </c>
      <c r="BJ719" s="0" t="s">
        <v>135</v>
      </c>
    </row>
    <row r="720">
      <c r="A720" s="0" t="s">
        <v>913</v>
      </c>
      <c r="B720" s="0" t="s">
        <v>134</v>
      </c>
      <c r="C720" s="0" t="s">
        <v>134</v>
      </c>
      <c r="D720" s="0" t="s">
        <v>135</v>
      </c>
      <c r="E720" s="0" t="s">
        <v>3</v>
      </c>
      <c r="F720" s="0" t="s">
        <v>12</v>
      </c>
      <c r="G720" s="0" t="s">
        <v>8</v>
      </c>
      <c r="H720" s="0">
        <v>2574</v>
      </c>
      <c r="I720" s="0">
        <v>0</v>
      </c>
      <c r="J720" s="0">
        <v>0</v>
      </c>
      <c r="K720" s="0">
        <v>1</v>
      </c>
      <c r="L720" s="0">
        <v>3</v>
      </c>
      <c r="M720" s="0">
        <v>1</v>
      </c>
      <c r="N720" s="0">
        <v>0</v>
      </c>
      <c r="O720" s="0">
        <v>0</v>
      </c>
      <c r="P720" s="0">
        <v>0</v>
      </c>
      <c r="R720" s="0" t="b">
        <v>0</v>
      </c>
      <c r="S720" s="0" t="b">
        <v>1</v>
      </c>
      <c r="T720" s="68">
        <v>43479.55625</v>
      </c>
      <c r="U720" s="68">
        <v>43483.5</v>
      </c>
      <c r="V720" s="68">
        <v>0</v>
      </c>
      <c r="W720" s="0">
        <f>IF(IF(B720="none",1,IF(B720="Trialer",1,0))+IF(C720="Customer",1,IF(C720="Lost",1,0))=2,1,0)</f>
      </c>
      <c r="X720" s="0" t="s">
        <v>136</v>
      </c>
      <c r="Y720" s="0" t="s">
        <v>243</v>
      </c>
      <c r="AV720" s="68"/>
      <c r="AW720" s="68"/>
      <c r="AY720" s="27"/>
      <c r="BD720" s="68">
        <v>46054.1666666667</v>
      </c>
      <c r="BE720" s="68">
        <v>46082.1666666667</v>
      </c>
      <c r="BF720" s="0" t="b">
        <v>0</v>
      </c>
      <c r="BG720" s="0" t="b">
        <v>0</v>
      </c>
      <c r="BH720" s="0">
        <v>0</v>
      </c>
      <c r="BI720" s="0">
        <v>0</v>
      </c>
      <c r="BJ720" s="0" t="s">
        <v>135</v>
      </c>
    </row>
    <row r="721">
      <c r="A721" s="0" t="s">
        <v>914</v>
      </c>
      <c r="B721" s="0" t="s">
        <v>134</v>
      </c>
      <c r="C721" s="0" t="s">
        <v>134</v>
      </c>
      <c r="D721" s="0" t="s">
        <v>230</v>
      </c>
      <c r="E721" s="0" t="s">
        <v>3</v>
      </c>
      <c r="F721" s="0" t="s">
        <v>12</v>
      </c>
      <c r="G721" s="0" t="s">
        <v>8</v>
      </c>
      <c r="H721" s="0">
        <v>2573</v>
      </c>
      <c r="I721" s="0">
        <v>61</v>
      </c>
      <c r="J721" s="0">
        <v>0</v>
      </c>
      <c r="K721" s="0">
        <v>1</v>
      </c>
      <c r="L721" s="0">
        <v>2</v>
      </c>
      <c r="M721" s="0">
        <v>2</v>
      </c>
      <c r="N721" s="0">
        <v>0</v>
      </c>
      <c r="O721" s="0">
        <v>0</v>
      </c>
      <c r="P721" s="0">
        <v>-61</v>
      </c>
      <c r="R721" s="0" t="b">
        <v>0</v>
      </c>
      <c r="S721" s="0" t="b">
        <v>1</v>
      </c>
      <c r="T721" s="68">
        <v>43480.521724537</v>
      </c>
      <c r="U721" s="68">
        <v>43510.2916666667</v>
      </c>
      <c r="V721" s="68">
        <v>0</v>
      </c>
      <c r="W721" s="0">
        <f>IF(IF(B721="none",1,IF(B721="Trialer",1,0))+IF(C721="Customer",1,IF(C721="Lost",1,0))=2,1,0)</f>
      </c>
      <c r="X721" s="0" t="s">
        <v>166</v>
      </c>
      <c r="Y721" s="0" t="s">
        <v>243</v>
      </c>
      <c r="AV721" s="68"/>
      <c r="AW721" s="68"/>
      <c r="AY721" s="27"/>
      <c r="BD721" s="68">
        <v>46054.1666666667</v>
      </c>
      <c r="BE721" s="68">
        <v>46082.1666666667</v>
      </c>
      <c r="BF721" s="0" t="b">
        <v>0</v>
      </c>
      <c r="BG721" s="0" t="b">
        <v>0</v>
      </c>
      <c r="BH721" s="0">
        <v>68</v>
      </c>
      <c r="BI721" s="0">
        <v>68</v>
      </c>
      <c r="BJ721" s="0" t="s">
        <v>230</v>
      </c>
    </row>
    <row r="722">
      <c r="A722" s="0" t="s">
        <v>915</v>
      </c>
      <c r="B722" s="0" t="s">
        <v>134</v>
      </c>
      <c r="C722" s="0" t="s">
        <v>134</v>
      </c>
      <c r="D722" s="0" t="s">
        <v>135</v>
      </c>
      <c r="E722" s="0" t="s">
        <v>3</v>
      </c>
      <c r="F722" s="0" t="s">
        <v>12</v>
      </c>
      <c r="G722" s="0" t="s">
        <v>8</v>
      </c>
      <c r="H722" s="0">
        <v>2573</v>
      </c>
      <c r="I722" s="0">
        <v>0</v>
      </c>
      <c r="J722" s="0">
        <v>0</v>
      </c>
      <c r="K722" s="0">
        <v>1</v>
      </c>
      <c r="L722" s="0">
        <v>4</v>
      </c>
      <c r="M722" s="0">
        <v>2</v>
      </c>
      <c r="N722" s="0">
        <v>0</v>
      </c>
      <c r="O722" s="0">
        <v>0</v>
      </c>
      <c r="P722" s="0">
        <v>0</v>
      </c>
      <c r="R722" s="0" t="b">
        <v>0</v>
      </c>
      <c r="S722" s="0" t="b">
        <v>1</v>
      </c>
      <c r="T722" s="68">
        <v>43480.788900463</v>
      </c>
      <c r="U722" s="68">
        <v>43510.2916666667</v>
      </c>
      <c r="V722" s="68">
        <v>0</v>
      </c>
      <c r="W722" s="0">
        <f>IF(IF(B722="none",1,IF(B722="Trialer",1,0))+IF(C722="Customer",1,IF(C722="Lost",1,0))=2,1,0)</f>
      </c>
      <c r="X722" s="0" t="s">
        <v>148</v>
      </c>
      <c r="Y722" s="0" t="s">
        <v>243</v>
      </c>
      <c r="AV722" s="68"/>
      <c r="AW722" s="68"/>
      <c r="AY722" s="27"/>
      <c r="BD722" s="68">
        <v>46054.1666666667</v>
      </c>
      <c r="BE722" s="68">
        <v>46082.1666666667</v>
      </c>
      <c r="BF722" s="0" t="b">
        <v>0</v>
      </c>
      <c r="BG722" s="0" t="b">
        <v>0</v>
      </c>
      <c r="BH722" s="0">
        <v>0</v>
      </c>
      <c r="BI722" s="0">
        <v>0</v>
      </c>
      <c r="BJ722" s="0" t="s">
        <v>135</v>
      </c>
    </row>
    <row r="723">
      <c r="A723" s="0" t="s">
        <v>916</v>
      </c>
      <c r="B723" s="0" t="s">
        <v>134</v>
      </c>
      <c r="C723" s="0" t="s">
        <v>134</v>
      </c>
      <c r="D723" s="0" t="s">
        <v>135</v>
      </c>
      <c r="E723" s="0" t="s">
        <v>3</v>
      </c>
      <c r="F723" s="0" t="s">
        <v>12</v>
      </c>
      <c r="G723" s="0" t="s">
        <v>8</v>
      </c>
      <c r="H723" s="0">
        <v>2572</v>
      </c>
      <c r="I723" s="0">
        <v>0</v>
      </c>
      <c r="J723" s="0">
        <v>0</v>
      </c>
      <c r="K723" s="0">
        <v>1</v>
      </c>
      <c r="L723" s="0">
        <v>4</v>
      </c>
      <c r="M723" s="0">
        <v>2</v>
      </c>
      <c r="N723" s="0">
        <v>0</v>
      </c>
      <c r="O723" s="0">
        <v>0</v>
      </c>
      <c r="P723" s="0">
        <v>0</v>
      </c>
      <c r="R723" s="0" t="b">
        <v>0</v>
      </c>
      <c r="S723" s="0" t="b">
        <v>1</v>
      </c>
      <c r="T723" s="68">
        <v>43481.5427199074</v>
      </c>
      <c r="U723" s="68">
        <v>43511.5</v>
      </c>
      <c r="V723" s="68">
        <v>0</v>
      </c>
      <c r="W723" s="0">
        <f>IF(IF(B723="none",1,IF(B723="Trialer",1,0))+IF(C723="Customer",1,IF(C723="Lost",1,0))=2,1,0)</f>
      </c>
      <c r="X723" s="0" t="s">
        <v>136</v>
      </c>
      <c r="Y723" s="0" t="s">
        <v>243</v>
      </c>
      <c r="AV723" s="68"/>
      <c r="AW723" s="68"/>
      <c r="AY723" s="27"/>
      <c r="BD723" s="68">
        <v>46054.1666666667</v>
      </c>
      <c r="BE723" s="68">
        <v>46082.1666666667</v>
      </c>
      <c r="BF723" s="0" t="b">
        <v>0</v>
      </c>
      <c r="BG723" s="0" t="b">
        <v>0</v>
      </c>
      <c r="BH723" s="0">
        <v>0</v>
      </c>
      <c r="BI723" s="0">
        <v>0</v>
      </c>
      <c r="BJ723" s="0" t="s">
        <v>135</v>
      </c>
    </row>
    <row r="724">
      <c r="A724" s="0" t="s">
        <v>917</v>
      </c>
      <c r="B724" s="0" t="s">
        <v>134</v>
      </c>
      <c r="C724" s="0" t="s">
        <v>134</v>
      </c>
      <c r="D724" s="0" t="s">
        <v>135</v>
      </c>
      <c r="E724" s="0" t="s">
        <v>2</v>
      </c>
      <c r="F724" s="0" t="s">
        <v>12</v>
      </c>
      <c r="G724" s="0" t="s">
        <v>7</v>
      </c>
      <c r="H724" s="0">
        <v>2570</v>
      </c>
      <c r="I724" s="0">
        <v>1325</v>
      </c>
      <c r="J724" s="0">
        <v>0</v>
      </c>
      <c r="K724" s="0">
        <v>1</v>
      </c>
      <c r="L724" s="0">
        <v>1</v>
      </c>
      <c r="M724" s="0">
        <v>25</v>
      </c>
      <c r="N724" s="0">
        <v>4185</v>
      </c>
      <c r="O724" s="0">
        <v>0</v>
      </c>
      <c r="P724" s="0">
        <v>0</v>
      </c>
      <c r="R724" s="0" t="b">
        <v>0</v>
      </c>
      <c r="S724" s="0" t="b">
        <v>1</v>
      </c>
      <c r="T724" s="68">
        <v>43483.5</v>
      </c>
      <c r="U724" s="68">
        <v>43513.2916666667</v>
      </c>
      <c r="V724" s="68">
        <v>0</v>
      </c>
      <c r="W724" s="0">
        <f>IF(IF(B724="none",1,IF(B724="Trialer",1,0))+IF(C724="Customer",1,IF(C724="Lost",1,0))=2,1,0)</f>
      </c>
      <c r="X724" s="0" t="s">
        <v>136</v>
      </c>
      <c r="Y724" s="0" t="s">
        <v>499</v>
      </c>
      <c r="AV724" s="68"/>
      <c r="AW724" s="68"/>
      <c r="AY724" s="27"/>
      <c r="BD724" s="68">
        <v>46054.1666666667</v>
      </c>
      <c r="BE724" s="68">
        <v>46082.1666666667</v>
      </c>
      <c r="BF724" s="0" t="b">
        <v>0</v>
      </c>
      <c r="BG724" s="0" t="b">
        <v>0</v>
      </c>
      <c r="BH724" s="0">
        <v>1000</v>
      </c>
      <c r="BI724" s="0">
        <v>1000</v>
      </c>
      <c r="BJ724" s="0" t="s">
        <v>135</v>
      </c>
    </row>
    <row r="725">
      <c r="A725" s="0" t="s">
        <v>918</v>
      </c>
      <c r="B725" s="0" t="s">
        <v>134</v>
      </c>
      <c r="C725" s="0" t="s">
        <v>134</v>
      </c>
      <c r="D725" s="0" t="s">
        <v>135</v>
      </c>
      <c r="E725" s="0" t="s">
        <v>3</v>
      </c>
      <c r="F725" s="0" t="s">
        <v>12</v>
      </c>
      <c r="G725" s="0" t="s">
        <v>8</v>
      </c>
      <c r="H725" s="0">
        <v>2569</v>
      </c>
      <c r="I725" s="0">
        <v>0</v>
      </c>
      <c r="J725" s="0">
        <v>0</v>
      </c>
      <c r="K725" s="0">
        <v>1</v>
      </c>
      <c r="L725" s="0">
        <v>3</v>
      </c>
      <c r="M725" s="0">
        <v>1</v>
      </c>
      <c r="N725" s="0">
        <v>0</v>
      </c>
      <c r="O725" s="0">
        <v>0</v>
      </c>
      <c r="P725" s="0">
        <v>0</v>
      </c>
      <c r="R725" s="0" t="b">
        <v>0</v>
      </c>
      <c r="S725" s="0" t="b">
        <v>1</v>
      </c>
      <c r="T725" s="68">
        <v>43484.4716087963</v>
      </c>
      <c r="U725" s="68">
        <v>43514.5</v>
      </c>
      <c r="V725" s="68">
        <v>0</v>
      </c>
      <c r="W725" s="0">
        <f>IF(IF(B725="none",1,IF(B725="Trialer",1,0))+IF(C725="Customer",1,IF(C725="Lost",1,0))=2,1,0)</f>
      </c>
      <c r="X725" s="0" t="s">
        <v>136</v>
      </c>
      <c r="Y725" s="0" t="s">
        <v>243</v>
      </c>
      <c r="AV725" s="68"/>
      <c r="AW725" s="68"/>
      <c r="AY725" s="27"/>
      <c r="BD725" s="68">
        <v>46054.1666666667</v>
      </c>
      <c r="BE725" s="68">
        <v>46082.1666666667</v>
      </c>
      <c r="BF725" s="0" t="b">
        <v>0</v>
      </c>
      <c r="BG725" s="0" t="b">
        <v>0</v>
      </c>
      <c r="BH725" s="0">
        <v>0</v>
      </c>
      <c r="BI725" s="0">
        <v>0</v>
      </c>
      <c r="BJ725" s="0" t="s">
        <v>135</v>
      </c>
    </row>
    <row r="726">
      <c r="A726" s="0" t="s">
        <v>919</v>
      </c>
      <c r="B726" s="0" t="s">
        <v>134</v>
      </c>
      <c r="C726" s="0" t="s">
        <v>134</v>
      </c>
      <c r="D726" s="0" t="s">
        <v>230</v>
      </c>
      <c r="E726" s="0" t="s">
        <v>3</v>
      </c>
      <c r="F726" s="0" t="s">
        <v>12</v>
      </c>
      <c r="G726" s="0" t="s">
        <v>8</v>
      </c>
      <c r="H726" s="0">
        <v>2566</v>
      </c>
      <c r="I726" s="0">
        <v>92</v>
      </c>
      <c r="J726" s="0">
        <v>0</v>
      </c>
      <c r="K726" s="0">
        <v>1</v>
      </c>
      <c r="L726" s="0">
        <v>3</v>
      </c>
      <c r="M726" s="0">
        <v>2</v>
      </c>
      <c r="N726" s="0">
        <v>0</v>
      </c>
      <c r="O726" s="0">
        <v>0</v>
      </c>
      <c r="P726" s="0">
        <v>-92</v>
      </c>
      <c r="R726" s="0" t="b">
        <v>0</v>
      </c>
      <c r="S726" s="0" t="b">
        <v>1</v>
      </c>
      <c r="T726" s="68">
        <v>43487.7858333333</v>
      </c>
      <c r="U726" s="68">
        <v>43517.2916666667</v>
      </c>
      <c r="V726" s="68">
        <v>0</v>
      </c>
      <c r="W726" s="0">
        <f>IF(IF(B726="none",1,IF(B726="Trialer",1,0))+IF(C726="Customer",1,IF(C726="Lost",1,0))=2,1,0)</f>
      </c>
      <c r="X726" s="0" t="s">
        <v>166</v>
      </c>
      <c r="Y726" s="0" t="s">
        <v>243</v>
      </c>
      <c r="AV726" s="68"/>
      <c r="AW726" s="68"/>
      <c r="AY726" s="27"/>
      <c r="BD726" s="68">
        <v>46054.1666666667</v>
      </c>
      <c r="BE726" s="68">
        <v>46082.1666666667</v>
      </c>
      <c r="BF726" s="0" t="b">
        <v>0</v>
      </c>
      <c r="BG726" s="0" t="b">
        <v>0</v>
      </c>
      <c r="BH726" s="0">
        <v>104</v>
      </c>
      <c r="BI726" s="0">
        <v>104</v>
      </c>
      <c r="BJ726" s="0" t="s">
        <v>230</v>
      </c>
    </row>
    <row r="727">
      <c r="A727" s="0" t="s">
        <v>920</v>
      </c>
      <c r="B727" s="0" t="s">
        <v>134</v>
      </c>
      <c r="C727" s="0" t="s">
        <v>134</v>
      </c>
      <c r="D727" s="0" t="s">
        <v>135</v>
      </c>
      <c r="E727" s="0" t="s">
        <v>2</v>
      </c>
      <c r="F727" s="0" t="s">
        <v>10</v>
      </c>
      <c r="G727" s="0" t="s">
        <v>8</v>
      </c>
      <c r="H727" s="0">
        <v>2564</v>
      </c>
      <c r="I727" s="0">
        <v>40</v>
      </c>
      <c r="J727" s="0">
        <v>0</v>
      </c>
      <c r="K727" s="0">
        <v>1</v>
      </c>
      <c r="L727" s="0">
        <v>2</v>
      </c>
      <c r="M727" s="0">
        <v>1</v>
      </c>
      <c r="N727" s="0">
        <v>0</v>
      </c>
      <c r="O727" s="0">
        <v>0</v>
      </c>
      <c r="P727" s="0">
        <v>0</v>
      </c>
      <c r="Q727" s="0" t="s">
        <v>921</v>
      </c>
      <c r="R727" s="0" t="b">
        <v>0</v>
      </c>
      <c r="S727" s="0" t="b">
        <v>1</v>
      </c>
      <c r="T727" s="68">
        <v>43489.4957291667</v>
      </c>
      <c r="U727" s="68">
        <v>43530.2916666667</v>
      </c>
      <c r="V727" s="68">
        <v>0</v>
      </c>
      <c r="W727" s="0">
        <f>IF(IF(B727="none",1,IF(B727="Trialer",1,0))+IF(C727="Customer",1,IF(C727="Lost",1,0))=2,1,0)</f>
      </c>
      <c r="X727" s="0" t="s">
        <v>136</v>
      </c>
      <c r="Y727" s="0" t="s">
        <v>499</v>
      </c>
      <c r="AV727" s="68"/>
      <c r="AW727" s="68"/>
      <c r="AY727" s="27"/>
      <c r="BD727" s="68">
        <v>46054.1666666667</v>
      </c>
      <c r="BE727" s="68">
        <v>46082.1666666667</v>
      </c>
      <c r="BF727" s="0" t="b">
        <v>0</v>
      </c>
      <c r="BG727" s="0" t="b">
        <v>0</v>
      </c>
      <c r="BH727" s="0">
        <v>40</v>
      </c>
      <c r="BI727" s="0">
        <v>40</v>
      </c>
      <c r="BJ727" s="0" t="s">
        <v>135</v>
      </c>
    </row>
    <row r="728">
      <c r="A728" s="0" t="s">
        <v>922</v>
      </c>
      <c r="B728" s="0" t="s">
        <v>134</v>
      </c>
      <c r="C728" s="0" t="s">
        <v>134</v>
      </c>
      <c r="D728" s="0" t="s">
        <v>135</v>
      </c>
      <c r="E728" s="0" t="s">
        <v>2</v>
      </c>
      <c r="F728" s="0" t="s">
        <v>12</v>
      </c>
      <c r="G728" s="0" t="s">
        <v>8</v>
      </c>
      <c r="H728" s="0">
        <v>2563</v>
      </c>
      <c r="I728" s="0">
        <v>108</v>
      </c>
      <c r="J728" s="0">
        <v>0</v>
      </c>
      <c r="K728" s="0">
        <v>1</v>
      </c>
      <c r="L728" s="0">
        <v>2</v>
      </c>
      <c r="M728" s="0">
        <v>3</v>
      </c>
      <c r="N728" s="0">
        <v>0</v>
      </c>
      <c r="O728" s="0">
        <v>0</v>
      </c>
      <c r="P728" s="0">
        <v>0</v>
      </c>
      <c r="R728" s="0" t="b">
        <v>0</v>
      </c>
      <c r="S728" s="0" t="b">
        <v>1</v>
      </c>
      <c r="T728" s="68">
        <v>43490.5063310185</v>
      </c>
      <c r="U728" s="68">
        <v>43521.2916666667</v>
      </c>
      <c r="V728" s="68">
        <v>0</v>
      </c>
      <c r="W728" s="0">
        <f>IF(IF(B728="none",1,IF(B728="Trialer",1,0))+IF(C728="Customer",1,IF(C728="Lost",1,0))=2,1,0)</f>
      </c>
      <c r="X728" s="0" t="s">
        <v>166</v>
      </c>
      <c r="Y728" s="0" t="s">
        <v>499</v>
      </c>
      <c r="AV728" s="68"/>
      <c r="AW728" s="68"/>
      <c r="AY728" s="27"/>
      <c r="BD728" s="68">
        <v>46054.1666666667</v>
      </c>
      <c r="BE728" s="68">
        <v>46082.1666666667</v>
      </c>
      <c r="BF728" s="0" t="b">
        <v>0</v>
      </c>
      <c r="BG728" s="0" t="b">
        <v>0</v>
      </c>
      <c r="BH728" s="0">
        <v>96</v>
      </c>
      <c r="BI728" s="0">
        <v>96</v>
      </c>
      <c r="BJ728" s="0" t="s">
        <v>135</v>
      </c>
    </row>
    <row r="729">
      <c r="A729" s="0" t="s">
        <v>923</v>
      </c>
      <c r="B729" s="0" t="s">
        <v>134</v>
      </c>
      <c r="C729" s="0" t="s">
        <v>134</v>
      </c>
      <c r="D729" s="0" t="s">
        <v>230</v>
      </c>
      <c r="E729" s="0" t="s">
        <v>3</v>
      </c>
      <c r="F729" s="0" t="s">
        <v>12</v>
      </c>
      <c r="G729" s="0" t="s">
        <v>8</v>
      </c>
      <c r="H729" s="0">
        <v>2563</v>
      </c>
      <c r="I729" s="0">
        <v>619</v>
      </c>
      <c r="J729" s="0">
        <v>0</v>
      </c>
      <c r="K729" s="0">
        <v>1</v>
      </c>
      <c r="L729" s="0">
        <v>4</v>
      </c>
      <c r="M729" s="0">
        <v>6</v>
      </c>
      <c r="N729" s="0">
        <v>0</v>
      </c>
      <c r="O729" s="0">
        <v>0</v>
      </c>
      <c r="P729" s="0">
        <v>3234</v>
      </c>
      <c r="R729" s="0" t="b">
        <v>0</v>
      </c>
      <c r="S729" s="0" t="b">
        <v>1</v>
      </c>
      <c r="T729" s="68">
        <v>43490.5142592593</v>
      </c>
      <c r="U729" s="68">
        <v>43520.2916666667</v>
      </c>
      <c r="V729" s="68">
        <v>0</v>
      </c>
      <c r="W729" s="0">
        <f>IF(IF(B729="none",1,IF(B729="Trialer",1,0))+IF(C729="Customer",1,IF(C729="Lost",1,0))=2,1,0)</f>
      </c>
      <c r="X729" s="0" t="s">
        <v>136</v>
      </c>
      <c r="Y729" s="0" t="s">
        <v>243</v>
      </c>
      <c r="AV729" s="68"/>
      <c r="AW729" s="68"/>
      <c r="AY729" s="27"/>
      <c r="BD729" s="68">
        <v>46054.1666666667</v>
      </c>
      <c r="BE729" s="68">
        <v>46082.1666666667</v>
      </c>
      <c r="BF729" s="0" t="b">
        <v>0</v>
      </c>
      <c r="BG729" s="0" t="b">
        <v>0</v>
      </c>
      <c r="BH729" s="0">
        <v>330</v>
      </c>
      <c r="BI729" s="0">
        <v>330</v>
      </c>
      <c r="BJ729" s="0" t="s">
        <v>230</v>
      </c>
    </row>
    <row r="730">
      <c r="A730" s="0" t="s">
        <v>924</v>
      </c>
      <c r="B730" s="0" t="s">
        <v>134</v>
      </c>
      <c r="C730" s="0" t="s">
        <v>134</v>
      </c>
      <c r="D730" s="0" t="s">
        <v>135</v>
      </c>
      <c r="E730" s="0" t="s">
        <v>2</v>
      </c>
      <c r="F730" s="0" t="s">
        <v>12</v>
      </c>
      <c r="G730" s="0" t="s">
        <v>8</v>
      </c>
      <c r="H730" s="0">
        <v>2562</v>
      </c>
      <c r="I730" s="0">
        <v>120</v>
      </c>
      <c r="J730" s="0">
        <v>0</v>
      </c>
      <c r="K730" s="0">
        <v>1</v>
      </c>
      <c r="L730" s="0">
        <v>2</v>
      </c>
      <c r="M730" s="0">
        <v>3</v>
      </c>
      <c r="N730" s="0">
        <v>0</v>
      </c>
      <c r="O730" s="0">
        <v>0</v>
      </c>
      <c r="P730" s="0">
        <v>0</v>
      </c>
      <c r="R730" s="0" t="b">
        <v>0</v>
      </c>
      <c r="S730" s="0" t="b">
        <v>1</v>
      </c>
      <c r="T730" s="68">
        <v>43491.7444444444</v>
      </c>
      <c r="U730" s="68">
        <v>43521.2916666667</v>
      </c>
      <c r="V730" s="68">
        <v>0</v>
      </c>
      <c r="W730" s="0">
        <f>IF(IF(B730="none",1,IF(B730="Trialer",1,0))+IF(C730="Customer",1,IF(C730="Lost",1,0))=2,1,0)</f>
      </c>
      <c r="X730" s="0" t="s">
        <v>142</v>
      </c>
      <c r="Y730" s="0" t="s">
        <v>499</v>
      </c>
      <c r="AV730" s="68"/>
      <c r="AW730" s="68"/>
      <c r="AY730" s="27"/>
      <c r="BD730" s="68">
        <v>46054.1666666667</v>
      </c>
      <c r="BE730" s="68">
        <v>46082.1666666667</v>
      </c>
      <c r="BF730" s="0" t="b">
        <v>0</v>
      </c>
      <c r="BG730" s="0" t="b">
        <v>0</v>
      </c>
      <c r="BH730" s="0">
        <v>120</v>
      </c>
      <c r="BI730" s="0">
        <v>120</v>
      </c>
      <c r="BJ730" s="0" t="s">
        <v>135</v>
      </c>
    </row>
    <row r="731">
      <c r="A731" s="0" t="s">
        <v>925</v>
      </c>
      <c r="B731" s="0" t="s">
        <v>134</v>
      </c>
      <c r="C731" s="0" t="s">
        <v>134</v>
      </c>
      <c r="D731" s="0" t="s">
        <v>230</v>
      </c>
      <c r="E731" s="0" t="s">
        <v>3</v>
      </c>
      <c r="F731" s="0" t="s">
        <v>12</v>
      </c>
      <c r="G731" s="0" t="s">
        <v>8</v>
      </c>
      <c r="H731" s="0">
        <v>2559</v>
      </c>
      <c r="I731" s="0">
        <v>80</v>
      </c>
      <c r="J731" s="0">
        <v>0</v>
      </c>
      <c r="K731" s="0">
        <v>1</v>
      </c>
      <c r="L731" s="0">
        <v>3</v>
      </c>
      <c r="M731" s="0">
        <v>2</v>
      </c>
      <c r="N731" s="0">
        <v>0</v>
      </c>
      <c r="O731" s="0">
        <v>0</v>
      </c>
      <c r="P731" s="0">
        <v>-80</v>
      </c>
      <c r="R731" s="0" t="b">
        <v>0</v>
      </c>
      <c r="S731" s="0" t="b">
        <v>1</v>
      </c>
      <c r="T731" s="68">
        <v>43494.3754166667</v>
      </c>
      <c r="U731" s="68">
        <v>43524.2916666667</v>
      </c>
      <c r="V731" s="68">
        <v>0</v>
      </c>
      <c r="W731" s="0">
        <f>IF(IF(B731="none",1,IF(B731="Trialer",1,0))+IF(C731="Customer",1,IF(C731="Lost",1,0))=2,1,0)</f>
      </c>
      <c r="X731" s="0" t="s">
        <v>142</v>
      </c>
      <c r="Y731" s="0" t="s">
        <v>243</v>
      </c>
      <c r="AV731" s="68"/>
      <c r="AW731" s="68"/>
      <c r="AY731" s="27"/>
      <c r="BD731" s="68">
        <v>46054.1666666667</v>
      </c>
      <c r="BE731" s="68">
        <v>46082.1666666667</v>
      </c>
      <c r="BF731" s="0" t="b">
        <v>0</v>
      </c>
      <c r="BG731" s="0" t="b">
        <v>0</v>
      </c>
      <c r="BH731" s="0">
        <v>89</v>
      </c>
      <c r="BI731" s="0">
        <v>89</v>
      </c>
      <c r="BJ731" s="0" t="s">
        <v>230</v>
      </c>
    </row>
    <row r="732">
      <c r="A732" s="0" t="s">
        <v>926</v>
      </c>
      <c r="B732" s="0" t="s">
        <v>134</v>
      </c>
      <c r="C732" s="0" t="s">
        <v>134</v>
      </c>
      <c r="D732" s="0" t="s">
        <v>230</v>
      </c>
      <c r="E732" s="0" t="s">
        <v>2</v>
      </c>
      <c r="F732" s="0" t="s">
        <v>12</v>
      </c>
      <c r="G732" s="0" t="s">
        <v>8</v>
      </c>
      <c r="H732" s="0">
        <v>2559</v>
      </c>
      <c r="I732" s="0">
        <v>256</v>
      </c>
      <c r="J732" s="0">
        <v>0</v>
      </c>
      <c r="K732" s="0">
        <v>1</v>
      </c>
      <c r="L732" s="0">
        <v>3</v>
      </c>
      <c r="M732" s="0">
        <v>6</v>
      </c>
      <c r="N732" s="0">
        <v>0</v>
      </c>
      <c r="O732" s="0">
        <v>0</v>
      </c>
      <c r="P732" s="0">
        <v>2816</v>
      </c>
      <c r="R732" s="0" t="b">
        <v>0</v>
      </c>
      <c r="S732" s="0" t="b">
        <v>1</v>
      </c>
      <c r="T732" s="68">
        <v>43494.5145833333</v>
      </c>
      <c r="U732" s="68">
        <v>43534.3333333333</v>
      </c>
      <c r="V732" s="68">
        <v>0</v>
      </c>
      <c r="W732" s="0">
        <f>IF(IF(B732="none",1,IF(B732="Trialer",1,0))+IF(C732="Customer",1,IF(C732="Lost",1,0))=2,1,0)</f>
      </c>
      <c r="X732" s="0" t="s">
        <v>145</v>
      </c>
      <c r="Y732" s="0" t="s">
        <v>499</v>
      </c>
      <c r="AV732" s="68"/>
      <c r="AW732" s="68"/>
      <c r="AY732" s="27"/>
      <c r="BD732" s="68">
        <v>46054.1666666667</v>
      </c>
      <c r="BE732" s="68">
        <v>46082.1666666667</v>
      </c>
      <c r="BF732" s="0" t="b">
        <v>0</v>
      </c>
      <c r="BG732" s="0" t="b">
        <v>0</v>
      </c>
      <c r="BH732" s="0">
        <v>285</v>
      </c>
      <c r="BI732" s="0">
        <v>285</v>
      </c>
      <c r="BJ732" s="0" t="s">
        <v>230</v>
      </c>
    </row>
    <row r="733">
      <c r="A733" s="0" t="s">
        <v>927</v>
      </c>
      <c r="B733" s="0" t="s">
        <v>134</v>
      </c>
      <c r="C733" s="0" t="s">
        <v>134</v>
      </c>
      <c r="D733" s="0" t="s">
        <v>135</v>
      </c>
      <c r="E733" s="0" t="s">
        <v>3</v>
      </c>
      <c r="F733" s="0" t="s">
        <v>12</v>
      </c>
      <c r="G733" s="0" t="s">
        <v>8</v>
      </c>
      <c r="H733" s="0">
        <v>2558</v>
      </c>
      <c r="I733" s="0">
        <v>0</v>
      </c>
      <c r="J733" s="0">
        <v>0</v>
      </c>
      <c r="K733" s="0">
        <v>1</v>
      </c>
      <c r="L733" s="0">
        <v>2</v>
      </c>
      <c r="M733" s="0">
        <v>1</v>
      </c>
      <c r="N733" s="0">
        <v>0</v>
      </c>
      <c r="O733" s="0">
        <v>0</v>
      </c>
      <c r="P733" s="0">
        <v>0</v>
      </c>
      <c r="R733" s="0" t="b">
        <v>0</v>
      </c>
      <c r="S733" s="0" t="b">
        <v>1</v>
      </c>
      <c r="T733" s="68">
        <v>43494.999375</v>
      </c>
      <c r="U733" s="68">
        <v>43558.3333333333</v>
      </c>
      <c r="V733" s="68">
        <v>0</v>
      </c>
      <c r="W733" s="0">
        <f>IF(IF(B733="none",1,IF(B733="Trialer",1,0))+IF(C733="Customer",1,IF(C733="Lost",1,0))=2,1,0)</f>
      </c>
      <c r="X733" s="0" t="s">
        <v>148</v>
      </c>
      <c r="Y733" s="0" t="s">
        <v>243</v>
      </c>
      <c r="AV733" s="68"/>
      <c r="AW733" s="68"/>
      <c r="AY733" s="27"/>
      <c r="BD733" s="68">
        <v>46054.1666666667</v>
      </c>
      <c r="BE733" s="68">
        <v>46082.1666666667</v>
      </c>
      <c r="BF733" s="0" t="b">
        <v>0</v>
      </c>
      <c r="BG733" s="0" t="b">
        <v>0</v>
      </c>
      <c r="BH733" s="0">
        <v>0</v>
      </c>
      <c r="BI733" s="0">
        <v>0</v>
      </c>
      <c r="BJ733" s="0" t="s">
        <v>135</v>
      </c>
    </row>
    <row r="734">
      <c r="A734" s="0" t="s">
        <v>928</v>
      </c>
      <c r="B734" s="0" t="s">
        <v>134</v>
      </c>
      <c r="C734" s="0" t="s">
        <v>134</v>
      </c>
      <c r="D734" s="0" t="s">
        <v>135</v>
      </c>
      <c r="E734" s="0" t="s">
        <v>2</v>
      </c>
      <c r="F734" s="0" t="s">
        <v>12</v>
      </c>
      <c r="G734" s="0" t="s">
        <v>8</v>
      </c>
      <c r="H734" s="0">
        <v>2556</v>
      </c>
      <c r="I734" s="0">
        <v>220</v>
      </c>
      <c r="J734" s="0">
        <v>0</v>
      </c>
      <c r="K734" s="0">
        <v>1</v>
      </c>
      <c r="L734" s="0">
        <v>2</v>
      </c>
      <c r="M734" s="0">
        <v>7</v>
      </c>
      <c r="N734" s="0">
        <v>77.5</v>
      </c>
      <c r="O734" s="0">
        <v>0</v>
      </c>
      <c r="P734" s="0">
        <v>0</v>
      </c>
      <c r="R734" s="0" t="b">
        <v>0</v>
      </c>
      <c r="S734" s="0" t="b">
        <v>1</v>
      </c>
      <c r="T734" s="68">
        <v>43497.4886574074</v>
      </c>
      <c r="U734" s="68">
        <v>43686.3333333333</v>
      </c>
      <c r="V734" s="68">
        <v>0</v>
      </c>
      <c r="W734" s="0">
        <f>IF(IF(B734="none",1,IF(B734="Trialer",1,0))+IF(C734="Customer",1,IF(C734="Lost",1,0))=2,1,0)</f>
      </c>
      <c r="X734" s="0" t="s">
        <v>145</v>
      </c>
      <c r="Y734" s="0" t="s">
        <v>499</v>
      </c>
      <c r="AV734" s="68"/>
      <c r="AW734" s="68"/>
      <c r="AY734" s="27"/>
      <c r="BD734" s="68">
        <v>46054.1666666667</v>
      </c>
      <c r="BE734" s="68">
        <v>46082.1666666667</v>
      </c>
      <c r="BF734" s="0" t="b">
        <v>0</v>
      </c>
      <c r="BG734" s="0" t="b">
        <v>0</v>
      </c>
      <c r="BH734" s="0">
        <v>260</v>
      </c>
      <c r="BI734" s="0">
        <v>260</v>
      </c>
      <c r="BJ734" s="0" t="s">
        <v>135</v>
      </c>
    </row>
    <row r="735">
      <c r="A735" s="0" t="s">
        <v>929</v>
      </c>
      <c r="B735" s="0" t="s">
        <v>134</v>
      </c>
      <c r="C735" s="0" t="s">
        <v>134</v>
      </c>
      <c r="D735" s="0" t="s">
        <v>230</v>
      </c>
      <c r="E735" s="0" t="s">
        <v>2</v>
      </c>
      <c r="F735" s="0" t="s">
        <v>12</v>
      </c>
      <c r="G735" s="0" t="s">
        <v>8</v>
      </c>
      <c r="H735" s="0">
        <v>2553</v>
      </c>
      <c r="I735" s="0">
        <v>312</v>
      </c>
      <c r="J735" s="0">
        <v>0</v>
      </c>
      <c r="K735" s="0">
        <v>1</v>
      </c>
      <c r="L735" s="0">
        <v>3</v>
      </c>
      <c r="M735" s="0">
        <v>9</v>
      </c>
      <c r="N735" s="0">
        <v>0</v>
      </c>
      <c r="O735" s="0">
        <v>0</v>
      </c>
      <c r="P735" s="0">
        <v>-312</v>
      </c>
      <c r="R735" s="0" t="b">
        <v>0</v>
      </c>
      <c r="S735" s="0" t="b">
        <v>1</v>
      </c>
      <c r="T735" s="68">
        <v>43500.4832291667</v>
      </c>
      <c r="U735" s="68">
        <v>43530.2916666667</v>
      </c>
      <c r="V735" s="68">
        <v>0</v>
      </c>
      <c r="W735" s="0">
        <f>IF(IF(B735="none",1,IF(B735="Trialer",1,0))+IF(C735="Customer",1,IF(C735="Lost",1,0))=2,1,0)</f>
      </c>
      <c r="X735" s="0" t="s">
        <v>136</v>
      </c>
      <c r="Y735" s="0" t="s">
        <v>499</v>
      </c>
      <c r="AV735" s="68"/>
      <c r="AW735" s="68"/>
      <c r="AY735" s="27"/>
      <c r="BD735" s="68">
        <v>46054.1666666667</v>
      </c>
      <c r="BE735" s="68">
        <v>46082.1666666667</v>
      </c>
      <c r="BF735" s="0" t="b">
        <v>0</v>
      </c>
      <c r="BG735" s="0" t="b">
        <v>0</v>
      </c>
      <c r="BH735" s="0">
        <v>348</v>
      </c>
      <c r="BI735" s="0">
        <v>348</v>
      </c>
      <c r="BJ735" s="0" t="s">
        <v>230</v>
      </c>
    </row>
    <row r="736">
      <c r="A736" s="0" t="s">
        <v>930</v>
      </c>
      <c r="B736" s="0" t="s">
        <v>134</v>
      </c>
      <c r="C736" s="0" t="s">
        <v>134</v>
      </c>
      <c r="D736" s="0" t="s">
        <v>135</v>
      </c>
      <c r="E736" s="0" t="s">
        <v>3</v>
      </c>
      <c r="F736" s="0" t="s">
        <v>12</v>
      </c>
      <c r="G736" s="0" t="s">
        <v>8</v>
      </c>
      <c r="H736" s="0">
        <v>2553</v>
      </c>
      <c r="I736" s="0">
        <v>0</v>
      </c>
      <c r="J736" s="0">
        <v>0</v>
      </c>
      <c r="K736" s="0">
        <v>1</v>
      </c>
      <c r="L736" s="0">
        <v>3</v>
      </c>
      <c r="M736" s="0">
        <v>1</v>
      </c>
      <c r="N736" s="0">
        <v>0</v>
      </c>
      <c r="O736" s="0">
        <v>0</v>
      </c>
      <c r="P736" s="0">
        <v>0</v>
      </c>
      <c r="R736" s="0" t="b">
        <v>0</v>
      </c>
      <c r="S736" s="0" t="b">
        <v>1</v>
      </c>
      <c r="T736" s="68">
        <v>43500.6155902778</v>
      </c>
      <c r="U736" s="68">
        <v>43530.2916666667</v>
      </c>
      <c r="V736" s="68">
        <v>0</v>
      </c>
      <c r="W736" s="0">
        <f>IF(IF(B736="none",1,IF(B736="Trialer",1,0))+IF(C736="Customer",1,IF(C736="Lost",1,0))=2,1,0)</f>
      </c>
      <c r="X736" s="0" t="s">
        <v>148</v>
      </c>
      <c r="Y736" s="0" t="s">
        <v>243</v>
      </c>
      <c r="AV736" s="68"/>
      <c r="AW736" s="68"/>
      <c r="AY736" s="27"/>
      <c r="BD736" s="68">
        <v>46054.1666666667</v>
      </c>
      <c r="BE736" s="68">
        <v>46082.1666666667</v>
      </c>
      <c r="BF736" s="0" t="b">
        <v>0</v>
      </c>
      <c r="BG736" s="0" t="b">
        <v>0</v>
      </c>
      <c r="BH736" s="0">
        <v>0</v>
      </c>
      <c r="BI736" s="0">
        <v>0</v>
      </c>
      <c r="BJ736" s="0" t="s">
        <v>135</v>
      </c>
    </row>
    <row r="737">
      <c r="A737" s="0" t="s">
        <v>931</v>
      </c>
      <c r="B737" s="0" t="s">
        <v>134</v>
      </c>
      <c r="C737" s="0" t="s">
        <v>134</v>
      </c>
      <c r="D737" s="0" t="s">
        <v>230</v>
      </c>
      <c r="E737" s="0" t="s">
        <v>3</v>
      </c>
      <c r="F737" s="0" t="s">
        <v>12</v>
      </c>
      <c r="G737" s="0" t="s">
        <v>8</v>
      </c>
      <c r="H737" s="0">
        <v>2553</v>
      </c>
      <c r="I737" s="0">
        <v>125</v>
      </c>
      <c r="J737" s="0">
        <v>0</v>
      </c>
      <c r="K737" s="0">
        <v>1</v>
      </c>
      <c r="L737" s="0">
        <v>1</v>
      </c>
      <c r="M737" s="0">
        <v>5</v>
      </c>
      <c r="N737" s="0">
        <v>0</v>
      </c>
      <c r="O737" s="0">
        <v>0</v>
      </c>
      <c r="P737" s="0">
        <v>1375</v>
      </c>
      <c r="R737" s="0" t="b">
        <v>0</v>
      </c>
      <c r="S737" s="0" t="b">
        <v>1</v>
      </c>
      <c r="T737" s="68">
        <v>43500.7298032407</v>
      </c>
      <c r="U737" s="68">
        <v>43531.2916666667</v>
      </c>
      <c r="V737" s="68">
        <v>0</v>
      </c>
      <c r="W737" s="0">
        <f>IF(IF(B737="none",1,IF(B737="Trialer",1,0))+IF(C737="Customer",1,IF(C737="Lost",1,0))=2,1,0)</f>
      </c>
      <c r="X737" s="0" t="s">
        <v>136</v>
      </c>
      <c r="Y737" s="0" t="s">
        <v>243</v>
      </c>
      <c r="AV737" s="68"/>
      <c r="AW737" s="68"/>
      <c r="AY737" s="27"/>
      <c r="BD737" s="68">
        <v>46054.1666666667</v>
      </c>
      <c r="BE737" s="68">
        <v>46082.1666666667</v>
      </c>
      <c r="BF737" s="0" t="b">
        <v>0</v>
      </c>
      <c r="BG737" s="0" t="b">
        <v>0</v>
      </c>
      <c r="BH737" s="0">
        <v>140</v>
      </c>
      <c r="BI737" s="0">
        <v>140</v>
      </c>
      <c r="BJ737" s="0" t="s">
        <v>230</v>
      </c>
    </row>
    <row r="738">
      <c r="A738" s="0" t="s">
        <v>932</v>
      </c>
      <c r="B738" s="0" t="s">
        <v>134</v>
      </c>
      <c r="C738" s="0" t="s">
        <v>134</v>
      </c>
      <c r="D738" s="0" t="s">
        <v>135</v>
      </c>
      <c r="E738" s="0" t="s">
        <v>2</v>
      </c>
      <c r="F738" s="0" t="s">
        <v>12</v>
      </c>
      <c r="G738" s="0" t="s">
        <v>8</v>
      </c>
      <c r="H738" s="0">
        <v>2553</v>
      </c>
      <c r="I738" s="0">
        <v>152</v>
      </c>
      <c r="J738" s="0">
        <v>0</v>
      </c>
      <c r="K738" s="0">
        <v>1</v>
      </c>
      <c r="L738" s="0">
        <v>2</v>
      </c>
      <c r="M738" s="0">
        <v>5</v>
      </c>
      <c r="N738" s="0">
        <v>0</v>
      </c>
      <c r="O738" s="0">
        <v>0</v>
      </c>
      <c r="P738" s="0">
        <v>0</v>
      </c>
      <c r="R738" s="0" t="b">
        <v>0</v>
      </c>
      <c r="S738" s="0" t="b">
        <v>1</v>
      </c>
      <c r="T738" s="68">
        <v>43500.9459490741</v>
      </c>
      <c r="U738" s="68">
        <v>43530.2916666667</v>
      </c>
      <c r="V738" s="68">
        <v>0</v>
      </c>
      <c r="W738" s="0">
        <f>IF(IF(B738="none",1,IF(B738="Trialer",1,0))+IF(C738="Customer",1,IF(C738="Lost",1,0))=2,1,0)</f>
      </c>
      <c r="X738" s="0" t="s">
        <v>148</v>
      </c>
      <c r="Y738" s="0" t="s">
        <v>499</v>
      </c>
      <c r="AV738" s="68"/>
      <c r="AW738" s="68"/>
      <c r="AY738" s="27"/>
      <c r="BD738" s="68">
        <v>46054.1666666667</v>
      </c>
      <c r="BE738" s="68">
        <v>46082.1666666667</v>
      </c>
      <c r="BF738" s="0" t="b">
        <v>0</v>
      </c>
      <c r="BG738" s="0" t="b">
        <v>0</v>
      </c>
      <c r="BH738" s="0">
        <v>152</v>
      </c>
      <c r="BI738" s="0">
        <v>152</v>
      </c>
      <c r="BJ738" s="0" t="s">
        <v>135</v>
      </c>
    </row>
    <row r="739">
      <c r="A739" s="0" t="s">
        <v>933</v>
      </c>
      <c r="B739" s="0" t="s">
        <v>134</v>
      </c>
      <c r="C739" s="0" t="s">
        <v>134</v>
      </c>
      <c r="D739" s="0" t="s">
        <v>135</v>
      </c>
      <c r="E739" s="0" t="s">
        <v>2</v>
      </c>
      <c r="F739" s="0" t="s">
        <v>12</v>
      </c>
      <c r="G739" s="0" t="s">
        <v>8</v>
      </c>
      <c r="H739" s="0">
        <v>2545</v>
      </c>
      <c r="I739" s="0">
        <v>89</v>
      </c>
      <c r="J739" s="0">
        <v>0</v>
      </c>
      <c r="K739" s="0">
        <v>1</v>
      </c>
      <c r="L739" s="0">
        <v>3</v>
      </c>
      <c r="M739" s="0">
        <v>2</v>
      </c>
      <c r="N739" s="0">
        <v>0</v>
      </c>
      <c r="O739" s="0">
        <v>0</v>
      </c>
      <c r="P739" s="0">
        <v>0</v>
      </c>
      <c r="R739" s="0" t="b">
        <v>0</v>
      </c>
      <c r="S739" s="0" t="b">
        <v>1</v>
      </c>
      <c r="T739" s="68">
        <v>43508.065474537</v>
      </c>
      <c r="U739" s="68">
        <v>43538.3333333333</v>
      </c>
      <c r="V739" s="68">
        <v>0</v>
      </c>
      <c r="W739" s="0">
        <f>IF(IF(B739="none",1,IF(B739="Trialer",1,0))+IF(C739="Customer",1,IF(C739="Lost",1,0))=2,1,0)</f>
      </c>
      <c r="X739" s="0" t="s">
        <v>142</v>
      </c>
      <c r="Y739" s="0" t="s">
        <v>499</v>
      </c>
      <c r="AV739" s="68"/>
      <c r="AW739" s="68"/>
      <c r="AY739" s="27"/>
      <c r="BD739" s="68">
        <v>46054.1666666667</v>
      </c>
      <c r="BE739" s="68">
        <v>46082.1666666667</v>
      </c>
      <c r="BF739" s="0" t="b">
        <v>0</v>
      </c>
      <c r="BG739" s="0" t="b">
        <v>0</v>
      </c>
      <c r="BH739" s="0">
        <v>89</v>
      </c>
      <c r="BI739" s="0">
        <v>89</v>
      </c>
      <c r="BJ739" s="0" t="s">
        <v>135</v>
      </c>
    </row>
    <row r="740">
      <c r="A740" s="0" t="s">
        <v>934</v>
      </c>
      <c r="B740" s="0" t="s">
        <v>134</v>
      </c>
      <c r="C740" s="0" t="s">
        <v>134</v>
      </c>
      <c r="D740" s="0" t="s">
        <v>135</v>
      </c>
      <c r="E740" s="0" t="s">
        <v>2</v>
      </c>
      <c r="F740" s="0" t="s">
        <v>12</v>
      </c>
      <c r="G740" s="0" t="s">
        <v>8</v>
      </c>
      <c r="H740" s="0">
        <v>2545</v>
      </c>
      <c r="I740" s="0">
        <v>263</v>
      </c>
      <c r="J740" s="0">
        <v>0</v>
      </c>
      <c r="K740" s="0">
        <v>1</v>
      </c>
      <c r="L740" s="0">
        <v>4</v>
      </c>
      <c r="M740" s="0">
        <v>5</v>
      </c>
      <c r="N740" s="0">
        <v>628.5</v>
      </c>
      <c r="O740" s="0">
        <v>-77.5</v>
      </c>
      <c r="P740" s="0">
        <v>0</v>
      </c>
      <c r="R740" s="0" t="b">
        <v>0</v>
      </c>
      <c r="S740" s="0" t="b">
        <v>1</v>
      </c>
      <c r="T740" s="68">
        <v>43508.5</v>
      </c>
      <c r="U740" s="68">
        <v>43538.5416666667</v>
      </c>
      <c r="V740" s="68">
        <v>0</v>
      </c>
      <c r="W740" s="0">
        <f>IF(IF(B740="none",1,IF(B740="Trialer",1,0))+IF(C740="Customer",1,IF(C740="Lost",1,0))=2,1,0)</f>
      </c>
      <c r="X740" s="0" t="s">
        <v>145</v>
      </c>
      <c r="Y740" s="0" t="s">
        <v>499</v>
      </c>
      <c r="AV740" s="68"/>
      <c r="AW740" s="68"/>
      <c r="AY740" s="27"/>
      <c r="BD740" s="68">
        <v>46054.1666666667</v>
      </c>
      <c r="BE740" s="68">
        <v>46082.1666666667</v>
      </c>
      <c r="BF740" s="0" t="b">
        <v>0</v>
      </c>
      <c r="BG740" s="0" t="b">
        <v>0</v>
      </c>
      <c r="BH740" s="0">
        <v>263</v>
      </c>
      <c r="BI740" s="0">
        <v>263</v>
      </c>
      <c r="BJ740" s="0" t="s">
        <v>135</v>
      </c>
    </row>
    <row r="741">
      <c r="A741" s="0" t="s">
        <v>935</v>
      </c>
      <c r="B741" s="0" t="s">
        <v>134</v>
      </c>
      <c r="C741" s="0" t="s">
        <v>134</v>
      </c>
      <c r="D741" s="0" t="s">
        <v>135</v>
      </c>
      <c r="E741" s="0" t="s">
        <v>2</v>
      </c>
      <c r="F741" s="0" t="s">
        <v>12</v>
      </c>
      <c r="G741" s="0" t="s">
        <v>8</v>
      </c>
      <c r="H741" s="0">
        <v>2544</v>
      </c>
      <c r="I741" s="0">
        <v>353</v>
      </c>
      <c r="J741" s="0">
        <v>0</v>
      </c>
      <c r="K741" s="0">
        <v>1</v>
      </c>
      <c r="L741" s="0">
        <v>6</v>
      </c>
      <c r="M741" s="0">
        <v>5</v>
      </c>
      <c r="N741" s="0">
        <v>0</v>
      </c>
      <c r="O741" s="0">
        <v>0</v>
      </c>
      <c r="P741" s="0">
        <v>0</v>
      </c>
      <c r="R741" s="0" t="b">
        <v>0</v>
      </c>
      <c r="S741" s="0" t="b">
        <v>1</v>
      </c>
      <c r="T741" s="68">
        <v>43509.5174768519</v>
      </c>
      <c r="U741" s="68">
        <v>43518.5</v>
      </c>
      <c r="V741" s="68">
        <v>0</v>
      </c>
      <c r="W741" s="0">
        <f>IF(IF(B741="none",1,IF(B741="Trialer",1,0))+IF(C741="Customer",1,IF(C741="Lost",1,0))=2,1,0)</f>
      </c>
      <c r="X741" s="0" t="s">
        <v>136</v>
      </c>
      <c r="Y741" s="0" t="s">
        <v>499</v>
      </c>
      <c r="AV741" s="68"/>
      <c r="AW741" s="68"/>
      <c r="AY741" s="27"/>
      <c r="BD741" s="68">
        <v>46054.1666666667</v>
      </c>
      <c r="BE741" s="68">
        <v>46082.1666666667</v>
      </c>
      <c r="BF741" s="0" t="b">
        <v>0</v>
      </c>
      <c r="BG741" s="0" t="b">
        <v>0</v>
      </c>
      <c r="BH741" s="0">
        <v>280</v>
      </c>
      <c r="BI741" s="0">
        <v>280</v>
      </c>
      <c r="BJ741" s="0" t="s">
        <v>135</v>
      </c>
    </row>
    <row r="742">
      <c r="A742" s="0" t="s">
        <v>936</v>
      </c>
      <c r="B742" s="0" t="s">
        <v>134</v>
      </c>
      <c r="C742" s="0" t="s">
        <v>134</v>
      </c>
      <c r="D742" s="0" t="s">
        <v>135</v>
      </c>
      <c r="E742" s="0" t="s">
        <v>3</v>
      </c>
      <c r="F742" s="0" t="s">
        <v>12</v>
      </c>
      <c r="G742" s="0" t="s">
        <v>7</v>
      </c>
      <c r="H742" s="0">
        <v>2544</v>
      </c>
      <c r="I742" s="0">
        <v>40</v>
      </c>
      <c r="J742" s="0">
        <v>0</v>
      </c>
      <c r="K742" s="0">
        <v>1</v>
      </c>
      <c r="L742" s="0">
        <v>1</v>
      </c>
      <c r="M742" s="0">
        <v>1</v>
      </c>
      <c r="N742" s="0">
        <v>0</v>
      </c>
      <c r="O742" s="0">
        <v>0</v>
      </c>
      <c r="P742" s="0">
        <v>0</v>
      </c>
      <c r="R742" s="0" t="b">
        <v>0</v>
      </c>
      <c r="S742" s="0" t="b">
        <v>1</v>
      </c>
      <c r="T742" s="68">
        <v>43509.6690277778</v>
      </c>
      <c r="U742" s="68">
        <v>43509.2916666667</v>
      </c>
      <c r="V742" s="68">
        <v>0</v>
      </c>
      <c r="W742" s="0">
        <f>IF(IF(B742="none",1,IF(B742="Trialer",1,0))+IF(C742="Customer",1,IF(C742="Lost",1,0))=2,1,0)</f>
      </c>
      <c r="X742" s="0" t="s">
        <v>145</v>
      </c>
      <c r="Y742" s="0" t="s">
        <v>243</v>
      </c>
      <c r="AV742" s="68"/>
      <c r="AW742" s="68"/>
      <c r="AY742" s="27"/>
      <c r="BD742" s="68">
        <v>46054.1666666667</v>
      </c>
      <c r="BE742" s="68">
        <v>46082.1666666667</v>
      </c>
      <c r="BF742" s="0" t="b">
        <v>0</v>
      </c>
      <c r="BG742" s="0" t="b">
        <v>0</v>
      </c>
      <c r="BH742" s="0">
        <v>40</v>
      </c>
      <c r="BI742" s="0">
        <v>40</v>
      </c>
      <c r="BJ742" s="0" t="s">
        <v>135</v>
      </c>
    </row>
    <row r="743">
      <c r="A743" s="0" t="s">
        <v>937</v>
      </c>
      <c r="B743" s="0" t="s">
        <v>134</v>
      </c>
      <c r="C743" s="0" t="s">
        <v>134</v>
      </c>
      <c r="D743" s="0" t="s">
        <v>135</v>
      </c>
      <c r="E743" s="0" t="s">
        <v>3</v>
      </c>
      <c r="F743" s="0" t="s">
        <v>12</v>
      </c>
      <c r="G743" s="0" t="s">
        <v>8</v>
      </c>
      <c r="H743" s="0">
        <v>2543</v>
      </c>
      <c r="I743" s="0">
        <v>0</v>
      </c>
      <c r="J743" s="0">
        <v>0</v>
      </c>
      <c r="K743" s="0">
        <v>1</v>
      </c>
      <c r="L743" s="0">
        <v>3</v>
      </c>
      <c r="M743" s="0">
        <v>1</v>
      </c>
      <c r="N743" s="0">
        <v>0</v>
      </c>
      <c r="O743" s="0">
        <v>0</v>
      </c>
      <c r="P743" s="0">
        <v>0</v>
      </c>
      <c r="R743" s="0" t="b">
        <v>0</v>
      </c>
      <c r="S743" s="0" t="b">
        <v>1</v>
      </c>
      <c r="T743" s="68">
        <v>43510.747974537</v>
      </c>
      <c r="U743" s="68">
        <v>43540.3333333333</v>
      </c>
      <c r="V743" s="68">
        <v>0</v>
      </c>
      <c r="W743" s="0">
        <f>IF(IF(B743="none",1,IF(B743="Trialer",1,0))+IF(C743="Customer",1,IF(C743="Lost",1,0))=2,1,0)</f>
      </c>
      <c r="X743" s="0" t="s">
        <v>136</v>
      </c>
      <c r="Y743" s="0" t="s">
        <v>243</v>
      </c>
      <c r="AV743" s="68"/>
      <c r="AW743" s="68"/>
      <c r="AY743" s="27"/>
      <c r="BD743" s="68">
        <v>46054.1666666667</v>
      </c>
      <c r="BE743" s="68">
        <v>46082.1666666667</v>
      </c>
      <c r="BF743" s="0" t="b">
        <v>0</v>
      </c>
      <c r="BG743" s="0" t="b">
        <v>0</v>
      </c>
      <c r="BH743" s="0">
        <v>0</v>
      </c>
      <c r="BI743" s="0">
        <v>0</v>
      </c>
      <c r="BJ743" s="0" t="s">
        <v>230</v>
      </c>
    </row>
    <row r="744">
      <c r="A744" s="0" t="s">
        <v>938</v>
      </c>
      <c r="B744" s="0" t="s">
        <v>134</v>
      </c>
      <c r="C744" s="0" t="s">
        <v>134</v>
      </c>
      <c r="D744" s="0" t="s">
        <v>135</v>
      </c>
      <c r="E744" s="0" t="s">
        <v>3</v>
      </c>
      <c r="F744" s="0" t="s">
        <v>12</v>
      </c>
      <c r="G744" s="0" t="s">
        <v>8</v>
      </c>
      <c r="H744" s="0">
        <v>2538</v>
      </c>
      <c r="I744" s="0">
        <v>0</v>
      </c>
      <c r="J744" s="0">
        <v>0</v>
      </c>
      <c r="K744" s="0">
        <v>1</v>
      </c>
      <c r="L744" s="0">
        <v>3</v>
      </c>
      <c r="M744" s="0">
        <v>2</v>
      </c>
      <c r="N744" s="0">
        <v>0</v>
      </c>
      <c r="O744" s="0">
        <v>0</v>
      </c>
      <c r="P744" s="0">
        <v>0</v>
      </c>
      <c r="R744" s="0" t="b">
        <v>0</v>
      </c>
      <c r="S744" s="0" t="b">
        <v>1</v>
      </c>
      <c r="T744" s="68">
        <v>43515.6455324074</v>
      </c>
      <c r="U744" s="68">
        <v>43545.5416666667</v>
      </c>
      <c r="V744" s="68">
        <v>0</v>
      </c>
      <c r="W744" s="0">
        <f>IF(IF(B744="none",1,IF(B744="Trialer",1,0))+IF(C744="Customer",1,IF(C744="Lost",1,0))=2,1,0)</f>
      </c>
      <c r="X744" s="0" t="s">
        <v>148</v>
      </c>
      <c r="Y744" s="0" t="s">
        <v>243</v>
      </c>
      <c r="AV744" s="68"/>
      <c r="AW744" s="68"/>
      <c r="AY744" s="27"/>
      <c r="BD744" s="68">
        <v>46054.1666666667</v>
      </c>
      <c r="BE744" s="68">
        <v>46082.1666666667</v>
      </c>
      <c r="BF744" s="0" t="b">
        <v>0</v>
      </c>
      <c r="BG744" s="0" t="b">
        <v>0</v>
      </c>
      <c r="BH744" s="0">
        <v>0</v>
      </c>
      <c r="BI744" s="0">
        <v>0</v>
      </c>
      <c r="BJ744" s="0" t="s">
        <v>135</v>
      </c>
    </row>
    <row r="745">
      <c r="A745" s="0" t="s">
        <v>939</v>
      </c>
      <c r="B745" s="0" t="s">
        <v>134</v>
      </c>
      <c r="C745" s="0" t="s">
        <v>134</v>
      </c>
      <c r="D745" s="0" t="s">
        <v>135</v>
      </c>
      <c r="E745" s="0" t="s">
        <v>2</v>
      </c>
      <c r="F745" s="0" t="s">
        <v>12</v>
      </c>
      <c r="G745" s="0" t="s">
        <v>8</v>
      </c>
      <c r="H745" s="0">
        <v>2537</v>
      </c>
      <c r="I745" s="0">
        <v>112</v>
      </c>
      <c r="J745" s="0">
        <v>0</v>
      </c>
      <c r="K745" s="0">
        <v>1</v>
      </c>
      <c r="L745" s="0">
        <v>1</v>
      </c>
      <c r="M745" s="0">
        <v>4</v>
      </c>
      <c r="N745" s="0">
        <v>0</v>
      </c>
      <c r="O745" s="0">
        <v>0</v>
      </c>
      <c r="P745" s="0">
        <v>0</v>
      </c>
      <c r="R745" s="0" t="b">
        <v>0</v>
      </c>
      <c r="S745" s="0" t="b">
        <v>1</v>
      </c>
      <c r="T745" s="68">
        <v>43516.7097222222</v>
      </c>
      <c r="U745" s="68">
        <v>43521.2916666667</v>
      </c>
      <c r="V745" s="68">
        <v>0</v>
      </c>
      <c r="W745" s="0">
        <f>IF(IF(B745="none",1,IF(B745="Trialer",1,0))+IF(C745="Customer",1,IF(C745="Lost",1,0))=2,1,0)</f>
      </c>
      <c r="X745" s="0" t="s">
        <v>136</v>
      </c>
      <c r="Y745" s="0" t="s">
        <v>499</v>
      </c>
      <c r="AV745" s="68"/>
      <c r="AW745" s="68"/>
      <c r="AY745" s="27"/>
      <c r="BD745" s="68">
        <v>46054.1666666667</v>
      </c>
      <c r="BE745" s="68">
        <v>46082.1666666667</v>
      </c>
      <c r="BF745" s="0" t="b">
        <v>0</v>
      </c>
      <c r="BG745" s="0" t="b">
        <v>0</v>
      </c>
      <c r="BH745" s="0">
        <v>112</v>
      </c>
      <c r="BI745" s="0">
        <v>112</v>
      </c>
      <c r="BJ745" s="0" t="s">
        <v>135</v>
      </c>
    </row>
    <row r="746">
      <c r="A746" s="0" t="s">
        <v>940</v>
      </c>
      <c r="B746" s="0" t="s">
        <v>134</v>
      </c>
      <c r="C746" s="0" t="s">
        <v>134</v>
      </c>
      <c r="D746" s="0" t="s">
        <v>135</v>
      </c>
      <c r="E746" s="0" t="s">
        <v>3</v>
      </c>
      <c r="F746" s="0" t="s">
        <v>12</v>
      </c>
      <c r="G746" s="0" t="s">
        <v>8</v>
      </c>
      <c r="H746" s="0">
        <v>2533</v>
      </c>
      <c r="I746" s="0">
        <v>0</v>
      </c>
      <c r="J746" s="0">
        <v>0</v>
      </c>
      <c r="K746" s="0">
        <v>1</v>
      </c>
      <c r="L746" s="0">
        <v>3</v>
      </c>
      <c r="M746" s="0">
        <v>1</v>
      </c>
      <c r="N746" s="0">
        <v>0</v>
      </c>
      <c r="O746" s="0">
        <v>0</v>
      </c>
      <c r="P746" s="0">
        <v>0</v>
      </c>
      <c r="R746" s="0" t="b">
        <v>0</v>
      </c>
      <c r="S746" s="0" t="b">
        <v>1</v>
      </c>
      <c r="T746" s="68">
        <v>43520.6805208333</v>
      </c>
      <c r="U746" s="68">
        <v>43563.3333333333</v>
      </c>
      <c r="V746" s="68">
        <v>0</v>
      </c>
      <c r="W746" s="0">
        <f>IF(IF(B746="none",1,IF(B746="Trialer",1,0))+IF(C746="Customer",1,IF(C746="Lost",1,0))=2,1,0)</f>
      </c>
      <c r="X746" s="0" t="s">
        <v>148</v>
      </c>
      <c r="Y746" s="0" t="s">
        <v>243</v>
      </c>
      <c r="AV746" s="68"/>
      <c r="AW746" s="68"/>
      <c r="AY746" s="27"/>
      <c r="BD746" s="68">
        <v>46054.1666666667</v>
      </c>
      <c r="BE746" s="68">
        <v>46082.1666666667</v>
      </c>
      <c r="BF746" s="0" t="b">
        <v>0</v>
      </c>
      <c r="BG746" s="0" t="b">
        <v>0</v>
      </c>
      <c r="BH746" s="0">
        <v>0</v>
      </c>
      <c r="BI746" s="0">
        <v>0</v>
      </c>
      <c r="BJ746" s="0" t="s">
        <v>135</v>
      </c>
    </row>
    <row r="747">
      <c r="A747" s="0" t="s">
        <v>941</v>
      </c>
      <c r="B747" s="0" t="s">
        <v>134</v>
      </c>
      <c r="C747" s="0" t="s">
        <v>134</v>
      </c>
      <c r="D747" s="0" t="s">
        <v>230</v>
      </c>
      <c r="E747" s="0" t="s">
        <v>2</v>
      </c>
      <c r="F747" s="0" t="s">
        <v>12</v>
      </c>
      <c r="G747" s="0" t="s">
        <v>8</v>
      </c>
      <c r="H747" s="0">
        <v>2532</v>
      </c>
      <c r="I747" s="0">
        <v>132</v>
      </c>
      <c r="J747" s="0">
        <v>0</v>
      </c>
      <c r="K747" s="0">
        <v>1</v>
      </c>
      <c r="L747" s="0">
        <v>3</v>
      </c>
      <c r="M747" s="0">
        <v>3</v>
      </c>
      <c r="N747" s="0">
        <v>0</v>
      </c>
      <c r="O747" s="0">
        <v>0</v>
      </c>
      <c r="P747" s="0">
        <v>-132</v>
      </c>
      <c r="R747" s="0" t="b">
        <v>0</v>
      </c>
      <c r="S747" s="0" t="b">
        <v>1</v>
      </c>
      <c r="T747" s="68">
        <v>43521.4517939815</v>
      </c>
      <c r="U747" s="68">
        <v>43551.3333333333</v>
      </c>
      <c r="V747" s="68">
        <v>0</v>
      </c>
      <c r="W747" s="0">
        <f>IF(IF(B747="none",1,IF(B747="Trialer",1,0))+IF(C747="Customer",1,IF(C747="Lost",1,0))=2,1,0)</f>
      </c>
      <c r="X747" s="0" t="s">
        <v>153</v>
      </c>
      <c r="Y747" s="0" t="s">
        <v>499</v>
      </c>
      <c r="AV747" s="68"/>
      <c r="AW747" s="68"/>
      <c r="AY747" s="27"/>
      <c r="BD747" s="68">
        <v>46054.1666666667</v>
      </c>
      <c r="BE747" s="68">
        <v>46082.1666666667</v>
      </c>
      <c r="BF747" s="0" t="b">
        <v>0</v>
      </c>
      <c r="BG747" s="0" t="b">
        <v>0</v>
      </c>
      <c r="BH747" s="0">
        <v>147</v>
      </c>
      <c r="BI747" s="0">
        <v>147</v>
      </c>
      <c r="BJ747" s="0" t="s">
        <v>230</v>
      </c>
    </row>
    <row r="748">
      <c r="A748" s="0" t="s">
        <v>942</v>
      </c>
      <c r="B748" s="0" t="s">
        <v>134</v>
      </c>
      <c r="C748" s="0" t="s">
        <v>134</v>
      </c>
      <c r="D748" s="0" t="s">
        <v>135</v>
      </c>
      <c r="E748" s="0" t="s">
        <v>3</v>
      </c>
      <c r="F748" s="0" t="s">
        <v>12</v>
      </c>
      <c r="G748" s="0" t="s">
        <v>8</v>
      </c>
      <c r="H748" s="0">
        <v>2531</v>
      </c>
      <c r="I748" s="0">
        <v>0</v>
      </c>
      <c r="J748" s="0">
        <v>0</v>
      </c>
      <c r="K748" s="0">
        <v>1</v>
      </c>
      <c r="L748" s="0">
        <v>3</v>
      </c>
      <c r="M748" s="0">
        <v>1</v>
      </c>
      <c r="N748" s="0">
        <v>0</v>
      </c>
      <c r="O748" s="0">
        <v>0</v>
      </c>
      <c r="P748" s="0">
        <v>0</v>
      </c>
      <c r="R748" s="0" t="b">
        <v>0</v>
      </c>
      <c r="S748" s="0" t="b">
        <v>1</v>
      </c>
      <c r="T748" s="68">
        <v>43522.444525463</v>
      </c>
      <c r="U748" s="68">
        <v>43615.3333333333</v>
      </c>
      <c r="V748" s="68">
        <v>0</v>
      </c>
      <c r="W748" s="0">
        <f>IF(IF(B748="none",1,IF(B748="Trialer",1,0))+IF(C748="Customer",1,IF(C748="Lost",1,0))=2,1,0)</f>
      </c>
      <c r="X748" s="0" t="s">
        <v>136</v>
      </c>
      <c r="Y748" s="0" t="s">
        <v>243</v>
      </c>
      <c r="AV748" s="68"/>
      <c r="AW748" s="68"/>
      <c r="AY748" s="27"/>
      <c r="BD748" s="68">
        <v>46054.1666666667</v>
      </c>
      <c r="BE748" s="68">
        <v>46082.1666666667</v>
      </c>
      <c r="BF748" s="0" t="b">
        <v>0</v>
      </c>
      <c r="BG748" s="0" t="b">
        <v>0</v>
      </c>
      <c r="BH748" s="0">
        <v>0</v>
      </c>
      <c r="BI748" s="0">
        <v>0</v>
      </c>
      <c r="BJ748" s="0" t="s">
        <v>135</v>
      </c>
    </row>
    <row r="749">
      <c r="A749" s="0" t="s">
        <v>943</v>
      </c>
      <c r="B749" s="0" t="s">
        <v>134</v>
      </c>
      <c r="C749" s="0" t="s">
        <v>134</v>
      </c>
      <c r="D749" s="0" t="s">
        <v>135</v>
      </c>
      <c r="E749" s="0" t="s">
        <v>3</v>
      </c>
      <c r="F749" s="0" t="s">
        <v>12</v>
      </c>
      <c r="G749" s="0" t="s">
        <v>8</v>
      </c>
      <c r="H749" s="0">
        <v>2531</v>
      </c>
      <c r="I749" s="0">
        <v>0</v>
      </c>
      <c r="J749" s="0">
        <v>0</v>
      </c>
      <c r="K749" s="0">
        <v>1</v>
      </c>
      <c r="L749" s="0">
        <v>3</v>
      </c>
      <c r="M749" s="0">
        <v>1</v>
      </c>
      <c r="N749" s="0">
        <v>0</v>
      </c>
      <c r="O749" s="0">
        <v>0</v>
      </c>
      <c r="P749" s="0">
        <v>0</v>
      </c>
      <c r="R749" s="0" t="b">
        <v>0</v>
      </c>
      <c r="S749" s="0" t="b">
        <v>1</v>
      </c>
      <c r="T749" s="68">
        <v>43522.5374074074</v>
      </c>
      <c r="U749" s="68">
        <v>43552.3333333333</v>
      </c>
      <c r="V749" s="68">
        <v>0</v>
      </c>
      <c r="W749" s="0">
        <f>IF(IF(B749="none",1,IF(B749="Trialer",1,0))+IF(C749="Customer",1,IF(C749="Lost",1,0))=2,1,0)</f>
      </c>
      <c r="X749" s="0" t="s">
        <v>136</v>
      </c>
      <c r="Y749" s="0" t="s">
        <v>243</v>
      </c>
      <c r="AV749" s="68"/>
      <c r="AW749" s="68"/>
      <c r="AY749" s="27"/>
      <c r="BD749" s="68">
        <v>46054.1666666667</v>
      </c>
      <c r="BE749" s="68">
        <v>46082.1666666667</v>
      </c>
      <c r="BF749" s="0" t="b">
        <v>0</v>
      </c>
      <c r="BG749" s="0" t="b">
        <v>0</v>
      </c>
      <c r="BH749" s="0">
        <v>0</v>
      </c>
      <c r="BI749" s="0">
        <v>0</v>
      </c>
      <c r="BJ749" s="0" t="s">
        <v>230</v>
      </c>
    </row>
    <row r="750">
      <c r="A750" s="0" t="s">
        <v>944</v>
      </c>
      <c r="B750" s="0" t="s">
        <v>134</v>
      </c>
      <c r="C750" s="0" t="s">
        <v>134</v>
      </c>
      <c r="D750" s="0" t="s">
        <v>135</v>
      </c>
      <c r="E750" s="0" t="s">
        <v>3</v>
      </c>
      <c r="F750" s="0" t="s">
        <v>12</v>
      </c>
      <c r="G750" s="0" t="s">
        <v>8</v>
      </c>
      <c r="H750" s="0">
        <v>2531</v>
      </c>
      <c r="I750" s="0">
        <v>0</v>
      </c>
      <c r="J750" s="0">
        <v>0</v>
      </c>
      <c r="K750" s="0">
        <v>1</v>
      </c>
      <c r="L750" s="0">
        <v>3</v>
      </c>
      <c r="M750" s="0">
        <v>1</v>
      </c>
      <c r="N750" s="0">
        <v>0</v>
      </c>
      <c r="O750" s="0">
        <v>0</v>
      </c>
      <c r="P750" s="0">
        <v>0</v>
      </c>
      <c r="R750" s="0" t="b">
        <v>0</v>
      </c>
      <c r="S750" s="0" t="b">
        <v>1</v>
      </c>
      <c r="T750" s="68">
        <v>43522.9222337963</v>
      </c>
      <c r="U750" s="68">
        <v>43578.3333333333</v>
      </c>
      <c r="V750" s="68">
        <v>0</v>
      </c>
      <c r="W750" s="0">
        <f>IF(IF(B750="none",1,IF(B750="Trialer",1,0))+IF(C750="Customer",1,IF(C750="Lost",1,0))=2,1,0)</f>
      </c>
      <c r="X750" s="0" t="s">
        <v>148</v>
      </c>
      <c r="Y750" s="0" t="s">
        <v>243</v>
      </c>
      <c r="AV750" s="68"/>
      <c r="AW750" s="68"/>
      <c r="AY750" s="27"/>
      <c r="BD750" s="68">
        <v>46054.1666666667</v>
      </c>
      <c r="BE750" s="68">
        <v>46082.1666666667</v>
      </c>
      <c r="BF750" s="0" t="b">
        <v>0</v>
      </c>
      <c r="BG750" s="0" t="b">
        <v>0</v>
      </c>
      <c r="BH750" s="0">
        <v>0</v>
      </c>
      <c r="BI750" s="0">
        <v>0</v>
      </c>
      <c r="BJ750" s="0" t="s">
        <v>135</v>
      </c>
    </row>
    <row r="751">
      <c r="A751" s="0" t="s">
        <v>945</v>
      </c>
      <c r="B751" s="0" t="s">
        <v>134</v>
      </c>
      <c r="C751" s="0" t="s">
        <v>134</v>
      </c>
      <c r="D751" s="0" t="s">
        <v>135</v>
      </c>
      <c r="E751" s="0" t="s">
        <v>3</v>
      </c>
      <c r="F751" s="0" t="s">
        <v>12</v>
      </c>
      <c r="G751" s="0" t="s">
        <v>8</v>
      </c>
      <c r="H751" s="0">
        <v>2529</v>
      </c>
      <c r="I751" s="0">
        <v>0</v>
      </c>
      <c r="J751" s="0">
        <v>0</v>
      </c>
      <c r="K751" s="0">
        <v>1</v>
      </c>
      <c r="L751" s="0">
        <v>3</v>
      </c>
      <c r="M751" s="0">
        <v>1</v>
      </c>
      <c r="N751" s="0">
        <v>0</v>
      </c>
      <c r="O751" s="0">
        <v>0</v>
      </c>
      <c r="P751" s="0">
        <v>0</v>
      </c>
      <c r="R751" s="0" t="b">
        <v>0</v>
      </c>
      <c r="S751" s="0" t="b">
        <v>1</v>
      </c>
      <c r="T751" s="68">
        <v>43524.5181365741</v>
      </c>
      <c r="U751" s="68">
        <v>43564.3333333333</v>
      </c>
      <c r="V751" s="68">
        <v>0</v>
      </c>
      <c r="W751" s="0">
        <f>IF(IF(B751="none",1,IF(B751="Trialer",1,0))+IF(C751="Customer",1,IF(C751="Lost",1,0))=2,1,0)</f>
      </c>
      <c r="X751" s="0" t="s">
        <v>136</v>
      </c>
      <c r="Y751" s="0" t="s">
        <v>243</v>
      </c>
      <c r="AV751" s="68"/>
      <c r="AW751" s="68"/>
      <c r="AY751" s="27"/>
      <c r="BD751" s="68">
        <v>46054.1666666667</v>
      </c>
      <c r="BE751" s="68">
        <v>46082.1666666667</v>
      </c>
      <c r="BF751" s="0" t="b">
        <v>0</v>
      </c>
      <c r="BG751" s="0" t="b">
        <v>0</v>
      </c>
      <c r="BH751" s="0">
        <v>0</v>
      </c>
      <c r="BI751" s="0">
        <v>0</v>
      </c>
      <c r="BJ751" s="0" t="s">
        <v>135</v>
      </c>
    </row>
    <row r="752">
      <c r="A752" s="0" t="s">
        <v>946</v>
      </c>
      <c r="B752" s="0" t="s">
        <v>134</v>
      </c>
      <c r="C752" s="0" t="s">
        <v>134</v>
      </c>
      <c r="D752" s="0" t="s">
        <v>135</v>
      </c>
      <c r="E752" s="0" t="s">
        <v>2</v>
      </c>
      <c r="F752" s="0" t="s">
        <v>12</v>
      </c>
      <c r="G752" s="0" t="s">
        <v>8</v>
      </c>
      <c r="H752" s="0">
        <v>2528</v>
      </c>
      <c r="I752" s="0">
        <v>40</v>
      </c>
      <c r="J752" s="0">
        <v>0</v>
      </c>
      <c r="K752" s="0">
        <v>1</v>
      </c>
      <c r="L752" s="0">
        <v>2</v>
      </c>
      <c r="M752" s="0">
        <v>1</v>
      </c>
      <c r="N752" s="0">
        <v>0</v>
      </c>
      <c r="O752" s="0">
        <v>0</v>
      </c>
      <c r="P752" s="0">
        <v>0</v>
      </c>
      <c r="R752" s="0" t="b">
        <v>0</v>
      </c>
      <c r="S752" s="0" t="b">
        <v>1</v>
      </c>
      <c r="T752" s="68">
        <v>43525.6885300926</v>
      </c>
      <c r="U752" s="68">
        <v>43555.3333333333</v>
      </c>
      <c r="V752" s="68">
        <v>0</v>
      </c>
      <c r="W752" s="0">
        <f>IF(IF(B752="none",1,IF(B752="Trialer",1,0))+IF(C752="Customer",1,IF(C752="Lost",1,0))=2,1,0)</f>
      </c>
      <c r="X752" s="0" t="s">
        <v>166</v>
      </c>
      <c r="Y752" s="0" t="s">
        <v>499</v>
      </c>
      <c r="AV752" s="68"/>
      <c r="AW752" s="68"/>
      <c r="AY752" s="27"/>
      <c r="BD752" s="68">
        <v>46054.1666666667</v>
      </c>
      <c r="BE752" s="68">
        <v>46082.1666666667</v>
      </c>
      <c r="BF752" s="0" t="b">
        <v>0</v>
      </c>
      <c r="BG752" s="0" t="b">
        <v>0</v>
      </c>
      <c r="BH752" s="0">
        <v>40</v>
      </c>
      <c r="BI752" s="0">
        <v>40</v>
      </c>
      <c r="BJ752" s="0" t="s">
        <v>135</v>
      </c>
    </row>
    <row r="753">
      <c r="A753" s="0" t="s">
        <v>947</v>
      </c>
      <c r="B753" s="0" t="s">
        <v>134</v>
      </c>
      <c r="C753" s="0" t="s">
        <v>134</v>
      </c>
      <c r="D753" s="0" t="s">
        <v>135</v>
      </c>
      <c r="E753" s="0" t="s">
        <v>2</v>
      </c>
      <c r="F753" s="0" t="s">
        <v>12</v>
      </c>
      <c r="G753" s="0" t="s">
        <v>8</v>
      </c>
      <c r="H753" s="0">
        <v>2528</v>
      </c>
      <c r="I753" s="0">
        <v>1828</v>
      </c>
      <c r="J753" s="0">
        <v>0</v>
      </c>
      <c r="K753" s="0">
        <v>1</v>
      </c>
      <c r="L753" s="0">
        <v>4</v>
      </c>
      <c r="M753" s="0">
        <v>30</v>
      </c>
      <c r="N753" s="0">
        <v>279</v>
      </c>
      <c r="O753" s="0">
        <v>0</v>
      </c>
      <c r="P753" s="0">
        <v>0</v>
      </c>
      <c r="R753" s="0" t="b">
        <v>0</v>
      </c>
      <c r="S753" s="0" t="b">
        <v>1</v>
      </c>
      <c r="T753" s="68">
        <v>43525.7236111111</v>
      </c>
      <c r="U753" s="68">
        <v>43572.3333333333</v>
      </c>
      <c r="V753" s="68">
        <v>0</v>
      </c>
      <c r="W753" s="0">
        <f>IF(IF(B753="none",1,IF(B753="Trialer",1,0))+IF(C753="Customer",1,IF(C753="Lost",1,0))=2,1,0)</f>
      </c>
      <c r="X753" s="0" t="s">
        <v>148</v>
      </c>
      <c r="Y753" s="0" t="s">
        <v>499</v>
      </c>
      <c r="AV753" s="68"/>
      <c r="AW753" s="68"/>
      <c r="AY753" s="27"/>
      <c r="BD753" s="68">
        <v>46054.1666666667</v>
      </c>
      <c r="BE753" s="68">
        <v>46082.1666666667</v>
      </c>
      <c r="BF753" s="0" t="b">
        <v>0</v>
      </c>
      <c r="BG753" s="0" t="b">
        <v>0</v>
      </c>
      <c r="BH753" s="0">
        <v>1503</v>
      </c>
      <c r="BI753" s="0">
        <v>1503</v>
      </c>
      <c r="BJ753" s="0" t="s">
        <v>135</v>
      </c>
    </row>
    <row r="754">
      <c r="A754" s="0" t="s">
        <v>948</v>
      </c>
      <c r="B754" s="0" t="s">
        <v>134</v>
      </c>
      <c r="C754" s="0" t="s">
        <v>134</v>
      </c>
      <c r="D754" s="0" t="s">
        <v>230</v>
      </c>
      <c r="E754" s="0" t="s">
        <v>3</v>
      </c>
      <c r="F754" s="0" t="s">
        <v>12</v>
      </c>
      <c r="G754" s="0" t="s">
        <v>8</v>
      </c>
      <c r="H754" s="0">
        <v>2527</v>
      </c>
      <c r="I754" s="0">
        <v>25</v>
      </c>
      <c r="J754" s="0">
        <v>0</v>
      </c>
      <c r="K754" s="0">
        <v>1</v>
      </c>
      <c r="L754" s="0">
        <v>1</v>
      </c>
      <c r="M754" s="0">
        <v>1</v>
      </c>
      <c r="N754" s="0">
        <v>0</v>
      </c>
      <c r="O754" s="0">
        <v>0</v>
      </c>
      <c r="P754" s="0">
        <v>-25</v>
      </c>
      <c r="R754" s="0" t="b">
        <v>0</v>
      </c>
      <c r="S754" s="0" t="b">
        <v>1</v>
      </c>
      <c r="T754" s="68">
        <v>43526.6655555556</v>
      </c>
      <c r="U754" s="68">
        <v>43556.3333333333</v>
      </c>
      <c r="V754" s="68">
        <v>0</v>
      </c>
      <c r="W754" s="0">
        <f>IF(IF(B754="none",1,IF(B754="Trialer",1,0))+IF(C754="Customer",1,IF(C754="Lost",1,0))=2,1,0)</f>
      </c>
      <c r="X754" s="0" t="s">
        <v>142</v>
      </c>
      <c r="Y754" s="0" t="s">
        <v>487</v>
      </c>
      <c r="AV754" s="68"/>
      <c r="AW754" s="68"/>
      <c r="AY754" s="27"/>
      <c r="BD754" s="68">
        <v>46054.1666666667</v>
      </c>
      <c r="BE754" s="68">
        <v>46082.1666666667</v>
      </c>
      <c r="BF754" s="0" t="b">
        <v>0</v>
      </c>
      <c r="BG754" s="0" t="b">
        <v>0</v>
      </c>
      <c r="BH754" s="0">
        <v>28</v>
      </c>
      <c r="BI754" s="0">
        <v>28</v>
      </c>
      <c r="BJ754" s="0" t="s">
        <v>230</v>
      </c>
    </row>
    <row r="755">
      <c r="A755" s="0" t="s">
        <v>949</v>
      </c>
      <c r="B755" s="0" t="s">
        <v>134</v>
      </c>
      <c r="C755" s="0" t="s">
        <v>134</v>
      </c>
      <c r="D755" s="0" t="s">
        <v>135</v>
      </c>
      <c r="E755" s="0" t="s">
        <v>3</v>
      </c>
      <c r="F755" s="0" t="s">
        <v>12</v>
      </c>
      <c r="G755" s="0" t="s">
        <v>8</v>
      </c>
      <c r="H755" s="0">
        <v>2525</v>
      </c>
      <c r="I755" s="0">
        <v>52</v>
      </c>
      <c r="J755" s="0">
        <v>0</v>
      </c>
      <c r="K755" s="0">
        <v>1</v>
      </c>
      <c r="L755" s="0">
        <v>3</v>
      </c>
      <c r="M755" s="0">
        <v>1</v>
      </c>
      <c r="N755" s="0">
        <v>0</v>
      </c>
      <c r="O755" s="0">
        <v>0</v>
      </c>
      <c r="P755" s="0">
        <v>0</v>
      </c>
      <c r="R755" s="0" t="b">
        <v>0</v>
      </c>
      <c r="S755" s="0" t="b">
        <v>1</v>
      </c>
      <c r="T755" s="68">
        <v>43528.3955439815</v>
      </c>
      <c r="U755" s="68">
        <v>43558.3333333333</v>
      </c>
      <c r="V755" s="68">
        <v>0</v>
      </c>
      <c r="W755" s="0">
        <f>IF(IF(B755="none",1,IF(B755="Trialer",1,0))+IF(C755="Customer",1,IF(C755="Lost",1,0))=2,1,0)</f>
      </c>
      <c r="X755" s="0" t="s">
        <v>142</v>
      </c>
      <c r="Y755" s="0" t="s">
        <v>243</v>
      </c>
      <c r="AV755" s="68"/>
      <c r="AW755" s="68"/>
      <c r="AY755" s="27"/>
      <c r="BD755" s="68">
        <v>46054.1666666667</v>
      </c>
      <c r="BE755" s="68">
        <v>46082.1666666667</v>
      </c>
      <c r="BF755" s="0" t="b">
        <v>0</v>
      </c>
      <c r="BG755" s="0" t="b">
        <v>0</v>
      </c>
      <c r="BH755" s="0">
        <v>52</v>
      </c>
      <c r="BI755" s="0">
        <v>52</v>
      </c>
      <c r="BJ755" s="0" t="s">
        <v>135</v>
      </c>
    </row>
    <row r="756">
      <c r="A756" s="0" t="s">
        <v>950</v>
      </c>
      <c r="B756" s="0" t="s">
        <v>134</v>
      </c>
      <c r="C756" s="0" t="s">
        <v>134</v>
      </c>
      <c r="D756" s="0" t="s">
        <v>135</v>
      </c>
      <c r="E756" s="0" t="s">
        <v>2</v>
      </c>
      <c r="F756" s="0" t="s">
        <v>12</v>
      </c>
      <c r="G756" s="0" t="s">
        <v>8</v>
      </c>
      <c r="H756" s="0">
        <v>2525</v>
      </c>
      <c r="I756" s="0">
        <v>734</v>
      </c>
      <c r="J756" s="0">
        <v>0</v>
      </c>
      <c r="K756" s="0">
        <v>1</v>
      </c>
      <c r="L756" s="0">
        <v>4</v>
      </c>
      <c r="M756" s="0">
        <v>14</v>
      </c>
      <c r="N756" s="0">
        <v>413.25</v>
      </c>
      <c r="O756" s="0">
        <v>0</v>
      </c>
      <c r="P756" s="0">
        <v>0</v>
      </c>
      <c r="R756" s="0" t="b">
        <v>0</v>
      </c>
      <c r="S756" s="0" t="b">
        <v>1</v>
      </c>
      <c r="T756" s="68">
        <v>43528.5504166667</v>
      </c>
      <c r="U756" s="68">
        <v>43558.3333333333</v>
      </c>
      <c r="V756" s="68">
        <v>0</v>
      </c>
      <c r="W756" s="0">
        <f>IF(IF(B756="none",1,IF(B756="Trialer",1,0))+IF(C756="Customer",1,IF(C756="Lost",1,0))=2,1,0)</f>
      </c>
      <c r="X756" s="0" t="s">
        <v>145</v>
      </c>
      <c r="Y756" s="0" t="s">
        <v>499</v>
      </c>
      <c r="AV756" s="68"/>
      <c r="AW756" s="68"/>
      <c r="AY756" s="27"/>
      <c r="BD756" s="68">
        <v>46054.1666666667</v>
      </c>
      <c r="BE756" s="68">
        <v>46082.1666666667</v>
      </c>
      <c r="BF756" s="0" t="b">
        <v>0</v>
      </c>
      <c r="BG756" s="0" t="b">
        <v>0</v>
      </c>
      <c r="BH756" s="0">
        <v>734</v>
      </c>
      <c r="BI756" s="0">
        <v>734</v>
      </c>
      <c r="BJ756" s="0" t="s">
        <v>135</v>
      </c>
    </row>
    <row r="757">
      <c r="A757" s="0" t="s">
        <v>951</v>
      </c>
      <c r="B757" s="0" t="s">
        <v>134</v>
      </c>
      <c r="C757" s="0" t="s">
        <v>134</v>
      </c>
      <c r="D757" s="0" t="s">
        <v>135</v>
      </c>
      <c r="E757" s="0" t="s">
        <v>2</v>
      </c>
      <c r="F757" s="0" t="s">
        <v>12</v>
      </c>
      <c r="G757" s="0" t="s">
        <v>8</v>
      </c>
      <c r="H757" s="0">
        <v>2524</v>
      </c>
      <c r="I757" s="0">
        <v>108</v>
      </c>
      <c r="J757" s="0">
        <v>0</v>
      </c>
      <c r="K757" s="0">
        <v>1</v>
      </c>
      <c r="L757" s="0">
        <v>2</v>
      </c>
      <c r="M757" s="0">
        <v>3</v>
      </c>
      <c r="N757" s="0">
        <v>0</v>
      </c>
      <c r="O757" s="0">
        <v>0</v>
      </c>
      <c r="P757" s="0">
        <v>0</v>
      </c>
      <c r="R757" s="0" t="b">
        <v>0</v>
      </c>
      <c r="S757" s="0" t="b">
        <v>1</v>
      </c>
      <c r="T757" s="68">
        <v>43529.9235648148</v>
      </c>
      <c r="U757" s="68">
        <v>43607.3333333333</v>
      </c>
      <c r="V757" s="68">
        <v>0</v>
      </c>
      <c r="W757" s="0">
        <f>IF(IF(B757="none",1,IF(B757="Trialer",1,0))+IF(C757="Customer",1,IF(C757="Lost",1,0))=2,1,0)</f>
      </c>
      <c r="X757" s="0" t="s">
        <v>142</v>
      </c>
      <c r="Y757" s="0" t="s">
        <v>499</v>
      </c>
      <c r="AV757" s="68"/>
      <c r="AW757" s="68"/>
      <c r="AY757" s="27"/>
      <c r="BD757" s="68">
        <v>46054.1666666667</v>
      </c>
      <c r="BE757" s="68">
        <v>46082.1666666667</v>
      </c>
      <c r="BF757" s="0" t="b">
        <v>0</v>
      </c>
      <c r="BG757" s="0" t="b">
        <v>0</v>
      </c>
      <c r="BH757" s="0">
        <v>108</v>
      </c>
      <c r="BI757" s="0">
        <v>108</v>
      </c>
      <c r="BJ757" s="0" t="s">
        <v>135</v>
      </c>
    </row>
    <row r="758">
      <c r="A758" s="0" t="s">
        <v>952</v>
      </c>
      <c r="B758" s="0" t="s">
        <v>134</v>
      </c>
      <c r="C758" s="0" t="s">
        <v>134</v>
      </c>
      <c r="D758" s="0" t="s">
        <v>135</v>
      </c>
      <c r="E758" s="0" t="s">
        <v>3</v>
      </c>
      <c r="F758" s="0" t="s">
        <v>10</v>
      </c>
      <c r="G758" s="0" t="s">
        <v>8</v>
      </c>
      <c r="H758" s="0">
        <v>2523</v>
      </c>
      <c r="I758" s="0">
        <v>56</v>
      </c>
      <c r="J758" s="0">
        <v>0</v>
      </c>
      <c r="K758" s="0">
        <v>1</v>
      </c>
      <c r="L758" s="0">
        <v>1</v>
      </c>
      <c r="M758" s="0">
        <v>2</v>
      </c>
      <c r="N758" s="0">
        <v>0</v>
      </c>
      <c r="O758" s="0">
        <v>0</v>
      </c>
      <c r="P758" s="0">
        <v>0</v>
      </c>
      <c r="Q758" s="0" t="s">
        <v>618</v>
      </c>
      <c r="R758" s="0" t="b">
        <v>0</v>
      </c>
      <c r="S758" s="0" t="b">
        <v>1</v>
      </c>
      <c r="T758" s="68">
        <v>43530.6611111111</v>
      </c>
      <c r="U758" s="68">
        <v>43560.5</v>
      </c>
      <c r="V758" s="68">
        <v>0</v>
      </c>
      <c r="W758" s="0">
        <f>IF(IF(B758="none",1,IF(B758="Trialer",1,0))+IF(C758="Customer",1,IF(C758="Lost",1,0))=2,1,0)</f>
      </c>
      <c r="X758" s="0" t="s">
        <v>148</v>
      </c>
      <c r="Y758" s="0" t="s">
        <v>243</v>
      </c>
      <c r="AV758" s="68"/>
      <c r="AW758" s="68"/>
      <c r="AY758" s="27"/>
      <c r="BD758" s="68">
        <v>46054.1666666667</v>
      </c>
      <c r="BE758" s="68">
        <v>46082.1666666667</v>
      </c>
      <c r="BF758" s="0" t="b">
        <v>0</v>
      </c>
      <c r="BG758" s="0" t="b">
        <v>0</v>
      </c>
      <c r="BH758" s="0">
        <v>56</v>
      </c>
      <c r="BI758" s="0">
        <v>56</v>
      </c>
      <c r="BJ758" s="0" t="s">
        <v>135</v>
      </c>
    </row>
    <row r="759">
      <c r="A759" s="0" t="s">
        <v>953</v>
      </c>
      <c r="B759" s="0" t="s">
        <v>134</v>
      </c>
      <c r="C759" s="0" t="s">
        <v>134</v>
      </c>
      <c r="D759" s="0" t="s">
        <v>135</v>
      </c>
      <c r="E759" s="0" t="s">
        <v>3</v>
      </c>
      <c r="F759" s="0" t="s">
        <v>12</v>
      </c>
      <c r="G759" s="0" t="s">
        <v>8</v>
      </c>
      <c r="H759" s="0">
        <v>2523</v>
      </c>
      <c r="I759" s="0">
        <v>0</v>
      </c>
      <c r="J759" s="0">
        <v>0</v>
      </c>
      <c r="K759" s="0">
        <v>1</v>
      </c>
      <c r="L759" s="0">
        <v>3</v>
      </c>
      <c r="M759" s="0">
        <v>1</v>
      </c>
      <c r="N759" s="0">
        <v>0</v>
      </c>
      <c r="O759" s="0">
        <v>0</v>
      </c>
      <c r="P759" s="0">
        <v>0</v>
      </c>
      <c r="R759" s="0" t="b">
        <v>0</v>
      </c>
      <c r="S759" s="0" t="b">
        <v>1</v>
      </c>
      <c r="T759" s="68">
        <v>43530.7138888889</v>
      </c>
      <c r="U759" s="68">
        <v>43628.5</v>
      </c>
      <c r="V759" s="68">
        <v>0</v>
      </c>
      <c r="W759" s="0">
        <f>IF(IF(B759="none",1,IF(B759="Trialer",1,0))+IF(C759="Customer",1,IF(C759="Lost",1,0))=2,1,0)</f>
      </c>
      <c r="X759" s="0" t="s">
        <v>148</v>
      </c>
      <c r="Y759" s="0" t="s">
        <v>243</v>
      </c>
      <c r="AV759" s="68"/>
      <c r="AW759" s="68"/>
      <c r="AY759" s="27"/>
      <c r="BD759" s="68">
        <v>46054.1666666667</v>
      </c>
      <c r="BE759" s="68">
        <v>46082.1666666667</v>
      </c>
      <c r="BF759" s="0" t="b">
        <v>0</v>
      </c>
      <c r="BG759" s="0" t="b">
        <v>0</v>
      </c>
      <c r="BH759" s="0">
        <v>0</v>
      </c>
      <c r="BI759" s="0">
        <v>0</v>
      </c>
      <c r="BJ759" s="0" t="s">
        <v>135</v>
      </c>
    </row>
    <row r="760">
      <c r="A760" s="0" t="s">
        <v>954</v>
      </c>
      <c r="B760" s="0" t="s">
        <v>134</v>
      </c>
      <c r="C760" s="0" t="s">
        <v>134</v>
      </c>
      <c r="D760" s="0" t="s">
        <v>135</v>
      </c>
      <c r="E760" s="0" t="s">
        <v>3</v>
      </c>
      <c r="F760" s="0" t="s">
        <v>12</v>
      </c>
      <c r="G760" s="0" t="s">
        <v>8</v>
      </c>
      <c r="H760" s="0">
        <v>2522</v>
      </c>
      <c r="I760" s="0">
        <v>49</v>
      </c>
      <c r="J760" s="0">
        <v>0</v>
      </c>
      <c r="K760" s="0">
        <v>1</v>
      </c>
      <c r="L760" s="0">
        <v>3</v>
      </c>
      <c r="M760" s="0">
        <v>1</v>
      </c>
      <c r="N760" s="0">
        <v>77.5</v>
      </c>
      <c r="O760" s="0">
        <v>0</v>
      </c>
      <c r="P760" s="0">
        <v>0</v>
      </c>
      <c r="R760" s="0" t="b">
        <v>0</v>
      </c>
      <c r="S760" s="0" t="b">
        <v>1</v>
      </c>
      <c r="T760" s="68">
        <v>43531.5477546296</v>
      </c>
      <c r="U760" s="68">
        <v>43561.3333333333</v>
      </c>
      <c r="V760" s="68">
        <v>0</v>
      </c>
      <c r="W760" s="0">
        <f>IF(IF(B760="none",1,IF(B760="Trialer",1,0))+IF(C760="Customer",1,IF(C760="Lost",1,0))=2,1,0)</f>
      </c>
      <c r="X760" s="0" t="s">
        <v>142</v>
      </c>
      <c r="Y760" s="0" t="s">
        <v>243</v>
      </c>
      <c r="AV760" s="68"/>
      <c r="AW760" s="68"/>
      <c r="AY760" s="27"/>
      <c r="BD760" s="68">
        <v>46054.1666666667</v>
      </c>
      <c r="BE760" s="68">
        <v>46082.1666666667</v>
      </c>
      <c r="BF760" s="0" t="b">
        <v>0</v>
      </c>
      <c r="BG760" s="0" t="b">
        <v>0</v>
      </c>
      <c r="BH760" s="0">
        <v>49</v>
      </c>
      <c r="BI760" s="0">
        <v>49</v>
      </c>
      <c r="BJ760" s="0" t="s">
        <v>135</v>
      </c>
    </row>
    <row r="761">
      <c r="A761" s="0" t="s">
        <v>955</v>
      </c>
      <c r="B761" s="0" t="s">
        <v>134</v>
      </c>
      <c r="C761" s="0" t="s">
        <v>134</v>
      </c>
      <c r="D761" s="0" t="s">
        <v>135</v>
      </c>
      <c r="E761" s="0" t="s">
        <v>3</v>
      </c>
      <c r="F761" s="0" t="s">
        <v>12</v>
      </c>
      <c r="G761" s="0" t="s">
        <v>8</v>
      </c>
      <c r="H761" s="0">
        <v>2518</v>
      </c>
      <c r="I761" s="0">
        <v>0</v>
      </c>
      <c r="J761" s="0">
        <v>0</v>
      </c>
      <c r="K761" s="0">
        <v>1</v>
      </c>
      <c r="L761" s="0">
        <v>3</v>
      </c>
      <c r="M761" s="0">
        <v>2</v>
      </c>
      <c r="N761" s="0">
        <v>0</v>
      </c>
      <c r="O761" s="0">
        <v>0</v>
      </c>
      <c r="P761" s="0">
        <v>0</v>
      </c>
      <c r="R761" s="0" t="b">
        <v>0</v>
      </c>
      <c r="S761" s="0" t="b">
        <v>1</v>
      </c>
      <c r="T761" s="68">
        <v>43535.3940162037</v>
      </c>
      <c r="U761" s="68">
        <v>43565.3333333333</v>
      </c>
      <c r="V761" s="68">
        <v>0</v>
      </c>
      <c r="W761" s="0">
        <f>IF(IF(B761="none",1,IF(B761="Trialer",1,0))+IF(C761="Customer",1,IF(C761="Lost",1,0))=2,1,0)</f>
      </c>
      <c r="X761" s="0" t="s">
        <v>148</v>
      </c>
      <c r="Y761" s="0" t="s">
        <v>243</v>
      </c>
      <c r="AV761" s="68"/>
      <c r="AW761" s="68"/>
      <c r="AY761" s="27"/>
      <c r="BD761" s="68">
        <v>46054.1666666667</v>
      </c>
      <c r="BE761" s="68">
        <v>46082.1666666667</v>
      </c>
      <c r="BF761" s="0" t="b">
        <v>0</v>
      </c>
      <c r="BG761" s="0" t="b">
        <v>0</v>
      </c>
      <c r="BH761" s="0">
        <v>0</v>
      </c>
      <c r="BI761" s="0">
        <v>0</v>
      </c>
      <c r="BJ761" s="0" t="s">
        <v>135</v>
      </c>
    </row>
    <row r="762">
      <c r="A762" s="0" t="s">
        <v>956</v>
      </c>
      <c r="B762" s="0" t="s">
        <v>134</v>
      </c>
      <c r="C762" s="0" t="s">
        <v>134</v>
      </c>
      <c r="D762" s="0" t="s">
        <v>135</v>
      </c>
      <c r="E762" s="0" t="s">
        <v>2</v>
      </c>
      <c r="F762" s="0" t="s">
        <v>12</v>
      </c>
      <c r="G762" s="0" t="s">
        <v>8</v>
      </c>
      <c r="H762" s="0">
        <v>2518</v>
      </c>
      <c r="I762" s="0">
        <v>112</v>
      </c>
      <c r="J762" s="0">
        <v>0</v>
      </c>
      <c r="K762" s="0">
        <v>1</v>
      </c>
      <c r="L762" s="0">
        <v>1</v>
      </c>
      <c r="M762" s="0">
        <v>4</v>
      </c>
      <c r="N762" s="0">
        <v>0</v>
      </c>
      <c r="O762" s="0">
        <v>0</v>
      </c>
      <c r="P762" s="0">
        <v>0</v>
      </c>
      <c r="R762" s="0" t="b">
        <v>0</v>
      </c>
      <c r="S762" s="0" t="b">
        <v>1</v>
      </c>
      <c r="T762" s="68">
        <v>43535.7074884259</v>
      </c>
      <c r="U762" s="68">
        <v>43585.3333333333</v>
      </c>
      <c r="V762" s="68">
        <v>0</v>
      </c>
      <c r="W762" s="0">
        <f>IF(IF(B762="none",1,IF(B762="Trialer",1,0))+IF(C762="Customer",1,IF(C762="Lost",1,0))=2,1,0)</f>
      </c>
      <c r="X762" s="0" t="s">
        <v>136</v>
      </c>
      <c r="Y762" s="0" t="s">
        <v>499</v>
      </c>
      <c r="AV762" s="68"/>
      <c r="AW762" s="68"/>
      <c r="AY762" s="27"/>
      <c r="BD762" s="68">
        <v>46054.1666666667</v>
      </c>
      <c r="BE762" s="68">
        <v>46082.1666666667</v>
      </c>
      <c r="BF762" s="0" t="b">
        <v>0</v>
      </c>
      <c r="BG762" s="0" t="b">
        <v>0</v>
      </c>
      <c r="BH762" s="0">
        <v>112</v>
      </c>
      <c r="BI762" s="0">
        <v>112</v>
      </c>
      <c r="BJ762" s="0" t="s">
        <v>135</v>
      </c>
    </row>
    <row r="763">
      <c r="A763" s="0" t="s">
        <v>957</v>
      </c>
      <c r="B763" s="0" t="s">
        <v>134</v>
      </c>
      <c r="C763" s="0" t="s">
        <v>134</v>
      </c>
      <c r="D763" s="0" t="s">
        <v>135</v>
      </c>
      <c r="E763" s="0" t="s">
        <v>2</v>
      </c>
      <c r="F763" s="0" t="s">
        <v>12</v>
      </c>
      <c r="G763" s="0" t="s">
        <v>7</v>
      </c>
      <c r="H763" s="0">
        <v>2516</v>
      </c>
      <c r="I763" s="0">
        <v>40</v>
      </c>
      <c r="J763" s="0">
        <v>0</v>
      </c>
      <c r="K763" s="0">
        <v>1</v>
      </c>
      <c r="L763" s="0">
        <v>1</v>
      </c>
      <c r="M763" s="0">
        <v>1</v>
      </c>
      <c r="N763" s="0">
        <v>0</v>
      </c>
      <c r="O763" s="0">
        <v>0</v>
      </c>
      <c r="P763" s="0">
        <v>0</v>
      </c>
      <c r="R763" s="0" t="b">
        <v>0</v>
      </c>
      <c r="S763" s="0" t="b">
        <v>1</v>
      </c>
      <c r="T763" s="68">
        <v>43537.562037037</v>
      </c>
      <c r="U763" s="68">
        <v>43537.3333333333</v>
      </c>
      <c r="V763" s="68">
        <v>0</v>
      </c>
      <c r="W763" s="0">
        <f>IF(IF(B763="none",1,IF(B763="Trialer",1,0))+IF(C763="Customer",1,IF(C763="Lost",1,0))=2,1,0)</f>
      </c>
      <c r="X763" s="0" t="s">
        <v>148</v>
      </c>
      <c r="Y763" s="0" t="s">
        <v>499</v>
      </c>
      <c r="AV763" s="68"/>
      <c r="AW763" s="68"/>
      <c r="AY763" s="27"/>
      <c r="BD763" s="68">
        <v>46054.1666666667</v>
      </c>
      <c r="BE763" s="68">
        <v>46082.1666666667</v>
      </c>
      <c r="BF763" s="0" t="b">
        <v>0</v>
      </c>
      <c r="BG763" s="0" t="b">
        <v>0</v>
      </c>
      <c r="BH763" s="0">
        <v>40</v>
      </c>
      <c r="BI763" s="0">
        <v>40</v>
      </c>
      <c r="BJ763" s="0" t="s">
        <v>135</v>
      </c>
    </row>
    <row r="764">
      <c r="A764" s="0" t="s">
        <v>958</v>
      </c>
      <c r="B764" s="0" t="s">
        <v>134</v>
      </c>
      <c r="C764" s="0" t="s">
        <v>134</v>
      </c>
      <c r="D764" s="0" t="s">
        <v>135</v>
      </c>
      <c r="E764" s="0" t="s">
        <v>2</v>
      </c>
      <c r="F764" s="0" t="s">
        <v>12</v>
      </c>
      <c r="G764" s="0" t="s">
        <v>8</v>
      </c>
      <c r="H764" s="0">
        <v>2516</v>
      </c>
      <c r="I764" s="0">
        <v>0</v>
      </c>
      <c r="J764" s="0">
        <v>0</v>
      </c>
      <c r="K764" s="0">
        <v>1</v>
      </c>
      <c r="L764" s="0">
        <v>3</v>
      </c>
      <c r="M764" s="0">
        <v>1</v>
      </c>
      <c r="N764" s="0">
        <v>0</v>
      </c>
      <c r="O764" s="0">
        <v>0</v>
      </c>
      <c r="P764" s="0">
        <v>0</v>
      </c>
      <c r="R764" s="0" t="b">
        <v>0</v>
      </c>
      <c r="S764" s="0" t="b">
        <v>1</v>
      </c>
      <c r="T764" s="68">
        <v>43537.7300925926</v>
      </c>
      <c r="U764" s="68">
        <v>43571.3333333333</v>
      </c>
      <c r="V764" s="68">
        <v>0</v>
      </c>
      <c r="W764" s="0">
        <f>IF(IF(B764="none",1,IF(B764="Trialer",1,0))+IF(C764="Customer",1,IF(C764="Lost",1,0))=2,1,0)</f>
      </c>
      <c r="X764" s="0" t="s">
        <v>136</v>
      </c>
      <c r="Y764" s="0" t="s">
        <v>499</v>
      </c>
      <c r="AV764" s="68"/>
      <c r="AW764" s="68"/>
      <c r="AY764" s="27"/>
      <c r="BD764" s="68">
        <v>46054.1666666667</v>
      </c>
      <c r="BE764" s="68">
        <v>46082.1666666667</v>
      </c>
      <c r="BF764" s="0" t="b">
        <v>0</v>
      </c>
      <c r="BG764" s="0" t="b">
        <v>0</v>
      </c>
      <c r="BH764" s="0">
        <v>0</v>
      </c>
      <c r="BI764" s="0">
        <v>0</v>
      </c>
      <c r="BJ764" s="0" t="s">
        <v>135</v>
      </c>
    </row>
    <row r="765">
      <c r="A765" s="0" t="s">
        <v>959</v>
      </c>
      <c r="B765" s="0" t="s">
        <v>134</v>
      </c>
      <c r="C765" s="0" t="s">
        <v>134</v>
      </c>
      <c r="D765" s="0" t="s">
        <v>135</v>
      </c>
      <c r="E765" s="0" t="s">
        <v>2</v>
      </c>
      <c r="F765" s="0" t="s">
        <v>12</v>
      </c>
      <c r="G765" s="0" t="s">
        <v>8</v>
      </c>
      <c r="H765" s="0">
        <v>2513</v>
      </c>
      <c r="I765" s="0">
        <v>49</v>
      </c>
      <c r="J765" s="0">
        <v>0</v>
      </c>
      <c r="K765" s="0">
        <v>1</v>
      </c>
      <c r="L765" s="0">
        <v>3</v>
      </c>
      <c r="M765" s="0">
        <v>1</v>
      </c>
      <c r="N765" s="0">
        <v>0</v>
      </c>
      <c r="O765" s="0">
        <v>0</v>
      </c>
      <c r="P765" s="0">
        <v>0</v>
      </c>
      <c r="R765" s="0" t="b">
        <v>0</v>
      </c>
      <c r="S765" s="0" t="b">
        <v>1</v>
      </c>
      <c r="T765" s="68">
        <v>43540.5741319444</v>
      </c>
      <c r="U765" s="68">
        <v>43584.3333333333</v>
      </c>
      <c r="V765" s="68">
        <v>0</v>
      </c>
      <c r="W765" s="0">
        <f>IF(IF(B765="none",1,IF(B765="Trialer",1,0))+IF(C765="Customer",1,IF(C765="Lost",1,0))=2,1,0)</f>
      </c>
      <c r="X765" s="0" t="s">
        <v>166</v>
      </c>
      <c r="Y765" s="0" t="s">
        <v>499</v>
      </c>
      <c r="AV765" s="68"/>
      <c r="AW765" s="68"/>
      <c r="AY765" s="27"/>
      <c r="BD765" s="68">
        <v>46054.1666666667</v>
      </c>
      <c r="BE765" s="68">
        <v>46082.1666666667</v>
      </c>
      <c r="BF765" s="0" t="b">
        <v>0</v>
      </c>
      <c r="BG765" s="0" t="b">
        <v>0</v>
      </c>
      <c r="BH765" s="0">
        <v>49</v>
      </c>
      <c r="BI765" s="0">
        <v>49</v>
      </c>
      <c r="BJ765" s="0" t="s">
        <v>135</v>
      </c>
    </row>
    <row r="766">
      <c r="A766" s="0" t="s">
        <v>960</v>
      </c>
      <c r="B766" s="0" t="s">
        <v>134</v>
      </c>
      <c r="C766" s="0" t="s">
        <v>134</v>
      </c>
      <c r="D766" s="0" t="s">
        <v>135</v>
      </c>
      <c r="E766" s="0" t="s">
        <v>3</v>
      </c>
      <c r="F766" s="0" t="s">
        <v>12</v>
      </c>
      <c r="G766" s="0" t="s">
        <v>8</v>
      </c>
      <c r="H766" s="0">
        <v>2513</v>
      </c>
      <c r="I766" s="0">
        <v>0</v>
      </c>
      <c r="J766" s="0">
        <v>0</v>
      </c>
      <c r="K766" s="0">
        <v>1</v>
      </c>
      <c r="L766" s="0">
        <v>6</v>
      </c>
      <c r="M766" s="0">
        <v>1</v>
      </c>
      <c r="N766" s="0">
        <v>0</v>
      </c>
      <c r="O766" s="0">
        <v>0</v>
      </c>
      <c r="P766" s="0">
        <v>0</v>
      </c>
      <c r="R766" s="0" t="b">
        <v>0</v>
      </c>
      <c r="S766" s="0" t="b">
        <v>1</v>
      </c>
      <c r="T766" s="68">
        <v>43540.9803703704</v>
      </c>
      <c r="U766" s="68">
        <v>43570.3333333333</v>
      </c>
      <c r="V766" s="68">
        <v>0</v>
      </c>
      <c r="W766" s="0">
        <f>IF(IF(B766="none",1,IF(B766="Trialer",1,0))+IF(C766="Customer",1,IF(C766="Lost",1,0))=2,1,0)</f>
      </c>
      <c r="X766" s="0" t="s">
        <v>136</v>
      </c>
      <c r="Y766" s="0" t="s">
        <v>243</v>
      </c>
      <c r="AV766" s="68"/>
      <c r="AW766" s="68"/>
      <c r="AY766" s="27"/>
      <c r="BD766" s="68">
        <v>46054.1666666667</v>
      </c>
      <c r="BE766" s="68">
        <v>46082.1666666667</v>
      </c>
      <c r="BF766" s="0" t="b">
        <v>0</v>
      </c>
      <c r="BG766" s="0" t="b">
        <v>0</v>
      </c>
      <c r="BH766" s="0">
        <v>0</v>
      </c>
      <c r="BI766" s="0">
        <v>0</v>
      </c>
      <c r="BJ766" s="0" t="s">
        <v>135</v>
      </c>
    </row>
    <row r="767">
      <c r="A767" s="0" t="s">
        <v>961</v>
      </c>
      <c r="B767" s="0" t="s">
        <v>134</v>
      </c>
      <c r="C767" s="0" t="s">
        <v>134</v>
      </c>
      <c r="D767" s="0" t="s">
        <v>135</v>
      </c>
      <c r="E767" s="0" t="s">
        <v>2</v>
      </c>
      <c r="F767" s="0" t="s">
        <v>10</v>
      </c>
      <c r="G767" s="0" t="s">
        <v>8</v>
      </c>
      <c r="H767" s="0">
        <v>2511</v>
      </c>
      <c r="I767" s="0">
        <v>467</v>
      </c>
      <c r="J767" s="0">
        <v>0</v>
      </c>
      <c r="K767" s="0">
        <v>1</v>
      </c>
      <c r="L767" s="0">
        <v>4</v>
      </c>
      <c r="M767" s="0">
        <v>8</v>
      </c>
      <c r="N767" s="0">
        <v>0</v>
      </c>
      <c r="O767" s="0">
        <v>0</v>
      </c>
      <c r="P767" s="0">
        <v>0</v>
      </c>
      <c r="Q767" s="0" t="s">
        <v>962</v>
      </c>
      <c r="R767" s="0" t="b">
        <v>0</v>
      </c>
      <c r="S767" s="0" t="b">
        <v>1</v>
      </c>
      <c r="T767" s="68">
        <v>43542.3270833333</v>
      </c>
      <c r="U767" s="68">
        <v>43583.3333333333</v>
      </c>
      <c r="V767" s="68">
        <v>0</v>
      </c>
      <c r="W767" s="0">
        <f>IF(IF(B767="none",1,IF(B767="Trialer",1,0))+IF(C767="Customer",1,IF(C767="Lost",1,0))=2,1,0)</f>
      </c>
      <c r="X767" s="0" t="s">
        <v>148</v>
      </c>
      <c r="Y767" s="0" t="s">
        <v>499</v>
      </c>
      <c r="AV767" s="68"/>
      <c r="AW767" s="68"/>
      <c r="AY767" s="27"/>
      <c r="BD767" s="68">
        <v>46054.1666666667</v>
      </c>
      <c r="BE767" s="68">
        <v>46082.1666666667</v>
      </c>
      <c r="BF767" s="0" t="b">
        <v>0</v>
      </c>
      <c r="BG767" s="0" t="b">
        <v>0</v>
      </c>
      <c r="BH767" s="0">
        <v>467</v>
      </c>
      <c r="BI767" s="0">
        <v>467</v>
      </c>
      <c r="BJ767" s="0" t="s">
        <v>135</v>
      </c>
    </row>
    <row r="768">
      <c r="A768" s="0" t="s">
        <v>963</v>
      </c>
      <c r="B768" s="0" t="s">
        <v>134</v>
      </c>
      <c r="C768" s="0" t="s">
        <v>134</v>
      </c>
      <c r="D768" s="0" t="s">
        <v>135</v>
      </c>
      <c r="E768" s="0" t="s">
        <v>2</v>
      </c>
      <c r="F768" s="0" t="s">
        <v>12</v>
      </c>
      <c r="G768" s="0" t="s">
        <v>8</v>
      </c>
      <c r="H768" s="0">
        <v>2511</v>
      </c>
      <c r="I768" s="0">
        <v>366</v>
      </c>
      <c r="J768" s="0">
        <v>0</v>
      </c>
      <c r="K768" s="0">
        <v>1</v>
      </c>
      <c r="L768" s="0">
        <v>4</v>
      </c>
      <c r="M768" s="0">
        <v>6</v>
      </c>
      <c r="N768" s="0">
        <v>0</v>
      </c>
      <c r="O768" s="0">
        <v>0</v>
      </c>
      <c r="P768" s="0">
        <v>0</v>
      </c>
      <c r="R768" s="0" t="b">
        <v>0</v>
      </c>
      <c r="S768" s="0" t="b">
        <v>1</v>
      </c>
      <c r="T768" s="68">
        <v>43542.5645833333</v>
      </c>
      <c r="U768" s="68">
        <v>43560.3333333333</v>
      </c>
      <c r="V768" s="68">
        <v>0</v>
      </c>
      <c r="W768" s="0">
        <f>IF(IF(B768="none",1,IF(B768="Trialer",1,0))+IF(C768="Customer",1,IF(C768="Lost",1,0))=2,1,0)</f>
      </c>
      <c r="X768" s="0" t="s">
        <v>148</v>
      </c>
      <c r="Y768" s="0" t="s">
        <v>499</v>
      </c>
      <c r="AV768" s="68"/>
      <c r="AW768" s="68"/>
      <c r="AY768" s="27"/>
      <c r="BD768" s="68">
        <v>46054.1666666667</v>
      </c>
      <c r="BE768" s="68">
        <v>46082.1666666667</v>
      </c>
      <c r="BF768" s="0" t="b">
        <v>0</v>
      </c>
      <c r="BG768" s="0" t="b">
        <v>0</v>
      </c>
      <c r="BH768" s="0">
        <v>366</v>
      </c>
      <c r="BI768" s="0">
        <v>366</v>
      </c>
      <c r="BJ768" s="0" t="s">
        <v>135</v>
      </c>
    </row>
    <row r="769">
      <c r="A769" s="0" t="s">
        <v>964</v>
      </c>
      <c r="B769" s="0" t="s">
        <v>134</v>
      </c>
      <c r="C769" s="0" t="s">
        <v>134</v>
      </c>
      <c r="D769" s="0" t="s">
        <v>135</v>
      </c>
      <c r="E769" s="0" t="s">
        <v>3</v>
      </c>
      <c r="F769" s="0" t="s">
        <v>12</v>
      </c>
      <c r="G769" s="0" t="s">
        <v>8</v>
      </c>
      <c r="H769" s="0">
        <v>2511</v>
      </c>
      <c r="I769" s="0">
        <v>138</v>
      </c>
      <c r="J769" s="0">
        <v>0</v>
      </c>
      <c r="K769" s="0">
        <v>1</v>
      </c>
      <c r="L769" s="0">
        <v>3</v>
      </c>
      <c r="M769" s="0">
        <v>3</v>
      </c>
      <c r="N769" s="0">
        <v>0</v>
      </c>
      <c r="O769" s="0">
        <v>0</v>
      </c>
      <c r="P769" s="0">
        <v>0</v>
      </c>
      <c r="R769" s="0" t="b">
        <v>0</v>
      </c>
      <c r="S769" s="0" t="b">
        <v>1</v>
      </c>
      <c r="T769" s="68">
        <v>43542.5879976852</v>
      </c>
      <c r="U769" s="68">
        <v>43581.3333333333</v>
      </c>
      <c r="V769" s="68">
        <v>0</v>
      </c>
      <c r="W769" s="0">
        <f>IF(IF(B769="none",1,IF(B769="Trialer",1,0))+IF(C769="Customer",1,IF(C769="Lost",1,0))=2,1,0)</f>
      </c>
      <c r="X769" s="0" t="s">
        <v>142</v>
      </c>
      <c r="Y769" s="0" t="s">
        <v>243</v>
      </c>
      <c r="AV769" s="68"/>
      <c r="AW769" s="68"/>
      <c r="AY769" s="27"/>
      <c r="BD769" s="68">
        <v>46054.1666666667</v>
      </c>
      <c r="BE769" s="68">
        <v>46082.1666666667</v>
      </c>
      <c r="BF769" s="0" t="b">
        <v>0</v>
      </c>
      <c r="BG769" s="0" t="b">
        <v>0</v>
      </c>
      <c r="BH769" s="0">
        <v>138</v>
      </c>
      <c r="BI769" s="0">
        <v>138</v>
      </c>
      <c r="BJ769" s="0" t="s">
        <v>135</v>
      </c>
    </row>
    <row r="770">
      <c r="A770" s="0" t="s">
        <v>965</v>
      </c>
      <c r="B770" s="0" t="s">
        <v>134</v>
      </c>
      <c r="C770" s="0" t="s">
        <v>134</v>
      </c>
      <c r="D770" s="0" t="s">
        <v>135</v>
      </c>
      <c r="E770" s="0" t="s">
        <v>3</v>
      </c>
      <c r="F770" s="0" t="s">
        <v>12</v>
      </c>
      <c r="G770" s="0" t="s">
        <v>8</v>
      </c>
      <c r="H770" s="0">
        <v>2504</v>
      </c>
      <c r="I770" s="0">
        <v>0</v>
      </c>
      <c r="J770" s="0">
        <v>0</v>
      </c>
      <c r="K770" s="0">
        <v>1</v>
      </c>
      <c r="L770" s="0">
        <v>3</v>
      </c>
      <c r="M770" s="0">
        <v>4</v>
      </c>
      <c r="N770" s="0">
        <v>0</v>
      </c>
      <c r="O770" s="0">
        <v>0</v>
      </c>
      <c r="P770" s="0">
        <v>0</v>
      </c>
      <c r="R770" s="0" t="b">
        <v>0</v>
      </c>
      <c r="S770" s="0" t="b">
        <v>1</v>
      </c>
      <c r="T770" s="68">
        <v>43549.4159722222</v>
      </c>
      <c r="U770" s="68">
        <v>43590.3333333333</v>
      </c>
      <c r="V770" s="68">
        <v>0</v>
      </c>
      <c r="W770" s="0">
        <f>IF(IF(B770="none",1,IF(B770="Trialer",1,0))+IF(C770="Customer",1,IF(C770="Lost",1,0))=2,1,0)</f>
      </c>
      <c r="X770" s="0" t="s">
        <v>148</v>
      </c>
      <c r="Y770" s="0" t="s">
        <v>243</v>
      </c>
      <c r="AV770" s="68"/>
      <c r="AW770" s="68"/>
      <c r="AY770" s="27"/>
      <c r="BD770" s="68">
        <v>46054.1666666667</v>
      </c>
      <c r="BE770" s="68">
        <v>46082.1666666667</v>
      </c>
      <c r="BF770" s="0" t="b">
        <v>0</v>
      </c>
      <c r="BG770" s="0" t="b">
        <v>0</v>
      </c>
      <c r="BH770" s="0">
        <v>0</v>
      </c>
      <c r="BI770" s="0">
        <v>0</v>
      </c>
      <c r="BJ770" s="0" t="s">
        <v>135</v>
      </c>
    </row>
    <row r="771">
      <c r="A771" s="0" t="s">
        <v>966</v>
      </c>
      <c r="B771" s="0" t="s">
        <v>134</v>
      </c>
      <c r="C771" s="0" t="s">
        <v>134</v>
      </c>
      <c r="D771" s="0" t="s">
        <v>230</v>
      </c>
      <c r="E771" s="0" t="s">
        <v>3</v>
      </c>
      <c r="F771" s="0" t="s">
        <v>12</v>
      </c>
      <c r="G771" s="0" t="s">
        <v>8</v>
      </c>
      <c r="H771" s="0">
        <v>2504</v>
      </c>
      <c r="I771" s="0">
        <v>44</v>
      </c>
      <c r="J771" s="0">
        <v>0</v>
      </c>
      <c r="K771" s="0">
        <v>1</v>
      </c>
      <c r="L771" s="0">
        <v>3</v>
      </c>
      <c r="M771" s="0">
        <v>1</v>
      </c>
      <c r="N771" s="0">
        <v>0</v>
      </c>
      <c r="O771" s="0">
        <v>0</v>
      </c>
      <c r="P771" s="0">
        <v>-44</v>
      </c>
      <c r="R771" s="0" t="b">
        <v>0</v>
      </c>
      <c r="S771" s="0" t="b">
        <v>1</v>
      </c>
      <c r="T771" s="68">
        <v>43549.546712963</v>
      </c>
      <c r="U771" s="68">
        <v>43579.3333333333</v>
      </c>
      <c r="V771" s="68">
        <v>0</v>
      </c>
      <c r="W771" s="0">
        <f>IF(IF(B771="none",1,IF(B771="Trialer",1,0))+IF(C771="Customer",1,IF(C771="Lost",1,0))=2,1,0)</f>
      </c>
      <c r="X771" s="0" t="s">
        <v>166</v>
      </c>
      <c r="Y771" s="0" t="s">
        <v>243</v>
      </c>
      <c r="AV771" s="68"/>
      <c r="AW771" s="68"/>
      <c r="AY771" s="27"/>
      <c r="BD771" s="68">
        <v>46054.1666666667</v>
      </c>
      <c r="BE771" s="68">
        <v>46082.1666666667</v>
      </c>
      <c r="BF771" s="0" t="b">
        <v>0</v>
      </c>
      <c r="BG771" s="0" t="b">
        <v>0</v>
      </c>
      <c r="BH771" s="0">
        <v>49</v>
      </c>
      <c r="BI771" s="0">
        <v>49</v>
      </c>
      <c r="BJ771" s="0" t="s">
        <v>230</v>
      </c>
    </row>
    <row r="772">
      <c r="A772" s="0" t="s">
        <v>967</v>
      </c>
      <c r="B772" s="0" t="s">
        <v>134</v>
      </c>
      <c r="C772" s="0" t="s">
        <v>134</v>
      </c>
      <c r="D772" s="0" t="s">
        <v>230</v>
      </c>
      <c r="E772" s="0" t="s">
        <v>2</v>
      </c>
      <c r="F772" s="0" t="s">
        <v>10</v>
      </c>
      <c r="G772" s="0" t="s">
        <v>8</v>
      </c>
      <c r="H772" s="0">
        <v>2503</v>
      </c>
      <c r="I772" s="0">
        <v>123</v>
      </c>
      <c r="J772" s="0">
        <v>0</v>
      </c>
      <c r="K772" s="0">
        <v>1</v>
      </c>
      <c r="L772" s="0">
        <v>4</v>
      </c>
      <c r="M772" s="0">
        <v>3</v>
      </c>
      <c r="N772" s="0">
        <v>0</v>
      </c>
      <c r="O772" s="0">
        <v>0</v>
      </c>
      <c r="P772" s="0">
        <v>-123</v>
      </c>
      <c r="Q772" s="0" t="s">
        <v>324</v>
      </c>
      <c r="R772" s="0" t="b">
        <v>0</v>
      </c>
      <c r="S772" s="0" t="b">
        <v>1</v>
      </c>
      <c r="T772" s="68">
        <v>43550.4715972222</v>
      </c>
      <c r="U772" s="68">
        <v>43580.3333333333</v>
      </c>
      <c r="V772" s="68">
        <v>0</v>
      </c>
      <c r="W772" s="0">
        <f>IF(IF(B772="none",1,IF(B772="Trialer",1,0))+IF(C772="Customer",1,IF(C772="Lost",1,0))=2,1,0)</f>
      </c>
      <c r="X772" s="0" t="s">
        <v>148</v>
      </c>
      <c r="Y772" s="0" t="s">
        <v>499</v>
      </c>
      <c r="AV772" s="68"/>
      <c r="AW772" s="68"/>
      <c r="AY772" s="27"/>
      <c r="BD772" s="68">
        <v>46054.1666666667</v>
      </c>
      <c r="BE772" s="68">
        <v>46082.1666666667</v>
      </c>
      <c r="BF772" s="0" t="b">
        <v>0</v>
      </c>
      <c r="BG772" s="0" t="b">
        <v>0</v>
      </c>
      <c r="BH772" s="0">
        <v>110</v>
      </c>
      <c r="BI772" s="0">
        <v>110</v>
      </c>
      <c r="BJ772" s="0" t="s">
        <v>230</v>
      </c>
    </row>
    <row r="773">
      <c r="A773" s="0" t="s">
        <v>968</v>
      </c>
      <c r="B773" s="0" t="s">
        <v>134</v>
      </c>
      <c r="C773" s="0" t="s">
        <v>134</v>
      </c>
      <c r="D773" s="0" t="s">
        <v>135</v>
      </c>
      <c r="E773" s="0" t="s">
        <v>3</v>
      </c>
      <c r="F773" s="0" t="s">
        <v>12</v>
      </c>
      <c r="G773" s="0" t="s">
        <v>8</v>
      </c>
      <c r="H773" s="0">
        <v>2501</v>
      </c>
      <c r="I773" s="0">
        <v>0</v>
      </c>
      <c r="J773" s="0">
        <v>0</v>
      </c>
      <c r="K773" s="0">
        <v>1</v>
      </c>
      <c r="L773" s="0">
        <v>3</v>
      </c>
      <c r="M773" s="0">
        <v>1</v>
      </c>
      <c r="N773" s="0">
        <v>0</v>
      </c>
      <c r="O773" s="0">
        <v>0</v>
      </c>
      <c r="P773" s="0">
        <v>0</v>
      </c>
      <c r="R773" s="0" t="b">
        <v>0</v>
      </c>
      <c r="S773" s="0" t="b">
        <v>1</v>
      </c>
      <c r="T773" s="68">
        <v>43552.4569444444</v>
      </c>
      <c r="U773" s="68">
        <v>43552.3333333333</v>
      </c>
      <c r="V773" s="68">
        <v>0</v>
      </c>
      <c r="W773" s="0">
        <f>IF(IF(B773="none",1,IF(B773="Trialer",1,0))+IF(C773="Customer",1,IF(C773="Lost",1,0))=2,1,0)</f>
      </c>
      <c r="X773" s="0" t="s">
        <v>148</v>
      </c>
      <c r="Y773" s="0" t="s">
        <v>243</v>
      </c>
      <c r="AV773" s="68"/>
      <c r="AW773" s="68"/>
      <c r="AY773" s="27"/>
      <c r="BD773" s="68">
        <v>46054.1666666667</v>
      </c>
      <c r="BE773" s="68">
        <v>46082.1666666667</v>
      </c>
      <c r="BF773" s="0" t="b">
        <v>0</v>
      </c>
      <c r="BG773" s="0" t="b">
        <v>0</v>
      </c>
      <c r="BH773" s="0">
        <v>0</v>
      </c>
      <c r="BI773" s="0">
        <v>0</v>
      </c>
      <c r="BJ773" s="0" t="s">
        <v>135</v>
      </c>
    </row>
    <row r="774">
      <c r="A774" s="0" t="s">
        <v>969</v>
      </c>
      <c r="B774" s="0" t="s">
        <v>134</v>
      </c>
      <c r="C774" s="0" t="s">
        <v>134</v>
      </c>
      <c r="D774" s="0" t="s">
        <v>135</v>
      </c>
      <c r="E774" s="0" t="s">
        <v>3</v>
      </c>
      <c r="F774" s="0" t="s">
        <v>12</v>
      </c>
      <c r="G774" s="0" t="s">
        <v>8</v>
      </c>
      <c r="H774" s="0">
        <v>2500</v>
      </c>
      <c r="I774" s="0">
        <v>112</v>
      </c>
      <c r="J774" s="0">
        <v>0</v>
      </c>
      <c r="K774" s="0">
        <v>1</v>
      </c>
      <c r="L774" s="0">
        <v>3</v>
      </c>
      <c r="M774" s="0">
        <v>6</v>
      </c>
      <c r="N774" s="0">
        <v>0</v>
      </c>
      <c r="O774" s="0">
        <v>0</v>
      </c>
      <c r="P774" s="0">
        <v>0</v>
      </c>
      <c r="R774" s="0" t="b">
        <v>0</v>
      </c>
      <c r="S774" s="0" t="b">
        <v>1</v>
      </c>
      <c r="T774" s="68">
        <v>43553.2597222222</v>
      </c>
      <c r="U774" s="68">
        <v>43583.3333333333</v>
      </c>
      <c r="V774" s="68">
        <v>0</v>
      </c>
      <c r="W774" s="0">
        <f>IF(IF(B774="none",1,IF(B774="Trialer",1,0))+IF(C774="Customer",1,IF(C774="Lost",1,0))=2,1,0)</f>
      </c>
      <c r="X774" s="0" t="s">
        <v>148</v>
      </c>
      <c r="Y774" s="0" t="s">
        <v>243</v>
      </c>
      <c r="AV774" s="68"/>
      <c r="AW774" s="68"/>
      <c r="AY774" s="27"/>
      <c r="BD774" s="68">
        <v>46054.1666666667</v>
      </c>
      <c r="BE774" s="68">
        <v>46082.1666666667</v>
      </c>
      <c r="BF774" s="0" t="b">
        <v>0</v>
      </c>
      <c r="BG774" s="0" t="b">
        <v>0</v>
      </c>
      <c r="BH774" s="0">
        <v>112</v>
      </c>
      <c r="BI774" s="0">
        <v>112</v>
      </c>
      <c r="BJ774" s="0" t="s">
        <v>135</v>
      </c>
    </row>
    <row r="775">
      <c r="A775" s="0" t="s">
        <v>970</v>
      </c>
      <c r="B775" s="0" t="s">
        <v>134</v>
      </c>
      <c r="C775" s="0" t="s">
        <v>134</v>
      </c>
      <c r="D775" s="0" t="s">
        <v>230</v>
      </c>
      <c r="E775" s="0" t="s">
        <v>3</v>
      </c>
      <c r="F775" s="0" t="s">
        <v>12</v>
      </c>
      <c r="G775" s="0" t="s">
        <v>8</v>
      </c>
      <c r="H775" s="0">
        <v>2496</v>
      </c>
      <c r="I775" s="0">
        <v>108</v>
      </c>
      <c r="J775" s="0">
        <v>0</v>
      </c>
      <c r="K775" s="0">
        <v>1</v>
      </c>
      <c r="L775" s="0">
        <v>2</v>
      </c>
      <c r="M775" s="0">
        <v>3</v>
      </c>
      <c r="N775" s="0">
        <v>0</v>
      </c>
      <c r="O775" s="0">
        <v>0</v>
      </c>
      <c r="P775" s="0">
        <v>-108</v>
      </c>
      <c r="R775" s="0" t="b">
        <v>0</v>
      </c>
      <c r="S775" s="0" t="b">
        <v>1</v>
      </c>
      <c r="T775" s="68">
        <v>43557.4759606481</v>
      </c>
      <c r="U775" s="68">
        <v>43587.3333333333</v>
      </c>
      <c r="V775" s="68">
        <v>0</v>
      </c>
      <c r="W775" s="0">
        <f>IF(IF(B775="none",1,IF(B775="Trialer",1,0))+IF(C775="Customer",1,IF(C775="Lost",1,0))=2,1,0)</f>
      </c>
      <c r="X775" s="0" t="s">
        <v>153</v>
      </c>
      <c r="Y775" s="0" t="s">
        <v>243</v>
      </c>
      <c r="AV775" s="68"/>
      <c r="AW775" s="68"/>
      <c r="AY775" s="27"/>
      <c r="BD775" s="68">
        <v>46054.1666666667</v>
      </c>
      <c r="BE775" s="68">
        <v>46082.1666666667</v>
      </c>
      <c r="BF775" s="0" t="b">
        <v>0</v>
      </c>
      <c r="BG775" s="0" t="b">
        <v>0</v>
      </c>
      <c r="BH775" s="0">
        <v>120</v>
      </c>
      <c r="BI775" s="0">
        <v>120</v>
      </c>
      <c r="BJ775" s="0" t="s">
        <v>230</v>
      </c>
    </row>
    <row r="776">
      <c r="A776" s="0" t="s">
        <v>971</v>
      </c>
      <c r="B776" s="0" t="s">
        <v>134</v>
      </c>
      <c r="C776" s="0" t="s">
        <v>134</v>
      </c>
      <c r="D776" s="0" t="s">
        <v>135</v>
      </c>
      <c r="E776" s="0" t="s">
        <v>3</v>
      </c>
      <c r="F776" s="0" t="s">
        <v>12</v>
      </c>
      <c r="G776" s="0" t="s">
        <v>8</v>
      </c>
      <c r="H776" s="0">
        <v>2496</v>
      </c>
      <c r="I776" s="0">
        <v>160</v>
      </c>
      <c r="J776" s="0">
        <v>0</v>
      </c>
      <c r="K776" s="0">
        <v>1</v>
      </c>
      <c r="L776" s="0">
        <v>2</v>
      </c>
      <c r="M776" s="0">
        <v>4</v>
      </c>
      <c r="N776" s="0">
        <v>0</v>
      </c>
      <c r="O776" s="0">
        <v>0</v>
      </c>
      <c r="P776" s="0">
        <v>0</v>
      </c>
      <c r="R776" s="0" t="b">
        <v>0</v>
      </c>
      <c r="S776" s="0" t="b">
        <v>1</v>
      </c>
      <c r="T776" s="68">
        <v>43557.5399421296</v>
      </c>
      <c r="U776" s="68">
        <v>43587.3333333333</v>
      </c>
      <c r="V776" s="68">
        <v>0</v>
      </c>
      <c r="W776" s="0">
        <f>IF(IF(B776="none",1,IF(B776="Trialer",1,0))+IF(C776="Customer",1,IF(C776="Lost",1,0))=2,1,0)</f>
      </c>
      <c r="X776" s="0" t="s">
        <v>136</v>
      </c>
      <c r="Y776" s="0" t="s">
        <v>243</v>
      </c>
      <c r="AV776" s="68"/>
      <c r="AW776" s="68"/>
      <c r="AY776" s="27"/>
      <c r="BD776" s="68">
        <v>46054.1666666667</v>
      </c>
      <c r="BE776" s="68">
        <v>46082.1666666667</v>
      </c>
      <c r="BF776" s="0" t="b">
        <v>0</v>
      </c>
      <c r="BG776" s="0" t="b">
        <v>0</v>
      </c>
      <c r="BH776" s="0">
        <v>160</v>
      </c>
      <c r="BI776" s="0">
        <v>160</v>
      </c>
      <c r="BJ776" s="0" t="s">
        <v>135</v>
      </c>
    </row>
    <row r="777">
      <c r="A777" s="0" t="s">
        <v>972</v>
      </c>
      <c r="B777" s="0" t="s">
        <v>134</v>
      </c>
      <c r="C777" s="0" t="s">
        <v>134</v>
      </c>
      <c r="D777" s="0" t="s">
        <v>135</v>
      </c>
      <c r="E777" s="0" t="s">
        <v>3</v>
      </c>
      <c r="F777" s="0" t="s">
        <v>12</v>
      </c>
      <c r="G777" s="0" t="s">
        <v>8</v>
      </c>
      <c r="H777" s="0">
        <v>2496</v>
      </c>
      <c r="I777" s="0">
        <v>200</v>
      </c>
      <c r="J777" s="0">
        <v>0</v>
      </c>
      <c r="K777" s="0">
        <v>1</v>
      </c>
      <c r="L777" s="0">
        <v>2</v>
      </c>
      <c r="M777" s="0">
        <v>5</v>
      </c>
      <c r="N777" s="0">
        <v>0</v>
      </c>
      <c r="O777" s="0">
        <v>0</v>
      </c>
      <c r="P777" s="0">
        <v>0</v>
      </c>
      <c r="R777" s="0" t="b">
        <v>0</v>
      </c>
      <c r="S777" s="0" t="b">
        <v>1</v>
      </c>
      <c r="T777" s="68">
        <v>43557.5701388889</v>
      </c>
      <c r="U777" s="68">
        <v>43563.3333333333</v>
      </c>
      <c r="V777" s="68">
        <v>0</v>
      </c>
      <c r="W777" s="0">
        <f>IF(IF(B777="none",1,IF(B777="Trialer",1,0))+IF(C777="Customer",1,IF(C777="Lost",1,0))=2,1,0)</f>
      </c>
      <c r="X777" s="0" t="s">
        <v>145</v>
      </c>
      <c r="Y777" s="0" t="s">
        <v>243</v>
      </c>
      <c r="AV777" s="68"/>
      <c r="AW777" s="68"/>
      <c r="AY777" s="27"/>
      <c r="BD777" s="68">
        <v>46054.1666666667</v>
      </c>
      <c r="BE777" s="68">
        <v>46082.1666666667</v>
      </c>
      <c r="BF777" s="0" t="b">
        <v>0</v>
      </c>
      <c r="BG777" s="0" t="b">
        <v>0</v>
      </c>
      <c r="BH777" s="0">
        <v>200</v>
      </c>
      <c r="BI777" s="0">
        <v>200</v>
      </c>
      <c r="BJ777" s="0" t="s">
        <v>135</v>
      </c>
    </row>
    <row r="778">
      <c r="A778" s="0" t="s">
        <v>973</v>
      </c>
      <c r="B778" s="0" t="s">
        <v>134</v>
      </c>
      <c r="C778" s="0" t="s">
        <v>134</v>
      </c>
      <c r="D778" s="0" t="s">
        <v>135</v>
      </c>
      <c r="E778" s="0" t="s">
        <v>3</v>
      </c>
      <c r="F778" s="0" t="s">
        <v>12</v>
      </c>
      <c r="G778" s="0" t="s">
        <v>8</v>
      </c>
      <c r="H778" s="0">
        <v>2495</v>
      </c>
      <c r="I778" s="0">
        <v>141</v>
      </c>
      <c r="J778" s="0">
        <v>-141</v>
      </c>
      <c r="K778" s="0">
        <v>1</v>
      </c>
      <c r="L778" s="0">
        <v>4</v>
      </c>
      <c r="M778" s="0">
        <v>3</v>
      </c>
      <c r="N778" s="0">
        <v>0</v>
      </c>
      <c r="O778" s="0">
        <v>0</v>
      </c>
      <c r="P778" s="0">
        <v>0</v>
      </c>
      <c r="R778" s="0" t="b">
        <v>0</v>
      </c>
      <c r="S778" s="0" t="b">
        <v>1</v>
      </c>
      <c r="T778" s="68">
        <v>43558.6034722222</v>
      </c>
      <c r="U778" s="68">
        <v>43588.5</v>
      </c>
      <c r="V778" s="68">
        <v>0</v>
      </c>
      <c r="W778" s="0">
        <f>IF(IF(B778="none",1,IF(B778="Trialer",1,0))+IF(C778="Customer",1,IF(C778="Lost",1,0))=2,1,0)</f>
      </c>
      <c r="X778" s="0" t="s">
        <v>153</v>
      </c>
      <c r="Y778" s="0" t="s">
        <v>243</v>
      </c>
      <c r="AV778" s="68"/>
      <c r="AW778" s="68"/>
      <c r="AY778" s="27"/>
      <c r="BD778" s="68">
        <v>46054.1666666667</v>
      </c>
      <c r="BE778" s="68">
        <v>46082.1666666667</v>
      </c>
      <c r="BF778" s="0" t="b">
        <v>0</v>
      </c>
      <c r="BG778" s="0" t="b">
        <v>0</v>
      </c>
      <c r="BH778" s="0">
        <v>0</v>
      </c>
      <c r="BI778" s="0">
        <v>0</v>
      </c>
      <c r="BJ778" s="0" t="s">
        <v>135</v>
      </c>
    </row>
    <row r="779">
      <c r="A779" s="0" t="s">
        <v>974</v>
      </c>
      <c r="B779" s="0" t="s">
        <v>134</v>
      </c>
      <c r="C779" s="0" t="s">
        <v>134</v>
      </c>
      <c r="D779" s="0" t="s">
        <v>135</v>
      </c>
      <c r="E779" s="0" t="s">
        <v>2</v>
      </c>
      <c r="F779" s="0" t="s">
        <v>12</v>
      </c>
      <c r="G779" s="0" t="s">
        <v>7</v>
      </c>
      <c r="H779" s="0">
        <v>2494</v>
      </c>
      <c r="I779" s="0">
        <v>40</v>
      </c>
      <c r="J779" s="0">
        <v>0</v>
      </c>
      <c r="K779" s="0">
        <v>1</v>
      </c>
      <c r="L779" s="0">
        <v>1</v>
      </c>
      <c r="M779" s="0">
        <v>1</v>
      </c>
      <c r="N779" s="0">
        <v>0</v>
      </c>
      <c r="O779" s="0">
        <v>0</v>
      </c>
      <c r="P779" s="0">
        <v>0</v>
      </c>
      <c r="R779" s="0" t="b">
        <v>0</v>
      </c>
      <c r="S779" s="0" t="b">
        <v>1</v>
      </c>
      <c r="T779" s="68">
        <v>43559.5</v>
      </c>
      <c r="U779" s="68">
        <v>43559.5</v>
      </c>
      <c r="V779" s="68">
        <v>0</v>
      </c>
      <c r="W779" s="0">
        <f>IF(IF(B779="none",1,IF(B779="Trialer",1,0))+IF(C779="Customer",1,IF(C779="Lost",1,0))=2,1,0)</f>
      </c>
      <c r="X779" s="0" t="s">
        <v>145</v>
      </c>
      <c r="Y779" s="0" t="s">
        <v>137</v>
      </c>
      <c r="AV779" s="68"/>
      <c r="AW779" s="68"/>
      <c r="AY779" s="27"/>
      <c r="BD779" s="68">
        <v>46054.1666666667</v>
      </c>
      <c r="BE779" s="68">
        <v>46082.1666666667</v>
      </c>
      <c r="BF779" s="0" t="b">
        <v>0</v>
      </c>
      <c r="BG779" s="0" t="b">
        <v>0</v>
      </c>
      <c r="BH779" s="0">
        <v>40</v>
      </c>
      <c r="BI779" s="0">
        <v>40</v>
      </c>
      <c r="BJ779" s="0" t="s">
        <v>135</v>
      </c>
    </row>
    <row r="780">
      <c r="A780" s="0" t="s">
        <v>975</v>
      </c>
      <c r="B780" s="0" t="s">
        <v>134</v>
      </c>
      <c r="C780" s="0" t="s">
        <v>134</v>
      </c>
      <c r="D780" s="0" t="s">
        <v>135</v>
      </c>
      <c r="E780" s="0" t="s">
        <v>3</v>
      </c>
      <c r="F780" s="0" t="s">
        <v>12</v>
      </c>
      <c r="G780" s="0" t="s">
        <v>8</v>
      </c>
      <c r="H780" s="0">
        <v>2494</v>
      </c>
      <c r="I780" s="0">
        <v>146</v>
      </c>
      <c r="J780" s="0">
        <v>0</v>
      </c>
      <c r="K780" s="0">
        <v>1</v>
      </c>
      <c r="L780" s="0">
        <v>5</v>
      </c>
      <c r="M780" s="0">
        <v>2</v>
      </c>
      <c r="N780" s="0">
        <v>0</v>
      </c>
      <c r="O780" s="0">
        <v>0</v>
      </c>
      <c r="P780" s="0">
        <v>0</v>
      </c>
      <c r="R780" s="0" t="b">
        <v>0</v>
      </c>
      <c r="S780" s="0" t="b">
        <v>1</v>
      </c>
      <c r="T780" s="68">
        <v>43559.7886921296</v>
      </c>
      <c r="U780" s="68">
        <v>43592.3333333333</v>
      </c>
      <c r="V780" s="68">
        <v>0</v>
      </c>
      <c r="W780" s="0">
        <f>IF(IF(B780="none",1,IF(B780="Trialer",1,0))+IF(C780="Customer",1,IF(C780="Lost",1,0))=2,1,0)</f>
      </c>
      <c r="X780" s="0" t="s">
        <v>142</v>
      </c>
      <c r="Y780" s="0" t="s">
        <v>243</v>
      </c>
      <c r="AV780" s="68"/>
      <c r="AW780" s="68"/>
      <c r="AY780" s="27"/>
      <c r="BD780" s="68">
        <v>46054.1666666667</v>
      </c>
      <c r="BE780" s="68">
        <v>46082.1666666667</v>
      </c>
      <c r="BF780" s="0" t="b">
        <v>0</v>
      </c>
      <c r="BG780" s="0" t="b">
        <v>0</v>
      </c>
      <c r="BH780" s="0">
        <v>146</v>
      </c>
      <c r="BI780" s="0">
        <v>146</v>
      </c>
      <c r="BJ780" s="0" t="s">
        <v>135</v>
      </c>
    </row>
    <row r="781">
      <c r="A781" s="0" t="s">
        <v>976</v>
      </c>
      <c r="B781" s="0" t="s">
        <v>134</v>
      </c>
      <c r="C781" s="0" t="s">
        <v>134</v>
      </c>
      <c r="D781" s="0" t="s">
        <v>230</v>
      </c>
      <c r="E781" s="0" t="s">
        <v>3</v>
      </c>
      <c r="F781" s="0" t="s">
        <v>12</v>
      </c>
      <c r="G781" s="0" t="s">
        <v>8</v>
      </c>
      <c r="H781" s="0">
        <v>2490</v>
      </c>
      <c r="I781" s="0">
        <v>36</v>
      </c>
      <c r="J781" s="0">
        <v>0</v>
      </c>
      <c r="K781" s="0">
        <v>1</v>
      </c>
      <c r="L781" s="0">
        <v>2</v>
      </c>
      <c r="M781" s="0">
        <v>1</v>
      </c>
      <c r="N781" s="0">
        <v>0</v>
      </c>
      <c r="O781" s="0">
        <v>0</v>
      </c>
      <c r="P781" s="0">
        <v>-36</v>
      </c>
      <c r="R781" s="0" t="b">
        <v>0</v>
      </c>
      <c r="S781" s="0" t="b">
        <v>1</v>
      </c>
      <c r="T781" s="68">
        <v>43563.40125</v>
      </c>
      <c r="U781" s="68">
        <v>43593.3333333333</v>
      </c>
      <c r="V781" s="68">
        <v>0</v>
      </c>
      <c r="W781" s="0">
        <f>IF(IF(B781="none",1,IF(B781="Trialer",1,0))+IF(C781="Customer",1,IF(C781="Lost",1,0))=2,1,0)</f>
      </c>
      <c r="X781" s="0" t="s">
        <v>142</v>
      </c>
      <c r="Y781" s="0" t="s">
        <v>243</v>
      </c>
      <c r="AV781" s="68"/>
      <c r="AW781" s="68"/>
      <c r="AY781" s="27"/>
      <c r="BD781" s="68">
        <v>46054.1666666667</v>
      </c>
      <c r="BE781" s="68">
        <v>46082.1666666667</v>
      </c>
      <c r="BF781" s="0" t="b">
        <v>0</v>
      </c>
      <c r="BG781" s="0" t="b">
        <v>0</v>
      </c>
      <c r="BH781" s="0">
        <v>40</v>
      </c>
      <c r="BI781" s="0">
        <v>40</v>
      </c>
      <c r="BJ781" s="0" t="s">
        <v>230</v>
      </c>
    </row>
    <row r="782">
      <c r="A782" s="0" t="s">
        <v>977</v>
      </c>
      <c r="B782" s="0" t="s">
        <v>134</v>
      </c>
      <c r="C782" s="0" t="s">
        <v>134</v>
      </c>
      <c r="D782" s="0" t="s">
        <v>135</v>
      </c>
      <c r="E782" s="0" t="s">
        <v>2</v>
      </c>
      <c r="F782" s="0" t="s">
        <v>12</v>
      </c>
      <c r="G782" s="0" t="s">
        <v>8</v>
      </c>
      <c r="H782" s="0">
        <v>2484</v>
      </c>
      <c r="I782" s="0">
        <v>611</v>
      </c>
      <c r="J782" s="0">
        <v>0</v>
      </c>
      <c r="K782" s="0">
        <v>1</v>
      </c>
      <c r="L782" s="0">
        <v>3</v>
      </c>
      <c r="M782" s="0">
        <v>14</v>
      </c>
      <c r="N782" s="0">
        <v>0</v>
      </c>
      <c r="O782" s="0">
        <v>0</v>
      </c>
      <c r="P782" s="0">
        <v>0</v>
      </c>
      <c r="R782" s="0" t="b">
        <v>0</v>
      </c>
      <c r="S782" s="0" t="b">
        <v>1</v>
      </c>
      <c r="T782" s="68">
        <v>43569.6213773148</v>
      </c>
      <c r="U782" s="68">
        <v>43599.3333333333</v>
      </c>
      <c r="V782" s="68">
        <v>0</v>
      </c>
      <c r="W782" s="0">
        <f>IF(IF(B782="none",1,IF(B782="Trialer",1,0))+IF(C782="Customer",1,IF(C782="Lost",1,0))=2,1,0)</f>
      </c>
      <c r="X782" s="0" t="s">
        <v>148</v>
      </c>
      <c r="Y782" s="0" t="s">
        <v>499</v>
      </c>
      <c r="AV782" s="68"/>
      <c r="AW782" s="68"/>
      <c r="AY782" s="27"/>
      <c r="BD782" s="68">
        <v>46054.1666666667</v>
      </c>
      <c r="BE782" s="68">
        <v>46082.1666666667</v>
      </c>
      <c r="BF782" s="0" t="b">
        <v>0</v>
      </c>
      <c r="BG782" s="0" t="b">
        <v>0</v>
      </c>
      <c r="BH782" s="0">
        <v>611</v>
      </c>
      <c r="BI782" s="0">
        <v>611</v>
      </c>
      <c r="BJ782" s="0" t="s">
        <v>135</v>
      </c>
    </row>
    <row r="783">
      <c r="A783" s="0" t="s">
        <v>978</v>
      </c>
      <c r="B783" s="0" t="s">
        <v>134</v>
      </c>
      <c r="C783" s="0" t="s">
        <v>134</v>
      </c>
      <c r="D783" s="0" t="s">
        <v>230</v>
      </c>
      <c r="E783" s="0" t="s">
        <v>2</v>
      </c>
      <c r="F783" s="0" t="s">
        <v>12</v>
      </c>
      <c r="G783" s="0" t="s">
        <v>8</v>
      </c>
      <c r="H783" s="0">
        <v>2475</v>
      </c>
      <c r="I783" s="0">
        <v>184</v>
      </c>
      <c r="J783" s="0">
        <v>0</v>
      </c>
      <c r="K783" s="0">
        <v>1</v>
      </c>
      <c r="L783" s="0">
        <v>3</v>
      </c>
      <c r="M783" s="0">
        <v>4</v>
      </c>
      <c r="N783" s="0">
        <v>0</v>
      </c>
      <c r="O783" s="0">
        <v>0</v>
      </c>
      <c r="P783" s="0">
        <v>-184</v>
      </c>
      <c r="R783" s="0" t="b">
        <v>0</v>
      </c>
      <c r="S783" s="0" t="b">
        <v>1</v>
      </c>
      <c r="T783" s="68">
        <v>43578.5623263889</v>
      </c>
      <c r="U783" s="68">
        <v>43608.3333333333</v>
      </c>
      <c r="V783" s="68">
        <v>0</v>
      </c>
      <c r="W783" s="0">
        <f>IF(IF(B783="none",1,IF(B783="Trialer",1,0))+IF(C783="Customer",1,IF(C783="Lost",1,0))=2,1,0)</f>
      </c>
      <c r="X783" s="0" t="s">
        <v>145</v>
      </c>
      <c r="Y783" s="0" t="s">
        <v>499</v>
      </c>
      <c r="AV783" s="68"/>
      <c r="AW783" s="68"/>
      <c r="AY783" s="27"/>
      <c r="BD783" s="68">
        <v>46054.1666666667</v>
      </c>
      <c r="BE783" s="68">
        <v>46082.1666666667</v>
      </c>
      <c r="BF783" s="0" t="b">
        <v>0</v>
      </c>
      <c r="BG783" s="0" t="b">
        <v>0</v>
      </c>
      <c r="BH783" s="0">
        <v>208</v>
      </c>
      <c r="BI783" s="0">
        <v>208</v>
      </c>
      <c r="BJ783" s="0" t="s">
        <v>230</v>
      </c>
    </row>
    <row r="784">
      <c r="A784" s="0" t="s">
        <v>979</v>
      </c>
      <c r="B784" s="0" t="s">
        <v>134</v>
      </c>
      <c r="C784" s="0" t="s">
        <v>134</v>
      </c>
      <c r="D784" s="0" t="s">
        <v>135</v>
      </c>
      <c r="E784" s="0" t="s">
        <v>2</v>
      </c>
      <c r="F784" s="0" t="s">
        <v>12</v>
      </c>
      <c r="G784" s="0" t="s">
        <v>8</v>
      </c>
      <c r="H784" s="0">
        <v>2474</v>
      </c>
      <c r="I784" s="0">
        <v>0</v>
      </c>
      <c r="J784" s="0">
        <v>0</v>
      </c>
      <c r="K784" s="0">
        <v>1</v>
      </c>
      <c r="L784" s="0">
        <v>6</v>
      </c>
      <c r="M784" s="0">
        <v>2</v>
      </c>
      <c r="N784" s="0">
        <v>0</v>
      </c>
      <c r="O784" s="0">
        <v>0</v>
      </c>
      <c r="P784" s="0">
        <v>0</v>
      </c>
      <c r="R784" s="0" t="b">
        <v>0</v>
      </c>
      <c r="S784" s="0" t="b">
        <v>1</v>
      </c>
      <c r="T784" s="68">
        <v>43579.3794560185</v>
      </c>
      <c r="U784" s="68">
        <v>43609.3333333333</v>
      </c>
      <c r="V784" s="68">
        <v>0</v>
      </c>
      <c r="W784" s="0">
        <f>IF(IF(B784="none",1,IF(B784="Trialer",1,0))+IF(C784="Customer",1,IF(C784="Lost",1,0))=2,1,0)</f>
      </c>
      <c r="X784" s="0" t="s">
        <v>136</v>
      </c>
      <c r="Y784" s="0" t="s">
        <v>499</v>
      </c>
      <c r="AV784" s="68"/>
      <c r="AW784" s="68"/>
      <c r="AY784" s="27"/>
      <c r="BD784" s="68">
        <v>46054.1666666667</v>
      </c>
      <c r="BE784" s="68">
        <v>46082.1666666667</v>
      </c>
      <c r="BF784" s="0" t="b">
        <v>0</v>
      </c>
      <c r="BG784" s="0" t="b">
        <v>0</v>
      </c>
      <c r="BH784" s="0">
        <v>0</v>
      </c>
      <c r="BI784" s="0">
        <v>0</v>
      </c>
      <c r="BJ784" s="0" t="s">
        <v>135</v>
      </c>
    </row>
    <row r="785">
      <c r="A785" s="0" t="s">
        <v>980</v>
      </c>
      <c r="B785" s="0" t="s">
        <v>134</v>
      </c>
      <c r="C785" s="0" t="s">
        <v>134</v>
      </c>
      <c r="D785" s="0" t="s">
        <v>135</v>
      </c>
      <c r="E785" s="0" t="s">
        <v>2</v>
      </c>
      <c r="F785" s="0" t="s">
        <v>12</v>
      </c>
      <c r="G785" s="0" t="s">
        <v>8</v>
      </c>
      <c r="H785" s="0">
        <v>2474</v>
      </c>
      <c r="I785" s="0">
        <v>1288.5</v>
      </c>
      <c r="J785" s="0">
        <v>0</v>
      </c>
      <c r="K785" s="0">
        <v>2</v>
      </c>
      <c r="L785" s="0">
        <v>1</v>
      </c>
      <c r="M785" s="0">
        <v>2</v>
      </c>
      <c r="N785" s="0">
        <v>0</v>
      </c>
      <c r="O785" s="0">
        <v>0</v>
      </c>
      <c r="P785" s="0">
        <v>0</v>
      </c>
      <c r="R785" s="0" t="b">
        <v>0</v>
      </c>
      <c r="S785" s="0" t="b">
        <v>1</v>
      </c>
      <c r="T785" s="68">
        <v>43579.4866203704</v>
      </c>
      <c r="U785" s="68">
        <v>43609.3333333333</v>
      </c>
      <c r="V785" s="68">
        <v>0</v>
      </c>
      <c r="W785" s="0">
        <f>IF(IF(B785="none",1,IF(B785="Trialer",1,0))+IF(C785="Customer",1,IF(C785="Lost",1,0))=2,1,0)</f>
      </c>
      <c r="X785" s="0" t="s">
        <v>148</v>
      </c>
      <c r="Y785" s="0" t="s">
        <v>499</v>
      </c>
      <c r="AV785" s="68"/>
      <c r="AW785" s="68"/>
      <c r="AY785" s="27"/>
      <c r="BD785" s="68">
        <v>46054.1666666667</v>
      </c>
      <c r="BE785" s="68">
        <v>46082.1666666667</v>
      </c>
      <c r="BF785" s="0" t="b">
        <v>0</v>
      </c>
      <c r="BG785" s="0" t="b">
        <v>0</v>
      </c>
      <c r="BH785" s="0">
        <v>56</v>
      </c>
      <c r="BI785" s="0">
        <v>56</v>
      </c>
      <c r="BJ785" s="0" t="s">
        <v>135</v>
      </c>
    </row>
    <row r="786">
      <c r="A786" s="0" t="s">
        <v>981</v>
      </c>
      <c r="B786" s="0" t="s">
        <v>134</v>
      </c>
      <c r="C786" s="0" t="s">
        <v>134</v>
      </c>
      <c r="D786" s="0" t="s">
        <v>230</v>
      </c>
      <c r="E786" s="0" t="s">
        <v>2</v>
      </c>
      <c r="F786" s="0" t="s">
        <v>12</v>
      </c>
      <c r="G786" s="0" t="s">
        <v>8</v>
      </c>
      <c r="H786" s="0">
        <v>2474</v>
      </c>
      <c r="I786" s="0">
        <v>82</v>
      </c>
      <c r="J786" s="0">
        <v>0</v>
      </c>
      <c r="K786" s="0">
        <v>1</v>
      </c>
      <c r="L786" s="0">
        <v>3</v>
      </c>
      <c r="M786" s="0">
        <v>2</v>
      </c>
      <c r="N786" s="0">
        <v>0</v>
      </c>
      <c r="O786" s="0">
        <v>0</v>
      </c>
      <c r="P786" s="0">
        <v>-82</v>
      </c>
      <c r="R786" s="0" t="b">
        <v>0</v>
      </c>
      <c r="S786" s="0" t="b">
        <v>1</v>
      </c>
      <c r="T786" s="68">
        <v>43579.5034722222</v>
      </c>
      <c r="U786" s="68">
        <v>43580.3333333333</v>
      </c>
      <c r="V786" s="68">
        <v>0</v>
      </c>
      <c r="W786" s="0">
        <f>IF(IF(B786="none",1,IF(B786="Trialer",1,0))+IF(C786="Customer",1,IF(C786="Lost",1,0))=2,1,0)</f>
      </c>
      <c r="X786" s="0" t="s">
        <v>142</v>
      </c>
      <c r="Y786" s="0" t="s">
        <v>499</v>
      </c>
      <c r="AV786" s="68"/>
      <c r="AW786" s="68"/>
      <c r="AY786" s="27"/>
      <c r="BD786" s="68">
        <v>46054.1666666667</v>
      </c>
      <c r="BE786" s="68">
        <v>46082.1666666667</v>
      </c>
      <c r="BF786" s="0" t="b">
        <v>0</v>
      </c>
      <c r="BG786" s="0" t="b">
        <v>1</v>
      </c>
      <c r="BH786" s="0">
        <v>92</v>
      </c>
      <c r="BI786" s="0">
        <v>92</v>
      </c>
      <c r="BJ786" s="0" t="s">
        <v>230</v>
      </c>
    </row>
    <row r="787">
      <c r="A787" s="0" t="s">
        <v>982</v>
      </c>
      <c r="B787" s="0" t="s">
        <v>134</v>
      </c>
      <c r="C787" s="0" t="s">
        <v>134</v>
      </c>
      <c r="D787" s="0" t="s">
        <v>135</v>
      </c>
      <c r="E787" s="0" t="s">
        <v>2</v>
      </c>
      <c r="F787" s="0" t="s">
        <v>12</v>
      </c>
      <c r="G787" s="0" t="s">
        <v>8</v>
      </c>
      <c r="H787" s="0">
        <v>2474</v>
      </c>
      <c r="I787" s="0">
        <v>445</v>
      </c>
      <c r="J787" s="0">
        <v>0</v>
      </c>
      <c r="K787" s="0">
        <v>1</v>
      </c>
      <c r="L787" s="0">
        <v>3</v>
      </c>
      <c r="M787" s="0">
        <v>10</v>
      </c>
      <c r="N787" s="0">
        <v>0</v>
      </c>
      <c r="O787" s="0">
        <v>0</v>
      </c>
      <c r="P787" s="0">
        <v>0</v>
      </c>
      <c r="R787" s="0" t="b">
        <v>0</v>
      </c>
      <c r="S787" s="0" t="b">
        <v>1</v>
      </c>
      <c r="T787" s="68">
        <v>43579.5767592593</v>
      </c>
      <c r="U787" s="68">
        <v>43609.3333333333</v>
      </c>
      <c r="V787" s="68">
        <v>0</v>
      </c>
      <c r="W787" s="0">
        <f>IF(IF(B787="none",1,IF(B787="Trialer",1,0))+IF(C787="Customer",1,IF(C787="Lost",1,0))=2,1,0)</f>
      </c>
      <c r="X787" s="0" t="s">
        <v>136</v>
      </c>
      <c r="Y787" s="0" t="s">
        <v>499</v>
      </c>
      <c r="AV787" s="68"/>
      <c r="AW787" s="68"/>
      <c r="AY787" s="27"/>
      <c r="BD787" s="68">
        <v>46054.1666666667</v>
      </c>
      <c r="BE787" s="68">
        <v>46082.1666666667</v>
      </c>
      <c r="BF787" s="0" t="b">
        <v>0</v>
      </c>
      <c r="BG787" s="0" t="b">
        <v>0</v>
      </c>
      <c r="BH787" s="0">
        <v>445</v>
      </c>
      <c r="BI787" s="0">
        <v>445</v>
      </c>
      <c r="BJ787" s="0" t="s">
        <v>135</v>
      </c>
    </row>
    <row r="788">
      <c r="A788" s="0" t="s">
        <v>983</v>
      </c>
      <c r="B788" s="0" t="s">
        <v>134</v>
      </c>
      <c r="C788" s="0" t="s">
        <v>134</v>
      </c>
      <c r="D788" s="0" t="s">
        <v>135</v>
      </c>
      <c r="E788" s="0" t="s">
        <v>3</v>
      </c>
      <c r="F788" s="0" t="s">
        <v>12</v>
      </c>
      <c r="G788" s="0" t="s">
        <v>8</v>
      </c>
      <c r="H788" s="0">
        <v>2472</v>
      </c>
      <c r="I788" s="0">
        <v>28</v>
      </c>
      <c r="J788" s="0">
        <v>0</v>
      </c>
      <c r="K788" s="0">
        <v>1</v>
      </c>
      <c r="L788" s="0">
        <v>1</v>
      </c>
      <c r="M788" s="0">
        <v>1</v>
      </c>
      <c r="N788" s="0">
        <v>0</v>
      </c>
      <c r="O788" s="0">
        <v>0</v>
      </c>
      <c r="P788" s="0">
        <v>0</v>
      </c>
      <c r="R788" s="0" t="b">
        <v>0</v>
      </c>
      <c r="S788" s="0" t="b">
        <v>1</v>
      </c>
      <c r="T788" s="68">
        <v>43581.4428356482</v>
      </c>
      <c r="U788" s="68">
        <v>43611.3333333333</v>
      </c>
      <c r="V788" s="68">
        <v>0</v>
      </c>
      <c r="W788" s="0">
        <f>IF(IF(B788="none",1,IF(B788="Trialer",1,0))+IF(C788="Customer",1,IF(C788="Lost",1,0))=2,1,0)</f>
      </c>
      <c r="X788" s="0" t="s">
        <v>166</v>
      </c>
      <c r="Y788" s="0" t="s">
        <v>243</v>
      </c>
      <c r="AV788" s="68"/>
      <c r="AW788" s="68"/>
      <c r="AY788" s="27"/>
      <c r="BD788" s="68">
        <v>46054.1666666667</v>
      </c>
      <c r="BE788" s="68">
        <v>46082.1666666667</v>
      </c>
      <c r="BF788" s="0" t="b">
        <v>0</v>
      </c>
      <c r="BG788" s="0" t="b">
        <v>0</v>
      </c>
      <c r="BH788" s="0">
        <v>28</v>
      </c>
      <c r="BI788" s="0">
        <v>28</v>
      </c>
      <c r="BJ788" s="0" t="s">
        <v>135</v>
      </c>
    </row>
    <row r="789">
      <c r="A789" s="0" t="s">
        <v>984</v>
      </c>
      <c r="B789" s="0" t="s">
        <v>134</v>
      </c>
      <c r="C789" s="0" t="s">
        <v>134</v>
      </c>
      <c r="D789" s="0" t="s">
        <v>135</v>
      </c>
      <c r="E789" s="0" t="s">
        <v>2</v>
      </c>
      <c r="F789" s="0" t="s">
        <v>12</v>
      </c>
      <c r="G789" s="0" t="s">
        <v>8</v>
      </c>
      <c r="H789" s="0">
        <v>2469</v>
      </c>
      <c r="I789" s="0">
        <v>0</v>
      </c>
      <c r="J789" s="0">
        <v>0</v>
      </c>
      <c r="K789" s="0">
        <v>1</v>
      </c>
      <c r="L789" s="0">
        <v>3</v>
      </c>
      <c r="M789" s="0">
        <v>1</v>
      </c>
      <c r="N789" s="0">
        <v>0</v>
      </c>
      <c r="O789" s="0">
        <v>0</v>
      </c>
      <c r="P789" s="0">
        <v>0</v>
      </c>
      <c r="R789" s="0" t="b">
        <v>0</v>
      </c>
      <c r="S789" s="0" t="b">
        <v>1</v>
      </c>
      <c r="T789" s="68">
        <v>43584.5554861111</v>
      </c>
      <c r="U789" s="68">
        <v>43734.3333333333</v>
      </c>
      <c r="V789" s="68">
        <v>0</v>
      </c>
      <c r="W789" s="0">
        <f>IF(IF(B789="none",1,IF(B789="Trialer",1,0))+IF(C789="Customer",1,IF(C789="Lost",1,0))=2,1,0)</f>
      </c>
      <c r="X789" s="0" t="s">
        <v>148</v>
      </c>
      <c r="Y789" s="0" t="s">
        <v>499</v>
      </c>
      <c r="AV789" s="68"/>
      <c r="AW789" s="68"/>
      <c r="AY789" s="27"/>
      <c r="BD789" s="68">
        <v>46054.1666666667</v>
      </c>
      <c r="BE789" s="68">
        <v>46082.1666666667</v>
      </c>
      <c r="BF789" s="0" t="b">
        <v>0</v>
      </c>
      <c r="BG789" s="0" t="b">
        <v>0</v>
      </c>
      <c r="BH789" s="0">
        <v>0</v>
      </c>
      <c r="BI789" s="0">
        <v>0</v>
      </c>
      <c r="BJ789" s="0" t="s">
        <v>135</v>
      </c>
    </row>
    <row r="790">
      <c r="A790" s="0" t="s">
        <v>985</v>
      </c>
      <c r="B790" s="0" t="s">
        <v>134</v>
      </c>
      <c r="C790" s="0" t="s">
        <v>134</v>
      </c>
      <c r="D790" s="0" t="s">
        <v>230</v>
      </c>
      <c r="E790" s="0" t="s">
        <v>3</v>
      </c>
      <c r="F790" s="0" t="s">
        <v>12</v>
      </c>
      <c r="G790" s="0" t="s">
        <v>8</v>
      </c>
      <c r="H790" s="0">
        <v>2469</v>
      </c>
      <c r="I790" s="0">
        <v>757</v>
      </c>
      <c r="J790" s="0">
        <v>0</v>
      </c>
      <c r="K790" s="0">
        <v>1</v>
      </c>
      <c r="L790" s="0">
        <v>5</v>
      </c>
      <c r="M790" s="0">
        <v>16</v>
      </c>
      <c r="N790" s="0">
        <v>0</v>
      </c>
      <c r="O790" s="0">
        <v>0</v>
      </c>
      <c r="P790" s="0">
        <v>-757</v>
      </c>
      <c r="R790" s="0" t="b">
        <v>0</v>
      </c>
      <c r="S790" s="0" t="b">
        <v>1</v>
      </c>
      <c r="T790" s="68">
        <v>43584.6237384259</v>
      </c>
      <c r="U790" s="68">
        <v>43605.3333333333</v>
      </c>
      <c r="V790" s="68">
        <v>0</v>
      </c>
      <c r="W790" s="0">
        <f>IF(IF(B790="none",1,IF(B790="Trialer",1,0))+IF(C790="Customer",1,IF(C790="Lost",1,0))=2,1,0)</f>
      </c>
      <c r="X790" s="0" t="s">
        <v>145</v>
      </c>
      <c r="Y790" s="0" t="s">
        <v>243</v>
      </c>
      <c r="AV790" s="68"/>
      <c r="AW790" s="68"/>
      <c r="AY790" s="27"/>
      <c r="BD790" s="68">
        <v>46054.1666666667</v>
      </c>
      <c r="BE790" s="68">
        <v>46082.1666666667</v>
      </c>
      <c r="BF790" s="0" t="b">
        <v>0</v>
      </c>
      <c r="BG790" s="0" t="b">
        <v>0</v>
      </c>
      <c r="BH790" s="0">
        <v>801</v>
      </c>
      <c r="BI790" s="0">
        <v>801</v>
      </c>
      <c r="BJ790" s="0" t="s">
        <v>230</v>
      </c>
    </row>
    <row r="791">
      <c r="A791" s="0" t="s">
        <v>986</v>
      </c>
      <c r="B791" s="0" t="s">
        <v>134</v>
      </c>
      <c r="C791" s="0" t="s">
        <v>134</v>
      </c>
      <c r="D791" s="0" t="s">
        <v>135</v>
      </c>
      <c r="E791" s="0" t="s">
        <v>3</v>
      </c>
      <c r="F791" s="0" t="s">
        <v>10</v>
      </c>
      <c r="G791" s="0" t="s">
        <v>8</v>
      </c>
      <c r="H791" s="0">
        <v>2466</v>
      </c>
      <c r="I791" s="0">
        <v>84</v>
      </c>
      <c r="J791" s="0">
        <v>0</v>
      </c>
      <c r="K791" s="0">
        <v>1</v>
      </c>
      <c r="L791" s="0">
        <v>1</v>
      </c>
      <c r="M791" s="0">
        <v>3</v>
      </c>
      <c r="N791" s="0">
        <v>0</v>
      </c>
      <c r="O791" s="0">
        <v>0</v>
      </c>
      <c r="P791" s="0">
        <v>0</v>
      </c>
      <c r="Q791" s="0" t="s">
        <v>618</v>
      </c>
      <c r="R791" s="0" t="b">
        <v>0</v>
      </c>
      <c r="S791" s="0" t="b">
        <v>1</v>
      </c>
      <c r="T791" s="68">
        <v>43587.5678009259</v>
      </c>
      <c r="U791" s="68">
        <v>43617.3333333333</v>
      </c>
      <c r="V791" s="68">
        <v>0</v>
      </c>
      <c r="W791" s="0">
        <f>IF(IF(B791="none",1,IF(B791="Trialer",1,0))+IF(C791="Customer",1,IF(C791="Lost",1,0))=2,1,0)</f>
      </c>
      <c r="X791" s="0" t="s">
        <v>148</v>
      </c>
      <c r="Y791" s="0" t="s">
        <v>243</v>
      </c>
      <c r="AV791" s="68"/>
      <c r="AW791" s="68"/>
      <c r="AY791" s="27"/>
      <c r="BD791" s="68">
        <v>46054.1666666667</v>
      </c>
      <c r="BE791" s="68">
        <v>46082.1666666667</v>
      </c>
      <c r="BF791" s="0" t="b">
        <v>0</v>
      </c>
      <c r="BG791" s="0" t="b">
        <v>0</v>
      </c>
      <c r="BH791" s="0">
        <v>84</v>
      </c>
      <c r="BI791" s="0">
        <v>84</v>
      </c>
      <c r="BJ791" s="0" t="s">
        <v>135</v>
      </c>
    </row>
    <row r="792">
      <c r="A792" s="0" t="s">
        <v>987</v>
      </c>
      <c r="B792" s="0" t="s">
        <v>134</v>
      </c>
      <c r="C792" s="0" t="s">
        <v>134</v>
      </c>
      <c r="D792" s="0" t="s">
        <v>135</v>
      </c>
      <c r="E792" s="0" t="s">
        <v>3</v>
      </c>
      <c r="F792" s="0" t="s">
        <v>12</v>
      </c>
      <c r="G792" s="0" t="s">
        <v>8</v>
      </c>
      <c r="H792" s="0">
        <v>2466</v>
      </c>
      <c r="I792" s="0">
        <v>0</v>
      </c>
      <c r="J792" s="0">
        <v>0</v>
      </c>
      <c r="K792" s="0">
        <v>1</v>
      </c>
      <c r="L792" s="0">
        <v>3</v>
      </c>
      <c r="M792" s="0">
        <v>2</v>
      </c>
      <c r="N792" s="0">
        <v>0</v>
      </c>
      <c r="O792" s="0">
        <v>0</v>
      </c>
      <c r="P792" s="0">
        <v>0</v>
      </c>
      <c r="R792" s="0" t="b">
        <v>0</v>
      </c>
      <c r="S792" s="0" t="b">
        <v>1</v>
      </c>
      <c r="T792" s="68">
        <v>43587.7066087963</v>
      </c>
      <c r="U792" s="68">
        <v>43587.3333333333</v>
      </c>
      <c r="V792" s="68">
        <v>0</v>
      </c>
      <c r="W792" s="0">
        <f>IF(IF(B792="none",1,IF(B792="Trialer",1,0))+IF(C792="Customer",1,IF(C792="Lost",1,0))=2,1,0)</f>
      </c>
      <c r="X792" s="0" t="s">
        <v>148</v>
      </c>
      <c r="Y792" s="0" t="s">
        <v>243</v>
      </c>
      <c r="AV792" s="68"/>
      <c r="AW792" s="68"/>
      <c r="AY792" s="27"/>
      <c r="BD792" s="68">
        <v>46054.1666666667</v>
      </c>
      <c r="BE792" s="68">
        <v>46082.1666666667</v>
      </c>
      <c r="BF792" s="0" t="b">
        <v>0</v>
      </c>
      <c r="BG792" s="0" t="b">
        <v>0</v>
      </c>
      <c r="BH792" s="0">
        <v>0</v>
      </c>
      <c r="BI792" s="0">
        <v>0</v>
      </c>
      <c r="BJ792" s="0" t="s">
        <v>135</v>
      </c>
    </row>
    <row r="793">
      <c r="A793" s="0" t="s">
        <v>988</v>
      </c>
      <c r="B793" s="0" t="s">
        <v>134</v>
      </c>
      <c r="C793" s="0" t="s">
        <v>134</v>
      </c>
      <c r="D793" s="0" t="s">
        <v>135</v>
      </c>
      <c r="E793" s="0" t="s">
        <v>3</v>
      </c>
      <c r="F793" s="0" t="s">
        <v>12</v>
      </c>
      <c r="G793" s="0" t="s">
        <v>8</v>
      </c>
      <c r="H793" s="0">
        <v>2462</v>
      </c>
      <c r="I793" s="0">
        <v>0</v>
      </c>
      <c r="J793" s="0">
        <v>0</v>
      </c>
      <c r="K793" s="0">
        <v>1</v>
      </c>
      <c r="L793" s="0">
        <v>6</v>
      </c>
      <c r="M793" s="0">
        <v>1</v>
      </c>
      <c r="N793" s="0">
        <v>0</v>
      </c>
      <c r="O793" s="0">
        <v>0</v>
      </c>
      <c r="P793" s="0">
        <v>0</v>
      </c>
      <c r="R793" s="0" t="b">
        <v>0</v>
      </c>
      <c r="S793" s="0" t="b">
        <v>1</v>
      </c>
      <c r="T793" s="68">
        <v>43591.0498842593</v>
      </c>
      <c r="U793" s="68">
        <v>43616.3333333333</v>
      </c>
      <c r="V793" s="68">
        <v>0</v>
      </c>
      <c r="W793" s="0">
        <f>IF(IF(B793="none",1,IF(B793="Trialer",1,0))+IF(C793="Customer",1,IF(C793="Lost",1,0))=2,1,0)</f>
      </c>
      <c r="X793" s="0" t="s">
        <v>148</v>
      </c>
      <c r="Y793" s="0" t="s">
        <v>243</v>
      </c>
      <c r="AV793" s="68"/>
      <c r="AW793" s="68"/>
      <c r="AY793" s="27"/>
      <c r="BD793" s="68">
        <v>46054.1666666667</v>
      </c>
      <c r="BE793" s="68">
        <v>46082.1666666667</v>
      </c>
      <c r="BF793" s="0" t="b">
        <v>0</v>
      </c>
      <c r="BG793" s="0" t="b">
        <v>0</v>
      </c>
      <c r="BH793" s="0">
        <v>0</v>
      </c>
      <c r="BI793" s="0">
        <v>0</v>
      </c>
      <c r="BJ793" s="0" t="s">
        <v>135</v>
      </c>
    </row>
    <row r="794">
      <c r="A794" s="0" t="s">
        <v>989</v>
      </c>
      <c r="B794" s="0" t="s">
        <v>134</v>
      </c>
      <c r="C794" s="0" t="s">
        <v>134</v>
      </c>
      <c r="D794" s="0" t="s">
        <v>135</v>
      </c>
      <c r="E794" s="0" t="s">
        <v>3</v>
      </c>
      <c r="F794" s="0" t="s">
        <v>12</v>
      </c>
      <c r="G794" s="0" t="s">
        <v>8</v>
      </c>
      <c r="H794" s="0">
        <v>2462</v>
      </c>
      <c r="I794" s="0">
        <v>0</v>
      </c>
      <c r="J794" s="0">
        <v>0</v>
      </c>
      <c r="K794" s="0">
        <v>1</v>
      </c>
      <c r="L794" s="0">
        <v>3</v>
      </c>
      <c r="M794" s="0">
        <v>1</v>
      </c>
      <c r="N794" s="0">
        <v>0</v>
      </c>
      <c r="O794" s="0">
        <v>0</v>
      </c>
      <c r="P794" s="0">
        <v>0</v>
      </c>
      <c r="R794" s="0" t="b">
        <v>0</v>
      </c>
      <c r="S794" s="0" t="b">
        <v>1</v>
      </c>
      <c r="T794" s="68">
        <v>43591.3479282407</v>
      </c>
      <c r="U794" s="68">
        <v>43592.3333333333</v>
      </c>
      <c r="V794" s="68">
        <v>0</v>
      </c>
      <c r="W794" s="0">
        <f>IF(IF(B794="none",1,IF(B794="Trialer",1,0))+IF(C794="Customer",1,IF(C794="Lost",1,0))=2,1,0)</f>
      </c>
      <c r="X794" s="0" t="s">
        <v>148</v>
      </c>
      <c r="Y794" s="0" t="s">
        <v>243</v>
      </c>
      <c r="AV794" s="68"/>
      <c r="AW794" s="68"/>
      <c r="AY794" s="27"/>
      <c r="BD794" s="68">
        <v>46054.1666666667</v>
      </c>
      <c r="BE794" s="68">
        <v>46082.1666666667</v>
      </c>
      <c r="BF794" s="0" t="b">
        <v>0</v>
      </c>
      <c r="BG794" s="0" t="b">
        <v>0</v>
      </c>
      <c r="BH794" s="0">
        <v>0</v>
      </c>
      <c r="BI794" s="0">
        <v>0</v>
      </c>
      <c r="BJ794" s="0" t="s">
        <v>135</v>
      </c>
    </row>
    <row r="795">
      <c r="A795" s="0" t="s">
        <v>990</v>
      </c>
      <c r="B795" s="0" t="s">
        <v>134</v>
      </c>
      <c r="C795" s="0" t="s">
        <v>134</v>
      </c>
      <c r="D795" s="0" t="s">
        <v>135</v>
      </c>
      <c r="E795" s="0" t="s">
        <v>2</v>
      </c>
      <c r="F795" s="0" t="s">
        <v>12</v>
      </c>
      <c r="G795" s="0" t="s">
        <v>8</v>
      </c>
      <c r="H795" s="0">
        <v>2462</v>
      </c>
      <c r="I795" s="0">
        <v>164</v>
      </c>
      <c r="J795" s="0">
        <v>0</v>
      </c>
      <c r="K795" s="0">
        <v>1</v>
      </c>
      <c r="L795" s="0">
        <v>3</v>
      </c>
      <c r="M795" s="0">
        <v>5</v>
      </c>
      <c r="N795" s="0">
        <v>0</v>
      </c>
      <c r="O795" s="0">
        <v>0</v>
      </c>
      <c r="P795" s="0">
        <v>0</v>
      </c>
      <c r="R795" s="0" t="b">
        <v>0</v>
      </c>
      <c r="S795" s="0" t="b">
        <v>1</v>
      </c>
      <c r="T795" s="68">
        <v>43591.9740162037</v>
      </c>
      <c r="U795" s="68">
        <v>43621.3333333333</v>
      </c>
      <c r="V795" s="68">
        <v>0</v>
      </c>
      <c r="W795" s="0">
        <f>IF(IF(B795="none",1,IF(B795="Trialer",1,0))+IF(C795="Customer",1,IF(C795="Lost",1,0))=2,1,0)</f>
      </c>
      <c r="X795" s="0" t="s">
        <v>136</v>
      </c>
      <c r="Y795" s="0" t="s">
        <v>499</v>
      </c>
      <c r="AV795" s="68"/>
      <c r="AW795" s="68"/>
      <c r="AY795" s="27"/>
      <c r="BD795" s="68">
        <v>46054.1666666667</v>
      </c>
      <c r="BE795" s="68">
        <v>46082.1666666667</v>
      </c>
      <c r="BF795" s="0" t="b">
        <v>0</v>
      </c>
      <c r="BG795" s="0" t="b">
        <v>0</v>
      </c>
      <c r="BH795" s="0">
        <v>164</v>
      </c>
      <c r="BI795" s="0">
        <v>164</v>
      </c>
      <c r="BJ795" s="0" t="s">
        <v>135</v>
      </c>
    </row>
    <row r="796">
      <c r="A796" s="0" t="s">
        <v>991</v>
      </c>
      <c r="B796" s="0" t="s">
        <v>134</v>
      </c>
      <c r="C796" s="0" t="s">
        <v>134</v>
      </c>
      <c r="D796" s="0" t="s">
        <v>135</v>
      </c>
      <c r="E796" s="0" t="s">
        <v>2</v>
      </c>
      <c r="F796" s="0" t="s">
        <v>12</v>
      </c>
      <c r="G796" s="0" t="s">
        <v>8</v>
      </c>
      <c r="H796" s="0">
        <v>2460</v>
      </c>
      <c r="I796" s="0">
        <v>37</v>
      </c>
      <c r="J796" s="0">
        <v>0</v>
      </c>
      <c r="K796" s="0">
        <v>1</v>
      </c>
      <c r="L796" s="0">
        <v>2</v>
      </c>
      <c r="M796" s="0">
        <v>1</v>
      </c>
      <c r="N796" s="0">
        <v>0</v>
      </c>
      <c r="O796" s="0">
        <v>0</v>
      </c>
      <c r="P796" s="0">
        <v>0</v>
      </c>
      <c r="R796" s="0" t="b">
        <v>0</v>
      </c>
      <c r="S796" s="0" t="b">
        <v>1</v>
      </c>
      <c r="T796" s="68">
        <v>43593.4243055556</v>
      </c>
      <c r="U796" s="68">
        <v>43623.5</v>
      </c>
      <c r="V796" s="68">
        <v>0</v>
      </c>
      <c r="W796" s="0">
        <f>IF(IF(B796="none",1,IF(B796="Trialer",1,0))+IF(C796="Customer",1,IF(C796="Lost",1,0))=2,1,0)</f>
      </c>
      <c r="X796" s="0" t="s">
        <v>166</v>
      </c>
      <c r="Y796" s="0" t="s">
        <v>499</v>
      </c>
      <c r="AV796" s="68"/>
      <c r="AW796" s="68"/>
      <c r="AY796" s="27"/>
      <c r="BD796" s="68">
        <v>46054.1666666667</v>
      </c>
      <c r="BE796" s="68">
        <v>46082.1666666667</v>
      </c>
      <c r="BF796" s="0" t="b">
        <v>0</v>
      </c>
      <c r="BG796" s="0" t="b">
        <v>0</v>
      </c>
      <c r="BH796" s="0">
        <v>37</v>
      </c>
      <c r="BI796" s="0">
        <v>37</v>
      </c>
      <c r="BJ796" s="0" t="s">
        <v>135</v>
      </c>
    </row>
    <row r="797">
      <c r="A797" s="0" t="s">
        <v>992</v>
      </c>
      <c r="B797" s="0" t="s">
        <v>134</v>
      </c>
      <c r="C797" s="0" t="s">
        <v>134</v>
      </c>
      <c r="D797" s="0" t="s">
        <v>135</v>
      </c>
      <c r="E797" s="0" t="s">
        <v>3</v>
      </c>
      <c r="F797" s="0" t="s">
        <v>12</v>
      </c>
      <c r="G797" s="0" t="s">
        <v>8</v>
      </c>
      <c r="H797" s="0">
        <v>2459</v>
      </c>
      <c r="I797" s="0">
        <v>49</v>
      </c>
      <c r="J797" s="0">
        <v>0</v>
      </c>
      <c r="K797" s="0">
        <v>1</v>
      </c>
      <c r="L797" s="0">
        <v>3</v>
      </c>
      <c r="M797" s="0">
        <v>1</v>
      </c>
      <c r="N797" s="0">
        <v>0</v>
      </c>
      <c r="O797" s="0">
        <v>0</v>
      </c>
      <c r="P797" s="0">
        <v>0</v>
      </c>
      <c r="R797" s="0" t="b">
        <v>0</v>
      </c>
      <c r="S797" s="0" t="b">
        <v>1</v>
      </c>
      <c r="T797" s="68">
        <v>43594.8646643519</v>
      </c>
      <c r="U797" s="68">
        <v>43624.3333333333</v>
      </c>
      <c r="V797" s="68">
        <v>0</v>
      </c>
      <c r="W797" s="0">
        <f>IF(IF(B797="none",1,IF(B797="Trialer",1,0))+IF(C797="Customer",1,IF(C797="Lost",1,0))=2,1,0)</f>
      </c>
      <c r="X797" s="0" t="s">
        <v>153</v>
      </c>
      <c r="Y797" s="0" t="s">
        <v>243</v>
      </c>
      <c r="AV797" s="68"/>
      <c r="AW797" s="68"/>
      <c r="AY797" s="27"/>
      <c r="BD797" s="68">
        <v>46054.1666666667</v>
      </c>
      <c r="BE797" s="68">
        <v>46082.1666666667</v>
      </c>
      <c r="BF797" s="0" t="b">
        <v>0</v>
      </c>
      <c r="BG797" s="0" t="b">
        <v>0</v>
      </c>
      <c r="BH797" s="0">
        <v>49</v>
      </c>
      <c r="BI797" s="0">
        <v>49</v>
      </c>
      <c r="BJ797" s="0" t="s">
        <v>135</v>
      </c>
    </row>
    <row r="798">
      <c r="A798" s="0" t="s">
        <v>993</v>
      </c>
      <c r="B798" s="0" t="s">
        <v>134</v>
      </c>
      <c r="C798" s="0" t="s">
        <v>134</v>
      </c>
      <c r="D798" s="0" t="s">
        <v>135</v>
      </c>
      <c r="E798" s="0" t="s">
        <v>3</v>
      </c>
      <c r="F798" s="0" t="s">
        <v>10</v>
      </c>
      <c r="G798" s="0" t="s">
        <v>8</v>
      </c>
      <c r="H798" s="0">
        <v>2456</v>
      </c>
      <c r="I798" s="0">
        <v>28</v>
      </c>
      <c r="J798" s="0">
        <v>0</v>
      </c>
      <c r="K798" s="0">
        <v>1</v>
      </c>
      <c r="L798" s="0">
        <v>1</v>
      </c>
      <c r="M798" s="0">
        <v>1</v>
      </c>
      <c r="N798" s="0">
        <v>0</v>
      </c>
      <c r="O798" s="0">
        <v>0</v>
      </c>
      <c r="P798" s="0">
        <v>0</v>
      </c>
      <c r="Q798" s="0" t="s">
        <v>618</v>
      </c>
      <c r="R798" s="0" t="b">
        <v>0</v>
      </c>
      <c r="S798" s="0" t="b">
        <v>1</v>
      </c>
      <c r="T798" s="68">
        <v>43597.6931944444</v>
      </c>
      <c r="U798" s="68">
        <v>43627.3333333333</v>
      </c>
      <c r="V798" s="68">
        <v>0</v>
      </c>
      <c r="W798" s="0">
        <f>IF(IF(B798="none",1,IF(B798="Trialer",1,0))+IF(C798="Customer",1,IF(C798="Lost",1,0))=2,1,0)</f>
      </c>
      <c r="X798" s="0" t="s">
        <v>148</v>
      </c>
      <c r="Y798" s="0" t="s">
        <v>243</v>
      </c>
      <c r="AV798" s="68"/>
      <c r="AW798" s="68"/>
      <c r="AY798" s="27"/>
      <c r="BD798" s="68">
        <v>46054.1666666667</v>
      </c>
      <c r="BE798" s="68">
        <v>46082.1666666667</v>
      </c>
      <c r="BF798" s="0" t="b">
        <v>0</v>
      </c>
      <c r="BG798" s="0" t="b">
        <v>0</v>
      </c>
      <c r="BH798" s="0">
        <v>28</v>
      </c>
      <c r="BI798" s="0">
        <v>28</v>
      </c>
      <c r="BJ798" s="0" t="s">
        <v>135</v>
      </c>
    </row>
    <row r="799">
      <c r="A799" s="0" t="s">
        <v>994</v>
      </c>
      <c r="B799" s="0" t="s">
        <v>134</v>
      </c>
      <c r="C799" s="0" t="s">
        <v>134</v>
      </c>
      <c r="D799" s="0" t="s">
        <v>135</v>
      </c>
      <c r="E799" s="0" t="s">
        <v>3</v>
      </c>
      <c r="F799" s="0" t="s">
        <v>12</v>
      </c>
      <c r="G799" s="0" t="s">
        <v>8</v>
      </c>
      <c r="H799" s="0">
        <v>2454</v>
      </c>
      <c r="I799" s="0">
        <v>0</v>
      </c>
      <c r="J799" s="0">
        <v>0</v>
      </c>
      <c r="K799" s="0">
        <v>1</v>
      </c>
      <c r="L799" s="0">
        <v>3</v>
      </c>
      <c r="M799" s="0">
        <v>2</v>
      </c>
      <c r="N799" s="0">
        <v>0</v>
      </c>
      <c r="O799" s="0">
        <v>0</v>
      </c>
      <c r="P799" s="0">
        <v>0</v>
      </c>
      <c r="R799" s="0" t="b">
        <v>0</v>
      </c>
      <c r="S799" s="0" t="b">
        <v>1</v>
      </c>
      <c r="T799" s="68">
        <v>43599.464837963</v>
      </c>
      <c r="U799" s="68">
        <v>43629.3333333333</v>
      </c>
      <c r="V799" s="68">
        <v>0</v>
      </c>
      <c r="W799" s="0">
        <f>IF(IF(B799="none",1,IF(B799="Trialer",1,0))+IF(C799="Customer",1,IF(C799="Lost",1,0))=2,1,0)</f>
      </c>
      <c r="X799" s="0" t="s">
        <v>136</v>
      </c>
      <c r="Y799" s="0" t="s">
        <v>243</v>
      </c>
      <c r="AV799" s="68"/>
      <c r="AW799" s="68"/>
      <c r="AY799" s="27"/>
      <c r="BD799" s="68">
        <v>46054.1666666667</v>
      </c>
      <c r="BE799" s="68">
        <v>46082.1666666667</v>
      </c>
      <c r="BF799" s="0" t="b">
        <v>0</v>
      </c>
      <c r="BG799" s="0" t="b">
        <v>0</v>
      </c>
      <c r="BH799" s="0">
        <v>0</v>
      </c>
      <c r="BI799" s="0">
        <v>0</v>
      </c>
      <c r="BJ799" s="0" t="s">
        <v>230</v>
      </c>
    </row>
    <row r="800">
      <c r="A800" s="0" t="s">
        <v>995</v>
      </c>
      <c r="B800" s="0" t="s">
        <v>134</v>
      </c>
      <c r="C800" s="0" t="s">
        <v>134</v>
      </c>
      <c r="D800" s="0" t="s">
        <v>135</v>
      </c>
      <c r="E800" s="0" t="s">
        <v>2</v>
      </c>
      <c r="F800" s="0" t="s">
        <v>12</v>
      </c>
      <c r="G800" s="0" t="s">
        <v>8</v>
      </c>
      <c r="H800" s="0">
        <v>2454</v>
      </c>
      <c r="I800" s="0">
        <v>104</v>
      </c>
      <c r="J800" s="0">
        <v>0</v>
      </c>
      <c r="K800" s="0">
        <v>1</v>
      </c>
      <c r="L800" s="0">
        <v>3</v>
      </c>
      <c r="M800" s="0">
        <v>2</v>
      </c>
      <c r="N800" s="0">
        <v>0</v>
      </c>
      <c r="O800" s="0">
        <v>0</v>
      </c>
      <c r="P800" s="0">
        <v>0</v>
      </c>
      <c r="R800" s="0" t="b">
        <v>0</v>
      </c>
      <c r="S800" s="0" t="b">
        <v>1</v>
      </c>
      <c r="T800" s="68">
        <v>43599.5198842593</v>
      </c>
      <c r="U800" s="68">
        <v>43644.3333333333</v>
      </c>
      <c r="V800" s="68">
        <v>0</v>
      </c>
      <c r="W800" s="0">
        <f>IF(IF(B800="none",1,IF(B800="Trialer",1,0))+IF(C800="Customer",1,IF(C800="Lost",1,0))=2,1,0)</f>
      </c>
      <c r="X800" s="0" t="s">
        <v>142</v>
      </c>
      <c r="Y800" s="0" t="s">
        <v>499</v>
      </c>
      <c r="AV800" s="68"/>
      <c r="AW800" s="68"/>
      <c r="AY800" s="27"/>
      <c r="BD800" s="68">
        <v>46054.1666666667</v>
      </c>
      <c r="BE800" s="68">
        <v>46082.1666666667</v>
      </c>
      <c r="BF800" s="0" t="b">
        <v>0</v>
      </c>
      <c r="BG800" s="0" t="b">
        <v>0</v>
      </c>
      <c r="BH800" s="0">
        <v>104</v>
      </c>
      <c r="BI800" s="0">
        <v>104</v>
      </c>
      <c r="BJ800" s="0" t="s">
        <v>135</v>
      </c>
    </row>
    <row r="801">
      <c r="A801" s="0" t="s">
        <v>996</v>
      </c>
      <c r="B801" s="0" t="s">
        <v>134</v>
      </c>
      <c r="C801" s="0" t="s">
        <v>134</v>
      </c>
      <c r="D801" s="0" t="s">
        <v>230</v>
      </c>
      <c r="E801" s="0" t="s">
        <v>2</v>
      </c>
      <c r="F801" s="0" t="s">
        <v>12</v>
      </c>
      <c r="G801" s="0" t="s">
        <v>8</v>
      </c>
      <c r="H801" s="0">
        <v>2453</v>
      </c>
      <c r="I801" s="0">
        <v>98</v>
      </c>
      <c r="J801" s="0">
        <v>0</v>
      </c>
      <c r="K801" s="0">
        <v>1</v>
      </c>
      <c r="L801" s="0">
        <v>4</v>
      </c>
      <c r="M801" s="0">
        <v>2</v>
      </c>
      <c r="N801" s="0">
        <v>0</v>
      </c>
      <c r="O801" s="0">
        <v>0</v>
      </c>
      <c r="P801" s="0">
        <v>-98</v>
      </c>
      <c r="R801" s="0" t="b">
        <v>0</v>
      </c>
      <c r="S801" s="0" t="b">
        <v>1</v>
      </c>
      <c r="T801" s="68">
        <v>43600.7919907407</v>
      </c>
      <c r="U801" s="68">
        <v>43645.3333333333</v>
      </c>
      <c r="V801" s="68">
        <v>0</v>
      </c>
      <c r="W801" s="0">
        <f>IF(IF(B801="none",1,IF(B801="Trialer",1,0))+IF(C801="Customer",1,IF(C801="Lost",1,0))=2,1,0)</f>
      </c>
      <c r="X801" s="0" t="s">
        <v>142</v>
      </c>
      <c r="Y801" s="0" t="s">
        <v>499</v>
      </c>
      <c r="AV801" s="68"/>
      <c r="AW801" s="68"/>
      <c r="AY801" s="27"/>
      <c r="BD801" s="68">
        <v>46054.1666666667</v>
      </c>
      <c r="BE801" s="68">
        <v>46082.1666666667</v>
      </c>
      <c r="BF801" s="0" t="b">
        <v>0</v>
      </c>
      <c r="BG801" s="0" t="b">
        <v>0</v>
      </c>
      <c r="BH801" s="0">
        <v>110</v>
      </c>
      <c r="BI801" s="0">
        <v>110</v>
      </c>
      <c r="BJ801" s="0" t="s">
        <v>230</v>
      </c>
    </row>
    <row r="802">
      <c r="A802" s="0" t="s">
        <v>997</v>
      </c>
      <c r="B802" s="0" t="s">
        <v>134</v>
      </c>
      <c r="C802" s="0" t="s">
        <v>134</v>
      </c>
      <c r="D802" s="0" t="s">
        <v>230</v>
      </c>
      <c r="E802" s="0" t="s">
        <v>3</v>
      </c>
      <c r="F802" s="0" t="s">
        <v>12</v>
      </c>
      <c r="G802" s="0" t="s">
        <v>8</v>
      </c>
      <c r="H802" s="0">
        <v>2452</v>
      </c>
      <c r="I802" s="0">
        <v>33</v>
      </c>
      <c r="J802" s="0">
        <v>0</v>
      </c>
      <c r="K802" s="0">
        <v>1</v>
      </c>
      <c r="L802" s="0">
        <v>2</v>
      </c>
      <c r="M802" s="0">
        <v>1</v>
      </c>
      <c r="N802" s="0">
        <v>0</v>
      </c>
      <c r="O802" s="0">
        <v>0</v>
      </c>
      <c r="P802" s="0">
        <v>-33</v>
      </c>
      <c r="R802" s="0" t="b">
        <v>0</v>
      </c>
      <c r="S802" s="0" t="b">
        <v>1</v>
      </c>
      <c r="T802" s="68">
        <v>43601.6152430556</v>
      </c>
      <c r="U802" s="68">
        <v>43631.3333333333</v>
      </c>
      <c r="V802" s="68">
        <v>0</v>
      </c>
      <c r="W802" s="0">
        <f>IF(IF(B802="none",1,IF(B802="Trialer",1,0))+IF(C802="Customer",1,IF(C802="Lost",1,0))=2,1,0)</f>
      </c>
      <c r="X802" s="0" t="s">
        <v>142</v>
      </c>
      <c r="Y802" s="0" t="s">
        <v>243</v>
      </c>
      <c r="AV802" s="68"/>
      <c r="AW802" s="68"/>
      <c r="AY802" s="27"/>
      <c r="BD802" s="68">
        <v>46054.1666666667</v>
      </c>
      <c r="BE802" s="68">
        <v>46082.1666666667</v>
      </c>
      <c r="BF802" s="0" t="b">
        <v>0</v>
      </c>
      <c r="BG802" s="0" t="b">
        <v>0</v>
      </c>
      <c r="BH802" s="0">
        <v>37</v>
      </c>
      <c r="BI802" s="0">
        <v>37</v>
      </c>
      <c r="BJ802" s="0" t="s">
        <v>230</v>
      </c>
    </row>
    <row r="803">
      <c r="A803" s="0" t="s">
        <v>998</v>
      </c>
      <c r="B803" s="0" t="s">
        <v>134</v>
      </c>
      <c r="C803" s="0" t="s">
        <v>134</v>
      </c>
      <c r="D803" s="0" t="s">
        <v>135</v>
      </c>
      <c r="E803" s="0" t="s">
        <v>2</v>
      </c>
      <c r="F803" s="0" t="s">
        <v>12</v>
      </c>
      <c r="G803" s="0" t="s">
        <v>8</v>
      </c>
      <c r="H803" s="0">
        <v>2451</v>
      </c>
      <c r="I803" s="0">
        <v>0</v>
      </c>
      <c r="J803" s="0">
        <v>0</v>
      </c>
      <c r="K803" s="0">
        <v>1</v>
      </c>
      <c r="L803" s="0">
        <v>3</v>
      </c>
      <c r="M803" s="0">
        <v>1</v>
      </c>
      <c r="N803" s="0">
        <v>0</v>
      </c>
      <c r="O803" s="0">
        <v>0</v>
      </c>
      <c r="P803" s="0">
        <v>0</v>
      </c>
      <c r="R803" s="0" t="b">
        <v>0</v>
      </c>
      <c r="S803" s="0" t="b">
        <v>1</v>
      </c>
      <c r="T803" s="68">
        <v>43602.5288657407</v>
      </c>
      <c r="U803" s="68">
        <v>43632.3333333333</v>
      </c>
      <c r="V803" s="68">
        <v>0</v>
      </c>
      <c r="W803" s="0">
        <f>IF(IF(B803="none",1,IF(B803="Trialer",1,0))+IF(C803="Customer",1,IF(C803="Lost",1,0))=2,1,0)</f>
      </c>
      <c r="X803" s="0" t="s">
        <v>136</v>
      </c>
      <c r="Y803" s="0" t="s">
        <v>499</v>
      </c>
      <c r="AV803" s="68"/>
      <c r="AW803" s="68"/>
      <c r="AY803" s="27"/>
      <c r="BD803" s="68">
        <v>46054.1666666667</v>
      </c>
      <c r="BE803" s="68">
        <v>46082.1666666667</v>
      </c>
      <c r="BF803" s="0" t="b">
        <v>0</v>
      </c>
      <c r="BG803" s="0" t="b">
        <v>0</v>
      </c>
      <c r="BH803" s="0">
        <v>0</v>
      </c>
      <c r="BI803" s="0">
        <v>0</v>
      </c>
      <c r="BJ803" s="0" t="s">
        <v>135</v>
      </c>
    </row>
    <row r="804">
      <c r="A804" s="0" t="s">
        <v>999</v>
      </c>
      <c r="B804" s="0" t="s">
        <v>134</v>
      </c>
      <c r="C804" s="0" t="s">
        <v>134</v>
      </c>
      <c r="D804" s="0" t="s">
        <v>230</v>
      </c>
      <c r="E804" s="0" t="s">
        <v>2</v>
      </c>
      <c r="F804" s="0" t="s">
        <v>12</v>
      </c>
      <c r="G804" s="0" t="s">
        <v>8</v>
      </c>
      <c r="H804" s="0">
        <v>2449</v>
      </c>
      <c r="I804" s="0">
        <v>46</v>
      </c>
      <c r="J804" s="0">
        <v>0</v>
      </c>
      <c r="K804" s="0">
        <v>1</v>
      </c>
      <c r="L804" s="0">
        <v>3</v>
      </c>
      <c r="M804" s="0">
        <v>1</v>
      </c>
      <c r="N804" s="0">
        <v>0</v>
      </c>
      <c r="O804" s="0">
        <v>0</v>
      </c>
      <c r="P804" s="0">
        <v>-46</v>
      </c>
      <c r="R804" s="0" t="b">
        <v>0</v>
      </c>
      <c r="S804" s="0" t="b">
        <v>0</v>
      </c>
      <c r="T804" s="68">
        <v>43604.5631828704</v>
      </c>
      <c r="U804" s="68">
        <v>43634.3333333333</v>
      </c>
      <c r="V804" s="68">
        <v>46086.4977893519</v>
      </c>
      <c r="W804" s="0">
        <f>IF(IF(B804="none",1,IF(B804="Trialer",1,0))+IF(C804="Customer",1,IF(C804="Lost",1,0))=2,1,0)</f>
      </c>
      <c r="X804" s="0" t="s">
        <v>166</v>
      </c>
      <c r="Y804" s="0" t="s">
        <v>499</v>
      </c>
      <c r="AV804" s="68"/>
      <c r="AW804" s="68"/>
      <c r="AY804" s="27"/>
      <c r="BD804" s="68">
        <v>46054.1666666667</v>
      </c>
      <c r="BE804" s="68">
        <v>46082.1666666667</v>
      </c>
      <c r="BF804" s="0" t="b">
        <v>0</v>
      </c>
      <c r="BG804" s="0" t="b">
        <v>0</v>
      </c>
      <c r="BH804" s="0">
        <v>52</v>
      </c>
      <c r="BI804" s="0">
        <v>52</v>
      </c>
      <c r="BJ804" s="0" t="s">
        <v>230</v>
      </c>
    </row>
    <row r="805">
      <c r="A805" s="0" t="s">
        <v>1000</v>
      </c>
      <c r="B805" s="0" t="s">
        <v>134</v>
      </c>
      <c r="C805" s="0" t="s">
        <v>134</v>
      </c>
      <c r="D805" s="0" t="s">
        <v>135</v>
      </c>
      <c r="E805" s="0" t="s">
        <v>3</v>
      </c>
      <c r="F805" s="0" t="s">
        <v>10</v>
      </c>
      <c r="G805" s="0" t="s">
        <v>8</v>
      </c>
      <c r="H805" s="0">
        <v>2448</v>
      </c>
      <c r="I805" s="0">
        <v>56</v>
      </c>
      <c r="J805" s="0">
        <v>0</v>
      </c>
      <c r="K805" s="0">
        <v>1</v>
      </c>
      <c r="L805" s="0">
        <v>1</v>
      </c>
      <c r="M805" s="0">
        <v>2</v>
      </c>
      <c r="N805" s="0">
        <v>0</v>
      </c>
      <c r="O805" s="0">
        <v>0</v>
      </c>
      <c r="P805" s="0">
        <v>0</v>
      </c>
      <c r="Q805" s="0" t="s">
        <v>618</v>
      </c>
      <c r="R805" s="0" t="b">
        <v>0</v>
      </c>
      <c r="S805" s="0" t="b">
        <v>1</v>
      </c>
      <c r="T805" s="68">
        <v>43605.5472222222</v>
      </c>
      <c r="U805" s="68">
        <v>43635.5</v>
      </c>
      <c r="V805" s="68">
        <v>0</v>
      </c>
      <c r="W805" s="0">
        <f>IF(IF(B805="none",1,IF(B805="Trialer",1,0))+IF(C805="Customer",1,IF(C805="Lost",1,0))=2,1,0)</f>
      </c>
      <c r="X805" s="0" t="s">
        <v>148</v>
      </c>
      <c r="Y805" s="0" t="s">
        <v>243</v>
      </c>
      <c r="AV805" s="68"/>
      <c r="AW805" s="68"/>
      <c r="AY805" s="27"/>
      <c r="BD805" s="68">
        <v>46054.1666666667</v>
      </c>
      <c r="BE805" s="68">
        <v>46082.1666666667</v>
      </c>
      <c r="BF805" s="0" t="b">
        <v>0</v>
      </c>
      <c r="BG805" s="0" t="b">
        <v>0</v>
      </c>
      <c r="BH805" s="0">
        <v>56</v>
      </c>
      <c r="BI805" s="0">
        <v>56</v>
      </c>
      <c r="BJ805" s="0" t="s">
        <v>135</v>
      </c>
    </row>
    <row r="806">
      <c r="A806" s="0" t="s">
        <v>1001</v>
      </c>
      <c r="B806" s="0" t="s">
        <v>134</v>
      </c>
      <c r="C806" s="0" t="s">
        <v>134</v>
      </c>
      <c r="D806" s="0" t="s">
        <v>135</v>
      </c>
      <c r="E806" s="0" t="s">
        <v>3</v>
      </c>
      <c r="F806" s="0" t="s">
        <v>12</v>
      </c>
      <c r="G806" s="0" t="s">
        <v>8</v>
      </c>
      <c r="H806" s="0">
        <v>2447</v>
      </c>
      <c r="I806" s="0">
        <v>0</v>
      </c>
      <c r="J806" s="0">
        <v>0</v>
      </c>
      <c r="K806" s="0">
        <v>1</v>
      </c>
      <c r="L806" s="0">
        <v>3</v>
      </c>
      <c r="M806" s="0">
        <v>2</v>
      </c>
      <c r="N806" s="0">
        <v>0</v>
      </c>
      <c r="O806" s="0">
        <v>0</v>
      </c>
      <c r="P806" s="0">
        <v>0</v>
      </c>
      <c r="R806" s="0" t="b">
        <v>0</v>
      </c>
      <c r="S806" s="0" t="b">
        <v>1</v>
      </c>
      <c r="T806" s="68">
        <v>43606.6753472222</v>
      </c>
      <c r="U806" s="68">
        <v>43636.3333333333</v>
      </c>
      <c r="V806" s="68">
        <v>0</v>
      </c>
      <c r="W806" s="0">
        <f>IF(IF(B806="none",1,IF(B806="Trialer",1,0))+IF(C806="Customer",1,IF(C806="Lost",1,0))=2,1,0)</f>
      </c>
      <c r="X806" s="0" t="s">
        <v>148</v>
      </c>
      <c r="Y806" s="0" t="s">
        <v>243</v>
      </c>
      <c r="AV806" s="68"/>
      <c r="AW806" s="68"/>
      <c r="AY806" s="27"/>
      <c r="BD806" s="68">
        <v>46054.1666666667</v>
      </c>
      <c r="BE806" s="68">
        <v>46082.1666666667</v>
      </c>
      <c r="BF806" s="0" t="b">
        <v>0</v>
      </c>
      <c r="BG806" s="0" t="b">
        <v>0</v>
      </c>
      <c r="BH806" s="0">
        <v>0</v>
      </c>
      <c r="BI806" s="0">
        <v>0</v>
      </c>
      <c r="BJ806" s="0" t="s">
        <v>135</v>
      </c>
    </row>
    <row r="807">
      <c r="A807" s="0" t="s">
        <v>1002</v>
      </c>
      <c r="B807" s="0" t="s">
        <v>134</v>
      </c>
      <c r="C807" s="0" t="s">
        <v>134</v>
      </c>
      <c r="D807" s="0" t="s">
        <v>135</v>
      </c>
      <c r="E807" s="0" t="s">
        <v>3</v>
      </c>
      <c r="F807" s="0" t="s">
        <v>12</v>
      </c>
      <c r="G807" s="0" t="s">
        <v>8</v>
      </c>
      <c r="H807" s="0">
        <v>2444</v>
      </c>
      <c r="I807" s="0">
        <v>0</v>
      </c>
      <c r="J807" s="0">
        <v>0</v>
      </c>
      <c r="K807" s="0">
        <v>1</v>
      </c>
      <c r="L807" s="0">
        <v>3</v>
      </c>
      <c r="M807" s="0">
        <v>1</v>
      </c>
      <c r="N807" s="0">
        <v>0</v>
      </c>
      <c r="O807" s="0">
        <v>0</v>
      </c>
      <c r="P807" s="0">
        <v>0</v>
      </c>
      <c r="R807" s="0" t="b">
        <v>0</v>
      </c>
      <c r="S807" s="0" t="b">
        <v>1</v>
      </c>
      <c r="T807" s="68">
        <v>43609.6079861111</v>
      </c>
      <c r="U807" s="68">
        <v>43639.3333333333</v>
      </c>
      <c r="V807" s="68">
        <v>0</v>
      </c>
      <c r="W807" s="0">
        <f>IF(IF(B807="none",1,IF(B807="Trialer",1,0))+IF(C807="Customer",1,IF(C807="Lost",1,0))=2,1,0)</f>
      </c>
      <c r="X807" s="0" t="s">
        <v>136</v>
      </c>
      <c r="Y807" s="0" t="s">
        <v>243</v>
      </c>
      <c r="AV807" s="68"/>
      <c r="AW807" s="68"/>
      <c r="AY807" s="27"/>
      <c r="BD807" s="68">
        <v>46054.1666666667</v>
      </c>
      <c r="BE807" s="68">
        <v>46082.1666666667</v>
      </c>
      <c r="BF807" s="0" t="b">
        <v>0</v>
      </c>
      <c r="BG807" s="0" t="b">
        <v>0</v>
      </c>
      <c r="BH807" s="0">
        <v>0</v>
      </c>
      <c r="BI807" s="0">
        <v>0</v>
      </c>
      <c r="BJ807" s="0" t="s">
        <v>230</v>
      </c>
    </row>
    <row r="808">
      <c r="A808" s="0" t="s">
        <v>1003</v>
      </c>
      <c r="B808" s="0" t="s">
        <v>134</v>
      </c>
      <c r="C808" s="0" t="s">
        <v>134</v>
      </c>
      <c r="D808" s="0" t="s">
        <v>135</v>
      </c>
      <c r="E808" s="0" t="s">
        <v>3</v>
      </c>
      <c r="F808" s="0" t="s">
        <v>12</v>
      </c>
      <c r="G808" s="0" t="s">
        <v>8</v>
      </c>
      <c r="H808" s="0">
        <v>2443</v>
      </c>
      <c r="I808" s="0">
        <v>49</v>
      </c>
      <c r="J808" s="0">
        <v>0</v>
      </c>
      <c r="K808" s="0">
        <v>1</v>
      </c>
      <c r="L808" s="0">
        <v>3</v>
      </c>
      <c r="M808" s="0">
        <v>1</v>
      </c>
      <c r="N808" s="0">
        <v>0</v>
      </c>
      <c r="O808" s="0">
        <v>0</v>
      </c>
      <c r="P808" s="0">
        <v>0</v>
      </c>
      <c r="R808" s="0" t="b">
        <v>0</v>
      </c>
      <c r="S808" s="0" t="b">
        <v>1</v>
      </c>
      <c r="T808" s="68">
        <v>43610.426412037</v>
      </c>
      <c r="U808" s="68">
        <v>43640.3333333333</v>
      </c>
      <c r="V808" s="68">
        <v>0</v>
      </c>
      <c r="W808" s="0">
        <f>IF(IF(B808="none",1,IF(B808="Trialer",1,0))+IF(C808="Customer",1,IF(C808="Lost",1,0))=2,1,0)</f>
      </c>
      <c r="X808" s="0" t="s">
        <v>166</v>
      </c>
      <c r="Y808" s="0" t="s">
        <v>243</v>
      </c>
      <c r="AV808" s="68"/>
      <c r="AW808" s="68"/>
      <c r="AY808" s="27"/>
      <c r="BD808" s="68">
        <v>46054.1666666667</v>
      </c>
      <c r="BE808" s="68">
        <v>46082.1666666667</v>
      </c>
      <c r="BF808" s="0" t="b">
        <v>0</v>
      </c>
      <c r="BG808" s="0" t="b">
        <v>0</v>
      </c>
      <c r="BH808" s="0">
        <v>49</v>
      </c>
      <c r="BI808" s="0">
        <v>49</v>
      </c>
      <c r="BJ808" s="0" t="s">
        <v>135</v>
      </c>
    </row>
    <row r="809">
      <c r="A809" s="0" t="s">
        <v>1004</v>
      </c>
      <c r="B809" s="0" t="s">
        <v>134</v>
      </c>
      <c r="C809" s="0" t="s">
        <v>134</v>
      </c>
      <c r="D809" s="0" t="s">
        <v>135</v>
      </c>
      <c r="E809" s="0" t="s">
        <v>3</v>
      </c>
      <c r="F809" s="0" t="s">
        <v>10</v>
      </c>
      <c r="G809" s="0" t="s">
        <v>8</v>
      </c>
      <c r="H809" s="0">
        <v>2439</v>
      </c>
      <c r="I809" s="0">
        <v>80</v>
      </c>
      <c r="J809" s="0">
        <v>0</v>
      </c>
      <c r="K809" s="0">
        <v>1</v>
      </c>
      <c r="L809" s="0">
        <v>2</v>
      </c>
      <c r="M809" s="0">
        <v>2</v>
      </c>
      <c r="N809" s="0">
        <v>0</v>
      </c>
      <c r="O809" s="0">
        <v>0</v>
      </c>
      <c r="P809" s="0">
        <v>0</v>
      </c>
      <c r="Q809" s="0" t="s">
        <v>1005</v>
      </c>
      <c r="R809" s="0" t="b">
        <v>0</v>
      </c>
      <c r="S809" s="0" t="b">
        <v>1</v>
      </c>
      <c r="T809" s="68">
        <v>43614.5985416667</v>
      </c>
      <c r="U809" s="68">
        <v>43644.3333333333</v>
      </c>
      <c r="V809" s="68">
        <v>0</v>
      </c>
      <c r="W809" s="0">
        <f>IF(IF(B809="none",1,IF(B809="Trialer",1,0))+IF(C809="Customer",1,IF(C809="Lost",1,0))=2,1,0)</f>
      </c>
      <c r="X809" s="0" t="s">
        <v>148</v>
      </c>
      <c r="Y809" s="0" t="s">
        <v>243</v>
      </c>
      <c r="AV809" s="68"/>
      <c r="AW809" s="68"/>
      <c r="AY809" s="27"/>
      <c r="BD809" s="68">
        <v>46054.1666666667</v>
      </c>
      <c r="BE809" s="68">
        <v>46082.1666666667</v>
      </c>
      <c r="BF809" s="0" t="b">
        <v>0</v>
      </c>
      <c r="BG809" s="0" t="b">
        <v>0</v>
      </c>
      <c r="BH809" s="0">
        <v>80</v>
      </c>
      <c r="BI809" s="0">
        <v>80</v>
      </c>
      <c r="BJ809" s="0" t="s">
        <v>135</v>
      </c>
    </row>
    <row r="810">
      <c r="A810" s="0" t="s">
        <v>1006</v>
      </c>
      <c r="B810" s="0" t="s">
        <v>134</v>
      </c>
      <c r="C810" s="0" t="s">
        <v>134</v>
      </c>
      <c r="D810" s="0" t="s">
        <v>135</v>
      </c>
      <c r="E810" s="0" t="s">
        <v>3</v>
      </c>
      <c r="F810" s="0" t="s">
        <v>12</v>
      </c>
      <c r="G810" s="0" t="s">
        <v>8</v>
      </c>
      <c r="H810" s="0">
        <v>2439</v>
      </c>
      <c r="I810" s="0">
        <v>0</v>
      </c>
      <c r="J810" s="0">
        <v>0</v>
      </c>
      <c r="K810" s="0">
        <v>1</v>
      </c>
      <c r="L810" s="0">
        <v>4</v>
      </c>
      <c r="M810" s="0">
        <v>2</v>
      </c>
      <c r="N810" s="0">
        <v>0</v>
      </c>
      <c r="O810" s="0">
        <v>0</v>
      </c>
      <c r="P810" s="0">
        <v>0</v>
      </c>
      <c r="R810" s="0" t="b">
        <v>0</v>
      </c>
      <c r="S810" s="0" t="b">
        <v>1</v>
      </c>
      <c r="T810" s="68">
        <v>43614.7219791667</v>
      </c>
      <c r="U810" s="68">
        <v>43644.3333333333</v>
      </c>
      <c r="V810" s="68">
        <v>0</v>
      </c>
      <c r="W810" s="0">
        <f>IF(IF(B810="none",1,IF(B810="Trialer",1,0))+IF(C810="Customer",1,IF(C810="Lost",1,0))=2,1,0)</f>
      </c>
      <c r="X810" s="0" t="s">
        <v>148</v>
      </c>
      <c r="Y810" s="0" t="s">
        <v>243</v>
      </c>
      <c r="AV810" s="68"/>
      <c r="AW810" s="68"/>
      <c r="AY810" s="27"/>
      <c r="BD810" s="68">
        <v>46054.1666666667</v>
      </c>
      <c r="BE810" s="68">
        <v>46082.1666666667</v>
      </c>
      <c r="BF810" s="0" t="b">
        <v>0</v>
      </c>
      <c r="BG810" s="0" t="b">
        <v>0</v>
      </c>
      <c r="BH810" s="0">
        <v>0</v>
      </c>
      <c r="BI810" s="0">
        <v>0</v>
      </c>
      <c r="BJ810" s="0" t="s">
        <v>135</v>
      </c>
    </row>
    <row r="811">
      <c r="A811" s="0" t="s">
        <v>1007</v>
      </c>
      <c r="B811" s="0" t="s">
        <v>134</v>
      </c>
      <c r="C811" s="0" t="s">
        <v>134</v>
      </c>
      <c r="D811" s="0" t="s">
        <v>230</v>
      </c>
      <c r="E811" s="0" t="s">
        <v>2</v>
      </c>
      <c r="F811" s="0" t="s">
        <v>12</v>
      </c>
      <c r="G811" s="0" t="s">
        <v>8</v>
      </c>
      <c r="H811" s="0">
        <v>2439</v>
      </c>
      <c r="I811" s="0">
        <v>132</v>
      </c>
      <c r="J811" s="0">
        <v>0</v>
      </c>
      <c r="K811" s="0">
        <v>1</v>
      </c>
      <c r="L811" s="0">
        <v>2</v>
      </c>
      <c r="M811" s="0">
        <v>4</v>
      </c>
      <c r="N811" s="0">
        <v>0</v>
      </c>
      <c r="O811" s="0">
        <v>0</v>
      </c>
      <c r="P811" s="0">
        <v>-132</v>
      </c>
      <c r="R811" s="0" t="b">
        <v>0</v>
      </c>
      <c r="S811" s="0" t="b">
        <v>1</v>
      </c>
      <c r="T811" s="68">
        <v>43614.8034722222</v>
      </c>
      <c r="U811" s="68">
        <v>43658.5</v>
      </c>
      <c r="V811" s="68">
        <v>0</v>
      </c>
      <c r="W811" s="0">
        <f>IF(IF(B811="none",1,IF(B811="Trialer",1,0))+IF(C811="Customer",1,IF(C811="Lost",1,0))=2,1,0)</f>
      </c>
      <c r="X811" s="0" t="s">
        <v>136</v>
      </c>
      <c r="Y811" s="0" t="s">
        <v>499</v>
      </c>
      <c r="AV811" s="68"/>
      <c r="AW811" s="68"/>
      <c r="AY811" s="27"/>
      <c r="BD811" s="68">
        <v>46054.1666666667</v>
      </c>
      <c r="BE811" s="68">
        <v>46082.1666666667</v>
      </c>
      <c r="BF811" s="0" t="b">
        <v>0</v>
      </c>
      <c r="BG811" s="0" t="b">
        <v>0</v>
      </c>
      <c r="BH811" s="0">
        <v>148</v>
      </c>
      <c r="BI811" s="0">
        <v>148</v>
      </c>
      <c r="BJ811" s="0" t="s">
        <v>230</v>
      </c>
    </row>
    <row r="812">
      <c r="A812" s="0" t="s">
        <v>1008</v>
      </c>
      <c r="B812" s="0" t="s">
        <v>134</v>
      </c>
      <c r="C812" s="0" t="s">
        <v>134</v>
      </c>
      <c r="D812" s="0" t="s">
        <v>135</v>
      </c>
      <c r="E812" s="0" t="s">
        <v>3</v>
      </c>
      <c r="F812" s="0" t="s">
        <v>12</v>
      </c>
      <c r="G812" s="0" t="s">
        <v>8</v>
      </c>
      <c r="H812" s="0">
        <v>2437</v>
      </c>
      <c r="I812" s="0">
        <v>0</v>
      </c>
      <c r="J812" s="0">
        <v>0</v>
      </c>
      <c r="K812" s="0">
        <v>1</v>
      </c>
      <c r="L812" s="0">
        <v>3</v>
      </c>
      <c r="M812" s="0">
        <v>1</v>
      </c>
      <c r="N812" s="0">
        <v>0</v>
      </c>
      <c r="O812" s="0">
        <v>0</v>
      </c>
      <c r="P812" s="0">
        <v>0</v>
      </c>
      <c r="R812" s="0" t="b">
        <v>0</v>
      </c>
      <c r="S812" s="0" t="b">
        <v>1</v>
      </c>
      <c r="T812" s="68">
        <v>43616.35625</v>
      </c>
      <c r="U812" s="68">
        <v>43646.5</v>
      </c>
      <c r="V812" s="68">
        <v>0</v>
      </c>
      <c r="W812" s="0">
        <f>IF(IF(B812="none",1,IF(B812="Trialer",1,0))+IF(C812="Customer",1,IF(C812="Lost",1,0))=2,1,0)</f>
      </c>
      <c r="X812" s="0" t="s">
        <v>148</v>
      </c>
      <c r="Y812" s="0" t="s">
        <v>243</v>
      </c>
      <c r="AV812" s="68"/>
      <c r="AW812" s="68"/>
      <c r="AY812" s="27"/>
      <c r="BD812" s="68">
        <v>46054.1666666667</v>
      </c>
      <c r="BE812" s="68">
        <v>46082.1666666667</v>
      </c>
      <c r="BF812" s="0" t="b">
        <v>0</v>
      </c>
      <c r="BG812" s="0" t="b">
        <v>0</v>
      </c>
      <c r="BH812" s="0">
        <v>0</v>
      </c>
      <c r="BI812" s="0">
        <v>0</v>
      </c>
      <c r="BJ812" s="0" t="s">
        <v>135</v>
      </c>
    </row>
    <row r="813">
      <c r="A813" s="0" t="s">
        <v>1009</v>
      </c>
      <c r="B813" s="0" t="s">
        <v>134</v>
      </c>
      <c r="C813" s="0" t="s">
        <v>134</v>
      </c>
      <c r="D813" s="0" t="s">
        <v>230</v>
      </c>
      <c r="E813" s="0" t="s">
        <v>3</v>
      </c>
      <c r="F813" s="0" t="s">
        <v>12</v>
      </c>
      <c r="G813" s="0" t="s">
        <v>8</v>
      </c>
      <c r="H813" s="0">
        <v>2436</v>
      </c>
      <c r="I813" s="0">
        <v>25</v>
      </c>
      <c r="J813" s="0">
        <v>0</v>
      </c>
      <c r="K813" s="0">
        <v>1</v>
      </c>
      <c r="L813" s="0">
        <v>1</v>
      </c>
      <c r="M813" s="0">
        <v>1</v>
      </c>
      <c r="N813" s="0">
        <v>0</v>
      </c>
      <c r="O813" s="0">
        <v>0</v>
      </c>
      <c r="P813" s="0">
        <v>-25</v>
      </c>
      <c r="R813" s="0" t="b">
        <v>0</v>
      </c>
      <c r="S813" s="0" t="b">
        <v>1</v>
      </c>
      <c r="T813" s="68">
        <v>43617.624537037</v>
      </c>
      <c r="U813" s="68">
        <v>43647.3333333333</v>
      </c>
      <c r="V813" s="68">
        <v>0</v>
      </c>
      <c r="W813" s="0">
        <f>IF(IF(B813="none",1,IF(B813="Trialer",1,0))+IF(C813="Customer",1,IF(C813="Lost",1,0))=2,1,0)</f>
      </c>
      <c r="X813" s="0" t="s">
        <v>166</v>
      </c>
      <c r="Y813" s="0" t="s">
        <v>487</v>
      </c>
      <c r="AV813" s="68"/>
      <c r="AW813" s="68"/>
      <c r="AY813" s="27"/>
      <c r="BD813" s="68">
        <v>46054.1666666667</v>
      </c>
      <c r="BE813" s="68">
        <v>46082.1666666667</v>
      </c>
      <c r="BF813" s="0" t="b">
        <v>0</v>
      </c>
      <c r="BG813" s="0" t="b">
        <v>0</v>
      </c>
      <c r="BH813" s="0">
        <v>28</v>
      </c>
      <c r="BI813" s="0">
        <v>28</v>
      </c>
      <c r="BJ813" s="0" t="s">
        <v>230</v>
      </c>
    </row>
    <row r="814">
      <c r="A814" s="0" t="s">
        <v>1010</v>
      </c>
      <c r="B814" s="0" t="s">
        <v>134</v>
      </c>
      <c r="C814" s="0" t="s">
        <v>134</v>
      </c>
      <c r="D814" s="0" t="s">
        <v>230</v>
      </c>
      <c r="E814" s="0" t="s">
        <v>2</v>
      </c>
      <c r="F814" s="0" t="s">
        <v>12</v>
      </c>
      <c r="G814" s="0" t="s">
        <v>8</v>
      </c>
      <c r="H814" s="0">
        <v>2432</v>
      </c>
      <c r="I814" s="0">
        <v>242</v>
      </c>
      <c r="J814" s="0">
        <v>0</v>
      </c>
      <c r="K814" s="0">
        <v>1</v>
      </c>
      <c r="L814" s="0">
        <v>3</v>
      </c>
      <c r="M814" s="0">
        <v>6</v>
      </c>
      <c r="N814" s="0">
        <v>0</v>
      </c>
      <c r="O814" s="0">
        <v>0</v>
      </c>
      <c r="P814" s="0">
        <v>-242</v>
      </c>
      <c r="R814" s="0" t="b">
        <v>0</v>
      </c>
      <c r="S814" s="0" t="b">
        <v>1</v>
      </c>
      <c r="T814" s="68">
        <v>43621.4366898148</v>
      </c>
      <c r="U814" s="68">
        <v>43651.3333333333</v>
      </c>
      <c r="V814" s="68">
        <v>0</v>
      </c>
      <c r="W814" s="0">
        <f>IF(IF(B814="none",1,IF(B814="Trialer",1,0))+IF(C814="Customer",1,IF(C814="Lost",1,0))=2,1,0)</f>
      </c>
      <c r="X814" s="0" t="s">
        <v>136</v>
      </c>
      <c r="Y814" s="0" t="s">
        <v>499</v>
      </c>
      <c r="AV814" s="68"/>
      <c r="AW814" s="68"/>
      <c r="AY814" s="27"/>
      <c r="BD814" s="68">
        <v>46054.1666666667</v>
      </c>
      <c r="BE814" s="68">
        <v>46082.1666666667</v>
      </c>
      <c r="BF814" s="0" t="b">
        <v>0</v>
      </c>
      <c r="BG814" s="0" t="b">
        <v>0</v>
      </c>
      <c r="BH814" s="0">
        <v>270</v>
      </c>
      <c r="BI814" s="0">
        <v>270</v>
      </c>
      <c r="BJ814" s="0" t="s">
        <v>230</v>
      </c>
    </row>
    <row r="815">
      <c r="A815" s="0" t="s">
        <v>1011</v>
      </c>
      <c r="B815" s="0" t="s">
        <v>134</v>
      </c>
      <c r="C815" s="0" t="s">
        <v>134</v>
      </c>
      <c r="D815" s="0" t="s">
        <v>135</v>
      </c>
      <c r="E815" s="0" t="s">
        <v>3</v>
      </c>
      <c r="F815" s="0" t="s">
        <v>12</v>
      </c>
      <c r="G815" s="0" t="s">
        <v>8</v>
      </c>
      <c r="H815" s="0">
        <v>2432</v>
      </c>
      <c r="I815" s="0">
        <v>461</v>
      </c>
      <c r="J815" s="0">
        <v>0</v>
      </c>
      <c r="K815" s="0">
        <v>1</v>
      </c>
      <c r="L815" s="0">
        <v>4</v>
      </c>
      <c r="M815" s="0">
        <v>11</v>
      </c>
      <c r="N815" s="0">
        <v>0</v>
      </c>
      <c r="O815" s="0">
        <v>0</v>
      </c>
      <c r="P815" s="0">
        <v>0</v>
      </c>
      <c r="R815" s="0" t="b">
        <v>0</v>
      </c>
      <c r="S815" s="0" t="b">
        <v>1</v>
      </c>
      <c r="T815" s="68">
        <v>43621.7164351852</v>
      </c>
      <c r="U815" s="68">
        <v>43651.3333333333</v>
      </c>
      <c r="V815" s="68">
        <v>0</v>
      </c>
      <c r="W815" s="0">
        <f>IF(IF(B815="none",1,IF(B815="Trialer",1,0))+IF(C815="Customer",1,IF(C815="Lost",1,0))=2,1,0)</f>
      </c>
      <c r="X815" s="0" t="s">
        <v>136</v>
      </c>
      <c r="Y815" s="0" t="s">
        <v>243</v>
      </c>
      <c r="AV815" s="68"/>
      <c r="AW815" s="68"/>
      <c r="AY815" s="27"/>
      <c r="BD815" s="68">
        <v>46054.1666666667</v>
      </c>
      <c r="BE815" s="68">
        <v>46082.1666666667</v>
      </c>
      <c r="BF815" s="0" t="b">
        <v>0</v>
      </c>
      <c r="BG815" s="0" t="b">
        <v>0</v>
      </c>
      <c r="BH815" s="0">
        <v>541</v>
      </c>
      <c r="BI815" s="0">
        <v>541</v>
      </c>
      <c r="BJ815" s="0" t="s">
        <v>135</v>
      </c>
    </row>
    <row r="816">
      <c r="A816" s="0" t="s">
        <v>1012</v>
      </c>
      <c r="B816" s="0" t="s">
        <v>134</v>
      </c>
      <c r="C816" s="0" t="s">
        <v>134</v>
      </c>
      <c r="D816" s="0" t="s">
        <v>135</v>
      </c>
      <c r="E816" s="0" t="s">
        <v>3</v>
      </c>
      <c r="F816" s="0" t="s">
        <v>12</v>
      </c>
      <c r="G816" s="0" t="s">
        <v>8</v>
      </c>
      <c r="H816" s="0">
        <v>2432</v>
      </c>
      <c r="I816" s="0">
        <v>0</v>
      </c>
      <c r="J816" s="0">
        <v>0</v>
      </c>
      <c r="K816" s="0">
        <v>1</v>
      </c>
      <c r="L816" s="0">
        <v>3</v>
      </c>
      <c r="M816" s="0">
        <v>1</v>
      </c>
      <c r="N816" s="0">
        <v>0</v>
      </c>
      <c r="O816" s="0">
        <v>0</v>
      </c>
      <c r="P816" s="0">
        <v>0</v>
      </c>
      <c r="R816" s="0" t="b">
        <v>0</v>
      </c>
      <c r="S816" s="0" t="b">
        <v>1</v>
      </c>
      <c r="T816" s="68">
        <v>43621.85</v>
      </c>
      <c r="U816" s="68">
        <v>43651.5</v>
      </c>
      <c r="V816" s="68">
        <v>0</v>
      </c>
      <c r="W816" s="0">
        <f>IF(IF(B816="none",1,IF(B816="Trialer",1,0))+IF(C816="Customer",1,IF(C816="Lost",1,0))=2,1,0)</f>
      </c>
      <c r="X816" s="0" t="s">
        <v>148</v>
      </c>
      <c r="Y816" s="0" t="s">
        <v>243</v>
      </c>
      <c r="AV816" s="68"/>
      <c r="AW816" s="68"/>
      <c r="AY816" s="27"/>
      <c r="BD816" s="68">
        <v>46054.1666666667</v>
      </c>
      <c r="BE816" s="68">
        <v>46082.1666666667</v>
      </c>
      <c r="BF816" s="0" t="b">
        <v>0</v>
      </c>
      <c r="BG816" s="0" t="b">
        <v>0</v>
      </c>
      <c r="BH816" s="0">
        <v>0</v>
      </c>
      <c r="BI816" s="0">
        <v>0</v>
      </c>
      <c r="BJ816" s="0" t="s">
        <v>135</v>
      </c>
    </row>
    <row r="817">
      <c r="A817" s="0" t="s">
        <v>1013</v>
      </c>
      <c r="B817" s="0" t="s">
        <v>134</v>
      </c>
      <c r="C817" s="0" t="s">
        <v>134</v>
      </c>
      <c r="D817" s="0" t="s">
        <v>135</v>
      </c>
      <c r="E817" s="0" t="s">
        <v>3</v>
      </c>
      <c r="F817" s="0" t="s">
        <v>12</v>
      </c>
      <c r="G817" s="0" t="s">
        <v>8</v>
      </c>
      <c r="H817" s="0">
        <v>2431</v>
      </c>
      <c r="I817" s="0">
        <v>0</v>
      </c>
      <c r="J817" s="0">
        <v>0</v>
      </c>
      <c r="K817" s="0">
        <v>1</v>
      </c>
      <c r="L817" s="0">
        <v>3</v>
      </c>
      <c r="M817" s="0">
        <v>2</v>
      </c>
      <c r="N817" s="0">
        <v>0</v>
      </c>
      <c r="O817" s="0">
        <v>0</v>
      </c>
      <c r="P817" s="0">
        <v>0</v>
      </c>
      <c r="R817" s="0" t="b">
        <v>0</v>
      </c>
      <c r="S817" s="0" t="b">
        <v>1</v>
      </c>
      <c r="T817" s="68">
        <v>43622.8118055556</v>
      </c>
      <c r="U817" s="68">
        <v>43672.5</v>
      </c>
      <c r="V817" s="68">
        <v>0</v>
      </c>
      <c r="W817" s="0">
        <f>IF(IF(B817="none",1,IF(B817="Trialer",1,0))+IF(C817="Customer",1,IF(C817="Lost",1,0))=2,1,0)</f>
      </c>
      <c r="X817" s="0" t="s">
        <v>153</v>
      </c>
      <c r="Y817" s="0" t="s">
        <v>243</v>
      </c>
      <c r="AV817" s="68"/>
      <c r="AW817" s="68"/>
      <c r="AY817" s="27"/>
      <c r="BD817" s="68">
        <v>46054.1666666667</v>
      </c>
      <c r="BE817" s="68">
        <v>46082.1666666667</v>
      </c>
      <c r="BF817" s="0" t="b">
        <v>0</v>
      </c>
      <c r="BG817" s="0" t="b">
        <v>0</v>
      </c>
      <c r="BH817" s="0">
        <v>0</v>
      </c>
      <c r="BI817" s="0">
        <v>0</v>
      </c>
      <c r="BJ817" s="0" t="s">
        <v>230</v>
      </c>
    </row>
    <row r="818">
      <c r="A818" s="0" t="s">
        <v>1014</v>
      </c>
      <c r="B818" s="0" t="s">
        <v>134</v>
      </c>
      <c r="C818" s="0" t="s">
        <v>134</v>
      </c>
      <c r="D818" s="0" t="s">
        <v>135</v>
      </c>
      <c r="E818" s="0" t="s">
        <v>2</v>
      </c>
      <c r="F818" s="0" t="s">
        <v>12</v>
      </c>
      <c r="G818" s="0" t="s">
        <v>8</v>
      </c>
      <c r="H818" s="0">
        <v>2426</v>
      </c>
      <c r="I818" s="0">
        <v>548</v>
      </c>
      <c r="J818" s="0">
        <v>0</v>
      </c>
      <c r="K818" s="0">
        <v>1</v>
      </c>
      <c r="L818" s="0">
        <v>4</v>
      </c>
      <c r="M818" s="0">
        <v>11</v>
      </c>
      <c r="N818" s="0">
        <v>0</v>
      </c>
      <c r="O818" s="0">
        <v>0</v>
      </c>
      <c r="P818" s="0">
        <v>0</v>
      </c>
      <c r="R818" s="0" t="b">
        <v>0</v>
      </c>
      <c r="S818" s="0" t="b">
        <v>1</v>
      </c>
      <c r="T818" s="68">
        <v>43627.547650463</v>
      </c>
      <c r="U818" s="68">
        <v>43657.3333333333</v>
      </c>
      <c r="V818" s="68">
        <v>0</v>
      </c>
      <c r="W818" s="0">
        <f>IF(IF(B818="none",1,IF(B818="Trialer",1,0))+IF(C818="Customer",1,IF(C818="Lost",1,0))=2,1,0)</f>
      </c>
      <c r="X818" s="0" t="s">
        <v>145</v>
      </c>
      <c r="Y818" s="0" t="s">
        <v>499</v>
      </c>
      <c r="AV818" s="68"/>
      <c r="AW818" s="68"/>
      <c r="AY818" s="27"/>
      <c r="BD818" s="68">
        <v>46054.1666666667</v>
      </c>
      <c r="BE818" s="68">
        <v>46082.1666666667</v>
      </c>
      <c r="BF818" s="0" t="b">
        <v>0</v>
      </c>
      <c r="BG818" s="0" t="b">
        <v>0</v>
      </c>
      <c r="BH818" s="0">
        <v>548</v>
      </c>
      <c r="BI818" s="0">
        <v>548</v>
      </c>
      <c r="BJ818" s="0" t="s">
        <v>135</v>
      </c>
    </row>
    <row r="819">
      <c r="A819" s="0" t="s">
        <v>1015</v>
      </c>
      <c r="B819" s="0" t="s">
        <v>134</v>
      </c>
      <c r="C819" s="0" t="s">
        <v>134</v>
      </c>
      <c r="D819" s="0" t="s">
        <v>230</v>
      </c>
      <c r="E819" s="0" t="s">
        <v>3</v>
      </c>
      <c r="F819" s="0" t="s">
        <v>12</v>
      </c>
      <c r="G819" s="0" t="s">
        <v>8</v>
      </c>
      <c r="H819" s="0">
        <v>2425</v>
      </c>
      <c r="I819" s="0">
        <v>56</v>
      </c>
      <c r="J819" s="0">
        <v>0</v>
      </c>
      <c r="K819" s="0">
        <v>1</v>
      </c>
      <c r="L819" s="0">
        <v>4</v>
      </c>
      <c r="M819" s="0">
        <v>1</v>
      </c>
      <c r="N819" s="0">
        <v>0</v>
      </c>
      <c r="O819" s="0">
        <v>0</v>
      </c>
      <c r="P819" s="0">
        <v>-56</v>
      </c>
      <c r="R819" s="0" t="b">
        <v>0</v>
      </c>
      <c r="S819" s="0" t="b">
        <v>1</v>
      </c>
      <c r="T819" s="68">
        <v>43628.8855787037</v>
      </c>
      <c r="U819" s="68">
        <v>43658.3333333333</v>
      </c>
      <c r="V819" s="68">
        <v>0</v>
      </c>
      <c r="W819" s="0">
        <f>IF(IF(B819="none",1,IF(B819="Trialer",1,0))+IF(C819="Customer",1,IF(C819="Lost",1,0))=2,1,0)</f>
      </c>
      <c r="X819" s="0" t="s">
        <v>142</v>
      </c>
      <c r="Y819" s="0" t="s">
        <v>243</v>
      </c>
      <c r="AV819" s="68"/>
      <c r="AW819" s="68"/>
      <c r="AY819" s="27"/>
      <c r="BD819" s="68">
        <v>46054.1666666667</v>
      </c>
      <c r="BE819" s="68">
        <v>46082.1666666667</v>
      </c>
      <c r="BF819" s="0" t="b">
        <v>0</v>
      </c>
      <c r="BG819" s="0" t="b">
        <v>0</v>
      </c>
      <c r="BH819" s="0">
        <v>64</v>
      </c>
      <c r="BI819" s="0">
        <v>64</v>
      </c>
      <c r="BJ819" s="0" t="s">
        <v>230</v>
      </c>
    </row>
    <row r="820">
      <c r="A820" s="0" t="s">
        <v>1016</v>
      </c>
      <c r="B820" s="0" t="s">
        <v>134</v>
      </c>
      <c r="C820" s="0" t="s">
        <v>134</v>
      </c>
      <c r="D820" s="0" t="s">
        <v>135</v>
      </c>
      <c r="E820" s="0" t="s">
        <v>3</v>
      </c>
      <c r="F820" s="0" t="s">
        <v>12</v>
      </c>
      <c r="G820" s="0" t="s">
        <v>8</v>
      </c>
      <c r="H820" s="0">
        <v>2424</v>
      </c>
      <c r="I820" s="0">
        <v>0</v>
      </c>
      <c r="J820" s="0">
        <v>0</v>
      </c>
      <c r="K820" s="0">
        <v>1</v>
      </c>
      <c r="L820" s="0">
        <v>3</v>
      </c>
      <c r="M820" s="0">
        <v>1</v>
      </c>
      <c r="N820" s="0">
        <v>0</v>
      </c>
      <c r="O820" s="0">
        <v>0</v>
      </c>
      <c r="P820" s="0">
        <v>0</v>
      </c>
      <c r="R820" s="0" t="b">
        <v>0</v>
      </c>
      <c r="S820" s="0" t="b">
        <v>1</v>
      </c>
      <c r="T820" s="68">
        <v>43629.9951736111</v>
      </c>
      <c r="U820" s="68">
        <v>43661.3333333333</v>
      </c>
      <c r="V820" s="68">
        <v>0</v>
      </c>
      <c r="W820" s="0">
        <f>IF(IF(B820="none",1,IF(B820="Trialer",1,0))+IF(C820="Customer",1,IF(C820="Lost",1,0))=2,1,0)</f>
      </c>
      <c r="X820" s="0" t="s">
        <v>145</v>
      </c>
      <c r="Y820" s="0" t="s">
        <v>243</v>
      </c>
      <c r="AV820" s="68"/>
      <c r="AW820" s="68"/>
      <c r="AY820" s="27"/>
      <c r="BD820" s="68">
        <v>46054.1666666667</v>
      </c>
      <c r="BE820" s="68">
        <v>46082.1666666667</v>
      </c>
      <c r="BF820" s="0" t="b">
        <v>0</v>
      </c>
      <c r="BG820" s="0" t="b">
        <v>0</v>
      </c>
      <c r="BH820" s="0">
        <v>0</v>
      </c>
      <c r="BI820" s="0">
        <v>0</v>
      </c>
      <c r="BJ820" s="0" t="s">
        <v>135</v>
      </c>
    </row>
    <row r="821">
      <c r="A821" s="0" t="s">
        <v>1017</v>
      </c>
      <c r="B821" s="0" t="s">
        <v>134</v>
      </c>
      <c r="C821" s="0" t="s">
        <v>134</v>
      </c>
      <c r="D821" s="0" t="s">
        <v>135</v>
      </c>
      <c r="E821" s="0" t="s">
        <v>3</v>
      </c>
      <c r="F821" s="0" t="s">
        <v>12</v>
      </c>
      <c r="G821" s="0" t="s">
        <v>8</v>
      </c>
      <c r="H821" s="0">
        <v>2423</v>
      </c>
      <c r="I821" s="0">
        <v>208</v>
      </c>
      <c r="J821" s="0">
        <v>0</v>
      </c>
      <c r="K821" s="0">
        <v>1</v>
      </c>
      <c r="L821" s="0">
        <v>4</v>
      </c>
      <c r="M821" s="0">
        <v>4</v>
      </c>
      <c r="N821" s="0">
        <v>0</v>
      </c>
      <c r="O821" s="0">
        <v>0</v>
      </c>
      <c r="P821" s="0">
        <v>0</v>
      </c>
      <c r="R821" s="0" t="b">
        <v>0</v>
      </c>
      <c r="S821" s="0" t="b">
        <v>1</v>
      </c>
      <c r="T821" s="68">
        <v>43630.0445023148</v>
      </c>
      <c r="U821" s="68">
        <v>43660.3333333333</v>
      </c>
      <c r="V821" s="68">
        <v>0</v>
      </c>
      <c r="W821" s="0">
        <f>IF(IF(B821="none",1,IF(B821="Trialer",1,0))+IF(C821="Customer",1,IF(C821="Lost",1,0))=2,1,0)</f>
      </c>
      <c r="X821" s="0" t="s">
        <v>148</v>
      </c>
      <c r="Y821" s="0" t="s">
        <v>243</v>
      </c>
      <c r="AV821" s="68"/>
      <c r="AW821" s="68"/>
      <c r="AY821" s="27"/>
      <c r="BD821" s="68">
        <v>46054.1666666667</v>
      </c>
      <c r="BE821" s="68">
        <v>46082.1666666667</v>
      </c>
      <c r="BF821" s="0" t="b">
        <v>0</v>
      </c>
      <c r="BG821" s="0" t="b">
        <v>0</v>
      </c>
      <c r="BH821" s="0">
        <v>160</v>
      </c>
      <c r="BI821" s="0">
        <v>160</v>
      </c>
      <c r="BJ821" s="0" t="s">
        <v>135</v>
      </c>
    </row>
    <row r="822">
      <c r="A822" s="0" t="s">
        <v>1018</v>
      </c>
      <c r="B822" s="0" t="s">
        <v>134</v>
      </c>
      <c r="C822" s="0" t="s">
        <v>134</v>
      </c>
      <c r="D822" s="0" t="s">
        <v>135</v>
      </c>
      <c r="E822" s="0" t="s">
        <v>3</v>
      </c>
      <c r="F822" s="0" t="s">
        <v>10</v>
      </c>
      <c r="G822" s="0" t="s">
        <v>8</v>
      </c>
      <c r="H822" s="0">
        <v>2416</v>
      </c>
      <c r="I822" s="0">
        <v>40</v>
      </c>
      <c r="J822" s="0">
        <v>0</v>
      </c>
      <c r="K822" s="0">
        <v>1</v>
      </c>
      <c r="L822" s="0">
        <v>2</v>
      </c>
      <c r="M822" s="0">
        <v>1</v>
      </c>
      <c r="N822" s="0">
        <v>0</v>
      </c>
      <c r="O822" s="0">
        <v>0</v>
      </c>
      <c r="P822" s="0">
        <v>0</v>
      </c>
      <c r="Q822" s="0" t="s">
        <v>1019</v>
      </c>
      <c r="R822" s="0" t="b">
        <v>0</v>
      </c>
      <c r="S822" s="0" t="b">
        <v>1</v>
      </c>
      <c r="T822" s="68">
        <v>43637.5867708333</v>
      </c>
      <c r="U822" s="68">
        <v>43690.3333333333</v>
      </c>
      <c r="V822" s="68">
        <v>0</v>
      </c>
      <c r="W822" s="0">
        <f>IF(IF(B822="none",1,IF(B822="Trialer",1,0))+IF(C822="Customer",1,IF(C822="Lost",1,0))=2,1,0)</f>
      </c>
      <c r="X822" s="0" t="s">
        <v>148</v>
      </c>
      <c r="Y822" s="0" t="s">
        <v>487</v>
      </c>
      <c r="AV822" s="68"/>
      <c r="AW822" s="68"/>
      <c r="AY822" s="27"/>
      <c r="BD822" s="68">
        <v>46054.1666666667</v>
      </c>
      <c r="BE822" s="68">
        <v>46082.1666666667</v>
      </c>
      <c r="BF822" s="0" t="b">
        <v>0</v>
      </c>
      <c r="BG822" s="0" t="b">
        <v>0</v>
      </c>
      <c r="BH822" s="0">
        <v>40</v>
      </c>
      <c r="BI822" s="0">
        <v>40</v>
      </c>
      <c r="BJ822" s="0" t="s">
        <v>135</v>
      </c>
    </row>
    <row r="823">
      <c r="A823" s="0" t="s">
        <v>1020</v>
      </c>
      <c r="B823" s="0" t="s">
        <v>134</v>
      </c>
      <c r="C823" s="0" t="s">
        <v>190</v>
      </c>
      <c r="D823" s="0" t="s">
        <v>135</v>
      </c>
      <c r="E823" s="0" t="s">
        <v>3</v>
      </c>
      <c r="F823" s="0" t="s">
        <v>12</v>
      </c>
      <c r="G823" s="0" t="s">
        <v>8</v>
      </c>
      <c r="H823" s="0">
        <v>2416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R823" s="0" t="b">
        <v>0</v>
      </c>
      <c r="S823" s="0" t="b">
        <v>0</v>
      </c>
      <c r="T823" s="68">
        <v>43637.7715277778</v>
      </c>
      <c r="U823" s="68">
        <v>43667.5</v>
      </c>
      <c r="V823" s="68">
        <v>46060.5436805556</v>
      </c>
      <c r="W823" s="0">
        <f>IF(IF(B823="none",1,IF(B823="Trialer",1,0))+IF(C823="Customer",1,IF(C823="Lost",1,0))=2,1,0)</f>
      </c>
      <c r="X823" s="0" t="s">
        <v>166</v>
      </c>
      <c r="Y823" s="0" t="s">
        <v>243</v>
      </c>
      <c r="AV823" s="68"/>
      <c r="AW823" s="68"/>
      <c r="AY823" s="27"/>
      <c r="BD823" s="68">
        <v>46054.1666666667</v>
      </c>
      <c r="BE823" s="68">
        <v>46082.1666666667</v>
      </c>
      <c r="BF823" s="0" t="b">
        <v>0</v>
      </c>
      <c r="BG823" s="0" t="b">
        <v>0</v>
      </c>
      <c r="BH823" s="0">
        <v>84</v>
      </c>
      <c r="BI823" s="0">
        <v>84</v>
      </c>
      <c r="BJ823" s="0" t="s">
        <v>230</v>
      </c>
    </row>
    <row r="824">
      <c r="A824" s="0" t="s">
        <v>1021</v>
      </c>
      <c r="B824" s="0" t="s">
        <v>134</v>
      </c>
      <c r="C824" s="0" t="s">
        <v>134</v>
      </c>
      <c r="D824" s="0" t="s">
        <v>135</v>
      </c>
      <c r="E824" s="0" t="s">
        <v>3</v>
      </c>
      <c r="F824" s="0" t="s">
        <v>12</v>
      </c>
      <c r="G824" s="0" t="s">
        <v>8</v>
      </c>
      <c r="H824" s="0">
        <v>2413</v>
      </c>
      <c r="I824" s="0">
        <v>0</v>
      </c>
      <c r="J824" s="0">
        <v>0</v>
      </c>
      <c r="K824" s="0">
        <v>1</v>
      </c>
      <c r="L824" s="0">
        <v>3</v>
      </c>
      <c r="M824" s="0">
        <v>1</v>
      </c>
      <c r="N824" s="0">
        <v>0</v>
      </c>
      <c r="O824" s="0">
        <v>0</v>
      </c>
      <c r="P824" s="0">
        <v>0</v>
      </c>
      <c r="R824" s="0" t="b">
        <v>0</v>
      </c>
      <c r="S824" s="0" t="b">
        <v>1</v>
      </c>
      <c r="T824" s="68">
        <v>43640.7034722222</v>
      </c>
      <c r="U824" s="68">
        <v>43641.5</v>
      </c>
      <c r="V824" s="68">
        <v>0</v>
      </c>
      <c r="W824" s="0">
        <f>IF(IF(B824="none",1,IF(B824="Trialer",1,0))+IF(C824="Customer",1,IF(C824="Lost",1,0))=2,1,0)</f>
      </c>
      <c r="X824" s="0" t="s">
        <v>148</v>
      </c>
      <c r="Y824" s="0" t="s">
        <v>243</v>
      </c>
      <c r="AV824" s="68"/>
      <c r="AW824" s="68"/>
      <c r="AY824" s="27"/>
      <c r="BD824" s="68">
        <v>46054.1666666667</v>
      </c>
      <c r="BE824" s="68">
        <v>46082.1666666667</v>
      </c>
      <c r="BF824" s="0" t="b">
        <v>0</v>
      </c>
      <c r="BG824" s="0" t="b">
        <v>0</v>
      </c>
      <c r="BH824" s="0">
        <v>0</v>
      </c>
      <c r="BI824" s="0">
        <v>0</v>
      </c>
      <c r="BJ824" s="0" t="s">
        <v>135</v>
      </c>
    </row>
    <row r="825">
      <c r="A825" s="0" t="s">
        <v>1022</v>
      </c>
      <c r="B825" s="0" t="s">
        <v>134</v>
      </c>
      <c r="C825" s="0" t="s">
        <v>134</v>
      </c>
      <c r="D825" s="0" t="s">
        <v>135</v>
      </c>
      <c r="E825" s="0" t="s">
        <v>2</v>
      </c>
      <c r="F825" s="0" t="s">
        <v>10</v>
      </c>
      <c r="G825" s="0" t="s">
        <v>8</v>
      </c>
      <c r="H825" s="0">
        <v>2412</v>
      </c>
      <c r="I825" s="0">
        <v>132</v>
      </c>
      <c r="J825" s="0">
        <v>0</v>
      </c>
      <c r="K825" s="0">
        <v>1</v>
      </c>
      <c r="L825" s="0">
        <v>3</v>
      </c>
      <c r="M825" s="0">
        <v>3</v>
      </c>
      <c r="N825" s="0">
        <v>0</v>
      </c>
      <c r="O825" s="0">
        <v>0</v>
      </c>
      <c r="P825" s="0">
        <v>0</v>
      </c>
      <c r="Q825" s="0" t="s">
        <v>1023</v>
      </c>
      <c r="R825" s="0" t="b">
        <v>0</v>
      </c>
      <c r="S825" s="0" t="b">
        <v>1</v>
      </c>
      <c r="T825" s="68">
        <v>43641.5</v>
      </c>
      <c r="U825" s="68">
        <v>43671.3333333333</v>
      </c>
      <c r="V825" s="68">
        <v>0</v>
      </c>
      <c r="W825" s="0">
        <f>IF(IF(B825="none",1,IF(B825="Trialer",1,0))+IF(C825="Customer",1,IF(C825="Lost",1,0))=2,1,0)</f>
      </c>
      <c r="X825" s="0" t="s">
        <v>136</v>
      </c>
      <c r="Y825" s="0" t="s">
        <v>499</v>
      </c>
      <c r="AV825" s="68"/>
      <c r="AW825" s="68"/>
      <c r="AY825" s="27"/>
      <c r="BD825" s="68">
        <v>46054.1666666667</v>
      </c>
      <c r="BE825" s="68">
        <v>46082.1666666667</v>
      </c>
      <c r="BF825" s="0" t="b">
        <v>0</v>
      </c>
      <c r="BG825" s="0" t="b">
        <v>0</v>
      </c>
      <c r="BH825" s="0">
        <v>132</v>
      </c>
      <c r="BI825" s="0">
        <v>132</v>
      </c>
      <c r="BJ825" s="0" t="s">
        <v>135</v>
      </c>
    </row>
    <row r="826">
      <c r="A826" s="0" t="s">
        <v>1024</v>
      </c>
      <c r="B826" s="0" t="s">
        <v>134</v>
      </c>
      <c r="C826" s="0" t="s">
        <v>134</v>
      </c>
      <c r="D826" s="0" t="s">
        <v>135</v>
      </c>
      <c r="E826" s="0" t="s">
        <v>2</v>
      </c>
      <c r="F826" s="0" t="s">
        <v>10</v>
      </c>
      <c r="G826" s="0" t="s">
        <v>8</v>
      </c>
      <c r="H826" s="0">
        <v>2412</v>
      </c>
      <c r="I826" s="0">
        <v>172</v>
      </c>
      <c r="J826" s="0">
        <v>0</v>
      </c>
      <c r="K826" s="0">
        <v>1</v>
      </c>
      <c r="L826" s="0">
        <v>3</v>
      </c>
      <c r="M826" s="0">
        <v>4</v>
      </c>
      <c r="N826" s="0">
        <v>0</v>
      </c>
      <c r="O826" s="0">
        <v>0</v>
      </c>
      <c r="P826" s="0">
        <v>0</v>
      </c>
      <c r="Q826" s="0" t="s">
        <v>1023</v>
      </c>
      <c r="R826" s="0" t="b">
        <v>0</v>
      </c>
      <c r="S826" s="0" t="b">
        <v>1</v>
      </c>
      <c r="T826" s="68">
        <v>43641.5</v>
      </c>
      <c r="U826" s="68">
        <v>43671.3333333333</v>
      </c>
      <c r="V826" s="68">
        <v>0</v>
      </c>
      <c r="W826" s="0">
        <f>IF(IF(B826="none",1,IF(B826="Trialer",1,0))+IF(C826="Customer",1,IF(C826="Lost",1,0))=2,1,0)</f>
      </c>
      <c r="X826" s="0" t="s">
        <v>136</v>
      </c>
      <c r="Y826" s="0" t="s">
        <v>499</v>
      </c>
      <c r="AV826" s="68"/>
      <c r="AW826" s="68"/>
      <c r="AY826" s="27"/>
      <c r="BD826" s="68">
        <v>46054.1666666667</v>
      </c>
      <c r="BE826" s="68">
        <v>46082.1666666667</v>
      </c>
      <c r="BF826" s="0" t="b">
        <v>0</v>
      </c>
      <c r="BG826" s="0" t="b">
        <v>0</v>
      </c>
      <c r="BH826" s="0">
        <v>172</v>
      </c>
      <c r="BI826" s="0">
        <v>172</v>
      </c>
      <c r="BJ826" s="0" t="s">
        <v>135</v>
      </c>
    </row>
    <row r="827">
      <c r="A827" s="0" t="s">
        <v>1025</v>
      </c>
      <c r="B827" s="0" t="s">
        <v>134</v>
      </c>
      <c r="C827" s="0" t="s">
        <v>134</v>
      </c>
      <c r="D827" s="0" t="s">
        <v>230</v>
      </c>
      <c r="E827" s="0" t="s">
        <v>3</v>
      </c>
      <c r="F827" s="0" t="s">
        <v>12</v>
      </c>
      <c r="G827" s="0" t="s">
        <v>8</v>
      </c>
      <c r="H827" s="0">
        <v>2412</v>
      </c>
      <c r="I827" s="0">
        <v>54</v>
      </c>
      <c r="J827" s="0">
        <v>0</v>
      </c>
      <c r="K827" s="0">
        <v>1</v>
      </c>
      <c r="L827" s="0">
        <v>4</v>
      </c>
      <c r="M827" s="0">
        <v>1</v>
      </c>
      <c r="N827" s="0">
        <v>0</v>
      </c>
      <c r="O827" s="0">
        <v>0</v>
      </c>
      <c r="P827" s="0">
        <v>-54</v>
      </c>
      <c r="R827" s="0" t="b">
        <v>0</v>
      </c>
      <c r="S827" s="0" t="b">
        <v>1</v>
      </c>
      <c r="T827" s="68">
        <v>43641.5656018518</v>
      </c>
      <c r="U827" s="68">
        <v>43671.3333333333</v>
      </c>
      <c r="V827" s="68">
        <v>0</v>
      </c>
      <c r="W827" s="0">
        <f>IF(IF(B827="none",1,IF(B827="Trialer",1,0))+IF(C827="Customer",1,IF(C827="Lost",1,0))=2,1,0)</f>
      </c>
      <c r="X827" s="0" t="s">
        <v>166</v>
      </c>
      <c r="Y827" s="0" t="s">
        <v>243</v>
      </c>
      <c r="AV827" s="68"/>
      <c r="AW827" s="68"/>
      <c r="AY827" s="27"/>
      <c r="BD827" s="68">
        <v>46054.1666666667</v>
      </c>
      <c r="BE827" s="68">
        <v>46082.1666666667</v>
      </c>
      <c r="BF827" s="0" t="b">
        <v>0</v>
      </c>
      <c r="BG827" s="0" t="b">
        <v>0</v>
      </c>
      <c r="BH827" s="0">
        <v>61</v>
      </c>
      <c r="BI827" s="0">
        <v>61</v>
      </c>
      <c r="BJ827" s="0" t="s">
        <v>230</v>
      </c>
    </row>
    <row r="828">
      <c r="A828" s="0" t="s">
        <v>1026</v>
      </c>
      <c r="B828" s="0" t="s">
        <v>134</v>
      </c>
      <c r="C828" s="0" t="s">
        <v>134</v>
      </c>
      <c r="D828" s="0" t="s">
        <v>135</v>
      </c>
      <c r="E828" s="0" t="s">
        <v>3</v>
      </c>
      <c r="F828" s="0" t="s">
        <v>12</v>
      </c>
      <c r="G828" s="0" t="s">
        <v>8</v>
      </c>
      <c r="H828" s="0">
        <v>2412</v>
      </c>
      <c r="I828" s="0">
        <v>0</v>
      </c>
      <c r="J828" s="0">
        <v>0</v>
      </c>
      <c r="K828" s="0">
        <v>1</v>
      </c>
      <c r="L828" s="0">
        <v>3</v>
      </c>
      <c r="M828" s="0">
        <v>2</v>
      </c>
      <c r="N828" s="0">
        <v>0</v>
      </c>
      <c r="O828" s="0">
        <v>0</v>
      </c>
      <c r="P828" s="0">
        <v>0</v>
      </c>
      <c r="R828" s="0" t="b">
        <v>0</v>
      </c>
      <c r="S828" s="0" t="b">
        <v>1</v>
      </c>
      <c r="T828" s="68">
        <v>43641.5991666667</v>
      </c>
      <c r="U828" s="68">
        <v>43642.3333333333</v>
      </c>
      <c r="V828" s="68">
        <v>0</v>
      </c>
      <c r="W828" s="0">
        <f>IF(IF(B828="none",1,IF(B828="Trialer",1,0))+IF(C828="Customer",1,IF(C828="Lost",1,0))=2,1,0)</f>
      </c>
      <c r="X828" s="0" t="s">
        <v>148</v>
      </c>
      <c r="Y828" s="0" t="s">
        <v>243</v>
      </c>
      <c r="AV828" s="68"/>
      <c r="AW828" s="68"/>
      <c r="AY828" s="27"/>
      <c r="BD828" s="68">
        <v>46054.1666666667</v>
      </c>
      <c r="BE828" s="68">
        <v>46082.1666666667</v>
      </c>
      <c r="BF828" s="0" t="b">
        <v>0</v>
      </c>
      <c r="BG828" s="0" t="b">
        <v>0</v>
      </c>
      <c r="BH828" s="0">
        <v>0</v>
      </c>
      <c r="BI828" s="0">
        <v>0</v>
      </c>
      <c r="BJ828" s="0" t="s">
        <v>135</v>
      </c>
    </row>
    <row r="829">
      <c r="A829" s="0" t="s">
        <v>1027</v>
      </c>
      <c r="B829" s="0" t="s">
        <v>134</v>
      </c>
      <c r="C829" s="0" t="s">
        <v>134</v>
      </c>
      <c r="D829" s="0" t="s">
        <v>230</v>
      </c>
      <c r="E829" s="0" t="s">
        <v>3</v>
      </c>
      <c r="F829" s="0" t="s">
        <v>12</v>
      </c>
      <c r="G829" s="0" t="s">
        <v>8</v>
      </c>
      <c r="H829" s="0">
        <v>2411</v>
      </c>
      <c r="I829" s="0">
        <v>156.71</v>
      </c>
      <c r="J829" s="0">
        <v>0</v>
      </c>
      <c r="K829" s="0">
        <v>1</v>
      </c>
      <c r="L829" s="0">
        <v>4</v>
      </c>
      <c r="M829" s="0">
        <v>3</v>
      </c>
      <c r="N829" s="0">
        <v>0</v>
      </c>
      <c r="O829" s="0">
        <v>0</v>
      </c>
      <c r="P829" s="0">
        <v>-156.71</v>
      </c>
      <c r="R829" s="0" t="b">
        <v>0</v>
      </c>
      <c r="S829" s="0" t="b">
        <v>1</v>
      </c>
      <c r="T829" s="68">
        <v>43642.4833101852</v>
      </c>
      <c r="U829" s="68">
        <v>43672.3333333333</v>
      </c>
      <c r="V829" s="68">
        <v>0</v>
      </c>
      <c r="W829" s="0">
        <f>IF(IF(B829="none",1,IF(B829="Trialer",1,0))+IF(C829="Customer",1,IF(C829="Lost",1,0))=2,1,0)</f>
      </c>
      <c r="X829" s="0" t="s">
        <v>142</v>
      </c>
      <c r="Y829" s="0" t="s">
        <v>243</v>
      </c>
      <c r="AV829" s="68"/>
      <c r="AW829" s="68"/>
      <c r="AY829" s="27"/>
      <c r="BD829" s="68">
        <v>46054.1666666667</v>
      </c>
      <c r="BE829" s="68">
        <v>46082.1666666667</v>
      </c>
      <c r="BF829" s="0" t="b">
        <v>0</v>
      </c>
      <c r="BG829" s="0" t="b">
        <v>0</v>
      </c>
      <c r="BH829" s="0">
        <v>171</v>
      </c>
      <c r="BI829" s="0">
        <v>171</v>
      </c>
      <c r="BJ829" s="0" t="s">
        <v>230</v>
      </c>
    </row>
    <row r="830">
      <c r="A830" s="0" t="s">
        <v>1028</v>
      </c>
      <c r="B830" s="0" t="s">
        <v>134</v>
      </c>
      <c r="C830" s="0" t="s">
        <v>134</v>
      </c>
      <c r="D830" s="0" t="s">
        <v>230</v>
      </c>
      <c r="E830" s="0" t="s">
        <v>3</v>
      </c>
      <c r="F830" s="0" t="s">
        <v>12</v>
      </c>
      <c r="G830" s="0" t="s">
        <v>8</v>
      </c>
      <c r="H830" s="0">
        <v>2411</v>
      </c>
      <c r="I830" s="0">
        <v>186</v>
      </c>
      <c r="J830" s="0">
        <v>0</v>
      </c>
      <c r="K830" s="0">
        <v>1</v>
      </c>
      <c r="L830" s="0">
        <v>4</v>
      </c>
      <c r="M830" s="0">
        <v>4</v>
      </c>
      <c r="N830" s="0">
        <v>0</v>
      </c>
      <c r="O830" s="0">
        <v>0</v>
      </c>
      <c r="P830" s="0">
        <v>-186</v>
      </c>
      <c r="R830" s="0" t="b">
        <v>0</v>
      </c>
      <c r="S830" s="0" t="b">
        <v>1</v>
      </c>
      <c r="T830" s="68">
        <v>43642.790150463</v>
      </c>
      <c r="U830" s="68">
        <v>43673.3333333333</v>
      </c>
      <c r="V830" s="68">
        <v>0</v>
      </c>
      <c r="W830" s="0">
        <f>IF(IF(B830="none",1,IF(B830="Trialer",1,0))+IF(C830="Customer",1,IF(C830="Lost",1,0))=2,1,0)</f>
      </c>
      <c r="X830" s="0" t="s">
        <v>136</v>
      </c>
      <c r="Y830" s="0" t="s">
        <v>243</v>
      </c>
      <c r="AV830" s="68"/>
      <c r="AW830" s="68"/>
      <c r="AY830" s="27"/>
      <c r="BD830" s="68">
        <v>46054.1666666667</v>
      </c>
      <c r="BE830" s="68">
        <v>46082.1666666667</v>
      </c>
      <c r="BF830" s="0" t="b">
        <v>0</v>
      </c>
      <c r="BG830" s="0" t="b">
        <v>0</v>
      </c>
      <c r="BH830" s="0">
        <v>208</v>
      </c>
      <c r="BI830" s="0">
        <v>208</v>
      </c>
      <c r="BJ830" s="0" t="s">
        <v>230</v>
      </c>
    </row>
    <row r="831">
      <c r="A831" s="0" t="s">
        <v>1029</v>
      </c>
      <c r="B831" s="0" t="s">
        <v>134</v>
      </c>
      <c r="C831" s="0" t="s">
        <v>134</v>
      </c>
      <c r="D831" s="0" t="s">
        <v>135</v>
      </c>
      <c r="E831" s="0" t="s">
        <v>2</v>
      </c>
      <c r="F831" s="0" t="s">
        <v>12</v>
      </c>
      <c r="G831" s="0" t="s">
        <v>8</v>
      </c>
      <c r="H831" s="0">
        <v>2410</v>
      </c>
      <c r="I831" s="0">
        <v>280</v>
      </c>
      <c r="J831" s="0">
        <v>0</v>
      </c>
      <c r="K831" s="0">
        <v>1</v>
      </c>
      <c r="L831" s="0">
        <v>2</v>
      </c>
      <c r="M831" s="0">
        <v>7</v>
      </c>
      <c r="N831" s="0">
        <v>0</v>
      </c>
      <c r="O831" s="0">
        <v>0</v>
      </c>
      <c r="P831" s="0">
        <v>0</v>
      </c>
      <c r="R831" s="0" t="b">
        <v>0</v>
      </c>
      <c r="S831" s="0" t="b">
        <v>1</v>
      </c>
      <c r="T831" s="68">
        <v>43643.4222800926</v>
      </c>
      <c r="U831" s="68">
        <v>43673.3333333333</v>
      </c>
      <c r="V831" s="68">
        <v>0</v>
      </c>
      <c r="W831" s="0">
        <f>IF(IF(B831="none",1,IF(B831="Trialer",1,0))+IF(C831="Customer",1,IF(C831="Lost",1,0))=2,1,0)</f>
      </c>
      <c r="X831" s="0" t="s">
        <v>145</v>
      </c>
      <c r="Y831" s="0" t="s">
        <v>499</v>
      </c>
      <c r="AV831" s="68"/>
      <c r="AW831" s="68"/>
      <c r="AY831" s="27"/>
      <c r="BD831" s="68">
        <v>46054.1666666667</v>
      </c>
      <c r="BE831" s="68">
        <v>46082.1666666667</v>
      </c>
      <c r="BF831" s="0" t="b">
        <v>0</v>
      </c>
      <c r="BG831" s="0" t="b">
        <v>0</v>
      </c>
      <c r="BH831" s="0">
        <v>280</v>
      </c>
      <c r="BI831" s="0">
        <v>280</v>
      </c>
      <c r="BJ831" s="0" t="s">
        <v>135</v>
      </c>
    </row>
    <row r="832">
      <c r="A832" s="0" t="s">
        <v>1030</v>
      </c>
      <c r="B832" s="0" t="s">
        <v>134</v>
      </c>
      <c r="C832" s="0" t="s">
        <v>134</v>
      </c>
      <c r="D832" s="0" t="s">
        <v>135</v>
      </c>
      <c r="E832" s="0" t="s">
        <v>2</v>
      </c>
      <c r="F832" s="0" t="s">
        <v>12</v>
      </c>
      <c r="G832" s="0" t="s">
        <v>8</v>
      </c>
      <c r="H832" s="0">
        <v>2409</v>
      </c>
      <c r="I832" s="0">
        <v>98</v>
      </c>
      <c r="J832" s="0">
        <v>0</v>
      </c>
      <c r="K832" s="0">
        <v>1</v>
      </c>
      <c r="L832" s="0">
        <v>4</v>
      </c>
      <c r="M832" s="0">
        <v>2</v>
      </c>
      <c r="N832" s="0">
        <v>0</v>
      </c>
      <c r="O832" s="0">
        <v>0</v>
      </c>
      <c r="P832" s="0">
        <v>0</v>
      </c>
      <c r="R832" s="0" t="b">
        <v>0</v>
      </c>
      <c r="S832" s="0" t="b">
        <v>1</v>
      </c>
      <c r="T832" s="68">
        <v>43644.6109837963</v>
      </c>
      <c r="U832" s="68">
        <v>43674.3333333333</v>
      </c>
      <c r="V832" s="68">
        <v>0</v>
      </c>
      <c r="W832" s="0">
        <f>IF(IF(B832="none",1,IF(B832="Trialer",1,0))+IF(C832="Customer",1,IF(C832="Lost",1,0))=2,1,0)</f>
      </c>
      <c r="X832" s="0" t="s">
        <v>166</v>
      </c>
      <c r="Y832" s="0" t="s">
        <v>499</v>
      </c>
      <c r="AV832" s="68"/>
      <c r="AW832" s="68"/>
      <c r="AY832" s="27"/>
      <c r="BD832" s="68">
        <v>46054.1666666667</v>
      </c>
      <c r="BE832" s="68">
        <v>46082.1666666667</v>
      </c>
      <c r="BF832" s="0" t="b">
        <v>0</v>
      </c>
      <c r="BG832" s="0" t="b">
        <v>0</v>
      </c>
      <c r="BH832" s="0">
        <v>98</v>
      </c>
      <c r="BI832" s="0">
        <v>98</v>
      </c>
      <c r="BJ832" s="0" t="s">
        <v>135</v>
      </c>
    </row>
    <row r="833">
      <c r="A833" s="0" t="s">
        <v>1031</v>
      </c>
      <c r="B833" s="0" t="s">
        <v>134</v>
      </c>
      <c r="C833" s="0" t="s">
        <v>134</v>
      </c>
      <c r="D833" s="0" t="s">
        <v>135</v>
      </c>
      <c r="E833" s="0" t="s">
        <v>2</v>
      </c>
      <c r="F833" s="0" t="s">
        <v>12</v>
      </c>
      <c r="G833" s="0" t="s">
        <v>8</v>
      </c>
      <c r="H833" s="0">
        <v>2406</v>
      </c>
      <c r="I833" s="0">
        <v>307</v>
      </c>
      <c r="J833" s="0">
        <v>0</v>
      </c>
      <c r="K833" s="0">
        <v>1</v>
      </c>
      <c r="L833" s="0">
        <v>3</v>
      </c>
      <c r="M833" s="0">
        <v>7</v>
      </c>
      <c r="N833" s="0">
        <v>0</v>
      </c>
      <c r="O833" s="0">
        <v>0</v>
      </c>
      <c r="P833" s="0">
        <v>0</v>
      </c>
      <c r="R833" s="0" t="b">
        <v>0</v>
      </c>
      <c r="S833" s="0" t="b">
        <v>1</v>
      </c>
      <c r="T833" s="68">
        <v>43647.422662037</v>
      </c>
      <c r="U833" s="68">
        <v>43677.3333333333</v>
      </c>
      <c r="V833" s="68">
        <v>0</v>
      </c>
      <c r="W833" s="0">
        <f>IF(IF(B833="none",1,IF(B833="Trialer",1,0))+IF(C833="Customer",1,IF(C833="Lost",1,0))=2,1,0)</f>
      </c>
      <c r="X833" s="0" t="s">
        <v>136</v>
      </c>
      <c r="Y833" s="0" t="s">
        <v>499</v>
      </c>
      <c r="AV833" s="68"/>
      <c r="AW833" s="68"/>
      <c r="AY833" s="27"/>
      <c r="BD833" s="68">
        <v>46054.1666666667</v>
      </c>
      <c r="BE833" s="68">
        <v>46082.1666666667</v>
      </c>
      <c r="BF833" s="0" t="b">
        <v>0</v>
      </c>
      <c r="BG833" s="0" t="b">
        <v>0</v>
      </c>
      <c r="BH833" s="0">
        <v>307</v>
      </c>
      <c r="BI833" s="0">
        <v>307</v>
      </c>
      <c r="BJ833" s="0" t="s">
        <v>135</v>
      </c>
    </row>
    <row r="834">
      <c r="A834" s="0" t="s">
        <v>1032</v>
      </c>
      <c r="B834" s="0" t="s">
        <v>134</v>
      </c>
      <c r="C834" s="0" t="s">
        <v>134</v>
      </c>
      <c r="D834" s="0" t="s">
        <v>135</v>
      </c>
      <c r="E834" s="0" t="s">
        <v>3</v>
      </c>
      <c r="F834" s="0" t="s">
        <v>12</v>
      </c>
      <c r="G834" s="0" t="s">
        <v>8</v>
      </c>
      <c r="H834" s="0">
        <v>2405</v>
      </c>
      <c r="I834" s="0">
        <v>343</v>
      </c>
      <c r="J834" s="0">
        <v>0</v>
      </c>
      <c r="K834" s="0">
        <v>1</v>
      </c>
      <c r="L834" s="0">
        <v>3</v>
      </c>
      <c r="M834" s="0">
        <v>7</v>
      </c>
      <c r="N834" s="0">
        <v>0</v>
      </c>
      <c r="O834" s="0">
        <v>0</v>
      </c>
      <c r="P834" s="0">
        <v>0</v>
      </c>
      <c r="R834" s="0" t="b">
        <v>0</v>
      </c>
      <c r="S834" s="0" t="b">
        <v>1</v>
      </c>
      <c r="T834" s="68">
        <v>43648.4732060185</v>
      </c>
      <c r="U834" s="68">
        <v>43678.3333333333</v>
      </c>
      <c r="V834" s="68">
        <v>0</v>
      </c>
      <c r="W834" s="0">
        <f>IF(IF(B834="none",1,IF(B834="Trialer",1,0))+IF(C834="Customer",1,IF(C834="Lost",1,0))=2,1,0)</f>
      </c>
      <c r="X834" s="0" t="s">
        <v>145</v>
      </c>
      <c r="Y834" s="0" t="s">
        <v>243</v>
      </c>
      <c r="AV834" s="68"/>
      <c r="AW834" s="68"/>
      <c r="AY834" s="27"/>
      <c r="BD834" s="68">
        <v>46054.1666666667</v>
      </c>
      <c r="BE834" s="68">
        <v>46082.1666666667</v>
      </c>
      <c r="BF834" s="0" t="b">
        <v>0</v>
      </c>
      <c r="BG834" s="0" t="b">
        <v>0</v>
      </c>
      <c r="BH834" s="0">
        <v>343</v>
      </c>
      <c r="BI834" s="0">
        <v>343</v>
      </c>
      <c r="BJ834" s="0" t="s">
        <v>135</v>
      </c>
    </row>
    <row r="835">
      <c r="A835" s="0" t="s">
        <v>1033</v>
      </c>
      <c r="B835" s="0" t="s">
        <v>134</v>
      </c>
      <c r="C835" s="0" t="s">
        <v>134</v>
      </c>
      <c r="D835" s="0" t="s">
        <v>135</v>
      </c>
      <c r="E835" s="0" t="s">
        <v>2</v>
      </c>
      <c r="F835" s="0" t="s">
        <v>12</v>
      </c>
      <c r="G835" s="0" t="s">
        <v>8</v>
      </c>
      <c r="H835" s="0">
        <v>2404</v>
      </c>
      <c r="I835" s="0">
        <v>28</v>
      </c>
      <c r="J835" s="0">
        <v>0</v>
      </c>
      <c r="K835" s="0">
        <v>1</v>
      </c>
      <c r="L835" s="0">
        <v>1</v>
      </c>
      <c r="M835" s="0">
        <v>1</v>
      </c>
      <c r="N835" s="0">
        <v>0</v>
      </c>
      <c r="O835" s="0">
        <v>0</v>
      </c>
      <c r="P835" s="0">
        <v>0</v>
      </c>
      <c r="R835" s="0" t="b">
        <v>0</v>
      </c>
      <c r="S835" s="0" t="b">
        <v>1</v>
      </c>
      <c r="T835" s="68">
        <v>43649.8373263889</v>
      </c>
      <c r="U835" s="68">
        <v>43680.3333333333</v>
      </c>
      <c r="V835" s="68">
        <v>0</v>
      </c>
      <c r="W835" s="0">
        <f>IF(IF(B835="none",1,IF(B835="Trialer",1,0))+IF(C835="Customer",1,IF(C835="Lost",1,0))=2,1,0)</f>
      </c>
      <c r="X835" s="0" t="s">
        <v>166</v>
      </c>
      <c r="Y835" s="0" t="s">
        <v>499</v>
      </c>
      <c r="AV835" s="68"/>
      <c r="AW835" s="68"/>
      <c r="AY835" s="27"/>
      <c r="BD835" s="68">
        <v>46054.1666666667</v>
      </c>
      <c r="BE835" s="68">
        <v>46082.1666666667</v>
      </c>
      <c r="BF835" s="0" t="b">
        <v>0</v>
      </c>
      <c r="BG835" s="0" t="b">
        <v>0</v>
      </c>
      <c r="BH835" s="0">
        <v>28</v>
      </c>
      <c r="BI835" s="0">
        <v>28</v>
      </c>
      <c r="BJ835" s="0" t="s">
        <v>135</v>
      </c>
    </row>
    <row r="836">
      <c r="A836" s="0" t="s">
        <v>1034</v>
      </c>
      <c r="B836" s="0" t="s">
        <v>134</v>
      </c>
      <c r="C836" s="0" t="s">
        <v>134</v>
      </c>
      <c r="D836" s="0" t="s">
        <v>135</v>
      </c>
      <c r="E836" s="0" t="s">
        <v>3</v>
      </c>
      <c r="F836" s="0" t="s">
        <v>12</v>
      </c>
      <c r="G836" s="0" t="s">
        <v>8</v>
      </c>
      <c r="H836" s="0">
        <v>2401</v>
      </c>
      <c r="I836" s="0">
        <v>111</v>
      </c>
      <c r="J836" s="0">
        <v>0</v>
      </c>
      <c r="K836" s="0">
        <v>1</v>
      </c>
      <c r="L836" s="0">
        <v>2</v>
      </c>
      <c r="M836" s="0">
        <v>3</v>
      </c>
      <c r="N836" s="0">
        <v>0</v>
      </c>
      <c r="O836" s="0">
        <v>0</v>
      </c>
      <c r="P836" s="0">
        <v>0</v>
      </c>
      <c r="R836" s="0" t="b">
        <v>0</v>
      </c>
      <c r="S836" s="0" t="b">
        <v>1</v>
      </c>
      <c r="T836" s="68">
        <v>43652.660162037</v>
      </c>
      <c r="U836" s="68">
        <v>43682.3333333333</v>
      </c>
      <c r="V836" s="68">
        <v>0</v>
      </c>
      <c r="W836" s="0">
        <f>IF(IF(B836="none",1,IF(B836="Trialer",1,0))+IF(C836="Customer",1,IF(C836="Lost",1,0))=2,1,0)</f>
      </c>
      <c r="X836" s="0" t="s">
        <v>142</v>
      </c>
      <c r="Y836" s="0" t="s">
        <v>243</v>
      </c>
      <c r="AV836" s="68"/>
      <c r="AW836" s="68"/>
      <c r="AY836" s="27"/>
      <c r="BD836" s="68">
        <v>46054.1666666667</v>
      </c>
      <c r="BE836" s="68">
        <v>46082.1666666667</v>
      </c>
      <c r="BF836" s="0" t="b">
        <v>0</v>
      </c>
      <c r="BG836" s="0" t="b">
        <v>0</v>
      </c>
      <c r="BH836" s="0">
        <v>111</v>
      </c>
      <c r="BI836" s="0">
        <v>111</v>
      </c>
      <c r="BJ836" s="0" t="s">
        <v>135</v>
      </c>
    </row>
    <row r="837">
      <c r="A837" s="0" t="s">
        <v>1035</v>
      </c>
      <c r="B837" s="0" t="s">
        <v>134</v>
      </c>
      <c r="C837" s="0" t="s">
        <v>134</v>
      </c>
      <c r="D837" s="0" t="s">
        <v>135</v>
      </c>
      <c r="E837" s="0" t="s">
        <v>3</v>
      </c>
      <c r="F837" s="0" t="s">
        <v>10</v>
      </c>
      <c r="G837" s="0" t="s">
        <v>8</v>
      </c>
      <c r="H837" s="0">
        <v>2397</v>
      </c>
      <c r="I837" s="0">
        <v>22.4</v>
      </c>
      <c r="J837" s="0">
        <v>0</v>
      </c>
      <c r="K837" s="0">
        <v>1</v>
      </c>
      <c r="L837" s="0">
        <v>1</v>
      </c>
      <c r="M837" s="0">
        <v>1</v>
      </c>
      <c r="N837" s="0">
        <v>0</v>
      </c>
      <c r="O837" s="0">
        <v>0</v>
      </c>
      <c r="P837" s="0">
        <v>0</v>
      </c>
      <c r="Q837" s="0" t="s">
        <v>767</v>
      </c>
      <c r="R837" s="0" t="b">
        <v>0</v>
      </c>
      <c r="S837" s="0" t="b">
        <v>1</v>
      </c>
      <c r="T837" s="68">
        <v>43656.7131944444</v>
      </c>
      <c r="U837" s="68">
        <v>43709.5</v>
      </c>
      <c r="V837" s="68">
        <v>0</v>
      </c>
      <c r="W837" s="0">
        <f>IF(IF(B837="none",1,IF(B837="Trialer",1,0))+IF(C837="Customer",1,IF(C837="Lost",1,0))=2,1,0)</f>
      </c>
      <c r="X837" s="0" t="s">
        <v>148</v>
      </c>
      <c r="Y837" s="0" t="s">
        <v>243</v>
      </c>
      <c r="AV837" s="68"/>
      <c r="AW837" s="68"/>
      <c r="AY837" s="27"/>
      <c r="BD837" s="68">
        <v>46054.1666666667</v>
      </c>
      <c r="BE837" s="68">
        <v>46082.1666666667</v>
      </c>
      <c r="BF837" s="0" t="b">
        <v>0</v>
      </c>
      <c r="BG837" s="0" t="b">
        <v>0</v>
      </c>
      <c r="BH837" s="0">
        <v>22.4</v>
      </c>
      <c r="BI837" s="0">
        <v>22.4</v>
      </c>
      <c r="BJ837" s="0" t="s">
        <v>135</v>
      </c>
    </row>
    <row r="838">
      <c r="A838" s="0" t="s">
        <v>1036</v>
      </c>
      <c r="B838" s="0" t="s">
        <v>134</v>
      </c>
      <c r="C838" s="0" t="s">
        <v>134</v>
      </c>
      <c r="D838" s="0" t="s">
        <v>135</v>
      </c>
      <c r="E838" s="0" t="s">
        <v>3</v>
      </c>
      <c r="F838" s="0" t="s">
        <v>12</v>
      </c>
      <c r="G838" s="0" t="s">
        <v>8</v>
      </c>
      <c r="H838" s="0">
        <v>2396</v>
      </c>
      <c r="I838" s="0">
        <v>0</v>
      </c>
      <c r="J838" s="0">
        <v>0</v>
      </c>
      <c r="K838" s="0">
        <v>1</v>
      </c>
      <c r="L838" s="0">
        <v>4</v>
      </c>
      <c r="M838" s="0">
        <v>2</v>
      </c>
      <c r="N838" s="0">
        <v>0</v>
      </c>
      <c r="O838" s="0">
        <v>0</v>
      </c>
      <c r="P838" s="0">
        <v>0</v>
      </c>
      <c r="R838" s="0" t="b">
        <v>0</v>
      </c>
      <c r="S838" s="0" t="b">
        <v>1</v>
      </c>
      <c r="T838" s="68">
        <v>43657.6076388889</v>
      </c>
      <c r="U838" s="68">
        <v>43657.3333333333</v>
      </c>
      <c r="V838" s="68">
        <v>0</v>
      </c>
      <c r="W838" s="0">
        <f>IF(IF(B838="none",1,IF(B838="Trialer",1,0))+IF(C838="Customer",1,IF(C838="Lost",1,0))=2,1,0)</f>
      </c>
      <c r="X838" s="0" t="s">
        <v>148</v>
      </c>
      <c r="Y838" s="0" t="s">
        <v>243</v>
      </c>
      <c r="AV838" s="68"/>
      <c r="AW838" s="68"/>
      <c r="AY838" s="27"/>
      <c r="BD838" s="68">
        <v>46054.1666666667</v>
      </c>
      <c r="BE838" s="68">
        <v>46082.1666666667</v>
      </c>
      <c r="BF838" s="0" t="b">
        <v>0</v>
      </c>
      <c r="BG838" s="0" t="b">
        <v>0</v>
      </c>
      <c r="BH838" s="0">
        <v>0</v>
      </c>
      <c r="BI838" s="0">
        <v>0</v>
      </c>
      <c r="BJ838" s="0" t="s">
        <v>135</v>
      </c>
    </row>
    <row r="839">
      <c r="A839" s="0" t="s">
        <v>1037</v>
      </c>
      <c r="B839" s="0" t="s">
        <v>134</v>
      </c>
      <c r="C839" s="0" t="s">
        <v>134</v>
      </c>
      <c r="D839" s="0" t="s">
        <v>135</v>
      </c>
      <c r="E839" s="0" t="s">
        <v>3</v>
      </c>
      <c r="F839" s="0" t="s">
        <v>12</v>
      </c>
      <c r="G839" s="0" t="s">
        <v>8</v>
      </c>
      <c r="H839" s="0">
        <v>2391</v>
      </c>
      <c r="I839" s="0">
        <v>348</v>
      </c>
      <c r="J839" s="0">
        <v>0</v>
      </c>
      <c r="K839" s="0">
        <v>1</v>
      </c>
      <c r="L839" s="0">
        <v>2</v>
      </c>
      <c r="M839" s="0">
        <v>11</v>
      </c>
      <c r="N839" s="0">
        <v>0</v>
      </c>
      <c r="O839" s="0">
        <v>0</v>
      </c>
      <c r="P839" s="0">
        <v>0</v>
      </c>
      <c r="R839" s="0" t="b">
        <v>0</v>
      </c>
      <c r="S839" s="0" t="b">
        <v>1</v>
      </c>
      <c r="T839" s="68">
        <v>43662.7</v>
      </c>
      <c r="U839" s="68">
        <v>43684.5</v>
      </c>
      <c r="V839" s="68">
        <v>0</v>
      </c>
      <c r="W839" s="0">
        <f>IF(IF(B839="none",1,IF(B839="Trialer",1,0))+IF(C839="Customer",1,IF(C839="Lost",1,0))=2,1,0)</f>
      </c>
      <c r="X839" s="0" t="s">
        <v>136</v>
      </c>
      <c r="Y839" s="0" t="s">
        <v>243</v>
      </c>
      <c r="AV839" s="68"/>
      <c r="AW839" s="68"/>
      <c r="AY839" s="27"/>
      <c r="BD839" s="68">
        <v>46054.1666666667</v>
      </c>
      <c r="BE839" s="68">
        <v>46082.1666666667</v>
      </c>
      <c r="BF839" s="0" t="b">
        <v>0</v>
      </c>
      <c r="BG839" s="0" t="b">
        <v>0</v>
      </c>
      <c r="BH839" s="0">
        <v>348</v>
      </c>
      <c r="BI839" s="0">
        <v>348</v>
      </c>
      <c r="BJ839" s="0" t="s">
        <v>135</v>
      </c>
    </row>
    <row r="840">
      <c r="A840" s="0" t="s">
        <v>1038</v>
      </c>
      <c r="B840" s="0" t="s">
        <v>134</v>
      </c>
      <c r="C840" s="0" t="s">
        <v>134</v>
      </c>
      <c r="D840" s="0" t="s">
        <v>135</v>
      </c>
      <c r="E840" s="0" t="s">
        <v>2</v>
      </c>
      <c r="F840" s="0" t="s">
        <v>12</v>
      </c>
      <c r="G840" s="0" t="s">
        <v>8</v>
      </c>
      <c r="H840" s="0">
        <v>2389</v>
      </c>
      <c r="I840" s="0">
        <v>0</v>
      </c>
      <c r="J840" s="0">
        <v>0</v>
      </c>
      <c r="K840" s="0">
        <v>1</v>
      </c>
      <c r="L840" s="0">
        <v>5</v>
      </c>
      <c r="M840" s="0">
        <v>1</v>
      </c>
      <c r="N840" s="0">
        <v>0</v>
      </c>
      <c r="O840" s="0">
        <v>0</v>
      </c>
      <c r="P840" s="0">
        <v>0</v>
      </c>
      <c r="R840" s="0" t="b">
        <v>0</v>
      </c>
      <c r="S840" s="0" t="b">
        <v>1</v>
      </c>
      <c r="T840" s="68">
        <v>43664.4041666667</v>
      </c>
      <c r="U840" s="68">
        <v>43694.5</v>
      </c>
      <c r="V840" s="68">
        <v>0</v>
      </c>
      <c r="W840" s="0">
        <f>IF(IF(B840="none",1,IF(B840="Trialer",1,0))+IF(C840="Customer",1,IF(C840="Lost",1,0))=2,1,0)</f>
      </c>
      <c r="X840" s="0" t="s">
        <v>136</v>
      </c>
      <c r="Y840" s="0" t="s">
        <v>499</v>
      </c>
      <c r="AV840" s="68"/>
      <c r="AW840" s="68"/>
      <c r="AY840" s="27"/>
      <c r="BD840" s="68">
        <v>46054.1666666667</v>
      </c>
      <c r="BE840" s="68">
        <v>46082.1666666667</v>
      </c>
      <c r="BF840" s="0" t="b">
        <v>0</v>
      </c>
      <c r="BG840" s="0" t="b">
        <v>0</v>
      </c>
      <c r="BH840" s="0">
        <v>0</v>
      </c>
      <c r="BI840" s="0">
        <v>0</v>
      </c>
      <c r="BJ840" s="0" t="s">
        <v>135</v>
      </c>
    </row>
    <row r="841">
      <c r="A841" s="0" t="s">
        <v>1039</v>
      </c>
      <c r="B841" s="0" t="s">
        <v>134</v>
      </c>
      <c r="C841" s="0" t="s">
        <v>134</v>
      </c>
      <c r="D841" s="0" t="s">
        <v>135</v>
      </c>
      <c r="E841" s="0" t="s">
        <v>2</v>
      </c>
      <c r="F841" s="0" t="s">
        <v>12</v>
      </c>
      <c r="G841" s="0" t="s">
        <v>8</v>
      </c>
      <c r="H841" s="0">
        <v>2389</v>
      </c>
      <c r="I841" s="0">
        <v>0</v>
      </c>
      <c r="J841" s="0">
        <v>0</v>
      </c>
      <c r="K841" s="0">
        <v>1</v>
      </c>
      <c r="L841" s="0">
        <v>3</v>
      </c>
      <c r="M841" s="0">
        <v>1</v>
      </c>
      <c r="N841" s="0">
        <v>0</v>
      </c>
      <c r="O841" s="0">
        <v>0</v>
      </c>
      <c r="P841" s="0">
        <v>0</v>
      </c>
      <c r="R841" s="0" t="b">
        <v>0</v>
      </c>
      <c r="S841" s="0" t="b">
        <v>1</v>
      </c>
      <c r="T841" s="68">
        <v>43664.6503125</v>
      </c>
      <c r="U841" s="68">
        <v>43670.3333333333</v>
      </c>
      <c r="V841" s="68">
        <v>0</v>
      </c>
      <c r="W841" s="0">
        <f>IF(IF(B841="none",1,IF(B841="Trialer",1,0))+IF(C841="Customer",1,IF(C841="Lost",1,0))=2,1,0)</f>
      </c>
      <c r="X841" s="0" t="s">
        <v>148</v>
      </c>
      <c r="Y841" s="0" t="s">
        <v>499</v>
      </c>
      <c r="AV841" s="68"/>
      <c r="AW841" s="68"/>
      <c r="AY841" s="27"/>
      <c r="BD841" s="68">
        <v>46054.1666666667</v>
      </c>
      <c r="BE841" s="68">
        <v>46082.1666666667</v>
      </c>
      <c r="BF841" s="0" t="b">
        <v>0</v>
      </c>
      <c r="BG841" s="0" t="b">
        <v>0</v>
      </c>
      <c r="BH841" s="0">
        <v>0</v>
      </c>
      <c r="BI841" s="0">
        <v>0</v>
      </c>
      <c r="BJ841" s="0" t="s">
        <v>135</v>
      </c>
    </row>
    <row r="842">
      <c r="A842" s="0" t="s">
        <v>1040</v>
      </c>
      <c r="B842" s="0" t="s">
        <v>134</v>
      </c>
      <c r="C842" s="0" t="s">
        <v>134</v>
      </c>
      <c r="D842" s="0" t="s">
        <v>230</v>
      </c>
      <c r="E842" s="0" t="s">
        <v>2</v>
      </c>
      <c r="F842" s="0" t="s">
        <v>12</v>
      </c>
      <c r="G842" s="0" t="s">
        <v>8</v>
      </c>
      <c r="H842" s="0">
        <v>2383</v>
      </c>
      <c r="I842" s="0">
        <v>84</v>
      </c>
      <c r="J842" s="0">
        <v>0</v>
      </c>
      <c r="K842" s="0">
        <v>1</v>
      </c>
      <c r="L842" s="0">
        <v>1</v>
      </c>
      <c r="M842" s="0">
        <v>3</v>
      </c>
      <c r="N842" s="0">
        <v>0</v>
      </c>
      <c r="O842" s="0">
        <v>0</v>
      </c>
      <c r="P842" s="0">
        <v>-50</v>
      </c>
      <c r="R842" s="0" t="b">
        <v>0</v>
      </c>
      <c r="S842" s="0" t="b">
        <v>1</v>
      </c>
      <c r="T842" s="68">
        <v>43670.6823958333</v>
      </c>
      <c r="U842" s="68">
        <v>43728.3333333333</v>
      </c>
      <c r="V842" s="68">
        <v>0</v>
      </c>
      <c r="W842" s="0">
        <f>IF(IF(B842="none",1,IF(B842="Trialer",1,0))+IF(C842="Customer",1,IF(C842="Lost",1,0))=2,1,0)</f>
      </c>
      <c r="X842" s="0" t="s">
        <v>153</v>
      </c>
      <c r="Y842" s="0" t="s">
        <v>499</v>
      </c>
      <c r="AV842" s="68"/>
      <c r="AW842" s="68"/>
      <c r="AY842" s="27"/>
      <c r="BD842" s="68">
        <v>46054.1666666667</v>
      </c>
      <c r="BE842" s="68">
        <v>46082.1666666667</v>
      </c>
      <c r="BF842" s="0" t="b">
        <v>0</v>
      </c>
      <c r="BG842" s="0" t="b">
        <v>0</v>
      </c>
      <c r="BH842" s="0">
        <v>84</v>
      </c>
      <c r="BI842" s="0">
        <v>84</v>
      </c>
      <c r="BJ842" s="0" t="s">
        <v>230</v>
      </c>
    </row>
    <row r="843">
      <c r="A843" s="0" t="s">
        <v>1041</v>
      </c>
      <c r="B843" s="0" t="s">
        <v>134</v>
      </c>
      <c r="C843" s="0" t="s">
        <v>134</v>
      </c>
      <c r="D843" s="0" t="s">
        <v>135</v>
      </c>
      <c r="E843" s="0" t="s">
        <v>2</v>
      </c>
      <c r="F843" s="0" t="s">
        <v>12</v>
      </c>
      <c r="G843" s="0" t="s">
        <v>8</v>
      </c>
      <c r="H843" s="0">
        <v>2376</v>
      </c>
      <c r="I843" s="0">
        <v>490</v>
      </c>
      <c r="J843" s="0">
        <v>0</v>
      </c>
      <c r="K843" s="0">
        <v>1</v>
      </c>
      <c r="L843" s="0">
        <v>3</v>
      </c>
      <c r="M843" s="0">
        <v>10</v>
      </c>
      <c r="N843" s="0">
        <v>0</v>
      </c>
      <c r="O843" s="0">
        <v>0</v>
      </c>
      <c r="P843" s="0">
        <v>0</v>
      </c>
      <c r="R843" s="0" t="b">
        <v>0</v>
      </c>
      <c r="S843" s="0" t="b">
        <v>1</v>
      </c>
      <c r="T843" s="68">
        <v>43677.6541666667</v>
      </c>
      <c r="U843" s="68">
        <v>43707.5</v>
      </c>
      <c r="V843" s="68">
        <v>0</v>
      </c>
      <c r="W843" s="0">
        <f>IF(IF(B843="none",1,IF(B843="Trialer",1,0))+IF(C843="Customer",1,IF(C843="Lost",1,0))=2,1,0)</f>
      </c>
      <c r="X843" s="0" t="s">
        <v>145</v>
      </c>
      <c r="Y843" s="0" t="s">
        <v>499</v>
      </c>
      <c r="AV843" s="68"/>
      <c r="AW843" s="68"/>
      <c r="AY843" s="27"/>
      <c r="BD843" s="68">
        <v>46054.1666666667</v>
      </c>
      <c r="BE843" s="68">
        <v>46082.1666666667</v>
      </c>
      <c r="BF843" s="0" t="b">
        <v>0</v>
      </c>
      <c r="BG843" s="0" t="b">
        <v>0</v>
      </c>
      <c r="BH843" s="0">
        <v>490</v>
      </c>
      <c r="BI843" s="0">
        <v>490</v>
      </c>
      <c r="BJ843" s="0" t="s">
        <v>135</v>
      </c>
    </row>
    <row r="844">
      <c r="A844" s="0" t="s">
        <v>1042</v>
      </c>
      <c r="B844" s="0" t="s">
        <v>134</v>
      </c>
      <c r="C844" s="0" t="s">
        <v>134</v>
      </c>
      <c r="D844" s="0" t="s">
        <v>135</v>
      </c>
      <c r="E844" s="0" t="s">
        <v>2</v>
      </c>
      <c r="F844" s="0" t="s">
        <v>12</v>
      </c>
      <c r="G844" s="0" t="s">
        <v>8</v>
      </c>
      <c r="H844" s="0">
        <v>2375</v>
      </c>
      <c r="I844" s="0">
        <v>0</v>
      </c>
      <c r="J844" s="0">
        <v>0</v>
      </c>
      <c r="K844" s="0">
        <v>1</v>
      </c>
      <c r="L844" s="0">
        <v>3</v>
      </c>
      <c r="M844" s="0">
        <v>2</v>
      </c>
      <c r="N844" s="0">
        <v>0</v>
      </c>
      <c r="O844" s="0">
        <v>0</v>
      </c>
      <c r="P844" s="0">
        <v>0</v>
      </c>
      <c r="R844" s="0" t="b">
        <v>0</v>
      </c>
      <c r="S844" s="0" t="b">
        <v>1</v>
      </c>
      <c r="T844" s="68">
        <v>43678.4432175926</v>
      </c>
      <c r="U844" s="68">
        <v>43708.3333333333</v>
      </c>
      <c r="V844" s="68">
        <v>0</v>
      </c>
      <c r="W844" s="0">
        <f>IF(IF(B844="none",1,IF(B844="Trialer",1,0))+IF(C844="Customer",1,IF(C844="Lost",1,0))=2,1,0)</f>
      </c>
      <c r="X844" s="0" t="s">
        <v>148</v>
      </c>
      <c r="Y844" s="0" t="s">
        <v>499</v>
      </c>
      <c r="AV844" s="68"/>
      <c r="AW844" s="68"/>
      <c r="AY844" s="27"/>
      <c r="BD844" s="68">
        <v>46054.1666666667</v>
      </c>
      <c r="BE844" s="68">
        <v>46082.1666666667</v>
      </c>
      <c r="BF844" s="0" t="b">
        <v>0</v>
      </c>
      <c r="BG844" s="0" t="b">
        <v>0</v>
      </c>
      <c r="BH844" s="0">
        <v>0</v>
      </c>
      <c r="BI844" s="0">
        <v>0</v>
      </c>
      <c r="BJ844" s="0" t="s">
        <v>135</v>
      </c>
    </row>
    <row r="845">
      <c r="A845" s="0" t="s">
        <v>1043</v>
      </c>
      <c r="B845" s="0" t="s">
        <v>652</v>
      </c>
      <c r="C845" s="0" t="s">
        <v>652</v>
      </c>
      <c r="D845" s="0" t="s">
        <v>135</v>
      </c>
      <c r="E845" s="0" t="s">
        <v>3</v>
      </c>
      <c r="F845" s="0" t="s">
        <v>12</v>
      </c>
      <c r="G845" s="0" t="s">
        <v>8</v>
      </c>
      <c r="H845" s="0">
        <v>2375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R845" s="0" t="b">
        <v>0</v>
      </c>
      <c r="S845" s="0" t="b">
        <v>0</v>
      </c>
      <c r="T845" s="68">
        <v>43678.8847222222</v>
      </c>
      <c r="U845" s="68">
        <v>0</v>
      </c>
      <c r="V845" s="68">
        <v>0</v>
      </c>
      <c r="W845" s="0">
        <f>IF(IF(B845="none",1,IF(B845="Trialer",1,0))+IF(C845="Customer",1,IF(C845="Lost",1,0))=2,1,0)</f>
      </c>
      <c r="X845" s="0" t="s">
        <v>1044</v>
      </c>
      <c r="Y845" s="0" t="s">
        <v>243</v>
      </c>
      <c r="AV845" s="68"/>
      <c r="AW845" s="68"/>
      <c r="AY845" s="27"/>
      <c r="BD845" s="68">
        <v>46054.1666666667</v>
      </c>
      <c r="BE845" s="68">
        <v>46082.1666666667</v>
      </c>
      <c r="BF845" s="0" t="b">
        <v>0</v>
      </c>
      <c r="BG845" s="0" t="b">
        <v>0</v>
      </c>
      <c r="BH845" s="0">
        <v>0</v>
      </c>
      <c r="BI845" s="0">
        <v>0</v>
      </c>
      <c r="BJ845" s="0" t="s">
        <v>135</v>
      </c>
    </row>
    <row r="846">
      <c r="A846" s="0" t="s">
        <v>1045</v>
      </c>
      <c r="B846" s="0" t="s">
        <v>134</v>
      </c>
      <c r="C846" s="0" t="s">
        <v>134</v>
      </c>
      <c r="D846" s="0" t="s">
        <v>135</v>
      </c>
      <c r="E846" s="0" t="s">
        <v>3</v>
      </c>
      <c r="F846" s="0" t="s">
        <v>12</v>
      </c>
      <c r="G846" s="0" t="s">
        <v>8</v>
      </c>
      <c r="H846" s="0">
        <v>2369</v>
      </c>
      <c r="I846" s="0">
        <v>0</v>
      </c>
      <c r="J846" s="0">
        <v>0</v>
      </c>
      <c r="K846" s="0">
        <v>1</v>
      </c>
      <c r="L846" s="0">
        <v>3</v>
      </c>
      <c r="M846" s="0">
        <v>1</v>
      </c>
      <c r="N846" s="0">
        <v>0</v>
      </c>
      <c r="O846" s="0">
        <v>0</v>
      </c>
      <c r="P846" s="0">
        <v>0</v>
      </c>
      <c r="R846" s="0" t="b">
        <v>0</v>
      </c>
      <c r="S846" s="0" t="b">
        <v>1</v>
      </c>
      <c r="T846" s="68">
        <v>43684.4593518519</v>
      </c>
      <c r="U846" s="68">
        <v>43714.3333333333</v>
      </c>
      <c r="V846" s="68">
        <v>0</v>
      </c>
      <c r="W846" s="0">
        <f>IF(IF(B846="none",1,IF(B846="Trialer",1,0))+IF(C846="Customer",1,IF(C846="Lost",1,0))=2,1,0)</f>
      </c>
      <c r="X846" s="0" t="s">
        <v>136</v>
      </c>
      <c r="Y846" s="0" t="s">
        <v>243</v>
      </c>
      <c r="AV846" s="68"/>
      <c r="AW846" s="68"/>
      <c r="AY846" s="27"/>
      <c r="BD846" s="68">
        <v>46054.1666666667</v>
      </c>
      <c r="BE846" s="68">
        <v>46082.1666666667</v>
      </c>
      <c r="BF846" s="0" t="b">
        <v>0</v>
      </c>
      <c r="BG846" s="0" t="b">
        <v>0</v>
      </c>
      <c r="BH846" s="0">
        <v>0</v>
      </c>
      <c r="BI846" s="0">
        <v>0</v>
      </c>
      <c r="BJ846" s="0" t="s">
        <v>135</v>
      </c>
    </row>
    <row r="847">
      <c r="A847" s="0" t="s">
        <v>1046</v>
      </c>
      <c r="B847" s="0" t="s">
        <v>134</v>
      </c>
      <c r="C847" s="0" t="s">
        <v>134</v>
      </c>
      <c r="D847" s="0" t="s">
        <v>135</v>
      </c>
      <c r="E847" s="0" t="s">
        <v>3</v>
      </c>
      <c r="F847" s="0" t="s">
        <v>12</v>
      </c>
      <c r="G847" s="0" t="s">
        <v>8</v>
      </c>
      <c r="H847" s="0">
        <v>2369</v>
      </c>
      <c r="I847" s="0">
        <v>98</v>
      </c>
      <c r="J847" s="0">
        <v>0</v>
      </c>
      <c r="K847" s="0">
        <v>1</v>
      </c>
      <c r="L847" s="0">
        <v>3</v>
      </c>
      <c r="M847" s="0">
        <v>2</v>
      </c>
      <c r="N847" s="0">
        <v>0</v>
      </c>
      <c r="O847" s="0">
        <v>0</v>
      </c>
      <c r="P847" s="0">
        <v>0</v>
      </c>
      <c r="R847" s="0" t="b">
        <v>0</v>
      </c>
      <c r="S847" s="0" t="b">
        <v>1</v>
      </c>
      <c r="T847" s="68">
        <v>43684.8499537037</v>
      </c>
      <c r="U847" s="68">
        <v>43714.3333333333</v>
      </c>
      <c r="V847" s="68">
        <v>0</v>
      </c>
      <c r="W847" s="0">
        <f>IF(IF(B847="none",1,IF(B847="Trialer",1,0))+IF(C847="Customer",1,IF(C847="Lost",1,0))=2,1,0)</f>
      </c>
      <c r="X847" s="0" t="s">
        <v>142</v>
      </c>
      <c r="Y847" s="0" t="s">
        <v>243</v>
      </c>
      <c r="AV847" s="68"/>
      <c r="AW847" s="68"/>
      <c r="AY847" s="27"/>
      <c r="BD847" s="68">
        <v>46054.1666666667</v>
      </c>
      <c r="BE847" s="68">
        <v>46082.1666666667</v>
      </c>
      <c r="BF847" s="0" t="b">
        <v>0</v>
      </c>
      <c r="BG847" s="0" t="b">
        <v>0</v>
      </c>
      <c r="BH847" s="0">
        <v>98</v>
      </c>
      <c r="BI847" s="0">
        <v>98</v>
      </c>
      <c r="BJ847" s="0" t="s">
        <v>135</v>
      </c>
    </row>
    <row r="848">
      <c r="A848" s="0" t="s">
        <v>1047</v>
      </c>
      <c r="B848" s="0" t="s">
        <v>134</v>
      </c>
      <c r="C848" s="0" t="s">
        <v>134</v>
      </c>
      <c r="D848" s="0" t="s">
        <v>135</v>
      </c>
      <c r="E848" s="0" t="s">
        <v>3</v>
      </c>
      <c r="F848" s="0" t="s">
        <v>12</v>
      </c>
      <c r="G848" s="0" t="s">
        <v>8</v>
      </c>
      <c r="H848" s="0">
        <v>2364</v>
      </c>
      <c r="I848" s="0">
        <v>0</v>
      </c>
      <c r="J848" s="0">
        <v>0</v>
      </c>
      <c r="K848" s="0">
        <v>1</v>
      </c>
      <c r="L848" s="0">
        <v>3</v>
      </c>
      <c r="M848" s="0">
        <v>2</v>
      </c>
      <c r="N848" s="0">
        <v>0</v>
      </c>
      <c r="O848" s="0">
        <v>0</v>
      </c>
      <c r="P848" s="0">
        <v>0</v>
      </c>
      <c r="R848" s="0" t="b">
        <v>0</v>
      </c>
      <c r="S848" s="0" t="b">
        <v>1</v>
      </c>
      <c r="T848" s="68">
        <v>43689.7013888889</v>
      </c>
      <c r="U848" s="68">
        <v>43699.5</v>
      </c>
      <c r="V848" s="68">
        <v>0</v>
      </c>
      <c r="W848" s="0">
        <f>IF(IF(B848="none",1,IF(B848="Trialer",1,0))+IF(C848="Customer",1,IF(C848="Lost",1,0))=2,1,0)</f>
      </c>
      <c r="X848" s="0" t="s">
        <v>148</v>
      </c>
      <c r="Y848" s="0" t="s">
        <v>243</v>
      </c>
      <c r="AV848" s="68"/>
      <c r="AW848" s="68"/>
      <c r="AY848" s="27"/>
      <c r="BD848" s="68">
        <v>46054.1666666667</v>
      </c>
      <c r="BE848" s="68">
        <v>46082.1666666667</v>
      </c>
      <c r="BF848" s="0" t="b">
        <v>0</v>
      </c>
      <c r="BG848" s="0" t="b">
        <v>0</v>
      </c>
      <c r="BH848" s="0">
        <v>0</v>
      </c>
      <c r="BI848" s="0">
        <v>0</v>
      </c>
      <c r="BJ848" s="0" t="s">
        <v>135</v>
      </c>
    </row>
    <row r="849">
      <c r="A849" s="0" t="s">
        <v>1048</v>
      </c>
      <c r="B849" s="0" t="s">
        <v>134</v>
      </c>
      <c r="C849" s="0" t="s">
        <v>134</v>
      </c>
      <c r="D849" s="0" t="s">
        <v>135</v>
      </c>
      <c r="E849" s="0" t="s">
        <v>3</v>
      </c>
      <c r="F849" s="0" t="s">
        <v>12</v>
      </c>
      <c r="G849" s="0" t="s">
        <v>8</v>
      </c>
      <c r="H849" s="0">
        <v>2362</v>
      </c>
      <c r="I849" s="0">
        <v>89</v>
      </c>
      <c r="J849" s="0">
        <v>0</v>
      </c>
      <c r="K849" s="0">
        <v>1</v>
      </c>
      <c r="L849" s="0">
        <v>3</v>
      </c>
      <c r="M849" s="0">
        <v>2</v>
      </c>
      <c r="N849" s="0">
        <v>0</v>
      </c>
      <c r="O849" s="0">
        <v>0</v>
      </c>
      <c r="P849" s="0">
        <v>0</v>
      </c>
      <c r="R849" s="0" t="b">
        <v>0</v>
      </c>
      <c r="S849" s="0" t="b">
        <v>1</v>
      </c>
      <c r="T849" s="68">
        <v>43691.3814351852</v>
      </c>
      <c r="U849" s="68">
        <v>43724.3333333333</v>
      </c>
      <c r="V849" s="68">
        <v>0</v>
      </c>
      <c r="W849" s="0">
        <f>IF(IF(B849="none",1,IF(B849="Trialer",1,0))+IF(C849="Customer",1,IF(C849="Lost",1,0))=2,1,0)</f>
      </c>
      <c r="X849" s="0" t="s">
        <v>142</v>
      </c>
      <c r="Y849" s="0" t="s">
        <v>243</v>
      </c>
      <c r="AV849" s="68"/>
      <c r="AW849" s="68"/>
      <c r="AY849" s="27"/>
      <c r="BD849" s="68">
        <v>46054.1666666667</v>
      </c>
      <c r="BE849" s="68">
        <v>46082.1666666667</v>
      </c>
      <c r="BF849" s="0" t="b">
        <v>0</v>
      </c>
      <c r="BG849" s="0" t="b">
        <v>0</v>
      </c>
      <c r="BH849" s="0">
        <v>89</v>
      </c>
      <c r="BI849" s="0">
        <v>89</v>
      </c>
      <c r="BJ849" s="0" t="s">
        <v>135</v>
      </c>
    </row>
    <row r="850">
      <c r="A850" s="0" t="s">
        <v>1049</v>
      </c>
      <c r="B850" s="0" t="s">
        <v>134</v>
      </c>
      <c r="C850" s="0" t="s">
        <v>134</v>
      </c>
      <c r="D850" s="0" t="s">
        <v>135</v>
      </c>
      <c r="E850" s="0" t="s">
        <v>2</v>
      </c>
      <c r="F850" s="0" t="s">
        <v>12</v>
      </c>
      <c r="G850" s="0" t="s">
        <v>8</v>
      </c>
      <c r="H850" s="0">
        <v>2357</v>
      </c>
      <c r="I850" s="0">
        <v>342</v>
      </c>
      <c r="J850" s="0">
        <v>0</v>
      </c>
      <c r="K850" s="0">
        <v>1</v>
      </c>
      <c r="L850" s="0">
        <v>4</v>
      </c>
      <c r="M850" s="0">
        <v>6</v>
      </c>
      <c r="N850" s="0">
        <v>0</v>
      </c>
      <c r="O850" s="0">
        <v>0</v>
      </c>
      <c r="P850" s="0">
        <v>0</v>
      </c>
      <c r="R850" s="0" t="b">
        <v>0</v>
      </c>
      <c r="S850" s="0" t="b">
        <v>1</v>
      </c>
      <c r="T850" s="68">
        <v>43696.6407407407</v>
      </c>
      <c r="U850" s="68">
        <v>43725.3333333333</v>
      </c>
      <c r="V850" s="68">
        <v>0</v>
      </c>
      <c r="W850" s="0">
        <f>IF(IF(B850="none",1,IF(B850="Trialer",1,0))+IF(C850="Customer",1,IF(C850="Lost",1,0))=2,1,0)</f>
      </c>
      <c r="X850" s="0" t="s">
        <v>148</v>
      </c>
      <c r="Y850" s="0" t="s">
        <v>499</v>
      </c>
      <c r="AV850" s="68"/>
      <c r="AW850" s="68"/>
      <c r="AY850" s="27"/>
      <c r="BD850" s="68">
        <v>46054.1666666667</v>
      </c>
      <c r="BE850" s="68">
        <v>46082.1666666667</v>
      </c>
      <c r="BF850" s="0" t="b">
        <v>0</v>
      </c>
      <c r="BG850" s="0" t="b">
        <v>0</v>
      </c>
      <c r="BH850" s="0">
        <v>342</v>
      </c>
      <c r="BI850" s="0">
        <v>342</v>
      </c>
      <c r="BJ850" s="0" t="s">
        <v>135</v>
      </c>
    </row>
    <row r="851">
      <c r="A851" s="0" t="s">
        <v>1050</v>
      </c>
      <c r="B851" s="0" t="s">
        <v>134</v>
      </c>
      <c r="C851" s="0" t="s">
        <v>134</v>
      </c>
      <c r="D851" s="0" t="s">
        <v>135</v>
      </c>
      <c r="E851" s="0" t="s">
        <v>3</v>
      </c>
      <c r="F851" s="0" t="s">
        <v>12</v>
      </c>
      <c r="G851" s="0" t="s">
        <v>8</v>
      </c>
      <c r="H851" s="0">
        <v>2357</v>
      </c>
      <c r="I851" s="0">
        <v>0</v>
      </c>
      <c r="J851" s="0">
        <v>0</v>
      </c>
      <c r="K851" s="0">
        <v>1</v>
      </c>
      <c r="L851" s="0">
        <v>3</v>
      </c>
      <c r="M851" s="0">
        <v>2</v>
      </c>
      <c r="N851" s="0">
        <v>0</v>
      </c>
      <c r="O851" s="0">
        <v>0</v>
      </c>
      <c r="P851" s="0">
        <v>0</v>
      </c>
      <c r="R851" s="0" t="b">
        <v>0</v>
      </c>
      <c r="S851" s="0" t="b">
        <v>1</v>
      </c>
      <c r="T851" s="68">
        <v>43696.9420486111</v>
      </c>
      <c r="U851" s="68">
        <v>43718.3333333333</v>
      </c>
      <c r="V851" s="68">
        <v>0</v>
      </c>
      <c r="W851" s="0">
        <f>IF(IF(B851="none",1,IF(B851="Trialer",1,0))+IF(C851="Customer",1,IF(C851="Lost",1,0))=2,1,0)</f>
      </c>
      <c r="X851" s="0" t="s">
        <v>148</v>
      </c>
      <c r="Y851" s="0" t="s">
        <v>243</v>
      </c>
      <c r="AV851" s="68"/>
      <c r="AW851" s="68"/>
      <c r="AY851" s="27"/>
      <c r="BD851" s="68">
        <v>46054.1666666667</v>
      </c>
      <c r="BE851" s="68">
        <v>46082.1666666667</v>
      </c>
      <c r="BF851" s="0" t="b">
        <v>0</v>
      </c>
      <c r="BG851" s="0" t="b">
        <v>0</v>
      </c>
      <c r="BH851" s="0">
        <v>0</v>
      </c>
      <c r="BI851" s="0">
        <v>0</v>
      </c>
      <c r="BJ851" s="0" t="s">
        <v>135</v>
      </c>
    </row>
    <row r="852">
      <c r="A852" s="0" t="s">
        <v>1051</v>
      </c>
      <c r="B852" s="0" t="s">
        <v>134</v>
      </c>
      <c r="C852" s="0" t="s">
        <v>134</v>
      </c>
      <c r="D852" s="0" t="s">
        <v>135</v>
      </c>
      <c r="E852" s="0" t="s">
        <v>3</v>
      </c>
      <c r="F852" s="0" t="s">
        <v>12</v>
      </c>
      <c r="G852" s="0" t="s">
        <v>8</v>
      </c>
      <c r="H852" s="0">
        <v>2356</v>
      </c>
      <c r="I852" s="0">
        <v>0</v>
      </c>
      <c r="J852" s="0">
        <v>0</v>
      </c>
      <c r="K852" s="0">
        <v>1</v>
      </c>
      <c r="L852" s="0">
        <v>3</v>
      </c>
      <c r="M852" s="0">
        <v>2</v>
      </c>
      <c r="N852" s="0">
        <v>0</v>
      </c>
      <c r="O852" s="0">
        <v>0</v>
      </c>
      <c r="P852" s="0">
        <v>0</v>
      </c>
      <c r="R852" s="0" t="b">
        <v>0</v>
      </c>
      <c r="S852" s="0" t="b">
        <v>1</v>
      </c>
      <c r="T852" s="68">
        <v>43697.5130555556</v>
      </c>
      <c r="U852" s="68">
        <v>43735.3333333333</v>
      </c>
      <c r="V852" s="68">
        <v>0</v>
      </c>
      <c r="W852" s="0">
        <f>IF(IF(B852="none",1,IF(B852="Trialer",1,0))+IF(C852="Customer",1,IF(C852="Lost",1,0))=2,1,0)</f>
      </c>
      <c r="X852" s="0" t="s">
        <v>148</v>
      </c>
      <c r="Y852" s="0" t="s">
        <v>243</v>
      </c>
      <c r="AV852" s="68"/>
      <c r="AW852" s="68"/>
      <c r="AY852" s="27"/>
      <c r="BD852" s="68">
        <v>46054.1666666667</v>
      </c>
      <c r="BE852" s="68">
        <v>46082.1666666667</v>
      </c>
      <c r="BF852" s="0" t="b">
        <v>0</v>
      </c>
      <c r="BG852" s="0" t="b">
        <v>0</v>
      </c>
      <c r="BH852" s="0">
        <v>0</v>
      </c>
      <c r="BI852" s="0">
        <v>0</v>
      </c>
      <c r="BJ852" s="0" t="s">
        <v>135</v>
      </c>
    </row>
    <row r="853">
      <c r="A853" s="0" t="s">
        <v>1052</v>
      </c>
      <c r="B853" s="0" t="s">
        <v>134</v>
      </c>
      <c r="C853" s="0" t="s">
        <v>134</v>
      </c>
      <c r="D853" s="0" t="s">
        <v>135</v>
      </c>
      <c r="E853" s="0" t="s">
        <v>3</v>
      </c>
      <c r="F853" s="0" t="s">
        <v>12</v>
      </c>
      <c r="G853" s="0" t="s">
        <v>8</v>
      </c>
      <c r="H853" s="0">
        <v>2356</v>
      </c>
      <c r="I853" s="0">
        <v>0</v>
      </c>
      <c r="J853" s="0">
        <v>0</v>
      </c>
      <c r="K853" s="0">
        <v>1</v>
      </c>
      <c r="L853" s="0">
        <v>3</v>
      </c>
      <c r="M853" s="0">
        <v>1</v>
      </c>
      <c r="N853" s="0">
        <v>0</v>
      </c>
      <c r="O853" s="0">
        <v>0</v>
      </c>
      <c r="P853" s="0">
        <v>0</v>
      </c>
      <c r="R853" s="0" t="b">
        <v>0</v>
      </c>
      <c r="S853" s="0" t="b">
        <v>1</v>
      </c>
      <c r="T853" s="68">
        <v>43697.618275463</v>
      </c>
      <c r="U853" s="68">
        <v>43697.3333333333</v>
      </c>
      <c r="V853" s="68">
        <v>0</v>
      </c>
      <c r="W853" s="0">
        <f>IF(IF(B853="none",1,IF(B853="Trialer",1,0))+IF(C853="Customer",1,IF(C853="Lost",1,0))=2,1,0)</f>
      </c>
      <c r="X853" s="0" t="s">
        <v>148</v>
      </c>
      <c r="Y853" s="0" t="s">
        <v>243</v>
      </c>
      <c r="AV853" s="68"/>
      <c r="AW853" s="68"/>
      <c r="AY853" s="27"/>
      <c r="BD853" s="68">
        <v>46054.1666666667</v>
      </c>
      <c r="BE853" s="68">
        <v>46082.1666666667</v>
      </c>
      <c r="BF853" s="0" t="b">
        <v>0</v>
      </c>
      <c r="BG853" s="0" t="b">
        <v>0</v>
      </c>
      <c r="BH853" s="0">
        <v>0</v>
      </c>
      <c r="BI853" s="0">
        <v>0</v>
      </c>
      <c r="BJ853" s="0" t="s">
        <v>135</v>
      </c>
    </row>
    <row r="854">
      <c r="A854" s="0" t="s">
        <v>1053</v>
      </c>
      <c r="B854" s="0" t="s">
        <v>134</v>
      </c>
      <c r="C854" s="0" t="s">
        <v>134</v>
      </c>
      <c r="D854" s="0" t="s">
        <v>135</v>
      </c>
      <c r="E854" s="0" t="s">
        <v>3</v>
      </c>
      <c r="F854" s="0" t="s">
        <v>12</v>
      </c>
      <c r="G854" s="0" t="s">
        <v>8</v>
      </c>
      <c r="H854" s="0">
        <v>2355</v>
      </c>
      <c r="I854" s="0">
        <v>49</v>
      </c>
      <c r="J854" s="0">
        <v>0</v>
      </c>
      <c r="K854" s="0">
        <v>1</v>
      </c>
      <c r="L854" s="0">
        <v>3</v>
      </c>
      <c r="M854" s="0">
        <v>1</v>
      </c>
      <c r="N854" s="0">
        <v>0</v>
      </c>
      <c r="O854" s="0">
        <v>0</v>
      </c>
      <c r="P854" s="0">
        <v>0</v>
      </c>
      <c r="R854" s="0" t="b">
        <v>0</v>
      </c>
      <c r="S854" s="0" t="b">
        <v>1</v>
      </c>
      <c r="T854" s="68">
        <v>43698.5098148148</v>
      </c>
      <c r="U854" s="68">
        <v>43728.3333333333</v>
      </c>
      <c r="V854" s="68">
        <v>0</v>
      </c>
      <c r="W854" s="0">
        <f>IF(IF(B854="none",1,IF(B854="Trialer",1,0))+IF(C854="Customer",1,IF(C854="Lost",1,0))=2,1,0)</f>
      </c>
      <c r="X854" s="0" t="s">
        <v>166</v>
      </c>
      <c r="Y854" s="0" t="s">
        <v>243</v>
      </c>
      <c r="AV854" s="68"/>
      <c r="AW854" s="68"/>
      <c r="AY854" s="27"/>
      <c r="BD854" s="68">
        <v>46054.1666666667</v>
      </c>
      <c r="BE854" s="68">
        <v>46082.1666666667</v>
      </c>
      <c r="BF854" s="0" t="b">
        <v>0</v>
      </c>
      <c r="BG854" s="0" t="b">
        <v>0</v>
      </c>
      <c r="BH854" s="0">
        <v>49</v>
      </c>
      <c r="BI854" s="0">
        <v>49</v>
      </c>
      <c r="BJ854" s="0" t="s">
        <v>135</v>
      </c>
    </row>
    <row r="855">
      <c r="A855" s="0" t="s">
        <v>1054</v>
      </c>
      <c r="B855" s="0" t="s">
        <v>652</v>
      </c>
      <c r="C855" s="0" t="s">
        <v>652</v>
      </c>
      <c r="D855" s="0" t="s">
        <v>135</v>
      </c>
      <c r="E855" s="0" t="s">
        <v>3</v>
      </c>
      <c r="F855" s="0" t="s">
        <v>12</v>
      </c>
      <c r="G855" s="0" t="s">
        <v>8</v>
      </c>
      <c r="H855" s="0">
        <v>2353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R855" s="0" t="b">
        <v>0</v>
      </c>
      <c r="S855" s="0" t="b">
        <v>0</v>
      </c>
      <c r="T855" s="68">
        <v>43700.2944444444</v>
      </c>
      <c r="U855" s="68">
        <v>0</v>
      </c>
      <c r="V855" s="68">
        <v>0</v>
      </c>
      <c r="W855" s="0">
        <f>IF(IF(B855="none",1,IF(B855="Trialer",1,0))+IF(C855="Customer",1,IF(C855="Lost",1,0))=2,1,0)</f>
      </c>
      <c r="X855" s="0" t="s">
        <v>1044</v>
      </c>
      <c r="Y855" s="0" t="s">
        <v>243</v>
      </c>
      <c r="AV855" s="68"/>
      <c r="AW855" s="68"/>
      <c r="AY855" s="27"/>
      <c r="BD855" s="68">
        <v>46054.1666666667</v>
      </c>
      <c r="BE855" s="68">
        <v>46082.1666666667</v>
      </c>
      <c r="BF855" s="0" t="b">
        <v>0</v>
      </c>
      <c r="BG855" s="0" t="b">
        <v>0</v>
      </c>
      <c r="BH855" s="0">
        <v>0</v>
      </c>
      <c r="BI855" s="0">
        <v>0</v>
      </c>
      <c r="BJ855" s="0" t="s">
        <v>135</v>
      </c>
    </row>
    <row r="856">
      <c r="A856" s="0" t="s">
        <v>1055</v>
      </c>
      <c r="B856" s="0" t="s">
        <v>134</v>
      </c>
      <c r="C856" s="0" t="s">
        <v>134</v>
      </c>
      <c r="D856" s="0" t="s">
        <v>135</v>
      </c>
      <c r="E856" s="0" t="s">
        <v>2</v>
      </c>
      <c r="F856" s="0" t="s">
        <v>12</v>
      </c>
      <c r="G856" s="0" t="s">
        <v>7</v>
      </c>
      <c r="H856" s="0">
        <v>2350</v>
      </c>
      <c r="I856" s="0">
        <v>40</v>
      </c>
      <c r="J856" s="0">
        <v>0</v>
      </c>
      <c r="K856" s="0">
        <v>1</v>
      </c>
      <c r="L856" s="0">
        <v>1</v>
      </c>
      <c r="M856" s="0">
        <v>1</v>
      </c>
      <c r="N856" s="0">
        <v>0</v>
      </c>
      <c r="O856" s="0">
        <v>0</v>
      </c>
      <c r="P856" s="0">
        <v>0</v>
      </c>
      <c r="R856" s="0" t="b">
        <v>0</v>
      </c>
      <c r="S856" s="0" t="b">
        <v>1</v>
      </c>
      <c r="T856" s="68">
        <v>43703.6590277778</v>
      </c>
      <c r="U856" s="68">
        <v>43703.5</v>
      </c>
      <c r="V856" s="68">
        <v>0</v>
      </c>
      <c r="W856" s="0">
        <f>IF(IF(B856="none",1,IF(B856="Trialer",1,0))+IF(C856="Customer",1,IF(C856="Lost",1,0))=2,1,0)</f>
      </c>
      <c r="X856" s="0" t="s">
        <v>145</v>
      </c>
      <c r="Y856" s="0" t="s">
        <v>137</v>
      </c>
      <c r="AV856" s="68"/>
      <c r="AW856" s="68"/>
      <c r="AY856" s="27"/>
      <c r="BD856" s="68">
        <v>46054.1666666667</v>
      </c>
      <c r="BE856" s="68">
        <v>46082.1666666667</v>
      </c>
      <c r="BF856" s="0" t="b">
        <v>0</v>
      </c>
      <c r="BG856" s="0" t="b">
        <v>0</v>
      </c>
      <c r="BH856" s="0">
        <v>40</v>
      </c>
      <c r="BI856" s="0">
        <v>40</v>
      </c>
      <c r="BJ856" s="0" t="s">
        <v>135</v>
      </c>
    </row>
    <row r="857">
      <c r="A857" s="0" t="s">
        <v>1056</v>
      </c>
      <c r="B857" s="0" t="s">
        <v>134</v>
      </c>
      <c r="C857" s="0" t="s">
        <v>134</v>
      </c>
      <c r="D857" s="0" t="s">
        <v>135</v>
      </c>
      <c r="E857" s="0" t="s">
        <v>2</v>
      </c>
      <c r="F857" s="0" t="s">
        <v>12</v>
      </c>
      <c r="G857" s="0" t="s">
        <v>7</v>
      </c>
      <c r="H857" s="0">
        <v>2350</v>
      </c>
      <c r="I857" s="0">
        <v>40</v>
      </c>
      <c r="J857" s="0">
        <v>0</v>
      </c>
      <c r="K857" s="0">
        <v>1</v>
      </c>
      <c r="L857" s="0">
        <v>1</v>
      </c>
      <c r="M857" s="0">
        <v>1</v>
      </c>
      <c r="N857" s="0">
        <v>0</v>
      </c>
      <c r="O857" s="0">
        <v>0</v>
      </c>
      <c r="P857" s="0">
        <v>0</v>
      </c>
      <c r="R857" s="0" t="b">
        <v>0</v>
      </c>
      <c r="S857" s="0" t="b">
        <v>1</v>
      </c>
      <c r="T857" s="68">
        <v>43703.6604166667</v>
      </c>
      <c r="U857" s="68">
        <v>43703.5</v>
      </c>
      <c r="V857" s="68">
        <v>0</v>
      </c>
      <c r="W857" s="0">
        <f>IF(IF(B857="none",1,IF(B857="Trialer",1,0))+IF(C857="Customer",1,IF(C857="Lost",1,0))=2,1,0)</f>
      </c>
      <c r="X857" s="0" t="s">
        <v>145</v>
      </c>
      <c r="Y857" s="0" t="s">
        <v>137</v>
      </c>
      <c r="AV857" s="68"/>
      <c r="AW857" s="68"/>
      <c r="AY857" s="27"/>
      <c r="BD857" s="68">
        <v>46054.1666666667</v>
      </c>
      <c r="BE857" s="68">
        <v>46082.1666666667</v>
      </c>
      <c r="BF857" s="0" t="b">
        <v>0</v>
      </c>
      <c r="BG857" s="0" t="b">
        <v>0</v>
      </c>
      <c r="BH857" s="0">
        <v>40</v>
      </c>
      <c r="BI857" s="0">
        <v>40</v>
      </c>
      <c r="BJ857" s="0" t="s">
        <v>135</v>
      </c>
    </row>
    <row r="858">
      <c r="A858" s="0" t="s">
        <v>1057</v>
      </c>
      <c r="B858" s="0" t="s">
        <v>134</v>
      </c>
      <c r="C858" s="0" t="s">
        <v>134</v>
      </c>
      <c r="D858" s="0" t="s">
        <v>135</v>
      </c>
      <c r="E858" s="0" t="s">
        <v>2</v>
      </c>
      <c r="F858" s="0" t="s">
        <v>10</v>
      </c>
      <c r="G858" s="0" t="s">
        <v>8</v>
      </c>
      <c r="H858" s="0">
        <v>2350</v>
      </c>
      <c r="I858" s="0">
        <v>49</v>
      </c>
      <c r="J858" s="0">
        <v>0</v>
      </c>
      <c r="K858" s="0">
        <v>1</v>
      </c>
      <c r="L858" s="0">
        <v>3</v>
      </c>
      <c r="M858" s="0">
        <v>1</v>
      </c>
      <c r="N858" s="0">
        <v>0</v>
      </c>
      <c r="O858" s="0">
        <v>0</v>
      </c>
      <c r="P858" s="0">
        <v>0</v>
      </c>
      <c r="Q858" s="0" t="s">
        <v>1058</v>
      </c>
      <c r="R858" s="0" t="b">
        <v>0</v>
      </c>
      <c r="S858" s="0" t="b">
        <v>1</v>
      </c>
      <c r="T858" s="68">
        <v>43703.8000810185</v>
      </c>
      <c r="U858" s="68">
        <v>43733.3333333333</v>
      </c>
      <c r="V858" s="68">
        <v>0</v>
      </c>
      <c r="W858" s="0">
        <f>IF(IF(B858="none",1,IF(B858="Trialer",1,0))+IF(C858="Customer",1,IF(C858="Lost",1,0))=2,1,0)</f>
      </c>
      <c r="X858" s="0" t="s">
        <v>145</v>
      </c>
      <c r="Y858" s="0" t="s">
        <v>499</v>
      </c>
      <c r="AV858" s="68"/>
      <c r="AW858" s="68"/>
      <c r="AY858" s="27"/>
      <c r="BD858" s="68">
        <v>46054.1666666667</v>
      </c>
      <c r="BE858" s="68">
        <v>46082.1666666667</v>
      </c>
      <c r="BF858" s="0" t="b">
        <v>0</v>
      </c>
      <c r="BG858" s="0" t="b">
        <v>0</v>
      </c>
      <c r="BH858" s="0">
        <v>49</v>
      </c>
      <c r="BI858" s="0">
        <v>49</v>
      </c>
      <c r="BJ858" s="0" t="s">
        <v>135</v>
      </c>
    </row>
    <row r="859">
      <c r="A859" s="0" t="s">
        <v>1059</v>
      </c>
      <c r="B859" s="0" t="s">
        <v>134</v>
      </c>
      <c r="C859" s="0" t="s">
        <v>134</v>
      </c>
      <c r="D859" s="0" t="s">
        <v>135</v>
      </c>
      <c r="E859" s="0" t="s">
        <v>3</v>
      </c>
      <c r="F859" s="0" t="s">
        <v>10</v>
      </c>
      <c r="G859" s="0" t="s">
        <v>8</v>
      </c>
      <c r="H859" s="0">
        <v>2348</v>
      </c>
      <c r="I859" s="0">
        <v>177</v>
      </c>
      <c r="J859" s="0">
        <v>0</v>
      </c>
      <c r="K859" s="0">
        <v>1</v>
      </c>
      <c r="L859" s="0">
        <v>2</v>
      </c>
      <c r="M859" s="0">
        <v>6</v>
      </c>
      <c r="N859" s="0">
        <v>0</v>
      </c>
      <c r="O859" s="0">
        <v>0</v>
      </c>
      <c r="P859" s="0">
        <v>0</v>
      </c>
      <c r="Q859" s="0" t="s">
        <v>1051</v>
      </c>
      <c r="R859" s="0" t="b">
        <v>0</v>
      </c>
      <c r="S859" s="0" t="b">
        <v>1</v>
      </c>
      <c r="T859" s="68">
        <v>43705.775775463</v>
      </c>
      <c r="U859" s="68">
        <v>43755.3333333333</v>
      </c>
      <c r="V859" s="68">
        <v>0</v>
      </c>
      <c r="W859" s="0">
        <f>IF(IF(B859="none",1,IF(B859="Trialer",1,0))+IF(C859="Customer",1,IF(C859="Lost",1,0))=2,1,0)</f>
      </c>
      <c r="X859" s="0" t="s">
        <v>148</v>
      </c>
      <c r="Y859" s="0" t="s">
        <v>243</v>
      </c>
      <c r="AV859" s="68"/>
      <c r="AW859" s="68"/>
      <c r="AY859" s="27"/>
      <c r="BD859" s="68">
        <v>46054.1666666667</v>
      </c>
      <c r="BE859" s="68">
        <v>46082.1666666667</v>
      </c>
      <c r="BF859" s="0" t="b">
        <v>0</v>
      </c>
      <c r="BG859" s="0" t="b">
        <v>0</v>
      </c>
      <c r="BH859" s="0">
        <v>177</v>
      </c>
      <c r="BI859" s="0">
        <v>177</v>
      </c>
      <c r="BJ859" s="0" t="s">
        <v>135</v>
      </c>
    </row>
    <row r="860">
      <c r="A860" s="0" t="s">
        <v>1060</v>
      </c>
      <c r="B860" s="0" t="s">
        <v>134</v>
      </c>
      <c r="C860" s="0" t="s">
        <v>134</v>
      </c>
      <c r="D860" s="0" t="s">
        <v>135</v>
      </c>
      <c r="E860" s="0" t="s">
        <v>2</v>
      </c>
      <c r="F860" s="0" t="s">
        <v>12</v>
      </c>
      <c r="G860" s="0" t="s">
        <v>8</v>
      </c>
      <c r="H860" s="0">
        <v>2347</v>
      </c>
      <c r="I860" s="0">
        <v>0</v>
      </c>
      <c r="J860" s="0">
        <v>0</v>
      </c>
      <c r="K860" s="0">
        <v>1</v>
      </c>
      <c r="L860" s="0">
        <v>3</v>
      </c>
      <c r="M860" s="0">
        <v>2</v>
      </c>
      <c r="N860" s="0">
        <v>0</v>
      </c>
      <c r="O860" s="0">
        <v>0</v>
      </c>
      <c r="P860" s="0">
        <v>0</v>
      </c>
      <c r="R860" s="0" t="b">
        <v>0</v>
      </c>
      <c r="S860" s="0" t="b">
        <v>1</v>
      </c>
      <c r="T860" s="68">
        <v>43706.5577199074</v>
      </c>
      <c r="U860" s="68">
        <v>43712.3333333333</v>
      </c>
      <c r="V860" s="68">
        <v>0</v>
      </c>
      <c r="W860" s="0">
        <f>IF(IF(B860="none",1,IF(B860="Trialer",1,0))+IF(C860="Customer",1,IF(C860="Lost",1,0))=2,1,0)</f>
      </c>
      <c r="X860" s="0" t="s">
        <v>148</v>
      </c>
      <c r="Y860" s="0" t="s">
        <v>499</v>
      </c>
      <c r="AV860" s="68"/>
      <c r="AW860" s="68"/>
      <c r="AY860" s="27"/>
      <c r="BD860" s="68">
        <v>46054.1666666667</v>
      </c>
      <c r="BE860" s="68">
        <v>46082.1666666667</v>
      </c>
      <c r="BF860" s="0" t="b">
        <v>0</v>
      </c>
      <c r="BG860" s="0" t="b">
        <v>0</v>
      </c>
      <c r="BH860" s="0">
        <v>0</v>
      </c>
      <c r="BI860" s="0">
        <v>0</v>
      </c>
      <c r="BJ860" s="0" t="s">
        <v>135</v>
      </c>
    </row>
    <row r="861">
      <c r="A861" s="0" t="s">
        <v>1061</v>
      </c>
      <c r="B861" s="0" t="s">
        <v>134</v>
      </c>
      <c r="C861" s="0" t="s">
        <v>134</v>
      </c>
      <c r="D861" s="0" t="s">
        <v>230</v>
      </c>
      <c r="E861" s="0" t="s">
        <v>3</v>
      </c>
      <c r="F861" s="0" t="s">
        <v>12</v>
      </c>
      <c r="G861" s="0" t="s">
        <v>8</v>
      </c>
      <c r="H861" s="0">
        <v>2347</v>
      </c>
      <c r="I861" s="0">
        <v>884.98</v>
      </c>
      <c r="J861" s="0">
        <v>0</v>
      </c>
      <c r="K861" s="0">
        <v>1</v>
      </c>
      <c r="L861" s="0">
        <v>4</v>
      </c>
      <c r="M861" s="0">
        <v>18</v>
      </c>
      <c r="N861" s="0">
        <v>232.5</v>
      </c>
      <c r="O861" s="0">
        <v>-232.5</v>
      </c>
      <c r="P861" s="0">
        <v>-884.98</v>
      </c>
      <c r="R861" s="0" t="b">
        <v>0</v>
      </c>
      <c r="S861" s="0" t="b">
        <v>1</v>
      </c>
      <c r="T861" s="68">
        <v>43706.7323726852</v>
      </c>
      <c r="U861" s="68">
        <v>43736.3333333333</v>
      </c>
      <c r="V861" s="68">
        <v>0</v>
      </c>
      <c r="W861" s="0">
        <f>IF(IF(B861="none",1,IF(B861="Trialer",1,0))+IF(C861="Customer",1,IF(C861="Lost",1,0))=2,1,0)</f>
      </c>
      <c r="X861" s="0" t="s">
        <v>148</v>
      </c>
      <c r="Y861" s="0" t="s">
        <v>243</v>
      </c>
      <c r="AV861" s="68"/>
      <c r="AW861" s="68"/>
      <c r="AY861" s="27"/>
      <c r="BD861" s="68">
        <v>46054.1666666667</v>
      </c>
      <c r="BE861" s="68">
        <v>46082.1666666667</v>
      </c>
      <c r="BF861" s="0" t="b">
        <v>0</v>
      </c>
      <c r="BG861" s="0" t="b">
        <v>0</v>
      </c>
      <c r="BH861" s="0">
        <v>990.91</v>
      </c>
      <c r="BI861" s="0">
        <v>990.67</v>
      </c>
      <c r="BJ861" s="0" t="s">
        <v>230</v>
      </c>
    </row>
    <row r="862">
      <c r="A862" s="0" t="s">
        <v>1062</v>
      </c>
      <c r="B862" s="0" t="s">
        <v>134</v>
      </c>
      <c r="C862" s="0" t="s">
        <v>134</v>
      </c>
      <c r="D862" s="0" t="s">
        <v>230</v>
      </c>
      <c r="E862" s="0" t="s">
        <v>3</v>
      </c>
      <c r="F862" s="0" t="s">
        <v>12</v>
      </c>
      <c r="G862" s="0" t="s">
        <v>8</v>
      </c>
      <c r="H862" s="0">
        <v>2343</v>
      </c>
      <c r="I862" s="0">
        <v>102</v>
      </c>
      <c r="J862" s="0">
        <v>0</v>
      </c>
      <c r="K862" s="0">
        <v>1</v>
      </c>
      <c r="L862" s="0">
        <v>3</v>
      </c>
      <c r="M862" s="0">
        <v>3</v>
      </c>
      <c r="N862" s="0">
        <v>0</v>
      </c>
      <c r="O862" s="0">
        <v>0</v>
      </c>
      <c r="P862" s="0">
        <v>-102</v>
      </c>
      <c r="R862" s="0" t="b">
        <v>0</v>
      </c>
      <c r="S862" s="0" t="b">
        <v>1</v>
      </c>
      <c r="T862" s="68">
        <v>43710.185625</v>
      </c>
      <c r="U862" s="68">
        <v>43752.3333333333</v>
      </c>
      <c r="V862" s="68">
        <v>0</v>
      </c>
      <c r="W862" s="0">
        <f>IF(IF(B862="none",1,IF(B862="Trialer",1,0))+IF(C862="Customer",1,IF(C862="Lost",1,0))=2,1,0)</f>
      </c>
      <c r="X862" s="0" t="s">
        <v>142</v>
      </c>
      <c r="Y862" s="0" t="s">
        <v>243</v>
      </c>
      <c r="AV862" s="68"/>
      <c r="AW862" s="68"/>
      <c r="AY862" s="27"/>
      <c r="BD862" s="68">
        <v>46054.1666666667</v>
      </c>
      <c r="BE862" s="68">
        <v>46082.1666666667</v>
      </c>
      <c r="BF862" s="0" t="b">
        <v>0</v>
      </c>
      <c r="BG862" s="0" t="b">
        <v>0</v>
      </c>
      <c r="BH862" s="0">
        <v>114</v>
      </c>
      <c r="BI862" s="0">
        <v>114</v>
      </c>
      <c r="BJ862" s="0" t="s">
        <v>230</v>
      </c>
    </row>
    <row r="863">
      <c r="A863" s="0" t="s">
        <v>1063</v>
      </c>
      <c r="B863" s="0" t="s">
        <v>134</v>
      </c>
      <c r="C863" s="0" t="s">
        <v>134</v>
      </c>
      <c r="D863" s="0" t="s">
        <v>135</v>
      </c>
      <c r="E863" s="0" t="s">
        <v>3</v>
      </c>
      <c r="F863" s="0" t="s">
        <v>12</v>
      </c>
      <c r="G863" s="0" t="s">
        <v>8</v>
      </c>
      <c r="H863" s="0">
        <v>2340</v>
      </c>
      <c r="I863" s="0">
        <v>49</v>
      </c>
      <c r="J863" s="0">
        <v>0</v>
      </c>
      <c r="K863" s="0">
        <v>1</v>
      </c>
      <c r="L863" s="0">
        <v>3</v>
      </c>
      <c r="M863" s="0">
        <v>1</v>
      </c>
      <c r="N863" s="0">
        <v>0</v>
      </c>
      <c r="O863" s="0">
        <v>0</v>
      </c>
      <c r="P863" s="0">
        <v>0</v>
      </c>
      <c r="R863" s="0" t="b">
        <v>0</v>
      </c>
      <c r="S863" s="0" t="b">
        <v>1</v>
      </c>
      <c r="T863" s="68">
        <v>43713.6944444444</v>
      </c>
      <c r="U863" s="68">
        <v>43766.5</v>
      </c>
      <c r="V863" s="68">
        <v>0</v>
      </c>
      <c r="W863" s="0">
        <f>IF(IF(B863="none",1,IF(B863="Trialer",1,0))+IF(C863="Customer",1,IF(C863="Lost",1,0))=2,1,0)</f>
      </c>
      <c r="X863" s="0" t="s">
        <v>166</v>
      </c>
      <c r="Y863" s="0" t="s">
        <v>243</v>
      </c>
      <c r="AV863" s="68"/>
      <c r="AW863" s="68"/>
      <c r="AY863" s="27"/>
      <c r="BD863" s="68">
        <v>46054.1666666667</v>
      </c>
      <c r="BE863" s="68">
        <v>46082.1666666667</v>
      </c>
      <c r="BF863" s="0" t="b">
        <v>0</v>
      </c>
      <c r="BG863" s="0" t="b">
        <v>0</v>
      </c>
      <c r="BH863" s="0">
        <v>49</v>
      </c>
      <c r="BI863" s="0">
        <v>49</v>
      </c>
      <c r="BJ863" s="0" t="s">
        <v>135</v>
      </c>
    </row>
    <row r="864">
      <c r="A864" s="0" t="s">
        <v>1064</v>
      </c>
      <c r="B864" s="0" t="s">
        <v>134</v>
      </c>
      <c r="C864" s="0" t="s">
        <v>134</v>
      </c>
      <c r="D864" s="0" t="s">
        <v>230</v>
      </c>
      <c r="E864" s="0" t="s">
        <v>3</v>
      </c>
      <c r="F864" s="0" t="s">
        <v>12</v>
      </c>
      <c r="G864" s="0" t="s">
        <v>8</v>
      </c>
      <c r="H864" s="0">
        <v>2338</v>
      </c>
      <c r="I864" s="0">
        <v>105</v>
      </c>
      <c r="J864" s="0">
        <v>0</v>
      </c>
      <c r="K864" s="0">
        <v>1</v>
      </c>
      <c r="L864" s="0">
        <v>3</v>
      </c>
      <c r="M864" s="0">
        <v>3</v>
      </c>
      <c r="N864" s="0">
        <v>0</v>
      </c>
      <c r="O864" s="0">
        <v>0</v>
      </c>
      <c r="P864" s="0">
        <v>-105</v>
      </c>
      <c r="R864" s="0" t="b">
        <v>0</v>
      </c>
      <c r="S864" s="0" t="b">
        <v>1</v>
      </c>
      <c r="T864" s="68">
        <v>43715.5751736111</v>
      </c>
      <c r="U864" s="68">
        <v>43745.3333333333</v>
      </c>
      <c r="V864" s="68">
        <v>0</v>
      </c>
      <c r="W864" s="0">
        <f>IF(IF(B864="none",1,IF(B864="Trialer",1,0))+IF(C864="Customer",1,IF(C864="Lost",1,0))=2,1,0)</f>
      </c>
      <c r="X864" s="0" t="s">
        <v>166</v>
      </c>
      <c r="Y864" s="0" t="s">
        <v>243</v>
      </c>
      <c r="AV864" s="68"/>
      <c r="AW864" s="68"/>
      <c r="AY864" s="27"/>
      <c r="BD864" s="68">
        <v>46054.1666666667</v>
      </c>
      <c r="BE864" s="68">
        <v>46082.1666666667</v>
      </c>
      <c r="BF864" s="0" t="b">
        <v>0</v>
      </c>
      <c r="BG864" s="0" t="b">
        <v>0</v>
      </c>
      <c r="BH864" s="0">
        <v>117</v>
      </c>
      <c r="BI864" s="0">
        <v>117</v>
      </c>
      <c r="BJ864" s="0" t="s">
        <v>230</v>
      </c>
    </row>
    <row r="865">
      <c r="A865" s="0" t="s">
        <v>1065</v>
      </c>
      <c r="B865" s="0" t="s">
        <v>134</v>
      </c>
      <c r="C865" s="0" t="s">
        <v>134</v>
      </c>
      <c r="D865" s="0" t="s">
        <v>135</v>
      </c>
      <c r="E865" s="0" t="s">
        <v>2</v>
      </c>
      <c r="F865" s="0" t="s">
        <v>12</v>
      </c>
      <c r="G865" s="0" t="s">
        <v>8</v>
      </c>
      <c r="H865" s="0">
        <v>2332</v>
      </c>
      <c r="I865" s="0">
        <v>98</v>
      </c>
      <c r="J865" s="0">
        <v>0</v>
      </c>
      <c r="K865" s="0">
        <v>1</v>
      </c>
      <c r="L865" s="0">
        <v>3</v>
      </c>
      <c r="M865" s="0">
        <v>2</v>
      </c>
      <c r="N865" s="0">
        <v>0</v>
      </c>
      <c r="O865" s="0">
        <v>0</v>
      </c>
      <c r="P865" s="0">
        <v>0</v>
      </c>
      <c r="R865" s="0" t="b">
        <v>0</v>
      </c>
      <c r="S865" s="0" t="b">
        <v>1</v>
      </c>
      <c r="T865" s="68">
        <v>43721.5215277778</v>
      </c>
      <c r="U865" s="68">
        <v>43751.5</v>
      </c>
      <c r="V865" s="68">
        <v>0</v>
      </c>
      <c r="W865" s="0">
        <f>IF(IF(B865="none",1,IF(B865="Trialer",1,0))+IF(C865="Customer",1,IF(C865="Lost",1,0))=2,1,0)</f>
      </c>
      <c r="X865" s="0" t="s">
        <v>166</v>
      </c>
      <c r="Y865" s="0" t="s">
        <v>499</v>
      </c>
      <c r="AV865" s="68"/>
      <c r="AW865" s="68"/>
      <c r="AY865" s="27"/>
      <c r="BD865" s="68">
        <v>46054.1666666667</v>
      </c>
      <c r="BE865" s="68">
        <v>46082.1666666667</v>
      </c>
      <c r="BF865" s="0" t="b">
        <v>0</v>
      </c>
      <c r="BG865" s="0" t="b">
        <v>0</v>
      </c>
      <c r="BH865" s="0">
        <v>98</v>
      </c>
      <c r="BI865" s="0">
        <v>98</v>
      </c>
      <c r="BJ865" s="0" t="s">
        <v>135</v>
      </c>
    </row>
    <row r="866">
      <c r="A866" s="0" t="s">
        <v>1066</v>
      </c>
      <c r="B866" s="0" t="s">
        <v>134</v>
      </c>
      <c r="C866" s="0" t="s">
        <v>134</v>
      </c>
      <c r="D866" s="0" t="s">
        <v>135</v>
      </c>
      <c r="E866" s="0" t="s">
        <v>3</v>
      </c>
      <c r="F866" s="0" t="s">
        <v>12</v>
      </c>
      <c r="G866" s="0" t="s">
        <v>8</v>
      </c>
      <c r="H866" s="0">
        <v>2332</v>
      </c>
      <c r="I866" s="0">
        <v>0</v>
      </c>
      <c r="J866" s="0">
        <v>0</v>
      </c>
      <c r="K866" s="0">
        <v>1</v>
      </c>
      <c r="L866" s="0">
        <v>3</v>
      </c>
      <c r="M866" s="0">
        <v>2</v>
      </c>
      <c r="N866" s="0">
        <v>0</v>
      </c>
      <c r="O866" s="0">
        <v>0</v>
      </c>
      <c r="P866" s="0">
        <v>0</v>
      </c>
      <c r="R866" s="0" t="b">
        <v>0</v>
      </c>
      <c r="S866" s="0" t="b">
        <v>1</v>
      </c>
      <c r="T866" s="68">
        <v>43721.5568865741</v>
      </c>
      <c r="U866" s="68">
        <v>43731.3333333333</v>
      </c>
      <c r="V866" s="68">
        <v>0</v>
      </c>
      <c r="W866" s="0">
        <f>IF(IF(B866="none",1,IF(B866="Trialer",1,0))+IF(C866="Customer",1,IF(C866="Lost",1,0))=2,1,0)</f>
      </c>
      <c r="X866" s="0" t="s">
        <v>148</v>
      </c>
      <c r="Y866" s="0" t="s">
        <v>243</v>
      </c>
      <c r="AV866" s="68"/>
      <c r="AW866" s="68"/>
      <c r="AY866" s="27"/>
      <c r="BD866" s="68">
        <v>46054.1666666667</v>
      </c>
      <c r="BE866" s="68">
        <v>46082.1666666667</v>
      </c>
      <c r="BF866" s="0" t="b">
        <v>0</v>
      </c>
      <c r="BG866" s="0" t="b">
        <v>0</v>
      </c>
      <c r="BH866" s="0">
        <v>0</v>
      </c>
      <c r="BI866" s="0">
        <v>0</v>
      </c>
      <c r="BJ866" s="0" t="s">
        <v>135</v>
      </c>
    </row>
    <row r="867">
      <c r="A867" s="0" t="s">
        <v>1067</v>
      </c>
      <c r="B867" s="0" t="s">
        <v>134</v>
      </c>
      <c r="C867" s="0" t="s">
        <v>134</v>
      </c>
      <c r="D867" s="0" t="s">
        <v>135</v>
      </c>
      <c r="E867" s="0" t="s">
        <v>3</v>
      </c>
      <c r="F867" s="0" t="s">
        <v>12</v>
      </c>
      <c r="G867" s="0" t="s">
        <v>8</v>
      </c>
      <c r="H867" s="0">
        <v>2332</v>
      </c>
      <c r="I867" s="0">
        <v>958</v>
      </c>
      <c r="J867" s="0">
        <v>0</v>
      </c>
      <c r="K867" s="0">
        <v>1</v>
      </c>
      <c r="L867" s="0">
        <v>5</v>
      </c>
      <c r="M867" s="0">
        <v>22</v>
      </c>
      <c r="N867" s="0">
        <v>0</v>
      </c>
      <c r="O867" s="0">
        <v>0</v>
      </c>
      <c r="P867" s="0">
        <v>0</v>
      </c>
      <c r="R867" s="0" t="b">
        <v>0</v>
      </c>
      <c r="S867" s="0" t="b">
        <v>1</v>
      </c>
      <c r="T867" s="68">
        <v>43721.5673726852</v>
      </c>
      <c r="U867" s="68">
        <v>43766.3333333333</v>
      </c>
      <c r="V867" s="68">
        <v>0</v>
      </c>
      <c r="W867" s="0">
        <f>IF(IF(B867="none",1,IF(B867="Trialer",1,0))+IF(C867="Customer",1,IF(C867="Lost",1,0))=2,1,0)</f>
      </c>
      <c r="X867" s="0" t="s">
        <v>148</v>
      </c>
      <c r="Y867" s="0" t="s">
        <v>243</v>
      </c>
      <c r="AV867" s="68"/>
      <c r="AW867" s="68"/>
      <c r="AY867" s="27"/>
      <c r="BD867" s="68">
        <v>46054.1666666667</v>
      </c>
      <c r="BE867" s="68">
        <v>46082.1666666667</v>
      </c>
      <c r="BF867" s="0" t="b">
        <v>0</v>
      </c>
      <c r="BG867" s="0" t="b">
        <v>0</v>
      </c>
      <c r="BH867" s="0">
        <v>913</v>
      </c>
      <c r="BI867" s="0">
        <v>913</v>
      </c>
      <c r="BJ867" s="0" t="s">
        <v>135</v>
      </c>
    </row>
    <row r="868">
      <c r="A868" s="0" t="s">
        <v>1068</v>
      </c>
      <c r="B868" s="0" t="s">
        <v>134</v>
      </c>
      <c r="C868" s="0" t="s">
        <v>134</v>
      </c>
      <c r="D868" s="0" t="s">
        <v>135</v>
      </c>
      <c r="E868" s="0" t="s">
        <v>3</v>
      </c>
      <c r="F868" s="0" t="s">
        <v>12</v>
      </c>
      <c r="G868" s="0" t="s">
        <v>8</v>
      </c>
      <c r="H868" s="0">
        <v>2324</v>
      </c>
      <c r="I868" s="0">
        <v>0</v>
      </c>
      <c r="J868" s="0">
        <v>0</v>
      </c>
      <c r="K868" s="0">
        <v>1</v>
      </c>
      <c r="L868" s="0">
        <v>3</v>
      </c>
      <c r="M868" s="0">
        <v>1</v>
      </c>
      <c r="N868" s="0">
        <v>0</v>
      </c>
      <c r="O868" s="0">
        <v>0</v>
      </c>
      <c r="P868" s="0">
        <v>0</v>
      </c>
      <c r="R868" s="0" t="b">
        <v>0</v>
      </c>
      <c r="S868" s="0" t="b">
        <v>1</v>
      </c>
      <c r="T868" s="68">
        <v>43729.3854861111</v>
      </c>
      <c r="U868" s="68">
        <v>43731.3333333333</v>
      </c>
      <c r="V868" s="68">
        <v>0</v>
      </c>
      <c r="W868" s="0">
        <f>IF(IF(B868="none",1,IF(B868="Trialer",1,0))+IF(C868="Customer",1,IF(C868="Lost",1,0))=2,1,0)</f>
      </c>
      <c r="X868" s="0" t="s">
        <v>148</v>
      </c>
      <c r="Y868" s="0" t="s">
        <v>243</v>
      </c>
      <c r="AV868" s="68"/>
      <c r="AW868" s="68"/>
      <c r="AY868" s="27"/>
      <c r="BD868" s="68">
        <v>46054.1666666667</v>
      </c>
      <c r="BE868" s="68">
        <v>46082.1666666667</v>
      </c>
      <c r="BF868" s="0" t="b">
        <v>0</v>
      </c>
      <c r="BG868" s="0" t="b">
        <v>0</v>
      </c>
      <c r="BH868" s="0">
        <v>0</v>
      </c>
      <c r="BI868" s="0">
        <v>0</v>
      </c>
      <c r="BJ868" s="0" t="s">
        <v>135</v>
      </c>
    </row>
    <row r="869">
      <c r="A869" s="0" t="s">
        <v>1069</v>
      </c>
      <c r="B869" s="0" t="s">
        <v>134</v>
      </c>
      <c r="C869" s="0" t="s">
        <v>190</v>
      </c>
      <c r="D869" s="0" t="s">
        <v>135</v>
      </c>
      <c r="E869" s="0" t="s">
        <v>2</v>
      </c>
      <c r="F869" s="0" t="s">
        <v>10</v>
      </c>
      <c r="G869" s="0" t="s">
        <v>8</v>
      </c>
      <c r="H869" s="0">
        <v>2322</v>
      </c>
      <c r="I869" s="0">
        <v>178</v>
      </c>
      <c r="J869" s="0">
        <v>0</v>
      </c>
      <c r="K869" s="0">
        <v>1</v>
      </c>
      <c r="L869" s="0">
        <v>3</v>
      </c>
      <c r="M869" s="0">
        <v>4</v>
      </c>
      <c r="N869" s="0">
        <v>0</v>
      </c>
      <c r="O869" s="0">
        <v>0</v>
      </c>
      <c r="P869" s="0">
        <v>0</v>
      </c>
      <c r="Q869" s="0" t="s">
        <v>324</v>
      </c>
      <c r="R869" s="0" t="b">
        <v>0</v>
      </c>
      <c r="S869" s="0" t="b">
        <v>0</v>
      </c>
      <c r="T869" s="68">
        <v>43731.448912037</v>
      </c>
      <c r="U869" s="68">
        <v>43772.2916666667</v>
      </c>
      <c r="V869" s="68">
        <v>46079.6597800926</v>
      </c>
      <c r="W869" s="0">
        <f>IF(IF(B869="none",1,IF(B869="Trialer",1,0))+IF(C869="Customer",1,IF(C869="Lost",1,0))=2,1,0)</f>
      </c>
      <c r="X869" s="0" t="s">
        <v>136</v>
      </c>
      <c r="Y869" s="0" t="s">
        <v>499</v>
      </c>
      <c r="AV869" s="68"/>
      <c r="AW869" s="68"/>
      <c r="AY869" s="27"/>
      <c r="BD869" s="68">
        <v>46054.1666666667</v>
      </c>
      <c r="BE869" s="68">
        <v>46082.1666666667</v>
      </c>
      <c r="BF869" s="0" t="b">
        <v>0</v>
      </c>
      <c r="BG869" s="0" t="b">
        <v>0</v>
      </c>
      <c r="BH869" s="0">
        <v>178</v>
      </c>
      <c r="BI869" s="0">
        <v>178</v>
      </c>
      <c r="BJ869" s="0" t="s">
        <v>135</v>
      </c>
    </row>
    <row r="870">
      <c r="A870" s="0" t="s">
        <v>1070</v>
      </c>
      <c r="B870" s="0" t="s">
        <v>134</v>
      </c>
      <c r="C870" s="0" t="s">
        <v>134</v>
      </c>
      <c r="D870" s="0" t="s">
        <v>135</v>
      </c>
      <c r="E870" s="0" t="s">
        <v>3</v>
      </c>
      <c r="F870" s="0" t="s">
        <v>12</v>
      </c>
      <c r="G870" s="0" t="s">
        <v>8</v>
      </c>
      <c r="H870" s="0">
        <v>2321</v>
      </c>
      <c r="I870" s="0">
        <v>0</v>
      </c>
      <c r="J870" s="0">
        <v>0</v>
      </c>
      <c r="K870" s="0">
        <v>1</v>
      </c>
      <c r="L870" s="0">
        <v>3</v>
      </c>
      <c r="M870" s="0">
        <v>1</v>
      </c>
      <c r="N870" s="0">
        <v>0</v>
      </c>
      <c r="O870" s="0">
        <v>0</v>
      </c>
      <c r="P870" s="0">
        <v>0</v>
      </c>
      <c r="R870" s="0" t="b">
        <v>0</v>
      </c>
      <c r="S870" s="0" t="b">
        <v>1</v>
      </c>
      <c r="T870" s="68">
        <v>43732.9594560185</v>
      </c>
      <c r="U870" s="68">
        <v>43735.3333333333</v>
      </c>
      <c r="V870" s="68">
        <v>0</v>
      </c>
      <c r="W870" s="0">
        <f>IF(IF(B870="none",1,IF(B870="Trialer",1,0))+IF(C870="Customer",1,IF(C870="Lost",1,0))=2,1,0)</f>
      </c>
      <c r="X870" s="0" t="s">
        <v>148</v>
      </c>
      <c r="Y870" s="0" t="s">
        <v>243</v>
      </c>
      <c r="AV870" s="68"/>
      <c r="AW870" s="68"/>
      <c r="AY870" s="27"/>
      <c r="BD870" s="68">
        <v>46054.1666666667</v>
      </c>
      <c r="BE870" s="68">
        <v>46082.1666666667</v>
      </c>
      <c r="BF870" s="0" t="b">
        <v>0</v>
      </c>
      <c r="BG870" s="0" t="b">
        <v>0</v>
      </c>
      <c r="BH870" s="0">
        <v>0</v>
      </c>
      <c r="BI870" s="0">
        <v>0</v>
      </c>
      <c r="BJ870" s="0" t="s">
        <v>135</v>
      </c>
    </row>
    <row r="871">
      <c r="A871" s="0" t="s">
        <v>1071</v>
      </c>
      <c r="B871" s="0" t="s">
        <v>134</v>
      </c>
      <c r="C871" s="0" t="s">
        <v>134</v>
      </c>
      <c r="D871" s="0" t="s">
        <v>135</v>
      </c>
      <c r="E871" s="0" t="s">
        <v>3</v>
      </c>
      <c r="F871" s="0" t="s">
        <v>12</v>
      </c>
      <c r="G871" s="0" t="s">
        <v>8</v>
      </c>
      <c r="H871" s="0">
        <v>2320</v>
      </c>
      <c r="I871" s="0">
        <v>196</v>
      </c>
      <c r="J871" s="0">
        <v>0</v>
      </c>
      <c r="K871" s="0">
        <v>1</v>
      </c>
      <c r="L871" s="0">
        <v>3</v>
      </c>
      <c r="M871" s="0">
        <v>4</v>
      </c>
      <c r="N871" s="0">
        <v>0</v>
      </c>
      <c r="O871" s="0">
        <v>0</v>
      </c>
      <c r="P871" s="0">
        <v>0</v>
      </c>
      <c r="R871" s="0" t="b">
        <v>0</v>
      </c>
      <c r="S871" s="0" t="b">
        <v>1</v>
      </c>
      <c r="T871" s="68">
        <v>43733.2851157407</v>
      </c>
      <c r="U871" s="68">
        <v>43758.3333333333</v>
      </c>
      <c r="V871" s="68">
        <v>0</v>
      </c>
      <c r="W871" s="0">
        <f>IF(IF(B871="none",1,IF(B871="Trialer",1,0))+IF(C871="Customer",1,IF(C871="Lost",1,0))=2,1,0)</f>
      </c>
      <c r="X871" s="0" t="s">
        <v>148</v>
      </c>
      <c r="Y871" s="0" t="s">
        <v>243</v>
      </c>
      <c r="AV871" s="68"/>
      <c r="AW871" s="68"/>
      <c r="AY871" s="27"/>
      <c r="BD871" s="68">
        <v>46054.1666666667</v>
      </c>
      <c r="BE871" s="68">
        <v>46082.1666666667</v>
      </c>
      <c r="BF871" s="0" t="b">
        <v>0</v>
      </c>
      <c r="BG871" s="0" t="b">
        <v>0</v>
      </c>
      <c r="BH871" s="0">
        <v>196</v>
      </c>
      <c r="BI871" s="0">
        <v>196</v>
      </c>
      <c r="BJ871" s="0" t="s">
        <v>135</v>
      </c>
    </row>
    <row r="872">
      <c r="A872" s="0" t="s">
        <v>1072</v>
      </c>
      <c r="B872" s="0" t="s">
        <v>134</v>
      </c>
      <c r="C872" s="0" t="s">
        <v>134</v>
      </c>
      <c r="D872" s="0" t="s">
        <v>135</v>
      </c>
      <c r="E872" s="0" t="s">
        <v>2</v>
      </c>
      <c r="F872" s="0" t="s">
        <v>12</v>
      </c>
      <c r="G872" s="0" t="s">
        <v>8</v>
      </c>
      <c r="H872" s="0">
        <v>2318</v>
      </c>
      <c r="I872" s="0">
        <v>0</v>
      </c>
      <c r="J872" s="0">
        <v>0</v>
      </c>
      <c r="K872" s="0">
        <v>1</v>
      </c>
      <c r="L872" s="0">
        <v>3</v>
      </c>
      <c r="M872" s="0">
        <v>1</v>
      </c>
      <c r="N872" s="0">
        <v>0</v>
      </c>
      <c r="O872" s="0">
        <v>0</v>
      </c>
      <c r="P872" s="0">
        <v>0</v>
      </c>
      <c r="R872" s="0" t="b">
        <v>0</v>
      </c>
      <c r="S872" s="0" t="b">
        <v>1</v>
      </c>
      <c r="T872" s="68">
        <v>43735.6696527778</v>
      </c>
      <c r="U872" s="68">
        <v>43765.3333333333</v>
      </c>
      <c r="V872" s="68">
        <v>0</v>
      </c>
      <c r="W872" s="0">
        <f>IF(IF(B872="none",1,IF(B872="Trialer",1,0))+IF(C872="Customer",1,IF(C872="Lost",1,0))=2,1,0)</f>
      </c>
      <c r="X872" s="0" t="s">
        <v>148</v>
      </c>
      <c r="Y872" s="0" t="s">
        <v>499</v>
      </c>
      <c r="AV872" s="68"/>
      <c r="AW872" s="68"/>
      <c r="AY872" s="27"/>
      <c r="BD872" s="68">
        <v>46054.1666666667</v>
      </c>
      <c r="BE872" s="68">
        <v>46082.1666666667</v>
      </c>
      <c r="BF872" s="0" t="b">
        <v>0</v>
      </c>
      <c r="BG872" s="0" t="b">
        <v>0</v>
      </c>
      <c r="BH872" s="0">
        <v>0</v>
      </c>
      <c r="BI872" s="0">
        <v>0</v>
      </c>
      <c r="BJ872" s="0" t="s">
        <v>135</v>
      </c>
    </row>
    <row r="873">
      <c r="A873" s="0" t="s">
        <v>1073</v>
      </c>
      <c r="B873" s="0" t="s">
        <v>134</v>
      </c>
      <c r="C873" s="0" t="s">
        <v>134</v>
      </c>
      <c r="D873" s="0" t="s">
        <v>230</v>
      </c>
      <c r="E873" s="0" t="s">
        <v>3</v>
      </c>
      <c r="F873" s="0" t="s">
        <v>12</v>
      </c>
      <c r="G873" s="0" t="s">
        <v>8</v>
      </c>
      <c r="H873" s="0">
        <v>2318</v>
      </c>
      <c r="I873" s="0">
        <v>44</v>
      </c>
      <c r="J873" s="0">
        <v>0</v>
      </c>
      <c r="K873" s="0">
        <v>1</v>
      </c>
      <c r="L873" s="0">
        <v>3</v>
      </c>
      <c r="M873" s="0">
        <v>1</v>
      </c>
      <c r="N873" s="0">
        <v>0</v>
      </c>
      <c r="O873" s="0">
        <v>0</v>
      </c>
      <c r="P873" s="0">
        <v>-44</v>
      </c>
      <c r="R873" s="0" t="b">
        <v>0</v>
      </c>
      <c r="S873" s="0" t="b">
        <v>1</v>
      </c>
      <c r="T873" s="68">
        <v>43735.7790972222</v>
      </c>
      <c r="U873" s="68">
        <v>43766.3333333333</v>
      </c>
      <c r="V873" s="68">
        <v>0</v>
      </c>
      <c r="W873" s="0">
        <f>IF(IF(B873="none",1,IF(B873="Trialer",1,0))+IF(C873="Customer",1,IF(C873="Lost",1,0))=2,1,0)</f>
      </c>
      <c r="X873" s="0" t="s">
        <v>166</v>
      </c>
      <c r="Y873" s="0" t="s">
        <v>243</v>
      </c>
      <c r="AV873" s="68"/>
      <c r="AW873" s="68"/>
      <c r="AY873" s="27"/>
      <c r="BD873" s="68">
        <v>46054.1666666667</v>
      </c>
      <c r="BE873" s="68">
        <v>46082.1666666667</v>
      </c>
      <c r="BF873" s="0" t="b">
        <v>0</v>
      </c>
      <c r="BG873" s="0" t="b">
        <v>0</v>
      </c>
      <c r="BH873" s="0">
        <v>49</v>
      </c>
      <c r="BI873" s="0">
        <v>49</v>
      </c>
      <c r="BJ873" s="0" t="s">
        <v>230</v>
      </c>
    </row>
    <row r="874">
      <c r="A874" s="0" t="s">
        <v>1074</v>
      </c>
      <c r="B874" s="0" t="s">
        <v>134</v>
      </c>
      <c r="C874" s="0" t="s">
        <v>134</v>
      </c>
      <c r="D874" s="0" t="s">
        <v>135</v>
      </c>
      <c r="E874" s="0" t="s">
        <v>2</v>
      </c>
      <c r="F874" s="0" t="s">
        <v>12</v>
      </c>
      <c r="G874" s="0" t="s">
        <v>8</v>
      </c>
      <c r="H874" s="0">
        <v>2314</v>
      </c>
      <c r="I874" s="0">
        <v>89</v>
      </c>
      <c r="J874" s="0">
        <v>0</v>
      </c>
      <c r="K874" s="0">
        <v>1</v>
      </c>
      <c r="L874" s="0">
        <v>3</v>
      </c>
      <c r="M874" s="0">
        <v>2</v>
      </c>
      <c r="N874" s="0">
        <v>0</v>
      </c>
      <c r="O874" s="0">
        <v>0</v>
      </c>
      <c r="P874" s="0">
        <v>0</v>
      </c>
      <c r="R874" s="0" t="b">
        <v>0</v>
      </c>
      <c r="S874" s="0" t="b">
        <v>1</v>
      </c>
      <c r="T874" s="68">
        <v>43739.2936805556</v>
      </c>
      <c r="U874" s="68">
        <v>43769.3333333333</v>
      </c>
      <c r="V874" s="68">
        <v>0</v>
      </c>
      <c r="W874" s="0">
        <f>IF(IF(B874="none",1,IF(B874="Trialer",1,0))+IF(C874="Customer",1,IF(C874="Lost",1,0))=2,1,0)</f>
      </c>
      <c r="X874" s="0" t="s">
        <v>166</v>
      </c>
      <c r="Y874" s="0" t="s">
        <v>499</v>
      </c>
      <c r="AV874" s="68"/>
      <c r="AW874" s="68"/>
      <c r="AY874" s="27"/>
      <c r="BD874" s="68">
        <v>46054.1666666667</v>
      </c>
      <c r="BE874" s="68">
        <v>46082.1666666667</v>
      </c>
      <c r="BF874" s="0" t="b">
        <v>0</v>
      </c>
      <c r="BG874" s="0" t="b">
        <v>0</v>
      </c>
      <c r="BH874" s="0">
        <v>89</v>
      </c>
      <c r="BI874" s="0">
        <v>89</v>
      </c>
      <c r="BJ874" s="0" t="s">
        <v>135</v>
      </c>
    </row>
    <row r="875">
      <c r="A875" s="0" t="s">
        <v>1075</v>
      </c>
      <c r="B875" s="0" t="s">
        <v>134</v>
      </c>
      <c r="C875" s="0" t="s">
        <v>134</v>
      </c>
      <c r="D875" s="0" t="s">
        <v>230</v>
      </c>
      <c r="E875" s="0" t="s">
        <v>2</v>
      </c>
      <c r="F875" s="0" t="s">
        <v>12</v>
      </c>
      <c r="G875" s="0" t="s">
        <v>8</v>
      </c>
      <c r="H875" s="0">
        <v>2314</v>
      </c>
      <c r="I875" s="0">
        <v>154</v>
      </c>
      <c r="J875" s="0">
        <v>0</v>
      </c>
      <c r="K875" s="0">
        <v>1</v>
      </c>
      <c r="L875" s="0">
        <v>4</v>
      </c>
      <c r="M875" s="0">
        <v>3</v>
      </c>
      <c r="N875" s="0">
        <v>0</v>
      </c>
      <c r="O875" s="0">
        <v>0</v>
      </c>
      <c r="P875" s="0">
        <v>-154</v>
      </c>
      <c r="R875" s="0" t="b">
        <v>0</v>
      </c>
      <c r="S875" s="0" t="b">
        <v>1</v>
      </c>
      <c r="T875" s="68">
        <v>43739.4590162037</v>
      </c>
      <c r="U875" s="68">
        <v>43769.3333333333</v>
      </c>
      <c r="V875" s="68">
        <v>0</v>
      </c>
      <c r="W875" s="0">
        <f>IF(IF(B875="none",1,IF(B875="Trialer",1,0))+IF(C875="Customer",1,IF(C875="Lost",1,0))=2,1,0)</f>
      </c>
      <c r="X875" s="0" t="s">
        <v>153</v>
      </c>
      <c r="Y875" s="0" t="s">
        <v>499</v>
      </c>
      <c r="AV875" s="68"/>
      <c r="AW875" s="68"/>
      <c r="AY875" s="27"/>
      <c r="BD875" s="68">
        <v>46054.1666666667</v>
      </c>
      <c r="BE875" s="68">
        <v>46082.1666666667</v>
      </c>
      <c r="BF875" s="0" t="b">
        <v>0</v>
      </c>
      <c r="BG875" s="0" t="b">
        <v>0</v>
      </c>
      <c r="BH875" s="0">
        <v>174</v>
      </c>
      <c r="BI875" s="0">
        <v>174</v>
      </c>
      <c r="BJ875" s="0" t="s">
        <v>230</v>
      </c>
    </row>
    <row r="876">
      <c r="A876" s="0" t="s">
        <v>1076</v>
      </c>
      <c r="B876" s="0" t="s">
        <v>134</v>
      </c>
      <c r="C876" s="0" t="s">
        <v>134</v>
      </c>
      <c r="D876" s="0" t="s">
        <v>135</v>
      </c>
      <c r="E876" s="0" t="s">
        <v>3</v>
      </c>
      <c r="F876" s="0" t="s">
        <v>12</v>
      </c>
      <c r="G876" s="0" t="s">
        <v>8</v>
      </c>
      <c r="H876" s="0">
        <v>2313</v>
      </c>
      <c r="I876" s="0">
        <v>49</v>
      </c>
      <c r="J876" s="0">
        <v>0</v>
      </c>
      <c r="K876" s="0">
        <v>1</v>
      </c>
      <c r="L876" s="0">
        <v>3</v>
      </c>
      <c r="M876" s="0">
        <v>1</v>
      </c>
      <c r="N876" s="0">
        <v>0</v>
      </c>
      <c r="O876" s="0">
        <v>0</v>
      </c>
      <c r="P876" s="0">
        <v>0</v>
      </c>
      <c r="R876" s="0" t="b">
        <v>0</v>
      </c>
      <c r="S876" s="0" t="b">
        <v>1</v>
      </c>
      <c r="T876" s="68">
        <v>43740.5708796296</v>
      </c>
      <c r="U876" s="68">
        <v>43774.2916666667</v>
      </c>
      <c r="V876" s="68">
        <v>0</v>
      </c>
      <c r="W876" s="0">
        <f>IF(IF(B876="none",1,IF(B876="Trialer",1,0))+IF(C876="Customer",1,IF(C876="Lost",1,0))=2,1,0)</f>
      </c>
      <c r="X876" s="0" t="s">
        <v>142</v>
      </c>
      <c r="Y876" s="0" t="s">
        <v>243</v>
      </c>
      <c r="AV876" s="68"/>
      <c r="AW876" s="68"/>
      <c r="AY876" s="27"/>
      <c r="BD876" s="68">
        <v>46054.1666666667</v>
      </c>
      <c r="BE876" s="68">
        <v>46082.1666666667</v>
      </c>
      <c r="BF876" s="0" t="b">
        <v>0</v>
      </c>
      <c r="BG876" s="0" t="b">
        <v>0</v>
      </c>
      <c r="BH876" s="0">
        <v>49</v>
      </c>
      <c r="BI876" s="0">
        <v>49</v>
      </c>
      <c r="BJ876" s="0" t="s">
        <v>135</v>
      </c>
    </row>
    <row r="877">
      <c r="A877" s="0" t="s">
        <v>1077</v>
      </c>
      <c r="B877" s="0" t="s">
        <v>134</v>
      </c>
      <c r="C877" s="0" t="s">
        <v>134</v>
      </c>
      <c r="D877" s="0" t="s">
        <v>135</v>
      </c>
      <c r="E877" s="0" t="s">
        <v>2</v>
      </c>
      <c r="F877" s="0" t="s">
        <v>12</v>
      </c>
      <c r="G877" s="0" t="s">
        <v>8</v>
      </c>
      <c r="H877" s="0">
        <v>2311</v>
      </c>
      <c r="I877" s="0">
        <v>374</v>
      </c>
      <c r="J877" s="0">
        <v>0</v>
      </c>
      <c r="K877" s="0">
        <v>1</v>
      </c>
      <c r="L877" s="0">
        <v>3</v>
      </c>
      <c r="M877" s="0">
        <v>1</v>
      </c>
      <c r="N877" s="0">
        <v>0</v>
      </c>
      <c r="O877" s="0">
        <v>0</v>
      </c>
      <c r="P877" s="0">
        <v>0</v>
      </c>
      <c r="R877" s="0" t="b">
        <v>0</v>
      </c>
      <c r="S877" s="0" t="b">
        <v>1</v>
      </c>
      <c r="T877" s="68">
        <v>43742.6081712963</v>
      </c>
      <c r="U877" s="68">
        <v>43772.2916666667</v>
      </c>
      <c r="V877" s="68">
        <v>0</v>
      </c>
      <c r="W877" s="0">
        <f>IF(IF(B877="none",1,IF(B877="Trialer",1,0))+IF(C877="Customer",1,IF(C877="Lost",1,0))=2,1,0)</f>
      </c>
      <c r="X877" s="0" t="s">
        <v>148</v>
      </c>
      <c r="Y877" s="0" t="s">
        <v>499</v>
      </c>
      <c r="AV877" s="68"/>
      <c r="AW877" s="68"/>
      <c r="AY877" s="27"/>
      <c r="BD877" s="68">
        <v>46054.1666666667</v>
      </c>
      <c r="BE877" s="68">
        <v>46082.1666666667</v>
      </c>
      <c r="BF877" s="0" t="b">
        <v>0</v>
      </c>
      <c r="BG877" s="0" t="b">
        <v>0</v>
      </c>
      <c r="BH877" s="0">
        <v>49</v>
      </c>
      <c r="BI877" s="0">
        <v>49</v>
      </c>
      <c r="BJ877" s="0" t="s">
        <v>135</v>
      </c>
    </row>
    <row r="878">
      <c r="A878" s="0" t="s">
        <v>1078</v>
      </c>
      <c r="B878" s="0" t="s">
        <v>134</v>
      </c>
      <c r="C878" s="0" t="s">
        <v>134</v>
      </c>
      <c r="D878" s="0" t="s">
        <v>135</v>
      </c>
      <c r="E878" s="0" t="s">
        <v>3</v>
      </c>
      <c r="F878" s="0" t="s">
        <v>10</v>
      </c>
      <c r="G878" s="0" t="s">
        <v>8</v>
      </c>
      <c r="H878" s="0">
        <v>2309</v>
      </c>
      <c r="I878" s="0">
        <v>112</v>
      </c>
      <c r="J878" s="0">
        <v>0</v>
      </c>
      <c r="K878" s="0">
        <v>1</v>
      </c>
      <c r="L878" s="0">
        <v>1</v>
      </c>
      <c r="M878" s="0">
        <v>4</v>
      </c>
      <c r="N878" s="0">
        <v>0</v>
      </c>
      <c r="O878" s="0">
        <v>0</v>
      </c>
      <c r="P878" s="0">
        <v>0</v>
      </c>
      <c r="Q878" s="0" t="s">
        <v>618</v>
      </c>
      <c r="R878" s="0" t="b">
        <v>0</v>
      </c>
      <c r="S878" s="0" t="b">
        <v>1</v>
      </c>
      <c r="T878" s="68">
        <v>43744.5452893519</v>
      </c>
      <c r="U878" s="68">
        <v>43774.2916666667</v>
      </c>
      <c r="V878" s="68">
        <v>0</v>
      </c>
      <c r="W878" s="0">
        <f>IF(IF(B878="none",1,IF(B878="Trialer",1,0))+IF(C878="Customer",1,IF(C878="Lost",1,0))=2,1,0)</f>
      </c>
      <c r="X878" s="0" t="s">
        <v>148</v>
      </c>
      <c r="Y878" s="0" t="s">
        <v>243</v>
      </c>
      <c r="AV878" s="68"/>
      <c r="AW878" s="68"/>
      <c r="AY878" s="27"/>
      <c r="BD878" s="68">
        <v>46054.1666666667</v>
      </c>
      <c r="BE878" s="68">
        <v>46082.1666666667</v>
      </c>
      <c r="BF878" s="0" t="b">
        <v>0</v>
      </c>
      <c r="BG878" s="0" t="b">
        <v>0</v>
      </c>
      <c r="BH878" s="0">
        <v>112</v>
      </c>
      <c r="BI878" s="0">
        <v>112</v>
      </c>
      <c r="BJ878" s="0" t="s">
        <v>135</v>
      </c>
    </row>
    <row r="879">
      <c r="A879" s="0" t="s">
        <v>1079</v>
      </c>
      <c r="B879" s="0" t="s">
        <v>134</v>
      </c>
      <c r="C879" s="0" t="s">
        <v>134</v>
      </c>
      <c r="D879" s="0" t="s">
        <v>135</v>
      </c>
      <c r="E879" s="0" t="s">
        <v>2</v>
      </c>
      <c r="F879" s="0" t="s">
        <v>12</v>
      </c>
      <c r="G879" s="0" t="s">
        <v>8</v>
      </c>
      <c r="H879" s="0">
        <v>2304</v>
      </c>
      <c r="I879" s="0">
        <v>0</v>
      </c>
      <c r="J879" s="0">
        <v>0</v>
      </c>
      <c r="K879" s="0">
        <v>1</v>
      </c>
      <c r="L879" s="0">
        <v>3</v>
      </c>
      <c r="M879" s="0">
        <v>2</v>
      </c>
      <c r="N879" s="0">
        <v>0</v>
      </c>
      <c r="O879" s="0">
        <v>0</v>
      </c>
      <c r="P879" s="0">
        <v>0</v>
      </c>
      <c r="R879" s="0" t="b">
        <v>0</v>
      </c>
      <c r="S879" s="0" t="b">
        <v>1</v>
      </c>
      <c r="T879" s="68">
        <v>43749.4140277778</v>
      </c>
      <c r="U879" s="68">
        <v>43749.3333333333</v>
      </c>
      <c r="V879" s="68">
        <v>0</v>
      </c>
      <c r="W879" s="0">
        <f>IF(IF(B879="none",1,IF(B879="Trialer",1,0))+IF(C879="Customer",1,IF(C879="Lost",1,0))=2,1,0)</f>
      </c>
      <c r="X879" s="0" t="s">
        <v>148</v>
      </c>
      <c r="Y879" s="0" t="s">
        <v>499</v>
      </c>
      <c r="AV879" s="68"/>
      <c r="AW879" s="68"/>
      <c r="AY879" s="27"/>
      <c r="BD879" s="68">
        <v>46054.1666666667</v>
      </c>
      <c r="BE879" s="68">
        <v>46082.1666666667</v>
      </c>
      <c r="BF879" s="0" t="b">
        <v>0</v>
      </c>
      <c r="BG879" s="0" t="b">
        <v>0</v>
      </c>
      <c r="BH879" s="0">
        <v>0</v>
      </c>
      <c r="BI879" s="0">
        <v>0</v>
      </c>
      <c r="BJ879" s="0" t="s">
        <v>230</v>
      </c>
    </row>
    <row r="880">
      <c r="A880" s="0" t="s">
        <v>1080</v>
      </c>
      <c r="B880" s="0" t="s">
        <v>134</v>
      </c>
      <c r="C880" s="0" t="s">
        <v>134</v>
      </c>
      <c r="D880" s="0" t="s">
        <v>135</v>
      </c>
      <c r="E880" s="0" t="s">
        <v>3</v>
      </c>
      <c r="F880" s="0" t="s">
        <v>12</v>
      </c>
      <c r="G880" s="0" t="s">
        <v>8</v>
      </c>
      <c r="H880" s="0">
        <v>2301</v>
      </c>
      <c r="I880" s="0">
        <v>0</v>
      </c>
      <c r="J880" s="0">
        <v>0</v>
      </c>
      <c r="K880" s="0">
        <v>1</v>
      </c>
      <c r="L880" s="0">
        <v>3</v>
      </c>
      <c r="M880" s="0">
        <v>2</v>
      </c>
      <c r="N880" s="0">
        <v>0</v>
      </c>
      <c r="O880" s="0">
        <v>0</v>
      </c>
      <c r="P880" s="0">
        <v>0</v>
      </c>
      <c r="R880" s="0" t="b">
        <v>0</v>
      </c>
      <c r="S880" s="0" t="b">
        <v>1</v>
      </c>
      <c r="T880" s="68">
        <v>43752.6640277778</v>
      </c>
      <c r="U880" s="68">
        <v>43754.3333333333</v>
      </c>
      <c r="V880" s="68">
        <v>0</v>
      </c>
      <c r="W880" s="0">
        <f>IF(IF(B880="none",1,IF(B880="Trialer",1,0))+IF(C880="Customer",1,IF(C880="Lost",1,0))=2,1,0)</f>
      </c>
      <c r="X880" s="0" t="s">
        <v>148</v>
      </c>
      <c r="Y880" s="0" t="s">
        <v>243</v>
      </c>
      <c r="AV880" s="68"/>
      <c r="AW880" s="68"/>
      <c r="AY880" s="27"/>
      <c r="BD880" s="68">
        <v>46054.1666666667</v>
      </c>
      <c r="BE880" s="68">
        <v>46082.1666666667</v>
      </c>
      <c r="BF880" s="0" t="b">
        <v>0</v>
      </c>
      <c r="BG880" s="0" t="b">
        <v>0</v>
      </c>
      <c r="BH880" s="0">
        <v>0</v>
      </c>
      <c r="BI880" s="0">
        <v>0</v>
      </c>
      <c r="BJ880" s="0" t="s">
        <v>135</v>
      </c>
    </row>
    <row r="881">
      <c r="A881" s="0" t="s">
        <v>1081</v>
      </c>
      <c r="B881" s="0" t="s">
        <v>134</v>
      </c>
      <c r="C881" s="0" t="s">
        <v>134</v>
      </c>
      <c r="D881" s="0" t="s">
        <v>135</v>
      </c>
      <c r="E881" s="0" t="s">
        <v>3</v>
      </c>
      <c r="F881" s="0" t="s">
        <v>12</v>
      </c>
      <c r="G881" s="0" t="s">
        <v>8</v>
      </c>
      <c r="H881" s="0">
        <v>2300</v>
      </c>
      <c r="I881" s="0">
        <v>98</v>
      </c>
      <c r="J881" s="0">
        <v>0</v>
      </c>
      <c r="K881" s="0">
        <v>1</v>
      </c>
      <c r="L881" s="0">
        <v>3</v>
      </c>
      <c r="M881" s="0">
        <v>2</v>
      </c>
      <c r="N881" s="0">
        <v>0</v>
      </c>
      <c r="O881" s="0">
        <v>0</v>
      </c>
      <c r="P881" s="0">
        <v>0</v>
      </c>
      <c r="R881" s="0" t="b">
        <v>0</v>
      </c>
      <c r="S881" s="0" t="b">
        <v>1</v>
      </c>
      <c r="T881" s="68">
        <v>43753.4205324074</v>
      </c>
      <c r="U881" s="68">
        <v>43788.2916666667</v>
      </c>
      <c r="V881" s="68">
        <v>0</v>
      </c>
      <c r="W881" s="0">
        <f>IF(IF(B881="none",1,IF(B881="Trialer",1,0))+IF(C881="Customer",1,IF(C881="Lost",1,0))=2,1,0)</f>
      </c>
      <c r="X881" s="0" t="s">
        <v>142</v>
      </c>
      <c r="Y881" s="0" t="s">
        <v>243</v>
      </c>
      <c r="AV881" s="68"/>
      <c r="AW881" s="68"/>
      <c r="AY881" s="27"/>
      <c r="BD881" s="68">
        <v>46054.1666666667</v>
      </c>
      <c r="BE881" s="68">
        <v>46082.1666666667</v>
      </c>
      <c r="BF881" s="0" t="b">
        <v>0</v>
      </c>
      <c r="BG881" s="0" t="b">
        <v>0</v>
      </c>
      <c r="BH881" s="0">
        <v>98</v>
      </c>
      <c r="BI881" s="0">
        <v>98</v>
      </c>
      <c r="BJ881" s="0" t="s">
        <v>135</v>
      </c>
    </row>
    <row r="882">
      <c r="A882" s="0" t="s">
        <v>1082</v>
      </c>
      <c r="B882" s="0" t="s">
        <v>134</v>
      </c>
      <c r="C882" s="0" t="s">
        <v>134</v>
      </c>
      <c r="D882" s="0" t="s">
        <v>230</v>
      </c>
      <c r="E882" s="0" t="s">
        <v>2</v>
      </c>
      <c r="F882" s="0" t="s">
        <v>12</v>
      </c>
      <c r="G882" s="0" t="s">
        <v>8</v>
      </c>
      <c r="H882" s="0">
        <v>2300</v>
      </c>
      <c r="I882" s="0">
        <v>176</v>
      </c>
      <c r="J882" s="0">
        <v>0</v>
      </c>
      <c r="K882" s="0">
        <v>1</v>
      </c>
      <c r="L882" s="0">
        <v>3</v>
      </c>
      <c r="M882" s="0">
        <v>4</v>
      </c>
      <c r="N882" s="0">
        <v>0</v>
      </c>
      <c r="O882" s="0">
        <v>0</v>
      </c>
      <c r="P882" s="0">
        <v>-176</v>
      </c>
      <c r="R882" s="0" t="b">
        <v>0</v>
      </c>
      <c r="S882" s="0" t="b">
        <v>1</v>
      </c>
      <c r="T882" s="68">
        <v>43753.7083333333</v>
      </c>
      <c r="U882" s="68">
        <v>43783.5</v>
      </c>
      <c r="V882" s="68">
        <v>0</v>
      </c>
      <c r="W882" s="0">
        <f>IF(IF(B882="none",1,IF(B882="Trialer",1,0))+IF(C882="Customer",1,IF(C882="Lost",1,0))=2,1,0)</f>
      </c>
      <c r="X882" s="0" t="s">
        <v>145</v>
      </c>
      <c r="Y882" s="0" t="s">
        <v>499</v>
      </c>
      <c r="AV882" s="68"/>
      <c r="AW882" s="68"/>
      <c r="AY882" s="27"/>
      <c r="BD882" s="68">
        <v>46054.1666666667</v>
      </c>
      <c r="BE882" s="68">
        <v>46082.1666666667</v>
      </c>
      <c r="BF882" s="0" t="b">
        <v>0</v>
      </c>
      <c r="BG882" s="0" t="b">
        <v>0</v>
      </c>
      <c r="BH882" s="0">
        <v>196</v>
      </c>
      <c r="BI882" s="0">
        <v>196</v>
      </c>
      <c r="BJ882" s="0" t="s">
        <v>230</v>
      </c>
    </row>
    <row r="883">
      <c r="A883" s="0" t="s">
        <v>1083</v>
      </c>
      <c r="B883" s="0" t="s">
        <v>134</v>
      </c>
      <c r="C883" s="0" t="s">
        <v>134</v>
      </c>
      <c r="D883" s="0" t="s">
        <v>135</v>
      </c>
      <c r="E883" s="0" t="s">
        <v>2</v>
      </c>
      <c r="F883" s="0" t="s">
        <v>12</v>
      </c>
      <c r="G883" s="0" t="s">
        <v>8</v>
      </c>
      <c r="H883" s="0">
        <v>2297</v>
      </c>
      <c r="I883" s="0">
        <v>291</v>
      </c>
      <c r="J883" s="0">
        <v>0</v>
      </c>
      <c r="K883" s="0">
        <v>1</v>
      </c>
      <c r="L883" s="0">
        <v>4</v>
      </c>
      <c r="M883" s="0">
        <v>6</v>
      </c>
      <c r="N883" s="0">
        <v>0</v>
      </c>
      <c r="O883" s="0">
        <v>0</v>
      </c>
      <c r="P883" s="0">
        <v>0</v>
      </c>
      <c r="R883" s="0" t="b">
        <v>0</v>
      </c>
      <c r="S883" s="0" t="b">
        <v>1</v>
      </c>
      <c r="T883" s="68">
        <v>43756.6903935185</v>
      </c>
      <c r="U883" s="68">
        <v>43786.2916666667</v>
      </c>
      <c r="V883" s="68">
        <v>0</v>
      </c>
      <c r="W883" s="0">
        <f>IF(IF(B883="none",1,IF(B883="Trialer",1,0))+IF(C883="Customer",1,IF(C883="Lost",1,0))=2,1,0)</f>
      </c>
      <c r="X883" s="0" t="s">
        <v>136</v>
      </c>
      <c r="Y883" s="0" t="s">
        <v>499</v>
      </c>
      <c r="AV883" s="68"/>
      <c r="AW883" s="68"/>
      <c r="AY883" s="27"/>
      <c r="BD883" s="68">
        <v>46054.1666666667</v>
      </c>
      <c r="BE883" s="68">
        <v>46082.1666666667</v>
      </c>
      <c r="BF883" s="0" t="b">
        <v>0</v>
      </c>
      <c r="BG883" s="0" t="b">
        <v>0</v>
      </c>
      <c r="BH883" s="0">
        <v>258</v>
      </c>
      <c r="BI883" s="0">
        <v>258</v>
      </c>
      <c r="BJ883" s="0" t="s">
        <v>135</v>
      </c>
    </row>
    <row r="884">
      <c r="A884" s="0" t="s">
        <v>1084</v>
      </c>
      <c r="B884" s="0" t="s">
        <v>134</v>
      </c>
      <c r="C884" s="0" t="s">
        <v>134</v>
      </c>
      <c r="D884" s="0" t="s">
        <v>135</v>
      </c>
      <c r="E884" s="0" t="s">
        <v>3</v>
      </c>
      <c r="F884" s="0" t="s">
        <v>12</v>
      </c>
      <c r="G884" s="0" t="s">
        <v>8</v>
      </c>
      <c r="H884" s="0">
        <v>2293</v>
      </c>
      <c r="I884" s="0">
        <v>0</v>
      </c>
      <c r="J884" s="0">
        <v>0</v>
      </c>
      <c r="K884" s="0">
        <v>1</v>
      </c>
      <c r="L884" s="0">
        <v>3</v>
      </c>
      <c r="M884" s="0">
        <v>1</v>
      </c>
      <c r="N884" s="0">
        <v>0</v>
      </c>
      <c r="O884" s="0">
        <v>0</v>
      </c>
      <c r="P884" s="0">
        <v>0</v>
      </c>
      <c r="R884" s="0" t="b">
        <v>0</v>
      </c>
      <c r="S884" s="0" t="b">
        <v>1</v>
      </c>
      <c r="T884" s="68">
        <v>43760.95</v>
      </c>
      <c r="U884" s="68">
        <v>43808.5</v>
      </c>
      <c r="V884" s="68">
        <v>0</v>
      </c>
      <c r="W884" s="0">
        <f>IF(IF(B884="none",1,IF(B884="Trialer",1,0))+IF(C884="Customer",1,IF(C884="Lost",1,0))=2,1,0)</f>
      </c>
      <c r="X884" s="0" t="s">
        <v>142</v>
      </c>
      <c r="Y884" s="0" t="s">
        <v>243</v>
      </c>
      <c r="AV884" s="68"/>
      <c r="AW884" s="68"/>
      <c r="AY884" s="27"/>
      <c r="BD884" s="68">
        <v>46054.1666666667</v>
      </c>
      <c r="BE884" s="68">
        <v>46082.1666666667</v>
      </c>
      <c r="BF884" s="0" t="b">
        <v>0</v>
      </c>
      <c r="BG884" s="0" t="b">
        <v>0</v>
      </c>
      <c r="BH884" s="0">
        <v>0</v>
      </c>
      <c r="BI884" s="0">
        <v>0</v>
      </c>
      <c r="BJ884" s="0" t="s">
        <v>135</v>
      </c>
    </row>
    <row r="885">
      <c r="A885" s="0" t="s">
        <v>1085</v>
      </c>
      <c r="B885" s="0" t="s">
        <v>134</v>
      </c>
      <c r="C885" s="0" t="s">
        <v>134</v>
      </c>
      <c r="D885" s="0" t="s">
        <v>135</v>
      </c>
      <c r="E885" s="0" t="s">
        <v>3</v>
      </c>
      <c r="F885" s="0" t="s">
        <v>10</v>
      </c>
      <c r="G885" s="0" t="s">
        <v>8</v>
      </c>
      <c r="H885" s="0">
        <v>2292</v>
      </c>
      <c r="I885" s="0">
        <v>84</v>
      </c>
      <c r="J885" s="0">
        <v>0</v>
      </c>
      <c r="K885" s="0">
        <v>1</v>
      </c>
      <c r="L885" s="0">
        <v>1</v>
      </c>
      <c r="M885" s="0">
        <v>3</v>
      </c>
      <c r="N885" s="0">
        <v>0</v>
      </c>
      <c r="O885" s="0">
        <v>0</v>
      </c>
      <c r="P885" s="0">
        <v>0</v>
      </c>
      <c r="Q885" s="0" t="s">
        <v>618</v>
      </c>
      <c r="R885" s="0" t="b">
        <v>0</v>
      </c>
      <c r="S885" s="0" t="b">
        <v>1</v>
      </c>
      <c r="T885" s="68">
        <v>43761.7001041667</v>
      </c>
      <c r="U885" s="68">
        <v>43791.2916666667</v>
      </c>
      <c r="V885" s="68">
        <v>0</v>
      </c>
      <c r="W885" s="0">
        <f>IF(IF(B885="none",1,IF(B885="Trialer",1,0))+IF(C885="Customer",1,IF(C885="Lost",1,0))=2,1,0)</f>
      </c>
      <c r="X885" s="0" t="s">
        <v>148</v>
      </c>
      <c r="Y885" s="0" t="s">
        <v>243</v>
      </c>
      <c r="AV885" s="68"/>
      <c r="AW885" s="68"/>
      <c r="AY885" s="27"/>
      <c r="BD885" s="68">
        <v>46054.1666666667</v>
      </c>
      <c r="BE885" s="68">
        <v>46082.1666666667</v>
      </c>
      <c r="BF885" s="0" t="b">
        <v>0</v>
      </c>
      <c r="BG885" s="0" t="b">
        <v>0</v>
      </c>
      <c r="BH885" s="0">
        <v>84</v>
      </c>
      <c r="BI885" s="0">
        <v>84</v>
      </c>
      <c r="BJ885" s="0" t="s">
        <v>135</v>
      </c>
    </row>
    <row r="886">
      <c r="A886" s="0" t="s">
        <v>1086</v>
      </c>
      <c r="B886" s="0" t="s">
        <v>134</v>
      </c>
      <c r="C886" s="0" t="s">
        <v>134</v>
      </c>
      <c r="D886" s="0" t="s">
        <v>230</v>
      </c>
      <c r="E886" s="0" t="s">
        <v>2</v>
      </c>
      <c r="F886" s="0" t="s">
        <v>10</v>
      </c>
      <c r="G886" s="0" t="s">
        <v>8</v>
      </c>
      <c r="H886" s="0">
        <v>2290</v>
      </c>
      <c r="I886" s="0">
        <v>925</v>
      </c>
      <c r="J886" s="0">
        <v>0</v>
      </c>
      <c r="K886" s="0">
        <v>1</v>
      </c>
      <c r="L886" s="0">
        <v>3</v>
      </c>
      <c r="M886" s="0">
        <v>27</v>
      </c>
      <c r="N886" s="0">
        <v>0</v>
      </c>
      <c r="O886" s="0">
        <v>0</v>
      </c>
      <c r="P886" s="0">
        <v>-925</v>
      </c>
      <c r="Q886" s="0" t="s">
        <v>294</v>
      </c>
      <c r="R886" s="0" t="b">
        <v>0</v>
      </c>
      <c r="S886" s="0" t="b">
        <v>1</v>
      </c>
      <c r="T886" s="68">
        <v>43763.6730671296</v>
      </c>
      <c r="U886" s="68">
        <v>43795.2916666667</v>
      </c>
      <c r="V886" s="68">
        <v>0</v>
      </c>
      <c r="W886" s="0">
        <f>IF(IF(B886="none",1,IF(B886="Trialer",1,0))+IF(C886="Customer",1,IF(C886="Lost",1,0))=2,1,0)</f>
      </c>
      <c r="X886" s="0" t="s">
        <v>148</v>
      </c>
      <c r="Y886" s="0" t="s">
        <v>499</v>
      </c>
      <c r="AV886" s="68"/>
      <c r="AW886" s="68"/>
      <c r="AY886" s="27"/>
      <c r="BD886" s="68">
        <v>46054.1666666667</v>
      </c>
      <c r="BE886" s="68">
        <v>46082.1666666667</v>
      </c>
      <c r="BF886" s="0" t="b">
        <v>0</v>
      </c>
      <c r="BG886" s="0" t="b">
        <v>0</v>
      </c>
      <c r="BH886" s="0">
        <v>1069</v>
      </c>
      <c r="BI886" s="0">
        <v>1069</v>
      </c>
      <c r="BJ886" s="0" t="s">
        <v>230</v>
      </c>
    </row>
    <row r="887">
      <c r="A887" s="0" t="s">
        <v>1087</v>
      </c>
      <c r="B887" s="0" t="s">
        <v>134</v>
      </c>
      <c r="C887" s="0" t="s">
        <v>134</v>
      </c>
      <c r="D887" s="0" t="s">
        <v>230</v>
      </c>
      <c r="E887" s="0" t="s">
        <v>3</v>
      </c>
      <c r="F887" s="0" t="s">
        <v>12</v>
      </c>
      <c r="G887" s="0" t="s">
        <v>8</v>
      </c>
      <c r="H887" s="0">
        <v>2290</v>
      </c>
      <c r="I887" s="0">
        <v>150</v>
      </c>
      <c r="J887" s="0">
        <v>0</v>
      </c>
      <c r="K887" s="0">
        <v>1</v>
      </c>
      <c r="L887" s="0">
        <v>1</v>
      </c>
      <c r="M887" s="0">
        <v>6</v>
      </c>
      <c r="N887" s="0">
        <v>0</v>
      </c>
      <c r="O887" s="0">
        <v>0</v>
      </c>
      <c r="P887" s="0">
        <v>-150</v>
      </c>
      <c r="R887" s="0" t="b">
        <v>0</v>
      </c>
      <c r="S887" s="0" t="b">
        <v>1</v>
      </c>
      <c r="T887" s="68">
        <v>43763.6943865741</v>
      </c>
      <c r="U887" s="68">
        <v>43793.2916666667</v>
      </c>
      <c r="V887" s="68">
        <v>0</v>
      </c>
      <c r="W887" s="0">
        <f>IF(IF(B887="none",1,IF(B887="Trialer",1,0))+IF(C887="Customer",1,IF(C887="Lost",1,0))=2,1,0)</f>
      </c>
      <c r="X887" s="0" t="s">
        <v>136</v>
      </c>
      <c r="Y887" s="0" t="s">
        <v>243</v>
      </c>
      <c r="AV887" s="68"/>
      <c r="AW887" s="68"/>
      <c r="AY887" s="27"/>
      <c r="BD887" s="68">
        <v>46054.1666666667</v>
      </c>
      <c r="BE887" s="68">
        <v>46082.1666666667</v>
      </c>
      <c r="BF887" s="0" t="b">
        <v>0</v>
      </c>
      <c r="BG887" s="0" t="b">
        <v>0</v>
      </c>
      <c r="BH887" s="0">
        <v>168</v>
      </c>
      <c r="BI887" s="0">
        <v>168</v>
      </c>
      <c r="BJ887" s="0" t="s">
        <v>230</v>
      </c>
    </row>
    <row r="888">
      <c r="A888" s="0" t="s">
        <v>1088</v>
      </c>
      <c r="B888" s="0" t="s">
        <v>134</v>
      </c>
      <c r="C888" s="0" t="s">
        <v>134</v>
      </c>
      <c r="D888" s="0" t="s">
        <v>135</v>
      </c>
      <c r="E888" s="0" t="s">
        <v>3</v>
      </c>
      <c r="F888" s="0" t="s">
        <v>12</v>
      </c>
      <c r="G888" s="0" t="s">
        <v>8</v>
      </c>
      <c r="H888" s="0">
        <v>2287</v>
      </c>
      <c r="I888" s="0">
        <v>0</v>
      </c>
      <c r="J888" s="0">
        <v>0</v>
      </c>
      <c r="K888" s="0">
        <v>1</v>
      </c>
      <c r="L888" s="0">
        <v>3</v>
      </c>
      <c r="M888" s="0">
        <v>2</v>
      </c>
      <c r="N888" s="0">
        <v>0</v>
      </c>
      <c r="O888" s="0">
        <v>0</v>
      </c>
      <c r="P888" s="0">
        <v>0</v>
      </c>
      <c r="R888" s="0" t="b">
        <v>0</v>
      </c>
      <c r="S888" s="0" t="b">
        <v>1</v>
      </c>
      <c r="T888" s="68">
        <v>43766.4979513889</v>
      </c>
      <c r="U888" s="68">
        <v>43770.3333333333</v>
      </c>
      <c r="V888" s="68">
        <v>0</v>
      </c>
      <c r="W888" s="0">
        <f>IF(IF(B888="none",1,IF(B888="Trialer",1,0))+IF(C888="Customer",1,IF(C888="Lost",1,0))=2,1,0)</f>
      </c>
      <c r="X888" s="0" t="s">
        <v>148</v>
      </c>
      <c r="Y888" s="0" t="s">
        <v>243</v>
      </c>
      <c r="AV888" s="68"/>
      <c r="AW888" s="68"/>
      <c r="AY888" s="27"/>
      <c r="BD888" s="68">
        <v>46054.1666666667</v>
      </c>
      <c r="BE888" s="68">
        <v>46082.1666666667</v>
      </c>
      <c r="BF888" s="0" t="b">
        <v>0</v>
      </c>
      <c r="BG888" s="0" t="b">
        <v>0</v>
      </c>
      <c r="BH888" s="0">
        <v>0</v>
      </c>
      <c r="BI888" s="0">
        <v>0</v>
      </c>
      <c r="BJ888" s="0" t="s">
        <v>135</v>
      </c>
    </row>
    <row r="889">
      <c r="A889" s="0" t="s">
        <v>1089</v>
      </c>
      <c r="B889" s="0" t="s">
        <v>134</v>
      </c>
      <c r="C889" s="0" t="s">
        <v>134</v>
      </c>
      <c r="D889" s="0" t="s">
        <v>135</v>
      </c>
      <c r="E889" s="0" t="s">
        <v>3</v>
      </c>
      <c r="F889" s="0" t="s">
        <v>12</v>
      </c>
      <c r="G889" s="0" t="s">
        <v>8</v>
      </c>
      <c r="H889" s="0">
        <v>2287</v>
      </c>
      <c r="I889" s="0">
        <v>84</v>
      </c>
      <c r="J889" s="0">
        <v>0</v>
      </c>
      <c r="K889" s="0">
        <v>1</v>
      </c>
      <c r="L889" s="0">
        <v>1</v>
      </c>
      <c r="M889" s="0">
        <v>3</v>
      </c>
      <c r="N889" s="0">
        <v>0</v>
      </c>
      <c r="O889" s="0">
        <v>0</v>
      </c>
      <c r="P889" s="0">
        <v>0</v>
      </c>
      <c r="R889" s="0" t="b">
        <v>0</v>
      </c>
      <c r="S889" s="0" t="b">
        <v>1</v>
      </c>
      <c r="T889" s="68">
        <v>43766.5666666667</v>
      </c>
      <c r="U889" s="68">
        <v>43796.5</v>
      </c>
      <c r="V889" s="68">
        <v>0</v>
      </c>
      <c r="W889" s="0">
        <f>IF(IF(B889="none",1,IF(B889="Trialer",1,0))+IF(C889="Customer",1,IF(C889="Lost",1,0))=2,1,0)</f>
      </c>
      <c r="X889" s="0" t="s">
        <v>142</v>
      </c>
      <c r="Y889" s="0" t="s">
        <v>243</v>
      </c>
      <c r="AV889" s="68"/>
      <c r="AW889" s="68"/>
      <c r="AY889" s="27"/>
      <c r="BD889" s="68">
        <v>46054.1666666667</v>
      </c>
      <c r="BE889" s="68">
        <v>46082.1666666667</v>
      </c>
      <c r="BF889" s="0" t="b">
        <v>0</v>
      </c>
      <c r="BG889" s="0" t="b">
        <v>0</v>
      </c>
      <c r="BH889" s="0">
        <v>84</v>
      </c>
      <c r="BI889" s="0">
        <v>84</v>
      </c>
      <c r="BJ889" s="0" t="s">
        <v>135</v>
      </c>
    </row>
    <row r="890">
      <c r="A890" s="0" t="s">
        <v>1090</v>
      </c>
      <c r="B890" s="0" t="s">
        <v>134</v>
      </c>
      <c r="C890" s="0" t="s">
        <v>134</v>
      </c>
      <c r="D890" s="0" t="s">
        <v>135</v>
      </c>
      <c r="E890" s="0" t="s">
        <v>2</v>
      </c>
      <c r="F890" s="0" t="s">
        <v>12</v>
      </c>
      <c r="G890" s="0" t="s">
        <v>8</v>
      </c>
      <c r="H890" s="0">
        <v>2286</v>
      </c>
      <c r="I890" s="0">
        <v>2360</v>
      </c>
      <c r="J890" s="0">
        <v>0</v>
      </c>
      <c r="K890" s="0">
        <v>1</v>
      </c>
      <c r="L890" s="0">
        <v>2</v>
      </c>
      <c r="M890" s="0">
        <v>59</v>
      </c>
      <c r="N890" s="0">
        <v>0</v>
      </c>
      <c r="O890" s="0">
        <v>0</v>
      </c>
      <c r="P890" s="0">
        <v>0</v>
      </c>
      <c r="R890" s="0" t="b">
        <v>0</v>
      </c>
      <c r="S890" s="0" t="b">
        <v>1</v>
      </c>
      <c r="T890" s="68">
        <v>43767.6166666667</v>
      </c>
      <c r="U890" s="68">
        <v>43797.2916666667</v>
      </c>
      <c r="V890" s="68">
        <v>0</v>
      </c>
      <c r="W890" s="0">
        <f>IF(IF(B890="none",1,IF(B890="Trialer",1,0))+IF(C890="Customer",1,IF(C890="Lost",1,0))=2,1,0)</f>
      </c>
      <c r="X890" s="0" t="s">
        <v>145</v>
      </c>
      <c r="Y890" s="0" t="s">
        <v>499</v>
      </c>
      <c r="AV890" s="68"/>
      <c r="AW890" s="68"/>
      <c r="AY890" s="27"/>
      <c r="BD890" s="68">
        <v>46054.1666666667</v>
      </c>
      <c r="BE890" s="68">
        <v>46082.1666666667</v>
      </c>
      <c r="BF890" s="0" t="b">
        <v>0</v>
      </c>
      <c r="BG890" s="0" t="b">
        <v>0</v>
      </c>
      <c r="BH890" s="0">
        <v>1960</v>
      </c>
      <c r="BI890" s="0">
        <v>1960</v>
      </c>
      <c r="BJ890" s="0" t="s">
        <v>135</v>
      </c>
    </row>
    <row r="891">
      <c r="A891" s="0" t="s">
        <v>1091</v>
      </c>
      <c r="B891" s="0" t="s">
        <v>134</v>
      </c>
      <c r="C891" s="0" t="s">
        <v>134</v>
      </c>
      <c r="D891" s="0" t="s">
        <v>135</v>
      </c>
      <c r="E891" s="0" t="s">
        <v>3</v>
      </c>
      <c r="F891" s="0" t="s">
        <v>12</v>
      </c>
      <c r="G891" s="0" t="s">
        <v>8</v>
      </c>
      <c r="H891" s="0">
        <v>2286</v>
      </c>
      <c r="I891" s="0">
        <v>0</v>
      </c>
      <c r="J891" s="0">
        <v>0</v>
      </c>
      <c r="K891" s="0">
        <v>1</v>
      </c>
      <c r="L891" s="0">
        <v>3</v>
      </c>
      <c r="M891" s="0">
        <v>2</v>
      </c>
      <c r="N891" s="0">
        <v>0</v>
      </c>
      <c r="O891" s="0">
        <v>0</v>
      </c>
      <c r="P891" s="0">
        <v>0</v>
      </c>
      <c r="R891" s="0" t="b">
        <v>0</v>
      </c>
      <c r="S891" s="0" t="b">
        <v>1</v>
      </c>
      <c r="T891" s="68">
        <v>43767.8560069444</v>
      </c>
      <c r="U891" s="68">
        <v>43797.2916666667</v>
      </c>
      <c r="V891" s="68">
        <v>0</v>
      </c>
      <c r="W891" s="0">
        <f>IF(IF(B891="none",1,IF(B891="Trialer",1,0))+IF(C891="Customer",1,IF(C891="Lost",1,0))=2,1,0)</f>
      </c>
      <c r="X891" s="0" t="s">
        <v>148</v>
      </c>
      <c r="Y891" s="0" t="s">
        <v>243</v>
      </c>
      <c r="AV891" s="68"/>
      <c r="AW891" s="68"/>
      <c r="AY891" s="27"/>
      <c r="BD891" s="68">
        <v>46054.1666666667</v>
      </c>
      <c r="BE891" s="68">
        <v>46082.1666666667</v>
      </c>
      <c r="BF891" s="0" t="b">
        <v>0</v>
      </c>
      <c r="BG891" s="0" t="b">
        <v>0</v>
      </c>
      <c r="BH891" s="0">
        <v>0</v>
      </c>
      <c r="BI891" s="0">
        <v>0</v>
      </c>
      <c r="BJ891" s="0" t="s">
        <v>135</v>
      </c>
    </row>
    <row r="892">
      <c r="A892" s="0" t="s">
        <v>1092</v>
      </c>
      <c r="B892" s="0" t="s">
        <v>134</v>
      </c>
      <c r="C892" s="0" t="s">
        <v>134</v>
      </c>
      <c r="D892" s="0" t="s">
        <v>135</v>
      </c>
      <c r="E892" s="0" t="s">
        <v>2</v>
      </c>
      <c r="F892" s="0" t="s">
        <v>10</v>
      </c>
      <c r="G892" s="0" t="s">
        <v>7</v>
      </c>
      <c r="H892" s="0">
        <v>2283</v>
      </c>
      <c r="I892" s="0">
        <v>40</v>
      </c>
      <c r="J892" s="0">
        <v>0</v>
      </c>
      <c r="K892" s="0">
        <v>1</v>
      </c>
      <c r="L892" s="0">
        <v>1</v>
      </c>
      <c r="M892" s="0">
        <v>1</v>
      </c>
      <c r="N892" s="0">
        <v>0</v>
      </c>
      <c r="O892" s="0">
        <v>0</v>
      </c>
      <c r="P892" s="0">
        <v>0</v>
      </c>
      <c r="Q892" s="0" t="s">
        <v>266</v>
      </c>
      <c r="R892" s="0" t="b">
        <v>0</v>
      </c>
      <c r="S892" s="0" t="b">
        <v>1</v>
      </c>
      <c r="T892" s="68">
        <v>43770.5</v>
      </c>
      <c r="U892" s="68">
        <v>43770.3333333333</v>
      </c>
      <c r="V892" s="68">
        <v>0</v>
      </c>
      <c r="W892" s="0">
        <f>IF(IF(B892="none",1,IF(B892="Trialer",1,0))+IF(C892="Customer",1,IF(C892="Lost",1,0))=2,1,0)</f>
      </c>
      <c r="X892" s="0" t="s">
        <v>148</v>
      </c>
      <c r="Y892" s="0" t="s">
        <v>137</v>
      </c>
      <c r="AV892" s="68"/>
      <c r="AW892" s="68"/>
      <c r="AY892" s="27"/>
      <c r="BD892" s="68">
        <v>46054.1666666667</v>
      </c>
      <c r="BE892" s="68">
        <v>46082.1666666667</v>
      </c>
      <c r="BF892" s="0" t="b">
        <v>0</v>
      </c>
      <c r="BG892" s="0" t="b">
        <v>0</v>
      </c>
      <c r="BH892" s="0">
        <v>40</v>
      </c>
      <c r="BI892" s="0">
        <v>40</v>
      </c>
      <c r="BJ892" s="0" t="s">
        <v>135</v>
      </c>
    </row>
    <row r="893">
      <c r="A893" s="0" t="s">
        <v>1093</v>
      </c>
      <c r="B893" s="0" t="s">
        <v>134</v>
      </c>
      <c r="C893" s="0" t="s">
        <v>134</v>
      </c>
      <c r="D893" s="0" t="s">
        <v>135</v>
      </c>
      <c r="E893" s="0" t="s">
        <v>3</v>
      </c>
      <c r="F893" s="0" t="s">
        <v>12</v>
      </c>
      <c r="G893" s="0" t="s">
        <v>8</v>
      </c>
      <c r="H893" s="0">
        <v>2283</v>
      </c>
      <c r="I893" s="0">
        <v>1351</v>
      </c>
      <c r="J893" s="0">
        <v>0</v>
      </c>
      <c r="K893" s="0">
        <v>1</v>
      </c>
      <c r="L893" s="0">
        <v>3</v>
      </c>
      <c r="M893" s="0">
        <v>28</v>
      </c>
      <c r="N893" s="0">
        <v>0</v>
      </c>
      <c r="O893" s="0">
        <v>0</v>
      </c>
      <c r="P893" s="0">
        <v>0</v>
      </c>
      <c r="R893" s="0" t="b">
        <v>0</v>
      </c>
      <c r="S893" s="0" t="b">
        <v>1</v>
      </c>
      <c r="T893" s="68">
        <v>43770.5722222222</v>
      </c>
      <c r="U893" s="68">
        <v>43800.2916666667</v>
      </c>
      <c r="V893" s="68">
        <v>0</v>
      </c>
      <c r="W893" s="0">
        <f>IF(IF(B893="none",1,IF(B893="Trialer",1,0))+IF(C893="Customer",1,IF(C893="Lost",1,0))=2,1,0)</f>
      </c>
      <c r="X893" s="0" t="s">
        <v>148</v>
      </c>
      <c r="Y893" s="0" t="s">
        <v>243</v>
      </c>
      <c r="AV893" s="68"/>
      <c r="AW893" s="68"/>
      <c r="AY893" s="27"/>
      <c r="BD893" s="68">
        <v>46054.1666666667</v>
      </c>
      <c r="BE893" s="68">
        <v>46082.1666666667</v>
      </c>
      <c r="BF893" s="0" t="b">
        <v>0</v>
      </c>
      <c r="BG893" s="0" t="b">
        <v>0</v>
      </c>
      <c r="BH893" s="0">
        <v>1428</v>
      </c>
      <c r="BI893" s="0">
        <v>1428</v>
      </c>
      <c r="BJ893" s="0" t="s">
        <v>135</v>
      </c>
    </row>
    <row r="894">
      <c r="A894" s="0" t="s">
        <v>1094</v>
      </c>
      <c r="B894" s="0" t="s">
        <v>134</v>
      </c>
      <c r="C894" s="0" t="s">
        <v>134</v>
      </c>
      <c r="D894" s="0" t="s">
        <v>135</v>
      </c>
      <c r="E894" s="0" t="s">
        <v>3</v>
      </c>
      <c r="F894" s="0" t="s">
        <v>12</v>
      </c>
      <c r="G894" s="0" t="s">
        <v>8</v>
      </c>
      <c r="H894" s="0">
        <v>2278</v>
      </c>
      <c r="I894" s="0">
        <v>0</v>
      </c>
      <c r="J894" s="0">
        <v>0</v>
      </c>
      <c r="K894" s="0">
        <v>1</v>
      </c>
      <c r="L894" s="0">
        <v>6</v>
      </c>
      <c r="M894" s="0">
        <v>1</v>
      </c>
      <c r="N894" s="0">
        <v>0</v>
      </c>
      <c r="O894" s="0">
        <v>0</v>
      </c>
      <c r="P894" s="0">
        <v>0</v>
      </c>
      <c r="R894" s="0" t="b">
        <v>0</v>
      </c>
      <c r="S894" s="0" t="b">
        <v>1</v>
      </c>
      <c r="T894" s="68">
        <v>43775.4652777778</v>
      </c>
      <c r="U894" s="68">
        <v>43799.2916666667</v>
      </c>
      <c r="V894" s="68">
        <v>0</v>
      </c>
      <c r="W894" s="0">
        <f>IF(IF(B894="none",1,IF(B894="Trialer",1,0))+IF(C894="Customer",1,IF(C894="Lost",1,0))=2,1,0)</f>
      </c>
      <c r="X894" s="0" t="s">
        <v>148</v>
      </c>
      <c r="Y894" s="0" t="s">
        <v>243</v>
      </c>
      <c r="AV894" s="68"/>
      <c r="AW894" s="68"/>
      <c r="AY894" s="27"/>
      <c r="BD894" s="68">
        <v>46054.1666666667</v>
      </c>
      <c r="BE894" s="68">
        <v>46082.1666666667</v>
      </c>
      <c r="BF894" s="0" t="b">
        <v>0</v>
      </c>
      <c r="BG894" s="0" t="b">
        <v>0</v>
      </c>
      <c r="BH894" s="0">
        <v>0</v>
      </c>
      <c r="BI894" s="0">
        <v>0</v>
      </c>
      <c r="BJ894" s="0" t="s">
        <v>135</v>
      </c>
    </row>
    <row r="895">
      <c r="A895" s="0" t="s">
        <v>1095</v>
      </c>
      <c r="B895" s="0" t="s">
        <v>134</v>
      </c>
      <c r="C895" s="0" t="s">
        <v>134</v>
      </c>
      <c r="D895" s="0" t="s">
        <v>135</v>
      </c>
      <c r="E895" s="0" t="s">
        <v>3</v>
      </c>
      <c r="F895" s="0" t="s">
        <v>12</v>
      </c>
      <c r="G895" s="0" t="s">
        <v>8</v>
      </c>
      <c r="H895" s="0">
        <v>2278</v>
      </c>
      <c r="I895" s="0">
        <v>0</v>
      </c>
      <c r="J895" s="0">
        <v>0</v>
      </c>
      <c r="K895" s="0">
        <v>1</v>
      </c>
      <c r="L895" s="0">
        <v>4</v>
      </c>
      <c r="M895" s="0">
        <v>1</v>
      </c>
      <c r="N895" s="0">
        <v>0</v>
      </c>
      <c r="O895" s="0">
        <v>0</v>
      </c>
      <c r="P895" s="0">
        <v>0</v>
      </c>
      <c r="R895" s="0" t="b">
        <v>0</v>
      </c>
      <c r="S895" s="0" t="b">
        <v>1</v>
      </c>
      <c r="T895" s="68">
        <v>43775.6847222222</v>
      </c>
      <c r="U895" s="68">
        <v>43812.5</v>
      </c>
      <c r="V895" s="68">
        <v>0</v>
      </c>
      <c r="W895" s="0">
        <f>IF(IF(B895="none",1,IF(B895="Trialer",1,0))+IF(C895="Customer",1,IF(C895="Lost",1,0))=2,1,0)</f>
      </c>
      <c r="X895" s="0" t="s">
        <v>148</v>
      </c>
      <c r="Y895" s="0" t="s">
        <v>243</v>
      </c>
      <c r="AV895" s="68"/>
      <c r="AW895" s="68"/>
      <c r="AY895" s="27"/>
      <c r="BD895" s="68">
        <v>46054.1666666667</v>
      </c>
      <c r="BE895" s="68">
        <v>46082.1666666667</v>
      </c>
      <c r="BF895" s="0" t="b">
        <v>0</v>
      </c>
      <c r="BG895" s="0" t="b">
        <v>0</v>
      </c>
      <c r="BH895" s="0">
        <v>0</v>
      </c>
      <c r="BI895" s="0">
        <v>0</v>
      </c>
      <c r="BJ895" s="0" t="s">
        <v>135</v>
      </c>
    </row>
    <row r="896">
      <c r="A896" s="0" t="s">
        <v>1096</v>
      </c>
      <c r="B896" s="0" t="s">
        <v>134</v>
      </c>
      <c r="C896" s="0" t="s">
        <v>134</v>
      </c>
      <c r="D896" s="0" t="s">
        <v>230</v>
      </c>
      <c r="E896" s="0" t="s">
        <v>3</v>
      </c>
      <c r="F896" s="0" t="s">
        <v>12</v>
      </c>
      <c r="G896" s="0" t="s">
        <v>8</v>
      </c>
      <c r="H896" s="0">
        <v>2277</v>
      </c>
      <c r="I896" s="0">
        <v>124</v>
      </c>
      <c r="J896" s="0">
        <v>0</v>
      </c>
      <c r="K896" s="0">
        <v>1</v>
      </c>
      <c r="L896" s="0">
        <v>3</v>
      </c>
      <c r="M896" s="0">
        <v>3</v>
      </c>
      <c r="N896" s="0">
        <v>0</v>
      </c>
      <c r="O896" s="0">
        <v>0</v>
      </c>
      <c r="P896" s="0">
        <v>-124</v>
      </c>
      <c r="R896" s="0" t="b">
        <v>0</v>
      </c>
      <c r="S896" s="0" t="b">
        <v>1</v>
      </c>
      <c r="T896" s="68">
        <v>43776.5847106481</v>
      </c>
      <c r="U896" s="68">
        <v>43806.2916666667</v>
      </c>
      <c r="V896" s="68">
        <v>0</v>
      </c>
      <c r="W896" s="0">
        <f>IF(IF(B896="none",1,IF(B896="Trialer",1,0))+IF(C896="Customer",1,IF(C896="Lost",1,0))=2,1,0)</f>
      </c>
      <c r="X896" s="0" t="s">
        <v>142</v>
      </c>
      <c r="Y896" s="0" t="s">
        <v>243</v>
      </c>
      <c r="AV896" s="68"/>
      <c r="AW896" s="68"/>
      <c r="AY896" s="27"/>
      <c r="BD896" s="68">
        <v>46054.1666666667</v>
      </c>
      <c r="BE896" s="68">
        <v>46082.1666666667</v>
      </c>
      <c r="BF896" s="0" t="b">
        <v>0</v>
      </c>
      <c r="BG896" s="0" t="b">
        <v>0</v>
      </c>
      <c r="BH896" s="0">
        <v>138</v>
      </c>
      <c r="BI896" s="0">
        <v>138</v>
      </c>
      <c r="BJ896" s="0" t="s">
        <v>230</v>
      </c>
    </row>
    <row r="897">
      <c r="A897" s="0" t="s">
        <v>1097</v>
      </c>
      <c r="B897" s="0" t="s">
        <v>134</v>
      </c>
      <c r="C897" s="0" t="s">
        <v>134</v>
      </c>
      <c r="D897" s="0" t="s">
        <v>135</v>
      </c>
      <c r="E897" s="0" t="s">
        <v>2</v>
      </c>
      <c r="F897" s="0" t="s">
        <v>12</v>
      </c>
      <c r="G897" s="0" t="s">
        <v>8</v>
      </c>
      <c r="H897" s="0">
        <v>2273</v>
      </c>
      <c r="I897" s="0">
        <v>0</v>
      </c>
      <c r="J897" s="0">
        <v>0</v>
      </c>
      <c r="K897" s="0">
        <v>1</v>
      </c>
      <c r="L897" s="0">
        <v>3</v>
      </c>
      <c r="M897" s="0">
        <v>2</v>
      </c>
      <c r="N897" s="0">
        <v>0</v>
      </c>
      <c r="O897" s="0">
        <v>0</v>
      </c>
      <c r="P897" s="0">
        <v>0</v>
      </c>
      <c r="R897" s="0" t="b">
        <v>0</v>
      </c>
      <c r="S897" s="0" t="b">
        <v>1</v>
      </c>
      <c r="T897" s="68">
        <v>43780.5166666667</v>
      </c>
      <c r="U897" s="68">
        <v>43838.2916666667</v>
      </c>
      <c r="V897" s="68">
        <v>0</v>
      </c>
      <c r="W897" s="0">
        <f>IF(IF(B897="none",1,IF(B897="Trialer",1,0))+IF(C897="Customer",1,IF(C897="Lost",1,0))=2,1,0)</f>
      </c>
      <c r="X897" s="0" t="s">
        <v>148</v>
      </c>
      <c r="Y897" s="0" t="s">
        <v>499</v>
      </c>
      <c r="AV897" s="68"/>
      <c r="AW897" s="68"/>
      <c r="AY897" s="27"/>
      <c r="BD897" s="68">
        <v>46054.1666666667</v>
      </c>
      <c r="BE897" s="68">
        <v>46082.1666666667</v>
      </c>
      <c r="BF897" s="0" t="b">
        <v>0</v>
      </c>
      <c r="BG897" s="0" t="b">
        <v>0</v>
      </c>
      <c r="BH897" s="0">
        <v>0</v>
      </c>
      <c r="BI897" s="0">
        <v>0</v>
      </c>
      <c r="BJ897" s="0" t="s">
        <v>135</v>
      </c>
    </row>
    <row r="898">
      <c r="A898" s="0" t="s">
        <v>1098</v>
      </c>
      <c r="B898" s="0" t="s">
        <v>134</v>
      </c>
      <c r="C898" s="0" t="s">
        <v>134</v>
      </c>
      <c r="D898" s="0" t="s">
        <v>135</v>
      </c>
      <c r="E898" s="0" t="s">
        <v>2</v>
      </c>
      <c r="F898" s="0" t="s">
        <v>12</v>
      </c>
      <c r="G898" s="0" t="s">
        <v>8</v>
      </c>
      <c r="H898" s="0">
        <v>2272</v>
      </c>
      <c r="I898" s="0">
        <v>197</v>
      </c>
      <c r="J898" s="0">
        <v>0</v>
      </c>
      <c r="K898" s="0">
        <v>1</v>
      </c>
      <c r="L898" s="0">
        <v>3</v>
      </c>
      <c r="M898" s="0">
        <v>5</v>
      </c>
      <c r="N898" s="0">
        <v>0</v>
      </c>
      <c r="O898" s="0">
        <v>0</v>
      </c>
      <c r="P898" s="0">
        <v>0</v>
      </c>
      <c r="R898" s="0" t="b">
        <v>0</v>
      </c>
      <c r="S898" s="0" t="b">
        <v>1</v>
      </c>
      <c r="T898" s="68">
        <v>43781.3225694444</v>
      </c>
      <c r="U898" s="68">
        <v>43811.2916666667</v>
      </c>
      <c r="V898" s="68">
        <v>0</v>
      </c>
      <c r="W898" s="0">
        <f>IF(IF(B898="none",1,IF(B898="Trialer",1,0))+IF(C898="Customer",1,IF(C898="Lost",1,0))=2,1,0)</f>
      </c>
      <c r="X898" s="0" t="s">
        <v>145</v>
      </c>
      <c r="Y898" s="0" t="s">
        <v>499</v>
      </c>
      <c r="AV898" s="68"/>
      <c r="AW898" s="68"/>
      <c r="AY898" s="27"/>
      <c r="BD898" s="68">
        <v>46054.1666666667</v>
      </c>
      <c r="BE898" s="68">
        <v>46082.1666666667</v>
      </c>
      <c r="BF898" s="0" t="b">
        <v>0</v>
      </c>
      <c r="BG898" s="0" t="b">
        <v>0</v>
      </c>
      <c r="BH898" s="0">
        <v>209</v>
      </c>
      <c r="BI898" s="0">
        <v>209</v>
      </c>
      <c r="BJ898" s="0" t="s">
        <v>135</v>
      </c>
    </row>
    <row r="899">
      <c r="A899" s="0" t="s">
        <v>1099</v>
      </c>
      <c r="B899" s="0" t="s">
        <v>134</v>
      </c>
      <c r="C899" s="0" t="s">
        <v>134</v>
      </c>
      <c r="D899" s="0" t="s">
        <v>135</v>
      </c>
      <c r="E899" s="0" t="s">
        <v>3</v>
      </c>
      <c r="F899" s="0" t="s">
        <v>12</v>
      </c>
      <c r="G899" s="0" t="s">
        <v>8</v>
      </c>
      <c r="H899" s="0">
        <v>2272</v>
      </c>
      <c r="I899" s="0">
        <v>1226</v>
      </c>
      <c r="J899" s="0">
        <v>0</v>
      </c>
      <c r="K899" s="0">
        <v>1</v>
      </c>
      <c r="L899" s="0">
        <v>6</v>
      </c>
      <c r="M899" s="0">
        <v>20</v>
      </c>
      <c r="N899" s="0">
        <v>0</v>
      </c>
      <c r="O899" s="0">
        <v>0</v>
      </c>
      <c r="P899" s="0">
        <v>0</v>
      </c>
      <c r="R899" s="0" t="b">
        <v>0</v>
      </c>
      <c r="S899" s="0" t="b">
        <v>1</v>
      </c>
      <c r="T899" s="68">
        <v>43781.5</v>
      </c>
      <c r="U899" s="68">
        <v>43811.2916666667</v>
      </c>
      <c r="V899" s="68">
        <v>0</v>
      </c>
      <c r="W899" s="0">
        <f>IF(IF(B899="none",1,IF(B899="Trialer",1,0))+IF(C899="Customer",1,IF(C899="Lost",1,0))=2,1,0)</f>
      </c>
      <c r="X899" s="0" t="s">
        <v>148</v>
      </c>
      <c r="Y899" s="0" t="s">
        <v>243</v>
      </c>
      <c r="AV899" s="68"/>
      <c r="AW899" s="68"/>
      <c r="AY899" s="27"/>
      <c r="BD899" s="68">
        <v>46054.1666666667</v>
      </c>
      <c r="BE899" s="68">
        <v>46082.1666666667</v>
      </c>
      <c r="BF899" s="0" t="b">
        <v>0</v>
      </c>
      <c r="BG899" s="0" t="b">
        <v>0</v>
      </c>
      <c r="BH899" s="0">
        <v>1226</v>
      </c>
      <c r="BI899" s="0">
        <v>1226</v>
      </c>
      <c r="BJ899" s="0" t="s">
        <v>135</v>
      </c>
    </row>
    <row r="900">
      <c r="A900" s="0" t="s">
        <v>1100</v>
      </c>
      <c r="B900" s="0" t="s">
        <v>134</v>
      </c>
      <c r="C900" s="0" t="s">
        <v>134</v>
      </c>
      <c r="D900" s="0" t="s">
        <v>135</v>
      </c>
      <c r="E900" s="0" t="s">
        <v>3</v>
      </c>
      <c r="F900" s="0" t="s">
        <v>12</v>
      </c>
      <c r="G900" s="0" t="s">
        <v>8</v>
      </c>
      <c r="H900" s="0">
        <v>2272</v>
      </c>
      <c r="I900" s="0">
        <v>0</v>
      </c>
      <c r="J900" s="0">
        <v>0</v>
      </c>
      <c r="K900" s="0">
        <v>1</v>
      </c>
      <c r="L900" s="0">
        <v>3</v>
      </c>
      <c r="M900" s="0">
        <v>2</v>
      </c>
      <c r="N900" s="0">
        <v>0</v>
      </c>
      <c r="O900" s="0">
        <v>0</v>
      </c>
      <c r="P900" s="0">
        <v>0</v>
      </c>
      <c r="R900" s="0" t="b">
        <v>0</v>
      </c>
      <c r="S900" s="0" t="b">
        <v>1</v>
      </c>
      <c r="T900" s="68">
        <v>43781.6243055556</v>
      </c>
      <c r="U900" s="68">
        <v>43811.5</v>
      </c>
      <c r="V900" s="68">
        <v>0</v>
      </c>
      <c r="W900" s="0">
        <f>IF(IF(B900="none",1,IF(B900="Trialer",1,0))+IF(C900="Customer",1,IF(C900="Lost",1,0))=2,1,0)</f>
      </c>
      <c r="X900" s="0" t="s">
        <v>148</v>
      </c>
      <c r="Y900" s="0" t="s">
        <v>243</v>
      </c>
      <c r="AV900" s="68"/>
      <c r="AW900" s="68"/>
      <c r="AY900" s="27"/>
      <c r="BD900" s="68">
        <v>46054.1666666667</v>
      </c>
      <c r="BE900" s="68">
        <v>46082.1666666667</v>
      </c>
      <c r="BF900" s="0" t="b">
        <v>0</v>
      </c>
      <c r="BG900" s="0" t="b">
        <v>0</v>
      </c>
      <c r="BH900" s="0">
        <v>0</v>
      </c>
      <c r="BI900" s="0">
        <v>0</v>
      </c>
      <c r="BJ900" s="0" t="s">
        <v>135</v>
      </c>
    </row>
    <row r="901">
      <c r="A901" s="0" t="s">
        <v>1101</v>
      </c>
      <c r="B901" s="0" t="s">
        <v>134</v>
      </c>
      <c r="C901" s="0" t="s">
        <v>134</v>
      </c>
      <c r="D901" s="0" t="s">
        <v>230</v>
      </c>
      <c r="E901" s="0" t="s">
        <v>3</v>
      </c>
      <c r="F901" s="0" t="s">
        <v>12</v>
      </c>
      <c r="G901" s="0" t="s">
        <v>8</v>
      </c>
      <c r="H901" s="0">
        <v>2272</v>
      </c>
      <c r="I901" s="0">
        <v>44</v>
      </c>
      <c r="J901" s="0">
        <v>0</v>
      </c>
      <c r="K901" s="0">
        <v>1</v>
      </c>
      <c r="L901" s="0">
        <v>3</v>
      </c>
      <c r="M901" s="0">
        <v>1</v>
      </c>
      <c r="N901" s="0">
        <v>0</v>
      </c>
      <c r="O901" s="0">
        <v>0</v>
      </c>
      <c r="P901" s="0">
        <v>-44</v>
      </c>
      <c r="R901" s="0" t="b">
        <v>0</v>
      </c>
      <c r="S901" s="0" t="b">
        <v>1</v>
      </c>
      <c r="T901" s="68">
        <v>43781.6305092593</v>
      </c>
      <c r="U901" s="68">
        <v>43812.2916666667</v>
      </c>
      <c r="V901" s="68">
        <v>0</v>
      </c>
      <c r="W901" s="0">
        <f>IF(IF(B901="none",1,IF(B901="Trialer",1,0))+IF(C901="Customer",1,IF(C901="Lost",1,0))=2,1,0)</f>
      </c>
      <c r="X901" s="0" t="s">
        <v>166</v>
      </c>
      <c r="Y901" s="0" t="s">
        <v>243</v>
      </c>
      <c r="AV901" s="68"/>
      <c r="AW901" s="68"/>
      <c r="AY901" s="27"/>
      <c r="BD901" s="68">
        <v>46054.1666666667</v>
      </c>
      <c r="BE901" s="68">
        <v>46082.1666666667</v>
      </c>
      <c r="BF901" s="0" t="b">
        <v>0</v>
      </c>
      <c r="BG901" s="0" t="b">
        <v>0</v>
      </c>
      <c r="BH901" s="0">
        <v>49</v>
      </c>
      <c r="BI901" s="0">
        <v>49</v>
      </c>
      <c r="BJ901" s="0" t="s">
        <v>230</v>
      </c>
    </row>
    <row r="902">
      <c r="A902" s="0" t="s">
        <v>1102</v>
      </c>
      <c r="B902" s="0" t="s">
        <v>134</v>
      </c>
      <c r="C902" s="0" t="s">
        <v>134</v>
      </c>
      <c r="D902" s="0" t="s">
        <v>135</v>
      </c>
      <c r="E902" s="0" t="s">
        <v>3</v>
      </c>
      <c r="F902" s="0" t="s">
        <v>12</v>
      </c>
      <c r="G902" s="0" t="s">
        <v>8</v>
      </c>
      <c r="H902" s="0">
        <v>2271</v>
      </c>
      <c r="I902" s="0">
        <v>126</v>
      </c>
      <c r="J902" s="0">
        <v>0</v>
      </c>
      <c r="K902" s="0">
        <v>1</v>
      </c>
      <c r="L902" s="0">
        <v>3</v>
      </c>
      <c r="M902" s="0">
        <v>3</v>
      </c>
      <c r="N902" s="0">
        <v>0</v>
      </c>
      <c r="O902" s="0">
        <v>0</v>
      </c>
      <c r="P902" s="0">
        <v>0</v>
      </c>
      <c r="R902" s="0" t="b">
        <v>0</v>
      </c>
      <c r="S902" s="0" t="b">
        <v>1</v>
      </c>
      <c r="T902" s="68">
        <v>43781.9844791667</v>
      </c>
      <c r="U902" s="68">
        <v>43811.2916666667</v>
      </c>
      <c r="V902" s="68">
        <v>0</v>
      </c>
      <c r="W902" s="0">
        <f>IF(IF(B902="none",1,IF(B902="Trialer",1,0))+IF(C902="Customer",1,IF(C902="Lost",1,0))=2,1,0)</f>
      </c>
      <c r="X902" s="0" t="s">
        <v>142</v>
      </c>
      <c r="Y902" s="0" t="s">
        <v>243</v>
      </c>
      <c r="AV902" s="68"/>
      <c r="AW902" s="68"/>
      <c r="AY902" s="27"/>
      <c r="BD902" s="68">
        <v>46054.1666666667</v>
      </c>
      <c r="BE902" s="68">
        <v>46082.1666666667</v>
      </c>
      <c r="BF902" s="0" t="b">
        <v>0</v>
      </c>
      <c r="BG902" s="0" t="b">
        <v>0</v>
      </c>
      <c r="BH902" s="0">
        <v>126</v>
      </c>
      <c r="BI902" s="0">
        <v>126</v>
      </c>
      <c r="BJ902" s="0" t="s">
        <v>135</v>
      </c>
    </row>
    <row r="903">
      <c r="A903" s="0" t="s">
        <v>1103</v>
      </c>
      <c r="B903" s="0" t="s">
        <v>134</v>
      </c>
      <c r="C903" s="0" t="s">
        <v>134</v>
      </c>
      <c r="D903" s="0" t="s">
        <v>135</v>
      </c>
      <c r="E903" s="0" t="s">
        <v>3</v>
      </c>
      <c r="F903" s="0" t="s">
        <v>12</v>
      </c>
      <c r="G903" s="0" t="s">
        <v>8</v>
      </c>
      <c r="H903" s="0">
        <v>2271</v>
      </c>
      <c r="I903" s="0">
        <v>141</v>
      </c>
      <c r="J903" s="0">
        <v>0</v>
      </c>
      <c r="K903" s="0">
        <v>1</v>
      </c>
      <c r="L903" s="0">
        <v>4</v>
      </c>
      <c r="M903" s="0">
        <v>3</v>
      </c>
      <c r="N903" s="0">
        <v>0</v>
      </c>
      <c r="O903" s="0">
        <v>0</v>
      </c>
      <c r="P903" s="0">
        <v>0</v>
      </c>
      <c r="R903" s="0" t="b">
        <v>0</v>
      </c>
      <c r="S903" s="0" t="b">
        <v>1</v>
      </c>
      <c r="T903" s="68">
        <v>43782.3923032407</v>
      </c>
      <c r="U903" s="68">
        <v>43812.2916666667</v>
      </c>
      <c r="V903" s="68">
        <v>0</v>
      </c>
      <c r="W903" s="0">
        <f>IF(IF(B903="none",1,IF(B903="Trialer",1,0))+IF(C903="Customer",1,IF(C903="Lost",1,0))=2,1,0)</f>
      </c>
      <c r="X903" s="0" t="s">
        <v>153</v>
      </c>
      <c r="Y903" s="0" t="s">
        <v>243</v>
      </c>
      <c r="AV903" s="68"/>
      <c r="AW903" s="68"/>
      <c r="AY903" s="27"/>
      <c r="BD903" s="68">
        <v>46054.1666666667</v>
      </c>
      <c r="BE903" s="68">
        <v>46082.1666666667</v>
      </c>
      <c r="BF903" s="0" t="b">
        <v>0</v>
      </c>
      <c r="BG903" s="0" t="b">
        <v>0</v>
      </c>
      <c r="BH903" s="0">
        <v>141</v>
      </c>
      <c r="BI903" s="0">
        <v>141</v>
      </c>
      <c r="BJ903" s="0" t="s">
        <v>135</v>
      </c>
    </row>
    <row r="904">
      <c r="A904" s="0" t="s">
        <v>1104</v>
      </c>
      <c r="B904" s="0" t="s">
        <v>134</v>
      </c>
      <c r="C904" s="0" t="s">
        <v>134</v>
      </c>
      <c r="D904" s="0" t="s">
        <v>230</v>
      </c>
      <c r="E904" s="0" t="s">
        <v>3</v>
      </c>
      <c r="F904" s="0" t="s">
        <v>12</v>
      </c>
      <c r="G904" s="0" t="s">
        <v>8</v>
      </c>
      <c r="H904" s="0">
        <v>2271</v>
      </c>
      <c r="I904" s="0">
        <v>109.13</v>
      </c>
      <c r="J904" s="0">
        <v>0</v>
      </c>
      <c r="K904" s="0">
        <v>1</v>
      </c>
      <c r="L904" s="0">
        <v>2</v>
      </c>
      <c r="M904" s="0">
        <v>3</v>
      </c>
      <c r="N904" s="0">
        <v>0</v>
      </c>
      <c r="O904" s="0">
        <v>0</v>
      </c>
      <c r="P904" s="0">
        <v>-109.13</v>
      </c>
      <c r="R904" s="0" t="b">
        <v>0</v>
      </c>
      <c r="S904" s="0" t="b">
        <v>1</v>
      </c>
      <c r="T904" s="68">
        <v>43782.4416666667</v>
      </c>
      <c r="U904" s="68">
        <v>43815.5</v>
      </c>
      <c r="V904" s="68">
        <v>0</v>
      </c>
      <c r="W904" s="0">
        <f>IF(IF(B904="none",1,IF(B904="Trialer",1,0))+IF(C904="Customer",1,IF(C904="Lost",1,0))=2,1,0)</f>
      </c>
      <c r="X904" s="0" t="s">
        <v>145</v>
      </c>
      <c r="Y904" s="0" t="s">
        <v>243</v>
      </c>
      <c r="AV904" s="68"/>
      <c r="AW904" s="68"/>
      <c r="AY904" s="27"/>
      <c r="BD904" s="68">
        <v>46054.1666666667</v>
      </c>
      <c r="BE904" s="68">
        <v>46082.1666666667</v>
      </c>
      <c r="BF904" s="0" t="b">
        <v>0</v>
      </c>
      <c r="BG904" s="0" t="b">
        <v>0</v>
      </c>
      <c r="BH904" s="0">
        <v>120</v>
      </c>
      <c r="BI904" s="0">
        <v>120</v>
      </c>
      <c r="BJ904" s="0" t="s">
        <v>230</v>
      </c>
    </row>
    <row r="905">
      <c r="A905" s="0" t="s">
        <v>1105</v>
      </c>
      <c r="B905" s="0" t="s">
        <v>134</v>
      </c>
      <c r="C905" s="0" t="s">
        <v>134</v>
      </c>
      <c r="D905" s="0" t="s">
        <v>230</v>
      </c>
      <c r="E905" s="0" t="s">
        <v>3</v>
      </c>
      <c r="F905" s="0" t="s">
        <v>12</v>
      </c>
      <c r="G905" s="0" t="s">
        <v>8</v>
      </c>
      <c r="H905" s="0">
        <v>2271</v>
      </c>
      <c r="I905" s="0">
        <v>113</v>
      </c>
      <c r="J905" s="0">
        <v>0</v>
      </c>
      <c r="K905" s="0">
        <v>1</v>
      </c>
      <c r="L905" s="0">
        <v>3</v>
      </c>
      <c r="M905" s="0">
        <v>3</v>
      </c>
      <c r="N905" s="0">
        <v>0</v>
      </c>
      <c r="O905" s="0">
        <v>0</v>
      </c>
      <c r="P905" s="0">
        <v>-113</v>
      </c>
      <c r="R905" s="0" t="b">
        <v>0</v>
      </c>
      <c r="S905" s="0" t="b">
        <v>1</v>
      </c>
      <c r="T905" s="68">
        <v>43782.491400463</v>
      </c>
      <c r="U905" s="68">
        <v>43812.2916666667</v>
      </c>
      <c r="V905" s="68">
        <v>0</v>
      </c>
      <c r="W905" s="0">
        <f>IF(IF(B905="none",1,IF(B905="Trialer",1,0))+IF(C905="Customer",1,IF(C905="Lost",1,0))=2,1,0)</f>
      </c>
      <c r="X905" s="0" t="s">
        <v>142</v>
      </c>
      <c r="Y905" s="0" t="s">
        <v>243</v>
      </c>
      <c r="AV905" s="68"/>
      <c r="AW905" s="68"/>
      <c r="AY905" s="27"/>
      <c r="BD905" s="68">
        <v>46054.1666666667</v>
      </c>
      <c r="BE905" s="68">
        <v>46082.1666666667</v>
      </c>
      <c r="BF905" s="0" t="b">
        <v>0</v>
      </c>
      <c r="BG905" s="0" t="b">
        <v>0</v>
      </c>
      <c r="BH905" s="0">
        <v>126</v>
      </c>
      <c r="BI905" s="0">
        <v>126</v>
      </c>
      <c r="BJ905" s="0" t="s">
        <v>230</v>
      </c>
    </row>
    <row r="906">
      <c r="A906" s="0" t="s">
        <v>1106</v>
      </c>
      <c r="B906" s="0" t="s">
        <v>134</v>
      </c>
      <c r="C906" s="0" t="s">
        <v>134</v>
      </c>
      <c r="D906" s="0" t="s">
        <v>135</v>
      </c>
      <c r="E906" s="0" t="s">
        <v>3</v>
      </c>
      <c r="F906" s="0" t="s">
        <v>12</v>
      </c>
      <c r="G906" s="0" t="s">
        <v>8</v>
      </c>
      <c r="H906" s="0">
        <v>2271</v>
      </c>
      <c r="I906" s="0">
        <v>0</v>
      </c>
      <c r="J906" s="0">
        <v>0</v>
      </c>
      <c r="K906" s="0">
        <v>1</v>
      </c>
      <c r="L906" s="0">
        <v>4</v>
      </c>
      <c r="M906" s="0">
        <v>1</v>
      </c>
      <c r="N906" s="0">
        <v>0</v>
      </c>
      <c r="O906" s="0">
        <v>0</v>
      </c>
      <c r="P906" s="0">
        <v>0</v>
      </c>
      <c r="R906" s="0" t="b">
        <v>0</v>
      </c>
      <c r="S906" s="0" t="b">
        <v>1</v>
      </c>
      <c r="T906" s="68">
        <v>43782.5923611111</v>
      </c>
      <c r="U906" s="68">
        <v>43783.2916666667</v>
      </c>
      <c r="V906" s="68">
        <v>0</v>
      </c>
      <c r="W906" s="0">
        <f>IF(IF(B906="none",1,IF(B906="Trialer",1,0))+IF(C906="Customer",1,IF(C906="Lost",1,0))=2,1,0)</f>
      </c>
      <c r="X906" s="0" t="s">
        <v>148</v>
      </c>
      <c r="Y906" s="0" t="s">
        <v>243</v>
      </c>
      <c r="AV906" s="68"/>
      <c r="AW906" s="68"/>
      <c r="AY906" s="27"/>
      <c r="BD906" s="68">
        <v>46054.1666666667</v>
      </c>
      <c r="BE906" s="68">
        <v>46082.1666666667</v>
      </c>
      <c r="BF906" s="0" t="b">
        <v>0</v>
      </c>
      <c r="BG906" s="0" t="b">
        <v>0</v>
      </c>
      <c r="BH906" s="0">
        <v>0</v>
      </c>
      <c r="BI906" s="0">
        <v>0</v>
      </c>
      <c r="BJ906" s="0" t="s">
        <v>135</v>
      </c>
    </row>
    <row r="907">
      <c r="A907" s="0" t="s">
        <v>1107</v>
      </c>
      <c r="B907" s="0" t="s">
        <v>134</v>
      </c>
      <c r="C907" s="0" t="s">
        <v>134</v>
      </c>
      <c r="D907" s="0" t="s">
        <v>135</v>
      </c>
      <c r="E907" s="0" t="s">
        <v>3</v>
      </c>
      <c r="F907" s="0" t="s">
        <v>12</v>
      </c>
      <c r="G907" s="0" t="s">
        <v>8</v>
      </c>
      <c r="H907" s="0">
        <v>2270</v>
      </c>
      <c r="I907" s="0">
        <v>37</v>
      </c>
      <c r="J907" s="0">
        <v>0</v>
      </c>
      <c r="K907" s="0">
        <v>1</v>
      </c>
      <c r="L907" s="0">
        <v>2</v>
      </c>
      <c r="M907" s="0">
        <v>1</v>
      </c>
      <c r="N907" s="0">
        <v>0</v>
      </c>
      <c r="O907" s="0">
        <v>0</v>
      </c>
      <c r="P907" s="0">
        <v>0</v>
      </c>
      <c r="R907" s="0" t="b">
        <v>0</v>
      </c>
      <c r="S907" s="0" t="b">
        <v>1</v>
      </c>
      <c r="T907" s="68">
        <v>43783.3965277778</v>
      </c>
      <c r="U907" s="68">
        <v>43813.5</v>
      </c>
      <c r="V907" s="68">
        <v>0</v>
      </c>
      <c r="W907" s="0">
        <f>IF(IF(B907="none",1,IF(B907="Trialer",1,0))+IF(C907="Customer",1,IF(C907="Lost",1,0))=2,1,0)</f>
      </c>
      <c r="X907" s="0" t="s">
        <v>142</v>
      </c>
      <c r="Y907" s="0" t="s">
        <v>243</v>
      </c>
      <c r="AV907" s="68"/>
      <c r="AW907" s="68"/>
      <c r="AY907" s="27"/>
      <c r="BD907" s="68">
        <v>46054.1666666667</v>
      </c>
      <c r="BE907" s="68">
        <v>46082.1666666667</v>
      </c>
      <c r="BF907" s="0" t="b">
        <v>0</v>
      </c>
      <c r="BG907" s="0" t="b">
        <v>0</v>
      </c>
      <c r="BH907" s="0">
        <v>37</v>
      </c>
      <c r="BI907" s="0">
        <v>37</v>
      </c>
      <c r="BJ907" s="0" t="s">
        <v>135</v>
      </c>
    </row>
    <row r="908">
      <c r="A908" s="0" t="s">
        <v>1108</v>
      </c>
      <c r="B908" s="0" t="s">
        <v>134</v>
      </c>
      <c r="C908" s="0" t="s">
        <v>134</v>
      </c>
      <c r="D908" s="0" t="s">
        <v>135</v>
      </c>
      <c r="E908" s="0" t="s">
        <v>3</v>
      </c>
      <c r="F908" s="0" t="s">
        <v>12</v>
      </c>
      <c r="G908" s="0" t="s">
        <v>8</v>
      </c>
      <c r="H908" s="0">
        <v>2269</v>
      </c>
      <c r="I908" s="0">
        <v>0</v>
      </c>
      <c r="J908" s="0">
        <v>0</v>
      </c>
      <c r="K908" s="0">
        <v>1</v>
      </c>
      <c r="L908" s="0">
        <v>3</v>
      </c>
      <c r="M908" s="0">
        <v>1</v>
      </c>
      <c r="N908" s="0">
        <v>0</v>
      </c>
      <c r="O908" s="0">
        <v>0</v>
      </c>
      <c r="P908" s="0">
        <v>0</v>
      </c>
      <c r="R908" s="0" t="b">
        <v>0</v>
      </c>
      <c r="S908" s="0" t="b">
        <v>1</v>
      </c>
      <c r="T908" s="68">
        <v>43784.4354166667</v>
      </c>
      <c r="U908" s="68">
        <v>43784.5</v>
      </c>
      <c r="V908" s="68">
        <v>0</v>
      </c>
      <c r="W908" s="0">
        <f>IF(IF(B908="none",1,IF(B908="Trialer",1,0))+IF(C908="Customer",1,IF(C908="Lost",1,0))=2,1,0)</f>
      </c>
      <c r="X908" s="0" t="s">
        <v>136</v>
      </c>
      <c r="Y908" s="0" t="s">
        <v>243</v>
      </c>
      <c r="AV908" s="68"/>
      <c r="AW908" s="68"/>
      <c r="AY908" s="27"/>
      <c r="BD908" s="68">
        <v>46054.1666666667</v>
      </c>
      <c r="BE908" s="68">
        <v>46082.1666666667</v>
      </c>
      <c r="BF908" s="0" t="b">
        <v>0</v>
      </c>
      <c r="BG908" s="0" t="b">
        <v>0</v>
      </c>
      <c r="BH908" s="0">
        <v>0</v>
      </c>
      <c r="BI908" s="0">
        <v>0</v>
      </c>
      <c r="BJ908" s="0" t="s">
        <v>135</v>
      </c>
    </row>
    <row r="909">
      <c r="A909" s="0" t="s">
        <v>1109</v>
      </c>
      <c r="B909" s="0" t="s">
        <v>134</v>
      </c>
      <c r="C909" s="0" t="s">
        <v>134</v>
      </c>
      <c r="D909" s="0" t="s">
        <v>135</v>
      </c>
      <c r="E909" s="0" t="s">
        <v>3</v>
      </c>
      <c r="F909" s="0" t="s">
        <v>12</v>
      </c>
      <c r="G909" s="0" t="s">
        <v>8</v>
      </c>
      <c r="H909" s="0">
        <v>2269</v>
      </c>
      <c r="I909" s="0">
        <v>0</v>
      </c>
      <c r="J909" s="0">
        <v>0</v>
      </c>
      <c r="K909" s="0">
        <v>1</v>
      </c>
      <c r="L909" s="0">
        <v>3</v>
      </c>
      <c r="M909" s="0">
        <v>2</v>
      </c>
      <c r="N909" s="0">
        <v>0</v>
      </c>
      <c r="O909" s="0">
        <v>0</v>
      </c>
      <c r="P909" s="0">
        <v>0</v>
      </c>
      <c r="R909" s="0" t="b">
        <v>0</v>
      </c>
      <c r="S909" s="0" t="b">
        <v>1</v>
      </c>
      <c r="T909" s="68">
        <v>43784.5513888889</v>
      </c>
      <c r="U909" s="68">
        <v>43784.5</v>
      </c>
      <c r="V909" s="68">
        <v>0</v>
      </c>
      <c r="W909" s="0">
        <f>IF(IF(B909="none",1,IF(B909="Trialer",1,0))+IF(C909="Customer",1,IF(C909="Lost",1,0))=2,1,0)</f>
      </c>
      <c r="X909" s="0" t="s">
        <v>148</v>
      </c>
      <c r="Y909" s="0" t="s">
        <v>243</v>
      </c>
      <c r="AV909" s="68"/>
      <c r="AW909" s="68"/>
      <c r="AY909" s="27"/>
      <c r="BD909" s="68">
        <v>46054.1666666667</v>
      </c>
      <c r="BE909" s="68">
        <v>46082.1666666667</v>
      </c>
      <c r="BF909" s="0" t="b">
        <v>0</v>
      </c>
      <c r="BG909" s="0" t="b">
        <v>0</v>
      </c>
      <c r="BH909" s="0">
        <v>0</v>
      </c>
      <c r="BI909" s="0">
        <v>0</v>
      </c>
      <c r="BJ909" s="0" t="s">
        <v>135</v>
      </c>
    </row>
    <row r="910">
      <c r="A910" s="0" t="s">
        <v>1110</v>
      </c>
      <c r="B910" s="0" t="s">
        <v>134</v>
      </c>
      <c r="C910" s="0" t="s">
        <v>134</v>
      </c>
      <c r="D910" s="0" t="s">
        <v>230</v>
      </c>
      <c r="E910" s="0" t="s">
        <v>3</v>
      </c>
      <c r="F910" s="0" t="s">
        <v>12</v>
      </c>
      <c r="G910" s="0" t="s">
        <v>8</v>
      </c>
      <c r="H910" s="0">
        <v>2266</v>
      </c>
      <c r="I910" s="0">
        <v>88</v>
      </c>
      <c r="J910" s="0">
        <v>0</v>
      </c>
      <c r="K910" s="0">
        <v>1</v>
      </c>
      <c r="L910" s="0">
        <v>3</v>
      </c>
      <c r="M910" s="0">
        <v>2</v>
      </c>
      <c r="N910" s="0">
        <v>0</v>
      </c>
      <c r="O910" s="0">
        <v>0</v>
      </c>
      <c r="P910" s="0">
        <v>-88</v>
      </c>
      <c r="R910" s="0" t="b">
        <v>0</v>
      </c>
      <c r="S910" s="0" t="b">
        <v>1</v>
      </c>
      <c r="T910" s="68">
        <v>43787.5004976852</v>
      </c>
      <c r="U910" s="68">
        <v>43817.2916666667</v>
      </c>
      <c r="V910" s="68">
        <v>0</v>
      </c>
      <c r="W910" s="0">
        <f>IF(IF(B910="none",1,IF(B910="Trialer",1,0))+IF(C910="Customer",1,IF(C910="Lost",1,0))=2,1,0)</f>
      </c>
      <c r="X910" s="0" t="s">
        <v>166</v>
      </c>
      <c r="Y910" s="0" t="s">
        <v>243</v>
      </c>
      <c r="AV910" s="68"/>
      <c r="AW910" s="68"/>
      <c r="AY910" s="27"/>
      <c r="BD910" s="68">
        <v>46054.1666666667</v>
      </c>
      <c r="BE910" s="68">
        <v>46082.1666666667</v>
      </c>
      <c r="BF910" s="0" t="b">
        <v>0</v>
      </c>
      <c r="BG910" s="0" t="b">
        <v>0</v>
      </c>
      <c r="BH910" s="0">
        <v>98</v>
      </c>
      <c r="BI910" s="0">
        <v>98</v>
      </c>
      <c r="BJ910" s="0" t="s">
        <v>230</v>
      </c>
    </row>
    <row r="911">
      <c r="A911" s="0" t="s">
        <v>1111</v>
      </c>
      <c r="B911" s="0" t="s">
        <v>134</v>
      </c>
      <c r="C911" s="0" t="s">
        <v>134</v>
      </c>
      <c r="D911" s="0" t="s">
        <v>135</v>
      </c>
      <c r="E911" s="0" t="s">
        <v>3</v>
      </c>
      <c r="F911" s="0" t="s">
        <v>12</v>
      </c>
      <c r="G911" s="0" t="s">
        <v>8</v>
      </c>
      <c r="H911" s="0">
        <v>2266</v>
      </c>
      <c r="I911" s="0">
        <v>0</v>
      </c>
      <c r="J911" s="0">
        <v>0</v>
      </c>
      <c r="K911" s="0">
        <v>1</v>
      </c>
      <c r="L911" s="0">
        <v>3</v>
      </c>
      <c r="M911" s="0">
        <v>1</v>
      </c>
      <c r="N911" s="0">
        <v>0</v>
      </c>
      <c r="O911" s="0">
        <v>0</v>
      </c>
      <c r="P911" s="0">
        <v>0</v>
      </c>
      <c r="R911" s="0" t="b">
        <v>0</v>
      </c>
      <c r="S911" s="0" t="b">
        <v>1</v>
      </c>
      <c r="T911" s="68">
        <v>43787.5402777778</v>
      </c>
      <c r="U911" s="68">
        <v>43788.2916666667</v>
      </c>
      <c r="V911" s="68">
        <v>0</v>
      </c>
      <c r="W911" s="0">
        <f>IF(IF(B911="none",1,IF(B911="Trialer",1,0))+IF(C911="Customer",1,IF(C911="Lost",1,0))=2,1,0)</f>
      </c>
      <c r="X911" s="0" t="s">
        <v>148</v>
      </c>
      <c r="Y911" s="0" t="s">
        <v>243</v>
      </c>
      <c r="AV911" s="68"/>
      <c r="AW911" s="68"/>
      <c r="AY911" s="27"/>
      <c r="BD911" s="68">
        <v>46054.1666666667</v>
      </c>
      <c r="BE911" s="68">
        <v>46082.1666666667</v>
      </c>
      <c r="BF911" s="0" t="b">
        <v>0</v>
      </c>
      <c r="BG911" s="0" t="b">
        <v>0</v>
      </c>
      <c r="BH911" s="0">
        <v>0</v>
      </c>
      <c r="BI911" s="0">
        <v>0</v>
      </c>
      <c r="BJ911" s="0" t="s">
        <v>135</v>
      </c>
    </row>
    <row r="912">
      <c r="A912" s="0" t="s">
        <v>1112</v>
      </c>
      <c r="B912" s="0" t="s">
        <v>134</v>
      </c>
      <c r="C912" s="0" t="s">
        <v>134</v>
      </c>
      <c r="D912" s="0" t="s">
        <v>135</v>
      </c>
      <c r="E912" s="0" t="s">
        <v>3</v>
      </c>
      <c r="F912" s="0" t="s">
        <v>12</v>
      </c>
      <c r="G912" s="0" t="s">
        <v>8</v>
      </c>
      <c r="H912" s="0">
        <v>2265</v>
      </c>
      <c r="I912" s="0">
        <v>0</v>
      </c>
      <c r="J912" s="0">
        <v>0</v>
      </c>
      <c r="K912" s="0">
        <v>1</v>
      </c>
      <c r="L912" s="0">
        <v>4</v>
      </c>
      <c r="M912" s="0">
        <v>1</v>
      </c>
      <c r="N912" s="0">
        <v>0</v>
      </c>
      <c r="O912" s="0">
        <v>0</v>
      </c>
      <c r="P912" s="0">
        <v>0</v>
      </c>
      <c r="R912" s="0" t="b">
        <v>0</v>
      </c>
      <c r="S912" s="0" t="b">
        <v>1</v>
      </c>
      <c r="T912" s="68">
        <v>43788.0619560185</v>
      </c>
      <c r="U912" s="68">
        <v>43818.2916666667</v>
      </c>
      <c r="V912" s="68">
        <v>0</v>
      </c>
      <c r="W912" s="0">
        <f>IF(IF(B912="none",1,IF(B912="Trialer",1,0))+IF(C912="Customer",1,IF(C912="Lost",1,0))=2,1,0)</f>
      </c>
      <c r="X912" s="0" t="s">
        <v>148</v>
      </c>
      <c r="Y912" s="0" t="s">
        <v>243</v>
      </c>
      <c r="AV912" s="68"/>
      <c r="AW912" s="68"/>
      <c r="AY912" s="27"/>
      <c r="BD912" s="68">
        <v>46054.1666666667</v>
      </c>
      <c r="BE912" s="68">
        <v>46082.1666666667</v>
      </c>
      <c r="BF912" s="0" t="b">
        <v>0</v>
      </c>
      <c r="BG912" s="0" t="b">
        <v>0</v>
      </c>
      <c r="BH912" s="0">
        <v>0</v>
      </c>
      <c r="BI912" s="0">
        <v>0</v>
      </c>
      <c r="BJ912" s="0" t="s">
        <v>135</v>
      </c>
    </row>
    <row r="913">
      <c r="A913" s="0" t="s">
        <v>1113</v>
      </c>
      <c r="B913" s="0" t="s">
        <v>134</v>
      </c>
      <c r="C913" s="0" t="s">
        <v>134</v>
      </c>
      <c r="D913" s="0" t="s">
        <v>135</v>
      </c>
      <c r="E913" s="0" t="s">
        <v>2</v>
      </c>
      <c r="F913" s="0" t="s">
        <v>12</v>
      </c>
      <c r="G913" s="0" t="s">
        <v>8</v>
      </c>
      <c r="H913" s="0">
        <v>2265</v>
      </c>
      <c r="I913" s="0">
        <v>28</v>
      </c>
      <c r="J913" s="0">
        <v>0</v>
      </c>
      <c r="K913" s="0">
        <v>1</v>
      </c>
      <c r="L913" s="0">
        <v>1</v>
      </c>
      <c r="M913" s="0">
        <v>1</v>
      </c>
      <c r="N913" s="0">
        <v>0</v>
      </c>
      <c r="O913" s="0">
        <v>0</v>
      </c>
      <c r="P913" s="0">
        <v>0</v>
      </c>
      <c r="R913" s="0" t="b">
        <v>0</v>
      </c>
      <c r="S913" s="0" t="b">
        <v>1</v>
      </c>
      <c r="T913" s="68">
        <v>43788.6330324074</v>
      </c>
      <c r="U913" s="68">
        <v>43818.2916666667</v>
      </c>
      <c r="V913" s="68">
        <v>0</v>
      </c>
      <c r="W913" s="0">
        <f>IF(IF(B913="none",1,IF(B913="Trialer",1,0))+IF(C913="Customer",1,IF(C913="Lost",1,0))=2,1,0)</f>
      </c>
      <c r="X913" s="0" t="s">
        <v>142</v>
      </c>
      <c r="Y913" s="0" t="s">
        <v>499</v>
      </c>
      <c r="AV913" s="68"/>
      <c r="AW913" s="68"/>
      <c r="AY913" s="27"/>
      <c r="BD913" s="68">
        <v>46054.1666666667</v>
      </c>
      <c r="BE913" s="68">
        <v>46082.1666666667</v>
      </c>
      <c r="BF913" s="0" t="b">
        <v>0</v>
      </c>
      <c r="BG913" s="0" t="b">
        <v>0</v>
      </c>
      <c r="BH913" s="0">
        <v>28</v>
      </c>
      <c r="BI913" s="0">
        <v>28</v>
      </c>
      <c r="BJ913" s="0" t="s">
        <v>135</v>
      </c>
    </row>
    <row r="914">
      <c r="A914" s="0" t="s">
        <v>1114</v>
      </c>
      <c r="B914" s="0" t="s">
        <v>134</v>
      </c>
      <c r="C914" s="0" t="s">
        <v>134</v>
      </c>
      <c r="D914" s="0" t="s">
        <v>135</v>
      </c>
      <c r="E914" s="0" t="s">
        <v>3</v>
      </c>
      <c r="F914" s="0" t="s">
        <v>12</v>
      </c>
      <c r="G914" s="0" t="s">
        <v>8</v>
      </c>
      <c r="H914" s="0">
        <v>2264</v>
      </c>
      <c r="I914" s="0">
        <v>0</v>
      </c>
      <c r="J914" s="0">
        <v>0</v>
      </c>
      <c r="K914" s="0">
        <v>1</v>
      </c>
      <c r="L914" s="0">
        <v>3</v>
      </c>
      <c r="M914" s="0">
        <v>1</v>
      </c>
      <c r="N914" s="0">
        <v>0</v>
      </c>
      <c r="O914" s="0">
        <v>0</v>
      </c>
      <c r="P914" s="0">
        <v>0</v>
      </c>
      <c r="R914" s="0" t="b">
        <v>0</v>
      </c>
      <c r="S914" s="0" t="b">
        <v>1</v>
      </c>
      <c r="T914" s="68">
        <v>43789.7161226852</v>
      </c>
      <c r="U914" s="68">
        <v>43791.2916666667</v>
      </c>
      <c r="V914" s="68">
        <v>0</v>
      </c>
      <c r="W914" s="0">
        <f>IF(IF(B914="none",1,IF(B914="Trialer",1,0))+IF(C914="Customer",1,IF(C914="Lost",1,0))=2,1,0)</f>
      </c>
      <c r="X914" s="0" t="s">
        <v>148</v>
      </c>
      <c r="Y914" s="0" t="s">
        <v>243</v>
      </c>
      <c r="AV914" s="68"/>
      <c r="AW914" s="68"/>
      <c r="AY914" s="27"/>
      <c r="BD914" s="68">
        <v>46054.1666666667</v>
      </c>
      <c r="BE914" s="68">
        <v>46082.1666666667</v>
      </c>
      <c r="BF914" s="0" t="b">
        <v>0</v>
      </c>
      <c r="BG914" s="0" t="b">
        <v>0</v>
      </c>
      <c r="BH914" s="0">
        <v>0</v>
      </c>
      <c r="BI914" s="0">
        <v>0</v>
      </c>
      <c r="BJ914" s="0" t="s">
        <v>135</v>
      </c>
    </row>
    <row r="915">
      <c r="A915" s="0" t="s">
        <v>1115</v>
      </c>
      <c r="B915" s="0" t="s">
        <v>134</v>
      </c>
      <c r="C915" s="0" t="s">
        <v>134</v>
      </c>
      <c r="D915" s="0" t="s">
        <v>135</v>
      </c>
      <c r="E915" s="0" t="s">
        <v>3</v>
      </c>
      <c r="F915" s="0" t="s">
        <v>10</v>
      </c>
      <c r="G915" s="0" t="s">
        <v>8</v>
      </c>
      <c r="H915" s="0">
        <v>2261</v>
      </c>
      <c r="I915" s="0">
        <v>418</v>
      </c>
      <c r="J915" s="0">
        <v>0</v>
      </c>
      <c r="K915" s="0">
        <v>1</v>
      </c>
      <c r="L915" s="0">
        <v>5</v>
      </c>
      <c r="M915" s="0">
        <v>7</v>
      </c>
      <c r="N915" s="0">
        <v>0</v>
      </c>
      <c r="O915" s="0">
        <v>0</v>
      </c>
      <c r="P915" s="0">
        <v>0</v>
      </c>
      <c r="Q915" s="0" t="s">
        <v>390</v>
      </c>
      <c r="R915" s="0" t="b">
        <v>0</v>
      </c>
      <c r="S915" s="0" t="b">
        <v>1</v>
      </c>
      <c r="T915" s="68">
        <v>43792.5957407407</v>
      </c>
      <c r="U915" s="68">
        <v>43822.2916666667</v>
      </c>
      <c r="V915" s="68">
        <v>0</v>
      </c>
      <c r="W915" s="0">
        <f>IF(IF(B915="none",1,IF(B915="Trialer",1,0))+IF(C915="Customer",1,IF(C915="Lost",1,0))=2,1,0)</f>
      </c>
      <c r="X915" s="0" t="s">
        <v>148</v>
      </c>
      <c r="Y915" s="0" t="s">
        <v>243</v>
      </c>
      <c r="AV915" s="68"/>
      <c r="AW915" s="68"/>
      <c r="AY915" s="27"/>
      <c r="BD915" s="68">
        <v>46054.1666666667</v>
      </c>
      <c r="BE915" s="68">
        <v>46082.1666666667</v>
      </c>
      <c r="BF915" s="0" t="b">
        <v>0</v>
      </c>
      <c r="BG915" s="0" t="b">
        <v>0</v>
      </c>
      <c r="BH915" s="0">
        <v>418</v>
      </c>
      <c r="BI915" s="0">
        <v>418</v>
      </c>
      <c r="BJ915" s="0" t="s">
        <v>135</v>
      </c>
    </row>
    <row r="916">
      <c r="A916" s="0" t="s">
        <v>1116</v>
      </c>
      <c r="B916" s="0" t="s">
        <v>134</v>
      </c>
      <c r="C916" s="0" t="s">
        <v>134</v>
      </c>
      <c r="D916" s="0" t="s">
        <v>135</v>
      </c>
      <c r="E916" s="0" t="s">
        <v>3</v>
      </c>
      <c r="F916" s="0" t="s">
        <v>10</v>
      </c>
      <c r="G916" s="0" t="s">
        <v>8</v>
      </c>
      <c r="H916" s="0">
        <v>2260</v>
      </c>
      <c r="I916" s="0">
        <v>56</v>
      </c>
      <c r="J916" s="0">
        <v>0</v>
      </c>
      <c r="K916" s="0">
        <v>1</v>
      </c>
      <c r="L916" s="0">
        <v>1</v>
      </c>
      <c r="M916" s="0">
        <v>2</v>
      </c>
      <c r="N916" s="0">
        <v>0</v>
      </c>
      <c r="O916" s="0">
        <v>0</v>
      </c>
      <c r="P916" s="0">
        <v>0</v>
      </c>
      <c r="Q916" s="0" t="s">
        <v>618</v>
      </c>
      <c r="R916" s="0" t="b">
        <v>0</v>
      </c>
      <c r="S916" s="0" t="b">
        <v>1</v>
      </c>
      <c r="T916" s="68">
        <v>43793.4974537037</v>
      </c>
      <c r="U916" s="68">
        <v>43823.2916666667</v>
      </c>
      <c r="V916" s="68">
        <v>0</v>
      </c>
      <c r="W916" s="0">
        <f>IF(IF(B916="none",1,IF(B916="Trialer",1,0))+IF(C916="Customer",1,IF(C916="Lost",1,0))=2,1,0)</f>
      </c>
      <c r="X916" s="0" t="s">
        <v>148</v>
      </c>
      <c r="Y916" s="0" t="s">
        <v>243</v>
      </c>
      <c r="AV916" s="68"/>
      <c r="AW916" s="68"/>
      <c r="AY916" s="27"/>
      <c r="BD916" s="68">
        <v>46054.1666666667</v>
      </c>
      <c r="BE916" s="68">
        <v>46082.1666666667</v>
      </c>
      <c r="BF916" s="0" t="b">
        <v>0</v>
      </c>
      <c r="BG916" s="0" t="b">
        <v>0</v>
      </c>
      <c r="BH916" s="0">
        <v>56</v>
      </c>
      <c r="BI916" s="0">
        <v>56</v>
      </c>
      <c r="BJ916" s="0" t="s">
        <v>135</v>
      </c>
    </row>
    <row r="917">
      <c r="A917" s="0" t="s">
        <v>1117</v>
      </c>
      <c r="B917" s="0" t="s">
        <v>134</v>
      </c>
      <c r="C917" s="0" t="s">
        <v>134</v>
      </c>
      <c r="D917" s="0" t="s">
        <v>135</v>
      </c>
      <c r="E917" s="0" t="s">
        <v>3</v>
      </c>
      <c r="F917" s="0" t="s">
        <v>12</v>
      </c>
      <c r="G917" s="0" t="s">
        <v>8</v>
      </c>
      <c r="H917" s="0">
        <v>2259</v>
      </c>
      <c r="I917" s="0">
        <v>0</v>
      </c>
      <c r="J917" s="0">
        <v>0</v>
      </c>
      <c r="K917" s="0">
        <v>1</v>
      </c>
      <c r="L917" s="0">
        <v>3</v>
      </c>
      <c r="M917" s="0">
        <v>2</v>
      </c>
      <c r="N917" s="0">
        <v>0</v>
      </c>
      <c r="O917" s="0">
        <v>0</v>
      </c>
      <c r="P917" s="0">
        <v>0</v>
      </c>
      <c r="R917" s="0" t="b">
        <v>0</v>
      </c>
      <c r="S917" s="0" t="b">
        <v>1</v>
      </c>
      <c r="T917" s="68">
        <v>43794.5158101852</v>
      </c>
      <c r="U917" s="68">
        <v>43833.2916666667</v>
      </c>
      <c r="V917" s="68">
        <v>0</v>
      </c>
      <c r="W917" s="0">
        <f>IF(IF(B917="none",1,IF(B917="Trialer",1,0))+IF(C917="Customer",1,IF(C917="Lost",1,0))=2,1,0)</f>
      </c>
      <c r="X917" s="0" t="s">
        <v>148</v>
      </c>
      <c r="Y917" s="0" t="s">
        <v>243</v>
      </c>
      <c r="AV917" s="68"/>
      <c r="AW917" s="68"/>
      <c r="AY917" s="27"/>
      <c r="BD917" s="68">
        <v>46054.1666666667</v>
      </c>
      <c r="BE917" s="68">
        <v>46082.1666666667</v>
      </c>
      <c r="BF917" s="0" t="b">
        <v>0</v>
      </c>
      <c r="BG917" s="0" t="b">
        <v>0</v>
      </c>
      <c r="BH917" s="0">
        <v>0</v>
      </c>
      <c r="BI917" s="0">
        <v>0</v>
      </c>
      <c r="BJ917" s="0" t="s">
        <v>135</v>
      </c>
    </row>
    <row r="918">
      <c r="A918" s="0" t="s">
        <v>1118</v>
      </c>
      <c r="B918" s="0" t="s">
        <v>134</v>
      </c>
      <c r="C918" s="0" t="s">
        <v>134</v>
      </c>
      <c r="D918" s="0" t="s">
        <v>135</v>
      </c>
      <c r="E918" s="0" t="s">
        <v>3</v>
      </c>
      <c r="F918" s="0" t="s">
        <v>12</v>
      </c>
      <c r="G918" s="0" t="s">
        <v>8</v>
      </c>
      <c r="H918" s="0">
        <v>2259</v>
      </c>
      <c r="I918" s="0">
        <v>160</v>
      </c>
      <c r="J918" s="0">
        <v>0</v>
      </c>
      <c r="K918" s="0">
        <v>1</v>
      </c>
      <c r="L918" s="0">
        <v>2</v>
      </c>
      <c r="M918" s="0">
        <v>4</v>
      </c>
      <c r="N918" s="0">
        <v>0</v>
      </c>
      <c r="O918" s="0">
        <v>0</v>
      </c>
      <c r="P918" s="0">
        <v>0</v>
      </c>
      <c r="R918" s="0" t="b">
        <v>0</v>
      </c>
      <c r="S918" s="0" t="b">
        <v>1</v>
      </c>
      <c r="T918" s="68">
        <v>43794.6137962963</v>
      </c>
      <c r="U918" s="68">
        <v>43824.2916666667</v>
      </c>
      <c r="V918" s="68">
        <v>0</v>
      </c>
      <c r="W918" s="0">
        <f>IF(IF(B918="none",1,IF(B918="Trialer",1,0))+IF(C918="Customer",1,IF(C918="Lost",1,0))=2,1,0)</f>
      </c>
      <c r="X918" s="0" t="s">
        <v>136</v>
      </c>
      <c r="Y918" s="0" t="s">
        <v>499</v>
      </c>
      <c r="AV918" s="68"/>
      <c r="AW918" s="68"/>
      <c r="AY918" s="27"/>
      <c r="BD918" s="68">
        <v>46054.1666666667</v>
      </c>
      <c r="BE918" s="68">
        <v>46082.1666666667</v>
      </c>
      <c r="BF918" s="0" t="b">
        <v>0</v>
      </c>
      <c r="BG918" s="0" t="b">
        <v>0</v>
      </c>
      <c r="BH918" s="0">
        <v>160</v>
      </c>
      <c r="BI918" s="0">
        <v>160</v>
      </c>
      <c r="BJ918" s="0" t="s">
        <v>135</v>
      </c>
    </row>
    <row r="919">
      <c r="A919" s="0" t="s">
        <v>1119</v>
      </c>
      <c r="B919" s="0" t="s">
        <v>134</v>
      </c>
      <c r="C919" s="0" t="s">
        <v>134</v>
      </c>
      <c r="D919" s="0" t="s">
        <v>230</v>
      </c>
      <c r="E919" s="0" t="s">
        <v>2</v>
      </c>
      <c r="F919" s="0" t="s">
        <v>10</v>
      </c>
      <c r="G919" s="0" t="s">
        <v>8</v>
      </c>
      <c r="H919" s="0">
        <v>2257</v>
      </c>
      <c r="I919" s="0">
        <v>501</v>
      </c>
      <c r="J919" s="0">
        <v>0</v>
      </c>
      <c r="K919" s="0">
        <v>1</v>
      </c>
      <c r="L919" s="0">
        <v>3</v>
      </c>
      <c r="M919" s="0">
        <v>12</v>
      </c>
      <c r="N919" s="0">
        <v>0</v>
      </c>
      <c r="O919" s="0">
        <v>0</v>
      </c>
      <c r="P919" s="0">
        <v>-501</v>
      </c>
      <c r="Q919" s="0" t="s">
        <v>357</v>
      </c>
      <c r="R919" s="0" t="b">
        <v>0</v>
      </c>
      <c r="S919" s="0" t="b">
        <v>1</v>
      </c>
      <c r="T919" s="68">
        <v>43796.4339699074</v>
      </c>
      <c r="U919" s="68">
        <v>43826.2916666667</v>
      </c>
      <c r="V919" s="68">
        <v>0</v>
      </c>
      <c r="W919" s="0">
        <f>IF(IF(B919="none",1,IF(B919="Trialer",1,0))+IF(C919="Customer",1,IF(C919="Lost",1,0))=2,1,0)</f>
      </c>
      <c r="X919" s="0" t="s">
        <v>148</v>
      </c>
      <c r="Y919" s="0" t="s">
        <v>499</v>
      </c>
      <c r="AV919" s="68"/>
      <c r="AW919" s="68"/>
      <c r="AY919" s="27"/>
      <c r="BD919" s="68">
        <v>46054.1666666667</v>
      </c>
      <c r="BE919" s="68">
        <v>46082.1666666667</v>
      </c>
      <c r="BF919" s="0" t="b">
        <v>0</v>
      </c>
      <c r="BG919" s="0" t="b">
        <v>0</v>
      </c>
      <c r="BH919" s="0">
        <v>579</v>
      </c>
      <c r="BI919" s="0">
        <v>579</v>
      </c>
      <c r="BJ919" s="0" t="s">
        <v>230</v>
      </c>
    </row>
    <row r="920">
      <c r="A920" s="0" t="s">
        <v>1120</v>
      </c>
      <c r="B920" s="0" t="s">
        <v>134</v>
      </c>
      <c r="C920" s="0" t="s">
        <v>134</v>
      </c>
      <c r="D920" s="0" t="s">
        <v>230</v>
      </c>
      <c r="E920" s="0" t="s">
        <v>2</v>
      </c>
      <c r="F920" s="0" t="s">
        <v>10</v>
      </c>
      <c r="G920" s="0" t="s">
        <v>8</v>
      </c>
      <c r="H920" s="0">
        <v>2257</v>
      </c>
      <c r="I920" s="0">
        <v>88</v>
      </c>
      <c r="J920" s="0">
        <v>0</v>
      </c>
      <c r="K920" s="0">
        <v>1</v>
      </c>
      <c r="L920" s="0">
        <v>3</v>
      </c>
      <c r="M920" s="0">
        <v>2</v>
      </c>
      <c r="N920" s="0">
        <v>0</v>
      </c>
      <c r="O920" s="0">
        <v>0</v>
      </c>
      <c r="P920" s="0">
        <v>-88</v>
      </c>
      <c r="Q920" s="0" t="s">
        <v>357</v>
      </c>
      <c r="R920" s="0" t="b">
        <v>0</v>
      </c>
      <c r="S920" s="0" t="b">
        <v>1</v>
      </c>
      <c r="T920" s="68">
        <v>43796.4357523148</v>
      </c>
      <c r="U920" s="68">
        <v>43826.2916666667</v>
      </c>
      <c r="V920" s="68">
        <v>0</v>
      </c>
      <c r="W920" s="0">
        <f>IF(IF(B920="none",1,IF(B920="Trialer",1,0))+IF(C920="Customer",1,IF(C920="Lost",1,0))=2,1,0)</f>
      </c>
      <c r="X920" s="0" t="s">
        <v>148</v>
      </c>
      <c r="Y920" s="0" t="s">
        <v>499</v>
      </c>
      <c r="AV920" s="68"/>
      <c r="AW920" s="68"/>
      <c r="AY920" s="27"/>
      <c r="BD920" s="68">
        <v>46054.1666666667</v>
      </c>
      <c r="BE920" s="68">
        <v>46082.1666666667</v>
      </c>
      <c r="BF920" s="0" t="b">
        <v>0</v>
      </c>
      <c r="BG920" s="0" t="b">
        <v>0</v>
      </c>
      <c r="BH920" s="0">
        <v>98</v>
      </c>
      <c r="BI920" s="0">
        <v>98</v>
      </c>
      <c r="BJ920" s="0" t="s">
        <v>230</v>
      </c>
    </row>
    <row r="921">
      <c r="A921" s="0" t="s">
        <v>1121</v>
      </c>
      <c r="B921" s="0" t="s">
        <v>134</v>
      </c>
      <c r="C921" s="0" t="s">
        <v>134</v>
      </c>
      <c r="D921" s="0" t="s">
        <v>135</v>
      </c>
      <c r="E921" s="0" t="s">
        <v>2</v>
      </c>
      <c r="F921" s="0" t="s">
        <v>12</v>
      </c>
      <c r="G921" s="0" t="s">
        <v>7</v>
      </c>
      <c r="H921" s="0">
        <v>2257</v>
      </c>
      <c r="I921" s="0">
        <v>280</v>
      </c>
      <c r="J921" s="0">
        <v>0</v>
      </c>
      <c r="K921" s="0">
        <v>1</v>
      </c>
      <c r="L921" s="0">
        <v>1</v>
      </c>
      <c r="M921" s="0">
        <v>7</v>
      </c>
      <c r="N921" s="0">
        <v>0</v>
      </c>
      <c r="O921" s="0">
        <v>0</v>
      </c>
      <c r="P921" s="0">
        <v>0</v>
      </c>
      <c r="R921" s="0" t="b">
        <v>0</v>
      </c>
      <c r="S921" s="0" t="b">
        <v>1</v>
      </c>
      <c r="T921" s="68">
        <v>43796.4826388889</v>
      </c>
      <c r="U921" s="68">
        <v>43796.5</v>
      </c>
      <c r="V921" s="68">
        <v>0</v>
      </c>
      <c r="W921" s="0">
        <f>IF(IF(B921="none",1,IF(B921="Trialer",1,0))+IF(C921="Customer",1,IF(C921="Lost",1,0))=2,1,0)</f>
      </c>
      <c r="X921" s="0" t="s">
        <v>145</v>
      </c>
      <c r="Y921" s="0" t="s">
        <v>137</v>
      </c>
      <c r="AV921" s="68"/>
      <c r="AW921" s="68"/>
      <c r="AY921" s="27"/>
      <c r="BD921" s="68">
        <v>46054.1666666667</v>
      </c>
      <c r="BE921" s="68">
        <v>46082.1666666667</v>
      </c>
      <c r="BF921" s="0" t="b">
        <v>0</v>
      </c>
      <c r="BG921" s="0" t="b">
        <v>0</v>
      </c>
      <c r="BH921" s="0">
        <v>280</v>
      </c>
      <c r="BI921" s="0">
        <v>280</v>
      </c>
      <c r="BJ921" s="0" t="s">
        <v>135</v>
      </c>
    </row>
    <row r="922">
      <c r="A922" s="0" t="s">
        <v>1122</v>
      </c>
      <c r="B922" s="0" t="s">
        <v>134</v>
      </c>
      <c r="C922" s="0" t="s">
        <v>134</v>
      </c>
      <c r="D922" s="0" t="s">
        <v>230</v>
      </c>
      <c r="E922" s="0" t="s">
        <v>2</v>
      </c>
      <c r="F922" s="0" t="s">
        <v>12</v>
      </c>
      <c r="G922" s="0" t="s">
        <v>8</v>
      </c>
      <c r="H922" s="0">
        <v>2249</v>
      </c>
      <c r="I922" s="0">
        <v>44</v>
      </c>
      <c r="J922" s="0">
        <v>0</v>
      </c>
      <c r="K922" s="0">
        <v>1</v>
      </c>
      <c r="L922" s="0">
        <v>3</v>
      </c>
      <c r="M922" s="0">
        <v>1</v>
      </c>
      <c r="N922" s="0">
        <v>0</v>
      </c>
      <c r="O922" s="0">
        <v>0</v>
      </c>
      <c r="P922" s="0">
        <v>-44</v>
      </c>
      <c r="R922" s="0" t="b">
        <v>0</v>
      </c>
      <c r="S922" s="0" t="b">
        <v>1</v>
      </c>
      <c r="T922" s="68">
        <v>43804.803275463</v>
      </c>
      <c r="U922" s="68">
        <v>43834.2916666667</v>
      </c>
      <c r="V922" s="68">
        <v>0</v>
      </c>
      <c r="W922" s="0">
        <f>IF(IF(B922="none",1,IF(B922="Trialer",1,0))+IF(C922="Customer",1,IF(C922="Lost",1,0))=2,1,0)</f>
      </c>
      <c r="X922" s="0" t="s">
        <v>153</v>
      </c>
      <c r="Y922" s="0" t="s">
        <v>499</v>
      </c>
      <c r="AV922" s="68"/>
      <c r="AW922" s="68"/>
      <c r="AY922" s="27"/>
      <c r="BD922" s="68">
        <v>46054.1666666667</v>
      </c>
      <c r="BE922" s="68">
        <v>46082.1666666667</v>
      </c>
      <c r="BF922" s="0" t="b">
        <v>0</v>
      </c>
      <c r="BG922" s="0" t="b">
        <v>0</v>
      </c>
      <c r="BH922" s="0">
        <v>49</v>
      </c>
      <c r="BI922" s="0">
        <v>49</v>
      </c>
      <c r="BJ922" s="0" t="s">
        <v>230</v>
      </c>
    </row>
    <row r="923">
      <c r="A923" s="0" t="s">
        <v>1123</v>
      </c>
      <c r="B923" s="0" t="s">
        <v>134</v>
      </c>
      <c r="C923" s="0" t="s">
        <v>134</v>
      </c>
      <c r="D923" s="0" t="s">
        <v>135</v>
      </c>
      <c r="E923" s="0" t="s">
        <v>2</v>
      </c>
      <c r="F923" s="0" t="s">
        <v>12</v>
      </c>
      <c r="G923" s="0" t="s">
        <v>8</v>
      </c>
      <c r="H923" s="0">
        <v>2248</v>
      </c>
      <c r="I923" s="0">
        <v>0</v>
      </c>
      <c r="J923" s="0">
        <v>0</v>
      </c>
      <c r="K923" s="0">
        <v>1</v>
      </c>
      <c r="L923" s="0">
        <v>3</v>
      </c>
      <c r="M923" s="0">
        <v>2</v>
      </c>
      <c r="N923" s="0">
        <v>0</v>
      </c>
      <c r="O923" s="0">
        <v>0</v>
      </c>
      <c r="P923" s="0">
        <v>0</v>
      </c>
      <c r="R923" s="0" t="b">
        <v>0</v>
      </c>
      <c r="S923" s="0" t="b">
        <v>1</v>
      </c>
      <c r="T923" s="68">
        <v>43805.3889467593</v>
      </c>
      <c r="U923" s="68">
        <v>43835.2916666667</v>
      </c>
      <c r="V923" s="68">
        <v>0</v>
      </c>
      <c r="W923" s="0">
        <f>IF(IF(B923="none",1,IF(B923="Trialer",1,0))+IF(C923="Customer",1,IF(C923="Lost",1,0))=2,1,0)</f>
      </c>
      <c r="X923" s="0" t="s">
        <v>136</v>
      </c>
      <c r="Y923" s="0" t="s">
        <v>499</v>
      </c>
      <c r="AV923" s="68"/>
      <c r="AW923" s="68"/>
      <c r="AY923" s="27"/>
      <c r="BD923" s="68">
        <v>46054.1666666667</v>
      </c>
      <c r="BE923" s="68">
        <v>46082.1666666667</v>
      </c>
      <c r="BF923" s="0" t="b">
        <v>0</v>
      </c>
      <c r="BG923" s="0" t="b">
        <v>0</v>
      </c>
      <c r="BH923" s="0">
        <v>0</v>
      </c>
      <c r="BI923" s="0">
        <v>0</v>
      </c>
      <c r="BJ923" s="0" t="s">
        <v>135</v>
      </c>
    </row>
    <row r="924">
      <c r="A924" s="0" t="s">
        <v>1023</v>
      </c>
      <c r="B924" s="0" t="s">
        <v>134</v>
      </c>
      <c r="C924" s="0" t="s">
        <v>134</v>
      </c>
      <c r="D924" s="0" t="s">
        <v>135</v>
      </c>
      <c r="E924" s="0" t="s">
        <v>2</v>
      </c>
      <c r="F924" s="0" t="s">
        <v>12</v>
      </c>
      <c r="G924" s="0" t="s">
        <v>8</v>
      </c>
      <c r="H924" s="0">
        <v>2248</v>
      </c>
      <c r="I924" s="0">
        <v>132</v>
      </c>
      <c r="J924" s="0">
        <v>0</v>
      </c>
      <c r="K924" s="0">
        <v>1</v>
      </c>
      <c r="L924" s="0">
        <v>3</v>
      </c>
      <c r="M924" s="0">
        <v>3</v>
      </c>
      <c r="N924" s="0">
        <v>0</v>
      </c>
      <c r="O924" s="0">
        <v>0</v>
      </c>
      <c r="P924" s="0">
        <v>0</v>
      </c>
      <c r="R924" s="0" t="b">
        <v>0</v>
      </c>
      <c r="S924" s="0" t="b">
        <v>1</v>
      </c>
      <c r="T924" s="68">
        <v>43805.5</v>
      </c>
      <c r="U924" s="68">
        <v>43838.5</v>
      </c>
      <c r="V924" s="68">
        <v>0</v>
      </c>
      <c r="W924" s="0">
        <f>IF(IF(B924="none",1,IF(B924="Trialer",1,0))+IF(C924="Customer",1,IF(C924="Lost",1,0))=2,1,0)</f>
      </c>
      <c r="X924" s="0" t="s">
        <v>142</v>
      </c>
      <c r="Y924" s="0" t="s">
        <v>499</v>
      </c>
      <c r="AV924" s="68"/>
      <c r="AW924" s="68"/>
      <c r="AY924" s="27"/>
      <c r="BD924" s="68">
        <v>46054.1666666667</v>
      </c>
      <c r="BE924" s="68">
        <v>46082.1666666667</v>
      </c>
      <c r="BF924" s="0" t="b">
        <v>0</v>
      </c>
      <c r="BG924" s="0" t="b">
        <v>0</v>
      </c>
      <c r="BH924" s="0">
        <v>132</v>
      </c>
      <c r="BI924" s="0">
        <v>132</v>
      </c>
      <c r="BJ924" s="0" t="s">
        <v>135</v>
      </c>
    </row>
    <row r="925">
      <c r="A925" s="0" t="s">
        <v>1124</v>
      </c>
      <c r="B925" s="0" t="s">
        <v>134</v>
      </c>
      <c r="C925" s="0" t="s">
        <v>134</v>
      </c>
      <c r="D925" s="0" t="s">
        <v>135</v>
      </c>
      <c r="E925" s="0" t="s">
        <v>2</v>
      </c>
      <c r="F925" s="0" t="s">
        <v>10</v>
      </c>
      <c r="G925" s="0" t="s">
        <v>8</v>
      </c>
      <c r="H925" s="0">
        <v>2247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 t="s">
        <v>618</v>
      </c>
      <c r="R925" s="0" t="b">
        <v>0</v>
      </c>
      <c r="S925" s="0" t="b">
        <v>1</v>
      </c>
      <c r="T925" s="68">
        <v>43806.4871412037</v>
      </c>
      <c r="U925" s="68">
        <v>43836.2916666667</v>
      </c>
      <c r="V925" s="68">
        <v>0</v>
      </c>
      <c r="W925" s="0">
        <f>IF(IF(B925="none",1,IF(B925="Trialer",1,0))+IF(C925="Customer",1,IF(C925="Lost",1,0))=2,1,0)</f>
      </c>
      <c r="X925" s="0" t="s">
        <v>148</v>
      </c>
      <c r="Y925" s="0" t="s">
        <v>499</v>
      </c>
      <c r="AV925" s="68"/>
      <c r="AW925" s="68"/>
      <c r="AY925" s="27"/>
      <c r="BD925" s="68">
        <v>46054.1666666667</v>
      </c>
      <c r="BE925" s="68">
        <v>46082.1666666667</v>
      </c>
      <c r="BF925" s="0" t="b">
        <v>0</v>
      </c>
      <c r="BG925" s="0" t="b">
        <v>0</v>
      </c>
      <c r="BH925" s="0">
        <v>0</v>
      </c>
      <c r="BI925" s="0">
        <v>0</v>
      </c>
      <c r="BJ925" s="0" t="s">
        <v>135</v>
      </c>
    </row>
    <row r="926">
      <c r="A926" s="0" t="s">
        <v>1125</v>
      </c>
      <c r="B926" s="0" t="s">
        <v>134</v>
      </c>
      <c r="C926" s="0" t="s">
        <v>134</v>
      </c>
      <c r="D926" s="0" t="s">
        <v>135</v>
      </c>
      <c r="E926" s="0" t="s">
        <v>3</v>
      </c>
      <c r="F926" s="0" t="s">
        <v>12</v>
      </c>
      <c r="G926" s="0" t="s">
        <v>8</v>
      </c>
      <c r="H926" s="0">
        <v>2243</v>
      </c>
      <c r="I926" s="0">
        <v>0</v>
      </c>
      <c r="J926" s="0">
        <v>0</v>
      </c>
      <c r="K926" s="0">
        <v>1</v>
      </c>
      <c r="L926" s="0">
        <v>3</v>
      </c>
      <c r="M926" s="0">
        <v>1</v>
      </c>
      <c r="N926" s="0">
        <v>0</v>
      </c>
      <c r="O926" s="0">
        <v>0</v>
      </c>
      <c r="P926" s="0">
        <v>0</v>
      </c>
      <c r="R926" s="0" t="b">
        <v>0</v>
      </c>
      <c r="S926" s="0" t="b">
        <v>1</v>
      </c>
      <c r="T926" s="68">
        <v>43810.6409722222</v>
      </c>
      <c r="U926" s="68">
        <v>43840.5</v>
      </c>
      <c r="V926" s="68">
        <v>0</v>
      </c>
      <c r="W926" s="0">
        <f>IF(IF(B926="none",1,IF(B926="Trialer",1,0))+IF(C926="Customer",1,IF(C926="Lost",1,0))=2,1,0)</f>
      </c>
      <c r="X926" s="0" t="s">
        <v>136</v>
      </c>
      <c r="Y926" s="0" t="s">
        <v>243</v>
      </c>
      <c r="AV926" s="68"/>
      <c r="AW926" s="68"/>
      <c r="AY926" s="27"/>
      <c r="BD926" s="68">
        <v>46054.1666666667</v>
      </c>
      <c r="BE926" s="68">
        <v>46082.1666666667</v>
      </c>
      <c r="BF926" s="0" t="b">
        <v>0</v>
      </c>
      <c r="BG926" s="0" t="b">
        <v>0</v>
      </c>
      <c r="BH926" s="0">
        <v>0</v>
      </c>
      <c r="BI926" s="0">
        <v>0</v>
      </c>
      <c r="BJ926" s="0" t="s">
        <v>135</v>
      </c>
    </row>
    <row r="927">
      <c r="A927" s="0" t="s">
        <v>1126</v>
      </c>
      <c r="B927" s="0" t="s">
        <v>134</v>
      </c>
      <c r="C927" s="0" t="s">
        <v>134</v>
      </c>
      <c r="D927" s="0" t="s">
        <v>230</v>
      </c>
      <c r="E927" s="0" t="s">
        <v>2</v>
      </c>
      <c r="F927" s="0" t="s">
        <v>12</v>
      </c>
      <c r="G927" s="0" t="s">
        <v>8</v>
      </c>
      <c r="H927" s="0">
        <v>2243</v>
      </c>
      <c r="I927" s="0">
        <v>54</v>
      </c>
      <c r="J927" s="0">
        <v>0</v>
      </c>
      <c r="K927" s="0">
        <v>1</v>
      </c>
      <c r="L927" s="0">
        <v>4</v>
      </c>
      <c r="M927" s="0">
        <v>1</v>
      </c>
      <c r="N927" s="0">
        <v>0</v>
      </c>
      <c r="O927" s="0">
        <v>0</v>
      </c>
      <c r="P927" s="0">
        <v>594</v>
      </c>
      <c r="R927" s="0" t="b">
        <v>0</v>
      </c>
      <c r="S927" s="0" t="b">
        <v>1</v>
      </c>
      <c r="T927" s="68">
        <v>43810.643599537</v>
      </c>
      <c r="U927" s="68">
        <v>43840.2916666667</v>
      </c>
      <c r="V927" s="68">
        <v>0</v>
      </c>
      <c r="W927" s="0">
        <f>IF(IF(B927="none",1,IF(B927="Trialer",1,0))+IF(C927="Customer",1,IF(C927="Lost",1,0))=2,1,0)</f>
      </c>
      <c r="X927" s="0" t="s">
        <v>142</v>
      </c>
      <c r="Y927" s="0" t="s">
        <v>499</v>
      </c>
      <c r="AV927" s="68"/>
      <c r="AW927" s="68"/>
      <c r="AY927" s="27"/>
      <c r="BD927" s="68">
        <v>46054.1666666667</v>
      </c>
      <c r="BE927" s="68">
        <v>46082.1666666667</v>
      </c>
      <c r="BF927" s="0" t="b">
        <v>0</v>
      </c>
      <c r="BG927" s="0" t="b">
        <v>0</v>
      </c>
      <c r="BH927" s="0">
        <v>61</v>
      </c>
      <c r="BI927" s="0">
        <v>61</v>
      </c>
      <c r="BJ927" s="0" t="s">
        <v>230</v>
      </c>
    </row>
    <row r="928">
      <c r="A928" s="0" t="s">
        <v>1127</v>
      </c>
      <c r="B928" s="0" t="s">
        <v>134</v>
      </c>
      <c r="C928" s="0" t="s">
        <v>134</v>
      </c>
      <c r="D928" s="0" t="s">
        <v>135</v>
      </c>
      <c r="E928" s="0" t="s">
        <v>3</v>
      </c>
      <c r="F928" s="0" t="s">
        <v>12</v>
      </c>
      <c r="G928" s="0" t="s">
        <v>8</v>
      </c>
      <c r="H928" s="0">
        <v>2243</v>
      </c>
      <c r="I928" s="0">
        <v>0</v>
      </c>
      <c r="J928" s="0">
        <v>0</v>
      </c>
      <c r="K928" s="0">
        <v>1</v>
      </c>
      <c r="L928" s="0">
        <v>5</v>
      </c>
      <c r="M928" s="0">
        <v>2</v>
      </c>
      <c r="N928" s="0">
        <v>0</v>
      </c>
      <c r="O928" s="0">
        <v>0</v>
      </c>
      <c r="P928" s="0">
        <v>0</v>
      </c>
      <c r="R928" s="0" t="b">
        <v>0</v>
      </c>
      <c r="S928" s="0" t="b">
        <v>1</v>
      </c>
      <c r="T928" s="68">
        <v>43810.8761111111</v>
      </c>
      <c r="U928" s="68">
        <v>43840.2916666667</v>
      </c>
      <c r="V928" s="68">
        <v>0</v>
      </c>
      <c r="W928" s="0">
        <f>IF(IF(B928="none",1,IF(B928="Trialer",1,0))+IF(C928="Customer",1,IF(C928="Lost",1,0))=2,1,0)</f>
      </c>
      <c r="X928" s="0" t="s">
        <v>136</v>
      </c>
      <c r="Y928" s="0" t="s">
        <v>243</v>
      </c>
      <c r="AV928" s="68"/>
      <c r="AW928" s="68"/>
      <c r="AY928" s="27"/>
      <c r="BD928" s="68">
        <v>46054.1666666667</v>
      </c>
      <c r="BE928" s="68">
        <v>46082.1666666667</v>
      </c>
      <c r="BF928" s="0" t="b">
        <v>0</v>
      </c>
      <c r="BG928" s="0" t="b">
        <v>0</v>
      </c>
      <c r="BH928" s="0">
        <v>0</v>
      </c>
      <c r="BI928" s="0">
        <v>0</v>
      </c>
      <c r="BJ928" s="0" t="s">
        <v>230</v>
      </c>
    </row>
    <row r="929">
      <c r="A929" s="0" t="s">
        <v>1128</v>
      </c>
      <c r="B929" s="0" t="s">
        <v>134</v>
      </c>
      <c r="C929" s="0" t="s">
        <v>134</v>
      </c>
      <c r="D929" s="0" t="s">
        <v>135</v>
      </c>
      <c r="E929" s="0" t="s">
        <v>3</v>
      </c>
      <c r="F929" s="0" t="s">
        <v>12</v>
      </c>
      <c r="G929" s="0" t="s">
        <v>8</v>
      </c>
      <c r="H929" s="0">
        <v>2242</v>
      </c>
      <c r="I929" s="0">
        <v>0</v>
      </c>
      <c r="J929" s="0">
        <v>0</v>
      </c>
      <c r="K929" s="0">
        <v>1</v>
      </c>
      <c r="L929" s="0">
        <v>3</v>
      </c>
      <c r="M929" s="0">
        <v>1</v>
      </c>
      <c r="N929" s="0">
        <v>0</v>
      </c>
      <c r="O929" s="0">
        <v>0</v>
      </c>
      <c r="P929" s="0">
        <v>0</v>
      </c>
      <c r="R929" s="0" t="b">
        <v>0</v>
      </c>
      <c r="S929" s="0" t="b">
        <v>1</v>
      </c>
      <c r="T929" s="68">
        <v>43811.45</v>
      </c>
      <c r="U929" s="68">
        <v>43825.5</v>
      </c>
      <c r="V929" s="68">
        <v>0</v>
      </c>
      <c r="W929" s="0">
        <f>IF(IF(B929="none",1,IF(B929="Trialer",1,0))+IF(C929="Customer",1,IF(C929="Lost",1,0))=2,1,0)</f>
      </c>
      <c r="X929" s="0" t="s">
        <v>148</v>
      </c>
      <c r="Y929" s="0" t="s">
        <v>243</v>
      </c>
      <c r="AV929" s="68"/>
      <c r="AW929" s="68"/>
      <c r="AY929" s="27"/>
      <c r="BD929" s="68">
        <v>46054.1666666667</v>
      </c>
      <c r="BE929" s="68">
        <v>46082.1666666667</v>
      </c>
      <c r="BF929" s="0" t="b">
        <v>0</v>
      </c>
      <c r="BG929" s="0" t="b">
        <v>0</v>
      </c>
      <c r="BH929" s="0">
        <v>0</v>
      </c>
      <c r="BI929" s="0">
        <v>0</v>
      </c>
      <c r="BJ929" s="0" t="s">
        <v>135</v>
      </c>
    </row>
    <row r="930">
      <c r="A930" s="0" t="s">
        <v>1129</v>
      </c>
      <c r="B930" s="0" t="s">
        <v>134</v>
      </c>
      <c r="C930" s="0" t="s">
        <v>134</v>
      </c>
      <c r="D930" s="0" t="s">
        <v>135</v>
      </c>
      <c r="E930" s="0" t="s">
        <v>3</v>
      </c>
      <c r="F930" s="0" t="s">
        <v>10</v>
      </c>
      <c r="G930" s="0" t="s">
        <v>8</v>
      </c>
      <c r="H930" s="0">
        <v>2238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 t="s">
        <v>618</v>
      </c>
      <c r="R930" s="0" t="b">
        <v>0</v>
      </c>
      <c r="S930" s="0" t="b">
        <v>1</v>
      </c>
      <c r="T930" s="68">
        <v>43815.7215277778</v>
      </c>
      <c r="U930" s="68">
        <v>43845.2916666667</v>
      </c>
      <c r="V930" s="68">
        <v>0</v>
      </c>
      <c r="W930" s="0">
        <f>IF(IF(B930="none",1,IF(B930="Trialer",1,0))+IF(C930="Customer",1,IF(C930="Lost",1,0))=2,1,0)</f>
      </c>
      <c r="X930" s="0" t="s">
        <v>148</v>
      </c>
      <c r="Y930" s="0" t="s">
        <v>243</v>
      </c>
      <c r="AV930" s="68"/>
      <c r="AW930" s="68"/>
      <c r="AY930" s="27"/>
      <c r="BD930" s="68">
        <v>46054.1666666667</v>
      </c>
      <c r="BE930" s="68">
        <v>46082.1666666667</v>
      </c>
      <c r="BF930" s="0" t="b">
        <v>0</v>
      </c>
      <c r="BG930" s="0" t="b">
        <v>0</v>
      </c>
      <c r="BH930" s="0">
        <v>0</v>
      </c>
      <c r="BI930" s="0">
        <v>0</v>
      </c>
      <c r="BJ930" s="0" t="s">
        <v>135</v>
      </c>
    </row>
    <row r="931">
      <c r="A931" s="0" t="s">
        <v>1130</v>
      </c>
      <c r="B931" s="0" t="s">
        <v>134</v>
      </c>
      <c r="C931" s="0" t="s">
        <v>134</v>
      </c>
      <c r="D931" s="0" t="s">
        <v>230</v>
      </c>
      <c r="E931" s="0" t="s">
        <v>2</v>
      </c>
      <c r="F931" s="0" t="s">
        <v>12</v>
      </c>
      <c r="G931" s="0" t="s">
        <v>8</v>
      </c>
      <c r="H931" s="0">
        <v>2237</v>
      </c>
      <c r="I931" s="0">
        <v>364</v>
      </c>
      <c r="J931" s="0">
        <v>0</v>
      </c>
      <c r="K931" s="0">
        <v>1</v>
      </c>
      <c r="L931" s="0">
        <v>4</v>
      </c>
      <c r="M931" s="0">
        <v>8</v>
      </c>
      <c r="N931" s="0">
        <v>0</v>
      </c>
      <c r="O931" s="0">
        <v>0</v>
      </c>
      <c r="P931" s="0">
        <v>-364</v>
      </c>
      <c r="R931" s="0" t="b">
        <v>0</v>
      </c>
      <c r="S931" s="0" t="b">
        <v>1</v>
      </c>
      <c r="T931" s="68">
        <v>43816.528125</v>
      </c>
      <c r="U931" s="68">
        <v>43846.2916666667</v>
      </c>
      <c r="V931" s="68">
        <v>0</v>
      </c>
      <c r="W931" s="0">
        <f>IF(IF(B931="none",1,IF(B931="Trialer",1,0))+IF(C931="Customer",1,IF(C931="Lost",1,0))=2,1,0)</f>
      </c>
      <c r="X931" s="0" t="s">
        <v>148</v>
      </c>
      <c r="Y931" s="0" t="s">
        <v>499</v>
      </c>
      <c r="AV931" s="68"/>
      <c r="AW931" s="68"/>
      <c r="AY931" s="27"/>
      <c r="BD931" s="68">
        <v>46054.1666666667</v>
      </c>
      <c r="BE931" s="68">
        <v>46082.1666666667</v>
      </c>
      <c r="BF931" s="0" t="b">
        <v>0</v>
      </c>
      <c r="BG931" s="0" t="b">
        <v>0</v>
      </c>
      <c r="BH931" s="0">
        <v>349</v>
      </c>
      <c r="BI931" s="0">
        <v>349</v>
      </c>
      <c r="BJ931" s="0" t="s">
        <v>230</v>
      </c>
    </row>
    <row r="932">
      <c r="A932" s="0" t="s">
        <v>1131</v>
      </c>
      <c r="B932" s="0" t="s">
        <v>134</v>
      </c>
      <c r="C932" s="0" t="s">
        <v>134</v>
      </c>
      <c r="D932" s="0" t="s">
        <v>135</v>
      </c>
      <c r="E932" s="0" t="s">
        <v>3</v>
      </c>
      <c r="F932" s="0" t="s">
        <v>12</v>
      </c>
      <c r="G932" s="0" t="s">
        <v>8</v>
      </c>
      <c r="H932" s="0">
        <v>2237</v>
      </c>
      <c r="I932" s="0">
        <v>0</v>
      </c>
      <c r="J932" s="0">
        <v>0</v>
      </c>
      <c r="K932" s="0">
        <v>1</v>
      </c>
      <c r="L932" s="0">
        <v>3</v>
      </c>
      <c r="M932" s="0">
        <v>2</v>
      </c>
      <c r="N932" s="0">
        <v>0</v>
      </c>
      <c r="O932" s="0">
        <v>0</v>
      </c>
      <c r="P932" s="0">
        <v>0</v>
      </c>
      <c r="R932" s="0" t="b">
        <v>0</v>
      </c>
      <c r="S932" s="0" t="b">
        <v>1</v>
      </c>
      <c r="T932" s="68">
        <v>43816.6741550926</v>
      </c>
      <c r="U932" s="68">
        <v>43817.2916666667</v>
      </c>
      <c r="V932" s="68">
        <v>0</v>
      </c>
      <c r="W932" s="0">
        <f>IF(IF(B932="none",1,IF(B932="Trialer",1,0))+IF(C932="Customer",1,IF(C932="Lost",1,0))=2,1,0)</f>
      </c>
      <c r="X932" s="0" t="s">
        <v>148</v>
      </c>
      <c r="Y932" s="0" t="s">
        <v>243</v>
      </c>
      <c r="AV932" s="68"/>
      <c r="AW932" s="68"/>
      <c r="AY932" s="27"/>
      <c r="BD932" s="68">
        <v>46054.1666666667</v>
      </c>
      <c r="BE932" s="68">
        <v>46082.1666666667</v>
      </c>
      <c r="BF932" s="0" t="b">
        <v>0</v>
      </c>
      <c r="BG932" s="0" t="b">
        <v>0</v>
      </c>
      <c r="BH932" s="0">
        <v>0</v>
      </c>
      <c r="BI932" s="0">
        <v>0</v>
      </c>
      <c r="BJ932" s="0" t="s">
        <v>135</v>
      </c>
    </row>
    <row r="933">
      <c r="A933" s="0" t="s">
        <v>1132</v>
      </c>
      <c r="B933" s="0" t="s">
        <v>134</v>
      </c>
      <c r="C933" s="0" t="s">
        <v>134</v>
      </c>
      <c r="D933" s="0" t="s">
        <v>230</v>
      </c>
      <c r="E933" s="0" t="s">
        <v>2</v>
      </c>
      <c r="F933" s="0" t="s">
        <v>12</v>
      </c>
      <c r="G933" s="0" t="s">
        <v>8</v>
      </c>
      <c r="H933" s="0">
        <v>2235</v>
      </c>
      <c r="I933" s="0">
        <v>419</v>
      </c>
      <c r="J933" s="0">
        <v>0</v>
      </c>
      <c r="K933" s="0">
        <v>1</v>
      </c>
      <c r="L933" s="0">
        <v>4</v>
      </c>
      <c r="M933" s="0">
        <v>9</v>
      </c>
      <c r="N933" s="0">
        <v>1957.5</v>
      </c>
      <c r="O933" s="0">
        <v>0</v>
      </c>
      <c r="P933" s="0">
        <v>-419</v>
      </c>
      <c r="R933" s="0" t="b">
        <v>0</v>
      </c>
      <c r="S933" s="0" t="b">
        <v>1</v>
      </c>
      <c r="T933" s="68">
        <v>43818.6168287037</v>
      </c>
      <c r="U933" s="68">
        <v>43851.2916666667</v>
      </c>
      <c r="V933" s="68">
        <v>0</v>
      </c>
      <c r="W933" s="0">
        <f>IF(IF(B933="none",1,IF(B933="Trialer",1,0))+IF(C933="Customer",1,IF(C933="Lost",1,0))=2,1,0)</f>
      </c>
      <c r="X933" s="0" t="s">
        <v>145</v>
      </c>
      <c r="Y933" s="0" t="s">
        <v>499</v>
      </c>
      <c r="AV933" s="68"/>
      <c r="AW933" s="68"/>
      <c r="AY933" s="27"/>
      <c r="BD933" s="68">
        <v>46054.1666666667</v>
      </c>
      <c r="BE933" s="68">
        <v>46082.1666666667</v>
      </c>
      <c r="BF933" s="0" t="b">
        <v>0</v>
      </c>
      <c r="BG933" s="0" t="b">
        <v>0</v>
      </c>
      <c r="BH933" s="0">
        <v>471</v>
      </c>
      <c r="BI933" s="0">
        <v>471</v>
      </c>
      <c r="BJ933" s="0" t="s">
        <v>230</v>
      </c>
    </row>
    <row r="934">
      <c r="A934" s="0" t="s">
        <v>1133</v>
      </c>
      <c r="B934" s="0" t="s">
        <v>134</v>
      </c>
      <c r="C934" s="0" t="s">
        <v>134</v>
      </c>
      <c r="D934" s="0" t="s">
        <v>135</v>
      </c>
      <c r="E934" s="0" t="s">
        <v>2</v>
      </c>
      <c r="F934" s="0" t="s">
        <v>12</v>
      </c>
      <c r="G934" s="0" t="s">
        <v>8</v>
      </c>
      <c r="H934" s="0">
        <v>2231</v>
      </c>
      <c r="I934" s="0">
        <v>346</v>
      </c>
      <c r="J934" s="0">
        <v>0</v>
      </c>
      <c r="K934" s="0">
        <v>1</v>
      </c>
      <c r="L934" s="0">
        <v>4</v>
      </c>
      <c r="M934" s="0">
        <v>7</v>
      </c>
      <c r="N934" s="0">
        <v>0</v>
      </c>
      <c r="O934" s="0">
        <v>0</v>
      </c>
      <c r="P934" s="0">
        <v>0</v>
      </c>
      <c r="R934" s="0" t="b">
        <v>0</v>
      </c>
      <c r="S934" s="0" t="b">
        <v>1</v>
      </c>
      <c r="T934" s="68">
        <v>43822.7158912037</v>
      </c>
      <c r="U934" s="68">
        <v>43859.2916666667</v>
      </c>
      <c r="V934" s="68">
        <v>0</v>
      </c>
      <c r="W934" s="0">
        <f>IF(IF(B934="none",1,IF(B934="Trialer",1,0))+IF(C934="Customer",1,IF(C934="Lost",1,0))=2,1,0)</f>
      </c>
      <c r="X934" s="0" t="s">
        <v>148</v>
      </c>
      <c r="Y934" s="0" t="s">
        <v>499</v>
      </c>
      <c r="AV934" s="68"/>
      <c r="AW934" s="68"/>
      <c r="AY934" s="27"/>
      <c r="BD934" s="68">
        <v>46054.1666666667</v>
      </c>
      <c r="BE934" s="68">
        <v>46082.1666666667</v>
      </c>
      <c r="BF934" s="0" t="b">
        <v>0</v>
      </c>
      <c r="BG934" s="0" t="b">
        <v>0</v>
      </c>
      <c r="BH934" s="0">
        <v>346</v>
      </c>
      <c r="BI934" s="0">
        <v>346</v>
      </c>
      <c r="BJ934" s="0" t="s">
        <v>135</v>
      </c>
    </row>
    <row r="935">
      <c r="A935" s="0" t="s">
        <v>1134</v>
      </c>
      <c r="B935" s="0" t="s">
        <v>134</v>
      </c>
      <c r="C935" s="0" t="s">
        <v>134</v>
      </c>
      <c r="D935" s="0" t="s">
        <v>135</v>
      </c>
      <c r="E935" s="0" t="s">
        <v>3</v>
      </c>
      <c r="F935" s="0" t="s">
        <v>10</v>
      </c>
      <c r="G935" s="0" t="s">
        <v>8</v>
      </c>
      <c r="H935" s="0">
        <v>2230</v>
      </c>
      <c r="I935" s="0">
        <v>0</v>
      </c>
      <c r="J935" s="0">
        <v>0</v>
      </c>
      <c r="K935" s="0">
        <v>1</v>
      </c>
      <c r="L935" s="0">
        <v>3</v>
      </c>
      <c r="M935" s="0">
        <v>5</v>
      </c>
      <c r="N935" s="0">
        <v>0</v>
      </c>
      <c r="O935" s="0">
        <v>0</v>
      </c>
      <c r="P935" s="0">
        <v>0</v>
      </c>
      <c r="Q935" s="0" t="s">
        <v>1135</v>
      </c>
      <c r="R935" s="0" t="b">
        <v>0</v>
      </c>
      <c r="S935" s="0" t="b">
        <v>1</v>
      </c>
      <c r="T935" s="68">
        <v>43823.6118055556</v>
      </c>
      <c r="U935" s="68">
        <v>43853.2916666667</v>
      </c>
      <c r="V935" s="68">
        <v>0</v>
      </c>
      <c r="W935" s="0">
        <f>IF(IF(B935="none",1,IF(B935="Trialer",1,0))+IF(C935="Customer",1,IF(C935="Lost",1,0))=2,1,0)</f>
      </c>
      <c r="X935" s="0" t="s">
        <v>136</v>
      </c>
      <c r="Y935" s="0" t="s">
        <v>243</v>
      </c>
      <c r="AV935" s="68"/>
      <c r="AW935" s="68"/>
      <c r="AY935" s="27"/>
      <c r="BD935" s="68">
        <v>46054.1666666667</v>
      </c>
      <c r="BE935" s="68">
        <v>46082.1666666667</v>
      </c>
      <c r="BF935" s="0" t="b">
        <v>0</v>
      </c>
      <c r="BG935" s="0" t="b">
        <v>0</v>
      </c>
      <c r="BH935" s="0">
        <v>0</v>
      </c>
      <c r="BI935" s="0">
        <v>0</v>
      </c>
      <c r="BJ935" s="0" t="s">
        <v>135</v>
      </c>
    </row>
    <row r="936">
      <c r="A936" s="0" t="s">
        <v>1136</v>
      </c>
      <c r="B936" s="0" t="s">
        <v>134</v>
      </c>
      <c r="C936" s="0" t="s">
        <v>134</v>
      </c>
      <c r="D936" s="0" t="s">
        <v>135</v>
      </c>
      <c r="E936" s="0" t="s">
        <v>3</v>
      </c>
      <c r="F936" s="0" t="s">
        <v>12</v>
      </c>
      <c r="G936" s="0" t="s">
        <v>8</v>
      </c>
      <c r="H936" s="0">
        <v>2227</v>
      </c>
      <c r="I936" s="0">
        <v>0</v>
      </c>
      <c r="J936" s="0">
        <v>0</v>
      </c>
      <c r="K936" s="0">
        <v>1</v>
      </c>
      <c r="L936" s="0">
        <v>4</v>
      </c>
      <c r="M936" s="0">
        <v>1</v>
      </c>
      <c r="N936" s="0">
        <v>0</v>
      </c>
      <c r="O936" s="0">
        <v>0</v>
      </c>
      <c r="P936" s="0">
        <v>0</v>
      </c>
      <c r="R936" s="0" t="b">
        <v>0</v>
      </c>
      <c r="S936" s="0" t="b">
        <v>1</v>
      </c>
      <c r="T936" s="68">
        <v>43826.4548611111</v>
      </c>
      <c r="U936" s="68">
        <v>43868.5</v>
      </c>
      <c r="V936" s="68">
        <v>0</v>
      </c>
      <c r="W936" s="0">
        <f>IF(IF(B936="none",1,IF(B936="Trialer",1,0))+IF(C936="Customer",1,IF(C936="Lost",1,0))=2,1,0)</f>
      </c>
      <c r="X936" s="0" t="s">
        <v>153</v>
      </c>
      <c r="Y936" s="0" t="s">
        <v>243</v>
      </c>
      <c r="AV936" s="68"/>
      <c r="AW936" s="68"/>
      <c r="AY936" s="27"/>
      <c r="BD936" s="68">
        <v>46054.1666666667</v>
      </c>
      <c r="BE936" s="68">
        <v>46082.1666666667</v>
      </c>
      <c r="BF936" s="0" t="b">
        <v>0</v>
      </c>
      <c r="BG936" s="0" t="b">
        <v>0</v>
      </c>
      <c r="BH936" s="0">
        <v>0</v>
      </c>
      <c r="BI936" s="0">
        <v>0</v>
      </c>
      <c r="BJ936" s="0" t="s">
        <v>135</v>
      </c>
    </row>
    <row r="937">
      <c r="A937" s="0" t="s">
        <v>1137</v>
      </c>
      <c r="B937" s="0" t="s">
        <v>134</v>
      </c>
      <c r="C937" s="0" t="s">
        <v>134</v>
      </c>
      <c r="D937" s="0" t="s">
        <v>135</v>
      </c>
      <c r="E937" s="0" t="s">
        <v>3</v>
      </c>
      <c r="F937" s="0" t="s">
        <v>12</v>
      </c>
      <c r="G937" s="0" t="s">
        <v>8</v>
      </c>
      <c r="H937" s="0">
        <v>2226</v>
      </c>
      <c r="I937" s="0">
        <v>0</v>
      </c>
      <c r="J937" s="0">
        <v>0</v>
      </c>
      <c r="K937" s="0">
        <v>1</v>
      </c>
      <c r="L937" s="0">
        <v>1</v>
      </c>
      <c r="M937" s="0">
        <v>1</v>
      </c>
      <c r="N937" s="0">
        <v>0</v>
      </c>
      <c r="O937" s="0">
        <v>0</v>
      </c>
      <c r="P937" s="0">
        <v>0</v>
      </c>
      <c r="R937" s="0" t="b">
        <v>0</v>
      </c>
      <c r="S937" s="0" t="b">
        <v>1</v>
      </c>
      <c r="T937" s="68">
        <v>43827.7243055556</v>
      </c>
      <c r="U937" s="68">
        <v>43872.5</v>
      </c>
      <c r="V937" s="68">
        <v>0</v>
      </c>
      <c r="W937" s="0">
        <f>IF(IF(B937="none",1,IF(B937="Trialer",1,0))+IF(C937="Customer",1,IF(C937="Lost",1,0))=2,1,0)</f>
      </c>
      <c r="X937" s="0" t="s">
        <v>148</v>
      </c>
      <c r="Y937" s="0" t="s">
        <v>243</v>
      </c>
      <c r="AV937" s="68"/>
      <c r="AW937" s="68"/>
      <c r="AY937" s="27"/>
      <c r="BD937" s="68">
        <v>46054.1666666667</v>
      </c>
      <c r="BE937" s="68">
        <v>46082.1666666667</v>
      </c>
      <c r="BF937" s="0" t="b">
        <v>0</v>
      </c>
      <c r="BG937" s="0" t="b">
        <v>0</v>
      </c>
      <c r="BH937" s="0">
        <v>0</v>
      </c>
      <c r="BI937" s="0">
        <v>0</v>
      </c>
      <c r="BJ937" s="0" t="s">
        <v>135</v>
      </c>
    </row>
    <row r="938">
      <c r="A938" s="0" t="s">
        <v>1138</v>
      </c>
      <c r="B938" s="0" t="s">
        <v>134</v>
      </c>
      <c r="C938" s="0" t="s">
        <v>134</v>
      </c>
      <c r="D938" s="0" t="s">
        <v>230</v>
      </c>
      <c r="E938" s="0" t="s">
        <v>3</v>
      </c>
      <c r="F938" s="0" t="s">
        <v>12</v>
      </c>
      <c r="G938" s="0" t="s">
        <v>8</v>
      </c>
      <c r="H938" s="0">
        <v>2225</v>
      </c>
      <c r="I938" s="0">
        <v>35</v>
      </c>
      <c r="J938" s="0">
        <v>0</v>
      </c>
      <c r="K938" s="0">
        <v>1</v>
      </c>
      <c r="L938" s="0">
        <v>2</v>
      </c>
      <c r="M938" s="0">
        <v>1</v>
      </c>
      <c r="N938" s="0">
        <v>0</v>
      </c>
      <c r="O938" s="0">
        <v>0</v>
      </c>
      <c r="P938" s="0">
        <v>-35</v>
      </c>
      <c r="R938" s="0" t="b">
        <v>0</v>
      </c>
      <c r="S938" s="0" t="b">
        <v>1</v>
      </c>
      <c r="T938" s="68">
        <v>43828.5602430556</v>
      </c>
      <c r="U938" s="68">
        <v>43864.2916666667</v>
      </c>
      <c r="V938" s="68">
        <v>0</v>
      </c>
      <c r="W938" s="0">
        <f>IF(IF(B938="none",1,IF(B938="Trialer",1,0))+IF(C938="Customer",1,IF(C938="Lost",1,0))=2,1,0)</f>
      </c>
      <c r="X938" s="0" t="s">
        <v>166</v>
      </c>
      <c r="Y938" s="0" t="s">
        <v>243</v>
      </c>
      <c r="AV938" s="68"/>
      <c r="AW938" s="68"/>
      <c r="AY938" s="27"/>
      <c r="BD938" s="68">
        <v>46054.1666666667</v>
      </c>
      <c r="BE938" s="68">
        <v>46082.1666666667</v>
      </c>
      <c r="BF938" s="0" t="b">
        <v>0</v>
      </c>
      <c r="BG938" s="0" t="b">
        <v>0</v>
      </c>
      <c r="BH938" s="0">
        <v>40</v>
      </c>
      <c r="BI938" s="0">
        <v>40</v>
      </c>
      <c r="BJ938" s="0" t="s">
        <v>230</v>
      </c>
    </row>
    <row r="939">
      <c r="A939" s="0" t="s">
        <v>1139</v>
      </c>
      <c r="B939" s="0" t="s">
        <v>134</v>
      </c>
      <c r="C939" s="0" t="s">
        <v>134</v>
      </c>
      <c r="D939" s="0" t="s">
        <v>230</v>
      </c>
      <c r="E939" s="0" t="s">
        <v>2</v>
      </c>
      <c r="F939" s="0" t="s">
        <v>12</v>
      </c>
      <c r="G939" s="0" t="s">
        <v>8</v>
      </c>
      <c r="H939" s="0">
        <v>2223</v>
      </c>
      <c r="I939" s="0">
        <v>377</v>
      </c>
      <c r="J939" s="0">
        <v>-25</v>
      </c>
      <c r="K939" s="0">
        <v>1</v>
      </c>
      <c r="L939" s="0">
        <v>3</v>
      </c>
      <c r="M939" s="0">
        <v>9</v>
      </c>
      <c r="N939" s="0">
        <v>0</v>
      </c>
      <c r="O939" s="0">
        <v>0</v>
      </c>
      <c r="P939" s="0">
        <v>-377</v>
      </c>
      <c r="R939" s="0" t="b">
        <v>0</v>
      </c>
      <c r="S939" s="0" t="b">
        <v>1</v>
      </c>
      <c r="T939" s="68">
        <v>43830.3944444444</v>
      </c>
      <c r="U939" s="68">
        <v>43858.2916666667</v>
      </c>
      <c r="V939" s="68">
        <v>0</v>
      </c>
      <c r="W939" s="0">
        <f>IF(IF(B939="none",1,IF(B939="Trialer",1,0))+IF(C939="Customer",1,IF(C939="Lost",1,0))=2,1,0)</f>
      </c>
      <c r="X939" s="0" t="s">
        <v>148</v>
      </c>
      <c r="Y939" s="0" t="s">
        <v>499</v>
      </c>
      <c r="AV939" s="68"/>
      <c r="AW939" s="68"/>
      <c r="AY939" s="27"/>
      <c r="BD939" s="68">
        <v>46054.1666666667</v>
      </c>
      <c r="BE939" s="68">
        <v>46082.1666666667</v>
      </c>
      <c r="BF939" s="0" t="b">
        <v>0</v>
      </c>
      <c r="BG939" s="0" t="b">
        <v>0</v>
      </c>
      <c r="BH939" s="0">
        <v>420</v>
      </c>
      <c r="BI939" s="0">
        <v>420</v>
      </c>
      <c r="BJ939" s="0" t="s">
        <v>230</v>
      </c>
    </row>
    <row r="940">
      <c r="A940" s="0" t="s">
        <v>1140</v>
      </c>
      <c r="B940" s="0" t="s">
        <v>134</v>
      </c>
      <c r="C940" s="0" t="s">
        <v>134</v>
      </c>
      <c r="D940" s="0" t="s">
        <v>135</v>
      </c>
      <c r="E940" s="0" t="s">
        <v>2</v>
      </c>
      <c r="F940" s="0" t="s">
        <v>12</v>
      </c>
      <c r="G940" s="0" t="s">
        <v>8</v>
      </c>
      <c r="H940" s="0">
        <v>2221</v>
      </c>
      <c r="I940" s="0">
        <v>348</v>
      </c>
      <c r="J940" s="0">
        <v>0</v>
      </c>
      <c r="K940" s="0">
        <v>1</v>
      </c>
      <c r="L940" s="0">
        <v>2</v>
      </c>
      <c r="M940" s="0">
        <v>9</v>
      </c>
      <c r="N940" s="0">
        <v>0</v>
      </c>
      <c r="O940" s="0">
        <v>0</v>
      </c>
      <c r="P940" s="0">
        <v>0</v>
      </c>
      <c r="R940" s="0" t="b">
        <v>0</v>
      </c>
      <c r="S940" s="0" t="b">
        <v>1</v>
      </c>
      <c r="T940" s="68">
        <v>43832.4722222222</v>
      </c>
      <c r="U940" s="68">
        <v>43862.2916666667</v>
      </c>
      <c r="V940" s="68">
        <v>0</v>
      </c>
      <c r="W940" s="0">
        <f>IF(IF(B940="none",1,IF(B940="Trialer",1,0))+IF(C940="Customer",1,IF(C940="Lost",1,0))=2,1,0)</f>
      </c>
      <c r="X940" s="0" t="s">
        <v>136</v>
      </c>
      <c r="Y940" s="0" t="s">
        <v>499</v>
      </c>
      <c r="AV940" s="68"/>
      <c r="AW940" s="68"/>
      <c r="AY940" s="27"/>
      <c r="BD940" s="68">
        <v>46054.1666666667</v>
      </c>
      <c r="BE940" s="68">
        <v>46082.1666666667</v>
      </c>
      <c r="BF940" s="0" t="b">
        <v>0</v>
      </c>
      <c r="BG940" s="0" t="b">
        <v>0</v>
      </c>
      <c r="BH940" s="0">
        <v>348</v>
      </c>
      <c r="BI940" s="0">
        <v>348</v>
      </c>
      <c r="BJ940" s="0" t="s">
        <v>135</v>
      </c>
    </row>
    <row r="941">
      <c r="A941" s="0" t="s">
        <v>1141</v>
      </c>
      <c r="B941" s="0" t="s">
        <v>134</v>
      </c>
      <c r="C941" s="0" t="s">
        <v>134</v>
      </c>
      <c r="D941" s="0" t="s">
        <v>135</v>
      </c>
      <c r="E941" s="0" t="s">
        <v>3</v>
      </c>
      <c r="F941" s="0" t="s">
        <v>10</v>
      </c>
      <c r="G941" s="0" t="s">
        <v>8</v>
      </c>
      <c r="H941" s="0">
        <v>2217</v>
      </c>
      <c r="I941" s="0">
        <v>56</v>
      </c>
      <c r="J941" s="0">
        <v>0</v>
      </c>
      <c r="K941" s="0">
        <v>1</v>
      </c>
      <c r="L941" s="0">
        <v>1</v>
      </c>
      <c r="M941" s="0">
        <v>2</v>
      </c>
      <c r="N941" s="0">
        <v>0</v>
      </c>
      <c r="O941" s="0">
        <v>0</v>
      </c>
      <c r="P941" s="0">
        <v>0</v>
      </c>
      <c r="Q941" s="0" t="s">
        <v>618</v>
      </c>
      <c r="R941" s="0" t="b">
        <v>0</v>
      </c>
      <c r="S941" s="0" t="b">
        <v>1</v>
      </c>
      <c r="T941" s="68">
        <v>43836.392962963</v>
      </c>
      <c r="U941" s="68">
        <v>43866.2916666667</v>
      </c>
      <c r="V941" s="68">
        <v>0</v>
      </c>
      <c r="W941" s="0">
        <f>IF(IF(B941="none",1,IF(B941="Trialer",1,0))+IF(C941="Customer",1,IF(C941="Lost",1,0))=2,1,0)</f>
      </c>
      <c r="X941" s="0" t="s">
        <v>148</v>
      </c>
      <c r="Y941" s="0" t="s">
        <v>243</v>
      </c>
      <c r="AV941" s="68"/>
      <c r="AW941" s="68"/>
      <c r="AY941" s="27"/>
      <c r="BD941" s="68">
        <v>46054.1666666667</v>
      </c>
      <c r="BE941" s="68">
        <v>46082.1666666667</v>
      </c>
      <c r="BF941" s="0" t="b">
        <v>0</v>
      </c>
      <c r="BG941" s="0" t="b">
        <v>0</v>
      </c>
      <c r="BH941" s="0">
        <v>56</v>
      </c>
      <c r="BI941" s="0">
        <v>56</v>
      </c>
      <c r="BJ941" s="0" t="s">
        <v>135</v>
      </c>
    </row>
    <row r="942">
      <c r="A942" s="0" t="s">
        <v>1142</v>
      </c>
      <c r="B942" s="0" t="s">
        <v>134</v>
      </c>
      <c r="C942" s="0" t="s">
        <v>134</v>
      </c>
      <c r="D942" s="0" t="s">
        <v>135</v>
      </c>
      <c r="E942" s="0" t="s">
        <v>3</v>
      </c>
      <c r="F942" s="0" t="s">
        <v>12</v>
      </c>
      <c r="G942" s="0" t="s">
        <v>8</v>
      </c>
      <c r="H942" s="0">
        <v>2217</v>
      </c>
      <c r="I942" s="0">
        <v>330</v>
      </c>
      <c r="J942" s="0">
        <v>0</v>
      </c>
      <c r="K942" s="0">
        <v>1</v>
      </c>
      <c r="L942" s="0">
        <v>5</v>
      </c>
      <c r="M942" s="0">
        <v>6</v>
      </c>
      <c r="N942" s="0">
        <v>0</v>
      </c>
      <c r="O942" s="0">
        <v>0</v>
      </c>
      <c r="P942" s="0">
        <v>0</v>
      </c>
      <c r="R942" s="0" t="b">
        <v>0</v>
      </c>
      <c r="S942" s="0" t="b">
        <v>1</v>
      </c>
      <c r="T942" s="68">
        <v>43836.4280439815</v>
      </c>
      <c r="U942" s="68">
        <v>43866.2916666667</v>
      </c>
      <c r="V942" s="68">
        <v>0</v>
      </c>
      <c r="W942" s="0">
        <f>IF(IF(B942="none",1,IF(B942="Trialer",1,0))+IF(C942="Customer",1,IF(C942="Lost",1,0))=2,1,0)</f>
      </c>
      <c r="X942" s="0" t="s">
        <v>145</v>
      </c>
      <c r="Y942" s="0" t="s">
        <v>243</v>
      </c>
      <c r="AV942" s="68"/>
      <c r="AW942" s="68"/>
      <c r="AY942" s="27"/>
      <c r="BD942" s="68">
        <v>46054.1666666667</v>
      </c>
      <c r="BE942" s="68">
        <v>46082.1666666667</v>
      </c>
      <c r="BF942" s="0" t="b">
        <v>0</v>
      </c>
      <c r="BG942" s="0" t="b">
        <v>0</v>
      </c>
      <c r="BH942" s="0">
        <v>440</v>
      </c>
      <c r="BI942" s="0">
        <v>440</v>
      </c>
      <c r="BJ942" s="0" t="s">
        <v>135</v>
      </c>
    </row>
    <row r="943">
      <c r="A943" s="0" t="s">
        <v>1143</v>
      </c>
      <c r="B943" s="0" t="s">
        <v>134</v>
      </c>
      <c r="C943" s="0" t="s">
        <v>134</v>
      </c>
      <c r="D943" s="0" t="s">
        <v>135</v>
      </c>
      <c r="E943" s="0" t="s">
        <v>3</v>
      </c>
      <c r="F943" s="0" t="s">
        <v>12</v>
      </c>
      <c r="G943" s="0" t="s">
        <v>8</v>
      </c>
      <c r="H943" s="0">
        <v>2217</v>
      </c>
      <c r="I943" s="0">
        <v>0</v>
      </c>
      <c r="J943" s="0">
        <v>0</v>
      </c>
      <c r="K943" s="0">
        <v>1</v>
      </c>
      <c r="L943" s="0">
        <v>3</v>
      </c>
      <c r="M943" s="0">
        <v>2</v>
      </c>
      <c r="N943" s="0">
        <v>0</v>
      </c>
      <c r="O943" s="0">
        <v>0</v>
      </c>
      <c r="P943" s="0">
        <v>0</v>
      </c>
      <c r="R943" s="0" t="b">
        <v>0</v>
      </c>
      <c r="S943" s="0" t="b">
        <v>1</v>
      </c>
      <c r="T943" s="68">
        <v>43836.6152777778</v>
      </c>
      <c r="U943" s="68">
        <v>43866.2916666667</v>
      </c>
      <c r="V943" s="68">
        <v>0</v>
      </c>
      <c r="W943" s="0">
        <f>IF(IF(B943="none",1,IF(B943="Trialer",1,0))+IF(C943="Customer",1,IF(C943="Lost",1,0))=2,1,0)</f>
      </c>
      <c r="X943" s="0" t="s">
        <v>145</v>
      </c>
      <c r="Y943" s="0" t="s">
        <v>243</v>
      </c>
      <c r="AV943" s="68"/>
      <c r="AW943" s="68"/>
      <c r="AY943" s="27"/>
      <c r="BD943" s="68">
        <v>46054.1666666667</v>
      </c>
      <c r="BE943" s="68">
        <v>46082.1666666667</v>
      </c>
      <c r="BF943" s="0" t="b">
        <v>0</v>
      </c>
      <c r="BG943" s="0" t="b">
        <v>0</v>
      </c>
      <c r="BH943" s="0">
        <v>0</v>
      </c>
      <c r="BI943" s="0">
        <v>0</v>
      </c>
      <c r="BJ943" s="0" t="s">
        <v>135</v>
      </c>
    </row>
    <row r="944">
      <c r="A944" s="0" t="s">
        <v>1144</v>
      </c>
      <c r="B944" s="0" t="s">
        <v>134</v>
      </c>
      <c r="C944" s="0" t="s">
        <v>134</v>
      </c>
      <c r="D944" s="0" t="s">
        <v>135</v>
      </c>
      <c r="E944" s="0" t="s">
        <v>3</v>
      </c>
      <c r="F944" s="0" t="s">
        <v>12</v>
      </c>
      <c r="G944" s="0" t="s">
        <v>8</v>
      </c>
      <c r="H944" s="0">
        <v>2215</v>
      </c>
      <c r="I944" s="0">
        <v>0</v>
      </c>
      <c r="J944" s="0">
        <v>0</v>
      </c>
      <c r="K944" s="0">
        <v>1</v>
      </c>
      <c r="L944" s="0">
        <v>3</v>
      </c>
      <c r="M944" s="0">
        <v>1</v>
      </c>
      <c r="N944" s="0">
        <v>0</v>
      </c>
      <c r="O944" s="0">
        <v>0</v>
      </c>
      <c r="P944" s="0">
        <v>0</v>
      </c>
      <c r="R944" s="0" t="b">
        <v>0</v>
      </c>
      <c r="S944" s="0" t="b">
        <v>1</v>
      </c>
      <c r="T944" s="68">
        <v>43838.6298611111</v>
      </c>
      <c r="U944" s="68">
        <v>43838.2916666667</v>
      </c>
      <c r="V944" s="68">
        <v>0</v>
      </c>
      <c r="W944" s="0">
        <f>IF(IF(B944="none",1,IF(B944="Trialer",1,0))+IF(C944="Customer",1,IF(C944="Lost",1,0))=2,1,0)</f>
      </c>
      <c r="X944" s="0" t="s">
        <v>148</v>
      </c>
      <c r="Y944" s="0" t="s">
        <v>243</v>
      </c>
      <c r="AV944" s="68"/>
      <c r="AW944" s="68"/>
      <c r="AY944" s="27"/>
      <c r="BD944" s="68">
        <v>46054.1666666667</v>
      </c>
      <c r="BE944" s="68">
        <v>46082.1666666667</v>
      </c>
      <c r="BF944" s="0" t="b">
        <v>0</v>
      </c>
      <c r="BG944" s="0" t="b">
        <v>0</v>
      </c>
      <c r="BH944" s="0">
        <v>0</v>
      </c>
      <c r="BI944" s="0">
        <v>0</v>
      </c>
      <c r="BJ944" s="0" t="s">
        <v>135</v>
      </c>
    </row>
    <row r="945">
      <c r="A945" s="0" t="s">
        <v>1145</v>
      </c>
      <c r="B945" s="0" t="s">
        <v>134</v>
      </c>
      <c r="C945" s="0" t="s">
        <v>134</v>
      </c>
      <c r="D945" s="0" t="s">
        <v>230</v>
      </c>
      <c r="E945" s="0" t="s">
        <v>3</v>
      </c>
      <c r="F945" s="0" t="s">
        <v>12</v>
      </c>
      <c r="G945" s="0" t="s">
        <v>8</v>
      </c>
      <c r="H945" s="0">
        <v>2214</v>
      </c>
      <c r="I945" s="0">
        <v>2315.5</v>
      </c>
      <c r="J945" s="0">
        <v>0</v>
      </c>
      <c r="K945" s="0">
        <v>2</v>
      </c>
      <c r="L945" s="0">
        <v>5</v>
      </c>
      <c r="M945" s="0">
        <v>7</v>
      </c>
      <c r="N945" s="0">
        <v>0</v>
      </c>
      <c r="O945" s="0">
        <v>0</v>
      </c>
      <c r="P945" s="0">
        <v>-358</v>
      </c>
      <c r="R945" s="0" t="b">
        <v>0</v>
      </c>
      <c r="S945" s="0" t="b">
        <v>1</v>
      </c>
      <c r="T945" s="68">
        <v>43839.7020833333</v>
      </c>
      <c r="U945" s="68">
        <v>43864.2916666667</v>
      </c>
      <c r="V945" s="68">
        <v>0</v>
      </c>
      <c r="W945" s="0">
        <f>IF(IF(B945="none",1,IF(B945="Trialer",1,0))+IF(C945="Customer",1,IF(C945="Lost",1,0))=2,1,0)</f>
      </c>
      <c r="X945" s="0" t="s">
        <v>148</v>
      </c>
      <c r="Y945" s="0" t="s">
        <v>243</v>
      </c>
      <c r="AV945" s="68"/>
      <c r="AW945" s="68"/>
      <c r="AY945" s="27"/>
      <c r="BD945" s="68">
        <v>46054.1666666667</v>
      </c>
      <c r="BE945" s="68">
        <v>46082.1666666667</v>
      </c>
      <c r="BF945" s="0" t="b">
        <v>0</v>
      </c>
      <c r="BG945" s="0" t="b">
        <v>0</v>
      </c>
      <c r="BH945" s="0">
        <v>403</v>
      </c>
      <c r="BI945" s="0">
        <v>403</v>
      </c>
      <c r="BJ945" s="0" t="s">
        <v>230</v>
      </c>
    </row>
    <row r="946">
      <c r="A946" s="0" t="s">
        <v>1146</v>
      </c>
      <c r="B946" s="0" t="s">
        <v>134</v>
      </c>
      <c r="C946" s="0" t="s">
        <v>134</v>
      </c>
      <c r="D946" s="0" t="s">
        <v>135</v>
      </c>
      <c r="E946" s="0" t="s">
        <v>2</v>
      </c>
      <c r="F946" s="0" t="s">
        <v>12</v>
      </c>
      <c r="G946" s="0" t="s">
        <v>8</v>
      </c>
      <c r="H946" s="0">
        <v>2210</v>
      </c>
      <c r="I946" s="0">
        <v>84</v>
      </c>
      <c r="J946" s="0">
        <v>0</v>
      </c>
      <c r="K946" s="0">
        <v>1</v>
      </c>
      <c r="L946" s="0">
        <v>1</v>
      </c>
      <c r="M946" s="0">
        <v>3</v>
      </c>
      <c r="N946" s="0">
        <v>0</v>
      </c>
      <c r="O946" s="0">
        <v>0</v>
      </c>
      <c r="P946" s="0">
        <v>0</v>
      </c>
      <c r="R946" s="0" t="b">
        <v>0</v>
      </c>
      <c r="S946" s="0" t="b">
        <v>1</v>
      </c>
      <c r="T946" s="68">
        <v>43843.3826041667</v>
      </c>
      <c r="U946" s="68">
        <v>43894.2916666667</v>
      </c>
      <c r="V946" s="68">
        <v>0</v>
      </c>
      <c r="W946" s="0">
        <f>IF(IF(B946="none",1,IF(B946="Trialer",1,0))+IF(C946="Customer",1,IF(C946="Lost",1,0))=2,1,0)</f>
      </c>
      <c r="X946" s="0" t="s">
        <v>142</v>
      </c>
      <c r="Y946" s="0" t="s">
        <v>499</v>
      </c>
      <c r="AV946" s="68"/>
      <c r="AW946" s="68"/>
      <c r="AY946" s="27"/>
      <c r="BD946" s="68">
        <v>46054.1666666667</v>
      </c>
      <c r="BE946" s="68">
        <v>46082.1666666667</v>
      </c>
      <c r="BF946" s="0" t="b">
        <v>0</v>
      </c>
      <c r="BG946" s="0" t="b">
        <v>0</v>
      </c>
      <c r="BH946" s="0">
        <v>84</v>
      </c>
      <c r="BI946" s="0">
        <v>84</v>
      </c>
      <c r="BJ946" s="0" t="s">
        <v>135</v>
      </c>
    </row>
    <row r="947">
      <c r="A947" s="0" t="s">
        <v>1147</v>
      </c>
      <c r="B947" s="0" t="s">
        <v>134</v>
      </c>
      <c r="C947" s="0" t="s">
        <v>134</v>
      </c>
      <c r="D947" s="0" t="s">
        <v>135</v>
      </c>
      <c r="E947" s="0" t="s">
        <v>2</v>
      </c>
      <c r="F947" s="0" t="s">
        <v>12</v>
      </c>
      <c r="G947" s="0" t="s">
        <v>8</v>
      </c>
      <c r="H947" s="0">
        <v>2209</v>
      </c>
      <c r="I947" s="0">
        <v>132</v>
      </c>
      <c r="J947" s="0">
        <v>0</v>
      </c>
      <c r="K947" s="0">
        <v>1</v>
      </c>
      <c r="L947" s="0">
        <v>3</v>
      </c>
      <c r="M947" s="0">
        <v>3</v>
      </c>
      <c r="N947" s="0">
        <v>0</v>
      </c>
      <c r="O947" s="0">
        <v>0</v>
      </c>
      <c r="P947" s="0">
        <v>0</v>
      </c>
      <c r="R947" s="0" t="b">
        <v>0</v>
      </c>
      <c r="S947" s="0" t="b">
        <v>1</v>
      </c>
      <c r="T947" s="68">
        <v>43844.5904282407</v>
      </c>
      <c r="U947" s="68">
        <v>43874.2916666667</v>
      </c>
      <c r="V947" s="68">
        <v>0</v>
      </c>
      <c r="W947" s="0">
        <f>IF(IF(B947="none",1,IF(B947="Trialer",1,0))+IF(C947="Customer",1,IF(C947="Lost",1,0))=2,1,0)</f>
      </c>
      <c r="X947" s="0" t="s">
        <v>166</v>
      </c>
      <c r="Y947" s="0" t="s">
        <v>499</v>
      </c>
      <c r="AV947" s="68"/>
      <c r="AW947" s="68"/>
      <c r="AY947" s="27"/>
      <c r="BD947" s="68">
        <v>46054.1666666667</v>
      </c>
      <c r="BE947" s="68">
        <v>46082.1666666667</v>
      </c>
      <c r="BF947" s="0" t="b">
        <v>0</v>
      </c>
      <c r="BG947" s="0" t="b">
        <v>0</v>
      </c>
      <c r="BH947" s="0">
        <v>132</v>
      </c>
      <c r="BI947" s="0">
        <v>132</v>
      </c>
      <c r="BJ947" s="0" t="s">
        <v>135</v>
      </c>
    </row>
    <row r="948">
      <c r="A948" s="0" t="s">
        <v>1148</v>
      </c>
      <c r="B948" s="0" t="s">
        <v>134</v>
      </c>
      <c r="C948" s="0" t="s">
        <v>134</v>
      </c>
      <c r="D948" s="0" t="s">
        <v>135</v>
      </c>
      <c r="E948" s="0" t="s">
        <v>2</v>
      </c>
      <c r="F948" s="0" t="s">
        <v>12</v>
      </c>
      <c r="G948" s="0" t="s">
        <v>7</v>
      </c>
      <c r="H948" s="0">
        <v>2209</v>
      </c>
      <c r="I948" s="0">
        <v>65</v>
      </c>
      <c r="J948" s="0">
        <v>0</v>
      </c>
      <c r="K948" s="0">
        <v>1</v>
      </c>
      <c r="L948" s="0">
        <v>1</v>
      </c>
      <c r="M948" s="0">
        <v>1</v>
      </c>
      <c r="N948" s="0">
        <v>0</v>
      </c>
      <c r="O948" s="0">
        <v>0</v>
      </c>
      <c r="P948" s="0">
        <v>0</v>
      </c>
      <c r="R948" s="0" t="b">
        <v>0</v>
      </c>
      <c r="S948" s="0" t="b">
        <v>1</v>
      </c>
      <c r="T948" s="68">
        <v>43844.705787037</v>
      </c>
      <c r="U948" s="68">
        <v>43844.2916666667</v>
      </c>
      <c r="V948" s="68">
        <v>0</v>
      </c>
      <c r="W948" s="0">
        <f>IF(IF(B948="none",1,IF(B948="Trialer",1,0))+IF(C948="Customer",1,IF(C948="Lost",1,0))=2,1,0)</f>
      </c>
      <c r="X948" s="0" t="s">
        <v>136</v>
      </c>
      <c r="Y948" s="0" t="s">
        <v>137</v>
      </c>
      <c r="AV948" s="68"/>
      <c r="AW948" s="68"/>
      <c r="AY948" s="27"/>
      <c r="BD948" s="68">
        <v>46054.1666666667</v>
      </c>
      <c r="BE948" s="68">
        <v>46082.1666666667</v>
      </c>
      <c r="BF948" s="0" t="b">
        <v>0</v>
      </c>
      <c r="BG948" s="0" t="b">
        <v>0</v>
      </c>
      <c r="BH948" s="0">
        <v>65</v>
      </c>
      <c r="BI948" s="0">
        <v>65</v>
      </c>
      <c r="BJ948" s="0" t="s">
        <v>135</v>
      </c>
    </row>
    <row r="949">
      <c r="A949" s="0" t="s">
        <v>1149</v>
      </c>
      <c r="B949" s="0" t="s">
        <v>134</v>
      </c>
      <c r="C949" s="0" t="s">
        <v>134</v>
      </c>
      <c r="D949" s="0" t="s">
        <v>135</v>
      </c>
      <c r="E949" s="0" t="s">
        <v>3</v>
      </c>
      <c r="F949" s="0" t="s">
        <v>12</v>
      </c>
      <c r="G949" s="0" t="s">
        <v>8</v>
      </c>
      <c r="H949" s="0">
        <v>2208</v>
      </c>
      <c r="I949" s="0">
        <v>0</v>
      </c>
      <c r="J949" s="0">
        <v>0</v>
      </c>
      <c r="K949" s="0">
        <v>1</v>
      </c>
      <c r="L949" s="0">
        <v>3</v>
      </c>
      <c r="M949" s="0">
        <v>2</v>
      </c>
      <c r="N949" s="0">
        <v>0</v>
      </c>
      <c r="O949" s="0">
        <v>0</v>
      </c>
      <c r="P949" s="0">
        <v>0</v>
      </c>
      <c r="R949" s="0" t="b">
        <v>0</v>
      </c>
      <c r="S949" s="0" t="b">
        <v>1</v>
      </c>
      <c r="T949" s="68">
        <v>43845.4621412037</v>
      </c>
      <c r="U949" s="68">
        <v>43855.2916666667</v>
      </c>
      <c r="V949" s="68">
        <v>0</v>
      </c>
      <c r="W949" s="0">
        <f>IF(IF(B949="none",1,IF(B949="Trialer",1,0))+IF(C949="Customer",1,IF(C949="Lost",1,0))=2,1,0)</f>
      </c>
      <c r="X949" s="0" t="s">
        <v>145</v>
      </c>
      <c r="Y949" s="0" t="s">
        <v>243</v>
      </c>
      <c r="AV949" s="68"/>
      <c r="AW949" s="68"/>
      <c r="AY949" s="27"/>
      <c r="BD949" s="68">
        <v>46054.1666666667</v>
      </c>
      <c r="BE949" s="68">
        <v>46082.1666666667</v>
      </c>
      <c r="BF949" s="0" t="b">
        <v>0</v>
      </c>
      <c r="BG949" s="0" t="b">
        <v>0</v>
      </c>
      <c r="BH949" s="0">
        <v>0</v>
      </c>
      <c r="BI949" s="0">
        <v>0</v>
      </c>
      <c r="BJ949" s="0" t="s">
        <v>135</v>
      </c>
    </row>
    <row r="950">
      <c r="A950" s="0" t="s">
        <v>1150</v>
      </c>
      <c r="B950" s="0" t="s">
        <v>134</v>
      </c>
      <c r="C950" s="0" t="s">
        <v>134</v>
      </c>
      <c r="D950" s="0" t="s">
        <v>135</v>
      </c>
      <c r="E950" s="0" t="s">
        <v>3</v>
      </c>
      <c r="F950" s="0" t="s">
        <v>10</v>
      </c>
      <c r="G950" s="0" t="s">
        <v>8</v>
      </c>
      <c r="H950" s="0">
        <v>2206</v>
      </c>
      <c r="I950" s="0">
        <v>28</v>
      </c>
      <c r="J950" s="0">
        <v>0</v>
      </c>
      <c r="K950" s="0">
        <v>1</v>
      </c>
      <c r="L950" s="0">
        <v>1</v>
      </c>
      <c r="M950" s="0">
        <v>1</v>
      </c>
      <c r="N950" s="0">
        <v>0</v>
      </c>
      <c r="O950" s="0">
        <v>0</v>
      </c>
      <c r="P950" s="0">
        <v>0</v>
      </c>
      <c r="Q950" s="0" t="s">
        <v>618</v>
      </c>
      <c r="R950" s="0" t="b">
        <v>0</v>
      </c>
      <c r="S950" s="0" t="b">
        <v>1</v>
      </c>
      <c r="T950" s="68">
        <v>43847.3942013889</v>
      </c>
      <c r="U950" s="68">
        <v>43877.2916666667</v>
      </c>
      <c r="V950" s="68">
        <v>0</v>
      </c>
      <c r="W950" s="0">
        <f>IF(IF(B950="none",1,IF(B950="Trialer",1,0))+IF(C950="Customer",1,IF(C950="Lost",1,0))=2,1,0)</f>
      </c>
      <c r="X950" s="0" t="s">
        <v>148</v>
      </c>
      <c r="Y950" s="0" t="s">
        <v>243</v>
      </c>
      <c r="AV950" s="68"/>
      <c r="AW950" s="68"/>
      <c r="AY950" s="27"/>
      <c r="BD950" s="68">
        <v>46054.1666666667</v>
      </c>
      <c r="BE950" s="68">
        <v>46082.1666666667</v>
      </c>
      <c r="BF950" s="0" t="b">
        <v>0</v>
      </c>
      <c r="BG950" s="0" t="b">
        <v>0</v>
      </c>
      <c r="BH950" s="0">
        <v>28</v>
      </c>
      <c r="BI950" s="0">
        <v>28</v>
      </c>
      <c r="BJ950" s="0" t="s">
        <v>135</v>
      </c>
    </row>
    <row r="951">
      <c r="A951" s="0" t="s">
        <v>1151</v>
      </c>
      <c r="B951" s="0" t="s">
        <v>134</v>
      </c>
      <c r="C951" s="0" t="s">
        <v>134</v>
      </c>
      <c r="D951" s="0" t="s">
        <v>135</v>
      </c>
      <c r="E951" s="0" t="s">
        <v>3</v>
      </c>
      <c r="F951" s="0" t="s">
        <v>12</v>
      </c>
      <c r="G951" s="0" t="s">
        <v>8</v>
      </c>
      <c r="H951" s="0">
        <v>2204</v>
      </c>
      <c r="I951" s="0">
        <v>56</v>
      </c>
      <c r="J951" s="0">
        <v>0</v>
      </c>
      <c r="K951" s="0">
        <v>1</v>
      </c>
      <c r="L951" s="0">
        <v>1</v>
      </c>
      <c r="M951" s="0">
        <v>2</v>
      </c>
      <c r="N951" s="0">
        <v>0</v>
      </c>
      <c r="O951" s="0">
        <v>0</v>
      </c>
      <c r="P951" s="0">
        <v>0</v>
      </c>
      <c r="R951" s="0" t="b">
        <v>0</v>
      </c>
      <c r="S951" s="0" t="b">
        <v>1</v>
      </c>
      <c r="T951" s="68">
        <v>43849.7407638889</v>
      </c>
      <c r="U951" s="68">
        <v>43879.2916666667</v>
      </c>
      <c r="V951" s="68">
        <v>0</v>
      </c>
      <c r="W951" s="0">
        <f>IF(IF(B951="none",1,IF(B951="Trialer",1,0))+IF(C951="Customer",1,IF(C951="Lost",1,0))=2,1,0)</f>
      </c>
      <c r="X951" s="0" t="s">
        <v>142</v>
      </c>
      <c r="Y951" s="0" t="s">
        <v>487</v>
      </c>
      <c r="AV951" s="68"/>
      <c r="AW951" s="68"/>
      <c r="AY951" s="27"/>
      <c r="BD951" s="68">
        <v>46054.1666666667</v>
      </c>
      <c r="BE951" s="68">
        <v>46082.1666666667</v>
      </c>
      <c r="BF951" s="0" t="b">
        <v>0</v>
      </c>
      <c r="BG951" s="0" t="b">
        <v>0</v>
      </c>
      <c r="BH951" s="0">
        <v>56</v>
      </c>
      <c r="BI951" s="0">
        <v>56</v>
      </c>
      <c r="BJ951" s="0" t="s">
        <v>135</v>
      </c>
    </row>
    <row r="952">
      <c r="A952" s="0" t="s">
        <v>1152</v>
      </c>
      <c r="B952" s="0" t="s">
        <v>134</v>
      </c>
      <c r="C952" s="0" t="s">
        <v>134</v>
      </c>
      <c r="D952" s="0" t="s">
        <v>135</v>
      </c>
      <c r="E952" s="0" t="s">
        <v>3</v>
      </c>
      <c r="F952" s="0" t="s">
        <v>10</v>
      </c>
      <c r="G952" s="0" t="s">
        <v>8</v>
      </c>
      <c r="H952" s="0">
        <v>2204</v>
      </c>
      <c r="I952" s="0">
        <v>150</v>
      </c>
      <c r="J952" s="0">
        <v>0</v>
      </c>
      <c r="K952" s="0">
        <v>1</v>
      </c>
      <c r="L952" s="0">
        <v>4</v>
      </c>
      <c r="M952" s="0">
        <v>3</v>
      </c>
      <c r="N952" s="0">
        <v>0</v>
      </c>
      <c r="O952" s="0">
        <v>0</v>
      </c>
      <c r="P952" s="0">
        <v>0</v>
      </c>
      <c r="Q952" s="0" t="s">
        <v>1153</v>
      </c>
      <c r="R952" s="0" t="b">
        <v>0</v>
      </c>
      <c r="S952" s="0" t="b">
        <v>1</v>
      </c>
      <c r="T952" s="68">
        <v>43849.788125</v>
      </c>
      <c r="U952" s="68">
        <v>43949.3333333333</v>
      </c>
      <c r="V952" s="68">
        <v>0</v>
      </c>
      <c r="W952" s="0">
        <f>IF(IF(B952="none",1,IF(B952="Trialer",1,0))+IF(C952="Customer",1,IF(C952="Lost",1,0))=2,1,0)</f>
      </c>
      <c r="X952" s="0" t="s">
        <v>148</v>
      </c>
      <c r="Y952" s="0" t="s">
        <v>243</v>
      </c>
      <c r="AV952" s="68"/>
      <c r="AW952" s="68"/>
      <c r="AY952" s="27"/>
      <c r="BD952" s="68">
        <v>46054.1666666667</v>
      </c>
      <c r="BE952" s="68">
        <v>46082.1666666667</v>
      </c>
      <c r="BF952" s="0" t="b">
        <v>0</v>
      </c>
      <c r="BG952" s="0" t="b">
        <v>0</v>
      </c>
      <c r="BH952" s="0">
        <v>150</v>
      </c>
      <c r="BI952" s="0">
        <v>150</v>
      </c>
      <c r="BJ952" s="0" t="s">
        <v>135</v>
      </c>
    </row>
    <row r="953">
      <c r="A953" s="0" t="s">
        <v>1154</v>
      </c>
      <c r="B953" s="0" t="s">
        <v>134</v>
      </c>
      <c r="C953" s="0" t="s">
        <v>134</v>
      </c>
      <c r="D953" s="0" t="s">
        <v>135</v>
      </c>
      <c r="E953" s="0" t="s">
        <v>3</v>
      </c>
      <c r="F953" s="0" t="s">
        <v>12</v>
      </c>
      <c r="G953" s="0" t="s">
        <v>8</v>
      </c>
      <c r="H953" s="0">
        <v>2203</v>
      </c>
      <c r="I953" s="0">
        <v>49</v>
      </c>
      <c r="J953" s="0">
        <v>0</v>
      </c>
      <c r="K953" s="0">
        <v>1</v>
      </c>
      <c r="L953" s="0">
        <v>3</v>
      </c>
      <c r="M953" s="0">
        <v>1</v>
      </c>
      <c r="N953" s="0">
        <v>0</v>
      </c>
      <c r="O953" s="0">
        <v>0</v>
      </c>
      <c r="P953" s="0">
        <v>0</v>
      </c>
      <c r="R953" s="0" t="b">
        <v>0</v>
      </c>
      <c r="S953" s="0" t="b">
        <v>1</v>
      </c>
      <c r="T953" s="68">
        <v>43850.4808449074</v>
      </c>
      <c r="U953" s="68">
        <v>43880.2916666667</v>
      </c>
      <c r="V953" s="68">
        <v>0</v>
      </c>
      <c r="W953" s="0">
        <f>IF(IF(B953="none",1,IF(B953="Trialer",1,0))+IF(C953="Customer",1,IF(C953="Lost",1,0))=2,1,0)</f>
      </c>
      <c r="X953" s="0" t="s">
        <v>142</v>
      </c>
      <c r="Y953" s="0" t="s">
        <v>243</v>
      </c>
      <c r="AV953" s="68"/>
      <c r="AW953" s="68"/>
      <c r="AY953" s="27"/>
      <c r="BD953" s="68">
        <v>46054.1666666667</v>
      </c>
      <c r="BE953" s="68">
        <v>46082.1666666667</v>
      </c>
      <c r="BF953" s="0" t="b">
        <v>0</v>
      </c>
      <c r="BG953" s="0" t="b">
        <v>0</v>
      </c>
      <c r="BH953" s="0">
        <v>49</v>
      </c>
      <c r="BI953" s="0">
        <v>49</v>
      </c>
      <c r="BJ953" s="0" t="s">
        <v>135</v>
      </c>
    </row>
    <row r="954">
      <c r="A954" s="0" t="s">
        <v>1155</v>
      </c>
      <c r="B954" s="0" t="s">
        <v>134</v>
      </c>
      <c r="C954" s="0" t="s">
        <v>134</v>
      </c>
      <c r="D954" s="0" t="s">
        <v>230</v>
      </c>
      <c r="E954" s="0" t="s">
        <v>3</v>
      </c>
      <c r="F954" s="0" t="s">
        <v>12</v>
      </c>
      <c r="G954" s="0" t="s">
        <v>8</v>
      </c>
      <c r="H954" s="0">
        <v>2203</v>
      </c>
      <c r="I954" s="0">
        <v>322</v>
      </c>
      <c r="J954" s="0">
        <v>0</v>
      </c>
      <c r="K954" s="0">
        <v>1</v>
      </c>
      <c r="L954" s="0">
        <v>3</v>
      </c>
      <c r="M954" s="0">
        <v>8</v>
      </c>
      <c r="N954" s="0">
        <v>0</v>
      </c>
      <c r="O954" s="0">
        <v>0</v>
      </c>
      <c r="P954" s="0">
        <v>-322</v>
      </c>
      <c r="R954" s="0" t="b">
        <v>0</v>
      </c>
      <c r="S954" s="0" t="b">
        <v>1</v>
      </c>
      <c r="T954" s="68">
        <v>43850.7080092593</v>
      </c>
      <c r="U954" s="68">
        <v>43875.2916666667</v>
      </c>
      <c r="V954" s="68">
        <v>0</v>
      </c>
      <c r="W954" s="0">
        <f>IF(IF(B954="none",1,IF(B954="Trialer",1,0))+IF(C954="Customer",1,IF(C954="Lost",1,0))=2,1,0)</f>
      </c>
      <c r="X954" s="0" t="s">
        <v>145</v>
      </c>
      <c r="Y954" s="0" t="s">
        <v>243</v>
      </c>
      <c r="AV954" s="68"/>
      <c r="AW954" s="68"/>
      <c r="AY954" s="27"/>
      <c r="BD954" s="68">
        <v>46054.1666666667</v>
      </c>
      <c r="BE954" s="68">
        <v>46082.1666666667</v>
      </c>
      <c r="BF954" s="0" t="b">
        <v>0</v>
      </c>
      <c r="BG954" s="0" t="b">
        <v>0</v>
      </c>
      <c r="BH954" s="0">
        <v>359</v>
      </c>
      <c r="BI954" s="0">
        <v>359</v>
      </c>
      <c r="BJ954" s="0" t="s">
        <v>230</v>
      </c>
    </row>
    <row r="955">
      <c r="A955" s="0" t="s">
        <v>1156</v>
      </c>
      <c r="B955" s="0" t="s">
        <v>134</v>
      </c>
      <c r="C955" s="0" t="s">
        <v>134</v>
      </c>
      <c r="D955" s="0" t="s">
        <v>135</v>
      </c>
      <c r="E955" s="0" t="s">
        <v>3</v>
      </c>
      <c r="F955" s="0" t="s">
        <v>12</v>
      </c>
      <c r="G955" s="0" t="s">
        <v>8</v>
      </c>
      <c r="H955" s="0">
        <v>2202</v>
      </c>
      <c r="I955" s="0">
        <v>0</v>
      </c>
      <c r="J955" s="0">
        <v>0</v>
      </c>
      <c r="K955" s="0">
        <v>1</v>
      </c>
      <c r="L955" s="0">
        <v>3</v>
      </c>
      <c r="M955" s="0">
        <v>2</v>
      </c>
      <c r="N955" s="0">
        <v>0</v>
      </c>
      <c r="O955" s="0">
        <v>0</v>
      </c>
      <c r="P955" s="0">
        <v>0</v>
      </c>
      <c r="R955" s="0" t="b">
        <v>0</v>
      </c>
      <c r="S955" s="0" t="b">
        <v>1</v>
      </c>
      <c r="T955" s="68">
        <v>43851.4022800926</v>
      </c>
      <c r="U955" s="68">
        <v>43881.2916666667</v>
      </c>
      <c r="V955" s="68">
        <v>0</v>
      </c>
      <c r="W955" s="0">
        <f>IF(IF(B955="none",1,IF(B955="Trialer",1,0))+IF(C955="Customer",1,IF(C955="Lost",1,0))=2,1,0)</f>
      </c>
      <c r="X955" s="0" t="s">
        <v>136</v>
      </c>
      <c r="Y955" s="0" t="s">
        <v>243</v>
      </c>
      <c r="AV955" s="68"/>
      <c r="AW955" s="68"/>
      <c r="AY955" s="27"/>
      <c r="BD955" s="68">
        <v>46054.1666666667</v>
      </c>
      <c r="BE955" s="68">
        <v>46082.1666666667</v>
      </c>
      <c r="BF955" s="0" t="b">
        <v>0</v>
      </c>
      <c r="BG955" s="0" t="b">
        <v>0</v>
      </c>
      <c r="BH955" s="0">
        <v>0</v>
      </c>
      <c r="BI955" s="0">
        <v>0</v>
      </c>
      <c r="BJ955" s="0" t="s">
        <v>135</v>
      </c>
    </row>
    <row r="956">
      <c r="A956" s="0" t="s">
        <v>1157</v>
      </c>
      <c r="B956" s="0" t="s">
        <v>134</v>
      </c>
      <c r="C956" s="0" t="s">
        <v>134</v>
      </c>
      <c r="D956" s="0" t="s">
        <v>135</v>
      </c>
      <c r="E956" s="0" t="s">
        <v>3</v>
      </c>
      <c r="F956" s="0" t="s">
        <v>12</v>
      </c>
      <c r="G956" s="0" t="s">
        <v>8</v>
      </c>
      <c r="H956" s="0">
        <v>2200</v>
      </c>
      <c r="I956" s="0">
        <v>40</v>
      </c>
      <c r="J956" s="0">
        <v>0</v>
      </c>
      <c r="K956" s="0">
        <v>1</v>
      </c>
      <c r="L956" s="0">
        <v>2</v>
      </c>
      <c r="M956" s="0">
        <v>1</v>
      </c>
      <c r="N956" s="0">
        <v>0</v>
      </c>
      <c r="O956" s="0">
        <v>0</v>
      </c>
      <c r="P956" s="0">
        <v>0</v>
      </c>
      <c r="R956" s="0" t="b">
        <v>0</v>
      </c>
      <c r="S956" s="0" t="b">
        <v>1</v>
      </c>
      <c r="T956" s="68">
        <v>43853.5319444444</v>
      </c>
      <c r="U956" s="68">
        <v>43883.5</v>
      </c>
      <c r="V956" s="68">
        <v>0</v>
      </c>
      <c r="W956" s="0">
        <f>IF(IF(B956="none",1,IF(B956="Trialer",1,0))+IF(C956="Customer",1,IF(C956="Lost",1,0))=2,1,0)</f>
      </c>
      <c r="X956" s="0" t="s">
        <v>142</v>
      </c>
      <c r="Y956" s="0" t="s">
        <v>243</v>
      </c>
      <c r="AV956" s="68"/>
      <c r="AW956" s="68"/>
      <c r="AY956" s="27"/>
      <c r="BD956" s="68">
        <v>46054.1666666667</v>
      </c>
      <c r="BE956" s="68">
        <v>46082.1666666667</v>
      </c>
      <c r="BF956" s="0" t="b">
        <v>0</v>
      </c>
      <c r="BG956" s="0" t="b">
        <v>0</v>
      </c>
      <c r="BH956" s="0">
        <v>40</v>
      </c>
      <c r="BI956" s="0">
        <v>40</v>
      </c>
      <c r="BJ956" s="0" t="s">
        <v>135</v>
      </c>
    </row>
    <row r="957">
      <c r="A957" s="0" t="s">
        <v>1158</v>
      </c>
      <c r="B957" s="0" t="s">
        <v>134</v>
      </c>
      <c r="C957" s="0" t="s">
        <v>134</v>
      </c>
      <c r="D957" s="0" t="s">
        <v>135</v>
      </c>
      <c r="E957" s="0" t="s">
        <v>2</v>
      </c>
      <c r="F957" s="0" t="s">
        <v>12</v>
      </c>
      <c r="G957" s="0" t="s">
        <v>8</v>
      </c>
      <c r="H957" s="0">
        <v>2200</v>
      </c>
      <c r="I957" s="0">
        <v>28</v>
      </c>
      <c r="J957" s="0">
        <v>0</v>
      </c>
      <c r="K957" s="0">
        <v>1</v>
      </c>
      <c r="L957" s="0">
        <v>1</v>
      </c>
      <c r="M957" s="0">
        <v>1</v>
      </c>
      <c r="N957" s="0">
        <v>0</v>
      </c>
      <c r="O957" s="0">
        <v>0</v>
      </c>
      <c r="P957" s="0">
        <v>0</v>
      </c>
      <c r="R957" s="0" t="b">
        <v>0</v>
      </c>
      <c r="S957" s="0" t="b">
        <v>1</v>
      </c>
      <c r="T957" s="68">
        <v>43853.5925810185</v>
      </c>
      <c r="U957" s="68">
        <v>43883.2916666667</v>
      </c>
      <c r="V957" s="68">
        <v>0</v>
      </c>
      <c r="W957" s="0">
        <f>IF(IF(B957="none",1,IF(B957="Trialer",1,0))+IF(C957="Customer",1,IF(C957="Lost",1,0))=2,1,0)</f>
      </c>
      <c r="X957" s="0" t="s">
        <v>166</v>
      </c>
      <c r="Y957" s="0" t="s">
        <v>499</v>
      </c>
      <c r="AV957" s="68"/>
      <c r="AW957" s="68"/>
      <c r="AY957" s="27"/>
      <c r="BD957" s="68">
        <v>46054.1666666667</v>
      </c>
      <c r="BE957" s="68">
        <v>46082.1666666667</v>
      </c>
      <c r="BF957" s="0" t="b">
        <v>0</v>
      </c>
      <c r="BG957" s="0" t="b">
        <v>0</v>
      </c>
      <c r="BH957" s="0">
        <v>28</v>
      </c>
      <c r="BI957" s="0">
        <v>28</v>
      </c>
      <c r="BJ957" s="0" t="s">
        <v>135</v>
      </c>
    </row>
    <row r="958">
      <c r="A958" s="0" t="s">
        <v>1159</v>
      </c>
      <c r="B958" s="0" t="s">
        <v>134</v>
      </c>
      <c r="C958" s="0" t="s">
        <v>134</v>
      </c>
      <c r="D958" s="0" t="s">
        <v>230</v>
      </c>
      <c r="E958" s="0" t="s">
        <v>3</v>
      </c>
      <c r="F958" s="0" t="s">
        <v>10</v>
      </c>
      <c r="G958" s="0" t="s">
        <v>8</v>
      </c>
      <c r="H958" s="0">
        <v>2198</v>
      </c>
      <c r="I958" s="0">
        <v>25</v>
      </c>
      <c r="J958" s="0">
        <v>0</v>
      </c>
      <c r="K958" s="0">
        <v>1</v>
      </c>
      <c r="L958" s="0">
        <v>1</v>
      </c>
      <c r="M958" s="0">
        <v>1</v>
      </c>
      <c r="N958" s="0">
        <v>0</v>
      </c>
      <c r="O958" s="0">
        <v>0</v>
      </c>
      <c r="P958" s="0">
        <v>-25</v>
      </c>
      <c r="Q958" s="0" t="s">
        <v>1160</v>
      </c>
      <c r="R958" s="0" t="b">
        <v>0</v>
      </c>
      <c r="S958" s="0" t="b">
        <v>1</v>
      </c>
      <c r="T958" s="68">
        <v>43855.8923611111</v>
      </c>
      <c r="U958" s="68">
        <v>43887.5</v>
      </c>
      <c r="V958" s="68">
        <v>0</v>
      </c>
      <c r="W958" s="0">
        <f>IF(IF(B958="none",1,IF(B958="Trialer",1,0))+IF(C958="Customer",1,IF(C958="Lost",1,0))=2,1,0)</f>
      </c>
      <c r="X958" s="0" t="s">
        <v>148</v>
      </c>
      <c r="Y958" s="0" t="s">
        <v>243</v>
      </c>
      <c r="AV958" s="68"/>
      <c r="AW958" s="68"/>
      <c r="AY958" s="27"/>
      <c r="BD958" s="68">
        <v>46054.1666666667</v>
      </c>
      <c r="BE958" s="68">
        <v>46082.1666666667</v>
      </c>
      <c r="BF958" s="0" t="b">
        <v>0</v>
      </c>
      <c r="BG958" s="0" t="b">
        <v>0</v>
      </c>
      <c r="BH958" s="0">
        <v>28</v>
      </c>
      <c r="BI958" s="0">
        <v>28</v>
      </c>
      <c r="BJ958" s="0" t="s">
        <v>230</v>
      </c>
    </row>
    <row r="959">
      <c r="A959" s="0" t="s">
        <v>1161</v>
      </c>
      <c r="B959" s="0" t="s">
        <v>134</v>
      </c>
      <c r="C959" s="0" t="s">
        <v>134</v>
      </c>
      <c r="D959" s="0" t="s">
        <v>230</v>
      </c>
      <c r="E959" s="0" t="s">
        <v>3</v>
      </c>
      <c r="F959" s="0" t="s">
        <v>12</v>
      </c>
      <c r="G959" s="0" t="s">
        <v>8</v>
      </c>
      <c r="H959" s="0">
        <v>2195</v>
      </c>
      <c r="I959" s="0">
        <v>220</v>
      </c>
      <c r="J959" s="0">
        <v>0</v>
      </c>
      <c r="K959" s="0">
        <v>1</v>
      </c>
      <c r="L959" s="0">
        <v>3</v>
      </c>
      <c r="M959" s="0">
        <v>5</v>
      </c>
      <c r="N959" s="0">
        <v>0</v>
      </c>
      <c r="O959" s="0">
        <v>0</v>
      </c>
      <c r="P959" s="0">
        <v>-220</v>
      </c>
      <c r="R959" s="0" t="b">
        <v>0</v>
      </c>
      <c r="S959" s="0" t="b">
        <v>1</v>
      </c>
      <c r="T959" s="68">
        <v>43858.51125</v>
      </c>
      <c r="U959" s="68">
        <v>43888.2916666667</v>
      </c>
      <c r="V959" s="68">
        <v>0</v>
      </c>
      <c r="W959" s="0">
        <f>IF(IF(B959="none",1,IF(B959="Trialer",1,0))+IF(C959="Customer",1,IF(C959="Lost",1,0))=2,1,0)</f>
      </c>
      <c r="X959" s="0" t="s">
        <v>136</v>
      </c>
      <c r="Y959" s="0" t="s">
        <v>243</v>
      </c>
      <c r="AV959" s="68"/>
      <c r="AW959" s="68"/>
      <c r="AY959" s="27"/>
      <c r="BD959" s="68">
        <v>46054.1666666667</v>
      </c>
      <c r="BE959" s="68">
        <v>46082.1666666667</v>
      </c>
      <c r="BF959" s="0" t="b">
        <v>0</v>
      </c>
      <c r="BG959" s="0" t="b">
        <v>0</v>
      </c>
      <c r="BH959" s="0">
        <v>245</v>
      </c>
      <c r="BI959" s="0">
        <v>245</v>
      </c>
      <c r="BJ959" s="0" t="s">
        <v>230</v>
      </c>
    </row>
    <row r="960">
      <c r="A960" s="0" t="s">
        <v>1162</v>
      </c>
      <c r="B960" s="0" t="s">
        <v>134</v>
      </c>
      <c r="C960" s="0" t="s">
        <v>134</v>
      </c>
      <c r="D960" s="0" t="s">
        <v>135</v>
      </c>
      <c r="E960" s="0" t="s">
        <v>3</v>
      </c>
      <c r="F960" s="0" t="s">
        <v>12</v>
      </c>
      <c r="G960" s="0" t="s">
        <v>8</v>
      </c>
      <c r="H960" s="0">
        <v>2195</v>
      </c>
      <c r="I960" s="0">
        <v>0</v>
      </c>
      <c r="J960" s="0">
        <v>0</v>
      </c>
      <c r="K960" s="0">
        <v>1</v>
      </c>
      <c r="L960" s="0">
        <v>5</v>
      </c>
      <c r="M960" s="0">
        <v>1</v>
      </c>
      <c r="N960" s="0">
        <v>0</v>
      </c>
      <c r="O960" s="0">
        <v>0</v>
      </c>
      <c r="P960" s="0">
        <v>0</v>
      </c>
      <c r="R960" s="0" t="b">
        <v>0</v>
      </c>
      <c r="S960" s="0" t="b">
        <v>1</v>
      </c>
      <c r="T960" s="68">
        <v>43858.8134490741</v>
      </c>
      <c r="U960" s="68">
        <v>43859.2916666667</v>
      </c>
      <c r="V960" s="68">
        <v>0</v>
      </c>
      <c r="W960" s="0">
        <f>IF(IF(B960="none",1,IF(B960="Trialer",1,0))+IF(C960="Customer",1,IF(C960="Lost",1,0))=2,1,0)</f>
      </c>
      <c r="X960" s="0" t="s">
        <v>148</v>
      </c>
      <c r="Y960" s="0" t="s">
        <v>243</v>
      </c>
      <c r="AV960" s="68"/>
      <c r="AW960" s="68"/>
      <c r="AY960" s="27"/>
      <c r="BD960" s="68">
        <v>46054.1666666667</v>
      </c>
      <c r="BE960" s="68">
        <v>46082.1666666667</v>
      </c>
      <c r="BF960" s="0" t="b">
        <v>0</v>
      </c>
      <c r="BG960" s="0" t="b">
        <v>0</v>
      </c>
      <c r="BH960" s="0">
        <v>0</v>
      </c>
      <c r="BI960" s="0">
        <v>0</v>
      </c>
      <c r="BJ960" s="0" t="s">
        <v>135</v>
      </c>
    </row>
    <row r="961">
      <c r="A961" s="0" t="s">
        <v>1163</v>
      </c>
      <c r="B961" s="0" t="s">
        <v>134</v>
      </c>
      <c r="C961" s="0" t="s">
        <v>134</v>
      </c>
      <c r="D961" s="0" t="s">
        <v>135</v>
      </c>
      <c r="E961" s="0" t="s">
        <v>2</v>
      </c>
      <c r="F961" s="0" t="s">
        <v>12</v>
      </c>
      <c r="G961" s="0" t="s">
        <v>8</v>
      </c>
      <c r="H961" s="0">
        <v>2195</v>
      </c>
      <c r="I961" s="0">
        <v>40</v>
      </c>
      <c r="J961" s="0">
        <v>0</v>
      </c>
      <c r="K961" s="0">
        <v>1</v>
      </c>
      <c r="L961" s="0">
        <v>2</v>
      </c>
      <c r="M961" s="0">
        <v>1</v>
      </c>
      <c r="N961" s="0">
        <v>0</v>
      </c>
      <c r="O961" s="0">
        <v>0</v>
      </c>
      <c r="P961" s="0">
        <v>0</v>
      </c>
      <c r="R961" s="0" t="b">
        <v>0</v>
      </c>
      <c r="S961" s="0" t="b">
        <v>1</v>
      </c>
      <c r="T961" s="68">
        <v>43858.8581712963</v>
      </c>
      <c r="U961" s="68">
        <v>43888.2916666667</v>
      </c>
      <c r="V961" s="68">
        <v>0</v>
      </c>
      <c r="W961" s="0">
        <f>IF(IF(B961="none",1,IF(B961="Trialer",1,0))+IF(C961="Customer",1,IF(C961="Lost",1,0))=2,1,0)</f>
      </c>
      <c r="X961" s="0" t="s">
        <v>142</v>
      </c>
      <c r="Y961" s="0" t="s">
        <v>499</v>
      </c>
      <c r="AV961" s="68"/>
      <c r="AW961" s="68"/>
      <c r="AY961" s="27"/>
      <c r="BD961" s="68">
        <v>46054.1666666667</v>
      </c>
      <c r="BE961" s="68">
        <v>46082.1666666667</v>
      </c>
      <c r="BF961" s="0" t="b">
        <v>0</v>
      </c>
      <c r="BG961" s="0" t="b">
        <v>0</v>
      </c>
      <c r="BH961" s="0">
        <v>40</v>
      </c>
      <c r="BI961" s="0">
        <v>40</v>
      </c>
      <c r="BJ961" s="0" t="s">
        <v>135</v>
      </c>
    </row>
    <row r="962">
      <c r="A962" s="0" t="s">
        <v>1164</v>
      </c>
      <c r="B962" s="0" t="s">
        <v>134</v>
      </c>
      <c r="C962" s="0" t="s">
        <v>134</v>
      </c>
      <c r="D962" s="0" t="s">
        <v>135</v>
      </c>
      <c r="E962" s="0" t="s">
        <v>3</v>
      </c>
      <c r="F962" s="0" t="s">
        <v>12</v>
      </c>
      <c r="G962" s="0" t="s">
        <v>8</v>
      </c>
      <c r="H962" s="0">
        <v>2194</v>
      </c>
      <c r="I962" s="0">
        <v>0</v>
      </c>
      <c r="J962" s="0">
        <v>0</v>
      </c>
      <c r="K962" s="0">
        <v>1</v>
      </c>
      <c r="L962" s="0">
        <v>3</v>
      </c>
      <c r="M962" s="0">
        <v>1</v>
      </c>
      <c r="N962" s="0">
        <v>0</v>
      </c>
      <c r="O962" s="0">
        <v>0</v>
      </c>
      <c r="P962" s="0">
        <v>0</v>
      </c>
      <c r="R962" s="0" t="b">
        <v>0</v>
      </c>
      <c r="S962" s="0" t="b">
        <v>1</v>
      </c>
      <c r="T962" s="68">
        <v>43859.0534722222</v>
      </c>
      <c r="U962" s="68">
        <v>43889.5</v>
      </c>
      <c r="V962" s="68">
        <v>0</v>
      </c>
      <c r="W962" s="0">
        <f>IF(IF(B962="none",1,IF(B962="Trialer",1,0))+IF(C962="Customer",1,IF(C962="Lost",1,0))=2,1,0)</f>
      </c>
      <c r="X962" s="0" t="s">
        <v>142</v>
      </c>
      <c r="Y962" s="0" t="s">
        <v>243</v>
      </c>
      <c r="AV962" s="68"/>
      <c r="AW962" s="68"/>
      <c r="AY962" s="27"/>
      <c r="BD962" s="68">
        <v>46054.1666666667</v>
      </c>
      <c r="BE962" s="68">
        <v>46082.1666666667</v>
      </c>
      <c r="BF962" s="0" t="b">
        <v>0</v>
      </c>
      <c r="BG962" s="0" t="b">
        <v>0</v>
      </c>
      <c r="BH962" s="0">
        <v>0</v>
      </c>
      <c r="BI962" s="0">
        <v>0</v>
      </c>
      <c r="BJ962" s="0" t="s">
        <v>135</v>
      </c>
    </row>
    <row r="963">
      <c r="A963" s="0" t="s">
        <v>1165</v>
      </c>
      <c r="B963" s="0" t="s">
        <v>134</v>
      </c>
      <c r="C963" s="0" t="s">
        <v>134</v>
      </c>
      <c r="D963" s="0" t="s">
        <v>230</v>
      </c>
      <c r="E963" s="0" t="s">
        <v>2</v>
      </c>
      <c r="F963" s="0" t="s">
        <v>10</v>
      </c>
      <c r="G963" s="0" t="s">
        <v>8</v>
      </c>
      <c r="H963" s="0">
        <v>2194</v>
      </c>
      <c r="I963" s="0">
        <v>2439</v>
      </c>
      <c r="J963" s="0">
        <v>0</v>
      </c>
      <c r="K963" s="0">
        <v>1</v>
      </c>
      <c r="L963" s="0">
        <v>4</v>
      </c>
      <c r="M963" s="0">
        <v>58</v>
      </c>
      <c r="N963" s="0">
        <v>0</v>
      </c>
      <c r="O963" s="0">
        <v>0</v>
      </c>
      <c r="P963" s="0">
        <v>-2439</v>
      </c>
      <c r="Q963" s="0" t="s">
        <v>357</v>
      </c>
      <c r="R963" s="0" t="b">
        <v>0</v>
      </c>
      <c r="S963" s="0" t="b">
        <v>1</v>
      </c>
      <c r="T963" s="68">
        <v>43859.6826388889</v>
      </c>
      <c r="U963" s="68">
        <v>43889.2916666667</v>
      </c>
      <c r="V963" s="68">
        <v>0</v>
      </c>
      <c r="W963" s="0">
        <f>IF(IF(B963="none",1,IF(B963="Trialer",1,0))+IF(C963="Customer",1,IF(C963="Lost",1,0))=2,1,0)</f>
      </c>
      <c r="X963" s="0" t="s">
        <v>148</v>
      </c>
      <c r="Y963" s="0" t="s">
        <v>499</v>
      </c>
      <c r="AV963" s="68"/>
      <c r="AW963" s="68"/>
      <c r="AY963" s="27"/>
      <c r="BD963" s="68">
        <v>46054.1666666667</v>
      </c>
      <c r="BE963" s="68">
        <v>46082.1666666667</v>
      </c>
      <c r="BF963" s="0" t="b">
        <v>0</v>
      </c>
      <c r="BG963" s="0" t="b">
        <v>0</v>
      </c>
      <c r="BH963" s="0">
        <v>2357</v>
      </c>
      <c r="BI963" s="0">
        <v>2357</v>
      </c>
      <c r="BJ963" s="0" t="s">
        <v>135</v>
      </c>
    </row>
    <row r="964">
      <c r="A964" s="0" t="s">
        <v>1166</v>
      </c>
      <c r="B964" s="0" t="s">
        <v>134</v>
      </c>
      <c r="C964" s="0" t="s">
        <v>134</v>
      </c>
      <c r="D964" s="0" t="s">
        <v>135</v>
      </c>
      <c r="E964" s="0" t="s">
        <v>2</v>
      </c>
      <c r="F964" s="0" t="s">
        <v>12</v>
      </c>
      <c r="G964" s="0" t="s">
        <v>8</v>
      </c>
      <c r="H964" s="0">
        <v>2193</v>
      </c>
      <c r="I964" s="0">
        <v>28</v>
      </c>
      <c r="J964" s="0">
        <v>0</v>
      </c>
      <c r="K964" s="0">
        <v>1</v>
      </c>
      <c r="L964" s="0">
        <v>1</v>
      </c>
      <c r="M964" s="0">
        <v>1</v>
      </c>
      <c r="N964" s="0">
        <v>0</v>
      </c>
      <c r="O964" s="0">
        <v>0</v>
      </c>
      <c r="P964" s="0">
        <v>0</v>
      </c>
      <c r="R964" s="0" t="b">
        <v>0</v>
      </c>
      <c r="S964" s="0" t="b">
        <v>1</v>
      </c>
      <c r="T964" s="68">
        <v>43860.4756944444</v>
      </c>
      <c r="U964" s="68">
        <v>43899.3333333333</v>
      </c>
      <c r="V964" s="68">
        <v>0</v>
      </c>
      <c r="W964" s="0">
        <f>IF(IF(B964="none",1,IF(B964="Trialer",1,0))+IF(C964="Customer",1,IF(C964="Lost",1,0))=2,1,0)</f>
      </c>
      <c r="X964" s="0" t="s">
        <v>142</v>
      </c>
      <c r="Y964" s="0" t="s">
        <v>499</v>
      </c>
      <c r="AV964" s="68"/>
      <c r="AW964" s="68"/>
      <c r="AY964" s="27"/>
      <c r="BD964" s="68">
        <v>46054.1666666667</v>
      </c>
      <c r="BE964" s="68">
        <v>46082.1666666667</v>
      </c>
      <c r="BF964" s="0" t="b">
        <v>0</v>
      </c>
      <c r="BG964" s="0" t="b">
        <v>0</v>
      </c>
      <c r="BH964" s="0">
        <v>28</v>
      </c>
      <c r="BI964" s="0">
        <v>28</v>
      </c>
      <c r="BJ964" s="0" t="s">
        <v>135</v>
      </c>
    </row>
    <row r="965">
      <c r="A965" s="0" t="s">
        <v>1167</v>
      </c>
      <c r="B965" s="0" t="s">
        <v>134</v>
      </c>
      <c r="C965" s="0" t="s">
        <v>134</v>
      </c>
      <c r="D965" s="0" t="s">
        <v>135</v>
      </c>
      <c r="E965" s="0" t="s">
        <v>3</v>
      </c>
      <c r="F965" s="0" t="s">
        <v>12</v>
      </c>
      <c r="G965" s="0" t="s">
        <v>8</v>
      </c>
      <c r="H965" s="0">
        <v>2192</v>
      </c>
      <c r="I965" s="0">
        <v>49</v>
      </c>
      <c r="J965" s="0">
        <v>0</v>
      </c>
      <c r="K965" s="0">
        <v>1</v>
      </c>
      <c r="L965" s="0">
        <v>3</v>
      </c>
      <c r="M965" s="0">
        <v>1</v>
      </c>
      <c r="N965" s="0">
        <v>0</v>
      </c>
      <c r="O965" s="0">
        <v>0</v>
      </c>
      <c r="P965" s="0">
        <v>0</v>
      </c>
      <c r="R965" s="0" t="b">
        <v>0</v>
      </c>
      <c r="S965" s="0" t="b">
        <v>1</v>
      </c>
      <c r="T965" s="68">
        <v>43861</v>
      </c>
      <c r="U965" s="68">
        <v>43861.2916666667</v>
      </c>
      <c r="V965" s="68">
        <v>0</v>
      </c>
      <c r="W965" s="0">
        <f>IF(IF(B965="none",1,IF(B965="Trialer",1,0))+IF(C965="Customer",1,IF(C965="Lost",1,0))=2,1,0)</f>
      </c>
      <c r="X965" s="0" t="s">
        <v>148</v>
      </c>
      <c r="Y965" s="0" t="s">
        <v>243</v>
      </c>
      <c r="AV965" s="68"/>
      <c r="AW965" s="68"/>
      <c r="AY965" s="27"/>
      <c r="BD965" s="68">
        <v>46054.1666666667</v>
      </c>
      <c r="BE965" s="68">
        <v>46082.1666666667</v>
      </c>
      <c r="BF965" s="0" t="b">
        <v>0</v>
      </c>
      <c r="BG965" s="0" t="b">
        <v>0</v>
      </c>
      <c r="BH965" s="0">
        <v>49</v>
      </c>
      <c r="BI965" s="0">
        <v>49</v>
      </c>
      <c r="BJ965" s="0" t="s">
        <v>135</v>
      </c>
    </row>
    <row r="966">
      <c r="A966" s="0" t="s">
        <v>1168</v>
      </c>
      <c r="B966" s="0" t="s">
        <v>134</v>
      </c>
      <c r="C966" s="0" t="s">
        <v>134</v>
      </c>
      <c r="D966" s="0" t="s">
        <v>135</v>
      </c>
      <c r="E966" s="0" t="s">
        <v>3</v>
      </c>
      <c r="F966" s="0" t="s">
        <v>12</v>
      </c>
      <c r="G966" s="0" t="s">
        <v>8</v>
      </c>
      <c r="H966" s="0">
        <v>2192</v>
      </c>
      <c r="I966" s="0">
        <v>203</v>
      </c>
      <c r="J966" s="0">
        <v>0</v>
      </c>
      <c r="K966" s="0">
        <v>1</v>
      </c>
      <c r="L966" s="0">
        <v>3</v>
      </c>
      <c r="M966" s="0">
        <v>5</v>
      </c>
      <c r="N966" s="0">
        <v>0</v>
      </c>
      <c r="O966" s="0">
        <v>0</v>
      </c>
      <c r="P966" s="0">
        <v>0</v>
      </c>
      <c r="R966" s="0" t="b">
        <v>0</v>
      </c>
      <c r="S966" s="0" t="b">
        <v>1</v>
      </c>
      <c r="T966" s="68">
        <v>43861</v>
      </c>
      <c r="U966" s="68">
        <v>43861.2916666667</v>
      </c>
      <c r="V966" s="68">
        <v>0</v>
      </c>
      <c r="W966" s="0">
        <f>IF(IF(B966="none",1,IF(B966="Trialer",1,0))+IF(C966="Customer",1,IF(C966="Lost",1,0))=2,1,0)</f>
      </c>
      <c r="X966" s="0" t="s">
        <v>148</v>
      </c>
      <c r="Y966" s="0" t="s">
        <v>243</v>
      </c>
      <c r="AV966" s="68"/>
      <c r="AW966" s="68"/>
      <c r="AY966" s="27"/>
      <c r="BD966" s="68">
        <v>46054.1666666667</v>
      </c>
      <c r="BE966" s="68">
        <v>46082.1666666667</v>
      </c>
      <c r="BF966" s="0" t="b">
        <v>0</v>
      </c>
      <c r="BG966" s="0" t="b">
        <v>0</v>
      </c>
      <c r="BH966" s="0">
        <v>203</v>
      </c>
      <c r="BI966" s="0">
        <v>203</v>
      </c>
      <c r="BJ966" s="0" t="s">
        <v>135</v>
      </c>
    </row>
    <row r="967">
      <c r="A967" s="0" t="s">
        <v>1169</v>
      </c>
      <c r="B967" s="0" t="s">
        <v>134</v>
      </c>
      <c r="C967" s="0" t="s">
        <v>134</v>
      </c>
      <c r="D967" s="0" t="s">
        <v>135</v>
      </c>
      <c r="E967" s="0" t="s">
        <v>3</v>
      </c>
      <c r="F967" s="0" t="s">
        <v>12</v>
      </c>
      <c r="G967" s="0" t="s">
        <v>8</v>
      </c>
      <c r="H967" s="0">
        <v>2192</v>
      </c>
      <c r="I967" s="0">
        <v>49</v>
      </c>
      <c r="J967" s="0">
        <v>0</v>
      </c>
      <c r="K967" s="0">
        <v>1</v>
      </c>
      <c r="L967" s="0">
        <v>3</v>
      </c>
      <c r="M967" s="0">
        <v>1</v>
      </c>
      <c r="N967" s="0">
        <v>0</v>
      </c>
      <c r="O967" s="0">
        <v>0</v>
      </c>
      <c r="P967" s="0">
        <v>0</v>
      </c>
      <c r="R967" s="0" t="b">
        <v>0</v>
      </c>
      <c r="S967" s="0" t="b">
        <v>1</v>
      </c>
      <c r="T967" s="68">
        <v>43861</v>
      </c>
      <c r="U967" s="68">
        <v>43861.2916666667</v>
      </c>
      <c r="V967" s="68">
        <v>0</v>
      </c>
      <c r="W967" s="0">
        <f>IF(IF(B967="none",1,IF(B967="Trialer",1,0))+IF(C967="Customer",1,IF(C967="Lost",1,0))=2,1,0)</f>
      </c>
      <c r="X967" s="0" t="s">
        <v>148</v>
      </c>
      <c r="Y967" s="0" t="s">
        <v>243</v>
      </c>
      <c r="AV967" s="68"/>
      <c r="AW967" s="68"/>
      <c r="AY967" s="27"/>
      <c r="BD967" s="68">
        <v>46054.1666666667</v>
      </c>
      <c r="BE967" s="68">
        <v>46082.1666666667</v>
      </c>
      <c r="BF967" s="0" t="b">
        <v>0</v>
      </c>
      <c r="BG967" s="0" t="b">
        <v>0</v>
      </c>
      <c r="BH967" s="0">
        <v>49</v>
      </c>
      <c r="BI967" s="0">
        <v>49</v>
      </c>
      <c r="BJ967" s="0" t="s">
        <v>135</v>
      </c>
    </row>
    <row r="968">
      <c r="A968" s="0" t="s">
        <v>1170</v>
      </c>
      <c r="B968" s="0" t="s">
        <v>134</v>
      </c>
      <c r="C968" s="0" t="s">
        <v>134</v>
      </c>
      <c r="D968" s="0" t="s">
        <v>135</v>
      </c>
      <c r="E968" s="0" t="s">
        <v>3</v>
      </c>
      <c r="F968" s="0" t="s">
        <v>12</v>
      </c>
      <c r="G968" s="0" t="s">
        <v>8</v>
      </c>
      <c r="H968" s="0">
        <v>2192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R968" s="0" t="b">
        <v>0</v>
      </c>
      <c r="S968" s="0" t="b">
        <v>1</v>
      </c>
      <c r="T968" s="68">
        <v>43861</v>
      </c>
      <c r="U968" s="68">
        <v>43861.2916666667</v>
      </c>
      <c r="V968" s="68">
        <v>0</v>
      </c>
      <c r="W968" s="0">
        <f>IF(IF(B968="none",1,IF(B968="Trialer",1,0))+IF(C968="Customer",1,IF(C968="Lost",1,0))=2,1,0)</f>
      </c>
      <c r="X968" s="0" t="s">
        <v>148</v>
      </c>
      <c r="Y968" s="0" t="s">
        <v>243</v>
      </c>
      <c r="AV968" s="68"/>
      <c r="AW968" s="68"/>
      <c r="AY968" s="27"/>
      <c r="BD968" s="68">
        <v>46054.1666666667</v>
      </c>
      <c r="BE968" s="68">
        <v>46082.1666666667</v>
      </c>
      <c r="BF968" s="0" t="b">
        <v>0</v>
      </c>
      <c r="BG968" s="0" t="b">
        <v>0</v>
      </c>
      <c r="BH968" s="0">
        <v>0</v>
      </c>
      <c r="BI968" s="0">
        <v>0</v>
      </c>
      <c r="BJ968" s="0" t="s">
        <v>135</v>
      </c>
    </row>
    <row r="969">
      <c r="A969" s="0" t="s">
        <v>1171</v>
      </c>
      <c r="B969" s="0" t="s">
        <v>134</v>
      </c>
      <c r="C969" s="0" t="s">
        <v>134</v>
      </c>
      <c r="D969" s="0" t="s">
        <v>230</v>
      </c>
      <c r="E969" s="0" t="s">
        <v>3</v>
      </c>
      <c r="F969" s="0" t="s">
        <v>10</v>
      </c>
      <c r="G969" s="0" t="s">
        <v>8</v>
      </c>
      <c r="H969" s="0">
        <v>2192</v>
      </c>
      <c r="I969" s="0">
        <v>75</v>
      </c>
      <c r="J969" s="0">
        <v>0</v>
      </c>
      <c r="K969" s="0">
        <v>1</v>
      </c>
      <c r="L969" s="0">
        <v>1</v>
      </c>
      <c r="M969" s="0">
        <v>3</v>
      </c>
      <c r="N969" s="0">
        <v>0</v>
      </c>
      <c r="O969" s="0">
        <v>0</v>
      </c>
      <c r="P969" s="0">
        <v>-75</v>
      </c>
      <c r="Q969" s="0" t="s">
        <v>498</v>
      </c>
      <c r="R969" s="0" t="b">
        <v>0</v>
      </c>
      <c r="S969" s="0" t="b">
        <v>1</v>
      </c>
      <c r="T969" s="68">
        <v>43861.3870138889</v>
      </c>
      <c r="U969" s="68">
        <v>43892.2916666667</v>
      </c>
      <c r="V969" s="68">
        <v>0</v>
      </c>
      <c r="W969" s="0">
        <f>IF(IF(B969="none",1,IF(B969="Trialer",1,0))+IF(C969="Customer",1,IF(C969="Lost",1,0))=2,1,0)</f>
      </c>
      <c r="X969" s="0" t="s">
        <v>136</v>
      </c>
      <c r="Y969" s="0" t="s">
        <v>243</v>
      </c>
      <c r="AV969" s="68"/>
      <c r="AW969" s="68"/>
      <c r="AY969" s="27"/>
      <c r="BD969" s="68">
        <v>46054.1666666667</v>
      </c>
      <c r="BE969" s="68">
        <v>46082.1666666667</v>
      </c>
      <c r="BF969" s="0" t="b">
        <v>0</v>
      </c>
      <c r="BG969" s="0" t="b">
        <v>0</v>
      </c>
      <c r="BH969" s="0">
        <v>84</v>
      </c>
      <c r="BI969" s="0">
        <v>84</v>
      </c>
      <c r="BJ969" s="0" t="s">
        <v>230</v>
      </c>
    </row>
    <row r="970">
      <c r="A970" s="0" t="s">
        <v>1172</v>
      </c>
      <c r="B970" s="0" t="s">
        <v>134</v>
      </c>
      <c r="C970" s="0" t="s">
        <v>134</v>
      </c>
      <c r="D970" s="0" t="s">
        <v>135</v>
      </c>
      <c r="E970" s="0" t="s">
        <v>3</v>
      </c>
      <c r="F970" s="0" t="s">
        <v>12</v>
      </c>
      <c r="G970" s="0" t="s">
        <v>8</v>
      </c>
      <c r="H970" s="0">
        <v>2192</v>
      </c>
      <c r="I970" s="0">
        <v>56</v>
      </c>
      <c r="J970" s="0">
        <v>0</v>
      </c>
      <c r="K970" s="0">
        <v>1</v>
      </c>
      <c r="L970" s="0">
        <v>1</v>
      </c>
      <c r="M970" s="0">
        <v>2</v>
      </c>
      <c r="N970" s="0">
        <v>0</v>
      </c>
      <c r="O970" s="0">
        <v>0</v>
      </c>
      <c r="P970" s="0">
        <v>0</v>
      </c>
      <c r="R970" s="0" t="b">
        <v>0</v>
      </c>
      <c r="S970" s="0" t="b">
        <v>1</v>
      </c>
      <c r="T970" s="68">
        <v>43861.6600115741</v>
      </c>
      <c r="U970" s="68">
        <v>43891.2916666667</v>
      </c>
      <c r="V970" s="68">
        <v>0</v>
      </c>
      <c r="W970" s="0">
        <f>IF(IF(B970="none",1,IF(B970="Trialer",1,0))+IF(C970="Customer",1,IF(C970="Lost",1,0))=2,1,0)</f>
      </c>
      <c r="X970" s="0" t="s">
        <v>166</v>
      </c>
      <c r="Y970" s="0" t="s">
        <v>487</v>
      </c>
      <c r="AV970" s="68"/>
      <c r="AW970" s="68"/>
      <c r="AY970" s="27"/>
      <c r="BD970" s="68">
        <v>46054.1666666667</v>
      </c>
      <c r="BE970" s="68">
        <v>46082.1666666667</v>
      </c>
      <c r="BF970" s="0" t="b">
        <v>0</v>
      </c>
      <c r="BG970" s="0" t="b">
        <v>0</v>
      </c>
      <c r="BH970" s="0">
        <v>56</v>
      </c>
      <c r="BI970" s="0">
        <v>56</v>
      </c>
      <c r="BJ970" s="0" t="s">
        <v>135</v>
      </c>
    </row>
    <row r="971">
      <c r="A971" s="0" t="s">
        <v>1173</v>
      </c>
      <c r="B971" s="0" t="s">
        <v>134</v>
      </c>
      <c r="C971" s="0" t="s">
        <v>134</v>
      </c>
      <c r="D971" s="0" t="s">
        <v>230</v>
      </c>
      <c r="E971" s="0" t="s">
        <v>3</v>
      </c>
      <c r="F971" s="0" t="s">
        <v>12</v>
      </c>
      <c r="G971" s="0" t="s">
        <v>8</v>
      </c>
      <c r="H971" s="0">
        <v>2190</v>
      </c>
      <c r="I971" s="0">
        <v>81</v>
      </c>
      <c r="J971" s="0">
        <v>0</v>
      </c>
      <c r="K971" s="0">
        <v>1</v>
      </c>
      <c r="L971" s="0">
        <v>3</v>
      </c>
      <c r="M971" s="0">
        <v>2</v>
      </c>
      <c r="N971" s="0">
        <v>0</v>
      </c>
      <c r="O971" s="0">
        <v>0</v>
      </c>
      <c r="P971" s="0">
        <v>-81</v>
      </c>
      <c r="R971" s="0" t="b">
        <v>0</v>
      </c>
      <c r="S971" s="0" t="b">
        <v>1</v>
      </c>
      <c r="T971" s="68">
        <v>43863.9437384259</v>
      </c>
      <c r="U971" s="68">
        <v>43893.2916666667</v>
      </c>
      <c r="V971" s="68">
        <v>0</v>
      </c>
      <c r="W971" s="0">
        <f>IF(IF(B971="none",1,IF(B971="Trialer",1,0))+IF(C971="Customer",1,IF(C971="Lost",1,0))=2,1,0)</f>
      </c>
      <c r="X971" s="0" t="s">
        <v>142</v>
      </c>
      <c r="Y971" s="0" t="s">
        <v>243</v>
      </c>
      <c r="AV971" s="68"/>
      <c r="AW971" s="68"/>
      <c r="AY971" s="27"/>
      <c r="BD971" s="68">
        <v>46054.1666666667</v>
      </c>
      <c r="BE971" s="68">
        <v>46082.1666666667</v>
      </c>
      <c r="BF971" s="0" t="b">
        <v>0</v>
      </c>
      <c r="BG971" s="0" t="b">
        <v>0</v>
      </c>
      <c r="BH971" s="0">
        <v>92</v>
      </c>
      <c r="BI971" s="0">
        <v>92</v>
      </c>
      <c r="BJ971" s="0" t="s">
        <v>230</v>
      </c>
    </row>
    <row r="972">
      <c r="A972" s="0" t="s">
        <v>1174</v>
      </c>
      <c r="B972" s="0" t="s">
        <v>134</v>
      </c>
      <c r="C972" s="0" t="s">
        <v>134</v>
      </c>
      <c r="D972" s="0" t="s">
        <v>135</v>
      </c>
      <c r="E972" s="0" t="s">
        <v>3</v>
      </c>
      <c r="F972" s="0" t="s">
        <v>12</v>
      </c>
      <c r="G972" s="0" t="s">
        <v>8</v>
      </c>
      <c r="H972" s="0">
        <v>2189</v>
      </c>
      <c r="I972" s="0">
        <v>0</v>
      </c>
      <c r="J972" s="0">
        <v>0</v>
      </c>
      <c r="K972" s="0">
        <v>1</v>
      </c>
      <c r="L972" s="0">
        <v>3</v>
      </c>
      <c r="M972" s="0">
        <v>2</v>
      </c>
      <c r="N972" s="0">
        <v>0</v>
      </c>
      <c r="O972" s="0">
        <v>0</v>
      </c>
      <c r="P972" s="0">
        <v>0</v>
      </c>
      <c r="R972" s="0" t="b">
        <v>0</v>
      </c>
      <c r="S972" s="0" t="b">
        <v>1</v>
      </c>
      <c r="T972" s="68">
        <v>43864.6740046296</v>
      </c>
      <c r="U972" s="68">
        <v>43864.2916666667</v>
      </c>
      <c r="V972" s="68">
        <v>0</v>
      </c>
      <c r="W972" s="0">
        <f>IF(IF(B972="none",1,IF(B972="Trialer",1,0))+IF(C972="Customer",1,IF(C972="Lost",1,0))=2,1,0)</f>
      </c>
      <c r="X972" s="0" t="s">
        <v>148</v>
      </c>
      <c r="Y972" s="0" t="s">
        <v>243</v>
      </c>
      <c r="AV972" s="68"/>
      <c r="AW972" s="68"/>
      <c r="AY972" s="27"/>
      <c r="BD972" s="68">
        <v>46054.1666666667</v>
      </c>
      <c r="BE972" s="68">
        <v>46082.1666666667</v>
      </c>
      <c r="BF972" s="0" t="b">
        <v>0</v>
      </c>
      <c r="BG972" s="0" t="b">
        <v>0</v>
      </c>
      <c r="BH972" s="0">
        <v>0</v>
      </c>
      <c r="BI972" s="0">
        <v>0</v>
      </c>
      <c r="BJ972" s="0" t="s">
        <v>135</v>
      </c>
    </row>
    <row r="973">
      <c r="A973" s="0" t="s">
        <v>1175</v>
      </c>
      <c r="B973" s="0" t="s">
        <v>134</v>
      </c>
      <c r="C973" s="0" t="s">
        <v>134</v>
      </c>
      <c r="D973" s="0" t="s">
        <v>135</v>
      </c>
      <c r="E973" s="0" t="s">
        <v>3</v>
      </c>
      <c r="F973" s="0" t="s">
        <v>12</v>
      </c>
      <c r="G973" s="0" t="s">
        <v>8</v>
      </c>
      <c r="H973" s="0">
        <v>2188</v>
      </c>
      <c r="I973" s="0">
        <v>129</v>
      </c>
      <c r="J973" s="0">
        <v>0</v>
      </c>
      <c r="K973" s="0">
        <v>1</v>
      </c>
      <c r="L973" s="0">
        <v>3</v>
      </c>
      <c r="M973" s="0">
        <v>3</v>
      </c>
      <c r="N973" s="0">
        <v>0</v>
      </c>
      <c r="O973" s="0">
        <v>0</v>
      </c>
      <c r="P973" s="0">
        <v>0</v>
      </c>
      <c r="R973" s="0" t="b">
        <v>0</v>
      </c>
      <c r="S973" s="0" t="b">
        <v>1</v>
      </c>
      <c r="T973" s="68">
        <v>43865.6013888889</v>
      </c>
      <c r="U973" s="68">
        <v>43895.2916666667</v>
      </c>
      <c r="V973" s="68">
        <v>0</v>
      </c>
      <c r="W973" s="0">
        <f>IF(IF(B973="none",1,IF(B973="Trialer",1,0))+IF(C973="Customer",1,IF(C973="Lost",1,0))=2,1,0)</f>
      </c>
      <c r="X973" s="0" t="s">
        <v>153</v>
      </c>
      <c r="Y973" s="0" t="s">
        <v>243</v>
      </c>
      <c r="AV973" s="68"/>
      <c r="AW973" s="68"/>
      <c r="AY973" s="27"/>
      <c r="BD973" s="68">
        <v>46054.1666666667</v>
      </c>
      <c r="BE973" s="68">
        <v>46082.1666666667</v>
      </c>
      <c r="BF973" s="0" t="b">
        <v>0</v>
      </c>
      <c r="BG973" s="0" t="b">
        <v>0</v>
      </c>
      <c r="BH973" s="0">
        <v>129</v>
      </c>
      <c r="BI973" s="0">
        <v>129</v>
      </c>
      <c r="BJ973" s="0" t="s">
        <v>135</v>
      </c>
    </row>
    <row r="974">
      <c r="A974" s="0" t="s">
        <v>1176</v>
      </c>
      <c r="B974" s="0" t="s">
        <v>134</v>
      </c>
      <c r="C974" s="0" t="s">
        <v>134</v>
      </c>
      <c r="D974" s="0" t="s">
        <v>135</v>
      </c>
      <c r="E974" s="0" t="s">
        <v>2</v>
      </c>
      <c r="F974" s="0" t="s">
        <v>12</v>
      </c>
      <c r="G974" s="0" t="s">
        <v>8</v>
      </c>
      <c r="H974" s="0">
        <v>2186</v>
      </c>
      <c r="I974" s="0">
        <v>28</v>
      </c>
      <c r="J974" s="0">
        <v>0</v>
      </c>
      <c r="K974" s="0">
        <v>1</v>
      </c>
      <c r="L974" s="0">
        <v>1</v>
      </c>
      <c r="M974" s="0">
        <v>1</v>
      </c>
      <c r="N974" s="0">
        <v>0</v>
      </c>
      <c r="O974" s="0">
        <v>0</v>
      </c>
      <c r="P974" s="0">
        <v>0</v>
      </c>
      <c r="R974" s="0" t="b">
        <v>0</v>
      </c>
      <c r="S974" s="0" t="b">
        <v>1</v>
      </c>
      <c r="T974" s="68">
        <v>43867.3847569444</v>
      </c>
      <c r="U974" s="68">
        <v>43899.3333333333</v>
      </c>
      <c r="V974" s="68">
        <v>0</v>
      </c>
      <c r="W974" s="0">
        <f>IF(IF(B974="none",1,IF(B974="Trialer",1,0))+IF(C974="Customer",1,IF(C974="Lost",1,0))=2,1,0)</f>
      </c>
      <c r="X974" s="0" t="s">
        <v>166</v>
      </c>
      <c r="Y974" s="0" t="s">
        <v>499</v>
      </c>
      <c r="AV974" s="68"/>
      <c r="AW974" s="68"/>
      <c r="AY974" s="27"/>
      <c r="BD974" s="68">
        <v>46054.1666666667</v>
      </c>
      <c r="BE974" s="68">
        <v>46082.1666666667</v>
      </c>
      <c r="BF974" s="0" t="b">
        <v>0</v>
      </c>
      <c r="BG974" s="0" t="b">
        <v>0</v>
      </c>
      <c r="BH974" s="0">
        <v>28</v>
      </c>
      <c r="BI974" s="0">
        <v>28</v>
      </c>
      <c r="BJ974" s="0" t="s">
        <v>135</v>
      </c>
    </row>
    <row r="975">
      <c r="A975" s="0" t="s">
        <v>1177</v>
      </c>
      <c r="B975" s="0" t="s">
        <v>134</v>
      </c>
      <c r="C975" s="0" t="s">
        <v>134</v>
      </c>
      <c r="D975" s="0" t="s">
        <v>135</v>
      </c>
      <c r="E975" s="0" t="s">
        <v>2</v>
      </c>
      <c r="F975" s="0" t="s">
        <v>12</v>
      </c>
      <c r="G975" s="0" t="s">
        <v>8</v>
      </c>
      <c r="H975" s="0">
        <v>2180</v>
      </c>
      <c r="I975" s="0">
        <v>240</v>
      </c>
      <c r="J975" s="0">
        <v>0</v>
      </c>
      <c r="K975" s="0">
        <v>1</v>
      </c>
      <c r="L975" s="0">
        <v>2</v>
      </c>
      <c r="M975" s="0">
        <v>6</v>
      </c>
      <c r="N975" s="0">
        <v>0</v>
      </c>
      <c r="O975" s="0">
        <v>0</v>
      </c>
      <c r="P975" s="0">
        <v>0</v>
      </c>
      <c r="R975" s="0" t="b">
        <v>0</v>
      </c>
      <c r="S975" s="0" t="b">
        <v>1</v>
      </c>
      <c r="T975" s="68">
        <v>43873.6298611111</v>
      </c>
      <c r="U975" s="68">
        <v>43941.5</v>
      </c>
      <c r="V975" s="68">
        <v>0</v>
      </c>
      <c r="W975" s="0">
        <f>IF(IF(B975="none",1,IF(B975="Trialer",1,0))+IF(C975="Customer",1,IF(C975="Lost",1,0))=2,1,0)</f>
      </c>
      <c r="X975" s="0" t="s">
        <v>148</v>
      </c>
      <c r="Y975" s="0" t="s">
        <v>499</v>
      </c>
      <c r="AV975" s="68"/>
      <c r="AW975" s="68"/>
      <c r="AY975" s="27"/>
      <c r="BD975" s="68">
        <v>46054.1666666667</v>
      </c>
      <c r="BE975" s="68">
        <v>46082.1666666667</v>
      </c>
      <c r="BF975" s="0" t="b">
        <v>0</v>
      </c>
      <c r="BG975" s="0" t="b">
        <v>0</v>
      </c>
      <c r="BH975" s="0">
        <v>240</v>
      </c>
      <c r="BI975" s="0">
        <v>240</v>
      </c>
      <c r="BJ975" s="0" t="s">
        <v>135</v>
      </c>
    </row>
    <row r="976">
      <c r="A976" s="0" t="s">
        <v>1178</v>
      </c>
      <c r="B976" s="0" t="s">
        <v>134</v>
      </c>
      <c r="C976" s="0" t="s">
        <v>134</v>
      </c>
      <c r="D976" s="0" t="s">
        <v>135</v>
      </c>
      <c r="E976" s="0" t="s">
        <v>3</v>
      </c>
      <c r="F976" s="0" t="s">
        <v>12</v>
      </c>
      <c r="G976" s="0" t="s">
        <v>8</v>
      </c>
      <c r="H976" s="0">
        <v>2179</v>
      </c>
      <c r="I976" s="0">
        <v>49</v>
      </c>
      <c r="J976" s="0">
        <v>0</v>
      </c>
      <c r="K976" s="0">
        <v>1</v>
      </c>
      <c r="L976" s="0">
        <v>3</v>
      </c>
      <c r="M976" s="0">
        <v>1</v>
      </c>
      <c r="N976" s="0">
        <v>0</v>
      </c>
      <c r="O976" s="0">
        <v>0</v>
      </c>
      <c r="P976" s="0">
        <v>0</v>
      </c>
      <c r="R976" s="0" t="b">
        <v>0</v>
      </c>
      <c r="S976" s="0" t="b">
        <v>1</v>
      </c>
      <c r="T976" s="68">
        <v>43874.5939467593</v>
      </c>
      <c r="U976" s="68">
        <v>43904.3333333333</v>
      </c>
      <c r="V976" s="68">
        <v>0</v>
      </c>
      <c r="W976" s="0">
        <f>IF(IF(B976="none",1,IF(B976="Trialer",1,0))+IF(C976="Customer",1,IF(C976="Lost",1,0))=2,1,0)</f>
      </c>
      <c r="X976" s="0" t="s">
        <v>142</v>
      </c>
      <c r="Y976" s="0" t="s">
        <v>243</v>
      </c>
      <c r="AV976" s="68"/>
      <c r="AW976" s="68"/>
      <c r="AY976" s="27"/>
      <c r="BD976" s="68">
        <v>46054.1666666667</v>
      </c>
      <c r="BE976" s="68">
        <v>46082.1666666667</v>
      </c>
      <c r="BF976" s="0" t="b">
        <v>0</v>
      </c>
      <c r="BG976" s="0" t="b">
        <v>0</v>
      </c>
      <c r="BH976" s="0">
        <v>49</v>
      </c>
      <c r="BI976" s="0">
        <v>49</v>
      </c>
      <c r="BJ976" s="0" t="s">
        <v>135</v>
      </c>
    </row>
    <row r="977">
      <c r="A977" s="0" t="s">
        <v>1179</v>
      </c>
      <c r="B977" s="0" t="s">
        <v>134</v>
      </c>
      <c r="C977" s="0" t="s">
        <v>134</v>
      </c>
      <c r="D977" s="0" t="s">
        <v>135</v>
      </c>
      <c r="E977" s="0" t="s">
        <v>2</v>
      </c>
      <c r="F977" s="0" t="s">
        <v>12</v>
      </c>
      <c r="G977" s="0" t="s">
        <v>8</v>
      </c>
      <c r="H977" s="0">
        <v>2178</v>
      </c>
      <c r="I977" s="0">
        <v>0</v>
      </c>
      <c r="J977" s="0">
        <v>0</v>
      </c>
      <c r="K977" s="0">
        <v>1</v>
      </c>
      <c r="L977" s="0">
        <v>3</v>
      </c>
      <c r="M977" s="0">
        <v>2</v>
      </c>
      <c r="N977" s="0">
        <v>0</v>
      </c>
      <c r="O977" s="0">
        <v>0</v>
      </c>
      <c r="P977" s="0">
        <v>0</v>
      </c>
      <c r="R977" s="0" t="b">
        <v>0</v>
      </c>
      <c r="S977" s="0" t="b">
        <v>1</v>
      </c>
      <c r="T977" s="68">
        <v>43875.6389351852</v>
      </c>
      <c r="U977" s="68">
        <v>43905.3333333333</v>
      </c>
      <c r="V977" s="68">
        <v>0</v>
      </c>
      <c r="W977" s="0">
        <f>IF(IF(B977="none",1,IF(B977="Trialer",1,0))+IF(C977="Customer",1,IF(C977="Lost",1,0))=2,1,0)</f>
      </c>
      <c r="X977" s="0" t="s">
        <v>136</v>
      </c>
      <c r="Y977" s="0" t="s">
        <v>499</v>
      </c>
      <c r="AV977" s="68"/>
      <c r="AW977" s="68"/>
      <c r="AY977" s="27"/>
      <c r="BD977" s="68">
        <v>46054.1666666667</v>
      </c>
      <c r="BE977" s="68">
        <v>46082.1666666667</v>
      </c>
      <c r="BF977" s="0" t="b">
        <v>0</v>
      </c>
      <c r="BG977" s="0" t="b">
        <v>0</v>
      </c>
      <c r="BH977" s="0">
        <v>0</v>
      </c>
      <c r="BI977" s="0">
        <v>0</v>
      </c>
      <c r="BJ977" s="0" t="s">
        <v>135</v>
      </c>
    </row>
    <row r="978">
      <c r="A978" s="0" t="s">
        <v>1180</v>
      </c>
      <c r="B978" s="0" t="s">
        <v>134</v>
      </c>
      <c r="C978" s="0" t="s">
        <v>134</v>
      </c>
      <c r="D978" s="0" t="s">
        <v>135</v>
      </c>
      <c r="E978" s="0" t="s">
        <v>2</v>
      </c>
      <c r="F978" s="0" t="s">
        <v>12</v>
      </c>
      <c r="G978" s="0" t="s">
        <v>8</v>
      </c>
      <c r="H978" s="0">
        <v>2177</v>
      </c>
      <c r="I978" s="0">
        <v>68</v>
      </c>
      <c r="J978" s="0">
        <v>0</v>
      </c>
      <c r="K978" s="0">
        <v>1</v>
      </c>
      <c r="L978" s="0">
        <v>2</v>
      </c>
      <c r="M978" s="0">
        <v>2</v>
      </c>
      <c r="N978" s="0">
        <v>0</v>
      </c>
      <c r="O978" s="0">
        <v>0</v>
      </c>
      <c r="P978" s="0">
        <v>0</v>
      </c>
      <c r="R978" s="0" t="b">
        <v>0</v>
      </c>
      <c r="S978" s="0" t="b">
        <v>1</v>
      </c>
      <c r="T978" s="68">
        <v>43876.4209953704</v>
      </c>
      <c r="U978" s="68">
        <v>43920.3333333333</v>
      </c>
      <c r="V978" s="68">
        <v>0</v>
      </c>
      <c r="W978" s="0">
        <f>IF(IF(B978="none",1,IF(B978="Trialer",1,0))+IF(C978="Customer",1,IF(C978="Lost",1,0))=2,1,0)</f>
      </c>
      <c r="X978" s="0" t="s">
        <v>166</v>
      </c>
      <c r="Y978" s="0" t="s">
        <v>499</v>
      </c>
      <c r="AV978" s="68"/>
      <c r="AW978" s="68"/>
      <c r="AY978" s="27"/>
      <c r="BD978" s="68">
        <v>46054.1666666667</v>
      </c>
      <c r="BE978" s="68">
        <v>46082.1666666667</v>
      </c>
      <c r="BF978" s="0" t="b">
        <v>0</v>
      </c>
      <c r="BG978" s="0" t="b">
        <v>0</v>
      </c>
      <c r="BH978" s="0">
        <v>68</v>
      </c>
      <c r="BI978" s="0">
        <v>68</v>
      </c>
      <c r="BJ978" s="0" t="s">
        <v>135</v>
      </c>
    </row>
    <row r="979">
      <c r="A979" s="0" t="s">
        <v>1181</v>
      </c>
      <c r="B979" s="0" t="s">
        <v>134</v>
      </c>
      <c r="C979" s="0" t="s">
        <v>134</v>
      </c>
      <c r="D979" s="0" t="s">
        <v>135</v>
      </c>
      <c r="E979" s="0" t="s">
        <v>3</v>
      </c>
      <c r="F979" s="0" t="s">
        <v>12</v>
      </c>
      <c r="G979" s="0" t="s">
        <v>8</v>
      </c>
      <c r="H979" s="0">
        <v>2176</v>
      </c>
      <c r="I979" s="0">
        <v>257</v>
      </c>
      <c r="J979" s="0">
        <v>0</v>
      </c>
      <c r="K979" s="0">
        <v>1</v>
      </c>
      <c r="L979" s="0">
        <v>4</v>
      </c>
      <c r="M979" s="0">
        <v>5</v>
      </c>
      <c r="N979" s="0">
        <v>0</v>
      </c>
      <c r="O979" s="0">
        <v>0</v>
      </c>
      <c r="P979" s="0">
        <v>0</v>
      </c>
      <c r="R979" s="0" t="b">
        <v>0</v>
      </c>
      <c r="S979" s="0" t="b">
        <v>1</v>
      </c>
      <c r="T979" s="68">
        <v>43877.9016782407</v>
      </c>
      <c r="U979" s="68">
        <v>43907.3333333333</v>
      </c>
      <c r="V979" s="68">
        <v>0</v>
      </c>
      <c r="W979" s="0">
        <f>IF(IF(B979="none",1,IF(B979="Trialer",1,0))+IF(C979="Customer",1,IF(C979="Lost",1,0))=2,1,0)</f>
      </c>
      <c r="X979" s="0" t="s">
        <v>136</v>
      </c>
      <c r="Y979" s="0" t="s">
        <v>243</v>
      </c>
      <c r="AV979" s="68"/>
      <c r="AW979" s="68"/>
      <c r="AY979" s="27"/>
      <c r="BD979" s="68">
        <v>46054.1666666667</v>
      </c>
      <c r="BE979" s="68">
        <v>46082.1666666667</v>
      </c>
      <c r="BF979" s="0" t="b">
        <v>0</v>
      </c>
      <c r="BG979" s="0" t="b">
        <v>0</v>
      </c>
      <c r="BH979" s="0">
        <v>257</v>
      </c>
      <c r="BI979" s="0">
        <v>257</v>
      </c>
      <c r="BJ979" s="0" t="s">
        <v>135</v>
      </c>
    </row>
    <row r="980">
      <c r="A980" s="0" t="s">
        <v>1182</v>
      </c>
      <c r="B980" s="0" t="s">
        <v>134</v>
      </c>
      <c r="C980" s="0" t="s">
        <v>134</v>
      </c>
      <c r="D980" s="0" t="s">
        <v>230</v>
      </c>
      <c r="E980" s="0" t="s">
        <v>3</v>
      </c>
      <c r="F980" s="0" t="s">
        <v>12</v>
      </c>
      <c r="G980" s="0" t="s">
        <v>8</v>
      </c>
      <c r="H980" s="0">
        <v>2173</v>
      </c>
      <c r="I980" s="0">
        <v>75</v>
      </c>
      <c r="J980" s="0">
        <v>0</v>
      </c>
      <c r="K980" s="0">
        <v>1</v>
      </c>
      <c r="L980" s="0">
        <v>1</v>
      </c>
      <c r="M980" s="0">
        <v>3</v>
      </c>
      <c r="N980" s="0">
        <v>0</v>
      </c>
      <c r="O980" s="0">
        <v>0</v>
      </c>
      <c r="P980" s="0">
        <v>825</v>
      </c>
      <c r="R980" s="0" t="b">
        <v>0</v>
      </c>
      <c r="S980" s="0" t="b">
        <v>1</v>
      </c>
      <c r="T980" s="68">
        <v>43879.9796064815</v>
      </c>
      <c r="U980" s="68">
        <v>43910.3333333333</v>
      </c>
      <c r="V980" s="68">
        <v>0</v>
      </c>
      <c r="W980" s="0">
        <f>IF(IF(B980="none",1,IF(B980="Trialer",1,0))+IF(C980="Customer",1,IF(C980="Lost",1,0))=2,1,0)</f>
      </c>
      <c r="X980" s="0" t="s">
        <v>166</v>
      </c>
      <c r="Y980" s="0" t="s">
        <v>243</v>
      </c>
      <c r="AV980" s="68"/>
      <c r="AW980" s="68"/>
      <c r="AY980" s="27"/>
      <c r="BD980" s="68">
        <v>46054.1666666667</v>
      </c>
      <c r="BE980" s="68">
        <v>46082.1666666667</v>
      </c>
      <c r="BF980" s="0" t="b">
        <v>0</v>
      </c>
      <c r="BG980" s="0" t="b">
        <v>0</v>
      </c>
      <c r="BH980" s="0">
        <v>84</v>
      </c>
      <c r="BI980" s="0">
        <v>84</v>
      </c>
      <c r="BJ980" s="0" t="s">
        <v>230</v>
      </c>
    </row>
    <row r="981">
      <c r="A981" s="0" t="s">
        <v>1183</v>
      </c>
      <c r="B981" s="0" t="s">
        <v>134</v>
      </c>
      <c r="C981" s="0" t="s">
        <v>134</v>
      </c>
      <c r="D981" s="0" t="s">
        <v>135</v>
      </c>
      <c r="E981" s="0" t="s">
        <v>3</v>
      </c>
      <c r="F981" s="0" t="s">
        <v>12</v>
      </c>
      <c r="G981" s="0" t="s">
        <v>8</v>
      </c>
      <c r="H981" s="0">
        <v>2169</v>
      </c>
      <c r="I981" s="0">
        <v>0</v>
      </c>
      <c r="J981" s="0">
        <v>0</v>
      </c>
      <c r="K981" s="0">
        <v>1</v>
      </c>
      <c r="L981" s="0">
        <v>6</v>
      </c>
      <c r="M981" s="0">
        <v>1</v>
      </c>
      <c r="N981" s="0">
        <v>0</v>
      </c>
      <c r="O981" s="0">
        <v>0</v>
      </c>
      <c r="P981" s="0">
        <v>0</v>
      </c>
      <c r="R981" s="0" t="b">
        <v>0</v>
      </c>
      <c r="S981" s="0" t="b">
        <v>1</v>
      </c>
      <c r="T981" s="68">
        <v>43884.62125</v>
      </c>
      <c r="U981" s="68">
        <v>43885.2916666667</v>
      </c>
      <c r="V981" s="68">
        <v>0</v>
      </c>
      <c r="W981" s="0">
        <f>IF(IF(B981="none",1,IF(B981="Trialer",1,0))+IF(C981="Customer",1,IF(C981="Lost",1,0))=2,1,0)</f>
      </c>
      <c r="X981" s="0" t="s">
        <v>148</v>
      </c>
      <c r="Y981" s="0" t="s">
        <v>243</v>
      </c>
      <c r="AV981" s="68"/>
      <c r="AW981" s="68"/>
      <c r="AY981" s="27"/>
      <c r="BD981" s="68">
        <v>46054.1666666667</v>
      </c>
      <c r="BE981" s="68">
        <v>46082.1666666667</v>
      </c>
      <c r="BF981" s="0" t="b">
        <v>0</v>
      </c>
      <c r="BG981" s="0" t="b">
        <v>0</v>
      </c>
      <c r="BH981" s="0">
        <v>0</v>
      </c>
      <c r="BI981" s="0">
        <v>0</v>
      </c>
      <c r="BJ981" s="0" t="s">
        <v>135</v>
      </c>
    </row>
    <row r="982">
      <c r="A982" s="0" t="s">
        <v>1184</v>
      </c>
      <c r="B982" s="0" t="s">
        <v>134</v>
      </c>
      <c r="C982" s="0" t="s">
        <v>134</v>
      </c>
      <c r="D982" s="0" t="s">
        <v>135</v>
      </c>
      <c r="E982" s="0" t="s">
        <v>3</v>
      </c>
      <c r="F982" s="0" t="s">
        <v>10</v>
      </c>
      <c r="G982" s="0" t="s">
        <v>8</v>
      </c>
      <c r="H982" s="0">
        <v>2168</v>
      </c>
      <c r="I982" s="0">
        <v>208</v>
      </c>
      <c r="J982" s="0">
        <v>0</v>
      </c>
      <c r="K982" s="0">
        <v>1</v>
      </c>
      <c r="L982" s="0">
        <v>3</v>
      </c>
      <c r="M982" s="0">
        <v>4</v>
      </c>
      <c r="N982" s="0">
        <v>0</v>
      </c>
      <c r="O982" s="0">
        <v>0</v>
      </c>
      <c r="P982" s="0">
        <v>0</v>
      </c>
      <c r="Q982" s="0" t="s">
        <v>498</v>
      </c>
      <c r="R982" s="0" t="b">
        <v>0</v>
      </c>
      <c r="S982" s="0" t="b">
        <v>1</v>
      </c>
      <c r="T982" s="68">
        <v>43885.4424189815</v>
      </c>
      <c r="U982" s="68">
        <v>43930.3333333333</v>
      </c>
      <c r="V982" s="68">
        <v>0</v>
      </c>
      <c r="W982" s="0">
        <f>IF(IF(B982="none",1,IF(B982="Trialer",1,0))+IF(C982="Customer",1,IF(C982="Lost",1,0))=2,1,0)</f>
      </c>
      <c r="X982" s="0" t="s">
        <v>136</v>
      </c>
      <c r="Y982" s="0" t="s">
        <v>243</v>
      </c>
      <c r="AV982" s="68"/>
      <c r="AW982" s="68"/>
      <c r="AY982" s="27"/>
      <c r="BD982" s="68">
        <v>46054.1666666667</v>
      </c>
      <c r="BE982" s="68">
        <v>46082.1666666667</v>
      </c>
      <c r="BF982" s="0" t="b">
        <v>0</v>
      </c>
      <c r="BG982" s="0" t="b">
        <v>0</v>
      </c>
      <c r="BH982" s="0">
        <v>208</v>
      </c>
      <c r="BI982" s="0">
        <v>208</v>
      </c>
      <c r="BJ982" s="0" t="s">
        <v>135</v>
      </c>
    </row>
    <row r="983">
      <c r="A983" s="0" t="s">
        <v>1185</v>
      </c>
      <c r="B983" s="0" t="s">
        <v>134</v>
      </c>
      <c r="C983" s="0" t="s">
        <v>134</v>
      </c>
      <c r="D983" s="0" t="s">
        <v>230</v>
      </c>
      <c r="E983" s="0" t="s">
        <v>2</v>
      </c>
      <c r="F983" s="0" t="s">
        <v>12</v>
      </c>
      <c r="G983" s="0" t="s">
        <v>8</v>
      </c>
      <c r="H983" s="0">
        <v>2167</v>
      </c>
      <c r="I983" s="0">
        <v>25</v>
      </c>
      <c r="J983" s="0">
        <v>0</v>
      </c>
      <c r="K983" s="0">
        <v>1</v>
      </c>
      <c r="L983" s="0">
        <v>1</v>
      </c>
      <c r="M983" s="0">
        <v>1</v>
      </c>
      <c r="N983" s="0">
        <v>0</v>
      </c>
      <c r="O983" s="0">
        <v>0</v>
      </c>
      <c r="P983" s="0">
        <v>275</v>
      </c>
      <c r="R983" s="0" t="b">
        <v>0</v>
      </c>
      <c r="S983" s="0" t="b">
        <v>1</v>
      </c>
      <c r="T983" s="68">
        <v>43886.5869212963</v>
      </c>
      <c r="U983" s="68">
        <v>43916.3333333333</v>
      </c>
      <c r="V983" s="68">
        <v>0</v>
      </c>
      <c r="W983" s="0">
        <f>IF(IF(B983="none",1,IF(B983="Trialer",1,0))+IF(C983="Customer",1,IF(C983="Lost",1,0))=2,1,0)</f>
      </c>
      <c r="X983" s="0" t="s">
        <v>142</v>
      </c>
      <c r="Y983" s="0" t="s">
        <v>499</v>
      </c>
      <c r="AV983" s="68"/>
      <c r="AW983" s="68"/>
      <c r="AY983" s="27"/>
      <c r="BD983" s="68">
        <v>46054.1666666667</v>
      </c>
      <c r="BE983" s="68">
        <v>46082.1666666667</v>
      </c>
      <c r="BF983" s="0" t="b">
        <v>0</v>
      </c>
      <c r="BG983" s="0" t="b">
        <v>0</v>
      </c>
      <c r="BH983" s="0">
        <v>28</v>
      </c>
      <c r="BI983" s="0">
        <v>28</v>
      </c>
      <c r="BJ983" s="0" t="s">
        <v>230</v>
      </c>
    </row>
    <row r="984">
      <c r="A984" s="0" t="s">
        <v>1186</v>
      </c>
      <c r="B984" s="0" t="s">
        <v>134</v>
      </c>
      <c r="C984" s="0" t="s">
        <v>134</v>
      </c>
      <c r="D984" s="0" t="s">
        <v>230</v>
      </c>
      <c r="E984" s="0" t="s">
        <v>2</v>
      </c>
      <c r="F984" s="0" t="s">
        <v>10</v>
      </c>
      <c r="G984" s="0" t="s">
        <v>8</v>
      </c>
      <c r="H984" s="0">
        <v>2167</v>
      </c>
      <c r="I984" s="0">
        <v>50</v>
      </c>
      <c r="J984" s="0">
        <v>0</v>
      </c>
      <c r="K984" s="0">
        <v>1</v>
      </c>
      <c r="L984" s="0">
        <v>1</v>
      </c>
      <c r="M984" s="0">
        <v>2</v>
      </c>
      <c r="N984" s="0">
        <v>0</v>
      </c>
      <c r="O984" s="0">
        <v>0</v>
      </c>
      <c r="P984" s="0">
        <v>550</v>
      </c>
      <c r="Q984" s="0" t="s">
        <v>1187</v>
      </c>
      <c r="R984" s="0" t="b">
        <v>0</v>
      </c>
      <c r="S984" s="0" t="b">
        <v>1</v>
      </c>
      <c r="T984" s="68">
        <v>43886.6309953704</v>
      </c>
      <c r="U984" s="68">
        <v>43917.3333333333</v>
      </c>
      <c r="V984" s="68">
        <v>0</v>
      </c>
      <c r="W984" s="0">
        <f>IF(IF(B984="none",1,IF(B984="Trialer",1,0))+IF(C984="Customer",1,IF(C984="Lost",1,0))=2,1,0)</f>
      </c>
      <c r="X984" s="0" t="s">
        <v>136</v>
      </c>
      <c r="Y984" s="0" t="s">
        <v>480</v>
      </c>
      <c r="AV984" s="68"/>
      <c r="AW984" s="68"/>
      <c r="AY984" s="27"/>
      <c r="BD984" s="68">
        <v>46054.1666666667</v>
      </c>
      <c r="BE984" s="68">
        <v>46082.1666666667</v>
      </c>
      <c r="BF984" s="0" t="b">
        <v>0</v>
      </c>
      <c r="BG984" s="0" t="b">
        <v>0</v>
      </c>
      <c r="BH984" s="0">
        <v>56</v>
      </c>
      <c r="BI984" s="0">
        <v>56</v>
      </c>
      <c r="BJ984" s="0" t="s">
        <v>230</v>
      </c>
    </row>
    <row r="985">
      <c r="A985" s="0" t="s">
        <v>1188</v>
      </c>
      <c r="B985" s="0" t="s">
        <v>134</v>
      </c>
      <c r="C985" s="0" t="s">
        <v>134</v>
      </c>
      <c r="D985" s="0" t="s">
        <v>135</v>
      </c>
      <c r="E985" s="0" t="s">
        <v>3</v>
      </c>
      <c r="F985" s="0" t="s">
        <v>12</v>
      </c>
      <c r="G985" s="0" t="s">
        <v>8</v>
      </c>
      <c r="H985" s="0">
        <v>2167</v>
      </c>
      <c r="I985" s="0">
        <v>49</v>
      </c>
      <c r="J985" s="0">
        <v>0</v>
      </c>
      <c r="K985" s="0">
        <v>1</v>
      </c>
      <c r="L985" s="0">
        <v>3</v>
      </c>
      <c r="M985" s="0">
        <v>1</v>
      </c>
      <c r="N985" s="0">
        <v>0</v>
      </c>
      <c r="O985" s="0">
        <v>0</v>
      </c>
      <c r="P985" s="0">
        <v>0</v>
      </c>
      <c r="R985" s="0" t="b">
        <v>0</v>
      </c>
      <c r="S985" s="0" t="b">
        <v>1</v>
      </c>
      <c r="T985" s="68">
        <v>43886.7376851852</v>
      </c>
      <c r="U985" s="68">
        <v>43916.3333333333</v>
      </c>
      <c r="V985" s="68">
        <v>0</v>
      </c>
      <c r="W985" s="0">
        <f>IF(IF(B985="none",1,IF(B985="Trialer",1,0))+IF(C985="Customer",1,IF(C985="Lost",1,0))=2,1,0)</f>
      </c>
      <c r="X985" s="0" t="s">
        <v>166</v>
      </c>
      <c r="Y985" s="0" t="s">
        <v>243</v>
      </c>
      <c r="AV985" s="68"/>
      <c r="AW985" s="68"/>
      <c r="AY985" s="27"/>
      <c r="BD985" s="68">
        <v>46054.1666666667</v>
      </c>
      <c r="BE985" s="68">
        <v>46082.1666666667</v>
      </c>
      <c r="BF985" s="0" t="b">
        <v>0</v>
      </c>
      <c r="BG985" s="0" t="b">
        <v>0</v>
      </c>
      <c r="BH985" s="0">
        <v>49</v>
      </c>
      <c r="BI985" s="0">
        <v>49</v>
      </c>
      <c r="BJ985" s="0" t="s">
        <v>135</v>
      </c>
    </row>
    <row r="986">
      <c r="A986" s="0" t="s">
        <v>1189</v>
      </c>
      <c r="B986" s="0" t="s">
        <v>134</v>
      </c>
      <c r="C986" s="0" t="s">
        <v>134</v>
      </c>
      <c r="D986" s="0" t="s">
        <v>230</v>
      </c>
      <c r="E986" s="0" t="s">
        <v>2</v>
      </c>
      <c r="F986" s="0" t="s">
        <v>12</v>
      </c>
      <c r="G986" s="0" t="s">
        <v>8</v>
      </c>
      <c r="H986" s="0">
        <v>2167</v>
      </c>
      <c r="I986" s="0">
        <v>152</v>
      </c>
      <c r="J986" s="0">
        <v>0</v>
      </c>
      <c r="K986" s="0">
        <v>1</v>
      </c>
      <c r="L986" s="0">
        <v>3</v>
      </c>
      <c r="M986" s="0">
        <v>4</v>
      </c>
      <c r="N986" s="0">
        <v>0</v>
      </c>
      <c r="O986" s="0">
        <v>0</v>
      </c>
      <c r="P986" s="0">
        <v>-152</v>
      </c>
      <c r="R986" s="0" t="b">
        <v>0</v>
      </c>
      <c r="S986" s="0" t="b">
        <v>1</v>
      </c>
      <c r="T986" s="68">
        <v>43886.7591666667</v>
      </c>
      <c r="U986" s="68">
        <v>43916.3333333333</v>
      </c>
      <c r="V986" s="68">
        <v>0</v>
      </c>
      <c r="W986" s="0">
        <f>IF(IF(B986="none",1,IF(B986="Trialer",1,0))+IF(C986="Customer",1,IF(C986="Lost",1,0))=2,1,0)</f>
      </c>
      <c r="X986" s="0" t="s">
        <v>136</v>
      </c>
      <c r="Y986" s="0" t="s">
        <v>499</v>
      </c>
      <c r="AV986" s="68"/>
      <c r="AW986" s="68"/>
      <c r="AY986" s="27"/>
      <c r="BD986" s="68">
        <v>46054.1666666667</v>
      </c>
      <c r="BE986" s="68">
        <v>46082.1666666667</v>
      </c>
      <c r="BF986" s="0" t="b">
        <v>0</v>
      </c>
      <c r="BG986" s="0" t="b">
        <v>0</v>
      </c>
      <c r="BH986" s="0">
        <v>129</v>
      </c>
      <c r="BI986" s="0">
        <v>129</v>
      </c>
      <c r="BJ986" s="0" t="s">
        <v>230</v>
      </c>
    </row>
    <row r="987">
      <c r="A987" s="0" t="s">
        <v>1190</v>
      </c>
      <c r="B987" s="0" t="s">
        <v>134</v>
      </c>
      <c r="C987" s="0" t="s">
        <v>134</v>
      </c>
      <c r="D987" s="0" t="s">
        <v>135</v>
      </c>
      <c r="E987" s="0" t="s">
        <v>3</v>
      </c>
      <c r="F987" s="0" t="s">
        <v>12</v>
      </c>
      <c r="G987" s="0" t="s">
        <v>8</v>
      </c>
      <c r="H987" s="0">
        <v>2165</v>
      </c>
      <c r="I987" s="0">
        <v>0</v>
      </c>
      <c r="J987" s="0">
        <v>0</v>
      </c>
      <c r="K987" s="0">
        <v>1</v>
      </c>
      <c r="L987" s="0">
        <v>3</v>
      </c>
      <c r="M987" s="0">
        <v>2</v>
      </c>
      <c r="N987" s="0">
        <v>0</v>
      </c>
      <c r="O987" s="0">
        <v>0</v>
      </c>
      <c r="P987" s="0">
        <v>0</v>
      </c>
      <c r="R987" s="0" t="b">
        <v>0</v>
      </c>
      <c r="S987" s="0" t="b">
        <v>1</v>
      </c>
      <c r="T987" s="68">
        <v>43888.5152199074</v>
      </c>
      <c r="U987" s="68">
        <v>43918.3333333333</v>
      </c>
      <c r="V987" s="68">
        <v>0</v>
      </c>
      <c r="W987" s="0">
        <f>IF(IF(B987="none",1,IF(B987="Trialer",1,0))+IF(C987="Customer",1,IF(C987="Lost",1,0))=2,1,0)</f>
      </c>
      <c r="X987" s="0" t="s">
        <v>136</v>
      </c>
      <c r="Y987" s="0" t="s">
        <v>243</v>
      </c>
      <c r="AV987" s="68"/>
      <c r="AW987" s="68"/>
      <c r="AY987" s="27"/>
      <c r="BD987" s="68">
        <v>46054.1666666667</v>
      </c>
      <c r="BE987" s="68">
        <v>46082.1666666667</v>
      </c>
      <c r="BF987" s="0" t="b">
        <v>0</v>
      </c>
      <c r="BG987" s="0" t="b">
        <v>0</v>
      </c>
      <c r="BH987" s="0">
        <v>0</v>
      </c>
      <c r="BI987" s="0">
        <v>0</v>
      </c>
      <c r="BJ987" s="0" t="s">
        <v>135</v>
      </c>
    </row>
    <row r="988">
      <c r="A988" s="0" t="s">
        <v>1191</v>
      </c>
      <c r="B988" s="0" t="s">
        <v>134</v>
      </c>
      <c r="C988" s="0" t="s">
        <v>134</v>
      </c>
      <c r="D988" s="0" t="s">
        <v>135</v>
      </c>
      <c r="E988" s="0" t="s">
        <v>2</v>
      </c>
      <c r="F988" s="0" t="s">
        <v>12</v>
      </c>
      <c r="G988" s="0" t="s">
        <v>8</v>
      </c>
      <c r="H988" s="0">
        <v>2165</v>
      </c>
      <c r="I988" s="0">
        <v>49</v>
      </c>
      <c r="J988" s="0">
        <v>0</v>
      </c>
      <c r="K988" s="0">
        <v>1</v>
      </c>
      <c r="L988" s="0">
        <v>3</v>
      </c>
      <c r="M988" s="0">
        <v>1</v>
      </c>
      <c r="N988" s="0">
        <v>0</v>
      </c>
      <c r="O988" s="0">
        <v>0</v>
      </c>
      <c r="P988" s="0">
        <v>0</v>
      </c>
      <c r="R988" s="0" t="b">
        <v>0</v>
      </c>
      <c r="S988" s="0" t="b">
        <v>1</v>
      </c>
      <c r="T988" s="68">
        <v>43888.6251273148</v>
      </c>
      <c r="U988" s="68">
        <v>43918.3333333333</v>
      </c>
      <c r="V988" s="68">
        <v>0</v>
      </c>
      <c r="W988" s="0">
        <f>IF(IF(B988="none",1,IF(B988="Trialer",1,0))+IF(C988="Customer",1,IF(C988="Lost",1,0))=2,1,0)</f>
      </c>
      <c r="X988" s="0" t="s">
        <v>142</v>
      </c>
      <c r="Y988" s="0" t="s">
        <v>499</v>
      </c>
      <c r="AV988" s="68"/>
      <c r="AW988" s="68"/>
      <c r="AY988" s="27"/>
      <c r="BD988" s="68">
        <v>46054.1666666667</v>
      </c>
      <c r="BE988" s="68">
        <v>46082.1666666667</v>
      </c>
      <c r="BF988" s="0" t="b">
        <v>0</v>
      </c>
      <c r="BG988" s="0" t="b">
        <v>0</v>
      </c>
      <c r="BH988" s="0">
        <v>49</v>
      </c>
      <c r="BI988" s="0">
        <v>49</v>
      </c>
      <c r="BJ988" s="0" t="s">
        <v>135</v>
      </c>
    </row>
    <row r="989">
      <c r="A989" s="0" t="s">
        <v>1192</v>
      </c>
      <c r="B989" s="0" t="s">
        <v>134</v>
      </c>
      <c r="C989" s="0" t="s">
        <v>134</v>
      </c>
      <c r="D989" s="0" t="s">
        <v>135</v>
      </c>
      <c r="E989" s="0" t="s">
        <v>2</v>
      </c>
      <c r="F989" s="0" t="s">
        <v>12</v>
      </c>
      <c r="G989" s="0" t="s">
        <v>8</v>
      </c>
      <c r="H989" s="0">
        <v>2158</v>
      </c>
      <c r="I989" s="0">
        <v>120</v>
      </c>
      <c r="J989" s="0">
        <v>0</v>
      </c>
      <c r="K989" s="0">
        <v>1</v>
      </c>
      <c r="L989" s="0">
        <v>2</v>
      </c>
      <c r="M989" s="0">
        <v>3</v>
      </c>
      <c r="N989" s="0">
        <v>0</v>
      </c>
      <c r="O989" s="0">
        <v>0</v>
      </c>
      <c r="P989" s="0">
        <v>0</v>
      </c>
      <c r="R989" s="0" t="b">
        <v>0</v>
      </c>
      <c r="S989" s="0" t="b">
        <v>1</v>
      </c>
      <c r="T989" s="68">
        <v>43895.6005208333</v>
      </c>
      <c r="U989" s="68">
        <v>43928.3333333333</v>
      </c>
      <c r="V989" s="68">
        <v>0</v>
      </c>
      <c r="W989" s="0">
        <f>IF(IF(B989="none",1,IF(B989="Trialer",1,0))+IF(C989="Customer",1,IF(C989="Lost",1,0))=2,1,0)</f>
      </c>
      <c r="X989" s="0" t="s">
        <v>153</v>
      </c>
      <c r="Y989" s="0" t="s">
        <v>499</v>
      </c>
      <c r="AV989" s="68"/>
      <c r="AW989" s="68"/>
      <c r="AY989" s="27"/>
      <c r="BD989" s="68">
        <v>46054.1666666667</v>
      </c>
      <c r="BE989" s="68">
        <v>46082.1666666667</v>
      </c>
      <c r="BF989" s="0" t="b">
        <v>0</v>
      </c>
      <c r="BG989" s="0" t="b">
        <v>0</v>
      </c>
      <c r="BH989" s="0">
        <v>120</v>
      </c>
      <c r="BI989" s="0">
        <v>120</v>
      </c>
      <c r="BJ989" s="0" t="s">
        <v>135</v>
      </c>
    </row>
    <row r="990">
      <c r="A990" s="0" t="s">
        <v>1193</v>
      </c>
      <c r="B990" s="0" t="s">
        <v>134</v>
      </c>
      <c r="C990" s="0" t="s">
        <v>134</v>
      </c>
      <c r="D990" s="0" t="s">
        <v>135</v>
      </c>
      <c r="E990" s="0" t="s">
        <v>2</v>
      </c>
      <c r="F990" s="0" t="s">
        <v>12</v>
      </c>
      <c r="G990" s="0" t="s">
        <v>8</v>
      </c>
      <c r="H990" s="0">
        <v>2158</v>
      </c>
      <c r="I990" s="0">
        <v>40</v>
      </c>
      <c r="J990" s="0">
        <v>0</v>
      </c>
      <c r="K990" s="0">
        <v>1</v>
      </c>
      <c r="L990" s="0">
        <v>2</v>
      </c>
      <c r="M990" s="0">
        <v>1</v>
      </c>
      <c r="N990" s="0">
        <v>0</v>
      </c>
      <c r="O990" s="0">
        <v>0</v>
      </c>
      <c r="P990" s="0">
        <v>0</v>
      </c>
      <c r="R990" s="0" t="b">
        <v>0</v>
      </c>
      <c r="S990" s="0" t="b">
        <v>1</v>
      </c>
      <c r="T990" s="68">
        <v>43895.6125</v>
      </c>
      <c r="U990" s="68">
        <v>43925.3333333333</v>
      </c>
      <c r="V990" s="68">
        <v>0</v>
      </c>
      <c r="W990" s="0">
        <f>IF(IF(B990="none",1,IF(B990="Trialer",1,0))+IF(C990="Customer",1,IF(C990="Lost",1,0))=2,1,0)</f>
      </c>
      <c r="X990" s="0" t="s">
        <v>166</v>
      </c>
      <c r="Y990" s="0" t="s">
        <v>499</v>
      </c>
      <c r="AV990" s="68"/>
      <c r="AW990" s="68"/>
      <c r="AY990" s="27"/>
      <c r="BD990" s="68">
        <v>46054.1666666667</v>
      </c>
      <c r="BE990" s="68">
        <v>46082.1666666667</v>
      </c>
      <c r="BF990" s="0" t="b">
        <v>0</v>
      </c>
      <c r="BG990" s="0" t="b">
        <v>0</v>
      </c>
      <c r="BH990" s="0">
        <v>40</v>
      </c>
      <c r="BI990" s="0">
        <v>40</v>
      </c>
      <c r="BJ990" s="0" t="s">
        <v>135</v>
      </c>
    </row>
    <row r="991">
      <c r="A991" s="0" t="s">
        <v>1194</v>
      </c>
      <c r="B991" s="0" t="s">
        <v>134</v>
      </c>
      <c r="C991" s="0" t="s">
        <v>134</v>
      </c>
      <c r="D991" s="0" t="s">
        <v>135</v>
      </c>
      <c r="E991" s="0" t="s">
        <v>2</v>
      </c>
      <c r="F991" s="0" t="s">
        <v>12</v>
      </c>
      <c r="G991" s="0" t="s">
        <v>8</v>
      </c>
      <c r="H991" s="0">
        <v>2157</v>
      </c>
      <c r="I991" s="0">
        <v>794.65</v>
      </c>
      <c r="J991" s="0">
        <v>0</v>
      </c>
      <c r="K991" s="0">
        <v>1</v>
      </c>
      <c r="L991" s="0">
        <v>3</v>
      </c>
      <c r="M991" s="0">
        <v>10</v>
      </c>
      <c r="N991" s="0">
        <v>0</v>
      </c>
      <c r="O991" s="0">
        <v>0</v>
      </c>
      <c r="P991" s="0">
        <v>0</v>
      </c>
      <c r="R991" s="0" t="b">
        <v>0</v>
      </c>
      <c r="S991" s="0" t="b">
        <v>1</v>
      </c>
      <c r="T991" s="68">
        <v>43896.8036111111</v>
      </c>
      <c r="U991" s="68">
        <v>43926.3333333333</v>
      </c>
      <c r="V991" s="68">
        <v>0</v>
      </c>
      <c r="W991" s="0">
        <f>IF(IF(B991="none",1,IF(B991="Trialer",1,0))+IF(C991="Customer",1,IF(C991="Lost",1,0))=2,1,0)</f>
      </c>
      <c r="X991" s="0" t="s">
        <v>145</v>
      </c>
      <c r="Y991" s="0" t="s">
        <v>499</v>
      </c>
      <c r="AV991" s="68"/>
      <c r="AW991" s="68"/>
      <c r="AY991" s="27"/>
      <c r="BD991" s="68">
        <v>46054.1666666667</v>
      </c>
      <c r="BE991" s="68">
        <v>46082.1666666667</v>
      </c>
      <c r="BF991" s="0" t="b">
        <v>0</v>
      </c>
      <c r="BG991" s="0" t="b">
        <v>0</v>
      </c>
      <c r="BH991" s="0">
        <v>469</v>
      </c>
      <c r="BI991" s="0">
        <v>469</v>
      </c>
      <c r="BJ991" s="0" t="s">
        <v>135</v>
      </c>
    </row>
    <row r="992">
      <c r="A992" s="0" t="s">
        <v>1195</v>
      </c>
      <c r="B992" s="0" t="s">
        <v>134</v>
      </c>
      <c r="C992" s="0" t="s">
        <v>134</v>
      </c>
      <c r="D992" s="0" t="s">
        <v>135</v>
      </c>
      <c r="E992" s="0" t="s">
        <v>3</v>
      </c>
      <c r="F992" s="0" t="s">
        <v>12</v>
      </c>
      <c r="G992" s="0" t="s">
        <v>8</v>
      </c>
      <c r="H992" s="0">
        <v>2153</v>
      </c>
      <c r="I992" s="0">
        <v>150</v>
      </c>
      <c r="J992" s="0">
        <v>0</v>
      </c>
      <c r="K992" s="0">
        <v>1</v>
      </c>
      <c r="L992" s="0">
        <v>4</v>
      </c>
      <c r="M992" s="0">
        <v>3</v>
      </c>
      <c r="N992" s="0">
        <v>0</v>
      </c>
      <c r="O992" s="0">
        <v>0</v>
      </c>
      <c r="P992" s="0">
        <v>0</v>
      </c>
      <c r="R992" s="0" t="b">
        <v>0</v>
      </c>
      <c r="S992" s="0" t="b">
        <v>1</v>
      </c>
      <c r="T992" s="68">
        <v>43900.5107291667</v>
      </c>
      <c r="U992" s="68">
        <v>43956.3333333333</v>
      </c>
      <c r="V992" s="68">
        <v>0</v>
      </c>
      <c r="W992" s="0">
        <f>IF(IF(B992="none",1,IF(B992="Trialer",1,0))+IF(C992="Customer",1,IF(C992="Lost",1,0))=2,1,0)</f>
      </c>
      <c r="X992" s="0" t="s">
        <v>136</v>
      </c>
      <c r="Y992" s="0" t="s">
        <v>243</v>
      </c>
      <c r="AV992" s="68"/>
      <c r="AW992" s="68"/>
      <c r="AY992" s="27"/>
      <c r="BD992" s="68">
        <v>46054.1666666667</v>
      </c>
      <c r="BE992" s="68">
        <v>46082.1666666667</v>
      </c>
      <c r="BF992" s="0" t="b">
        <v>0</v>
      </c>
      <c r="BG992" s="0" t="b">
        <v>0</v>
      </c>
      <c r="BH992" s="0">
        <v>150</v>
      </c>
      <c r="BI992" s="0">
        <v>150</v>
      </c>
      <c r="BJ992" s="0" t="s">
        <v>135</v>
      </c>
    </row>
    <row r="993">
      <c r="A993" s="0" t="s">
        <v>1196</v>
      </c>
      <c r="B993" s="0" t="s">
        <v>134</v>
      </c>
      <c r="C993" s="0" t="s">
        <v>134</v>
      </c>
      <c r="D993" s="0" t="s">
        <v>230</v>
      </c>
      <c r="E993" s="0" t="s">
        <v>3</v>
      </c>
      <c r="F993" s="0" t="s">
        <v>10</v>
      </c>
      <c r="G993" s="0" t="s">
        <v>8</v>
      </c>
      <c r="H993" s="0">
        <v>2152</v>
      </c>
      <c r="I993" s="0">
        <v>133.2</v>
      </c>
      <c r="J993" s="0">
        <v>0</v>
      </c>
      <c r="K993" s="0">
        <v>1</v>
      </c>
      <c r="L993" s="0">
        <v>2</v>
      </c>
      <c r="M993" s="0">
        <v>4</v>
      </c>
      <c r="N993" s="0">
        <v>0</v>
      </c>
      <c r="O993" s="0">
        <v>0</v>
      </c>
      <c r="P993" s="0">
        <v>-133.2</v>
      </c>
      <c r="Q993" s="0" t="s">
        <v>357</v>
      </c>
      <c r="R993" s="0" t="b">
        <v>0</v>
      </c>
      <c r="S993" s="0" t="b">
        <v>1</v>
      </c>
      <c r="T993" s="68">
        <v>43901.4707986111</v>
      </c>
      <c r="U993" s="68">
        <v>43931.3333333333</v>
      </c>
      <c r="V993" s="68">
        <v>0</v>
      </c>
      <c r="W993" s="0">
        <f>IF(IF(B993="none",1,IF(B993="Trialer",1,0))+IF(C993="Customer",1,IF(C993="Lost",1,0))=2,1,0)</f>
      </c>
      <c r="X993" s="0" t="s">
        <v>148</v>
      </c>
      <c r="Y993" s="0" t="s">
        <v>243</v>
      </c>
      <c r="AV993" s="68"/>
      <c r="AW993" s="68"/>
      <c r="AY993" s="27"/>
      <c r="BD993" s="68">
        <v>46054.1666666667</v>
      </c>
      <c r="BE993" s="68">
        <v>46082.1666666667</v>
      </c>
      <c r="BF993" s="0" t="b">
        <v>0</v>
      </c>
      <c r="BG993" s="0" t="b">
        <v>0</v>
      </c>
      <c r="BH993" s="0">
        <v>148</v>
      </c>
      <c r="BI993" s="0">
        <v>148</v>
      </c>
      <c r="BJ993" s="0" t="s">
        <v>230</v>
      </c>
    </row>
    <row r="994">
      <c r="A994" s="0" t="s">
        <v>1197</v>
      </c>
      <c r="B994" s="0" t="s">
        <v>134</v>
      </c>
      <c r="C994" s="0" t="s">
        <v>134</v>
      </c>
      <c r="D994" s="0" t="s">
        <v>135</v>
      </c>
      <c r="E994" s="0" t="s">
        <v>3</v>
      </c>
      <c r="F994" s="0" t="s">
        <v>12</v>
      </c>
      <c r="G994" s="0" t="s">
        <v>8</v>
      </c>
      <c r="H994" s="0">
        <v>2152</v>
      </c>
      <c r="I994" s="0">
        <v>49</v>
      </c>
      <c r="J994" s="0">
        <v>0</v>
      </c>
      <c r="K994" s="0">
        <v>1</v>
      </c>
      <c r="L994" s="0">
        <v>3</v>
      </c>
      <c r="M994" s="0">
        <v>1</v>
      </c>
      <c r="N994" s="0">
        <v>0</v>
      </c>
      <c r="O994" s="0">
        <v>0</v>
      </c>
      <c r="P994" s="0">
        <v>0</v>
      </c>
      <c r="R994" s="0" t="b">
        <v>0</v>
      </c>
      <c r="S994" s="0" t="b">
        <v>1</v>
      </c>
      <c r="T994" s="68">
        <v>43901.5058217593</v>
      </c>
      <c r="U994" s="68">
        <v>43931.3333333333</v>
      </c>
      <c r="V994" s="68">
        <v>0</v>
      </c>
      <c r="W994" s="0">
        <f>IF(IF(B994="none",1,IF(B994="Trialer",1,0))+IF(C994="Customer",1,IF(C994="Lost",1,0))=2,1,0)</f>
      </c>
      <c r="X994" s="0" t="s">
        <v>166</v>
      </c>
      <c r="Y994" s="0" t="s">
        <v>243</v>
      </c>
      <c r="AV994" s="68"/>
      <c r="AW994" s="68"/>
      <c r="AY994" s="27"/>
      <c r="BD994" s="68">
        <v>46054.1666666667</v>
      </c>
      <c r="BE994" s="68">
        <v>46082.1666666667</v>
      </c>
      <c r="BF994" s="0" t="b">
        <v>0</v>
      </c>
      <c r="BG994" s="0" t="b">
        <v>0</v>
      </c>
      <c r="BH994" s="0">
        <v>49</v>
      </c>
      <c r="BI994" s="0">
        <v>49</v>
      </c>
      <c r="BJ994" s="0" t="s">
        <v>135</v>
      </c>
    </row>
    <row r="995">
      <c r="A995" s="0" t="s">
        <v>1198</v>
      </c>
      <c r="B995" s="0" t="s">
        <v>134</v>
      </c>
      <c r="C995" s="0" t="s">
        <v>134</v>
      </c>
      <c r="D995" s="0" t="s">
        <v>230</v>
      </c>
      <c r="E995" s="0" t="s">
        <v>2</v>
      </c>
      <c r="F995" s="0" t="s">
        <v>12</v>
      </c>
      <c r="G995" s="0" t="s">
        <v>8</v>
      </c>
      <c r="H995" s="0">
        <v>2151</v>
      </c>
      <c r="I995" s="0">
        <v>300</v>
      </c>
      <c r="J995" s="0">
        <v>0</v>
      </c>
      <c r="K995" s="0">
        <v>1</v>
      </c>
      <c r="L995" s="0">
        <v>3</v>
      </c>
      <c r="M995" s="0">
        <v>7</v>
      </c>
      <c r="N995" s="0">
        <v>0</v>
      </c>
      <c r="O995" s="0">
        <v>0</v>
      </c>
      <c r="P995" s="0">
        <v>-300</v>
      </c>
      <c r="R995" s="0" t="b">
        <v>0</v>
      </c>
      <c r="S995" s="0" t="b">
        <v>1</v>
      </c>
      <c r="T995" s="68">
        <v>43902.6090277778</v>
      </c>
      <c r="U995" s="68">
        <v>43903.5</v>
      </c>
      <c r="V995" s="68">
        <v>0</v>
      </c>
      <c r="W995" s="0">
        <f>IF(IF(B995="none",1,IF(B995="Trialer",1,0))+IF(C995="Customer",1,IF(C995="Lost",1,0))=2,1,0)</f>
      </c>
      <c r="X995" s="0" t="s">
        <v>145</v>
      </c>
      <c r="Y995" s="0" t="s">
        <v>499</v>
      </c>
      <c r="AV995" s="68"/>
      <c r="AW995" s="68"/>
      <c r="AY995" s="27"/>
      <c r="BD995" s="68">
        <v>46054.1666666667</v>
      </c>
      <c r="BE995" s="68">
        <v>46082.1666666667</v>
      </c>
      <c r="BF995" s="0" t="b">
        <v>0</v>
      </c>
      <c r="BG995" s="0" t="b">
        <v>0</v>
      </c>
      <c r="BH995" s="0">
        <v>334</v>
      </c>
      <c r="BI995" s="0">
        <v>334</v>
      </c>
      <c r="BJ995" s="0" t="s">
        <v>230</v>
      </c>
    </row>
    <row r="996">
      <c r="A996" s="0" t="s">
        <v>1199</v>
      </c>
      <c r="B996" s="0" t="s">
        <v>134</v>
      </c>
      <c r="C996" s="0" t="s">
        <v>134</v>
      </c>
      <c r="D996" s="0" t="s">
        <v>230</v>
      </c>
      <c r="E996" s="0" t="s">
        <v>3</v>
      </c>
      <c r="F996" s="0" t="s">
        <v>12</v>
      </c>
      <c r="G996" s="0" t="s">
        <v>8</v>
      </c>
      <c r="H996" s="0">
        <v>2150</v>
      </c>
      <c r="I996" s="0">
        <v>88</v>
      </c>
      <c r="J996" s="0">
        <v>0</v>
      </c>
      <c r="K996" s="0">
        <v>1</v>
      </c>
      <c r="L996" s="0">
        <v>3</v>
      </c>
      <c r="M996" s="0">
        <v>2</v>
      </c>
      <c r="N996" s="0">
        <v>0</v>
      </c>
      <c r="O996" s="0">
        <v>0</v>
      </c>
      <c r="P996" s="0">
        <v>-88</v>
      </c>
      <c r="R996" s="0" t="b">
        <v>0</v>
      </c>
      <c r="S996" s="0" t="b">
        <v>1</v>
      </c>
      <c r="T996" s="68">
        <v>43903.5</v>
      </c>
      <c r="U996" s="68">
        <v>43952.3333333333</v>
      </c>
      <c r="V996" s="68">
        <v>0</v>
      </c>
      <c r="W996" s="0">
        <f>IF(IF(B996="none",1,IF(B996="Trialer",1,0))+IF(C996="Customer",1,IF(C996="Lost",1,0))=2,1,0)</f>
      </c>
      <c r="X996" s="0" t="s">
        <v>153</v>
      </c>
      <c r="Y996" s="0" t="s">
        <v>243</v>
      </c>
      <c r="AV996" s="68"/>
      <c r="AW996" s="68"/>
      <c r="AY996" s="27"/>
      <c r="BD996" s="68">
        <v>46054.1666666667</v>
      </c>
      <c r="BE996" s="68">
        <v>46082.1666666667</v>
      </c>
      <c r="BF996" s="0" t="b">
        <v>0</v>
      </c>
      <c r="BG996" s="0" t="b">
        <v>0</v>
      </c>
      <c r="BH996" s="0">
        <v>98</v>
      </c>
      <c r="BI996" s="0">
        <v>98</v>
      </c>
      <c r="BJ996" s="0" t="s">
        <v>230</v>
      </c>
    </row>
    <row r="997">
      <c r="A997" s="0" t="s">
        <v>1200</v>
      </c>
      <c r="B997" s="0" t="s">
        <v>134</v>
      </c>
      <c r="C997" s="0" t="s">
        <v>134</v>
      </c>
      <c r="D997" s="0" t="s">
        <v>230</v>
      </c>
      <c r="E997" s="0" t="s">
        <v>3</v>
      </c>
      <c r="F997" s="0" t="s">
        <v>12</v>
      </c>
      <c r="G997" s="0" t="s">
        <v>8</v>
      </c>
      <c r="H997" s="0">
        <v>2150</v>
      </c>
      <c r="I997" s="0">
        <v>190</v>
      </c>
      <c r="J997" s="0">
        <v>0</v>
      </c>
      <c r="K997" s="0">
        <v>1</v>
      </c>
      <c r="L997" s="0">
        <v>2</v>
      </c>
      <c r="M997" s="0">
        <v>6</v>
      </c>
      <c r="N997" s="0">
        <v>0</v>
      </c>
      <c r="O997" s="0">
        <v>0</v>
      </c>
      <c r="P997" s="0">
        <v>-190</v>
      </c>
      <c r="R997" s="0" t="b">
        <v>0</v>
      </c>
      <c r="S997" s="0" t="b">
        <v>1</v>
      </c>
      <c r="T997" s="68">
        <v>43903.6513888889</v>
      </c>
      <c r="U997" s="68">
        <v>43935.3333333333</v>
      </c>
      <c r="V997" s="68">
        <v>0</v>
      </c>
      <c r="W997" s="0">
        <f>IF(IF(B997="none",1,IF(B997="Trialer",1,0))+IF(C997="Customer",1,IF(C997="Lost",1,0))=2,1,0)</f>
      </c>
      <c r="X997" s="0" t="s">
        <v>145</v>
      </c>
      <c r="Y997" s="0" t="s">
        <v>243</v>
      </c>
      <c r="AV997" s="68"/>
      <c r="AW997" s="68"/>
      <c r="AY997" s="27"/>
      <c r="BD997" s="68">
        <v>46054.1666666667</v>
      </c>
      <c r="BE997" s="68">
        <v>46082.1666666667</v>
      </c>
      <c r="BF997" s="0" t="b">
        <v>0</v>
      </c>
      <c r="BG997" s="0" t="b">
        <v>0</v>
      </c>
      <c r="BH997" s="0">
        <v>213</v>
      </c>
      <c r="BI997" s="0">
        <v>213</v>
      </c>
      <c r="BJ997" s="0" t="s">
        <v>230</v>
      </c>
    </row>
    <row r="998">
      <c r="A998" s="0" t="s">
        <v>1201</v>
      </c>
      <c r="B998" s="0" t="s">
        <v>134</v>
      </c>
      <c r="C998" s="0" t="s">
        <v>134</v>
      </c>
      <c r="D998" s="0" t="s">
        <v>230</v>
      </c>
      <c r="E998" s="0" t="s">
        <v>2</v>
      </c>
      <c r="F998" s="0" t="s">
        <v>12</v>
      </c>
      <c r="G998" s="0" t="s">
        <v>8</v>
      </c>
      <c r="H998" s="0">
        <v>2150</v>
      </c>
      <c r="I998" s="0">
        <v>36</v>
      </c>
      <c r="J998" s="0">
        <v>0</v>
      </c>
      <c r="K998" s="0">
        <v>1</v>
      </c>
      <c r="L998" s="0">
        <v>2</v>
      </c>
      <c r="M998" s="0">
        <v>1</v>
      </c>
      <c r="N998" s="0">
        <v>0</v>
      </c>
      <c r="O998" s="0">
        <v>0</v>
      </c>
      <c r="P998" s="0">
        <v>-36</v>
      </c>
      <c r="R998" s="0" t="b">
        <v>0</v>
      </c>
      <c r="S998" s="0" t="b">
        <v>1</v>
      </c>
      <c r="T998" s="68">
        <v>43903.7534259259</v>
      </c>
      <c r="U998" s="68">
        <v>43933.3333333333</v>
      </c>
      <c r="V998" s="68">
        <v>0</v>
      </c>
      <c r="W998" s="0">
        <f>IF(IF(B998="none",1,IF(B998="Trialer",1,0))+IF(C998="Customer",1,IF(C998="Lost",1,0))=2,1,0)</f>
      </c>
      <c r="X998" s="0" t="s">
        <v>166</v>
      </c>
      <c r="Y998" s="0" t="s">
        <v>499</v>
      </c>
      <c r="AV998" s="68"/>
      <c r="AW998" s="68"/>
      <c r="AY998" s="27"/>
      <c r="BD998" s="68">
        <v>46054.1666666667</v>
      </c>
      <c r="BE998" s="68">
        <v>46082.1666666667</v>
      </c>
      <c r="BF998" s="0" t="b">
        <v>0</v>
      </c>
      <c r="BG998" s="0" t="b">
        <v>0</v>
      </c>
      <c r="BH998" s="0">
        <v>40</v>
      </c>
      <c r="BI998" s="0">
        <v>40</v>
      </c>
      <c r="BJ998" s="0" t="s">
        <v>230</v>
      </c>
    </row>
    <row r="999">
      <c r="A999" s="0" t="s">
        <v>1202</v>
      </c>
      <c r="B999" s="0" t="s">
        <v>134</v>
      </c>
      <c r="C999" s="0" t="s">
        <v>134</v>
      </c>
      <c r="D999" s="0" t="s">
        <v>135</v>
      </c>
      <c r="E999" s="0" t="s">
        <v>3</v>
      </c>
      <c r="F999" s="0" t="s">
        <v>12</v>
      </c>
      <c r="G999" s="0" t="s">
        <v>8</v>
      </c>
      <c r="H999" s="0">
        <v>2145</v>
      </c>
      <c r="I999" s="0">
        <v>49</v>
      </c>
      <c r="J999" s="0">
        <v>0</v>
      </c>
      <c r="K999" s="0">
        <v>1</v>
      </c>
      <c r="L999" s="0">
        <v>3</v>
      </c>
      <c r="M999" s="0">
        <v>1</v>
      </c>
      <c r="N999" s="0">
        <v>0</v>
      </c>
      <c r="O999" s="0">
        <v>0</v>
      </c>
      <c r="P999" s="0">
        <v>0</v>
      </c>
      <c r="R999" s="0" t="b">
        <v>0</v>
      </c>
      <c r="S999" s="0" t="b">
        <v>1</v>
      </c>
      <c r="T999" s="68">
        <v>43908.7433101852</v>
      </c>
      <c r="U999" s="68">
        <v>43938.3333333333</v>
      </c>
      <c r="V999" s="68">
        <v>0</v>
      </c>
      <c r="W999" s="0">
        <f>IF(IF(B999="none",1,IF(B999="Trialer",1,0))+IF(C999="Customer",1,IF(C999="Lost",1,0))=2,1,0)</f>
      </c>
      <c r="X999" s="0" t="s">
        <v>142</v>
      </c>
      <c r="Y999" s="0" t="s">
        <v>243</v>
      </c>
      <c r="AV999" s="68"/>
      <c r="AW999" s="68"/>
      <c r="AY999" s="27"/>
      <c r="BD999" s="68">
        <v>46054.1666666667</v>
      </c>
      <c r="BE999" s="68">
        <v>46082.1666666667</v>
      </c>
      <c r="BF999" s="0" t="b">
        <v>0</v>
      </c>
      <c r="BG999" s="0" t="b">
        <v>0</v>
      </c>
      <c r="BH999" s="0">
        <v>49</v>
      </c>
      <c r="BI999" s="0">
        <v>49</v>
      </c>
      <c r="BJ999" s="0" t="s">
        <v>135</v>
      </c>
    </row>
    <row r="1000">
      <c r="A1000" s="0" t="s">
        <v>1203</v>
      </c>
      <c r="B1000" s="0" t="s">
        <v>134</v>
      </c>
      <c r="C1000" s="0" t="s">
        <v>134</v>
      </c>
      <c r="D1000" s="0" t="s">
        <v>135</v>
      </c>
      <c r="E1000" s="0" t="s">
        <v>2</v>
      </c>
      <c r="F1000" s="0" t="s">
        <v>12</v>
      </c>
      <c r="G1000" s="0" t="s">
        <v>8</v>
      </c>
      <c r="H1000" s="0">
        <v>2144</v>
      </c>
      <c r="I1000" s="0">
        <v>117</v>
      </c>
      <c r="J1000" s="0">
        <v>0</v>
      </c>
      <c r="K1000" s="0">
        <v>1</v>
      </c>
      <c r="L1000" s="0">
        <v>3</v>
      </c>
      <c r="M1000" s="0">
        <v>3</v>
      </c>
      <c r="N1000" s="0">
        <v>0</v>
      </c>
      <c r="O1000" s="0">
        <v>0</v>
      </c>
      <c r="P1000" s="0">
        <v>0</v>
      </c>
      <c r="R1000" s="0" t="b">
        <v>0</v>
      </c>
      <c r="S1000" s="0" t="b">
        <v>1</v>
      </c>
      <c r="T1000" s="68">
        <v>43909.3938773148</v>
      </c>
      <c r="U1000" s="68">
        <v>43939.3333333333</v>
      </c>
      <c r="V1000" s="68">
        <v>0</v>
      </c>
      <c r="W1000" s="0">
        <f>IF(IF(B1000="none",1,IF(B1000="Trialer",1,0))+IF(C1000="Customer",1,IF(C1000="Lost",1,0))=2,1,0)</f>
      </c>
      <c r="X1000" s="0" t="s">
        <v>166</v>
      </c>
      <c r="Y1000" s="0" t="s">
        <v>499</v>
      </c>
      <c r="AV1000" s="68"/>
      <c r="AW1000" s="68"/>
      <c r="AY1000" s="27"/>
      <c r="BD1000" s="68">
        <v>46054.1666666667</v>
      </c>
      <c r="BE1000" s="68">
        <v>46082.1666666667</v>
      </c>
      <c r="BF1000" s="0" t="b">
        <v>0</v>
      </c>
      <c r="BG1000" s="0" t="b">
        <v>0</v>
      </c>
      <c r="BH1000" s="0">
        <v>117</v>
      </c>
      <c r="BI1000" s="0">
        <v>117</v>
      </c>
      <c r="BJ1000" s="0" t="s">
        <v>135</v>
      </c>
    </row>
    <row r="1001">
      <c r="A1001" s="0" t="s">
        <v>1204</v>
      </c>
      <c r="B1001" s="0" t="s">
        <v>134</v>
      </c>
      <c r="C1001" s="0" t="s">
        <v>134</v>
      </c>
      <c r="D1001" s="0" t="s">
        <v>135</v>
      </c>
      <c r="E1001" s="0" t="s">
        <v>3</v>
      </c>
      <c r="F1001" s="0" t="s">
        <v>12</v>
      </c>
      <c r="G1001" s="0" t="s">
        <v>8</v>
      </c>
      <c r="H1001" s="0">
        <v>2144</v>
      </c>
      <c r="I1001" s="0">
        <v>300</v>
      </c>
      <c r="J1001" s="0">
        <v>0</v>
      </c>
      <c r="K1001" s="0">
        <v>1</v>
      </c>
      <c r="L1001" s="0">
        <v>3</v>
      </c>
      <c r="M1001" s="0">
        <v>6</v>
      </c>
      <c r="N1001" s="0">
        <v>0</v>
      </c>
      <c r="O1001" s="0">
        <v>0</v>
      </c>
      <c r="P1001" s="0">
        <v>0</v>
      </c>
      <c r="R1001" s="0" t="b">
        <v>0</v>
      </c>
      <c r="S1001" s="0" t="b">
        <v>1</v>
      </c>
      <c r="T1001" s="68">
        <v>43909.6236805556</v>
      </c>
      <c r="U1001" s="68">
        <v>43939.3333333333</v>
      </c>
      <c r="V1001" s="68">
        <v>0</v>
      </c>
      <c r="W1001" s="0">
        <f>IF(IF(B1001="none",1,IF(B1001="Trialer",1,0))+IF(C1001="Customer",1,IF(C1001="Lost",1,0))=2,1,0)</f>
      </c>
      <c r="X1001" s="0" t="s">
        <v>136</v>
      </c>
      <c r="Y1001" s="0" t="s">
        <v>243</v>
      </c>
      <c r="AV1001" s="68"/>
      <c r="AW1001" s="68"/>
      <c r="AY1001" s="27"/>
      <c r="BD1001" s="68">
        <v>46054.1666666667</v>
      </c>
      <c r="BE1001" s="68">
        <v>46082.1666666667</v>
      </c>
      <c r="BF1001" s="0" t="b">
        <v>0</v>
      </c>
      <c r="BG1001" s="0" t="b">
        <v>0</v>
      </c>
      <c r="BH1001" s="0">
        <v>300</v>
      </c>
      <c r="BI1001" s="0">
        <v>300</v>
      </c>
      <c r="BJ1001" s="0" t="s">
        <v>135</v>
      </c>
    </row>
    <row r="1002">
      <c r="A1002" s="0" t="s">
        <v>1205</v>
      </c>
      <c r="B1002" s="0" t="s">
        <v>134</v>
      </c>
      <c r="C1002" s="0" t="s">
        <v>134</v>
      </c>
      <c r="D1002" s="0" t="s">
        <v>135</v>
      </c>
      <c r="E1002" s="0" t="s">
        <v>2</v>
      </c>
      <c r="F1002" s="0" t="s">
        <v>10</v>
      </c>
      <c r="G1002" s="0" t="s">
        <v>8</v>
      </c>
      <c r="H1002" s="0">
        <v>2143</v>
      </c>
      <c r="I1002" s="0">
        <v>132</v>
      </c>
      <c r="J1002" s="0">
        <v>0</v>
      </c>
      <c r="K1002" s="0">
        <v>1</v>
      </c>
      <c r="L1002" s="0">
        <v>3</v>
      </c>
      <c r="M1002" s="0">
        <v>3</v>
      </c>
      <c r="N1002" s="0">
        <v>0</v>
      </c>
      <c r="O1002" s="0">
        <v>0</v>
      </c>
      <c r="P1002" s="0">
        <v>0</v>
      </c>
      <c r="Q1002" s="0" t="s">
        <v>1206</v>
      </c>
      <c r="R1002" s="0" t="b">
        <v>0</v>
      </c>
      <c r="S1002" s="0" t="b">
        <v>1</v>
      </c>
      <c r="T1002" s="68">
        <v>43910.5259953704</v>
      </c>
      <c r="U1002" s="68">
        <v>43940.3333333333</v>
      </c>
      <c r="V1002" s="68">
        <v>0</v>
      </c>
      <c r="W1002" s="0">
        <f>IF(IF(B1002="none",1,IF(B1002="Trialer",1,0))+IF(C1002="Customer",1,IF(C1002="Lost",1,0))=2,1,0)</f>
      </c>
      <c r="X1002" s="0" t="s">
        <v>148</v>
      </c>
      <c r="Y1002" s="0" t="s">
        <v>499</v>
      </c>
      <c r="AV1002" s="68"/>
      <c r="AW1002" s="68"/>
      <c r="AY1002" s="27"/>
      <c r="BD1002" s="68">
        <v>46054.1666666667</v>
      </c>
      <c r="BE1002" s="68">
        <v>46082.1666666667</v>
      </c>
      <c r="BF1002" s="0" t="b">
        <v>0</v>
      </c>
      <c r="BG1002" s="0" t="b">
        <v>0</v>
      </c>
      <c r="BH1002" s="0">
        <v>132</v>
      </c>
      <c r="BI1002" s="0">
        <v>132</v>
      </c>
      <c r="BJ1002" s="0" t="s">
        <v>135</v>
      </c>
    </row>
    <row r="1003">
      <c r="A1003" s="0" t="s">
        <v>1207</v>
      </c>
      <c r="B1003" s="0" t="s">
        <v>134</v>
      </c>
      <c r="C1003" s="0" t="s">
        <v>134</v>
      </c>
      <c r="D1003" s="0" t="s">
        <v>230</v>
      </c>
      <c r="E1003" s="0" t="s">
        <v>3</v>
      </c>
      <c r="F1003" s="0" t="s">
        <v>12</v>
      </c>
      <c r="G1003" s="0" t="s">
        <v>8</v>
      </c>
      <c r="H1003" s="0">
        <v>2140</v>
      </c>
      <c r="I1003" s="0">
        <v>44</v>
      </c>
      <c r="J1003" s="0">
        <v>0</v>
      </c>
      <c r="K1003" s="0">
        <v>1</v>
      </c>
      <c r="L1003" s="0">
        <v>3</v>
      </c>
      <c r="M1003" s="0">
        <v>1</v>
      </c>
      <c r="N1003" s="0">
        <v>0</v>
      </c>
      <c r="O1003" s="0">
        <v>0</v>
      </c>
      <c r="P1003" s="0">
        <v>-44</v>
      </c>
      <c r="R1003" s="0" t="b">
        <v>0</v>
      </c>
      <c r="S1003" s="0" t="b">
        <v>1</v>
      </c>
      <c r="T1003" s="68">
        <v>43913.5743055556</v>
      </c>
      <c r="U1003" s="68">
        <v>43943.3333333333</v>
      </c>
      <c r="V1003" s="68">
        <v>0</v>
      </c>
      <c r="W1003" s="0">
        <f>IF(IF(B1003="none",1,IF(B1003="Trialer",1,0))+IF(C1003="Customer",1,IF(C1003="Lost",1,0))=2,1,0)</f>
      </c>
      <c r="X1003" s="0" t="s">
        <v>142</v>
      </c>
      <c r="Y1003" s="0" t="s">
        <v>243</v>
      </c>
      <c r="AV1003" s="68"/>
      <c r="AW1003" s="68"/>
      <c r="AY1003" s="27"/>
      <c r="BD1003" s="68">
        <v>46054.1666666667</v>
      </c>
      <c r="BE1003" s="68">
        <v>46082.1666666667</v>
      </c>
      <c r="BF1003" s="0" t="b">
        <v>0</v>
      </c>
      <c r="BG1003" s="0" t="b">
        <v>0</v>
      </c>
      <c r="BH1003" s="0">
        <v>49</v>
      </c>
      <c r="BI1003" s="0">
        <v>49</v>
      </c>
      <c r="BJ1003" s="0" t="s">
        <v>230</v>
      </c>
    </row>
    <row r="1004">
      <c r="A1004" s="0" t="s">
        <v>1208</v>
      </c>
      <c r="B1004" s="0" t="s">
        <v>134</v>
      </c>
      <c r="C1004" s="0" t="s">
        <v>134</v>
      </c>
      <c r="D1004" s="0" t="s">
        <v>135</v>
      </c>
      <c r="E1004" s="0" t="s">
        <v>3</v>
      </c>
      <c r="F1004" s="0" t="s">
        <v>12</v>
      </c>
      <c r="G1004" s="0" t="s">
        <v>8</v>
      </c>
      <c r="H1004" s="0">
        <v>2139</v>
      </c>
      <c r="I1004" s="0">
        <v>52</v>
      </c>
      <c r="J1004" s="0">
        <v>0</v>
      </c>
      <c r="K1004" s="0">
        <v>1</v>
      </c>
      <c r="L1004" s="0">
        <v>3</v>
      </c>
      <c r="M1004" s="0">
        <v>1</v>
      </c>
      <c r="N1004" s="0">
        <v>0</v>
      </c>
      <c r="O1004" s="0">
        <v>0</v>
      </c>
      <c r="P1004" s="0">
        <v>0</v>
      </c>
      <c r="R1004" s="0" t="b">
        <v>0</v>
      </c>
      <c r="S1004" s="0" t="b">
        <v>1</v>
      </c>
      <c r="T1004" s="68">
        <v>43914.266099537</v>
      </c>
      <c r="U1004" s="68">
        <v>43957.3333333333</v>
      </c>
      <c r="V1004" s="68">
        <v>0</v>
      </c>
      <c r="W1004" s="0">
        <f>IF(IF(B1004="none",1,IF(B1004="Trialer",1,0))+IF(C1004="Customer",1,IF(C1004="Lost",1,0))=2,1,0)</f>
      </c>
      <c r="X1004" s="0" t="s">
        <v>142</v>
      </c>
      <c r="Y1004" s="0" t="s">
        <v>243</v>
      </c>
      <c r="AV1004" s="68"/>
      <c r="AW1004" s="68"/>
      <c r="AY1004" s="27"/>
      <c r="BD1004" s="68">
        <v>46054.1666666667</v>
      </c>
      <c r="BE1004" s="68">
        <v>46082.1666666667</v>
      </c>
      <c r="BF1004" s="0" t="b">
        <v>0</v>
      </c>
      <c r="BG1004" s="0" t="b">
        <v>0</v>
      </c>
      <c r="BH1004" s="0">
        <v>52</v>
      </c>
      <c r="BI1004" s="0">
        <v>52</v>
      </c>
      <c r="BJ1004" s="0" t="s">
        <v>135</v>
      </c>
    </row>
    <row r="1005">
      <c r="A1005" s="0" t="s">
        <v>1209</v>
      </c>
      <c r="B1005" s="0" t="s">
        <v>134</v>
      </c>
      <c r="C1005" s="0" t="s">
        <v>134</v>
      </c>
      <c r="D1005" s="0" t="s">
        <v>135</v>
      </c>
      <c r="E1005" s="0" t="s">
        <v>3</v>
      </c>
      <c r="F1005" s="0" t="s">
        <v>12</v>
      </c>
      <c r="G1005" s="0" t="s">
        <v>8</v>
      </c>
      <c r="H1005" s="0">
        <v>2139</v>
      </c>
      <c r="I1005" s="0">
        <v>244</v>
      </c>
      <c r="J1005" s="0">
        <v>0</v>
      </c>
      <c r="K1005" s="0">
        <v>1</v>
      </c>
      <c r="L1005" s="0">
        <v>4</v>
      </c>
      <c r="M1005" s="0">
        <v>4</v>
      </c>
      <c r="N1005" s="0">
        <v>0</v>
      </c>
      <c r="O1005" s="0">
        <v>0</v>
      </c>
      <c r="P1005" s="0">
        <v>0</v>
      </c>
      <c r="R1005" s="0" t="b">
        <v>0</v>
      </c>
      <c r="S1005" s="0" t="b">
        <v>1</v>
      </c>
      <c r="T1005" s="68">
        <v>43914.2826388889</v>
      </c>
      <c r="U1005" s="68">
        <v>43957.3333333333</v>
      </c>
      <c r="V1005" s="68">
        <v>0</v>
      </c>
      <c r="W1005" s="0">
        <f>IF(IF(B1005="none",1,IF(B1005="Trialer",1,0))+IF(C1005="Customer",1,IF(C1005="Lost",1,0))=2,1,0)</f>
      </c>
      <c r="X1005" s="0" t="s">
        <v>136</v>
      </c>
      <c r="Y1005" s="0" t="s">
        <v>243</v>
      </c>
      <c r="AV1005" s="68"/>
      <c r="AW1005" s="68"/>
      <c r="AY1005" s="27"/>
      <c r="BD1005" s="68">
        <v>46054.1666666667</v>
      </c>
      <c r="BE1005" s="68">
        <v>46082.1666666667</v>
      </c>
      <c r="BF1005" s="0" t="b">
        <v>0</v>
      </c>
      <c r="BG1005" s="0" t="b">
        <v>0</v>
      </c>
      <c r="BH1005" s="0">
        <v>244</v>
      </c>
      <c r="BI1005" s="0">
        <v>244</v>
      </c>
      <c r="BJ1005" s="0" t="s">
        <v>135</v>
      </c>
    </row>
    <row r="1006">
      <c r="A1006" s="0" t="s">
        <v>1210</v>
      </c>
      <c r="B1006" s="0" t="s">
        <v>134</v>
      </c>
      <c r="C1006" s="0" t="s">
        <v>134</v>
      </c>
      <c r="D1006" s="0" t="s">
        <v>135</v>
      </c>
      <c r="E1006" s="0" t="s">
        <v>3</v>
      </c>
      <c r="F1006" s="0" t="s">
        <v>10</v>
      </c>
      <c r="G1006" s="0" t="s">
        <v>8</v>
      </c>
      <c r="H1006" s="0">
        <v>2138</v>
      </c>
      <c r="I1006" s="0">
        <v>280</v>
      </c>
      <c r="J1006" s="0">
        <v>0</v>
      </c>
      <c r="K1006" s="0">
        <v>1</v>
      </c>
      <c r="L1006" s="0">
        <v>1</v>
      </c>
      <c r="M1006" s="0">
        <v>10</v>
      </c>
      <c r="N1006" s="0">
        <v>0</v>
      </c>
      <c r="O1006" s="0">
        <v>0</v>
      </c>
      <c r="P1006" s="0">
        <v>0</v>
      </c>
      <c r="Q1006" s="0" t="s">
        <v>618</v>
      </c>
      <c r="R1006" s="0" t="b">
        <v>0</v>
      </c>
      <c r="S1006" s="0" t="b">
        <v>1</v>
      </c>
      <c r="T1006" s="68">
        <v>43915.5939583333</v>
      </c>
      <c r="U1006" s="68">
        <v>43945.3333333333</v>
      </c>
      <c r="V1006" s="68">
        <v>0</v>
      </c>
      <c r="W1006" s="0">
        <f>IF(IF(B1006="none",1,IF(B1006="Trialer",1,0))+IF(C1006="Customer",1,IF(C1006="Lost",1,0))=2,1,0)</f>
      </c>
      <c r="X1006" s="0" t="s">
        <v>148</v>
      </c>
      <c r="Y1006" s="0" t="s">
        <v>243</v>
      </c>
      <c r="AV1006" s="68"/>
      <c r="AW1006" s="68"/>
      <c r="AY1006" s="27"/>
      <c r="BD1006" s="68">
        <v>46054.1666666667</v>
      </c>
      <c r="BE1006" s="68">
        <v>46082.1666666667</v>
      </c>
      <c r="BF1006" s="0" t="b">
        <v>0</v>
      </c>
      <c r="BG1006" s="0" t="b">
        <v>0</v>
      </c>
      <c r="BH1006" s="0">
        <v>280</v>
      </c>
      <c r="BI1006" s="0">
        <v>280</v>
      </c>
      <c r="BJ1006" s="0" t="s">
        <v>135</v>
      </c>
    </row>
    <row r="1007">
      <c r="A1007" s="0" t="s">
        <v>1211</v>
      </c>
      <c r="B1007" s="0" t="s">
        <v>134</v>
      </c>
      <c r="C1007" s="0" t="s">
        <v>134</v>
      </c>
      <c r="D1007" s="0" t="s">
        <v>135</v>
      </c>
      <c r="E1007" s="0" t="s">
        <v>2</v>
      </c>
      <c r="F1007" s="0" t="s">
        <v>12</v>
      </c>
      <c r="G1007" s="0" t="s">
        <v>8</v>
      </c>
      <c r="H1007" s="0">
        <v>2131</v>
      </c>
      <c r="I1007" s="0">
        <v>489</v>
      </c>
      <c r="J1007" s="0">
        <v>0</v>
      </c>
      <c r="K1007" s="0">
        <v>1</v>
      </c>
      <c r="L1007" s="0">
        <v>4</v>
      </c>
      <c r="M1007" s="0">
        <v>9</v>
      </c>
      <c r="N1007" s="0">
        <v>0</v>
      </c>
      <c r="O1007" s="0">
        <v>0</v>
      </c>
      <c r="P1007" s="0">
        <v>0</v>
      </c>
      <c r="R1007" s="0" t="b">
        <v>0</v>
      </c>
      <c r="S1007" s="0" t="b">
        <v>1</v>
      </c>
      <c r="T1007" s="68">
        <v>43922.5</v>
      </c>
      <c r="U1007" s="68">
        <v>43952.3333333333</v>
      </c>
      <c r="V1007" s="68">
        <v>0</v>
      </c>
      <c r="W1007" s="0">
        <f>IF(IF(B1007="none",1,IF(B1007="Trialer",1,0))+IF(C1007="Customer",1,IF(C1007="Lost",1,0))=2,1,0)</f>
      </c>
      <c r="X1007" s="0" t="s">
        <v>148</v>
      </c>
      <c r="Y1007" s="0" t="s">
        <v>499</v>
      </c>
      <c r="AV1007" s="68"/>
      <c r="AW1007" s="68"/>
      <c r="AY1007" s="27"/>
      <c r="BD1007" s="68">
        <v>46054.1666666667</v>
      </c>
      <c r="BE1007" s="68">
        <v>46082.1666666667</v>
      </c>
      <c r="BF1007" s="0" t="b">
        <v>0</v>
      </c>
      <c r="BG1007" s="0" t="b">
        <v>0</v>
      </c>
      <c r="BH1007" s="0">
        <v>489</v>
      </c>
      <c r="BI1007" s="0">
        <v>489</v>
      </c>
      <c r="BJ1007" s="0" t="s">
        <v>135</v>
      </c>
    </row>
    <row r="1008">
      <c r="A1008" s="0" t="s">
        <v>1212</v>
      </c>
      <c r="B1008" s="0" t="s">
        <v>134</v>
      </c>
      <c r="C1008" s="0" t="s">
        <v>134</v>
      </c>
      <c r="D1008" s="0" t="s">
        <v>230</v>
      </c>
      <c r="E1008" s="0" t="s">
        <v>3</v>
      </c>
      <c r="F1008" s="0" t="s">
        <v>12</v>
      </c>
      <c r="G1008" s="0" t="s">
        <v>8</v>
      </c>
      <c r="H1008" s="0">
        <v>2131</v>
      </c>
      <c r="I1008" s="0">
        <v>1563</v>
      </c>
      <c r="J1008" s="0">
        <v>0</v>
      </c>
      <c r="K1008" s="0">
        <v>2</v>
      </c>
      <c r="L1008" s="0">
        <v>4</v>
      </c>
      <c r="M1008" s="0">
        <v>6</v>
      </c>
      <c r="N1008" s="0">
        <v>0</v>
      </c>
      <c r="O1008" s="0">
        <v>0</v>
      </c>
      <c r="P1008" s="0">
        <v>-258</v>
      </c>
      <c r="R1008" s="0" t="b">
        <v>0</v>
      </c>
      <c r="S1008" s="0" t="b">
        <v>1</v>
      </c>
      <c r="T1008" s="68">
        <v>43922.648287037</v>
      </c>
      <c r="U1008" s="68">
        <v>43949.3333333333</v>
      </c>
      <c r="V1008" s="68">
        <v>0</v>
      </c>
      <c r="W1008" s="0">
        <f>IF(IF(B1008="none",1,IF(B1008="Trialer",1,0))+IF(C1008="Customer",1,IF(C1008="Lost",1,0))=2,1,0)</f>
      </c>
      <c r="X1008" s="0" t="s">
        <v>148</v>
      </c>
      <c r="Y1008" s="0" t="s">
        <v>243</v>
      </c>
      <c r="AV1008" s="68"/>
      <c r="AW1008" s="68"/>
      <c r="AY1008" s="27"/>
      <c r="BD1008" s="68">
        <v>46054.1666666667</v>
      </c>
      <c r="BE1008" s="68">
        <v>46082.1666666667</v>
      </c>
      <c r="BF1008" s="0" t="b">
        <v>0</v>
      </c>
      <c r="BG1008" s="0" t="b">
        <v>0</v>
      </c>
      <c r="BH1008" s="0">
        <v>308.71</v>
      </c>
      <c r="BI1008" s="0">
        <v>308.67</v>
      </c>
      <c r="BJ1008" s="0" t="s">
        <v>230</v>
      </c>
    </row>
    <row r="1009">
      <c r="A1009" s="0" t="s">
        <v>1213</v>
      </c>
      <c r="B1009" s="0" t="s">
        <v>134</v>
      </c>
      <c r="C1009" s="0" t="s">
        <v>134</v>
      </c>
      <c r="D1009" s="0" t="s">
        <v>230</v>
      </c>
      <c r="E1009" s="0" t="s">
        <v>2</v>
      </c>
      <c r="F1009" s="0" t="s">
        <v>12</v>
      </c>
      <c r="G1009" s="0" t="s">
        <v>8</v>
      </c>
      <c r="H1009" s="0">
        <v>2127</v>
      </c>
      <c r="I1009" s="0">
        <v>207</v>
      </c>
      <c r="J1009" s="0">
        <v>0</v>
      </c>
      <c r="K1009" s="0">
        <v>1</v>
      </c>
      <c r="L1009" s="0">
        <v>3</v>
      </c>
      <c r="M1009" s="0">
        <v>8</v>
      </c>
      <c r="N1009" s="0">
        <v>155</v>
      </c>
      <c r="O1009" s="0">
        <v>0</v>
      </c>
      <c r="P1009" s="0">
        <v>-207</v>
      </c>
      <c r="R1009" s="0" t="b">
        <v>0</v>
      </c>
      <c r="S1009" s="0" t="b">
        <v>1</v>
      </c>
      <c r="T1009" s="68">
        <v>43926.8355787037</v>
      </c>
      <c r="U1009" s="68">
        <v>43983.3333333333</v>
      </c>
      <c r="V1009" s="68">
        <v>0</v>
      </c>
      <c r="W1009" s="0">
        <f>IF(IF(B1009="none",1,IF(B1009="Trialer",1,0))+IF(C1009="Customer",1,IF(C1009="Lost",1,0))=2,1,0)</f>
      </c>
      <c r="X1009" s="0" t="s">
        <v>136</v>
      </c>
      <c r="Y1009" s="0" t="s">
        <v>499</v>
      </c>
      <c r="AV1009" s="68"/>
      <c r="AW1009" s="68"/>
      <c r="AY1009" s="27"/>
      <c r="BD1009" s="68">
        <v>46054.1666666667</v>
      </c>
      <c r="BE1009" s="68">
        <v>46082.1666666667</v>
      </c>
      <c r="BF1009" s="0" t="b">
        <v>0</v>
      </c>
      <c r="BG1009" s="0" t="b">
        <v>0</v>
      </c>
      <c r="BH1009" s="0">
        <v>237</v>
      </c>
      <c r="BI1009" s="0">
        <v>237</v>
      </c>
      <c r="BJ1009" s="0" t="s">
        <v>230</v>
      </c>
    </row>
    <row r="1010">
      <c r="A1010" s="0" t="s">
        <v>1214</v>
      </c>
      <c r="B1010" s="0" t="s">
        <v>134</v>
      </c>
      <c r="C1010" s="0" t="s">
        <v>134</v>
      </c>
      <c r="D1010" s="0" t="s">
        <v>135</v>
      </c>
      <c r="E1010" s="0" t="s">
        <v>3</v>
      </c>
      <c r="F1010" s="0" t="s">
        <v>12</v>
      </c>
      <c r="G1010" s="0" t="s">
        <v>8</v>
      </c>
      <c r="H1010" s="0">
        <v>2127</v>
      </c>
      <c r="I1010" s="0">
        <v>52</v>
      </c>
      <c r="J1010" s="0">
        <v>0</v>
      </c>
      <c r="K1010" s="0">
        <v>1</v>
      </c>
      <c r="L1010" s="0">
        <v>3</v>
      </c>
      <c r="M1010" s="0">
        <v>1</v>
      </c>
      <c r="N1010" s="0">
        <v>0</v>
      </c>
      <c r="O1010" s="0">
        <v>0</v>
      </c>
      <c r="P1010" s="0">
        <v>0</v>
      </c>
      <c r="R1010" s="0" t="b">
        <v>0</v>
      </c>
      <c r="S1010" s="0" t="b">
        <v>1</v>
      </c>
      <c r="T1010" s="68">
        <v>43926.8605555556</v>
      </c>
      <c r="U1010" s="68">
        <v>43956.3333333333</v>
      </c>
      <c r="V1010" s="68">
        <v>0</v>
      </c>
      <c r="W1010" s="0">
        <f>IF(IF(B1010="none",1,IF(B1010="Trialer",1,0))+IF(C1010="Customer",1,IF(C1010="Lost",1,0))=2,1,0)</f>
      </c>
      <c r="X1010" s="0" t="s">
        <v>166</v>
      </c>
      <c r="Y1010" s="0" t="s">
        <v>243</v>
      </c>
      <c r="AV1010" s="68"/>
      <c r="AW1010" s="68"/>
      <c r="AY1010" s="27"/>
      <c r="BD1010" s="68">
        <v>46054.1666666667</v>
      </c>
      <c r="BE1010" s="68">
        <v>46082.1666666667</v>
      </c>
      <c r="BF1010" s="0" t="b">
        <v>0</v>
      </c>
      <c r="BG1010" s="0" t="b">
        <v>0</v>
      </c>
      <c r="BH1010" s="0">
        <v>52</v>
      </c>
      <c r="BI1010" s="0">
        <v>52</v>
      </c>
      <c r="BJ1010" s="0" t="s">
        <v>135</v>
      </c>
    </row>
    <row r="1011">
      <c r="A1011" s="0" t="s">
        <v>1215</v>
      </c>
      <c r="B1011" s="0" t="s">
        <v>134</v>
      </c>
      <c r="C1011" s="0" t="s">
        <v>134</v>
      </c>
      <c r="D1011" s="0" t="s">
        <v>135</v>
      </c>
      <c r="E1011" s="0" t="s">
        <v>3</v>
      </c>
      <c r="F1011" s="0" t="s">
        <v>12</v>
      </c>
      <c r="G1011" s="0" t="s">
        <v>8</v>
      </c>
      <c r="H1011" s="0">
        <v>2126</v>
      </c>
      <c r="I1011" s="0">
        <v>84</v>
      </c>
      <c r="J1011" s="0">
        <v>0</v>
      </c>
      <c r="K1011" s="0">
        <v>1</v>
      </c>
      <c r="L1011" s="0">
        <v>1</v>
      </c>
      <c r="M1011" s="0">
        <v>3</v>
      </c>
      <c r="N1011" s="0">
        <v>0</v>
      </c>
      <c r="O1011" s="0">
        <v>0</v>
      </c>
      <c r="P1011" s="0">
        <v>0</v>
      </c>
      <c r="R1011" s="0" t="b">
        <v>0</v>
      </c>
      <c r="S1011" s="0" t="b">
        <v>1</v>
      </c>
      <c r="T1011" s="68">
        <v>43927.4412847222</v>
      </c>
      <c r="U1011" s="68">
        <v>43957.3333333333</v>
      </c>
      <c r="V1011" s="68">
        <v>0</v>
      </c>
      <c r="W1011" s="0">
        <f>IF(IF(B1011="none",1,IF(B1011="Trialer",1,0))+IF(C1011="Customer",1,IF(C1011="Lost",1,0))=2,1,0)</f>
      </c>
      <c r="X1011" s="0" t="s">
        <v>148</v>
      </c>
      <c r="Y1011" s="0" t="s">
        <v>243</v>
      </c>
      <c r="AV1011" s="68"/>
      <c r="AW1011" s="68"/>
      <c r="AY1011" s="27"/>
      <c r="BD1011" s="68">
        <v>46054.1666666667</v>
      </c>
      <c r="BE1011" s="68">
        <v>46082.1666666667</v>
      </c>
      <c r="BF1011" s="0" t="b">
        <v>0</v>
      </c>
      <c r="BG1011" s="0" t="b">
        <v>0</v>
      </c>
      <c r="BH1011" s="0">
        <v>112</v>
      </c>
      <c r="BI1011" s="0">
        <v>112</v>
      </c>
      <c r="BJ1011" s="0" t="s">
        <v>135</v>
      </c>
    </row>
    <row r="1012">
      <c r="A1012" s="0" t="s">
        <v>1216</v>
      </c>
      <c r="B1012" s="0" t="s">
        <v>134</v>
      </c>
      <c r="C1012" s="0" t="s">
        <v>134</v>
      </c>
      <c r="D1012" s="0" t="s">
        <v>135</v>
      </c>
      <c r="E1012" s="0" t="s">
        <v>3</v>
      </c>
      <c r="F1012" s="0" t="s">
        <v>12</v>
      </c>
      <c r="G1012" s="0" t="s">
        <v>8</v>
      </c>
      <c r="H1012" s="0">
        <v>2123</v>
      </c>
      <c r="I1012" s="0">
        <v>0</v>
      </c>
      <c r="J1012" s="0">
        <v>0</v>
      </c>
      <c r="K1012" s="0">
        <v>1</v>
      </c>
      <c r="L1012" s="0">
        <v>3</v>
      </c>
      <c r="M1012" s="0">
        <v>1</v>
      </c>
      <c r="N1012" s="0">
        <v>0</v>
      </c>
      <c r="O1012" s="0">
        <v>0</v>
      </c>
      <c r="P1012" s="0">
        <v>0</v>
      </c>
      <c r="R1012" s="0" t="b">
        <v>0</v>
      </c>
      <c r="S1012" s="0" t="b">
        <v>1</v>
      </c>
      <c r="T1012" s="68">
        <v>43930.4018865741</v>
      </c>
      <c r="U1012" s="68">
        <v>43936.3333333333</v>
      </c>
      <c r="V1012" s="68">
        <v>0</v>
      </c>
      <c r="W1012" s="0">
        <f>IF(IF(B1012="none",1,IF(B1012="Trialer",1,0))+IF(C1012="Customer",1,IF(C1012="Lost",1,0))=2,1,0)</f>
      </c>
      <c r="X1012" s="0" t="s">
        <v>148</v>
      </c>
      <c r="Y1012" s="0" t="s">
        <v>243</v>
      </c>
      <c r="AV1012" s="68"/>
      <c r="AW1012" s="68"/>
      <c r="AY1012" s="27"/>
      <c r="BD1012" s="68">
        <v>46054.1666666667</v>
      </c>
      <c r="BE1012" s="68">
        <v>46082.1666666667</v>
      </c>
      <c r="BF1012" s="0" t="b">
        <v>0</v>
      </c>
      <c r="BG1012" s="0" t="b">
        <v>0</v>
      </c>
      <c r="BH1012" s="0">
        <v>0</v>
      </c>
      <c r="BI1012" s="0">
        <v>0</v>
      </c>
      <c r="BJ1012" s="0" t="s">
        <v>135</v>
      </c>
    </row>
    <row r="1013">
      <c r="A1013" s="0" t="s">
        <v>1217</v>
      </c>
      <c r="B1013" s="0" t="s">
        <v>134</v>
      </c>
      <c r="C1013" s="0" t="s">
        <v>134</v>
      </c>
      <c r="D1013" s="0" t="s">
        <v>135</v>
      </c>
      <c r="E1013" s="0" t="s">
        <v>3</v>
      </c>
      <c r="F1013" s="0" t="s">
        <v>12</v>
      </c>
      <c r="G1013" s="0" t="s">
        <v>8</v>
      </c>
      <c r="H1013" s="0">
        <v>2119</v>
      </c>
      <c r="I1013" s="0">
        <v>0</v>
      </c>
      <c r="J1013" s="0">
        <v>0</v>
      </c>
      <c r="K1013" s="0">
        <v>1</v>
      </c>
      <c r="L1013" s="0">
        <v>4</v>
      </c>
      <c r="M1013" s="0">
        <v>2</v>
      </c>
      <c r="N1013" s="0">
        <v>0</v>
      </c>
      <c r="O1013" s="0">
        <v>0</v>
      </c>
      <c r="P1013" s="0">
        <v>0</v>
      </c>
      <c r="R1013" s="0" t="b">
        <v>0</v>
      </c>
      <c r="S1013" s="0" t="b">
        <v>1</v>
      </c>
      <c r="T1013" s="68">
        <v>43934.6534722222</v>
      </c>
      <c r="U1013" s="68">
        <v>43964.3333333333</v>
      </c>
      <c r="V1013" s="68">
        <v>0</v>
      </c>
      <c r="W1013" s="0">
        <f>IF(IF(B1013="none",1,IF(B1013="Trialer",1,0))+IF(C1013="Customer",1,IF(C1013="Lost",1,0))=2,1,0)</f>
      </c>
      <c r="X1013" s="0" t="s">
        <v>136</v>
      </c>
      <c r="Y1013" s="0" t="s">
        <v>243</v>
      </c>
      <c r="AV1013" s="68"/>
      <c r="AW1013" s="68"/>
      <c r="AY1013" s="27"/>
      <c r="BD1013" s="68">
        <v>46054.1666666667</v>
      </c>
      <c r="BE1013" s="68">
        <v>46082.1666666667</v>
      </c>
      <c r="BF1013" s="0" t="b">
        <v>0</v>
      </c>
      <c r="BG1013" s="0" t="b">
        <v>0</v>
      </c>
      <c r="BH1013" s="0">
        <v>0</v>
      </c>
      <c r="BI1013" s="0">
        <v>0</v>
      </c>
      <c r="BJ1013" s="0" t="s">
        <v>230</v>
      </c>
    </row>
    <row r="1014">
      <c r="A1014" s="0" t="s">
        <v>1218</v>
      </c>
      <c r="B1014" s="0" t="s">
        <v>134</v>
      </c>
      <c r="C1014" s="0" t="s">
        <v>134</v>
      </c>
      <c r="D1014" s="0" t="s">
        <v>230</v>
      </c>
      <c r="E1014" s="0" t="s">
        <v>3</v>
      </c>
      <c r="F1014" s="0" t="s">
        <v>12</v>
      </c>
      <c r="G1014" s="0" t="s">
        <v>8</v>
      </c>
      <c r="H1014" s="0">
        <v>2119</v>
      </c>
      <c r="I1014" s="0">
        <v>44</v>
      </c>
      <c r="J1014" s="0">
        <v>0</v>
      </c>
      <c r="K1014" s="0">
        <v>1</v>
      </c>
      <c r="L1014" s="0">
        <v>3</v>
      </c>
      <c r="M1014" s="0">
        <v>1</v>
      </c>
      <c r="N1014" s="0">
        <v>0</v>
      </c>
      <c r="O1014" s="0">
        <v>0</v>
      </c>
      <c r="P1014" s="0">
        <v>-44</v>
      </c>
      <c r="R1014" s="0" t="b">
        <v>0</v>
      </c>
      <c r="S1014" s="0" t="b">
        <v>1</v>
      </c>
      <c r="T1014" s="68">
        <v>43934.8787037037</v>
      </c>
      <c r="U1014" s="68">
        <v>43964.3333333333</v>
      </c>
      <c r="V1014" s="68">
        <v>0</v>
      </c>
      <c r="W1014" s="0">
        <f>IF(IF(B1014="none",1,IF(B1014="Trialer",1,0))+IF(C1014="Customer",1,IF(C1014="Lost",1,0))=2,1,0)</f>
      </c>
      <c r="X1014" s="0" t="s">
        <v>142</v>
      </c>
      <c r="Y1014" s="0" t="s">
        <v>243</v>
      </c>
      <c r="AV1014" s="68"/>
      <c r="AW1014" s="68"/>
      <c r="AY1014" s="27"/>
      <c r="BD1014" s="68">
        <v>46054.1666666667</v>
      </c>
      <c r="BE1014" s="68">
        <v>46082.1666666667</v>
      </c>
      <c r="BF1014" s="0" t="b">
        <v>0</v>
      </c>
      <c r="BG1014" s="0" t="b">
        <v>0</v>
      </c>
      <c r="BH1014" s="0">
        <v>49</v>
      </c>
      <c r="BI1014" s="0">
        <v>49</v>
      </c>
      <c r="BJ1014" s="0" t="s">
        <v>230</v>
      </c>
    </row>
    <row r="1015">
      <c r="A1015" s="0" t="s">
        <v>1219</v>
      </c>
      <c r="B1015" s="0" t="s">
        <v>134</v>
      </c>
      <c r="C1015" s="0" t="s">
        <v>134</v>
      </c>
      <c r="D1015" s="0" t="s">
        <v>135</v>
      </c>
      <c r="E1015" s="0" t="s">
        <v>3</v>
      </c>
      <c r="F1015" s="0" t="s">
        <v>12</v>
      </c>
      <c r="G1015" s="0" t="s">
        <v>8</v>
      </c>
      <c r="H1015" s="0">
        <v>2115</v>
      </c>
      <c r="I1015" s="0">
        <v>144</v>
      </c>
      <c r="J1015" s="0">
        <v>0</v>
      </c>
      <c r="K1015" s="0">
        <v>1</v>
      </c>
      <c r="L1015" s="0">
        <v>3</v>
      </c>
      <c r="M1015" s="0">
        <v>4</v>
      </c>
      <c r="N1015" s="0">
        <v>0</v>
      </c>
      <c r="O1015" s="0">
        <v>0</v>
      </c>
      <c r="P1015" s="0">
        <v>0</v>
      </c>
      <c r="R1015" s="0" t="b">
        <v>0</v>
      </c>
      <c r="S1015" s="0" t="b">
        <v>1</v>
      </c>
      <c r="T1015" s="68">
        <v>43938.5</v>
      </c>
      <c r="U1015" s="68">
        <v>43968.3333333333</v>
      </c>
      <c r="V1015" s="68">
        <v>0</v>
      </c>
      <c r="W1015" s="0">
        <f>IF(IF(B1015="none",1,IF(B1015="Trialer",1,0))+IF(C1015="Customer",1,IF(C1015="Lost",1,0))=2,1,0)</f>
      </c>
      <c r="X1015" s="0" t="s">
        <v>136</v>
      </c>
      <c r="Y1015" s="0" t="s">
        <v>243</v>
      </c>
      <c r="AV1015" s="68"/>
      <c r="AW1015" s="68"/>
      <c r="AY1015" s="27"/>
      <c r="BD1015" s="68">
        <v>46054.1666666667</v>
      </c>
      <c r="BE1015" s="68">
        <v>46082.1666666667</v>
      </c>
      <c r="BF1015" s="0" t="b">
        <v>0</v>
      </c>
      <c r="BG1015" s="0" t="b">
        <v>0</v>
      </c>
      <c r="BH1015" s="0">
        <v>49</v>
      </c>
      <c r="BI1015" s="0">
        <v>49</v>
      </c>
      <c r="BJ1015" s="0" t="s">
        <v>135</v>
      </c>
    </row>
    <row r="1016">
      <c r="A1016" s="0" t="s">
        <v>1220</v>
      </c>
      <c r="B1016" s="0" t="s">
        <v>134</v>
      </c>
      <c r="C1016" s="0" t="s">
        <v>190</v>
      </c>
      <c r="D1016" s="0" t="s">
        <v>135</v>
      </c>
      <c r="E1016" s="0" t="s">
        <v>2</v>
      </c>
      <c r="F1016" s="0" t="s">
        <v>12</v>
      </c>
      <c r="G1016" s="0" t="s">
        <v>7</v>
      </c>
      <c r="H1016" s="0">
        <v>2115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R1016" s="0" t="b">
        <v>0</v>
      </c>
      <c r="S1016" s="0" t="b">
        <v>0</v>
      </c>
      <c r="T1016" s="68">
        <v>43938.5249305556</v>
      </c>
      <c r="U1016" s="68">
        <v>43968.3333333333</v>
      </c>
      <c r="V1016" s="68">
        <v>46062.5037615741</v>
      </c>
      <c r="W1016" s="0">
        <f>IF(IF(B1016="none",1,IF(B1016="Trialer",1,0))+IF(C1016="Customer",1,IF(C1016="Lost",1,0))=2,1,0)</f>
      </c>
      <c r="X1016" s="0" t="s">
        <v>145</v>
      </c>
      <c r="Y1016" s="0" t="s">
        <v>499</v>
      </c>
      <c r="AV1016" s="68"/>
      <c r="AW1016" s="68"/>
      <c r="AY1016" s="27"/>
      <c r="BD1016" s="68">
        <v>46054.1666666667</v>
      </c>
      <c r="BE1016" s="68">
        <v>46082.1666666667</v>
      </c>
      <c r="BF1016" s="0" t="b">
        <v>0</v>
      </c>
      <c r="BG1016" s="0" t="b">
        <v>0</v>
      </c>
      <c r="BH1016" s="0">
        <v>61</v>
      </c>
      <c r="BI1016" s="0">
        <v>61</v>
      </c>
      <c r="BJ1016" s="0" t="s">
        <v>135</v>
      </c>
    </row>
    <row r="1017">
      <c r="A1017" s="0" t="s">
        <v>1221</v>
      </c>
      <c r="B1017" s="0" t="s">
        <v>134</v>
      </c>
      <c r="C1017" s="0" t="s">
        <v>134</v>
      </c>
      <c r="D1017" s="0" t="s">
        <v>230</v>
      </c>
      <c r="E1017" s="0" t="s">
        <v>2</v>
      </c>
      <c r="F1017" s="0" t="s">
        <v>12</v>
      </c>
      <c r="G1017" s="0" t="s">
        <v>8</v>
      </c>
      <c r="H1017" s="0">
        <v>2115</v>
      </c>
      <c r="I1017" s="0">
        <v>339</v>
      </c>
      <c r="J1017" s="0">
        <v>0</v>
      </c>
      <c r="K1017" s="0">
        <v>1</v>
      </c>
      <c r="L1017" s="0">
        <v>4</v>
      </c>
      <c r="M1017" s="0">
        <v>7</v>
      </c>
      <c r="N1017" s="0">
        <v>0</v>
      </c>
      <c r="O1017" s="0">
        <v>0</v>
      </c>
      <c r="P1017" s="0">
        <v>-339</v>
      </c>
      <c r="R1017" s="0" t="b">
        <v>0</v>
      </c>
      <c r="S1017" s="0" t="b">
        <v>1</v>
      </c>
      <c r="T1017" s="68">
        <v>43938.6058796296</v>
      </c>
      <c r="U1017" s="68">
        <v>43968.3333333333</v>
      </c>
      <c r="V1017" s="68">
        <v>0</v>
      </c>
      <c r="W1017" s="0">
        <f>IF(IF(B1017="none",1,IF(B1017="Trialer",1,0))+IF(C1017="Customer",1,IF(C1017="Lost",1,0))=2,1,0)</f>
      </c>
      <c r="X1017" s="0" t="s">
        <v>145</v>
      </c>
      <c r="Y1017" s="0" t="s">
        <v>499</v>
      </c>
      <c r="AV1017" s="68"/>
      <c r="AW1017" s="68"/>
      <c r="AY1017" s="27"/>
      <c r="BD1017" s="68">
        <v>46054.1666666667</v>
      </c>
      <c r="BE1017" s="68">
        <v>46082.1666666667</v>
      </c>
      <c r="BF1017" s="0" t="b">
        <v>0</v>
      </c>
      <c r="BG1017" s="0" t="b">
        <v>0</v>
      </c>
      <c r="BH1017" s="0">
        <v>382</v>
      </c>
      <c r="BI1017" s="0">
        <v>382</v>
      </c>
      <c r="BJ1017" s="0" t="s">
        <v>230</v>
      </c>
    </row>
    <row r="1018">
      <c r="A1018" s="0" t="s">
        <v>1222</v>
      </c>
      <c r="B1018" s="0" t="s">
        <v>134</v>
      </c>
      <c r="C1018" s="0" t="s">
        <v>134</v>
      </c>
      <c r="D1018" s="0" t="s">
        <v>135</v>
      </c>
      <c r="E1018" s="0" t="s">
        <v>2</v>
      </c>
      <c r="F1018" s="0" t="s">
        <v>12</v>
      </c>
      <c r="G1018" s="0" t="s">
        <v>8</v>
      </c>
      <c r="H1018" s="0">
        <v>2115</v>
      </c>
      <c r="I1018" s="0">
        <v>299</v>
      </c>
      <c r="J1018" s="0">
        <v>0</v>
      </c>
      <c r="K1018" s="0">
        <v>1</v>
      </c>
      <c r="L1018" s="0">
        <v>5</v>
      </c>
      <c r="M1018" s="0">
        <v>5</v>
      </c>
      <c r="N1018" s="0">
        <v>0</v>
      </c>
      <c r="O1018" s="0">
        <v>0</v>
      </c>
      <c r="P1018" s="0">
        <v>0</v>
      </c>
      <c r="R1018" s="0" t="b">
        <v>0</v>
      </c>
      <c r="S1018" s="0" t="b">
        <v>1</v>
      </c>
      <c r="T1018" s="68">
        <v>43938.84375</v>
      </c>
      <c r="U1018" s="68">
        <v>43968.3333333333</v>
      </c>
      <c r="V1018" s="68">
        <v>0</v>
      </c>
      <c r="W1018" s="0">
        <f>IF(IF(B1018="none",1,IF(B1018="Trialer",1,0))+IF(C1018="Customer",1,IF(C1018="Lost",1,0))=2,1,0)</f>
      </c>
      <c r="X1018" s="0" t="s">
        <v>145</v>
      </c>
      <c r="Y1018" s="0" t="s">
        <v>499</v>
      </c>
      <c r="AV1018" s="68"/>
      <c r="AW1018" s="68"/>
      <c r="AY1018" s="27"/>
      <c r="BD1018" s="68">
        <v>46054.1666666667</v>
      </c>
      <c r="BE1018" s="68">
        <v>46082.1666666667</v>
      </c>
      <c r="BF1018" s="0" t="b">
        <v>0</v>
      </c>
      <c r="BG1018" s="0" t="b">
        <v>0</v>
      </c>
      <c r="BH1018" s="0">
        <v>299</v>
      </c>
      <c r="BI1018" s="0">
        <v>299</v>
      </c>
      <c r="BJ1018" s="0" t="s">
        <v>135</v>
      </c>
    </row>
    <row r="1019">
      <c r="A1019" s="0" t="s">
        <v>1223</v>
      </c>
      <c r="B1019" s="0" t="s">
        <v>134</v>
      </c>
      <c r="C1019" s="0" t="s">
        <v>134</v>
      </c>
      <c r="D1019" s="0" t="s">
        <v>135</v>
      </c>
      <c r="E1019" s="0" t="s">
        <v>2</v>
      </c>
      <c r="F1019" s="0" t="s">
        <v>12</v>
      </c>
      <c r="G1019" s="0" t="s">
        <v>8</v>
      </c>
      <c r="H1019" s="0">
        <v>2112</v>
      </c>
      <c r="I1019" s="0">
        <v>2382</v>
      </c>
      <c r="J1019" s="0">
        <v>0</v>
      </c>
      <c r="K1019" s="0">
        <v>2</v>
      </c>
      <c r="L1019" s="0">
        <v>3</v>
      </c>
      <c r="M1019" s="0">
        <v>24</v>
      </c>
      <c r="N1019" s="0">
        <v>0</v>
      </c>
      <c r="O1019" s="0">
        <v>0</v>
      </c>
      <c r="P1019" s="0">
        <v>0</v>
      </c>
      <c r="R1019" s="0" t="b">
        <v>0</v>
      </c>
      <c r="S1019" s="0" t="b">
        <v>1</v>
      </c>
      <c r="T1019" s="68">
        <v>43941.5898958333</v>
      </c>
      <c r="U1019" s="68">
        <v>43971.3333333333</v>
      </c>
      <c r="V1019" s="68">
        <v>0</v>
      </c>
      <c r="W1019" s="0">
        <f>IF(IF(B1019="none",1,IF(B1019="Trialer",1,0))+IF(C1019="Customer",1,IF(C1019="Lost",1,0))=2,1,0)</f>
      </c>
      <c r="X1019" s="0" t="s">
        <v>148</v>
      </c>
      <c r="Y1019" s="0" t="s">
        <v>499</v>
      </c>
      <c r="AV1019" s="68"/>
      <c r="AW1019" s="68"/>
      <c r="AY1019" s="27"/>
      <c r="BD1019" s="68">
        <v>46054.1666666667</v>
      </c>
      <c r="BE1019" s="68">
        <v>46082.1666666667</v>
      </c>
      <c r="BF1019" s="0" t="b">
        <v>0</v>
      </c>
      <c r="BG1019" s="0" t="b">
        <v>0</v>
      </c>
      <c r="BH1019" s="0">
        <v>1077</v>
      </c>
      <c r="BI1019" s="0">
        <v>1077</v>
      </c>
      <c r="BJ1019" s="0" t="s">
        <v>135</v>
      </c>
    </row>
    <row r="1020">
      <c r="A1020" s="0" t="s">
        <v>1224</v>
      </c>
      <c r="B1020" s="0" t="s">
        <v>134</v>
      </c>
      <c r="C1020" s="0" t="s">
        <v>134</v>
      </c>
      <c r="D1020" s="0" t="s">
        <v>135</v>
      </c>
      <c r="E1020" s="0" t="s">
        <v>3</v>
      </c>
      <c r="F1020" s="0" t="s">
        <v>12</v>
      </c>
      <c r="G1020" s="0" t="s">
        <v>8</v>
      </c>
      <c r="H1020" s="0">
        <v>2111</v>
      </c>
      <c r="I1020" s="0">
        <v>0</v>
      </c>
      <c r="J1020" s="0">
        <v>0</v>
      </c>
      <c r="K1020" s="0">
        <v>1</v>
      </c>
      <c r="L1020" s="0">
        <v>3</v>
      </c>
      <c r="M1020" s="0">
        <v>1</v>
      </c>
      <c r="N1020" s="0">
        <v>0</v>
      </c>
      <c r="O1020" s="0">
        <v>0</v>
      </c>
      <c r="P1020" s="0">
        <v>0</v>
      </c>
      <c r="R1020" s="0" t="b">
        <v>0</v>
      </c>
      <c r="S1020" s="0" t="b">
        <v>1</v>
      </c>
      <c r="T1020" s="68">
        <v>43942.4963194444</v>
      </c>
      <c r="U1020" s="68">
        <v>43976.3333333333</v>
      </c>
      <c r="V1020" s="68">
        <v>0</v>
      </c>
      <c r="W1020" s="0">
        <f>IF(IF(B1020="none",1,IF(B1020="Trialer",1,0))+IF(C1020="Customer",1,IF(C1020="Lost",1,0))=2,1,0)</f>
      </c>
      <c r="X1020" s="0" t="s">
        <v>145</v>
      </c>
      <c r="Y1020" s="0" t="s">
        <v>243</v>
      </c>
      <c r="AV1020" s="68"/>
      <c r="AW1020" s="68"/>
      <c r="AY1020" s="27"/>
      <c r="BD1020" s="68">
        <v>46054.1666666667</v>
      </c>
      <c r="BE1020" s="68">
        <v>46082.1666666667</v>
      </c>
      <c r="BF1020" s="0" t="b">
        <v>0</v>
      </c>
      <c r="BG1020" s="0" t="b">
        <v>0</v>
      </c>
      <c r="BH1020" s="0">
        <v>0</v>
      </c>
      <c r="BI1020" s="0">
        <v>0</v>
      </c>
      <c r="BJ1020" s="0" t="s">
        <v>135</v>
      </c>
    </row>
    <row r="1021">
      <c r="A1021" s="0" t="s">
        <v>1225</v>
      </c>
      <c r="B1021" s="0" t="s">
        <v>134</v>
      </c>
      <c r="C1021" s="0" t="s">
        <v>134</v>
      </c>
      <c r="D1021" s="0" t="s">
        <v>135</v>
      </c>
      <c r="E1021" s="0" t="s">
        <v>3</v>
      </c>
      <c r="F1021" s="0" t="s">
        <v>12</v>
      </c>
      <c r="G1021" s="0" t="s">
        <v>8</v>
      </c>
      <c r="H1021" s="0">
        <v>2111</v>
      </c>
      <c r="I1021" s="0">
        <v>853</v>
      </c>
      <c r="J1021" s="0">
        <v>0</v>
      </c>
      <c r="K1021" s="0">
        <v>1</v>
      </c>
      <c r="L1021" s="0">
        <v>3</v>
      </c>
      <c r="M1021" s="0">
        <v>22</v>
      </c>
      <c r="N1021" s="0">
        <v>0</v>
      </c>
      <c r="O1021" s="0">
        <v>0</v>
      </c>
      <c r="P1021" s="0">
        <v>0</v>
      </c>
      <c r="R1021" s="0" t="b">
        <v>0</v>
      </c>
      <c r="S1021" s="0" t="b">
        <v>1</v>
      </c>
      <c r="T1021" s="68">
        <v>43942.5</v>
      </c>
      <c r="U1021" s="68">
        <v>43973.3333333333</v>
      </c>
      <c r="V1021" s="68">
        <v>0</v>
      </c>
      <c r="W1021" s="0">
        <f>IF(IF(B1021="none",1,IF(B1021="Trialer",1,0))+IF(C1021="Customer",1,IF(C1021="Lost",1,0))=2,1,0)</f>
      </c>
      <c r="X1021" s="0" t="s">
        <v>145</v>
      </c>
      <c r="Y1021" s="0" t="s">
        <v>243</v>
      </c>
      <c r="AV1021" s="68"/>
      <c r="AW1021" s="68"/>
      <c r="AY1021" s="27"/>
      <c r="BD1021" s="68">
        <v>46054.1666666667</v>
      </c>
      <c r="BE1021" s="68">
        <v>46082.1666666667</v>
      </c>
      <c r="BF1021" s="0" t="b">
        <v>0</v>
      </c>
      <c r="BG1021" s="0" t="b">
        <v>0</v>
      </c>
      <c r="BH1021" s="0">
        <v>853</v>
      </c>
      <c r="BI1021" s="0">
        <v>853</v>
      </c>
      <c r="BJ1021" s="0" t="s">
        <v>135</v>
      </c>
    </row>
    <row r="1022">
      <c r="A1022" s="0" t="s">
        <v>1226</v>
      </c>
      <c r="B1022" s="0" t="s">
        <v>134</v>
      </c>
      <c r="C1022" s="0" t="s">
        <v>134</v>
      </c>
      <c r="D1022" s="0" t="s">
        <v>135</v>
      </c>
      <c r="E1022" s="0" t="s">
        <v>2</v>
      </c>
      <c r="F1022" s="0" t="s">
        <v>12</v>
      </c>
      <c r="G1022" s="0" t="s">
        <v>8</v>
      </c>
      <c r="H1022" s="0">
        <v>2109</v>
      </c>
      <c r="I1022" s="0">
        <v>80</v>
      </c>
      <c r="J1022" s="0">
        <v>0</v>
      </c>
      <c r="K1022" s="0">
        <v>1</v>
      </c>
      <c r="L1022" s="0">
        <v>3</v>
      </c>
      <c r="M1022" s="0">
        <v>2</v>
      </c>
      <c r="N1022" s="0">
        <v>0</v>
      </c>
      <c r="O1022" s="0">
        <v>0</v>
      </c>
      <c r="P1022" s="0">
        <v>0</v>
      </c>
      <c r="R1022" s="0" t="b">
        <v>0</v>
      </c>
      <c r="S1022" s="0" t="b">
        <v>1</v>
      </c>
      <c r="T1022" s="68">
        <v>43944.4918865741</v>
      </c>
      <c r="U1022" s="68">
        <v>43977.3333333333</v>
      </c>
      <c r="V1022" s="68">
        <v>0</v>
      </c>
      <c r="W1022" s="0">
        <f>IF(IF(B1022="none",1,IF(B1022="Trialer",1,0))+IF(C1022="Customer",1,IF(C1022="Lost",1,0))=2,1,0)</f>
      </c>
      <c r="X1022" s="0" t="s">
        <v>166</v>
      </c>
      <c r="Y1022" s="0" t="s">
        <v>499</v>
      </c>
      <c r="AV1022" s="68"/>
      <c r="AW1022" s="68"/>
      <c r="AY1022" s="27"/>
      <c r="BD1022" s="68">
        <v>46054.1666666667</v>
      </c>
      <c r="BE1022" s="68">
        <v>46082.1666666667</v>
      </c>
      <c r="BF1022" s="0" t="b">
        <v>0</v>
      </c>
      <c r="BG1022" s="0" t="b">
        <v>0</v>
      </c>
      <c r="BH1022" s="0">
        <v>80</v>
      </c>
      <c r="BI1022" s="0">
        <v>80</v>
      </c>
      <c r="BJ1022" s="0" t="s">
        <v>135</v>
      </c>
    </row>
    <row r="1023">
      <c r="A1023" s="0" t="s">
        <v>1227</v>
      </c>
      <c r="B1023" s="0" t="s">
        <v>134</v>
      </c>
      <c r="C1023" s="0" t="s">
        <v>134</v>
      </c>
      <c r="D1023" s="0" t="s">
        <v>230</v>
      </c>
      <c r="E1023" s="0" t="s">
        <v>3</v>
      </c>
      <c r="F1023" s="0" t="s">
        <v>12</v>
      </c>
      <c r="G1023" s="0" t="s">
        <v>8</v>
      </c>
      <c r="H1023" s="0">
        <v>2108</v>
      </c>
      <c r="I1023" s="0">
        <v>99</v>
      </c>
      <c r="J1023" s="0">
        <v>0</v>
      </c>
      <c r="K1023" s="0">
        <v>1</v>
      </c>
      <c r="L1023" s="0">
        <v>2</v>
      </c>
      <c r="M1023" s="0">
        <v>3</v>
      </c>
      <c r="N1023" s="0">
        <v>0</v>
      </c>
      <c r="O1023" s="0">
        <v>0</v>
      </c>
      <c r="P1023" s="0">
        <v>-99</v>
      </c>
      <c r="R1023" s="0" t="b">
        <v>0</v>
      </c>
      <c r="S1023" s="0" t="b">
        <v>1</v>
      </c>
      <c r="T1023" s="68">
        <v>43945.729849537</v>
      </c>
      <c r="U1023" s="68">
        <v>43975.3333333333</v>
      </c>
      <c r="V1023" s="68">
        <v>0</v>
      </c>
      <c r="W1023" s="0">
        <f>IF(IF(B1023="none",1,IF(B1023="Trialer",1,0))+IF(C1023="Customer",1,IF(C1023="Lost",1,0))=2,1,0)</f>
      </c>
      <c r="X1023" s="0" t="s">
        <v>142</v>
      </c>
      <c r="Y1023" s="0" t="s">
        <v>243</v>
      </c>
      <c r="AV1023" s="68"/>
      <c r="AW1023" s="68"/>
      <c r="AY1023" s="27"/>
      <c r="BD1023" s="68">
        <v>46054.1666666667</v>
      </c>
      <c r="BE1023" s="68">
        <v>46082.1666666667</v>
      </c>
      <c r="BF1023" s="0" t="b">
        <v>0</v>
      </c>
      <c r="BG1023" s="0" t="b">
        <v>0</v>
      </c>
      <c r="BH1023" s="0">
        <v>111</v>
      </c>
      <c r="BI1023" s="0">
        <v>111</v>
      </c>
      <c r="BJ1023" s="0" t="s">
        <v>230</v>
      </c>
    </row>
    <row r="1024">
      <c r="A1024" s="0" t="s">
        <v>1228</v>
      </c>
      <c r="B1024" s="0" t="s">
        <v>134</v>
      </c>
      <c r="C1024" s="0" t="s">
        <v>134</v>
      </c>
      <c r="D1024" s="0" t="s">
        <v>135</v>
      </c>
      <c r="E1024" s="0" t="s">
        <v>2</v>
      </c>
      <c r="F1024" s="0" t="s">
        <v>12</v>
      </c>
      <c r="G1024" s="0" t="s">
        <v>8</v>
      </c>
      <c r="H1024" s="0">
        <v>2105</v>
      </c>
      <c r="I1024" s="0">
        <v>0</v>
      </c>
      <c r="J1024" s="0">
        <v>0</v>
      </c>
      <c r="K1024" s="0">
        <v>1</v>
      </c>
      <c r="L1024" s="0">
        <v>3</v>
      </c>
      <c r="M1024" s="0">
        <v>1</v>
      </c>
      <c r="N1024" s="0">
        <v>0</v>
      </c>
      <c r="O1024" s="0">
        <v>0</v>
      </c>
      <c r="P1024" s="0">
        <v>0</v>
      </c>
      <c r="R1024" s="0" t="b">
        <v>0</v>
      </c>
      <c r="S1024" s="0" t="b">
        <v>1</v>
      </c>
      <c r="T1024" s="68">
        <v>43948.3689699074</v>
      </c>
      <c r="U1024" s="68">
        <v>43954.3333333333</v>
      </c>
      <c r="V1024" s="68">
        <v>0</v>
      </c>
      <c r="W1024" s="0">
        <f>IF(IF(B1024="none",1,IF(B1024="Trialer",1,0))+IF(C1024="Customer",1,IF(C1024="Lost",1,0))=2,1,0)</f>
      </c>
      <c r="X1024" s="0" t="s">
        <v>148</v>
      </c>
      <c r="Y1024" s="0" t="s">
        <v>499</v>
      </c>
      <c r="AV1024" s="68"/>
      <c r="AW1024" s="68"/>
      <c r="AY1024" s="27"/>
      <c r="BD1024" s="68">
        <v>46054.1666666667</v>
      </c>
      <c r="BE1024" s="68">
        <v>46082.1666666667</v>
      </c>
      <c r="BF1024" s="0" t="b">
        <v>0</v>
      </c>
      <c r="BG1024" s="0" t="b">
        <v>0</v>
      </c>
      <c r="BH1024" s="0">
        <v>0</v>
      </c>
      <c r="BI1024" s="0">
        <v>0</v>
      </c>
      <c r="BJ1024" s="0" t="s">
        <v>135</v>
      </c>
    </row>
    <row r="1025">
      <c r="A1025" s="0" t="s">
        <v>1229</v>
      </c>
      <c r="B1025" s="0" t="s">
        <v>134</v>
      </c>
      <c r="C1025" s="0" t="s">
        <v>134</v>
      </c>
      <c r="D1025" s="0" t="s">
        <v>230</v>
      </c>
      <c r="E1025" s="0" t="s">
        <v>2</v>
      </c>
      <c r="F1025" s="0" t="s">
        <v>10</v>
      </c>
      <c r="G1025" s="0" t="s">
        <v>8</v>
      </c>
      <c r="H1025" s="0">
        <v>2103</v>
      </c>
      <c r="I1025" s="0">
        <v>240.3</v>
      </c>
      <c r="J1025" s="0">
        <v>0</v>
      </c>
      <c r="K1025" s="0">
        <v>1</v>
      </c>
      <c r="L1025" s="0">
        <v>3</v>
      </c>
      <c r="M1025" s="0">
        <v>6</v>
      </c>
      <c r="N1025" s="0">
        <v>0</v>
      </c>
      <c r="O1025" s="0">
        <v>0</v>
      </c>
      <c r="P1025" s="0">
        <v>-240.3</v>
      </c>
      <c r="Q1025" s="0" t="s">
        <v>357</v>
      </c>
      <c r="R1025" s="0" t="b">
        <v>0</v>
      </c>
      <c r="S1025" s="0" t="b">
        <v>1</v>
      </c>
      <c r="T1025" s="68">
        <v>43950.3458333333</v>
      </c>
      <c r="U1025" s="68">
        <v>43980.5</v>
      </c>
      <c r="V1025" s="68">
        <v>0</v>
      </c>
      <c r="W1025" s="0">
        <f>IF(IF(B1025="none",1,IF(B1025="Trialer",1,0))+IF(C1025="Customer",1,IF(C1025="Lost",1,0))=2,1,0)</f>
      </c>
      <c r="X1025" s="0" t="s">
        <v>148</v>
      </c>
      <c r="Y1025" s="0" t="s">
        <v>499</v>
      </c>
      <c r="AV1025" s="68"/>
      <c r="AW1025" s="68"/>
      <c r="AY1025" s="27"/>
      <c r="BD1025" s="68">
        <v>46054.1666666667</v>
      </c>
      <c r="BE1025" s="68">
        <v>46082.1666666667</v>
      </c>
      <c r="BF1025" s="0" t="b">
        <v>0</v>
      </c>
      <c r="BG1025" s="0" t="b">
        <v>0</v>
      </c>
      <c r="BH1025" s="0">
        <v>267</v>
      </c>
      <c r="BI1025" s="0">
        <v>267</v>
      </c>
      <c r="BJ1025" s="0" t="s">
        <v>230</v>
      </c>
    </row>
    <row r="1026">
      <c r="A1026" s="0" t="s">
        <v>1230</v>
      </c>
      <c r="B1026" s="0" t="s">
        <v>134</v>
      </c>
      <c r="C1026" s="0" t="s">
        <v>134</v>
      </c>
      <c r="D1026" s="0" t="s">
        <v>135</v>
      </c>
      <c r="E1026" s="0" t="s">
        <v>3</v>
      </c>
      <c r="F1026" s="0" t="s">
        <v>10</v>
      </c>
      <c r="G1026" s="0" t="s">
        <v>8</v>
      </c>
      <c r="H1026" s="0">
        <v>2103</v>
      </c>
      <c r="I1026" s="0">
        <v>56</v>
      </c>
      <c r="J1026" s="0">
        <v>0</v>
      </c>
      <c r="K1026" s="0">
        <v>1</v>
      </c>
      <c r="L1026" s="0">
        <v>1</v>
      </c>
      <c r="M1026" s="0">
        <v>2</v>
      </c>
      <c r="N1026" s="0">
        <v>0</v>
      </c>
      <c r="O1026" s="0">
        <v>0</v>
      </c>
      <c r="P1026" s="0">
        <v>0</v>
      </c>
      <c r="Q1026" s="0" t="s">
        <v>618</v>
      </c>
      <c r="R1026" s="0" t="b">
        <v>0</v>
      </c>
      <c r="S1026" s="0" t="b">
        <v>1</v>
      </c>
      <c r="T1026" s="68">
        <v>43950.5</v>
      </c>
      <c r="U1026" s="68">
        <v>43980.3333333333</v>
      </c>
      <c r="V1026" s="68">
        <v>0</v>
      </c>
      <c r="W1026" s="0">
        <f>IF(IF(B1026="none",1,IF(B1026="Trialer",1,0))+IF(C1026="Customer",1,IF(C1026="Lost",1,0))=2,1,0)</f>
      </c>
      <c r="X1026" s="0" t="s">
        <v>148</v>
      </c>
      <c r="Y1026" s="0" t="s">
        <v>499</v>
      </c>
      <c r="AV1026" s="68"/>
      <c r="AW1026" s="68"/>
      <c r="AY1026" s="27"/>
      <c r="BD1026" s="68">
        <v>46054.1666666667</v>
      </c>
      <c r="BE1026" s="68">
        <v>46082.1666666667</v>
      </c>
      <c r="BF1026" s="0" t="b">
        <v>0</v>
      </c>
      <c r="BG1026" s="0" t="b">
        <v>0</v>
      </c>
      <c r="BH1026" s="0">
        <v>56</v>
      </c>
      <c r="BI1026" s="0">
        <v>56</v>
      </c>
      <c r="BJ1026" s="0" t="s">
        <v>135</v>
      </c>
    </row>
    <row r="1027">
      <c r="A1027" s="0" t="s">
        <v>1231</v>
      </c>
      <c r="B1027" s="0" t="s">
        <v>134</v>
      </c>
      <c r="C1027" s="0" t="s">
        <v>134</v>
      </c>
      <c r="D1027" s="0" t="s">
        <v>135</v>
      </c>
      <c r="E1027" s="0" t="s">
        <v>3</v>
      </c>
      <c r="F1027" s="0" t="s">
        <v>12</v>
      </c>
      <c r="G1027" s="0" t="s">
        <v>8</v>
      </c>
      <c r="H1027" s="0">
        <v>2101</v>
      </c>
      <c r="I1027" s="0">
        <v>0</v>
      </c>
      <c r="J1027" s="0">
        <v>0</v>
      </c>
      <c r="K1027" s="0">
        <v>1</v>
      </c>
      <c r="L1027" s="0">
        <v>3</v>
      </c>
      <c r="M1027" s="0">
        <v>1</v>
      </c>
      <c r="N1027" s="0">
        <v>0</v>
      </c>
      <c r="O1027" s="0">
        <v>0</v>
      </c>
      <c r="P1027" s="0">
        <v>0</v>
      </c>
      <c r="R1027" s="0" t="b">
        <v>0</v>
      </c>
      <c r="S1027" s="0" t="b">
        <v>1</v>
      </c>
      <c r="T1027" s="68">
        <v>43952.2577662037</v>
      </c>
      <c r="U1027" s="68">
        <v>43952.3333333333</v>
      </c>
      <c r="V1027" s="68">
        <v>0</v>
      </c>
      <c r="W1027" s="0">
        <f>IF(IF(B1027="none",1,IF(B1027="Trialer",1,0))+IF(C1027="Customer",1,IF(C1027="Lost",1,0))=2,1,0)</f>
      </c>
      <c r="X1027" s="0" t="s">
        <v>148</v>
      </c>
      <c r="Y1027" s="0" t="s">
        <v>243</v>
      </c>
      <c r="AV1027" s="68"/>
      <c r="AW1027" s="68"/>
      <c r="AY1027" s="27"/>
      <c r="BD1027" s="68">
        <v>46054.1666666667</v>
      </c>
      <c r="BE1027" s="68">
        <v>46082.1666666667</v>
      </c>
      <c r="BF1027" s="0" t="b">
        <v>0</v>
      </c>
      <c r="BG1027" s="0" t="b">
        <v>0</v>
      </c>
      <c r="BH1027" s="0">
        <v>0</v>
      </c>
      <c r="BI1027" s="0">
        <v>0</v>
      </c>
      <c r="BJ1027" s="0" t="s">
        <v>135</v>
      </c>
    </row>
    <row r="1028">
      <c r="A1028" s="0" t="s">
        <v>1232</v>
      </c>
      <c r="B1028" s="0" t="s">
        <v>134</v>
      </c>
      <c r="C1028" s="0" t="s">
        <v>134</v>
      </c>
      <c r="D1028" s="0" t="s">
        <v>135</v>
      </c>
      <c r="E1028" s="0" t="s">
        <v>3</v>
      </c>
      <c r="F1028" s="0" t="s">
        <v>12</v>
      </c>
      <c r="G1028" s="0" t="s">
        <v>8</v>
      </c>
      <c r="H1028" s="0">
        <v>2098</v>
      </c>
      <c r="I1028" s="0">
        <v>40</v>
      </c>
      <c r="J1028" s="0">
        <v>0</v>
      </c>
      <c r="K1028" s="0">
        <v>1</v>
      </c>
      <c r="L1028" s="0">
        <v>2</v>
      </c>
      <c r="M1028" s="0">
        <v>1</v>
      </c>
      <c r="N1028" s="0">
        <v>0</v>
      </c>
      <c r="O1028" s="0">
        <v>0</v>
      </c>
      <c r="P1028" s="0">
        <v>0</v>
      </c>
      <c r="R1028" s="0" t="b">
        <v>0</v>
      </c>
      <c r="S1028" s="0" t="b">
        <v>1</v>
      </c>
      <c r="T1028" s="68">
        <v>43955.5788657407</v>
      </c>
      <c r="U1028" s="68">
        <v>43985.3333333333</v>
      </c>
      <c r="V1028" s="68">
        <v>0</v>
      </c>
      <c r="W1028" s="0">
        <f>IF(IF(B1028="none",1,IF(B1028="Trialer",1,0))+IF(C1028="Customer",1,IF(C1028="Lost",1,0))=2,1,0)</f>
      </c>
      <c r="X1028" s="0" t="s">
        <v>166</v>
      </c>
      <c r="Y1028" s="0" t="s">
        <v>243</v>
      </c>
      <c r="AV1028" s="68"/>
      <c r="AW1028" s="68"/>
      <c r="AY1028" s="27"/>
      <c r="BD1028" s="68">
        <v>46054.1666666667</v>
      </c>
      <c r="BE1028" s="68">
        <v>46082.1666666667</v>
      </c>
      <c r="BF1028" s="0" t="b">
        <v>0</v>
      </c>
      <c r="BG1028" s="0" t="b">
        <v>0</v>
      </c>
      <c r="BH1028" s="0">
        <v>40</v>
      </c>
      <c r="BI1028" s="0">
        <v>40</v>
      </c>
      <c r="BJ1028" s="0" t="s">
        <v>135</v>
      </c>
    </row>
    <row r="1029">
      <c r="A1029" s="0" t="s">
        <v>1233</v>
      </c>
      <c r="B1029" s="0" t="s">
        <v>134</v>
      </c>
      <c r="C1029" s="0" t="s">
        <v>134</v>
      </c>
      <c r="D1029" s="0" t="s">
        <v>135</v>
      </c>
      <c r="E1029" s="0" t="s">
        <v>2</v>
      </c>
      <c r="F1029" s="0" t="s">
        <v>12</v>
      </c>
      <c r="G1029" s="0" t="s">
        <v>8</v>
      </c>
      <c r="H1029" s="0">
        <v>2095</v>
      </c>
      <c r="I1029" s="0">
        <v>1723</v>
      </c>
      <c r="J1029" s="0">
        <v>0</v>
      </c>
      <c r="K1029" s="0">
        <v>2</v>
      </c>
      <c r="L1029" s="0">
        <v>5</v>
      </c>
      <c r="M1029" s="0">
        <v>7</v>
      </c>
      <c r="N1029" s="0">
        <v>0</v>
      </c>
      <c r="O1029" s="0">
        <v>0</v>
      </c>
      <c r="P1029" s="0">
        <v>0</v>
      </c>
      <c r="R1029" s="0" t="b">
        <v>0</v>
      </c>
      <c r="S1029" s="0" t="b">
        <v>1</v>
      </c>
      <c r="T1029" s="68">
        <v>43958.5284606482</v>
      </c>
      <c r="U1029" s="68">
        <v>43988.3333333333</v>
      </c>
      <c r="V1029" s="68">
        <v>0</v>
      </c>
      <c r="W1029" s="0">
        <f>IF(IF(B1029="none",1,IF(B1029="Trialer",1,0))+IF(C1029="Customer",1,IF(C1029="Lost",1,0))=2,1,0)</f>
      </c>
      <c r="X1029" s="0" t="s">
        <v>148</v>
      </c>
      <c r="Y1029" s="0" t="s">
        <v>499</v>
      </c>
      <c r="AV1029" s="68"/>
      <c r="AW1029" s="68"/>
      <c r="AY1029" s="27"/>
      <c r="BD1029" s="68">
        <v>46054.1666666667</v>
      </c>
      <c r="BE1029" s="68">
        <v>46082.1666666667</v>
      </c>
      <c r="BF1029" s="0" t="b">
        <v>0</v>
      </c>
      <c r="BG1029" s="0" t="b">
        <v>0</v>
      </c>
      <c r="BH1029" s="0">
        <v>418</v>
      </c>
      <c r="BI1029" s="0">
        <v>418</v>
      </c>
      <c r="BJ1029" s="0" t="s">
        <v>135</v>
      </c>
    </row>
    <row r="1030">
      <c r="A1030" s="0" t="s">
        <v>1234</v>
      </c>
      <c r="B1030" s="0" t="s">
        <v>134</v>
      </c>
      <c r="C1030" s="0" t="s">
        <v>134</v>
      </c>
      <c r="D1030" s="0" t="s">
        <v>135</v>
      </c>
      <c r="E1030" s="0" t="s">
        <v>2</v>
      </c>
      <c r="F1030" s="0" t="s">
        <v>10</v>
      </c>
      <c r="G1030" s="0" t="s">
        <v>8</v>
      </c>
      <c r="H1030" s="0">
        <v>2094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 t="s">
        <v>618</v>
      </c>
      <c r="R1030" s="0" t="b">
        <v>0</v>
      </c>
      <c r="S1030" s="0" t="b">
        <v>1</v>
      </c>
      <c r="T1030" s="68">
        <v>43959.5416550926</v>
      </c>
      <c r="U1030" s="68">
        <v>43989.3333333333</v>
      </c>
      <c r="V1030" s="68">
        <v>0</v>
      </c>
      <c r="W1030" s="0">
        <f>IF(IF(B1030="none",1,IF(B1030="Trialer",1,0))+IF(C1030="Customer",1,IF(C1030="Lost",1,0))=2,1,0)</f>
      </c>
      <c r="X1030" s="0" t="s">
        <v>148</v>
      </c>
      <c r="Y1030" s="0" t="s">
        <v>499</v>
      </c>
      <c r="AV1030" s="68"/>
      <c r="AW1030" s="68"/>
      <c r="AY1030" s="27"/>
      <c r="BD1030" s="68">
        <v>46054.1666666667</v>
      </c>
      <c r="BE1030" s="68">
        <v>46082.1666666667</v>
      </c>
      <c r="BF1030" s="0" t="b">
        <v>0</v>
      </c>
      <c r="BG1030" s="0" t="b">
        <v>0</v>
      </c>
      <c r="BH1030" s="0">
        <v>0</v>
      </c>
      <c r="BI1030" s="0">
        <v>0</v>
      </c>
      <c r="BJ1030" s="0" t="s">
        <v>135</v>
      </c>
    </row>
    <row r="1031">
      <c r="A1031" s="0" t="s">
        <v>1235</v>
      </c>
      <c r="B1031" s="0" t="s">
        <v>134</v>
      </c>
      <c r="C1031" s="0" t="s">
        <v>134</v>
      </c>
      <c r="D1031" s="0" t="s">
        <v>135</v>
      </c>
      <c r="E1031" s="0" t="s">
        <v>3</v>
      </c>
      <c r="F1031" s="0" t="s">
        <v>12</v>
      </c>
      <c r="G1031" s="0" t="s">
        <v>8</v>
      </c>
      <c r="H1031" s="0">
        <v>2090</v>
      </c>
      <c r="I1031" s="0">
        <v>184</v>
      </c>
      <c r="J1031" s="0">
        <v>0</v>
      </c>
      <c r="K1031" s="0">
        <v>1</v>
      </c>
      <c r="L1031" s="0">
        <v>3</v>
      </c>
      <c r="M1031" s="0">
        <v>4</v>
      </c>
      <c r="N1031" s="0">
        <v>0</v>
      </c>
      <c r="O1031" s="0">
        <v>0</v>
      </c>
      <c r="P1031" s="0">
        <v>0</v>
      </c>
      <c r="R1031" s="0" t="b">
        <v>0</v>
      </c>
      <c r="S1031" s="0" t="b">
        <v>1</v>
      </c>
      <c r="T1031" s="68">
        <v>43963.5538541667</v>
      </c>
      <c r="U1031" s="68">
        <v>43993.3333333333</v>
      </c>
      <c r="V1031" s="68">
        <v>0</v>
      </c>
      <c r="W1031" s="0">
        <f>IF(IF(B1031="none",1,IF(B1031="Trialer",1,0))+IF(C1031="Customer",1,IF(C1031="Lost",1,0))=2,1,0)</f>
      </c>
      <c r="X1031" s="0" t="s">
        <v>136</v>
      </c>
      <c r="Y1031" s="0" t="s">
        <v>243</v>
      </c>
      <c r="AV1031" s="68"/>
      <c r="AW1031" s="68"/>
      <c r="AY1031" s="27"/>
      <c r="BD1031" s="68">
        <v>46054.1666666667</v>
      </c>
      <c r="BE1031" s="68">
        <v>46082.1666666667</v>
      </c>
      <c r="BF1031" s="0" t="b">
        <v>0</v>
      </c>
      <c r="BG1031" s="0" t="b">
        <v>0</v>
      </c>
      <c r="BH1031" s="0">
        <v>184</v>
      </c>
      <c r="BI1031" s="0">
        <v>184</v>
      </c>
      <c r="BJ1031" s="0" t="s">
        <v>135</v>
      </c>
    </row>
    <row r="1032">
      <c r="A1032" s="0" t="s">
        <v>1236</v>
      </c>
      <c r="B1032" s="0" t="s">
        <v>134</v>
      </c>
      <c r="C1032" s="0" t="s">
        <v>134</v>
      </c>
      <c r="D1032" s="0" t="s">
        <v>135</v>
      </c>
      <c r="E1032" s="0" t="s">
        <v>2</v>
      </c>
      <c r="F1032" s="0" t="s">
        <v>12</v>
      </c>
      <c r="G1032" s="0" t="s">
        <v>8</v>
      </c>
      <c r="H1032" s="0">
        <v>2088</v>
      </c>
      <c r="I1032" s="0">
        <v>0</v>
      </c>
      <c r="J1032" s="0">
        <v>0</v>
      </c>
      <c r="K1032" s="0">
        <v>1</v>
      </c>
      <c r="L1032" s="0">
        <v>3</v>
      </c>
      <c r="M1032" s="0">
        <v>2</v>
      </c>
      <c r="N1032" s="0">
        <v>0</v>
      </c>
      <c r="O1032" s="0">
        <v>0</v>
      </c>
      <c r="P1032" s="0">
        <v>0</v>
      </c>
      <c r="R1032" s="0" t="b">
        <v>0</v>
      </c>
      <c r="S1032" s="0" t="b">
        <v>1</v>
      </c>
      <c r="T1032" s="68">
        <v>43965.5795023148</v>
      </c>
      <c r="U1032" s="68">
        <v>43965.3333333333</v>
      </c>
      <c r="V1032" s="68">
        <v>0</v>
      </c>
      <c r="W1032" s="0">
        <f>IF(IF(B1032="none",1,IF(B1032="Trialer",1,0))+IF(C1032="Customer",1,IF(C1032="Lost",1,0))=2,1,0)</f>
      </c>
      <c r="X1032" s="0" t="s">
        <v>148</v>
      </c>
      <c r="Y1032" s="0" t="s">
        <v>499</v>
      </c>
      <c r="AV1032" s="68"/>
      <c r="AW1032" s="68"/>
      <c r="AY1032" s="27"/>
      <c r="BD1032" s="68">
        <v>46054.1666666667</v>
      </c>
      <c r="BE1032" s="68">
        <v>46082.1666666667</v>
      </c>
      <c r="BF1032" s="0" t="b">
        <v>0</v>
      </c>
      <c r="BG1032" s="0" t="b">
        <v>0</v>
      </c>
      <c r="BH1032" s="0">
        <v>0</v>
      </c>
      <c r="BI1032" s="0">
        <v>0</v>
      </c>
      <c r="BJ1032" s="0" t="s">
        <v>135</v>
      </c>
    </row>
    <row r="1033">
      <c r="A1033" s="0" t="s">
        <v>1237</v>
      </c>
      <c r="B1033" s="0" t="s">
        <v>134</v>
      </c>
      <c r="C1033" s="0" t="s">
        <v>134</v>
      </c>
      <c r="D1033" s="0" t="s">
        <v>230</v>
      </c>
      <c r="E1033" s="0" t="s">
        <v>2</v>
      </c>
      <c r="F1033" s="0" t="s">
        <v>12</v>
      </c>
      <c r="G1033" s="0" t="s">
        <v>8</v>
      </c>
      <c r="H1033" s="0">
        <v>2087</v>
      </c>
      <c r="I1033" s="0">
        <v>246</v>
      </c>
      <c r="J1033" s="0">
        <v>0</v>
      </c>
      <c r="K1033" s="0">
        <v>1</v>
      </c>
      <c r="L1033" s="0">
        <v>4</v>
      </c>
      <c r="M1033" s="0">
        <v>5</v>
      </c>
      <c r="N1033" s="0">
        <v>0</v>
      </c>
      <c r="O1033" s="0">
        <v>0</v>
      </c>
      <c r="P1033" s="0">
        <v>-246</v>
      </c>
      <c r="R1033" s="0" t="b">
        <v>0</v>
      </c>
      <c r="S1033" s="0" t="b">
        <v>1</v>
      </c>
      <c r="T1033" s="68">
        <v>43966.4096180556</v>
      </c>
      <c r="U1033" s="68">
        <v>43996.3333333333</v>
      </c>
      <c r="V1033" s="68">
        <v>0</v>
      </c>
      <c r="W1033" s="0">
        <f>IF(IF(B1033="none",1,IF(B1033="Trialer",1,0))+IF(C1033="Customer",1,IF(C1033="Lost",1,0))=2,1,0)</f>
      </c>
      <c r="X1033" s="0" t="s">
        <v>145</v>
      </c>
      <c r="Y1033" s="0" t="s">
        <v>499</v>
      </c>
      <c r="AV1033" s="68"/>
      <c r="AW1033" s="68"/>
      <c r="AY1033" s="27"/>
      <c r="BD1033" s="68">
        <v>46054.1666666667</v>
      </c>
      <c r="BE1033" s="68">
        <v>46082.1666666667</v>
      </c>
      <c r="BF1033" s="0" t="b">
        <v>0</v>
      </c>
      <c r="BG1033" s="0" t="b">
        <v>0</v>
      </c>
      <c r="BH1033" s="0">
        <v>278</v>
      </c>
      <c r="BI1033" s="0">
        <v>278</v>
      </c>
      <c r="BJ1033" s="0" t="s">
        <v>230</v>
      </c>
    </row>
    <row r="1034">
      <c r="A1034" s="0" t="s">
        <v>1238</v>
      </c>
      <c r="B1034" s="0" t="s">
        <v>134</v>
      </c>
      <c r="C1034" s="0" t="s">
        <v>134</v>
      </c>
      <c r="D1034" s="0" t="s">
        <v>135</v>
      </c>
      <c r="E1034" s="0" t="s">
        <v>2</v>
      </c>
      <c r="F1034" s="0" t="s">
        <v>12</v>
      </c>
      <c r="G1034" s="0" t="s">
        <v>8</v>
      </c>
      <c r="H1034" s="0">
        <v>2087</v>
      </c>
      <c r="I1034" s="0">
        <v>0</v>
      </c>
      <c r="J1034" s="0">
        <v>0</v>
      </c>
      <c r="K1034" s="0">
        <v>1</v>
      </c>
      <c r="L1034" s="0">
        <v>3</v>
      </c>
      <c r="M1034" s="0">
        <v>1</v>
      </c>
      <c r="N1034" s="0">
        <v>0</v>
      </c>
      <c r="O1034" s="0">
        <v>0</v>
      </c>
      <c r="P1034" s="0">
        <v>0</v>
      </c>
      <c r="R1034" s="0" t="b">
        <v>0</v>
      </c>
      <c r="S1034" s="0" t="b">
        <v>1</v>
      </c>
      <c r="T1034" s="68">
        <v>43966.6361111111</v>
      </c>
      <c r="U1034" s="68">
        <v>43985.5</v>
      </c>
      <c r="V1034" s="68">
        <v>0</v>
      </c>
      <c r="W1034" s="0">
        <f>IF(IF(B1034="none",1,IF(B1034="Trialer",1,0))+IF(C1034="Customer",1,IF(C1034="Lost",1,0))=2,1,0)</f>
      </c>
      <c r="X1034" s="0" t="s">
        <v>148</v>
      </c>
      <c r="Y1034" s="0" t="s">
        <v>499</v>
      </c>
      <c r="AV1034" s="68"/>
      <c r="AW1034" s="68"/>
      <c r="AY1034" s="27"/>
      <c r="BD1034" s="68">
        <v>46054.1666666667</v>
      </c>
      <c r="BE1034" s="68">
        <v>46082.1666666667</v>
      </c>
      <c r="BF1034" s="0" t="b">
        <v>0</v>
      </c>
      <c r="BG1034" s="0" t="b">
        <v>0</v>
      </c>
      <c r="BH1034" s="0">
        <v>0</v>
      </c>
      <c r="BI1034" s="0">
        <v>0</v>
      </c>
      <c r="BJ1034" s="0" t="s">
        <v>135</v>
      </c>
    </row>
    <row r="1035">
      <c r="A1035" s="0" t="s">
        <v>1239</v>
      </c>
      <c r="B1035" s="0" t="s">
        <v>134</v>
      </c>
      <c r="C1035" s="0" t="s">
        <v>134</v>
      </c>
      <c r="D1035" s="0" t="s">
        <v>135</v>
      </c>
      <c r="E1035" s="0" t="s">
        <v>3</v>
      </c>
      <c r="F1035" s="0" t="s">
        <v>12</v>
      </c>
      <c r="G1035" s="0" t="s">
        <v>8</v>
      </c>
      <c r="H1035" s="0">
        <v>2087</v>
      </c>
      <c r="I1035" s="0">
        <v>0</v>
      </c>
      <c r="J1035" s="0">
        <v>0</v>
      </c>
      <c r="K1035" s="0">
        <v>1</v>
      </c>
      <c r="L1035" s="0">
        <v>3</v>
      </c>
      <c r="M1035" s="0">
        <v>1</v>
      </c>
      <c r="N1035" s="0">
        <v>0</v>
      </c>
      <c r="O1035" s="0">
        <v>0</v>
      </c>
      <c r="P1035" s="0">
        <v>0</v>
      </c>
      <c r="R1035" s="0" t="b">
        <v>0</v>
      </c>
      <c r="S1035" s="0" t="b">
        <v>1</v>
      </c>
      <c r="T1035" s="68">
        <v>43966.9749421296</v>
      </c>
      <c r="U1035" s="68">
        <v>43996.3333333333</v>
      </c>
      <c r="V1035" s="68">
        <v>0</v>
      </c>
      <c r="W1035" s="0">
        <f>IF(IF(B1035="none",1,IF(B1035="Trialer",1,0))+IF(C1035="Customer",1,IF(C1035="Lost",1,0))=2,1,0)</f>
      </c>
      <c r="X1035" s="0" t="s">
        <v>148</v>
      </c>
      <c r="Y1035" s="0" t="s">
        <v>243</v>
      </c>
      <c r="AV1035" s="68"/>
      <c r="AW1035" s="68"/>
      <c r="AY1035" s="27"/>
      <c r="BD1035" s="68">
        <v>46054.1666666667</v>
      </c>
      <c r="BE1035" s="68">
        <v>46082.1666666667</v>
      </c>
      <c r="BF1035" s="0" t="b">
        <v>0</v>
      </c>
      <c r="BG1035" s="0" t="b">
        <v>0</v>
      </c>
      <c r="BH1035" s="0">
        <v>0</v>
      </c>
      <c r="BI1035" s="0">
        <v>0</v>
      </c>
      <c r="BJ1035" s="0" t="s">
        <v>135</v>
      </c>
    </row>
    <row r="1036">
      <c r="A1036" s="0" t="s">
        <v>1240</v>
      </c>
      <c r="B1036" s="0" t="s">
        <v>134</v>
      </c>
      <c r="C1036" s="0" t="s">
        <v>134</v>
      </c>
      <c r="D1036" s="0" t="s">
        <v>135</v>
      </c>
      <c r="E1036" s="0" t="s">
        <v>3</v>
      </c>
      <c r="F1036" s="0" t="s">
        <v>12</v>
      </c>
      <c r="G1036" s="0" t="s">
        <v>8</v>
      </c>
      <c r="H1036" s="0">
        <v>2084</v>
      </c>
      <c r="I1036" s="0">
        <v>49</v>
      </c>
      <c r="J1036" s="0">
        <v>0</v>
      </c>
      <c r="K1036" s="0">
        <v>1</v>
      </c>
      <c r="L1036" s="0">
        <v>3</v>
      </c>
      <c r="M1036" s="0">
        <v>1</v>
      </c>
      <c r="N1036" s="0">
        <v>0</v>
      </c>
      <c r="O1036" s="0">
        <v>0</v>
      </c>
      <c r="P1036" s="0">
        <v>0</v>
      </c>
      <c r="R1036" s="0" t="b">
        <v>0</v>
      </c>
      <c r="S1036" s="0" t="b">
        <v>1</v>
      </c>
      <c r="T1036" s="68">
        <v>43969.2027546296</v>
      </c>
      <c r="U1036" s="68">
        <v>44007.3333333333</v>
      </c>
      <c r="V1036" s="68">
        <v>0</v>
      </c>
      <c r="W1036" s="0">
        <f>IF(IF(B1036="none",1,IF(B1036="Trialer",1,0))+IF(C1036="Customer",1,IF(C1036="Lost",1,0))=2,1,0)</f>
      </c>
      <c r="X1036" s="0" t="s">
        <v>142</v>
      </c>
      <c r="Y1036" s="0" t="s">
        <v>243</v>
      </c>
      <c r="AV1036" s="68"/>
      <c r="AW1036" s="68"/>
      <c r="AY1036" s="27"/>
      <c r="BD1036" s="68">
        <v>46054.1666666667</v>
      </c>
      <c r="BE1036" s="68">
        <v>46082.1666666667</v>
      </c>
      <c r="BF1036" s="0" t="b">
        <v>0</v>
      </c>
      <c r="BG1036" s="0" t="b">
        <v>0</v>
      </c>
      <c r="BH1036" s="0">
        <v>49</v>
      </c>
      <c r="BI1036" s="0">
        <v>49</v>
      </c>
      <c r="BJ1036" s="0" t="s">
        <v>135</v>
      </c>
    </row>
    <row r="1037">
      <c r="A1037" s="0" t="s">
        <v>1241</v>
      </c>
      <c r="B1037" s="0" t="s">
        <v>134</v>
      </c>
      <c r="C1037" s="0" t="s">
        <v>134</v>
      </c>
      <c r="D1037" s="0" t="s">
        <v>135</v>
      </c>
      <c r="E1037" s="0" t="s">
        <v>3</v>
      </c>
      <c r="F1037" s="0" t="s">
        <v>12</v>
      </c>
      <c r="G1037" s="0" t="s">
        <v>8</v>
      </c>
      <c r="H1037" s="0">
        <v>2084</v>
      </c>
      <c r="I1037" s="0">
        <v>0</v>
      </c>
      <c r="J1037" s="0">
        <v>0</v>
      </c>
      <c r="K1037" s="0">
        <v>1</v>
      </c>
      <c r="L1037" s="0">
        <v>3</v>
      </c>
      <c r="M1037" s="0">
        <v>1</v>
      </c>
      <c r="N1037" s="0">
        <v>0</v>
      </c>
      <c r="O1037" s="0">
        <v>0</v>
      </c>
      <c r="P1037" s="0">
        <v>0</v>
      </c>
      <c r="R1037" s="0" t="b">
        <v>0</v>
      </c>
      <c r="S1037" s="0" t="b">
        <v>1</v>
      </c>
      <c r="T1037" s="68">
        <v>43969.4740972222</v>
      </c>
      <c r="U1037" s="68">
        <v>43969.3333333333</v>
      </c>
      <c r="V1037" s="68">
        <v>0</v>
      </c>
      <c r="W1037" s="0">
        <f>IF(IF(B1037="none",1,IF(B1037="Trialer",1,0))+IF(C1037="Customer",1,IF(C1037="Lost",1,0))=2,1,0)</f>
      </c>
      <c r="X1037" s="0" t="s">
        <v>145</v>
      </c>
      <c r="Y1037" s="0" t="s">
        <v>243</v>
      </c>
      <c r="AV1037" s="68"/>
      <c r="AW1037" s="68"/>
      <c r="AY1037" s="27"/>
      <c r="BD1037" s="68">
        <v>46054.1666666667</v>
      </c>
      <c r="BE1037" s="68">
        <v>46082.1666666667</v>
      </c>
      <c r="BF1037" s="0" t="b">
        <v>0</v>
      </c>
      <c r="BG1037" s="0" t="b">
        <v>0</v>
      </c>
      <c r="BH1037" s="0">
        <v>0</v>
      </c>
      <c r="BI1037" s="0">
        <v>0</v>
      </c>
      <c r="BJ1037" s="0" t="s">
        <v>230</v>
      </c>
    </row>
    <row r="1038">
      <c r="A1038" s="0" t="s">
        <v>1242</v>
      </c>
      <c r="B1038" s="0" t="s">
        <v>134</v>
      </c>
      <c r="C1038" s="0" t="s">
        <v>134</v>
      </c>
      <c r="D1038" s="0" t="s">
        <v>135</v>
      </c>
      <c r="E1038" s="0" t="s">
        <v>3</v>
      </c>
      <c r="F1038" s="0" t="s">
        <v>10</v>
      </c>
      <c r="G1038" s="0" t="s">
        <v>8</v>
      </c>
      <c r="H1038" s="0">
        <v>2084</v>
      </c>
      <c r="I1038" s="0">
        <v>28</v>
      </c>
      <c r="J1038" s="0">
        <v>0</v>
      </c>
      <c r="K1038" s="0">
        <v>1</v>
      </c>
      <c r="L1038" s="0">
        <v>1</v>
      </c>
      <c r="M1038" s="0">
        <v>1</v>
      </c>
      <c r="N1038" s="0">
        <v>0</v>
      </c>
      <c r="O1038" s="0">
        <v>0</v>
      </c>
      <c r="P1038" s="0">
        <v>0</v>
      </c>
      <c r="Q1038" s="0" t="s">
        <v>1241</v>
      </c>
      <c r="R1038" s="0" t="b">
        <v>0</v>
      </c>
      <c r="S1038" s="0" t="b">
        <v>1</v>
      </c>
      <c r="T1038" s="68">
        <v>43969.4792939815</v>
      </c>
      <c r="U1038" s="68">
        <v>43999.3333333333</v>
      </c>
      <c r="V1038" s="68">
        <v>0</v>
      </c>
      <c r="W1038" s="0">
        <f>IF(IF(B1038="none",1,IF(B1038="Trialer",1,0))+IF(C1038="Customer",1,IF(C1038="Lost",1,0))=2,1,0)</f>
      </c>
      <c r="X1038" s="0" t="s">
        <v>145</v>
      </c>
      <c r="Y1038" s="0" t="s">
        <v>487</v>
      </c>
      <c r="AV1038" s="68"/>
      <c r="AW1038" s="68"/>
      <c r="AY1038" s="27"/>
      <c r="BD1038" s="68">
        <v>46054.1666666667</v>
      </c>
      <c r="BE1038" s="68">
        <v>46082.1666666667</v>
      </c>
      <c r="BF1038" s="0" t="b">
        <v>0</v>
      </c>
      <c r="BG1038" s="0" t="b">
        <v>0</v>
      </c>
      <c r="BH1038" s="0">
        <v>28</v>
      </c>
      <c r="BI1038" s="0">
        <v>28</v>
      </c>
      <c r="BJ1038" s="0" t="s">
        <v>135</v>
      </c>
    </row>
    <row r="1039">
      <c r="A1039" s="0" t="s">
        <v>1243</v>
      </c>
      <c r="B1039" s="0" t="s">
        <v>134</v>
      </c>
      <c r="C1039" s="0" t="s">
        <v>134</v>
      </c>
      <c r="D1039" s="0" t="s">
        <v>135</v>
      </c>
      <c r="E1039" s="0" t="s">
        <v>2</v>
      </c>
      <c r="F1039" s="0" t="s">
        <v>12</v>
      </c>
      <c r="G1039" s="0" t="s">
        <v>8</v>
      </c>
      <c r="H1039" s="0">
        <v>2084</v>
      </c>
      <c r="I1039" s="0">
        <v>685</v>
      </c>
      <c r="J1039" s="0">
        <v>0</v>
      </c>
      <c r="K1039" s="0">
        <v>1</v>
      </c>
      <c r="L1039" s="0">
        <v>2</v>
      </c>
      <c r="M1039" s="0">
        <v>9</v>
      </c>
      <c r="N1039" s="0">
        <v>0</v>
      </c>
      <c r="O1039" s="0">
        <v>0</v>
      </c>
      <c r="P1039" s="0">
        <v>0</v>
      </c>
      <c r="R1039" s="0" t="b">
        <v>0</v>
      </c>
      <c r="S1039" s="0" t="b">
        <v>1</v>
      </c>
      <c r="T1039" s="68">
        <v>43969.5</v>
      </c>
      <c r="U1039" s="68">
        <v>43996.5</v>
      </c>
      <c r="V1039" s="68">
        <v>0</v>
      </c>
      <c r="W1039" s="0">
        <f>IF(IF(B1039="none",1,IF(B1039="Trialer",1,0))+IF(C1039="Customer",1,IF(C1039="Lost",1,0))=2,1,0)</f>
      </c>
      <c r="X1039" s="0" t="s">
        <v>145</v>
      </c>
      <c r="Y1039" s="0" t="s">
        <v>499</v>
      </c>
      <c r="AV1039" s="68"/>
      <c r="AW1039" s="68"/>
      <c r="AY1039" s="27"/>
      <c r="BD1039" s="68">
        <v>46054.1666666667</v>
      </c>
      <c r="BE1039" s="68">
        <v>46082.1666666667</v>
      </c>
      <c r="BF1039" s="0" t="b">
        <v>0</v>
      </c>
      <c r="BG1039" s="0" t="b">
        <v>0</v>
      </c>
      <c r="BH1039" s="0">
        <v>360</v>
      </c>
      <c r="BI1039" s="0">
        <v>360</v>
      </c>
      <c r="BJ1039" s="0" t="s">
        <v>135</v>
      </c>
    </row>
    <row r="1040">
      <c r="A1040" s="0" t="s">
        <v>1244</v>
      </c>
      <c r="B1040" s="0" t="s">
        <v>134</v>
      </c>
      <c r="C1040" s="0" t="s">
        <v>190</v>
      </c>
      <c r="D1040" s="0" t="s">
        <v>135</v>
      </c>
      <c r="E1040" s="0" t="s">
        <v>3</v>
      </c>
      <c r="F1040" s="0" t="s">
        <v>12</v>
      </c>
      <c r="G1040" s="0" t="s">
        <v>8</v>
      </c>
      <c r="H1040" s="0">
        <v>2081</v>
      </c>
      <c r="I1040" s="0">
        <v>49</v>
      </c>
      <c r="J1040" s="0">
        <v>0</v>
      </c>
      <c r="K1040" s="0">
        <v>1</v>
      </c>
      <c r="L1040" s="0">
        <v>3</v>
      </c>
      <c r="M1040" s="0">
        <v>1</v>
      </c>
      <c r="N1040" s="0">
        <v>0</v>
      </c>
      <c r="O1040" s="0">
        <v>0</v>
      </c>
      <c r="P1040" s="0">
        <v>0</v>
      </c>
      <c r="R1040" s="0" t="b">
        <v>0</v>
      </c>
      <c r="S1040" s="0" t="b">
        <v>0</v>
      </c>
      <c r="T1040" s="68">
        <v>43972.814224537</v>
      </c>
      <c r="U1040" s="68">
        <v>44004.3333333333</v>
      </c>
      <c r="V1040" s="68">
        <v>46080.5398842593</v>
      </c>
      <c r="W1040" s="0">
        <f>IF(IF(B1040="none",1,IF(B1040="Trialer",1,0))+IF(C1040="Customer",1,IF(C1040="Lost",1,0))=2,1,0)</f>
      </c>
      <c r="X1040" s="0" t="s">
        <v>166</v>
      </c>
      <c r="Y1040" s="0" t="s">
        <v>243</v>
      </c>
      <c r="AV1040" s="68"/>
      <c r="AW1040" s="68"/>
      <c r="AY1040" s="27"/>
      <c r="BD1040" s="68">
        <v>46054.1666666667</v>
      </c>
      <c r="BE1040" s="68">
        <v>46082.1666666667</v>
      </c>
      <c r="BF1040" s="0" t="b">
        <v>0</v>
      </c>
      <c r="BG1040" s="0" t="b">
        <v>0</v>
      </c>
      <c r="BH1040" s="0">
        <v>49</v>
      </c>
      <c r="BI1040" s="0">
        <v>49</v>
      </c>
      <c r="BJ1040" s="0" t="s">
        <v>135</v>
      </c>
    </row>
    <row r="1041">
      <c r="A1041" s="0" t="s">
        <v>1245</v>
      </c>
      <c r="B1041" s="0" t="s">
        <v>134</v>
      </c>
      <c r="C1041" s="0" t="s">
        <v>134</v>
      </c>
      <c r="D1041" s="0" t="s">
        <v>135</v>
      </c>
      <c r="E1041" s="0" t="s">
        <v>3</v>
      </c>
      <c r="F1041" s="0" t="s">
        <v>12</v>
      </c>
      <c r="G1041" s="0" t="s">
        <v>8</v>
      </c>
      <c r="H1041" s="0">
        <v>2080</v>
      </c>
      <c r="I1041" s="0">
        <v>40</v>
      </c>
      <c r="J1041" s="0">
        <v>0</v>
      </c>
      <c r="K1041" s="0">
        <v>1</v>
      </c>
      <c r="L1041" s="0">
        <v>2</v>
      </c>
      <c r="M1041" s="0">
        <v>1</v>
      </c>
      <c r="N1041" s="0">
        <v>0</v>
      </c>
      <c r="O1041" s="0">
        <v>0</v>
      </c>
      <c r="P1041" s="0">
        <v>-420</v>
      </c>
      <c r="R1041" s="0" t="b">
        <v>0</v>
      </c>
      <c r="S1041" s="0" t="b">
        <v>1</v>
      </c>
      <c r="T1041" s="68">
        <v>43973.5611111111</v>
      </c>
      <c r="U1041" s="68">
        <v>43995.3333333333</v>
      </c>
      <c r="V1041" s="68">
        <v>0</v>
      </c>
      <c r="W1041" s="0">
        <f>IF(IF(B1041="none",1,IF(B1041="Trialer",1,0))+IF(C1041="Customer",1,IF(C1041="Lost",1,0))=2,1,0)</f>
      </c>
      <c r="X1041" s="0" t="s">
        <v>166</v>
      </c>
      <c r="Y1041" s="0" t="s">
        <v>487</v>
      </c>
      <c r="AV1041" s="68"/>
      <c r="AW1041" s="68"/>
      <c r="AY1041" s="27"/>
      <c r="BD1041" s="68">
        <v>46054.1666666667</v>
      </c>
      <c r="BE1041" s="68">
        <v>46082.1666666667</v>
      </c>
      <c r="BF1041" s="0" t="b">
        <v>0</v>
      </c>
      <c r="BG1041" s="0" t="b">
        <v>0</v>
      </c>
      <c r="BH1041" s="0">
        <v>40</v>
      </c>
      <c r="BI1041" s="0">
        <v>40</v>
      </c>
      <c r="BJ1041" s="0" t="s">
        <v>135</v>
      </c>
    </row>
    <row r="1042">
      <c r="A1042" s="0" t="s">
        <v>1246</v>
      </c>
      <c r="B1042" s="0" t="s">
        <v>134</v>
      </c>
      <c r="C1042" s="0" t="s">
        <v>134</v>
      </c>
      <c r="D1042" s="0" t="s">
        <v>135</v>
      </c>
      <c r="E1042" s="0" t="s">
        <v>3</v>
      </c>
      <c r="F1042" s="0" t="s">
        <v>12</v>
      </c>
      <c r="G1042" s="0" t="s">
        <v>8</v>
      </c>
      <c r="H1042" s="0">
        <v>2077</v>
      </c>
      <c r="I1042" s="0">
        <v>0</v>
      </c>
      <c r="J1042" s="0">
        <v>0</v>
      </c>
      <c r="K1042" s="0">
        <v>1</v>
      </c>
      <c r="L1042" s="0">
        <v>3</v>
      </c>
      <c r="M1042" s="0">
        <v>1</v>
      </c>
      <c r="N1042" s="0">
        <v>0</v>
      </c>
      <c r="O1042" s="0">
        <v>0</v>
      </c>
      <c r="P1042" s="0">
        <v>0</v>
      </c>
      <c r="R1042" s="0" t="b">
        <v>0</v>
      </c>
      <c r="S1042" s="0" t="b">
        <v>1</v>
      </c>
      <c r="T1042" s="68">
        <v>43976.6070486111</v>
      </c>
      <c r="U1042" s="68">
        <v>43980.3333333333</v>
      </c>
      <c r="V1042" s="68">
        <v>0</v>
      </c>
      <c r="W1042" s="0">
        <f>IF(IF(B1042="none",1,IF(B1042="Trialer",1,0))+IF(C1042="Customer",1,IF(C1042="Lost",1,0))=2,1,0)</f>
      </c>
      <c r="X1042" s="0" t="s">
        <v>148</v>
      </c>
      <c r="Y1042" s="0" t="s">
        <v>243</v>
      </c>
      <c r="AV1042" s="68"/>
      <c r="AW1042" s="68"/>
      <c r="AY1042" s="27"/>
      <c r="BD1042" s="68">
        <v>46054.1666666667</v>
      </c>
      <c r="BE1042" s="68">
        <v>46082.1666666667</v>
      </c>
      <c r="BF1042" s="0" t="b">
        <v>0</v>
      </c>
      <c r="BG1042" s="0" t="b">
        <v>0</v>
      </c>
      <c r="BH1042" s="0">
        <v>0</v>
      </c>
      <c r="BI1042" s="0">
        <v>0</v>
      </c>
      <c r="BJ1042" s="0" t="s">
        <v>135</v>
      </c>
    </row>
    <row r="1043">
      <c r="A1043" s="0" t="s">
        <v>1247</v>
      </c>
      <c r="B1043" s="0" t="s">
        <v>134</v>
      </c>
      <c r="C1043" s="0" t="s">
        <v>134</v>
      </c>
      <c r="D1043" s="0" t="s">
        <v>135</v>
      </c>
      <c r="E1043" s="0" t="s">
        <v>2</v>
      </c>
      <c r="F1043" s="0" t="s">
        <v>12</v>
      </c>
      <c r="G1043" s="0" t="s">
        <v>8</v>
      </c>
      <c r="H1043" s="0">
        <v>2077</v>
      </c>
      <c r="I1043" s="0">
        <v>98</v>
      </c>
      <c r="J1043" s="0">
        <v>0</v>
      </c>
      <c r="K1043" s="0">
        <v>1</v>
      </c>
      <c r="L1043" s="0">
        <v>3</v>
      </c>
      <c r="M1043" s="0">
        <v>2</v>
      </c>
      <c r="N1043" s="0">
        <v>0</v>
      </c>
      <c r="O1043" s="0">
        <v>0</v>
      </c>
      <c r="P1043" s="0">
        <v>0</v>
      </c>
      <c r="R1043" s="0" t="b">
        <v>0</v>
      </c>
      <c r="S1043" s="0" t="b">
        <v>1</v>
      </c>
      <c r="T1043" s="68">
        <v>43976.8930092593</v>
      </c>
      <c r="U1043" s="68">
        <v>44007.3333333333</v>
      </c>
      <c r="V1043" s="68">
        <v>0</v>
      </c>
      <c r="W1043" s="0">
        <f>IF(IF(B1043="none",1,IF(B1043="Trialer",1,0))+IF(C1043="Customer",1,IF(C1043="Lost",1,0))=2,1,0)</f>
      </c>
      <c r="X1043" s="0" t="s">
        <v>166</v>
      </c>
      <c r="Y1043" s="0" t="s">
        <v>499</v>
      </c>
      <c r="AV1043" s="68"/>
      <c r="AW1043" s="68"/>
      <c r="AY1043" s="27"/>
      <c r="BD1043" s="68">
        <v>46054.1666666667</v>
      </c>
      <c r="BE1043" s="68">
        <v>46082.1666666667</v>
      </c>
      <c r="BF1043" s="0" t="b">
        <v>0</v>
      </c>
      <c r="BG1043" s="0" t="b">
        <v>0</v>
      </c>
      <c r="BH1043" s="0">
        <v>98</v>
      </c>
      <c r="BI1043" s="0">
        <v>98</v>
      </c>
      <c r="BJ1043" s="0" t="s">
        <v>135</v>
      </c>
    </row>
    <row r="1044">
      <c r="A1044" s="0" t="s">
        <v>1248</v>
      </c>
      <c r="B1044" s="0" t="s">
        <v>134</v>
      </c>
      <c r="C1044" s="0" t="s">
        <v>134</v>
      </c>
      <c r="D1044" s="0" t="s">
        <v>135</v>
      </c>
      <c r="E1044" s="0" t="s">
        <v>3</v>
      </c>
      <c r="F1044" s="0" t="s">
        <v>12</v>
      </c>
      <c r="G1044" s="0" t="s">
        <v>8</v>
      </c>
      <c r="H1044" s="0">
        <v>2074</v>
      </c>
      <c r="I1044" s="0">
        <v>230</v>
      </c>
      <c r="J1044" s="0">
        <v>0</v>
      </c>
      <c r="K1044" s="0">
        <v>1</v>
      </c>
      <c r="L1044" s="0">
        <v>4</v>
      </c>
      <c r="M1044" s="0">
        <v>5</v>
      </c>
      <c r="N1044" s="0">
        <v>0</v>
      </c>
      <c r="O1044" s="0">
        <v>0</v>
      </c>
      <c r="P1044" s="0">
        <v>0</v>
      </c>
      <c r="R1044" s="0" t="b">
        <v>0</v>
      </c>
      <c r="S1044" s="0" t="b">
        <v>1</v>
      </c>
      <c r="T1044" s="68">
        <v>43979.3607638889</v>
      </c>
      <c r="U1044" s="68">
        <v>44009.3333333333</v>
      </c>
      <c r="V1044" s="68">
        <v>0</v>
      </c>
      <c r="W1044" s="0">
        <f>IF(IF(B1044="none",1,IF(B1044="Trialer",1,0))+IF(C1044="Customer",1,IF(C1044="Lost",1,0))=2,1,0)</f>
      </c>
      <c r="X1044" s="0" t="s">
        <v>145</v>
      </c>
      <c r="Y1044" s="0" t="s">
        <v>243</v>
      </c>
      <c r="AV1044" s="68"/>
      <c r="AW1044" s="68"/>
      <c r="AY1044" s="27"/>
      <c r="BD1044" s="68">
        <v>46054.1666666667</v>
      </c>
      <c r="BE1044" s="68">
        <v>46082.1666666667</v>
      </c>
      <c r="BF1044" s="0" t="b">
        <v>0</v>
      </c>
      <c r="BG1044" s="0" t="b">
        <v>0</v>
      </c>
      <c r="BH1044" s="0">
        <v>230</v>
      </c>
      <c r="BI1044" s="0">
        <v>230</v>
      </c>
      <c r="BJ1044" s="0" t="s">
        <v>135</v>
      </c>
    </row>
    <row r="1045">
      <c r="A1045" s="0" t="s">
        <v>1249</v>
      </c>
      <c r="B1045" s="0" t="s">
        <v>134</v>
      </c>
      <c r="C1045" s="0" t="s">
        <v>134</v>
      </c>
      <c r="D1045" s="0" t="s">
        <v>135</v>
      </c>
      <c r="E1045" s="0" t="s">
        <v>3</v>
      </c>
      <c r="F1045" s="0" t="s">
        <v>12</v>
      </c>
      <c r="G1045" s="0" t="s">
        <v>8</v>
      </c>
      <c r="H1045" s="0">
        <v>2074</v>
      </c>
      <c r="I1045" s="0">
        <v>117</v>
      </c>
      <c r="J1045" s="0">
        <v>0</v>
      </c>
      <c r="K1045" s="0">
        <v>1</v>
      </c>
      <c r="L1045" s="0">
        <v>3</v>
      </c>
      <c r="M1045" s="0">
        <v>3</v>
      </c>
      <c r="N1045" s="0">
        <v>0</v>
      </c>
      <c r="O1045" s="0">
        <v>0</v>
      </c>
      <c r="P1045" s="0">
        <v>0</v>
      </c>
      <c r="R1045" s="0" t="b">
        <v>0</v>
      </c>
      <c r="S1045" s="0" t="b">
        <v>1</v>
      </c>
      <c r="T1045" s="68">
        <v>43979.5606018519</v>
      </c>
      <c r="U1045" s="68">
        <v>44039.3333333333</v>
      </c>
      <c r="V1045" s="68">
        <v>0</v>
      </c>
      <c r="W1045" s="0">
        <f>IF(IF(B1045="none",1,IF(B1045="Trialer",1,0))+IF(C1045="Customer",1,IF(C1045="Lost",1,0))=2,1,0)</f>
      </c>
      <c r="X1045" s="0" t="s">
        <v>142</v>
      </c>
      <c r="Y1045" s="0" t="s">
        <v>243</v>
      </c>
      <c r="AV1045" s="68"/>
      <c r="AW1045" s="68"/>
      <c r="AY1045" s="27"/>
      <c r="BD1045" s="68">
        <v>46054.1666666667</v>
      </c>
      <c r="BE1045" s="68">
        <v>46082.1666666667</v>
      </c>
      <c r="BF1045" s="0" t="b">
        <v>0</v>
      </c>
      <c r="BG1045" s="0" t="b">
        <v>0</v>
      </c>
      <c r="BH1045" s="0">
        <v>117</v>
      </c>
      <c r="BI1045" s="0">
        <v>117</v>
      </c>
      <c r="BJ1045" s="0" t="s">
        <v>135</v>
      </c>
    </row>
    <row r="1046">
      <c r="A1046" s="0" t="s">
        <v>1250</v>
      </c>
      <c r="B1046" s="0" t="s">
        <v>134</v>
      </c>
      <c r="C1046" s="0" t="s">
        <v>134</v>
      </c>
      <c r="D1046" s="0" t="s">
        <v>135</v>
      </c>
      <c r="E1046" s="0" t="s">
        <v>3</v>
      </c>
      <c r="F1046" s="0" t="s">
        <v>12</v>
      </c>
      <c r="G1046" s="0" t="s">
        <v>8</v>
      </c>
      <c r="H1046" s="0">
        <v>2073</v>
      </c>
      <c r="I1046" s="0">
        <v>0</v>
      </c>
      <c r="J1046" s="0">
        <v>0</v>
      </c>
      <c r="K1046" s="0">
        <v>1</v>
      </c>
      <c r="L1046" s="0">
        <v>3</v>
      </c>
      <c r="M1046" s="0">
        <v>2</v>
      </c>
      <c r="N1046" s="0">
        <v>0</v>
      </c>
      <c r="O1046" s="0">
        <v>0</v>
      </c>
      <c r="P1046" s="0">
        <v>0</v>
      </c>
      <c r="R1046" s="0" t="b">
        <v>0</v>
      </c>
      <c r="S1046" s="0" t="b">
        <v>1</v>
      </c>
      <c r="T1046" s="68">
        <v>43980.5449305556</v>
      </c>
      <c r="U1046" s="68">
        <v>43987.3333333333</v>
      </c>
      <c r="V1046" s="68">
        <v>0</v>
      </c>
      <c r="W1046" s="0">
        <f>IF(IF(B1046="none",1,IF(B1046="Trialer",1,0))+IF(C1046="Customer",1,IF(C1046="Lost",1,0))=2,1,0)</f>
      </c>
      <c r="X1046" s="0" t="s">
        <v>148</v>
      </c>
      <c r="Y1046" s="0" t="s">
        <v>243</v>
      </c>
      <c r="AV1046" s="68"/>
      <c r="AW1046" s="68"/>
      <c r="AY1046" s="27"/>
      <c r="BD1046" s="68">
        <v>46054.1666666667</v>
      </c>
      <c r="BE1046" s="68">
        <v>46082.1666666667</v>
      </c>
      <c r="BF1046" s="0" t="b">
        <v>0</v>
      </c>
      <c r="BG1046" s="0" t="b">
        <v>0</v>
      </c>
      <c r="BH1046" s="0">
        <v>0</v>
      </c>
      <c r="BI1046" s="0">
        <v>0</v>
      </c>
      <c r="BJ1046" s="0" t="s">
        <v>135</v>
      </c>
    </row>
    <row r="1047">
      <c r="A1047" s="0" t="s">
        <v>1251</v>
      </c>
      <c r="B1047" s="0" t="s">
        <v>134</v>
      </c>
      <c r="C1047" s="0" t="s">
        <v>134</v>
      </c>
      <c r="D1047" s="0" t="s">
        <v>230</v>
      </c>
      <c r="E1047" s="0" t="s">
        <v>3</v>
      </c>
      <c r="F1047" s="0" t="s">
        <v>12</v>
      </c>
      <c r="G1047" s="0" t="s">
        <v>8</v>
      </c>
      <c r="H1047" s="0">
        <v>2070</v>
      </c>
      <c r="I1047" s="0">
        <v>2613.5</v>
      </c>
      <c r="J1047" s="0">
        <v>0</v>
      </c>
      <c r="K1047" s="0">
        <v>2</v>
      </c>
      <c r="L1047" s="0">
        <v>3</v>
      </c>
      <c r="M1047" s="0">
        <v>18</v>
      </c>
      <c r="N1047" s="0">
        <v>0</v>
      </c>
      <c r="O1047" s="0">
        <v>0</v>
      </c>
      <c r="P1047" s="0">
        <v>-656</v>
      </c>
      <c r="R1047" s="0" t="b">
        <v>0</v>
      </c>
      <c r="S1047" s="0" t="b">
        <v>1</v>
      </c>
      <c r="T1047" s="68">
        <v>43983.4244791667</v>
      </c>
      <c r="U1047" s="68">
        <v>44029.3333333333</v>
      </c>
      <c r="V1047" s="68">
        <v>0</v>
      </c>
      <c r="W1047" s="0">
        <f>IF(IF(B1047="none",1,IF(B1047="Trialer",1,0))+IF(C1047="Customer",1,IF(C1047="Lost",1,0))=2,1,0)</f>
      </c>
      <c r="X1047" s="0" t="s">
        <v>148</v>
      </c>
      <c r="Y1047" s="0" t="s">
        <v>243</v>
      </c>
      <c r="AV1047" s="68"/>
      <c r="AW1047" s="68"/>
      <c r="AY1047" s="27"/>
      <c r="BD1047" s="68">
        <v>46054.1666666667</v>
      </c>
      <c r="BE1047" s="68">
        <v>46082.1666666667</v>
      </c>
      <c r="BF1047" s="0" t="b">
        <v>0</v>
      </c>
      <c r="BG1047" s="0" t="b">
        <v>0</v>
      </c>
      <c r="BH1047" s="0">
        <v>729</v>
      </c>
      <c r="BI1047" s="0">
        <v>729</v>
      </c>
      <c r="BJ1047" s="0" t="s">
        <v>230</v>
      </c>
    </row>
    <row r="1048">
      <c r="A1048" s="0" t="s">
        <v>1252</v>
      </c>
      <c r="B1048" s="0" t="s">
        <v>134</v>
      </c>
      <c r="C1048" s="0" t="s">
        <v>134</v>
      </c>
      <c r="D1048" s="0" t="s">
        <v>135</v>
      </c>
      <c r="E1048" s="0" t="s">
        <v>2</v>
      </c>
      <c r="F1048" s="0" t="s">
        <v>12</v>
      </c>
      <c r="G1048" s="0" t="s">
        <v>8</v>
      </c>
      <c r="H1048" s="0">
        <v>2070</v>
      </c>
      <c r="I1048" s="0">
        <v>122</v>
      </c>
      <c r="J1048" s="0">
        <v>0</v>
      </c>
      <c r="K1048" s="0">
        <v>1</v>
      </c>
      <c r="L1048" s="0">
        <v>4</v>
      </c>
      <c r="M1048" s="0">
        <v>2</v>
      </c>
      <c r="N1048" s="0">
        <v>0</v>
      </c>
      <c r="O1048" s="0">
        <v>0</v>
      </c>
      <c r="P1048" s="0">
        <v>0</v>
      </c>
      <c r="R1048" s="0" t="b">
        <v>0</v>
      </c>
      <c r="S1048" s="0" t="b">
        <v>1</v>
      </c>
      <c r="T1048" s="68">
        <v>43983.7732986111</v>
      </c>
      <c r="U1048" s="68">
        <v>44013.3333333333</v>
      </c>
      <c r="V1048" s="68">
        <v>0</v>
      </c>
      <c r="W1048" s="0">
        <f>IF(IF(B1048="none",1,IF(B1048="Trialer",1,0))+IF(C1048="Customer",1,IF(C1048="Lost",1,0))=2,1,0)</f>
      </c>
      <c r="X1048" s="0" t="s">
        <v>148</v>
      </c>
      <c r="Y1048" s="0" t="s">
        <v>499</v>
      </c>
      <c r="AV1048" s="68"/>
      <c r="AW1048" s="68"/>
      <c r="AY1048" s="27"/>
      <c r="BD1048" s="68">
        <v>46054.1666666667</v>
      </c>
      <c r="BE1048" s="68">
        <v>46082.1666666667</v>
      </c>
      <c r="BF1048" s="0" t="b">
        <v>0</v>
      </c>
      <c r="BG1048" s="0" t="b">
        <v>0</v>
      </c>
      <c r="BH1048" s="0">
        <v>122</v>
      </c>
      <c r="BI1048" s="0">
        <v>122</v>
      </c>
      <c r="BJ1048" s="0" t="s">
        <v>135</v>
      </c>
    </row>
    <row r="1049">
      <c r="A1049" s="0" t="s">
        <v>1253</v>
      </c>
      <c r="B1049" s="0" t="s">
        <v>134</v>
      </c>
      <c r="C1049" s="0" t="s">
        <v>134</v>
      </c>
      <c r="D1049" s="0" t="s">
        <v>135</v>
      </c>
      <c r="E1049" s="0" t="s">
        <v>2</v>
      </c>
      <c r="F1049" s="0" t="s">
        <v>10</v>
      </c>
      <c r="G1049" s="0" t="s">
        <v>7</v>
      </c>
      <c r="H1049" s="0">
        <v>2067</v>
      </c>
      <c r="I1049" s="0">
        <v>40</v>
      </c>
      <c r="J1049" s="0">
        <v>0</v>
      </c>
      <c r="K1049" s="0">
        <v>1</v>
      </c>
      <c r="L1049" s="0">
        <v>1</v>
      </c>
      <c r="M1049" s="0">
        <v>1</v>
      </c>
      <c r="N1049" s="0">
        <v>0</v>
      </c>
      <c r="O1049" s="0">
        <v>0</v>
      </c>
      <c r="P1049" s="0">
        <v>0</v>
      </c>
      <c r="Q1049" s="0" t="s">
        <v>266</v>
      </c>
      <c r="R1049" s="0" t="b">
        <v>0</v>
      </c>
      <c r="S1049" s="0" t="b">
        <v>1</v>
      </c>
      <c r="T1049" s="68">
        <v>43986.5</v>
      </c>
      <c r="U1049" s="68">
        <v>43986.3333333333</v>
      </c>
      <c r="V1049" s="68">
        <v>0</v>
      </c>
      <c r="W1049" s="0">
        <f>IF(IF(B1049="none",1,IF(B1049="Trialer",1,0))+IF(C1049="Customer",1,IF(C1049="Lost",1,0))=2,1,0)</f>
      </c>
      <c r="X1049" s="0" t="s">
        <v>148</v>
      </c>
      <c r="Y1049" s="0" t="s">
        <v>137</v>
      </c>
      <c r="AV1049" s="68"/>
      <c r="AW1049" s="68"/>
      <c r="AY1049" s="27"/>
      <c r="BD1049" s="68">
        <v>46054.1666666667</v>
      </c>
      <c r="BE1049" s="68">
        <v>46082.1666666667</v>
      </c>
      <c r="BF1049" s="0" t="b">
        <v>0</v>
      </c>
      <c r="BG1049" s="0" t="b">
        <v>0</v>
      </c>
      <c r="BH1049" s="0">
        <v>40</v>
      </c>
      <c r="BI1049" s="0">
        <v>40</v>
      </c>
      <c r="BJ1049" s="0" t="s">
        <v>135</v>
      </c>
    </row>
    <row r="1050">
      <c r="A1050" s="0" t="s">
        <v>1254</v>
      </c>
      <c r="B1050" s="0" t="s">
        <v>134</v>
      </c>
      <c r="C1050" s="0" t="s">
        <v>134</v>
      </c>
      <c r="D1050" s="0" t="s">
        <v>135</v>
      </c>
      <c r="E1050" s="0" t="s">
        <v>3</v>
      </c>
      <c r="F1050" s="0" t="s">
        <v>12</v>
      </c>
      <c r="G1050" s="0" t="s">
        <v>8</v>
      </c>
      <c r="H1050" s="0">
        <v>2066</v>
      </c>
      <c r="I1050" s="0">
        <v>86</v>
      </c>
      <c r="J1050" s="0">
        <v>0</v>
      </c>
      <c r="K1050" s="0">
        <v>1</v>
      </c>
      <c r="L1050" s="0">
        <v>3</v>
      </c>
      <c r="M1050" s="0">
        <v>2</v>
      </c>
      <c r="N1050" s="0">
        <v>0</v>
      </c>
      <c r="O1050" s="0">
        <v>0</v>
      </c>
      <c r="P1050" s="0">
        <v>0</v>
      </c>
      <c r="R1050" s="0" t="b">
        <v>0</v>
      </c>
      <c r="S1050" s="0" t="b">
        <v>1</v>
      </c>
      <c r="T1050" s="68">
        <v>43987.2703240741</v>
      </c>
      <c r="U1050" s="68">
        <v>44017.3333333333</v>
      </c>
      <c r="V1050" s="68">
        <v>0</v>
      </c>
      <c r="W1050" s="0">
        <f>IF(IF(B1050="none",1,IF(B1050="Trialer",1,0))+IF(C1050="Customer",1,IF(C1050="Lost",1,0))=2,1,0)</f>
      </c>
      <c r="X1050" s="0" t="s">
        <v>142</v>
      </c>
      <c r="Y1050" s="0" t="s">
        <v>243</v>
      </c>
      <c r="AV1050" s="68"/>
      <c r="AW1050" s="68"/>
      <c r="AY1050" s="27"/>
      <c r="BD1050" s="68">
        <v>46054.1666666667</v>
      </c>
      <c r="BE1050" s="68">
        <v>46082.1666666667</v>
      </c>
      <c r="BF1050" s="0" t="b">
        <v>0</v>
      </c>
      <c r="BG1050" s="0" t="b">
        <v>0</v>
      </c>
      <c r="BH1050" s="0">
        <v>86</v>
      </c>
      <c r="BI1050" s="0">
        <v>86</v>
      </c>
      <c r="BJ1050" s="0" t="s">
        <v>135</v>
      </c>
    </row>
    <row r="1051">
      <c r="A1051" s="0" t="s">
        <v>1255</v>
      </c>
      <c r="B1051" s="0" t="s">
        <v>134</v>
      </c>
      <c r="C1051" s="0" t="s">
        <v>134</v>
      </c>
      <c r="D1051" s="0" t="s">
        <v>135</v>
      </c>
      <c r="E1051" s="0" t="s">
        <v>2</v>
      </c>
      <c r="F1051" s="0" t="s">
        <v>12</v>
      </c>
      <c r="G1051" s="0" t="s">
        <v>8</v>
      </c>
      <c r="H1051" s="0">
        <v>2062</v>
      </c>
      <c r="I1051" s="0">
        <v>61</v>
      </c>
      <c r="J1051" s="0">
        <v>0</v>
      </c>
      <c r="K1051" s="0">
        <v>1</v>
      </c>
      <c r="L1051" s="0">
        <v>4</v>
      </c>
      <c r="M1051" s="0">
        <v>1</v>
      </c>
      <c r="N1051" s="0">
        <v>0</v>
      </c>
      <c r="O1051" s="0">
        <v>0</v>
      </c>
      <c r="P1051" s="0">
        <v>0</v>
      </c>
      <c r="R1051" s="0" t="b">
        <v>0</v>
      </c>
      <c r="S1051" s="0" t="b">
        <v>1</v>
      </c>
      <c r="T1051" s="68">
        <v>43991.6954398148</v>
      </c>
      <c r="U1051" s="68">
        <v>44021.3333333333</v>
      </c>
      <c r="V1051" s="68">
        <v>0</v>
      </c>
      <c r="W1051" s="0">
        <f>IF(IF(B1051="none",1,IF(B1051="Trialer",1,0))+IF(C1051="Customer",1,IF(C1051="Lost",1,0))=2,1,0)</f>
      </c>
      <c r="X1051" s="0" t="s">
        <v>153</v>
      </c>
      <c r="Y1051" s="0" t="s">
        <v>499</v>
      </c>
      <c r="AV1051" s="68"/>
      <c r="AW1051" s="68"/>
      <c r="AY1051" s="27"/>
      <c r="BD1051" s="68">
        <v>46054.1666666667</v>
      </c>
      <c r="BE1051" s="68">
        <v>46082.1666666667</v>
      </c>
      <c r="BF1051" s="0" t="b">
        <v>0</v>
      </c>
      <c r="BG1051" s="0" t="b">
        <v>0</v>
      </c>
      <c r="BH1051" s="0">
        <v>61</v>
      </c>
      <c r="BI1051" s="0">
        <v>61</v>
      </c>
      <c r="BJ1051" s="0" t="s">
        <v>135</v>
      </c>
    </row>
    <row r="1052">
      <c r="A1052" s="0" t="s">
        <v>1256</v>
      </c>
      <c r="B1052" s="0" t="s">
        <v>134</v>
      </c>
      <c r="C1052" s="0" t="s">
        <v>134</v>
      </c>
      <c r="D1052" s="0" t="s">
        <v>135</v>
      </c>
      <c r="E1052" s="0" t="s">
        <v>3</v>
      </c>
      <c r="F1052" s="0" t="s">
        <v>12</v>
      </c>
      <c r="G1052" s="0" t="s">
        <v>8</v>
      </c>
      <c r="H1052" s="0">
        <v>2060</v>
      </c>
      <c r="I1052" s="0">
        <v>0</v>
      </c>
      <c r="J1052" s="0">
        <v>0</v>
      </c>
      <c r="K1052" s="0">
        <v>1</v>
      </c>
      <c r="L1052" s="0">
        <v>3</v>
      </c>
      <c r="M1052" s="0">
        <v>1</v>
      </c>
      <c r="N1052" s="0">
        <v>0</v>
      </c>
      <c r="O1052" s="0">
        <v>0</v>
      </c>
      <c r="P1052" s="0">
        <v>0</v>
      </c>
      <c r="R1052" s="0" t="b">
        <v>0</v>
      </c>
      <c r="S1052" s="0" t="b">
        <v>1</v>
      </c>
      <c r="T1052" s="68">
        <v>43993.3819444444</v>
      </c>
      <c r="U1052" s="68">
        <v>44023.5</v>
      </c>
      <c r="V1052" s="68">
        <v>0</v>
      </c>
      <c r="W1052" s="0">
        <f>IF(IF(B1052="none",1,IF(B1052="Trialer",1,0))+IF(C1052="Customer",1,IF(C1052="Lost",1,0))=2,1,0)</f>
      </c>
      <c r="X1052" s="0" t="s">
        <v>136</v>
      </c>
      <c r="Y1052" s="0" t="s">
        <v>243</v>
      </c>
      <c r="AV1052" s="68"/>
      <c r="AW1052" s="68"/>
      <c r="AY1052" s="27"/>
      <c r="BD1052" s="68">
        <v>46054.1666666667</v>
      </c>
      <c r="BE1052" s="68">
        <v>46082.1666666667</v>
      </c>
      <c r="BF1052" s="0" t="b">
        <v>0</v>
      </c>
      <c r="BG1052" s="0" t="b">
        <v>0</v>
      </c>
      <c r="BH1052" s="0">
        <v>0</v>
      </c>
      <c r="BI1052" s="0">
        <v>0</v>
      </c>
      <c r="BJ1052" s="0" t="s">
        <v>230</v>
      </c>
    </row>
    <row r="1053">
      <c r="A1053" s="0" t="s">
        <v>1257</v>
      </c>
      <c r="B1053" s="0" t="s">
        <v>134</v>
      </c>
      <c r="C1053" s="0" t="s">
        <v>134</v>
      </c>
      <c r="D1053" s="0" t="s">
        <v>135</v>
      </c>
      <c r="E1053" s="0" t="s">
        <v>2</v>
      </c>
      <c r="F1053" s="0" t="s">
        <v>12</v>
      </c>
      <c r="G1053" s="0" t="s">
        <v>8</v>
      </c>
      <c r="H1053" s="0">
        <v>2060</v>
      </c>
      <c r="I1053" s="0">
        <v>472</v>
      </c>
      <c r="J1053" s="0">
        <v>0</v>
      </c>
      <c r="K1053" s="0">
        <v>1</v>
      </c>
      <c r="L1053" s="0">
        <v>3</v>
      </c>
      <c r="M1053" s="0">
        <v>10</v>
      </c>
      <c r="N1053" s="0">
        <v>77.5</v>
      </c>
      <c r="O1053" s="0">
        <v>0</v>
      </c>
      <c r="P1053" s="0">
        <v>0</v>
      </c>
      <c r="R1053" s="0" t="b">
        <v>0</v>
      </c>
      <c r="S1053" s="0" t="b">
        <v>1</v>
      </c>
      <c r="T1053" s="68">
        <v>43993.6770023148</v>
      </c>
      <c r="U1053" s="68">
        <v>44025.3333333333</v>
      </c>
      <c r="V1053" s="68">
        <v>0</v>
      </c>
      <c r="W1053" s="0">
        <f>IF(IF(B1053="none",1,IF(B1053="Trialer",1,0))+IF(C1053="Customer",1,IF(C1053="Lost",1,0))=2,1,0)</f>
      </c>
      <c r="X1053" s="0" t="s">
        <v>148</v>
      </c>
      <c r="Y1053" s="0" t="s">
        <v>499</v>
      </c>
      <c r="AV1053" s="68"/>
      <c r="AW1053" s="68"/>
      <c r="AY1053" s="27"/>
      <c r="BD1053" s="68">
        <v>46054.1666666667</v>
      </c>
      <c r="BE1053" s="68">
        <v>46082.1666666667</v>
      </c>
      <c r="BF1053" s="0" t="b">
        <v>0</v>
      </c>
      <c r="BG1053" s="0" t="b">
        <v>0</v>
      </c>
      <c r="BH1053" s="0">
        <v>472</v>
      </c>
      <c r="BI1053" s="0">
        <v>472</v>
      </c>
      <c r="BJ1053" s="0" t="s">
        <v>135</v>
      </c>
    </row>
    <row r="1054">
      <c r="A1054" s="0" t="s">
        <v>1258</v>
      </c>
      <c r="B1054" s="0" t="s">
        <v>134</v>
      </c>
      <c r="C1054" s="0" t="s">
        <v>134</v>
      </c>
      <c r="D1054" s="0" t="s">
        <v>135</v>
      </c>
      <c r="E1054" s="0" t="s">
        <v>3</v>
      </c>
      <c r="F1054" s="0" t="s">
        <v>12</v>
      </c>
      <c r="G1054" s="0" t="s">
        <v>8</v>
      </c>
      <c r="H1054" s="0">
        <v>2059</v>
      </c>
      <c r="I1054" s="0">
        <v>138</v>
      </c>
      <c r="J1054" s="0">
        <v>0</v>
      </c>
      <c r="K1054" s="0">
        <v>1</v>
      </c>
      <c r="L1054" s="0">
        <v>3</v>
      </c>
      <c r="M1054" s="0">
        <v>3</v>
      </c>
      <c r="N1054" s="0">
        <v>0</v>
      </c>
      <c r="O1054" s="0">
        <v>0</v>
      </c>
      <c r="P1054" s="0">
        <v>0</v>
      </c>
      <c r="R1054" s="0" t="b">
        <v>0</v>
      </c>
      <c r="S1054" s="0" t="b">
        <v>1</v>
      </c>
      <c r="T1054" s="68">
        <v>43994.5267476852</v>
      </c>
      <c r="U1054" s="68">
        <v>44008.3333333333</v>
      </c>
      <c r="V1054" s="68">
        <v>0</v>
      </c>
      <c r="W1054" s="0">
        <f>IF(IF(B1054="none",1,IF(B1054="Trialer",1,0))+IF(C1054="Customer",1,IF(C1054="Lost",1,0))=2,1,0)</f>
      </c>
      <c r="X1054" s="0" t="s">
        <v>166</v>
      </c>
      <c r="Y1054" s="0" t="s">
        <v>243</v>
      </c>
      <c r="AV1054" s="68"/>
      <c r="AW1054" s="68"/>
      <c r="AY1054" s="27"/>
      <c r="BD1054" s="68">
        <v>46054.1666666667</v>
      </c>
      <c r="BE1054" s="68">
        <v>46082.1666666667</v>
      </c>
      <c r="BF1054" s="0" t="b">
        <v>0</v>
      </c>
      <c r="BG1054" s="0" t="b">
        <v>0</v>
      </c>
      <c r="BH1054" s="0">
        <v>138</v>
      </c>
      <c r="BI1054" s="0">
        <v>138</v>
      </c>
      <c r="BJ1054" s="0" t="s">
        <v>135</v>
      </c>
    </row>
    <row r="1055">
      <c r="A1055" s="0" t="s">
        <v>1259</v>
      </c>
      <c r="B1055" s="0" t="s">
        <v>134</v>
      </c>
      <c r="C1055" s="0" t="s">
        <v>134</v>
      </c>
      <c r="D1055" s="0" t="s">
        <v>135</v>
      </c>
      <c r="E1055" s="0" t="s">
        <v>2</v>
      </c>
      <c r="F1055" s="0" t="s">
        <v>12</v>
      </c>
      <c r="G1055" s="0" t="s">
        <v>8</v>
      </c>
      <c r="H1055" s="0">
        <v>2059</v>
      </c>
      <c r="I1055" s="0">
        <v>49</v>
      </c>
      <c r="J1055" s="0">
        <v>0</v>
      </c>
      <c r="K1055" s="0">
        <v>1</v>
      </c>
      <c r="L1055" s="0">
        <v>3</v>
      </c>
      <c r="M1055" s="0">
        <v>1</v>
      </c>
      <c r="N1055" s="0">
        <v>0</v>
      </c>
      <c r="O1055" s="0">
        <v>0</v>
      </c>
      <c r="P1055" s="0">
        <v>0</v>
      </c>
      <c r="R1055" s="0" t="b">
        <v>0</v>
      </c>
      <c r="S1055" s="0" t="b">
        <v>1</v>
      </c>
      <c r="T1055" s="68">
        <v>43994.6637152778</v>
      </c>
      <c r="U1055" s="68">
        <v>44024.3333333333</v>
      </c>
      <c r="V1055" s="68">
        <v>0</v>
      </c>
      <c r="W1055" s="0">
        <f>IF(IF(B1055="none",1,IF(B1055="Trialer",1,0))+IF(C1055="Customer",1,IF(C1055="Lost",1,0))=2,1,0)</f>
      </c>
      <c r="X1055" s="0" t="s">
        <v>145</v>
      </c>
      <c r="Y1055" s="0" t="s">
        <v>499</v>
      </c>
      <c r="AV1055" s="68"/>
      <c r="AW1055" s="68"/>
      <c r="AY1055" s="27"/>
      <c r="BD1055" s="68">
        <v>46054.1666666667</v>
      </c>
      <c r="BE1055" s="68">
        <v>46082.1666666667</v>
      </c>
      <c r="BF1055" s="0" t="b">
        <v>0</v>
      </c>
      <c r="BG1055" s="0" t="b">
        <v>0</v>
      </c>
      <c r="BH1055" s="0">
        <v>49</v>
      </c>
      <c r="BI1055" s="0">
        <v>49</v>
      </c>
      <c r="BJ1055" s="0" t="s">
        <v>135</v>
      </c>
    </row>
    <row r="1056">
      <c r="A1056" s="0" t="s">
        <v>1260</v>
      </c>
      <c r="B1056" s="0" t="s">
        <v>134</v>
      </c>
      <c r="C1056" s="0" t="s">
        <v>134</v>
      </c>
      <c r="D1056" s="0" t="s">
        <v>230</v>
      </c>
      <c r="E1056" s="0" t="s">
        <v>2</v>
      </c>
      <c r="F1056" s="0" t="s">
        <v>12</v>
      </c>
      <c r="G1056" s="0" t="s">
        <v>8</v>
      </c>
      <c r="H1056" s="0">
        <v>2059</v>
      </c>
      <c r="I1056" s="0">
        <v>190</v>
      </c>
      <c r="J1056" s="0">
        <v>0</v>
      </c>
      <c r="K1056" s="0">
        <v>1</v>
      </c>
      <c r="L1056" s="0">
        <v>3</v>
      </c>
      <c r="M1056" s="0">
        <v>5</v>
      </c>
      <c r="N1056" s="0">
        <v>0</v>
      </c>
      <c r="O1056" s="0">
        <v>0</v>
      </c>
      <c r="P1056" s="0">
        <v>-190</v>
      </c>
      <c r="R1056" s="0" t="b">
        <v>0</v>
      </c>
      <c r="S1056" s="0" t="b">
        <v>1</v>
      </c>
      <c r="T1056" s="68">
        <v>43994.6657175926</v>
      </c>
      <c r="U1056" s="68">
        <v>44024.3333333333</v>
      </c>
      <c r="V1056" s="68">
        <v>0</v>
      </c>
      <c r="W1056" s="0">
        <f>IF(IF(B1056="none",1,IF(B1056="Trialer",1,0))+IF(C1056="Customer",1,IF(C1056="Lost",1,0))=2,1,0)</f>
      </c>
      <c r="X1056" s="0" t="s">
        <v>145</v>
      </c>
      <c r="Y1056" s="0" t="s">
        <v>499</v>
      </c>
      <c r="AV1056" s="68"/>
      <c r="AW1056" s="68"/>
      <c r="AY1056" s="27"/>
      <c r="BD1056" s="68">
        <v>46054.1666666667</v>
      </c>
      <c r="BE1056" s="68">
        <v>46082.1666666667</v>
      </c>
      <c r="BF1056" s="0" t="b">
        <v>0</v>
      </c>
      <c r="BG1056" s="0" t="b">
        <v>0</v>
      </c>
      <c r="BH1056" s="0">
        <v>212</v>
      </c>
      <c r="BI1056" s="0">
        <v>212</v>
      </c>
      <c r="BJ1056" s="0" t="s">
        <v>230</v>
      </c>
    </row>
    <row r="1057">
      <c r="A1057" s="0" t="s">
        <v>1261</v>
      </c>
      <c r="B1057" s="0" t="s">
        <v>134</v>
      </c>
      <c r="C1057" s="0" t="s">
        <v>134</v>
      </c>
      <c r="D1057" s="0" t="s">
        <v>135</v>
      </c>
      <c r="E1057" s="0" t="s">
        <v>2</v>
      </c>
      <c r="F1057" s="0" t="s">
        <v>12</v>
      </c>
      <c r="G1057" s="0" t="s">
        <v>8</v>
      </c>
      <c r="H1057" s="0">
        <v>2055</v>
      </c>
      <c r="I1057" s="0">
        <v>168</v>
      </c>
      <c r="J1057" s="0">
        <v>0</v>
      </c>
      <c r="K1057" s="0">
        <v>1</v>
      </c>
      <c r="L1057" s="0">
        <v>1</v>
      </c>
      <c r="M1057" s="0">
        <v>6</v>
      </c>
      <c r="N1057" s="0">
        <v>0</v>
      </c>
      <c r="O1057" s="0">
        <v>0</v>
      </c>
      <c r="P1057" s="0">
        <v>0</v>
      </c>
      <c r="R1057" s="0" t="b">
        <v>0</v>
      </c>
      <c r="S1057" s="0" t="b">
        <v>1</v>
      </c>
      <c r="T1057" s="68">
        <v>43998.6603819444</v>
      </c>
      <c r="U1057" s="68">
        <v>44005.3333333333</v>
      </c>
      <c r="V1057" s="68">
        <v>0</v>
      </c>
      <c r="W1057" s="0">
        <f>IF(IF(B1057="none",1,IF(B1057="Trialer",1,0))+IF(C1057="Customer",1,IF(C1057="Lost",1,0))=2,1,0)</f>
      </c>
      <c r="X1057" s="0" t="s">
        <v>136</v>
      </c>
      <c r="Y1057" s="0" t="s">
        <v>499</v>
      </c>
      <c r="AV1057" s="68"/>
      <c r="AW1057" s="68"/>
      <c r="AY1057" s="27"/>
      <c r="BD1057" s="68">
        <v>46054.1666666667</v>
      </c>
      <c r="BE1057" s="68">
        <v>46082.1666666667</v>
      </c>
      <c r="BF1057" s="0" t="b">
        <v>0</v>
      </c>
      <c r="BG1057" s="0" t="b">
        <v>0</v>
      </c>
      <c r="BH1057" s="0">
        <v>168</v>
      </c>
      <c r="BI1057" s="0">
        <v>168</v>
      </c>
      <c r="BJ1057" s="0" t="s">
        <v>135</v>
      </c>
    </row>
    <row r="1058">
      <c r="A1058" s="0" t="s">
        <v>1262</v>
      </c>
      <c r="B1058" s="0" t="s">
        <v>134</v>
      </c>
      <c r="C1058" s="0" t="s">
        <v>134</v>
      </c>
      <c r="D1058" s="0" t="s">
        <v>135</v>
      </c>
      <c r="E1058" s="0" t="s">
        <v>3</v>
      </c>
      <c r="F1058" s="0" t="s">
        <v>12</v>
      </c>
      <c r="G1058" s="0" t="s">
        <v>8</v>
      </c>
      <c r="H1058" s="0">
        <v>2054</v>
      </c>
      <c r="I1058" s="0">
        <v>276</v>
      </c>
      <c r="J1058" s="0">
        <v>0</v>
      </c>
      <c r="K1058" s="0">
        <v>1</v>
      </c>
      <c r="L1058" s="0">
        <v>2</v>
      </c>
      <c r="M1058" s="0">
        <v>9</v>
      </c>
      <c r="N1058" s="0">
        <v>0</v>
      </c>
      <c r="O1058" s="0">
        <v>0</v>
      </c>
      <c r="P1058" s="0">
        <v>0</v>
      </c>
      <c r="R1058" s="0" t="b">
        <v>0</v>
      </c>
      <c r="S1058" s="0" t="b">
        <v>1</v>
      </c>
      <c r="T1058" s="68">
        <v>43999.5506944444</v>
      </c>
      <c r="U1058" s="68">
        <v>44029.3333333333</v>
      </c>
      <c r="V1058" s="68">
        <v>0</v>
      </c>
      <c r="W1058" s="0">
        <f>IF(IF(B1058="none",1,IF(B1058="Trialer",1,0))+IF(C1058="Customer",1,IF(C1058="Lost",1,0))=2,1,0)</f>
      </c>
      <c r="X1058" s="0" t="s">
        <v>148</v>
      </c>
      <c r="Y1058" s="0" t="s">
        <v>243</v>
      </c>
      <c r="AV1058" s="68"/>
      <c r="AW1058" s="68"/>
      <c r="AY1058" s="27"/>
      <c r="BD1058" s="68">
        <v>46054.1666666667</v>
      </c>
      <c r="BE1058" s="68">
        <v>46082.1666666667</v>
      </c>
      <c r="BF1058" s="0" t="b">
        <v>0</v>
      </c>
      <c r="BG1058" s="0" t="b">
        <v>0</v>
      </c>
      <c r="BH1058" s="0">
        <v>276</v>
      </c>
      <c r="BI1058" s="0">
        <v>276</v>
      </c>
      <c r="BJ1058" s="0" t="s">
        <v>135</v>
      </c>
    </row>
    <row r="1059">
      <c r="A1059" s="0" t="s">
        <v>1263</v>
      </c>
      <c r="B1059" s="0" t="s">
        <v>134</v>
      </c>
      <c r="C1059" s="0" t="s">
        <v>134</v>
      </c>
      <c r="D1059" s="0" t="s">
        <v>135</v>
      </c>
      <c r="E1059" s="0" t="s">
        <v>2</v>
      </c>
      <c r="F1059" s="0" t="s">
        <v>10</v>
      </c>
      <c r="G1059" s="0" t="s">
        <v>8</v>
      </c>
      <c r="H1059" s="0">
        <v>2051</v>
      </c>
      <c r="I1059" s="0">
        <v>68</v>
      </c>
      <c r="J1059" s="0">
        <v>0</v>
      </c>
      <c r="K1059" s="0">
        <v>1</v>
      </c>
      <c r="L1059" s="0">
        <v>2</v>
      </c>
      <c r="M1059" s="0">
        <v>2</v>
      </c>
      <c r="N1059" s="0">
        <v>0</v>
      </c>
      <c r="O1059" s="0">
        <v>0</v>
      </c>
      <c r="P1059" s="0">
        <v>0</v>
      </c>
      <c r="Q1059" s="0" t="s">
        <v>357</v>
      </c>
      <c r="R1059" s="0" t="b">
        <v>0</v>
      </c>
      <c r="S1059" s="0" t="b">
        <v>1</v>
      </c>
      <c r="T1059" s="68">
        <v>44002.3200231481</v>
      </c>
      <c r="U1059" s="68">
        <v>44032.3333333333</v>
      </c>
      <c r="V1059" s="68">
        <v>0</v>
      </c>
      <c r="W1059" s="0">
        <f>IF(IF(B1059="none",1,IF(B1059="Trialer",1,0))+IF(C1059="Customer",1,IF(C1059="Lost",1,0))=2,1,0)</f>
      </c>
      <c r="X1059" s="0" t="s">
        <v>148</v>
      </c>
      <c r="Y1059" s="0" t="s">
        <v>499</v>
      </c>
      <c r="AV1059" s="68"/>
      <c r="AW1059" s="68"/>
      <c r="AY1059" s="27"/>
      <c r="BD1059" s="68">
        <v>46054.1666666667</v>
      </c>
      <c r="BE1059" s="68">
        <v>46082.1666666667</v>
      </c>
      <c r="BF1059" s="0" t="b">
        <v>0</v>
      </c>
      <c r="BG1059" s="0" t="b">
        <v>0</v>
      </c>
      <c r="BH1059" s="0">
        <v>68</v>
      </c>
      <c r="BI1059" s="0">
        <v>68</v>
      </c>
      <c r="BJ1059" s="0" t="s">
        <v>135</v>
      </c>
    </row>
    <row r="1060">
      <c r="A1060" s="0" t="s">
        <v>1264</v>
      </c>
      <c r="B1060" s="0" t="s">
        <v>134</v>
      </c>
      <c r="C1060" s="0" t="s">
        <v>134</v>
      </c>
      <c r="D1060" s="0" t="s">
        <v>230</v>
      </c>
      <c r="E1060" s="0" t="s">
        <v>3</v>
      </c>
      <c r="F1060" s="0" t="s">
        <v>12</v>
      </c>
      <c r="G1060" s="0" t="s">
        <v>8</v>
      </c>
      <c r="H1060" s="0">
        <v>2049</v>
      </c>
      <c r="I1060" s="0">
        <v>157</v>
      </c>
      <c r="J1060" s="0">
        <v>0</v>
      </c>
      <c r="K1060" s="0">
        <v>1</v>
      </c>
      <c r="L1060" s="0">
        <v>3</v>
      </c>
      <c r="M1060" s="0">
        <v>4</v>
      </c>
      <c r="N1060" s="0">
        <v>0</v>
      </c>
      <c r="O1060" s="0">
        <v>0</v>
      </c>
      <c r="P1060" s="0">
        <v>-157</v>
      </c>
      <c r="R1060" s="0" t="b">
        <v>0</v>
      </c>
      <c r="S1060" s="0" t="b">
        <v>1</v>
      </c>
      <c r="T1060" s="68">
        <v>44004.5339930556</v>
      </c>
      <c r="U1060" s="68">
        <v>44034.3333333333</v>
      </c>
      <c r="V1060" s="68">
        <v>0</v>
      </c>
      <c r="W1060" s="0">
        <f>IF(IF(B1060="none",1,IF(B1060="Trialer",1,0))+IF(C1060="Customer",1,IF(C1060="Lost",1,0))=2,1,0)</f>
      </c>
      <c r="X1060" s="0" t="s">
        <v>145</v>
      </c>
      <c r="Y1060" s="0" t="s">
        <v>243</v>
      </c>
      <c r="AV1060" s="68"/>
      <c r="AW1060" s="68"/>
      <c r="AY1060" s="27"/>
      <c r="BD1060" s="68">
        <v>46054.1666666667</v>
      </c>
      <c r="BE1060" s="68">
        <v>46082.1666666667</v>
      </c>
      <c r="BF1060" s="0" t="b">
        <v>0</v>
      </c>
      <c r="BG1060" s="0" t="b">
        <v>0</v>
      </c>
      <c r="BH1060" s="0">
        <v>175</v>
      </c>
      <c r="BI1060" s="0">
        <v>175</v>
      </c>
      <c r="BJ1060" s="0" t="s">
        <v>230</v>
      </c>
    </row>
    <row r="1061">
      <c r="A1061" s="0" t="s">
        <v>1265</v>
      </c>
      <c r="B1061" s="0" t="s">
        <v>134</v>
      </c>
      <c r="C1061" s="0" t="s">
        <v>134</v>
      </c>
      <c r="D1061" s="0" t="s">
        <v>230</v>
      </c>
      <c r="E1061" s="0" t="s">
        <v>2</v>
      </c>
      <c r="F1061" s="0" t="s">
        <v>12</v>
      </c>
      <c r="G1061" s="0" t="s">
        <v>8</v>
      </c>
      <c r="H1061" s="0">
        <v>2048</v>
      </c>
      <c r="I1061" s="0">
        <v>1724</v>
      </c>
      <c r="J1061" s="0">
        <v>0</v>
      </c>
      <c r="K1061" s="0">
        <v>1</v>
      </c>
      <c r="L1061" s="0">
        <v>4</v>
      </c>
      <c r="M1061" s="0">
        <v>32</v>
      </c>
      <c r="N1061" s="0">
        <v>0</v>
      </c>
      <c r="O1061" s="0">
        <v>0</v>
      </c>
      <c r="P1061" s="0">
        <v>-1399</v>
      </c>
      <c r="R1061" s="0" t="b">
        <v>0</v>
      </c>
      <c r="S1061" s="0" t="b">
        <v>1</v>
      </c>
      <c r="T1061" s="68">
        <v>44005.6625115741</v>
      </c>
      <c r="U1061" s="68">
        <v>44035.3333333333</v>
      </c>
      <c r="V1061" s="68">
        <v>0</v>
      </c>
      <c r="W1061" s="0">
        <f>IF(IF(B1061="none",1,IF(B1061="Trialer",1,0))+IF(C1061="Customer",1,IF(C1061="Lost",1,0))=2,1,0)</f>
      </c>
      <c r="X1061" s="0" t="s">
        <v>148</v>
      </c>
      <c r="Y1061" s="0" t="s">
        <v>499</v>
      </c>
      <c r="AV1061" s="68"/>
      <c r="AW1061" s="68"/>
      <c r="AY1061" s="27"/>
      <c r="BD1061" s="68">
        <v>46054.1666666667</v>
      </c>
      <c r="BE1061" s="68">
        <v>46082.1666666667</v>
      </c>
      <c r="BF1061" s="0" t="b">
        <v>0</v>
      </c>
      <c r="BG1061" s="0" t="b">
        <v>0</v>
      </c>
      <c r="BH1061" s="0">
        <v>1599</v>
      </c>
      <c r="BI1061" s="0">
        <v>1599</v>
      </c>
      <c r="BJ1061" s="0" t="s">
        <v>230</v>
      </c>
    </row>
    <row r="1062">
      <c r="A1062" s="0" t="s">
        <v>1266</v>
      </c>
      <c r="B1062" s="0" t="s">
        <v>134</v>
      </c>
      <c r="C1062" s="0" t="s">
        <v>134</v>
      </c>
      <c r="D1062" s="0" t="s">
        <v>135</v>
      </c>
      <c r="E1062" s="0" t="s">
        <v>3</v>
      </c>
      <c r="F1062" s="0" t="s">
        <v>10</v>
      </c>
      <c r="G1062" s="0" t="s">
        <v>8</v>
      </c>
      <c r="H1062" s="0">
        <v>2046</v>
      </c>
      <c r="I1062" s="0">
        <v>343</v>
      </c>
      <c r="J1062" s="0">
        <v>0</v>
      </c>
      <c r="K1062" s="0">
        <v>1</v>
      </c>
      <c r="L1062" s="0">
        <v>3</v>
      </c>
      <c r="M1062" s="0">
        <v>7</v>
      </c>
      <c r="N1062" s="0">
        <v>0</v>
      </c>
      <c r="O1062" s="0">
        <v>0</v>
      </c>
      <c r="P1062" s="0">
        <v>0</v>
      </c>
      <c r="Q1062" s="0" t="s">
        <v>217</v>
      </c>
      <c r="R1062" s="0" t="b">
        <v>0</v>
      </c>
      <c r="S1062" s="0" t="b">
        <v>0</v>
      </c>
      <c r="T1062" s="68">
        <v>44007.5375</v>
      </c>
      <c r="U1062" s="68">
        <v>44040.3333333333</v>
      </c>
      <c r="V1062" s="68">
        <v>46099.4976388889</v>
      </c>
      <c r="W1062" s="0">
        <f>IF(IF(B1062="none",1,IF(B1062="Trialer",1,0))+IF(C1062="Customer",1,IF(C1062="Lost",1,0))=2,1,0)</f>
      </c>
      <c r="X1062" s="0" t="s">
        <v>136</v>
      </c>
      <c r="Y1062" s="0" t="s">
        <v>243</v>
      </c>
      <c r="AV1062" s="68"/>
      <c r="AW1062" s="68"/>
      <c r="AY1062" s="27"/>
      <c r="BD1062" s="68">
        <v>46054.1666666667</v>
      </c>
      <c r="BE1062" s="68">
        <v>46082.1666666667</v>
      </c>
      <c r="BF1062" s="0" t="b">
        <v>0</v>
      </c>
      <c r="BG1062" s="0" t="b">
        <v>0</v>
      </c>
      <c r="BH1062" s="0">
        <v>343</v>
      </c>
      <c r="BI1062" s="0">
        <v>343</v>
      </c>
      <c r="BJ1062" s="0" t="s">
        <v>135</v>
      </c>
    </row>
    <row r="1063">
      <c r="A1063" s="0" t="s">
        <v>1267</v>
      </c>
      <c r="B1063" s="0" t="s">
        <v>134</v>
      </c>
      <c r="C1063" s="0" t="s">
        <v>134</v>
      </c>
      <c r="D1063" s="0" t="s">
        <v>135</v>
      </c>
      <c r="E1063" s="0" t="s">
        <v>3</v>
      </c>
      <c r="F1063" s="0" t="s">
        <v>12</v>
      </c>
      <c r="G1063" s="0" t="s">
        <v>8</v>
      </c>
      <c r="H1063" s="0">
        <v>2045</v>
      </c>
      <c r="I1063" s="0">
        <v>430</v>
      </c>
      <c r="J1063" s="0">
        <v>0</v>
      </c>
      <c r="K1063" s="0">
        <v>1</v>
      </c>
      <c r="L1063" s="0">
        <v>5</v>
      </c>
      <c r="M1063" s="0">
        <v>7</v>
      </c>
      <c r="N1063" s="0">
        <v>0</v>
      </c>
      <c r="O1063" s="0">
        <v>0</v>
      </c>
      <c r="P1063" s="0">
        <v>0</v>
      </c>
      <c r="R1063" s="0" t="b">
        <v>0</v>
      </c>
      <c r="S1063" s="0" t="b">
        <v>1</v>
      </c>
      <c r="T1063" s="68">
        <v>44008.693912037</v>
      </c>
      <c r="U1063" s="68">
        <v>44061.3333333333</v>
      </c>
      <c r="V1063" s="68">
        <v>0</v>
      </c>
      <c r="W1063" s="0">
        <f>IF(IF(B1063="none",1,IF(B1063="Trialer",1,0))+IF(C1063="Customer",1,IF(C1063="Lost",1,0))=2,1,0)</f>
      </c>
      <c r="X1063" s="0" t="s">
        <v>136</v>
      </c>
      <c r="Y1063" s="0" t="s">
        <v>243</v>
      </c>
      <c r="AV1063" s="68"/>
      <c r="AW1063" s="68"/>
      <c r="AY1063" s="27"/>
      <c r="BD1063" s="68">
        <v>46054.1666666667</v>
      </c>
      <c r="BE1063" s="68">
        <v>46082.1666666667</v>
      </c>
      <c r="BF1063" s="0" t="b">
        <v>0</v>
      </c>
      <c r="BG1063" s="0" t="b">
        <v>0</v>
      </c>
      <c r="BH1063" s="0">
        <v>430</v>
      </c>
      <c r="BI1063" s="0">
        <v>430</v>
      </c>
      <c r="BJ1063" s="0" t="s">
        <v>135</v>
      </c>
    </row>
    <row r="1064">
      <c r="A1064" s="0" t="s">
        <v>1268</v>
      </c>
      <c r="B1064" s="0" t="s">
        <v>134</v>
      </c>
      <c r="C1064" s="0" t="s">
        <v>134</v>
      </c>
      <c r="D1064" s="0" t="s">
        <v>135</v>
      </c>
      <c r="E1064" s="0" t="s">
        <v>3</v>
      </c>
      <c r="F1064" s="0" t="s">
        <v>12</v>
      </c>
      <c r="G1064" s="0" t="s">
        <v>8</v>
      </c>
      <c r="H1064" s="0">
        <v>2038</v>
      </c>
      <c r="I1064" s="0">
        <v>0</v>
      </c>
      <c r="J1064" s="0">
        <v>0</v>
      </c>
      <c r="K1064" s="0">
        <v>1</v>
      </c>
      <c r="L1064" s="0">
        <v>3</v>
      </c>
      <c r="M1064" s="0">
        <v>1</v>
      </c>
      <c r="N1064" s="0">
        <v>0</v>
      </c>
      <c r="O1064" s="0">
        <v>0</v>
      </c>
      <c r="P1064" s="0">
        <v>0</v>
      </c>
      <c r="R1064" s="0" t="b">
        <v>0</v>
      </c>
      <c r="S1064" s="0" t="b">
        <v>1</v>
      </c>
      <c r="T1064" s="68">
        <v>44015.1284722222</v>
      </c>
      <c r="U1064" s="68">
        <v>44061.3333333333</v>
      </c>
      <c r="V1064" s="68">
        <v>0</v>
      </c>
      <c r="W1064" s="0">
        <f>IF(IF(B1064="none",1,IF(B1064="Trialer",1,0))+IF(C1064="Customer",1,IF(C1064="Lost",1,0))=2,1,0)</f>
      </c>
      <c r="X1064" s="0" t="s">
        <v>148</v>
      </c>
      <c r="Y1064" s="0" t="s">
        <v>243</v>
      </c>
      <c r="AV1064" s="68"/>
      <c r="AW1064" s="68"/>
      <c r="AY1064" s="27"/>
      <c r="BD1064" s="68">
        <v>46054.1666666667</v>
      </c>
      <c r="BE1064" s="68">
        <v>46082.1666666667</v>
      </c>
      <c r="BF1064" s="0" t="b">
        <v>0</v>
      </c>
      <c r="BG1064" s="0" t="b">
        <v>0</v>
      </c>
      <c r="BH1064" s="0">
        <v>0</v>
      </c>
      <c r="BI1064" s="0">
        <v>0</v>
      </c>
      <c r="BJ1064" s="0" t="s">
        <v>135</v>
      </c>
    </row>
    <row r="1065">
      <c r="A1065" s="0" t="s">
        <v>1269</v>
      </c>
      <c r="B1065" s="0" t="s">
        <v>134</v>
      </c>
      <c r="C1065" s="0" t="s">
        <v>134</v>
      </c>
      <c r="D1065" s="0" t="s">
        <v>135</v>
      </c>
      <c r="E1065" s="0" t="s">
        <v>3</v>
      </c>
      <c r="F1065" s="0" t="s">
        <v>12</v>
      </c>
      <c r="G1065" s="0" t="s">
        <v>8</v>
      </c>
      <c r="H1065" s="0">
        <v>2038</v>
      </c>
      <c r="I1065" s="0">
        <v>220</v>
      </c>
      <c r="J1065" s="0">
        <v>0</v>
      </c>
      <c r="K1065" s="0">
        <v>1</v>
      </c>
      <c r="L1065" s="0">
        <v>4</v>
      </c>
      <c r="M1065" s="0">
        <v>4</v>
      </c>
      <c r="N1065" s="0">
        <v>0</v>
      </c>
      <c r="O1065" s="0">
        <v>0</v>
      </c>
      <c r="P1065" s="0">
        <v>0</v>
      </c>
      <c r="R1065" s="0" t="b">
        <v>0</v>
      </c>
      <c r="S1065" s="0" t="b">
        <v>1</v>
      </c>
      <c r="T1065" s="68">
        <v>44015.9138888889</v>
      </c>
      <c r="U1065" s="68">
        <v>44056.5</v>
      </c>
      <c r="V1065" s="68">
        <v>0</v>
      </c>
      <c r="W1065" s="0">
        <f>IF(IF(B1065="none",1,IF(B1065="Trialer",1,0))+IF(C1065="Customer",1,IF(C1065="Lost",1,0))=2,1,0)</f>
      </c>
      <c r="X1065" s="0" t="s">
        <v>145</v>
      </c>
      <c r="Y1065" s="0" t="s">
        <v>243</v>
      </c>
      <c r="AV1065" s="68"/>
      <c r="AW1065" s="68"/>
      <c r="AY1065" s="27"/>
      <c r="BD1065" s="68">
        <v>46054.1666666667</v>
      </c>
      <c r="BE1065" s="68">
        <v>46082.1666666667</v>
      </c>
      <c r="BF1065" s="0" t="b">
        <v>0</v>
      </c>
      <c r="BG1065" s="0" t="b">
        <v>0</v>
      </c>
      <c r="BH1065" s="0">
        <v>220</v>
      </c>
      <c r="BI1065" s="0">
        <v>220</v>
      </c>
      <c r="BJ1065" s="0" t="s">
        <v>135</v>
      </c>
    </row>
    <row r="1066">
      <c r="A1066" s="0" t="s">
        <v>1270</v>
      </c>
      <c r="B1066" s="0" t="s">
        <v>134</v>
      </c>
      <c r="C1066" s="0" t="s">
        <v>134</v>
      </c>
      <c r="D1066" s="0" t="s">
        <v>135</v>
      </c>
      <c r="E1066" s="0" t="s">
        <v>3</v>
      </c>
      <c r="F1066" s="0" t="s">
        <v>10</v>
      </c>
      <c r="G1066" s="0" t="s">
        <v>8</v>
      </c>
      <c r="H1066" s="0">
        <v>2035</v>
      </c>
      <c r="I1066" s="0">
        <v>49</v>
      </c>
      <c r="J1066" s="0">
        <v>0</v>
      </c>
      <c r="K1066" s="0">
        <v>1</v>
      </c>
      <c r="L1066" s="0">
        <v>3</v>
      </c>
      <c r="M1066" s="0">
        <v>1</v>
      </c>
      <c r="N1066" s="0">
        <v>0</v>
      </c>
      <c r="O1066" s="0">
        <v>0</v>
      </c>
      <c r="P1066" s="0">
        <v>0</v>
      </c>
      <c r="Q1066" s="0" t="s">
        <v>498</v>
      </c>
      <c r="R1066" s="0" t="b">
        <v>0</v>
      </c>
      <c r="S1066" s="0" t="b">
        <v>1</v>
      </c>
      <c r="T1066" s="68">
        <v>44018.4488657407</v>
      </c>
      <c r="U1066" s="68">
        <v>44048.3333333333</v>
      </c>
      <c r="V1066" s="68">
        <v>0</v>
      </c>
      <c r="W1066" s="0">
        <f>IF(IF(B1066="none",1,IF(B1066="Trialer",1,0))+IF(C1066="Customer",1,IF(C1066="Lost",1,0))=2,1,0)</f>
      </c>
      <c r="X1066" s="0" t="s">
        <v>136</v>
      </c>
      <c r="Y1066" s="0" t="s">
        <v>243</v>
      </c>
      <c r="AV1066" s="68"/>
      <c r="AW1066" s="68"/>
      <c r="AY1066" s="27"/>
      <c r="BD1066" s="68">
        <v>46054.1666666667</v>
      </c>
      <c r="BE1066" s="68">
        <v>46082.1666666667</v>
      </c>
      <c r="BF1066" s="0" t="b">
        <v>0</v>
      </c>
      <c r="BG1066" s="0" t="b">
        <v>0</v>
      </c>
      <c r="BH1066" s="0">
        <v>49</v>
      </c>
      <c r="BI1066" s="0">
        <v>49</v>
      </c>
      <c r="BJ1066" s="0" t="s">
        <v>135</v>
      </c>
    </row>
    <row r="1067">
      <c r="A1067" s="0" t="s">
        <v>1271</v>
      </c>
      <c r="B1067" s="0" t="s">
        <v>134</v>
      </c>
      <c r="C1067" s="0" t="s">
        <v>134</v>
      </c>
      <c r="D1067" s="0" t="s">
        <v>230</v>
      </c>
      <c r="E1067" s="0" t="s">
        <v>3</v>
      </c>
      <c r="F1067" s="0" t="s">
        <v>12</v>
      </c>
      <c r="G1067" s="0" t="s">
        <v>8</v>
      </c>
      <c r="H1067" s="0">
        <v>2033</v>
      </c>
      <c r="I1067" s="0">
        <v>152</v>
      </c>
      <c r="J1067" s="0">
        <v>0</v>
      </c>
      <c r="K1067" s="0">
        <v>1</v>
      </c>
      <c r="L1067" s="0">
        <v>3</v>
      </c>
      <c r="M1067" s="0">
        <v>4</v>
      </c>
      <c r="N1067" s="0">
        <v>0</v>
      </c>
      <c r="O1067" s="0">
        <v>0</v>
      </c>
      <c r="P1067" s="0">
        <v>-152</v>
      </c>
      <c r="R1067" s="0" t="b">
        <v>0</v>
      </c>
      <c r="S1067" s="0" t="b">
        <v>1</v>
      </c>
      <c r="T1067" s="68">
        <v>44020.0265509259</v>
      </c>
      <c r="U1067" s="68">
        <v>44044.3333333333</v>
      </c>
      <c r="V1067" s="68">
        <v>0</v>
      </c>
      <c r="W1067" s="0">
        <f>IF(IF(B1067="none",1,IF(B1067="Trialer",1,0))+IF(C1067="Customer",1,IF(C1067="Lost",1,0))=2,1,0)</f>
      </c>
      <c r="X1067" s="0" t="s">
        <v>145</v>
      </c>
      <c r="Y1067" s="0" t="s">
        <v>243</v>
      </c>
      <c r="AV1067" s="68"/>
      <c r="AW1067" s="68"/>
      <c r="AY1067" s="27"/>
      <c r="BD1067" s="68">
        <v>46054.1666666667</v>
      </c>
      <c r="BE1067" s="68">
        <v>46082.1666666667</v>
      </c>
      <c r="BF1067" s="0" t="b">
        <v>0</v>
      </c>
      <c r="BG1067" s="0" t="b">
        <v>0</v>
      </c>
      <c r="BH1067" s="0">
        <v>169</v>
      </c>
      <c r="BI1067" s="0">
        <v>169</v>
      </c>
      <c r="BJ1067" s="0" t="s">
        <v>230</v>
      </c>
    </row>
    <row r="1068">
      <c r="A1068" s="0" t="s">
        <v>1272</v>
      </c>
      <c r="B1068" s="0" t="s">
        <v>134</v>
      </c>
      <c r="C1068" s="0" t="s">
        <v>134</v>
      </c>
      <c r="D1068" s="0" t="s">
        <v>135</v>
      </c>
      <c r="E1068" s="0" t="s">
        <v>3</v>
      </c>
      <c r="F1068" s="0" t="s">
        <v>12</v>
      </c>
      <c r="G1068" s="0" t="s">
        <v>8</v>
      </c>
      <c r="H1068" s="0">
        <v>2033</v>
      </c>
      <c r="I1068" s="0">
        <v>56</v>
      </c>
      <c r="J1068" s="0">
        <v>0</v>
      </c>
      <c r="K1068" s="0">
        <v>1</v>
      </c>
      <c r="L1068" s="0">
        <v>1</v>
      </c>
      <c r="M1068" s="0">
        <v>2</v>
      </c>
      <c r="N1068" s="0">
        <v>0</v>
      </c>
      <c r="O1068" s="0">
        <v>0</v>
      </c>
      <c r="P1068" s="0">
        <v>0</v>
      </c>
      <c r="R1068" s="0" t="b">
        <v>0</v>
      </c>
      <c r="S1068" s="0" t="b">
        <v>1</v>
      </c>
      <c r="T1068" s="68">
        <v>44020.4958217593</v>
      </c>
      <c r="U1068" s="68">
        <v>44053.3333333333</v>
      </c>
      <c r="V1068" s="68">
        <v>0</v>
      </c>
      <c r="W1068" s="0">
        <f>IF(IF(B1068="none",1,IF(B1068="Trialer",1,0))+IF(C1068="Customer",1,IF(C1068="Lost",1,0))=2,1,0)</f>
      </c>
      <c r="X1068" s="0" t="s">
        <v>142</v>
      </c>
      <c r="Y1068" s="0" t="s">
        <v>243</v>
      </c>
      <c r="AV1068" s="68"/>
      <c r="AW1068" s="68"/>
      <c r="AY1068" s="27"/>
      <c r="BD1068" s="68">
        <v>46054.1666666667</v>
      </c>
      <c r="BE1068" s="68">
        <v>46082.1666666667</v>
      </c>
      <c r="BF1068" s="0" t="b">
        <v>0</v>
      </c>
      <c r="BG1068" s="0" t="b">
        <v>0</v>
      </c>
      <c r="BH1068" s="0">
        <v>56</v>
      </c>
      <c r="BI1068" s="0">
        <v>56</v>
      </c>
      <c r="BJ1068" s="0" t="s">
        <v>135</v>
      </c>
    </row>
    <row r="1069">
      <c r="A1069" s="0" t="s">
        <v>1273</v>
      </c>
      <c r="B1069" s="0" t="s">
        <v>134</v>
      </c>
      <c r="C1069" s="0" t="s">
        <v>134</v>
      </c>
      <c r="D1069" s="0" t="s">
        <v>135</v>
      </c>
      <c r="E1069" s="0" t="s">
        <v>2</v>
      </c>
      <c r="F1069" s="0" t="s">
        <v>12</v>
      </c>
      <c r="G1069" s="0" t="s">
        <v>8</v>
      </c>
      <c r="H1069" s="0">
        <v>2032</v>
      </c>
      <c r="I1069" s="0">
        <v>0</v>
      </c>
      <c r="J1069" s="0">
        <v>0</v>
      </c>
      <c r="K1069" s="0">
        <v>1</v>
      </c>
      <c r="L1069" s="0">
        <v>5</v>
      </c>
      <c r="M1069" s="0">
        <v>2</v>
      </c>
      <c r="N1069" s="0">
        <v>0</v>
      </c>
      <c r="O1069" s="0">
        <v>0</v>
      </c>
      <c r="P1069" s="0">
        <v>0</v>
      </c>
      <c r="R1069" s="0" t="b">
        <v>0</v>
      </c>
      <c r="S1069" s="0" t="b">
        <v>1</v>
      </c>
      <c r="T1069" s="68">
        <v>44021.6922106482</v>
      </c>
      <c r="U1069" s="68">
        <v>44051.3333333333</v>
      </c>
      <c r="V1069" s="68">
        <v>0</v>
      </c>
      <c r="W1069" s="0">
        <f>IF(IF(B1069="none",1,IF(B1069="Trialer",1,0))+IF(C1069="Customer",1,IF(C1069="Lost",1,0))=2,1,0)</f>
      </c>
      <c r="X1069" s="0" t="s">
        <v>148</v>
      </c>
      <c r="Y1069" s="0" t="s">
        <v>499</v>
      </c>
      <c r="AV1069" s="68"/>
      <c r="AW1069" s="68"/>
      <c r="AY1069" s="27"/>
      <c r="BD1069" s="68">
        <v>46054.1666666667</v>
      </c>
      <c r="BE1069" s="68">
        <v>46082.1666666667</v>
      </c>
      <c r="BF1069" s="0" t="b">
        <v>0</v>
      </c>
      <c r="BG1069" s="0" t="b">
        <v>0</v>
      </c>
      <c r="BH1069" s="0">
        <v>0</v>
      </c>
      <c r="BI1069" s="0">
        <v>0</v>
      </c>
      <c r="BJ1069" s="0" t="s">
        <v>135</v>
      </c>
    </row>
    <row r="1070">
      <c r="A1070" s="0" t="s">
        <v>1274</v>
      </c>
      <c r="B1070" s="0" t="s">
        <v>134</v>
      </c>
      <c r="C1070" s="0" t="s">
        <v>134</v>
      </c>
      <c r="D1070" s="0" t="s">
        <v>135</v>
      </c>
      <c r="E1070" s="0" t="s">
        <v>3</v>
      </c>
      <c r="F1070" s="0" t="s">
        <v>12</v>
      </c>
      <c r="G1070" s="0" t="s">
        <v>8</v>
      </c>
      <c r="H1070" s="0">
        <v>2027</v>
      </c>
      <c r="I1070" s="0">
        <v>63.74</v>
      </c>
      <c r="J1070" s="0">
        <v>0</v>
      </c>
      <c r="K1070" s="0">
        <v>1</v>
      </c>
      <c r="L1070" s="0">
        <v>3</v>
      </c>
      <c r="M1070" s="0">
        <v>1</v>
      </c>
      <c r="N1070" s="0">
        <v>0</v>
      </c>
      <c r="O1070" s="0">
        <v>0</v>
      </c>
      <c r="P1070" s="0">
        <v>0</v>
      </c>
      <c r="R1070" s="0" t="b">
        <v>0</v>
      </c>
      <c r="S1070" s="0" t="b">
        <v>1</v>
      </c>
      <c r="T1070" s="68">
        <v>44026.5</v>
      </c>
      <c r="U1070" s="68">
        <v>44026.3333333333</v>
      </c>
      <c r="V1070" s="68">
        <v>0</v>
      </c>
      <c r="W1070" s="0">
        <f>IF(IF(B1070="none",1,IF(B1070="Trialer",1,0))+IF(C1070="Customer",1,IF(C1070="Lost",1,0))=2,1,0)</f>
      </c>
      <c r="X1070" s="0" t="s">
        <v>148</v>
      </c>
      <c r="Y1070" s="0" t="s">
        <v>243</v>
      </c>
      <c r="AV1070" s="68"/>
      <c r="AW1070" s="68"/>
      <c r="AY1070" s="27"/>
      <c r="BD1070" s="68">
        <v>46054.1666666667</v>
      </c>
      <c r="BE1070" s="68">
        <v>46082.1666666667</v>
      </c>
      <c r="BF1070" s="0" t="b">
        <v>0</v>
      </c>
      <c r="BG1070" s="0" t="b">
        <v>0</v>
      </c>
      <c r="BH1070" s="0">
        <v>52.6</v>
      </c>
      <c r="BI1070" s="0">
        <v>52.27</v>
      </c>
      <c r="BJ1070" s="0" t="s">
        <v>135</v>
      </c>
    </row>
    <row r="1071">
      <c r="A1071" s="0" t="s">
        <v>1275</v>
      </c>
      <c r="B1071" s="0" t="s">
        <v>134</v>
      </c>
      <c r="C1071" s="0" t="s">
        <v>134</v>
      </c>
      <c r="D1071" s="0" t="s">
        <v>135</v>
      </c>
      <c r="E1071" s="0" t="s">
        <v>2</v>
      </c>
      <c r="F1071" s="0" t="s">
        <v>12</v>
      </c>
      <c r="G1071" s="0" t="s">
        <v>8</v>
      </c>
      <c r="H1071" s="0">
        <v>2027</v>
      </c>
      <c r="I1071" s="0">
        <v>52</v>
      </c>
      <c r="J1071" s="0">
        <v>0</v>
      </c>
      <c r="K1071" s="0">
        <v>1</v>
      </c>
      <c r="L1071" s="0">
        <v>3</v>
      </c>
      <c r="M1071" s="0">
        <v>1</v>
      </c>
      <c r="N1071" s="0">
        <v>0</v>
      </c>
      <c r="O1071" s="0">
        <v>0</v>
      </c>
      <c r="P1071" s="0">
        <v>0</v>
      </c>
      <c r="R1071" s="0" t="b">
        <v>0</v>
      </c>
      <c r="S1071" s="0" t="b">
        <v>1</v>
      </c>
      <c r="T1071" s="68">
        <v>44026.7599652778</v>
      </c>
      <c r="U1071" s="68">
        <v>44056.3333333333</v>
      </c>
      <c r="V1071" s="68">
        <v>0</v>
      </c>
      <c r="W1071" s="0">
        <f>IF(IF(B1071="none",1,IF(B1071="Trialer",1,0))+IF(C1071="Customer",1,IF(C1071="Lost",1,0))=2,1,0)</f>
      </c>
      <c r="X1071" s="0" t="s">
        <v>153</v>
      </c>
      <c r="Y1071" s="0" t="s">
        <v>499</v>
      </c>
      <c r="AV1071" s="68"/>
      <c r="AW1071" s="68"/>
      <c r="AY1071" s="27"/>
      <c r="BD1071" s="68">
        <v>46054.1666666667</v>
      </c>
      <c r="BE1071" s="68">
        <v>46082.1666666667</v>
      </c>
      <c r="BF1071" s="0" t="b">
        <v>0</v>
      </c>
      <c r="BG1071" s="0" t="b">
        <v>0</v>
      </c>
      <c r="BH1071" s="0">
        <v>52</v>
      </c>
      <c r="BI1071" s="0">
        <v>52</v>
      </c>
      <c r="BJ1071" s="0" t="s">
        <v>135</v>
      </c>
    </row>
    <row r="1072">
      <c r="A1072" s="0" t="s">
        <v>1276</v>
      </c>
      <c r="B1072" s="0" t="s">
        <v>134</v>
      </c>
      <c r="C1072" s="0" t="s">
        <v>134</v>
      </c>
      <c r="D1072" s="0" t="s">
        <v>135</v>
      </c>
      <c r="E1072" s="0" t="s">
        <v>2</v>
      </c>
      <c r="F1072" s="0" t="s">
        <v>12</v>
      </c>
      <c r="G1072" s="0" t="s">
        <v>8</v>
      </c>
      <c r="H1072" s="0">
        <v>2025</v>
      </c>
      <c r="I1072" s="0">
        <v>122</v>
      </c>
      <c r="J1072" s="0">
        <v>0</v>
      </c>
      <c r="K1072" s="0">
        <v>1</v>
      </c>
      <c r="L1072" s="0">
        <v>4</v>
      </c>
      <c r="M1072" s="0">
        <v>2</v>
      </c>
      <c r="N1072" s="0">
        <v>0</v>
      </c>
      <c r="O1072" s="0">
        <v>0</v>
      </c>
      <c r="P1072" s="0">
        <v>0</v>
      </c>
      <c r="R1072" s="0" t="b">
        <v>0</v>
      </c>
      <c r="S1072" s="0" t="b">
        <v>1</v>
      </c>
      <c r="T1072" s="68">
        <v>44028.5</v>
      </c>
      <c r="U1072" s="68">
        <v>44028.3333333333</v>
      </c>
      <c r="V1072" s="68">
        <v>0</v>
      </c>
      <c r="W1072" s="0">
        <f>IF(IF(B1072="none",1,IF(B1072="Trialer",1,0))+IF(C1072="Customer",1,IF(C1072="Lost",1,0))=2,1,0)</f>
      </c>
      <c r="X1072" s="0" t="s">
        <v>148</v>
      </c>
      <c r="Y1072" s="0" t="s">
        <v>499</v>
      </c>
      <c r="AV1072" s="68"/>
      <c r="AW1072" s="68"/>
      <c r="AY1072" s="27"/>
      <c r="BD1072" s="68">
        <v>46054.1666666667</v>
      </c>
      <c r="BE1072" s="68">
        <v>46082.1666666667</v>
      </c>
      <c r="BF1072" s="0" t="b">
        <v>0</v>
      </c>
      <c r="BG1072" s="0" t="b">
        <v>0</v>
      </c>
      <c r="BH1072" s="0">
        <v>122</v>
      </c>
      <c r="BI1072" s="0">
        <v>122</v>
      </c>
      <c r="BJ1072" s="0" t="s">
        <v>135</v>
      </c>
    </row>
    <row r="1073">
      <c r="A1073" s="0" t="s">
        <v>1277</v>
      </c>
      <c r="B1073" s="0" t="s">
        <v>134</v>
      </c>
      <c r="C1073" s="0" t="s">
        <v>134</v>
      </c>
      <c r="D1073" s="0" t="s">
        <v>135</v>
      </c>
      <c r="E1073" s="0" t="s">
        <v>3</v>
      </c>
      <c r="F1073" s="0" t="s">
        <v>10</v>
      </c>
      <c r="G1073" s="0" t="s">
        <v>8</v>
      </c>
      <c r="H1073" s="0">
        <v>2020</v>
      </c>
      <c r="I1073" s="0">
        <v>28</v>
      </c>
      <c r="J1073" s="0">
        <v>0</v>
      </c>
      <c r="K1073" s="0">
        <v>1</v>
      </c>
      <c r="L1073" s="0">
        <v>1</v>
      </c>
      <c r="M1073" s="0">
        <v>1</v>
      </c>
      <c r="N1073" s="0">
        <v>0</v>
      </c>
      <c r="O1073" s="0">
        <v>0</v>
      </c>
      <c r="P1073" s="0">
        <v>0</v>
      </c>
      <c r="Q1073" s="0" t="s">
        <v>618</v>
      </c>
      <c r="R1073" s="0" t="b">
        <v>0</v>
      </c>
      <c r="S1073" s="0" t="b">
        <v>1</v>
      </c>
      <c r="T1073" s="68">
        <v>44033.4504166667</v>
      </c>
      <c r="U1073" s="68">
        <v>44063.3333333333</v>
      </c>
      <c r="V1073" s="68">
        <v>0</v>
      </c>
      <c r="W1073" s="0">
        <f>IF(IF(B1073="none",1,IF(B1073="Trialer",1,0))+IF(C1073="Customer",1,IF(C1073="Lost",1,0))=2,1,0)</f>
      </c>
      <c r="X1073" s="0" t="s">
        <v>148</v>
      </c>
      <c r="Y1073" s="0" t="s">
        <v>243</v>
      </c>
      <c r="AV1073" s="68"/>
      <c r="AW1073" s="68"/>
      <c r="AY1073" s="27"/>
      <c r="BD1073" s="68">
        <v>46054.1666666667</v>
      </c>
      <c r="BE1073" s="68">
        <v>46082.1666666667</v>
      </c>
      <c r="BF1073" s="0" t="b">
        <v>0</v>
      </c>
      <c r="BG1073" s="0" t="b">
        <v>0</v>
      </c>
      <c r="BH1073" s="0">
        <v>28</v>
      </c>
      <c r="BI1073" s="0">
        <v>28</v>
      </c>
      <c r="BJ1073" s="0" t="s">
        <v>135</v>
      </c>
    </row>
    <row r="1074">
      <c r="A1074" s="0" t="s">
        <v>1278</v>
      </c>
      <c r="B1074" s="0" t="s">
        <v>134</v>
      </c>
      <c r="C1074" s="0" t="s">
        <v>134</v>
      </c>
      <c r="D1074" s="0" t="s">
        <v>230</v>
      </c>
      <c r="E1074" s="0" t="s">
        <v>2</v>
      </c>
      <c r="F1074" s="0" t="s">
        <v>12</v>
      </c>
      <c r="G1074" s="0" t="s">
        <v>8</v>
      </c>
      <c r="H1074" s="0">
        <v>2019</v>
      </c>
      <c r="I1074" s="0">
        <v>219</v>
      </c>
      <c r="J1074" s="0">
        <v>0</v>
      </c>
      <c r="K1074" s="0">
        <v>1</v>
      </c>
      <c r="L1074" s="0">
        <v>4</v>
      </c>
      <c r="M1074" s="0">
        <v>6</v>
      </c>
      <c r="N1074" s="0">
        <v>0</v>
      </c>
      <c r="O1074" s="0">
        <v>0</v>
      </c>
      <c r="P1074" s="0">
        <v>-219</v>
      </c>
      <c r="R1074" s="0" t="b">
        <v>0</v>
      </c>
      <c r="S1074" s="0" t="b">
        <v>1</v>
      </c>
      <c r="T1074" s="68">
        <v>44034.4924305556</v>
      </c>
      <c r="U1074" s="68">
        <v>44064.3333333333</v>
      </c>
      <c r="V1074" s="68">
        <v>0</v>
      </c>
      <c r="W1074" s="0">
        <f>IF(IF(B1074="none",1,IF(B1074="Trialer",1,0))+IF(C1074="Customer",1,IF(C1074="Lost",1,0))=2,1,0)</f>
      </c>
      <c r="X1074" s="0" t="s">
        <v>148</v>
      </c>
      <c r="Y1074" s="0" t="s">
        <v>499</v>
      </c>
      <c r="AV1074" s="68"/>
      <c r="AW1074" s="68"/>
      <c r="AY1074" s="27"/>
      <c r="BD1074" s="68">
        <v>46054.1666666667</v>
      </c>
      <c r="BE1074" s="68">
        <v>46082.1666666667</v>
      </c>
      <c r="BF1074" s="0" t="b">
        <v>0</v>
      </c>
      <c r="BG1074" s="0" t="b">
        <v>0</v>
      </c>
      <c r="BH1074" s="0">
        <v>246</v>
      </c>
      <c r="BI1074" s="0">
        <v>246</v>
      </c>
      <c r="BJ1074" s="0" t="s">
        <v>230</v>
      </c>
    </row>
    <row r="1075">
      <c r="A1075" s="0" t="s">
        <v>1279</v>
      </c>
      <c r="B1075" s="0" t="s">
        <v>134</v>
      </c>
      <c r="C1075" s="0" t="s">
        <v>134</v>
      </c>
      <c r="D1075" s="0" t="s">
        <v>135</v>
      </c>
      <c r="E1075" s="0" t="s">
        <v>3</v>
      </c>
      <c r="F1075" s="0" t="s">
        <v>12</v>
      </c>
      <c r="G1075" s="0" t="s">
        <v>8</v>
      </c>
      <c r="H1075" s="0">
        <v>2017</v>
      </c>
      <c r="I1075" s="0">
        <v>196</v>
      </c>
      <c r="J1075" s="0">
        <v>0</v>
      </c>
      <c r="K1075" s="0">
        <v>1</v>
      </c>
      <c r="L1075" s="0">
        <v>3</v>
      </c>
      <c r="M1075" s="0">
        <v>4</v>
      </c>
      <c r="N1075" s="0">
        <v>0</v>
      </c>
      <c r="O1075" s="0">
        <v>0</v>
      </c>
      <c r="P1075" s="0">
        <v>0</v>
      </c>
      <c r="R1075" s="0" t="b">
        <v>0</v>
      </c>
      <c r="S1075" s="0" t="b">
        <v>1</v>
      </c>
      <c r="T1075" s="68">
        <v>44036.5</v>
      </c>
      <c r="U1075" s="68">
        <v>44036.3333333333</v>
      </c>
      <c r="V1075" s="68">
        <v>0</v>
      </c>
      <c r="W1075" s="0">
        <f>IF(IF(B1075="none",1,IF(B1075="Trialer",1,0))+IF(C1075="Customer",1,IF(C1075="Lost",1,0))=2,1,0)</f>
      </c>
      <c r="X1075" s="0" t="s">
        <v>148</v>
      </c>
      <c r="Y1075" s="0" t="s">
        <v>243</v>
      </c>
      <c r="AV1075" s="68"/>
      <c r="AW1075" s="68"/>
      <c r="AY1075" s="27"/>
      <c r="BD1075" s="68">
        <v>46054.1666666667</v>
      </c>
      <c r="BE1075" s="68">
        <v>46082.1666666667</v>
      </c>
      <c r="BF1075" s="0" t="b">
        <v>0</v>
      </c>
      <c r="BG1075" s="0" t="b">
        <v>0</v>
      </c>
      <c r="BH1075" s="0">
        <v>196</v>
      </c>
      <c r="BI1075" s="0">
        <v>196</v>
      </c>
      <c r="BJ1075" s="0" t="s">
        <v>135</v>
      </c>
    </row>
    <row r="1076">
      <c r="A1076" s="0" t="s">
        <v>1280</v>
      </c>
      <c r="B1076" s="0" t="s">
        <v>134</v>
      </c>
      <c r="C1076" s="0" t="s">
        <v>134</v>
      </c>
      <c r="D1076" s="0" t="s">
        <v>135</v>
      </c>
      <c r="E1076" s="0" t="s">
        <v>2</v>
      </c>
      <c r="F1076" s="0" t="s">
        <v>12</v>
      </c>
      <c r="G1076" s="0" t="s">
        <v>8</v>
      </c>
      <c r="H1076" s="0">
        <v>2017</v>
      </c>
      <c r="I1076" s="0">
        <v>720</v>
      </c>
      <c r="J1076" s="0">
        <v>0</v>
      </c>
      <c r="K1076" s="0">
        <v>1</v>
      </c>
      <c r="L1076" s="0">
        <v>3</v>
      </c>
      <c r="M1076" s="0">
        <v>18</v>
      </c>
      <c r="N1076" s="0">
        <v>0</v>
      </c>
      <c r="O1076" s="0">
        <v>0</v>
      </c>
      <c r="P1076" s="0">
        <v>0</v>
      </c>
      <c r="R1076" s="0" t="b">
        <v>0</v>
      </c>
      <c r="S1076" s="0" t="b">
        <v>1</v>
      </c>
      <c r="T1076" s="68">
        <v>44036.5694097222</v>
      </c>
      <c r="U1076" s="68">
        <v>44071.3333333333</v>
      </c>
      <c r="V1076" s="68">
        <v>0</v>
      </c>
      <c r="W1076" s="0">
        <f>IF(IF(B1076="none",1,IF(B1076="Trialer",1,0))+IF(C1076="Customer",1,IF(C1076="Lost",1,0))=2,1,0)</f>
      </c>
      <c r="X1076" s="0" t="s">
        <v>145</v>
      </c>
      <c r="Y1076" s="0" t="s">
        <v>499</v>
      </c>
      <c r="AV1076" s="68"/>
      <c r="AW1076" s="68"/>
      <c r="AY1076" s="27"/>
      <c r="BD1076" s="68">
        <v>46054.1666666667</v>
      </c>
      <c r="BE1076" s="68">
        <v>46082.1666666667</v>
      </c>
      <c r="BF1076" s="0" t="b">
        <v>0</v>
      </c>
      <c r="BG1076" s="0" t="b">
        <v>0</v>
      </c>
      <c r="BH1076" s="0">
        <v>769</v>
      </c>
      <c r="BI1076" s="0">
        <v>769</v>
      </c>
      <c r="BJ1076" s="0" t="s">
        <v>135</v>
      </c>
    </row>
    <row r="1077">
      <c r="A1077" s="0" t="s">
        <v>1281</v>
      </c>
      <c r="B1077" s="0" t="s">
        <v>134</v>
      </c>
      <c r="C1077" s="0" t="s">
        <v>134</v>
      </c>
      <c r="D1077" s="0" t="s">
        <v>135</v>
      </c>
      <c r="E1077" s="0" t="s">
        <v>3</v>
      </c>
      <c r="F1077" s="0" t="s">
        <v>12</v>
      </c>
      <c r="G1077" s="0" t="s">
        <v>8</v>
      </c>
      <c r="H1077" s="0">
        <v>2017</v>
      </c>
      <c r="I1077" s="0">
        <v>245</v>
      </c>
      <c r="J1077" s="0">
        <v>0</v>
      </c>
      <c r="K1077" s="0">
        <v>1</v>
      </c>
      <c r="L1077" s="0">
        <v>3</v>
      </c>
      <c r="M1077" s="0">
        <v>5</v>
      </c>
      <c r="N1077" s="0">
        <v>0</v>
      </c>
      <c r="O1077" s="0">
        <v>0</v>
      </c>
      <c r="P1077" s="0">
        <v>0</v>
      </c>
      <c r="R1077" s="0" t="b">
        <v>0</v>
      </c>
      <c r="S1077" s="0" t="b">
        <v>1</v>
      </c>
      <c r="T1077" s="68">
        <v>44036.7166087963</v>
      </c>
      <c r="U1077" s="68">
        <v>44078.3333333333</v>
      </c>
      <c r="V1077" s="68">
        <v>0</v>
      </c>
      <c r="W1077" s="0">
        <f>IF(IF(B1077="none",1,IF(B1077="Trialer",1,0))+IF(C1077="Customer",1,IF(C1077="Lost",1,0))=2,1,0)</f>
      </c>
      <c r="X1077" s="0" t="s">
        <v>145</v>
      </c>
      <c r="Y1077" s="0" t="s">
        <v>243</v>
      </c>
      <c r="AV1077" s="68"/>
      <c r="AW1077" s="68"/>
      <c r="AY1077" s="27"/>
      <c r="BD1077" s="68">
        <v>46054.1666666667</v>
      </c>
      <c r="BE1077" s="68">
        <v>46082.1666666667</v>
      </c>
      <c r="BF1077" s="0" t="b">
        <v>0</v>
      </c>
      <c r="BG1077" s="0" t="b">
        <v>0</v>
      </c>
      <c r="BH1077" s="0">
        <v>245</v>
      </c>
      <c r="BI1077" s="0">
        <v>245</v>
      </c>
      <c r="BJ1077" s="0" t="s">
        <v>135</v>
      </c>
    </row>
    <row r="1078">
      <c r="A1078" s="0" t="s">
        <v>1282</v>
      </c>
      <c r="B1078" s="0" t="s">
        <v>134</v>
      </c>
      <c r="C1078" s="0" t="s">
        <v>134</v>
      </c>
      <c r="D1078" s="0" t="s">
        <v>135</v>
      </c>
      <c r="E1078" s="0" t="s">
        <v>3</v>
      </c>
      <c r="F1078" s="0" t="s">
        <v>12</v>
      </c>
      <c r="G1078" s="0" t="s">
        <v>8</v>
      </c>
      <c r="H1078" s="0">
        <v>2014</v>
      </c>
      <c r="I1078" s="0">
        <v>77</v>
      </c>
      <c r="J1078" s="0">
        <v>0</v>
      </c>
      <c r="K1078" s="0">
        <v>1</v>
      </c>
      <c r="L1078" s="0">
        <v>3</v>
      </c>
      <c r="M1078" s="0">
        <v>2</v>
      </c>
      <c r="N1078" s="0">
        <v>0</v>
      </c>
      <c r="O1078" s="0">
        <v>0</v>
      </c>
      <c r="P1078" s="0">
        <v>0</v>
      </c>
      <c r="R1078" s="0" t="b">
        <v>0</v>
      </c>
      <c r="S1078" s="0" t="b">
        <v>1</v>
      </c>
      <c r="T1078" s="68">
        <v>44039.6151157407</v>
      </c>
      <c r="U1078" s="68">
        <v>44069.3333333333</v>
      </c>
      <c r="V1078" s="68">
        <v>0</v>
      </c>
      <c r="W1078" s="0">
        <f>IF(IF(B1078="none",1,IF(B1078="Trialer",1,0))+IF(C1078="Customer",1,IF(C1078="Lost",1,0))=2,1,0)</f>
      </c>
      <c r="X1078" s="0" t="s">
        <v>142</v>
      </c>
      <c r="Y1078" s="0" t="s">
        <v>243</v>
      </c>
      <c r="AV1078" s="68"/>
      <c r="AW1078" s="68"/>
      <c r="AY1078" s="27"/>
      <c r="BD1078" s="68">
        <v>46054.1666666667</v>
      </c>
      <c r="BE1078" s="68">
        <v>46082.1666666667</v>
      </c>
      <c r="BF1078" s="0" t="b">
        <v>0</v>
      </c>
      <c r="BG1078" s="0" t="b">
        <v>0</v>
      </c>
      <c r="BH1078" s="0">
        <v>77</v>
      </c>
      <c r="BI1078" s="0">
        <v>77</v>
      </c>
      <c r="BJ1078" s="0" t="s">
        <v>135</v>
      </c>
    </row>
    <row r="1079">
      <c r="A1079" s="0" t="s">
        <v>1283</v>
      </c>
      <c r="B1079" s="0" t="s">
        <v>134</v>
      </c>
      <c r="C1079" s="0" t="s">
        <v>134</v>
      </c>
      <c r="D1079" s="0" t="s">
        <v>135</v>
      </c>
      <c r="E1079" s="0" t="s">
        <v>3</v>
      </c>
      <c r="F1079" s="0" t="s">
        <v>12</v>
      </c>
      <c r="G1079" s="0" t="s">
        <v>8</v>
      </c>
      <c r="H1079" s="0">
        <v>2014</v>
      </c>
      <c r="I1079" s="0">
        <v>28</v>
      </c>
      <c r="J1079" s="0">
        <v>0</v>
      </c>
      <c r="K1079" s="0">
        <v>1</v>
      </c>
      <c r="L1079" s="0">
        <v>1</v>
      </c>
      <c r="M1079" s="0">
        <v>1</v>
      </c>
      <c r="N1079" s="0">
        <v>0</v>
      </c>
      <c r="O1079" s="0">
        <v>0</v>
      </c>
      <c r="P1079" s="0">
        <v>0</v>
      </c>
      <c r="R1079" s="0" t="b">
        <v>0</v>
      </c>
      <c r="S1079" s="0" t="b">
        <v>1</v>
      </c>
      <c r="T1079" s="68">
        <v>44039.6951388889</v>
      </c>
      <c r="U1079" s="68">
        <v>44069.5</v>
      </c>
      <c r="V1079" s="68">
        <v>0</v>
      </c>
      <c r="W1079" s="0">
        <f>IF(IF(B1079="none",1,IF(B1079="Trialer",1,0))+IF(C1079="Customer",1,IF(C1079="Lost",1,0))=2,1,0)</f>
      </c>
      <c r="X1079" s="0" t="s">
        <v>166</v>
      </c>
      <c r="Y1079" s="0" t="s">
        <v>243</v>
      </c>
      <c r="AV1079" s="68"/>
      <c r="AW1079" s="68"/>
      <c r="AY1079" s="27"/>
      <c r="BD1079" s="68">
        <v>46054.1666666667</v>
      </c>
      <c r="BE1079" s="68">
        <v>46082.1666666667</v>
      </c>
      <c r="BF1079" s="0" t="b">
        <v>0</v>
      </c>
      <c r="BG1079" s="0" t="b">
        <v>0</v>
      </c>
      <c r="BH1079" s="0">
        <v>28</v>
      </c>
      <c r="BI1079" s="0">
        <v>28</v>
      </c>
      <c r="BJ1079" s="0" t="s">
        <v>135</v>
      </c>
    </row>
    <row r="1080">
      <c r="A1080" s="0" t="s">
        <v>1284</v>
      </c>
      <c r="B1080" s="0" t="s">
        <v>134</v>
      </c>
      <c r="C1080" s="0" t="s">
        <v>134</v>
      </c>
      <c r="D1080" s="0" t="s">
        <v>230</v>
      </c>
      <c r="E1080" s="0" t="s">
        <v>3</v>
      </c>
      <c r="F1080" s="0" t="s">
        <v>12</v>
      </c>
      <c r="G1080" s="0" t="s">
        <v>8</v>
      </c>
      <c r="H1080" s="0">
        <v>2014</v>
      </c>
      <c r="I1080" s="0">
        <v>561</v>
      </c>
      <c r="J1080" s="0">
        <v>0</v>
      </c>
      <c r="K1080" s="0">
        <v>1</v>
      </c>
      <c r="L1080" s="0">
        <v>2</v>
      </c>
      <c r="M1080" s="0">
        <v>17</v>
      </c>
      <c r="N1080" s="0">
        <v>0</v>
      </c>
      <c r="O1080" s="0">
        <v>0</v>
      </c>
      <c r="P1080" s="0">
        <v>-561</v>
      </c>
      <c r="R1080" s="0" t="b">
        <v>0</v>
      </c>
      <c r="S1080" s="0" t="b">
        <v>1</v>
      </c>
      <c r="T1080" s="68">
        <v>44039.7154166667</v>
      </c>
      <c r="U1080" s="68">
        <v>44068.3333333333</v>
      </c>
      <c r="V1080" s="68">
        <v>0</v>
      </c>
      <c r="W1080" s="0">
        <f>IF(IF(B1080="none",1,IF(B1080="Trialer",1,0))+IF(C1080="Customer",1,IF(C1080="Lost",1,0))=2,1,0)</f>
      </c>
      <c r="X1080" s="0" t="s">
        <v>148</v>
      </c>
      <c r="Y1080" s="0" t="s">
        <v>243</v>
      </c>
      <c r="AV1080" s="68"/>
      <c r="AW1080" s="68"/>
      <c r="AY1080" s="27"/>
      <c r="BD1080" s="68">
        <v>46054.1666666667</v>
      </c>
      <c r="BE1080" s="68">
        <v>46082.1666666667</v>
      </c>
      <c r="BF1080" s="0" t="b">
        <v>0</v>
      </c>
      <c r="BG1080" s="0" t="b">
        <v>0</v>
      </c>
      <c r="BH1080" s="0">
        <v>629</v>
      </c>
      <c r="BI1080" s="0">
        <v>629</v>
      </c>
      <c r="BJ1080" s="0" t="s">
        <v>230</v>
      </c>
    </row>
    <row r="1081">
      <c r="A1081" s="0" t="s">
        <v>1285</v>
      </c>
      <c r="B1081" s="0" t="s">
        <v>134</v>
      </c>
      <c r="C1081" s="0" t="s">
        <v>134</v>
      </c>
      <c r="D1081" s="0" t="s">
        <v>135</v>
      </c>
      <c r="E1081" s="0" t="s">
        <v>3</v>
      </c>
      <c r="F1081" s="0" t="s">
        <v>12</v>
      </c>
      <c r="G1081" s="0" t="s">
        <v>8</v>
      </c>
      <c r="H1081" s="0">
        <v>2013</v>
      </c>
      <c r="I1081" s="0">
        <v>0</v>
      </c>
      <c r="J1081" s="0">
        <v>0</v>
      </c>
      <c r="K1081" s="0">
        <v>1</v>
      </c>
      <c r="L1081" s="0">
        <v>3</v>
      </c>
      <c r="M1081" s="0">
        <v>1</v>
      </c>
      <c r="N1081" s="0">
        <v>0</v>
      </c>
      <c r="O1081" s="0">
        <v>0</v>
      </c>
      <c r="P1081" s="0">
        <v>0</v>
      </c>
      <c r="R1081" s="0" t="b">
        <v>0</v>
      </c>
      <c r="S1081" s="0" t="b">
        <v>1</v>
      </c>
      <c r="T1081" s="68">
        <v>44040.7224652778</v>
      </c>
      <c r="U1081" s="68">
        <v>44070.3333333333</v>
      </c>
      <c r="V1081" s="68">
        <v>0</v>
      </c>
      <c r="W1081" s="0">
        <f>IF(IF(B1081="none",1,IF(B1081="Trialer",1,0))+IF(C1081="Customer",1,IF(C1081="Lost",1,0))=2,1,0)</f>
      </c>
      <c r="X1081" s="0" t="s">
        <v>136</v>
      </c>
      <c r="Y1081" s="0" t="s">
        <v>243</v>
      </c>
      <c r="AV1081" s="68"/>
      <c r="AW1081" s="68"/>
      <c r="AY1081" s="27"/>
      <c r="BD1081" s="68">
        <v>46054.1666666667</v>
      </c>
      <c r="BE1081" s="68">
        <v>46082.1666666667</v>
      </c>
      <c r="BF1081" s="0" t="b">
        <v>0</v>
      </c>
      <c r="BG1081" s="0" t="b">
        <v>0</v>
      </c>
      <c r="BH1081" s="0">
        <v>0</v>
      </c>
      <c r="BI1081" s="0">
        <v>0</v>
      </c>
      <c r="BJ1081" s="0" t="s">
        <v>135</v>
      </c>
    </row>
    <row r="1082">
      <c r="A1082" s="0" t="s">
        <v>1286</v>
      </c>
      <c r="B1082" s="0" t="s">
        <v>134</v>
      </c>
      <c r="C1082" s="0" t="s">
        <v>134</v>
      </c>
      <c r="D1082" s="0" t="s">
        <v>135</v>
      </c>
      <c r="E1082" s="0" t="s">
        <v>2</v>
      </c>
      <c r="F1082" s="0" t="s">
        <v>10</v>
      </c>
      <c r="G1082" s="0" t="s">
        <v>8</v>
      </c>
      <c r="H1082" s="0">
        <v>2012</v>
      </c>
      <c r="I1082" s="0">
        <v>80</v>
      </c>
      <c r="J1082" s="0">
        <v>0</v>
      </c>
      <c r="K1082" s="0">
        <v>1</v>
      </c>
      <c r="L1082" s="0">
        <v>2</v>
      </c>
      <c r="M1082" s="0">
        <v>2</v>
      </c>
      <c r="N1082" s="0">
        <v>0</v>
      </c>
      <c r="O1082" s="0">
        <v>0</v>
      </c>
      <c r="P1082" s="0">
        <v>0</v>
      </c>
      <c r="Q1082" s="0" t="s">
        <v>390</v>
      </c>
      <c r="R1082" s="0" t="b">
        <v>0</v>
      </c>
      <c r="S1082" s="0" t="b">
        <v>1</v>
      </c>
      <c r="T1082" s="68">
        <v>44041.7552430556</v>
      </c>
      <c r="U1082" s="68">
        <v>44071.3333333333</v>
      </c>
      <c r="V1082" s="68">
        <v>0</v>
      </c>
      <c r="W1082" s="0">
        <f>IF(IF(B1082="none",1,IF(B1082="Trialer",1,0))+IF(C1082="Customer",1,IF(C1082="Lost",1,0))=2,1,0)</f>
      </c>
      <c r="X1082" s="0" t="s">
        <v>148</v>
      </c>
      <c r="Y1082" s="0" t="s">
        <v>499</v>
      </c>
      <c r="AV1082" s="68"/>
      <c r="AW1082" s="68"/>
      <c r="AY1082" s="27"/>
      <c r="BD1082" s="68">
        <v>46054.1666666667</v>
      </c>
      <c r="BE1082" s="68">
        <v>46082.1666666667</v>
      </c>
      <c r="BF1082" s="0" t="b">
        <v>0</v>
      </c>
      <c r="BG1082" s="0" t="b">
        <v>0</v>
      </c>
      <c r="BH1082" s="0">
        <v>80</v>
      </c>
      <c r="BI1082" s="0">
        <v>80</v>
      </c>
      <c r="BJ1082" s="0" t="s">
        <v>135</v>
      </c>
    </row>
    <row r="1083">
      <c r="A1083" s="0" t="s">
        <v>1287</v>
      </c>
      <c r="B1083" s="0" t="s">
        <v>134</v>
      </c>
      <c r="C1083" s="0" t="s">
        <v>134</v>
      </c>
      <c r="D1083" s="0" t="s">
        <v>135</v>
      </c>
      <c r="E1083" s="0" t="s">
        <v>3</v>
      </c>
      <c r="F1083" s="0" t="s">
        <v>12</v>
      </c>
      <c r="G1083" s="0" t="s">
        <v>8</v>
      </c>
      <c r="H1083" s="0">
        <v>2011</v>
      </c>
      <c r="I1083" s="0">
        <v>28</v>
      </c>
      <c r="J1083" s="0">
        <v>0</v>
      </c>
      <c r="K1083" s="0">
        <v>1</v>
      </c>
      <c r="L1083" s="0">
        <v>1</v>
      </c>
      <c r="M1083" s="0">
        <v>1</v>
      </c>
      <c r="N1083" s="0">
        <v>0</v>
      </c>
      <c r="O1083" s="0">
        <v>0</v>
      </c>
      <c r="P1083" s="0">
        <v>0</v>
      </c>
      <c r="R1083" s="0" t="b">
        <v>0</v>
      </c>
      <c r="S1083" s="0" t="b">
        <v>1</v>
      </c>
      <c r="T1083" s="68">
        <v>44042.8659259259</v>
      </c>
      <c r="U1083" s="68">
        <v>44075.3333333333</v>
      </c>
      <c r="V1083" s="68">
        <v>0</v>
      </c>
      <c r="W1083" s="0">
        <f>IF(IF(B1083="none",1,IF(B1083="Trialer",1,0))+IF(C1083="Customer",1,IF(C1083="Lost",1,0))=2,1,0)</f>
      </c>
      <c r="X1083" s="0" t="s">
        <v>142</v>
      </c>
      <c r="Y1083" s="0" t="s">
        <v>243</v>
      </c>
      <c r="AV1083" s="68"/>
      <c r="AW1083" s="68"/>
      <c r="AY1083" s="27"/>
      <c r="BD1083" s="68">
        <v>46054.1666666667</v>
      </c>
      <c r="BE1083" s="68">
        <v>46082.1666666667</v>
      </c>
      <c r="BF1083" s="0" t="b">
        <v>0</v>
      </c>
      <c r="BG1083" s="0" t="b">
        <v>0</v>
      </c>
      <c r="BH1083" s="0">
        <v>28</v>
      </c>
      <c r="BI1083" s="0">
        <v>28</v>
      </c>
      <c r="BJ1083" s="0" t="s">
        <v>135</v>
      </c>
    </row>
    <row r="1084">
      <c r="A1084" s="0" t="s">
        <v>1288</v>
      </c>
      <c r="B1084" s="0" t="s">
        <v>134</v>
      </c>
      <c r="C1084" s="0" t="s">
        <v>134</v>
      </c>
      <c r="D1084" s="0" t="s">
        <v>135</v>
      </c>
      <c r="E1084" s="0" t="s">
        <v>3</v>
      </c>
      <c r="F1084" s="0" t="s">
        <v>12</v>
      </c>
      <c r="G1084" s="0" t="s">
        <v>8</v>
      </c>
      <c r="H1084" s="0">
        <v>2010</v>
      </c>
      <c r="I1084" s="0">
        <v>232</v>
      </c>
      <c r="J1084" s="0">
        <v>0</v>
      </c>
      <c r="K1084" s="0">
        <v>1</v>
      </c>
      <c r="L1084" s="0">
        <v>2</v>
      </c>
      <c r="M1084" s="0">
        <v>7</v>
      </c>
      <c r="N1084" s="0">
        <v>0</v>
      </c>
      <c r="O1084" s="0">
        <v>0</v>
      </c>
      <c r="P1084" s="0">
        <v>0</v>
      </c>
      <c r="R1084" s="0" t="b">
        <v>0</v>
      </c>
      <c r="S1084" s="0" t="b">
        <v>1</v>
      </c>
      <c r="T1084" s="68">
        <v>44043.4148032407</v>
      </c>
      <c r="U1084" s="68">
        <v>44077.3333333333</v>
      </c>
      <c r="V1084" s="68">
        <v>0</v>
      </c>
      <c r="W1084" s="0">
        <f>IF(IF(B1084="none",1,IF(B1084="Trialer",1,0))+IF(C1084="Customer",1,IF(C1084="Lost",1,0))=2,1,0)</f>
      </c>
      <c r="X1084" s="0" t="s">
        <v>145</v>
      </c>
      <c r="Y1084" s="0" t="s">
        <v>243</v>
      </c>
      <c r="AV1084" s="68"/>
      <c r="AW1084" s="68"/>
      <c r="AY1084" s="27"/>
      <c r="BD1084" s="68">
        <v>46054.1666666667</v>
      </c>
      <c r="BE1084" s="68">
        <v>46082.1666666667</v>
      </c>
      <c r="BF1084" s="0" t="b">
        <v>0</v>
      </c>
      <c r="BG1084" s="0" t="b">
        <v>0</v>
      </c>
      <c r="BH1084" s="0">
        <v>232</v>
      </c>
      <c r="BI1084" s="0">
        <v>232</v>
      </c>
      <c r="BJ1084" s="0" t="s">
        <v>135</v>
      </c>
    </row>
    <row r="1085">
      <c r="A1085" s="0" t="s">
        <v>1289</v>
      </c>
      <c r="B1085" s="0" t="s">
        <v>134</v>
      </c>
      <c r="C1085" s="0" t="s">
        <v>134</v>
      </c>
      <c r="D1085" s="0" t="s">
        <v>135</v>
      </c>
      <c r="E1085" s="0" t="s">
        <v>2</v>
      </c>
      <c r="F1085" s="0" t="s">
        <v>12</v>
      </c>
      <c r="G1085" s="0" t="s">
        <v>8</v>
      </c>
      <c r="H1085" s="0">
        <v>2008</v>
      </c>
      <c r="I1085" s="0">
        <v>49</v>
      </c>
      <c r="J1085" s="0">
        <v>0</v>
      </c>
      <c r="K1085" s="0">
        <v>1</v>
      </c>
      <c r="L1085" s="0">
        <v>3</v>
      </c>
      <c r="M1085" s="0">
        <v>1</v>
      </c>
      <c r="N1085" s="0">
        <v>0</v>
      </c>
      <c r="O1085" s="0">
        <v>0</v>
      </c>
      <c r="P1085" s="0">
        <v>0</v>
      </c>
      <c r="R1085" s="0" t="b">
        <v>0</v>
      </c>
      <c r="S1085" s="0" t="b">
        <v>1</v>
      </c>
      <c r="T1085" s="68">
        <v>44045.5504282407</v>
      </c>
      <c r="U1085" s="68">
        <v>44075.3333333333</v>
      </c>
      <c r="V1085" s="68">
        <v>0</v>
      </c>
      <c r="W1085" s="0">
        <f>IF(IF(B1085="none",1,IF(B1085="Trialer",1,0))+IF(C1085="Customer",1,IF(C1085="Lost",1,0))=2,1,0)</f>
      </c>
      <c r="X1085" s="0" t="s">
        <v>142</v>
      </c>
      <c r="Y1085" s="0" t="s">
        <v>499</v>
      </c>
      <c r="AV1085" s="68"/>
      <c r="AW1085" s="68"/>
      <c r="AY1085" s="27"/>
      <c r="BD1085" s="68">
        <v>46054.1666666667</v>
      </c>
      <c r="BE1085" s="68">
        <v>46082.1666666667</v>
      </c>
      <c r="BF1085" s="0" t="b">
        <v>0</v>
      </c>
      <c r="BG1085" s="0" t="b">
        <v>0</v>
      </c>
      <c r="BH1085" s="0">
        <v>49</v>
      </c>
      <c r="BI1085" s="0">
        <v>49</v>
      </c>
      <c r="BJ1085" s="0" t="s">
        <v>135</v>
      </c>
    </row>
    <row r="1086">
      <c r="A1086" s="0" t="s">
        <v>1290</v>
      </c>
      <c r="B1086" s="0" t="s">
        <v>134</v>
      </c>
      <c r="C1086" s="0" t="s">
        <v>134</v>
      </c>
      <c r="D1086" s="0" t="s">
        <v>135</v>
      </c>
      <c r="E1086" s="0" t="s">
        <v>3</v>
      </c>
      <c r="F1086" s="0" t="s">
        <v>10</v>
      </c>
      <c r="G1086" s="0" t="s">
        <v>8</v>
      </c>
      <c r="H1086" s="0">
        <v>2006</v>
      </c>
      <c r="I1086" s="0">
        <v>157</v>
      </c>
      <c r="J1086" s="0">
        <v>0</v>
      </c>
      <c r="K1086" s="0">
        <v>1</v>
      </c>
      <c r="L1086" s="0">
        <v>4</v>
      </c>
      <c r="M1086" s="0">
        <v>4</v>
      </c>
      <c r="N1086" s="0">
        <v>0</v>
      </c>
      <c r="O1086" s="0">
        <v>0</v>
      </c>
      <c r="P1086" s="0">
        <v>0</v>
      </c>
      <c r="Q1086" s="0" t="s">
        <v>357</v>
      </c>
      <c r="R1086" s="0" t="b">
        <v>0</v>
      </c>
      <c r="S1086" s="0" t="b">
        <v>1</v>
      </c>
      <c r="T1086" s="68">
        <v>44047.3637268519</v>
      </c>
      <c r="U1086" s="68">
        <v>44085.3333333333</v>
      </c>
      <c r="V1086" s="68">
        <v>0</v>
      </c>
      <c r="W1086" s="0">
        <f>IF(IF(B1086="none",1,IF(B1086="Trialer",1,0))+IF(C1086="Customer",1,IF(C1086="Lost",1,0))=2,1,0)</f>
      </c>
      <c r="X1086" s="0" t="s">
        <v>148</v>
      </c>
      <c r="Y1086" s="0" t="s">
        <v>243</v>
      </c>
      <c r="AV1086" s="68"/>
      <c r="AW1086" s="68"/>
      <c r="AY1086" s="27"/>
      <c r="BD1086" s="68">
        <v>46054.1666666667</v>
      </c>
      <c r="BE1086" s="68">
        <v>46082.1666666667</v>
      </c>
      <c r="BF1086" s="0" t="b">
        <v>0</v>
      </c>
      <c r="BG1086" s="0" t="b">
        <v>0</v>
      </c>
      <c r="BH1086" s="0">
        <v>157</v>
      </c>
      <c r="BI1086" s="0">
        <v>157</v>
      </c>
      <c r="BJ1086" s="0" t="s">
        <v>135</v>
      </c>
    </row>
    <row r="1087">
      <c r="A1087" s="0" t="s">
        <v>1291</v>
      </c>
      <c r="B1087" s="0" t="s">
        <v>134</v>
      </c>
      <c r="C1087" s="0" t="s">
        <v>134</v>
      </c>
      <c r="D1087" s="0" t="s">
        <v>135</v>
      </c>
      <c r="E1087" s="0" t="s">
        <v>3</v>
      </c>
      <c r="F1087" s="0" t="s">
        <v>12</v>
      </c>
      <c r="G1087" s="0" t="s">
        <v>8</v>
      </c>
      <c r="H1087" s="0">
        <v>2005</v>
      </c>
      <c r="I1087" s="0">
        <v>157</v>
      </c>
      <c r="J1087" s="0">
        <v>0</v>
      </c>
      <c r="K1087" s="0">
        <v>1</v>
      </c>
      <c r="L1087" s="0">
        <v>3</v>
      </c>
      <c r="M1087" s="0">
        <v>4</v>
      </c>
      <c r="N1087" s="0">
        <v>0</v>
      </c>
      <c r="O1087" s="0">
        <v>0</v>
      </c>
      <c r="P1087" s="0">
        <v>0</v>
      </c>
      <c r="R1087" s="0" t="b">
        <v>0</v>
      </c>
      <c r="S1087" s="0" t="b">
        <v>1</v>
      </c>
      <c r="T1087" s="68">
        <v>44048.4495601852</v>
      </c>
      <c r="U1087" s="68">
        <v>44078.3333333333</v>
      </c>
      <c r="V1087" s="68">
        <v>0</v>
      </c>
      <c r="W1087" s="0">
        <f>IF(IF(B1087="none",1,IF(B1087="Trialer",1,0))+IF(C1087="Customer",1,IF(C1087="Lost",1,0))=2,1,0)</f>
      </c>
      <c r="X1087" s="0" t="s">
        <v>136</v>
      </c>
      <c r="Y1087" s="0" t="s">
        <v>243</v>
      </c>
      <c r="AV1087" s="68"/>
      <c r="AW1087" s="68"/>
      <c r="AY1087" s="27"/>
      <c r="BD1087" s="68">
        <v>46054.1666666667</v>
      </c>
      <c r="BE1087" s="68">
        <v>46082.1666666667</v>
      </c>
      <c r="BF1087" s="0" t="b">
        <v>0</v>
      </c>
      <c r="BG1087" s="0" t="b">
        <v>0</v>
      </c>
      <c r="BH1087" s="0">
        <v>157</v>
      </c>
      <c r="BI1087" s="0">
        <v>157</v>
      </c>
      <c r="BJ1087" s="0" t="s">
        <v>135</v>
      </c>
    </row>
    <row r="1088">
      <c r="A1088" s="0" t="s">
        <v>1292</v>
      </c>
      <c r="B1088" s="0" t="s">
        <v>134</v>
      </c>
      <c r="C1088" s="0" t="s">
        <v>134</v>
      </c>
      <c r="D1088" s="0" t="s">
        <v>135</v>
      </c>
      <c r="E1088" s="0" t="s">
        <v>3</v>
      </c>
      <c r="F1088" s="0" t="s">
        <v>12</v>
      </c>
      <c r="G1088" s="0" t="s">
        <v>8</v>
      </c>
      <c r="H1088" s="0">
        <v>2004</v>
      </c>
      <c r="I1088" s="0">
        <v>57</v>
      </c>
      <c r="J1088" s="0">
        <v>0</v>
      </c>
      <c r="K1088" s="0">
        <v>1</v>
      </c>
      <c r="L1088" s="0">
        <v>4</v>
      </c>
      <c r="M1088" s="0">
        <v>1</v>
      </c>
      <c r="N1088" s="0">
        <v>0</v>
      </c>
      <c r="O1088" s="0">
        <v>0</v>
      </c>
      <c r="P1088" s="0">
        <v>0</v>
      </c>
      <c r="R1088" s="0" t="b">
        <v>0</v>
      </c>
      <c r="S1088" s="0" t="b">
        <v>1</v>
      </c>
      <c r="T1088" s="68">
        <v>44049.5</v>
      </c>
      <c r="U1088" s="68">
        <v>44080.3333333333</v>
      </c>
      <c r="V1088" s="68">
        <v>0</v>
      </c>
      <c r="W1088" s="0">
        <f>IF(IF(B1088="none",1,IF(B1088="Trialer",1,0))+IF(C1088="Customer",1,IF(C1088="Lost",1,0))=2,1,0)</f>
      </c>
      <c r="X1088" s="0" t="s">
        <v>136</v>
      </c>
      <c r="Y1088" s="0" t="s">
        <v>213</v>
      </c>
      <c r="AV1088" s="68"/>
      <c r="AW1088" s="68"/>
      <c r="AY1088" s="27"/>
      <c r="BD1088" s="68">
        <v>46054.1666666667</v>
      </c>
      <c r="BE1088" s="68">
        <v>46082.1666666667</v>
      </c>
      <c r="BF1088" s="0" t="b">
        <v>0</v>
      </c>
      <c r="BG1088" s="0" t="b">
        <v>0</v>
      </c>
      <c r="BH1088" s="0">
        <v>57</v>
      </c>
      <c r="BI1088" s="0">
        <v>57</v>
      </c>
      <c r="BJ1088" s="0" t="s">
        <v>135</v>
      </c>
    </row>
    <row r="1089">
      <c r="A1089" s="0" t="s">
        <v>1293</v>
      </c>
      <c r="B1089" s="0" t="s">
        <v>134</v>
      </c>
      <c r="C1089" s="0" t="s">
        <v>134</v>
      </c>
      <c r="D1089" s="0" t="s">
        <v>135</v>
      </c>
      <c r="E1089" s="0" t="s">
        <v>2</v>
      </c>
      <c r="F1089" s="0" t="s">
        <v>12</v>
      </c>
      <c r="G1089" s="0" t="s">
        <v>8</v>
      </c>
      <c r="H1089" s="0">
        <v>2004</v>
      </c>
      <c r="I1089" s="0">
        <v>120</v>
      </c>
      <c r="J1089" s="0">
        <v>0</v>
      </c>
      <c r="K1089" s="0">
        <v>1</v>
      </c>
      <c r="L1089" s="0">
        <v>2</v>
      </c>
      <c r="M1089" s="0">
        <v>3</v>
      </c>
      <c r="N1089" s="0">
        <v>0</v>
      </c>
      <c r="O1089" s="0">
        <v>0</v>
      </c>
      <c r="P1089" s="0">
        <v>0</v>
      </c>
      <c r="R1089" s="0" t="b">
        <v>0</v>
      </c>
      <c r="S1089" s="0" t="b">
        <v>1</v>
      </c>
      <c r="T1089" s="68">
        <v>44049.759525463</v>
      </c>
      <c r="U1089" s="68">
        <v>44088.3333333333</v>
      </c>
      <c r="V1089" s="68">
        <v>0</v>
      </c>
      <c r="W1089" s="0">
        <f>IF(IF(B1089="none",1,IF(B1089="Trialer",1,0))+IF(C1089="Customer",1,IF(C1089="Lost",1,0))=2,1,0)</f>
      </c>
      <c r="X1089" s="0" t="s">
        <v>142</v>
      </c>
      <c r="Y1089" s="0" t="s">
        <v>499</v>
      </c>
      <c r="AV1089" s="68"/>
      <c r="AW1089" s="68"/>
      <c r="AY1089" s="27"/>
      <c r="BD1089" s="68">
        <v>46054.1666666667</v>
      </c>
      <c r="BE1089" s="68">
        <v>46082.1666666667</v>
      </c>
      <c r="BF1089" s="0" t="b">
        <v>0</v>
      </c>
      <c r="BG1089" s="0" t="b">
        <v>0</v>
      </c>
      <c r="BH1089" s="0">
        <v>120</v>
      </c>
      <c r="BI1089" s="0">
        <v>120</v>
      </c>
      <c r="BJ1089" s="0" t="s">
        <v>135</v>
      </c>
    </row>
    <row r="1090">
      <c r="A1090" s="0" t="s">
        <v>1294</v>
      </c>
      <c r="B1090" s="0" t="s">
        <v>134</v>
      </c>
      <c r="C1090" s="0" t="s">
        <v>134</v>
      </c>
      <c r="D1090" s="0" t="s">
        <v>135</v>
      </c>
      <c r="E1090" s="0" t="s">
        <v>2</v>
      </c>
      <c r="F1090" s="0" t="s">
        <v>12</v>
      </c>
      <c r="G1090" s="0" t="s">
        <v>8</v>
      </c>
      <c r="H1090" s="0">
        <v>2003</v>
      </c>
      <c r="I1090" s="0">
        <v>0</v>
      </c>
      <c r="J1090" s="0">
        <v>0</v>
      </c>
      <c r="K1090" s="0">
        <v>1</v>
      </c>
      <c r="L1090" s="0">
        <v>3</v>
      </c>
      <c r="M1090" s="0">
        <v>1</v>
      </c>
      <c r="N1090" s="0">
        <v>0</v>
      </c>
      <c r="O1090" s="0">
        <v>0</v>
      </c>
      <c r="P1090" s="0">
        <v>0</v>
      </c>
      <c r="R1090" s="0" t="b">
        <v>0</v>
      </c>
      <c r="S1090" s="0" t="b">
        <v>1</v>
      </c>
      <c r="T1090" s="68">
        <v>44050.6126967593</v>
      </c>
      <c r="U1090" s="68">
        <v>44050.3333333333</v>
      </c>
      <c r="V1090" s="68">
        <v>0</v>
      </c>
      <c r="W1090" s="0">
        <f>IF(IF(B1090="none",1,IF(B1090="Trialer",1,0))+IF(C1090="Customer",1,IF(C1090="Lost",1,0))=2,1,0)</f>
      </c>
      <c r="X1090" s="0" t="s">
        <v>148</v>
      </c>
      <c r="Y1090" s="0" t="s">
        <v>499</v>
      </c>
      <c r="AV1090" s="68"/>
      <c r="AW1090" s="68"/>
      <c r="AY1090" s="27"/>
      <c r="BD1090" s="68">
        <v>46054.1666666667</v>
      </c>
      <c r="BE1090" s="68">
        <v>46082.1666666667</v>
      </c>
      <c r="BF1090" s="0" t="b">
        <v>0</v>
      </c>
      <c r="BG1090" s="0" t="b">
        <v>0</v>
      </c>
      <c r="BH1090" s="0">
        <v>0</v>
      </c>
      <c r="BI1090" s="0">
        <v>0</v>
      </c>
      <c r="BJ1090" s="0" t="s">
        <v>135</v>
      </c>
    </row>
    <row r="1091">
      <c r="A1091" s="0" t="s">
        <v>1295</v>
      </c>
      <c r="B1091" s="0" t="s">
        <v>134</v>
      </c>
      <c r="C1091" s="0" t="s">
        <v>134</v>
      </c>
      <c r="D1091" s="0" t="s">
        <v>230</v>
      </c>
      <c r="E1091" s="0" t="s">
        <v>3</v>
      </c>
      <c r="F1091" s="0" t="s">
        <v>12</v>
      </c>
      <c r="G1091" s="0" t="s">
        <v>8</v>
      </c>
      <c r="H1091" s="0">
        <v>2000</v>
      </c>
      <c r="I1091" s="0">
        <v>50</v>
      </c>
      <c r="J1091" s="0">
        <v>0</v>
      </c>
      <c r="K1091" s="0">
        <v>1</v>
      </c>
      <c r="L1091" s="0">
        <v>1</v>
      </c>
      <c r="M1091" s="0">
        <v>2</v>
      </c>
      <c r="N1091" s="0">
        <v>0</v>
      </c>
      <c r="O1091" s="0">
        <v>0</v>
      </c>
      <c r="P1091" s="0">
        <v>-50</v>
      </c>
      <c r="R1091" s="0" t="b">
        <v>0</v>
      </c>
      <c r="S1091" s="0" t="b">
        <v>1</v>
      </c>
      <c r="T1091" s="68">
        <v>44053.4512152778</v>
      </c>
      <c r="U1091" s="68">
        <v>44083.3333333333</v>
      </c>
      <c r="V1091" s="68">
        <v>0</v>
      </c>
      <c r="W1091" s="0">
        <f>IF(IF(B1091="none",1,IF(B1091="Trialer",1,0))+IF(C1091="Customer",1,IF(C1091="Lost",1,0))=2,1,0)</f>
      </c>
      <c r="X1091" s="0" t="s">
        <v>166</v>
      </c>
      <c r="Y1091" s="0" t="s">
        <v>243</v>
      </c>
      <c r="AV1091" s="68"/>
      <c r="AW1091" s="68"/>
      <c r="AY1091" s="27"/>
      <c r="BD1091" s="68">
        <v>46054.1666666667</v>
      </c>
      <c r="BE1091" s="68">
        <v>46082.1666666667</v>
      </c>
      <c r="BF1091" s="0" t="b">
        <v>0</v>
      </c>
      <c r="BG1091" s="0" t="b">
        <v>0</v>
      </c>
      <c r="BH1091" s="0">
        <v>56</v>
      </c>
      <c r="BI1091" s="0">
        <v>56</v>
      </c>
      <c r="BJ1091" s="0" t="s">
        <v>230</v>
      </c>
    </row>
    <row r="1092">
      <c r="A1092" s="0" t="s">
        <v>1296</v>
      </c>
      <c r="B1092" s="0" t="s">
        <v>134</v>
      </c>
      <c r="C1092" s="0" t="s">
        <v>134</v>
      </c>
      <c r="D1092" s="0" t="s">
        <v>135</v>
      </c>
      <c r="E1092" s="0" t="s">
        <v>3</v>
      </c>
      <c r="F1092" s="0" t="s">
        <v>12</v>
      </c>
      <c r="G1092" s="0" t="s">
        <v>8</v>
      </c>
      <c r="H1092" s="0">
        <v>1998</v>
      </c>
      <c r="I1092" s="0">
        <v>0</v>
      </c>
      <c r="J1092" s="0">
        <v>0</v>
      </c>
      <c r="K1092" s="0">
        <v>1</v>
      </c>
      <c r="L1092" s="0">
        <v>6</v>
      </c>
      <c r="M1092" s="0">
        <v>2</v>
      </c>
      <c r="N1092" s="0">
        <v>0</v>
      </c>
      <c r="O1092" s="0">
        <v>0</v>
      </c>
      <c r="P1092" s="0">
        <v>0</v>
      </c>
      <c r="R1092" s="0" t="b">
        <v>0</v>
      </c>
      <c r="S1092" s="0" t="b">
        <v>1</v>
      </c>
      <c r="T1092" s="68">
        <v>44055.6658333333</v>
      </c>
      <c r="U1092" s="68">
        <v>44057.3333333333</v>
      </c>
      <c r="V1092" s="68">
        <v>0</v>
      </c>
      <c r="W1092" s="0">
        <f>IF(IF(B1092="none",1,IF(B1092="Trialer",1,0))+IF(C1092="Customer",1,IF(C1092="Lost",1,0))=2,1,0)</f>
      </c>
      <c r="X1092" s="0" t="s">
        <v>148</v>
      </c>
      <c r="Y1092" s="0" t="s">
        <v>243</v>
      </c>
      <c r="AV1092" s="68"/>
      <c r="AW1092" s="68"/>
      <c r="AY1092" s="27"/>
      <c r="BD1092" s="68">
        <v>46054.1666666667</v>
      </c>
      <c r="BE1092" s="68">
        <v>46082.1666666667</v>
      </c>
      <c r="BF1092" s="0" t="b">
        <v>0</v>
      </c>
      <c r="BG1092" s="0" t="b">
        <v>0</v>
      </c>
      <c r="BH1092" s="0">
        <v>0</v>
      </c>
      <c r="BI1092" s="0">
        <v>0</v>
      </c>
      <c r="BJ1092" s="0" t="s">
        <v>135</v>
      </c>
    </row>
    <row r="1093">
      <c r="A1093" s="0" t="s">
        <v>1297</v>
      </c>
      <c r="B1093" s="0" t="s">
        <v>134</v>
      </c>
      <c r="C1093" s="0" t="s">
        <v>134</v>
      </c>
      <c r="D1093" s="0" t="s">
        <v>135</v>
      </c>
      <c r="E1093" s="0" t="s">
        <v>2</v>
      </c>
      <c r="F1093" s="0" t="s">
        <v>12</v>
      </c>
      <c r="G1093" s="0" t="s">
        <v>7</v>
      </c>
      <c r="H1093" s="0">
        <v>1997</v>
      </c>
      <c r="I1093" s="0">
        <v>160</v>
      </c>
      <c r="J1093" s="0">
        <v>0</v>
      </c>
      <c r="K1093" s="0">
        <v>1</v>
      </c>
      <c r="L1093" s="0">
        <v>1</v>
      </c>
      <c r="M1093" s="0">
        <v>4</v>
      </c>
      <c r="N1093" s="0">
        <v>0</v>
      </c>
      <c r="O1093" s="0">
        <v>0</v>
      </c>
      <c r="P1093" s="0">
        <v>0</v>
      </c>
      <c r="R1093" s="0" t="b">
        <v>0</v>
      </c>
      <c r="S1093" s="0" t="b">
        <v>1</v>
      </c>
      <c r="T1093" s="68">
        <v>44056.5</v>
      </c>
      <c r="U1093" s="68">
        <v>44056.5</v>
      </c>
      <c r="V1093" s="68">
        <v>0</v>
      </c>
      <c r="W1093" s="0">
        <f>IF(IF(B1093="none",1,IF(B1093="Trialer",1,0))+IF(C1093="Customer",1,IF(C1093="Lost",1,0))=2,1,0)</f>
      </c>
      <c r="X1093" s="0" t="s">
        <v>145</v>
      </c>
      <c r="Y1093" s="0" t="s">
        <v>499</v>
      </c>
      <c r="AV1093" s="68"/>
      <c r="AW1093" s="68"/>
      <c r="AY1093" s="27"/>
      <c r="BD1093" s="68">
        <v>46054.1666666667</v>
      </c>
      <c r="BE1093" s="68">
        <v>46082.1666666667</v>
      </c>
      <c r="BF1093" s="0" t="b">
        <v>0</v>
      </c>
      <c r="BG1093" s="0" t="b">
        <v>0</v>
      </c>
      <c r="BH1093" s="0">
        <v>160</v>
      </c>
      <c r="BI1093" s="0">
        <v>160</v>
      </c>
      <c r="BJ1093" s="0" t="s">
        <v>135</v>
      </c>
    </row>
    <row r="1094">
      <c r="A1094" s="0" t="s">
        <v>1298</v>
      </c>
      <c r="B1094" s="0" t="s">
        <v>134</v>
      </c>
      <c r="C1094" s="0" t="s">
        <v>134</v>
      </c>
      <c r="D1094" s="0" t="s">
        <v>230</v>
      </c>
      <c r="E1094" s="0" t="s">
        <v>3</v>
      </c>
      <c r="F1094" s="0" t="s">
        <v>12</v>
      </c>
      <c r="G1094" s="0" t="s">
        <v>8</v>
      </c>
      <c r="H1094" s="0">
        <v>1995</v>
      </c>
      <c r="I1094" s="0">
        <v>204</v>
      </c>
      <c r="J1094" s="0">
        <v>0</v>
      </c>
      <c r="K1094" s="0">
        <v>1</v>
      </c>
      <c r="L1094" s="0">
        <v>3</v>
      </c>
      <c r="M1094" s="0">
        <v>11</v>
      </c>
      <c r="N1094" s="0">
        <v>0</v>
      </c>
      <c r="O1094" s="0">
        <v>0</v>
      </c>
      <c r="P1094" s="0">
        <v>-204</v>
      </c>
      <c r="R1094" s="0" t="b">
        <v>0</v>
      </c>
      <c r="S1094" s="0" t="b">
        <v>1</v>
      </c>
      <c r="T1094" s="68">
        <v>44058.5294097222</v>
      </c>
      <c r="U1094" s="68">
        <v>44115.3333333333</v>
      </c>
      <c r="V1094" s="68">
        <v>0</v>
      </c>
      <c r="W1094" s="0">
        <f>IF(IF(B1094="none",1,IF(B1094="Trialer",1,0))+IF(C1094="Customer",1,IF(C1094="Lost",1,0))=2,1,0)</f>
      </c>
      <c r="X1094" s="0" t="s">
        <v>148</v>
      </c>
      <c r="Y1094" s="0" t="s">
        <v>243</v>
      </c>
      <c r="AV1094" s="68"/>
      <c r="AW1094" s="68"/>
      <c r="AY1094" s="27"/>
      <c r="BD1094" s="68">
        <v>46054.1666666667</v>
      </c>
      <c r="BE1094" s="68">
        <v>46082.1666666667</v>
      </c>
      <c r="BF1094" s="0" t="b">
        <v>0</v>
      </c>
      <c r="BG1094" s="0" t="b">
        <v>0</v>
      </c>
      <c r="BH1094" s="0">
        <v>239</v>
      </c>
      <c r="BI1094" s="0">
        <v>239</v>
      </c>
      <c r="BJ1094" s="0" t="s">
        <v>230</v>
      </c>
    </row>
    <row r="1095">
      <c r="A1095" s="0" t="s">
        <v>1299</v>
      </c>
      <c r="B1095" s="0" t="s">
        <v>134</v>
      </c>
      <c r="C1095" s="0" t="s">
        <v>134</v>
      </c>
      <c r="D1095" s="0" t="s">
        <v>135</v>
      </c>
      <c r="E1095" s="0" t="s">
        <v>3</v>
      </c>
      <c r="F1095" s="0" t="s">
        <v>10</v>
      </c>
      <c r="G1095" s="0" t="s">
        <v>8</v>
      </c>
      <c r="H1095" s="0">
        <v>1992</v>
      </c>
      <c r="I1095" s="0">
        <v>28</v>
      </c>
      <c r="J1095" s="0">
        <v>0</v>
      </c>
      <c r="K1095" s="0">
        <v>1</v>
      </c>
      <c r="L1095" s="0">
        <v>1</v>
      </c>
      <c r="M1095" s="0">
        <v>1</v>
      </c>
      <c r="N1095" s="0">
        <v>0</v>
      </c>
      <c r="O1095" s="0">
        <v>0</v>
      </c>
      <c r="P1095" s="0">
        <v>0</v>
      </c>
      <c r="Q1095" s="0" t="s">
        <v>618</v>
      </c>
      <c r="R1095" s="0" t="b">
        <v>0</v>
      </c>
      <c r="S1095" s="0" t="b">
        <v>1</v>
      </c>
      <c r="T1095" s="68">
        <v>44061.3122453704</v>
      </c>
      <c r="U1095" s="68">
        <v>44091.3333333333</v>
      </c>
      <c r="V1095" s="68">
        <v>0</v>
      </c>
      <c r="W1095" s="0">
        <f>IF(IF(B1095="none",1,IF(B1095="Trialer",1,0))+IF(C1095="Customer",1,IF(C1095="Lost",1,0))=2,1,0)</f>
      </c>
      <c r="X1095" s="0" t="s">
        <v>148</v>
      </c>
      <c r="Y1095" s="0" t="s">
        <v>243</v>
      </c>
      <c r="AV1095" s="68"/>
      <c r="AW1095" s="68"/>
      <c r="AY1095" s="27"/>
      <c r="BD1095" s="68">
        <v>46054.1666666667</v>
      </c>
      <c r="BE1095" s="68">
        <v>46082.1666666667</v>
      </c>
      <c r="BF1095" s="0" t="b">
        <v>0</v>
      </c>
      <c r="BG1095" s="0" t="b">
        <v>0</v>
      </c>
      <c r="BH1095" s="0">
        <v>28</v>
      </c>
      <c r="BI1095" s="0">
        <v>28</v>
      </c>
      <c r="BJ1095" s="0" t="s">
        <v>135</v>
      </c>
    </row>
    <row r="1096">
      <c r="A1096" s="0" t="s">
        <v>1300</v>
      </c>
      <c r="B1096" s="0" t="s">
        <v>134</v>
      </c>
      <c r="C1096" s="0" t="s">
        <v>134</v>
      </c>
      <c r="D1096" s="0" t="s">
        <v>135</v>
      </c>
      <c r="E1096" s="0" t="s">
        <v>2</v>
      </c>
      <c r="F1096" s="0" t="s">
        <v>12</v>
      </c>
      <c r="G1096" s="0" t="s">
        <v>8</v>
      </c>
      <c r="H1096" s="0">
        <v>1991</v>
      </c>
      <c r="I1096" s="0">
        <v>40</v>
      </c>
      <c r="J1096" s="0">
        <v>0</v>
      </c>
      <c r="K1096" s="0">
        <v>1</v>
      </c>
      <c r="L1096" s="0">
        <v>4</v>
      </c>
      <c r="M1096" s="0">
        <v>3</v>
      </c>
      <c r="N1096" s="0">
        <v>0</v>
      </c>
      <c r="O1096" s="0">
        <v>0</v>
      </c>
      <c r="P1096" s="0">
        <v>0</v>
      </c>
      <c r="R1096" s="0" t="b">
        <v>0</v>
      </c>
      <c r="S1096" s="0" t="b">
        <v>1</v>
      </c>
      <c r="T1096" s="68">
        <v>44062.7576388889</v>
      </c>
      <c r="U1096" s="68">
        <v>44092.3333333333</v>
      </c>
      <c r="V1096" s="68">
        <v>0</v>
      </c>
      <c r="W1096" s="0">
        <f>IF(IF(B1096="none",1,IF(B1096="Trialer",1,0))+IF(C1096="Customer",1,IF(C1096="Lost",1,0))=2,1,0)</f>
      </c>
      <c r="X1096" s="0" t="s">
        <v>148</v>
      </c>
      <c r="Y1096" s="0" t="s">
        <v>499</v>
      </c>
      <c r="AV1096" s="68"/>
      <c r="AW1096" s="68"/>
      <c r="AY1096" s="27"/>
      <c r="BD1096" s="68">
        <v>46054.1666666667</v>
      </c>
      <c r="BE1096" s="68">
        <v>46082.1666666667</v>
      </c>
      <c r="BF1096" s="0" t="b">
        <v>0</v>
      </c>
      <c r="BG1096" s="0" t="b">
        <v>0</v>
      </c>
      <c r="BH1096" s="0">
        <v>40</v>
      </c>
      <c r="BI1096" s="0">
        <v>40</v>
      </c>
      <c r="BJ1096" s="0" t="s">
        <v>135</v>
      </c>
    </row>
    <row r="1097">
      <c r="A1097" s="0" t="s">
        <v>1301</v>
      </c>
      <c r="B1097" s="0" t="s">
        <v>134</v>
      </c>
      <c r="C1097" s="0" t="s">
        <v>134</v>
      </c>
      <c r="D1097" s="0" t="s">
        <v>135</v>
      </c>
      <c r="E1097" s="0" t="s">
        <v>3</v>
      </c>
      <c r="F1097" s="0" t="s">
        <v>12</v>
      </c>
      <c r="G1097" s="0" t="s">
        <v>8</v>
      </c>
      <c r="H1097" s="0">
        <v>1990</v>
      </c>
      <c r="I1097" s="0">
        <v>110</v>
      </c>
      <c r="J1097" s="0">
        <v>0</v>
      </c>
      <c r="K1097" s="0">
        <v>1</v>
      </c>
      <c r="L1097" s="0">
        <v>4</v>
      </c>
      <c r="M1097" s="0">
        <v>2</v>
      </c>
      <c r="N1097" s="0">
        <v>0</v>
      </c>
      <c r="O1097" s="0">
        <v>0</v>
      </c>
      <c r="P1097" s="0">
        <v>0</v>
      </c>
      <c r="R1097" s="0" t="b">
        <v>0</v>
      </c>
      <c r="S1097" s="0" t="b">
        <v>1</v>
      </c>
      <c r="T1097" s="68">
        <v>44063.5102662037</v>
      </c>
      <c r="U1097" s="68">
        <v>44102.3333333333</v>
      </c>
      <c r="V1097" s="68">
        <v>0</v>
      </c>
      <c r="W1097" s="0">
        <f>IF(IF(B1097="none",1,IF(B1097="Trialer",1,0))+IF(C1097="Customer",1,IF(C1097="Lost",1,0))=2,1,0)</f>
      </c>
      <c r="X1097" s="0" t="s">
        <v>142</v>
      </c>
      <c r="Y1097" s="0" t="s">
        <v>243</v>
      </c>
      <c r="AV1097" s="68"/>
      <c r="AW1097" s="68"/>
      <c r="AY1097" s="27"/>
      <c r="BD1097" s="68">
        <v>46054.1666666667</v>
      </c>
      <c r="BE1097" s="68">
        <v>46082.1666666667</v>
      </c>
      <c r="BF1097" s="0" t="b">
        <v>0</v>
      </c>
      <c r="BG1097" s="0" t="b">
        <v>0</v>
      </c>
      <c r="BH1097" s="0">
        <v>110</v>
      </c>
      <c r="BI1097" s="0">
        <v>110</v>
      </c>
      <c r="BJ1097" s="0" t="s">
        <v>135</v>
      </c>
    </row>
    <row r="1098">
      <c r="A1098" s="0" t="s">
        <v>1302</v>
      </c>
      <c r="B1098" s="0" t="s">
        <v>134</v>
      </c>
      <c r="C1098" s="0" t="s">
        <v>134</v>
      </c>
      <c r="D1098" s="0" t="s">
        <v>230</v>
      </c>
      <c r="E1098" s="0" t="s">
        <v>2</v>
      </c>
      <c r="F1098" s="0" t="s">
        <v>10</v>
      </c>
      <c r="G1098" s="0" t="s">
        <v>8</v>
      </c>
      <c r="H1098" s="0">
        <v>1990</v>
      </c>
      <c r="I1098" s="0">
        <v>251</v>
      </c>
      <c r="J1098" s="0">
        <v>0</v>
      </c>
      <c r="K1098" s="0">
        <v>1</v>
      </c>
      <c r="L1098" s="0">
        <v>3</v>
      </c>
      <c r="M1098" s="0">
        <v>7</v>
      </c>
      <c r="N1098" s="0">
        <v>0</v>
      </c>
      <c r="O1098" s="0">
        <v>0</v>
      </c>
      <c r="P1098" s="0">
        <v>0</v>
      </c>
      <c r="Q1098" s="0" t="s">
        <v>498</v>
      </c>
      <c r="R1098" s="0" t="b">
        <v>0</v>
      </c>
      <c r="S1098" s="0" t="b">
        <v>1</v>
      </c>
      <c r="T1098" s="68">
        <v>44063.5458333333</v>
      </c>
      <c r="U1098" s="68">
        <v>44119.3333333333</v>
      </c>
      <c r="V1098" s="68">
        <v>0</v>
      </c>
      <c r="W1098" s="0">
        <f>IF(IF(B1098="none",1,IF(B1098="Trialer",1,0))+IF(C1098="Customer",1,IF(C1098="Lost",1,0))=2,1,0)</f>
      </c>
      <c r="X1098" s="0" t="s">
        <v>136</v>
      </c>
      <c r="Y1098" s="0" t="s">
        <v>499</v>
      </c>
      <c r="AV1098" s="68"/>
      <c r="AW1098" s="68"/>
      <c r="AY1098" s="27"/>
      <c r="BD1098" s="68">
        <v>46054.1666666667</v>
      </c>
      <c r="BE1098" s="68">
        <v>46082.1666666667</v>
      </c>
      <c r="BF1098" s="0" t="b">
        <v>0</v>
      </c>
      <c r="BG1098" s="0" t="b">
        <v>0</v>
      </c>
      <c r="BH1098" s="0">
        <v>280</v>
      </c>
      <c r="BI1098" s="0">
        <v>280</v>
      </c>
      <c r="BJ1098" s="0" t="s">
        <v>230</v>
      </c>
    </row>
    <row r="1099">
      <c r="A1099" s="0" t="s">
        <v>1303</v>
      </c>
      <c r="B1099" s="0" t="s">
        <v>134</v>
      </c>
      <c r="C1099" s="0" t="s">
        <v>134</v>
      </c>
      <c r="D1099" s="0" t="s">
        <v>135</v>
      </c>
      <c r="E1099" s="0" t="s">
        <v>3</v>
      </c>
      <c r="F1099" s="0" t="s">
        <v>12</v>
      </c>
      <c r="G1099" s="0" t="s">
        <v>8</v>
      </c>
      <c r="H1099" s="0">
        <v>1983</v>
      </c>
      <c r="I1099" s="0">
        <v>40</v>
      </c>
      <c r="J1099" s="0">
        <v>0</v>
      </c>
      <c r="K1099" s="0">
        <v>1</v>
      </c>
      <c r="L1099" s="0">
        <v>2</v>
      </c>
      <c r="M1099" s="0">
        <v>1</v>
      </c>
      <c r="N1099" s="0">
        <v>0</v>
      </c>
      <c r="O1099" s="0">
        <v>0</v>
      </c>
      <c r="P1099" s="0">
        <v>0</v>
      </c>
      <c r="R1099" s="0" t="b">
        <v>0</v>
      </c>
      <c r="S1099" s="0" t="b">
        <v>1</v>
      </c>
      <c r="T1099" s="68">
        <v>44070.4790277778</v>
      </c>
      <c r="U1099" s="68">
        <v>44100.3333333333</v>
      </c>
      <c r="V1099" s="68">
        <v>0</v>
      </c>
      <c r="W1099" s="0">
        <f>IF(IF(B1099="none",1,IF(B1099="Trialer",1,0))+IF(C1099="Customer",1,IF(C1099="Lost",1,0))=2,1,0)</f>
      </c>
      <c r="X1099" s="0" t="s">
        <v>166</v>
      </c>
      <c r="Y1099" s="0" t="s">
        <v>243</v>
      </c>
      <c r="AV1099" s="68"/>
      <c r="AW1099" s="68"/>
      <c r="AY1099" s="27"/>
      <c r="BD1099" s="68">
        <v>46054.1666666667</v>
      </c>
      <c r="BE1099" s="68">
        <v>46082.1666666667</v>
      </c>
      <c r="BF1099" s="0" t="b">
        <v>0</v>
      </c>
      <c r="BG1099" s="0" t="b">
        <v>0</v>
      </c>
      <c r="BH1099" s="0">
        <v>40</v>
      </c>
      <c r="BI1099" s="0">
        <v>40</v>
      </c>
      <c r="BJ1099" s="0" t="s">
        <v>135</v>
      </c>
    </row>
    <row r="1100">
      <c r="A1100" s="0" t="s">
        <v>1304</v>
      </c>
      <c r="B1100" s="0" t="s">
        <v>134</v>
      </c>
      <c r="C1100" s="0" t="s">
        <v>134</v>
      </c>
      <c r="D1100" s="0" t="s">
        <v>230</v>
      </c>
      <c r="E1100" s="0" t="s">
        <v>3</v>
      </c>
      <c r="F1100" s="0" t="s">
        <v>12</v>
      </c>
      <c r="G1100" s="0" t="s">
        <v>8</v>
      </c>
      <c r="H1100" s="0">
        <v>1982</v>
      </c>
      <c r="I1100" s="0">
        <v>645</v>
      </c>
      <c r="J1100" s="0">
        <v>0</v>
      </c>
      <c r="K1100" s="0">
        <v>1</v>
      </c>
      <c r="L1100" s="0">
        <v>5</v>
      </c>
      <c r="M1100" s="0">
        <v>7</v>
      </c>
      <c r="N1100" s="0">
        <v>0</v>
      </c>
      <c r="O1100" s="0">
        <v>0</v>
      </c>
      <c r="P1100" s="0">
        <v>-320</v>
      </c>
      <c r="R1100" s="0" t="b">
        <v>0</v>
      </c>
      <c r="S1100" s="0" t="b">
        <v>1</v>
      </c>
      <c r="T1100" s="68">
        <v>44071.5</v>
      </c>
      <c r="U1100" s="68">
        <v>44104.3333333333</v>
      </c>
      <c r="V1100" s="68">
        <v>0</v>
      </c>
      <c r="W1100" s="0">
        <f>IF(IF(B1100="none",1,IF(B1100="Trialer",1,0))+IF(C1100="Customer",1,IF(C1100="Lost",1,0))=2,1,0)</f>
      </c>
      <c r="X1100" s="0" t="s">
        <v>148</v>
      </c>
      <c r="Y1100" s="0" t="s">
        <v>243</v>
      </c>
      <c r="AV1100" s="68"/>
      <c r="AW1100" s="68"/>
      <c r="AY1100" s="27"/>
      <c r="BD1100" s="68">
        <v>46054.1666666667</v>
      </c>
      <c r="BE1100" s="68">
        <v>46082.1666666667</v>
      </c>
      <c r="BF1100" s="0" t="b">
        <v>0</v>
      </c>
      <c r="BG1100" s="0" t="b">
        <v>0</v>
      </c>
      <c r="BH1100" s="0">
        <v>407</v>
      </c>
      <c r="BI1100" s="0">
        <v>407</v>
      </c>
      <c r="BJ1100" s="0" t="s">
        <v>230</v>
      </c>
    </row>
    <row r="1101">
      <c r="A1101" s="0" t="s">
        <v>1305</v>
      </c>
      <c r="B1101" s="0" t="s">
        <v>134</v>
      </c>
      <c r="C1101" s="0" t="s">
        <v>134</v>
      </c>
      <c r="D1101" s="0" t="s">
        <v>135</v>
      </c>
      <c r="E1101" s="0" t="s">
        <v>3</v>
      </c>
      <c r="F1101" s="0" t="s">
        <v>12</v>
      </c>
      <c r="G1101" s="0" t="s">
        <v>8</v>
      </c>
      <c r="H1101" s="0">
        <v>1977</v>
      </c>
      <c r="I1101" s="0">
        <v>0</v>
      </c>
      <c r="J1101" s="0">
        <v>0</v>
      </c>
      <c r="K1101" s="0">
        <v>1</v>
      </c>
      <c r="L1101" s="0">
        <v>6</v>
      </c>
      <c r="M1101" s="0">
        <v>1</v>
      </c>
      <c r="N1101" s="0">
        <v>0</v>
      </c>
      <c r="O1101" s="0">
        <v>0</v>
      </c>
      <c r="P1101" s="0">
        <v>0</v>
      </c>
      <c r="R1101" s="0" t="b">
        <v>0</v>
      </c>
      <c r="S1101" s="0" t="b">
        <v>1</v>
      </c>
      <c r="T1101" s="68">
        <v>44076.4958333333</v>
      </c>
      <c r="U1101" s="68">
        <v>44106.5</v>
      </c>
      <c r="V1101" s="68">
        <v>0</v>
      </c>
      <c r="W1101" s="0">
        <f>IF(IF(B1101="none",1,IF(B1101="Trialer",1,0))+IF(C1101="Customer",1,IF(C1101="Lost",1,0))=2,1,0)</f>
      </c>
      <c r="X1101" s="0" t="s">
        <v>136</v>
      </c>
      <c r="Y1101" s="0" t="s">
        <v>243</v>
      </c>
      <c r="AV1101" s="68"/>
      <c r="AW1101" s="68"/>
      <c r="AY1101" s="27"/>
      <c r="BD1101" s="68">
        <v>46054.1666666667</v>
      </c>
      <c r="BE1101" s="68">
        <v>46082.1666666667</v>
      </c>
      <c r="BF1101" s="0" t="b">
        <v>0</v>
      </c>
      <c r="BG1101" s="0" t="b">
        <v>0</v>
      </c>
      <c r="BH1101" s="0">
        <v>0</v>
      </c>
      <c r="BI1101" s="0">
        <v>0</v>
      </c>
      <c r="BJ1101" s="0" t="s">
        <v>135</v>
      </c>
    </row>
    <row r="1102">
      <c r="A1102" s="0" t="s">
        <v>1306</v>
      </c>
      <c r="B1102" s="0" t="s">
        <v>134</v>
      </c>
      <c r="C1102" s="0" t="s">
        <v>134</v>
      </c>
      <c r="D1102" s="0" t="s">
        <v>135</v>
      </c>
      <c r="E1102" s="0" t="s">
        <v>3</v>
      </c>
      <c r="F1102" s="0" t="s">
        <v>12</v>
      </c>
      <c r="G1102" s="0" t="s">
        <v>8</v>
      </c>
      <c r="H1102" s="0">
        <v>1977</v>
      </c>
      <c r="I1102" s="0">
        <v>49</v>
      </c>
      <c r="J1102" s="0">
        <v>0</v>
      </c>
      <c r="K1102" s="0">
        <v>1</v>
      </c>
      <c r="L1102" s="0">
        <v>3</v>
      </c>
      <c r="M1102" s="0">
        <v>1</v>
      </c>
      <c r="N1102" s="0">
        <v>0</v>
      </c>
      <c r="O1102" s="0">
        <v>0</v>
      </c>
      <c r="P1102" s="0">
        <v>0</v>
      </c>
      <c r="R1102" s="0" t="b">
        <v>0</v>
      </c>
      <c r="S1102" s="0" t="b">
        <v>1</v>
      </c>
      <c r="T1102" s="68">
        <v>44076.8706365741</v>
      </c>
      <c r="U1102" s="68">
        <v>44121.3333333333</v>
      </c>
      <c r="V1102" s="68">
        <v>0</v>
      </c>
      <c r="W1102" s="0">
        <f>IF(IF(B1102="none",1,IF(B1102="Trialer",1,0))+IF(C1102="Customer",1,IF(C1102="Lost",1,0))=2,1,0)</f>
      </c>
      <c r="X1102" s="0" t="s">
        <v>142</v>
      </c>
      <c r="Y1102" s="0" t="s">
        <v>243</v>
      </c>
      <c r="AV1102" s="68"/>
      <c r="AW1102" s="68"/>
      <c r="AY1102" s="27"/>
      <c r="BD1102" s="68">
        <v>46054.1666666667</v>
      </c>
      <c r="BE1102" s="68">
        <v>46082.1666666667</v>
      </c>
      <c r="BF1102" s="0" t="b">
        <v>0</v>
      </c>
      <c r="BG1102" s="0" t="b">
        <v>0</v>
      </c>
      <c r="BH1102" s="0">
        <v>49</v>
      </c>
      <c r="BI1102" s="0">
        <v>49</v>
      </c>
      <c r="BJ1102" s="0" t="s">
        <v>135</v>
      </c>
    </row>
    <row r="1103">
      <c r="A1103" s="0" t="s">
        <v>1307</v>
      </c>
      <c r="B1103" s="0" t="s">
        <v>134</v>
      </c>
      <c r="C1103" s="0" t="s">
        <v>134</v>
      </c>
      <c r="D1103" s="0" t="s">
        <v>230</v>
      </c>
      <c r="E1103" s="0" t="s">
        <v>3</v>
      </c>
      <c r="F1103" s="0" t="s">
        <v>12</v>
      </c>
      <c r="G1103" s="0" t="s">
        <v>8</v>
      </c>
      <c r="H1103" s="0">
        <v>1975</v>
      </c>
      <c r="I1103" s="0">
        <v>235</v>
      </c>
      <c r="J1103" s="0">
        <v>0</v>
      </c>
      <c r="K1103" s="0">
        <v>1</v>
      </c>
      <c r="L1103" s="0">
        <v>2</v>
      </c>
      <c r="M1103" s="0">
        <v>9</v>
      </c>
      <c r="N1103" s="0">
        <v>0</v>
      </c>
      <c r="O1103" s="0">
        <v>0</v>
      </c>
      <c r="P1103" s="0">
        <v>-235</v>
      </c>
      <c r="R1103" s="0" t="b">
        <v>0</v>
      </c>
      <c r="S1103" s="0" t="b">
        <v>1</v>
      </c>
      <c r="T1103" s="68">
        <v>44078.0265740741</v>
      </c>
      <c r="U1103" s="68">
        <v>44108.3333333333</v>
      </c>
      <c r="V1103" s="68">
        <v>0</v>
      </c>
      <c r="W1103" s="0">
        <f>IF(IF(B1103="none",1,IF(B1103="Trialer",1,0))+IF(C1103="Customer",1,IF(C1103="Lost",1,0))=2,1,0)</f>
      </c>
      <c r="X1103" s="0" t="s">
        <v>145</v>
      </c>
      <c r="Y1103" s="0" t="s">
        <v>243</v>
      </c>
      <c r="AV1103" s="68"/>
      <c r="AW1103" s="68"/>
      <c r="AY1103" s="27"/>
      <c r="BD1103" s="68">
        <v>46054.1666666667</v>
      </c>
      <c r="BE1103" s="68">
        <v>46082.1666666667</v>
      </c>
      <c r="BF1103" s="0" t="b">
        <v>0</v>
      </c>
      <c r="BG1103" s="0" t="b">
        <v>0</v>
      </c>
      <c r="BH1103" s="0">
        <v>301</v>
      </c>
      <c r="BI1103" s="0">
        <v>301</v>
      </c>
      <c r="BJ1103" s="0" t="s">
        <v>230</v>
      </c>
    </row>
    <row r="1104">
      <c r="A1104" s="0" t="s">
        <v>1308</v>
      </c>
      <c r="B1104" s="0" t="s">
        <v>134</v>
      </c>
      <c r="C1104" s="0" t="s">
        <v>134</v>
      </c>
      <c r="D1104" s="0" t="s">
        <v>230</v>
      </c>
      <c r="E1104" s="0" t="s">
        <v>3</v>
      </c>
      <c r="F1104" s="0" t="s">
        <v>12</v>
      </c>
      <c r="G1104" s="0" t="s">
        <v>8</v>
      </c>
      <c r="H1104" s="0">
        <v>1974</v>
      </c>
      <c r="I1104" s="0">
        <v>196</v>
      </c>
      <c r="J1104" s="0">
        <v>0</v>
      </c>
      <c r="K1104" s="0">
        <v>1</v>
      </c>
      <c r="L1104" s="0">
        <v>4</v>
      </c>
      <c r="M1104" s="0">
        <v>4</v>
      </c>
      <c r="N1104" s="0">
        <v>0</v>
      </c>
      <c r="O1104" s="0">
        <v>0</v>
      </c>
      <c r="P1104" s="0">
        <v>2156</v>
      </c>
      <c r="R1104" s="0" t="b">
        <v>0</v>
      </c>
      <c r="S1104" s="0" t="b">
        <v>1</v>
      </c>
      <c r="T1104" s="68">
        <v>44079.6957060185</v>
      </c>
      <c r="U1104" s="68">
        <v>44109.3333333333</v>
      </c>
      <c r="V1104" s="68">
        <v>0</v>
      </c>
      <c r="W1104" s="0">
        <f>IF(IF(B1104="none",1,IF(B1104="Trialer",1,0))+IF(C1104="Customer",1,IF(C1104="Lost",1,0))=2,1,0)</f>
      </c>
      <c r="X1104" s="0" t="s">
        <v>153</v>
      </c>
      <c r="Y1104" s="0" t="s">
        <v>243</v>
      </c>
      <c r="AV1104" s="68"/>
      <c r="AW1104" s="68"/>
      <c r="AY1104" s="27"/>
      <c r="BD1104" s="68">
        <v>46054.1666666667</v>
      </c>
      <c r="BE1104" s="68">
        <v>46082.1666666667</v>
      </c>
      <c r="BF1104" s="0" t="b">
        <v>0</v>
      </c>
      <c r="BG1104" s="0" t="b">
        <v>0</v>
      </c>
      <c r="BH1104" s="0">
        <v>171</v>
      </c>
      <c r="BI1104" s="0">
        <v>171</v>
      </c>
      <c r="BJ1104" s="0" t="s">
        <v>230</v>
      </c>
    </row>
    <row r="1105">
      <c r="A1105" s="0" t="s">
        <v>1309</v>
      </c>
      <c r="B1105" s="0" t="s">
        <v>134</v>
      </c>
      <c r="C1105" s="0" t="s">
        <v>134</v>
      </c>
      <c r="D1105" s="0" t="s">
        <v>230</v>
      </c>
      <c r="E1105" s="0" t="s">
        <v>3</v>
      </c>
      <c r="F1105" s="0" t="s">
        <v>12</v>
      </c>
      <c r="G1105" s="0" t="s">
        <v>8</v>
      </c>
      <c r="H1105" s="0">
        <v>1972</v>
      </c>
      <c r="I1105" s="0">
        <v>127</v>
      </c>
      <c r="J1105" s="0">
        <v>0</v>
      </c>
      <c r="K1105" s="0">
        <v>1</v>
      </c>
      <c r="L1105" s="0">
        <v>3</v>
      </c>
      <c r="M1105" s="0">
        <v>4</v>
      </c>
      <c r="N1105" s="0">
        <v>0</v>
      </c>
      <c r="O1105" s="0">
        <v>0</v>
      </c>
      <c r="P1105" s="0">
        <v>-127</v>
      </c>
      <c r="R1105" s="0" t="b">
        <v>0</v>
      </c>
      <c r="S1105" s="0" t="b">
        <v>1</v>
      </c>
      <c r="T1105" s="68">
        <v>44081.7264236111</v>
      </c>
      <c r="U1105" s="68">
        <v>44111.3333333333</v>
      </c>
      <c r="V1105" s="68">
        <v>0</v>
      </c>
      <c r="W1105" s="0">
        <f>IF(IF(B1105="none",1,IF(B1105="Trialer",1,0))+IF(C1105="Customer",1,IF(C1105="Lost",1,0))=2,1,0)</f>
      </c>
      <c r="X1105" s="0" t="s">
        <v>148</v>
      </c>
      <c r="Y1105" s="0" t="s">
        <v>243</v>
      </c>
      <c r="AV1105" s="68"/>
      <c r="AW1105" s="68"/>
      <c r="AY1105" s="27"/>
      <c r="BD1105" s="68">
        <v>46054.1666666667</v>
      </c>
      <c r="BE1105" s="68">
        <v>46082.1666666667</v>
      </c>
      <c r="BF1105" s="0" t="b">
        <v>0</v>
      </c>
      <c r="BG1105" s="0" t="b">
        <v>0</v>
      </c>
      <c r="BH1105" s="0">
        <v>142</v>
      </c>
      <c r="BI1105" s="0">
        <v>142</v>
      </c>
      <c r="BJ1105" s="0" t="s">
        <v>230</v>
      </c>
    </row>
    <row r="1106">
      <c r="A1106" s="0" t="s">
        <v>1310</v>
      </c>
      <c r="B1106" s="0" t="s">
        <v>134</v>
      </c>
      <c r="C1106" s="0" t="s">
        <v>134</v>
      </c>
      <c r="D1106" s="0" t="s">
        <v>135</v>
      </c>
      <c r="E1106" s="0" t="s">
        <v>2</v>
      </c>
      <c r="F1106" s="0" t="s">
        <v>12</v>
      </c>
      <c r="G1106" s="0" t="s">
        <v>7</v>
      </c>
      <c r="H1106" s="0">
        <v>1971</v>
      </c>
      <c r="I1106" s="0">
        <v>40</v>
      </c>
      <c r="J1106" s="0">
        <v>0</v>
      </c>
      <c r="K1106" s="0">
        <v>1</v>
      </c>
      <c r="L1106" s="0">
        <v>1</v>
      </c>
      <c r="M1106" s="0">
        <v>1</v>
      </c>
      <c r="N1106" s="0">
        <v>0</v>
      </c>
      <c r="O1106" s="0">
        <v>0</v>
      </c>
      <c r="P1106" s="0">
        <v>0</v>
      </c>
      <c r="R1106" s="0" t="b">
        <v>0</v>
      </c>
      <c r="S1106" s="0" t="b">
        <v>1</v>
      </c>
      <c r="T1106" s="68">
        <v>44082.5</v>
      </c>
      <c r="U1106" s="68">
        <v>44082.5</v>
      </c>
      <c r="V1106" s="68">
        <v>0</v>
      </c>
      <c r="W1106" s="0">
        <f>IF(IF(B1106="none",1,IF(B1106="Trialer",1,0))+IF(C1106="Customer",1,IF(C1106="Lost",1,0))=2,1,0)</f>
      </c>
      <c r="X1106" s="0" t="s">
        <v>145</v>
      </c>
      <c r="Y1106" s="0" t="s">
        <v>137</v>
      </c>
      <c r="AV1106" s="68"/>
      <c r="AW1106" s="68"/>
      <c r="AY1106" s="27"/>
      <c r="BD1106" s="68">
        <v>46054.1666666667</v>
      </c>
      <c r="BE1106" s="68">
        <v>46082.1666666667</v>
      </c>
      <c r="BF1106" s="0" t="b">
        <v>0</v>
      </c>
      <c r="BG1106" s="0" t="b">
        <v>0</v>
      </c>
      <c r="BH1106" s="0">
        <v>40</v>
      </c>
      <c r="BI1106" s="0">
        <v>40</v>
      </c>
      <c r="BJ1106" s="0" t="s">
        <v>135</v>
      </c>
    </row>
    <row r="1107">
      <c r="A1107" s="0" t="s">
        <v>1311</v>
      </c>
      <c r="B1107" s="0" t="s">
        <v>134</v>
      </c>
      <c r="C1107" s="0" t="s">
        <v>134</v>
      </c>
      <c r="D1107" s="0" t="s">
        <v>135</v>
      </c>
      <c r="E1107" s="0" t="s">
        <v>2</v>
      </c>
      <c r="F1107" s="0" t="s">
        <v>12</v>
      </c>
      <c r="G1107" s="0" t="s">
        <v>8</v>
      </c>
      <c r="H1107" s="0">
        <v>1971</v>
      </c>
      <c r="I1107" s="0">
        <v>243</v>
      </c>
      <c r="J1107" s="0">
        <v>0</v>
      </c>
      <c r="K1107" s="0">
        <v>1</v>
      </c>
      <c r="L1107" s="0">
        <v>4</v>
      </c>
      <c r="M1107" s="0">
        <v>6</v>
      </c>
      <c r="N1107" s="0">
        <v>0</v>
      </c>
      <c r="O1107" s="0">
        <v>0</v>
      </c>
      <c r="P1107" s="0">
        <v>0</v>
      </c>
      <c r="R1107" s="0" t="b">
        <v>0</v>
      </c>
      <c r="S1107" s="0" t="b">
        <v>1</v>
      </c>
      <c r="T1107" s="68">
        <v>44082.7080092593</v>
      </c>
      <c r="U1107" s="68">
        <v>44112.3333333333</v>
      </c>
      <c r="V1107" s="68">
        <v>0</v>
      </c>
      <c r="W1107" s="0">
        <f>IF(IF(B1107="none",1,IF(B1107="Trialer",1,0))+IF(C1107="Customer",1,IF(C1107="Lost",1,0))=2,1,0)</f>
      </c>
      <c r="X1107" s="0" t="s">
        <v>136</v>
      </c>
      <c r="Y1107" s="0" t="s">
        <v>499</v>
      </c>
      <c r="AV1107" s="68"/>
      <c r="AW1107" s="68"/>
      <c r="AY1107" s="27"/>
      <c r="BD1107" s="68">
        <v>46054.1666666667</v>
      </c>
      <c r="BE1107" s="68">
        <v>46082.1666666667</v>
      </c>
      <c r="BF1107" s="0" t="b">
        <v>0</v>
      </c>
      <c r="BG1107" s="0" t="b">
        <v>0</v>
      </c>
      <c r="BH1107" s="0">
        <v>243</v>
      </c>
      <c r="BI1107" s="0">
        <v>243</v>
      </c>
      <c r="BJ1107" s="0" t="s">
        <v>135</v>
      </c>
    </row>
    <row r="1108">
      <c r="A1108" s="0" t="s">
        <v>1312</v>
      </c>
      <c r="B1108" s="0" t="s">
        <v>134</v>
      </c>
      <c r="C1108" s="0" t="s">
        <v>134</v>
      </c>
      <c r="D1108" s="0" t="s">
        <v>135</v>
      </c>
      <c r="E1108" s="0" t="s">
        <v>2</v>
      </c>
      <c r="F1108" s="0" t="s">
        <v>12</v>
      </c>
      <c r="G1108" s="0" t="s">
        <v>7</v>
      </c>
      <c r="H1108" s="0">
        <v>1970</v>
      </c>
      <c r="I1108" s="0">
        <v>40</v>
      </c>
      <c r="J1108" s="0">
        <v>0</v>
      </c>
      <c r="K1108" s="0">
        <v>1</v>
      </c>
      <c r="L1108" s="0">
        <v>1</v>
      </c>
      <c r="M1108" s="0">
        <v>1</v>
      </c>
      <c r="N1108" s="0">
        <v>0</v>
      </c>
      <c r="O1108" s="0">
        <v>0</v>
      </c>
      <c r="P1108" s="0">
        <v>0</v>
      </c>
      <c r="R1108" s="0" t="b">
        <v>0</v>
      </c>
      <c r="S1108" s="0" t="b">
        <v>1</v>
      </c>
      <c r="T1108" s="68">
        <v>44083.5</v>
      </c>
      <c r="U1108" s="68">
        <v>44083.5</v>
      </c>
      <c r="V1108" s="68">
        <v>0</v>
      </c>
      <c r="W1108" s="0">
        <f>IF(IF(B1108="none",1,IF(B1108="Trialer",1,0))+IF(C1108="Customer",1,IF(C1108="Lost",1,0))=2,1,0)</f>
      </c>
      <c r="X1108" s="0" t="s">
        <v>145</v>
      </c>
      <c r="Y1108" s="0" t="s">
        <v>137</v>
      </c>
      <c r="AV1108" s="68"/>
      <c r="AW1108" s="68"/>
      <c r="AY1108" s="27"/>
      <c r="BD1108" s="68">
        <v>46054.1666666667</v>
      </c>
      <c r="BE1108" s="68">
        <v>46082.1666666667</v>
      </c>
      <c r="BF1108" s="0" t="b">
        <v>0</v>
      </c>
      <c r="BG1108" s="0" t="b">
        <v>0</v>
      </c>
      <c r="BH1108" s="0">
        <v>40</v>
      </c>
      <c r="BI1108" s="0">
        <v>40</v>
      </c>
      <c r="BJ1108" s="0" t="s">
        <v>135</v>
      </c>
    </row>
    <row r="1109">
      <c r="A1109" s="0" t="s">
        <v>1313</v>
      </c>
      <c r="B1109" s="0" t="s">
        <v>134</v>
      </c>
      <c r="C1109" s="0" t="s">
        <v>134</v>
      </c>
      <c r="D1109" s="0" t="s">
        <v>230</v>
      </c>
      <c r="E1109" s="0" t="s">
        <v>2</v>
      </c>
      <c r="F1109" s="0" t="s">
        <v>12</v>
      </c>
      <c r="G1109" s="0" t="s">
        <v>8</v>
      </c>
      <c r="H1109" s="0">
        <v>1967</v>
      </c>
      <c r="I1109" s="0">
        <v>187</v>
      </c>
      <c r="J1109" s="0">
        <v>0</v>
      </c>
      <c r="K1109" s="0">
        <v>1</v>
      </c>
      <c r="L1109" s="0">
        <v>3</v>
      </c>
      <c r="M1109" s="0">
        <v>5</v>
      </c>
      <c r="N1109" s="0">
        <v>0</v>
      </c>
      <c r="O1109" s="0">
        <v>0</v>
      </c>
      <c r="P1109" s="0">
        <v>-187</v>
      </c>
      <c r="R1109" s="0" t="b">
        <v>0</v>
      </c>
      <c r="S1109" s="0" t="b">
        <v>1</v>
      </c>
      <c r="T1109" s="68">
        <v>44086.5044560185</v>
      </c>
      <c r="U1109" s="68">
        <v>44116.3333333333</v>
      </c>
      <c r="V1109" s="68">
        <v>0</v>
      </c>
      <c r="W1109" s="0">
        <f>IF(IF(B1109="none",1,IF(B1109="Trialer",1,0))+IF(C1109="Customer",1,IF(C1109="Lost",1,0))=2,1,0)</f>
      </c>
      <c r="X1109" s="0" t="s">
        <v>136</v>
      </c>
      <c r="Y1109" s="0" t="s">
        <v>499</v>
      </c>
      <c r="AV1109" s="68"/>
      <c r="AW1109" s="68"/>
      <c r="AY1109" s="27"/>
      <c r="BD1109" s="68">
        <v>46054.1666666667</v>
      </c>
      <c r="BE1109" s="68">
        <v>46082.1666666667</v>
      </c>
      <c r="BF1109" s="0" t="b">
        <v>0</v>
      </c>
      <c r="BG1109" s="0" t="b">
        <v>0</v>
      </c>
      <c r="BH1109" s="0">
        <v>209</v>
      </c>
      <c r="BI1109" s="0">
        <v>209</v>
      </c>
      <c r="BJ1109" s="0" t="s">
        <v>230</v>
      </c>
    </row>
    <row r="1110">
      <c r="A1110" s="0" t="s">
        <v>1314</v>
      </c>
      <c r="B1110" s="0" t="s">
        <v>134</v>
      </c>
      <c r="C1110" s="0" t="s">
        <v>134</v>
      </c>
      <c r="D1110" s="0" t="s">
        <v>135</v>
      </c>
      <c r="E1110" s="0" t="s">
        <v>2</v>
      </c>
      <c r="F1110" s="0" t="s">
        <v>12</v>
      </c>
      <c r="G1110" s="0" t="s">
        <v>8</v>
      </c>
      <c r="H1110" s="0">
        <v>1964</v>
      </c>
      <c r="I1110" s="0">
        <v>80</v>
      </c>
      <c r="J1110" s="0">
        <v>0</v>
      </c>
      <c r="K1110" s="0">
        <v>1</v>
      </c>
      <c r="L1110" s="0">
        <v>2</v>
      </c>
      <c r="M1110" s="0">
        <v>2</v>
      </c>
      <c r="N1110" s="0">
        <v>0</v>
      </c>
      <c r="O1110" s="0">
        <v>0</v>
      </c>
      <c r="P1110" s="0">
        <v>0</v>
      </c>
      <c r="R1110" s="0" t="b">
        <v>0</v>
      </c>
      <c r="S1110" s="0" t="b">
        <v>1</v>
      </c>
      <c r="T1110" s="68">
        <v>44089.9156134259</v>
      </c>
      <c r="U1110" s="68">
        <v>44131.3333333333</v>
      </c>
      <c r="V1110" s="68">
        <v>0</v>
      </c>
      <c r="W1110" s="0">
        <f>IF(IF(B1110="none",1,IF(B1110="Trialer",1,0))+IF(C1110="Customer",1,IF(C1110="Lost",1,0))=2,1,0)</f>
      </c>
      <c r="X1110" s="0" t="s">
        <v>142</v>
      </c>
      <c r="Y1110" s="0" t="s">
        <v>499</v>
      </c>
      <c r="AV1110" s="68"/>
      <c r="AW1110" s="68"/>
      <c r="AY1110" s="27"/>
      <c r="BD1110" s="68">
        <v>46054.1666666667</v>
      </c>
      <c r="BE1110" s="68">
        <v>46082.1666666667</v>
      </c>
      <c r="BF1110" s="0" t="b">
        <v>0</v>
      </c>
      <c r="BG1110" s="0" t="b">
        <v>0</v>
      </c>
      <c r="BH1110" s="0">
        <v>80</v>
      </c>
      <c r="BI1110" s="0">
        <v>80</v>
      </c>
      <c r="BJ1110" s="0" t="s">
        <v>135</v>
      </c>
    </row>
    <row r="1111">
      <c r="A1111" s="0" t="s">
        <v>1315</v>
      </c>
      <c r="B1111" s="0" t="s">
        <v>134</v>
      </c>
      <c r="C1111" s="0" t="s">
        <v>134</v>
      </c>
      <c r="D1111" s="0" t="s">
        <v>135</v>
      </c>
      <c r="E1111" s="0" t="s">
        <v>3</v>
      </c>
      <c r="F1111" s="0" t="s">
        <v>12</v>
      </c>
      <c r="G1111" s="0" t="s">
        <v>8</v>
      </c>
      <c r="H1111" s="0">
        <v>1963</v>
      </c>
      <c r="I1111" s="0">
        <v>567</v>
      </c>
      <c r="J1111" s="0">
        <v>0</v>
      </c>
      <c r="K1111" s="0">
        <v>1</v>
      </c>
      <c r="L1111" s="0">
        <v>5</v>
      </c>
      <c r="M1111" s="0">
        <v>9</v>
      </c>
      <c r="N1111" s="0">
        <v>0</v>
      </c>
      <c r="O1111" s="0">
        <v>0</v>
      </c>
      <c r="P1111" s="0">
        <v>0</v>
      </c>
      <c r="R1111" s="0" t="b">
        <v>0</v>
      </c>
      <c r="S1111" s="0" t="b">
        <v>1</v>
      </c>
      <c r="T1111" s="68">
        <v>44090.6835532407</v>
      </c>
      <c r="U1111" s="68">
        <v>44134.3333333333</v>
      </c>
      <c r="V1111" s="68">
        <v>0</v>
      </c>
      <c r="W1111" s="0">
        <f>IF(IF(B1111="none",1,IF(B1111="Trialer",1,0))+IF(C1111="Customer",1,IF(C1111="Lost",1,0))=2,1,0)</f>
      </c>
      <c r="X1111" s="0" t="s">
        <v>148</v>
      </c>
      <c r="Y1111" s="0" t="s">
        <v>243</v>
      </c>
      <c r="AV1111" s="68"/>
      <c r="AW1111" s="68"/>
      <c r="AY1111" s="27"/>
      <c r="BD1111" s="68">
        <v>46054.1666666667</v>
      </c>
      <c r="BE1111" s="68">
        <v>46082.1666666667</v>
      </c>
      <c r="BF1111" s="0" t="b">
        <v>0</v>
      </c>
      <c r="BG1111" s="0" t="b">
        <v>0</v>
      </c>
      <c r="BH1111" s="0">
        <v>567</v>
      </c>
      <c r="BI1111" s="0">
        <v>567</v>
      </c>
      <c r="BJ1111" s="0" t="s">
        <v>135</v>
      </c>
    </row>
    <row r="1112">
      <c r="A1112" s="0" t="s">
        <v>1316</v>
      </c>
      <c r="B1112" s="0" t="s">
        <v>134</v>
      </c>
      <c r="C1112" s="0" t="s">
        <v>134</v>
      </c>
      <c r="D1112" s="0" t="s">
        <v>135</v>
      </c>
      <c r="E1112" s="0" t="s">
        <v>2</v>
      </c>
      <c r="F1112" s="0" t="s">
        <v>10</v>
      </c>
      <c r="G1112" s="0" t="s">
        <v>8</v>
      </c>
      <c r="H1112" s="0">
        <v>1958</v>
      </c>
      <c r="I1112" s="0">
        <v>1421</v>
      </c>
      <c r="J1112" s="0">
        <v>0</v>
      </c>
      <c r="K1112" s="0">
        <v>1</v>
      </c>
      <c r="L1112" s="0">
        <v>3</v>
      </c>
      <c r="M1112" s="0">
        <v>29</v>
      </c>
      <c r="N1112" s="0">
        <v>0</v>
      </c>
      <c r="O1112" s="0">
        <v>0</v>
      </c>
      <c r="P1112" s="0">
        <v>0</v>
      </c>
      <c r="Q1112" s="0" t="s">
        <v>294</v>
      </c>
      <c r="R1112" s="0" t="b">
        <v>0</v>
      </c>
      <c r="S1112" s="0" t="b">
        <v>1</v>
      </c>
      <c r="T1112" s="68">
        <v>44095.3535416667</v>
      </c>
      <c r="U1112" s="68">
        <v>44125.3333333333</v>
      </c>
      <c r="V1112" s="68">
        <v>0</v>
      </c>
      <c r="W1112" s="0">
        <f>IF(IF(B1112="none",1,IF(B1112="Trialer",1,0))+IF(C1112="Customer",1,IF(C1112="Lost",1,0))=2,1,0)</f>
      </c>
      <c r="X1112" s="0" t="s">
        <v>148</v>
      </c>
      <c r="Y1112" s="0" t="s">
        <v>499</v>
      </c>
      <c r="AV1112" s="68"/>
      <c r="AW1112" s="68"/>
      <c r="AY1112" s="27"/>
      <c r="BD1112" s="68">
        <v>46054.1666666667</v>
      </c>
      <c r="BE1112" s="68">
        <v>46082.1666666667</v>
      </c>
      <c r="BF1112" s="0" t="b">
        <v>0</v>
      </c>
      <c r="BG1112" s="0" t="b">
        <v>0</v>
      </c>
      <c r="BH1112" s="0">
        <v>1421</v>
      </c>
      <c r="BI1112" s="0">
        <v>1421</v>
      </c>
      <c r="BJ1112" s="0" t="s">
        <v>135</v>
      </c>
    </row>
    <row r="1113">
      <c r="A1113" s="0" t="s">
        <v>1317</v>
      </c>
      <c r="B1113" s="0" t="s">
        <v>134</v>
      </c>
      <c r="C1113" s="0" t="s">
        <v>134</v>
      </c>
      <c r="D1113" s="0" t="s">
        <v>230</v>
      </c>
      <c r="E1113" s="0" t="s">
        <v>3</v>
      </c>
      <c r="F1113" s="0" t="s">
        <v>12</v>
      </c>
      <c r="G1113" s="0" t="s">
        <v>8</v>
      </c>
      <c r="H1113" s="0">
        <v>1958</v>
      </c>
      <c r="I1113" s="0">
        <v>44</v>
      </c>
      <c r="J1113" s="0">
        <v>0</v>
      </c>
      <c r="K1113" s="0">
        <v>1</v>
      </c>
      <c r="L1113" s="0">
        <v>3</v>
      </c>
      <c r="M1113" s="0">
        <v>1</v>
      </c>
      <c r="N1113" s="0">
        <v>0</v>
      </c>
      <c r="O1113" s="0">
        <v>0</v>
      </c>
      <c r="P1113" s="0">
        <v>-44</v>
      </c>
      <c r="R1113" s="0" t="b">
        <v>0</v>
      </c>
      <c r="S1113" s="0" t="b">
        <v>1</v>
      </c>
      <c r="T1113" s="68">
        <v>44095.4474305556</v>
      </c>
      <c r="U1113" s="68">
        <v>44125.3333333333</v>
      </c>
      <c r="V1113" s="68">
        <v>0</v>
      </c>
      <c r="W1113" s="0">
        <f>IF(IF(B1113="none",1,IF(B1113="Trialer",1,0))+IF(C1113="Customer",1,IF(C1113="Lost",1,0))=2,1,0)</f>
      </c>
      <c r="X1113" s="0" t="s">
        <v>166</v>
      </c>
      <c r="Y1113" s="0" t="s">
        <v>243</v>
      </c>
      <c r="AV1113" s="68"/>
      <c r="AW1113" s="68"/>
      <c r="AY1113" s="27"/>
      <c r="BD1113" s="68">
        <v>46054.1666666667</v>
      </c>
      <c r="BE1113" s="68">
        <v>46082.1666666667</v>
      </c>
      <c r="BF1113" s="0" t="b">
        <v>0</v>
      </c>
      <c r="BG1113" s="0" t="b">
        <v>0</v>
      </c>
      <c r="BH1113" s="0">
        <v>49</v>
      </c>
      <c r="BI1113" s="0">
        <v>49</v>
      </c>
      <c r="BJ1113" s="0" t="s">
        <v>230</v>
      </c>
    </row>
    <row r="1114">
      <c r="A1114" s="0" t="s">
        <v>1318</v>
      </c>
      <c r="B1114" s="0" t="s">
        <v>134</v>
      </c>
      <c r="C1114" s="0" t="s">
        <v>134</v>
      </c>
      <c r="D1114" s="0" t="s">
        <v>230</v>
      </c>
      <c r="E1114" s="0" t="s">
        <v>2</v>
      </c>
      <c r="F1114" s="0" t="s">
        <v>12</v>
      </c>
      <c r="G1114" s="0" t="s">
        <v>8</v>
      </c>
      <c r="H1114" s="0">
        <v>1958</v>
      </c>
      <c r="I1114" s="0">
        <v>220</v>
      </c>
      <c r="J1114" s="0">
        <v>0</v>
      </c>
      <c r="K1114" s="0">
        <v>1</v>
      </c>
      <c r="L1114" s="0">
        <v>3</v>
      </c>
      <c r="M1114" s="0">
        <v>5</v>
      </c>
      <c r="N1114" s="0">
        <v>0</v>
      </c>
      <c r="O1114" s="0">
        <v>0</v>
      </c>
      <c r="P1114" s="0">
        <v>-220</v>
      </c>
      <c r="R1114" s="0" t="b">
        <v>0</v>
      </c>
      <c r="S1114" s="0" t="b">
        <v>1</v>
      </c>
      <c r="T1114" s="68">
        <v>44095.6280555556</v>
      </c>
      <c r="U1114" s="68">
        <v>44096.3333333333</v>
      </c>
      <c r="V1114" s="68">
        <v>0</v>
      </c>
      <c r="W1114" s="0">
        <f>IF(IF(B1114="none",1,IF(B1114="Trialer",1,0))+IF(C1114="Customer",1,IF(C1114="Lost",1,0))=2,1,0)</f>
      </c>
      <c r="X1114" s="0" t="s">
        <v>148</v>
      </c>
      <c r="Y1114" s="0" t="s">
        <v>499</v>
      </c>
      <c r="AV1114" s="68"/>
      <c r="AW1114" s="68"/>
      <c r="AY1114" s="27"/>
      <c r="BD1114" s="68">
        <v>46054.1666666667</v>
      </c>
      <c r="BE1114" s="68">
        <v>46082.1666666667</v>
      </c>
      <c r="BF1114" s="0" t="b">
        <v>0</v>
      </c>
      <c r="BG1114" s="0" t="b">
        <v>0</v>
      </c>
      <c r="BH1114" s="0">
        <v>245</v>
      </c>
      <c r="BI1114" s="0">
        <v>245</v>
      </c>
      <c r="BJ1114" s="0" t="s">
        <v>230</v>
      </c>
    </row>
    <row r="1115">
      <c r="A1115" s="0" t="s">
        <v>1319</v>
      </c>
      <c r="B1115" s="0" t="s">
        <v>134</v>
      </c>
      <c r="C1115" s="0" t="s">
        <v>134</v>
      </c>
      <c r="D1115" s="0" t="s">
        <v>135</v>
      </c>
      <c r="E1115" s="0" t="s">
        <v>3</v>
      </c>
      <c r="F1115" s="0" t="s">
        <v>12</v>
      </c>
      <c r="G1115" s="0" t="s">
        <v>8</v>
      </c>
      <c r="H1115" s="0">
        <v>1957</v>
      </c>
      <c r="I1115" s="0">
        <v>0</v>
      </c>
      <c r="J1115" s="0">
        <v>0</v>
      </c>
      <c r="K1115" s="0">
        <v>1</v>
      </c>
      <c r="L1115" s="0">
        <v>3</v>
      </c>
      <c r="M1115" s="0">
        <v>1</v>
      </c>
      <c r="N1115" s="0">
        <v>0</v>
      </c>
      <c r="O1115" s="0">
        <v>0</v>
      </c>
      <c r="P1115" s="0">
        <v>0</v>
      </c>
      <c r="R1115" s="0" t="b">
        <v>0</v>
      </c>
      <c r="S1115" s="0" t="b">
        <v>1</v>
      </c>
      <c r="T1115" s="68">
        <v>44096.1758564815</v>
      </c>
      <c r="U1115" s="68">
        <v>44102.3333333333</v>
      </c>
      <c r="V1115" s="68">
        <v>0</v>
      </c>
      <c r="W1115" s="0">
        <f>IF(IF(B1115="none",1,IF(B1115="Trialer",1,0))+IF(C1115="Customer",1,IF(C1115="Lost",1,0))=2,1,0)</f>
      </c>
      <c r="X1115" s="0" t="s">
        <v>148</v>
      </c>
      <c r="Y1115" s="0" t="s">
        <v>243</v>
      </c>
      <c r="AV1115" s="68"/>
      <c r="AW1115" s="68"/>
      <c r="AY1115" s="27"/>
      <c r="BD1115" s="68">
        <v>46054.1666666667</v>
      </c>
      <c r="BE1115" s="68">
        <v>46082.1666666667</v>
      </c>
      <c r="BF1115" s="0" t="b">
        <v>0</v>
      </c>
      <c r="BG1115" s="0" t="b">
        <v>0</v>
      </c>
      <c r="BH1115" s="0">
        <v>0</v>
      </c>
      <c r="BI1115" s="0">
        <v>0</v>
      </c>
      <c r="BJ1115" s="0" t="s">
        <v>135</v>
      </c>
    </row>
    <row r="1116">
      <c r="A1116" s="0" t="s">
        <v>1320</v>
      </c>
      <c r="B1116" s="0" t="s">
        <v>134</v>
      </c>
      <c r="C1116" s="0" t="s">
        <v>134</v>
      </c>
      <c r="D1116" s="0" t="s">
        <v>135</v>
      </c>
      <c r="E1116" s="0" t="s">
        <v>3</v>
      </c>
      <c r="F1116" s="0" t="s">
        <v>12</v>
      </c>
      <c r="G1116" s="0" t="s">
        <v>8</v>
      </c>
      <c r="H1116" s="0">
        <v>1957</v>
      </c>
      <c r="I1116" s="0">
        <v>0</v>
      </c>
      <c r="J1116" s="0">
        <v>0</v>
      </c>
      <c r="K1116" s="0">
        <v>1</v>
      </c>
      <c r="L1116" s="0">
        <v>3</v>
      </c>
      <c r="M1116" s="0">
        <v>1</v>
      </c>
      <c r="N1116" s="0">
        <v>0</v>
      </c>
      <c r="O1116" s="0">
        <v>0</v>
      </c>
      <c r="P1116" s="0">
        <v>0</v>
      </c>
      <c r="R1116" s="0" t="b">
        <v>0</v>
      </c>
      <c r="S1116" s="0" t="b">
        <v>1</v>
      </c>
      <c r="T1116" s="68">
        <v>44096.4840277778</v>
      </c>
      <c r="U1116" s="68">
        <v>44096.5</v>
      </c>
      <c r="V1116" s="68">
        <v>0</v>
      </c>
      <c r="W1116" s="0">
        <f>IF(IF(B1116="none",1,IF(B1116="Trialer",1,0))+IF(C1116="Customer",1,IF(C1116="Lost",1,0))=2,1,0)</f>
      </c>
      <c r="X1116" s="0" t="s">
        <v>148</v>
      </c>
      <c r="Y1116" s="0" t="s">
        <v>243</v>
      </c>
      <c r="AV1116" s="68"/>
      <c r="AW1116" s="68"/>
      <c r="AY1116" s="27"/>
      <c r="BD1116" s="68">
        <v>46054.1666666667</v>
      </c>
      <c r="BE1116" s="68">
        <v>46082.1666666667</v>
      </c>
      <c r="BF1116" s="0" t="b">
        <v>0</v>
      </c>
      <c r="BG1116" s="0" t="b">
        <v>0</v>
      </c>
      <c r="BH1116" s="0">
        <v>0</v>
      </c>
      <c r="BI1116" s="0">
        <v>0</v>
      </c>
      <c r="BJ1116" s="0" t="s">
        <v>135</v>
      </c>
    </row>
    <row r="1117">
      <c r="A1117" s="0" t="s">
        <v>1321</v>
      </c>
      <c r="B1117" s="0" t="s">
        <v>134</v>
      </c>
      <c r="C1117" s="0" t="s">
        <v>134</v>
      </c>
      <c r="D1117" s="0" t="s">
        <v>135</v>
      </c>
      <c r="E1117" s="0" t="s">
        <v>3</v>
      </c>
      <c r="F1117" s="0" t="s">
        <v>12</v>
      </c>
      <c r="G1117" s="0" t="s">
        <v>8</v>
      </c>
      <c r="H1117" s="0">
        <v>1957</v>
      </c>
      <c r="I1117" s="0">
        <v>0</v>
      </c>
      <c r="J1117" s="0">
        <v>0</v>
      </c>
      <c r="K1117" s="0">
        <v>1</v>
      </c>
      <c r="L1117" s="0">
        <v>1</v>
      </c>
      <c r="M1117" s="0">
        <v>1</v>
      </c>
      <c r="N1117" s="0">
        <v>0</v>
      </c>
      <c r="O1117" s="0">
        <v>0</v>
      </c>
      <c r="P1117" s="0">
        <v>0</v>
      </c>
      <c r="R1117" s="0" t="b">
        <v>0</v>
      </c>
      <c r="S1117" s="0" t="b">
        <v>1</v>
      </c>
      <c r="T1117" s="68">
        <v>44096.5095023148</v>
      </c>
      <c r="U1117" s="68">
        <v>44105.3333333333</v>
      </c>
      <c r="V1117" s="68">
        <v>0</v>
      </c>
      <c r="W1117" s="0">
        <f>IF(IF(B1117="none",1,IF(B1117="Trialer",1,0))+IF(C1117="Customer",1,IF(C1117="Lost",1,0))=2,1,0)</f>
      </c>
      <c r="X1117" s="0" t="s">
        <v>148</v>
      </c>
      <c r="Y1117" s="0" t="s">
        <v>243</v>
      </c>
      <c r="AV1117" s="68"/>
      <c r="AW1117" s="68"/>
      <c r="AY1117" s="27"/>
      <c r="BD1117" s="68">
        <v>46054.1666666667</v>
      </c>
      <c r="BE1117" s="68">
        <v>46082.1666666667</v>
      </c>
      <c r="BF1117" s="0" t="b">
        <v>0</v>
      </c>
      <c r="BG1117" s="0" t="b">
        <v>0</v>
      </c>
      <c r="BH1117" s="0">
        <v>0</v>
      </c>
      <c r="BI1117" s="0">
        <v>0</v>
      </c>
      <c r="BJ1117" s="0" t="s">
        <v>135</v>
      </c>
    </row>
    <row r="1118">
      <c r="A1118" s="0" t="s">
        <v>1322</v>
      </c>
      <c r="B1118" s="0" t="s">
        <v>134</v>
      </c>
      <c r="C1118" s="0" t="s">
        <v>134</v>
      </c>
      <c r="D1118" s="0" t="s">
        <v>135</v>
      </c>
      <c r="E1118" s="0" t="s">
        <v>3</v>
      </c>
      <c r="F1118" s="0" t="s">
        <v>12</v>
      </c>
      <c r="G1118" s="0" t="s">
        <v>8</v>
      </c>
      <c r="H1118" s="0">
        <v>1955</v>
      </c>
      <c r="I1118" s="0">
        <v>28</v>
      </c>
      <c r="J1118" s="0">
        <v>0</v>
      </c>
      <c r="K1118" s="0">
        <v>1</v>
      </c>
      <c r="L1118" s="0">
        <v>1</v>
      </c>
      <c r="M1118" s="0">
        <v>1</v>
      </c>
      <c r="N1118" s="0">
        <v>0</v>
      </c>
      <c r="O1118" s="0">
        <v>0</v>
      </c>
      <c r="P1118" s="0">
        <v>0</v>
      </c>
      <c r="R1118" s="0" t="b">
        <v>0</v>
      </c>
      <c r="S1118" s="0" t="b">
        <v>1</v>
      </c>
      <c r="T1118" s="68">
        <v>44098.0326851852</v>
      </c>
      <c r="U1118" s="68">
        <v>44128.3333333333</v>
      </c>
      <c r="V1118" s="68">
        <v>0</v>
      </c>
      <c r="W1118" s="0">
        <f>IF(IF(B1118="none",1,IF(B1118="Trialer",1,0))+IF(C1118="Customer",1,IF(C1118="Lost",1,0))=2,1,0)</f>
      </c>
      <c r="X1118" s="0" t="s">
        <v>142</v>
      </c>
      <c r="Y1118" s="0" t="s">
        <v>243</v>
      </c>
      <c r="AV1118" s="68"/>
      <c r="AW1118" s="68"/>
      <c r="AY1118" s="27"/>
      <c r="BD1118" s="68">
        <v>46054.1666666667</v>
      </c>
      <c r="BE1118" s="68">
        <v>46082.1666666667</v>
      </c>
      <c r="BF1118" s="0" t="b">
        <v>0</v>
      </c>
      <c r="BG1118" s="0" t="b">
        <v>0</v>
      </c>
      <c r="BH1118" s="0">
        <v>28</v>
      </c>
      <c r="BI1118" s="0">
        <v>28</v>
      </c>
      <c r="BJ1118" s="0" t="s">
        <v>135</v>
      </c>
    </row>
    <row r="1119">
      <c r="A1119" s="0" t="s">
        <v>1323</v>
      </c>
      <c r="B1119" s="0" t="s">
        <v>134</v>
      </c>
      <c r="C1119" s="0" t="s">
        <v>134</v>
      </c>
      <c r="D1119" s="0" t="s">
        <v>135</v>
      </c>
      <c r="E1119" s="0" t="s">
        <v>3</v>
      </c>
      <c r="F1119" s="0" t="s">
        <v>12</v>
      </c>
      <c r="G1119" s="0" t="s">
        <v>8</v>
      </c>
      <c r="H1119" s="0">
        <v>1951</v>
      </c>
      <c r="I1119" s="0">
        <v>252</v>
      </c>
      <c r="J1119" s="0">
        <v>0</v>
      </c>
      <c r="K1119" s="0">
        <v>1</v>
      </c>
      <c r="L1119" s="0">
        <v>1</v>
      </c>
      <c r="M1119" s="0">
        <v>9</v>
      </c>
      <c r="N1119" s="0">
        <v>0</v>
      </c>
      <c r="O1119" s="0">
        <v>0</v>
      </c>
      <c r="P1119" s="0">
        <v>0</v>
      </c>
      <c r="R1119" s="0" t="b">
        <v>0</v>
      </c>
      <c r="S1119" s="0" t="b">
        <v>1</v>
      </c>
      <c r="T1119" s="68">
        <v>44102.4171412037</v>
      </c>
      <c r="U1119" s="68">
        <v>44132.3333333333</v>
      </c>
      <c r="V1119" s="68">
        <v>0</v>
      </c>
      <c r="W1119" s="0">
        <f>IF(IF(B1119="none",1,IF(B1119="Trialer",1,0))+IF(C1119="Customer",1,IF(C1119="Lost",1,0))=2,1,0)</f>
      </c>
      <c r="X1119" s="0" t="s">
        <v>136</v>
      </c>
      <c r="Y1119" s="0" t="s">
        <v>243</v>
      </c>
      <c r="AV1119" s="68"/>
      <c r="AW1119" s="68"/>
      <c r="AY1119" s="27"/>
      <c r="BD1119" s="68">
        <v>46054.1666666667</v>
      </c>
      <c r="BE1119" s="68">
        <v>46082.1666666667</v>
      </c>
      <c r="BF1119" s="0" t="b">
        <v>0</v>
      </c>
      <c r="BG1119" s="0" t="b">
        <v>0</v>
      </c>
      <c r="BH1119" s="0">
        <v>252</v>
      </c>
      <c r="BI1119" s="0">
        <v>252</v>
      </c>
      <c r="BJ1119" s="0" t="s">
        <v>135</v>
      </c>
    </row>
    <row r="1120">
      <c r="A1120" s="0" t="s">
        <v>1324</v>
      </c>
      <c r="B1120" s="0" t="s">
        <v>134</v>
      </c>
      <c r="C1120" s="0" t="s">
        <v>134</v>
      </c>
      <c r="D1120" s="0" t="s">
        <v>135</v>
      </c>
      <c r="E1120" s="0" t="s">
        <v>2</v>
      </c>
      <c r="F1120" s="0" t="s">
        <v>12</v>
      </c>
      <c r="G1120" s="0" t="s">
        <v>7</v>
      </c>
      <c r="H1120" s="0">
        <v>1951</v>
      </c>
      <c r="I1120" s="0">
        <v>565</v>
      </c>
      <c r="J1120" s="0">
        <v>0</v>
      </c>
      <c r="K1120" s="0">
        <v>1</v>
      </c>
      <c r="L1120" s="0">
        <v>1</v>
      </c>
      <c r="M1120" s="0">
        <v>6</v>
      </c>
      <c r="N1120" s="0">
        <v>279</v>
      </c>
      <c r="O1120" s="0">
        <v>0</v>
      </c>
      <c r="P1120" s="0">
        <v>0</v>
      </c>
      <c r="R1120" s="0" t="b">
        <v>0</v>
      </c>
      <c r="S1120" s="0" t="b">
        <v>1</v>
      </c>
      <c r="T1120" s="68">
        <v>44102.5</v>
      </c>
      <c r="U1120" s="68">
        <v>44132.3333333333</v>
      </c>
      <c r="V1120" s="68">
        <v>0</v>
      </c>
      <c r="W1120" s="0">
        <f>IF(IF(B1120="none",1,IF(B1120="Trialer",1,0))+IF(C1120="Customer",1,IF(C1120="Lost",1,0))=2,1,0)</f>
      </c>
      <c r="X1120" s="0" t="s">
        <v>145</v>
      </c>
      <c r="Y1120" s="0" t="s">
        <v>499</v>
      </c>
      <c r="AV1120" s="68"/>
      <c r="AW1120" s="68"/>
      <c r="AY1120" s="27"/>
      <c r="BD1120" s="68">
        <v>46054.1666666667</v>
      </c>
      <c r="BE1120" s="68">
        <v>46082.1666666667</v>
      </c>
      <c r="BF1120" s="0" t="b">
        <v>0</v>
      </c>
      <c r="BG1120" s="0" t="b">
        <v>0</v>
      </c>
      <c r="BH1120" s="0">
        <v>200</v>
      </c>
      <c r="BI1120" s="0">
        <v>200</v>
      </c>
      <c r="BJ1120" s="0" t="s">
        <v>135</v>
      </c>
    </row>
    <row r="1121">
      <c r="A1121" s="0" t="s">
        <v>1325</v>
      </c>
      <c r="B1121" s="0" t="s">
        <v>134</v>
      </c>
      <c r="C1121" s="0" t="s">
        <v>134</v>
      </c>
      <c r="D1121" s="0" t="s">
        <v>135</v>
      </c>
      <c r="E1121" s="0" t="s">
        <v>2</v>
      </c>
      <c r="F1121" s="0" t="s">
        <v>12</v>
      </c>
      <c r="G1121" s="0" t="s">
        <v>8</v>
      </c>
      <c r="H1121" s="0">
        <v>1949</v>
      </c>
      <c r="I1121" s="0">
        <v>240</v>
      </c>
      <c r="J1121" s="0">
        <v>0</v>
      </c>
      <c r="K1121" s="0">
        <v>1</v>
      </c>
      <c r="L1121" s="0">
        <v>2</v>
      </c>
      <c r="M1121" s="0">
        <v>6</v>
      </c>
      <c r="N1121" s="0">
        <v>0</v>
      </c>
      <c r="O1121" s="0">
        <v>0</v>
      </c>
      <c r="P1121" s="0">
        <v>0</v>
      </c>
      <c r="R1121" s="0" t="b">
        <v>0</v>
      </c>
      <c r="S1121" s="0" t="b">
        <v>1</v>
      </c>
      <c r="T1121" s="68">
        <v>44104.6146643519</v>
      </c>
      <c r="U1121" s="68">
        <v>44134.3333333333</v>
      </c>
      <c r="V1121" s="68">
        <v>0</v>
      </c>
      <c r="W1121" s="0">
        <f>IF(IF(B1121="none",1,IF(B1121="Trialer",1,0))+IF(C1121="Customer",1,IF(C1121="Lost",1,0))=2,1,0)</f>
      </c>
      <c r="X1121" s="0" t="s">
        <v>148</v>
      </c>
      <c r="Y1121" s="0" t="s">
        <v>499</v>
      </c>
      <c r="AV1121" s="68"/>
      <c r="AW1121" s="68"/>
      <c r="AY1121" s="27"/>
      <c r="BD1121" s="68">
        <v>46054.1666666667</v>
      </c>
      <c r="BE1121" s="68">
        <v>46082.1666666667</v>
      </c>
      <c r="BF1121" s="0" t="b">
        <v>0</v>
      </c>
      <c r="BG1121" s="0" t="b">
        <v>0</v>
      </c>
      <c r="BH1121" s="0">
        <v>240</v>
      </c>
      <c r="BI1121" s="0">
        <v>240</v>
      </c>
      <c r="BJ1121" s="0" t="s">
        <v>135</v>
      </c>
    </row>
    <row r="1122">
      <c r="A1122" s="0" t="s">
        <v>1326</v>
      </c>
      <c r="B1122" s="0" t="s">
        <v>134</v>
      </c>
      <c r="C1122" s="0" t="s">
        <v>134</v>
      </c>
      <c r="D1122" s="0" t="s">
        <v>135</v>
      </c>
      <c r="E1122" s="0" t="s">
        <v>2</v>
      </c>
      <c r="F1122" s="0" t="s">
        <v>12</v>
      </c>
      <c r="G1122" s="0" t="s">
        <v>8</v>
      </c>
      <c r="H1122" s="0">
        <v>1949</v>
      </c>
      <c r="I1122" s="0">
        <v>49</v>
      </c>
      <c r="J1122" s="0">
        <v>0</v>
      </c>
      <c r="K1122" s="0">
        <v>1</v>
      </c>
      <c r="L1122" s="0">
        <v>3</v>
      </c>
      <c r="M1122" s="0">
        <v>1</v>
      </c>
      <c r="N1122" s="0">
        <v>0</v>
      </c>
      <c r="O1122" s="0">
        <v>0</v>
      </c>
      <c r="P1122" s="0">
        <v>0</v>
      </c>
      <c r="R1122" s="0" t="b">
        <v>0</v>
      </c>
      <c r="S1122" s="0" t="b">
        <v>1</v>
      </c>
      <c r="T1122" s="68">
        <v>44104.6186805556</v>
      </c>
      <c r="U1122" s="68">
        <v>44134.3333333333</v>
      </c>
      <c r="V1122" s="68">
        <v>0</v>
      </c>
      <c r="W1122" s="0">
        <f>IF(IF(B1122="none",1,IF(B1122="Trialer",1,0))+IF(C1122="Customer",1,IF(C1122="Lost",1,0))=2,1,0)</f>
      </c>
      <c r="X1122" s="0" t="s">
        <v>148</v>
      </c>
      <c r="Y1122" s="0" t="s">
        <v>499</v>
      </c>
      <c r="AV1122" s="68"/>
      <c r="AW1122" s="68"/>
      <c r="AY1122" s="27"/>
      <c r="BD1122" s="68">
        <v>46054.1666666667</v>
      </c>
      <c r="BE1122" s="68">
        <v>46082.1666666667</v>
      </c>
      <c r="BF1122" s="0" t="b">
        <v>0</v>
      </c>
      <c r="BG1122" s="0" t="b">
        <v>0</v>
      </c>
      <c r="BH1122" s="0">
        <v>49</v>
      </c>
      <c r="BI1122" s="0">
        <v>49</v>
      </c>
      <c r="BJ1122" s="0" t="s">
        <v>135</v>
      </c>
    </row>
    <row r="1123">
      <c r="A1123" s="0" t="s">
        <v>1327</v>
      </c>
      <c r="B1123" s="0" t="s">
        <v>134</v>
      </c>
      <c r="C1123" s="0" t="s">
        <v>134</v>
      </c>
      <c r="D1123" s="0" t="s">
        <v>135</v>
      </c>
      <c r="E1123" s="0" t="s">
        <v>2</v>
      </c>
      <c r="F1123" s="0" t="s">
        <v>12</v>
      </c>
      <c r="G1123" s="0" t="s">
        <v>8</v>
      </c>
      <c r="H1123" s="0">
        <v>1949</v>
      </c>
      <c r="I1123" s="0">
        <v>1569</v>
      </c>
      <c r="J1123" s="0">
        <v>0</v>
      </c>
      <c r="K1123" s="0">
        <v>1</v>
      </c>
      <c r="L1123" s="0">
        <v>3</v>
      </c>
      <c r="M1123" s="0">
        <v>39</v>
      </c>
      <c r="N1123" s="0">
        <v>0</v>
      </c>
      <c r="O1123" s="0">
        <v>0</v>
      </c>
      <c r="P1123" s="0">
        <v>0</v>
      </c>
      <c r="R1123" s="0" t="b">
        <v>0</v>
      </c>
      <c r="S1123" s="0" t="b">
        <v>1</v>
      </c>
      <c r="T1123" s="68">
        <v>44104.6554513889</v>
      </c>
      <c r="U1123" s="68">
        <v>44134.3333333333</v>
      </c>
      <c r="V1123" s="68">
        <v>0</v>
      </c>
      <c r="W1123" s="0">
        <f>IF(IF(B1123="none",1,IF(B1123="Trialer",1,0))+IF(C1123="Customer",1,IF(C1123="Lost",1,0))=2,1,0)</f>
      </c>
      <c r="X1123" s="0" t="s">
        <v>148</v>
      </c>
      <c r="Y1123" s="0" t="s">
        <v>499</v>
      </c>
      <c r="AV1123" s="68"/>
      <c r="AW1123" s="68"/>
      <c r="AY1123" s="27"/>
      <c r="BD1123" s="68">
        <v>46054.1666666667</v>
      </c>
      <c r="BE1123" s="68">
        <v>46082.1666666667</v>
      </c>
      <c r="BF1123" s="0" t="b">
        <v>0</v>
      </c>
      <c r="BG1123" s="0" t="b">
        <v>0</v>
      </c>
      <c r="BH1123" s="0">
        <v>1289</v>
      </c>
      <c r="BI1123" s="0">
        <v>1289</v>
      </c>
      <c r="BJ1123" s="0" t="s">
        <v>135</v>
      </c>
    </row>
    <row r="1124">
      <c r="A1124" s="0" t="s">
        <v>1328</v>
      </c>
      <c r="B1124" s="0" t="s">
        <v>134</v>
      </c>
      <c r="C1124" s="0" t="s">
        <v>134</v>
      </c>
      <c r="D1124" s="0" t="s">
        <v>135</v>
      </c>
      <c r="E1124" s="0" t="s">
        <v>3</v>
      </c>
      <c r="F1124" s="0" t="s">
        <v>12</v>
      </c>
      <c r="G1124" s="0" t="s">
        <v>8</v>
      </c>
      <c r="H1124" s="0">
        <v>1948</v>
      </c>
      <c r="I1124" s="0">
        <v>49</v>
      </c>
      <c r="J1124" s="0">
        <v>0</v>
      </c>
      <c r="K1124" s="0">
        <v>1</v>
      </c>
      <c r="L1124" s="0">
        <v>3</v>
      </c>
      <c r="M1124" s="0">
        <v>1</v>
      </c>
      <c r="N1124" s="0">
        <v>0</v>
      </c>
      <c r="O1124" s="0">
        <v>0</v>
      </c>
      <c r="P1124" s="0">
        <v>0</v>
      </c>
      <c r="R1124" s="0" t="b">
        <v>0</v>
      </c>
      <c r="S1124" s="0" t="b">
        <v>1</v>
      </c>
      <c r="T1124" s="68">
        <v>44105.8568865741</v>
      </c>
      <c r="U1124" s="68">
        <v>44135.3333333333</v>
      </c>
      <c r="V1124" s="68">
        <v>0</v>
      </c>
      <c r="W1124" s="0">
        <f>IF(IF(B1124="none",1,IF(B1124="Trialer",1,0))+IF(C1124="Customer",1,IF(C1124="Lost",1,0))=2,1,0)</f>
      </c>
      <c r="X1124" s="0" t="s">
        <v>142</v>
      </c>
      <c r="Y1124" s="0" t="s">
        <v>243</v>
      </c>
      <c r="AV1124" s="68"/>
      <c r="AW1124" s="68"/>
      <c r="AY1124" s="27"/>
      <c r="BD1124" s="68">
        <v>46054.1666666667</v>
      </c>
      <c r="BE1124" s="68">
        <v>46082.1666666667</v>
      </c>
      <c r="BF1124" s="0" t="b">
        <v>0</v>
      </c>
      <c r="BG1124" s="0" t="b">
        <v>0</v>
      </c>
      <c r="BH1124" s="0">
        <v>49</v>
      </c>
      <c r="BI1124" s="0">
        <v>49</v>
      </c>
      <c r="BJ1124" s="0" t="s">
        <v>135</v>
      </c>
    </row>
    <row r="1125">
      <c r="A1125" s="0" t="s">
        <v>1329</v>
      </c>
      <c r="B1125" s="0" t="s">
        <v>134</v>
      </c>
      <c r="C1125" s="0" t="s">
        <v>134</v>
      </c>
      <c r="D1125" s="0" t="s">
        <v>135</v>
      </c>
      <c r="E1125" s="0" t="s">
        <v>2</v>
      </c>
      <c r="F1125" s="0" t="s">
        <v>12</v>
      </c>
      <c r="G1125" s="0" t="s">
        <v>8</v>
      </c>
      <c r="H1125" s="0">
        <v>1943</v>
      </c>
      <c r="I1125" s="0">
        <v>0</v>
      </c>
      <c r="J1125" s="0">
        <v>0</v>
      </c>
      <c r="K1125" s="0">
        <v>1</v>
      </c>
      <c r="L1125" s="0">
        <v>3</v>
      </c>
      <c r="M1125" s="0">
        <v>1</v>
      </c>
      <c r="N1125" s="0">
        <v>0</v>
      </c>
      <c r="O1125" s="0">
        <v>0</v>
      </c>
      <c r="P1125" s="0">
        <v>0</v>
      </c>
      <c r="R1125" s="0" t="b">
        <v>0</v>
      </c>
      <c r="S1125" s="0" t="b">
        <v>1</v>
      </c>
      <c r="T1125" s="68">
        <v>44110.5826388889</v>
      </c>
      <c r="U1125" s="68">
        <v>44144.2916666667</v>
      </c>
      <c r="V1125" s="68">
        <v>0</v>
      </c>
      <c r="W1125" s="0">
        <f>IF(IF(B1125="none",1,IF(B1125="Trialer",1,0))+IF(C1125="Customer",1,IF(C1125="Lost",1,0))=2,1,0)</f>
      </c>
      <c r="X1125" s="0" t="s">
        <v>145</v>
      </c>
      <c r="Y1125" s="0" t="s">
        <v>499</v>
      </c>
      <c r="AV1125" s="68"/>
      <c r="AW1125" s="68"/>
      <c r="AY1125" s="27"/>
      <c r="BD1125" s="68">
        <v>46054.1666666667</v>
      </c>
      <c r="BE1125" s="68">
        <v>46082.1666666667</v>
      </c>
      <c r="BF1125" s="0" t="b">
        <v>0</v>
      </c>
      <c r="BG1125" s="0" t="b">
        <v>0</v>
      </c>
      <c r="BH1125" s="0">
        <v>0</v>
      </c>
      <c r="BI1125" s="0">
        <v>0</v>
      </c>
      <c r="BJ1125" s="0" t="s">
        <v>135</v>
      </c>
    </row>
    <row r="1126">
      <c r="A1126" s="0" t="s">
        <v>1330</v>
      </c>
      <c r="B1126" s="0" t="s">
        <v>134</v>
      </c>
      <c r="C1126" s="0" t="s">
        <v>134</v>
      </c>
      <c r="D1126" s="0" t="s">
        <v>135</v>
      </c>
      <c r="E1126" s="0" t="s">
        <v>2</v>
      </c>
      <c r="F1126" s="0" t="s">
        <v>12</v>
      </c>
      <c r="G1126" s="0" t="s">
        <v>8</v>
      </c>
      <c r="H1126" s="0">
        <v>1937</v>
      </c>
      <c r="I1126" s="0">
        <v>0</v>
      </c>
      <c r="J1126" s="0">
        <v>0</v>
      </c>
      <c r="K1126" s="0">
        <v>1</v>
      </c>
      <c r="L1126" s="0">
        <v>5</v>
      </c>
      <c r="M1126" s="0">
        <v>1</v>
      </c>
      <c r="N1126" s="0">
        <v>0</v>
      </c>
      <c r="O1126" s="0">
        <v>0</v>
      </c>
      <c r="P1126" s="0">
        <v>0</v>
      </c>
      <c r="R1126" s="0" t="b">
        <v>0</v>
      </c>
      <c r="S1126" s="0" t="b">
        <v>1</v>
      </c>
      <c r="T1126" s="68">
        <v>44116.8326388889</v>
      </c>
      <c r="U1126" s="68">
        <v>44151.2916666667</v>
      </c>
      <c r="V1126" s="68">
        <v>0</v>
      </c>
      <c r="W1126" s="0">
        <f>IF(IF(B1126="none",1,IF(B1126="Trialer",1,0))+IF(C1126="Customer",1,IF(C1126="Lost",1,0))=2,1,0)</f>
      </c>
      <c r="X1126" s="0" t="s">
        <v>145</v>
      </c>
      <c r="Y1126" s="0" t="s">
        <v>499</v>
      </c>
      <c r="AV1126" s="68"/>
      <c r="AW1126" s="68"/>
      <c r="AY1126" s="27"/>
      <c r="BD1126" s="68">
        <v>46054.1666666667</v>
      </c>
      <c r="BE1126" s="68">
        <v>46082.1666666667</v>
      </c>
      <c r="BF1126" s="0" t="b">
        <v>0</v>
      </c>
      <c r="BG1126" s="0" t="b">
        <v>0</v>
      </c>
      <c r="BH1126" s="0">
        <v>0</v>
      </c>
      <c r="BI1126" s="0">
        <v>0</v>
      </c>
      <c r="BJ1126" s="0" t="s">
        <v>135</v>
      </c>
    </row>
    <row r="1127">
      <c r="A1127" s="0" t="s">
        <v>1331</v>
      </c>
      <c r="B1127" s="0" t="s">
        <v>134</v>
      </c>
      <c r="C1127" s="0" t="s">
        <v>134</v>
      </c>
      <c r="D1127" s="0" t="s">
        <v>135</v>
      </c>
      <c r="E1127" s="0" t="s">
        <v>3</v>
      </c>
      <c r="F1127" s="0" t="s">
        <v>12</v>
      </c>
      <c r="G1127" s="0" t="s">
        <v>8</v>
      </c>
      <c r="H1127" s="0">
        <v>1936</v>
      </c>
      <c r="I1127" s="0">
        <v>160</v>
      </c>
      <c r="J1127" s="0">
        <v>0</v>
      </c>
      <c r="K1127" s="0">
        <v>1</v>
      </c>
      <c r="L1127" s="0">
        <v>2</v>
      </c>
      <c r="M1127" s="0">
        <v>4</v>
      </c>
      <c r="N1127" s="0">
        <v>0</v>
      </c>
      <c r="O1127" s="0">
        <v>0</v>
      </c>
      <c r="P1127" s="0">
        <v>0</v>
      </c>
      <c r="R1127" s="0" t="b">
        <v>0</v>
      </c>
      <c r="S1127" s="0" t="b">
        <v>1</v>
      </c>
      <c r="T1127" s="68">
        <v>44117.2644560185</v>
      </c>
      <c r="U1127" s="68">
        <v>44209.2916666667</v>
      </c>
      <c r="V1127" s="68">
        <v>0</v>
      </c>
      <c r="W1127" s="0">
        <f>IF(IF(B1127="none",1,IF(B1127="Trialer",1,0))+IF(C1127="Customer",1,IF(C1127="Lost",1,0))=2,1,0)</f>
      </c>
      <c r="X1127" s="0" t="s">
        <v>136</v>
      </c>
      <c r="Y1127" s="0" t="s">
        <v>243</v>
      </c>
      <c r="AV1127" s="68"/>
      <c r="AW1127" s="68"/>
      <c r="AY1127" s="27"/>
      <c r="BD1127" s="68">
        <v>46054.1666666667</v>
      </c>
      <c r="BE1127" s="68">
        <v>46082.1666666667</v>
      </c>
      <c r="BF1127" s="0" t="b">
        <v>0</v>
      </c>
      <c r="BG1127" s="0" t="b">
        <v>0</v>
      </c>
      <c r="BH1127" s="0">
        <v>200</v>
      </c>
      <c r="BI1127" s="0">
        <v>200</v>
      </c>
      <c r="BJ1127" s="0" t="s">
        <v>135</v>
      </c>
    </row>
    <row r="1128">
      <c r="A1128" s="0" t="s">
        <v>1332</v>
      </c>
      <c r="B1128" s="0" t="s">
        <v>134</v>
      </c>
      <c r="C1128" s="0" t="s">
        <v>134</v>
      </c>
      <c r="D1128" s="0" t="s">
        <v>135</v>
      </c>
      <c r="E1128" s="0" t="s">
        <v>3</v>
      </c>
      <c r="F1128" s="0" t="s">
        <v>12</v>
      </c>
      <c r="G1128" s="0" t="s">
        <v>8</v>
      </c>
      <c r="H1128" s="0">
        <v>1936</v>
      </c>
      <c r="I1128" s="0">
        <v>0</v>
      </c>
      <c r="J1128" s="0">
        <v>0</v>
      </c>
      <c r="K1128" s="0">
        <v>1</v>
      </c>
      <c r="L1128" s="0">
        <v>3</v>
      </c>
      <c r="M1128" s="0">
        <v>1</v>
      </c>
      <c r="N1128" s="0">
        <v>0</v>
      </c>
      <c r="O1128" s="0">
        <v>0</v>
      </c>
      <c r="P1128" s="0">
        <v>0</v>
      </c>
      <c r="R1128" s="0" t="b">
        <v>0</v>
      </c>
      <c r="S1128" s="0" t="b">
        <v>1</v>
      </c>
      <c r="T1128" s="68">
        <v>44117.4847222222</v>
      </c>
      <c r="U1128" s="68">
        <v>44147.2916666667</v>
      </c>
      <c r="V1128" s="68">
        <v>0</v>
      </c>
      <c r="W1128" s="0">
        <f>IF(IF(B1128="none",1,IF(B1128="Trialer",1,0))+IF(C1128="Customer",1,IF(C1128="Lost",1,0))=2,1,0)</f>
      </c>
      <c r="X1128" s="0" t="s">
        <v>145</v>
      </c>
      <c r="Y1128" s="0" t="s">
        <v>243</v>
      </c>
      <c r="AV1128" s="68"/>
      <c r="AW1128" s="68"/>
      <c r="AY1128" s="27"/>
      <c r="BD1128" s="68">
        <v>46054.1666666667</v>
      </c>
      <c r="BE1128" s="68">
        <v>46082.1666666667</v>
      </c>
      <c r="BF1128" s="0" t="b">
        <v>0</v>
      </c>
      <c r="BG1128" s="0" t="b">
        <v>0</v>
      </c>
      <c r="BH1128" s="0">
        <v>0</v>
      </c>
      <c r="BI1128" s="0">
        <v>0</v>
      </c>
      <c r="BJ1128" s="0" t="s">
        <v>135</v>
      </c>
    </row>
    <row r="1129">
      <c r="A1129" s="0" t="s">
        <v>1333</v>
      </c>
      <c r="B1129" s="0" t="s">
        <v>134</v>
      </c>
      <c r="C1129" s="0" t="s">
        <v>134</v>
      </c>
      <c r="D1129" s="0" t="s">
        <v>135</v>
      </c>
      <c r="E1129" s="0" t="s">
        <v>2</v>
      </c>
      <c r="F1129" s="0" t="s">
        <v>12</v>
      </c>
      <c r="G1129" s="0" t="s">
        <v>8</v>
      </c>
      <c r="H1129" s="0">
        <v>1935</v>
      </c>
      <c r="I1129" s="0">
        <v>122</v>
      </c>
      <c r="J1129" s="0">
        <v>0</v>
      </c>
      <c r="K1129" s="0">
        <v>1</v>
      </c>
      <c r="L1129" s="0">
        <v>4</v>
      </c>
      <c r="M1129" s="0">
        <v>2</v>
      </c>
      <c r="N1129" s="0">
        <v>0</v>
      </c>
      <c r="O1129" s="0">
        <v>0</v>
      </c>
      <c r="P1129" s="0">
        <v>0</v>
      </c>
      <c r="R1129" s="0" t="b">
        <v>0</v>
      </c>
      <c r="S1129" s="0" t="b">
        <v>1</v>
      </c>
      <c r="T1129" s="68">
        <v>44118.5771296296</v>
      </c>
      <c r="U1129" s="68">
        <v>44148.2916666667</v>
      </c>
      <c r="V1129" s="68">
        <v>0</v>
      </c>
      <c r="W1129" s="0">
        <f>IF(IF(B1129="none",1,IF(B1129="Trialer",1,0))+IF(C1129="Customer",1,IF(C1129="Lost",1,0))=2,1,0)</f>
      </c>
      <c r="X1129" s="0" t="s">
        <v>142</v>
      </c>
      <c r="Y1129" s="0" t="s">
        <v>499</v>
      </c>
      <c r="AV1129" s="68"/>
      <c r="AW1129" s="68"/>
      <c r="AY1129" s="27"/>
      <c r="BD1129" s="68">
        <v>46054.1666666667</v>
      </c>
      <c r="BE1129" s="68">
        <v>46082.1666666667</v>
      </c>
      <c r="BF1129" s="0" t="b">
        <v>0</v>
      </c>
      <c r="BG1129" s="0" t="b">
        <v>0</v>
      </c>
      <c r="BH1129" s="0">
        <v>122</v>
      </c>
      <c r="BI1129" s="0">
        <v>122</v>
      </c>
      <c r="BJ1129" s="0" t="s">
        <v>135</v>
      </c>
    </row>
    <row r="1130">
      <c r="A1130" s="0" t="s">
        <v>1334</v>
      </c>
      <c r="B1130" s="0" t="s">
        <v>134</v>
      </c>
      <c r="C1130" s="0" t="s">
        <v>134</v>
      </c>
      <c r="D1130" s="0" t="s">
        <v>230</v>
      </c>
      <c r="E1130" s="0" t="s">
        <v>3</v>
      </c>
      <c r="F1130" s="0" t="s">
        <v>12</v>
      </c>
      <c r="G1130" s="0" t="s">
        <v>8</v>
      </c>
      <c r="H1130" s="0">
        <v>1934</v>
      </c>
      <c r="I1130" s="0">
        <v>240</v>
      </c>
      <c r="J1130" s="0">
        <v>0</v>
      </c>
      <c r="K1130" s="0">
        <v>1</v>
      </c>
      <c r="L1130" s="0">
        <v>5</v>
      </c>
      <c r="M1130" s="0">
        <v>5</v>
      </c>
      <c r="N1130" s="0">
        <v>0</v>
      </c>
      <c r="O1130" s="0">
        <v>0</v>
      </c>
      <c r="P1130" s="0">
        <v>-240</v>
      </c>
      <c r="R1130" s="0" t="b">
        <v>0</v>
      </c>
      <c r="S1130" s="0" t="b">
        <v>1</v>
      </c>
      <c r="T1130" s="68">
        <v>44119.5526736111</v>
      </c>
      <c r="U1130" s="68">
        <v>44149.2916666667</v>
      </c>
      <c r="V1130" s="68">
        <v>0</v>
      </c>
      <c r="W1130" s="0">
        <f>IF(IF(B1130="none",1,IF(B1130="Trialer",1,0))+IF(C1130="Customer",1,IF(C1130="Lost",1,0))=2,1,0)</f>
      </c>
      <c r="X1130" s="0" t="s">
        <v>148</v>
      </c>
      <c r="Y1130" s="0" t="s">
        <v>243</v>
      </c>
      <c r="AV1130" s="68"/>
      <c r="AW1130" s="68"/>
      <c r="AY1130" s="27"/>
      <c r="BD1130" s="68">
        <v>46054.1666666667</v>
      </c>
      <c r="BE1130" s="68">
        <v>46082.1666666667</v>
      </c>
      <c r="BF1130" s="0" t="b">
        <v>0</v>
      </c>
      <c r="BG1130" s="0" t="b">
        <v>0</v>
      </c>
      <c r="BH1130" s="0">
        <v>269</v>
      </c>
      <c r="BI1130" s="0">
        <v>269</v>
      </c>
      <c r="BJ1130" s="0" t="s">
        <v>230</v>
      </c>
    </row>
    <row r="1131">
      <c r="A1131" s="0" t="s">
        <v>1335</v>
      </c>
      <c r="B1131" s="0" t="s">
        <v>134</v>
      </c>
      <c r="C1131" s="0" t="s">
        <v>134</v>
      </c>
      <c r="D1131" s="0" t="s">
        <v>230</v>
      </c>
      <c r="E1131" s="0" t="s">
        <v>3</v>
      </c>
      <c r="F1131" s="0" t="s">
        <v>12</v>
      </c>
      <c r="G1131" s="0" t="s">
        <v>8</v>
      </c>
      <c r="H1131" s="0">
        <v>1933</v>
      </c>
      <c r="I1131" s="0">
        <v>1110.7</v>
      </c>
      <c r="J1131" s="0">
        <v>0</v>
      </c>
      <c r="K1131" s="0">
        <v>1</v>
      </c>
      <c r="L1131" s="0">
        <v>3</v>
      </c>
      <c r="M1131" s="0">
        <v>18</v>
      </c>
      <c r="N1131" s="0">
        <v>697.5</v>
      </c>
      <c r="O1131" s="0">
        <v>0</v>
      </c>
      <c r="P1131" s="0">
        <v>-785.7</v>
      </c>
      <c r="R1131" s="0" t="b">
        <v>0</v>
      </c>
      <c r="S1131" s="0" t="b">
        <v>1</v>
      </c>
      <c r="T1131" s="68">
        <v>44120.3791666667</v>
      </c>
      <c r="U1131" s="68">
        <v>44150.5</v>
      </c>
      <c r="V1131" s="68">
        <v>0</v>
      </c>
      <c r="W1131" s="0">
        <f>IF(IF(B1131="none",1,IF(B1131="Trialer",1,0))+IF(C1131="Customer",1,IF(C1131="Lost",1,0))=2,1,0)</f>
      </c>
      <c r="X1131" s="0" t="s">
        <v>145</v>
      </c>
      <c r="Y1131" s="0" t="s">
        <v>243</v>
      </c>
      <c r="AV1131" s="68"/>
      <c r="AW1131" s="68"/>
      <c r="AY1131" s="27"/>
      <c r="BD1131" s="68">
        <v>46054.1666666667</v>
      </c>
      <c r="BE1131" s="68">
        <v>46082.1666666667</v>
      </c>
      <c r="BF1131" s="0" t="b">
        <v>0</v>
      </c>
      <c r="BG1131" s="0" t="b">
        <v>0</v>
      </c>
      <c r="BH1131" s="0">
        <v>1002</v>
      </c>
      <c r="BI1131" s="0">
        <v>1002</v>
      </c>
      <c r="BJ1131" s="0" t="s">
        <v>230</v>
      </c>
    </row>
    <row r="1132">
      <c r="A1132" s="0" t="s">
        <v>1336</v>
      </c>
      <c r="B1132" s="0" t="s">
        <v>134</v>
      </c>
      <c r="C1132" s="0" t="s">
        <v>134</v>
      </c>
      <c r="D1132" s="0" t="s">
        <v>230</v>
      </c>
      <c r="E1132" s="0" t="s">
        <v>3</v>
      </c>
      <c r="F1132" s="0" t="s">
        <v>10</v>
      </c>
      <c r="G1132" s="0" t="s">
        <v>8</v>
      </c>
      <c r="H1132" s="0">
        <v>1933</v>
      </c>
      <c r="I1132" s="0">
        <v>168</v>
      </c>
      <c r="J1132" s="0">
        <v>0</v>
      </c>
      <c r="K1132" s="0">
        <v>1</v>
      </c>
      <c r="L1132" s="0">
        <v>3</v>
      </c>
      <c r="M1132" s="0">
        <v>4</v>
      </c>
      <c r="N1132" s="0">
        <v>0</v>
      </c>
      <c r="O1132" s="0">
        <v>0</v>
      </c>
      <c r="P1132" s="0">
        <v>-168</v>
      </c>
      <c r="Q1132" s="0" t="s">
        <v>1337</v>
      </c>
      <c r="R1132" s="0" t="b">
        <v>0</v>
      </c>
      <c r="S1132" s="0" t="b">
        <v>1</v>
      </c>
      <c r="T1132" s="68">
        <v>44120.7051736111</v>
      </c>
      <c r="U1132" s="68">
        <v>44151.2916666667</v>
      </c>
      <c r="V1132" s="68">
        <v>0</v>
      </c>
      <c r="W1132" s="0">
        <f>IF(IF(B1132="none",1,IF(B1132="Trialer",1,0))+IF(C1132="Customer",1,IF(C1132="Lost",1,0))=2,1,0)</f>
      </c>
      <c r="X1132" s="0" t="s">
        <v>136</v>
      </c>
      <c r="Y1132" s="0" t="s">
        <v>243</v>
      </c>
      <c r="AV1132" s="68"/>
      <c r="AW1132" s="68"/>
      <c r="AY1132" s="27"/>
      <c r="BD1132" s="68">
        <v>46054.1666666667</v>
      </c>
      <c r="BE1132" s="68">
        <v>46082.1666666667</v>
      </c>
      <c r="BF1132" s="0" t="b">
        <v>0</v>
      </c>
      <c r="BG1132" s="0" t="b">
        <v>0</v>
      </c>
      <c r="BH1132" s="0">
        <v>187</v>
      </c>
      <c r="BI1132" s="0">
        <v>187</v>
      </c>
      <c r="BJ1132" s="0" t="s">
        <v>230</v>
      </c>
    </row>
    <row r="1133">
      <c r="A1133" s="0" t="s">
        <v>1338</v>
      </c>
      <c r="B1133" s="0" t="s">
        <v>134</v>
      </c>
      <c r="C1133" s="0" t="s">
        <v>134</v>
      </c>
      <c r="D1133" s="0" t="s">
        <v>135</v>
      </c>
      <c r="E1133" s="0" t="s">
        <v>3</v>
      </c>
      <c r="F1133" s="0" t="s">
        <v>12</v>
      </c>
      <c r="G1133" s="0" t="s">
        <v>8</v>
      </c>
      <c r="H1133" s="0">
        <v>1932</v>
      </c>
      <c r="I1133" s="0">
        <v>0</v>
      </c>
      <c r="J1133" s="0">
        <v>0</v>
      </c>
      <c r="K1133" s="0">
        <v>1</v>
      </c>
      <c r="L1133" s="0">
        <v>3</v>
      </c>
      <c r="M1133" s="0">
        <v>2</v>
      </c>
      <c r="N1133" s="0">
        <v>0</v>
      </c>
      <c r="O1133" s="0">
        <v>0</v>
      </c>
      <c r="P1133" s="0">
        <v>0</v>
      </c>
      <c r="R1133" s="0" t="b">
        <v>0</v>
      </c>
      <c r="S1133" s="0" t="b">
        <v>1</v>
      </c>
      <c r="T1133" s="68">
        <v>44121.1485300926</v>
      </c>
      <c r="U1133" s="68">
        <v>44155.2916666667</v>
      </c>
      <c r="V1133" s="68">
        <v>0</v>
      </c>
      <c r="W1133" s="0">
        <f>IF(IF(B1133="none",1,IF(B1133="Trialer",1,0))+IF(C1133="Customer",1,IF(C1133="Lost",1,0))=2,1,0)</f>
      </c>
      <c r="X1133" s="0" t="s">
        <v>136</v>
      </c>
      <c r="Y1133" s="0" t="s">
        <v>243</v>
      </c>
      <c r="AV1133" s="68"/>
      <c r="AW1133" s="68"/>
      <c r="AY1133" s="27"/>
      <c r="BD1133" s="68">
        <v>46054.1666666667</v>
      </c>
      <c r="BE1133" s="68">
        <v>46082.1666666667</v>
      </c>
      <c r="BF1133" s="0" t="b">
        <v>0</v>
      </c>
      <c r="BG1133" s="0" t="b">
        <v>0</v>
      </c>
      <c r="BH1133" s="0">
        <v>0</v>
      </c>
      <c r="BI1133" s="0">
        <v>0</v>
      </c>
      <c r="BJ1133" s="0" t="s">
        <v>135</v>
      </c>
    </row>
    <row r="1134">
      <c r="A1134" s="0" t="s">
        <v>1339</v>
      </c>
      <c r="B1134" s="0" t="s">
        <v>134</v>
      </c>
      <c r="C1134" s="0" t="s">
        <v>134</v>
      </c>
      <c r="D1134" s="0" t="s">
        <v>135</v>
      </c>
      <c r="E1134" s="0" t="s">
        <v>3</v>
      </c>
      <c r="F1134" s="0" t="s">
        <v>12</v>
      </c>
      <c r="G1134" s="0" t="s">
        <v>8</v>
      </c>
      <c r="H1134" s="0">
        <v>1930</v>
      </c>
      <c r="I1134" s="0">
        <v>0</v>
      </c>
      <c r="J1134" s="0">
        <v>0</v>
      </c>
      <c r="K1134" s="0">
        <v>1</v>
      </c>
      <c r="L1134" s="0">
        <v>6</v>
      </c>
      <c r="M1134" s="0">
        <v>1</v>
      </c>
      <c r="N1134" s="0">
        <v>0</v>
      </c>
      <c r="O1134" s="0">
        <v>0</v>
      </c>
      <c r="P1134" s="0">
        <v>0</v>
      </c>
      <c r="R1134" s="0" t="b">
        <v>0</v>
      </c>
      <c r="S1134" s="0" t="b">
        <v>1</v>
      </c>
      <c r="T1134" s="68">
        <v>44123.4840277778</v>
      </c>
      <c r="U1134" s="68">
        <v>44143.2916666667</v>
      </c>
      <c r="V1134" s="68">
        <v>0</v>
      </c>
      <c r="W1134" s="0">
        <f>IF(IF(B1134="none",1,IF(B1134="Trialer",1,0))+IF(C1134="Customer",1,IF(C1134="Lost",1,0))=2,1,0)</f>
      </c>
      <c r="X1134" s="0" t="s">
        <v>145</v>
      </c>
      <c r="Y1134" s="0" t="s">
        <v>243</v>
      </c>
      <c r="AV1134" s="68"/>
      <c r="AW1134" s="68"/>
      <c r="AY1134" s="27"/>
      <c r="BD1134" s="68">
        <v>46054.1666666667</v>
      </c>
      <c r="BE1134" s="68">
        <v>46082.1666666667</v>
      </c>
      <c r="BF1134" s="0" t="b">
        <v>0</v>
      </c>
      <c r="BG1134" s="0" t="b">
        <v>0</v>
      </c>
      <c r="BH1134" s="0">
        <v>0</v>
      </c>
      <c r="BI1134" s="0">
        <v>0</v>
      </c>
      <c r="BJ1134" s="0" t="s">
        <v>135</v>
      </c>
    </row>
    <row r="1135">
      <c r="A1135" s="0" t="s">
        <v>1340</v>
      </c>
      <c r="B1135" s="0" t="s">
        <v>134</v>
      </c>
      <c r="C1135" s="0" t="s">
        <v>134</v>
      </c>
      <c r="D1135" s="0" t="s">
        <v>135</v>
      </c>
      <c r="E1135" s="0" t="s">
        <v>2</v>
      </c>
      <c r="F1135" s="0" t="s">
        <v>12</v>
      </c>
      <c r="G1135" s="0" t="s">
        <v>8</v>
      </c>
      <c r="H1135" s="0">
        <v>1929</v>
      </c>
      <c r="I1135" s="0">
        <v>0</v>
      </c>
      <c r="J1135" s="0">
        <v>0</v>
      </c>
      <c r="K1135" s="0">
        <v>1</v>
      </c>
      <c r="L1135" s="0">
        <v>2</v>
      </c>
      <c r="M1135" s="0">
        <v>1</v>
      </c>
      <c r="N1135" s="0">
        <v>0</v>
      </c>
      <c r="O1135" s="0">
        <v>0</v>
      </c>
      <c r="P1135" s="0">
        <v>0</v>
      </c>
      <c r="R1135" s="0" t="b">
        <v>0</v>
      </c>
      <c r="S1135" s="0" t="b">
        <v>1</v>
      </c>
      <c r="T1135" s="68">
        <v>44124.2728587963</v>
      </c>
      <c r="U1135" s="68">
        <v>44158.2916666667</v>
      </c>
      <c r="V1135" s="68">
        <v>0</v>
      </c>
      <c r="W1135" s="0">
        <f>IF(IF(B1135="none",1,IF(B1135="Trialer",1,0))+IF(C1135="Customer",1,IF(C1135="Lost",1,0))=2,1,0)</f>
      </c>
      <c r="X1135" s="0" t="s">
        <v>136</v>
      </c>
      <c r="Y1135" s="0" t="s">
        <v>499</v>
      </c>
      <c r="AV1135" s="68"/>
      <c r="AW1135" s="68"/>
      <c r="AY1135" s="27"/>
      <c r="BD1135" s="68">
        <v>46054.1666666667</v>
      </c>
      <c r="BE1135" s="68">
        <v>46082.1666666667</v>
      </c>
      <c r="BF1135" s="0" t="b">
        <v>0</v>
      </c>
      <c r="BG1135" s="0" t="b">
        <v>0</v>
      </c>
      <c r="BH1135" s="0">
        <v>0</v>
      </c>
      <c r="BI1135" s="0">
        <v>0</v>
      </c>
      <c r="BJ1135" s="0" t="s">
        <v>135</v>
      </c>
    </row>
    <row r="1136">
      <c r="A1136" s="0" t="s">
        <v>1341</v>
      </c>
      <c r="B1136" s="0" t="s">
        <v>134</v>
      </c>
      <c r="C1136" s="0" t="s">
        <v>134</v>
      </c>
      <c r="D1136" s="0" t="s">
        <v>230</v>
      </c>
      <c r="E1136" s="0" t="s">
        <v>2</v>
      </c>
      <c r="F1136" s="0" t="s">
        <v>12</v>
      </c>
      <c r="G1136" s="0" t="s">
        <v>8</v>
      </c>
      <c r="H1136" s="0">
        <v>1929</v>
      </c>
      <c r="I1136" s="0">
        <v>206</v>
      </c>
      <c r="J1136" s="0">
        <v>0</v>
      </c>
      <c r="K1136" s="0">
        <v>1</v>
      </c>
      <c r="L1136" s="0">
        <v>4</v>
      </c>
      <c r="M1136" s="0">
        <v>4</v>
      </c>
      <c r="N1136" s="0">
        <v>0</v>
      </c>
      <c r="O1136" s="0">
        <v>0</v>
      </c>
      <c r="P1136" s="0">
        <v>-206</v>
      </c>
      <c r="R1136" s="0" t="b">
        <v>0</v>
      </c>
      <c r="S1136" s="0" t="b">
        <v>1</v>
      </c>
      <c r="T1136" s="68">
        <v>44124.679537037</v>
      </c>
      <c r="U1136" s="68">
        <v>44154.2916666667</v>
      </c>
      <c r="V1136" s="68">
        <v>0</v>
      </c>
      <c r="W1136" s="0">
        <f>IF(IF(B1136="none",1,IF(B1136="Trialer",1,0))+IF(C1136="Customer",1,IF(C1136="Lost",1,0))=2,1,0)</f>
      </c>
      <c r="X1136" s="0" t="s">
        <v>136</v>
      </c>
      <c r="Y1136" s="0" t="s">
        <v>499</v>
      </c>
      <c r="AV1136" s="68"/>
      <c r="AW1136" s="68"/>
      <c r="AY1136" s="27"/>
      <c r="BD1136" s="68">
        <v>46054.1666666667</v>
      </c>
      <c r="BE1136" s="68">
        <v>46082.1666666667</v>
      </c>
      <c r="BF1136" s="0" t="b">
        <v>0</v>
      </c>
      <c r="BG1136" s="0" t="b">
        <v>0</v>
      </c>
      <c r="BH1136" s="0">
        <v>232</v>
      </c>
      <c r="BI1136" s="0">
        <v>232</v>
      </c>
      <c r="BJ1136" s="0" t="s">
        <v>230</v>
      </c>
    </row>
    <row r="1137">
      <c r="A1137" s="0" t="s">
        <v>1342</v>
      </c>
      <c r="B1137" s="0" t="s">
        <v>134</v>
      </c>
      <c r="C1137" s="0" t="s">
        <v>134</v>
      </c>
      <c r="D1137" s="0" t="s">
        <v>230</v>
      </c>
      <c r="E1137" s="0" t="s">
        <v>3</v>
      </c>
      <c r="F1137" s="0" t="s">
        <v>12</v>
      </c>
      <c r="G1137" s="0" t="s">
        <v>8</v>
      </c>
      <c r="H1137" s="0">
        <v>1928</v>
      </c>
      <c r="I1137" s="0">
        <v>199.41</v>
      </c>
      <c r="J1137" s="0">
        <v>0</v>
      </c>
      <c r="K1137" s="0">
        <v>1</v>
      </c>
      <c r="L1137" s="0">
        <v>4</v>
      </c>
      <c r="M1137" s="0">
        <v>4</v>
      </c>
      <c r="N1137" s="0">
        <v>0</v>
      </c>
      <c r="O1137" s="0">
        <v>0</v>
      </c>
      <c r="P1137" s="0">
        <v>-199.41</v>
      </c>
      <c r="R1137" s="0" t="b">
        <v>0</v>
      </c>
      <c r="S1137" s="0" t="b">
        <v>1</v>
      </c>
      <c r="T1137" s="68">
        <v>44125.6027777778</v>
      </c>
      <c r="U1137" s="68">
        <v>44155.2916666667</v>
      </c>
      <c r="V1137" s="68">
        <v>0</v>
      </c>
      <c r="W1137" s="0">
        <f>IF(IF(B1137="none",1,IF(B1137="Trialer",1,0))+IF(C1137="Customer",1,IF(C1137="Lost",1,0))=2,1,0)</f>
      </c>
      <c r="X1137" s="0" t="s">
        <v>148</v>
      </c>
      <c r="Y1137" s="0" t="s">
        <v>243</v>
      </c>
      <c r="AV1137" s="68"/>
      <c r="AW1137" s="68"/>
      <c r="AY1137" s="27"/>
      <c r="BD1137" s="68">
        <v>46054.1666666667</v>
      </c>
      <c r="BE1137" s="68">
        <v>46082.1666666667</v>
      </c>
      <c r="BF1137" s="0" t="b">
        <v>0</v>
      </c>
      <c r="BG1137" s="0" t="b">
        <v>0</v>
      </c>
      <c r="BH1137" s="0">
        <v>217.1</v>
      </c>
      <c r="BI1137" s="0">
        <v>217.09</v>
      </c>
      <c r="BJ1137" s="0" t="s">
        <v>230</v>
      </c>
    </row>
    <row r="1138">
      <c r="A1138" s="0" t="s">
        <v>1343</v>
      </c>
      <c r="B1138" s="0" t="s">
        <v>134</v>
      </c>
      <c r="C1138" s="0" t="s">
        <v>134</v>
      </c>
      <c r="D1138" s="0" t="s">
        <v>135</v>
      </c>
      <c r="E1138" s="0" t="s">
        <v>3</v>
      </c>
      <c r="F1138" s="0" t="s">
        <v>12</v>
      </c>
      <c r="G1138" s="0" t="s">
        <v>8</v>
      </c>
      <c r="H1138" s="0">
        <v>1924</v>
      </c>
      <c r="I1138" s="0">
        <v>0</v>
      </c>
      <c r="J1138" s="0">
        <v>0</v>
      </c>
      <c r="K1138" s="0">
        <v>1</v>
      </c>
      <c r="L1138" s="0">
        <v>3</v>
      </c>
      <c r="M1138" s="0">
        <v>1</v>
      </c>
      <c r="N1138" s="0">
        <v>0</v>
      </c>
      <c r="O1138" s="0">
        <v>0</v>
      </c>
      <c r="P1138" s="0">
        <v>0</v>
      </c>
      <c r="R1138" s="0" t="b">
        <v>0</v>
      </c>
      <c r="S1138" s="0" t="b">
        <v>1</v>
      </c>
      <c r="T1138" s="68">
        <v>44129.0100115741</v>
      </c>
      <c r="U1138" s="68">
        <v>44137.2916666667</v>
      </c>
      <c r="V1138" s="68">
        <v>0</v>
      </c>
      <c r="W1138" s="0">
        <f>IF(IF(B1138="none",1,IF(B1138="Trialer",1,0))+IF(C1138="Customer",1,IF(C1138="Lost",1,0))=2,1,0)</f>
      </c>
      <c r="X1138" s="0" t="s">
        <v>148</v>
      </c>
      <c r="Y1138" s="0" t="s">
        <v>243</v>
      </c>
      <c r="AV1138" s="68"/>
      <c r="AW1138" s="68"/>
      <c r="AY1138" s="27"/>
      <c r="BD1138" s="68">
        <v>46054.1666666667</v>
      </c>
      <c r="BE1138" s="68">
        <v>46082.1666666667</v>
      </c>
      <c r="BF1138" s="0" t="b">
        <v>0</v>
      </c>
      <c r="BG1138" s="0" t="b">
        <v>0</v>
      </c>
      <c r="BH1138" s="0">
        <v>0</v>
      </c>
      <c r="BI1138" s="0">
        <v>0</v>
      </c>
      <c r="BJ1138" s="0" t="s">
        <v>135</v>
      </c>
    </row>
    <row r="1139">
      <c r="A1139" s="0" t="s">
        <v>1344</v>
      </c>
      <c r="B1139" s="0" t="s">
        <v>134</v>
      </c>
      <c r="C1139" s="0" t="s">
        <v>134</v>
      </c>
      <c r="D1139" s="0" t="s">
        <v>135</v>
      </c>
      <c r="E1139" s="0" t="s">
        <v>2</v>
      </c>
      <c r="F1139" s="0" t="s">
        <v>10</v>
      </c>
      <c r="G1139" s="0" t="s">
        <v>8</v>
      </c>
      <c r="H1139" s="0">
        <v>1923</v>
      </c>
      <c r="I1139" s="0">
        <v>49</v>
      </c>
      <c r="J1139" s="0">
        <v>0</v>
      </c>
      <c r="K1139" s="0">
        <v>1</v>
      </c>
      <c r="L1139" s="0">
        <v>3</v>
      </c>
      <c r="M1139" s="0">
        <v>1</v>
      </c>
      <c r="N1139" s="0">
        <v>0</v>
      </c>
      <c r="O1139" s="0">
        <v>0</v>
      </c>
      <c r="P1139" s="0">
        <v>0</v>
      </c>
      <c r="Q1139" s="0" t="s">
        <v>1345</v>
      </c>
      <c r="R1139" s="0" t="b">
        <v>0</v>
      </c>
      <c r="S1139" s="0" t="b">
        <v>1</v>
      </c>
      <c r="T1139" s="68">
        <v>44130.7117708333</v>
      </c>
      <c r="U1139" s="68">
        <v>44160.2916666667</v>
      </c>
      <c r="V1139" s="68">
        <v>0</v>
      </c>
      <c r="W1139" s="0">
        <f>IF(IF(B1139="none",1,IF(B1139="Trialer",1,0))+IF(C1139="Customer",1,IF(C1139="Lost",1,0))=2,1,0)</f>
      </c>
      <c r="X1139" s="0" t="s">
        <v>153</v>
      </c>
      <c r="Y1139" s="0" t="s">
        <v>499</v>
      </c>
      <c r="AV1139" s="68"/>
      <c r="AW1139" s="68"/>
      <c r="AY1139" s="27"/>
      <c r="BD1139" s="68">
        <v>46054.1666666667</v>
      </c>
      <c r="BE1139" s="68">
        <v>46082.1666666667</v>
      </c>
      <c r="BF1139" s="0" t="b">
        <v>0</v>
      </c>
      <c r="BG1139" s="0" t="b">
        <v>0</v>
      </c>
      <c r="BH1139" s="0">
        <v>49</v>
      </c>
      <c r="BI1139" s="0">
        <v>49</v>
      </c>
      <c r="BJ1139" s="0" t="s">
        <v>135</v>
      </c>
    </row>
    <row r="1140">
      <c r="A1140" s="0" t="s">
        <v>1346</v>
      </c>
      <c r="B1140" s="0" t="s">
        <v>134</v>
      </c>
      <c r="C1140" s="0" t="s">
        <v>134</v>
      </c>
      <c r="D1140" s="0" t="s">
        <v>135</v>
      </c>
      <c r="E1140" s="0" t="s">
        <v>3</v>
      </c>
      <c r="F1140" s="0" t="s">
        <v>12</v>
      </c>
      <c r="G1140" s="0" t="s">
        <v>8</v>
      </c>
      <c r="H1140" s="0">
        <v>1920</v>
      </c>
      <c r="I1140" s="0">
        <v>0</v>
      </c>
      <c r="J1140" s="0">
        <v>0</v>
      </c>
      <c r="K1140" s="0">
        <v>1</v>
      </c>
      <c r="L1140" s="0">
        <v>3</v>
      </c>
      <c r="M1140" s="0">
        <v>1</v>
      </c>
      <c r="N1140" s="0">
        <v>0</v>
      </c>
      <c r="O1140" s="0">
        <v>0</v>
      </c>
      <c r="P1140" s="0">
        <v>0</v>
      </c>
      <c r="R1140" s="0" t="b">
        <v>0</v>
      </c>
      <c r="S1140" s="0" t="b">
        <v>1</v>
      </c>
      <c r="T1140" s="68">
        <v>44133.5930555556</v>
      </c>
      <c r="U1140" s="68">
        <v>44163.2916666667</v>
      </c>
      <c r="V1140" s="68">
        <v>0</v>
      </c>
      <c r="W1140" s="0">
        <f>IF(IF(B1140="none",1,IF(B1140="Trialer",1,0))+IF(C1140="Customer",1,IF(C1140="Lost",1,0))=2,1,0)</f>
      </c>
      <c r="X1140" s="0" t="s">
        <v>136</v>
      </c>
      <c r="Y1140" s="0" t="s">
        <v>243</v>
      </c>
      <c r="AV1140" s="68"/>
      <c r="AW1140" s="68"/>
      <c r="AY1140" s="27"/>
      <c r="BD1140" s="68">
        <v>46054.1666666667</v>
      </c>
      <c r="BE1140" s="68">
        <v>46082.1666666667</v>
      </c>
      <c r="BF1140" s="0" t="b">
        <v>0</v>
      </c>
      <c r="BG1140" s="0" t="b">
        <v>0</v>
      </c>
      <c r="BH1140" s="0">
        <v>0</v>
      </c>
      <c r="BI1140" s="0">
        <v>0</v>
      </c>
      <c r="BJ1140" s="0" t="s">
        <v>135</v>
      </c>
    </row>
    <row r="1141">
      <c r="A1141" s="0" t="s">
        <v>1347</v>
      </c>
      <c r="B1141" s="0" t="s">
        <v>134</v>
      </c>
      <c r="C1141" s="0" t="s">
        <v>134</v>
      </c>
      <c r="D1141" s="0" t="s">
        <v>135</v>
      </c>
      <c r="E1141" s="0" t="s">
        <v>3</v>
      </c>
      <c r="F1141" s="0" t="s">
        <v>12</v>
      </c>
      <c r="G1141" s="0" t="s">
        <v>8</v>
      </c>
      <c r="H1141" s="0">
        <v>1920</v>
      </c>
      <c r="I1141" s="0">
        <v>0</v>
      </c>
      <c r="J1141" s="0">
        <v>0</v>
      </c>
      <c r="K1141" s="0">
        <v>1</v>
      </c>
      <c r="L1141" s="0">
        <v>3</v>
      </c>
      <c r="M1141" s="0">
        <v>1</v>
      </c>
      <c r="N1141" s="0">
        <v>0</v>
      </c>
      <c r="O1141" s="0">
        <v>0</v>
      </c>
      <c r="P1141" s="0">
        <v>0</v>
      </c>
      <c r="R1141" s="0" t="b">
        <v>0</v>
      </c>
      <c r="S1141" s="0" t="b">
        <v>1</v>
      </c>
      <c r="T1141" s="68">
        <v>44133.8101157407</v>
      </c>
      <c r="U1141" s="68">
        <v>44163.2916666667</v>
      </c>
      <c r="V1141" s="68">
        <v>0</v>
      </c>
      <c r="W1141" s="0">
        <f>IF(IF(B1141="none",1,IF(B1141="Trialer",1,0))+IF(C1141="Customer",1,IF(C1141="Lost",1,0))=2,1,0)</f>
      </c>
      <c r="X1141" s="0" t="s">
        <v>148</v>
      </c>
      <c r="Y1141" s="0" t="s">
        <v>243</v>
      </c>
      <c r="AV1141" s="68"/>
      <c r="AW1141" s="68"/>
      <c r="AY1141" s="27"/>
      <c r="BD1141" s="68">
        <v>46054.1666666667</v>
      </c>
      <c r="BE1141" s="68">
        <v>46082.1666666667</v>
      </c>
      <c r="BF1141" s="0" t="b">
        <v>0</v>
      </c>
      <c r="BG1141" s="0" t="b">
        <v>0</v>
      </c>
      <c r="BH1141" s="0">
        <v>0</v>
      </c>
      <c r="BI1141" s="0">
        <v>0</v>
      </c>
      <c r="BJ1141" s="0" t="s">
        <v>230</v>
      </c>
    </row>
    <row r="1142">
      <c r="A1142" s="0" t="s">
        <v>1348</v>
      </c>
      <c r="B1142" s="0" t="s">
        <v>134</v>
      </c>
      <c r="C1142" s="0" t="s">
        <v>134</v>
      </c>
      <c r="D1142" s="0" t="s">
        <v>135</v>
      </c>
      <c r="E1142" s="0" t="s">
        <v>3</v>
      </c>
      <c r="F1142" s="0" t="s">
        <v>12</v>
      </c>
      <c r="G1142" s="0" t="s">
        <v>8</v>
      </c>
      <c r="H1142" s="0">
        <v>1919</v>
      </c>
      <c r="I1142" s="0">
        <v>0</v>
      </c>
      <c r="J1142" s="0">
        <v>0</v>
      </c>
      <c r="K1142" s="0">
        <v>1</v>
      </c>
      <c r="L1142" s="0">
        <v>3</v>
      </c>
      <c r="M1142" s="0">
        <v>1</v>
      </c>
      <c r="N1142" s="0">
        <v>0</v>
      </c>
      <c r="O1142" s="0">
        <v>0</v>
      </c>
      <c r="P1142" s="0">
        <v>0</v>
      </c>
      <c r="R1142" s="0" t="b">
        <v>0</v>
      </c>
      <c r="S1142" s="0" t="b">
        <v>1</v>
      </c>
      <c r="T1142" s="68">
        <v>44134.4440277778</v>
      </c>
      <c r="U1142" s="68">
        <v>44166.2916666667</v>
      </c>
      <c r="V1142" s="68">
        <v>0</v>
      </c>
      <c r="W1142" s="0">
        <f>IF(IF(B1142="none",1,IF(B1142="Trialer",1,0))+IF(C1142="Customer",1,IF(C1142="Lost",1,0))=2,1,0)</f>
      </c>
      <c r="X1142" s="0" t="s">
        <v>136</v>
      </c>
      <c r="Y1142" s="0" t="s">
        <v>243</v>
      </c>
      <c r="AV1142" s="68"/>
      <c r="AW1142" s="68"/>
      <c r="AY1142" s="27"/>
      <c r="BD1142" s="68">
        <v>46054.1666666667</v>
      </c>
      <c r="BE1142" s="68">
        <v>46082.1666666667</v>
      </c>
      <c r="BF1142" s="0" t="b">
        <v>0</v>
      </c>
      <c r="BG1142" s="0" t="b">
        <v>0</v>
      </c>
      <c r="BH1142" s="0">
        <v>0</v>
      </c>
      <c r="BI1142" s="0">
        <v>0</v>
      </c>
      <c r="BJ1142" s="0" t="s">
        <v>135</v>
      </c>
    </row>
    <row r="1143">
      <c r="A1143" s="0" t="s">
        <v>1349</v>
      </c>
      <c r="B1143" s="0" t="s">
        <v>134</v>
      </c>
      <c r="C1143" s="0" t="s">
        <v>134</v>
      </c>
      <c r="D1143" s="0" t="s">
        <v>230</v>
      </c>
      <c r="E1143" s="0" t="s">
        <v>2</v>
      </c>
      <c r="F1143" s="0" t="s">
        <v>10</v>
      </c>
      <c r="G1143" s="0" t="s">
        <v>8</v>
      </c>
      <c r="H1143" s="0">
        <v>1915</v>
      </c>
      <c r="I1143" s="0">
        <v>1265</v>
      </c>
      <c r="J1143" s="0">
        <v>0</v>
      </c>
      <c r="K1143" s="0">
        <v>1</v>
      </c>
      <c r="L1143" s="0">
        <v>4</v>
      </c>
      <c r="M1143" s="0">
        <v>26</v>
      </c>
      <c r="N1143" s="0">
        <v>0</v>
      </c>
      <c r="O1143" s="0">
        <v>0</v>
      </c>
      <c r="P1143" s="0">
        <v>-1265</v>
      </c>
      <c r="Q1143" s="0" t="s">
        <v>390</v>
      </c>
      <c r="R1143" s="0" t="b">
        <v>0</v>
      </c>
      <c r="S1143" s="0" t="b">
        <v>1</v>
      </c>
      <c r="T1143" s="68">
        <v>44138.5</v>
      </c>
      <c r="U1143" s="68">
        <v>44168.2916666667</v>
      </c>
      <c r="V1143" s="68">
        <v>0</v>
      </c>
      <c r="W1143" s="0">
        <f>IF(IF(B1143="none",1,IF(B1143="Trialer",1,0))+IF(C1143="Customer",1,IF(C1143="Lost",1,0))=2,1,0)</f>
      </c>
      <c r="X1143" s="0" t="s">
        <v>148</v>
      </c>
      <c r="Y1143" s="0" t="s">
        <v>499</v>
      </c>
      <c r="AV1143" s="68"/>
      <c r="AW1143" s="68"/>
      <c r="AY1143" s="27"/>
      <c r="BD1143" s="68">
        <v>46054.1666666667</v>
      </c>
      <c r="BE1143" s="68">
        <v>46082.1666666667</v>
      </c>
      <c r="BF1143" s="0" t="b">
        <v>0</v>
      </c>
      <c r="BG1143" s="0" t="b">
        <v>0</v>
      </c>
      <c r="BH1143" s="0">
        <v>1555</v>
      </c>
      <c r="BI1143" s="0">
        <v>1522</v>
      </c>
      <c r="BJ1143" s="0" t="s">
        <v>230</v>
      </c>
    </row>
    <row r="1144">
      <c r="A1144" s="0" t="s">
        <v>1350</v>
      </c>
      <c r="B1144" s="0" t="s">
        <v>134</v>
      </c>
      <c r="C1144" s="0" t="s">
        <v>134</v>
      </c>
      <c r="D1144" s="0" t="s">
        <v>135</v>
      </c>
      <c r="E1144" s="0" t="s">
        <v>3</v>
      </c>
      <c r="F1144" s="0" t="s">
        <v>12</v>
      </c>
      <c r="G1144" s="0" t="s">
        <v>8</v>
      </c>
      <c r="H1144" s="0">
        <v>1912</v>
      </c>
      <c r="I1144" s="0">
        <v>840</v>
      </c>
      <c r="J1144" s="0">
        <v>0</v>
      </c>
      <c r="K1144" s="0">
        <v>1</v>
      </c>
      <c r="L1144" s="0">
        <v>2</v>
      </c>
      <c r="M1144" s="0">
        <v>21</v>
      </c>
      <c r="N1144" s="0">
        <v>232.5</v>
      </c>
      <c r="O1144" s="0">
        <v>0</v>
      </c>
      <c r="P1144" s="0">
        <v>0</v>
      </c>
      <c r="R1144" s="0" t="b">
        <v>0</v>
      </c>
      <c r="S1144" s="0" t="b">
        <v>1</v>
      </c>
      <c r="T1144" s="68">
        <v>44141.5</v>
      </c>
      <c r="U1144" s="68">
        <v>44174.5</v>
      </c>
      <c r="V1144" s="68">
        <v>0</v>
      </c>
      <c r="W1144" s="0">
        <f>IF(IF(B1144="none",1,IF(B1144="Trialer",1,0))+IF(C1144="Customer",1,IF(C1144="Lost",1,0))=2,1,0)</f>
      </c>
      <c r="X1144" s="0" t="s">
        <v>136</v>
      </c>
      <c r="Y1144" s="0" t="s">
        <v>243</v>
      </c>
      <c r="AV1144" s="68"/>
      <c r="AW1144" s="68"/>
      <c r="AY1144" s="27"/>
      <c r="BD1144" s="68">
        <v>46054.1666666667</v>
      </c>
      <c r="BE1144" s="68">
        <v>46082.1666666667</v>
      </c>
      <c r="BF1144" s="0" t="b">
        <v>0</v>
      </c>
      <c r="BG1144" s="0" t="b">
        <v>0</v>
      </c>
      <c r="BH1144" s="0">
        <v>840</v>
      </c>
      <c r="BI1144" s="0">
        <v>840</v>
      </c>
      <c r="BJ1144" s="0" t="s">
        <v>135</v>
      </c>
    </row>
    <row r="1145">
      <c r="A1145" s="0" t="s">
        <v>1351</v>
      </c>
      <c r="B1145" s="0" t="s">
        <v>134</v>
      </c>
      <c r="C1145" s="0" t="s">
        <v>134</v>
      </c>
      <c r="D1145" s="0" t="s">
        <v>135</v>
      </c>
      <c r="E1145" s="0" t="s">
        <v>3</v>
      </c>
      <c r="F1145" s="0" t="s">
        <v>12</v>
      </c>
      <c r="G1145" s="0" t="s">
        <v>8</v>
      </c>
      <c r="H1145" s="0">
        <v>1909</v>
      </c>
      <c r="I1145" s="0">
        <v>1326</v>
      </c>
      <c r="J1145" s="0">
        <v>0</v>
      </c>
      <c r="K1145" s="0">
        <v>1</v>
      </c>
      <c r="L1145" s="0">
        <v>5</v>
      </c>
      <c r="M1145" s="0">
        <v>20</v>
      </c>
      <c r="N1145" s="0">
        <v>387.5</v>
      </c>
      <c r="O1145" s="0">
        <v>0</v>
      </c>
      <c r="P1145" s="0">
        <v>0</v>
      </c>
      <c r="R1145" s="0" t="b">
        <v>0</v>
      </c>
      <c r="S1145" s="0" t="b">
        <v>1</v>
      </c>
      <c r="T1145" s="68">
        <v>44144.5076388889</v>
      </c>
      <c r="U1145" s="68">
        <v>44180.2916666667</v>
      </c>
      <c r="V1145" s="68">
        <v>0</v>
      </c>
      <c r="W1145" s="0">
        <f>IF(IF(B1145="none",1,IF(B1145="Trialer",1,0))+IF(C1145="Customer",1,IF(C1145="Lost",1,0))=2,1,0)</f>
      </c>
      <c r="X1145" s="0" t="s">
        <v>145</v>
      </c>
      <c r="Y1145" s="0" t="s">
        <v>243</v>
      </c>
      <c r="AV1145" s="68"/>
      <c r="AW1145" s="68"/>
      <c r="AY1145" s="27"/>
      <c r="BD1145" s="68">
        <v>46054.1666666667</v>
      </c>
      <c r="BE1145" s="68">
        <v>46082.1666666667</v>
      </c>
      <c r="BF1145" s="0" t="b">
        <v>0</v>
      </c>
      <c r="BG1145" s="0" t="b">
        <v>0</v>
      </c>
      <c r="BH1145" s="0">
        <v>1033</v>
      </c>
      <c r="BI1145" s="0">
        <v>1145</v>
      </c>
      <c r="BJ1145" s="0" t="s">
        <v>135</v>
      </c>
    </row>
    <row r="1146">
      <c r="A1146" s="0" t="s">
        <v>1352</v>
      </c>
      <c r="B1146" s="0" t="s">
        <v>134</v>
      </c>
      <c r="C1146" s="0" t="s">
        <v>134</v>
      </c>
      <c r="D1146" s="0" t="s">
        <v>135</v>
      </c>
      <c r="E1146" s="0" t="s">
        <v>3</v>
      </c>
      <c r="F1146" s="0" t="s">
        <v>10</v>
      </c>
      <c r="G1146" s="0" t="s">
        <v>8</v>
      </c>
      <c r="H1146" s="0">
        <v>1907</v>
      </c>
      <c r="I1146" s="0">
        <v>28</v>
      </c>
      <c r="J1146" s="0">
        <v>0</v>
      </c>
      <c r="K1146" s="0">
        <v>1</v>
      </c>
      <c r="L1146" s="0">
        <v>1</v>
      </c>
      <c r="M1146" s="0">
        <v>1</v>
      </c>
      <c r="N1146" s="0">
        <v>0</v>
      </c>
      <c r="O1146" s="0">
        <v>0</v>
      </c>
      <c r="P1146" s="0">
        <v>0</v>
      </c>
      <c r="Q1146" s="0" t="s">
        <v>618</v>
      </c>
      <c r="R1146" s="0" t="b">
        <v>0</v>
      </c>
      <c r="S1146" s="0" t="b">
        <v>1</v>
      </c>
      <c r="T1146" s="68">
        <v>44146.2570486111</v>
      </c>
      <c r="U1146" s="68">
        <v>44176.2916666667</v>
      </c>
      <c r="V1146" s="68">
        <v>0</v>
      </c>
      <c r="W1146" s="0">
        <f>IF(IF(B1146="none",1,IF(B1146="Trialer",1,0))+IF(C1146="Customer",1,IF(C1146="Lost",1,0))=2,1,0)</f>
      </c>
      <c r="X1146" s="0" t="s">
        <v>148</v>
      </c>
      <c r="Y1146" s="0" t="s">
        <v>243</v>
      </c>
      <c r="AV1146" s="68"/>
      <c r="AW1146" s="68"/>
      <c r="AY1146" s="27"/>
      <c r="BD1146" s="68">
        <v>46054.1666666667</v>
      </c>
      <c r="BE1146" s="68">
        <v>46082.1666666667</v>
      </c>
      <c r="BF1146" s="0" t="b">
        <v>0</v>
      </c>
      <c r="BG1146" s="0" t="b">
        <v>0</v>
      </c>
      <c r="BH1146" s="0">
        <v>28</v>
      </c>
      <c r="BI1146" s="0">
        <v>28</v>
      </c>
      <c r="BJ1146" s="0" t="s">
        <v>135</v>
      </c>
    </row>
    <row r="1147">
      <c r="A1147" s="0" t="s">
        <v>1353</v>
      </c>
      <c r="B1147" s="0" t="s">
        <v>134</v>
      </c>
      <c r="C1147" s="0" t="s">
        <v>134</v>
      </c>
      <c r="D1147" s="0" t="s">
        <v>135</v>
      </c>
      <c r="E1147" s="0" t="s">
        <v>3</v>
      </c>
      <c r="F1147" s="0" t="s">
        <v>12</v>
      </c>
      <c r="G1147" s="0" t="s">
        <v>8</v>
      </c>
      <c r="H1147" s="0">
        <v>1905</v>
      </c>
      <c r="I1147" s="0">
        <v>245</v>
      </c>
      <c r="J1147" s="0">
        <v>0</v>
      </c>
      <c r="K1147" s="0">
        <v>1</v>
      </c>
      <c r="L1147" s="0">
        <v>3</v>
      </c>
      <c r="M1147" s="0">
        <v>5</v>
      </c>
      <c r="N1147" s="0">
        <v>0</v>
      </c>
      <c r="O1147" s="0">
        <v>0</v>
      </c>
      <c r="P1147" s="0">
        <v>0</v>
      </c>
      <c r="R1147" s="0" t="b">
        <v>0</v>
      </c>
      <c r="S1147" s="0" t="b">
        <v>1</v>
      </c>
      <c r="T1147" s="68">
        <v>44148.6611111111</v>
      </c>
      <c r="U1147" s="68">
        <v>44178.2916666667</v>
      </c>
      <c r="V1147" s="68">
        <v>0</v>
      </c>
      <c r="W1147" s="0">
        <f>IF(IF(B1147="none",1,IF(B1147="Trialer",1,0))+IF(C1147="Customer",1,IF(C1147="Lost",1,0))=2,1,0)</f>
      </c>
      <c r="X1147" s="0" t="s">
        <v>145</v>
      </c>
      <c r="Y1147" s="0" t="s">
        <v>243</v>
      </c>
      <c r="AV1147" s="68"/>
      <c r="AW1147" s="68"/>
      <c r="AY1147" s="27"/>
      <c r="BD1147" s="68">
        <v>46054.1666666667</v>
      </c>
      <c r="BE1147" s="68">
        <v>46082.1666666667</v>
      </c>
      <c r="BF1147" s="0" t="b">
        <v>0</v>
      </c>
      <c r="BG1147" s="0" t="b">
        <v>0</v>
      </c>
      <c r="BH1147" s="0">
        <v>245</v>
      </c>
      <c r="BI1147" s="0">
        <v>245</v>
      </c>
      <c r="BJ1147" s="0" t="s">
        <v>135</v>
      </c>
    </row>
    <row r="1148">
      <c r="A1148" s="0" t="s">
        <v>1354</v>
      </c>
      <c r="B1148" s="0" t="s">
        <v>134</v>
      </c>
      <c r="C1148" s="0" t="s">
        <v>134</v>
      </c>
      <c r="D1148" s="0" t="s">
        <v>135</v>
      </c>
      <c r="E1148" s="0" t="s">
        <v>2</v>
      </c>
      <c r="F1148" s="0" t="s">
        <v>10</v>
      </c>
      <c r="G1148" s="0" t="s">
        <v>8</v>
      </c>
      <c r="H1148" s="0">
        <v>1902</v>
      </c>
      <c r="I1148" s="0">
        <v>52</v>
      </c>
      <c r="J1148" s="0">
        <v>0</v>
      </c>
      <c r="K1148" s="0">
        <v>1</v>
      </c>
      <c r="L1148" s="0">
        <v>3</v>
      </c>
      <c r="M1148" s="0">
        <v>1</v>
      </c>
      <c r="N1148" s="0">
        <v>0</v>
      </c>
      <c r="O1148" s="0">
        <v>0</v>
      </c>
      <c r="P1148" s="0">
        <v>0</v>
      </c>
      <c r="Q1148" s="0" t="s">
        <v>324</v>
      </c>
      <c r="R1148" s="0" t="b">
        <v>0</v>
      </c>
      <c r="S1148" s="0" t="b">
        <v>1</v>
      </c>
      <c r="T1148" s="68">
        <v>44151.6097222222</v>
      </c>
      <c r="U1148" s="68">
        <v>44171.2916666667</v>
      </c>
      <c r="V1148" s="68">
        <v>0</v>
      </c>
      <c r="W1148" s="0">
        <f>IF(IF(B1148="none",1,IF(B1148="Trialer",1,0))+IF(C1148="Customer",1,IF(C1148="Lost",1,0))=2,1,0)</f>
      </c>
      <c r="X1148" s="0" t="s">
        <v>136</v>
      </c>
      <c r="Y1148" s="0" t="s">
        <v>499</v>
      </c>
      <c r="AV1148" s="68"/>
      <c r="AW1148" s="68"/>
      <c r="AY1148" s="27"/>
      <c r="BD1148" s="68">
        <v>46054.1666666667</v>
      </c>
      <c r="BE1148" s="68">
        <v>46082.1666666667</v>
      </c>
      <c r="BF1148" s="0" t="b">
        <v>0</v>
      </c>
      <c r="BG1148" s="0" t="b">
        <v>0</v>
      </c>
      <c r="BH1148" s="0">
        <v>52</v>
      </c>
      <c r="BI1148" s="0">
        <v>52</v>
      </c>
      <c r="BJ1148" s="0" t="s">
        <v>135</v>
      </c>
    </row>
    <row r="1149">
      <c r="A1149" s="0" t="s">
        <v>1355</v>
      </c>
      <c r="B1149" s="0" t="s">
        <v>134</v>
      </c>
      <c r="C1149" s="0" t="s">
        <v>134</v>
      </c>
      <c r="D1149" s="0" t="s">
        <v>230</v>
      </c>
      <c r="E1149" s="0" t="s">
        <v>2</v>
      </c>
      <c r="F1149" s="0" t="s">
        <v>12</v>
      </c>
      <c r="G1149" s="0" t="s">
        <v>8</v>
      </c>
      <c r="H1149" s="0">
        <v>1901</v>
      </c>
      <c r="I1149" s="0">
        <v>476.1</v>
      </c>
      <c r="J1149" s="0">
        <v>0</v>
      </c>
      <c r="K1149" s="0">
        <v>1</v>
      </c>
      <c r="L1149" s="0">
        <v>4</v>
      </c>
      <c r="M1149" s="0">
        <v>10</v>
      </c>
      <c r="N1149" s="0">
        <v>0</v>
      </c>
      <c r="O1149" s="0">
        <v>0</v>
      </c>
      <c r="P1149" s="0">
        <v>-476.1</v>
      </c>
      <c r="R1149" s="0" t="b">
        <v>0</v>
      </c>
      <c r="S1149" s="0" t="b">
        <v>1</v>
      </c>
      <c r="T1149" s="68">
        <v>44152.4527777778</v>
      </c>
      <c r="U1149" s="68">
        <v>44182.2916666667</v>
      </c>
      <c r="V1149" s="68">
        <v>0</v>
      </c>
      <c r="W1149" s="0">
        <f>IF(IF(B1149="none",1,IF(B1149="Trialer",1,0))+IF(C1149="Customer",1,IF(C1149="Lost",1,0))=2,1,0)</f>
      </c>
      <c r="X1149" s="0" t="s">
        <v>148</v>
      </c>
      <c r="Y1149" s="0" t="s">
        <v>499</v>
      </c>
      <c r="AV1149" s="68"/>
      <c r="AW1149" s="68"/>
      <c r="AY1149" s="27"/>
      <c r="BD1149" s="68">
        <v>46054.1666666667</v>
      </c>
      <c r="BE1149" s="68">
        <v>46082.1666666667</v>
      </c>
      <c r="BF1149" s="0" t="b">
        <v>0</v>
      </c>
      <c r="BG1149" s="0" t="b">
        <v>0</v>
      </c>
      <c r="BH1149" s="0">
        <v>581</v>
      </c>
      <c r="BI1149" s="0">
        <v>581</v>
      </c>
      <c r="BJ1149" s="0" t="s">
        <v>230</v>
      </c>
    </row>
    <row r="1150">
      <c r="A1150" s="0" t="s">
        <v>1356</v>
      </c>
      <c r="B1150" s="0" t="s">
        <v>134</v>
      </c>
      <c r="C1150" s="0" t="s">
        <v>134</v>
      </c>
      <c r="D1150" s="0" t="s">
        <v>230</v>
      </c>
      <c r="E1150" s="0" t="s">
        <v>2</v>
      </c>
      <c r="F1150" s="0" t="s">
        <v>12</v>
      </c>
      <c r="G1150" s="0" t="s">
        <v>8</v>
      </c>
      <c r="H1150" s="0">
        <v>1901</v>
      </c>
      <c r="I1150" s="0">
        <v>286.2</v>
      </c>
      <c r="J1150" s="0">
        <v>0</v>
      </c>
      <c r="K1150" s="0">
        <v>1</v>
      </c>
      <c r="L1150" s="0">
        <v>4</v>
      </c>
      <c r="M1150" s="0">
        <v>6</v>
      </c>
      <c r="N1150" s="0">
        <v>0</v>
      </c>
      <c r="O1150" s="0">
        <v>0</v>
      </c>
      <c r="P1150" s="0">
        <v>-286.2</v>
      </c>
      <c r="R1150" s="0" t="b">
        <v>0</v>
      </c>
      <c r="S1150" s="0" t="b">
        <v>1</v>
      </c>
      <c r="T1150" s="68">
        <v>44152.6208333333</v>
      </c>
      <c r="U1150" s="68">
        <v>44188.2916666667</v>
      </c>
      <c r="V1150" s="68">
        <v>0</v>
      </c>
      <c r="W1150" s="0">
        <f>IF(IF(B1150="none",1,IF(B1150="Trialer",1,0))+IF(C1150="Customer",1,IF(C1150="Lost",1,0))=2,1,0)</f>
      </c>
      <c r="X1150" s="0" t="s">
        <v>145</v>
      </c>
      <c r="Y1150" s="0" t="s">
        <v>499</v>
      </c>
      <c r="AV1150" s="68"/>
      <c r="AW1150" s="68"/>
      <c r="AY1150" s="27"/>
      <c r="BD1150" s="68">
        <v>46054.1666666667</v>
      </c>
      <c r="BE1150" s="68">
        <v>46082.1666666667</v>
      </c>
      <c r="BF1150" s="0" t="b">
        <v>0</v>
      </c>
      <c r="BG1150" s="0" t="b">
        <v>0</v>
      </c>
      <c r="BH1150" s="0">
        <v>353</v>
      </c>
      <c r="BI1150" s="0">
        <v>353</v>
      </c>
      <c r="BJ1150" s="0" t="s">
        <v>230</v>
      </c>
    </row>
    <row r="1151">
      <c r="A1151" s="0" t="s">
        <v>1357</v>
      </c>
      <c r="B1151" s="0" t="s">
        <v>134</v>
      </c>
      <c r="C1151" s="0" t="s">
        <v>134</v>
      </c>
      <c r="D1151" s="0" t="s">
        <v>230</v>
      </c>
      <c r="E1151" s="0" t="s">
        <v>3</v>
      </c>
      <c r="F1151" s="0" t="s">
        <v>12</v>
      </c>
      <c r="G1151" s="0" t="s">
        <v>8</v>
      </c>
      <c r="H1151" s="0">
        <v>1900</v>
      </c>
      <c r="I1151" s="0">
        <v>97.2</v>
      </c>
      <c r="J1151" s="0">
        <v>0</v>
      </c>
      <c r="K1151" s="0">
        <v>1</v>
      </c>
      <c r="L1151" s="0">
        <v>3</v>
      </c>
      <c r="M1151" s="0">
        <v>3</v>
      </c>
      <c r="N1151" s="0">
        <v>0</v>
      </c>
      <c r="O1151" s="0">
        <v>0</v>
      </c>
      <c r="P1151" s="0">
        <v>1069.2</v>
      </c>
      <c r="R1151" s="0" t="b">
        <v>0</v>
      </c>
      <c r="S1151" s="0" t="b">
        <v>1</v>
      </c>
      <c r="T1151" s="68">
        <v>44153.5541666667</v>
      </c>
      <c r="U1151" s="68">
        <v>44183.2916666667</v>
      </c>
      <c r="V1151" s="68">
        <v>0</v>
      </c>
      <c r="W1151" s="0">
        <f>IF(IF(B1151="none",1,IF(B1151="Trialer",1,0))+IF(C1151="Customer",1,IF(C1151="Lost",1,0))=2,1,0)</f>
      </c>
      <c r="X1151" s="0" t="s">
        <v>142</v>
      </c>
      <c r="Y1151" s="0" t="s">
        <v>243</v>
      </c>
      <c r="AV1151" s="68"/>
      <c r="AW1151" s="68"/>
      <c r="AY1151" s="27"/>
      <c r="BD1151" s="68">
        <v>46054.1666666667</v>
      </c>
      <c r="BE1151" s="68">
        <v>46082.1666666667</v>
      </c>
      <c r="BF1151" s="0" t="b">
        <v>0</v>
      </c>
      <c r="BG1151" s="0" t="b">
        <v>0</v>
      </c>
      <c r="BH1151" s="0">
        <v>108</v>
      </c>
      <c r="BI1151" s="0">
        <v>108</v>
      </c>
      <c r="BJ1151" s="0" t="s">
        <v>230</v>
      </c>
    </row>
    <row r="1152">
      <c r="A1152" s="0" t="s">
        <v>1358</v>
      </c>
      <c r="B1152" s="0" t="s">
        <v>134</v>
      </c>
      <c r="C1152" s="0" t="s">
        <v>134</v>
      </c>
      <c r="D1152" s="0" t="s">
        <v>135</v>
      </c>
      <c r="E1152" s="0" t="s">
        <v>3</v>
      </c>
      <c r="F1152" s="0" t="s">
        <v>12</v>
      </c>
      <c r="G1152" s="0" t="s">
        <v>8</v>
      </c>
      <c r="H1152" s="0">
        <v>1900</v>
      </c>
      <c r="I1152" s="0">
        <v>120</v>
      </c>
      <c r="J1152" s="0">
        <v>0</v>
      </c>
      <c r="K1152" s="0">
        <v>1</v>
      </c>
      <c r="L1152" s="0">
        <v>2</v>
      </c>
      <c r="M1152" s="0">
        <v>3</v>
      </c>
      <c r="N1152" s="0">
        <v>0</v>
      </c>
      <c r="O1152" s="0">
        <v>0</v>
      </c>
      <c r="P1152" s="0">
        <v>0</v>
      </c>
      <c r="R1152" s="0" t="b">
        <v>0</v>
      </c>
      <c r="S1152" s="0" t="b">
        <v>1</v>
      </c>
      <c r="T1152" s="68">
        <v>44153.8322685185</v>
      </c>
      <c r="U1152" s="68">
        <v>44193.2916666667</v>
      </c>
      <c r="V1152" s="68">
        <v>0</v>
      </c>
      <c r="W1152" s="0">
        <f>IF(IF(B1152="none",1,IF(B1152="Trialer",1,0))+IF(C1152="Customer",1,IF(C1152="Lost",1,0))=2,1,0)</f>
      </c>
      <c r="X1152" s="0" t="s">
        <v>142</v>
      </c>
      <c r="Y1152" s="0" t="s">
        <v>243</v>
      </c>
      <c r="AV1152" s="68"/>
      <c r="AW1152" s="68"/>
      <c r="AY1152" s="27"/>
      <c r="BD1152" s="68">
        <v>46054.1666666667</v>
      </c>
      <c r="BE1152" s="68">
        <v>46082.1666666667</v>
      </c>
      <c r="BF1152" s="0" t="b">
        <v>0</v>
      </c>
      <c r="BG1152" s="0" t="b">
        <v>0</v>
      </c>
      <c r="BH1152" s="0">
        <v>120</v>
      </c>
      <c r="BI1152" s="0">
        <v>120</v>
      </c>
      <c r="BJ1152" s="0" t="s">
        <v>135</v>
      </c>
    </row>
    <row r="1153">
      <c r="A1153" s="0" t="s">
        <v>1359</v>
      </c>
      <c r="B1153" s="0" t="s">
        <v>134</v>
      </c>
      <c r="C1153" s="0" t="s">
        <v>134</v>
      </c>
      <c r="D1153" s="0" t="s">
        <v>135</v>
      </c>
      <c r="E1153" s="0" t="s">
        <v>3</v>
      </c>
      <c r="F1153" s="0" t="s">
        <v>12</v>
      </c>
      <c r="G1153" s="0" t="s">
        <v>8</v>
      </c>
      <c r="H1153" s="0">
        <v>1899</v>
      </c>
      <c r="I1153" s="0">
        <v>0</v>
      </c>
      <c r="J1153" s="0">
        <v>0</v>
      </c>
      <c r="K1153" s="0">
        <v>1</v>
      </c>
      <c r="L1153" s="0">
        <v>4</v>
      </c>
      <c r="M1153" s="0">
        <v>1</v>
      </c>
      <c r="N1153" s="0">
        <v>0</v>
      </c>
      <c r="O1153" s="0">
        <v>0</v>
      </c>
      <c r="P1153" s="0">
        <v>0</v>
      </c>
      <c r="R1153" s="0" t="b">
        <v>0</v>
      </c>
      <c r="S1153" s="0" t="b">
        <v>1</v>
      </c>
      <c r="T1153" s="68">
        <v>44154.6668865741</v>
      </c>
      <c r="U1153" s="68">
        <v>44158.2916666667</v>
      </c>
      <c r="V1153" s="68">
        <v>0</v>
      </c>
      <c r="W1153" s="0">
        <f>IF(IF(B1153="none",1,IF(B1153="Trialer",1,0))+IF(C1153="Customer",1,IF(C1153="Lost",1,0))=2,1,0)</f>
      </c>
      <c r="X1153" s="0" t="s">
        <v>148</v>
      </c>
      <c r="Y1153" s="0" t="s">
        <v>243</v>
      </c>
      <c r="AV1153" s="68"/>
      <c r="AW1153" s="68"/>
      <c r="AY1153" s="27"/>
      <c r="BD1153" s="68">
        <v>46054.1666666667</v>
      </c>
      <c r="BE1153" s="68">
        <v>46082.1666666667</v>
      </c>
      <c r="BF1153" s="0" t="b">
        <v>0</v>
      </c>
      <c r="BG1153" s="0" t="b">
        <v>0</v>
      </c>
      <c r="BH1153" s="0">
        <v>0</v>
      </c>
      <c r="BI1153" s="0">
        <v>0</v>
      </c>
      <c r="BJ1153" s="0" t="s">
        <v>135</v>
      </c>
    </row>
    <row r="1154">
      <c r="A1154" s="0" t="s">
        <v>1360</v>
      </c>
      <c r="B1154" s="0" t="s">
        <v>134</v>
      </c>
      <c r="C1154" s="0" t="s">
        <v>134</v>
      </c>
      <c r="D1154" s="0" t="s">
        <v>135</v>
      </c>
      <c r="E1154" s="0" t="s">
        <v>3</v>
      </c>
      <c r="F1154" s="0" t="s">
        <v>12</v>
      </c>
      <c r="G1154" s="0" t="s">
        <v>8</v>
      </c>
      <c r="H1154" s="0">
        <v>1894</v>
      </c>
      <c r="I1154" s="0">
        <v>0</v>
      </c>
      <c r="J1154" s="0">
        <v>0</v>
      </c>
      <c r="K1154" s="0">
        <v>1</v>
      </c>
      <c r="L1154" s="0">
        <v>3</v>
      </c>
      <c r="M1154" s="0">
        <v>1</v>
      </c>
      <c r="N1154" s="0">
        <v>0</v>
      </c>
      <c r="O1154" s="0">
        <v>0</v>
      </c>
      <c r="P1154" s="0">
        <v>0</v>
      </c>
      <c r="R1154" s="0" t="b">
        <v>0</v>
      </c>
      <c r="S1154" s="0" t="b">
        <v>1</v>
      </c>
      <c r="T1154" s="68">
        <v>44159.6594328704</v>
      </c>
      <c r="U1154" s="68">
        <v>44189.2916666667</v>
      </c>
      <c r="V1154" s="68">
        <v>0</v>
      </c>
      <c r="W1154" s="0">
        <f>IF(IF(B1154="none",1,IF(B1154="Trialer",1,0))+IF(C1154="Customer",1,IF(C1154="Lost",1,0))=2,1,0)</f>
      </c>
      <c r="X1154" s="0" t="s">
        <v>136</v>
      </c>
      <c r="Y1154" s="0" t="s">
        <v>243</v>
      </c>
      <c r="AV1154" s="68"/>
      <c r="AW1154" s="68"/>
      <c r="AY1154" s="27"/>
      <c r="BD1154" s="68">
        <v>46054.1666666667</v>
      </c>
      <c r="BE1154" s="68">
        <v>46082.1666666667</v>
      </c>
      <c r="BF1154" s="0" t="b">
        <v>0</v>
      </c>
      <c r="BG1154" s="0" t="b">
        <v>0</v>
      </c>
      <c r="BH1154" s="0">
        <v>0</v>
      </c>
      <c r="BI1154" s="0">
        <v>0</v>
      </c>
      <c r="BJ1154" s="0" t="s">
        <v>135</v>
      </c>
    </row>
    <row r="1155">
      <c r="A1155" s="0" t="s">
        <v>1361</v>
      </c>
      <c r="B1155" s="0" t="s">
        <v>134</v>
      </c>
      <c r="C1155" s="0" t="s">
        <v>134</v>
      </c>
      <c r="D1155" s="0" t="s">
        <v>135</v>
      </c>
      <c r="E1155" s="0" t="s">
        <v>2</v>
      </c>
      <c r="F1155" s="0" t="s">
        <v>12</v>
      </c>
      <c r="G1155" s="0" t="s">
        <v>8</v>
      </c>
      <c r="H1155" s="0">
        <v>1893</v>
      </c>
      <c r="I1155" s="0">
        <v>196</v>
      </c>
      <c r="J1155" s="0">
        <v>0</v>
      </c>
      <c r="K1155" s="0">
        <v>1</v>
      </c>
      <c r="L1155" s="0">
        <v>3</v>
      </c>
      <c r="M1155" s="0">
        <v>4</v>
      </c>
      <c r="N1155" s="0">
        <v>0</v>
      </c>
      <c r="O1155" s="0">
        <v>0</v>
      </c>
      <c r="P1155" s="0">
        <v>0</v>
      </c>
      <c r="R1155" s="0" t="b">
        <v>0</v>
      </c>
      <c r="S1155" s="0" t="b">
        <v>1</v>
      </c>
      <c r="T1155" s="68">
        <v>44160.4565277778</v>
      </c>
      <c r="U1155" s="68">
        <v>44190.2916666667</v>
      </c>
      <c r="V1155" s="68">
        <v>0</v>
      </c>
      <c r="W1155" s="0">
        <f>IF(IF(B1155="none",1,IF(B1155="Trialer",1,0))+IF(C1155="Customer",1,IF(C1155="Lost",1,0))=2,1,0)</f>
      </c>
      <c r="X1155" s="0" t="s">
        <v>145</v>
      </c>
      <c r="Y1155" s="0" t="s">
        <v>499</v>
      </c>
      <c r="AV1155" s="68"/>
      <c r="AW1155" s="68"/>
      <c r="AY1155" s="27"/>
      <c r="BD1155" s="68">
        <v>46054.1666666667</v>
      </c>
      <c r="BE1155" s="68">
        <v>46082.1666666667</v>
      </c>
      <c r="BF1155" s="0" t="b">
        <v>0</v>
      </c>
      <c r="BG1155" s="0" t="b">
        <v>0</v>
      </c>
      <c r="BH1155" s="0">
        <v>147</v>
      </c>
      <c r="BI1155" s="0">
        <v>147</v>
      </c>
      <c r="BJ1155" s="0" t="s">
        <v>135</v>
      </c>
    </row>
    <row r="1156">
      <c r="A1156" s="0" t="s">
        <v>1362</v>
      </c>
      <c r="B1156" s="0" t="s">
        <v>134</v>
      </c>
      <c r="C1156" s="0" t="s">
        <v>134</v>
      </c>
      <c r="D1156" s="0" t="s">
        <v>135</v>
      </c>
      <c r="E1156" s="0" t="s">
        <v>3</v>
      </c>
      <c r="F1156" s="0" t="s">
        <v>12</v>
      </c>
      <c r="G1156" s="0" t="s">
        <v>8</v>
      </c>
      <c r="H1156" s="0">
        <v>1893</v>
      </c>
      <c r="I1156" s="0">
        <v>126</v>
      </c>
      <c r="J1156" s="0">
        <v>0</v>
      </c>
      <c r="K1156" s="0">
        <v>1</v>
      </c>
      <c r="L1156" s="0">
        <v>3</v>
      </c>
      <c r="M1156" s="0">
        <v>3</v>
      </c>
      <c r="N1156" s="0">
        <v>0</v>
      </c>
      <c r="O1156" s="0">
        <v>0</v>
      </c>
      <c r="P1156" s="0">
        <v>0</v>
      </c>
      <c r="R1156" s="0" t="b">
        <v>0</v>
      </c>
      <c r="S1156" s="0" t="b">
        <v>1</v>
      </c>
      <c r="T1156" s="68">
        <v>44160.6403935185</v>
      </c>
      <c r="U1156" s="68">
        <v>44193.2916666667</v>
      </c>
      <c r="V1156" s="68">
        <v>0</v>
      </c>
      <c r="W1156" s="0">
        <f>IF(IF(B1156="none",1,IF(B1156="Trialer",1,0))+IF(C1156="Customer",1,IF(C1156="Lost",1,0))=2,1,0)</f>
      </c>
      <c r="X1156" s="0" t="s">
        <v>142</v>
      </c>
      <c r="Y1156" s="0" t="s">
        <v>243</v>
      </c>
      <c r="AV1156" s="68"/>
      <c r="AW1156" s="68"/>
      <c r="AY1156" s="27"/>
      <c r="BD1156" s="68">
        <v>46054.1666666667</v>
      </c>
      <c r="BE1156" s="68">
        <v>46082.1666666667</v>
      </c>
      <c r="BF1156" s="0" t="b">
        <v>0</v>
      </c>
      <c r="BG1156" s="0" t="b">
        <v>0</v>
      </c>
      <c r="BH1156" s="0">
        <v>126</v>
      </c>
      <c r="BI1156" s="0">
        <v>126</v>
      </c>
      <c r="BJ1156" s="0" t="s">
        <v>135</v>
      </c>
    </row>
    <row r="1157">
      <c r="A1157" s="0" t="s">
        <v>1363</v>
      </c>
      <c r="B1157" s="0" t="s">
        <v>134</v>
      </c>
      <c r="C1157" s="0" t="s">
        <v>134</v>
      </c>
      <c r="D1157" s="0" t="s">
        <v>135</v>
      </c>
      <c r="E1157" s="0" t="s">
        <v>3</v>
      </c>
      <c r="F1157" s="0" t="s">
        <v>12</v>
      </c>
      <c r="G1157" s="0" t="s">
        <v>8</v>
      </c>
      <c r="H1157" s="0">
        <v>1892</v>
      </c>
      <c r="I1157" s="0">
        <v>0</v>
      </c>
      <c r="J1157" s="0">
        <v>0</v>
      </c>
      <c r="K1157" s="0">
        <v>1</v>
      </c>
      <c r="L1157" s="0">
        <v>3</v>
      </c>
      <c r="M1157" s="0">
        <v>1</v>
      </c>
      <c r="N1157" s="0">
        <v>0</v>
      </c>
      <c r="O1157" s="0">
        <v>0</v>
      </c>
      <c r="P1157" s="0">
        <v>0</v>
      </c>
      <c r="R1157" s="0" t="b">
        <v>0</v>
      </c>
      <c r="S1157" s="0" t="b">
        <v>1</v>
      </c>
      <c r="T1157" s="68">
        <v>44161.3580787037</v>
      </c>
      <c r="U1157" s="68">
        <v>44161.2916666667</v>
      </c>
      <c r="V1157" s="68">
        <v>0</v>
      </c>
      <c r="W1157" s="0">
        <f>IF(IF(B1157="none",1,IF(B1157="Trialer",1,0))+IF(C1157="Customer",1,IF(C1157="Lost",1,0))=2,1,0)</f>
      </c>
      <c r="X1157" s="0" t="s">
        <v>148</v>
      </c>
      <c r="Y1157" s="0" t="s">
        <v>243</v>
      </c>
      <c r="AV1157" s="68"/>
      <c r="AW1157" s="68"/>
      <c r="AY1157" s="27"/>
      <c r="BD1157" s="68">
        <v>46054.1666666667</v>
      </c>
      <c r="BE1157" s="68">
        <v>46082.1666666667</v>
      </c>
      <c r="BF1157" s="0" t="b">
        <v>0</v>
      </c>
      <c r="BG1157" s="0" t="b">
        <v>0</v>
      </c>
      <c r="BH1157" s="0">
        <v>0</v>
      </c>
      <c r="BI1157" s="0">
        <v>0</v>
      </c>
      <c r="BJ1157" s="0" t="s">
        <v>135</v>
      </c>
    </row>
    <row r="1158">
      <c r="A1158" s="0" t="s">
        <v>1364</v>
      </c>
      <c r="B1158" s="0" t="s">
        <v>134</v>
      </c>
      <c r="C1158" s="0" t="s">
        <v>134</v>
      </c>
      <c r="D1158" s="0" t="s">
        <v>135</v>
      </c>
      <c r="E1158" s="0" t="s">
        <v>3</v>
      </c>
      <c r="F1158" s="0" t="s">
        <v>12</v>
      </c>
      <c r="G1158" s="0" t="s">
        <v>8</v>
      </c>
      <c r="H1158" s="0">
        <v>1892</v>
      </c>
      <c r="I1158" s="0">
        <v>0</v>
      </c>
      <c r="J1158" s="0">
        <v>0</v>
      </c>
      <c r="K1158" s="0">
        <v>1</v>
      </c>
      <c r="L1158" s="0">
        <v>3</v>
      </c>
      <c r="M1158" s="0">
        <v>1</v>
      </c>
      <c r="N1158" s="0">
        <v>0</v>
      </c>
      <c r="O1158" s="0">
        <v>0</v>
      </c>
      <c r="P1158" s="0">
        <v>0</v>
      </c>
      <c r="R1158" s="0" t="b">
        <v>0</v>
      </c>
      <c r="S1158" s="0" t="b">
        <v>1</v>
      </c>
      <c r="T1158" s="68">
        <v>44161.7829398148</v>
      </c>
      <c r="U1158" s="68">
        <v>44191.2916666667</v>
      </c>
      <c r="V1158" s="68">
        <v>0</v>
      </c>
      <c r="W1158" s="0">
        <f>IF(IF(B1158="none",1,IF(B1158="Trialer",1,0))+IF(C1158="Customer",1,IF(C1158="Lost",1,0))=2,1,0)</f>
      </c>
      <c r="X1158" s="0" t="s">
        <v>145</v>
      </c>
      <c r="Y1158" s="0" t="s">
        <v>243</v>
      </c>
      <c r="AV1158" s="68"/>
      <c r="AW1158" s="68"/>
      <c r="AY1158" s="27"/>
      <c r="BD1158" s="68">
        <v>46054.1666666667</v>
      </c>
      <c r="BE1158" s="68">
        <v>46082.1666666667</v>
      </c>
      <c r="BF1158" s="0" t="b">
        <v>0</v>
      </c>
      <c r="BG1158" s="0" t="b">
        <v>0</v>
      </c>
      <c r="BH1158" s="0">
        <v>0</v>
      </c>
      <c r="BI1158" s="0">
        <v>0</v>
      </c>
      <c r="BJ1158" s="0" t="s">
        <v>230</v>
      </c>
    </row>
    <row r="1159">
      <c r="A1159" s="0" t="s">
        <v>1365</v>
      </c>
      <c r="B1159" s="0" t="s">
        <v>134</v>
      </c>
      <c r="C1159" s="0" t="s">
        <v>134</v>
      </c>
      <c r="D1159" s="0" t="s">
        <v>135</v>
      </c>
      <c r="E1159" s="0" t="s">
        <v>3</v>
      </c>
      <c r="F1159" s="0" t="s">
        <v>12</v>
      </c>
      <c r="G1159" s="0" t="s">
        <v>8</v>
      </c>
      <c r="H1159" s="0">
        <v>1887</v>
      </c>
      <c r="I1159" s="0">
        <v>98</v>
      </c>
      <c r="J1159" s="0">
        <v>0</v>
      </c>
      <c r="K1159" s="0">
        <v>1</v>
      </c>
      <c r="L1159" s="0">
        <v>3</v>
      </c>
      <c r="M1159" s="0">
        <v>2</v>
      </c>
      <c r="N1159" s="0">
        <v>0</v>
      </c>
      <c r="O1159" s="0">
        <v>0</v>
      </c>
      <c r="P1159" s="0">
        <v>0</v>
      </c>
      <c r="R1159" s="0" t="b">
        <v>0</v>
      </c>
      <c r="S1159" s="0" t="b">
        <v>1</v>
      </c>
      <c r="T1159" s="68">
        <v>44166.0390393519</v>
      </c>
      <c r="U1159" s="68">
        <v>44196.2916666667</v>
      </c>
      <c r="V1159" s="68">
        <v>0</v>
      </c>
      <c r="W1159" s="0">
        <f>IF(IF(B1159="none",1,IF(B1159="Trialer",1,0))+IF(C1159="Customer",1,IF(C1159="Lost",1,0))=2,1,0)</f>
      </c>
      <c r="X1159" s="0" t="s">
        <v>142</v>
      </c>
      <c r="Y1159" s="0" t="s">
        <v>243</v>
      </c>
      <c r="AV1159" s="68"/>
      <c r="AW1159" s="68"/>
      <c r="AY1159" s="27"/>
      <c r="BD1159" s="68">
        <v>46054.1666666667</v>
      </c>
      <c r="BE1159" s="68">
        <v>46082.1666666667</v>
      </c>
      <c r="BF1159" s="0" t="b">
        <v>0</v>
      </c>
      <c r="BG1159" s="0" t="b">
        <v>0</v>
      </c>
      <c r="BH1159" s="0">
        <v>98</v>
      </c>
      <c r="BI1159" s="0">
        <v>98</v>
      </c>
      <c r="BJ1159" s="0" t="s">
        <v>135</v>
      </c>
    </row>
    <row r="1160">
      <c r="A1160" s="0" t="s">
        <v>1366</v>
      </c>
      <c r="B1160" s="0" t="s">
        <v>134</v>
      </c>
      <c r="C1160" s="0" t="s">
        <v>134</v>
      </c>
      <c r="D1160" s="0" t="s">
        <v>135</v>
      </c>
      <c r="E1160" s="0" t="s">
        <v>3</v>
      </c>
      <c r="F1160" s="0" t="s">
        <v>12</v>
      </c>
      <c r="G1160" s="0" t="s">
        <v>8</v>
      </c>
      <c r="H1160" s="0">
        <v>1887</v>
      </c>
      <c r="I1160" s="0">
        <v>98</v>
      </c>
      <c r="J1160" s="0">
        <v>0</v>
      </c>
      <c r="K1160" s="0">
        <v>1</v>
      </c>
      <c r="L1160" s="0">
        <v>3</v>
      </c>
      <c r="M1160" s="0">
        <v>2</v>
      </c>
      <c r="N1160" s="0">
        <v>0</v>
      </c>
      <c r="O1160" s="0">
        <v>0</v>
      </c>
      <c r="P1160" s="0">
        <v>0</v>
      </c>
      <c r="R1160" s="0" t="b">
        <v>0</v>
      </c>
      <c r="S1160" s="0" t="b">
        <v>1</v>
      </c>
      <c r="T1160" s="68">
        <v>44166.6226388889</v>
      </c>
      <c r="U1160" s="68">
        <v>44200.2916666667</v>
      </c>
      <c r="V1160" s="68">
        <v>0</v>
      </c>
      <c r="W1160" s="0">
        <f>IF(IF(B1160="none",1,IF(B1160="Trialer",1,0))+IF(C1160="Customer",1,IF(C1160="Lost",1,0))=2,1,0)</f>
      </c>
      <c r="X1160" s="0" t="s">
        <v>166</v>
      </c>
      <c r="Y1160" s="0" t="s">
        <v>243</v>
      </c>
      <c r="AV1160" s="68"/>
      <c r="AW1160" s="68"/>
      <c r="AY1160" s="27"/>
      <c r="BD1160" s="68">
        <v>46054.1666666667</v>
      </c>
      <c r="BE1160" s="68">
        <v>46082.1666666667</v>
      </c>
      <c r="BF1160" s="0" t="b">
        <v>0</v>
      </c>
      <c r="BG1160" s="0" t="b">
        <v>0</v>
      </c>
      <c r="BH1160" s="0">
        <v>98</v>
      </c>
      <c r="BI1160" s="0">
        <v>98</v>
      </c>
      <c r="BJ1160" s="0" t="s">
        <v>135</v>
      </c>
    </row>
    <row r="1161">
      <c r="A1161" s="0" t="s">
        <v>1367</v>
      </c>
      <c r="B1161" s="0" t="s">
        <v>134</v>
      </c>
      <c r="C1161" s="0" t="s">
        <v>134</v>
      </c>
      <c r="D1161" s="0" t="s">
        <v>135</v>
      </c>
      <c r="E1161" s="0" t="s">
        <v>2</v>
      </c>
      <c r="F1161" s="0" t="s">
        <v>12</v>
      </c>
      <c r="G1161" s="0" t="s">
        <v>8</v>
      </c>
      <c r="H1161" s="0">
        <v>1886</v>
      </c>
      <c r="I1161" s="0">
        <v>123</v>
      </c>
      <c r="J1161" s="0">
        <v>0</v>
      </c>
      <c r="K1161" s="0">
        <v>1</v>
      </c>
      <c r="L1161" s="0">
        <v>3</v>
      </c>
      <c r="M1161" s="0">
        <v>3</v>
      </c>
      <c r="N1161" s="0">
        <v>0</v>
      </c>
      <c r="O1161" s="0">
        <v>0</v>
      </c>
      <c r="P1161" s="0">
        <v>0</v>
      </c>
      <c r="R1161" s="0" t="b">
        <v>0</v>
      </c>
      <c r="S1161" s="0" t="b">
        <v>1</v>
      </c>
      <c r="T1161" s="68">
        <v>44167.4118055556</v>
      </c>
      <c r="U1161" s="68">
        <v>44208.5</v>
      </c>
      <c r="V1161" s="68">
        <v>0</v>
      </c>
      <c r="W1161" s="0">
        <f>IF(IF(B1161="none",1,IF(B1161="Trialer",1,0))+IF(C1161="Customer",1,IF(C1161="Lost",1,0))=2,1,0)</f>
      </c>
      <c r="X1161" s="0" t="s">
        <v>142</v>
      </c>
      <c r="Y1161" s="0" t="s">
        <v>499</v>
      </c>
      <c r="AV1161" s="68"/>
      <c r="AW1161" s="68"/>
      <c r="AY1161" s="27"/>
      <c r="BD1161" s="68">
        <v>46054.1666666667</v>
      </c>
      <c r="BE1161" s="68">
        <v>46082.1666666667</v>
      </c>
      <c r="BF1161" s="0" t="b">
        <v>0</v>
      </c>
      <c r="BG1161" s="0" t="b">
        <v>0</v>
      </c>
      <c r="BH1161" s="0">
        <v>123</v>
      </c>
      <c r="BI1161" s="0">
        <v>123</v>
      </c>
      <c r="BJ1161" s="0" t="s">
        <v>135</v>
      </c>
    </row>
    <row r="1162">
      <c r="A1162" s="0" t="s">
        <v>1368</v>
      </c>
      <c r="B1162" s="0" t="s">
        <v>134</v>
      </c>
      <c r="C1162" s="0" t="s">
        <v>134</v>
      </c>
      <c r="D1162" s="0" t="s">
        <v>230</v>
      </c>
      <c r="E1162" s="0" t="s">
        <v>2</v>
      </c>
      <c r="F1162" s="0" t="s">
        <v>12</v>
      </c>
      <c r="G1162" s="0" t="s">
        <v>8</v>
      </c>
      <c r="H1162" s="0">
        <v>1886</v>
      </c>
      <c r="I1162" s="0">
        <v>201.6</v>
      </c>
      <c r="J1162" s="0">
        <v>0</v>
      </c>
      <c r="K1162" s="0">
        <v>1</v>
      </c>
      <c r="L1162" s="0">
        <v>3</v>
      </c>
      <c r="M1162" s="0">
        <v>5</v>
      </c>
      <c r="N1162" s="0">
        <v>0</v>
      </c>
      <c r="O1162" s="0">
        <v>0</v>
      </c>
      <c r="P1162" s="0">
        <v>2217.6</v>
      </c>
      <c r="R1162" s="0" t="b">
        <v>0</v>
      </c>
      <c r="S1162" s="0" t="b">
        <v>1</v>
      </c>
      <c r="T1162" s="68">
        <v>44167.7305555556</v>
      </c>
      <c r="U1162" s="68">
        <v>44207.2916666667</v>
      </c>
      <c r="V1162" s="68">
        <v>0</v>
      </c>
      <c r="W1162" s="0">
        <f>IF(IF(B1162="none",1,IF(B1162="Trialer",1,0))+IF(C1162="Customer",1,IF(C1162="Lost",1,0))=2,1,0)</f>
      </c>
      <c r="X1162" s="0" t="s">
        <v>148</v>
      </c>
      <c r="Y1162" s="0" t="s">
        <v>499</v>
      </c>
      <c r="AV1162" s="68"/>
      <c r="AW1162" s="68"/>
      <c r="AY1162" s="27"/>
      <c r="BD1162" s="68">
        <v>46054.1666666667</v>
      </c>
      <c r="BE1162" s="68">
        <v>46082.1666666667</v>
      </c>
      <c r="BF1162" s="0" t="b">
        <v>0</v>
      </c>
      <c r="BG1162" s="0" t="b">
        <v>0</v>
      </c>
      <c r="BH1162" s="0">
        <v>252</v>
      </c>
      <c r="BI1162" s="0">
        <v>252</v>
      </c>
      <c r="BJ1162" s="0" t="s">
        <v>230</v>
      </c>
    </row>
    <row r="1163">
      <c r="A1163" s="0" t="s">
        <v>1369</v>
      </c>
      <c r="B1163" s="0" t="s">
        <v>134</v>
      </c>
      <c r="C1163" s="0" t="s">
        <v>134</v>
      </c>
      <c r="D1163" s="0" t="s">
        <v>230</v>
      </c>
      <c r="E1163" s="0" t="s">
        <v>2</v>
      </c>
      <c r="F1163" s="0" t="s">
        <v>12</v>
      </c>
      <c r="G1163" s="0" t="s">
        <v>8</v>
      </c>
      <c r="H1163" s="0">
        <v>1885</v>
      </c>
      <c r="I1163" s="0">
        <v>1379.75</v>
      </c>
      <c r="J1163" s="0">
        <v>0</v>
      </c>
      <c r="K1163" s="0">
        <v>2</v>
      </c>
      <c r="L1163" s="0">
        <v>4</v>
      </c>
      <c r="M1163" s="0">
        <v>19</v>
      </c>
      <c r="N1163" s="0">
        <v>0</v>
      </c>
      <c r="O1163" s="0">
        <v>0</v>
      </c>
      <c r="P1163" s="0">
        <v>-691</v>
      </c>
      <c r="R1163" s="0" t="b">
        <v>0</v>
      </c>
      <c r="S1163" s="0" t="b">
        <v>1</v>
      </c>
      <c r="T1163" s="68">
        <v>44168.4263888889</v>
      </c>
      <c r="U1163" s="68">
        <v>44198.5</v>
      </c>
      <c r="V1163" s="68">
        <v>0</v>
      </c>
      <c r="W1163" s="0">
        <f>IF(IF(B1163="none",1,IF(B1163="Trialer",1,0))+IF(C1163="Customer",1,IF(C1163="Lost",1,0))=2,1,0)</f>
      </c>
      <c r="X1163" s="0" t="s">
        <v>148</v>
      </c>
      <c r="Y1163" s="0" t="s">
        <v>499</v>
      </c>
      <c r="AV1163" s="68"/>
      <c r="AW1163" s="68"/>
      <c r="AY1163" s="27"/>
      <c r="BD1163" s="68">
        <v>46054.1666666667</v>
      </c>
      <c r="BE1163" s="68">
        <v>46082.1666666667</v>
      </c>
      <c r="BF1163" s="0" t="b">
        <v>0</v>
      </c>
      <c r="BG1163" s="0" t="b">
        <v>0</v>
      </c>
      <c r="BH1163" s="0">
        <v>809</v>
      </c>
      <c r="BI1163" s="0">
        <v>809</v>
      </c>
      <c r="BJ1163" s="0" t="s">
        <v>230</v>
      </c>
    </row>
    <row r="1164">
      <c r="A1164" s="0" t="s">
        <v>1370</v>
      </c>
      <c r="B1164" s="0" t="s">
        <v>134</v>
      </c>
      <c r="C1164" s="0" t="s">
        <v>134</v>
      </c>
      <c r="D1164" s="0" t="s">
        <v>135</v>
      </c>
      <c r="E1164" s="0" t="s">
        <v>2</v>
      </c>
      <c r="F1164" s="0" t="s">
        <v>12</v>
      </c>
      <c r="G1164" s="0" t="s">
        <v>8</v>
      </c>
      <c r="H1164" s="0">
        <v>1885</v>
      </c>
      <c r="I1164" s="0">
        <v>936</v>
      </c>
      <c r="J1164" s="0">
        <v>0</v>
      </c>
      <c r="K1164" s="0">
        <v>1</v>
      </c>
      <c r="L1164" s="0">
        <v>4</v>
      </c>
      <c r="M1164" s="0">
        <v>21</v>
      </c>
      <c r="N1164" s="0">
        <v>0</v>
      </c>
      <c r="O1164" s="0">
        <v>0</v>
      </c>
      <c r="P1164" s="0">
        <v>0</v>
      </c>
      <c r="R1164" s="0" t="b">
        <v>0</v>
      </c>
      <c r="S1164" s="0" t="b">
        <v>1</v>
      </c>
      <c r="T1164" s="68">
        <v>44168.4456712963</v>
      </c>
      <c r="U1164" s="68">
        <v>44214.2916666667</v>
      </c>
      <c r="V1164" s="68">
        <v>0</v>
      </c>
      <c r="W1164" s="0">
        <f>IF(IF(B1164="none",1,IF(B1164="Trialer",1,0))+IF(C1164="Customer",1,IF(C1164="Lost",1,0))=2,1,0)</f>
      </c>
      <c r="X1164" s="0" t="s">
        <v>145</v>
      </c>
      <c r="Y1164" s="0" t="s">
        <v>499</v>
      </c>
      <c r="AV1164" s="68"/>
      <c r="AW1164" s="68"/>
      <c r="AY1164" s="27"/>
      <c r="BD1164" s="68">
        <v>46054.1666666667</v>
      </c>
      <c r="BE1164" s="68">
        <v>46082.1666666667</v>
      </c>
      <c r="BF1164" s="0" t="b">
        <v>0</v>
      </c>
      <c r="BG1164" s="0" t="b">
        <v>0</v>
      </c>
      <c r="BH1164" s="0">
        <v>936</v>
      </c>
      <c r="BI1164" s="0">
        <v>936</v>
      </c>
      <c r="BJ1164" s="0" t="s">
        <v>135</v>
      </c>
    </row>
    <row r="1165">
      <c r="A1165" s="0" t="s">
        <v>1371</v>
      </c>
      <c r="B1165" s="0" t="s">
        <v>134</v>
      </c>
      <c r="C1165" s="0" t="s">
        <v>134</v>
      </c>
      <c r="D1165" s="0" t="s">
        <v>135</v>
      </c>
      <c r="E1165" s="0" t="s">
        <v>3</v>
      </c>
      <c r="F1165" s="0" t="s">
        <v>12</v>
      </c>
      <c r="G1165" s="0" t="s">
        <v>8</v>
      </c>
      <c r="H1165" s="0">
        <v>1883</v>
      </c>
      <c r="I1165" s="0">
        <v>129</v>
      </c>
      <c r="J1165" s="0">
        <v>0</v>
      </c>
      <c r="K1165" s="0">
        <v>1</v>
      </c>
      <c r="L1165" s="0">
        <v>3</v>
      </c>
      <c r="M1165" s="0">
        <v>3</v>
      </c>
      <c r="N1165" s="0">
        <v>0</v>
      </c>
      <c r="O1165" s="0">
        <v>0</v>
      </c>
      <c r="P1165" s="0">
        <v>0</v>
      </c>
      <c r="R1165" s="0" t="b">
        <v>0</v>
      </c>
      <c r="S1165" s="0" t="b">
        <v>1</v>
      </c>
      <c r="T1165" s="68">
        <v>44170.3973611111</v>
      </c>
      <c r="U1165" s="68">
        <v>44200.2916666667</v>
      </c>
      <c r="V1165" s="68">
        <v>0</v>
      </c>
      <c r="W1165" s="0">
        <f>IF(IF(B1165="none",1,IF(B1165="Trialer",1,0))+IF(C1165="Customer",1,IF(C1165="Lost",1,0))=2,1,0)</f>
      </c>
      <c r="X1165" s="0" t="s">
        <v>142</v>
      </c>
      <c r="Y1165" s="0" t="s">
        <v>243</v>
      </c>
      <c r="AV1165" s="68"/>
      <c r="AW1165" s="68"/>
      <c r="AY1165" s="27"/>
      <c r="BD1165" s="68">
        <v>46054.1666666667</v>
      </c>
      <c r="BE1165" s="68">
        <v>46082.1666666667</v>
      </c>
      <c r="BF1165" s="0" t="b">
        <v>0</v>
      </c>
      <c r="BG1165" s="0" t="b">
        <v>0</v>
      </c>
      <c r="BH1165" s="0">
        <v>129</v>
      </c>
      <c r="BI1165" s="0">
        <v>129</v>
      </c>
      <c r="BJ1165" s="0" t="s">
        <v>135</v>
      </c>
    </row>
    <row r="1166">
      <c r="A1166" s="0" t="s">
        <v>1372</v>
      </c>
      <c r="B1166" s="0" t="s">
        <v>134</v>
      </c>
      <c r="C1166" s="0" t="s">
        <v>134</v>
      </c>
      <c r="D1166" s="0" t="s">
        <v>135</v>
      </c>
      <c r="E1166" s="0" t="s">
        <v>2</v>
      </c>
      <c r="F1166" s="0" t="s">
        <v>12</v>
      </c>
      <c r="G1166" s="0" t="s">
        <v>8</v>
      </c>
      <c r="H1166" s="0">
        <v>1881</v>
      </c>
      <c r="I1166" s="0">
        <v>0</v>
      </c>
      <c r="J1166" s="0">
        <v>0</v>
      </c>
      <c r="K1166" s="0">
        <v>1</v>
      </c>
      <c r="L1166" s="0">
        <v>4</v>
      </c>
      <c r="M1166" s="0">
        <v>2</v>
      </c>
      <c r="N1166" s="0">
        <v>0</v>
      </c>
      <c r="O1166" s="0">
        <v>0</v>
      </c>
      <c r="P1166" s="0">
        <v>0</v>
      </c>
      <c r="R1166" s="0" t="b">
        <v>0</v>
      </c>
      <c r="S1166" s="0" t="b">
        <v>1</v>
      </c>
      <c r="T1166" s="68">
        <v>44172.5366550926</v>
      </c>
      <c r="U1166" s="68">
        <v>44236.2916666667</v>
      </c>
      <c r="V1166" s="68">
        <v>0</v>
      </c>
      <c r="W1166" s="0">
        <f>IF(IF(B1166="none",1,IF(B1166="Trialer",1,0))+IF(C1166="Customer",1,IF(C1166="Lost",1,0))=2,1,0)</f>
      </c>
      <c r="X1166" s="0" t="s">
        <v>136</v>
      </c>
      <c r="Y1166" s="0" t="s">
        <v>499</v>
      </c>
      <c r="AV1166" s="68"/>
      <c r="AW1166" s="68"/>
      <c r="AY1166" s="27"/>
      <c r="BD1166" s="68">
        <v>46054.1666666667</v>
      </c>
      <c r="BE1166" s="68">
        <v>46082.1666666667</v>
      </c>
      <c r="BF1166" s="0" t="b">
        <v>0</v>
      </c>
      <c r="BG1166" s="0" t="b">
        <v>0</v>
      </c>
      <c r="BH1166" s="0">
        <v>0</v>
      </c>
      <c r="BI1166" s="0">
        <v>0</v>
      </c>
      <c r="BJ1166" s="0" t="s">
        <v>135</v>
      </c>
    </row>
    <row r="1167">
      <c r="A1167" s="0" t="s">
        <v>1373</v>
      </c>
      <c r="B1167" s="0" t="s">
        <v>134</v>
      </c>
      <c r="C1167" s="0" t="s">
        <v>134</v>
      </c>
      <c r="D1167" s="0" t="s">
        <v>230</v>
      </c>
      <c r="E1167" s="0" t="s">
        <v>3</v>
      </c>
      <c r="F1167" s="0" t="s">
        <v>12</v>
      </c>
      <c r="G1167" s="0" t="s">
        <v>8</v>
      </c>
      <c r="H1167" s="0">
        <v>1879</v>
      </c>
      <c r="I1167" s="0">
        <v>44</v>
      </c>
      <c r="J1167" s="0">
        <v>0</v>
      </c>
      <c r="K1167" s="0">
        <v>1</v>
      </c>
      <c r="L1167" s="0">
        <v>3</v>
      </c>
      <c r="M1167" s="0">
        <v>1</v>
      </c>
      <c r="N1167" s="0">
        <v>0</v>
      </c>
      <c r="O1167" s="0">
        <v>0</v>
      </c>
      <c r="P1167" s="0">
        <v>484</v>
      </c>
      <c r="R1167" s="0" t="b">
        <v>0</v>
      </c>
      <c r="S1167" s="0" t="b">
        <v>1</v>
      </c>
      <c r="T1167" s="68">
        <v>44174.6129513889</v>
      </c>
      <c r="U1167" s="68">
        <v>44225.2916666667</v>
      </c>
      <c r="V1167" s="68">
        <v>0</v>
      </c>
      <c r="W1167" s="0">
        <f>IF(IF(B1167="none",1,IF(B1167="Trialer",1,0))+IF(C1167="Customer",1,IF(C1167="Lost",1,0))=2,1,0)</f>
      </c>
      <c r="X1167" s="0" t="s">
        <v>142</v>
      </c>
      <c r="Y1167" s="0" t="s">
        <v>243</v>
      </c>
      <c r="AV1167" s="68"/>
      <c r="AW1167" s="68"/>
      <c r="AY1167" s="27"/>
      <c r="BD1167" s="68">
        <v>46054.1666666667</v>
      </c>
      <c r="BE1167" s="68">
        <v>46082.1666666667</v>
      </c>
      <c r="BF1167" s="0" t="b">
        <v>0</v>
      </c>
      <c r="BG1167" s="0" t="b">
        <v>0</v>
      </c>
      <c r="BH1167" s="0">
        <v>49</v>
      </c>
      <c r="BI1167" s="0">
        <v>49</v>
      </c>
      <c r="BJ1167" s="0" t="s">
        <v>230</v>
      </c>
    </row>
    <row r="1168">
      <c r="A1168" s="0" t="s">
        <v>1374</v>
      </c>
      <c r="B1168" s="0" t="s">
        <v>134</v>
      </c>
      <c r="C1168" s="0" t="s">
        <v>190</v>
      </c>
      <c r="D1168" s="0" t="s">
        <v>135</v>
      </c>
      <c r="E1168" s="0" t="s">
        <v>3</v>
      </c>
      <c r="F1168" s="0" t="s">
        <v>12</v>
      </c>
      <c r="G1168" s="0" t="s">
        <v>8</v>
      </c>
      <c r="H1168" s="0">
        <v>1879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R1168" s="0" t="b">
        <v>0</v>
      </c>
      <c r="S1168" s="0" t="b">
        <v>0</v>
      </c>
      <c r="T1168" s="68">
        <v>44174.6799537037</v>
      </c>
      <c r="U1168" s="68">
        <v>44204.2916666667</v>
      </c>
      <c r="V1168" s="68">
        <v>46060.0368634259</v>
      </c>
      <c r="W1168" s="0">
        <f>IF(IF(B1168="none",1,IF(B1168="Trialer",1,0))+IF(C1168="Customer",1,IF(C1168="Lost",1,0))=2,1,0)</f>
      </c>
      <c r="X1168" s="0" t="s">
        <v>142</v>
      </c>
      <c r="Y1168" s="0" t="s">
        <v>243</v>
      </c>
      <c r="AV1168" s="68"/>
      <c r="AW1168" s="68"/>
      <c r="AY1168" s="27"/>
      <c r="BD1168" s="68">
        <v>46054.1666666667</v>
      </c>
      <c r="BE1168" s="68">
        <v>46082.1666666667</v>
      </c>
      <c r="BF1168" s="0" t="b">
        <v>0</v>
      </c>
      <c r="BG1168" s="0" t="b">
        <v>0</v>
      </c>
      <c r="BH1168" s="0">
        <v>80</v>
      </c>
      <c r="BI1168" s="0">
        <v>80</v>
      </c>
      <c r="BJ1168" s="0" t="s">
        <v>135</v>
      </c>
    </row>
    <row r="1169">
      <c r="A1169" s="0" t="s">
        <v>1375</v>
      </c>
      <c r="B1169" s="0" t="s">
        <v>134</v>
      </c>
      <c r="C1169" s="0" t="s">
        <v>134</v>
      </c>
      <c r="D1169" s="0" t="s">
        <v>230</v>
      </c>
      <c r="E1169" s="0" t="s">
        <v>3</v>
      </c>
      <c r="F1169" s="0" t="s">
        <v>12</v>
      </c>
      <c r="G1169" s="0" t="s">
        <v>8</v>
      </c>
      <c r="H1169" s="0">
        <v>1878</v>
      </c>
      <c r="I1169" s="0">
        <v>676</v>
      </c>
      <c r="J1169" s="0">
        <v>0</v>
      </c>
      <c r="K1169" s="0">
        <v>1</v>
      </c>
      <c r="L1169" s="0">
        <v>4</v>
      </c>
      <c r="M1169" s="0">
        <v>8</v>
      </c>
      <c r="N1169" s="0">
        <v>0</v>
      </c>
      <c r="O1169" s="0">
        <v>0</v>
      </c>
      <c r="P1169" s="0">
        <v>-351</v>
      </c>
      <c r="R1169" s="0" t="b">
        <v>0</v>
      </c>
      <c r="S1169" s="0" t="b">
        <v>1</v>
      </c>
      <c r="T1169" s="68">
        <v>44175.6052430556</v>
      </c>
      <c r="U1169" s="68">
        <v>44205.2916666667</v>
      </c>
      <c r="V1169" s="68">
        <v>0</v>
      </c>
      <c r="W1169" s="0">
        <f>IF(IF(B1169="none",1,IF(B1169="Trialer",1,0))+IF(C1169="Customer",1,IF(C1169="Lost",1,0))=2,1,0)</f>
      </c>
      <c r="X1169" s="0" t="s">
        <v>148</v>
      </c>
      <c r="Y1169" s="0" t="s">
        <v>243</v>
      </c>
      <c r="AV1169" s="68"/>
      <c r="AW1169" s="68"/>
      <c r="AY1169" s="27"/>
      <c r="BD1169" s="68">
        <v>46054.1666666667</v>
      </c>
      <c r="BE1169" s="68">
        <v>46082.1666666667</v>
      </c>
      <c r="BF1169" s="0" t="b">
        <v>0</v>
      </c>
      <c r="BG1169" s="0" t="b">
        <v>0</v>
      </c>
      <c r="BH1169" s="0">
        <v>398</v>
      </c>
      <c r="BI1169" s="0">
        <v>398</v>
      </c>
      <c r="BJ1169" s="0" t="s">
        <v>230</v>
      </c>
    </row>
    <row r="1170">
      <c r="A1170" s="0" t="s">
        <v>1376</v>
      </c>
      <c r="B1170" s="0" t="s">
        <v>134</v>
      </c>
      <c r="C1170" s="0" t="s">
        <v>134</v>
      </c>
      <c r="D1170" s="0" t="s">
        <v>230</v>
      </c>
      <c r="E1170" s="0" t="s">
        <v>3</v>
      </c>
      <c r="F1170" s="0" t="s">
        <v>10</v>
      </c>
      <c r="G1170" s="0" t="s">
        <v>8</v>
      </c>
      <c r="H1170" s="0">
        <v>1878</v>
      </c>
      <c r="I1170" s="0">
        <v>275</v>
      </c>
      <c r="J1170" s="0">
        <v>0</v>
      </c>
      <c r="K1170" s="0">
        <v>1</v>
      </c>
      <c r="L1170" s="0">
        <v>1</v>
      </c>
      <c r="M1170" s="0">
        <v>11</v>
      </c>
      <c r="N1170" s="0">
        <v>0</v>
      </c>
      <c r="O1170" s="0">
        <v>0</v>
      </c>
      <c r="P1170" s="0">
        <v>-275</v>
      </c>
      <c r="Q1170" s="0" t="s">
        <v>498</v>
      </c>
      <c r="R1170" s="0" t="b">
        <v>0</v>
      </c>
      <c r="S1170" s="0" t="b">
        <v>1</v>
      </c>
      <c r="T1170" s="68">
        <v>44175.6143287037</v>
      </c>
      <c r="U1170" s="68">
        <v>44205.2916666667</v>
      </c>
      <c r="V1170" s="68">
        <v>0</v>
      </c>
      <c r="W1170" s="0">
        <f>IF(IF(B1170="none",1,IF(B1170="Trialer",1,0))+IF(C1170="Customer",1,IF(C1170="Lost",1,0))=2,1,0)</f>
      </c>
      <c r="X1170" s="0" t="s">
        <v>136</v>
      </c>
      <c r="Y1170" s="0" t="s">
        <v>243</v>
      </c>
      <c r="AV1170" s="68"/>
      <c r="AW1170" s="68"/>
      <c r="AY1170" s="27"/>
      <c r="BD1170" s="68">
        <v>46054.1666666667</v>
      </c>
      <c r="BE1170" s="68">
        <v>46082.1666666667</v>
      </c>
      <c r="BF1170" s="0" t="b">
        <v>0</v>
      </c>
      <c r="BG1170" s="0" t="b">
        <v>0</v>
      </c>
      <c r="BH1170" s="0">
        <v>308</v>
      </c>
      <c r="BI1170" s="0">
        <v>308</v>
      </c>
      <c r="BJ1170" s="0" t="s">
        <v>230</v>
      </c>
    </row>
    <row r="1171">
      <c r="A1171" s="0" t="s">
        <v>1377</v>
      </c>
      <c r="B1171" s="0" t="s">
        <v>134</v>
      </c>
      <c r="C1171" s="0" t="s">
        <v>134</v>
      </c>
      <c r="D1171" s="0" t="s">
        <v>135</v>
      </c>
      <c r="E1171" s="0" t="s">
        <v>3</v>
      </c>
      <c r="F1171" s="0" t="s">
        <v>12</v>
      </c>
      <c r="G1171" s="0" t="s">
        <v>8</v>
      </c>
      <c r="H1171" s="0">
        <v>1878</v>
      </c>
      <c r="I1171" s="0">
        <v>0</v>
      </c>
      <c r="J1171" s="0">
        <v>0</v>
      </c>
      <c r="K1171" s="0">
        <v>1</v>
      </c>
      <c r="L1171" s="0">
        <v>4</v>
      </c>
      <c r="M1171" s="0">
        <v>1</v>
      </c>
      <c r="N1171" s="0">
        <v>0</v>
      </c>
      <c r="O1171" s="0">
        <v>0</v>
      </c>
      <c r="P1171" s="0">
        <v>0</v>
      </c>
      <c r="R1171" s="0" t="b">
        <v>0</v>
      </c>
      <c r="S1171" s="0" t="b">
        <v>1</v>
      </c>
      <c r="T1171" s="68">
        <v>44175.6187615741</v>
      </c>
      <c r="U1171" s="68">
        <v>44205.2916666667</v>
      </c>
      <c r="V1171" s="68">
        <v>0</v>
      </c>
      <c r="W1171" s="0">
        <f>IF(IF(B1171="none",1,IF(B1171="Trialer",1,0))+IF(C1171="Customer",1,IF(C1171="Lost",1,0))=2,1,0)</f>
      </c>
      <c r="X1171" s="0" t="s">
        <v>148</v>
      </c>
      <c r="Y1171" s="0" t="s">
        <v>243</v>
      </c>
      <c r="AV1171" s="68"/>
      <c r="AW1171" s="68"/>
      <c r="AY1171" s="27"/>
      <c r="BD1171" s="68">
        <v>46054.1666666667</v>
      </c>
      <c r="BE1171" s="68">
        <v>46082.1666666667</v>
      </c>
      <c r="BF1171" s="0" t="b">
        <v>0</v>
      </c>
      <c r="BG1171" s="0" t="b">
        <v>0</v>
      </c>
      <c r="BH1171" s="0">
        <v>0</v>
      </c>
      <c r="BI1171" s="0">
        <v>0</v>
      </c>
      <c r="BJ1171" s="0" t="s">
        <v>135</v>
      </c>
    </row>
    <row r="1172">
      <c r="A1172" s="0" t="s">
        <v>1378</v>
      </c>
      <c r="B1172" s="0" t="s">
        <v>134</v>
      </c>
      <c r="C1172" s="0" t="s">
        <v>134</v>
      </c>
      <c r="D1172" s="0" t="s">
        <v>135</v>
      </c>
      <c r="E1172" s="0" t="s">
        <v>3</v>
      </c>
      <c r="F1172" s="0" t="s">
        <v>12</v>
      </c>
      <c r="G1172" s="0" t="s">
        <v>8</v>
      </c>
      <c r="H1172" s="0">
        <v>1877</v>
      </c>
      <c r="I1172" s="0">
        <v>98</v>
      </c>
      <c r="J1172" s="0">
        <v>0</v>
      </c>
      <c r="K1172" s="0">
        <v>1</v>
      </c>
      <c r="L1172" s="0">
        <v>3</v>
      </c>
      <c r="M1172" s="0">
        <v>2</v>
      </c>
      <c r="N1172" s="0">
        <v>0</v>
      </c>
      <c r="O1172" s="0">
        <v>0</v>
      </c>
      <c r="P1172" s="0">
        <v>0</v>
      </c>
      <c r="R1172" s="0" t="b">
        <v>0</v>
      </c>
      <c r="S1172" s="0" t="b">
        <v>1</v>
      </c>
      <c r="T1172" s="68">
        <v>44176.5</v>
      </c>
      <c r="U1172" s="68">
        <v>44176.2916666667</v>
      </c>
      <c r="V1172" s="68">
        <v>0</v>
      </c>
      <c r="W1172" s="0">
        <f>IF(IF(B1172="none",1,IF(B1172="Trialer",1,0))+IF(C1172="Customer",1,IF(C1172="Lost",1,0))=2,1,0)</f>
      </c>
      <c r="X1172" s="0" t="s">
        <v>148</v>
      </c>
      <c r="Y1172" s="0" t="s">
        <v>243</v>
      </c>
      <c r="AV1172" s="68"/>
      <c r="AW1172" s="68"/>
      <c r="AY1172" s="27"/>
      <c r="BD1172" s="68">
        <v>46054.1666666667</v>
      </c>
      <c r="BE1172" s="68">
        <v>46082.1666666667</v>
      </c>
      <c r="BF1172" s="0" t="b">
        <v>0</v>
      </c>
      <c r="BG1172" s="0" t="b">
        <v>0</v>
      </c>
      <c r="BH1172" s="0">
        <v>98</v>
      </c>
      <c r="BI1172" s="0">
        <v>98</v>
      </c>
      <c r="BJ1172" s="0" t="s">
        <v>135</v>
      </c>
    </row>
    <row r="1173">
      <c r="A1173" s="0" t="s">
        <v>1379</v>
      </c>
      <c r="B1173" s="0" t="s">
        <v>134</v>
      </c>
      <c r="C1173" s="0" t="s">
        <v>134</v>
      </c>
      <c r="D1173" s="0" t="s">
        <v>135</v>
      </c>
      <c r="E1173" s="0" t="s">
        <v>2</v>
      </c>
      <c r="F1173" s="0" t="s">
        <v>12</v>
      </c>
      <c r="G1173" s="0" t="s">
        <v>8</v>
      </c>
      <c r="H1173" s="0">
        <v>1877</v>
      </c>
      <c r="I1173" s="0">
        <v>148</v>
      </c>
      <c r="J1173" s="0">
        <v>0</v>
      </c>
      <c r="K1173" s="0">
        <v>1</v>
      </c>
      <c r="L1173" s="0">
        <v>2</v>
      </c>
      <c r="M1173" s="0">
        <v>4</v>
      </c>
      <c r="N1173" s="0">
        <v>0</v>
      </c>
      <c r="O1173" s="0">
        <v>0</v>
      </c>
      <c r="P1173" s="0">
        <v>0</v>
      </c>
      <c r="R1173" s="0" t="b">
        <v>0</v>
      </c>
      <c r="S1173" s="0" t="b">
        <v>1</v>
      </c>
      <c r="T1173" s="68">
        <v>44176.6894907407</v>
      </c>
      <c r="U1173" s="68">
        <v>44206.2916666667</v>
      </c>
      <c r="V1173" s="68">
        <v>0</v>
      </c>
      <c r="W1173" s="0">
        <f>IF(IF(B1173="none",1,IF(B1173="Trialer",1,0))+IF(C1173="Customer",1,IF(C1173="Lost",1,0))=2,1,0)</f>
      </c>
      <c r="X1173" s="0" t="s">
        <v>145</v>
      </c>
      <c r="Y1173" s="0" t="s">
        <v>499</v>
      </c>
      <c r="AV1173" s="68"/>
      <c r="AW1173" s="68"/>
      <c r="AY1173" s="27"/>
      <c r="BD1173" s="68">
        <v>46054.1666666667</v>
      </c>
      <c r="BE1173" s="68">
        <v>46082.1666666667</v>
      </c>
      <c r="BF1173" s="0" t="b">
        <v>0</v>
      </c>
      <c r="BG1173" s="0" t="b">
        <v>0</v>
      </c>
      <c r="BH1173" s="0">
        <v>148</v>
      </c>
      <c r="BI1173" s="0">
        <v>148</v>
      </c>
      <c r="BJ1173" s="0" t="s">
        <v>135</v>
      </c>
    </row>
    <row r="1174">
      <c r="A1174" s="0" t="s">
        <v>1380</v>
      </c>
      <c r="B1174" s="0" t="s">
        <v>134</v>
      </c>
      <c r="C1174" s="0" t="s">
        <v>134</v>
      </c>
      <c r="D1174" s="0" t="s">
        <v>135</v>
      </c>
      <c r="E1174" s="0" t="s">
        <v>2</v>
      </c>
      <c r="F1174" s="0" t="s">
        <v>12</v>
      </c>
      <c r="G1174" s="0" t="s">
        <v>8</v>
      </c>
      <c r="H1174" s="0">
        <v>1874</v>
      </c>
      <c r="I1174" s="0">
        <v>0</v>
      </c>
      <c r="J1174" s="0">
        <v>0</v>
      </c>
      <c r="K1174" s="0">
        <v>1</v>
      </c>
      <c r="L1174" s="0">
        <v>5</v>
      </c>
      <c r="M1174" s="0">
        <v>1</v>
      </c>
      <c r="N1174" s="0">
        <v>0</v>
      </c>
      <c r="O1174" s="0">
        <v>0</v>
      </c>
      <c r="P1174" s="0">
        <v>0</v>
      </c>
      <c r="R1174" s="0" t="b">
        <v>0</v>
      </c>
      <c r="S1174" s="0" t="b">
        <v>1</v>
      </c>
      <c r="T1174" s="68">
        <v>44179.6068055556</v>
      </c>
      <c r="U1174" s="68">
        <v>44186.2916666667</v>
      </c>
      <c r="V1174" s="68">
        <v>0</v>
      </c>
      <c r="W1174" s="0">
        <f>IF(IF(B1174="none",1,IF(B1174="Trialer",1,0))+IF(C1174="Customer",1,IF(C1174="Lost",1,0))=2,1,0)</f>
      </c>
      <c r="X1174" s="0" t="s">
        <v>148</v>
      </c>
      <c r="Y1174" s="0" t="s">
        <v>499</v>
      </c>
      <c r="AV1174" s="68"/>
      <c r="AW1174" s="68"/>
      <c r="AY1174" s="27"/>
      <c r="BD1174" s="68">
        <v>46054.1666666667</v>
      </c>
      <c r="BE1174" s="68">
        <v>46082.1666666667</v>
      </c>
      <c r="BF1174" s="0" t="b">
        <v>0</v>
      </c>
      <c r="BG1174" s="0" t="b">
        <v>0</v>
      </c>
      <c r="BH1174" s="0">
        <v>0</v>
      </c>
      <c r="BI1174" s="0">
        <v>0</v>
      </c>
      <c r="BJ1174" s="0" t="s">
        <v>135</v>
      </c>
    </row>
    <row r="1175">
      <c r="A1175" s="0" t="s">
        <v>1381</v>
      </c>
      <c r="B1175" s="0" t="s">
        <v>134</v>
      </c>
      <c r="C1175" s="0" t="s">
        <v>134</v>
      </c>
      <c r="D1175" s="0" t="s">
        <v>230</v>
      </c>
      <c r="E1175" s="0" t="s">
        <v>2</v>
      </c>
      <c r="F1175" s="0" t="s">
        <v>12</v>
      </c>
      <c r="G1175" s="0" t="s">
        <v>8</v>
      </c>
      <c r="H1175" s="0">
        <v>1874</v>
      </c>
      <c r="I1175" s="0">
        <v>116</v>
      </c>
      <c r="J1175" s="0">
        <v>0</v>
      </c>
      <c r="K1175" s="0">
        <v>1</v>
      </c>
      <c r="L1175" s="0">
        <v>3</v>
      </c>
      <c r="M1175" s="0">
        <v>3</v>
      </c>
      <c r="N1175" s="0">
        <v>0</v>
      </c>
      <c r="O1175" s="0">
        <v>0</v>
      </c>
      <c r="P1175" s="0">
        <v>-116</v>
      </c>
      <c r="R1175" s="0" t="b">
        <v>0</v>
      </c>
      <c r="S1175" s="0" t="b">
        <v>1</v>
      </c>
      <c r="T1175" s="68">
        <v>44179.63125</v>
      </c>
      <c r="U1175" s="68">
        <v>44209.2916666667</v>
      </c>
      <c r="V1175" s="68">
        <v>0</v>
      </c>
      <c r="W1175" s="0">
        <f>IF(IF(B1175="none",1,IF(B1175="Trialer",1,0))+IF(C1175="Customer",1,IF(C1175="Lost",1,0))=2,1,0)</f>
      </c>
      <c r="X1175" s="0" t="s">
        <v>153</v>
      </c>
      <c r="Y1175" s="0" t="s">
        <v>499</v>
      </c>
      <c r="AV1175" s="68"/>
      <c r="AW1175" s="68"/>
      <c r="AY1175" s="27"/>
      <c r="BD1175" s="68">
        <v>46054.1666666667</v>
      </c>
      <c r="BE1175" s="68">
        <v>46082.1666666667</v>
      </c>
      <c r="BF1175" s="0" t="b">
        <v>0</v>
      </c>
      <c r="BG1175" s="0" t="b">
        <v>0</v>
      </c>
      <c r="BH1175" s="0">
        <v>89</v>
      </c>
      <c r="BI1175" s="0">
        <v>89</v>
      </c>
      <c r="BJ1175" s="0" t="s">
        <v>230</v>
      </c>
    </row>
    <row r="1176">
      <c r="A1176" s="0" t="s">
        <v>1382</v>
      </c>
      <c r="B1176" s="0" t="s">
        <v>134</v>
      </c>
      <c r="C1176" s="0" t="s">
        <v>134</v>
      </c>
      <c r="D1176" s="0" t="s">
        <v>135</v>
      </c>
      <c r="E1176" s="0" t="s">
        <v>3</v>
      </c>
      <c r="F1176" s="0" t="s">
        <v>10</v>
      </c>
      <c r="G1176" s="0" t="s">
        <v>8</v>
      </c>
      <c r="H1176" s="0">
        <v>1873</v>
      </c>
      <c r="I1176" s="0">
        <v>28</v>
      </c>
      <c r="J1176" s="0">
        <v>0</v>
      </c>
      <c r="K1176" s="0">
        <v>1</v>
      </c>
      <c r="L1176" s="0">
        <v>1</v>
      </c>
      <c r="M1176" s="0">
        <v>1</v>
      </c>
      <c r="N1176" s="0">
        <v>0</v>
      </c>
      <c r="O1176" s="0">
        <v>0</v>
      </c>
      <c r="P1176" s="0">
        <v>0</v>
      </c>
      <c r="Q1176" s="0" t="s">
        <v>618</v>
      </c>
      <c r="R1176" s="0" t="b">
        <v>0</v>
      </c>
      <c r="S1176" s="0" t="b">
        <v>1</v>
      </c>
      <c r="T1176" s="68">
        <v>44180.6091319444</v>
      </c>
      <c r="U1176" s="68">
        <v>44210.2916666667</v>
      </c>
      <c r="V1176" s="68">
        <v>0</v>
      </c>
      <c r="W1176" s="0">
        <f>IF(IF(B1176="none",1,IF(B1176="Trialer",1,0))+IF(C1176="Customer",1,IF(C1176="Lost",1,0))=2,1,0)</f>
      </c>
      <c r="X1176" s="0" t="s">
        <v>148</v>
      </c>
      <c r="Y1176" s="0" t="s">
        <v>243</v>
      </c>
      <c r="AV1176" s="68"/>
      <c r="AW1176" s="68"/>
      <c r="AY1176" s="27"/>
      <c r="BD1176" s="68">
        <v>46054.1666666667</v>
      </c>
      <c r="BE1176" s="68">
        <v>46082.1666666667</v>
      </c>
      <c r="BF1176" s="0" t="b">
        <v>0</v>
      </c>
      <c r="BG1176" s="0" t="b">
        <v>0</v>
      </c>
      <c r="BH1176" s="0">
        <v>28</v>
      </c>
      <c r="BI1176" s="0">
        <v>28</v>
      </c>
      <c r="BJ1176" s="0" t="s">
        <v>135</v>
      </c>
    </row>
    <row r="1177">
      <c r="A1177" s="0" t="s">
        <v>1383</v>
      </c>
      <c r="B1177" s="0" t="s">
        <v>134</v>
      </c>
      <c r="C1177" s="0" t="s">
        <v>134</v>
      </c>
      <c r="D1177" s="0" t="s">
        <v>135</v>
      </c>
      <c r="E1177" s="0" t="s">
        <v>3</v>
      </c>
      <c r="F1177" s="0" t="s">
        <v>10</v>
      </c>
      <c r="G1177" s="0" t="s">
        <v>8</v>
      </c>
      <c r="H1177" s="0">
        <v>1873</v>
      </c>
      <c r="I1177" s="0">
        <v>56</v>
      </c>
      <c r="J1177" s="0">
        <v>0</v>
      </c>
      <c r="K1177" s="0">
        <v>1</v>
      </c>
      <c r="L1177" s="0">
        <v>1</v>
      </c>
      <c r="M1177" s="0">
        <v>2</v>
      </c>
      <c r="N1177" s="0">
        <v>0</v>
      </c>
      <c r="O1177" s="0">
        <v>0</v>
      </c>
      <c r="P1177" s="0">
        <v>0</v>
      </c>
      <c r="Q1177" s="0" t="s">
        <v>618</v>
      </c>
      <c r="R1177" s="0" t="b">
        <v>0</v>
      </c>
      <c r="S1177" s="0" t="b">
        <v>1</v>
      </c>
      <c r="T1177" s="68">
        <v>44180.7284606481</v>
      </c>
      <c r="U1177" s="68">
        <v>44210.2916666667</v>
      </c>
      <c r="V1177" s="68">
        <v>0</v>
      </c>
      <c r="W1177" s="0">
        <f>IF(IF(B1177="none",1,IF(B1177="Trialer",1,0))+IF(C1177="Customer",1,IF(C1177="Lost",1,0))=2,1,0)</f>
      </c>
      <c r="X1177" s="0" t="s">
        <v>148</v>
      </c>
      <c r="Y1177" s="0" t="s">
        <v>243</v>
      </c>
      <c r="AV1177" s="68"/>
      <c r="AW1177" s="68"/>
      <c r="AY1177" s="27"/>
      <c r="BD1177" s="68">
        <v>46054.1666666667</v>
      </c>
      <c r="BE1177" s="68">
        <v>46082.1666666667</v>
      </c>
      <c r="BF1177" s="0" t="b">
        <v>0</v>
      </c>
      <c r="BG1177" s="0" t="b">
        <v>0</v>
      </c>
      <c r="BH1177" s="0">
        <v>56</v>
      </c>
      <c r="BI1177" s="0">
        <v>56</v>
      </c>
      <c r="BJ1177" s="0" t="s">
        <v>135</v>
      </c>
    </row>
    <row r="1178">
      <c r="A1178" s="0" t="s">
        <v>1384</v>
      </c>
      <c r="B1178" s="0" t="s">
        <v>134</v>
      </c>
      <c r="C1178" s="0" t="s">
        <v>134</v>
      </c>
      <c r="D1178" s="0" t="s">
        <v>135</v>
      </c>
      <c r="E1178" s="0" t="s">
        <v>3</v>
      </c>
      <c r="F1178" s="0" t="s">
        <v>12</v>
      </c>
      <c r="G1178" s="0" t="s">
        <v>8</v>
      </c>
      <c r="H1178" s="0">
        <v>1872</v>
      </c>
      <c r="I1178" s="0">
        <v>28</v>
      </c>
      <c r="J1178" s="0">
        <v>0</v>
      </c>
      <c r="K1178" s="0">
        <v>1</v>
      </c>
      <c r="L1178" s="0">
        <v>1</v>
      </c>
      <c r="M1178" s="0">
        <v>1</v>
      </c>
      <c r="N1178" s="0">
        <v>0</v>
      </c>
      <c r="O1178" s="0">
        <v>0</v>
      </c>
      <c r="P1178" s="0">
        <v>0</v>
      </c>
      <c r="R1178" s="0" t="b">
        <v>0</v>
      </c>
      <c r="S1178" s="0" t="b">
        <v>1</v>
      </c>
      <c r="T1178" s="68">
        <v>44181.7203935185</v>
      </c>
      <c r="U1178" s="68">
        <v>44223.2916666667</v>
      </c>
      <c r="V1178" s="68">
        <v>0</v>
      </c>
      <c r="W1178" s="0">
        <f>IF(IF(B1178="none",1,IF(B1178="Trialer",1,0))+IF(C1178="Customer",1,IF(C1178="Lost",1,0))=2,1,0)</f>
      </c>
      <c r="X1178" s="0" t="s">
        <v>166</v>
      </c>
      <c r="Y1178" s="0" t="s">
        <v>243</v>
      </c>
      <c r="AV1178" s="68"/>
      <c r="AW1178" s="68"/>
      <c r="AY1178" s="27"/>
      <c r="BD1178" s="68">
        <v>46054.1666666667</v>
      </c>
      <c r="BE1178" s="68">
        <v>46082.1666666667</v>
      </c>
      <c r="BF1178" s="0" t="b">
        <v>0</v>
      </c>
      <c r="BG1178" s="0" t="b">
        <v>0</v>
      </c>
      <c r="BH1178" s="0">
        <v>28</v>
      </c>
      <c r="BI1178" s="0">
        <v>28</v>
      </c>
      <c r="BJ1178" s="0" t="s">
        <v>135</v>
      </c>
    </row>
    <row r="1179">
      <c r="A1179" s="0" t="s">
        <v>1385</v>
      </c>
      <c r="B1179" s="0" t="s">
        <v>134</v>
      </c>
      <c r="C1179" s="0" t="s">
        <v>134</v>
      </c>
      <c r="D1179" s="0" t="s">
        <v>135</v>
      </c>
      <c r="E1179" s="0" t="s">
        <v>3</v>
      </c>
      <c r="F1179" s="0" t="s">
        <v>12</v>
      </c>
      <c r="G1179" s="0" t="s">
        <v>8</v>
      </c>
      <c r="H1179" s="0">
        <v>1871</v>
      </c>
      <c r="I1179" s="0">
        <v>0</v>
      </c>
      <c r="J1179" s="0">
        <v>0</v>
      </c>
      <c r="K1179" s="0">
        <v>1</v>
      </c>
      <c r="L1179" s="0">
        <v>4</v>
      </c>
      <c r="M1179" s="0">
        <v>1</v>
      </c>
      <c r="N1179" s="0">
        <v>0</v>
      </c>
      <c r="O1179" s="0">
        <v>0</v>
      </c>
      <c r="P1179" s="0">
        <v>0</v>
      </c>
      <c r="R1179" s="0" t="b">
        <v>0</v>
      </c>
      <c r="S1179" s="0" t="b">
        <v>1</v>
      </c>
      <c r="T1179" s="68">
        <v>44182.5</v>
      </c>
      <c r="U1179" s="68">
        <v>44212.2916666667</v>
      </c>
      <c r="V1179" s="68">
        <v>0</v>
      </c>
      <c r="W1179" s="0">
        <f>IF(IF(B1179="none",1,IF(B1179="Trialer",1,0))+IF(C1179="Customer",1,IF(C1179="Lost",1,0))=2,1,0)</f>
      </c>
      <c r="X1179" s="0" t="s">
        <v>136</v>
      </c>
      <c r="Y1179" s="0" t="s">
        <v>243</v>
      </c>
      <c r="AV1179" s="68"/>
      <c r="AW1179" s="68"/>
      <c r="AY1179" s="27"/>
      <c r="BD1179" s="68">
        <v>46054.1666666667</v>
      </c>
      <c r="BE1179" s="68">
        <v>46082.1666666667</v>
      </c>
      <c r="BF1179" s="0" t="b">
        <v>0</v>
      </c>
      <c r="BG1179" s="0" t="b">
        <v>0</v>
      </c>
      <c r="BH1179" s="0">
        <v>0</v>
      </c>
      <c r="BI1179" s="0">
        <v>0</v>
      </c>
      <c r="BJ1179" s="0" t="s">
        <v>135</v>
      </c>
    </row>
    <row r="1180">
      <c r="A1180" s="0" t="s">
        <v>1386</v>
      </c>
      <c r="B1180" s="0" t="s">
        <v>134</v>
      </c>
      <c r="C1180" s="0" t="s">
        <v>134</v>
      </c>
      <c r="D1180" s="0" t="s">
        <v>230</v>
      </c>
      <c r="E1180" s="0" t="s">
        <v>3</v>
      </c>
      <c r="F1180" s="0" t="s">
        <v>12</v>
      </c>
      <c r="G1180" s="0" t="s">
        <v>8</v>
      </c>
      <c r="H1180" s="0">
        <v>1870</v>
      </c>
      <c r="I1180" s="0">
        <v>202</v>
      </c>
      <c r="J1180" s="0">
        <v>0</v>
      </c>
      <c r="K1180" s="0">
        <v>1</v>
      </c>
      <c r="L1180" s="0">
        <v>4</v>
      </c>
      <c r="M1180" s="0">
        <v>5</v>
      </c>
      <c r="N1180" s="0">
        <v>0</v>
      </c>
      <c r="O1180" s="0">
        <v>0</v>
      </c>
      <c r="P1180" s="0">
        <v>-202</v>
      </c>
      <c r="R1180" s="0" t="b">
        <v>0</v>
      </c>
      <c r="S1180" s="0" t="b">
        <v>1</v>
      </c>
      <c r="T1180" s="68">
        <v>44183.4463773148</v>
      </c>
      <c r="U1180" s="68">
        <v>44183.2916666667</v>
      </c>
      <c r="V1180" s="68">
        <v>0</v>
      </c>
      <c r="W1180" s="0">
        <f>IF(IF(B1180="none",1,IF(B1180="Trialer",1,0))+IF(C1180="Customer",1,IF(C1180="Lost",1,0))=2,1,0)</f>
      </c>
      <c r="X1180" s="0" t="s">
        <v>145</v>
      </c>
      <c r="Y1180" s="0" t="s">
        <v>243</v>
      </c>
      <c r="AV1180" s="68"/>
      <c r="AW1180" s="68"/>
      <c r="AY1180" s="27"/>
      <c r="BD1180" s="68">
        <v>46054.1666666667</v>
      </c>
      <c r="BE1180" s="68">
        <v>46082.1666666667</v>
      </c>
      <c r="BF1180" s="0" t="b">
        <v>0</v>
      </c>
      <c r="BG1180" s="0" t="b">
        <v>0</v>
      </c>
      <c r="BH1180" s="0">
        <v>227</v>
      </c>
      <c r="BI1180" s="0">
        <v>227</v>
      </c>
      <c r="BJ1180" s="0" t="s">
        <v>230</v>
      </c>
    </row>
    <row r="1181">
      <c r="A1181" s="0" t="s">
        <v>1387</v>
      </c>
      <c r="B1181" s="0" t="s">
        <v>134</v>
      </c>
      <c r="C1181" s="0" t="s">
        <v>134</v>
      </c>
      <c r="D1181" s="0" t="s">
        <v>135</v>
      </c>
      <c r="E1181" s="0" t="s">
        <v>3</v>
      </c>
      <c r="F1181" s="0" t="s">
        <v>12</v>
      </c>
      <c r="G1181" s="0" t="s">
        <v>8</v>
      </c>
      <c r="H1181" s="0">
        <v>1869</v>
      </c>
      <c r="I1181" s="0">
        <v>52</v>
      </c>
      <c r="J1181" s="0">
        <v>0</v>
      </c>
      <c r="K1181" s="0">
        <v>1</v>
      </c>
      <c r="L1181" s="0">
        <v>3</v>
      </c>
      <c r="M1181" s="0">
        <v>1</v>
      </c>
      <c r="N1181" s="0">
        <v>0</v>
      </c>
      <c r="O1181" s="0">
        <v>0</v>
      </c>
      <c r="P1181" s="0">
        <v>0</v>
      </c>
      <c r="R1181" s="0" t="b">
        <v>0</v>
      </c>
      <c r="S1181" s="0" t="b">
        <v>1</v>
      </c>
      <c r="T1181" s="68">
        <v>44184.5656944444</v>
      </c>
      <c r="U1181" s="68">
        <v>44214.2916666667</v>
      </c>
      <c r="V1181" s="68">
        <v>0</v>
      </c>
      <c r="W1181" s="0">
        <f>IF(IF(B1181="none",1,IF(B1181="Trialer",1,0))+IF(C1181="Customer",1,IF(C1181="Lost",1,0))=2,1,0)</f>
      </c>
      <c r="X1181" s="0" t="s">
        <v>142</v>
      </c>
      <c r="Y1181" s="0" t="s">
        <v>243</v>
      </c>
      <c r="AV1181" s="68"/>
      <c r="AW1181" s="68"/>
      <c r="AY1181" s="27"/>
      <c r="BD1181" s="68">
        <v>46054.1666666667</v>
      </c>
      <c r="BE1181" s="68">
        <v>46082.1666666667</v>
      </c>
      <c r="BF1181" s="0" t="b">
        <v>0</v>
      </c>
      <c r="BG1181" s="0" t="b">
        <v>0</v>
      </c>
      <c r="BH1181" s="0">
        <v>52</v>
      </c>
      <c r="BI1181" s="0">
        <v>52</v>
      </c>
      <c r="BJ1181" s="0" t="s">
        <v>135</v>
      </c>
    </row>
    <row r="1182">
      <c r="A1182" s="0" t="s">
        <v>1388</v>
      </c>
      <c r="B1182" s="0" t="s">
        <v>134</v>
      </c>
      <c r="C1182" s="0" t="s">
        <v>134</v>
      </c>
      <c r="D1182" s="0" t="s">
        <v>135</v>
      </c>
      <c r="E1182" s="0" t="s">
        <v>3</v>
      </c>
      <c r="F1182" s="0" t="s">
        <v>12</v>
      </c>
      <c r="G1182" s="0" t="s">
        <v>8</v>
      </c>
      <c r="H1182" s="0">
        <v>1866</v>
      </c>
      <c r="I1182" s="0">
        <v>98</v>
      </c>
      <c r="J1182" s="0">
        <v>0</v>
      </c>
      <c r="K1182" s="0">
        <v>1</v>
      </c>
      <c r="L1182" s="0">
        <v>3</v>
      </c>
      <c r="M1182" s="0">
        <v>2</v>
      </c>
      <c r="N1182" s="0">
        <v>0</v>
      </c>
      <c r="O1182" s="0">
        <v>0</v>
      </c>
      <c r="P1182" s="0">
        <v>0</v>
      </c>
      <c r="R1182" s="0" t="b">
        <v>0</v>
      </c>
      <c r="S1182" s="0" t="b">
        <v>1</v>
      </c>
      <c r="T1182" s="68">
        <v>44187.5370949074</v>
      </c>
      <c r="U1182" s="68">
        <v>44217.2916666667</v>
      </c>
      <c r="V1182" s="68">
        <v>0</v>
      </c>
      <c r="W1182" s="0">
        <f>IF(IF(B1182="none",1,IF(B1182="Trialer",1,0))+IF(C1182="Customer",1,IF(C1182="Lost",1,0))=2,1,0)</f>
      </c>
      <c r="X1182" s="0" t="s">
        <v>142</v>
      </c>
      <c r="Y1182" s="0" t="s">
        <v>243</v>
      </c>
      <c r="AV1182" s="68"/>
      <c r="AW1182" s="68"/>
      <c r="AY1182" s="27"/>
      <c r="BD1182" s="68">
        <v>46054.1666666667</v>
      </c>
      <c r="BE1182" s="68">
        <v>46082.1666666667</v>
      </c>
      <c r="BF1182" s="0" t="b">
        <v>0</v>
      </c>
      <c r="BG1182" s="0" t="b">
        <v>0</v>
      </c>
      <c r="BH1182" s="0">
        <v>98</v>
      </c>
      <c r="BI1182" s="0">
        <v>98</v>
      </c>
      <c r="BJ1182" s="0" t="s">
        <v>135</v>
      </c>
    </row>
    <row r="1183">
      <c r="A1183" s="0" t="s">
        <v>1389</v>
      </c>
      <c r="B1183" s="0" t="s">
        <v>134</v>
      </c>
      <c r="C1183" s="0" t="s">
        <v>134</v>
      </c>
      <c r="D1183" s="0" t="s">
        <v>135</v>
      </c>
      <c r="E1183" s="0" t="s">
        <v>2</v>
      </c>
      <c r="F1183" s="0" t="s">
        <v>12</v>
      </c>
      <c r="G1183" s="0" t="s">
        <v>8</v>
      </c>
      <c r="H1183" s="0">
        <v>1865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R1183" s="0" t="b">
        <v>0</v>
      </c>
      <c r="S1183" s="0" t="b">
        <v>1</v>
      </c>
      <c r="T1183" s="68">
        <v>44188.5</v>
      </c>
      <c r="U1183" s="68">
        <v>44188.5</v>
      </c>
      <c r="V1183" s="68">
        <v>0</v>
      </c>
      <c r="W1183" s="0">
        <f>IF(IF(B1183="none",1,IF(B1183="Trialer",1,0))+IF(C1183="Customer",1,IF(C1183="Lost",1,0))=2,1,0)</f>
      </c>
      <c r="X1183" s="0" t="s">
        <v>145</v>
      </c>
      <c r="Y1183" s="0" t="s">
        <v>499</v>
      </c>
      <c r="AV1183" s="68"/>
      <c r="AW1183" s="68"/>
      <c r="AY1183" s="27"/>
      <c r="BD1183" s="68">
        <v>46054.1666666667</v>
      </c>
      <c r="BE1183" s="68">
        <v>46082.1666666667</v>
      </c>
      <c r="BF1183" s="0" t="b">
        <v>0</v>
      </c>
      <c r="BG1183" s="0" t="b">
        <v>0</v>
      </c>
      <c r="BH1183" s="0">
        <v>0</v>
      </c>
      <c r="BI1183" s="0">
        <v>0</v>
      </c>
      <c r="BJ1183" s="0" t="s">
        <v>135</v>
      </c>
    </row>
    <row r="1184">
      <c r="A1184" s="0" t="s">
        <v>1390</v>
      </c>
      <c r="B1184" s="0" t="s">
        <v>134</v>
      </c>
      <c r="C1184" s="0" t="s">
        <v>134</v>
      </c>
      <c r="D1184" s="0" t="s">
        <v>135</v>
      </c>
      <c r="E1184" s="0" t="s">
        <v>2</v>
      </c>
      <c r="F1184" s="0" t="s">
        <v>12</v>
      </c>
      <c r="G1184" s="0" t="s">
        <v>8</v>
      </c>
      <c r="H1184" s="0">
        <v>1865</v>
      </c>
      <c r="I1184" s="0">
        <v>35</v>
      </c>
      <c r="J1184" s="0">
        <v>0</v>
      </c>
      <c r="K1184" s="0">
        <v>1</v>
      </c>
      <c r="L1184" s="0">
        <v>2</v>
      </c>
      <c r="M1184" s="0">
        <v>1</v>
      </c>
      <c r="N1184" s="0">
        <v>0</v>
      </c>
      <c r="O1184" s="0">
        <v>0</v>
      </c>
      <c r="P1184" s="0">
        <v>0</v>
      </c>
      <c r="R1184" s="0" t="b">
        <v>0</v>
      </c>
      <c r="S1184" s="0" t="b">
        <v>1</v>
      </c>
      <c r="T1184" s="68">
        <v>44188.5</v>
      </c>
      <c r="U1184" s="68">
        <v>44188.2916666667</v>
      </c>
      <c r="V1184" s="68">
        <v>0</v>
      </c>
      <c r="W1184" s="0">
        <f>IF(IF(B1184="none",1,IF(B1184="Trialer",1,0))+IF(C1184="Customer",1,IF(C1184="Lost",1,0))=2,1,0)</f>
      </c>
      <c r="X1184" s="0" t="s">
        <v>145</v>
      </c>
      <c r="Y1184" s="0" t="s">
        <v>499</v>
      </c>
      <c r="AV1184" s="68"/>
      <c r="AW1184" s="68"/>
      <c r="AY1184" s="27"/>
      <c r="BD1184" s="68">
        <v>46054.1666666667</v>
      </c>
      <c r="BE1184" s="68">
        <v>46082.1666666667</v>
      </c>
      <c r="BF1184" s="0" t="b">
        <v>0</v>
      </c>
      <c r="BG1184" s="0" t="b">
        <v>0</v>
      </c>
      <c r="BH1184" s="0">
        <v>35</v>
      </c>
      <c r="BI1184" s="0">
        <v>35</v>
      </c>
      <c r="BJ1184" s="0" t="s">
        <v>135</v>
      </c>
    </row>
    <row r="1185">
      <c r="A1185" s="0" t="s">
        <v>1391</v>
      </c>
      <c r="B1185" s="0" t="s">
        <v>134</v>
      </c>
      <c r="C1185" s="0" t="s">
        <v>134</v>
      </c>
      <c r="D1185" s="0" t="s">
        <v>135</v>
      </c>
      <c r="E1185" s="0" t="s">
        <v>3</v>
      </c>
      <c r="F1185" s="0" t="s">
        <v>12</v>
      </c>
      <c r="G1185" s="0" t="s">
        <v>8</v>
      </c>
      <c r="H1185" s="0">
        <v>1865</v>
      </c>
      <c r="I1185" s="0">
        <v>441</v>
      </c>
      <c r="J1185" s="0">
        <v>0</v>
      </c>
      <c r="K1185" s="0">
        <v>1</v>
      </c>
      <c r="L1185" s="0">
        <v>3</v>
      </c>
      <c r="M1185" s="0">
        <v>9</v>
      </c>
      <c r="N1185" s="0">
        <v>0</v>
      </c>
      <c r="O1185" s="0">
        <v>0</v>
      </c>
      <c r="P1185" s="0">
        <v>0</v>
      </c>
      <c r="R1185" s="0" t="b">
        <v>0</v>
      </c>
      <c r="S1185" s="0" t="b">
        <v>1</v>
      </c>
      <c r="T1185" s="68">
        <v>44188.5</v>
      </c>
      <c r="U1185" s="68">
        <v>44195.2916666667</v>
      </c>
      <c r="V1185" s="68">
        <v>0</v>
      </c>
      <c r="W1185" s="0">
        <f>IF(IF(B1185="none",1,IF(B1185="Trialer",1,0))+IF(C1185="Customer",1,IF(C1185="Lost",1,0))=2,1,0)</f>
      </c>
      <c r="X1185" s="0" t="s">
        <v>148</v>
      </c>
      <c r="Y1185" s="0" t="s">
        <v>243</v>
      </c>
      <c r="AV1185" s="68"/>
      <c r="AW1185" s="68"/>
      <c r="AY1185" s="27"/>
      <c r="BD1185" s="68">
        <v>46054.1666666667</v>
      </c>
      <c r="BE1185" s="68">
        <v>46082.1666666667</v>
      </c>
      <c r="BF1185" s="0" t="b">
        <v>0</v>
      </c>
      <c r="BG1185" s="0" t="b">
        <v>0</v>
      </c>
      <c r="BH1185" s="0">
        <v>392</v>
      </c>
      <c r="BI1185" s="0">
        <v>392</v>
      </c>
      <c r="BJ1185" s="0" t="s">
        <v>135</v>
      </c>
    </row>
    <row r="1186">
      <c r="A1186" s="0" t="s">
        <v>1392</v>
      </c>
      <c r="B1186" s="0" t="s">
        <v>134</v>
      </c>
      <c r="C1186" s="0" t="s">
        <v>134</v>
      </c>
      <c r="D1186" s="0" t="s">
        <v>135</v>
      </c>
      <c r="E1186" s="0" t="s">
        <v>3</v>
      </c>
      <c r="F1186" s="0" t="s">
        <v>12</v>
      </c>
      <c r="G1186" s="0" t="s">
        <v>8</v>
      </c>
      <c r="H1186" s="0">
        <v>1864</v>
      </c>
      <c r="I1186" s="0">
        <v>0</v>
      </c>
      <c r="J1186" s="0">
        <v>0</v>
      </c>
      <c r="K1186" s="0">
        <v>1</v>
      </c>
      <c r="L1186" s="0">
        <v>4</v>
      </c>
      <c r="M1186" s="0">
        <v>1</v>
      </c>
      <c r="N1186" s="0">
        <v>0</v>
      </c>
      <c r="O1186" s="0">
        <v>0</v>
      </c>
      <c r="P1186" s="0">
        <v>0</v>
      </c>
      <c r="R1186" s="0" t="b">
        <v>0</v>
      </c>
      <c r="S1186" s="0" t="b">
        <v>1</v>
      </c>
      <c r="T1186" s="68">
        <v>44188.9680208333</v>
      </c>
      <c r="U1186" s="68">
        <v>44218.2916666667</v>
      </c>
      <c r="V1186" s="68">
        <v>0</v>
      </c>
      <c r="W1186" s="0">
        <f>IF(IF(B1186="none",1,IF(B1186="Trialer",1,0))+IF(C1186="Customer",1,IF(C1186="Lost",1,0))=2,1,0)</f>
      </c>
      <c r="X1186" s="0" t="s">
        <v>148</v>
      </c>
      <c r="Y1186" s="0" t="s">
        <v>243</v>
      </c>
      <c r="AV1186" s="68"/>
      <c r="AW1186" s="68"/>
      <c r="AY1186" s="27"/>
      <c r="BD1186" s="68">
        <v>46054.1666666667</v>
      </c>
      <c r="BE1186" s="68">
        <v>46082.1666666667</v>
      </c>
      <c r="BF1186" s="0" t="b">
        <v>0</v>
      </c>
      <c r="BG1186" s="0" t="b">
        <v>0</v>
      </c>
      <c r="BH1186" s="0">
        <v>0</v>
      </c>
      <c r="BI1186" s="0">
        <v>0</v>
      </c>
      <c r="BJ1186" s="0" t="s">
        <v>135</v>
      </c>
    </row>
    <row r="1187">
      <c r="A1187" s="0" t="s">
        <v>1393</v>
      </c>
      <c r="B1187" s="0" t="s">
        <v>134</v>
      </c>
      <c r="C1187" s="0" t="s">
        <v>134</v>
      </c>
      <c r="D1187" s="0" t="s">
        <v>135</v>
      </c>
      <c r="E1187" s="0" t="s">
        <v>3</v>
      </c>
      <c r="F1187" s="0" t="s">
        <v>12</v>
      </c>
      <c r="G1187" s="0" t="s">
        <v>8</v>
      </c>
      <c r="H1187" s="0">
        <v>1864</v>
      </c>
      <c r="I1187" s="0">
        <v>37</v>
      </c>
      <c r="J1187" s="0">
        <v>0</v>
      </c>
      <c r="K1187" s="0">
        <v>1</v>
      </c>
      <c r="L1187" s="0">
        <v>2</v>
      </c>
      <c r="M1187" s="0">
        <v>1</v>
      </c>
      <c r="N1187" s="0">
        <v>0</v>
      </c>
      <c r="O1187" s="0">
        <v>0</v>
      </c>
      <c r="P1187" s="0">
        <v>0</v>
      </c>
      <c r="R1187" s="0" t="b">
        <v>0</v>
      </c>
      <c r="S1187" s="0" t="b">
        <v>1</v>
      </c>
      <c r="T1187" s="68">
        <v>44189.6040046296</v>
      </c>
      <c r="U1187" s="68">
        <v>44219.2916666667</v>
      </c>
      <c r="V1187" s="68">
        <v>0</v>
      </c>
      <c r="W1187" s="0">
        <f>IF(IF(B1187="none",1,IF(B1187="Trialer",1,0))+IF(C1187="Customer",1,IF(C1187="Lost",1,0))=2,1,0)</f>
      </c>
      <c r="X1187" s="0" t="s">
        <v>166</v>
      </c>
      <c r="Y1187" s="0" t="s">
        <v>243</v>
      </c>
      <c r="AV1187" s="68"/>
      <c r="AW1187" s="68"/>
      <c r="AY1187" s="27"/>
      <c r="BD1187" s="68">
        <v>46054.1666666667</v>
      </c>
      <c r="BE1187" s="68">
        <v>46082.1666666667</v>
      </c>
      <c r="BF1187" s="0" t="b">
        <v>0</v>
      </c>
      <c r="BG1187" s="0" t="b">
        <v>0</v>
      </c>
      <c r="BH1187" s="0">
        <v>37</v>
      </c>
      <c r="BI1187" s="0">
        <v>37</v>
      </c>
      <c r="BJ1187" s="0" t="s">
        <v>230</v>
      </c>
    </row>
    <row r="1188">
      <c r="A1188" s="0" t="s">
        <v>1394</v>
      </c>
      <c r="B1188" s="0" t="s">
        <v>134</v>
      </c>
      <c r="C1188" s="0" t="s">
        <v>134</v>
      </c>
      <c r="D1188" s="0" t="s">
        <v>230</v>
      </c>
      <c r="E1188" s="0" t="s">
        <v>2</v>
      </c>
      <c r="F1188" s="0" t="s">
        <v>12</v>
      </c>
      <c r="G1188" s="0" t="s">
        <v>8</v>
      </c>
      <c r="H1188" s="0">
        <v>1858</v>
      </c>
      <c r="I1188" s="0">
        <v>25</v>
      </c>
      <c r="J1188" s="0">
        <v>0</v>
      </c>
      <c r="K1188" s="0">
        <v>1</v>
      </c>
      <c r="L1188" s="0">
        <v>1</v>
      </c>
      <c r="M1188" s="0">
        <v>1</v>
      </c>
      <c r="N1188" s="0">
        <v>0</v>
      </c>
      <c r="O1188" s="0">
        <v>0</v>
      </c>
      <c r="P1188" s="0">
        <v>275</v>
      </c>
      <c r="R1188" s="0" t="b">
        <v>0</v>
      </c>
      <c r="S1188" s="0" t="b">
        <v>1</v>
      </c>
      <c r="T1188" s="68">
        <v>44195.7798611111</v>
      </c>
      <c r="U1188" s="68">
        <v>44225.2916666667</v>
      </c>
      <c r="V1188" s="68">
        <v>0</v>
      </c>
      <c r="W1188" s="0">
        <f>IF(IF(B1188="none",1,IF(B1188="Trialer",1,0))+IF(C1188="Customer",1,IF(C1188="Lost",1,0))=2,1,0)</f>
      </c>
      <c r="X1188" s="0" t="s">
        <v>142</v>
      </c>
      <c r="Y1188" s="0" t="s">
        <v>480</v>
      </c>
      <c r="AV1188" s="68"/>
      <c r="AW1188" s="68"/>
      <c r="AY1188" s="27"/>
      <c r="BD1188" s="68">
        <v>46054.1666666667</v>
      </c>
      <c r="BE1188" s="68">
        <v>46082.1666666667</v>
      </c>
      <c r="BF1188" s="0" t="b">
        <v>0</v>
      </c>
      <c r="BG1188" s="0" t="b">
        <v>0</v>
      </c>
      <c r="BH1188" s="0">
        <v>28</v>
      </c>
      <c r="BI1188" s="0">
        <v>28</v>
      </c>
      <c r="BJ1188" s="0" t="s">
        <v>230</v>
      </c>
    </row>
    <row r="1189">
      <c r="A1189" s="0" t="s">
        <v>1395</v>
      </c>
      <c r="B1189" s="0" t="s">
        <v>134</v>
      </c>
      <c r="C1189" s="0" t="s">
        <v>134</v>
      </c>
      <c r="D1189" s="0" t="s">
        <v>135</v>
      </c>
      <c r="E1189" s="0" t="s">
        <v>3</v>
      </c>
      <c r="F1189" s="0" t="s">
        <v>12</v>
      </c>
      <c r="G1189" s="0" t="s">
        <v>8</v>
      </c>
      <c r="H1189" s="0">
        <v>1858</v>
      </c>
      <c r="I1189" s="0">
        <v>0</v>
      </c>
      <c r="J1189" s="0">
        <v>0</v>
      </c>
      <c r="K1189" s="0">
        <v>1</v>
      </c>
      <c r="L1189" s="0">
        <v>3</v>
      </c>
      <c r="M1189" s="0">
        <v>1</v>
      </c>
      <c r="N1189" s="0">
        <v>0</v>
      </c>
      <c r="O1189" s="0">
        <v>0</v>
      </c>
      <c r="P1189" s="0">
        <v>0</v>
      </c>
      <c r="R1189" s="0" t="b">
        <v>0</v>
      </c>
      <c r="S1189" s="0" t="b">
        <v>1</v>
      </c>
      <c r="T1189" s="68">
        <v>44195.8584837963</v>
      </c>
      <c r="U1189" s="68">
        <v>44232.2916666667</v>
      </c>
      <c r="V1189" s="68">
        <v>0</v>
      </c>
      <c r="W1189" s="0">
        <f>IF(IF(B1189="none",1,IF(B1189="Trialer",1,0))+IF(C1189="Customer",1,IF(C1189="Lost",1,0))=2,1,0)</f>
      </c>
      <c r="X1189" s="0" t="s">
        <v>136</v>
      </c>
      <c r="Y1189" s="0" t="s">
        <v>243</v>
      </c>
      <c r="AV1189" s="68"/>
      <c r="AW1189" s="68"/>
      <c r="AY1189" s="27"/>
      <c r="BD1189" s="68">
        <v>46054.1666666667</v>
      </c>
      <c r="BE1189" s="68">
        <v>46082.1666666667</v>
      </c>
      <c r="BF1189" s="0" t="b">
        <v>0</v>
      </c>
      <c r="BG1189" s="0" t="b">
        <v>0</v>
      </c>
      <c r="BH1189" s="0">
        <v>0</v>
      </c>
      <c r="BI1189" s="0">
        <v>0</v>
      </c>
      <c r="BJ1189" s="0" t="s">
        <v>135</v>
      </c>
    </row>
    <row r="1190">
      <c r="A1190" s="0" t="s">
        <v>1396</v>
      </c>
      <c r="B1190" s="0" t="s">
        <v>134</v>
      </c>
      <c r="C1190" s="0" t="s">
        <v>134</v>
      </c>
      <c r="D1190" s="0" t="s">
        <v>135</v>
      </c>
      <c r="E1190" s="0" t="s">
        <v>2</v>
      </c>
      <c r="F1190" s="0" t="s">
        <v>12</v>
      </c>
      <c r="G1190" s="0" t="s">
        <v>8</v>
      </c>
      <c r="H1190" s="0">
        <v>1853</v>
      </c>
      <c r="I1190" s="0">
        <v>200</v>
      </c>
      <c r="J1190" s="0">
        <v>0</v>
      </c>
      <c r="K1190" s="0">
        <v>1</v>
      </c>
      <c r="L1190" s="0">
        <v>2</v>
      </c>
      <c r="M1190" s="0">
        <v>5</v>
      </c>
      <c r="N1190" s="0">
        <v>0</v>
      </c>
      <c r="O1190" s="0">
        <v>0</v>
      </c>
      <c r="P1190" s="0">
        <v>0</v>
      </c>
      <c r="R1190" s="0" t="b">
        <v>0</v>
      </c>
      <c r="S1190" s="0" t="b">
        <v>1</v>
      </c>
      <c r="T1190" s="68">
        <v>44200.3960300926</v>
      </c>
      <c r="U1190" s="68">
        <v>44230.2916666667</v>
      </c>
      <c r="V1190" s="68">
        <v>0</v>
      </c>
      <c r="W1190" s="0">
        <f>IF(IF(B1190="none",1,IF(B1190="Trialer",1,0))+IF(C1190="Customer",1,IF(C1190="Lost",1,0))=2,1,0)</f>
      </c>
      <c r="X1190" s="0" t="s">
        <v>136</v>
      </c>
      <c r="Y1190" s="0" t="s">
        <v>499</v>
      </c>
      <c r="AV1190" s="68"/>
      <c r="AW1190" s="68"/>
      <c r="AY1190" s="27"/>
      <c r="BD1190" s="68">
        <v>46054.1666666667</v>
      </c>
      <c r="BE1190" s="68">
        <v>46082.1666666667</v>
      </c>
      <c r="BF1190" s="0" t="b">
        <v>0</v>
      </c>
      <c r="BG1190" s="0" t="b">
        <v>0</v>
      </c>
      <c r="BH1190" s="0">
        <v>200</v>
      </c>
      <c r="BI1190" s="0">
        <v>200</v>
      </c>
      <c r="BJ1190" s="0" t="s">
        <v>135</v>
      </c>
    </row>
    <row r="1191">
      <c r="A1191" s="0" t="s">
        <v>1397</v>
      </c>
      <c r="B1191" s="0" t="s">
        <v>134</v>
      </c>
      <c r="C1191" s="0" t="s">
        <v>134</v>
      </c>
      <c r="D1191" s="0" t="s">
        <v>135</v>
      </c>
      <c r="E1191" s="0" t="s">
        <v>2</v>
      </c>
      <c r="F1191" s="0" t="s">
        <v>12</v>
      </c>
      <c r="G1191" s="0" t="s">
        <v>8</v>
      </c>
      <c r="H1191" s="0">
        <v>1853</v>
      </c>
      <c r="I1191" s="0">
        <v>25</v>
      </c>
      <c r="J1191" s="0">
        <v>0</v>
      </c>
      <c r="K1191" s="0">
        <v>1</v>
      </c>
      <c r="L1191" s="0">
        <v>1</v>
      </c>
      <c r="M1191" s="0">
        <v>1</v>
      </c>
      <c r="N1191" s="0">
        <v>0</v>
      </c>
      <c r="O1191" s="0">
        <v>0</v>
      </c>
      <c r="P1191" s="0">
        <v>0</v>
      </c>
      <c r="R1191" s="0" t="b">
        <v>0</v>
      </c>
      <c r="S1191" s="0" t="b">
        <v>1</v>
      </c>
      <c r="T1191" s="68">
        <v>44200.5</v>
      </c>
      <c r="U1191" s="68">
        <v>44200.2916666667</v>
      </c>
      <c r="V1191" s="68">
        <v>0</v>
      </c>
      <c r="W1191" s="0">
        <f>IF(IF(B1191="none",1,IF(B1191="Trialer",1,0))+IF(C1191="Customer",1,IF(C1191="Lost",1,0))=2,1,0)</f>
      </c>
      <c r="X1191" s="0" t="s">
        <v>145</v>
      </c>
      <c r="Y1191" s="0" t="s">
        <v>499</v>
      </c>
      <c r="AV1191" s="68"/>
      <c r="AW1191" s="68"/>
      <c r="AY1191" s="27"/>
      <c r="BD1191" s="68">
        <v>46054.1666666667</v>
      </c>
      <c r="BE1191" s="68">
        <v>46082.1666666667</v>
      </c>
      <c r="BF1191" s="0" t="b">
        <v>0</v>
      </c>
      <c r="BG1191" s="0" t="b">
        <v>0</v>
      </c>
      <c r="BH1191" s="0">
        <v>25</v>
      </c>
      <c r="BI1191" s="0">
        <v>25</v>
      </c>
      <c r="BJ1191" s="0" t="s">
        <v>135</v>
      </c>
    </row>
    <row r="1192">
      <c r="A1192" s="0" t="s">
        <v>1398</v>
      </c>
      <c r="B1192" s="0" t="s">
        <v>134</v>
      </c>
      <c r="C1192" s="0" t="s">
        <v>134</v>
      </c>
      <c r="D1192" s="0" t="s">
        <v>230</v>
      </c>
      <c r="E1192" s="0" t="s">
        <v>2</v>
      </c>
      <c r="F1192" s="0" t="s">
        <v>10</v>
      </c>
      <c r="G1192" s="0" t="s">
        <v>8</v>
      </c>
      <c r="H1192" s="0">
        <v>1852</v>
      </c>
      <c r="I1192" s="0">
        <v>1249.2</v>
      </c>
      <c r="J1192" s="0">
        <v>0</v>
      </c>
      <c r="K1192" s="0">
        <v>1</v>
      </c>
      <c r="L1192" s="0">
        <v>4</v>
      </c>
      <c r="M1192" s="0">
        <v>26</v>
      </c>
      <c r="N1192" s="0">
        <v>0</v>
      </c>
      <c r="O1192" s="0">
        <v>0</v>
      </c>
      <c r="P1192" s="0">
        <v>-1249.2</v>
      </c>
      <c r="Q1192" s="0" t="s">
        <v>357</v>
      </c>
      <c r="R1192" s="0" t="b">
        <v>0</v>
      </c>
      <c r="S1192" s="0" t="b">
        <v>1</v>
      </c>
      <c r="T1192" s="68">
        <v>44201.5784722222</v>
      </c>
      <c r="U1192" s="68">
        <v>44231.2916666667</v>
      </c>
      <c r="V1192" s="68">
        <v>0</v>
      </c>
      <c r="W1192" s="0">
        <f>IF(IF(B1192="none",1,IF(B1192="Trialer",1,0))+IF(C1192="Customer",1,IF(C1192="Lost",1,0))=2,1,0)</f>
      </c>
      <c r="X1192" s="0" t="s">
        <v>148</v>
      </c>
      <c r="Y1192" s="0" t="s">
        <v>499</v>
      </c>
      <c r="AV1192" s="68"/>
      <c r="AW1192" s="68"/>
      <c r="AY1192" s="27"/>
      <c r="BD1192" s="68">
        <v>46054.1666666667</v>
      </c>
      <c r="BE1192" s="68">
        <v>46082.1666666667</v>
      </c>
      <c r="BF1192" s="0" t="b">
        <v>0</v>
      </c>
      <c r="BG1192" s="0" t="b">
        <v>0</v>
      </c>
      <c r="BH1192" s="0">
        <v>1388</v>
      </c>
      <c r="BI1192" s="0">
        <v>1388</v>
      </c>
      <c r="BJ1192" s="0" t="s">
        <v>230</v>
      </c>
    </row>
    <row r="1193">
      <c r="A1193" s="0" t="s">
        <v>1399</v>
      </c>
      <c r="B1193" s="0" t="s">
        <v>134</v>
      </c>
      <c r="C1193" s="0" t="s">
        <v>134</v>
      </c>
      <c r="D1193" s="0" t="s">
        <v>230</v>
      </c>
      <c r="E1193" s="0" t="s">
        <v>3</v>
      </c>
      <c r="F1193" s="0" t="s">
        <v>12</v>
      </c>
      <c r="G1193" s="0" t="s">
        <v>8</v>
      </c>
      <c r="H1193" s="0">
        <v>1852</v>
      </c>
      <c r="I1193" s="0">
        <v>44</v>
      </c>
      <c r="J1193" s="0">
        <v>0</v>
      </c>
      <c r="K1193" s="0">
        <v>1</v>
      </c>
      <c r="L1193" s="0">
        <v>3</v>
      </c>
      <c r="M1193" s="0">
        <v>1</v>
      </c>
      <c r="N1193" s="0">
        <v>0</v>
      </c>
      <c r="O1193" s="0">
        <v>0</v>
      </c>
      <c r="P1193" s="0">
        <v>-44</v>
      </c>
      <c r="R1193" s="0" t="b">
        <v>0</v>
      </c>
      <c r="S1193" s="0" t="b">
        <v>1</v>
      </c>
      <c r="T1193" s="68">
        <v>44201.7038541667</v>
      </c>
      <c r="U1193" s="68">
        <v>44231.2916666667</v>
      </c>
      <c r="V1193" s="68">
        <v>0</v>
      </c>
      <c r="W1193" s="0">
        <f>IF(IF(B1193="none",1,IF(B1193="Trialer",1,0))+IF(C1193="Customer",1,IF(C1193="Lost",1,0))=2,1,0)</f>
      </c>
      <c r="X1193" s="0" t="s">
        <v>153</v>
      </c>
      <c r="Y1193" s="0" t="s">
        <v>243</v>
      </c>
      <c r="AV1193" s="68"/>
      <c r="AW1193" s="68"/>
      <c r="AY1193" s="27"/>
      <c r="BD1193" s="68">
        <v>46054.1666666667</v>
      </c>
      <c r="BE1193" s="68">
        <v>46082.1666666667</v>
      </c>
      <c r="BF1193" s="0" t="b">
        <v>0</v>
      </c>
      <c r="BG1193" s="0" t="b">
        <v>0</v>
      </c>
      <c r="BH1193" s="0">
        <v>49</v>
      </c>
      <c r="BI1193" s="0">
        <v>49</v>
      </c>
      <c r="BJ1193" s="0" t="s">
        <v>230</v>
      </c>
    </row>
    <row r="1194">
      <c r="A1194" s="0" t="s">
        <v>1400</v>
      </c>
      <c r="B1194" s="0" t="s">
        <v>134</v>
      </c>
      <c r="C1194" s="0" t="s">
        <v>134</v>
      </c>
      <c r="D1194" s="0" t="s">
        <v>135</v>
      </c>
      <c r="E1194" s="0" t="s">
        <v>3</v>
      </c>
      <c r="F1194" s="0" t="s">
        <v>10</v>
      </c>
      <c r="G1194" s="0" t="s">
        <v>8</v>
      </c>
      <c r="H1194" s="0">
        <v>1850</v>
      </c>
      <c r="I1194" s="0">
        <v>140</v>
      </c>
      <c r="J1194" s="0">
        <v>0</v>
      </c>
      <c r="K1194" s="0">
        <v>1</v>
      </c>
      <c r="L1194" s="0">
        <v>1</v>
      </c>
      <c r="M1194" s="0">
        <v>5</v>
      </c>
      <c r="N1194" s="0">
        <v>0</v>
      </c>
      <c r="O1194" s="0">
        <v>0</v>
      </c>
      <c r="P1194" s="0">
        <v>0</v>
      </c>
      <c r="Q1194" s="0" t="s">
        <v>618</v>
      </c>
      <c r="R1194" s="0" t="b">
        <v>0</v>
      </c>
      <c r="S1194" s="0" t="b">
        <v>1</v>
      </c>
      <c r="T1194" s="68">
        <v>44203.4731018519</v>
      </c>
      <c r="U1194" s="68">
        <v>44233.2916666667</v>
      </c>
      <c r="V1194" s="68">
        <v>0</v>
      </c>
      <c r="W1194" s="0">
        <f>IF(IF(B1194="none",1,IF(B1194="Trialer",1,0))+IF(C1194="Customer",1,IF(C1194="Lost",1,0))=2,1,0)</f>
      </c>
      <c r="X1194" s="0" t="s">
        <v>148</v>
      </c>
      <c r="Y1194" s="0" t="s">
        <v>499</v>
      </c>
      <c r="AV1194" s="68"/>
      <c r="AW1194" s="68"/>
      <c r="AY1194" s="27"/>
      <c r="BD1194" s="68">
        <v>46054.1666666667</v>
      </c>
      <c r="BE1194" s="68">
        <v>46082.1666666667</v>
      </c>
      <c r="BF1194" s="0" t="b">
        <v>0</v>
      </c>
      <c r="BG1194" s="0" t="b">
        <v>0</v>
      </c>
      <c r="BH1194" s="0">
        <v>140</v>
      </c>
      <c r="BI1194" s="0">
        <v>140</v>
      </c>
      <c r="BJ1194" s="0" t="s">
        <v>135</v>
      </c>
    </row>
    <row r="1195">
      <c r="A1195" s="0" t="s">
        <v>1401</v>
      </c>
      <c r="B1195" s="0" t="s">
        <v>134</v>
      </c>
      <c r="C1195" s="0" t="s">
        <v>134</v>
      </c>
      <c r="D1195" s="0" t="s">
        <v>135</v>
      </c>
      <c r="E1195" s="0" t="s">
        <v>2</v>
      </c>
      <c r="F1195" s="0" t="s">
        <v>12</v>
      </c>
      <c r="G1195" s="0" t="s">
        <v>7</v>
      </c>
      <c r="H1195" s="0">
        <v>1850</v>
      </c>
      <c r="I1195" s="0">
        <v>120</v>
      </c>
      <c r="J1195" s="0">
        <v>0</v>
      </c>
      <c r="K1195" s="0">
        <v>1</v>
      </c>
      <c r="L1195" s="0">
        <v>1</v>
      </c>
      <c r="M1195" s="0">
        <v>3</v>
      </c>
      <c r="N1195" s="0">
        <v>0</v>
      </c>
      <c r="O1195" s="0">
        <v>0</v>
      </c>
      <c r="P1195" s="0">
        <v>0</v>
      </c>
      <c r="R1195" s="0" t="b">
        <v>0</v>
      </c>
      <c r="S1195" s="0" t="b">
        <v>1</v>
      </c>
      <c r="T1195" s="68">
        <v>44203.5</v>
      </c>
      <c r="U1195" s="68">
        <v>44203.2916666667</v>
      </c>
      <c r="V1195" s="68">
        <v>0</v>
      </c>
      <c r="W1195" s="0">
        <f>IF(IF(B1195="none",1,IF(B1195="Trialer",1,0))+IF(C1195="Customer",1,IF(C1195="Lost",1,0))=2,1,0)</f>
      </c>
      <c r="X1195" s="0" t="s">
        <v>145</v>
      </c>
      <c r="Y1195" s="0" t="s">
        <v>499</v>
      </c>
      <c r="AV1195" s="68"/>
      <c r="AW1195" s="68"/>
      <c r="AY1195" s="27"/>
      <c r="BD1195" s="68">
        <v>46054.1666666667</v>
      </c>
      <c r="BE1195" s="68">
        <v>46082.1666666667</v>
      </c>
      <c r="BF1195" s="0" t="b">
        <v>0</v>
      </c>
      <c r="BG1195" s="0" t="b">
        <v>0</v>
      </c>
      <c r="BH1195" s="0">
        <v>120</v>
      </c>
      <c r="BI1195" s="0">
        <v>120</v>
      </c>
      <c r="BJ1195" s="0" t="s">
        <v>135</v>
      </c>
    </row>
    <row r="1196">
      <c r="A1196" s="0" t="s">
        <v>1402</v>
      </c>
      <c r="B1196" s="0" t="s">
        <v>134</v>
      </c>
      <c r="C1196" s="0" t="s">
        <v>134</v>
      </c>
      <c r="D1196" s="0" t="s">
        <v>135</v>
      </c>
      <c r="E1196" s="0" t="s">
        <v>3</v>
      </c>
      <c r="F1196" s="0" t="s">
        <v>12</v>
      </c>
      <c r="G1196" s="0" t="s">
        <v>8</v>
      </c>
      <c r="H1196" s="0">
        <v>1849</v>
      </c>
      <c r="I1196" s="0">
        <v>40</v>
      </c>
      <c r="J1196" s="0">
        <v>0</v>
      </c>
      <c r="K1196" s="0">
        <v>1</v>
      </c>
      <c r="L1196" s="0">
        <v>2</v>
      </c>
      <c r="M1196" s="0">
        <v>1</v>
      </c>
      <c r="N1196" s="0">
        <v>0</v>
      </c>
      <c r="O1196" s="0">
        <v>0</v>
      </c>
      <c r="P1196" s="0">
        <v>0</v>
      </c>
      <c r="R1196" s="0" t="b">
        <v>0</v>
      </c>
      <c r="S1196" s="0" t="b">
        <v>1</v>
      </c>
      <c r="T1196" s="68">
        <v>44204.4499884259</v>
      </c>
      <c r="U1196" s="68">
        <v>44235.2916666667</v>
      </c>
      <c r="V1196" s="68">
        <v>0</v>
      </c>
      <c r="W1196" s="0">
        <f>IF(IF(B1196="none",1,IF(B1196="Trialer",1,0))+IF(C1196="Customer",1,IF(C1196="Lost",1,0))=2,1,0)</f>
      </c>
      <c r="X1196" s="0" t="s">
        <v>153</v>
      </c>
      <c r="Y1196" s="0" t="s">
        <v>243</v>
      </c>
      <c r="AV1196" s="68"/>
      <c r="AW1196" s="68"/>
      <c r="AY1196" s="27"/>
      <c r="BD1196" s="68">
        <v>46054.1666666667</v>
      </c>
      <c r="BE1196" s="68">
        <v>46082.1666666667</v>
      </c>
      <c r="BF1196" s="0" t="b">
        <v>0</v>
      </c>
      <c r="BG1196" s="0" t="b">
        <v>0</v>
      </c>
      <c r="BH1196" s="0">
        <v>40</v>
      </c>
      <c r="BI1196" s="0">
        <v>40</v>
      </c>
      <c r="BJ1196" s="0" t="s">
        <v>135</v>
      </c>
    </row>
    <row r="1197">
      <c r="A1197" s="0" t="s">
        <v>1403</v>
      </c>
      <c r="B1197" s="0" t="s">
        <v>134</v>
      </c>
      <c r="C1197" s="0" t="s">
        <v>134</v>
      </c>
      <c r="D1197" s="0" t="s">
        <v>230</v>
      </c>
      <c r="E1197" s="0" t="s">
        <v>3</v>
      </c>
      <c r="F1197" s="0" t="s">
        <v>12</v>
      </c>
      <c r="G1197" s="0" t="s">
        <v>8</v>
      </c>
      <c r="H1197" s="0">
        <v>1849</v>
      </c>
      <c r="I1197" s="0">
        <v>36</v>
      </c>
      <c r="J1197" s="0">
        <v>0</v>
      </c>
      <c r="K1197" s="0">
        <v>1</v>
      </c>
      <c r="L1197" s="0">
        <v>2</v>
      </c>
      <c r="M1197" s="0">
        <v>1</v>
      </c>
      <c r="N1197" s="0">
        <v>0</v>
      </c>
      <c r="O1197" s="0">
        <v>0</v>
      </c>
      <c r="P1197" s="0">
        <v>-36</v>
      </c>
      <c r="R1197" s="0" t="b">
        <v>0</v>
      </c>
      <c r="S1197" s="0" t="b">
        <v>1</v>
      </c>
      <c r="T1197" s="68">
        <v>44204.6766666667</v>
      </c>
      <c r="U1197" s="68">
        <v>44234.2916666667</v>
      </c>
      <c r="V1197" s="68">
        <v>0</v>
      </c>
      <c r="W1197" s="0">
        <f>IF(IF(B1197="none",1,IF(B1197="Trialer",1,0))+IF(C1197="Customer",1,IF(C1197="Lost",1,0))=2,1,0)</f>
      </c>
      <c r="X1197" s="0" t="s">
        <v>142</v>
      </c>
      <c r="Y1197" s="0" t="s">
        <v>243</v>
      </c>
      <c r="AV1197" s="68"/>
      <c r="AW1197" s="68"/>
      <c r="AY1197" s="27"/>
      <c r="BD1197" s="68">
        <v>46054.1666666667</v>
      </c>
      <c r="BE1197" s="68">
        <v>46082.1666666667</v>
      </c>
      <c r="BF1197" s="0" t="b">
        <v>0</v>
      </c>
      <c r="BG1197" s="0" t="b">
        <v>0</v>
      </c>
      <c r="BH1197" s="0">
        <v>40</v>
      </c>
      <c r="BI1197" s="0">
        <v>40</v>
      </c>
      <c r="BJ1197" s="0" t="s">
        <v>230</v>
      </c>
    </row>
    <row r="1198">
      <c r="A1198" s="0" t="s">
        <v>1404</v>
      </c>
      <c r="B1198" s="0" t="s">
        <v>134</v>
      </c>
      <c r="C1198" s="0" t="s">
        <v>134</v>
      </c>
      <c r="D1198" s="0" t="s">
        <v>135</v>
      </c>
      <c r="E1198" s="0" t="s">
        <v>3</v>
      </c>
      <c r="F1198" s="0" t="s">
        <v>12</v>
      </c>
      <c r="G1198" s="0" t="s">
        <v>8</v>
      </c>
      <c r="H1198" s="0">
        <v>1845</v>
      </c>
      <c r="I1198" s="0">
        <v>1126.75</v>
      </c>
      <c r="J1198" s="0">
        <v>0</v>
      </c>
      <c r="K1198" s="0">
        <v>2</v>
      </c>
      <c r="L1198" s="0">
        <v>5</v>
      </c>
      <c r="M1198" s="0">
        <v>6</v>
      </c>
      <c r="N1198" s="0">
        <v>0</v>
      </c>
      <c r="O1198" s="0">
        <v>0</v>
      </c>
      <c r="P1198" s="0">
        <v>0</v>
      </c>
      <c r="R1198" s="0" t="b">
        <v>0</v>
      </c>
      <c r="S1198" s="0" t="b">
        <v>1</v>
      </c>
      <c r="T1198" s="68">
        <v>44208.4100347222</v>
      </c>
      <c r="U1198" s="68">
        <v>44238.2916666667</v>
      </c>
      <c r="V1198" s="68">
        <v>0</v>
      </c>
      <c r="W1198" s="0">
        <f>IF(IF(B1198="none",1,IF(B1198="Trialer",1,0))+IF(C1198="Customer",1,IF(C1198="Lost",1,0))=2,1,0)</f>
      </c>
      <c r="X1198" s="0" t="s">
        <v>148</v>
      </c>
      <c r="Y1198" s="0" t="s">
        <v>243</v>
      </c>
      <c r="AV1198" s="68"/>
      <c r="AW1198" s="68"/>
      <c r="AY1198" s="27"/>
      <c r="BD1198" s="68">
        <v>46054.1666666667</v>
      </c>
      <c r="BE1198" s="68">
        <v>46082.1666666667</v>
      </c>
      <c r="BF1198" s="0" t="b">
        <v>0</v>
      </c>
      <c r="BG1198" s="0" t="b">
        <v>0</v>
      </c>
      <c r="BH1198" s="0">
        <v>438</v>
      </c>
      <c r="BI1198" s="0">
        <v>438</v>
      </c>
      <c r="BJ1198" s="0" t="s">
        <v>135</v>
      </c>
    </row>
    <row r="1199">
      <c r="A1199" s="0" t="s">
        <v>1405</v>
      </c>
      <c r="B1199" s="0" t="s">
        <v>134</v>
      </c>
      <c r="C1199" s="0" t="s">
        <v>134</v>
      </c>
      <c r="D1199" s="0" t="s">
        <v>135</v>
      </c>
      <c r="E1199" s="0" t="s">
        <v>3</v>
      </c>
      <c r="F1199" s="0" t="s">
        <v>12</v>
      </c>
      <c r="G1199" s="0" t="s">
        <v>8</v>
      </c>
      <c r="H1199" s="0">
        <v>1845</v>
      </c>
      <c r="I1199" s="0">
        <v>0</v>
      </c>
      <c r="J1199" s="0">
        <v>0</v>
      </c>
      <c r="K1199" s="0">
        <v>1</v>
      </c>
      <c r="L1199" s="0">
        <v>3</v>
      </c>
      <c r="M1199" s="0">
        <v>2</v>
      </c>
      <c r="N1199" s="0">
        <v>0</v>
      </c>
      <c r="O1199" s="0">
        <v>0</v>
      </c>
      <c r="P1199" s="0">
        <v>0</v>
      </c>
      <c r="R1199" s="0" t="b">
        <v>0</v>
      </c>
      <c r="S1199" s="0" t="b">
        <v>1</v>
      </c>
      <c r="T1199" s="68">
        <v>44208.5898263889</v>
      </c>
      <c r="U1199" s="68">
        <v>44238.2916666667</v>
      </c>
      <c r="V1199" s="68">
        <v>0</v>
      </c>
      <c r="W1199" s="0">
        <f>IF(IF(B1199="none",1,IF(B1199="Trialer",1,0))+IF(C1199="Customer",1,IF(C1199="Lost",1,0))=2,1,0)</f>
      </c>
      <c r="X1199" s="0" t="s">
        <v>148</v>
      </c>
      <c r="Y1199" s="0" t="s">
        <v>243</v>
      </c>
      <c r="AV1199" s="68"/>
      <c r="AW1199" s="68"/>
      <c r="AY1199" s="27"/>
      <c r="BD1199" s="68">
        <v>46054.1666666667</v>
      </c>
      <c r="BE1199" s="68">
        <v>46082.1666666667</v>
      </c>
      <c r="BF1199" s="0" t="b">
        <v>0</v>
      </c>
      <c r="BG1199" s="0" t="b">
        <v>0</v>
      </c>
      <c r="BH1199" s="0">
        <v>0</v>
      </c>
      <c r="BI1199" s="0">
        <v>0</v>
      </c>
      <c r="BJ1199" s="0" t="s">
        <v>135</v>
      </c>
    </row>
    <row r="1200">
      <c r="A1200" s="0" t="s">
        <v>1406</v>
      </c>
      <c r="B1200" s="0" t="s">
        <v>134</v>
      </c>
      <c r="C1200" s="0" t="s">
        <v>134</v>
      </c>
      <c r="D1200" s="0" t="s">
        <v>135</v>
      </c>
      <c r="E1200" s="0" t="s">
        <v>3</v>
      </c>
      <c r="F1200" s="0" t="s">
        <v>12</v>
      </c>
      <c r="G1200" s="0" t="s">
        <v>8</v>
      </c>
      <c r="H1200" s="0">
        <v>1845</v>
      </c>
      <c r="I1200" s="0">
        <v>40</v>
      </c>
      <c r="J1200" s="0">
        <v>0</v>
      </c>
      <c r="K1200" s="0">
        <v>1</v>
      </c>
      <c r="L1200" s="0">
        <v>2</v>
      </c>
      <c r="M1200" s="0">
        <v>1</v>
      </c>
      <c r="N1200" s="0">
        <v>0</v>
      </c>
      <c r="O1200" s="0">
        <v>0</v>
      </c>
      <c r="P1200" s="0">
        <v>0</v>
      </c>
      <c r="R1200" s="0" t="b">
        <v>0</v>
      </c>
      <c r="S1200" s="0" t="b">
        <v>1</v>
      </c>
      <c r="T1200" s="68">
        <v>44208.5927662037</v>
      </c>
      <c r="U1200" s="68">
        <v>44258.2916666667</v>
      </c>
      <c r="V1200" s="68">
        <v>0</v>
      </c>
      <c r="W1200" s="0">
        <f>IF(IF(B1200="none",1,IF(B1200="Trialer",1,0))+IF(C1200="Customer",1,IF(C1200="Lost",1,0))=2,1,0)</f>
      </c>
      <c r="X1200" s="0" t="s">
        <v>142</v>
      </c>
      <c r="Y1200" s="0" t="s">
        <v>243</v>
      </c>
      <c r="AV1200" s="68"/>
      <c r="AW1200" s="68"/>
      <c r="AY1200" s="27"/>
      <c r="BD1200" s="68">
        <v>46054.1666666667</v>
      </c>
      <c r="BE1200" s="68">
        <v>46082.1666666667</v>
      </c>
      <c r="BF1200" s="0" t="b">
        <v>0</v>
      </c>
      <c r="BG1200" s="0" t="b">
        <v>0</v>
      </c>
      <c r="BH1200" s="0">
        <v>40</v>
      </c>
      <c r="BI1200" s="0">
        <v>40</v>
      </c>
      <c r="BJ1200" s="0" t="s">
        <v>135</v>
      </c>
    </row>
    <row r="1201">
      <c r="A1201" s="0" t="s">
        <v>1407</v>
      </c>
      <c r="B1201" s="0" t="s">
        <v>134</v>
      </c>
      <c r="C1201" s="0" t="s">
        <v>134</v>
      </c>
      <c r="D1201" s="0" t="s">
        <v>230</v>
      </c>
      <c r="E1201" s="0" t="s">
        <v>2</v>
      </c>
      <c r="F1201" s="0" t="s">
        <v>12</v>
      </c>
      <c r="G1201" s="0" t="s">
        <v>8</v>
      </c>
      <c r="H1201" s="0">
        <v>1844</v>
      </c>
      <c r="I1201" s="0">
        <v>418</v>
      </c>
      <c r="J1201" s="0">
        <v>0</v>
      </c>
      <c r="K1201" s="0">
        <v>1</v>
      </c>
      <c r="L1201" s="0">
        <v>5</v>
      </c>
      <c r="M1201" s="0">
        <v>7</v>
      </c>
      <c r="N1201" s="0">
        <v>0</v>
      </c>
      <c r="O1201" s="0">
        <v>0</v>
      </c>
      <c r="P1201" s="0">
        <v>-418</v>
      </c>
      <c r="R1201" s="0" t="b">
        <v>0</v>
      </c>
      <c r="S1201" s="0" t="b">
        <v>1</v>
      </c>
      <c r="T1201" s="68">
        <v>44209.3256365741</v>
      </c>
      <c r="U1201" s="68">
        <v>44239.2916666667</v>
      </c>
      <c r="V1201" s="68">
        <v>0</v>
      </c>
      <c r="W1201" s="0">
        <f>IF(IF(B1201="none",1,IF(B1201="Trialer",1,0))+IF(C1201="Customer",1,IF(C1201="Lost",1,0))=2,1,0)</f>
      </c>
      <c r="X1201" s="0" t="s">
        <v>148</v>
      </c>
      <c r="Y1201" s="0" t="s">
        <v>499</v>
      </c>
      <c r="AV1201" s="68"/>
      <c r="AW1201" s="68"/>
      <c r="AY1201" s="27"/>
      <c r="BD1201" s="68">
        <v>46054.1666666667</v>
      </c>
      <c r="BE1201" s="68">
        <v>46082.1666666667</v>
      </c>
      <c r="BF1201" s="0" t="b">
        <v>0</v>
      </c>
      <c r="BG1201" s="0" t="b">
        <v>0</v>
      </c>
      <c r="BH1201" s="0">
        <v>402</v>
      </c>
      <c r="BI1201" s="0">
        <v>402</v>
      </c>
      <c r="BJ1201" s="0" t="s">
        <v>230</v>
      </c>
    </row>
    <row r="1202">
      <c r="A1202" s="0" t="s">
        <v>1408</v>
      </c>
      <c r="B1202" s="0" t="s">
        <v>134</v>
      </c>
      <c r="C1202" s="0" t="s">
        <v>134</v>
      </c>
      <c r="D1202" s="0" t="s">
        <v>135</v>
      </c>
      <c r="E1202" s="0" t="s">
        <v>2</v>
      </c>
      <c r="F1202" s="0" t="s">
        <v>12</v>
      </c>
      <c r="G1202" s="0" t="s">
        <v>8</v>
      </c>
      <c r="H1202" s="0">
        <v>1839</v>
      </c>
      <c r="I1202" s="0">
        <v>68</v>
      </c>
      <c r="J1202" s="0">
        <v>0</v>
      </c>
      <c r="K1202" s="0">
        <v>1</v>
      </c>
      <c r="L1202" s="0">
        <v>2</v>
      </c>
      <c r="M1202" s="0">
        <v>2</v>
      </c>
      <c r="N1202" s="0">
        <v>0</v>
      </c>
      <c r="O1202" s="0">
        <v>0</v>
      </c>
      <c r="P1202" s="0">
        <v>0</v>
      </c>
      <c r="R1202" s="0" t="b">
        <v>0</v>
      </c>
      <c r="S1202" s="0" t="b">
        <v>1</v>
      </c>
      <c r="T1202" s="68">
        <v>44214.5</v>
      </c>
      <c r="U1202" s="68">
        <v>44214.2916666667</v>
      </c>
      <c r="V1202" s="68">
        <v>0</v>
      </c>
      <c r="W1202" s="0">
        <f>IF(IF(B1202="none",1,IF(B1202="Trialer",1,0))+IF(C1202="Customer",1,IF(C1202="Lost",1,0))=2,1,0)</f>
      </c>
      <c r="X1202" s="0" t="s">
        <v>145</v>
      </c>
      <c r="Y1202" s="0" t="s">
        <v>499</v>
      </c>
      <c r="AV1202" s="68"/>
      <c r="AW1202" s="68"/>
      <c r="AY1202" s="27"/>
      <c r="BD1202" s="68">
        <v>46054.1666666667</v>
      </c>
      <c r="BE1202" s="68">
        <v>46082.1666666667</v>
      </c>
      <c r="BF1202" s="0" t="b">
        <v>0</v>
      </c>
      <c r="BG1202" s="0" t="b">
        <v>0</v>
      </c>
      <c r="BH1202" s="0">
        <v>89</v>
      </c>
      <c r="BI1202" s="0">
        <v>40</v>
      </c>
      <c r="BJ1202" s="0" t="s">
        <v>135</v>
      </c>
    </row>
    <row r="1203">
      <c r="A1203" s="0" t="s">
        <v>1409</v>
      </c>
      <c r="B1203" s="0" t="s">
        <v>134</v>
      </c>
      <c r="C1203" s="0" t="s">
        <v>134</v>
      </c>
      <c r="D1203" s="0" t="s">
        <v>135</v>
      </c>
      <c r="E1203" s="0" t="s">
        <v>2</v>
      </c>
      <c r="F1203" s="0" t="s">
        <v>12</v>
      </c>
      <c r="G1203" s="0" t="s">
        <v>8</v>
      </c>
      <c r="H1203" s="0">
        <v>1838</v>
      </c>
      <c r="I1203" s="0">
        <v>766</v>
      </c>
      <c r="J1203" s="0">
        <v>0</v>
      </c>
      <c r="K1203" s="0">
        <v>1</v>
      </c>
      <c r="L1203" s="0">
        <v>3</v>
      </c>
      <c r="M1203" s="0">
        <v>16</v>
      </c>
      <c r="N1203" s="0">
        <v>0</v>
      </c>
      <c r="O1203" s="0">
        <v>0</v>
      </c>
      <c r="P1203" s="0">
        <v>0</v>
      </c>
      <c r="R1203" s="0" t="b">
        <v>0</v>
      </c>
      <c r="S1203" s="0" t="b">
        <v>1</v>
      </c>
      <c r="T1203" s="68">
        <v>44215.4305555556</v>
      </c>
      <c r="U1203" s="68">
        <v>44245.2916666667</v>
      </c>
      <c r="V1203" s="68">
        <v>0</v>
      </c>
      <c r="W1203" s="0">
        <f>IF(IF(B1203="none",1,IF(B1203="Trialer",1,0))+IF(C1203="Customer",1,IF(C1203="Lost",1,0))=2,1,0)</f>
      </c>
      <c r="X1203" s="0" t="s">
        <v>148</v>
      </c>
      <c r="Y1203" s="0" t="s">
        <v>499</v>
      </c>
      <c r="AV1203" s="68"/>
      <c r="AW1203" s="68"/>
      <c r="AY1203" s="27"/>
      <c r="BD1203" s="68">
        <v>46054.1666666667</v>
      </c>
      <c r="BE1203" s="68">
        <v>46082.1666666667</v>
      </c>
      <c r="BF1203" s="0" t="b">
        <v>0</v>
      </c>
      <c r="BG1203" s="0" t="b">
        <v>0</v>
      </c>
      <c r="BH1203" s="0">
        <v>766</v>
      </c>
      <c r="BI1203" s="0">
        <v>766</v>
      </c>
      <c r="BJ1203" s="0" t="s">
        <v>135</v>
      </c>
    </row>
    <row r="1204">
      <c r="A1204" s="0" t="s">
        <v>1410</v>
      </c>
      <c r="B1204" s="0" t="s">
        <v>134</v>
      </c>
      <c r="C1204" s="0" t="s">
        <v>134</v>
      </c>
      <c r="D1204" s="0" t="s">
        <v>135</v>
      </c>
      <c r="E1204" s="0" t="s">
        <v>2</v>
      </c>
      <c r="F1204" s="0" t="s">
        <v>12</v>
      </c>
      <c r="G1204" s="0" t="s">
        <v>8</v>
      </c>
      <c r="H1204" s="0">
        <v>1838</v>
      </c>
      <c r="I1204" s="0">
        <v>583</v>
      </c>
      <c r="J1204" s="0">
        <v>0</v>
      </c>
      <c r="K1204" s="0">
        <v>1</v>
      </c>
      <c r="L1204" s="0">
        <v>3</v>
      </c>
      <c r="M1204" s="0">
        <v>13</v>
      </c>
      <c r="N1204" s="0">
        <v>0</v>
      </c>
      <c r="O1204" s="0">
        <v>0</v>
      </c>
      <c r="P1204" s="0">
        <v>0</v>
      </c>
      <c r="R1204" s="0" t="b">
        <v>0</v>
      </c>
      <c r="S1204" s="0" t="b">
        <v>1</v>
      </c>
      <c r="T1204" s="68">
        <v>44215.4326388889</v>
      </c>
      <c r="U1204" s="68">
        <v>44245.2916666667</v>
      </c>
      <c r="V1204" s="68">
        <v>0</v>
      </c>
      <c r="W1204" s="0">
        <f>IF(IF(B1204="none",1,IF(B1204="Trialer",1,0))+IF(C1204="Customer",1,IF(C1204="Lost",1,0))=2,1,0)</f>
      </c>
      <c r="X1204" s="0" t="s">
        <v>148</v>
      </c>
      <c r="Y1204" s="0" t="s">
        <v>499</v>
      </c>
      <c r="AV1204" s="68"/>
      <c r="AW1204" s="68"/>
      <c r="AY1204" s="27"/>
      <c r="BD1204" s="68">
        <v>46054.1666666667</v>
      </c>
      <c r="BE1204" s="68">
        <v>46082.1666666667</v>
      </c>
      <c r="BF1204" s="0" t="b">
        <v>0</v>
      </c>
      <c r="BG1204" s="0" t="b">
        <v>0</v>
      </c>
      <c r="BH1204" s="0">
        <v>583</v>
      </c>
      <c r="BI1204" s="0">
        <v>583</v>
      </c>
      <c r="BJ1204" s="0" t="s">
        <v>135</v>
      </c>
    </row>
    <row r="1205">
      <c r="A1205" s="0" t="s">
        <v>1411</v>
      </c>
      <c r="B1205" s="0" t="s">
        <v>134</v>
      </c>
      <c r="C1205" s="0" t="s">
        <v>134</v>
      </c>
      <c r="D1205" s="0" t="s">
        <v>230</v>
      </c>
      <c r="E1205" s="0" t="s">
        <v>3</v>
      </c>
      <c r="F1205" s="0" t="s">
        <v>12</v>
      </c>
      <c r="G1205" s="0" t="s">
        <v>8</v>
      </c>
      <c r="H1205" s="0">
        <v>1838</v>
      </c>
      <c r="I1205" s="0">
        <v>44</v>
      </c>
      <c r="J1205" s="0">
        <v>0</v>
      </c>
      <c r="K1205" s="0">
        <v>1</v>
      </c>
      <c r="L1205" s="0">
        <v>3</v>
      </c>
      <c r="M1205" s="0">
        <v>1</v>
      </c>
      <c r="N1205" s="0">
        <v>0</v>
      </c>
      <c r="O1205" s="0">
        <v>0</v>
      </c>
      <c r="P1205" s="0">
        <v>-44</v>
      </c>
      <c r="R1205" s="0" t="b">
        <v>0</v>
      </c>
      <c r="S1205" s="0" t="b">
        <v>1</v>
      </c>
      <c r="T1205" s="68">
        <v>44215.6041782407</v>
      </c>
      <c r="U1205" s="68">
        <v>44245.2916666667</v>
      </c>
      <c r="V1205" s="68">
        <v>0</v>
      </c>
      <c r="W1205" s="0">
        <f>IF(IF(B1205="none",1,IF(B1205="Trialer",1,0))+IF(C1205="Customer",1,IF(C1205="Lost",1,0))=2,1,0)</f>
      </c>
      <c r="X1205" s="0" t="s">
        <v>142</v>
      </c>
      <c r="Y1205" s="0" t="s">
        <v>243</v>
      </c>
      <c r="AV1205" s="68"/>
      <c r="AW1205" s="68"/>
      <c r="AY1205" s="27"/>
      <c r="BD1205" s="68">
        <v>46054.1666666667</v>
      </c>
      <c r="BE1205" s="68">
        <v>46082.1666666667</v>
      </c>
      <c r="BF1205" s="0" t="b">
        <v>0</v>
      </c>
      <c r="BG1205" s="0" t="b">
        <v>0</v>
      </c>
      <c r="BH1205" s="0">
        <v>49</v>
      </c>
      <c r="BI1205" s="0">
        <v>49</v>
      </c>
      <c r="BJ1205" s="0" t="s">
        <v>230</v>
      </c>
    </row>
    <row r="1206">
      <c r="A1206" s="0" t="s">
        <v>1412</v>
      </c>
      <c r="B1206" s="0" t="s">
        <v>134</v>
      </c>
      <c r="C1206" s="0" t="s">
        <v>134</v>
      </c>
      <c r="D1206" s="0" t="s">
        <v>135</v>
      </c>
      <c r="E1206" s="0" t="s">
        <v>2</v>
      </c>
      <c r="F1206" s="0" t="s">
        <v>12</v>
      </c>
      <c r="G1206" s="0" t="s">
        <v>8</v>
      </c>
      <c r="H1206" s="0">
        <v>1836</v>
      </c>
      <c r="I1206" s="0">
        <v>98</v>
      </c>
      <c r="J1206" s="0">
        <v>0</v>
      </c>
      <c r="K1206" s="0">
        <v>1</v>
      </c>
      <c r="L1206" s="0">
        <v>3</v>
      </c>
      <c r="M1206" s="0">
        <v>2</v>
      </c>
      <c r="N1206" s="0">
        <v>0</v>
      </c>
      <c r="O1206" s="0">
        <v>0</v>
      </c>
      <c r="P1206" s="0">
        <v>0</v>
      </c>
      <c r="R1206" s="0" t="b">
        <v>0</v>
      </c>
      <c r="S1206" s="0" t="b">
        <v>1</v>
      </c>
      <c r="T1206" s="68">
        <v>44217.7178125</v>
      </c>
      <c r="U1206" s="68">
        <v>44247.2916666667</v>
      </c>
      <c r="V1206" s="68">
        <v>0</v>
      </c>
      <c r="W1206" s="0">
        <f>IF(IF(B1206="none",1,IF(B1206="Trialer",1,0))+IF(C1206="Customer",1,IF(C1206="Lost",1,0))=2,1,0)</f>
      </c>
      <c r="X1206" s="0" t="s">
        <v>142</v>
      </c>
      <c r="Y1206" s="0" t="s">
        <v>499</v>
      </c>
      <c r="AV1206" s="68"/>
      <c r="AW1206" s="68"/>
      <c r="AY1206" s="27"/>
      <c r="BD1206" s="68">
        <v>46054.1666666667</v>
      </c>
      <c r="BE1206" s="68">
        <v>46082.1666666667</v>
      </c>
      <c r="BF1206" s="0" t="b">
        <v>0</v>
      </c>
      <c r="BG1206" s="0" t="b">
        <v>0</v>
      </c>
      <c r="BH1206" s="0">
        <v>98</v>
      </c>
      <c r="BI1206" s="0">
        <v>98</v>
      </c>
      <c r="BJ1206" s="0" t="s">
        <v>135</v>
      </c>
    </row>
    <row r="1207">
      <c r="A1207" s="0" t="s">
        <v>1413</v>
      </c>
      <c r="B1207" s="0" t="s">
        <v>134</v>
      </c>
      <c r="C1207" s="0" t="s">
        <v>134</v>
      </c>
      <c r="D1207" s="0" t="s">
        <v>230</v>
      </c>
      <c r="E1207" s="0" t="s">
        <v>3</v>
      </c>
      <c r="F1207" s="0" t="s">
        <v>12</v>
      </c>
      <c r="G1207" s="0" t="s">
        <v>8</v>
      </c>
      <c r="H1207" s="0">
        <v>1834</v>
      </c>
      <c r="I1207" s="0">
        <v>44</v>
      </c>
      <c r="J1207" s="0">
        <v>0</v>
      </c>
      <c r="K1207" s="0">
        <v>1</v>
      </c>
      <c r="L1207" s="0">
        <v>3</v>
      </c>
      <c r="M1207" s="0">
        <v>1</v>
      </c>
      <c r="N1207" s="0">
        <v>0</v>
      </c>
      <c r="O1207" s="0">
        <v>0</v>
      </c>
      <c r="P1207" s="0">
        <v>-44</v>
      </c>
      <c r="R1207" s="0" t="b">
        <v>0</v>
      </c>
      <c r="S1207" s="0" t="b">
        <v>1</v>
      </c>
      <c r="T1207" s="68">
        <v>44219.6984722222</v>
      </c>
      <c r="U1207" s="68">
        <v>44249.2916666667</v>
      </c>
      <c r="V1207" s="68">
        <v>0</v>
      </c>
      <c r="W1207" s="0">
        <f>IF(IF(B1207="none",1,IF(B1207="Trialer",1,0))+IF(C1207="Customer",1,IF(C1207="Lost",1,0))=2,1,0)</f>
      </c>
      <c r="X1207" s="0" t="s">
        <v>142</v>
      </c>
      <c r="Y1207" s="0" t="s">
        <v>243</v>
      </c>
      <c r="AV1207" s="68"/>
      <c r="AW1207" s="68"/>
      <c r="AY1207" s="27"/>
      <c r="BD1207" s="68">
        <v>46054.1666666667</v>
      </c>
      <c r="BE1207" s="68">
        <v>46082.1666666667</v>
      </c>
      <c r="BF1207" s="0" t="b">
        <v>0</v>
      </c>
      <c r="BG1207" s="0" t="b">
        <v>0</v>
      </c>
      <c r="BH1207" s="0">
        <v>49</v>
      </c>
      <c r="BI1207" s="0">
        <v>49</v>
      </c>
      <c r="BJ1207" s="0" t="s">
        <v>230</v>
      </c>
    </row>
    <row r="1208">
      <c r="A1208" s="0" t="s">
        <v>1414</v>
      </c>
      <c r="B1208" s="0" t="s">
        <v>134</v>
      </c>
      <c r="C1208" s="0" t="s">
        <v>134</v>
      </c>
      <c r="D1208" s="0" t="s">
        <v>135</v>
      </c>
      <c r="E1208" s="0" t="s">
        <v>2</v>
      </c>
      <c r="F1208" s="0" t="s">
        <v>10</v>
      </c>
      <c r="G1208" s="0" t="s">
        <v>8</v>
      </c>
      <c r="H1208" s="0">
        <v>1833</v>
      </c>
      <c r="I1208" s="0">
        <v>387</v>
      </c>
      <c r="J1208" s="0">
        <v>0</v>
      </c>
      <c r="K1208" s="0">
        <v>1</v>
      </c>
      <c r="L1208" s="0">
        <v>3</v>
      </c>
      <c r="M1208" s="0">
        <v>9</v>
      </c>
      <c r="N1208" s="0">
        <v>0</v>
      </c>
      <c r="O1208" s="0">
        <v>0</v>
      </c>
      <c r="P1208" s="0">
        <v>0</v>
      </c>
      <c r="Q1208" s="0" t="s">
        <v>1415</v>
      </c>
      <c r="R1208" s="0" t="b">
        <v>0</v>
      </c>
      <c r="S1208" s="0" t="b">
        <v>1</v>
      </c>
      <c r="T1208" s="68">
        <v>44220.8710648148</v>
      </c>
      <c r="U1208" s="68">
        <v>44234.2916666667</v>
      </c>
      <c r="V1208" s="68">
        <v>0</v>
      </c>
      <c r="W1208" s="0">
        <f>IF(IF(B1208="none",1,IF(B1208="Trialer",1,0))+IF(C1208="Customer",1,IF(C1208="Lost",1,0))=2,1,0)</f>
      </c>
      <c r="X1208" s="0" t="s">
        <v>136</v>
      </c>
      <c r="Y1208" s="0" t="s">
        <v>499</v>
      </c>
      <c r="AV1208" s="68"/>
      <c r="AW1208" s="68"/>
      <c r="AY1208" s="27"/>
      <c r="BD1208" s="68">
        <v>46054.1666666667</v>
      </c>
      <c r="BE1208" s="68">
        <v>46082.1666666667</v>
      </c>
      <c r="BF1208" s="0" t="b">
        <v>0</v>
      </c>
      <c r="BG1208" s="0" t="b">
        <v>0</v>
      </c>
      <c r="BH1208" s="0">
        <v>415</v>
      </c>
      <c r="BI1208" s="0">
        <v>415</v>
      </c>
      <c r="BJ1208" s="0" t="s">
        <v>135</v>
      </c>
    </row>
    <row r="1209">
      <c r="A1209" s="0" t="s">
        <v>1416</v>
      </c>
      <c r="B1209" s="0" t="s">
        <v>134</v>
      </c>
      <c r="C1209" s="0" t="s">
        <v>134</v>
      </c>
      <c r="D1209" s="0" t="s">
        <v>135</v>
      </c>
      <c r="E1209" s="0" t="s">
        <v>3</v>
      </c>
      <c r="F1209" s="0" t="s">
        <v>12</v>
      </c>
      <c r="G1209" s="0" t="s">
        <v>8</v>
      </c>
      <c r="H1209" s="0">
        <v>1832</v>
      </c>
      <c r="I1209" s="0">
        <v>140</v>
      </c>
      <c r="J1209" s="0">
        <v>0</v>
      </c>
      <c r="K1209" s="0">
        <v>1</v>
      </c>
      <c r="L1209" s="0">
        <v>1</v>
      </c>
      <c r="M1209" s="0">
        <v>5</v>
      </c>
      <c r="N1209" s="0">
        <v>0</v>
      </c>
      <c r="O1209" s="0">
        <v>0</v>
      </c>
      <c r="P1209" s="0">
        <v>0</v>
      </c>
      <c r="R1209" s="0" t="b">
        <v>0</v>
      </c>
      <c r="S1209" s="0" t="b">
        <v>1</v>
      </c>
      <c r="T1209" s="68">
        <v>44221.3172222222</v>
      </c>
      <c r="U1209" s="68">
        <v>44221.2916666667</v>
      </c>
      <c r="V1209" s="68">
        <v>0</v>
      </c>
      <c r="W1209" s="0">
        <f>IF(IF(B1209="none",1,IF(B1209="Trialer",1,0))+IF(C1209="Customer",1,IF(C1209="Lost",1,0))=2,1,0)</f>
      </c>
      <c r="X1209" s="0" t="s">
        <v>148</v>
      </c>
      <c r="Y1209" s="0" t="s">
        <v>243</v>
      </c>
      <c r="AV1209" s="68"/>
      <c r="AW1209" s="68"/>
      <c r="AY1209" s="27"/>
      <c r="BD1209" s="68">
        <v>46054.1666666667</v>
      </c>
      <c r="BE1209" s="68">
        <v>46082.1666666667</v>
      </c>
      <c r="BF1209" s="0" t="b">
        <v>0</v>
      </c>
      <c r="BG1209" s="0" t="b">
        <v>0</v>
      </c>
      <c r="BH1209" s="0">
        <v>140</v>
      </c>
      <c r="BI1209" s="0">
        <v>140</v>
      </c>
      <c r="BJ1209" s="0" t="s">
        <v>135</v>
      </c>
    </row>
    <row r="1210">
      <c r="A1210" s="0" t="s">
        <v>1417</v>
      </c>
      <c r="B1210" s="0" t="s">
        <v>134</v>
      </c>
      <c r="C1210" s="0" t="s">
        <v>134</v>
      </c>
      <c r="D1210" s="0" t="s">
        <v>230</v>
      </c>
      <c r="E1210" s="0" t="s">
        <v>2</v>
      </c>
      <c r="F1210" s="0" t="s">
        <v>12</v>
      </c>
      <c r="G1210" s="0" t="s">
        <v>8</v>
      </c>
      <c r="H1210" s="0">
        <v>1832</v>
      </c>
      <c r="I1210" s="0">
        <v>36</v>
      </c>
      <c r="J1210" s="0">
        <v>0</v>
      </c>
      <c r="K1210" s="0">
        <v>1</v>
      </c>
      <c r="L1210" s="0">
        <v>2</v>
      </c>
      <c r="M1210" s="0">
        <v>1</v>
      </c>
      <c r="N1210" s="0">
        <v>0</v>
      </c>
      <c r="O1210" s="0">
        <v>0</v>
      </c>
      <c r="P1210" s="0">
        <v>396</v>
      </c>
      <c r="R1210" s="0" t="b">
        <v>0</v>
      </c>
      <c r="S1210" s="0" t="b">
        <v>1</v>
      </c>
      <c r="T1210" s="68">
        <v>44221.5993055556</v>
      </c>
      <c r="U1210" s="68">
        <v>44251.2916666667</v>
      </c>
      <c r="V1210" s="68">
        <v>0</v>
      </c>
      <c r="W1210" s="0">
        <f>IF(IF(B1210="none",1,IF(B1210="Trialer",1,0))+IF(C1210="Customer",1,IF(C1210="Lost",1,0))=2,1,0)</f>
      </c>
      <c r="X1210" s="0" t="s">
        <v>153</v>
      </c>
      <c r="Y1210" s="0" t="s">
        <v>499</v>
      </c>
      <c r="AV1210" s="68"/>
      <c r="AW1210" s="68"/>
      <c r="AY1210" s="27"/>
      <c r="BD1210" s="68">
        <v>46054.1666666667</v>
      </c>
      <c r="BE1210" s="68">
        <v>46082.1666666667</v>
      </c>
      <c r="BF1210" s="0" t="b">
        <v>0</v>
      </c>
      <c r="BG1210" s="0" t="b">
        <v>0</v>
      </c>
      <c r="BH1210" s="0">
        <v>40</v>
      </c>
      <c r="BI1210" s="0">
        <v>40</v>
      </c>
      <c r="BJ1210" s="0" t="s">
        <v>230</v>
      </c>
    </row>
    <row r="1211">
      <c r="A1211" s="0" t="s">
        <v>1418</v>
      </c>
      <c r="B1211" s="0" t="s">
        <v>134</v>
      </c>
      <c r="C1211" s="0" t="s">
        <v>134</v>
      </c>
      <c r="D1211" s="0" t="s">
        <v>135</v>
      </c>
      <c r="E1211" s="0" t="s">
        <v>3</v>
      </c>
      <c r="F1211" s="0" t="s">
        <v>12</v>
      </c>
      <c r="G1211" s="0" t="s">
        <v>8</v>
      </c>
      <c r="H1211" s="0">
        <v>1832</v>
      </c>
      <c r="I1211" s="0">
        <v>52</v>
      </c>
      <c r="J1211" s="0">
        <v>0</v>
      </c>
      <c r="K1211" s="0">
        <v>1</v>
      </c>
      <c r="L1211" s="0">
        <v>3</v>
      </c>
      <c r="M1211" s="0">
        <v>1</v>
      </c>
      <c r="N1211" s="0">
        <v>0</v>
      </c>
      <c r="O1211" s="0">
        <v>0</v>
      </c>
      <c r="P1211" s="0">
        <v>0</v>
      </c>
      <c r="R1211" s="0" t="b">
        <v>0</v>
      </c>
      <c r="S1211" s="0" t="b">
        <v>1</v>
      </c>
      <c r="T1211" s="68">
        <v>44221.6058333333</v>
      </c>
      <c r="U1211" s="68">
        <v>44251.2916666667</v>
      </c>
      <c r="V1211" s="68">
        <v>0</v>
      </c>
      <c r="W1211" s="0">
        <f>IF(IF(B1211="none",1,IF(B1211="Trialer",1,0))+IF(C1211="Customer",1,IF(C1211="Lost",1,0))=2,1,0)</f>
      </c>
      <c r="X1211" s="0" t="s">
        <v>166</v>
      </c>
      <c r="Y1211" s="0" t="s">
        <v>243</v>
      </c>
      <c r="AV1211" s="68"/>
      <c r="AW1211" s="68"/>
      <c r="AY1211" s="27"/>
      <c r="BD1211" s="68">
        <v>46054.1666666667</v>
      </c>
      <c r="BE1211" s="68">
        <v>46082.1666666667</v>
      </c>
      <c r="BF1211" s="0" t="b">
        <v>0</v>
      </c>
      <c r="BG1211" s="0" t="b">
        <v>0</v>
      </c>
      <c r="BH1211" s="0">
        <v>52</v>
      </c>
      <c r="BI1211" s="0">
        <v>52</v>
      </c>
      <c r="BJ1211" s="0" t="s">
        <v>135</v>
      </c>
    </row>
    <row r="1212">
      <c r="A1212" s="0" t="s">
        <v>1419</v>
      </c>
      <c r="B1212" s="0" t="s">
        <v>134</v>
      </c>
      <c r="C1212" s="0" t="s">
        <v>134</v>
      </c>
      <c r="D1212" s="0" t="s">
        <v>135</v>
      </c>
      <c r="E1212" s="0" t="s">
        <v>3</v>
      </c>
      <c r="F1212" s="0" t="s">
        <v>12</v>
      </c>
      <c r="G1212" s="0" t="s">
        <v>8</v>
      </c>
      <c r="H1212" s="0">
        <v>1831</v>
      </c>
      <c r="I1212" s="0">
        <v>367</v>
      </c>
      <c r="J1212" s="0">
        <v>0</v>
      </c>
      <c r="K1212" s="0">
        <v>1</v>
      </c>
      <c r="L1212" s="0">
        <v>4</v>
      </c>
      <c r="M1212" s="0">
        <v>7</v>
      </c>
      <c r="N1212" s="0">
        <v>0</v>
      </c>
      <c r="O1212" s="0">
        <v>0</v>
      </c>
      <c r="P1212" s="0">
        <v>0</v>
      </c>
      <c r="R1212" s="0" t="b">
        <v>0</v>
      </c>
      <c r="S1212" s="0" t="b">
        <v>1</v>
      </c>
      <c r="T1212" s="68">
        <v>44222.4173611111</v>
      </c>
      <c r="U1212" s="68">
        <v>44272.3333333333</v>
      </c>
      <c r="V1212" s="68">
        <v>0</v>
      </c>
      <c r="W1212" s="0">
        <f>IF(IF(B1212="none",1,IF(B1212="Trialer",1,0))+IF(C1212="Customer",1,IF(C1212="Lost",1,0))=2,1,0)</f>
      </c>
      <c r="X1212" s="0" t="s">
        <v>145</v>
      </c>
      <c r="Y1212" s="0" t="s">
        <v>243</v>
      </c>
      <c r="AV1212" s="68"/>
      <c r="AW1212" s="68"/>
      <c r="AY1212" s="27"/>
      <c r="BD1212" s="68">
        <v>46054.1666666667</v>
      </c>
      <c r="BE1212" s="68">
        <v>46082.1666666667</v>
      </c>
      <c r="BF1212" s="0" t="b">
        <v>0</v>
      </c>
      <c r="BG1212" s="0" t="b">
        <v>0</v>
      </c>
      <c r="BH1212" s="0">
        <v>367</v>
      </c>
      <c r="BI1212" s="0">
        <v>367</v>
      </c>
      <c r="BJ1212" s="0" t="s">
        <v>135</v>
      </c>
    </row>
    <row r="1213">
      <c r="A1213" s="0" t="s">
        <v>1420</v>
      </c>
      <c r="B1213" s="0" t="s">
        <v>134</v>
      </c>
      <c r="C1213" s="0" t="s">
        <v>134</v>
      </c>
      <c r="D1213" s="0" t="s">
        <v>230</v>
      </c>
      <c r="E1213" s="0" t="s">
        <v>2</v>
      </c>
      <c r="F1213" s="0" t="s">
        <v>10</v>
      </c>
      <c r="G1213" s="0" t="s">
        <v>8</v>
      </c>
      <c r="H1213" s="0">
        <v>1831</v>
      </c>
      <c r="I1213" s="0">
        <v>188</v>
      </c>
      <c r="J1213" s="0">
        <v>0</v>
      </c>
      <c r="K1213" s="0">
        <v>1</v>
      </c>
      <c r="L1213" s="0">
        <v>3</v>
      </c>
      <c r="M1213" s="0">
        <v>5</v>
      </c>
      <c r="N1213" s="0">
        <v>0</v>
      </c>
      <c r="O1213" s="0">
        <v>0</v>
      </c>
      <c r="P1213" s="0">
        <v>-188</v>
      </c>
      <c r="Q1213" s="0" t="s">
        <v>1421</v>
      </c>
      <c r="R1213" s="0" t="b">
        <v>0</v>
      </c>
      <c r="S1213" s="0" t="b">
        <v>1</v>
      </c>
      <c r="T1213" s="68">
        <v>44222.4444560185</v>
      </c>
      <c r="U1213" s="68">
        <v>44222.2916666667</v>
      </c>
      <c r="V1213" s="68">
        <v>0</v>
      </c>
      <c r="W1213" s="0">
        <f>IF(IF(B1213="none",1,IF(B1213="Trialer",1,0))+IF(C1213="Customer",1,IF(C1213="Lost",1,0))=2,1,0)</f>
      </c>
      <c r="X1213" s="0" t="s">
        <v>145</v>
      </c>
      <c r="Y1213" s="0" t="s">
        <v>499</v>
      </c>
      <c r="AV1213" s="68"/>
      <c r="AW1213" s="68"/>
      <c r="AY1213" s="27"/>
      <c r="BD1213" s="68">
        <v>46054.1666666667</v>
      </c>
      <c r="BE1213" s="68">
        <v>46082.1666666667</v>
      </c>
      <c r="BF1213" s="0" t="b">
        <v>0</v>
      </c>
      <c r="BG1213" s="0" t="b">
        <v>0</v>
      </c>
      <c r="BH1213" s="0">
        <v>209</v>
      </c>
      <c r="BI1213" s="0">
        <v>209</v>
      </c>
      <c r="BJ1213" s="0" t="s">
        <v>230</v>
      </c>
    </row>
    <row r="1214">
      <c r="A1214" s="0" t="s">
        <v>1422</v>
      </c>
      <c r="B1214" s="0" t="s">
        <v>134</v>
      </c>
      <c r="C1214" s="0" t="s">
        <v>134</v>
      </c>
      <c r="D1214" s="0" t="s">
        <v>230</v>
      </c>
      <c r="E1214" s="0" t="s">
        <v>2</v>
      </c>
      <c r="F1214" s="0" t="s">
        <v>12</v>
      </c>
      <c r="G1214" s="0" t="s">
        <v>8</v>
      </c>
      <c r="H1214" s="0">
        <v>1831</v>
      </c>
      <c r="I1214" s="0">
        <v>187</v>
      </c>
      <c r="J1214" s="0">
        <v>0</v>
      </c>
      <c r="K1214" s="0">
        <v>1</v>
      </c>
      <c r="L1214" s="0">
        <v>4</v>
      </c>
      <c r="M1214" s="0">
        <v>4</v>
      </c>
      <c r="N1214" s="0">
        <v>0</v>
      </c>
      <c r="O1214" s="0">
        <v>0</v>
      </c>
      <c r="P1214" s="0">
        <v>-187</v>
      </c>
      <c r="R1214" s="0" t="b">
        <v>0</v>
      </c>
      <c r="S1214" s="0" t="b">
        <v>1</v>
      </c>
      <c r="T1214" s="68">
        <v>44222.5677662037</v>
      </c>
      <c r="U1214" s="68">
        <v>44255.2916666667</v>
      </c>
      <c r="V1214" s="68">
        <v>0</v>
      </c>
      <c r="W1214" s="0">
        <f>IF(IF(B1214="none",1,IF(B1214="Trialer",1,0))+IF(C1214="Customer",1,IF(C1214="Lost",1,0))=2,1,0)</f>
      </c>
      <c r="X1214" s="0" t="s">
        <v>145</v>
      </c>
      <c r="Y1214" s="0" t="s">
        <v>499</v>
      </c>
      <c r="AV1214" s="68"/>
      <c r="AW1214" s="68"/>
      <c r="AY1214" s="27"/>
      <c r="BD1214" s="68">
        <v>46054.1666666667</v>
      </c>
      <c r="BE1214" s="68">
        <v>46082.1666666667</v>
      </c>
      <c r="BF1214" s="0" t="b">
        <v>0</v>
      </c>
      <c r="BG1214" s="0" t="b">
        <v>0</v>
      </c>
      <c r="BH1214" s="0">
        <v>244</v>
      </c>
      <c r="BI1214" s="0">
        <v>244</v>
      </c>
      <c r="BJ1214" s="0" t="s">
        <v>230</v>
      </c>
    </row>
    <row r="1215">
      <c r="A1215" s="0" t="s">
        <v>1423</v>
      </c>
      <c r="B1215" s="0" t="s">
        <v>134</v>
      </c>
      <c r="C1215" s="0" t="s">
        <v>134</v>
      </c>
      <c r="D1215" s="0" t="s">
        <v>230</v>
      </c>
      <c r="E1215" s="0" t="s">
        <v>2</v>
      </c>
      <c r="F1215" s="0" t="s">
        <v>12</v>
      </c>
      <c r="G1215" s="0" t="s">
        <v>8</v>
      </c>
      <c r="H1215" s="0">
        <v>1828</v>
      </c>
      <c r="I1215" s="0">
        <v>94</v>
      </c>
      <c r="J1215" s="0">
        <v>0</v>
      </c>
      <c r="K1215" s="0">
        <v>1</v>
      </c>
      <c r="L1215" s="0">
        <v>3</v>
      </c>
      <c r="M1215" s="0">
        <v>3</v>
      </c>
      <c r="N1215" s="0">
        <v>0</v>
      </c>
      <c r="O1215" s="0">
        <v>0</v>
      </c>
      <c r="P1215" s="0">
        <v>-94</v>
      </c>
      <c r="R1215" s="0" t="b">
        <v>0</v>
      </c>
      <c r="S1215" s="0" t="b">
        <v>1</v>
      </c>
      <c r="T1215" s="68">
        <v>44225.6295486111</v>
      </c>
      <c r="U1215" s="68">
        <v>44255.2916666667</v>
      </c>
      <c r="V1215" s="68">
        <v>0</v>
      </c>
      <c r="W1215" s="0">
        <f>IF(IF(B1215="none",1,IF(B1215="Trialer",1,0))+IF(C1215="Customer",1,IF(C1215="Lost",1,0))=2,1,0)</f>
      </c>
      <c r="X1215" s="0" t="s">
        <v>142</v>
      </c>
      <c r="Y1215" s="0" t="s">
        <v>499</v>
      </c>
      <c r="AV1215" s="68"/>
      <c r="AW1215" s="68"/>
      <c r="AY1215" s="27"/>
      <c r="BD1215" s="68">
        <v>46054.1666666667</v>
      </c>
      <c r="BE1215" s="68">
        <v>46082.1666666667</v>
      </c>
      <c r="BF1215" s="0" t="b">
        <v>0</v>
      </c>
      <c r="BG1215" s="0" t="b">
        <v>0</v>
      </c>
      <c r="BH1215" s="0">
        <v>105</v>
      </c>
      <c r="BI1215" s="0">
        <v>105</v>
      </c>
      <c r="BJ1215" s="0" t="s">
        <v>230</v>
      </c>
    </row>
    <row r="1216">
      <c r="A1216" s="0" t="s">
        <v>1424</v>
      </c>
      <c r="B1216" s="0" t="s">
        <v>134</v>
      </c>
      <c r="C1216" s="0" t="s">
        <v>134</v>
      </c>
      <c r="D1216" s="0" t="s">
        <v>135</v>
      </c>
      <c r="E1216" s="0" t="s">
        <v>3</v>
      </c>
      <c r="F1216" s="0" t="s">
        <v>12</v>
      </c>
      <c r="G1216" s="0" t="s">
        <v>8</v>
      </c>
      <c r="H1216" s="0">
        <v>1828</v>
      </c>
      <c r="I1216" s="0">
        <v>220</v>
      </c>
      <c r="J1216" s="0">
        <v>0</v>
      </c>
      <c r="K1216" s="0">
        <v>1</v>
      </c>
      <c r="L1216" s="0">
        <v>4</v>
      </c>
      <c r="M1216" s="0">
        <v>4</v>
      </c>
      <c r="N1216" s="0">
        <v>0</v>
      </c>
      <c r="O1216" s="0">
        <v>0</v>
      </c>
      <c r="P1216" s="0">
        <v>0</v>
      </c>
      <c r="R1216" s="0" t="b">
        <v>0</v>
      </c>
      <c r="S1216" s="0" t="b">
        <v>1</v>
      </c>
      <c r="T1216" s="68">
        <v>44225.6484837963</v>
      </c>
      <c r="U1216" s="68">
        <v>44255.2916666667</v>
      </c>
      <c r="V1216" s="68">
        <v>0</v>
      </c>
      <c r="W1216" s="0">
        <f>IF(IF(B1216="none",1,IF(B1216="Trialer",1,0))+IF(C1216="Customer",1,IF(C1216="Lost",1,0))=2,1,0)</f>
      </c>
      <c r="X1216" s="0" t="s">
        <v>136</v>
      </c>
      <c r="Y1216" s="0" t="s">
        <v>243</v>
      </c>
      <c r="AV1216" s="68"/>
      <c r="AW1216" s="68"/>
      <c r="AY1216" s="27"/>
      <c r="BD1216" s="68">
        <v>46054.1666666667</v>
      </c>
      <c r="BE1216" s="68">
        <v>46082.1666666667</v>
      </c>
      <c r="BF1216" s="0" t="b">
        <v>0</v>
      </c>
      <c r="BG1216" s="0" t="b">
        <v>0</v>
      </c>
      <c r="BH1216" s="0">
        <v>281</v>
      </c>
      <c r="BI1216" s="0">
        <v>281</v>
      </c>
      <c r="BJ1216" s="0" t="s">
        <v>135</v>
      </c>
    </row>
    <row r="1217">
      <c r="A1217" s="0" t="s">
        <v>1425</v>
      </c>
      <c r="B1217" s="0" t="s">
        <v>134</v>
      </c>
      <c r="C1217" s="0" t="s">
        <v>134</v>
      </c>
      <c r="D1217" s="0" t="s">
        <v>230</v>
      </c>
      <c r="E1217" s="0" t="s">
        <v>2</v>
      </c>
      <c r="F1217" s="0" t="s">
        <v>12</v>
      </c>
      <c r="G1217" s="0" t="s">
        <v>8</v>
      </c>
      <c r="H1217" s="0">
        <v>1828</v>
      </c>
      <c r="I1217" s="0">
        <v>160</v>
      </c>
      <c r="J1217" s="0">
        <v>0</v>
      </c>
      <c r="K1217" s="0">
        <v>1</v>
      </c>
      <c r="L1217" s="0">
        <v>3</v>
      </c>
      <c r="M1217" s="0">
        <v>4</v>
      </c>
      <c r="N1217" s="0">
        <v>0</v>
      </c>
      <c r="O1217" s="0">
        <v>0</v>
      </c>
      <c r="P1217" s="0">
        <v>-160</v>
      </c>
      <c r="R1217" s="0" t="b">
        <v>0</v>
      </c>
      <c r="S1217" s="0" t="b">
        <v>1</v>
      </c>
      <c r="T1217" s="68">
        <v>44225.7</v>
      </c>
      <c r="U1217" s="68">
        <v>44255.2916666667</v>
      </c>
      <c r="V1217" s="68">
        <v>0</v>
      </c>
      <c r="W1217" s="0">
        <f>IF(IF(B1217="none",1,IF(B1217="Trialer",1,0))+IF(C1217="Customer",1,IF(C1217="Lost",1,0))=2,1,0)</f>
      </c>
      <c r="X1217" s="0" t="s">
        <v>145</v>
      </c>
      <c r="Y1217" s="0" t="s">
        <v>499</v>
      </c>
      <c r="AV1217" s="68"/>
      <c r="AW1217" s="68"/>
      <c r="AY1217" s="27"/>
      <c r="BD1217" s="68">
        <v>46054.1666666667</v>
      </c>
      <c r="BE1217" s="68">
        <v>46082.1666666667</v>
      </c>
      <c r="BF1217" s="0" t="b">
        <v>0</v>
      </c>
      <c r="BG1217" s="0" t="b">
        <v>0</v>
      </c>
      <c r="BH1217" s="0">
        <v>178</v>
      </c>
      <c r="BI1217" s="0">
        <v>178</v>
      </c>
      <c r="BJ1217" s="0" t="s">
        <v>230</v>
      </c>
    </row>
    <row r="1218">
      <c r="A1218" s="0" t="s">
        <v>1426</v>
      </c>
      <c r="B1218" s="0" t="s">
        <v>134</v>
      </c>
      <c r="C1218" s="0" t="s">
        <v>134</v>
      </c>
      <c r="D1218" s="0" t="s">
        <v>135</v>
      </c>
      <c r="E1218" s="0" t="s">
        <v>3</v>
      </c>
      <c r="F1218" s="0" t="s">
        <v>12</v>
      </c>
      <c r="G1218" s="0" t="s">
        <v>8</v>
      </c>
      <c r="H1218" s="0">
        <v>1823</v>
      </c>
      <c r="I1218" s="0">
        <v>923</v>
      </c>
      <c r="J1218" s="0">
        <v>0</v>
      </c>
      <c r="K1218" s="0">
        <v>2</v>
      </c>
      <c r="L1218" s="0">
        <v>3</v>
      </c>
      <c r="M1218" s="0">
        <v>9</v>
      </c>
      <c r="N1218" s="0">
        <v>0</v>
      </c>
      <c r="O1218" s="0">
        <v>0</v>
      </c>
      <c r="P1218" s="0">
        <v>0</v>
      </c>
      <c r="R1218" s="0" t="b">
        <v>0</v>
      </c>
      <c r="S1218" s="0" t="b">
        <v>1</v>
      </c>
      <c r="T1218" s="68">
        <v>44230.5</v>
      </c>
      <c r="U1218" s="68">
        <v>44260.2916666667</v>
      </c>
      <c r="V1218" s="68">
        <v>0</v>
      </c>
      <c r="W1218" s="0">
        <f>IF(IF(B1218="none",1,IF(B1218="Trialer",1,0))+IF(C1218="Customer",1,IF(C1218="Lost",1,0))=2,1,0)</f>
      </c>
      <c r="X1218" s="0" t="s">
        <v>136</v>
      </c>
      <c r="Y1218" s="0" t="s">
        <v>243</v>
      </c>
      <c r="AV1218" s="68"/>
      <c r="AW1218" s="68"/>
      <c r="AY1218" s="27"/>
      <c r="BD1218" s="68">
        <v>46054.1666666667</v>
      </c>
      <c r="BE1218" s="68">
        <v>46082.1666666667</v>
      </c>
      <c r="BF1218" s="0" t="b">
        <v>0</v>
      </c>
      <c r="BG1218" s="0" t="b">
        <v>0</v>
      </c>
      <c r="BH1218" s="0">
        <v>360</v>
      </c>
      <c r="BI1218" s="0">
        <v>360</v>
      </c>
      <c r="BJ1218" s="0" t="s">
        <v>135</v>
      </c>
    </row>
    <row r="1219">
      <c r="A1219" s="0" t="s">
        <v>1427</v>
      </c>
      <c r="B1219" s="0" t="s">
        <v>134</v>
      </c>
      <c r="C1219" s="0" t="s">
        <v>134</v>
      </c>
      <c r="D1219" s="0" t="s">
        <v>230</v>
      </c>
      <c r="E1219" s="0" t="s">
        <v>3</v>
      </c>
      <c r="F1219" s="0" t="s">
        <v>12</v>
      </c>
      <c r="G1219" s="0" t="s">
        <v>8</v>
      </c>
      <c r="H1219" s="0">
        <v>1822</v>
      </c>
      <c r="I1219" s="0">
        <v>54</v>
      </c>
      <c r="J1219" s="0">
        <v>0</v>
      </c>
      <c r="K1219" s="0">
        <v>1</v>
      </c>
      <c r="L1219" s="0">
        <v>4</v>
      </c>
      <c r="M1219" s="0">
        <v>1</v>
      </c>
      <c r="N1219" s="0">
        <v>0</v>
      </c>
      <c r="O1219" s="0">
        <v>0</v>
      </c>
      <c r="P1219" s="0">
        <v>-54</v>
      </c>
      <c r="R1219" s="0" t="b">
        <v>0</v>
      </c>
      <c r="S1219" s="0" t="b">
        <v>1</v>
      </c>
      <c r="T1219" s="68">
        <v>44231.4085185185</v>
      </c>
      <c r="U1219" s="68">
        <v>44261.2916666667</v>
      </c>
      <c r="V1219" s="68">
        <v>0</v>
      </c>
      <c r="W1219" s="0">
        <f>IF(IF(B1219="none",1,IF(B1219="Trialer",1,0))+IF(C1219="Customer",1,IF(C1219="Lost",1,0))=2,1,0)</f>
      </c>
      <c r="X1219" s="0" t="s">
        <v>142</v>
      </c>
      <c r="Y1219" s="0" t="s">
        <v>243</v>
      </c>
      <c r="AV1219" s="68"/>
      <c r="AW1219" s="68"/>
      <c r="AY1219" s="27"/>
      <c r="BD1219" s="68">
        <v>46054.1666666667</v>
      </c>
      <c r="BE1219" s="68">
        <v>46082.1666666667</v>
      </c>
      <c r="BF1219" s="0" t="b">
        <v>0</v>
      </c>
      <c r="BG1219" s="0" t="b">
        <v>0</v>
      </c>
      <c r="BH1219" s="0">
        <v>61</v>
      </c>
      <c r="BI1219" s="0">
        <v>61</v>
      </c>
      <c r="BJ1219" s="0" t="s">
        <v>230</v>
      </c>
    </row>
    <row r="1220">
      <c r="A1220" s="0" t="s">
        <v>1428</v>
      </c>
      <c r="B1220" s="0" t="s">
        <v>134</v>
      </c>
      <c r="C1220" s="0" t="s">
        <v>134</v>
      </c>
      <c r="D1220" s="0" t="s">
        <v>135</v>
      </c>
      <c r="E1220" s="0" t="s">
        <v>3</v>
      </c>
      <c r="F1220" s="0" t="s">
        <v>12</v>
      </c>
      <c r="G1220" s="0" t="s">
        <v>8</v>
      </c>
      <c r="H1220" s="0">
        <v>1822</v>
      </c>
      <c r="I1220" s="0">
        <v>171</v>
      </c>
      <c r="J1220" s="0">
        <v>0</v>
      </c>
      <c r="K1220" s="0">
        <v>1</v>
      </c>
      <c r="L1220" s="0">
        <v>4</v>
      </c>
      <c r="M1220" s="0">
        <v>3</v>
      </c>
      <c r="N1220" s="0">
        <v>0</v>
      </c>
      <c r="O1220" s="0">
        <v>0</v>
      </c>
      <c r="P1220" s="0">
        <v>0</v>
      </c>
      <c r="R1220" s="0" t="b">
        <v>0</v>
      </c>
      <c r="S1220" s="0" t="b">
        <v>1</v>
      </c>
      <c r="T1220" s="68">
        <v>44231.4397453704</v>
      </c>
      <c r="U1220" s="68">
        <v>44261.2916666667</v>
      </c>
      <c r="V1220" s="68">
        <v>0</v>
      </c>
      <c r="W1220" s="0">
        <f>IF(IF(B1220="none",1,IF(B1220="Trialer",1,0))+IF(C1220="Customer",1,IF(C1220="Lost",1,0))=2,1,0)</f>
      </c>
      <c r="X1220" s="0" t="s">
        <v>142</v>
      </c>
      <c r="Y1220" s="0" t="s">
        <v>243</v>
      </c>
      <c r="AV1220" s="68"/>
      <c r="AW1220" s="68"/>
      <c r="AY1220" s="27"/>
      <c r="BD1220" s="68">
        <v>46054.1666666667</v>
      </c>
      <c r="BE1220" s="68">
        <v>46082.1666666667</v>
      </c>
      <c r="BF1220" s="0" t="b">
        <v>0</v>
      </c>
      <c r="BG1220" s="0" t="b">
        <v>0</v>
      </c>
      <c r="BH1220" s="0">
        <v>171</v>
      </c>
      <c r="BI1220" s="0">
        <v>171</v>
      </c>
      <c r="BJ1220" s="0" t="s">
        <v>135</v>
      </c>
    </row>
    <row r="1221">
      <c r="A1221" s="0" t="s">
        <v>1429</v>
      </c>
      <c r="B1221" s="0" t="s">
        <v>134</v>
      </c>
      <c r="C1221" s="0" t="s">
        <v>134</v>
      </c>
      <c r="D1221" s="0" t="s">
        <v>135</v>
      </c>
      <c r="E1221" s="0" t="s">
        <v>3</v>
      </c>
      <c r="F1221" s="0" t="s">
        <v>10</v>
      </c>
      <c r="G1221" s="0" t="s">
        <v>8</v>
      </c>
      <c r="H1221" s="0">
        <v>1821</v>
      </c>
      <c r="I1221" s="0">
        <v>56</v>
      </c>
      <c r="J1221" s="0">
        <v>0</v>
      </c>
      <c r="K1221" s="0">
        <v>1</v>
      </c>
      <c r="L1221" s="0">
        <v>1</v>
      </c>
      <c r="M1221" s="0">
        <v>2</v>
      </c>
      <c r="N1221" s="0">
        <v>0</v>
      </c>
      <c r="O1221" s="0">
        <v>0</v>
      </c>
      <c r="P1221" s="0">
        <v>0</v>
      </c>
      <c r="Q1221" s="0" t="s">
        <v>618</v>
      </c>
      <c r="R1221" s="0" t="b">
        <v>0</v>
      </c>
      <c r="S1221" s="0" t="b">
        <v>1</v>
      </c>
      <c r="T1221" s="68">
        <v>44232.4909837963</v>
      </c>
      <c r="U1221" s="68">
        <v>44262.2916666667</v>
      </c>
      <c r="V1221" s="68">
        <v>0</v>
      </c>
      <c r="W1221" s="0">
        <f>IF(IF(B1221="none",1,IF(B1221="Trialer",1,0))+IF(C1221="Customer",1,IF(C1221="Lost",1,0))=2,1,0)</f>
      </c>
      <c r="X1221" s="0" t="s">
        <v>148</v>
      </c>
      <c r="Y1221" s="0" t="s">
        <v>243</v>
      </c>
      <c r="AV1221" s="68"/>
      <c r="AW1221" s="68"/>
      <c r="AY1221" s="27"/>
      <c r="BD1221" s="68">
        <v>46054.1666666667</v>
      </c>
      <c r="BE1221" s="68">
        <v>46082.1666666667</v>
      </c>
      <c r="BF1221" s="0" t="b">
        <v>0</v>
      </c>
      <c r="BG1221" s="0" t="b">
        <v>0</v>
      </c>
      <c r="BH1221" s="0">
        <v>56</v>
      </c>
      <c r="BI1221" s="0">
        <v>56</v>
      </c>
      <c r="BJ1221" s="0" t="s">
        <v>135</v>
      </c>
    </row>
    <row r="1222">
      <c r="A1222" s="0" t="s">
        <v>1430</v>
      </c>
      <c r="B1222" s="0" t="s">
        <v>134</v>
      </c>
      <c r="C1222" s="0" t="s">
        <v>134</v>
      </c>
      <c r="D1222" s="0" t="s">
        <v>135</v>
      </c>
      <c r="E1222" s="0" t="s">
        <v>3</v>
      </c>
      <c r="F1222" s="0" t="s">
        <v>12</v>
      </c>
      <c r="G1222" s="0" t="s">
        <v>8</v>
      </c>
      <c r="H1222" s="0">
        <v>1817</v>
      </c>
      <c r="I1222" s="0">
        <v>497</v>
      </c>
      <c r="J1222" s="0">
        <v>0</v>
      </c>
      <c r="K1222" s="0">
        <v>1</v>
      </c>
      <c r="L1222" s="0">
        <v>3</v>
      </c>
      <c r="M1222" s="0">
        <v>11</v>
      </c>
      <c r="N1222" s="0">
        <v>0</v>
      </c>
      <c r="O1222" s="0">
        <v>0</v>
      </c>
      <c r="P1222" s="0">
        <v>0</v>
      </c>
      <c r="R1222" s="0" t="b">
        <v>0</v>
      </c>
      <c r="S1222" s="0" t="b">
        <v>1</v>
      </c>
      <c r="T1222" s="68">
        <v>44236.5806597222</v>
      </c>
      <c r="U1222" s="68">
        <v>44266.2916666667</v>
      </c>
      <c r="V1222" s="68">
        <v>0</v>
      </c>
      <c r="W1222" s="0">
        <f>IF(IF(B1222="none",1,IF(B1222="Trialer",1,0))+IF(C1222="Customer",1,IF(C1222="Lost",1,0))=2,1,0)</f>
      </c>
      <c r="X1222" s="0" t="s">
        <v>148</v>
      </c>
      <c r="Y1222" s="0" t="s">
        <v>243</v>
      </c>
      <c r="AV1222" s="68"/>
      <c r="AW1222" s="68"/>
      <c r="AY1222" s="27"/>
      <c r="BD1222" s="68">
        <v>46054.1666666667</v>
      </c>
      <c r="BE1222" s="68">
        <v>46082.1666666667</v>
      </c>
      <c r="BF1222" s="0" t="b">
        <v>0</v>
      </c>
      <c r="BG1222" s="0" t="b">
        <v>0</v>
      </c>
      <c r="BH1222" s="0">
        <v>469</v>
      </c>
      <c r="BI1222" s="0">
        <v>469</v>
      </c>
      <c r="BJ1222" s="0" t="s">
        <v>135</v>
      </c>
    </row>
    <row r="1223">
      <c r="A1223" s="0" t="s">
        <v>1431</v>
      </c>
      <c r="B1223" s="0" t="s">
        <v>134</v>
      </c>
      <c r="C1223" s="0" t="s">
        <v>134</v>
      </c>
      <c r="D1223" s="0" t="s">
        <v>135</v>
      </c>
      <c r="E1223" s="0" t="s">
        <v>3</v>
      </c>
      <c r="F1223" s="0" t="s">
        <v>12</v>
      </c>
      <c r="G1223" s="0" t="s">
        <v>8</v>
      </c>
      <c r="H1223" s="0">
        <v>1817</v>
      </c>
      <c r="I1223" s="0">
        <v>98</v>
      </c>
      <c r="J1223" s="0">
        <v>0</v>
      </c>
      <c r="K1223" s="0">
        <v>1</v>
      </c>
      <c r="L1223" s="0">
        <v>3</v>
      </c>
      <c r="M1223" s="0">
        <v>2</v>
      </c>
      <c r="N1223" s="0">
        <v>0</v>
      </c>
      <c r="O1223" s="0">
        <v>0</v>
      </c>
      <c r="P1223" s="0">
        <v>0</v>
      </c>
      <c r="R1223" s="0" t="b">
        <v>0</v>
      </c>
      <c r="S1223" s="0" t="b">
        <v>1</v>
      </c>
      <c r="T1223" s="68">
        <v>44236.6390393519</v>
      </c>
      <c r="U1223" s="68">
        <v>44266.2916666667</v>
      </c>
      <c r="V1223" s="68">
        <v>0</v>
      </c>
      <c r="W1223" s="0">
        <f>IF(IF(B1223="none",1,IF(B1223="Trialer",1,0))+IF(C1223="Customer",1,IF(C1223="Lost",1,0))=2,1,0)</f>
      </c>
      <c r="X1223" s="0" t="s">
        <v>142</v>
      </c>
      <c r="Y1223" s="0" t="s">
        <v>243</v>
      </c>
      <c r="AV1223" s="68"/>
      <c r="AW1223" s="68"/>
      <c r="AY1223" s="27"/>
      <c r="BD1223" s="68">
        <v>46054.1666666667</v>
      </c>
      <c r="BE1223" s="68">
        <v>46082.1666666667</v>
      </c>
      <c r="BF1223" s="0" t="b">
        <v>0</v>
      </c>
      <c r="BG1223" s="0" t="b">
        <v>0</v>
      </c>
      <c r="BH1223" s="0">
        <v>98</v>
      </c>
      <c r="BI1223" s="0">
        <v>98</v>
      </c>
      <c r="BJ1223" s="0" t="s">
        <v>135</v>
      </c>
    </row>
    <row r="1224">
      <c r="A1224" s="0" t="s">
        <v>1432</v>
      </c>
      <c r="B1224" s="0" t="s">
        <v>134</v>
      </c>
      <c r="C1224" s="0" t="s">
        <v>134</v>
      </c>
      <c r="D1224" s="0" t="s">
        <v>135</v>
      </c>
      <c r="E1224" s="0" t="s">
        <v>3</v>
      </c>
      <c r="F1224" s="0" t="s">
        <v>10</v>
      </c>
      <c r="G1224" s="0" t="s">
        <v>8</v>
      </c>
      <c r="H1224" s="0">
        <v>1816</v>
      </c>
      <c r="I1224" s="0">
        <v>28</v>
      </c>
      <c r="J1224" s="0">
        <v>0</v>
      </c>
      <c r="K1224" s="0">
        <v>1</v>
      </c>
      <c r="L1224" s="0">
        <v>1</v>
      </c>
      <c r="M1224" s="0">
        <v>1</v>
      </c>
      <c r="N1224" s="0">
        <v>0</v>
      </c>
      <c r="O1224" s="0">
        <v>0</v>
      </c>
      <c r="P1224" s="0">
        <v>0</v>
      </c>
      <c r="Q1224" s="0" t="s">
        <v>618</v>
      </c>
      <c r="R1224" s="0" t="b">
        <v>0</v>
      </c>
      <c r="S1224" s="0" t="b">
        <v>1</v>
      </c>
      <c r="T1224" s="68">
        <v>44237.4849537037</v>
      </c>
      <c r="U1224" s="68">
        <v>44267.2916666667</v>
      </c>
      <c r="V1224" s="68">
        <v>0</v>
      </c>
      <c r="W1224" s="0">
        <f>IF(IF(B1224="none",1,IF(B1224="Trialer",1,0))+IF(C1224="Customer",1,IF(C1224="Lost",1,0))=2,1,0)</f>
      </c>
      <c r="X1224" s="0" t="s">
        <v>148</v>
      </c>
      <c r="Y1224" s="0" t="s">
        <v>243</v>
      </c>
      <c r="AV1224" s="68"/>
      <c r="AW1224" s="68"/>
      <c r="AY1224" s="27"/>
      <c r="BD1224" s="68">
        <v>46054.1666666667</v>
      </c>
      <c r="BE1224" s="68">
        <v>46082.1666666667</v>
      </c>
      <c r="BF1224" s="0" t="b">
        <v>0</v>
      </c>
      <c r="BG1224" s="0" t="b">
        <v>0</v>
      </c>
      <c r="BH1224" s="0">
        <v>28</v>
      </c>
      <c r="BI1224" s="0">
        <v>28</v>
      </c>
      <c r="BJ1224" s="0" t="s">
        <v>135</v>
      </c>
    </row>
    <row r="1225">
      <c r="A1225" s="0" t="s">
        <v>1433</v>
      </c>
      <c r="B1225" s="0" t="s">
        <v>134</v>
      </c>
      <c r="C1225" s="0" t="s">
        <v>134</v>
      </c>
      <c r="D1225" s="0" t="s">
        <v>135</v>
      </c>
      <c r="E1225" s="0" t="s">
        <v>3</v>
      </c>
      <c r="F1225" s="0" t="s">
        <v>10</v>
      </c>
      <c r="G1225" s="0" t="s">
        <v>8</v>
      </c>
      <c r="H1225" s="0">
        <v>1815</v>
      </c>
      <c r="I1225" s="0">
        <v>532</v>
      </c>
      <c r="J1225" s="0">
        <v>0</v>
      </c>
      <c r="K1225" s="0">
        <v>1</v>
      </c>
      <c r="L1225" s="0">
        <v>1</v>
      </c>
      <c r="M1225" s="0">
        <v>19</v>
      </c>
      <c r="N1225" s="0">
        <v>0</v>
      </c>
      <c r="O1225" s="0">
        <v>0</v>
      </c>
      <c r="P1225" s="0">
        <v>0</v>
      </c>
      <c r="Q1225" s="0" t="s">
        <v>618</v>
      </c>
      <c r="R1225" s="0" t="b">
        <v>0</v>
      </c>
      <c r="S1225" s="0" t="b">
        <v>1</v>
      </c>
      <c r="T1225" s="68">
        <v>44238.5786689815</v>
      </c>
      <c r="U1225" s="68">
        <v>44268.2916666667</v>
      </c>
      <c r="V1225" s="68">
        <v>0</v>
      </c>
      <c r="W1225" s="0">
        <f>IF(IF(B1225="none",1,IF(B1225="Trialer",1,0))+IF(C1225="Customer",1,IF(C1225="Lost",1,0))=2,1,0)</f>
      </c>
      <c r="X1225" s="0" t="s">
        <v>148</v>
      </c>
      <c r="Y1225" s="0" t="s">
        <v>243</v>
      </c>
      <c r="AV1225" s="68"/>
      <c r="AW1225" s="68"/>
      <c r="AY1225" s="27"/>
      <c r="BD1225" s="68">
        <v>46054.1666666667</v>
      </c>
      <c r="BE1225" s="68">
        <v>46082.1666666667</v>
      </c>
      <c r="BF1225" s="0" t="b">
        <v>0</v>
      </c>
      <c r="BG1225" s="0" t="b">
        <v>0</v>
      </c>
      <c r="BH1225" s="0">
        <v>532</v>
      </c>
      <c r="BI1225" s="0">
        <v>532</v>
      </c>
      <c r="BJ1225" s="0" t="s">
        <v>135</v>
      </c>
    </row>
    <row r="1226">
      <c r="A1226" s="0" t="s">
        <v>1434</v>
      </c>
      <c r="B1226" s="0" t="s">
        <v>134</v>
      </c>
      <c r="C1226" s="0" t="s">
        <v>134</v>
      </c>
      <c r="D1226" s="0" t="s">
        <v>135</v>
      </c>
      <c r="E1226" s="0" t="s">
        <v>3</v>
      </c>
      <c r="F1226" s="0" t="s">
        <v>10</v>
      </c>
      <c r="G1226" s="0" t="s">
        <v>8</v>
      </c>
      <c r="H1226" s="0">
        <v>1815</v>
      </c>
      <c r="I1226" s="0">
        <v>543</v>
      </c>
      <c r="J1226" s="0">
        <v>0</v>
      </c>
      <c r="K1226" s="0">
        <v>1</v>
      </c>
      <c r="L1226" s="0">
        <v>5</v>
      </c>
      <c r="M1226" s="0">
        <v>12</v>
      </c>
      <c r="N1226" s="0">
        <v>0</v>
      </c>
      <c r="O1226" s="0">
        <v>0</v>
      </c>
      <c r="P1226" s="0">
        <v>0</v>
      </c>
      <c r="Q1226" s="0" t="s">
        <v>357</v>
      </c>
      <c r="R1226" s="0" t="b">
        <v>0</v>
      </c>
      <c r="S1226" s="0" t="b">
        <v>1</v>
      </c>
      <c r="T1226" s="68">
        <v>44238.6125</v>
      </c>
      <c r="U1226" s="68">
        <v>44268.2916666667</v>
      </c>
      <c r="V1226" s="68">
        <v>0</v>
      </c>
      <c r="W1226" s="0">
        <f>IF(IF(B1226="none",1,IF(B1226="Trialer",1,0))+IF(C1226="Customer",1,IF(C1226="Lost",1,0))=2,1,0)</f>
      </c>
      <c r="X1226" s="0" t="s">
        <v>148</v>
      </c>
      <c r="Y1226" s="0" t="s">
        <v>243</v>
      </c>
      <c r="AV1226" s="68"/>
      <c r="AW1226" s="68"/>
      <c r="AY1226" s="27"/>
      <c r="BD1226" s="68">
        <v>46054.1666666667</v>
      </c>
      <c r="BE1226" s="68">
        <v>46082.1666666667</v>
      </c>
      <c r="BF1226" s="0" t="b">
        <v>0</v>
      </c>
      <c r="BG1226" s="0" t="b">
        <v>0</v>
      </c>
      <c r="BH1226" s="0">
        <v>489</v>
      </c>
      <c r="BI1226" s="0">
        <v>489</v>
      </c>
      <c r="BJ1226" s="0" t="s">
        <v>135</v>
      </c>
    </row>
    <row r="1227">
      <c r="A1227" s="0" t="s">
        <v>1435</v>
      </c>
      <c r="B1227" s="0" t="s">
        <v>134</v>
      </c>
      <c r="C1227" s="0" t="s">
        <v>134</v>
      </c>
      <c r="D1227" s="0" t="s">
        <v>135</v>
      </c>
      <c r="E1227" s="0" t="s">
        <v>3</v>
      </c>
      <c r="F1227" s="0" t="s">
        <v>12</v>
      </c>
      <c r="G1227" s="0" t="s">
        <v>8</v>
      </c>
      <c r="H1227" s="0">
        <v>1812</v>
      </c>
      <c r="I1227" s="0">
        <v>276</v>
      </c>
      <c r="J1227" s="0">
        <v>0</v>
      </c>
      <c r="K1227" s="0">
        <v>1</v>
      </c>
      <c r="L1227" s="0">
        <v>5</v>
      </c>
      <c r="M1227" s="0">
        <v>6</v>
      </c>
      <c r="N1227" s="0">
        <v>0</v>
      </c>
      <c r="O1227" s="0">
        <v>0</v>
      </c>
      <c r="P1227" s="0">
        <v>0</v>
      </c>
      <c r="R1227" s="0" t="b">
        <v>0</v>
      </c>
      <c r="S1227" s="0" t="b">
        <v>1</v>
      </c>
      <c r="T1227" s="68">
        <v>44241.5774074074</v>
      </c>
      <c r="U1227" s="68">
        <v>44271.3333333333</v>
      </c>
      <c r="V1227" s="68">
        <v>0</v>
      </c>
      <c r="W1227" s="0">
        <f>IF(IF(B1227="none",1,IF(B1227="Trialer",1,0))+IF(C1227="Customer",1,IF(C1227="Lost",1,0))=2,1,0)</f>
      </c>
      <c r="X1227" s="0" t="s">
        <v>148</v>
      </c>
      <c r="Y1227" s="0" t="s">
        <v>243</v>
      </c>
      <c r="AV1227" s="68"/>
      <c r="AW1227" s="68"/>
      <c r="AY1227" s="27"/>
      <c r="BD1227" s="68">
        <v>46054.1666666667</v>
      </c>
      <c r="BE1227" s="68">
        <v>46082.1666666667</v>
      </c>
      <c r="BF1227" s="0" t="b">
        <v>0</v>
      </c>
      <c r="BG1227" s="0" t="b">
        <v>0</v>
      </c>
      <c r="BH1227" s="0">
        <v>276</v>
      </c>
      <c r="BI1227" s="0">
        <v>276</v>
      </c>
      <c r="BJ1227" s="0" t="s">
        <v>135</v>
      </c>
    </row>
    <row r="1228">
      <c r="A1228" s="0" t="s">
        <v>1436</v>
      </c>
      <c r="B1228" s="0" t="s">
        <v>134</v>
      </c>
      <c r="C1228" s="0" t="s">
        <v>134</v>
      </c>
      <c r="D1228" s="0" t="s">
        <v>135</v>
      </c>
      <c r="E1228" s="0" t="s">
        <v>2</v>
      </c>
      <c r="F1228" s="0" t="s">
        <v>10</v>
      </c>
      <c r="G1228" s="0" t="s">
        <v>8</v>
      </c>
      <c r="H1228" s="0">
        <v>1809</v>
      </c>
      <c r="I1228" s="0">
        <v>511.25</v>
      </c>
      <c r="J1228" s="0">
        <v>0</v>
      </c>
      <c r="K1228" s="0">
        <v>2</v>
      </c>
      <c r="L1228" s="0">
        <v>3</v>
      </c>
      <c r="M1228" s="0">
        <v>2</v>
      </c>
      <c r="N1228" s="0">
        <v>0</v>
      </c>
      <c r="O1228" s="0">
        <v>0</v>
      </c>
      <c r="P1228" s="0">
        <v>0</v>
      </c>
      <c r="Q1228" s="0" t="s">
        <v>357</v>
      </c>
      <c r="R1228" s="0" t="b">
        <v>0</v>
      </c>
      <c r="S1228" s="0" t="b">
        <v>1</v>
      </c>
      <c r="T1228" s="68">
        <v>44244.69375</v>
      </c>
      <c r="U1228" s="68">
        <v>44274.5</v>
      </c>
      <c r="V1228" s="68">
        <v>0</v>
      </c>
      <c r="W1228" s="0">
        <f>IF(IF(B1228="none",1,IF(B1228="Trialer",1,0))+IF(C1228="Customer",1,IF(C1228="Lost",1,0))=2,1,0)</f>
      </c>
      <c r="X1228" s="0" t="s">
        <v>148</v>
      </c>
      <c r="Y1228" s="0" t="s">
        <v>499</v>
      </c>
      <c r="AV1228" s="68"/>
      <c r="AW1228" s="68"/>
      <c r="AY1228" s="27"/>
      <c r="BD1228" s="68">
        <v>46054.1666666667</v>
      </c>
      <c r="BE1228" s="68">
        <v>46082.1666666667</v>
      </c>
      <c r="BF1228" s="0" t="b">
        <v>0</v>
      </c>
      <c r="BG1228" s="0" t="b">
        <v>0</v>
      </c>
      <c r="BH1228" s="0">
        <v>98</v>
      </c>
      <c r="BI1228" s="0">
        <v>98</v>
      </c>
      <c r="BJ1228" s="0" t="s">
        <v>135</v>
      </c>
    </row>
    <row r="1229">
      <c r="A1229" s="0" t="s">
        <v>1437</v>
      </c>
      <c r="B1229" s="0" t="s">
        <v>134</v>
      </c>
      <c r="C1229" s="0" t="s">
        <v>134</v>
      </c>
      <c r="D1229" s="0" t="s">
        <v>230</v>
      </c>
      <c r="E1229" s="0" t="s">
        <v>2</v>
      </c>
      <c r="F1229" s="0" t="s">
        <v>12</v>
      </c>
      <c r="G1229" s="0" t="s">
        <v>8</v>
      </c>
      <c r="H1229" s="0">
        <v>1809</v>
      </c>
      <c r="I1229" s="0">
        <v>132</v>
      </c>
      <c r="J1229" s="0">
        <v>0</v>
      </c>
      <c r="K1229" s="0">
        <v>1</v>
      </c>
      <c r="L1229" s="0">
        <v>3</v>
      </c>
      <c r="M1229" s="0">
        <v>3</v>
      </c>
      <c r="N1229" s="0">
        <v>0</v>
      </c>
      <c r="O1229" s="0">
        <v>0</v>
      </c>
      <c r="P1229" s="0">
        <v>-132</v>
      </c>
      <c r="R1229" s="0" t="b">
        <v>0</v>
      </c>
      <c r="S1229" s="0" t="b">
        <v>1</v>
      </c>
      <c r="T1229" s="68">
        <v>44244.7895138889</v>
      </c>
      <c r="U1229" s="68">
        <v>44274.3333333333</v>
      </c>
      <c r="V1229" s="68">
        <v>0</v>
      </c>
      <c r="W1229" s="0">
        <f>IF(IF(B1229="none",1,IF(B1229="Trialer",1,0))+IF(C1229="Customer",1,IF(C1229="Lost",1,0))=2,1,0)</f>
      </c>
      <c r="X1229" s="0" t="s">
        <v>142</v>
      </c>
      <c r="Y1229" s="0" t="s">
        <v>499</v>
      </c>
      <c r="AV1229" s="68"/>
      <c r="AW1229" s="68"/>
      <c r="AY1229" s="27"/>
      <c r="BD1229" s="68">
        <v>46054.1666666667</v>
      </c>
      <c r="BE1229" s="68">
        <v>46082.1666666667</v>
      </c>
      <c r="BF1229" s="0" t="b">
        <v>0</v>
      </c>
      <c r="BG1229" s="0" t="b">
        <v>0</v>
      </c>
      <c r="BH1229" s="0">
        <v>147</v>
      </c>
      <c r="BI1229" s="0">
        <v>147</v>
      </c>
      <c r="BJ1229" s="0" t="s">
        <v>230</v>
      </c>
    </row>
    <row r="1230">
      <c r="A1230" s="0" t="s">
        <v>1438</v>
      </c>
      <c r="B1230" s="0" t="s">
        <v>134</v>
      </c>
      <c r="C1230" s="0" t="s">
        <v>134</v>
      </c>
      <c r="D1230" s="0" t="s">
        <v>230</v>
      </c>
      <c r="E1230" s="0" t="s">
        <v>2</v>
      </c>
      <c r="F1230" s="0" t="s">
        <v>10</v>
      </c>
      <c r="G1230" s="0" t="s">
        <v>8</v>
      </c>
      <c r="H1230" s="0">
        <v>1808</v>
      </c>
      <c r="I1230" s="0">
        <v>44</v>
      </c>
      <c r="J1230" s="0">
        <v>0</v>
      </c>
      <c r="K1230" s="0">
        <v>1</v>
      </c>
      <c r="L1230" s="0">
        <v>3</v>
      </c>
      <c r="M1230" s="0">
        <v>1</v>
      </c>
      <c r="N1230" s="0">
        <v>0</v>
      </c>
      <c r="O1230" s="0">
        <v>0</v>
      </c>
      <c r="P1230" s="0">
        <v>-44</v>
      </c>
      <c r="Q1230" s="0" t="s">
        <v>294</v>
      </c>
      <c r="R1230" s="0" t="b">
        <v>0</v>
      </c>
      <c r="S1230" s="0" t="b">
        <v>1</v>
      </c>
      <c r="T1230" s="68">
        <v>44245.7054513889</v>
      </c>
      <c r="U1230" s="68">
        <v>44275.3333333333</v>
      </c>
      <c r="V1230" s="68">
        <v>0</v>
      </c>
      <c r="W1230" s="0">
        <f>IF(IF(B1230="none",1,IF(B1230="Trialer",1,0))+IF(C1230="Customer",1,IF(C1230="Lost",1,0))=2,1,0)</f>
      </c>
      <c r="X1230" s="0" t="s">
        <v>148</v>
      </c>
      <c r="Y1230" s="0" t="s">
        <v>499</v>
      </c>
      <c r="AV1230" s="68"/>
      <c r="AW1230" s="68"/>
      <c r="AY1230" s="27"/>
      <c r="BD1230" s="68">
        <v>46054.1666666667</v>
      </c>
      <c r="BE1230" s="68">
        <v>46082.1666666667</v>
      </c>
      <c r="BF1230" s="0" t="b">
        <v>0</v>
      </c>
      <c r="BG1230" s="0" t="b">
        <v>0</v>
      </c>
      <c r="BH1230" s="0">
        <v>49</v>
      </c>
      <c r="BI1230" s="0">
        <v>49</v>
      </c>
      <c r="BJ1230" s="0" t="s">
        <v>230</v>
      </c>
    </row>
    <row r="1231">
      <c r="A1231" s="0" t="s">
        <v>1439</v>
      </c>
      <c r="B1231" s="0" t="s">
        <v>134</v>
      </c>
      <c r="C1231" s="0" t="s">
        <v>134</v>
      </c>
      <c r="D1231" s="0" t="s">
        <v>135</v>
      </c>
      <c r="E1231" s="0" t="s">
        <v>3</v>
      </c>
      <c r="F1231" s="0" t="s">
        <v>12</v>
      </c>
      <c r="G1231" s="0" t="s">
        <v>8</v>
      </c>
      <c r="H1231" s="0">
        <v>1807</v>
      </c>
      <c r="I1231" s="0">
        <v>227</v>
      </c>
      <c r="J1231" s="0">
        <v>0</v>
      </c>
      <c r="K1231" s="0">
        <v>1</v>
      </c>
      <c r="L1231" s="0">
        <v>3</v>
      </c>
      <c r="M1231" s="0">
        <v>5</v>
      </c>
      <c r="N1231" s="0">
        <v>0</v>
      </c>
      <c r="O1231" s="0">
        <v>0</v>
      </c>
      <c r="P1231" s="0">
        <v>0</v>
      </c>
      <c r="R1231" s="0" t="b">
        <v>0</v>
      </c>
      <c r="S1231" s="0" t="b">
        <v>1</v>
      </c>
      <c r="T1231" s="68">
        <v>44246.3669097222</v>
      </c>
      <c r="U1231" s="68">
        <v>44276.3333333333</v>
      </c>
      <c r="V1231" s="68">
        <v>0</v>
      </c>
      <c r="W1231" s="0">
        <f>IF(IF(B1231="none",1,IF(B1231="Trialer",1,0))+IF(C1231="Customer",1,IF(C1231="Lost",1,0))=2,1,0)</f>
      </c>
      <c r="X1231" s="0" t="s">
        <v>136</v>
      </c>
      <c r="Y1231" s="0" t="s">
        <v>243</v>
      </c>
      <c r="AV1231" s="68"/>
      <c r="AW1231" s="68"/>
      <c r="AY1231" s="27"/>
      <c r="BD1231" s="68">
        <v>46054.1666666667</v>
      </c>
      <c r="BE1231" s="68">
        <v>46082.1666666667</v>
      </c>
      <c r="BF1231" s="0" t="b">
        <v>0</v>
      </c>
      <c r="BG1231" s="0" t="b">
        <v>0</v>
      </c>
      <c r="BH1231" s="0">
        <v>227</v>
      </c>
      <c r="BI1231" s="0">
        <v>227</v>
      </c>
      <c r="BJ1231" s="0" t="s">
        <v>135</v>
      </c>
    </row>
    <row r="1232">
      <c r="A1232" s="0" t="s">
        <v>1440</v>
      </c>
      <c r="B1232" s="0" t="s">
        <v>134</v>
      </c>
      <c r="C1232" s="0" t="s">
        <v>134</v>
      </c>
      <c r="D1232" s="0" t="s">
        <v>135</v>
      </c>
      <c r="E1232" s="0" t="s">
        <v>3</v>
      </c>
      <c r="F1232" s="0" t="s">
        <v>12</v>
      </c>
      <c r="G1232" s="0" t="s">
        <v>8</v>
      </c>
      <c r="H1232" s="0">
        <v>1807</v>
      </c>
      <c r="I1232" s="0">
        <v>0</v>
      </c>
      <c r="J1232" s="0">
        <v>0</v>
      </c>
      <c r="K1232" s="0">
        <v>1</v>
      </c>
      <c r="L1232" s="0">
        <v>3</v>
      </c>
      <c r="M1232" s="0">
        <v>1</v>
      </c>
      <c r="N1232" s="0">
        <v>0</v>
      </c>
      <c r="O1232" s="0">
        <v>0</v>
      </c>
      <c r="P1232" s="0">
        <v>0</v>
      </c>
      <c r="R1232" s="0" t="b">
        <v>0</v>
      </c>
      <c r="S1232" s="0" t="b">
        <v>1</v>
      </c>
      <c r="T1232" s="68">
        <v>44246.420162037</v>
      </c>
      <c r="U1232" s="68">
        <v>44277.3333333333</v>
      </c>
      <c r="V1232" s="68">
        <v>0</v>
      </c>
      <c r="W1232" s="0">
        <f>IF(IF(B1232="none",1,IF(B1232="Trialer",1,0))+IF(C1232="Customer",1,IF(C1232="Lost",1,0))=2,1,0)</f>
      </c>
      <c r="X1232" s="0" t="s">
        <v>148</v>
      </c>
      <c r="Y1232" s="0" t="s">
        <v>243</v>
      </c>
      <c r="AV1232" s="68"/>
      <c r="AW1232" s="68"/>
      <c r="AY1232" s="27"/>
      <c r="BD1232" s="68">
        <v>46054.1666666667</v>
      </c>
      <c r="BE1232" s="68">
        <v>46082.1666666667</v>
      </c>
      <c r="BF1232" s="0" t="b">
        <v>0</v>
      </c>
      <c r="BG1232" s="0" t="b">
        <v>0</v>
      </c>
      <c r="BH1232" s="0">
        <v>0</v>
      </c>
      <c r="BI1232" s="0">
        <v>0</v>
      </c>
      <c r="BJ1232" s="0" t="s">
        <v>135</v>
      </c>
    </row>
    <row r="1233">
      <c r="A1233" s="0" t="s">
        <v>1441</v>
      </c>
      <c r="B1233" s="0" t="s">
        <v>134</v>
      </c>
      <c r="C1233" s="0" t="s">
        <v>134</v>
      </c>
      <c r="D1233" s="0" t="s">
        <v>230</v>
      </c>
      <c r="E1233" s="0" t="s">
        <v>2</v>
      </c>
      <c r="F1233" s="0" t="s">
        <v>10</v>
      </c>
      <c r="G1233" s="0" t="s">
        <v>8</v>
      </c>
      <c r="H1233" s="0">
        <v>1804</v>
      </c>
      <c r="I1233" s="0">
        <v>36</v>
      </c>
      <c r="J1233" s="0">
        <v>0</v>
      </c>
      <c r="K1233" s="0">
        <v>1</v>
      </c>
      <c r="L1233" s="0">
        <v>2</v>
      </c>
      <c r="M1233" s="0">
        <v>1</v>
      </c>
      <c r="N1233" s="0">
        <v>0</v>
      </c>
      <c r="O1233" s="0">
        <v>0</v>
      </c>
      <c r="P1233" s="0">
        <v>396</v>
      </c>
      <c r="Q1233" s="0" t="s">
        <v>921</v>
      </c>
      <c r="R1233" s="0" t="b">
        <v>0</v>
      </c>
      <c r="S1233" s="0" t="b">
        <v>1</v>
      </c>
      <c r="T1233" s="68">
        <v>44249.44375</v>
      </c>
      <c r="U1233" s="68">
        <v>44284.3333333333</v>
      </c>
      <c r="V1233" s="68">
        <v>0</v>
      </c>
      <c r="W1233" s="0">
        <f>IF(IF(B1233="none",1,IF(B1233="Trialer",1,0))+IF(C1233="Customer",1,IF(C1233="Lost",1,0))=2,1,0)</f>
      </c>
      <c r="X1233" s="0" t="s">
        <v>136</v>
      </c>
      <c r="Y1233" s="0" t="s">
        <v>499</v>
      </c>
      <c r="AV1233" s="68"/>
      <c r="AW1233" s="68"/>
      <c r="AY1233" s="27"/>
      <c r="BD1233" s="68">
        <v>46054.1666666667</v>
      </c>
      <c r="BE1233" s="68">
        <v>46082.1666666667</v>
      </c>
      <c r="BF1233" s="0" t="b">
        <v>0</v>
      </c>
      <c r="BG1233" s="0" t="b">
        <v>0</v>
      </c>
      <c r="BH1233" s="0">
        <v>40</v>
      </c>
      <c r="BI1233" s="0">
        <v>40</v>
      </c>
      <c r="BJ1233" s="0" t="s">
        <v>230</v>
      </c>
    </row>
    <row r="1234">
      <c r="A1234" s="0" t="s">
        <v>1442</v>
      </c>
      <c r="B1234" s="0" t="s">
        <v>134</v>
      </c>
      <c r="C1234" s="0" t="s">
        <v>134</v>
      </c>
      <c r="D1234" s="0" t="s">
        <v>230</v>
      </c>
      <c r="E1234" s="0" t="s">
        <v>3</v>
      </c>
      <c r="F1234" s="0" t="s">
        <v>12</v>
      </c>
      <c r="G1234" s="0" t="s">
        <v>8</v>
      </c>
      <c r="H1234" s="0">
        <v>1803</v>
      </c>
      <c r="I1234" s="0">
        <v>66</v>
      </c>
      <c r="J1234" s="0">
        <v>0</v>
      </c>
      <c r="K1234" s="0">
        <v>1</v>
      </c>
      <c r="L1234" s="0">
        <v>2</v>
      </c>
      <c r="M1234" s="0">
        <v>2</v>
      </c>
      <c r="N1234" s="0">
        <v>0</v>
      </c>
      <c r="O1234" s="0">
        <v>0</v>
      </c>
      <c r="P1234" s="0">
        <v>-66</v>
      </c>
      <c r="R1234" s="0" t="b">
        <v>0</v>
      </c>
      <c r="S1234" s="0" t="b">
        <v>1</v>
      </c>
      <c r="T1234" s="68">
        <v>44250.0658101852</v>
      </c>
      <c r="U1234" s="68">
        <v>44280.3333333333</v>
      </c>
      <c r="V1234" s="68">
        <v>0</v>
      </c>
      <c r="W1234" s="0">
        <f>IF(IF(B1234="none",1,IF(B1234="Trialer",1,0))+IF(C1234="Customer",1,IF(C1234="Lost",1,0))=2,1,0)</f>
      </c>
      <c r="X1234" s="0" t="s">
        <v>166</v>
      </c>
      <c r="Y1234" s="0" t="s">
        <v>243</v>
      </c>
      <c r="AV1234" s="68"/>
      <c r="AW1234" s="68"/>
      <c r="AY1234" s="27"/>
      <c r="BD1234" s="68">
        <v>46054.1666666667</v>
      </c>
      <c r="BE1234" s="68">
        <v>46082.1666666667</v>
      </c>
      <c r="BF1234" s="0" t="b">
        <v>0</v>
      </c>
      <c r="BG1234" s="0" t="b">
        <v>0</v>
      </c>
      <c r="BH1234" s="0">
        <v>74</v>
      </c>
      <c r="BI1234" s="0">
        <v>74</v>
      </c>
      <c r="BJ1234" s="0" t="s">
        <v>230</v>
      </c>
    </row>
    <row r="1235">
      <c r="A1235" s="0" t="s">
        <v>1443</v>
      </c>
      <c r="B1235" s="0" t="s">
        <v>134</v>
      </c>
      <c r="C1235" s="0" t="s">
        <v>134</v>
      </c>
      <c r="D1235" s="0" t="s">
        <v>230</v>
      </c>
      <c r="E1235" s="0" t="s">
        <v>2</v>
      </c>
      <c r="F1235" s="0" t="s">
        <v>12</v>
      </c>
      <c r="G1235" s="0" t="s">
        <v>8</v>
      </c>
      <c r="H1235" s="0">
        <v>1803</v>
      </c>
      <c r="I1235" s="0">
        <v>220</v>
      </c>
      <c r="J1235" s="0">
        <v>0</v>
      </c>
      <c r="K1235" s="0">
        <v>1</v>
      </c>
      <c r="L1235" s="0">
        <v>3</v>
      </c>
      <c r="M1235" s="0">
        <v>5</v>
      </c>
      <c r="N1235" s="0">
        <v>0</v>
      </c>
      <c r="O1235" s="0">
        <v>0</v>
      </c>
      <c r="P1235" s="0">
        <v>-220</v>
      </c>
      <c r="R1235" s="0" t="b">
        <v>0</v>
      </c>
      <c r="S1235" s="0" t="b">
        <v>1</v>
      </c>
      <c r="T1235" s="68">
        <v>44250.4476967593</v>
      </c>
      <c r="U1235" s="68">
        <v>44280.3333333333</v>
      </c>
      <c r="V1235" s="68">
        <v>0</v>
      </c>
      <c r="W1235" s="0">
        <f>IF(IF(B1235="none",1,IF(B1235="Trialer",1,0))+IF(C1235="Customer",1,IF(C1235="Lost",1,0))=2,1,0)</f>
      </c>
      <c r="X1235" s="0" t="s">
        <v>145</v>
      </c>
      <c r="Y1235" s="0" t="s">
        <v>499</v>
      </c>
      <c r="AV1235" s="68"/>
      <c r="AW1235" s="68"/>
      <c r="AY1235" s="27"/>
      <c r="BD1235" s="68">
        <v>46054.1666666667</v>
      </c>
      <c r="BE1235" s="68">
        <v>46082.1666666667</v>
      </c>
      <c r="BF1235" s="0" t="b">
        <v>0</v>
      </c>
      <c r="BG1235" s="0" t="b">
        <v>0</v>
      </c>
      <c r="BH1235" s="0">
        <v>245</v>
      </c>
      <c r="BI1235" s="0">
        <v>245</v>
      </c>
      <c r="BJ1235" s="0" t="s">
        <v>230</v>
      </c>
    </row>
    <row r="1236">
      <c r="A1236" s="0" t="s">
        <v>1444</v>
      </c>
      <c r="B1236" s="0" t="s">
        <v>134</v>
      </c>
      <c r="C1236" s="0" t="s">
        <v>134</v>
      </c>
      <c r="D1236" s="0" t="s">
        <v>135</v>
      </c>
      <c r="E1236" s="0" t="s">
        <v>3</v>
      </c>
      <c r="F1236" s="0" t="s">
        <v>12</v>
      </c>
      <c r="G1236" s="0" t="s">
        <v>8</v>
      </c>
      <c r="H1236" s="0">
        <v>1803</v>
      </c>
      <c r="I1236" s="0">
        <v>28</v>
      </c>
      <c r="J1236" s="0">
        <v>0</v>
      </c>
      <c r="K1236" s="0">
        <v>1</v>
      </c>
      <c r="L1236" s="0">
        <v>1</v>
      </c>
      <c r="M1236" s="0">
        <v>1</v>
      </c>
      <c r="N1236" s="0">
        <v>0</v>
      </c>
      <c r="O1236" s="0">
        <v>0</v>
      </c>
      <c r="P1236" s="0">
        <v>0</v>
      </c>
      <c r="R1236" s="0" t="b">
        <v>0</v>
      </c>
      <c r="S1236" s="0" t="b">
        <v>1</v>
      </c>
      <c r="T1236" s="68">
        <v>44250.6604282407</v>
      </c>
      <c r="U1236" s="68">
        <v>44280.3333333333</v>
      </c>
      <c r="V1236" s="68">
        <v>0</v>
      </c>
      <c r="W1236" s="0">
        <f>IF(IF(B1236="none",1,IF(B1236="Trialer",1,0))+IF(C1236="Customer",1,IF(C1236="Lost",1,0))=2,1,0)</f>
      </c>
      <c r="X1236" s="0" t="s">
        <v>142</v>
      </c>
      <c r="Y1236" s="0" t="s">
        <v>487</v>
      </c>
      <c r="AV1236" s="68"/>
      <c r="AW1236" s="68"/>
      <c r="AY1236" s="27"/>
      <c r="BD1236" s="68">
        <v>46054.1666666667</v>
      </c>
      <c r="BE1236" s="68">
        <v>46082.1666666667</v>
      </c>
      <c r="BF1236" s="0" t="b">
        <v>0</v>
      </c>
      <c r="BG1236" s="0" t="b">
        <v>0</v>
      </c>
      <c r="BH1236" s="0">
        <v>28</v>
      </c>
      <c r="BI1236" s="0">
        <v>28</v>
      </c>
      <c r="BJ1236" s="0" t="s">
        <v>135</v>
      </c>
    </row>
    <row r="1237">
      <c r="A1237" s="0" t="s">
        <v>1445</v>
      </c>
      <c r="B1237" s="0" t="s">
        <v>134</v>
      </c>
      <c r="C1237" s="0" t="s">
        <v>134</v>
      </c>
      <c r="D1237" s="0" t="s">
        <v>135</v>
      </c>
      <c r="E1237" s="0" t="s">
        <v>3</v>
      </c>
      <c r="F1237" s="0" t="s">
        <v>12</v>
      </c>
      <c r="G1237" s="0" t="s">
        <v>8</v>
      </c>
      <c r="H1237" s="0">
        <v>1802</v>
      </c>
      <c r="I1237" s="0">
        <v>28</v>
      </c>
      <c r="J1237" s="0">
        <v>0</v>
      </c>
      <c r="K1237" s="0">
        <v>1</v>
      </c>
      <c r="L1237" s="0">
        <v>1</v>
      </c>
      <c r="M1237" s="0">
        <v>1</v>
      </c>
      <c r="N1237" s="0">
        <v>0</v>
      </c>
      <c r="O1237" s="0">
        <v>0</v>
      </c>
      <c r="P1237" s="0">
        <v>0</v>
      </c>
      <c r="R1237" s="0" t="b">
        <v>0</v>
      </c>
      <c r="S1237" s="0" t="b">
        <v>1</v>
      </c>
      <c r="T1237" s="68">
        <v>44251.3666203704</v>
      </c>
      <c r="U1237" s="68">
        <v>44330.3333333333</v>
      </c>
      <c r="V1237" s="68">
        <v>0</v>
      </c>
      <c r="W1237" s="0">
        <f>IF(IF(B1237="none",1,IF(B1237="Trialer",1,0))+IF(C1237="Customer",1,IF(C1237="Lost",1,0))=2,1,0)</f>
      </c>
      <c r="X1237" s="0" t="s">
        <v>142</v>
      </c>
      <c r="Y1237" s="0" t="s">
        <v>243</v>
      </c>
      <c r="AV1237" s="68"/>
      <c r="AW1237" s="68"/>
      <c r="AY1237" s="27"/>
      <c r="BD1237" s="68">
        <v>46054.1666666667</v>
      </c>
      <c r="BE1237" s="68">
        <v>46082.1666666667</v>
      </c>
      <c r="BF1237" s="0" t="b">
        <v>0</v>
      </c>
      <c r="BG1237" s="0" t="b">
        <v>0</v>
      </c>
      <c r="BH1237" s="0">
        <v>28</v>
      </c>
      <c r="BI1237" s="0">
        <v>28</v>
      </c>
      <c r="BJ1237" s="0" t="s">
        <v>135</v>
      </c>
    </row>
    <row r="1238">
      <c r="A1238" s="0" t="s">
        <v>1446</v>
      </c>
      <c r="B1238" s="0" t="s">
        <v>134</v>
      </c>
      <c r="C1238" s="0" t="s">
        <v>134</v>
      </c>
      <c r="D1238" s="0" t="s">
        <v>135</v>
      </c>
      <c r="E1238" s="0" t="s">
        <v>2</v>
      </c>
      <c r="F1238" s="0" t="s">
        <v>12</v>
      </c>
      <c r="G1238" s="0" t="s">
        <v>8</v>
      </c>
      <c r="H1238" s="0">
        <v>1802</v>
      </c>
      <c r="I1238" s="0">
        <v>183</v>
      </c>
      <c r="J1238" s="0">
        <v>0</v>
      </c>
      <c r="K1238" s="0">
        <v>1</v>
      </c>
      <c r="L1238" s="0">
        <v>4</v>
      </c>
      <c r="M1238" s="0">
        <v>3</v>
      </c>
      <c r="N1238" s="0">
        <v>0</v>
      </c>
      <c r="O1238" s="0">
        <v>0</v>
      </c>
      <c r="P1238" s="0">
        <v>0</v>
      </c>
      <c r="R1238" s="0" t="b">
        <v>0</v>
      </c>
      <c r="S1238" s="0" t="b">
        <v>1</v>
      </c>
      <c r="T1238" s="68">
        <v>44251.629525463</v>
      </c>
      <c r="U1238" s="68">
        <v>44281.3333333333</v>
      </c>
      <c r="V1238" s="68">
        <v>0</v>
      </c>
      <c r="W1238" s="0">
        <f>IF(IF(B1238="none",1,IF(B1238="Trialer",1,0))+IF(C1238="Customer",1,IF(C1238="Lost",1,0))=2,1,0)</f>
      </c>
      <c r="X1238" s="0" t="s">
        <v>142</v>
      </c>
      <c r="Y1238" s="0" t="s">
        <v>499</v>
      </c>
      <c r="AV1238" s="68"/>
      <c r="AW1238" s="68"/>
      <c r="AY1238" s="27"/>
      <c r="BD1238" s="68">
        <v>46054.1666666667</v>
      </c>
      <c r="BE1238" s="68">
        <v>46082.1666666667</v>
      </c>
      <c r="BF1238" s="0" t="b">
        <v>0</v>
      </c>
      <c r="BG1238" s="0" t="b">
        <v>0</v>
      </c>
      <c r="BH1238" s="0">
        <v>183</v>
      </c>
      <c r="BI1238" s="0">
        <v>183</v>
      </c>
      <c r="BJ1238" s="0" t="s">
        <v>135</v>
      </c>
    </row>
    <row r="1239">
      <c r="A1239" s="0" t="s">
        <v>1447</v>
      </c>
      <c r="B1239" s="0" t="s">
        <v>134</v>
      </c>
      <c r="C1239" s="0" t="s">
        <v>134</v>
      </c>
      <c r="D1239" s="0" t="s">
        <v>135</v>
      </c>
      <c r="E1239" s="0" t="s">
        <v>3</v>
      </c>
      <c r="F1239" s="0" t="s">
        <v>12</v>
      </c>
      <c r="G1239" s="0" t="s">
        <v>8</v>
      </c>
      <c r="H1239" s="0">
        <v>1801</v>
      </c>
      <c r="I1239" s="0">
        <v>80</v>
      </c>
      <c r="J1239" s="0">
        <v>0</v>
      </c>
      <c r="K1239" s="0">
        <v>1</v>
      </c>
      <c r="L1239" s="0">
        <v>2</v>
      </c>
      <c r="M1239" s="0">
        <v>2</v>
      </c>
      <c r="N1239" s="0">
        <v>0</v>
      </c>
      <c r="O1239" s="0">
        <v>0</v>
      </c>
      <c r="P1239" s="0">
        <v>0</v>
      </c>
      <c r="R1239" s="0" t="b">
        <v>0</v>
      </c>
      <c r="S1239" s="0" t="b">
        <v>1</v>
      </c>
      <c r="T1239" s="68">
        <v>44252.4672685185</v>
      </c>
      <c r="U1239" s="68">
        <v>44282.3333333333</v>
      </c>
      <c r="V1239" s="68">
        <v>0</v>
      </c>
      <c r="W1239" s="0">
        <f>IF(IF(B1239="none",1,IF(B1239="Trialer",1,0))+IF(C1239="Customer",1,IF(C1239="Lost",1,0))=2,1,0)</f>
      </c>
      <c r="X1239" s="0" t="s">
        <v>142</v>
      </c>
      <c r="Y1239" s="0" t="s">
        <v>243</v>
      </c>
      <c r="AV1239" s="68"/>
      <c r="AW1239" s="68"/>
      <c r="AY1239" s="27"/>
      <c r="BD1239" s="68">
        <v>46054.1666666667</v>
      </c>
      <c r="BE1239" s="68">
        <v>46082.1666666667</v>
      </c>
      <c r="BF1239" s="0" t="b">
        <v>0</v>
      </c>
      <c r="BG1239" s="0" t="b">
        <v>0</v>
      </c>
      <c r="BH1239" s="0">
        <v>80</v>
      </c>
      <c r="BI1239" s="0">
        <v>80</v>
      </c>
      <c r="BJ1239" s="0" t="s">
        <v>135</v>
      </c>
    </row>
    <row r="1240">
      <c r="A1240" s="0" t="s">
        <v>1448</v>
      </c>
      <c r="B1240" s="0" t="s">
        <v>134</v>
      </c>
      <c r="C1240" s="0" t="s">
        <v>134</v>
      </c>
      <c r="D1240" s="0" t="s">
        <v>135</v>
      </c>
      <c r="E1240" s="0" t="s">
        <v>2</v>
      </c>
      <c r="F1240" s="0" t="s">
        <v>12</v>
      </c>
      <c r="G1240" s="0" t="s">
        <v>8</v>
      </c>
      <c r="H1240" s="0">
        <v>1800</v>
      </c>
      <c r="I1240" s="0">
        <v>120</v>
      </c>
      <c r="J1240" s="0">
        <v>0</v>
      </c>
      <c r="K1240" s="0">
        <v>1</v>
      </c>
      <c r="L1240" s="0">
        <v>2</v>
      </c>
      <c r="M1240" s="0">
        <v>3</v>
      </c>
      <c r="N1240" s="0">
        <v>0</v>
      </c>
      <c r="O1240" s="0">
        <v>0</v>
      </c>
      <c r="P1240" s="0">
        <v>0</v>
      </c>
      <c r="R1240" s="0" t="b">
        <v>0</v>
      </c>
      <c r="S1240" s="0" t="b">
        <v>1</v>
      </c>
      <c r="T1240" s="68">
        <v>44253.6078009259</v>
      </c>
      <c r="U1240" s="68">
        <v>44260.2916666667</v>
      </c>
      <c r="V1240" s="68">
        <v>0</v>
      </c>
      <c r="W1240" s="0">
        <f>IF(IF(B1240="none",1,IF(B1240="Trialer",1,0))+IF(C1240="Customer",1,IF(C1240="Lost",1,0))=2,1,0)</f>
      </c>
      <c r="X1240" s="0" t="s">
        <v>166</v>
      </c>
      <c r="Y1240" s="0" t="s">
        <v>499</v>
      </c>
      <c r="AV1240" s="68"/>
      <c r="AW1240" s="68"/>
      <c r="AY1240" s="27"/>
      <c r="BD1240" s="68">
        <v>46054.1666666667</v>
      </c>
      <c r="BE1240" s="68">
        <v>46082.1666666667</v>
      </c>
      <c r="BF1240" s="0" t="b">
        <v>0</v>
      </c>
      <c r="BG1240" s="0" t="b">
        <v>0</v>
      </c>
      <c r="BH1240" s="0">
        <v>120</v>
      </c>
      <c r="BI1240" s="0">
        <v>120</v>
      </c>
      <c r="BJ1240" s="0" t="s">
        <v>135</v>
      </c>
    </row>
    <row r="1241">
      <c r="A1241" s="0" t="s">
        <v>1449</v>
      </c>
      <c r="B1241" s="0" t="s">
        <v>134</v>
      </c>
      <c r="C1241" s="0" t="s">
        <v>134</v>
      </c>
      <c r="D1241" s="0" t="s">
        <v>230</v>
      </c>
      <c r="E1241" s="0" t="s">
        <v>3</v>
      </c>
      <c r="F1241" s="0" t="s">
        <v>12</v>
      </c>
      <c r="G1241" s="0" t="s">
        <v>8</v>
      </c>
      <c r="H1241" s="0">
        <v>1797</v>
      </c>
      <c r="I1241" s="0">
        <v>152</v>
      </c>
      <c r="J1241" s="0">
        <v>0</v>
      </c>
      <c r="K1241" s="0">
        <v>1</v>
      </c>
      <c r="L1241" s="0">
        <v>3</v>
      </c>
      <c r="M1241" s="0">
        <v>4</v>
      </c>
      <c r="N1241" s="0">
        <v>0</v>
      </c>
      <c r="O1241" s="0">
        <v>0</v>
      </c>
      <c r="P1241" s="0">
        <v>-152</v>
      </c>
      <c r="R1241" s="0" t="b">
        <v>0</v>
      </c>
      <c r="S1241" s="0" t="b">
        <v>1</v>
      </c>
      <c r="T1241" s="68">
        <v>44256.5066203704</v>
      </c>
      <c r="U1241" s="68">
        <v>44287.3333333333</v>
      </c>
      <c r="V1241" s="68">
        <v>0</v>
      </c>
      <c r="W1241" s="0">
        <f>IF(IF(B1241="none",1,IF(B1241="Trialer",1,0))+IF(C1241="Customer",1,IF(C1241="Lost",1,0))=2,1,0)</f>
      </c>
      <c r="X1241" s="0" t="s">
        <v>136</v>
      </c>
      <c r="Y1241" s="0" t="s">
        <v>243</v>
      </c>
      <c r="AV1241" s="68"/>
      <c r="AW1241" s="68"/>
      <c r="AY1241" s="27"/>
      <c r="BD1241" s="68">
        <v>46054.1666666667</v>
      </c>
      <c r="BE1241" s="68">
        <v>46082.1666666667</v>
      </c>
      <c r="BF1241" s="0" t="b">
        <v>0</v>
      </c>
      <c r="BG1241" s="0" t="b">
        <v>0</v>
      </c>
      <c r="BH1241" s="0">
        <v>129</v>
      </c>
      <c r="BI1241" s="0">
        <v>129</v>
      </c>
      <c r="BJ1241" s="0" t="s">
        <v>230</v>
      </c>
    </row>
    <row r="1242">
      <c r="A1242" s="0" t="s">
        <v>1450</v>
      </c>
      <c r="B1242" s="0" t="s">
        <v>134</v>
      </c>
      <c r="C1242" s="0" t="s">
        <v>134</v>
      </c>
      <c r="D1242" s="0" t="s">
        <v>135</v>
      </c>
      <c r="E1242" s="0" t="s">
        <v>2</v>
      </c>
      <c r="F1242" s="0" t="s">
        <v>12</v>
      </c>
      <c r="G1242" s="0" t="s">
        <v>8</v>
      </c>
      <c r="H1242" s="0">
        <v>1796</v>
      </c>
      <c r="I1242" s="0">
        <v>923</v>
      </c>
      <c r="J1242" s="0">
        <v>0</v>
      </c>
      <c r="K1242" s="0">
        <v>1</v>
      </c>
      <c r="L1242" s="0">
        <v>3</v>
      </c>
      <c r="M1242" s="0">
        <v>20</v>
      </c>
      <c r="N1242" s="0">
        <v>0</v>
      </c>
      <c r="O1242" s="0">
        <v>0</v>
      </c>
      <c r="P1242" s="0">
        <v>0</v>
      </c>
      <c r="R1242" s="0" t="b">
        <v>0</v>
      </c>
      <c r="S1242" s="0" t="b">
        <v>1</v>
      </c>
      <c r="T1242" s="68">
        <v>44257.4208333333</v>
      </c>
      <c r="U1242" s="68">
        <v>44287.3333333333</v>
      </c>
      <c r="V1242" s="68">
        <v>0</v>
      </c>
      <c r="W1242" s="0">
        <f>IF(IF(B1242="none",1,IF(B1242="Trialer",1,0))+IF(C1242="Customer",1,IF(C1242="Lost",1,0))=2,1,0)</f>
      </c>
      <c r="X1242" s="0" t="s">
        <v>148</v>
      </c>
      <c r="Y1242" s="0" t="s">
        <v>499</v>
      </c>
      <c r="AV1242" s="68"/>
      <c r="AW1242" s="68"/>
      <c r="AY1242" s="27"/>
      <c r="BD1242" s="68">
        <v>46054.1666666667</v>
      </c>
      <c r="BE1242" s="68">
        <v>46082.1666666667</v>
      </c>
      <c r="BF1242" s="0" t="b">
        <v>0</v>
      </c>
      <c r="BG1242" s="0" t="b">
        <v>0</v>
      </c>
      <c r="BH1242" s="0">
        <v>972</v>
      </c>
      <c r="BI1242" s="0">
        <v>972</v>
      </c>
      <c r="BJ1242" s="0" t="s">
        <v>135</v>
      </c>
    </row>
    <row r="1243">
      <c r="A1243" s="0" t="s">
        <v>1451</v>
      </c>
      <c r="B1243" s="0" t="s">
        <v>134</v>
      </c>
      <c r="C1243" s="0" t="s">
        <v>134</v>
      </c>
      <c r="D1243" s="0" t="s">
        <v>230</v>
      </c>
      <c r="E1243" s="0" t="s">
        <v>3</v>
      </c>
      <c r="F1243" s="0" t="s">
        <v>12</v>
      </c>
      <c r="G1243" s="0" t="s">
        <v>8</v>
      </c>
      <c r="H1243" s="0">
        <v>1795</v>
      </c>
      <c r="I1243" s="0">
        <v>116</v>
      </c>
      <c r="J1243" s="0">
        <v>0</v>
      </c>
      <c r="K1243" s="0">
        <v>1</v>
      </c>
      <c r="L1243" s="0">
        <v>2</v>
      </c>
      <c r="M1243" s="0">
        <v>4</v>
      </c>
      <c r="N1243" s="0">
        <v>0</v>
      </c>
      <c r="O1243" s="0">
        <v>0</v>
      </c>
      <c r="P1243" s="0">
        <v>-116</v>
      </c>
      <c r="R1243" s="0" t="b">
        <v>0</v>
      </c>
      <c r="S1243" s="0" t="b">
        <v>1</v>
      </c>
      <c r="T1243" s="68">
        <v>44258.6020949074</v>
      </c>
      <c r="U1243" s="68">
        <v>44289.3333333333</v>
      </c>
      <c r="V1243" s="68">
        <v>0</v>
      </c>
      <c r="W1243" s="0">
        <f>IF(IF(B1243="none",1,IF(B1243="Trialer",1,0))+IF(C1243="Customer",1,IF(C1243="Lost",1,0))=2,1,0)</f>
      </c>
      <c r="X1243" s="0" t="s">
        <v>136</v>
      </c>
      <c r="Y1243" s="0" t="s">
        <v>243</v>
      </c>
      <c r="AV1243" s="68"/>
      <c r="AW1243" s="68"/>
      <c r="AY1243" s="27"/>
      <c r="BD1243" s="68">
        <v>46054.1666666667</v>
      </c>
      <c r="BE1243" s="68">
        <v>46082.1666666667</v>
      </c>
      <c r="BF1243" s="0" t="b">
        <v>0</v>
      </c>
      <c r="BG1243" s="0" t="b">
        <v>0</v>
      </c>
      <c r="BH1243" s="0">
        <v>130</v>
      </c>
      <c r="BI1243" s="0">
        <v>130</v>
      </c>
      <c r="BJ1243" s="0" t="s">
        <v>230</v>
      </c>
    </row>
    <row r="1244">
      <c r="A1244" s="0" t="s">
        <v>1452</v>
      </c>
      <c r="B1244" s="0" t="s">
        <v>134</v>
      </c>
      <c r="C1244" s="0" t="s">
        <v>134</v>
      </c>
      <c r="D1244" s="0" t="s">
        <v>135</v>
      </c>
      <c r="E1244" s="0" t="s">
        <v>2</v>
      </c>
      <c r="F1244" s="0" t="s">
        <v>10</v>
      </c>
      <c r="G1244" s="0" t="s">
        <v>8</v>
      </c>
      <c r="H1244" s="0">
        <v>1794</v>
      </c>
      <c r="I1244" s="0">
        <v>168</v>
      </c>
      <c r="J1244" s="0">
        <v>0</v>
      </c>
      <c r="K1244" s="0">
        <v>1</v>
      </c>
      <c r="L1244" s="0">
        <v>1</v>
      </c>
      <c r="M1244" s="0">
        <v>6</v>
      </c>
      <c r="N1244" s="0">
        <v>0</v>
      </c>
      <c r="O1244" s="0">
        <v>0</v>
      </c>
      <c r="P1244" s="0">
        <v>0</v>
      </c>
      <c r="Q1244" s="0" t="s">
        <v>294</v>
      </c>
      <c r="R1244" s="0" t="b">
        <v>0</v>
      </c>
      <c r="S1244" s="0" t="b">
        <v>1</v>
      </c>
      <c r="T1244" s="68">
        <v>44259.3201388889</v>
      </c>
      <c r="U1244" s="68">
        <v>44295.3333333333</v>
      </c>
      <c r="V1244" s="68">
        <v>0</v>
      </c>
      <c r="W1244" s="0">
        <f>IF(IF(B1244="none",1,IF(B1244="Trialer",1,0))+IF(C1244="Customer",1,IF(C1244="Lost",1,0))=2,1,0)</f>
      </c>
      <c r="X1244" s="0" t="s">
        <v>148</v>
      </c>
      <c r="Y1244" s="0" t="s">
        <v>499</v>
      </c>
      <c r="AV1244" s="68"/>
      <c r="AW1244" s="68"/>
      <c r="AY1244" s="27"/>
      <c r="BD1244" s="68">
        <v>46054.1666666667</v>
      </c>
      <c r="BE1244" s="68">
        <v>46082.1666666667</v>
      </c>
      <c r="BF1244" s="0" t="b">
        <v>0</v>
      </c>
      <c r="BG1244" s="0" t="b">
        <v>0</v>
      </c>
      <c r="BH1244" s="0">
        <v>84</v>
      </c>
      <c r="BI1244" s="0">
        <v>84</v>
      </c>
      <c r="BJ1244" s="0" t="s">
        <v>135</v>
      </c>
    </row>
    <row r="1245">
      <c r="A1245" s="0" t="s">
        <v>1453</v>
      </c>
      <c r="B1245" s="0" t="s">
        <v>134</v>
      </c>
      <c r="C1245" s="0" t="s">
        <v>134</v>
      </c>
      <c r="D1245" s="0" t="s">
        <v>230</v>
      </c>
      <c r="E1245" s="0" t="s">
        <v>2</v>
      </c>
      <c r="F1245" s="0" t="s">
        <v>10</v>
      </c>
      <c r="G1245" s="0" t="s">
        <v>8</v>
      </c>
      <c r="H1245" s="0">
        <v>1794</v>
      </c>
      <c r="I1245" s="0">
        <v>50</v>
      </c>
      <c r="J1245" s="0">
        <v>0</v>
      </c>
      <c r="K1245" s="0">
        <v>1</v>
      </c>
      <c r="L1245" s="0">
        <v>1</v>
      </c>
      <c r="M1245" s="0">
        <v>2</v>
      </c>
      <c r="N1245" s="0">
        <v>0</v>
      </c>
      <c r="O1245" s="0">
        <v>0</v>
      </c>
      <c r="P1245" s="0">
        <v>-50</v>
      </c>
      <c r="Q1245" s="0" t="s">
        <v>498</v>
      </c>
      <c r="R1245" s="0" t="b">
        <v>0</v>
      </c>
      <c r="S1245" s="0" t="b">
        <v>1</v>
      </c>
      <c r="T1245" s="68">
        <v>44259.6236574074</v>
      </c>
      <c r="U1245" s="68">
        <v>44336.3333333333</v>
      </c>
      <c r="V1245" s="68">
        <v>0</v>
      </c>
      <c r="W1245" s="0">
        <f>IF(IF(B1245="none",1,IF(B1245="Trialer",1,0))+IF(C1245="Customer",1,IF(C1245="Lost",1,0))=2,1,0)</f>
      </c>
      <c r="X1245" s="0" t="s">
        <v>136</v>
      </c>
      <c r="Y1245" s="0" t="s">
        <v>499</v>
      </c>
      <c r="AV1245" s="68"/>
      <c r="AW1245" s="68"/>
      <c r="AY1245" s="27"/>
      <c r="BD1245" s="68">
        <v>46054.1666666667</v>
      </c>
      <c r="BE1245" s="68">
        <v>46082.1666666667</v>
      </c>
      <c r="BF1245" s="0" t="b">
        <v>0</v>
      </c>
      <c r="BG1245" s="0" t="b">
        <v>0</v>
      </c>
      <c r="BH1245" s="0">
        <v>56</v>
      </c>
      <c r="BI1245" s="0">
        <v>56</v>
      </c>
      <c r="BJ1245" s="0" t="s">
        <v>230</v>
      </c>
    </row>
    <row r="1246">
      <c r="A1246" s="0" t="s">
        <v>1454</v>
      </c>
      <c r="B1246" s="0" t="s">
        <v>134</v>
      </c>
      <c r="C1246" s="0" t="s">
        <v>134</v>
      </c>
      <c r="D1246" s="0" t="s">
        <v>230</v>
      </c>
      <c r="E1246" s="0" t="s">
        <v>2</v>
      </c>
      <c r="F1246" s="0" t="s">
        <v>12</v>
      </c>
      <c r="G1246" s="0" t="s">
        <v>8</v>
      </c>
      <c r="H1246" s="0">
        <v>1790</v>
      </c>
      <c r="I1246" s="0">
        <v>220</v>
      </c>
      <c r="J1246" s="0">
        <v>0</v>
      </c>
      <c r="K1246" s="0">
        <v>1</v>
      </c>
      <c r="L1246" s="0">
        <v>3</v>
      </c>
      <c r="M1246" s="0">
        <v>5</v>
      </c>
      <c r="N1246" s="0">
        <v>0</v>
      </c>
      <c r="O1246" s="0">
        <v>0</v>
      </c>
      <c r="P1246" s="0">
        <v>-220</v>
      </c>
      <c r="R1246" s="0" t="b">
        <v>0</v>
      </c>
      <c r="S1246" s="0" t="b">
        <v>1</v>
      </c>
      <c r="T1246" s="68">
        <v>44263.5545138889</v>
      </c>
      <c r="U1246" s="68">
        <v>44298.3333333333</v>
      </c>
      <c r="V1246" s="68">
        <v>0</v>
      </c>
      <c r="W1246" s="0">
        <f>IF(IF(B1246="none",1,IF(B1246="Trialer",1,0))+IF(C1246="Customer",1,IF(C1246="Lost",1,0))=2,1,0)</f>
      </c>
      <c r="X1246" s="0" t="s">
        <v>136</v>
      </c>
      <c r="Y1246" s="0" t="s">
        <v>499</v>
      </c>
      <c r="AV1246" s="68"/>
      <c r="AW1246" s="68"/>
      <c r="AY1246" s="27"/>
      <c r="BD1246" s="68">
        <v>46054.1666666667</v>
      </c>
      <c r="BE1246" s="68">
        <v>46082.1666666667</v>
      </c>
      <c r="BF1246" s="0" t="b">
        <v>0</v>
      </c>
      <c r="BG1246" s="0" t="b">
        <v>0</v>
      </c>
      <c r="BH1246" s="0">
        <v>245</v>
      </c>
      <c r="BI1246" s="0">
        <v>245</v>
      </c>
      <c r="BJ1246" s="0" t="s">
        <v>230</v>
      </c>
    </row>
    <row r="1247">
      <c r="A1247" s="0" t="s">
        <v>1455</v>
      </c>
      <c r="B1247" s="0" t="s">
        <v>134</v>
      </c>
      <c r="C1247" s="0" t="s">
        <v>134</v>
      </c>
      <c r="D1247" s="0" t="s">
        <v>135</v>
      </c>
      <c r="E1247" s="0" t="s">
        <v>2</v>
      </c>
      <c r="F1247" s="0" t="s">
        <v>12</v>
      </c>
      <c r="G1247" s="0" t="s">
        <v>7</v>
      </c>
      <c r="H1247" s="0">
        <v>1783</v>
      </c>
      <c r="I1247" s="0">
        <v>40</v>
      </c>
      <c r="J1247" s="0">
        <v>0</v>
      </c>
      <c r="K1247" s="0">
        <v>1</v>
      </c>
      <c r="L1247" s="0">
        <v>1</v>
      </c>
      <c r="M1247" s="0">
        <v>1</v>
      </c>
      <c r="N1247" s="0">
        <v>0</v>
      </c>
      <c r="O1247" s="0">
        <v>0</v>
      </c>
      <c r="P1247" s="0">
        <v>0</v>
      </c>
      <c r="R1247" s="0" t="b">
        <v>0</v>
      </c>
      <c r="S1247" s="0" t="b">
        <v>1</v>
      </c>
      <c r="T1247" s="68">
        <v>44270.5472800926</v>
      </c>
      <c r="U1247" s="68">
        <v>44300.3333333333</v>
      </c>
      <c r="V1247" s="68">
        <v>0</v>
      </c>
      <c r="W1247" s="0">
        <f>IF(IF(B1247="none",1,IF(B1247="Trialer",1,0))+IF(C1247="Customer",1,IF(C1247="Lost",1,0))=2,1,0)</f>
      </c>
      <c r="X1247" s="0" t="s">
        <v>148</v>
      </c>
      <c r="Y1247" s="0" t="s">
        <v>499</v>
      </c>
      <c r="AV1247" s="68"/>
      <c r="AW1247" s="68"/>
      <c r="AY1247" s="27"/>
      <c r="BD1247" s="68">
        <v>46054.1666666667</v>
      </c>
      <c r="BE1247" s="68">
        <v>46082.1666666667</v>
      </c>
      <c r="BF1247" s="0" t="b">
        <v>0</v>
      </c>
      <c r="BG1247" s="0" t="b">
        <v>0</v>
      </c>
      <c r="BH1247" s="0">
        <v>40</v>
      </c>
      <c r="BI1247" s="0">
        <v>40</v>
      </c>
      <c r="BJ1247" s="0" t="s">
        <v>135</v>
      </c>
    </row>
    <row r="1248">
      <c r="A1248" s="0" t="s">
        <v>1456</v>
      </c>
      <c r="B1248" s="0" t="s">
        <v>134</v>
      </c>
      <c r="C1248" s="0" t="s">
        <v>134</v>
      </c>
      <c r="D1248" s="0" t="s">
        <v>135</v>
      </c>
      <c r="E1248" s="0" t="s">
        <v>3</v>
      </c>
      <c r="F1248" s="0" t="s">
        <v>12</v>
      </c>
      <c r="G1248" s="0" t="s">
        <v>8</v>
      </c>
      <c r="H1248" s="0">
        <v>1781</v>
      </c>
      <c r="I1248" s="0">
        <v>208</v>
      </c>
      <c r="J1248" s="0">
        <v>0</v>
      </c>
      <c r="K1248" s="0">
        <v>1</v>
      </c>
      <c r="L1248" s="0">
        <v>4</v>
      </c>
      <c r="M1248" s="0">
        <v>4</v>
      </c>
      <c r="N1248" s="0">
        <v>0</v>
      </c>
      <c r="O1248" s="0">
        <v>0</v>
      </c>
      <c r="P1248" s="0">
        <v>0</v>
      </c>
      <c r="R1248" s="0" t="b">
        <v>0</v>
      </c>
      <c r="S1248" s="0" t="b">
        <v>1</v>
      </c>
      <c r="T1248" s="68">
        <v>44272.7426157407</v>
      </c>
      <c r="U1248" s="68">
        <v>44302.3333333333</v>
      </c>
      <c r="V1248" s="68">
        <v>0</v>
      </c>
      <c r="W1248" s="0">
        <f>IF(IF(B1248="none",1,IF(B1248="Trialer",1,0))+IF(C1248="Customer",1,IF(C1248="Lost",1,0))=2,1,0)</f>
      </c>
      <c r="X1248" s="0" t="s">
        <v>148</v>
      </c>
      <c r="Y1248" s="0" t="s">
        <v>243</v>
      </c>
      <c r="AV1248" s="68"/>
      <c r="AW1248" s="68"/>
      <c r="AY1248" s="27"/>
      <c r="BD1248" s="68">
        <v>46054.1666666667</v>
      </c>
      <c r="BE1248" s="68">
        <v>46082.1666666667</v>
      </c>
      <c r="BF1248" s="0" t="b">
        <v>0</v>
      </c>
      <c r="BG1248" s="0" t="b">
        <v>0</v>
      </c>
      <c r="BH1248" s="0">
        <v>208</v>
      </c>
      <c r="BI1248" s="0">
        <v>208</v>
      </c>
      <c r="BJ1248" s="0" t="s">
        <v>135</v>
      </c>
    </row>
    <row r="1249">
      <c r="A1249" s="0" t="s">
        <v>1457</v>
      </c>
      <c r="B1249" s="0" t="s">
        <v>134</v>
      </c>
      <c r="C1249" s="0" t="s">
        <v>190</v>
      </c>
      <c r="D1249" s="0" t="s">
        <v>135</v>
      </c>
      <c r="E1249" s="0" t="s">
        <v>3</v>
      </c>
      <c r="F1249" s="0" t="s">
        <v>10</v>
      </c>
      <c r="G1249" s="0" t="s">
        <v>8</v>
      </c>
      <c r="H1249" s="0">
        <v>1780</v>
      </c>
      <c r="I1249" s="0">
        <v>28</v>
      </c>
      <c r="J1249" s="0">
        <v>0</v>
      </c>
      <c r="K1249" s="0">
        <v>1</v>
      </c>
      <c r="L1249" s="0">
        <v>1</v>
      </c>
      <c r="M1249" s="0">
        <v>1</v>
      </c>
      <c r="N1249" s="0">
        <v>0</v>
      </c>
      <c r="O1249" s="0">
        <v>0</v>
      </c>
      <c r="P1249" s="0">
        <v>0</v>
      </c>
      <c r="Q1249" s="0" t="s">
        <v>618</v>
      </c>
      <c r="R1249" s="0" t="b">
        <v>0</v>
      </c>
      <c r="S1249" s="0" t="b">
        <v>0</v>
      </c>
      <c r="T1249" s="68">
        <v>44273.3946412037</v>
      </c>
      <c r="U1249" s="68">
        <v>44304.3333333333</v>
      </c>
      <c r="V1249" s="68">
        <v>46077.3743171296</v>
      </c>
      <c r="W1249" s="0">
        <f>IF(IF(B1249="none",1,IF(B1249="Trialer",1,0))+IF(C1249="Customer",1,IF(C1249="Lost",1,0))=2,1,0)</f>
      </c>
      <c r="X1249" s="0" t="s">
        <v>148</v>
      </c>
      <c r="Y1249" s="0" t="s">
        <v>243</v>
      </c>
      <c r="AV1249" s="68"/>
      <c r="AW1249" s="68"/>
      <c r="AY1249" s="27"/>
      <c r="BD1249" s="68">
        <v>46054.1666666667</v>
      </c>
      <c r="BE1249" s="68">
        <v>46082.1666666667</v>
      </c>
      <c r="BF1249" s="0" t="b">
        <v>0</v>
      </c>
      <c r="BG1249" s="0" t="b">
        <v>0</v>
      </c>
      <c r="BH1249" s="0">
        <v>28</v>
      </c>
      <c r="BI1249" s="0">
        <v>28</v>
      </c>
      <c r="BJ1249" s="0" t="s">
        <v>135</v>
      </c>
    </row>
    <row r="1250">
      <c r="A1250" s="0" t="s">
        <v>1458</v>
      </c>
      <c r="B1250" s="0" t="s">
        <v>134</v>
      </c>
      <c r="C1250" s="0" t="s">
        <v>134</v>
      </c>
      <c r="D1250" s="0" t="s">
        <v>135</v>
      </c>
      <c r="E1250" s="0" t="s">
        <v>3</v>
      </c>
      <c r="F1250" s="0" t="s">
        <v>10</v>
      </c>
      <c r="G1250" s="0" t="s">
        <v>8</v>
      </c>
      <c r="H1250" s="0">
        <v>1780</v>
      </c>
      <c r="I1250" s="0">
        <v>168</v>
      </c>
      <c r="J1250" s="0">
        <v>0</v>
      </c>
      <c r="K1250" s="0">
        <v>1</v>
      </c>
      <c r="L1250" s="0">
        <v>1</v>
      </c>
      <c r="M1250" s="0">
        <v>6</v>
      </c>
      <c r="N1250" s="0">
        <v>0</v>
      </c>
      <c r="O1250" s="0">
        <v>0</v>
      </c>
      <c r="P1250" s="0">
        <v>0</v>
      </c>
      <c r="Q1250" s="0" t="s">
        <v>618</v>
      </c>
      <c r="R1250" s="0" t="b">
        <v>0</v>
      </c>
      <c r="S1250" s="0" t="b">
        <v>1</v>
      </c>
      <c r="T1250" s="68">
        <v>44273.7879166667</v>
      </c>
      <c r="U1250" s="68">
        <v>44304.3333333333</v>
      </c>
      <c r="V1250" s="68">
        <v>0</v>
      </c>
      <c r="W1250" s="0">
        <f>IF(IF(B1250="none",1,IF(B1250="Trialer",1,0))+IF(C1250="Customer",1,IF(C1250="Lost",1,0))=2,1,0)</f>
      </c>
      <c r="X1250" s="0" t="s">
        <v>148</v>
      </c>
      <c r="Y1250" s="0" t="s">
        <v>243</v>
      </c>
      <c r="AV1250" s="68"/>
      <c r="AW1250" s="68"/>
      <c r="AY1250" s="27"/>
      <c r="BD1250" s="68">
        <v>46054.1666666667</v>
      </c>
      <c r="BE1250" s="68">
        <v>46082.1666666667</v>
      </c>
      <c r="BF1250" s="0" t="b">
        <v>0</v>
      </c>
      <c r="BG1250" s="0" t="b">
        <v>0</v>
      </c>
      <c r="BH1250" s="0">
        <v>168</v>
      </c>
      <c r="BI1250" s="0">
        <v>168</v>
      </c>
      <c r="BJ1250" s="0" t="s">
        <v>135</v>
      </c>
    </row>
    <row r="1251">
      <c r="A1251" s="0" t="s">
        <v>1459</v>
      </c>
      <c r="B1251" s="0" t="s">
        <v>134</v>
      </c>
      <c r="C1251" s="0" t="s">
        <v>134</v>
      </c>
      <c r="D1251" s="0" t="s">
        <v>135</v>
      </c>
      <c r="E1251" s="0" t="s">
        <v>3</v>
      </c>
      <c r="F1251" s="0" t="s">
        <v>12</v>
      </c>
      <c r="G1251" s="0" t="s">
        <v>8</v>
      </c>
      <c r="H1251" s="0">
        <v>1779</v>
      </c>
      <c r="I1251" s="0">
        <v>68</v>
      </c>
      <c r="J1251" s="0">
        <v>0</v>
      </c>
      <c r="K1251" s="0">
        <v>1</v>
      </c>
      <c r="L1251" s="0">
        <v>2</v>
      </c>
      <c r="M1251" s="0">
        <v>2</v>
      </c>
      <c r="N1251" s="0">
        <v>0</v>
      </c>
      <c r="O1251" s="0">
        <v>0</v>
      </c>
      <c r="P1251" s="0">
        <v>0</v>
      </c>
      <c r="R1251" s="0" t="b">
        <v>0</v>
      </c>
      <c r="S1251" s="0" t="b">
        <v>1</v>
      </c>
      <c r="T1251" s="68">
        <v>44274.6645833333</v>
      </c>
      <c r="U1251" s="68">
        <v>44305.5</v>
      </c>
      <c r="V1251" s="68">
        <v>0</v>
      </c>
      <c r="W1251" s="0">
        <f>IF(IF(B1251="none",1,IF(B1251="Trialer",1,0))+IF(C1251="Customer",1,IF(C1251="Lost",1,0))=2,1,0)</f>
      </c>
      <c r="X1251" s="0" t="s">
        <v>142</v>
      </c>
      <c r="Y1251" s="0" t="s">
        <v>243</v>
      </c>
      <c r="AV1251" s="68"/>
      <c r="AW1251" s="68"/>
      <c r="AY1251" s="27"/>
      <c r="BD1251" s="68">
        <v>46054.1666666667</v>
      </c>
      <c r="BE1251" s="68">
        <v>46082.1666666667</v>
      </c>
      <c r="BF1251" s="0" t="b">
        <v>0</v>
      </c>
      <c r="BG1251" s="0" t="b">
        <v>0</v>
      </c>
      <c r="BH1251" s="0">
        <v>68</v>
      </c>
      <c r="BI1251" s="0">
        <v>68</v>
      </c>
      <c r="BJ1251" s="0" t="s">
        <v>135</v>
      </c>
    </row>
    <row r="1252">
      <c r="A1252" s="0" t="s">
        <v>1460</v>
      </c>
      <c r="B1252" s="0" t="s">
        <v>134</v>
      </c>
      <c r="C1252" s="0" t="s">
        <v>134</v>
      </c>
      <c r="D1252" s="0" t="s">
        <v>230</v>
      </c>
      <c r="E1252" s="0" t="s">
        <v>3</v>
      </c>
      <c r="F1252" s="0" t="s">
        <v>12</v>
      </c>
      <c r="G1252" s="0" t="s">
        <v>8</v>
      </c>
      <c r="H1252" s="0">
        <v>1779</v>
      </c>
      <c r="I1252" s="0">
        <v>96</v>
      </c>
      <c r="J1252" s="0">
        <v>0</v>
      </c>
      <c r="K1252" s="0">
        <v>1</v>
      </c>
      <c r="L1252" s="0">
        <v>3</v>
      </c>
      <c r="M1252" s="0">
        <v>3</v>
      </c>
      <c r="N1252" s="0">
        <v>0</v>
      </c>
      <c r="O1252" s="0">
        <v>0</v>
      </c>
      <c r="P1252" s="0">
        <v>1056</v>
      </c>
      <c r="R1252" s="0" t="b">
        <v>0</v>
      </c>
      <c r="S1252" s="0" t="b">
        <v>0</v>
      </c>
      <c r="T1252" s="68">
        <v>44274.9201388889</v>
      </c>
      <c r="U1252" s="68">
        <v>44305.3333333333</v>
      </c>
      <c r="V1252" s="68">
        <v>46084.4838888889</v>
      </c>
      <c r="W1252" s="0">
        <f>IF(IF(B1252="none",1,IF(B1252="Trialer",1,0))+IF(C1252="Customer",1,IF(C1252="Lost",1,0))=2,1,0)</f>
      </c>
      <c r="X1252" s="0" t="s">
        <v>1461</v>
      </c>
      <c r="Y1252" s="0" t="s">
        <v>243</v>
      </c>
      <c r="AV1252" s="68"/>
      <c r="AW1252" s="68"/>
      <c r="AY1252" s="27"/>
      <c r="BD1252" s="68">
        <v>46054.1666666667</v>
      </c>
      <c r="BE1252" s="68">
        <v>46082.1666666667</v>
      </c>
      <c r="BF1252" s="0" t="b">
        <v>1</v>
      </c>
      <c r="BG1252" s="0" t="b">
        <v>1</v>
      </c>
      <c r="BH1252" s="0">
        <v>108</v>
      </c>
      <c r="BI1252" s="0">
        <v>108</v>
      </c>
      <c r="BJ1252" s="0" t="s">
        <v>230</v>
      </c>
    </row>
    <row r="1253">
      <c r="A1253" s="0" t="s">
        <v>1462</v>
      </c>
      <c r="B1253" s="0" t="s">
        <v>134</v>
      </c>
      <c r="C1253" s="0" t="s">
        <v>134</v>
      </c>
      <c r="D1253" s="0" t="s">
        <v>135</v>
      </c>
      <c r="E1253" s="0" t="s">
        <v>3</v>
      </c>
      <c r="F1253" s="0" t="s">
        <v>12</v>
      </c>
      <c r="G1253" s="0" t="s">
        <v>8</v>
      </c>
      <c r="H1253" s="0">
        <v>1779</v>
      </c>
      <c r="I1253" s="0">
        <v>0</v>
      </c>
      <c r="J1253" s="0">
        <v>0</v>
      </c>
      <c r="K1253" s="0">
        <v>1</v>
      </c>
      <c r="L1253" s="0">
        <v>2</v>
      </c>
      <c r="M1253" s="0">
        <v>1</v>
      </c>
      <c r="N1253" s="0">
        <v>0</v>
      </c>
      <c r="O1253" s="0">
        <v>0</v>
      </c>
      <c r="P1253" s="0">
        <v>0</v>
      </c>
      <c r="R1253" s="0" t="b">
        <v>0</v>
      </c>
      <c r="S1253" s="0" t="b">
        <v>1</v>
      </c>
      <c r="T1253" s="68">
        <v>44274.9212152778</v>
      </c>
      <c r="U1253" s="68">
        <v>44305.3333333333</v>
      </c>
      <c r="V1253" s="68">
        <v>0</v>
      </c>
      <c r="W1253" s="0">
        <f>IF(IF(B1253="none",1,IF(B1253="Trialer",1,0))+IF(C1253="Customer",1,IF(C1253="Lost",1,0))=2,1,0)</f>
      </c>
      <c r="X1253" s="0" t="s">
        <v>136</v>
      </c>
      <c r="Y1253" s="0" t="s">
        <v>243</v>
      </c>
      <c r="AV1253" s="68"/>
      <c r="AW1253" s="68"/>
      <c r="AY1253" s="27"/>
      <c r="BD1253" s="68">
        <v>46054.1666666667</v>
      </c>
      <c r="BE1253" s="68">
        <v>46082.1666666667</v>
      </c>
      <c r="BF1253" s="0" t="b">
        <v>0</v>
      </c>
      <c r="BG1253" s="0" t="b">
        <v>0</v>
      </c>
      <c r="BH1253" s="0">
        <v>0</v>
      </c>
      <c r="BI1253" s="0">
        <v>0</v>
      </c>
      <c r="BJ1253" s="0" t="s">
        <v>135</v>
      </c>
    </row>
    <row r="1254">
      <c r="A1254" s="0" t="s">
        <v>1463</v>
      </c>
      <c r="B1254" s="0" t="s">
        <v>134</v>
      </c>
      <c r="C1254" s="0" t="s">
        <v>134</v>
      </c>
      <c r="D1254" s="0" t="s">
        <v>135</v>
      </c>
      <c r="E1254" s="0" t="s">
        <v>3</v>
      </c>
      <c r="F1254" s="0" t="s">
        <v>12</v>
      </c>
      <c r="G1254" s="0" t="s">
        <v>8</v>
      </c>
      <c r="H1254" s="0">
        <v>1777</v>
      </c>
      <c r="I1254" s="0">
        <v>49</v>
      </c>
      <c r="J1254" s="0">
        <v>0</v>
      </c>
      <c r="K1254" s="0">
        <v>1</v>
      </c>
      <c r="L1254" s="0">
        <v>3</v>
      </c>
      <c r="M1254" s="0">
        <v>1</v>
      </c>
      <c r="N1254" s="0">
        <v>0</v>
      </c>
      <c r="O1254" s="0">
        <v>0</v>
      </c>
      <c r="P1254" s="0">
        <v>0</v>
      </c>
      <c r="R1254" s="0" t="b">
        <v>0</v>
      </c>
      <c r="S1254" s="0" t="b">
        <v>1</v>
      </c>
      <c r="T1254" s="68">
        <v>44276.5371412037</v>
      </c>
      <c r="U1254" s="68">
        <v>44307.3333333333</v>
      </c>
      <c r="V1254" s="68">
        <v>0</v>
      </c>
      <c r="W1254" s="0">
        <f>IF(IF(B1254="none",1,IF(B1254="Trialer",1,0))+IF(C1254="Customer",1,IF(C1254="Lost",1,0))=2,1,0)</f>
      </c>
      <c r="X1254" s="0" t="s">
        <v>166</v>
      </c>
      <c r="Y1254" s="0" t="s">
        <v>243</v>
      </c>
      <c r="AV1254" s="68"/>
      <c r="AW1254" s="68"/>
      <c r="AY1254" s="27"/>
      <c r="BD1254" s="68">
        <v>46054.1666666667</v>
      </c>
      <c r="BE1254" s="68">
        <v>46082.1666666667</v>
      </c>
      <c r="BF1254" s="0" t="b">
        <v>0</v>
      </c>
      <c r="BG1254" s="0" t="b">
        <v>0</v>
      </c>
      <c r="BH1254" s="0">
        <v>49</v>
      </c>
      <c r="BI1254" s="0">
        <v>49</v>
      </c>
      <c r="BJ1254" s="0" t="s">
        <v>135</v>
      </c>
    </row>
    <row r="1255">
      <c r="A1255" s="0" t="s">
        <v>1464</v>
      </c>
      <c r="B1255" s="0" t="s">
        <v>134</v>
      </c>
      <c r="C1255" s="0" t="s">
        <v>134</v>
      </c>
      <c r="D1255" s="0" t="s">
        <v>230</v>
      </c>
      <c r="E1255" s="0" t="s">
        <v>3</v>
      </c>
      <c r="F1255" s="0" t="s">
        <v>12</v>
      </c>
      <c r="G1255" s="0" t="s">
        <v>8</v>
      </c>
      <c r="H1255" s="0">
        <v>1776</v>
      </c>
      <c r="I1255" s="0">
        <v>968.75</v>
      </c>
      <c r="J1255" s="0">
        <v>0</v>
      </c>
      <c r="K1255" s="0">
        <v>2</v>
      </c>
      <c r="L1255" s="0">
        <v>4</v>
      </c>
      <c r="M1255" s="0">
        <v>6</v>
      </c>
      <c r="N1255" s="0">
        <v>0</v>
      </c>
      <c r="O1255" s="0">
        <v>0</v>
      </c>
      <c r="P1255" s="0">
        <v>-280</v>
      </c>
      <c r="R1255" s="0" t="b">
        <v>0</v>
      </c>
      <c r="S1255" s="0" t="b">
        <v>1</v>
      </c>
      <c r="T1255" s="68">
        <v>44277.5159722222</v>
      </c>
      <c r="U1255" s="68">
        <v>44322.3333333333</v>
      </c>
      <c r="V1255" s="68">
        <v>0</v>
      </c>
      <c r="W1255" s="0">
        <f>IF(IF(B1255="none",1,IF(B1255="Trialer",1,0))+IF(C1255="Customer",1,IF(C1255="Lost",1,0))=2,1,0)</f>
      </c>
      <c r="X1255" s="0" t="s">
        <v>145</v>
      </c>
      <c r="Y1255" s="0" t="s">
        <v>243</v>
      </c>
      <c r="AV1255" s="68"/>
      <c r="AW1255" s="68"/>
      <c r="AY1255" s="27"/>
      <c r="BD1255" s="68">
        <v>46054.1666666667</v>
      </c>
      <c r="BE1255" s="68">
        <v>46082.1666666667</v>
      </c>
      <c r="BF1255" s="0" t="b">
        <v>0</v>
      </c>
      <c r="BG1255" s="0" t="b">
        <v>0</v>
      </c>
      <c r="BH1255" s="0">
        <v>315</v>
      </c>
      <c r="BI1255" s="0">
        <v>315</v>
      </c>
      <c r="BJ1255" s="0" t="s">
        <v>230</v>
      </c>
    </row>
    <row r="1256">
      <c r="A1256" s="0" t="s">
        <v>1465</v>
      </c>
      <c r="B1256" s="0" t="s">
        <v>134</v>
      </c>
      <c r="C1256" s="0" t="s">
        <v>134</v>
      </c>
      <c r="D1256" s="0" t="s">
        <v>135</v>
      </c>
      <c r="E1256" s="0" t="s">
        <v>2</v>
      </c>
      <c r="F1256" s="0" t="s">
        <v>10</v>
      </c>
      <c r="G1256" s="0" t="s">
        <v>8</v>
      </c>
      <c r="H1256" s="0">
        <v>1776</v>
      </c>
      <c r="I1256" s="0">
        <v>1398.5</v>
      </c>
      <c r="J1256" s="0">
        <v>0</v>
      </c>
      <c r="K1256" s="0">
        <v>2</v>
      </c>
      <c r="L1256" s="0">
        <v>0</v>
      </c>
      <c r="M1256" s="0">
        <v>0</v>
      </c>
      <c r="N1256" s="0">
        <v>0</v>
      </c>
      <c r="O1256" s="0">
        <v>0</v>
      </c>
      <c r="P1256" s="0">
        <v>0</v>
      </c>
      <c r="Q1256" s="0" t="s">
        <v>1421</v>
      </c>
      <c r="R1256" s="0" t="b">
        <v>0</v>
      </c>
      <c r="S1256" s="0" t="b">
        <v>1</v>
      </c>
      <c r="T1256" s="68">
        <v>44277.5750115741</v>
      </c>
      <c r="U1256" s="68">
        <v>44350.3333333333</v>
      </c>
      <c r="V1256" s="68">
        <v>0</v>
      </c>
      <c r="W1256" s="0">
        <f>IF(IF(B1256="none",1,IF(B1256="Trialer",1,0))+IF(C1256="Customer",1,IF(C1256="Lost",1,0))=2,1,0)</f>
      </c>
      <c r="X1256" s="0" t="s">
        <v>145</v>
      </c>
      <c r="Y1256" s="0" t="s">
        <v>499</v>
      </c>
      <c r="AV1256" s="68"/>
      <c r="AW1256" s="68"/>
      <c r="AY1256" s="27"/>
      <c r="BD1256" s="68">
        <v>46054.1666666667</v>
      </c>
      <c r="BE1256" s="68">
        <v>46082.1666666667</v>
      </c>
      <c r="BF1256" s="0" t="b">
        <v>0</v>
      </c>
      <c r="BG1256" s="0" t="b">
        <v>0</v>
      </c>
      <c r="BH1256" s="0">
        <v>608</v>
      </c>
      <c r="BI1256" s="0">
        <v>608</v>
      </c>
      <c r="BJ1256" s="0" t="s">
        <v>135</v>
      </c>
    </row>
    <row r="1257">
      <c r="A1257" s="0" t="s">
        <v>1466</v>
      </c>
      <c r="B1257" s="0" t="s">
        <v>134</v>
      </c>
      <c r="C1257" s="0" t="s">
        <v>134</v>
      </c>
      <c r="D1257" s="0" t="s">
        <v>135</v>
      </c>
      <c r="E1257" s="0" t="s">
        <v>3</v>
      </c>
      <c r="F1257" s="0" t="s">
        <v>12</v>
      </c>
      <c r="G1257" s="0" t="s">
        <v>8</v>
      </c>
      <c r="H1257" s="0">
        <v>1775</v>
      </c>
      <c r="I1257" s="0">
        <v>79</v>
      </c>
      <c r="J1257" s="0">
        <v>0</v>
      </c>
      <c r="K1257" s="0">
        <v>1</v>
      </c>
      <c r="L1257" s="0">
        <v>4</v>
      </c>
      <c r="M1257" s="0">
        <v>2</v>
      </c>
      <c r="N1257" s="0">
        <v>0</v>
      </c>
      <c r="O1257" s="0">
        <v>0</v>
      </c>
      <c r="P1257" s="0">
        <v>0</v>
      </c>
      <c r="R1257" s="0" t="b">
        <v>0</v>
      </c>
      <c r="S1257" s="0" t="b">
        <v>1</v>
      </c>
      <c r="T1257" s="68">
        <v>44278.7166666667</v>
      </c>
      <c r="U1257" s="68">
        <v>44328.3333333333</v>
      </c>
      <c r="V1257" s="68">
        <v>0</v>
      </c>
      <c r="W1257" s="0">
        <f>IF(IF(B1257="none",1,IF(B1257="Trialer",1,0))+IF(C1257="Customer",1,IF(C1257="Lost",1,0))=2,1,0)</f>
      </c>
      <c r="X1257" s="0" t="s">
        <v>142</v>
      </c>
      <c r="Y1257" s="0" t="s">
        <v>243</v>
      </c>
      <c r="AV1257" s="68"/>
      <c r="AW1257" s="68"/>
      <c r="AY1257" s="27"/>
      <c r="BD1257" s="68">
        <v>46054.1666666667</v>
      </c>
      <c r="BE1257" s="68">
        <v>46082.1666666667</v>
      </c>
      <c r="BF1257" s="0" t="b">
        <v>0</v>
      </c>
      <c r="BG1257" s="0" t="b">
        <v>0</v>
      </c>
      <c r="BH1257" s="0">
        <v>79</v>
      </c>
      <c r="BI1257" s="0">
        <v>79</v>
      </c>
      <c r="BJ1257" s="0" t="s">
        <v>135</v>
      </c>
    </row>
    <row r="1258">
      <c r="A1258" s="0" t="s">
        <v>1467</v>
      </c>
      <c r="B1258" s="0" t="s">
        <v>134</v>
      </c>
      <c r="C1258" s="0" t="s">
        <v>134</v>
      </c>
      <c r="D1258" s="0" t="s">
        <v>135</v>
      </c>
      <c r="E1258" s="0" t="s">
        <v>3</v>
      </c>
      <c r="F1258" s="0" t="s">
        <v>12</v>
      </c>
      <c r="G1258" s="0" t="s">
        <v>8</v>
      </c>
      <c r="H1258" s="0">
        <v>1775</v>
      </c>
      <c r="I1258" s="0">
        <v>647.32</v>
      </c>
      <c r="J1258" s="0">
        <v>0</v>
      </c>
      <c r="K1258" s="0">
        <v>1</v>
      </c>
      <c r="L1258" s="0">
        <v>5</v>
      </c>
      <c r="M1258" s="0">
        <v>6</v>
      </c>
      <c r="N1258" s="0">
        <v>976.5</v>
      </c>
      <c r="O1258" s="0">
        <v>0</v>
      </c>
      <c r="P1258" s="0">
        <v>0</v>
      </c>
      <c r="R1258" s="0" t="b">
        <v>0</v>
      </c>
      <c r="S1258" s="0" t="b">
        <v>1</v>
      </c>
      <c r="T1258" s="68">
        <v>44278.9307291667</v>
      </c>
      <c r="U1258" s="68">
        <v>44309.3333333333</v>
      </c>
      <c r="V1258" s="68">
        <v>0</v>
      </c>
      <c r="W1258" s="0">
        <f>IF(IF(B1258="none",1,IF(B1258="Trialer",1,0))+IF(C1258="Customer",1,IF(C1258="Lost",1,0))=2,1,0)</f>
      </c>
      <c r="X1258" s="0" t="s">
        <v>136</v>
      </c>
      <c r="Y1258" s="0" t="s">
        <v>243</v>
      </c>
      <c r="AV1258" s="68"/>
      <c r="AW1258" s="68"/>
      <c r="AY1258" s="27"/>
      <c r="BD1258" s="68">
        <v>46054.1666666667</v>
      </c>
      <c r="BE1258" s="68">
        <v>46082.1666666667</v>
      </c>
      <c r="BF1258" s="0" t="b">
        <v>0</v>
      </c>
      <c r="BG1258" s="0" t="b">
        <v>0</v>
      </c>
      <c r="BH1258" s="0">
        <v>329.5</v>
      </c>
      <c r="BI1258" s="0">
        <v>329.23</v>
      </c>
      <c r="BJ1258" s="0" t="s">
        <v>135</v>
      </c>
    </row>
    <row r="1259">
      <c r="A1259" s="0" t="s">
        <v>1468</v>
      </c>
      <c r="B1259" s="0" t="s">
        <v>134</v>
      </c>
      <c r="C1259" s="0" t="s">
        <v>134</v>
      </c>
      <c r="D1259" s="0" t="s">
        <v>135</v>
      </c>
      <c r="E1259" s="0" t="s">
        <v>3</v>
      </c>
      <c r="F1259" s="0" t="s">
        <v>12</v>
      </c>
      <c r="G1259" s="0" t="s">
        <v>8</v>
      </c>
      <c r="H1259" s="0">
        <v>1774</v>
      </c>
      <c r="I1259" s="0">
        <v>135</v>
      </c>
      <c r="J1259" s="0">
        <v>0</v>
      </c>
      <c r="K1259" s="0">
        <v>1</v>
      </c>
      <c r="L1259" s="0">
        <v>3</v>
      </c>
      <c r="M1259" s="0">
        <v>3</v>
      </c>
      <c r="N1259" s="0">
        <v>0</v>
      </c>
      <c r="O1259" s="0">
        <v>0</v>
      </c>
      <c r="P1259" s="0">
        <v>0</v>
      </c>
      <c r="R1259" s="0" t="b">
        <v>0</v>
      </c>
      <c r="S1259" s="0" t="b">
        <v>1</v>
      </c>
      <c r="T1259" s="68">
        <v>44279.5813541667</v>
      </c>
      <c r="U1259" s="68">
        <v>44310.3333333333</v>
      </c>
      <c r="V1259" s="68">
        <v>0</v>
      </c>
      <c r="W1259" s="0">
        <f>IF(IF(B1259="none",1,IF(B1259="Trialer",1,0))+IF(C1259="Customer",1,IF(C1259="Lost",1,0))=2,1,0)</f>
      </c>
      <c r="X1259" s="0" t="s">
        <v>166</v>
      </c>
      <c r="Y1259" s="0" t="s">
        <v>243</v>
      </c>
      <c r="AV1259" s="68"/>
      <c r="AW1259" s="68"/>
      <c r="AY1259" s="27"/>
      <c r="BD1259" s="68">
        <v>46054.1666666667</v>
      </c>
      <c r="BE1259" s="68">
        <v>46082.1666666667</v>
      </c>
      <c r="BF1259" s="0" t="b">
        <v>0</v>
      </c>
      <c r="BG1259" s="0" t="b">
        <v>0</v>
      </c>
      <c r="BH1259" s="0">
        <v>135</v>
      </c>
      <c r="BI1259" s="0">
        <v>135</v>
      </c>
      <c r="BJ1259" s="0" t="s">
        <v>135</v>
      </c>
    </row>
    <row r="1260">
      <c r="A1260" s="0" t="s">
        <v>1469</v>
      </c>
      <c r="B1260" s="0" t="s">
        <v>134</v>
      </c>
      <c r="C1260" s="0" t="s">
        <v>134</v>
      </c>
      <c r="D1260" s="0" t="s">
        <v>135</v>
      </c>
      <c r="E1260" s="0" t="s">
        <v>2</v>
      </c>
      <c r="F1260" s="0" t="s">
        <v>12</v>
      </c>
      <c r="G1260" s="0" t="s">
        <v>8</v>
      </c>
      <c r="H1260" s="0">
        <v>1773</v>
      </c>
      <c r="I1260" s="0">
        <v>117</v>
      </c>
      <c r="J1260" s="0">
        <v>0</v>
      </c>
      <c r="K1260" s="0">
        <v>1</v>
      </c>
      <c r="L1260" s="0">
        <v>3</v>
      </c>
      <c r="M1260" s="0">
        <v>3</v>
      </c>
      <c r="N1260" s="0">
        <v>0</v>
      </c>
      <c r="O1260" s="0">
        <v>0</v>
      </c>
      <c r="P1260" s="0">
        <v>0</v>
      </c>
      <c r="R1260" s="0" t="b">
        <v>0</v>
      </c>
      <c r="S1260" s="0" t="b">
        <v>1</v>
      </c>
      <c r="T1260" s="68">
        <v>44280.4649652778</v>
      </c>
      <c r="U1260" s="68">
        <v>44311.3333333333</v>
      </c>
      <c r="V1260" s="68">
        <v>0</v>
      </c>
      <c r="W1260" s="0">
        <f>IF(IF(B1260="none",1,IF(B1260="Trialer",1,0))+IF(C1260="Customer",1,IF(C1260="Lost",1,0))=2,1,0)</f>
      </c>
      <c r="X1260" s="0" t="s">
        <v>142</v>
      </c>
      <c r="Y1260" s="0" t="s">
        <v>499</v>
      </c>
      <c r="AV1260" s="68"/>
      <c r="AW1260" s="68"/>
      <c r="AY1260" s="27"/>
      <c r="BD1260" s="68">
        <v>46054.1666666667</v>
      </c>
      <c r="BE1260" s="68">
        <v>46082.1666666667</v>
      </c>
      <c r="BF1260" s="0" t="b">
        <v>0</v>
      </c>
      <c r="BG1260" s="0" t="b">
        <v>0</v>
      </c>
      <c r="BH1260" s="0">
        <v>117</v>
      </c>
      <c r="BI1260" s="0">
        <v>117</v>
      </c>
      <c r="BJ1260" s="0" t="s">
        <v>135</v>
      </c>
    </row>
    <row r="1261">
      <c r="A1261" s="0" t="s">
        <v>1470</v>
      </c>
      <c r="B1261" s="0" t="s">
        <v>134</v>
      </c>
      <c r="C1261" s="0" t="s">
        <v>134</v>
      </c>
      <c r="D1261" s="0" t="s">
        <v>135</v>
      </c>
      <c r="E1261" s="0" t="s">
        <v>2</v>
      </c>
      <c r="F1261" s="0" t="s">
        <v>12</v>
      </c>
      <c r="G1261" s="0" t="s">
        <v>8</v>
      </c>
      <c r="H1261" s="0">
        <v>1773</v>
      </c>
      <c r="I1261" s="0">
        <v>239</v>
      </c>
      <c r="J1261" s="0">
        <v>0</v>
      </c>
      <c r="K1261" s="0">
        <v>1</v>
      </c>
      <c r="L1261" s="0">
        <v>4</v>
      </c>
      <c r="M1261" s="0">
        <v>5</v>
      </c>
      <c r="N1261" s="0">
        <v>0</v>
      </c>
      <c r="O1261" s="0">
        <v>0</v>
      </c>
      <c r="P1261" s="0">
        <v>0</v>
      </c>
      <c r="R1261" s="0" t="b">
        <v>0</v>
      </c>
      <c r="S1261" s="0" t="b">
        <v>1</v>
      </c>
      <c r="T1261" s="68">
        <v>44280.5502777778</v>
      </c>
      <c r="U1261" s="68">
        <v>44312.3333333333</v>
      </c>
      <c r="V1261" s="68">
        <v>0</v>
      </c>
      <c r="W1261" s="0">
        <f>IF(IF(B1261="none",1,IF(B1261="Trialer",1,0))+IF(C1261="Customer",1,IF(C1261="Lost",1,0))=2,1,0)</f>
      </c>
      <c r="X1261" s="0" t="s">
        <v>136</v>
      </c>
      <c r="Y1261" s="0" t="s">
        <v>499</v>
      </c>
      <c r="AV1261" s="68"/>
      <c r="AW1261" s="68"/>
      <c r="AY1261" s="27"/>
      <c r="BD1261" s="68">
        <v>46054.1666666667</v>
      </c>
      <c r="BE1261" s="68">
        <v>46082.1666666667</v>
      </c>
      <c r="BF1261" s="0" t="b">
        <v>0</v>
      </c>
      <c r="BG1261" s="0" t="b">
        <v>0</v>
      </c>
      <c r="BH1261" s="0">
        <v>227</v>
      </c>
      <c r="BI1261" s="0">
        <v>227</v>
      </c>
      <c r="BJ1261" s="0" t="s">
        <v>135</v>
      </c>
    </row>
    <row r="1262">
      <c r="A1262" s="0" t="s">
        <v>1471</v>
      </c>
      <c r="B1262" s="0" t="s">
        <v>134</v>
      </c>
      <c r="C1262" s="0" t="s">
        <v>134</v>
      </c>
      <c r="D1262" s="0" t="s">
        <v>230</v>
      </c>
      <c r="E1262" s="0" t="s">
        <v>2</v>
      </c>
      <c r="F1262" s="0" t="s">
        <v>12</v>
      </c>
      <c r="G1262" s="0" t="s">
        <v>8</v>
      </c>
      <c r="H1262" s="0">
        <v>1769</v>
      </c>
      <c r="I1262" s="0">
        <v>176</v>
      </c>
      <c r="J1262" s="0">
        <v>0</v>
      </c>
      <c r="K1262" s="0">
        <v>1</v>
      </c>
      <c r="L1262" s="0">
        <v>3</v>
      </c>
      <c r="M1262" s="0">
        <v>4</v>
      </c>
      <c r="N1262" s="0">
        <v>0</v>
      </c>
      <c r="O1262" s="0">
        <v>0</v>
      </c>
      <c r="P1262" s="0">
        <v>-176</v>
      </c>
      <c r="R1262" s="0" t="b">
        <v>0</v>
      </c>
      <c r="S1262" s="0" t="b">
        <v>1</v>
      </c>
      <c r="T1262" s="68">
        <v>44284.4726157407</v>
      </c>
      <c r="U1262" s="68">
        <v>44315.3333333333</v>
      </c>
      <c r="V1262" s="68">
        <v>0</v>
      </c>
      <c r="W1262" s="0">
        <f>IF(IF(B1262="none",1,IF(B1262="Trialer",1,0))+IF(C1262="Customer",1,IF(C1262="Lost",1,0))=2,1,0)</f>
      </c>
      <c r="X1262" s="0" t="s">
        <v>145</v>
      </c>
      <c r="Y1262" s="0" t="s">
        <v>499</v>
      </c>
      <c r="AV1262" s="68"/>
      <c r="AW1262" s="68"/>
      <c r="AY1262" s="27"/>
      <c r="BD1262" s="68">
        <v>46054.1666666667</v>
      </c>
      <c r="BE1262" s="68">
        <v>46082.1666666667</v>
      </c>
      <c r="BF1262" s="0" t="b">
        <v>0</v>
      </c>
      <c r="BG1262" s="0" t="b">
        <v>0</v>
      </c>
      <c r="BH1262" s="0">
        <v>196</v>
      </c>
      <c r="BI1262" s="0">
        <v>196</v>
      </c>
      <c r="BJ1262" s="0" t="s">
        <v>230</v>
      </c>
    </row>
    <row r="1263">
      <c r="A1263" s="0" t="s">
        <v>1472</v>
      </c>
      <c r="B1263" s="0" t="s">
        <v>134</v>
      </c>
      <c r="C1263" s="0" t="s">
        <v>134</v>
      </c>
      <c r="D1263" s="0" t="s">
        <v>135</v>
      </c>
      <c r="E1263" s="0" t="s">
        <v>2</v>
      </c>
      <c r="F1263" s="0" t="s">
        <v>12</v>
      </c>
      <c r="G1263" s="0" t="s">
        <v>8</v>
      </c>
      <c r="H1263" s="0">
        <v>1769</v>
      </c>
      <c r="I1263" s="0">
        <v>147</v>
      </c>
      <c r="J1263" s="0">
        <v>0</v>
      </c>
      <c r="K1263" s="0">
        <v>1</v>
      </c>
      <c r="L1263" s="0">
        <v>3</v>
      </c>
      <c r="M1263" s="0">
        <v>3</v>
      </c>
      <c r="N1263" s="0">
        <v>0</v>
      </c>
      <c r="O1263" s="0">
        <v>0</v>
      </c>
      <c r="P1263" s="0">
        <v>0</v>
      </c>
      <c r="R1263" s="0" t="b">
        <v>0</v>
      </c>
      <c r="S1263" s="0" t="b">
        <v>1</v>
      </c>
      <c r="T1263" s="68">
        <v>44284.5</v>
      </c>
      <c r="U1263" s="68">
        <v>44284.3333333333</v>
      </c>
      <c r="V1263" s="68">
        <v>0</v>
      </c>
      <c r="W1263" s="0">
        <f>IF(IF(B1263="none",1,IF(B1263="Trialer",1,0))+IF(C1263="Customer",1,IF(C1263="Lost",1,0))=2,1,0)</f>
      </c>
      <c r="X1263" s="0" t="s">
        <v>148</v>
      </c>
      <c r="Y1263" s="0" t="s">
        <v>499</v>
      </c>
      <c r="AV1263" s="68"/>
      <c r="AW1263" s="68"/>
      <c r="AY1263" s="27"/>
      <c r="BD1263" s="68">
        <v>46054.1666666667</v>
      </c>
      <c r="BE1263" s="68">
        <v>46082.1666666667</v>
      </c>
      <c r="BF1263" s="0" t="b">
        <v>0</v>
      </c>
      <c r="BG1263" s="0" t="b">
        <v>0</v>
      </c>
      <c r="BH1263" s="0">
        <v>147</v>
      </c>
      <c r="BI1263" s="0">
        <v>147</v>
      </c>
      <c r="BJ1263" s="0" t="s">
        <v>135</v>
      </c>
    </row>
    <row r="1264">
      <c r="A1264" s="0" t="s">
        <v>1473</v>
      </c>
      <c r="B1264" s="0" t="s">
        <v>134</v>
      </c>
      <c r="C1264" s="0" t="s">
        <v>134</v>
      </c>
      <c r="D1264" s="0" t="s">
        <v>230</v>
      </c>
      <c r="E1264" s="0" t="s">
        <v>3</v>
      </c>
      <c r="F1264" s="0" t="s">
        <v>12</v>
      </c>
      <c r="G1264" s="0" t="s">
        <v>8</v>
      </c>
      <c r="H1264" s="0">
        <v>1769</v>
      </c>
      <c r="I1264" s="0">
        <v>422</v>
      </c>
      <c r="J1264" s="0">
        <v>0</v>
      </c>
      <c r="K1264" s="0">
        <v>1</v>
      </c>
      <c r="L1264" s="0">
        <v>4</v>
      </c>
      <c r="M1264" s="0">
        <v>8</v>
      </c>
      <c r="N1264" s="0">
        <v>0</v>
      </c>
      <c r="O1264" s="0">
        <v>0</v>
      </c>
      <c r="P1264" s="0">
        <v>-422</v>
      </c>
      <c r="R1264" s="0" t="b">
        <v>0</v>
      </c>
      <c r="S1264" s="0" t="b">
        <v>1</v>
      </c>
      <c r="T1264" s="68">
        <v>44284.6393055556</v>
      </c>
      <c r="U1264" s="68">
        <v>44315.3333333333</v>
      </c>
      <c r="V1264" s="68">
        <v>0</v>
      </c>
      <c r="W1264" s="0">
        <f>IF(IF(B1264="none",1,IF(B1264="Trialer",1,0))+IF(C1264="Customer",1,IF(C1264="Lost",1,0))=2,1,0)</f>
      </c>
      <c r="X1264" s="0" t="s">
        <v>136</v>
      </c>
      <c r="Y1264" s="0" t="s">
        <v>243</v>
      </c>
      <c r="AV1264" s="68"/>
      <c r="AW1264" s="68"/>
      <c r="AY1264" s="27"/>
      <c r="BD1264" s="68">
        <v>46054.1666666667</v>
      </c>
      <c r="BE1264" s="68">
        <v>46082.1666666667</v>
      </c>
      <c r="BF1264" s="0" t="b">
        <v>0</v>
      </c>
      <c r="BG1264" s="0" t="b">
        <v>0</v>
      </c>
      <c r="BH1264" s="0">
        <v>476</v>
      </c>
      <c r="BI1264" s="0">
        <v>476</v>
      </c>
      <c r="BJ1264" s="0" t="s">
        <v>230</v>
      </c>
    </row>
    <row r="1265">
      <c r="A1265" s="0" t="s">
        <v>1474</v>
      </c>
      <c r="B1265" s="0" t="s">
        <v>134</v>
      </c>
      <c r="C1265" s="0" t="s">
        <v>134</v>
      </c>
      <c r="D1265" s="0" t="s">
        <v>135</v>
      </c>
      <c r="E1265" s="0" t="s">
        <v>2</v>
      </c>
      <c r="F1265" s="0" t="s">
        <v>12</v>
      </c>
      <c r="G1265" s="0" t="s">
        <v>8</v>
      </c>
      <c r="H1265" s="0">
        <v>1768</v>
      </c>
      <c r="I1265" s="0">
        <v>28</v>
      </c>
      <c r="J1265" s="0">
        <v>0</v>
      </c>
      <c r="K1265" s="0">
        <v>1</v>
      </c>
      <c r="L1265" s="0">
        <v>1</v>
      </c>
      <c r="M1265" s="0">
        <v>1</v>
      </c>
      <c r="N1265" s="0">
        <v>0</v>
      </c>
      <c r="O1265" s="0">
        <v>0</v>
      </c>
      <c r="P1265" s="0">
        <v>0</v>
      </c>
      <c r="R1265" s="0" t="b">
        <v>0</v>
      </c>
      <c r="S1265" s="0" t="b">
        <v>1</v>
      </c>
      <c r="T1265" s="68">
        <v>44285.6704398148</v>
      </c>
      <c r="U1265" s="68">
        <v>44316.3333333333</v>
      </c>
      <c r="V1265" s="68">
        <v>0</v>
      </c>
      <c r="W1265" s="0">
        <f>IF(IF(B1265="none",1,IF(B1265="Trialer",1,0))+IF(C1265="Customer",1,IF(C1265="Lost",1,0))=2,1,0)</f>
      </c>
      <c r="X1265" s="0" t="s">
        <v>142</v>
      </c>
      <c r="Y1265" s="0" t="s">
        <v>499</v>
      </c>
      <c r="AV1265" s="68"/>
      <c r="AW1265" s="68"/>
      <c r="AY1265" s="27"/>
      <c r="BD1265" s="68">
        <v>46054.1666666667</v>
      </c>
      <c r="BE1265" s="68">
        <v>46082.1666666667</v>
      </c>
      <c r="BF1265" s="0" t="b">
        <v>0</v>
      </c>
      <c r="BG1265" s="0" t="b">
        <v>0</v>
      </c>
      <c r="BH1265" s="0">
        <v>28</v>
      </c>
      <c r="BI1265" s="0">
        <v>28</v>
      </c>
      <c r="BJ1265" s="0" t="s">
        <v>135</v>
      </c>
    </row>
    <row r="1266">
      <c r="A1266" s="0" t="s">
        <v>1475</v>
      </c>
      <c r="B1266" s="0" t="s">
        <v>134</v>
      </c>
      <c r="C1266" s="0" t="s">
        <v>134</v>
      </c>
      <c r="D1266" s="0" t="s">
        <v>135</v>
      </c>
      <c r="E1266" s="0" t="s">
        <v>3</v>
      </c>
      <c r="F1266" s="0" t="s">
        <v>12</v>
      </c>
      <c r="G1266" s="0" t="s">
        <v>8</v>
      </c>
      <c r="H1266" s="0">
        <v>1766</v>
      </c>
      <c r="I1266" s="0">
        <v>49</v>
      </c>
      <c r="J1266" s="0">
        <v>0</v>
      </c>
      <c r="K1266" s="0">
        <v>1</v>
      </c>
      <c r="L1266" s="0">
        <v>3</v>
      </c>
      <c r="M1266" s="0">
        <v>1</v>
      </c>
      <c r="N1266" s="0">
        <v>232.5</v>
      </c>
      <c r="O1266" s="0">
        <v>0</v>
      </c>
      <c r="P1266" s="0">
        <v>0</v>
      </c>
      <c r="R1266" s="0" t="b">
        <v>0</v>
      </c>
      <c r="S1266" s="0" t="b">
        <v>1</v>
      </c>
      <c r="T1266" s="68">
        <v>44287.9364930556</v>
      </c>
      <c r="U1266" s="68">
        <v>44372.3333333333</v>
      </c>
      <c r="V1266" s="68">
        <v>0</v>
      </c>
      <c r="W1266" s="0">
        <f>IF(IF(B1266="none",1,IF(B1266="Trialer",1,0))+IF(C1266="Customer",1,IF(C1266="Lost",1,0))=2,1,0)</f>
      </c>
      <c r="X1266" s="0" t="s">
        <v>142</v>
      </c>
      <c r="Y1266" s="0" t="s">
        <v>243</v>
      </c>
      <c r="AV1266" s="68"/>
      <c r="AW1266" s="68"/>
      <c r="AY1266" s="27"/>
      <c r="BD1266" s="68">
        <v>46054.1666666667</v>
      </c>
      <c r="BE1266" s="68">
        <v>46082.1666666667</v>
      </c>
      <c r="BF1266" s="0" t="b">
        <v>0</v>
      </c>
      <c r="BG1266" s="0" t="b">
        <v>0</v>
      </c>
      <c r="BH1266" s="0">
        <v>49</v>
      </c>
      <c r="BI1266" s="0">
        <v>49</v>
      </c>
      <c r="BJ1266" s="0" t="s">
        <v>135</v>
      </c>
    </row>
    <row r="1267">
      <c r="A1267" s="0" t="s">
        <v>1476</v>
      </c>
      <c r="B1267" s="0" t="s">
        <v>134</v>
      </c>
      <c r="C1267" s="0" t="s">
        <v>134</v>
      </c>
      <c r="D1267" s="0" t="s">
        <v>135</v>
      </c>
      <c r="E1267" s="0" t="s">
        <v>3</v>
      </c>
      <c r="F1267" s="0" t="s">
        <v>12</v>
      </c>
      <c r="G1267" s="0" t="s">
        <v>8</v>
      </c>
      <c r="H1267" s="0">
        <v>1765</v>
      </c>
      <c r="I1267" s="0">
        <v>135</v>
      </c>
      <c r="J1267" s="0">
        <v>0</v>
      </c>
      <c r="K1267" s="0">
        <v>1</v>
      </c>
      <c r="L1267" s="0">
        <v>3</v>
      </c>
      <c r="M1267" s="0">
        <v>3</v>
      </c>
      <c r="N1267" s="0">
        <v>0</v>
      </c>
      <c r="O1267" s="0">
        <v>0</v>
      </c>
      <c r="P1267" s="0">
        <v>0</v>
      </c>
      <c r="R1267" s="0" t="b">
        <v>0</v>
      </c>
      <c r="S1267" s="0" t="b">
        <v>1</v>
      </c>
      <c r="T1267" s="68">
        <v>44288.6966782407</v>
      </c>
      <c r="U1267" s="68">
        <v>44318.3333333333</v>
      </c>
      <c r="V1267" s="68">
        <v>0</v>
      </c>
      <c r="W1267" s="0">
        <f>IF(IF(B1267="none",1,IF(B1267="Trialer",1,0))+IF(C1267="Customer",1,IF(C1267="Lost",1,0))=2,1,0)</f>
      </c>
      <c r="X1267" s="0" t="s">
        <v>142</v>
      </c>
      <c r="Y1267" s="0" t="s">
        <v>243</v>
      </c>
      <c r="AV1267" s="68"/>
      <c r="AW1267" s="68"/>
      <c r="AY1267" s="27"/>
      <c r="BD1267" s="68">
        <v>46054.1666666667</v>
      </c>
      <c r="BE1267" s="68">
        <v>46082.1666666667</v>
      </c>
      <c r="BF1267" s="0" t="b">
        <v>0</v>
      </c>
      <c r="BG1267" s="0" t="b">
        <v>0</v>
      </c>
      <c r="BH1267" s="0">
        <v>135</v>
      </c>
      <c r="BI1267" s="0">
        <v>135</v>
      </c>
      <c r="BJ1267" s="0" t="s">
        <v>135</v>
      </c>
    </row>
    <row r="1268">
      <c r="A1268" s="0" t="s">
        <v>1477</v>
      </c>
      <c r="B1268" s="0" t="s">
        <v>134</v>
      </c>
      <c r="C1268" s="0" t="s">
        <v>134</v>
      </c>
      <c r="D1268" s="0" t="s">
        <v>135</v>
      </c>
      <c r="E1268" s="0" t="s">
        <v>3</v>
      </c>
      <c r="F1268" s="0" t="s">
        <v>10</v>
      </c>
      <c r="G1268" s="0" t="s">
        <v>8</v>
      </c>
      <c r="H1268" s="0">
        <v>1762</v>
      </c>
      <c r="I1268" s="0">
        <v>292</v>
      </c>
      <c r="J1268" s="0">
        <v>0</v>
      </c>
      <c r="K1268" s="0">
        <v>1</v>
      </c>
      <c r="L1268" s="0">
        <v>3</v>
      </c>
      <c r="M1268" s="0">
        <v>7</v>
      </c>
      <c r="N1268" s="0">
        <v>0</v>
      </c>
      <c r="O1268" s="0">
        <v>0</v>
      </c>
      <c r="P1268" s="0">
        <v>0</v>
      </c>
      <c r="Q1268" s="0" t="s">
        <v>618</v>
      </c>
      <c r="R1268" s="0" t="b">
        <v>0</v>
      </c>
      <c r="S1268" s="0" t="b">
        <v>1</v>
      </c>
      <c r="T1268" s="68">
        <v>44291.4893634259</v>
      </c>
      <c r="U1268" s="68">
        <v>44321.3333333333</v>
      </c>
      <c r="V1268" s="68">
        <v>0</v>
      </c>
      <c r="W1268" s="0">
        <f>IF(IF(B1268="none",1,IF(B1268="Trialer",1,0))+IF(C1268="Customer",1,IF(C1268="Lost",1,0))=2,1,0)</f>
      </c>
      <c r="X1268" s="0" t="s">
        <v>148</v>
      </c>
      <c r="Y1268" s="0" t="s">
        <v>243</v>
      </c>
      <c r="AV1268" s="68"/>
      <c r="AW1268" s="68"/>
      <c r="AY1268" s="27"/>
      <c r="BD1268" s="68">
        <v>46054.1666666667</v>
      </c>
      <c r="BE1268" s="68">
        <v>46082.1666666667</v>
      </c>
      <c r="BF1268" s="0" t="b">
        <v>0</v>
      </c>
      <c r="BG1268" s="0" t="b">
        <v>0</v>
      </c>
      <c r="BH1268" s="0">
        <v>264</v>
      </c>
      <c r="BI1268" s="0">
        <v>264</v>
      </c>
      <c r="BJ1268" s="0" t="s">
        <v>135</v>
      </c>
    </row>
    <row r="1269">
      <c r="A1269" s="0" t="s">
        <v>1478</v>
      </c>
      <c r="B1269" s="0" t="s">
        <v>134</v>
      </c>
      <c r="C1269" s="0" t="s">
        <v>134</v>
      </c>
      <c r="D1269" s="0" t="s">
        <v>135</v>
      </c>
      <c r="E1269" s="0" t="s">
        <v>2</v>
      </c>
      <c r="F1269" s="0" t="s">
        <v>12</v>
      </c>
      <c r="G1269" s="0" t="s">
        <v>8</v>
      </c>
      <c r="H1269" s="0">
        <v>1762</v>
      </c>
      <c r="I1269" s="0">
        <v>98</v>
      </c>
      <c r="J1269" s="0">
        <v>0</v>
      </c>
      <c r="K1269" s="0">
        <v>1</v>
      </c>
      <c r="L1269" s="0">
        <v>3</v>
      </c>
      <c r="M1269" s="0">
        <v>2</v>
      </c>
      <c r="N1269" s="0">
        <v>0</v>
      </c>
      <c r="O1269" s="0">
        <v>0</v>
      </c>
      <c r="P1269" s="0">
        <v>0</v>
      </c>
      <c r="R1269" s="0" t="b">
        <v>0</v>
      </c>
      <c r="S1269" s="0" t="b">
        <v>1</v>
      </c>
      <c r="T1269" s="68">
        <v>44291.6412847222</v>
      </c>
      <c r="U1269" s="68">
        <v>44321.3333333333</v>
      </c>
      <c r="V1269" s="68">
        <v>0</v>
      </c>
      <c r="W1269" s="0">
        <f>IF(IF(B1269="none",1,IF(B1269="Trialer",1,0))+IF(C1269="Customer",1,IF(C1269="Lost",1,0))=2,1,0)</f>
      </c>
      <c r="X1269" s="0" t="s">
        <v>142</v>
      </c>
      <c r="Y1269" s="0" t="s">
        <v>499</v>
      </c>
      <c r="AV1269" s="68"/>
      <c r="AW1269" s="68"/>
      <c r="AY1269" s="27"/>
      <c r="BD1269" s="68">
        <v>46054.1666666667</v>
      </c>
      <c r="BE1269" s="68">
        <v>46082.1666666667</v>
      </c>
      <c r="BF1269" s="0" t="b">
        <v>0</v>
      </c>
      <c r="BG1269" s="0" t="b">
        <v>0</v>
      </c>
      <c r="BH1269" s="0">
        <v>98</v>
      </c>
      <c r="BI1269" s="0">
        <v>98</v>
      </c>
      <c r="BJ1269" s="0" t="s">
        <v>135</v>
      </c>
    </row>
    <row r="1270">
      <c r="A1270" s="0" t="s">
        <v>1479</v>
      </c>
      <c r="B1270" s="0" t="s">
        <v>134</v>
      </c>
      <c r="C1270" s="0" t="s">
        <v>134</v>
      </c>
      <c r="D1270" s="0" t="s">
        <v>135</v>
      </c>
      <c r="E1270" s="0" t="s">
        <v>3</v>
      </c>
      <c r="F1270" s="0" t="s">
        <v>12</v>
      </c>
      <c r="G1270" s="0" t="s">
        <v>8</v>
      </c>
      <c r="H1270" s="0">
        <v>1761</v>
      </c>
      <c r="I1270" s="0">
        <v>147</v>
      </c>
      <c r="J1270" s="0">
        <v>0</v>
      </c>
      <c r="K1270" s="0">
        <v>1</v>
      </c>
      <c r="L1270" s="0">
        <v>3</v>
      </c>
      <c r="M1270" s="0">
        <v>3</v>
      </c>
      <c r="N1270" s="0">
        <v>0</v>
      </c>
      <c r="O1270" s="0">
        <v>0</v>
      </c>
      <c r="P1270" s="0">
        <v>0</v>
      </c>
      <c r="R1270" s="0" t="b">
        <v>0</v>
      </c>
      <c r="S1270" s="0" t="b">
        <v>1</v>
      </c>
      <c r="T1270" s="68">
        <v>44292.6659722222</v>
      </c>
      <c r="U1270" s="68">
        <v>44322.3333333333</v>
      </c>
      <c r="V1270" s="68">
        <v>0</v>
      </c>
      <c r="W1270" s="0">
        <f>IF(IF(B1270="none",1,IF(B1270="Trialer",1,0))+IF(C1270="Customer",1,IF(C1270="Lost",1,0))=2,1,0)</f>
      </c>
      <c r="X1270" s="0" t="s">
        <v>166</v>
      </c>
      <c r="Y1270" s="0" t="s">
        <v>243</v>
      </c>
      <c r="AV1270" s="68"/>
      <c r="AW1270" s="68"/>
      <c r="AY1270" s="27"/>
      <c r="BD1270" s="68">
        <v>46054.1666666667</v>
      </c>
      <c r="BE1270" s="68">
        <v>46082.1666666667</v>
      </c>
      <c r="BF1270" s="0" t="b">
        <v>0</v>
      </c>
      <c r="BG1270" s="0" t="b">
        <v>0</v>
      </c>
      <c r="BH1270" s="0">
        <v>147</v>
      </c>
      <c r="BI1270" s="0">
        <v>147</v>
      </c>
      <c r="BJ1270" s="0" t="s">
        <v>135</v>
      </c>
    </row>
    <row r="1271">
      <c r="A1271" s="0" t="s">
        <v>1480</v>
      </c>
      <c r="B1271" s="0" t="s">
        <v>134</v>
      </c>
      <c r="C1271" s="0" t="s">
        <v>134</v>
      </c>
      <c r="D1271" s="0" t="s">
        <v>135</v>
      </c>
      <c r="E1271" s="0" t="s">
        <v>3</v>
      </c>
      <c r="F1271" s="0" t="s">
        <v>12</v>
      </c>
      <c r="G1271" s="0" t="s">
        <v>8</v>
      </c>
      <c r="H1271" s="0">
        <v>1761</v>
      </c>
      <c r="I1271" s="0">
        <v>673</v>
      </c>
      <c r="J1271" s="0">
        <v>0</v>
      </c>
      <c r="K1271" s="0">
        <v>1</v>
      </c>
      <c r="L1271" s="0">
        <v>2</v>
      </c>
      <c r="M1271" s="0">
        <v>9</v>
      </c>
      <c r="N1271" s="0">
        <v>1395</v>
      </c>
      <c r="O1271" s="0">
        <v>0</v>
      </c>
      <c r="P1271" s="0">
        <v>0</v>
      </c>
      <c r="R1271" s="0" t="b">
        <v>0</v>
      </c>
      <c r="S1271" s="0" t="b">
        <v>1</v>
      </c>
      <c r="T1271" s="68">
        <v>44292.7236111111</v>
      </c>
      <c r="U1271" s="68">
        <v>44301.3333333333</v>
      </c>
      <c r="V1271" s="68">
        <v>0</v>
      </c>
      <c r="W1271" s="0">
        <f>IF(IF(B1271="none",1,IF(B1271="Trialer",1,0))+IF(C1271="Customer",1,IF(C1271="Lost",1,0))=2,1,0)</f>
      </c>
      <c r="X1271" s="0" t="s">
        <v>145</v>
      </c>
      <c r="Y1271" s="0" t="s">
        <v>243</v>
      </c>
      <c r="AV1271" s="68"/>
      <c r="AW1271" s="68"/>
      <c r="AY1271" s="27"/>
      <c r="BD1271" s="68">
        <v>46054.1666666667</v>
      </c>
      <c r="BE1271" s="68">
        <v>46082.1666666667</v>
      </c>
      <c r="BF1271" s="0" t="b">
        <v>0</v>
      </c>
      <c r="BG1271" s="0" t="b">
        <v>0</v>
      </c>
      <c r="BH1271" s="0">
        <v>348</v>
      </c>
      <c r="BI1271" s="0">
        <v>348</v>
      </c>
      <c r="BJ1271" s="0" t="s">
        <v>135</v>
      </c>
    </row>
    <row r="1272">
      <c r="A1272" s="0" t="s">
        <v>1481</v>
      </c>
      <c r="B1272" s="0" t="s">
        <v>134</v>
      </c>
      <c r="C1272" s="0" t="s">
        <v>134</v>
      </c>
      <c r="D1272" s="0" t="s">
        <v>230</v>
      </c>
      <c r="E1272" s="0" t="s">
        <v>2</v>
      </c>
      <c r="F1272" s="0" t="s">
        <v>12</v>
      </c>
      <c r="G1272" s="0" t="s">
        <v>8</v>
      </c>
      <c r="H1272" s="0">
        <v>1760</v>
      </c>
      <c r="I1272" s="0">
        <v>36</v>
      </c>
      <c r="J1272" s="0">
        <v>0</v>
      </c>
      <c r="K1272" s="0">
        <v>1</v>
      </c>
      <c r="L1272" s="0">
        <v>2</v>
      </c>
      <c r="M1272" s="0">
        <v>1</v>
      </c>
      <c r="N1272" s="0">
        <v>0</v>
      </c>
      <c r="O1272" s="0">
        <v>0</v>
      </c>
      <c r="P1272" s="0">
        <v>-36</v>
      </c>
      <c r="R1272" s="0" t="b">
        <v>0</v>
      </c>
      <c r="S1272" s="0" t="b">
        <v>1</v>
      </c>
      <c r="T1272" s="68">
        <v>44293.9484375</v>
      </c>
      <c r="U1272" s="68">
        <v>44323.3333333333</v>
      </c>
      <c r="V1272" s="68">
        <v>0</v>
      </c>
      <c r="W1272" s="0">
        <f>IF(IF(B1272="none",1,IF(B1272="Trialer",1,0))+IF(C1272="Customer",1,IF(C1272="Lost",1,0))=2,1,0)</f>
      </c>
      <c r="X1272" s="0" t="s">
        <v>142</v>
      </c>
      <c r="Y1272" s="0" t="s">
        <v>499</v>
      </c>
      <c r="AV1272" s="68"/>
      <c r="AW1272" s="68"/>
      <c r="AY1272" s="27"/>
      <c r="BD1272" s="68">
        <v>46054.1666666667</v>
      </c>
      <c r="BE1272" s="68">
        <v>46082.1666666667</v>
      </c>
      <c r="BF1272" s="0" t="b">
        <v>0</v>
      </c>
      <c r="BG1272" s="0" t="b">
        <v>0</v>
      </c>
      <c r="BH1272" s="0">
        <v>40</v>
      </c>
      <c r="BI1272" s="0">
        <v>40</v>
      </c>
      <c r="BJ1272" s="0" t="s">
        <v>230</v>
      </c>
    </row>
    <row r="1273">
      <c r="A1273" s="0" t="s">
        <v>1482</v>
      </c>
      <c r="B1273" s="0" t="s">
        <v>134</v>
      </c>
      <c r="C1273" s="0" t="s">
        <v>134</v>
      </c>
      <c r="D1273" s="0" t="s">
        <v>135</v>
      </c>
      <c r="E1273" s="0" t="s">
        <v>3</v>
      </c>
      <c r="F1273" s="0" t="s">
        <v>12</v>
      </c>
      <c r="G1273" s="0" t="s">
        <v>8</v>
      </c>
      <c r="H1273" s="0">
        <v>1759</v>
      </c>
      <c r="I1273" s="0">
        <v>98</v>
      </c>
      <c r="J1273" s="0">
        <v>0</v>
      </c>
      <c r="K1273" s="0">
        <v>1</v>
      </c>
      <c r="L1273" s="0">
        <v>3</v>
      </c>
      <c r="M1273" s="0">
        <v>2</v>
      </c>
      <c r="N1273" s="0">
        <v>0</v>
      </c>
      <c r="O1273" s="0">
        <v>0</v>
      </c>
      <c r="P1273" s="0">
        <v>0</v>
      </c>
      <c r="R1273" s="0" t="b">
        <v>0</v>
      </c>
      <c r="S1273" s="0" t="b">
        <v>1</v>
      </c>
      <c r="T1273" s="68">
        <v>44294.434837963</v>
      </c>
      <c r="U1273" s="68">
        <v>44324.3333333333</v>
      </c>
      <c r="V1273" s="68">
        <v>0</v>
      </c>
      <c r="W1273" s="0">
        <f>IF(IF(B1273="none",1,IF(B1273="Trialer",1,0))+IF(C1273="Customer",1,IF(C1273="Lost",1,0))=2,1,0)</f>
      </c>
      <c r="X1273" s="0" t="s">
        <v>166</v>
      </c>
      <c r="Y1273" s="0" t="s">
        <v>243</v>
      </c>
      <c r="AV1273" s="68"/>
      <c r="AW1273" s="68"/>
      <c r="AY1273" s="27"/>
      <c r="BD1273" s="68">
        <v>46054.1666666667</v>
      </c>
      <c r="BE1273" s="68">
        <v>46082.1666666667</v>
      </c>
      <c r="BF1273" s="0" t="b">
        <v>0</v>
      </c>
      <c r="BG1273" s="0" t="b">
        <v>0</v>
      </c>
      <c r="BH1273" s="0">
        <v>98</v>
      </c>
      <c r="BI1273" s="0">
        <v>98</v>
      </c>
      <c r="BJ1273" s="0" t="s">
        <v>135</v>
      </c>
    </row>
    <row r="1274">
      <c r="A1274" s="0" t="s">
        <v>1483</v>
      </c>
      <c r="B1274" s="0" t="s">
        <v>134</v>
      </c>
      <c r="C1274" s="0" t="s">
        <v>134</v>
      </c>
      <c r="D1274" s="0" t="s">
        <v>135</v>
      </c>
      <c r="E1274" s="0" t="s">
        <v>3</v>
      </c>
      <c r="F1274" s="0" t="s">
        <v>12</v>
      </c>
      <c r="G1274" s="0" t="s">
        <v>8</v>
      </c>
      <c r="H1274" s="0">
        <v>1759</v>
      </c>
      <c r="I1274" s="0">
        <v>89</v>
      </c>
      <c r="J1274" s="0">
        <v>0</v>
      </c>
      <c r="K1274" s="0">
        <v>1</v>
      </c>
      <c r="L1274" s="0">
        <v>3</v>
      </c>
      <c r="M1274" s="0">
        <v>2</v>
      </c>
      <c r="N1274" s="0">
        <v>0</v>
      </c>
      <c r="O1274" s="0">
        <v>0</v>
      </c>
      <c r="P1274" s="0">
        <v>0</v>
      </c>
      <c r="R1274" s="0" t="b">
        <v>0</v>
      </c>
      <c r="S1274" s="0" t="b">
        <v>1</v>
      </c>
      <c r="T1274" s="68">
        <v>44294.552337963</v>
      </c>
      <c r="U1274" s="68">
        <v>44324.3333333333</v>
      </c>
      <c r="V1274" s="68">
        <v>0</v>
      </c>
      <c r="W1274" s="0">
        <f>IF(IF(B1274="none",1,IF(B1274="Trialer",1,0))+IF(C1274="Customer",1,IF(C1274="Lost",1,0))=2,1,0)</f>
      </c>
      <c r="X1274" s="0" t="s">
        <v>166</v>
      </c>
      <c r="Y1274" s="0" t="s">
        <v>243</v>
      </c>
      <c r="AV1274" s="68"/>
      <c r="AW1274" s="68"/>
      <c r="AY1274" s="27"/>
      <c r="BD1274" s="68">
        <v>46054.1666666667</v>
      </c>
      <c r="BE1274" s="68">
        <v>46082.1666666667</v>
      </c>
      <c r="BF1274" s="0" t="b">
        <v>0</v>
      </c>
      <c r="BG1274" s="0" t="b">
        <v>0</v>
      </c>
      <c r="BH1274" s="0">
        <v>49</v>
      </c>
      <c r="BI1274" s="0">
        <v>49</v>
      </c>
      <c r="BJ1274" s="0" t="s">
        <v>135</v>
      </c>
    </row>
    <row r="1275">
      <c r="A1275" s="0" t="s">
        <v>1484</v>
      </c>
      <c r="B1275" s="0" t="s">
        <v>134</v>
      </c>
      <c r="C1275" s="0" t="s">
        <v>134</v>
      </c>
      <c r="D1275" s="0" t="s">
        <v>135</v>
      </c>
      <c r="E1275" s="0" t="s">
        <v>3</v>
      </c>
      <c r="F1275" s="0" t="s">
        <v>12</v>
      </c>
      <c r="G1275" s="0" t="s">
        <v>8</v>
      </c>
      <c r="H1275" s="0">
        <v>1759</v>
      </c>
      <c r="I1275" s="0">
        <v>209</v>
      </c>
      <c r="J1275" s="0">
        <v>0</v>
      </c>
      <c r="K1275" s="0">
        <v>1</v>
      </c>
      <c r="L1275" s="0">
        <v>3</v>
      </c>
      <c r="M1275" s="0">
        <v>5</v>
      </c>
      <c r="N1275" s="0">
        <v>0</v>
      </c>
      <c r="O1275" s="0">
        <v>0</v>
      </c>
      <c r="P1275" s="0">
        <v>0</v>
      </c>
      <c r="R1275" s="0" t="b">
        <v>0</v>
      </c>
      <c r="S1275" s="0" t="b">
        <v>1</v>
      </c>
      <c r="T1275" s="68">
        <v>44294.61875</v>
      </c>
      <c r="U1275" s="68">
        <v>44324.3333333333</v>
      </c>
      <c r="V1275" s="68">
        <v>0</v>
      </c>
      <c r="W1275" s="0">
        <f>IF(IF(B1275="none",1,IF(B1275="Trialer",1,0))+IF(C1275="Customer",1,IF(C1275="Lost",1,0))=2,1,0)</f>
      </c>
      <c r="X1275" s="0" t="s">
        <v>145</v>
      </c>
      <c r="Y1275" s="0" t="s">
        <v>243</v>
      </c>
      <c r="AV1275" s="68"/>
      <c r="AW1275" s="68"/>
      <c r="AY1275" s="27"/>
      <c r="BD1275" s="68">
        <v>46054.1666666667</v>
      </c>
      <c r="BE1275" s="68">
        <v>46082.1666666667</v>
      </c>
      <c r="BF1275" s="0" t="b">
        <v>0</v>
      </c>
      <c r="BG1275" s="0" t="b">
        <v>0</v>
      </c>
      <c r="BH1275" s="0">
        <v>209</v>
      </c>
      <c r="BI1275" s="0">
        <v>209</v>
      </c>
      <c r="BJ1275" s="0" t="s">
        <v>135</v>
      </c>
    </row>
    <row r="1276">
      <c r="A1276" s="0" t="s">
        <v>1485</v>
      </c>
      <c r="B1276" s="0" t="s">
        <v>134</v>
      </c>
      <c r="C1276" s="0" t="s">
        <v>134</v>
      </c>
      <c r="D1276" s="0" t="s">
        <v>135</v>
      </c>
      <c r="E1276" s="0" t="s">
        <v>3</v>
      </c>
      <c r="F1276" s="0" t="s">
        <v>12</v>
      </c>
      <c r="G1276" s="0" t="s">
        <v>8</v>
      </c>
      <c r="H1276" s="0">
        <v>1758</v>
      </c>
      <c r="I1276" s="0">
        <v>285</v>
      </c>
      <c r="J1276" s="0">
        <v>0</v>
      </c>
      <c r="K1276" s="0">
        <v>1</v>
      </c>
      <c r="L1276" s="0">
        <v>3</v>
      </c>
      <c r="M1276" s="0">
        <v>6</v>
      </c>
      <c r="N1276" s="0">
        <v>0</v>
      </c>
      <c r="O1276" s="0">
        <v>0</v>
      </c>
      <c r="P1276" s="0">
        <v>0</v>
      </c>
      <c r="R1276" s="0" t="b">
        <v>0</v>
      </c>
      <c r="S1276" s="0" t="b">
        <v>1</v>
      </c>
      <c r="T1276" s="68">
        <v>44295.4775347222</v>
      </c>
      <c r="U1276" s="68">
        <v>44325.3333333333</v>
      </c>
      <c r="V1276" s="68">
        <v>0</v>
      </c>
      <c r="W1276" s="0">
        <f>IF(IF(B1276="none",1,IF(B1276="Trialer",1,0))+IF(C1276="Customer",1,IF(C1276="Lost",1,0))=2,1,0)</f>
      </c>
      <c r="X1276" s="0" t="s">
        <v>145</v>
      </c>
      <c r="Y1276" s="0" t="s">
        <v>243</v>
      </c>
      <c r="AV1276" s="68"/>
      <c r="AW1276" s="68"/>
      <c r="AY1276" s="27"/>
      <c r="BD1276" s="68">
        <v>46054.1666666667</v>
      </c>
      <c r="BE1276" s="68">
        <v>46082.1666666667</v>
      </c>
      <c r="BF1276" s="0" t="b">
        <v>0</v>
      </c>
      <c r="BG1276" s="0" t="b">
        <v>0</v>
      </c>
      <c r="BH1276" s="0">
        <v>285</v>
      </c>
      <c r="BI1276" s="0">
        <v>285</v>
      </c>
      <c r="BJ1276" s="0" t="s">
        <v>135</v>
      </c>
    </row>
    <row r="1277">
      <c r="A1277" s="0" t="s">
        <v>1486</v>
      </c>
      <c r="B1277" s="0" t="s">
        <v>134</v>
      </c>
      <c r="C1277" s="0" t="s">
        <v>134</v>
      </c>
      <c r="D1277" s="0" t="s">
        <v>230</v>
      </c>
      <c r="E1277" s="0" t="s">
        <v>2</v>
      </c>
      <c r="F1277" s="0" t="s">
        <v>10</v>
      </c>
      <c r="G1277" s="0" t="s">
        <v>8</v>
      </c>
      <c r="H1277" s="0">
        <v>1754</v>
      </c>
      <c r="I1277" s="0">
        <v>275.4</v>
      </c>
      <c r="J1277" s="0">
        <v>0</v>
      </c>
      <c r="K1277" s="0">
        <v>1</v>
      </c>
      <c r="L1277" s="0">
        <v>4</v>
      </c>
      <c r="M1277" s="0">
        <v>6</v>
      </c>
      <c r="N1277" s="0">
        <v>0</v>
      </c>
      <c r="O1277" s="0">
        <v>0</v>
      </c>
      <c r="P1277" s="0">
        <v>3029.4</v>
      </c>
      <c r="Q1277" s="0" t="s">
        <v>357</v>
      </c>
      <c r="R1277" s="0" t="b">
        <v>0</v>
      </c>
      <c r="S1277" s="0" t="b">
        <v>1</v>
      </c>
      <c r="T1277" s="68">
        <v>44299.7823726852</v>
      </c>
      <c r="U1277" s="68">
        <v>44336.3333333333</v>
      </c>
      <c r="V1277" s="68">
        <v>0</v>
      </c>
      <c r="W1277" s="0">
        <f>IF(IF(B1277="none",1,IF(B1277="Trialer",1,0))+IF(C1277="Customer",1,IF(C1277="Lost",1,0))=2,1,0)</f>
      </c>
      <c r="X1277" s="0" t="s">
        <v>148</v>
      </c>
      <c r="Y1277" s="0" t="s">
        <v>499</v>
      </c>
      <c r="AV1277" s="68"/>
      <c r="AW1277" s="68"/>
      <c r="AY1277" s="27"/>
      <c r="BD1277" s="68">
        <v>46054.1666666667</v>
      </c>
      <c r="BE1277" s="68">
        <v>46082.1666666667</v>
      </c>
      <c r="BF1277" s="0" t="b">
        <v>0</v>
      </c>
      <c r="BG1277" s="0" t="b">
        <v>0</v>
      </c>
      <c r="BH1277" s="0">
        <v>306</v>
      </c>
      <c r="BI1277" s="0">
        <v>306</v>
      </c>
      <c r="BJ1277" s="0" t="s">
        <v>230</v>
      </c>
    </row>
    <row r="1278">
      <c r="A1278" s="0" t="s">
        <v>1487</v>
      </c>
      <c r="B1278" s="0" t="s">
        <v>134</v>
      </c>
      <c r="C1278" s="0" t="s">
        <v>134</v>
      </c>
      <c r="D1278" s="0" t="s">
        <v>135</v>
      </c>
      <c r="E1278" s="0" t="s">
        <v>3</v>
      </c>
      <c r="F1278" s="0" t="s">
        <v>10</v>
      </c>
      <c r="G1278" s="0" t="s">
        <v>8</v>
      </c>
      <c r="H1278" s="0">
        <v>1753</v>
      </c>
      <c r="I1278" s="0">
        <v>28</v>
      </c>
      <c r="J1278" s="0">
        <v>0</v>
      </c>
      <c r="K1278" s="0">
        <v>1</v>
      </c>
      <c r="L1278" s="0">
        <v>1</v>
      </c>
      <c r="M1278" s="0">
        <v>1</v>
      </c>
      <c r="N1278" s="0">
        <v>0</v>
      </c>
      <c r="O1278" s="0">
        <v>0</v>
      </c>
      <c r="P1278" s="0">
        <v>0</v>
      </c>
      <c r="Q1278" s="0" t="s">
        <v>618</v>
      </c>
      <c r="R1278" s="0" t="b">
        <v>0</v>
      </c>
      <c r="S1278" s="0" t="b">
        <v>1</v>
      </c>
      <c r="T1278" s="68">
        <v>44300.4865856481</v>
      </c>
      <c r="U1278" s="68">
        <v>44330.3333333333</v>
      </c>
      <c r="V1278" s="68">
        <v>0</v>
      </c>
      <c r="W1278" s="0">
        <f>IF(IF(B1278="none",1,IF(B1278="Trialer",1,0))+IF(C1278="Customer",1,IF(C1278="Lost",1,0))=2,1,0)</f>
      </c>
      <c r="X1278" s="0" t="s">
        <v>148</v>
      </c>
      <c r="Y1278" s="0" t="s">
        <v>243</v>
      </c>
      <c r="AV1278" s="68"/>
      <c r="AW1278" s="68"/>
      <c r="AY1278" s="27"/>
      <c r="BD1278" s="68">
        <v>46054.1666666667</v>
      </c>
      <c r="BE1278" s="68">
        <v>46082.1666666667</v>
      </c>
      <c r="BF1278" s="0" t="b">
        <v>0</v>
      </c>
      <c r="BG1278" s="0" t="b">
        <v>0</v>
      </c>
      <c r="BH1278" s="0">
        <v>28</v>
      </c>
      <c r="BI1278" s="0">
        <v>28</v>
      </c>
      <c r="BJ1278" s="0" t="s">
        <v>135</v>
      </c>
    </row>
    <row r="1279">
      <c r="A1279" s="0" t="s">
        <v>1488</v>
      </c>
      <c r="B1279" s="0" t="s">
        <v>134</v>
      </c>
      <c r="C1279" s="0" t="s">
        <v>134</v>
      </c>
      <c r="D1279" s="0" t="s">
        <v>135</v>
      </c>
      <c r="E1279" s="0" t="s">
        <v>2</v>
      </c>
      <c r="F1279" s="0" t="s">
        <v>12</v>
      </c>
      <c r="G1279" s="0" t="s">
        <v>8</v>
      </c>
      <c r="H1279" s="0">
        <v>1752</v>
      </c>
      <c r="I1279" s="0">
        <v>532</v>
      </c>
      <c r="J1279" s="0">
        <v>0</v>
      </c>
      <c r="K1279" s="0">
        <v>1</v>
      </c>
      <c r="L1279" s="0">
        <v>4</v>
      </c>
      <c r="M1279" s="0">
        <v>10</v>
      </c>
      <c r="N1279" s="0">
        <v>0</v>
      </c>
      <c r="O1279" s="0">
        <v>0</v>
      </c>
      <c r="P1279" s="0">
        <v>0</v>
      </c>
      <c r="R1279" s="0" t="b">
        <v>0</v>
      </c>
      <c r="S1279" s="0" t="b">
        <v>1</v>
      </c>
      <c r="T1279" s="68">
        <v>44301.4786921296</v>
      </c>
      <c r="U1279" s="68">
        <v>44310.3333333333</v>
      </c>
      <c r="V1279" s="68">
        <v>0</v>
      </c>
      <c r="W1279" s="0">
        <f>IF(IF(B1279="none",1,IF(B1279="Trialer",1,0))+IF(C1279="Customer",1,IF(C1279="Lost",1,0))=2,1,0)</f>
      </c>
      <c r="X1279" s="0" t="s">
        <v>148</v>
      </c>
      <c r="Y1279" s="0" t="s">
        <v>499</v>
      </c>
      <c r="AV1279" s="68"/>
      <c r="AW1279" s="68"/>
      <c r="AY1279" s="27"/>
      <c r="BD1279" s="68">
        <v>46054.1666666667</v>
      </c>
      <c r="BE1279" s="68">
        <v>46082.1666666667</v>
      </c>
      <c r="BF1279" s="0" t="b">
        <v>0</v>
      </c>
      <c r="BG1279" s="0" t="b">
        <v>0</v>
      </c>
      <c r="BH1279" s="0">
        <v>532</v>
      </c>
      <c r="BI1279" s="0">
        <v>532</v>
      </c>
      <c r="BJ1279" s="0" t="s">
        <v>135</v>
      </c>
    </row>
    <row r="1280">
      <c r="A1280" s="0" t="s">
        <v>1489</v>
      </c>
      <c r="B1280" s="0" t="s">
        <v>134</v>
      </c>
      <c r="C1280" s="0" t="s">
        <v>134</v>
      </c>
      <c r="D1280" s="0" t="s">
        <v>135</v>
      </c>
      <c r="E1280" s="0" t="s">
        <v>3</v>
      </c>
      <c r="F1280" s="0" t="s">
        <v>12</v>
      </c>
      <c r="G1280" s="0" t="s">
        <v>8</v>
      </c>
      <c r="H1280" s="0">
        <v>1752</v>
      </c>
      <c r="I1280" s="0">
        <v>364</v>
      </c>
      <c r="J1280" s="0">
        <v>0</v>
      </c>
      <c r="K1280" s="0">
        <v>1</v>
      </c>
      <c r="L1280" s="0">
        <v>3</v>
      </c>
      <c r="M1280" s="0">
        <v>8</v>
      </c>
      <c r="N1280" s="0">
        <v>0</v>
      </c>
      <c r="O1280" s="0">
        <v>0</v>
      </c>
      <c r="P1280" s="0">
        <v>0</v>
      </c>
      <c r="R1280" s="0" t="b">
        <v>0</v>
      </c>
      <c r="S1280" s="0" t="b">
        <v>1</v>
      </c>
      <c r="T1280" s="68">
        <v>44301.5</v>
      </c>
      <c r="U1280" s="68">
        <v>44301.3333333333</v>
      </c>
      <c r="V1280" s="68">
        <v>0</v>
      </c>
      <c r="W1280" s="0">
        <f>IF(IF(B1280="none",1,IF(B1280="Trialer",1,0))+IF(C1280="Customer",1,IF(C1280="Lost",1,0))=2,1,0)</f>
      </c>
      <c r="X1280" s="0" t="s">
        <v>148</v>
      </c>
      <c r="Y1280" s="0" t="s">
        <v>243</v>
      </c>
      <c r="AV1280" s="68"/>
      <c r="AW1280" s="68"/>
      <c r="AY1280" s="27"/>
      <c r="BD1280" s="68">
        <v>46054.1666666667</v>
      </c>
      <c r="BE1280" s="68">
        <v>46082.1666666667</v>
      </c>
      <c r="BF1280" s="0" t="b">
        <v>0</v>
      </c>
      <c r="BG1280" s="0" t="b">
        <v>0</v>
      </c>
      <c r="BH1280" s="0">
        <v>364</v>
      </c>
      <c r="BI1280" s="0">
        <v>364</v>
      </c>
      <c r="BJ1280" s="0" t="s">
        <v>135</v>
      </c>
    </row>
    <row r="1281">
      <c r="A1281" s="0" t="s">
        <v>1490</v>
      </c>
      <c r="B1281" s="0" t="s">
        <v>134</v>
      </c>
      <c r="C1281" s="0" t="s">
        <v>134</v>
      </c>
      <c r="D1281" s="0" t="s">
        <v>135</v>
      </c>
      <c r="E1281" s="0" t="s">
        <v>2</v>
      </c>
      <c r="F1281" s="0" t="s">
        <v>12</v>
      </c>
      <c r="G1281" s="0" t="s">
        <v>8</v>
      </c>
      <c r="H1281" s="0">
        <v>1747</v>
      </c>
      <c r="I1281" s="0">
        <v>294</v>
      </c>
      <c r="J1281" s="0">
        <v>0</v>
      </c>
      <c r="K1281" s="0">
        <v>1</v>
      </c>
      <c r="L1281" s="0">
        <v>3</v>
      </c>
      <c r="M1281" s="0">
        <v>6</v>
      </c>
      <c r="N1281" s="0">
        <v>0</v>
      </c>
      <c r="O1281" s="0">
        <v>0</v>
      </c>
      <c r="P1281" s="0">
        <v>0</v>
      </c>
      <c r="R1281" s="0" t="b">
        <v>0</v>
      </c>
      <c r="S1281" s="0" t="b">
        <v>1</v>
      </c>
      <c r="T1281" s="68">
        <v>44306.7102199074</v>
      </c>
      <c r="U1281" s="68">
        <v>44336.3333333333</v>
      </c>
      <c r="V1281" s="68">
        <v>0</v>
      </c>
      <c r="W1281" s="0">
        <f>IF(IF(B1281="none",1,IF(B1281="Trialer",1,0))+IF(C1281="Customer",1,IF(C1281="Lost",1,0))=2,1,0)</f>
      </c>
      <c r="X1281" s="0" t="s">
        <v>136</v>
      </c>
      <c r="Y1281" s="0" t="s">
        <v>499</v>
      </c>
      <c r="AV1281" s="68"/>
      <c r="AW1281" s="68"/>
      <c r="AY1281" s="27"/>
      <c r="BD1281" s="68">
        <v>46054.1666666667</v>
      </c>
      <c r="BE1281" s="68">
        <v>46082.1666666667</v>
      </c>
      <c r="BF1281" s="0" t="b">
        <v>0</v>
      </c>
      <c r="BG1281" s="0" t="b">
        <v>0</v>
      </c>
      <c r="BH1281" s="0">
        <v>294</v>
      </c>
      <c r="BI1281" s="0">
        <v>294</v>
      </c>
      <c r="BJ1281" s="0" t="s">
        <v>135</v>
      </c>
    </row>
    <row r="1282">
      <c r="A1282" s="0" t="s">
        <v>1491</v>
      </c>
      <c r="B1282" s="0" t="s">
        <v>134</v>
      </c>
      <c r="C1282" s="0" t="s">
        <v>134</v>
      </c>
      <c r="D1282" s="0" t="s">
        <v>135</v>
      </c>
      <c r="E1282" s="0" t="s">
        <v>3</v>
      </c>
      <c r="F1282" s="0" t="s">
        <v>12</v>
      </c>
      <c r="G1282" s="0" t="s">
        <v>8</v>
      </c>
      <c r="H1282" s="0">
        <v>1746</v>
      </c>
      <c r="I1282" s="0">
        <v>86</v>
      </c>
      <c r="J1282" s="0">
        <v>0</v>
      </c>
      <c r="K1282" s="0">
        <v>1</v>
      </c>
      <c r="L1282" s="0">
        <v>3</v>
      </c>
      <c r="M1282" s="0">
        <v>2</v>
      </c>
      <c r="N1282" s="0">
        <v>0</v>
      </c>
      <c r="O1282" s="0">
        <v>0</v>
      </c>
      <c r="P1282" s="0">
        <v>0</v>
      </c>
      <c r="R1282" s="0" t="b">
        <v>0</v>
      </c>
      <c r="S1282" s="0" t="b">
        <v>1</v>
      </c>
      <c r="T1282" s="68">
        <v>44307.3929166667</v>
      </c>
      <c r="U1282" s="68">
        <v>44354.3333333333</v>
      </c>
      <c r="V1282" s="68">
        <v>0</v>
      </c>
      <c r="W1282" s="0">
        <f>IF(IF(B1282="none",1,IF(B1282="Trialer",1,0))+IF(C1282="Customer",1,IF(C1282="Lost",1,0))=2,1,0)</f>
      </c>
      <c r="X1282" s="0" t="s">
        <v>142</v>
      </c>
      <c r="Y1282" s="0" t="s">
        <v>243</v>
      </c>
      <c r="AV1282" s="68"/>
      <c r="AW1282" s="68"/>
      <c r="AY1282" s="27"/>
      <c r="BD1282" s="68">
        <v>46054.1666666667</v>
      </c>
      <c r="BE1282" s="68">
        <v>46082.1666666667</v>
      </c>
      <c r="BF1282" s="0" t="b">
        <v>0</v>
      </c>
      <c r="BG1282" s="0" t="b">
        <v>0</v>
      </c>
      <c r="BH1282" s="0">
        <v>86</v>
      </c>
      <c r="BI1282" s="0">
        <v>86</v>
      </c>
      <c r="BJ1282" s="0" t="s">
        <v>135</v>
      </c>
    </row>
    <row r="1283">
      <c r="A1283" s="0" t="s">
        <v>1492</v>
      </c>
      <c r="B1283" s="0" t="s">
        <v>134</v>
      </c>
      <c r="C1283" s="0" t="s">
        <v>134</v>
      </c>
      <c r="D1283" s="0" t="s">
        <v>135</v>
      </c>
      <c r="E1283" s="0" t="s">
        <v>3</v>
      </c>
      <c r="F1283" s="0" t="s">
        <v>10</v>
      </c>
      <c r="G1283" s="0" t="s">
        <v>8</v>
      </c>
      <c r="H1283" s="0">
        <v>1746</v>
      </c>
      <c r="I1283" s="0">
        <v>56</v>
      </c>
      <c r="J1283" s="0">
        <v>0</v>
      </c>
      <c r="K1283" s="0">
        <v>1</v>
      </c>
      <c r="L1283" s="0">
        <v>1</v>
      </c>
      <c r="M1283" s="0">
        <v>2</v>
      </c>
      <c r="N1283" s="0">
        <v>0</v>
      </c>
      <c r="O1283" s="0">
        <v>0</v>
      </c>
      <c r="P1283" s="0">
        <v>0</v>
      </c>
      <c r="Q1283" s="0" t="s">
        <v>618</v>
      </c>
      <c r="R1283" s="0" t="b">
        <v>0</v>
      </c>
      <c r="S1283" s="0" t="b">
        <v>1</v>
      </c>
      <c r="T1283" s="68">
        <v>44307.5299305556</v>
      </c>
      <c r="U1283" s="68">
        <v>44337.3333333333</v>
      </c>
      <c r="V1283" s="68">
        <v>0</v>
      </c>
      <c r="W1283" s="0">
        <f>IF(IF(B1283="none",1,IF(B1283="Trialer",1,0))+IF(C1283="Customer",1,IF(C1283="Lost",1,0))=2,1,0)</f>
      </c>
      <c r="X1283" s="0" t="s">
        <v>148</v>
      </c>
      <c r="Y1283" s="0" t="s">
        <v>243</v>
      </c>
      <c r="AV1283" s="68"/>
      <c r="AW1283" s="68"/>
      <c r="AY1283" s="27"/>
      <c r="BD1283" s="68">
        <v>46054.1666666667</v>
      </c>
      <c r="BE1283" s="68">
        <v>46082.1666666667</v>
      </c>
      <c r="BF1283" s="0" t="b">
        <v>0</v>
      </c>
      <c r="BG1283" s="0" t="b">
        <v>0</v>
      </c>
      <c r="BH1283" s="0">
        <v>56</v>
      </c>
      <c r="BI1283" s="0">
        <v>56</v>
      </c>
      <c r="BJ1283" s="0" t="s">
        <v>135</v>
      </c>
    </row>
    <row r="1284">
      <c r="A1284" s="0" t="s">
        <v>1493</v>
      </c>
      <c r="B1284" s="0" t="s">
        <v>134</v>
      </c>
      <c r="C1284" s="0" t="s">
        <v>134</v>
      </c>
      <c r="D1284" s="0" t="s">
        <v>230</v>
      </c>
      <c r="E1284" s="0" t="s">
        <v>3</v>
      </c>
      <c r="F1284" s="0" t="s">
        <v>12</v>
      </c>
      <c r="G1284" s="0" t="s">
        <v>8</v>
      </c>
      <c r="H1284" s="0">
        <v>1746</v>
      </c>
      <c r="I1284" s="0">
        <v>724</v>
      </c>
      <c r="J1284" s="0">
        <v>0</v>
      </c>
      <c r="K1284" s="0">
        <v>1</v>
      </c>
      <c r="L1284" s="0">
        <v>4</v>
      </c>
      <c r="M1284" s="0">
        <v>9</v>
      </c>
      <c r="N1284" s="0">
        <v>837</v>
      </c>
      <c r="O1284" s="0">
        <v>0</v>
      </c>
      <c r="P1284" s="0">
        <v>-399</v>
      </c>
      <c r="R1284" s="0" t="b">
        <v>0</v>
      </c>
      <c r="S1284" s="0" t="b">
        <v>1</v>
      </c>
      <c r="T1284" s="68">
        <v>44307.6464236111</v>
      </c>
      <c r="U1284" s="68">
        <v>44337.3333333333</v>
      </c>
      <c r="V1284" s="68">
        <v>0</v>
      </c>
      <c r="W1284" s="0">
        <f>IF(IF(B1284="none",1,IF(B1284="Trialer",1,0))+IF(C1284="Customer",1,IF(C1284="Lost",1,0))=2,1,0)</f>
      </c>
      <c r="X1284" s="0" t="s">
        <v>148</v>
      </c>
      <c r="Y1284" s="0" t="s">
        <v>243</v>
      </c>
      <c r="AV1284" s="68"/>
      <c r="AW1284" s="68"/>
      <c r="AY1284" s="27"/>
      <c r="BD1284" s="68">
        <v>46054.1666666667</v>
      </c>
      <c r="BE1284" s="68">
        <v>46082.1666666667</v>
      </c>
      <c r="BF1284" s="0" t="b">
        <v>0</v>
      </c>
      <c r="BG1284" s="0" t="b">
        <v>0</v>
      </c>
      <c r="BH1284" s="0">
        <v>478</v>
      </c>
      <c r="BI1284" s="0">
        <v>478</v>
      </c>
      <c r="BJ1284" s="0" t="s">
        <v>230</v>
      </c>
    </row>
    <row r="1285">
      <c r="A1285" s="0" t="s">
        <v>1494</v>
      </c>
      <c r="B1285" s="0" t="s">
        <v>134</v>
      </c>
      <c r="C1285" s="0" t="s">
        <v>134</v>
      </c>
      <c r="D1285" s="0" t="s">
        <v>135</v>
      </c>
      <c r="E1285" s="0" t="s">
        <v>3</v>
      </c>
      <c r="F1285" s="0" t="s">
        <v>12</v>
      </c>
      <c r="G1285" s="0" t="s">
        <v>8</v>
      </c>
      <c r="H1285" s="0">
        <v>1745</v>
      </c>
      <c r="I1285" s="0">
        <v>40</v>
      </c>
      <c r="J1285" s="0">
        <v>0</v>
      </c>
      <c r="K1285" s="0">
        <v>1</v>
      </c>
      <c r="L1285" s="0">
        <v>2</v>
      </c>
      <c r="M1285" s="0">
        <v>1</v>
      </c>
      <c r="N1285" s="0">
        <v>0</v>
      </c>
      <c r="O1285" s="0">
        <v>0</v>
      </c>
      <c r="P1285" s="0">
        <v>0</v>
      </c>
      <c r="R1285" s="0" t="b">
        <v>0</v>
      </c>
      <c r="S1285" s="0" t="b">
        <v>1</v>
      </c>
      <c r="T1285" s="68">
        <v>44308.5103819444</v>
      </c>
      <c r="U1285" s="68">
        <v>44341.3333333333</v>
      </c>
      <c r="V1285" s="68">
        <v>0</v>
      </c>
      <c r="W1285" s="0">
        <f>IF(IF(B1285="none",1,IF(B1285="Trialer",1,0))+IF(C1285="Customer",1,IF(C1285="Lost",1,0))=2,1,0)</f>
      </c>
      <c r="X1285" s="0" t="s">
        <v>142</v>
      </c>
      <c r="Y1285" s="0" t="s">
        <v>243</v>
      </c>
      <c r="AV1285" s="68"/>
      <c r="AW1285" s="68"/>
      <c r="AY1285" s="27"/>
      <c r="BD1285" s="68">
        <v>46054.1666666667</v>
      </c>
      <c r="BE1285" s="68">
        <v>46082.1666666667</v>
      </c>
      <c r="BF1285" s="0" t="b">
        <v>0</v>
      </c>
      <c r="BG1285" s="0" t="b">
        <v>0</v>
      </c>
      <c r="BH1285" s="0">
        <v>40</v>
      </c>
      <c r="BI1285" s="0">
        <v>40</v>
      </c>
      <c r="BJ1285" s="0" t="s">
        <v>135</v>
      </c>
    </row>
    <row r="1286">
      <c r="A1286" s="0" t="s">
        <v>1495</v>
      </c>
      <c r="B1286" s="0" t="s">
        <v>134</v>
      </c>
      <c r="C1286" s="0" t="s">
        <v>134</v>
      </c>
      <c r="D1286" s="0" t="s">
        <v>135</v>
      </c>
      <c r="E1286" s="0" t="s">
        <v>2</v>
      </c>
      <c r="F1286" s="0" t="s">
        <v>12</v>
      </c>
      <c r="G1286" s="0" t="s">
        <v>8</v>
      </c>
      <c r="H1286" s="0">
        <v>1744</v>
      </c>
      <c r="I1286" s="0">
        <v>105</v>
      </c>
      <c r="J1286" s="0">
        <v>0</v>
      </c>
      <c r="K1286" s="0">
        <v>1</v>
      </c>
      <c r="L1286" s="0">
        <v>3</v>
      </c>
      <c r="M1286" s="0">
        <v>3</v>
      </c>
      <c r="N1286" s="0">
        <v>0</v>
      </c>
      <c r="O1286" s="0">
        <v>0</v>
      </c>
      <c r="P1286" s="0">
        <v>0</v>
      </c>
      <c r="R1286" s="0" t="b">
        <v>0</v>
      </c>
      <c r="S1286" s="0" t="b">
        <v>1</v>
      </c>
      <c r="T1286" s="68">
        <v>44309.5</v>
      </c>
      <c r="U1286" s="68">
        <v>44339.5</v>
      </c>
      <c r="V1286" s="68">
        <v>0</v>
      </c>
      <c r="W1286" s="0">
        <f>IF(IF(B1286="none",1,IF(B1286="Trialer",1,0))+IF(C1286="Customer",1,IF(C1286="Lost",1,0))=2,1,0)</f>
      </c>
      <c r="X1286" s="0" t="s">
        <v>153</v>
      </c>
      <c r="Y1286" s="0" t="s">
        <v>499</v>
      </c>
      <c r="AV1286" s="68"/>
      <c r="AW1286" s="68"/>
      <c r="AY1286" s="27"/>
      <c r="BD1286" s="68">
        <v>46054.1666666667</v>
      </c>
      <c r="BE1286" s="68">
        <v>46082.1666666667</v>
      </c>
      <c r="BF1286" s="0" t="b">
        <v>0</v>
      </c>
      <c r="BG1286" s="0" t="b">
        <v>0</v>
      </c>
      <c r="BH1286" s="0">
        <v>105</v>
      </c>
      <c r="BI1286" s="0">
        <v>105</v>
      </c>
      <c r="BJ1286" s="0" t="s">
        <v>135</v>
      </c>
    </row>
    <row r="1287">
      <c r="A1287" s="0" t="s">
        <v>1496</v>
      </c>
      <c r="B1287" s="0" t="s">
        <v>134</v>
      </c>
      <c r="C1287" s="0" t="s">
        <v>134</v>
      </c>
      <c r="D1287" s="0" t="s">
        <v>135</v>
      </c>
      <c r="E1287" s="0" t="s">
        <v>3</v>
      </c>
      <c r="F1287" s="0" t="s">
        <v>12</v>
      </c>
      <c r="G1287" s="0" t="s">
        <v>8</v>
      </c>
      <c r="H1287" s="0">
        <v>1744</v>
      </c>
      <c r="I1287" s="0">
        <v>526</v>
      </c>
      <c r="J1287" s="0">
        <v>0</v>
      </c>
      <c r="K1287" s="0">
        <v>1</v>
      </c>
      <c r="L1287" s="0">
        <v>3</v>
      </c>
      <c r="M1287" s="0">
        <v>13</v>
      </c>
      <c r="N1287" s="0">
        <v>0</v>
      </c>
      <c r="O1287" s="0">
        <v>0</v>
      </c>
      <c r="P1287" s="0">
        <v>0</v>
      </c>
      <c r="R1287" s="0" t="b">
        <v>0</v>
      </c>
      <c r="S1287" s="0" t="b">
        <v>1</v>
      </c>
      <c r="T1287" s="68">
        <v>44309.6546990741</v>
      </c>
      <c r="U1287" s="68">
        <v>44339.3333333333</v>
      </c>
      <c r="V1287" s="68">
        <v>0</v>
      </c>
      <c r="W1287" s="0">
        <f>IF(IF(B1287="none",1,IF(B1287="Trialer",1,0))+IF(C1287="Customer",1,IF(C1287="Lost",1,0))=2,1,0)</f>
      </c>
      <c r="X1287" s="0" t="s">
        <v>148</v>
      </c>
      <c r="Y1287" s="0" t="s">
        <v>243</v>
      </c>
      <c r="AV1287" s="68"/>
      <c r="AW1287" s="68"/>
      <c r="AY1287" s="27"/>
      <c r="BD1287" s="68">
        <v>46054.1666666667</v>
      </c>
      <c r="BE1287" s="68">
        <v>46082.1666666667</v>
      </c>
      <c r="BF1287" s="0" t="b">
        <v>0</v>
      </c>
      <c r="BG1287" s="0" t="b">
        <v>0</v>
      </c>
      <c r="BH1287" s="0">
        <v>563</v>
      </c>
      <c r="BI1287" s="0">
        <v>563</v>
      </c>
      <c r="BJ1287" s="0" t="s">
        <v>135</v>
      </c>
    </row>
    <row r="1288">
      <c r="A1288" s="0" t="s">
        <v>1497</v>
      </c>
      <c r="B1288" s="0" t="s">
        <v>134</v>
      </c>
      <c r="C1288" s="0" t="s">
        <v>134</v>
      </c>
      <c r="D1288" s="0" t="s">
        <v>135</v>
      </c>
      <c r="E1288" s="0" t="s">
        <v>3</v>
      </c>
      <c r="F1288" s="0" t="s">
        <v>12</v>
      </c>
      <c r="G1288" s="0" t="s">
        <v>8</v>
      </c>
      <c r="H1288" s="0">
        <v>1742</v>
      </c>
      <c r="I1288" s="0">
        <v>1040</v>
      </c>
      <c r="J1288" s="0">
        <v>0</v>
      </c>
      <c r="K1288" s="0">
        <v>1</v>
      </c>
      <c r="L1288" s="0">
        <v>4</v>
      </c>
      <c r="M1288" s="0">
        <v>16</v>
      </c>
      <c r="N1288" s="0">
        <v>558</v>
      </c>
      <c r="O1288" s="0">
        <v>0</v>
      </c>
      <c r="P1288" s="0">
        <v>0</v>
      </c>
      <c r="R1288" s="0" t="b">
        <v>0</v>
      </c>
      <c r="S1288" s="0" t="b">
        <v>1</v>
      </c>
      <c r="T1288" s="68">
        <v>44311.7127083333</v>
      </c>
      <c r="U1288" s="68">
        <v>44343.3333333333</v>
      </c>
      <c r="V1288" s="68">
        <v>0</v>
      </c>
      <c r="W1288" s="0">
        <f>IF(IF(B1288="none",1,IF(B1288="Trialer",1,0))+IF(C1288="Customer",1,IF(C1288="Lost",1,0))=2,1,0)</f>
      </c>
      <c r="X1288" s="0" t="s">
        <v>148</v>
      </c>
      <c r="Y1288" s="0" t="s">
        <v>243</v>
      </c>
      <c r="AV1288" s="68"/>
      <c r="AW1288" s="68"/>
      <c r="AY1288" s="27"/>
      <c r="BD1288" s="68">
        <v>46054.1666666667</v>
      </c>
      <c r="BE1288" s="68">
        <v>46082.1666666667</v>
      </c>
      <c r="BF1288" s="0" t="b">
        <v>0</v>
      </c>
      <c r="BG1288" s="0" t="b">
        <v>0</v>
      </c>
      <c r="BH1288" s="0">
        <v>715</v>
      </c>
      <c r="BI1288" s="0">
        <v>715</v>
      </c>
      <c r="BJ1288" s="0" t="s">
        <v>135</v>
      </c>
    </row>
    <row r="1289">
      <c r="A1289" s="0" t="s">
        <v>1498</v>
      </c>
      <c r="B1289" s="0" t="s">
        <v>134</v>
      </c>
      <c r="C1289" s="0" t="s">
        <v>134</v>
      </c>
      <c r="D1289" s="0" t="s">
        <v>135</v>
      </c>
      <c r="E1289" s="0" t="s">
        <v>3</v>
      </c>
      <c r="F1289" s="0" t="s">
        <v>12</v>
      </c>
      <c r="G1289" s="0" t="s">
        <v>8</v>
      </c>
      <c r="H1289" s="0">
        <v>1740</v>
      </c>
      <c r="I1289" s="0">
        <v>28</v>
      </c>
      <c r="J1289" s="0">
        <v>0</v>
      </c>
      <c r="K1289" s="0">
        <v>1</v>
      </c>
      <c r="L1289" s="0">
        <v>1</v>
      </c>
      <c r="M1289" s="0">
        <v>1</v>
      </c>
      <c r="N1289" s="0">
        <v>0</v>
      </c>
      <c r="O1289" s="0">
        <v>0</v>
      </c>
      <c r="P1289" s="0">
        <v>0</v>
      </c>
      <c r="R1289" s="0" t="b">
        <v>0</v>
      </c>
      <c r="S1289" s="0" t="b">
        <v>1</v>
      </c>
      <c r="T1289" s="68">
        <v>44313.6095138889</v>
      </c>
      <c r="U1289" s="68">
        <v>44344.3333333333</v>
      </c>
      <c r="V1289" s="68">
        <v>0</v>
      </c>
      <c r="W1289" s="0">
        <f>IF(IF(B1289="none",1,IF(B1289="Trialer",1,0))+IF(C1289="Customer",1,IF(C1289="Lost",1,0))=2,1,0)</f>
      </c>
      <c r="X1289" s="0" t="s">
        <v>166</v>
      </c>
      <c r="Y1289" s="0" t="s">
        <v>243</v>
      </c>
      <c r="AV1289" s="68"/>
      <c r="AW1289" s="68"/>
      <c r="AY1289" s="27"/>
      <c r="BD1289" s="68">
        <v>46054.1666666667</v>
      </c>
      <c r="BE1289" s="68">
        <v>46082.1666666667</v>
      </c>
      <c r="BF1289" s="0" t="b">
        <v>0</v>
      </c>
      <c r="BG1289" s="0" t="b">
        <v>0</v>
      </c>
      <c r="BH1289" s="0">
        <v>28</v>
      </c>
      <c r="BI1289" s="0">
        <v>28</v>
      </c>
      <c r="BJ1289" s="0" t="s">
        <v>135</v>
      </c>
    </row>
    <row r="1290">
      <c r="A1290" s="0" t="s">
        <v>1499</v>
      </c>
      <c r="B1290" s="0" t="s">
        <v>134</v>
      </c>
      <c r="C1290" s="0" t="s">
        <v>134</v>
      </c>
      <c r="D1290" s="0" t="s">
        <v>135</v>
      </c>
      <c r="E1290" s="0" t="s">
        <v>2</v>
      </c>
      <c r="F1290" s="0" t="s">
        <v>12</v>
      </c>
      <c r="G1290" s="0" t="s">
        <v>8</v>
      </c>
      <c r="H1290" s="0">
        <v>1739</v>
      </c>
      <c r="I1290" s="0">
        <v>289</v>
      </c>
      <c r="J1290" s="0">
        <v>0</v>
      </c>
      <c r="K1290" s="0">
        <v>1</v>
      </c>
      <c r="L1290" s="0">
        <v>3</v>
      </c>
      <c r="M1290" s="0">
        <v>7</v>
      </c>
      <c r="N1290" s="0">
        <v>0</v>
      </c>
      <c r="O1290" s="0">
        <v>0</v>
      </c>
      <c r="P1290" s="0">
        <v>0</v>
      </c>
      <c r="R1290" s="0" t="b">
        <v>0</v>
      </c>
      <c r="S1290" s="0" t="b">
        <v>1</v>
      </c>
      <c r="T1290" s="68">
        <v>44314.7305092593</v>
      </c>
      <c r="U1290" s="68">
        <v>44344.3333333333</v>
      </c>
      <c r="V1290" s="68">
        <v>0</v>
      </c>
      <c r="W1290" s="0">
        <f>IF(IF(B1290="none",1,IF(B1290="Trialer",1,0))+IF(C1290="Customer",1,IF(C1290="Lost",1,0))=2,1,0)</f>
      </c>
      <c r="X1290" s="0" t="s">
        <v>145</v>
      </c>
      <c r="Y1290" s="0" t="s">
        <v>499</v>
      </c>
      <c r="AV1290" s="68"/>
      <c r="AW1290" s="68"/>
      <c r="AY1290" s="27"/>
      <c r="BD1290" s="68">
        <v>46054.1666666667</v>
      </c>
      <c r="BE1290" s="68">
        <v>46082.1666666667</v>
      </c>
      <c r="BF1290" s="0" t="b">
        <v>0</v>
      </c>
      <c r="BG1290" s="0" t="b">
        <v>0</v>
      </c>
      <c r="BH1290" s="0">
        <v>289</v>
      </c>
      <c r="BI1290" s="0">
        <v>289</v>
      </c>
      <c r="BJ1290" s="0" t="s">
        <v>135</v>
      </c>
    </row>
    <row r="1291">
      <c r="A1291" s="0" t="s">
        <v>1500</v>
      </c>
      <c r="B1291" s="0" t="s">
        <v>134</v>
      </c>
      <c r="C1291" s="0" t="s">
        <v>134</v>
      </c>
      <c r="D1291" s="0" t="s">
        <v>230</v>
      </c>
      <c r="E1291" s="0" t="s">
        <v>3</v>
      </c>
      <c r="F1291" s="0" t="s">
        <v>12</v>
      </c>
      <c r="G1291" s="0" t="s">
        <v>8</v>
      </c>
      <c r="H1291" s="0">
        <v>1738</v>
      </c>
      <c r="I1291" s="0">
        <v>74</v>
      </c>
      <c r="J1291" s="0">
        <v>0</v>
      </c>
      <c r="K1291" s="0">
        <v>1</v>
      </c>
      <c r="L1291" s="0">
        <v>3</v>
      </c>
      <c r="M1291" s="0">
        <v>3</v>
      </c>
      <c r="N1291" s="0">
        <v>0</v>
      </c>
      <c r="O1291" s="0">
        <v>0</v>
      </c>
      <c r="P1291" s="0">
        <v>-74</v>
      </c>
      <c r="R1291" s="0" t="b">
        <v>0</v>
      </c>
      <c r="S1291" s="0" t="b">
        <v>1</v>
      </c>
      <c r="T1291" s="68">
        <v>44315.6197222222</v>
      </c>
      <c r="U1291" s="68">
        <v>44345.3333333333</v>
      </c>
      <c r="V1291" s="68">
        <v>0</v>
      </c>
      <c r="W1291" s="0">
        <f>IF(IF(B1291="none",1,IF(B1291="Trialer",1,0))+IF(C1291="Customer",1,IF(C1291="Lost",1,0))=2,1,0)</f>
      </c>
      <c r="X1291" s="0" t="s">
        <v>142</v>
      </c>
      <c r="Y1291" s="0" t="s">
        <v>243</v>
      </c>
      <c r="AV1291" s="68"/>
      <c r="AW1291" s="68"/>
      <c r="AY1291" s="27"/>
      <c r="BD1291" s="68">
        <v>46054.1666666667</v>
      </c>
      <c r="BE1291" s="68">
        <v>46082.1666666667</v>
      </c>
      <c r="BF1291" s="0" t="b">
        <v>0</v>
      </c>
      <c r="BG1291" s="0" t="b">
        <v>0</v>
      </c>
      <c r="BH1291" s="0">
        <v>67</v>
      </c>
      <c r="BI1291" s="0">
        <v>67</v>
      </c>
      <c r="BJ1291" s="0" t="s">
        <v>230</v>
      </c>
    </row>
    <row r="1292">
      <c r="A1292" s="0" t="s">
        <v>1501</v>
      </c>
      <c r="B1292" s="0" t="s">
        <v>134</v>
      </c>
      <c r="C1292" s="0" t="s">
        <v>134</v>
      </c>
      <c r="D1292" s="0" t="s">
        <v>230</v>
      </c>
      <c r="E1292" s="0" t="s">
        <v>3</v>
      </c>
      <c r="F1292" s="0" t="s">
        <v>10</v>
      </c>
      <c r="G1292" s="0" t="s">
        <v>8</v>
      </c>
      <c r="H1292" s="0">
        <v>1737</v>
      </c>
      <c r="I1292" s="0">
        <v>25</v>
      </c>
      <c r="J1292" s="0">
        <v>0</v>
      </c>
      <c r="K1292" s="0">
        <v>1</v>
      </c>
      <c r="L1292" s="0">
        <v>1</v>
      </c>
      <c r="M1292" s="0">
        <v>1</v>
      </c>
      <c r="N1292" s="0">
        <v>0</v>
      </c>
      <c r="O1292" s="0">
        <v>0</v>
      </c>
      <c r="P1292" s="0">
        <v>-25</v>
      </c>
      <c r="Q1292" s="0" t="s">
        <v>498</v>
      </c>
      <c r="R1292" s="0" t="b">
        <v>0</v>
      </c>
      <c r="S1292" s="0" t="b">
        <v>1</v>
      </c>
      <c r="T1292" s="68">
        <v>44316.3891898148</v>
      </c>
      <c r="U1292" s="68">
        <v>44348.3333333333</v>
      </c>
      <c r="V1292" s="68">
        <v>0</v>
      </c>
      <c r="W1292" s="0">
        <f>IF(IF(B1292="none",1,IF(B1292="Trialer",1,0))+IF(C1292="Customer",1,IF(C1292="Lost",1,0))=2,1,0)</f>
      </c>
      <c r="X1292" s="0" t="s">
        <v>136</v>
      </c>
      <c r="Y1292" s="0" t="s">
        <v>243</v>
      </c>
      <c r="AV1292" s="68"/>
      <c r="AW1292" s="68"/>
      <c r="AY1292" s="27"/>
      <c r="BD1292" s="68">
        <v>46054.1666666667</v>
      </c>
      <c r="BE1292" s="68">
        <v>46082.1666666667</v>
      </c>
      <c r="BF1292" s="0" t="b">
        <v>0</v>
      </c>
      <c r="BG1292" s="0" t="b">
        <v>0</v>
      </c>
      <c r="BH1292" s="0">
        <v>28</v>
      </c>
      <c r="BI1292" s="0">
        <v>28</v>
      </c>
      <c r="BJ1292" s="0" t="s">
        <v>230</v>
      </c>
    </row>
    <row r="1293">
      <c r="A1293" s="0" t="s">
        <v>1502</v>
      </c>
      <c r="B1293" s="0" t="s">
        <v>134</v>
      </c>
      <c r="C1293" s="0" t="s">
        <v>134</v>
      </c>
      <c r="D1293" s="0" t="s">
        <v>135</v>
      </c>
      <c r="E1293" s="0" t="s">
        <v>3</v>
      </c>
      <c r="F1293" s="0" t="s">
        <v>12</v>
      </c>
      <c r="G1293" s="0" t="s">
        <v>8</v>
      </c>
      <c r="H1293" s="0">
        <v>1734</v>
      </c>
      <c r="I1293" s="0">
        <v>3388</v>
      </c>
      <c r="J1293" s="0">
        <v>0</v>
      </c>
      <c r="K1293" s="0">
        <v>1</v>
      </c>
      <c r="L1293" s="0">
        <v>6</v>
      </c>
      <c r="M1293" s="0">
        <v>73</v>
      </c>
      <c r="N1293" s="0">
        <v>496</v>
      </c>
      <c r="O1293" s="0">
        <v>-77.5</v>
      </c>
      <c r="P1293" s="0">
        <v>0</v>
      </c>
      <c r="R1293" s="0" t="b">
        <v>0</v>
      </c>
      <c r="S1293" s="0" t="b">
        <v>1</v>
      </c>
      <c r="T1293" s="68">
        <v>44319.5536574074</v>
      </c>
      <c r="U1293" s="68">
        <v>44350.3333333333</v>
      </c>
      <c r="V1293" s="68">
        <v>0</v>
      </c>
      <c r="W1293" s="0">
        <f>IF(IF(B1293="none",1,IF(B1293="Trialer",1,0))+IF(C1293="Customer",1,IF(C1293="Lost",1,0))=2,1,0)</f>
      </c>
      <c r="X1293" s="0" t="s">
        <v>136</v>
      </c>
      <c r="Y1293" s="0" t="s">
        <v>243</v>
      </c>
      <c r="AV1293" s="68"/>
      <c r="AW1293" s="68"/>
      <c r="AY1293" s="27"/>
      <c r="BD1293" s="68">
        <v>46054.1666666667</v>
      </c>
      <c r="BE1293" s="68">
        <v>46082.1666666667</v>
      </c>
      <c r="BF1293" s="0" t="b">
        <v>0</v>
      </c>
      <c r="BG1293" s="0" t="b">
        <v>0</v>
      </c>
      <c r="BH1293" s="0">
        <v>2910</v>
      </c>
      <c r="BI1293" s="0">
        <v>2910</v>
      </c>
      <c r="BJ1293" s="0" t="s">
        <v>135</v>
      </c>
    </row>
    <row r="1294">
      <c r="A1294" s="0" t="s">
        <v>1503</v>
      </c>
      <c r="B1294" s="0" t="s">
        <v>134</v>
      </c>
      <c r="C1294" s="0" t="s">
        <v>134</v>
      </c>
      <c r="D1294" s="0" t="s">
        <v>230</v>
      </c>
      <c r="E1294" s="0" t="s">
        <v>3</v>
      </c>
      <c r="F1294" s="0" t="s">
        <v>12</v>
      </c>
      <c r="G1294" s="0" t="s">
        <v>8</v>
      </c>
      <c r="H1294" s="0">
        <v>1733</v>
      </c>
      <c r="I1294" s="0">
        <v>274</v>
      </c>
      <c r="J1294" s="0">
        <v>0</v>
      </c>
      <c r="K1294" s="0">
        <v>1</v>
      </c>
      <c r="L1294" s="0">
        <v>4</v>
      </c>
      <c r="M1294" s="0">
        <v>6</v>
      </c>
      <c r="N1294" s="0">
        <v>0</v>
      </c>
      <c r="O1294" s="0">
        <v>0</v>
      </c>
      <c r="P1294" s="0">
        <v>-274</v>
      </c>
      <c r="R1294" s="0" t="b">
        <v>0</v>
      </c>
      <c r="S1294" s="0" t="b">
        <v>1</v>
      </c>
      <c r="T1294" s="68">
        <v>44320.5402777778</v>
      </c>
      <c r="U1294" s="68">
        <v>44343.3333333333</v>
      </c>
      <c r="V1294" s="68">
        <v>0</v>
      </c>
      <c r="W1294" s="0">
        <f>IF(IF(B1294="none",1,IF(B1294="Trialer",1,0))+IF(C1294="Customer",1,IF(C1294="Lost",1,0))=2,1,0)</f>
      </c>
      <c r="X1294" s="0" t="s">
        <v>148</v>
      </c>
      <c r="Y1294" s="0" t="s">
        <v>243</v>
      </c>
      <c r="AV1294" s="68"/>
      <c r="AW1294" s="68"/>
      <c r="AY1294" s="27"/>
      <c r="BD1294" s="68">
        <v>46054.1666666667</v>
      </c>
      <c r="BE1294" s="68">
        <v>46082.1666666667</v>
      </c>
      <c r="BF1294" s="0" t="b">
        <v>0</v>
      </c>
      <c r="BG1294" s="0" t="b">
        <v>0</v>
      </c>
      <c r="BH1294" s="0">
        <v>306</v>
      </c>
      <c r="BI1294" s="0">
        <v>306</v>
      </c>
      <c r="BJ1294" s="0" t="s">
        <v>230</v>
      </c>
    </row>
    <row r="1295">
      <c r="A1295" s="0" t="s">
        <v>1504</v>
      </c>
      <c r="B1295" s="0" t="s">
        <v>134</v>
      </c>
      <c r="C1295" s="0" t="s">
        <v>134</v>
      </c>
      <c r="D1295" s="0" t="s">
        <v>230</v>
      </c>
      <c r="E1295" s="0" t="s">
        <v>3</v>
      </c>
      <c r="F1295" s="0" t="s">
        <v>12</v>
      </c>
      <c r="G1295" s="0" t="s">
        <v>8</v>
      </c>
      <c r="H1295" s="0">
        <v>1731</v>
      </c>
      <c r="I1295" s="0">
        <v>371</v>
      </c>
      <c r="J1295" s="0">
        <v>0</v>
      </c>
      <c r="K1295" s="0">
        <v>1</v>
      </c>
      <c r="L1295" s="0">
        <v>4</v>
      </c>
      <c r="M1295" s="0">
        <v>8</v>
      </c>
      <c r="N1295" s="0">
        <v>0</v>
      </c>
      <c r="O1295" s="0">
        <v>0</v>
      </c>
      <c r="P1295" s="0">
        <v>-216</v>
      </c>
      <c r="R1295" s="0" t="b">
        <v>0</v>
      </c>
      <c r="S1295" s="0" t="b">
        <v>1</v>
      </c>
      <c r="T1295" s="68">
        <v>44322.5902777778</v>
      </c>
      <c r="U1295" s="68">
        <v>44356.3333333333</v>
      </c>
      <c r="V1295" s="68">
        <v>0</v>
      </c>
      <c r="W1295" s="0">
        <f>IF(IF(B1295="none",1,IF(B1295="Trialer",1,0))+IF(C1295="Customer",1,IF(C1295="Lost",1,0))=2,1,0)</f>
      </c>
      <c r="X1295" s="0" t="s">
        <v>136</v>
      </c>
      <c r="Y1295" s="0" t="s">
        <v>243</v>
      </c>
      <c r="AV1295" s="68"/>
      <c r="AW1295" s="68"/>
      <c r="AY1295" s="27"/>
      <c r="BD1295" s="68">
        <v>46054.1666666667</v>
      </c>
      <c r="BE1295" s="68">
        <v>46082.1666666667</v>
      </c>
      <c r="BF1295" s="0" t="b">
        <v>0</v>
      </c>
      <c r="BG1295" s="0" t="b">
        <v>0</v>
      </c>
      <c r="BH1295" s="0">
        <v>371</v>
      </c>
      <c r="BI1295" s="0">
        <v>371</v>
      </c>
      <c r="BJ1295" s="0" t="s">
        <v>230</v>
      </c>
    </row>
    <row r="1296">
      <c r="A1296" s="0" t="s">
        <v>1505</v>
      </c>
      <c r="B1296" s="0" t="s">
        <v>134</v>
      </c>
      <c r="C1296" s="0" t="s">
        <v>134</v>
      </c>
      <c r="D1296" s="0" t="s">
        <v>230</v>
      </c>
      <c r="E1296" s="0" t="s">
        <v>3</v>
      </c>
      <c r="F1296" s="0" t="s">
        <v>12</v>
      </c>
      <c r="G1296" s="0" t="s">
        <v>8</v>
      </c>
      <c r="H1296" s="0">
        <v>1730</v>
      </c>
      <c r="I1296" s="0">
        <v>4017</v>
      </c>
      <c r="J1296" s="0">
        <v>0</v>
      </c>
      <c r="K1296" s="0">
        <v>2</v>
      </c>
      <c r="L1296" s="0">
        <v>6</v>
      </c>
      <c r="M1296" s="0">
        <v>22</v>
      </c>
      <c r="N1296" s="0">
        <v>0</v>
      </c>
      <c r="O1296" s="0">
        <v>0</v>
      </c>
      <c r="P1296" s="0">
        <v>-1117</v>
      </c>
      <c r="R1296" s="0" t="b">
        <v>0</v>
      </c>
      <c r="S1296" s="0" t="b">
        <v>1</v>
      </c>
      <c r="T1296" s="68">
        <v>44323.2999189815</v>
      </c>
      <c r="U1296" s="68">
        <v>44355.3333333333</v>
      </c>
      <c r="V1296" s="68">
        <v>0</v>
      </c>
      <c r="W1296" s="0">
        <f>IF(IF(B1296="none",1,IF(B1296="Trialer",1,0))+IF(C1296="Customer",1,IF(C1296="Lost",1,0))=2,1,0)</f>
      </c>
      <c r="X1296" s="0" t="s">
        <v>136</v>
      </c>
      <c r="Y1296" s="0" t="s">
        <v>243</v>
      </c>
      <c r="AV1296" s="68"/>
      <c r="AW1296" s="68"/>
      <c r="AY1296" s="27"/>
      <c r="BD1296" s="68">
        <v>46054.1666666667</v>
      </c>
      <c r="BE1296" s="68">
        <v>46082.1666666667</v>
      </c>
      <c r="BF1296" s="0" t="b">
        <v>0</v>
      </c>
      <c r="BG1296" s="0" t="b">
        <v>0</v>
      </c>
      <c r="BH1296" s="0">
        <v>1359</v>
      </c>
      <c r="BI1296" s="0">
        <v>1359</v>
      </c>
      <c r="BJ1296" s="0" t="s">
        <v>230</v>
      </c>
    </row>
    <row r="1297">
      <c r="A1297" s="0" t="s">
        <v>1506</v>
      </c>
      <c r="B1297" s="0" t="s">
        <v>134</v>
      </c>
      <c r="C1297" s="0" t="s">
        <v>134</v>
      </c>
      <c r="D1297" s="0" t="s">
        <v>135</v>
      </c>
      <c r="E1297" s="0" t="s">
        <v>3</v>
      </c>
      <c r="F1297" s="0" t="s">
        <v>12</v>
      </c>
      <c r="G1297" s="0" t="s">
        <v>8</v>
      </c>
      <c r="H1297" s="0">
        <v>1728</v>
      </c>
      <c r="I1297" s="0">
        <v>0</v>
      </c>
      <c r="J1297" s="0">
        <v>0</v>
      </c>
      <c r="K1297" s="0">
        <v>1</v>
      </c>
      <c r="L1297" s="0">
        <v>3</v>
      </c>
      <c r="M1297" s="0">
        <v>1</v>
      </c>
      <c r="N1297" s="0">
        <v>0</v>
      </c>
      <c r="O1297" s="0">
        <v>0</v>
      </c>
      <c r="P1297" s="0">
        <v>0</v>
      </c>
      <c r="R1297" s="0" t="b">
        <v>0</v>
      </c>
      <c r="S1297" s="0" t="b">
        <v>1</v>
      </c>
      <c r="T1297" s="68">
        <v>44325.9124305556</v>
      </c>
      <c r="U1297" s="68">
        <v>44356.3333333333</v>
      </c>
      <c r="V1297" s="68">
        <v>0</v>
      </c>
      <c r="W1297" s="0">
        <f>IF(IF(B1297="none",1,IF(B1297="Trialer",1,0))+IF(C1297="Customer",1,IF(C1297="Lost",1,0))=2,1,0)</f>
      </c>
      <c r="X1297" s="0" t="s">
        <v>148</v>
      </c>
      <c r="Y1297" s="0" t="s">
        <v>243</v>
      </c>
      <c r="AV1297" s="68"/>
      <c r="AW1297" s="68"/>
      <c r="AY1297" s="27"/>
      <c r="BD1297" s="68">
        <v>46054.1666666667</v>
      </c>
      <c r="BE1297" s="68">
        <v>46082.1666666667</v>
      </c>
      <c r="BF1297" s="0" t="b">
        <v>0</v>
      </c>
      <c r="BG1297" s="0" t="b">
        <v>0</v>
      </c>
      <c r="BH1297" s="0">
        <v>0</v>
      </c>
      <c r="BI1297" s="0">
        <v>0</v>
      </c>
      <c r="BJ1297" s="0" t="s">
        <v>135</v>
      </c>
    </row>
    <row r="1298">
      <c r="A1298" s="0" t="s">
        <v>1507</v>
      </c>
      <c r="B1298" s="0" t="s">
        <v>134</v>
      </c>
      <c r="C1298" s="0" t="s">
        <v>134</v>
      </c>
      <c r="D1298" s="0" t="s">
        <v>135</v>
      </c>
      <c r="E1298" s="0" t="s">
        <v>3</v>
      </c>
      <c r="F1298" s="0" t="s">
        <v>12</v>
      </c>
      <c r="G1298" s="0" t="s">
        <v>7</v>
      </c>
      <c r="H1298" s="0">
        <v>1726</v>
      </c>
      <c r="I1298" s="0">
        <v>40</v>
      </c>
      <c r="J1298" s="0">
        <v>0</v>
      </c>
      <c r="K1298" s="0">
        <v>1</v>
      </c>
      <c r="L1298" s="0">
        <v>1</v>
      </c>
      <c r="M1298" s="0">
        <v>1</v>
      </c>
      <c r="N1298" s="0">
        <v>0</v>
      </c>
      <c r="O1298" s="0">
        <v>0</v>
      </c>
      <c r="P1298" s="0">
        <v>0</v>
      </c>
      <c r="R1298" s="0" t="b">
        <v>0</v>
      </c>
      <c r="S1298" s="0" t="b">
        <v>1</v>
      </c>
      <c r="T1298" s="68">
        <v>44327.5</v>
      </c>
      <c r="U1298" s="68">
        <v>44327.3333333333</v>
      </c>
      <c r="V1298" s="68">
        <v>0</v>
      </c>
      <c r="W1298" s="0">
        <f>IF(IF(B1298="none",1,IF(B1298="Trialer",1,0))+IF(C1298="Customer",1,IF(C1298="Lost",1,0))=2,1,0)</f>
      </c>
      <c r="X1298" s="0" t="s">
        <v>136</v>
      </c>
      <c r="Y1298" s="0" t="s">
        <v>213</v>
      </c>
      <c r="AV1298" s="68"/>
      <c r="AW1298" s="68"/>
      <c r="AY1298" s="27"/>
      <c r="BD1298" s="68">
        <v>46054.1666666667</v>
      </c>
      <c r="BE1298" s="68">
        <v>46082.1666666667</v>
      </c>
      <c r="BF1298" s="0" t="b">
        <v>0</v>
      </c>
      <c r="BG1298" s="0" t="b">
        <v>0</v>
      </c>
      <c r="BH1298" s="0">
        <v>40</v>
      </c>
      <c r="BI1298" s="0">
        <v>40</v>
      </c>
      <c r="BJ1298" s="0" t="s">
        <v>135</v>
      </c>
    </row>
    <row r="1299">
      <c r="A1299" s="0" t="s">
        <v>1508</v>
      </c>
      <c r="B1299" s="0" t="s">
        <v>134</v>
      </c>
      <c r="C1299" s="0" t="s">
        <v>134</v>
      </c>
      <c r="D1299" s="0" t="s">
        <v>230</v>
      </c>
      <c r="E1299" s="0" t="s">
        <v>3</v>
      </c>
      <c r="F1299" s="0" t="s">
        <v>12</v>
      </c>
      <c r="G1299" s="0" t="s">
        <v>8</v>
      </c>
      <c r="H1299" s="0">
        <v>1726</v>
      </c>
      <c r="I1299" s="0">
        <v>50</v>
      </c>
      <c r="J1299" s="0">
        <v>0</v>
      </c>
      <c r="K1299" s="0">
        <v>1</v>
      </c>
      <c r="L1299" s="0">
        <v>1</v>
      </c>
      <c r="M1299" s="0">
        <v>2</v>
      </c>
      <c r="N1299" s="0">
        <v>0</v>
      </c>
      <c r="O1299" s="0">
        <v>0</v>
      </c>
      <c r="P1299" s="0">
        <v>-50</v>
      </c>
      <c r="R1299" s="0" t="b">
        <v>0</v>
      </c>
      <c r="S1299" s="0" t="b">
        <v>1</v>
      </c>
      <c r="T1299" s="68">
        <v>44327.6958101852</v>
      </c>
      <c r="U1299" s="68">
        <v>44358.3333333333</v>
      </c>
      <c r="V1299" s="68">
        <v>0</v>
      </c>
      <c r="W1299" s="0">
        <f>IF(IF(B1299="none",1,IF(B1299="Trialer",1,0))+IF(C1299="Customer",1,IF(C1299="Lost",1,0))=2,1,0)</f>
      </c>
      <c r="X1299" s="0" t="s">
        <v>142</v>
      </c>
      <c r="Y1299" s="0" t="s">
        <v>243</v>
      </c>
      <c r="AV1299" s="68"/>
      <c r="AW1299" s="68"/>
      <c r="AY1299" s="27"/>
      <c r="BD1299" s="68">
        <v>46054.1666666667</v>
      </c>
      <c r="BE1299" s="68">
        <v>46082.1666666667</v>
      </c>
      <c r="BF1299" s="0" t="b">
        <v>0</v>
      </c>
      <c r="BG1299" s="0" t="b">
        <v>0</v>
      </c>
      <c r="BH1299" s="0">
        <v>56</v>
      </c>
      <c r="BI1299" s="0">
        <v>56</v>
      </c>
      <c r="BJ1299" s="0" t="s">
        <v>230</v>
      </c>
    </row>
    <row r="1300">
      <c r="A1300" s="0" t="s">
        <v>1509</v>
      </c>
      <c r="B1300" s="0" t="s">
        <v>134</v>
      </c>
      <c r="C1300" s="0" t="s">
        <v>134</v>
      </c>
      <c r="D1300" s="0" t="s">
        <v>135</v>
      </c>
      <c r="E1300" s="0" t="s">
        <v>3</v>
      </c>
      <c r="F1300" s="0" t="s">
        <v>12</v>
      </c>
      <c r="G1300" s="0" t="s">
        <v>8</v>
      </c>
      <c r="H1300" s="0">
        <v>1726</v>
      </c>
      <c r="I1300" s="0">
        <v>112</v>
      </c>
      <c r="J1300" s="0">
        <v>0</v>
      </c>
      <c r="K1300" s="0">
        <v>1</v>
      </c>
      <c r="L1300" s="0">
        <v>1</v>
      </c>
      <c r="M1300" s="0">
        <v>4</v>
      </c>
      <c r="N1300" s="0">
        <v>0</v>
      </c>
      <c r="O1300" s="0">
        <v>0</v>
      </c>
      <c r="P1300" s="0">
        <v>0</v>
      </c>
      <c r="R1300" s="0" t="b">
        <v>0</v>
      </c>
      <c r="S1300" s="0" t="b">
        <v>1</v>
      </c>
      <c r="T1300" s="68">
        <v>44327.8104166667</v>
      </c>
      <c r="U1300" s="68">
        <v>44368.5</v>
      </c>
      <c r="V1300" s="68">
        <v>0</v>
      </c>
      <c r="W1300" s="0">
        <f>IF(IF(B1300="none",1,IF(B1300="Trialer",1,0))+IF(C1300="Customer",1,IF(C1300="Lost",1,0))=2,1,0)</f>
      </c>
      <c r="X1300" s="0" t="s">
        <v>148</v>
      </c>
      <c r="Y1300" s="0" t="s">
        <v>243</v>
      </c>
      <c r="AV1300" s="68"/>
      <c r="AW1300" s="68"/>
      <c r="AY1300" s="27"/>
      <c r="BD1300" s="68">
        <v>46054.1666666667</v>
      </c>
      <c r="BE1300" s="68">
        <v>46082.1666666667</v>
      </c>
      <c r="BF1300" s="0" t="b">
        <v>0</v>
      </c>
      <c r="BG1300" s="0" t="b">
        <v>0</v>
      </c>
      <c r="BH1300" s="0">
        <v>84</v>
      </c>
      <c r="BI1300" s="0">
        <v>84</v>
      </c>
      <c r="BJ1300" s="0" t="s">
        <v>135</v>
      </c>
    </row>
    <row r="1301">
      <c r="A1301" s="0" t="s">
        <v>1510</v>
      </c>
      <c r="B1301" s="0" t="s">
        <v>134</v>
      </c>
      <c r="C1301" s="0" t="s">
        <v>134</v>
      </c>
      <c r="D1301" s="0" t="s">
        <v>135</v>
      </c>
      <c r="E1301" s="0" t="s">
        <v>3</v>
      </c>
      <c r="F1301" s="0" t="s">
        <v>12</v>
      </c>
      <c r="G1301" s="0" t="s">
        <v>8</v>
      </c>
      <c r="H1301" s="0">
        <v>1725</v>
      </c>
      <c r="I1301" s="0">
        <v>302</v>
      </c>
      <c r="J1301" s="0">
        <v>0</v>
      </c>
      <c r="K1301" s="0">
        <v>1</v>
      </c>
      <c r="L1301" s="0">
        <v>5</v>
      </c>
      <c r="M1301" s="0">
        <v>5</v>
      </c>
      <c r="N1301" s="0">
        <v>0</v>
      </c>
      <c r="O1301" s="0">
        <v>0</v>
      </c>
      <c r="P1301" s="0">
        <v>0</v>
      </c>
      <c r="R1301" s="0" t="b">
        <v>0</v>
      </c>
      <c r="S1301" s="0" t="b">
        <v>1</v>
      </c>
      <c r="T1301" s="68">
        <v>44328.5151041667</v>
      </c>
      <c r="U1301" s="68">
        <v>44361.3333333333</v>
      </c>
      <c r="V1301" s="68">
        <v>0</v>
      </c>
      <c r="W1301" s="0">
        <f>IF(IF(B1301="none",1,IF(B1301="Trialer",1,0))+IF(C1301="Customer",1,IF(C1301="Lost",1,0))=2,1,0)</f>
      </c>
      <c r="X1301" s="0" t="s">
        <v>148</v>
      </c>
      <c r="Y1301" s="0" t="s">
        <v>243</v>
      </c>
      <c r="AV1301" s="68"/>
      <c r="AW1301" s="68"/>
      <c r="AY1301" s="27"/>
      <c r="BD1301" s="68">
        <v>46054.1666666667</v>
      </c>
      <c r="BE1301" s="68">
        <v>46082.1666666667</v>
      </c>
      <c r="BF1301" s="0" t="b">
        <v>0</v>
      </c>
      <c r="BG1301" s="0" t="b">
        <v>0</v>
      </c>
      <c r="BH1301" s="0">
        <v>314</v>
      </c>
      <c r="BI1301" s="0">
        <v>314</v>
      </c>
      <c r="BJ1301" s="0" t="s">
        <v>135</v>
      </c>
    </row>
    <row r="1302">
      <c r="A1302" s="0" t="s">
        <v>1511</v>
      </c>
      <c r="B1302" s="0" t="s">
        <v>134</v>
      </c>
      <c r="C1302" s="0" t="s">
        <v>134</v>
      </c>
      <c r="D1302" s="0" t="s">
        <v>135</v>
      </c>
      <c r="E1302" s="0" t="s">
        <v>3</v>
      </c>
      <c r="F1302" s="0" t="s">
        <v>12</v>
      </c>
      <c r="G1302" s="0" t="s">
        <v>8</v>
      </c>
      <c r="H1302" s="0">
        <v>1725</v>
      </c>
      <c r="I1302" s="0">
        <v>49</v>
      </c>
      <c r="J1302" s="0">
        <v>0</v>
      </c>
      <c r="K1302" s="0">
        <v>1</v>
      </c>
      <c r="L1302" s="0">
        <v>3</v>
      </c>
      <c r="M1302" s="0">
        <v>1</v>
      </c>
      <c r="N1302" s="0">
        <v>0</v>
      </c>
      <c r="O1302" s="0">
        <v>0</v>
      </c>
      <c r="P1302" s="0">
        <v>0</v>
      </c>
      <c r="R1302" s="0" t="b">
        <v>0</v>
      </c>
      <c r="S1302" s="0" t="b">
        <v>1</v>
      </c>
      <c r="T1302" s="68">
        <v>44328.6242361111</v>
      </c>
      <c r="U1302" s="68">
        <v>44359.3333333333</v>
      </c>
      <c r="V1302" s="68">
        <v>0</v>
      </c>
      <c r="W1302" s="0">
        <f>IF(IF(B1302="none",1,IF(B1302="Trialer",1,0))+IF(C1302="Customer",1,IF(C1302="Lost",1,0))=2,1,0)</f>
      </c>
      <c r="X1302" s="0" t="s">
        <v>142</v>
      </c>
      <c r="Y1302" s="0" t="s">
        <v>243</v>
      </c>
      <c r="AV1302" s="68"/>
      <c r="AW1302" s="68"/>
      <c r="AY1302" s="27"/>
      <c r="BD1302" s="68">
        <v>46054.1666666667</v>
      </c>
      <c r="BE1302" s="68">
        <v>46082.1666666667</v>
      </c>
      <c r="BF1302" s="0" t="b">
        <v>0</v>
      </c>
      <c r="BG1302" s="0" t="b">
        <v>0</v>
      </c>
      <c r="BH1302" s="0">
        <v>49</v>
      </c>
      <c r="BI1302" s="0">
        <v>49</v>
      </c>
      <c r="BJ1302" s="0" t="s">
        <v>135</v>
      </c>
    </row>
    <row r="1303">
      <c r="A1303" s="0" t="s">
        <v>1512</v>
      </c>
      <c r="B1303" s="0" t="s">
        <v>134</v>
      </c>
      <c r="C1303" s="0" t="s">
        <v>134</v>
      </c>
      <c r="D1303" s="0" t="s">
        <v>230</v>
      </c>
      <c r="E1303" s="0" t="s">
        <v>2</v>
      </c>
      <c r="F1303" s="0" t="s">
        <v>12</v>
      </c>
      <c r="G1303" s="0" t="s">
        <v>8</v>
      </c>
      <c r="H1303" s="0">
        <v>1724</v>
      </c>
      <c r="I1303" s="0">
        <v>168</v>
      </c>
      <c r="J1303" s="0">
        <v>0</v>
      </c>
      <c r="K1303" s="0">
        <v>1</v>
      </c>
      <c r="L1303" s="0">
        <v>3</v>
      </c>
      <c r="M1303" s="0">
        <v>4</v>
      </c>
      <c r="N1303" s="0">
        <v>0</v>
      </c>
      <c r="O1303" s="0">
        <v>0</v>
      </c>
      <c r="P1303" s="0">
        <v>-168</v>
      </c>
      <c r="R1303" s="0" t="b">
        <v>0</v>
      </c>
      <c r="S1303" s="0" t="b">
        <v>1</v>
      </c>
      <c r="T1303" s="68">
        <v>44329.5319444444</v>
      </c>
      <c r="U1303" s="68">
        <v>44360.3333333333</v>
      </c>
      <c r="V1303" s="68">
        <v>0</v>
      </c>
      <c r="W1303" s="0">
        <f>IF(IF(B1303="none",1,IF(B1303="Trialer",1,0))+IF(C1303="Customer",1,IF(C1303="Lost",1,0))=2,1,0)</f>
      </c>
      <c r="X1303" s="0" t="s">
        <v>148</v>
      </c>
      <c r="Y1303" s="0" t="s">
        <v>499</v>
      </c>
      <c r="AV1303" s="68"/>
      <c r="AW1303" s="68"/>
      <c r="AY1303" s="27"/>
      <c r="BD1303" s="68">
        <v>46054.1666666667</v>
      </c>
      <c r="BE1303" s="68">
        <v>46082.1666666667</v>
      </c>
      <c r="BF1303" s="0" t="b">
        <v>0</v>
      </c>
      <c r="BG1303" s="0" t="b">
        <v>0</v>
      </c>
      <c r="BH1303" s="0">
        <v>187</v>
      </c>
      <c r="BI1303" s="0">
        <v>187</v>
      </c>
      <c r="BJ1303" s="0" t="s">
        <v>230</v>
      </c>
    </row>
    <row r="1304">
      <c r="A1304" s="0" t="s">
        <v>1513</v>
      </c>
      <c r="B1304" s="0" t="s">
        <v>134</v>
      </c>
      <c r="C1304" s="0" t="s">
        <v>134</v>
      </c>
      <c r="D1304" s="0" t="s">
        <v>230</v>
      </c>
      <c r="E1304" s="0" t="s">
        <v>3</v>
      </c>
      <c r="F1304" s="0" t="s">
        <v>12</v>
      </c>
      <c r="G1304" s="0" t="s">
        <v>8</v>
      </c>
      <c r="H1304" s="0">
        <v>1724</v>
      </c>
      <c r="I1304" s="0">
        <v>88</v>
      </c>
      <c r="J1304" s="0">
        <v>0</v>
      </c>
      <c r="K1304" s="0">
        <v>1</v>
      </c>
      <c r="L1304" s="0">
        <v>3</v>
      </c>
      <c r="M1304" s="0">
        <v>2</v>
      </c>
      <c r="N1304" s="0">
        <v>0</v>
      </c>
      <c r="O1304" s="0">
        <v>0</v>
      </c>
      <c r="P1304" s="0">
        <v>-88</v>
      </c>
      <c r="R1304" s="0" t="b">
        <v>0</v>
      </c>
      <c r="S1304" s="0" t="b">
        <v>1</v>
      </c>
      <c r="T1304" s="68">
        <v>44329.6203009259</v>
      </c>
      <c r="U1304" s="68">
        <v>44360.3333333333</v>
      </c>
      <c r="V1304" s="68">
        <v>0</v>
      </c>
      <c r="W1304" s="0">
        <f>IF(IF(B1304="none",1,IF(B1304="Trialer",1,0))+IF(C1304="Customer",1,IF(C1304="Lost",1,0))=2,1,0)</f>
      </c>
      <c r="X1304" s="0" t="s">
        <v>142</v>
      </c>
      <c r="Y1304" s="0" t="s">
        <v>243</v>
      </c>
      <c r="AV1304" s="68"/>
      <c r="AW1304" s="68"/>
      <c r="AY1304" s="27"/>
      <c r="BD1304" s="68">
        <v>46054.1666666667</v>
      </c>
      <c r="BE1304" s="68">
        <v>46082.1666666667</v>
      </c>
      <c r="BF1304" s="0" t="b">
        <v>0</v>
      </c>
      <c r="BG1304" s="0" t="b">
        <v>0</v>
      </c>
      <c r="BH1304" s="0">
        <v>98</v>
      </c>
      <c r="BI1304" s="0">
        <v>98</v>
      </c>
      <c r="BJ1304" s="0" t="s">
        <v>230</v>
      </c>
    </row>
    <row r="1305">
      <c r="A1305" s="0" t="s">
        <v>1514</v>
      </c>
      <c r="B1305" s="0" t="s">
        <v>134</v>
      </c>
      <c r="C1305" s="0" t="s">
        <v>134</v>
      </c>
      <c r="D1305" s="0" t="s">
        <v>135</v>
      </c>
      <c r="E1305" s="0" t="s">
        <v>1515</v>
      </c>
      <c r="F1305" s="0" t="s">
        <v>12</v>
      </c>
      <c r="G1305" s="0" t="s">
        <v>8</v>
      </c>
      <c r="H1305" s="0">
        <v>1724</v>
      </c>
      <c r="I1305" s="0">
        <v>49</v>
      </c>
      <c r="J1305" s="0">
        <v>0</v>
      </c>
      <c r="K1305" s="0">
        <v>1</v>
      </c>
      <c r="L1305" s="0">
        <v>3</v>
      </c>
      <c r="M1305" s="0">
        <v>1</v>
      </c>
      <c r="N1305" s="0">
        <v>0</v>
      </c>
      <c r="O1305" s="0">
        <v>0</v>
      </c>
      <c r="P1305" s="0">
        <v>0</v>
      </c>
      <c r="R1305" s="0" t="b">
        <v>0</v>
      </c>
      <c r="S1305" s="0" t="b">
        <v>1</v>
      </c>
      <c r="T1305" s="68">
        <v>44329.6451388889</v>
      </c>
      <c r="U1305" s="68">
        <v>44360.3333333333</v>
      </c>
      <c r="V1305" s="68">
        <v>0</v>
      </c>
      <c r="W1305" s="0">
        <f>IF(IF(B1305="none",1,IF(B1305="Trialer",1,0))+IF(C1305="Customer",1,IF(C1305="Lost",1,0))=2,1,0)</f>
      </c>
      <c r="X1305" s="0" t="s">
        <v>148</v>
      </c>
      <c r="Y1305" s="0" t="s">
        <v>1516</v>
      </c>
      <c r="AV1305" s="68"/>
      <c r="AW1305" s="68"/>
      <c r="AY1305" s="27"/>
      <c r="BD1305" s="68">
        <v>46054.1666666667</v>
      </c>
      <c r="BE1305" s="68">
        <v>46082.1666666667</v>
      </c>
      <c r="BF1305" s="0" t="b">
        <v>0</v>
      </c>
      <c r="BG1305" s="0" t="b">
        <v>0</v>
      </c>
      <c r="BH1305" s="0">
        <v>49</v>
      </c>
      <c r="BI1305" s="0">
        <v>49</v>
      </c>
      <c r="BJ1305" s="0" t="s">
        <v>135</v>
      </c>
    </row>
    <row r="1306">
      <c r="A1306" s="0" t="s">
        <v>1517</v>
      </c>
      <c r="B1306" s="0" t="s">
        <v>134</v>
      </c>
      <c r="C1306" s="0" t="s">
        <v>134</v>
      </c>
      <c r="D1306" s="0" t="s">
        <v>230</v>
      </c>
      <c r="E1306" s="0" t="s">
        <v>3</v>
      </c>
      <c r="F1306" s="0" t="s">
        <v>12</v>
      </c>
      <c r="G1306" s="0" t="s">
        <v>8</v>
      </c>
      <c r="H1306" s="0">
        <v>1720</v>
      </c>
      <c r="I1306" s="0">
        <v>108</v>
      </c>
      <c r="J1306" s="0">
        <v>0</v>
      </c>
      <c r="K1306" s="0">
        <v>1</v>
      </c>
      <c r="L1306" s="0">
        <v>4</v>
      </c>
      <c r="M1306" s="0">
        <v>2</v>
      </c>
      <c r="N1306" s="0">
        <v>0</v>
      </c>
      <c r="O1306" s="0">
        <v>0</v>
      </c>
      <c r="P1306" s="0">
        <v>-108</v>
      </c>
      <c r="R1306" s="0" t="b">
        <v>0</v>
      </c>
      <c r="S1306" s="0" t="b">
        <v>1</v>
      </c>
      <c r="T1306" s="68">
        <v>44333.6473611111</v>
      </c>
      <c r="U1306" s="68">
        <v>44364.3333333333</v>
      </c>
      <c r="V1306" s="68">
        <v>0</v>
      </c>
      <c r="W1306" s="0">
        <f>IF(IF(B1306="none",1,IF(B1306="Trialer",1,0))+IF(C1306="Customer",1,IF(C1306="Lost",1,0))=2,1,0)</f>
      </c>
      <c r="X1306" s="0" t="s">
        <v>142</v>
      </c>
      <c r="Y1306" s="0" t="s">
        <v>243</v>
      </c>
      <c r="AV1306" s="68"/>
      <c r="AW1306" s="68"/>
      <c r="AY1306" s="27"/>
      <c r="BD1306" s="68">
        <v>46054.1666666667</v>
      </c>
      <c r="BE1306" s="68">
        <v>46082.1666666667</v>
      </c>
      <c r="BF1306" s="0" t="b">
        <v>0</v>
      </c>
      <c r="BG1306" s="0" t="b">
        <v>0</v>
      </c>
      <c r="BH1306" s="0">
        <v>122</v>
      </c>
      <c r="BI1306" s="0">
        <v>122</v>
      </c>
      <c r="BJ1306" s="0" t="s">
        <v>230</v>
      </c>
    </row>
    <row r="1307">
      <c r="A1307" s="0" t="s">
        <v>1518</v>
      </c>
      <c r="B1307" s="0" t="s">
        <v>134</v>
      </c>
      <c r="C1307" s="0" t="s">
        <v>134</v>
      </c>
      <c r="D1307" s="0" t="s">
        <v>230</v>
      </c>
      <c r="E1307" s="0" t="s">
        <v>2</v>
      </c>
      <c r="F1307" s="0" t="s">
        <v>10</v>
      </c>
      <c r="G1307" s="0" t="s">
        <v>8</v>
      </c>
      <c r="H1307" s="0">
        <v>1717</v>
      </c>
      <c r="I1307" s="0">
        <v>675</v>
      </c>
      <c r="J1307" s="0">
        <v>0</v>
      </c>
      <c r="K1307" s="0">
        <v>1</v>
      </c>
      <c r="L1307" s="0">
        <v>6</v>
      </c>
      <c r="M1307" s="0">
        <v>12</v>
      </c>
      <c r="N1307" s="0">
        <v>0</v>
      </c>
      <c r="O1307" s="0">
        <v>0</v>
      </c>
      <c r="P1307" s="0">
        <v>-675</v>
      </c>
      <c r="Q1307" s="0" t="s">
        <v>357</v>
      </c>
      <c r="R1307" s="0" t="b">
        <v>0</v>
      </c>
      <c r="S1307" s="0" t="b">
        <v>1</v>
      </c>
      <c r="T1307" s="68">
        <v>44336.4579513889</v>
      </c>
      <c r="U1307" s="68">
        <v>44367.3333333333</v>
      </c>
      <c r="V1307" s="68">
        <v>0</v>
      </c>
      <c r="W1307" s="0">
        <f>IF(IF(B1307="none",1,IF(B1307="Trialer",1,0))+IF(C1307="Customer",1,IF(C1307="Lost",1,0))=2,1,0)</f>
      </c>
      <c r="X1307" s="0" t="s">
        <v>148</v>
      </c>
      <c r="Y1307" s="0" t="s">
        <v>499</v>
      </c>
      <c r="AV1307" s="68"/>
      <c r="AW1307" s="68"/>
      <c r="AY1307" s="27"/>
      <c r="BD1307" s="68">
        <v>46054.1666666667</v>
      </c>
      <c r="BE1307" s="68">
        <v>46082.1666666667</v>
      </c>
      <c r="BF1307" s="0" t="b">
        <v>0</v>
      </c>
      <c r="BG1307" s="0" t="b">
        <v>0</v>
      </c>
      <c r="BH1307" s="0">
        <v>750</v>
      </c>
      <c r="BI1307" s="0">
        <v>750</v>
      </c>
      <c r="BJ1307" s="0" t="s">
        <v>230</v>
      </c>
    </row>
    <row r="1308">
      <c r="A1308" s="0" t="s">
        <v>1519</v>
      </c>
      <c r="B1308" s="0" t="s">
        <v>134</v>
      </c>
      <c r="C1308" s="0" t="s">
        <v>134</v>
      </c>
      <c r="D1308" s="0" t="s">
        <v>135</v>
      </c>
      <c r="E1308" s="0" t="s">
        <v>2</v>
      </c>
      <c r="F1308" s="0" t="s">
        <v>12</v>
      </c>
      <c r="G1308" s="0" t="s">
        <v>8</v>
      </c>
      <c r="H1308" s="0">
        <v>1715</v>
      </c>
      <c r="I1308" s="0">
        <v>138</v>
      </c>
      <c r="J1308" s="0">
        <v>0</v>
      </c>
      <c r="K1308" s="0">
        <v>1</v>
      </c>
      <c r="L1308" s="0">
        <v>4</v>
      </c>
      <c r="M1308" s="0">
        <v>3</v>
      </c>
      <c r="N1308" s="0">
        <v>0</v>
      </c>
      <c r="O1308" s="0">
        <v>0</v>
      </c>
      <c r="P1308" s="0">
        <v>0</v>
      </c>
      <c r="R1308" s="0" t="b">
        <v>0</v>
      </c>
      <c r="S1308" s="0" t="b">
        <v>1</v>
      </c>
      <c r="T1308" s="68">
        <v>44338.0466319444</v>
      </c>
      <c r="U1308" s="68">
        <v>44369.3333333333</v>
      </c>
      <c r="V1308" s="68">
        <v>0</v>
      </c>
      <c r="W1308" s="0">
        <f>IF(IF(B1308="none",1,IF(B1308="Trialer",1,0))+IF(C1308="Customer",1,IF(C1308="Lost",1,0))=2,1,0)</f>
      </c>
      <c r="X1308" s="0" t="s">
        <v>153</v>
      </c>
      <c r="Y1308" s="0" t="s">
        <v>499</v>
      </c>
      <c r="AV1308" s="68"/>
      <c r="AW1308" s="68"/>
      <c r="AY1308" s="27"/>
      <c r="BD1308" s="68">
        <v>46054.1666666667</v>
      </c>
      <c r="BE1308" s="68">
        <v>46082.1666666667</v>
      </c>
      <c r="BF1308" s="0" t="b">
        <v>0</v>
      </c>
      <c r="BG1308" s="0" t="b">
        <v>0</v>
      </c>
      <c r="BH1308" s="0">
        <v>138</v>
      </c>
      <c r="BI1308" s="0">
        <v>138</v>
      </c>
      <c r="BJ1308" s="0" t="s">
        <v>135</v>
      </c>
    </row>
    <row r="1309">
      <c r="A1309" s="0" t="s">
        <v>1520</v>
      </c>
      <c r="B1309" s="0" t="s">
        <v>134</v>
      </c>
      <c r="C1309" s="0" t="s">
        <v>134</v>
      </c>
      <c r="D1309" s="0" t="s">
        <v>135</v>
      </c>
      <c r="E1309" s="0" t="s">
        <v>3</v>
      </c>
      <c r="F1309" s="0" t="s">
        <v>12</v>
      </c>
      <c r="G1309" s="0" t="s">
        <v>8</v>
      </c>
      <c r="H1309" s="0">
        <v>1714</v>
      </c>
      <c r="I1309" s="0">
        <v>86</v>
      </c>
      <c r="J1309" s="0">
        <v>0</v>
      </c>
      <c r="K1309" s="0">
        <v>1</v>
      </c>
      <c r="L1309" s="0">
        <v>3</v>
      </c>
      <c r="M1309" s="0">
        <v>2</v>
      </c>
      <c r="N1309" s="0">
        <v>0</v>
      </c>
      <c r="O1309" s="0">
        <v>0</v>
      </c>
      <c r="P1309" s="0">
        <v>0</v>
      </c>
      <c r="R1309" s="0" t="b">
        <v>0</v>
      </c>
      <c r="S1309" s="0" t="b">
        <v>1</v>
      </c>
      <c r="T1309" s="68">
        <v>44339.7530208333</v>
      </c>
      <c r="U1309" s="68">
        <v>44370.3333333333</v>
      </c>
      <c r="V1309" s="68">
        <v>0</v>
      </c>
      <c r="W1309" s="0">
        <f>IF(IF(B1309="none",1,IF(B1309="Trialer",1,0))+IF(C1309="Customer",1,IF(C1309="Lost",1,0))=2,1,0)</f>
      </c>
      <c r="X1309" s="0" t="s">
        <v>148</v>
      </c>
      <c r="Y1309" s="0" t="s">
        <v>243</v>
      </c>
      <c r="AV1309" s="68"/>
      <c r="AW1309" s="68"/>
      <c r="AY1309" s="27"/>
      <c r="BD1309" s="68">
        <v>46054.1666666667</v>
      </c>
      <c r="BE1309" s="68">
        <v>46082.1666666667</v>
      </c>
      <c r="BF1309" s="0" t="b">
        <v>0</v>
      </c>
      <c r="BG1309" s="0" t="b">
        <v>0</v>
      </c>
      <c r="BH1309" s="0">
        <v>86</v>
      </c>
      <c r="BI1309" s="0">
        <v>86</v>
      </c>
      <c r="BJ1309" s="0" t="s">
        <v>135</v>
      </c>
    </row>
    <row r="1310">
      <c r="A1310" s="0" t="s">
        <v>1521</v>
      </c>
      <c r="B1310" s="0" t="s">
        <v>134</v>
      </c>
      <c r="C1310" s="0" t="s">
        <v>134</v>
      </c>
      <c r="D1310" s="0" t="s">
        <v>135</v>
      </c>
      <c r="E1310" s="0" t="s">
        <v>3</v>
      </c>
      <c r="F1310" s="0" t="s">
        <v>12</v>
      </c>
      <c r="G1310" s="0" t="s">
        <v>8</v>
      </c>
      <c r="H1310" s="0">
        <v>1713</v>
      </c>
      <c r="I1310" s="0">
        <v>49</v>
      </c>
      <c r="J1310" s="0">
        <v>0</v>
      </c>
      <c r="K1310" s="0">
        <v>1</v>
      </c>
      <c r="L1310" s="0">
        <v>3</v>
      </c>
      <c r="M1310" s="0">
        <v>1</v>
      </c>
      <c r="N1310" s="0">
        <v>0</v>
      </c>
      <c r="O1310" s="0">
        <v>0</v>
      </c>
      <c r="P1310" s="0">
        <v>0</v>
      </c>
      <c r="R1310" s="0" t="b">
        <v>0</v>
      </c>
      <c r="S1310" s="0" t="b">
        <v>1</v>
      </c>
      <c r="T1310" s="68">
        <v>44340.30125</v>
      </c>
      <c r="U1310" s="68">
        <v>44371.3333333333</v>
      </c>
      <c r="V1310" s="68">
        <v>0</v>
      </c>
      <c r="W1310" s="0">
        <f>IF(IF(B1310="none",1,IF(B1310="Trialer",1,0))+IF(C1310="Customer",1,IF(C1310="Lost",1,0))=2,1,0)</f>
      </c>
      <c r="X1310" s="0" t="s">
        <v>166</v>
      </c>
      <c r="Y1310" s="0" t="s">
        <v>243</v>
      </c>
      <c r="AV1310" s="68"/>
      <c r="AW1310" s="68"/>
      <c r="AY1310" s="27"/>
      <c r="BD1310" s="68">
        <v>46054.1666666667</v>
      </c>
      <c r="BE1310" s="68">
        <v>46082.1666666667</v>
      </c>
      <c r="BF1310" s="0" t="b">
        <v>0</v>
      </c>
      <c r="BG1310" s="0" t="b">
        <v>0</v>
      </c>
      <c r="BH1310" s="0">
        <v>49</v>
      </c>
      <c r="BI1310" s="0">
        <v>49</v>
      </c>
      <c r="BJ1310" s="0" t="s">
        <v>135</v>
      </c>
    </row>
    <row r="1311">
      <c r="A1311" s="0" t="s">
        <v>1522</v>
      </c>
      <c r="B1311" s="0" t="s">
        <v>134</v>
      </c>
      <c r="C1311" s="0" t="s">
        <v>134</v>
      </c>
      <c r="D1311" s="0" t="s">
        <v>230</v>
      </c>
      <c r="E1311" s="0" t="s">
        <v>3</v>
      </c>
      <c r="F1311" s="0" t="s">
        <v>10</v>
      </c>
      <c r="G1311" s="0" t="s">
        <v>8</v>
      </c>
      <c r="H1311" s="0">
        <v>1711</v>
      </c>
      <c r="I1311" s="0">
        <v>615</v>
      </c>
      <c r="J1311" s="0">
        <v>0</v>
      </c>
      <c r="K1311" s="0">
        <v>1</v>
      </c>
      <c r="L1311" s="0">
        <v>4</v>
      </c>
      <c r="M1311" s="0">
        <v>15</v>
      </c>
      <c r="N1311" s="0">
        <v>0</v>
      </c>
      <c r="O1311" s="0">
        <v>0</v>
      </c>
      <c r="P1311" s="0">
        <v>-615</v>
      </c>
      <c r="Q1311" s="0" t="s">
        <v>1095</v>
      </c>
      <c r="R1311" s="0" t="b">
        <v>0</v>
      </c>
      <c r="S1311" s="0" t="b">
        <v>1</v>
      </c>
      <c r="T1311" s="68">
        <v>44342.4384143519</v>
      </c>
      <c r="U1311" s="68">
        <v>44373.3333333333</v>
      </c>
      <c r="V1311" s="68">
        <v>0</v>
      </c>
      <c r="W1311" s="0">
        <f>IF(IF(B1311="none",1,IF(B1311="Trialer",1,0))+IF(C1311="Customer",1,IF(C1311="Lost",1,0))=2,1,0)</f>
      </c>
      <c r="X1311" s="0" t="s">
        <v>148</v>
      </c>
      <c r="Y1311" s="0" t="s">
        <v>243</v>
      </c>
      <c r="AV1311" s="68"/>
      <c r="AW1311" s="68"/>
      <c r="AY1311" s="27"/>
      <c r="BD1311" s="68">
        <v>46054.1666666667</v>
      </c>
      <c r="BE1311" s="68">
        <v>46082.1666666667</v>
      </c>
      <c r="BF1311" s="0" t="b">
        <v>0</v>
      </c>
      <c r="BG1311" s="0" t="b">
        <v>0</v>
      </c>
      <c r="BH1311" s="0">
        <v>690</v>
      </c>
      <c r="BI1311" s="0">
        <v>690</v>
      </c>
      <c r="BJ1311" s="0" t="s">
        <v>230</v>
      </c>
    </row>
    <row r="1312">
      <c r="A1312" s="0" t="s">
        <v>1523</v>
      </c>
      <c r="B1312" s="0" t="s">
        <v>134</v>
      </c>
      <c r="C1312" s="0" t="s">
        <v>134</v>
      </c>
      <c r="D1312" s="0" t="s">
        <v>135</v>
      </c>
      <c r="E1312" s="0" t="s">
        <v>3</v>
      </c>
      <c r="F1312" s="0" t="s">
        <v>12</v>
      </c>
      <c r="G1312" s="0" t="s">
        <v>8</v>
      </c>
      <c r="H1312" s="0">
        <v>1711</v>
      </c>
      <c r="I1312" s="0">
        <v>0</v>
      </c>
      <c r="J1312" s="0">
        <v>0</v>
      </c>
      <c r="K1312" s="0">
        <v>1</v>
      </c>
      <c r="L1312" s="0">
        <v>6</v>
      </c>
      <c r="M1312" s="0">
        <v>2</v>
      </c>
      <c r="N1312" s="0">
        <v>0</v>
      </c>
      <c r="O1312" s="0">
        <v>0</v>
      </c>
      <c r="P1312" s="0">
        <v>0</v>
      </c>
      <c r="R1312" s="0" t="b">
        <v>0</v>
      </c>
      <c r="S1312" s="0" t="b">
        <v>1</v>
      </c>
      <c r="T1312" s="68">
        <v>44342.5254166667</v>
      </c>
      <c r="U1312" s="68">
        <v>44373.3333333333</v>
      </c>
      <c r="V1312" s="68">
        <v>0</v>
      </c>
      <c r="W1312" s="0">
        <f>IF(IF(B1312="none",1,IF(B1312="Trialer",1,0))+IF(C1312="Customer",1,IF(C1312="Lost",1,0))=2,1,0)</f>
      </c>
      <c r="X1312" s="0" t="s">
        <v>148</v>
      </c>
      <c r="Y1312" s="0" t="s">
        <v>243</v>
      </c>
      <c r="AV1312" s="68"/>
      <c r="AW1312" s="68"/>
      <c r="AY1312" s="27"/>
      <c r="BD1312" s="68">
        <v>46054.1666666667</v>
      </c>
      <c r="BE1312" s="68">
        <v>46082.1666666667</v>
      </c>
      <c r="BF1312" s="0" t="b">
        <v>0</v>
      </c>
      <c r="BG1312" s="0" t="b">
        <v>0</v>
      </c>
      <c r="BH1312" s="0">
        <v>0</v>
      </c>
      <c r="BI1312" s="0">
        <v>0</v>
      </c>
      <c r="BJ1312" s="0" t="s">
        <v>135</v>
      </c>
    </row>
    <row r="1313">
      <c r="A1313" s="0" t="s">
        <v>1524</v>
      </c>
      <c r="B1313" s="0" t="s">
        <v>134</v>
      </c>
      <c r="C1313" s="0" t="s">
        <v>190</v>
      </c>
      <c r="D1313" s="0" t="s">
        <v>135</v>
      </c>
      <c r="E1313" s="0" t="s">
        <v>3</v>
      </c>
      <c r="F1313" s="0" t="s">
        <v>10</v>
      </c>
      <c r="G1313" s="0" t="s">
        <v>8</v>
      </c>
      <c r="H1313" s="0">
        <v>1711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  <c r="Q1313" s="0" t="s">
        <v>1525</v>
      </c>
      <c r="R1313" s="0" t="b">
        <v>0</v>
      </c>
      <c r="S1313" s="0" t="b">
        <v>0</v>
      </c>
      <c r="T1313" s="68">
        <v>44342.6011342593</v>
      </c>
      <c r="U1313" s="68">
        <v>44373.3333333333</v>
      </c>
      <c r="V1313" s="68">
        <v>46059.6398148148</v>
      </c>
      <c r="W1313" s="0">
        <f>IF(IF(B1313="none",1,IF(B1313="Trialer",1,0))+IF(C1313="Customer",1,IF(C1313="Lost",1,0))=2,1,0)</f>
      </c>
      <c r="X1313" s="0" t="s">
        <v>148</v>
      </c>
      <c r="Y1313" s="0" t="s">
        <v>243</v>
      </c>
      <c r="AV1313" s="68"/>
      <c r="AW1313" s="68"/>
      <c r="AY1313" s="27"/>
      <c r="BD1313" s="68">
        <v>46054.1666666667</v>
      </c>
      <c r="BE1313" s="68">
        <v>46082.1666666667</v>
      </c>
      <c r="BF1313" s="0" t="b">
        <v>0</v>
      </c>
      <c r="BG1313" s="0" t="b">
        <v>0</v>
      </c>
      <c r="BH1313" s="0">
        <v>84</v>
      </c>
      <c r="BI1313" s="0">
        <v>84</v>
      </c>
      <c r="BJ1313" s="0" t="s">
        <v>135</v>
      </c>
    </row>
    <row r="1314">
      <c r="A1314" s="0" t="s">
        <v>1526</v>
      </c>
      <c r="B1314" s="0" t="s">
        <v>134</v>
      </c>
      <c r="C1314" s="0" t="s">
        <v>134</v>
      </c>
      <c r="D1314" s="0" t="s">
        <v>135</v>
      </c>
      <c r="E1314" s="0" t="s">
        <v>3</v>
      </c>
      <c r="F1314" s="0" t="s">
        <v>12</v>
      </c>
      <c r="G1314" s="0" t="s">
        <v>8</v>
      </c>
      <c r="H1314" s="0">
        <v>1710</v>
      </c>
      <c r="I1314" s="0">
        <v>40</v>
      </c>
      <c r="J1314" s="0">
        <v>0</v>
      </c>
      <c r="K1314" s="0">
        <v>1</v>
      </c>
      <c r="L1314" s="0">
        <v>2</v>
      </c>
      <c r="M1314" s="0">
        <v>1</v>
      </c>
      <c r="N1314" s="0">
        <v>0</v>
      </c>
      <c r="O1314" s="0">
        <v>0</v>
      </c>
      <c r="P1314" s="0">
        <v>0</v>
      </c>
      <c r="R1314" s="0" t="b">
        <v>0</v>
      </c>
      <c r="S1314" s="0" t="b">
        <v>1</v>
      </c>
      <c r="T1314" s="68">
        <v>44343.2141087963</v>
      </c>
      <c r="U1314" s="68">
        <v>44374.3333333333</v>
      </c>
      <c r="V1314" s="68">
        <v>0</v>
      </c>
      <c r="W1314" s="0">
        <f>IF(IF(B1314="none",1,IF(B1314="Trialer",1,0))+IF(C1314="Customer",1,IF(C1314="Lost",1,0))=2,1,0)</f>
      </c>
      <c r="X1314" s="0" t="s">
        <v>145</v>
      </c>
      <c r="Y1314" s="0" t="s">
        <v>243</v>
      </c>
      <c r="AV1314" s="68"/>
      <c r="AW1314" s="68"/>
      <c r="AY1314" s="27"/>
      <c r="BD1314" s="68">
        <v>46054.1666666667</v>
      </c>
      <c r="BE1314" s="68">
        <v>46082.1666666667</v>
      </c>
      <c r="BF1314" s="0" t="b">
        <v>0</v>
      </c>
      <c r="BG1314" s="0" t="b">
        <v>0</v>
      </c>
      <c r="BH1314" s="0">
        <v>40</v>
      </c>
      <c r="BI1314" s="0">
        <v>40</v>
      </c>
      <c r="BJ1314" s="0" t="s">
        <v>135</v>
      </c>
    </row>
    <row r="1315">
      <c r="A1315" s="0" t="s">
        <v>1527</v>
      </c>
      <c r="B1315" s="0" t="s">
        <v>134</v>
      </c>
      <c r="C1315" s="0" t="s">
        <v>134</v>
      </c>
      <c r="D1315" s="0" t="s">
        <v>135</v>
      </c>
      <c r="E1315" s="0" t="s">
        <v>3</v>
      </c>
      <c r="F1315" s="0" t="s">
        <v>12</v>
      </c>
      <c r="G1315" s="0" t="s">
        <v>8</v>
      </c>
      <c r="H1315" s="0">
        <v>1705</v>
      </c>
      <c r="I1315" s="0">
        <v>147</v>
      </c>
      <c r="J1315" s="0">
        <v>0</v>
      </c>
      <c r="K1315" s="0">
        <v>1</v>
      </c>
      <c r="L1315" s="0">
        <v>3</v>
      </c>
      <c r="M1315" s="0">
        <v>3</v>
      </c>
      <c r="N1315" s="0">
        <v>0</v>
      </c>
      <c r="O1315" s="0">
        <v>0</v>
      </c>
      <c r="P1315" s="0">
        <v>0</v>
      </c>
      <c r="R1315" s="0" t="b">
        <v>0</v>
      </c>
      <c r="S1315" s="0" t="b">
        <v>1</v>
      </c>
      <c r="T1315" s="68">
        <v>44348.8353472222</v>
      </c>
      <c r="U1315" s="68">
        <v>44386.3333333333</v>
      </c>
      <c r="V1315" s="68">
        <v>0</v>
      </c>
      <c r="W1315" s="0">
        <f>IF(IF(B1315="none",1,IF(B1315="Trialer",1,0))+IF(C1315="Customer",1,IF(C1315="Lost",1,0))=2,1,0)</f>
      </c>
      <c r="X1315" s="0" t="s">
        <v>166</v>
      </c>
      <c r="Y1315" s="0" t="s">
        <v>243</v>
      </c>
      <c r="AV1315" s="68"/>
      <c r="AW1315" s="68"/>
      <c r="AY1315" s="27"/>
      <c r="BD1315" s="68">
        <v>46054.1666666667</v>
      </c>
      <c r="BE1315" s="68">
        <v>46082.1666666667</v>
      </c>
      <c r="BF1315" s="0" t="b">
        <v>0</v>
      </c>
      <c r="BG1315" s="0" t="b">
        <v>0</v>
      </c>
      <c r="BH1315" s="0">
        <v>147</v>
      </c>
      <c r="BI1315" s="0">
        <v>147</v>
      </c>
      <c r="BJ1315" s="0" t="s">
        <v>230</v>
      </c>
    </row>
    <row r="1316">
      <c r="A1316" s="0" t="s">
        <v>1528</v>
      </c>
      <c r="B1316" s="0" t="s">
        <v>134</v>
      </c>
      <c r="C1316" s="0" t="s">
        <v>134</v>
      </c>
      <c r="D1316" s="0" t="s">
        <v>135</v>
      </c>
      <c r="E1316" s="0" t="s">
        <v>3</v>
      </c>
      <c r="F1316" s="0" t="s">
        <v>12</v>
      </c>
      <c r="G1316" s="0" t="s">
        <v>8</v>
      </c>
      <c r="H1316" s="0">
        <v>1703</v>
      </c>
      <c r="I1316" s="0">
        <v>126</v>
      </c>
      <c r="J1316" s="0">
        <v>0</v>
      </c>
      <c r="K1316" s="0">
        <v>1</v>
      </c>
      <c r="L1316" s="0">
        <v>3</v>
      </c>
      <c r="M1316" s="0">
        <v>3</v>
      </c>
      <c r="N1316" s="0">
        <v>0</v>
      </c>
      <c r="O1316" s="0">
        <v>0</v>
      </c>
      <c r="P1316" s="0">
        <v>0</v>
      </c>
      <c r="R1316" s="0" t="b">
        <v>0</v>
      </c>
      <c r="S1316" s="0" t="b">
        <v>1</v>
      </c>
      <c r="T1316" s="68">
        <v>44350.2853009259</v>
      </c>
      <c r="U1316" s="68">
        <v>44400.3333333333</v>
      </c>
      <c r="V1316" s="68">
        <v>0</v>
      </c>
      <c r="W1316" s="0">
        <f>IF(IF(B1316="none",1,IF(B1316="Trialer",1,0))+IF(C1316="Customer",1,IF(C1316="Lost",1,0))=2,1,0)</f>
      </c>
      <c r="X1316" s="0" t="s">
        <v>142</v>
      </c>
      <c r="Y1316" s="0" t="s">
        <v>243</v>
      </c>
      <c r="AV1316" s="68"/>
      <c r="AW1316" s="68"/>
      <c r="AY1316" s="27"/>
      <c r="BD1316" s="68">
        <v>46054.1666666667</v>
      </c>
      <c r="BE1316" s="68">
        <v>46082.1666666667</v>
      </c>
      <c r="BF1316" s="0" t="b">
        <v>0</v>
      </c>
      <c r="BG1316" s="0" t="b">
        <v>0</v>
      </c>
      <c r="BH1316" s="0">
        <v>126</v>
      </c>
      <c r="BI1316" s="0">
        <v>126</v>
      </c>
      <c r="BJ1316" s="0" t="s">
        <v>135</v>
      </c>
    </row>
    <row r="1317">
      <c r="A1317" s="0" t="s">
        <v>1529</v>
      </c>
      <c r="B1317" s="0" t="s">
        <v>134</v>
      </c>
      <c r="C1317" s="0" t="s">
        <v>134</v>
      </c>
      <c r="D1317" s="0" t="s">
        <v>135</v>
      </c>
      <c r="E1317" s="0" t="s">
        <v>2</v>
      </c>
      <c r="F1317" s="0" t="s">
        <v>10</v>
      </c>
      <c r="G1317" s="0" t="s">
        <v>8</v>
      </c>
      <c r="H1317" s="0">
        <v>1699</v>
      </c>
      <c r="I1317" s="0">
        <v>28</v>
      </c>
      <c r="J1317" s="0">
        <v>0</v>
      </c>
      <c r="K1317" s="0">
        <v>1</v>
      </c>
      <c r="L1317" s="0">
        <v>1</v>
      </c>
      <c r="M1317" s="0">
        <v>1</v>
      </c>
      <c r="N1317" s="0">
        <v>0</v>
      </c>
      <c r="O1317" s="0">
        <v>0</v>
      </c>
      <c r="P1317" s="0">
        <v>0</v>
      </c>
      <c r="Q1317" s="0" t="s">
        <v>618</v>
      </c>
      <c r="R1317" s="0" t="b">
        <v>0</v>
      </c>
      <c r="S1317" s="0" t="b">
        <v>1</v>
      </c>
      <c r="T1317" s="68">
        <v>44354.4177430556</v>
      </c>
      <c r="U1317" s="68">
        <v>44384.3333333333</v>
      </c>
      <c r="V1317" s="68">
        <v>0</v>
      </c>
      <c r="W1317" s="0">
        <f>IF(IF(B1317="none",1,IF(B1317="Trialer",1,0))+IF(C1317="Customer",1,IF(C1317="Lost",1,0))=2,1,0)</f>
      </c>
      <c r="X1317" s="0" t="s">
        <v>148</v>
      </c>
      <c r="Y1317" s="0" t="s">
        <v>499</v>
      </c>
      <c r="AV1317" s="68"/>
      <c r="AW1317" s="68"/>
      <c r="AY1317" s="27"/>
      <c r="BD1317" s="68">
        <v>46054.1666666667</v>
      </c>
      <c r="BE1317" s="68">
        <v>46082.1666666667</v>
      </c>
      <c r="BF1317" s="0" t="b">
        <v>0</v>
      </c>
      <c r="BG1317" s="0" t="b">
        <v>0</v>
      </c>
      <c r="BH1317" s="0">
        <v>28</v>
      </c>
      <c r="BI1317" s="0">
        <v>28</v>
      </c>
      <c r="BJ1317" s="0" t="s">
        <v>135</v>
      </c>
    </row>
    <row r="1318">
      <c r="A1318" s="0" t="s">
        <v>1530</v>
      </c>
      <c r="B1318" s="0" t="s">
        <v>134</v>
      </c>
      <c r="C1318" s="0" t="s">
        <v>134</v>
      </c>
      <c r="D1318" s="0" t="s">
        <v>135</v>
      </c>
      <c r="E1318" s="0" t="s">
        <v>2</v>
      </c>
      <c r="F1318" s="0" t="s">
        <v>12</v>
      </c>
      <c r="G1318" s="0" t="s">
        <v>7</v>
      </c>
      <c r="H1318" s="0">
        <v>1697</v>
      </c>
      <c r="I1318" s="0">
        <v>40</v>
      </c>
      <c r="J1318" s="0">
        <v>0</v>
      </c>
      <c r="K1318" s="0">
        <v>1</v>
      </c>
      <c r="L1318" s="0">
        <v>1</v>
      </c>
      <c r="M1318" s="0">
        <v>1</v>
      </c>
      <c r="N1318" s="0">
        <v>0</v>
      </c>
      <c r="O1318" s="0">
        <v>0</v>
      </c>
      <c r="P1318" s="0">
        <v>0</v>
      </c>
      <c r="R1318" s="0" t="b">
        <v>0</v>
      </c>
      <c r="S1318" s="0" t="b">
        <v>1</v>
      </c>
      <c r="T1318" s="68">
        <v>44356.4648148148</v>
      </c>
      <c r="U1318" s="68">
        <v>44386.3333333333</v>
      </c>
      <c r="V1318" s="68">
        <v>0</v>
      </c>
      <c r="W1318" s="0">
        <f>IF(IF(B1318="none",1,IF(B1318="Trialer",1,0))+IF(C1318="Customer",1,IF(C1318="Lost",1,0))=2,1,0)</f>
      </c>
      <c r="X1318" s="0" t="s">
        <v>145</v>
      </c>
      <c r="Y1318" s="0" t="s">
        <v>499</v>
      </c>
      <c r="AV1318" s="68"/>
      <c r="AW1318" s="68"/>
      <c r="AY1318" s="27"/>
      <c r="BD1318" s="68">
        <v>46054.1666666667</v>
      </c>
      <c r="BE1318" s="68">
        <v>46082.1666666667</v>
      </c>
      <c r="BF1318" s="0" t="b">
        <v>0</v>
      </c>
      <c r="BG1318" s="0" t="b">
        <v>0</v>
      </c>
      <c r="BH1318" s="0">
        <v>40</v>
      </c>
      <c r="BI1318" s="0">
        <v>40</v>
      </c>
      <c r="BJ1318" s="0" t="s">
        <v>135</v>
      </c>
    </row>
    <row r="1319">
      <c r="A1319" s="0" t="s">
        <v>1531</v>
      </c>
      <c r="B1319" s="0" t="s">
        <v>134</v>
      </c>
      <c r="C1319" s="0" t="s">
        <v>134</v>
      </c>
      <c r="D1319" s="0" t="s">
        <v>135</v>
      </c>
      <c r="E1319" s="0" t="s">
        <v>3</v>
      </c>
      <c r="F1319" s="0" t="s">
        <v>12</v>
      </c>
      <c r="G1319" s="0" t="s">
        <v>8</v>
      </c>
      <c r="H1319" s="0">
        <v>1697</v>
      </c>
      <c r="I1319" s="0">
        <v>228</v>
      </c>
      <c r="J1319" s="0">
        <v>0</v>
      </c>
      <c r="K1319" s="0">
        <v>1</v>
      </c>
      <c r="L1319" s="0">
        <v>2</v>
      </c>
      <c r="M1319" s="0">
        <v>6</v>
      </c>
      <c r="N1319" s="0">
        <v>0</v>
      </c>
      <c r="O1319" s="0">
        <v>0</v>
      </c>
      <c r="P1319" s="0">
        <v>0</v>
      </c>
      <c r="R1319" s="0" t="b">
        <v>0</v>
      </c>
      <c r="S1319" s="0" t="b">
        <v>1</v>
      </c>
      <c r="T1319" s="68">
        <v>44356.5416666667</v>
      </c>
      <c r="U1319" s="68">
        <v>44386.3333333333</v>
      </c>
      <c r="V1319" s="68">
        <v>0</v>
      </c>
      <c r="W1319" s="0">
        <f>IF(IF(B1319="none",1,IF(B1319="Trialer",1,0))+IF(C1319="Customer",1,IF(C1319="Lost",1,0))=2,1,0)</f>
      </c>
      <c r="X1319" s="0" t="s">
        <v>148</v>
      </c>
      <c r="Y1319" s="0" t="s">
        <v>243</v>
      </c>
      <c r="AV1319" s="68"/>
      <c r="AW1319" s="68"/>
      <c r="AY1319" s="27"/>
      <c r="BD1319" s="68">
        <v>46054.1666666667</v>
      </c>
      <c r="BE1319" s="68">
        <v>46082.1666666667</v>
      </c>
      <c r="BF1319" s="0" t="b">
        <v>0</v>
      </c>
      <c r="BG1319" s="0" t="b">
        <v>0</v>
      </c>
      <c r="BH1319" s="0">
        <v>148</v>
      </c>
      <c r="BI1319" s="0">
        <v>148</v>
      </c>
      <c r="BJ1319" s="0" t="s">
        <v>135</v>
      </c>
    </row>
    <row r="1320">
      <c r="A1320" s="0" t="s">
        <v>1532</v>
      </c>
      <c r="B1320" s="0" t="s">
        <v>134</v>
      </c>
      <c r="C1320" s="0" t="s">
        <v>134</v>
      </c>
      <c r="D1320" s="0" t="s">
        <v>135</v>
      </c>
      <c r="E1320" s="0" t="s">
        <v>3</v>
      </c>
      <c r="F1320" s="0" t="s">
        <v>12</v>
      </c>
      <c r="G1320" s="0" t="s">
        <v>8</v>
      </c>
      <c r="H1320" s="0">
        <v>1697</v>
      </c>
      <c r="I1320" s="0">
        <v>785.5</v>
      </c>
      <c r="J1320" s="0">
        <v>0</v>
      </c>
      <c r="K1320" s="0">
        <v>1</v>
      </c>
      <c r="L1320" s="0">
        <v>5</v>
      </c>
      <c r="M1320" s="0">
        <v>13</v>
      </c>
      <c r="N1320" s="0">
        <v>0</v>
      </c>
      <c r="O1320" s="0">
        <v>0</v>
      </c>
      <c r="P1320" s="0">
        <v>0</v>
      </c>
      <c r="R1320" s="0" t="b">
        <v>0</v>
      </c>
      <c r="S1320" s="0" t="b">
        <v>1</v>
      </c>
      <c r="T1320" s="68">
        <v>44356.6638773148</v>
      </c>
      <c r="U1320" s="68">
        <v>44386.3333333333</v>
      </c>
      <c r="V1320" s="68">
        <v>0</v>
      </c>
      <c r="W1320" s="0">
        <f>IF(IF(B1320="none",1,IF(B1320="Trialer",1,0))+IF(C1320="Customer",1,IF(C1320="Lost",1,0))=2,1,0)</f>
      </c>
      <c r="X1320" s="0" t="s">
        <v>148</v>
      </c>
      <c r="Y1320" s="0" t="s">
        <v>243</v>
      </c>
      <c r="AV1320" s="68"/>
      <c r="AW1320" s="68"/>
      <c r="AY1320" s="27"/>
      <c r="BD1320" s="68">
        <v>46054.1666666667</v>
      </c>
      <c r="BE1320" s="68">
        <v>46082.1666666667</v>
      </c>
      <c r="BF1320" s="0" t="b">
        <v>0</v>
      </c>
      <c r="BG1320" s="0" t="b">
        <v>0</v>
      </c>
      <c r="BH1320" s="0">
        <v>778</v>
      </c>
      <c r="BI1320" s="0">
        <v>778</v>
      </c>
      <c r="BJ1320" s="0" t="s">
        <v>135</v>
      </c>
    </row>
    <row r="1321">
      <c r="A1321" s="0" t="s">
        <v>1533</v>
      </c>
      <c r="B1321" s="0" t="s">
        <v>134</v>
      </c>
      <c r="C1321" s="0" t="s">
        <v>134</v>
      </c>
      <c r="D1321" s="0" t="s">
        <v>230</v>
      </c>
      <c r="E1321" s="0" t="s">
        <v>3</v>
      </c>
      <c r="F1321" s="0" t="s">
        <v>10</v>
      </c>
      <c r="G1321" s="0" t="s">
        <v>8</v>
      </c>
      <c r="H1321" s="0">
        <v>1696</v>
      </c>
      <c r="I1321" s="0">
        <v>225</v>
      </c>
      <c r="J1321" s="0">
        <v>0</v>
      </c>
      <c r="K1321" s="0">
        <v>1</v>
      </c>
      <c r="L1321" s="0">
        <v>3</v>
      </c>
      <c r="M1321" s="0">
        <v>7</v>
      </c>
      <c r="N1321" s="0">
        <v>77.5</v>
      </c>
      <c r="O1321" s="0">
        <v>0</v>
      </c>
      <c r="P1321" s="0">
        <v>-225</v>
      </c>
      <c r="Q1321" s="0" t="s">
        <v>357</v>
      </c>
      <c r="R1321" s="0" t="b">
        <v>0</v>
      </c>
      <c r="S1321" s="0" t="b">
        <v>1</v>
      </c>
      <c r="T1321" s="68">
        <v>44357.682337963</v>
      </c>
      <c r="U1321" s="68">
        <v>44389.3333333333</v>
      </c>
      <c r="V1321" s="68">
        <v>0</v>
      </c>
      <c r="W1321" s="0">
        <f>IF(IF(B1321="none",1,IF(B1321="Trialer",1,0))+IF(C1321="Customer",1,IF(C1321="Lost",1,0))=2,1,0)</f>
      </c>
      <c r="X1321" s="0" t="s">
        <v>148</v>
      </c>
      <c r="Y1321" s="0" t="s">
        <v>243</v>
      </c>
      <c r="AV1321" s="68"/>
      <c r="AW1321" s="68"/>
      <c r="AY1321" s="27"/>
      <c r="BD1321" s="68">
        <v>46054.1666666667</v>
      </c>
      <c r="BE1321" s="68">
        <v>46082.1666666667</v>
      </c>
      <c r="BF1321" s="0" t="b">
        <v>0</v>
      </c>
      <c r="BG1321" s="0" t="b">
        <v>0</v>
      </c>
      <c r="BH1321" s="0">
        <v>278</v>
      </c>
      <c r="BI1321" s="0">
        <v>278</v>
      </c>
      <c r="BJ1321" s="0" t="s">
        <v>230</v>
      </c>
    </row>
    <row r="1322">
      <c r="A1322" s="0" t="s">
        <v>1534</v>
      </c>
      <c r="B1322" s="0" t="s">
        <v>134</v>
      </c>
      <c r="C1322" s="0" t="s">
        <v>134</v>
      </c>
      <c r="D1322" s="0" t="s">
        <v>135</v>
      </c>
      <c r="E1322" s="0" t="s">
        <v>3</v>
      </c>
      <c r="F1322" s="0" t="s">
        <v>10</v>
      </c>
      <c r="G1322" s="0" t="s">
        <v>8</v>
      </c>
      <c r="H1322" s="0">
        <v>1695</v>
      </c>
      <c r="I1322" s="0">
        <v>56</v>
      </c>
      <c r="J1322" s="0">
        <v>0</v>
      </c>
      <c r="K1322" s="0">
        <v>1</v>
      </c>
      <c r="L1322" s="0">
        <v>1</v>
      </c>
      <c r="M1322" s="0">
        <v>2</v>
      </c>
      <c r="N1322" s="0">
        <v>0</v>
      </c>
      <c r="O1322" s="0">
        <v>0</v>
      </c>
      <c r="P1322" s="0">
        <v>0</v>
      </c>
      <c r="Q1322" s="0" t="s">
        <v>618</v>
      </c>
      <c r="R1322" s="0" t="b">
        <v>0</v>
      </c>
      <c r="S1322" s="0" t="b">
        <v>1</v>
      </c>
      <c r="T1322" s="68">
        <v>44358.37</v>
      </c>
      <c r="U1322" s="68">
        <v>44388.3333333333</v>
      </c>
      <c r="V1322" s="68">
        <v>0</v>
      </c>
      <c r="W1322" s="0">
        <f>IF(IF(B1322="none",1,IF(B1322="Trialer",1,0))+IF(C1322="Customer",1,IF(C1322="Lost",1,0))=2,1,0)</f>
      </c>
      <c r="X1322" s="0" t="s">
        <v>148</v>
      </c>
      <c r="Y1322" s="0" t="s">
        <v>243</v>
      </c>
      <c r="AV1322" s="68"/>
      <c r="AW1322" s="68"/>
      <c r="AY1322" s="27"/>
      <c r="BD1322" s="68">
        <v>46054.1666666667</v>
      </c>
      <c r="BE1322" s="68">
        <v>46082.1666666667</v>
      </c>
      <c r="BF1322" s="0" t="b">
        <v>0</v>
      </c>
      <c r="BG1322" s="0" t="b">
        <v>0</v>
      </c>
      <c r="BH1322" s="0">
        <v>56</v>
      </c>
      <c r="BI1322" s="0">
        <v>56</v>
      </c>
      <c r="BJ1322" s="0" t="s">
        <v>135</v>
      </c>
    </row>
    <row r="1323">
      <c r="A1323" s="0" t="s">
        <v>1535</v>
      </c>
      <c r="B1323" s="0" t="s">
        <v>134</v>
      </c>
      <c r="C1323" s="0" t="s">
        <v>134</v>
      </c>
      <c r="D1323" s="0" t="s">
        <v>135</v>
      </c>
      <c r="E1323" s="0" t="s">
        <v>3</v>
      </c>
      <c r="F1323" s="0" t="s">
        <v>10</v>
      </c>
      <c r="G1323" s="0" t="s">
        <v>8</v>
      </c>
      <c r="H1323" s="0">
        <v>1695</v>
      </c>
      <c r="I1323" s="0">
        <v>40</v>
      </c>
      <c r="J1323" s="0">
        <v>0</v>
      </c>
      <c r="K1323" s="0">
        <v>1</v>
      </c>
      <c r="L1323" s="0">
        <v>2</v>
      </c>
      <c r="M1323" s="0">
        <v>1</v>
      </c>
      <c r="N1323" s="0">
        <v>0</v>
      </c>
      <c r="O1323" s="0">
        <v>0</v>
      </c>
      <c r="P1323" s="0">
        <v>0</v>
      </c>
      <c r="Q1323" s="0" t="s">
        <v>618</v>
      </c>
      <c r="R1323" s="0" t="b">
        <v>0</v>
      </c>
      <c r="S1323" s="0" t="b">
        <v>1</v>
      </c>
      <c r="T1323" s="68">
        <v>44358.5007175926</v>
      </c>
      <c r="U1323" s="68">
        <v>44388.3333333333</v>
      </c>
      <c r="V1323" s="68">
        <v>0</v>
      </c>
      <c r="W1323" s="0">
        <f>IF(IF(B1323="none",1,IF(B1323="Trialer",1,0))+IF(C1323="Customer",1,IF(C1323="Lost",1,0))=2,1,0)</f>
      </c>
      <c r="X1323" s="0" t="s">
        <v>148</v>
      </c>
      <c r="Y1323" s="0" t="s">
        <v>243</v>
      </c>
      <c r="AV1323" s="68"/>
      <c r="AW1323" s="68"/>
      <c r="AY1323" s="27"/>
      <c r="BD1323" s="68">
        <v>46054.1666666667</v>
      </c>
      <c r="BE1323" s="68">
        <v>46082.1666666667</v>
      </c>
      <c r="BF1323" s="0" t="b">
        <v>0</v>
      </c>
      <c r="BG1323" s="0" t="b">
        <v>0</v>
      </c>
      <c r="BH1323" s="0">
        <v>40</v>
      </c>
      <c r="BI1323" s="0">
        <v>40</v>
      </c>
      <c r="BJ1323" s="0" t="s">
        <v>135</v>
      </c>
    </row>
    <row r="1324">
      <c r="A1324" s="0" t="s">
        <v>1536</v>
      </c>
      <c r="B1324" s="0" t="s">
        <v>134</v>
      </c>
      <c r="C1324" s="0" t="s">
        <v>134</v>
      </c>
      <c r="D1324" s="0" t="s">
        <v>135</v>
      </c>
      <c r="E1324" s="0" t="s">
        <v>2</v>
      </c>
      <c r="F1324" s="0" t="s">
        <v>12</v>
      </c>
      <c r="G1324" s="0" t="s">
        <v>8</v>
      </c>
      <c r="H1324" s="0">
        <v>1694</v>
      </c>
      <c r="I1324" s="0">
        <v>269</v>
      </c>
      <c r="J1324" s="0">
        <v>0</v>
      </c>
      <c r="K1324" s="0">
        <v>1</v>
      </c>
      <c r="L1324" s="0">
        <v>5</v>
      </c>
      <c r="M1324" s="0">
        <v>5</v>
      </c>
      <c r="N1324" s="0">
        <v>0</v>
      </c>
      <c r="O1324" s="0">
        <v>0</v>
      </c>
      <c r="P1324" s="0">
        <v>0</v>
      </c>
      <c r="R1324" s="0" t="b">
        <v>0</v>
      </c>
      <c r="S1324" s="0" t="b">
        <v>1</v>
      </c>
      <c r="T1324" s="68">
        <v>44359.5902777778</v>
      </c>
      <c r="U1324" s="68">
        <v>44389.3333333333</v>
      </c>
      <c r="V1324" s="68">
        <v>0</v>
      </c>
      <c r="W1324" s="0">
        <f>IF(IF(B1324="none",1,IF(B1324="Trialer",1,0))+IF(C1324="Customer",1,IF(C1324="Lost",1,0))=2,1,0)</f>
      </c>
      <c r="X1324" s="0" t="s">
        <v>145</v>
      </c>
      <c r="Y1324" s="0" t="s">
        <v>499</v>
      </c>
      <c r="AV1324" s="68"/>
      <c r="AW1324" s="68"/>
      <c r="AY1324" s="27"/>
      <c r="BD1324" s="68">
        <v>46054.1666666667</v>
      </c>
      <c r="BE1324" s="68">
        <v>46082.1666666667</v>
      </c>
      <c r="BF1324" s="0" t="b">
        <v>0</v>
      </c>
      <c r="BG1324" s="0" t="b">
        <v>0</v>
      </c>
      <c r="BH1324" s="0">
        <v>269</v>
      </c>
      <c r="BI1324" s="0">
        <v>269</v>
      </c>
      <c r="BJ1324" s="0" t="s">
        <v>135</v>
      </c>
    </row>
    <row r="1325">
      <c r="A1325" s="0" t="s">
        <v>1537</v>
      </c>
      <c r="B1325" s="0" t="s">
        <v>134</v>
      </c>
      <c r="C1325" s="0" t="s">
        <v>134</v>
      </c>
      <c r="D1325" s="0" t="s">
        <v>230</v>
      </c>
      <c r="E1325" s="0" t="s">
        <v>3</v>
      </c>
      <c r="F1325" s="0" t="s">
        <v>12</v>
      </c>
      <c r="G1325" s="0" t="s">
        <v>8</v>
      </c>
      <c r="H1325" s="0">
        <v>1694</v>
      </c>
      <c r="I1325" s="0">
        <v>36</v>
      </c>
      <c r="J1325" s="0">
        <v>0</v>
      </c>
      <c r="K1325" s="0">
        <v>1</v>
      </c>
      <c r="L1325" s="0">
        <v>2</v>
      </c>
      <c r="M1325" s="0">
        <v>1</v>
      </c>
      <c r="N1325" s="0">
        <v>0</v>
      </c>
      <c r="O1325" s="0">
        <v>0</v>
      </c>
      <c r="P1325" s="0">
        <v>-36</v>
      </c>
      <c r="R1325" s="0" t="b">
        <v>0</v>
      </c>
      <c r="S1325" s="0" t="b">
        <v>0</v>
      </c>
      <c r="T1325" s="68">
        <v>44359.6126967593</v>
      </c>
      <c r="U1325" s="68">
        <v>44392.3333333333</v>
      </c>
      <c r="V1325" s="68">
        <v>46085.4559259259</v>
      </c>
      <c r="W1325" s="0">
        <f>IF(IF(B1325="none",1,IF(B1325="Trialer",1,0))+IF(C1325="Customer",1,IF(C1325="Lost",1,0))=2,1,0)</f>
      </c>
      <c r="X1325" s="0" t="s">
        <v>142</v>
      </c>
      <c r="Y1325" s="0" t="s">
        <v>243</v>
      </c>
      <c r="AV1325" s="68"/>
      <c r="AW1325" s="68"/>
      <c r="AY1325" s="27"/>
      <c r="BD1325" s="68">
        <v>46054.1666666667</v>
      </c>
      <c r="BE1325" s="68">
        <v>46082.1666666667</v>
      </c>
      <c r="BF1325" s="0" t="b">
        <v>0</v>
      </c>
      <c r="BG1325" s="0" t="b">
        <v>0</v>
      </c>
      <c r="BH1325" s="0">
        <v>40</v>
      </c>
      <c r="BI1325" s="0">
        <v>40</v>
      </c>
      <c r="BJ1325" s="0" t="s">
        <v>230</v>
      </c>
    </row>
    <row r="1326">
      <c r="A1326" s="0" t="s">
        <v>1538</v>
      </c>
      <c r="B1326" s="0" t="s">
        <v>134</v>
      </c>
      <c r="C1326" s="0" t="s">
        <v>134</v>
      </c>
      <c r="D1326" s="0" t="s">
        <v>135</v>
      </c>
      <c r="E1326" s="0" t="s">
        <v>3</v>
      </c>
      <c r="F1326" s="0" t="s">
        <v>10</v>
      </c>
      <c r="G1326" s="0" t="s">
        <v>8</v>
      </c>
      <c r="H1326" s="0">
        <v>1691</v>
      </c>
      <c r="I1326" s="0">
        <v>28</v>
      </c>
      <c r="J1326" s="0">
        <v>0</v>
      </c>
      <c r="K1326" s="0">
        <v>1</v>
      </c>
      <c r="L1326" s="0">
        <v>1</v>
      </c>
      <c r="M1326" s="0">
        <v>1</v>
      </c>
      <c r="N1326" s="0">
        <v>0</v>
      </c>
      <c r="O1326" s="0">
        <v>0</v>
      </c>
      <c r="P1326" s="0">
        <v>0</v>
      </c>
      <c r="Q1326" s="0" t="s">
        <v>618</v>
      </c>
      <c r="R1326" s="0" t="b">
        <v>0</v>
      </c>
      <c r="S1326" s="0" t="b">
        <v>1</v>
      </c>
      <c r="T1326" s="68">
        <v>44362.1833333333</v>
      </c>
      <c r="U1326" s="68">
        <v>44392.3333333333</v>
      </c>
      <c r="V1326" s="68">
        <v>0</v>
      </c>
      <c r="W1326" s="0">
        <f>IF(IF(B1326="none",1,IF(B1326="Trialer",1,0))+IF(C1326="Customer",1,IF(C1326="Lost",1,0))=2,1,0)</f>
      </c>
      <c r="X1326" s="0" t="s">
        <v>148</v>
      </c>
      <c r="Y1326" s="0" t="s">
        <v>243</v>
      </c>
      <c r="AV1326" s="68"/>
      <c r="AW1326" s="68"/>
      <c r="AY1326" s="27"/>
      <c r="BD1326" s="68">
        <v>46054.1666666667</v>
      </c>
      <c r="BE1326" s="68">
        <v>46082.1666666667</v>
      </c>
      <c r="BF1326" s="0" t="b">
        <v>0</v>
      </c>
      <c r="BG1326" s="0" t="b">
        <v>0</v>
      </c>
      <c r="BH1326" s="0">
        <v>28</v>
      </c>
      <c r="BI1326" s="0">
        <v>28</v>
      </c>
      <c r="BJ1326" s="0" t="s">
        <v>135</v>
      </c>
    </row>
    <row r="1327">
      <c r="A1327" s="0" t="s">
        <v>1539</v>
      </c>
      <c r="B1327" s="0" t="s">
        <v>134</v>
      </c>
      <c r="C1327" s="0" t="s">
        <v>134</v>
      </c>
      <c r="D1327" s="0" t="s">
        <v>230</v>
      </c>
      <c r="E1327" s="0" t="s">
        <v>2</v>
      </c>
      <c r="F1327" s="0" t="s">
        <v>12</v>
      </c>
      <c r="G1327" s="0" t="s">
        <v>8</v>
      </c>
      <c r="H1327" s="0">
        <v>1690</v>
      </c>
      <c r="I1327" s="0">
        <v>443</v>
      </c>
      <c r="J1327" s="0">
        <v>0</v>
      </c>
      <c r="K1327" s="0">
        <v>1</v>
      </c>
      <c r="L1327" s="0">
        <v>3</v>
      </c>
      <c r="M1327" s="0">
        <v>3</v>
      </c>
      <c r="N1327" s="0">
        <v>1395</v>
      </c>
      <c r="O1327" s="0">
        <v>0</v>
      </c>
      <c r="P1327" s="0">
        <v>-118</v>
      </c>
      <c r="R1327" s="0" t="b">
        <v>0</v>
      </c>
      <c r="S1327" s="0" t="b">
        <v>1</v>
      </c>
      <c r="T1327" s="68">
        <v>44363.3538078704</v>
      </c>
      <c r="U1327" s="68">
        <v>44393.3333333333</v>
      </c>
      <c r="V1327" s="68">
        <v>0</v>
      </c>
      <c r="W1327" s="0">
        <f>IF(IF(B1327="none",1,IF(B1327="Trialer",1,0))+IF(C1327="Customer",1,IF(C1327="Lost",1,0))=2,1,0)</f>
      </c>
      <c r="X1327" s="0" t="s">
        <v>148</v>
      </c>
      <c r="Y1327" s="0" t="s">
        <v>499</v>
      </c>
      <c r="AV1327" s="68"/>
      <c r="AW1327" s="68"/>
      <c r="AY1327" s="27"/>
      <c r="BD1327" s="68">
        <v>46054.1666666667</v>
      </c>
      <c r="BE1327" s="68">
        <v>46082.1666666667</v>
      </c>
      <c r="BF1327" s="0" t="b">
        <v>0</v>
      </c>
      <c r="BG1327" s="0" t="b">
        <v>0</v>
      </c>
      <c r="BH1327" s="0">
        <v>132</v>
      </c>
      <c r="BI1327" s="0">
        <v>132</v>
      </c>
      <c r="BJ1327" s="0" t="s">
        <v>230</v>
      </c>
    </row>
    <row r="1328">
      <c r="A1328" s="0" t="s">
        <v>1540</v>
      </c>
      <c r="B1328" s="0" t="s">
        <v>134</v>
      </c>
      <c r="C1328" s="0" t="s">
        <v>134</v>
      </c>
      <c r="D1328" s="0" t="s">
        <v>230</v>
      </c>
      <c r="E1328" s="0" t="s">
        <v>2</v>
      </c>
      <c r="F1328" s="0" t="s">
        <v>12</v>
      </c>
      <c r="G1328" s="0" t="s">
        <v>8</v>
      </c>
      <c r="H1328" s="0">
        <v>1689</v>
      </c>
      <c r="I1328" s="0">
        <v>297</v>
      </c>
      <c r="J1328" s="0">
        <v>0</v>
      </c>
      <c r="K1328" s="0">
        <v>1</v>
      </c>
      <c r="L1328" s="0">
        <v>3</v>
      </c>
      <c r="M1328" s="0">
        <v>7</v>
      </c>
      <c r="N1328" s="0">
        <v>0</v>
      </c>
      <c r="O1328" s="0">
        <v>0</v>
      </c>
      <c r="P1328" s="0">
        <v>-297</v>
      </c>
      <c r="R1328" s="0" t="b">
        <v>0</v>
      </c>
      <c r="S1328" s="0" t="b">
        <v>1</v>
      </c>
      <c r="T1328" s="68">
        <v>44364.4736111111</v>
      </c>
      <c r="U1328" s="68">
        <v>44394.3333333333</v>
      </c>
      <c r="V1328" s="68">
        <v>0</v>
      </c>
      <c r="W1328" s="0">
        <f>IF(IF(B1328="none",1,IF(B1328="Trialer",1,0))+IF(C1328="Customer",1,IF(C1328="Lost",1,0))=2,1,0)</f>
      </c>
      <c r="X1328" s="0" t="s">
        <v>148</v>
      </c>
      <c r="Y1328" s="0" t="s">
        <v>499</v>
      </c>
      <c r="AV1328" s="68"/>
      <c r="AW1328" s="68"/>
      <c r="AY1328" s="27"/>
      <c r="BD1328" s="68">
        <v>46054.1666666667</v>
      </c>
      <c r="BE1328" s="68">
        <v>46082.1666666667</v>
      </c>
      <c r="BF1328" s="0" t="b">
        <v>0</v>
      </c>
      <c r="BG1328" s="0" t="b">
        <v>0</v>
      </c>
      <c r="BH1328" s="0">
        <v>331</v>
      </c>
      <c r="BI1328" s="0">
        <v>331</v>
      </c>
      <c r="BJ1328" s="0" t="s">
        <v>230</v>
      </c>
    </row>
    <row r="1329">
      <c r="A1329" s="0" t="s">
        <v>1541</v>
      </c>
      <c r="B1329" s="0" t="s">
        <v>134</v>
      </c>
      <c r="C1329" s="0" t="s">
        <v>134</v>
      </c>
      <c r="D1329" s="0" t="s">
        <v>230</v>
      </c>
      <c r="E1329" s="0" t="s">
        <v>2</v>
      </c>
      <c r="F1329" s="0" t="s">
        <v>12</v>
      </c>
      <c r="G1329" s="0" t="s">
        <v>8</v>
      </c>
      <c r="H1329" s="0">
        <v>1689</v>
      </c>
      <c r="I1329" s="0">
        <v>54</v>
      </c>
      <c r="J1329" s="0">
        <v>0</v>
      </c>
      <c r="K1329" s="0">
        <v>1</v>
      </c>
      <c r="L1329" s="0">
        <v>4</v>
      </c>
      <c r="M1329" s="0">
        <v>1</v>
      </c>
      <c r="N1329" s="0">
        <v>0</v>
      </c>
      <c r="O1329" s="0">
        <v>0</v>
      </c>
      <c r="P1329" s="0">
        <v>-54</v>
      </c>
      <c r="R1329" s="0" t="b">
        <v>0</v>
      </c>
      <c r="S1329" s="0" t="b">
        <v>1</v>
      </c>
      <c r="T1329" s="68">
        <v>44364.5655324074</v>
      </c>
      <c r="U1329" s="68">
        <v>44394.3333333333</v>
      </c>
      <c r="V1329" s="68">
        <v>0</v>
      </c>
      <c r="W1329" s="0">
        <f>IF(IF(B1329="none",1,IF(B1329="Trialer",1,0))+IF(C1329="Customer",1,IF(C1329="Lost",1,0))=2,1,0)</f>
      </c>
      <c r="X1329" s="0" t="s">
        <v>166</v>
      </c>
      <c r="Y1329" s="0" t="s">
        <v>499</v>
      </c>
      <c r="AV1329" s="68"/>
      <c r="AW1329" s="68"/>
      <c r="AY1329" s="27"/>
      <c r="BD1329" s="68">
        <v>46054.1666666667</v>
      </c>
      <c r="BE1329" s="68">
        <v>46082.1666666667</v>
      </c>
      <c r="BF1329" s="0" t="b">
        <v>0</v>
      </c>
      <c r="BG1329" s="0" t="b">
        <v>0</v>
      </c>
      <c r="BH1329" s="0">
        <v>61</v>
      </c>
      <c r="BI1329" s="0">
        <v>61</v>
      </c>
      <c r="BJ1329" s="0" t="s">
        <v>230</v>
      </c>
    </row>
    <row r="1330">
      <c r="A1330" s="0" t="s">
        <v>1542</v>
      </c>
      <c r="B1330" s="0" t="s">
        <v>134</v>
      </c>
      <c r="C1330" s="0" t="s">
        <v>134</v>
      </c>
      <c r="D1330" s="0" t="s">
        <v>230</v>
      </c>
      <c r="E1330" s="0" t="s">
        <v>2</v>
      </c>
      <c r="F1330" s="0" t="s">
        <v>12</v>
      </c>
      <c r="G1330" s="0" t="s">
        <v>8</v>
      </c>
      <c r="H1330" s="0">
        <v>1689</v>
      </c>
      <c r="I1330" s="0">
        <v>44</v>
      </c>
      <c r="J1330" s="0">
        <v>0</v>
      </c>
      <c r="K1330" s="0">
        <v>1</v>
      </c>
      <c r="L1330" s="0">
        <v>3</v>
      </c>
      <c r="M1330" s="0">
        <v>1</v>
      </c>
      <c r="N1330" s="0">
        <v>0</v>
      </c>
      <c r="O1330" s="0">
        <v>0</v>
      </c>
      <c r="P1330" s="0">
        <v>-44</v>
      </c>
      <c r="R1330" s="0" t="b">
        <v>0</v>
      </c>
      <c r="S1330" s="0" t="b">
        <v>1</v>
      </c>
      <c r="T1330" s="68">
        <v>44364.9124652778</v>
      </c>
      <c r="U1330" s="68">
        <v>44394.3333333333</v>
      </c>
      <c r="V1330" s="68">
        <v>0</v>
      </c>
      <c r="W1330" s="0">
        <f>IF(IF(B1330="none",1,IF(B1330="Trialer",1,0))+IF(C1330="Customer",1,IF(C1330="Lost",1,0))=2,1,0)</f>
      </c>
      <c r="X1330" s="0" t="s">
        <v>142</v>
      </c>
      <c r="Y1330" s="0" t="s">
        <v>499</v>
      </c>
      <c r="AV1330" s="68"/>
      <c r="AW1330" s="68"/>
      <c r="AY1330" s="27"/>
      <c r="BD1330" s="68">
        <v>46054.1666666667</v>
      </c>
      <c r="BE1330" s="68">
        <v>46082.1666666667</v>
      </c>
      <c r="BF1330" s="0" t="b">
        <v>0</v>
      </c>
      <c r="BG1330" s="0" t="b">
        <v>0</v>
      </c>
      <c r="BH1330" s="0">
        <v>49</v>
      </c>
      <c r="BI1330" s="0">
        <v>49</v>
      </c>
      <c r="BJ1330" s="0" t="s">
        <v>230</v>
      </c>
    </row>
    <row r="1331">
      <c r="A1331" s="0" t="s">
        <v>1543</v>
      </c>
      <c r="B1331" s="0" t="s">
        <v>134</v>
      </c>
      <c r="C1331" s="0" t="s">
        <v>134</v>
      </c>
      <c r="D1331" s="0" t="s">
        <v>230</v>
      </c>
      <c r="E1331" s="0" t="s">
        <v>2</v>
      </c>
      <c r="F1331" s="0" t="s">
        <v>12</v>
      </c>
      <c r="G1331" s="0" t="s">
        <v>8</v>
      </c>
      <c r="H1331" s="0">
        <v>1688</v>
      </c>
      <c r="I1331" s="0">
        <v>44</v>
      </c>
      <c r="J1331" s="0">
        <v>0</v>
      </c>
      <c r="K1331" s="0">
        <v>1</v>
      </c>
      <c r="L1331" s="0">
        <v>3</v>
      </c>
      <c r="M1331" s="0">
        <v>1</v>
      </c>
      <c r="N1331" s="0">
        <v>0</v>
      </c>
      <c r="O1331" s="0">
        <v>0</v>
      </c>
      <c r="P1331" s="0">
        <v>-44</v>
      </c>
      <c r="R1331" s="0" t="b">
        <v>0</v>
      </c>
      <c r="S1331" s="0" t="b">
        <v>1</v>
      </c>
      <c r="T1331" s="68">
        <v>44365.5763425926</v>
      </c>
      <c r="U1331" s="68">
        <v>44410.3333333333</v>
      </c>
      <c r="V1331" s="68">
        <v>0</v>
      </c>
      <c r="W1331" s="0">
        <f>IF(IF(B1331="none",1,IF(B1331="Trialer",1,0))+IF(C1331="Customer",1,IF(C1331="Lost",1,0))=2,1,0)</f>
      </c>
      <c r="X1331" s="0" t="s">
        <v>142</v>
      </c>
      <c r="Y1331" s="0" t="s">
        <v>499</v>
      </c>
      <c r="AV1331" s="68"/>
      <c r="AW1331" s="68"/>
      <c r="AY1331" s="27"/>
      <c r="BD1331" s="68">
        <v>46054.1666666667</v>
      </c>
      <c r="BE1331" s="68">
        <v>46082.1666666667</v>
      </c>
      <c r="BF1331" s="0" t="b">
        <v>0</v>
      </c>
      <c r="BG1331" s="0" t="b">
        <v>0</v>
      </c>
      <c r="BH1331" s="0">
        <v>49</v>
      </c>
      <c r="BI1331" s="0">
        <v>49</v>
      </c>
      <c r="BJ1331" s="0" t="s">
        <v>230</v>
      </c>
    </row>
    <row r="1332">
      <c r="A1332" s="0" t="s">
        <v>1544</v>
      </c>
      <c r="B1332" s="0" t="s">
        <v>134</v>
      </c>
      <c r="C1332" s="0" t="s">
        <v>134</v>
      </c>
      <c r="D1332" s="0" t="s">
        <v>135</v>
      </c>
      <c r="E1332" s="0" t="s">
        <v>3</v>
      </c>
      <c r="F1332" s="0" t="s">
        <v>12</v>
      </c>
      <c r="G1332" s="0" t="s">
        <v>8</v>
      </c>
      <c r="H1332" s="0">
        <v>1685</v>
      </c>
      <c r="I1332" s="0">
        <v>61</v>
      </c>
      <c r="J1332" s="0">
        <v>0</v>
      </c>
      <c r="K1332" s="0">
        <v>1</v>
      </c>
      <c r="L1332" s="0">
        <v>4</v>
      </c>
      <c r="M1332" s="0">
        <v>1</v>
      </c>
      <c r="N1332" s="0">
        <v>0</v>
      </c>
      <c r="O1332" s="0">
        <v>0</v>
      </c>
      <c r="P1332" s="0">
        <v>0</v>
      </c>
      <c r="R1332" s="0" t="b">
        <v>0</v>
      </c>
      <c r="S1332" s="0" t="b">
        <v>1</v>
      </c>
      <c r="T1332" s="68">
        <v>44368.4430439815</v>
      </c>
      <c r="U1332" s="68">
        <v>44398.3333333333</v>
      </c>
      <c r="V1332" s="68">
        <v>0</v>
      </c>
      <c r="W1332" s="0">
        <f>IF(IF(B1332="none",1,IF(B1332="Trialer",1,0))+IF(C1332="Customer",1,IF(C1332="Lost",1,0))=2,1,0)</f>
      </c>
      <c r="X1332" s="0" t="s">
        <v>142</v>
      </c>
      <c r="Y1332" s="0" t="s">
        <v>243</v>
      </c>
      <c r="AV1332" s="68"/>
      <c r="AW1332" s="68"/>
      <c r="AY1332" s="27"/>
      <c r="BD1332" s="68">
        <v>46054.1666666667</v>
      </c>
      <c r="BE1332" s="68">
        <v>46082.1666666667</v>
      </c>
      <c r="BF1332" s="0" t="b">
        <v>0</v>
      </c>
      <c r="BG1332" s="0" t="b">
        <v>0</v>
      </c>
      <c r="BH1332" s="0">
        <v>61</v>
      </c>
      <c r="BI1332" s="0">
        <v>61</v>
      </c>
      <c r="BJ1332" s="0" t="s">
        <v>135</v>
      </c>
    </row>
    <row r="1333">
      <c r="A1333" s="0" t="s">
        <v>1545</v>
      </c>
      <c r="B1333" s="0" t="s">
        <v>134</v>
      </c>
      <c r="C1333" s="0" t="s">
        <v>134</v>
      </c>
      <c r="D1333" s="0" t="s">
        <v>135</v>
      </c>
      <c r="E1333" s="0" t="s">
        <v>2</v>
      </c>
      <c r="F1333" s="0" t="s">
        <v>12</v>
      </c>
      <c r="G1333" s="0" t="s">
        <v>8</v>
      </c>
      <c r="H1333" s="0">
        <v>1683</v>
      </c>
      <c r="I1333" s="0">
        <v>392</v>
      </c>
      <c r="J1333" s="0">
        <v>0</v>
      </c>
      <c r="K1333" s="0">
        <v>1</v>
      </c>
      <c r="L1333" s="0">
        <v>3</v>
      </c>
      <c r="M1333" s="0">
        <v>8</v>
      </c>
      <c r="N1333" s="0">
        <v>0</v>
      </c>
      <c r="O1333" s="0">
        <v>0</v>
      </c>
      <c r="P1333" s="0">
        <v>0</v>
      </c>
      <c r="R1333" s="0" t="b">
        <v>0</v>
      </c>
      <c r="S1333" s="0" t="b">
        <v>1</v>
      </c>
      <c r="T1333" s="68">
        <v>44370.4529282407</v>
      </c>
      <c r="U1333" s="68">
        <v>44400.3333333333</v>
      </c>
      <c r="V1333" s="68">
        <v>0</v>
      </c>
      <c r="W1333" s="0">
        <f>IF(IF(B1333="none",1,IF(B1333="Trialer",1,0))+IF(C1333="Customer",1,IF(C1333="Lost",1,0))=2,1,0)</f>
      </c>
      <c r="X1333" s="0" t="s">
        <v>148</v>
      </c>
      <c r="Y1333" s="0" t="s">
        <v>499</v>
      </c>
      <c r="AV1333" s="68"/>
      <c r="AW1333" s="68"/>
      <c r="AY1333" s="27"/>
      <c r="BD1333" s="68">
        <v>46054.1666666667</v>
      </c>
      <c r="BE1333" s="68">
        <v>46082.1666666667</v>
      </c>
      <c r="BF1333" s="0" t="b">
        <v>0</v>
      </c>
      <c r="BG1333" s="0" t="b">
        <v>0</v>
      </c>
      <c r="BH1333" s="0">
        <v>343</v>
      </c>
      <c r="BI1333" s="0">
        <v>343</v>
      </c>
      <c r="BJ1333" s="0" t="s">
        <v>135</v>
      </c>
    </row>
    <row r="1334">
      <c r="A1334" s="0" t="s">
        <v>1546</v>
      </c>
      <c r="B1334" s="0" t="s">
        <v>134</v>
      </c>
      <c r="C1334" s="0" t="s">
        <v>134</v>
      </c>
      <c r="D1334" s="0" t="s">
        <v>135</v>
      </c>
      <c r="E1334" s="0" t="s">
        <v>3</v>
      </c>
      <c r="F1334" s="0" t="s">
        <v>12</v>
      </c>
      <c r="G1334" s="0" t="s">
        <v>8</v>
      </c>
      <c r="H1334" s="0">
        <v>1681</v>
      </c>
      <c r="I1334" s="0">
        <v>52</v>
      </c>
      <c r="J1334" s="0">
        <v>0</v>
      </c>
      <c r="K1334" s="0">
        <v>1</v>
      </c>
      <c r="L1334" s="0">
        <v>3</v>
      </c>
      <c r="M1334" s="0">
        <v>1</v>
      </c>
      <c r="N1334" s="0">
        <v>0</v>
      </c>
      <c r="O1334" s="0">
        <v>0</v>
      </c>
      <c r="P1334" s="0">
        <v>0</v>
      </c>
      <c r="R1334" s="0" t="b">
        <v>0</v>
      </c>
      <c r="S1334" s="0" t="b">
        <v>1</v>
      </c>
      <c r="T1334" s="68">
        <v>44372.4382638889</v>
      </c>
      <c r="U1334" s="68">
        <v>44402.3333333333</v>
      </c>
      <c r="V1334" s="68">
        <v>0</v>
      </c>
      <c r="W1334" s="0">
        <f>IF(IF(B1334="none",1,IF(B1334="Trialer",1,0))+IF(C1334="Customer",1,IF(C1334="Lost",1,0))=2,1,0)</f>
      </c>
      <c r="X1334" s="0" t="s">
        <v>142</v>
      </c>
      <c r="Y1334" s="0" t="s">
        <v>243</v>
      </c>
      <c r="AV1334" s="68"/>
      <c r="AW1334" s="68"/>
      <c r="AY1334" s="27"/>
      <c r="BD1334" s="68">
        <v>46054.1666666667</v>
      </c>
      <c r="BE1334" s="68">
        <v>46082.1666666667</v>
      </c>
      <c r="BF1334" s="0" t="b">
        <v>0</v>
      </c>
      <c r="BG1334" s="0" t="b">
        <v>0</v>
      </c>
      <c r="BH1334" s="0">
        <v>52</v>
      </c>
      <c r="BI1334" s="0">
        <v>52</v>
      </c>
      <c r="BJ1334" s="0" t="s">
        <v>135</v>
      </c>
    </row>
    <row r="1335">
      <c r="A1335" s="0" t="s">
        <v>1547</v>
      </c>
      <c r="B1335" s="0" t="s">
        <v>134</v>
      </c>
      <c r="C1335" s="0" t="s">
        <v>134</v>
      </c>
      <c r="D1335" s="0" t="s">
        <v>230</v>
      </c>
      <c r="E1335" s="0" t="s">
        <v>3</v>
      </c>
      <c r="F1335" s="0" t="s">
        <v>10</v>
      </c>
      <c r="G1335" s="0" t="s">
        <v>8</v>
      </c>
      <c r="H1335" s="0">
        <v>1681</v>
      </c>
      <c r="I1335" s="0">
        <v>1069.2</v>
      </c>
      <c r="J1335" s="0">
        <v>0</v>
      </c>
      <c r="K1335" s="0">
        <v>1</v>
      </c>
      <c r="L1335" s="0">
        <v>4</v>
      </c>
      <c r="M1335" s="0">
        <v>21</v>
      </c>
      <c r="N1335" s="0">
        <v>551</v>
      </c>
      <c r="O1335" s="0">
        <v>0</v>
      </c>
      <c r="P1335" s="0">
        <v>-1069.2</v>
      </c>
      <c r="Q1335" s="0" t="s">
        <v>357</v>
      </c>
      <c r="R1335" s="0" t="b">
        <v>0</v>
      </c>
      <c r="S1335" s="0" t="b">
        <v>1</v>
      </c>
      <c r="T1335" s="68">
        <v>44372.9808101852</v>
      </c>
      <c r="U1335" s="68">
        <v>44406.3333333333</v>
      </c>
      <c r="V1335" s="68">
        <v>0</v>
      </c>
      <c r="W1335" s="0">
        <f>IF(IF(B1335="none",1,IF(B1335="Trialer",1,0))+IF(C1335="Customer",1,IF(C1335="Lost",1,0))=2,1,0)</f>
      </c>
      <c r="X1335" s="0" t="s">
        <v>148</v>
      </c>
      <c r="Y1335" s="0" t="s">
        <v>243</v>
      </c>
      <c r="AV1335" s="68"/>
      <c r="AW1335" s="68"/>
      <c r="AY1335" s="27"/>
      <c r="BD1335" s="68">
        <v>46054.1666666667</v>
      </c>
      <c r="BE1335" s="68">
        <v>46082.1666666667</v>
      </c>
      <c r="BF1335" s="0" t="b">
        <v>0</v>
      </c>
      <c r="BG1335" s="0" t="b">
        <v>0</v>
      </c>
      <c r="BH1335" s="0">
        <v>1188</v>
      </c>
      <c r="BI1335" s="0">
        <v>1188</v>
      </c>
      <c r="BJ1335" s="0" t="s">
        <v>230</v>
      </c>
    </row>
    <row r="1336">
      <c r="A1336" s="0" t="s">
        <v>1548</v>
      </c>
      <c r="B1336" s="0" t="s">
        <v>134</v>
      </c>
      <c r="C1336" s="0" t="s">
        <v>134</v>
      </c>
      <c r="D1336" s="0" t="s">
        <v>230</v>
      </c>
      <c r="E1336" s="0" t="s">
        <v>3</v>
      </c>
      <c r="F1336" s="0" t="s">
        <v>12</v>
      </c>
      <c r="G1336" s="0" t="s">
        <v>8</v>
      </c>
      <c r="H1336" s="0">
        <v>1680</v>
      </c>
      <c r="I1336" s="0">
        <v>89</v>
      </c>
      <c r="J1336" s="0">
        <v>0</v>
      </c>
      <c r="K1336" s="0">
        <v>1</v>
      </c>
      <c r="L1336" s="0">
        <v>5</v>
      </c>
      <c r="M1336" s="0">
        <v>2</v>
      </c>
      <c r="N1336" s="0">
        <v>0</v>
      </c>
      <c r="O1336" s="0">
        <v>0</v>
      </c>
      <c r="P1336" s="0">
        <v>-89</v>
      </c>
      <c r="R1336" s="0" t="b">
        <v>0</v>
      </c>
      <c r="S1336" s="0" t="b">
        <v>1</v>
      </c>
      <c r="T1336" s="68">
        <v>44373.5374074074</v>
      </c>
      <c r="U1336" s="68">
        <v>44403.3333333333</v>
      </c>
      <c r="V1336" s="68">
        <v>0</v>
      </c>
      <c r="W1336" s="0">
        <f>IF(IF(B1336="none",1,IF(B1336="Trialer",1,0))+IF(C1336="Customer",1,IF(C1336="Lost",1,0))=2,1,0)</f>
      </c>
      <c r="X1336" s="0" t="s">
        <v>166</v>
      </c>
      <c r="Y1336" s="0" t="s">
        <v>243</v>
      </c>
      <c r="AV1336" s="68"/>
      <c r="AW1336" s="68"/>
      <c r="AY1336" s="27"/>
      <c r="BD1336" s="68">
        <v>46054.1666666667</v>
      </c>
      <c r="BE1336" s="68">
        <v>46082.1666666667</v>
      </c>
      <c r="BF1336" s="0" t="b">
        <v>0</v>
      </c>
      <c r="BG1336" s="0" t="b">
        <v>0</v>
      </c>
      <c r="BH1336" s="0">
        <v>101</v>
      </c>
      <c r="BI1336" s="0">
        <v>101</v>
      </c>
      <c r="BJ1336" s="0" t="s">
        <v>230</v>
      </c>
    </row>
    <row r="1337">
      <c r="A1337" s="0" t="s">
        <v>1549</v>
      </c>
      <c r="B1337" s="0" t="s">
        <v>134</v>
      </c>
      <c r="C1337" s="0" t="s">
        <v>134</v>
      </c>
      <c r="D1337" s="0" t="s">
        <v>230</v>
      </c>
      <c r="E1337" s="0" t="s">
        <v>2</v>
      </c>
      <c r="F1337" s="0" t="s">
        <v>12</v>
      </c>
      <c r="G1337" s="0" t="s">
        <v>8</v>
      </c>
      <c r="H1337" s="0">
        <v>1678</v>
      </c>
      <c r="I1337" s="0">
        <v>223</v>
      </c>
      <c r="J1337" s="0">
        <v>0</v>
      </c>
      <c r="K1337" s="0">
        <v>1</v>
      </c>
      <c r="L1337" s="0">
        <v>4</v>
      </c>
      <c r="M1337" s="0">
        <v>6</v>
      </c>
      <c r="N1337" s="0">
        <v>0</v>
      </c>
      <c r="O1337" s="0">
        <v>0</v>
      </c>
      <c r="P1337" s="0">
        <v>-223</v>
      </c>
      <c r="R1337" s="0" t="b">
        <v>0</v>
      </c>
      <c r="S1337" s="0" t="b">
        <v>1</v>
      </c>
      <c r="T1337" s="68">
        <v>44375.4979282407</v>
      </c>
      <c r="U1337" s="68">
        <v>44405.3333333333</v>
      </c>
      <c r="V1337" s="68">
        <v>0</v>
      </c>
      <c r="W1337" s="0">
        <f>IF(IF(B1337="none",1,IF(B1337="Trialer",1,0))+IF(C1337="Customer",1,IF(C1337="Lost",1,0))=2,1,0)</f>
      </c>
      <c r="X1337" s="0" t="s">
        <v>145</v>
      </c>
      <c r="Y1337" s="0" t="s">
        <v>499</v>
      </c>
      <c r="AV1337" s="68"/>
      <c r="AW1337" s="68"/>
      <c r="AY1337" s="27"/>
      <c r="BD1337" s="68">
        <v>46054.1666666667</v>
      </c>
      <c r="BE1337" s="68">
        <v>46082.1666666667</v>
      </c>
      <c r="BF1337" s="0" t="b">
        <v>0</v>
      </c>
      <c r="BG1337" s="0" t="b">
        <v>0</v>
      </c>
      <c r="BH1337" s="0">
        <v>249</v>
      </c>
      <c r="BI1337" s="0">
        <v>249</v>
      </c>
      <c r="BJ1337" s="0" t="s">
        <v>230</v>
      </c>
    </row>
    <row r="1338">
      <c r="A1338" s="0" t="s">
        <v>1550</v>
      </c>
      <c r="B1338" s="0" t="s">
        <v>134</v>
      </c>
      <c r="C1338" s="0" t="s">
        <v>134</v>
      </c>
      <c r="D1338" s="0" t="s">
        <v>135</v>
      </c>
      <c r="E1338" s="0" t="s">
        <v>3</v>
      </c>
      <c r="F1338" s="0" t="s">
        <v>12</v>
      </c>
      <c r="G1338" s="0" t="s">
        <v>8</v>
      </c>
      <c r="H1338" s="0">
        <v>1678</v>
      </c>
      <c r="I1338" s="0">
        <v>199</v>
      </c>
      <c r="J1338" s="0">
        <v>0</v>
      </c>
      <c r="K1338" s="0">
        <v>1</v>
      </c>
      <c r="L1338" s="0">
        <v>4</v>
      </c>
      <c r="M1338" s="0">
        <v>4</v>
      </c>
      <c r="N1338" s="0">
        <v>0</v>
      </c>
      <c r="O1338" s="0">
        <v>0</v>
      </c>
      <c r="P1338" s="0">
        <v>0</v>
      </c>
      <c r="R1338" s="0" t="b">
        <v>0</v>
      </c>
      <c r="S1338" s="0" t="b">
        <v>1</v>
      </c>
      <c r="T1338" s="68">
        <v>44375.5093171296</v>
      </c>
      <c r="U1338" s="68">
        <v>44417.3333333333</v>
      </c>
      <c r="V1338" s="68">
        <v>0</v>
      </c>
      <c r="W1338" s="0">
        <f>IF(IF(B1338="none",1,IF(B1338="Trialer",1,0))+IF(C1338="Customer",1,IF(C1338="Lost",1,0))=2,1,0)</f>
      </c>
      <c r="X1338" s="0" t="s">
        <v>145</v>
      </c>
      <c r="Y1338" s="0" t="s">
        <v>243</v>
      </c>
      <c r="AV1338" s="68"/>
      <c r="AW1338" s="68"/>
      <c r="AY1338" s="27"/>
      <c r="BD1338" s="68">
        <v>46054.1666666667</v>
      </c>
      <c r="BE1338" s="68">
        <v>46082.1666666667</v>
      </c>
      <c r="BF1338" s="0" t="b">
        <v>0</v>
      </c>
      <c r="BG1338" s="0" t="b">
        <v>0</v>
      </c>
      <c r="BH1338" s="0">
        <v>199</v>
      </c>
      <c r="BI1338" s="0">
        <v>199</v>
      </c>
      <c r="BJ1338" s="0" t="s">
        <v>135</v>
      </c>
    </row>
    <row r="1339">
      <c r="A1339" s="0" t="s">
        <v>1551</v>
      </c>
      <c r="B1339" s="0" t="s">
        <v>134</v>
      </c>
      <c r="C1339" s="0" t="s">
        <v>134</v>
      </c>
      <c r="D1339" s="0" t="s">
        <v>230</v>
      </c>
      <c r="E1339" s="0" t="s">
        <v>2</v>
      </c>
      <c r="F1339" s="0" t="s">
        <v>12</v>
      </c>
      <c r="G1339" s="0" t="s">
        <v>8</v>
      </c>
      <c r="H1339" s="0">
        <v>1678</v>
      </c>
      <c r="I1339" s="0">
        <v>176</v>
      </c>
      <c r="J1339" s="0">
        <v>0</v>
      </c>
      <c r="K1339" s="0">
        <v>1</v>
      </c>
      <c r="L1339" s="0">
        <v>3</v>
      </c>
      <c r="M1339" s="0">
        <v>4</v>
      </c>
      <c r="N1339" s="0">
        <v>0</v>
      </c>
      <c r="O1339" s="0">
        <v>0</v>
      </c>
      <c r="P1339" s="0">
        <v>-176</v>
      </c>
      <c r="R1339" s="0" t="b">
        <v>0</v>
      </c>
      <c r="S1339" s="0" t="b">
        <v>1</v>
      </c>
      <c r="T1339" s="68">
        <v>44375.6368865741</v>
      </c>
      <c r="U1339" s="68">
        <v>44405.3333333333</v>
      </c>
      <c r="V1339" s="68">
        <v>0</v>
      </c>
      <c r="W1339" s="0">
        <f>IF(IF(B1339="none",1,IF(B1339="Trialer",1,0))+IF(C1339="Customer",1,IF(C1339="Lost",1,0))=2,1,0)</f>
      </c>
      <c r="X1339" s="0" t="s">
        <v>136</v>
      </c>
      <c r="Y1339" s="0" t="s">
        <v>499</v>
      </c>
      <c r="AV1339" s="68"/>
      <c r="AW1339" s="68"/>
      <c r="AY1339" s="27"/>
      <c r="BD1339" s="68">
        <v>46054.1666666667</v>
      </c>
      <c r="BE1339" s="68">
        <v>46082.1666666667</v>
      </c>
      <c r="BF1339" s="0" t="b">
        <v>0</v>
      </c>
      <c r="BG1339" s="0" t="b">
        <v>0</v>
      </c>
      <c r="BH1339" s="0">
        <v>196</v>
      </c>
      <c r="BI1339" s="0">
        <v>196</v>
      </c>
      <c r="BJ1339" s="0" t="s">
        <v>230</v>
      </c>
    </row>
    <row r="1340">
      <c r="A1340" s="0" t="s">
        <v>1552</v>
      </c>
      <c r="B1340" s="0" t="s">
        <v>134</v>
      </c>
      <c r="C1340" s="0" t="s">
        <v>134</v>
      </c>
      <c r="D1340" s="0" t="s">
        <v>230</v>
      </c>
      <c r="E1340" s="0" t="s">
        <v>2</v>
      </c>
      <c r="F1340" s="0" t="s">
        <v>12</v>
      </c>
      <c r="G1340" s="0" t="s">
        <v>8</v>
      </c>
      <c r="H1340" s="0">
        <v>1674</v>
      </c>
      <c r="I1340" s="0">
        <v>36</v>
      </c>
      <c r="J1340" s="0">
        <v>0</v>
      </c>
      <c r="K1340" s="0">
        <v>1</v>
      </c>
      <c r="L1340" s="0">
        <v>2</v>
      </c>
      <c r="M1340" s="0">
        <v>1</v>
      </c>
      <c r="N1340" s="0">
        <v>0</v>
      </c>
      <c r="O1340" s="0">
        <v>0</v>
      </c>
      <c r="P1340" s="0">
        <v>-36</v>
      </c>
      <c r="R1340" s="0" t="b">
        <v>0</v>
      </c>
      <c r="S1340" s="0" t="b">
        <v>1</v>
      </c>
      <c r="T1340" s="68">
        <v>44379.4678819444</v>
      </c>
      <c r="U1340" s="68">
        <v>44410.3333333333</v>
      </c>
      <c r="V1340" s="68">
        <v>0</v>
      </c>
      <c r="W1340" s="0">
        <f>IF(IF(B1340="none",1,IF(B1340="Trialer",1,0))+IF(C1340="Customer",1,IF(C1340="Lost",1,0))=2,1,0)</f>
      </c>
      <c r="X1340" s="0" t="s">
        <v>166</v>
      </c>
      <c r="Y1340" s="0" t="s">
        <v>499</v>
      </c>
      <c r="AV1340" s="68"/>
      <c r="AW1340" s="68"/>
      <c r="AY1340" s="27"/>
      <c r="BD1340" s="68">
        <v>46054.1666666667</v>
      </c>
      <c r="BE1340" s="68">
        <v>46082.1666666667</v>
      </c>
      <c r="BF1340" s="0" t="b">
        <v>0</v>
      </c>
      <c r="BG1340" s="0" t="b">
        <v>0</v>
      </c>
      <c r="BH1340" s="0">
        <v>40</v>
      </c>
      <c r="BI1340" s="0">
        <v>40</v>
      </c>
      <c r="BJ1340" s="0" t="s">
        <v>230</v>
      </c>
    </row>
    <row r="1341">
      <c r="A1341" s="0" t="s">
        <v>1553</v>
      </c>
      <c r="B1341" s="0" t="s">
        <v>134</v>
      </c>
      <c r="C1341" s="0" t="s">
        <v>134</v>
      </c>
      <c r="D1341" s="0" t="s">
        <v>135</v>
      </c>
      <c r="E1341" s="0" t="s">
        <v>3</v>
      </c>
      <c r="F1341" s="0" t="s">
        <v>10</v>
      </c>
      <c r="G1341" s="0" t="s">
        <v>8</v>
      </c>
      <c r="H1341" s="0">
        <v>1674</v>
      </c>
      <c r="I1341" s="0">
        <v>49</v>
      </c>
      <c r="J1341" s="0">
        <v>0</v>
      </c>
      <c r="K1341" s="0">
        <v>1</v>
      </c>
      <c r="L1341" s="0">
        <v>3</v>
      </c>
      <c r="M1341" s="0">
        <v>1</v>
      </c>
      <c r="N1341" s="0">
        <v>0</v>
      </c>
      <c r="O1341" s="0">
        <v>0</v>
      </c>
      <c r="P1341" s="0">
        <v>0</v>
      </c>
      <c r="Q1341" s="0" t="s">
        <v>217</v>
      </c>
      <c r="R1341" s="0" t="b">
        <v>0</v>
      </c>
      <c r="S1341" s="0" t="b">
        <v>1</v>
      </c>
      <c r="T1341" s="68">
        <v>44379.622025463</v>
      </c>
      <c r="U1341" s="68">
        <v>44410.3333333333</v>
      </c>
      <c r="V1341" s="68">
        <v>0</v>
      </c>
      <c r="W1341" s="0">
        <f>IF(IF(B1341="none",1,IF(B1341="Trialer",1,0))+IF(C1341="Customer",1,IF(C1341="Lost",1,0))=2,1,0)</f>
      </c>
      <c r="X1341" s="0" t="s">
        <v>136</v>
      </c>
      <c r="Y1341" s="0" t="s">
        <v>243</v>
      </c>
      <c r="AV1341" s="68"/>
      <c r="AW1341" s="68"/>
      <c r="AY1341" s="27"/>
      <c r="BD1341" s="68">
        <v>46054.1666666667</v>
      </c>
      <c r="BE1341" s="68">
        <v>46082.1666666667</v>
      </c>
      <c r="BF1341" s="0" t="b">
        <v>0</v>
      </c>
      <c r="BG1341" s="0" t="b">
        <v>0</v>
      </c>
      <c r="BH1341" s="0">
        <v>49</v>
      </c>
      <c r="BI1341" s="0">
        <v>49</v>
      </c>
      <c r="BJ1341" s="0" t="s">
        <v>135</v>
      </c>
    </row>
    <row r="1342">
      <c r="A1342" s="0" t="s">
        <v>1554</v>
      </c>
      <c r="B1342" s="0" t="s">
        <v>134</v>
      </c>
      <c r="C1342" s="0" t="s">
        <v>134</v>
      </c>
      <c r="D1342" s="0" t="s">
        <v>135</v>
      </c>
      <c r="E1342" s="0" t="s">
        <v>3</v>
      </c>
      <c r="F1342" s="0" t="s">
        <v>12</v>
      </c>
      <c r="G1342" s="0" t="s">
        <v>8</v>
      </c>
      <c r="H1342" s="0">
        <v>1673</v>
      </c>
      <c r="I1342" s="0">
        <v>92</v>
      </c>
      <c r="J1342" s="0">
        <v>0</v>
      </c>
      <c r="K1342" s="0">
        <v>1</v>
      </c>
      <c r="L1342" s="0">
        <v>3</v>
      </c>
      <c r="M1342" s="0">
        <v>2</v>
      </c>
      <c r="N1342" s="0">
        <v>0</v>
      </c>
      <c r="O1342" s="0">
        <v>0</v>
      </c>
      <c r="P1342" s="0">
        <v>0</v>
      </c>
      <c r="R1342" s="0" t="b">
        <v>0</v>
      </c>
      <c r="S1342" s="0" t="b">
        <v>1</v>
      </c>
      <c r="T1342" s="68">
        <v>44380.2205439815</v>
      </c>
      <c r="U1342" s="68">
        <v>44411.3333333333</v>
      </c>
      <c r="V1342" s="68">
        <v>0</v>
      </c>
      <c r="W1342" s="0">
        <f>IF(IF(B1342="none",1,IF(B1342="Trialer",1,0))+IF(C1342="Customer",1,IF(C1342="Lost",1,0))=2,1,0)</f>
      </c>
      <c r="X1342" s="0" t="s">
        <v>166</v>
      </c>
      <c r="Y1342" s="0" t="s">
        <v>243</v>
      </c>
      <c r="AV1342" s="68"/>
      <c r="AW1342" s="68"/>
      <c r="AY1342" s="27"/>
      <c r="BD1342" s="68">
        <v>46054.1666666667</v>
      </c>
      <c r="BE1342" s="68">
        <v>46082.1666666667</v>
      </c>
      <c r="BF1342" s="0" t="b">
        <v>0</v>
      </c>
      <c r="BG1342" s="0" t="b">
        <v>0</v>
      </c>
      <c r="BH1342" s="0">
        <v>92</v>
      </c>
      <c r="BI1342" s="0">
        <v>92</v>
      </c>
      <c r="BJ1342" s="0" t="s">
        <v>135</v>
      </c>
    </row>
    <row r="1343">
      <c r="A1343" s="0" t="s">
        <v>1555</v>
      </c>
      <c r="B1343" s="0" t="s">
        <v>134</v>
      </c>
      <c r="C1343" s="0" t="s">
        <v>134</v>
      </c>
      <c r="D1343" s="0" t="s">
        <v>230</v>
      </c>
      <c r="E1343" s="0" t="s">
        <v>2</v>
      </c>
      <c r="F1343" s="0" t="s">
        <v>12</v>
      </c>
      <c r="G1343" s="0" t="s">
        <v>8</v>
      </c>
      <c r="H1343" s="0">
        <v>1671</v>
      </c>
      <c r="I1343" s="0">
        <v>88</v>
      </c>
      <c r="J1343" s="0">
        <v>0</v>
      </c>
      <c r="K1343" s="0">
        <v>1</v>
      </c>
      <c r="L1343" s="0">
        <v>3</v>
      </c>
      <c r="M1343" s="0">
        <v>2</v>
      </c>
      <c r="N1343" s="0">
        <v>0</v>
      </c>
      <c r="O1343" s="0">
        <v>0</v>
      </c>
      <c r="P1343" s="0">
        <v>-88</v>
      </c>
      <c r="R1343" s="0" t="b">
        <v>0</v>
      </c>
      <c r="S1343" s="0" t="b">
        <v>1</v>
      </c>
      <c r="T1343" s="68">
        <v>44382.4456018519</v>
      </c>
      <c r="U1343" s="68">
        <v>44461.3333333333</v>
      </c>
      <c r="V1343" s="68">
        <v>0</v>
      </c>
      <c r="W1343" s="0">
        <f>IF(IF(B1343="none",1,IF(B1343="Trialer",1,0))+IF(C1343="Customer",1,IF(C1343="Lost",1,0))=2,1,0)</f>
      </c>
      <c r="X1343" s="0" t="s">
        <v>142</v>
      </c>
      <c r="Y1343" s="0" t="s">
        <v>499</v>
      </c>
      <c r="AV1343" s="68"/>
      <c r="AW1343" s="68"/>
      <c r="AY1343" s="27"/>
      <c r="BD1343" s="68">
        <v>46054.1666666667</v>
      </c>
      <c r="BE1343" s="68">
        <v>46082.1666666667</v>
      </c>
      <c r="BF1343" s="0" t="b">
        <v>0</v>
      </c>
      <c r="BG1343" s="0" t="b">
        <v>0</v>
      </c>
      <c r="BH1343" s="0">
        <v>98</v>
      </c>
      <c r="BI1343" s="0">
        <v>98</v>
      </c>
      <c r="BJ1343" s="0" t="s">
        <v>230</v>
      </c>
    </row>
    <row r="1344">
      <c r="A1344" s="0" t="s">
        <v>1556</v>
      </c>
      <c r="B1344" s="0" t="s">
        <v>134</v>
      </c>
      <c r="C1344" s="0" t="s">
        <v>134</v>
      </c>
      <c r="D1344" s="0" t="s">
        <v>135</v>
      </c>
      <c r="E1344" s="0" t="s">
        <v>3</v>
      </c>
      <c r="F1344" s="0" t="s">
        <v>10</v>
      </c>
      <c r="G1344" s="0" t="s">
        <v>8</v>
      </c>
      <c r="H1344" s="0">
        <v>1667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 t="s">
        <v>618</v>
      </c>
      <c r="R1344" s="0" t="b">
        <v>0</v>
      </c>
      <c r="S1344" s="0" t="b">
        <v>1</v>
      </c>
      <c r="T1344" s="68">
        <v>44386.2099884259</v>
      </c>
      <c r="U1344" s="68">
        <v>44417.3333333333</v>
      </c>
      <c r="V1344" s="68">
        <v>0</v>
      </c>
      <c r="W1344" s="0">
        <f>IF(IF(B1344="none",1,IF(B1344="Trialer",1,0))+IF(C1344="Customer",1,IF(C1344="Lost",1,0))=2,1,0)</f>
      </c>
      <c r="X1344" s="0" t="s">
        <v>148</v>
      </c>
      <c r="Y1344" s="0" t="s">
        <v>243</v>
      </c>
      <c r="AV1344" s="68"/>
      <c r="AW1344" s="68"/>
      <c r="AY1344" s="27"/>
      <c r="BD1344" s="68">
        <v>46054.1666666667</v>
      </c>
      <c r="BE1344" s="68">
        <v>46082.1666666667</v>
      </c>
      <c r="BF1344" s="0" t="b">
        <v>0</v>
      </c>
      <c r="BG1344" s="0" t="b">
        <v>0</v>
      </c>
      <c r="BH1344" s="0">
        <v>0</v>
      </c>
      <c r="BI1344" s="0">
        <v>0</v>
      </c>
      <c r="BJ1344" s="0" t="s">
        <v>135</v>
      </c>
    </row>
    <row r="1345">
      <c r="A1345" s="0" t="s">
        <v>1557</v>
      </c>
      <c r="B1345" s="0" t="s">
        <v>134</v>
      </c>
      <c r="C1345" s="0" t="s">
        <v>134</v>
      </c>
      <c r="D1345" s="0" t="s">
        <v>230</v>
      </c>
      <c r="E1345" s="0" t="s">
        <v>2</v>
      </c>
      <c r="F1345" s="0" t="s">
        <v>12</v>
      </c>
      <c r="G1345" s="0" t="s">
        <v>8</v>
      </c>
      <c r="H1345" s="0">
        <v>1662</v>
      </c>
      <c r="I1345" s="0">
        <v>171</v>
      </c>
      <c r="J1345" s="0">
        <v>0</v>
      </c>
      <c r="K1345" s="0">
        <v>1</v>
      </c>
      <c r="L1345" s="0">
        <v>4</v>
      </c>
      <c r="M1345" s="0">
        <v>4</v>
      </c>
      <c r="N1345" s="0">
        <v>0</v>
      </c>
      <c r="O1345" s="0">
        <v>0</v>
      </c>
      <c r="P1345" s="0">
        <v>-171</v>
      </c>
      <c r="R1345" s="0" t="b">
        <v>0</v>
      </c>
      <c r="S1345" s="0" t="b">
        <v>1</v>
      </c>
      <c r="T1345" s="68">
        <v>44391.7069444444</v>
      </c>
      <c r="U1345" s="68">
        <v>44422.5</v>
      </c>
      <c r="V1345" s="68">
        <v>0</v>
      </c>
      <c r="W1345" s="0">
        <f>IF(IF(B1345="none",1,IF(B1345="Trialer",1,0))+IF(C1345="Customer",1,IF(C1345="Lost",1,0))=2,1,0)</f>
      </c>
      <c r="X1345" s="0" t="s">
        <v>136</v>
      </c>
      <c r="Y1345" s="0" t="s">
        <v>499</v>
      </c>
      <c r="AV1345" s="68"/>
      <c r="AW1345" s="68"/>
      <c r="AY1345" s="27"/>
      <c r="BD1345" s="68">
        <v>46054.1666666667</v>
      </c>
      <c r="BE1345" s="68">
        <v>46082.1666666667</v>
      </c>
      <c r="BF1345" s="0" t="b">
        <v>0</v>
      </c>
      <c r="BG1345" s="0" t="b">
        <v>0</v>
      </c>
      <c r="BH1345" s="0">
        <v>193</v>
      </c>
      <c r="BI1345" s="0">
        <v>193</v>
      </c>
      <c r="BJ1345" s="0" t="s">
        <v>230</v>
      </c>
    </row>
    <row r="1346">
      <c r="A1346" s="0" t="s">
        <v>1558</v>
      </c>
      <c r="B1346" s="0" t="s">
        <v>134</v>
      </c>
      <c r="C1346" s="0" t="s">
        <v>134</v>
      </c>
      <c r="D1346" s="0" t="s">
        <v>230</v>
      </c>
      <c r="E1346" s="0" t="s">
        <v>3</v>
      </c>
      <c r="F1346" s="0" t="s">
        <v>12</v>
      </c>
      <c r="G1346" s="0" t="s">
        <v>8</v>
      </c>
      <c r="H1346" s="0">
        <v>1661</v>
      </c>
      <c r="I1346" s="0">
        <v>113</v>
      </c>
      <c r="J1346" s="0">
        <v>0</v>
      </c>
      <c r="K1346" s="0">
        <v>1</v>
      </c>
      <c r="L1346" s="0">
        <v>3</v>
      </c>
      <c r="M1346" s="0">
        <v>3</v>
      </c>
      <c r="N1346" s="0">
        <v>0</v>
      </c>
      <c r="O1346" s="0">
        <v>0</v>
      </c>
      <c r="P1346" s="0">
        <v>-113</v>
      </c>
      <c r="R1346" s="0" t="b">
        <v>0</v>
      </c>
      <c r="S1346" s="0" t="b">
        <v>1</v>
      </c>
      <c r="T1346" s="68">
        <v>44392.5875578704</v>
      </c>
      <c r="U1346" s="68">
        <v>44423.3333333333</v>
      </c>
      <c r="V1346" s="68">
        <v>0</v>
      </c>
      <c r="W1346" s="0">
        <f>IF(IF(B1346="none",1,IF(B1346="Trialer",1,0))+IF(C1346="Customer",1,IF(C1346="Lost",1,0))=2,1,0)</f>
      </c>
      <c r="X1346" s="0" t="s">
        <v>142</v>
      </c>
      <c r="Y1346" s="0" t="s">
        <v>243</v>
      </c>
      <c r="AV1346" s="68"/>
      <c r="AW1346" s="68"/>
      <c r="AY1346" s="27"/>
      <c r="BD1346" s="68">
        <v>46054.1666666667</v>
      </c>
      <c r="BE1346" s="68">
        <v>46082.1666666667</v>
      </c>
      <c r="BF1346" s="0" t="b">
        <v>0</v>
      </c>
      <c r="BG1346" s="0" t="b">
        <v>0</v>
      </c>
      <c r="BH1346" s="0">
        <v>126</v>
      </c>
      <c r="BI1346" s="0">
        <v>126</v>
      </c>
      <c r="BJ1346" s="0" t="s">
        <v>230</v>
      </c>
    </row>
    <row r="1347">
      <c r="A1347" s="0" t="s">
        <v>1559</v>
      </c>
      <c r="B1347" s="0" t="s">
        <v>134</v>
      </c>
      <c r="C1347" s="0" t="s">
        <v>134</v>
      </c>
      <c r="D1347" s="0" t="s">
        <v>135</v>
      </c>
      <c r="E1347" s="0" t="s">
        <v>3</v>
      </c>
      <c r="F1347" s="0" t="s">
        <v>12</v>
      </c>
      <c r="G1347" s="0" t="s">
        <v>8</v>
      </c>
      <c r="H1347" s="0">
        <v>1661</v>
      </c>
      <c r="I1347" s="0">
        <v>98</v>
      </c>
      <c r="J1347" s="0">
        <v>0</v>
      </c>
      <c r="K1347" s="0">
        <v>1</v>
      </c>
      <c r="L1347" s="0">
        <v>3</v>
      </c>
      <c r="M1347" s="0">
        <v>2</v>
      </c>
      <c r="N1347" s="0">
        <v>0</v>
      </c>
      <c r="O1347" s="0">
        <v>0</v>
      </c>
      <c r="P1347" s="0">
        <v>0</v>
      </c>
      <c r="R1347" s="0" t="b">
        <v>0</v>
      </c>
      <c r="S1347" s="0" t="b">
        <v>1</v>
      </c>
      <c r="T1347" s="68">
        <v>44392.662662037</v>
      </c>
      <c r="U1347" s="68">
        <v>44432.3333333333</v>
      </c>
      <c r="V1347" s="68">
        <v>0</v>
      </c>
      <c r="W1347" s="0">
        <f>IF(IF(B1347="none",1,IF(B1347="Trialer",1,0))+IF(C1347="Customer",1,IF(C1347="Lost",1,0))=2,1,0)</f>
      </c>
      <c r="X1347" s="0" t="s">
        <v>153</v>
      </c>
      <c r="Y1347" s="0" t="s">
        <v>243</v>
      </c>
      <c r="AV1347" s="68"/>
      <c r="AW1347" s="68"/>
      <c r="AY1347" s="27"/>
      <c r="BD1347" s="68">
        <v>46054.1666666667</v>
      </c>
      <c r="BE1347" s="68">
        <v>46082.1666666667</v>
      </c>
      <c r="BF1347" s="0" t="b">
        <v>0</v>
      </c>
      <c r="BG1347" s="0" t="b">
        <v>0</v>
      </c>
      <c r="BH1347" s="0">
        <v>98</v>
      </c>
      <c r="BI1347" s="0">
        <v>98</v>
      </c>
      <c r="BJ1347" s="0" t="s">
        <v>135</v>
      </c>
    </row>
    <row r="1348">
      <c r="A1348" s="0" t="s">
        <v>1560</v>
      </c>
      <c r="B1348" s="0" t="s">
        <v>134</v>
      </c>
      <c r="C1348" s="0" t="s">
        <v>134</v>
      </c>
      <c r="D1348" s="0" t="s">
        <v>230</v>
      </c>
      <c r="E1348" s="0" t="s">
        <v>3</v>
      </c>
      <c r="F1348" s="0" t="s">
        <v>12</v>
      </c>
      <c r="G1348" s="0" t="s">
        <v>8</v>
      </c>
      <c r="H1348" s="0">
        <v>1660</v>
      </c>
      <c r="I1348" s="0">
        <v>118</v>
      </c>
      <c r="J1348" s="0">
        <v>0</v>
      </c>
      <c r="K1348" s="0">
        <v>1</v>
      </c>
      <c r="L1348" s="0">
        <v>3</v>
      </c>
      <c r="M1348" s="0">
        <v>3</v>
      </c>
      <c r="N1348" s="0">
        <v>0</v>
      </c>
      <c r="O1348" s="0">
        <v>0</v>
      </c>
      <c r="P1348" s="0">
        <v>-118</v>
      </c>
      <c r="R1348" s="0" t="b">
        <v>0</v>
      </c>
      <c r="S1348" s="0" t="b">
        <v>1</v>
      </c>
      <c r="T1348" s="68">
        <v>44393.6541666667</v>
      </c>
      <c r="U1348" s="68">
        <v>44424.5</v>
      </c>
      <c r="V1348" s="68">
        <v>0</v>
      </c>
      <c r="W1348" s="0">
        <f>IF(IF(B1348="none",1,IF(B1348="Trialer",1,0))+IF(C1348="Customer",1,IF(C1348="Lost",1,0))=2,1,0)</f>
      </c>
      <c r="X1348" s="0" t="s">
        <v>142</v>
      </c>
      <c r="Y1348" s="0" t="s">
        <v>243</v>
      </c>
      <c r="AV1348" s="68"/>
      <c r="AW1348" s="68"/>
      <c r="AY1348" s="27"/>
      <c r="BD1348" s="68">
        <v>46054.1666666667</v>
      </c>
      <c r="BE1348" s="68">
        <v>46082.1666666667</v>
      </c>
      <c r="BF1348" s="0" t="b">
        <v>0</v>
      </c>
      <c r="BG1348" s="0" t="b">
        <v>0</v>
      </c>
      <c r="BH1348" s="0">
        <v>132</v>
      </c>
      <c r="BI1348" s="0">
        <v>132</v>
      </c>
      <c r="BJ1348" s="0" t="s">
        <v>230</v>
      </c>
    </row>
    <row r="1349">
      <c r="A1349" s="0" t="s">
        <v>1561</v>
      </c>
      <c r="B1349" s="0" t="s">
        <v>134</v>
      </c>
      <c r="C1349" s="0" t="s">
        <v>134</v>
      </c>
      <c r="D1349" s="0" t="s">
        <v>230</v>
      </c>
      <c r="E1349" s="0" t="s">
        <v>3</v>
      </c>
      <c r="F1349" s="0" t="s">
        <v>12</v>
      </c>
      <c r="G1349" s="0" t="s">
        <v>8</v>
      </c>
      <c r="H1349" s="0">
        <v>1657</v>
      </c>
      <c r="I1349" s="0">
        <v>747</v>
      </c>
      <c r="J1349" s="0">
        <v>0</v>
      </c>
      <c r="K1349" s="0">
        <v>1</v>
      </c>
      <c r="L1349" s="0">
        <v>4</v>
      </c>
      <c r="M1349" s="0">
        <v>8</v>
      </c>
      <c r="N1349" s="0">
        <v>1395</v>
      </c>
      <c r="O1349" s="0">
        <v>0</v>
      </c>
      <c r="P1349" s="0">
        <v>4642</v>
      </c>
      <c r="R1349" s="0" t="b">
        <v>0</v>
      </c>
      <c r="S1349" s="0" t="b">
        <v>1</v>
      </c>
      <c r="T1349" s="68">
        <v>44396.6567476852</v>
      </c>
      <c r="U1349" s="68">
        <v>44431.3333333333</v>
      </c>
      <c r="V1349" s="68">
        <v>0</v>
      </c>
      <c r="W1349" s="0">
        <f>IF(IF(B1349="none",1,IF(B1349="Trialer",1,0))+IF(C1349="Customer",1,IF(C1349="Lost",1,0))=2,1,0)</f>
      </c>
      <c r="X1349" s="0" t="s">
        <v>145</v>
      </c>
      <c r="Y1349" s="0" t="s">
        <v>243</v>
      </c>
      <c r="AV1349" s="68"/>
      <c r="AW1349" s="68"/>
      <c r="AY1349" s="27"/>
      <c r="BD1349" s="68">
        <v>46054.1666666667</v>
      </c>
      <c r="BE1349" s="68">
        <v>46082.1666666667</v>
      </c>
      <c r="BF1349" s="0" t="b">
        <v>0</v>
      </c>
      <c r="BG1349" s="0" t="b">
        <v>0</v>
      </c>
      <c r="BH1349" s="0">
        <v>427</v>
      </c>
      <c r="BI1349" s="0">
        <v>427</v>
      </c>
      <c r="BJ1349" s="0" t="s">
        <v>230</v>
      </c>
    </row>
    <row r="1350">
      <c r="A1350" s="0" t="s">
        <v>1562</v>
      </c>
      <c r="B1350" s="0" t="s">
        <v>134</v>
      </c>
      <c r="C1350" s="0" t="s">
        <v>134</v>
      </c>
      <c r="D1350" s="0" t="s">
        <v>135</v>
      </c>
      <c r="E1350" s="0" t="s">
        <v>3</v>
      </c>
      <c r="F1350" s="0" t="s">
        <v>12</v>
      </c>
      <c r="G1350" s="0" t="s">
        <v>8</v>
      </c>
      <c r="H1350" s="0">
        <v>1656</v>
      </c>
      <c r="I1350" s="0">
        <v>227</v>
      </c>
      <c r="J1350" s="0">
        <v>0</v>
      </c>
      <c r="K1350" s="0">
        <v>1</v>
      </c>
      <c r="L1350" s="0">
        <v>3</v>
      </c>
      <c r="M1350" s="0">
        <v>5</v>
      </c>
      <c r="N1350" s="0">
        <v>0</v>
      </c>
      <c r="O1350" s="0">
        <v>0</v>
      </c>
      <c r="P1350" s="0">
        <v>0</v>
      </c>
      <c r="R1350" s="0" t="b">
        <v>0</v>
      </c>
      <c r="S1350" s="0" t="b">
        <v>1</v>
      </c>
      <c r="T1350" s="68">
        <v>44397.1186689815</v>
      </c>
      <c r="U1350" s="68">
        <v>44428.3333333333</v>
      </c>
      <c r="V1350" s="68">
        <v>0</v>
      </c>
      <c r="W1350" s="0">
        <f>IF(IF(B1350="none",1,IF(B1350="Trialer",1,0))+IF(C1350="Customer",1,IF(C1350="Lost",1,0))=2,1,0)</f>
      </c>
      <c r="X1350" s="0" t="s">
        <v>136</v>
      </c>
      <c r="Y1350" s="0" t="s">
        <v>243</v>
      </c>
      <c r="AV1350" s="68"/>
      <c r="AW1350" s="68"/>
      <c r="AY1350" s="27"/>
      <c r="BD1350" s="68">
        <v>46054.1666666667</v>
      </c>
      <c r="BE1350" s="68">
        <v>46082.1666666667</v>
      </c>
      <c r="BF1350" s="0" t="b">
        <v>0</v>
      </c>
      <c r="BG1350" s="0" t="b">
        <v>0</v>
      </c>
      <c r="BH1350" s="0">
        <v>227</v>
      </c>
      <c r="BI1350" s="0">
        <v>227</v>
      </c>
      <c r="BJ1350" s="0" t="s">
        <v>230</v>
      </c>
    </row>
    <row r="1351">
      <c r="A1351" s="0" t="s">
        <v>1563</v>
      </c>
      <c r="B1351" s="0" t="s">
        <v>134</v>
      </c>
      <c r="C1351" s="0" t="s">
        <v>134</v>
      </c>
      <c r="D1351" s="0" t="s">
        <v>135</v>
      </c>
      <c r="E1351" s="0" t="s">
        <v>2</v>
      </c>
      <c r="F1351" s="0" t="s">
        <v>12</v>
      </c>
      <c r="G1351" s="0" t="s">
        <v>8</v>
      </c>
      <c r="H1351" s="0">
        <v>1653</v>
      </c>
      <c r="I1351" s="0">
        <v>120</v>
      </c>
      <c r="J1351" s="0">
        <v>0</v>
      </c>
      <c r="K1351" s="0">
        <v>1</v>
      </c>
      <c r="L1351" s="0">
        <v>2</v>
      </c>
      <c r="M1351" s="0">
        <v>3</v>
      </c>
      <c r="N1351" s="0">
        <v>0</v>
      </c>
      <c r="O1351" s="0">
        <v>0</v>
      </c>
      <c r="P1351" s="0">
        <v>0</v>
      </c>
      <c r="R1351" s="0" t="b">
        <v>0</v>
      </c>
      <c r="S1351" s="0" t="b">
        <v>1</v>
      </c>
      <c r="T1351" s="68">
        <v>44400.5714930556</v>
      </c>
      <c r="U1351" s="68">
        <v>44431.3333333333</v>
      </c>
      <c r="V1351" s="68">
        <v>0</v>
      </c>
      <c r="W1351" s="0">
        <f>IF(IF(B1351="none",1,IF(B1351="Trialer",1,0))+IF(C1351="Customer",1,IF(C1351="Lost",1,0))=2,1,0)</f>
      </c>
      <c r="X1351" s="0" t="s">
        <v>166</v>
      </c>
      <c r="Y1351" s="0" t="s">
        <v>499</v>
      </c>
      <c r="AV1351" s="68"/>
      <c r="AW1351" s="68"/>
      <c r="AY1351" s="27"/>
      <c r="BD1351" s="68">
        <v>46054.1666666667</v>
      </c>
      <c r="BE1351" s="68">
        <v>46082.1666666667</v>
      </c>
      <c r="BF1351" s="0" t="b">
        <v>0</v>
      </c>
      <c r="BG1351" s="0" t="b">
        <v>0</v>
      </c>
      <c r="BH1351" s="0">
        <v>120</v>
      </c>
      <c r="BI1351" s="0">
        <v>120</v>
      </c>
      <c r="BJ1351" s="0" t="s">
        <v>135</v>
      </c>
    </row>
    <row r="1352">
      <c r="A1352" s="0" t="s">
        <v>1564</v>
      </c>
      <c r="B1352" s="0" t="s">
        <v>134</v>
      </c>
      <c r="C1352" s="0" t="s">
        <v>134</v>
      </c>
      <c r="D1352" s="0" t="s">
        <v>135</v>
      </c>
      <c r="E1352" s="0" t="s">
        <v>2</v>
      </c>
      <c r="F1352" s="0" t="s">
        <v>12</v>
      </c>
      <c r="G1352" s="0" t="s">
        <v>8</v>
      </c>
      <c r="H1352" s="0">
        <v>1648</v>
      </c>
      <c r="I1352" s="0">
        <v>126</v>
      </c>
      <c r="J1352" s="0">
        <v>0</v>
      </c>
      <c r="K1352" s="0">
        <v>1</v>
      </c>
      <c r="L1352" s="0">
        <v>3</v>
      </c>
      <c r="M1352" s="0">
        <v>3</v>
      </c>
      <c r="N1352" s="0">
        <v>0</v>
      </c>
      <c r="O1352" s="0">
        <v>0</v>
      </c>
      <c r="P1352" s="0">
        <v>0</v>
      </c>
      <c r="R1352" s="0" t="b">
        <v>0</v>
      </c>
      <c r="S1352" s="0" t="b">
        <v>1</v>
      </c>
      <c r="T1352" s="68">
        <v>44405.4853472222</v>
      </c>
      <c r="U1352" s="68">
        <v>44438.3333333333</v>
      </c>
      <c r="V1352" s="68">
        <v>0</v>
      </c>
      <c r="W1352" s="0">
        <f>IF(IF(B1352="none",1,IF(B1352="Trialer",1,0))+IF(C1352="Customer",1,IF(C1352="Lost",1,0))=2,1,0)</f>
      </c>
      <c r="X1352" s="0" t="s">
        <v>142</v>
      </c>
      <c r="Y1352" s="0" t="s">
        <v>499</v>
      </c>
      <c r="AV1352" s="68"/>
      <c r="AW1352" s="68"/>
      <c r="AY1352" s="27"/>
      <c r="BD1352" s="68">
        <v>46054.1666666667</v>
      </c>
      <c r="BE1352" s="68">
        <v>46082.1666666667</v>
      </c>
      <c r="BF1352" s="0" t="b">
        <v>0</v>
      </c>
      <c r="BG1352" s="0" t="b">
        <v>0</v>
      </c>
      <c r="BH1352" s="0">
        <v>126</v>
      </c>
      <c r="BI1352" s="0">
        <v>126</v>
      </c>
      <c r="BJ1352" s="0" t="s">
        <v>135</v>
      </c>
    </row>
    <row r="1353">
      <c r="A1353" s="0" t="s">
        <v>1565</v>
      </c>
      <c r="B1353" s="0" t="s">
        <v>134</v>
      </c>
      <c r="C1353" s="0" t="s">
        <v>134</v>
      </c>
      <c r="D1353" s="0" t="s">
        <v>135</v>
      </c>
      <c r="E1353" s="0" t="s">
        <v>3</v>
      </c>
      <c r="F1353" s="0" t="s">
        <v>12</v>
      </c>
      <c r="G1353" s="0" t="s">
        <v>8</v>
      </c>
      <c r="H1353" s="0">
        <v>1648</v>
      </c>
      <c r="I1353" s="0">
        <v>272</v>
      </c>
      <c r="J1353" s="0">
        <v>0</v>
      </c>
      <c r="K1353" s="0">
        <v>1</v>
      </c>
      <c r="L1353" s="0">
        <v>4</v>
      </c>
      <c r="M1353" s="0">
        <v>5</v>
      </c>
      <c r="N1353" s="0">
        <v>0</v>
      </c>
      <c r="O1353" s="0">
        <v>0</v>
      </c>
      <c r="P1353" s="0">
        <v>0</v>
      </c>
      <c r="R1353" s="0" t="b">
        <v>0</v>
      </c>
      <c r="S1353" s="0" t="b">
        <v>1</v>
      </c>
      <c r="T1353" s="68">
        <v>44405.5959722222</v>
      </c>
      <c r="U1353" s="68">
        <v>44436.3333333333</v>
      </c>
      <c r="V1353" s="68">
        <v>0</v>
      </c>
      <c r="W1353" s="0">
        <f>IF(IF(B1353="none",1,IF(B1353="Trialer",1,0))+IF(C1353="Customer",1,IF(C1353="Lost",1,0))=2,1,0)</f>
      </c>
      <c r="X1353" s="0" t="s">
        <v>145</v>
      </c>
      <c r="Y1353" s="0" t="s">
        <v>243</v>
      </c>
      <c r="AV1353" s="68"/>
      <c r="AW1353" s="68"/>
      <c r="AY1353" s="27"/>
      <c r="BD1353" s="68">
        <v>46054.1666666667</v>
      </c>
      <c r="BE1353" s="68">
        <v>46082.1666666667</v>
      </c>
      <c r="BF1353" s="0" t="b">
        <v>0</v>
      </c>
      <c r="BG1353" s="0" t="b">
        <v>0</v>
      </c>
      <c r="BH1353" s="0">
        <v>272</v>
      </c>
      <c r="BI1353" s="0">
        <v>272</v>
      </c>
      <c r="BJ1353" s="0" t="s">
        <v>135</v>
      </c>
    </row>
    <row r="1354">
      <c r="A1354" s="0" t="s">
        <v>1566</v>
      </c>
      <c r="B1354" s="0" t="s">
        <v>134</v>
      </c>
      <c r="C1354" s="0" t="s">
        <v>134</v>
      </c>
      <c r="D1354" s="0" t="s">
        <v>135</v>
      </c>
      <c r="E1354" s="0" t="s">
        <v>2</v>
      </c>
      <c r="F1354" s="0" t="s">
        <v>10</v>
      </c>
      <c r="G1354" s="0" t="s">
        <v>8</v>
      </c>
      <c r="H1354" s="0">
        <v>1647</v>
      </c>
      <c r="I1354" s="0">
        <v>181</v>
      </c>
      <c r="J1354" s="0">
        <v>0</v>
      </c>
      <c r="K1354" s="0">
        <v>1</v>
      </c>
      <c r="L1354" s="0">
        <v>4</v>
      </c>
      <c r="M1354" s="0">
        <v>4</v>
      </c>
      <c r="N1354" s="0">
        <v>0</v>
      </c>
      <c r="O1354" s="0">
        <v>0</v>
      </c>
      <c r="P1354" s="0">
        <v>0</v>
      </c>
      <c r="Q1354" s="0" t="s">
        <v>1023</v>
      </c>
      <c r="R1354" s="0" t="b">
        <v>0</v>
      </c>
      <c r="S1354" s="0" t="b">
        <v>1</v>
      </c>
      <c r="T1354" s="68">
        <v>44406.5</v>
      </c>
      <c r="U1354" s="68">
        <v>44437.3333333333</v>
      </c>
      <c r="V1354" s="68">
        <v>0</v>
      </c>
      <c r="W1354" s="0">
        <f>IF(IF(B1354="none",1,IF(B1354="Trialer",1,0))+IF(C1354="Customer",1,IF(C1354="Lost",1,0))=2,1,0)</f>
      </c>
      <c r="X1354" s="0" t="s">
        <v>136</v>
      </c>
      <c r="Y1354" s="0" t="s">
        <v>499</v>
      </c>
      <c r="AV1354" s="68"/>
      <c r="AW1354" s="68"/>
      <c r="AY1354" s="27"/>
      <c r="BD1354" s="68">
        <v>46054.1666666667</v>
      </c>
      <c r="BE1354" s="68">
        <v>46082.1666666667</v>
      </c>
      <c r="BF1354" s="0" t="b">
        <v>0</v>
      </c>
      <c r="BG1354" s="0" t="b">
        <v>0</v>
      </c>
      <c r="BH1354" s="0">
        <v>181</v>
      </c>
      <c r="BI1354" s="0">
        <v>181</v>
      </c>
      <c r="BJ1354" s="0" t="s">
        <v>135</v>
      </c>
    </row>
    <row r="1355">
      <c r="A1355" s="0" t="s">
        <v>1567</v>
      </c>
      <c r="B1355" s="0" t="s">
        <v>134</v>
      </c>
      <c r="C1355" s="0" t="s">
        <v>134</v>
      </c>
      <c r="D1355" s="0" t="s">
        <v>230</v>
      </c>
      <c r="E1355" s="0" t="s">
        <v>3</v>
      </c>
      <c r="F1355" s="0" t="s">
        <v>12</v>
      </c>
      <c r="G1355" s="0" t="s">
        <v>8</v>
      </c>
      <c r="H1355" s="0">
        <v>1647</v>
      </c>
      <c r="I1355" s="0">
        <v>25</v>
      </c>
      <c r="J1355" s="0">
        <v>0</v>
      </c>
      <c r="K1355" s="0">
        <v>1</v>
      </c>
      <c r="L1355" s="0">
        <v>1</v>
      </c>
      <c r="M1355" s="0">
        <v>1</v>
      </c>
      <c r="N1355" s="0">
        <v>0</v>
      </c>
      <c r="O1355" s="0">
        <v>0</v>
      </c>
      <c r="P1355" s="0">
        <v>-25</v>
      </c>
      <c r="R1355" s="0" t="b">
        <v>0</v>
      </c>
      <c r="S1355" s="0" t="b">
        <v>1</v>
      </c>
      <c r="T1355" s="68">
        <v>44406.5838657407</v>
      </c>
      <c r="U1355" s="68">
        <v>44437.3333333333</v>
      </c>
      <c r="V1355" s="68">
        <v>0</v>
      </c>
      <c r="W1355" s="0">
        <f>IF(IF(B1355="none",1,IF(B1355="Trialer",1,0))+IF(C1355="Customer",1,IF(C1355="Lost",1,0))=2,1,0)</f>
      </c>
      <c r="X1355" s="0" t="s">
        <v>142</v>
      </c>
      <c r="Y1355" s="0" t="s">
        <v>243</v>
      </c>
      <c r="AV1355" s="68"/>
      <c r="AW1355" s="68"/>
      <c r="AY1355" s="27"/>
      <c r="BD1355" s="68">
        <v>46054.1666666667</v>
      </c>
      <c r="BE1355" s="68">
        <v>46082.1666666667</v>
      </c>
      <c r="BF1355" s="0" t="b">
        <v>0</v>
      </c>
      <c r="BG1355" s="0" t="b">
        <v>0</v>
      </c>
      <c r="BH1355" s="0">
        <v>28</v>
      </c>
      <c r="BI1355" s="0">
        <v>28</v>
      </c>
      <c r="BJ1355" s="0" t="s">
        <v>230</v>
      </c>
    </row>
    <row r="1356">
      <c r="A1356" s="0" t="s">
        <v>1568</v>
      </c>
      <c r="B1356" s="0" t="s">
        <v>134</v>
      </c>
      <c r="C1356" s="0" t="s">
        <v>134</v>
      </c>
      <c r="D1356" s="0" t="s">
        <v>135</v>
      </c>
      <c r="E1356" s="0" t="s">
        <v>3</v>
      </c>
      <c r="F1356" s="0" t="s">
        <v>12</v>
      </c>
      <c r="G1356" s="0" t="s">
        <v>8</v>
      </c>
      <c r="H1356" s="0">
        <v>1645</v>
      </c>
      <c r="I1356" s="0">
        <v>147</v>
      </c>
      <c r="J1356" s="0">
        <v>0</v>
      </c>
      <c r="K1356" s="0">
        <v>1</v>
      </c>
      <c r="L1356" s="0">
        <v>3</v>
      </c>
      <c r="M1356" s="0">
        <v>3</v>
      </c>
      <c r="N1356" s="0">
        <v>0</v>
      </c>
      <c r="O1356" s="0">
        <v>0</v>
      </c>
      <c r="P1356" s="0">
        <v>0</v>
      </c>
      <c r="R1356" s="0" t="b">
        <v>0</v>
      </c>
      <c r="S1356" s="0" t="b">
        <v>1</v>
      </c>
      <c r="T1356" s="68">
        <v>44408.8740856481</v>
      </c>
      <c r="U1356" s="68">
        <v>44439.3333333333</v>
      </c>
      <c r="V1356" s="68">
        <v>0</v>
      </c>
      <c r="W1356" s="0">
        <f>IF(IF(B1356="none",1,IF(B1356="Trialer",1,0))+IF(C1356="Customer",1,IF(C1356="Lost",1,0))=2,1,0)</f>
      </c>
      <c r="X1356" s="0" t="s">
        <v>142</v>
      </c>
      <c r="Y1356" s="0" t="s">
        <v>243</v>
      </c>
      <c r="AV1356" s="68"/>
      <c r="AW1356" s="68"/>
      <c r="AY1356" s="27"/>
      <c r="BD1356" s="68">
        <v>46054.1666666667</v>
      </c>
      <c r="BE1356" s="68">
        <v>46082.1666666667</v>
      </c>
      <c r="BF1356" s="0" t="b">
        <v>0</v>
      </c>
      <c r="BG1356" s="0" t="b">
        <v>0</v>
      </c>
      <c r="BH1356" s="0">
        <v>147</v>
      </c>
      <c r="BI1356" s="0">
        <v>147</v>
      </c>
      <c r="BJ1356" s="0" t="s">
        <v>135</v>
      </c>
    </row>
    <row r="1357">
      <c r="A1357" s="0" t="s">
        <v>1569</v>
      </c>
      <c r="B1357" s="0" t="s">
        <v>134</v>
      </c>
      <c r="C1357" s="0" t="s">
        <v>134</v>
      </c>
      <c r="D1357" s="0" t="s">
        <v>135</v>
      </c>
      <c r="E1357" s="0" t="s">
        <v>3</v>
      </c>
      <c r="F1357" s="0" t="s">
        <v>12</v>
      </c>
      <c r="G1357" s="0" t="s">
        <v>8</v>
      </c>
      <c r="H1357" s="0">
        <v>1643</v>
      </c>
      <c r="I1357" s="0">
        <v>49</v>
      </c>
      <c r="J1357" s="0">
        <v>0</v>
      </c>
      <c r="K1357" s="0">
        <v>1</v>
      </c>
      <c r="L1357" s="0">
        <v>3</v>
      </c>
      <c r="M1357" s="0">
        <v>1</v>
      </c>
      <c r="N1357" s="0">
        <v>0</v>
      </c>
      <c r="O1357" s="0">
        <v>0</v>
      </c>
      <c r="P1357" s="0">
        <v>0</v>
      </c>
      <c r="R1357" s="0" t="b">
        <v>0</v>
      </c>
      <c r="S1357" s="0" t="b">
        <v>1</v>
      </c>
      <c r="T1357" s="68">
        <v>44410.8652777778</v>
      </c>
      <c r="U1357" s="68">
        <v>44456.3333333333</v>
      </c>
      <c r="V1357" s="68">
        <v>0</v>
      </c>
      <c r="W1357" s="0">
        <f>IF(IF(B1357="none",1,IF(B1357="Trialer",1,0))+IF(C1357="Customer",1,IF(C1357="Lost",1,0))=2,1,0)</f>
      </c>
      <c r="X1357" s="0" t="s">
        <v>142</v>
      </c>
      <c r="Y1357" s="0" t="s">
        <v>243</v>
      </c>
      <c r="AV1357" s="68"/>
      <c r="AW1357" s="68"/>
      <c r="AY1357" s="27"/>
      <c r="BD1357" s="68">
        <v>46054.1666666667</v>
      </c>
      <c r="BE1357" s="68">
        <v>46082.1666666667</v>
      </c>
      <c r="BF1357" s="0" t="b">
        <v>0</v>
      </c>
      <c r="BG1357" s="0" t="b">
        <v>0</v>
      </c>
      <c r="BH1357" s="0">
        <v>49</v>
      </c>
      <c r="BI1357" s="0">
        <v>49</v>
      </c>
      <c r="BJ1357" s="0" t="s">
        <v>230</v>
      </c>
    </row>
    <row r="1358">
      <c r="A1358" s="0" t="s">
        <v>1570</v>
      </c>
      <c r="B1358" s="0" t="s">
        <v>134</v>
      </c>
      <c r="C1358" s="0" t="s">
        <v>134</v>
      </c>
      <c r="D1358" s="0" t="s">
        <v>135</v>
      </c>
      <c r="E1358" s="0" t="s">
        <v>2</v>
      </c>
      <c r="F1358" s="0" t="s">
        <v>12</v>
      </c>
      <c r="G1358" s="0" t="s">
        <v>8</v>
      </c>
      <c r="H1358" s="0">
        <v>1640</v>
      </c>
      <c r="I1358" s="0">
        <v>1089</v>
      </c>
      <c r="J1358" s="0">
        <v>0</v>
      </c>
      <c r="K1358" s="0">
        <v>2</v>
      </c>
      <c r="L1358" s="0">
        <v>5</v>
      </c>
      <c r="M1358" s="0">
        <v>10</v>
      </c>
      <c r="N1358" s="0">
        <v>0</v>
      </c>
      <c r="O1358" s="0">
        <v>0</v>
      </c>
      <c r="P1358" s="0">
        <v>0</v>
      </c>
      <c r="R1358" s="0" t="b">
        <v>0</v>
      </c>
      <c r="S1358" s="0" t="b">
        <v>1</v>
      </c>
      <c r="T1358" s="68">
        <v>44413.5864699074</v>
      </c>
      <c r="U1358" s="68">
        <v>44446.3333333333</v>
      </c>
      <c r="V1358" s="68">
        <v>0</v>
      </c>
      <c r="W1358" s="0">
        <f>IF(IF(B1358="none",1,IF(B1358="Trialer",1,0))+IF(C1358="Customer",1,IF(C1358="Lost",1,0))=2,1,0)</f>
      </c>
      <c r="X1358" s="0" t="s">
        <v>136</v>
      </c>
      <c r="Y1358" s="0" t="s">
        <v>499</v>
      </c>
      <c r="AV1358" s="68"/>
      <c r="AW1358" s="68"/>
      <c r="AY1358" s="27"/>
      <c r="BD1358" s="68">
        <v>46054.1666666667</v>
      </c>
      <c r="BE1358" s="68">
        <v>46082.1666666667</v>
      </c>
      <c r="BF1358" s="0" t="b">
        <v>0</v>
      </c>
      <c r="BG1358" s="0" t="b">
        <v>0</v>
      </c>
      <c r="BH1358" s="0">
        <v>538</v>
      </c>
      <c r="BI1358" s="0">
        <v>538</v>
      </c>
      <c r="BJ1358" s="0" t="s">
        <v>135</v>
      </c>
    </row>
    <row r="1359">
      <c r="A1359" s="0" t="s">
        <v>1571</v>
      </c>
      <c r="B1359" s="0" t="s">
        <v>134</v>
      </c>
      <c r="C1359" s="0" t="s">
        <v>134</v>
      </c>
      <c r="D1359" s="0" t="s">
        <v>135</v>
      </c>
      <c r="E1359" s="0" t="s">
        <v>3</v>
      </c>
      <c r="F1359" s="0" t="s">
        <v>12</v>
      </c>
      <c r="G1359" s="0" t="s">
        <v>8</v>
      </c>
      <c r="H1359" s="0">
        <v>1639</v>
      </c>
      <c r="I1359" s="0">
        <v>366</v>
      </c>
      <c r="J1359" s="0">
        <v>0</v>
      </c>
      <c r="K1359" s="0">
        <v>1</v>
      </c>
      <c r="L1359" s="0">
        <v>4</v>
      </c>
      <c r="M1359" s="0">
        <v>6</v>
      </c>
      <c r="N1359" s="0">
        <v>826.5</v>
      </c>
      <c r="O1359" s="0">
        <v>0</v>
      </c>
      <c r="P1359" s="0">
        <v>0</v>
      </c>
      <c r="R1359" s="0" t="b">
        <v>0</v>
      </c>
      <c r="S1359" s="0" t="b">
        <v>1</v>
      </c>
      <c r="T1359" s="68">
        <v>44414.6147222222</v>
      </c>
      <c r="U1359" s="68">
        <v>44456.3333333333</v>
      </c>
      <c r="V1359" s="68">
        <v>0</v>
      </c>
      <c r="W1359" s="0">
        <f>IF(IF(B1359="none",1,IF(B1359="Trialer",1,0))+IF(C1359="Customer",1,IF(C1359="Lost",1,0))=2,1,0)</f>
      </c>
      <c r="X1359" s="0" t="s">
        <v>148</v>
      </c>
      <c r="Y1359" s="0" t="s">
        <v>243</v>
      </c>
      <c r="AV1359" s="68"/>
      <c r="AW1359" s="68"/>
      <c r="AY1359" s="27"/>
      <c r="BD1359" s="68">
        <v>46054.1666666667</v>
      </c>
      <c r="BE1359" s="68">
        <v>46082.1666666667</v>
      </c>
      <c r="BF1359" s="0" t="b">
        <v>0</v>
      </c>
      <c r="BG1359" s="0" t="b">
        <v>0</v>
      </c>
      <c r="BH1359" s="0">
        <v>366</v>
      </c>
      <c r="BI1359" s="0">
        <v>366</v>
      </c>
      <c r="BJ1359" s="0" t="s">
        <v>135</v>
      </c>
    </row>
    <row r="1360">
      <c r="A1360" s="0" t="s">
        <v>1572</v>
      </c>
      <c r="B1360" s="0" t="s">
        <v>134</v>
      </c>
      <c r="C1360" s="0" t="s">
        <v>134</v>
      </c>
      <c r="D1360" s="0" t="s">
        <v>230</v>
      </c>
      <c r="E1360" s="0" t="s">
        <v>2</v>
      </c>
      <c r="F1360" s="0" t="s">
        <v>12</v>
      </c>
      <c r="G1360" s="0" t="s">
        <v>8</v>
      </c>
      <c r="H1360" s="0">
        <v>1637</v>
      </c>
      <c r="I1360" s="0">
        <v>88</v>
      </c>
      <c r="J1360" s="0">
        <v>0</v>
      </c>
      <c r="K1360" s="0">
        <v>1</v>
      </c>
      <c r="L1360" s="0">
        <v>3</v>
      </c>
      <c r="M1360" s="0">
        <v>2</v>
      </c>
      <c r="N1360" s="0">
        <v>0</v>
      </c>
      <c r="O1360" s="0">
        <v>0</v>
      </c>
      <c r="P1360" s="0">
        <v>-88</v>
      </c>
      <c r="R1360" s="0" t="b">
        <v>0</v>
      </c>
      <c r="S1360" s="0" t="b">
        <v>1</v>
      </c>
      <c r="T1360" s="68">
        <v>44416.9295138889</v>
      </c>
      <c r="U1360" s="68">
        <v>44447.3333333333</v>
      </c>
      <c r="V1360" s="68">
        <v>0</v>
      </c>
      <c r="W1360" s="0">
        <f>IF(IF(B1360="none",1,IF(B1360="Trialer",1,0))+IF(C1360="Customer",1,IF(C1360="Lost",1,0))=2,1,0)</f>
      </c>
      <c r="X1360" s="0" t="s">
        <v>153</v>
      </c>
      <c r="Y1360" s="0" t="s">
        <v>499</v>
      </c>
      <c r="AV1360" s="68"/>
      <c r="AW1360" s="68"/>
      <c r="AY1360" s="27"/>
      <c r="BD1360" s="68">
        <v>46054.1666666667</v>
      </c>
      <c r="BE1360" s="68">
        <v>46082.1666666667</v>
      </c>
      <c r="BF1360" s="0" t="b">
        <v>0</v>
      </c>
      <c r="BG1360" s="0" t="b">
        <v>0</v>
      </c>
      <c r="BH1360" s="0">
        <v>98</v>
      </c>
      <c r="BI1360" s="0">
        <v>98</v>
      </c>
      <c r="BJ1360" s="0" t="s">
        <v>230</v>
      </c>
    </row>
    <row r="1361">
      <c r="A1361" s="0" t="s">
        <v>1573</v>
      </c>
      <c r="B1361" s="0" t="s">
        <v>134</v>
      </c>
      <c r="C1361" s="0" t="s">
        <v>134</v>
      </c>
      <c r="D1361" s="0" t="s">
        <v>135</v>
      </c>
      <c r="E1361" s="0" t="s">
        <v>3</v>
      </c>
      <c r="F1361" s="0" t="s">
        <v>12</v>
      </c>
      <c r="G1361" s="0" t="s">
        <v>8</v>
      </c>
      <c r="H1361" s="0">
        <v>1636</v>
      </c>
      <c r="I1361" s="0">
        <v>211</v>
      </c>
      <c r="J1361" s="0">
        <v>0</v>
      </c>
      <c r="K1361" s="0">
        <v>1</v>
      </c>
      <c r="L1361" s="0">
        <v>4</v>
      </c>
      <c r="M1361" s="0">
        <v>4</v>
      </c>
      <c r="N1361" s="0">
        <v>0</v>
      </c>
      <c r="O1361" s="0">
        <v>0</v>
      </c>
      <c r="P1361" s="0">
        <v>0</v>
      </c>
      <c r="R1361" s="0" t="b">
        <v>0</v>
      </c>
      <c r="S1361" s="0" t="b">
        <v>1</v>
      </c>
      <c r="T1361" s="68">
        <v>44417.5401041667</v>
      </c>
      <c r="U1361" s="68">
        <v>44448.3333333333</v>
      </c>
      <c r="V1361" s="68">
        <v>0</v>
      </c>
      <c r="W1361" s="0">
        <f>IF(IF(B1361="none",1,IF(B1361="Trialer",1,0))+IF(C1361="Customer",1,IF(C1361="Lost",1,0))=2,1,0)</f>
      </c>
      <c r="X1361" s="0" t="s">
        <v>136</v>
      </c>
      <c r="Y1361" s="0" t="s">
        <v>243</v>
      </c>
      <c r="AV1361" s="68"/>
      <c r="AW1361" s="68"/>
      <c r="AY1361" s="27"/>
      <c r="BD1361" s="68">
        <v>46054.1666666667</v>
      </c>
      <c r="BE1361" s="68">
        <v>46082.1666666667</v>
      </c>
      <c r="BF1361" s="0" t="b">
        <v>0</v>
      </c>
      <c r="BG1361" s="0" t="b">
        <v>0</v>
      </c>
      <c r="BH1361" s="0">
        <v>211</v>
      </c>
      <c r="BI1361" s="0">
        <v>211</v>
      </c>
      <c r="BJ1361" s="0" t="s">
        <v>135</v>
      </c>
    </row>
    <row r="1362">
      <c r="A1362" s="0" t="s">
        <v>1574</v>
      </c>
      <c r="B1362" s="0" t="s">
        <v>134</v>
      </c>
      <c r="C1362" s="0" t="s">
        <v>134</v>
      </c>
      <c r="D1362" s="0" t="s">
        <v>135</v>
      </c>
      <c r="E1362" s="0" t="s">
        <v>3</v>
      </c>
      <c r="F1362" s="0" t="s">
        <v>12</v>
      </c>
      <c r="G1362" s="0" t="s">
        <v>8</v>
      </c>
      <c r="H1362" s="0">
        <v>1635</v>
      </c>
      <c r="I1362" s="0">
        <v>372</v>
      </c>
      <c r="J1362" s="0">
        <v>0</v>
      </c>
      <c r="K1362" s="0">
        <v>1</v>
      </c>
      <c r="L1362" s="0">
        <v>6</v>
      </c>
      <c r="M1362" s="0">
        <v>6</v>
      </c>
      <c r="N1362" s="0">
        <v>0</v>
      </c>
      <c r="O1362" s="0">
        <v>0</v>
      </c>
      <c r="P1362" s="0">
        <v>0</v>
      </c>
      <c r="R1362" s="0" t="b">
        <v>0</v>
      </c>
      <c r="S1362" s="0" t="b">
        <v>1</v>
      </c>
      <c r="T1362" s="68">
        <v>44418.3513888889</v>
      </c>
      <c r="U1362" s="68">
        <v>44449.3333333333</v>
      </c>
      <c r="V1362" s="68">
        <v>0</v>
      </c>
      <c r="W1362" s="0">
        <f>IF(IF(B1362="none",1,IF(B1362="Trialer",1,0))+IF(C1362="Customer",1,IF(C1362="Lost",1,0))=2,1,0)</f>
      </c>
      <c r="X1362" s="0" t="s">
        <v>136</v>
      </c>
      <c r="Y1362" s="0" t="s">
        <v>243</v>
      </c>
      <c r="AV1362" s="68"/>
      <c r="AW1362" s="68"/>
      <c r="AY1362" s="27"/>
      <c r="BD1362" s="68">
        <v>46054.1666666667</v>
      </c>
      <c r="BE1362" s="68">
        <v>46082.1666666667</v>
      </c>
      <c r="BF1362" s="0" t="b">
        <v>0</v>
      </c>
      <c r="BG1362" s="0" t="b">
        <v>0</v>
      </c>
      <c r="BH1362" s="0">
        <v>372</v>
      </c>
      <c r="BI1362" s="0">
        <v>372</v>
      </c>
      <c r="BJ1362" s="0" t="s">
        <v>135</v>
      </c>
    </row>
    <row r="1363">
      <c r="A1363" s="0" t="s">
        <v>1575</v>
      </c>
      <c r="B1363" s="0" t="s">
        <v>134</v>
      </c>
      <c r="C1363" s="0" t="s">
        <v>134</v>
      </c>
      <c r="D1363" s="0" t="s">
        <v>135</v>
      </c>
      <c r="E1363" s="0" t="s">
        <v>2</v>
      </c>
      <c r="F1363" s="0" t="s">
        <v>12</v>
      </c>
      <c r="G1363" s="0" t="s">
        <v>8</v>
      </c>
      <c r="H1363" s="0">
        <v>1635</v>
      </c>
      <c r="I1363" s="0">
        <v>98</v>
      </c>
      <c r="J1363" s="0">
        <v>0</v>
      </c>
      <c r="K1363" s="0">
        <v>1</v>
      </c>
      <c r="L1363" s="0">
        <v>3</v>
      </c>
      <c r="M1363" s="0">
        <v>2</v>
      </c>
      <c r="N1363" s="0">
        <v>0</v>
      </c>
      <c r="O1363" s="0">
        <v>0</v>
      </c>
      <c r="P1363" s="0">
        <v>0</v>
      </c>
      <c r="R1363" s="0" t="b">
        <v>0</v>
      </c>
      <c r="S1363" s="0" t="b">
        <v>1</v>
      </c>
      <c r="T1363" s="68">
        <v>44418.4322800926</v>
      </c>
      <c r="U1363" s="68">
        <v>44449.3333333333</v>
      </c>
      <c r="V1363" s="68">
        <v>0</v>
      </c>
      <c r="W1363" s="0">
        <f>IF(IF(B1363="none",1,IF(B1363="Trialer",1,0))+IF(C1363="Customer",1,IF(C1363="Lost",1,0))=2,1,0)</f>
      </c>
      <c r="X1363" s="0" t="s">
        <v>166</v>
      </c>
      <c r="Y1363" s="0" t="s">
        <v>499</v>
      </c>
      <c r="AV1363" s="68"/>
      <c r="AW1363" s="68"/>
      <c r="AY1363" s="27"/>
      <c r="BD1363" s="68">
        <v>46054.1666666667</v>
      </c>
      <c r="BE1363" s="68">
        <v>46082.1666666667</v>
      </c>
      <c r="BF1363" s="0" t="b">
        <v>0</v>
      </c>
      <c r="BG1363" s="0" t="b">
        <v>0</v>
      </c>
      <c r="BH1363" s="0">
        <v>98</v>
      </c>
      <c r="BI1363" s="0">
        <v>98</v>
      </c>
      <c r="BJ1363" s="0" t="s">
        <v>135</v>
      </c>
    </row>
    <row r="1364">
      <c r="A1364" s="0" t="s">
        <v>1576</v>
      </c>
      <c r="B1364" s="0" t="s">
        <v>134</v>
      </c>
      <c r="C1364" s="0" t="s">
        <v>134</v>
      </c>
      <c r="D1364" s="0" t="s">
        <v>135</v>
      </c>
      <c r="E1364" s="0" t="s">
        <v>3</v>
      </c>
      <c r="F1364" s="0" t="s">
        <v>12</v>
      </c>
      <c r="G1364" s="0" t="s">
        <v>8</v>
      </c>
      <c r="H1364" s="0">
        <v>1634</v>
      </c>
      <c r="I1364" s="0">
        <v>49</v>
      </c>
      <c r="J1364" s="0">
        <v>0</v>
      </c>
      <c r="K1364" s="0">
        <v>1</v>
      </c>
      <c r="L1364" s="0">
        <v>3</v>
      </c>
      <c r="M1364" s="0">
        <v>1</v>
      </c>
      <c r="N1364" s="0">
        <v>0</v>
      </c>
      <c r="O1364" s="0">
        <v>0</v>
      </c>
      <c r="P1364" s="0">
        <v>0</v>
      </c>
      <c r="R1364" s="0" t="b">
        <v>0</v>
      </c>
      <c r="S1364" s="0" t="b">
        <v>1</v>
      </c>
      <c r="T1364" s="68">
        <v>44419.9658796296</v>
      </c>
      <c r="U1364" s="68">
        <v>44431.3333333333</v>
      </c>
      <c r="V1364" s="68">
        <v>0</v>
      </c>
      <c r="W1364" s="0">
        <f>IF(IF(B1364="none",1,IF(B1364="Trialer",1,0))+IF(C1364="Customer",1,IF(C1364="Lost",1,0))=2,1,0)</f>
      </c>
      <c r="X1364" s="0" t="s">
        <v>142</v>
      </c>
      <c r="Y1364" s="0" t="s">
        <v>243</v>
      </c>
      <c r="AV1364" s="68"/>
      <c r="AW1364" s="68"/>
      <c r="AY1364" s="27"/>
      <c r="BD1364" s="68">
        <v>46054.1666666667</v>
      </c>
      <c r="BE1364" s="68">
        <v>46082.1666666667</v>
      </c>
      <c r="BF1364" s="0" t="b">
        <v>0</v>
      </c>
      <c r="BG1364" s="0" t="b">
        <v>0</v>
      </c>
      <c r="BH1364" s="0">
        <v>49</v>
      </c>
      <c r="BI1364" s="0">
        <v>49</v>
      </c>
      <c r="BJ1364" s="0" t="s">
        <v>135</v>
      </c>
    </row>
    <row r="1365">
      <c r="A1365" s="0" t="s">
        <v>1577</v>
      </c>
      <c r="B1365" s="0" t="s">
        <v>134</v>
      </c>
      <c r="C1365" s="0" t="s">
        <v>134</v>
      </c>
      <c r="D1365" s="0" t="s">
        <v>230</v>
      </c>
      <c r="E1365" s="0" t="s">
        <v>2</v>
      </c>
      <c r="F1365" s="0" t="s">
        <v>10</v>
      </c>
      <c r="G1365" s="0" t="s">
        <v>8</v>
      </c>
      <c r="H1365" s="0">
        <v>1630</v>
      </c>
      <c r="I1365" s="0">
        <v>713.7</v>
      </c>
      <c r="J1365" s="0">
        <v>0</v>
      </c>
      <c r="K1365" s="0">
        <v>1</v>
      </c>
      <c r="L1365" s="0">
        <v>5</v>
      </c>
      <c r="M1365" s="0">
        <v>13</v>
      </c>
      <c r="N1365" s="0">
        <v>0</v>
      </c>
      <c r="O1365" s="0">
        <v>0</v>
      </c>
      <c r="P1365" s="0">
        <v>-713.7</v>
      </c>
      <c r="Q1365" s="0" t="s">
        <v>357</v>
      </c>
      <c r="R1365" s="0" t="b">
        <v>0</v>
      </c>
      <c r="S1365" s="0" t="b">
        <v>1</v>
      </c>
      <c r="T1365" s="68">
        <v>44423.5334143518</v>
      </c>
      <c r="U1365" s="68">
        <v>44454.3333333333</v>
      </c>
      <c r="V1365" s="68">
        <v>0</v>
      </c>
      <c r="W1365" s="0">
        <f>IF(IF(B1365="none",1,IF(B1365="Trialer",1,0))+IF(C1365="Customer",1,IF(C1365="Lost",1,0))=2,1,0)</f>
      </c>
      <c r="X1365" s="0" t="s">
        <v>148</v>
      </c>
      <c r="Y1365" s="0" t="s">
        <v>499</v>
      </c>
      <c r="AV1365" s="68"/>
      <c r="AW1365" s="68"/>
      <c r="AY1365" s="27"/>
      <c r="BD1365" s="68">
        <v>46054.1666666667</v>
      </c>
      <c r="BE1365" s="68">
        <v>46082.1666666667</v>
      </c>
      <c r="BF1365" s="0" t="b">
        <v>0</v>
      </c>
      <c r="BG1365" s="0" t="b">
        <v>0</v>
      </c>
      <c r="BH1365" s="0">
        <v>842</v>
      </c>
      <c r="BI1365" s="0">
        <v>842</v>
      </c>
      <c r="BJ1365" s="0" t="s">
        <v>230</v>
      </c>
    </row>
    <row r="1366">
      <c r="A1366" s="0" t="s">
        <v>1578</v>
      </c>
      <c r="B1366" s="0" t="s">
        <v>134</v>
      </c>
      <c r="C1366" s="0" t="s">
        <v>134</v>
      </c>
      <c r="D1366" s="0" t="s">
        <v>135</v>
      </c>
      <c r="E1366" s="0" t="s">
        <v>2</v>
      </c>
      <c r="F1366" s="0" t="s">
        <v>12</v>
      </c>
      <c r="G1366" s="0" t="s">
        <v>8</v>
      </c>
      <c r="H1366" s="0">
        <v>1627</v>
      </c>
      <c r="I1366" s="0">
        <v>89</v>
      </c>
      <c r="J1366" s="0">
        <v>0</v>
      </c>
      <c r="K1366" s="0">
        <v>1</v>
      </c>
      <c r="L1366" s="0">
        <v>4</v>
      </c>
      <c r="M1366" s="0">
        <v>2</v>
      </c>
      <c r="N1366" s="0">
        <v>0</v>
      </c>
      <c r="O1366" s="0">
        <v>0</v>
      </c>
      <c r="P1366" s="0">
        <v>0</v>
      </c>
      <c r="R1366" s="0" t="b">
        <v>0</v>
      </c>
      <c r="S1366" s="0" t="b">
        <v>1</v>
      </c>
      <c r="T1366" s="68">
        <v>44426.5</v>
      </c>
      <c r="U1366" s="68">
        <v>44426.3333333333</v>
      </c>
      <c r="V1366" s="68">
        <v>0</v>
      </c>
      <c r="W1366" s="0">
        <f>IF(IF(B1366="none",1,IF(B1366="Trialer",1,0))+IF(C1366="Customer",1,IF(C1366="Lost",1,0))=2,1,0)</f>
      </c>
      <c r="X1366" s="0" t="s">
        <v>148</v>
      </c>
      <c r="Y1366" s="0" t="s">
        <v>499</v>
      </c>
      <c r="AV1366" s="68"/>
      <c r="AW1366" s="68"/>
      <c r="AY1366" s="27"/>
      <c r="BD1366" s="68">
        <v>46054.1666666667</v>
      </c>
      <c r="BE1366" s="68">
        <v>46082.1666666667</v>
      </c>
      <c r="BF1366" s="0" t="b">
        <v>0</v>
      </c>
      <c r="BG1366" s="0" t="b">
        <v>0</v>
      </c>
      <c r="BH1366" s="0">
        <v>89</v>
      </c>
      <c r="BI1366" s="0">
        <v>89</v>
      </c>
      <c r="BJ1366" s="0" t="s">
        <v>135</v>
      </c>
    </row>
    <row r="1367">
      <c r="A1367" s="0" t="s">
        <v>1579</v>
      </c>
      <c r="B1367" s="0" t="s">
        <v>134</v>
      </c>
      <c r="C1367" s="0" t="s">
        <v>134</v>
      </c>
      <c r="D1367" s="0" t="s">
        <v>135</v>
      </c>
      <c r="E1367" s="0" t="s">
        <v>3</v>
      </c>
      <c r="F1367" s="0" t="s">
        <v>12</v>
      </c>
      <c r="G1367" s="0" t="s">
        <v>8</v>
      </c>
      <c r="H1367" s="0">
        <v>1626</v>
      </c>
      <c r="I1367" s="0">
        <v>138</v>
      </c>
      <c r="J1367" s="0">
        <v>0</v>
      </c>
      <c r="K1367" s="0">
        <v>1</v>
      </c>
      <c r="L1367" s="0">
        <v>3</v>
      </c>
      <c r="M1367" s="0">
        <v>3</v>
      </c>
      <c r="N1367" s="0">
        <v>0</v>
      </c>
      <c r="O1367" s="0">
        <v>0</v>
      </c>
      <c r="P1367" s="0">
        <v>0</v>
      </c>
      <c r="R1367" s="0" t="b">
        <v>0</v>
      </c>
      <c r="S1367" s="0" t="b">
        <v>1</v>
      </c>
      <c r="T1367" s="68">
        <v>44427.4125925926</v>
      </c>
      <c r="U1367" s="68">
        <v>44459.3333333333</v>
      </c>
      <c r="V1367" s="68">
        <v>0</v>
      </c>
      <c r="W1367" s="0">
        <f>IF(IF(B1367="none",1,IF(B1367="Trialer",1,0))+IF(C1367="Customer",1,IF(C1367="Lost",1,0))=2,1,0)</f>
      </c>
      <c r="X1367" s="0" t="s">
        <v>142</v>
      </c>
      <c r="Y1367" s="0" t="s">
        <v>243</v>
      </c>
      <c r="AV1367" s="68"/>
      <c r="AW1367" s="68"/>
      <c r="AY1367" s="27"/>
      <c r="BD1367" s="68">
        <v>46054.1666666667</v>
      </c>
      <c r="BE1367" s="68">
        <v>46082.1666666667</v>
      </c>
      <c r="BF1367" s="0" t="b">
        <v>0</v>
      </c>
      <c r="BG1367" s="0" t="b">
        <v>0</v>
      </c>
      <c r="BH1367" s="0">
        <v>138</v>
      </c>
      <c r="BI1367" s="0">
        <v>138</v>
      </c>
      <c r="BJ1367" s="0" t="s">
        <v>135</v>
      </c>
    </row>
    <row r="1368">
      <c r="A1368" s="0" t="s">
        <v>1580</v>
      </c>
      <c r="B1368" s="0" t="s">
        <v>134</v>
      </c>
      <c r="C1368" s="0" t="s">
        <v>134</v>
      </c>
      <c r="D1368" s="0" t="s">
        <v>135</v>
      </c>
      <c r="E1368" s="0" t="s">
        <v>3</v>
      </c>
      <c r="F1368" s="0" t="s">
        <v>12</v>
      </c>
      <c r="G1368" s="0" t="s">
        <v>8</v>
      </c>
      <c r="H1368" s="0">
        <v>1626</v>
      </c>
      <c r="I1368" s="0">
        <v>68</v>
      </c>
      <c r="J1368" s="0">
        <v>0</v>
      </c>
      <c r="K1368" s="0">
        <v>1</v>
      </c>
      <c r="L1368" s="0">
        <v>2</v>
      </c>
      <c r="M1368" s="0">
        <v>2</v>
      </c>
      <c r="N1368" s="0">
        <v>0</v>
      </c>
      <c r="O1368" s="0">
        <v>0</v>
      </c>
      <c r="P1368" s="0">
        <v>0</v>
      </c>
      <c r="R1368" s="0" t="b">
        <v>0</v>
      </c>
      <c r="S1368" s="0" t="b">
        <v>1</v>
      </c>
      <c r="T1368" s="68">
        <v>44427.4684722222</v>
      </c>
      <c r="U1368" s="68">
        <v>44481.3333333333</v>
      </c>
      <c r="V1368" s="68">
        <v>0</v>
      </c>
      <c r="W1368" s="0">
        <f>IF(IF(B1368="none",1,IF(B1368="Trialer",1,0))+IF(C1368="Customer",1,IF(C1368="Lost",1,0))=2,1,0)</f>
      </c>
      <c r="X1368" s="0" t="s">
        <v>166</v>
      </c>
      <c r="Y1368" s="0" t="s">
        <v>243</v>
      </c>
      <c r="AV1368" s="68"/>
      <c r="AW1368" s="68"/>
      <c r="AY1368" s="27"/>
      <c r="BD1368" s="68">
        <v>46054.1666666667</v>
      </c>
      <c r="BE1368" s="68">
        <v>46082.1666666667</v>
      </c>
      <c r="BF1368" s="0" t="b">
        <v>0</v>
      </c>
      <c r="BG1368" s="0" t="b">
        <v>0</v>
      </c>
      <c r="BH1368" s="0">
        <v>96</v>
      </c>
      <c r="BI1368" s="0">
        <v>96</v>
      </c>
      <c r="BJ1368" s="0" t="s">
        <v>135</v>
      </c>
    </row>
    <row r="1369">
      <c r="A1369" s="0" t="s">
        <v>1581</v>
      </c>
      <c r="B1369" s="0" t="s">
        <v>134</v>
      </c>
      <c r="C1369" s="0" t="s">
        <v>134</v>
      </c>
      <c r="D1369" s="0" t="s">
        <v>135</v>
      </c>
      <c r="E1369" s="0" t="s">
        <v>3</v>
      </c>
      <c r="F1369" s="0" t="s">
        <v>12</v>
      </c>
      <c r="G1369" s="0" t="s">
        <v>8</v>
      </c>
      <c r="H1369" s="0">
        <v>1625</v>
      </c>
      <c r="I1369" s="0">
        <v>453</v>
      </c>
      <c r="J1369" s="0">
        <v>0</v>
      </c>
      <c r="K1369" s="0">
        <v>1</v>
      </c>
      <c r="L1369" s="0">
        <v>3</v>
      </c>
      <c r="M1369" s="0">
        <v>12</v>
      </c>
      <c r="N1369" s="0">
        <v>0</v>
      </c>
      <c r="O1369" s="0">
        <v>0</v>
      </c>
      <c r="P1369" s="0">
        <v>0</v>
      </c>
      <c r="R1369" s="0" t="b">
        <v>0</v>
      </c>
      <c r="S1369" s="0" t="b">
        <v>1</v>
      </c>
      <c r="T1369" s="68">
        <v>44428.9522916667</v>
      </c>
      <c r="U1369" s="68">
        <v>44459.3333333333</v>
      </c>
      <c r="V1369" s="68">
        <v>0</v>
      </c>
      <c r="W1369" s="0">
        <f>IF(IF(B1369="none",1,IF(B1369="Trialer",1,0))+IF(C1369="Customer",1,IF(C1369="Lost",1,0))=2,1,0)</f>
      </c>
      <c r="X1369" s="0" t="s">
        <v>136</v>
      </c>
      <c r="Y1369" s="0" t="s">
        <v>243</v>
      </c>
      <c r="AV1369" s="68"/>
      <c r="AW1369" s="68"/>
      <c r="AY1369" s="27"/>
      <c r="BD1369" s="68">
        <v>46054.1666666667</v>
      </c>
      <c r="BE1369" s="68">
        <v>46082.1666666667</v>
      </c>
      <c r="BF1369" s="0" t="b">
        <v>0</v>
      </c>
      <c r="BG1369" s="0" t="b">
        <v>0</v>
      </c>
      <c r="BH1369" s="0">
        <v>453</v>
      </c>
      <c r="BI1369" s="0">
        <v>453</v>
      </c>
      <c r="BJ1369" s="0" t="s">
        <v>135</v>
      </c>
    </row>
    <row r="1370">
      <c r="A1370" s="0" t="s">
        <v>1582</v>
      </c>
      <c r="B1370" s="0" t="s">
        <v>134</v>
      </c>
      <c r="C1370" s="0" t="s">
        <v>134</v>
      </c>
      <c r="D1370" s="0" t="s">
        <v>230</v>
      </c>
      <c r="E1370" s="0" t="s">
        <v>3</v>
      </c>
      <c r="F1370" s="0" t="s">
        <v>12</v>
      </c>
      <c r="G1370" s="0" t="s">
        <v>8</v>
      </c>
      <c r="H1370" s="0">
        <v>1622</v>
      </c>
      <c r="I1370" s="0">
        <v>90.9</v>
      </c>
      <c r="J1370" s="0">
        <v>0</v>
      </c>
      <c r="K1370" s="0">
        <v>1</v>
      </c>
      <c r="L1370" s="0">
        <v>4</v>
      </c>
      <c r="M1370" s="0">
        <v>2</v>
      </c>
      <c r="N1370" s="0">
        <v>0</v>
      </c>
      <c r="O1370" s="0">
        <v>0</v>
      </c>
      <c r="P1370" s="0">
        <v>-90.9</v>
      </c>
      <c r="R1370" s="0" t="b">
        <v>0</v>
      </c>
      <c r="S1370" s="0" t="b">
        <v>1</v>
      </c>
      <c r="T1370" s="68">
        <v>44431.7708333333</v>
      </c>
      <c r="U1370" s="68">
        <v>44462.3333333333</v>
      </c>
      <c r="V1370" s="68">
        <v>0</v>
      </c>
      <c r="W1370" s="0">
        <f>IF(IF(B1370="none",1,IF(B1370="Trialer",1,0))+IF(C1370="Customer",1,IF(C1370="Lost",1,0))=2,1,0)</f>
      </c>
      <c r="X1370" s="0" t="s">
        <v>142</v>
      </c>
      <c r="Y1370" s="0" t="s">
        <v>243</v>
      </c>
      <c r="AV1370" s="68"/>
      <c r="AW1370" s="68"/>
      <c r="AY1370" s="27"/>
      <c r="BD1370" s="68">
        <v>46054.1666666667</v>
      </c>
      <c r="BE1370" s="68">
        <v>46082.1666666667</v>
      </c>
      <c r="BF1370" s="0" t="b">
        <v>0</v>
      </c>
      <c r="BG1370" s="0" t="b">
        <v>0</v>
      </c>
      <c r="BH1370" s="0">
        <v>101</v>
      </c>
      <c r="BI1370" s="0">
        <v>101</v>
      </c>
      <c r="BJ1370" s="0" t="s">
        <v>230</v>
      </c>
    </row>
    <row r="1371">
      <c r="A1371" s="0" t="s">
        <v>1583</v>
      </c>
      <c r="B1371" s="0" t="s">
        <v>134</v>
      </c>
      <c r="C1371" s="0" t="s">
        <v>134</v>
      </c>
      <c r="D1371" s="0" t="s">
        <v>230</v>
      </c>
      <c r="E1371" s="0" t="s">
        <v>3</v>
      </c>
      <c r="F1371" s="0" t="s">
        <v>12</v>
      </c>
      <c r="G1371" s="0" t="s">
        <v>8</v>
      </c>
      <c r="H1371" s="0">
        <v>1622</v>
      </c>
      <c r="I1371" s="0">
        <v>264</v>
      </c>
      <c r="J1371" s="0">
        <v>0</v>
      </c>
      <c r="K1371" s="0">
        <v>1</v>
      </c>
      <c r="L1371" s="0">
        <v>3</v>
      </c>
      <c r="M1371" s="0">
        <v>6</v>
      </c>
      <c r="N1371" s="0">
        <v>0</v>
      </c>
      <c r="O1371" s="0">
        <v>0</v>
      </c>
      <c r="P1371" s="0">
        <v>-264</v>
      </c>
      <c r="R1371" s="0" t="b">
        <v>0</v>
      </c>
      <c r="S1371" s="0" t="b">
        <v>1</v>
      </c>
      <c r="T1371" s="68">
        <v>44431.9591782407</v>
      </c>
      <c r="U1371" s="68">
        <v>44462.3333333333</v>
      </c>
      <c r="V1371" s="68">
        <v>0</v>
      </c>
      <c r="W1371" s="0">
        <f>IF(IF(B1371="none",1,IF(B1371="Trialer",1,0))+IF(C1371="Customer",1,IF(C1371="Lost",1,0))=2,1,0)</f>
      </c>
      <c r="X1371" s="0" t="s">
        <v>145</v>
      </c>
      <c r="Y1371" s="0" t="s">
        <v>243</v>
      </c>
      <c r="AV1371" s="68"/>
      <c r="AW1371" s="68"/>
      <c r="AY1371" s="27"/>
      <c r="BD1371" s="68">
        <v>46054.1666666667</v>
      </c>
      <c r="BE1371" s="68">
        <v>46082.1666666667</v>
      </c>
      <c r="BF1371" s="0" t="b">
        <v>0</v>
      </c>
      <c r="BG1371" s="0" t="b">
        <v>0</v>
      </c>
      <c r="BH1371" s="0">
        <v>294</v>
      </c>
      <c r="BI1371" s="0">
        <v>294</v>
      </c>
      <c r="BJ1371" s="0" t="s">
        <v>230</v>
      </c>
    </row>
    <row r="1372">
      <c r="A1372" s="0" t="s">
        <v>1584</v>
      </c>
      <c r="B1372" s="0" t="s">
        <v>134</v>
      </c>
      <c r="C1372" s="0" t="s">
        <v>134</v>
      </c>
      <c r="D1372" s="0" t="s">
        <v>135</v>
      </c>
      <c r="E1372" s="0" t="s">
        <v>3</v>
      </c>
      <c r="F1372" s="0" t="s">
        <v>12</v>
      </c>
      <c r="G1372" s="0" t="s">
        <v>8</v>
      </c>
      <c r="H1372" s="0">
        <v>1621</v>
      </c>
      <c r="I1372" s="0">
        <v>105</v>
      </c>
      <c r="J1372" s="0">
        <v>0</v>
      </c>
      <c r="K1372" s="0">
        <v>1</v>
      </c>
      <c r="L1372" s="0">
        <v>3</v>
      </c>
      <c r="M1372" s="0">
        <v>3</v>
      </c>
      <c r="N1372" s="0">
        <v>0</v>
      </c>
      <c r="O1372" s="0">
        <v>0</v>
      </c>
      <c r="P1372" s="0">
        <v>0</v>
      </c>
      <c r="R1372" s="0" t="b">
        <v>0</v>
      </c>
      <c r="S1372" s="0" t="b">
        <v>1</v>
      </c>
      <c r="T1372" s="68">
        <v>44432.5</v>
      </c>
      <c r="U1372" s="68">
        <v>44432.3333333333</v>
      </c>
      <c r="V1372" s="68">
        <v>0</v>
      </c>
      <c r="W1372" s="0">
        <f>IF(IF(B1372="none",1,IF(B1372="Trialer",1,0))+IF(C1372="Customer",1,IF(C1372="Lost",1,0))=2,1,0)</f>
      </c>
      <c r="X1372" s="0" t="s">
        <v>148</v>
      </c>
      <c r="Y1372" s="0" t="s">
        <v>243</v>
      </c>
      <c r="AV1372" s="68"/>
      <c r="AW1372" s="68"/>
      <c r="AY1372" s="27"/>
      <c r="BD1372" s="68">
        <v>46054.1666666667</v>
      </c>
      <c r="BE1372" s="68">
        <v>46082.1666666667</v>
      </c>
      <c r="BF1372" s="0" t="b">
        <v>0</v>
      </c>
      <c r="BG1372" s="0" t="b">
        <v>0</v>
      </c>
      <c r="BH1372" s="0">
        <v>105</v>
      </c>
      <c r="BI1372" s="0">
        <v>105</v>
      </c>
      <c r="BJ1372" s="0" t="s">
        <v>135</v>
      </c>
    </row>
    <row r="1373">
      <c r="A1373" s="0" t="s">
        <v>1585</v>
      </c>
      <c r="B1373" s="0" t="s">
        <v>134</v>
      </c>
      <c r="C1373" s="0" t="s">
        <v>134</v>
      </c>
      <c r="D1373" s="0" t="s">
        <v>135</v>
      </c>
      <c r="E1373" s="0" t="s">
        <v>3</v>
      </c>
      <c r="F1373" s="0" t="s">
        <v>12</v>
      </c>
      <c r="G1373" s="0" t="s">
        <v>8</v>
      </c>
      <c r="H1373" s="0">
        <v>1621</v>
      </c>
      <c r="I1373" s="0">
        <v>93</v>
      </c>
      <c r="J1373" s="0">
        <v>0</v>
      </c>
      <c r="K1373" s="0">
        <v>1</v>
      </c>
      <c r="L1373" s="0">
        <v>2</v>
      </c>
      <c r="M1373" s="0">
        <v>3</v>
      </c>
      <c r="N1373" s="0">
        <v>0</v>
      </c>
      <c r="O1373" s="0">
        <v>0</v>
      </c>
      <c r="P1373" s="0">
        <v>0</v>
      </c>
      <c r="R1373" s="0" t="b">
        <v>0</v>
      </c>
      <c r="S1373" s="0" t="b">
        <v>1</v>
      </c>
      <c r="T1373" s="68">
        <v>44432.5</v>
      </c>
      <c r="U1373" s="68">
        <v>44432.3333333333</v>
      </c>
      <c r="V1373" s="68">
        <v>0</v>
      </c>
      <c r="W1373" s="0">
        <f>IF(IF(B1373="none",1,IF(B1373="Trialer",1,0))+IF(C1373="Customer",1,IF(C1373="Lost",1,0))=2,1,0)</f>
      </c>
      <c r="X1373" s="0" t="s">
        <v>148</v>
      </c>
      <c r="Y1373" s="0" t="s">
        <v>243</v>
      </c>
      <c r="AV1373" s="68"/>
      <c r="AW1373" s="68"/>
      <c r="AY1373" s="27"/>
      <c r="BD1373" s="68">
        <v>46054.1666666667</v>
      </c>
      <c r="BE1373" s="68">
        <v>46082.1666666667</v>
      </c>
      <c r="BF1373" s="0" t="b">
        <v>0</v>
      </c>
      <c r="BG1373" s="0" t="b">
        <v>0</v>
      </c>
      <c r="BH1373" s="0">
        <v>93</v>
      </c>
      <c r="BI1373" s="0">
        <v>93</v>
      </c>
      <c r="BJ1373" s="0" t="s">
        <v>135</v>
      </c>
    </row>
    <row r="1374">
      <c r="A1374" s="0" t="s">
        <v>1586</v>
      </c>
      <c r="B1374" s="0" t="s">
        <v>134</v>
      </c>
      <c r="C1374" s="0" t="s">
        <v>134</v>
      </c>
      <c r="D1374" s="0" t="s">
        <v>230</v>
      </c>
      <c r="E1374" s="0" t="s">
        <v>2</v>
      </c>
      <c r="F1374" s="0" t="s">
        <v>12</v>
      </c>
      <c r="G1374" s="0" t="s">
        <v>8</v>
      </c>
      <c r="H1374" s="0">
        <v>1620</v>
      </c>
      <c r="I1374" s="0">
        <v>261</v>
      </c>
      <c r="J1374" s="0">
        <v>0</v>
      </c>
      <c r="K1374" s="0">
        <v>1</v>
      </c>
      <c r="L1374" s="0">
        <v>4</v>
      </c>
      <c r="M1374" s="0">
        <v>7</v>
      </c>
      <c r="N1374" s="0">
        <v>0</v>
      </c>
      <c r="O1374" s="0">
        <v>0</v>
      </c>
      <c r="P1374" s="0">
        <v>-261</v>
      </c>
      <c r="R1374" s="0" t="b">
        <v>0</v>
      </c>
      <c r="S1374" s="0" t="b">
        <v>1</v>
      </c>
      <c r="T1374" s="68">
        <v>44433.3328935185</v>
      </c>
      <c r="U1374" s="68">
        <v>44464.3333333333</v>
      </c>
      <c r="V1374" s="68">
        <v>0</v>
      </c>
      <c r="W1374" s="0">
        <f>IF(IF(B1374="none",1,IF(B1374="Trialer",1,0))+IF(C1374="Customer",1,IF(C1374="Lost",1,0))=2,1,0)</f>
      </c>
      <c r="X1374" s="0" t="s">
        <v>148</v>
      </c>
      <c r="Y1374" s="0" t="s">
        <v>1587</v>
      </c>
      <c r="AV1374" s="68"/>
      <c r="AW1374" s="68"/>
      <c r="AY1374" s="27"/>
      <c r="BD1374" s="68">
        <v>46054.1666666667</v>
      </c>
      <c r="BE1374" s="68">
        <v>46082.1666666667</v>
      </c>
      <c r="BF1374" s="0" t="b">
        <v>0</v>
      </c>
      <c r="BG1374" s="0" t="b">
        <v>0</v>
      </c>
      <c r="BH1374" s="0">
        <v>296</v>
      </c>
      <c r="BI1374" s="0">
        <v>296</v>
      </c>
      <c r="BJ1374" s="0" t="s">
        <v>230</v>
      </c>
    </row>
    <row r="1375">
      <c r="A1375" s="0" t="s">
        <v>1588</v>
      </c>
      <c r="B1375" s="0" t="s">
        <v>134</v>
      </c>
      <c r="C1375" s="0" t="s">
        <v>134</v>
      </c>
      <c r="D1375" s="0" t="s">
        <v>135</v>
      </c>
      <c r="E1375" s="0" t="s">
        <v>3</v>
      </c>
      <c r="F1375" s="0" t="s">
        <v>12</v>
      </c>
      <c r="G1375" s="0" t="s">
        <v>8</v>
      </c>
      <c r="H1375" s="0">
        <v>1620</v>
      </c>
      <c r="I1375" s="0">
        <v>294</v>
      </c>
      <c r="J1375" s="0">
        <v>0</v>
      </c>
      <c r="K1375" s="0">
        <v>1</v>
      </c>
      <c r="L1375" s="0">
        <v>3</v>
      </c>
      <c r="M1375" s="0">
        <v>6</v>
      </c>
      <c r="N1375" s="0">
        <v>0</v>
      </c>
      <c r="O1375" s="0">
        <v>0</v>
      </c>
      <c r="P1375" s="0">
        <v>0</v>
      </c>
      <c r="R1375" s="0" t="b">
        <v>0</v>
      </c>
      <c r="S1375" s="0" t="b">
        <v>1</v>
      </c>
      <c r="T1375" s="68">
        <v>44433.7208333333</v>
      </c>
      <c r="U1375" s="68">
        <v>44464.3333333333</v>
      </c>
      <c r="V1375" s="68">
        <v>0</v>
      </c>
      <c r="W1375" s="0">
        <f>IF(IF(B1375="none",1,IF(B1375="Trialer",1,0))+IF(C1375="Customer",1,IF(C1375="Lost",1,0))=2,1,0)</f>
      </c>
      <c r="X1375" s="0" t="s">
        <v>145</v>
      </c>
      <c r="Y1375" s="0" t="s">
        <v>243</v>
      </c>
      <c r="AV1375" s="68"/>
      <c r="AW1375" s="68"/>
      <c r="AY1375" s="27"/>
      <c r="BD1375" s="68">
        <v>46054.1666666667</v>
      </c>
      <c r="BE1375" s="68">
        <v>46082.1666666667</v>
      </c>
      <c r="BF1375" s="0" t="b">
        <v>0</v>
      </c>
      <c r="BG1375" s="0" t="b">
        <v>0</v>
      </c>
      <c r="BH1375" s="0">
        <v>294</v>
      </c>
      <c r="BI1375" s="0">
        <v>294</v>
      </c>
      <c r="BJ1375" s="0" t="s">
        <v>135</v>
      </c>
    </row>
    <row r="1376">
      <c r="A1376" s="0" t="s">
        <v>1589</v>
      </c>
      <c r="B1376" s="0" t="s">
        <v>134</v>
      </c>
      <c r="C1376" s="0" t="s">
        <v>134</v>
      </c>
      <c r="D1376" s="0" t="s">
        <v>230</v>
      </c>
      <c r="E1376" s="0" t="s">
        <v>2</v>
      </c>
      <c r="F1376" s="0" t="s">
        <v>12</v>
      </c>
      <c r="G1376" s="0" t="s">
        <v>8</v>
      </c>
      <c r="H1376" s="0">
        <v>1615</v>
      </c>
      <c r="I1376" s="0">
        <v>192</v>
      </c>
      <c r="J1376" s="0">
        <v>0</v>
      </c>
      <c r="K1376" s="0">
        <v>1</v>
      </c>
      <c r="L1376" s="0">
        <v>5</v>
      </c>
      <c r="M1376" s="0">
        <v>3</v>
      </c>
      <c r="N1376" s="0">
        <v>0</v>
      </c>
      <c r="O1376" s="0">
        <v>0</v>
      </c>
      <c r="P1376" s="0">
        <v>-192</v>
      </c>
      <c r="R1376" s="0" t="b">
        <v>0</v>
      </c>
      <c r="S1376" s="0" t="b">
        <v>1</v>
      </c>
      <c r="T1376" s="68">
        <v>44438.5630439815</v>
      </c>
      <c r="U1376" s="68">
        <v>44515.2916666667</v>
      </c>
      <c r="V1376" s="68">
        <v>0</v>
      </c>
      <c r="W1376" s="0">
        <f>IF(IF(B1376="none",1,IF(B1376="Trialer",1,0))+IF(C1376="Customer",1,IF(C1376="Lost",1,0))=2,1,0)</f>
      </c>
      <c r="X1376" s="0" t="s">
        <v>153</v>
      </c>
      <c r="Y1376" s="0" t="s">
        <v>499</v>
      </c>
      <c r="AV1376" s="68"/>
      <c r="AW1376" s="68"/>
      <c r="AY1376" s="27"/>
      <c r="BD1376" s="68">
        <v>46054.1666666667</v>
      </c>
      <c r="BE1376" s="68">
        <v>46082.1666666667</v>
      </c>
      <c r="BF1376" s="0" t="b">
        <v>0</v>
      </c>
      <c r="BG1376" s="0" t="b">
        <v>0</v>
      </c>
      <c r="BH1376" s="0">
        <v>219</v>
      </c>
      <c r="BI1376" s="0">
        <v>219</v>
      </c>
      <c r="BJ1376" s="0" t="s">
        <v>230</v>
      </c>
    </row>
    <row r="1377">
      <c r="A1377" s="0" t="s">
        <v>1590</v>
      </c>
      <c r="B1377" s="0" t="s">
        <v>134</v>
      </c>
      <c r="C1377" s="0" t="s">
        <v>134</v>
      </c>
      <c r="D1377" s="0" t="s">
        <v>135</v>
      </c>
      <c r="E1377" s="0" t="s">
        <v>2</v>
      </c>
      <c r="F1377" s="0" t="s">
        <v>12</v>
      </c>
      <c r="G1377" s="0" t="s">
        <v>8</v>
      </c>
      <c r="H1377" s="0">
        <v>1614</v>
      </c>
      <c r="I1377" s="0">
        <v>40</v>
      </c>
      <c r="J1377" s="0">
        <v>0</v>
      </c>
      <c r="K1377" s="0">
        <v>1</v>
      </c>
      <c r="L1377" s="0">
        <v>2</v>
      </c>
      <c r="M1377" s="0">
        <v>1</v>
      </c>
      <c r="N1377" s="0">
        <v>0</v>
      </c>
      <c r="O1377" s="0">
        <v>0</v>
      </c>
      <c r="P1377" s="0">
        <v>0</v>
      </c>
      <c r="R1377" s="0" t="b">
        <v>0</v>
      </c>
      <c r="S1377" s="0" t="b">
        <v>1</v>
      </c>
      <c r="T1377" s="68">
        <v>44439.5463425926</v>
      </c>
      <c r="U1377" s="68">
        <v>44469.3333333333</v>
      </c>
      <c r="V1377" s="68">
        <v>0</v>
      </c>
      <c r="W1377" s="0">
        <f>IF(IF(B1377="none",1,IF(B1377="Trialer",1,0))+IF(C1377="Customer",1,IF(C1377="Lost",1,0))=2,1,0)</f>
      </c>
      <c r="X1377" s="0" t="s">
        <v>166</v>
      </c>
      <c r="Y1377" s="0" t="s">
        <v>499</v>
      </c>
      <c r="AV1377" s="68"/>
      <c r="AW1377" s="68"/>
      <c r="AY1377" s="27"/>
      <c r="BD1377" s="68">
        <v>46054.1666666667</v>
      </c>
      <c r="BE1377" s="68">
        <v>46082.1666666667</v>
      </c>
      <c r="BF1377" s="0" t="b">
        <v>0</v>
      </c>
      <c r="BG1377" s="0" t="b">
        <v>0</v>
      </c>
      <c r="BH1377" s="0">
        <v>40</v>
      </c>
      <c r="BI1377" s="0">
        <v>40</v>
      </c>
      <c r="BJ1377" s="0" t="s">
        <v>135</v>
      </c>
    </row>
    <row r="1378">
      <c r="A1378" s="0" t="s">
        <v>1591</v>
      </c>
      <c r="B1378" s="0" t="s">
        <v>134</v>
      </c>
      <c r="C1378" s="0" t="s">
        <v>134</v>
      </c>
      <c r="D1378" s="0" t="s">
        <v>230</v>
      </c>
      <c r="E1378" s="0" t="s">
        <v>3</v>
      </c>
      <c r="F1378" s="0" t="s">
        <v>12</v>
      </c>
      <c r="G1378" s="0" t="s">
        <v>8</v>
      </c>
      <c r="H1378" s="0">
        <v>1613</v>
      </c>
      <c r="I1378" s="0">
        <v>135</v>
      </c>
      <c r="J1378" s="0">
        <v>0</v>
      </c>
      <c r="K1378" s="0">
        <v>1</v>
      </c>
      <c r="L1378" s="0">
        <v>3</v>
      </c>
      <c r="M1378" s="0">
        <v>4</v>
      </c>
      <c r="N1378" s="0">
        <v>0</v>
      </c>
      <c r="O1378" s="0">
        <v>0</v>
      </c>
      <c r="P1378" s="0">
        <v>-135</v>
      </c>
      <c r="R1378" s="0" t="b">
        <v>0</v>
      </c>
      <c r="S1378" s="0" t="b">
        <v>1</v>
      </c>
      <c r="T1378" s="68">
        <v>44440.5924768519</v>
      </c>
      <c r="U1378" s="68">
        <v>44470.3333333333</v>
      </c>
      <c r="V1378" s="68">
        <v>0</v>
      </c>
      <c r="W1378" s="0">
        <f>IF(IF(B1378="none",1,IF(B1378="Trialer",1,0))+IF(C1378="Customer",1,IF(C1378="Lost",1,0))=2,1,0)</f>
      </c>
      <c r="X1378" s="0" t="s">
        <v>136</v>
      </c>
      <c r="Y1378" s="0" t="s">
        <v>243</v>
      </c>
      <c r="AV1378" s="68"/>
      <c r="AW1378" s="68"/>
      <c r="AY1378" s="27"/>
      <c r="BD1378" s="68">
        <v>46054.1666666667</v>
      </c>
      <c r="BE1378" s="68">
        <v>46082.1666666667</v>
      </c>
      <c r="BF1378" s="0" t="b">
        <v>0</v>
      </c>
      <c r="BG1378" s="0" t="b">
        <v>0</v>
      </c>
      <c r="BH1378" s="0">
        <v>158</v>
      </c>
      <c r="BI1378" s="0">
        <v>158</v>
      </c>
      <c r="BJ1378" s="0" t="s">
        <v>230</v>
      </c>
    </row>
    <row r="1379">
      <c r="A1379" s="0" t="s">
        <v>1592</v>
      </c>
      <c r="B1379" s="0" t="s">
        <v>134</v>
      </c>
      <c r="C1379" s="0" t="s">
        <v>134</v>
      </c>
      <c r="D1379" s="0" t="s">
        <v>135</v>
      </c>
      <c r="E1379" s="0" t="s">
        <v>3</v>
      </c>
      <c r="F1379" s="0" t="s">
        <v>12</v>
      </c>
      <c r="G1379" s="0" t="s">
        <v>8</v>
      </c>
      <c r="H1379" s="0">
        <v>1613</v>
      </c>
      <c r="I1379" s="0">
        <v>418</v>
      </c>
      <c r="J1379" s="0">
        <v>0</v>
      </c>
      <c r="K1379" s="0">
        <v>1</v>
      </c>
      <c r="L1379" s="0">
        <v>4</v>
      </c>
      <c r="M1379" s="0">
        <v>10</v>
      </c>
      <c r="N1379" s="0">
        <v>0</v>
      </c>
      <c r="O1379" s="0">
        <v>0</v>
      </c>
      <c r="P1379" s="0">
        <v>0</v>
      </c>
      <c r="R1379" s="0" t="b">
        <v>0</v>
      </c>
      <c r="S1379" s="0" t="b">
        <v>1</v>
      </c>
      <c r="T1379" s="68">
        <v>44440.6104166667</v>
      </c>
      <c r="U1379" s="68">
        <v>44470.3333333333</v>
      </c>
      <c r="V1379" s="68">
        <v>0</v>
      </c>
      <c r="W1379" s="0">
        <f>IF(IF(B1379="none",1,IF(B1379="Trialer",1,0))+IF(C1379="Customer",1,IF(C1379="Lost",1,0))=2,1,0)</f>
      </c>
      <c r="X1379" s="0" t="s">
        <v>148</v>
      </c>
      <c r="Y1379" s="0" t="s">
        <v>243</v>
      </c>
      <c r="AV1379" s="68"/>
      <c r="AW1379" s="68"/>
      <c r="AY1379" s="27"/>
      <c r="BD1379" s="68">
        <v>46054.1666666667</v>
      </c>
      <c r="BE1379" s="68">
        <v>46082.1666666667</v>
      </c>
      <c r="BF1379" s="0" t="b">
        <v>0</v>
      </c>
      <c r="BG1379" s="0" t="b">
        <v>0</v>
      </c>
      <c r="BH1379" s="0">
        <v>418</v>
      </c>
      <c r="BI1379" s="0">
        <v>418</v>
      </c>
      <c r="BJ1379" s="0" t="s">
        <v>135</v>
      </c>
    </row>
    <row r="1380">
      <c r="A1380" s="0" t="s">
        <v>1593</v>
      </c>
      <c r="B1380" s="0" t="s">
        <v>134</v>
      </c>
      <c r="C1380" s="0" t="s">
        <v>134</v>
      </c>
      <c r="D1380" s="0" t="s">
        <v>135</v>
      </c>
      <c r="E1380" s="0" t="s">
        <v>2</v>
      </c>
      <c r="F1380" s="0" t="s">
        <v>12</v>
      </c>
      <c r="G1380" s="0" t="s">
        <v>8</v>
      </c>
      <c r="H1380" s="0">
        <v>1612</v>
      </c>
      <c r="I1380" s="0">
        <v>0</v>
      </c>
      <c r="J1380" s="0">
        <v>0</v>
      </c>
      <c r="K1380" s="0">
        <v>1</v>
      </c>
      <c r="L1380" s="0">
        <v>5</v>
      </c>
      <c r="M1380" s="0">
        <v>2</v>
      </c>
      <c r="N1380" s="0">
        <v>0</v>
      </c>
      <c r="O1380" s="0">
        <v>0</v>
      </c>
      <c r="P1380" s="0">
        <v>0</v>
      </c>
      <c r="R1380" s="0" t="b">
        <v>0</v>
      </c>
      <c r="S1380" s="0" t="b">
        <v>1</v>
      </c>
      <c r="T1380" s="68">
        <v>44441.6027777778</v>
      </c>
      <c r="U1380" s="68">
        <v>44505.3333333333</v>
      </c>
      <c r="V1380" s="68">
        <v>0</v>
      </c>
      <c r="W1380" s="0">
        <f>IF(IF(B1380="none",1,IF(B1380="Trialer",1,0))+IF(C1380="Customer",1,IF(C1380="Lost",1,0))=2,1,0)</f>
      </c>
      <c r="X1380" s="0" t="s">
        <v>145</v>
      </c>
      <c r="Y1380" s="0" t="s">
        <v>499</v>
      </c>
      <c r="AV1380" s="68"/>
      <c r="AW1380" s="68"/>
      <c r="AY1380" s="27"/>
      <c r="BD1380" s="68">
        <v>46054.1666666667</v>
      </c>
      <c r="BE1380" s="68">
        <v>46082.1666666667</v>
      </c>
      <c r="BF1380" s="0" t="b">
        <v>0</v>
      </c>
      <c r="BG1380" s="0" t="b">
        <v>0</v>
      </c>
      <c r="BH1380" s="0">
        <v>0</v>
      </c>
      <c r="BI1380" s="0">
        <v>0</v>
      </c>
      <c r="BJ1380" s="0" t="s">
        <v>135</v>
      </c>
    </row>
    <row r="1381">
      <c r="A1381" s="0" t="s">
        <v>1594</v>
      </c>
      <c r="B1381" s="0" t="s">
        <v>134</v>
      </c>
      <c r="C1381" s="0" t="s">
        <v>134</v>
      </c>
      <c r="D1381" s="0" t="s">
        <v>135</v>
      </c>
      <c r="E1381" s="0" t="s">
        <v>2</v>
      </c>
      <c r="F1381" s="0" t="s">
        <v>12</v>
      </c>
      <c r="G1381" s="0" t="s">
        <v>8</v>
      </c>
      <c r="H1381" s="0">
        <v>1607</v>
      </c>
      <c r="I1381" s="0">
        <v>295</v>
      </c>
      <c r="J1381" s="0">
        <v>0</v>
      </c>
      <c r="K1381" s="0">
        <v>1</v>
      </c>
      <c r="L1381" s="0">
        <v>3</v>
      </c>
      <c r="M1381" s="0">
        <v>7</v>
      </c>
      <c r="N1381" s="0">
        <v>0</v>
      </c>
      <c r="O1381" s="0">
        <v>0</v>
      </c>
      <c r="P1381" s="0">
        <v>0</v>
      </c>
      <c r="R1381" s="0" t="b">
        <v>0</v>
      </c>
      <c r="S1381" s="0" t="b">
        <v>1</v>
      </c>
      <c r="T1381" s="68">
        <v>44446.3545023148</v>
      </c>
      <c r="U1381" s="68">
        <v>44498.3333333333</v>
      </c>
      <c r="V1381" s="68">
        <v>0</v>
      </c>
      <c r="W1381" s="0">
        <f>IF(IF(B1381="none",1,IF(B1381="Trialer",1,0))+IF(C1381="Customer",1,IF(C1381="Lost",1,0))=2,1,0)</f>
      </c>
      <c r="X1381" s="0" t="s">
        <v>136</v>
      </c>
      <c r="Y1381" s="0" t="s">
        <v>499</v>
      </c>
      <c r="AV1381" s="68"/>
      <c r="AW1381" s="68"/>
      <c r="AY1381" s="27"/>
      <c r="BD1381" s="68">
        <v>46054.1666666667</v>
      </c>
      <c r="BE1381" s="68">
        <v>46082.1666666667</v>
      </c>
      <c r="BF1381" s="0" t="b">
        <v>0</v>
      </c>
      <c r="BG1381" s="0" t="b">
        <v>0</v>
      </c>
      <c r="BH1381" s="0">
        <v>295</v>
      </c>
      <c r="BI1381" s="0">
        <v>295</v>
      </c>
      <c r="BJ1381" s="0" t="s">
        <v>135</v>
      </c>
    </row>
    <row r="1382">
      <c r="A1382" s="0" t="s">
        <v>1595</v>
      </c>
      <c r="B1382" s="0" t="s">
        <v>134</v>
      </c>
      <c r="C1382" s="0" t="s">
        <v>134</v>
      </c>
      <c r="D1382" s="0" t="s">
        <v>135</v>
      </c>
      <c r="E1382" s="0" t="s">
        <v>2</v>
      </c>
      <c r="F1382" s="0" t="s">
        <v>12</v>
      </c>
      <c r="G1382" s="0" t="s">
        <v>8</v>
      </c>
      <c r="H1382" s="0">
        <v>1607</v>
      </c>
      <c r="I1382" s="0">
        <v>49</v>
      </c>
      <c r="J1382" s="0">
        <v>0</v>
      </c>
      <c r="K1382" s="0">
        <v>1</v>
      </c>
      <c r="L1382" s="0">
        <v>3</v>
      </c>
      <c r="M1382" s="0">
        <v>1</v>
      </c>
      <c r="N1382" s="0">
        <v>0</v>
      </c>
      <c r="O1382" s="0">
        <v>0</v>
      </c>
      <c r="P1382" s="0">
        <v>0</v>
      </c>
      <c r="R1382" s="0" t="b">
        <v>0</v>
      </c>
      <c r="S1382" s="0" t="b">
        <v>1</v>
      </c>
      <c r="T1382" s="68">
        <v>44446.6668171296</v>
      </c>
      <c r="U1382" s="68">
        <v>44476.3333333333</v>
      </c>
      <c r="V1382" s="68">
        <v>0</v>
      </c>
      <c r="W1382" s="0">
        <f>IF(IF(B1382="none",1,IF(B1382="Trialer",1,0))+IF(C1382="Customer",1,IF(C1382="Lost",1,0))=2,1,0)</f>
      </c>
      <c r="X1382" s="0" t="s">
        <v>166</v>
      </c>
      <c r="Y1382" s="0" t="s">
        <v>499</v>
      </c>
      <c r="AV1382" s="68"/>
      <c r="AW1382" s="68"/>
      <c r="AY1382" s="27"/>
      <c r="BD1382" s="68">
        <v>46054.1666666667</v>
      </c>
      <c r="BE1382" s="68">
        <v>46082.1666666667</v>
      </c>
      <c r="BF1382" s="0" t="b">
        <v>0</v>
      </c>
      <c r="BG1382" s="0" t="b">
        <v>0</v>
      </c>
      <c r="BH1382" s="0">
        <v>49</v>
      </c>
      <c r="BI1382" s="0">
        <v>49</v>
      </c>
      <c r="BJ1382" s="0" t="s">
        <v>135</v>
      </c>
    </row>
    <row r="1383">
      <c r="A1383" s="0" t="s">
        <v>1596</v>
      </c>
      <c r="B1383" s="0" t="s">
        <v>134</v>
      </c>
      <c r="C1383" s="0" t="s">
        <v>134</v>
      </c>
      <c r="D1383" s="0" t="s">
        <v>135</v>
      </c>
      <c r="E1383" s="0" t="s">
        <v>3</v>
      </c>
      <c r="F1383" s="0" t="s">
        <v>12</v>
      </c>
      <c r="G1383" s="0" t="s">
        <v>8</v>
      </c>
      <c r="H1383" s="0">
        <v>1606</v>
      </c>
      <c r="I1383" s="0">
        <v>147</v>
      </c>
      <c r="J1383" s="0">
        <v>0</v>
      </c>
      <c r="K1383" s="0">
        <v>1</v>
      </c>
      <c r="L1383" s="0">
        <v>3</v>
      </c>
      <c r="M1383" s="0">
        <v>3</v>
      </c>
      <c r="N1383" s="0">
        <v>0</v>
      </c>
      <c r="O1383" s="0">
        <v>0</v>
      </c>
      <c r="P1383" s="0">
        <v>0</v>
      </c>
      <c r="R1383" s="0" t="b">
        <v>0</v>
      </c>
      <c r="S1383" s="0" t="b">
        <v>1</v>
      </c>
      <c r="T1383" s="68">
        <v>44447.6229166667</v>
      </c>
      <c r="U1383" s="68">
        <v>44488.3333333333</v>
      </c>
      <c r="V1383" s="68">
        <v>0</v>
      </c>
      <c r="W1383" s="0">
        <f>IF(IF(B1383="none",1,IF(B1383="Trialer",1,0))+IF(C1383="Customer",1,IF(C1383="Lost",1,0))=2,1,0)</f>
      </c>
      <c r="X1383" s="0" t="s">
        <v>153</v>
      </c>
      <c r="Y1383" s="0" t="s">
        <v>243</v>
      </c>
      <c r="AV1383" s="68"/>
      <c r="AW1383" s="68"/>
      <c r="AY1383" s="27"/>
      <c r="BD1383" s="68">
        <v>46054.1666666667</v>
      </c>
      <c r="BE1383" s="68">
        <v>46082.1666666667</v>
      </c>
      <c r="BF1383" s="0" t="b">
        <v>0</v>
      </c>
      <c r="BG1383" s="0" t="b">
        <v>0</v>
      </c>
      <c r="BH1383" s="0">
        <v>147</v>
      </c>
      <c r="BI1383" s="0">
        <v>147</v>
      </c>
      <c r="BJ1383" s="0" t="s">
        <v>135</v>
      </c>
    </row>
    <row r="1384">
      <c r="A1384" s="0" t="s">
        <v>1597</v>
      </c>
      <c r="B1384" s="0" t="s">
        <v>134</v>
      </c>
      <c r="C1384" s="0" t="s">
        <v>134</v>
      </c>
      <c r="D1384" s="0" t="s">
        <v>230</v>
      </c>
      <c r="E1384" s="0" t="s">
        <v>2</v>
      </c>
      <c r="F1384" s="0" t="s">
        <v>12</v>
      </c>
      <c r="G1384" s="0" t="s">
        <v>8</v>
      </c>
      <c r="H1384" s="0">
        <v>1605</v>
      </c>
      <c r="I1384" s="0">
        <v>256</v>
      </c>
      <c r="J1384" s="0">
        <v>0</v>
      </c>
      <c r="K1384" s="0">
        <v>1</v>
      </c>
      <c r="L1384" s="0">
        <v>3</v>
      </c>
      <c r="M1384" s="0">
        <v>6</v>
      </c>
      <c r="N1384" s="0">
        <v>0</v>
      </c>
      <c r="O1384" s="0">
        <v>0</v>
      </c>
      <c r="P1384" s="0">
        <v>-256</v>
      </c>
      <c r="R1384" s="0" t="b">
        <v>0</v>
      </c>
      <c r="S1384" s="0" t="b">
        <v>1</v>
      </c>
      <c r="T1384" s="68">
        <v>44448.4868055556</v>
      </c>
      <c r="U1384" s="68">
        <v>44478.3333333333</v>
      </c>
      <c r="V1384" s="68">
        <v>0</v>
      </c>
      <c r="W1384" s="0">
        <f>IF(IF(B1384="none",1,IF(B1384="Trialer",1,0))+IF(C1384="Customer",1,IF(C1384="Lost",1,0))=2,1,0)</f>
      </c>
      <c r="X1384" s="0" t="s">
        <v>136</v>
      </c>
      <c r="Y1384" s="0" t="s">
        <v>499</v>
      </c>
      <c r="AV1384" s="68"/>
      <c r="AW1384" s="68"/>
      <c r="AY1384" s="27"/>
      <c r="BD1384" s="68">
        <v>46054.1666666667</v>
      </c>
      <c r="BE1384" s="68">
        <v>46082.1666666667</v>
      </c>
      <c r="BF1384" s="0" t="b">
        <v>0</v>
      </c>
      <c r="BG1384" s="0" t="b">
        <v>0</v>
      </c>
      <c r="BH1384" s="0">
        <v>285</v>
      </c>
      <c r="BI1384" s="0">
        <v>285</v>
      </c>
      <c r="BJ1384" s="0" t="s">
        <v>230</v>
      </c>
    </row>
    <row r="1385">
      <c r="A1385" s="0" t="s">
        <v>1598</v>
      </c>
      <c r="B1385" s="0" t="s">
        <v>134</v>
      </c>
      <c r="C1385" s="0" t="s">
        <v>134</v>
      </c>
      <c r="D1385" s="0" t="s">
        <v>135</v>
      </c>
      <c r="E1385" s="0" t="s">
        <v>3</v>
      </c>
      <c r="F1385" s="0" t="s">
        <v>12</v>
      </c>
      <c r="G1385" s="0" t="s">
        <v>8</v>
      </c>
      <c r="H1385" s="0">
        <v>1603</v>
      </c>
      <c r="I1385" s="0">
        <v>77</v>
      </c>
      <c r="J1385" s="0">
        <v>0</v>
      </c>
      <c r="K1385" s="0">
        <v>1</v>
      </c>
      <c r="L1385" s="0">
        <v>3</v>
      </c>
      <c r="M1385" s="0">
        <v>2</v>
      </c>
      <c r="N1385" s="0">
        <v>0</v>
      </c>
      <c r="O1385" s="0">
        <v>0</v>
      </c>
      <c r="P1385" s="0">
        <v>0</v>
      </c>
      <c r="R1385" s="0" t="b">
        <v>0</v>
      </c>
      <c r="S1385" s="0" t="b">
        <v>1</v>
      </c>
      <c r="T1385" s="68">
        <v>44450.3824305556</v>
      </c>
      <c r="U1385" s="68">
        <v>44480.3333333333</v>
      </c>
      <c r="V1385" s="68">
        <v>0</v>
      </c>
      <c r="W1385" s="0">
        <f>IF(IF(B1385="none",1,IF(B1385="Trialer",1,0))+IF(C1385="Customer",1,IF(C1385="Lost",1,0))=2,1,0)</f>
      </c>
      <c r="X1385" s="0" t="s">
        <v>166</v>
      </c>
      <c r="Y1385" s="0" t="s">
        <v>243</v>
      </c>
      <c r="AV1385" s="68"/>
      <c r="AW1385" s="68"/>
      <c r="AY1385" s="27"/>
      <c r="BD1385" s="68">
        <v>46054.1666666667</v>
      </c>
      <c r="BE1385" s="68">
        <v>46082.1666666667</v>
      </c>
      <c r="BF1385" s="0" t="b">
        <v>0</v>
      </c>
      <c r="BG1385" s="0" t="b">
        <v>0</v>
      </c>
      <c r="BH1385" s="0">
        <v>77</v>
      </c>
      <c r="BI1385" s="0">
        <v>77</v>
      </c>
      <c r="BJ1385" s="0" t="s">
        <v>135</v>
      </c>
    </row>
    <row r="1386">
      <c r="A1386" s="0" t="s">
        <v>1599</v>
      </c>
      <c r="B1386" s="0" t="s">
        <v>134</v>
      </c>
      <c r="C1386" s="0" t="s">
        <v>134</v>
      </c>
      <c r="D1386" s="0" t="s">
        <v>135</v>
      </c>
      <c r="E1386" s="0" t="s">
        <v>3</v>
      </c>
      <c r="F1386" s="0" t="s">
        <v>10</v>
      </c>
      <c r="G1386" s="0" t="s">
        <v>8</v>
      </c>
      <c r="H1386" s="0">
        <v>1600</v>
      </c>
      <c r="I1386" s="0">
        <v>28</v>
      </c>
      <c r="J1386" s="0">
        <v>0</v>
      </c>
      <c r="K1386" s="0">
        <v>1</v>
      </c>
      <c r="L1386" s="0">
        <v>1</v>
      </c>
      <c r="M1386" s="0">
        <v>1</v>
      </c>
      <c r="N1386" s="0">
        <v>0</v>
      </c>
      <c r="O1386" s="0">
        <v>0</v>
      </c>
      <c r="P1386" s="0">
        <v>0</v>
      </c>
      <c r="Q1386" s="0" t="s">
        <v>618</v>
      </c>
      <c r="R1386" s="0" t="b">
        <v>0</v>
      </c>
      <c r="S1386" s="0" t="b">
        <v>1</v>
      </c>
      <c r="T1386" s="68">
        <v>44453.1766550926</v>
      </c>
      <c r="U1386" s="68">
        <v>44483.3333333333</v>
      </c>
      <c r="V1386" s="68">
        <v>0</v>
      </c>
      <c r="W1386" s="0">
        <f>IF(IF(B1386="none",1,IF(B1386="Trialer",1,0))+IF(C1386="Customer",1,IF(C1386="Lost",1,0))=2,1,0)</f>
      </c>
      <c r="X1386" s="0" t="s">
        <v>148</v>
      </c>
      <c r="Y1386" s="0" t="s">
        <v>243</v>
      </c>
      <c r="AV1386" s="68"/>
      <c r="AW1386" s="68"/>
      <c r="AY1386" s="27"/>
      <c r="BD1386" s="68">
        <v>46054.1666666667</v>
      </c>
      <c r="BE1386" s="68">
        <v>46082.1666666667</v>
      </c>
      <c r="BF1386" s="0" t="b">
        <v>0</v>
      </c>
      <c r="BG1386" s="0" t="b">
        <v>0</v>
      </c>
      <c r="BH1386" s="0">
        <v>28</v>
      </c>
      <c r="BI1386" s="0">
        <v>28</v>
      </c>
      <c r="BJ1386" s="0" t="s">
        <v>135</v>
      </c>
    </row>
    <row r="1387">
      <c r="A1387" s="0" t="s">
        <v>1600</v>
      </c>
      <c r="B1387" s="0" t="s">
        <v>134</v>
      </c>
      <c r="C1387" s="0" t="s">
        <v>134</v>
      </c>
      <c r="D1387" s="0" t="s">
        <v>135</v>
      </c>
      <c r="E1387" s="0" t="s">
        <v>3</v>
      </c>
      <c r="F1387" s="0" t="s">
        <v>12</v>
      </c>
      <c r="G1387" s="0" t="s">
        <v>8</v>
      </c>
      <c r="H1387" s="0">
        <v>1600</v>
      </c>
      <c r="I1387" s="0">
        <v>134</v>
      </c>
      <c r="J1387" s="0">
        <v>0</v>
      </c>
      <c r="K1387" s="0">
        <v>1</v>
      </c>
      <c r="L1387" s="0">
        <v>5</v>
      </c>
      <c r="M1387" s="0">
        <v>2</v>
      </c>
      <c r="N1387" s="0">
        <v>0</v>
      </c>
      <c r="O1387" s="0">
        <v>0</v>
      </c>
      <c r="P1387" s="0">
        <v>0</v>
      </c>
      <c r="R1387" s="0" t="b">
        <v>0</v>
      </c>
      <c r="S1387" s="0" t="b">
        <v>1</v>
      </c>
      <c r="T1387" s="68">
        <v>44453.2486342593</v>
      </c>
      <c r="U1387" s="68">
        <v>44484.3333333333</v>
      </c>
      <c r="V1387" s="68">
        <v>0</v>
      </c>
      <c r="W1387" s="0">
        <f>IF(IF(B1387="none",1,IF(B1387="Trialer",1,0))+IF(C1387="Customer",1,IF(C1387="Lost",1,0))=2,1,0)</f>
      </c>
      <c r="X1387" s="0" t="s">
        <v>142</v>
      </c>
      <c r="Y1387" s="0" t="s">
        <v>243</v>
      </c>
      <c r="AV1387" s="68"/>
      <c r="AW1387" s="68"/>
      <c r="AY1387" s="27"/>
      <c r="BD1387" s="68">
        <v>46054.1666666667</v>
      </c>
      <c r="BE1387" s="68">
        <v>46082.1666666667</v>
      </c>
      <c r="BF1387" s="0" t="b">
        <v>0</v>
      </c>
      <c r="BG1387" s="0" t="b">
        <v>0</v>
      </c>
      <c r="BH1387" s="0">
        <v>134</v>
      </c>
      <c r="BI1387" s="0">
        <v>134</v>
      </c>
      <c r="BJ1387" s="0" t="s">
        <v>135</v>
      </c>
    </row>
    <row r="1388">
      <c r="A1388" s="0" t="s">
        <v>1601</v>
      </c>
      <c r="B1388" s="0" t="s">
        <v>134</v>
      </c>
      <c r="C1388" s="0" t="s">
        <v>134</v>
      </c>
      <c r="D1388" s="0" t="s">
        <v>135</v>
      </c>
      <c r="E1388" s="0" t="s">
        <v>2</v>
      </c>
      <c r="F1388" s="0" t="s">
        <v>12</v>
      </c>
      <c r="G1388" s="0" t="s">
        <v>8</v>
      </c>
      <c r="H1388" s="0">
        <v>1600</v>
      </c>
      <c r="I1388" s="0">
        <v>3239.61</v>
      </c>
      <c r="J1388" s="0">
        <v>0</v>
      </c>
      <c r="K1388" s="0">
        <v>2</v>
      </c>
      <c r="L1388" s="0">
        <v>4</v>
      </c>
      <c r="M1388" s="0">
        <v>15</v>
      </c>
      <c r="N1388" s="0">
        <v>0</v>
      </c>
      <c r="O1388" s="0">
        <v>0</v>
      </c>
      <c r="P1388" s="0">
        <v>0</v>
      </c>
      <c r="R1388" s="0" t="b">
        <v>0</v>
      </c>
      <c r="S1388" s="0" t="b">
        <v>1</v>
      </c>
      <c r="T1388" s="68">
        <v>44453.6055092593</v>
      </c>
      <c r="U1388" s="68">
        <v>44483.3333333333</v>
      </c>
      <c r="V1388" s="68">
        <v>0</v>
      </c>
      <c r="W1388" s="0">
        <f>IF(IF(B1388="none",1,IF(B1388="Trialer",1,0))+IF(C1388="Customer",1,IF(C1388="Lost",1,0))=2,1,0)</f>
      </c>
      <c r="X1388" s="0" t="s">
        <v>136</v>
      </c>
      <c r="Y1388" s="0" t="s">
        <v>499</v>
      </c>
      <c r="AV1388" s="68"/>
      <c r="AW1388" s="68"/>
      <c r="AY1388" s="27"/>
      <c r="BD1388" s="68">
        <v>46054.1666666667</v>
      </c>
      <c r="BE1388" s="68">
        <v>46082.1666666667</v>
      </c>
      <c r="BF1388" s="0" t="b">
        <v>0</v>
      </c>
      <c r="BG1388" s="0" t="b">
        <v>0</v>
      </c>
      <c r="BH1388" s="0">
        <v>965.25</v>
      </c>
      <c r="BI1388" s="0">
        <v>964.53</v>
      </c>
      <c r="BJ1388" s="0" t="s">
        <v>135</v>
      </c>
    </row>
    <row r="1389">
      <c r="A1389" s="0" t="s">
        <v>1602</v>
      </c>
      <c r="B1389" s="0" t="s">
        <v>134</v>
      </c>
      <c r="C1389" s="0" t="s">
        <v>134</v>
      </c>
      <c r="D1389" s="0" t="s">
        <v>230</v>
      </c>
      <c r="E1389" s="0" t="s">
        <v>2</v>
      </c>
      <c r="F1389" s="0" t="s">
        <v>12</v>
      </c>
      <c r="G1389" s="0" t="s">
        <v>8</v>
      </c>
      <c r="H1389" s="0">
        <v>1599</v>
      </c>
      <c r="I1389" s="0">
        <v>308</v>
      </c>
      <c r="J1389" s="0">
        <v>0</v>
      </c>
      <c r="K1389" s="0">
        <v>1</v>
      </c>
      <c r="L1389" s="0">
        <v>3</v>
      </c>
      <c r="M1389" s="0">
        <v>7</v>
      </c>
      <c r="N1389" s="0">
        <v>0</v>
      </c>
      <c r="O1389" s="0">
        <v>0</v>
      </c>
      <c r="P1389" s="0">
        <v>-308</v>
      </c>
      <c r="R1389" s="0" t="b">
        <v>0</v>
      </c>
      <c r="S1389" s="0" t="b">
        <v>1</v>
      </c>
      <c r="T1389" s="68">
        <v>44454.5152777778</v>
      </c>
      <c r="U1389" s="68">
        <v>44489.3333333333</v>
      </c>
      <c r="V1389" s="68">
        <v>0</v>
      </c>
      <c r="W1389" s="0">
        <f>IF(IF(B1389="none",1,IF(B1389="Trialer",1,0))+IF(C1389="Customer",1,IF(C1389="Lost",1,0))=2,1,0)</f>
      </c>
      <c r="X1389" s="0" t="s">
        <v>136</v>
      </c>
      <c r="Y1389" s="0" t="s">
        <v>499</v>
      </c>
      <c r="AV1389" s="68"/>
      <c r="AW1389" s="68"/>
      <c r="AY1389" s="27"/>
      <c r="BD1389" s="68">
        <v>46054.1666666667</v>
      </c>
      <c r="BE1389" s="68">
        <v>46082.1666666667</v>
      </c>
      <c r="BF1389" s="0" t="b">
        <v>0</v>
      </c>
      <c r="BG1389" s="0" t="b">
        <v>0</v>
      </c>
      <c r="BH1389" s="0">
        <v>343</v>
      </c>
      <c r="BI1389" s="0">
        <v>343</v>
      </c>
      <c r="BJ1389" s="0" t="s">
        <v>230</v>
      </c>
    </row>
    <row r="1390">
      <c r="A1390" s="0" t="s">
        <v>1603</v>
      </c>
      <c r="B1390" s="0" t="s">
        <v>134</v>
      </c>
      <c r="C1390" s="0" t="s">
        <v>134</v>
      </c>
      <c r="D1390" s="0" t="s">
        <v>135</v>
      </c>
      <c r="E1390" s="0" t="s">
        <v>2</v>
      </c>
      <c r="F1390" s="0" t="s">
        <v>10</v>
      </c>
      <c r="G1390" s="0" t="s">
        <v>8</v>
      </c>
      <c r="H1390" s="0">
        <v>1598</v>
      </c>
      <c r="I1390" s="0">
        <v>77</v>
      </c>
      <c r="J1390" s="0">
        <v>0</v>
      </c>
      <c r="K1390" s="0">
        <v>1</v>
      </c>
      <c r="L1390" s="0">
        <v>3</v>
      </c>
      <c r="M1390" s="0">
        <v>2</v>
      </c>
      <c r="N1390" s="0">
        <v>0</v>
      </c>
      <c r="O1390" s="0">
        <v>0</v>
      </c>
      <c r="P1390" s="0">
        <v>0</v>
      </c>
      <c r="Q1390" s="0" t="s">
        <v>357</v>
      </c>
      <c r="R1390" s="0" t="b">
        <v>0</v>
      </c>
      <c r="S1390" s="0" t="b">
        <v>1</v>
      </c>
      <c r="T1390" s="68">
        <v>44455.4199189815</v>
      </c>
      <c r="U1390" s="68">
        <v>44488.3333333333</v>
      </c>
      <c r="V1390" s="68">
        <v>0</v>
      </c>
      <c r="W1390" s="0">
        <f>IF(IF(B1390="none",1,IF(B1390="Trialer",1,0))+IF(C1390="Customer",1,IF(C1390="Lost",1,0))=2,1,0)</f>
      </c>
      <c r="X1390" s="0" t="s">
        <v>148</v>
      </c>
      <c r="Y1390" s="0" t="s">
        <v>499</v>
      </c>
      <c r="AV1390" s="68"/>
      <c r="AW1390" s="68"/>
      <c r="AY1390" s="27"/>
      <c r="BD1390" s="68">
        <v>46054.1666666667</v>
      </c>
      <c r="BE1390" s="68">
        <v>46082.1666666667</v>
      </c>
      <c r="BF1390" s="0" t="b">
        <v>0</v>
      </c>
      <c r="BG1390" s="0" t="b">
        <v>0</v>
      </c>
      <c r="BH1390" s="0">
        <v>77</v>
      </c>
      <c r="BI1390" s="0">
        <v>77</v>
      </c>
      <c r="BJ1390" s="0" t="s">
        <v>135</v>
      </c>
    </row>
    <row r="1391">
      <c r="A1391" s="0" t="s">
        <v>1604</v>
      </c>
      <c r="B1391" s="0" t="s">
        <v>134</v>
      </c>
      <c r="C1391" s="0" t="s">
        <v>134</v>
      </c>
      <c r="D1391" s="0" t="s">
        <v>135</v>
      </c>
      <c r="E1391" s="0" t="s">
        <v>3</v>
      </c>
      <c r="F1391" s="0" t="s">
        <v>12</v>
      </c>
      <c r="G1391" s="0" t="s">
        <v>8</v>
      </c>
      <c r="H1391" s="0">
        <v>1594</v>
      </c>
      <c r="I1391" s="0">
        <v>560</v>
      </c>
      <c r="J1391" s="0">
        <v>0</v>
      </c>
      <c r="K1391" s="0">
        <v>1</v>
      </c>
      <c r="L1391" s="0">
        <v>2</v>
      </c>
      <c r="M1391" s="0">
        <v>14</v>
      </c>
      <c r="N1391" s="0">
        <v>0</v>
      </c>
      <c r="O1391" s="0">
        <v>0</v>
      </c>
      <c r="P1391" s="0">
        <v>0</v>
      </c>
      <c r="R1391" s="0" t="b">
        <v>0</v>
      </c>
      <c r="S1391" s="0" t="b">
        <v>1</v>
      </c>
      <c r="T1391" s="68">
        <v>44459.7090856481</v>
      </c>
      <c r="U1391" s="68">
        <v>44489.3333333333</v>
      </c>
      <c r="V1391" s="68">
        <v>0</v>
      </c>
      <c r="W1391" s="0">
        <f>IF(IF(B1391="none",1,IF(B1391="Trialer",1,0))+IF(C1391="Customer",1,IF(C1391="Lost",1,0))=2,1,0)</f>
      </c>
      <c r="X1391" s="0" t="s">
        <v>145</v>
      </c>
      <c r="Y1391" s="0" t="s">
        <v>243</v>
      </c>
      <c r="AV1391" s="68"/>
      <c r="AW1391" s="68"/>
      <c r="AY1391" s="27"/>
      <c r="BD1391" s="68">
        <v>46054.1666666667</v>
      </c>
      <c r="BE1391" s="68">
        <v>46082.1666666667</v>
      </c>
      <c r="BF1391" s="0" t="b">
        <v>0</v>
      </c>
      <c r="BG1391" s="0" t="b">
        <v>0</v>
      </c>
      <c r="BH1391" s="0">
        <v>560</v>
      </c>
      <c r="BI1391" s="0">
        <v>560</v>
      </c>
      <c r="BJ1391" s="0" t="s">
        <v>135</v>
      </c>
    </row>
    <row r="1392">
      <c r="A1392" s="0" t="s">
        <v>1605</v>
      </c>
      <c r="B1392" s="0" t="s">
        <v>134</v>
      </c>
      <c r="C1392" s="0" t="s">
        <v>134</v>
      </c>
      <c r="D1392" s="0" t="s">
        <v>230</v>
      </c>
      <c r="E1392" s="0" t="s">
        <v>2</v>
      </c>
      <c r="F1392" s="0" t="s">
        <v>12</v>
      </c>
      <c r="G1392" s="0" t="s">
        <v>8</v>
      </c>
      <c r="H1392" s="0">
        <v>1591</v>
      </c>
      <c r="I1392" s="0">
        <v>132.3</v>
      </c>
      <c r="J1392" s="0">
        <v>0</v>
      </c>
      <c r="K1392" s="0">
        <v>1</v>
      </c>
      <c r="L1392" s="0">
        <v>3</v>
      </c>
      <c r="M1392" s="0">
        <v>3</v>
      </c>
      <c r="N1392" s="0">
        <v>0</v>
      </c>
      <c r="O1392" s="0">
        <v>0</v>
      </c>
      <c r="P1392" s="0">
        <v>-132.3</v>
      </c>
      <c r="R1392" s="0" t="b">
        <v>0</v>
      </c>
      <c r="S1392" s="0" t="b">
        <v>1</v>
      </c>
      <c r="T1392" s="68">
        <v>44462.6555555556</v>
      </c>
      <c r="U1392" s="68">
        <v>44492.3333333333</v>
      </c>
      <c r="V1392" s="68">
        <v>0</v>
      </c>
      <c r="W1392" s="0">
        <f>IF(IF(B1392="none",1,IF(B1392="Trialer",1,0))+IF(C1392="Customer",1,IF(C1392="Lost",1,0))=2,1,0)</f>
      </c>
      <c r="X1392" s="0" t="s">
        <v>142</v>
      </c>
      <c r="Y1392" s="0" t="s">
        <v>499</v>
      </c>
      <c r="AV1392" s="68"/>
      <c r="AW1392" s="68"/>
      <c r="AY1392" s="27"/>
      <c r="BD1392" s="68">
        <v>46054.1666666667</v>
      </c>
      <c r="BE1392" s="68">
        <v>46082.1666666667</v>
      </c>
      <c r="BF1392" s="0" t="b">
        <v>0</v>
      </c>
      <c r="BG1392" s="0" t="b">
        <v>0</v>
      </c>
      <c r="BH1392" s="0">
        <v>147</v>
      </c>
      <c r="BI1392" s="0">
        <v>147</v>
      </c>
      <c r="BJ1392" s="0" t="s">
        <v>230</v>
      </c>
    </row>
    <row r="1393">
      <c r="A1393" s="0" t="s">
        <v>1606</v>
      </c>
      <c r="B1393" s="0" t="s">
        <v>134</v>
      </c>
      <c r="C1393" s="0" t="s">
        <v>134</v>
      </c>
      <c r="D1393" s="0" t="s">
        <v>230</v>
      </c>
      <c r="E1393" s="0" t="s">
        <v>3</v>
      </c>
      <c r="F1393" s="0" t="s">
        <v>12</v>
      </c>
      <c r="G1393" s="0" t="s">
        <v>8</v>
      </c>
      <c r="H1393" s="0">
        <v>1590</v>
      </c>
      <c r="I1393" s="0">
        <v>50</v>
      </c>
      <c r="J1393" s="0">
        <v>0</v>
      </c>
      <c r="K1393" s="0">
        <v>1</v>
      </c>
      <c r="L1393" s="0">
        <v>1</v>
      </c>
      <c r="M1393" s="0">
        <v>2</v>
      </c>
      <c r="N1393" s="0">
        <v>0</v>
      </c>
      <c r="O1393" s="0">
        <v>0</v>
      </c>
      <c r="P1393" s="0">
        <v>550</v>
      </c>
      <c r="R1393" s="0" t="b">
        <v>0</v>
      </c>
      <c r="S1393" s="0" t="b">
        <v>1</v>
      </c>
      <c r="T1393" s="68">
        <v>44463.5840277778</v>
      </c>
      <c r="U1393" s="68">
        <v>44493.3333333333</v>
      </c>
      <c r="V1393" s="68">
        <v>0</v>
      </c>
      <c r="W1393" s="0">
        <f>IF(IF(B1393="none",1,IF(B1393="Trialer",1,0))+IF(C1393="Customer",1,IF(C1393="Lost",1,0))=2,1,0)</f>
      </c>
      <c r="X1393" s="0" t="s">
        <v>142</v>
      </c>
      <c r="Y1393" s="0" t="s">
        <v>243</v>
      </c>
      <c r="AV1393" s="68"/>
      <c r="AW1393" s="68"/>
      <c r="AY1393" s="27"/>
      <c r="BD1393" s="68">
        <v>46054.1666666667</v>
      </c>
      <c r="BE1393" s="68">
        <v>46082.1666666667</v>
      </c>
      <c r="BF1393" s="0" t="b">
        <v>0</v>
      </c>
      <c r="BG1393" s="0" t="b">
        <v>0</v>
      </c>
      <c r="BH1393" s="0">
        <v>56</v>
      </c>
      <c r="BI1393" s="0">
        <v>56</v>
      </c>
      <c r="BJ1393" s="0" t="s">
        <v>230</v>
      </c>
    </row>
    <row r="1394">
      <c r="A1394" s="0" t="s">
        <v>1607</v>
      </c>
      <c r="B1394" s="0" t="s">
        <v>134</v>
      </c>
      <c r="C1394" s="0" t="s">
        <v>134</v>
      </c>
      <c r="D1394" s="0" t="s">
        <v>135</v>
      </c>
      <c r="E1394" s="0" t="s">
        <v>3</v>
      </c>
      <c r="F1394" s="0" t="s">
        <v>10</v>
      </c>
      <c r="G1394" s="0" t="s">
        <v>8</v>
      </c>
      <c r="H1394" s="0">
        <v>1589</v>
      </c>
      <c r="I1394" s="0">
        <v>28</v>
      </c>
      <c r="J1394" s="0">
        <v>0</v>
      </c>
      <c r="K1394" s="0">
        <v>1</v>
      </c>
      <c r="L1394" s="0">
        <v>1</v>
      </c>
      <c r="M1394" s="0">
        <v>1</v>
      </c>
      <c r="N1394" s="0">
        <v>0</v>
      </c>
      <c r="O1394" s="0">
        <v>0</v>
      </c>
      <c r="P1394" s="0">
        <v>0</v>
      </c>
      <c r="Q1394" s="0" t="s">
        <v>618</v>
      </c>
      <c r="R1394" s="0" t="b">
        <v>0</v>
      </c>
      <c r="S1394" s="0" t="b">
        <v>1</v>
      </c>
      <c r="T1394" s="68">
        <v>44464.4653935185</v>
      </c>
      <c r="U1394" s="68">
        <v>44494.3333333333</v>
      </c>
      <c r="V1394" s="68">
        <v>0</v>
      </c>
      <c r="W1394" s="0">
        <f>IF(IF(B1394="none",1,IF(B1394="Trialer",1,0))+IF(C1394="Customer",1,IF(C1394="Lost",1,0))=2,1,0)</f>
      </c>
      <c r="X1394" s="0" t="s">
        <v>148</v>
      </c>
      <c r="Y1394" s="0" t="s">
        <v>243</v>
      </c>
      <c r="AV1394" s="68"/>
      <c r="AW1394" s="68"/>
      <c r="AY1394" s="27"/>
      <c r="BD1394" s="68">
        <v>46054.1666666667</v>
      </c>
      <c r="BE1394" s="68">
        <v>46082.1666666667</v>
      </c>
      <c r="BF1394" s="0" t="b">
        <v>0</v>
      </c>
      <c r="BG1394" s="0" t="b">
        <v>0</v>
      </c>
      <c r="BH1394" s="0">
        <v>28</v>
      </c>
      <c r="BI1394" s="0">
        <v>28</v>
      </c>
      <c r="BJ1394" s="0" t="s">
        <v>135</v>
      </c>
    </row>
    <row r="1395">
      <c r="A1395" s="0" t="s">
        <v>1608</v>
      </c>
      <c r="B1395" s="0" t="s">
        <v>134</v>
      </c>
      <c r="C1395" s="0" t="s">
        <v>134</v>
      </c>
      <c r="D1395" s="0" t="s">
        <v>230</v>
      </c>
      <c r="E1395" s="0" t="s">
        <v>3</v>
      </c>
      <c r="F1395" s="0" t="s">
        <v>12</v>
      </c>
      <c r="G1395" s="0" t="s">
        <v>8</v>
      </c>
      <c r="H1395" s="0">
        <v>1588</v>
      </c>
      <c r="I1395" s="0">
        <v>144</v>
      </c>
      <c r="J1395" s="0">
        <v>0</v>
      </c>
      <c r="K1395" s="0">
        <v>1</v>
      </c>
      <c r="L1395" s="0">
        <v>2</v>
      </c>
      <c r="M1395" s="0">
        <v>4</v>
      </c>
      <c r="N1395" s="0">
        <v>0</v>
      </c>
      <c r="O1395" s="0">
        <v>0</v>
      </c>
      <c r="P1395" s="0">
        <v>-144</v>
      </c>
      <c r="R1395" s="0" t="b">
        <v>0</v>
      </c>
      <c r="S1395" s="0" t="b">
        <v>1</v>
      </c>
      <c r="T1395" s="68">
        <v>44465.9777314815</v>
      </c>
      <c r="U1395" s="68">
        <v>44495.3333333333</v>
      </c>
      <c r="V1395" s="68">
        <v>0</v>
      </c>
      <c r="W1395" s="0">
        <f>IF(IF(B1395="none",1,IF(B1395="Trialer",1,0))+IF(C1395="Customer",1,IF(C1395="Lost",1,0))=2,1,0)</f>
      </c>
      <c r="X1395" s="0" t="s">
        <v>136</v>
      </c>
      <c r="Y1395" s="0" t="s">
        <v>243</v>
      </c>
      <c r="AV1395" s="68"/>
      <c r="AW1395" s="68"/>
      <c r="AY1395" s="27"/>
      <c r="BD1395" s="68">
        <v>46054.1666666667</v>
      </c>
      <c r="BE1395" s="68">
        <v>46082.1666666667</v>
      </c>
      <c r="BF1395" s="0" t="b">
        <v>0</v>
      </c>
      <c r="BG1395" s="0" t="b">
        <v>0</v>
      </c>
      <c r="BH1395" s="0">
        <v>148</v>
      </c>
      <c r="BI1395" s="0">
        <v>148</v>
      </c>
      <c r="BJ1395" s="0" t="s">
        <v>230</v>
      </c>
    </row>
    <row r="1396">
      <c r="A1396" s="0" t="s">
        <v>1609</v>
      </c>
      <c r="B1396" s="0" t="s">
        <v>134</v>
      </c>
      <c r="C1396" s="0" t="s">
        <v>134</v>
      </c>
      <c r="D1396" s="0" t="s">
        <v>135</v>
      </c>
      <c r="E1396" s="0" t="s">
        <v>2</v>
      </c>
      <c r="F1396" s="0" t="s">
        <v>12</v>
      </c>
      <c r="G1396" s="0" t="s">
        <v>8</v>
      </c>
      <c r="H1396" s="0">
        <v>1587</v>
      </c>
      <c r="I1396" s="0">
        <v>0</v>
      </c>
      <c r="J1396" s="0">
        <v>0</v>
      </c>
      <c r="K1396" s="0">
        <v>1</v>
      </c>
      <c r="L1396" s="0">
        <v>4</v>
      </c>
      <c r="M1396" s="0">
        <v>2</v>
      </c>
      <c r="N1396" s="0">
        <v>0</v>
      </c>
      <c r="O1396" s="0">
        <v>0</v>
      </c>
      <c r="P1396" s="0">
        <v>0</v>
      </c>
      <c r="R1396" s="0" t="b">
        <v>0</v>
      </c>
      <c r="S1396" s="0" t="b">
        <v>1</v>
      </c>
      <c r="T1396" s="68">
        <v>44466.3582638889</v>
      </c>
      <c r="U1396" s="68">
        <v>44496.3333333333</v>
      </c>
      <c r="V1396" s="68">
        <v>0</v>
      </c>
      <c r="W1396" s="0">
        <f>IF(IF(B1396="none",1,IF(B1396="Trialer",1,0))+IF(C1396="Customer",1,IF(C1396="Lost",1,0))=2,1,0)</f>
      </c>
      <c r="X1396" s="0" t="s">
        <v>148</v>
      </c>
      <c r="Y1396" s="0" t="s">
        <v>499</v>
      </c>
      <c r="AV1396" s="68"/>
      <c r="AW1396" s="68"/>
      <c r="AY1396" s="27"/>
      <c r="BD1396" s="68">
        <v>46054.1666666667</v>
      </c>
      <c r="BE1396" s="68">
        <v>46082.1666666667</v>
      </c>
      <c r="BF1396" s="0" t="b">
        <v>0</v>
      </c>
      <c r="BG1396" s="0" t="b">
        <v>0</v>
      </c>
      <c r="BH1396" s="0">
        <v>0</v>
      </c>
      <c r="BI1396" s="0">
        <v>0</v>
      </c>
      <c r="BJ1396" s="0" t="s">
        <v>135</v>
      </c>
    </row>
    <row r="1397">
      <c r="A1397" s="0" t="s">
        <v>1610</v>
      </c>
      <c r="B1397" s="0" t="s">
        <v>134</v>
      </c>
      <c r="C1397" s="0" t="s">
        <v>134</v>
      </c>
      <c r="D1397" s="0" t="s">
        <v>230</v>
      </c>
      <c r="E1397" s="0" t="s">
        <v>2</v>
      </c>
      <c r="F1397" s="0" t="s">
        <v>12</v>
      </c>
      <c r="G1397" s="0" t="s">
        <v>8</v>
      </c>
      <c r="H1397" s="0">
        <v>1585</v>
      </c>
      <c r="I1397" s="0">
        <v>118</v>
      </c>
      <c r="J1397" s="0">
        <v>0</v>
      </c>
      <c r="K1397" s="0">
        <v>1</v>
      </c>
      <c r="L1397" s="0">
        <v>6</v>
      </c>
      <c r="M1397" s="0">
        <v>2</v>
      </c>
      <c r="N1397" s="0">
        <v>0</v>
      </c>
      <c r="O1397" s="0">
        <v>0</v>
      </c>
      <c r="P1397" s="0">
        <v>-118</v>
      </c>
      <c r="R1397" s="0" t="b">
        <v>0</v>
      </c>
      <c r="S1397" s="0" t="b">
        <v>1</v>
      </c>
      <c r="T1397" s="68">
        <v>44468.4444328704</v>
      </c>
      <c r="U1397" s="68">
        <v>44498.3333333333</v>
      </c>
      <c r="V1397" s="68">
        <v>0</v>
      </c>
      <c r="W1397" s="0">
        <f>IF(IF(B1397="none",1,IF(B1397="Trialer",1,0))+IF(C1397="Customer",1,IF(C1397="Lost",1,0))=2,1,0)</f>
      </c>
      <c r="X1397" s="0" t="s">
        <v>142</v>
      </c>
      <c r="Y1397" s="0" t="s">
        <v>499</v>
      </c>
      <c r="AV1397" s="68"/>
      <c r="AW1397" s="68"/>
      <c r="AY1397" s="27"/>
      <c r="BD1397" s="68">
        <v>46054.1666666667</v>
      </c>
      <c r="BE1397" s="68">
        <v>46082.1666666667</v>
      </c>
      <c r="BF1397" s="0" t="b">
        <v>0</v>
      </c>
      <c r="BG1397" s="0" t="b">
        <v>0</v>
      </c>
      <c r="BH1397" s="0">
        <v>134</v>
      </c>
      <c r="BI1397" s="0">
        <v>134</v>
      </c>
      <c r="BJ1397" s="0" t="s">
        <v>230</v>
      </c>
    </row>
    <row r="1398">
      <c r="A1398" s="0" t="s">
        <v>1611</v>
      </c>
      <c r="B1398" s="0" t="s">
        <v>134</v>
      </c>
      <c r="C1398" s="0" t="s">
        <v>134</v>
      </c>
      <c r="D1398" s="0" t="s">
        <v>135</v>
      </c>
      <c r="E1398" s="0" t="s">
        <v>3</v>
      </c>
      <c r="F1398" s="0" t="s">
        <v>10</v>
      </c>
      <c r="G1398" s="0" t="s">
        <v>8</v>
      </c>
      <c r="H1398" s="0">
        <v>1580</v>
      </c>
      <c r="I1398" s="0">
        <v>80</v>
      </c>
      <c r="J1398" s="0">
        <v>0</v>
      </c>
      <c r="K1398" s="0">
        <v>1</v>
      </c>
      <c r="L1398" s="0">
        <v>2</v>
      </c>
      <c r="M1398" s="0">
        <v>2</v>
      </c>
      <c r="N1398" s="0">
        <v>0</v>
      </c>
      <c r="O1398" s="0">
        <v>0</v>
      </c>
      <c r="P1398" s="0">
        <v>0</v>
      </c>
      <c r="Q1398" s="0" t="s">
        <v>1612</v>
      </c>
      <c r="R1398" s="0" t="b">
        <v>0</v>
      </c>
      <c r="S1398" s="0" t="b">
        <v>1</v>
      </c>
      <c r="T1398" s="68">
        <v>44473.6258101852</v>
      </c>
      <c r="U1398" s="68">
        <v>44504.3333333333</v>
      </c>
      <c r="V1398" s="68">
        <v>0</v>
      </c>
      <c r="W1398" s="0">
        <f>IF(IF(B1398="none",1,IF(B1398="Trialer",1,0))+IF(C1398="Customer",1,IF(C1398="Lost",1,0))=2,1,0)</f>
      </c>
      <c r="X1398" s="0" t="s">
        <v>148</v>
      </c>
      <c r="Y1398" s="0" t="s">
        <v>243</v>
      </c>
      <c r="AV1398" s="68"/>
      <c r="AW1398" s="68"/>
      <c r="AY1398" s="27"/>
      <c r="BD1398" s="68">
        <v>46054.1666666667</v>
      </c>
      <c r="BE1398" s="68">
        <v>46082.1666666667</v>
      </c>
      <c r="BF1398" s="0" t="b">
        <v>0</v>
      </c>
      <c r="BG1398" s="0" t="b">
        <v>0</v>
      </c>
      <c r="BH1398" s="0">
        <v>80</v>
      </c>
      <c r="BI1398" s="0">
        <v>80</v>
      </c>
      <c r="BJ1398" s="0" t="s">
        <v>135</v>
      </c>
    </row>
    <row r="1399">
      <c r="A1399" s="0" t="s">
        <v>1613</v>
      </c>
      <c r="B1399" s="0" t="s">
        <v>134</v>
      </c>
      <c r="C1399" s="0" t="s">
        <v>134</v>
      </c>
      <c r="D1399" s="0" t="s">
        <v>135</v>
      </c>
      <c r="E1399" s="0" t="s">
        <v>3</v>
      </c>
      <c r="F1399" s="0" t="s">
        <v>12</v>
      </c>
      <c r="G1399" s="0" t="s">
        <v>8</v>
      </c>
      <c r="H1399" s="0">
        <v>1579</v>
      </c>
      <c r="I1399" s="0">
        <v>195</v>
      </c>
      <c r="J1399" s="0">
        <v>0</v>
      </c>
      <c r="K1399" s="0">
        <v>1</v>
      </c>
      <c r="L1399" s="0">
        <v>5</v>
      </c>
      <c r="M1399" s="0">
        <v>3</v>
      </c>
      <c r="N1399" s="0">
        <v>0</v>
      </c>
      <c r="O1399" s="0">
        <v>0</v>
      </c>
      <c r="P1399" s="0">
        <v>0</v>
      </c>
      <c r="R1399" s="0" t="b">
        <v>0</v>
      </c>
      <c r="S1399" s="0" t="b">
        <v>1</v>
      </c>
      <c r="T1399" s="68">
        <v>44474.3690740741</v>
      </c>
      <c r="U1399" s="68">
        <v>44505.3333333333</v>
      </c>
      <c r="V1399" s="68">
        <v>0</v>
      </c>
      <c r="W1399" s="0">
        <f>IF(IF(B1399="none",1,IF(B1399="Trialer",1,0))+IF(C1399="Customer",1,IF(C1399="Lost",1,0))=2,1,0)</f>
      </c>
      <c r="X1399" s="0" t="s">
        <v>145</v>
      </c>
      <c r="Y1399" s="0" t="s">
        <v>243</v>
      </c>
      <c r="AV1399" s="68"/>
      <c r="AW1399" s="68"/>
      <c r="AY1399" s="27"/>
      <c r="BD1399" s="68">
        <v>46054.1666666667</v>
      </c>
      <c r="BE1399" s="68">
        <v>46082.1666666667</v>
      </c>
      <c r="BF1399" s="0" t="b">
        <v>0</v>
      </c>
      <c r="BG1399" s="0" t="b">
        <v>0</v>
      </c>
      <c r="BH1399" s="0">
        <v>244</v>
      </c>
      <c r="BI1399" s="0">
        <v>244</v>
      </c>
      <c r="BJ1399" s="0" t="s">
        <v>135</v>
      </c>
    </row>
    <row r="1400">
      <c r="A1400" s="0" t="s">
        <v>1614</v>
      </c>
      <c r="B1400" s="0" t="s">
        <v>134</v>
      </c>
      <c r="C1400" s="0" t="s">
        <v>134</v>
      </c>
      <c r="D1400" s="0" t="s">
        <v>230</v>
      </c>
      <c r="E1400" s="0" t="s">
        <v>2</v>
      </c>
      <c r="F1400" s="0" t="s">
        <v>12</v>
      </c>
      <c r="G1400" s="0" t="s">
        <v>8</v>
      </c>
      <c r="H1400" s="0">
        <v>1578</v>
      </c>
      <c r="I1400" s="0">
        <v>98</v>
      </c>
      <c r="J1400" s="0">
        <v>0</v>
      </c>
      <c r="K1400" s="0">
        <v>1</v>
      </c>
      <c r="L1400" s="0">
        <v>4</v>
      </c>
      <c r="M1400" s="0">
        <v>2</v>
      </c>
      <c r="N1400" s="0">
        <v>0</v>
      </c>
      <c r="O1400" s="0">
        <v>0</v>
      </c>
      <c r="P1400" s="0">
        <v>-98</v>
      </c>
      <c r="R1400" s="0" t="b">
        <v>0</v>
      </c>
      <c r="S1400" s="0" t="b">
        <v>1</v>
      </c>
      <c r="T1400" s="68">
        <v>44475.8965277778</v>
      </c>
      <c r="U1400" s="68">
        <v>44498.3333333333</v>
      </c>
      <c r="V1400" s="68">
        <v>0</v>
      </c>
      <c r="W1400" s="0">
        <f>IF(IF(B1400="none",1,IF(B1400="Trialer",1,0))+IF(C1400="Customer",1,IF(C1400="Lost",1,0))=2,1,0)</f>
      </c>
      <c r="X1400" s="0" t="s">
        <v>142</v>
      </c>
      <c r="Y1400" s="0" t="s">
        <v>499</v>
      </c>
      <c r="AV1400" s="68"/>
      <c r="AW1400" s="68"/>
      <c r="AY1400" s="27"/>
      <c r="BD1400" s="68">
        <v>46054.1666666667</v>
      </c>
      <c r="BE1400" s="68">
        <v>46082.1666666667</v>
      </c>
      <c r="BF1400" s="0" t="b">
        <v>0</v>
      </c>
      <c r="BG1400" s="0" t="b">
        <v>0</v>
      </c>
      <c r="BH1400" s="0">
        <v>110</v>
      </c>
      <c r="BI1400" s="0">
        <v>110</v>
      </c>
      <c r="BJ1400" s="0" t="s">
        <v>230</v>
      </c>
    </row>
    <row r="1401">
      <c r="A1401" s="0" t="s">
        <v>1615</v>
      </c>
      <c r="B1401" s="0" t="s">
        <v>134</v>
      </c>
      <c r="C1401" s="0" t="s">
        <v>134</v>
      </c>
      <c r="D1401" s="0" t="s">
        <v>135</v>
      </c>
      <c r="E1401" s="0" t="s">
        <v>3</v>
      </c>
      <c r="F1401" s="0" t="s">
        <v>12</v>
      </c>
      <c r="G1401" s="0" t="s">
        <v>8</v>
      </c>
      <c r="H1401" s="0">
        <v>1574</v>
      </c>
      <c r="I1401" s="0">
        <v>73</v>
      </c>
      <c r="J1401" s="0">
        <v>0</v>
      </c>
      <c r="K1401" s="0">
        <v>1</v>
      </c>
      <c r="L1401" s="0">
        <v>5</v>
      </c>
      <c r="M1401" s="0">
        <v>1</v>
      </c>
      <c r="N1401" s="0">
        <v>0</v>
      </c>
      <c r="O1401" s="0">
        <v>0</v>
      </c>
      <c r="P1401" s="0">
        <v>0</v>
      </c>
      <c r="R1401" s="0" t="b">
        <v>0</v>
      </c>
      <c r="S1401" s="0" t="b">
        <v>1</v>
      </c>
      <c r="T1401" s="68">
        <v>44479.705474537</v>
      </c>
      <c r="U1401" s="68">
        <v>44531.2916666667</v>
      </c>
      <c r="V1401" s="68">
        <v>0</v>
      </c>
      <c r="W1401" s="0">
        <f>IF(IF(B1401="none",1,IF(B1401="Trialer",1,0))+IF(C1401="Customer",1,IF(C1401="Lost",1,0))=2,1,0)</f>
      </c>
      <c r="X1401" s="0" t="s">
        <v>142</v>
      </c>
      <c r="Y1401" s="0" t="s">
        <v>243</v>
      </c>
      <c r="AV1401" s="68"/>
      <c r="AW1401" s="68"/>
      <c r="AY1401" s="27"/>
      <c r="BD1401" s="68">
        <v>46054.1666666667</v>
      </c>
      <c r="BE1401" s="68">
        <v>46082.1666666667</v>
      </c>
      <c r="BF1401" s="0" t="b">
        <v>0</v>
      </c>
      <c r="BG1401" s="0" t="b">
        <v>0</v>
      </c>
      <c r="BH1401" s="0">
        <v>73</v>
      </c>
      <c r="BI1401" s="0">
        <v>73</v>
      </c>
      <c r="BJ1401" s="0" t="s">
        <v>135</v>
      </c>
    </row>
    <row r="1402">
      <c r="A1402" s="0" t="s">
        <v>1616</v>
      </c>
      <c r="B1402" s="0" t="s">
        <v>134</v>
      </c>
      <c r="C1402" s="0" t="s">
        <v>134</v>
      </c>
      <c r="D1402" s="0" t="s">
        <v>230</v>
      </c>
      <c r="E1402" s="0" t="s">
        <v>2</v>
      </c>
      <c r="F1402" s="0" t="s">
        <v>12</v>
      </c>
      <c r="G1402" s="0" t="s">
        <v>8</v>
      </c>
      <c r="H1402" s="0">
        <v>1571</v>
      </c>
      <c r="I1402" s="0">
        <v>245.7</v>
      </c>
      <c r="J1402" s="0">
        <v>0</v>
      </c>
      <c r="K1402" s="0">
        <v>1</v>
      </c>
      <c r="L1402" s="0">
        <v>3</v>
      </c>
      <c r="M1402" s="0">
        <v>6</v>
      </c>
      <c r="N1402" s="0">
        <v>0</v>
      </c>
      <c r="O1402" s="0">
        <v>0</v>
      </c>
      <c r="P1402" s="0">
        <v>-245.7</v>
      </c>
      <c r="R1402" s="0" t="b">
        <v>0</v>
      </c>
      <c r="S1402" s="0" t="b">
        <v>1</v>
      </c>
      <c r="T1402" s="68">
        <v>44482.975</v>
      </c>
      <c r="U1402" s="68">
        <v>44529.2916666667</v>
      </c>
      <c r="V1402" s="68">
        <v>0</v>
      </c>
      <c r="W1402" s="0">
        <f>IF(IF(B1402="none",1,IF(B1402="Trialer",1,0))+IF(C1402="Customer",1,IF(C1402="Lost",1,0))=2,1,0)</f>
      </c>
      <c r="X1402" s="0" t="s">
        <v>136</v>
      </c>
      <c r="Y1402" s="0" t="s">
        <v>499</v>
      </c>
      <c r="AV1402" s="68"/>
      <c r="AW1402" s="68"/>
      <c r="AY1402" s="27"/>
      <c r="BD1402" s="68">
        <v>46054.1666666667</v>
      </c>
      <c r="BE1402" s="68">
        <v>46082.1666666667</v>
      </c>
      <c r="BF1402" s="0" t="b">
        <v>0</v>
      </c>
      <c r="BG1402" s="0" t="b">
        <v>0</v>
      </c>
      <c r="BH1402" s="0">
        <v>273</v>
      </c>
      <c r="BI1402" s="0">
        <v>273</v>
      </c>
      <c r="BJ1402" s="0" t="s">
        <v>230</v>
      </c>
    </row>
    <row r="1403">
      <c r="A1403" s="0" t="s">
        <v>1617</v>
      </c>
      <c r="B1403" s="0" t="s">
        <v>134</v>
      </c>
      <c r="C1403" s="0" t="s">
        <v>134</v>
      </c>
      <c r="D1403" s="0" t="s">
        <v>230</v>
      </c>
      <c r="E1403" s="0" t="s">
        <v>3</v>
      </c>
      <c r="F1403" s="0" t="s">
        <v>12</v>
      </c>
      <c r="G1403" s="0" t="s">
        <v>8</v>
      </c>
      <c r="H1403" s="0">
        <v>1569</v>
      </c>
      <c r="I1403" s="0">
        <v>2143.5</v>
      </c>
      <c r="J1403" s="0">
        <v>0</v>
      </c>
      <c r="K1403" s="0">
        <v>2</v>
      </c>
      <c r="L1403" s="0">
        <v>4</v>
      </c>
      <c r="M1403" s="0">
        <v>4</v>
      </c>
      <c r="N1403" s="0">
        <v>0</v>
      </c>
      <c r="O1403" s="0">
        <v>0</v>
      </c>
      <c r="P1403" s="0">
        <v>-186</v>
      </c>
      <c r="R1403" s="0" t="b">
        <v>0</v>
      </c>
      <c r="S1403" s="0" t="b">
        <v>1</v>
      </c>
      <c r="T1403" s="68">
        <v>44484.6201388889</v>
      </c>
      <c r="U1403" s="68">
        <v>44515.5</v>
      </c>
      <c r="V1403" s="68">
        <v>0</v>
      </c>
      <c r="W1403" s="0">
        <f>IF(IF(B1403="none",1,IF(B1403="Trialer",1,0))+IF(C1403="Customer",1,IF(C1403="Lost",1,0))=2,1,0)</f>
      </c>
      <c r="X1403" s="0" t="s">
        <v>148</v>
      </c>
      <c r="Y1403" s="0" t="s">
        <v>243</v>
      </c>
      <c r="AV1403" s="68"/>
      <c r="AW1403" s="68"/>
      <c r="AY1403" s="27"/>
      <c r="BD1403" s="68">
        <v>46054.1666666667</v>
      </c>
      <c r="BE1403" s="68">
        <v>46082.1666666667</v>
      </c>
      <c r="BF1403" s="0" t="b">
        <v>0</v>
      </c>
      <c r="BG1403" s="0" t="b">
        <v>0</v>
      </c>
      <c r="BH1403" s="0">
        <v>208</v>
      </c>
      <c r="BI1403" s="0">
        <v>208</v>
      </c>
      <c r="BJ1403" s="0" t="s">
        <v>230</v>
      </c>
    </row>
    <row r="1404">
      <c r="A1404" s="0" t="s">
        <v>1618</v>
      </c>
      <c r="B1404" s="0" t="s">
        <v>134</v>
      </c>
      <c r="C1404" s="0" t="s">
        <v>134</v>
      </c>
      <c r="D1404" s="0" t="s">
        <v>135</v>
      </c>
      <c r="E1404" s="0" t="s">
        <v>3</v>
      </c>
      <c r="F1404" s="0" t="s">
        <v>12</v>
      </c>
      <c r="G1404" s="0" t="s">
        <v>8</v>
      </c>
      <c r="H1404" s="0">
        <v>1564</v>
      </c>
      <c r="I1404" s="0">
        <v>110</v>
      </c>
      <c r="J1404" s="0">
        <v>0</v>
      </c>
      <c r="K1404" s="0">
        <v>1</v>
      </c>
      <c r="L1404" s="0">
        <v>4</v>
      </c>
      <c r="M1404" s="0">
        <v>2</v>
      </c>
      <c r="N1404" s="0">
        <v>0</v>
      </c>
      <c r="O1404" s="0">
        <v>0</v>
      </c>
      <c r="P1404" s="0">
        <v>0</v>
      </c>
      <c r="R1404" s="0" t="b">
        <v>0</v>
      </c>
      <c r="S1404" s="0" t="b">
        <v>1</v>
      </c>
      <c r="T1404" s="68">
        <v>44489.9195601852</v>
      </c>
      <c r="U1404" s="68">
        <v>44520.2916666667</v>
      </c>
      <c r="V1404" s="68">
        <v>0</v>
      </c>
      <c r="W1404" s="0">
        <f>IF(IF(B1404="none",1,IF(B1404="Trialer",1,0))+IF(C1404="Customer",1,IF(C1404="Lost",1,0))=2,1,0)</f>
      </c>
      <c r="X1404" s="0" t="s">
        <v>153</v>
      </c>
      <c r="Y1404" s="0" t="s">
        <v>243</v>
      </c>
      <c r="AV1404" s="68"/>
      <c r="AW1404" s="68"/>
      <c r="AY1404" s="27"/>
      <c r="BD1404" s="68">
        <v>46054.1666666667</v>
      </c>
      <c r="BE1404" s="68">
        <v>46082.1666666667</v>
      </c>
      <c r="BF1404" s="0" t="b">
        <v>0</v>
      </c>
      <c r="BG1404" s="0" t="b">
        <v>0</v>
      </c>
      <c r="BH1404" s="0">
        <v>110</v>
      </c>
      <c r="BI1404" s="0">
        <v>110</v>
      </c>
      <c r="BJ1404" s="0" t="s">
        <v>135</v>
      </c>
    </row>
    <row r="1405">
      <c r="A1405" s="0" t="s">
        <v>1619</v>
      </c>
      <c r="B1405" s="0" t="s">
        <v>134</v>
      </c>
      <c r="C1405" s="0" t="s">
        <v>134</v>
      </c>
      <c r="D1405" s="0" t="s">
        <v>135</v>
      </c>
      <c r="E1405" s="0" t="s">
        <v>3</v>
      </c>
      <c r="F1405" s="0" t="s">
        <v>10</v>
      </c>
      <c r="G1405" s="0" t="s">
        <v>8</v>
      </c>
      <c r="H1405" s="0">
        <v>1563</v>
      </c>
      <c r="I1405" s="0">
        <v>28</v>
      </c>
      <c r="J1405" s="0">
        <v>0</v>
      </c>
      <c r="K1405" s="0">
        <v>1</v>
      </c>
      <c r="L1405" s="0">
        <v>1</v>
      </c>
      <c r="M1405" s="0">
        <v>1</v>
      </c>
      <c r="N1405" s="0">
        <v>0</v>
      </c>
      <c r="O1405" s="0">
        <v>0</v>
      </c>
      <c r="P1405" s="0">
        <v>0</v>
      </c>
      <c r="Q1405" s="0" t="s">
        <v>618</v>
      </c>
      <c r="R1405" s="0" t="b">
        <v>0</v>
      </c>
      <c r="S1405" s="0" t="b">
        <v>1</v>
      </c>
      <c r="T1405" s="68">
        <v>44490.4255787037</v>
      </c>
      <c r="U1405" s="68">
        <v>44521.2916666667</v>
      </c>
      <c r="V1405" s="68">
        <v>0</v>
      </c>
      <c r="W1405" s="0">
        <f>IF(IF(B1405="none",1,IF(B1405="Trialer",1,0))+IF(C1405="Customer",1,IF(C1405="Lost",1,0))=2,1,0)</f>
      </c>
      <c r="X1405" s="0" t="s">
        <v>148</v>
      </c>
      <c r="Y1405" s="0" t="s">
        <v>243</v>
      </c>
      <c r="AV1405" s="68"/>
      <c r="AW1405" s="68"/>
      <c r="AY1405" s="27"/>
      <c r="BD1405" s="68">
        <v>46054.1666666667</v>
      </c>
      <c r="BE1405" s="68">
        <v>46082.1666666667</v>
      </c>
      <c r="BF1405" s="0" t="b">
        <v>0</v>
      </c>
      <c r="BG1405" s="0" t="b">
        <v>0</v>
      </c>
      <c r="BH1405" s="0">
        <v>28</v>
      </c>
      <c r="BI1405" s="0">
        <v>28</v>
      </c>
      <c r="BJ1405" s="0" t="s">
        <v>135</v>
      </c>
    </row>
    <row r="1406">
      <c r="A1406" s="0" t="s">
        <v>1620</v>
      </c>
      <c r="B1406" s="0" t="s">
        <v>134</v>
      </c>
      <c r="C1406" s="0" t="s">
        <v>134</v>
      </c>
      <c r="D1406" s="0" t="s">
        <v>135</v>
      </c>
      <c r="E1406" s="0" t="s">
        <v>2</v>
      </c>
      <c r="F1406" s="0" t="s">
        <v>12</v>
      </c>
      <c r="G1406" s="0" t="s">
        <v>8</v>
      </c>
      <c r="H1406" s="0">
        <v>1561</v>
      </c>
      <c r="I1406" s="0">
        <v>0</v>
      </c>
      <c r="J1406" s="0">
        <v>0</v>
      </c>
      <c r="K1406" s="0">
        <v>1</v>
      </c>
      <c r="L1406" s="0">
        <v>1</v>
      </c>
      <c r="M1406" s="0">
        <v>2</v>
      </c>
      <c r="N1406" s="0">
        <v>0</v>
      </c>
      <c r="O1406" s="0">
        <v>0</v>
      </c>
      <c r="P1406" s="0">
        <v>0</v>
      </c>
      <c r="R1406" s="0" t="b">
        <v>0</v>
      </c>
      <c r="S1406" s="0" t="b">
        <v>1</v>
      </c>
      <c r="T1406" s="68">
        <v>44492.2782175926</v>
      </c>
      <c r="U1406" s="68">
        <v>44523.2916666667</v>
      </c>
      <c r="V1406" s="68">
        <v>0</v>
      </c>
      <c r="W1406" s="0">
        <f>IF(IF(B1406="none",1,IF(B1406="Trialer",1,0))+IF(C1406="Customer",1,IF(C1406="Lost",1,0))=2,1,0)</f>
      </c>
      <c r="X1406" s="0" t="s">
        <v>136</v>
      </c>
      <c r="Y1406" s="0" t="s">
        <v>499</v>
      </c>
      <c r="AV1406" s="68"/>
      <c r="AW1406" s="68"/>
      <c r="AY1406" s="27"/>
      <c r="BD1406" s="68">
        <v>46054.1666666667</v>
      </c>
      <c r="BE1406" s="68">
        <v>46082.1666666667</v>
      </c>
      <c r="BF1406" s="0" t="b">
        <v>0</v>
      </c>
      <c r="BG1406" s="0" t="b">
        <v>0</v>
      </c>
      <c r="BH1406" s="0">
        <v>0</v>
      </c>
      <c r="BI1406" s="0">
        <v>0</v>
      </c>
      <c r="BJ1406" s="0" t="s">
        <v>135</v>
      </c>
    </row>
    <row r="1407">
      <c r="A1407" s="0" t="s">
        <v>1621</v>
      </c>
      <c r="B1407" s="0" t="s">
        <v>134</v>
      </c>
      <c r="C1407" s="0" t="s">
        <v>134</v>
      </c>
      <c r="D1407" s="0" t="s">
        <v>135</v>
      </c>
      <c r="E1407" s="0" t="s">
        <v>3</v>
      </c>
      <c r="F1407" s="0" t="s">
        <v>12</v>
      </c>
      <c r="G1407" s="0" t="s">
        <v>8</v>
      </c>
      <c r="H1407" s="0">
        <v>1559</v>
      </c>
      <c r="I1407" s="0">
        <v>589</v>
      </c>
      <c r="J1407" s="0">
        <v>0</v>
      </c>
      <c r="K1407" s="0">
        <v>1</v>
      </c>
      <c r="L1407" s="0">
        <v>3</v>
      </c>
      <c r="M1407" s="0">
        <v>6</v>
      </c>
      <c r="N1407" s="0">
        <v>0</v>
      </c>
      <c r="O1407" s="0">
        <v>0</v>
      </c>
      <c r="P1407" s="0">
        <v>0</v>
      </c>
      <c r="R1407" s="0" t="b">
        <v>0</v>
      </c>
      <c r="S1407" s="0" t="b">
        <v>1</v>
      </c>
      <c r="T1407" s="68">
        <v>44494.5236111111</v>
      </c>
      <c r="U1407" s="68">
        <v>44525.2916666667</v>
      </c>
      <c r="V1407" s="68">
        <v>0</v>
      </c>
      <c r="W1407" s="0">
        <f>IF(IF(B1407="none",1,IF(B1407="Trialer",1,0))+IF(C1407="Customer",1,IF(C1407="Lost",1,0))=2,1,0)</f>
      </c>
      <c r="X1407" s="0" t="s">
        <v>145</v>
      </c>
      <c r="Y1407" s="0" t="s">
        <v>243</v>
      </c>
      <c r="AV1407" s="68"/>
      <c r="AW1407" s="68"/>
      <c r="AY1407" s="27"/>
      <c r="BD1407" s="68">
        <v>46054.1666666667</v>
      </c>
      <c r="BE1407" s="68">
        <v>46082.1666666667</v>
      </c>
      <c r="BF1407" s="0" t="b">
        <v>0</v>
      </c>
      <c r="BG1407" s="0" t="b">
        <v>0</v>
      </c>
      <c r="BH1407" s="0">
        <v>292</v>
      </c>
      <c r="BI1407" s="0">
        <v>292</v>
      </c>
      <c r="BJ1407" s="0" t="s">
        <v>135</v>
      </c>
    </row>
    <row r="1408">
      <c r="A1408" s="0" t="s">
        <v>1622</v>
      </c>
      <c r="B1408" s="0" t="s">
        <v>134</v>
      </c>
      <c r="C1408" s="0" t="s">
        <v>134</v>
      </c>
      <c r="D1408" s="0" t="s">
        <v>135</v>
      </c>
      <c r="E1408" s="0" t="s">
        <v>3</v>
      </c>
      <c r="F1408" s="0" t="s">
        <v>12</v>
      </c>
      <c r="G1408" s="0" t="s">
        <v>8</v>
      </c>
      <c r="H1408" s="0">
        <v>1559</v>
      </c>
      <c r="I1408" s="0">
        <v>98</v>
      </c>
      <c r="J1408" s="0">
        <v>0</v>
      </c>
      <c r="K1408" s="0">
        <v>1</v>
      </c>
      <c r="L1408" s="0">
        <v>3</v>
      </c>
      <c r="M1408" s="0">
        <v>2</v>
      </c>
      <c r="N1408" s="0">
        <v>0</v>
      </c>
      <c r="O1408" s="0">
        <v>0</v>
      </c>
      <c r="P1408" s="0">
        <v>0</v>
      </c>
      <c r="R1408" s="0" t="b">
        <v>0</v>
      </c>
      <c r="S1408" s="0" t="b">
        <v>1</v>
      </c>
      <c r="T1408" s="68">
        <v>44494.6840277778</v>
      </c>
      <c r="U1408" s="68">
        <v>44540.2916666667</v>
      </c>
      <c r="V1408" s="68">
        <v>0</v>
      </c>
      <c r="W1408" s="0">
        <f>IF(IF(B1408="none",1,IF(B1408="Trialer",1,0))+IF(C1408="Customer",1,IF(C1408="Lost",1,0))=2,1,0)</f>
      </c>
      <c r="X1408" s="0" t="s">
        <v>153</v>
      </c>
      <c r="Y1408" s="0" t="s">
        <v>243</v>
      </c>
      <c r="AV1408" s="68"/>
      <c r="AW1408" s="68"/>
      <c r="AY1408" s="27"/>
      <c r="BD1408" s="68">
        <v>46054.1666666667</v>
      </c>
      <c r="BE1408" s="68">
        <v>46082.1666666667</v>
      </c>
      <c r="BF1408" s="0" t="b">
        <v>0</v>
      </c>
      <c r="BG1408" s="0" t="b">
        <v>0</v>
      </c>
      <c r="BH1408" s="0">
        <v>98</v>
      </c>
      <c r="BI1408" s="0">
        <v>98</v>
      </c>
      <c r="BJ1408" s="0" t="s">
        <v>135</v>
      </c>
    </row>
    <row r="1409">
      <c r="A1409" s="0" t="s">
        <v>1623</v>
      </c>
      <c r="B1409" s="0" t="s">
        <v>134</v>
      </c>
      <c r="C1409" s="0" t="s">
        <v>134</v>
      </c>
      <c r="D1409" s="0" t="s">
        <v>230</v>
      </c>
      <c r="E1409" s="0" t="s">
        <v>3</v>
      </c>
      <c r="F1409" s="0" t="s">
        <v>12</v>
      </c>
      <c r="G1409" s="0" t="s">
        <v>8</v>
      </c>
      <c r="H1409" s="0">
        <v>1558</v>
      </c>
      <c r="I1409" s="0">
        <v>44</v>
      </c>
      <c r="J1409" s="0">
        <v>0</v>
      </c>
      <c r="K1409" s="0">
        <v>1</v>
      </c>
      <c r="L1409" s="0">
        <v>3</v>
      </c>
      <c r="M1409" s="0">
        <v>1</v>
      </c>
      <c r="N1409" s="0">
        <v>0</v>
      </c>
      <c r="O1409" s="0">
        <v>0</v>
      </c>
      <c r="P1409" s="0">
        <v>-44</v>
      </c>
      <c r="R1409" s="0" t="b">
        <v>0</v>
      </c>
      <c r="S1409" s="0" t="b">
        <v>1</v>
      </c>
      <c r="T1409" s="68">
        <v>44495.496712963</v>
      </c>
      <c r="U1409" s="68">
        <v>44573.2916666667</v>
      </c>
      <c r="V1409" s="68">
        <v>0</v>
      </c>
      <c r="W1409" s="0">
        <f>IF(IF(B1409="none",1,IF(B1409="Trialer",1,0))+IF(C1409="Customer",1,IF(C1409="Lost",1,0))=2,1,0)</f>
      </c>
      <c r="X1409" s="0" t="s">
        <v>166</v>
      </c>
      <c r="Y1409" s="0" t="s">
        <v>243</v>
      </c>
      <c r="AV1409" s="68"/>
      <c r="AW1409" s="68"/>
      <c r="AY1409" s="27"/>
      <c r="BD1409" s="68">
        <v>46054.1666666667</v>
      </c>
      <c r="BE1409" s="68">
        <v>46082.1666666667</v>
      </c>
      <c r="BF1409" s="0" t="b">
        <v>0</v>
      </c>
      <c r="BG1409" s="0" t="b">
        <v>0</v>
      </c>
      <c r="BH1409" s="0">
        <v>49</v>
      </c>
      <c r="BI1409" s="0">
        <v>49</v>
      </c>
      <c r="BJ1409" s="0" t="s">
        <v>230</v>
      </c>
    </row>
    <row r="1410">
      <c r="A1410" s="0" t="s">
        <v>1624</v>
      </c>
      <c r="B1410" s="0" t="s">
        <v>134</v>
      </c>
      <c r="C1410" s="0" t="s">
        <v>134</v>
      </c>
      <c r="D1410" s="0" t="s">
        <v>135</v>
      </c>
      <c r="E1410" s="0" t="s">
        <v>2</v>
      </c>
      <c r="F1410" s="0" t="s">
        <v>12</v>
      </c>
      <c r="G1410" s="0" t="s">
        <v>8</v>
      </c>
      <c r="H1410" s="0">
        <v>1557</v>
      </c>
      <c r="I1410" s="0">
        <v>244</v>
      </c>
      <c r="J1410" s="0">
        <v>0</v>
      </c>
      <c r="K1410" s="0">
        <v>1</v>
      </c>
      <c r="L1410" s="0">
        <v>5</v>
      </c>
      <c r="M1410" s="0">
        <v>4</v>
      </c>
      <c r="N1410" s="0">
        <v>0</v>
      </c>
      <c r="O1410" s="0">
        <v>0</v>
      </c>
      <c r="P1410" s="0">
        <v>0</v>
      </c>
      <c r="R1410" s="0" t="b">
        <v>0</v>
      </c>
      <c r="S1410" s="0" t="b">
        <v>1</v>
      </c>
      <c r="T1410" s="68">
        <v>44496.462662037</v>
      </c>
      <c r="U1410" s="68">
        <v>44608.2916666667</v>
      </c>
      <c r="V1410" s="68">
        <v>0</v>
      </c>
      <c r="W1410" s="0">
        <f>IF(IF(B1410="none",1,IF(B1410="Trialer",1,0))+IF(C1410="Customer",1,IF(C1410="Lost",1,0))=2,1,0)</f>
      </c>
      <c r="X1410" s="0" t="s">
        <v>136</v>
      </c>
      <c r="Y1410" s="0" t="s">
        <v>499</v>
      </c>
      <c r="AV1410" s="68"/>
      <c r="AW1410" s="68"/>
      <c r="AY1410" s="27"/>
      <c r="BD1410" s="68">
        <v>46054.1666666667</v>
      </c>
      <c r="BE1410" s="68">
        <v>46082.1666666667</v>
      </c>
      <c r="BF1410" s="0" t="b">
        <v>0</v>
      </c>
      <c r="BG1410" s="0" t="b">
        <v>0</v>
      </c>
      <c r="BH1410" s="0">
        <v>244</v>
      </c>
      <c r="BI1410" s="0">
        <v>244</v>
      </c>
      <c r="BJ1410" s="0" t="s">
        <v>135</v>
      </c>
    </row>
    <row r="1411">
      <c r="A1411" s="0" t="s">
        <v>1625</v>
      </c>
      <c r="B1411" s="0" t="s">
        <v>134</v>
      </c>
      <c r="C1411" s="0" t="s">
        <v>134</v>
      </c>
      <c r="D1411" s="0" t="s">
        <v>135</v>
      </c>
      <c r="E1411" s="0" t="s">
        <v>2</v>
      </c>
      <c r="F1411" s="0" t="s">
        <v>12</v>
      </c>
      <c r="G1411" s="0" t="s">
        <v>7</v>
      </c>
      <c r="H1411" s="0">
        <v>1557</v>
      </c>
      <c r="I1411" s="0">
        <v>40</v>
      </c>
      <c r="J1411" s="0">
        <v>0</v>
      </c>
      <c r="K1411" s="0">
        <v>1</v>
      </c>
      <c r="L1411" s="0">
        <v>1</v>
      </c>
      <c r="M1411" s="0">
        <v>1</v>
      </c>
      <c r="N1411" s="0">
        <v>0</v>
      </c>
      <c r="O1411" s="0">
        <v>0</v>
      </c>
      <c r="P1411" s="0">
        <v>0</v>
      </c>
      <c r="R1411" s="0" t="b">
        <v>0</v>
      </c>
      <c r="S1411" s="0" t="b">
        <v>1</v>
      </c>
      <c r="T1411" s="68">
        <v>44496.5</v>
      </c>
      <c r="U1411" s="68">
        <v>44496.5</v>
      </c>
      <c r="V1411" s="68">
        <v>0</v>
      </c>
      <c r="W1411" s="0">
        <f>IF(IF(B1411="none",1,IF(B1411="Trialer",1,0))+IF(C1411="Customer",1,IF(C1411="Lost",1,0))=2,1,0)</f>
      </c>
      <c r="X1411" s="0" t="s">
        <v>145</v>
      </c>
      <c r="Y1411" s="0" t="s">
        <v>137</v>
      </c>
      <c r="AV1411" s="68"/>
      <c r="AW1411" s="68"/>
      <c r="AY1411" s="27"/>
      <c r="BD1411" s="68">
        <v>46054.1666666667</v>
      </c>
      <c r="BE1411" s="68">
        <v>46082.1666666667</v>
      </c>
      <c r="BF1411" s="0" t="b">
        <v>0</v>
      </c>
      <c r="BG1411" s="0" t="b">
        <v>0</v>
      </c>
      <c r="BH1411" s="0">
        <v>40</v>
      </c>
      <c r="BI1411" s="0">
        <v>40</v>
      </c>
      <c r="BJ1411" s="0" t="s">
        <v>135</v>
      </c>
    </row>
    <row r="1412">
      <c r="A1412" s="0" t="s">
        <v>1626</v>
      </c>
      <c r="B1412" s="0" t="s">
        <v>134</v>
      </c>
      <c r="C1412" s="0" t="s">
        <v>134</v>
      </c>
      <c r="D1412" s="0" t="s">
        <v>135</v>
      </c>
      <c r="E1412" s="0" t="s">
        <v>3</v>
      </c>
      <c r="F1412" s="0" t="s">
        <v>12</v>
      </c>
      <c r="G1412" s="0" t="s">
        <v>8</v>
      </c>
      <c r="H1412" s="0">
        <v>1556</v>
      </c>
      <c r="I1412" s="0">
        <v>0</v>
      </c>
      <c r="J1412" s="0">
        <v>0</v>
      </c>
      <c r="K1412" s="0">
        <v>1</v>
      </c>
      <c r="L1412" s="0">
        <v>5</v>
      </c>
      <c r="M1412" s="0">
        <v>1</v>
      </c>
      <c r="N1412" s="0">
        <v>0</v>
      </c>
      <c r="O1412" s="0">
        <v>0</v>
      </c>
      <c r="P1412" s="0">
        <v>0</v>
      </c>
      <c r="R1412" s="0" t="b">
        <v>0</v>
      </c>
      <c r="S1412" s="0" t="b">
        <v>1</v>
      </c>
      <c r="T1412" s="68">
        <v>44497.5333564815</v>
      </c>
      <c r="U1412" s="68">
        <v>44497.3333333333</v>
      </c>
      <c r="V1412" s="68">
        <v>0</v>
      </c>
      <c r="W1412" s="0">
        <f>IF(IF(B1412="none",1,IF(B1412="Trialer",1,0))+IF(C1412="Customer",1,IF(C1412="Lost",1,0))=2,1,0)</f>
      </c>
      <c r="X1412" s="0" t="s">
        <v>148</v>
      </c>
      <c r="Y1412" s="0" t="s">
        <v>243</v>
      </c>
      <c r="AV1412" s="68"/>
      <c r="AW1412" s="68"/>
      <c r="AY1412" s="27"/>
      <c r="BD1412" s="68">
        <v>46054.1666666667</v>
      </c>
      <c r="BE1412" s="68">
        <v>46082.1666666667</v>
      </c>
      <c r="BF1412" s="0" t="b">
        <v>0</v>
      </c>
      <c r="BG1412" s="0" t="b">
        <v>0</v>
      </c>
      <c r="BH1412" s="0">
        <v>0</v>
      </c>
      <c r="BI1412" s="0">
        <v>0</v>
      </c>
      <c r="BJ1412" s="0" t="s">
        <v>135</v>
      </c>
    </row>
    <row r="1413">
      <c r="A1413" s="0" t="s">
        <v>1627</v>
      </c>
      <c r="B1413" s="0" t="s">
        <v>134</v>
      </c>
      <c r="C1413" s="0" t="s">
        <v>134</v>
      </c>
      <c r="D1413" s="0" t="s">
        <v>135</v>
      </c>
      <c r="E1413" s="0" t="s">
        <v>2</v>
      </c>
      <c r="F1413" s="0" t="s">
        <v>12</v>
      </c>
      <c r="G1413" s="0" t="s">
        <v>8</v>
      </c>
      <c r="H1413" s="0">
        <v>1556</v>
      </c>
      <c r="I1413" s="0">
        <v>49</v>
      </c>
      <c r="J1413" s="0">
        <v>0</v>
      </c>
      <c r="K1413" s="0">
        <v>1</v>
      </c>
      <c r="L1413" s="0">
        <v>3</v>
      </c>
      <c r="M1413" s="0">
        <v>1</v>
      </c>
      <c r="N1413" s="0">
        <v>0</v>
      </c>
      <c r="O1413" s="0">
        <v>0</v>
      </c>
      <c r="P1413" s="0">
        <v>0</v>
      </c>
      <c r="R1413" s="0" t="b">
        <v>0</v>
      </c>
      <c r="S1413" s="0" t="b">
        <v>1</v>
      </c>
      <c r="T1413" s="68">
        <v>44497.9571875</v>
      </c>
      <c r="U1413" s="68">
        <v>44528.2916666667</v>
      </c>
      <c r="V1413" s="68">
        <v>0</v>
      </c>
      <c r="W1413" s="0">
        <f>IF(IF(B1413="none",1,IF(B1413="Trialer",1,0))+IF(C1413="Customer",1,IF(C1413="Lost",1,0))=2,1,0)</f>
      </c>
      <c r="X1413" s="0" t="s">
        <v>153</v>
      </c>
      <c r="Y1413" s="0" t="s">
        <v>499</v>
      </c>
      <c r="AV1413" s="68"/>
      <c r="AW1413" s="68"/>
      <c r="AY1413" s="27"/>
      <c r="BD1413" s="68">
        <v>46054.1666666667</v>
      </c>
      <c r="BE1413" s="68">
        <v>46082.1666666667</v>
      </c>
      <c r="BF1413" s="0" t="b">
        <v>0</v>
      </c>
      <c r="BG1413" s="0" t="b">
        <v>0</v>
      </c>
      <c r="BH1413" s="0">
        <v>49</v>
      </c>
      <c r="BI1413" s="0">
        <v>49</v>
      </c>
      <c r="BJ1413" s="0" t="s">
        <v>135</v>
      </c>
    </row>
    <row r="1414">
      <c r="A1414" s="0" t="s">
        <v>1628</v>
      </c>
      <c r="B1414" s="0" t="s">
        <v>134</v>
      </c>
      <c r="C1414" s="0" t="s">
        <v>134</v>
      </c>
      <c r="D1414" s="0" t="s">
        <v>135</v>
      </c>
      <c r="E1414" s="0" t="s">
        <v>3</v>
      </c>
      <c r="F1414" s="0" t="s">
        <v>10</v>
      </c>
      <c r="G1414" s="0" t="s">
        <v>8</v>
      </c>
      <c r="H1414" s="0">
        <v>1553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0</v>
      </c>
      <c r="Q1414" s="0" t="s">
        <v>618</v>
      </c>
      <c r="R1414" s="0" t="b">
        <v>0</v>
      </c>
      <c r="S1414" s="0" t="b">
        <v>1</v>
      </c>
      <c r="T1414" s="68">
        <v>44500.4932060185</v>
      </c>
      <c r="U1414" s="68">
        <v>44530.2916666667</v>
      </c>
      <c r="V1414" s="68">
        <v>0</v>
      </c>
      <c r="W1414" s="0">
        <f>IF(IF(B1414="none",1,IF(B1414="Trialer",1,0))+IF(C1414="Customer",1,IF(C1414="Lost",1,0))=2,1,0)</f>
      </c>
      <c r="X1414" s="0" t="s">
        <v>148</v>
      </c>
      <c r="Y1414" s="0" t="s">
        <v>243</v>
      </c>
      <c r="AV1414" s="68"/>
      <c r="AW1414" s="68"/>
      <c r="AY1414" s="27"/>
      <c r="BD1414" s="68">
        <v>46054.1666666667</v>
      </c>
      <c r="BE1414" s="68">
        <v>46082.1666666667</v>
      </c>
      <c r="BF1414" s="0" t="b">
        <v>0</v>
      </c>
      <c r="BG1414" s="0" t="b">
        <v>0</v>
      </c>
      <c r="BH1414" s="0">
        <v>0</v>
      </c>
      <c r="BI1414" s="0">
        <v>0</v>
      </c>
      <c r="BJ1414" s="0" t="s">
        <v>135</v>
      </c>
    </row>
    <row r="1415">
      <c r="A1415" s="0" t="s">
        <v>1629</v>
      </c>
      <c r="B1415" s="0" t="s">
        <v>134</v>
      </c>
      <c r="C1415" s="0" t="s">
        <v>134</v>
      </c>
      <c r="D1415" s="0" t="s">
        <v>135</v>
      </c>
      <c r="E1415" s="0" t="s">
        <v>2</v>
      </c>
      <c r="F1415" s="0" t="s">
        <v>12</v>
      </c>
      <c r="G1415" s="0" t="s">
        <v>8</v>
      </c>
      <c r="H1415" s="0">
        <v>1552</v>
      </c>
      <c r="I1415" s="0">
        <v>1712</v>
      </c>
      <c r="J1415" s="0">
        <v>0</v>
      </c>
      <c r="K1415" s="0">
        <v>1</v>
      </c>
      <c r="L1415" s="0">
        <v>4</v>
      </c>
      <c r="M1415" s="0">
        <v>35</v>
      </c>
      <c r="N1415" s="0">
        <v>0</v>
      </c>
      <c r="O1415" s="0">
        <v>0</v>
      </c>
      <c r="P1415" s="0">
        <v>0</v>
      </c>
      <c r="R1415" s="0" t="b">
        <v>0</v>
      </c>
      <c r="S1415" s="0" t="b">
        <v>1</v>
      </c>
      <c r="T1415" s="68">
        <v>44501.4381944444</v>
      </c>
      <c r="U1415" s="68">
        <v>44538.2916666667</v>
      </c>
      <c r="V1415" s="68">
        <v>0</v>
      </c>
      <c r="W1415" s="0">
        <f>IF(IF(B1415="none",1,IF(B1415="Trialer",1,0))+IF(C1415="Customer",1,IF(C1415="Lost",1,0))=2,1,0)</f>
      </c>
      <c r="X1415" s="0" t="s">
        <v>145</v>
      </c>
      <c r="Y1415" s="0" t="s">
        <v>499</v>
      </c>
      <c r="AV1415" s="68"/>
      <c r="AW1415" s="68"/>
      <c r="AY1415" s="27"/>
      <c r="BD1415" s="68">
        <v>46054.1666666667</v>
      </c>
      <c r="BE1415" s="68">
        <v>46082.1666666667</v>
      </c>
      <c r="BF1415" s="0" t="b">
        <v>0</v>
      </c>
      <c r="BG1415" s="0" t="b">
        <v>0</v>
      </c>
      <c r="BH1415" s="0">
        <v>1691</v>
      </c>
      <c r="BI1415" s="0">
        <v>1691</v>
      </c>
      <c r="BJ1415" s="0" t="s">
        <v>135</v>
      </c>
    </row>
    <row r="1416">
      <c r="A1416" s="0" t="s">
        <v>1630</v>
      </c>
      <c r="B1416" s="0" t="s">
        <v>134</v>
      </c>
      <c r="C1416" s="0" t="s">
        <v>134</v>
      </c>
      <c r="D1416" s="0" t="s">
        <v>135</v>
      </c>
      <c r="E1416" s="0" t="s">
        <v>2</v>
      </c>
      <c r="F1416" s="0" t="s">
        <v>12</v>
      </c>
      <c r="G1416" s="0" t="s">
        <v>8</v>
      </c>
      <c r="H1416" s="0">
        <v>1552</v>
      </c>
      <c r="I1416" s="0">
        <v>98</v>
      </c>
      <c r="J1416" s="0">
        <v>0</v>
      </c>
      <c r="K1416" s="0">
        <v>1</v>
      </c>
      <c r="L1416" s="0">
        <v>3</v>
      </c>
      <c r="M1416" s="0">
        <v>2</v>
      </c>
      <c r="N1416" s="0">
        <v>0</v>
      </c>
      <c r="O1416" s="0">
        <v>0</v>
      </c>
      <c r="P1416" s="0">
        <v>0</v>
      </c>
      <c r="R1416" s="0" t="b">
        <v>0</v>
      </c>
      <c r="S1416" s="0" t="b">
        <v>1</v>
      </c>
      <c r="T1416" s="68">
        <v>44501.5167476852</v>
      </c>
      <c r="U1416" s="68">
        <v>44531.2916666667</v>
      </c>
      <c r="V1416" s="68">
        <v>0</v>
      </c>
      <c r="W1416" s="0">
        <f>IF(IF(B1416="none",1,IF(B1416="Trialer",1,0))+IF(C1416="Customer",1,IF(C1416="Lost",1,0))=2,1,0)</f>
      </c>
      <c r="X1416" s="0" t="s">
        <v>142</v>
      </c>
      <c r="Y1416" s="0" t="s">
        <v>499</v>
      </c>
      <c r="AV1416" s="68"/>
      <c r="AW1416" s="68"/>
      <c r="AY1416" s="27"/>
      <c r="BD1416" s="68">
        <v>46054.1666666667</v>
      </c>
      <c r="BE1416" s="68">
        <v>46082.1666666667</v>
      </c>
      <c r="BF1416" s="0" t="b">
        <v>0</v>
      </c>
      <c r="BG1416" s="0" t="b">
        <v>0</v>
      </c>
      <c r="BH1416" s="0">
        <v>98</v>
      </c>
      <c r="BI1416" s="0">
        <v>98</v>
      </c>
      <c r="BJ1416" s="0" t="s">
        <v>135</v>
      </c>
    </row>
    <row r="1417">
      <c r="A1417" s="0" t="s">
        <v>1631</v>
      </c>
      <c r="B1417" s="0" t="s">
        <v>134</v>
      </c>
      <c r="C1417" s="0" t="s">
        <v>134</v>
      </c>
      <c r="D1417" s="0" t="s">
        <v>135</v>
      </c>
      <c r="E1417" s="0" t="s">
        <v>3</v>
      </c>
      <c r="F1417" s="0" t="s">
        <v>12</v>
      </c>
      <c r="G1417" s="0" t="s">
        <v>8</v>
      </c>
      <c r="H1417" s="0">
        <v>1552</v>
      </c>
      <c r="I1417" s="0">
        <v>77</v>
      </c>
      <c r="J1417" s="0">
        <v>0</v>
      </c>
      <c r="K1417" s="0">
        <v>1</v>
      </c>
      <c r="L1417" s="0">
        <v>3</v>
      </c>
      <c r="M1417" s="0">
        <v>2</v>
      </c>
      <c r="N1417" s="0">
        <v>0</v>
      </c>
      <c r="O1417" s="0">
        <v>0</v>
      </c>
      <c r="P1417" s="0">
        <v>0</v>
      </c>
      <c r="R1417" s="0" t="b">
        <v>0</v>
      </c>
      <c r="S1417" s="0" t="b">
        <v>1</v>
      </c>
      <c r="T1417" s="68">
        <v>44501.8031712963</v>
      </c>
      <c r="U1417" s="68">
        <v>44508.2916666667</v>
      </c>
      <c r="V1417" s="68">
        <v>0</v>
      </c>
      <c r="W1417" s="0">
        <f>IF(IF(B1417="none",1,IF(B1417="Trialer",1,0))+IF(C1417="Customer",1,IF(C1417="Lost",1,0))=2,1,0)</f>
      </c>
      <c r="X1417" s="0" t="s">
        <v>153</v>
      </c>
      <c r="Y1417" s="0" t="s">
        <v>243</v>
      </c>
      <c r="AV1417" s="68"/>
      <c r="AW1417" s="68"/>
      <c r="AY1417" s="27"/>
      <c r="BD1417" s="68">
        <v>46054.1666666667</v>
      </c>
      <c r="BE1417" s="68">
        <v>46082.1666666667</v>
      </c>
      <c r="BF1417" s="0" t="b">
        <v>0</v>
      </c>
      <c r="BG1417" s="0" t="b">
        <v>0</v>
      </c>
      <c r="BH1417" s="0">
        <v>77</v>
      </c>
      <c r="BI1417" s="0">
        <v>77</v>
      </c>
      <c r="BJ1417" s="0" t="s">
        <v>135</v>
      </c>
    </row>
    <row r="1418">
      <c r="A1418" s="0" t="s">
        <v>1632</v>
      </c>
      <c r="B1418" s="0" t="s">
        <v>134</v>
      </c>
      <c r="C1418" s="0" t="s">
        <v>134</v>
      </c>
      <c r="D1418" s="0" t="s">
        <v>135</v>
      </c>
      <c r="E1418" s="0" t="s">
        <v>2</v>
      </c>
      <c r="F1418" s="0" t="s">
        <v>12</v>
      </c>
      <c r="G1418" s="0" t="s">
        <v>8</v>
      </c>
      <c r="H1418" s="0">
        <v>1551</v>
      </c>
      <c r="I1418" s="0">
        <v>98</v>
      </c>
      <c r="J1418" s="0">
        <v>0</v>
      </c>
      <c r="K1418" s="0">
        <v>1</v>
      </c>
      <c r="L1418" s="0">
        <v>3</v>
      </c>
      <c r="M1418" s="0">
        <v>2</v>
      </c>
      <c r="N1418" s="0">
        <v>0</v>
      </c>
      <c r="O1418" s="0">
        <v>0</v>
      </c>
      <c r="P1418" s="0">
        <v>0</v>
      </c>
      <c r="R1418" s="0" t="b">
        <v>0</v>
      </c>
      <c r="S1418" s="0" t="b">
        <v>1</v>
      </c>
      <c r="T1418" s="68">
        <v>44502.5105324074</v>
      </c>
      <c r="U1418" s="68">
        <v>44572.2916666667</v>
      </c>
      <c r="V1418" s="68">
        <v>0</v>
      </c>
      <c r="W1418" s="0">
        <f>IF(IF(B1418="none",1,IF(B1418="Trialer",1,0))+IF(C1418="Customer",1,IF(C1418="Lost",1,0))=2,1,0)</f>
      </c>
      <c r="X1418" s="0" t="s">
        <v>142</v>
      </c>
      <c r="Y1418" s="0" t="s">
        <v>499</v>
      </c>
      <c r="AV1418" s="68"/>
      <c r="AW1418" s="68"/>
      <c r="AY1418" s="27"/>
      <c r="BD1418" s="68">
        <v>46054.1666666667</v>
      </c>
      <c r="BE1418" s="68">
        <v>46082.1666666667</v>
      </c>
      <c r="BF1418" s="0" t="b">
        <v>0</v>
      </c>
      <c r="BG1418" s="0" t="b">
        <v>0</v>
      </c>
      <c r="BH1418" s="0">
        <v>98</v>
      </c>
      <c r="BI1418" s="0">
        <v>98</v>
      </c>
      <c r="BJ1418" s="0" t="s">
        <v>135</v>
      </c>
    </row>
    <row r="1419">
      <c r="A1419" s="0" t="s">
        <v>1633</v>
      </c>
      <c r="B1419" s="0" t="s">
        <v>134</v>
      </c>
      <c r="C1419" s="0" t="s">
        <v>134</v>
      </c>
      <c r="D1419" s="0" t="s">
        <v>230</v>
      </c>
      <c r="E1419" s="0" t="s">
        <v>2</v>
      </c>
      <c r="F1419" s="0" t="s">
        <v>12</v>
      </c>
      <c r="G1419" s="0" t="s">
        <v>8</v>
      </c>
      <c r="H1419" s="0">
        <v>1551</v>
      </c>
      <c r="I1419" s="0">
        <v>316</v>
      </c>
      <c r="J1419" s="0">
        <v>0</v>
      </c>
      <c r="K1419" s="0">
        <v>1</v>
      </c>
      <c r="L1419" s="0">
        <v>4</v>
      </c>
      <c r="M1419" s="0">
        <v>6</v>
      </c>
      <c r="N1419" s="0">
        <v>0</v>
      </c>
      <c r="O1419" s="0">
        <v>0</v>
      </c>
      <c r="P1419" s="0">
        <v>-316</v>
      </c>
      <c r="R1419" s="0" t="b">
        <v>0</v>
      </c>
      <c r="S1419" s="0" t="b">
        <v>1</v>
      </c>
      <c r="T1419" s="68">
        <v>44502.6555902778</v>
      </c>
      <c r="U1419" s="68">
        <v>44532.2916666667</v>
      </c>
      <c r="V1419" s="68">
        <v>0</v>
      </c>
      <c r="W1419" s="0">
        <f>IF(IF(B1419="none",1,IF(B1419="Trialer",1,0))+IF(C1419="Customer",1,IF(C1419="Lost",1,0))=2,1,0)</f>
      </c>
      <c r="X1419" s="0" t="s">
        <v>145</v>
      </c>
      <c r="Y1419" s="0" t="s">
        <v>499</v>
      </c>
      <c r="AV1419" s="68"/>
      <c r="AW1419" s="68"/>
      <c r="AY1419" s="27"/>
      <c r="BD1419" s="68">
        <v>46054.1666666667</v>
      </c>
      <c r="BE1419" s="68">
        <v>46082.1666666667</v>
      </c>
      <c r="BF1419" s="0" t="b">
        <v>0</v>
      </c>
      <c r="BG1419" s="0" t="b">
        <v>0</v>
      </c>
      <c r="BH1419" s="0">
        <v>357</v>
      </c>
      <c r="BI1419" s="0">
        <v>357</v>
      </c>
      <c r="BJ1419" s="0" t="s">
        <v>230</v>
      </c>
    </row>
    <row r="1420">
      <c r="A1420" s="0" t="s">
        <v>1634</v>
      </c>
      <c r="B1420" s="0" t="s">
        <v>134</v>
      </c>
      <c r="C1420" s="0" t="s">
        <v>134</v>
      </c>
      <c r="D1420" s="0" t="s">
        <v>230</v>
      </c>
      <c r="E1420" s="0" t="s">
        <v>3</v>
      </c>
      <c r="F1420" s="0" t="s">
        <v>12</v>
      </c>
      <c r="G1420" s="0" t="s">
        <v>8</v>
      </c>
      <c r="H1420" s="0">
        <v>1551</v>
      </c>
      <c r="I1420" s="0">
        <v>144</v>
      </c>
      <c r="J1420" s="0">
        <v>0</v>
      </c>
      <c r="K1420" s="0">
        <v>1</v>
      </c>
      <c r="L1420" s="0">
        <v>4</v>
      </c>
      <c r="M1420" s="0">
        <v>3</v>
      </c>
      <c r="N1420" s="0">
        <v>0</v>
      </c>
      <c r="O1420" s="0">
        <v>0</v>
      </c>
      <c r="P1420" s="0">
        <v>-144</v>
      </c>
      <c r="R1420" s="0" t="b">
        <v>0</v>
      </c>
      <c r="S1420" s="0" t="b">
        <v>1</v>
      </c>
      <c r="T1420" s="68">
        <v>44502.6995486111</v>
      </c>
      <c r="U1420" s="68">
        <v>44532.2916666667</v>
      </c>
      <c r="V1420" s="68">
        <v>0</v>
      </c>
      <c r="W1420" s="0">
        <f>IF(IF(B1420="none",1,IF(B1420="Trialer",1,0))+IF(C1420="Customer",1,IF(C1420="Lost",1,0))=2,1,0)</f>
      </c>
      <c r="X1420" s="0" t="s">
        <v>153</v>
      </c>
      <c r="Y1420" s="0" t="s">
        <v>243</v>
      </c>
      <c r="AV1420" s="68"/>
      <c r="AW1420" s="68"/>
      <c r="AY1420" s="27"/>
      <c r="BD1420" s="68">
        <v>46054.1666666667</v>
      </c>
      <c r="BE1420" s="68">
        <v>46082.1666666667</v>
      </c>
      <c r="BF1420" s="0" t="b">
        <v>0</v>
      </c>
      <c r="BG1420" s="0" t="b">
        <v>0</v>
      </c>
      <c r="BH1420" s="0">
        <v>162</v>
      </c>
      <c r="BI1420" s="0">
        <v>162</v>
      </c>
      <c r="BJ1420" s="0" t="s">
        <v>230</v>
      </c>
    </row>
    <row r="1421">
      <c r="A1421" s="0" t="s">
        <v>1635</v>
      </c>
      <c r="B1421" s="0" t="s">
        <v>134</v>
      </c>
      <c r="C1421" s="0" t="s">
        <v>134</v>
      </c>
      <c r="D1421" s="0" t="s">
        <v>135</v>
      </c>
      <c r="E1421" s="0" t="s">
        <v>3</v>
      </c>
      <c r="F1421" s="0" t="s">
        <v>12</v>
      </c>
      <c r="G1421" s="0" t="s">
        <v>8</v>
      </c>
      <c r="H1421" s="0">
        <v>1550</v>
      </c>
      <c r="I1421" s="0">
        <v>0</v>
      </c>
      <c r="J1421" s="0">
        <v>0</v>
      </c>
      <c r="K1421" s="0">
        <v>1</v>
      </c>
      <c r="L1421" s="0">
        <v>4</v>
      </c>
      <c r="M1421" s="0">
        <v>1</v>
      </c>
      <c r="N1421" s="0">
        <v>0</v>
      </c>
      <c r="O1421" s="0">
        <v>0</v>
      </c>
      <c r="P1421" s="0">
        <v>0</v>
      </c>
      <c r="R1421" s="0" t="b">
        <v>0</v>
      </c>
      <c r="S1421" s="0" t="b">
        <v>1</v>
      </c>
      <c r="T1421" s="68">
        <v>44503.6800925926</v>
      </c>
      <c r="U1421" s="68">
        <v>44533.2916666667</v>
      </c>
      <c r="V1421" s="68">
        <v>0</v>
      </c>
      <c r="W1421" s="0">
        <f>IF(IF(B1421="none",1,IF(B1421="Trialer",1,0))+IF(C1421="Customer",1,IF(C1421="Lost",1,0))=2,1,0)</f>
      </c>
      <c r="X1421" s="0" t="s">
        <v>136</v>
      </c>
      <c r="Y1421" s="0" t="s">
        <v>243</v>
      </c>
      <c r="AV1421" s="68"/>
      <c r="AW1421" s="68"/>
      <c r="AY1421" s="27"/>
      <c r="BD1421" s="68">
        <v>46054.1666666667</v>
      </c>
      <c r="BE1421" s="68">
        <v>46082.1666666667</v>
      </c>
      <c r="BF1421" s="0" t="b">
        <v>0</v>
      </c>
      <c r="BG1421" s="0" t="b">
        <v>0</v>
      </c>
      <c r="BH1421" s="0">
        <v>0</v>
      </c>
      <c r="BI1421" s="0">
        <v>0</v>
      </c>
      <c r="BJ1421" s="0" t="s">
        <v>135</v>
      </c>
    </row>
    <row r="1422">
      <c r="A1422" s="0" t="s">
        <v>1636</v>
      </c>
      <c r="B1422" s="0" t="s">
        <v>134</v>
      </c>
      <c r="C1422" s="0" t="s">
        <v>134</v>
      </c>
      <c r="D1422" s="0" t="s">
        <v>230</v>
      </c>
      <c r="E1422" s="0" t="s">
        <v>3</v>
      </c>
      <c r="F1422" s="0" t="s">
        <v>12</v>
      </c>
      <c r="G1422" s="0" t="s">
        <v>8</v>
      </c>
      <c r="H1422" s="0">
        <v>1549</v>
      </c>
      <c r="I1422" s="0">
        <v>99</v>
      </c>
      <c r="J1422" s="0">
        <v>0</v>
      </c>
      <c r="K1422" s="0">
        <v>1</v>
      </c>
      <c r="L1422" s="0">
        <v>4</v>
      </c>
      <c r="M1422" s="0">
        <v>2</v>
      </c>
      <c r="N1422" s="0">
        <v>0</v>
      </c>
      <c r="O1422" s="0">
        <v>0</v>
      </c>
      <c r="P1422" s="0">
        <v>-99</v>
      </c>
      <c r="R1422" s="0" t="b">
        <v>0</v>
      </c>
      <c r="S1422" s="0" t="b">
        <v>1</v>
      </c>
      <c r="T1422" s="68">
        <v>44504.4763888889</v>
      </c>
      <c r="U1422" s="68">
        <v>44534.2916666667</v>
      </c>
      <c r="V1422" s="68">
        <v>0</v>
      </c>
      <c r="W1422" s="0">
        <f>IF(IF(B1422="none",1,IF(B1422="Trialer",1,0))+IF(C1422="Customer",1,IF(C1422="Lost",1,0))=2,1,0)</f>
      </c>
      <c r="X1422" s="0" t="s">
        <v>166</v>
      </c>
      <c r="Y1422" s="0" t="s">
        <v>243</v>
      </c>
      <c r="AV1422" s="68"/>
      <c r="AW1422" s="68"/>
      <c r="AY1422" s="27"/>
      <c r="BD1422" s="68">
        <v>46054.1666666667</v>
      </c>
      <c r="BE1422" s="68">
        <v>46082.1666666667</v>
      </c>
      <c r="BF1422" s="0" t="b">
        <v>0</v>
      </c>
      <c r="BG1422" s="0" t="b">
        <v>0</v>
      </c>
      <c r="BH1422" s="0">
        <v>110</v>
      </c>
      <c r="BI1422" s="0">
        <v>110</v>
      </c>
      <c r="BJ1422" s="0" t="s">
        <v>230</v>
      </c>
    </row>
    <row r="1423">
      <c r="A1423" s="0" t="s">
        <v>1637</v>
      </c>
      <c r="B1423" s="0" t="s">
        <v>134</v>
      </c>
      <c r="C1423" s="0" t="s">
        <v>134</v>
      </c>
      <c r="D1423" s="0" t="s">
        <v>135</v>
      </c>
      <c r="E1423" s="0" t="s">
        <v>2</v>
      </c>
      <c r="F1423" s="0" t="s">
        <v>12</v>
      </c>
      <c r="G1423" s="0" t="s">
        <v>8</v>
      </c>
      <c r="H1423" s="0">
        <v>1549</v>
      </c>
      <c r="I1423" s="0">
        <v>111</v>
      </c>
      <c r="J1423" s="0">
        <v>0</v>
      </c>
      <c r="K1423" s="0">
        <v>1</v>
      </c>
      <c r="L1423" s="0">
        <v>2</v>
      </c>
      <c r="M1423" s="0">
        <v>3</v>
      </c>
      <c r="N1423" s="0">
        <v>0</v>
      </c>
      <c r="O1423" s="0">
        <v>0</v>
      </c>
      <c r="P1423" s="0">
        <v>0</v>
      </c>
      <c r="R1423" s="0" t="b">
        <v>0</v>
      </c>
      <c r="S1423" s="0" t="b">
        <v>1</v>
      </c>
      <c r="T1423" s="68">
        <v>44504.6721527778</v>
      </c>
      <c r="U1423" s="68">
        <v>44552.2916666667</v>
      </c>
      <c r="V1423" s="68">
        <v>0</v>
      </c>
      <c r="W1423" s="0">
        <f>IF(IF(B1423="none",1,IF(B1423="Trialer",1,0))+IF(C1423="Customer",1,IF(C1423="Lost",1,0))=2,1,0)</f>
      </c>
      <c r="X1423" s="0" t="s">
        <v>142</v>
      </c>
      <c r="Y1423" s="0" t="s">
        <v>499</v>
      </c>
      <c r="AV1423" s="68"/>
      <c r="AW1423" s="68"/>
      <c r="AY1423" s="27"/>
      <c r="BD1423" s="68">
        <v>46054.1666666667</v>
      </c>
      <c r="BE1423" s="68">
        <v>46082.1666666667</v>
      </c>
      <c r="BF1423" s="0" t="b">
        <v>0</v>
      </c>
      <c r="BG1423" s="0" t="b">
        <v>0</v>
      </c>
      <c r="BH1423" s="0">
        <v>111</v>
      </c>
      <c r="BI1423" s="0">
        <v>111</v>
      </c>
      <c r="BJ1423" s="0" t="s">
        <v>135</v>
      </c>
    </row>
    <row r="1424">
      <c r="A1424" s="0" t="s">
        <v>1638</v>
      </c>
      <c r="B1424" s="0" t="s">
        <v>134</v>
      </c>
      <c r="C1424" s="0" t="s">
        <v>134</v>
      </c>
      <c r="D1424" s="0" t="s">
        <v>135</v>
      </c>
      <c r="E1424" s="0" t="s">
        <v>3</v>
      </c>
      <c r="F1424" s="0" t="s">
        <v>12</v>
      </c>
      <c r="G1424" s="0" t="s">
        <v>8</v>
      </c>
      <c r="H1424" s="0">
        <v>1545</v>
      </c>
      <c r="I1424" s="0">
        <v>98</v>
      </c>
      <c r="J1424" s="0">
        <v>0</v>
      </c>
      <c r="K1424" s="0">
        <v>1</v>
      </c>
      <c r="L1424" s="0">
        <v>3</v>
      </c>
      <c r="M1424" s="0">
        <v>2</v>
      </c>
      <c r="N1424" s="0">
        <v>0</v>
      </c>
      <c r="O1424" s="0">
        <v>0</v>
      </c>
      <c r="P1424" s="0">
        <v>0</v>
      </c>
      <c r="R1424" s="0" t="b">
        <v>0</v>
      </c>
      <c r="S1424" s="0" t="b">
        <v>1</v>
      </c>
      <c r="T1424" s="68">
        <v>44508.4279861111</v>
      </c>
      <c r="U1424" s="68">
        <v>44538.2916666667</v>
      </c>
      <c r="V1424" s="68">
        <v>0</v>
      </c>
      <c r="W1424" s="0">
        <f>IF(IF(B1424="none",1,IF(B1424="Trialer",1,0))+IF(C1424="Customer",1,IF(C1424="Lost",1,0))=2,1,0)</f>
      </c>
      <c r="X1424" s="0" t="s">
        <v>153</v>
      </c>
      <c r="Y1424" s="0" t="s">
        <v>243</v>
      </c>
      <c r="AV1424" s="68"/>
      <c r="AW1424" s="68"/>
      <c r="AY1424" s="27"/>
      <c r="BD1424" s="68">
        <v>46054.1666666667</v>
      </c>
      <c r="BE1424" s="68">
        <v>46082.1666666667</v>
      </c>
      <c r="BF1424" s="0" t="b">
        <v>0</v>
      </c>
      <c r="BG1424" s="0" t="b">
        <v>0</v>
      </c>
      <c r="BH1424" s="0">
        <v>98</v>
      </c>
      <c r="BI1424" s="0">
        <v>98</v>
      </c>
      <c r="BJ1424" s="0" t="s">
        <v>135</v>
      </c>
    </row>
    <row r="1425">
      <c r="A1425" s="0" t="s">
        <v>1639</v>
      </c>
      <c r="B1425" s="0" t="s">
        <v>134</v>
      </c>
      <c r="C1425" s="0" t="s">
        <v>134</v>
      </c>
      <c r="D1425" s="0" t="s">
        <v>135</v>
      </c>
      <c r="E1425" s="0" t="s">
        <v>2</v>
      </c>
      <c r="F1425" s="0" t="s">
        <v>12</v>
      </c>
      <c r="G1425" s="0" t="s">
        <v>8</v>
      </c>
      <c r="H1425" s="0">
        <v>1545</v>
      </c>
      <c r="I1425" s="0">
        <v>915</v>
      </c>
      <c r="J1425" s="0">
        <v>0</v>
      </c>
      <c r="K1425" s="0">
        <v>1</v>
      </c>
      <c r="L1425" s="0">
        <v>4</v>
      </c>
      <c r="M1425" s="0">
        <v>15</v>
      </c>
      <c r="N1425" s="0">
        <v>0</v>
      </c>
      <c r="O1425" s="0">
        <v>0</v>
      </c>
      <c r="P1425" s="0">
        <v>0</v>
      </c>
      <c r="R1425" s="0" t="b">
        <v>0</v>
      </c>
      <c r="S1425" s="0" t="b">
        <v>1</v>
      </c>
      <c r="T1425" s="68">
        <v>44508.659375</v>
      </c>
      <c r="U1425" s="68">
        <v>44543.2916666667</v>
      </c>
      <c r="V1425" s="68">
        <v>0</v>
      </c>
      <c r="W1425" s="0">
        <f>IF(IF(B1425="none",1,IF(B1425="Trialer",1,0))+IF(C1425="Customer",1,IF(C1425="Lost",1,0))=2,1,0)</f>
      </c>
      <c r="X1425" s="0" t="s">
        <v>136</v>
      </c>
      <c r="Y1425" s="0" t="s">
        <v>499</v>
      </c>
      <c r="AV1425" s="68"/>
      <c r="AW1425" s="68"/>
      <c r="AY1425" s="27"/>
      <c r="BD1425" s="68">
        <v>46054.1666666667</v>
      </c>
      <c r="BE1425" s="68">
        <v>46082.1666666667</v>
      </c>
      <c r="BF1425" s="0" t="b">
        <v>0</v>
      </c>
      <c r="BG1425" s="0" t="b">
        <v>0</v>
      </c>
      <c r="BH1425" s="0">
        <v>915</v>
      </c>
      <c r="BI1425" s="0">
        <v>915</v>
      </c>
      <c r="BJ1425" s="0" t="s">
        <v>135</v>
      </c>
    </row>
    <row r="1426">
      <c r="A1426" s="0" t="s">
        <v>1640</v>
      </c>
      <c r="B1426" s="0" t="s">
        <v>134</v>
      </c>
      <c r="C1426" s="0" t="s">
        <v>134</v>
      </c>
      <c r="D1426" s="0" t="s">
        <v>135</v>
      </c>
      <c r="E1426" s="0" t="s">
        <v>2</v>
      </c>
      <c r="F1426" s="0" t="s">
        <v>12</v>
      </c>
      <c r="G1426" s="0" t="s">
        <v>8</v>
      </c>
      <c r="H1426" s="0">
        <v>1543</v>
      </c>
      <c r="I1426" s="0">
        <v>256</v>
      </c>
      <c r="J1426" s="0">
        <v>0</v>
      </c>
      <c r="K1426" s="0">
        <v>1</v>
      </c>
      <c r="L1426" s="0">
        <v>2</v>
      </c>
      <c r="M1426" s="0">
        <v>7</v>
      </c>
      <c r="N1426" s="0">
        <v>0</v>
      </c>
      <c r="O1426" s="0">
        <v>0</v>
      </c>
      <c r="P1426" s="0">
        <v>0</v>
      </c>
      <c r="R1426" s="0" t="b">
        <v>0</v>
      </c>
      <c r="S1426" s="0" t="b">
        <v>1</v>
      </c>
      <c r="T1426" s="68">
        <v>44510.4618055556</v>
      </c>
      <c r="U1426" s="68">
        <v>44540.5</v>
      </c>
      <c r="V1426" s="68">
        <v>0</v>
      </c>
      <c r="W1426" s="0">
        <f>IF(IF(B1426="none",1,IF(B1426="Trialer",1,0))+IF(C1426="Customer",1,IF(C1426="Lost",1,0))=2,1,0)</f>
      </c>
      <c r="X1426" s="0" t="s">
        <v>136</v>
      </c>
      <c r="Y1426" s="0" t="s">
        <v>499</v>
      </c>
      <c r="AV1426" s="68"/>
      <c r="AW1426" s="68"/>
      <c r="AY1426" s="27"/>
      <c r="BD1426" s="68">
        <v>46054.1666666667</v>
      </c>
      <c r="BE1426" s="68">
        <v>46082.1666666667</v>
      </c>
      <c r="BF1426" s="0" t="b">
        <v>0</v>
      </c>
      <c r="BG1426" s="0" t="b">
        <v>0</v>
      </c>
      <c r="BH1426" s="0">
        <v>256</v>
      </c>
      <c r="BI1426" s="0">
        <v>256</v>
      </c>
      <c r="BJ1426" s="0" t="s">
        <v>135</v>
      </c>
    </row>
    <row r="1427">
      <c r="A1427" s="0" t="s">
        <v>1641</v>
      </c>
      <c r="B1427" s="0" t="s">
        <v>134</v>
      </c>
      <c r="C1427" s="0" t="s">
        <v>134</v>
      </c>
      <c r="D1427" s="0" t="s">
        <v>135</v>
      </c>
      <c r="E1427" s="0" t="s">
        <v>3</v>
      </c>
      <c r="F1427" s="0" t="s">
        <v>12</v>
      </c>
      <c r="G1427" s="0" t="s">
        <v>8</v>
      </c>
      <c r="H1427" s="0">
        <v>1542</v>
      </c>
      <c r="I1427" s="0">
        <v>0</v>
      </c>
      <c r="J1427" s="0">
        <v>0</v>
      </c>
      <c r="K1427" s="0">
        <v>1</v>
      </c>
      <c r="L1427" s="0">
        <v>5</v>
      </c>
      <c r="M1427" s="0">
        <v>1</v>
      </c>
      <c r="N1427" s="0">
        <v>0</v>
      </c>
      <c r="O1427" s="0">
        <v>0</v>
      </c>
      <c r="P1427" s="0">
        <v>0</v>
      </c>
      <c r="R1427" s="0" t="b">
        <v>0</v>
      </c>
      <c r="S1427" s="0" t="b">
        <v>1</v>
      </c>
      <c r="T1427" s="68">
        <v>44511.6670717593</v>
      </c>
      <c r="U1427" s="68">
        <v>44511.2916666667</v>
      </c>
      <c r="V1427" s="68">
        <v>0</v>
      </c>
      <c r="W1427" s="0">
        <f>IF(IF(B1427="none",1,IF(B1427="Trialer",1,0))+IF(C1427="Customer",1,IF(C1427="Lost",1,0))=2,1,0)</f>
      </c>
      <c r="X1427" s="0" t="s">
        <v>148</v>
      </c>
      <c r="Y1427" s="0" t="s">
        <v>243</v>
      </c>
      <c r="AV1427" s="68"/>
      <c r="AW1427" s="68"/>
      <c r="AY1427" s="27"/>
      <c r="BD1427" s="68">
        <v>46054.1666666667</v>
      </c>
      <c r="BE1427" s="68">
        <v>46082.1666666667</v>
      </c>
      <c r="BF1427" s="0" t="b">
        <v>0</v>
      </c>
      <c r="BG1427" s="0" t="b">
        <v>0</v>
      </c>
      <c r="BH1427" s="0">
        <v>0</v>
      </c>
      <c r="BI1427" s="0">
        <v>0</v>
      </c>
      <c r="BJ1427" s="0" t="s">
        <v>135</v>
      </c>
    </row>
    <row r="1428">
      <c r="A1428" s="0" t="s">
        <v>1642</v>
      </c>
      <c r="B1428" s="0" t="s">
        <v>134</v>
      </c>
      <c r="C1428" s="0" t="s">
        <v>134</v>
      </c>
      <c r="D1428" s="0" t="s">
        <v>135</v>
      </c>
      <c r="E1428" s="0" t="s">
        <v>3</v>
      </c>
      <c r="F1428" s="0" t="s">
        <v>12</v>
      </c>
      <c r="G1428" s="0" t="s">
        <v>8</v>
      </c>
      <c r="H1428" s="0">
        <v>1541</v>
      </c>
      <c r="I1428" s="0">
        <v>897</v>
      </c>
      <c r="J1428" s="0">
        <v>0</v>
      </c>
      <c r="K1428" s="0">
        <v>1</v>
      </c>
      <c r="L1428" s="0">
        <v>3</v>
      </c>
      <c r="M1428" s="0">
        <v>14</v>
      </c>
      <c r="N1428" s="0">
        <v>0</v>
      </c>
      <c r="O1428" s="0">
        <v>0</v>
      </c>
      <c r="P1428" s="0">
        <v>0</v>
      </c>
      <c r="R1428" s="0" t="b">
        <v>0</v>
      </c>
      <c r="S1428" s="0" t="b">
        <v>1</v>
      </c>
      <c r="T1428" s="68">
        <v>44512.7281365741</v>
      </c>
      <c r="U1428" s="68">
        <v>44542.2916666667</v>
      </c>
      <c r="V1428" s="68">
        <v>0</v>
      </c>
      <c r="W1428" s="0">
        <f>IF(IF(B1428="none",1,IF(B1428="Trialer",1,0))+IF(C1428="Customer",1,IF(C1428="Lost",1,0))=2,1,0)</f>
      </c>
      <c r="X1428" s="0" t="s">
        <v>148</v>
      </c>
      <c r="Y1428" s="0" t="s">
        <v>243</v>
      </c>
      <c r="AV1428" s="68"/>
      <c r="AW1428" s="68"/>
      <c r="AY1428" s="27"/>
      <c r="BD1428" s="68">
        <v>46054.1666666667</v>
      </c>
      <c r="BE1428" s="68">
        <v>46082.1666666667</v>
      </c>
      <c r="BF1428" s="0" t="b">
        <v>0</v>
      </c>
      <c r="BG1428" s="0" t="b">
        <v>0</v>
      </c>
      <c r="BH1428" s="0">
        <v>572</v>
      </c>
      <c r="BI1428" s="0">
        <v>572</v>
      </c>
      <c r="BJ1428" s="0" t="s">
        <v>135</v>
      </c>
    </row>
    <row r="1429">
      <c r="A1429" s="0" t="s">
        <v>1643</v>
      </c>
      <c r="B1429" s="0" t="s">
        <v>134</v>
      </c>
      <c r="C1429" s="0" t="s">
        <v>190</v>
      </c>
      <c r="D1429" s="0" t="s">
        <v>230</v>
      </c>
      <c r="E1429" s="0" t="s">
        <v>3</v>
      </c>
      <c r="F1429" s="0" t="s">
        <v>12</v>
      </c>
      <c r="G1429" s="0" t="s">
        <v>8</v>
      </c>
      <c r="H1429" s="0">
        <v>1537</v>
      </c>
      <c r="I1429" s="0">
        <v>44.1</v>
      </c>
      <c r="J1429" s="0">
        <v>-18.03</v>
      </c>
      <c r="K1429" s="0">
        <v>1</v>
      </c>
      <c r="L1429" s="0">
        <v>3</v>
      </c>
      <c r="M1429" s="0">
        <v>1</v>
      </c>
      <c r="N1429" s="0">
        <v>0</v>
      </c>
      <c r="O1429" s="0">
        <v>0</v>
      </c>
      <c r="P1429" s="0">
        <v>-26.07</v>
      </c>
      <c r="R1429" s="0" t="b">
        <v>0</v>
      </c>
      <c r="S1429" s="0" t="b">
        <v>0</v>
      </c>
      <c r="T1429" s="68">
        <v>44516.4430555556</v>
      </c>
      <c r="U1429" s="68">
        <v>44546.5</v>
      </c>
      <c r="V1429" s="68">
        <v>46076.6045138889</v>
      </c>
      <c r="W1429" s="0">
        <f>IF(IF(B1429="none",1,IF(B1429="Trialer",1,0))+IF(C1429="Customer",1,IF(C1429="Lost",1,0))=2,1,0)</f>
      </c>
      <c r="X1429" s="0" t="s">
        <v>166</v>
      </c>
      <c r="Y1429" s="0" t="s">
        <v>243</v>
      </c>
      <c r="AV1429" s="68"/>
      <c r="AW1429" s="68"/>
      <c r="AY1429" s="27"/>
      <c r="BD1429" s="68">
        <v>46054.1666666667</v>
      </c>
      <c r="BE1429" s="68">
        <v>46082.1666666667</v>
      </c>
      <c r="BF1429" s="0" t="b">
        <v>0</v>
      </c>
      <c r="BG1429" s="0" t="b">
        <v>0</v>
      </c>
      <c r="BH1429" s="0">
        <v>49</v>
      </c>
      <c r="BI1429" s="0">
        <v>49</v>
      </c>
      <c r="BJ1429" s="0" t="s">
        <v>230</v>
      </c>
    </row>
    <row r="1430">
      <c r="A1430" s="0" t="s">
        <v>1644</v>
      </c>
      <c r="B1430" s="0" t="s">
        <v>134</v>
      </c>
      <c r="C1430" s="0" t="s">
        <v>134</v>
      </c>
      <c r="D1430" s="0" t="s">
        <v>135</v>
      </c>
      <c r="E1430" s="0" t="s">
        <v>3</v>
      </c>
      <c r="F1430" s="0" t="s">
        <v>10</v>
      </c>
      <c r="G1430" s="0" t="s">
        <v>8</v>
      </c>
      <c r="H1430" s="0">
        <v>1537</v>
      </c>
      <c r="I1430" s="0">
        <v>56</v>
      </c>
      <c r="J1430" s="0">
        <v>0</v>
      </c>
      <c r="K1430" s="0">
        <v>1</v>
      </c>
      <c r="L1430" s="0">
        <v>1</v>
      </c>
      <c r="M1430" s="0">
        <v>2</v>
      </c>
      <c r="N1430" s="0">
        <v>0</v>
      </c>
      <c r="O1430" s="0">
        <v>0</v>
      </c>
      <c r="P1430" s="0">
        <v>0</v>
      </c>
      <c r="Q1430" s="0" t="s">
        <v>618</v>
      </c>
      <c r="R1430" s="0" t="b">
        <v>0</v>
      </c>
      <c r="S1430" s="0" t="b">
        <v>1</v>
      </c>
      <c r="T1430" s="68">
        <v>44516.5062037037</v>
      </c>
      <c r="U1430" s="68">
        <v>44546.2916666667</v>
      </c>
      <c r="V1430" s="68">
        <v>0</v>
      </c>
      <c r="W1430" s="0">
        <f>IF(IF(B1430="none",1,IF(B1430="Trialer",1,0))+IF(C1430="Customer",1,IF(C1430="Lost",1,0))=2,1,0)</f>
      </c>
      <c r="X1430" s="0" t="s">
        <v>148</v>
      </c>
      <c r="Y1430" s="0" t="s">
        <v>243</v>
      </c>
      <c r="AV1430" s="68"/>
      <c r="AW1430" s="68"/>
      <c r="AY1430" s="27"/>
      <c r="BD1430" s="68">
        <v>46054.1666666667</v>
      </c>
      <c r="BE1430" s="68">
        <v>46082.1666666667</v>
      </c>
      <c r="BF1430" s="0" t="b">
        <v>0</v>
      </c>
      <c r="BG1430" s="0" t="b">
        <v>0</v>
      </c>
      <c r="BH1430" s="0">
        <v>56</v>
      </c>
      <c r="BI1430" s="0">
        <v>56</v>
      </c>
      <c r="BJ1430" s="0" t="s">
        <v>135</v>
      </c>
    </row>
    <row r="1431">
      <c r="A1431" s="0" t="s">
        <v>1645</v>
      </c>
      <c r="B1431" s="0" t="s">
        <v>134</v>
      </c>
      <c r="C1431" s="0" t="s">
        <v>134</v>
      </c>
      <c r="D1431" s="0" t="s">
        <v>135</v>
      </c>
      <c r="E1431" s="0" t="s">
        <v>3</v>
      </c>
      <c r="F1431" s="0" t="s">
        <v>12</v>
      </c>
      <c r="G1431" s="0" t="s">
        <v>8</v>
      </c>
      <c r="H1431" s="0">
        <v>1537</v>
      </c>
      <c r="I1431" s="0">
        <v>764</v>
      </c>
      <c r="J1431" s="0">
        <v>0</v>
      </c>
      <c r="K1431" s="0">
        <v>1</v>
      </c>
      <c r="L1431" s="0">
        <v>6</v>
      </c>
      <c r="M1431" s="0">
        <v>7</v>
      </c>
      <c r="N1431" s="0">
        <v>0</v>
      </c>
      <c r="O1431" s="0">
        <v>0</v>
      </c>
      <c r="P1431" s="0">
        <v>0</v>
      </c>
      <c r="R1431" s="0" t="b">
        <v>0</v>
      </c>
      <c r="S1431" s="0" t="b">
        <v>1</v>
      </c>
      <c r="T1431" s="68">
        <v>44516.7697337963</v>
      </c>
      <c r="U1431" s="68">
        <v>44546.2916666667</v>
      </c>
      <c r="V1431" s="68">
        <v>0</v>
      </c>
      <c r="W1431" s="0">
        <f>IF(IF(B1431="none",1,IF(B1431="Trialer",1,0))+IF(C1431="Customer",1,IF(C1431="Lost",1,0))=2,1,0)</f>
      </c>
      <c r="X1431" s="0" t="s">
        <v>145</v>
      </c>
      <c r="Y1431" s="0" t="s">
        <v>243</v>
      </c>
      <c r="AV1431" s="68"/>
      <c r="AW1431" s="68"/>
      <c r="AY1431" s="27"/>
      <c r="BD1431" s="68">
        <v>46054.1666666667</v>
      </c>
      <c r="BE1431" s="68">
        <v>46082.1666666667</v>
      </c>
      <c r="BF1431" s="0" t="b">
        <v>0</v>
      </c>
      <c r="BG1431" s="0" t="b">
        <v>0</v>
      </c>
      <c r="BH1431" s="0">
        <v>439</v>
      </c>
      <c r="BI1431" s="0">
        <v>439</v>
      </c>
      <c r="BJ1431" s="0" t="s">
        <v>135</v>
      </c>
    </row>
    <row r="1432">
      <c r="A1432" s="0" t="s">
        <v>1646</v>
      </c>
      <c r="B1432" s="0" t="s">
        <v>134</v>
      </c>
      <c r="C1432" s="0" t="s">
        <v>134</v>
      </c>
      <c r="D1432" s="0" t="s">
        <v>135</v>
      </c>
      <c r="E1432" s="0" t="s">
        <v>2</v>
      </c>
      <c r="F1432" s="0" t="s">
        <v>12</v>
      </c>
      <c r="G1432" s="0" t="s">
        <v>8</v>
      </c>
      <c r="H1432" s="0">
        <v>1536</v>
      </c>
      <c r="I1432" s="0">
        <v>706</v>
      </c>
      <c r="J1432" s="0">
        <v>0</v>
      </c>
      <c r="K1432" s="0">
        <v>1</v>
      </c>
      <c r="L1432" s="0">
        <v>4</v>
      </c>
      <c r="M1432" s="0">
        <v>19</v>
      </c>
      <c r="N1432" s="0">
        <v>0</v>
      </c>
      <c r="O1432" s="0">
        <v>0</v>
      </c>
      <c r="P1432" s="0">
        <v>0</v>
      </c>
      <c r="R1432" s="0" t="b">
        <v>0</v>
      </c>
      <c r="S1432" s="0" t="b">
        <v>1</v>
      </c>
      <c r="T1432" s="68">
        <v>44517.5236111111</v>
      </c>
      <c r="U1432" s="68">
        <v>44547.2916666667</v>
      </c>
      <c r="V1432" s="68">
        <v>0</v>
      </c>
      <c r="W1432" s="0">
        <f>IF(IF(B1432="none",1,IF(B1432="Trialer",1,0))+IF(C1432="Customer",1,IF(C1432="Lost",1,0))=2,1,0)</f>
      </c>
      <c r="X1432" s="0" t="s">
        <v>136</v>
      </c>
      <c r="Y1432" s="0" t="s">
        <v>499</v>
      </c>
      <c r="AV1432" s="68"/>
      <c r="AW1432" s="68"/>
      <c r="AY1432" s="27"/>
      <c r="BD1432" s="68">
        <v>46054.1666666667</v>
      </c>
      <c r="BE1432" s="68">
        <v>46082.1666666667</v>
      </c>
      <c r="BF1432" s="0" t="b">
        <v>0</v>
      </c>
      <c r="BG1432" s="0" t="b">
        <v>0</v>
      </c>
      <c r="BH1432" s="0">
        <v>706</v>
      </c>
      <c r="BI1432" s="0">
        <v>706</v>
      </c>
      <c r="BJ1432" s="0" t="s">
        <v>135</v>
      </c>
    </row>
    <row r="1433">
      <c r="A1433" s="0" t="s">
        <v>1647</v>
      </c>
      <c r="B1433" s="0" t="s">
        <v>134</v>
      </c>
      <c r="C1433" s="0" t="s">
        <v>134</v>
      </c>
      <c r="D1433" s="0" t="s">
        <v>230</v>
      </c>
      <c r="E1433" s="0" t="s">
        <v>2</v>
      </c>
      <c r="F1433" s="0" t="s">
        <v>12</v>
      </c>
      <c r="G1433" s="0" t="s">
        <v>8</v>
      </c>
      <c r="H1433" s="0">
        <v>1531</v>
      </c>
      <c r="I1433" s="0">
        <v>153.9</v>
      </c>
      <c r="J1433" s="0">
        <v>0</v>
      </c>
      <c r="K1433" s="0">
        <v>1</v>
      </c>
      <c r="L1433" s="0">
        <v>4</v>
      </c>
      <c r="M1433" s="0">
        <v>3</v>
      </c>
      <c r="N1433" s="0">
        <v>0</v>
      </c>
      <c r="O1433" s="0">
        <v>0</v>
      </c>
      <c r="P1433" s="0">
        <v>-153.9</v>
      </c>
      <c r="R1433" s="0" t="b">
        <v>0</v>
      </c>
      <c r="S1433" s="0" t="b">
        <v>1</v>
      </c>
      <c r="T1433" s="68">
        <v>44522.6351736111</v>
      </c>
      <c r="U1433" s="68">
        <v>44573.2916666667</v>
      </c>
      <c r="V1433" s="68">
        <v>0</v>
      </c>
      <c r="W1433" s="0">
        <f>IF(IF(B1433="none",1,IF(B1433="Trialer",1,0))+IF(C1433="Customer",1,IF(C1433="Lost",1,0))=2,1,0)</f>
      </c>
      <c r="X1433" s="0" t="s">
        <v>153</v>
      </c>
      <c r="Y1433" s="0" t="s">
        <v>499</v>
      </c>
      <c r="AV1433" s="68"/>
      <c r="AW1433" s="68"/>
      <c r="AY1433" s="27"/>
      <c r="BD1433" s="68">
        <v>46054.1666666667</v>
      </c>
      <c r="BE1433" s="68">
        <v>46082.1666666667</v>
      </c>
      <c r="BF1433" s="0" t="b">
        <v>0</v>
      </c>
      <c r="BG1433" s="0" t="b">
        <v>0</v>
      </c>
      <c r="BH1433" s="0">
        <v>61</v>
      </c>
      <c r="BI1433" s="0">
        <v>61</v>
      </c>
      <c r="BJ1433" s="0" t="s">
        <v>230</v>
      </c>
    </row>
    <row r="1434">
      <c r="A1434" s="0" t="s">
        <v>1648</v>
      </c>
      <c r="B1434" s="0" t="s">
        <v>134</v>
      </c>
      <c r="C1434" s="0" t="s">
        <v>134</v>
      </c>
      <c r="D1434" s="0" t="s">
        <v>135</v>
      </c>
      <c r="E1434" s="0" t="s">
        <v>2</v>
      </c>
      <c r="F1434" s="0" t="s">
        <v>12</v>
      </c>
      <c r="G1434" s="0" t="s">
        <v>8</v>
      </c>
      <c r="H1434" s="0">
        <v>1531</v>
      </c>
      <c r="I1434" s="0">
        <v>61</v>
      </c>
      <c r="J1434" s="0">
        <v>0</v>
      </c>
      <c r="K1434" s="0">
        <v>1</v>
      </c>
      <c r="L1434" s="0">
        <v>4</v>
      </c>
      <c r="M1434" s="0">
        <v>1</v>
      </c>
      <c r="N1434" s="0">
        <v>0</v>
      </c>
      <c r="O1434" s="0">
        <v>0</v>
      </c>
      <c r="P1434" s="0">
        <v>0</v>
      </c>
      <c r="R1434" s="0" t="b">
        <v>0</v>
      </c>
      <c r="S1434" s="0" t="b">
        <v>1</v>
      </c>
      <c r="T1434" s="68">
        <v>44522.6834375</v>
      </c>
      <c r="U1434" s="68">
        <v>44552.2916666667</v>
      </c>
      <c r="V1434" s="68">
        <v>0</v>
      </c>
      <c r="W1434" s="0">
        <f>IF(IF(B1434="none",1,IF(B1434="Trialer",1,0))+IF(C1434="Customer",1,IF(C1434="Lost",1,0))=2,1,0)</f>
      </c>
      <c r="X1434" s="0" t="s">
        <v>166</v>
      </c>
      <c r="Y1434" s="0" t="s">
        <v>499</v>
      </c>
      <c r="AV1434" s="68"/>
      <c r="AW1434" s="68"/>
      <c r="AY1434" s="27"/>
      <c r="BD1434" s="68">
        <v>46054.1666666667</v>
      </c>
      <c r="BE1434" s="68">
        <v>46082.1666666667</v>
      </c>
      <c r="BF1434" s="0" t="b">
        <v>0</v>
      </c>
      <c r="BG1434" s="0" t="b">
        <v>0</v>
      </c>
      <c r="BH1434" s="0">
        <v>61</v>
      </c>
      <c r="BI1434" s="0">
        <v>61</v>
      </c>
      <c r="BJ1434" s="0" t="s">
        <v>135</v>
      </c>
    </row>
    <row r="1435">
      <c r="A1435" s="0" t="s">
        <v>1649</v>
      </c>
      <c r="B1435" s="0" t="s">
        <v>134</v>
      </c>
      <c r="C1435" s="0" t="s">
        <v>134</v>
      </c>
      <c r="D1435" s="0" t="s">
        <v>135</v>
      </c>
      <c r="E1435" s="0" t="s">
        <v>3</v>
      </c>
      <c r="F1435" s="0" t="s">
        <v>12</v>
      </c>
      <c r="G1435" s="0" t="s">
        <v>8</v>
      </c>
      <c r="H1435" s="0">
        <v>1530</v>
      </c>
      <c r="I1435" s="0">
        <v>98</v>
      </c>
      <c r="J1435" s="0">
        <v>0</v>
      </c>
      <c r="K1435" s="0">
        <v>1</v>
      </c>
      <c r="L1435" s="0">
        <v>3</v>
      </c>
      <c r="M1435" s="0">
        <v>2</v>
      </c>
      <c r="N1435" s="0">
        <v>0</v>
      </c>
      <c r="O1435" s="0">
        <v>0</v>
      </c>
      <c r="P1435" s="0">
        <v>0</v>
      </c>
      <c r="R1435" s="0" t="b">
        <v>0</v>
      </c>
      <c r="S1435" s="0" t="b">
        <v>1</v>
      </c>
      <c r="T1435" s="68">
        <v>44523.4798958333</v>
      </c>
      <c r="U1435" s="68">
        <v>44553.2916666667</v>
      </c>
      <c r="V1435" s="68">
        <v>0</v>
      </c>
      <c r="W1435" s="0">
        <f>IF(IF(B1435="none",1,IF(B1435="Trialer",1,0))+IF(C1435="Customer",1,IF(C1435="Lost",1,0))=2,1,0)</f>
      </c>
      <c r="X1435" s="0" t="s">
        <v>153</v>
      </c>
      <c r="Y1435" s="0" t="s">
        <v>243</v>
      </c>
      <c r="AV1435" s="68"/>
      <c r="AW1435" s="68"/>
      <c r="AY1435" s="27"/>
      <c r="BD1435" s="68">
        <v>46054.1666666667</v>
      </c>
      <c r="BE1435" s="68">
        <v>46082.1666666667</v>
      </c>
      <c r="BF1435" s="0" t="b">
        <v>0</v>
      </c>
      <c r="BG1435" s="0" t="b">
        <v>0</v>
      </c>
      <c r="BH1435" s="0">
        <v>98</v>
      </c>
      <c r="BI1435" s="0">
        <v>98</v>
      </c>
      <c r="BJ1435" s="0" t="s">
        <v>135</v>
      </c>
    </row>
    <row r="1436">
      <c r="A1436" s="0" t="s">
        <v>1650</v>
      </c>
      <c r="B1436" s="0" t="s">
        <v>134</v>
      </c>
      <c r="C1436" s="0" t="s">
        <v>134</v>
      </c>
      <c r="D1436" s="0" t="s">
        <v>230</v>
      </c>
      <c r="E1436" s="0" t="s">
        <v>3</v>
      </c>
      <c r="F1436" s="0" t="s">
        <v>12</v>
      </c>
      <c r="G1436" s="0" t="s">
        <v>8</v>
      </c>
      <c r="H1436" s="0">
        <v>1529</v>
      </c>
      <c r="I1436" s="0">
        <v>219.6</v>
      </c>
      <c r="J1436" s="0">
        <v>0</v>
      </c>
      <c r="K1436" s="0">
        <v>1</v>
      </c>
      <c r="L1436" s="0">
        <v>4</v>
      </c>
      <c r="M1436" s="0">
        <v>4</v>
      </c>
      <c r="N1436" s="0">
        <v>0</v>
      </c>
      <c r="O1436" s="0">
        <v>0</v>
      </c>
      <c r="P1436" s="0">
        <v>-219.6</v>
      </c>
      <c r="R1436" s="0" t="b">
        <v>0</v>
      </c>
      <c r="S1436" s="0" t="b">
        <v>1</v>
      </c>
      <c r="T1436" s="68">
        <v>44524.6442013889</v>
      </c>
      <c r="U1436" s="68">
        <v>44547.2916666667</v>
      </c>
      <c r="V1436" s="68">
        <v>0</v>
      </c>
      <c r="W1436" s="0">
        <f>IF(IF(B1436="none",1,IF(B1436="Trialer",1,0))+IF(C1436="Customer",1,IF(C1436="Lost",1,0))=2,1,0)</f>
      </c>
      <c r="X1436" s="0" t="s">
        <v>136</v>
      </c>
      <c r="Y1436" s="0" t="s">
        <v>243</v>
      </c>
      <c r="AV1436" s="68"/>
      <c r="AW1436" s="68"/>
      <c r="AY1436" s="27"/>
      <c r="BD1436" s="68">
        <v>46054.1666666667</v>
      </c>
      <c r="BE1436" s="68">
        <v>46082.1666666667</v>
      </c>
      <c r="BF1436" s="0" t="b">
        <v>0</v>
      </c>
      <c r="BG1436" s="0" t="b">
        <v>0</v>
      </c>
      <c r="BH1436" s="0">
        <v>244</v>
      </c>
      <c r="BI1436" s="0">
        <v>244</v>
      </c>
      <c r="BJ1436" s="0" t="s">
        <v>230</v>
      </c>
    </row>
    <row r="1437">
      <c r="A1437" s="0" t="s">
        <v>1651</v>
      </c>
      <c r="B1437" s="0" t="s">
        <v>134</v>
      </c>
      <c r="C1437" s="0" t="s">
        <v>134</v>
      </c>
      <c r="D1437" s="0" t="s">
        <v>230</v>
      </c>
      <c r="E1437" s="0" t="s">
        <v>3</v>
      </c>
      <c r="F1437" s="0" t="s">
        <v>12</v>
      </c>
      <c r="G1437" s="0" t="s">
        <v>8</v>
      </c>
      <c r="H1437" s="0">
        <v>1527</v>
      </c>
      <c r="I1437" s="0">
        <v>25.2</v>
      </c>
      <c r="J1437" s="0">
        <v>0</v>
      </c>
      <c r="K1437" s="0">
        <v>1</v>
      </c>
      <c r="L1437" s="0">
        <v>1</v>
      </c>
      <c r="M1437" s="0">
        <v>1</v>
      </c>
      <c r="N1437" s="0">
        <v>0</v>
      </c>
      <c r="O1437" s="0">
        <v>0</v>
      </c>
      <c r="P1437" s="0">
        <v>-25.2</v>
      </c>
      <c r="R1437" s="0" t="b">
        <v>0</v>
      </c>
      <c r="S1437" s="0" t="b">
        <v>1</v>
      </c>
      <c r="T1437" s="68">
        <v>44526.3054282407</v>
      </c>
      <c r="U1437" s="68">
        <v>44556.2916666667</v>
      </c>
      <c r="V1437" s="68">
        <v>0</v>
      </c>
      <c r="W1437" s="0">
        <f>IF(IF(B1437="none",1,IF(B1437="Trialer",1,0))+IF(C1437="Customer",1,IF(C1437="Lost",1,0))=2,1,0)</f>
      </c>
      <c r="X1437" s="0" t="s">
        <v>142</v>
      </c>
      <c r="Y1437" s="0" t="s">
        <v>243</v>
      </c>
      <c r="AV1437" s="68"/>
      <c r="AW1437" s="68"/>
      <c r="AY1437" s="27"/>
      <c r="BD1437" s="68">
        <v>46054.1666666667</v>
      </c>
      <c r="BE1437" s="68">
        <v>46082.1666666667</v>
      </c>
      <c r="BF1437" s="0" t="b">
        <v>0</v>
      </c>
      <c r="BG1437" s="0" t="b">
        <v>0</v>
      </c>
      <c r="BH1437" s="0">
        <v>28</v>
      </c>
      <c r="BI1437" s="0">
        <v>28</v>
      </c>
      <c r="BJ1437" s="0" t="s">
        <v>230</v>
      </c>
    </row>
    <row r="1438">
      <c r="A1438" s="0" t="s">
        <v>1652</v>
      </c>
      <c r="B1438" s="0" t="s">
        <v>134</v>
      </c>
      <c r="C1438" s="0" t="s">
        <v>134</v>
      </c>
      <c r="D1438" s="0" t="s">
        <v>135</v>
      </c>
      <c r="E1438" s="0" t="s">
        <v>2</v>
      </c>
      <c r="F1438" s="0" t="s">
        <v>12</v>
      </c>
      <c r="G1438" s="0" t="s">
        <v>8</v>
      </c>
      <c r="H1438" s="0">
        <v>1527</v>
      </c>
      <c r="I1438" s="0">
        <v>600</v>
      </c>
      <c r="J1438" s="0">
        <v>0</v>
      </c>
      <c r="K1438" s="0">
        <v>1</v>
      </c>
      <c r="L1438" s="0">
        <v>3</v>
      </c>
      <c r="M1438" s="0">
        <v>15</v>
      </c>
      <c r="N1438" s="0">
        <v>0</v>
      </c>
      <c r="O1438" s="0">
        <v>0</v>
      </c>
      <c r="P1438" s="0">
        <v>0</v>
      </c>
      <c r="R1438" s="0" t="b">
        <v>0</v>
      </c>
      <c r="S1438" s="0" t="b">
        <v>1</v>
      </c>
      <c r="T1438" s="68">
        <v>44526.5</v>
      </c>
      <c r="U1438" s="68">
        <v>44526.2916666667</v>
      </c>
      <c r="V1438" s="68">
        <v>0</v>
      </c>
      <c r="W1438" s="0">
        <f>IF(IF(B1438="none",1,IF(B1438="Trialer",1,0))+IF(C1438="Customer",1,IF(C1438="Lost",1,0))=2,1,0)</f>
      </c>
      <c r="X1438" s="0" t="s">
        <v>148</v>
      </c>
      <c r="Y1438" s="0" t="s">
        <v>499</v>
      </c>
      <c r="AV1438" s="68"/>
      <c r="AW1438" s="68"/>
      <c r="AY1438" s="27"/>
      <c r="BD1438" s="68">
        <v>46054.1666666667</v>
      </c>
      <c r="BE1438" s="68">
        <v>46082.1666666667</v>
      </c>
      <c r="BF1438" s="0" t="b">
        <v>0</v>
      </c>
      <c r="BG1438" s="0" t="b">
        <v>0</v>
      </c>
      <c r="BH1438" s="0">
        <v>600</v>
      </c>
      <c r="BI1438" s="0">
        <v>600</v>
      </c>
      <c r="BJ1438" s="0" t="s">
        <v>135</v>
      </c>
    </row>
    <row r="1439">
      <c r="A1439" s="0" t="s">
        <v>1653</v>
      </c>
      <c r="B1439" s="0" t="s">
        <v>134</v>
      </c>
      <c r="C1439" s="0" t="s">
        <v>134</v>
      </c>
      <c r="D1439" s="0" t="s">
        <v>230</v>
      </c>
      <c r="E1439" s="0" t="s">
        <v>3</v>
      </c>
      <c r="F1439" s="0" t="s">
        <v>12</v>
      </c>
      <c r="G1439" s="0" t="s">
        <v>8</v>
      </c>
      <c r="H1439" s="0">
        <v>1524</v>
      </c>
      <c r="I1439" s="0">
        <v>72</v>
      </c>
      <c r="J1439" s="0">
        <v>0</v>
      </c>
      <c r="K1439" s="0">
        <v>1</v>
      </c>
      <c r="L1439" s="0">
        <v>2</v>
      </c>
      <c r="M1439" s="0">
        <v>2</v>
      </c>
      <c r="N1439" s="0">
        <v>0</v>
      </c>
      <c r="O1439" s="0">
        <v>0</v>
      </c>
      <c r="P1439" s="0">
        <v>-72</v>
      </c>
      <c r="R1439" s="0" t="b">
        <v>0</v>
      </c>
      <c r="S1439" s="0" t="b">
        <v>1</v>
      </c>
      <c r="T1439" s="68">
        <v>44529.5633333333</v>
      </c>
      <c r="U1439" s="68">
        <v>44560.2916666667</v>
      </c>
      <c r="V1439" s="68">
        <v>0</v>
      </c>
      <c r="W1439" s="0">
        <f>IF(IF(B1439="none",1,IF(B1439="Trialer",1,0))+IF(C1439="Customer",1,IF(C1439="Lost",1,0))=2,1,0)</f>
      </c>
      <c r="X1439" s="0" t="s">
        <v>153</v>
      </c>
      <c r="Y1439" s="0" t="s">
        <v>243</v>
      </c>
      <c r="AV1439" s="68"/>
      <c r="AW1439" s="68"/>
      <c r="AY1439" s="27"/>
      <c r="BD1439" s="68">
        <v>46054.1666666667</v>
      </c>
      <c r="BE1439" s="68">
        <v>46082.1666666667</v>
      </c>
      <c r="BF1439" s="0" t="b">
        <v>0</v>
      </c>
      <c r="BG1439" s="0" t="b">
        <v>0</v>
      </c>
      <c r="BH1439" s="0">
        <v>80</v>
      </c>
      <c r="BI1439" s="0">
        <v>80</v>
      </c>
      <c r="BJ1439" s="0" t="s">
        <v>230</v>
      </c>
    </row>
    <row r="1440">
      <c r="A1440" s="0" t="s">
        <v>1654</v>
      </c>
      <c r="B1440" s="0" t="s">
        <v>134</v>
      </c>
      <c r="C1440" s="0" t="s">
        <v>134</v>
      </c>
      <c r="D1440" s="0" t="s">
        <v>135</v>
      </c>
      <c r="E1440" s="0" t="s">
        <v>3</v>
      </c>
      <c r="F1440" s="0" t="s">
        <v>12</v>
      </c>
      <c r="G1440" s="0" t="s">
        <v>8</v>
      </c>
      <c r="H1440" s="0">
        <v>1523</v>
      </c>
      <c r="I1440" s="0">
        <v>0</v>
      </c>
      <c r="J1440" s="0">
        <v>0</v>
      </c>
      <c r="K1440" s="0">
        <v>1</v>
      </c>
      <c r="L1440" s="0">
        <v>5</v>
      </c>
      <c r="M1440" s="0">
        <v>1</v>
      </c>
      <c r="N1440" s="0">
        <v>0</v>
      </c>
      <c r="O1440" s="0">
        <v>0</v>
      </c>
      <c r="P1440" s="0">
        <v>0</v>
      </c>
      <c r="R1440" s="0" t="b">
        <v>0</v>
      </c>
      <c r="S1440" s="0" t="b">
        <v>1</v>
      </c>
      <c r="T1440" s="68">
        <v>44530.1458333333</v>
      </c>
      <c r="U1440" s="68">
        <v>44559.2916666667</v>
      </c>
      <c r="V1440" s="68">
        <v>0</v>
      </c>
      <c r="W1440" s="0">
        <f>IF(IF(B1440="none",1,IF(B1440="Trialer",1,0))+IF(C1440="Customer",1,IF(C1440="Lost",1,0))=2,1,0)</f>
      </c>
      <c r="X1440" s="0" t="s">
        <v>145</v>
      </c>
      <c r="Y1440" s="0" t="s">
        <v>243</v>
      </c>
      <c r="AV1440" s="68"/>
      <c r="AW1440" s="68"/>
      <c r="AY1440" s="27"/>
      <c r="BD1440" s="68">
        <v>46054.1666666667</v>
      </c>
      <c r="BE1440" s="68">
        <v>46082.1666666667</v>
      </c>
      <c r="BF1440" s="0" t="b">
        <v>0</v>
      </c>
      <c r="BG1440" s="0" t="b">
        <v>0</v>
      </c>
      <c r="BH1440" s="0">
        <v>0</v>
      </c>
      <c r="BI1440" s="0">
        <v>0</v>
      </c>
      <c r="BJ1440" s="0" t="s">
        <v>135</v>
      </c>
    </row>
    <row r="1441">
      <c r="A1441" s="0" t="s">
        <v>1655</v>
      </c>
      <c r="B1441" s="0" t="s">
        <v>134</v>
      </c>
      <c r="C1441" s="0" t="s">
        <v>134</v>
      </c>
      <c r="D1441" s="0" t="s">
        <v>135</v>
      </c>
      <c r="E1441" s="0" t="s">
        <v>3</v>
      </c>
      <c r="F1441" s="0" t="s">
        <v>12</v>
      </c>
      <c r="G1441" s="0" t="s">
        <v>8</v>
      </c>
      <c r="H1441" s="0">
        <v>1522</v>
      </c>
      <c r="I1441" s="0">
        <v>120</v>
      </c>
      <c r="J1441" s="0">
        <v>0</v>
      </c>
      <c r="K1441" s="0">
        <v>1</v>
      </c>
      <c r="L1441" s="0">
        <v>2</v>
      </c>
      <c r="M1441" s="0">
        <v>3</v>
      </c>
      <c r="N1441" s="0">
        <v>0</v>
      </c>
      <c r="O1441" s="0">
        <v>0</v>
      </c>
      <c r="P1441" s="0">
        <v>0</v>
      </c>
      <c r="R1441" s="0" t="b">
        <v>0</v>
      </c>
      <c r="S1441" s="0" t="b">
        <v>1</v>
      </c>
      <c r="T1441" s="68">
        <v>44531.3901851852</v>
      </c>
      <c r="U1441" s="68">
        <v>44562.2916666667</v>
      </c>
      <c r="V1441" s="68">
        <v>0</v>
      </c>
      <c r="W1441" s="0">
        <f>IF(IF(B1441="none",1,IF(B1441="Trialer",1,0))+IF(C1441="Customer",1,IF(C1441="Lost",1,0))=2,1,0)</f>
      </c>
      <c r="X1441" s="0" t="s">
        <v>153</v>
      </c>
      <c r="Y1441" s="0" t="s">
        <v>243</v>
      </c>
      <c r="AV1441" s="68"/>
      <c r="AW1441" s="68"/>
      <c r="AY1441" s="27"/>
      <c r="BD1441" s="68">
        <v>46054.1666666667</v>
      </c>
      <c r="BE1441" s="68">
        <v>46082.1666666667</v>
      </c>
      <c r="BF1441" s="0" t="b">
        <v>0</v>
      </c>
      <c r="BG1441" s="0" t="b">
        <v>0</v>
      </c>
      <c r="BH1441" s="0">
        <v>120</v>
      </c>
      <c r="BI1441" s="0">
        <v>120</v>
      </c>
      <c r="BJ1441" s="0" t="s">
        <v>135</v>
      </c>
    </row>
    <row r="1442">
      <c r="A1442" s="0" t="s">
        <v>1656</v>
      </c>
      <c r="B1442" s="0" t="s">
        <v>134</v>
      </c>
      <c r="C1442" s="0" t="s">
        <v>134</v>
      </c>
      <c r="D1442" s="0" t="s">
        <v>230</v>
      </c>
      <c r="E1442" s="0" t="s">
        <v>3</v>
      </c>
      <c r="F1442" s="0" t="s">
        <v>12</v>
      </c>
      <c r="G1442" s="0" t="s">
        <v>8</v>
      </c>
      <c r="H1442" s="0">
        <v>1517</v>
      </c>
      <c r="I1442" s="0">
        <v>72</v>
      </c>
      <c r="J1442" s="0">
        <v>0</v>
      </c>
      <c r="K1442" s="0">
        <v>1</v>
      </c>
      <c r="L1442" s="0">
        <v>2</v>
      </c>
      <c r="M1442" s="0">
        <v>2</v>
      </c>
      <c r="N1442" s="0">
        <v>0</v>
      </c>
      <c r="O1442" s="0">
        <v>0</v>
      </c>
      <c r="P1442" s="0">
        <v>-72</v>
      </c>
      <c r="R1442" s="0" t="b">
        <v>0</v>
      </c>
      <c r="S1442" s="0" t="b">
        <v>1</v>
      </c>
      <c r="T1442" s="68">
        <v>44536.4814930556</v>
      </c>
      <c r="U1442" s="68">
        <v>44570.2916666667</v>
      </c>
      <c r="V1442" s="68">
        <v>0</v>
      </c>
      <c r="W1442" s="0">
        <f>IF(IF(B1442="none",1,IF(B1442="Trialer",1,0))+IF(C1442="Customer",1,IF(C1442="Lost",1,0))=2,1,0)</f>
      </c>
      <c r="X1442" s="0" t="s">
        <v>153</v>
      </c>
      <c r="Y1442" s="0" t="s">
        <v>243</v>
      </c>
      <c r="AV1442" s="68"/>
      <c r="AW1442" s="68"/>
      <c r="AY1442" s="27"/>
      <c r="BD1442" s="68">
        <v>46054.1666666667</v>
      </c>
      <c r="BE1442" s="68">
        <v>46082.1666666667</v>
      </c>
      <c r="BF1442" s="0" t="b">
        <v>0</v>
      </c>
      <c r="BG1442" s="0" t="b">
        <v>0</v>
      </c>
      <c r="BH1442" s="0">
        <v>80</v>
      </c>
      <c r="BI1442" s="0">
        <v>80</v>
      </c>
      <c r="BJ1442" s="0" t="s">
        <v>230</v>
      </c>
    </row>
    <row r="1443">
      <c r="A1443" s="0" t="s">
        <v>1657</v>
      </c>
      <c r="B1443" s="0" t="s">
        <v>134</v>
      </c>
      <c r="C1443" s="0" t="s">
        <v>134</v>
      </c>
      <c r="D1443" s="0" t="s">
        <v>135</v>
      </c>
      <c r="E1443" s="0" t="s">
        <v>3</v>
      </c>
      <c r="F1443" s="0" t="s">
        <v>12</v>
      </c>
      <c r="G1443" s="0" t="s">
        <v>8</v>
      </c>
      <c r="H1443" s="0">
        <v>1517</v>
      </c>
      <c r="I1443" s="0">
        <v>235</v>
      </c>
      <c r="J1443" s="0">
        <v>0</v>
      </c>
      <c r="K1443" s="0">
        <v>1</v>
      </c>
      <c r="L1443" s="0">
        <v>4</v>
      </c>
      <c r="M1443" s="0">
        <v>4</v>
      </c>
      <c r="N1443" s="0">
        <v>0</v>
      </c>
      <c r="O1443" s="0">
        <v>0</v>
      </c>
      <c r="P1443" s="0">
        <v>0</v>
      </c>
      <c r="R1443" s="0" t="b">
        <v>0</v>
      </c>
      <c r="S1443" s="0" t="b">
        <v>1</v>
      </c>
      <c r="T1443" s="68">
        <v>44536.4839236111</v>
      </c>
      <c r="U1443" s="68">
        <v>44592.2916666667</v>
      </c>
      <c r="V1443" s="68">
        <v>0</v>
      </c>
      <c r="W1443" s="0">
        <f>IF(IF(B1443="none",1,IF(B1443="Trialer",1,0))+IF(C1443="Customer",1,IF(C1443="Lost",1,0))=2,1,0)</f>
      </c>
      <c r="X1443" s="0" t="s">
        <v>136</v>
      </c>
      <c r="Y1443" s="0" t="s">
        <v>243</v>
      </c>
      <c r="AV1443" s="68"/>
      <c r="AW1443" s="68"/>
      <c r="AY1443" s="27"/>
      <c r="BD1443" s="68">
        <v>46054.1666666667</v>
      </c>
      <c r="BE1443" s="68">
        <v>46082.1666666667</v>
      </c>
      <c r="BF1443" s="0" t="b">
        <v>0</v>
      </c>
      <c r="BG1443" s="0" t="b">
        <v>0</v>
      </c>
      <c r="BH1443" s="0">
        <v>235</v>
      </c>
      <c r="BI1443" s="0">
        <v>235</v>
      </c>
      <c r="BJ1443" s="0" t="s">
        <v>135</v>
      </c>
    </row>
    <row r="1444">
      <c r="A1444" s="0" t="s">
        <v>1658</v>
      </c>
      <c r="B1444" s="0" t="s">
        <v>134</v>
      </c>
      <c r="C1444" s="0" t="s">
        <v>134</v>
      </c>
      <c r="D1444" s="0" t="s">
        <v>135</v>
      </c>
      <c r="E1444" s="0" t="s">
        <v>3</v>
      </c>
      <c r="F1444" s="0" t="s">
        <v>10</v>
      </c>
      <c r="G1444" s="0" t="s">
        <v>8</v>
      </c>
      <c r="H1444" s="0">
        <v>1517</v>
      </c>
      <c r="I1444" s="0">
        <v>28</v>
      </c>
      <c r="J1444" s="0">
        <v>0</v>
      </c>
      <c r="K1444" s="0">
        <v>1</v>
      </c>
      <c r="L1444" s="0">
        <v>1</v>
      </c>
      <c r="M1444" s="0">
        <v>1</v>
      </c>
      <c r="N1444" s="0">
        <v>0</v>
      </c>
      <c r="O1444" s="0">
        <v>0</v>
      </c>
      <c r="P1444" s="0">
        <v>0</v>
      </c>
      <c r="Q1444" s="0" t="s">
        <v>618</v>
      </c>
      <c r="R1444" s="0" t="b">
        <v>0</v>
      </c>
      <c r="S1444" s="0" t="b">
        <v>1</v>
      </c>
      <c r="T1444" s="68">
        <v>44536.4918171296</v>
      </c>
      <c r="U1444" s="68">
        <v>44567.2916666667</v>
      </c>
      <c r="V1444" s="68">
        <v>0</v>
      </c>
      <c r="W1444" s="0">
        <f>IF(IF(B1444="none",1,IF(B1444="Trialer",1,0))+IF(C1444="Customer",1,IF(C1444="Lost",1,0))=2,1,0)</f>
      </c>
      <c r="X1444" s="0" t="s">
        <v>148</v>
      </c>
      <c r="Y1444" s="0" t="s">
        <v>243</v>
      </c>
      <c r="AV1444" s="68"/>
      <c r="AW1444" s="68"/>
      <c r="AY1444" s="27"/>
      <c r="BD1444" s="68">
        <v>46054.1666666667</v>
      </c>
      <c r="BE1444" s="68">
        <v>46082.1666666667</v>
      </c>
      <c r="BF1444" s="0" t="b">
        <v>0</v>
      </c>
      <c r="BG1444" s="0" t="b">
        <v>0</v>
      </c>
      <c r="BH1444" s="0">
        <v>28</v>
      </c>
      <c r="BI1444" s="0">
        <v>28</v>
      </c>
      <c r="BJ1444" s="0" t="s">
        <v>135</v>
      </c>
    </row>
    <row r="1445">
      <c r="A1445" s="0" t="s">
        <v>1659</v>
      </c>
      <c r="B1445" s="0" t="s">
        <v>134</v>
      </c>
      <c r="C1445" s="0" t="s">
        <v>134</v>
      </c>
      <c r="D1445" s="0" t="s">
        <v>135</v>
      </c>
      <c r="E1445" s="0" t="s">
        <v>2</v>
      </c>
      <c r="F1445" s="0" t="s">
        <v>12</v>
      </c>
      <c r="G1445" s="0" t="s">
        <v>8</v>
      </c>
      <c r="H1445" s="0">
        <v>1517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  <c r="R1445" s="0" t="b">
        <v>0</v>
      </c>
      <c r="S1445" s="0" t="b">
        <v>1</v>
      </c>
      <c r="T1445" s="68">
        <v>44536.5</v>
      </c>
      <c r="U1445" s="68">
        <v>44536.2916666667</v>
      </c>
      <c r="V1445" s="68">
        <v>0</v>
      </c>
      <c r="W1445" s="0">
        <f>IF(IF(B1445="none",1,IF(B1445="Trialer",1,0))+IF(C1445="Customer",1,IF(C1445="Lost",1,0))=2,1,0)</f>
      </c>
      <c r="X1445" s="0" t="s">
        <v>145</v>
      </c>
      <c r="Y1445" s="0" t="s">
        <v>499</v>
      </c>
      <c r="AV1445" s="68"/>
      <c r="AW1445" s="68"/>
      <c r="AY1445" s="27"/>
      <c r="BD1445" s="68">
        <v>46054.1666666667</v>
      </c>
      <c r="BE1445" s="68">
        <v>46082.1666666667</v>
      </c>
      <c r="BF1445" s="0" t="b">
        <v>0</v>
      </c>
      <c r="BG1445" s="0" t="b">
        <v>0</v>
      </c>
      <c r="BH1445" s="0">
        <v>0</v>
      </c>
      <c r="BI1445" s="0">
        <v>0</v>
      </c>
      <c r="BJ1445" s="0" t="s">
        <v>135</v>
      </c>
    </row>
    <row r="1446">
      <c r="A1446" s="0" t="s">
        <v>1660</v>
      </c>
      <c r="B1446" s="0" t="s">
        <v>134</v>
      </c>
      <c r="C1446" s="0" t="s">
        <v>134</v>
      </c>
      <c r="D1446" s="0" t="s">
        <v>135</v>
      </c>
      <c r="E1446" s="0" t="s">
        <v>3</v>
      </c>
      <c r="F1446" s="0" t="s">
        <v>10</v>
      </c>
      <c r="G1446" s="0" t="s">
        <v>8</v>
      </c>
      <c r="H1446" s="0">
        <v>1515</v>
      </c>
      <c r="I1446" s="0">
        <v>28</v>
      </c>
      <c r="J1446" s="0">
        <v>0</v>
      </c>
      <c r="K1446" s="0">
        <v>1</v>
      </c>
      <c r="L1446" s="0">
        <v>1</v>
      </c>
      <c r="M1446" s="0">
        <v>1</v>
      </c>
      <c r="N1446" s="0">
        <v>0</v>
      </c>
      <c r="O1446" s="0">
        <v>0</v>
      </c>
      <c r="P1446" s="0">
        <v>0</v>
      </c>
      <c r="Q1446" s="0" t="s">
        <v>618</v>
      </c>
      <c r="R1446" s="0" t="b">
        <v>0</v>
      </c>
      <c r="S1446" s="0" t="b">
        <v>1</v>
      </c>
      <c r="T1446" s="68">
        <v>44538.4223032407</v>
      </c>
      <c r="U1446" s="68">
        <v>44569.2916666667</v>
      </c>
      <c r="V1446" s="68">
        <v>0</v>
      </c>
      <c r="W1446" s="0">
        <f>IF(IF(B1446="none",1,IF(B1446="Trialer",1,0))+IF(C1446="Customer",1,IF(C1446="Lost",1,0))=2,1,0)</f>
      </c>
      <c r="X1446" s="0" t="s">
        <v>148</v>
      </c>
      <c r="Y1446" s="0" t="s">
        <v>243</v>
      </c>
      <c r="AV1446" s="68"/>
      <c r="AW1446" s="68"/>
      <c r="AY1446" s="27"/>
      <c r="BD1446" s="68">
        <v>46054.1666666667</v>
      </c>
      <c r="BE1446" s="68">
        <v>46082.1666666667</v>
      </c>
      <c r="BF1446" s="0" t="b">
        <v>0</v>
      </c>
      <c r="BG1446" s="0" t="b">
        <v>0</v>
      </c>
      <c r="BH1446" s="0">
        <v>28</v>
      </c>
      <c r="BI1446" s="0">
        <v>28</v>
      </c>
      <c r="BJ1446" s="0" t="s">
        <v>135</v>
      </c>
    </row>
    <row r="1447">
      <c r="A1447" s="0" t="s">
        <v>1661</v>
      </c>
      <c r="B1447" s="0" t="s">
        <v>134</v>
      </c>
      <c r="C1447" s="0" t="s">
        <v>134</v>
      </c>
      <c r="D1447" s="0" t="s">
        <v>135</v>
      </c>
      <c r="E1447" s="0" t="s">
        <v>3</v>
      </c>
      <c r="F1447" s="0" t="s">
        <v>12</v>
      </c>
      <c r="G1447" s="0" t="s">
        <v>8</v>
      </c>
      <c r="H1447" s="0">
        <v>1513</v>
      </c>
      <c r="I1447" s="0">
        <v>0</v>
      </c>
      <c r="J1447" s="0">
        <v>0</v>
      </c>
      <c r="K1447" s="0">
        <v>1</v>
      </c>
      <c r="L1447" s="0">
        <v>3</v>
      </c>
      <c r="M1447" s="0">
        <v>2</v>
      </c>
      <c r="N1447" s="0">
        <v>0</v>
      </c>
      <c r="O1447" s="0">
        <v>0</v>
      </c>
      <c r="P1447" s="0">
        <v>0</v>
      </c>
      <c r="R1447" s="0" t="b">
        <v>0</v>
      </c>
      <c r="S1447" s="0" t="b">
        <v>1</v>
      </c>
      <c r="T1447" s="68">
        <v>44540.7237962963</v>
      </c>
      <c r="U1447" s="68">
        <v>44581.2916666667</v>
      </c>
      <c r="V1447" s="68">
        <v>0</v>
      </c>
      <c r="W1447" s="0">
        <f>IF(IF(B1447="none",1,IF(B1447="Trialer",1,0))+IF(C1447="Customer",1,IF(C1447="Lost",1,0))=2,1,0)</f>
      </c>
      <c r="X1447" s="0" t="s">
        <v>136</v>
      </c>
      <c r="Y1447" s="0" t="s">
        <v>243</v>
      </c>
      <c r="AV1447" s="68"/>
      <c r="AW1447" s="68"/>
      <c r="AY1447" s="27"/>
      <c r="BD1447" s="68">
        <v>46054.1666666667</v>
      </c>
      <c r="BE1447" s="68">
        <v>46082.1666666667</v>
      </c>
      <c r="BF1447" s="0" t="b">
        <v>0</v>
      </c>
      <c r="BG1447" s="0" t="b">
        <v>0</v>
      </c>
      <c r="BH1447" s="0">
        <v>0</v>
      </c>
      <c r="BI1447" s="0">
        <v>0</v>
      </c>
      <c r="BJ1447" s="0" t="s">
        <v>135</v>
      </c>
    </row>
    <row r="1448">
      <c r="A1448" s="0" t="s">
        <v>1662</v>
      </c>
      <c r="B1448" s="0" t="s">
        <v>134</v>
      </c>
      <c r="C1448" s="0" t="s">
        <v>134</v>
      </c>
      <c r="D1448" s="0" t="s">
        <v>230</v>
      </c>
      <c r="E1448" s="0" t="s">
        <v>3</v>
      </c>
      <c r="F1448" s="0" t="s">
        <v>12</v>
      </c>
      <c r="G1448" s="0" t="s">
        <v>8</v>
      </c>
      <c r="H1448" s="0">
        <v>1513</v>
      </c>
      <c r="I1448" s="0">
        <v>69.3</v>
      </c>
      <c r="J1448" s="0">
        <v>0</v>
      </c>
      <c r="K1448" s="0">
        <v>1</v>
      </c>
      <c r="L1448" s="0">
        <v>3</v>
      </c>
      <c r="M1448" s="0">
        <v>2</v>
      </c>
      <c r="N1448" s="0">
        <v>0</v>
      </c>
      <c r="O1448" s="0">
        <v>0</v>
      </c>
      <c r="P1448" s="0">
        <v>-69.3</v>
      </c>
      <c r="R1448" s="0" t="b">
        <v>0</v>
      </c>
      <c r="S1448" s="0" t="b">
        <v>1</v>
      </c>
      <c r="T1448" s="68">
        <v>44540.7680902778</v>
      </c>
      <c r="U1448" s="68">
        <v>44571.2916666667</v>
      </c>
      <c r="V1448" s="68">
        <v>0</v>
      </c>
      <c r="W1448" s="0">
        <f>IF(IF(B1448="none",1,IF(B1448="Trialer",1,0))+IF(C1448="Customer",1,IF(C1448="Lost",1,0))=2,1,0)</f>
      </c>
      <c r="X1448" s="0" t="s">
        <v>142</v>
      </c>
      <c r="Y1448" s="0" t="s">
        <v>243</v>
      </c>
      <c r="AV1448" s="68"/>
      <c r="AW1448" s="68"/>
      <c r="AY1448" s="27"/>
      <c r="BD1448" s="68">
        <v>46054.1666666667</v>
      </c>
      <c r="BE1448" s="68">
        <v>46082.1666666667</v>
      </c>
      <c r="BF1448" s="0" t="b">
        <v>0</v>
      </c>
      <c r="BG1448" s="0" t="b">
        <v>0</v>
      </c>
      <c r="BH1448" s="0">
        <v>77</v>
      </c>
      <c r="BI1448" s="0">
        <v>77</v>
      </c>
      <c r="BJ1448" s="0" t="s">
        <v>230</v>
      </c>
    </row>
    <row r="1449">
      <c r="A1449" s="0" t="s">
        <v>1663</v>
      </c>
      <c r="B1449" s="0" t="s">
        <v>134</v>
      </c>
      <c r="C1449" s="0" t="s">
        <v>134</v>
      </c>
      <c r="D1449" s="0" t="s">
        <v>135</v>
      </c>
      <c r="E1449" s="0" t="s">
        <v>3</v>
      </c>
      <c r="F1449" s="0" t="s">
        <v>12</v>
      </c>
      <c r="G1449" s="0" t="s">
        <v>8</v>
      </c>
      <c r="H1449" s="0">
        <v>1507</v>
      </c>
      <c r="I1449" s="0">
        <v>89</v>
      </c>
      <c r="J1449" s="0">
        <v>0</v>
      </c>
      <c r="K1449" s="0">
        <v>1</v>
      </c>
      <c r="L1449" s="0">
        <v>3</v>
      </c>
      <c r="M1449" s="0">
        <v>2</v>
      </c>
      <c r="N1449" s="0">
        <v>0</v>
      </c>
      <c r="O1449" s="0">
        <v>0</v>
      </c>
      <c r="P1449" s="0">
        <v>0</v>
      </c>
      <c r="R1449" s="0" t="b">
        <v>0</v>
      </c>
      <c r="S1449" s="0" t="b">
        <v>1</v>
      </c>
      <c r="T1449" s="68">
        <v>44546.4611111111</v>
      </c>
      <c r="U1449" s="68">
        <v>44577.2916666667</v>
      </c>
      <c r="V1449" s="68">
        <v>0</v>
      </c>
      <c r="W1449" s="0">
        <f>IF(IF(B1449="none",1,IF(B1449="Trialer",1,0))+IF(C1449="Customer",1,IF(C1449="Lost",1,0))=2,1,0)</f>
      </c>
      <c r="X1449" s="0" t="s">
        <v>142</v>
      </c>
      <c r="Y1449" s="0" t="s">
        <v>243</v>
      </c>
      <c r="AV1449" s="68"/>
      <c r="AW1449" s="68"/>
      <c r="AY1449" s="27"/>
      <c r="BD1449" s="68">
        <v>46054.1666666667</v>
      </c>
      <c r="BE1449" s="68">
        <v>46082.1666666667</v>
      </c>
      <c r="BF1449" s="0" t="b">
        <v>0</v>
      </c>
      <c r="BG1449" s="0" t="b">
        <v>0</v>
      </c>
      <c r="BH1449" s="0">
        <v>89</v>
      </c>
      <c r="BI1449" s="0">
        <v>89</v>
      </c>
      <c r="BJ1449" s="0" t="s">
        <v>135</v>
      </c>
    </row>
    <row r="1450">
      <c r="A1450" s="0" t="s">
        <v>1664</v>
      </c>
      <c r="B1450" s="0" t="s">
        <v>134</v>
      </c>
      <c r="C1450" s="0" t="s">
        <v>134</v>
      </c>
      <c r="D1450" s="0" t="s">
        <v>230</v>
      </c>
      <c r="E1450" s="0" t="s">
        <v>3</v>
      </c>
      <c r="F1450" s="0" t="s">
        <v>12</v>
      </c>
      <c r="G1450" s="0" t="s">
        <v>8</v>
      </c>
      <c r="H1450" s="0">
        <v>1507</v>
      </c>
      <c r="I1450" s="0">
        <v>50</v>
      </c>
      <c r="J1450" s="0">
        <v>0</v>
      </c>
      <c r="K1450" s="0">
        <v>1</v>
      </c>
      <c r="L1450" s="0">
        <v>1</v>
      </c>
      <c r="M1450" s="0">
        <v>2</v>
      </c>
      <c r="N1450" s="0">
        <v>0</v>
      </c>
      <c r="O1450" s="0">
        <v>0</v>
      </c>
      <c r="P1450" s="0">
        <v>-50</v>
      </c>
      <c r="R1450" s="0" t="b">
        <v>0</v>
      </c>
      <c r="S1450" s="0" t="b">
        <v>1</v>
      </c>
      <c r="T1450" s="68">
        <v>44546.5</v>
      </c>
      <c r="U1450" s="68">
        <v>44546.2916666667</v>
      </c>
      <c r="V1450" s="68">
        <v>0</v>
      </c>
      <c r="W1450" s="0">
        <f>IF(IF(B1450="none",1,IF(B1450="Trialer",1,0))+IF(C1450="Customer",1,IF(C1450="Lost",1,0))=2,1,0)</f>
      </c>
      <c r="X1450" s="0" t="s">
        <v>148</v>
      </c>
      <c r="Y1450" s="0" t="s">
        <v>219</v>
      </c>
      <c r="AV1450" s="68"/>
      <c r="AW1450" s="68"/>
      <c r="AY1450" s="27"/>
      <c r="BD1450" s="68">
        <v>46054.1666666667</v>
      </c>
      <c r="BE1450" s="68">
        <v>46082.1666666667</v>
      </c>
      <c r="BF1450" s="0" t="b">
        <v>0</v>
      </c>
      <c r="BG1450" s="0" t="b">
        <v>0</v>
      </c>
      <c r="BH1450" s="0">
        <v>56</v>
      </c>
      <c r="BI1450" s="0">
        <v>56</v>
      </c>
      <c r="BJ1450" s="0" t="s">
        <v>230</v>
      </c>
    </row>
    <row r="1451">
      <c r="A1451" s="0" t="s">
        <v>1665</v>
      </c>
      <c r="B1451" s="0" t="s">
        <v>134</v>
      </c>
      <c r="C1451" s="0" t="s">
        <v>134</v>
      </c>
      <c r="D1451" s="0" t="s">
        <v>135</v>
      </c>
      <c r="E1451" s="0" t="s">
        <v>3</v>
      </c>
      <c r="F1451" s="0" t="s">
        <v>12</v>
      </c>
      <c r="G1451" s="0" t="s">
        <v>8</v>
      </c>
      <c r="H1451" s="0">
        <v>1503</v>
      </c>
      <c r="I1451" s="0">
        <v>0</v>
      </c>
      <c r="J1451" s="0">
        <v>0</v>
      </c>
      <c r="K1451" s="0">
        <v>1</v>
      </c>
      <c r="L1451" s="0">
        <v>5</v>
      </c>
      <c r="M1451" s="0">
        <v>1</v>
      </c>
      <c r="N1451" s="0">
        <v>0</v>
      </c>
      <c r="O1451" s="0">
        <v>0</v>
      </c>
      <c r="P1451" s="0">
        <v>0</v>
      </c>
      <c r="R1451" s="0" t="b">
        <v>0</v>
      </c>
      <c r="S1451" s="0" t="b">
        <v>1</v>
      </c>
      <c r="T1451" s="68">
        <v>44550.0848263889</v>
      </c>
      <c r="U1451" s="68">
        <v>44581.2916666667</v>
      </c>
      <c r="V1451" s="68">
        <v>0</v>
      </c>
      <c r="W1451" s="0">
        <f>IF(IF(B1451="none",1,IF(B1451="Trialer",1,0))+IF(C1451="Customer",1,IF(C1451="Lost",1,0))=2,1,0)</f>
      </c>
      <c r="X1451" s="0" t="s">
        <v>136</v>
      </c>
      <c r="Y1451" s="0" t="s">
        <v>243</v>
      </c>
      <c r="AV1451" s="68"/>
      <c r="AW1451" s="68"/>
      <c r="AY1451" s="27"/>
      <c r="BD1451" s="68">
        <v>46054.1666666667</v>
      </c>
      <c r="BE1451" s="68">
        <v>46082.1666666667</v>
      </c>
      <c r="BF1451" s="0" t="b">
        <v>0</v>
      </c>
      <c r="BG1451" s="0" t="b">
        <v>0</v>
      </c>
      <c r="BH1451" s="0">
        <v>0</v>
      </c>
      <c r="BI1451" s="0">
        <v>0</v>
      </c>
      <c r="BJ1451" s="0" t="s">
        <v>135</v>
      </c>
    </row>
    <row r="1452">
      <c r="A1452" s="0" t="s">
        <v>1666</v>
      </c>
      <c r="B1452" s="0" t="s">
        <v>134</v>
      </c>
      <c r="C1452" s="0" t="s">
        <v>134</v>
      </c>
      <c r="D1452" s="0" t="s">
        <v>135</v>
      </c>
      <c r="E1452" s="0" t="s">
        <v>3</v>
      </c>
      <c r="F1452" s="0" t="s">
        <v>12</v>
      </c>
      <c r="G1452" s="0" t="s">
        <v>8</v>
      </c>
      <c r="H1452" s="0">
        <v>1502</v>
      </c>
      <c r="I1452" s="0">
        <v>0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  <c r="P1452" s="0">
        <v>0</v>
      </c>
      <c r="R1452" s="0" t="b">
        <v>0</v>
      </c>
      <c r="S1452" s="0" t="b">
        <v>1</v>
      </c>
      <c r="T1452" s="68">
        <v>44551.5</v>
      </c>
      <c r="U1452" s="68">
        <v>44551.5</v>
      </c>
      <c r="V1452" s="68">
        <v>0</v>
      </c>
      <c r="W1452" s="0">
        <f>IF(IF(B1452="none",1,IF(B1452="Trialer",1,0))+IF(C1452="Customer",1,IF(C1452="Lost",1,0))=2,1,0)</f>
      </c>
      <c r="X1452" s="0" t="s">
        <v>145</v>
      </c>
      <c r="Y1452" s="0" t="s">
        <v>243</v>
      </c>
      <c r="AV1452" s="68"/>
      <c r="AW1452" s="68"/>
      <c r="AY1452" s="27"/>
      <c r="BD1452" s="68">
        <v>46054.1666666667</v>
      </c>
      <c r="BE1452" s="68">
        <v>46082.1666666667</v>
      </c>
      <c r="BF1452" s="0" t="b">
        <v>0</v>
      </c>
      <c r="BG1452" s="0" t="b">
        <v>0</v>
      </c>
      <c r="BH1452" s="0">
        <v>0</v>
      </c>
      <c r="BI1452" s="0">
        <v>0</v>
      </c>
      <c r="BJ1452" s="0" t="s">
        <v>135</v>
      </c>
    </row>
    <row r="1453">
      <c r="A1453" s="0" t="s">
        <v>1667</v>
      </c>
      <c r="B1453" s="0" t="s">
        <v>134</v>
      </c>
      <c r="C1453" s="0" t="s">
        <v>134</v>
      </c>
      <c r="D1453" s="0" t="s">
        <v>135</v>
      </c>
      <c r="E1453" s="0" t="s">
        <v>3</v>
      </c>
      <c r="F1453" s="0" t="s">
        <v>12</v>
      </c>
      <c r="G1453" s="0" t="s">
        <v>8</v>
      </c>
      <c r="H1453" s="0">
        <v>1495</v>
      </c>
      <c r="I1453" s="0">
        <v>0</v>
      </c>
      <c r="J1453" s="0">
        <v>0</v>
      </c>
      <c r="K1453" s="0">
        <v>1</v>
      </c>
      <c r="L1453" s="0">
        <v>4</v>
      </c>
      <c r="M1453" s="0">
        <v>1</v>
      </c>
      <c r="N1453" s="0">
        <v>0</v>
      </c>
      <c r="O1453" s="0">
        <v>0</v>
      </c>
      <c r="P1453" s="0">
        <v>0</v>
      </c>
      <c r="R1453" s="0" t="b">
        <v>0</v>
      </c>
      <c r="S1453" s="0" t="b">
        <v>1</v>
      </c>
      <c r="T1453" s="68">
        <v>44558.596412037</v>
      </c>
      <c r="U1453" s="68">
        <v>44582.2916666667</v>
      </c>
      <c r="V1453" s="68">
        <v>0</v>
      </c>
      <c r="W1453" s="0">
        <f>IF(IF(B1453="none",1,IF(B1453="Trialer",1,0))+IF(C1453="Customer",1,IF(C1453="Lost",1,0))=2,1,0)</f>
      </c>
      <c r="X1453" s="0" t="s">
        <v>148</v>
      </c>
      <c r="Y1453" s="0" t="s">
        <v>243</v>
      </c>
      <c r="AV1453" s="68"/>
      <c r="AW1453" s="68"/>
      <c r="AY1453" s="27"/>
      <c r="BD1453" s="68">
        <v>46054.1666666667</v>
      </c>
      <c r="BE1453" s="68">
        <v>46082.1666666667</v>
      </c>
      <c r="BF1453" s="0" t="b">
        <v>0</v>
      </c>
      <c r="BG1453" s="0" t="b">
        <v>0</v>
      </c>
      <c r="BH1453" s="0">
        <v>0</v>
      </c>
      <c r="BI1453" s="0">
        <v>0</v>
      </c>
      <c r="BJ1453" s="0" t="s">
        <v>135</v>
      </c>
    </row>
    <row r="1454">
      <c r="A1454" s="0" t="s">
        <v>1668</v>
      </c>
      <c r="B1454" s="0" t="s">
        <v>134</v>
      </c>
      <c r="C1454" s="0" t="s">
        <v>134</v>
      </c>
      <c r="D1454" s="0" t="s">
        <v>135</v>
      </c>
      <c r="E1454" s="0" t="s">
        <v>3</v>
      </c>
      <c r="F1454" s="0" t="s">
        <v>12</v>
      </c>
      <c r="G1454" s="0" t="s">
        <v>8</v>
      </c>
      <c r="H1454" s="0">
        <v>1494</v>
      </c>
      <c r="I1454" s="0">
        <v>200</v>
      </c>
      <c r="J1454" s="0">
        <v>0</v>
      </c>
      <c r="K1454" s="0">
        <v>1</v>
      </c>
      <c r="L1454" s="0">
        <v>2</v>
      </c>
      <c r="M1454" s="0">
        <v>5</v>
      </c>
      <c r="N1454" s="0">
        <v>0</v>
      </c>
      <c r="O1454" s="0">
        <v>0</v>
      </c>
      <c r="P1454" s="0">
        <v>0</v>
      </c>
      <c r="R1454" s="0" t="b">
        <v>0</v>
      </c>
      <c r="S1454" s="0" t="b">
        <v>1</v>
      </c>
      <c r="T1454" s="68">
        <v>44559.3437847222</v>
      </c>
      <c r="U1454" s="68">
        <v>44590.2916666667</v>
      </c>
      <c r="V1454" s="68">
        <v>0</v>
      </c>
      <c r="W1454" s="0">
        <f>IF(IF(B1454="none",1,IF(B1454="Trialer",1,0))+IF(C1454="Customer",1,IF(C1454="Lost",1,0))=2,1,0)</f>
      </c>
      <c r="X1454" s="0" t="s">
        <v>145</v>
      </c>
      <c r="Y1454" s="0" t="s">
        <v>243</v>
      </c>
      <c r="AV1454" s="68"/>
      <c r="AW1454" s="68"/>
      <c r="AY1454" s="27"/>
      <c r="BD1454" s="68">
        <v>46054.1666666667</v>
      </c>
      <c r="BE1454" s="68">
        <v>46082.1666666667</v>
      </c>
      <c r="BF1454" s="0" t="b">
        <v>0</v>
      </c>
      <c r="BG1454" s="0" t="b">
        <v>0</v>
      </c>
      <c r="BH1454" s="0">
        <v>200</v>
      </c>
      <c r="BI1454" s="0">
        <v>200</v>
      </c>
      <c r="BJ1454" s="0" t="s">
        <v>135</v>
      </c>
    </row>
    <row r="1455">
      <c r="A1455" s="0" t="s">
        <v>1669</v>
      </c>
      <c r="B1455" s="0" t="s">
        <v>134</v>
      </c>
      <c r="C1455" s="0" t="s">
        <v>134</v>
      </c>
      <c r="D1455" s="0" t="s">
        <v>135</v>
      </c>
      <c r="E1455" s="0" t="s">
        <v>2</v>
      </c>
      <c r="F1455" s="0" t="s">
        <v>12</v>
      </c>
      <c r="G1455" s="0" t="s">
        <v>8</v>
      </c>
      <c r="H1455" s="0">
        <v>1494</v>
      </c>
      <c r="I1455" s="0">
        <v>1314</v>
      </c>
      <c r="J1455" s="0">
        <v>0</v>
      </c>
      <c r="K1455" s="0">
        <v>1</v>
      </c>
      <c r="L1455" s="0">
        <v>5</v>
      </c>
      <c r="M1455" s="0">
        <v>27</v>
      </c>
      <c r="N1455" s="0">
        <v>0</v>
      </c>
      <c r="O1455" s="0">
        <v>0</v>
      </c>
      <c r="P1455" s="0">
        <v>0</v>
      </c>
      <c r="R1455" s="0" t="b">
        <v>0</v>
      </c>
      <c r="S1455" s="0" t="b">
        <v>1</v>
      </c>
      <c r="T1455" s="68">
        <v>44559.9043865741</v>
      </c>
      <c r="U1455" s="68">
        <v>44590.2916666667</v>
      </c>
      <c r="V1455" s="68">
        <v>0</v>
      </c>
      <c r="W1455" s="0">
        <f>IF(IF(B1455="none",1,IF(B1455="Trialer",1,0))+IF(C1455="Customer",1,IF(C1455="Lost",1,0))=2,1,0)</f>
      </c>
      <c r="X1455" s="0" t="s">
        <v>136</v>
      </c>
      <c r="Y1455" s="0" t="s">
        <v>499</v>
      </c>
      <c r="AV1455" s="68"/>
      <c r="AW1455" s="68"/>
      <c r="AY1455" s="27"/>
      <c r="BD1455" s="68">
        <v>46054.1666666667</v>
      </c>
      <c r="BE1455" s="68">
        <v>46082.1666666667</v>
      </c>
      <c r="BF1455" s="0" t="b">
        <v>0</v>
      </c>
      <c r="BG1455" s="0" t="b">
        <v>0</v>
      </c>
      <c r="BH1455" s="0">
        <v>1314</v>
      </c>
      <c r="BI1455" s="0">
        <v>1314</v>
      </c>
      <c r="BJ1455" s="0" t="s">
        <v>135</v>
      </c>
    </row>
    <row r="1456">
      <c r="A1456" s="0" t="s">
        <v>1670</v>
      </c>
      <c r="B1456" s="0" t="s">
        <v>134</v>
      </c>
      <c r="C1456" s="0" t="s">
        <v>134</v>
      </c>
      <c r="D1456" s="0" t="s">
        <v>135</v>
      </c>
      <c r="E1456" s="0" t="s">
        <v>3</v>
      </c>
      <c r="F1456" s="0" t="s">
        <v>12</v>
      </c>
      <c r="G1456" s="0" t="s">
        <v>8</v>
      </c>
      <c r="H1456" s="0">
        <v>1493</v>
      </c>
      <c r="I1456" s="0">
        <v>322</v>
      </c>
      <c r="J1456" s="0">
        <v>0</v>
      </c>
      <c r="K1456" s="0">
        <v>1</v>
      </c>
      <c r="L1456" s="0">
        <v>3</v>
      </c>
      <c r="M1456" s="0">
        <v>7</v>
      </c>
      <c r="N1456" s="0">
        <v>0</v>
      </c>
      <c r="O1456" s="0">
        <v>0</v>
      </c>
      <c r="P1456" s="0">
        <v>0</v>
      </c>
      <c r="R1456" s="0" t="b">
        <v>0</v>
      </c>
      <c r="S1456" s="0" t="b">
        <v>1</v>
      </c>
      <c r="T1456" s="68">
        <v>44560.718125</v>
      </c>
      <c r="U1456" s="68">
        <v>44591.2916666667</v>
      </c>
      <c r="V1456" s="68">
        <v>0</v>
      </c>
      <c r="W1456" s="0">
        <f>IF(IF(B1456="none",1,IF(B1456="Trialer",1,0))+IF(C1456="Customer",1,IF(C1456="Lost",1,0))=2,1,0)</f>
      </c>
      <c r="X1456" s="0" t="s">
        <v>136</v>
      </c>
      <c r="Y1456" s="0" t="s">
        <v>243</v>
      </c>
      <c r="AV1456" s="68"/>
      <c r="AW1456" s="68"/>
      <c r="AY1456" s="27"/>
      <c r="BD1456" s="68">
        <v>46054.1666666667</v>
      </c>
      <c r="BE1456" s="68">
        <v>46082.1666666667</v>
      </c>
      <c r="BF1456" s="0" t="b">
        <v>0</v>
      </c>
      <c r="BG1456" s="0" t="b">
        <v>0</v>
      </c>
      <c r="BH1456" s="0">
        <v>322</v>
      </c>
      <c r="BI1456" s="0">
        <v>322</v>
      </c>
      <c r="BJ1456" s="0" t="s">
        <v>135</v>
      </c>
    </row>
    <row r="1457">
      <c r="A1457" s="0" t="s">
        <v>1671</v>
      </c>
      <c r="B1457" s="0" t="s">
        <v>134</v>
      </c>
      <c r="C1457" s="0" t="s">
        <v>134</v>
      </c>
      <c r="D1457" s="0" t="s">
        <v>230</v>
      </c>
      <c r="E1457" s="0" t="s">
        <v>3</v>
      </c>
      <c r="F1457" s="0" t="s">
        <v>10</v>
      </c>
      <c r="G1457" s="0" t="s">
        <v>8</v>
      </c>
      <c r="H1457" s="0">
        <v>1492</v>
      </c>
      <c r="I1457" s="0">
        <v>204</v>
      </c>
      <c r="J1457" s="0">
        <v>0</v>
      </c>
      <c r="K1457" s="0">
        <v>1</v>
      </c>
      <c r="L1457" s="0">
        <v>3</v>
      </c>
      <c r="M1457" s="0">
        <v>5</v>
      </c>
      <c r="N1457" s="0">
        <v>0</v>
      </c>
      <c r="O1457" s="0">
        <v>0</v>
      </c>
      <c r="P1457" s="0">
        <v>-204</v>
      </c>
      <c r="Q1457" s="0" t="s">
        <v>294</v>
      </c>
      <c r="R1457" s="0" t="b">
        <v>0</v>
      </c>
      <c r="S1457" s="0" t="b">
        <v>1</v>
      </c>
      <c r="T1457" s="68">
        <v>44561.6054976852</v>
      </c>
      <c r="U1457" s="68">
        <v>44595.2916666667</v>
      </c>
      <c r="V1457" s="68">
        <v>0</v>
      </c>
      <c r="W1457" s="0">
        <f>IF(IF(B1457="none",1,IF(B1457="Trialer",1,0))+IF(C1457="Customer",1,IF(C1457="Lost",1,0))=2,1,0)</f>
      </c>
      <c r="X1457" s="0" t="s">
        <v>148</v>
      </c>
      <c r="Y1457" s="0" t="s">
        <v>243</v>
      </c>
      <c r="AV1457" s="68"/>
      <c r="AW1457" s="68"/>
      <c r="AY1457" s="27"/>
      <c r="BD1457" s="68">
        <v>46054.1666666667</v>
      </c>
      <c r="BE1457" s="68">
        <v>46082.1666666667</v>
      </c>
      <c r="BF1457" s="0" t="b">
        <v>0</v>
      </c>
      <c r="BG1457" s="0" t="b">
        <v>0</v>
      </c>
      <c r="BH1457" s="0">
        <v>227</v>
      </c>
      <c r="BI1457" s="0">
        <v>227</v>
      </c>
      <c r="BJ1457" s="0" t="s">
        <v>230</v>
      </c>
    </row>
    <row r="1458">
      <c r="A1458" s="0" t="s">
        <v>1672</v>
      </c>
      <c r="B1458" s="0" t="s">
        <v>134</v>
      </c>
      <c r="C1458" s="0" t="s">
        <v>134</v>
      </c>
      <c r="D1458" s="0" t="s">
        <v>135</v>
      </c>
      <c r="E1458" s="0" t="s">
        <v>3</v>
      </c>
      <c r="F1458" s="0" t="s">
        <v>12</v>
      </c>
      <c r="G1458" s="0" t="s">
        <v>8</v>
      </c>
      <c r="H1458" s="0">
        <v>1489</v>
      </c>
      <c r="I1458" s="0">
        <v>148</v>
      </c>
      <c r="J1458" s="0">
        <v>0</v>
      </c>
      <c r="K1458" s="0">
        <v>1</v>
      </c>
      <c r="L1458" s="0">
        <v>2</v>
      </c>
      <c r="M1458" s="0">
        <v>4</v>
      </c>
      <c r="N1458" s="0">
        <v>0</v>
      </c>
      <c r="O1458" s="0">
        <v>0</v>
      </c>
      <c r="P1458" s="0">
        <v>0</v>
      </c>
      <c r="R1458" s="0" t="b">
        <v>0</v>
      </c>
      <c r="S1458" s="0" t="b">
        <v>1</v>
      </c>
      <c r="T1458" s="68">
        <v>44564.4196296296</v>
      </c>
      <c r="U1458" s="68">
        <v>44595.2916666667</v>
      </c>
      <c r="V1458" s="68">
        <v>0</v>
      </c>
      <c r="W1458" s="0">
        <f>IF(IF(B1458="none",1,IF(B1458="Trialer",1,0))+IF(C1458="Customer",1,IF(C1458="Lost",1,0))=2,1,0)</f>
      </c>
      <c r="X1458" s="0" t="s">
        <v>148</v>
      </c>
      <c r="Y1458" s="0" t="s">
        <v>243</v>
      </c>
      <c r="AV1458" s="68"/>
      <c r="AW1458" s="68"/>
      <c r="AY1458" s="27"/>
      <c r="BD1458" s="68">
        <v>46054.1666666667</v>
      </c>
      <c r="BE1458" s="68">
        <v>46082.1666666667</v>
      </c>
      <c r="BF1458" s="0" t="b">
        <v>0</v>
      </c>
      <c r="BG1458" s="0" t="b">
        <v>0</v>
      </c>
      <c r="BH1458" s="0">
        <v>148</v>
      </c>
      <c r="BI1458" s="0">
        <v>148</v>
      </c>
      <c r="BJ1458" s="0" t="s">
        <v>135</v>
      </c>
    </row>
    <row r="1459">
      <c r="A1459" s="0" t="s">
        <v>1673</v>
      </c>
      <c r="B1459" s="0" t="s">
        <v>134</v>
      </c>
      <c r="C1459" s="0" t="s">
        <v>134</v>
      </c>
      <c r="D1459" s="0" t="s">
        <v>230</v>
      </c>
      <c r="E1459" s="0" t="s">
        <v>3</v>
      </c>
      <c r="F1459" s="0" t="s">
        <v>12</v>
      </c>
      <c r="G1459" s="0" t="s">
        <v>8</v>
      </c>
      <c r="H1459" s="0">
        <v>1489</v>
      </c>
      <c r="I1459" s="0">
        <v>25</v>
      </c>
      <c r="J1459" s="0">
        <v>0</v>
      </c>
      <c r="K1459" s="0">
        <v>1</v>
      </c>
      <c r="L1459" s="0">
        <v>1</v>
      </c>
      <c r="M1459" s="0">
        <v>1</v>
      </c>
      <c r="N1459" s="0">
        <v>0</v>
      </c>
      <c r="O1459" s="0">
        <v>0</v>
      </c>
      <c r="P1459" s="0">
        <v>-25</v>
      </c>
      <c r="R1459" s="0" t="b">
        <v>0</v>
      </c>
      <c r="S1459" s="0" t="b">
        <v>1</v>
      </c>
      <c r="T1459" s="68">
        <v>44564.4715625</v>
      </c>
      <c r="U1459" s="68">
        <v>44608.2916666667</v>
      </c>
      <c r="V1459" s="68">
        <v>0</v>
      </c>
      <c r="W1459" s="0">
        <f>IF(IF(B1459="none",1,IF(B1459="Trialer",1,0))+IF(C1459="Customer",1,IF(C1459="Lost",1,0))=2,1,0)</f>
      </c>
      <c r="X1459" s="0" t="s">
        <v>153</v>
      </c>
      <c r="Y1459" s="0" t="s">
        <v>487</v>
      </c>
      <c r="AV1459" s="68"/>
      <c r="AW1459" s="68"/>
      <c r="AY1459" s="27"/>
      <c r="BD1459" s="68">
        <v>46054.1666666667</v>
      </c>
      <c r="BE1459" s="68">
        <v>46082.1666666667</v>
      </c>
      <c r="BF1459" s="0" t="b">
        <v>0</v>
      </c>
      <c r="BG1459" s="0" t="b">
        <v>0</v>
      </c>
      <c r="BH1459" s="0">
        <v>28</v>
      </c>
      <c r="BI1459" s="0">
        <v>28</v>
      </c>
      <c r="BJ1459" s="0" t="s">
        <v>230</v>
      </c>
    </row>
    <row r="1460">
      <c r="A1460" s="0" t="s">
        <v>1674</v>
      </c>
      <c r="B1460" s="0" t="s">
        <v>134</v>
      </c>
      <c r="C1460" s="0" t="s">
        <v>134</v>
      </c>
      <c r="D1460" s="0" t="s">
        <v>230</v>
      </c>
      <c r="E1460" s="0" t="s">
        <v>2</v>
      </c>
      <c r="F1460" s="0" t="s">
        <v>12</v>
      </c>
      <c r="G1460" s="0" t="s">
        <v>8</v>
      </c>
      <c r="H1460" s="0">
        <v>1489</v>
      </c>
      <c r="I1460" s="0">
        <v>264</v>
      </c>
      <c r="J1460" s="0">
        <v>0</v>
      </c>
      <c r="K1460" s="0">
        <v>1</v>
      </c>
      <c r="L1460" s="0">
        <v>3</v>
      </c>
      <c r="M1460" s="0">
        <v>6</v>
      </c>
      <c r="N1460" s="0">
        <v>0</v>
      </c>
      <c r="O1460" s="0">
        <v>0</v>
      </c>
      <c r="P1460" s="0">
        <v>2904</v>
      </c>
      <c r="R1460" s="0" t="b">
        <v>0</v>
      </c>
      <c r="S1460" s="0" t="b">
        <v>1</v>
      </c>
      <c r="T1460" s="68">
        <v>44564.4819444444</v>
      </c>
      <c r="U1460" s="68">
        <v>44596.5</v>
      </c>
      <c r="V1460" s="68">
        <v>0</v>
      </c>
      <c r="W1460" s="0">
        <f>IF(IF(B1460="none",1,IF(B1460="Trialer",1,0))+IF(C1460="Customer",1,IF(C1460="Lost",1,0))=2,1,0)</f>
      </c>
      <c r="X1460" s="0" t="s">
        <v>136</v>
      </c>
      <c r="Y1460" s="0" t="s">
        <v>499</v>
      </c>
      <c r="AV1460" s="68"/>
      <c r="AW1460" s="68"/>
      <c r="AY1460" s="27"/>
      <c r="BD1460" s="68">
        <v>46054.1666666667</v>
      </c>
      <c r="BE1460" s="68">
        <v>46082.1666666667</v>
      </c>
      <c r="BF1460" s="0" t="b">
        <v>0</v>
      </c>
      <c r="BG1460" s="0" t="b">
        <v>0</v>
      </c>
      <c r="BH1460" s="0">
        <v>294</v>
      </c>
      <c r="BI1460" s="0">
        <v>294</v>
      </c>
      <c r="BJ1460" s="0" t="s">
        <v>230</v>
      </c>
    </row>
    <row r="1461">
      <c r="A1461" s="0" t="s">
        <v>1675</v>
      </c>
      <c r="B1461" s="0" t="s">
        <v>134</v>
      </c>
      <c r="C1461" s="0" t="s">
        <v>134</v>
      </c>
      <c r="D1461" s="0" t="s">
        <v>135</v>
      </c>
      <c r="E1461" s="0" t="s">
        <v>2</v>
      </c>
      <c r="F1461" s="0" t="s">
        <v>10</v>
      </c>
      <c r="G1461" s="0" t="s">
        <v>8</v>
      </c>
      <c r="H1461" s="0">
        <v>1487</v>
      </c>
      <c r="I1461" s="0">
        <v>56</v>
      </c>
      <c r="J1461" s="0">
        <v>0</v>
      </c>
      <c r="K1461" s="0">
        <v>1</v>
      </c>
      <c r="L1461" s="0">
        <v>1</v>
      </c>
      <c r="M1461" s="0">
        <v>2</v>
      </c>
      <c r="N1461" s="0">
        <v>0</v>
      </c>
      <c r="O1461" s="0">
        <v>0</v>
      </c>
      <c r="P1461" s="0">
        <v>0</v>
      </c>
      <c r="Q1461" s="0" t="s">
        <v>498</v>
      </c>
      <c r="R1461" s="0" t="b">
        <v>0</v>
      </c>
      <c r="S1461" s="0" t="b">
        <v>1</v>
      </c>
      <c r="T1461" s="68">
        <v>44566.4062037037</v>
      </c>
      <c r="U1461" s="68">
        <v>44602.2916666667</v>
      </c>
      <c r="V1461" s="68">
        <v>0</v>
      </c>
      <c r="W1461" s="0">
        <f>IF(IF(B1461="none",1,IF(B1461="Trialer",1,0))+IF(C1461="Customer",1,IF(C1461="Lost",1,0))=2,1,0)</f>
      </c>
      <c r="X1461" s="0" t="s">
        <v>136</v>
      </c>
      <c r="Y1461" s="0" t="s">
        <v>499</v>
      </c>
      <c r="AV1461" s="68"/>
      <c r="AW1461" s="68"/>
      <c r="AY1461" s="27"/>
      <c r="BD1461" s="68">
        <v>46054.1666666667</v>
      </c>
      <c r="BE1461" s="68">
        <v>46082.1666666667</v>
      </c>
      <c r="BF1461" s="0" t="b">
        <v>0</v>
      </c>
      <c r="BG1461" s="0" t="b">
        <v>0</v>
      </c>
      <c r="BH1461" s="0">
        <v>56</v>
      </c>
      <c r="BI1461" s="0">
        <v>56</v>
      </c>
      <c r="BJ1461" s="0" t="s">
        <v>135</v>
      </c>
    </row>
    <row r="1462">
      <c r="A1462" s="0" t="s">
        <v>1676</v>
      </c>
      <c r="B1462" s="0" t="s">
        <v>134</v>
      </c>
      <c r="C1462" s="0" t="s">
        <v>134</v>
      </c>
      <c r="D1462" s="0" t="s">
        <v>135</v>
      </c>
      <c r="E1462" s="0" t="s">
        <v>3</v>
      </c>
      <c r="F1462" s="0" t="s">
        <v>12</v>
      </c>
      <c r="G1462" s="0" t="s">
        <v>8</v>
      </c>
      <c r="H1462" s="0">
        <v>1487</v>
      </c>
      <c r="I1462" s="0">
        <v>428</v>
      </c>
      <c r="J1462" s="0">
        <v>0</v>
      </c>
      <c r="K1462" s="0">
        <v>1</v>
      </c>
      <c r="L1462" s="0">
        <v>4</v>
      </c>
      <c r="M1462" s="0">
        <v>8</v>
      </c>
      <c r="N1462" s="0">
        <v>0</v>
      </c>
      <c r="O1462" s="0">
        <v>0</v>
      </c>
      <c r="P1462" s="0">
        <v>0</v>
      </c>
      <c r="R1462" s="0" t="b">
        <v>0</v>
      </c>
      <c r="S1462" s="0" t="b">
        <v>1</v>
      </c>
      <c r="T1462" s="68">
        <v>44566.5</v>
      </c>
      <c r="U1462" s="68">
        <v>44566.2916666667</v>
      </c>
      <c r="V1462" s="68">
        <v>0</v>
      </c>
      <c r="W1462" s="0">
        <f>IF(IF(B1462="none",1,IF(B1462="Trialer",1,0))+IF(C1462="Customer",1,IF(C1462="Lost",1,0))=2,1,0)</f>
      </c>
      <c r="X1462" s="0" t="s">
        <v>148</v>
      </c>
      <c r="Y1462" s="0" t="s">
        <v>243</v>
      </c>
      <c r="AV1462" s="68"/>
      <c r="AW1462" s="68"/>
      <c r="AY1462" s="27"/>
      <c r="BD1462" s="68">
        <v>46054.1666666667</v>
      </c>
      <c r="BE1462" s="68">
        <v>46082.1666666667</v>
      </c>
      <c r="BF1462" s="0" t="b">
        <v>0</v>
      </c>
      <c r="BG1462" s="0" t="b">
        <v>0</v>
      </c>
      <c r="BH1462" s="0">
        <v>428</v>
      </c>
      <c r="BI1462" s="0">
        <v>428</v>
      </c>
      <c r="BJ1462" s="0" t="s">
        <v>135</v>
      </c>
    </row>
    <row r="1463">
      <c r="A1463" s="0" t="s">
        <v>1677</v>
      </c>
      <c r="B1463" s="0" t="s">
        <v>134</v>
      </c>
      <c r="C1463" s="0" t="s">
        <v>134</v>
      </c>
      <c r="D1463" s="0" t="s">
        <v>230</v>
      </c>
      <c r="E1463" s="0" t="s">
        <v>2</v>
      </c>
      <c r="F1463" s="0" t="s">
        <v>12</v>
      </c>
      <c r="G1463" s="0" t="s">
        <v>8</v>
      </c>
      <c r="H1463" s="0">
        <v>1487</v>
      </c>
      <c r="I1463" s="0">
        <v>72</v>
      </c>
      <c r="J1463" s="0">
        <v>0</v>
      </c>
      <c r="K1463" s="0">
        <v>1</v>
      </c>
      <c r="L1463" s="0">
        <v>2</v>
      </c>
      <c r="M1463" s="0">
        <v>2</v>
      </c>
      <c r="N1463" s="0">
        <v>0</v>
      </c>
      <c r="O1463" s="0">
        <v>0</v>
      </c>
      <c r="P1463" s="0">
        <v>-72</v>
      </c>
      <c r="R1463" s="0" t="b">
        <v>0</v>
      </c>
      <c r="S1463" s="0" t="b">
        <v>1</v>
      </c>
      <c r="T1463" s="68">
        <v>44566.5835300926</v>
      </c>
      <c r="U1463" s="68">
        <v>44621.2916666667</v>
      </c>
      <c r="V1463" s="68">
        <v>0</v>
      </c>
      <c r="W1463" s="0">
        <f>IF(IF(B1463="none",1,IF(B1463="Trialer",1,0))+IF(C1463="Customer",1,IF(C1463="Lost",1,0))=2,1,0)</f>
      </c>
      <c r="X1463" s="0" t="s">
        <v>153</v>
      </c>
      <c r="Y1463" s="0" t="s">
        <v>499</v>
      </c>
      <c r="AV1463" s="68"/>
      <c r="AW1463" s="68"/>
      <c r="AY1463" s="27"/>
      <c r="BD1463" s="68">
        <v>46054.1666666667</v>
      </c>
      <c r="BE1463" s="68">
        <v>46082.1666666667</v>
      </c>
      <c r="BF1463" s="0" t="b">
        <v>0</v>
      </c>
      <c r="BG1463" s="0" t="b">
        <v>0</v>
      </c>
      <c r="BH1463" s="0">
        <v>80</v>
      </c>
      <c r="BI1463" s="0">
        <v>80</v>
      </c>
      <c r="BJ1463" s="0" t="s">
        <v>230</v>
      </c>
    </row>
    <row r="1464">
      <c r="A1464" s="0" t="s">
        <v>1678</v>
      </c>
      <c r="B1464" s="0" t="s">
        <v>134</v>
      </c>
      <c r="C1464" s="0" t="s">
        <v>134</v>
      </c>
      <c r="D1464" s="0" t="s">
        <v>135</v>
      </c>
      <c r="E1464" s="0" t="s">
        <v>3</v>
      </c>
      <c r="F1464" s="0" t="s">
        <v>12</v>
      </c>
      <c r="G1464" s="0" t="s">
        <v>8</v>
      </c>
      <c r="H1464" s="0">
        <v>1486</v>
      </c>
      <c r="I1464" s="0">
        <v>0</v>
      </c>
      <c r="J1464" s="0">
        <v>0</v>
      </c>
      <c r="K1464" s="0">
        <v>1</v>
      </c>
      <c r="L1464" s="0">
        <v>5</v>
      </c>
      <c r="M1464" s="0">
        <v>1</v>
      </c>
      <c r="N1464" s="0">
        <v>0</v>
      </c>
      <c r="O1464" s="0">
        <v>0</v>
      </c>
      <c r="P1464" s="0">
        <v>0</v>
      </c>
      <c r="R1464" s="0" t="b">
        <v>0</v>
      </c>
      <c r="S1464" s="0" t="b">
        <v>1</v>
      </c>
      <c r="T1464" s="68">
        <v>44567.5806481481</v>
      </c>
      <c r="U1464" s="68">
        <v>44567.2916666667</v>
      </c>
      <c r="V1464" s="68">
        <v>0</v>
      </c>
      <c r="W1464" s="0">
        <f>IF(IF(B1464="none",1,IF(B1464="Trialer",1,0))+IF(C1464="Customer",1,IF(C1464="Lost",1,0))=2,1,0)</f>
      </c>
      <c r="X1464" s="0" t="s">
        <v>148</v>
      </c>
      <c r="Y1464" s="0" t="s">
        <v>243</v>
      </c>
      <c r="AV1464" s="68"/>
      <c r="AW1464" s="68"/>
      <c r="AY1464" s="27"/>
      <c r="BD1464" s="68">
        <v>46054.1666666667</v>
      </c>
      <c r="BE1464" s="68">
        <v>46082.1666666667</v>
      </c>
      <c r="BF1464" s="0" t="b">
        <v>0</v>
      </c>
      <c r="BG1464" s="0" t="b">
        <v>0</v>
      </c>
      <c r="BH1464" s="0">
        <v>0</v>
      </c>
      <c r="BI1464" s="0">
        <v>0</v>
      </c>
      <c r="BJ1464" s="0" t="s">
        <v>135</v>
      </c>
    </row>
    <row r="1465">
      <c r="A1465" s="0" t="s">
        <v>1679</v>
      </c>
      <c r="B1465" s="0" t="s">
        <v>134</v>
      </c>
      <c r="C1465" s="0" t="s">
        <v>134</v>
      </c>
      <c r="D1465" s="0" t="s">
        <v>230</v>
      </c>
      <c r="E1465" s="0" t="s">
        <v>3</v>
      </c>
      <c r="F1465" s="0" t="s">
        <v>12</v>
      </c>
      <c r="G1465" s="0" t="s">
        <v>8</v>
      </c>
      <c r="H1465" s="0">
        <v>1485</v>
      </c>
      <c r="I1465" s="0">
        <v>44</v>
      </c>
      <c r="J1465" s="0">
        <v>0</v>
      </c>
      <c r="K1465" s="0">
        <v>1</v>
      </c>
      <c r="L1465" s="0">
        <v>3</v>
      </c>
      <c r="M1465" s="0">
        <v>1</v>
      </c>
      <c r="N1465" s="0">
        <v>0</v>
      </c>
      <c r="O1465" s="0">
        <v>0</v>
      </c>
      <c r="P1465" s="0">
        <v>484</v>
      </c>
      <c r="R1465" s="0" t="b">
        <v>0</v>
      </c>
      <c r="S1465" s="0" t="b">
        <v>1</v>
      </c>
      <c r="T1465" s="68">
        <v>44568.4834837963</v>
      </c>
      <c r="U1465" s="68">
        <v>44635.3333333333</v>
      </c>
      <c r="V1465" s="68">
        <v>0</v>
      </c>
      <c r="W1465" s="0">
        <f>IF(IF(B1465="none",1,IF(B1465="Trialer",1,0))+IF(C1465="Customer",1,IF(C1465="Lost",1,0))=2,1,0)</f>
      </c>
      <c r="X1465" s="0" t="s">
        <v>142</v>
      </c>
      <c r="Y1465" s="0" t="s">
        <v>243</v>
      </c>
      <c r="AV1465" s="68"/>
      <c r="AW1465" s="68"/>
      <c r="AY1465" s="27"/>
      <c r="BD1465" s="68">
        <v>46054.1666666667</v>
      </c>
      <c r="BE1465" s="68">
        <v>46082.1666666667</v>
      </c>
      <c r="BF1465" s="0" t="b">
        <v>0</v>
      </c>
      <c r="BG1465" s="0" t="b">
        <v>0</v>
      </c>
      <c r="BH1465" s="0">
        <v>49</v>
      </c>
      <c r="BI1465" s="0">
        <v>49</v>
      </c>
      <c r="BJ1465" s="0" t="s">
        <v>230</v>
      </c>
    </row>
    <row r="1466">
      <c r="A1466" s="0" t="s">
        <v>1680</v>
      </c>
      <c r="B1466" s="0" t="s">
        <v>134</v>
      </c>
      <c r="C1466" s="0" t="s">
        <v>134</v>
      </c>
      <c r="D1466" s="0" t="s">
        <v>135</v>
      </c>
      <c r="E1466" s="0" t="s">
        <v>2</v>
      </c>
      <c r="F1466" s="0" t="s">
        <v>12</v>
      </c>
      <c r="G1466" s="0" t="s">
        <v>8</v>
      </c>
      <c r="H1466" s="0">
        <v>1485</v>
      </c>
      <c r="I1466" s="0">
        <v>49</v>
      </c>
      <c r="J1466" s="0">
        <v>0</v>
      </c>
      <c r="K1466" s="0">
        <v>1</v>
      </c>
      <c r="L1466" s="0">
        <v>3</v>
      </c>
      <c r="M1466" s="0">
        <v>1</v>
      </c>
      <c r="N1466" s="0">
        <v>0</v>
      </c>
      <c r="O1466" s="0">
        <v>0</v>
      </c>
      <c r="P1466" s="0">
        <v>0</v>
      </c>
      <c r="R1466" s="0" t="b">
        <v>0</v>
      </c>
      <c r="S1466" s="0" t="b">
        <v>1</v>
      </c>
      <c r="T1466" s="68">
        <v>44568.5</v>
      </c>
      <c r="U1466" s="68">
        <v>44599.2916666667</v>
      </c>
      <c r="V1466" s="68">
        <v>0</v>
      </c>
      <c r="W1466" s="0">
        <f>IF(IF(B1466="none",1,IF(B1466="Trialer",1,0))+IF(C1466="Customer",1,IF(C1466="Lost",1,0))=2,1,0)</f>
      </c>
      <c r="X1466" s="0" t="s">
        <v>153</v>
      </c>
      <c r="Y1466" s="0" t="s">
        <v>499</v>
      </c>
      <c r="AV1466" s="68"/>
      <c r="AW1466" s="68"/>
      <c r="AY1466" s="27"/>
      <c r="BD1466" s="68">
        <v>46054.1666666667</v>
      </c>
      <c r="BE1466" s="68">
        <v>46082.1666666667</v>
      </c>
      <c r="BF1466" s="0" t="b">
        <v>0</v>
      </c>
      <c r="BG1466" s="0" t="b">
        <v>0</v>
      </c>
      <c r="BH1466" s="0">
        <v>49</v>
      </c>
      <c r="BI1466" s="0">
        <v>49</v>
      </c>
      <c r="BJ1466" s="0" t="s">
        <v>135</v>
      </c>
    </row>
    <row r="1467">
      <c r="A1467" s="0" t="s">
        <v>1681</v>
      </c>
      <c r="B1467" s="0" t="s">
        <v>134</v>
      </c>
      <c r="C1467" s="0" t="s">
        <v>134</v>
      </c>
      <c r="D1467" s="0" t="s">
        <v>230</v>
      </c>
      <c r="E1467" s="0" t="s">
        <v>3</v>
      </c>
      <c r="F1467" s="0" t="s">
        <v>12</v>
      </c>
      <c r="G1467" s="0" t="s">
        <v>8</v>
      </c>
      <c r="H1467" s="0">
        <v>1485</v>
      </c>
      <c r="I1467" s="0">
        <v>224</v>
      </c>
      <c r="J1467" s="0">
        <v>0</v>
      </c>
      <c r="K1467" s="0">
        <v>1</v>
      </c>
      <c r="L1467" s="0">
        <v>3</v>
      </c>
      <c r="M1467" s="0">
        <v>6</v>
      </c>
      <c r="N1467" s="0">
        <v>0</v>
      </c>
      <c r="O1467" s="0">
        <v>0</v>
      </c>
      <c r="P1467" s="0">
        <v>-224</v>
      </c>
      <c r="R1467" s="0" t="b">
        <v>0</v>
      </c>
      <c r="S1467" s="0" t="b">
        <v>1</v>
      </c>
      <c r="T1467" s="68">
        <v>44568.5288425926</v>
      </c>
      <c r="U1467" s="68">
        <v>44599.2916666667</v>
      </c>
      <c r="V1467" s="68">
        <v>0</v>
      </c>
      <c r="W1467" s="0">
        <f>IF(IF(B1467="none",1,IF(B1467="Trialer",1,0))+IF(C1467="Customer",1,IF(C1467="Lost",1,0))=2,1,0)</f>
      </c>
      <c r="X1467" s="0" t="s">
        <v>148</v>
      </c>
      <c r="Y1467" s="0" t="s">
        <v>243</v>
      </c>
      <c r="AV1467" s="68"/>
      <c r="AW1467" s="68"/>
      <c r="AY1467" s="27"/>
      <c r="BD1467" s="68">
        <v>46054.1666666667</v>
      </c>
      <c r="BE1467" s="68">
        <v>46082.1666666667</v>
      </c>
      <c r="BF1467" s="0" t="b">
        <v>0</v>
      </c>
      <c r="BG1467" s="0" t="b">
        <v>0</v>
      </c>
      <c r="BH1467" s="0">
        <v>249</v>
      </c>
      <c r="BI1467" s="0">
        <v>249</v>
      </c>
      <c r="BJ1467" s="0" t="s">
        <v>230</v>
      </c>
    </row>
    <row r="1468">
      <c r="A1468" s="0" t="s">
        <v>1682</v>
      </c>
      <c r="B1468" s="0" t="s">
        <v>134</v>
      </c>
      <c r="C1468" s="0" t="s">
        <v>134</v>
      </c>
      <c r="D1468" s="0" t="s">
        <v>135</v>
      </c>
      <c r="E1468" s="0" t="s">
        <v>3</v>
      </c>
      <c r="F1468" s="0" t="s">
        <v>12</v>
      </c>
      <c r="G1468" s="0" t="s">
        <v>8</v>
      </c>
      <c r="H1468" s="0">
        <v>1485</v>
      </c>
      <c r="I1468" s="0">
        <v>0</v>
      </c>
      <c r="J1468" s="0">
        <v>0</v>
      </c>
      <c r="K1468" s="0">
        <v>1</v>
      </c>
      <c r="L1468" s="0">
        <v>3</v>
      </c>
      <c r="M1468" s="0">
        <v>1</v>
      </c>
      <c r="N1468" s="0">
        <v>0</v>
      </c>
      <c r="O1468" s="0">
        <v>0</v>
      </c>
      <c r="P1468" s="0">
        <v>0</v>
      </c>
      <c r="R1468" s="0" t="b">
        <v>0</v>
      </c>
      <c r="S1468" s="0" t="b">
        <v>1</v>
      </c>
      <c r="T1468" s="68">
        <v>44568.6055902778</v>
      </c>
      <c r="U1468" s="68">
        <v>44599.2916666667</v>
      </c>
      <c r="V1468" s="68">
        <v>0</v>
      </c>
      <c r="W1468" s="0">
        <f>IF(IF(B1468="none",1,IF(B1468="Trialer",1,0))+IF(C1468="Customer",1,IF(C1468="Lost",1,0))=2,1,0)</f>
      </c>
      <c r="X1468" s="0" t="s">
        <v>145</v>
      </c>
      <c r="Y1468" s="0" t="s">
        <v>243</v>
      </c>
      <c r="AV1468" s="68"/>
      <c r="AW1468" s="68"/>
      <c r="AY1468" s="27"/>
      <c r="BD1468" s="68">
        <v>46054.1666666667</v>
      </c>
      <c r="BE1468" s="68">
        <v>46082.1666666667</v>
      </c>
      <c r="BF1468" s="0" t="b">
        <v>0</v>
      </c>
      <c r="BG1468" s="0" t="b">
        <v>0</v>
      </c>
      <c r="BH1468" s="0">
        <v>0</v>
      </c>
      <c r="BI1468" s="0">
        <v>0</v>
      </c>
      <c r="BJ1468" s="0" t="s">
        <v>230</v>
      </c>
    </row>
    <row r="1469">
      <c r="A1469" s="0" t="s">
        <v>1683</v>
      </c>
      <c r="B1469" s="0" t="s">
        <v>134</v>
      </c>
      <c r="C1469" s="0" t="s">
        <v>134</v>
      </c>
      <c r="D1469" s="0" t="s">
        <v>230</v>
      </c>
      <c r="E1469" s="0" t="s">
        <v>3</v>
      </c>
      <c r="F1469" s="0" t="s">
        <v>12</v>
      </c>
      <c r="G1469" s="0" t="s">
        <v>8</v>
      </c>
      <c r="H1469" s="0">
        <v>1485</v>
      </c>
      <c r="I1469" s="0">
        <v>86</v>
      </c>
      <c r="J1469" s="0">
        <v>0</v>
      </c>
      <c r="K1469" s="0">
        <v>1</v>
      </c>
      <c r="L1469" s="0">
        <v>2</v>
      </c>
      <c r="M1469" s="0">
        <v>3</v>
      </c>
      <c r="N1469" s="0">
        <v>0</v>
      </c>
      <c r="O1469" s="0">
        <v>0</v>
      </c>
      <c r="P1469" s="0">
        <v>-86</v>
      </c>
      <c r="R1469" s="0" t="b">
        <v>0</v>
      </c>
      <c r="S1469" s="0" t="b">
        <v>1</v>
      </c>
      <c r="T1469" s="68">
        <v>44568.6803587963</v>
      </c>
      <c r="U1469" s="68">
        <v>44599.2916666667</v>
      </c>
      <c r="V1469" s="68">
        <v>0</v>
      </c>
      <c r="W1469" s="0">
        <f>IF(IF(B1469="none",1,IF(B1469="Trialer",1,0))+IF(C1469="Customer",1,IF(C1469="Lost",1,0))=2,1,0)</f>
      </c>
      <c r="X1469" s="0" t="s">
        <v>153</v>
      </c>
      <c r="Y1469" s="0" t="s">
        <v>243</v>
      </c>
      <c r="AV1469" s="68"/>
      <c r="AW1469" s="68"/>
      <c r="AY1469" s="27"/>
      <c r="BD1469" s="68">
        <v>46054.1666666667</v>
      </c>
      <c r="BE1469" s="68">
        <v>46082.1666666667</v>
      </c>
      <c r="BF1469" s="0" t="b">
        <v>0</v>
      </c>
      <c r="BG1469" s="0" t="b">
        <v>0</v>
      </c>
      <c r="BH1469" s="0">
        <v>96</v>
      </c>
      <c r="BI1469" s="0">
        <v>96</v>
      </c>
      <c r="BJ1469" s="0" t="s">
        <v>230</v>
      </c>
    </row>
    <row r="1470">
      <c r="A1470" s="0" t="s">
        <v>1684</v>
      </c>
      <c r="B1470" s="0" t="s">
        <v>134</v>
      </c>
      <c r="C1470" s="0" t="s">
        <v>134</v>
      </c>
      <c r="D1470" s="0" t="s">
        <v>135</v>
      </c>
      <c r="E1470" s="0" t="s">
        <v>3</v>
      </c>
      <c r="F1470" s="0" t="s">
        <v>12</v>
      </c>
      <c r="G1470" s="0" t="s">
        <v>8</v>
      </c>
      <c r="H1470" s="0">
        <v>1481</v>
      </c>
      <c r="I1470" s="0">
        <v>80</v>
      </c>
      <c r="J1470" s="0">
        <v>0</v>
      </c>
      <c r="K1470" s="0">
        <v>1</v>
      </c>
      <c r="L1470" s="0">
        <v>2</v>
      </c>
      <c r="M1470" s="0">
        <v>2</v>
      </c>
      <c r="N1470" s="0">
        <v>0</v>
      </c>
      <c r="O1470" s="0">
        <v>0</v>
      </c>
      <c r="P1470" s="0">
        <v>0</v>
      </c>
      <c r="R1470" s="0" t="b">
        <v>0</v>
      </c>
      <c r="S1470" s="0" t="b">
        <v>1</v>
      </c>
      <c r="T1470" s="68">
        <v>44572.7465162037</v>
      </c>
      <c r="U1470" s="68">
        <v>44583.2916666667</v>
      </c>
      <c r="V1470" s="68">
        <v>0</v>
      </c>
      <c r="W1470" s="0">
        <f>IF(IF(B1470="none",1,IF(B1470="Trialer",1,0))+IF(C1470="Customer",1,IF(C1470="Lost",1,0))=2,1,0)</f>
      </c>
      <c r="X1470" s="0" t="s">
        <v>142</v>
      </c>
      <c r="Y1470" s="0" t="s">
        <v>243</v>
      </c>
      <c r="AV1470" s="68"/>
      <c r="AW1470" s="68"/>
      <c r="AY1470" s="27"/>
      <c r="BD1470" s="68">
        <v>46054.1666666667</v>
      </c>
      <c r="BE1470" s="68">
        <v>46082.1666666667</v>
      </c>
      <c r="BF1470" s="0" t="b">
        <v>0</v>
      </c>
      <c r="BG1470" s="0" t="b">
        <v>0</v>
      </c>
      <c r="BH1470" s="0">
        <v>80</v>
      </c>
      <c r="BI1470" s="0">
        <v>80</v>
      </c>
      <c r="BJ1470" s="0" t="s">
        <v>135</v>
      </c>
    </row>
    <row r="1471">
      <c r="A1471" s="0" t="s">
        <v>1685</v>
      </c>
      <c r="B1471" s="0" t="s">
        <v>134</v>
      </c>
      <c r="C1471" s="0" t="s">
        <v>134</v>
      </c>
      <c r="D1471" s="0" t="s">
        <v>135</v>
      </c>
      <c r="E1471" s="0" t="s">
        <v>2</v>
      </c>
      <c r="F1471" s="0" t="s">
        <v>12</v>
      </c>
      <c r="G1471" s="0" t="s">
        <v>8</v>
      </c>
      <c r="H1471" s="0">
        <v>1480</v>
      </c>
      <c r="I1471" s="0">
        <v>673</v>
      </c>
      <c r="J1471" s="0">
        <v>0</v>
      </c>
      <c r="K1471" s="0">
        <v>1</v>
      </c>
      <c r="L1471" s="0">
        <v>6</v>
      </c>
      <c r="M1471" s="0">
        <v>10</v>
      </c>
      <c r="N1471" s="0">
        <v>0</v>
      </c>
      <c r="O1471" s="0">
        <v>0</v>
      </c>
      <c r="P1471" s="0">
        <v>0</v>
      </c>
      <c r="R1471" s="0" t="b">
        <v>0</v>
      </c>
      <c r="S1471" s="0" t="b">
        <v>1</v>
      </c>
      <c r="T1471" s="68">
        <v>44573.5429861111</v>
      </c>
      <c r="U1471" s="68">
        <v>44604.2916666667</v>
      </c>
      <c r="V1471" s="68">
        <v>0</v>
      </c>
      <c r="W1471" s="0">
        <f>IF(IF(B1471="none",1,IF(B1471="Trialer",1,0))+IF(C1471="Customer",1,IF(C1471="Lost",1,0))=2,1,0)</f>
      </c>
      <c r="X1471" s="0" t="s">
        <v>148</v>
      </c>
      <c r="Y1471" s="0" t="s">
        <v>499</v>
      </c>
      <c r="AV1471" s="68"/>
      <c r="AW1471" s="68"/>
      <c r="AY1471" s="27"/>
      <c r="BD1471" s="68">
        <v>46054.1666666667</v>
      </c>
      <c r="BE1471" s="68">
        <v>46082.1666666667</v>
      </c>
      <c r="BF1471" s="0" t="b">
        <v>0</v>
      </c>
      <c r="BG1471" s="0" t="b">
        <v>0</v>
      </c>
      <c r="BH1471" s="0">
        <v>673</v>
      </c>
      <c r="BI1471" s="0">
        <v>673</v>
      </c>
      <c r="BJ1471" s="0" t="s">
        <v>135</v>
      </c>
    </row>
    <row r="1472">
      <c r="A1472" s="0" t="s">
        <v>1686</v>
      </c>
      <c r="B1472" s="0" t="s">
        <v>134</v>
      </c>
      <c r="C1472" s="0" t="s">
        <v>134</v>
      </c>
      <c r="D1472" s="0" t="s">
        <v>135</v>
      </c>
      <c r="E1472" s="0" t="s">
        <v>3</v>
      </c>
      <c r="F1472" s="0" t="s">
        <v>10</v>
      </c>
      <c r="G1472" s="0" t="s">
        <v>8</v>
      </c>
      <c r="H1472" s="0">
        <v>1477</v>
      </c>
      <c r="I1472" s="0">
        <v>213</v>
      </c>
      <c r="J1472" s="0">
        <v>0</v>
      </c>
      <c r="K1472" s="0">
        <v>1</v>
      </c>
      <c r="L1472" s="0">
        <v>4</v>
      </c>
      <c r="M1472" s="0">
        <v>6</v>
      </c>
      <c r="N1472" s="0">
        <v>0</v>
      </c>
      <c r="O1472" s="0">
        <v>0</v>
      </c>
      <c r="P1472" s="0">
        <v>0</v>
      </c>
      <c r="Q1472" s="0" t="s">
        <v>618</v>
      </c>
      <c r="R1472" s="0" t="b">
        <v>0</v>
      </c>
      <c r="S1472" s="0" t="b">
        <v>1</v>
      </c>
      <c r="T1472" s="68">
        <v>44576.2673611111</v>
      </c>
      <c r="U1472" s="68">
        <v>44607.2916666667</v>
      </c>
      <c r="V1472" s="68">
        <v>0</v>
      </c>
      <c r="W1472" s="0">
        <f>IF(IF(B1472="none",1,IF(B1472="Trialer",1,0))+IF(C1472="Customer",1,IF(C1472="Lost",1,0))=2,1,0)</f>
      </c>
      <c r="X1472" s="0" t="s">
        <v>148</v>
      </c>
      <c r="Y1472" s="0" t="s">
        <v>243</v>
      </c>
      <c r="AV1472" s="68"/>
      <c r="AW1472" s="68"/>
      <c r="AY1472" s="27"/>
      <c r="BD1472" s="68">
        <v>46054.1666666667</v>
      </c>
      <c r="BE1472" s="68">
        <v>46082.1666666667</v>
      </c>
      <c r="BF1472" s="0" t="b">
        <v>0</v>
      </c>
      <c r="BG1472" s="0" t="b">
        <v>0</v>
      </c>
      <c r="BH1472" s="0">
        <v>185</v>
      </c>
      <c r="BI1472" s="0">
        <v>185</v>
      </c>
      <c r="BJ1472" s="0" t="s">
        <v>135</v>
      </c>
    </row>
    <row r="1473">
      <c r="A1473" s="0" t="s">
        <v>1687</v>
      </c>
      <c r="B1473" s="0" t="s">
        <v>134</v>
      </c>
      <c r="C1473" s="0" t="s">
        <v>134</v>
      </c>
      <c r="D1473" s="0" t="s">
        <v>135</v>
      </c>
      <c r="E1473" s="0" t="s">
        <v>2</v>
      </c>
      <c r="F1473" s="0" t="s">
        <v>10</v>
      </c>
      <c r="G1473" s="0" t="s">
        <v>8</v>
      </c>
      <c r="H1473" s="0">
        <v>1477</v>
      </c>
      <c r="I1473" s="0">
        <v>202</v>
      </c>
      <c r="J1473" s="0">
        <v>0</v>
      </c>
      <c r="K1473" s="0">
        <v>1</v>
      </c>
      <c r="L1473" s="0">
        <v>4</v>
      </c>
      <c r="M1473" s="0">
        <v>4</v>
      </c>
      <c r="N1473" s="0">
        <v>0</v>
      </c>
      <c r="O1473" s="0">
        <v>0</v>
      </c>
      <c r="P1473" s="0">
        <v>0</v>
      </c>
      <c r="Q1473" s="0" t="s">
        <v>357</v>
      </c>
      <c r="R1473" s="0" t="b">
        <v>0</v>
      </c>
      <c r="S1473" s="0" t="b">
        <v>1</v>
      </c>
      <c r="T1473" s="68">
        <v>44576.3384606481</v>
      </c>
      <c r="U1473" s="68">
        <v>44607.2916666667</v>
      </c>
      <c r="V1473" s="68">
        <v>0</v>
      </c>
      <c r="W1473" s="0">
        <f>IF(IF(B1473="none",1,IF(B1473="Trialer",1,0))+IF(C1473="Customer",1,IF(C1473="Lost",1,0))=2,1,0)</f>
      </c>
      <c r="X1473" s="0" t="s">
        <v>148</v>
      </c>
      <c r="Y1473" s="0" t="s">
        <v>499</v>
      </c>
      <c r="AV1473" s="68"/>
      <c r="AW1473" s="68"/>
      <c r="AY1473" s="27"/>
      <c r="BD1473" s="68">
        <v>46054.1666666667</v>
      </c>
      <c r="BE1473" s="68">
        <v>46082.1666666667</v>
      </c>
      <c r="BF1473" s="0" t="b">
        <v>0</v>
      </c>
      <c r="BG1473" s="0" t="b">
        <v>0</v>
      </c>
      <c r="BH1473" s="0">
        <v>202</v>
      </c>
      <c r="BI1473" s="0">
        <v>202</v>
      </c>
      <c r="BJ1473" s="0" t="s">
        <v>135</v>
      </c>
    </row>
    <row r="1474">
      <c r="A1474" s="0" t="s">
        <v>1688</v>
      </c>
      <c r="B1474" s="0" t="s">
        <v>134</v>
      </c>
      <c r="C1474" s="0" t="s">
        <v>134</v>
      </c>
      <c r="D1474" s="0" t="s">
        <v>135</v>
      </c>
      <c r="E1474" s="0" t="s">
        <v>2</v>
      </c>
      <c r="F1474" s="0" t="s">
        <v>12</v>
      </c>
      <c r="G1474" s="0" t="s">
        <v>8</v>
      </c>
      <c r="H1474" s="0">
        <v>1476</v>
      </c>
      <c r="I1474" s="0">
        <v>0</v>
      </c>
      <c r="J1474" s="0">
        <v>0</v>
      </c>
      <c r="K1474" s="0">
        <v>1</v>
      </c>
      <c r="L1474" s="0">
        <v>5</v>
      </c>
      <c r="M1474" s="0">
        <v>1</v>
      </c>
      <c r="N1474" s="0">
        <v>0</v>
      </c>
      <c r="O1474" s="0">
        <v>0</v>
      </c>
      <c r="P1474" s="0">
        <v>0</v>
      </c>
      <c r="R1474" s="0" t="b">
        <v>0</v>
      </c>
      <c r="S1474" s="0" t="b">
        <v>1</v>
      </c>
      <c r="T1474" s="68">
        <v>44577.5776736111</v>
      </c>
      <c r="U1474" s="68">
        <v>44608.2916666667</v>
      </c>
      <c r="V1474" s="68">
        <v>0</v>
      </c>
      <c r="W1474" s="0">
        <f>IF(IF(B1474="none",1,IF(B1474="Trialer",1,0))+IF(C1474="Customer",1,IF(C1474="Lost",1,0))=2,1,0)</f>
      </c>
      <c r="X1474" s="0" t="s">
        <v>148</v>
      </c>
      <c r="Y1474" s="0" t="s">
        <v>499</v>
      </c>
      <c r="AV1474" s="68"/>
      <c r="AW1474" s="68"/>
      <c r="AY1474" s="27"/>
      <c r="BD1474" s="68">
        <v>46054.1666666667</v>
      </c>
      <c r="BE1474" s="68">
        <v>46082.1666666667</v>
      </c>
      <c r="BF1474" s="0" t="b">
        <v>0</v>
      </c>
      <c r="BG1474" s="0" t="b">
        <v>0</v>
      </c>
      <c r="BH1474" s="0">
        <v>0</v>
      </c>
      <c r="BI1474" s="0">
        <v>0</v>
      </c>
      <c r="BJ1474" s="0" t="s">
        <v>135</v>
      </c>
    </row>
    <row r="1475">
      <c r="A1475" s="0" t="s">
        <v>1689</v>
      </c>
      <c r="B1475" s="0" t="s">
        <v>134</v>
      </c>
      <c r="C1475" s="0" t="s">
        <v>190</v>
      </c>
      <c r="D1475" s="0" t="s">
        <v>135</v>
      </c>
      <c r="E1475" s="0" t="s">
        <v>3</v>
      </c>
      <c r="F1475" s="0" t="s">
        <v>12</v>
      </c>
      <c r="G1475" s="0" t="s">
        <v>8</v>
      </c>
      <c r="H1475" s="0">
        <v>1476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  <c r="R1475" s="0" t="b">
        <v>0</v>
      </c>
      <c r="S1475" s="0" t="b">
        <v>0</v>
      </c>
      <c r="T1475" s="68">
        <v>44577.7754050926</v>
      </c>
      <c r="U1475" s="68">
        <v>44608.2916666667</v>
      </c>
      <c r="V1475" s="68">
        <v>46059.5871296296</v>
      </c>
      <c r="W1475" s="0">
        <f>IF(IF(B1475="none",1,IF(B1475="Trialer",1,0))+IF(C1475="Customer",1,IF(C1475="Lost",1,0))=2,1,0)</f>
      </c>
      <c r="X1475" s="0" t="s">
        <v>142</v>
      </c>
      <c r="Y1475" s="0" t="s">
        <v>243</v>
      </c>
      <c r="AV1475" s="68"/>
      <c r="AW1475" s="68"/>
      <c r="AY1475" s="27"/>
      <c r="BD1475" s="68">
        <v>46054.1666666667</v>
      </c>
      <c r="BE1475" s="68">
        <v>46082.1666666667</v>
      </c>
      <c r="BF1475" s="0" t="b">
        <v>0</v>
      </c>
      <c r="BG1475" s="0" t="b">
        <v>0</v>
      </c>
      <c r="BH1475" s="0">
        <v>77</v>
      </c>
      <c r="BI1475" s="0">
        <v>77</v>
      </c>
      <c r="BJ1475" s="0" t="s">
        <v>135</v>
      </c>
    </row>
    <row r="1476">
      <c r="A1476" s="0" t="s">
        <v>1690</v>
      </c>
      <c r="B1476" s="0" t="s">
        <v>134</v>
      </c>
      <c r="C1476" s="0" t="s">
        <v>134</v>
      </c>
      <c r="D1476" s="0" t="s">
        <v>135</v>
      </c>
      <c r="E1476" s="0" t="s">
        <v>3</v>
      </c>
      <c r="F1476" s="0" t="s">
        <v>12</v>
      </c>
      <c r="G1476" s="0" t="s">
        <v>8</v>
      </c>
      <c r="H1476" s="0">
        <v>1475</v>
      </c>
      <c r="I1476" s="0">
        <v>61</v>
      </c>
      <c r="J1476" s="0">
        <v>0</v>
      </c>
      <c r="K1476" s="0">
        <v>1</v>
      </c>
      <c r="L1476" s="0">
        <v>4</v>
      </c>
      <c r="M1476" s="0">
        <v>1</v>
      </c>
      <c r="N1476" s="0">
        <v>0</v>
      </c>
      <c r="O1476" s="0">
        <v>0</v>
      </c>
      <c r="P1476" s="0">
        <v>0</v>
      </c>
      <c r="R1476" s="0" t="b">
        <v>0</v>
      </c>
      <c r="S1476" s="0" t="b">
        <v>1</v>
      </c>
      <c r="T1476" s="68">
        <v>44578.5405671296</v>
      </c>
      <c r="U1476" s="68">
        <v>44609.2916666667</v>
      </c>
      <c r="V1476" s="68">
        <v>0</v>
      </c>
      <c r="W1476" s="0">
        <f>IF(IF(B1476="none",1,IF(B1476="Trialer",1,0))+IF(C1476="Customer",1,IF(C1476="Lost",1,0))=2,1,0)</f>
      </c>
      <c r="X1476" s="0" t="s">
        <v>166</v>
      </c>
      <c r="Y1476" s="0" t="s">
        <v>243</v>
      </c>
      <c r="AV1476" s="68"/>
      <c r="AW1476" s="68"/>
      <c r="AY1476" s="27"/>
      <c r="BD1476" s="68">
        <v>46054.1666666667</v>
      </c>
      <c r="BE1476" s="68">
        <v>46082.1666666667</v>
      </c>
      <c r="BF1476" s="0" t="b">
        <v>0</v>
      </c>
      <c r="BG1476" s="0" t="b">
        <v>0</v>
      </c>
      <c r="BH1476" s="0">
        <v>61</v>
      </c>
      <c r="BI1476" s="0">
        <v>61</v>
      </c>
      <c r="BJ1476" s="0" t="s">
        <v>135</v>
      </c>
    </row>
    <row r="1477">
      <c r="A1477" s="0" t="s">
        <v>1691</v>
      </c>
      <c r="B1477" s="0" t="s">
        <v>134</v>
      </c>
      <c r="C1477" s="0" t="s">
        <v>134</v>
      </c>
      <c r="D1477" s="0" t="s">
        <v>230</v>
      </c>
      <c r="E1477" s="0" t="s">
        <v>3</v>
      </c>
      <c r="F1477" s="0" t="s">
        <v>12</v>
      </c>
      <c r="G1477" s="0" t="s">
        <v>8</v>
      </c>
      <c r="H1477" s="0">
        <v>1474</v>
      </c>
      <c r="I1477" s="0">
        <v>116</v>
      </c>
      <c r="J1477" s="0">
        <v>0</v>
      </c>
      <c r="K1477" s="0">
        <v>1</v>
      </c>
      <c r="L1477" s="0">
        <v>3</v>
      </c>
      <c r="M1477" s="0">
        <v>3</v>
      </c>
      <c r="N1477" s="0">
        <v>0</v>
      </c>
      <c r="O1477" s="0">
        <v>0</v>
      </c>
      <c r="P1477" s="0">
        <v>1276</v>
      </c>
      <c r="R1477" s="0" t="b">
        <v>0</v>
      </c>
      <c r="S1477" s="0" t="b">
        <v>1</v>
      </c>
      <c r="T1477" s="68">
        <v>44579.3904398148</v>
      </c>
      <c r="U1477" s="68">
        <v>44610.2916666667</v>
      </c>
      <c r="V1477" s="68">
        <v>0</v>
      </c>
      <c r="W1477" s="0">
        <f>IF(IF(B1477="none",1,IF(B1477="Trialer",1,0))+IF(C1477="Customer",1,IF(C1477="Lost",1,0))=2,1,0)</f>
      </c>
      <c r="X1477" s="0" t="s">
        <v>142</v>
      </c>
      <c r="Y1477" s="0" t="s">
        <v>243</v>
      </c>
      <c r="AV1477" s="68"/>
      <c r="AW1477" s="68"/>
      <c r="AY1477" s="27"/>
      <c r="BD1477" s="68">
        <v>46054.1666666667</v>
      </c>
      <c r="BE1477" s="68">
        <v>46082.1666666667</v>
      </c>
      <c r="BF1477" s="0" t="b">
        <v>0</v>
      </c>
      <c r="BG1477" s="0" t="b">
        <v>0</v>
      </c>
      <c r="BH1477" s="0">
        <v>129</v>
      </c>
      <c r="BI1477" s="0">
        <v>129</v>
      </c>
      <c r="BJ1477" s="0" t="s">
        <v>230</v>
      </c>
    </row>
    <row r="1478">
      <c r="A1478" s="0" t="s">
        <v>1692</v>
      </c>
      <c r="B1478" s="0" t="s">
        <v>134</v>
      </c>
      <c r="C1478" s="0" t="s">
        <v>134</v>
      </c>
      <c r="D1478" s="0" t="s">
        <v>135</v>
      </c>
      <c r="E1478" s="0" t="s">
        <v>3</v>
      </c>
      <c r="F1478" s="0" t="s">
        <v>12</v>
      </c>
      <c r="G1478" s="0" t="s">
        <v>8</v>
      </c>
      <c r="H1478" s="0">
        <v>1474</v>
      </c>
      <c r="I1478" s="0">
        <v>144</v>
      </c>
      <c r="J1478" s="0">
        <v>0</v>
      </c>
      <c r="K1478" s="0">
        <v>1</v>
      </c>
      <c r="L1478" s="0">
        <v>3</v>
      </c>
      <c r="M1478" s="0">
        <v>3</v>
      </c>
      <c r="N1478" s="0">
        <v>0</v>
      </c>
      <c r="O1478" s="0">
        <v>0</v>
      </c>
      <c r="P1478" s="0">
        <v>0</v>
      </c>
      <c r="R1478" s="0" t="b">
        <v>0</v>
      </c>
      <c r="S1478" s="0" t="b">
        <v>1</v>
      </c>
      <c r="T1478" s="68">
        <v>44579.622037037</v>
      </c>
      <c r="U1478" s="68">
        <v>44610.2916666667</v>
      </c>
      <c r="V1478" s="68">
        <v>0</v>
      </c>
      <c r="W1478" s="0">
        <f>IF(IF(B1478="none",1,IF(B1478="Trialer",1,0))+IF(C1478="Customer",1,IF(C1478="Lost",1,0))=2,1,0)</f>
      </c>
      <c r="X1478" s="0" t="s">
        <v>142</v>
      </c>
      <c r="Y1478" s="0" t="s">
        <v>243</v>
      </c>
      <c r="AV1478" s="68"/>
      <c r="AW1478" s="68"/>
      <c r="AY1478" s="27"/>
      <c r="BD1478" s="68">
        <v>46054.1666666667</v>
      </c>
      <c r="BE1478" s="68">
        <v>46082.1666666667</v>
      </c>
      <c r="BF1478" s="0" t="b">
        <v>0</v>
      </c>
      <c r="BG1478" s="0" t="b">
        <v>0</v>
      </c>
      <c r="BH1478" s="0">
        <v>144</v>
      </c>
      <c r="BI1478" s="0">
        <v>144</v>
      </c>
      <c r="BJ1478" s="0" t="s">
        <v>135</v>
      </c>
    </row>
    <row r="1479">
      <c r="A1479" s="0" t="s">
        <v>1693</v>
      </c>
      <c r="B1479" s="0" t="s">
        <v>134</v>
      </c>
      <c r="C1479" s="0" t="s">
        <v>134</v>
      </c>
      <c r="D1479" s="0" t="s">
        <v>135</v>
      </c>
      <c r="E1479" s="0" t="s">
        <v>3</v>
      </c>
      <c r="F1479" s="0" t="s">
        <v>12</v>
      </c>
      <c r="G1479" s="0" t="s">
        <v>8</v>
      </c>
      <c r="H1479" s="0">
        <v>1473</v>
      </c>
      <c r="I1479" s="0">
        <v>461</v>
      </c>
      <c r="J1479" s="0">
        <v>0</v>
      </c>
      <c r="K1479" s="0">
        <v>1</v>
      </c>
      <c r="L1479" s="0">
        <v>4</v>
      </c>
      <c r="M1479" s="0">
        <v>11</v>
      </c>
      <c r="N1479" s="0">
        <v>0</v>
      </c>
      <c r="O1479" s="0">
        <v>0</v>
      </c>
      <c r="P1479" s="0">
        <v>0</v>
      </c>
      <c r="R1479" s="0" t="b">
        <v>0</v>
      </c>
      <c r="S1479" s="0" t="b">
        <v>1</v>
      </c>
      <c r="T1479" s="68">
        <v>44580.1863888889</v>
      </c>
      <c r="U1479" s="68">
        <v>44611.2916666667</v>
      </c>
      <c r="V1479" s="68">
        <v>0</v>
      </c>
      <c r="W1479" s="0">
        <f>IF(IF(B1479="none",1,IF(B1479="Trialer",1,0))+IF(C1479="Customer",1,IF(C1479="Lost",1,0))=2,1,0)</f>
      </c>
      <c r="X1479" s="0" t="s">
        <v>148</v>
      </c>
      <c r="Y1479" s="0" t="s">
        <v>243</v>
      </c>
      <c r="AV1479" s="68"/>
      <c r="AW1479" s="68"/>
      <c r="AY1479" s="27"/>
      <c r="BD1479" s="68">
        <v>46054.1666666667</v>
      </c>
      <c r="BE1479" s="68">
        <v>46082.1666666667</v>
      </c>
      <c r="BF1479" s="0" t="b">
        <v>0</v>
      </c>
      <c r="BG1479" s="0" t="b">
        <v>0</v>
      </c>
      <c r="BH1479" s="0">
        <v>461</v>
      </c>
      <c r="BI1479" s="0">
        <v>461</v>
      </c>
      <c r="BJ1479" s="0" t="s">
        <v>135</v>
      </c>
    </row>
    <row r="1480">
      <c r="A1480" s="0" t="s">
        <v>1694</v>
      </c>
      <c r="B1480" s="0" t="s">
        <v>134</v>
      </c>
      <c r="C1480" s="0" t="s">
        <v>134</v>
      </c>
      <c r="D1480" s="0" t="s">
        <v>135</v>
      </c>
      <c r="E1480" s="0" t="s">
        <v>3</v>
      </c>
      <c r="F1480" s="0" t="s">
        <v>10</v>
      </c>
      <c r="G1480" s="0" t="s">
        <v>8</v>
      </c>
      <c r="H1480" s="0">
        <v>1473</v>
      </c>
      <c r="I1480" s="0">
        <v>28</v>
      </c>
      <c r="J1480" s="0">
        <v>0</v>
      </c>
      <c r="K1480" s="0">
        <v>1</v>
      </c>
      <c r="L1480" s="0">
        <v>1</v>
      </c>
      <c r="M1480" s="0">
        <v>1</v>
      </c>
      <c r="N1480" s="0">
        <v>0</v>
      </c>
      <c r="O1480" s="0">
        <v>0</v>
      </c>
      <c r="P1480" s="0">
        <v>0</v>
      </c>
      <c r="Q1480" s="0" t="s">
        <v>618</v>
      </c>
      <c r="R1480" s="0" t="b">
        <v>0</v>
      </c>
      <c r="S1480" s="0" t="b">
        <v>1</v>
      </c>
      <c r="T1480" s="68">
        <v>44580.4868518518</v>
      </c>
      <c r="U1480" s="68">
        <v>44611.2916666667</v>
      </c>
      <c r="V1480" s="68">
        <v>0</v>
      </c>
      <c r="W1480" s="0">
        <f>IF(IF(B1480="none",1,IF(B1480="Trialer",1,0))+IF(C1480="Customer",1,IF(C1480="Lost",1,0))=2,1,0)</f>
      </c>
      <c r="X1480" s="0" t="s">
        <v>148</v>
      </c>
      <c r="Y1480" s="0" t="s">
        <v>243</v>
      </c>
      <c r="AV1480" s="68"/>
      <c r="AW1480" s="68"/>
      <c r="AY1480" s="27"/>
      <c r="BD1480" s="68">
        <v>46054.1666666667</v>
      </c>
      <c r="BE1480" s="68">
        <v>46082.1666666667</v>
      </c>
      <c r="BF1480" s="0" t="b">
        <v>0</v>
      </c>
      <c r="BG1480" s="0" t="b">
        <v>0</v>
      </c>
      <c r="BH1480" s="0">
        <v>28</v>
      </c>
      <c r="BI1480" s="0">
        <v>28</v>
      </c>
      <c r="BJ1480" s="0" t="s">
        <v>135</v>
      </c>
    </row>
    <row r="1481">
      <c r="A1481" s="0" t="s">
        <v>1695</v>
      </c>
      <c r="B1481" s="0" t="s">
        <v>134</v>
      </c>
      <c r="C1481" s="0" t="s">
        <v>134</v>
      </c>
      <c r="D1481" s="0" t="s">
        <v>135</v>
      </c>
      <c r="E1481" s="0" t="s">
        <v>3</v>
      </c>
      <c r="F1481" s="0" t="s">
        <v>12</v>
      </c>
      <c r="G1481" s="0" t="s">
        <v>8</v>
      </c>
      <c r="H1481" s="0">
        <v>1473</v>
      </c>
      <c r="I1481" s="0">
        <v>147</v>
      </c>
      <c r="J1481" s="0">
        <v>0</v>
      </c>
      <c r="K1481" s="0">
        <v>1</v>
      </c>
      <c r="L1481" s="0">
        <v>3</v>
      </c>
      <c r="M1481" s="0">
        <v>3</v>
      </c>
      <c r="N1481" s="0">
        <v>0</v>
      </c>
      <c r="O1481" s="0">
        <v>0</v>
      </c>
      <c r="P1481" s="0">
        <v>0</v>
      </c>
      <c r="R1481" s="0" t="b">
        <v>0</v>
      </c>
      <c r="S1481" s="0" t="b">
        <v>1</v>
      </c>
      <c r="T1481" s="68">
        <v>44580.5832523148</v>
      </c>
      <c r="U1481" s="68">
        <v>44613.2916666667</v>
      </c>
      <c r="V1481" s="68">
        <v>0</v>
      </c>
      <c r="W1481" s="0">
        <f>IF(IF(B1481="none",1,IF(B1481="Trialer",1,0))+IF(C1481="Customer",1,IF(C1481="Lost",1,0))=2,1,0)</f>
      </c>
      <c r="X1481" s="0" t="s">
        <v>166</v>
      </c>
      <c r="Y1481" s="0" t="s">
        <v>243</v>
      </c>
      <c r="AV1481" s="68"/>
      <c r="AW1481" s="68"/>
      <c r="AY1481" s="27"/>
      <c r="BD1481" s="68">
        <v>46054.1666666667</v>
      </c>
      <c r="BE1481" s="68">
        <v>46082.1666666667</v>
      </c>
      <c r="BF1481" s="0" t="b">
        <v>0</v>
      </c>
      <c r="BG1481" s="0" t="b">
        <v>0</v>
      </c>
      <c r="BH1481" s="0">
        <v>147</v>
      </c>
      <c r="BI1481" s="0">
        <v>147</v>
      </c>
      <c r="BJ1481" s="0" t="s">
        <v>135</v>
      </c>
    </row>
    <row r="1482">
      <c r="A1482" s="0" t="s">
        <v>1696</v>
      </c>
      <c r="B1482" s="0" t="s">
        <v>134</v>
      </c>
      <c r="C1482" s="0" t="s">
        <v>134</v>
      </c>
      <c r="D1482" s="0" t="s">
        <v>135</v>
      </c>
      <c r="E1482" s="0" t="s">
        <v>3</v>
      </c>
      <c r="F1482" s="0" t="s">
        <v>12</v>
      </c>
      <c r="G1482" s="0" t="s">
        <v>8</v>
      </c>
      <c r="H1482" s="0">
        <v>1472</v>
      </c>
      <c r="I1482" s="0">
        <v>49</v>
      </c>
      <c r="J1482" s="0">
        <v>0</v>
      </c>
      <c r="K1482" s="0">
        <v>1</v>
      </c>
      <c r="L1482" s="0">
        <v>3</v>
      </c>
      <c r="M1482" s="0">
        <v>1</v>
      </c>
      <c r="N1482" s="0">
        <v>0</v>
      </c>
      <c r="O1482" s="0">
        <v>0</v>
      </c>
      <c r="P1482" s="0">
        <v>0</v>
      </c>
      <c r="R1482" s="0" t="b">
        <v>0</v>
      </c>
      <c r="S1482" s="0" t="b">
        <v>1</v>
      </c>
      <c r="T1482" s="68">
        <v>44581.6745486111</v>
      </c>
      <c r="U1482" s="68">
        <v>44612.2916666667</v>
      </c>
      <c r="V1482" s="68">
        <v>0</v>
      </c>
      <c r="W1482" s="0">
        <f>IF(IF(B1482="none",1,IF(B1482="Trialer",1,0))+IF(C1482="Customer",1,IF(C1482="Lost",1,0))=2,1,0)</f>
      </c>
      <c r="X1482" s="0" t="s">
        <v>153</v>
      </c>
      <c r="Y1482" s="0" t="s">
        <v>243</v>
      </c>
      <c r="AV1482" s="68"/>
      <c r="AW1482" s="68"/>
      <c r="AY1482" s="27"/>
      <c r="BD1482" s="68">
        <v>46054.1666666667</v>
      </c>
      <c r="BE1482" s="68">
        <v>46082.1666666667</v>
      </c>
      <c r="BF1482" s="0" t="b">
        <v>0</v>
      </c>
      <c r="BG1482" s="0" t="b">
        <v>0</v>
      </c>
      <c r="BH1482" s="0">
        <v>49</v>
      </c>
      <c r="BI1482" s="0">
        <v>49</v>
      </c>
      <c r="BJ1482" s="0" t="s">
        <v>135</v>
      </c>
    </row>
    <row r="1483">
      <c r="A1483" s="0" t="s">
        <v>1697</v>
      </c>
      <c r="B1483" s="0" t="s">
        <v>134</v>
      </c>
      <c r="C1483" s="0" t="s">
        <v>134</v>
      </c>
      <c r="D1483" s="0" t="s">
        <v>135</v>
      </c>
      <c r="E1483" s="0" t="s">
        <v>3</v>
      </c>
      <c r="F1483" s="0" t="s">
        <v>12</v>
      </c>
      <c r="G1483" s="0" t="s">
        <v>8</v>
      </c>
      <c r="H1483" s="0">
        <v>1472</v>
      </c>
      <c r="I1483" s="0">
        <v>28</v>
      </c>
      <c r="J1483" s="0">
        <v>0</v>
      </c>
      <c r="K1483" s="0">
        <v>1</v>
      </c>
      <c r="L1483" s="0">
        <v>1</v>
      </c>
      <c r="M1483" s="0">
        <v>1</v>
      </c>
      <c r="N1483" s="0">
        <v>0</v>
      </c>
      <c r="O1483" s="0">
        <v>0</v>
      </c>
      <c r="P1483" s="0">
        <v>0</v>
      </c>
      <c r="R1483" s="0" t="b">
        <v>0</v>
      </c>
      <c r="S1483" s="0" t="b">
        <v>1</v>
      </c>
      <c r="T1483" s="68">
        <v>44581.8363541667</v>
      </c>
      <c r="U1483" s="68">
        <v>44612.2916666667</v>
      </c>
      <c r="V1483" s="68">
        <v>0</v>
      </c>
      <c r="W1483" s="0">
        <f>IF(IF(B1483="none",1,IF(B1483="Trialer",1,0))+IF(C1483="Customer",1,IF(C1483="Lost",1,0))=2,1,0)</f>
      </c>
      <c r="X1483" s="0" t="s">
        <v>153</v>
      </c>
      <c r="Y1483" s="0" t="s">
        <v>487</v>
      </c>
      <c r="AV1483" s="68"/>
      <c r="AW1483" s="68"/>
      <c r="AY1483" s="27"/>
      <c r="BD1483" s="68">
        <v>46054.1666666667</v>
      </c>
      <c r="BE1483" s="68">
        <v>46082.1666666667</v>
      </c>
      <c r="BF1483" s="0" t="b">
        <v>0</v>
      </c>
      <c r="BG1483" s="0" t="b">
        <v>0</v>
      </c>
      <c r="BH1483" s="0">
        <v>28</v>
      </c>
      <c r="BI1483" s="0">
        <v>28</v>
      </c>
      <c r="BJ1483" s="0" t="s">
        <v>135</v>
      </c>
    </row>
    <row r="1484">
      <c r="A1484" s="0" t="s">
        <v>1698</v>
      </c>
      <c r="B1484" s="0" t="s">
        <v>134</v>
      </c>
      <c r="C1484" s="0" t="s">
        <v>134</v>
      </c>
      <c r="D1484" s="0" t="s">
        <v>135</v>
      </c>
      <c r="E1484" s="0" t="s">
        <v>3</v>
      </c>
      <c r="F1484" s="0" t="s">
        <v>12</v>
      </c>
      <c r="G1484" s="0" t="s">
        <v>8</v>
      </c>
      <c r="H1484" s="0">
        <v>1471</v>
      </c>
      <c r="I1484" s="0">
        <v>40</v>
      </c>
      <c r="J1484" s="0">
        <v>0</v>
      </c>
      <c r="K1484" s="0">
        <v>1</v>
      </c>
      <c r="L1484" s="0">
        <v>2</v>
      </c>
      <c r="M1484" s="0">
        <v>1</v>
      </c>
      <c r="N1484" s="0">
        <v>0</v>
      </c>
      <c r="O1484" s="0">
        <v>0</v>
      </c>
      <c r="P1484" s="0">
        <v>0</v>
      </c>
      <c r="R1484" s="0" t="b">
        <v>0</v>
      </c>
      <c r="S1484" s="0" t="b">
        <v>1</v>
      </c>
      <c r="T1484" s="68">
        <v>44582.8282986111</v>
      </c>
      <c r="U1484" s="68">
        <v>44613.2916666667</v>
      </c>
      <c r="V1484" s="68">
        <v>0</v>
      </c>
      <c r="W1484" s="0">
        <f>IF(IF(B1484="none",1,IF(B1484="Trialer",1,0))+IF(C1484="Customer",1,IF(C1484="Lost",1,0))=2,1,0)</f>
      </c>
      <c r="X1484" s="0" t="s">
        <v>153</v>
      </c>
      <c r="Y1484" s="0" t="s">
        <v>243</v>
      </c>
      <c r="AV1484" s="68"/>
      <c r="AW1484" s="68"/>
      <c r="AY1484" s="27"/>
      <c r="BD1484" s="68">
        <v>46054.1666666667</v>
      </c>
      <c r="BE1484" s="68">
        <v>46082.1666666667</v>
      </c>
      <c r="BF1484" s="0" t="b">
        <v>0</v>
      </c>
      <c r="BG1484" s="0" t="b">
        <v>0</v>
      </c>
      <c r="BH1484" s="0">
        <v>40</v>
      </c>
      <c r="BI1484" s="0">
        <v>40</v>
      </c>
      <c r="BJ1484" s="0" t="s">
        <v>135</v>
      </c>
    </row>
    <row r="1485">
      <c r="A1485" s="0" t="s">
        <v>1699</v>
      </c>
      <c r="B1485" s="0" t="s">
        <v>134</v>
      </c>
      <c r="C1485" s="0" t="s">
        <v>134</v>
      </c>
      <c r="D1485" s="0" t="s">
        <v>135</v>
      </c>
      <c r="E1485" s="0" t="s">
        <v>3</v>
      </c>
      <c r="F1485" s="0" t="s">
        <v>10</v>
      </c>
      <c r="G1485" s="0" t="s">
        <v>8</v>
      </c>
      <c r="H1485" s="0">
        <v>1469</v>
      </c>
      <c r="I1485" s="0">
        <v>56</v>
      </c>
      <c r="J1485" s="0">
        <v>0</v>
      </c>
      <c r="K1485" s="0">
        <v>1</v>
      </c>
      <c r="L1485" s="0">
        <v>1</v>
      </c>
      <c r="M1485" s="0">
        <v>2</v>
      </c>
      <c r="N1485" s="0">
        <v>0</v>
      </c>
      <c r="O1485" s="0">
        <v>0</v>
      </c>
      <c r="P1485" s="0">
        <v>0</v>
      </c>
      <c r="Q1485" s="0" t="s">
        <v>618</v>
      </c>
      <c r="R1485" s="0" t="b">
        <v>0</v>
      </c>
      <c r="S1485" s="0" t="b">
        <v>1</v>
      </c>
      <c r="T1485" s="68">
        <v>44584.433125</v>
      </c>
      <c r="U1485" s="68">
        <v>44615.2916666667</v>
      </c>
      <c r="V1485" s="68">
        <v>0</v>
      </c>
      <c r="W1485" s="0">
        <f>IF(IF(B1485="none",1,IF(B1485="Trialer",1,0))+IF(C1485="Customer",1,IF(C1485="Lost",1,0))=2,1,0)</f>
      </c>
      <c r="X1485" s="0" t="s">
        <v>148</v>
      </c>
      <c r="Y1485" s="0" t="s">
        <v>499</v>
      </c>
      <c r="AV1485" s="68"/>
      <c r="AW1485" s="68"/>
      <c r="AY1485" s="27"/>
      <c r="BD1485" s="68">
        <v>46054.1666666667</v>
      </c>
      <c r="BE1485" s="68">
        <v>46082.1666666667</v>
      </c>
      <c r="BF1485" s="0" t="b">
        <v>0</v>
      </c>
      <c r="BG1485" s="0" t="b">
        <v>0</v>
      </c>
      <c r="BH1485" s="0">
        <v>56</v>
      </c>
      <c r="BI1485" s="0">
        <v>56</v>
      </c>
      <c r="BJ1485" s="0" t="s">
        <v>135</v>
      </c>
    </row>
    <row r="1486">
      <c r="A1486" s="0" t="s">
        <v>1700</v>
      </c>
      <c r="B1486" s="0" t="s">
        <v>134</v>
      </c>
      <c r="C1486" s="0" t="s">
        <v>134</v>
      </c>
      <c r="D1486" s="0" t="s">
        <v>230</v>
      </c>
      <c r="E1486" s="0" t="s">
        <v>3</v>
      </c>
      <c r="F1486" s="0" t="s">
        <v>10</v>
      </c>
      <c r="G1486" s="0" t="s">
        <v>8</v>
      </c>
      <c r="H1486" s="0">
        <v>1468</v>
      </c>
      <c r="I1486" s="0">
        <v>659</v>
      </c>
      <c r="J1486" s="0">
        <v>0</v>
      </c>
      <c r="K1486" s="0">
        <v>1</v>
      </c>
      <c r="L1486" s="0">
        <v>6</v>
      </c>
      <c r="M1486" s="0">
        <v>15</v>
      </c>
      <c r="N1486" s="0">
        <v>0</v>
      </c>
      <c r="O1486" s="0">
        <v>0</v>
      </c>
      <c r="P1486" s="0">
        <v>-659</v>
      </c>
      <c r="Q1486" s="0" t="s">
        <v>1701</v>
      </c>
      <c r="R1486" s="0" t="b">
        <v>0</v>
      </c>
      <c r="S1486" s="0" t="b">
        <v>1</v>
      </c>
      <c r="T1486" s="68">
        <v>44585.7256944444</v>
      </c>
      <c r="U1486" s="68">
        <v>45896.3333333333</v>
      </c>
      <c r="V1486" s="68">
        <v>0</v>
      </c>
      <c r="W1486" s="0">
        <f>IF(IF(B1486="none",1,IF(B1486="Trialer",1,0))+IF(C1486="Customer",1,IF(C1486="Lost",1,0))=2,1,0)</f>
      </c>
      <c r="X1486" s="0" t="s">
        <v>136</v>
      </c>
      <c r="Y1486" s="0" t="s">
        <v>243</v>
      </c>
      <c r="AV1486" s="68"/>
      <c r="AW1486" s="68"/>
      <c r="AY1486" s="27"/>
      <c r="BD1486" s="68">
        <v>46054.1666666667</v>
      </c>
      <c r="BE1486" s="68">
        <v>46082.1666666667</v>
      </c>
      <c r="BF1486" s="0" t="b">
        <v>0</v>
      </c>
      <c r="BG1486" s="0" t="b">
        <v>0</v>
      </c>
      <c r="BH1486" s="0">
        <v>744</v>
      </c>
      <c r="BI1486" s="0">
        <v>744</v>
      </c>
      <c r="BJ1486" s="0" t="s">
        <v>230</v>
      </c>
    </row>
    <row r="1487">
      <c r="A1487" s="0" t="s">
        <v>1702</v>
      </c>
      <c r="B1487" s="0" t="s">
        <v>134</v>
      </c>
      <c r="C1487" s="0" t="s">
        <v>134</v>
      </c>
      <c r="D1487" s="0" t="s">
        <v>135</v>
      </c>
      <c r="E1487" s="0" t="s">
        <v>2</v>
      </c>
      <c r="F1487" s="0" t="s">
        <v>10</v>
      </c>
      <c r="G1487" s="0" t="s">
        <v>8</v>
      </c>
      <c r="H1487" s="0">
        <v>1468</v>
      </c>
      <c r="I1487" s="0">
        <v>73</v>
      </c>
      <c r="J1487" s="0">
        <v>0</v>
      </c>
      <c r="K1487" s="0">
        <v>1</v>
      </c>
      <c r="L1487" s="0">
        <v>5</v>
      </c>
      <c r="M1487" s="0">
        <v>1</v>
      </c>
      <c r="N1487" s="0">
        <v>0</v>
      </c>
      <c r="O1487" s="0">
        <v>0</v>
      </c>
      <c r="P1487" s="0">
        <v>0</v>
      </c>
      <c r="Q1487" s="0" t="s">
        <v>1701</v>
      </c>
      <c r="R1487" s="0" t="b">
        <v>0</v>
      </c>
      <c r="S1487" s="0" t="b">
        <v>1</v>
      </c>
      <c r="T1487" s="68">
        <v>44585.726099537</v>
      </c>
      <c r="U1487" s="68">
        <v>44627.2916666667</v>
      </c>
      <c r="V1487" s="68">
        <v>0</v>
      </c>
      <c r="W1487" s="0">
        <f>IF(IF(B1487="none",1,IF(B1487="Trialer",1,0))+IF(C1487="Customer",1,IF(C1487="Lost",1,0))=2,1,0)</f>
      </c>
      <c r="X1487" s="0" t="s">
        <v>136</v>
      </c>
      <c r="Y1487" s="0" t="s">
        <v>499</v>
      </c>
      <c r="AV1487" s="68"/>
      <c r="AW1487" s="68"/>
      <c r="AY1487" s="27"/>
      <c r="BD1487" s="68">
        <v>46054.1666666667</v>
      </c>
      <c r="BE1487" s="68">
        <v>46082.1666666667</v>
      </c>
      <c r="BF1487" s="0" t="b">
        <v>0</v>
      </c>
      <c r="BG1487" s="0" t="b">
        <v>0</v>
      </c>
      <c r="BH1487" s="0">
        <v>73</v>
      </c>
      <c r="BI1487" s="0">
        <v>73</v>
      </c>
      <c r="BJ1487" s="0" t="s">
        <v>135</v>
      </c>
    </row>
    <row r="1488">
      <c r="A1488" s="0" t="s">
        <v>1703</v>
      </c>
      <c r="B1488" s="0" t="s">
        <v>134</v>
      </c>
      <c r="C1488" s="0" t="s">
        <v>134</v>
      </c>
      <c r="D1488" s="0" t="s">
        <v>230</v>
      </c>
      <c r="E1488" s="0" t="s">
        <v>2</v>
      </c>
      <c r="F1488" s="0" t="s">
        <v>12</v>
      </c>
      <c r="G1488" s="0" t="s">
        <v>8</v>
      </c>
      <c r="H1488" s="0">
        <v>1467</v>
      </c>
      <c r="I1488" s="0">
        <v>44</v>
      </c>
      <c r="J1488" s="0">
        <v>0</v>
      </c>
      <c r="K1488" s="0">
        <v>1</v>
      </c>
      <c r="L1488" s="0">
        <v>3</v>
      </c>
      <c r="M1488" s="0">
        <v>1</v>
      </c>
      <c r="N1488" s="0">
        <v>0</v>
      </c>
      <c r="O1488" s="0">
        <v>0</v>
      </c>
      <c r="P1488" s="0">
        <v>-44</v>
      </c>
      <c r="R1488" s="0" t="b">
        <v>0</v>
      </c>
      <c r="S1488" s="0" t="b">
        <v>1</v>
      </c>
      <c r="T1488" s="68">
        <v>44586.5850694444</v>
      </c>
      <c r="U1488" s="68">
        <v>44618.2916666667</v>
      </c>
      <c r="V1488" s="68">
        <v>0</v>
      </c>
      <c r="W1488" s="0">
        <f>IF(IF(B1488="none",1,IF(B1488="Trialer",1,0))+IF(C1488="Customer",1,IF(C1488="Lost",1,0))=2,1,0)</f>
      </c>
      <c r="X1488" s="0" t="s">
        <v>142</v>
      </c>
      <c r="Y1488" s="0" t="s">
        <v>499</v>
      </c>
      <c r="AV1488" s="68"/>
      <c r="AW1488" s="68"/>
      <c r="AY1488" s="27"/>
      <c r="BD1488" s="68">
        <v>46054.1666666667</v>
      </c>
      <c r="BE1488" s="68">
        <v>46082.1666666667</v>
      </c>
      <c r="BF1488" s="0" t="b">
        <v>0</v>
      </c>
      <c r="BG1488" s="0" t="b">
        <v>0</v>
      </c>
      <c r="BH1488" s="0">
        <v>49</v>
      </c>
      <c r="BI1488" s="0">
        <v>49</v>
      </c>
      <c r="BJ1488" s="0" t="s">
        <v>230</v>
      </c>
    </row>
    <row r="1489">
      <c r="A1489" s="0" t="s">
        <v>1704</v>
      </c>
      <c r="B1489" s="0" t="s">
        <v>134</v>
      </c>
      <c r="C1489" s="0" t="s">
        <v>134</v>
      </c>
      <c r="D1489" s="0" t="s">
        <v>135</v>
      </c>
      <c r="E1489" s="0" t="s">
        <v>3</v>
      </c>
      <c r="F1489" s="0" t="s">
        <v>12</v>
      </c>
      <c r="G1489" s="0" t="s">
        <v>8</v>
      </c>
      <c r="H1489" s="0">
        <v>1467</v>
      </c>
      <c r="I1489" s="0">
        <v>1721</v>
      </c>
      <c r="J1489" s="0">
        <v>0</v>
      </c>
      <c r="K1489" s="0">
        <v>1</v>
      </c>
      <c r="L1489" s="0">
        <v>4</v>
      </c>
      <c r="M1489" s="0">
        <v>44</v>
      </c>
      <c r="N1489" s="0">
        <v>139.5</v>
      </c>
      <c r="O1489" s="0">
        <v>0</v>
      </c>
      <c r="P1489" s="0">
        <v>0</v>
      </c>
      <c r="R1489" s="0" t="b">
        <v>0</v>
      </c>
      <c r="S1489" s="0" t="b">
        <v>1</v>
      </c>
      <c r="T1489" s="68">
        <v>44586.6378935185</v>
      </c>
      <c r="U1489" s="68">
        <v>44617.2916666667</v>
      </c>
      <c r="V1489" s="68">
        <v>0</v>
      </c>
      <c r="W1489" s="0">
        <f>IF(IF(B1489="none",1,IF(B1489="Trialer",1,0))+IF(C1489="Customer",1,IF(C1489="Lost",1,0))=2,1,0)</f>
      </c>
      <c r="X1489" s="0" t="s">
        <v>136</v>
      </c>
      <c r="Y1489" s="0" t="s">
        <v>243</v>
      </c>
      <c r="AV1489" s="68"/>
      <c r="AW1489" s="68"/>
      <c r="AY1489" s="27"/>
      <c r="BD1489" s="68">
        <v>46054.1666666667</v>
      </c>
      <c r="BE1489" s="68">
        <v>46082.1666666667</v>
      </c>
      <c r="BF1489" s="0" t="b">
        <v>0</v>
      </c>
      <c r="BG1489" s="0" t="b">
        <v>0</v>
      </c>
      <c r="BH1489" s="0">
        <v>1468</v>
      </c>
      <c r="BI1489" s="0">
        <v>1468</v>
      </c>
      <c r="BJ1489" s="0" t="s">
        <v>135</v>
      </c>
    </row>
    <row r="1490">
      <c r="A1490" s="0" t="s">
        <v>1705</v>
      </c>
      <c r="B1490" s="0" t="s">
        <v>134</v>
      </c>
      <c r="C1490" s="0" t="s">
        <v>134</v>
      </c>
      <c r="D1490" s="0" t="s">
        <v>135</v>
      </c>
      <c r="E1490" s="0" t="s">
        <v>2</v>
      </c>
      <c r="F1490" s="0" t="s">
        <v>12</v>
      </c>
      <c r="G1490" s="0" t="s">
        <v>8</v>
      </c>
      <c r="H1490" s="0">
        <v>1466</v>
      </c>
      <c r="I1490" s="0">
        <v>120</v>
      </c>
      <c r="J1490" s="0">
        <v>0</v>
      </c>
      <c r="K1490" s="0">
        <v>1</v>
      </c>
      <c r="L1490" s="0">
        <v>2</v>
      </c>
      <c r="M1490" s="0">
        <v>3</v>
      </c>
      <c r="N1490" s="0">
        <v>0</v>
      </c>
      <c r="O1490" s="0">
        <v>0</v>
      </c>
      <c r="P1490" s="0">
        <v>0</v>
      </c>
      <c r="R1490" s="0" t="b">
        <v>0</v>
      </c>
      <c r="S1490" s="0" t="b">
        <v>1</v>
      </c>
      <c r="T1490" s="68">
        <v>44587.7219791667</v>
      </c>
      <c r="U1490" s="68">
        <v>44618.2916666667</v>
      </c>
      <c r="V1490" s="68">
        <v>0</v>
      </c>
      <c r="W1490" s="0">
        <f>IF(IF(B1490="none",1,IF(B1490="Trialer",1,0))+IF(C1490="Customer",1,IF(C1490="Lost",1,0))=2,1,0)</f>
      </c>
      <c r="X1490" s="0" t="s">
        <v>166</v>
      </c>
      <c r="Y1490" s="0" t="s">
        <v>499</v>
      </c>
      <c r="AV1490" s="68"/>
      <c r="AW1490" s="68"/>
      <c r="AY1490" s="27"/>
      <c r="BD1490" s="68">
        <v>46054.1666666667</v>
      </c>
      <c r="BE1490" s="68">
        <v>46082.1666666667</v>
      </c>
      <c r="BF1490" s="0" t="b">
        <v>0</v>
      </c>
      <c r="BG1490" s="0" t="b">
        <v>0</v>
      </c>
      <c r="BH1490" s="0">
        <v>120</v>
      </c>
      <c r="BI1490" s="0">
        <v>120</v>
      </c>
      <c r="BJ1490" s="0" t="s">
        <v>135</v>
      </c>
    </row>
    <row r="1491">
      <c r="A1491" s="0" t="s">
        <v>1706</v>
      </c>
      <c r="B1491" s="0" t="s">
        <v>134</v>
      </c>
      <c r="C1491" s="0" t="s">
        <v>134</v>
      </c>
      <c r="D1491" s="0" t="s">
        <v>230</v>
      </c>
      <c r="E1491" s="0" t="s">
        <v>2</v>
      </c>
      <c r="F1491" s="0" t="s">
        <v>12</v>
      </c>
      <c r="G1491" s="0" t="s">
        <v>8</v>
      </c>
      <c r="H1491" s="0">
        <v>1465</v>
      </c>
      <c r="I1491" s="0">
        <v>306</v>
      </c>
      <c r="J1491" s="0">
        <v>0</v>
      </c>
      <c r="K1491" s="0">
        <v>1</v>
      </c>
      <c r="L1491" s="0">
        <v>4</v>
      </c>
      <c r="M1491" s="0">
        <v>8</v>
      </c>
      <c r="N1491" s="0">
        <v>0</v>
      </c>
      <c r="O1491" s="0">
        <v>0</v>
      </c>
      <c r="P1491" s="0">
        <v>-306</v>
      </c>
      <c r="R1491" s="0" t="b">
        <v>0</v>
      </c>
      <c r="S1491" s="0" t="b">
        <v>1</v>
      </c>
      <c r="T1491" s="68">
        <v>44588.6465277778</v>
      </c>
      <c r="U1491" s="68">
        <v>44620.2916666667</v>
      </c>
      <c r="V1491" s="68">
        <v>0</v>
      </c>
      <c r="W1491" s="0">
        <f>IF(IF(B1491="none",1,IF(B1491="Trialer",1,0))+IF(C1491="Customer",1,IF(C1491="Lost",1,0))=2,1,0)</f>
      </c>
      <c r="X1491" s="0" t="s">
        <v>145</v>
      </c>
      <c r="Y1491" s="0" t="s">
        <v>499</v>
      </c>
      <c r="AV1491" s="68"/>
      <c r="AW1491" s="68"/>
      <c r="AY1491" s="27"/>
      <c r="BD1491" s="68">
        <v>46054.1666666667</v>
      </c>
      <c r="BE1491" s="68">
        <v>46082.1666666667</v>
      </c>
      <c r="BF1491" s="0" t="b">
        <v>0</v>
      </c>
      <c r="BG1491" s="0" t="b">
        <v>0</v>
      </c>
      <c r="BH1491" s="0">
        <v>381</v>
      </c>
      <c r="BI1491" s="0">
        <v>381</v>
      </c>
      <c r="BJ1491" s="0" t="s">
        <v>230</v>
      </c>
    </row>
    <row r="1492">
      <c r="A1492" s="0" t="s">
        <v>1707</v>
      </c>
      <c r="B1492" s="0" t="s">
        <v>134</v>
      </c>
      <c r="C1492" s="0" t="s">
        <v>134</v>
      </c>
      <c r="D1492" s="0" t="s">
        <v>135</v>
      </c>
      <c r="E1492" s="0" t="s">
        <v>3</v>
      </c>
      <c r="F1492" s="0" t="s">
        <v>12</v>
      </c>
      <c r="G1492" s="0" t="s">
        <v>8</v>
      </c>
      <c r="H1492" s="0">
        <v>1464</v>
      </c>
      <c r="I1492" s="0">
        <v>147</v>
      </c>
      <c r="J1492" s="0">
        <v>0</v>
      </c>
      <c r="K1492" s="0">
        <v>1</v>
      </c>
      <c r="L1492" s="0">
        <v>3</v>
      </c>
      <c r="M1492" s="0">
        <v>3</v>
      </c>
      <c r="N1492" s="0">
        <v>0</v>
      </c>
      <c r="O1492" s="0">
        <v>0</v>
      </c>
      <c r="P1492" s="0">
        <v>0</v>
      </c>
      <c r="R1492" s="0" t="b">
        <v>0</v>
      </c>
      <c r="S1492" s="0" t="b">
        <v>1</v>
      </c>
      <c r="T1492" s="68">
        <v>44589.4792708333</v>
      </c>
      <c r="U1492" s="68">
        <v>44622.2916666667</v>
      </c>
      <c r="V1492" s="68">
        <v>0</v>
      </c>
      <c r="W1492" s="0">
        <f>IF(IF(B1492="none",1,IF(B1492="Trialer",1,0))+IF(C1492="Customer",1,IF(C1492="Lost",1,0))=2,1,0)</f>
      </c>
      <c r="X1492" s="0" t="s">
        <v>153</v>
      </c>
      <c r="Y1492" s="0" t="s">
        <v>243</v>
      </c>
      <c r="AV1492" s="68"/>
      <c r="AW1492" s="68"/>
      <c r="AY1492" s="27"/>
      <c r="BD1492" s="68">
        <v>46054.1666666667</v>
      </c>
      <c r="BE1492" s="68">
        <v>46082.1666666667</v>
      </c>
      <c r="BF1492" s="0" t="b">
        <v>0</v>
      </c>
      <c r="BG1492" s="0" t="b">
        <v>0</v>
      </c>
      <c r="BH1492" s="0">
        <v>147</v>
      </c>
      <c r="BI1492" s="0">
        <v>147</v>
      </c>
      <c r="BJ1492" s="0" t="s">
        <v>135</v>
      </c>
    </row>
    <row r="1493">
      <c r="A1493" s="0" t="s">
        <v>1708</v>
      </c>
      <c r="B1493" s="0" t="s">
        <v>134</v>
      </c>
      <c r="C1493" s="0" t="s">
        <v>134</v>
      </c>
      <c r="D1493" s="0" t="s">
        <v>135</v>
      </c>
      <c r="E1493" s="0" t="s">
        <v>3</v>
      </c>
      <c r="F1493" s="0" t="s">
        <v>12</v>
      </c>
      <c r="G1493" s="0" t="s">
        <v>8</v>
      </c>
      <c r="H1493" s="0">
        <v>1464</v>
      </c>
      <c r="I1493" s="0">
        <v>49</v>
      </c>
      <c r="J1493" s="0">
        <v>0</v>
      </c>
      <c r="K1493" s="0">
        <v>1</v>
      </c>
      <c r="L1493" s="0">
        <v>3</v>
      </c>
      <c r="M1493" s="0">
        <v>1</v>
      </c>
      <c r="N1493" s="0">
        <v>0</v>
      </c>
      <c r="O1493" s="0">
        <v>0</v>
      </c>
      <c r="P1493" s="0">
        <v>0</v>
      </c>
      <c r="R1493" s="0" t="b">
        <v>0</v>
      </c>
      <c r="S1493" s="0" t="b">
        <v>1</v>
      </c>
      <c r="T1493" s="68">
        <v>44589.6559143519</v>
      </c>
      <c r="U1493" s="68">
        <v>44620.2916666667</v>
      </c>
      <c r="V1493" s="68">
        <v>0</v>
      </c>
      <c r="W1493" s="0">
        <f>IF(IF(B1493="none",1,IF(B1493="Trialer",1,0))+IF(C1493="Customer",1,IF(C1493="Lost",1,0))=2,1,0)</f>
      </c>
      <c r="X1493" s="0" t="s">
        <v>153</v>
      </c>
      <c r="Y1493" s="0" t="s">
        <v>243</v>
      </c>
      <c r="AV1493" s="68"/>
      <c r="AW1493" s="68"/>
      <c r="AY1493" s="27"/>
      <c r="BD1493" s="68">
        <v>46054.1666666667</v>
      </c>
      <c r="BE1493" s="68">
        <v>46082.1666666667</v>
      </c>
      <c r="BF1493" s="0" t="b">
        <v>0</v>
      </c>
      <c r="BG1493" s="0" t="b">
        <v>0</v>
      </c>
      <c r="BH1493" s="0">
        <v>49</v>
      </c>
      <c r="BI1493" s="0">
        <v>49</v>
      </c>
      <c r="BJ1493" s="0" t="s">
        <v>135</v>
      </c>
    </row>
    <row r="1494">
      <c r="A1494" s="0" t="s">
        <v>1709</v>
      </c>
      <c r="B1494" s="0" t="s">
        <v>134</v>
      </c>
      <c r="C1494" s="0" t="s">
        <v>134</v>
      </c>
      <c r="D1494" s="0" t="s">
        <v>135</v>
      </c>
      <c r="E1494" s="0" t="s">
        <v>2</v>
      </c>
      <c r="F1494" s="0" t="s">
        <v>12</v>
      </c>
      <c r="G1494" s="0" t="s">
        <v>8</v>
      </c>
      <c r="H1494" s="0">
        <v>1461</v>
      </c>
      <c r="I1494" s="0">
        <v>0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0">
        <v>0</v>
      </c>
      <c r="R1494" s="0" t="b">
        <v>0</v>
      </c>
      <c r="S1494" s="0" t="b">
        <v>0</v>
      </c>
      <c r="T1494" s="68">
        <v>44592.5201388889</v>
      </c>
      <c r="U1494" s="68">
        <v>44620.2916666667</v>
      </c>
      <c r="V1494" s="68">
        <v>46098.4796643518</v>
      </c>
      <c r="W1494" s="0">
        <f>IF(IF(B1494="none",1,IF(B1494="Trialer",1,0))+IF(C1494="Customer",1,IF(C1494="Lost",1,0))=2,1,0)</f>
      </c>
      <c r="X1494" s="0" t="s">
        <v>142</v>
      </c>
      <c r="Y1494" s="0" t="s">
        <v>499</v>
      </c>
      <c r="AV1494" s="68"/>
      <c r="AW1494" s="68"/>
      <c r="AY1494" s="27"/>
      <c r="BD1494" s="68">
        <v>46054.1666666667</v>
      </c>
      <c r="BE1494" s="68">
        <v>46082.1666666667</v>
      </c>
      <c r="BF1494" s="0" t="b">
        <v>0</v>
      </c>
      <c r="BG1494" s="0" t="b">
        <v>0</v>
      </c>
      <c r="BH1494" s="0">
        <v>49</v>
      </c>
      <c r="BI1494" s="0">
        <v>49</v>
      </c>
      <c r="BJ1494" s="0" t="s">
        <v>135</v>
      </c>
    </row>
    <row r="1495">
      <c r="A1495" s="0" t="s">
        <v>1710</v>
      </c>
      <c r="B1495" s="0" t="s">
        <v>652</v>
      </c>
      <c r="C1495" s="0" t="s">
        <v>652</v>
      </c>
      <c r="D1495" s="0" t="s">
        <v>135</v>
      </c>
      <c r="E1495" s="0" t="s">
        <v>2</v>
      </c>
      <c r="F1495" s="0" t="s">
        <v>12</v>
      </c>
      <c r="G1495" s="0" t="s">
        <v>8</v>
      </c>
      <c r="H1495" s="0">
        <v>1461</v>
      </c>
      <c r="I1495" s="0">
        <v>0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0">
        <v>0</v>
      </c>
      <c r="R1495" s="0" t="b">
        <v>0</v>
      </c>
      <c r="S1495" s="0" t="b">
        <v>1</v>
      </c>
      <c r="T1495" s="68">
        <v>44592.5201388889</v>
      </c>
      <c r="U1495" s="68">
        <v>0</v>
      </c>
      <c r="V1495" s="68">
        <v>0</v>
      </c>
      <c r="W1495" s="0">
        <f>IF(IF(B1495="none",1,IF(B1495="Trialer",1,0))+IF(C1495="Customer",1,IF(C1495="Lost",1,0))=2,1,0)</f>
      </c>
      <c r="X1495" s="0" t="s">
        <v>136</v>
      </c>
      <c r="Y1495" s="0" t="s">
        <v>499</v>
      </c>
      <c r="AV1495" s="68"/>
      <c r="AW1495" s="68"/>
      <c r="AY1495" s="27"/>
      <c r="BD1495" s="68">
        <v>46054.1666666667</v>
      </c>
      <c r="BE1495" s="68">
        <v>46082.1666666667</v>
      </c>
      <c r="BF1495" s="0" t="b">
        <v>0</v>
      </c>
      <c r="BG1495" s="0" t="b">
        <v>0</v>
      </c>
      <c r="BH1495" s="0">
        <v>0</v>
      </c>
      <c r="BI1495" s="0">
        <v>0</v>
      </c>
      <c r="BJ1495" s="0" t="s">
        <v>135</v>
      </c>
    </row>
    <row r="1496">
      <c r="A1496" s="0" t="s">
        <v>1711</v>
      </c>
      <c r="B1496" s="0" t="s">
        <v>134</v>
      </c>
      <c r="C1496" s="0" t="s">
        <v>134</v>
      </c>
      <c r="D1496" s="0" t="s">
        <v>135</v>
      </c>
      <c r="E1496" s="0" t="s">
        <v>3</v>
      </c>
      <c r="F1496" s="0" t="s">
        <v>10</v>
      </c>
      <c r="G1496" s="0" t="s">
        <v>8</v>
      </c>
      <c r="H1496" s="0">
        <v>1460</v>
      </c>
      <c r="I1496" s="0">
        <v>56</v>
      </c>
      <c r="J1496" s="0">
        <v>0</v>
      </c>
      <c r="K1496" s="0">
        <v>1</v>
      </c>
      <c r="L1496" s="0">
        <v>1</v>
      </c>
      <c r="M1496" s="0">
        <v>2</v>
      </c>
      <c r="N1496" s="0">
        <v>0</v>
      </c>
      <c r="O1496" s="0">
        <v>0</v>
      </c>
      <c r="P1496" s="0">
        <v>0</v>
      </c>
      <c r="Q1496" s="0" t="s">
        <v>618</v>
      </c>
      <c r="R1496" s="0" t="b">
        <v>0</v>
      </c>
      <c r="S1496" s="0" t="b">
        <v>1</v>
      </c>
      <c r="T1496" s="68">
        <v>44593.2042013889</v>
      </c>
      <c r="U1496" s="68">
        <v>44652.3333333333</v>
      </c>
      <c r="V1496" s="68">
        <v>0</v>
      </c>
      <c r="W1496" s="0">
        <f>IF(IF(B1496="none",1,IF(B1496="Trialer",1,0))+IF(C1496="Customer",1,IF(C1496="Lost",1,0))=2,1,0)</f>
      </c>
      <c r="X1496" s="0" t="s">
        <v>148</v>
      </c>
      <c r="Y1496" s="0" t="s">
        <v>243</v>
      </c>
      <c r="AV1496" s="68"/>
      <c r="AW1496" s="68"/>
      <c r="AY1496" s="27"/>
      <c r="BD1496" s="68">
        <v>46054.1666666667</v>
      </c>
      <c r="BE1496" s="68">
        <v>46082.1666666667</v>
      </c>
      <c r="BF1496" s="0" t="b">
        <v>0</v>
      </c>
      <c r="BG1496" s="0" t="b">
        <v>0</v>
      </c>
      <c r="BH1496" s="0">
        <v>56</v>
      </c>
      <c r="BI1496" s="0">
        <v>56</v>
      </c>
      <c r="BJ1496" s="0" t="s">
        <v>135</v>
      </c>
    </row>
    <row r="1497">
      <c r="A1497" s="0" t="s">
        <v>1712</v>
      </c>
      <c r="B1497" s="0" t="s">
        <v>134</v>
      </c>
      <c r="C1497" s="0" t="s">
        <v>134</v>
      </c>
      <c r="D1497" s="0" t="s">
        <v>135</v>
      </c>
      <c r="E1497" s="0" t="s">
        <v>2</v>
      </c>
      <c r="F1497" s="0" t="s">
        <v>12</v>
      </c>
      <c r="G1497" s="0" t="s">
        <v>8</v>
      </c>
      <c r="H1497" s="0">
        <v>1460</v>
      </c>
      <c r="I1497" s="0">
        <v>120</v>
      </c>
      <c r="J1497" s="0">
        <v>0</v>
      </c>
      <c r="K1497" s="0">
        <v>1</v>
      </c>
      <c r="L1497" s="0">
        <v>2</v>
      </c>
      <c r="M1497" s="0">
        <v>3</v>
      </c>
      <c r="N1497" s="0">
        <v>0</v>
      </c>
      <c r="O1497" s="0">
        <v>0</v>
      </c>
      <c r="P1497" s="0">
        <v>0</v>
      </c>
      <c r="R1497" s="0" t="b">
        <v>0</v>
      </c>
      <c r="S1497" s="0" t="b">
        <v>1</v>
      </c>
      <c r="T1497" s="68">
        <v>44593.5006944444</v>
      </c>
      <c r="U1497" s="68">
        <v>44621.2916666667</v>
      </c>
      <c r="V1497" s="68">
        <v>0</v>
      </c>
      <c r="W1497" s="0">
        <f>IF(IF(B1497="none",1,IF(B1497="Trialer",1,0))+IF(C1497="Customer",1,IF(C1497="Lost",1,0))=2,1,0)</f>
      </c>
      <c r="X1497" s="0" t="s">
        <v>153</v>
      </c>
      <c r="Y1497" s="0" t="s">
        <v>499</v>
      </c>
      <c r="AV1497" s="68"/>
      <c r="AW1497" s="68"/>
      <c r="AY1497" s="27"/>
      <c r="BD1497" s="68">
        <v>46054.1666666667</v>
      </c>
      <c r="BE1497" s="68">
        <v>46082.1666666667</v>
      </c>
      <c r="BF1497" s="0" t="b">
        <v>0</v>
      </c>
      <c r="BG1497" s="0" t="b">
        <v>0</v>
      </c>
      <c r="BH1497" s="0">
        <v>120</v>
      </c>
      <c r="BI1497" s="0">
        <v>120</v>
      </c>
      <c r="BJ1497" s="0" t="s">
        <v>135</v>
      </c>
    </row>
    <row r="1498">
      <c r="A1498" s="0" t="s">
        <v>1713</v>
      </c>
      <c r="B1498" s="0" t="s">
        <v>134</v>
      </c>
      <c r="C1498" s="0" t="s">
        <v>134</v>
      </c>
      <c r="D1498" s="0" t="s">
        <v>230</v>
      </c>
      <c r="E1498" s="0" t="s">
        <v>2</v>
      </c>
      <c r="F1498" s="0" t="s">
        <v>12</v>
      </c>
      <c r="G1498" s="0" t="s">
        <v>8</v>
      </c>
      <c r="H1498" s="0">
        <v>1460</v>
      </c>
      <c r="I1498" s="0">
        <v>851</v>
      </c>
      <c r="J1498" s="0">
        <v>0</v>
      </c>
      <c r="K1498" s="0">
        <v>1</v>
      </c>
      <c r="L1498" s="0">
        <v>4</v>
      </c>
      <c r="M1498" s="0">
        <v>11</v>
      </c>
      <c r="N1498" s="0">
        <v>0</v>
      </c>
      <c r="O1498" s="0">
        <v>0</v>
      </c>
      <c r="P1498" s="0">
        <v>-526</v>
      </c>
      <c r="R1498" s="0" t="b">
        <v>0</v>
      </c>
      <c r="S1498" s="0" t="b">
        <v>1</v>
      </c>
      <c r="T1498" s="68">
        <v>44593.7235185185</v>
      </c>
      <c r="U1498" s="68">
        <v>44621.2916666667</v>
      </c>
      <c r="V1498" s="68">
        <v>0</v>
      </c>
      <c r="W1498" s="0">
        <f>IF(IF(B1498="none",1,IF(B1498="Trialer",1,0))+IF(C1498="Customer",1,IF(C1498="Lost",1,0))=2,1,0)</f>
      </c>
      <c r="X1498" s="0" t="s">
        <v>148</v>
      </c>
      <c r="Y1498" s="0" t="s">
        <v>499</v>
      </c>
      <c r="AV1498" s="68"/>
      <c r="AW1498" s="68"/>
      <c r="AY1498" s="27"/>
      <c r="BD1498" s="68">
        <v>46054.1666666667</v>
      </c>
      <c r="BE1498" s="68">
        <v>46082.1666666667</v>
      </c>
      <c r="BF1498" s="0" t="b">
        <v>0</v>
      </c>
      <c r="BG1498" s="0" t="b">
        <v>0</v>
      </c>
      <c r="BH1498" s="0">
        <v>593</v>
      </c>
      <c r="BI1498" s="0">
        <v>593</v>
      </c>
      <c r="BJ1498" s="0" t="s">
        <v>230</v>
      </c>
    </row>
    <row r="1499">
      <c r="A1499" s="0" t="s">
        <v>1714</v>
      </c>
      <c r="B1499" s="0" t="s">
        <v>134</v>
      </c>
      <c r="C1499" s="0" t="s">
        <v>134</v>
      </c>
      <c r="D1499" s="0" t="s">
        <v>135</v>
      </c>
      <c r="E1499" s="0" t="s">
        <v>2</v>
      </c>
      <c r="F1499" s="0" t="s">
        <v>12</v>
      </c>
      <c r="G1499" s="0" t="s">
        <v>8</v>
      </c>
      <c r="H1499" s="0">
        <v>1459</v>
      </c>
      <c r="I1499" s="0">
        <v>0</v>
      </c>
      <c r="J1499" s="0">
        <v>0</v>
      </c>
      <c r="K1499" s="0">
        <v>1</v>
      </c>
      <c r="L1499" s="0">
        <v>6</v>
      </c>
      <c r="M1499" s="0">
        <v>1</v>
      </c>
      <c r="N1499" s="0">
        <v>0</v>
      </c>
      <c r="O1499" s="0">
        <v>0</v>
      </c>
      <c r="P1499" s="0">
        <v>0</v>
      </c>
      <c r="R1499" s="0" t="b">
        <v>0</v>
      </c>
      <c r="S1499" s="0" t="b">
        <v>1</v>
      </c>
      <c r="T1499" s="68">
        <v>44594.5335532407</v>
      </c>
      <c r="U1499" s="68">
        <v>44594.2916666667</v>
      </c>
      <c r="V1499" s="68">
        <v>0</v>
      </c>
      <c r="W1499" s="0">
        <f>IF(IF(B1499="none",1,IF(B1499="Trialer",1,0))+IF(C1499="Customer",1,IF(C1499="Lost",1,0))=2,1,0)</f>
      </c>
      <c r="X1499" s="0" t="s">
        <v>148</v>
      </c>
      <c r="Y1499" s="0" t="s">
        <v>499</v>
      </c>
      <c r="AV1499" s="68"/>
      <c r="AW1499" s="68"/>
      <c r="AY1499" s="27"/>
      <c r="BD1499" s="68">
        <v>46054.1666666667</v>
      </c>
      <c r="BE1499" s="68">
        <v>46082.1666666667</v>
      </c>
      <c r="BF1499" s="0" t="b">
        <v>0</v>
      </c>
      <c r="BG1499" s="0" t="b">
        <v>0</v>
      </c>
      <c r="BH1499" s="0">
        <v>0</v>
      </c>
      <c r="BI1499" s="0">
        <v>0</v>
      </c>
      <c r="BJ1499" s="0" t="s">
        <v>135</v>
      </c>
    </row>
    <row r="1500">
      <c r="A1500" s="0" t="s">
        <v>1715</v>
      </c>
      <c r="B1500" s="0" t="s">
        <v>134</v>
      </c>
      <c r="C1500" s="0" t="s">
        <v>134</v>
      </c>
      <c r="D1500" s="0" t="s">
        <v>135</v>
      </c>
      <c r="E1500" s="0" t="s">
        <v>2</v>
      </c>
      <c r="F1500" s="0" t="s">
        <v>10</v>
      </c>
      <c r="G1500" s="0" t="s">
        <v>8</v>
      </c>
      <c r="H1500" s="0">
        <v>1458</v>
      </c>
      <c r="I1500" s="0">
        <v>792</v>
      </c>
      <c r="J1500" s="0">
        <v>0</v>
      </c>
      <c r="K1500" s="0">
        <v>1</v>
      </c>
      <c r="L1500" s="0">
        <v>5</v>
      </c>
      <c r="M1500" s="0">
        <v>12</v>
      </c>
      <c r="N1500" s="0">
        <v>0</v>
      </c>
      <c r="O1500" s="0">
        <v>0</v>
      </c>
      <c r="P1500" s="0">
        <v>0</v>
      </c>
      <c r="Q1500" s="0" t="s">
        <v>1716</v>
      </c>
      <c r="R1500" s="0" t="b">
        <v>0</v>
      </c>
      <c r="S1500" s="0" t="b">
        <v>1</v>
      </c>
      <c r="T1500" s="68">
        <v>44595.4097222222</v>
      </c>
      <c r="U1500" s="68">
        <v>44673.5</v>
      </c>
      <c r="V1500" s="68">
        <v>0</v>
      </c>
      <c r="W1500" s="0">
        <f>IF(IF(B1500="none",1,IF(B1500="Trialer",1,0))+IF(C1500="Customer",1,IF(C1500="Lost",1,0))=2,1,0)</f>
      </c>
      <c r="X1500" s="0" t="s">
        <v>136</v>
      </c>
      <c r="Y1500" s="0" t="s">
        <v>499</v>
      </c>
      <c r="AV1500" s="68"/>
      <c r="AW1500" s="68"/>
      <c r="AY1500" s="27"/>
      <c r="BD1500" s="68">
        <v>46054.1666666667</v>
      </c>
      <c r="BE1500" s="68">
        <v>46082.1666666667</v>
      </c>
      <c r="BF1500" s="0" t="b">
        <v>0</v>
      </c>
      <c r="BG1500" s="0" t="b">
        <v>0</v>
      </c>
      <c r="BH1500" s="0">
        <v>792</v>
      </c>
      <c r="BI1500" s="0">
        <v>792</v>
      </c>
      <c r="BJ1500" s="0" t="s">
        <v>135</v>
      </c>
    </row>
    <row r="1501">
      <c r="A1501" s="0" t="s">
        <v>1717</v>
      </c>
      <c r="B1501" s="0" t="s">
        <v>134</v>
      </c>
      <c r="C1501" s="0" t="s">
        <v>134</v>
      </c>
      <c r="D1501" s="0" t="s">
        <v>135</v>
      </c>
      <c r="E1501" s="0" t="s">
        <v>2</v>
      </c>
      <c r="F1501" s="0" t="s">
        <v>12</v>
      </c>
      <c r="G1501" s="0" t="s">
        <v>8</v>
      </c>
      <c r="H1501" s="0">
        <v>1458</v>
      </c>
      <c r="I1501" s="0">
        <v>0</v>
      </c>
      <c r="J1501" s="0">
        <v>0</v>
      </c>
      <c r="K1501" s="0">
        <v>1</v>
      </c>
      <c r="L1501" s="0">
        <v>2</v>
      </c>
      <c r="M1501" s="0">
        <v>1</v>
      </c>
      <c r="N1501" s="0">
        <v>0</v>
      </c>
      <c r="O1501" s="0">
        <v>0</v>
      </c>
      <c r="P1501" s="0">
        <v>0</v>
      </c>
      <c r="R1501" s="0" t="b">
        <v>0</v>
      </c>
      <c r="S1501" s="0" t="b">
        <v>1</v>
      </c>
      <c r="T1501" s="68">
        <v>44595.5825462963</v>
      </c>
      <c r="U1501" s="68">
        <v>44623.2916666667</v>
      </c>
      <c r="V1501" s="68">
        <v>0</v>
      </c>
      <c r="W1501" s="0">
        <f>IF(IF(B1501="none",1,IF(B1501="Trialer",1,0))+IF(C1501="Customer",1,IF(C1501="Lost",1,0))=2,1,0)</f>
      </c>
      <c r="X1501" s="0" t="s">
        <v>136</v>
      </c>
      <c r="Y1501" s="0" t="s">
        <v>499</v>
      </c>
      <c r="AV1501" s="68"/>
      <c r="AW1501" s="68"/>
      <c r="AY1501" s="27"/>
      <c r="BD1501" s="68">
        <v>46054.1666666667</v>
      </c>
      <c r="BE1501" s="68">
        <v>46082.1666666667</v>
      </c>
      <c r="BF1501" s="0" t="b">
        <v>0</v>
      </c>
      <c r="BG1501" s="0" t="b">
        <v>0</v>
      </c>
      <c r="BH1501" s="0">
        <v>0</v>
      </c>
      <c r="BI1501" s="0">
        <v>0</v>
      </c>
      <c r="BJ1501" s="0" t="s">
        <v>135</v>
      </c>
    </row>
    <row r="1502">
      <c r="A1502" s="0" t="s">
        <v>1718</v>
      </c>
      <c r="B1502" s="0" t="s">
        <v>134</v>
      </c>
      <c r="C1502" s="0" t="s">
        <v>134</v>
      </c>
      <c r="D1502" s="0" t="s">
        <v>135</v>
      </c>
      <c r="E1502" s="0" t="s">
        <v>3</v>
      </c>
      <c r="F1502" s="0" t="s">
        <v>12</v>
      </c>
      <c r="G1502" s="0" t="s">
        <v>8</v>
      </c>
      <c r="H1502" s="0">
        <v>1458</v>
      </c>
      <c r="I1502" s="0">
        <v>343</v>
      </c>
      <c r="J1502" s="0">
        <v>0</v>
      </c>
      <c r="K1502" s="0">
        <v>1</v>
      </c>
      <c r="L1502" s="0">
        <v>3</v>
      </c>
      <c r="M1502" s="0">
        <v>7</v>
      </c>
      <c r="N1502" s="0">
        <v>0</v>
      </c>
      <c r="O1502" s="0">
        <v>0</v>
      </c>
      <c r="P1502" s="0">
        <v>0</v>
      </c>
      <c r="R1502" s="0" t="b">
        <v>0</v>
      </c>
      <c r="S1502" s="0" t="b">
        <v>1</v>
      </c>
      <c r="T1502" s="68">
        <v>44595.6112847222</v>
      </c>
      <c r="U1502" s="68">
        <v>44624.2916666667</v>
      </c>
      <c r="V1502" s="68">
        <v>0</v>
      </c>
      <c r="W1502" s="0">
        <f>IF(IF(B1502="none",1,IF(B1502="Trialer",1,0))+IF(C1502="Customer",1,IF(C1502="Lost",1,0))=2,1,0)</f>
      </c>
      <c r="X1502" s="0" t="s">
        <v>136</v>
      </c>
      <c r="Y1502" s="0" t="s">
        <v>243</v>
      </c>
      <c r="AV1502" s="68"/>
      <c r="AW1502" s="68"/>
      <c r="AY1502" s="27"/>
      <c r="BD1502" s="68">
        <v>46054.1666666667</v>
      </c>
      <c r="BE1502" s="68">
        <v>46082.1666666667</v>
      </c>
      <c r="BF1502" s="0" t="b">
        <v>0</v>
      </c>
      <c r="BG1502" s="0" t="b">
        <v>0</v>
      </c>
      <c r="BH1502" s="0">
        <v>343</v>
      </c>
      <c r="BI1502" s="0">
        <v>343</v>
      </c>
      <c r="BJ1502" s="0" t="s">
        <v>135</v>
      </c>
    </row>
    <row r="1503">
      <c r="A1503" s="0" t="s">
        <v>1719</v>
      </c>
      <c r="B1503" s="0" t="s">
        <v>134</v>
      </c>
      <c r="C1503" s="0" t="s">
        <v>134</v>
      </c>
      <c r="D1503" s="0" t="s">
        <v>135</v>
      </c>
      <c r="E1503" s="0" t="s">
        <v>3</v>
      </c>
      <c r="F1503" s="0" t="s">
        <v>12</v>
      </c>
      <c r="G1503" s="0" t="s">
        <v>8</v>
      </c>
      <c r="H1503" s="0">
        <v>1457</v>
      </c>
      <c r="I1503" s="0">
        <v>84</v>
      </c>
      <c r="J1503" s="0">
        <v>0</v>
      </c>
      <c r="K1503" s="0">
        <v>1</v>
      </c>
      <c r="L1503" s="0">
        <v>1</v>
      </c>
      <c r="M1503" s="0">
        <v>3</v>
      </c>
      <c r="N1503" s="0">
        <v>0</v>
      </c>
      <c r="O1503" s="0">
        <v>0</v>
      </c>
      <c r="P1503" s="0">
        <v>0</v>
      </c>
      <c r="R1503" s="0" t="b">
        <v>0</v>
      </c>
      <c r="S1503" s="0" t="b">
        <v>1</v>
      </c>
      <c r="T1503" s="68">
        <v>44596.756724537</v>
      </c>
      <c r="U1503" s="68">
        <v>44627.2916666667</v>
      </c>
      <c r="V1503" s="68">
        <v>0</v>
      </c>
      <c r="W1503" s="0">
        <f>IF(IF(B1503="none",1,IF(B1503="Trialer",1,0))+IF(C1503="Customer",1,IF(C1503="Lost",1,0))=2,1,0)</f>
      </c>
      <c r="X1503" s="0" t="s">
        <v>153</v>
      </c>
      <c r="Y1503" s="0" t="s">
        <v>243</v>
      </c>
      <c r="AV1503" s="68"/>
      <c r="AW1503" s="68"/>
      <c r="AY1503" s="27"/>
      <c r="BD1503" s="68">
        <v>46054.1666666667</v>
      </c>
      <c r="BE1503" s="68">
        <v>46082.1666666667</v>
      </c>
      <c r="BF1503" s="0" t="b">
        <v>0</v>
      </c>
      <c r="BG1503" s="0" t="b">
        <v>0</v>
      </c>
      <c r="BH1503" s="0">
        <v>84</v>
      </c>
      <c r="BI1503" s="0">
        <v>84</v>
      </c>
      <c r="BJ1503" s="0" t="s">
        <v>135</v>
      </c>
    </row>
    <row r="1504">
      <c r="A1504" s="0" t="s">
        <v>1720</v>
      </c>
      <c r="B1504" s="0" t="s">
        <v>134</v>
      </c>
      <c r="C1504" s="0" t="s">
        <v>134</v>
      </c>
      <c r="D1504" s="0" t="s">
        <v>230</v>
      </c>
      <c r="E1504" s="0" t="s">
        <v>3</v>
      </c>
      <c r="F1504" s="0" t="s">
        <v>12</v>
      </c>
      <c r="G1504" s="0" t="s">
        <v>8</v>
      </c>
      <c r="H1504" s="0">
        <v>1456</v>
      </c>
      <c r="I1504" s="0">
        <v>25</v>
      </c>
      <c r="J1504" s="0">
        <v>0</v>
      </c>
      <c r="K1504" s="0">
        <v>1</v>
      </c>
      <c r="L1504" s="0">
        <v>1</v>
      </c>
      <c r="M1504" s="0">
        <v>1</v>
      </c>
      <c r="N1504" s="0">
        <v>0</v>
      </c>
      <c r="O1504" s="0">
        <v>0</v>
      </c>
      <c r="P1504" s="0">
        <v>-25</v>
      </c>
      <c r="R1504" s="0" t="b">
        <v>0</v>
      </c>
      <c r="S1504" s="0" t="b">
        <v>1</v>
      </c>
      <c r="T1504" s="68">
        <v>44597.957974537</v>
      </c>
      <c r="U1504" s="68">
        <v>44629.2916666667</v>
      </c>
      <c r="V1504" s="68">
        <v>0</v>
      </c>
      <c r="W1504" s="0">
        <f>IF(IF(B1504="none",1,IF(B1504="Trialer",1,0))+IF(C1504="Customer",1,IF(C1504="Lost",1,0))=2,1,0)</f>
      </c>
      <c r="X1504" s="0" t="s">
        <v>153</v>
      </c>
      <c r="Y1504" s="0" t="s">
        <v>243</v>
      </c>
      <c r="AV1504" s="68"/>
      <c r="AW1504" s="68"/>
      <c r="AY1504" s="27"/>
      <c r="BD1504" s="68">
        <v>46054.1666666667</v>
      </c>
      <c r="BE1504" s="68">
        <v>46082.1666666667</v>
      </c>
      <c r="BF1504" s="0" t="b">
        <v>0</v>
      </c>
      <c r="BG1504" s="0" t="b">
        <v>0</v>
      </c>
      <c r="BH1504" s="0">
        <v>28</v>
      </c>
      <c r="BI1504" s="0">
        <v>28</v>
      </c>
      <c r="BJ1504" s="0" t="s">
        <v>230</v>
      </c>
    </row>
    <row r="1505">
      <c r="A1505" s="0" t="s">
        <v>1721</v>
      </c>
      <c r="B1505" s="0" t="s">
        <v>134</v>
      </c>
      <c r="C1505" s="0" t="s">
        <v>134</v>
      </c>
      <c r="D1505" s="0" t="s">
        <v>135</v>
      </c>
      <c r="E1505" s="0" t="s">
        <v>2</v>
      </c>
      <c r="F1505" s="0" t="s">
        <v>12</v>
      </c>
      <c r="G1505" s="0" t="s">
        <v>8</v>
      </c>
      <c r="H1505" s="0">
        <v>1453</v>
      </c>
      <c r="I1505" s="0">
        <v>371</v>
      </c>
      <c r="J1505" s="0">
        <v>0</v>
      </c>
      <c r="K1505" s="0">
        <v>1</v>
      </c>
      <c r="L1505" s="0">
        <v>4</v>
      </c>
      <c r="M1505" s="0">
        <v>8</v>
      </c>
      <c r="N1505" s="0">
        <v>0</v>
      </c>
      <c r="O1505" s="0">
        <v>0</v>
      </c>
      <c r="P1505" s="0">
        <v>0</v>
      </c>
      <c r="R1505" s="0" t="b">
        <v>0</v>
      </c>
      <c r="S1505" s="0" t="b">
        <v>1</v>
      </c>
      <c r="T1505" s="68">
        <v>44600.3240856481</v>
      </c>
      <c r="U1505" s="68">
        <v>44628.2916666667</v>
      </c>
      <c r="V1505" s="68">
        <v>0</v>
      </c>
      <c r="W1505" s="0">
        <f>IF(IF(B1505="none",1,IF(B1505="Trialer",1,0))+IF(C1505="Customer",1,IF(C1505="Lost",1,0))=2,1,0)</f>
      </c>
      <c r="X1505" s="0" t="s">
        <v>148</v>
      </c>
      <c r="Y1505" s="0" t="s">
        <v>499</v>
      </c>
      <c r="AV1505" s="68"/>
      <c r="AW1505" s="68"/>
      <c r="AY1505" s="27"/>
      <c r="BD1505" s="68">
        <v>46054.1666666667</v>
      </c>
      <c r="BE1505" s="68">
        <v>46082.1666666667</v>
      </c>
      <c r="BF1505" s="0" t="b">
        <v>0</v>
      </c>
      <c r="BG1505" s="0" t="b">
        <v>0</v>
      </c>
      <c r="BH1505" s="0">
        <v>371</v>
      </c>
      <c r="BI1505" s="0">
        <v>371</v>
      </c>
      <c r="BJ1505" s="0" t="s">
        <v>135</v>
      </c>
    </row>
    <row r="1506">
      <c r="A1506" s="0" t="s">
        <v>1722</v>
      </c>
      <c r="B1506" s="0" t="s">
        <v>134</v>
      </c>
      <c r="C1506" s="0" t="s">
        <v>134</v>
      </c>
      <c r="D1506" s="0" t="s">
        <v>230</v>
      </c>
      <c r="E1506" s="0" t="s">
        <v>3</v>
      </c>
      <c r="F1506" s="0" t="s">
        <v>12</v>
      </c>
      <c r="G1506" s="0" t="s">
        <v>8</v>
      </c>
      <c r="H1506" s="0">
        <v>1453</v>
      </c>
      <c r="I1506" s="0">
        <v>44</v>
      </c>
      <c r="J1506" s="0">
        <v>0</v>
      </c>
      <c r="K1506" s="0">
        <v>1</v>
      </c>
      <c r="L1506" s="0">
        <v>3</v>
      </c>
      <c r="M1506" s="0">
        <v>1</v>
      </c>
      <c r="N1506" s="0">
        <v>0</v>
      </c>
      <c r="O1506" s="0">
        <v>0</v>
      </c>
      <c r="P1506" s="0">
        <v>-44</v>
      </c>
      <c r="R1506" s="0" t="b">
        <v>0</v>
      </c>
      <c r="S1506" s="0" t="b">
        <v>1</v>
      </c>
      <c r="T1506" s="68">
        <v>44600.4207638889</v>
      </c>
      <c r="U1506" s="68">
        <v>44628.2916666667</v>
      </c>
      <c r="V1506" s="68">
        <v>0</v>
      </c>
      <c r="W1506" s="0">
        <f>IF(IF(B1506="none",1,IF(B1506="Trialer",1,0))+IF(C1506="Customer",1,IF(C1506="Lost",1,0))=2,1,0)</f>
      </c>
      <c r="X1506" s="0" t="s">
        <v>142</v>
      </c>
      <c r="Y1506" s="0" t="s">
        <v>243</v>
      </c>
      <c r="AV1506" s="68"/>
      <c r="AW1506" s="68"/>
      <c r="AY1506" s="27"/>
      <c r="BD1506" s="68">
        <v>46054.1666666667</v>
      </c>
      <c r="BE1506" s="68">
        <v>46082.1666666667</v>
      </c>
      <c r="BF1506" s="0" t="b">
        <v>0</v>
      </c>
      <c r="BG1506" s="0" t="b">
        <v>0</v>
      </c>
      <c r="BH1506" s="0">
        <v>49</v>
      </c>
      <c r="BI1506" s="0">
        <v>49</v>
      </c>
      <c r="BJ1506" s="0" t="s">
        <v>230</v>
      </c>
    </row>
    <row r="1507">
      <c r="A1507" s="0" t="s">
        <v>1723</v>
      </c>
      <c r="B1507" s="0" t="s">
        <v>134</v>
      </c>
      <c r="C1507" s="0" t="s">
        <v>134</v>
      </c>
      <c r="D1507" s="0" t="s">
        <v>230</v>
      </c>
      <c r="E1507" s="0" t="s">
        <v>3</v>
      </c>
      <c r="F1507" s="0" t="s">
        <v>12</v>
      </c>
      <c r="G1507" s="0" t="s">
        <v>8</v>
      </c>
      <c r="H1507" s="0">
        <v>1451</v>
      </c>
      <c r="I1507" s="0">
        <v>72</v>
      </c>
      <c r="J1507" s="0">
        <v>0</v>
      </c>
      <c r="K1507" s="0">
        <v>1</v>
      </c>
      <c r="L1507" s="0">
        <v>2</v>
      </c>
      <c r="M1507" s="0">
        <v>2</v>
      </c>
      <c r="N1507" s="0">
        <v>0</v>
      </c>
      <c r="O1507" s="0">
        <v>0</v>
      </c>
      <c r="P1507" s="0">
        <v>-72</v>
      </c>
      <c r="R1507" s="0" t="b">
        <v>0</v>
      </c>
      <c r="S1507" s="0" t="b">
        <v>1</v>
      </c>
      <c r="T1507" s="68">
        <v>44602.5584143518</v>
      </c>
      <c r="U1507" s="68">
        <v>44630.2916666667</v>
      </c>
      <c r="V1507" s="68">
        <v>0</v>
      </c>
      <c r="W1507" s="0">
        <f>IF(IF(B1507="none",1,IF(B1507="Trialer",1,0))+IF(C1507="Customer",1,IF(C1507="Lost",1,0))=2,1,0)</f>
      </c>
      <c r="X1507" s="0" t="s">
        <v>166</v>
      </c>
      <c r="Y1507" s="0" t="s">
        <v>243</v>
      </c>
      <c r="AV1507" s="68"/>
      <c r="AW1507" s="68"/>
      <c r="AY1507" s="27"/>
      <c r="BD1507" s="68">
        <v>46054.1666666667</v>
      </c>
      <c r="BE1507" s="68">
        <v>46082.1666666667</v>
      </c>
      <c r="BF1507" s="0" t="b">
        <v>0</v>
      </c>
      <c r="BG1507" s="0" t="b">
        <v>0</v>
      </c>
      <c r="BH1507" s="0">
        <v>80</v>
      </c>
      <c r="BI1507" s="0">
        <v>80</v>
      </c>
      <c r="BJ1507" s="0" t="s">
        <v>230</v>
      </c>
    </row>
    <row r="1508">
      <c r="A1508" s="0" t="s">
        <v>1724</v>
      </c>
      <c r="B1508" s="0" t="s">
        <v>134</v>
      </c>
      <c r="C1508" s="0" t="s">
        <v>134</v>
      </c>
      <c r="D1508" s="0" t="s">
        <v>230</v>
      </c>
      <c r="E1508" s="0" t="s">
        <v>2</v>
      </c>
      <c r="F1508" s="0" t="s">
        <v>12</v>
      </c>
      <c r="G1508" s="0" t="s">
        <v>8</v>
      </c>
      <c r="H1508" s="0">
        <v>1450</v>
      </c>
      <c r="I1508" s="0">
        <v>809</v>
      </c>
      <c r="J1508" s="0">
        <v>0</v>
      </c>
      <c r="K1508" s="0">
        <v>1</v>
      </c>
      <c r="L1508" s="0">
        <v>3</v>
      </c>
      <c r="M1508" s="0">
        <v>11</v>
      </c>
      <c r="N1508" s="0">
        <v>0</v>
      </c>
      <c r="O1508" s="0">
        <v>0</v>
      </c>
      <c r="P1508" s="0">
        <v>-484</v>
      </c>
      <c r="R1508" s="0" t="b">
        <v>0</v>
      </c>
      <c r="S1508" s="0" t="b">
        <v>1</v>
      </c>
      <c r="T1508" s="68">
        <v>44603.4048611111</v>
      </c>
      <c r="U1508" s="68">
        <v>44631.2916666667</v>
      </c>
      <c r="V1508" s="68">
        <v>0</v>
      </c>
      <c r="W1508" s="0">
        <f>IF(IF(B1508="none",1,IF(B1508="Trialer",1,0))+IF(C1508="Customer",1,IF(C1508="Lost",1,0))=2,1,0)</f>
      </c>
      <c r="X1508" s="0" t="s">
        <v>136</v>
      </c>
      <c r="Y1508" s="0" t="s">
        <v>499</v>
      </c>
      <c r="AV1508" s="68"/>
      <c r="AW1508" s="68"/>
      <c r="AY1508" s="27"/>
      <c r="BD1508" s="68">
        <v>46054.1666666667</v>
      </c>
      <c r="BE1508" s="68">
        <v>46082.1666666667</v>
      </c>
      <c r="BF1508" s="0" t="b">
        <v>0</v>
      </c>
      <c r="BG1508" s="0" t="b">
        <v>0</v>
      </c>
      <c r="BH1508" s="0">
        <v>539</v>
      </c>
      <c r="BI1508" s="0">
        <v>539</v>
      </c>
      <c r="BJ1508" s="0" t="s">
        <v>230</v>
      </c>
    </row>
    <row r="1509">
      <c r="A1509" s="0" t="s">
        <v>1725</v>
      </c>
      <c r="B1509" s="0" t="s">
        <v>134</v>
      </c>
      <c r="C1509" s="0" t="s">
        <v>134</v>
      </c>
      <c r="D1509" s="0" t="s">
        <v>135</v>
      </c>
      <c r="E1509" s="0" t="s">
        <v>2</v>
      </c>
      <c r="F1509" s="0" t="s">
        <v>12</v>
      </c>
      <c r="G1509" s="0" t="s">
        <v>8</v>
      </c>
      <c r="H1509" s="0">
        <v>1450</v>
      </c>
      <c r="I1509" s="0">
        <v>245</v>
      </c>
      <c r="J1509" s="0">
        <v>0</v>
      </c>
      <c r="K1509" s="0">
        <v>1</v>
      </c>
      <c r="L1509" s="0">
        <v>3</v>
      </c>
      <c r="M1509" s="0">
        <v>5</v>
      </c>
      <c r="N1509" s="0">
        <v>0</v>
      </c>
      <c r="O1509" s="0">
        <v>0</v>
      </c>
      <c r="P1509" s="0">
        <v>0</v>
      </c>
      <c r="R1509" s="0" t="b">
        <v>0</v>
      </c>
      <c r="S1509" s="0" t="b">
        <v>1</v>
      </c>
      <c r="T1509" s="68">
        <v>44603.4628240741</v>
      </c>
      <c r="U1509" s="68">
        <v>44631.2916666667</v>
      </c>
      <c r="V1509" s="68">
        <v>0</v>
      </c>
      <c r="W1509" s="0">
        <f>IF(IF(B1509="none",1,IF(B1509="Trialer",1,0))+IF(C1509="Customer",1,IF(C1509="Lost",1,0))=2,1,0)</f>
      </c>
      <c r="X1509" s="0" t="s">
        <v>148</v>
      </c>
      <c r="Y1509" s="0" t="s">
        <v>499</v>
      </c>
      <c r="AV1509" s="68"/>
      <c r="AW1509" s="68"/>
      <c r="AY1509" s="27"/>
      <c r="BD1509" s="68">
        <v>46054.1666666667</v>
      </c>
      <c r="BE1509" s="68">
        <v>46082.1666666667</v>
      </c>
      <c r="BF1509" s="0" t="b">
        <v>0</v>
      </c>
      <c r="BG1509" s="0" t="b">
        <v>0</v>
      </c>
      <c r="BH1509" s="0">
        <v>245</v>
      </c>
      <c r="BI1509" s="0">
        <v>245</v>
      </c>
      <c r="BJ1509" s="0" t="s">
        <v>135</v>
      </c>
    </row>
    <row r="1510">
      <c r="A1510" s="0" t="s">
        <v>1726</v>
      </c>
      <c r="B1510" s="0" t="s">
        <v>134</v>
      </c>
      <c r="C1510" s="0" t="s">
        <v>134</v>
      </c>
      <c r="D1510" s="0" t="s">
        <v>135</v>
      </c>
      <c r="E1510" s="0" t="s">
        <v>3</v>
      </c>
      <c r="F1510" s="0" t="s">
        <v>12</v>
      </c>
      <c r="G1510" s="0" t="s">
        <v>8</v>
      </c>
      <c r="H1510" s="0">
        <v>1448</v>
      </c>
      <c r="I1510" s="0">
        <v>270</v>
      </c>
      <c r="J1510" s="0">
        <v>0</v>
      </c>
      <c r="K1510" s="0">
        <v>1</v>
      </c>
      <c r="L1510" s="0">
        <v>3</v>
      </c>
      <c r="M1510" s="0">
        <v>6</v>
      </c>
      <c r="N1510" s="0">
        <v>0</v>
      </c>
      <c r="O1510" s="0">
        <v>0</v>
      </c>
      <c r="P1510" s="0">
        <v>0</v>
      </c>
      <c r="R1510" s="0" t="b">
        <v>0</v>
      </c>
      <c r="S1510" s="0" t="b">
        <v>1</v>
      </c>
      <c r="T1510" s="68">
        <v>44605.3888773148</v>
      </c>
      <c r="U1510" s="68">
        <v>44633.3333333333</v>
      </c>
      <c r="V1510" s="68">
        <v>0</v>
      </c>
      <c r="W1510" s="0">
        <f>IF(IF(B1510="none",1,IF(B1510="Trialer",1,0))+IF(C1510="Customer",1,IF(C1510="Lost",1,0))=2,1,0)</f>
      </c>
      <c r="X1510" s="0" t="s">
        <v>145</v>
      </c>
      <c r="Y1510" s="0" t="s">
        <v>243</v>
      </c>
      <c r="AV1510" s="68"/>
      <c r="AW1510" s="68"/>
      <c r="AY1510" s="27"/>
      <c r="BD1510" s="68">
        <v>46054.1666666667</v>
      </c>
      <c r="BE1510" s="68">
        <v>46082.1666666667</v>
      </c>
      <c r="BF1510" s="0" t="b">
        <v>0</v>
      </c>
      <c r="BG1510" s="0" t="b">
        <v>0</v>
      </c>
      <c r="BH1510" s="0">
        <v>270</v>
      </c>
      <c r="BI1510" s="0">
        <v>270</v>
      </c>
      <c r="BJ1510" s="0" t="s">
        <v>230</v>
      </c>
    </row>
    <row r="1511">
      <c r="A1511" s="0" t="s">
        <v>1727</v>
      </c>
      <c r="B1511" s="0" t="s">
        <v>134</v>
      </c>
      <c r="C1511" s="0" t="s">
        <v>134</v>
      </c>
      <c r="D1511" s="0" t="s">
        <v>230</v>
      </c>
      <c r="E1511" s="0" t="s">
        <v>3</v>
      </c>
      <c r="F1511" s="0" t="s">
        <v>12</v>
      </c>
      <c r="G1511" s="0" t="s">
        <v>8</v>
      </c>
      <c r="H1511" s="0">
        <v>1447</v>
      </c>
      <c r="I1511" s="0">
        <v>25</v>
      </c>
      <c r="J1511" s="0">
        <v>0</v>
      </c>
      <c r="K1511" s="0">
        <v>1</v>
      </c>
      <c r="L1511" s="0">
        <v>1</v>
      </c>
      <c r="M1511" s="0">
        <v>1</v>
      </c>
      <c r="N1511" s="0">
        <v>0</v>
      </c>
      <c r="O1511" s="0">
        <v>0</v>
      </c>
      <c r="P1511" s="0">
        <v>275</v>
      </c>
      <c r="R1511" s="0" t="b">
        <v>0</v>
      </c>
      <c r="S1511" s="0" t="b">
        <v>1</v>
      </c>
      <c r="T1511" s="68">
        <v>44606.3769907407</v>
      </c>
      <c r="U1511" s="68">
        <v>44636.3333333333</v>
      </c>
      <c r="V1511" s="68">
        <v>0</v>
      </c>
      <c r="W1511" s="0">
        <f>IF(IF(B1511="none",1,IF(B1511="Trialer",1,0))+IF(C1511="Customer",1,IF(C1511="Lost",1,0))=2,1,0)</f>
      </c>
      <c r="X1511" s="0" t="s">
        <v>166</v>
      </c>
      <c r="Y1511" s="0" t="s">
        <v>243</v>
      </c>
      <c r="AV1511" s="68"/>
      <c r="AW1511" s="68"/>
      <c r="AY1511" s="27"/>
      <c r="BD1511" s="68">
        <v>46054.1666666667</v>
      </c>
      <c r="BE1511" s="68">
        <v>46082.1666666667</v>
      </c>
      <c r="BF1511" s="0" t="b">
        <v>0</v>
      </c>
      <c r="BG1511" s="0" t="b">
        <v>0</v>
      </c>
      <c r="BH1511" s="0">
        <v>28</v>
      </c>
      <c r="BI1511" s="0">
        <v>28</v>
      </c>
      <c r="BJ1511" s="0" t="s">
        <v>230</v>
      </c>
    </row>
    <row r="1512">
      <c r="A1512" s="0" t="s">
        <v>1728</v>
      </c>
      <c r="B1512" s="0" t="s">
        <v>134</v>
      </c>
      <c r="C1512" s="0" t="s">
        <v>134</v>
      </c>
      <c r="D1512" s="0" t="s">
        <v>135</v>
      </c>
      <c r="E1512" s="0" t="s">
        <v>2</v>
      </c>
      <c r="F1512" s="0" t="s">
        <v>12</v>
      </c>
      <c r="G1512" s="0" t="s">
        <v>8</v>
      </c>
      <c r="H1512" s="0">
        <v>1447</v>
      </c>
      <c r="I1512" s="0">
        <v>288</v>
      </c>
      <c r="J1512" s="0">
        <v>0</v>
      </c>
      <c r="K1512" s="0">
        <v>1</v>
      </c>
      <c r="L1512" s="0">
        <v>3</v>
      </c>
      <c r="M1512" s="0">
        <v>6</v>
      </c>
      <c r="N1512" s="0">
        <v>0</v>
      </c>
      <c r="O1512" s="0">
        <v>0</v>
      </c>
      <c r="P1512" s="0">
        <v>0</v>
      </c>
      <c r="R1512" s="0" t="b">
        <v>0</v>
      </c>
      <c r="S1512" s="0" t="b">
        <v>1</v>
      </c>
      <c r="T1512" s="68">
        <v>44606.5868055556</v>
      </c>
      <c r="U1512" s="68">
        <v>44643.3333333333</v>
      </c>
      <c r="V1512" s="68">
        <v>0</v>
      </c>
      <c r="W1512" s="0">
        <f>IF(IF(B1512="none",1,IF(B1512="Trialer",1,0))+IF(C1512="Customer",1,IF(C1512="Lost",1,0))=2,1,0)</f>
      </c>
      <c r="X1512" s="0" t="s">
        <v>136</v>
      </c>
      <c r="Y1512" s="0" t="s">
        <v>499</v>
      </c>
      <c r="AV1512" s="68"/>
      <c r="AW1512" s="68"/>
      <c r="AY1512" s="27"/>
      <c r="BD1512" s="68">
        <v>46054.1666666667</v>
      </c>
      <c r="BE1512" s="68">
        <v>46082.1666666667</v>
      </c>
      <c r="BF1512" s="0" t="b">
        <v>0</v>
      </c>
      <c r="BG1512" s="0" t="b">
        <v>0</v>
      </c>
      <c r="BH1512" s="0">
        <v>288</v>
      </c>
      <c r="BI1512" s="0">
        <v>288</v>
      </c>
      <c r="BJ1512" s="0" t="s">
        <v>135</v>
      </c>
    </row>
    <row r="1513">
      <c r="A1513" s="0" t="s">
        <v>1729</v>
      </c>
      <c r="B1513" s="0" t="s">
        <v>134</v>
      </c>
      <c r="C1513" s="0" t="s">
        <v>134</v>
      </c>
      <c r="D1513" s="0" t="s">
        <v>135</v>
      </c>
      <c r="E1513" s="0" t="s">
        <v>3</v>
      </c>
      <c r="F1513" s="0" t="s">
        <v>12</v>
      </c>
      <c r="G1513" s="0" t="s">
        <v>8</v>
      </c>
      <c r="H1513" s="0">
        <v>1446</v>
      </c>
      <c r="I1513" s="0">
        <v>98</v>
      </c>
      <c r="J1513" s="0">
        <v>0</v>
      </c>
      <c r="K1513" s="0">
        <v>1</v>
      </c>
      <c r="L1513" s="0">
        <v>3</v>
      </c>
      <c r="M1513" s="0">
        <v>2</v>
      </c>
      <c r="N1513" s="0">
        <v>0</v>
      </c>
      <c r="O1513" s="0">
        <v>0</v>
      </c>
      <c r="P1513" s="0">
        <v>0</v>
      </c>
      <c r="R1513" s="0" t="b">
        <v>0</v>
      </c>
      <c r="S1513" s="0" t="b">
        <v>1</v>
      </c>
      <c r="T1513" s="68">
        <v>44607.3564236111</v>
      </c>
      <c r="U1513" s="68">
        <v>44635.3333333333</v>
      </c>
      <c r="V1513" s="68">
        <v>0</v>
      </c>
      <c r="W1513" s="0">
        <f>IF(IF(B1513="none",1,IF(B1513="Trialer",1,0))+IF(C1513="Customer",1,IF(C1513="Lost",1,0))=2,1,0)</f>
      </c>
      <c r="X1513" s="0" t="s">
        <v>166</v>
      </c>
      <c r="Y1513" s="0" t="s">
        <v>243</v>
      </c>
      <c r="AV1513" s="68"/>
      <c r="AW1513" s="68"/>
      <c r="AY1513" s="27"/>
      <c r="BD1513" s="68">
        <v>46054.1666666667</v>
      </c>
      <c r="BE1513" s="68">
        <v>46082.1666666667</v>
      </c>
      <c r="BF1513" s="0" t="b">
        <v>0</v>
      </c>
      <c r="BG1513" s="0" t="b">
        <v>0</v>
      </c>
      <c r="BH1513" s="0">
        <v>98</v>
      </c>
      <c r="BI1513" s="0">
        <v>98</v>
      </c>
      <c r="BJ1513" s="0" t="s">
        <v>135</v>
      </c>
    </row>
    <row r="1514">
      <c r="A1514" s="0" t="s">
        <v>1730</v>
      </c>
      <c r="B1514" s="0" t="s">
        <v>134</v>
      </c>
      <c r="C1514" s="0" t="s">
        <v>134</v>
      </c>
      <c r="D1514" s="0" t="s">
        <v>230</v>
      </c>
      <c r="E1514" s="0" t="s">
        <v>3</v>
      </c>
      <c r="F1514" s="0" t="s">
        <v>10</v>
      </c>
      <c r="G1514" s="0" t="s">
        <v>8</v>
      </c>
      <c r="H1514" s="0">
        <v>1446</v>
      </c>
      <c r="I1514" s="0">
        <v>863</v>
      </c>
      <c r="J1514" s="0">
        <v>0</v>
      </c>
      <c r="K1514" s="0">
        <v>1</v>
      </c>
      <c r="L1514" s="0">
        <v>2</v>
      </c>
      <c r="M1514" s="0">
        <v>31</v>
      </c>
      <c r="N1514" s="0">
        <v>0</v>
      </c>
      <c r="O1514" s="0">
        <v>0</v>
      </c>
      <c r="P1514" s="0">
        <v>9493</v>
      </c>
      <c r="Q1514" s="0" t="s">
        <v>217</v>
      </c>
      <c r="R1514" s="0" t="b">
        <v>0</v>
      </c>
      <c r="S1514" s="0" t="b">
        <v>1</v>
      </c>
      <c r="T1514" s="68">
        <v>44607.4902777778</v>
      </c>
      <c r="U1514" s="68">
        <v>44635.5</v>
      </c>
      <c r="V1514" s="68">
        <v>0</v>
      </c>
      <c r="W1514" s="0">
        <f>IF(IF(B1514="none",1,IF(B1514="Trialer",1,0))+IF(C1514="Customer",1,IF(C1514="Lost",1,0))=2,1,0)</f>
      </c>
      <c r="X1514" s="0" t="s">
        <v>136</v>
      </c>
      <c r="Y1514" s="0" t="s">
        <v>243</v>
      </c>
      <c r="AV1514" s="68"/>
      <c r="AW1514" s="68"/>
      <c r="AY1514" s="27"/>
      <c r="BD1514" s="68">
        <v>46054.1666666667</v>
      </c>
      <c r="BE1514" s="68">
        <v>46082.1666666667</v>
      </c>
      <c r="BF1514" s="0" t="b">
        <v>0</v>
      </c>
      <c r="BG1514" s="0" t="b">
        <v>0</v>
      </c>
      <c r="BH1514" s="0">
        <v>1184</v>
      </c>
      <c r="BI1514" s="0">
        <v>1184</v>
      </c>
      <c r="BJ1514" s="0" t="s">
        <v>230</v>
      </c>
    </row>
    <row r="1515">
      <c r="A1515" s="0" t="s">
        <v>1731</v>
      </c>
      <c r="B1515" s="0" t="s">
        <v>134</v>
      </c>
      <c r="C1515" s="0" t="s">
        <v>190</v>
      </c>
      <c r="D1515" s="0" t="s">
        <v>135</v>
      </c>
      <c r="E1515" s="0" t="s">
        <v>3</v>
      </c>
      <c r="F1515" s="0" t="s">
        <v>10</v>
      </c>
      <c r="G1515" s="0" t="s">
        <v>8</v>
      </c>
      <c r="H1515" s="0">
        <v>1445</v>
      </c>
      <c r="I1515" s="0">
        <v>28</v>
      </c>
      <c r="J1515" s="0">
        <v>0</v>
      </c>
      <c r="K1515" s="0">
        <v>1</v>
      </c>
      <c r="L1515" s="0">
        <v>1</v>
      </c>
      <c r="M1515" s="0">
        <v>1</v>
      </c>
      <c r="N1515" s="0">
        <v>0</v>
      </c>
      <c r="O1515" s="0">
        <v>0</v>
      </c>
      <c r="P1515" s="0">
        <v>0</v>
      </c>
      <c r="Q1515" s="0" t="s">
        <v>618</v>
      </c>
      <c r="R1515" s="0" t="b">
        <v>0</v>
      </c>
      <c r="S1515" s="0" t="b">
        <v>0</v>
      </c>
      <c r="T1515" s="68">
        <v>44608.3604513889</v>
      </c>
      <c r="U1515" s="68">
        <v>44636.3333333333</v>
      </c>
      <c r="V1515" s="68">
        <v>46080.3289699074</v>
      </c>
      <c r="W1515" s="0">
        <f>IF(IF(B1515="none",1,IF(B1515="Trialer",1,0))+IF(C1515="Customer",1,IF(C1515="Lost",1,0))=2,1,0)</f>
      </c>
      <c r="X1515" s="0" t="s">
        <v>148</v>
      </c>
      <c r="Y1515" s="0" t="s">
        <v>243</v>
      </c>
      <c r="AV1515" s="68"/>
      <c r="AW1515" s="68"/>
      <c r="AY1515" s="27"/>
      <c r="BD1515" s="68">
        <v>46054.1666666667</v>
      </c>
      <c r="BE1515" s="68">
        <v>46082.1666666667</v>
      </c>
      <c r="BF1515" s="0" t="b">
        <v>0</v>
      </c>
      <c r="BG1515" s="0" t="b">
        <v>0</v>
      </c>
      <c r="BH1515" s="0">
        <v>28</v>
      </c>
      <c r="BI1515" s="0">
        <v>28</v>
      </c>
      <c r="BJ1515" s="0" t="s">
        <v>135</v>
      </c>
    </row>
    <row r="1516">
      <c r="A1516" s="0" t="s">
        <v>1732</v>
      </c>
      <c r="B1516" s="0" t="s">
        <v>134</v>
      </c>
      <c r="C1516" s="0" t="s">
        <v>134</v>
      </c>
      <c r="D1516" s="0" t="s">
        <v>135</v>
      </c>
      <c r="E1516" s="0" t="s">
        <v>2</v>
      </c>
      <c r="F1516" s="0" t="s">
        <v>12</v>
      </c>
      <c r="G1516" s="0" t="s">
        <v>8</v>
      </c>
      <c r="H1516" s="0">
        <v>1445</v>
      </c>
      <c r="I1516" s="0">
        <v>61</v>
      </c>
      <c r="J1516" s="0">
        <v>0</v>
      </c>
      <c r="K1516" s="0">
        <v>1</v>
      </c>
      <c r="L1516" s="0">
        <v>4</v>
      </c>
      <c r="M1516" s="0">
        <v>1</v>
      </c>
      <c r="N1516" s="0">
        <v>0</v>
      </c>
      <c r="O1516" s="0">
        <v>0</v>
      </c>
      <c r="P1516" s="0">
        <v>0</v>
      </c>
      <c r="R1516" s="0" t="b">
        <v>0</v>
      </c>
      <c r="S1516" s="0" t="b">
        <v>1</v>
      </c>
      <c r="T1516" s="68">
        <v>44608.4966782407</v>
      </c>
      <c r="U1516" s="68">
        <v>44608.2916666667</v>
      </c>
      <c r="V1516" s="68">
        <v>0</v>
      </c>
      <c r="W1516" s="0">
        <f>IF(IF(B1516="none",1,IF(B1516="Trialer",1,0))+IF(C1516="Customer",1,IF(C1516="Lost",1,0))=2,1,0)</f>
      </c>
      <c r="X1516" s="0" t="s">
        <v>166</v>
      </c>
      <c r="Y1516" s="0" t="s">
        <v>499</v>
      </c>
      <c r="AV1516" s="68"/>
      <c r="AW1516" s="68"/>
      <c r="AY1516" s="27"/>
      <c r="BD1516" s="68">
        <v>46054.1666666667</v>
      </c>
      <c r="BE1516" s="68">
        <v>46082.1666666667</v>
      </c>
      <c r="BF1516" s="0" t="b">
        <v>0</v>
      </c>
      <c r="BG1516" s="0" t="b">
        <v>0</v>
      </c>
      <c r="BH1516" s="0">
        <v>61</v>
      </c>
      <c r="BI1516" s="0">
        <v>61</v>
      </c>
      <c r="BJ1516" s="0" t="s">
        <v>135</v>
      </c>
    </row>
    <row r="1517">
      <c r="A1517" s="0" t="s">
        <v>1733</v>
      </c>
      <c r="B1517" s="0" t="s">
        <v>134</v>
      </c>
      <c r="C1517" s="0" t="s">
        <v>134</v>
      </c>
      <c r="D1517" s="0" t="s">
        <v>135</v>
      </c>
      <c r="E1517" s="0" t="s">
        <v>3</v>
      </c>
      <c r="F1517" s="0" t="s">
        <v>12</v>
      </c>
      <c r="G1517" s="0" t="s">
        <v>8</v>
      </c>
      <c r="H1517" s="0">
        <v>1445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  <c r="P1517" s="0">
        <v>0</v>
      </c>
      <c r="R1517" s="0" t="b">
        <v>0</v>
      </c>
      <c r="S1517" s="0" t="b">
        <v>1</v>
      </c>
      <c r="T1517" s="68">
        <v>44608.5</v>
      </c>
      <c r="U1517" s="68">
        <v>44608.5</v>
      </c>
      <c r="V1517" s="68">
        <v>0</v>
      </c>
      <c r="W1517" s="0">
        <f>IF(IF(B1517="none",1,IF(B1517="Trialer",1,0))+IF(C1517="Customer",1,IF(C1517="Lost",1,0))=2,1,0)</f>
      </c>
      <c r="X1517" s="0" t="s">
        <v>145</v>
      </c>
      <c r="Y1517" s="0" t="s">
        <v>243</v>
      </c>
      <c r="AV1517" s="68"/>
      <c r="AW1517" s="68"/>
      <c r="AY1517" s="27"/>
      <c r="BD1517" s="68">
        <v>46054.1666666667</v>
      </c>
      <c r="BE1517" s="68">
        <v>46082.1666666667</v>
      </c>
      <c r="BF1517" s="0" t="b">
        <v>0</v>
      </c>
      <c r="BG1517" s="0" t="b">
        <v>0</v>
      </c>
      <c r="BH1517" s="0">
        <v>0</v>
      </c>
      <c r="BI1517" s="0">
        <v>0</v>
      </c>
      <c r="BJ1517" s="0" t="s">
        <v>135</v>
      </c>
    </row>
    <row r="1518">
      <c r="A1518" s="0" t="s">
        <v>1734</v>
      </c>
      <c r="B1518" s="0" t="s">
        <v>134</v>
      </c>
      <c r="C1518" s="0" t="s">
        <v>134</v>
      </c>
      <c r="D1518" s="0" t="s">
        <v>135</v>
      </c>
      <c r="E1518" s="0" t="s">
        <v>3</v>
      </c>
      <c r="F1518" s="0" t="s">
        <v>12</v>
      </c>
      <c r="G1518" s="0" t="s">
        <v>8</v>
      </c>
      <c r="H1518" s="0">
        <v>1445</v>
      </c>
      <c r="I1518" s="0">
        <v>121</v>
      </c>
      <c r="J1518" s="0">
        <v>0</v>
      </c>
      <c r="K1518" s="0">
        <v>1</v>
      </c>
      <c r="L1518" s="0">
        <v>2</v>
      </c>
      <c r="M1518" s="0">
        <v>4</v>
      </c>
      <c r="N1518" s="0">
        <v>0</v>
      </c>
      <c r="O1518" s="0">
        <v>0</v>
      </c>
      <c r="P1518" s="0">
        <v>0</v>
      </c>
      <c r="R1518" s="0" t="b">
        <v>0</v>
      </c>
      <c r="S1518" s="0" t="b">
        <v>1</v>
      </c>
      <c r="T1518" s="68">
        <v>44608.5770486111</v>
      </c>
      <c r="U1518" s="68">
        <v>44636.3333333333</v>
      </c>
      <c r="V1518" s="68">
        <v>0</v>
      </c>
      <c r="W1518" s="0">
        <f>IF(IF(B1518="none",1,IF(B1518="Trialer",1,0))+IF(C1518="Customer",1,IF(C1518="Lost",1,0))=2,1,0)</f>
      </c>
      <c r="X1518" s="0" t="s">
        <v>136</v>
      </c>
      <c r="Y1518" s="0" t="s">
        <v>243</v>
      </c>
      <c r="AV1518" s="68"/>
      <c r="AW1518" s="68"/>
      <c r="AY1518" s="27"/>
      <c r="BD1518" s="68">
        <v>46054.1666666667</v>
      </c>
      <c r="BE1518" s="68">
        <v>46082.1666666667</v>
      </c>
      <c r="BF1518" s="0" t="b">
        <v>0</v>
      </c>
      <c r="BG1518" s="0" t="b">
        <v>0</v>
      </c>
      <c r="BH1518" s="0">
        <v>121</v>
      </c>
      <c r="BI1518" s="0">
        <v>121</v>
      </c>
      <c r="BJ1518" s="0" t="s">
        <v>135</v>
      </c>
    </row>
    <row r="1519">
      <c r="A1519" s="0" t="s">
        <v>1735</v>
      </c>
      <c r="B1519" s="0" t="s">
        <v>134</v>
      </c>
      <c r="C1519" s="0" t="s">
        <v>134</v>
      </c>
      <c r="D1519" s="0" t="s">
        <v>135</v>
      </c>
      <c r="E1519" s="0" t="s">
        <v>3</v>
      </c>
      <c r="F1519" s="0" t="s">
        <v>10</v>
      </c>
      <c r="G1519" s="0" t="s">
        <v>8</v>
      </c>
      <c r="H1519" s="0">
        <v>1443</v>
      </c>
      <c r="I1519" s="0">
        <v>28</v>
      </c>
      <c r="J1519" s="0">
        <v>0</v>
      </c>
      <c r="K1519" s="0">
        <v>1</v>
      </c>
      <c r="L1519" s="0">
        <v>1</v>
      </c>
      <c r="M1519" s="0">
        <v>1</v>
      </c>
      <c r="N1519" s="0">
        <v>0</v>
      </c>
      <c r="O1519" s="0">
        <v>0</v>
      </c>
      <c r="P1519" s="0">
        <v>0</v>
      </c>
      <c r="Q1519" s="0" t="s">
        <v>618</v>
      </c>
      <c r="R1519" s="0" t="b">
        <v>0</v>
      </c>
      <c r="S1519" s="0" t="b">
        <v>1</v>
      </c>
      <c r="T1519" s="68">
        <v>44610.45375</v>
      </c>
      <c r="U1519" s="68">
        <v>44638.3333333333</v>
      </c>
      <c r="V1519" s="68">
        <v>0</v>
      </c>
      <c r="W1519" s="0">
        <f>IF(IF(B1519="none",1,IF(B1519="Trialer",1,0))+IF(C1519="Customer",1,IF(C1519="Lost",1,0))=2,1,0)</f>
      </c>
      <c r="X1519" s="0" t="s">
        <v>148</v>
      </c>
      <c r="Y1519" s="0" t="s">
        <v>243</v>
      </c>
      <c r="AV1519" s="68"/>
      <c r="AW1519" s="68"/>
      <c r="AY1519" s="27"/>
      <c r="BD1519" s="68">
        <v>46054.1666666667</v>
      </c>
      <c r="BE1519" s="68">
        <v>46082.1666666667</v>
      </c>
      <c r="BF1519" s="0" t="b">
        <v>0</v>
      </c>
      <c r="BG1519" s="0" t="b">
        <v>0</v>
      </c>
      <c r="BH1519" s="0">
        <v>28</v>
      </c>
      <c r="BI1519" s="0">
        <v>28</v>
      </c>
      <c r="BJ1519" s="0" t="s">
        <v>135</v>
      </c>
    </row>
    <row r="1520">
      <c r="A1520" s="0" t="s">
        <v>1736</v>
      </c>
      <c r="B1520" s="0" t="s">
        <v>134</v>
      </c>
      <c r="C1520" s="0" t="s">
        <v>134</v>
      </c>
      <c r="D1520" s="0" t="s">
        <v>135</v>
      </c>
      <c r="E1520" s="0" t="s">
        <v>3</v>
      </c>
      <c r="F1520" s="0" t="s">
        <v>10</v>
      </c>
      <c r="G1520" s="0" t="s">
        <v>8</v>
      </c>
      <c r="H1520" s="0">
        <v>1443</v>
      </c>
      <c r="I1520" s="0">
        <v>28</v>
      </c>
      <c r="J1520" s="0">
        <v>0</v>
      </c>
      <c r="K1520" s="0">
        <v>1</v>
      </c>
      <c r="L1520" s="0">
        <v>1</v>
      </c>
      <c r="M1520" s="0">
        <v>1</v>
      </c>
      <c r="N1520" s="0">
        <v>0</v>
      </c>
      <c r="O1520" s="0">
        <v>0</v>
      </c>
      <c r="P1520" s="0">
        <v>0</v>
      </c>
      <c r="Q1520" s="0" t="s">
        <v>618</v>
      </c>
      <c r="R1520" s="0" t="b">
        <v>0</v>
      </c>
      <c r="S1520" s="0" t="b">
        <v>1</v>
      </c>
      <c r="T1520" s="68">
        <v>44610.4559490741</v>
      </c>
      <c r="U1520" s="68">
        <v>44638.3333333333</v>
      </c>
      <c r="V1520" s="68">
        <v>0</v>
      </c>
      <c r="W1520" s="0">
        <f>IF(IF(B1520="none",1,IF(B1520="Trialer",1,0))+IF(C1520="Customer",1,IF(C1520="Lost",1,0))=2,1,0)</f>
      </c>
      <c r="X1520" s="0" t="s">
        <v>148</v>
      </c>
      <c r="Y1520" s="0" t="s">
        <v>243</v>
      </c>
      <c r="AV1520" s="68"/>
      <c r="AW1520" s="68"/>
      <c r="AY1520" s="27"/>
      <c r="BD1520" s="68">
        <v>46054.1666666667</v>
      </c>
      <c r="BE1520" s="68">
        <v>46082.1666666667</v>
      </c>
      <c r="BF1520" s="0" t="b">
        <v>0</v>
      </c>
      <c r="BG1520" s="0" t="b">
        <v>0</v>
      </c>
      <c r="BH1520" s="0">
        <v>28</v>
      </c>
      <c r="BI1520" s="0">
        <v>28</v>
      </c>
      <c r="BJ1520" s="0" t="s">
        <v>135</v>
      </c>
    </row>
    <row r="1521">
      <c r="A1521" s="0" t="s">
        <v>1737</v>
      </c>
      <c r="B1521" s="0" t="s">
        <v>134</v>
      </c>
      <c r="C1521" s="0" t="s">
        <v>134</v>
      </c>
      <c r="D1521" s="0" t="s">
        <v>230</v>
      </c>
      <c r="E1521" s="0" t="s">
        <v>2</v>
      </c>
      <c r="F1521" s="0" t="s">
        <v>12</v>
      </c>
      <c r="G1521" s="0" t="s">
        <v>8</v>
      </c>
      <c r="H1521" s="0">
        <v>1443</v>
      </c>
      <c r="I1521" s="0">
        <v>176</v>
      </c>
      <c r="J1521" s="0">
        <v>0</v>
      </c>
      <c r="K1521" s="0">
        <v>1</v>
      </c>
      <c r="L1521" s="0">
        <v>3</v>
      </c>
      <c r="M1521" s="0">
        <v>4</v>
      </c>
      <c r="N1521" s="0">
        <v>0</v>
      </c>
      <c r="O1521" s="0">
        <v>0</v>
      </c>
      <c r="P1521" s="0">
        <v>-176</v>
      </c>
      <c r="R1521" s="0" t="b">
        <v>0</v>
      </c>
      <c r="S1521" s="0" t="b">
        <v>1</v>
      </c>
      <c r="T1521" s="68">
        <v>44610.5066782407</v>
      </c>
      <c r="U1521" s="68">
        <v>44645.3333333333</v>
      </c>
      <c r="V1521" s="68">
        <v>0</v>
      </c>
      <c r="W1521" s="0">
        <f>IF(IF(B1521="none",1,IF(B1521="Trialer",1,0))+IF(C1521="Customer",1,IF(C1521="Lost",1,0))=2,1,0)</f>
      </c>
      <c r="X1521" s="0" t="s">
        <v>136</v>
      </c>
      <c r="Y1521" s="0" t="s">
        <v>499</v>
      </c>
      <c r="AV1521" s="68"/>
      <c r="AW1521" s="68"/>
      <c r="AY1521" s="27"/>
      <c r="BD1521" s="68">
        <v>46054.1666666667</v>
      </c>
      <c r="BE1521" s="68">
        <v>46082.1666666667</v>
      </c>
      <c r="BF1521" s="0" t="b">
        <v>0</v>
      </c>
      <c r="BG1521" s="0" t="b">
        <v>0</v>
      </c>
      <c r="BH1521" s="0">
        <v>196</v>
      </c>
      <c r="BI1521" s="0">
        <v>196</v>
      </c>
      <c r="BJ1521" s="0" t="s">
        <v>230</v>
      </c>
    </row>
    <row r="1522">
      <c r="A1522" s="0" t="s">
        <v>1738</v>
      </c>
      <c r="B1522" s="0" t="s">
        <v>134</v>
      </c>
      <c r="C1522" s="0" t="s">
        <v>134</v>
      </c>
      <c r="D1522" s="0" t="s">
        <v>135</v>
      </c>
      <c r="E1522" s="0" t="s">
        <v>2</v>
      </c>
      <c r="F1522" s="0" t="s">
        <v>12</v>
      </c>
      <c r="G1522" s="0" t="s">
        <v>8</v>
      </c>
      <c r="H1522" s="0">
        <v>1443</v>
      </c>
      <c r="I1522" s="0">
        <v>0</v>
      </c>
      <c r="J1522" s="0">
        <v>0</v>
      </c>
      <c r="K1522" s="0">
        <v>1</v>
      </c>
      <c r="L1522" s="0">
        <v>4</v>
      </c>
      <c r="M1522" s="0">
        <v>1</v>
      </c>
      <c r="N1522" s="0">
        <v>0</v>
      </c>
      <c r="O1522" s="0">
        <v>0</v>
      </c>
      <c r="P1522" s="0">
        <v>0</v>
      </c>
      <c r="R1522" s="0" t="b">
        <v>0</v>
      </c>
      <c r="S1522" s="0" t="b">
        <v>1</v>
      </c>
      <c r="T1522" s="68">
        <v>44610.75625</v>
      </c>
      <c r="U1522" s="68">
        <v>44638.5</v>
      </c>
      <c r="V1522" s="68">
        <v>0</v>
      </c>
      <c r="W1522" s="0">
        <f>IF(IF(B1522="none",1,IF(B1522="Trialer",1,0))+IF(C1522="Customer",1,IF(C1522="Lost",1,0))=2,1,0)</f>
      </c>
      <c r="X1522" s="0" t="s">
        <v>145</v>
      </c>
      <c r="Y1522" s="0" t="s">
        <v>499</v>
      </c>
      <c r="AV1522" s="68"/>
      <c r="AW1522" s="68"/>
      <c r="AY1522" s="27"/>
      <c r="BD1522" s="68">
        <v>46054.1666666667</v>
      </c>
      <c r="BE1522" s="68">
        <v>46082.1666666667</v>
      </c>
      <c r="BF1522" s="0" t="b">
        <v>0</v>
      </c>
      <c r="BG1522" s="0" t="b">
        <v>0</v>
      </c>
      <c r="BH1522" s="0">
        <v>0</v>
      </c>
      <c r="BI1522" s="0">
        <v>0</v>
      </c>
      <c r="BJ1522" s="0" t="s">
        <v>135</v>
      </c>
    </row>
    <row r="1523">
      <c r="A1523" s="0" t="s">
        <v>1739</v>
      </c>
      <c r="B1523" s="0" t="s">
        <v>134</v>
      </c>
      <c r="C1523" s="0" t="s">
        <v>134</v>
      </c>
      <c r="D1523" s="0" t="s">
        <v>135</v>
      </c>
      <c r="E1523" s="0" t="s">
        <v>3</v>
      </c>
      <c r="F1523" s="0" t="s">
        <v>12</v>
      </c>
      <c r="G1523" s="0" t="s">
        <v>8</v>
      </c>
      <c r="H1523" s="0">
        <v>1442</v>
      </c>
      <c r="I1523" s="0">
        <v>37</v>
      </c>
      <c r="J1523" s="0">
        <v>0</v>
      </c>
      <c r="K1523" s="0">
        <v>1</v>
      </c>
      <c r="L1523" s="0">
        <v>5</v>
      </c>
      <c r="M1523" s="0">
        <v>3</v>
      </c>
      <c r="N1523" s="0">
        <v>0</v>
      </c>
      <c r="O1523" s="0">
        <v>0</v>
      </c>
      <c r="P1523" s="0">
        <v>0</v>
      </c>
      <c r="R1523" s="0" t="b">
        <v>0</v>
      </c>
      <c r="S1523" s="0" t="b">
        <v>1</v>
      </c>
      <c r="T1523" s="68">
        <v>44611.6956828704</v>
      </c>
      <c r="U1523" s="68">
        <v>44719.3333333333</v>
      </c>
      <c r="V1523" s="68">
        <v>0</v>
      </c>
      <c r="W1523" s="0">
        <f>IF(IF(B1523="none",1,IF(B1523="Trialer",1,0))+IF(C1523="Customer",1,IF(C1523="Lost",1,0))=2,1,0)</f>
      </c>
      <c r="X1523" s="0" t="s">
        <v>145</v>
      </c>
      <c r="Y1523" s="0" t="s">
        <v>243</v>
      </c>
      <c r="AV1523" s="68"/>
      <c r="AW1523" s="68"/>
      <c r="AY1523" s="27"/>
      <c r="BD1523" s="68">
        <v>46054.1666666667</v>
      </c>
      <c r="BE1523" s="68">
        <v>46082.1666666667</v>
      </c>
      <c r="BF1523" s="0" t="b">
        <v>0</v>
      </c>
      <c r="BG1523" s="0" t="b">
        <v>0</v>
      </c>
      <c r="BH1523" s="0">
        <v>37</v>
      </c>
      <c r="BI1523" s="0">
        <v>37</v>
      </c>
      <c r="BJ1523" s="0" t="s">
        <v>135</v>
      </c>
    </row>
    <row r="1524">
      <c r="A1524" s="0" t="s">
        <v>1740</v>
      </c>
      <c r="B1524" s="0" t="s">
        <v>134</v>
      </c>
      <c r="C1524" s="0" t="s">
        <v>134</v>
      </c>
      <c r="D1524" s="0" t="s">
        <v>230</v>
      </c>
      <c r="E1524" s="0" t="s">
        <v>3</v>
      </c>
      <c r="F1524" s="0" t="s">
        <v>12</v>
      </c>
      <c r="G1524" s="0" t="s">
        <v>8</v>
      </c>
      <c r="H1524" s="0">
        <v>1441</v>
      </c>
      <c r="I1524" s="0">
        <v>175</v>
      </c>
      <c r="J1524" s="0">
        <v>0</v>
      </c>
      <c r="K1524" s="0">
        <v>1</v>
      </c>
      <c r="L1524" s="0">
        <v>2</v>
      </c>
      <c r="M1524" s="0">
        <v>5</v>
      </c>
      <c r="N1524" s="0">
        <v>0</v>
      </c>
      <c r="O1524" s="0">
        <v>0</v>
      </c>
      <c r="P1524" s="0">
        <v>-175</v>
      </c>
      <c r="R1524" s="0" t="b">
        <v>0</v>
      </c>
      <c r="S1524" s="0" t="b">
        <v>1</v>
      </c>
      <c r="T1524" s="68">
        <v>44612.5547916667</v>
      </c>
      <c r="U1524" s="68">
        <v>44640.3333333333</v>
      </c>
      <c r="V1524" s="68">
        <v>0</v>
      </c>
      <c r="W1524" s="0">
        <f>IF(IF(B1524="none",1,IF(B1524="Trialer",1,0))+IF(C1524="Customer",1,IF(C1524="Lost",1,0))=2,1,0)</f>
      </c>
      <c r="X1524" s="0" t="s">
        <v>145</v>
      </c>
      <c r="Y1524" s="0" t="s">
        <v>243</v>
      </c>
      <c r="AV1524" s="68"/>
      <c r="AW1524" s="68"/>
      <c r="AY1524" s="27"/>
      <c r="BD1524" s="68">
        <v>46054.1666666667</v>
      </c>
      <c r="BE1524" s="68">
        <v>46082.1666666667</v>
      </c>
      <c r="BF1524" s="0" t="b">
        <v>0</v>
      </c>
      <c r="BG1524" s="0" t="b">
        <v>0</v>
      </c>
      <c r="BH1524" s="0">
        <v>200</v>
      </c>
      <c r="BI1524" s="0">
        <v>200</v>
      </c>
      <c r="BJ1524" s="0" t="s">
        <v>230</v>
      </c>
    </row>
    <row r="1525">
      <c r="A1525" s="0" t="s">
        <v>1741</v>
      </c>
      <c r="B1525" s="0" t="s">
        <v>134</v>
      </c>
      <c r="C1525" s="0" t="s">
        <v>134</v>
      </c>
      <c r="D1525" s="0" t="s">
        <v>230</v>
      </c>
      <c r="E1525" s="0" t="s">
        <v>3</v>
      </c>
      <c r="F1525" s="0" t="s">
        <v>12</v>
      </c>
      <c r="G1525" s="0" t="s">
        <v>8</v>
      </c>
      <c r="H1525" s="0">
        <v>1441</v>
      </c>
      <c r="I1525" s="0">
        <v>142</v>
      </c>
      <c r="J1525" s="0">
        <v>0</v>
      </c>
      <c r="K1525" s="0">
        <v>1</v>
      </c>
      <c r="L1525" s="0">
        <v>4</v>
      </c>
      <c r="M1525" s="0">
        <v>3</v>
      </c>
      <c r="N1525" s="0">
        <v>0</v>
      </c>
      <c r="O1525" s="0">
        <v>0</v>
      </c>
      <c r="P1525" s="0">
        <v>-142</v>
      </c>
      <c r="R1525" s="0" t="b">
        <v>0</v>
      </c>
      <c r="S1525" s="0" t="b">
        <v>1</v>
      </c>
      <c r="T1525" s="68">
        <v>44612.8895833333</v>
      </c>
      <c r="U1525" s="68">
        <v>44641.3333333333</v>
      </c>
      <c r="V1525" s="68">
        <v>0</v>
      </c>
      <c r="W1525" s="0">
        <f>IF(IF(B1525="none",1,IF(B1525="Trialer",1,0))+IF(C1525="Customer",1,IF(C1525="Lost",1,0))=2,1,0)</f>
      </c>
      <c r="X1525" s="0" t="s">
        <v>153</v>
      </c>
      <c r="Y1525" s="0" t="s">
        <v>243</v>
      </c>
      <c r="AV1525" s="68"/>
      <c r="AW1525" s="68"/>
      <c r="AY1525" s="27"/>
      <c r="BD1525" s="68">
        <v>46054.1666666667</v>
      </c>
      <c r="BE1525" s="68">
        <v>46082.1666666667</v>
      </c>
      <c r="BF1525" s="0" t="b">
        <v>0</v>
      </c>
      <c r="BG1525" s="0" t="b">
        <v>0</v>
      </c>
      <c r="BH1525" s="0">
        <v>159</v>
      </c>
      <c r="BI1525" s="0">
        <v>159</v>
      </c>
      <c r="BJ1525" s="0" t="s">
        <v>230</v>
      </c>
    </row>
    <row r="1526">
      <c r="A1526" s="0" t="s">
        <v>1742</v>
      </c>
      <c r="B1526" s="0" t="s">
        <v>134</v>
      </c>
      <c r="C1526" s="0" t="s">
        <v>134</v>
      </c>
      <c r="D1526" s="0" t="s">
        <v>135</v>
      </c>
      <c r="E1526" s="0" t="s">
        <v>3</v>
      </c>
      <c r="F1526" s="0" t="s">
        <v>11</v>
      </c>
      <c r="G1526" s="0" t="s">
        <v>8</v>
      </c>
      <c r="H1526" s="0">
        <v>1440</v>
      </c>
      <c r="I1526" s="0">
        <v>4076.68</v>
      </c>
      <c r="J1526" s="0">
        <v>0</v>
      </c>
      <c r="K1526" s="0">
        <v>2</v>
      </c>
      <c r="L1526" s="0">
        <v>6</v>
      </c>
      <c r="M1526" s="0">
        <v>29</v>
      </c>
      <c r="N1526" s="0">
        <v>77.5</v>
      </c>
      <c r="O1526" s="0">
        <v>-77.5</v>
      </c>
      <c r="P1526" s="0">
        <v>0</v>
      </c>
      <c r="Q1526" s="0" t="s">
        <v>1743</v>
      </c>
      <c r="R1526" s="0" t="b">
        <v>1</v>
      </c>
      <c r="S1526" s="0" t="b">
        <v>1</v>
      </c>
      <c r="T1526" s="68">
        <v>44613.5</v>
      </c>
      <c r="U1526" s="68">
        <v>44659.5</v>
      </c>
      <c r="V1526" s="68">
        <v>0</v>
      </c>
      <c r="W1526" s="0">
        <f>IF(IF(B1526="none",1,IF(B1526="Trialer",1,0))+IF(C1526="Customer",1,IF(C1526="Lost",1,0))=2,1,0)</f>
      </c>
      <c r="X1526" s="0" t="s">
        <v>145</v>
      </c>
      <c r="Y1526" s="0" t="s">
        <v>243</v>
      </c>
      <c r="AV1526" s="68"/>
      <c r="AW1526" s="68"/>
      <c r="AY1526" s="27"/>
      <c r="BD1526" s="68">
        <v>46054.1666666667</v>
      </c>
      <c r="BE1526" s="68">
        <v>46082.1666666667</v>
      </c>
      <c r="BF1526" s="0" t="b">
        <v>0</v>
      </c>
      <c r="BG1526" s="0" t="b">
        <v>0</v>
      </c>
      <c r="BH1526" s="0">
        <v>1109.6</v>
      </c>
      <c r="BI1526" s="0">
        <v>1109.6</v>
      </c>
      <c r="BJ1526" s="0" t="s">
        <v>135</v>
      </c>
    </row>
    <row r="1527">
      <c r="A1527" s="0" t="s">
        <v>1744</v>
      </c>
      <c r="B1527" s="0" t="s">
        <v>134</v>
      </c>
      <c r="C1527" s="0" t="s">
        <v>134</v>
      </c>
      <c r="D1527" s="0" t="s">
        <v>135</v>
      </c>
      <c r="E1527" s="0" t="s">
        <v>2</v>
      </c>
      <c r="F1527" s="0" t="s">
        <v>12</v>
      </c>
      <c r="G1527" s="0" t="s">
        <v>8</v>
      </c>
      <c r="H1527" s="0">
        <v>1439</v>
      </c>
      <c r="I1527" s="0">
        <v>73</v>
      </c>
      <c r="J1527" s="0">
        <v>0</v>
      </c>
      <c r="K1527" s="0">
        <v>1</v>
      </c>
      <c r="L1527" s="0">
        <v>5</v>
      </c>
      <c r="M1527" s="0">
        <v>1</v>
      </c>
      <c r="N1527" s="0">
        <v>0</v>
      </c>
      <c r="O1527" s="0">
        <v>0</v>
      </c>
      <c r="P1527" s="0">
        <v>0</v>
      </c>
      <c r="R1527" s="0" t="b">
        <v>0</v>
      </c>
      <c r="S1527" s="0" t="b">
        <v>1</v>
      </c>
      <c r="T1527" s="68">
        <v>44613.9720486111</v>
      </c>
      <c r="U1527" s="68">
        <v>44650.3333333333</v>
      </c>
      <c r="V1527" s="68">
        <v>0</v>
      </c>
      <c r="W1527" s="0">
        <f>IF(IF(B1527="none",1,IF(B1527="Trialer",1,0))+IF(C1527="Customer",1,IF(C1527="Lost",1,0))=2,1,0)</f>
      </c>
      <c r="X1527" s="0" t="s">
        <v>166</v>
      </c>
      <c r="Y1527" s="0" t="s">
        <v>499</v>
      </c>
      <c r="AV1527" s="68"/>
      <c r="AW1527" s="68"/>
      <c r="AY1527" s="27"/>
      <c r="BD1527" s="68">
        <v>46054.1666666667</v>
      </c>
      <c r="BE1527" s="68">
        <v>46082.1666666667</v>
      </c>
      <c r="BF1527" s="0" t="b">
        <v>0</v>
      </c>
      <c r="BG1527" s="0" t="b">
        <v>0</v>
      </c>
      <c r="BH1527" s="0">
        <v>73</v>
      </c>
      <c r="BI1527" s="0">
        <v>73</v>
      </c>
      <c r="BJ1527" s="0" t="s">
        <v>135</v>
      </c>
    </row>
    <row r="1528">
      <c r="A1528" s="0" t="s">
        <v>1745</v>
      </c>
      <c r="B1528" s="0" t="s">
        <v>134</v>
      </c>
      <c r="C1528" s="0" t="s">
        <v>134</v>
      </c>
      <c r="D1528" s="0" t="s">
        <v>230</v>
      </c>
      <c r="E1528" s="0" t="s">
        <v>3</v>
      </c>
      <c r="F1528" s="0" t="s">
        <v>12</v>
      </c>
      <c r="G1528" s="0" t="s">
        <v>8</v>
      </c>
      <c r="H1528" s="0">
        <v>1438</v>
      </c>
      <c r="I1528" s="0">
        <v>196</v>
      </c>
      <c r="J1528" s="0">
        <v>0</v>
      </c>
      <c r="K1528" s="0">
        <v>1</v>
      </c>
      <c r="L1528" s="0">
        <v>4</v>
      </c>
      <c r="M1528" s="0">
        <v>4</v>
      </c>
      <c r="N1528" s="0">
        <v>0</v>
      </c>
      <c r="O1528" s="0">
        <v>0</v>
      </c>
      <c r="P1528" s="0">
        <v>-196</v>
      </c>
      <c r="R1528" s="0" t="b">
        <v>0</v>
      </c>
      <c r="S1528" s="0" t="b">
        <v>1</v>
      </c>
      <c r="T1528" s="68">
        <v>44615.6065972222</v>
      </c>
      <c r="U1528" s="68">
        <v>44643.3333333333</v>
      </c>
      <c r="V1528" s="68">
        <v>0</v>
      </c>
      <c r="W1528" s="0">
        <f>IF(IF(B1528="none",1,IF(B1528="Trialer",1,0))+IF(C1528="Customer",1,IF(C1528="Lost",1,0))=2,1,0)</f>
      </c>
      <c r="X1528" s="0" t="s">
        <v>136</v>
      </c>
      <c r="Y1528" s="0" t="s">
        <v>243</v>
      </c>
      <c r="AV1528" s="68"/>
      <c r="AW1528" s="68"/>
      <c r="AY1528" s="27"/>
      <c r="BD1528" s="68">
        <v>46054.1666666667</v>
      </c>
      <c r="BE1528" s="68">
        <v>46082.1666666667</v>
      </c>
      <c r="BF1528" s="0" t="b">
        <v>0</v>
      </c>
      <c r="BG1528" s="0" t="b">
        <v>0</v>
      </c>
      <c r="BH1528" s="0">
        <v>220</v>
      </c>
      <c r="BI1528" s="0">
        <v>220</v>
      </c>
      <c r="BJ1528" s="0" t="s">
        <v>230</v>
      </c>
    </row>
    <row r="1529">
      <c r="A1529" s="0" t="s">
        <v>1746</v>
      </c>
      <c r="B1529" s="0" t="s">
        <v>134</v>
      </c>
      <c r="C1529" s="0" t="s">
        <v>134</v>
      </c>
      <c r="D1529" s="0" t="s">
        <v>135</v>
      </c>
      <c r="E1529" s="0" t="s">
        <v>3</v>
      </c>
      <c r="F1529" s="0" t="s">
        <v>12</v>
      </c>
      <c r="G1529" s="0" t="s">
        <v>8</v>
      </c>
      <c r="H1529" s="0">
        <v>1435</v>
      </c>
      <c r="I1529" s="0">
        <v>40</v>
      </c>
      <c r="J1529" s="0">
        <v>0</v>
      </c>
      <c r="K1529" s="0">
        <v>1</v>
      </c>
      <c r="L1529" s="0">
        <v>2</v>
      </c>
      <c r="M1529" s="0">
        <v>1</v>
      </c>
      <c r="N1529" s="0">
        <v>0</v>
      </c>
      <c r="O1529" s="0">
        <v>0</v>
      </c>
      <c r="P1529" s="0">
        <v>0</v>
      </c>
      <c r="R1529" s="0" t="b">
        <v>0</v>
      </c>
      <c r="S1529" s="0" t="b">
        <v>1</v>
      </c>
      <c r="T1529" s="68">
        <v>44618.5529513889</v>
      </c>
      <c r="U1529" s="68">
        <v>44646.3333333333</v>
      </c>
      <c r="V1529" s="68">
        <v>0</v>
      </c>
      <c r="W1529" s="0">
        <f>IF(IF(B1529="none",1,IF(B1529="Trialer",1,0))+IF(C1529="Customer",1,IF(C1529="Lost",1,0))=2,1,0)</f>
      </c>
      <c r="X1529" s="0" t="s">
        <v>153</v>
      </c>
      <c r="Y1529" s="0" t="s">
        <v>243</v>
      </c>
      <c r="AV1529" s="68"/>
      <c r="AW1529" s="68"/>
      <c r="AY1529" s="27"/>
      <c r="BD1529" s="68">
        <v>46054.1666666667</v>
      </c>
      <c r="BE1529" s="68">
        <v>46082.1666666667</v>
      </c>
      <c r="BF1529" s="0" t="b">
        <v>0</v>
      </c>
      <c r="BG1529" s="0" t="b">
        <v>0</v>
      </c>
      <c r="BH1529" s="0">
        <v>40</v>
      </c>
      <c r="BI1529" s="0">
        <v>40</v>
      </c>
      <c r="BJ1529" s="0" t="s">
        <v>135</v>
      </c>
    </row>
    <row r="1530">
      <c r="A1530" s="0" t="s">
        <v>1747</v>
      </c>
      <c r="B1530" s="0" t="s">
        <v>134</v>
      </c>
      <c r="C1530" s="0" t="s">
        <v>134</v>
      </c>
      <c r="D1530" s="0" t="s">
        <v>135</v>
      </c>
      <c r="E1530" s="0" t="s">
        <v>2</v>
      </c>
      <c r="F1530" s="0" t="s">
        <v>12</v>
      </c>
      <c r="G1530" s="0" t="s">
        <v>8</v>
      </c>
      <c r="H1530" s="0">
        <v>1433</v>
      </c>
      <c r="I1530" s="0">
        <v>200</v>
      </c>
      <c r="J1530" s="0">
        <v>0</v>
      </c>
      <c r="K1530" s="0">
        <v>1</v>
      </c>
      <c r="L1530" s="0">
        <v>2</v>
      </c>
      <c r="M1530" s="0">
        <v>5</v>
      </c>
      <c r="N1530" s="0">
        <v>0</v>
      </c>
      <c r="O1530" s="0">
        <v>0</v>
      </c>
      <c r="P1530" s="0">
        <v>0</v>
      </c>
      <c r="R1530" s="0" t="b">
        <v>0</v>
      </c>
      <c r="S1530" s="0" t="b">
        <v>1</v>
      </c>
      <c r="T1530" s="68">
        <v>44620.4682986111</v>
      </c>
      <c r="U1530" s="68">
        <v>44650.3333333333</v>
      </c>
      <c r="V1530" s="68">
        <v>0</v>
      </c>
      <c r="W1530" s="0">
        <f>IF(IF(B1530="none",1,IF(B1530="Trialer",1,0))+IF(C1530="Customer",1,IF(C1530="Lost",1,0))=2,1,0)</f>
      </c>
      <c r="X1530" s="0" t="s">
        <v>148</v>
      </c>
      <c r="Y1530" s="0" t="s">
        <v>499</v>
      </c>
      <c r="AV1530" s="68"/>
      <c r="AW1530" s="68"/>
      <c r="AY1530" s="27"/>
      <c r="BD1530" s="68">
        <v>46054.1666666667</v>
      </c>
      <c r="BE1530" s="68">
        <v>46082.1666666667</v>
      </c>
      <c r="BF1530" s="0" t="b">
        <v>0</v>
      </c>
      <c r="BG1530" s="0" t="b">
        <v>0</v>
      </c>
      <c r="BH1530" s="0">
        <v>200</v>
      </c>
      <c r="BI1530" s="0">
        <v>200</v>
      </c>
      <c r="BJ1530" s="0" t="s">
        <v>135</v>
      </c>
    </row>
    <row r="1531">
      <c r="A1531" s="0" t="s">
        <v>1748</v>
      </c>
      <c r="B1531" s="0" t="s">
        <v>134</v>
      </c>
      <c r="C1531" s="0" t="s">
        <v>134</v>
      </c>
      <c r="D1531" s="0" t="s">
        <v>135</v>
      </c>
      <c r="E1531" s="0" t="s">
        <v>2</v>
      </c>
      <c r="F1531" s="0" t="s">
        <v>12</v>
      </c>
      <c r="G1531" s="0" t="s">
        <v>8</v>
      </c>
      <c r="H1531" s="0">
        <v>1433</v>
      </c>
      <c r="I1531" s="0">
        <v>52</v>
      </c>
      <c r="J1531" s="0">
        <v>0</v>
      </c>
      <c r="K1531" s="0">
        <v>1</v>
      </c>
      <c r="L1531" s="0">
        <v>3</v>
      </c>
      <c r="M1531" s="0">
        <v>1</v>
      </c>
      <c r="N1531" s="0">
        <v>0</v>
      </c>
      <c r="O1531" s="0">
        <v>0</v>
      </c>
      <c r="P1531" s="0">
        <v>0</v>
      </c>
      <c r="R1531" s="0" t="b">
        <v>0</v>
      </c>
      <c r="S1531" s="0" t="b">
        <v>1</v>
      </c>
      <c r="T1531" s="68">
        <v>44620.5286921296</v>
      </c>
      <c r="U1531" s="68">
        <v>44690.3333333333</v>
      </c>
      <c r="V1531" s="68">
        <v>0</v>
      </c>
      <c r="W1531" s="0">
        <f>IF(IF(B1531="none",1,IF(B1531="Trialer",1,0))+IF(C1531="Customer",1,IF(C1531="Lost",1,0))=2,1,0)</f>
      </c>
      <c r="X1531" s="0" t="s">
        <v>142</v>
      </c>
      <c r="Y1531" s="0" t="s">
        <v>499</v>
      </c>
      <c r="AV1531" s="68"/>
      <c r="AW1531" s="68"/>
      <c r="AY1531" s="27"/>
      <c r="BD1531" s="68">
        <v>46054.1666666667</v>
      </c>
      <c r="BE1531" s="68">
        <v>46082.1666666667</v>
      </c>
      <c r="BF1531" s="0" t="b">
        <v>0</v>
      </c>
      <c r="BG1531" s="0" t="b">
        <v>0</v>
      </c>
      <c r="BH1531" s="0">
        <v>52</v>
      </c>
      <c r="BI1531" s="0">
        <v>52</v>
      </c>
      <c r="BJ1531" s="0" t="s">
        <v>135</v>
      </c>
    </row>
    <row r="1532">
      <c r="A1532" s="0" t="s">
        <v>1749</v>
      </c>
      <c r="B1532" s="0" t="s">
        <v>134</v>
      </c>
      <c r="C1532" s="0" t="s">
        <v>134</v>
      </c>
      <c r="D1532" s="0" t="s">
        <v>135</v>
      </c>
      <c r="E1532" s="0" t="s">
        <v>2</v>
      </c>
      <c r="F1532" s="0" t="s">
        <v>12</v>
      </c>
      <c r="G1532" s="0" t="s">
        <v>8</v>
      </c>
      <c r="H1532" s="0">
        <v>1432</v>
      </c>
      <c r="I1532" s="0">
        <v>49</v>
      </c>
      <c r="J1532" s="0">
        <v>0</v>
      </c>
      <c r="K1532" s="0">
        <v>1</v>
      </c>
      <c r="L1532" s="0">
        <v>3</v>
      </c>
      <c r="M1532" s="0">
        <v>1</v>
      </c>
      <c r="N1532" s="0">
        <v>0</v>
      </c>
      <c r="O1532" s="0">
        <v>0</v>
      </c>
      <c r="P1532" s="0">
        <v>0</v>
      </c>
      <c r="R1532" s="0" t="b">
        <v>0</v>
      </c>
      <c r="S1532" s="0" t="b">
        <v>0</v>
      </c>
      <c r="T1532" s="68">
        <v>44621.0023263889</v>
      </c>
      <c r="U1532" s="68">
        <v>44652.3333333333</v>
      </c>
      <c r="V1532" s="68">
        <v>46085.5173611111</v>
      </c>
      <c r="W1532" s="0">
        <f>IF(IF(B1532="none",1,IF(B1532="Trialer",1,0))+IF(C1532="Customer",1,IF(C1532="Lost",1,0))=2,1,0)</f>
      </c>
      <c r="X1532" s="0" t="s">
        <v>166</v>
      </c>
      <c r="Y1532" s="0" t="s">
        <v>499</v>
      </c>
      <c r="AV1532" s="68"/>
      <c r="AW1532" s="68"/>
      <c r="AY1532" s="27"/>
      <c r="BD1532" s="68">
        <v>46054.1666666667</v>
      </c>
      <c r="BE1532" s="68">
        <v>46082.1666666667</v>
      </c>
      <c r="BF1532" s="0" t="b">
        <v>0</v>
      </c>
      <c r="BG1532" s="0" t="b">
        <v>0</v>
      </c>
      <c r="BH1532" s="0">
        <v>49</v>
      </c>
      <c r="BI1532" s="0">
        <v>49</v>
      </c>
      <c r="BJ1532" s="0" t="s">
        <v>135</v>
      </c>
    </row>
    <row r="1533">
      <c r="A1533" s="0" t="s">
        <v>1750</v>
      </c>
      <c r="B1533" s="0" t="s">
        <v>134</v>
      </c>
      <c r="C1533" s="0" t="s">
        <v>134</v>
      </c>
      <c r="D1533" s="0" t="s">
        <v>230</v>
      </c>
      <c r="E1533" s="0" t="s">
        <v>3</v>
      </c>
      <c r="F1533" s="0" t="s">
        <v>12</v>
      </c>
      <c r="G1533" s="0" t="s">
        <v>8</v>
      </c>
      <c r="H1533" s="0">
        <v>1430</v>
      </c>
      <c r="I1533" s="0">
        <v>108</v>
      </c>
      <c r="J1533" s="0">
        <v>0</v>
      </c>
      <c r="K1533" s="0">
        <v>1</v>
      </c>
      <c r="L1533" s="0">
        <v>2</v>
      </c>
      <c r="M1533" s="0">
        <v>3</v>
      </c>
      <c r="N1533" s="0">
        <v>0</v>
      </c>
      <c r="O1533" s="0">
        <v>0</v>
      </c>
      <c r="P1533" s="0">
        <v>-108</v>
      </c>
      <c r="R1533" s="0" t="b">
        <v>0</v>
      </c>
      <c r="S1533" s="0" t="b">
        <v>1</v>
      </c>
      <c r="T1533" s="68">
        <v>44623.476875</v>
      </c>
      <c r="U1533" s="68">
        <v>44654.3333333333</v>
      </c>
      <c r="V1533" s="68">
        <v>0</v>
      </c>
      <c r="W1533" s="0">
        <f>IF(IF(B1533="none",1,IF(B1533="Trialer",1,0))+IF(C1533="Customer",1,IF(C1533="Lost",1,0))=2,1,0)</f>
      </c>
      <c r="X1533" s="0" t="s">
        <v>153</v>
      </c>
      <c r="Y1533" s="0" t="s">
        <v>243</v>
      </c>
      <c r="AV1533" s="68"/>
      <c r="AW1533" s="68"/>
      <c r="AY1533" s="27"/>
      <c r="BD1533" s="68">
        <v>46054.1666666667</v>
      </c>
      <c r="BE1533" s="68">
        <v>46082.1666666667</v>
      </c>
      <c r="BF1533" s="0" t="b">
        <v>0</v>
      </c>
      <c r="BG1533" s="0" t="b">
        <v>0</v>
      </c>
      <c r="BH1533" s="0">
        <v>120</v>
      </c>
      <c r="BI1533" s="0">
        <v>120</v>
      </c>
      <c r="BJ1533" s="0" t="s">
        <v>230</v>
      </c>
    </row>
    <row r="1534">
      <c r="A1534" s="0" t="s">
        <v>1751</v>
      </c>
      <c r="B1534" s="0" t="s">
        <v>134</v>
      </c>
      <c r="C1534" s="0" t="s">
        <v>134</v>
      </c>
      <c r="D1534" s="0" t="s">
        <v>230</v>
      </c>
      <c r="E1534" s="0" t="s">
        <v>2</v>
      </c>
      <c r="F1534" s="0" t="s">
        <v>12</v>
      </c>
      <c r="G1534" s="0" t="s">
        <v>8</v>
      </c>
      <c r="H1534" s="0">
        <v>1430</v>
      </c>
      <c r="I1534" s="0">
        <v>88</v>
      </c>
      <c r="J1534" s="0">
        <v>0</v>
      </c>
      <c r="K1534" s="0">
        <v>1</v>
      </c>
      <c r="L1534" s="0">
        <v>3</v>
      </c>
      <c r="M1534" s="0">
        <v>2</v>
      </c>
      <c r="N1534" s="0">
        <v>0</v>
      </c>
      <c r="O1534" s="0">
        <v>0</v>
      </c>
      <c r="P1534" s="0">
        <v>-88</v>
      </c>
      <c r="R1534" s="0" t="b">
        <v>0</v>
      </c>
      <c r="S1534" s="0" t="b">
        <v>1</v>
      </c>
      <c r="T1534" s="68">
        <v>44623.5860069444</v>
      </c>
      <c r="U1534" s="68">
        <v>44654.3333333333</v>
      </c>
      <c r="V1534" s="68">
        <v>0</v>
      </c>
      <c r="W1534" s="0">
        <f>IF(IF(B1534="none",1,IF(B1534="Trialer",1,0))+IF(C1534="Customer",1,IF(C1534="Lost",1,0))=2,1,0)</f>
      </c>
      <c r="X1534" s="0" t="s">
        <v>882</v>
      </c>
      <c r="Y1534" s="0" t="s">
        <v>499</v>
      </c>
      <c r="AV1534" s="68"/>
      <c r="AW1534" s="68"/>
      <c r="AY1534" s="27"/>
      <c r="BD1534" s="68">
        <v>46054.1666666667</v>
      </c>
      <c r="BE1534" s="68">
        <v>46082.1666666667</v>
      </c>
      <c r="BF1534" s="0" t="b">
        <v>0</v>
      </c>
      <c r="BG1534" s="0" t="b">
        <v>0</v>
      </c>
      <c r="BH1534" s="0">
        <v>98</v>
      </c>
      <c r="BI1534" s="0">
        <v>98</v>
      </c>
      <c r="BJ1534" s="0" t="s">
        <v>230</v>
      </c>
    </row>
    <row r="1535">
      <c r="A1535" s="0" t="s">
        <v>1752</v>
      </c>
      <c r="B1535" s="0" t="s">
        <v>134</v>
      </c>
      <c r="C1535" s="0" t="s">
        <v>134</v>
      </c>
      <c r="D1535" s="0" t="s">
        <v>230</v>
      </c>
      <c r="E1535" s="0" t="s">
        <v>3</v>
      </c>
      <c r="F1535" s="0" t="s">
        <v>12</v>
      </c>
      <c r="G1535" s="0" t="s">
        <v>8</v>
      </c>
      <c r="H1535" s="0">
        <v>1429</v>
      </c>
      <c r="I1535" s="0">
        <v>36</v>
      </c>
      <c r="J1535" s="0">
        <v>0</v>
      </c>
      <c r="K1535" s="0">
        <v>1</v>
      </c>
      <c r="L1535" s="0">
        <v>2</v>
      </c>
      <c r="M1535" s="0">
        <v>1</v>
      </c>
      <c r="N1535" s="0">
        <v>0</v>
      </c>
      <c r="O1535" s="0">
        <v>0</v>
      </c>
      <c r="P1535" s="0">
        <v>396</v>
      </c>
      <c r="R1535" s="0" t="b">
        <v>0</v>
      </c>
      <c r="S1535" s="0" t="b">
        <v>1</v>
      </c>
      <c r="T1535" s="68">
        <v>44624.4111689815</v>
      </c>
      <c r="U1535" s="68">
        <v>44624.2916666667</v>
      </c>
      <c r="V1535" s="68">
        <v>0</v>
      </c>
      <c r="W1535" s="0">
        <f>IF(IF(B1535="none",1,IF(B1535="Trialer",1,0))+IF(C1535="Customer",1,IF(C1535="Lost",1,0))=2,1,0)</f>
      </c>
      <c r="X1535" s="0" t="s">
        <v>153</v>
      </c>
      <c r="Y1535" s="0" t="s">
        <v>243</v>
      </c>
      <c r="AV1535" s="68"/>
      <c r="AW1535" s="68"/>
      <c r="AY1535" s="27"/>
      <c r="BD1535" s="68">
        <v>46054.1666666667</v>
      </c>
      <c r="BE1535" s="68">
        <v>46082.1666666667</v>
      </c>
      <c r="BF1535" s="0" t="b">
        <v>0</v>
      </c>
      <c r="BG1535" s="0" t="b">
        <v>0</v>
      </c>
      <c r="BH1535" s="0">
        <v>40</v>
      </c>
      <c r="BI1535" s="0">
        <v>40</v>
      </c>
      <c r="BJ1535" s="0" t="s">
        <v>230</v>
      </c>
    </row>
    <row r="1536">
      <c r="A1536" s="0" t="s">
        <v>1753</v>
      </c>
      <c r="B1536" s="0" t="s">
        <v>134</v>
      </c>
      <c r="C1536" s="0" t="s">
        <v>134</v>
      </c>
      <c r="D1536" s="0" t="s">
        <v>135</v>
      </c>
      <c r="E1536" s="0" t="s">
        <v>2</v>
      </c>
      <c r="F1536" s="0" t="s">
        <v>12</v>
      </c>
      <c r="G1536" s="0" t="s">
        <v>8</v>
      </c>
      <c r="H1536" s="0">
        <v>1425</v>
      </c>
      <c r="I1536" s="0">
        <v>126</v>
      </c>
      <c r="J1536" s="0">
        <v>0</v>
      </c>
      <c r="K1536" s="0">
        <v>1</v>
      </c>
      <c r="L1536" s="0">
        <v>4</v>
      </c>
      <c r="M1536" s="0">
        <v>3</v>
      </c>
      <c r="N1536" s="0">
        <v>0</v>
      </c>
      <c r="O1536" s="0">
        <v>0</v>
      </c>
      <c r="P1536" s="0">
        <v>0</v>
      </c>
      <c r="R1536" s="0" t="b">
        <v>0</v>
      </c>
      <c r="S1536" s="0" t="b">
        <v>1</v>
      </c>
      <c r="T1536" s="68">
        <v>44628.6247800926</v>
      </c>
      <c r="U1536" s="68">
        <v>44659.3333333333</v>
      </c>
      <c r="V1536" s="68">
        <v>0</v>
      </c>
      <c r="W1536" s="0">
        <f>IF(IF(B1536="none",1,IF(B1536="Trialer",1,0))+IF(C1536="Customer",1,IF(C1536="Lost",1,0))=2,1,0)</f>
      </c>
      <c r="X1536" s="0" t="s">
        <v>145</v>
      </c>
      <c r="Y1536" s="0" t="s">
        <v>499</v>
      </c>
      <c r="AV1536" s="68"/>
      <c r="AW1536" s="68"/>
      <c r="AY1536" s="27"/>
      <c r="BD1536" s="68">
        <v>46054.1666666667</v>
      </c>
      <c r="BE1536" s="68">
        <v>46082.1666666667</v>
      </c>
      <c r="BF1536" s="0" t="b">
        <v>0</v>
      </c>
      <c r="BG1536" s="0" t="b">
        <v>0</v>
      </c>
      <c r="BH1536" s="0">
        <v>98</v>
      </c>
      <c r="BI1536" s="0">
        <v>98</v>
      </c>
      <c r="BJ1536" s="0" t="s">
        <v>135</v>
      </c>
    </row>
    <row r="1537">
      <c r="A1537" s="0" t="s">
        <v>1754</v>
      </c>
      <c r="B1537" s="0" t="s">
        <v>134</v>
      </c>
      <c r="C1537" s="0" t="s">
        <v>134</v>
      </c>
      <c r="D1537" s="0" t="s">
        <v>135</v>
      </c>
      <c r="E1537" s="0" t="s">
        <v>2</v>
      </c>
      <c r="F1537" s="0" t="s">
        <v>10</v>
      </c>
      <c r="G1537" s="0" t="s">
        <v>8</v>
      </c>
      <c r="H1537" s="0">
        <v>1425</v>
      </c>
      <c r="I1537" s="0">
        <v>254</v>
      </c>
      <c r="J1537" s="0">
        <v>0</v>
      </c>
      <c r="K1537" s="0">
        <v>1</v>
      </c>
      <c r="L1537" s="0">
        <v>4</v>
      </c>
      <c r="M1537" s="0">
        <v>5</v>
      </c>
      <c r="N1537" s="0">
        <v>0</v>
      </c>
      <c r="O1537" s="0">
        <v>0</v>
      </c>
      <c r="P1537" s="0">
        <v>0</v>
      </c>
      <c r="Q1537" s="0" t="s">
        <v>294</v>
      </c>
      <c r="R1537" s="0" t="b">
        <v>0</v>
      </c>
      <c r="S1537" s="0" t="b">
        <v>1</v>
      </c>
      <c r="T1537" s="68">
        <v>44628.6318171296</v>
      </c>
      <c r="U1537" s="68">
        <v>44666.3333333333</v>
      </c>
      <c r="V1537" s="68">
        <v>0</v>
      </c>
      <c r="W1537" s="0">
        <f>IF(IF(B1537="none",1,IF(B1537="Trialer",1,0))+IF(C1537="Customer",1,IF(C1537="Lost",1,0))=2,1,0)</f>
      </c>
      <c r="X1537" s="0" t="s">
        <v>148</v>
      </c>
      <c r="Y1537" s="0" t="s">
        <v>499</v>
      </c>
      <c r="AV1537" s="68"/>
      <c r="AW1537" s="68"/>
      <c r="AY1537" s="27"/>
      <c r="BD1537" s="68">
        <v>46054.1666666667</v>
      </c>
      <c r="BE1537" s="68">
        <v>46082.1666666667</v>
      </c>
      <c r="BF1537" s="0" t="b">
        <v>0</v>
      </c>
      <c r="BG1537" s="0" t="b">
        <v>0</v>
      </c>
      <c r="BH1537" s="0">
        <v>254</v>
      </c>
      <c r="BI1537" s="0">
        <v>254</v>
      </c>
      <c r="BJ1537" s="0" t="s">
        <v>135</v>
      </c>
    </row>
    <row r="1538">
      <c r="A1538" s="0" t="s">
        <v>1755</v>
      </c>
      <c r="B1538" s="0" t="s">
        <v>134</v>
      </c>
      <c r="C1538" s="0" t="s">
        <v>134</v>
      </c>
      <c r="D1538" s="0" t="s">
        <v>135</v>
      </c>
      <c r="E1538" s="0" t="s">
        <v>3</v>
      </c>
      <c r="F1538" s="0" t="s">
        <v>12</v>
      </c>
      <c r="G1538" s="0" t="s">
        <v>8</v>
      </c>
      <c r="H1538" s="0">
        <v>1424</v>
      </c>
      <c r="I1538" s="0">
        <v>0</v>
      </c>
      <c r="J1538" s="0">
        <v>0</v>
      </c>
      <c r="K1538" s="0">
        <v>1</v>
      </c>
      <c r="L1538" s="0">
        <v>5</v>
      </c>
      <c r="M1538" s="0">
        <v>1</v>
      </c>
      <c r="N1538" s="0">
        <v>0</v>
      </c>
      <c r="O1538" s="0">
        <v>0</v>
      </c>
      <c r="P1538" s="0">
        <v>0</v>
      </c>
      <c r="R1538" s="0" t="b">
        <v>0</v>
      </c>
      <c r="S1538" s="0" t="b">
        <v>1</v>
      </c>
      <c r="T1538" s="68">
        <v>44629.5924074074</v>
      </c>
      <c r="U1538" s="68">
        <v>44660.3333333333</v>
      </c>
      <c r="V1538" s="68">
        <v>0</v>
      </c>
      <c r="W1538" s="0">
        <f>IF(IF(B1538="none",1,IF(B1538="Trialer",1,0))+IF(C1538="Customer",1,IF(C1538="Lost",1,0))=2,1,0)</f>
      </c>
      <c r="X1538" s="0" t="s">
        <v>148</v>
      </c>
      <c r="Y1538" s="0" t="s">
        <v>243</v>
      </c>
      <c r="AV1538" s="68"/>
      <c r="AW1538" s="68"/>
      <c r="AY1538" s="27"/>
      <c r="BD1538" s="68">
        <v>46054.1666666667</v>
      </c>
      <c r="BE1538" s="68">
        <v>46082.1666666667</v>
      </c>
      <c r="BF1538" s="0" t="b">
        <v>0</v>
      </c>
      <c r="BG1538" s="0" t="b">
        <v>0</v>
      </c>
      <c r="BH1538" s="0">
        <v>0</v>
      </c>
      <c r="BI1538" s="0">
        <v>0</v>
      </c>
      <c r="BJ1538" s="0" t="s">
        <v>135</v>
      </c>
    </row>
    <row r="1539">
      <c r="A1539" s="0" t="s">
        <v>1756</v>
      </c>
      <c r="B1539" s="0" t="s">
        <v>134</v>
      </c>
      <c r="C1539" s="0" t="s">
        <v>134</v>
      </c>
      <c r="D1539" s="0" t="s">
        <v>135</v>
      </c>
      <c r="E1539" s="0" t="s">
        <v>3</v>
      </c>
      <c r="F1539" s="0" t="s">
        <v>10</v>
      </c>
      <c r="G1539" s="0" t="s">
        <v>8</v>
      </c>
      <c r="H1539" s="0">
        <v>1422</v>
      </c>
      <c r="I1539" s="0">
        <v>28</v>
      </c>
      <c r="J1539" s="0">
        <v>0</v>
      </c>
      <c r="K1539" s="0">
        <v>1</v>
      </c>
      <c r="L1539" s="0">
        <v>1</v>
      </c>
      <c r="M1539" s="0">
        <v>1</v>
      </c>
      <c r="N1539" s="0">
        <v>0</v>
      </c>
      <c r="O1539" s="0">
        <v>0</v>
      </c>
      <c r="P1539" s="0">
        <v>0</v>
      </c>
      <c r="Q1539" s="0" t="s">
        <v>618</v>
      </c>
      <c r="R1539" s="0" t="b">
        <v>0</v>
      </c>
      <c r="S1539" s="0" t="b">
        <v>1</v>
      </c>
      <c r="T1539" s="68">
        <v>44631.2293171296</v>
      </c>
      <c r="U1539" s="68">
        <v>44662.3333333333</v>
      </c>
      <c r="V1539" s="68">
        <v>0</v>
      </c>
      <c r="W1539" s="0">
        <f>IF(IF(B1539="none",1,IF(B1539="Trialer",1,0))+IF(C1539="Customer",1,IF(C1539="Lost",1,0))=2,1,0)</f>
      </c>
      <c r="X1539" s="0" t="s">
        <v>148</v>
      </c>
      <c r="Y1539" s="0" t="s">
        <v>243</v>
      </c>
      <c r="AV1539" s="68"/>
      <c r="AW1539" s="68"/>
      <c r="AY1539" s="27"/>
      <c r="BD1539" s="68">
        <v>46054.1666666667</v>
      </c>
      <c r="BE1539" s="68">
        <v>46082.1666666667</v>
      </c>
      <c r="BF1539" s="0" t="b">
        <v>0</v>
      </c>
      <c r="BG1539" s="0" t="b">
        <v>0</v>
      </c>
      <c r="BH1539" s="0">
        <v>28</v>
      </c>
      <c r="BI1539" s="0">
        <v>28</v>
      </c>
      <c r="BJ1539" s="0" t="s">
        <v>135</v>
      </c>
    </row>
    <row r="1540">
      <c r="A1540" s="0" t="s">
        <v>1757</v>
      </c>
      <c r="B1540" s="0" t="s">
        <v>134</v>
      </c>
      <c r="C1540" s="0" t="s">
        <v>134</v>
      </c>
      <c r="D1540" s="0" t="s">
        <v>135</v>
      </c>
      <c r="E1540" s="0" t="s">
        <v>2</v>
      </c>
      <c r="F1540" s="0" t="s">
        <v>12</v>
      </c>
      <c r="G1540" s="0" t="s">
        <v>8</v>
      </c>
      <c r="H1540" s="0">
        <v>1422</v>
      </c>
      <c r="I1540" s="0">
        <v>80</v>
      </c>
      <c r="J1540" s="0">
        <v>0</v>
      </c>
      <c r="K1540" s="0">
        <v>1</v>
      </c>
      <c r="L1540" s="0">
        <v>2</v>
      </c>
      <c r="M1540" s="0">
        <v>2</v>
      </c>
      <c r="N1540" s="0">
        <v>0</v>
      </c>
      <c r="O1540" s="0">
        <v>0</v>
      </c>
      <c r="P1540" s="0">
        <v>0</v>
      </c>
      <c r="R1540" s="0" t="b">
        <v>0</v>
      </c>
      <c r="S1540" s="0" t="b">
        <v>1</v>
      </c>
      <c r="T1540" s="68">
        <v>44631.5925810185</v>
      </c>
      <c r="U1540" s="68">
        <v>44662.3333333333</v>
      </c>
      <c r="V1540" s="68">
        <v>0</v>
      </c>
      <c r="W1540" s="0">
        <f>IF(IF(B1540="none",1,IF(B1540="Trialer",1,0))+IF(C1540="Customer",1,IF(C1540="Lost",1,0))=2,1,0)</f>
      </c>
      <c r="X1540" s="0" t="s">
        <v>153</v>
      </c>
      <c r="Y1540" s="0" t="s">
        <v>499</v>
      </c>
      <c r="AV1540" s="68"/>
      <c r="AW1540" s="68"/>
      <c r="AY1540" s="27"/>
      <c r="BD1540" s="68">
        <v>46054.1666666667</v>
      </c>
      <c r="BE1540" s="68">
        <v>46082.1666666667</v>
      </c>
      <c r="BF1540" s="0" t="b">
        <v>0</v>
      </c>
      <c r="BG1540" s="0" t="b">
        <v>0</v>
      </c>
      <c r="BH1540" s="0">
        <v>80</v>
      </c>
      <c r="BI1540" s="0">
        <v>80</v>
      </c>
      <c r="BJ1540" s="0" t="s">
        <v>135</v>
      </c>
    </row>
    <row r="1541">
      <c r="A1541" s="0" t="s">
        <v>1758</v>
      </c>
      <c r="B1541" s="0" t="s">
        <v>134</v>
      </c>
      <c r="C1541" s="0" t="s">
        <v>134</v>
      </c>
      <c r="D1541" s="0" t="s">
        <v>135</v>
      </c>
      <c r="E1541" s="0" t="s">
        <v>2</v>
      </c>
      <c r="F1541" s="0" t="s">
        <v>12</v>
      </c>
      <c r="G1541" s="0" t="s">
        <v>8</v>
      </c>
      <c r="H1541" s="0">
        <v>1420</v>
      </c>
      <c r="I1541" s="0">
        <v>120</v>
      </c>
      <c r="J1541" s="0">
        <v>0</v>
      </c>
      <c r="K1541" s="0">
        <v>1</v>
      </c>
      <c r="L1541" s="0">
        <v>2</v>
      </c>
      <c r="M1541" s="0">
        <v>3</v>
      </c>
      <c r="N1541" s="0">
        <v>0</v>
      </c>
      <c r="O1541" s="0">
        <v>0</v>
      </c>
      <c r="P1541" s="0">
        <v>0</v>
      </c>
      <c r="R1541" s="0" t="b">
        <v>0</v>
      </c>
      <c r="S1541" s="0" t="b">
        <v>1</v>
      </c>
      <c r="T1541" s="68">
        <v>44633.5296643519</v>
      </c>
      <c r="U1541" s="68">
        <v>44664.3333333333</v>
      </c>
      <c r="V1541" s="68">
        <v>0</v>
      </c>
      <c r="W1541" s="0">
        <f>IF(IF(B1541="none",1,IF(B1541="Trialer",1,0))+IF(C1541="Customer",1,IF(C1541="Lost",1,0))=2,1,0)</f>
      </c>
      <c r="X1541" s="0" t="s">
        <v>142</v>
      </c>
      <c r="Y1541" s="0" t="s">
        <v>499</v>
      </c>
      <c r="AV1541" s="68"/>
      <c r="AW1541" s="68"/>
      <c r="AY1541" s="27"/>
      <c r="BD1541" s="68">
        <v>46054.1666666667</v>
      </c>
      <c r="BE1541" s="68">
        <v>46082.1666666667</v>
      </c>
      <c r="BF1541" s="0" t="b">
        <v>0</v>
      </c>
      <c r="BG1541" s="0" t="b">
        <v>0</v>
      </c>
      <c r="BH1541" s="0">
        <v>120</v>
      </c>
      <c r="BI1541" s="0">
        <v>120</v>
      </c>
      <c r="BJ1541" s="0" t="s">
        <v>135</v>
      </c>
    </row>
    <row r="1542">
      <c r="A1542" s="0" t="s">
        <v>1759</v>
      </c>
      <c r="B1542" s="0" t="s">
        <v>134</v>
      </c>
      <c r="C1542" s="0" t="s">
        <v>134</v>
      </c>
      <c r="D1542" s="0" t="s">
        <v>135</v>
      </c>
      <c r="E1542" s="0" t="s">
        <v>3</v>
      </c>
      <c r="F1542" s="0" t="s">
        <v>10</v>
      </c>
      <c r="G1542" s="0" t="s">
        <v>8</v>
      </c>
      <c r="H1542" s="0">
        <v>1419</v>
      </c>
      <c r="I1542" s="0">
        <v>112</v>
      </c>
      <c r="J1542" s="0">
        <v>0</v>
      </c>
      <c r="K1542" s="0">
        <v>1</v>
      </c>
      <c r="L1542" s="0">
        <v>1</v>
      </c>
      <c r="M1542" s="0">
        <v>4</v>
      </c>
      <c r="N1542" s="0">
        <v>0</v>
      </c>
      <c r="O1542" s="0">
        <v>0</v>
      </c>
      <c r="P1542" s="0">
        <v>0</v>
      </c>
      <c r="Q1542" s="0" t="s">
        <v>618</v>
      </c>
      <c r="R1542" s="0" t="b">
        <v>0</v>
      </c>
      <c r="S1542" s="0" t="b">
        <v>1</v>
      </c>
      <c r="T1542" s="68">
        <v>44634.5572106481</v>
      </c>
      <c r="U1542" s="68">
        <v>44665.3333333333</v>
      </c>
      <c r="V1542" s="68">
        <v>0</v>
      </c>
      <c r="W1542" s="0">
        <f>IF(IF(B1542="none",1,IF(B1542="Trialer",1,0))+IF(C1542="Customer",1,IF(C1542="Lost",1,0))=2,1,0)</f>
      </c>
      <c r="X1542" s="0" t="s">
        <v>148</v>
      </c>
      <c r="Y1542" s="0" t="s">
        <v>243</v>
      </c>
      <c r="AV1542" s="68"/>
      <c r="AW1542" s="68"/>
      <c r="AY1542" s="27"/>
      <c r="BD1542" s="68">
        <v>46054.1666666667</v>
      </c>
      <c r="BE1542" s="68">
        <v>46082.1666666667</v>
      </c>
      <c r="BF1542" s="0" t="b">
        <v>0</v>
      </c>
      <c r="BG1542" s="0" t="b">
        <v>0</v>
      </c>
      <c r="BH1542" s="0">
        <v>112</v>
      </c>
      <c r="BI1542" s="0">
        <v>112</v>
      </c>
      <c r="BJ1542" s="0" t="s">
        <v>135</v>
      </c>
    </row>
    <row r="1543">
      <c r="A1543" s="0" t="s">
        <v>1760</v>
      </c>
      <c r="B1543" s="0" t="s">
        <v>134</v>
      </c>
      <c r="C1543" s="0" t="s">
        <v>134</v>
      </c>
      <c r="D1543" s="0" t="s">
        <v>135</v>
      </c>
      <c r="E1543" s="0" t="s">
        <v>3</v>
      </c>
      <c r="F1543" s="0" t="s">
        <v>12</v>
      </c>
      <c r="G1543" s="0" t="s">
        <v>8</v>
      </c>
      <c r="H1543" s="0">
        <v>1418</v>
      </c>
      <c r="I1543" s="0">
        <v>56</v>
      </c>
      <c r="J1543" s="0">
        <v>0</v>
      </c>
      <c r="K1543" s="0">
        <v>1</v>
      </c>
      <c r="L1543" s="0">
        <v>1</v>
      </c>
      <c r="M1543" s="0">
        <v>2</v>
      </c>
      <c r="N1543" s="0">
        <v>0</v>
      </c>
      <c r="O1543" s="0">
        <v>0</v>
      </c>
      <c r="P1543" s="0">
        <v>0</v>
      </c>
      <c r="R1543" s="0" t="b">
        <v>0</v>
      </c>
      <c r="S1543" s="0" t="b">
        <v>1</v>
      </c>
      <c r="T1543" s="68">
        <v>44635.7732523148</v>
      </c>
      <c r="U1543" s="68">
        <v>44666.3333333333</v>
      </c>
      <c r="V1543" s="68">
        <v>0</v>
      </c>
      <c r="W1543" s="0">
        <f>IF(IF(B1543="none",1,IF(B1543="Trialer",1,0))+IF(C1543="Customer",1,IF(C1543="Lost",1,0))=2,1,0)</f>
      </c>
      <c r="X1543" s="0" t="s">
        <v>166</v>
      </c>
      <c r="Y1543" s="0" t="s">
        <v>243</v>
      </c>
      <c r="AV1543" s="68"/>
      <c r="AW1543" s="68"/>
      <c r="AY1543" s="27"/>
      <c r="BD1543" s="68">
        <v>46054.1666666667</v>
      </c>
      <c r="BE1543" s="68">
        <v>46082.1666666667</v>
      </c>
      <c r="BF1543" s="0" t="b">
        <v>0</v>
      </c>
      <c r="BG1543" s="0" t="b">
        <v>0</v>
      </c>
      <c r="BH1543" s="0">
        <v>56</v>
      </c>
      <c r="BI1543" s="0">
        <v>56</v>
      </c>
      <c r="BJ1543" s="0" t="s">
        <v>135</v>
      </c>
    </row>
    <row r="1544">
      <c r="A1544" s="0" t="s">
        <v>1761</v>
      </c>
      <c r="B1544" s="0" t="s">
        <v>134</v>
      </c>
      <c r="C1544" s="0" t="s">
        <v>134</v>
      </c>
      <c r="D1544" s="0" t="s">
        <v>135</v>
      </c>
      <c r="E1544" s="0" t="s">
        <v>2</v>
      </c>
      <c r="F1544" s="0" t="s">
        <v>12</v>
      </c>
      <c r="G1544" s="0" t="s">
        <v>8</v>
      </c>
      <c r="H1544" s="0">
        <v>1417</v>
      </c>
      <c r="I1544" s="0">
        <v>0</v>
      </c>
      <c r="J1544" s="0">
        <v>0</v>
      </c>
      <c r="K1544" s="0">
        <v>1</v>
      </c>
      <c r="L1544" s="0">
        <v>3</v>
      </c>
      <c r="M1544" s="0">
        <v>1</v>
      </c>
      <c r="N1544" s="0">
        <v>0</v>
      </c>
      <c r="O1544" s="0">
        <v>0</v>
      </c>
      <c r="P1544" s="0">
        <v>0</v>
      </c>
      <c r="R1544" s="0" t="b">
        <v>0</v>
      </c>
      <c r="S1544" s="0" t="b">
        <v>1</v>
      </c>
      <c r="T1544" s="68">
        <v>44636.7156018519</v>
      </c>
      <c r="U1544" s="68">
        <v>44637.3333333333</v>
      </c>
      <c r="V1544" s="68">
        <v>0</v>
      </c>
      <c r="W1544" s="0">
        <f>IF(IF(B1544="none",1,IF(B1544="Trialer",1,0))+IF(C1544="Customer",1,IF(C1544="Lost",1,0))=2,1,0)</f>
      </c>
      <c r="X1544" s="0" t="s">
        <v>148</v>
      </c>
      <c r="Y1544" s="0" t="s">
        <v>499</v>
      </c>
      <c r="AV1544" s="68"/>
      <c r="AW1544" s="68"/>
      <c r="AY1544" s="27"/>
      <c r="BD1544" s="68">
        <v>46054.1666666667</v>
      </c>
      <c r="BE1544" s="68">
        <v>46082.1666666667</v>
      </c>
      <c r="BF1544" s="0" t="b">
        <v>0</v>
      </c>
      <c r="BG1544" s="0" t="b">
        <v>0</v>
      </c>
      <c r="BH1544" s="0">
        <v>0</v>
      </c>
      <c r="BI1544" s="0">
        <v>0</v>
      </c>
      <c r="BJ1544" s="0" t="s">
        <v>135</v>
      </c>
    </row>
    <row r="1545">
      <c r="A1545" s="0" t="s">
        <v>1762</v>
      </c>
      <c r="B1545" s="0" t="s">
        <v>134</v>
      </c>
      <c r="C1545" s="0" t="s">
        <v>134</v>
      </c>
      <c r="D1545" s="0" t="s">
        <v>230</v>
      </c>
      <c r="E1545" s="0" t="s">
        <v>3</v>
      </c>
      <c r="F1545" s="0" t="s">
        <v>12</v>
      </c>
      <c r="G1545" s="0" t="s">
        <v>8</v>
      </c>
      <c r="H1545" s="0">
        <v>1416</v>
      </c>
      <c r="I1545" s="0">
        <v>220</v>
      </c>
      <c r="J1545" s="0">
        <v>0</v>
      </c>
      <c r="K1545" s="0">
        <v>1</v>
      </c>
      <c r="L1545" s="0">
        <v>3</v>
      </c>
      <c r="M1545" s="0">
        <v>5</v>
      </c>
      <c r="N1545" s="0">
        <v>0</v>
      </c>
      <c r="O1545" s="0">
        <v>0</v>
      </c>
      <c r="P1545" s="0">
        <v>-220</v>
      </c>
      <c r="R1545" s="0" t="b">
        <v>0</v>
      </c>
      <c r="S1545" s="0" t="b">
        <v>1</v>
      </c>
      <c r="T1545" s="68">
        <v>44637.5702546296</v>
      </c>
      <c r="U1545" s="68">
        <v>44673.3333333333</v>
      </c>
      <c r="V1545" s="68">
        <v>0</v>
      </c>
      <c r="W1545" s="0">
        <f>IF(IF(B1545="none",1,IF(B1545="Trialer",1,0))+IF(C1545="Customer",1,IF(C1545="Lost",1,0))=2,1,0)</f>
      </c>
      <c r="X1545" s="0" t="s">
        <v>136</v>
      </c>
      <c r="Y1545" s="0" t="s">
        <v>499</v>
      </c>
      <c r="AV1545" s="68"/>
      <c r="AW1545" s="68"/>
      <c r="AY1545" s="27"/>
      <c r="BD1545" s="68">
        <v>46054.1666666667</v>
      </c>
      <c r="BE1545" s="68">
        <v>46082.1666666667</v>
      </c>
      <c r="BF1545" s="0" t="b">
        <v>0</v>
      </c>
      <c r="BG1545" s="0" t="b">
        <v>0</v>
      </c>
      <c r="BH1545" s="0">
        <v>245</v>
      </c>
      <c r="BI1545" s="0">
        <v>245</v>
      </c>
      <c r="BJ1545" s="0" t="s">
        <v>230</v>
      </c>
    </row>
    <row r="1546">
      <c r="A1546" s="0" t="s">
        <v>1763</v>
      </c>
      <c r="B1546" s="0" t="s">
        <v>134</v>
      </c>
      <c r="C1546" s="0" t="s">
        <v>134</v>
      </c>
      <c r="D1546" s="0" t="s">
        <v>135</v>
      </c>
      <c r="E1546" s="0" t="s">
        <v>3</v>
      </c>
      <c r="F1546" s="0" t="s">
        <v>12</v>
      </c>
      <c r="G1546" s="0" t="s">
        <v>8</v>
      </c>
      <c r="H1546" s="0">
        <v>1415</v>
      </c>
      <c r="I1546" s="0">
        <v>61</v>
      </c>
      <c r="J1546" s="0">
        <v>0</v>
      </c>
      <c r="K1546" s="0">
        <v>1</v>
      </c>
      <c r="L1546" s="0">
        <v>4</v>
      </c>
      <c r="M1546" s="0">
        <v>1</v>
      </c>
      <c r="N1546" s="0">
        <v>0</v>
      </c>
      <c r="O1546" s="0">
        <v>0</v>
      </c>
      <c r="P1546" s="0">
        <v>0</v>
      </c>
      <c r="R1546" s="0" t="b">
        <v>0</v>
      </c>
      <c r="S1546" s="0" t="b">
        <v>1</v>
      </c>
      <c r="T1546" s="68">
        <v>44638.4709606481</v>
      </c>
      <c r="U1546" s="68">
        <v>44672.3333333333</v>
      </c>
      <c r="V1546" s="68">
        <v>0</v>
      </c>
      <c r="W1546" s="0">
        <f>IF(IF(B1546="none",1,IF(B1546="Trialer",1,0))+IF(C1546="Customer",1,IF(C1546="Lost",1,0))=2,1,0)</f>
      </c>
      <c r="X1546" s="0" t="s">
        <v>153</v>
      </c>
      <c r="Y1546" s="0" t="s">
        <v>243</v>
      </c>
      <c r="AV1546" s="68"/>
      <c r="AW1546" s="68"/>
      <c r="AY1546" s="27"/>
      <c r="BD1546" s="68">
        <v>46054.1666666667</v>
      </c>
      <c r="BE1546" s="68">
        <v>46082.1666666667</v>
      </c>
      <c r="BF1546" s="0" t="b">
        <v>0</v>
      </c>
      <c r="BG1546" s="0" t="b">
        <v>0</v>
      </c>
      <c r="BH1546" s="0">
        <v>61</v>
      </c>
      <c r="BI1546" s="0">
        <v>61</v>
      </c>
      <c r="BJ1546" s="0" t="s">
        <v>135</v>
      </c>
    </row>
    <row r="1547">
      <c r="A1547" s="0" t="s">
        <v>1764</v>
      </c>
      <c r="B1547" s="0" t="s">
        <v>134</v>
      </c>
      <c r="C1547" s="0" t="s">
        <v>134</v>
      </c>
      <c r="D1547" s="0" t="s">
        <v>230</v>
      </c>
      <c r="E1547" s="0" t="s">
        <v>3</v>
      </c>
      <c r="F1547" s="0" t="s">
        <v>10</v>
      </c>
      <c r="G1547" s="0" t="s">
        <v>8</v>
      </c>
      <c r="H1547" s="0">
        <v>1415</v>
      </c>
      <c r="I1547" s="0">
        <v>187</v>
      </c>
      <c r="J1547" s="0">
        <v>0</v>
      </c>
      <c r="K1547" s="0">
        <v>1</v>
      </c>
      <c r="L1547" s="0">
        <v>4</v>
      </c>
      <c r="M1547" s="0">
        <v>4</v>
      </c>
      <c r="N1547" s="0">
        <v>0</v>
      </c>
      <c r="O1547" s="0">
        <v>0</v>
      </c>
      <c r="P1547" s="0">
        <v>2057</v>
      </c>
      <c r="Q1547" s="0" t="s">
        <v>1739</v>
      </c>
      <c r="R1547" s="0" t="b">
        <v>0</v>
      </c>
      <c r="S1547" s="0" t="b">
        <v>1</v>
      </c>
      <c r="T1547" s="68">
        <v>44638.6328356481</v>
      </c>
      <c r="U1547" s="68">
        <v>44669.3333333333</v>
      </c>
      <c r="V1547" s="68">
        <v>0</v>
      </c>
      <c r="W1547" s="0">
        <f>IF(IF(B1547="none",1,IF(B1547="Trialer",1,0))+IF(C1547="Customer",1,IF(C1547="Lost",1,0))=2,1,0)</f>
      </c>
      <c r="X1547" s="0" t="s">
        <v>145</v>
      </c>
      <c r="Y1547" s="0" t="s">
        <v>487</v>
      </c>
      <c r="AV1547" s="68"/>
      <c r="AW1547" s="68"/>
      <c r="AY1547" s="27"/>
      <c r="BD1547" s="68">
        <v>46054.1666666667</v>
      </c>
      <c r="BE1547" s="68">
        <v>46082.1666666667</v>
      </c>
      <c r="BF1547" s="0" t="b">
        <v>0</v>
      </c>
      <c r="BG1547" s="0" t="b">
        <v>0</v>
      </c>
      <c r="BH1547" s="0">
        <v>211</v>
      </c>
      <c r="BI1547" s="0">
        <v>211</v>
      </c>
      <c r="BJ1547" s="0" t="s">
        <v>230</v>
      </c>
    </row>
    <row r="1548">
      <c r="A1548" s="0" t="s">
        <v>1765</v>
      </c>
      <c r="B1548" s="0" t="s">
        <v>134</v>
      </c>
      <c r="C1548" s="0" t="s">
        <v>134</v>
      </c>
      <c r="D1548" s="0" t="s">
        <v>135</v>
      </c>
      <c r="E1548" s="0" t="s">
        <v>3</v>
      </c>
      <c r="F1548" s="0" t="s">
        <v>12</v>
      </c>
      <c r="G1548" s="0" t="s">
        <v>8</v>
      </c>
      <c r="H1548" s="0">
        <v>1412</v>
      </c>
      <c r="I1548" s="0">
        <v>49</v>
      </c>
      <c r="J1548" s="0">
        <v>0</v>
      </c>
      <c r="K1548" s="0">
        <v>1</v>
      </c>
      <c r="L1548" s="0">
        <v>3</v>
      </c>
      <c r="M1548" s="0">
        <v>1</v>
      </c>
      <c r="N1548" s="0">
        <v>0</v>
      </c>
      <c r="O1548" s="0">
        <v>0</v>
      </c>
      <c r="P1548" s="0">
        <v>0</v>
      </c>
      <c r="R1548" s="0" t="b">
        <v>0</v>
      </c>
      <c r="S1548" s="0" t="b">
        <v>1</v>
      </c>
      <c r="T1548" s="68">
        <v>44641.6602314815</v>
      </c>
      <c r="U1548" s="68">
        <v>44672.3333333333</v>
      </c>
      <c r="V1548" s="68">
        <v>0</v>
      </c>
      <c r="W1548" s="0">
        <f>IF(IF(B1548="none",1,IF(B1548="Trialer",1,0))+IF(C1548="Customer",1,IF(C1548="Lost",1,0))=2,1,0)</f>
      </c>
      <c r="X1548" s="0" t="s">
        <v>166</v>
      </c>
      <c r="Y1548" s="0" t="s">
        <v>243</v>
      </c>
      <c r="AV1548" s="68"/>
      <c r="AW1548" s="68"/>
      <c r="AY1548" s="27"/>
      <c r="BD1548" s="68">
        <v>46054.1666666667</v>
      </c>
      <c r="BE1548" s="68">
        <v>46082.1666666667</v>
      </c>
      <c r="BF1548" s="0" t="b">
        <v>0</v>
      </c>
      <c r="BG1548" s="0" t="b">
        <v>0</v>
      </c>
      <c r="BH1548" s="0">
        <v>49</v>
      </c>
      <c r="BI1548" s="0">
        <v>49</v>
      </c>
      <c r="BJ1548" s="0" t="s">
        <v>135</v>
      </c>
    </row>
    <row r="1549">
      <c r="A1549" s="0" t="s">
        <v>1766</v>
      </c>
      <c r="B1549" s="0" t="s">
        <v>134</v>
      </c>
      <c r="C1549" s="0" t="s">
        <v>134</v>
      </c>
      <c r="D1549" s="0" t="s">
        <v>135</v>
      </c>
      <c r="E1549" s="0" t="s">
        <v>2</v>
      </c>
      <c r="F1549" s="0" t="s">
        <v>10</v>
      </c>
      <c r="G1549" s="0" t="s">
        <v>8</v>
      </c>
      <c r="H1549" s="0">
        <v>1411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 t="s">
        <v>618</v>
      </c>
      <c r="R1549" s="0" t="b">
        <v>0</v>
      </c>
      <c r="S1549" s="0" t="b">
        <v>1</v>
      </c>
      <c r="T1549" s="68">
        <v>44642.4200694444</v>
      </c>
      <c r="U1549" s="68">
        <v>44673.3333333333</v>
      </c>
      <c r="V1549" s="68">
        <v>0</v>
      </c>
      <c r="W1549" s="0">
        <f>IF(IF(B1549="none",1,IF(B1549="Trialer",1,0))+IF(C1549="Customer",1,IF(C1549="Lost",1,0))=2,1,0)</f>
      </c>
      <c r="X1549" s="0" t="s">
        <v>148</v>
      </c>
      <c r="Y1549" s="0" t="s">
        <v>499</v>
      </c>
      <c r="AV1549" s="68"/>
      <c r="AW1549" s="68"/>
      <c r="AY1549" s="27"/>
      <c r="BD1549" s="68">
        <v>46054.1666666667</v>
      </c>
      <c r="BE1549" s="68">
        <v>46082.1666666667</v>
      </c>
      <c r="BF1549" s="0" t="b">
        <v>0</v>
      </c>
      <c r="BG1549" s="0" t="b">
        <v>0</v>
      </c>
      <c r="BH1549" s="0">
        <v>0</v>
      </c>
      <c r="BI1549" s="0">
        <v>0</v>
      </c>
      <c r="BJ1549" s="0" t="s">
        <v>135</v>
      </c>
    </row>
    <row r="1550">
      <c r="A1550" s="0" t="s">
        <v>1767</v>
      </c>
      <c r="B1550" s="0" t="s">
        <v>134</v>
      </c>
      <c r="C1550" s="0" t="s">
        <v>134</v>
      </c>
      <c r="D1550" s="0" t="s">
        <v>135</v>
      </c>
      <c r="E1550" s="0" t="s">
        <v>3</v>
      </c>
      <c r="F1550" s="0" t="s">
        <v>10</v>
      </c>
      <c r="G1550" s="0" t="s">
        <v>8</v>
      </c>
      <c r="H1550" s="0">
        <v>1410</v>
      </c>
      <c r="I1550" s="0">
        <v>173</v>
      </c>
      <c r="J1550" s="0">
        <v>0</v>
      </c>
      <c r="K1550" s="0">
        <v>1</v>
      </c>
      <c r="L1550" s="0">
        <v>3</v>
      </c>
      <c r="M1550" s="0">
        <v>5</v>
      </c>
      <c r="N1550" s="0">
        <v>0</v>
      </c>
      <c r="O1550" s="0">
        <v>0</v>
      </c>
      <c r="P1550" s="0">
        <v>0</v>
      </c>
      <c r="Q1550" s="0" t="s">
        <v>498</v>
      </c>
      <c r="R1550" s="0" t="b">
        <v>0</v>
      </c>
      <c r="S1550" s="0" t="b">
        <v>0</v>
      </c>
      <c r="T1550" s="68">
        <v>44643.4200462963</v>
      </c>
      <c r="U1550" s="68">
        <v>44683.3333333333</v>
      </c>
      <c r="V1550" s="68">
        <v>46090.487650463</v>
      </c>
      <c r="W1550" s="0">
        <f>IF(IF(B1550="none",1,IF(B1550="Trialer",1,0))+IF(C1550="Customer",1,IF(C1550="Lost",1,0))=2,1,0)</f>
      </c>
      <c r="X1550" s="0" t="s">
        <v>136</v>
      </c>
      <c r="Y1550" s="0" t="s">
        <v>243</v>
      </c>
      <c r="AV1550" s="68"/>
      <c r="AW1550" s="68"/>
      <c r="AY1550" s="27"/>
      <c r="BD1550" s="68">
        <v>46054.1666666667</v>
      </c>
      <c r="BE1550" s="68">
        <v>46082.1666666667</v>
      </c>
      <c r="BF1550" s="0" t="b">
        <v>0</v>
      </c>
      <c r="BG1550" s="0" t="b">
        <v>0</v>
      </c>
      <c r="BH1550" s="0">
        <v>173</v>
      </c>
      <c r="BI1550" s="0">
        <v>173</v>
      </c>
      <c r="BJ1550" s="0" t="s">
        <v>135</v>
      </c>
    </row>
    <row r="1551">
      <c r="A1551" s="0" t="s">
        <v>1768</v>
      </c>
      <c r="B1551" s="0" t="s">
        <v>134</v>
      </c>
      <c r="C1551" s="0" t="s">
        <v>134</v>
      </c>
      <c r="D1551" s="0" t="s">
        <v>135</v>
      </c>
      <c r="E1551" s="0" t="s">
        <v>3</v>
      </c>
      <c r="F1551" s="0" t="s">
        <v>12</v>
      </c>
      <c r="G1551" s="0" t="s">
        <v>8</v>
      </c>
      <c r="H1551" s="0">
        <v>1410</v>
      </c>
      <c r="I1551" s="0">
        <v>28</v>
      </c>
      <c r="J1551" s="0">
        <v>0</v>
      </c>
      <c r="K1551" s="0">
        <v>1</v>
      </c>
      <c r="L1551" s="0">
        <v>1</v>
      </c>
      <c r="M1551" s="0">
        <v>1</v>
      </c>
      <c r="N1551" s="0">
        <v>0</v>
      </c>
      <c r="O1551" s="0">
        <v>0</v>
      </c>
      <c r="P1551" s="0">
        <v>0</v>
      </c>
      <c r="R1551" s="0" t="b">
        <v>0</v>
      </c>
      <c r="S1551" s="0" t="b">
        <v>1</v>
      </c>
      <c r="T1551" s="68">
        <v>44643.6256944444</v>
      </c>
      <c r="U1551" s="68">
        <v>44674.3333333333</v>
      </c>
      <c r="V1551" s="68">
        <v>0</v>
      </c>
      <c r="W1551" s="0">
        <f>IF(IF(B1551="none",1,IF(B1551="Trialer",1,0))+IF(C1551="Customer",1,IF(C1551="Lost",1,0))=2,1,0)</f>
      </c>
      <c r="X1551" s="0" t="s">
        <v>142</v>
      </c>
      <c r="Y1551" s="0" t="s">
        <v>243</v>
      </c>
      <c r="AV1551" s="68"/>
      <c r="AW1551" s="68"/>
      <c r="AY1551" s="27"/>
      <c r="BD1551" s="68">
        <v>46054.1666666667</v>
      </c>
      <c r="BE1551" s="68">
        <v>46082.1666666667</v>
      </c>
      <c r="BF1551" s="0" t="b">
        <v>0</v>
      </c>
      <c r="BG1551" s="0" t="b">
        <v>0</v>
      </c>
      <c r="BH1551" s="0">
        <v>28</v>
      </c>
      <c r="BI1551" s="0">
        <v>28</v>
      </c>
      <c r="BJ1551" s="0" t="s">
        <v>135</v>
      </c>
    </row>
    <row r="1552">
      <c r="A1552" s="0" t="s">
        <v>1769</v>
      </c>
      <c r="B1552" s="0" t="s">
        <v>134</v>
      </c>
      <c r="C1552" s="0" t="s">
        <v>134</v>
      </c>
      <c r="D1552" s="0" t="s">
        <v>135</v>
      </c>
      <c r="E1552" s="0" t="s">
        <v>3</v>
      </c>
      <c r="F1552" s="0" t="s">
        <v>12</v>
      </c>
      <c r="G1552" s="0" t="s">
        <v>8</v>
      </c>
      <c r="H1552" s="0">
        <v>1409</v>
      </c>
      <c r="I1552" s="0">
        <v>49</v>
      </c>
      <c r="J1552" s="0">
        <v>0</v>
      </c>
      <c r="K1552" s="0">
        <v>1</v>
      </c>
      <c r="L1552" s="0">
        <v>3</v>
      </c>
      <c r="M1552" s="0">
        <v>1</v>
      </c>
      <c r="N1552" s="0">
        <v>0</v>
      </c>
      <c r="O1552" s="0">
        <v>0</v>
      </c>
      <c r="P1552" s="0">
        <v>0</v>
      </c>
      <c r="R1552" s="0" t="b">
        <v>0</v>
      </c>
      <c r="S1552" s="0" t="b">
        <v>1</v>
      </c>
      <c r="T1552" s="68">
        <v>44644.7144212963</v>
      </c>
      <c r="U1552" s="68">
        <v>44684.3333333333</v>
      </c>
      <c r="V1552" s="68">
        <v>0</v>
      </c>
      <c r="W1552" s="0">
        <f>IF(IF(B1552="none",1,IF(B1552="Trialer",1,0))+IF(C1552="Customer",1,IF(C1552="Lost",1,0))=2,1,0)</f>
      </c>
      <c r="X1552" s="0" t="s">
        <v>142</v>
      </c>
      <c r="Y1552" s="0" t="s">
        <v>243</v>
      </c>
      <c r="AV1552" s="68"/>
      <c r="AW1552" s="68"/>
      <c r="AY1552" s="27"/>
      <c r="BD1552" s="68">
        <v>46054.1666666667</v>
      </c>
      <c r="BE1552" s="68">
        <v>46082.1666666667</v>
      </c>
      <c r="BF1552" s="0" t="b">
        <v>0</v>
      </c>
      <c r="BG1552" s="0" t="b">
        <v>0</v>
      </c>
      <c r="BH1552" s="0">
        <v>49</v>
      </c>
      <c r="BI1552" s="0">
        <v>49</v>
      </c>
      <c r="BJ1552" s="0" t="s">
        <v>135</v>
      </c>
    </row>
    <row r="1553">
      <c r="A1553" s="0" t="s">
        <v>1770</v>
      </c>
      <c r="B1553" s="0" t="s">
        <v>134</v>
      </c>
      <c r="C1553" s="0" t="s">
        <v>134</v>
      </c>
      <c r="D1553" s="0" t="s">
        <v>135</v>
      </c>
      <c r="E1553" s="0" t="s">
        <v>2</v>
      </c>
      <c r="F1553" s="0" t="s">
        <v>10</v>
      </c>
      <c r="G1553" s="0" t="s">
        <v>8</v>
      </c>
      <c r="H1553" s="0">
        <v>1408</v>
      </c>
      <c r="I1553" s="0">
        <v>28</v>
      </c>
      <c r="J1553" s="0">
        <v>0</v>
      </c>
      <c r="K1553" s="0">
        <v>1</v>
      </c>
      <c r="L1553" s="0">
        <v>1</v>
      </c>
      <c r="M1553" s="0">
        <v>1</v>
      </c>
      <c r="N1553" s="0">
        <v>0</v>
      </c>
      <c r="O1553" s="0">
        <v>0</v>
      </c>
      <c r="P1553" s="0">
        <v>0</v>
      </c>
      <c r="Q1553" s="0" t="s">
        <v>618</v>
      </c>
      <c r="R1553" s="0" t="b">
        <v>0</v>
      </c>
      <c r="S1553" s="0" t="b">
        <v>1</v>
      </c>
      <c r="T1553" s="68">
        <v>44645.5819675926</v>
      </c>
      <c r="U1553" s="68">
        <v>44676.3333333333</v>
      </c>
      <c r="V1553" s="68">
        <v>0</v>
      </c>
      <c r="W1553" s="0">
        <f>IF(IF(B1553="none",1,IF(B1553="Trialer",1,0))+IF(C1553="Customer",1,IF(C1553="Lost",1,0))=2,1,0)</f>
      </c>
      <c r="X1553" s="0" t="s">
        <v>148</v>
      </c>
      <c r="Y1553" s="0" t="s">
        <v>499</v>
      </c>
      <c r="AV1553" s="68"/>
      <c r="AW1553" s="68"/>
      <c r="AY1553" s="27"/>
      <c r="BD1553" s="68">
        <v>46054.1666666667</v>
      </c>
      <c r="BE1553" s="68">
        <v>46082.1666666667</v>
      </c>
      <c r="BF1553" s="0" t="b">
        <v>0</v>
      </c>
      <c r="BG1553" s="0" t="b">
        <v>0</v>
      </c>
      <c r="BH1553" s="0">
        <v>28</v>
      </c>
      <c r="BI1553" s="0">
        <v>28</v>
      </c>
      <c r="BJ1553" s="0" t="s">
        <v>135</v>
      </c>
    </row>
    <row r="1554">
      <c r="A1554" s="0" t="s">
        <v>1771</v>
      </c>
      <c r="B1554" s="0" t="s">
        <v>134</v>
      </c>
      <c r="C1554" s="0" t="s">
        <v>134</v>
      </c>
      <c r="D1554" s="0" t="s">
        <v>135</v>
      </c>
      <c r="E1554" s="0" t="s">
        <v>4</v>
      </c>
      <c r="F1554" s="0" t="s">
        <v>12</v>
      </c>
      <c r="G1554" s="0" t="s">
        <v>8</v>
      </c>
      <c r="H1554" s="0">
        <v>1408</v>
      </c>
      <c r="I1554" s="0">
        <v>0</v>
      </c>
      <c r="J1554" s="0">
        <v>0</v>
      </c>
      <c r="K1554" s="0">
        <v>1</v>
      </c>
      <c r="L1554" s="0">
        <v>5</v>
      </c>
      <c r="M1554" s="0">
        <v>1</v>
      </c>
      <c r="N1554" s="0">
        <v>0</v>
      </c>
      <c r="O1554" s="0">
        <v>0</v>
      </c>
      <c r="P1554" s="0">
        <v>0</v>
      </c>
      <c r="R1554" s="0" t="b">
        <v>0</v>
      </c>
      <c r="S1554" s="0" t="b">
        <v>1</v>
      </c>
      <c r="T1554" s="68">
        <v>44645.6305555556</v>
      </c>
      <c r="U1554" s="68">
        <v>44676.3333333333</v>
      </c>
      <c r="V1554" s="68">
        <v>0</v>
      </c>
      <c r="W1554" s="0">
        <f>IF(IF(B1554="none",1,IF(B1554="Trialer",1,0))+IF(C1554="Customer",1,IF(C1554="Lost",1,0))=2,1,0)</f>
      </c>
      <c r="X1554" s="0" t="s">
        <v>153</v>
      </c>
      <c r="Y1554" s="0" t="s">
        <v>1772</v>
      </c>
      <c r="AV1554" s="68"/>
      <c r="AW1554" s="68"/>
      <c r="AY1554" s="27"/>
      <c r="BD1554" s="68">
        <v>46054.1666666667</v>
      </c>
      <c r="BE1554" s="68">
        <v>46082.1666666667</v>
      </c>
      <c r="BF1554" s="0" t="b">
        <v>0</v>
      </c>
      <c r="BG1554" s="0" t="b">
        <v>0</v>
      </c>
      <c r="BH1554" s="0">
        <v>0</v>
      </c>
      <c r="BI1554" s="0">
        <v>0</v>
      </c>
      <c r="BJ1554" s="0" t="s">
        <v>135</v>
      </c>
    </row>
    <row r="1555">
      <c r="A1555" s="0" t="s">
        <v>1773</v>
      </c>
      <c r="B1555" s="0" t="s">
        <v>134</v>
      </c>
      <c r="C1555" s="0" t="s">
        <v>134</v>
      </c>
      <c r="D1555" s="0" t="s">
        <v>135</v>
      </c>
      <c r="E1555" s="0" t="s">
        <v>2</v>
      </c>
      <c r="F1555" s="0" t="s">
        <v>12</v>
      </c>
      <c r="G1555" s="0" t="s">
        <v>8</v>
      </c>
      <c r="H1555" s="0">
        <v>1407</v>
      </c>
      <c r="I1555" s="0">
        <v>0</v>
      </c>
      <c r="J1555" s="0">
        <v>0</v>
      </c>
      <c r="K1555" s="0">
        <v>1</v>
      </c>
      <c r="L1555" s="0">
        <v>3</v>
      </c>
      <c r="M1555" s="0">
        <v>1</v>
      </c>
      <c r="N1555" s="0">
        <v>0</v>
      </c>
      <c r="O1555" s="0">
        <v>0</v>
      </c>
      <c r="P1555" s="0">
        <v>0</v>
      </c>
      <c r="R1555" s="0" t="b">
        <v>0</v>
      </c>
      <c r="S1555" s="0" t="b">
        <v>1</v>
      </c>
      <c r="T1555" s="68">
        <v>44646.4257407407</v>
      </c>
      <c r="U1555" s="68">
        <v>44677.3333333333</v>
      </c>
      <c r="V1555" s="68">
        <v>0</v>
      </c>
      <c r="W1555" s="0">
        <f>IF(IF(B1555="none",1,IF(B1555="Trialer",1,0))+IF(C1555="Customer",1,IF(C1555="Lost",1,0))=2,1,0)</f>
      </c>
      <c r="X1555" s="0" t="s">
        <v>145</v>
      </c>
      <c r="Y1555" s="0" t="s">
        <v>1587</v>
      </c>
      <c r="AV1555" s="68"/>
      <c r="AW1555" s="68"/>
      <c r="AY1555" s="27"/>
      <c r="BD1555" s="68">
        <v>46054.1666666667</v>
      </c>
      <c r="BE1555" s="68">
        <v>46082.1666666667</v>
      </c>
      <c r="BF1555" s="0" t="b">
        <v>0</v>
      </c>
      <c r="BG1555" s="0" t="b">
        <v>0</v>
      </c>
      <c r="BH1555" s="0">
        <v>0</v>
      </c>
      <c r="BI1555" s="0">
        <v>0</v>
      </c>
      <c r="BJ1555" s="0" t="s">
        <v>135</v>
      </c>
    </row>
    <row r="1556">
      <c r="A1556" s="0" t="s">
        <v>1774</v>
      </c>
      <c r="B1556" s="0" t="s">
        <v>134</v>
      </c>
      <c r="C1556" s="0" t="s">
        <v>134</v>
      </c>
      <c r="D1556" s="0" t="s">
        <v>230</v>
      </c>
      <c r="E1556" s="0" t="s">
        <v>3</v>
      </c>
      <c r="F1556" s="0" t="s">
        <v>12</v>
      </c>
      <c r="G1556" s="0" t="s">
        <v>8</v>
      </c>
      <c r="H1556" s="0">
        <v>1405</v>
      </c>
      <c r="I1556" s="0">
        <v>118</v>
      </c>
      <c r="J1556" s="0">
        <v>0</v>
      </c>
      <c r="K1556" s="0">
        <v>1</v>
      </c>
      <c r="L1556" s="0">
        <v>3</v>
      </c>
      <c r="M1556" s="0">
        <v>4</v>
      </c>
      <c r="N1556" s="0">
        <v>0</v>
      </c>
      <c r="O1556" s="0">
        <v>0</v>
      </c>
      <c r="P1556" s="0">
        <v>-118</v>
      </c>
      <c r="R1556" s="0" t="b">
        <v>0</v>
      </c>
      <c r="S1556" s="0" t="b">
        <v>1</v>
      </c>
      <c r="T1556" s="68">
        <v>44648.4841087963</v>
      </c>
      <c r="U1556" s="68">
        <v>44679.3333333333</v>
      </c>
      <c r="V1556" s="68">
        <v>0</v>
      </c>
      <c r="W1556" s="0">
        <f>IF(IF(B1556="none",1,IF(B1556="Trialer",1,0))+IF(C1556="Customer",1,IF(C1556="Lost",1,0))=2,1,0)</f>
      </c>
      <c r="X1556" s="0" t="s">
        <v>136</v>
      </c>
      <c r="Y1556" s="0" t="s">
        <v>243</v>
      </c>
      <c r="AV1556" s="68"/>
      <c r="AW1556" s="68"/>
      <c r="AY1556" s="27"/>
      <c r="BD1556" s="68">
        <v>46054.1666666667</v>
      </c>
      <c r="BE1556" s="68">
        <v>46082.1666666667</v>
      </c>
      <c r="BF1556" s="0" t="b">
        <v>0</v>
      </c>
      <c r="BG1556" s="0" t="b">
        <v>0</v>
      </c>
      <c r="BH1556" s="0">
        <v>134</v>
      </c>
      <c r="BI1556" s="0">
        <v>134</v>
      </c>
      <c r="BJ1556" s="0" t="s">
        <v>230</v>
      </c>
    </row>
    <row r="1557">
      <c r="A1557" s="0" t="s">
        <v>1775</v>
      </c>
      <c r="B1557" s="0" t="s">
        <v>134</v>
      </c>
      <c r="C1557" s="0" t="s">
        <v>134</v>
      </c>
      <c r="D1557" s="0" t="s">
        <v>135</v>
      </c>
      <c r="E1557" s="0" t="s">
        <v>3</v>
      </c>
      <c r="F1557" s="0" t="s">
        <v>12</v>
      </c>
      <c r="G1557" s="0" t="s">
        <v>8</v>
      </c>
      <c r="H1557" s="0">
        <v>1405</v>
      </c>
      <c r="I1557" s="0">
        <v>89</v>
      </c>
      <c r="J1557" s="0">
        <v>0</v>
      </c>
      <c r="K1557" s="0">
        <v>1</v>
      </c>
      <c r="L1557" s="0">
        <v>3</v>
      </c>
      <c r="M1557" s="0">
        <v>2</v>
      </c>
      <c r="N1557" s="0">
        <v>0</v>
      </c>
      <c r="O1557" s="0">
        <v>0</v>
      </c>
      <c r="P1557" s="0">
        <v>0</v>
      </c>
      <c r="R1557" s="0" t="b">
        <v>0</v>
      </c>
      <c r="S1557" s="0" t="b">
        <v>1</v>
      </c>
      <c r="T1557" s="68">
        <v>44648.5</v>
      </c>
      <c r="U1557" s="68">
        <v>44648.3333333333</v>
      </c>
      <c r="V1557" s="68">
        <v>0</v>
      </c>
      <c r="W1557" s="0">
        <f>IF(IF(B1557="none",1,IF(B1557="Trialer",1,0))+IF(C1557="Customer",1,IF(C1557="Lost",1,0))=2,1,0)</f>
      </c>
      <c r="X1557" s="0" t="s">
        <v>148</v>
      </c>
      <c r="Y1557" s="0" t="s">
        <v>243</v>
      </c>
      <c r="AV1557" s="68"/>
      <c r="AW1557" s="68"/>
      <c r="AY1557" s="27"/>
      <c r="BD1557" s="68">
        <v>46054.1666666667</v>
      </c>
      <c r="BE1557" s="68">
        <v>46082.1666666667</v>
      </c>
      <c r="BF1557" s="0" t="b">
        <v>0</v>
      </c>
      <c r="BG1557" s="0" t="b">
        <v>0</v>
      </c>
      <c r="BH1557" s="0">
        <v>89</v>
      </c>
      <c r="BI1557" s="0">
        <v>89</v>
      </c>
      <c r="BJ1557" s="0" t="s">
        <v>135</v>
      </c>
    </row>
    <row r="1558">
      <c r="A1558" s="0" t="s">
        <v>1776</v>
      </c>
      <c r="B1558" s="0" t="s">
        <v>134</v>
      </c>
      <c r="C1558" s="0" t="s">
        <v>134</v>
      </c>
      <c r="D1558" s="0" t="s">
        <v>230</v>
      </c>
      <c r="E1558" s="0" t="s">
        <v>3</v>
      </c>
      <c r="F1558" s="0" t="s">
        <v>10</v>
      </c>
      <c r="G1558" s="0" t="s">
        <v>8</v>
      </c>
      <c r="H1558" s="0">
        <v>1405</v>
      </c>
      <c r="I1558" s="0">
        <v>79</v>
      </c>
      <c r="J1558" s="0">
        <v>0</v>
      </c>
      <c r="K1558" s="0">
        <v>1</v>
      </c>
      <c r="L1558" s="0">
        <v>4</v>
      </c>
      <c r="M1558" s="0">
        <v>2</v>
      </c>
      <c r="N1558" s="0">
        <v>0</v>
      </c>
      <c r="O1558" s="0">
        <v>0</v>
      </c>
      <c r="P1558" s="0">
        <v>-79</v>
      </c>
      <c r="Q1558" s="0" t="s">
        <v>1777</v>
      </c>
      <c r="R1558" s="0" t="b">
        <v>0</v>
      </c>
      <c r="S1558" s="0" t="b">
        <v>1</v>
      </c>
      <c r="T1558" s="68">
        <v>44648.658599537</v>
      </c>
      <c r="U1558" s="68">
        <v>44682.3333333333</v>
      </c>
      <c r="V1558" s="68">
        <v>0</v>
      </c>
      <c r="W1558" s="0">
        <f>IF(IF(B1558="none",1,IF(B1558="Trialer",1,0))+IF(C1558="Customer",1,IF(C1558="Lost",1,0))=2,1,0)</f>
      </c>
      <c r="X1558" s="0" t="s">
        <v>148</v>
      </c>
      <c r="Y1558" s="0" t="s">
        <v>243</v>
      </c>
      <c r="AV1558" s="68"/>
      <c r="AW1558" s="68"/>
      <c r="AY1558" s="27"/>
      <c r="BD1558" s="68">
        <v>46054.1666666667</v>
      </c>
      <c r="BE1558" s="68">
        <v>46082.1666666667</v>
      </c>
      <c r="BF1558" s="0" t="b">
        <v>0</v>
      </c>
      <c r="BG1558" s="0" t="b">
        <v>0</v>
      </c>
      <c r="BH1558" s="0">
        <v>89</v>
      </c>
      <c r="BI1558" s="0">
        <v>89</v>
      </c>
      <c r="BJ1558" s="0" t="s">
        <v>230</v>
      </c>
    </row>
    <row r="1559">
      <c r="A1559" s="0" t="s">
        <v>1778</v>
      </c>
      <c r="B1559" s="0" t="s">
        <v>134</v>
      </c>
      <c r="C1559" s="0" t="s">
        <v>134</v>
      </c>
      <c r="D1559" s="0" t="s">
        <v>135</v>
      </c>
      <c r="E1559" s="0" t="s">
        <v>3</v>
      </c>
      <c r="F1559" s="0" t="s">
        <v>12</v>
      </c>
      <c r="G1559" s="0" t="s">
        <v>8</v>
      </c>
      <c r="H1559" s="0">
        <v>1404</v>
      </c>
      <c r="I1559" s="0">
        <v>147</v>
      </c>
      <c r="J1559" s="0">
        <v>0</v>
      </c>
      <c r="K1559" s="0">
        <v>1</v>
      </c>
      <c r="L1559" s="0">
        <v>3</v>
      </c>
      <c r="M1559" s="0">
        <v>3</v>
      </c>
      <c r="N1559" s="0">
        <v>0</v>
      </c>
      <c r="O1559" s="0">
        <v>0</v>
      </c>
      <c r="P1559" s="0">
        <v>0</v>
      </c>
      <c r="R1559" s="0" t="b">
        <v>0</v>
      </c>
      <c r="S1559" s="0" t="b">
        <v>1</v>
      </c>
      <c r="T1559" s="68">
        <v>44649.4416550926</v>
      </c>
      <c r="U1559" s="68">
        <v>44680.3333333333</v>
      </c>
      <c r="V1559" s="68">
        <v>0</v>
      </c>
      <c r="W1559" s="0">
        <f>IF(IF(B1559="none",1,IF(B1559="Trialer",1,0))+IF(C1559="Customer",1,IF(C1559="Lost",1,0))=2,1,0)</f>
      </c>
      <c r="X1559" s="0" t="s">
        <v>142</v>
      </c>
      <c r="Y1559" s="0" t="s">
        <v>243</v>
      </c>
      <c r="AV1559" s="68"/>
      <c r="AW1559" s="68"/>
      <c r="AY1559" s="27"/>
      <c r="BD1559" s="68">
        <v>46054.1666666667</v>
      </c>
      <c r="BE1559" s="68">
        <v>46082.1666666667</v>
      </c>
      <c r="BF1559" s="0" t="b">
        <v>0</v>
      </c>
      <c r="BG1559" s="0" t="b">
        <v>0</v>
      </c>
      <c r="BH1559" s="0">
        <v>147</v>
      </c>
      <c r="BI1559" s="0">
        <v>147</v>
      </c>
      <c r="BJ1559" s="0" t="s">
        <v>135</v>
      </c>
    </row>
    <row r="1560">
      <c r="A1560" s="0" t="s">
        <v>1779</v>
      </c>
      <c r="B1560" s="0" t="s">
        <v>134</v>
      </c>
      <c r="C1560" s="0" t="s">
        <v>134</v>
      </c>
      <c r="D1560" s="0" t="s">
        <v>135</v>
      </c>
      <c r="E1560" s="0" t="s">
        <v>3</v>
      </c>
      <c r="F1560" s="0" t="s">
        <v>12</v>
      </c>
      <c r="G1560" s="0" t="s">
        <v>8</v>
      </c>
      <c r="H1560" s="0">
        <v>1403</v>
      </c>
      <c r="I1560" s="0">
        <v>0</v>
      </c>
      <c r="J1560" s="0">
        <v>0</v>
      </c>
      <c r="K1560" s="0">
        <v>1</v>
      </c>
      <c r="L1560" s="0">
        <v>6</v>
      </c>
      <c r="M1560" s="0">
        <v>2</v>
      </c>
      <c r="N1560" s="0">
        <v>0</v>
      </c>
      <c r="O1560" s="0">
        <v>0</v>
      </c>
      <c r="P1560" s="0">
        <v>0</v>
      </c>
      <c r="R1560" s="0" t="b">
        <v>0</v>
      </c>
      <c r="S1560" s="0" t="b">
        <v>1</v>
      </c>
      <c r="T1560" s="68">
        <v>44650.5633680556</v>
      </c>
      <c r="U1560" s="68">
        <v>44681.3333333333</v>
      </c>
      <c r="V1560" s="68">
        <v>0</v>
      </c>
      <c r="W1560" s="0">
        <f>IF(IF(B1560="none",1,IF(B1560="Trialer",1,0))+IF(C1560="Customer",1,IF(C1560="Lost",1,0))=2,1,0)</f>
      </c>
      <c r="X1560" s="0" t="s">
        <v>148</v>
      </c>
      <c r="Y1560" s="0" t="s">
        <v>243</v>
      </c>
      <c r="AV1560" s="68"/>
      <c r="AW1560" s="68"/>
      <c r="AY1560" s="27"/>
      <c r="BD1560" s="68">
        <v>46054.1666666667</v>
      </c>
      <c r="BE1560" s="68">
        <v>46082.1666666667</v>
      </c>
      <c r="BF1560" s="0" t="b">
        <v>0</v>
      </c>
      <c r="BG1560" s="0" t="b">
        <v>0</v>
      </c>
      <c r="BH1560" s="0">
        <v>0</v>
      </c>
      <c r="BI1560" s="0">
        <v>0</v>
      </c>
      <c r="BJ1560" s="0" t="s">
        <v>135</v>
      </c>
    </row>
    <row r="1561">
      <c r="A1561" s="0" t="s">
        <v>1780</v>
      </c>
      <c r="B1561" s="0" t="s">
        <v>134</v>
      </c>
      <c r="C1561" s="0" t="s">
        <v>134</v>
      </c>
      <c r="D1561" s="0" t="s">
        <v>230</v>
      </c>
      <c r="E1561" s="0" t="s">
        <v>3</v>
      </c>
      <c r="F1561" s="0" t="s">
        <v>12</v>
      </c>
      <c r="G1561" s="0" t="s">
        <v>8</v>
      </c>
      <c r="H1561" s="0">
        <v>1402</v>
      </c>
      <c r="I1561" s="0">
        <v>2123.49</v>
      </c>
      <c r="J1561" s="0">
        <v>0</v>
      </c>
      <c r="K1561" s="0">
        <v>1</v>
      </c>
      <c r="L1561" s="0">
        <v>6</v>
      </c>
      <c r="M1561" s="0">
        <v>42</v>
      </c>
      <c r="N1561" s="0">
        <v>0</v>
      </c>
      <c r="O1561" s="0">
        <v>0</v>
      </c>
      <c r="P1561" s="0">
        <v>19765.51</v>
      </c>
      <c r="R1561" s="0" t="b">
        <v>0</v>
      </c>
      <c r="S1561" s="0" t="b">
        <v>1</v>
      </c>
      <c r="T1561" s="68">
        <v>44651.901724537</v>
      </c>
      <c r="U1561" s="68">
        <v>44681.3333333333</v>
      </c>
      <c r="V1561" s="68">
        <v>0</v>
      </c>
      <c r="W1561" s="0">
        <f>IF(IF(B1561="none",1,IF(B1561="Trialer",1,0))+IF(C1561="Customer",1,IF(C1561="Lost",1,0))=2,1,0)</f>
      </c>
      <c r="X1561" s="0" t="s">
        <v>145</v>
      </c>
      <c r="Y1561" s="0" t="s">
        <v>243</v>
      </c>
      <c r="AV1561" s="68"/>
      <c r="AW1561" s="68"/>
      <c r="AY1561" s="27"/>
      <c r="BD1561" s="68">
        <v>46054.1666666667</v>
      </c>
      <c r="BE1561" s="68">
        <v>46082.1666666667</v>
      </c>
      <c r="BF1561" s="0" t="b">
        <v>0</v>
      </c>
      <c r="BG1561" s="0" t="b">
        <v>0</v>
      </c>
      <c r="BH1561" s="0">
        <v>2070</v>
      </c>
      <c r="BI1561" s="0">
        <v>2018</v>
      </c>
      <c r="BJ1561" s="0" t="s">
        <v>230</v>
      </c>
    </row>
    <row r="1562">
      <c r="A1562" s="0" t="s">
        <v>1781</v>
      </c>
      <c r="B1562" s="0" t="s">
        <v>134</v>
      </c>
      <c r="C1562" s="0" t="s">
        <v>134</v>
      </c>
      <c r="D1562" s="0" t="s">
        <v>135</v>
      </c>
      <c r="E1562" s="0" t="s">
        <v>3</v>
      </c>
      <c r="F1562" s="0" t="s">
        <v>12</v>
      </c>
      <c r="G1562" s="0" t="s">
        <v>8</v>
      </c>
      <c r="H1562" s="0">
        <v>1401</v>
      </c>
      <c r="I1562" s="0">
        <v>0</v>
      </c>
      <c r="J1562" s="0">
        <v>0</v>
      </c>
      <c r="K1562" s="0">
        <v>1</v>
      </c>
      <c r="L1562" s="0">
        <v>5</v>
      </c>
      <c r="M1562" s="0">
        <v>1</v>
      </c>
      <c r="N1562" s="0">
        <v>0</v>
      </c>
      <c r="O1562" s="0">
        <v>0</v>
      </c>
      <c r="P1562" s="0">
        <v>0</v>
      </c>
      <c r="R1562" s="0" t="b">
        <v>0</v>
      </c>
      <c r="S1562" s="0" t="b">
        <v>1</v>
      </c>
      <c r="T1562" s="68">
        <v>44652.9673958333</v>
      </c>
      <c r="U1562" s="68">
        <v>44682.3333333333</v>
      </c>
      <c r="V1562" s="68">
        <v>0</v>
      </c>
      <c r="W1562" s="0">
        <f>IF(IF(B1562="none",1,IF(B1562="Trialer",1,0))+IF(C1562="Customer",1,IF(C1562="Lost",1,0))=2,1,0)</f>
      </c>
      <c r="X1562" s="0" t="s">
        <v>148</v>
      </c>
      <c r="Y1562" s="0" t="s">
        <v>243</v>
      </c>
      <c r="AV1562" s="68"/>
      <c r="AW1562" s="68"/>
      <c r="AY1562" s="27"/>
      <c r="BD1562" s="68">
        <v>46054.1666666667</v>
      </c>
      <c r="BE1562" s="68">
        <v>46082.1666666667</v>
      </c>
      <c r="BF1562" s="0" t="b">
        <v>0</v>
      </c>
      <c r="BG1562" s="0" t="b">
        <v>0</v>
      </c>
      <c r="BH1562" s="0">
        <v>0</v>
      </c>
      <c r="BI1562" s="0">
        <v>0</v>
      </c>
      <c r="BJ1562" s="0" t="s">
        <v>135</v>
      </c>
    </row>
    <row r="1563">
      <c r="A1563" s="0" t="s">
        <v>1782</v>
      </c>
      <c r="B1563" s="0" t="s">
        <v>134</v>
      </c>
      <c r="C1563" s="0" t="s">
        <v>134</v>
      </c>
      <c r="D1563" s="0" t="s">
        <v>230</v>
      </c>
      <c r="E1563" s="0" t="s">
        <v>3</v>
      </c>
      <c r="F1563" s="0" t="s">
        <v>12</v>
      </c>
      <c r="G1563" s="0" t="s">
        <v>8</v>
      </c>
      <c r="H1563" s="0">
        <v>1398</v>
      </c>
      <c r="I1563" s="0">
        <v>80</v>
      </c>
      <c r="J1563" s="0">
        <v>0</v>
      </c>
      <c r="K1563" s="0">
        <v>1</v>
      </c>
      <c r="L1563" s="0">
        <v>3</v>
      </c>
      <c r="M1563" s="0">
        <v>2</v>
      </c>
      <c r="N1563" s="0">
        <v>0</v>
      </c>
      <c r="O1563" s="0">
        <v>0</v>
      </c>
      <c r="P1563" s="0">
        <v>-80</v>
      </c>
      <c r="R1563" s="0" t="b">
        <v>0</v>
      </c>
      <c r="S1563" s="0" t="b">
        <v>1</v>
      </c>
      <c r="T1563" s="68">
        <v>44655.9844907407</v>
      </c>
      <c r="U1563" s="68">
        <v>44685.3333333333</v>
      </c>
      <c r="V1563" s="68">
        <v>0</v>
      </c>
      <c r="W1563" s="0">
        <f>IF(IF(B1563="none",1,IF(B1563="Trialer",1,0))+IF(C1563="Customer",1,IF(C1563="Lost",1,0))=2,1,0)</f>
      </c>
      <c r="X1563" s="0" t="s">
        <v>166</v>
      </c>
      <c r="Y1563" s="0" t="s">
        <v>243</v>
      </c>
      <c r="AV1563" s="68"/>
      <c r="AW1563" s="68"/>
      <c r="AY1563" s="27"/>
      <c r="BD1563" s="68">
        <v>46054.1666666667</v>
      </c>
      <c r="BE1563" s="68">
        <v>46082.1666666667</v>
      </c>
      <c r="BF1563" s="0" t="b">
        <v>0</v>
      </c>
      <c r="BG1563" s="0" t="b">
        <v>0</v>
      </c>
      <c r="BH1563" s="0">
        <v>89</v>
      </c>
      <c r="BI1563" s="0">
        <v>89</v>
      </c>
      <c r="BJ1563" s="0" t="s">
        <v>230</v>
      </c>
    </row>
    <row r="1564">
      <c r="A1564" s="0" t="s">
        <v>1783</v>
      </c>
      <c r="B1564" s="0" t="s">
        <v>134</v>
      </c>
      <c r="C1564" s="0" t="s">
        <v>134</v>
      </c>
      <c r="D1564" s="0" t="s">
        <v>135</v>
      </c>
      <c r="E1564" s="0" t="s">
        <v>3</v>
      </c>
      <c r="F1564" s="0" t="s">
        <v>10</v>
      </c>
      <c r="G1564" s="0" t="s">
        <v>8</v>
      </c>
      <c r="H1564" s="0">
        <v>1397</v>
      </c>
      <c r="I1564" s="0">
        <v>28</v>
      </c>
      <c r="J1564" s="0">
        <v>0</v>
      </c>
      <c r="K1564" s="0">
        <v>1</v>
      </c>
      <c r="L1564" s="0">
        <v>1</v>
      </c>
      <c r="M1564" s="0">
        <v>1</v>
      </c>
      <c r="N1564" s="0">
        <v>0</v>
      </c>
      <c r="O1564" s="0">
        <v>0</v>
      </c>
      <c r="P1564" s="0">
        <v>0</v>
      </c>
      <c r="Q1564" s="0" t="s">
        <v>618</v>
      </c>
      <c r="R1564" s="0" t="b">
        <v>0</v>
      </c>
      <c r="S1564" s="0" t="b">
        <v>1</v>
      </c>
      <c r="T1564" s="68">
        <v>44656.1576851852</v>
      </c>
      <c r="U1564" s="68">
        <v>44686.3333333333</v>
      </c>
      <c r="V1564" s="68">
        <v>0</v>
      </c>
      <c r="W1564" s="0">
        <f>IF(IF(B1564="none",1,IF(B1564="Trialer",1,0))+IF(C1564="Customer",1,IF(C1564="Lost",1,0))=2,1,0)</f>
      </c>
      <c r="X1564" s="0" t="s">
        <v>148</v>
      </c>
      <c r="Y1564" s="0" t="s">
        <v>243</v>
      </c>
      <c r="AV1564" s="68"/>
      <c r="AW1564" s="68"/>
      <c r="AY1564" s="27"/>
      <c r="BD1564" s="68">
        <v>46054.1666666667</v>
      </c>
      <c r="BE1564" s="68">
        <v>46082.1666666667</v>
      </c>
      <c r="BF1564" s="0" t="b">
        <v>0</v>
      </c>
      <c r="BG1564" s="0" t="b">
        <v>0</v>
      </c>
      <c r="BH1564" s="0">
        <v>28</v>
      </c>
      <c r="BI1564" s="0">
        <v>28</v>
      </c>
      <c r="BJ1564" s="0" t="s">
        <v>135</v>
      </c>
    </row>
    <row r="1565">
      <c r="A1565" s="0" t="s">
        <v>1784</v>
      </c>
      <c r="B1565" s="0" t="s">
        <v>134</v>
      </c>
      <c r="C1565" s="0" t="s">
        <v>134</v>
      </c>
      <c r="D1565" s="0" t="s">
        <v>135</v>
      </c>
      <c r="E1565" s="0" t="s">
        <v>3</v>
      </c>
      <c r="F1565" s="0" t="s">
        <v>11</v>
      </c>
      <c r="G1565" s="0" t="s">
        <v>8</v>
      </c>
      <c r="H1565" s="0">
        <v>1397</v>
      </c>
      <c r="I1565" s="0">
        <v>0</v>
      </c>
      <c r="J1565" s="0">
        <v>0</v>
      </c>
      <c r="K1565" s="0">
        <v>0</v>
      </c>
      <c r="L1565" s="0">
        <v>0</v>
      </c>
      <c r="M1565" s="0">
        <v>0</v>
      </c>
      <c r="N1565" s="0">
        <v>0</v>
      </c>
      <c r="O1565" s="0">
        <v>0</v>
      </c>
      <c r="P1565" s="0">
        <v>0</v>
      </c>
      <c r="Q1565" s="0" t="s">
        <v>1743</v>
      </c>
      <c r="R1565" s="0" t="b">
        <v>1</v>
      </c>
      <c r="S1565" s="0" t="b">
        <v>1</v>
      </c>
      <c r="T1565" s="68">
        <v>44656.5</v>
      </c>
      <c r="U1565" s="68">
        <v>44656.5</v>
      </c>
      <c r="V1565" s="68">
        <v>0</v>
      </c>
      <c r="W1565" s="0">
        <f>IF(IF(B1565="none",1,IF(B1565="Trialer",1,0))+IF(C1565="Customer",1,IF(C1565="Lost",1,0))=2,1,0)</f>
      </c>
      <c r="X1565" s="0" t="s">
        <v>145</v>
      </c>
      <c r="Y1565" s="0" t="s">
        <v>243</v>
      </c>
      <c r="AV1565" s="68"/>
      <c r="AW1565" s="68"/>
      <c r="AY1565" s="27"/>
      <c r="BD1565" s="68">
        <v>46054.1666666667</v>
      </c>
      <c r="BE1565" s="68">
        <v>46082.1666666667</v>
      </c>
      <c r="BF1565" s="0" t="b">
        <v>0</v>
      </c>
      <c r="BG1565" s="0" t="b">
        <v>0</v>
      </c>
      <c r="BH1565" s="0">
        <v>0</v>
      </c>
      <c r="BI1565" s="0">
        <v>0</v>
      </c>
      <c r="BJ1565" s="0" t="s">
        <v>135</v>
      </c>
    </row>
    <row r="1566">
      <c r="A1566" s="0" t="s">
        <v>1785</v>
      </c>
      <c r="B1566" s="0" t="s">
        <v>134</v>
      </c>
      <c r="C1566" s="0" t="s">
        <v>134</v>
      </c>
      <c r="D1566" s="0" t="s">
        <v>230</v>
      </c>
      <c r="E1566" s="0" t="s">
        <v>3</v>
      </c>
      <c r="F1566" s="0" t="s">
        <v>12</v>
      </c>
      <c r="G1566" s="0" t="s">
        <v>8</v>
      </c>
      <c r="H1566" s="0">
        <v>1397</v>
      </c>
      <c r="I1566" s="0">
        <v>292.5</v>
      </c>
      <c r="J1566" s="0">
        <v>0</v>
      </c>
      <c r="K1566" s="0">
        <v>1</v>
      </c>
      <c r="L1566" s="0">
        <v>4</v>
      </c>
      <c r="M1566" s="0">
        <v>7</v>
      </c>
      <c r="N1566" s="0">
        <v>0</v>
      </c>
      <c r="O1566" s="0">
        <v>0</v>
      </c>
      <c r="P1566" s="0">
        <v>-292.5</v>
      </c>
      <c r="R1566" s="0" t="b">
        <v>0</v>
      </c>
      <c r="S1566" s="0" t="b">
        <v>1</v>
      </c>
      <c r="T1566" s="68">
        <v>44656.575</v>
      </c>
      <c r="U1566" s="68">
        <v>44686.3333333333</v>
      </c>
      <c r="V1566" s="68">
        <v>0</v>
      </c>
      <c r="W1566" s="0">
        <f>IF(IF(B1566="none",1,IF(B1566="Trialer",1,0))+IF(C1566="Customer",1,IF(C1566="Lost",1,0))=2,1,0)</f>
      </c>
      <c r="X1566" s="0" t="s">
        <v>136</v>
      </c>
      <c r="Y1566" s="0" t="s">
        <v>243</v>
      </c>
      <c r="AV1566" s="68"/>
      <c r="AW1566" s="68"/>
      <c r="AY1566" s="27"/>
      <c r="BD1566" s="68">
        <v>46054.1666666667</v>
      </c>
      <c r="BE1566" s="68">
        <v>46082.1666666667</v>
      </c>
      <c r="BF1566" s="0" t="b">
        <v>0</v>
      </c>
      <c r="BG1566" s="0" t="b">
        <v>0</v>
      </c>
      <c r="BH1566" s="0">
        <v>353</v>
      </c>
      <c r="BI1566" s="0">
        <v>353</v>
      </c>
      <c r="BJ1566" s="0" t="s">
        <v>230</v>
      </c>
    </row>
    <row r="1567">
      <c r="A1567" s="0" t="s">
        <v>1786</v>
      </c>
      <c r="B1567" s="0" t="s">
        <v>134</v>
      </c>
      <c r="C1567" s="0" t="s">
        <v>134</v>
      </c>
      <c r="D1567" s="0" t="s">
        <v>135</v>
      </c>
      <c r="E1567" s="0" t="s">
        <v>2</v>
      </c>
      <c r="F1567" s="0" t="s">
        <v>12</v>
      </c>
      <c r="G1567" s="0" t="s">
        <v>8</v>
      </c>
      <c r="H1567" s="0">
        <v>1396</v>
      </c>
      <c r="I1567" s="0">
        <v>122</v>
      </c>
      <c r="J1567" s="0">
        <v>0</v>
      </c>
      <c r="K1567" s="0">
        <v>1</v>
      </c>
      <c r="L1567" s="0">
        <v>5</v>
      </c>
      <c r="M1567" s="0">
        <v>2</v>
      </c>
      <c r="N1567" s="0">
        <v>0</v>
      </c>
      <c r="O1567" s="0">
        <v>0</v>
      </c>
      <c r="P1567" s="0">
        <v>0</v>
      </c>
      <c r="R1567" s="0" t="b">
        <v>0</v>
      </c>
      <c r="S1567" s="0" t="b">
        <v>1</v>
      </c>
      <c r="T1567" s="68">
        <v>44657.4178935185</v>
      </c>
      <c r="U1567" s="68">
        <v>44687.3333333333</v>
      </c>
      <c r="V1567" s="68">
        <v>0</v>
      </c>
      <c r="W1567" s="0">
        <f>IF(IF(B1567="none",1,IF(B1567="Trialer",1,0))+IF(C1567="Customer",1,IF(C1567="Lost",1,0))=2,1,0)</f>
      </c>
      <c r="X1567" s="0" t="s">
        <v>153</v>
      </c>
      <c r="Y1567" s="0" t="s">
        <v>499</v>
      </c>
      <c r="AV1567" s="68"/>
      <c r="AW1567" s="68"/>
      <c r="AY1567" s="27"/>
      <c r="BD1567" s="68">
        <v>46054.1666666667</v>
      </c>
      <c r="BE1567" s="68">
        <v>46082.1666666667</v>
      </c>
      <c r="BF1567" s="0" t="b">
        <v>0</v>
      </c>
      <c r="BG1567" s="0" t="b">
        <v>0</v>
      </c>
      <c r="BH1567" s="0">
        <v>122</v>
      </c>
      <c r="BI1567" s="0">
        <v>122</v>
      </c>
      <c r="BJ1567" s="0" t="s">
        <v>135</v>
      </c>
    </row>
    <row r="1568">
      <c r="A1568" s="0" t="s">
        <v>1787</v>
      </c>
      <c r="B1568" s="0" t="s">
        <v>134</v>
      </c>
      <c r="C1568" s="0" t="s">
        <v>134</v>
      </c>
      <c r="D1568" s="0" t="s">
        <v>230</v>
      </c>
      <c r="E1568" s="0" t="s">
        <v>2</v>
      </c>
      <c r="F1568" s="0" t="s">
        <v>10</v>
      </c>
      <c r="G1568" s="0" t="s">
        <v>8</v>
      </c>
      <c r="H1568" s="0">
        <v>1396</v>
      </c>
      <c r="I1568" s="0">
        <v>97.2</v>
      </c>
      <c r="J1568" s="0">
        <v>0</v>
      </c>
      <c r="K1568" s="0">
        <v>1</v>
      </c>
      <c r="L1568" s="0">
        <v>2</v>
      </c>
      <c r="M1568" s="0">
        <v>3</v>
      </c>
      <c r="N1568" s="0">
        <v>0</v>
      </c>
      <c r="O1568" s="0">
        <v>0</v>
      </c>
      <c r="P1568" s="0">
        <v>-97.2</v>
      </c>
      <c r="Q1568" s="0" t="s">
        <v>357</v>
      </c>
      <c r="R1568" s="0" t="b">
        <v>0</v>
      </c>
      <c r="S1568" s="0" t="b">
        <v>1</v>
      </c>
      <c r="T1568" s="68">
        <v>44657.4649074074</v>
      </c>
      <c r="U1568" s="68">
        <v>44713.3333333333</v>
      </c>
      <c r="V1568" s="68">
        <v>0</v>
      </c>
      <c r="W1568" s="0">
        <f>IF(IF(B1568="none",1,IF(B1568="Trialer",1,0))+IF(C1568="Customer",1,IF(C1568="Lost",1,0))=2,1,0)</f>
      </c>
      <c r="X1568" s="0" t="s">
        <v>148</v>
      </c>
      <c r="Y1568" s="0" t="s">
        <v>499</v>
      </c>
      <c r="AV1568" s="68"/>
      <c r="AW1568" s="68"/>
      <c r="AY1568" s="27"/>
      <c r="BD1568" s="68">
        <v>46054.1666666667</v>
      </c>
      <c r="BE1568" s="68">
        <v>46082.1666666667</v>
      </c>
      <c r="BF1568" s="0" t="b">
        <v>0</v>
      </c>
      <c r="BG1568" s="0" t="b">
        <v>0</v>
      </c>
      <c r="BH1568" s="0">
        <v>108</v>
      </c>
      <c r="BI1568" s="0">
        <v>108</v>
      </c>
      <c r="BJ1568" s="0" t="s">
        <v>230</v>
      </c>
    </row>
    <row r="1569">
      <c r="A1569" s="0" t="s">
        <v>1788</v>
      </c>
      <c r="B1569" s="0" t="s">
        <v>134</v>
      </c>
      <c r="C1569" s="0" t="s">
        <v>134</v>
      </c>
      <c r="D1569" s="0" t="s">
        <v>135</v>
      </c>
      <c r="E1569" s="0" t="s">
        <v>3</v>
      </c>
      <c r="F1569" s="0" t="s">
        <v>12</v>
      </c>
      <c r="G1569" s="0" t="s">
        <v>8</v>
      </c>
      <c r="H1569" s="0">
        <v>1394</v>
      </c>
      <c r="I1569" s="0">
        <v>171</v>
      </c>
      <c r="J1569" s="0">
        <v>0</v>
      </c>
      <c r="K1569" s="0">
        <v>1</v>
      </c>
      <c r="L1569" s="0">
        <v>4</v>
      </c>
      <c r="M1569" s="0">
        <v>3</v>
      </c>
      <c r="N1569" s="0">
        <v>0</v>
      </c>
      <c r="O1569" s="0">
        <v>0</v>
      </c>
      <c r="P1569" s="0">
        <v>0</v>
      </c>
      <c r="R1569" s="0" t="b">
        <v>0</v>
      </c>
      <c r="S1569" s="0" t="b">
        <v>1</v>
      </c>
      <c r="T1569" s="68">
        <v>44659.5</v>
      </c>
      <c r="U1569" s="68">
        <v>44662.3333333333</v>
      </c>
      <c r="V1569" s="68">
        <v>0</v>
      </c>
      <c r="W1569" s="0">
        <f>IF(IF(B1569="none",1,IF(B1569="Trialer",1,0))+IF(C1569="Customer",1,IF(C1569="Lost",1,0))=2,1,0)</f>
      </c>
      <c r="X1569" s="0" t="s">
        <v>148</v>
      </c>
      <c r="Y1569" s="0" t="s">
        <v>243</v>
      </c>
      <c r="AV1569" s="68"/>
      <c r="AW1569" s="68"/>
      <c r="AY1569" s="27"/>
      <c r="BD1569" s="68">
        <v>46054.1666666667</v>
      </c>
      <c r="BE1569" s="68">
        <v>46082.1666666667</v>
      </c>
      <c r="BF1569" s="0" t="b">
        <v>0</v>
      </c>
      <c r="BG1569" s="0" t="b">
        <v>0</v>
      </c>
      <c r="BH1569" s="0">
        <v>171</v>
      </c>
      <c r="BI1569" s="0">
        <v>171</v>
      </c>
      <c r="BJ1569" s="0" t="s">
        <v>135</v>
      </c>
    </row>
    <row r="1570">
      <c r="A1570" s="0" t="s">
        <v>1789</v>
      </c>
      <c r="B1570" s="0" t="s">
        <v>134</v>
      </c>
      <c r="C1570" s="0" t="s">
        <v>134</v>
      </c>
      <c r="D1570" s="0" t="s">
        <v>135</v>
      </c>
      <c r="E1570" s="0" t="s">
        <v>3</v>
      </c>
      <c r="F1570" s="0" t="s">
        <v>12</v>
      </c>
      <c r="G1570" s="0" t="s">
        <v>8</v>
      </c>
      <c r="H1570" s="0">
        <v>1394</v>
      </c>
      <c r="I1570" s="0">
        <v>409</v>
      </c>
      <c r="J1570" s="0">
        <v>0</v>
      </c>
      <c r="K1570" s="0">
        <v>1</v>
      </c>
      <c r="L1570" s="0">
        <v>3</v>
      </c>
      <c r="M1570" s="0">
        <v>10</v>
      </c>
      <c r="N1570" s="0">
        <v>0</v>
      </c>
      <c r="O1570" s="0">
        <v>0</v>
      </c>
      <c r="P1570" s="0">
        <v>0</v>
      </c>
      <c r="R1570" s="0" t="b">
        <v>0</v>
      </c>
      <c r="S1570" s="0" t="b">
        <v>1</v>
      </c>
      <c r="T1570" s="68">
        <v>44659.7125</v>
      </c>
      <c r="U1570" s="68">
        <v>44689.3333333333</v>
      </c>
      <c r="V1570" s="68">
        <v>0</v>
      </c>
      <c r="W1570" s="0">
        <f>IF(IF(B1570="none",1,IF(B1570="Trialer",1,0))+IF(C1570="Customer",1,IF(C1570="Lost",1,0))=2,1,0)</f>
      </c>
      <c r="X1570" s="0" t="s">
        <v>148</v>
      </c>
      <c r="Y1570" s="0" t="s">
        <v>243</v>
      </c>
      <c r="AV1570" s="68"/>
      <c r="AW1570" s="68"/>
      <c r="AY1570" s="27"/>
      <c r="BD1570" s="68">
        <v>46054.1666666667</v>
      </c>
      <c r="BE1570" s="68">
        <v>46082.1666666667</v>
      </c>
      <c r="BF1570" s="0" t="b">
        <v>0</v>
      </c>
      <c r="BG1570" s="0" t="b">
        <v>0</v>
      </c>
      <c r="BH1570" s="0">
        <v>440</v>
      </c>
      <c r="BI1570" s="0">
        <v>440</v>
      </c>
      <c r="BJ1570" s="0" t="s">
        <v>135</v>
      </c>
    </row>
    <row r="1571">
      <c r="A1571" s="0" t="s">
        <v>1790</v>
      </c>
      <c r="B1571" s="0" t="s">
        <v>134</v>
      </c>
      <c r="C1571" s="0" t="s">
        <v>134</v>
      </c>
      <c r="D1571" s="0" t="s">
        <v>135</v>
      </c>
      <c r="E1571" s="0" t="s">
        <v>3</v>
      </c>
      <c r="F1571" s="0" t="s">
        <v>12</v>
      </c>
      <c r="G1571" s="0" t="s">
        <v>8</v>
      </c>
      <c r="H1571" s="0">
        <v>1393</v>
      </c>
      <c r="I1571" s="0">
        <v>122</v>
      </c>
      <c r="J1571" s="0">
        <v>-122</v>
      </c>
      <c r="K1571" s="0">
        <v>1</v>
      </c>
      <c r="L1571" s="0">
        <v>4</v>
      </c>
      <c r="M1571" s="0">
        <v>2</v>
      </c>
      <c r="N1571" s="0">
        <v>0</v>
      </c>
      <c r="O1571" s="0">
        <v>0</v>
      </c>
      <c r="P1571" s="0">
        <v>0</v>
      </c>
      <c r="R1571" s="0" t="b">
        <v>0</v>
      </c>
      <c r="S1571" s="0" t="b">
        <v>1</v>
      </c>
      <c r="T1571" s="68">
        <v>44660.5451388889</v>
      </c>
      <c r="U1571" s="68">
        <v>44693.5</v>
      </c>
      <c r="V1571" s="68">
        <v>0</v>
      </c>
      <c r="W1571" s="0">
        <f>IF(IF(B1571="none",1,IF(B1571="Trialer",1,0))+IF(C1571="Customer",1,IF(C1571="Lost",1,0))=2,1,0)</f>
      </c>
      <c r="X1571" s="0" t="s">
        <v>166</v>
      </c>
      <c r="Y1571" s="0" t="s">
        <v>243</v>
      </c>
      <c r="AV1571" s="68"/>
      <c r="AW1571" s="68"/>
      <c r="AY1571" s="27"/>
      <c r="BD1571" s="68">
        <v>46054.1666666667</v>
      </c>
      <c r="BE1571" s="68">
        <v>46082.1666666667</v>
      </c>
      <c r="BF1571" s="0" t="b">
        <v>0</v>
      </c>
      <c r="BG1571" s="0" t="b">
        <v>0</v>
      </c>
      <c r="BH1571" s="0">
        <v>0</v>
      </c>
      <c r="BI1571" s="0">
        <v>0</v>
      </c>
      <c r="BJ1571" s="0" t="s">
        <v>135</v>
      </c>
    </row>
    <row r="1572">
      <c r="A1572" s="0" t="s">
        <v>1791</v>
      </c>
      <c r="B1572" s="0" t="s">
        <v>134</v>
      </c>
      <c r="C1572" s="0" t="s">
        <v>134</v>
      </c>
      <c r="D1572" s="0" t="s">
        <v>230</v>
      </c>
      <c r="E1572" s="0" t="s">
        <v>3</v>
      </c>
      <c r="F1572" s="0" t="s">
        <v>12</v>
      </c>
      <c r="G1572" s="0" t="s">
        <v>8</v>
      </c>
      <c r="H1572" s="0">
        <v>1390</v>
      </c>
      <c r="I1572" s="0">
        <v>44</v>
      </c>
      <c r="J1572" s="0">
        <v>0</v>
      </c>
      <c r="K1572" s="0">
        <v>1</v>
      </c>
      <c r="L1572" s="0">
        <v>3</v>
      </c>
      <c r="M1572" s="0">
        <v>1</v>
      </c>
      <c r="N1572" s="0">
        <v>0</v>
      </c>
      <c r="O1572" s="0">
        <v>0</v>
      </c>
      <c r="P1572" s="0">
        <v>-44</v>
      </c>
      <c r="R1572" s="0" t="b">
        <v>0</v>
      </c>
      <c r="S1572" s="0" t="b">
        <v>1</v>
      </c>
      <c r="T1572" s="68">
        <v>44663.6132523148</v>
      </c>
      <c r="U1572" s="68">
        <v>44693.3333333333</v>
      </c>
      <c r="V1572" s="68">
        <v>0</v>
      </c>
      <c r="W1572" s="0">
        <f>IF(IF(B1572="none",1,IF(B1572="Trialer",1,0))+IF(C1572="Customer",1,IF(C1572="Lost",1,0))=2,1,0)</f>
      </c>
      <c r="X1572" s="0" t="s">
        <v>142</v>
      </c>
      <c r="Y1572" s="0" t="s">
        <v>1792</v>
      </c>
      <c r="AV1572" s="68"/>
      <c r="AW1572" s="68"/>
      <c r="AY1572" s="27"/>
      <c r="BD1572" s="68">
        <v>46054.1666666667</v>
      </c>
      <c r="BE1572" s="68">
        <v>46082.1666666667</v>
      </c>
      <c r="BF1572" s="0" t="b">
        <v>0</v>
      </c>
      <c r="BG1572" s="0" t="b">
        <v>0</v>
      </c>
      <c r="BH1572" s="0">
        <v>49</v>
      </c>
      <c r="BI1572" s="0">
        <v>49</v>
      </c>
      <c r="BJ1572" s="0" t="s">
        <v>230</v>
      </c>
    </row>
    <row r="1573">
      <c r="A1573" s="0" t="s">
        <v>1793</v>
      </c>
      <c r="B1573" s="0" t="s">
        <v>134</v>
      </c>
      <c r="C1573" s="0" t="s">
        <v>134</v>
      </c>
      <c r="D1573" s="0" t="s">
        <v>230</v>
      </c>
      <c r="E1573" s="0" t="s">
        <v>3</v>
      </c>
      <c r="F1573" s="0" t="s">
        <v>12</v>
      </c>
      <c r="G1573" s="0" t="s">
        <v>8</v>
      </c>
      <c r="H1573" s="0">
        <v>1390</v>
      </c>
      <c r="I1573" s="0">
        <v>46.8</v>
      </c>
      <c r="J1573" s="0">
        <v>0</v>
      </c>
      <c r="K1573" s="0">
        <v>1</v>
      </c>
      <c r="L1573" s="0">
        <v>3</v>
      </c>
      <c r="M1573" s="0">
        <v>1</v>
      </c>
      <c r="N1573" s="0">
        <v>0</v>
      </c>
      <c r="O1573" s="0">
        <v>0</v>
      </c>
      <c r="P1573" s="0">
        <v>-46.8</v>
      </c>
      <c r="R1573" s="0" t="b">
        <v>0</v>
      </c>
      <c r="S1573" s="0" t="b">
        <v>1</v>
      </c>
      <c r="T1573" s="68">
        <v>44663.9291666667</v>
      </c>
      <c r="U1573" s="68">
        <v>44681.3333333333</v>
      </c>
      <c r="V1573" s="68">
        <v>0</v>
      </c>
      <c r="W1573" s="0">
        <f>IF(IF(B1573="none",1,IF(B1573="Trialer",1,0))+IF(C1573="Customer",1,IF(C1573="Lost",1,0))=2,1,0)</f>
      </c>
      <c r="X1573" s="0" t="s">
        <v>142</v>
      </c>
      <c r="Y1573" s="0" t="s">
        <v>243</v>
      </c>
      <c r="AV1573" s="68"/>
      <c r="AW1573" s="68"/>
      <c r="AY1573" s="27"/>
      <c r="BD1573" s="68">
        <v>46054.1666666667</v>
      </c>
      <c r="BE1573" s="68">
        <v>46082.1666666667</v>
      </c>
      <c r="BF1573" s="0" t="b">
        <v>0</v>
      </c>
      <c r="BG1573" s="0" t="b">
        <v>0</v>
      </c>
      <c r="BH1573" s="0">
        <v>52</v>
      </c>
      <c r="BI1573" s="0">
        <v>52</v>
      </c>
      <c r="BJ1573" s="0" t="s">
        <v>230</v>
      </c>
    </row>
    <row r="1574">
      <c r="A1574" s="0" t="s">
        <v>1794</v>
      </c>
      <c r="B1574" s="0" t="s">
        <v>134</v>
      </c>
      <c r="C1574" s="0" t="s">
        <v>134</v>
      </c>
      <c r="D1574" s="0" t="s">
        <v>230</v>
      </c>
      <c r="E1574" s="0" t="s">
        <v>2</v>
      </c>
      <c r="F1574" s="0" t="s">
        <v>12</v>
      </c>
      <c r="G1574" s="0" t="s">
        <v>8</v>
      </c>
      <c r="H1574" s="0">
        <v>1389</v>
      </c>
      <c r="I1574" s="0">
        <v>2044</v>
      </c>
      <c r="J1574" s="0">
        <v>0</v>
      </c>
      <c r="K1574" s="0">
        <v>2</v>
      </c>
      <c r="L1574" s="0">
        <v>3</v>
      </c>
      <c r="M1574" s="0">
        <v>17</v>
      </c>
      <c r="N1574" s="0">
        <v>0</v>
      </c>
      <c r="O1574" s="0">
        <v>0</v>
      </c>
      <c r="P1574" s="0">
        <v>-739</v>
      </c>
      <c r="R1574" s="0" t="b">
        <v>0</v>
      </c>
      <c r="S1574" s="0" t="b">
        <v>1</v>
      </c>
      <c r="T1574" s="68">
        <v>44664.40625</v>
      </c>
      <c r="U1574" s="68">
        <v>44742.5</v>
      </c>
      <c r="V1574" s="68">
        <v>0</v>
      </c>
      <c r="W1574" s="0">
        <f>IF(IF(B1574="none",1,IF(B1574="Trialer",1,0))+IF(C1574="Customer",1,IF(C1574="Lost",1,0))=2,1,0)</f>
      </c>
      <c r="X1574" s="0" t="s">
        <v>148</v>
      </c>
      <c r="Y1574" s="0" t="s">
        <v>499</v>
      </c>
      <c r="AV1574" s="68"/>
      <c r="AW1574" s="68"/>
      <c r="AY1574" s="27"/>
      <c r="BD1574" s="68">
        <v>46054.1666666667</v>
      </c>
      <c r="BE1574" s="68">
        <v>46082.1666666667</v>
      </c>
      <c r="BF1574" s="0" t="b">
        <v>0</v>
      </c>
      <c r="BG1574" s="0" t="b">
        <v>0</v>
      </c>
      <c r="BH1574" s="0">
        <v>836</v>
      </c>
      <c r="BI1574" s="0">
        <v>836</v>
      </c>
      <c r="BJ1574" s="0" t="s">
        <v>230</v>
      </c>
    </row>
    <row r="1575">
      <c r="A1575" s="0" t="s">
        <v>1795</v>
      </c>
      <c r="B1575" s="0" t="s">
        <v>134</v>
      </c>
      <c r="C1575" s="0" t="s">
        <v>134</v>
      </c>
      <c r="D1575" s="0" t="s">
        <v>135</v>
      </c>
      <c r="E1575" s="0" t="s">
        <v>3</v>
      </c>
      <c r="F1575" s="0" t="s">
        <v>11</v>
      </c>
      <c r="G1575" s="0" t="s">
        <v>8</v>
      </c>
      <c r="H1575" s="0">
        <v>1389</v>
      </c>
      <c r="I1575" s="0">
        <v>39.2</v>
      </c>
      <c r="J1575" s="0">
        <v>0</v>
      </c>
      <c r="K1575" s="0">
        <v>1</v>
      </c>
      <c r="L1575" s="0">
        <v>3</v>
      </c>
      <c r="M1575" s="0">
        <v>1</v>
      </c>
      <c r="N1575" s="0">
        <v>0</v>
      </c>
      <c r="O1575" s="0">
        <v>0</v>
      </c>
      <c r="P1575" s="0">
        <v>0</v>
      </c>
      <c r="Q1575" s="0" t="s">
        <v>1743</v>
      </c>
      <c r="R1575" s="0" t="b">
        <v>1</v>
      </c>
      <c r="S1575" s="0" t="b">
        <v>1</v>
      </c>
      <c r="T1575" s="68">
        <v>44664.5</v>
      </c>
      <c r="U1575" s="68">
        <v>44664.5</v>
      </c>
      <c r="V1575" s="68">
        <v>0</v>
      </c>
      <c r="W1575" s="0">
        <f>IF(IF(B1575="none",1,IF(B1575="Trialer",1,0))+IF(C1575="Customer",1,IF(C1575="Lost",1,0))=2,1,0)</f>
      </c>
      <c r="X1575" s="0" t="s">
        <v>145</v>
      </c>
      <c r="Y1575" s="0" t="s">
        <v>243</v>
      </c>
      <c r="AV1575" s="68"/>
      <c r="AW1575" s="68"/>
      <c r="AY1575" s="27"/>
      <c r="BD1575" s="68">
        <v>46054.1666666667</v>
      </c>
      <c r="BE1575" s="68">
        <v>46082.1666666667</v>
      </c>
      <c r="BF1575" s="0" t="b">
        <v>0</v>
      </c>
      <c r="BG1575" s="0" t="b">
        <v>0</v>
      </c>
      <c r="BH1575" s="0">
        <v>39.2</v>
      </c>
      <c r="BI1575" s="0">
        <v>39.2</v>
      </c>
      <c r="BJ1575" s="0" t="s">
        <v>135</v>
      </c>
    </row>
    <row r="1576">
      <c r="A1576" s="0" t="s">
        <v>1796</v>
      </c>
      <c r="B1576" s="0" t="s">
        <v>134</v>
      </c>
      <c r="C1576" s="0" t="s">
        <v>134</v>
      </c>
      <c r="D1576" s="0" t="s">
        <v>135</v>
      </c>
      <c r="E1576" s="0" t="s">
        <v>3</v>
      </c>
      <c r="F1576" s="0" t="s">
        <v>11</v>
      </c>
      <c r="G1576" s="0" t="s">
        <v>8</v>
      </c>
      <c r="H1576" s="0">
        <v>1389</v>
      </c>
      <c r="I1576" s="0">
        <v>0</v>
      </c>
      <c r="J1576" s="0">
        <v>0</v>
      </c>
      <c r="K1576" s="0">
        <v>0</v>
      </c>
      <c r="L1576" s="0">
        <v>0</v>
      </c>
      <c r="M1576" s="0">
        <v>0</v>
      </c>
      <c r="N1576" s="0">
        <v>0</v>
      </c>
      <c r="O1576" s="0">
        <v>0</v>
      </c>
      <c r="P1576" s="0">
        <v>0</v>
      </c>
      <c r="Q1576" s="0" t="s">
        <v>1743</v>
      </c>
      <c r="R1576" s="0" t="b">
        <v>1</v>
      </c>
      <c r="S1576" s="0" t="b">
        <v>1</v>
      </c>
      <c r="T1576" s="68">
        <v>44664.5</v>
      </c>
      <c r="U1576" s="68">
        <v>44664.5</v>
      </c>
      <c r="V1576" s="68">
        <v>0</v>
      </c>
      <c r="W1576" s="0">
        <f>IF(IF(B1576="none",1,IF(B1576="Trialer",1,0))+IF(C1576="Customer",1,IF(C1576="Lost",1,0))=2,1,0)</f>
      </c>
      <c r="X1576" s="0" t="s">
        <v>145</v>
      </c>
      <c r="Y1576" s="0" t="s">
        <v>243</v>
      </c>
      <c r="AV1576" s="68"/>
      <c r="AW1576" s="68"/>
      <c r="AY1576" s="27"/>
      <c r="BD1576" s="68">
        <v>46054.1666666667</v>
      </c>
      <c r="BE1576" s="68">
        <v>46082.1666666667</v>
      </c>
      <c r="BF1576" s="0" t="b">
        <v>0</v>
      </c>
      <c r="BG1576" s="0" t="b">
        <v>0</v>
      </c>
      <c r="BH1576" s="0">
        <v>0</v>
      </c>
      <c r="BI1576" s="0">
        <v>0</v>
      </c>
      <c r="BJ1576" s="0" t="s">
        <v>135</v>
      </c>
    </row>
    <row r="1577">
      <c r="A1577" s="0" t="s">
        <v>1797</v>
      </c>
      <c r="B1577" s="0" t="s">
        <v>134</v>
      </c>
      <c r="C1577" s="0" t="s">
        <v>134</v>
      </c>
      <c r="D1577" s="0" t="s">
        <v>135</v>
      </c>
      <c r="E1577" s="0" t="s">
        <v>3</v>
      </c>
      <c r="F1577" s="0" t="s">
        <v>11</v>
      </c>
      <c r="G1577" s="0" t="s">
        <v>8</v>
      </c>
      <c r="H1577" s="0">
        <v>1389</v>
      </c>
      <c r="I1577" s="0">
        <v>117.6</v>
      </c>
      <c r="J1577" s="0">
        <v>0</v>
      </c>
      <c r="K1577" s="0">
        <v>1</v>
      </c>
      <c r="L1577" s="0">
        <v>3</v>
      </c>
      <c r="M1577" s="0">
        <v>3</v>
      </c>
      <c r="N1577" s="0">
        <v>0</v>
      </c>
      <c r="O1577" s="0">
        <v>0</v>
      </c>
      <c r="P1577" s="0">
        <v>0</v>
      </c>
      <c r="Q1577" s="0" t="s">
        <v>1743</v>
      </c>
      <c r="R1577" s="0" t="b">
        <v>1</v>
      </c>
      <c r="S1577" s="0" t="b">
        <v>1</v>
      </c>
      <c r="T1577" s="68">
        <v>44664.5</v>
      </c>
      <c r="U1577" s="68">
        <v>44664.5</v>
      </c>
      <c r="V1577" s="68">
        <v>0</v>
      </c>
      <c r="W1577" s="0">
        <f>IF(IF(B1577="none",1,IF(B1577="Trialer",1,0))+IF(C1577="Customer",1,IF(C1577="Lost",1,0))=2,1,0)</f>
      </c>
      <c r="X1577" s="0" t="s">
        <v>145</v>
      </c>
      <c r="Y1577" s="0" t="s">
        <v>243</v>
      </c>
      <c r="AV1577" s="68"/>
      <c r="AW1577" s="68"/>
      <c r="AY1577" s="27"/>
      <c r="BD1577" s="68">
        <v>46054.1666666667</v>
      </c>
      <c r="BE1577" s="68">
        <v>46082.1666666667</v>
      </c>
      <c r="BF1577" s="0" t="b">
        <v>0</v>
      </c>
      <c r="BG1577" s="0" t="b">
        <v>0</v>
      </c>
      <c r="BH1577" s="0">
        <v>117.6</v>
      </c>
      <c r="BI1577" s="0">
        <v>117.6</v>
      </c>
      <c r="BJ1577" s="0" t="s">
        <v>135</v>
      </c>
    </row>
    <row r="1578">
      <c r="A1578" s="0" t="s">
        <v>1798</v>
      </c>
      <c r="B1578" s="0" t="s">
        <v>134</v>
      </c>
      <c r="C1578" s="0" t="s">
        <v>134</v>
      </c>
      <c r="D1578" s="0" t="s">
        <v>135</v>
      </c>
      <c r="E1578" s="0" t="s">
        <v>3</v>
      </c>
      <c r="F1578" s="0" t="s">
        <v>11</v>
      </c>
      <c r="G1578" s="0" t="s">
        <v>8</v>
      </c>
      <c r="H1578" s="0">
        <v>1389</v>
      </c>
      <c r="I1578" s="0">
        <v>113.2</v>
      </c>
      <c r="J1578" s="0">
        <v>0</v>
      </c>
      <c r="K1578" s="0">
        <v>1</v>
      </c>
      <c r="L1578" s="0">
        <v>3</v>
      </c>
      <c r="M1578" s="0">
        <v>4</v>
      </c>
      <c r="N1578" s="0">
        <v>0</v>
      </c>
      <c r="O1578" s="0">
        <v>0</v>
      </c>
      <c r="P1578" s="0">
        <v>0</v>
      </c>
      <c r="Q1578" s="0" t="s">
        <v>1743</v>
      </c>
      <c r="R1578" s="0" t="b">
        <v>1</v>
      </c>
      <c r="S1578" s="0" t="b">
        <v>1</v>
      </c>
      <c r="T1578" s="68">
        <v>44664.5</v>
      </c>
      <c r="U1578" s="68">
        <v>44664.5</v>
      </c>
      <c r="V1578" s="68">
        <v>0</v>
      </c>
      <c r="W1578" s="0">
        <f>IF(IF(B1578="none",1,IF(B1578="Trialer",1,0))+IF(C1578="Customer",1,IF(C1578="Lost",1,0))=2,1,0)</f>
      </c>
      <c r="X1578" s="0" t="s">
        <v>145</v>
      </c>
      <c r="Y1578" s="0" t="s">
        <v>243</v>
      </c>
      <c r="AV1578" s="68"/>
      <c r="AW1578" s="68"/>
      <c r="AY1578" s="27"/>
      <c r="BD1578" s="68">
        <v>46054.1666666667</v>
      </c>
      <c r="BE1578" s="68">
        <v>46082.1666666667</v>
      </c>
      <c r="BF1578" s="0" t="b">
        <v>0</v>
      </c>
      <c r="BG1578" s="0" t="b">
        <v>0</v>
      </c>
      <c r="BH1578" s="0">
        <v>113.2</v>
      </c>
      <c r="BI1578" s="0">
        <v>113.2</v>
      </c>
      <c r="BJ1578" s="0" t="s">
        <v>135</v>
      </c>
    </row>
    <row r="1579">
      <c r="A1579" s="0" t="s">
        <v>1799</v>
      </c>
      <c r="B1579" s="0" t="s">
        <v>134</v>
      </c>
      <c r="C1579" s="0" t="s">
        <v>134</v>
      </c>
      <c r="D1579" s="0" t="s">
        <v>135</v>
      </c>
      <c r="E1579" s="0" t="s">
        <v>3</v>
      </c>
      <c r="F1579" s="0" t="s">
        <v>11</v>
      </c>
      <c r="G1579" s="0" t="s">
        <v>8</v>
      </c>
      <c r="H1579" s="0">
        <v>1389</v>
      </c>
      <c r="I1579" s="0">
        <v>78.4</v>
      </c>
      <c r="J1579" s="0">
        <v>0</v>
      </c>
      <c r="K1579" s="0">
        <v>1</v>
      </c>
      <c r="L1579" s="0">
        <v>3</v>
      </c>
      <c r="M1579" s="0">
        <v>2</v>
      </c>
      <c r="N1579" s="0">
        <v>0</v>
      </c>
      <c r="O1579" s="0">
        <v>0</v>
      </c>
      <c r="P1579" s="0">
        <v>0</v>
      </c>
      <c r="Q1579" s="0" t="s">
        <v>1743</v>
      </c>
      <c r="R1579" s="0" t="b">
        <v>1</v>
      </c>
      <c r="S1579" s="0" t="b">
        <v>1</v>
      </c>
      <c r="T1579" s="68">
        <v>44664.5</v>
      </c>
      <c r="U1579" s="68">
        <v>44664.5</v>
      </c>
      <c r="V1579" s="68">
        <v>0</v>
      </c>
      <c r="W1579" s="0">
        <f>IF(IF(B1579="none",1,IF(B1579="Trialer",1,0))+IF(C1579="Customer",1,IF(C1579="Lost",1,0))=2,1,0)</f>
      </c>
      <c r="X1579" s="0" t="s">
        <v>145</v>
      </c>
      <c r="Y1579" s="0" t="s">
        <v>243</v>
      </c>
      <c r="AV1579" s="68"/>
      <c r="AW1579" s="68"/>
      <c r="AY1579" s="27"/>
      <c r="BD1579" s="68">
        <v>46054.1666666667</v>
      </c>
      <c r="BE1579" s="68">
        <v>46082.1666666667</v>
      </c>
      <c r="BF1579" s="0" t="b">
        <v>0</v>
      </c>
      <c r="BG1579" s="0" t="b">
        <v>0</v>
      </c>
      <c r="BH1579" s="0">
        <v>78.4</v>
      </c>
      <c r="BI1579" s="0">
        <v>78.4</v>
      </c>
      <c r="BJ1579" s="0" t="s">
        <v>135</v>
      </c>
    </row>
    <row r="1580">
      <c r="A1580" s="0" t="s">
        <v>1800</v>
      </c>
      <c r="B1580" s="0" t="s">
        <v>134</v>
      </c>
      <c r="C1580" s="0" t="s">
        <v>134</v>
      </c>
      <c r="D1580" s="0" t="s">
        <v>135</v>
      </c>
      <c r="E1580" s="0" t="s">
        <v>3</v>
      </c>
      <c r="F1580" s="0" t="s">
        <v>11</v>
      </c>
      <c r="G1580" s="0" t="s">
        <v>8</v>
      </c>
      <c r="H1580" s="0">
        <v>1389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  <c r="Q1580" s="0" t="s">
        <v>1743</v>
      </c>
      <c r="R1580" s="0" t="b">
        <v>1</v>
      </c>
      <c r="S1580" s="0" t="b">
        <v>1</v>
      </c>
      <c r="T1580" s="68">
        <v>44664.5</v>
      </c>
      <c r="U1580" s="68">
        <v>44664.5</v>
      </c>
      <c r="V1580" s="68">
        <v>0</v>
      </c>
      <c r="W1580" s="0">
        <f>IF(IF(B1580="none",1,IF(B1580="Trialer",1,0))+IF(C1580="Customer",1,IF(C1580="Lost",1,0))=2,1,0)</f>
      </c>
      <c r="X1580" s="0" t="s">
        <v>145</v>
      </c>
      <c r="Y1580" s="0" t="s">
        <v>243</v>
      </c>
      <c r="AV1580" s="68"/>
      <c r="AW1580" s="68"/>
      <c r="AY1580" s="27"/>
      <c r="BD1580" s="68">
        <v>46054.1666666667</v>
      </c>
      <c r="BE1580" s="68">
        <v>46082.1666666667</v>
      </c>
      <c r="BF1580" s="0" t="b">
        <v>0</v>
      </c>
      <c r="BG1580" s="0" t="b">
        <v>0</v>
      </c>
      <c r="BH1580" s="0">
        <v>0</v>
      </c>
      <c r="BI1580" s="0">
        <v>0</v>
      </c>
      <c r="BJ1580" s="0" t="s">
        <v>135</v>
      </c>
    </row>
    <row r="1581">
      <c r="A1581" s="0" t="s">
        <v>1801</v>
      </c>
      <c r="B1581" s="0" t="s">
        <v>134</v>
      </c>
      <c r="C1581" s="0" t="s">
        <v>134</v>
      </c>
      <c r="D1581" s="0" t="s">
        <v>135</v>
      </c>
      <c r="E1581" s="0" t="s">
        <v>3</v>
      </c>
      <c r="F1581" s="0" t="s">
        <v>11</v>
      </c>
      <c r="G1581" s="0" t="s">
        <v>8</v>
      </c>
      <c r="H1581" s="0">
        <v>1389</v>
      </c>
      <c r="I1581" s="0">
        <v>78.4</v>
      </c>
      <c r="J1581" s="0">
        <v>0</v>
      </c>
      <c r="K1581" s="0">
        <v>1</v>
      </c>
      <c r="L1581" s="0">
        <v>3</v>
      </c>
      <c r="M1581" s="0">
        <v>2</v>
      </c>
      <c r="N1581" s="0">
        <v>0</v>
      </c>
      <c r="O1581" s="0">
        <v>0</v>
      </c>
      <c r="P1581" s="0">
        <v>0</v>
      </c>
      <c r="Q1581" s="0" t="s">
        <v>1743</v>
      </c>
      <c r="R1581" s="0" t="b">
        <v>1</v>
      </c>
      <c r="S1581" s="0" t="b">
        <v>1</v>
      </c>
      <c r="T1581" s="68">
        <v>44664.5</v>
      </c>
      <c r="U1581" s="68">
        <v>44664.5</v>
      </c>
      <c r="V1581" s="68">
        <v>0</v>
      </c>
      <c r="W1581" s="0">
        <f>IF(IF(B1581="none",1,IF(B1581="Trialer",1,0))+IF(C1581="Customer",1,IF(C1581="Lost",1,0))=2,1,0)</f>
      </c>
      <c r="X1581" s="0" t="s">
        <v>145</v>
      </c>
      <c r="Y1581" s="0" t="s">
        <v>243</v>
      </c>
      <c r="AV1581" s="68"/>
      <c r="AW1581" s="68"/>
      <c r="AY1581" s="27"/>
      <c r="BD1581" s="68">
        <v>46054.1666666667</v>
      </c>
      <c r="BE1581" s="68">
        <v>46082.1666666667</v>
      </c>
      <c r="BF1581" s="0" t="b">
        <v>0</v>
      </c>
      <c r="BG1581" s="0" t="b">
        <v>0</v>
      </c>
      <c r="BH1581" s="0">
        <v>78.4</v>
      </c>
      <c r="BI1581" s="0">
        <v>78.4</v>
      </c>
      <c r="BJ1581" s="0" t="s">
        <v>135</v>
      </c>
    </row>
    <row r="1582">
      <c r="A1582" s="0" t="s">
        <v>1802</v>
      </c>
      <c r="B1582" s="0" t="s">
        <v>134</v>
      </c>
      <c r="C1582" s="0" t="s">
        <v>134</v>
      </c>
      <c r="D1582" s="0" t="s">
        <v>135</v>
      </c>
      <c r="E1582" s="0" t="s">
        <v>3</v>
      </c>
      <c r="F1582" s="0" t="s">
        <v>11</v>
      </c>
      <c r="G1582" s="0" t="s">
        <v>8</v>
      </c>
      <c r="H1582" s="0">
        <v>1389</v>
      </c>
      <c r="I1582" s="0">
        <v>39.2</v>
      </c>
      <c r="J1582" s="0">
        <v>0</v>
      </c>
      <c r="K1582" s="0">
        <v>1</v>
      </c>
      <c r="L1582" s="0">
        <v>3</v>
      </c>
      <c r="M1582" s="0">
        <v>1</v>
      </c>
      <c r="N1582" s="0">
        <v>0</v>
      </c>
      <c r="O1582" s="0">
        <v>0</v>
      </c>
      <c r="P1582" s="0">
        <v>0</v>
      </c>
      <c r="Q1582" s="0" t="s">
        <v>1743</v>
      </c>
      <c r="R1582" s="0" t="b">
        <v>1</v>
      </c>
      <c r="S1582" s="0" t="b">
        <v>1</v>
      </c>
      <c r="T1582" s="68">
        <v>44664.5</v>
      </c>
      <c r="U1582" s="68">
        <v>44664.5</v>
      </c>
      <c r="V1582" s="68">
        <v>0</v>
      </c>
      <c r="W1582" s="0">
        <f>IF(IF(B1582="none",1,IF(B1582="Trialer",1,0))+IF(C1582="Customer",1,IF(C1582="Lost",1,0))=2,1,0)</f>
      </c>
      <c r="X1582" s="0" t="s">
        <v>145</v>
      </c>
      <c r="Y1582" s="0" t="s">
        <v>243</v>
      </c>
      <c r="AV1582" s="68"/>
      <c r="AW1582" s="68"/>
      <c r="AY1582" s="27"/>
      <c r="BD1582" s="68">
        <v>46054.1666666667</v>
      </c>
      <c r="BE1582" s="68">
        <v>46082.1666666667</v>
      </c>
      <c r="BF1582" s="0" t="b">
        <v>0</v>
      </c>
      <c r="BG1582" s="0" t="b">
        <v>0</v>
      </c>
      <c r="BH1582" s="0">
        <v>39.2</v>
      </c>
      <c r="BI1582" s="0">
        <v>39.2</v>
      </c>
      <c r="BJ1582" s="0" t="s">
        <v>135</v>
      </c>
    </row>
    <row r="1583">
      <c r="A1583" s="0" t="s">
        <v>1803</v>
      </c>
      <c r="B1583" s="0" t="s">
        <v>134</v>
      </c>
      <c r="C1583" s="0" t="s">
        <v>134</v>
      </c>
      <c r="D1583" s="0" t="s">
        <v>135</v>
      </c>
      <c r="E1583" s="0" t="s">
        <v>3</v>
      </c>
      <c r="F1583" s="0" t="s">
        <v>11</v>
      </c>
      <c r="G1583" s="0" t="s">
        <v>8</v>
      </c>
      <c r="H1583" s="0">
        <v>1389</v>
      </c>
      <c r="I1583" s="0">
        <v>39.2</v>
      </c>
      <c r="J1583" s="0">
        <v>0</v>
      </c>
      <c r="K1583" s="0">
        <v>1</v>
      </c>
      <c r="L1583" s="0">
        <v>3</v>
      </c>
      <c r="M1583" s="0">
        <v>1</v>
      </c>
      <c r="N1583" s="0">
        <v>0</v>
      </c>
      <c r="O1583" s="0">
        <v>0</v>
      </c>
      <c r="P1583" s="0">
        <v>0</v>
      </c>
      <c r="Q1583" s="0" t="s">
        <v>1743</v>
      </c>
      <c r="R1583" s="0" t="b">
        <v>1</v>
      </c>
      <c r="S1583" s="0" t="b">
        <v>1</v>
      </c>
      <c r="T1583" s="68">
        <v>44664.5</v>
      </c>
      <c r="U1583" s="68">
        <v>44664.5</v>
      </c>
      <c r="V1583" s="68">
        <v>0</v>
      </c>
      <c r="W1583" s="0">
        <f>IF(IF(B1583="none",1,IF(B1583="Trialer",1,0))+IF(C1583="Customer",1,IF(C1583="Lost",1,0))=2,1,0)</f>
      </c>
      <c r="X1583" s="0" t="s">
        <v>145</v>
      </c>
      <c r="Y1583" s="0" t="s">
        <v>243</v>
      </c>
      <c r="AV1583" s="68"/>
      <c r="AW1583" s="68"/>
      <c r="AY1583" s="27"/>
      <c r="BD1583" s="68">
        <v>46054.1666666667</v>
      </c>
      <c r="BE1583" s="68">
        <v>46082.1666666667</v>
      </c>
      <c r="BF1583" s="0" t="b">
        <v>0</v>
      </c>
      <c r="BG1583" s="0" t="b">
        <v>0</v>
      </c>
      <c r="BH1583" s="0">
        <v>39.2</v>
      </c>
      <c r="BI1583" s="0">
        <v>39.2</v>
      </c>
      <c r="BJ1583" s="0" t="s">
        <v>135</v>
      </c>
    </row>
    <row r="1584">
      <c r="A1584" s="0" t="s">
        <v>1804</v>
      </c>
      <c r="B1584" s="0" t="s">
        <v>134</v>
      </c>
      <c r="C1584" s="0" t="s">
        <v>134</v>
      </c>
      <c r="D1584" s="0" t="s">
        <v>135</v>
      </c>
      <c r="E1584" s="0" t="s">
        <v>3</v>
      </c>
      <c r="F1584" s="0" t="s">
        <v>11</v>
      </c>
      <c r="G1584" s="0" t="s">
        <v>8</v>
      </c>
      <c r="H1584" s="0">
        <v>1389</v>
      </c>
      <c r="I1584" s="0">
        <v>117.6</v>
      </c>
      <c r="J1584" s="0">
        <v>0</v>
      </c>
      <c r="K1584" s="0">
        <v>1</v>
      </c>
      <c r="L1584" s="0">
        <v>3</v>
      </c>
      <c r="M1584" s="0">
        <v>3</v>
      </c>
      <c r="N1584" s="0">
        <v>0</v>
      </c>
      <c r="O1584" s="0">
        <v>0</v>
      </c>
      <c r="P1584" s="0">
        <v>0</v>
      </c>
      <c r="Q1584" s="0" t="s">
        <v>1743</v>
      </c>
      <c r="R1584" s="0" t="b">
        <v>1</v>
      </c>
      <c r="S1584" s="0" t="b">
        <v>1</v>
      </c>
      <c r="T1584" s="68">
        <v>44664.5</v>
      </c>
      <c r="U1584" s="68">
        <v>44664.5</v>
      </c>
      <c r="V1584" s="68">
        <v>0</v>
      </c>
      <c r="W1584" s="0">
        <f>IF(IF(B1584="none",1,IF(B1584="Trialer",1,0))+IF(C1584="Customer",1,IF(C1584="Lost",1,0))=2,1,0)</f>
      </c>
      <c r="X1584" s="0" t="s">
        <v>145</v>
      </c>
      <c r="Y1584" s="0" t="s">
        <v>243</v>
      </c>
      <c r="AV1584" s="68"/>
      <c r="AW1584" s="68"/>
      <c r="AY1584" s="27"/>
      <c r="BD1584" s="68">
        <v>46054.1666666667</v>
      </c>
      <c r="BE1584" s="68">
        <v>46082.1666666667</v>
      </c>
      <c r="BF1584" s="0" t="b">
        <v>0</v>
      </c>
      <c r="BG1584" s="0" t="b">
        <v>0</v>
      </c>
      <c r="BH1584" s="0">
        <v>117.6</v>
      </c>
      <c r="BI1584" s="0">
        <v>117.6</v>
      </c>
      <c r="BJ1584" s="0" t="s">
        <v>135</v>
      </c>
    </row>
    <row r="1585">
      <c r="A1585" s="0" t="s">
        <v>1805</v>
      </c>
      <c r="B1585" s="0" t="s">
        <v>134</v>
      </c>
      <c r="C1585" s="0" t="s">
        <v>134</v>
      </c>
      <c r="D1585" s="0" t="s">
        <v>135</v>
      </c>
      <c r="E1585" s="0" t="s">
        <v>3</v>
      </c>
      <c r="F1585" s="0" t="s">
        <v>11</v>
      </c>
      <c r="G1585" s="0" t="s">
        <v>8</v>
      </c>
      <c r="H1585" s="0">
        <v>1389</v>
      </c>
      <c r="I1585" s="0">
        <v>78.4</v>
      </c>
      <c r="J1585" s="0">
        <v>0</v>
      </c>
      <c r="K1585" s="0">
        <v>1</v>
      </c>
      <c r="L1585" s="0">
        <v>3</v>
      </c>
      <c r="M1585" s="0">
        <v>2</v>
      </c>
      <c r="N1585" s="0">
        <v>0</v>
      </c>
      <c r="O1585" s="0">
        <v>0</v>
      </c>
      <c r="P1585" s="0">
        <v>0</v>
      </c>
      <c r="Q1585" s="0" t="s">
        <v>1743</v>
      </c>
      <c r="R1585" s="0" t="b">
        <v>1</v>
      </c>
      <c r="S1585" s="0" t="b">
        <v>1</v>
      </c>
      <c r="T1585" s="68">
        <v>44664.5</v>
      </c>
      <c r="U1585" s="68">
        <v>44664.5</v>
      </c>
      <c r="V1585" s="68">
        <v>0</v>
      </c>
      <c r="W1585" s="0">
        <f>IF(IF(B1585="none",1,IF(B1585="Trialer",1,0))+IF(C1585="Customer",1,IF(C1585="Lost",1,0))=2,1,0)</f>
      </c>
      <c r="X1585" s="0" t="s">
        <v>145</v>
      </c>
      <c r="Y1585" s="0" t="s">
        <v>243</v>
      </c>
      <c r="AV1585" s="68"/>
      <c r="AW1585" s="68"/>
      <c r="AY1585" s="27"/>
      <c r="BD1585" s="68">
        <v>46054.1666666667</v>
      </c>
      <c r="BE1585" s="68">
        <v>46082.1666666667</v>
      </c>
      <c r="BF1585" s="0" t="b">
        <v>0</v>
      </c>
      <c r="BG1585" s="0" t="b">
        <v>0</v>
      </c>
      <c r="BH1585" s="0">
        <v>78.4</v>
      </c>
      <c r="BI1585" s="0">
        <v>78.4</v>
      </c>
      <c r="BJ1585" s="0" t="s">
        <v>135</v>
      </c>
    </row>
    <row r="1586">
      <c r="A1586" s="0" t="s">
        <v>1806</v>
      </c>
      <c r="B1586" s="0" t="s">
        <v>134</v>
      </c>
      <c r="C1586" s="0" t="s">
        <v>134</v>
      </c>
      <c r="D1586" s="0" t="s">
        <v>135</v>
      </c>
      <c r="E1586" s="0" t="s">
        <v>3</v>
      </c>
      <c r="F1586" s="0" t="s">
        <v>11</v>
      </c>
      <c r="G1586" s="0" t="s">
        <v>8</v>
      </c>
      <c r="H1586" s="0">
        <v>1389</v>
      </c>
      <c r="I1586" s="0">
        <v>39.2</v>
      </c>
      <c r="J1586" s="0">
        <v>0</v>
      </c>
      <c r="K1586" s="0">
        <v>1</v>
      </c>
      <c r="L1586" s="0">
        <v>3</v>
      </c>
      <c r="M1586" s="0">
        <v>1</v>
      </c>
      <c r="N1586" s="0">
        <v>0</v>
      </c>
      <c r="O1586" s="0">
        <v>0</v>
      </c>
      <c r="P1586" s="0">
        <v>0</v>
      </c>
      <c r="Q1586" s="0" t="s">
        <v>1743</v>
      </c>
      <c r="R1586" s="0" t="b">
        <v>1</v>
      </c>
      <c r="S1586" s="0" t="b">
        <v>1</v>
      </c>
      <c r="T1586" s="68">
        <v>44664.5</v>
      </c>
      <c r="U1586" s="68">
        <v>44664.5</v>
      </c>
      <c r="V1586" s="68">
        <v>0</v>
      </c>
      <c r="W1586" s="0">
        <f>IF(IF(B1586="none",1,IF(B1586="Trialer",1,0))+IF(C1586="Customer",1,IF(C1586="Lost",1,0))=2,1,0)</f>
      </c>
      <c r="X1586" s="0" t="s">
        <v>145</v>
      </c>
      <c r="Y1586" s="0" t="s">
        <v>243</v>
      </c>
      <c r="AV1586" s="68"/>
      <c r="AW1586" s="68"/>
      <c r="AY1586" s="27"/>
      <c r="BD1586" s="68">
        <v>46054.1666666667</v>
      </c>
      <c r="BE1586" s="68">
        <v>46082.1666666667</v>
      </c>
      <c r="BF1586" s="0" t="b">
        <v>0</v>
      </c>
      <c r="BG1586" s="0" t="b">
        <v>0</v>
      </c>
      <c r="BH1586" s="0">
        <v>39.2</v>
      </c>
      <c r="BI1586" s="0">
        <v>39.2</v>
      </c>
      <c r="BJ1586" s="0" t="s">
        <v>135</v>
      </c>
    </row>
    <row r="1587">
      <c r="A1587" s="0" t="s">
        <v>1807</v>
      </c>
      <c r="B1587" s="0" t="s">
        <v>134</v>
      </c>
      <c r="C1587" s="0" t="s">
        <v>134</v>
      </c>
      <c r="D1587" s="0" t="s">
        <v>135</v>
      </c>
      <c r="E1587" s="0" t="s">
        <v>3</v>
      </c>
      <c r="F1587" s="0" t="s">
        <v>11</v>
      </c>
      <c r="G1587" s="0" t="s">
        <v>8</v>
      </c>
      <c r="H1587" s="0">
        <v>1389</v>
      </c>
      <c r="I1587" s="0">
        <v>156.8</v>
      </c>
      <c r="J1587" s="0">
        <v>0</v>
      </c>
      <c r="K1587" s="0">
        <v>1</v>
      </c>
      <c r="L1587" s="0">
        <v>3</v>
      </c>
      <c r="M1587" s="0">
        <v>4</v>
      </c>
      <c r="N1587" s="0">
        <v>0</v>
      </c>
      <c r="O1587" s="0">
        <v>0</v>
      </c>
      <c r="P1587" s="0">
        <v>0</v>
      </c>
      <c r="Q1587" s="0" t="s">
        <v>1743</v>
      </c>
      <c r="R1587" s="0" t="b">
        <v>1</v>
      </c>
      <c r="S1587" s="0" t="b">
        <v>1</v>
      </c>
      <c r="T1587" s="68">
        <v>44664.5</v>
      </c>
      <c r="U1587" s="68">
        <v>44664.5</v>
      </c>
      <c r="V1587" s="68">
        <v>0</v>
      </c>
      <c r="W1587" s="0">
        <f>IF(IF(B1587="none",1,IF(B1587="Trialer",1,0))+IF(C1587="Customer",1,IF(C1587="Lost",1,0))=2,1,0)</f>
      </c>
      <c r="X1587" s="0" t="s">
        <v>145</v>
      </c>
      <c r="Y1587" s="0" t="s">
        <v>243</v>
      </c>
      <c r="AV1587" s="68"/>
      <c r="AW1587" s="68"/>
      <c r="AY1587" s="27"/>
      <c r="BD1587" s="68">
        <v>46054.1666666667</v>
      </c>
      <c r="BE1587" s="68">
        <v>46082.1666666667</v>
      </c>
      <c r="BF1587" s="0" t="b">
        <v>0</v>
      </c>
      <c r="BG1587" s="0" t="b">
        <v>0</v>
      </c>
      <c r="BH1587" s="0">
        <v>196</v>
      </c>
      <c r="BI1587" s="0">
        <v>196</v>
      </c>
      <c r="BJ1587" s="0" t="s">
        <v>135</v>
      </c>
    </row>
    <row r="1588">
      <c r="A1588" s="0" t="s">
        <v>1808</v>
      </c>
      <c r="B1588" s="0" t="s">
        <v>134</v>
      </c>
      <c r="C1588" s="0" t="s">
        <v>134</v>
      </c>
      <c r="D1588" s="0" t="s">
        <v>135</v>
      </c>
      <c r="E1588" s="0" t="s">
        <v>3</v>
      </c>
      <c r="F1588" s="0" t="s">
        <v>11</v>
      </c>
      <c r="G1588" s="0" t="s">
        <v>8</v>
      </c>
      <c r="H1588" s="0">
        <v>1389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>
        <v>0</v>
      </c>
      <c r="Q1588" s="0" t="s">
        <v>1743</v>
      </c>
      <c r="R1588" s="0" t="b">
        <v>1</v>
      </c>
      <c r="S1588" s="0" t="b">
        <v>0</v>
      </c>
      <c r="T1588" s="68">
        <v>44664.5</v>
      </c>
      <c r="U1588" s="68">
        <v>44664.5</v>
      </c>
      <c r="V1588" s="68">
        <v>46087.4725462963</v>
      </c>
      <c r="W1588" s="0">
        <f>IF(IF(B1588="none",1,IF(B1588="Trialer",1,0))+IF(C1588="Customer",1,IF(C1588="Lost",1,0))=2,1,0)</f>
      </c>
      <c r="X1588" s="0" t="s">
        <v>145</v>
      </c>
      <c r="Y1588" s="0" t="s">
        <v>243</v>
      </c>
      <c r="AV1588" s="68"/>
      <c r="AW1588" s="68"/>
      <c r="AY1588" s="27"/>
      <c r="BD1588" s="68">
        <v>46054.1666666667</v>
      </c>
      <c r="BE1588" s="68">
        <v>46082.1666666667</v>
      </c>
      <c r="BF1588" s="0" t="b">
        <v>0</v>
      </c>
      <c r="BG1588" s="0" t="b">
        <v>0</v>
      </c>
      <c r="BH1588" s="0">
        <v>0</v>
      </c>
      <c r="BI1588" s="0">
        <v>0</v>
      </c>
      <c r="BJ1588" s="0" t="s">
        <v>135</v>
      </c>
    </row>
    <row r="1589">
      <c r="A1589" s="0" t="s">
        <v>1809</v>
      </c>
      <c r="B1589" s="0" t="s">
        <v>134</v>
      </c>
      <c r="C1589" s="0" t="s">
        <v>134</v>
      </c>
      <c r="D1589" s="0" t="s">
        <v>135</v>
      </c>
      <c r="E1589" s="0" t="s">
        <v>3</v>
      </c>
      <c r="F1589" s="0" t="s">
        <v>11</v>
      </c>
      <c r="G1589" s="0" t="s">
        <v>8</v>
      </c>
      <c r="H1589" s="0">
        <v>1389</v>
      </c>
      <c r="I1589" s="0">
        <v>0</v>
      </c>
      <c r="J1589" s="0">
        <v>0</v>
      </c>
      <c r="K1589" s="0">
        <v>0</v>
      </c>
      <c r="L1589" s="0">
        <v>0</v>
      </c>
      <c r="M1589" s="0">
        <v>0</v>
      </c>
      <c r="N1589" s="0">
        <v>0</v>
      </c>
      <c r="O1589" s="0">
        <v>0</v>
      </c>
      <c r="P1589" s="0">
        <v>0</v>
      </c>
      <c r="Q1589" s="0" t="s">
        <v>1743</v>
      </c>
      <c r="R1589" s="0" t="b">
        <v>1</v>
      </c>
      <c r="S1589" s="0" t="b">
        <v>0</v>
      </c>
      <c r="T1589" s="68">
        <v>44664.5</v>
      </c>
      <c r="U1589" s="68">
        <v>44664.5</v>
      </c>
      <c r="V1589" s="68">
        <v>46087.4699189815</v>
      </c>
      <c r="W1589" s="0">
        <f>IF(IF(B1589="none",1,IF(B1589="Trialer",1,0))+IF(C1589="Customer",1,IF(C1589="Lost",1,0))=2,1,0)</f>
      </c>
      <c r="X1589" s="0" t="s">
        <v>145</v>
      </c>
      <c r="Y1589" s="0" t="s">
        <v>243</v>
      </c>
      <c r="AV1589" s="68"/>
      <c r="AW1589" s="68"/>
      <c r="AY1589" s="27"/>
      <c r="BD1589" s="68">
        <v>46054.1666666667</v>
      </c>
      <c r="BE1589" s="68">
        <v>46082.1666666667</v>
      </c>
      <c r="BF1589" s="0" t="b">
        <v>0</v>
      </c>
      <c r="BG1589" s="0" t="b">
        <v>0</v>
      </c>
      <c r="BH1589" s="0">
        <v>0</v>
      </c>
      <c r="BI1589" s="0">
        <v>0</v>
      </c>
      <c r="BJ1589" s="0" t="s">
        <v>135</v>
      </c>
    </row>
    <row r="1590">
      <c r="A1590" s="0" t="s">
        <v>1810</v>
      </c>
      <c r="B1590" s="0" t="s">
        <v>134</v>
      </c>
      <c r="C1590" s="0" t="s">
        <v>134</v>
      </c>
      <c r="D1590" s="0" t="s">
        <v>135</v>
      </c>
      <c r="E1590" s="0" t="s">
        <v>3</v>
      </c>
      <c r="F1590" s="0" t="s">
        <v>11</v>
      </c>
      <c r="G1590" s="0" t="s">
        <v>8</v>
      </c>
      <c r="H1590" s="0">
        <v>1389</v>
      </c>
      <c r="I1590" s="0">
        <v>0</v>
      </c>
      <c r="J1590" s="0">
        <v>0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  <c r="P1590" s="0">
        <v>0</v>
      </c>
      <c r="Q1590" s="0" t="s">
        <v>1743</v>
      </c>
      <c r="R1590" s="0" t="b">
        <v>1</v>
      </c>
      <c r="S1590" s="0" t="b">
        <v>0</v>
      </c>
      <c r="T1590" s="68">
        <v>44664.5</v>
      </c>
      <c r="U1590" s="68">
        <v>44664.5</v>
      </c>
      <c r="V1590" s="68">
        <v>46087.4679861111</v>
      </c>
      <c r="W1590" s="0">
        <f>IF(IF(B1590="none",1,IF(B1590="Trialer",1,0))+IF(C1590="Customer",1,IF(C1590="Lost",1,0))=2,1,0)</f>
      </c>
      <c r="X1590" s="0" t="s">
        <v>145</v>
      </c>
      <c r="Y1590" s="0" t="s">
        <v>243</v>
      </c>
      <c r="AV1590" s="68"/>
      <c r="AW1590" s="68"/>
      <c r="AY1590" s="27"/>
      <c r="BD1590" s="68">
        <v>46054.1666666667</v>
      </c>
      <c r="BE1590" s="68">
        <v>46082.1666666667</v>
      </c>
      <c r="BF1590" s="0" t="b">
        <v>0</v>
      </c>
      <c r="BG1590" s="0" t="b">
        <v>0</v>
      </c>
      <c r="BH1590" s="0">
        <v>0</v>
      </c>
      <c r="BI1590" s="0">
        <v>0</v>
      </c>
      <c r="BJ1590" s="0" t="s">
        <v>135</v>
      </c>
    </row>
    <row r="1591">
      <c r="A1591" s="0" t="s">
        <v>1811</v>
      </c>
      <c r="B1591" s="0" t="s">
        <v>134</v>
      </c>
      <c r="C1591" s="0" t="s">
        <v>134</v>
      </c>
      <c r="D1591" s="0" t="s">
        <v>135</v>
      </c>
      <c r="E1591" s="0" t="s">
        <v>2</v>
      </c>
      <c r="F1591" s="0" t="s">
        <v>12</v>
      </c>
      <c r="G1591" s="0" t="s">
        <v>8</v>
      </c>
      <c r="H1591" s="0">
        <v>1388</v>
      </c>
      <c r="I1591" s="0">
        <v>222</v>
      </c>
      <c r="J1591" s="0">
        <v>0</v>
      </c>
      <c r="K1591" s="0">
        <v>1</v>
      </c>
      <c r="L1591" s="0">
        <v>2</v>
      </c>
      <c r="M1591" s="0">
        <v>6</v>
      </c>
      <c r="N1591" s="0">
        <v>0</v>
      </c>
      <c r="O1591" s="0">
        <v>0</v>
      </c>
      <c r="P1591" s="0">
        <v>0</v>
      </c>
      <c r="R1591" s="0" t="b">
        <v>0</v>
      </c>
      <c r="S1591" s="0" t="b">
        <v>1</v>
      </c>
      <c r="T1591" s="68">
        <v>44665.5856134259</v>
      </c>
      <c r="U1591" s="68">
        <v>44695.3333333333</v>
      </c>
      <c r="V1591" s="68">
        <v>0</v>
      </c>
      <c r="W1591" s="0">
        <f>IF(IF(B1591="none",1,IF(B1591="Trialer",1,0))+IF(C1591="Customer",1,IF(C1591="Lost",1,0))=2,1,0)</f>
      </c>
      <c r="X1591" s="0" t="s">
        <v>145</v>
      </c>
      <c r="Y1591" s="0" t="s">
        <v>499</v>
      </c>
      <c r="AV1591" s="68"/>
      <c r="AW1591" s="68"/>
      <c r="AY1591" s="27"/>
      <c r="BD1591" s="68">
        <v>46054.1666666667</v>
      </c>
      <c r="BE1591" s="68">
        <v>46082.1666666667</v>
      </c>
      <c r="BF1591" s="0" t="b">
        <v>0</v>
      </c>
      <c r="BG1591" s="0" t="b">
        <v>0</v>
      </c>
      <c r="BH1591" s="0">
        <v>222</v>
      </c>
      <c r="BI1591" s="0">
        <v>222</v>
      </c>
      <c r="BJ1591" s="0" t="s">
        <v>135</v>
      </c>
    </row>
    <row r="1592">
      <c r="A1592" s="0" t="s">
        <v>1812</v>
      </c>
      <c r="B1592" s="0" t="s">
        <v>134</v>
      </c>
      <c r="C1592" s="0" t="s">
        <v>134</v>
      </c>
      <c r="D1592" s="0" t="s">
        <v>135</v>
      </c>
      <c r="E1592" s="0" t="s">
        <v>2</v>
      </c>
      <c r="F1592" s="0" t="s">
        <v>12</v>
      </c>
      <c r="G1592" s="0" t="s">
        <v>8</v>
      </c>
      <c r="H1592" s="0">
        <v>1387</v>
      </c>
      <c r="I1592" s="0">
        <v>1404</v>
      </c>
      <c r="J1592" s="0">
        <v>0</v>
      </c>
      <c r="K1592" s="0">
        <v>1</v>
      </c>
      <c r="L1592" s="0">
        <v>6</v>
      </c>
      <c r="M1592" s="0">
        <v>23</v>
      </c>
      <c r="N1592" s="0">
        <v>2371.5</v>
      </c>
      <c r="O1592" s="0">
        <v>0</v>
      </c>
      <c r="P1592" s="0">
        <v>0</v>
      </c>
      <c r="R1592" s="0" t="b">
        <v>0</v>
      </c>
      <c r="S1592" s="0" t="b">
        <v>1</v>
      </c>
      <c r="T1592" s="68">
        <v>44666.3822453704</v>
      </c>
      <c r="U1592" s="68">
        <v>44705.3333333333</v>
      </c>
      <c r="V1592" s="68">
        <v>0</v>
      </c>
      <c r="W1592" s="0">
        <f>IF(IF(B1592="none",1,IF(B1592="Trialer",1,0))+IF(C1592="Customer",1,IF(C1592="Lost",1,0))=2,1,0)</f>
      </c>
      <c r="X1592" s="0" t="s">
        <v>145</v>
      </c>
      <c r="Y1592" s="0" t="s">
        <v>499</v>
      </c>
      <c r="AV1592" s="68"/>
      <c r="AW1592" s="68"/>
      <c r="AY1592" s="27"/>
      <c r="BD1592" s="68">
        <v>46054.1666666667</v>
      </c>
      <c r="BE1592" s="68">
        <v>46082.1666666667</v>
      </c>
      <c r="BF1592" s="0" t="b">
        <v>0</v>
      </c>
      <c r="BG1592" s="0" t="b">
        <v>0</v>
      </c>
      <c r="BH1592" s="0">
        <v>1079</v>
      </c>
      <c r="BI1592" s="0">
        <v>1079</v>
      </c>
      <c r="BJ1592" s="0" t="s">
        <v>135</v>
      </c>
    </row>
    <row r="1593">
      <c r="A1593" s="0" t="s">
        <v>1813</v>
      </c>
      <c r="B1593" s="0" t="s">
        <v>134</v>
      </c>
      <c r="C1593" s="0" t="s">
        <v>134</v>
      </c>
      <c r="D1593" s="0" t="s">
        <v>230</v>
      </c>
      <c r="E1593" s="0" t="s">
        <v>2</v>
      </c>
      <c r="F1593" s="0" t="s">
        <v>12</v>
      </c>
      <c r="G1593" s="0" t="s">
        <v>8</v>
      </c>
      <c r="H1593" s="0">
        <v>1387</v>
      </c>
      <c r="I1593" s="0">
        <v>91</v>
      </c>
      <c r="J1593" s="0">
        <v>0</v>
      </c>
      <c r="K1593" s="0">
        <v>1</v>
      </c>
      <c r="L1593" s="0">
        <v>2</v>
      </c>
      <c r="M1593" s="0">
        <v>3</v>
      </c>
      <c r="N1593" s="0">
        <v>0</v>
      </c>
      <c r="O1593" s="0">
        <v>0</v>
      </c>
      <c r="P1593" s="0">
        <v>-91</v>
      </c>
      <c r="R1593" s="0" t="b">
        <v>0</v>
      </c>
      <c r="S1593" s="0" t="b">
        <v>1</v>
      </c>
      <c r="T1593" s="68">
        <v>44666.4128356481</v>
      </c>
      <c r="U1593" s="68">
        <v>44706.3333333333</v>
      </c>
      <c r="V1593" s="68">
        <v>0</v>
      </c>
      <c r="W1593" s="0">
        <f>IF(IF(B1593="none",1,IF(B1593="Trialer",1,0))+IF(C1593="Customer",1,IF(C1593="Lost",1,0))=2,1,0)</f>
      </c>
      <c r="X1593" s="0" t="s">
        <v>142</v>
      </c>
      <c r="Y1593" s="0" t="s">
        <v>499</v>
      </c>
      <c r="AV1593" s="68"/>
      <c r="AW1593" s="68"/>
      <c r="AY1593" s="27"/>
      <c r="BD1593" s="68">
        <v>46054.1666666667</v>
      </c>
      <c r="BE1593" s="68">
        <v>46082.1666666667</v>
      </c>
      <c r="BF1593" s="0" t="b">
        <v>0</v>
      </c>
      <c r="BG1593" s="0" t="b">
        <v>0</v>
      </c>
      <c r="BH1593" s="0">
        <v>102</v>
      </c>
      <c r="BI1593" s="0">
        <v>102</v>
      </c>
      <c r="BJ1593" s="0" t="s">
        <v>230</v>
      </c>
    </row>
    <row r="1594">
      <c r="A1594" s="0" t="s">
        <v>1814</v>
      </c>
      <c r="B1594" s="0" t="s">
        <v>134</v>
      </c>
      <c r="C1594" s="0" t="s">
        <v>134</v>
      </c>
      <c r="D1594" s="0" t="s">
        <v>230</v>
      </c>
      <c r="E1594" s="0" t="s">
        <v>3</v>
      </c>
      <c r="F1594" s="0" t="s">
        <v>12</v>
      </c>
      <c r="G1594" s="0" t="s">
        <v>8</v>
      </c>
      <c r="H1594" s="0">
        <v>1384</v>
      </c>
      <c r="I1594" s="0">
        <v>220</v>
      </c>
      <c r="J1594" s="0">
        <v>0</v>
      </c>
      <c r="K1594" s="0">
        <v>1</v>
      </c>
      <c r="L1594" s="0">
        <v>3</v>
      </c>
      <c r="M1594" s="0">
        <v>5</v>
      </c>
      <c r="N1594" s="0">
        <v>0</v>
      </c>
      <c r="O1594" s="0">
        <v>0</v>
      </c>
      <c r="P1594" s="0">
        <v>-220</v>
      </c>
      <c r="R1594" s="0" t="b">
        <v>0</v>
      </c>
      <c r="S1594" s="0" t="b">
        <v>1</v>
      </c>
      <c r="T1594" s="68">
        <v>44669.6515046296</v>
      </c>
      <c r="U1594" s="68">
        <v>44699.3333333333</v>
      </c>
      <c r="V1594" s="68">
        <v>0</v>
      </c>
      <c r="W1594" s="0">
        <f>IF(IF(B1594="none",1,IF(B1594="Trialer",1,0))+IF(C1594="Customer",1,IF(C1594="Lost",1,0))=2,1,0)</f>
      </c>
      <c r="X1594" s="0" t="s">
        <v>148</v>
      </c>
      <c r="Y1594" s="0" t="s">
        <v>243</v>
      </c>
      <c r="AV1594" s="68"/>
      <c r="AW1594" s="68"/>
      <c r="AY1594" s="27"/>
      <c r="BD1594" s="68">
        <v>46054.1666666667</v>
      </c>
      <c r="BE1594" s="68">
        <v>46082.1666666667</v>
      </c>
      <c r="BF1594" s="0" t="b">
        <v>0</v>
      </c>
      <c r="BG1594" s="0" t="b">
        <v>0</v>
      </c>
      <c r="BH1594" s="0">
        <v>196</v>
      </c>
      <c r="BI1594" s="0">
        <v>196</v>
      </c>
      <c r="BJ1594" s="0" t="s">
        <v>230</v>
      </c>
    </row>
    <row r="1595">
      <c r="A1595" s="0" t="s">
        <v>1815</v>
      </c>
      <c r="B1595" s="0" t="s">
        <v>134</v>
      </c>
      <c r="C1595" s="0" t="s">
        <v>134</v>
      </c>
      <c r="D1595" s="0" t="s">
        <v>135</v>
      </c>
      <c r="E1595" s="0" t="s">
        <v>3</v>
      </c>
      <c r="F1595" s="0" t="s">
        <v>12</v>
      </c>
      <c r="G1595" s="0" t="s">
        <v>8</v>
      </c>
      <c r="H1595" s="0">
        <v>1384</v>
      </c>
      <c r="I1595" s="0">
        <v>196</v>
      </c>
      <c r="J1595" s="0">
        <v>0</v>
      </c>
      <c r="K1595" s="0">
        <v>1</v>
      </c>
      <c r="L1595" s="0">
        <v>3</v>
      </c>
      <c r="M1595" s="0">
        <v>4</v>
      </c>
      <c r="N1595" s="0">
        <v>0</v>
      </c>
      <c r="O1595" s="0">
        <v>0</v>
      </c>
      <c r="P1595" s="0">
        <v>0</v>
      </c>
      <c r="R1595" s="0" t="b">
        <v>0</v>
      </c>
      <c r="S1595" s="0" t="b">
        <v>1</v>
      </c>
      <c r="T1595" s="68">
        <v>44669.6715856481</v>
      </c>
      <c r="U1595" s="68">
        <v>44699.3333333333</v>
      </c>
      <c r="V1595" s="68">
        <v>0</v>
      </c>
      <c r="W1595" s="0">
        <f>IF(IF(B1595="none",1,IF(B1595="Trialer",1,0))+IF(C1595="Customer",1,IF(C1595="Lost",1,0))=2,1,0)</f>
      </c>
      <c r="X1595" s="0" t="s">
        <v>145</v>
      </c>
      <c r="Y1595" s="0" t="s">
        <v>243</v>
      </c>
      <c r="AV1595" s="68"/>
      <c r="AW1595" s="68"/>
      <c r="AY1595" s="27"/>
      <c r="BD1595" s="68">
        <v>46054.1666666667</v>
      </c>
      <c r="BE1595" s="68">
        <v>46082.1666666667</v>
      </c>
      <c r="BF1595" s="0" t="b">
        <v>0</v>
      </c>
      <c r="BG1595" s="0" t="b">
        <v>0</v>
      </c>
      <c r="BH1595" s="0">
        <v>196</v>
      </c>
      <c r="BI1595" s="0">
        <v>196</v>
      </c>
      <c r="BJ1595" s="0" t="s">
        <v>135</v>
      </c>
    </row>
    <row r="1596">
      <c r="A1596" s="0" t="s">
        <v>1816</v>
      </c>
      <c r="B1596" s="0" t="s">
        <v>134</v>
      </c>
      <c r="C1596" s="0" t="s">
        <v>134</v>
      </c>
      <c r="D1596" s="0" t="s">
        <v>135</v>
      </c>
      <c r="E1596" s="0" t="s">
        <v>2</v>
      </c>
      <c r="F1596" s="0" t="s">
        <v>10</v>
      </c>
      <c r="G1596" s="0" t="s">
        <v>8</v>
      </c>
      <c r="H1596" s="0">
        <v>1383</v>
      </c>
      <c r="I1596" s="0">
        <v>1262</v>
      </c>
      <c r="J1596" s="0">
        <v>0</v>
      </c>
      <c r="K1596" s="0">
        <v>1</v>
      </c>
      <c r="L1596" s="0">
        <v>3</v>
      </c>
      <c r="M1596" s="0">
        <v>32</v>
      </c>
      <c r="N1596" s="0">
        <v>0</v>
      </c>
      <c r="O1596" s="0">
        <v>0</v>
      </c>
      <c r="P1596" s="0">
        <v>0</v>
      </c>
      <c r="Q1596" s="0" t="s">
        <v>390</v>
      </c>
      <c r="R1596" s="0" t="b">
        <v>0</v>
      </c>
      <c r="S1596" s="0" t="b">
        <v>1</v>
      </c>
      <c r="T1596" s="68">
        <v>44670.6080787037</v>
      </c>
      <c r="U1596" s="68">
        <v>44708.3333333333</v>
      </c>
      <c r="V1596" s="68">
        <v>0</v>
      </c>
      <c r="W1596" s="0">
        <f>IF(IF(B1596="none",1,IF(B1596="Trialer",1,0))+IF(C1596="Customer",1,IF(C1596="Lost",1,0))=2,1,0)</f>
      </c>
      <c r="X1596" s="0" t="s">
        <v>148</v>
      </c>
      <c r="Y1596" s="0" t="s">
        <v>499</v>
      </c>
      <c r="AV1596" s="68"/>
      <c r="AW1596" s="68"/>
      <c r="AY1596" s="27"/>
      <c r="BD1596" s="68">
        <v>46054.1666666667</v>
      </c>
      <c r="BE1596" s="68">
        <v>46082.1666666667</v>
      </c>
      <c r="BF1596" s="0" t="b">
        <v>0</v>
      </c>
      <c r="BG1596" s="0" t="b">
        <v>0</v>
      </c>
      <c r="BH1596" s="0">
        <v>1102</v>
      </c>
      <c r="BI1596" s="0">
        <v>1102</v>
      </c>
      <c r="BJ1596" s="0" t="s">
        <v>135</v>
      </c>
    </row>
    <row r="1597">
      <c r="A1597" s="0" t="s">
        <v>1817</v>
      </c>
      <c r="B1597" s="0" t="s">
        <v>134</v>
      </c>
      <c r="C1597" s="0" t="s">
        <v>134</v>
      </c>
      <c r="D1597" s="0" t="s">
        <v>135</v>
      </c>
      <c r="E1597" s="0" t="s">
        <v>3</v>
      </c>
      <c r="F1597" s="0" t="s">
        <v>10</v>
      </c>
      <c r="G1597" s="0" t="s">
        <v>8</v>
      </c>
      <c r="H1597" s="0">
        <v>1383</v>
      </c>
      <c r="I1597" s="0">
        <v>28</v>
      </c>
      <c r="J1597" s="0">
        <v>0</v>
      </c>
      <c r="K1597" s="0">
        <v>1</v>
      </c>
      <c r="L1597" s="0">
        <v>1</v>
      </c>
      <c r="M1597" s="0">
        <v>1</v>
      </c>
      <c r="N1597" s="0">
        <v>0</v>
      </c>
      <c r="O1597" s="0">
        <v>0</v>
      </c>
      <c r="P1597" s="0">
        <v>0</v>
      </c>
      <c r="Q1597" s="0" t="s">
        <v>618</v>
      </c>
      <c r="R1597" s="0" t="b">
        <v>0</v>
      </c>
      <c r="S1597" s="0" t="b">
        <v>1</v>
      </c>
      <c r="T1597" s="68">
        <v>44670.7027777778</v>
      </c>
      <c r="U1597" s="68">
        <v>44700.3333333333</v>
      </c>
      <c r="V1597" s="68">
        <v>0</v>
      </c>
      <c r="W1597" s="0">
        <f>IF(IF(B1597="none",1,IF(B1597="Trialer",1,0))+IF(C1597="Customer",1,IF(C1597="Lost",1,0))=2,1,0)</f>
      </c>
      <c r="X1597" s="0" t="s">
        <v>148</v>
      </c>
      <c r="Y1597" s="0" t="s">
        <v>243</v>
      </c>
      <c r="AV1597" s="68"/>
      <c r="AW1597" s="68"/>
      <c r="AY1597" s="27"/>
      <c r="BD1597" s="68">
        <v>46054.1666666667</v>
      </c>
      <c r="BE1597" s="68">
        <v>46082.1666666667</v>
      </c>
      <c r="BF1597" s="0" t="b">
        <v>0</v>
      </c>
      <c r="BG1597" s="0" t="b">
        <v>0</v>
      </c>
      <c r="BH1597" s="0">
        <v>28</v>
      </c>
      <c r="BI1597" s="0">
        <v>28</v>
      </c>
      <c r="BJ1597" s="0" t="s">
        <v>135</v>
      </c>
    </row>
    <row r="1598">
      <c r="A1598" s="0" t="s">
        <v>1818</v>
      </c>
      <c r="B1598" s="0" t="s">
        <v>134</v>
      </c>
      <c r="C1598" s="0" t="s">
        <v>134</v>
      </c>
      <c r="D1598" s="0" t="s">
        <v>135</v>
      </c>
      <c r="E1598" s="0" t="s">
        <v>3</v>
      </c>
      <c r="F1598" s="0" t="s">
        <v>12</v>
      </c>
      <c r="G1598" s="0" t="s">
        <v>8</v>
      </c>
      <c r="H1598" s="0">
        <v>1382</v>
      </c>
      <c r="I1598" s="0">
        <v>52</v>
      </c>
      <c r="J1598" s="0">
        <v>0</v>
      </c>
      <c r="K1598" s="0">
        <v>1</v>
      </c>
      <c r="L1598" s="0">
        <v>3</v>
      </c>
      <c r="M1598" s="0">
        <v>1</v>
      </c>
      <c r="N1598" s="0">
        <v>0</v>
      </c>
      <c r="O1598" s="0">
        <v>0</v>
      </c>
      <c r="P1598" s="0">
        <v>0</v>
      </c>
      <c r="R1598" s="0" t="b">
        <v>0</v>
      </c>
      <c r="S1598" s="0" t="b">
        <v>1</v>
      </c>
      <c r="T1598" s="68">
        <v>44671.6290740741</v>
      </c>
      <c r="U1598" s="68">
        <v>44701.3333333333</v>
      </c>
      <c r="V1598" s="68">
        <v>0</v>
      </c>
      <c r="W1598" s="0">
        <f>IF(IF(B1598="none",1,IF(B1598="Trialer",1,0))+IF(C1598="Customer",1,IF(C1598="Lost",1,0))=2,1,0)</f>
      </c>
      <c r="X1598" s="0" t="s">
        <v>142</v>
      </c>
      <c r="Y1598" s="0" t="s">
        <v>243</v>
      </c>
      <c r="AV1598" s="68"/>
      <c r="AW1598" s="68"/>
      <c r="AY1598" s="27"/>
      <c r="BD1598" s="68">
        <v>46054.1666666667</v>
      </c>
      <c r="BE1598" s="68">
        <v>46082.1666666667</v>
      </c>
      <c r="BF1598" s="0" t="b">
        <v>0</v>
      </c>
      <c r="BG1598" s="0" t="b">
        <v>0</v>
      </c>
      <c r="BH1598" s="0">
        <v>52</v>
      </c>
      <c r="BI1598" s="0">
        <v>52</v>
      </c>
      <c r="BJ1598" s="0" t="s">
        <v>135</v>
      </c>
    </row>
    <row r="1599">
      <c r="A1599" s="0" t="s">
        <v>1819</v>
      </c>
      <c r="B1599" s="0" t="s">
        <v>134</v>
      </c>
      <c r="C1599" s="0" t="s">
        <v>134</v>
      </c>
      <c r="D1599" s="0" t="s">
        <v>230</v>
      </c>
      <c r="E1599" s="0" t="s">
        <v>2</v>
      </c>
      <c r="F1599" s="0" t="s">
        <v>10</v>
      </c>
      <c r="G1599" s="0" t="s">
        <v>8</v>
      </c>
      <c r="H1599" s="0">
        <v>1381</v>
      </c>
      <c r="I1599" s="0">
        <v>86</v>
      </c>
      <c r="J1599" s="0">
        <v>0</v>
      </c>
      <c r="K1599" s="0">
        <v>1</v>
      </c>
      <c r="L1599" s="0">
        <v>2</v>
      </c>
      <c r="M1599" s="0">
        <v>3</v>
      </c>
      <c r="N1599" s="0">
        <v>0</v>
      </c>
      <c r="O1599" s="0">
        <v>0</v>
      </c>
      <c r="P1599" s="0">
        <v>-86</v>
      </c>
      <c r="Q1599" s="0" t="s">
        <v>1345</v>
      </c>
      <c r="R1599" s="0" t="b">
        <v>0</v>
      </c>
      <c r="S1599" s="0" t="b">
        <v>1</v>
      </c>
      <c r="T1599" s="68">
        <v>44672.6573148148</v>
      </c>
      <c r="U1599" s="68">
        <v>44721.3333333333</v>
      </c>
      <c r="V1599" s="68">
        <v>0</v>
      </c>
      <c r="W1599" s="0">
        <f>IF(IF(B1599="none",1,IF(B1599="Trialer",1,0))+IF(C1599="Customer",1,IF(C1599="Lost",1,0))=2,1,0)</f>
      </c>
      <c r="X1599" s="0" t="s">
        <v>148</v>
      </c>
      <c r="Y1599" s="0" t="s">
        <v>499</v>
      </c>
      <c r="AV1599" s="68"/>
      <c r="AW1599" s="68"/>
      <c r="AY1599" s="27"/>
      <c r="BD1599" s="68">
        <v>46054.1666666667</v>
      </c>
      <c r="BE1599" s="68">
        <v>46082.1666666667</v>
      </c>
      <c r="BF1599" s="0" t="b">
        <v>0</v>
      </c>
      <c r="BG1599" s="0" t="b">
        <v>0</v>
      </c>
      <c r="BH1599" s="0">
        <v>96</v>
      </c>
      <c r="BI1599" s="0">
        <v>96</v>
      </c>
      <c r="BJ1599" s="0" t="s">
        <v>230</v>
      </c>
    </row>
    <row r="1600">
      <c r="A1600" s="0" t="s">
        <v>1820</v>
      </c>
      <c r="B1600" s="0" t="s">
        <v>134</v>
      </c>
      <c r="C1600" s="0" t="s">
        <v>134</v>
      </c>
      <c r="D1600" s="0" t="s">
        <v>135</v>
      </c>
      <c r="E1600" s="0" t="s">
        <v>3</v>
      </c>
      <c r="F1600" s="0" t="s">
        <v>12</v>
      </c>
      <c r="G1600" s="0" t="s">
        <v>8</v>
      </c>
      <c r="H1600" s="0">
        <v>1380</v>
      </c>
      <c r="I1600" s="0">
        <v>0</v>
      </c>
      <c r="J1600" s="0">
        <v>0</v>
      </c>
      <c r="K1600" s="0">
        <v>1</v>
      </c>
      <c r="L1600" s="0">
        <v>6</v>
      </c>
      <c r="M1600" s="0">
        <v>1</v>
      </c>
      <c r="N1600" s="0">
        <v>0</v>
      </c>
      <c r="O1600" s="0">
        <v>0</v>
      </c>
      <c r="P1600" s="0">
        <v>0</v>
      </c>
      <c r="R1600" s="0" t="b">
        <v>0</v>
      </c>
      <c r="S1600" s="0" t="b">
        <v>1</v>
      </c>
      <c r="T1600" s="68">
        <v>44673.5270833333</v>
      </c>
      <c r="U1600" s="68">
        <v>44721.5</v>
      </c>
      <c r="V1600" s="68">
        <v>0</v>
      </c>
      <c r="W1600" s="0">
        <f>IF(IF(B1600="none",1,IF(B1600="Trialer",1,0))+IF(C1600="Customer",1,IF(C1600="Lost",1,0))=2,1,0)</f>
      </c>
      <c r="X1600" s="0" t="s">
        <v>136</v>
      </c>
      <c r="Y1600" s="0" t="s">
        <v>243</v>
      </c>
      <c r="AV1600" s="68"/>
      <c r="AW1600" s="68"/>
      <c r="AY1600" s="27"/>
      <c r="BD1600" s="68">
        <v>46054.1666666667</v>
      </c>
      <c r="BE1600" s="68">
        <v>46082.1666666667</v>
      </c>
      <c r="BF1600" s="0" t="b">
        <v>0</v>
      </c>
      <c r="BG1600" s="0" t="b">
        <v>0</v>
      </c>
      <c r="BH1600" s="0">
        <v>0</v>
      </c>
      <c r="BI1600" s="0">
        <v>0</v>
      </c>
      <c r="BJ1600" s="0" t="s">
        <v>135</v>
      </c>
    </row>
    <row r="1601">
      <c r="A1601" s="0" t="s">
        <v>1821</v>
      </c>
      <c r="B1601" s="0" t="s">
        <v>134</v>
      </c>
      <c r="C1601" s="0" t="s">
        <v>134</v>
      </c>
      <c r="D1601" s="0" t="s">
        <v>135</v>
      </c>
      <c r="E1601" s="0" t="s">
        <v>3</v>
      </c>
      <c r="F1601" s="0" t="s">
        <v>12</v>
      </c>
      <c r="G1601" s="0" t="s">
        <v>8</v>
      </c>
      <c r="H1601" s="0">
        <v>1377</v>
      </c>
      <c r="I1601" s="0">
        <v>400</v>
      </c>
      <c r="J1601" s="0">
        <v>0</v>
      </c>
      <c r="K1601" s="0">
        <v>1</v>
      </c>
      <c r="L1601" s="0">
        <v>5</v>
      </c>
      <c r="M1601" s="0">
        <v>7</v>
      </c>
      <c r="N1601" s="0">
        <v>0</v>
      </c>
      <c r="O1601" s="0">
        <v>0</v>
      </c>
      <c r="P1601" s="0">
        <v>0</v>
      </c>
      <c r="R1601" s="0" t="b">
        <v>0</v>
      </c>
      <c r="S1601" s="0" t="b">
        <v>1</v>
      </c>
      <c r="T1601" s="68">
        <v>44676.0298726852</v>
      </c>
      <c r="U1601" s="68">
        <v>44723.3333333333</v>
      </c>
      <c r="V1601" s="68">
        <v>0</v>
      </c>
      <c r="W1601" s="0">
        <f>IF(IF(B1601="none",1,IF(B1601="Trialer",1,0))+IF(C1601="Customer",1,IF(C1601="Lost",1,0))=2,1,0)</f>
      </c>
      <c r="X1601" s="0" t="s">
        <v>145</v>
      </c>
      <c r="Y1601" s="0" t="s">
        <v>1792</v>
      </c>
      <c r="AV1601" s="68"/>
      <c r="AW1601" s="68"/>
      <c r="AY1601" s="27"/>
      <c r="BD1601" s="68">
        <v>46054.1666666667</v>
      </c>
      <c r="BE1601" s="68">
        <v>46082.1666666667</v>
      </c>
      <c r="BF1601" s="0" t="b">
        <v>0</v>
      </c>
      <c r="BG1601" s="0" t="b">
        <v>0</v>
      </c>
      <c r="BH1601" s="0">
        <v>400</v>
      </c>
      <c r="BI1601" s="0">
        <v>400</v>
      </c>
      <c r="BJ1601" s="0" t="s">
        <v>135</v>
      </c>
    </row>
    <row r="1602">
      <c r="A1602" s="0" t="s">
        <v>1822</v>
      </c>
      <c r="B1602" s="0" t="s">
        <v>134</v>
      </c>
      <c r="C1602" s="0" t="s">
        <v>134</v>
      </c>
      <c r="D1602" s="0" t="s">
        <v>135</v>
      </c>
      <c r="E1602" s="0" t="s">
        <v>2</v>
      </c>
      <c r="F1602" s="0" t="s">
        <v>12</v>
      </c>
      <c r="G1602" s="0" t="s">
        <v>8</v>
      </c>
      <c r="H1602" s="0">
        <v>1376</v>
      </c>
      <c r="I1602" s="0">
        <v>49</v>
      </c>
      <c r="J1602" s="0">
        <v>0</v>
      </c>
      <c r="K1602" s="0">
        <v>1</v>
      </c>
      <c r="L1602" s="0">
        <v>3</v>
      </c>
      <c r="M1602" s="0">
        <v>1</v>
      </c>
      <c r="N1602" s="0">
        <v>0</v>
      </c>
      <c r="O1602" s="0">
        <v>0</v>
      </c>
      <c r="P1602" s="0">
        <v>0</v>
      </c>
      <c r="R1602" s="0" t="b">
        <v>0</v>
      </c>
      <c r="S1602" s="0" t="b">
        <v>1</v>
      </c>
      <c r="T1602" s="68">
        <v>44677.4118055556</v>
      </c>
      <c r="U1602" s="68">
        <v>44707.3333333333</v>
      </c>
      <c r="V1602" s="68">
        <v>0</v>
      </c>
      <c r="W1602" s="0">
        <f>IF(IF(B1602="none",1,IF(B1602="Trialer",1,0))+IF(C1602="Customer",1,IF(C1602="Lost",1,0))=2,1,0)</f>
      </c>
      <c r="X1602" s="0" t="s">
        <v>148</v>
      </c>
      <c r="Y1602" s="0" t="s">
        <v>499</v>
      </c>
      <c r="AV1602" s="68"/>
      <c r="AW1602" s="68"/>
      <c r="AY1602" s="27"/>
      <c r="BD1602" s="68">
        <v>46054.1666666667</v>
      </c>
      <c r="BE1602" s="68">
        <v>46082.1666666667</v>
      </c>
      <c r="BF1602" s="0" t="b">
        <v>0</v>
      </c>
      <c r="BG1602" s="0" t="b">
        <v>0</v>
      </c>
      <c r="BH1602" s="0">
        <v>49</v>
      </c>
      <c r="BI1602" s="0">
        <v>49</v>
      </c>
      <c r="BJ1602" s="0" t="s">
        <v>135</v>
      </c>
    </row>
    <row r="1603">
      <c r="A1603" s="0" t="s">
        <v>1823</v>
      </c>
      <c r="B1603" s="0" t="s">
        <v>134</v>
      </c>
      <c r="C1603" s="0" t="s">
        <v>134</v>
      </c>
      <c r="D1603" s="0" t="s">
        <v>230</v>
      </c>
      <c r="E1603" s="0" t="s">
        <v>3</v>
      </c>
      <c r="F1603" s="0" t="s">
        <v>12</v>
      </c>
      <c r="G1603" s="0" t="s">
        <v>8</v>
      </c>
      <c r="H1603" s="0">
        <v>1376</v>
      </c>
      <c r="I1603" s="0">
        <v>36</v>
      </c>
      <c r="J1603" s="0">
        <v>0</v>
      </c>
      <c r="K1603" s="0">
        <v>1</v>
      </c>
      <c r="L1603" s="0">
        <v>2</v>
      </c>
      <c r="M1603" s="0">
        <v>1</v>
      </c>
      <c r="N1603" s="0">
        <v>0</v>
      </c>
      <c r="O1603" s="0">
        <v>0</v>
      </c>
      <c r="P1603" s="0">
        <v>-36</v>
      </c>
      <c r="R1603" s="0" t="b">
        <v>0</v>
      </c>
      <c r="S1603" s="0" t="b">
        <v>1</v>
      </c>
      <c r="T1603" s="68">
        <v>44677.8873148148</v>
      </c>
      <c r="U1603" s="68">
        <v>44715.3333333333</v>
      </c>
      <c r="V1603" s="68">
        <v>0</v>
      </c>
      <c r="W1603" s="0">
        <f>IF(IF(B1603="none",1,IF(B1603="Trialer",1,0))+IF(C1603="Customer",1,IF(C1603="Lost",1,0))=2,1,0)</f>
      </c>
      <c r="X1603" s="0" t="s">
        <v>153</v>
      </c>
      <c r="Y1603" s="0" t="s">
        <v>487</v>
      </c>
      <c r="AV1603" s="68"/>
      <c r="AW1603" s="68"/>
      <c r="AY1603" s="27"/>
      <c r="BD1603" s="68">
        <v>46054.1666666667</v>
      </c>
      <c r="BE1603" s="68">
        <v>46082.1666666667</v>
      </c>
      <c r="BF1603" s="0" t="b">
        <v>0</v>
      </c>
      <c r="BG1603" s="0" t="b">
        <v>0</v>
      </c>
      <c r="BH1603" s="0">
        <v>80</v>
      </c>
      <c r="BI1603" s="0">
        <v>80</v>
      </c>
      <c r="BJ1603" s="0" t="s">
        <v>230</v>
      </c>
    </row>
    <row r="1604">
      <c r="A1604" s="0" t="s">
        <v>1824</v>
      </c>
      <c r="B1604" s="0" t="s">
        <v>134</v>
      </c>
      <c r="C1604" s="0" t="s">
        <v>134</v>
      </c>
      <c r="D1604" s="0" t="s">
        <v>135</v>
      </c>
      <c r="E1604" s="0" t="s">
        <v>3</v>
      </c>
      <c r="F1604" s="0" t="s">
        <v>12</v>
      </c>
      <c r="G1604" s="0" t="s">
        <v>8</v>
      </c>
      <c r="H1604" s="0">
        <v>1375</v>
      </c>
      <c r="I1604" s="0">
        <v>49</v>
      </c>
      <c r="J1604" s="0">
        <v>0</v>
      </c>
      <c r="K1604" s="0">
        <v>1</v>
      </c>
      <c r="L1604" s="0">
        <v>3</v>
      </c>
      <c r="M1604" s="0">
        <v>1</v>
      </c>
      <c r="N1604" s="0">
        <v>0</v>
      </c>
      <c r="O1604" s="0">
        <v>0</v>
      </c>
      <c r="P1604" s="0">
        <v>0</v>
      </c>
      <c r="R1604" s="0" t="b">
        <v>0</v>
      </c>
      <c r="S1604" s="0" t="b">
        <v>1</v>
      </c>
      <c r="T1604" s="68">
        <v>44678.4463078704</v>
      </c>
      <c r="U1604" s="68">
        <v>44708.3333333333</v>
      </c>
      <c r="V1604" s="68">
        <v>0</v>
      </c>
      <c r="W1604" s="0">
        <f>IF(IF(B1604="none",1,IF(B1604="Trialer",1,0))+IF(C1604="Customer",1,IF(C1604="Lost",1,0))=2,1,0)</f>
      </c>
      <c r="X1604" s="0" t="s">
        <v>142</v>
      </c>
      <c r="Y1604" s="0" t="s">
        <v>243</v>
      </c>
      <c r="AV1604" s="68"/>
      <c r="AW1604" s="68"/>
      <c r="AY1604" s="27"/>
      <c r="BD1604" s="68">
        <v>46054.1666666667</v>
      </c>
      <c r="BE1604" s="68">
        <v>46082.1666666667</v>
      </c>
      <c r="BF1604" s="0" t="b">
        <v>0</v>
      </c>
      <c r="BG1604" s="0" t="b">
        <v>0</v>
      </c>
      <c r="BH1604" s="0">
        <v>49</v>
      </c>
      <c r="BI1604" s="0">
        <v>49</v>
      </c>
      <c r="BJ1604" s="0" t="s">
        <v>135</v>
      </c>
    </row>
    <row r="1605">
      <c r="A1605" s="0" t="s">
        <v>1825</v>
      </c>
      <c r="B1605" s="0" t="s">
        <v>134</v>
      </c>
      <c r="C1605" s="0" t="s">
        <v>134</v>
      </c>
      <c r="D1605" s="0" t="s">
        <v>230</v>
      </c>
      <c r="E1605" s="0" t="s">
        <v>3</v>
      </c>
      <c r="F1605" s="0" t="s">
        <v>12</v>
      </c>
      <c r="G1605" s="0" t="s">
        <v>8</v>
      </c>
      <c r="H1605" s="0">
        <v>1375</v>
      </c>
      <c r="I1605" s="0">
        <v>94.5</v>
      </c>
      <c r="J1605" s="0">
        <v>0</v>
      </c>
      <c r="K1605" s="0">
        <v>1</v>
      </c>
      <c r="L1605" s="0">
        <v>3</v>
      </c>
      <c r="M1605" s="0">
        <v>3</v>
      </c>
      <c r="N1605" s="0">
        <v>0</v>
      </c>
      <c r="O1605" s="0">
        <v>0</v>
      </c>
      <c r="P1605" s="0">
        <v>-94.5</v>
      </c>
      <c r="R1605" s="0" t="b">
        <v>0</v>
      </c>
      <c r="S1605" s="0" t="b">
        <v>1</v>
      </c>
      <c r="T1605" s="68">
        <v>44678.4921875</v>
      </c>
      <c r="U1605" s="68">
        <v>44708.3333333333</v>
      </c>
      <c r="V1605" s="68">
        <v>0</v>
      </c>
      <c r="W1605" s="0">
        <f>IF(IF(B1605="none",1,IF(B1605="Trialer",1,0))+IF(C1605="Customer",1,IF(C1605="Lost",1,0))=2,1,0)</f>
      </c>
      <c r="X1605" s="0" t="s">
        <v>142</v>
      </c>
      <c r="Y1605" s="0" t="s">
        <v>243</v>
      </c>
      <c r="AV1605" s="68"/>
      <c r="AW1605" s="68"/>
      <c r="AY1605" s="27"/>
      <c r="BD1605" s="68">
        <v>46054.1666666667</v>
      </c>
      <c r="BE1605" s="68">
        <v>46082.1666666667</v>
      </c>
      <c r="BF1605" s="0" t="b">
        <v>0</v>
      </c>
      <c r="BG1605" s="0" t="b">
        <v>0</v>
      </c>
      <c r="BH1605" s="0">
        <v>105</v>
      </c>
      <c r="BI1605" s="0">
        <v>105</v>
      </c>
      <c r="BJ1605" s="0" t="s">
        <v>230</v>
      </c>
    </row>
    <row r="1606">
      <c r="A1606" s="0" t="s">
        <v>1826</v>
      </c>
      <c r="B1606" s="0" t="s">
        <v>134</v>
      </c>
      <c r="C1606" s="0" t="s">
        <v>134</v>
      </c>
      <c r="D1606" s="0" t="s">
        <v>135</v>
      </c>
      <c r="E1606" s="0" t="s">
        <v>3</v>
      </c>
      <c r="F1606" s="0" t="s">
        <v>11</v>
      </c>
      <c r="G1606" s="0" t="s">
        <v>8</v>
      </c>
      <c r="H1606" s="0">
        <v>1375</v>
      </c>
      <c r="I1606" s="0">
        <v>78.4</v>
      </c>
      <c r="J1606" s="0">
        <v>0</v>
      </c>
      <c r="K1606" s="0">
        <v>1</v>
      </c>
      <c r="L1606" s="0">
        <v>3</v>
      </c>
      <c r="M1606" s="0">
        <v>2</v>
      </c>
      <c r="N1606" s="0">
        <v>0</v>
      </c>
      <c r="O1606" s="0">
        <v>0</v>
      </c>
      <c r="P1606" s="0">
        <v>0</v>
      </c>
      <c r="Q1606" s="0" t="s">
        <v>1743</v>
      </c>
      <c r="R1606" s="0" t="b">
        <v>1</v>
      </c>
      <c r="S1606" s="0" t="b">
        <v>1</v>
      </c>
      <c r="T1606" s="68">
        <v>44678.5</v>
      </c>
      <c r="U1606" s="68">
        <v>44678.5</v>
      </c>
      <c r="V1606" s="68">
        <v>0</v>
      </c>
      <c r="W1606" s="0">
        <f>IF(IF(B1606="none",1,IF(B1606="Trialer",1,0))+IF(C1606="Customer",1,IF(C1606="Lost",1,0))=2,1,0)</f>
      </c>
      <c r="X1606" s="0" t="s">
        <v>145</v>
      </c>
      <c r="Y1606" s="0" t="s">
        <v>243</v>
      </c>
      <c r="AV1606" s="68"/>
      <c r="AW1606" s="68"/>
      <c r="AY1606" s="27"/>
      <c r="BD1606" s="68">
        <v>46054.1666666667</v>
      </c>
      <c r="BE1606" s="68">
        <v>46082.1666666667</v>
      </c>
      <c r="BF1606" s="0" t="b">
        <v>0</v>
      </c>
      <c r="BG1606" s="0" t="b">
        <v>0</v>
      </c>
      <c r="BH1606" s="0">
        <v>78.4</v>
      </c>
      <c r="BI1606" s="0">
        <v>78.4</v>
      </c>
      <c r="BJ1606" s="0" t="s">
        <v>135</v>
      </c>
    </row>
    <row r="1607">
      <c r="A1607" s="0" t="s">
        <v>1827</v>
      </c>
      <c r="B1607" s="0" t="s">
        <v>134</v>
      </c>
      <c r="C1607" s="0" t="s">
        <v>134</v>
      </c>
      <c r="D1607" s="0" t="s">
        <v>135</v>
      </c>
      <c r="E1607" s="0" t="s">
        <v>3</v>
      </c>
      <c r="F1607" s="0" t="s">
        <v>12</v>
      </c>
      <c r="G1607" s="0" t="s">
        <v>8</v>
      </c>
      <c r="H1607" s="0">
        <v>1375</v>
      </c>
      <c r="I1607" s="0">
        <v>0</v>
      </c>
      <c r="J1607" s="0">
        <v>0</v>
      </c>
      <c r="K1607" s="0">
        <v>1</v>
      </c>
      <c r="L1607" s="0">
        <v>5</v>
      </c>
      <c r="M1607" s="0">
        <v>1</v>
      </c>
      <c r="N1607" s="0">
        <v>0</v>
      </c>
      <c r="O1607" s="0">
        <v>0</v>
      </c>
      <c r="P1607" s="0">
        <v>0</v>
      </c>
      <c r="R1607" s="0" t="b">
        <v>0</v>
      </c>
      <c r="S1607" s="0" t="b">
        <v>1</v>
      </c>
      <c r="T1607" s="68">
        <v>44678.7422106481</v>
      </c>
      <c r="U1607" s="68">
        <v>44708.3333333333</v>
      </c>
      <c r="V1607" s="68">
        <v>0</v>
      </c>
      <c r="W1607" s="0">
        <f>IF(IF(B1607="none",1,IF(B1607="Trialer",1,0))+IF(C1607="Customer",1,IF(C1607="Lost",1,0))=2,1,0)</f>
      </c>
      <c r="X1607" s="0" t="s">
        <v>148</v>
      </c>
      <c r="Y1607" s="0" t="s">
        <v>243</v>
      </c>
      <c r="AV1607" s="68"/>
      <c r="AW1607" s="68"/>
      <c r="AY1607" s="27"/>
      <c r="BD1607" s="68">
        <v>46054.1666666667</v>
      </c>
      <c r="BE1607" s="68">
        <v>46082.1666666667</v>
      </c>
      <c r="BF1607" s="0" t="b">
        <v>0</v>
      </c>
      <c r="BG1607" s="0" t="b">
        <v>0</v>
      </c>
      <c r="BH1607" s="0">
        <v>0</v>
      </c>
      <c r="BI1607" s="0">
        <v>0</v>
      </c>
      <c r="BJ1607" s="0" t="s">
        <v>135</v>
      </c>
    </row>
    <row r="1608">
      <c r="A1608" s="0" t="s">
        <v>1828</v>
      </c>
      <c r="B1608" s="0" t="s">
        <v>134</v>
      </c>
      <c r="C1608" s="0" t="s">
        <v>134</v>
      </c>
      <c r="D1608" s="0" t="s">
        <v>135</v>
      </c>
      <c r="E1608" s="0" t="s">
        <v>3</v>
      </c>
      <c r="F1608" s="0" t="s">
        <v>12</v>
      </c>
      <c r="G1608" s="0" t="s">
        <v>8</v>
      </c>
      <c r="H1608" s="0">
        <v>1374</v>
      </c>
      <c r="I1608" s="0">
        <v>0</v>
      </c>
      <c r="J1608" s="0">
        <v>0</v>
      </c>
      <c r="K1608" s="0">
        <v>1</v>
      </c>
      <c r="L1608" s="0">
        <v>4</v>
      </c>
      <c r="M1608" s="0">
        <v>2</v>
      </c>
      <c r="N1608" s="0">
        <v>0</v>
      </c>
      <c r="O1608" s="0">
        <v>0</v>
      </c>
      <c r="P1608" s="0">
        <v>0</v>
      </c>
      <c r="R1608" s="0" t="b">
        <v>0</v>
      </c>
      <c r="S1608" s="0" t="b">
        <v>1</v>
      </c>
      <c r="T1608" s="68">
        <v>44679.8725462963</v>
      </c>
      <c r="U1608" s="68">
        <v>44709.3333333333</v>
      </c>
      <c r="V1608" s="68">
        <v>0</v>
      </c>
      <c r="W1608" s="0">
        <f>IF(IF(B1608="none",1,IF(B1608="Trialer",1,0))+IF(C1608="Customer",1,IF(C1608="Lost",1,0))=2,1,0)</f>
      </c>
      <c r="X1608" s="0" t="s">
        <v>148</v>
      </c>
      <c r="Y1608" s="0" t="s">
        <v>243</v>
      </c>
      <c r="AV1608" s="68"/>
      <c r="AW1608" s="68"/>
      <c r="AY1608" s="27"/>
      <c r="BD1608" s="68">
        <v>46054.1666666667</v>
      </c>
      <c r="BE1608" s="68">
        <v>46082.1666666667</v>
      </c>
      <c r="BF1608" s="0" t="b">
        <v>0</v>
      </c>
      <c r="BG1608" s="0" t="b">
        <v>0</v>
      </c>
      <c r="BH1608" s="0">
        <v>0</v>
      </c>
      <c r="BI1608" s="0">
        <v>0</v>
      </c>
      <c r="BJ1608" s="0" t="s">
        <v>230</v>
      </c>
    </row>
    <row r="1609">
      <c r="A1609" s="0" t="s">
        <v>1829</v>
      </c>
      <c r="B1609" s="0" t="s">
        <v>134</v>
      </c>
      <c r="C1609" s="0" t="s">
        <v>134</v>
      </c>
      <c r="D1609" s="0" t="s">
        <v>230</v>
      </c>
      <c r="E1609" s="0" t="s">
        <v>3</v>
      </c>
      <c r="F1609" s="0" t="s">
        <v>10</v>
      </c>
      <c r="G1609" s="0" t="s">
        <v>8</v>
      </c>
      <c r="H1609" s="0">
        <v>1373</v>
      </c>
      <c r="I1609" s="0">
        <v>1159.2</v>
      </c>
      <c r="J1609" s="0">
        <v>0</v>
      </c>
      <c r="K1609" s="0">
        <v>1</v>
      </c>
      <c r="L1609" s="0">
        <v>4</v>
      </c>
      <c r="M1609" s="0">
        <v>22</v>
      </c>
      <c r="N1609" s="0">
        <v>0</v>
      </c>
      <c r="O1609" s="0">
        <v>0</v>
      </c>
      <c r="P1609" s="0">
        <v>-1159.2</v>
      </c>
      <c r="Q1609" s="0" t="s">
        <v>324</v>
      </c>
      <c r="R1609" s="0" t="b">
        <v>0</v>
      </c>
      <c r="S1609" s="0" t="b">
        <v>1</v>
      </c>
      <c r="T1609" s="68">
        <v>44680.5022569444</v>
      </c>
      <c r="U1609" s="68">
        <v>44710.3333333333</v>
      </c>
      <c r="V1609" s="68">
        <v>0</v>
      </c>
      <c r="W1609" s="0">
        <f>IF(IF(B1609="none",1,IF(B1609="Trialer",1,0))+IF(C1609="Customer",1,IF(C1609="Lost",1,0))=2,1,0)</f>
      </c>
      <c r="X1609" s="0" t="s">
        <v>136</v>
      </c>
      <c r="Y1609" s="0" t="s">
        <v>243</v>
      </c>
      <c r="AV1609" s="68"/>
      <c r="AW1609" s="68"/>
      <c r="AY1609" s="27"/>
      <c r="BD1609" s="68">
        <v>46054.1666666667</v>
      </c>
      <c r="BE1609" s="68">
        <v>46082.1666666667</v>
      </c>
      <c r="BF1609" s="0" t="b">
        <v>0</v>
      </c>
      <c r="BG1609" s="0" t="b">
        <v>0</v>
      </c>
      <c r="BH1609" s="0">
        <v>1166</v>
      </c>
      <c r="BI1609" s="0">
        <v>1166</v>
      </c>
      <c r="BJ1609" s="0" t="s">
        <v>230</v>
      </c>
    </row>
    <row r="1610">
      <c r="A1610" s="0" t="s">
        <v>1830</v>
      </c>
      <c r="B1610" s="0" t="s">
        <v>134</v>
      </c>
      <c r="C1610" s="0" t="s">
        <v>134</v>
      </c>
      <c r="D1610" s="0" t="s">
        <v>135</v>
      </c>
      <c r="E1610" s="0" t="s">
        <v>3</v>
      </c>
      <c r="F1610" s="0" t="s">
        <v>12</v>
      </c>
      <c r="G1610" s="0" t="s">
        <v>8</v>
      </c>
      <c r="H1610" s="0">
        <v>1369</v>
      </c>
      <c r="I1610" s="0">
        <v>877</v>
      </c>
      <c r="J1610" s="0">
        <v>0</v>
      </c>
      <c r="K1610" s="0">
        <v>1</v>
      </c>
      <c r="L1610" s="0">
        <v>6</v>
      </c>
      <c r="M1610" s="0">
        <v>9</v>
      </c>
      <c r="N1610" s="0">
        <v>837</v>
      </c>
      <c r="O1610" s="0">
        <v>0</v>
      </c>
      <c r="P1610" s="0">
        <v>0</v>
      </c>
      <c r="R1610" s="0" t="b">
        <v>0</v>
      </c>
      <c r="S1610" s="0" t="b">
        <v>1</v>
      </c>
      <c r="T1610" s="68">
        <v>44684.5268055556</v>
      </c>
      <c r="U1610" s="68">
        <v>44715.3333333333</v>
      </c>
      <c r="V1610" s="68">
        <v>0</v>
      </c>
      <c r="W1610" s="0">
        <f>IF(IF(B1610="none",1,IF(B1610="Trialer",1,0))+IF(C1610="Customer",1,IF(C1610="Lost",1,0))=2,1,0)</f>
      </c>
      <c r="X1610" s="0" t="s">
        <v>148</v>
      </c>
      <c r="Y1610" s="0" t="s">
        <v>243</v>
      </c>
      <c r="AV1610" s="68"/>
      <c r="AW1610" s="68"/>
      <c r="AY1610" s="27"/>
      <c r="BD1610" s="68">
        <v>46054.1666666667</v>
      </c>
      <c r="BE1610" s="68">
        <v>46082.1666666667</v>
      </c>
      <c r="BF1610" s="0" t="b">
        <v>0</v>
      </c>
      <c r="BG1610" s="0" t="b">
        <v>0</v>
      </c>
      <c r="BH1610" s="0">
        <v>552</v>
      </c>
      <c r="BI1610" s="0">
        <v>552</v>
      </c>
      <c r="BJ1610" s="0" t="s">
        <v>135</v>
      </c>
    </row>
    <row r="1611">
      <c r="A1611" s="0" t="s">
        <v>1831</v>
      </c>
      <c r="B1611" s="0" t="s">
        <v>134</v>
      </c>
      <c r="C1611" s="0" t="s">
        <v>134</v>
      </c>
      <c r="D1611" s="0" t="s">
        <v>135</v>
      </c>
      <c r="E1611" s="0" t="s">
        <v>3</v>
      </c>
      <c r="F1611" s="0" t="s">
        <v>12</v>
      </c>
      <c r="G1611" s="0" t="s">
        <v>8</v>
      </c>
      <c r="H1611" s="0">
        <v>1368</v>
      </c>
      <c r="I1611" s="0">
        <v>49</v>
      </c>
      <c r="J1611" s="0">
        <v>0</v>
      </c>
      <c r="K1611" s="0">
        <v>1</v>
      </c>
      <c r="L1611" s="0">
        <v>3</v>
      </c>
      <c r="M1611" s="0">
        <v>1</v>
      </c>
      <c r="N1611" s="0">
        <v>0</v>
      </c>
      <c r="O1611" s="0">
        <v>0</v>
      </c>
      <c r="P1611" s="0">
        <v>0</v>
      </c>
      <c r="R1611" s="0" t="b">
        <v>0</v>
      </c>
      <c r="S1611" s="0" t="b">
        <v>1</v>
      </c>
      <c r="T1611" s="68">
        <v>44685.8668171296</v>
      </c>
      <c r="U1611" s="68">
        <v>44723.3333333333</v>
      </c>
      <c r="V1611" s="68">
        <v>0</v>
      </c>
      <c r="W1611" s="0">
        <f>IF(IF(B1611="none",1,IF(B1611="Trialer",1,0))+IF(C1611="Customer",1,IF(C1611="Lost",1,0))=2,1,0)</f>
      </c>
      <c r="X1611" s="0" t="s">
        <v>142</v>
      </c>
      <c r="Y1611" s="0" t="s">
        <v>243</v>
      </c>
      <c r="AV1611" s="68"/>
      <c r="AW1611" s="68"/>
      <c r="AY1611" s="27"/>
      <c r="BD1611" s="68">
        <v>46054.1666666667</v>
      </c>
      <c r="BE1611" s="68">
        <v>46082.1666666667</v>
      </c>
      <c r="BF1611" s="0" t="b">
        <v>0</v>
      </c>
      <c r="BG1611" s="0" t="b">
        <v>0</v>
      </c>
      <c r="BH1611" s="0">
        <v>49</v>
      </c>
      <c r="BI1611" s="0">
        <v>49</v>
      </c>
      <c r="BJ1611" s="0" t="s">
        <v>135</v>
      </c>
    </row>
    <row r="1612">
      <c r="A1612" s="0" t="s">
        <v>1832</v>
      </c>
      <c r="B1612" s="0" t="s">
        <v>134</v>
      </c>
      <c r="C1612" s="0" t="s">
        <v>134</v>
      </c>
      <c r="D1612" s="0" t="s">
        <v>135</v>
      </c>
      <c r="E1612" s="0" t="s">
        <v>2</v>
      </c>
      <c r="F1612" s="0" t="s">
        <v>12</v>
      </c>
      <c r="G1612" s="0" t="s">
        <v>8</v>
      </c>
      <c r="H1612" s="0">
        <v>1367</v>
      </c>
      <c r="I1612" s="0">
        <v>280</v>
      </c>
      <c r="J1612" s="0">
        <v>0</v>
      </c>
      <c r="K1612" s="0">
        <v>1</v>
      </c>
      <c r="L1612" s="0">
        <v>1</v>
      </c>
      <c r="M1612" s="0">
        <v>10</v>
      </c>
      <c r="N1612" s="0">
        <v>0</v>
      </c>
      <c r="O1612" s="0">
        <v>0</v>
      </c>
      <c r="P1612" s="0">
        <v>0</v>
      </c>
      <c r="R1612" s="0" t="b">
        <v>0</v>
      </c>
      <c r="S1612" s="0" t="b">
        <v>1</v>
      </c>
      <c r="T1612" s="68">
        <v>44686.4242939815</v>
      </c>
      <c r="U1612" s="68">
        <v>44717.3333333333</v>
      </c>
      <c r="V1612" s="68">
        <v>0</v>
      </c>
      <c r="W1612" s="0">
        <f>IF(IF(B1612="none",1,IF(B1612="Trialer",1,0))+IF(C1612="Customer",1,IF(C1612="Lost",1,0))=2,1,0)</f>
      </c>
      <c r="X1612" s="0" t="s">
        <v>148</v>
      </c>
      <c r="Y1612" s="0" t="s">
        <v>499</v>
      </c>
      <c r="AV1612" s="68"/>
      <c r="AW1612" s="68"/>
      <c r="AY1612" s="27"/>
      <c r="BD1612" s="68">
        <v>46054.1666666667</v>
      </c>
      <c r="BE1612" s="68">
        <v>46082.1666666667</v>
      </c>
      <c r="BF1612" s="0" t="b">
        <v>0</v>
      </c>
      <c r="BG1612" s="0" t="b">
        <v>0</v>
      </c>
      <c r="BH1612" s="0">
        <v>336</v>
      </c>
      <c r="BI1612" s="0">
        <v>336</v>
      </c>
      <c r="BJ1612" s="0" t="s">
        <v>135</v>
      </c>
    </row>
    <row r="1613">
      <c r="A1613" s="0" t="s">
        <v>1833</v>
      </c>
      <c r="B1613" s="0" t="s">
        <v>134</v>
      </c>
      <c r="C1613" s="0" t="s">
        <v>134</v>
      </c>
      <c r="D1613" s="0" t="s">
        <v>135</v>
      </c>
      <c r="E1613" s="0" t="s">
        <v>3</v>
      </c>
      <c r="F1613" s="0" t="s">
        <v>10</v>
      </c>
      <c r="G1613" s="0" t="s">
        <v>8</v>
      </c>
      <c r="H1613" s="0">
        <v>1367</v>
      </c>
      <c r="I1613" s="0">
        <v>175</v>
      </c>
      <c r="J1613" s="0">
        <v>0</v>
      </c>
      <c r="K1613" s="0">
        <v>1</v>
      </c>
      <c r="L1613" s="0">
        <v>3</v>
      </c>
      <c r="M1613" s="0">
        <v>4</v>
      </c>
      <c r="N1613" s="0">
        <v>0</v>
      </c>
      <c r="O1613" s="0">
        <v>0</v>
      </c>
      <c r="P1613" s="0">
        <v>0</v>
      </c>
      <c r="Q1613" s="0" t="s">
        <v>1834</v>
      </c>
      <c r="R1613" s="0" t="b">
        <v>0</v>
      </c>
      <c r="S1613" s="0" t="b">
        <v>1</v>
      </c>
      <c r="T1613" s="68">
        <v>44686.4245023148</v>
      </c>
      <c r="U1613" s="68">
        <v>44708.3333333333</v>
      </c>
      <c r="V1613" s="68">
        <v>0</v>
      </c>
      <c r="W1613" s="0">
        <f>IF(IF(B1613="none",1,IF(B1613="Trialer",1,0))+IF(C1613="Customer",1,IF(C1613="Lost",1,0))=2,1,0)</f>
      </c>
      <c r="X1613" s="0" t="s">
        <v>136</v>
      </c>
      <c r="Y1613" s="0" t="s">
        <v>243</v>
      </c>
      <c r="AV1613" s="68"/>
      <c r="AW1613" s="68"/>
      <c r="AY1613" s="27"/>
      <c r="BD1613" s="68">
        <v>46054.1666666667</v>
      </c>
      <c r="BE1613" s="68">
        <v>46082.1666666667</v>
      </c>
      <c r="BF1613" s="0" t="b">
        <v>0</v>
      </c>
      <c r="BG1613" s="0" t="b">
        <v>0</v>
      </c>
      <c r="BH1613" s="0">
        <v>175</v>
      </c>
      <c r="BI1613" s="0">
        <v>175</v>
      </c>
      <c r="BJ1613" s="0" t="s">
        <v>135</v>
      </c>
    </row>
    <row r="1614">
      <c r="A1614" s="0" t="s">
        <v>1835</v>
      </c>
      <c r="B1614" s="0" t="s">
        <v>134</v>
      </c>
      <c r="C1614" s="0" t="s">
        <v>134</v>
      </c>
      <c r="D1614" s="0" t="s">
        <v>135</v>
      </c>
      <c r="E1614" s="0" t="s">
        <v>3</v>
      </c>
      <c r="F1614" s="0" t="s">
        <v>10</v>
      </c>
      <c r="G1614" s="0" t="s">
        <v>8</v>
      </c>
      <c r="H1614" s="0">
        <v>1367</v>
      </c>
      <c r="I1614" s="0">
        <v>413</v>
      </c>
      <c r="J1614" s="0">
        <v>0</v>
      </c>
      <c r="K1614" s="0">
        <v>1</v>
      </c>
      <c r="L1614" s="0">
        <v>6</v>
      </c>
      <c r="M1614" s="0">
        <v>5</v>
      </c>
      <c r="N1614" s="0">
        <v>0</v>
      </c>
      <c r="O1614" s="0">
        <v>0</v>
      </c>
      <c r="P1614" s="0">
        <v>0</v>
      </c>
      <c r="Q1614" s="0" t="s">
        <v>1828</v>
      </c>
      <c r="R1614" s="0" t="b">
        <v>0</v>
      </c>
      <c r="S1614" s="0" t="b">
        <v>1</v>
      </c>
      <c r="T1614" s="68">
        <v>44686.4669560185</v>
      </c>
      <c r="U1614" s="68">
        <v>44718.3333333333</v>
      </c>
      <c r="V1614" s="68">
        <v>0</v>
      </c>
      <c r="W1614" s="0">
        <f>IF(IF(B1614="none",1,IF(B1614="Trialer",1,0))+IF(C1614="Customer",1,IF(C1614="Lost",1,0))=2,1,0)</f>
      </c>
      <c r="X1614" s="0" t="s">
        <v>148</v>
      </c>
      <c r="Y1614" s="0" t="s">
        <v>243</v>
      </c>
      <c r="AV1614" s="68"/>
      <c r="AW1614" s="68"/>
      <c r="AY1614" s="27"/>
      <c r="BD1614" s="68">
        <v>46054.1666666667</v>
      </c>
      <c r="BE1614" s="68">
        <v>46082.1666666667</v>
      </c>
      <c r="BF1614" s="0" t="b">
        <v>0</v>
      </c>
      <c r="BG1614" s="0" t="b">
        <v>0</v>
      </c>
      <c r="BH1614" s="0">
        <v>413</v>
      </c>
      <c r="BI1614" s="0">
        <v>413</v>
      </c>
      <c r="BJ1614" s="0" t="s">
        <v>135</v>
      </c>
    </row>
    <row r="1615">
      <c r="A1615" s="0" t="s">
        <v>1836</v>
      </c>
      <c r="B1615" s="0" t="s">
        <v>134</v>
      </c>
      <c r="C1615" s="0" t="s">
        <v>134</v>
      </c>
      <c r="D1615" s="0" t="s">
        <v>230</v>
      </c>
      <c r="E1615" s="0" t="s">
        <v>3</v>
      </c>
      <c r="F1615" s="0" t="s">
        <v>12</v>
      </c>
      <c r="G1615" s="0" t="s">
        <v>8</v>
      </c>
      <c r="H1615" s="0">
        <v>1367</v>
      </c>
      <c r="I1615" s="0">
        <v>54</v>
      </c>
      <c r="J1615" s="0">
        <v>0</v>
      </c>
      <c r="K1615" s="0">
        <v>1</v>
      </c>
      <c r="L1615" s="0">
        <v>4</v>
      </c>
      <c r="M1615" s="0">
        <v>1</v>
      </c>
      <c r="N1615" s="0">
        <v>0</v>
      </c>
      <c r="O1615" s="0">
        <v>0</v>
      </c>
      <c r="P1615" s="0">
        <v>-54</v>
      </c>
      <c r="R1615" s="0" t="b">
        <v>0</v>
      </c>
      <c r="S1615" s="0" t="b">
        <v>1</v>
      </c>
      <c r="T1615" s="68">
        <v>44686.5187152778</v>
      </c>
      <c r="U1615" s="68">
        <v>44717.3333333333</v>
      </c>
      <c r="V1615" s="68">
        <v>0</v>
      </c>
      <c r="W1615" s="0">
        <f>IF(IF(B1615="none",1,IF(B1615="Trialer",1,0))+IF(C1615="Customer",1,IF(C1615="Lost",1,0))=2,1,0)</f>
      </c>
      <c r="X1615" s="0" t="s">
        <v>142</v>
      </c>
      <c r="Y1615" s="0" t="s">
        <v>243</v>
      </c>
      <c r="AV1615" s="68"/>
      <c r="AW1615" s="68"/>
      <c r="AY1615" s="27"/>
      <c r="BD1615" s="68">
        <v>46054.1666666667</v>
      </c>
      <c r="BE1615" s="68">
        <v>46082.1666666667</v>
      </c>
      <c r="BF1615" s="0" t="b">
        <v>0</v>
      </c>
      <c r="BG1615" s="0" t="b">
        <v>0</v>
      </c>
      <c r="BH1615" s="0">
        <v>61</v>
      </c>
      <c r="BI1615" s="0">
        <v>61</v>
      </c>
      <c r="BJ1615" s="0" t="s">
        <v>230</v>
      </c>
    </row>
    <row r="1616">
      <c r="A1616" s="0" t="s">
        <v>1837</v>
      </c>
      <c r="B1616" s="0" t="s">
        <v>134</v>
      </c>
      <c r="C1616" s="0" t="s">
        <v>134</v>
      </c>
      <c r="D1616" s="0" t="s">
        <v>230</v>
      </c>
      <c r="E1616" s="0" t="s">
        <v>3</v>
      </c>
      <c r="F1616" s="0" t="s">
        <v>12</v>
      </c>
      <c r="G1616" s="0" t="s">
        <v>8</v>
      </c>
      <c r="H1616" s="0">
        <v>1366</v>
      </c>
      <c r="I1616" s="0">
        <v>25</v>
      </c>
      <c r="J1616" s="0">
        <v>0</v>
      </c>
      <c r="K1616" s="0">
        <v>1</v>
      </c>
      <c r="L1616" s="0">
        <v>1</v>
      </c>
      <c r="M1616" s="0">
        <v>1</v>
      </c>
      <c r="N1616" s="0">
        <v>0</v>
      </c>
      <c r="O1616" s="0">
        <v>0</v>
      </c>
      <c r="P1616" s="0">
        <v>-25</v>
      </c>
      <c r="R1616" s="0" t="b">
        <v>0</v>
      </c>
      <c r="S1616" s="0" t="b">
        <v>1</v>
      </c>
      <c r="T1616" s="68">
        <v>44687.3065277778</v>
      </c>
      <c r="U1616" s="68">
        <v>44718.3333333333</v>
      </c>
      <c r="V1616" s="68">
        <v>0</v>
      </c>
      <c r="W1616" s="0">
        <f>IF(IF(B1616="none",1,IF(B1616="Trialer",1,0))+IF(C1616="Customer",1,IF(C1616="Lost",1,0))=2,1,0)</f>
      </c>
      <c r="X1616" s="0" t="s">
        <v>166</v>
      </c>
      <c r="Y1616" s="0" t="s">
        <v>243</v>
      </c>
      <c r="AV1616" s="68"/>
      <c r="AW1616" s="68"/>
      <c r="AY1616" s="27"/>
      <c r="BD1616" s="68">
        <v>46054.1666666667</v>
      </c>
      <c r="BE1616" s="68">
        <v>46082.1666666667</v>
      </c>
      <c r="BF1616" s="0" t="b">
        <v>0</v>
      </c>
      <c r="BG1616" s="0" t="b">
        <v>0</v>
      </c>
      <c r="BH1616" s="0">
        <v>28</v>
      </c>
      <c r="BI1616" s="0">
        <v>28</v>
      </c>
      <c r="BJ1616" s="0" t="s">
        <v>230</v>
      </c>
    </row>
    <row r="1617">
      <c r="A1617" s="0" t="s">
        <v>1838</v>
      </c>
      <c r="B1617" s="0" t="s">
        <v>134</v>
      </c>
      <c r="C1617" s="0" t="s">
        <v>134</v>
      </c>
      <c r="D1617" s="0" t="s">
        <v>135</v>
      </c>
      <c r="E1617" s="0" t="s">
        <v>3</v>
      </c>
      <c r="F1617" s="0" t="s">
        <v>12</v>
      </c>
      <c r="G1617" s="0" t="s">
        <v>8</v>
      </c>
      <c r="H1617" s="0">
        <v>1366</v>
      </c>
      <c r="I1617" s="0">
        <v>86</v>
      </c>
      <c r="J1617" s="0">
        <v>0</v>
      </c>
      <c r="K1617" s="0">
        <v>1</v>
      </c>
      <c r="L1617" s="0">
        <v>3</v>
      </c>
      <c r="M1617" s="0">
        <v>2</v>
      </c>
      <c r="N1617" s="0">
        <v>413.25</v>
      </c>
      <c r="O1617" s="0">
        <v>0</v>
      </c>
      <c r="P1617" s="0">
        <v>0</v>
      </c>
      <c r="R1617" s="0" t="b">
        <v>0</v>
      </c>
      <c r="S1617" s="0" t="b">
        <v>1</v>
      </c>
      <c r="T1617" s="68">
        <v>44687.5708333333</v>
      </c>
      <c r="U1617" s="68">
        <v>44718.3333333333</v>
      </c>
      <c r="V1617" s="68">
        <v>0</v>
      </c>
      <c r="W1617" s="0">
        <f>IF(IF(B1617="none",1,IF(B1617="Trialer",1,0))+IF(C1617="Customer",1,IF(C1617="Lost",1,0))=2,1,0)</f>
      </c>
      <c r="X1617" s="0" t="s">
        <v>145</v>
      </c>
      <c r="Y1617" s="0" t="s">
        <v>243</v>
      </c>
      <c r="AV1617" s="68"/>
      <c r="AW1617" s="68"/>
      <c r="AY1617" s="27"/>
      <c r="BD1617" s="68">
        <v>46054.1666666667</v>
      </c>
      <c r="BE1617" s="68">
        <v>46082.1666666667</v>
      </c>
      <c r="BF1617" s="0" t="b">
        <v>0</v>
      </c>
      <c r="BG1617" s="0" t="b">
        <v>0</v>
      </c>
      <c r="BH1617" s="0">
        <v>86</v>
      </c>
      <c r="BI1617" s="0">
        <v>86</v>
      </c>
      <c r="BJ1617" s="0" t="s">
        <v>135</v>
      </c>
    </row>
    <row r="1618">
      <c r="A1618" s="0" t="s">
        <v>1839</v>
      </c>
      <c r="B1618" s="0" t="s">
        <v>134</v>
      </c>
      <c r="C1618" s="0" t="s">
        <v>134</v>
      </c>
      <c r="D1618" s="0" t="s">
        <v>135</v>
      </c>
      <c r="E1618" s="0" t="s">
        <v>2</v>
      </c>
      <c r="F1618" s="0" t="s">
        <v>12</v>
      </c>
      <c r="G1618" s="0" t="s">
        <v>8</v>
      </c>
      <c r="H1618" s="0">
        <v>1362</v>
      </c>
      <c r="I1618" s="0">
        <v>170</v>
      </c>
      <c r="J1618" s="0">
        <v>0</v>
      </c>
      <c r="K1618" s="0">
        <v>1</v>
      </c>
      <c r="L1618" s="0">
        <v>6</v>
      </c>
      <c r="M1618" s="0">
        <v>2</v>
      </c>
      <c r="N1618" s="0">
        <v>0</v>
      </c>
      <c r="O1618" s="0">
        <v>0</v>
      </c>
      <c r="P1618" s="0">
        <v>0</v>
      </c>
      <c r="R1618" s="0" t="b">
        <v>0</v>
      </c>
      <c r="S1618" s="0" t="b">
        <v>1</v>
      </c>
      <c r="T1618" s="68">
        <v>44691.5070023148</v>
      </c>
      <c r="U1618" s="68">
        <v>44722.3333333333</v>
      </c>
      <c r="V1618" s="68">
        <v>0</v>
      </c>
      <c r="W1618" s="0">
        <f>IF(IF(B1618="none",1,IF(B1618="Trialer",1,0))+IF(C1618="Customer",1,IF(C1618="Lost",1,0))=2,1,0)</f>
      </c>
      <c r="X1618" s="0" t="s">
        <v>153</v>
      </c>
      <c r="Y1618" s="0" t="s">
        <v>499</v>
      </c>
      <c r="AV1618" s="68"/>
      <c r="AW1618" s="68"/>
      <c r="AY1618" s="27"/>
      <c r="BD1618" s="68">
        <v>46054.1666666667</v>
      </c>
      <c r="BE1618" s="68">
        <v>46082.1666666667</v>
      </c>
      <c r="BF1618" s="0" t="b">
        <v>0</v>
      </c>
      <c r="BG1618" s="0" t="b">
        <v>0</v>
      </c>
      <c r="BH1618" s="0">
        <v>158</v>
      </c>
      <c r="BI1618" s="0">
        <v>158</v>
      </c>
      <c r="BJ1618" s="0" t="s">
        <v>135</v>
      </c>
    </row>
    <row r="1619">
      <c r="A1619" s="0" t="s">
        <v>1840</v>
      </c>
      <c r="B1619" s="0" t="s">
        <v>134</v>
      </c>
      <c r="C1619" s="0" t="s">
        <v>134</v>
      </c>
      <c r="D1619" s="0" t="s">
        <v>230</v>
      </c>
      <c r="E1619" s="0" t="s">
        <v>3</v>
      </c>
      <c r="F1619" s="0" t="s">
        <v>12</v>
      </c>
      <c r="G1619" s="0" t="s">
        <v>8</v>
      </c>
      <c r="H1619" s="0">
        <v>1361</v>
      </c>
      <c r="I1619" s="0">
        <v>25</v>
      </c>
      <c r="J1619" s="0">
        <v>0</v>
      </c>
      <c r="K1619" s="0">
        <v>1</v>
      </c>
      <c r="L1619" s="0">
        <v>1</v>
      </c>
      <c r="M1619" s="0">
        <v>1</v>
      </c>
      <c r="N1619" s="0">
        <v>0</v>
      </c>
      <c r="O1619" s="0">
        <v>0</v>
      </c>
      <c r="P1619" s="0">
        <v>-25</v>
      </c>
      <c r="R1619" s="0" t="b">
        <v>0</v>
      </c>
      <c r="S1619" s="0" t="b">
        <v>1</v>
      </c>
      <c r="T1619" s="68">
        <v>44692.4237384259</v>
      </c>
      <c r="U1619" s="68">
        <v>44725.3333333333</v>
      </c>
      <c r="V1619" s="68">
        <v>0</v>
      </c>
      <c r="W1619" s="0">
        <f>IF(IF(B1619="none",1,IF(B1619="Trialer",1,0))+IF(C1619="Customer",1,IF(C1619="Lost",1,0))=2,1,0)</f>
      </c>
      <c r="X1619" s="0" t="s">
        <v>166</v>
      </c>
      <c r="Y1619" s="0" t="s">
        <v>487</v>
      </c>
      <c r="AV1619" s="68"/>
      <c r="AW1619" s="68"/>
      <c r="AY1619" s="27"/>
      <c r="BD1619" s="68">
        <v>46054.1666666667</v>
      </c>
      <c r="BE1619" s="68">
        <v>46082.1666666667</v>
      </c>
      <c r="BF1619" s="0" t="b">
        <v>0</v>
      </c>
      <c r="BG1619" s="0" t="b">
        <v>0</v>
      </c>
      <c r="BH1619" s="0">
        <v>28</v>
      </c>
      <c r="BI1619" s="0">
        <v>28</v>
      </c>
      <c r="BJ1619" s="0" t="s">
        <v>230</v>
      </c>
    </row>
    <row r="1620">
      <c r="A1620" s="0" t="s">
        <v>1841</v>
      </c>
      <c r="B1620" s="0" t="s">
        <v>134</v>
      </c>
      <c r="C1620" s="0" t="s">
        <v>134</v>
      </c>
      <c r="D1620" s="0" t="s">
        <v>135</v>
      </c>
      <c r="E1620" s="0" t="s">
        <v>3</v>
      </c>
      <c r="F1620" s="0" t="s">
        <v>12</v>
      </c>
      <c r="G1620" s="0" t="s">
        <v>8</v>
      </c>
      <c r="H1620" s="0">
        <v>1361</v>
      </c>
      <c r="I1620" s="0">
        <v>104</v>
      </c>
      <c r="J1620" s="0">
        <v>0</v>
      </c>
      <c r="K1620" s="0">
        <v>1</v>
      </c>
      <c r="L1620" s="0">
        <v>3</v>
      </c>
      <c r="M1620" s="0">
        <v>2</v>
      </c>
      <c r="N1620" s="0">
        <v>0</v>
      </c>
      <c r="O1620" s="0">
        <v>0</v>
      </c>
      <c r="P1620" s="0">
        <v>0</v>
      </c>
      <c r="R1620" s="0" t="b">
        <v>0</v>
      </c>
      <c r="S1620" s="0" t="b">
        <v>1</v>
      </c>
      <c r="T1620" s="68">
        <v>44692.4570601852</v>
      </c>
      <c r="U1620" s="68">
        <v>44726.3333333333</v>
      </c>
      <c r="V1620" s="68">
        <v>0</v>
      </c>
      <c r="W1620" s="0">
        <f>IF(IF(B1620="none",1,IF(B1620="Trialer",1,0))+IF(C1620="Customer",1,IF(C1620="Lost",1,0))=2,1,0)</f>
      </c>
      <c r="X1620" s="0" t="s">
        <v>166</v>
      </c>
      <c r="Y1620" s="0" t="s">
        <v>243</v>
      </c>
      <c r="AV1620" s="68"/>
      <c r="AW1620" s="68"/>
      <c r="AY1620" s="27"/>
      <c r="BD1620" s="68">
        <v>46054.1666666667</v>
      </c>
      <c r="BE1620" s="68">
        <v>46082.1666666667</v>
      </c>
      <c r="BF1620" s="0" t="b">
        <v>0</v>
      </c>
      <c r="BG1620" s="0" t="b">
        <v>0</v>
      </c>
      <c r="BH1620" s="0">
        <v>104</v>
      </c>
      <c r="BI1620" s="0">
        <v>104</v>
      </c>
      <c r="BJ1620" s="0" t="s">
        <v>135</v>
      </c>
    </row>
    <row r="1621">
      <c r="A1621" s="0" t="s">
        <v>1842</v>
      </c>
      <c r="B1621" s="0" t="s">
        <v>134</v>
      </c>
      <c r="C1621" s="0" t="s">
        <v>134</v>
      </c>
      <c r="D1621" s="0" t="s">
        <v>135</v>
      </c>
      <c r="E1621" s="0" t="s">
        <v>3</v>
      </c>
      <c r="F1621" s="0" t="s">
        <v>12</v>
      </c>
      <c r="G1621" s="0" t="s">
        <v>8</v>
      </c>
      <c r="H1621" s="0">
        <v>1360</v>
      </c>
      <c r="I1621" s="0">
        <v>174</v>
      </c>
      <c r="J1621" s="0">
        <v>0</v>
      </c>
      <c r="K1621" s="0">
        <v>1</v>
      </c>
      <c r="L1621" s="0">
        <v>4</v>
      </c>
      <c r="M1621" s="0">
        <v>3</v>
      </c>
      <c r="N1621" s="0">
        <v>0</v>
      </c>
      <c r="O1621" s="0">
        <v>0</v>
      </c>
      <c r="P1621" s="0">
        <v>0</v>
      </c>
      <c r="R1621" s="0" t="b">
        <v>0</v>
      </c>
      <c r="S1621" s="0" t="b">
        <v>1</v>
      </c>
      <c r="T1621" s="68">
        <v>44693.6979513889</v>
      </c>
      <c r="U1621" s="68">
        <v>44724.3333333333</v>
      </c>
      <c r="V1621" s="68">
        <v>0</v>
      </c>
      <c r="W1621" s="0">
        <f>IF(IF(B1621="none",1,IF(B1621="Trialer",1,0))+IF(C1621="Customer",1,IF(C1621="Lost",1,0))=2,1,0)</f>
      </c>
      <c r="X1621" s="0" t="s">
        <v>153</v>
      </c>
      <c r="Y1621" s="0" t="s">
        <v>243</v>
      </c>
      <c r="AV1621" s="68"/>
      <c r="AW1621" s="68"/>
      <c r="AY1621" s="27"/>
      <c r="BD1621" s="68">
        <v>46054.1666666667</v>
      </c>
      <c r="BE1621" s="68">
        <v>46082.1666666667</v>
      </c>
      <c r="BF1621" s="0" t="b">
        <v>0</v>
      </c>
      <c r="BG1621" s="0" t="b">
        <v>0</v>
      </c>
      <c r="BH1621" s="0">
        <v>174</v>
      </c>
      <c r="BI1621" s="0">
        <v>174</v>
      </c>
      <c r="BJ1621" s="0" t="s">
        <v>135</v>
      </c>
    </row>
    <row r="1622">
      <c r="A1622" s="0" t="s">
        <v>1843</v>
      </c>
      <c r="B1622" s="0" t="s">
        <v>134</v>
      </c>
      <c r="C1622" s="0" t="s">
        <v>134</v>
      </c>
      <c r="D1622" s="0" t="s">
        <v>135</v>
      </c>
      <c r="E1622" s="0" t="s">
        <v>2</v>
      </c>
      <c r="F1622" s="0" t="s">
        <v>12</v>
      </c>
      <c r="G1622" s="0" t="s">
        <v>8</v>
      </c>
      <c r="H1622" s="0">
        <v>1359</v>
      </c>
      <c r="I1622" s="0">
        <v>28</v>
      </c>
      <c r="J1622" s="0">
        <v>0</v>
      </c>
      <c r="K1622" s="0">
        <v>1</v>
      </c>
      <c r="L1622" s="0">
        <v>1</v>
      </c>
      <c r="M1622" s="0">
        <v>1</v>
      </c>
      <c r="N1622" s="0">
        <v>0</v>
      </c>
      <c r="O1622" s="0">
        <v>0</v>
      </c>
      <c r="P1622" s="0">
        <v>0</v>
      </c>
      <c r="R1622" s="0" t="b">
        <v>0</v>
      </c>
      <c r="S1622" s="0" t="b">
        <v>1</v>
      </c>
      <c r="T1622" s="68">
        <v>44694.5472106481</v>
      </c>
      <c r="U1622" s="68">
        <v>44727.3333333333</v>
      </c>
      <c r="V1622" s="68">
        <v>0</v>
      </c>
      <c r="W1622" s="0">
        <f>IF(IF(B1622="none",1,IF(B1622="Trialer",1,0))+IF(C1622="Customer",1,IF(C1622="Lost",1,0))=2,1,0)</f>
      </c>
      <c r="X1622" s="0" t="s">
        <v>166</v>
      </c>
      <c r="Y1622" s="0" t="s">
        <v>499</v>
      </c>
      <c r="AV1622" s="68"/>
      <c r="AW1622" s="68"/>
      <c r="AY1622" s="27"/>
      <c r="BD1622" s="68">
        <v>46054.1666666667</v>
      </c>
      <c r="BE1622" s="68">
        <v>46082.1666666667</v>
      </c>
      <c r="BF1622" s="0" t="b">
        <v>0</v>
      </c>
      <c r="BG1622" s="0" t="b">
        <v>0</v>
      </c>
      <c r="BH1622" s="0">
        <v>28</v>
      </c>
      <c r="BI1622" s="0">
        <v>28</v>
      </c>
      <c r="BJ1622" s="0" t="s">
        <v>135</v>
      </c>
    </row>
    <row r="1623">
      <c r="A1623" s="0" t="s">
        <v>1844</v>
      </c>
      <c r="B1623" s="0" t="s">
        <v>134</v>
      </c>
      <c r="C1623" s="0" t="s">
        <v>134</v>
      </c>
      <c r="D1623" s="0" t="s">
        <v>135</v>
      </c>
      <c r="E1623" s="0" t="s">
        <v>3</v>
      </c>
      <c r="F1623" s="0" t="s">
        <v>12</v>
      </c>
      <c r="G1623" s="0" t="s">
        <v>8</v>
      </c>
      <c r="H1623" s="0">
        <v>1356</v>
      </c>
      <c r="I1623" s="0">
        <v>28</v>
      </c>
      <c r="J1623" s="0">
        <v>0</v>
      </c>
      <c r="K1623" s="0">
        <v>1</v>
      </c>
      <c r="L1623" s="0">
        <v>1</v>
      </c>
      <c r="M1623" s="0">
        <v>1</v>
      </c>
      <c r="N1623" s="0">
        <v>0</v>
      </c>
      <c r="O1623" s="0">
        <v>0</v>
      </c>
      <c r="P1623" s="0">
        <v>0</v>
      </c>
      <c r="R1623" s="0" t="b">
        <v>0</v>
      </c>
      <c r="S1623" s="0" t="b">
        <v>1</v>
      </c>
      <c r="T1623" s="68">
        <v>44697.6855092593</v>
      </c>
      <c r="U1623" s="68">
        <v>44729.3333333333</v>
      </c>
      <c r="V1623" s="68">
        <v>0</v>
      </c>
      <c r="W1623" s="0">
        <f>IF(IF(B1623="none",1,IF(B1623="Trialer",1,0))+IF(C1623="Customer",1,IF(C1623="Lost",1,0))=2,1,0)</f>
      </c>
      <c r="X1623" s="0" t="s">
        <v>142</v>
      </c>
      <c r="Y1623" s="0" t="s">
        <v>243</v>
      </c>
      <c r="AV1623" s="68"/>
      <c r="AW1623" s="68"/>
      <c r="AY1623" s="27"/>
      <c r="BD1623" s="68">
        <v>46054.1666666667</v>
      </c>
      <c r="BE1623" s="68">
        <v>46082.1666666667</v>
      </c>
      <c r="BF1623" s="0" t="b">
        <v>0</v>
      </c>
      <c r="BG1623" s="0" t="b">
        <v>0</v>
      </c>
      <c r="BH1623" s="0">
        <v>28</v>
      </c>
      <c r="BI1623" s="0">
        <v>28</v>
      </c>
      <c r="BJ1623" s="0" t="s">
        <v>135</v>
      </c>
    </row>
    <row r="1624">
      <c r="A1624" s="0" t="s">
        <v>1845</v>
      </c>
      <c r="B1624" s="0" t="s">
        <v>134</v>
      </c>
      <c r="C1624" s="0" t="s">
        <v>134</v>
      </c>
      <c r="D1624" s="0" t="s">
        <v>135</v>
      </c>
      <c r="E1624" s="0" t="s">
        <v>2</v>
      </c>
      <c r="F1624" s="0" t="s">
        <v>12</v>
      </c>
      <c r="G1624" s="0" t="s">
        <v>8</v>
      </c>
      <c r="H1624" s="0">
        <v>1355</v>
      </c>
      <c r="I1624" s="0">
        <v>269</v>
      </c>
      <c r="J1624" s="0">
        <v>0</v>
      </c>
      <c r="K1624" s="0">
        <v>1</v>
      </c>
      <c r="L1624" s="0">
        <v>4</v>
      </c>
      <c r="M1624" s="0">
        <v>5</v>
      </c>
      <c r="N1624" s="0">
        <v>413.25</v>
      </c>
      <c r="O1624" s="0">
        <v>0</v>
      </c>
      <c r="P1624" s="0">
        <v>0</v>
      </c>
      <c r="R1624" s="0" t="b">
        <v>0</v>
      </c>
      <c r="S1624" s="0" t="b">
        <v>1</v>
      </c>
      <c r="T1624" s="68">
        <v>44698.6667939815</v>
      </c>
      <c r="U1624" s="68">
        <v>44729.3333333333</v>
      </c>
      <c r="V1624" s="68">
        <v>0</v>
      </c>
      <c r="W1624" s="0">
        <f>IF(IF(B1624="none",1,IF(B1624="Trialer",1,0))+IF(C1624="Customer",1,IF(C1624="Lost",1,0))=2,1,0)</f>
      </c>
      <c r="X1624" s="0" t="s">
        <v>136</v>
      </c>
      <c r="Y1624" s="0" t="s">
        <v>499</v>
      </c>
      <c r="AV1624" s="68"/>
      <c r="AW1624" s="68"/>
      <c r="AY1624" s="27"/>
      <c r="BD1624" s="68">
        <v>46054.1666666667</v>
      </c>
      <c r="BE1624" s="68">
        <v>46082.1666666667</v>
      </c>
      <c r="BF1624" s="0" t="b">
        <v>0</v>
      </c>
      <c r="BG1624" s="0" t="b">
        <v>0</v>
      </c>
      <c r="BH1624" s="0">
        <v>269</v>
      </c>
      <c r="BI1624" s="0">
        <v>269</v>
      </c>
      <c r="BJ1624" s="0" t="s">
        <v>135</v>
      </c>
    </row>
    <row r="1625">
      <c r="A1625" s="0" t="s">
        <v>1846</v>
      </c>
      <c r="B1625" s="0" t="s">
        <v>134</v>
      </c>
      <c r="C1625" s="0" t="s">
        <v>134</v>
      </c>
      <c r="D1625" s="0" t="s">
        <v>135</v>
      </c>
      <c r="E1625" s="0" t="s">
        <v>2</v>
      </c>
      <c r="F1625" s="0" t="s">
        <v>12</v>
      </c>
      <c r="G1625" s="0" t="s">
        <v>8</v>
      </c>
      <c r="H1625" s="0">
        <v>1355</v>
      </c>
      <c r="I1625" s="0">
        <v>61</v>
      </c>
      <c r="J1625" s="0">
        <v>0</v>
      </c>
      <c r="K1625" s="0">
        <v>1</v>
      </c>
      <c r="L1625" s="0">
        <v>4</v>
      </c>
      <c r="M1625" s="0">
        <v>1</v>
      </c>
      <c r="N1625" s="0">
        <v>0</v>
      </c>
      <c r="O1625" s="0">
        <v>0</v>
      </c>
      <c r="P1625" s="0">
        <v>0</v>
      </c>
      <c r="R1625" s="0" t="b">
        <v>0</v>
      </c>
      <c r="S1625" s="0" t="b">
        <v>1</v>
      </c>
      <c r="T1625" s="68">
        <v>44698.718587963</v>
      </c>
      <c r="U1625" s="68">
        <v>44729.3333333333</v>
      </c>
      <c r="V1625" s="68">
        <v>0</v>
      </c>
      <c r="W1625" s="0">
        <f>IF(IF(B1625="none",1,IF(B1625="Trialer",1,0))+IF(C1625="Customer",1,IF(C1625="Lost",1,0))=2,1,0)</f>
      </c>
      <c r="X1625" s="0" t="s">
        <v>142</v>
      </c>
      <c r="Y1625" s="0" t="s">
        <v>499</v>
      </c>
      <c r="AV1625" s="68"/>
      <c r="AW1625" s="68"/>
      <c r="AY1625" s="27"/>
      <c r="BD1625" s="68">
        <v>46054.1666666667</v>
      </c>
      <c r="BE1625" s="68">
        <v>46082.1666666667</v>
      </c>
      <c r="BF1625" s="0" t="b">
        <v>0</v>
      </c>
      <c r="BG1625" s="0" t="b">
        <v>0</v>
      </c>
      <c r="BH1625" s="0">
        <v>61</v>
      </c>
      <c r="BI1625" s="0">
        <v>61</v>
      </c>
      <c r="BJ1625" s="0" t="s">
        <v>135</v>
      </c>
    </row>
    <row r="1626">
      <c r="A1626" s="0" t="s">
        <v>1847</v>
      </c>
      <c r="B1626" s="0" t="s">
        <v>134</v>
      </c>
      <c r="C1626" s="0" t="s">
        <v>134</v>
      </c>
      <c r="D1626" s="0" t="s">
        <v>135</v>
      </c>
      <c r="E1626" s="0" t="s">
        <v>3</v>
      </c>
      <c r="F1626" s="0" t="s">
        <v>12</v>
      </c>
      <c r="G1626" s="0" t="s">
        <v>8</v>
      </c>
      <c r="H1626" s="0">
        <v>1353</v>
      </c>
      <c r="I1626" s="0">
        <v>77</v>
      </c>
      <c r="J1626" s="0">
        <v>0</v>
      </c>
      <c r="K1626" s="0">
        <v>1</v>
      </c>
      <c r="L1626" s="0">
        <v>3</v>
      </c>
      <c r="M1626" s="0">
        <v>2</v>
      </c>
      <c r="N1626" s="0">
        <v>0</v>
      </c>
      <c r="O1626" s="0">
        <v>0</v>
      </c>
      <c r="P1626" s="0">
        <v>0</v>
      </c>
      <c r="R1626" s="0" t="b">
        <v>0</v>
      </c>
      <c r="S1626" s="0" t="b">
        <v>1</v>
      </c>
      <c r="T1626" s="68">
        <v>44700.5</v>
      </c>
      <c r="U1626" s="68">
        <v>44700.3333333333</v>
      </c>
      <c r="V1626" s="68">
        <v>0</v>
      </c>
      <c r="W1626" s="0">
        <f>IF(IF(B1626="none",1,IF(B1626="Trialer",1,0))+IF(C1626="Customer",1,IF(C1626="Lost",1,0))=2,1,0)</f>
      </c>
      <c r="X1626" s="0" t="s">
        <v>148</v>
      </c>
      <c r="Y1626" s="0" t="s">
        <v>243</v>
      </c>
      <c r="AV1626" s="68"/>
      <c r="AW1626" s="68"/>
      <c r="AY1626" s="27"/>
      <c r="BD1626" s="68">
        <v>46054.1666666667</v>
      </c>
      <c r="BE1626" s="68">
        <v>46082.1666666667</v>
      </c>
      <c r="BF1626" s="0" t="b">
        <v>0</v>
      </c>
      <c r="BG1626" s="0" t="b">
        <v>0</v>
      </c>
      <c r="BH1626" s="0">
        <v>77</v>
      </c>
      <c r="BI1626" s="0">
        <v>77</v>
      </c>
      <c r="BJ1626" s="0" t="s">
        <v>135</v>
      </c>
    </row>
    <row r="1627">
      <c r="A1627" s="0" t="s">
        <v>1848</v>
      </c>
      <c r="B1627" s="0" t="s">
        <v>134</v>
      </c>
      <c r="C1627" s="0" t="s">
        <v>134</v>
      </c>
      <c r="D1627" s="0" t="s">
        <v>135</v>
      </c>
      <c r="E1627" s="0" t="s">
        <v>2</v>
      </c>
      <c r="F1627" s="0" t="s">
        <v>12</v>
      </c>
      <c r="G1627" s="0" t="s">
        <v>8</v>
      </c>
      <c r="H1627" s="0">
        <v>1350</v>
      </c>
      <c r="I1627" s="0">
        <v>292</v>
      </c>
      <c r="J1627" s="0">
        <v>0</v>
      </c>
      <c r="K1627" s="0">
        <v>1</v>
      </c>
      <c r="L1627" s="0">
        <v>3</v>
      </c>
      <c r="M1627" s="0">
        <v>7</v>
      </c>
      <c r="N1627" s="0">
        <v>0</v>
      </c>
      <c r="O1627" s="0">
        <v>0</v>
      </c>
      <c r="P1627" s="0">
        <v>0</v>
      </c>
      <c r="R1627" s="0" t="b">
        <v>0</v>
      </c>
      <c r="S1627" s="0" t="b">
        <v>1</v>
      </c>
      <c r="T1627" s="68">
        <v>44703.6409259259</v>
      </c>
      <c r="U1627" s="68">
        <v>44741.3333333333</v>
      </c>
      <c r="V1627" s="68">
        <v>0</v>
      </c>
      <c r="W1627" s="0">
        <f>IF(IF(B1627="none",1,IF(B1627="Trialer",1,0))+IF(C1627="Customer",1,IF(C1627="Lost",1,0))=2,1,0)</f>
      </c>
      <c r="X1627" s="0" t="s">
        <v>145</v>
      </c>
      <c r="Y1627" s="0" t="s">
        <v>499</v>
      </c>
      <c r="AV1627" s="68"/>
      <c r="AW1627" s="68"/>
      <c r="AY1627" s="27"/>
      <c r="BD1627" s="68">
        <v>46054.1666666667</v>
      </c>
      <c r="BE1627" s="68">
        <v>46082.1666666667</v>
      </c>
      <c r="BF1627" s="0" t="b">
        <v>0</v>
      </c>
      <c r="BG1627" s="0" t="b">
        <v>0</v>
      </c>
      <c r="BH1627" s="0">
        <v>292</v>
      </c>
      <c r="BI1627" s="0">
        <v>292</v>
      </c>
      <c r="BJ1627" s="0" t="s">
        <v>135</v>
      </c>
    </row>
    <row r="1628">
      <c r="A1628" s="0" t="s">
        <v>1849</v>
      </c>
      <c r="B1628" s="0" t="s">
        <v>134</v>
      </c>
      <c r="C1628" s="0" t="s">
        <v>134</v>
      </c>
      <c r="D1628" s="0" t="s">
        <v>135</v>
      </c>
      <c r="E1628" s="0" t="s">
        <v>3</v>
      </c>
      <c r="F1628" s="0" t="s">
        <v>12</v>
      </c>
      <c r="G1628" s="0" t="s">
        <v>8</v>
      </c>
      <c r="H1628" s="0">
        <v>1349</v>
      </c>
      <c r="I1628" s="0">
        <v>296</v>
      </c>
      <c r="J1628" s="0">
        <v>0</v>
      </c>
      <c r="K1628" s="0">
        <v>1</v>
      </c>
      <c r="L1628" s="0">
        <v>2</v>
      </c>
      <c r="M1628" s="0">
        <v>8</v>
      </c>
      <c r="N1628" s="0">
        <v>0</v>
      </c>
      <c r="O1628" s="0">
        <v>0</v>
      </c>
      <c r="P1628" s="0">
        <v>0</v>
      </c>
      <c r="R1628" s="0" t="b">
        <v>0</v>
      </c>
      <c r="S1628" s="0" t="b">
        <v>1</v>
      </c>
      <c r="T1628" s="68">
        <v>44704.5971412037</v>
      </c>
      <c r="U1628" s="68">
        <v>44735.3333333333</v>
      </c>
      <c r="V1628" s="68">
        <v>0</v>
      </c>
      <c r="W1628" s="0">
        <f>IF(IF(B1628="none",1,IF(B1628="Trialer",1,0))+IF(C1628="Customer",1,IF(C1628="Lost",1,0))=2,1,0)</f>
      </c>
      <c r="X1628" s="0" t="s">
        <v>136</v>
      </c>
      <c r="Y1628" s="0" t="s">
        <v>243</v>
      </c>
      <c r="AV1628" s="68"/>
      <c r="AW1628" s="68"/>
      <c r="AY1628" s="27"/>
      <c r="BD1628" s="68">
        <v>46054.1666666667</v>
      </c>
      <c r="BE1628" s="68">
        <v>46082.1666666667</v>
      </c>
      <c r="BF1628" s="0" t="b">
        <v>0</v>
      </c>
      <c r="BG1628" s="0" t="b">
        <v>0</v>
      </c>
      <c r="BH1628" s="0">
        <v>296</v>
      </c>
      <c r="BI1628" s="0">
        <v>296</v>
      </c>
      <c r="BJ1628" s="0" t="s">
        <v>135</v>
      </c>
    </row>
    <row r="1629">
      <c r="A1629" s="0" t="s">
        <v>1850</v>
      </c>
      <c r="B1629" s="0" t="s">
        <v>134</v>
      </c>
      <c r="C1629" s="0" t="s">
        <v>134</v>
      </c>
      <c r="D1629" s="0" t="s">
        <v>135</v>
      </c>
      <c r="E1629" s="0" t="s">
        <v>2</v>
      </c>
      <c r="F1629" s="0" t="s">
        <v>12</v>
      </c>
      <c r="G1629" s="0" t="s">
        <v>8</v>
      </c>
      <c r="H1629" s="0">
        <v>1349</v>
      </c>
      <c r="I1629" s="0">
        <v>40</v>
      </c>
      <c r="J1629" s="0">
        <v>0</v>
      </c>
      <c r="K1629" s="0">
        <v>1</v>
      </c>
      <c r="L1629" s="0">
        <v>2</v>
      </c>
      <c r="M1629" s="0">
        <v>1</v>
      </c>
      <c r="N1629" s="0">
        <v>0</v>
      </c>
      <c r="O1629" s="0">
        <v>0</v>
      </c>
      <c r="P1629" s="0">
        <v>0</v>
      </c>
      <c r="R1629" s="0" t="b">
        <v>0</v>
      </c>
      <c r="S1629" s="0" t="b">
        <v>1</v>
      </c>
      <c r="T1629" s="68">
        <v>44704.6252546296</v>
      </c>
      <c r="U1629" s="68">
        <v>44735.3333333333</v>
      </c>
      <c r="V1629" s="68">
        <v>0</v>
      </c>
      <c r="W1629" s="0">
        <f>IF(IF(B1629="none",1,IF(B1629="Trialer",1,0))+IF(C1629="Customer",1,IF(C1629="Lost",1,0))=2,1,0)</f>
      </c>
      <c r="X1629" s="0" t="s">
        <v>145</v>
      </c>
      <c r="Y1629" s="0" t="s">
        <v>499</v>
      </c>
      <c r="AV1629" s="68"/>
      <c r="AW1629" s="68"/>
      <c r="AY1629" s="27"/>
      <c r="BD1629" s="68">
        <v>46054.1666666667</v>
      </c>
      <c r="BE1629" s="68">
        <v>46082.1666666667</v>
      </c>
      <c r="BF1629" s="0" t="b">
        <v>0</v>
      </c>
      <c r="BG1629" s="0" t="b">
        <v>0</v>
      </c>
      <c r="BH1629" s="0">
        <v>40</v>
      </c>
      <c r="BI1629" s="0">
        <v>40</v>
      </c>
      <c r="BJ1629" s="0" t="s">
        <v>135</v>
      </c>
    </row>
    <row r="1630">
      <c r="A1630" s="0" t="s">
        <v>1851</v>
      </c>
      <c r="B1630" s="0" t="s">
        <v>134</v>
      </c>
      <c r="C1630" s="0" t="s">
        <v>134</v>
      </c>
      <c r="D1630" s="0" t="s">
        <v>135</v>
      </c>
      <c r="E1630" s="0" t="s">
        <v>3</v>
      </c>
      <c r="F1630" s="0" t="s">
        <v>10</v>
      </c>
      <c r="G1630" s="0" t="s">
        <v>8</v>
      </c>
      <c r="H1630" s="0">
        <v>1341</v>
      </c>
      <c r="I1630" s="0">
        <v>0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  <c r="Q1630" s="0" t="s">
        <v>618</v>
      </c>
      <c r="R1630" s="0" t="b">
        <v>0</v>
      </c>
      <c r="S1630" s="0" t="b">
        <v>1</v>
      </c>
      <c r="T1630" s="68">
        <v>44712.1589583333</v>
      </c>
      <c r="U1630" s="68">
        <v>44742.3333333333</v>
      </c>
      <c r="V1630" s="68">
        <v>0</v>
      </c>
      <c r="W1630" s="0">
        <f>IF(IF(B1630="none",1,IF(B1630="Trialer",1,0))+IF(C1630="Customer",1,IF(C1630="Lost",1,0))=2,1,0)</f>
      </c>
      <c r="X1630" s="0" t="s">
        <v>148</v>
      </c>
      <c r="Y1630" s="0" t="s">
        <v>243</v>
      </c>
      <c r="AV1630" s="68"/>
      <c r="AW1630" s="68"/>
      <c r="AY1630" s="27"/>
      <c r="BD1630" s="68">
        <v>46054.1666666667</v>
      </c>
      <c r="BE1630" s="68">
        <v>46082.1666666667</v>
      </c>
      <c r="BF1630" s="0" t="b">
        <v>0</v>
      </c>
      <c r="BG1630" s="0" t="b">
        <v>0</v>
      </c>
      <c r="BH1630" s="0">
        <v>0</v>
      </c>
      <c r="BI1630" s="0">
        <v>0</v>
      </c>
      <c r="BJ1630" s="0" t="s">
        <v>135</v>
      </c>
    </row>
    <row r="1631">
      <c r="A1631" s="0" t="s">
        <v>1852</v>
      </c>
      <c r="B1631" s="0" t="s">
        <v>134</v>
      </c>
      <c r="C1631" s="0" t="s">
        <v>134</v>
      </c>
      <c r="D1631" s="0" t="s">
        <v>230</v>
      </c>
      <c r="E1631" s="0" t="s">
        <v>2</v>
      </c>
      <c r="F1631" s="0" t="s">
        <v>10</v>
      </c>
      <c r="G1631" s="0" t="s">
        <v>8</v>
      </c>
      <c r="H1631" s="0">
        <v>1341</v>
      </c>
      <c r="I1631" s="0">
        <v>180</v>
      </c>
      <c r="J1631" s="0">
        <v>0</v>
      </c>
      <c r="K1631" s="0">
        <v>1</v>
      </c>
      <c r="L1631" s="0">
        <v>2</v>
      </c>
      <c r="M1631" s="0">
        <v>5</v>
      </c>
      <c r="N1631" s="0">
        <v>0</v>
      </c>
      <c r="O1631" s="0">
        <v>0</v>
      </c>
      <c r="P1631" s="0">
        <v>-180</v>
      </c>
      <c r="Q1631" s="0" t="s">
        <v>294</v>
      </c>
      <c r="R1631" s="0" t="b">
        <v>0</v>
      </c>
      <c r="S1631" s="0" t="b">
        <v>1</v>
      </c>
      <c r="T1631" s="68">
        <v>44712.3686226852</v>
      </c>
      <c r="U1631" s="68">
        <v>44742.3333333333</v>
      </c>
      <c r="V1631" s="68">
        <v>0</v>
      </c>
      <c r="W1631" s="0">
        <f>IF(IF(B1631="none",1,IF(B1631="Trialer",1,0))+IF(C1631="Customer",1,IF(C1631="Lost",1,0))=2,1,0)</f>
      </c>
      <c r="X1631" s="0" t="s">
        <v>145</v>
      </c>
      <c r="Y1631" s="0" t="s">
        <v>499</v>
      </c>
      <c r="AV1631" s="68"/>
      <c r="AW1631" s="68"/>
      <c r="AY1631" s="27"/>
      <c r="BD1631" s="68">
        <v>46054.1666666667</v>
      </c>
      <c r="BE1631" s="68">
        <v>46082.1666666667</v>
      </c>
      <c r="BF1631" s="0" t="b">
        <v>0</v>
      </c>
      <c r="BG1631" s="0" t="b">
        <v>0</v>
      </c>
      <c r="BH1631" s="0">
        <v>200</v>
      </c>
      <c r="BI1631" s="0">
        <v>200</v>
      </c>
      <c r="BJ1631" s="0" t="s">
        <v>230</v>
      </c>
    </row>
    <row r="1632">
      <c r="A1632" s="0" t="s">
        <v>1853</v>
      </c>
      <c r="B1632" s="0" t="s">
        <v>134</v>
      </c>
      <c r="C1632" s="0" t="s">
        <v>134</v>
      </c>
      <c r="D1632" s="0" t="s">
        <v>230</v>
      </c>
      <c r="E1632" s="0" t="s">
        <v>3</v>
      </c>
      <c r="F1632" s="0" t="s">
        <v>12</v>
      </c>
      <c r="G1632" s="0" t="s">
        <v>8</v>
      </c>
      <c r="H1632" s="0">
        <v>1341</v>
      </c>
      <c r="I1632" s="0">
        <v>98</v>
      </c>
      <c r="J1632" s="0">
        <v>0</v>
      </c>
      <c r="K1632" s="0">
        <v>1</v>
      </c>
      <c r="L1632" s="0">
        <v>4</v>
      </c>
      <c r="M1632" s="0">
        <v>2</v>
      </c>
      <c r="N1632" s="0">
        <v>0</v>
      </c>
      <c r="O1632" s="0">
        <v>0</v>
      </c>
      <c r="P1632" s="0">
        <v>-98</v>
      </c>
      <c r="R1632" s="0" t="b">
        <v>0</v>
      </c>
      <c r="S1632" s="0" t="b">
        <v>1</v>
      </c>
      <c r="T1632" s="68">
        <v>44712.5122337963</v>
      </c>
      <c r="U1632" s="68">
        <v>44742.3333333333</v>
      </c>
      <c r="V1632" s="68">
        <v>0</v>
      </c>
      <c r="W1632" s="0">
        <f>IF(IF(B1632="none",1,IF(B1632="Trialer",1,0))+IF(C1632="Customer",1,IF(C1632="Lost",1,0))=2,1,0)</f>
      </c>
      <c r="X1632" s="0" t="s">
        <v>166</v>
      </c>
      <c r="Y1632" s="0" t="s">
        <v>243</v>
      </c>
      <c r="AV1632" s="68"/>
      <c r="AW1632" s="68"/>
      <c r="AY1632" s="27"/>
      <c r="BD1632" s="68">
        <v>46054.1666666667</v>
      </c>
      <c r="BE1632" s="68">
        <v>46082.1666666667</v>
      </c>
      <c r="BF1632" s="0" t="b">
        <v>0</v>
      </c>
      <c r="BG1632" s="0" t="b">
        <v>0</v>
      </c>
      <c r="BH1632" s="0">
        <v>110</v>
      </c>
      <c r="BI1632" s="0">
        <v>110</v>
      </c>
      <c r="BJ1632" s="0" t="s">
        <v>230</v>
      </c>
    </row>
    <row r="1633">
      <c r="A1633" s="0" t="s">
        <v>1854</v>
      </c>
      <c r="B1633" s="0" t="s">
        <v>134</v>
      </c>
      <c r="C1633" s="0" t="s">
        <v>134</v>
      </c>
      <c r="D1633" s="0" t="s">
        <v>230</v>
      </c>
      <c r="E1633" s="0" t="s">
        <v>2</v>
      </c>
      <c r="F1633" s="0" t="s">
        <v>12</v>
      </c>
      <c r="G1633" s="0" t="s">
        <v>8</v>
      </c>
      <c r="H1633" s="0">
        <v>1340</v>
      </c>
      <c r="I1633" s="0">
        <v>149</v>
      </c>
      <c r="J1633" s="0">
        <v>0</v>
      </c>
      <c r="K1633" s="0">
        <v>1</v>
      </c>
      <c r="L1633" s="0">
        <v>3</v>
      </c>
      <c r="M1633" s="0">
        <v>4</v>
      </c>
      <c r="N1633" s="0">
        <v>0</v>
      </c>
      <c r="O1633" s="0">
        <v>0</v>
      </c>
      <c r="P1633" s="0">
        <v>-149</v>
      </c>
      <c r="R1633" s="0" t="b">
        <v>0</v>
      </c>
      <c r="S1633" s="0" t="b">
        <v>1</v>
      </c>
      <c r="T1633" s="68">
        <v>44713.6508217593</v>
      </c>
      <c r="U1633" s="68">
        <v>44748.3333333333</v>
      </c>
      <c r="V1633" s="68">
        <v>0</v>
      </c>
      <c r="W1633" s="0">
        <f>IF(IF(B1633="none",1,IF(B1633="Trialer",1,0))+IF(C1633="Customer",1,IF(C1633="Lost",1,0))=2,1,0)</f>
      </c>
      <c r="X1633" s="0" t="s">
        <v>136</v>
      </c>
      <c r="Y1633" s="0" t="s">
        <v>499</v>
      </c>
      <c r="AV1633" s="68"/>
      <c r="AW1633" s="68"/>
      <c r="AY1633" s="27"/>
      <c r="BD1633" s="68">
        <v>46054.1666666667</v>
      </c>
      <c r="BE1633" s="68">
        <v>46082.1666666667</v>
      </c>
      <c r="BF1633" s="0" t="b">
        <v>0</v>
      </c>
      <c r="BG1633" s="0" t="b">
        <v>0</v>
      </c>
      <c r="BH1633" s="0">
        <v>166</v>
      </c>
      <c r="BI1633" s="0">
        <v>166</v>
      </c>
      <c r="BJ1633" s="0" t="s">
        <v>230</v>
      </c>
    </row>
    <row r="1634">
      <c r="A1634" s="0" t="s">
        <v>1855</v>
      </c>
      <c r="B1634" s="0" t="s">
        <v>134</v>
      </c>
      <c r="C1634" s="0" t="s">
        <v>134</v>
      </c>
      <c r="D1634" s="0" t="s">
        <v>230</v>
      </c>
      <c r="E1634" s="0" t="s">
        <v>3</v>
      </c>
      <c r="F1634" s="0" t="s">
        <v>12</v>
      </c>
      <c r="G1634" s="0" t="s">
        <v>8</v>
      </c>
      <c r="H1634" s="0">
        <v>1335</v>
      </c>
      <c r="I1634" s="0">
        <v>298</v>
      </c>
      <c r="J1634" s="0">
        <v>0</v>
      </c>
      <c r="K1634" s="0">
        <v>1</v>
      </c>
      <c r="L1634" s="0">
        <v>3</v>
      </c>
      <c r="M1634" s="0">
        <v>8</v>
      </c>
      <c r="N1634" s="0">
        <v>0</v>
      </c>
      <c r="O1634" s="0">
        <v>0</v>
      </c>
      <c r="P1634" s="0">
        <v>-298</v>
      </c>
      <c r="R1634" s="0" t="b">
        <v>0</v>
      </c>
      <c r="S1634" s="0" t="b">
        <v>1</v>
      </c>
      <c r="T1634" s="68">
        <v>44718.7540972222</v>
      </c>
      <c r="U1634" s="68">
        <v>44748.3333333333</v>
      </c>
      <c r="V1634" s="68">
        <v>0</v>
      </c>
      <c r="W1634" s="0">
        <f>IF(IF(B1634="none",1,IF(B1634="Trialer",1,0))+IF(C1634="Customer",1,IF(C1634="Lost",1,0))=2,1,0)</f>
      </c>
      <c r="X1634" s="0" t="s">
        <v>136</v>
      </c>
      <c r="Y1634" s="0" t="s">
        <v>243</v>
      </c>
      <c r="AV1634" s="68"/>
      <c r="AW1634" s="68"/>
      <c r="AY1634" s="27"/>
      <c r="BD1634" s="68">
        <v>46054.1666666667</v>
      </c>
      <c r="BE1634" s="68">
        <v>46082.1666666667</v>
      </c>
      <c r="BF1634" s="0" t="b">
        <v>0</v>
      </c>
      <c r="BG1634" s="0" t="b">
        <v>0</v>
      </c>
      <c r="BH1634" s="0">
        <v>292</v>
      </c>
      <c r="BI1634" s="0">
        <v>332</v>
      </c>
      <c r="BJ1634" s="0" t="s">
        <v>230</v>
      </c>
    </row>
    <row r="1635">
      <c r="A1635" s="0" t="s">
        <v>1856</v>
      </c>
      <c r="B1635" s="0" t="s">
        <v>134</v>
      </c>
      <c r="C1635" s="0" t="s">
        <v>134</v>
      </c>
      <c r="D1635" s="0" t="s">
        <v>230</v>
      </c>
      <c r="E1635" s="0" t="s">
        <v>3</v>
      </c>
      <c r="F1635" s="0" t="s">
        <v>12</v>
      </c>
      <c r="G1635" s="0" t="s">
        <v>8</v>
      </c>
      <c r="H1635" s="0">
        <v>1333</v>
      </c>
      <c r="I1635" s="0">
        <v>108</v>
      </c>
      <c r="J1635" s="0">
        <v>0</v>
      </c>
      <c r="K1635" s="0">
        <v>1</v>
      </c>
      <c r="L1635" s="0">
        <v>4</v>
      </c>
      <c r="M1635" s="0">
        <v>2</v>
      </c>
      <c r="N1635" s="0">
        <v>0</v>
      </c>
      <c r="O1635" s="0">
        <v>0</v>
      </c>
      <c r="P1635" s="0">
        <v>-108</v>
      </c>
      <c r="R1635" s="0" t="b">
        <v>0</v>
      </c>
      <c r="S1635" s="0" t="b">
        <v>1</v>
      </c>
      <c r="T1635" s="68">
        <v>44720.5533912037</v>
      </c>
      <c r="U1635" s="68">
        <v>44767.3333333333</v>
      </c>
      <c r="V1635" s="68">
        <v>0</v>
      </c>
      <c r="W1635" s="0">
        <f>IF(IF(B1635="none",1,IF(B1635="Trialer",1,0))+IF(C1635="Customer",1,IF(C1635="Lost",1,0))=2,1,0)</f>
      </c>
      <c r="X1635" s="0" t="s">
        <v>153</v>
      </c>
      <c r="Y1635" s="0" t="s">
        <v>243</v>
      </c>
      <c r="AV1635" s="68"/>
      <c r="AW1635" s="68"/>
      <c r="AY1635" s="27"/>
      <c r="BD1635" s="68">
        <v>46054.1666666667</v>
      </c>
      <c r="BE1635" s="68">
        <v>46082.1666666667</v>
      </c>
      <c r="BF1635" s="0" t="b">
        <v>0</v>
      </c>
      <c r="BG1635" s="0" t="b">
        <v>0</v>
      </c>
      <c r="BH1635" s="0">
        <v>122</v>
      </c>
      <c r="BI1635" s="0">
        <v>122</v>
      </c>
      <c r="BJ1635" s="0" t="s">
        <v>230</v>
      </c>
    </row>
    <row r="1636">
      <c r="A1636" s="0" t="s">
        <v>1857</v>
      </c>
      <c r="B1636" s="0" t="s">
        <v>134</v>
      </c>
      <c r="C1636" s="0" t="s">
        <v>134</v>
      </c>
      <c r="D1636" s="0" t="s">
        <v>135</v>
      </c>
      <c r="E1636" s="0" t="s">
        <v>3</v>
      </c>
      <c r="F1636" s="0" t="s">
        <v>12</v>
      </c>
      <c r="G1636" s="0" t="s">
        <v>8</v>
      </c>
      <c r="H1636" s="0">
        <v>1333</v>
      </c>
      <c r="I1636" s="0">
        <v>122</v>
      </c>
      <c r="J1636" s="0">
        <v>0</v>
      </c>
      <c r="K1636" s="0">
        <v>1</v>
      </c>
      <c r="L1636" s="0">
        <v>4</v>
      </c>
      <c r="M1636" s="0">
        <v>2</v>
      </c>
      <c r="N1636" s="0">
        <v>0</v>
      </c>
      <c r="O1636" s="0">
        <v>0</v>
      </c>
      <c r="P1636" s="0">
        <v>0</v>
      </c>
      <c r="R1636" s="0" t="b">
        <v>0</v>
      </c>
      <c r="S1636" s="0" t="b">
        <v>1</v>
      </c>
      <c r="T1636" s="68">
        <v>44720.825</v>
      </c>
      <c r="U1636" s="68">
        <v>44750.3333333333</v>
      </c>
      <c r="V1636" s="68">
        <v>0</v>
      </c>
      <c r="W1636" s="0">
        <f>IF(IF(B1636="none",1,IF(B1636="Trialer",1,0))+IF(C1636="Customer",1,IF(C1636="Lost",1,0))=2,1,0)</f>
      </c>
      <c r="X1636" s="0" t="s">
        <v>166</v>
      </c>
      <c r="Y1636" s="0" t="s">
        <v>243</v>
      </c>
      <c r="AV1636" s="68"/>
      <c r="AW1636" s="68"/>
      <c r="AY1636" s="27"/>
      <c r="BD1636" s="68">
        <v>46054.1666666667</v>
      </c>
      <c r="BE1636" s="68">
        <v>46082.1666666667</v>
      </c>
      <c r="BF1636" s="0" t="b">
        <v>0</v>
      </c>
      <c r="BG1636" s="0" t="b">
        <v>0</v>
      </c>
      <c r="BH1636" s="0">
        <v>122</v>
      </c>
      <c r="BI1636" s="0">
        <v>122</v>
      </c>
      <c r="BJ1636" s="0" t="s">
        <v>135</v>
      </c>
    </row>
    <row r="1637">
      <c r="A1637" s="0" t="s">
        <v>1858</v>
      </c>
      <c r="B1637" s="0" t="s">
        <v>134</v>
      </c>
      <c r="C1637" s="0" t="s">
        <v>134</v>
      </c>
      <c r="D1637" s="0" t="s">
        <v>135</v>
      </c>
      <c r="E1637" s="0" t="s">
        <v>2</v>
      </c>
      <c r="F1637" s="0" t="s">
        <v>12</v>
      </c>
      <c r="G1637" s="0" t="s">
        <v>7</v>
      </c>
      <c r="H1637" s="0">
        <v>1332</v>
      </c>
      <c r="I1637" s="0">
        <v>40</v>
      </c>
      <c r="J1637" s="0">
        <v>0</v>
      </c>
      <c r="K1637" s="0">
        <v>1</v>
      </c>
      <c r="L1637" s="0">
        <v>1</v>
      </c>
      <c r="M1637" s="0">
        <v>1</v>
      </c>
      <c r="N1637" s="0">
        <v>0</v>
      </c>
      <c r="O1637" s="0">
        <v>0</v>
      </c>
      <c r="P1637" s="0">
        <v>0</v>
      </c>
      <c r="R1637" s="0" t="b">
        <v>0</v>
      </c>
      <c r="S1637" s="0" t="b">
        <v>1</v>
      </c>
      <c r="T1637" s="68">
        <v>44721.5</v>
      </c>
      <c r="U1637" s="68">
        <v>44721.3333333333</v>
      </c>
      <c r="V1637" s="68">
        <v>0</v>
      </c>
      <c r="W1637" s="0">
        <f>IF(IF(B1637="none",1,IF(B1637="Trialer",1,0))+IF(C1637="Customer",1,IF(C1637="Lost",1,0))=2,1,0)</f>
      </c>
      <c r="X1637" s="0" t="s">
        <v>145</v>
      </c>
      <c r="Y1637" s="0" t="s">
        <v>137</v>
      </c>
      <c r="AV1637" s="68"/>
      <c r="AW1637" s="68"/>
      <c r="AY1637" s="27"/>
      <c r="BD1637" s="68">
        <v>46054.1666666667</v>
      </c>
      <c r="BE1637" s="68">
        <v>46082.1666666667</v>
      </c>
      <c r="BF1637" s="0" t="b">
        <v>0</v>
      </c>
      <c r="BG1637" s="0" t="b">
        <v>0</v>
      </c>
      <c r="BH1637" s="0">
        <v>40</v>
      </c>
      <c r="BI1637" s="0">
        <v>40</v>
      </c>
      <c r="BJ1637" s="0" t="s">
        <v>135</v>
      </c>
    </row>
    <row r="1638">
      <c r="A1638" s="0" t="s">
        <v>1859</v>
      </c>
      <c r="B1638" s="0" t="s">
        <v>134</v>
      </c>
      <c r="C1638" s="0" t="s">
        <v>134</v>
      </c>
      <c r="D1638" s="0" t="s">
        <v>135</v>
      </c>
      <c r="E1638" s="0" t="s">
        <v>2</v>
      </c>
      <c r="F1638" s="0" t="s">
        <v>12</v>
      </c>
      <c r="G1638" s="0" t="s">
        <v>8</v>
      </c>
      <c r="H1638" s="0">
        <v>1332</v>
      </c>
      <c r="I1638" s="0">
        <v>844</v>
      </c>
      <c r="J1638" s="0">
        <v>0</v>
      </c>
      <c r="K1638" s="0">
        <v>1</v>
      </c>
      <c r="L1638" s="0">
        <v>3</v>
      </c>
      <c r="M1638" s="0">
        <v>19</v>
      </c>
      <c r="N1638" s="0">
        <v>0</v>
      </c>
      <c r="O1638" s="0">
        <v>0</v>
      </c>
      <c r="P1638" s="0">
        <v>0</v>
      </c>
      <c r="R1638" s="0" t="b">
        <v>0</v>
      </c>
      <c r="S1638" s="0" t="b">
        <v>1</v>
      </c>
      <c r="T1638" s="68">
        <v>44721.697025463</v>
      </c>
      <c r="U1638" s="68">
        <v>44755.3333333333</v>
      </c>
      <c r="V1638" s="68">
        <v>0</v>
      </c>
      <c r="W1638" s="0">
        <f>IF(IF(B1638="none",1,IF(B1638="Trialer",1,0))+IF(C1638="Customer",1,IF(C1638="Lost",1,0))=2,1,0)</f>
      </c>
      <c r="X1638" s="0" t="s">
        <v>136</v>
      </c>
      <c r="Y1638" s="0" t="s">
        <v>499</v>
      </c>
      <c r="AV1638" s="68"/>
      <c r="AW1638" s="68"/>
      <c r="AY1638" s="27"/>
      <c r="BD1638" s="68">
        <v>46054.1666666667</v>
      </c>
      <c r="BE1638" s="68">
        <v>46082.1666666667</v>
      </c>
      <c r="BF1638" s="0" t="b">
        <v>0</v>
      </c>
      <c r="BG1638" s="0" t="b">
        <v>0</v>
      </c>
      <c r="BH1638" s="0">
        <v>844</v>
      </c>
      <c r="BI1638" s="0">
        <v>844</v>
      </c>
      <c r="BJ1638" s="0" t="s">
        <v>135</v>
      </c>
    </row>
    <row r="1639">
      <c r="A1639" s="0" t="s">
        <v>1860</v>
      </c>
      <c r="B1639" s="0" t="s">
        <v>134</v>
      </c>
      <c r="C1639" s="0" t="s">
        <v>134</v>
      </c>
      <c r="D1639" s="0" t="s">
        <v>135</v>
      </c>
      <c r="E1639" s="0" t="s">
        <v>3</v>
      </c>
      <c r="F1639" s="0" t="s">
        <v>12</v>
      </c>
      <c r="G1639" s="0" t="s">
        <v>8</v>
      </c>
      <c r="H1639" s="0">
        <v>1329</v>
      </c>
      <c r="I1639" s="0">
        <v>508</v>
      </c>
      <c r="J1639" s="0">
        <v>0</v>
      </c>
      <c r="K1639" s="0">
        <v>1</v>
      </c>
      <c r="L1639" s="0">
        <v>5</v>
      </c>
      <c r="M1639" s="0">
        <v>13</v>
      </c>
      <c r="N1639" s="0">
        <v>0</v>
      </c>
      <c r="O1639" s="0">
        <v>0</v>
      </c>
      <c r="P1639" s="0">
        <v>0</v>
      </c>
      <c r="R1639" s="0" t="b">
        <v>0</v>
      </c>
      <c r="S1639" s="0" t="b">
        <v>1</v>
      </c>
      <c r="T1639" s="68">
        <v>44724.8248842593</v>
      </c>
      <c r="U1639" s="68">
        <v>44754.3333333333</v>
      </c>
      <c r="V1639" s="68">
        <v>0</v>
      </c>
      <c r="W1639" s="0">
        <f>IF(IF(B1639="none",1,IF(B1639="Trialer",1,0))+IF(C1639="Customer",1,IF(C1639="Lost",1,0))=2,1,0)</f>
      </c>
      <c r="X1639" s="0" t="s">
        <v>136</v>
      </c>
      <c r="Y1639" s="0" t="s">
        <v>243</v>
      </c>
      <c r="AV1639" s="68"/>
      <c r="AW1639" s="68"/>
      <c r="AY1639" s="27"/>
      <c r="BD1639" s="68">
        <v>46054.1666666667</v>
      </c>
      <c r="BE1639" s="68">
        <v>46082.1666666667</v>
      </c>
      <c r="BF1639" s="0" t="b">
        <v>0</v>
      </c>
      <c r="BG1639" s="0" t="b">
        <v>0</v>
      </c>
      <c r="BH1639" s="0">
        <v>508</v>
      </c>
      <c r="BI1639" s="0">
        <v>508</v>
      </c>
      <c r="BJ1639" s="0" t="s">
        <v>135</v>
      </c>
    </row>
    <row r="1640">
      <c r="A1640" s="0" t="s">
        <v>1861</v>
      </c>
      <c r="B1640" s="0" t="s">
        <v>134</v>
      </c>
      <c r="C1640" s="0" t="s">
        <v>134</v>
      </c>
      <c r="D1640" s="0" t="s">
        <v>135</v>
      </c>
      <c r="E1640" s="0" t="s">
        <v>3</v>
      </c>
      <c r="F1640" s="0" t="s">
        <v>12</v>
      </c>
      <c r="G1640" s="0" t="s">
        <v>8</v>
      </c>
      <c r="H1640" s="0">
        <v>1328</v>
      </c>
      <c r="I1640" s="0">
        <v>56</v>
      </c>
      <c r="J1640" s="0">
        <v>0</v>
      </c>
      <c r="K1640" s="0">
        <v>1</v>
      </c>
      <c r="L1640" s="0">
        <v>1</v>
      </c>
      <c r="M1640" s="0">
        <v>2</v>
      </c>
      <c r="N1640" s="0">
        <v>0</v>
      </c>
      <c r="O1640" s="0">
        <v>0</v>
      </c>
      <c r="P1640" s="0">
        <v>0</v>
      </c>
      <c r="R1640" s="0" t="b">
        <v>0</v>
      </c>
      <c r="S1640" s="0" t="b">
        <v>1</v>
      </c>
      <c r="T1640" s="68">
        <v>44725.4334606481</v>
      </c>
      <c r="U1640" s="68">
        <v>44755.3333333333</v>
      </c>
      <c r="V1640" s="68">
        <v>0</v>
      </c>
      <c r="W1640" s="0">
        <f>IF(IF(B1640="none",1,IF(B1640="Trialer",1,0))+IF(C1640="Customer",1,IF(C1640="Lost",1,0))=2,1,0)</f>
      </c>
      <c r="X1640" s="0" t="s">
        <v>153</v>
      </c>
      <c r="Y1640" s="0" t="s">
        <v>487</v>
      </c>
      <c r="AV1640" s="68"/>
      <c r="AW1640" s="68"/>
      <c r="AY1640" s="27"/>
      <c r="BD1640" s="68">
        <v>46054.1666666667</v>
      </c>
      <c r="BE1640" s="68">
        <v>46082.1666666667</v>
      </c>
      <c r="BF1640" s="0" t="b">
        <v>0</v>
      </c>
      <c r="BG1640" s="0" t="b">
        <v>0</v>
      </c>
      <c r="BH1640" s="0">
        <v>56</v>
      </c>
      <c r="BI1640" s="0">
        <v>56</v>
      </c>
      <c r="BJ1640" s="0" t="s">
        <v>135</v>
      </c>
    </row>
    <row r="1641">
      <c r="A1641" s="0" t="s">
        <v>1862</v>
      </c>
      <c r="B1641" s="0" t="s">
        <v>134</v>
      </c>
      <c r="C1641" s="0" t="s">
        <v>134</v>
      </c>
      <c r="D1641" s="0" t="s">
        <v>135</v>
      </c>
      <c r="E1641" s="0" t="s">
        <v>2</v>
      </c>
      <c r="F1641" s="0" t="s">
        <v>12</v>
      </c>
      <c r="G1641" s="0" t="s">
        <v>8</v>
      </c>
      <c r="H1641" s="0">
        <v>1328</v>
      </c>
      <c r="I1641" s="0">
        <v>264</v>
      </c>
      <c r="J1641" s="0">
        <v>0</v>
      </c>
      <c r="K1641" s="0">
        <v>1</v>
      </c>
      <c r="L1641" s="0">
        <v>3</v>
      </c>
      <c r="M1641" s="0">
        <v>6</v>
      </c>
      <c r="N1641" s="0">
        <v>0</v>
      </c>
      <c r="O1641" s="0">
        <v>0</v>
      </c>
      <c r="P1641" s="0">
        <v>0</v>
      </c>
      <c r="R1641" s="0" t="b">
        <v>0</v>
      </c>
      <c r="S1641" s="0" t="b">
        <v>1</v>
      </c>
      <c r="T1641" s="68">
        <v>44725.4657291667</v>
      </c>
      <c r="U1641" s="68">
        <v>44755.3333333333</v>
      </c>
      <c r="V1641" s="68">
        <v>0</v>
      </c>
      <c r="W1641" s="0">
        <f>IF(IF(B1641="none",1,IF(B1641="Trialer",1,0))+IF(C1641="Customer",1,IF(C1641="Lost",1,0))=2,1,0)</f>
      </c>
      <c r="X1641" s="0" t="s">
        <v>148</v>
      </c>
      <c r="Y1641" s="0" t="s">
        <v>499</v>
      </c>
      <c r="AV1641" s="68"/>
      <c r="AW1641" s="68"/>
      <c r="AY1641" s="27"/>
      <c r="BD1641" s="68">
        <v>46054.1666666667</v>
      </c>
      <c r="BE1641" s="68">
        <v>46082.1666666667</v>
      </c>
      <c r="BF1641" s="0" t="b">
        <v>0</v>
      </c>
      <c r="BG1641" s="0" t="b">
        <v>0</v>
      </c>
      <c r="BH1641" s="0">
        <v>264</v>
      </c>
      <c r="BI1641" s="0">
        <v>264</v>
      </c>
      <c r="BJ1641" s="0" t="s">
        <v>135</v>
      </c>
    </row>
    <row r="1642">
      <c r="A1642" s="0" t="s">
        <v>1863</v>
      </c>
      <c r="B1642" s="0" t="s">
        <v>134</v>
      </c>
      <c r="C1642" s="0" t="s">
        <v>134</v>
      </c>
      <c r="D1642" s="0" t="s">
        <v>135</v>
      </c>
      <c r="E1642" s="0" t="s">
        <v>3</v>
      </c>
      <c r="F1642" s="0" t="s">
        <v>12</v>
      </c>
      <c r="G1642" s="0" t="s">
        <v>8</v>
      </c>
      <c r="H1642" s="0">
        <v>1324</v>
      </c>
      <c r="I1642" s="0">
        <v>965</v>
      </c>
      <c r="J1642" s="0">
        <v>0</v>
      </c>
      <c r="K1642" s="0">
        <v>1</v>
      </c>
      <c r="L1642" s="0">
        <v>4</v>
      </c>
      <c r="M1642" s="0">
        <v>13</v>
      </c>
      <c r="N1642" s="0">
        <v>418.5</v>
      </c>
      <c r="O1642" s="0">
        <v>0</v>
      </c>
      <c r="P1642" s="0">
        <v>0</v>
      </c>
      <c r="R1642" s="0" t="b">
        <v>0</v>
      </c>
      <c r="S1642" s="0" t="b">
        <v>1</v>
      </c>
      <c r="T1642" s="68">
        <v>44729.646724537</v>
      </c>
      <c r="U1642" s="68">
        <v>44759.3333333333</v>
      </c>
      <c r="V1642" s="68">
        <v>0</v>
      </c>
      <c r="W1642" s="0">
        <f>IF(IF(B1642="none",1,IF(B1642="Trialer",1,0))+IF(C1642="Customer",1,IF(C1642="Lost",1,0))=2,1,0)</f>
      </c>
      <c r="X1642" s="0" t="s">
        <v>136</v>
      </c>
      <c r="Y1642" s="0" t="s">
        <v>243</v>
      </c>
      <c r="AV1642" s="68"/>
      <c r="AW1642" s="68"/>
      <c r="AY1642" s="27"/>
      <c r="BD1642" s="68">
        <v>46054.1666666667</v>
      </c>
      <c r="BE1642" s="68">
        <v>46082.1666666667</v>
      </c>
      <c r="BF1642" s="0" t="b">
        <v>0</v>
      </c>
      <c r="BG1642" s="0" t="b">
        <v>0</v>
      </c>
      <c r="BH1642" s="0">
        <v>652</v>
      </c>
      <c r="BI1642" s="0">
        <v>652</v>
      </c>
      <c r="BJ1642" s="0" t="s">
        <v>135</v>
      </c>
    </row>
    <row r="1643">
      <c r="A1643" s="0" t="s">
        <v>1864</v>
      </c>
      <c r="B1643" s="0" t="s">
        <v>134</v>
      </c>
      <c r="C1643" s="0" t="s">
        <v>134</v>
      </c>
      <c r="D1643" s="0" t="s">
        <v>230</v>
      </c>
      <c r="E1643" s="0" t="s">
        <v>2</v>
      </c>
      <c r="F1643" s="0" t="s">
        <v>12</v>
      </c>
      <c r="G1643" s="0" t="s">
        <v>8</v>
      </c>
      <c r="H1643" s="0">
        <v>1321</v>
      </c>
      <c r="I1643" s="0">
        <v>342</v>
      </c>
      <c r="J1643" s="0">
        <v>0</v>
      </c>
      <c r="K1643" s="0">
        <v>1</v>
      </c>
      <c r="L1643" s="0">
        <v>4</v>
      </c>
      <c r="M1643" s="0">
        <v>9</v>
      </c>
      <c r="N1643" s="0">
        <v>0</v>
      </c>
      <c r="O1643" s="0">
        <v>0</v>
      </c>
      <c r="P1643" s="0">
        <v>-342</v>
      </c>
      <c r="R1643" s="0" t="b">
        <v>0</v>
      </c>
      <c r="S1643" s="0" t="b">
        <v>1</v>
      </c>
      <c r="T1643" s="68">
        <v>44732.488912037</v>
      </c>
      <c r="U1643" s="68">
        <v>44762.3333333333</v>
      </c>
      <c r="V1643" s="68">
        <v>0</v>
      </c>
      <c r="W1643" s="0">
        <f>IF(IF(B1643="none",1,IF(B1643="Trialer",1,0))+IF(C1643="Customer",1,IF(C1643="Lost",1,0))=2,1,0)</f>
      </c>
      <c r="X1643" s="0" t="s">
        <v>136</v>
      </c>
      <c r="Y1643" s="0" t="s">
        <v>499</v>
      </c>
      <c r="AV1643" s="68"/>
      <c r="AW1643" s="68"/>
      <c r="AY1643" s="27"/>
      <c r="BD1643" s="68">
        <v>46054.1666666667</v>
      </c>
      <c r="BE1643" s="68">
        <v>46082.1666666667</v>
      </c>
      <c r="BF1643" s="0" t="b">
        <v>0</v>
      </c>
      <c r="BG1643" s="0" t="b">
        <v>0</v>
      </c>
      <c r="BH1643" s="0">
        <v>381</v>
      </c>
      <c r="BI1643" s="0">
        <v>381</v>
      </c>
      <c r="BJ1643" s="0" t="s">
        <v>230</v>
      </c>
    </row>
    <row r="1644">
      <c r="A1644" s="0" t="s">
        <v>1865</v>
      </c>
      <c r="B1644" s="0" t="s">
        <v>134</v>
      </c>
      <c r="C1644" s="0" t="s">
        <v>134</v>
      </c>
      <c r="D1644" s="0" t="s">
        <v>135</v>
      </c>
      <c r="E1644" s="0" t="s">
        <v>2</v>
      </c>
      <c r="F1644" s="0" t="s">
        <v>12</v>
      </c>
      <c r="G1644" s="0" t="s">
        <v>8</v>
      </c>
      <c r="H1644" s="0">
        <v>1321</v>
      </c>
      <c r="I1644" s="0">
        <v>28</v>
      </c>
      <c r="J1644" s="0">
        <v>0</v>
      </c>
      <c r="K1644" s="0">
        <v>1</v>
      </c>
      <c r="L1644" s="0">
        <v>1</v>
      </c>
      <c r="M1644" s="0">
        <v>1</v>
      </c>
      <c r="N1644" s="0">
        <v>0</v>
      </c>
      <c r="O1644" s="0">
        <v>0</v>
      </c>
      <c r="P1644" s="0">
        <v>0</v>
      </c>
      <c r="R1644" s="0" t="b">
        <v>0</v>
      </c>
      <c r="S1644" s="0" t="b">
        <v>1</v>
      </c>
      <c r="T1644" s="68">
        <v>44732.5083333333</v>
      </c>
      <c r="U1644" s="68">
        <v>44762.3333333333</v>
      </c>
      <c r="V1644" s="68">
        <v>0</v>
      </c>
      <c r="W1644" s="0">
        <f>IF(IF(B1644="none",1,IF(B1644="Trialer",1,0))+IF(C1644="Customer",1,IF(C1644="Lost",1,0))=2,1,0)</f>
      </c>
      <c r="X1644" s="0" t="s">
        <v>153</v>
      </c>
      <c r="Y1644" s="0" t="s">
        <v>499</v>
      </c>
      <c r="AV1644" s="68"/>
      <c r="AW1644" s="68"/>
      <c r="AY1644" s="27"/>
      <c r="BD1644" s="68">
        <v>46054.1666666667</v>
      </c>
      <c r="BE1644" s="68">
        <v>46082.1666666667</v>
      </c>
      <c r="BF1644" s="0" t="b">
        <v>0</v>
      </c>
      <c r="BG1644" s="0" t="b">
        <v>0</v>
      </c>
      <c r="BH1644" s="0">
        <v>28</v>
      </c>
      <c r="BI1644" s="0">
        <v>28</v>
      </c>
      <c r="BJ1644" s="0" t="s">
        <v>135</v>
      </c>
    </row>
    <row r="1645">
      <c r="A1645" s="0" t="s">
        <v>1866</v>
      </c>
      <c r="B1645" s="0" t="s">
        <v>134</v>
      </c>
      <c r="C1645" s="0" t="s">
        <v>134</v>
      </c>
      <c r="D1645" s="0" t="s">
        <v>135</v>
      </c>
      <c r="E1645" s="0" t="s">
        <v>3</v>
      </c>
      <c r="F1645" s="0" t="s">
        <v>12</v>
      </c>
      <c r="G1645" s="0" t="s">
        <v>8</v>
      </c>
      <c r="H1645" s="0">
        <v>1321</v>
      </c>
      <c r="I1645" s="0">
        <v>294</v>
      </c>
      <c r="J1645" s="0">
        <v>0</v>
      </c>
      <c r="K1645" s="0">
        <v>1</v>
      </c>
      <c r="L1645" s="0">
        <v>3</v>
      </c>
      <c r="M1645" s="0">
        <v>6</v>
      </c>
      <c r="N1645" s="0">
        <v>0</v>
      </c>
      <c r="O1645" s="0">
        <v>0</v>
      </c>
      <c r="P1645" s="0">
        <v>0</v>
      </c>
      <c r="R1645" s="0" t="b">
        <v>0</v>
      </c>
      <c r="S1645" s="0" t="b">
        <v>1</v>
      </c>
      <c r="T1645" s="68">
        <v>44732.6144212963</v>
      </c>
      <c r="U1645" s="68">
        <v>44762.3333333333</v>
      </c>
      <c r="V1645" s="68">
        <v>0</v>
      </c>
      <c r="W1645" s="0">
        <f>IF(IF(B1645="none",1,IF(B1645="Trialer",1,0))+IF(C1645="Customer",1,IF(C1645="Lost",1,0))=2,1,0)</f>
      </c>
      <c r="X1645" s="0" t="s">
        <v>145</v>
      </c>
      <c r="Y1645" s="0" t="s">
        <v>243</v>
      </c>
      <c r="AV1645" s="68"/>
      <c r="AW1645" s="68"/>
      <c r="AY1645" s="27"/>
      <c r="BD1645" s="68">
        <v>46054.1666666667</v>
      </c>
      <c r="BE1645" s="68">
        <v>46082.1666666667</v>
      </c>
      <c r="BF1645" s="0" t="b">
        <v>0</v>
      </c>
      <c r="BG1645" s="0" t="b">
        <v>0</v>
      </c>
      <c r="BH1645" s="0">
        <v>294</v>
      </c>
      <c r="BI1645" s="0">
        <v>294</v>
      </c>
      <c r="BJ1645" s="0" t="s">
        <v>135</v>
      </c>
    </row>
    <row r="1646">
      <c r="A1646" s="0" t="s">
        <v>1867</v>
      </c>
      <c r="B1646" s="0" t="s">
        <v>134</v>
      </c>
      <c r="C1646" s="0" t="s">
        <v>134</v>
      </c>
      <c r="D1646" s="0" t="s">
        <v>135</v>
      </c>
      <c r="E1646" s="0" t="s">
        <v>3</v>
      </c>
      <c r="F1646" s="0" t="s">
        <v>12</v>
      </c>
      <c r="G1646" s="0" t="s">
        <v>8</v>
      </c>
      <c r="H1646" s="0">
        <v>1321</v>
      </c>
      <c r="I1646" s="0">
        <v>98</v>
      </c>
      <c r="J1646" s="0">
        <v>0</v>
      </c>
      <c r="K1646" s="0">
        <v>1</v>
      </c>
      <c r="L1646" s="0">
        <v>3</v>
      </c>
      <c r="M1646" s="0">
        <v>2</v>
      </c>
      <c r="N1646" s="0">
        <v>0</v>
      </c>
      <c r="O1646" s="0">
        <v>0</v>
      </c>
      <c r="P1646" s="0">
        <v>0</v>
      </c>
      <c r="R1646" s="0" t="b">
        <v>0</v>
      </c>
      <c r="S1646" s="0" t="b">
        <v>1</v>
      </c>
      <c r="T1646" s="68">
        <v>44732.6521759259</v>
      </c>
      <c r="U1646" s="68">
        <v>44776.3333333333</v>
      </c>
      <c r="V1646" s="68">
        <v>0</v>
      </c>
      <c r="W1646" s="0">
        <f>IF(IF(B1646="none",1,IF(B1646="Trialer",1,0))+IF(C1646="Customer",1,IF(C1646="Lost",1,0))=2,1,0)</f>
      </c>
      <c r="X1646" s="0" t="s">
        <v>136</v>
      </c>
      <c r="Y1646" s="0" t="s">
        <v>243</v>
      </c>
      <c r="AV1646" s="68"/>
      <c r="AW1646" s="68"/>
      <c r="AY1646" s="27"/>
      <c r="BD1646" s="68">
        <v>46054.1666666667</v>
      </c>
      <c r="BE1646" s="68">
        <v>46082.1666666667</v>
      </c>
      <c r="BF1646" s="0" t="b">
        <v>0</v>
      </c>
      <c r="BG1646" s="0" t="b">
        <v>0</v>
      </c>
      <c r="BH1646" s="0">
        <v>147</v>
      </c>
      <c r="BI1646" s="0">
        <v>147</v>
      </c>
      <c r="BJ1646" s="0" t="s">
        <v>135</v>
      </c>
    </row>
    <row r="1647">
      <c r="A1647" s="0" t="s">
        <v>1868</v>
      </c>
      <c r="B1647" s="0" t="s">
        <v>134</v>
      </c>
      <c r="C1647" s="0" t="s">
        <v>134</v>
      </c>
      <c r="D1647" s="0" t="s">
        <v>135</v>
      </c>
      <c r="E1647" s="0" t="s">
        <v>3</v>
      </c>
      <c r="F1647" s="0" t="s">
        <v>12</v>
      </c>
      <c r="G1647" s="0" t="s">
        <v>8</v>
      </c>
      <c r="H1647" s="0">
        <v>1320</v>
      </c>
      <c r="I1647" s="0">
        <v>110</v>
      </c>
      <c r="J1647" s="0">
        <v>0</v>
      </c>
      <c r="K1647" s="0">
        <v>1</v>
      </c>
      <c r="L1647" s="0">
        <v>4</v>
      </c>
      <c r="M1647" s="0">
        <v>2</v>
      </c>
      <c r="N1647" s="0">
        <v>0</v>
      </c>
      <c r="O1647" s="0">
        <v>0</v>
      </c>
      <c r="P1647" s="0">
        <v>0</v>
      </c>
      <c r="R1647" s="0" t="b">
        <v>0</v>
      </c>
      <c r="S1647" s="0" t="b">
        <v>1</v>
      </c>
      <c r="T1647" s="68">
        <v>44733.6189930556</v>
      </c>
      <c r="U1647" s="68">
        <v>44763.3333333333</v>
      </c>
      <c r="V1647" s="68">
        <v>0</v>
      </c>
      <c r="W1647" s="0">
        <f>IF(IF(B1647="none",1,IF(B1647="Trialer",1,0))+IF(C1647="Customer",1,IF(C1647="Lost",1,0))=2,1,0)</f>
      </c>
      <c r="X1647" s="0" t="s">
        <v>153</v>
      </c>
      <c r="Y1647" s="0" t="s">
        <v>243</v>
      </c>
      <c r="AV1647" s="68"/>
      <c r="AW1647" s="68"/>
      <c r="AY1647" s="27"/>
      <c r="BD1647" s="68">
        <v>46054.1666666667</v>
      </c>
      <c r="BE1647" s="68">
        <v>46082.1666666667</v>
      </c>
      <c r="BF1647" s="0" t="b">
        <v>0</v>
      </c>
      <c r="BG1647" s="0" t="b">
        <v>0</v>
      </c>
      <c r="BH1647" s="0">
        <v>110</v>
      </c>
      <c r="BI1647" s="0">
        <v>110</v>
      </c>
      <c r="BJ1647" s="0" t="s">
        <v>135</v>
      </c>
    </row>
    <row r="1648">
      <c r="A1648" s="0" t="s">
        <v>1869</v>
      </c>
      <c r="B1648" s="0" t="s">
        <v>134</v>
      </c>
      <c r="C1648" s="0" t="s">
        <v>134</v>
      </c>
      <c r="D1648" s="0" t="s">
        <v>135</v>
      </c>
      <c r="E1648" s="0" t="s">
        <v>2</v>
      </c>
      <c r="F1648" s="0" t="s">
        <v>12</v>
      </c>
      <c r="G1648" s="0" t="s">
        <v>8</v>
      </c>
      <c r="H1648" s="0">
        <v>1320</v>
      </c>
      <c r="I1648" s="0">
        <v>73</v>
      </c>
      <c r="J1648" s="0">
        <v>0</v>
      </c>
      <c r="K1648" s="0">
        <v>1</v>
      </c>
      <c r="L1648" s="0">
        <v>5</v>
      </c>
      <c r="M1648" s="0">
        <v>1</v>
      </c>
      <c r="N1648" s="0">
        <v>0</v>
      </c>
      <c r="O1648" s="0">
        <v>0</v>
      </c>
      <c r="P1648" s="0">
        <v>0</v>
      </c>
      <c r="R1648" s="0" t="b">
        <v>0</v>
      </c>
      <c r="S1648" s="0" t="b">
        <v>1</v>
      </c>
      <c r="T1648" s="68">
        <v>44733.8281712963</v>
      </c>
      <c r="U1648" s="68">
        <v>44763.3333333333</v>
      </c>
      <c r="V1648" s="68">
        <v>0</v>
      </c>
      <c r="W1648" s="0">
        <f>IF(IF(B1648="none",1,IF(B1648="Trialer",1,0))+IF(C1648="Customer",1,IF(C1648="Lost",1,0))=2,1,0)</f>
      </c>
      <c r="X1648" s="0" t="s">
        <v>166</v>
      </c>
      <c r="Y1648" s="0" t="s">
        <v>499</v>
      </c>
      <c r="AV1648" s="68"/>
      <c r="AW1648" s="68"/>
      <c r="AY1648" s="27"/>
      <c r="BD1648" s="68">
        <v>46054.1666666667</v>
      </c>
      <c r="BE1648" s="68">
        <v>46082.1666666667</v>
      </c>
      <c r="BF1648" s="0" t="b">
        <v>0</v>
      </c>
      <c r="BG1648" s="0" t="b">
        <v>0</v>
      </c>
      <c r="BH1648" s="0">
        <v>73</v>
      </c>
      <c r="BI1648" s="0">
        <v>73</v>
      </c>
      <c r="BJ1648" s="0" t="s">
        <v>135</v>
      </c>
    </row>
    <row r="1649">
      <c r="A1649" s="0" t="s">
        <v>1870</v>
      </c>
      <c r="B1649" s="0" t="s">
        <v>134</v>
      </c>
      <c r="C1649" s="0" t="s">
        <v>134</v>
      </c>
      <c r="D1649" s="0" t="s">
        <v>230</v>
      </c>
      <c r="E1649" s="0" t="s">
        <v>2</v>
      </c>
      <c r="F1649" s="0" t="s">
        <v>10</v>
      </c>
      <c r="G1649" s="0" t="s">
        <v>8</v>
      </c>
      <c r="H1649" s="0">
        <v>1317</v>
      </c>
      <c r="I1649" s="0">
        <v>36</v>
      </c>
      <c r="J1649" s="0">
        <v>0</v>
      </c>
      <c r="K1649" s="0">
        <v>1</v>
      </c>
      <c r="L1649" s="0">
        <v>2</v>
      </c>
      <c r="M1649" s="0">
        <v>1</v>
      </c>
      <c r="N1649" s="0">
        <v>0</v>
      </c>
      <c r="O1649" s="0">
        <v>0</v>
      </c>
      <c r="P1649" s="0">
        <v>-36</v>
      </c>
      <c r="Q1649" s="0" t="s">
        <v>498</v>
      </c>
      <c r="R1649" s="0" t="b">
        <v>0</v>
      </c>
      <c r="S1649" s="0" t="b">
        <v>1</v>
      </c>
      <c r="T1649" s="68">
        <v>44736.5516782407</v>
      </c>
      <c r="U1649" s="68">
        <v>44768.3333333333</v>
      </c>
      <c r="V1649" s="68">
        <v>0</v>
      </c>
      <c r="W1649" s="0">
        <f>IF(IF(B1649="none",1,IF(B1649="Trialer",1,0))+IF(C1649="Customer",1,IF(C1649="Lost",1,0))=2,1,0)</f>
      </c>
      <c r="X1649" s="0" t="s">
        <v>136</v>
      </c>
      <c r="Y1649" s="0" t="s">
        <v>499</v>
      </c>
      <c r="AV1649" s="68"/>
      <c r="AW1649" s="68"/>
      <c r="AY1649" s="27"/>
      <c r="BD1649" s="68">
        <v>46054.1666666667</v>
      </c>
      <c r="BE1649" s="68">
        <v>46082.1666666667</v>
      </c>
      <c r="BF1649" s="0" t="b">
        <v>0</v>
      </c>
      <c r="BG1649" s="0" t="b">
        <v>0</v>
      </c>
      <c r="BH1649" s="0">
        <v>40</v>
      </c>
      <c r="BI1649" s="0">
        <v>40</v>
      </c>
      <c r="BJ1649" s="0" t="s">
        <v>230</v>
      </c>
    </row>
    <row r="1650">
      <c r="A1650" s="0" t="s">
        <v>1871</v>
      </c>
      <c r="B1650" s="0" t="s">
        <v>134</v>
      </c>
      <c r="C1650" s="0" t="s">
        <v>134</v>
      </c>
      <c r="D1650" s="0" t="s">
        <v>135</v>
      </c>
      <c r="E1650" s="0" t="s">
        <v>2</v>
      </c>
      <c r="F1650" s="0" t="s">
        <v>12</v>
      </c>
      <c r="G1650" s="0" t="s">
        <v>8</v>
      </c>
      <c r="H1650" s="0">
        <v>1315</v>
      </c>
      <c r="I1650" s="0">
        <v>49</v>
      </c>
      <c r="J1650" s="0">
        <v>0</v>
      </c>
      <c r="K1650" s="0">
        <v>1</v>
      </c>
      <c r="L1650" s="0">
        <v>3</v>
      </c>
      <c r="M1650" s="0">
        <v>1</v>
      </c>
      <c r="N1650" s="0">
        <v>0</v>
      </c>
      <c r="O1650" s="0">
        <v>0</v>
      </c>
      <c r="P1650" s="0">
        <v>0</v>
      </c>
      <c r="R1650" s="0" t="b">
        <v>0</v>
      </c>
      <c r="S1650" s="0" t="b">
        <v>1</v>
      </c>
      <c r="T1650" s="68">
        <v>44738.8076388889</v>
      </c>
      <c r="U1650" s="68">
        <v>44768.3333333333</v>
      </c>
      <c r="V1650" s="68">
        <v>0</v>
      </c>
      <c r="W1650" s="0">
        <f>IF(IF(B1650="none",1,IF(B1650="Trialer",1,0))+IF(C1650="Customer",1,IF(C1650="Lost",1,0))=2,1,0)</f>
      </c>
      <c r="X1650" s="0" t="s">
        <v>148</v>
      </c>
      <c r="Y1650" s="0" t="s">
        <v>499</v>
      </c>
      <c r="AV1650" s="68"/>
      <c r="AW1650" s="68"/>
      <c r="AY1650" s="27"/>
      <c r="BD1650" s="68">
        <v>46054.1666666667</v>
      </c>
      <c r="BE1650" s="68">
        <v>46082.1666666667</v>
      </c>
      <c r="BF1650" s="0" t="b">
        <v>0</v>
      </c>
      <c r="BG1650" s="0" t="b">
        <v>0</v>
      </c>
      <c r="BH1650" s="0">
        <v>49</v>
      </c>
      <c r="BI1650" s="0">
        <v>49</v>
      </c>
      <c r="BJ1650" s="0" t="s">
        <v>135</v>
      </c>
    </row>
    <row r="1651">
      <c r="A1651" s="0" t="s">
        <v>1872</v>
      </c>
      <c r="B1651" s="0" t="s">
        <v>134</v>
      </c>
      <c r="C1651" s="0" t="s">
        <v>134</v>
      </c>
      <c r="D1651" s="0" t="s">
        <v>135</v>
      </c>
      <c r="E1651" s="0" t="s">
        <v>3</v>
      </c>
      <c r="F1651" s="0" t="s">
        <v>12</v>
      </c>
      <c r="G1651" s="0" t="s">
        <v>8</v>
      </c>
      <c r="H1651" s="0">
        <v>1314</v>
      </c>
      <c r="I1651" s="0">
        <v>419</v>
      </c>
      <c r="J1651" s="0">
        <v>0</v>
      </c>
      <c r="K1651" s="0">
        <v>1</v>
      </c>
      <c r="L1651" s="0">
        <v>4</v>
      </c>
      <c r="M1651" s="0">
        <v>8</v>
      </c>
      <c r="N1651" s="0">
        <v>0</v>
      </c>
      <c r="O1651" s="0">
        <v>0</v>
      </c>
      <c r="P1651" s="0">
        <v>0</v>
      </c>
      <c r="R1651" s="0" t="b">
        <v>0</v>
      </c>
      <c r="S1651" s="0" t="b">
        <v>1</v>
      </c>
      <c r="T1651" s="68">
        <v>44739.6423148148</v>
      </c>
      <c r="U1651" s="68">
        <v>44774.3333333333</v>
      </c>
      <c r="V1651" s="68">
        <v>0</v>
      </c>
      <c r="W1651" s="0">
        <f>IF(IF(B1651="none",1,IF(B1651="Trialer",1,0))+IF(C1651="Customer",1,IF(C1651="Lost",1,0))=2,1,0)</f>
      </c>
      <c r="X1651" s="0" t="s">
        <v>145</v>
      </c>
      <c r="Y1651" s="0" t="s">
        <v>243</v>
      </c>
      <c r="AV1651" s="68"/>
      <c r="AW1651" s="68"/>
      <c r="AY1651" s="27"/>
      <c r="BD1651" s="68">
        <v>46054.1666666667</v>
      </c>
      <c r="BE1651" s="68">
        <v>46082.1666666667</v>
      </c>
      <c r="BF1651" s="0" t="b">
        <v>0</v>
      </c>
      <c r="BG1651" s="0" t="b">
        <v>0</v>
      </c>
      <c r="BH1651" s="0">
        <v>419</v>
      </c>
      <c r="BI1651" s="0">
        <v>419</v>
      </c>
      <c r="BJ1651" s="0" t="s">
        <v>135</v>
      </c>
    </row>
    <row r="1652">
      <c r="A1652" s="0" t="s">
        <v>1873</v>
      </c>
      <c r="B1652" s="0" t="s">
        <v>134</v>
      </c>
      <c r="C1652" s="0" t="s">
        <v>134</v>
      </c>
      <c r="D1652" s="0" t="s">
        <v>135</v>
      </c>
      <c r="E1652" s="0" t="s">
        <v>3</v>
      </c>
      <c r="F1652" s="0" t="s">
        <v>12</v>
      </c>
      <c r="G1652" s="0" t="s">
        <v>8</v>
      </c>
      <c r="H1652" s="0">
        <v>1311</v>
      </c>
      <c r="I1652" s="0">
        <v>294</v>
      </c>
      <c r="J1652" s="0">
        <v>0</v>
      </c>
      <c r="K1652" s="0">
        <v>1</v>
      </c>
      <c r="L1652" s="0">
        <v>3</v>
      </c>
      <c r="M1652" s="0">
        <v>6</v>
      </c>
      <c r="N1652" s="0">
        <v>0</v>
      </c>
      <c r="O1652" s="0">
        <v>0</v>
      </c>
      <c r="P1652" s="0">
        <v>0</v>
      </c>
      <c r="R1652" s="0" t="b">
        <v>0</v>
      </c>
      <c r="S1652" s="0" t="b">
        <v>1</v>
      </c>
      <c r="T1652" s="68">
        <v>44742.635625</v>
      </c>
      <c r="U1652" s="68">
        <v>44797.3333333333</v>
      </c>
      <c r="V1652" s="68">
        <v>0</v>
      </c>
      <c r="W1652" s="0">
        <f>IF(IF(B1652="none",1,IF(B1652="Trialer",1,0))+IF(C1652="Customer",1,IF(C1652="Lost",1,0))=2,1,0)</f>
      </c>
      <c r="X1652" s="0" t="s">
        <v>148</v>
      </c>
      <c r="Y1652" s="0" t="s">
        <v>243</v>
      </c>
      <c r="AV1652" s="68"/>
      <c r="AW1652" s="68"/>
      <c r="AY1652" s="27"/>
      <c r="BD1652" s="68">
        <v>46054.1666666667</v>
      </c>
      <c r="BE1652" s="68">
        <v>46082.1666666667</v>
      </c>
      <c r="BF1652" s="0" t="b">
        <v>0</v>
      </c>
      <c r="BG1652" s="0" t="b">
        <v>0</v>
      </c>
      <c r="BH1652" s="0">
        <v>294</v>
      </c>
      <c r="BI1652" s="0">
        <v>294</v>
      </c>
      <c r="BJ1652" s="0" t="s">
        <v>135</v>
      </c>
    </row>
    <row r="1653">
      <c r="A1653" s="0" t="s">
        <v>1874</v>
      </c>
      <c r="B1653" s="0" t="s">
        <v>134</v>
      </c>
      <c r="C1653" s="0" t="s">
        <v>134</v>
      </c>
      <c r="D1653" s="0" t="s">
        <v>230</v>
      </c>
      <c r="E1653" s="0" t="s">
        <v>3</v>
      </c>
      <c r="F1653" s="0" t="s">
        <v>12</v>
      </c>
      <c r="G1653" s="0" t="s">
        <v>8</v>
      </c>
      <c r="H1653" s="0">
        <v>1310</v>
      </c>
      <c r="I1653" s="0">
        <v>54</v>
      </c>
      <c r="J1653" s="0">
        <v>0</v>
      </c>
      <c r="K1653" s="0">
        <v>1</v>
      </c>
      <c r="L1653" s="0">
        <v>4</v>
      </c>
      <c r="M1653" s="0">
        <v>1</v>
      </c>
      <c r="N1653" s="0">
        <v>0</v>
      </c>
      <c r="O1653" s="0">
        <v>0</v>
      </c>
      <c r="P1653" s="0">
        <v>-54</v>
      </c>
      <c r="R1653" s="0" t="b">
        <v>0</v>
      </c>
      <c r="S1653" s="0" t="b">
        <v>1</v>
      </c>
      <c r="T1653" s="68">
        <v>44743.3926736111</v>
      </c>
      <c r="U1653" s="68">
        <v>44774.3333333333</v>
      </c>
      <c r="V1653" s="68">
        <v>0</v>
      </c>
      <c r="W1653" s="0">
        <f>IF(IF(B1653="none",1,IF(B1653="Trialer",1,0))+IF(C1653="Customer",1,IF(C1653="Lost",1,0))=2,1,0)</f>
      </c>
      <c r="X1653" s="0" t="s">
        <v>142</v>
      </c>
      <c r="Y1653" s="0" t="s">
        <v>243</v>
      </c>
      <c r="AV1653" s="68"/>
      <c r="AW1653" s="68"/>
      <c r="AY1653" s="27"/>
      <c r="BD1653" s="68">
        <v>46054.1666666667</v>
      </c>
      <c r="BE1653" s="68">
        <v>46082.1666666667</v>
      </c>
      <c r="BF1653" s="0" t="b">
        <v>0</v>
      </c>
      <c r="BG1653" s="0" t="b">
        <v>0</v>
      </c>
      <c r="BH1653" s="0">
        <v>61</v>
      </c>
      <c r="BI1653" s="0">
        <v>61</v>
      </c>
      <c r="BJ1653" s="0" t="s">
        <v>230</v>
      </c>
    </row>
    <row r="1654">
      <c r="A1654" s="0" t="s">
        <v>1875</v>
      </c>
      <c r="B1654" s="0" t="s">
        <v>134</v>
      </c>
      <c r="C1654" s="0" t="s">
        <v>134</v>
      </c>
      <c r="D1654" s="0" t="s">
        <v>135</v>
      </c>
      <c r="E1654" s="0" t="s">
        <v>2</v>
      </c>
      <c r="F1654" s="0" t="s">
        <v>12</v>
      </c>
      <c r="G1654" s="0" t="s">
        <v>8</v>
      </c>
      <c r="H1654" s="0">
        <v>1306</v>
      </c>
      <c r="I1654" s="0">
        <v>804</v>
      </c>
      <c r="J1654" s="0">
        <v>0</v>
      </c>
      <c r="K1654" s="0">
        <v>1</v>
      </c>
      <c r="L1654" s="0">
        <v>5</v>
      </c>
      <c r="M1654" s="0">
        <v>18</v>
      </c>
      <c r="N1654" s="0">
        <v>0</v>
      </c>
      <c r="O1654" s="0">
        <v>0</v>
      </c>
      <c r="P1654" s="0">
        <v>0</v>
      </c>
      <c r="R1654" s="0" t="b">
        <v>0</v>
      </c>
      <c r="S1654" s="0" t="b">
        <v>1</v>
      </c>
      <c r="T1654" s="68">
        <v>44747.3854166667</v>
      </c>
      <c r="U1654" s="68">
        <v>44762.5</v>
      </c>
      <c r="V1654" s="68">
        <v>0</v>
      </c>
      <c r="W1654" s="0">
        <f>IF(IF(B1654="none",1,IF(B1654="Trialer",1,0))+IF(C1654="Customer",1,IF(C1654="Lost",1,0))=2,1,0)</f>
      </c>
      <c r="X1654" s="0" t="s">
        <v>148</v>
      </c>
      <c r="Y1654" s="0" t="s">
        <v>499</v>
      </c>
      <c r="AV1654" s="68"/>
      <c r="AW1654" s="68"/>
      <c r="AY1654" s="27"/>
      <c r="BD1654" s="68">
        <v>46054.1666666667</v>
      </c>
      <c r="BE1654" s="68">
        <v>46082.1666666667</v>
      </c>
      <c r="BF1654" s="0" t="b">
        <v>0</v>
      </c>
      <c r="BG1654" s="0" t="b">
        <v>0</v>
      </c>
      <c r="BH1654" s="0">
        <v>804</v>
      </c>
      <c r="BI1654" s="0">
        <v>804</v>
      </c>
      <c r="BJ1654" s="0" t="s">
        <v>135</v>
      </c>
    </row>
    <row r="1655">
      <c r="A1655" s="0" t="s">
        <v>1876</v>
      </c>
      <c r="B1655" s="0" t="s">
        <v>134</v>
      </c>
      <c r="C1655" s="0" t="s">
        <v>134</v>
      </c>
      <c r="D1655" s="0" t="s">
        <v>135</v>
      </c>
      <c r="E1655" s="0" t="s">
        <v>2</v>
      </c>
      <c r="F1655" s="0" t="s">
        <v>12</v>
      </c>
      <c r="G1655" s="0" t="s">
        <v>8</v>
      </c>
      <c r="H1655" s="0">
        <v>1305</v>
      </c>
      <c r="I1655" s="0">
        <v>220</v>
      </c>
      <c r="J1655" s="0">
        <v>0</v>
      </c>
      <c r="K1655" s="0">
        <v>1</v>
      </c>
      <c r="L1655" s="0">
        <v>2</v>
      </c>
      <c r="M1655" s="0">
        <v>7</v>
      </c>
      <c r="N1655" s="0">
        <v>0</v>
      </c>
      <c r="O1655" s="0">
        <v>0</v>
      </c>
      <c r="P1655" s="0">
        <v>0</v>
      </c>
      <c r="R1655" s="0" t="b">
        <v>0</v>
      </c>
      <c r="S1655" s="0" t="b">
        <v>1</v>
      </c>
      <c r="T1655" s="68">
        <v>44748.443125</v>
      </c>
      <c r="U1655" s="68">
        <v>44779.3333333333</v>
      </c>
      <c r="V1655" s="68">
        <v>0</v>
      </c>
      <c r="W1655" s="0">
        <f>IF(IF(B1655="none",1,IF(B1655="Trialer",1,0))+IF(C1655="Customer",1,IF(C1655="Lost",1,0))=2,1,0)</f>
      </c>
      <c r="X1655" s="0" t="s">
        <v>145</v>
      </c>
      <c r="Y1655" s="0" t="s">
        <v>499</v>
      </c>
      <c r="AV1655" s="68"/>
      <c r="AW1655" s="68"/>
      <c r="AY1655" s="27"/>
      <c r="BD1655" s="68">
        <v>46054.1666666667</v>
      </c>
      <c r="BE1655" s="68">
        <v>46082.1666666667</v>
      </c>
      <c r="BF1655" s="0" t="b">
        <v>0</v>
      </c>
      <c r="BG1655" s="0" t="b">
        <v>0</v>
      </c>
      <c r="BH1655" s="0">
        <v>220</v>
      </c>
      <c r="BI1655" s="0">
        <v>220</v>
      </c>
      <c r="BJ1655" s="0" t="s">
        <v>135</v>
      </c>
    </row>
    <row r="1656">
      <c r="A1656" s="0" t="s">
        <v>1877</v>
      </c>
      <c r="B1656" s="0" t="s">
        <v>134</v>
      </c>
      <c r="C1656" s="0" t="s">
        <v>134</v>
      </c>
      <c r="D1656" s="0" t="s">
        <v>135</v>
      </c>
      <c r="E1656" s="0" t="s">
        <v>2</v>
      </c>
      <c r="F1656" s="0" t="s">
        <v>12</v>
      </c>
      <c r="G1656" s="0" t="s">
        <v>8</v>
      </c>
      <c r="H1656" s="0">
        <v>1305</v>
      </c>
      <c r="I1656" s="0">
        <v>881</v>
      </c>
      <c r="J1656" s="0">
        <v>0</v>
      </c>
      <c r="K1656" s="0">
        <v>1</v>
      </c>
      <c r="L1656" s="0">
        <v>4</v>
      </c>
      <c r="M1656" s="0">
        <v>17</v>
      </c>
      <c r="N1656" s="0">
        <v>0</v>
      </c>
      <c r="O1656" s="0">
        <v>0</v>
      </c>
      <c r="P1656" s="0">
        <v>0</v>
      </c>
      <c r="R1656" s="0" t="b">
        <v>0</v>
      </c>
      <c r="S1656" s="0" t="b">
        <v>1</v>
      </c>
      <c r="T1656" s="68">
        <v>44748.4546180556</v>
      </c>
      <c r="U1656" s="68">
        <v>44779.3333333333</v>
      </c>
      <c r="V1656" s="68">
        <v>0</v>
      </c>
      <c r="W1656" s="0">
        <f>IF(IF(B1656="none",1,IF(B1656="Trialer",1,0))+IF(C1656="Customer",1,IF(C1656="Lost",1,0))=2,1,0)</f>
      </c>
      <c r="X1656" s="0" t="s">
        <v>145</v>
      </c>
      <c r="Y1656" s="0" t="s">
        <v>499</v>
      </c>
      <c r="AV1656" s="68"/>
      <c r="AW1656" s="68"/>
      <c r="AY1656" s="27"/>
      <c r="BD1656" s="68">
        <v>46054.1666666667</v>
      </c>
      <c r="BE1656" s="68">
        <v>46082.1666666667</v>
      </c>
      <c r="BF1656" s="0" t="b">
        <v>0</v>
      </c>
      <c r="BG1656" s="0" t="b">
        <v>0</v>
      </c>
      <c r="BH1656" s="0">
        <v>881</v>
      </c>
      <c r="BI1656" s="0">
        <v>881</v>
      </c>
      <c r="BJ1656" s="0" t="s">
        <v>135</v>
      </c>
    </row>
    <row r="1657">
      <c r="A1657" s="0" t="s">
        <v>1878</v>
      </c>
      <c r="B1657" s="0" t="s">
        <v>134</v>
      </c>
      <c r="C1657" s="0" t="s">
        <v>134</v>
      </c>
      <c r="D1657" s="0" t="s">
        <v>135</v>
      </c>
      <c r="E1657" s="0" t="s">
        <v>3</v>
      </c>
      <c r="F1657" s="0" t="s">
        <v>12</v>
      </c>
      <c r="G1657" s="0" t="s">
        <v>8</v>
      </c>
      <c r="H1657" s="0">
        <v>1305</v>
      </c>
      <c r="I1657" s="0">
        <v>166.82</v>
      </c>
      <c r="J1657" s="0">
        <v>0</v>
      </c>
      <c r="K1657" s="0">
        <v>1</v>
      </c>
      <c r="L1657" s="0">
        <v>3</v>
      </c>
      <c r="M1657" s="0">
        <v>4</v>
      </c>
      <c r="N1657" s="0">
        <v>0</v>
      </c>
      <c r="O1657" s="0">
        <v>0</v>
      </c>
      <c r="P1657" s="0">
        <v>0</v>
      </c>
      <c r="R1657" s="0" t="b">
        <v>0</v>
      </c>
      <c r="S1657" s="0" t="b">
        <v>1</v>
      </c>
      <c r="T1657" s="68">
        <v>44748.6805092593</v>
      </c>
      <c r="U1657" s="68">
        <v>44786.3333333333</v>
      </c>
      <c r="V1657" s="68">
        <v>0</v>
      </c>
      <c r="W1657" s="0">
        <f>IF(IF(B1657="none",1,IF(B1657="Trialer",1,0))+IF(C1657="Customer",1,IF(C1657="Lost",1,0))=2,1,0)</f>
      </c>
      <c r="X1657" s="0" t="s">
        <v>136</v>
      </c>
      <c r="Y1657" s="0" t="s">
        <v>243</v>
      </c>
      <c r="AV1657" s="68"/>
      <c r="AW1657" s="68"/>
      <c r="AY1657" s="27"/>
      <c r="BD1657" s="68">
        <v>46054.1666666667</v>
      </c>
      <c r="BE1657" s="68">
        <v>46082.1666666667</v>
      </c>
      <c r="BF1657" s="0" t="b">
        <v>0</v>
      </c>
      <c r="BG1657" s="0" t="b">
        <v>0</v>
      </c>
      <c r="BH1657" s="0">
        <v>160</v>
      </c>
      <c r="BI1657" s="0">
        <v>160</v>
      </c>
      <c r="BJ1657" s="0" t="s">
        <v>135</v>
      </c>
    </row>
    <row r="1658">
      <c r="A1658" s="0" t="s">
        <v>1879</v>
      </c>
      <c r="B1658" s="0" t="s">
        <v>134</v>
      </c>
      <c r="C1658" s="0" t="s">
        <v>134</v>
      </c>
      <c r="D1658" s="0" t="s">
        <v>135</v>
      </c>
      <c r="E1658" s="0" t="s">
        <v>3</v>
      </c>
      <c r="F1658" s="0" t="s">
        <v>10</v>
      </c>
      <c r="G1658" s="0" t="s">
        <v>8</v>
      </c>
      <c r="H1658" s="0">
        <v>1304</v>
      </c>
      <c r="I1658" s="0">
        <v>448</v>
      </c>
      <c r="J1658" s="0">
        <v>0</v>
      </c>
      <c r="K1658" s="0">
        <v>1</v>
      </c>
      <c r="L1658" s="0">
        <v>1</v>
      </c>
      <c r="M1658" s="0">
        <v>16</v>
      </c>
      <c r="N1658" s="0">
        <v>0</v>
      </c>
      <c r="O1658" s="0">
        <v>0</v>
      </c>
      <c r="P1658" s="0">
        <v>0</v>
      </c>
      <c r="Q1658" s="0" t="s">
        <v>618</v>
      </c>
      <c r="R1658" s="0" t="b">
        <v>0</v>
      </c>
      <c r="S1658" s="0" t="b">
        <v>1</v>
      </c>
      <c r="T1658" s="68">
        <v>44749.2210532407</v>
      </c>
      <c r="U1658" s="68">
        <v>44780.3333333333</v>
      </c>
      <c r="V1658" s="68">
        <v>0</v>
      </c>
      <c r="W1658" s="0">
        <f>IF(IF(B1658="none",1,IF(B1658="Trialer",1,0))+IF(C1658="Customer",1,IF(C1658="Lost",1,0))=2,1,0)</f>
      </c>
      <c r="X1658" s="0" t="s">
        <v>148</v>
      </c>
      <c r="Y1658" s="0" t="s">
        <v>243</v>
      </c>
      <c r="AV1658" s="68"/>
      <c r="AW1658" s="68"/>
      <c r="AY1658" s="27"/>
      <c r="BD1658" s="68">
        <v>46054.1666666667</v>
      </c>
      <c r="BE1658" s="68">
        <v>46082.1666666667</v>
      </c>
      <c r="BF1658" s="0" t="b">
        <v>0</v>
      </c>
      <c r="BG1658" s="0" t="b">
        <v>0</v>
      </c>
      <c r="BH1658" s="0">
        <v>476</v>
      </c>
      <c r="BI1658" s="0">
        <v>476</v>
      </c>
      <c r="BJ1658" s="0" t="s">
        <v>135</v>
      </c>
    </row>
    <row r="1659">
      <c r="A1659" s="0" t="s">
        <v>1880</v>
      </c>
      <c r="B1659" s="0" t="s">
        <v>134</v>
      </c>
      <c r="C1659" s="0" t="s">
        <v>134</v>
      </c>
      <c r="D1659" s="0" t="s">
        <v>230</v>
      </c>
      <c r="E1659" s="0" t="s">
        <v>2</v>
      </c>
      <c r="F1659" s="0" t="s">
        <v>10</v>
      </c>
      <c r="G1659" s="0" t="s">
        <v>8</v>
      </c>
      <c r="H1659" s="0">
        <v>1304</v>
      </c>
      <c r="I1659" s="0">
        <v>384</v>
      </c>
      <c r="J1659" s="0">
        <v>0</v>
      </c>
      <c r="K1659" s="0">
        <v>1</v>
      </c>
      <c r="L1659" s="0">
        <v>4</v>
      </c>
      <c r="M1659" s="0">
        <v>8</v>
      </c>
      <c r="N1659" s="0">
        <v>0</v>
      </c>
      <c r="O1659" s="0">
        <v>0</v>
      </c>
      <c r="P1659" s="0">
        <v>-384</v>
      </c>
      <c r="Q1659" s="0" t="s">
        <v>1881</v>
      </c>
      <c r="R1659" s="0" t="b">
        <v>0</v>
      </c>
      <c r="S1659" s="0" t="b">
        <v>1</v>
      </c>
      <c r="T1659" s="68">
        <v>44749.9105671296</v>
      </c>
      <c r="U1659" s="68">
        <v>44780.3333333333</v>
      </c>
      <c r="V1659" s="68">
        <v>0</v>
      </c>
      <c r="W1659" s="0">
        <f>IF(IF(B1659="none",1,IF(B1659="Trialer",1,0))+IF(C1659="Customer",1,IF(C1659="Lost",1,0))=2,1,0)</f>
      </c>
      <c r="X1659" s="0" t="s">
        <v>148</v>
      </c>
      <c r="Y1659" s="0" t="s">
        <v>1587</v>
      </c>
      <c r="AV1659" s="68"/>
      <c r="AW1659" s="68"/>
      <c r="AY1659" s="27"/>
      <c r="BD1659" s="68">
        <v>46054.1666666667</v>
      </c>
      <c r="BE1659" s="68">
        <v>46082.1666666667</v>
      </c>
      <c r="BF1659" s="0" t="b">
        <v>0</v>
      </c>
      <c r="BG1659" s="0" t="b">
        <v>0</v>
      </c>
      <c r="BH1659" s="0">
        <v>431</v>
      </c>
      <c r="BI1659" s="0">
        <v>431</v>
      </c>
      <c r="BJ1659" s="0" t="s">
        <v>230</v>
      </c>
    </row>
    <row r="1660">
      <c r="A1660" s="0" t="s">
        <v>1882</v>
      </c>
      <c r="B1660" s="0" t="s">
        <v>134</v>
      </c>
      <c r="C1660" s="0" t="s">
        <v>134</v>
      </c>
      <c r="D1660" s="0" t="s">
        <v>230</v>
      </c>
      <c r="E1660" s="0" t="s">
        <v>3</v>
      </c>
      <c r="F1660" s="0" t="s">
        <v>12</v>
      </c>
      <c r="G1660" s="0" t="s">
        <v>8</v>
      </c>
      <c r="H1660" s="0">
        <v>1303</v>
      </c>
      <c r="I1660" s="0">
        <v>308</v>
      </c>
      <c r="J1660" s="0">
        <v>0</v>
      </c>
      <c r="K1660" s="0">
        <v>1</v>
      </c>
      <c r="L1660" s="0">
        <v>3</v>
      </c>
      <c r="M1660" s="0">
        <v>7</v>
      </c>
      <c r="N1660" s="0">
        <v>0</v>
      </c>
      <c r="O1660" s="0">
        <v>0</v>
      </c>
      <c r="P1660" s="0">
        <v>-308</v>
      </c>
      <c r="R1660" s="0" t="b">
        <v>0</v>
      </c>
      <c r="S1660" s="0" t="b">
        <v>1</v>
      </c>
      <c r="T1660" s="68">
        <v>44750.796099537</v>
      </c>
      <c r="U1660" s="68">
        <v>44781.3333333333</v>
      </c>
      <c r="V1660" s="68">
        <v>0</v>
      </c>
      <c r="W1660" s="0">
        <f>IF(IF(B1660="none",1,IF(B1660="Trialer",1,0))+IF(C1660="Customer",1,IF(C1660="Lost",1,0))=2,1,0)</f>
      </c>
      <c r="X1660" s="0" t="s">
        <v>148</v>
      </c>
      <c r="Y1660" s="0" t="s">
        <v>243</v>
      </c>
      <c r="AV1660" s="68"/>
      <c r="AW1660" s="68"/>
      <c r="AY1660" s="27"/>
      <c r="BD1660" s="68">
        <v>46054.1666666667</v>
      </c>
      <c r="BE1660" s="68">
        <v>46082.1666666667</v>
      </c>
      <c r="BF1660" s="0" t="b">
        <v>0</v>
      </c>
      <c r="BG1660" s="0" t="b">
        <v>0</v>
      </c>
      <c r="BH1660" s="0">
        <v>343</v>
      </c>
      <c r="BI1660" s="0">
        <v>343</v>
      </c>
      <c r="BJ1660" s="0" t="s">
        <v>230</v>
      </c>
    </row>
    <row r="1661">
      <c r="A1661" s="0" t="s">
        <v>1883</v>
      </c>
      <c r="B1661" s="0" t="s">
        <v>134</v>
      </c>
      <c r="C1661" s="0" t="s">
        <v>134</v>
      </c>
      <c r="D1661" s="0" t="s">
        <v>135</v>
      </c>
      <c r="E1661" s="0" t="s">
        <v>3</v>
      </c>
      <c r="F1661" s="0" t="s">
        <v>12</v>
      </c>
      <c r="G1661" s="0" t="s">
        <v>8</v>
      </c>
      <c r="H1661" s="0">
        <v>1299</v>
      </c>
      <c r="I1661" s="0">
        <v>0</v>
      </c>
      <c r="J1661" s="0">
        <v>0</v>
      </c>
      <c r="K1661" s="0">
        <v>1</v>
      </c>
      <c r="L1661" s="0">
        <v>6</v>
      </c>
      <c r="M1661" s="0">
        <v>1</v>
      </c>
      <c r="N1661" s="0">
        <v>0</v>
      </c>
      <c r="O1661" s="0">
        <v>0</v>
      </c>
      <c r="P1661" s="0">
        <v>0</v>
      </c>
      <c r="R1661" s="0" t="b">
        <v>0</v>
      </c>
      <c r="S1661" s="0" t="b">
        <v>1</v>
      </c>
      <c r="T1661" s="68">
        <v>44754.6090277778</v>
      </c>
      <c r="U1661" s="68">
        <v>44785.5</v>
      </c>
      <c r="V1661" s="68">
        <v>0</v>
      </c>
      <c r="W1661" s="0">
        <f>IF(IF(B1661="none",1,IF(B1661="Trialer",1,0))+IF(C1661="Customer",1,IF(C1661="Lost",1,0))=2,1,0)</f>
      </c>
      <c r="X1661" s="0" t="s">
        <v>148</v>
      </c>
      <c r="Y1661" s="0" t="s">
        <v>243</v>
      </c>
      <c r="AV1661" s="68"/>
      <c r="AW1661" s="68"/>
      <c r="AY1661" s="27"/>
      <c r="BD1661" s="68">
        <v>46054.1666666667</v>
      </c>
      <c r="BE1661" s="68">
        <v>46082.1666666667</v>
      </c>
      <c r="BF1661" s="0" t="b">
        <v>0</v>
      </c>
      <c r="BG1661" s="0" t="b">
        <v>0</v>
      </c>
      <c r="BH1661" s="0">
        <v>0</v>
      </c>
      <c r="BI1661" s="0">
        <v>0</v>
      </c>
      <c r="BJ1661" s="0" t="s">
        <v>135</v>
      </c>
    </row>
    <row r="1662">
      <c r="A1662" s="0" t="s">
        <v>1884</v>
      </c>
      <c r="B1662" s="0" t="s">
        <v>134</v>
      </c>
      <c r="C1662" s="0" t="s">
        <v>134</v>
      </c>
      <c r="D1662" s="0" t="s">
        <v>135</v>
      </c>
      <c r="E1662" s="0" t="s">
        <v>3</v>
      </c>
      <c r="F1662" s="0" t="s">
        <v>10</v>
      </c>
      <c r="G1662" s="0" t="s">
        <v>8</v>
      </c>
      <c r="H1662" s="0">
        <v>1298</v>
      </c>
      <c r="I1662" s="0">
        <v>1870</v>
      </c>
      <c r="J1662" s="0">
        <v>0</v>
      </c>
      <c r="K1662" s="0">
        <v>1</v>
      </c>
      <c r="L1662" s="0">
        <v>4</v>
      </c>
      <c r="M1662" s="0">
        <v>37</v>
      </c>
      <c r="N1662" s="0">
        <v>0</v>
      </c>
      <c r="O1662" s="0">
        <v>0</v>
      </c>
      <c r="P1662" s="0">
        <v>0</v>
      </c>
      <c r="Q1662" s="0" t="s">
        <v>217</v>
      </c>
      <c r="R1662" s="0" t="b">
        <v>0</v>
      </c>
      <c r="S1662" s="0" t="b">
        <v>1</v>
      </c>
      <c r="T1662" s="68">
        <v>44755.4791666667</v>
      </c>
      <c r="U1662" s="68">
        <v>44786.3333333333</v>
      </c>
      <c r="V1662" s="68">
        <v>0</v>
      </c>
      <c r="W1662" s="0">
        <f>IF(IF(B1662="none",1,IF(B1662="Trialer",1,0))+IF(C1662="Customer",1,IF(C1662="Lost",1,0))=2,1,0)</f>
      </c>
      <c r="X1662" s="0" t="s">
        <v>136</v>
      </c>
      <c r="Y1662" s="0" t="s">
        <v>243</v>
      </c>
      <c r="AV1662" s="68"/>
      <c r="AW1662" s="68"/>
      <c r="AY1662" s="27"/>
      <c r="BD1662" s="68">
        <v>46054.1666666667</v>
      </c>
      <c r="BE1662" s="68">
        <v>46082.1666666667</v>
      </c>
      <c r="BF1662" s="0" t="b">
        <v>0</v>
      </c>
      <c r="BG1662" s="0" t="b">
        <v>0</v>
      </c>
      <c r="BH1662" s="0">
        <v>1870</v>
      </c>
      <c r="BI1662" s="0">
        <v>1870</v>
      </c>
      <c r="BJ1662" s="0" t="s">
        <v>230</v>
      </c>
    </row>
    <row r="1663">
      <c r="A1663" s="0" t="s">
        <v>1885</v>
      </c>
      <c r="B1663" s="0" t="s">
        <v>134</v>
      </c>
      <c r="C1663" s="0" t="s">
        <v>134</v>
      </c>
      <c r="D1663" s="0" t="s">
        <v>135</v>
      </c>
      <c r="E1663" s="0" t="s">
        <v>3</v>
      </c>
      <c r="F1663" s="0" t="s">
        <v>12</v>
      </c>
      <c r="G1663" s="0" t="s">
        <v>8</v>
      </c>
      <c r="H1663" s="0">
        <v>1298</v>
      </c>
      <c r="I1663" s="0">
        <v>271.57</v>
      </c>
      <c r="J1663" s="0">
        <v>0</v>
      </c>
      <c r="K1663" s="0">
        <v>1</v>
      </c>
      <c r="L1663" s="0">
        <v>4</v>
      </c>
      <c r="M1663" s="0">
        <v>7</v>
      </c>
      <c r="N1663" s="0">
        <v>0</v>
      </c>
      <c r="O1663" s="0">
        <v>0</v>
      </c>
      <c r="P1663" s="0">
        <v>0</v>
      </c>
      <c r="R1663" s="0" t="b">
        <v>0</v>
      </c>
      <c r="S1663" s="0" t="b">
        <v>1</v>
      </c>
      <c r="T1663" s="68">
        <v>44755.524525463</v>
      </c>
      <c r="U1663" s="68">
        <v>44786.3333333333</v>
      </c>
      <c r="V1663" s="68">
        <v>0</v>
      </c>
      <c r="W1663" s="0">
        <f>IF(IF(B1663="none",1,IF(B1663="Trialer",1,0))+IF(C1663="Customer",1,IF(C1663="Lost",1,0))=2,1,0)</f>
      </c>
      <c r="X1663" s="0" t="s">
        <v>148</v>
      </c>
      <c r="Y1663" s="0" t="s">
        <v>243</v>
      </c>
      <c r="AV1663" s="68"/>
      <c r="AW1663" s="68"/>
      <c r="AY1663" s="27"/>
      <c r="BD1663" s="68">
        <v>46054.1666666667</v>
      </c>
      <c r="BE1663" s="68">
        <v>46082.1666666667</v>
      </c>
      <c r="BF1663" s="0" t="b">
        <v>0</v>
      </c>
      <c r="BG1663" s="0" t="b">
        <v>0</v>
      </c>
      <c r="BH1663" s="0">
        <v>265.07</v>
      </c>
      <c r="BI1663" s="0">
        <v>265</v>
      </c>
      <c r="BJ1663" s="0" t="s">
        <v>135</v>
      </c>
    </row>
    <row r="1664">
      <c r="A1664" s="0" t="s">
        <v>1886</v>
      </c>
      <c r="B1664" s="0" t="s">
        <v>134</v>
      </c>
      <c r="C1664" s="0" t="s">
        <v>134</v>
      </c>
      <c r="D1664" s="0" t="s">
        <v>135</v>
      </c>
      <c r="E1664" s="0" t="s">
        <v>3</v>
      </c>
      <c r="F1664" s="0" t="s">
        <v>12</v>
      </c>
      <c r="G1664" s="0" t="s">
        <v>8</v>
      </c>
      <c r="H1664" s="0">
        <v>1298</v>
      </c>
      <c r="I1664" s="0">
        <v>147</v>
      </c>
      <c r="J1664" s="0">
        <v>0</v>
      </c>
      <c r="K1664" s="0">
        <v>1</v>
      </c>
      <c r="L1664" s="0">
        <v>3</v>
      </c>
      <c r="M1664" s="0">
        <v>3</v>
      </c>
      <c r="N1664" s="0">
        <v>0</v>
      </c>
      <c r="O1664" s="0">
        <v>0</v>
      </c>
      <c r="P1664" s="0">
        <v>0</v>
      </c>
      <c r="R1664" s="0" t="b">
        <v>0</v>
      </c>
      <c r="S1664" s="0" t="b">
        <v>1</v>
      </c>
      <c r="T1664" s="68">
        <v>44755.7815625</v>
      </c>
      <c r="U1664" s="68">
        <v>44798.3333333333</v>
      </c>
      <c r="V1664" s="68">
        <v>0</v>
      </c>
      <c r="W1664" s="0">
        <f>IF(IF(B1664="none",1,IF(B1664="Trialer",1,0))+IF(C1664="Customer",1,IF(C1664="Lost",1,0))=2,1,0)</f>
      </c>
      <c r="X1664" s="0" t="s">
        <v>166</v>
      </c>
      <c r="Y1664" s="0" t="s">
        <v>243</v>
      </c>
      <c r="AV1664" s="68"/>
      <c r="AW1664" s="68"/>
      <c r="AY1664" s="27"/>
      <c r="BD1664" s="68">
        <v>46054.1666666667</v>
      </c>
      <c r="BE1664" s="68">
        <v>46082.1666666667</v>
      </c>
      <c r="BF1664" s="0" t="b">
        <v>0</v>
      </c>
      <c r="BG1664" s="0" t="b">
        <v>0</v>
      </c>
      <c r="BH1664" s="0">
        <v>147</v>
      </c>
      <c r="BI1664" s="0">
        <v>147</v>
      </c>
      <c r="BJ1664" s="0" t="s">
        <v>135</v>
      </c>
    </row>
    <row r="1665">
      <c r="A1665" s="0" t="s">
        <v>1887</v>
      </c>
      <c r="B1665" s="0" t="s">
        <v>134</v>
      </c>
      <c r="C1665" s="0" t="s">
        <v>134</v>
      </c>
      <c r="D1665" s="0" t="s">
        <v>230</v>
      </c>
      <c r="E1665" s="0" t="s">
        <v>2</v>
      </c>
      <c r="F1665" s="0" t="s">
        <v>12</v>
      </c>
      <c r="G1665" s="0" t="s">
        <v>8</v>
      </c>
      <c r="H1665" s="0">
        <v>1297</v>
      </c>
      <c r="I1665" s="0">
        <v>540</v>
      </c>
      <c r="J1665" s="0">
        <v>0</v>
      </c>
      <c r="K1665" s="0">
        <v>1</v>
      </c>
      <c r="L1665" s="0">
        <v>3</v>
      </c>
      <c r="M1665" s="0">
        <v>13</v>
      </c>
      <c r="N1665" s="0">
        <v>0</v>
      </c>
      <c r="O1665" s="0">
        <v>0</v>
      </c>
      <c r="P1665" s="0">
        <v>-540</v>
      </c>
      <c r="R1665" s="0" t="b">
        <v>0</v>
      </c>
      <c r="S1665" s="0" t="b">
        <v>1</v>
      </c>
      <c r="T1665" s="68">
        <v>44756.856412037</v>
      </c>
      <c r="U1665" s="68">
        <v>44818.3333333333</v>
      </c>
      <c r="V1665" s="68">
        <v>0</v>
      </c>
      <c r="W1665" s="0">
        <f>IF(IF(B1665="none",1,IF(B1665="Trialer",1,0))+IF(C1665="Customer",1,IF(C1665="Lost",1,0))=2,1,0)</f>
      </c>
      <c r="X1665" s="0" t="s">
        <v>145</v>
      </c>
      <c r="Y1665" s="0" t="s">
        <v>499</v>
      </c>
      <c r="AV1665" s="68"/>
      <c r="AW1665" s="68"/>
      <c r="AY1665" s="27"/>
      <c r="BD1665" s="68">
        <v>46054.1666666667</v>
      </c>
      <c r="BE1665" s="68">
        <v>46082.1666666667</v>
      </c>
      <c r="BF1665" s="0" t="b">
        <v>0</v>
      </c>
      <c r="BG1665" s="0" t="b">
        <v>0</v>
      </c>
      <c r="BH1665" s="0">
        <v>601</v>
      </c>
      <c r="BI1665" s="0">
        <v>601</v>
      </c>
      <c r="BJ1665" s="0" t="s">
        <v>230</v>
      </c>
    </row>
    <row r="1666">
      <c r="A1666" s="0" t="s">
        <v>1888</v>
      </c>
      <c r="B1666" s="0" t="s">
        <v>134</v>
      </c>
      <c r="C1666" s="0" t="s">
        <v>134</v>
      </c>
      <c r="D1666" s="0" t="s">
        <v>135</v>
      </c>
      <c r="E1666" s="0" t="s">
        <v>3</v>
      </c>
      <c r="F1666" s="0" t="s">
        <v>12</v>
      </c>
      <c r="G1666" s="0" t="s">
        <v>8</v>
      </c>
      <c r="H1666" s="0">
        <v>1296</v>
      </c>
      <c r="I1666" s="0">
        <v>0</v>
      </c>
      <c r="J1666" s="0">
        <v>0</v>
      </c>
      <c r="K1666" s="0">
        <v>1</v>
      </c>
      <c r="L1666" s="0">
        <v>5</v>
      </c>
      <c r="M1666" s="0">
        <v>1</v>
      </c>
      <c r="N1666" s="0">
        <v>0</v>
      </c>
      <c r="O1666" s="0">
        <v>0</v>
      </c>
      <c r="P1666" s="0">
        <v>0</v>
      </c>
      <c r="R1666" s="0" t="b">
        <v>0</v>
      </c>
      <c r="S1666" s="0" t="b">
        <v>1</v>
      </c>
      <c r="T1666" s="68">
        <v>44757.5875</v>
      </c>
      <c r="U1666" s="68">
        <v>44788.5</v>
      </c>
      <c r="V1666" s="68">
        <v>0</v>
      </c>
      <c r="W1666" s="0">
        <f>IF(IF(B1666="none",1,IF(B1666="Trialer",1,0))+IF(C1666="Customer",1,IF(C1666="Lost",1,0))=2,1,0)</f>
      </c>
      <c r="X1666" s="0" t="s">
        <v>136</v>
      </c>
      <c r="Y1666" s="0" t="s">
        <v>243</v>
      </c>
      <c r="AV1666" s="68"/>
      <c r="AW1666" s="68"/>
      <c r="AY1666" s="27"/>
      <c r="BD1666" s="68">
        <v>46054.1666666667</v>
      </c>
      <c r="BE1666" s="68">
        <v>46082.1666666667</v>
      </c>
      <c r="BF1666" s="0" t="b">
        <v>0</v>
      </c>
      <c r="BG1666" s="0" t="b">
        <v>0</v>
      </c>
      <c r="BH1666" s="0">
        <v>0</v>
      </c>
      <c r="BI1666" s="0">
        <v>0</v>
      </c>
      <c r="BJ1666" s="0" t="s">
        <v>135</v>
      </c>
    </row>
    <row r="1667">
      <c r="A1667" s="0" t="s">
        <v>1889</v>
      </c>
      <c r="B1667" s="0" t="s">
        <v>134</v>
      </c>
      <c r="C1667" s="0" t="s">
        <v>134</v>
      </c>
      <c r="D1667" s="0" t="s">
        <v>135</v>
      </c>
      <c r="E1667" s="0" t="s">
        <v>3</v>
      </c>
      <c r="F1667" s="0" t="s">
        <v>10</v>
      </c>
      <c r="G1667" s="0" t="s">
        <v>8</v>
      </c>
      <c r="H1667" s="0">
        <v>1295</v>
      </c>
      <c r="I1667" s="0">
        <v>236</v>
      </c>
      <c r="J1667" s="0">
        <v>0</v>
      </c>
      <c r="K1667" s="0">
        <v>1</v>
      </c>
      <c r="L1667" s="0">
        <v>3</v>
      </c>
      <c r="M1667" s="0">
        <v>5</v>
      </c>
      <c r="N1667" s="0">
        <v>0</v>
      </c>
      <c r="O1667" s="0">
        <v>0</v>
      </c>
      <c r="P1667" s="0">
        <v>0</v>
      </c>
      <c r="Q1667" s="0" t="s">
        <v>357</v>
      </c>
      <c r="R1667" s="0" t="b">
        <v>0</v>
      </c>
      <c r="S1667" s="0" t="b">
        <v>1</v>
      </c>
      <c r="T1667" s="68">
        <v>44758.6249884259</v>
      </c>
      <c r="U1667" s="68">
        <v>44796.3333333333</v>
      </c>
      <c r="V1667" s="68">
        <v>0</v>
      </c>
      <c r="W1667" s="0">
        <f>IF(IF(B1667="none",1,IF(B1667="Trialer",1,0))+IF(C1667="Customer",1,IF(C1667="Lost",1,0))=2,1,0)</f>
      </c>
      <c r="X1667" s="0" t="s">
        <v>148</v>
      </c>
      <c r="Y1667" s="0" t="s">
        <v>243</v>
      </c>
      <c r="AV1667" s="68"/>
      <c r="AW1667" s="68"/>
      <c r="AY1667" s="27"/>
      <c r="BD1667" s="68">
        <v>46054.1666666667</v>
      </c>
      <c r="BE1667" s="68">
        <v>46082.1666666667</v>
      </c>
      <c r="BF1667" s="0" t="b">
        <v>0</v>
      </c>
      <c r="BG1667" s="0" t="b">
        <v>0</v>
      </c>
      <c r="BH1667" s="0">
        <v>236</v>
      </c>
      <c r="BI1667" s="0">
        <v>236</v>
      </c>
      <c r="BJ1667" s="0" t="s">
        <v>135</v>
      </c>
    </row>
    <row r="1668">
      <c r="A1668" s="0" t="s">
        <v>1890</v>
      </c>
      <c r="B1668" s="0" t="s">
        <v>134</v>
      </c>
      <c r="C1668" s="0" t="s">
        <v>134</v>
      </c>
      <c r="D1668" s="0" t="s">
        <v>135</v>
      </c>
      <c r="E1668" s="0" t="s">
        <v>2</v>
      </c>
      <c r="F1668" s="0" t="s">
        <v>12</v>
      </c>
      <c r="G1668" s="0" t="s">
        <v>8</v>
      </c>
      <c r="H1668" s="0">
        <v>1295</v>
      </c>
      <c r="I1668" s="0">
        <v>129</v>
      </c>
      <c r="J1668" s="0">
        <v>0</v>
      </c>
      <c r="K1668" s="0">
        <v>1</v>
      </c>
      <c r="L1668" s="0">
        <v>3</v>
      </c>
      <c r="M1668" s="0">
        <v>3</v>
      </c>
      <c r="N1668" s="0">
        <v>0</v>
      </c>
      <c r="O1668" s="0">
        <v>0</v>
      </c>
      <c r="P1668" s="0">
        <v>0</v>
      </c>
      <c r="R1668" s="0" t="b">
        <v>0</v>
      </c>
      <c r="S1668" s="0" t="b">
        <v>1</v>
      </c>
      <c r="T1668" s="68">
        <v>44758.7883333333</v>
      </c>
      <c r="U1668" s="68">
        <v>44789.3333333333</v>
      </c>
      <c r="V1668" s="68">
        <v>0</v>
      </c>
      <c r="W1668" s="0">
        <f>IF(IF(B1668="none",1,IF(B1668="Trialer",1,0))+IF(C1668="Customer",1,IF(C1668="Lost",1,0))=2,1,0)</f>
      </c>
      <c r="X1668" s="0" t="s">
        <v>142</v>
      </c>
      <c r="Y1668" s="0" t="s">
        <v>499</v>
      </c>
      <c r="AV1668" s="68"/>
      <c r="AW1668" s="68"/>
      <c r="AY1668" s="27"/>
      <c r="BD1668" s="68">
        <v>46054.1666666667</v>
      </c>
      <c r="BE1668" s="68">
        <v>46082.1666666667</v>
      </c>
      <c r="BF1668" s="0" t="b">
        <v>0</v>
      </c>
      <c r="BG1668" s="0" t="b">
        <v>0</v>
      </c>
      <c r="BH1668" s="0">
        <v>129</v>
      </c>
      <c r="BI1668" s="0">
        <v>129</v>
      </c>
      <c r="BJ1668" s="0" t="s">
        <v>135</v>
      </c>
    </row>
    <row r="1669">
      <c r="A1669" s="0" t="s">
        <v>1891</v>
      </c>
      <c r="B1669" s="0" t="s">
        <v>134</v>
      </c>
      <c r="C1669" s="0" t="s">
        <v>134</v>
      </c>
      <c r="D1669" s="0" t="s">
        <v>135</v>
      </c>
      <c r="E1669" s="0" t="s">
        <v>3</v>
      </c>
      <c r="F1669" s="0" t="s">
        <v>10</v>
      </c>
      <c r="G1669" s="0" t="s">
        <v>8</v>
      </c>
      <c r="H1669" s="0">
        <v>1294</v>
      </c>
      <c r="I1669" s="0">
        <v>28</v>
      </c>
      <c r="J1669" s="0">
        <v>0</v>
      </c>
      <c r="K1669" s="0">
        <v>1</v>
      </c>
      <c r="L1669" s="0">
        <v>1</v>
      </c>
      <c r="M1669" s="0">
        <v>1</v>
      </c>
      <c r="N1669" s="0">
        <v>0</v>
      </c>
      <c r="O1669" s="0">
        <v>0</v>
      </c>
      <c r="P1669" s="0">
        <v>0</v>
      </c>
      <c r="Q1669" s="0" t="s">
        <v>618</v>
      </c>
      <c r="R1669" s="0" t="b">
        <v>0</v>
      </c>
      <c r="S1669" s="0" t="b">
        <v>1</v>
      </c>
      <c r="T1669" s="68">
        <v>44759.2650231481</v>
      </c>
      <c r="U1669" s="68">
        <v>44790.3333333333</v>
      </c>
      <c r="V1669" s="68">
        <v>0</v>
      </c>
      <c r="W1669" s="0">
        <f>IF(IF(B1669="none",1,IF(B1669="Trialer",1,0))+IF(C1669="Customer",1,IF(C1669="Lost",1,0))=2,1,0)</f>
      </c>
      <c r="X1669" s="0" t="s">
        <v>148</v>
      </c>
      <c r="Y1669" s="0" t="s">
        <v>243</v>
      </c>
      <c r="AV1669" s="68"/>
      <c r="AW1669" s="68"/>
      <c r="AY1669" s="27"/>
      <c r="BD1669" s="68">
        <v>46054.1666666667</v>
      </c>
      <c r="BE1669" s="68">
        <v>46082.1666666667</v>
      </c>
      <c r="BF1669" s="0" t="b">
        <v>0</v>
      </c>
      <c r="BG1669" s="0" t="b">
        <v>0</v>
      </c>
      <c r="BH1669" s="0">
        <v>28</v>
      </c>
      <c r="BI1669" s="0">
        <v>28</v>
      </c>
      <c r="BJ1669" s="0" t="s">
        <v>135</v>
      </c>
    </row>
    <row r="1670">
      <c r="A1670" s="0" t="s">
        <v>1892</v>
      </c>
      <c r="B1670" s="0" t="s">
        <v>134</v>
      </c>
      <c r="C1670" s="0" t="s">
        <v>134</v>
      </c>
      <c r="D1670" s="0" t="s">
        <v>230</v>
      </c>
      <c r="E1670" s="0" t="s">
        <v>3</v>
      </c>
      <c r="F1670" s="0" t="s">
        <v>12</v>
      </c>
      <c r="G1670" s="0" t="s">
        <v>8</v>
      </c>
      <c r="H1670" s="0">
        <v>1293</v>
      </c>
      <c r="I1670" s="0">
        <v>180</v>
      </c>
      <c r="J1670" s="0">
        <v>0</v>
      </c>
      <c r="K1670" s="0">
        <v>1</v>
      </c>
      <c r="L1670" s="0">
        <v>2</v>
      </c>
      <c r="M1670" s="0">
        <v>5</v>
      </c>
      <c r="N1670" s="0">
        <v>0</v>
      </c>
      <c r="O1670" s="0">
        <v>0</v>
      </c>
      <c r="P1670" s="0">
        <v>-180</v>
      </c>
      <c r="R1670" s="0" t="b">
        <v>0</v>
      </c>
      <c r="S1670" s="0" t="b">
        <v>1</v>
      </c>
      <c r="T1670" s="68">
        <v>44760.9546412037</v>
      </c>
      <c r="U1670" s="68">
        <v>44791.3333333333</v>
      </c>
      <c r="V1670" s="68">
        <v>0</v>
      </c>
      <c r="W1670" s="0">
        <f>IF(IF(B1670="none",1,IF(B1670="Trialer",1,0))+IF(C1670="Customer",1,IF(C1670="Lost",1,0))=2,1,0)</f>
      </c>
      <c r="X1670" s="0" t="s">
        <v>153</v>
      </c>
      <c r="Y1670" s="0" t="s">
        <v>243</v>
      </c>
      <c r="AV1670" s="68"/>
      <c r="AW1670" s="68"/>
      <c r="AY1670" s="27"/>
      <c r="BD1670" s="68">
        <v>46054.1666666667</v>
      </c>
      <c r="BE1670" s="68">
        <v>46082.1666666667</v>
      </c>
      <c r="BF1670" s="0" t="b">
        <v>0</v>
      </c>
      <c r="BG1670" s="0" t="b">
        <v>0</v>
      </c>
      <c r="BH1670" s="0">
        <v>120</v>
      </c>
      <c r="BI1670" s="0">
        <v>120</v>
      </c>
      <c r="BJ1670" s="0" t="s">
        <v>230</v>
      </c>
    </row>
    <row r="1671">
      <c r="A1671" s="0" t="s">
        <v>1893</v>
      </c>
      <c r="B1671" s="0" t="s">
        <v>134</v>
      </c>
      <c r="C1671" s="0" t="s">
        <v>134</v>
      </c>
      <c r="D1671" s="0" t="s">
        <v>230</v>
      </c>
      <c r="E1671" s="0" t="s">
        <v>3</v>
      </c>
      <c r="F1671" s="0" t="s">
        <v>12</v>
      </c>
      <c r="G1671" s="0" t="s">
        <v>8</v>
      </c>
      <c r="H1671" s="0">
        <v>1292</v>
      </c>
      <c r="I1671" s="0">
        <v>368</v>
      </c>
      <c r="J1671" s="0">
        <v>0</v>
      </c>
      <c r="K1671" s="0">
        <v>1</v>
      </c>
      <c r="L1671" s="0">
        <v>3</v>
      </c>
      <c r="M1671" s="0">
        <v>8</v>
      </c>
      <c r="N1671" s="0">
        <v>0</v>
      </c>
      <c r="O1671" s="0">
        <v>0</v>
      </c>
      <c r="P1671" s="0">
        <v>4048</v>
      </c>
      <c r="R1671" s="0" t="b">
        <v>0</v>
      </c>
      <c r="S1671" s="0" t="b">
        <v>1</v>
      </c>
      <c r="T1671" s="68">
        <v>44761.1808680556</v>
      </c>
      <c r="U1671" s="68">
        <v>44792.3333333333</v>
      </c>
      <c r="V1671" s="68">
        <v>0</v>
      </c>
      <c r="W1671" s="0">
        <f>IF(IF(B1671="none",1,IF(B1671="Trialer",1,0))+IF(C1671="Customer",1,IF(C1671="Lost",1,0))=2,1,0)</f>
      </c>
      <c r="X1671" s="0" t="s">
        <v>148</v>
      </c>
      <c r="Y1671" s="0" t="s">
        <v>243</v>
      </c>
      <c r="AV1671" s="68"/>
      <c r="AW1671" s="68"/>
      <c r="AY1671" s="27"/>
      <c r="BD1671" s="68">
        <v>46054.1666666667</v>
      </c>
      <c r="BE1671" s="68">
        <v>46082.1666666667</v>
      </c>
      <c r="BF1671" s="0" t="b">
        <v>0</v>
      </c>
      <c r="BG1671" s="0" t="b">
        <v>0</v>
      </c>
      <c r="BH1671" s="0">
        <v>416</v>
      </c>
      <c r="BI1671" s="0">
        <v>416</v>
      </c>
      <c r="BJ1671" s="0" t="s">
        <v>230</v>
      </c>
    </row>
    <row r="1672">
      <c r="A1672" s="0" t="s">
        <v>1894</v>
      </c>
      <c r="B1672" s="0" t="s">
        <v>134</v>
      </c>
      <c r="C1672" s="0" t="s">
        <v>134</v>
      </c>
      <c r="D1672" s="0" t="s">
        <v>230</v>
      </c>
      <c r="E1672" s="0" t="s">
        <v>3</v>
      </c>
      <c r="F1672" s="0" t="s">
        <v>12</v>
      </c>
      <c r="G1672" s="0" t="s">
        <v>8</v>
      </c>
      <c r="H1672" s="0">
        <v>1292</v>
      </c>
      <c r="I1672" s="0">
        <v>308</v>
      </c>
      <c r="J1672" s="0">
        <v>0</v>
      </c>
      <c r="K1672" s="0">
        <v>1</v>
      </c>
      <c r="L1672" s="0">
        <v>3</v>
      </c>
      <c r="M1672" s="0">
        <v>7</v>
      </c>
      <c r="N1672" s="0">
        <v>0</v>
      </c>
      <c r="O1672" s="0">
        <v>0</v>
      </c>
      <c r="P1672" s="0">
        <v>-308</v>
      </c>
      <c r="R1672" s="0" t="b">
        <v>0</v>
      </c>
      <c r="S1672" s="0" t="b">
        <v>1</v>
      </c>
      <c r="T1672" s="68">
        <v>44761.4625</v>
      </c>
      <c r="U1672" s="68">
        <v>44792.5</v>
      </c>
      <c r="V1672" s="68">
        <v>0</v>
      </c>
      <c r="W1672" s="0">
        <f>IF(IF(B1672="none",1,IF(B1672="Trialer",1,0))+IF(C1672="Customer",1,IF(C1672="Lost",1,0))=2,1,0)</f>
      </c>
      <c r="X1672" s="0" t="s">
        <v>145</v>
      </c>
      <c r="Y1672" s="0" t="s">
        <v>243</v>
      </c>
      <c r="AV1672" s="68"/>
      <c r="AW1672" s="68"/>
      <c r="AY1672" s="27"/>
      <c r="BD1672" s="68">
        <v>46054.1666666667</v>
      </c>
      <c r="BE1672" s="68">
        <v>46082.1666666667</v>
      </c>
      <c r="BF1672" s="0" t="b">
        <v>0</v>
      </c>
      <c r="BG1672" s="0" t="b">
        <v>0</v>
      </c>
      <c r="BH1672" s="0">
        <v>343</v>
      </c>
      <c r="BI1672" s="0">
        <v>343</v>
      </c>
      <c r="BJ1672" s="0" t="s">
        <v>230</v>
      </c>
    </row>
    <row r="1673">
      <c r="A1673" s="0" t="s">
        <v>1895</v>
      </c>
      <c r="B1673" s="0" t="s">
        <v>134</v>
      </c>
      <c r="C1673" s="0" t="s">
        <v>134</v>
      </c>
      <c r="D1673" s="0" t="s">
        <v>135</v>
      </c>
      <c r="E1673" s="0" t="s">
        <v>2</v>
      </c>
      <c r="F1673" s="0" t="s">
        <v>12</v>
      </c>
      <c r="G1673" s="0" t="s">
        <v>8</v>
      </c>
      <c r="H1673" s="0">
        <v>1292</v>
      </c>
      <c r="I1673" s="0">
        <v>49</v>
      </c>
      <c r="J1673" s="0">
        <v>0</v>
      </c>
      <c r="K1673" s="0">
        <v>1</v>
      </c>
      <c r="L1673" s="0">
        <v>3</v>
      </c>
      <c r="M1673" s="0">
        <v>1</v>
      </c>
      <c r="N1673" s="0">
        <v>0</v>
      </c>
      <c r="O1673" s="0">
        <v>0</v>
      </c>
      <c r="P1673" s="0">
        <v>0</v>
      </c>
      <c r="R1673" s="0" t="b">
        <v>0</v>
      </c>
      <c r="S1673" s="0" t="b">
        <v>1</v>
      </c>
      <c r="T1673" s="68">
        <v>44761.5626273148</v>
      </c>
      <c r="U1673" s="68">
        <v>44792.3333333333</v>
      </c>
      <c r="V1673" s="68">
        <v>0</v>
      </c>
      <c r="W1673" s="0">
        <f>IF(IF(B1673="none",1,IF(B1673="Trialer",1,0))+IF(C1673="Customer",1,IF(C1673="Lost",1,0))=2,1,0)</f>
      </c>
      <c r="X1673" s="0" t="s">
        <v>153</v>
      </c>
      <c r="Y1673" s="0" t="s">
        <v>499</v>
      </c>
      <c r="AV1673" s="68"/>
      <c r="AW1673" s="68"/>
      <c r="AY1673" s="27"/>
      <c r="BD1673" s="68">
        <v>46054.1666666667</v>
      </c>
      <c r="BE1673" s="68">
        <v>46082.1666666667</v>
      </c>
      <c r="BF1673" s="0" t="b">
        <v>0</v>
      </c>
      <c r="BG1673" s="0" t="b">
        <v>0</v>
      </c>
      <c r="BH1673" s="0">
        <v>49</v>
      </c>
      <c r="BI1673" s="0">
        <v>49</v>
      </c>
      <c r="BJ1673" s="0" t="s">
        <v>135</v>
      </c>
    </row>
    <row r="1674">
      <c r="A1674" s="0" t="s">
        <v>1896</v>
      </c>
      <c r="B1674" s="0" t="s">
        <v>134</v>
      </c>
      <c r="C1674" s="0" t="s">
        <v>134</v>
      </c>
      <c r="D1674" s="0" t="s">
        <v>135</v>
      </c>
      <c r="E1674" s="0" t="s">
        <v>2</v>
      </c>
      <c r="F1674" s="0" t="s">
        <v>10</v>
      </c>
      <c r="G1674" s="0" t="s">
        <v>8</v>
      </c>
      <c r="H1674" s="0">
        <v>1292</v>
      </c>
      <c r="I1674" s="0">
        <v>141</v>
      </c>
      <c r="J1674" s="0">
        <v>0</v>
      </c>
      <c r="K1674" s="0">
        <v>1</v>
      </c>
      <c r="L1674" s="0">
        <v>4</v>
      </c>
      <c r="M1674" s="0">
        <v>3</v>
      </c>
      <c r="N1674" s="0">
        <v>0</v>
      </c>
      <c r="O1674" s="0">
        <v>0</v>
      </c>
      <c r="P1674" s="0">
        <v>0</v>
      </c>
      <c r="Q1674" s="0" t="s">
        <v>1023</v>
      </c>
      <c r="R1674" s="0" t="b">
        <v>0</v>
      </c>
      <c r="S1674" s="0" t="b">
        <v>1</v>
      </c>
      <c r="T1674" s="68">
        <v>44761.6154976852</v>
      </c>
      <c r="U1674" s="68">
        <v>44792.3333333333</v>
      </c>
      <c r="V1674" s="68">
        <v>0</v>
      </c>
      <c r="W1674" s="0">
        <f>IF(IF(B1674="none",1,IF(B1674="Trialer",1,0))+IF(C1674="Customer",1,IF(C1674="Lost",1,0))=2,1,0)</f>
      </c>
      <c r="X1674" s="0" t="s">
        <v>136</v>
      </c>
      <c r="Y1674" s="0" t="s">
        <v>499</v>
      </c>
      <c r="AV1674" s="68"/>
      <c r="AW1674" s="68"/>
      <c r="AY1674" s="27"/>
      <c r="BD1674" s="68">
        <v>46054.1666666667</v>
      </c>
      <c r="BE1674" s="68">
        <v>46082.1666666667</v>
      </c>
      <c r="BF1674" s="0" t="b">
        <v>0</v>
      </c>
      <c r="BG1674" s="0" t="b">
        <v>0</v>
      </c>
      <c r="BH1674" s="0">
        <v>141</v>
      </c>
      <c r="BI1674" s="0">
        <v>141</v>
      </c>
      <c r="BJ1674" s="0" t="s">
        <v>135</v>
      </c>
    </row>
    <row r="1675">
      <c r="A1675" s="0" t="s">
        <v>1897</v>
      </c>
      <c r="B1675" s="0" t="s">
        <v>134</v>
      </c>
      <c r="C1675" s="0" t="s">
        <v>134</v>
      </c>
      <c r="D1675" s="0" t="s">
        <v>135</v>
      </c>
      <c r="E1675" s="0" t="s">
        <v>3</v>
      </c>
      <c r="F1675" s="0" t="s">
        <v>10</v>
      </c>
      <c r="G1675" s="0" t="s">
        <v>8</v>
      </c>
      <c r="H1675" s="0">
        <v>1292</v>
      </c>
      <c r="I1675" s="0">
        <v>166</v>
      </c>
      <c r="J1675" s="0">
        <v>0</v>
      </c>
      <c r="K1675" s="0">
        <v>1</v>
      </c>
      <c r="L1675" s="0">
        <v>4</v>
      </c>
      <c r="M1675" s="0">
        <v>4</v>
      </c>
      <c r="N1675" s="0">
        <v>0</v>
      </c>
      <c r="O1675" s="0">
        <v>0</v>
      </c>
      <c r="P1675" s="0">
        <v>0</v>
      </c>
      <c r="Q1675" s="0" t="s">
        <v>1898</v>
      </c>
      <c r="R1675" s="0" t="b">
        <v>0</v>
      </c>
      <c r="S1675" s="0" t="b">
        <v>1</v>
      </c>
      <c r="T1675" s="68">
        <v>44761.9327777778</v>
      </c>
      <c r="U1675" s="68">
        <v>44792.3333333333</v>
      </c>
      <c r="V1675" s="68">
        <v>0</v>
      </c>
      <c r="W1675" s="0">
        <f>IF(IF(B1675="none",1,IF(B1675="Trialer",1,0))+IF(C1675="Customer",1,IF(C1675="Lost",1,0))=2,1,0)</f>
      </c>
      <c r="X1675" s="0" t="s">
        <v>148</v>
      </c>
      <c r="Y1675" s="0" t="s">
        <v>243</v>
      </c>
      <c r="AV1675" s="68"/>
      <c r="AW1675" s="68"/>
      <c r="AY1675" s="27"/>
      <c r="BD1675" s="68">
        <v>46054.1666666667</v>
      </c>
      <c r="BE1675" s="68">
        <v>46082.1666666667</v>
      </c>
      <c r="BF1675" s="0" t="b">
        <v>0</v>
      </c>
      <c r="BG1675" s="0" t="b">
        <v>0</v>
      </c>
      <c r="BH1675" s="0">
        <v>166</v>
      </c>
      <c r="BI1675" s="0">
        <v>166</v>
      </c>
      <c r="BJ1675" s="0" t="s">
        <v>135</v>
      </c>
    </row>
    <row r="1676">
      <c r="A1676" s="0" t="s">
        <v>1899</v>
      </c>
      <c r="B1676" s="0" t="s">
        <v>134</v>
      </c>
      <c r="C1676" s="0" t="s">
        <v>134</v>
      </c>
      <c r="D1676" s="0" t="s">
        <v>135</v>
      </c>
      <c r="E1676" s="0" t="s">
        <v>3</v>
      </c>
      <c r="F1676" s="0" t="s">
        <v>11</v>
      </c>
      <c r="G1676" s="0" t="s">
        <v>8</v>
      </c>
      <c r="H1676" s="0">
        <v>1291</v>
      </c>
      <c r="I1676" s="0">
        <v>40</v>
      </c>
      <c r="J1676" s="0">
        <v>0</v>
      </c>
      <c r="K1676" s="0">
        <v>1</v>
      </c>
      <c r="L1676" s="0">
        <v>4</v>
      </c>
      <c r="M1676" s="0">
        <v>1</v>
      </c>
      <c r="N1676" s="0">
        <v>0</v>
      </c>
      <c r="O1676" s="0">
        <v>0</v>
      </c>
      <c r="P1676" s="0">
        <v>0</v>
      </c>
      <c r="Q1676" s="0" t="s">
        <v>1743</v>
      </c>
      <c r="R1676" s="0" t="b">
        <v>1</v>
      </c>
      <c r="S1676" s="0" t="b">
        <v>1</v>
      </c>
      <c r="T1676" s="68">
        <v>44762.5</v>
      </c>
      <c r="U1676" s="68">
        <v>44762.5</v>
      </c>
      <c r="V1676" s="68">
        <v>0</v>
      </c>
      <c r="W1676" s="0">
        <f>IF(IF(B1676="none",1,IF(B1676="Trialer",1,0))+IF(C1676="Customer",1,IF(C1676="Lost",1,0))=2,1,0)</f>
      </c>
      <c r="X1676" s="0" t="s">
        <v>145</v>
      </c>
      <c r="Y1676" s="0" t="s">
        <v>243</v>
      </c>
      <c r="AV1676" s="68"/>
      <c r="AW1676" s="68"/>
      <c r="AY1676" s="27"/>
      <c r="BD1676" s="68">
        <v>46054.1666666667</v>
      </c>
      <c r="BE1676" s="68">
        <v>46082.1666666667</v>
      </c>
      <c r="BF1676" s="0" t="b">
        <v>0</v>
      </c>
      <c r="BG1676" s="0" t="b">
        <v>0</v>
      </c>
      <c r="BH1676" s="0">
        <v>40</v>
      </c>
      <c r="BI1676" s="0">
        <v>40</v>
      </c>
      <c r="BJ1676" s="0" t="s">
        <v>135</v>
      </c>
    </row>
    <row r="1677">
      <c r="A1677" s="0" t="s">
        <v>1900</v>
      </c>
      <c r="B1677" s="0" t="s">
        <v>134</v>
      </c>
      <c r="C1677" s="0" t="s">
        <v>134</v>
      </c>
      <c r="D1677" s="0" t="s">
        <v>135</v>
      </c>
      <c r="E1677" s="0" t="s">
        <v>3</v>
      </c>
      <c r="F1677" s="0" t="s">
        <v>12</v>
      </c>
      <c r="G1677" s="0" t="s">
        <v>8</v>
      </c>
      <c r="H1677" s="0">
        <v>1291</v>
      </c>
      <c r="I1677" s="0">
        <v>77</v>
      </c>
      <c r="J1677" s="0">
        <v>0</v>
      </c>
      <c r="K1677" s="0">
        <v>1</v>
      </c>
      <c r="L1677" s="0">
        <v>3</v>
      </c>
      <c r="M1677" s="0">
        <v>2</v>
      </c>
      <c r="N1677" s="0">
        <v>0</v>
      </c>
      <c r="O1677" s="0">
        <v>0</v>
      </c>
      <c r="P1677" s="0">
        <v>0</v>
      </c>
      <c r="R1677" s="0" t="b">
        <v>0</v>
      </c>
      <c r="S1677" s="0" t="b">
        <v>1</v>
      </c>
      <c r="T1677" s="68">
        <v>44762.5868055556</v>
      </c>
      <c r="U1677" s="68">
        <v>44769.5416666667</v>
      </c>
      <c r="V1677" s="68">
        <v>0</v>
      </c>
      <c r="W1677" s="0">
        <f>IF(IF(B1677="none",1,IF(B1677="Trialer",1,0))+IF(C1677="Customer",1,IF(C1677="Lost",1,0))=2,1,0)</f>
      </c>
      <c r="X1677" s="0" t="s">
        <v>145</v>
      </c>
      <c r="Y1677" s="0" t="s">
        <v>243</v>
      </c>
      <c r="AV1677" s="68"/>
      <c r="AW1677" s="68"/>
      <c r="AY1677" s="27"/>
      <c r="BD1677" s="68">
        <v>46054.1666666667</v>
      </c>
      <c r="BE1677" s="68">
        <v>46082.1666666667</v>
      </c>
      <c r="BF1677" s="0" t="b">
        <v>0</v>
      </c>
      <c r="BG1677" s="0" t="b">
        <v>0</v>
      </c>
      <c r="BH1677" s="0">
        <v>77</v>
      </c>
      <c r="BI1677" s="0">
        <v>77</v>
      </c>
      <c r="BJ1677" s="0" t="s">
        <v>135</v>
      </c>
    </row>
    <row r="1678">
      <c r="A1678" s="0" t="s">
        <v>1901</v>
      </c>
      <c r="B1678" s="0" t="s">
        <v>134</v>
      </c>
      <c r="C1678" s="0" t="s">
        <v>134</v>
      </c>
      <c r="D1678" s="0" t="s">
        <v>230</v>
      </c>
      <c r="E1678" s="0" t="s">
        <v>3</v>
      </c>
      <c r="F1678" s="0" t="s">
        <v>12</v>
      </c>
      <c r="G1678" s="0" t="s">
        <v>8</v>
      </c>
      <c r="H1678" s="0">
        <v>1291</v>
      </c>
      <c r="I1678" s="0">
        <v>222</v>
      </c>
      <c r="J1678" s="0">
        <v>0</v>
      </c>
      <c r="K1678" s="0">
        <v>1</v>
      </c>
      <c r="L1678" s="0">
        <v>6</v>
      </c>
      <c r="M1678" s="0">
        <v>3</v>
      </c>
      <c r="N1678" s="0">
        <v>0</v>
      </c>
      <c r="O1678" s="0">
        <v>0</v>
      </c>
      <c r="P1678" s="0">
        <v>-222</v>
      </c>
      <c r="R1678" s="0" t="b">
        <v>0</v>
      </c>
      <c r="S1678" s="0" t="b">
        <v>1</v>
      </c>
      <c r="T1678" s="68">
        <v>44762.6647916667</v>
      </c>
      <c r="U1678" s="68">
        <v>44797.3333333333</v>
      </c>
      <c r="V1678" s="68">
        <v>0</v>
      </c>
      <c r="W1678" s="0">
        <f>IF(IF(B1678="none",1,IF(B1678="Trialer",1,0))+IF(C1678="Customer",1,IF(C1678="Lost",1,0))=2,1,0)</f>
      </c>
      <c r="X1678" s="0" t="s">
        <v>166</v>
      </c>
      <c r="Y1678" s="0" t="s">
        <v>243</v>
      </c>
      <c r="AV1678" s="68"/>
      <c r="AW1678" s="68"/>
      <c r="AY1678" s="27"/>
      <c r="BD1678" s="68">
        <v>46054.1666666667</v>
      </c>
      <c r="BE1678" s="68">
        <v>46082.1666666667</v>
      </c>
      <c r="BF1678" s="0" t="b">
        <v>0</v>
      </c>
      <c r="BG1678" s="0" t="b">
        <v>0</v>
      </c>
      <c r="BH1678" s="0">
        <v>255</v>
      </c>
      <c r="BI1678" s="0">
        <v>255</v>
      </c>
      <c r="BJ1678" s="0" t="s">
        <v>230</v>
      </c>
    </row>
    <row r="1679">
      <c r="A1679" s="0" t="s">
        <v>1902</v>
      </c>
      <c r="B1679" s="0" t="s">
        <v>134</v>
      </c>
      <c r="C1679" s="0" t="s">
        <v>134</v>
      </c>
      <c r="D1679" s="0" t="s">
        <v>230</v>
      </c>
      <c r="E1679" s="0" t="s">
        <v>3</v>
      </c>
      <c r="F1679" s="0" t="s">
        <v>12</v>
      </c>
      <c r="G1679" s="0" t="s">
        <v>8</v>
      </c>
      <c r="H1679" s="0">
        <v>1285</v>
      </c>
      <c r="I1679" s="0">
        <v>241.2</v>
      </c>
      <c r="J1679" s="0">
        <v>0</v>
      </c>
      <c r="K1679" s="0">
        <v>1</v>
      </c>
      <c r="L1679" s="0">
        <v>5</v>
      </c>
      <c r="M1679" s="0">
        <v>4</v>
      </c>
      <c r="N1679" s="0">
        <v>0</v>
      </c>
      <c r="O1679" s="0">
        <v>0</v>
      </c>
      <c r="P1679" s="0">
        <v>-241.2</v>
      </c>
      <c r="R1679" s="0" t="b">
        <v>0</v>
      </c>
      <c r="S1679" s="0" t="b">
        <v>1</v>
      </c>
      <c r="T1679" s="68">
        <v>44768.6924074074</v>
      </c>
      <c r="U1679" s="68">
        <v>44799.3333333333</v>
      </c>
      <c r="V1679" s="68">
        <v>0</v>
      </c>
      <c r="W1679" s="0">
        <f>IF(IF(B1679="none",1,IF(B1679="Trialer",1,0))+IF(C1679="Customer",1,IF(C1679="Lost",1,0))=2,1,0)</f>
      </c>
      <c r="X1679" s="0" t="s">
        <v>148</v>
      </c>
      <c r="Y1679" s="0" t="s">
        <v>243</v>
      </c>
      <c r="AV1679" s="68"/>
      <c r="AW1679" s="68"/>
      <c r="AY1679" s="27"/>
      <c r="BD1679" s="68">
        <v>46054.1666666667</v>
      </c>
      <c r="BE1679" s="68">
        <v>46082.1666666667</v>
      </c>
      <c r="BF1679" s="0" t="b">
        <v>0</v>
      </c>
      <c r="BG1679" s="0" t="b">
        <v>0</v>
      </c>
      <c r="BH1679" s="0">
        <v>268</v>
      </c>
      <c r="BI1679" s="0">
        <v>268</v>
      </c>
      <c r="BJ1679" s="0" t="s">
        <v>230</v>
      </c>
    </row>
    <row r="1680">
      <c r="A1680" s="0" t="s">
        <v>1903</v>
      </c>
      <c r="B1680" s="0" t="s">
        <v>134</v>
      </c>
      <c r="C1680" s="0" t="s">
        <v>134</v>
      </c>
      <c r="D1680" s="0" t="s">
        <v>135</v>
      </c>
      <c r="E1680" s="0" t="s">
        <v>2</v>
      </c>
      <c r="F1680" s="0" t="s">
        <v>12</v>
      </c>
      <c r="G1680" s="0" t="s">
        <v>8</v>
      </c>
      <c r="H1680" s="0">
        <v>1284</v>
      </c>
      <c r="I1680" s="0">
        <v>0</v>
      </c>
      <c r="J1680" s="0">
        <v>0</v>
      </c>
      <c r="K1680" s="0">
        <v>1</v>
      </c>
      <c r="L1680" s="0">
        <v>6</v>
      </c>
      <c r="M1680" s="0">
        <v>1</v>
      </c>
      <c r="N1680" s="0">
        <v>0</v>
      </c>
      <c r="O1680" s="0">
        <v>0</v>
      </c>
      <c r="P1680" s="0">
        <v>0</v>
      </c>
      <c r="R1680" s="0" t="b">
        <v>0</v>
      </c>
      <c r="S1680" s="0" t="b">
        <v>1</v>
      </c>
      <c r="T1680" s="68">
        <v>44769.6260416667</v>
      </c>
      <c r="U1680" s="68">
        <v>44800.3333333333</v>
      </c>
      <c r="V1680" s="68">
        <v>0</v>
      </c>
      <c r="W1680" s="0">
        <f>IF(IF(B1680="none",1,IF(B1680="Trialer",1,0))+IF(C1680="Customer",1,IF(C1680="Lost",1,0))=2,1,0)</f>
      </c>
      <c r="X1680" s="0" t="s">
        <v>136</v>
      </c>
      <c r="Y1680" s="0" t="s">
        <v>499</v>
      </c>
      <c r="AV1680" s="68"/>
      <c r="AW1680" s="68"/>
      <c r="AY1680" s="27"/>
      <c r="BD1680" s="68">
        <v>46054.1666666667</v>
      </c>
      <c r="BE1680" s="68">
        <v>46082.1666666667</v>
      </c>
      <c r="BF1680" s="0" t="b">
        <v>0</v>
      </c>
      <c r="BG1680" s="0" t="b">
        <v>0</v>
      </c>
      <c r="BH1680" s="0">
        <v>0</v>
      </c>
      <c r="BI1680" s="0">
        <v>0</v>
      </c>
      <c r="BJ1680" s="0" t="s">
        <v>135</v>
      </c>
    </row>
    <row r="1681">
      <c r="A1681" s="0" t="s">
        <v>1904</v>
      </c>
      <c r="B1681" s="0" t="s">
        <v>134</v>
      </c>
      <c r="C1681" s="0" t="s">
        <v>134</v>
      </c>
      <c r="D1681" s="0" t="s">
        <v>135</v>
      </c>
      <c r="E1681" s="0" t="s">
        <v>3</v>
      </c>
      <c r="F1681" s="0" t="s">
        <v>11</v>
      </c>
      <c r="G1681" s="0" t="s">
        <v>8</v>
      </c>
      <c r="H1681" s="0">
        <v>1284</v>
      </c>
      <c r="I1681" s="0">
        <v>78.4</v>
      </c>
      <c r="J1681" s="0">
        <v>0</v>
      </c>
      <c r="K1681" s="0">
        <v>1</v>
      </c>
      <c r="L1681" s="0">
        <v>3</v>
      </c>
      <c r="M1681" s="0">
        <v>2</v>
      </c>
      <c r="N1681" s="0">
        <v>0</v>
      </c>
      <c r="O1681" s="0">
        <v>0</v>
      </c>
      <c r="P1681" s="0">
        <v>0</v>
      </c>
      <c r="Q1681" s="0" t="s">
        <v>1743</v>
      </c>
      <c r="R1681" s="0" t="b">
        <v>1</v>
      </c>
      <c r="S1681" s="0" t="b">
        <v>1</v>
      </c>
      <c r="T1681" s="68">
        <v>44769.6708333333</v>
      </c>
      <c r="U1681" s="68">
        <v>44800.5</v>
      </c>
      <c r="V1681" s="68">
        <v>0</v>
      </c>
      <c r="W1681" s="0">
        <f>IF(IF(B1681="none",1,IF(B1681="Trialer",1,0))+IF(C1681="Customer",1,IF(C1681="Lost",1,0))=2,1,0)</f>
      </c>
      <c r="X1681" s="0" t="s">
        <v>145</v>
      </c>
      <c r="Y1681" s="0" t="s">
        <v>243</v>
      </c>
      <c r="AV1681" s="68"/>
      <c r="AW1681" s="68"/>
      <c r="AY1681" s="27"/>
      <c r="BD1681" s="68">
        <v>46054.1666666667</v>
      </c>
      <c r="BE1681" s="68">
        <v>46082.1666666667</v>
      </c>
      <c r="BF1681" s="0" t="b">
        <v>0</v>
      </c>
      <c r="BG1681" s="0" t="b">
        <v>0</v>
      </c>
      <c r="BH1681" s="0">
        <v>78.4</v>
      </c>
      <c r="BI1681" s="0">
        <v>78.4</v>
      </c>
      <c r="BJ1681" s="0" t="s">
        <v>135</v>
      </c>
    </row>
    <row r="1682">
      <c r="A1682" s="0" t="s">
        <v>1905</v>
      </c>
      <c r="B1682" s="0" t="s">
        <v>134</v>
      </c>
      <c r="C1682" s="0" t="s">
        <v>134</v>
      </c>
      <c r="D1682" s="0" t="s">
        <v>230</v>
      </c>
      <c r="E1682" s="0" t="s">
        <v>3</v>
      </c>
      <c r="F1682" s="0" t="s">
        <v>12</v>
      </c>
      <c r="G1682" s="0" t="s">
        <v>8</v>
      </c>
      <c r="H1682" s="0">
        <v>1283</v>
      </c>
      <c r="I1682" s="0">
        <v>146.7</v>
      </c>
      <c r="J1682" s="0">
        <v>0</v>
      </c>
      <c r="K1682" s="0">
        <v>1</v>
      </c>
      <c r="L1682" s="0">
        <v>3</v>
      </c>
      <c r="M1682" s="0">
        <v>4</v>
      </c>
      <c r="N1682" s="0">
        <v>77.5</v>
      </c>
      <c r="O1682" s="0">
        <v>0</v>
      </c>
      <c r="P1682" s="0">
        <v>-146.7</v>
      </c>
      <c r="R1682" s="0" t="b">
        <v>0</v>
      </c>
      <c r="S1682" s="0" t="b">
        <v>1</v>
      </c>
      <c r="T1682" s="68">
        <v>44770.5715393519</v>
      </c>
      <c r="U1682" s="68">
        <v>44801.3333333333</v>
      </c>
      <c r="V1682" s="68">
        <v>0</v>
      </c>
      <c r="W1682" s="0">
        <f>IF(IF(B1682="none",1,IF(B1682="Trialer",1,0))+IF(C1682="Customer",1,IF(C1682="Lost",1,0))=2,1,0)</f>
      </c>
      <c r="X1682" s="0" t="s">
        <v>148</v>
      </c>
      <c r="Y1682" s="0" t="s">
        <v>243</v>
      </c>
      <c r="AV1682" s="68"/>
      <c r="AW1682" s="68"/>
      <c r="AY1682" s="27"/>
      <c r="BD1682" s="68">
        <v>46054.1666666667</v>
      </c>
      <c r="BE1682" s="68">
        <v>46082.1666666667</v>
      </c>
      <c r="BF1682" s="0" t="b">
        <v>0</v>
      </c>
      <c r="BG1682" s="0" t="b">
        <v>0</v>
      </c>
      <c r="BH1682" s="0">
        <v>163</v>
      </c>
      <c r="BI1682" s="0">
        <v>163</v>
      </c>
      <c r="BJ1682" s="0" t="s">
        <v>230</v>
      </c>
    </row>
    <row r="1683">
      <c r="A1683" s="0" t="s">
        <v>1906</v>
      </c>
      <c r="B1683" s="0" t="s">
        <v>134</v>
      </c>
      <c r="C1683" s="0" t="s">
        <v>134</v>
      </c>
      <c r="D1683" s="0" t="s">
        <v>135</v>
      </c>
      <c r="E1683" s="0" t="s">
        <v>3</v>
      </c>
      <c r="F1683" s="0" t="s">
        <v>10</v>
      </c>
      <c r="G1683" s="0" t="s">
        <v>8</v>
      </c>
      <c r="H1683" s="0">
        <v>1283</v>
      </c>
      <c r="I1683" s="0">
        <v>353</v>
      </c>
      <c r="J1683" s="0">
        <v>0</v>
      </c>
      <c r="K1683" s="0">
        <v>1</v>
      </c>
      <c r="L1683" s="0">
        <v>3</v>
      </c>
      <c r="M1683" s="0">
        <v>11</v>
      </c>
      <c r="N1683" s="0">
        <v>0</v>
      </c>
      <c r="O1683" s="0">
        <v>0</v>
      </c>
      <c r="P1683" s="0">
        <v>0</v>
      </c>
      <c r="Q1683" s="0" t="s">
        <v>1907</v>
      </c>
      <c r="R1683" s="0" t="b">
        <v>0</v>
      </c>
      <c r="S1683" s="0" t="b">
        <v>1</v>
      </c>
      <c r="T1683" s="68">
        <v>44770.9821875</v>
      </c>
      <c r="U1683" s="68">
        <v>44801.3333333333</v>
      </c>
      <c r="V1683" s="68">
        <v>0</v>
      </c>
      <c r="W1683" s="0">
        <f>IF(IF(B1683="none",1,IF(B1683="Trialer",1,0))+IF(C1683="Customer",1,IF(C1683="Lost",1,0))=2,1,0)</f>
      </c>
      <c r="X1683" s="0" t="s">
        <v>148</v>
      </c>
      <c r="Y1683" s="0" t="s">
        <v>243</v>
      </c>
      <c r="AV1683" s="68"/>
      <c r="AW1683" s="68"/>
      <c r="AY1683" s="27"/>
      <c r="BD1683" s="68">
        <v>46054.1666666667</v>
      </c>
      <c r="BE1683" s="68">
        <v>46082.1666666667</v>
      </c>
      <c r="BF1683" s="0" t="b">
        <v>0</v>
      </c>
      <c r="BG1683" s="0" t="b">
        <v>0</v>
      </c>
      <c r="BH1683" s="0">
        <v>353</v>
      </c>
      <c r="BI1683" s="0">
        <v>353</v>
      </c>
      <c r="BJ1683" s="0" t="s">
        <v>135</v>
      </c>
    </row>
    <row r="1684">
      <c r="A1684" s="0" t="s">
        <v>1908</v>
      </c>
      <c r="B1684" s="0" t="s">
        <v>134</v>
      </c>
      <c r="C1684" s="0" t="s">
        <v>134</v>
      </c>
      <c r="D1684" s="0" t="s">
        <v>135</v>
      </c>
      <c r="E1684" s="0" t="s">
        <v>2</v>
      </c>
      <c r="F1684" s="0" t="s">
        <v>12</v>
      </c>
      <c r="G1684" s="0" t="s">
        <v>8</v>
      </c>
      <c r="H1684" s="0">
        <v>1282</v>
      </c>
      <c r="I1684" s="0">
        <v>147</v>
      </c>
      <c r="J1684" s="0">
        <v>0</v>
      </c>
      <c r="K1684" s="0">
        <v>1</v>
      </c>
      <c r="L1684" s="0">
        <v>3</v>
      </c>
      <c r="M1684" s="0">
        <v>3</v>
      </c>
      <c r="N1684" s="0">
        <v>0</v>
      </c>
      <c r="O1684" s="0">
        <v>0</v>
      </c>
      <c r="P1684" s="0">
        <v>0</v>
      </c>
      <c r="R1684" s="0" t="b">
        <v>0</v>
      </c>
      <c r="S1684" s="0" t="b">
        <v>1</v>
      </c>
      <c r="T1684" s="68">
        <v>44771.4142824074</v>
      </c>
      <c r="U1684" s="68">
        <v>44821.3333333333</v>
      </c>
      <c r="V1684" s="68">
        <v>0</v>
      </c>
      <c r="W1684" s="0">
        <f>IF(IF(B1684="none",1,IF(B1684="Trialer",1,0))+IF(C1684="Customer",1,IF(C1684="Lost",1,0))=2,1,0)</f>
      </c>
      <c r="X1684" s="0" t="s">
        <v>153</v>
      </c>
      <c r="Y1684" s="0" t="s">
        <v>499</v>
      </c>
      <c r="AV1684" s="68"/>
      <c r="AW1684" s="68"/>
      <c r="AY1684" s="27"/>
      <c r="BD1684" s="68">
        <v>46054.1666666667</v>
      </c>
      <c r="BE1684" s="68">
        <v>46082.1666666667</v>
      </c>
      <c r="BF1684" s="0" t="b">
        <v>0</v>
      </c>
      <c r="BG1684" s="0" t="b">
        <v>0</v>
      </c>
      <c r="BH1684" s="0">
        <v>147</v>
      </c>
      <c r="BI1684" s="0">
        <v>147</v>
      </c>
      <c r="BJ1684" s="0" t="s">
        <v>135</v>
      </c>
    </row>
    <row r="1685">
      <c r="A1685" s="0" t="s">
        <v>1909</v>
      </c>
      <c r="B1685" s="0" t="s">
        <v>134</v>
      </c>
      <c r="C1685" s="0" t="s">
        <v>134</v>
      </c>
      <c r="D1685" s="0" t="s">
        <v>230</v>
      </c>
      <c r="E1685" s="0" t="s">
        <v>2</v>
      </c>
      <c r="F1685" s="0" t="s">
        <v>12</v>
      </c>
      <c r="G1685" s="0" t="s">
        <v>8</v>
      </c>
      <c r="H1685" s="0">
        <v>1279</v>
      </c>
      <c r="I1685" s="0">
        <v>216</v>
      </c>
      <c r="J1685" s="0">
        <v>0</v>
      </c>
      <c r="K1685" s="0">
        <v>1</v>
      </c>
      <c r="L1685" s="0">
        <v>5</v>
      </c>
      <c r="M1685" s="0">
        <v>4</v>
      </c>
      <c r="N1685" s="0">
        <v>0</v>
      </c>
      <c r="O1685" s="0">
        <v>0</v>
      </c>
      <c r="P1685" s="0">
        <v>-216</v>
      </c>
      <c r="R1685" s="0" t="b">
        <v>0</v>
      </c>
      <c r="S1685" s="0" t="b">
        <v>1</v>
      </c>
      <c r="T1685" s="68">
        <v>44774.6486342593</v>
      </c>
      <c r="U1685" s="68">
        <v>44805.3333333333</v>
      </c>
      <c r="V1685" s="68">
        <v>0</v>
      </c>
      <c r="W1685" s="0">
        <f>IF(IF(B1685="none",1,IF(B1685="Trialer",1,0))+IF(C1685="Customer",1,IF(C1685="Lost",1,0))=2,1,0)</f>
      </c>
      <c r="X1685" s="0" t="s">
        <v>145</v>
      </c>
      <c r="Y1685" s="0" t="s">
        <v>499</v>
      </c>
      <c r="AV1685" s="68"/>
      <c r="AW1685" s="68"/>
      <c r="AY1685" s="27"/>
      <c r="BD1685" s="68">
        <v>46054.1666666667</v>
      </c>
      <c r="BE1685" s="68">
        <v>46082.1666666667</v>
      </c>
      <c r="BF1685" s="0" t="b">
        <v>0</v>
      </c>
      <c r="BG1685" s="0" t="b">
        <v>0</v>
      </c>
      <c r="BH1685" s="0">
        <v>195</v>
      </c>
      <c r="BI1685" s="0">
        <v>195</v>
      </c>
      <c r="BJ1685" s="0" t="s">
        <v>230</v>
      </c>
    </row>
    <row r="1686">
      <c r="A1686" s="0" t="s">
        <v>1910</v>
      </c>
      <c r="B1686" s="0" t="s">
        <v>134</v>
      </c>
      <c r="C1686" s="0" t="s">
        <v>134</v>
      </c>
      <c r="D1686" s="0" t="s">
        <v>230</v>
      </c>
      <c r="E1686" s="0" t="s">
        <v>3</v>
      </c>
      <c r="F1686" s="0" t="s">
        <v>12</v>
      </c>
      <c r="G1686" s="0" t="s">
        <v>8</v>
      </c>
      <c r="H1686" s="0">
        <v>1278</v>
      </c>
      <c r="I1686" s="0">
        <v>36</v>
      </c>
      <c r="J1686" s="0">
        <v>0</v>
      </c>
      <c r="K1686" s="0">
        <v>1</v>
      </c>
      <c r="L1686" s="0">
        <v>2</v>
      </c>
      <c r="M1686" s="0">
        <v>1</v>
      </c>
      <c r="N1686" s="0">
        <v>0</v>
      </c>
      <c r="O1686" s="0">
        <v>0</v>
      </c>
      <c r="P1686" s="0">
        <v>-36</v>
      </c>
      <c r="R1686" s="0" t="b">
        <v>0</v>
      </c>
      <c r="S1686" s="0" t="b">
        <v>1</v>
      </c>
      <c r="T1686" s="68">
        <v>44775.346712963</v>
      </c>
      <c r="U1686" s="68">
        <v>44806.3333333333</v>
      </c>
      <c r="V1686" s="68">
        <v>0</v>
      </c>
      <c r="W1686" s="0">
        <f>IF(IF(B1686="none",1,IF(B1686="Trialer",1,0))+IF(C1686="Customer",1,IF(C1686="Lost",1,0))=2,1,0)</f>
      </c>
      <c r="X1686" s="0" t="s">
        <v>153</v>
      </c>
      <c r="Y1686" s="0" t="s">
        <v>243</v>
      </c>
      <c r="AV1686" s="68"/>
      <c r="AW1686" s="68"/>
      <c r="AY1686" s="27"/>
      <c r="BD1686" s="68">
        <v>46054.1666666667</v>
      </c>
      <c r="BE1686" s="68">
        <v>46082.1666666667</v>
      </c>
      <c r="BF1686" s="0" t="b">
        <v>0</v>
      </c>
      <c r="BG1686" s="0" t="b">
        <v>0</v>
      </c>
      <c r="BH1686" s="0">
        <v>40</v>
      </c>
      <c r="BI1686" s="0">
        <v>40</v>
      </c>
      <c r="BJ1686" s="0" t="s">
        <v>230</v>
      </c>
    </row>
    <row r="1687">
      <c r="A1687" s="0" t="s">
        <v>1911</v>
      </c>
      <c r="B1687" s="0" t="s">
        <v>134</v>
      </c>
      <c r="C1687" s="0" t="s">
        <v>134</v>
      </c>
      <c r="D1687" s="0" t="s">
        <v>230</v>
      </c>
      <c r="E1687" s="0" t="s">
        <v>2</v>
      </c>
      <c r="F1687" s="0" t="s">
        <v>12</v>
      </c>
      <c r="G1687" s="0" t="s">
        <v>8</v>
      </c>
      <c r="H1687" s="0">
        <v>1277</v>
      </c>
      <c r="I1687" s="0">
        <v>340</v>
      </c>
      <c r="J1687" s="0">
        <v>0</v>
      </c>
      <c r="K1687" s="0">
        <v>1</v>
      </c>
      <c r="L1687" s="0">
        <v>3</v>
      </c>
      <c r="M1687" s="0">
        <v>9</v>
      </c>
      <c r="N1687" s="0">
        <v>0</v>
      </c>
      <c r="O1687" s="0">
        <v>0</v>
      </c>
      <c r="P1687" s="0">
        <v>-340</v>
      </c>
      <c r="R1687" s="0" t="b">
        <v>0</v>
      </c>
      <c r="S1687" s="0" t="b">
        <v>1</v>
      </c>
      <c r="T1687" s="68">
        <v>44776.4613657407</v>
      </c>
      <c r="U1687" s="68">
        <v>44807.3333333333</v>
      </c>
      <c r="V1687" s="68">
        <v>0</v>
      </c>
      <c r="W1687" s="0">
        <f>IF(IF(B1687="none",1,IF(B1687="Trialer",1,0))+IF(C1687="Customer",1,IF(C1687="Lost",1,0))=2,1,0)</f>
      </c>
      <c r="X1687" s="0" t="s">
        <v>148</v>
      </c>
      <c r="Y1687" s="0" t="s">
        <v>499</v>
      </c>
      <c r="AV1687" s="68"/>
      <c r="AW1687" s="68"/>
      <c r="AY1687" s="27"/>
      <c r="BD1687" s="68">
        <v>46054.1666666667</v>
      </c>
      <c r="BE1687" s="68">
        <v>46082.1666666667</v>
      </c>
      <c r="BF1687" s="0" t="b">
        <v>0</v>
      </c>
      <c r="BG1687" s="0" t="b">
        <v>0</v>
      </c>
      <c r="BH1687" s="0">
        <v>378</v>
      </c>
      <c r="BI1687" s="0">
        <v>378</v>
      </c>
      <c r="BJ1687" s="0" t="s">
        <v>230</v>
      </c>
    </row>
    <row r="1688">
      <c r="A1688" s="0" t="s">
        <v>1912</v>
      </c>
      <c r="B1688" s="0" t="s">
        <v>134</v>
      </c>
      <c r="C1688" s="0" t="s">
        <v>134</v>
      </c>
      <c r="D1688" s="0" t="s">
        <v>230</v>
      </c>
      <c r="E1688" s="0" t="s">
        <v>3</v>
      </c>
      <c r="F1688" s="0" t="s">
        <v>10</v>
      </c>
      <c r="G1688" s="0" t="s">
        <v>8</v>
      </c>
      <c r="H1688" s="0">
        <v>1274</v>
      </c>
      <c r="I1688" s="0">
        <v>412.2</v>
      </c>
      <c r="J1688" s="0">
        <v>0</v>
      </c>
      <c r="K1688" s="0">
        <v>1</v>
      </c>
      <c r="L1688" s="0">
        <v>3</v>
      </c>
      <c r="M1688" s="0">
        <v>11</v>
      </c>
      <c r="N1688" s="0">
        <v>0</v>
      </c>
      <c r="O1688" s="0">
        <v>0</v>
      </c>
      <c r="P1688" s="0">
        <v>-412.2</v>
      </c>
      <c r="Q1688" s="0" t="s">
        <v>357</v>
      </c>
      <c r="R1688" s="0" t="b">
        <v>0</v>
      </c>
      <c r="S1688" s="0" t="b">
        <v>1</v>
      </c>
      <c r="T1688" s="68">
        <v>44779.6437615741</v>
      </c>
      <c r="U1688" s="68">
        <v>44810.3333333333</v>
      </c>
      <c r="V1688" s="68">
        <v>0</v>
      </c>
      <c r="W1688" s="0">
        <f>IF(IF(B1688="none",1,IF(B1688="Trialer",1,0))+IF(C1688="Customer",1,IF(C1688="Lost",1,0))=2,1,0)</f>
      </c>
      <c r="X1688" s="0" t="s">
        <v>148</v>
      </c>
      <c r="Y1688" s="0" t="s">
        <v>243</v>
      </c>
      <c r="AV1688" s="68"/>
      <c r="AW1688" s="68"/>
      <c r="AY1688" s="27"/>
      <c r="BD1688" s="68">
        <v>46054.1666666667</v>
      </c>
      <c r="BE1688" s="68">
        <v>46082.1666666667</v>
      </c>
      <c r="BF1688" s="0" t="b">
        <v>0</v>
      </c>
      <c r="BG1688" s="0" t="b">
        <v>0</v>
      </c>
      <c r="BH1688" s="0">
        <v>458</v>
      </c>
      <c r="BI1688" s="0">
        <v>458</v>
      </c>
      <c r="BJ1688" s="0" t="s">
        <v>230</v>
      </c>
    </row>
    <row r="1689">
      <c r="A1689" s="0" t="s">
        <v>1913</v>
      </c>
      <c r="B1689" s="0" t="s">
        <v>134</v>
      </c>
      <c r="C1689" s="0" t="s">
        <v>134</v>
      </c>
      <c r="D1689" s="0" t="s">
        <v>230</v>
      </c>
      <c r="E1689" s="0" t="s">
        <v>2</v>
      </c>
      <c r="F1689" s="0" t="s">
        <v>10</v>
      </c>
      <c r="G1689" s="0" t="s">
        <v>8</v>
      </c>
      <c r="H1689" s="0">
        <v>1271</v>
      </c>
      <c r="I1689" s="0">
        <v>61</v>
      </c>
      <c r="J1689" s="0">
        <v>0</v>
      </c>
      <c r="K1689" s="0">
        <v>1</v>
      </c>
      <c r="L1689" s="0">
        <v>2</v>
      </c>
      <c r="M1689" s="0">
        <v>2</v>
      </c>
      <c r="N1689" s="0">
        <v>0</v>
      </c>
      <c r="O1689" s="0">
        <v>0</v>
      </c>
      <c r="P1689" s="0">
        <v>-61</v>
      </c>
      <c r="Q1689" s="0" t="s">
        <v>1914</v>
      </c>
      <c r="R1689" s="0" t="b">
        <v>0</v>
      </c>
      <c r="S1689" s="0" t="b">
        <v>1</v>
      </c>
      <c r="T1689" s="68">
        <v>44782.375</v>
      </c>
      <c r="U1689" s="68">
        <v>44813.3333333333</v>
      </c>
      <c r="V1689" s="68">
        <v>0</v>
      </c>
      <c r="W1689" s="0">
        <f>IF(IF(B1689="none",1,IF(B1689="Trialer",1,0))+IF(C1689="Customer",1,IF(C1689="Lost",1,0))=2,1,0)</f>
      </c>
      <c r="X1689" s="0" t="s">
        <v>148</v>
      </c>
      <c r="Y1689" s="0" t="s">
        <v>499</v>
      </c>
      <c r="AV1689" s="68"/>
      <c r="AW1689" s="68"/>
      <c r="AY1689" s="27"/>
      <c r="BD1689" s="68">
        <v>46054.1666666667</v>
      </c>
      <c r="BE1689" s="68">
        <v>46082.1666666667</v>
      </c>
      <c r="BF1689" s="0" t="b">
        <v>0</v>
      </c>
      <c r="BG1689" s="0" t="b">
        <v>0</v>
      </c>
      <c r="BH1689" s="0">
        <v>68</v>
      </c>
      <c r="BI1689" s="0">
        <v>68</v>
      </c>
      <c r="BJ1689" s="0" t="s">
        <v>230</v>
      </c>
    </row>
    <row r="1690">
      <c r="A1690" s="0" t="s">
        <v>1915</v>
      </c>
      <c r="B1690" s="0" t="s">
        <v>134</v>
      </c>
      <c r="C1690" s="0" t="s">
        <v>134</v>
      </c>
      <c r="D1690" s="0" t="s">
        <v>230</v>
      </c>
      <c r="E1690" s="0" t="s">
        <v>2</v>
      </c>
      <c r="F1690" s="0" t="s">
        <v>10</v>
      </c>
      <c r="G1690" s="0" t="s">
        <v>8</v>
      </c>
      <c r="H1690" s="0">
        <v>1271</v>
      </c>
      <c r="I1690" s="0">
        <v>202</v>
      </c>
      <c r="J1690" s="0">
        <v>0</v>
      </c>
      <c r="K1690" s="0">
        <v>1</v>
      </c>
      <c r="L1690" s="0">
        <v>4</v>
      </c>
      <c r="M1690" s="0">
        <v>5</v>
      </c>
      <c r="N1690" s="0">
        <v>0</v>
      </c>
      <c r="O1690" s="0">
        <v>0</v>
      </c>
      <c r="P1690" s="0">
        <v>-202</v>
      </c>
      <c r="Q1690" s="0" t="s">
        <v>1881</v>
      </c>
      <c r="R1690" s="0" t="b">
        <v>0</v>
      </c>
      <c r="S1690" s="0" t="b">
        <v>1</v>
      </c>
      <c r="T1690" s="68">
        <v>44782.7127430556</v>
      </c>
      <c r="U1690" s="68">
        <v>44813.3333333333</v>
      </c>
      <c r="V1690" s="68">
        <v>0</v>
      </c>
      <c r="W1690" s="0">
        <f>IF(IF(B1690="none",1,IF(B1690="Trialer",1,0))+IF(C1690="Customer",1,IF(C1690="Lost",1,0))=2,1,0)</f>
      </c>
      <c r="X1690" s="0" t="s">
        <v>148</v>
      </c>
      <c r="Y1690" s="0" t="s">
        <v>499</v>
      </c>
      <c r="AV1690" s="68"/>
      <c r="AW1690" s="68"/>
      <c r="AY1690" s="27"/>
      <c r="BD1690" s="68">
        <v>46054.1666666667</v>
      </c>
      <c r="BE1690" s="68">
        <v>46082.1666666667</v>
      </c>
      <c r="BF1690" s="0" t="b">
        <v>0</v>
      </c>
      <c r="BG1690" s="0" t="b">
        <v>0</v>
      </c>
      <c r="BH1690" s="0">
        <v>227</v>
      </c>
      <c r="BI1690" s="0">
        <v>227</v>
      </c>
      <c r="BJ1690" s="0" t="s">
        <v>230</v>
      </c>
    </row>
    <row r="1691">
      <c r="A1691" s="0" t="s">
        <v>1916</v>
      </c>
      <c r="B1691" s="0" t="s">
        <v>134</v>
      </c>
      <c r="C1691" s="0" t="s">
        <v>134</v>
      </c>
      <c r="D1691" s="0" t="s">
        <v>135</v>
      </c>
      <c r="E1691" s="0" t="s">
        <v>3</v>
      </c>
      <c r="F1691" s="0" t="s">
        <v>12</v>
      </c>
      <c r="G1691" s="0" t="s">
        <v>8</v>
      </c>
      <c r="H1691" s="0">
        <v>1271</v>
      </c>
      <c r="I1691" s="0">
        <v>0</v>
      </c>
      <c r="J1691" s="0">
        <v>0</v>
      </c>
      <c r="K1691" s="0">
        <v>1</v>
      </c>
      <c r="L1691" s="0">
        <v>4</v>
      </c>
      <c r="M1691" s="0">
        <v>1</v>
      </c>
      <c r="N1691" s="0">
        <v>0</v>
      </c>
      <c r="O1691" s="0">
        <v>0</v>
      </c>
      <c r="P1691" s="0">
        <v>0</v>
      </c>
      <c r="R1691" s="0" t="b">
        <v>0</v>
      </c>
      <c r="S1691" s="0" t="b">
        <v>1</v>
      </c>
      <c r="T1691" s="68">
        <v>44782.7487384259</v>
      </c>
      <c r="U1691" s="68">
        <v>44813.3333333333</v>
      </c>
      <c r="V1691" s="68">
        <v>0</v>
      </c>
      <c r="W1691" s="0">
        <f>IF(IF(B1691="none",1,IF(B1691="Trialer",1,0))+IF(C1691="Customer",1,IF(C1691="Lost",1,0))=2,1,0)</f>
      </c>
      <c r="X1691" s="0" t="s">
        <v>145</v>
      </c>
      <c r="Y1691" s="0" t="s">
        <v>243</v>
      </c>
      <c r="AV1691" s="68"/>
      <c r="AW1691" s="68"/>
      <c r="AY1691" s="27"/>
      <c r="BD1691" s="68">
        <v>46054.1666666667</v>
      </c>
      <c r="BE1691" s="68">
        <v>46082.1666666667</v>
      </c>
      <c r="BF1691" s="0" t="b">
        <v>0</v>
      </c>
      <c r="BG1691" s="0" t="b">
        <v>0</v>
      </c>
      <c r="BH1691" s="0">
        <v>0</v>
      </c>
      <c r="BI1691" s="0">
        <v>0</v>
      </c>
      <c r="BJ1691" s="0" t="s">
        <v>135</v>
      </c>
    </row>
    <row r="1692">
      <c r="A1692" s="0" t="s">
        <v>1917</v>
      </c>
      <c r="B1692" s="0" t="s">
        <v>134</v>
      </c>
      <c r="C1692" s="0" t="s">
        <v>134</v>
      </c>
      <c r="D1692" s="0" t="s">
        <v>135</v>
      </c>
      <c r="E1692" s="0" t="s">
        <v>2</v>
      </c>
      <c r="F1692" s="0" t="s">
        <v>12</v>
      </c>
      <c r="G1692" s="0" t="s">
        <v>8</v>
      </c>
      <c r="H1692" s="0">
        <v>1270</v>
      </c>
      <c r="I1692" s="0">
        <v>0</v>
      </c>
      <c r="J1692" s="0">
        <v>0</v>
      </c>
      <c r="K1692" s="0">
        <v>1</v>
      </c>
      <c r="L1692" s="0">
        <v>6</v>
      </c>
      <c r="M1692" s="0">
        <v>2</v>
      </c>
      <c r="N1692" s="0">
        <v>0</v>
      </c>
      <c r="O1692" s="0">
        <v>0</v>
      </c>
      <c r="P1692" s="0">
        <v>0</v>
      </c>
      <c r="R1692" s="0" t="b">
        <v>0</v>
      </c>
      <c r="S1692" s="0" t="b">
        <v>1</v>
      </c>
      <c r="T1692" s="68">
        <v>44783.6888888889</v>
      </c>
      <c r="U1692" s="68">
        <v>44814.5</v>
      </c>
      <c r="V1692" s="68">
        <v>0</v>
      </c>
      <c r="W1692" s="0">
        <f>IF(IF(B1692="none",1,IF(B1692="Trialer",1,0))+IF(C1692="Customer",1,IF(C1692="Lost",1,0))=2,1,0)</f>
      </c>
      <c r="X1692" s="0" t="s">
        <v>136</v>
      </c>
      <c r="Y1692" s="0" t="s">
        <v>499</v>
      </c>
      <c r="AV1692" s="68"/>
      <c r="AW1692" s="68"/>
      <c r="AY1692" s="27"/>
      <c r="BD1692" s="68">
        <v>46054.1666666667</v>
      </c>
      <c r="BE1692" s="68">
        <v>46082.1666666667</v>
      </c>
      <c r="BF1692" s="0" t="b">
        <v>0</v>
      </c>
      <c r="BG1692" s="0" t="b">
        <v>0</v>
      </c>
      <c r="BH1692" s="0">
        <v>0</v>
      </c>
      <c r="BI1692" s="0">
        <v>0</v>
      </c>
      <c r="BJ1692" s="0" t="s">
        <v>135</v>
      </c>
    </row>
    <row r="1693">
      <c r="A1693" s="0" t="s">
        <v>1918</v>
      </c>
      <c r="B1693" s="0" t="s">
        <v>134</v>
      </c>
      <c r="C1693" s="0" t="s">
        <v>134</v>
      </c>
      <c r="D1693" s="0" t="s">
        <v>230</v>
      </c>
      <c r="E1693" s="0" t="s">
        <v>2</v>
      </c>
      <c r="F1693" s="0" t="s">
        <v>10</v>
      </c>
      <c r="G1693" s="0" t="s">
        <v>8</v>
      </c>
      <c r="H1693" s="0">
        <v>1269</v>
      </c>
      <c r="I1693" s="0">
        <v>1161</v>
      </c>
      <c r="J1693" s="0">
        <v>0</v>
      </c>
      <c r="K1693" s="0">
        <v>1</v>
      </c>
      <c r="L1693" s="0">
        <v>3</v>
      </c>
      <c r="M1693" s="0">
        <v>49</v>
      </c>
      <c r="N1693" s="0">
        <v>0</v>
      </c>
      <c r="O1693" s="0">
        <v>0</v>
      </c>
      <c r="P1693" s="0">
        <v>-1161</v>
      </c>
      <c r="Q1693" s="0" t="s">
        <v>1919</v>
      </c>
      <c r="R1693" s="0" t="b">
        <v>0</v>
      </c>
      <c r="S1693" s="0" t="b">
        <v>1</v>
      </c>
      <c r="T1693" s="68">
        <v>44784.4461458333</v>
      </c>
      <c r="U1693" s="68">
        <v>44815.3333333333</v>
      </c>
      <c r="V1693" s="68">
        <v>0</v>
      </c>
      <c r="W1693" s="0">
        <f>IF(IF(B1693="none",1,IF(B1693="Trialer",1,0))+IF(C1693="Customer",1,IF(C1693="Lost",1,0))=2,1,0)</f>
      </c>
      <c r="X1693" s="0" t="s">
        <v>145</v>
      </c>
      <c r="Y1693" s="0" t="s">
        <v>1587</v>
      </c>
      <c r="AV1693" s="68"/>
      <c r="AW1693" s="68"/>
      <c r="AY1693" s="27"/>
      <c r="BD1693" s="68">
        <v>46054.1666666667</v>
      </c>
      <c r="BE1693" s="68">
        <v>46082.1666666667</v>
      </c>
      <c r="BF1693" s="0" t="b">
        <v>0</v>
      </c>
      <c r="BG1693" s="0" t="b">
        <v>0</v>
      </c>
      <c r="BH1693" s="0">
        <v>1300</v>
      </c>
      <c r="BI1693" s="0">
        <v>1300</v>
      </c>
      <c r="BJ1693" s="0" t="s">
        <v>230</v>
      </c>
    </row>
    <row r="1694">
      <c r="A1694" s="0" t="s">
        <v>1920</v>
      </c>
      <c r="B1694" s="0" t="s">
        <v>134</v>
      </c>
      <c r="C1694" s="0" t="s">
        <v>134</v>
      </c>
      <c r="D1694" s="0" t="s">
        <v>135</v>
      </c>
      <c r="E1694" s="0" t="s">
        <v>3</v>
      </c>
      <c r="F1694" s="0" t="s">
        <v>12</v>
      </c>
      <c r="G1694" s="0" t="s">
        <v>8</v>
      </c>
      <c r="H1694" s="0">
        <v>1265</v>
      </c>
      <c r="I1694" s="0">
        <v>267</v>
      </c>
      <c r="J1694" s="0">
        <v>0</v>
      </c>
      <c r="K1694" s="0">
        <v>1</v>
      </c>
      <c r="L1694" s="0">
        <v>3</v>
      </c>
      <c r="M1694" s="0">
        <v>6</v>
      </c>
      <c r="N1694" s="0">
        <v>0</v>
      </c>
      <c r="O1694" s="0">
        <v>0</v>
      </c>
      <c r="P1694" s="0">
        <v>0</v>
      </c>
      <c r="R1694" s="0" t="b">
        <v>0</v>
      </c>
      <c r="S1694" s="0" t="b">
        <v>1</v>
      </c>
      <c r="T1694" s="68">
        <v>44788.409212963</v>
      </c>
      <c r="U1694" s="68">
        <v>44819.3333333333</v>
      </c>
      <c r="V1694" s="68">
        <v>0</v>
      </c>
      <c r="W1694" s="0">
        <f>IF(IF(B1694="none",1,IF(B1694="Trialer",1,0))+IF(C1694="Customer",1,IF(C1694="Lost",1,0))=2,1,0)</f>
      </c>
      <c r="X1694" s="0" t="s">
        <v>145</v>
      </c>
      <c r="Y1694" s="0" t="s">
        <v>243</v>
      </c>
      <c r="AV1694" s="68"/>
      <c r="AW1694" s="68"/>
      <c r="AY1694" s="27"/>
      <c r="BD1694" s="68">
        <v>46054.1666666667</v>
      </c>
      <c r="BE1694" s="68">
        <v>46082.1666666667</v>
      </c>
      <c r="BF1694" s="0" t="b">
        <v>0</v>
      </c>
      <c r="BG1694" s="0" t="b">
        <v>0</v>
      </c>
      <c r="BH1694" s="0">
        <v>307</v>
      </c>
      <c r="BI1694" s="0">
        <v>307</v>
      </c>
      <c r="BJ1694" s="0" t="s">
        <v>135</v>
      </c>
    </row>
    <row r="1695">
      <c r="A1695" s="0" t="s">
        <v>1921</v>
      </c>
      <c r="B1695" s="0" t="s">
        <v>134</v>
      </c>
      <c r="C1695" s="0" t="s">
        <v>134</v>
      </c>
      <c r="D1695" s="0" t="s">
        <v>230</v>
      </c>
      <c r="E1695" s="0" t="s">
        <v>2</v>
      </c>
      <c r="F1695" s="0" t="s">
        <v>10</v>
      </c>
      <c r="G1695" s="0" t="s">
        <v>8</v>
      </c>
      <c r="H1695" s="0">
        <v>1265</v>
      </c>
      <c r="I1695" s="0">
        <v>190</v>
      </c>
      <c r="J1695" s="0">
        <v>0</v>
      </c>
      <c r="K1695" s="0">
        <v>1</v>
      </c>
      <c r="L1695" s="0">
        <v>5</v>
      </c>
      <c r="M1695" s="0">
        <v>4</v>
      </c>
      <c r="N1695" s="0">
        <v>0</v>
      </c>
      <c r="O1695" s="0">
        <v>0</v>
      </c>
      <c r="P1695" s="0">
        <v>2090</v>
      </c>
      <c r="Q1695" s="0" t="s">
        <v>1023</v>
      </c>
      <c r="R1695" s="0" t="b">
        <v>0</v>
      </c>
      <c r="S1695" s="0" t="b">
        <v>1</v>
      </c>
      <c r="T1695" s="68">
        <v>44788.627662037</v>
      </c>
      <c r="U1695" s="68">
        <v>44819.3333333333</v>
      </c>
      <c r="V1695" s="68">
        <v>0</v>
      </c>
      <c r="W1695" s="0">
        <f>IF(IF(B1695="none",1,IF(B1695="Trialer",1,0))+IF(C1695="Customer",1,IF(C1695="Lost",1,0))=2,1,0)</f>
      </c>
      <c r="X1695" s="0" t="s">
        <v>136</v>
      </c>
      <c r="Y1695" s="0" t="s">
        <v>499</v>
      </c>
      <c r="AV1695" s="68"/>
      <c r="AW1695" s="68"/>
      <c r="AY1695" s="27"/>
      <c r="BD1695" s="68">
        <v>46054.1666666667</v>
      </c>
      <c r="BE1695" s="68">
        <v>46082.1666666667</v>
      </c>
      <c r="BF1695" s="0" t="b">
        <v>0</v>
      </c>
      <c r="BG1695" s="0" t="b">
        <v>0</v>
      </c>
      <c r="BH1695" s="0">
        <v>214</v>
      </c>
      <c r="BI1695" s="0">
        <v>214</v>
      </c>
      <c r="BJ1695" s="0" t="s">
        <v>230</v>
      </c>
    </row>
    <row r="1696">
      <c r="A1696" s="0" t="s">
        <v>1922</v>
      </c>
      <c r="B1696" s="0" t="s">
        <v>134</v>
      </c>
      <c r="C1696" s="0" t="s">
        <v>134</v>
      </c>
      <c r="D1696" s="0" t="s">
        <v>135</v>
      </c>
      <c r="E1696" s="0" t="s">
        <v>3</v>
      </c>
      <c r="F1696" s="0" t="s">
        <v>12</v>
      </c>
      <c r="G1696" s="0" t="s">
        <v>8</v>
      </c>
      <c r="H1696" s="0">
        <v>1264</v>
      </c>
      <c r="I1696" s="0">
        <v>0</v>
      </c>
      <c r="J1696" s="0">
        <v>0</v>
      </c>
      <c r="K1696" s="0">
        <v>1</v>
      </c>
      <c r="L1696" s="0">
        <v>3</v>
      </c>
      <c r="M1696" s="0">
        <v>2</v>
      </c>
      <c r="N1696" s="0">
        <v>0</v>
      </c>
      <c r="O1696" s="0">
        <v>0</v>
      </c>
      <c r="P1696" s="0">
        <v>0</v>
      </c>
      <c r="R1696" s="0" t="b">
        <v>0</v>
      </c>
      <c r="S1696" s="0" t="b">
        <v>1</v>
      </c>
      <c r="T1696" s="68">
        <v>44789.7848958333</v>
      </c>
      <c r="U1696" s="68">
        <v>44827.3333333333</v>
      </c>
      <c r="V1696" s="68">
        <v>0</v>
      </c>
      <c r="W1696" s="0">
        <f>IF(IF(B1696="none",1,IF(B1696="Trialer",1,0))+IF(C1696="Customer",1,IF(C1696="Lost",1,0))=2,1,0)</f>
      </c>
      <c r="X1696" s="0" t="s">
        <v>882</v>
      </c>
      <c r="Y1696" s="0" t="s">
        <v>243</v>
      </c>
      <c r="AV1696" s="68"/>
      <c r="AW1696" s="68"/>
      <c r="AY1696" s="27"/>
      <c r="BD1696" s="68">
        <v>46054.1666666667</v>
      </c>
      <c r="BE1696" s="68">
        <v>46082.1666666667</v>
      </c>
      <c r="BF1696" s="0" t="b">
        <v>0</v>
      </c>
      <c r="BG1696" s="0" t="b">
        <v>0</v>
      </c>
      <c r="BH1696" s="0">
        <v>0</v>
      </c>
      <c r="BI1696" s="0">
        <v>0</v>
      </c>
      <c r="BJ1696" s="0" t="s">
        <v>135</v>
      </c>
    </row>
    <row r="1697">
      <c r="A1697" s="0" t="s">
        <v>1923</v>
      </c>
      <c r="B1697" s="0" t="s">
        <v>134</v>
      </c>
      <c r="C1697" s="0" t="s">
        <v>134</v>
      </c>
      <c r="D1697" s="0" t="s">
        <v>135</v>
      </c>
      <c r="E1697" s="0" t="s">
        <v>3</v>
      </c>
      <c r="F1697" s="0" t="s">
        <v>12</v>
      </c>
      <c r="G1697" s="0" t="s">
        <v>8</v>
      </c>
      <c r="H1697" s="0">
        <v>1263</v>
      </c>
      <c r="I1697" s="0">
        <v>0</v>
      </c>
      <c r="J1697" s="0">
        <v>0</v>
      </c>
      <c r="K1697" s="0">
        <v>1</v>
      </c>
      <c r="L1697" s="0">
        <v>5</v>
      </c>
      <c r="M1697" s="0">
        <v>1</v>
      </c>
      <c r="N1697" s="0">
        <v>0</v>
      </c>
      <c r="O1697" s="0">
        <v>0</v>
      </c>
      <c r="P1697" s="0">
        <v>0</v>
      </c>
      <c r="R1697" s="0" t="b">
        <v>0</v>
      </c>
      <c r="S1697" s="0" t="b">
        <v>1</v>
      </c>
      <c r="T1697" s="68">
        <v>44790.5565509259</v>
      </c>
      <c r="U1697" s="68">
        <v>44821.3333333333</v>
      </c>
      <c r="V1697" s="68">
        <v>0</v>
      </c>
      <c r="W1697" s="0">
        <f>IF(IF(B1697="none",1,IF(B1697="Trialer",1,0))+IF(C1697="Customer",1,IF(C1697="Lost",1,0))=2,1,0)</f>
      </c>
      <c r="X1697" s="0" t="s">
        <v>148</v>
      </c>
      <c r="Y1697" s="0" t="s">
        <v>243</v>
      </c>
      <c r="AV1697" s="68"/>
      <c r="AW1697" s="68"/>
      <c r="AY1697" s="27"/>
      <c r="BD1697" s="68">
        <v>46054.1666666667</v>
      </c>
      <c r="BE1697" s="68">
        <v>46082.1666666667</v>
      </c>
      <c r="BF1697" s="0" t="b">
        <v>0</v>
      </c>
      <c r="BG1697" s="0" t="b">
        <v>0</v>
      </c>
      <c r="BH1697" s="0">
        <v>0</v>
      </c>
      <c r="BI1697" s="0">
        <v>0</v>
      </c>
      <c r="BJ1697" s="0" t="s">
        <v>135</v>
      </c>
    </row>
    <row r="1698">
      <c r="A1698" s="0" t="s">
        <v>1924</v>
      </c>
      <c r="B1698" s="0" t="s">
        <v>134</v>
      </c>
      <c r="C1698" s="0" t="s">
        <v>134</v>
      </c>
      <c r="D1698" s="0" t="s">
        <v>135</v>
      </c>
      <c r="E1698" s="0" t="s">
        <v>3</v>
      </c>
      <c r="F1698" s="0" t="s">
        <v>11</v>
      </c>
      <c r="G1698" s="0" t="s">
        <v>8</v>
      </c>
      <c r="H1698" s="0">
        <v>1262</v>
      </c>
      <c r="I1698" s="0">
        <v>40</v>
      </c>
      <c r="J1698" s="0">
        <v>0</v>
      </c>
      <c r="K1698" s="0">
        <v>1</v>
      </c>
      <c r="L1698" s="0">
        <v>1</v>
      </c>
      <c r="M1698" s="0">
        <v>0</v>
      </c>
      <c r="N1698" s="0">
        <v>0</v>
      </c>
      <c r="O1698" s="0">
        <v>0</v>
      </c>
      <c r="P1698" s="0">
        <v>0</v>
      </c>
      <c r="Q1698" s="0" t="s">
        <v>1743</v>
      </c>
      <c r="R1698" s="0" t="b">
        <v>1</v>
      </c>
      <c r="S1698" s="0" t="b">
        <v>0</v>
      </c>
      <c r="T1698" s="68">
        <v>44791.6270833333</v>
      </c>
      <c r="U1698" s="68">
        <v>44791.5</v>
      </c>
      <c r="V1698" s="68">
        <v>46087.4688078704</v>
      </c>
      <c r="W1698" s="0">
        <f>IF(IF(B1698="none",1,IF(B1698="Trialer",1,0))+IF(C1698="Customer",1,IF(C1698="Lost",1,0))=2,1,0)</f>
      </c>
      <c r="X1698" s="0" t="s">
        <v>145</v>
      </c>
      <c r="Y1698" s="0" t="s">
        <v>243</v>
      </c>
      <c r="AV1698" s="68"/>
      <c r="AW1698" s="68"/>
      <c r="AY1698" s="27"/>
      <c r="BD1698" s="68">
        <v>46054.1666666667</v>
      </c>
      <c r="BE1698" s="68">
        <v>46082.1666666667</v>
      </c>
      <c r="BF1698" s="0" t="b">
        <v>0</v>
      </c>
      <c r="BG1698" s="0" t="b">
        <v>0</v>
      </c>
      <c r="BH1698" s="0">
        <v>40</v>
      </c>
      <c r="BI1698" s="0">
        <v>40</v>
      </c>
      <c r="BJ1698" s="0" t="s">
        <v>135</v>
      </c>
    </row>
    <row r="1699">
      <c r="A1699" s="0" t="s">
        <v>1925</v>
      </c>
      <c r="B1699" s="0" t="s">
        <v>134</v>
      </c>
      <c r="C1699" s="0" t="s">
        <v>134</v>
      </c>
      <c r="D1699" s="0" t="s">
        <v>135</v>
      </c>
      <c r="E1699" s="0" t="s">
        <v>3</v>
      </c>
      <c r="F1699" s="0" t="s">
        <v>12</v>
      </c>
      <c r="G1699" s="0" t="s">
        <v>8</v>
      </c>
      <c r="H1699" s="0">
        <v>1261</v>
      </c>
      <c r="I1699" s="0">
        <v>407</v>
      </c>
      <c r="J1699" s="0">
        <v>0</v>
      </c>
      <c r="K1699" s="0">
        <v>1</v>
      </c>
      <c r="L1699" s="0">
        <v>5</v>
      </c>
      <c r="M1699" s="0">
        <v>8</v>
      </c>
      <c r="N1699" s="0">
        <v>0</v>
      </c>
      <c r="O1699" s="0">
        <v>0</v>
      </c>
      <c r="P1699" s="0">
        <v>0</v>
      </c>
      <c r="R1699" s="0" t="b">
        <v>0</v>
      </c>
      <c r="S1699" s="0" t="b">
        <v>1</v>
      </c>
      <c r="T1699" s="68">
        <v>44792.7538541667</v>
      </c>
      <c r="U1699" s="68">
        <v>44846.3333333333</v>
      </c>
      <c r="V1699" s="68">
        <v>0</v>
      </c>
      <c r="W1699" s="0">
        <f>IF(IF(B1699="none",1,IF(B1699="Trialer",1,0))+IF(C1699="Customer",1,IF(C1699="Lost",1,0))=2,1,0)</f>
      </c>
      <c r="X1699" s="0" t="s">
        <v>148</v>
      </c>
      <c r="Y1699" s="0" t="s">
        <v>243</v>
      </c>
      <c r="AV1699" s="68"/>
      <c r="AW1699" s="68"/>
      <c r="AY1699" s="27"/>
      <c r="BD1699" s="68">
        <v>46054.1666666667</v>
      </c>
      <c r="BE1699" s="68">
        <v>46082.1666666667</v>
      </c>
      <c r="BF1699" s="0" t="b">
        <v>0</v>
      </c>
      <c r="BG1699" s="0" t="b">
        <v>0</v>
      </c>
      <c r="BH1699" s="0">
        <v>342</v>
      </c>
      <c r="BI1699" s="0">
        <v>342</v>
      </c>
      <c r="BJ1699" s="0" t="s">
        <v>135</v>
      </c>
    </row>
    <row r="1700">
      <c r="A1700" s="0" t="s">
        <v>1926</v>
      </c>
      <c r="B1700" s="0" t="s">
        <v>134</v>
      </c>
      <c r="C1700" s="0" t="s">
        <v>134</v>
      </c>
      <c r="D1700" s="0" t="s">
        <v>135</v>
      </c>
      <c r="E1700" s="0" t="s">
        <v>3</v>
      </c>
      <c r="F1700" s="0" t="s">
        <v>12</v>
      </c>
      <c r="G1700" s="0" t="s">
        <v>8</v>
      </c>
      <c r="H1700" s="0">
        <v>1257</v>
      </c>
      <c r="I1700" s="0">
        <v>182</v>
      </c>
      <c r="J1700" s="0">
        <v>0</v>
      </c>
      <c r="K1700" s="0">
        <v>1</v>
      </c>
      <c r="L1700" s="0">
        <v>3</v>
      </c>
      <c r="M1700" s="0">
        <v>5</v>
      </c>
      <c r="N1700" s="0">
        <v>0</v>
      </c>
      <c r="O1700" s="0">
        <v>0</v>
      </c>
      <c r="P1700" s="0">
        <v>0</v>
      </c>
      <c r="R1700" s="0" t="b">
        <v>0</v>
      </c>
      <c r="S1700" s="0" t="b">
        <v>1</v>
      </c>
      <c r="T1700" s="68">
        <v>44796.6252430556</v>
      </c>
      <c r="U1700" s="68">
        <v>44827.3333333333</v>
      </c>
      <c r="V1700" s="68">
        <v>0</v>
      </c>
      <c r="W1700" s="0">
        <f>IF(IF(B1700="none",1,IF(B1700="Trialer",1,0))+IF(C1700="Customer",1,IF(C1700="Lost",1,0))=2,1,0)</f>
      </c>
      <c r="X1700" s="0" t="s">
        <v>148</v>
      </c>
      <c r="Y1700" s="0" t="s">
        <v>243</v>
      </c>
      <c r="AV1700" s="68"/>
      <c r="AW1700" s="68"/>
      <c r="AY1700" s="27"/>
      <c r="BD1700" s="68">
        <v>46054.1666666667</v>
      </c>
      <c r="BE1700" s="68">
        <v>46082.1666666667</v>
      </c>
      <c r="BF1700" s="0" t="b">
        <v>0</v>
      </c>
      <c r="BG1700" s="0" t="b">
        <v>0</v>
      </c>
      <c r="BH1700" s="0">
        <v>182</v>
      </c>
      <c r="BI1700" s="0">
        <v>182</v>
      </c>
      <c r="BJ1700" s="0" t="s">
        <v>135</v>
      </c>
    </row>
    <row r="1701">
      <c r="A1701" s="0" t="s">
        <v>1927</v>
      </c>
      <c r="B1701" s="0" t="s">
        <v>134</v>
      </c>
      <c r="C1701" s="0" t="s">
        <v>134</v>
      </c>
      <c r="D1701" s="0" t="s">
        <v>135</v>
      </c>
      <c r="E1701" s="0" t="s">
        <v>2</v>
      </c>
      <c r="F1701" s="0" t="s">
        <v>12</v>
      </c>
      <c r="G1701" s="0" t="s">
        <v>8</v>
      </c>
      <c r="H1701" s="0">
        <v>1256</v>
      </c>
      <c r="I1701" s="0">
        <v>49</v>
      </c>
      <c r="J1701" s="0">
        <v>0</v>
      </c>
      <c r="K1701" s="0">
        <v>1</v>
      </c>
      <c r="L1701" s="0">
        <v>3</v>
      </c>
      <c r="M1701" s="0">
        <v>1</v>
      </c>
      <c r="N1701" s="0">
        <v>0</v>
      </c>
      <c r="O1701" s="0">
        <v>0</v>
      </c>
      <c r="P1701" s="0">
        <v>0</v>
      </c>
      <c r="R1701" s="0" t="b">
        <v>0</v>
      </c>
      <c r="S1701" s="0" t="b">
        <v>1</v>
      </c>
      <c r="T1701" s="68">
        <v>44797.5309375</v>
      </c>
      <c r="U1701" s="68">
        <v>44828.3333333333</v>
      </c>
      <c r="V1701" s="68">
        <v>0</v>
      </c>
      <c r="W1701" s="0">
        <f>IF(IF(B1701="none",1,IF(B1701="Trialer",1,0))+IF(C1701="Customer",1,IF(C1701="Lost",1,0))=2,1,0)</f>
      </c>
      <c r="X1701" s="0" t="s">
        <v>142</v>
      </c>
      <c r="Y1701" s="0" t="s">
        <v>499</v>
      </c>
      <c r="AV1701" s="68"/>
      <c r="AW1701" s="68"/>
      <c r="AY1701" s="27"/>
      <c r="BD1701" s="68">
        <v>46054.1666666667</v>
      </c>
      <c r="BE1701" s="68">
        <v>46082.1666666667</v>
      </c>
      <c r="BF1701" s="0" t="b">
        <v>0</v>
      </c>
      <c r="BG1701" s="0" t="b">
        <v>0</v>
      </c>
      <c r="BH1701" s="0">
        <v>49</v>
      </c>
      <c r="BI1701" s="0">
        <v>49</v>
      </c>
      <c r="BJ1701" s="0" t="s">
        <v>135</v>
      </c>
    </row>
    <row r="1702">
      <c r="A1702" s="0" t="s">
        <v>1928</v>
      </c>
      <c r="B1702" s="0" t="s">
        <v>134</v>
      </c>
      <c r="C1702" s="0" t="s">
        <v>134</v>
      </c>
      <c r="D1702" s="0" t="s">
        <v>230</v>
      </c>
      <c r="E1702" s="0" t="s">
        <v>3</v>
      </c>
      <c r="F1702" s="0" t="s">
        <v>12</v>
      </c>
      <c r="G1702" s="0" t="s">
        <v>8</v>
      </c>
      <c r="H1702" s="0">
        <v>1255</v>
      </c>
      <c r="I1702" s="0">
        <v>33</v>
      </c>
      <c r="J1702" s="0">
        <v>0</v>
      </c>
      <c r="K1702" s="0">
        <v>1</v>
      </c>
      <c r="L1702" s="0">
        <v>2</v>
      </c>
      <c r="M1702" s="0">
        <v>1</v>
      </c>
      <c r="N1702" s="0">
        <v>0</v>
      </c>
      <c r="O1702" s="0">
        <v>0</v>
      </c>
      <c r="P1702" s="0">
        <v>363</v>
      </c>
      <c r="R1702" s="0" t="b">
        <v>0</v>
      </c>
      <c r="S1702" s="0" t="b">
        <v>0</v>
      </c>
      <c r="T1702" s="68">
        <v>44798.4333333333</v>
      </c>
      <c r="U1702" s="68">
        <v>44826.5</v>
      </c>
      <c r="V1702" s="68">
        <v>46083.7418865741</v>
      </c>
      <c r="W1702" s="0">
        <f>IF(IF(B1702="none",1,IF(B1702="Trialer",1,0))+IF(C1702="Customer",1,IF(C1702="Lost",1,0))=2,1,0)</f>
      </c>
      <c r="X1702" s="0" t="s">
        <v>142</v>
      </c>
      <c r="Y1702" s="0" t="s">
        <v>243</v>
      </c>
      <c r="AV1702" s="68"/>
      <c r="AW1702" s="68"/>
      <c r="AY1702" s="27"/>
      <c r="BD1702" s="68">
        <v>46054.1666666667</v>
      </c>
      <c r="BE1702" s="68">
        <v>46082.1666666667</v>
      </c>
      <c r="BF1702" s="0" t="b">
        <v>0</v>
      </c>
      <c r="BG1702" s="0" t="b">
        <v>0</v>
      </c>
      <c r="BH1702" s="0">
        <v>37</v>
      </c>
      <c r="BI1702" s="0">
        <v>37</v>
      </c>
      <c r="BJ1702" s="0" t="s">
        <v>230</v>
      </c>
    </row>
    <row r="1703">
      <c r="A1703" s="0" t="s">
        <v>1929</v>
      </c>
      <c r="B1703" s="0" t="s">
        <v>134</v>
      </c>
      <c r="C1703" s="0" t="s">
        <v>134</v>
      </c>
      <c r="D1703" s="0" t="s">
        <v>135</v>
      </c>
      <c r="E1703" s="0" t="s">
        <v>3</v>
      </c>
      <c r="F1703" s="0" t="s">
        <v>12</v>
      </c>
      <c r="G1703" s="0" t="s">
        <v>8</v>
      </c>
      <c r="H1703" s="0">
        <v>1253</v>
      </c>
      <c r="I1703" s="0">
        <v>61</v>
      </c>
      <c r="J1703" s="0">
        <v>0</v>
      </c>
      <c r="K1703" s="0">
        <v>1</v>
      </c>
      <c r="L1703" s="0">
        <v>4</v>
      </c>
      <c r="M1703" s="0">
        <v>1</v>
      </c>
      <c r="N1703" s="0">
        <v>0</v>
      </c>
      <c r="O1703" s="0">
        <v>0</v>
      </c>
      <c r="P1703" s="0">
        <v>0</v>
      </c>
      <c r="R1703" s="0" t="b">
        <v>0</v>
      </c>
      <c r="S1703" s="0" t="b">
        <v>1</v>
      </c>
      <c r="T1703" s="68">
        <v>44800.3989236111</v>
      </c>
      <c r="U1703" s="68">
        <v>44831.3333333333</v>
      </c>
      <c r="V1703" s="68">
        <v>0</v>
      </c>
      <c r="W1703" s="0">
        <f>IF(IF(B1703="none",1,IF(B1703="Trialer",1,0))+IF(C1703="Customer",1,IF(C1703="Lost",1,0))=2,1,0)</f>
      </c>
      <c r="X1703" s="0" t="s">
        <v>153</v>
      </c>
      <c r="Y1703" s="0" t="s">
        <v>243</v>
      </c>
      <c r="AV1703" s="68"/>
      <c r="AW1703" s="68"/>
      <c r="AY1703" s="27"/>
      <c r="BD1703" s="68">
        <v>46054.1666666667</v>
      </c>
      <c r="BE1703" s="68">
        <v>46082.1666666667</v>
      </c>
      <c r="BF1703" s="0" t="b">
        <v>0</v>
      </c>
      <c r="BG1703" s="0" t="b">
        <v>0</v>
      </c>
      <c r="BH1703" s="0">
        <v>61</v>
      </c>
      <c r="BI1703" s="0">
        <v>61</v>
      </c>
      <c r="BJ1703" s="0" t="s">
        <v>135</v>
      </c>
    </row>
    <row r="1704">
      <c r="A1704" s="0" t="s">
        <v>1930</v>
      </c>
      <c r="B1704" s="0" t="s">
        <v>134</v>
      </c>
      <c r="C1704" s="0" t="s">
        <v>134</v>
      </c>
      <c r="D1704" s="0" t="s">
        <v>135</v>
      </c>
      <c r="E1704" s="0" t="s">
        <v>3</v>
      </c>
      <c r="F1704" s="0" t="s">
        <v>12</v>
      </c>
      <c r="G1704" s="0" t="s">
        <v>7</v>
      </c>
      <c r="H1704" s="0">
        <v>1251</v>
      </c>
      <c r="I1704" s="0">
        <v>40</v>
      </c>
      <c r="J1704" s="0">
        <v>0</v>
      </c>
      <c r="K1704" s="0">
        <v>1</v>
      </c>
      <c r="L1704" s="0">
        <v>1</v>
      </c>
      <c r="M1704" s="0">
        <v>1</v>
      </c>
      <c r="N1704" s="0">
        <v>0</v>
      </c>
      <c r="O1704" s="0">
        <v>0</v>
      </c>
      <c r="P1704" s="0">
        <v>0</v>
      </c>
      <c r="R1704" s="0" t="b">
        <v>0</v>
      </c>
      <c r="S1704" s="0" t="b">
        <v>1</v>
      </c>
      <c r="T1704" s="68">
        <v>44802.4284722222</v>
      </c>
      <c r="U1704" s="68">
        <v>44802.3333333333</v>
      </c>
      <c r="V1704" s="68">
        <v>0</v>
      </c>
      <c r="W1704" s="0">
        <f>IF(IF(B1704="none",1,IF(B1704="Trialer",1,0))+IF(C1704="Customer",1,IF(C1704="Lost",1,0))=2,1,0)</f>
      </c>
      <c r="X1704" s="0" t="s">
        <v>136</v>
      </c>
      <c r="Y1704" s="0" t="s">
        <v>213</v>
      </c>
      <c r="AV1704" s="68"/>
      <c r="AW1704" s="68"/>
      <c r="AY1704" s="27"/>
      <c r="BD1704" s="68">
        <v>46054.1666666667</v>
      </c>
      <c r="BE1704" s="68">
        <v>46082.1666666667</v>
      </c>
      <c r="BF1704" s="0" t="b">
        <v>0</v>
      </c>
      <c r="BG1704" s="0" t="b">
        <v>0</v>
      </c>
      <c r="BH1704" s="0">
        <v>40</v>
      </c>
      <c r="BI1704" s="0">
        <v>40</v>
      </c>
      <c r="BJ1704" s="0" t="s">
        <v>135</v>
      </c>
    </row>
    <row r="1705">
      <c r="A1705" s="0" t="s">
        <v>1931</v>
      </c>
      <c r="B1705" s="0" t="s">
        <v>134</v>
      </c>
      <c r="C1705" s="0" t="s">
        <v>134</v>
      </c>
      <c r="D1705" s="0" t="s">
        <v>135</v>
      </c>
      <c r="E1705" s="0" t="s">
        <v>3</v>
      </c>
      <c r="F1705" s="0" t="s">
        <v>12</v>
      </c>
      <c r="G1705" s="0" t="s">
        <v>8</v>
      </c>
      <c r="H1705" s="0">
        <v>1251</v>
      </c>
      <c r="I1705" s="0">
        <v>80</v>
      </c>
      <c r="J1705" s="0">
        <v>0</v>
      </c>
      <c r="K1705" s="0">
        <v>1</v>
      </c>
      <c r="L1705" s="0">
        <v>2</v>
      </c>
      <c r="M1705" s="0">
        <v>2</v>
      </c>
      <c r="N1705" s="0">
        <v>0</v>
      </c>
      <c r="O1705" s="0">
        <v>0</v>
      </c>
      <c r="P1705" s="0">
        <v>0</v>
      </c>
      <c r="R1705" s="0" t="b">
        <v>0</v>
      </c>
      <c r="S1705" s="0" t="b">
        <v>1</v>
      </c>
      <c r="T1705" s="68">
        <v>44802.9592592593</v>
      </c>
      <c r="U1705" s="68">
        <v>44833.3333333333</v>
      </c>
      <c r="V1705" s="68">
        <v>0</v>
      </c>
      <c r="W1705" s="0">
        <f>IF(IF(B1705="none",1,IF(B1705="Trialer",1,0))+IF(C1705="Customer",1,IF(C1705="Lost",1,0))=2,1,0)</f>
      </c>
      <c r="X1705" s="0" t="s">
        <v>166</v>
      </c>
      <c r="Y1705" s="0" t="s">
        <v>243</v>
      </c>
      <c r="AV1705" s="68"/>
      <c r="AW1705" s="68"/>
      <c r="AY1705" s="27"/>
      <c r="BD1705" s="68">
        <v>46054.1666666667</v>
      </c>
      <c r="BE1705" s="68">
        <v>46082.1666666667</v>
      </c>
      <c r="BF1705" s="0" t="b">
        <v>0</v>
      </c>
      <c r="BG1705" s="0" t="b">
        <v>0</v>
      </c>
      <c r="BH1705" s="0">
        <v>80</v>
      </c>
      <c r="BI1705" s="0">
        <v>80</v>
      </c>
      <c r="BJ1705" s="0" t="s">
        <v>135</v>
      </c>
    </row>
    <row r="1706">
      <c r="A1706" s="0" t="s">
        <v>1932</v>
      </c>
      <c r="B1706" s="0" t="s">
        <v>134</v>
      </c>
      <c r="C1706" s="0" t="s">
        <v>134</v>
      </c>
      <c r="D1706" s="0" t="s">
        <v>135</v>
      </c>
      <c r="E1706" s="0" t="s">
        <v>3</v>
      </c>
      <c r="F1706" s="0" t="s">
        <v>12</v>
      </c>
      <c r="G1706" s="0" t="s">
        <v>8</v>
      </c>
      <c r="H1706" s="0">
        <v>1250</v>
      </c>
      <c r="I1706" s="0">
        <v>186</v>
      </c>
      <c r="J1706" s="0">
        <v>0</v>
      </c>
      <c r="K1706" s="0">
        <v>1</v>
      </c>
      <c r="L1706" s="0">
        <v>6</v>
      </c>
      <c r="M1706" s="0">
        <v>3</v>
      </c>
      <c r="N1706" s="0">
        <v>0</v>
      </c>
      <c r="O1706" s="0">
        <v>0</v>
      </c>
      <c r="P1706" s="0">
        <v>0</v>
      </c>
      <c r="R1706" s="0" t="b">
        <v>0</v>
      </c>
      <c r="S1706" s="0" t="b">
        <v>1</v>
      </c>
      <c r="T1706" s="68">
        <v>44803.7409722222</v>
      </c>
      <c r="U1706" s="68">
        <v>44834.3333333333</v>
      </c>
      <c r="V1706" s="68">
        <v>0</v>
      </c>
      <c r="W1706" s="0">
        <f>IF(IF(B1706="none",1,IF(B1706="Trialer",1,0))+IF(C1706="Customer",1,IF(C1706="Lost",1,0))=2,1,0)</f>
      </c>
      <c r="X1706" s="0" t="s">
        <v>153</v>
      </c>
      <c r="Y1706" s="0" t="s">
        <v>243</v>
      </c>
      <c r="AV1706" s="68"/>
      <c r="AW1706" s="68"/>
      <c r="AY1706" s="27"/>
      <c r="BD1706" s="68">
        <v>46054.1666666667</v>
      </c>
      <c r="BE1706" s="68">
        <v>46082.1666666667</v>
      </c>
      <c r="BF1706" s="0" t="b">
        <v>0</v>
      </c>
      <c r="BG1706" s="0" t="b">
        <v>0</v>
      </c>
      <c r="BH1706" s="0">
        <v>186</v>
      </c>
      <c r="BI1706" s="0">
        <v>186</v>
      </c>
      <c r="BJ1706" s="0" t="s">
        <v>135</v>
      </c>
    </row>
    <row r="1707">
      <c r="A1707" s="0" t="s">
        <v>1933</v>
      </c>
      <c r="B1707" s="0" t="s">
        <v>134</v>
      </c>
      <c r="C1707" s="0" t="s">
        <v>134</v>
      </c>
      <c r="D1707" s="0" t="s">
        <v>230</v>
      </c>
      <c r="E1707" s="0" t="s">
        <v>3</v>
      </c>
      <c r="F1707" s="0" t="s">
        <v>12</v>
      </c>
      <c r="G1707" s="0" t="s">
        <v>8</v>
      </c>
      <c r="H1707" s="0">
        <v>1250</v>
      </c>
      <c r="I1707" s="0">
        <v>569</v>
      </c>
      <c r="J1707" s="0">
        <v>0</v>
      </c>
      <c r="K1707" s="0">
        <v>1</v>
      </c>
      <c r="L1707" s="0">
        <v>6</v>
      </c>
      <c r="M1707" s="0">
        <v>11</v>
      </c>
      <c r="N1707" s="0">
        <v>0</v>
      </c>
      <c r="O1707" s="0">
        <v>0</v>
      </c>
      <c r="P1707" s="0">
        <v>-569</v>
      </c>
      <c r="R1707" s="0" t="b">
        <v>0</v>
      </c>
      <c r="S1707" s="0" t="b">
        <v>1</v>
      </c>
      <c r="T1707" s="68">
        <v>44803.7882407407</v>
      </c>
      <c r="U1707" s="68">
        <v>44834.3333333333</v>
      </c>
      <c r="V1707" s="68">
        <v>0</v>
      </c>
      <c r="W1707" s="0">
        <f>IF(IF(B1707="none",1,IF(B1707="Trialer",1,0))+IF(C1707="Customer",1,IF(C1707="Lost",1,0))=2,1,0)</f>
      </c>
      <c r="X1707" s="0" t="s">
        <v>136</v>
      </c>
      <c r="Y1707" s="0" t="s">
        <v>243</v>
      </c>
      <c r="AV1707" s="68"/>
      <c r="AW1707" s="68"/>
      <c r="AY1707" s="27"/>
      <c r="BD1707" s="68">
        <v>46054.1666666667</v>
      </c>
      <c r="BE1707" s="68">
        <v>46082.1666666667</v>
      </c>
      <c r="BF1707" s="0" t="b">
        <v>0</v>
      </c>
      <c r="BG1707" s="0" t="b">
        <v>0</v>
      </c>
      <c r="BH1707" s="0">
        <v>644</v>
      </c>
      <c r="BI1707" s="0">
        <v>644</v>
      </c>
      <c r="BJ1707" s="0" t="s">
        <v>230</v>
      </c>
    </row>
    <row r="1708">
      <c r="A1708" s="0" t="s">
        <v>1934</v>
      </c>
      <c r="B1708" s="0" t="s">
        <v>134</v>
      </c>
      <c r="C1708" s="0" t="s">
        <v>134</v>
      </c>
      <c r="D1708" s="0" t="s">
        <v>230</v>
      </c>
      <c r="E1708" s="0" t="s">
        <v>3</v>
      </c>
      <c r="F1708" s="0" t="s">
        <v>12</v>
      </c>
      <c r="G1708" s="0" t="s">
        <v>8</v>
      </c>
      <c r="H1708" s="0">
        <v>1250</v>
      </c>
      <c r="I1708" s="0">
        <v>220</v>
      </c>
      <c r="J1708" s="0">
        <v>0</v>
      </c>
      <c r="K1708" s="0">
        <v>1</v>
      </c>
      <c r="L1708" s="0">
        <v>3</v>
      </c>
      <c r="M1708" s="0">
        <v>5</v>
      </c>
      <c r="N1708" s="0">
        <v>0</v>
      </c>
      <c r="O1708" s="0">
        <v>0</v>
      </c>
      <c r="P1708" s="0">
        <v>-220</v>
      </c>
      <c r="R1708" s="0" t="b">
        <v>0</v>
      </c>
      <c r="S1708" s="0" t="b">
        <v>1</v>
      </c>
      <c r="T1708" s="68">
        <v>44803.8839467593</v>
      </c>
      <c r="U1708" s="68">
        <v>44833.3333333333</v>
      </c>
      <c r="V1708" s="68">
        <v>0</v>
      </c>
      <c r="W1708" s="0">
        <f>IF(IF(B1708="none",1,IF(B1708="Trialer",1,0))+IF(C1708="Customer",1,IF(C1708="Lost",1,0))=2,1,0)</f>
      </c>
      <c r="X1708" s="0" t="s">
        <v>148</v>
      </c>
      <c r="Y1708" s="0" t="s">
        <v>243</v>
      </c>
      <c r="AV1708" s="68"/>
      <c r="AW1708" s="68"/>
      <c r="AY1708" s="27"/>
      <c r="BD1708" s="68">
        <v>46054.1666666667</v>
      </c>
      <c r="BE1708" s="68">
        <v>46082.1666666667</v>
      </c>
      <c r="BF1708" s="0" t="b">
        <v>0</v>
      </c>
      <c r="BG1708" s="0" t="b">
        <v>0</v>
      </c>
      <c r="BH1708" s="0">
        <v>245</v>
      </c>
      <c r="BI1708" s="0">
        <v>245</v>
      </c>
      <c r="BJ1708" s="0" t="s">
        <v>230</v>
      </c>
    </row>
    <row r="1709">
      <c r="A1709" s="0" t="s">
        <v>1935</v>
      </c>
      <c r="B1709" s="0" t="s">
        <v>134</v>
      </c>
      <c r="C1709" s="0" t="s">
        <v>134</v>
      </c>
      <c r="D1709" s="0" t="s">
        <v>135</v>
      </c>
      <c r="E1709" s="0" t="s">
        <v>2</v>
      </c>
      <c r="F1709" s="0" t="s">
        <v>10</v>
      </c>
      <c r="G1709" s="0" t="s">
        <v>8</v>
      </c>
      <c r="H1709" s="0">
        <v>1248</v>
      </c>
      <c r="I1709" s="0">
        <v>357</v>
      </c>
      <c r="J1709" s="0">
        <v>0</v>
      </c>
      <c r="K1709" s="0">
        <v>1</v>
      </c>
      <c r="L1709" s="0">
        <v>3</v>
      </c>
      <c r="M1709" s="0">
        <v>9</v>
      </c>
      <c r="N1709" s="0">
        <v>0</v>
      </c>
      <c r="O1709" s="0">
        <v>0</v>
      </c>
      <c r="P1709" s="0">
        <v>0</v>
      </c>
      <c r="Q1709" s="0" t="s">
        <v>1345</v>
      </c>
      <c r="R1709" s="0" t="b">
        <v>0</v>
      </c>
      <c r="S1709" s="0" t="b">
        <v>1</v>
      </c>
      <c r="T1709" s="68">
        <v>44805.62875</v>
      </c>
      <c r="U1709" s="68">
        <v>44835.3333333333</v>
      </c>
      <c r="V1709" s="68">
        <v>0</v>
      </c>
      <c r="W1709" s="0">
        <f>IF(IF(B1709="none",1,IF(B1709="Trialer",1,0))+IF(C1709="Customer",1,IF(C1709="Lost",1,0))=2,1,0)</f>
      </c>
      <c r="X1709" s="0" t="s">
        <v>148</v>
      </c>
      <c r="Y1709" s="0" t="s">
        <v>499</v>
      </c>
      <c r="AV1709" s="68"/>
      <c r="AW1709" s="68"/>
      <c r="AY1709" s="27"/>
      <c r="BD1709" s="68">
        <v>46054.1666666667</v>
      </c>
      <c r="BE1709" s="68">
        <v>46082.1666666667</v>
      </c>
      <c r="BF1709" s="0" t="b">
        <v>0</v>
      </c>
      <c r="BG1709" s="0" t="b">
        <v>0</v>
      </c>
      <c r="BH1709" s="0">
        <v>357</v>
      </c>
      <c r="BI1709" s="0">
        <v>357</v>
      </c>
      <c r="BJ1709" s="0" t="s">
        <v>135</v>
      </c>
    </row>
    <row r="1710">
      <c r="A1710" s="0" t="s">
        <v>1936</v>
      </c>
      <c r="B1710" s="0" t="s">
        <v>134</v>
      </c>
      <c r="C1710" s="0" t="s">
        <v>134</v>
      </c>
      <c r="D1710" s="0" t="s">
        <v>135</v>
      </c>
      <c r="E1710" s="0" t="s">
        <v>3</v>
      </c>
      <c r="F1710" s="0" t="s">
        <v>12</v>
      </c>
      <c r="G1710" s="0" t="s">
        <v>8</v>
      </c>
      <c r="H1710" s="0">
        <v>1248</v>
      </c>
      <c r="I1710" s="0">
        <v>74</v>
      </c>
      <c r="J1710" s="0">
        <v>0</v>
      </c>
      <c r="K1710" s="0">
        <v>1</v>
      </c>
      <c r="L1710" s="0">
        <v>2</v>
      </c>
      <c r="M1710" s="0">
        <v>2</v>
      </c>
      <c r="N1710" s="0">
        <v>0</v>
      </c>
      <c r="O1710" s="0">
        <v>0</v>
      </c>
      <c r="P1710" s="0">
        <v>0</v>
      </c>
      <c r="R1710" s="0" t="b">
        <v>0</v>
      </c>
      <c r="S1710" s="0" t="b">
        <v>1</v>
      </c>
      <c r="T1710" s="68">
        <v>44805.6938541667</v>
      </c>
      <c r="U1710" s="68">
        <v>44835.3333333333</v>
      </c>
      <c r="V1710" s="68">
        <v>0</v>
      </c>
      <c r="W1710" s="0">
        <f>IF(IF(B1710="none",1,IF(B1710="Trialer",1,0))+IF(C1710="Customer",1,IF(C1710="Lost",1,0))=2,1,0)</f>
      </c>
      <c r="X1710" s="0" t="s">
        <v>153</v>
      </c>
      <c r="Y1710" s="0" t="s">
        <v>243</v>
      </c>
      <c r="AV1710" s="68"/>
      <c r="AW1710" s="68"/>
      <c r="AY1710" s="27"/>
      <c r="BD1710" s="68">
        <v>46054.1666666667</v>
      </c>
      <c r="BE1710" s="68">
        <v>46082.1666666667</v>
      </c>
      <c r="BF1710" s="0" t="b">
        <v>0</v>
      </c>
      <c r="BG1710" s="0" t="b">
        <v>0</v>
      </c>
      <c r="BH1710" s="0">
        <v>74</v>
      </c>
      <c r="BI1710" s="0">
        <v>74</v>
      </c>
      <c r="BJ1710" s="0" t="s">
        <v>135</v>
      </c>
    </row>
    <row r="1711">
      <c r="A1711" s="0" t="s">
        <v>1937</v>
      </c>
      <c r="B1711" s="0" t="s">
        <v>134</v>
      </c>
      <c r="C1711" s="0" t="s">
        <v>134</v>
      </c>
      <c r="D1711" s="0" t="s">
        <v>135</v>
      </c>
      <c r="E1711" s="0" t="s">
        <v>3</v>
      </c>
      <c r="F1711" s="0" t="s">
        <v>10</v>
      </c>
      <c r="G1711" s="0" t="s">
        <v>8</v>
      </c>
      <c r="H1711" s="0">
        <v>1247</v>
      </c>
      <c r="I1711" s="0">
        <v>56</v>
      </c>
      <c r="J1711" s="0">
        <v>0</v>
      </c>
      <c r="K1711" s="0">
        <v>1</v>
      </c>
      <c r="L1711" s="0">
        <v>1</v>
      </c>
      <c r="M1711" s="0">
        <v>2</v>
      </c>
      <c r="N1711" s="0">
        <v>0</v>
      </c>
      <c r="O1711" s="0">
        <v>0</v>
      </c>
      <c r="P1711" s="0">
        <v>0</v>
      </c>
      <c r="Q1711" s="0" t="s">
        <v>618</v>
      </c>
      <c r="R1711" s="0" t="b">
        <v>0</v>
      </c>
      <c r="S1711" s="0" t="b">
        <v>1</v>
      </c>
      <c r="T1711" s="68">
        <v>44806.212337963</v>
      </c>
      <c r="U1711" s="68">
        <v>44836.3333333333</v>
      </c>
      <c r="V1711" s="68">
        <v>0</v>
      </c>
      <c r="W1711" s="0">
        <f>IF(IF(B1711="none",1,IF(B1711="Trialer",1,0))+IF(C1711="Customer",1,IF(C1711="Lost",1,0))=2,1,0)</f>
      </c>
      <c r="X1711" s="0" t="s">
        <v>148</v>
      </c>
      <c r="Y1711" s="0" t="s">
        <v>243</v>
      </c>
      <c r="AV1711" s="68"/>
      <c r="AW1711" s="68"/>
      <c r="AY1711" s="27"/>
      <c r="BD1711" s="68">
        <v>46054.1666666667</v>
      </c>
      <c r="BE1711" s="68">
        <v>46082.1666666667</v>
      </c>
      <c r="BF1711" s="0" t="b">
        <v>0</v>
      </c>
      <c r="BG1711" s="0" t="b">
        <v>0</v>
      </c>
      <c r="BH1711" s="0">
        <v>56</v>
      </c>
      <c r="BI1711" s="0">
        <v>56</v>
      </c>
      <c r="BJ1711" s="0" t="s">
        <v>135</v>
      </c>
    </row>
    <row r="1712">
      <c r="A1712" s="0" t="s">
        <v>1938</v>
      </c>
      <c r="B1712" s="0" t="s">
        <v>134</v>
      </c>
      <c r="C1712" s="0" t="s">
        <v>134</v>
      </c>
      <c r="D1712" s="0" t="s">
        <v>230</v>
      </c>
      <c r="E1712" s="0" t="s">
        <v>3</v>
      </c>
      <c r="F1712" s="0" t="s">
        <v>12</v>
      </c>
      <c r="G1712" s="0" t="s">
        <v>8</v>
      </c>
      <c r="H1712" s="0">
        <v>1245</v>
      </c>
      <c r="I1712" s="0">
        <v>43</v>
      </c>
      <c r="J1712" s="0">
        <v>0</v>
      </c>
      <c r="K1712" s="0">
        <v>1</v>
      </c>
      <c r="L1712" s="0">
        <v>3</v>
      </c>
      <c r="M1712" s="0">
        <v>1</v>
      </c>
      <c r="N1712" s="0">
        <v>0</v>
      </c>
      <c r="O1712" s="0">
        <v>0</v>
      </c>
      <c r="P1712" s="0">
        <v>-43</v>
      </c>
      <c r="R1712" s="0" t="b">
        <v>0</v>
      </c>
      <c r="S1712" s="0" t="b">
        <v>1</v>
      </c>
      <c r="T1712" s="68">
        <v>44808.1802199074</v>
      </c>
      <c r="U1712" s="68">
        <v>44838.3333333333</v>
      </c>
      <c r="V1712" s="68">
        <v>0</v>
      </c>
      <c r="W1712" s="0">
        <f>IF(IF(B1712="none",1,IF(B1712="Trialer",1,0))+IF(C1712="Customer",1,IF(C1712="Lost",1,0))=2,1,0)</f>
      </c>
      <c r="X1712" s="0" t="s">
        <v>153</v>
      </c>
      <c r="Y1712" s="0" t="s">
        <v>243</v>
      </c>
      <c r="AV1712" s="68"/>
      <c r="AW1712" s="68"/>
      <c r="AY1712" s="27"/>
      <c r="BD1712" s="68">
        <v>46054.1666666667</v>
      </c>
      <c r="BE1712" s="68">
        <v>46082.1666666667</v>
      </c>
      <c r="BF1712" s="0" t="b">
        <v>0</v>
      </c>
      <c r="BG1712" s="0" t="b">
        <v>0</v>
      </c>
      <c r="BH1712" s="0">
        <v>49</v>
      </c>
      <c r="BI1712" s="0">
        <v>49</v>
      </c>
      <c r="BJ1712" s="0" t="s">
        <v>230</v>
      </c>
    </row>
    <row r="1713">
      <c r="A1713" s="0" t="s">
        <v>1939</v>
      </c>
      <c r="B1713" s="0" t="s">
        <v>134</v>
      </c>
      <c r="C1713" s="0" t="s">
        <v>134</v>
      </c>
      <c r="D1713" s="0" t="s">
        <v>135</v>
      </c>
      <c r="E1713" s="0" t="s">
        <v>3</v>
      </c>
      <c r="F1713" s="0" t="s">
        <v>12</v>
      </c>
      <c r="G1713" s="0" t="s">
        <v>8</v>
      </c>
      <c r="H1713" s="0">
        <v>1243</v>
      </c>
      <c r="I1713" s="0">
        <v>49</v>
      </c>
      <c r="J1713" s="0">
        <v>0</v>
      </c>
      <c r="K1713" s="0">
        <v>1</v>
      </c>
      <c r="L1713" s="0">
        <v>3</v>
      </c>
      <c r="M1713" s="0">
        <v>1</v>
      </c>
      <c r="N1713" s="0">
        <v>0</v>
      </c>
      <c r="O1713" s="0">
        <v>0</v>
      </c>
      <c r="P1713" s="0">
        <v>0</v>
      </c>
      <c r="R1713" s="0" t="b">
        <v>0</v>
      </c>
      <c r="S1713" s="0" t="b">
        <v>1</v>
      </c>
      <c r="T1713" s="68">
        <v>44810.7873148148</v>
      </c>
      <c r="U1713" s="68">
        <v>44840.3333333333</v>
      </c>
      <c r="V1713" s="68">
        <v>0</v>
      </c>
      <c r="W1713" s="0">
        <f>IF(IF(B1713="none",1,IF(B1713="Trialer",1,0))+IF(C1713="Customer",1,IF(C1713="Lost",1,0))=2,1,0)</f>
      </c>
      <c r="X1713" s="0" t="s">
        <v>153</v>
      </c>
      <c r="Y1713" s="0" t="s">
        <v>243</v>
      </c>
      <c r="AV1713" s="68"/>
      <c r="AW1713" s="68"/>
      <c r="AY1713" s="27"/>
      <c r="BD1713" s="68">
        <v>46054.1666666667</v>
      </c>
      <c r="BE1713" s="68">
        <v>46082.1666666667</v>
      </c>
      <c r="BF1713" s="0" t="b">
        <v>0</v>
      </c>
      <c r="BG1713" s="0" t="b">
        <v>0</v>
      </c>
      <c r="BH1713" s="0">
        <v>49</v>
      </c>
      <c r="BI1713" s="0">
        <v>49</v>
      </c>
      <c r="BJ1713" s="0" t="s">
        <v>135</v>
      </c>
    </row>
    <row r="1714">
      <c r="A1714" s="0" t="s">
        <v>1940</v>
      </c>
      <c r="B1714" s="0" t="s">
        <v>134</v>
      </c>
      <c r="C1714" s="0" t="s">
        <v>134</v>
      </c>
      <c r="D1714" s="0" t="s">
        <v>135</v>
      </c>
      <c r="E1714" s="0" t="s">
        <v>3</v>
      </c>
      <c r="F1714" s="0" t="s">
        <v>12</v>
      </c>
      <c r="G1714" s="0" t="s">
        <v>8</v>
      </c>
      <c r="H1714" s="0">
        <v>1243</v>
      </c>
      <c r="I1714" s="0">
        <v>28</v>
      </c>
      <c r="J1714" s="0">
        <v>0</v>
      </c>
      <c r="K1714" s="0">
        <v>1</v>
      </c>
      <c r="L1714" s="0">
        <v>1</v>
      </c>
      <c r="M1714" s="0">
        <v>1</v>
      </c>
      <c r="N1714" s="0">
        <v>0</v>
      </c>
      <c r="O1714" s="0">
        <v>0</v>
      </c>
      <c r="P1714" s="0">
        <v>0</v>
      </c>
      <c r="R1714" s="0" t="b">
        <v>0</v>
      </c>
      <c r="S1714" s="0" t="b">
        <v>1</v>
      </c>
      <c r="T1714" s="68">
        <v>44810.8963657407</v>
      </c>
      <c r="U1714" s="68">
        <v>44841.3333333333</v>
      </c>
      <c r="V1714" s="68">
        <v>0</v>
      </c>
      <c r="W1714" s="0">
        <f>IF(IF(B1714="none",1,IF(B1714="Trialer",1,0))+IF(C1714="Customer",1,IF(C1714="Lost",1,0))=2,1,0)</f>
      </c>
      <c r="X1714" s="0" t="s">
        <v>142</v>
      </c>
      <c r="Y1714" s="0" t="s">
        <v>243</v>
      </c>
      <c r="AV1714" s="68"/>
      <c r="AW1714" s="68"/>
      <c r="AY1714" s="27"/>
      <c r="BD1714" s="68">
        <v>46054.1666666667</v>
      </c>
      <c r="BE1714" s="68">
        <v>46082.1666666667</v>
      </c>
      <c r="BF1714" s="0" t="b">
        <v>0</v>
      </c>
      <c r="BG1714" s="0" t="b">
        <v>0</v>
      </c>
      <c r="BH1714" s="0">
        <v>28</v>
      </c>
      <c r="BI1714" s="0">
        <v>28</v>
      </c>
      <c r="BJ1714" s="0" t="s">
        <v>135</v>
      </c>
    </row>
    <row r="1715">
      <c r="A1715" s="0" t="s">
        <v>1941</v>
      </c>
      <c r="B1715" s="0" t="s">
        <v>134</v>
      </c>
      <c r="C1715" s="0" t="s">
        <v>134</v>
      </c>
      <c r="D1715" s="0" t="s">
        <v>135</v>
      </c>
      <c r="E1715" s="0" t="s">
        <v>3</v>
      </c>
      <c r="F1715" s="0" t="s">
        <v>10</v>
      </c>
      <c r="G1715" s="0" t="s">
        <v>8</v>
      </c>
      <c r="H1715" s="0">
        <v>1242</v>
      </c>
      <c r="I1715" s="0">
        <v>0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  <c r="Q1715" s="0" t="s">
        <v>618</v>
      </c>
      <c r="R1715" s="0" t="b">
        <v>0</v>
      </c>
      <c r="S1715" s="0" t="b">
        <v>1</v>
      </c>
      <c r="T1715" s="68">
        <v>44811.7274884259</v>
      </c>
      <c r="U1715" s="68">
        <v>44841.3333333333</v>
      </c>
      <c r="V1715" s="68">
        <v>0</v>
      </c>
      <c r="W1715" s="0">
        <f>IF(IF(B1715="none",1,IF(B1715="Trialer",1,0))+IF(C1715="Customer",1,IF(C1715="Lost",1,0))=2,1,0)</f>
      </c>
      <c r="X1715" s="0" t="s">
        <v>148</v>
      </c>
      <c r="Y1715" s="0" t="s">
        <v>243</v>
      </c>
      <c r="AV1715" s="68"/>
      <c r="AW1715" s="68"/>
      <c r="AY1715" s="27"/>
      <c r="BD1715" s="68">
        <v>46054.1666666667</v>
      </c>
      <c r="BE1715" s="68">
        <v>46082.1666666667</v>
      </c>
      <c r="BF1715" s="0" t="b">
        <v>0</v>
      </c>
      <c r="BG1715" s="0" t="b">
        <v>0</v>
      </c>
      <c r="BH1715" s="0">
        <v>0</v>
      </c>
      <c r="BI1715" s="0">
        <v>0</v>
      </c>
      <c r="BJ1715" s="0" t="s">
        <v>135</v>
      </c>
    </row>
    <row r="1716">
      <c r="A1716" s="0" t="s">
        <v>1942</v>
      </c>
      <c r="B1716" s="0" t="s">
        <v>134</v>
      </c>
      <c r="C1716" s="0" t="s">
        <v>134</v>
      </c>
      <c r="D1716" s="0" t="s">
        <v>135</v>
      </c>
      <c r="E1716" s="0" t="s">
        <v>3</v>
      </c>
      <c r="F1716" s="0" t="s">
        <v>12</v>
      </c>
      <c r="G1716" s="0" t="s">
        <v>8</v>
      </c>
      <c r="H1716" s="0">
        <v>1240</v>
      </c>
      <c r="I1716" s="0">
        <v>28</v>
      </c>
      <c r="J1716" s="0">
        <v>0</v>
      </c>
      <c r="K1716" s="0">
        <v>1</v>
      </c>
      <c r="L1716" s="0">
        <v>1</v>
      </c>
      <c r="M1716" s="0">
        <v>1</v>
      </c>
      <c r="N1716" s="0">
        <v>0</v>
      </c>
      <c r="O1716" s="0">
        <v>0</v>
      </c>
      <c r="P1716" s="0">
        <v>0</v>
      </c>
      <c r="R1716" s="0" t="b">
        <v>0</v>
      </c>
      <c r="S1716" s="0" t="b">
        <v>1</v>
      </c>
      <c r="T1716" s="68">
        <v>44813.5607291667</v>
      </c>
      <c r="U1716" s="68">
        <v>44843.3333333333</v>
      </c>
      <c r="V1716" s="68">
        <v>0</v>
      </c>
      <c r="W1716" s="0">
        <f>IF(IF(B1716="none",1,IF(B1716="Trialer",1,0))+IF(C1716="Customer",1,IF(C1716="Lost",1,0))=2,1,0)</f>
      </c>
      <c r="X1716" s="0" t="s">
        <v>166</v>
      </c>
      <c r="Y1716" s="0" t="s">
        <v>487</v>
      </c>
      <c r="AV1716" s="68"/>
      <c r="AW1716" s="68"/>
      <c r="AY1716" s="27"/>
      <c r="BD1716" s="68">
        <v>46054.1666666667</v>
      </c>
      <c r="BE1716" s="68">
        <v>46082.1666666667</v>
      </c>
      <c r="BF1716" s="0" t="b">
        <v>0</v>
      </c>
      <c r="BG1716" s="0" t="b">
        <v>0</v>
      </c>
      <c r="BH1716" s="0">
        <v>28</v>
      </c>
      <c r="BI1716" s="0">
        <v>28</v>
      </c>
      <c r="BJ1716" s="0" t="s">
        <v>135</v>
      </c>
    </row>
    <row r="1717">
      <c r="A1717" s="0" t="s">
        <v>1943</v>
      </c>
      <c r="B1717" s="0" t="s">
        <v>134</v>
      </c>
      <c r="C1717" s="0" t="s">
        <v>134</v>
      </c>
      <c r="D1717" s="0" t="s">
        <v>135</v>
      </c>
      <c r="E1717" s="0" t="s">
        <v>3</v>
      </c>
      <c r="F1717" s="0" t="s">
        <v>12</v>
      </c>
      <c r="G1717" s="0" t="s">
        <v>8</v>
      </c>
      <c r="H1717" s="0">
        <v>1240</v>
      </c>
      <c r="I1717" s="0">
        <v>40</v>
      </c>
      <c r="J1717" s="0">
        <v>0</v>
      </c>
      <c r="K1717" s="0">
        <v>1</v>
      </c>
      <c r="L1717" s="0">
        <v>1</v>
      </c>
      <c r="M1717" s="0">
        <v>0</v>
      </c>
      <c r="N1717" s="0">
        <v>0</v>
      </c>
      <c r="O1717" s="0">
        <v>0</v>
      </c>
      <c r="P1717" s="0">
        <v>0</v>
      </c>
      <c r="R1717" s="0" t="b">
        <v>0</v>
      </c>
      <c r="S1717" s="0" t="b">
        <v>1</v>
      </c>
      <c r="T1717" s="68">
        <v>44813.6702893519</v>
      </c>
      <c r="U1717" s="68">
        <v>44813.3333333333</v>
      </c>
      <c r="V1717" s="68">
        <v>0</v>
      </c>
      <c r="W1717" s="0">
        <f>IF(IF(B1717="none",1,IF(B1717="Trialer",1,0))+IF(C1717="Customer",1,IF(C1717="Lost",1,0))=2,1,0)</f>
      </c>
      <c r="X1717" s="0" t="s">
        <v>145</v>
      </c>
      <c r="Y1717" s="0" t="s">
        <v>243</v>
      </c>
      <c r="AV1717" s="68"/>
      <c r="AW1717" s="68"/>
      <c r="AY1717" s="27"/>
      <c r="BD1717" s="68">
        <v>46054.1666666667</v>
      </c>
      <c r="BE1717" s="68">
        <v>46082.1666666667</v>
      </c>
      <c r="BF1717" s="0" t="b">
        <v>0</v>
      </c>
      <c r="BG1717" s="0" t="b">
        <v>0</v>
      </c>
      <c r="BH1717" s="0">
        <v>40</v>
      </c>
      <c r="BI1717" s="0">
        <v>40</v>
      </c>
      <c r="BJ1717" s="0" t="s">
        <v>135</v>
      </c>
    </row>
    <row r="1718">
      <c r="A1718" s="0" t="s">
        <v>1944</v>
      </c>
      <c r="B1718" s="0" t="s">
        <v>134</v>
      </c>
      <c r="C1718" s="0" t="s">
        <v>134</v>
      </c>
      <c r="D1718" s="0" t="s">
        <v>135</v>
      </c>
      <c r="E1718" s="0" t="s">
        <v>3</v>
      </c>
      <c r="F1718" s="0" t="s">
        <v>12</v>
      </c>
      <c r="G1718" s="0" t="s">
        <v>8</v>
      </c>
      <c r="H1718" s="0">
        <v>1238</v>
      </c>
      <c r="I1718" s="0">
        <v>61</v>
      </c>
      <c r="J1718" s="0">
        <v>0</v>
      </c>
      <c r="K1718" s="0">
        <v>1</v>
      </c>
      <c r="L1718" s="0">
        <v>4</v>
      </c>
      <c r="M1718" s="0">
        <v>1</v>
      </c>
      <c r="N1718" s="0">
        <v>0</v>
      </c>
      <c r="O1718" s="0">
        <v>0</v>
      </c>
      <c r="P1718" s="0">
        <v>0</v>
      </c>
      <c r="R1718" s="0" t="b">
        <v>0</v>
      </c>
      <c r="S1718" s="0" t="b">
        <v>1</v>
      </c>
      <c r="T1718" s="68">
        <v>44815.6281481481</v>
      </c>
      <c r="U1718" s="68">
        <v>44845.3333333333</v>
      </c>
      <c r="V1718" s="68">
        <v>0</v>
      </c>
      <c r="W1718" s="0">
        <f>IF(IF(B1718="none",1,IF(B1718="Trialer",1,0))+IF(C1718="Customer",1,IF(C1718="Lost",1,0))=2,1,0)</f>
      </c>
      <c r="X1718" s="0" t="s">
        <v>166</v>
      </c>
      <c r="Y1718" s="0" t="s">
        <v>243</v>
      </c>
      <c r="AV1718" s="68"/>
      <c r="AW1718" s="68"/>
      <c r="AY1718" s="27"/>
      <c r="BD1718" s="68">
        <v>46054.1666666667</v>
      </c>
      <c r="BE1718" s="68">
        <v>46082.1666666667</v>
      </c>
      <c r="BF1718" s="0" t="b">
        <v>0</v>
      </c>
      <c r="BG1718" s="0" t="b">
        <v>0</v>
      </c>
      <c r="BH1718" s="0">
        <v>61</v>
      </c>
      <c r="BI1718" s="0">
        <v>61</v>
      </c>
      <c r="BJ1718" s="0" t="s">
        <v>135</v>
      </c>
    </row>
    <row r="1719">
      <c r="A1719" s="0" t="s">
        <v>1945</v>
      </c>
      <c r="B1719" s="0" t="s">
        <v>134</v>
      </c>
      <c r="C1719" s="0" t="s">
        <v>134</v>
      </c>
      <c r="D1719" s="0" t="s">
        <v>135</v>
      </c>
      <c r="E1719" s="0" t="s">
        <v>2</v>
      </c>
      <c r="F1719" s="0" t="s">
        <v>12</v>
      </c>
      <c r="G1719" s="0" t="s">
        <v>8</v>
      </c>
      <c r="H1719" s="0">
        <v>1237</v>
      </c>
      <c r="I1719" s="0">
        <v>280</v>
      </c>
      <c r="J1719" s="0">
        <v>0</v>
      </c>
      <c r="K1719" s="0">
        <v>1</v>
      </c>
      <c r="L1719" s="0">
        <v>2</v>
      </c>
      <c r="M1719" s="0">
        <v>7</v>
      </c>
      <c r="N1719" s="0">
        <v>0</v>
      </c>
      <c r="O1719" s="0">
        <v>0</v>
      </c>
      <c r="P1719" s="0">
        <v>0</v>
      </c>
      <c r="R1719" s="0" t="b">
        <v>0</v>
      </c>
      <c r="S1719" s="0" t="b">
        <v>1</v>
      </c>
      <c r="T1719" s="68">
        <v>44816.6195833333</v>
      </c>
      <c r="U1719" s="68">
        <v>44846.3333333333</v>
      </c>
      <c r="V1719" s="68">
        <v>0</v>
      </c>
      <c r="W1719" s="0">
        <f>IF(IF(B1719="none",1,IF(B1719="Trialer",1,0))+IF(C1719="Customer",1,IF(C1719="Lost",1,0))=2,1,0)</f>
      </c>
      <c r="X1719" s="0" t="s">
        <v>148</v>
      </c>
      <c r="Y1719" s="0" t="s">
        <v>499</v>
      </c>
      <c r="AV1719" s="68"/>
      <c r="AW1719" s="68"/>
      <c r="AY1719" s="27"/>
      <c r="BD1719" s="68">
        <v>46054.1666666667</v>
      </c>
      <c r="BE1719" s="68">
        <v>46082.1666666667</v>
      </c>
      <c r="BF1719" s="0" t="b">
        <v>0</v>
      </c>
      <c r="BG1719" s="0" t="b">
        <v>0</v>
      </c>
      <c r="BH1719" s="0">
        <v>280</v>
      </c>
      <c r="BI1719" s="0">
        <v>280</v>
      </c>
      <c r="BJ1719" s="0" t="s">
        <v>135</v>
      </c>
    </row>
    <row r="1720">
      <c r="A1720" s="0" t="s">
        <v>1946</v>
      </c>
      <c r="B1720" s="0" t="s">
        <v>134</v>
      </c>
      <c r="C1720" s="0" t="s">
        <v>134</v>
      </c>
      <c r="D1720" s="0" t="s">
        <v>135</v>
      </c>
      <c r="E1720" s="0" t="s">
        <v>3</v>
      </c>
      <c r="F1720" s="0" t="s">
        <v>12</v>
      </c>
      <c r="G1720" s="0" t="s">
        <v>8</v>
      </c>
      <c r="H1720" s="0">
        <v>1233</v>
      </c>
      <c r="I1720" s="0">
        <v>175</v>
      </c>
      <c r="J1720" s="0">
        <v>0</v>
      </c>
      <c r="K1720" s="0">
        <v>1</v>
      </c>
      <c r="L1720" s="0">
        <v>3</v>
      </c>
      <c r="M1720" s="0">
        <v>4</v>
      </c>
      <c r="N1720" s="0">
        <v>852.5</v>
      </c>
      <c r="O1720" s="0">
        <v>0</v>
      </c>
      <c r="P1720" s="0">
        <v>0</v>
      </c>
      <c r="R1720" s="0" t="b">
        <v>0</v>
      </c>
      <c r="S1720" s="0" t="b">
        <v>1</v>
      </c>
      <c r="T1720" s="68">
        <v>44820.5329976852</v>
      </c>
      <c r="U1720" s="68">
        <v>44854.3333333333</v>
      </c>
      <c r="V1720" s="68">
        <v>0</v>
      </c>
      <c r="W1720" s="0">
        <f>IF(IF(B1720="none",1,IF(B1720="Trialer",1,0))+IF(C1720="Customer",1,IF(C1720="Lost",1,0))=2,1,0)</f>
      </c>
      <c r="X1720" s="0" t="s">
        <v>148</v>
      </c>
      <c r="Y1720" s="0" t="s">
        <v>243</v>
      </c>
      <c r="AV1720" s="68"/>
      <c r="AW1720" s="68"/>
      <c r="AY1720" s="27"/>
      <c r="BD1720" s="68">
        <v>46054.1666666667</v>
      </c>
      <c r="BE1720" s="68">
        <v>46082.1666666667</v>
      </c>
      <c r="BF1720" s="0" t="b">
        <v>0</v>
      </c>
      <c r="BG1720" s="0" t="b">
        <v>0</v>
      </c>
      <c r="BH1720" s="0">
        <v>175</v>
      </c>
      <c r="BI1720" s="0">
        <v>175</v>
      </c>
      <c r="BJ1720" s="0" t="s">
        <v>135</v>
      </c>
    </row>
    <row r="1721">
      <c r="A1721" s="0" t="s">
        <v>1947</v>
      </c>
      <c r="B1721" s="0" t="s">
        <v>134</v>
      </c>
      <c r="C1721" s="0" t="s">
        <v>134</v>
      </c>
      <c r="D1721" s="0" t="s">
        <v>135</v>
      </c>
      <c r="E1721" s="0" t="s">
        <v>3</v>
      </c>
      <c r="F1721" s="0" t="s">
        <v>12</v>
      </c>
      <c r="G1721" s="0" t="s">
        <v>8</v>
      </c>
      <c r="H1721" s="0">
        <v>1233</v>
      </c>
      <c r="I1721" s="0">
        <v>122</v>
      </c>
      <c r="J1721" s="0">
        <v>0</v>
      </c>
      <c r="K1721" s="0">
        <v>1</v>
      </c>
      <c r="L1721" s="0">
        <v>5</v>
      </c>
      <c r="M1721" s="0">
        <v>2</v>
      </c>
      <c r="N1721" s="0">
        <v>0</v>
      </c>
      <c r="O1721" s="0">
        <v>0</v>
      </c>
      <c r="P1721" s="0">
        <v>0</v>
      </c>
      <c r="R1721" s="0" t="b">
        <v>0</v>
      </c>
      <c r="S1721" s="0" t="b">
        <v>1</v>
      </c>
      <c r="T1721" s="68">
        <v>44820.5915972222</v>
      </c>
      <c r="U1721" s="68">
        <v>44850.3333333333</v>
      </c>
      <c r="V1721" s="68">
        <v>0</v>
      </c>
      <c r="W1721" s="0">
        <f>IF(IF(B1721="none",1,IF(B1721="Trialer",1,0))+IF(C1721="Customer",1,IF(C1721="Lost",1,0))=2,1,0)</f>
      </c>
      <c r="X1721" s="0" t="s">
        <v>153</v>
      </c>
      <c r="Y1721" s="0" t="s">
        <v>243</v>
      </c>
      <c r="AV1721" s="68"/>
      <c r="AW1721" s="68"/>
      <c r="AY1721" s="27"/>
      <c r="BD1721" s="68">
        <v>46054.1666666667</v>
      </c>
      <c r="BE1721" s="68">
        <v>46082.1666666667</v>
      </c>
      <c r="BF1721" s="0" t="b">
        <v>0</v>
      </c>
      <c r="BG1721" s="0" t="b">
        <v>0</v>
      </c>
      <c r="BH1721" s="0">
        <v>122</v>
      </c>
      <c r="BI1721" s="0">
        <v>122</v>
      </c>
      <c r="BJ1721" s="0" t="s">
        <v>135</v>
      </c>
    </row>
    <row r="1722">
      <c r="A1722" s="0" t="s">
        <v>1948</v>
      </c>
      <c r="B1722" s="0" t="s">
        <v>134</v>
      </c>
      <c r="C1722" s="0" t="s">
        <v>134</v>
      </c>
      <c r="D1722" s="0" t="s">
        <v>230</v>
      </c>
      <c r="E1722" s="0" t="s">
        <v>3</v>
      </c>
      <c r="F1722" s="0" t="s">
        <v>12</v>
      </c>
      <c r="G1722" s="0" t="s">
        <v>8</v>
      </c>
      <c r="H1722" s="0">
        <v>1232</v>
      </c>
      <c r="I1722" s="0">
        <v>94</v>
      </c>
      <c r="J1722" s="0">
        <v>0</v>
      </c>
      <c r="K1722" s="0">
        <v>1</v>
      </c>
      <c r="L1722" s="0">
        <v>3</v>
      </c>
      <c r="M1722" s="0">
        <v>3</v>
      </c>
      <c r="N1722" s="0">
        <v>0</v>
      </c>
      <c r="O1722" s="0">
        <v>0</v>
      </c>
      <c r="P1722" s="0">
        <v>-94</v>
      </c>
      <c r="R1722" s="0" t="b">
        <v>0</v>
      </c>
      <c r="S1722" s="0" t="b">
        <v>1</v>
      </c>
      <c r="T1722" s="68">
        <v>44821.3179398148</v>
      </c>
      <c r="U1722" s="68">
        <v>44851.3333333333</v>
      </c>
      <c r="V1722" s="68">
        <v>0</v>
      </c>
      <c r="W1722" s="0">
        <f>IF(IF(B1722="none",1,IF(B1722="Trialer",1,0))+IF(C1722="Customer",1,IF(C1722="Lost",1,0))=2,1,0)</f>
      </c>
      <c r="X1722" s="0" t="s">
        <v>153</v>
      </c>
      <c r="Y1722" s="0" t="s">
        <v>243</v>
      </c>
      <c r="AV1722" s="68"/>
      <c r="AW1722" s="68"/>
      <c r="AY1722" s="27"/>
      <c r="BD1722" s="68">
        <v>46054.1666666667</v>
      </c>
      <c r="BE1722" s="68">
        <v>46082.1666666667</v>
      </c>
      <c r="BF1722" s="0" t="b">
        <v>0</v>
      </c>
      <c r="BG1722" s="0" t="b">
        <v>0</v>
      </c>
      <c r="BH1722" s="0">
        <v>105</v>
      </c>
      <c r="BI1722" s="0">
        <v>105</v>
      </c>
      <c r="BJ1722" s="0" t="s">
        <v>230</v>
      </c>
    </row>
    <row r="1723">
      <c r="A1723" s="0" t="s">
        <v>1949</v>
      </c>
      <c r="B1723" s="0" t="s">
        <v>134</v>
      </c>
      <c r="C1723" s="0" t="s">
        <v>134</v>
      </c>
      <c r="D1723" s="0" t="s">
        <v>135</v>
      </c>
      <c r="E1723" s="0" t="s">
        <v>3</v>
      </c>
      <c r="F1723" s="0" t="s">
        <v>12</v>
      </c>
      <c r="G1723" s="0" t="s">
        <v>8</v>
      </c>
      <c r="H1723" s="0">
        <v>1232</v>
      </c>
      <c r="I1723" s="0">
        <v>184</v>
      </c>
      <c r="J1723" s="0">
        <v>0</v>
      </c>
      <c r="K1723" s="0">
        <v>1</v>
      </c>
      <c r="L1723" s="0">
        <v>3</v>
      </c>
      <c r="M1723" s="0">
        <v>4</v>
      </c>
      <c r="N1723" s="0">
        <v>0</v>
      </c>
      <c r="O1723" s="0">
        <v>0</v>
      </c>
      <c r="P1723" s="0">
        <v>0</v>
      </c>
      <c r="R1723" s="0" t="b">
        <v>0</v>
      </c>
      <c r="S1723" s="0" t="b">
        <v>1</v>
      </c>
      <c r="T1723" s="68">
        <v>44821.5460416667</v>
      </c>
      <c r="U1723" s="68">
        <v>44851.3333333333</v>
      </c>
      <c r="V1723" s="68">
        <v>0</v>
      </c>
      <c r="W1723" s="0">
        <f>IF(IF(B1723="none",1,IF(B1723="Trialer",1,0))+IF(C1723="Customer",1,IF(C1723="Lost",1,0))=2,1,0)</f>
      </c>
      <c r="X1723" s="0" t="s">
        <v>148</v>
      </c>
      <c r="Y1723" s="0" t="s">
        <v>243</v>
      </c>
      <c r="AV1723" s="68"/>
      <c r="AW1723" s="68"/>
      <c r="AY1723" s="27"/>
      <c r="BD1723" s="68">
        <v>46054.1666666667</v>
      </c>
      <c r="BE1723" s="68">
        <v>46082.1666666667</v>
      </c>
      <c r="BF1723" s="0" t="b">
        <v>0</v>
      </c>
      <c r="BG1723" s="0" t="b">
        <v>0</v>
      </c>
      <c r="BH1723" s="0">
        <v>184</v>
      </c>
      <c r="BI1723" s="0">
        <v>184</v>
      </c>
      <c r="BJ1723" s="0" t="s">
        <v>135</v>
      </c>
    </row>
    <row r="1724">
      <c r="A1724" s="0" t="s">
        <v>1950</v>
      </c>
      <c r="B1724" s="0" t="s">
        <v>134</v>
      </c>
      <c r="C1724" s="0" t="s">
        <v>134</v>
      </c>
      <c r="D1724" s="0" t="s">
        <v>135</v>
      </c>
      <c r="E1724" s="0" t="s">
        <v>3</v>
      </c>
      <c r="F1724" s="0" t="s">
        <v>12</v>
      </c>
      <c r="G1724" s="0" t="s">
        <v>8</v>
      </c>
      <c r="H1724" s="0">
        <v>1231</v>
      </c>
      <c r="I1724" s="0">
        <v>120</v>
      </c>
      <c r="J1724" s="0">
        <v>0</v>
      </c>
      <c r="K1724" s="0">
        <v>1</v>
      </c>
      <c r="L1724" s="0">
        <v>3</v>
      </c>
      <c r="M1724" s="0">
        <v>3</v>
      </c>
      <c r="N1724" s="0">
        <v>0</v>
      </c>
      <c r="O1724" s="0">
        <v>0</v>
      </c>
      <c r="P1724" s="0">
        <v>0</v>
      </c>
      <c r="R1724" s="0" t="b">
        <v>0</v>
      </c>
      <c r="S1724" s="0" t="b">
        <v>1</v>
      </c>
      <c r="T1724" s="68">
        <v>44822.9510069444</v>
      </c>
      <c r="U1724" s="68">
        <v>44852.3333333333</v>
      </c>
      <c r="V1724" s="68">
        <v>0</v>
      </c>
      <c r="W1724" s="0">
        <f>IF(IF(B1724="none",1,IF(B1724="Trialer",1,0))+IF(C1724="Customer",1,IF(C1724="Lost",1,0))=2,1,0)</f>
      </c>
      <c r="X1724" s="0" t="s">
        <v>148</v>
      </c>
      <c r="Y1724" s="0" t="s">
        <v>243</v>
      </c>
      <c r="AV1724" s="68"/>
      <c r="AW1724" s="68"/>
      <c r="AY1724" s="27"/>
      <c r="BD1724" s="68">
        <v>46054.1666666667</v>
      </c>
      <c r="BE1724" s="68">
        <v>46082.1666666667</v>
      </c>
      <c r="BF1724" s="0" t="b">
        <v>0</v>
      </c>
      <c r="BG1724" s="0" t="b">
        <v>0</v>
      </c>
      <c r="BH1724" s="0">
        <v>120</v>
      </c>
      <c r="BI1724" s="0">
        <v>120</v>
      </c>
      <c r="BJ1724" s="0" t="s">
        <v>135</v>
      </c>
    </row>
    <row r="1725">
      <c r="A1725" s="0" t="s">
        <v>1951</v>
      </c>
      <c r="B1725" s="0" t="s">
        <v>134</v>
      </c>
      <c r="C1725" s="0" t="s">
        <v>134</v>
      </c>
      <c r="D1725" s="0" t="s">
        <v>135</v>
      </c>
      <c r="E1725" s="0" t="s">
        <v>3</v>
      </c>
      <c r="F1725" s="0" t="s">
        <v>12</v>
      </c>
      <c r="G1725" s="0" t="s">
        <v>8</v>
      </c>
      <c r="H1725" s="0">
        <v>1230</v>
      </c>
      <c r="I1725" s="0">
        <v>898</v>
      </c>
      <c r="J1725" s="0">
        <v>0</v>
      </c>
      <c r="K1725" s="0">
        <v>1</v>
      </c>
      <c r="L1725" s="0">
        <v>4</v>
      </c>
      <c r="M1725" s="0">
        <v>19</v>
      </c>
      <c r="N1725" s="0">
        <v>0</v>
      </c>
      <c r="O1725" s="0">
        <v>0</v>
      </c>
      <c r="P1725" s="0">
        <v>0</v>
      </c>
      <c r="R1725" s="0" t="b">
        <v>0</v>
      </c>
      <c r="S1725" s="0" t="b">
        <v>1</v>
      </c>
      <c r="T1725" s="68">
        <v>44823.5</v>
      </c>
      <c r="U1725" s="68">
        <v>44853.3333333333</v>
      </c>
      <c r="V1725" s="68">
        <v>0</v>
      </c>
      <c r="W1725" s="0">
        <f>IF(IF(B1725="none",1,IF(B1725="Trialer",1,0))+IF(C1725="Customer",1,IF(C1725="Lost",1,0))=2,1,0)</f>
      </c>
      <c r="X1725" s="0" t="s">
        <v>148</v>
      </c>
      <c r="Y1725" s="0" t="s">
        <v>243</v>
      </c>
      <c r="AV1725" s="68"/>
      <c r="AW1725" s="68"/>
      <c r="AY1725" s="27"/>
      <c r="BD1725" s="68">
        <v>46054.1666666667</v>
      </c>
      <c r="BE1725" s="68">
        <v>46082.1666666667</v>
      </c>
      <c r="BF1725" s="0" t="b">
        <v>0</v>
      </c>
      <c r="BG1725" s="0" t="b">
        <v>0</v>
      </c>
      <c r="BH1725" s="0">
        <v>947</v>
      </c>
      <c r="BI1725" s="0">
        <v>947</v>
      </c>
      <c r="BJ1725" s="0" t="s">
        <v>135</v>
      </c>
    </row>
    <row r="1726">
      <c r="A1726" s="0" t="s">
        <v>1952</v>
      </c>
      <c r="B1726" s="0" t="s">
        <v>134</v>
      </c>
      <c r="C1726" s="0" t="s">
        <v>134</v>
      </c>
      <c r="D1726" s="0" t="s">
        <v>230</v>
      </c>
      <c r="E1726" s="0" t="s">
        <v>3</v>
      </c>
      <c r="F1726" s="0" t="s">
        <v>12</v>
      </c>
      <c r="G1726" s="0" t="s">
        <v>8</v>
      </c>
      <c r="H1726" s="0">
        <v>1230</v>
      </c>
      <c r="I1726" s="0">
        <v>54</v>
      </c>
      <c r="J1726" s="0">
        <v>0</v>
      </c>
      <c r="K1726" s="0">
        <v>1</v>
      </c>
      <c r="L1726" s="0">
        <v>4</v>
      </c>
      <c r="M1726" s="0">
        <v>1</v>
      </c>
      <c r="N1726" s="0">
        <v>0</v>
      </c>
      <c r="O1726" s="0">
        <v>0</v>
      </c>
      <c r="P1726" s="0">
        <v>-54</v>
      </c>
      <c r="R1726" s="0" t="b">
        <v>0</v>
      </c>
      <c r="S1726" s="0" t="b">
        <v>1</v>
      </c>
      <c r="T1726" s="68">
        <v>44823.7018171296</v>
      </c>
      <c r="U1726" s="68">
        <v>44854.3333333333</v>
      </c>
      <c r="V1726" s="68">
        <v>0</v>
      </c>
      <c r="W1726" s="0">
        <f>IF(IF(B1726="none",1,IF(B1726="Trialer",1,0))+IF(C1726="Customer",1,IF(C1726="Lost",1,0))=2,1,0)</f>
      </c>
      <c r="X1726" s="0" t="s">
        <v>142</v>
      </c>
      <c r="Y1726" s="0" t="s">
        <v>243</v>
      </c>
      <c r="AV1726" s="68"/>
      <c r="AW1726" s="68"/>
      <c r="AY1726" s="27"/>
      <c r="BD1726" s="68">
        <v>46054.1666666667</v>
      </c>
      <c r="BE1726" s="68">
        <v>46082.1666666667</v>
      </c>
      <c r="BF1726" s="0" t="b">
        <v>0</v>
      </c>
      <c r="BG1726" s="0" t="b">
        <v>0</v>
      </c>
      <c r="BH1726" s="0">
        <v>61</v>
      </c>
      <c r="BI1726" s="0">
        <v>61</v>
      </c>
      <c r="BJ1726" s="0" t="s">
        <v>230</v>
      </c>
    </row>
    <row r="1727">
      <c r="A1727" s="0" t="s">
        <v>1953</v>
      </c>
      <c r="B1727" s="0" t="s">
        <v>134</v>
      </c>
      <c r="C1727" s="0" t="s">
        <v>134</v>
      </c>
      <c r="D1727" s="0" t="s">
        <v>230</v>
      </c>
      <c r="E1727" s="0" t="s">
        <v>3</v>
      </c>
      <c r="F1727" s="0" t="s">
        <v>12</v>
      </c>
      <c r="G1727" s="0" t="s">
        <v>8</v>
      </c>
      <c r="H1727" s="0">
        <v>1229</v>
      </c>
      <c r="I1727" s="0">
        <v>44.1</v>
      </c>
      <c r="J1727" s="0">
        <v>0</v>
      </c>
      <c r="K1727" s="0">
        <v>1</v>
      </c>
      <c r="L1727" s="0">
        <v>3</v>
      </c>
      <c r="M1727" s="0">
        <v>1</v>
      </c>
      <c r="N1727" s="0">
        <v>0</v>
      </c>
      <c r="O1727" s="0">
        <v>0</v>
      </c>
      <c r="P1727" s="0">
        <v>-44.1</v>
      </c>
      <c r="R1727" s="0" t="b">
        <v>0</v>
      </c>
      <c r="S1727" s="0" t="b">
        <v>1</v>
      </c>
      <c r="T1727" s="68">
        <v>44824.5791666667</v>
      </c>
      <c r="U1727" s="68">
        <v>44827.3333333333</v>
      </c>
      <c r="V1727" s="68">
        <v>0</v>
      </c>
      <c r="W1727" s="0">
        <f>IF(IF(B1727="none",1,IF(B1727="Trialer",1,0))+IF(C1727="Customer",1,IF(C1727="Lost",1,0))=2,1,0)</f>
      </c>
      <c r="X1727" s="0" t="s">
        <v>142</v>
      </c>
      <c r="Y1727" s="0" t="s">
        <v>243</v>
      </c>
      <c r="AV1727" s="68"/>
      <c r="AW1727" s="68"/>
      <c r="AY1727" s="27"/>
      <c r="BD1727" s="68">
        <v>46054.1666666667</v>
      </c>
      <c r="BE1727" s="68">
        <v>46082.1666666667</v>
      </c>
      <c r="BF1727" s="0" t="b">
        <v>0</v>
      </c>
      <c r="BG1727" s="0" t="b">
        <v>0</v>
      </c>
      <c r="BH1727" s="0">
        <v>49</v>
      </c>
      <c r="BI1727" s="0">
        <v>49</v>
      </c>
      <c r="BJ1727" s="0" t="s">
        <v>230</v>
      </c>
    </row>
    <row r="1728">
      <c r="A1728" s="0" t="s">
        <v>1954</v>
      </c>
      <c r="B1728" s="0" t="s">
        <v>134</v>
      </c>
      <c r="C1728" s="0" t="s">
        <v>134</v>
      </c>
      <c r="D1728" s="0" t="s">
        <v>135</v>
      </c>
      <c r="E1728" s="0" t="s">
        <v>3</v>
      </c>
      <c r="F1728" s="0" t="s">
        <v>10</v>
      </c>
      <c r="G1728" s="0" t="s">
        <v>8</v>
      </c>
      <c r="H1728" s="0">
        <v>1227</v>
      </c>
      <c r="I1728" s="0">
        <v>28</v>
      </c>
      <c r="J1728" s="0">
        <v>0</v>
      </c>
      <c r="K1728" s="0">
        <v>1</v>
      </c>
      <c r="L1728" s="0">
        <v>1</v>
      </c>
      <c r="M1728" s="0">
        <v>1</v>
      </c>
      <c r="N1728" s="0">
        <v>0</v>
      </c>
      <c r="O1728" s="0">
        <v>0</v>
      </c>
      <c r="P1728" s="0">
        <v>0</v>
      </c>
      <c r="Q1728" s="0" t="s">
        <v>618</v>
      </c>
      <c r="R1728" s="0" t="b">
        <v>0</v>
      </c>
      <c r="S1728" s="0" t="b">
        <v>1</v>
      </c>
      <c r="T1728" s="68">
        <v>44826.201400463</v>
      </c>
      <c r="U1728" s="68">
        <v>44856.3333333333</v>
      </c>
      <c r="V1728" s="68">
        <v>0</v>
      </c>
      <c r="W1728" s="0">
        <f>IF(IF(B1728="none",1,IF(B1728="Trialer",1,0))+IF(C1728="Customer",1,IF(C1728="Lost",1,0))=2,1,0)</f>
      </c>
      <c r="X1728" s="0" t="s">
        <v>148</v>
      </c>
      <c r="Y1728" s="0" t="s">
        <v>243</v>
      </c>
      <c r="AV1728" s="68"/>
      <c r="AW1728" s="68"/>
      <c r="AY1728" s="27"/>
      <c r="BD1728" s="68">
        <v>46054.1666666667</v>
      </c>
      <c r="BE1728" s="68">
        <v>46082.1666666667</v>
      </c>
      <c r="BF1728" s="0" t="b">
        <v>0</v>
      </c>
      <c r="BG1728" s="0" t="b">
        <v>0</v>
      </c>
      <c r="BH1728" s="0">
        <v>28</v>
      </c>
      <c r="BI1728" s="0">
        <v>28</v>
      </c>
      <c r="BJ1728" s="0" t="s">
        <v>135</v>
      </c>
    </row>
    <row r="1729">
      <c r="A1729" s="0" t="s">
        <v>1955</v>
      </c>
      <c r="B1729" s="0" t="s">
        <v>134</v>
      </c>
      <c r="C1729" s="0" t="s">
        <v>134</v>
      </c>
      <c r="D1729" s="0" t="s">
        <v>135</v>
      </c>
      <c r="E1729" s="0" t="s">
        <v>3</v>
      </c>
      <c r="F1729" s="0" t="s">
        <v>12</v>
      </c>
      <c r="G1729" s="0" t="s">
        <v>8</v>
      </c>
      <c r="H1729" s="0">
        <v>1227</v>
      </c>
      <c r="I1729" s="0">
        <v>488</v>
      </c>
      <c r="J1729" s="0">
        <v>0</v>
      </c>
      <c r="K1729" s="0">
        <v>1</v>
      </c>
      <c r="L1729" s="0">
        <v>4</v>
      </c>
      <c r="M1729" s="0">
        <v>8</v>
      </c>
      <c r="N1729" s="0">
        <v>697.5</v>
      </c>
      <c r="O1729" s="0">
        <v>0</v>
      </c>
      <c r="P1729" s="0">
        <v>0</v>
      </c>
      <c r="R1729" s="0" t="b">
        <v>0</v>
      </c>
      <c r="S1729" s="0" t="b">
        <v>1</v>
      </c>
      <c r="T1729" s="68">
        <v>44826.3540740741</v>
      </c>
      <c r="U1729" s="68">
        <v>44856.3333333333</v>
      </c>
      <c r="V1729" s="68">
        <v>0</v>
      </c>
      <c r="W1729" s="0">
        <f>IF(IF(B1729="none",1,IF(B1729="Trialer",1,0))+IF(C1729="Customer",1,IF(C1729="Lost",1,0))=2,1,0)</f>
      </c>
      <c r="X1729" s="0" t="s">
        <v>148</v>
      </c>
      <c r="Y1729" s="0" t="s">
        <v>243</v>
      </c>
      <c r="AV1729" s="68"/>
      <c r="AW1729" s="68"/>
      <c r="AY1729" s="27"/>
      <c r="BD1729" s="68">
        <v>46054.1666666667</v>
      </c>
      <c r="BE1729" s="68">
        <v>46082.1666666667</v>
      </c>
      <c r="BF1729" s="0" t="b">
        <v>0</v>
      </c>
      <c r="BG1729" s="0" t="b">
        <v>0</v>
      </c>
      <c r="BH1729" s="0">
        <v>488</v>
      </c>
      <c r="BI1729" s="0">
        <v>488</v>
      </c>
      <c r="BJ1729" s="0" t="s">
        <v>135</v>
      </c>
    </row>
    <row r="1730">
      <c r="A1730" s="0" t="s">
        <v>1956</v>
      </c>
      <c r="B1730" s="0" t="s">
        <v>134</v>
      </c>
      <c r="C1730" s="0" t="s">
        <v>134</v>
      </c>
      <c r="D1730" s="0" t="s">
        <v>135</v>
      </c>
      <c r="E1730" s="0" t="s">
        <v>3</v>
      </c>
      <c r="F1730" s="0" t="s">
        <v>12</v>
      </c>
      <c r="G1730" s="0" t="s">
        <v>8</v>
      </c>
      <c r="H1730" s="0">
        <v>1227</v>
      </c>
      <c r="I1730" s="0">
        <v>423</v>
      </c>
      <c r="J1730" s="0">
        <v>0</v>
      </c>
      <c r="K1730" s="0">
        <v>1</v>
      </c>
      <c r="L1730" s="0">
        <v>3</v>
      </c>
      <c r="M1730" s="0">
        <v>9</v>
      </c>
      <c r="N1730" s="0">
        <v>0</v>
      </c>
      <c r="O1730" s="0">
        <v>0</v>
      </c>
      <c r="P1730" s="0">
        <v>0</v>
      </c>
      <c r="R1730" s="0" t="b">
        <v>0</v>
      </c>
      <c r="S1730" s="0" t="b">
        <v>1</v>
      </c>
      <c r="T1730" s="68">
        <v>44826.7010416667</v>
      </c>
      <c r="U1730" s="68">
        <v>44867.3333333333</v>
      </c>
      <c r="V1730" s="68">
        <v>0</v>
      </c>
      <c r="W1730" s="0">
        <f>IF(IF(B1730="none",1,IF(B1730="Trialer",1,0))+IF(C1730="Customer",1,IF(C1730="Lost",1,0))=2,1,0)</f>
      </c>
      <c r="X1730" s="0" t="s">
        <v>148</v>
      </c>
      <c r="Y1730" s="0" t="s">
        <v>243</v>
      </c>
      <c r="AV1730" s="68"/>
      <c r="AW1730" s="68"/>
      <c r="AY1730" s="27"/>
      <c r="BD1730" s="68">
        <v>46054.1666666667</v>
      </c>
      <c r="BE1730" s="68">
        <v>46082.1666666667</v>
      </c>
      <c r="BF1730" s="0" t="b">
        <v>0</v>
      </c>
      <c r="BG1730" s="0" t="b">
        <v>0</v>
      </c>
      <c r="BH1730" s="0">
        <v>423</v>
      </c>
      <c r="BI1730" s="0">
        <v>423</v>
      </c>
      <c r="BJ1730" s="0" t="s">
        <v>135</v>
      </c>
    </row>
    <row r="1731">
      <c r="A1731" s="0" t="s">
        <v>1957</v>
      </c>
      <c r="B1731" s="0" t="s">
        <v>134</v>
      </c>
      <c r="C1731" s="0" t="s">
        <v>134</v>
      </c>
      <c r="D1731" s="0" t="s">
        <v>135</v>
      </c>
      <c r="E1731" s="0" t="s">
        <v>2</v>
      </c>
      <c r="F1731" s="0" t="s">
        <v>10</v>
      </c>
      <c r="G1731" s="0" t="s">
        <v>8</v>
      </c>
      <c r="H1731" s="0">
        <v>1227</v>
      </c>
      <c r="I1731" s="0">
        <v>110</v>
      </c>
      <c r="J1731" s="0">
        <v>0</v>
      </c>
      <c r="K1731" s="0">
        <v>1</v>
      </c>
      <c r="L1731" s="0">
        <v>3</v>
      </c>
      <c r="M1731" s="0">
        <v>3</v>
      </c>
      <c r="N1731" s="0">
        <v>0</v>
      </c>
      <c r="O1731" s="0">
        <v>0</v>
      </c>
      <c r="P1731" s="0">
        <v>0</v>
      </c>
      <c r="Q1731" s="0" t="s">
        <v>498</v>
      </c>
      <c r="R1731" s="0" t="b">
        <v>0</v>
      </c>
      <c r="S1731" s="0" t="b">
        <v>1</v>
      </c>
      <c r="T1731" s="68">
        <v>44826.7624189815</v>
      </c>
      <c r="U1731" s="68">
        <v>44862.3333333333</v>
      </c>
      <c r="V1731" s="68">
        <v>0</v>
      </c>
      <c r="W1731" s="0">
        <f>IF(IF(B1731="none",1,IF(B1731="Trialer",1,0))+IF(C1731="Customer",1,IF(C1731="Lost",1,0))=2,1,0)</f>
      </c>
      <c r="X1731" s="0" t="s">
        <v>136</v>
      </c>
      <c r="Y1731" s="0" t="s">
        <v>499</v>
      </c>
      <c r="AV1731" s="68"/>
      <c r="AW1731" s="68"/>
      <c r="AY1731" s="27"/>
      <c r="BD1731" s="68">
        <v>46054.1666666667</v>
      </c>
      <c r="BE1731" s="68">
        <v>46082.1666666667</v>
      </c>
      <c r="BF1731" s="0" t="b">
        <v>0</v>
      </c>
      <c r="BG1731" s="0" t="b">
        <v>0</v>
      </c>
      <c r="BH1731" s="0">
        <v>110</v>
      </c>
      <c r="BI1731" s="0">
        <v>110</v>
      </c>
      <c r="BJ1731" s="0" t="s">
        <v>135</v>
      </c>
    </row>
    <row r="1732">
      <c r="A1732" s="0" t="s">
        <v>1958</v>
      </c>
      <c r="B1732" s="0" t="s">
        <v>134</v>
      </c>
      <c r="C1732" s="0" t="s">
        <v>134</v>
      </c>
      <c r="D1732" s="0" t="s">
        <v>135</v>
      </c>
      <c r="E1732" s="0" t="s">
        <v>2</v>
      </c>
      <c r="F1732" s="0" t="s">
        <v>10</v>
      </c>
      <c r="G1732" s="0" t="s">
        <v>8</v>
      </c>
      <c r="H1732" s="0">
        <v>1226</v>
      </c>
      <c r="I1732" s="0">
        <v>132</v>
      </c>
      <c r="J1732" s="0">
        <v>0</v>
      </c>
      <c r="K1732" s="0">
        <v>1</v>
      </c>
      <c r="L1732" s="0">
        <v>3</v>
      </c>
      <c r="M1732" s="0">
        <v>3</v>
      </c>
      <c r="N1732" s="0">
        <v>0</v>
      </c>
      <c r="O1732" s="0">
        <v>0</v>
      </c>
      <c r="P1732" s="0">
        <v>0</v>
      </c>
      <c r="Q1732" s="0" t="s">
        <v>1023</v>
      </c>
      <c r="R1732" s="0" t="b">
        <v>0</v>
      </c>
      <c r="S1732" s="0" t="b">
        <v>1</v>
      </c>
      <c r="T1732" s="68">
        <v>44827.3799074074</v>
      </c>
      <c r="U1732" s="68">
        <v>44857.3333333333</v>
      </c>
      <c r="V1732" s="68">
        <v>0</v>
      </c>
      <c r="W1732" s="0">
        <f>IF(IF(B1732="none",1,IF(B1732="Trialer",1,0))+IF(C1732="Customer",1,IF(C1732="Lost",1,0))=2,1,0)</f>
      </c>
      <c r="X1732" s="0" t="s">
        <v>136</v>
      </c>
      <c r="Y1732" s="0" t="s">
        <v>499</v>
      </c>
      <c r="AV1732" s="68"/>
      <c r="AW1732" s="68"/>
      <c r="AY1732" s="27"/>
      <c r="BD1732" s="68">
        <v>46054.1666666667</v>
      </c>
      <c r="BE1732" s="68">
        <v>46082.1666666667</v>
      </c>
      <c r="BF1732" s="0" t="b">
        <v>0</v>
      </c>
      <c r="BG1732" s="0" t="b">
        <v>0</v>
      </c>
      <c r="BH1732" s="0">
        <v>132</v>
      </c>
      <c r="BI1732" s="0">
        <v>132</v>
      </c>
      <c r="BJ1732" s="0" t="s">
        <v>135</v>
      </c>
    </row>
    <row r="1733">
      <c r="A1733" s="0" t="s">
        <v>1959</v>
      </c>
      <c r="B1733" s="0" t="s">
        <v>134</v>
      </c>
      <c r="C1733" s="0" t="s">
        <v>134</v>
      </c>
      <c r="D1733" s="0" t="s">
        <v>135</v>
      </c>
      <c r="E1733" s="0" t="s">
        <v>3</v>
      </c>
      <c r="F1733" s="0" t="s">
        <v>12</v>
      </c>
      <c r="G1733" s="0" t="s">
        <v>8</v>
      </c>
      <c r="H1733" s="0">
        <v>1226</v>
      </c>
      <c r="I1733" s="0">
        <v>0</v>
      </c>
      <c r="J1733" s="0">
        <v>0</v>
      </c>
      <c r="K1733" s="0">
        <v>1</v>
      </c>
      <c r="L1733" s="0">
        <v>6</v>
      </c>
      <c r="M1733" s="0">
        <v>2</v>
      </c>
      <c r="N1733" s="0">
        <v>0</v>
      </c>
      <c r="O1733" s="0">
        <v>0</v>
      </c>
      <c r="P1733" s="0">
        <v>0</v>
      </c>
      <c r="R1733" s="0" t="b">
        <v>0</v>
      </c>
      <c r="S1733" s="0" t="b">
        <v>1</v>
      </c>
      <c r="T1733" s="68">
        <v>44827.4770833333</v>
      </c>
      <c r="U1733" s="68">
        <v>44832.3333333333</v>
      </c>
      <c r="V1733" s="68">
        <v>0</v>
      </c>
      <c r="W1733" s="0">
        <f>IF(IF(B1733="none",1,IF(B1733="Trialer",1,0))+IF(C1733="Customer",1,IF(C1733="Lost",1,0))=2,1,0)</f>
      </c>
      <c r="X1733" s="0" t="s">
        <v>882</v>
      </c>
      <c r="Y1733" s="0" t="s">
        <v>243</v>
      </c>
      <c r="AV1733" s="68"/>
      <c r="AW1733" s="68"/>
      <c r="AY1733" s="27"/>
      <c r="BD1733" s="68">
        <v>46054.1666666667</v>
      </c>
      <c r="BE1733" s="68">
        <v>46082.1666666667</v>
      </c>
      <c r="BF1733" s="0" t="b">
        <v>0</v>
      </c>
      <c r="BG1733" s="0" t="b">
        <v>0</v>
      </c>
      <c r="BH1733" s="0">
        <v>0</v>
      </c>
      <c r="BI1733" s="0">
        <v>0</v>
      </c>
      <c r="BJ1733" s="0" t="s">
        <v>135</v>
      </c>
    </row>
    <row r="1734">
      <c r="A1734" s="0" t="s">
        <v>1960</v>
      </c>
      <c r="B1734" s="0" t="s">
        <v>134</v>
      </c>
      <c r="C1734" s="0" t="s">
        <v>134</v>
      </c>
      <c r="D1734" s="0" t="s">
        <v>135</v>
      </c>
      <c r="E1734" s="0" t="s">
        <v>3</v>
      </c>
      <c r="F1734" s="0" t="s">
        <v>12</v>
      </c>
      <c r="G1734" s="0" t="s">
        <v>8</v>
      </c>
      <c r="H1734" s="0">
        <v>1226</v>
      </c>
      <c r="I1734" s="0">
        <v>0</v>
      </c>
      <c r="J1734" s="0">
        <v>0</v>
      </c>
      <c r="K1734" s="0">
        <v>1</v>
      </c>
      <c r="L1734" s="0">
        <v>6</v>
      </c>
      <c r="M1734" s="0">
        <v>2</v>
      </c>
      <c r="N1734" s="0">
        <v>0</v>
      </c>
      <c r="O1734" s="0">
        <v>0</v>
      </c>
      <c r="P1734" s="0">
        <v>0</v>
      </c>
      <c r="R1734" s="0" t="b">
        <v>0</v>
      </c>
      <c r="S1734" s="0" t="b">
        <v>1</v>
      </c>
      <c r="T1734" s="68">
        <v>44827.4833333333</v>
      </c>
      <c r="U1734" s="68">
        <v>44832.3333333333</v>
      </c>
      <c r="V1734" s="68">
        <v>0</v>
      </c>
      <c r="W1734" s="0">
        <f>IF(IF(B1734="none",1,IF(B1734="Trialer",1,0))+IF(C1734="Customer",1,IF(C1734="Lost",1,0))=2,1,0)</f>
      </c>
      <c r="X1734" s="0" t="s">
        <v>882</v>
      </c>
      <c r="Y1734" s="0" t="s">
        <v>243</v>
      </c>
      <c r="AV1734" s="68"/>
      <c r="AW1734" s="68"/>
      <c r="AY1734" s="27"/>
      <c r="BD1734" s="68">
        <v>46054.1666666667</v>
      </c>
      <c r="BE1734" s="68">
        <v>46082.1666666667</v>
      </c>
      <c r="BF1734" s="0" t="b">
        <v>0</v>
      </c>
      <c r="BG1734" s="0" t="b">
        <v>0</v>
      </c>
      <c r="BH1734" s="0">
        <v>0</v>
      </c>
      <c r="BI1734" s="0">
        <v>0</v>
      </c>
      <c r="BJ1734" s="0" t="s">
        <v>135</v>
      </c>
    </row>
    <row r="1735">
      <c r="A1735" s="0" t="s">
        <v>1961</v>
      </c>
      <c r="B1735" s="0" t="s">
        <v>134</v>
      </c>
      <c r="C1735" s="0" t="s">
        <v>134</v>
      </c>
      <c r="D1735" s="0" t="s">
        <v>135</v>
      </c>
      <c r="E1735" s="0" t="s">
        <v>3</v>
      </c>
      <c r="F1735" s="0" t="s">
        <v>12</v>
      </c>
      <c r="G1735" s="0" t="s">
        <v>8</v>
      </c>
      <c r="H1735" s="0">
        <v>1223</v>
      </c>
      <c r="I1735" s="0">
        <v>0</v>
      </c>
      <c r="J1735" s="0">
        <v>0</v>
      </c>
      <c r="K1735" s="0">
        <v>1</v>
      </c>
      <c r="L1735" s="0">
        <v>3</v>
      </c>
      <c r="M1735" s="0">
        <v>1</v>
      </c>
      <c r="N1735" s="0">
        <v>0</v>
      </c>
      <c r="O1735" s="0">
        <v>0</v>
      </c>
      <c r="P1735" s="0">
        <v>0</v>
      </c>
      <c r="R1735" s="0" t="b">
        <v>0</v>
      </c>
      <c r="S1735" s="0" t="b">
        <v>1</v>
      </c>
      <c r="T1735" s="68">
        <v>44830.5746527778</v>
      </c>
      <c r="U1735" s="68">
        <v>44860.3333333333</v>
      </c>
      <c r="V1735" s="68">
        <v>0</v>
      </c>
      <c r="W1735" s="0">
        <f>IF(IF(B1735="none",1,IF(B1735="Trialer",1,0))+IF(C1735="Customer",1,IF(C1735="Lost",1,0))=2,1,0)</f>
      </c>
      <c r="X1735" s="0" t="s">
        <v>136</v>
      </c>
      <c r="Y1735" s="0" t="s">
        <v>243</v>
      </c>
      <c r="AV1735" s="68"/>
      <c r="AW1735" s="68"/>
      <c r="AY1735" s="27"/>
      <c r="BD1735" s="68">
        <v>46054.1666666667</v>
      </c>
      <c r="BE1735" s="68">
        <v>46082.1666666667</v>
      </c>
      <c r="BF1735" s="0" t="b">
        <v>0</v>
      </c>
      <c r="BG1735" s="0" t="b">
        <v>0</v>
      </c>
      <c r="BH1735" s="0">
        <v>0</v>
      </c>
      <c r="BI1735" s="0">
        <v>0</v>
      </c>
      <c r="BJ1735" s="0" t="s">
        <v>135</v>
      </c>
    </row>
    <row r="1736">
      <c r="A1736" s="0" t="s">
        <v>1962</v>
      </c>
      <c r="B1736" s="0" t="s">
        <v>134</v>
      </c>
      <c r="C1736" s="0" t="s">
        <v>134</v>
      </c>
      <c r="D1736" s="0" t="s">
        <v>135</v>
      </c>
      <c r="E1736" s="0" t="s">
        <v>2</v>
      </c>
      <c r="F1736" s="0" t="s">
        <v>12</v>
      </c>
      <c r="G1736" s="0" t="s">
        <v>8</v>
      </c>
      <c r="H1736" s="0">
        <v>1220</v>
      </c>
      <c r="I1736" s="0">
        <v>150</v>
      </c>
      <c r="J1736" s="0">
        <v>0</v>
      </c>
      <c r="K1736" s="0">
        <v>1</v>
      </c>
      <c r="L1736" s="0">
        <v>4</v>
      </c>
      <c r="M1736" s="0">
        <v>3</v>
      </c>
      <c r="N1736" s="0">
        <v>0</v>
      </c>
      <c r="O1736" s="0">
        <v>0</v>
      </c>
      <c r="P1736" s="0">
        <v>0</v>
      </c>
      <c r="R1736" s="0" t="b">
        <v>0</v>
      </c>
      <c r="S1736" s="0" t="b">
        <v>1</v>
      </c>
      <c r="T1736" s="68">
        <v>44833.7286342593</v>
      </c>
      <c r="U1736" s="68">
        <v>44872.2916666667</v>
      </c>
      <c r="V1736" s="68">
        <v>0</v>
      </c>
      <c r="W1736" s="0">
        <f>IF(IF(B1736="none",1,IF(B1736="Trialer",1,0))+IF(C1736="Customer",1,IF(C1736="Lost",1,0))=2,1,0)</f>
      </c>
      <c r="X1736" s="0" t="s">
        <v>142</v>
      </c>
      <c r="Y1736" s="0" t="s">
        <v>1587</v>
      </c>
      <c r="AV1736" s="68"/>
      <c r="AW1736" s="68"/>
      <c r="AY1736" s="27"/>
      <c r="BD1736" s="68">
        <v>46054.1666666667</v>
      </c>
      <c r="BE1736" s="68">
        <v>46082.1666666667</v>
      </c>
      <c r="BF1736" s="0" t="b">
        <v>0</v>
      </c>
      <c r="BG1736" s="0" t="b">
        <v>0</v>
      </c>
      <c r="BH1736" s="0">
        <v>150</v>
      </c>
      <c r="BI1736" s="0">
        <v>150</v>
      </c>
      <c r="BJ1736" s="0" t="s">
        <v>135</v>
      </c>
    </row>
    <row r="1737">
      <c r="A1737" s="0" t="s">
        <v>1963</v>
      </c>
      <c r="B1737" s="0" t="s">
        <v>134</v>
      </c>
      <c r="C1737" s="0" t="s">
        <v>134</v>
      </c>
      <c r="D1737" s="0" t="s">
        <v>135</v>
      </c>
      <c r="E1737" s="0" t="s">
        <v>3</v>
      </c>
      <c r="F1737" s="0" t="s">
        <v>12</v>
      </c>
      <c r="G1737" s="0" t="s">
        <v>8</v>
      </c>
      <c r="H1737" s="0">
        <v>1216</v>
      </c>
      <c r="I1737" s="0">
        <v>169</v>
      </c>
      <c r="J1737" s="0">
        <v>0</v>
      </c>
      <c r="K1737" s="0">
        <v>1</v>
      </c>
      <c r="L1737" s="0">
        <v>3</v>
      </c>
      <c r="M1737" s="0">
        <v>4</v>
      </c>
      <c r="N1737" s="0">
        <v>0</v>
      </c>
      <c r="O1737" s="0">
        <v>0</v>
      </c>
      <c r="P1737" s="0">
        <v>0</v>
      </c>
      <c r="R1737" s="0" t="b">
        <v>0</v>
      </c>
      <c r="S1737" s="0" t="b">
        <v>1</v>
      </c>
      <c r="T1737" s="68">
        <v>44837.2507523148</v>
      </c>
      <c r="U1737" s="68">
        <v>44868.3333333333</v>
      </c>
      <c r="V1737" s="68">
        <v>0</v>
      </c>
      <c r="W1737" s="0">
        <f>IF(IF(B1737="none",1,IF(B1737="Trialer",1,0))+IF(C1737="Customer",1,IF(C1737="Lost",1,0))=2,1,0)</f>
      </c>
      <c r="X1737" s="0" t="s">
        <v>148</v>
      </c>
      <c r="Y1737" s="0" t="s">
        <v>243</v>
      </c>
      <c r="AV1737" s="68"/>
      <c r="AW1737" s="68"/>
      <c r="AY1737" s="27"/>
      <c r="BD1737" s="68">
        <v>46054.1666666667</v>
      </c>
      <c r="BE1737" s="68">
        <v>46082.1666666667</v>
      </c>
      <c r="BF1737" s="0" t="b">
        <v>0</v>
      </c>
      <c r="BG1737" s="0" t="b">
        <v>0</v>
      </c>
      <c r="BH1737" s="0">
        <v>197</v>
      </c>
      <c r="BI1737" s="0">
        <v>197</v>
      </c>
      <c r="BJ1737" s="0" t="s">
        <v>135</v>
      </c>
    </row>
    <row r="1738">
      <c r="A1738" s="0" t="s">
        <v>1964</v>
      </c>
      <c r="B1738" s="0" t="s">
        <v>134</v>
      </c>
      <c r="C1738" s="0" t="s">
        <v>134</v>
      </c>
      <c r="D1738" s="0" t="s">
        <v>135</v>
      </c>
      <c r="E1738" s="0" t="s">
        <v>3</v>
      </c>
      <c r="F1738" s="0" t="s">
        <v>11</v>
      </c>
      <c r="G1738" s="0" t="s">
        <v>8</v>
      </c>
      <c r="H1738" s="0">
        <v>1216</v>
      </c>
      <c r="I1738" s="0">
        <v>40</v>
      </c>
      <c r="J1738" s="0">
        <v>0</v>
      </c>
      <c r="K1738" s="0">
        <v>1</v>
      </c>
      <c r="L1738" s="0">
        <v>4</v>
      </c>
      <c r="M1738" s="0">
        <v>1</v>
      </c>
      <c r="N1738" s="0">
        <v>0</v>
      </c>
      <c r="O1738" s="0">
        <v>0</v>
      </c>
      <c r="P1738" s="0">
        <v>0</v>
      </c>
      <c r="Q1738" s="0" t="s">
        <v>1743</v>
      </c>
      <c r="R1738" s="0" t="b">
        <v>1</v>
      </c>
      <c r="S1738" s="0" t="b">
        <v>1</v>
      </c>
      <c r="T1738" s="68">
        <v>44837.5</v>
      </c>
      <c r="U1738" s="68">
        <v>44837.5</v>
      </c>
      <c r="V1738" s="68">
        <v>0</v>
      </c>
      <c r="W1738" s="0">
        <f>IF(IF(B1738="none",1,IF(B1738="Trialer",1,0))+IF(C1738="Customer",1,IF(C1738="Lost",1,0))=2,1,0)</f>
      </c>
      <c r="X1738" s="0" t="s">
        <v>145</v>
      </c>
      <c r="Y1738" s="0" t="s">
        <v>243</v>
      </c>
      <c r="AV1738" s="68"/>
      <c r="AW1738" s="68"/>
      <c r="AY1738" s="27"/>
      <c r="BD1738" s="68">
        <v>46054.1666666667</v>
      </c>
      <c r="BE1738" s="68">
        <v>46082.1666666667</v>
      </c>
      <c r="BF1738" s="0" t="b">
        <v>0</v>
      </c>
      <c r="BG1738" s="0" t="b">
        <v>0</v>
      </c>
      <c r="BH1738" s="0">
        <v>40</v>
      </c>
      <c r="BI1738" s="0">
        <v>40</v>
      </c>
      <c r="BJ1738" s="0" t="s">
        <v>135</v>
      </c>
    </row>
    <row r="1739">
      <c r="A1739" s="0" t="s">
        <v>1965</v>
      </c>
      <c r="B1739" s="0" t="s">
        <v>134</v>
      </c>
      <c r="C1739" s="0" t="s">
        <v>134</v>
      </c>
      <c r="D1739" s="0" t="s">
        <v>135</v>
      </c>
      <c r="E1739" s="0" t="s">
        <v>3</v>
      </c>
      <c r="F1739" s="0" t="s">
        <v>10</v>
      </c>
      <c r="G1739" s="0" t="s">
        <v>8</v>
      </c>
      <c r="H1739" s="0">
        <v>1216</v>
      </c>
      <c r="I1739" s="0">
        <v>84</v>
      </c>
      <c r="J1739" s="0">
        <v>0</v>
      </c>
      <c r="K1739" s="0">
        <v>1</v>
      </c>
      <c r="L1739" s="0">
        <v>1</v>
      </c>
      <c r="M1739" s="0">
        <v>3</v>
      </c>
      <c r="N1739" s="0">
        <v>0</v>
      </c>
      <c r="O1739" s="0">
        <v>0</v>
      </c>
      <c r="P1739" s="0">
        <v>0</v>
      </c>
      <c r="Q1739" s="0" t="s">
        <v>618</v>
      </c>
      <c r="R1739" s="0" t="b">
        <v>0</v>
      </c>
      <c r="S1739" s="0" t="b">
        <v>1</v>
      </c>
      <c r="T1739" s="68">
        <v>44837.5735648148</v>
      </c>
      <c r="U1739" s="68">
        <v>44868.3333333333</v>
      </c>
      <c r="V1739" s="68">
        <v>0</v>
      </c>
      <c r="W1739" s="0">
        <f>IF(IF(B1739="none",1,IF(B1739="Trialer",1,0))+IF(C1739="Customer",1,IF(C1739="Lost",1,0))=2,1,0)</f>
      </c>
      <c r="X1739" s="0" t="s">
        <v>148</v>
      </c>
      <c r="Y1739" s="0" t="s">
        <v>243</v>
      </c>
      <c r="AV1739" s="68"/>
      <c r="AW1739" s="68"/>
      <c r="AY1739" s="27"/>
      <c r="BD1739" s="68">
        <v>46054.1666666667</v>
      </c>
      <c r="BE1739" s="68">
        <v>46082.1666666667</v>
      </c>
      <c r="BF1739" s="0" t="b">
        <v>0</v>
      </c>
      <c r="BG1739" s="0" t="b">
        <v>0</v>
      </c>
      <c r="BH1739" s="0">
        <v>84</v>
      </c>
      <c r="BI1739" s="0">
        <v>84</v>
      </c>
      <c r="BJ1739" s="0" t="s">
        <v>135</v>
      </c>
    </row>
    <row r="1740">
      <c r="A1740" s="0" t="s">
        <v>1966</v>
      </c>
      <c r="B1740" s="0" t="s">
        <v>134</v>
      </c>
      <c r="C1740" s="0" t="s">
        <v>134</v>
      </c>
      <c r="D1740" s="0" t="s">
        <v>135</v>
      </c>
      <c r="E1740" s="0" t="s">
        <v>2</v>
      </c>
      <c r="F1740" s="0" t="s">
        <v>12</v>
      </c>
      <c r="G1740" s="0" t="s">
        <v>8</v>
      </c>
      <c r="H1740" s="0">
        <v>1216</v>
      </c>
      <c r="I1740" s="0">
        <v>320</v>
      </c>
      <c r="J1740" s="0">
        <v>0</v>
      </c>
      <c r="K1740" s="0">
        <v>1</v>
      </c>
      <c r="L1740" s="0">
        <v>2</v>
      </c>
      <c r="M1740" s="0">
        <v>8</v>
      </c>
      <c r="N1740" s="0">
        <v>0</v>
      </c>
      <c r="O1740" s="0">
        <v>0</v>
      </c>
      <c r="P1740" s="0">
        <v>0</v>
      </c>
      <c r="R1740" s="0" t="b">
        <v>0</v>
      </c>
      <c r="S1740" s="0" t="b">
        <v>1</v>
      </c>
      <c r="T1740" s="68">
        <v>44837.6911921296</v>
      </c>
      <c r="U1740" s="68">
        <v>44868.3333333333</v>
      </c>
      <c r="V1740" s="68">
        <v>0</v>
      </c>
      <c r="W1740" s="0">
        <f>IF(IF(B1740="none",1,IF(B1740="Trialer",1,0))+IF(C1740="Customer",1,IF(C1740="Lost",1,0))=2,1,0)</f>
      </c>
      <c r="X1740" s="0" t="s">
        <v>148</v>
      </c>
      <c r="Y1740" s="0" t="s">
        <v>499</v>
      </c>
      <c r="AV1740" s="68"/>
      <c r="AW1740" s="68"/>
      <c r="AY1740" s="27"/>
      <c r="BD1740" s="68">
        <v>46054.1666666667</v>
      </c>
      <c r="BE1740" s="68">
        <v>46082.1666666667</v>
      </c>
      <c r="BF1740" s="0" t="b">
        <v>0</v>
      </c>
      <c r="BG1740" s="0" t="b">
        <v>0</v>
      </c>
      <c r="BH1740" s="0">
        <v>320</v>
      </c>
      <c r="BI1740" s="0">
        <v>320</v>
      </c>
      <c r="BJ1740" s="0" t="s">
        <v>135</v>
      </c>
    </row>
    <row r="1741">
      <c r="A1741" s="0" t="s">
        <v>1967</v>
      </c>
      <c r="B1741" s="0" t="s">
        <v>134</v>
      </c>
      <c r="C1741" s="0" t="s">
        <v>134</v>
      </c>
      <c r="D1741" s="0" t="s">
        <v>135</v>
      </c>
      <c r="E1741" s="0" t="s">
        <v>2</v>
      </c>
      <c r="F1741" s="0" t="s">
        <v>12</v>
      </c>
      <c r="G1741" s="0" t="s">
        <v>8</v>
      </c>
      <c r="H1741" s="0">
        <v>1215</v>
      </c>
      <c r="I1741" s="0">
        <v>360</v>
      </c>
      <c r="J1741" s="0">
        <v>0</v>
      </c>
      <c r="K1741" s="0">
        <v>1</v>
      </c>
      <c r="L1741" s="0">
        <v>2</v>
      </c>
      <c r="M1741" s="0">
        <v>9</v>
      </c>
      <c r="N1741" s="0">
        <v>0</v>
      </c>
      <c r="O1741" s="0">
        <v>0</v>
      </c>
      <c r="P1741" s="0">
        <v>0</v>
      </c>
      <c r="R1741" s="0" t="b">
        <v>0</v>
      </c>
      <c r="S1741" s="0" t="b">
        <v>1</v>
      </c>
      <c r="T1741" s="68">
        <v>44838.4899652778</v>
      </c>
      <c r="U1741" s="68">
        <v>44869.3333333333</v>
      </c>
      <c r="V1741" s="68">
        <v>0</v>
      </c>
      <c r="W1741" s="0">
        <f>IF(IF(B1741="none",1,IF(B1741="Trialer",1,0))+IF(C1741="Customer",1,IF(C1741="Lost",1,0))=2,1,0)</f>
      </c>
      <c r="X1741" s="0" t="s">
        <v>136</v>
      </c>
      <c r="Y1741" s="0" t="s">
        <v>499</v>
      </c>
      <c r="AV1741" s="68"/>
      <c r="AW1741" s="68"/>
      <c r="AY1741" s="27"/>
      <c r="BD1741" s="68">
        <v>46054.1666666667</v>
      </c>
      <c r="BE1741" s="68">
        <v>46082.1666666667</v>
      </c>
      <c r="BF1741" s="0" t="b">
        <v>0</v>
      </c>
      <c r="BG1741" s="0" t="b">
        <v>0</v>
      </c>
      <c r="BH1741" s="0">
        <v>400</v>
      </c>
      <c r="BI1741" s="0">
        <v>400</v>
      </c>
      <c r="BJ1741" s="0" t="s">
        <v>135</v>
      </c>
    </row>
    <row r="1742">
      <c r="A1742" s="0" t="s">
        <v>1968</v>
      </c>
      <c r="B1742" s="0" t="s">
        <v>134</v>
      </c>
      <c r="C1742" s="0" t="s">
        <v>134</v>
      </c>
      <c r="D1742" s="0" t="s">
        <v>230</v>
      </c>
      <c r="E1742" s="0" t="s">
        <v>3</v>
      </c>
      <c r="F1742" s="0" t="s">
        <v>12</v>
      </c>
      <c r="G1742" s="0" t="s">
        <v>8</v>
      </c>
      <c r="H1742" s="0">
        <v>1213</v>
      </c>
      <c r="I1742" s="0">
        <v>153</v>
      </c>
      <c r="J1742" s="0">
        <v>0</v>
      </c>
      <c r="K1742" s="0">
        <v>1</v>
      </c>
      <c r="L1742" s="0">
        <v>5</v>
      </c>
      <c r="M1742" s="0">
        <v>3</v>
      </c>
      <c r="N1742" s="0">
        <v>0</v>
      </c>
      <c r="O1742" s="0">
        <v>0</v>
      </c>
      <c r="P1742" s="0">
        <v>-153</v>
      </c>
      <c r="R1742" s="0" t="b">
        <v>0</v>
      </c>
      <c r="S1742" s="0" t="b">
        <v>1</v>
      </c>
      <c r="T1742" s="68">
        <v>44840.2146990741</v>
      </c>
      <c r="U1742" s="68">
        <v>44889.2916666667</v>
      </c>
      <c r="V1742" s="68">
        <v>0</v>
      </c>
      <c r="W1742" s="0">
        <f>IF(IF(B1742="none",1,IF(B1742="Trialer",1,0))+IF(C1742="Customer",1,IF(C1742="Lost",1,0))=2,1,0)</f>
      </c>
      <c r="X1742" s="0" t="s">
        <v>142</v>
      </c>
      <c r="Y1742" s="0" t="s">
        <v>243</v>
      </c>
      <c r="AV1742" s="68"/>
      <c r="AW1742" s="68"/>
      <c r="AY1742" s="27"/>
      <c r="BD1742" s="68">
        <v>46054.1666666667</v>
      </c>
      <c r="BE1742" s="68">
        <v>46082.1666666667</v>
      </c>
      <c r="BF1742" s="0" t="b">
        <v>0</v>
      </c>
      <c r="BG1742" s="0" t="b">
        <v>0</v>
      </c>
      <c r="BH1742" s="0">
        <v>174</v>
      </c>
      <c r="BI1742" s="0">
        <v>174</v>
      </c>
      <c r="BJ1742" s="0" t="s">
        <v>230</v>
      </c>
    </row>
    <row r="1743">
      <c r="A1743" s="0" t="s">
        <v>1969</v>
      </c>
      <c r="B1743" s="0" t="s">
        <v>134</v>
      </c>
      <c r="C1743" s="0" t="s">
        <v>134</v>
      </c>
      <c r="D1743" s="0" t="s">
        <v>135</v>
      </c>
      <c r="E1743" s="0" t="s">
        <v>3</v>
      </c>
      <c r="F1743" s="0" t="s">
        <v>12</v>
      </c>
      <c r="G1743" s="0" t="s">
        <v>8</v>
      </c>
      <c r="H1743" s="0">
        <v>1213</v>
      </c>
      <c r="I1743" s="0">
        <v>122</v>
      </c>
      <c r="J1743" s="0">
        <v>0</v>
      </c>
      <c r="K1743" s="0">
        <v>1</v>
      </c>
      <c r="L1743" s="0">
        <v>4</v>
      </c>
      <c r="M1743" s="0">
        <v>2</v>
      </c>
      <c r="N1743" s="0">
        <v>0</v>
      </c>
      <c r="O1743" s="0">
        <v>0</v>
      </c>
      <c r="P1743" s="0">
        <v>0</v>
      </c>
      <c r="R1743" s="0" t="b">
        <v>0</v>
      </c>
      <c r="S1743" s="0" t="b">
        <v>1</v>
      </c>
      <c r="T1743" s="68">
        <v>44840.3878703704</v>
      </c>
      <c r="U1743" s="68">
        <v>44871.2916666667</v>
      </c>
      <c r="V1743" s="68">
        <v>0</v>
      </c>
      <c r="W1743" s="0">
        <f>IF(IF(B1743="none",1,IF(B1743="Trialer",1,0))+IF(C1743="Customer",1,IF(C1743="Lost",1,0))=2,1,0)</f>
      </c>
      <c r="X1743" s="0" t="s">
        <v>153</v>
      </c>
      <c r="Y1743" s="0" t="s">
        <v>243</v>
      </c>
      <c r="AV1743" s="68"/>
      <c r="AW1743" s="68"/>
      <c r="AY1743" s="27"/>
      <c r="BD1743" s="68">
        <v>46054.1666666667</v>
      </c>
      <c r="BE1743" s="68">
        <v>46082.1666666667</v>
      </c>
      <c r="BF1743" s="0" t="b">
        <v>0</v>
      </c>
      <c r="BG1743" s="0" t="b">
        <v>0</v>
      </c>
      <c r="BH1743" s="0">
        <v>122</v>
      </c>
      <c r="BI1743" s="0">
        <v>122</v>
      </c>
      <c r="BJ1743" s="0" t="s">
        <v>135</v>
      </c>
    </row>
    <row r="1744">
      <c r="A1744" s="0" t="s">
        <v>1970</v>
      </c>
      <c r="B1744" s="0" t="s">
        <v>134</v>
      </c>
      <c r="C1744" s="0" t="s">
        <v>134</v>
      </c>
      <c r="D1744" s="0" t="s">
        <v>135</v>
      </c>
      <c r="E1744" s="0" t="s">
        <v>3</v>
      </c>
      <c r="F1744" s="0" t="s">
        <v>11</v>
      </c>
      <c r="G1744" s="0" t="s">
        <v>8</v>
      </c>
      <c r="H1744" s="0">
        <v>1213</v>
      </c>
      <c r="I1744" s="0">
        <v>78.4</v>
      </c>
      <c r="J1744" s="0">
        <v>0</v>
      </c>
      <c r="K1744" s="0">
        <v>1</v>
      </c>
      <c r="L1744" s="0">
        <v>3</v>
      </c>
      <c r="M1744" s="0">
        <v>2</v>
      </c>
      <c r="N1744" s="0">
        <v>0</v>
      </c>
      <c r="O1744" s="0">
        <v>0</v>
      </c>
      <c r="P1744" s="0">
        <v>0</v>
      </c>
      <c r="Q1744" s="0" t="s">
        <v>1743</v>
      </c>
      <c r="R1744" s="0" t="b">
        <v>1</v>
      </c>
      <c r="S1744" s="0" t="b">
        <v>1</v>
      </c>
      <c r="T1744" s="68">
        <v>44840.4604166667</v>
      </c>
      <c r="U1744" s="68">
        <v>44840.5</v>
      </c>
      <c r="V1744" s="68">
        <v>0</v>
      </c>
      <c r="W1744" s="0">
        <f>IF(IF(B1744="none",1,IF(B1744="Trialer",1,0))+IF(C1744="Customer",1,IF(C1744="Lost",1,0))=2,1,0)</f>
      </c>
      <c r="X1744" s="0" t="s">
        <v>145</v>
      </c>
      <c r="Y1744" s="0" t="s">
        <v>243</v>
      </c>
      <c r="AV1744" s="68"/>
      <c r="AW1744" s="68"/>
      <c r="AY1744" s="27"/>
      <c r="BD1744" s="68">
        <v>46054.1666666667</v>
      </c>
      <c r="BE1744" s="68">
        <v>46082.1666666667</v>
      </c>
      <c r="BF1744" s="0" t="b">
        <v>0</v>
      </c>
      <c r="BG1744" s="0" t="b">
        <v>0</v>
      </c>
      <c r="BH1744" s="0">
        <v>78.4</v>
      </c>
      <c r="BI1744" s="0">
        <v>78.4</v>
      </c>
      <c r="BJ1744" s="0" t="s">
        <v>135</v>
      </c>
    </row>
    <row r="1745">
      <c r="A1745" s="0" t="s">
        <v>1971</v>
      </c>
      <c r="B1745" s="0" t="s">
        <v>134</v>
      </c>
      <c r="C1745" s="0" t="s">
        <v>134</v>
      </c>
      <c r="D1745" s="0" t="s">
        <v>135</v>
      </c>
      <c r="E1745" s="0" t="s">
        <v>3</v>
      </c>
      <c r="F1745" s="0" t="s">
        <v>12</v>
      </c>
      <c r="G1745" s="0" t="s">
        <v>8</v>
      </c>
      <c r="H1745" s="0">
        <v>1212</v>
      </c>
      <c r="I1745" s="0">
        <v>40</v>
      </c>
      <c r="J1745" s="0">
        <v>0</v>
      </c>
      <c r="K1745" s="0">
        <v>1</v>
      </c>
      <c r="L1745" s="0">
        <v>1</v>
      </c>
      <c r="M1745" s="0">
        <v>0</v>
      </c>
      <c r="N1745" s="0">
        <v>0</v>
      </c>
      <c r="O1745" s="0">
        <v>0</v>
      </c>
      <c r="P1745" s="0">
        <v>0</v>
      </c>
      <c r="R1745" s="0" t="b">
        <v>0</v>
      </c>
      <c r="S1745" s="0" t="b">
        <v>1</v>
      </c>
      <c r="T1745" s="68">
        <v>44841.6724652778</v>
      </c>
      <c r="U1745" s="68">
        <v>44841.3333333333</v>
      </c>
      <c r="V1745" s="68">
        <v>0</v>
      </c>
      <c r="W1745" s="0">
        <f>IF(IF(B1745="none",1,IF(B1745="Trialer",1,0))+IF(C1745="Customer",1,IF(C1745="Lost",1,0))=2,1,0)</f>
      </c>
      <c r="X1745" s="0" t="s">
        <v>136</v>
      </c>
      <c r="Y1745" s="0" t="s">
        <v>499</v>
      </c>
      <c r="AV1745" s="68"/>
      <c r="AW1745" s="68"/>
      <c r="AY1745" s="27"/>
      <c r="BD1745" s="68">
        <v>46054.1666666667</v>
      </c>
      <c r="BE1745" s="68">
        <v>46082.1666666667</v>
      </c>
      <c r="BF1745" s="0" t="b">
        <v>0</v>
      </c>
      <c r="BG1745" s="0" t="b">
        <v>0</v>
      </c>
      <c r="BH1745" s="0">
        <v>40</v>
      </c>
      <c r="BI1745" s="0">
        <v>40</v>
      </c>
      <c r="BJ1745" s="0" t="s">
        <v>135</v>
      </c>
    </row>
    <row r="1746">
      <c r="A1746" s="0" t="s">
        <v>1972</v>
      </c>
      <c r="B1746" s="0" t="s">
        <v>134</v>
      </c>
      <c r="C1746" s="0" t="s">
        <v>134</v>
      </c>
      <c r="D1746" s="0" t="s">
        <v>230</v>
      </c>
      <c r="E1746" s="0" t="s">
        <v>2</v>
      </c>
      <c r="F1746" s="0" t="s">
        <v>12</v>
      </c>
      <c r="G1746" s="0" t="s">
        <v>8</v>
      </c>
      <c r="H1746" s="0">
        <v>1212</v>
      </c>
      <c r="I1746" s="0">
        <v>909.1</v>
      </c>
      <c r="J1746" s="0">
        <v>0</v>
      </c>
      <c r="K1746" s="0">
        <v>1</v>
      </c>
      <c r="L1746" s="0">
        <v>6</v>
      </c>
      <c r="M1746" s="0">
        <v>10</v>
      </c>
      <c r="N1746" s="0">
        <v>0</v>
      </c>
      <c r="O1746" s="0">
        <v>0</v>
      </c>
      <c r="P1746" s="0">
        <v>6425.1</v>
      </c>
      <c r="R1746" s="0" t="b">
        <v>0</v>
      </c>
      <c r="S1746" s="0" t="b">
        <v>1</v>
      </c>
      <c r="T1746" s="68">
        <v>44841.7336111111</v>
      </c>
      <c r="U1746" s="68">
        <v>44872.2916666667</v>
      </c>
      <c r="V1746" s="68">
        <v>0</v>
      </c>
      <c r="W1746" s="0">
        <f>IF(IF(B1746="none",1,IF(B1746="Trialer",1,0))+IF(C1746="Customer",1,IF(C1746="Lost",1,0))=2,1,0)</f>
      </c>
      <c r="X1746" s="0" t="s">
        <v>136</v>
      </c>
      <c r="Y1746" s="0" t="s">
        <v>499</v>
      </c>
      <c r="AV1746" s="68"/>
      <c r="AW1746" s="68"/>
      <c r="AY1746" s="27"/>
      <c r="BD1746" s="68">
        <v>46054.1666666667</v>
      </c>
      <c r="BE1746" s="68">
        <v>46082.1666666667</v>
      </c>
      <c r="BF1746" s="0" t="b">
        <v>0</v>
      </c>
      <c r="BG1746" s="0" t="b">
        <v>0</v>
      </c>
      <c r="BH1746" s="0">
        <v>551</v>
      </c>
      <c r="BI1746" s="0">
        <v>551</v>
      </c>
      <c r="BJ1746" s="0" t="s">
        <v>230</v>
      </c>
    </row>
    <row r="1747">
      <c r="A1747" s="0" t="s">
        <v>1973</v>
      </c>
      <c r="B1747" s="0" t="s">
        <v>134</v>
      </c>
      <c r="C1747" s="0" t="s">
        <v>134</v>
      </c>
      <c r="D1747" s="0" t="s">
        <v>135</v>
      </c>
      <c r="E1747" s="0" t="s">
        <v>2</v>
      </c>
      <c r="F1747" s="0" t="s">
        <v>12</v>
      </c>
      <c r="G1747" s="0" t="s">
        <v>7</v>
      </c>
      <c r="H1747" s="0">
        <v>1210</v>
      </c>
      <c r="I1747" s="0">
        <v>40</v>
      </c>
      <c r="J1747" s="0">
        <v>0</v>
      </c>
      <c r="K1747" s="0">
        <v>1</v>
      </c>
      <c r="L1747" s="0">
        <v>1</v>
      </c>
      <c r="M1747" s="0">
        <v>1</v>
      </c>
      <c r="N1747" s="0">
        <v>0</v>
      </c>
      <c r="O1747" s="0">
        <v>0</v>
      </c>
      <c r="P1747" s="0">
        <v>0</v>
      </c>
      <c r="R1747" s="0" t="b">
        <v>0</v>
      </c>
      <c r="S1747" s="0" t="b">
        <v>1</v>
      </c>
      <c r="T1747" s="68">
        <v>44843.5</v>
      </c>
      <c r="U1747" s="68">
        <v>44843.5</v>
      </c>
      <c r="V1747" s="68">
        <v>0</v>
      </c>
      <c r="W1747" s="0">
        <f>IF(IF(B1747="none",1,IF(B1747="Trialer",1,0))+IF(C1747="Customer",1,IF(C1747="Lost",1,0))=2,1,0)</f>
      </c>
      <c r="X1747" s="0" t="s">
        <v>145</v>
      </c>
      <c r="Y1747" s="0" t="s">
        <v>137</v>
      </c>
      <c r="AV1747" s="68"/>
      <c r="AW1747" s="68"/>
      <c r="AY1747" s="27"/>
      <c r="BD1747" s="68">
        <v>46054.1666666667</v>
      </c>
      <c r="BE1747" s="68">
        <v>46082.1666666667</v>
      </c>
      <c r="BF1747" s="0" t="b">
        <v>0</v>
      </c>
      <c r="BG1747" s="0" t="b">
        <v>0</v>
      </c>
      <c r="BH1747" s="0">
        <v>40</v>
      </c>
      <c r="BI1747" s="0">
        <v>40</v>
      </c>
      <c r="BJ1747" s="0" t="s">
        <v>135</v>
      </c>
    </row>
    <row r="1748">
      <c r="A1748" s="0" t="s">
        <v>1974</v>
      </c>
      <c r="B1748" s="0" t="s">
        <v>134</v>
      </c>
      <c r="C1748" s="0" t="s">
        <v>134</v>
      </c>
      <c r="D1748" s="0" t="s">
        <v>135</v>
      </c>
      <c r="E1748" s="0" t="s">
        <v>3</v>
      </c>
      <c r="F1748" s="0" t="s">
        <v>12</v>
      </c>
      <c r="G1748" s="0" t="s">
        <v>8</v>
      </c>
      <c r="H1748" s="0">
        <v>1210</v>
      </c>
      <c r="I1748" s="0">
        <v>254</v>
      </c>
      <c r="J1748" s="0">
        <v>0</v>
      </c>
      <c r="K1748" s="0">
        <v>1</v>
      </c>
      <c r="L1748" s="0">
        <v>5</v>
      </c>
      <c r="M1748" s="0">
        <v>5</v>
      </c>
      <c r="N1748" s="0">
        <v>0</v>
      </c>
      <c r="O1748" s="0">
        <v>0</v>
      </c>
      <c r="P1748" s="0">
        <v>0</v>
      </c>
      <c r="R1748" s="0" t="b">
        <v>0</v>
      </c>
      <c r="S1748" s="0" t="b">
        <v>1</v>
      </c>
      <c r="T1748" s="68">
        <v>44843.5150231481</v>
      </c>
      <c r="U1748" s="68">
        <v>44874.2916666667</v>
      </c>
      <c r="V1748" s="68">
        <v>0</v>
      </c>
      <c r="W1748" s="0">
        <f>IF(IF(B1748="none",1,IF(B1748="Trialer",1,0))+IF(C1748="Customer",1,IF(C1748="Lost",1,0))=2,1,0)</f>
      </c>
      <c r="X1748" s="0" t="s">
        <v>145</v>
      </c>
      <c r="Y1748" s="0" t="s">
        <v>1792</v>
      </c>
      <c r="AV1748" s="68"/>
      <c r="AW1748" s="68"/>
      <c r="AY1748" s="27"/>
      <c r="BD1748" s="68">
        <v>46054.1666666667</v>
      </c>
      <c r="BE1748" s="68">
        <v>46082.1666666667</v>
      </c>
      <c r="BF1748" s="0" t="b">
        <v>0</v>
      </c>
      <c r="BG1748" s="0" t="b">
        <v>0</v>
      </c>
      <c r="BH1748" s="0">
        <v>254</v>
      </c>
      <c r="BI1748" s="0">
        <v>254</v>
      </c>
      <c r="BJ1748" s="0" t="s">
        <v>135</v>
      </c>
    </row>
    <row r="1749">
      <c r="A1749" s="0" t="s">
        <v>1975</v>
      </c>
      <c r="B1749" s="0" t="s">
        <v>134</v>
      </c>
      <c r="C1749" s="0" t="s">
        <v>134</v>
      </c>
      <c r="D1749" s="0" t="s">
        <v>135</v>
      </c>
      <c r="E1749" s="0" t="s">
        <v>3</v>
      </c>
      <c r="F1749" s="0" t="s">
        <v>12</v>
      </c>
      <c r="G1749" s="0" t="s">
        <v>8</v>
      </c>
      <c r="H1749" s="0">
        <v>1209</v>
      </c>
      <c r="I1749" s="0">
        <v>258</v>
      </c>
      <c r="J1749" s="0">
        <v>0</v>
      </c>
      <c r="K1749" s="0">
        <v>1</v>
      </c>
      <c r="L1749" s="0">
        <v>4</v>
      </c>
      <c r="M1749" s="0">
        <v>6</v>
      </c>
      <c r="N1749" s="0">
        <v>0</v>
      </c>
      <c r="O1749" s="0">
        <v>0</v>
      </c>
      <c r="P1749" s="0">
        <v>0</v>
      </c>
      <c r="R1749" s="0" t="b">
        <v>0</v>
      </c>
      <c r="S1749" s="0" t="b">
        <v>1</v>
      </c>
      <c r="T1749" s="68">
        <v>44844.4765509259</v>
      </c>
      <c r="U1749" s="68">
        <v>44875.2916666667</v>
      </c>
      <c r="V1749" s="68">
        <v>0</v>
      </c>
      <c r="W1749" s="0">
        <f>IF(IF(B1749="none",1,IF(B1749="Trialer",1,0))+IF(C1749="Customer",1,IF(C1749="Lost",1,0))=2,1,0)</f>
      </c>
      <c r="X1749" s="0" t="s">
        <v>882</v>
      </c>
      <c r="Y1749" s="0" t="s">
        <v>243</v>
      </c>
      <c r="AV1749" s="68"/>
      <c r="AW1749" s="68"/>
      <c r="AY1749" s="27"/>
      <c r="BD1749" s="68">
        <v>46054.1666666667</v>
      </c>
      <c r="BE1749" s="68">
        <v>46082.1666666667</v>
      </c>
      <c r="BF1749" s="0" t="b">
        <v>0</v>
      </c>
      <c r="BG1749" s="0" t="b">
        <v>0</v>
      </c>
      <c r="BH1749" s="0">
        <v>188</v>
      </c>
      <c r="BI1749" s="0">
        <v>188</v>
      </c>
      <c r="BJ1749" s="0" t="s">
        <v>135</v>
      </c>
    </row>
    <row r="1750">
      <c r="A1750" s="0" t="s">
        <v>1976</v>
      </c>
      <c r="B1750" s="0" t="s">
        <v>134</v>
      </c>
      <c r="C1750" s="0" t="s">
        <v>134</v>
      </c>
      <c r="D1750" s="0" t="s">
        <v>230</v>
      </c>
      <c r="E1750" s="0" t="s">
        <v>3</v>
      </c>
      <c r="F1750" s="0" t="s">
        <v>12</v>
      </c>
      <c r="G1750" s="0" t="s">
        <v>8</v>
      </c>
      <c r="H1750" s="0">
        <v>1209</v>
      </c>
      <c r="I1750" s="0">
        <v>189</v>
      </c>
      <c r="J1750" s="0">
        <v>0</v>
      </c>
      <c r="K1750" s="0">
        <v>1</v>
      </c>
      <c r="L1750" s="0">
        <v>6</v>
      </c>
      <c r="M1750" s="0">
        <v>3</v>
      </c>
      <c r="N1750" s="0">
        <v>0</v>
      </c>
      <c r="O1750" s="0">
        <v>0</v>
      </c>
      <c r="P1750" s="0">
        <v>-189</v>
      </c>
      <c r="R1750" s="0" t="b">
        <v>0</v>
      </c>
      <c r="S1750" s="0" t="b">
        <v>1</v>
      </c>
      <c r="T1750" s="68">
        <v>44844.7667824074</v>
      </c>
      <c r="U1750" s="68">
        <v>44875.2916666667</v>
      </c>
      <c r="V1750" s="68">
        <v>0</v>
      </c>
      <c r="W1750" s="0">
        <f>IF(IF(B1750="none",1,IF(B1750="Trialer",1,0))+IF(C1750="Customer",1,IF(C1750="Lost",1,0))=2,1,0)</f>
      </c>
      <c r="X1750" s="0" t="s">
        <v>166</v>
      </c>
      <c r="Y1750" s="0" t="s">
        <v>243</v>
      </c>
      <c r="AV1750" s="68"/>
      <c r="AW1750" s="68"/>
      <c r="AY1750" s="27"/>
      <c r="BD1750" s="68">
        <v>46054.1666666667</v>
      </c>
      <c r="BE1750" s="68">
        <v>46082.1666666667</v>
      </c>
      <c r="BF1750" s="0" t="b">
        <v>0</v>
      </c>
      <c r="BG1750" s="0" t="b">
        <v>0</v>
      </c>
      <c r="BH1750" s="0">
        <v>210</v>
      </c>
      <c r="BI1750" s="0">
        <v>210</v>
      </c>
      <c r="BJ1750" s="0" t="s">
        <v>230</v>
      </c>
    </row>
    <row r="1751">
      <c r="A1751" s="0" t="s">
        <v>1977</v>
      </c>
      <c r="B1751" s="0" t="s">
        <v>134</v>
      </c>
      <c r="C1751" s="0" t="s">
        <v>134</v>
      </c>
      <c r="D1751" s="0" t="s">
        <v>135</v>
      </c>
      <c r="E1751" s="0" t="s">
        <v>3</v>
      </c>
      <c r="F1751" s="0" t="s">
        <v>12</v>
      </c>
      <c r="G1751" s="0" t="s">
        <v>8</v>
      </c>
      <c r="H1751" s="0">
        <v>1208</v>
      </c>
      <c r="I1751" s="0">
        <v>566</v>
      </c>
      <c r="J1751" s="0">
        <v>0</v>
      </c>
      <c r="K1751" s="0">
        <v>1</v>
      </c>
      <c r="L1751" s="0">
        <v>4</v>
      </c>
      <c r="M1751" s="0">
        <v>11</v>
      </c>
      <c r="N1751" s="0">
        <v>0</v>
      </c>
      <c r="O1751" s="0">
        <v>0</v>
      </c>
      <c r="P1751" s="0">
        <v>0</v>
      </c>
      <c r="R1751" s="0" t="b">
        <v>0</v>
      </c>
      <c r="S1751" s="0" t="b">
        <v>1</v>
      </c>
      <c r="T1751" s="68">
        <v>44845.5864583333</v>
      </c>
      <c r="U1751" s="68">
        <v>44883.2916666667</v>
      </c>
      <c r="V1751" s="68">
        <v>0</v>
      </c>
      <c r="W1751" s="0">
        <f>IF(IF(B1751="none",1,IF(B1751="Trialer",1,0))+IF(C1751="Customer",1,IF(C1751="Lost",1,0))=2,1,0)</f>
      </c>
      <c r="X1751" s="0" t="s">
        <v>882</v>
      </c>
      <c r="Y1751" s="0" t="s">
        <v>243</v>
      </c>
      <c r="AV1751" s="68"/>
      <c r="AW1751" s="68"/>
      <c r="AY1751" s="27"/>
      <c r="BD1751" s="68">
        <v>46054.1666666667</v>
      </c>
      <c r="BE1751" s="68">
        <v>46082.1666666667</v>
      </c>
      <c r="BF1751" s="0" t="b">
        <v>0</v>
      </c>
      <c r="BG1751" s="0" t="b">
        <v>0</v>
      </c>
      <c r="BH1751" s="0">
        <v>566</v>
      </c>
      <c r="BI1751" s="0">
        <v>566</v>
      </c>
      <c r="BJ1751" s="0" t="s">
        <v>135</v>
      </c>
    </row>
    <row r="1752">
      <c r="A1752" s="0" t="s">
        <v>1978</v>
      </c>
      <c r="B1752" s="0" t="s">
        <v>134</v>
      </c>
      <c r="C1752" s="0" t="s">
        <v>134</v>
      </c>
      <c r="D1752" s="0" t="s">
        <v>230</v>
      </c>
      <c r="E1752" s="0" t="s">
        <v>2</v>
      </c>
      <c r="F1752" s="0" t="s">
        <v>12</v>
      </c>
      <c r="G1752" s="0" t="s">
        <v>8</v>
      </c>
      <c r="H1752" s="0">
        <v>1206</v>
      </c>
      <c r="I1752" s="0">
        <v>396.9</v>
      </c>
      <c r="J1752" s="0">
        <v>0</v>
      </c>
      <c r="K1752" s="0">
        <v>1</v>
      </c>
      <c r="L1752" s="0">
        <v>3</v>
      </c>
      <c r="M1752" s="0">
        <v>9</v>
      </c>
      <c r="N1752" s="0">
        <v>0</v>
      </c>
      <c r="O1752" s="0">
        <v>0</v>
      </c>
      <c r="P1752" s="0">
        <v>-396.9</v>
      </c>
      <c r="R1752" s="0" t="b">
        <v>0</v>
      </c>
      <c r="S1752" s="0" t="b">
        <v>1</v>
      </c>
      <c r="T1752" s="68">
        <v>44847.7445833333</v>
      </c>
      <c r="U1752" s="68">
        <v>44881.2916666667</v>
      </c>
      <c r="V1752" s="68">
        <v>0</v>
      </c>
      <c r="W1752" s="0">
        <f>IF(IF(B1752="none",1,IF(B1752="Trialer",1,0))+IF(C1752="Customer",1,IF(C1752="Lost",1,0))=2,1,0)</f>
      </c>
      <c r="X1752" s="0" t="s">
        <v>148</v>
      </c>
      <c r="Y1752" s="0" t="s">
        <v>499</v>
      </c>
      <c r="AV1752" s="68"/>
      <c r="AW1752" s="68"/>
      <c r="AY1752" s="27"/>
      <c r="BD1752" s="68">
        <v>46054.1666666667</v>
      </c>
      <c r="BE1752" s="68">
        <v>46082.1666666667</v>
      </c>
      <c r="BF1752" s="0" t="b">
        <v>0</v>
      </c>
      <c r="BG1752" s="0" t="b">
        <v>0</v>
      </c>
      <c r="BH1752" s="0">
        <v>441</v>
      </c>
      <c r="BI1752" s="0">
        <v>441</v>
      </c>
      <c r="BJ1752" s="0" t="s">
        <v>230</v>
      </c>
    </row>
    <row r="1753">
      <c r="A1753" s="0" t="s">
        <v>1979</v>
      </c>
      <c r="B1753" s="0" t="s">
        <v>134</v>
      </c>
      <c r="C1753" s="0" t="s">
        <v>134</v>
      </c>
      <c r="D1753" s="0" t="s">
        <v>135</v>
      </c>
      <c r="E1753" s="0" t="s">
        <v>3</v>
      </c>
      <c r="F1753" s="0" t="s">
        <v>11</v>
      </c>
      <c r="G1753" s="0" t="s">
        <v>8</v>
      </c>
      <c r="H1753" s="0">
        <v>1202</v>
      </c>
      <c r="I1753" s="0">
        <v>117.6</v>
      </c>
      <c r="J1753" s="0">
        <v>0</v>
      </c>
      <c r="K1753" s="0">
        <v>1</v>
      </c>
      <c r="L1753" s="0">
        <v>3</v>
      </c>
      <c r="M1753" s="0">
        <v>3</v>
      </c>
      <c r="N1753" s="0">
        <v>0</v>
      </c>
      <c r="O1753" s="0">
        <v>0</v>
      </c>
      <c r="P1753" s="0">
        <v>0</v>
      </c>
      <c r="Q1753" s="0" t="s">
        <v>1743</v>
      </c>
      <c r="R1753" s="0" t="b">
        <v>1</v>
      </c>
      <c r="S1753" s="0" t="b">
        <v>1</v>
      </c>
      <c r="T1753" s="68">
        <v>44851.5833333333</v>
      </c>
      <c r="U1753" s="68">
        <v>44851.5</v>
      </c>
      <c r="V1753" s="68">
        <v>0</v>
      </c>
      <c r="W1753" s="0">
        <f>IF(IF(B1753="none",1,IF(B1753="Trialer",1,0))+IF(C1753="Customer",1,IF(C1753="Lost",1,0))=2,1,0)</f>
      </c>
      <c r="X1753" s="0" t="s">
        <v>145</v>
      </c>
      <c r="Y1753" s="0" t="s">
        <v>243</v>
      </c>
      <c r="AV1753" s="68"/>
      <c r="AW1753" s="68"/>
      <c r="AY1753" s="27"/>
      <c r="BD1753" s="68">
        <v>46054.1666666667</v>
      </c>
      <c r="BE1753" s="68">
        <v>46082.1666666667</v>
      </c>
      <c r="BF1753" s="0" t="b">
        <v>0</v>
      </c>
      <c r="BG1753" s="0" t="b">
        <v>0</v>
      </c>
      <c r="BH1753" s="0">
        <v>117.6</v>
      </c>
      <c r="BI1753" s="0">
        <v>117.6</v>
      </c>
      <c r="BJ1753" s="0" t="s">
        <v>135</v>
      </c>
    </row>
    <row r="1754">
      <c r="A1754" s="0" t="s">
        <v>1980</v>
      </c>
      <c r="B1754" s="0" t="s">
        <v>134</v>
      </c>
      <c r="C1754" s="0" t="s">
        <v>134</v>
      </c>
      <c r="D1754" s="0" t="s">
        <v>135</v>
      </c>
      <c r="E1754" s="0" t="s">
        <v>3</v>
      </c>
      <c r="F1754" s="0" t="s">
        <v>12</v>
      </c>
      <c r="G1754" s="0" t="s">
        <v>8</v>
      </c>
      <c r="H1754" s="0">
        <v>1200</v>
      </c>
      <c r="I1754" s="0">
        <v>28</v>
      </c>
      <c r="J1754" s="0">
        <v>0</v>
      </c>
      <c r="K1754" s="0">
        <v>1</v>
      </c>
      <c r="L1754" s="0">
        <v>1</v>
      </c>
      <c r="M1754" s="0">
        <v>1</v>
      </c>
      <c r="N1754" s="0">
        <v>0</v>
      </c>
      <c r="O1754" s="0">
        <v>0</v>
      </c>
      <c r="P1754" s="0">
        <v>0</v>
      </c>
      <c r="R1754" s="0" t="b">
        <v>0</v>
      </c>
      <c r="S1754" s="0" t="b">
        <v>1</v>
      </c>
      <c r="T1754" s="68">
        <v>44853.5020833333</v>
      </c>
      <c r="U1754" s="68">
        <v>44867.3333333333</v>
      </c>
      <c r="V1754" s="68">
        <v>0</v>
      </c>
      <c r="W1754" s="0">
        <f>IF(IF(B1754="none",1,IF(B1754="Trialer",1,0))+IF(C1754="Customer",1,IF(C1754="Lost",1,0))=2,1,0)</f>
      </c>
      <c r="X1754" s="0" t="s">
        <v>153</v>
      </c>
      <c r="Y1754" s="0" t="s">
        <v>487</v>
      </c>
      <c r="AV1754" s="68"/>
      <c r="AW1754" s="68"/>
      <c r="AY1754" s="27"/>
      <c r="BD1754" s="68">
        <v>46054.1666666667</v>
      </c>
      <c r="BE1754" s="68">
        <v>46082.1666666667</v>
      </c>
      <c r="BF1754" s="0" t="b">
        <v>0</v>
      </c>
      <c r="BG1754" s="0" t="b">
        <v>0</v>
      </c>
      <c r="BH1754" s="0">
        <v>28</v>
      </c>
      <c r="BI1754" s="0">
        <v>28</v>
      </c>
      <c r="BJ1754" s="0" t="s">
        <v>135</v>
      </c>
    </row>
    <row r="1755">
      <c r="A1755" s="0" t="s">
        <v>1981</v>
      </c>
      <c r="B1755" s="0" t="s">
        <v>134</v>
      </c>
      <c r="C1755" s="0" t="s">
        <v>134</v>
      </c>
      <c r="D1755" s="0" t="s">
        <v>135</v>
      </c>
      <c r="E1755" s="0" t="s">
        <v>3</v>
      </c>
      <c r="F1755" s="0" t="s">
        <v>12</v>
      </c>
      <c r="G1755" s="0" t="s">
        <v>8</v>
      </c>
      <c r="H1755" s="0">
        <v>1199</v>
      </c>
      <c r="I1755" s="0">
        <v>28</v>
      </c>
      <c r="J1755" s="0">
        <v>0</v>
      </c>
      <c r="K1755" s="0">
        <v>1</v>
      </c>
      <c r="L1755" s="0">
        <v>1</v>
      </c>
      <c r="M1755" s="0">
        <v>1</v>
      </c>
      <c r="N1755" s="0">
        <v>0</v>
      </c>
      <c r="O1755" s="0">
        <v>0</v>
      </c>
      <c r="P1755" s="0">
        <v>0</v>
      </c>
      <c r="R1755" s="0" t="b">
        <v>0</v>
      </c>
      <c r="S1755" s="0" t="b">
        <v>1</v>
      </c>
      <c r="T1755" s="68">
        <v>44854.5964583333</v>
      </c>
      <c r="U1755" s="68">
        <v>44855.3333333333</v>
      </c>
      <c r="V1755" s="68">
        <v>0</v>
      </c>
      <c r="W1755" s="0">
        <f>IF(IF(B1755="none",1,IF(B1755="Trialer",1,0))+IF(C1755="Customer",1,IF(C1755="Lost",1,0))=2,1,0)</f>
      </c>
      <c r="X1755" s="0" t="s">
        <v>153</v>
      </c>
      <c r="Y1755" s="0" t="s">
        <v>243</v>
      </c>
      <c r="AV1755" s="68"/>
      <c r="AW1755" s="68"/>
      <c r="AY1755" s="27"/>
      <c r="BD1755" s="68">
        <v>46054.1666666667</v>
      </c>
      <c r="BE1755" s="68">
        <v>46082.1666666667</v>
      </c>
      <c r="BF1755" s="0" t="b">
        <v>0</v>
      </c>
      <c r="BG1755" s="0" t="b">
        <v>0</v>
      </c>
      <c r="BH1755" s="0">
        <v>28</v>
      </c>
      <c r="BI1755" s="0">
        <v>28</v>
      </c>
      <c r="BJ1755" s="0" t="s">
        <v>135</v>
      </c>
    </row>
    <row r="1756">
      <c r="A1756" s="0" t="s">
        <v>1982</v>
      </c>
      <c r="B1756" s="0" t="s">
        <v>134</v>
      </c>
      <c r="C1756" s="0" t="s">
        <v>134</v>
      </c>
      <c r="D1756" s="0" t="s">
        <v>135</v>
      </c>
      <c r="E1756" s="0" t="s">
        <v>3</v>
      </c>
      <c r="F1756" s="0" t="s">
        <v>10</v>
      </c>
      <c r="G1756" s="0" t="s">
        <v>8</v>
      </c>
      <c r="H1756" s="0">
        <v>1199</v>
      </c>
      <c r="I1756" s="0">
        <v>112</v>
      </c>
      <c r="J1756" s="0">
        <v>0</v>
      </c>
      <c r="K1756" s="0">
        <v>1</v>
      </c>
      <c r="L1756" s="0">
        <v>1</v>
      </c>
      <c r="M1756" s="0">
        <v>4</v>
      </c>
      <c r="N1756" s="0">
        <v>0</v>
      </c>
      <c r="O1756" s="0">
        <v>0</v>
      </c>
      <c r="P1756" s="0">
        <v>0</v>
      </c>
      <c r="Q1756" s="0" t="s">
        <v>618</v>
      </c>
      <c r="R1756" s="0" t="b">
        <v>0</v>
      </c>
      <c r="S1756" s="0" t="b">
        <v>1</v>
      </c>
      <c r="T1756" s="68">
        <v>44854.754849537</v>
      </c>
      <c r="U1756" s="68">
        <v>44868.3333333333</v>
      </c>
      <c r="V1756" s="68">
        <v>0</v>
      </c>
      <c r="W1756" s="0">
        <f>IF(IF(B1756="none",1,IF(B1756="Trialer",1,0))+IF(C1756="Customer",1,IF(C1756="Lost",1,0))=2,1,0)</f>
      </c>
      <c r="X1756" s="0" t="s">
        <v>148</v>
      </c>
      <c r="Y1756" s="0" t="s">
        <v>243</v>
      </c>
      <c r="AV1756" s="68"/>
      <c r="AW1756" s="68"/>
      <c r="AY1756" s="27"/>
      <c r="BD1756" s="68">
        <v>46054.1666666667</v>
      </c>
      <c r="BE1756" s="68">
        <v>46082.1666666667</v>
      </c>
      <c r="BF1756" s="0" t="b">
        <v>0</v>
      </c>
      <c r="BG1756" s="0" t="b">
        <v>0</v>
      </c>
      <c r="BH1756" s="0">
        <v>56</v>
      </c>
      <c r="BI1756" s="0">
        <v>56</v>
      </c>
      <c r="BJ1756" s="0" t="s">
        <v>135</v>
      </c>
    </row>
    <row r="1757">
      <c r="A1757" s="0" t="s">
        <v>1983</v>
      </c>
      <c r="B1757" s="0" t="s">
        <v>134</v>
      </c>
      <c r="C1757" s="0" t="s">
        <v>134</v>
      </c>
      <c r="D1757" s="0" t="s">
        <v>135</v>
      </c>
      <c r="E1757" s="0" t="s">
        <v>3</v>
      </c>
      <c r="F1757" s="0" t="s">
        <v>12</v>
      </c>
      <c r="G1757" s="0" t="s">
        <v>8</v>
      </c>
      <c r="H1757" s="0">
        <v>1198</v>
      </c>
      <c r="I1757" s="0">
        <v>970</v>
      </c>
      <c r="J1757" s="0">
        <v>0</v>
      </c>
      <c r="K1757" s="0">
        <v>1</v>
      </c>
      <c r="L1757" s="0">
        <v>5</v>
      </c>
      <c r="M1757" s="0">
        <v>9</v>
      </c>
      <c r="N1757" s="0">
        <v>0</v>
      </c>
      <c r="O1757" s="0">
        <v>0</v>
      </c>
      <c r="P1757" s="0">
        <v>0</v>
      </c>
      <c r="R1757" s="0" t="b">
        <v>0</v>
      </c>
      <c r="S1757" s="0" t="b">
        <v>1</v>
      </c>
      <c r="T1757" s="68">
        <v>44855.7558796296</v>
      </c>
      <c r="U1757" s="68">
        <v>44869.3333333333</v>
      </c>
      <c r="V1757" s="68">
        <v>0</v>
      </c>
      <c r="W1757" s="0">
        <f>IF(IF(B1757="none",1,IF(B1757="Trialer",1,0))+IF(C1757="Customer",1,IF(C1757="Lost",1,0))=2,1,0)</f>
      </c>
      <c r="X1757" s="0" t="s">
        <v>145</v>
      </c>
      <c r="Y1757" s="0" t="s">
        <v>243</v>
      </c>
      <c r="AV1757" s="68"/>
      <c r="AW1757" s="68"/>
      <c r="AY1757" s="27"/>
      <c r="BD1757" s="68">
        <v>46054.1666666667</v>
      </c>
      <c r="BE1757" s="68">
        <v>46082.1666666667</v>
      </c>
      <c r="BF1757" s="0" t="b">
        <v>0</v>
      </c>
      <c r="BG1757" s="0" t="b">
        <v>0</v>
      </c>
      <c r="BH1757" s="0">
        <v>645</v>
      </c>
      <c r="BI1757" s="0">
        <v>645</v>
      </c>
      <c r="BJ1757" s="0" t="s">
        <v>135</v>
      </c>
    </row>
    <row r="1758">
      <c r="A1758" s="0" t="s">
        <v>1984</v>
      </c>
      <c r="B1758" s="0" t="s">
        <v>134</v>
      </c>
      <c r="C1758" s="0" t="s">
        <v>134</v>
      </c>
      <c r="D1758" s="0" t="s">
        <v>230</v>
      </c>
      <c r="E1758" s="0" t="s">
        <v>3</v>
      </c>
      <c r="F1758" s="0" t="s">
        <v>12</v>
      </c>
      <c r="G1758" s="0" t="s">
        <v>8</v>
      </c>
      <c r="H1758" s="0">
        <v>1196</v>
      </c>
      <c r="I1758" s="0">
        <v>66</v>
      </c>
      <c r="J1758" s="0">
        <v>0</v>
      </c>
      <c r="K1758" s="0">
        <v>1</v>
      </c>
      <c r="L1758" s="0">
        <v>2</v>
      </c>
      <c r="M1758" s="0">
        <v>2</v>
      </c>
      <c r="N1758" s="0">
        <v>0</v>
      </c>
      <c r="O1758" s="0">
        <v>0</v>
      </c>
      <c r="P1758" s="0">
        <v>-66</v>
      </c>
      <c r="R1758" s="0" t="b">
        <v>0</v>
      </c>
      <c r="S1758" s="0" t="b">
        <v>1</v>
      </c>
      <c r="T1758" s="68">
        <v>44857.5980555556</v>
      </c>
      <c r="U1758" s="68">
        <v>44871.2916666667</v>
      </c>
      <c r="V1758" s="68">
        <v>0</v>
      </c>
      <c r="W1758" s="0">
        <f>IF(IF(B1758="none",1,IF(B1758="Trialer",1,0))+IF(C1758="Customer",1,IF(C1758="Lost",1,0))=2,1,0)</f>
      </c>
      <c r="X1758" s="0" t="s">
        <v>142</v>
      </c>
      <c r="Y1758" s="0" t="s">
        <v>243</v>
      </c>
      <c r="AV1758" s="68"/>
      <c r="AW1758" s="68"/>
      <c r="AY1758" s="27"/>
      <c r="BD1758" s="68">
        <v>46054.1666666667</v>
      </c>
      <c r="BE1758" s="68">
        <v>46082.1666666667</v>
      </c>
      <c r="BF1758" s="0" t="b">
        <v>0</v>
      </c>
      <c r="BG1758" s="0" t="b">
        <v>0</v>
      </c>
      <c r="BH1758" s="0">
        <v>74</v>
      </c>
      <c r="BI1758" s="0">
        <v>74</v>
      </c>
      <c r="BJ1758" s="0" t="s">
        <v>230</v>
      </c>
    </row>
    <row r="1759">
      <c r="A1759" s="0" t="s">
        <v>1985</v>
      </c>
      <c r="B1759" s="0" t="s">
        <v>134</v>
      </c>
      <c r="C1759" s="0" t="s">
        <v>134</v>
      </c>
      <c r="D1759" s="0" t="s">
        <v>135</v>
      </c>
      <c r="E1759" s="0" t="s">
        <v>3</v>
      </c>
      <c r="F1759" s="0" t="s">
        <v>12</v>
      </c>
      <c r="G1759" s="0" t="s">
        <v>8</v>
      </c>
      <c r="H1759" s="0">
        <v>1195</v>
      </c>
      <c r="I1759" s="0">
        <v>28</v>
      </c>
      <c r="J1759" s="0">
        <v>0</v>
      </c>
      <c r="K1759" s="0">
        <v>1</v>
      </c>
      <c r="L1759" s="0">
        <v>1</v>
      </c>
      <c r="M1759" s="0">
        <v>1</v>
      </c>
      <c r="N1759" s="0">
        <v>0</v>
      </c>
      <c r="O1759" s="0">
        <v>0</v>
      </c>
      <c r="P1759" s="0">
        <v>0</v>
      </c>
      <c r="R1759" s="0" t="b">
        <v>0</v>
      </c>
      <c r="S1759" s="0" t="b">
        <v>1</v>
      </c>
      <c r="T1759" s="68">
        <v>44858.5974884259</v>
      </c>
      <c r="U1759" s="68">
        <v>44872.2916666667</v>
      </c>
      <c r="V1759" s="68">
        <v>0</v>
      </c>
      <c r="W1759" s="0">
        <f>IF(IF(B1759="none",1,IF(B1759="Trialer",1,0))+IF(C1759="Customer",1,IF(C1759="Lost",1,0))=2,1,0)</f>
      </c>
      <c r="X1759" s="0" t="s">
        <v>166</v>
      </c>
      <c r="Y1759" s="0" t="s">
        <v>243</v>
      </c>
      <c r="AV1759" s="68"/>
      <c r="AW1759" s="68"/>
      <c r="AY1759" s="27"/>
      <c r="BD1759" s="68">
        <v>46054.1666666667</v>
      </c>
      <c r="BE1759" s="68">
        <v>46082.1666666667</v>
      </c>
      <c r="BF1759" s="0" t="b">
        <v>0</v>
      </c>
      <c r="BG1759" s="0" t="b">
        <v>0</v>
      </c>
      <c r="BH1759" s="0">
        <v>28</v>
      </c>
      <c r="BI1759" s="0">
        <v>28</v>
      </c>
      <c r="BJ1759" s="0" t="s">
        <v>135</v>
      </c>
    </row>
    <row r="1760">
      <c r="A1760" s="0" t="s">
        <v>1986</v>
      </c>
      <c r="B1760" s="0" t="s">
        <v>134</v>
      </c>
      <c r="C1760" s="0" t="s">
        <v>134</v>
      </c>
      <c r="D1760" s="0" t="s">
        <v>135</v>
      </c>
      <c r="E1760" s="0" t="s">
        <v>2</v>
      </c>
      <c r="F1760" s="0" t="s">
        <v>12</v>
      </c>
      <c r="G1760" s="0" t="s">
        <v>8</v>
      </c>
      <c r="H1760" s="0">
        <v>1195</v>
      </c>
      <c r="I1760" s="0">
        <v>445</v>
      </c>
      <c r="J1760" s="0">
        <v>0</v>
      </c>
      <c r="K1760" s="0">
        <v>1</v>
      </c>
      <c r="L1760" s="0">
        <v>5</v>
      </c>
      <c r="M1760" s="0">
        <v>10</v>
      </c>
      <c r="N1760" s="0">
        <v>0</v>
      </c>
      <c r="O1760" s="0">
        <v>0</v>
      </c>
      <c r="P1760" s="0">
        <v>0</v>
      </c>
      <c r="R1760" s="0" t="b">
        <v>0</v>
      </c>
      <c r="S1760" s="0" t="b">
        <v>1</v>
      </c>
      <c r="T1760" s="68">
        <v>44858.8200925926</v>
      </c>
      <c r="U1760" s="68">
        <v>44882.2916666667</v>
      </c>
      <c r="V1760" s="68">
        <v>0</v>
      </c>
      <c r="W1760" s="0">
        <f>IF(IF(B1760="none",1,IF(B1760="Trialer",1,0))+IF(C1760="Customer",1,IF(C1760="Lost",1,0))=2,1,0)</f>
      </c>
      <c r="X1760" s="0" t="s">
        <v>136</v>
      </c>
      <c r="Y1760" s="0" t="s">
        <v>499</v>
      </c>
      <c r="AV1760" s="68"/>
      <c r="AW1760" s="68"/>
      <c r="AY1760" s="27"/>
      <c r="BD1760" s="68">
        <v>46054.1666666667</v>
      </c>
      <c r="BE1760" s="68">
        <v>46082.1666666667</v>
      </c>
      <c r="BF1760" s="0" t="b">
        <v>0</v>
      </c>
      <c r="BG1760" s="0" t="b">
        <v>0</v>
      </c>
      <c r="BH1760" s="0">
        <v>485</v>
      </c>
      <c r="BI1760" s="0">
        <v>485</v>
      </c>
      <c r="BJ1760" s="0" t="s">
        <v>135</v>
      </c>
    </row>
    <row r="1761">
      <c r="A1761" s="0" t="s">
        <v>1987</v>
      </c>
      <c r="B1761" s="0" t="s">
        <v>134</v>
      </c>
      <c r="C1761" s="0" t="s">
        <v>134</v>
      </c>
      <c r="D1761" s="0" t="s">
        <v>135</v>
      </c>
      <c r="E1761" s="0" t="s">
        <v>3</v>
      </c>
      <c r="F1761" s="0" t="s">
        <v>12</v>
      </c>
      <c r="G1761" s="0" t="s">
        <v>8</v>
      </c>
      <c r="H1761" s="0">
        <v>1194</v>
      </c>
      <c r="I1761" s="0">
        <v>61</v>
      </c>
      <c r="J1761" s="0">
        <v>0</v>
      </c>
      <c r="K1761" s="0">
        <v>1</v>
      </c>
      <c r="L1761" s="0">
        <v>4</v>
      </c>
      <c r="M1761" s="0">
        <v>1</v>
      </c>
      <c r="N1761" s="0">
        <v>0</v>
      </c>
      <c r="O1761" s="0">
        <v>0</v>
      </c>
      <c r="P1761" s="0">
        <v>0</v>
      </c>
      <c r="R1761" s="0" t="b">
        <v>0</v>
      </c>
      <c r="S1761" s="0" t="b">
        <v>1</v>
      </c>
      <c r="T1761" s="68">
        <v>44859.6506712963</v>
      </c>
      <c r="U1761" s="68">
        <v>44885.2916666667</v>
      </c>
      <c r="V1761" s="68">
        <v>0</v>
      </c>
      <c r="W1761" s="0">
        <f>IF(IF(B1761="none",1,IF(B1761="Trialer",1,0))+IF(C1761="Customer",1,IF(C1761="Lost",1,0))=2,1,0)</f>
      </c>
      <c r="X1761" s="0" t="s">
        <v>166</v>
      </c>
      <c r="Y1761" s="0" t="s">
        <v>243</v>
      </c>
      <c r="AV1761" s="68"/>
      <c r="AW1761" s="68"/>
      <c r="AY1761" s="27"/>
      <c r="BD1761" s="68">
        <v>46054.1666666667</v>
      </c>
      <c r="BE1761" s="68">
        <v>46082.1666666667</v>
      </c>
      <c r="BF1761" s="0" t="b">
        <v>0</v>
      </c>
      <c r="BG1761" s="0" t="b">
        <v>0</v>
      </c>
      <c r="BH1761" s="0">
        <v>61</v>
      </c>
      <c r="BI1761" s="0">
        <v>61</v>
      </c>
      <c r="BJ1761" s="0" t="s">
        <v>135</v>
      </c>
    </row>
    <row r="1762">
      <c r="A1762" s="0" t="s">
        <v>1988</v>
      </c>
      <c r="B1762" s="0" t="s">
        <v>134</v>
      </c>
      <c r="C1762" s="0" t="s">
        <v>134</v>
      </c>
      <c r="D1762" s="0" t="s">
        <v>135</v>
      </c>
      <c r="E1762" s="0" t="s">
        <v>4</v>
      </c>
      <c r="F1762" s="0" t="s">
        <v>12</v>
      </c>
      <c r="G1762" s="0" t="s">
        <v>8</v>
      </c>
      <c r="H1762" s="0">
        <v>1193</v>
      </c>
      <c r="I1762" s="0">
        <v>0</v>
      </c>
      <c r="J1762" s="0">
        <v>0</v>
      </c>
      <c r="K1762" s="0">
        <v>1</v>
      </c>
      <c r="L1762" s="0">
        <v>5</v>
      </c>
      <c r="M1762" s="0">
        <v>1</v>
      </c>
      <c r="N1762" s="0">
        <v>0</v>
      </c>
      <c r="O1762" s="0">
        <v>0</v>
      </c>
      <c r="P1762" s="0">
        <v>0</v>
      </c>
      <c r="R1762" s="0" t="b">
        <v>0</v>
      </c>
      <c r="S1762" s="0" t="b">
        <v>1</v>
      </c>
      <c r="T1762" s="68">
        <v>44860.3730092593</v>
      </c>
      <c r="U1762" s="68">
        <v>44874.2916666667</v>
      </c>
      <c r="V1762" s="68">
        <v>0</v>
      </c>
      <c r="W1762" s="0">
        <f>IF(IF(B1762="none",1,IF(B1762="Trialer",1,0))+IF(C1762="Customer",1,IF(C1762="Lost",1,0))=2,1,0)</f>
      </c>
      <c r="X1762" s="0" t="s">
        <v>145</v>
      </c>
      <c r="Y1762" s="0" t="s">
        <v>1772</v>
      </c>
      <c r="AV1762" s="68"/>
      <c r="AW1762" s="68"/>
      <c r="AY1762" s="27"/>
      <c r="BD1762" s="68">
        <v>46054.1666666667</v>
      </c>
      <c r="BE1762" s="68">
        <v>46082.1666666667</v>
      </c>
      <c r="BF1762" s="0" t="b">
        <v>0</v>
      </c>
      <c r="BG1762" s="0" t="b">
        <v>0</v>
      </c>
      <c r="BH1762" s="0">
        <v>0</v>
      </c>
      <c r="BI1762" s="0">
        <v>0</v>
      </c>
      <c r="BJ1762" s="0" t="s">
        <v>135</v>
      </c>
    </row>
    <row r="1763">
      <c r="A1763" s="0" t="s">
        <v>1989</v>
      </c>
      <c r="B1763" s="0" t="s">
        <v>134</v>
      </c>
      <c r="C1763" s="0" t="s">
        <v>134</v>
      </c>
      <c r="D1763" s="0" t="s">
        <v>230</v>
      </c>
      <c r="E1763" s="0" t="s">
        <v>3</v>
      </c>
      <c r="F1763" s="0" t="s">
        <v>10</v>
      </c>
      <c r="G1763" s="0" t="s">
        <v>8</v>
      </c>
      <c r="H1763" s="0">
        <v>1193</v>
      </c>
      <c r="I1763" s="0">
        <v>246.6</v>
      </c>
      <c r="J1763" s="0">
        <v>0</v>
      </c>
      <c r="K1763" s="0">
        <v>1</v>
      </c>
      <c r="L1763" s="0">
        <v>3</v>
      </c>
      <c r="M1763" s="0">
        <v>7</v>
      </c>
      <c r="N1763" s="0">
        <v>0</v>
      </c>
      <c r="O1763" s="0">
        <v>0</v>
      </c>
      <c r="P1763" s="0">
        <v>-246.6</v>
      </c>
      <c r="Q1763" s="0" t="s">
        <v>357</v>
      </c>
      <c r="R1763" s="0" t="b">
        <v>0</v>
      </c>
      <c r="S1763" s="0" t="b">
        <v>1</v>
      </c>
      <c r="T1763" s="68">
        <v>44860.5919560185</v>
      </c>
      <c r="U1763" s="68">
        <v>44874.2916666667</v>
      </c>
      <c r="V1763" s="68">
        <v>0</v>
      </c>
      <c r="W1763" s="0">
        <f>IF(IF(B1763="none",1,IF(B1763="Trialer",1,0))+IF(C1763="Customer",1,IF(C1763="Lost",1,0))=2,1,0)</f>
      </c>
      <c r="X1763" s="0" t="s">
        <v>148</v>
      </c>
      <c r="Y1763" s="0" t="s">
        <v>243</v>
      </c>
      <c r="AV1763" s="68"/>
      <c r="AW1763" s="68"/>
      <c r="AY1763" s="27"/>
      <c r="BD1763" s="68">
        <v>46054.1666666667</v>
      </c>
      <c r="BE1763" s="68">
        <v>46082.1666666667</v>
      </c>
      <c r="BF1763" s="0" t="b">
        <v>0</v>
      </c>
      <c r="BG1763" s="0" t="b">
        <v>0</v>
      </c>
      <c r="BH1763" s="0">
        <v>274</v>
      </c>
      <c r="BI1763" s="0">
        <v>274</v>
      </c>
      <c r="BJ1763" s="0" t="s">
        <v>230</v>
      </c>
    </row>
    <row r="1764">
      <c r="A1764" s="0" t="s">
        <v>1990</v>
      </c>
      <c r="B1764" s="0" t="s">
        <v>134</v>
      </c>
      <c r="C1764" s="0" t="s">
        <v>134</v>
      </c>
      <c r="D1764" s="0" t="s">
        <v>135</v>
      </c>
      <c r="E1764" s="0" t="s">
        <v>2</v>
      </c>
      <c r="F1764" s="0" t="s">
        <v>12</v>
      </c>
      <c r="G1764" s="0" t="s">
        <v>8</v>
      </c>
      <c r="H1764" s="0">
        <v>1192</v>
      </c>
      <c r="I1764" s="0">
        <v>240</v>
      </c>
      <c r="J1764" s="0">
        <v>0</v>
      </c>
      <c r="K1764" s="0">
        <v>1</v>
      </c>
      <c r="L1764" s="0">
        <v>2</v>
      </c>
      <c r="M1764" s="0">
        <v>6</v>
      </c>
      <c r="N1764" s="0">
        <v>0</v>
      </c>
      <c r="O1764" s="0">
        <v>0</v>
      </c>
      <c r="P1764" s="0">
        <v>0</v>
      </c>
      <c r="R1764" s="0" t="b">
        <v>0</v>
      </c>
      <c r="S1764" s="0" t="b">
        <v>1</v>
      </c>
      <c r="T1764" s="68">
        <v>44861.4916203704</v>
      </c>
      <c r="U1764" s="68">
        <v>44875.2916666667</v>
      </c>
      <c r="V1764" s="68">
        <v>0</v>
      </c>
      <c r="W1764" s="0">
        <f>IF(IF(B1764="none",1,IF(B1764="Trialer",1,0))+IF(C1764="Customer",1,IF(C1764="Lost",1,0))=2,1,0)</f>
      </c>
      <c r="X1764" s="0" t="s">
        <v>148</v>
      </c>
      <c r="Y1764" s="0" t="s">
        <v>499</v>
      </c>
      <c r="AV1764" s="68"/>
      <c r="AW1764" s="68"/>
      <c r="AY1764" s="27"/>
      <c r="BD1764" s="68">
        <v>46054.1666666667</v>
      </c>
      <c r="BE1764" s="68">
        <v>46082.1666666667</v>
      </c>
      <c r="BF1764" s="0" t="b">
        <v>0</v>
      </c>
      <c r="BG1764" s="0" t="b">
        <v>0</v>
      </c>
      <c r="BH1764" s="0">
        <v>200</v>
      </c>
      <c r="BI1764" s="0">
        <v>200</v>
      </c>
      <c r="BJ1764" s="0" t="s">
        <v>135</v>
      </c>
    </row>
    <row r="1765">
      <c r="A1765" s="0" t="s">
        <v>1991</v>
      </c>
      <c r="B1765" s="0" t="s">
        <v>134</v>
      </c>
      <c r="C1765" s="0" t="s">
        <v>134</v>
      </c>
      <c r="D1765" s="0" t="s">
        <v>135</v>
      </c>
      <c r="E1765" s="0" t="s">
        <v>2</v>
      </c>
      <c r="F1765" s="0" t="s">
        <v>10</v>
      </c>
      <c r="G1765" s="0" t="s">
        <v>8</v>
      </c>
      <c r="H1765" s="0">
        <v>1192</v>
      </c>
      <c r="I1765" s="0">
        <v>228</v>
      </c>
      <c r="J1765" s="0">
        <v>0</v>
      </c>
      <c r="K1765" s="0">
        <v>1</v>
      </c>
      <c r="L1765" s="0">
        <v>2</v>
      </c>
      <c r="M1765" s="0">
        <v>6</v>
      </c>
      <c r="N1765" s="0">
        <v>0</v>
      </c>
      <c r="O1765" s="0">
        <v>0</v>
      </c>
      <c r="P1765" s="0">
        <v>0</v>
      </c>
      <c r="Q1765" s="0" t="s">
        <v>498</v>
      </c>
      <c r="R1765" s="0" t="b">
        <v>0</v>
      </c>
      <c r="S1765" s="0" t="b">
        <v>1</v>
      </c>
      <c r="T1765" s="68">
        <v>44861.6849421296</v>
      </c>
      <c r="U1765" s="68">
        <v>44882.2916666667</v>
      </c>
      <c r="V1765" s="68">
        <v>0</v>
      </c>
      <c r="W1765" s="0">
        <f>IF(IF(B1765="none",1,IF(B1765="Trialer",1,0))+IF(C1765="Customer",1,IF(C1765="Lost",1,0))=2,1,0)</f>
      </c>
      <c r="X1765" s="0" t="s">
        <v>136</v>
      </c>
      <c r="Y1765" s="0" t="s">
        <v>499</v>
      </c>
      <c r="AV1765" s="68"/>
      <c r="AW1765" s="68"/>
      <c r="AY1765" s="27"/>
      <c r="BD1765" s="68">
        <v>46054.1666666667</v>
      </c>
      <c r="BE1765" s="68">
        <v>46082.1666666667</v>
      </c>
      <c r="BF1765" s="0" t="b">
        <v>0</v>
      </c>
      <c r="BG1765" s="0" t="b">
        <v>0</v>
      </c>
      <c r="BH1765" s="0">
        <v>188</v>
      </c>
      <c r="BI1765" s="0">
        <v>188</v>
      </c>
      <c r="BJ1765" s="0" t="s">
        <v>135</v>
      </c>
    </row>
    <row r="1766">
      <c r="A1766" s="0" t="s">
        <v>1992</v>
      </c>
      <c r="B1766" s="0" t="s">
        <v>134</v>
      </c>
      <c r="C1766" s="0" t="s">
        <v>134</v>
      </c>
      <c r="D1766" s="0" t="s">
        <v>135</v>
      </c>
      <c r="E1766" s="0" t="s">
        <v>3</v>
      </c>
      <c r="F1766" s="0" t="s">
        <v>12</v>
      </c>
      <c r="G1766" s="0" t="s">
        <v>8</v>
      </c>
      <c r="H1766" s="0">
        <v>1192</v>
      </c>
      <c r="I1766" s="0">
        <v>242</v>
      </c>
      <c r="J1766" s="0">
        <v>0</v>
      </c>
      <c r="K1766" s="0">
        <v>1</v>
      </c>
      <c r="L1766" s="0">
        <v>4</v>
      </c>
      <c r="M1766" s="0">
        <v>5</v>
      </c>
      <c r="N1766" s="0">
        <v>0</v>
      </c>
      <c r="O1766" s="0">
        <v>0</v>
      </c>
      <c r="P1766" s="0">
        <v>0</v>
      </c>
      <c r="R1766" s="0" t="b">
        <v>0</v>
      </c>
      <c r="S1766" s="0" t="b">
        <v>1</v>
      </c>
      <c r="T1766" s="68">
        <v>44861.9620949074</v>
      </c>
      <c r="U1766" s="68">
        <v>44875.2916666667</v>
      </c>
      <c r="V1766" s="68">
        <v>0</v>
      </c>
      <c r="W1766" s="0">
        <f>IF(IF(B1766="none",1,IF(B1766="Trialer",1,0))+IF(C1766="Customer",1,IF(C1766="Lost",1,0))=2,1,0)</f>
      </c>
      <c r="X1766" s="0" t="s">
        <v>145</v>
      </c>
      <c r="Y1766" s="0" t="s">
        <v>243</v>
      </c>
      <c r="AV1766" s="68"/>
      <c r="AW1766" s="68"/>
      <c r="AY1766" s="27"/>
      <c r="BD1766" s="68">
        <v>46054.1666666667</v>
      </c>
      <c r="BE1766" s="68">
        <v>46082.1666666667</v>
      </c>
      <c r="BF1766" s="0" t="b">
        <v>0</v>
      </c>
      <c r="BG1766" s="0" t="b">
        <v>0</v>
      </c>
      <c r="BH1766" s="0">
        <v>242</v>
      </c>
      <c r="BI1766" s="0">
        <v>242</v>
      </c>
      <c r="BJ1766" s="0" t="s">
        <v>135</v>
      </c>
    </row>
    <row r="1767">
      <c r="A1767" s="0" t="s">
        <v>1993</v>
      </c>
      <c r="B1767" s="0" t="s">
        <v>134</v>
      </c>
      <c r="C1767" s="0" t="s">
        <v>134</v>
      </c>
      <c r="D1767" s="0" t="s">
        <v>135</v>
      </c>
      <c r="E1767" s="0" t="s">
        <v>2</v>
      </c>
      <c r="F1767" s="0" t="s">
        <v>12</v>
      </c>
      <c r="G1767" s="0" t="s">
        <v>8</v>
      </c>
      <c r="H1767" s="0">
        <v>1191</v>
      </c>
      <c r="I1767" s="0">
        <v>28</v>
      </c>
      <c r="J1767" s="0">
        <v>0</v>
      </c>
      <c r="K1767" s="0">
        <v>1</v>
      </c>
      <c r="L1767" s="0">
        <v>1</v>
      </c>
      <c r="M1767" s="0">
        <v>1</v>
      </c>
      <c r="N1767" s="0">
        <v>0</v>
      </c>
      <c r="O1767" s="0">
        <v>0</v>
      </c>
      <c r="P1767" s="0">
        <v>0</v>
      </c>
      <c r="R1767" s="0" t="b">
        <v>0</v>
      </c>
      <c r="S1767" s="0" t="b">
        <v>1</v>
      </c>
      <c r="T1767" s="68">
        <v>44862.66875</v>
      </c>
      <c r="U1767" s="68">
        <v>44876.2916666667</v>
      </c>
      <c r="V1767" s="68">
        <v>0</v>
      </c>
      <c r="W1767" s="0">
        <f>IF(IF(B1767="none",1,IF(B1767="Trialer",1,0))+IF(C1767="Customer",1,IF(C1767="Lost",1,0))=2,1,0)</f>
      </c>
      <c r="X1767" s="0" t="s">
        <v>153</v>
      </c>
      <c r="Y1767" s="0" t="s">
        <v>499</v>
      </c>
      <c r="AV1767" s="68"/>
      <c r="AW1767" s="68"/>
      <c r="AY1767" s="27"/>
      <c r="BD1767" s="68">
        <v>46054.1666666667</v>
      </c>
      <c r="BE1767" s="68">
        <v>46082.1666666667</v>
      </c>
      <c r="BF1767" s="0" t="b">
        <v>0</v>
      </c>
      <c r="BG1767" s="0" t="b">
        <v>0</v>
      </c>
      <c r="BH1767" s="0">
        <v>28</v>
      </c>
      <c r="BI1767" s="0">
        <v>28</v>
      </c>
      <c r="BJ1767" s="0" t="s">
        <v>135</v>
      </c>
    </row>
    <row r="1768">
      <c r="A1768" s="0" t="s">
        <v>1994</v>
      </c>
      <c r="B1768" s="0" t="s">
        <v>134</v>
      </c>
      <c r="C1768" s="0" t="s">
        <v>134</v>
      </c>
      <c r="D1768" s="0" t="s">
        <v>230</v>
      </c>
      <c r="E1768" s="0" t="s">
        <v>3</v>
      </c>
      <c r="F1768" s="0" t="s">
        <v>12</v>
      </c>
      <c r="G1768" s="0" t="s">
        <v>8</v>
      </c>
      <c r="H1768" s="0">
        <v>1187</v>
      </c>
      <c r="I1768" s="0">
        <v>44</v>
      </c>
      <c r="J1768" s="0">
        <v>0</v>
      </c>
      <c r="K1768" s="0">
        <v>1</v>
      </c>
      <c r="L1768" s="0">
        <v>3</v>
      </c>
      <c r="M1768" s="0">
        <v>1</v>
      </c>
      <c r="N1768" s="0">
        <v>0</v>
      </c>
      <c r="O1768" s="0">
        <v>0</v>
      </c>
      <c r="P1768" s="0">
        <v>-44</v>
      </c>
      <c r="R1768" s="0" t="b">
        <v>0</v>
      </c>
      <c r="S1768" s="0" t="b">
        <v>1</v>
      </c>
      <c r="T1768" s="68">
        <v>44866.4196643519</v>
      </c>
      <c r="U1768" s="68">
        <v>44880.2916666667</v>
      </c>
      <c r="V1768" s="68">
        <v>0</v>
      </c>
      <c r="W1768" s="0">
        <f>IF(IF(B1768="none",1,IF(B1768="Trialer",1,0))+IF(C1768="Customer",1,IF(C1768="Lost",1,0))=2,1,0)</f>
      </c>
      <c r="X1768" s="0" t="s">
        <v>166</v>
      </c>
      <c r="Y1768" s="0" t="s">
        <v>243</v>
      </c>
      <c r="AV1768" s="68"/>
      <c r="AW1768" s="68"/>
      <c r="AY1768" s="27"/>
      <c r="BD1768" s="68">
        <v>46054.1666666667</v>
      </c>
      <c r="BE1768" s="68">
        <v>46082.1666666667</v>
      </c>
      <c r="BF1768" s="0" t="b">
        <v>0</v>
      </c>
      <c r="BG1768" s="0" t="b">
        <v>0</v>
      </c>
      <c r="BH1768" s="0">
        <v>49</v>
      </c>
      <c r="BI1768" s="0">
        <v>49</v>
      </c>
      <c r="BJ1768" s="0" t="s">
        <v>230</v>
      </c>
    </row>
    <row r="1769">
      <c r="A1769" s="0" t="s">
        <v>1995</v>
      </c>
      <c r="B1769" s="0" t="s">
        <v>134</v>
      </c>
      <c r="C1769" s="0" t="s">
        <v>134</v>
      </c>
      <c r="D1769" s="0" t="s">
        <v>135</v>
      </c>
      <c r="E1769" s="0" t="s">
        <v>3</v>
      </c>
      <c r="F1769" s="0" t="s">
        <v>10</v>
      </c>
      <c r="G1769" s="0" t="s">
        <v>8</v>
      </c>
      <c r="H1769" s="0">
        <v>1187</v>
      </c>
      <c r="I1769" s="0">
        <v>1601.1</v>
      </c>
      <c r="J1769" s="0">
        <v>0</v>
      </c>
      <c r="K1769" s="0">
        <v>1</v>
      </c>
      <c r="L1769" s="0">
        <v>6</v>
      </c>
      <c r="M1769" s="0">
        <v>19</v>
      </c>
      <c r="N1769" s="0">
        <v>976.5</v>
      </c>
      <c r="O1769" s="0">
        <v>0</v>
      </c>
      <c r="P1769" s="0">
        <v>0</v>
      </c>
      <c r="Q1769" s="0" t="s">
        <v>1898</v>
      </c>
      <c r="R1769" s="0" t="b">
        <v>0</v>
      </c>
      <c r="S1769" s="0" t="b">
        <v>1</v>
      </c>
      <c r="T1769" s="68">
        <v>44866.5899537037</v>
      </c>
      <c r="U1769" s="68">
        <v>44874.2916666667</v>
      </c>
      <c r="V1769" s="68">
        <v>0</v>
      </c>
      <c r="W1769" s="0">
        <f>IF(IF(B1769="none",1,IF(B1769="Trialer",1,0))+IF(C1769="Customer",1,IF(C1769="Lost",1,0))=2,1,0)</f>
      </c>
      <c r="X1769" s="0" t="s">
        <v>145</v>
      </c>
      <c r="Y1769" s="0" t="s">
        <v>243</v>
      </c>
      <c r="AV1769" s="68"/>
      <c r="AW1769" s="68"/>
      <c r="AY1769" s="27"/>
      <c r="BD1769" s="68">
        <v>46054.1666666667</v>
      </c>
      <c r="BE1769" s="68">
        <v>46082.1666666667</v>
      </c>
      <c r="BF1769" s="0" t="b">
        <v>0</v>
      </c>
      <c r="BG1769" s="0" t="b">
        <v>0</v>
      </c>
      <c r="BH1769" s="0">
        <v>1276</v>
      </c>
      <c r="BI1769" s="0">
        <v>1276</v>
      </c>
      <c r="BJ1769" s="0" t="s">
        <v>135</v>
      </c>
    </row>
    <row r="1770">
      <c r="A1770" s="0" t="s">
        <v>1996</v>
      </c>
      <c r="B1770" s="0" t="s">
        <v>134</v>
      </c>
      <c r="C1770" s="0" t="s">
        <v>134</v>
      </c>
      <c r="D1770" s="0" t="s">
        <v>135</v>
      </c>
      <c r="E1770" s="0" t="s">
        <v>3</v>
      </c>
      <c r="F1770" s="0" t="s">
        <v>12</v>
      </c>
      <c r="G1770" s="0" t="s">
        <v>8</v>
      </c>
      <c r="H1770" s="0">
        <v>1187</v>
      </c>
      <c r="I1770" s="0">
        <v>0</v>
      </c>
      <c r="J1770" s="0">
        <v>0</v>
      </c>
      <c r="K1770" s="0">
        <v>1</v>
      </c>
      <c r="L1770" s="0">
        <v>3</v>
      </c>
      <c r="M1770" s="0">
        <v>2</v>
      </c>
      <c r="N1770" s="0">
        <v>0</v>
      </c>
      <c r="O1770" s="0">
        <v>0</v>
      </c>
      <c r="P1770" s="0">
        <v>0</v>
      </c>
      <c r="R1770" s="0" t="b">
        <v>0</v>
      </c>
      <c r="S1770" s="0" t="b">
        <v>1</v>
      </c>
      <c r="T1770" s="68">
        <v>44866.6529861111</v>
      </c>
      <c r="U1770" s="68">
        <v>44880.2916666667</v>
      </c>
      <c r="V1770" s="68">
        <v>0</v>
      </c>
      <c r="W1770" s="0">
        <f>IF(IF(B1770="none",1,IF(B1770="Trialer",1,0))+IF(C1770="Customer",1,IF(C1770="Lost",1,0))=2,1,0)</f>
      </c>
      <c r="X1770" s="0" t="s">
        <v>145</v>
      </c>
      <c r="Y1770" s="0" t="s">
        <v>243</v>
      </c>
      <c r="AV1770" s="68"/>
      <c r="AW1770" s="68"/>
      <c r="AY1770" s="27"/>
      <c r="BD1770" s="68">
        <v>46054.1666666667</v>
      </c>
      <c r="BE1770" s="68">
        <v>46082.1666666667</v>
      </c>
      <c r="BF1770" s="0" t="b">
        <v>0</v>
      </c>
      <c r="BG1770" s="0" t="b">
        <v>0</v>
      </c>
      <c r="BH1770" s="0">
        <v>0</v>
      </c>
      <c r="BI1770" s="0">
        <v>0</v>
      </c>
      <c r="BJ1770" s="0" t="s">
        <v>135</v>
      </c>
    </row>
    <row r="1771">
      <c r="A1771" s="0" t="s">
        <v>1997</v>
      </c>
      <c r="B1771" s="0" t="s">
        <v>134</v>
      </c>
      <c r="C1771" s="0" t="s">
        <v>134</v>
      </c>
      <c r="D1771" s="0" t="s">
        <v>135</v>
      </c>
      <c r="E1771" s="0" t="s">
        <v>3</v>
      </c>
      <c r="F1771" s="0" t="s">
        <v>12</v>
      </c>
      <c r="G1771" s="0" t="s">
        <v>8</v>
      </c>
      <c r="H1771" s="0">
        <v>1186</v>
      </c>
      <c r="I1771" s="0">
        <v>0</v>
      </c>
      <c r="J1771" s="0">
        <v>0</v>
      </c>
      <c r="K1771" s="0">
        <v>1</v>
      </c>
      <c r="L1771" s="0">
        <v>3</v>
      </c>
      <c r="M1771" s="0">
        <v>1</v>
      </c>
      <c r="N1771" s="0">
        <v>0</v>
      </c>
      <c r="O1771" s="0">
        <v>0</v>
      </c>
      <c r="P1771" s="0">
        <v>0</v>
      </c>
      <c r="R1771" s="0" t="b">
        <v>0</v>
      </c>
      <c r="S1771" s="0" t="b">
        <v>1</v>
      </c>
      <c r="T1771" s="68">
        <v>44867.6878587963</v>
      </c>
      <c r="U1771" s="68">
        <v>44910.2916666667</v>
      </c>
      <c r="V1771" s="68">
        <v>0</v>
      </c>
      <c r="W1771" s="0">
        <f>IF(IF(B1771="none",1,IF(B1771="Trialer",1,0))+IF(C1771="Customer",1,IF(C1771="Lost",1,0))=2,1,0)</f>
      </c>
      <c r="X1771" s="0" t="s">
        <v>136</v>
      </c>
      <c r="Y1771" s="0" t="s">
        <v>243</v>
      </c>
      <c r="AV1771" s="68"/>
      <c r="AW1771" s="68"/>
      <c r="AY1771" s="27"/>
      <c r="BD1771" s="68">
        <v>46054.1666666667</v>
      </c>
      <c r="BE1771" s="68">
        <v>46082.1666666667</v>
      </c>
      <c r="BF1771" s="0" t="b">
        <v>0</v>
      </c>
      <c r="BG1771" s="0" t="b">
        <v>0</v>
      </c>
      <c r="BH1771" s="0">
        <v>0</v>
      </c>
      <c r="BI1771" s="0">
        <v>0</v>
      </c>
      <c r="BJ1771" s="0" t="s">
        <v>135</v>
      </c>
    </row>
    <row r="1772">
      <c r="A1772" s="0" t="s">
        <v>1998</v>
      </c>
      <c r="B1772" s="0" t="s">
        <v>134</v>
      </c>
      <c r="C1772" s="0" t="s">
        <v>134</v>
      </c>
      <c r="D1772" s="0" t="s">
        <v>135</v>
      </c>
      <c r="E1772" s="0" t="s">
        <v>3</v>
      </c>
      <c r="F1772" s="0" t="s">
        <v>12</v>
      </c>
      <c r="G1772" s="0" t="s">
        <v>8</v>
      </c>
      <c r="H1772" s="0">
        <v>1185</v>
      </c>
      <c r="I1772" s="0">
        <v>110</v>
      </c>
      <c r="J1772" s="0">
        <v>0</v>
      </c>
      <c r="K1772" s="0">
        <v>1</v>
      </c>
      <c r="L1772" s="0">
        <v>4</v>
      </c>
      <c r="M1772" s="0">
        <v>2</v>
      </c>
      <c r="N1772" s="0">
        <v>0</v>
      </c>
      <c r="O1772" s="0">
        <v>0</v>
      </c>
      <c r="P1772" s="0">
        <v>0</v>
      </c>
      <c r="R1772" s="0" t="b">
        <v>0</v>
      </c>
      <c r="S1772" s="0" t="b">
        <v>1</v>
      </c>
      <c r="T1772" s="68">
        <v>44868.4480787037</v>
      </c>
      <c r="U1772" s="68">
        <v>44882.2916666667</v>
      </c>
      <c r="V1772" s="68">
        <v>0</v>
      </c>
      <c r="W1772" s="0">
        <f>IF(IF(B1772="none",1,IF(B1772="Trialer",1,0))+IF(C1772="Customer",1,IF(C1772="Lost",1,0))=2,1,0)</f>
      </c>
      <c r="X1772" s="0" t="s">
        <v>153</v>
      </c>
      <c r="Y1772" s="0" t="s">
        <v>243</v>
      </c>
      <c r="AV1772" s="68"/>
      <c r="AW1772" s="68"/>
      <c r="AY1772" s="27"/>
      <c r="BD1772" s="68">
        <v>46054.1666666667</v>
      </c>
      <c r="BE1772" s="68">
        <v>46082.1666666667</v>
      </c>
      <c r="BF1772" s="0" t="b">
        <v>0</v>
      </c>
      <c r="BG1772" s="0" t="b">
        <v>0</v>
      </c>
      <c r="BH1772" s="0">
        <v>110</v>
      </c>
      <c r="BI1772" s="0">
        <v>110</v>
      </c>
      <c r="BJ1772" s="0" t="s">
        <v>135</v>
      </c>
    </row>
    <row r="1773">
      <c r="A1773" s="0" t="s">
        <v>1999</v>
      </c>
      <c r="B1773" s="0" t="s">
        <v>134</v>
      </c>
      <c r="C1773" s="0" t="s">
        <v>134</v>
      </c>
      <c r="D1773" s="0" t="s">
        <v>135</v>
      </c>
      <c r="E1773" s="0" t="s">
        <v>3</v>
      </c>
      <c r="F1773" s="0" t="s">
        <v>12</v>
      </c>
      <c r="G1773" s="0" t="s">
        <v>8</v>
      </c>
      <c r="H1773" s="0">
        <v>1184</v>
      </c>
      <c r="I1773" s="0">
        <v>0</v>
      </c>
      <c r="J1773" s="0">
        <v>0</v>
      </c>
      <c r="K1773" s="0">
        <v>1</v>
      </c>
      <c r="L1773" s="0">
        <v>3</v>
      </c>
      <c r="M1773" s="0">
        <v>2</v>
      </c>
      <c r="N1773" s="0">
        <v>0</v>
      </c>
      <c r="O1773" s="0">
        <v>0</v>
      </c>
      <c r="P1773" s="0">
        <v>0</v>
      </c>
      <c r="R1773" s="0" t="b">
        <v>0</v>
      </c>
      <c r="S1773" s="0" t="b">
        <v>1</v>
      </c>
      <c r="T1773" s="68">
        <v>44869.5620949074</v>
      </c>
      <c r="U1773" s="68">
        <v>44887.2916666667</v>
      </c>
      <c r="V1773" s="68">
        <v>0</v>
      </c>
      <c r="W1773" s="0">
        <f>IF(IF(B1773="none",1,IF(B1773="Trialer",1,0))+IF(C1773="Customer",1,IF(C1773="Lost",1,0))=2,1,0)</f>
      </c>
      <c r="X1773" s="0" t="s">
        <v>136</v>
      </c>
      <c r="Y1773" s="0" t="s">
        <v>243</v>
      </c>
      <c r="AV1773" s="68"/>
      <c r="AW1773" s="68"/>
      <c r="AY1773" s="27"/>
      <c r="BD1773" s="68">
        <v>46054.1666666667</v>
      </c>
      <c r="BE1773" s="68">
        <v>46082.1666666667</v>
      </c>
      <c r="BF1773" s="0" t="b">
        <v>0</v>
      </c>
      <c r="BG1773" s="0" t="b">
        <v>0</v>
      </c>
      <c r="BH1773" s="0">
        <v>0</v>
      </c>
      <c r="BI1773" s="0">
        <v>0</v>
      </c>
      <c r="BJ1773" s="0" t="s">
        <v>135</v>
      </c>
    </row>
    <row r="1774">
      <c r="A1774" s="0" t="s">
        <v>2000</v>
      </c>
      <c r="B1774" s="0" t="s">
        <v>134</v>
      </c>
      <c r="C1774" s="0" t="s">
        <v>134</v>
      </c>
      <c r="D1774" s="0" t="s">
        <v>135</v>
      </c>
      <c r="E1774" s="0" t="s">
        <v>3</v>
      </c>
      <c r="F1774" s="0" t="s">
        <v>12</v>
      </c>
      <c r="G1774" s="0" t="s">
        <v>8</v>
      </c>
      <c r="H1774" s="0">
        <v>1184</v>
      </c>
      <c r="I1774" s="0">
        <v>0</v>
      </c>
      <c r="J1774" s="0">
        <v>0</v>
      </c>
      <c r="K1774" s="0">
        <v>1</v>
      </c>
      <c r="L1774" s="0">
        <v>3</v>
      </c>
      <c r="M1774" s="0">
        <v>1</v>
      </c>
      <c r="N1774" s="0">
        <v>0</v>
      </c>
      <c r="O1774" s="0">
        <v>0</v>
      </c>
      <c r="P1774" s="0">
        <v>0</v>
      </c>
      <c r="R1774" s="0" t="b">
        <v>0</v>
      </c>
      <c r="S1774" s="0" t="b">
        <v>1</v>
      </c>
      <c r="T1774" s="68">
        <v>44869.5805555556</v>
      </c>
      <c r="U1774" s="68">
        <v>44883.2916666667</v>
      </c>
      <c r="V1774" s="68">
        <v>0</v>
      </c>
      <c r="W1774" s="0">
        <f>IF(IF(B1774="none",1,IF(B1774="Trialer",1,0))+IF(C1774="Customer",1,IF(C1774="Lost",1,0))=2,1,0)</f>
      </c>
      <c r="X1774" s="0" t="s">
        <v>148</v>
      </c>
      <c r="Y1774" s="0" t="s">
        <v>243</v>
      </c>
      <c r="AV1774" s="68"/>
      <c r="AW1774" s="68"/>
      <c r="AY1774" s="27"/>
      <c r="BD1774" s="68">
        <v>46054.1666666667</v>
      </c>
      <c r="BE1774" s="68">
        <v>46082.1666666667</v>
      </c>
      <c r="BF1774" s="0" t="b">
        <v>0</v>
      </c>
      <c r="BG1774" s="0" t="b">
        <v>0</v>
      </c>
      <c r="BH1774" s="0">
        <v>0</v>
      </c>
      <c r="BI1774" s="0">
        <v>0</v>
      </c>
      <c r="BJ1774" s="0" t="s">
        <v>135</v>
      </c>
    </row>
    <row r="1775">
      <c r="A1775" s="0" t="s">
        <v>2001</v>
      </c>
      <c r="B1775" s="0" t="s">
        <v>134</v>
      </c>
      <c r="C1775" s="0" t="s">
        <v>134</v>
      </c>
      <c r="D1775" s="0" t="s">
        <v>135</v>
      </c>
      <c r="E1775" s="0" t="s">
        <v>3</v>
      </c>
      <c r="F1775" s="0" t="s">
        <v>12</v>
      </c>
      <c r="G1775" s="0" t="s">
        <v>8</v>
      </c>
      <c r="H1775" s="0">
        <v>1181</v>
      </c>
      <c r="I1775" s="0">
        <v>40</v>
      </c>
      <c r="J1775" s="0">
        <v>0</v>
      </c>
      <c r="K1775" s="0">
        <v>1</v>
      </c>
      <c r="L1775" s="0">
        <v>2</v>
      </c>
      <c r="M1775" s="0">
        <v>1</v>
      </c>
      <c r="N1775" s="0">
        <v>0</v>
      </c>
      <c r="O1775" s="0">
        <v>0</v>
      </c>
      <c r="P1775" s="0">
        <v>0</v>
      </c>
      <c r="R1775" s="0" t="b">
        <v>0</v>
      </c>
      <c r="S1775" s="0" t="b">
        <v>1</v>
      </c>
      <c r="T1775" s="68">
        <v>44872.3189351852</v>
      </c>
      <c r="U1775" s="68">
        <v>44886.2916666667</v>
      </c>
      <c r="V1775" s="68">
        <v>0</v>
      </c>
      <c r="W1775" s="0">
        <f>IF(IF(B1775="none",1,IF(B1775="Trialer",1,0))+IF(C1775="Customer",1,IF(C1775="Lost",1,0))=2,1,0)</f>
      </c>
      <c r="X1775" s="0" t="s">
        <v>153</v>
      </c>
      <c r="Y1775" s="0" t="s">
        <v>243</v>
      </c>
      <c r="AV1775" s="68"/>
      <c r="AW1775" s="68"/>
      <c r="AY1775" s="27"/>
      <c r="BD1775" s="68">
        <v>46054.1666666667</v>
      </c>
      <c r="BE1775" s="68">
        <v>46082.1666666667</v>
      </c>
      <c r="BF1775" s="0" t="b">
        <v>0</v>
      </c>
      <c r="BG1775" s="0" t="b">
        <v>0</v>
      </c>
      <c r="BH1775" s="0">
        <v>40</v>
      </c>
      <c r="BI1775" s="0">
        <v>40</v>
      </c>
      <c r="BJ1775" s="0" t="s">
        <v>135</v>
      </c>
    </row>
    <row r="1776">
      <c r="A1776" s="0" t="s">
        <v>2002</v>
      </c>
      <c r="B1776" s="0" t="s">
        <v>134</v>
      </c>
      <c r="C1776" s="0" t="s">
        <v>134</v>
      </c>
      <c r="D1776" s="0" t="s">
        <v>230</v>
      </c>
      <c r="E1776" s="0" t="s">
        <v>3</v>
      </c>
      <c r="F1776" s="0" t="s">
        <v>10</v>
      </c>
      <c r="G1776" s="0" t="s">
        <v>8</v>
      </c>
      <c r="H1776" s="0">
        <v>1181</v>
      </c>
      <c r="I1776" s="0">
        <v>124</v>
      </c>
      <c r="J1776" s="0">
        <v>0</v>
      </c>
      <c r="K1776" s="0">
        <v>1</v>
      </c>
      <c r="L1776" s="0">
        <v>3</v>
      </c>
      <c r="M1776" s="0">
        <v>3</v>
      </c>
      <c r="N1776" s="0">
        <v>0</v>
      </c>
      <c r="O1776" s="0">
        <v>0</v>
      </c>
      <c r="P1776" s="0">
        <v>-124</v>
      </c>
      <c r="Q1776" s="0" t="s">
        <v>1095</v>
      </c>
      <c r="R1776" s="0" t="b">
        <v>0</v>
      </c>
      <c r="S1776" s="0" t="b">
        <v>1</v>
      </c>
      <c r="T1776" s="68">
        <v>44872.5915162037</v>
      </c>
      <c r="U1776" s="68">
        <v>44886.2916666667</v>
      </c>
      <c r="V1776" s="68">
        <v>0</v>
      </c>
      <c r="W1776" s="0">
        <f>IF(IF(B1776="none",1,IF(B1776="Trialer",1,0))+IF(C1776="Customer",1,IF(C1776="Lost",1,0))=2,1,0)</f>
      </c>
      <c r="X1776" s="0" t="s">
        <v>148</v>
      </c>
      <c r="Y1776" s="0" t="s">
        <v>243</v>
      </c>
      <c r="AV1776" s="68"/>
      <c r="AW1776" s="68"/>
      <c r="AY1776" s="27"/>
      <c r="BD1776" s="68">
        <v>46054.1666666667</v>
      </c>
      <c r="BE1776" s="68">
        <v>46082.1666666667</v>
      </c>
      <c r="BF1776" s="0" t="b">
        <v>0</v>
      </c>
      <c r="BG1776" s="0" t="b">
        <v>0</v>
      </c>
      <c r="BH1776" s="0">
        <v>138</v>
      </c>
      <c r="BI1776" s="0">
        <v>138</v>
      </c>
      <c r="BJ1776" s="0" t="s">
        <v>230</v>
      </c>
    </row>
    <row r="1777">
      <c r="A1777" s="0" t="s">
        <v>2003</v>
      </c>
      <c r="B1777" s="0" t="s">
        <v>134</v>
      </c>
      <c r="C1777" s="0" t="s">
        <v>134</v>
      </c>
      <c r="D1777" s="0" t="s">
        <v>135</v>
      </c>
      <c r="E1777" s="0" t="s">
        <v>2</v>
      </c>
      <c r="F1777" s="0" t="s">
        <v>12</v>
      </c>
      <c r="G1777" s="0" t="s">
        <v>8</v>
      </c>
      <c r="H1777" s="0">
        <v>1181</v>
      </c>
      <c r="I1777" s="0">
        <v>343</v>
      </c>
      <c r="J1777" s="0">
        <v>0</v>
      </c>
      <c r="K1777" s="0">
        <v>1</v>
      </c>
      <c r="L1777" s="0">
        <v>3</v>
      </c>
      <c r="M1777" s="0">
        <v>7</v>
      </c>
      <c r="N1777" s="0">
        <v>0</v>
      </c>
      <c r="O1777" s="0">
        <v>0</v>
      </c>
      <c r="P1777" s="0">
        <v>0</v>
      </c>
      <c r="R1777" s="0" t="b">
        <v>0</v>
      </c>
      <c r="S1777" s="0" t="b">
        <v>1</v>
      </c>
      <c r="T1777" s="68">
        <v>44872.6715393519</v>
      </c>
      <c r="U1777" s="68">
        <v>44886.2916666667</v>
      </c>
      <c r="V1777" s="68">
        <v>0</v>
      </c>
      <c r="W1777" s="0">
        <f>IF(IF(B1777="none",1,IF(B1777="Trialer",1,0))+IF(C1777="Customer",1,IF(C1777="Lost",1,0))=2,1,0)</f>
      </c>
      <c r="X1777" s="0" t="s">
        <v>882</v>
      </c>
      <c r="Y1777" s="0" t="s">
        <v>499</v>
      </c>
      <c r="AV1777" s="68"/>
      <c r="AW1777" s="68"/>
      <c r="AY1777" s="27"/>
      <c r="BD1777" s="68">
        <v>46054.1666666667</v>
      </c>
      <c r="BE1777" s="68">
        <v>46082.1666666667</v>
      </c>
      <c r="BF1777" s="0" t="b">
        <v>0</v>
      </c>
      <c r="BG1777" s="0" t="b">
        <v>0</v>
      </c>
      <c r="BH1777" s="0">
        <v>343</v>
      </c>
      <c r="BI1777" s="0">
        <v>343</v>
      </c>
      <c r="BJ1777" s="0" t="s">
        <v>135</v>
      </c>
    </row>
    <row r="1778">
      <c r="A1778" s="0" t="s">
        <v>2004</v>
      </c>
      <c r="B1778" s="0" t="s">
        <v>134</v>
      </c>
      <c r="C1778" s="0" t="s">
        <v>134</v>
      </c>
      <c r="D1778" s="0" t="s">
        <v>135</v>
      </c>
      <c r="E1778" s="0" t="s">
        <v>3</v>
      </c>
      <c r="F1778" s="0" t="s">
        <v>12</v>
      </c>
      <c r="G1778" s="0" t="s">
        <v>8</v>
      </c>
      <c r="H1778" s="0">
        <v>1180</v>
      </c>
      <c r="I1778" s="0">
        <v>147</v>
      </c>
      <c r="J1778" s="0">
        <v>0</v>
      </c>
      <c r="K1778" s="0">
        <v>1</v>
      </c>
      <c r="L1778" s="0">
        <v>3</v>
      </c>
      <c r="M1778" s="0">
        <v>3</v>
      </c>
      <c r="N1778" s="0">
        <v>413.25</v>
      </c>
      <c r="O1778" s="0">
        <v>0</v>
      </c>
      <c r="P1778" s="0">
        <v>0</v>
      </c>
      <c r="R1778" s="0" t="b">
        <v>0</v>
      </c>
      <c r="S1778" s="0" t="b">
        <v>1</v>
      </c>
      <c r="T1778" s="68">
        <v>44873.6069097222</v>
      </c>
      <c r="U1778" s="68">
        <v>44890.2916666667</v>
      </c>
      <c r="V1778" s="68">
        <v>0</v>
      </c>
      <c r="W1778" s="0">
        <f>IF(IF(B1778="none",1,IF(B1778="Trialer",1,0))+IF(C1778="Customer",1,IF(C1778="Lost",1,0))=2,1,0)</f>
      </c>
      <c r="X1778" s="0" t="s">
        <v>136</v>
      </c>
      <c r="Y1778" s="0" t="s">
        <v>243</v>
      </c>
      <c r="AV1778" s="68"/>
      <c r="AW1778" s="68"/>
      <c r="AY1778" s="27"/>
      <c r="BD1778" s="68">
        <v>46054.1666666667</v>
      </c>
      <c r="BE1778" s="68">
        <v>46082.1666666667</v>
      </c>
      <c r="BF1778" s="0" t="b">
        <v>0</v>
      </c>
      <c r="BG1778" s="0" t="b">
        <v>0</v>
      </c>
      <c r="BH1778" s="0">
        <v>147</v>
      </c>
      <c r="BI1778" s="0">
        <v>147</v>
      </c>
      <c r="BJ1778" s="0" t="s">
        <v>135</v>
      </c>
    </row>
    <row r="1779">
      <c r="A1779" s="0" t="s">
        <v>2005</v>
      </c>
      <c r="B1779" s="0" t="s">
        <v>134</v>
      </c>
      <c r="C1779" s="0" t="s">
        <v>134</v>
      </c>
      <c r="D1779" s="0" t="s">
        <v>135</v>
      </c>
      <c r="E1779" s="0" t="s">
        <v>3</v>
      </c>
      <c r="F1779" s="0" t="s">
        <v>10</v>
      </c>
      <c r="G1779" s="0" t="s">
        <v>8</v>
      </c>
      <c r="H1779" s="0">
        <v>1180</v>
      </c>
      <c r="I1779" s="0">
        <v>112</v>
      </c>
      <c r="J1779" s="0">
        <v>0</v>
      </c>
      <c r="K1779" s="0">
        <v>1</v>
      </c>
      <c r="L1779" s="0">
        <v>1</v>
      </c>
      <c r="M1779" s="0">
        <v>4</v>
      </c>
      <c r="N1779" s="0">
        <v>0</v>
      </c>
      <c r="O1779" s="0">
        <v>0</v>
      </c>
      <c r="P1779" s="0">
        <v>0</v>
      </c>
      <c r="Q1779" s="0" t="s">
        <v>618</v>
      </c>
      <c r="R1779" s="0" t="b">
        <v>0</v>
      </c>
      <c r="S1779" s="0" t="b">
        <v>1</v>
      </c>
      <c r="T1779" s="68">
        <v>44873.7076388889</v>
      </c>
      <c r="U1779" s="68">
        <v>44887.2916666667</v>
      </c>
      <c r="V1779" s="68">
        <v>0</v>
      </c>
      <c r="W1779" s="0">
        <f>IF(IF(B1779="none",1,IF(B1779="Trialer",1,0))+IF(C1779="Customer",1,IF(C1779="Lost",1,0))=2,1,0)</f>
      </c>
      <c r="X1779" s="0" t="s">
        <v>148</v>
      </c>
      <c r="Y1779" s="0" t="s">
        <v>243</v>
      </c>
      <c r="AV1779" s="68"/>
      <c r="AW1779" s="68"/>
      <c r="AY1779" s="27"/>
      <c r="BD1779" s="68">
        <v>46054.1666666667</v>
      </c>
      <c r="BE1779" s="68">
        <v>46082.1666666667</v>
      </c>
      <c r="BF1779" s="0" t="b">
        <v>0</v>
      </c>
      <c r="BG1779" s="0" t="b">
        <v>0</v>
      </c>
      <c r="BH1779" s="0">
        <v>112</v>
      </c>
      <c r="BI1779" s="0">
        <v>112</v>
      </c>
      <c r="BJ1779" s="0" t="s">
        <v>135</v>
      </c>
    </row>
    <row r="1780">
      <c r="A1780" s="0" t="s">
        <v>2006</v>
      </c>
      <c r="B1780" s="0" t="s">
        <v>134</v>
      </c>
      <c r="C1780" s="0" t="s">
        <v>134</v>
      </c>
      <c r="D1780" s="0" t="s">
        <v>230</v>
      </c>
      <c r="E1780" s="0" t="s">
        <v>2</v>
      </c>
      <c r="F1780" s="0" t="s">
        <v>10</v>
      </c>
      <c r="G1780" s="0" t="s">
        <v>8</v>
      </c>
      <c r="H1780" s="0">
        <v>1180</v>
      </c>
      <c r="I1780" s="0">
        <v>653</v>
      </c>
      <c r="J1780" s="0">
        <v>0</v>
      </c>
      <c r="K1780" s="0">
        <v>1</v>
      </c>
      <c r="L1780" s="0">
        <v>3</v>
      </c>
      <c r="M1780" s="0">
        <v>8</v>
      </c>
      <c r="N1780" s="0">
        <v>697.5</v>
      </c>
      <c r="O1780" s="0">
        <v>0</v>
      </c>
      <c r="P1780" s="0">
        <v>-328</v>
      </c>
      <c r="Q1780" s="0" t="s">
        <v>756</v>
      </c>
      <c r="R1780" s="0" t="b">
        <v>0</v>
      </c>
      <c r="S1780" s="0" t="b">
        <v>1</v>
      </c>
      <c r="T1780" s="68">
        <v>44873.7217592593</v>
      </c>
      <c r="U1780" s="68">
        <v>44902.2916666667</v>
      </c>
      <c r="V1780" s="68">
        <v>0</v>
      </c>
      <c r="W1780" s="0">
        <f>IF(IF(B1780="none",1,IF(B1780="Trialer",1,0))+IF(C1780="Customer",1,IF(C1780="Lost",1,0))=2,1,0)</f>
      </c>
      <c r="X1780" s="0" t="s">
        <v>136</v>
      </c>
      <c r="Y1780" s="0" t="s">
        <v>499</v>
      </c>
      <c r="AV1780" s="68"/>
      <c r="AW1780" s="68"/>
      <c r="AY1780" s="27"/>
      <c r="BD1780" s="68">
        <v>46054.1666666667</v>
      </c>
      <c r="BE1780" s="68">
        <v>46082.1666666667</v>
      </c>
      <c r="BF1780" s="0" t="b">
        <v>0</v>
      </c>
      <c r="BG1780" s="0" t="b">
        <v>0</v>
      </c>
      <c r="BH1780" s="0">
        <v>356</v>
      </c>
      <c r="BI1780" s="0">
        <v>356</v>
      </c>
      <c r="BJ1780" s="0" t="s">
        <v>230</v>
      </c>
    </row>
    <row r="1781">
      <c r="A1781" s="0" t="s">
        <v>2007</v>
      </c>
      <c r="B1781" s="0" t="s">
        <v>134</v>
      </c>
      <c r="C1781" s="0" t="s">
        <v>134</v>
      </c>
      <c r="D1781" s="0" t="s">
        <v>230</v>
      </c>
      <c r="E1781" s="0" t="s">
        <v>2</v>
      </c>
      <c r="F1781" s="0" t="s">
        <v>12</v>
      </c>
      <c r="G1781" s="0" t="s">
        <v>8</v>
      </c>
      <c r="H1781" s="0">
        <v>1179</v>
      </c>
      <c r="I1781" s="0">
        <v>901</v>
      </c>
      <c r="J1781" s="0">
        <v>0</v>
      </c>
      <c r="K1781" s="0">
        <v>1</v>
      </c>
      <c r="L1781" s="0">
        <v>5</v>
      </c>
      <c r="M1781" s="0">
        <v>20</v>
      </c>
      <c r="N1781" s="0">
        <v>0</v>
      </c>
      <c r="O1781" s="0">
        <v>0</v>
      </c>
      <c r="P1781" s="0">
        <v>-901</v>
      </c>
      <c r="R1781" s="0" t="b">
        <v>0</v>
      </c>
      <c r="S1781" s="0" t="b">
        <v>1</v>
      </c>
      <c r="T1781" s="68">
        <v>44874.6548611111</v>
      </c>
      <c r="U1781" s="68">
        <v>44896.2916666667</v>
      </c>
      <c r="V1781" s="68">
        <v>0</v>
      </c>
      <c r="W1781" s="0">
        <f>IF(IF(B1781="none",1,IF(B1781="Trialer",1,0))+IF(C1781="Customer",1,IF(C1781="Lost",1,0))=2,1,0)</f>
      </c>
      <c r="X1781" s="0" t="s">
        <v>882</v>
      </c>
      <c r="Y1781" s="0" t="s">
        <v>499</v>
      </c>
      <c r="AV1781" s="68"/>
      <c r="AW1781" s="68"/>
      <c r="AY1781" s="27"/>
      <c r="BD1781" s="68">
        <v>46054.1666666667</v>
      </c>
      <c r="BE1781" s="68">
        <v>46082.1666666667</v>
      </c>
      <c r="BF1781" s="0" t="b">
        <v>0</v>
      </c>
      <c r="BG1781" s="0" t="b">
        <v>0</v>
      </c>
      <c r="BH1781" s="0">
        <v>1007</v>
      </c>
      <c r="BI1781" s="0">
        <v>1007</v>
      </c>
      <c r="BJ1781" s="0" t="s">
        <v>230</v>
      </c>
    </row>
    <row r="1782">
      <c r="A1782" s="0" t="s">
        <v>2008</v>
      </c>
      <c r="B1782" s="0" t="s">
        <v>134</v>
      </c>
      <c r="C1782" s="0" t="s">
        <v>134</v>
      </c>
      <c r="D1782" s="0" t="s">
        <v>135</v>
      </c>
      <c r="E1782" s="0" t="s">
        <v>3</v>
      </c>
      <c r="F1782" s="0" t="s">
        <v>12</v>
      </c>
      <c r="G1782" s="0" t="s">
        <v>8</v>
      </c>
      <c r="H1782" s="0">
        <v>1178</v>
      </c>
      <c r="I1782" s="0">
        <v>384</v>
      </c>
      <c r="J1782" s="0">
        <v>0</v>
      </c>
      <c r="K1782" s="0">
        <v>1</v>
      </c>
      <c r="L1782" s="0">
        <v>4</v>
      </c>
      <c r="M1782" s="0">
        <v>9</v>
      </c>
      <c r="N1782" s="0">
        <v>0</v>
      </c>
      <c r="O1782" s="0">
        <v>0</v>
      </c>
      <c r="P1782" s="0">
        <v>0</v>
      </c>
      <c r="R1782" s="0" t="b">
        <v>0</v>
      </c>
      <c r="S1782" s="0" t="b">
        <v>1</v>
      </c>
      <c r="T1782" s="68">
        <v>44875.6835532407</v>
      </c>
      <c r="U1782" s="68">
        <v>44893.2916666667</v>
      </c>
      <c r="V1782" s="68">
        <v>0</v>
      </c>
      <c r="W1782" s="0">
        <f>IF(IF(B1782="none",1,IF(B1782="Trialer",1,0))+IF(C1782="Customer",1,IF(C1782="Lost",1,0))=2,1,0)</f>
      </c>
      <c r="X1782" s="0" t="s">
        <v>136</v>
      </c>
      <c r="Y1782" s="0" t="s">
        <v>243</v>
      </c>
      <c r="AV1782" s="68"/>
      <c r="AW1782" s="68"/>
      <c r="AY1782" s="27"/>
      <c r="BD1782" s="68">
        <v>46054.1666666667</v>
      </c>
      <c r="BE1782" s="68">
        <v>46082.1666666667</v>
      </c>
      <c r="BF1782" s="0" t="b">
        <v>0</v>
      </c>
      <c r="BG1782" s="0" t="b">
        <v>0</v>
      </c>
      <c r="BH1782" s="0">
        <v>360</v>
      </c>
      <c r="BI1782" s="0">
        <v>360</v>
      </c>
      <c r="BJ1782" s="0" t="s">
        <v>135</v>
      </c>
    </row>
    <row r="1783">
      <c r="A1783" s="0" t="s">
        <v>2009</v>
      </c>
      <c r="B1783" s="0" t="s">
        <v>134</v>
      </c>
      <c r="C1783" s="0" t="s">
        <v>134</v>
      </c>
      <c r="D1783" s="0" t="s">
        <v>135</v>
      </c>
      <c r="E1783" s="0" t="s">
        <v>3</v>
      </c>
      <c r="F1783" s="0" t="s">
        <v>10</v>
      </c>
      <c r="G1783" s="0" t="s">
        <v>8</v>
      </c>
      <c r="H1783" s="0">
        <v>1177</v>
      </c>
      <c r="I1783" s="0">
        <v>28</v>
      </c>
      <c r="J1783" s="0">
        <v>0</v>
      </c>
      <c r="K1783" s="0">
        <v>1</v>
      </c>
      <c r="L1783" s="0">
        <v>1</v>
      </c>
      <c r="M1783" s="0">
        <v>1</v>
      </c>
      <c r="N1783" s="0">
        <v>0</v>
      </c>
      <c r="O1783" s="0">
        <v>0</v>
      </c>
      <c r="P1783" s="0">
        <v>0</v>
      </c>
      <c r="Q1783" s="0" t="s">
        <v>618</v>
      </c>
      <c r="R1783" s="0" t="b">
        <v>0</v>
      </c>
      <c r="S1783" s="0" t="b">
        <v>1</v>
      </c>
      <c r="T1783" s="68">
        <v>44876.4066087963</v>
      </c>
      <c r="U1783" s="68">
        <v>44890.2916666667</v>
      </c>
      <c r="V1783" s="68">
        <v>0</v>
      </c>
      <c r="W1783" s="0">
        <f>IF(IF(B1783="none",1,IF(B1783="Trialer",1,0))+IF(C1783="Customer",1,IF(C1783="Lost",1,0))=2,1,0)</f>
      </c>
      <c r="X1783" s="0" t="s">
        <v>148</v>
      </c>
      <c r="Y1783" s="0" t="s">
        <v>243</v>
      </c>
      <c r="AV1783" s="68"/>
      <c r="AW1783" s="68"/>
      <c r="AY1783" s="27"/>
      <c r="BD1783" s="68">
        <v>46054.1666666667</v>
      </c>
      <c r="BE1783" s="68">
        <v>46082.1666666667</v>
      </c>
      <c r="BF1783" s="0" t="b">
        <v>0</v>
      </c>
      <c r="BG1783" s="0" t="b">
        <v>0</v>
      </c>
      <c r="BH1783" s="0">
        <v>28</v>
      </c>
      <c r="BI1783" s="0">
        <v>28</v>
      </c>
      <c r="BJ1783" s="0" t="s">
        <v>135</v>
      </c>
    </row>
    <row r="1784">
      <c r="A1784" s="0" t="s">
        <v>2010</v>
      </c>
      <c r="B1784" s="0" t="s">
        <v>134</v>
      </c>
      <c r="C1784" s="0" t="s">
        <v>134</v>
      </c>
      <c r="D1784" s="0" t="s">
        <v>135</v>
      </c>
      <c r="E1784" s="0" t="s">
        <v>3</v>
      </c>
      <c r="F1784" s="0" t="s">
        <v>12</v>
      </c>
      <c r="G1784" s="0" t="s">
        <v>8</v>
      </c>
      <c r="H1784" s="0">
        <v>1177</v>
      </c>
      <c r="I1784" s="0">
        <v>61</v>
      </c>
      <c r="J1784" s="0">
        <v>0</v>
      </c>
      <c r="K1784" s="0">
        <v>1</v>
      </c>
      <c r="L1784" s="0">
        <v>4</v>
      </c>
      <c r="M1784" s="0">
        <v>1</v>
      </c>
      <c r="N1784" s="0">
        <v>0</v>
      </c>
      <c r="O1784" s="0">
        <v>0</v>
      </c>
      <c r="P1784" s="0">
        <v>0</v>
      </c>
      <c r="R1784" s="0" t="b">
        <v>0</v>
      </c>
      <c r="S1784" s="0" t="b">
        <v>1</v>
      </c>
      <c r="T1784" s="68">
        <v>44876.492349537</v>
      </c>
      <c r="U1784" s="68">
        <v>44896.2916666667</v>
      </c>
      <c r="V1784" s="68">
        <v>0</v>
      </c>
      <c r="W1784" s="0">
        <f>IF(IF(B1784="none",1,IF(B1784="Trialer",1,0))+IF(C1784="Customer",1,IF(C1784="Lost",1,0))=2,1,0)</f>
      </c>
      <c r="X1784" s="0" t="s">
        <v>153</v>
      </c>
      <c r="Y1784" s="0" t="s">
        <v>243</v>
      </c>
      <c r="AV1784" s="68"/>
      <c r="AW1784" s="68"/>
      <c r="AY1784" s="27"/>
      <c r="BD1784" s="68">
        <v>46054.1666666667</v>
      </c>
      <c r="BE1784" s="68">
        <v>46082.1666666667</v>
      </c>
      <c r="BF1784" s="0" t="b">
        <v>0</v>
      </c>
      <c r="BG1784" s="0" t="b">
        <v>0</v>
      </c>
      <c r="BH1784" s="0">
        <v>61</v>
      </c>
      <c r="BI1784" s="0">
        <v>61</v>
      </c>
      <c r="BJ1784" s="0" t="s">
        <v>135</v>
      </c>
    </row>
    <row r="1785">
      <c r="A1785" s="0" t="s">
        <v>2011</v>
      </c>
      <c r="B1785" s="0" t="s">
        <v>134</v>
      </c>
      <c r="C1785" s="0" t="s">
        <v>134</v>
      </c>
      <c r="D1785" s="0" t="s">
        <v>135</v>
      </c>
      <c r="E1785" s="0" t="s">
        <v>3</v>
      </c>
      <c r="F1785" s="0" t="s">
        <v>12</v>
      </c>
      <c r="G1785" s="0" t="s">
        <v>8</v>
      </c>
      <c r="H1785" s="0">
        <v>1177</v>
      </c>
      <c r="I1785" s="0">
        <v>49</v>
      </c>
      <c r="J1785" s="0">
        <v>0</v>
      </c>
      <c r="K1785" s="0">
        <v>1</v>
      </c>
      <c r="L1785" s="0">
        <v>3</v>
      </c>
      <c r="M1785" s="0">
        <v>1</v>
      </c>
      <c r="N1785" s="0">
        <v>0</v>
      </c>
      <c r="O1785" s="0">
        <v>0</v>
      </c>
      <c r="P1785" s="0">
        <v>0</v>
      </c>
      <c r="R1785" s="0" t="b">
        <v>0</v>
      </c>
      <c r="S1785" s="0" t="b">
        <v>1</v>
      </c>
      <c r="T1785" s="68">
        <v>44876.5441898148</v>
      </c>
      <c r="U1785" s="68">
        <v>44890.2916666667</v>
      </c>
      <c r="V1785" s="68">
        <v>0</v>
      </c>
      <c r="W1785" s="0">
        <f>IF(IF(B1785="none",1,IF(B1785="Trialer",1,0))+IF(C1785="Customer",1,IF(C1785="Lost",1,0))=2,1,0)</f>
      </c>
      <c r="X1785" s="0" t="s">
        <v>166</v>
      </c>
      <c r="Y1785" s="0" t="s">
        <v>243</v>
      </c>
      <c r="AV1785" s="68"/>
      <c r="AW1785" s="68"/>
      <c r="AY1785" s="27"/>
      <c r="BD1785" s="68">
        <v>46054.1666666667</v>
      </c>
      <c r="BE1785" s="68">
        <v>46082.1666666667</v>
      </c>
      <c r="BF1785" s="0" t="b">
        <v>0</v>
      </c>
      <c r="BG1785" s="0" t="b">
        <v>0</v>
      </c>
      <c r="BH1785" s="0">
        <v>49</v>
      </c>
      <c r="BI1785" s="0">
        <v>49</v>
      </c>
      <c r="BJ1785" s="0" t="s">
        <v>135</v>
      </c>
    </row>
    <row r="1786">
      <c r="A1786" s="0" t="s">
        <v>2012</v>
      </c>
      <c r="B1786" s="0" t="s">
        <v>134</v>
      </c>
      <c r="C1786" s="0" t="s">
        <v>134</v>
      </c>
      <c r="D1786" s="0" t="s">
        <v>135</v>
      </c>
      <c r="E1786" s="0" t="s">
        <v>2</v>
      </c>
      <c r="F1786" s="0" t="s">
        <v>12</v>
      </c>
      <c r="G1786" s="0" t="s">
        <v>8</v>
      </c>
      <c r="H1786" s="0">
        <v>1174</v>
      </c>
      <c r="I1786" s="0">
        <v>68</v>
      </c>
      <c r="J1786" s="0">
        <v>0</v>
      </c>
      <c r="K1786" s="0">
        <v>1</v>
      </c>
      <c r="L1786" s="0">
        <v>2</v>
      </c>
      <c r="M1786" s="0">
        <v>2</v>
      </c>
      <c r="N1786" s="0">
        <v>0</v>
      </c>
      <c r="O1786" s="0">
        <v>0</v>
      </c>
      <c r="P1786" s="0">
        <v>0</v>
      </c>
      <c r="R1786" s="0" t="b">
        <v>0</v>
      </c>
      <c r="S1786" s="0" t="b">
        <v>1</v>
      </c>
      <c r="T1786" s="68">
        <v>44879.5060185185</v>
      </c>
      <c r="U1786" s="68">
        <v>44893.2916666667</v>
      </c>
      <c r="V1786" s="68">
        <v>0</v>
      </c>
      <c r="W1786" s="0">
        <f>IF(IF(B1786="none",1,IF(B1786="Trialer",1,0))+IF(C1786="Customer",1,IF(C1786="Lost",1,0))=2,1,0)</f>
      </c>
      <c r="X1786" s="0" t="s">
        <v>142</v>
      </c>
      <c r="Y1786" s="0" t="s">
        <v>499</v>
      </c>
      <c r="AV1786" s="68"/>
      <c r="AW1786" s="68"/>
      <c r="AY1786" s="27"/>
      <c r="BD1786" s="68">
        <v>46054.1666666667</v>
      </c>
      <c r="BE1786" s="68">
        <v>46082.1666666667</v>
      </c>
      <c r="BF1786" s="0" t="b">
        <v>0</v>
      </c>
      <c r="BG1786" s="0" t="b">
        <v>0</v>
      </c>
      <c r="BH1786" s="0">
        <v>68</v>
      </c>
      <c r="BI1786" s="0">
        <v>68</v>
      </c>
      <c r="BJ1786" s="0" t="s">
        <v>135</v>
      </c>
    </row>
    <row r="1787">
      <c r="A1787" s="0" t="s">
        <v>2013</v>
      </c>
      <c r="B1787" s="0" t="s">
        <v>134</v>
      </c>
      <c r="C1787" s="0" t="s">
        <v>134</v>
      </c>
      <c r="D1787" s="0" t="s">
        <v>135</v>
      </c>
      <c r="E1787" s="0" t="s">
        <v>3</v>
      </c>
      <c r="F1787" s="0" t="s">
        <v>10</v>
      </c>
      <c r="G1787" s="0" t="s">
        <v>8</v>
      </c>
      <c r="H1787" s="0">
        <v>1174</v>
      </c>
      <c r="I1787" s="0">
        <v>28</v>
      </c>
      <c r="J1787" s="0">
        <v>0</v>
      </c>
      <c r="K1787" s="0">
        <v>1</v>
      </c>
      <c r="L1787" s="0">
        <v>1</v>
      </c>
      <c r="M1787" s="0">
        <v>1</v>
      </c>
      <c r="N1787" s="0">
        <v>0</v>
      </c>
      <c r="O1787" s="0">
        <v>0</v>
      </c>
      <c r="P1787" s="0">
        <v>0</v>
      </c>
      <c r="Q1787" s="0" t="s">
        <v>618</v>
      </c>
      <c r="R1787" s="0" t="b">
        <v>0</v>
      </c>
      <c r="S1787" s="0" t="b">
        <v>1</v>
      </c>
      <c r="T1787" s="68">
        <v>44879.6057175926</v>
      </c>
      <c r="U1787" s="68">
        <v>44902.2916666667</v>
      </c>
      <c r="V1787" s="68">
        <v>0</v>
      </c>
      <c r="W1787" s="0">
        <f>IF(IF(B1787="none",1,IF(B1787="Trialer",1,0))+IF(C1787="Customer",1,IF(C1787="Lost",1,0))=2,1,0)</f>
      </c>
      <c r="X1787" s="0" t="s">
        <v>148</v>
      </c>
      <c r="Y1787" s="0" t="s">
        <v>243</v>
      </c>
      <c r="AV1787" s="68"/>
      <c r="AW1787" s="68"/>
      <c r="AY1787" s="27"/>
      <c r="BD1787" s="68">
        <v>46054.1666666667</v>
      </c>
      <c r="BE1787" s="68">
        <v>46082.1666666667</v>
      </c>
      <c r="BF1787" s="0" t="b">
        <v>0</v>
      </c>
      <c r="BG1787" s="0" t="b">
        <v>0</v>
      </c>
      <c r="BH1787" s="0">
        <v>28</v>
      </c>
      <c r="BI1787" s="0">
        <v>28</v>
      </c>
      <c r="BJ1787" s="0" t="s">
        <v>135</v>
      </c>
    </row>
    <row r="1788">
      <c r="A1788" s="0" t="s">
        <v>2014</v>
      </c>
      <c r="B1788" s="0" t="s">
        <v>134</v>
      </c>
      <c r="C1788" s="0" t="s">
        <v>134</v>
      </c>
      <c r="D1788" s="0" t="s">
        <v>135</v>
      </c>
      <c r="E1788" s="0" t="s">
        <v>3</v>
      </c>
      <c r="F1788" s="0" t="s">
        <v>11</v>
      </c>
      <c r="G1788" s="0" t="s">
        <v>8</v>
      </c>
      <c r="H1788" s="0">
        <v>1172</v>
      </c>
      <c r="I1788" s="0">
        <v>40</v>
      </c>
      <c r="J1788" s="0">
        <v>0</v>
      </c>
      <c r="K1788" s="0">
        <v>1</v>
      </c>
      <c r="L1788" s="0">
        <v>4</v>
      </c>
      <c r="M1788" s="0">
        <v>1</v>
      </c>
      <c r="N1788" s="0">
        <v>0</v>
      </c>
      <c r="O1788" s="0">
        <v>0</v>
      </c>
      <c r="P1788" s="0">
        <v>0</v>
      </c>
      <c r="Q1788" s="0" t="s">
        <v>1743</v>
      </c>
      <c r="R1788" s="0" t="b">
        <v>1</v>
      </c>
      <c r="S1788" s="0" t="b">
        <v>1</v>
      </c>
      <c r="T1788" s="68">
        <v>44881.4228125</v>
      </c>
      <c r="U1788" s="68">
        <v>44881.2916666667</v>
      </c>
      <c r="V1788" s="68">
        <v>0</v>
      </c>
      <c r="W1788" s="0">
        <f>IF(IF(B1788="none",1,IF(B1788="Trialer",1,0))+IF(C1788="Customer",1,IF(C1788="Lost",1,0))=2,1,0)</f>
      </c>
      <c r="X1788" s="0" t="s">
        <v>145</v>
      </c>
      <c r="Y1788" s="0" t="s">
        <v>243</v>
      </c>
      <c r="AV1788" s="68"/>
      <c r="AW1788" s="68"/>
      <c r="AY1788" s="27"/>
      <c r="BD1788" s="68">
        <v>46054.1666666667</v>
      </c>
      <c r="BE1788" s="68">
        <v>46082.1666666667</v>
      </c>
      <c r="BF1788" s="0" t="b">
        <v>0</v>
      </c>
      <c r="BG1788" s="0" t="b">
        <v>0</v>
      </c>
      <c r="BH1788" s="0">
        <v>40</v>
      </c>
      <c r="BI1788" s="0">
        <v>40</v>
      </c>
      <c r="BJ1788" s="0" t="s">
        <v>135</v>
      </c>
    </row>
    <row r="1789">
      <c r="A1789" s="0" t="s">
        <v>2015</v>
      </c>
      <c r="B1789" s="0" t="s">
        <v>134</v>
      </c>
      <c r="C1789" s="0" t="s">
        <v>134</v>
      </c>
      <c r="D1789" s="0" t="s">
        <v>135</v>
      </c>
      <c r="E1789" s="0" t="s">
        <v>3</v>
      </c>
      <c r="F1789" s="0" t="s">
        <v>12</v>
      </c>
      <c r="G1789" s="0" t="s">
        <v>8</v>
      </c>
      <c r="H1789" s="0">
        <v>1172</v>
      </c>
      <c r="I1789" s="0">
        <v>374</v>
      </c>
      <c r="J1789" s="0">
        <v>0</v>
      </c>
      <c r="K1789" s="0">
        <v>1</v>
      </c>
      <c r="L1789" s="0">
        <v>3</v>
      </c>
      <c r="M1789" s="0">
        <v>1</v>
      </c>
      <c r="N1789" s="0">
        <v>0</v>
      </c>
      <c r="O1789" s="0">
        <v>0</v>
      </c>
      <c r="P1789" s="0">
        <v>0</v>
      </c>
      <c r="R1789" s="0" t="b">
        <v>0</v>
      </c>
      <c r="S1789" s="0" t="b">
        <v>1</v>
      </c>
      <c r="T1789" s="68">
        <v>44881.5521990741</v>
      </c>
      <c r="U1789" s="68">
        <v>44895.2916666667</v>
      </c>
      <c r="V1789" s="68">
        <v>0</v>
      </c>
      <c r="W1789" s="0">
        <f>IF(IF(B1789="none",1,IF(B1789="Trialer",1,0))+IF(C1789="Customer",1,IF(C1789="Lost",1,0))=2,1,0)</f>
      </c>
      <c r="X1789" s="0" t="s">
        <v>145</v>
      </c>
      <c r="Y1789" s="0" t="s">
        <v>243</v>
      </c>
      <c r="AV1789" s="68"/>
      <c r="AW1789" s="68"/>
      <c r="AY1789" s="27"/>
      <c r="BD1789" s="68">
        <v>46054.1666666667</v>
      </c>
      <c r="BE1789" s="68">
        <v>46082.1666666667</v>
      </c>
      <c r="BF1789" s="0" t="b">
        <v>0</v>
      </c>
      <c r="BG1789" s="0" t="b">
        <v>0</v>
      </c>
      <c r="BH1789" s="0">
        <v>49</v>
      </c>
      <c r="BI1789" s="0">
        <v>49</v>
      </c>
      <c r="BJ1789" s="0" t="s">
        <v>135</v>
      </c>
    </row>
    <row r="1790">
      <c r="A1790" s="0" t="s">
        <v>2016</v>
      </c>
      <c r="B1790" s="0" t="s">
        <v>134</v>
      </c>
      <c r="C1790" s="0" t="s">
        <v>134</v>
      </c>
      <c r="D1790" s="0" t="s">
        <v>135</v>
      </c>
      <c r="E1790" s="0" t="s">
        <v>2</v>
      </c>
      <c r="F1790" s="0" t="s">
        <v>12</v>
      </c>
      <c r="G1790" s="0" t="s">
        <v>8</v>
      </c>
      <c r="H1790" s="0">
        <v>1171</v>
      </c>
      <c r="I1790" s="0">
        <v>68</v>
      </c>
      <c r="J1790" s="0">
        <v>0</v>
      </c>
      <c r="K1790" s="0">
        <v>1</v>
      </c>
      <c r="L1790" s="0">
        <v>2</v>
      </c>
      <c r="M1790" s="0">
        <v>2</v>
      </c>
      <c r="N1790" s="0">
        <v>0</v>
      </c>
      <c r="O1790" s="0">
        <v>0</v>
      </c>
      <c r="P1790" s="0">
        <v>0</v>
      </c>
      <c r="R1790" s="0" t="b">
        <v>0</v>
      </c>
      <c r="S1790" s="0" t="b">
        <v>1</v>
      </c>
      <c r="T1790" s="68">
        <v>44882.5842824074</v>
      </c>
      <c r="U1790" s="68">
        <v>44903.2916666667</v>
      </c>
      <c r="V1790" s="68">
        <v>0</v>
      </c>
      <c r="W1790" s="0">
        <f>IF(IF(B1790="none",1,IF(B1790="Trialer",1,0))+IF(C1790="Customer",1,IF(C1790="Lost",1,0))=2,1,0)</f>
      </c>
      <c r="X1790" s="0" t="s">
        <v>166</v>
      </c>
      <c r="Y1790" s="0" t="s">
        <v>499</v>
      </c>
      <c r="AV1790" s="68"/>
      <c r="AW1790" s="68"/>
      <c r="AY1790" s="27"/>
      <c r="BD1790" s="68">
        <v>46054.1666666667</v>
      </c>
      <c r="BE1790" s="68">
        <v>46082.1666666667</v>
      </c>
      <c r="BF1790" s="0" t="b">
        <v>0</v>
      </c>
      <c r="BG1790" s="0" t="b">
        <v>0</v>
      </c>
      <c r="BH1790" s="0">
        <v>68</v>
      </c>
      <c r="BI1790" s="0">
        <v>68</v>
      </c>
      <c r="BJ1790" s="0" t="s">
        <v>135</v>
      </c>
    </row>
    <row r="1791">
      <c r="A1791" s="0" t="s">
        <v>2017</v>
      </c>
      <c r="B1791" s="0" t="s">
        <v>134</v>
      </c>
      <c r="C1791" s="0" t="s">
        <v>134</v>
      </c>
      <c r="D1791" s="0" t="s">
        <v>135</v>
      </c>
      <c r="E1791" s="0" t="s">
        <v>3</v>
      </c>
      <c r="F1791" s="0" t="s">
        <v>12</v>
      </c>
      <c r="G1791" s="0" t="s">
        <v>8</v>
      </c>
      <c r="H1791" s="0">
        <v>1171</v>
      </c>
      <c r="I1791" s="0">
        <v>483</v>
      </c>
      <c r="J1791" s="0">
        <v>0</v>
      </c>
      <c r="K1791" s="0">
        <v>1</v>
      </c>
      <c r="L1791" s="0">
        <v>6</v>
      </c>
      <c r="M1791" s="0">
        <v>2</v>
      </c>
      <c r="N1791" s="0">
        <v>0</v>
      </c>
      <c r="O1791" s="0">
        <v>0</v>
      </c>
      <c r="P1791" s="0">
        <v>0</v>
      </c>
      <c r="R1791" s="0" t="b">
        <v>0</v>
      </c>
      <c r="S1791" s="0" t="b">
        <v>1</v>
      </c>
      <c r="T1791" s="68">
        <v>44882.8131134259</v>
      </c>
      <c r="U1791" s="68">
        <v>44896.2916666667</v>
      </c>
      <c r="V1791" s="68">
        <v>0</v>
      </c>
      <c r="W1791" s="0">
        <f>IF(IF(B1791="none",1,IF(B1791="Trialer",1,0))+IF(C1791="Customer",1,IF(C1791="Lost",1,0))=2,1,0)</f>
      </c>
      <c r="X1791" s="0" t="s">
        <v>148</v>
      </c>
      <c r="Y1791" s="0" t="s">
        <v>243</v>
      </c>
      <c r="AV1791" s="68"/>
      <c r="AW1791" s="68"/>
      <c r="AY1791" s="27"/>
      <c r="BD1791" s="68">
        <v>46054.1666666667</v>
      </c>
      <c r="BE1791" s="68">
        <v>46082.1666666667</v>
      </c>
      <c r="BF1791" s="0" t="b">
        <v>0</v>
      </c>
      <c r="BG1791" s="0" t="b">
        <v>0</v>
      </c>
      <c r="BH1791" s="0">
        <v>85</v>
      </c>
      <c r="BI1791" s="0">
        <v>85</v>
      </c>
      <c r="BJ1791" s="0" t="s">
        <v>135</v>
      </c>
    </row>
    <row r="1792">
      <c r="A1792" s="0" t="s">
        <v>2018</v>
      </c>
      <c r="B1792" s="0" t="s">
        <v>134</v>
      </c>
      <c r="C1792" s="0" t="s">
        <v>134</v>
      </c>
      <c r="D1792" s="0" t="s">
        <v>135</v>
      </c>
      <c r="E1792" s="0" t="s">
        <v>3</v>
      </c>
      <c r="F1792" s="0" t="s">
        <v>10</v>
      </c>
      <c r="G1792" s="0" t="s">
        <v>8</v>
      </c>
      <c r="H1792" s="0">
        <v>1170</v>
      </c>
      <c r="I1792" s="0">
        <v>28</v>
      </c>
      <c r="J1792" s="0">
        <v>0</v>
      </c>
      <c r="K1792" s="0">
        <v>1</v>
      </c>
      <c r="L1792" s="0">
        <v>1</v>
      </c>
      <c r="M1792" s="0">
        <v>1</v>
      </c>
      <c r="N1792" s="0">
        <v>0</v>
      </c>
      <c r="O1792" s="0">
        <v>0</v>
      </c>
      <c r="P1792" s="0">
        <v>0</v>
      </c>
      <c r="Q1792" s="0" t="s">
        <v>618</v>
      </c>
      <c r="R1792" s="0" t="b">
        <v>0</v>
      </c>
      <c r="S1792" s="0" t="b">
        <v>1</v>
      </c>
      <c r="T1792" s="68">
        <v>44883.2325578704</v>
      </c>
      <c r="U1792" s="68">
        <v>44897.2916666667</v>
      </c>
      <c r="V1792" s="68">
        <v>0</v>
      </c>
      <c r="W1792" s="0">
        <f>IF(IF(B1792="none",1,IF(B1792="Trialer",1,0))+IF(C1792="Customer",1,IF(C1792="Lost",1,0))=2,1,0)</f>
      </c>
      <c r="X1792" s="0" t="s">
        <v>148</v>
      </c>
      <c r="Y1792" s="0" t="s">
        <v>243</v>
      </c>
      <c r="AV1792" s="68"/>
      <c r="AW1792" s="68"/>
      <c r="AY1792" s="27"/>
      <c r="BD1792" s="68">
        <v>46054.1666666667</v>
      </c>
      <c r="BE1792" s="68">
        <v>46082.1666666667</v>
      </c>
      <c r="BF1792" s="0" t="b">
        <v>0</v>
      </c>
      <c r="BG1792" s="0" t="b">
        <v>0</v>
      </c>
      <c r="BH1792" s="0">
        <v>28</v>
      </c>
      <c r="BI1792" s="0">
        <v>28</v>
      </c>
      <c r="BJ1792" s="0" t="s">
        <v>135</v>
      </c>
    </row>
    <row r="1793">
      <c r="A1793" s="0" t="s">
        <v>2019</v>
      </c>
      <c r="B1793" s="0" t="s">
        <v>134</v>
      </c>
      <c r="C1793" s="0" t="s">
        <v>134</v>
      </c>
      <c r="D1793" s="0" t="s">
        <v>135</v>
      </c>
      <c r="E1793" s="0" t="s">
        <v>2</v>
      </c>
      <c r="F1793" s="0" t="s">
        <v>12</v>
      </c>
      <c r="G1793" s="0" t="s">
        <v>8</v>
      </c>
      <c r="H1793" s="0">
        <v>1170</v>
      </c>
      <c r="I1793" s="0">
        <v>129</v>
      </c>
      <c r="J1793" s="0">
        <v>0</v>
      </c>
      <c r="K1793" s="0">
        <v>1</v>
      </c>
      <c r="L1793" s="0">
        <v>3</v>
      </c>
      <c r="M1793" s="0">
        <v>3</v>
      </c>
      <c r="N1793" s="0">
        <v>0</v>
      </c>
      <c r="O1793" s="0">
        <v>0</v>
      </c>
      <c r="P1793" s="0">
        <v>0</v>
      </c>
      <c r="R1793" s="0" t="b">
        <v>0</v>
      </c>
      <c r="S1793" s="0" t="b">
        <v>1</v>
      </c>
      <c r="T1793" s="68">
        <v>44883.6688310185</v>
      </c>
      <c r="U1793" s="68">
        <v>44912.2916666667</v>
      </c>
      <c r="V1793" s="68">
        <v>0</v>
      </c>
      <c r="W1793" s="0">
        <f>IF(IF(B1793="none",1,IF(B1793="Trialer",1,0))+IF(C1793="Customer",1,IF(C1793="Lost",1,0))=2,1,0)</f>
      </c>
      <c r="X1793" s="0" t="s">
        <v>166</v>
      </c>
      <c r="Y1793" s="0" t="s">
        <v>499</v>
      </c>
      <c r="AV1793" s="68"/>
      <c r="AW1793" s="68"/>
      <c r="AY1793" s="27"/>
      <c r="BD1793" s="68">
        <v>46054.1666666667</v>
      </c>
      <c r="BE1793" s="68">
        <v>46082.1666666667</v>
      </c>
      <c r="BF1793" s="0" t="b">
        <v>0</v>
      </c>
      <c r="BG1793" s="0" t="b">
        <v>0</v>
      </c>
      <c r="BH1793" s="0">
        <v>129</v>
      </c>
      <c r="BI1793" s="0">
        <v>129</v>
      </c>
      <c r="BJ1793" s="0" t="s">
        <v>135</v>
      </c>
    </row>
    <row r="1794">
      <c r="A1794" s="0" t="s">
        <v>2020</v>
      </c>
      <c r="B1794" s="0" t="s">
        <v>134</v>
      </c>
      <c r="C1794" s="0" t="s">
        <v>134</v>
      </c>
      <c r="D1794" s="0" t="s">
        <v>230</v>
      </c>
      <c r="E1794" s="0" t="s">
        <v>3</v>
      </c>
      <c r="F1794" s="0" t="s">
        <v>12</v>
      </c>
      <c r="G1794" s="0" t="s">
        <v>8</v>
      </c>
      <c r="H1794" s="0">
        <v>1169</v>
      </c>
      <c r="I1794" s="0">
        <v>72</v>
      </c>
      <c r="J1794" s="0">
        <v>0</v>
      </c>
      <c r="K1794" s="0">
        <v>1</v>
      </c>
      <c r="L1794" s="0">
        <v>2</v>
      </c>
      <c r="M1794" s="0">
        <v>2</v>
      </c>
      <c r="N1794" s="0">
        <v>0</v>
      </c>
      <c r="O1794" s="0">
        <v>0</v>
      </c>
      <c r="P1794" s="0">
        <v>-72</v>
      </c>
      <c r="R1794" s="0" t="b">
        <v>0</v>
      </c>
      <c r="S1794" s="0" t="b">
        <v>1</v>
      </c>
      <c r="T1794" s="68">
        <v>44884.2514814815</v>
      </c>
      <c r="U1794" s="68">
        <v>44898.2916666667</v>
      </c>
      <c r="V1794" s="68">
        <v>0</v>
      </c>
      <c r="W1794" s="0">
        <f>IF(IF(B1794="none",1,IF(B1794="Trialer",1,0))+IF(C1794="Customer",1,IF(C1794="Lost",1,0))=2,1,0)</f>
      </c>
      <c r="X1794" s="0" t="s">
        <v>166</v>
      </c>
      <c r="Y1794" s="0" t="s">
        <v>243</v>
      </c>
      <c r="AV1794" s="68"/>
      <c r="AW1794" s="68"/>
      <c r="AY1794" s="27"/>
      <c r="BD1794" s="68">
        <v>46054.1666666667</v>
      </c>
      <c r="BE1794" s="68">
        <v>46082.1666666667</v>
      </c>
      <c r="BF1794" s="0" t="b">
        <v>0</v>
      </c>
      <c r="BG1794" s="0" t="b">
        <v>0</v>
      </c>
      <c r="BH1794" s="0">
        <v>80</v>
      </c>
      <c r="BI1794" s="0">
        <v>80</v>
      </c>
      <c r="BJ1794" s="0" t="s">
        <v>230</v>
      </c>
    </row>
    <row r="1795">
      <c r="A1795" s="0" t="s">
        <v>2021</v>
      </c>
      <c r="B1795" s="0" t="s">
        <v>134</v>
      </c>
      <c r="C1795" s="0" t="s">
        <v>134</v>
      </c>
      <c r="D1795" s="0" t="s">
        <v>135</v>
      </c>
      <c r="E1795" s="0" t="s">
        <v>3</v>
      </c>
      <c r="F1795" s="0" t="s">
        <v>10</v>
      </c>
      <c r="G1795" s="0" t="s">
        <v>8</v>
      </c>
      <c r="H1795" s="0">
        <v>1167</v>
      </c>
      <c r="I1795" s="0">
        <v>1587.86</v>
      </c>
      <c r="J1795" s="0">
        <v>0</v>
      </c>
      <c r="K1795" s="0">
        <v>1</v>
      </c>
      <c r="L1795" s="0">
        <v>3</v>
      </c>
      <c r="M1795" s="0">
        <v>32</v>
      </c>
      <c r="N1795" s="0">
        <v>0</v>
      </c>
      <c r="O1795" s="0">
        <v>0</v>
      </c>
      <c r="P1795" s="0">
        <v>0</v>
      </c>
      <c r="Q1795" s="0" t="s">
        <v>1919</v>
      </c>
      <c r="R1795" s="0" t="b">
        <v>0</v>
      </c>
      <c r="S1795" s="0" t="b">
        <v>1</v>
      </c>
      <c r="T1795" s="68">
        <v>44886.627025463</v>
      </c>
      <c r="U1795" s="68">
        <v>44900.2916666667</v>
      </c>
      <c r="V1795" s="68">
        <v>0</v>
      </c>
      <c r="W1795" s="0">
        <f>IF(IF(B1795="none",1,IF(B1795="Trialer",1,0))+IF(C1795="Customer",1,IF(C1795="Lost",1,0))=2,1,0)</f>
      </c>
      <c r="X1795" s="0" t="s">
        <v>145</v>
      </c>
      <c r="Y1795" s="0" t="s">
        <v>1792</v>
      </c>
      <c r="AV1795" s="68"/>
      <c r="AW1795" s="68"/>
      <c r="AY1795" s="27"/>
      <c r="BD1795" s="68">
        <v>46054.1666666667</v>
      </c>
      <c r="BE1795" s="68">
        <v>46082.1666666667</v>
      </c>
      <c r="BF1795" s="0" t="b">
        <v>0</v>
      </c>
      <c r="BG1795" s="0" t="b">
        <v>0</v>
      </c>
      <c r="BH1795" s="0">
        <v>1670.21</v>
      </c>
      <c r="BI1795" s="0">
        <v>1669.44</v>
      </c>
      <c r="BJ1795" s="0" t="s">
        <v>135</v>
      </c>
    </row>
    <row r="1796">
      <c r="A1796" s="0" t="s">
        <v>2022</v>
      </c>
      <c r="B1796" s="0" t="s">
        <v>134</v>
      </c>
      <c r="C1796" s="0" t="s">
        <v>134</v>
      </c>
      <c r="D1796" s="0" t="s">
        <v>135</v>
      </c>
      <c r="E1796" s="0" t="s">
        <v>2</v>
      </c>
      <c r="F1796" s="0" t="s">
        <v>10</v>
      </c>
      <c r="G1796" s="0" t="s">
        <v>8</v>
      </c>
      <c r="H1796" s="0">
        <v>1167</v>
      </c>
      <c r="I1796" s="0">
        <v>160</v>
      </c>
      <c r="J1796" s="0">
        <v>0</v>
      </c>
      <c r="K1796" s="0">
        <v>1</v>
      </c>
      <c r="L1796" s="0">
        <v>2</v>
      </c>
      <c r="M1796" s="0">
        <v>4</v>
      </c>
      <c r="N1796" s="0">
        <v>0</v>
      </c>
      <c r="O1796" s="0">
        <v>0</v>
      </c>
      <c r="P1796" s="0">
        <v>0</v>
      </c>
      <c r="Q1796" s="0" t="s">
        <v>1095</v>
      </c>
      <c r="R1796" s="0" t="b">
        <v>0</v>
      </c>
      <c r="S1796" s="0" t="b">
        <v>1</v>
      </c>
      <c r="T1796" s="68">
        <v>44886.6395833333</v>
      </c>
      <c r="U1796" s="68">
        <v>44928.5</v>
      </c>
      <c r="V1796" s="68">
        <v>0</v>
      </c>
      <c r="W1796" s="0">
        <f>IF(IF(B1796="none",1,IF(B1796="Trialer",1,0))+IF(C1796="Customer",1,IF(C1796="Lost",1,0))=2,1,0)</f>
      </c>
      <c r="X1796" s="0" t="s">
        <v>148</v>
      </c>
      <c r="Y1796" s="0" t="s">
        <v>499</v>
      </c>
      <c r="AV1796" s="68"/>
      <c r="AW1796" s="68"/>
      <c r="AY1796" s="27"/>
      <c r="BD1796" s="68">
        <v>46054.1666666667</v>
      </c>
      <c r="BE1796" s="68">
        <v>46082.1666666667</v>
      </c>
      <c r="BF1796" s="0" t="b">
        <v>0</v>
      </c>
      <c r="BG1796" s="0" t="b">
        <v>0</v>
      </c>
      <c r="BH1796" s="0">
        <v>160</v>
      </c>
      <c r="BI1796" s="0">
        <v>160</v>
      </c>
      <c r="BJ1796" s="0" t="s">
        <v>135</v>
      </c>
    </row>
    <row r="1797">
      <c r="A1797" s="0" t="s">
        <v>2023</v>
      </c>
      <c r="B1797" s="0" t="s">
        <v>134</v>
      </c>
      <c r="C1797" s="0" t="s">
        <v>134</v>
      </c>
      <c r="D1797" s="0" t="s">
        <v>135</v>
      </c>
      <c r="E1797" s="0" t="s">
        <v>3</v>
      </c>
      <c r="F1797" s="0" t="s">
        <v>12</v>
      </c>
      <c r="G1797" s="0" t="s">
        <v>8</v>
      </c>
      <c r="H1797" s="0">
        <v>1166</v>
      </c>
      <c r="I1797" s="0">
        <v>0</v>
      </c>
      <c r="J1797" s="0">
        <v>0</v>
      </c>
      <c r="K1797" s="0">
        <v>1</v>
      </c>
      <c r="L1797" s="0">
        <v>3</v>
      </c>
      <c r="M1797" s="0">
        <v>2</v>
      </c>
      <c r="N1797" s="0">
        <v>0</v>
      </c>
      <c r="O1797" s="0">
        <v>0</v>
      </c>
      <c r="P1797" s="0">
        <v>0</v>
      </c>
      <c r="R1797" s="0" t="b">
        <v>0</v>
      </c>
      <c r="S1797" s="0" t="b">
        <v>1</v>
      </c>
      <c r="T1797" s="68">
        <v>44887.3835416667</v>
      </c>
      <c r="U1797" s="68">
        <v>44901.2916666667</v>
      </c>
      <c r="V1797" s="68">
        <v>0</v>
      </c>
      <c r="W1797" s="0">
        <f>IF(IF(B1797="none",1,IF(B1797="Trialer",1,0))+IF(C1797="Customer",1,IF(C1797="Lost",1,0))=2,1,0)</f>
      </c>
      <c r="X1797" s="0" t="s">
        <v>148</v>
      </c>
      <c r="Y1797" s="0" t="s">
        <v>243</v>
      </c>
      <c r="AV1797" s="68"/>
      <c r="AW1797" s="68"/>
      <c r="AY1797" s="27"/>
      <c r="BD1797" s="68">
        <v>46054.1666666667</v>
      </c>
      <c r="BE1797" s="68">
        <v>46082.1666666667</v>
      </c>
      <c r="BF1797" s="0" t="b">
        <v>0</v>
      </c>
      <c r="BG1797" s="0" t="b">
        <v>0</v>
      </c>
      <c r="BH1797" s="0">
        <v>0</v>
      </c>
      <c r="BI1797" s="0">
        <v>0</v>
      </c>
      <c r="BJ1797" s="0" t="s">
        <v>135</v>
      </c>
    </row>
    <row r="1798">
      <c r="A1798" s="0" t="s">
        <v>2024</v>
      </c>
      <c r="B1798" s="0" t="s">
        <v>134</v>
      </c>
      <c r="C1798" s="0" t="s">
        <v>190</v>
      </c>
      <c r="D1798" s="0" t="s">
        <v>230</v>
      </c>
      <c r="E1798" s="0" t="s">
        <v>2</v>
      </c>
      <c r="F1798" s="0" t="s">
        <v>10</v>
      </c>
      <c r="G1798" s="0" t="s">
        <v>8</v>
      </c>
      <c r="H1798" s="0">
        <v>1166</v>
      </c>
      <c r="I1798" s="0">
        <v>297</v>
      </c>
      <c r="J1798" s="0">
        <v>0</v>
      </c>
      <c r="K1798" s="0">
        <v>1</v>
      </c>
      <c r="L1798" s="0">
        <v>5</v>
      </c>
      <c r="M1798" s="0">
        <v>7</v>
      </c>
      <c r="N1798" s="0">
        <v>0</v>
      </c>
      <c r="O1798" s="0">
        <v>0</v>
      </c>
      <c r="P1798" s="0">
        <v>-297</v>
      </c>
      <c r="Q1798" s="0" t="s">
        <v>756</v>
      </c>
      <c r="R1798" s="0" t="b">
        <v>0</v>
      </c>
      <c r="S1798" s="0" t="b">
        <v>0</v>
      </c>
      <c r="T1798" s="68">
        <v>44887.4666435185</v>
      </c>
      <c r="U1798" s="68">
        <v>44901.2916666667</v>
      </c>
      <c r="V1798" s="68">
        <v>46059.427025463</v>
      </c>
      <c r="W1798" s="0">
        <f>IF(IF(B1798="none",1,IF(B1798="Trialer",1,0))+IF(C1798="Customer",1,IF(C1798="Lost",1,0))=2,1,0)</f>
      </c>
      <c r="X1798" s="0" t="s">
        <v>136</v>
      </c>
      <c r="Y1798" s="0" t="s">
        <v>499</v>
      </c>
      <c r="AV1798" s="68"/>
      <c r="AW1798" s="68"/>
      <c r="AY1798" s="27"/>
      <c r="BD1798" s="68">
        <v>46054.1666666667</v>
      </c>
      <c r="BE1798" s="68">
        <v>46082.1666666667</v>
      </c>
      <c r="BF1798" s="0" t="b">
        <v>0</v>
      </c>
      <c r="BG1798" s="0" t="b">
        <v>0</v>
      </c>
      <c r="BH1798" s="0">
        <v>334</v>
      </c>
      <c r="BI1798" s="0">
        <v>334</v>
      </c>
      <c r="BJ1798" s="0" t="s">
        <v>230</v>
      </c>
    </row>
    <row r="1799">
      <c r="A1799" s="0" t="s">
        <v>2025</v>
      </c>
      <c r="B1799" s="0" t="s">
        <v>134</v>
      </c>
      <c r="C1799" s="0" t="s">
        <v>134</v>
      </c>
      <c r="D1799" s="0" t="s">
        <v>135</v>
      </c>
      <c r="E1799" s="0" t="s">
        <v>3</v>
      </c>
      <c r="F1799" s="0" t="s">
        <v>12</v>
      </c>
      <c r="G1799" s="0" t="s">
        <v>8</v>
      </c>
      <c r="H1799" s="0">
        <v>1165</v>
      </c>
      <c r="I1799" s="0">
        <v>682</v>
      </c>
      <c r="J1799" s="0">
        <v>0</v>
      </c>
      <c r="K1799" s="0">
        <v>1</v>
      </c>
      <c r="L1799" s="0">
        <v>6</v>
      </c>
      <c r="M1799" s="0">
        <v>6</v>
      </c>
      <c r="N1799" s="0">
        <v>0</v>
      </c>
      <c r="O1799" s="0">
        <v>0</v>
      </c>
      <c r="P1799" s="0">
        <v>0</v>
      </c>
      <c r="R1799" s="0" t="b">
        <v>0</v>
      </c>
      <c r="S1799" s="0" t="b">
        <v>1</v>
      </c>
      <c r="T1799" s="68">
        <v>44888.6895138889</v>
      </c>
      <c r="U1799" s="68">
        <v>44907.2916666667</v>
      </c>
      <c r="V1799" s="68">
        <v>0</v>
      </c>
      <c r="W1799" s="0">
        <f>IF(IF(B1799="none",1,IF(B1799="Trialer",1,0))+IF(C1799="Customer",1,IF(C1799="Lost",1,0))=2,1,0)</f>
      </c>
      <c r="X1799" s="0" t="s">
        <v>136</v>
      </c>
      <c r="Y1799" s="0" t="s">
        <v>243</v>
      </c>
      <c r="AV1799" s="68"/>
      <c r="AW1799" s="68"/>
      <c r="AY1799" s="27"/>
      <c r="BD1799" s="68">
        <v>46054.1666666667</v>
      </c>
      <c r="BE1799" s="68">
        <v>46082.1666666667</v>
      </c>
      <c r="BF1799" s="0" t="b">
        <v>0</v>
      </c>
      <c r="BG1799" s="0" t="b">
        <v>0</v>
      </c>
      <c r="BH1799" s="0">
        <v>406</v>
      </c>
      <c r="BI1799" s="0">
        <v>406</v>
      </c>
      <c r="BJ1799" s="0" t="s">
        <v>135</v>
      </c>
    </row>
    <row r="1800">
      <c r="A1800" s="0" t="s">
        <v>2026</v>
      </c>
      <c r="B1800" s="0" t="s">
        <v>134</v>
      </c>
      <c r="C1800" s="0" t="s">
        <v>134</v>
      </c>
      <c r="D1800" s="0" t="s">
        <v>135</v>
      </c>
      <c r="E1800" s="0" t="s">
        <v>2</v>
      </c>
      <c r="F1800" s="0" t="s">
        <v>12</v>
      </c>
      <c r="G1800" s="0" t="s">
        <v>8</v>
      </c>
      <c r="H1800" s="0">
        <v>1165</v>
      </c>
      <c r="I1800" s="0">
        <v>383</v>
      </c>
      <c r="J1800" s="0">
        <v>0</v>
      </c>
      <c r="K1800" s="0">
        <v>1</v>
      </c>
      <c r="L1800" s="0">
        <v>3</v>
      </c>
      <c r="M1800" s="0">
        <v>8</v>
      </c>
      <c r="N1800" s="0">
        <v>0</v>
      </c>
      <c r="O1800" s="0">
        <v>0</v>
      </c>
      <c r="P1800" s="0">
        <v>0</v>
      </c>
      <c r="R1800" s="0" t="b">
        <v>0</v>
      </c>
      <c r="S1800" s="0" t="b">
        <v>1</v>
      </c>
      <c r="T1800" s="68">
        <v>44888.724375</v>
      </c>
      <c r="U1800" s="68">
        <v>44917.2916666667</v>
      </c>
      <c r="V1800" s="68">
        <v>0</v>
      </c>
      <c r="W1800" s="0">
        <f>IF(IF(B1800="none",1,IF(B1800="Trialer",1,0))+IF(C1800="Customer",1,IF(C1800="Lost",1,0))=2,1,0)</f>
      </c>
      <c r="X1800" s="0" t="s">
        <v>145</v>
      </c>
      <c r="Y1800" s="0" t="s">
        <v>499</v>
      </c>
      <c r="AV1800" s="68"/>
      <c r="AW1800" s="68"/>
      <c r="AY1800" s="27"/>
      <c r="BD1800" s="68">
        <v>46054.1666666667</v>
      </c>
      <c r="BE1800" s="68">
        <v>46082.1666666667</v>
      </c>
      <c r="BF1800" s="0" t="b">
        <v>0</v>
      </c>
      <c r="BG1800" s="0" t="b">
        <v>0</v>
      </c>
      <c r="BH1800" s="0">
        <v>383</v>
      </c>
      <c r="BI1800" s="0">
        <v>383</v>
      </c>
      <c r="BJ1800" s="0" t="s">
        <v>135</v>
      </c>
    </row>
    <row r="1801">
      <c r="A1801" s="0" t="s">
        <v>2027</v>
      </c>
      <c r="B1801" s="0" t="s">
        <v>134</v>
      </c>
      <c r="C1801" s="0" t="s">
        <v>134</v>
      </c>
      <c r="D1801" s="0" t="s">
        <v>135</v>
      </c>
      <c r="E1801" s="0" t="s">
        <v>3</v>
      </c>
      <c r="F1801" s="0" t="s">
        <v>10</v>
      </c>
      <c r="G1801" s="0" t="s">
        <v>8</v>
      </c>
      <c r="H1801" s="0">
        <v>1163</v>
      </c>
      <c r="I1801" s="0">
        <v>40</v>
      </c>
      <c r="J1801" s="0">
        <v>0</v>
      </c>
      <c r="K1801" s="0">
        <v>1</v>
      </c>
      <c r="L1801" s="0">
        <v>2</v>
      </c>
      <c r="M1801" s="0">
        <v>1</v>
      </c>
      <c r="N1801" s="0">
        <v>0</v>
      </c>
      <c r="O1801" s="0">
        <v>0</v>
      </c>
      <c r="P1801" s="0">
        <v>0</v>
      </c>
      <c r="Q1801" s="0" t="s">
        <v>618</v>
      </c>
      <c r="R1801" s="0" t="b">
        <v>0</v>
      </c>
      <c r="S1801" s="0" t="b">
        <v>1</v>
      </c>
      <c r="T1801" s="68">
        <v>44890.4307291667</v>
      </c>
      <c r="U1801" s="68">
        <v>44904.2916666667</v>
      </c>
      <c r="V1801" s="68">
        <v>0</v>
      </c>
      <c r="W1801" s="0">
        <f>IF(IF(B1801="none",1,IF(B1801="Trialer",1,0))+IF(C1801="Customer",1,IF(C1801="Lost",1,0))=2,1,0)</f>
      </c>
      <c r="X1801" s="0" t="s">
        <v>148</v>
      </c>
      <c r="Y1801" s="0" t="s">
        <v>243</v>
      </c>
      <c r="AV1801" s="68"/>
      <c r="AW1801" s="68"/>
      <c r="AY1801" s="27"/>
      <c r="BD1801" s="68">
        <v>46054.1666666667</v>
      </c>
      <c r="BE1801" s="68">
        <v>46082.1666666667</v>
      </c>
      <c r="BF1801" s="0" t="b">
        <v>0</v>
      </c>
      <c r="BG1801" s="0" t="b">
        <v>0</v>
      </c>
      <c r="BH1801" s="0">
        <v>40</v>
      </c>
      <c r="BI1801" s="0">
        <v>40</v>
      </c>
      <c r="BJ1801" s="0" t="s">
        <v>135</v>
      </c>
    </row>
    <row r="1802">
      <c r="A1802" s="0" t="s">
        <v>2028</v>
      </c>
      <c r="B1802" s="0" t="s">
        <v>134</v>
      </c>
      <c r="C1802" s="0" t="s">
        <v>134</v>
      </c>
      <c r="D1802" s="0" t="s">
        <v>135</v>
      </c>
      <c r="E1802" s="0" t="s">
        <v>3</v>
      </c>
      <c r="F1802" s="0" t="s">
        <v>10</v>
      </c>
      <c r="G1802" s="0" t="s">
        <v>8</v>
      </c>
      <c r="H1802" s="0">
        <v>1163</v>
      </c>
      <c r="I1802" s="0">
        <v>245</v>
      </c>
      <c r="J1802" s="0">
        <v>0</v>
      </c>
      <c r="K1802" s="0">
        <v>1</v>
      </c>
      <c r="L1802" s="0">
        <v>3</v>
      </c>
      <c r="M1802" s="0">
        <v>5</v>
      </c>
      <c r="N1802" s="0">
        <v>0</v>
      </c>
      <c r="O1802" s="0">
        <v>0</v>
      </c>
      <c r="P1802" s="0">
        <v>0</v>
      </c>
      <c r="Q1802" s="0" t="s">
        <v>2029</v>
      </c>
      <c r="R1802" s="0" t="b">
        <v>0</v>
      </c>
      <c r="S1802" s="0" t="b">
        <v>1</v>
      </c>
      <c r="T1802" s="68">
        <v>44890.5100347222</v>
      </c>
      <c r="U1802" s="68">
        <v>44904.2916666667</v>
      </c>
      <c r="V1802" s="68">
        <v>0</v>
      </c>
      <c r="W1802" s="0">
        <f>IF(IF(B1802="none",1,IF(B1802="Trialer",1,0))+IF(C1802="Customer",1,IF(C1802="Lost",1,0))=2,1,0)</f>
      </c>
      <c r="X1802" s="0" t="s">
        <v>148</v>
      </c>
      <c r="Y1802" s="0" t="s">
        <v>243</v>
      </c>
      <c r="AV1802" s="68"/>
      <c r="AW1802" s="68"/>
      <c r="AY1802" s="27"/>
      <c r="BD1802" s="68">
        <v>46054.1666666667</v>
      </c>
      <c r="BE1802" s="68">
        <v>46082.1666666667</v>
      </c>
      <c r="BF1802" s="0" t="b">
        <v>0</v>
      </c>
      <c r="BG1802" s="0" t="b">
        <v>0</v>
      </c>
      <c r="BH1802" s="0">
        <v>245</v>
      </c>
      <c r="BI1802" s="0">
        <v>245</v>
      </c>
      <c r="BJ1802" s="0" t="s">
        <v>135</v>
      </c>
    </row>
    <row r="1803">
      <c r="A1803" s="0" t="s">
        <v>2030</v>
      </c>
      <c r="B1803" s="0" t="s">
        <v>134</v>
      </c>
      <c r="C1803" s="0" t="s">
        <v>134</v>
      </c>
      <c r="D1803" s="0" t="s">
        <v>230</v>
      </c>
      <c r="E1803" s="0" t="s">
        <v>2</v>
      </c>
      <c r="F1803" s="0" t="s">
        <v>12</v>
      </c>
      <c r="G1803" s="0" t="s">
        <v>8</v>
      </c>
      <c r="H1803" s="0">
        <v>1162</v>
      </c>
      <c r="I1803" s="0">
        <v>88</v>
      </c>
      <c r="J1803" s="0">
        <v>0</v>
      </c>
      <c r="K1803" s="0">
        <v>1</v>
      </c>
      <c r="L1803" s="0">
        <v>3</v>
      </c>
      <c r="M1803" s="0">
        <v>2</v>
      </c>
      <c r="N1803" s="0">
        <v>0</v>
      </c>
      <c r="O1803" s="0">
        <v>0</v>
      </c>
      <c r="P1803" s="0">
        <v>-88</v>
      </c>
      <c r="R1803" s="0" t="b">
        <v>0</v>
      </c>
      <c r="S1803" s="0" t="b">
        <v>1</v>
      </c>
      <c r="T1803" s="68">
        <v>44891.7293402778</v>
      </c>
      <c r="U1803" s="68">
        <v>44924.2916666667</v>
      </c>
      <c r="V1803" s="68">
        <v>0</v>
      </c>
      <c r="W1803" s="0">
        <f>IF(IF(B1803="none",1,IF(B1803="Trialer",1,0))+IF(C1803="Customer",1,IF(C1803="Lost",1,0))=2,1,0)</f>
      </c>
      <c r="X1803" s="0" t="s">
        <v>142</v>
      </c>
      <c r="Y1803" s="0" t="s">
        <v>499</v>
      </c>
      <c r="AV1803" s="68"/>
      <c r="AW1803" s="68"/>
      <c r="AY1803" s="27"/>
      <c r="BD1803" s="68">
        <v>46054.1666666667</v>
      </c>
      <c r="BE1803" s="68">
        <v>46082.1666666667</v>
      </c>
      <c r="BF1803" s="0" t="b">
        <v>0</v>
      </c>
      <c r="BG1803" s="0" t="b">
        <v>0</v>
      </c>
      <c r="BH1803" s="0">
        <v>98</v>
      </c>
      <c r="BI1803" s="0">
        <v>98</v>
      </c>
      <c r="BJ1803" s="0" t="s">
        <v>230</v>
      </c>
    </row>
    <row r="1804">
      <c r="A1804" s="0" t="s">
        <v>2031</v>
      </c>
      <c r="B1804" s="0" t="s">
        <v>134</v>
      </c>
      <c r="C1804" s="0" t="s">
        <v>134</v>
      </c>
      <c r="D1804" s="0" t="s">
        <v>135</v>
      </c>
      <c r="E1804" s="0" t="s">
        <v>3</v>
      </c>
      <c r="F1804" s="0" t="s">
        <v>12</v>
      </c>
      <c r="G1804" s="0" t="s">
        <v>8</v>
      </c>
      <c r="H1804" s="0">
        <v>1160</v>
      </c>
      <c r="I1804" s="0">
        <v>544</v>
      </c>
      <c r="J1804" s="0">
        <v>0</v>
      </c>
      <c r="K1804" s="0">
        <v>1</v>
      </c>
      <c r="L1804" s="0">
        <v>2</v>
      </c>
      <c r="M1804" s="0">
        <v>19</v>
      </c>
      <c r="N1804" s="0">
        <v>0</v>
      </c>
      <c r="O1804" s="0">
        <v>0</v>
      </c>
      <c r="P1804" s="0">
        <v>0</v>
      </c>
      <c r="R1804" s="0" t="b">
        <v>0</v>
      </c>
      <c r="S1804" s="0" t="b">
        <v>1</v>
      </c>
      <c r="T1804" s="68">
        <v>44893.0367708333</v>
      </c>
      <c r="U1804" s="68">
        <v>44946.2916666667</v>
      </c>
      <c r="V1804" s="68">
        <v>0</v>
      </c>
      <c r="W1804" s="0">
        <f>IF(IF(B1804="none",1,IF(B1804="Trialer",1,0))+IF(C1804="Customer",1,IF(C1804="Lost",1,0))=2,1,0)</f>
      </c>
      <c r="X1804" s="0" t="s">
        <v>136</v>
      </c>
      <c r="Y1804" s="0" t="s">
        <v>243</v>
      </c>
      <c r="AV1804" s="68"/>
      <c r="AW1804" s="68"/>
      <c r="AY1804" s="27"/>
      <c r="BD1804" s="68">
        <v>46054.1666666667</v>
      </c>
      <c r="BE1804" s="68">
        <v>46082.1666666667</v>
      </c>
      <c r="BF1804" s="0" t="b">
        <v>0</v>
      </c>
      <c r="BG1804" s="0" t="b">
        <v>0</v>
      </c>
      <c r="BH1804" s="0">
        <v>516</v>
      </c>
      <c r="BI1804" s="0">
        <v>516</v>
      </c>
      <c r="BJ1804" s="0" t="s">
        <v>135</v>
      </c>
    </row>
    <row r="1805">
      <c r="A1805" s="0" t="s">
        <v>2032</v>
      </c>
      <c r="B1805" s="0" t="s">
        <v>134</v>
      </c>
      <c r="C1805" s="0" t="s">
        <v>134</v>
      </c>
      <c r="D1805" s="0" t="s">
        <v>135</v>
      </c>
      <c r="E1805" s="0" t="s">
        <v>3</v>
      </c>
      <c r="F1805" s="0" t="s">
        <v>12</v>
      </c>
      <c r="G1805" s="0" t="s">
        <v>8</v>
      </c>
      <c r="H1805" s="0">
        <v>1160</v>
      </c>
      <c r="I1805" s="0">
        <v>428</v>
      </c>
      <c r="J1805" s="0">
        <v>0</v>
      </c>
      <c r="K1805" s="0">
        <v>1</v>
      </c>
      <c r="L1805" s="0">
        <v>4</v>
      </c>
      <c r="M1805" s="0">
        <v>8</v>
      </c>
      <c r="N1805" s="0">
        <v>0</v>
      </c>
      <c r="O1805" s="0">
        <v>0</v>
      </c>
      <c r="P1805" s="0">
        <v>0</v>
      </c>
      <c r="R1805" s="0" t="b">
        <v>0</v>
      </c>
      <c r="S1805" s="0" t="b">
        <v>1</v>
      </c>
      <c r="T1805" s="68">
        <v>44893.0479166667</v>
      </c>
      <c r="U1805" s="68">
        <v>44907.2916666667</v>
      </c>
      <c r="V1805" s="68">
        <v>0</v>
      </c>
      <c r="W1805" s="0">
        <f>IF(IF(B1805="none",1,IF(B1805="Trialer",1,0))+IF(C1805="Customer",1,IF(C1805="Lost",1,0))=2,1,0)</f>
      </c>
      <c r="X1805" s="0" t="s">
        <v>145</v>
      </c>
      <c r="Y1805" s="0" t="s">
        <v>243</v>
      </c>
      <c r="AV1805" s="68"/>
      <c r="AW1805" s="68"/>
      <c r="AY1805" s="27"/>
      <c r="BD1805" s="68">
        <v>46054.1666666667</v>
      </c>
      <c r="BE1805" s="68">
        <v>46082.1666666667</v>
      </c>
      <c r="BF1805" s="0" t="b">
        <v>0</v>
      </c>
      <c r="BG1805" s="0" t="b">
        <v>0</v>
      </c>
      <c r="BH1805" s="0">
        <v>428</v>
      </c>
      <c r="BI1805" s="0">
        <v>428</v>
      </c>
      <c r="BJ1805" s="0" t="s">
        <v>135</v>
      </c>
    </row>
    <row r="1806">
      <c r="A1806" s="0" t="s">
        <v>2033</v>
      </c>
      <c r="B1806" s="0" t="s">
        <v>134</v>
      </c>
      <c r="C1806" s="0" t="s">
        <v>134</v>
      </c>
      <c r="D1806" s="0" t="s">
        <v>230</v>
      </c>
      <c r="E1806" s="0" t="s">
        <v>2</v>
      </c>
      <c r="F1806" s="0" t="s">
        <v>12</v>
      </c>
      <c r="G1806" s="0" t="s">
        <v>8</v>
      </c>
      <c r="H1806" s="0">
        <v>1159</v>
      </c>
      <c r="I1806" s="0">
        <v>245</v>
      </c>
      <c r="J1806" s="0">
        <v>0</v>
      </c>
      <c r="K1806" s="0">
        <v>1</v>
      </c>
      <c r="L1806" s="0">
        <v>3</v>
      </c>
      <c r="M1806" s="0">
        <v>6</v>
      </c>
      <c r="N1806" s="0">
        <v>0</v>
      </c>
      <c r="O1806" s="0">
        <v>0</v>
      </c>
      <c r="P1806" s="0">
        <v>-245</v>
      </c>
      <c r="R1806" s="0" t="b">
        <v>0</v>
      </c>
      <c r="S1806" s="0" t="b">
        <v>1</v>
      </c>
      <c r="T1806" s="68">
        <v>44894.7345949074</v>
      </c>
      <c r="U1806" s="68">
        <v>44908.2916666667</v>
      </c>
      <c r="V1806" s="68">
        <v>0</v>
      </c>
      <c r="W1806" s="0">
        <f>IF(IF(B1806="none",1,IF(B1806="Trialer",1,0))+IF(C1806="Customer",1,IF(C1806="Lost",1,0))=2,1,0)</f>
      </c>
      <c r="X1806" s="0" t="s">
        <v>148</v>
      </c>
      <c r="Y1806" s="0" t="s">
        <v>499</v>
      </c>
      <c r="AV1806" s="68"/>
      <c r="AW1806" s="68"/>
      <c r="AY1806" s="27"/>
      <c r="BD1806" s="68">
        <v>46054.1666666667</v>
      </c>
      <c r="BE1806" s="68">
        <v>46082.1666666667</v>
      </c>
      <c r="BF1806" s="0" t="b">
        <v>0</v>
      </c>
      <c r="BG1806" s="0" t="b">
        <v>0</v>
      </c>
      <c r="BH1806" s="0">
        <v>273</v>
      </c>
      <c r="BI1806" s="0">
        <v>273</v>
      </c>
      <c r="BJ1806" s="0" t="s">
        <v>230</v>
      </c>
    </row>
    <row r="1807">
      <c r="A1807" s="0" t="s">
        <v>2034</v>
      </c>
      <c r="B1807" s="0" t="s">
        <v>134</v>
      </c>
      <c r="C1807" s="0" t="s">
        <v>134</v>
      </c>
      <c r="D1807" s="0" t="s">
        <v>135</v>
      </c>
      <c r="E1807" s="0" t="s">
        <v>2</v>
      </c>
      <c r="F1807" s="0" t="s">
        <v>12</v>
      </c>
      <c r="G1807" s="0" t="s">
        <v>8</v>
      </c>
      <c r="H1807" s="0">
        <v>1158</v>
      </c>
      <c r="I1807" s="0">
        <v>61</v>
      </c>
      <c r="J1807" s="0">
        <v>0</v>
      </c>
      <c r="K1807" s="0">
        <v>1</v>
      </c>
      <c r="L1807" s="0">
        <v>4</v>
      </c>
      <c r="M1807" s="0">
        <v>1</v>
      </c>
      <c r="N1807" s="0">
        <v>0</v>
      </c>
      <c r="O1807" s="0">
        <v>0</v>
      </c>
      <c r="P1807" s="0">
        <v>0</v>
      </c>
      <c r="R1807" s="0" t="b">
        <v>0</v>
      </c>
      <c r="S1807" s="0" t="b">
        <v>1</v>
      </c>
      <c r="T1807" s="68">
        <v>44895.5895833333</v>
      </c>
      <c r="U1807" s="68">
        <v>44909.2916666667</v>
      </c>
      <c r="V1807" s="68">
        <v>0</v>
      </c>
      <c r="W1807" s="0">
        <f>IF(IF(B1807="none",1,IF(B1807="Trialer",1,0))+IF(C1807="Customer",1,IF(C1807="Lost",1,0))=2,1,0)</f>
      </c>
      <c r="X1807" s="0" t="s">
        <v>142</v>
      </c>
      <c r="Y1807" s="0" t="s">
        <v>499</v>
      </c>
      <c r="AV1807" s="68"/>
      <c r="AW1807" s="68"/>
      <c r="AY1807" s="27"/>
      <c r="BD1807" s="68">
        <v>46054.1666666667</v>
      </c>
      <c r="BE1807" s="68">
        <v>46082.1666666667</v>
      </c>
      <c r="BF1807" s="0" t="b">
        <v>0</v>
      </c>
      <c r="BG1807" s="0" t="b">
        <v>0</v>
      </c>
      <c r="BH1807" s="0">
        <v>61</v>
      </c>
      <c r="BI1807" s="0">
        <v>61</v>
      </c>
      <c r="BJ1807" s="0" t="s">
        <v>135</v>
      </c>
    </row>
    <row r="1808">
      <c r="A1808" s="0" t="s">
        <v>2035</v>
      </c>
      <c r="B1808" s="0" t="s">
        <v>134</v>
      </c>
      <c r="C1808" s="0" t="s">
        <v>134</v>
      </c>
      <c r="D1808" s="0" t="s">
        <v>135</v>
      </c>
      <c r="E1808" s="0" t="s">
        <v>3</v>
      </c>
      <c r="F1808" s="0" t="s">
        <v>12</v>
      </c>
      <c r="G1808" s="0" t="s">
        <v>8</v>
      </c>
      <c r="H1808" s="0">
        <v>1157</v>
      </c>
      <c r="I1808" s="0">
        <v>682</v>
      </c>
      <c r="J1808" s="0">
        <v>0</v>
      </c>
      <c r="K1808" s="0">
        <v>1</v>
      </c>
      <c r="L1808" s="0">
        <v>3</v>
      </c>
      <c r="M1808" s="0">
        <v>10</v>
      </c>
      <c r="N1808" s="0">
        <v>0</v>
      </c>
      <c r="O1808" s="0">
        <v>0</v>
      </c>
      <c r="P1808" s="0">
        <v>0</v>
      </c>
      <c r="R1808" s="0" t="b">
        <v>0</v>
      </c>
      <c r="S1808" s="0" t="b">
        <v>1</v>
      </c>
      <c r="T1808" s="68">
        <v>44896.0008912037</v>
      </c>
      <c r="U1808" s="68">
        <v>44910.2916666667</v>
      </c>
      <c r="V1808" s="68">
        <v>0</v>
      </c>
      <c r="W1808" s="0">
        <f>IF(IF(B1808="none",1,IF(B1808="Trialer",1,0))+IF(C1808="Customer",1,IF(C1808="Lost",1,0))=2,1,0)</f>
      </c>
      <c r="X1808" s="0" t="s">
        <v>145</v>
      </c>
      <c r="Y1808" s="0" t="s">
        <v>1792</v>
      </c>
      <c r="AV1808" s="68"/>
      <c r="AW1808" s="68"/>
      <c r="AY1808" s="27"/>
      <c r="BD1808" s="68">
        <v>46054.1666666667</v>
      </c>
      <c r="BE1808" s="68">
        <v>46082.1666666667</v>
      </c>
      <c r="BF1808" s="0" t="b">
        <v>0</v>
      </c>
      <c r="BG1808" s="0" t="b">
        <v>0</v>
      </c>
      <c r="BH1808" s="0">
        <v>375</v>
      </c>
      <c r="BI1808" s="0">
        <v>375</v>
      </c>
      <c r="BJ1808" s="0" t="s">
        <v>135</v>
      </c>
    </row>
    <row r="1809">
      <c r="A1809" s="0" t="s">
        <v>2036</v>
      </c>
      <c r="B1809" s="0" t="s">
        <v>134</v>
      </c>
      <c r="C1809" s="0" t="s">
        <v>134</v>
      </c>
      <c r="D1809" s="0" t="s">
        <v>135</v>
      </c>
      <c r="E1809" s="0" t="s">
        <v>3</v>
      </c>
      <c r="F1809" s="0" t="s">
        <v>12</v>
      </c>
      <c r="G1809" s="0" t="s">
        <v>8</v>
      </c>
      <c r="H1809" s="0">
        <v>1157</v>
      </c>
      <c r="I1809" s="0">
        <v>89</v>
      </c>
      <c r="J1809" s="0">
        <v>0</v>
      </c>
      <c r="K1809" s="0">
        <v>1</v>
      </c>
      <c r="L1809" s="0">
        <v>3</v>
      </c>
      <c r="M1809" s="0">
        <v>2</v>
      </c>
      <c r="N1809" s="0">
        <v>0</v>
      </c>
      <c r="O1809" s="0">
        <v>0</v>
      </c>
      <c r="P1809" s="0">
        <v>0</v>
      </c>
      <c r="R1809" s="0" t="b">
        <v>0</v>
      </c>
      <c r="S1809" s="0" t="b">
        <v>1</v>
      </c>
      <c r="T1809" s="68">
        <v>44896.3780671296</v>
      </c>
      <c r="U1809" s="68">
        <v>44910.2916666667</v>
      </c>
      <c r="V1809" s="68">
        <v>0</v>
      </c>
      <c r="W1809" s="0">
        <f>IF(IF(B1809="none",1,IF(B1809="Trialer",1,0))+IF(C1809="Customer",1,IF(C1809="Lost",1,0))=2,1,0)</f>
      </c>
      <c r="X1809" s="0" t="s">
        <v>153</v>
      </c>
      <c r="Y1809" s="0" t="s">
        <v>243</v>
      </c>
      <c r="AV1809" s="68"/>
      <c r="AW1809" s="68"/>
      <c r="AY1809" s="27"/>
      <c r="BD1809" s="68">
        <v>46054.1666666667</v>
      </c>
      <c r="BE1809" s="68">
        <v>46082.1666666667</v>
      </c>
      <c r="BF1809" s="0" t="b">
        <v>0</v>
      </c>
      <c r="BG1809" s="0" t="b">
        <v>0</v>
      </c>
      <c r="BH1809" s="0">
        <v>89</v>
      </c>
      <c r="BI1809" s="0">
        <v>89</v>
      </c>
      <c r="BJ1809" s="0" t="s">
        <v>135</v>
      </c>
    </row>
    <row r="1810">
      <c r="A1810" s="0" t="s">
        <v>2037</v>
      </c>
      <c r="B1810" s="0" t="s">
        <v>134</v>
      </c>
      <c r="C1810" s="0" t="s">
        <v>134</v>
      </c>
      <c r="D1810" s="0" t="s">
        <v>135</v>
      </c>
      <c r="E1810" s="0" t="s">
        <v>3</v>
      </c>
      <c r="F1810" s="0" t="s">
        <v>12</v>
      </c>
      <c r="G1810" s="0" t="s">
        <v>8</v>
      </c>
      <c r="H1810" s="0">
        <v>1157</v>
      </c>
      <c r="I1810" s="0">
        <v>269</v>
      </c>
      <c r="J1810" s="0">
        <v>0</v>
      </c>
      <c r="K1810" s="0">
        <v>1</v>
      </c>
      <c r="L1810" s="0">
        <v>4</v>
      </c>
      <c r="M1810" s="0">
        <v>5</v>
      </c>
      <c r="N1810" s="0">
        <v>0</v>
      </c>
      <c r="O1810" s="0">
        <v>0</v>
      </c>
      <c r="P1810" s="0">
        <v>0</v>
      </c>
      <c r="R1810" s="0" t="b">
        <v>0</v>
      </c>
      <c r="S1810" s="0" t="b">
        <v>1</v>
      </c>
      <c r="T1810" s="68">
        <v>44896.4822916667</v>
      </c>
      <c r="U1810" s="68">
        <v>44915.2916666667</v>
      </c>
      <c r="V1810" s="68">
        <v>0</v>
      </c>
      <c r="W1810" s="0">
        <f>IF(IF(B1810="none",1,IF(B1810="Trialer",1,0))+IF(C1810="Customer",1,IF(C1810="Lost",1,0))=2,1,0)</f>
      </c>
      <c r="X1810" s="0" t="s">
        <v>148</v>
      </c>
      <c r="Y1810" s="0" t="s">
        <v>243</v>
      </c>
      <c r="AV1810" s="68"/>
      <c r="AW1810" s="68"/>
      <c r="AY1810" s="27"/>
      <c r="BD1810" s="68">
        <v>46054.1666666667</v>
      </c>
      <c r="BE1810" s="68">
        <v>46082.1666666667</v>
      </c>
      <c r="BF1810" s="0" t="b">
        <v>0</v>
      </c>
      <c r="BG1810" s="0" t="b">
        <v>0</v>
      </c>
      <c r="BH1810" s="0">
        <v>269</v>
      </c>
      <c r="BI1810" s="0">
        <v>269</v>
      </c>
      <c r="BJ1810" s="0" t="s">
        <v>135</v>
      </c>
    </row>
    <row r="1811">
      <c r="A1811" s="0" t="s">
        <v>2038</v>
      </c>
      <c r="B1811" s="0" t="s">
        <v>134</v>
      </c>
      <c r="C1811" s="0" t="s">
        <v>134</v>
      </c>
      <c r="D1811" s="0" t="s">
        <v>135</v>
      </c>
      <c r="E1811" s="0" t="s">
        <v>3</v>
      </c>
      <c r="F1811" s="0" t="s">
        <v>10</v>
      </c>
      <c r="G1811" s="0" t="s">
        <v>8</v>
      </c>
      <c r="H1811" s="0">
        <v>1153</v>
      </c>
      <c r="I1811" s="0">
        <v>28</v>
      </c>
      <c r="J1811" s="0">
        <v>0</v>
      </c>
      <c r="K1811" s="0">
        <v>1</v>
      </c>
      <c r="L1811" s="0">
        <v>1</v>
      </c>
      <c r="M1811" s="0">
        <v>1</v>
      </c>
      <c r="N1811" s="0">
        <v>0</v>
      </c>
      <c r="O1811" s="0">
        <v>0</v>
      </c>
      <c r="P1811" s="0">
        <v>0</v>
      </c>
      <c r="Q1811" s="0" t="s">
        <v>618</v>
      </c>
      <c r="R1811" s="0" t="b">
        <v>0</v>
      </c>
      <c r="S1811" s="0" t="b">
        <v>1</v>
      </c>
      <c r="T1811" s="68">
        <v>44900.4995023148</v>
      </c>
      <c r="U1811" s="68">
        <v>44914.2916666667</v>
      </c>
      <c r="V1811" s="68">
        <v>0</v>
      </c>
      <c r="W1811" s="0">
        <f>IF(IF(B1811="none",1,IF(B1811="Trialer",1,0))+IF(C1811="Customer",1,IF(C1811="Lost",1,0))=2,1,0)</f>
      </c>
      <c r="X1811" s="0" t="s">
        <v>148</v>
      </c>
      <c r="Y1811" s="0" t="s">
        <v>243</v>
      </c>
      <c r="AV1811" s="68"/>
      <c r="AW1811" s="68"/>
      <c r="AY1811" s="27"/>
      <c r="BD1811" s="68">
        <v>46054.1666666667</v>
      </c>
      <c r="BE1811" s="68">
        <v>46082.1666666667</v>
      </c>
      <c r="BF1811" s="0" t="b">
        <v>0</v>
      </c>
      <c r="BG1811" s="0" t="b">
        <v>0</v>
      </c>
      <c r="BH1811" s="0">
        <v>28</v>
      </c>
      <c r="BI1811" s="0">
        <v>28</v>
      </c>
      <c r="BJ1811" s="0" t="s">
        <v>135</v>
      </c>
    </row>
    <row r="1812">
      <c r="A1812" s="0" t="s">
        <v>2039</v>
      </c>
      <c r="B1812" s="0" t="s">
        <v>134</v>
      </c>
      <c r="C1812" s="0" t="s">
        <v>134</v>
      </c>
      <c r="D1812" s="0" t="s">
        <v>230</v>
      </c>
      <c r="E1812" s="0" t="s">
        <v>3</v>
      </c>
      <c r="F1812" s="0" t="s">
        <v>10</v>
      </c>
      <c r="G1812" s="0" t="s">
        <v>8</v>
      </c>
      <c r="H1812" s="0">
        <v>1153</v>
      </c>
      <c r="I1812" s="0">
        <v>153</v>
      </c>
      <c r="J1812" s="0">
        <v>0</v>
      </c>
      <c r="K1812" s="0">
        <v>1</v>
      </c>
      <c r="L1812" s="0">
        <v>5</v>
      </c>
      <c r="M1812" s="0">
        <v>3</v>
      </c>
      <c r="N1812" s="0">
        <v>0</v>
      </c>
      <c r="O1812" s="0">
        <v>0</v>
      </c>
      <c r="P1812" s="0">
        <v>-153</v>
      </c>
      <c r="Q1812" s="0" t="s">
        <v>2040</v>
      </c>
      <c r="R1812" s="0" t="b">
        <v>0</v>
      </c>
      <c r="S1812" s="0" t="b">
        <v>1</v>
      </c>
      <c r="T1812" s="68">
        <v>44900.6548611111</v>
      </c>
      <c r="U1812" s="68">
        <v>44915.2916666667</v>
      </c>
      <c r="V1812" s="68">
        <v>0</v>
      </c>
      <c r="W1812" s="0">
        <f>IF(IF(B1812="none",1,IF(B1812="Trialer",1,0))+IF(C1812="Customer",1,IF(C1812="Lost",1,0))=2,1,0)</f>
      </c>
      <c r="X1812" s="0" t="s">
        <v>136</v>
      </c>
      <c r="Y1812" s="0" t="s">
        <v>243</v>
      </c>
      <c r="AV1812" s="68"/>
      <c r="AW1812" s="68"/>
      <c r="AY1812" s="27"/>
      <c r="BD1812" s="68">
        <v>46054.1666666667</v>
      </c>
      <c r="BE1812" s="68">
        <v>46082.1666666667</v>
      </c>
      <c r="BF1812" s="0" t="b">
        <v>0</v>
      </c>
      <c r="BG1812" s="0" t="b">
        <v>0</v>
      </c>
      <c r="BH1812" s="0">
        <v>174</v>
      </c>
      <c r="BI1812" s="0">
        <v>174</v>
      </c>
      <c r="BJ1812" s="0" t="s">
        <v>230</v>
      </c>
    </row>
    <row r="1813">
      <c r="A1813" s="0" t="s">
        <v>2041</v>
      </c>
      <c r="B1813" s="0" t="s">
        <v>134</v>
      </c>
      <c r="C1813" s="0" t="s">
        <v>134</v>
      </c>
      <c r="D1813" s="0" t="s">
        <v>230</v>
      </c>
      <c r="E1813" s="0" t="s">
        <v>2</v>
      </c>
      <c r="F1813" s="0" t="s">
        <v>12</v>
      </c>
      <c r="G1813" s="0" t="s">
        <v>8</v>
      </c>
      <c r="H1813" s="0">
        <v>1152</v>
      </c>
      <c r="I1813" s="0">
        <v>88</v>
      </c>
      <c r="J1813" s="0">
        <v>0</v>
      </c>
      <c r="K1813" s="0">
        <v>1</v>
      </c>
      <c r="L1813" s="0">
        <v>3</v>
      </c>
      <c r="M1813" s="0">
        <v>2</v>
      </c>
      <c r="N1813" s="0">
        <v>0</v>
      </c>
      <c r="O1813" s="0">
        <v>0</v>
      </c>
      <c r="P1813" s="0">
        <v>-88</v>
      </c>
      <c r="R1813" s="0" t="b">
        <v>0</v>
      </c>
      <c r="S1813" s="0" t="b">
        <v>1</v>
      </c>
      <c r="T1813" s="68">
        <v>44901.4916898148</v>
      </c>
      <c r="U1813" s="68">
        <v>44915.2916666667</v>
      </c>
      <c r="V1813" s="68">
        <v>0</v>
      </c>
      <c r="W1813" s="0">
        <f>IF(IF(B1813="none",1,IF(B1813="Trialer",1,0))+IF(C1813="Customer",1,IF(C1813="Lost",1,0))=2,1,0)</f>
      </c>
      <c r="X1813" s="0" t="s">
        <v>142</v>
      </c>
      <c r="Y1813" s="0" t="s">
        <v>499</v>
      </c>
      <c r="AV1813" s="68"/>
      <c r="AW1813" s="68"/>
      <c r="AY1813" s="27"/>
      <c r="BD1813" s="68">
        <v>46054.1666666667</v>
      </c>
      <c r="BE1813" s="68">
        <v>46082.1666666667</v>
      </c>
      <c r="BF1813" s="0" t="b">
        <v>0</v>
      </c>
      <c r="BG1813" s="0" t="b">
        <v>0</v>
      </c>
      <c r="BH1813" s="0">
        <v>98</v>
      </c>
      <c r="BI1813" s="0">
        <v>98</v>
      </c>
      <c r="BJ1813" s="0" t="s">
        <v>230</v>
      </c>
    </row>
    <row r="1814">
      <c r="A1814" s="0" t="s">
        <v>2042</v>
      </c>
      <c r="B1814" s="0" t="s">
        <v>134</v>
      </c>
      <c r="C1814" s="0" t="s">
        <v>134</v>
      </c>
      <c r="D1814" s="0" t="s">
        <v>135</v>
      </c>
      <c r="E1814" s="0" t="s">
        <v>3</v>
      </c>
      <c r="F1814" s="0" t="s">
        <v>12</v>
      </c>
      <c r="G1814" s="0" t="s">
        <v>8</v>
      </c>
      <c r="H1814" s="0">
        <v>1151</v>
      </c>
      <c r="I1814" s="0">
        <v>181</v>
      </c>
      <c r="J1814" s="0">
        <v>0</v>
      </c>
      <c r="K1814" s="0">
        <v>1</v>
      </c>
      <c r="L1814" s="0">
        <v>4</v>
      </c>
      <c r="M1814" s="0">
        <v>4</v>
      </c>
      <c r="N1814" s="0">
        <v>0</v>
      </c>
      <c r="O1814" s="0">
        <v>0</v>
      </c>
      <c r="P1814" s="0">
        <v>0</v>
      </c>
      <c r="R1814" s="0" t="b">
        <v>0</v>
      </c>
      <c r="S1814" s="0" t="b">
        <v>1</v>
      </c>
      <c r="T1814" s="68">
        <v>44902.4800578704</v>
      </c>
      <c r="U1814" s="68">
        <v>44917.2916666667</v>
      </c>
      <c r="V1814" s="68">
        <v>0</v>
      </c>
      <c r="W1814" s="0">
        <f>IF(IF(B1814="none",1,IF(B1814="Trialer",1,0))+IF(C1814="Customer",1,IF(C1814="Lost",1,0))=2,1,0)</f>
      </c>
      <c r="X1814" s="0" t="s">
        <v>148</v>
      </c>
      <c r="Y1814" s="0" t="s">
        <v>243</v>
      </c>
      <c r="AV1814" s="68"/>
      <c r="AW1814" s="68"/>
      <c r="AY1814" s="27"/>
      <c r="BD1814" s="68">
        <v>46054.1666666667</v>
      </c>
      <c r="BE1814" s="68">
        <v>46082.1666666667</v>
      </c>
      <c r="BF1814" s="0" t="b">
        <v>0</v>
      </c>
      <c r="BG1814" s="0" t="b">
        <v>0</v>
      </c>
      <c r="BH1814" s="0">
        <v>181</v>
      </c>
      <c r="BI1814" s="0">
        <v>181</v>
      </c>
      <c r="BJ1814" s="0" t="s">
        <v>135</v>
      </c>
    </row>
    <row r="1815">
      <c r="A1815" s="0" t="s">
        <v>2043</v>
      </c>
      <c r="B1815" s="0" t="s">
        <v>134</v>
      </c>
      <c r="C1815" s="0" t="s">
        <v>134</v>
      </c>
      <c r="D1815" s="0" t="s">
        <v>135</v>
      </c>
      <c r="E1815" s="0" t="s">
        <v>3</v>
      </c>
      <c r="F1815" s="0" t="s">
        <v>12</v>
      </c>
      <c r="G1815" s="0" t="s">
        <v>8</v>
      </c>
      <c r="H1815" s="0">
        <v>1151</v>
      </c>
      <c r="I1815" s="0">
        <v>49</v>
      </c>
      <c r="J1815" s="0">
        <v>0</v>
      </c>
      <c r="K1815" s="0">
        <v>1</v>
      </c>
      <c r="L1815" s="0">
        <v>3</v>
      </c>
      <c r="M1815" s="0">
        <v>1</v>
      </c>
      <c r="N1815" s="0">
        <v>0</v>
      </c>
      <c r="O1815" s="0">
        <v>0</v>
      </c>
      <c r="P1815" s="0">
        <v>0</v>
      </c>
      <c r="R1815" s="0" t="b">
        <v>0</v>
      </c>
      <c r="S1815" s="0" t="b">
        <v>1</v>
      </c>
      <c r="T1815" s="68">
        <v>44902.61625</v>
      </c>
      <c r="U1815" s="68">
        <v>44948.2916666667</v>
      </c>
      <c r="V1815" s="68">
        <v>0</v>
      </c>
      <c r="W1815" s="0">
        <f>IF(IF(B1815="none",1,IF(B1815="Trialer",1,0))+IF(C1815="Customer",1,IF(C1815="Lost",1,0))=2,1,0)</f>
      </c>
      <c r="X1815" s="0" t="s">
        <v>142</v>
      </c>
      <c r="Y1815" s="0" t="s">
        <v>243</v>
      </c>
      <c r="AV1815" s="68"/>
      <c r="AW1815" s="68"/>
      <c r="AY1815" s="27"/>
      <c r="BD1815" s="68">
        <v>46054.1666666667</v>
      </c>
      <c r="BE1815" s="68">
        <v>46082.1666666667</v>
      </c>
      <c r="BF1815" s="0" t="b">
        <v>0</v>
      </c>
      <c r="BG1815" s="0" t="b">
        <v>0</v>
      </c>
      <c r="BH1815" s="0">
        <v>49</v>
      </c>
      <c r="BI1815" s="0">
        <v>49</v>
      </c>
      <c r="BJ1815" s="0" t="s">
        <v>135</v>
      </c>
    </row>
    <row r="1816">
      <c r="A1816" s="0" t="s">
        <v>2044</v>
      </c>
      <c r="B1816" s="0" t="s">
        <v>134</v>
      </c>
      <c r="C1816" s="0" t="s">
        <v>134</v>
      </c>
      <c r="D1816" s="0" t="s">
        <v>230</v>
      </c>
      <c r="E1816" s="0" t="s">
        <v>3</v>
      </c>
      <c r="F1816" s="0" t="s">
        <v>12</v>
      </c>
      <c r="G1816" s="0" t="s">
        <v>8</v>
      </c>
      <c r="H1816" s="0">
        <v>1151</v>
      </c>
      <c r="I1816" s="0">
        <v>262</v>
      </c>
      <c r="J1816" s="0">
        <v>0</v>
      </c>
      <c r="K1816" s="0">
        <v>1</v>
      </c>
      <c r="L1816" s="0">
        <v>3</v>
      </c>
      <c r="M1816" s="0">
        <v>7</v>
      </c>
      <c r="N1816" s="0">
        <v>0</v>
      </c>
      <c r="O1816" s="0">
        <v>0</v>
      </c>
      <c r="P1816" s="0">
        <v>-262</v>
      </c>
      <c r="R1816" s="0" t="b">
        <v>0</v>
      </c>
      <c r="S1816" s="0" t="b">
        <v>1</v>
      </c>
      <c r="T1816" s="68">
        <v>44902.7066898148</v>
      </c>
      <c r="U1816" s="68">
        <v>44933.2916666667</v>
      </c>
      <c r="V1816" s="68">
        <v>0</v>
      </c>
      <c r="W1816" s="0">
        <f>IF(IF(B1816="none",1,IF(B1816="Trialer",1,0))+IF(C1816="Customer",1,IF(C1816="Lost",1,0))=2,1,0)</f>
      </c>
      <c r="X1816" s="0" t="s">
        <v>136</v>
      </c>
      <c r="Y1816" s="0" t="s">
        <v>243</v>
      </c>
      <c r="AV1816" s="68"/>
      <c r="AW1816" s="68"/>
      <c r="AY1816" s="27"/>
      <c r="BD1816" s="68">
        <v>46054.1666666667</v>
      </c>
      <c r="BE1816" s="68">
        <v>46082.1666666667</v>
      </c>
      <c r="BF1816" s="0" t="b">
        <v>0</v>
      </c>
      <c r="BG1816" s="0" t="b">
        <v>0</v>
      </c>
      <c r="BH1816" s="0">
        <v>292</v>
      </c>
      <c r="BI1816" s="0">
        <v>292</v>
      </c>
      <c r="BJ1816" s="0" t="s">
        <v>230</v>
      </c>
    </row>
    <row r="1817">
      <c r="A1817" s="0" t="s">
        <v>2045</v>
      </c>
      <c r="B1817" s="0" t="s">
        <v>134</v>
      </c>
      <c r="C1817" s="0" t="s">
        <v>134</v>
      </c>
      <c r="D1817" s="0" t="s">
        <v>135</v>
      </c>
      <c r="E1817" s="0" t="s">
        <v>3</v>
      </c>
      <c r="F1817" s="0" t="s">
        <v>12</v>
      </c>
      <c r="G1817" s="0" t="s">
        <v>8</v>
      </c>
      <c r="H1817" s="0">
        <v>1149</v>
      </c>
      <c r="I1817" s="0">
        <v>0</v>
      </c>
      <c r="J1817" s="0">
        <v>0</v>
      </c>
      <c r="K1817" s="0">
        <v>1</v>
      </c>
      <c r="L1817" s="0">
        <v>6</v>
      </c>
      <c r="M1817" s="0">
        <v>1</v>
      </c>
      <c r="N1817" s="0">
        <v>0</v>
      </c>
      <c r="O1817" s="0">
        <v>0</v>
      </c>
      <c r="P1817" s="0">
        <v>0</v>
      </c>
      <c r="R1817" s="0" t="b">
        <v>0</v>
      </c>
      <c r="S1817" s="0" t="b">
        <v>1</v>
      </c>
      <c r="T1817" s="68">
        <v>44904.4529166667</v>
      </c>
      <c r="U1817" s="68">
        <v>44918.2916666667</v>
      </c>
      <c r="V1817" s="68">
        <v>0</v>
      </c>
      <c r="W1817" s="0">
        <f>IF(IF(B1817="none",1,IF(B1817="Trialer",1,0))+IF(C1817="Customer",1,IF(C1817="Lost",1,0))=2,1,0)</f>
      </c>
      <c r="X1817" s="0" t="s">
        <v>136</v>
      </c>
      <c r="Y1817" s="0" t="s">
        <v>243</v>
      </c>
      <c r="AV1817" s="68"/>
      <c r="AW1817" s="68"/>
      <c r="AY1817" s="27"/>
      <c r="BD1817" s="68">
        <v>46054.1666666667</v>
      </c>
      <c r="BE1817" s="68">
        <v>46082.1666666667</v>
      </c>
      <c r="BF1817" s="0" t="b">
        <v>0</v>
      </c>
      <c r="BG1817" s="0" t="b">
        <v>0</v>
      </c>
      <c r="BH1817" s="0">
        <v>0</v>
      </c>
      <c r="BI1817" s="0">
        <v>0</v>
      </c>
      <c r="BJ1817" s="0" t="s">
        <v>135</v>
      </c>
    </row>
    <row r="1818">
      <c r="A1818" s="0" t="s">
        <v>2046</v>
      </c>
      <c r="B1818" s="0" t="s">
        <v>134</v>
      </c>
      <c r="C1818" s="0" t="s">
        <v>134</v>
      </c>
      <c r="D1818" s="0" t="s">
        <v>135</v>
      </c>
      <c r="E1818" s="0" t="s">
        <v>3</v>
      </c>
      <c r="F1818" s="0" t="s">
        <v>12</v>
      </c>
      <c r="G1818" s="0" t="s">
        <v>8</v>
      </c>
      <c r="H1818" s="0">
        <v>1149</v>
      </c>
      <c r="I1818" s="0">
        <v>28</v>
      </c>
      <c r="J1818" s="0">
        <v>0</v>
      </c>
      <c r="K1818" s="0">
        <v>1</v>
      </c>
      <c r="L1818" s="0">
        <v>1</v>
      </c>
      <c r="M1818" s="0">
        <v>1</v>
      </c>
      <c r="N1818" s="0">
        <v>0</v>
      </c>
      <c r="O1818" s="0">
        <v>0</v>
      </c>
      <c r="P1818" s="0">
        <v>0</v>
      </c>
      <c r="R1818" s="0" t="b">
        <v>0</v>
      </c>
      <c r="S1818" s="0" t="b">
        <v>1</v>
      </c>
      <c r="T1818" s="68">
        <v>44904.5072916667</v>
      </c>
      <c r="U1818" s="68">
        <v>44918.2916666667</v>
      </c>
      <c r="V1818" s="68">
        <v>0</v>
      </c>
      <c r="W1818" s="0">
        <f>IF(IF(B1818="none",1,IF(B1818="Trialer",1,0))+IF(C1818="Customer",1,IF(C1818="Lost",1,0))=2,1,0)</f>
      </c>
      <c r="X1818" s="0" t="s">
        <v>166</v>
      </c>
      <c r="Y1818" s="0" t="s">
        <v>243</v>
      </c>
      <c r="AV1818" s="68"/>
      <c r="AW1818" s="68"/>
      <c r="AY1818" s="27"/>
      <c r="BD1818" s="68">
        <v>46054.1666666667</v>
      </c>
      <c r="BE1818" s="68">
        <v>46082.1666666667</v>
      </c>
      <c r="BF1818" s="0" t="b">
        <v>0</v>
      </c>
      <c r="BG1818" s="0" t="b">
        <v>0</v>
      </c>
      <c r="BH1818" s="0">
        <v>28</v>
      </c>
      <c r="BI1818" s="0">
        <v>28</v>
      </c>
      <c r="BJ1818" s="0" t="s">
        <v>135</v>
      </c>
    </row>
    <row r="1819">
      <c r="A1819" s="0" t="s">
        <v>2047</v>
      </c>
      <c r="B1819" s="0" t="s">
        <v>134</v>
      </c>
      <c r="C1819" s="0" t="s">
        <v>134</v>
      </c>
      <c r="D1819" s="0" t="s">
        <v>135</v>
      </c>
      <c r="E1819" s="0" t="s">
        <v>3</v>
      </c>
      <c r="F1819" s="0" t="s">
        <v>12</v>
      </c>
      <c r="G1819" s="0" t="s">
        <v>8</v>
      </c>
      <c r="H1819" s="0">
        <v>1148</v>
      </c>
      <c r="I1819" s="0">
        <v>0</v>
      </c>
      <c r="J1819" s="0">
        <v>0</v>
      </c>
      <c r="K1819" s="0">
        <v>1</v>
      </c>
      <c r="L1819" s="0">
        <v>3</v>
      </c>
      <c r="M1819" s="0">
        <v>2</v>
      </c>
      <c r="N1819" s="0">
        <v>0</v>
      </c>
      <c r="O1819" s="0">
        <v>0</v>
      </c>
      <c r="P1819" s="0">
        <v>0</v>
      </c>
      <c r="R1819" s="0" t="b">
        <v>0</v>
      </c>
      <c r="S1819" s="0" t="b">
        <v>1</v>
      </c>
      <c r="T1819" s="68">
        <v>44905.8090162037</v>
      </c>
      <c r="U1819" s="68">
        <v>44919.2916666667</v>
      </c>
      <c r="V1819" s="68">
        <v>0</v>
      </c>
      <c r="W1819" s="0">
        <f>IF(IF(B1819="none",1,IF(B1819="Trialer",1,0))+IF(C1819="Customer",1,IF(C1819="Lost",1,0))=2,1,0)</f>
      </c>
      <c r="X1819" s="0" t="s">
        <v>145</v>
      </c>
      <c r="Y1819" s="0" t="s">
        <v>243</v>
      </c>
      <c r="AV1819" s="68"/>
      <c r="AW1819" s="68"/>
      <c r="AY1819" s="27"/>
      <c r="BD1819" s="68">
        <v>46054.1666666667</v>
      </c>
      <c r="BE1819" s="68">
        <v>46082.1666666667</v>
      </c>
      <c r="BF1819" s="0" t="b">
        <v>0</v>
      </c>
      <c r="BG1819" s="0" t="b">
        <v>0</v>
      </c>
      <c r="BH1819" s="0">
        <v>0</v>
      </c>
      <c r="BI1819" s="0">
        <v>0</v>
      </c>
      <c r="BJ1819" s="0" t="s">
        <v>135</v>
      </c>
    </row>
    <row r="1820">
      <c r="A1820" s="0" t="s">
        <v>2048</v>
      </c>
      <c r="B1820" s="0" t="s">
        <v>134</v>
      </c>
      <c r="C1820" s="0" t="s">
        <v>134</v>
      </c>
      <c r="D1820" s="0" t="s">
        <v>135</v>
      </c>
      <c r="E1820" s="0" t="s">
        <v>3</v>
      </c>
      <c r="F1820" s="0" t="s">
        <v>12</v>
      </c>
      <c r="G1820" s="0" t="s">
        <v>8</v>
      </c>
      <c r="H1820" s="0">
        <v>1144</v>
      </c>
      <c r="I1820" s="0">
        <v>0</v>
      </c>
      <c r="J1820" s="0">
        <v>0</v>
      </c>
      <c r="K1820" s="0">
        <v>1</v>
      </c>
      <c r="L1820" s="0">
        <v>4</v>
      </c>
      <c r="M1820" s="0">
        <v>2</v>
      </c>
      <c r="N1820" s="0">
        <v>0</v>
      </c>
      <c r="O1820" s="0">
        <v>0</v>
      </c>
      <c r="P1820" s="0">
        <v>0</v>
      </c>
      <c r="R1820" s="0" t="b">
        <v>0</v>
      </c>
      <c r="S1820" s="0" t="b">
        <v>1</v>
      </c>
      <c r="T1820" s="68">
        <v>44909.5839930556</v>
      </c>
      <c r="U1820" s="68">
        <v>44923.2916666667</v>
      </c>
      <c r="V1820" s="68">
        <v>0</v>
      </c>
      <c r="W1820" s="0">
        <f>IF(IF(B1820="none",1,IF(B1820="Trialer",1,0))+IF(C1820="Customer",1,IF(C1820="Lost",1,0))=2,1,0)</f>
      </c>
      <c r="X1820" s="0" t="s">
        <v>148</v>
      </c>
      <c r="Y1820" s="0" t="s">
        <v>243</v>
      </c>
      <c r="AV1820" s="68"/>
      <c r="AW1820" s="68"/>
      <c r="AY1820" s="27"/>
      <c r="BD1820" s="68">
        <v>46054.1666666667</v>
      </c>
      <c r="BE1820" s="68">
        <v>46082.1666666667</v>
      </c>
      <c r="BF1820" s="0" t="b">
        <v>0</v>
      </c>
      <c r="BG1820" s="0" t="b">
        <v>0</v>
      </c>
      <c r="BH1820" s="0">
        <v>0</v>
      </c>
      <c r="BI1820" s="0">
        <v>0</v>
      </c>
      <c r="BJ1820" s="0" t="s">
        <v>135</v>
      </c>
    </row>
    <row r="1821">
      <c r="A1821" s="0" t="s">
        <v>2049</v>
      </c>
      <c r="B1821" s="0" t="s">
        <v>134</v>
      </c>
      <c r="C1821" s="0" t="s">
        <v>134</v>
      </c>
      <c r="D1821" s="0" t="s">
        <v>135</v>
      </c>
      <c r="E1821" s="0" t="s">
        <v>3</v>
      </c>
      <c r="F1821" s="0" t="s">
        <v>12</v>
      </c>
      <c r="G1821" s="0" t="s">
        <v>8</v>
      </c>
      <c r="H1821" s="0">
        <v>1144</v>
      </c>
      <c r="I1821" s="0">
        <v>28</v>
      </c>
      <c r="J1821" s="0">
        <v>0</v>
      </c>
      <c r="K1821" s="0">
        <v>1</v>
      </c>
      <c r="L1821" s="0">
        <v>1</v>
      </c>
      <c r="M1821" s="0">
        <v>1</v>
      </c>
      <c r="N1821" s="0">
        <v>0</v>
      </c>
      <c r="O1821" s="0">
        <v>0</v>
      </c>
      <c r="P1821" s="0">
        <v>0</v>
      </c>
      <c r="R1821" s="0" t="b">
        <v>0</v>
      </c>
      <c r="S1821" s="0" t="b">
        <v>1</v>
      </c>
      <c r="T1821" s="68">
        <v>44909.6505671296</v>
      </c>
      <c r="U1821" s="68">
        <v>44924.2916666667</v>
      </c>
      <c r="V1821" s="68">
        <v>0</v>
      </c>
      <c r="W1821" s="0">
        <f>IF(IF(B1821="none",1,IF(B1821="Trialer",1,0))+IF(C1821="Customer",1,IF(C1821="Lost",1,0))=2,1,0)</f>
      </c>
      <c r="X1821" s="0" t="s">
        <v>153</v>
      </c>
      <c r="Y1821" s="0" t="s">
        <v>243</v>
      </c>
      <c r="AV1821" s="68"/>
      <c r="AW1821" s="68"/>
      <c r="AY1821" s="27"/>
      <c r="BD1821" s="68">
        <v>46054.1666666667</v>
      </c>
      <c r="BE1821" s="68">
        <v>46082.1666666667</v>
      </c>
      <c r="BF1821" s="0" t="b">
        <v>0</v>
      </c>
      <c r="BG1821" s="0" t="b">
        <v>0</v>
      </c>
      <c r="BH1821" s="0">
        <v>40</v>
      </c>
      <c r="BI1821" s="0">
        <v>40</v>
      </c>
      <c r="BJ1821" s="0" t="s">
        <v>135</v>
      </c>
    </row>
    <row r="1822">
      <c r="A1822" s="0" t="s">
        <v>2050</v>
      </c>
      <c r="B1822" s="0" t="s">
        <v>134</v>
      </c>
      <c r="C1822" s="0" t="s">
        <v>134</v>
      </c>
      <c r="D1822" s="0" t="s">
        <v>135</v>
      </c>
      <c r="E1822" s="0" t="s">
        <v>3</v>
      </c>
      <c r="F1822" s="0" t="s">
        <v>12</v>
      </c>
      <c r="G1822" s="0" t="s">
        <v>8</v>
      </c>
      <c r="H1822" s="0">
        <v>1143</v>
      </c>
      <c r="I1822" s="0">
        <v>28</v>
      </c>
      <c r="J1822" s="0">
        <v>0</v>
      </c>
      <c r="K1822" s="0">
        <v>1</v>
      </c>
      <c r="L1822" s="0">
        <v>1</v>
      </c>
      <c r="M1822" s="0">
        <v>1</v>
      </c>
      <c r="N1822" s="0">
        <v>0</v>
      </c>
      <c r="O1822" s="0">
        <v>0</v>
      </c>
      <c r="P1822" s="0">
        <v>0</v>
      </c>
      <c r="R1822" s="0" t="b">
        <v>0</v>
      </c>
      <c r="S1822" s="0" t="b">
        <v>1</v>
      </c>
      <c r="T1822" s="68">
        <v>44910.7280324074</v>
      </c>
      <c r="U1822" s="68">
        <v>44928.2916666667</v>
      </c>
      <c r="V1822" s="68">
        <v>0</v>
      </c>
      <c r="W1822" s="0">
        <f>IF(IF(B1822="none",1,IF(B1822="Trialer",1,0))+IF(C1822="Customer",1,IF(C1822="Lost",1,0))=2,1,0)</f>
      </c>
      <c r="X1822" s="0" t="s">
        <v>142</v>
      </c>
      <c r="Y1822" s="0" t="s">
        <v>243</v>
      </c>
      <c r="AV1822" s="68"/>
      <c r="AW1822" s="68"/>
      <c r="AY1822" s="27"/>
      <c r="BD1822" s="68">
        <v>46054.1666666667</v>
      </c>
      <c r="BE1822" s="68">
        <v>46082.1666666667</v>
      </c>
      <c r="BF1822" s="0" t="b">
        <v>0</v>
      </c>
      <c r="BG1822" s="0" t="b">
        <v>0</v>
      </c>
      <c r="BH1822" s="0">
        <v>28</v>
      </c>
      <c r="BI1822" s="0">
        <v>28</v>
      </c>
      <c r="BJ1822" s="0" t="s">
        <v>135</v>
      </c>
    </row>
    <row r="1823">
      <c r="A1823" s="0" t="s">
        <v>2051</v>
      </c>
      <c r="B1823" s="0" t="s">
        <v>134</v>
      </c>
      <c r="C1823" s="0" t="s">
        <v>190</v>
      </c>
      <c r="D1823" s="0" t="s">
        <v>135</v>
      </c>
      <c r="E1823" s="0" t="s">
        <v>2</v>
      </c>
      <c r="F1823" s="0" t="s">
        <v>12</v>
      </c>
      <c r="G1823" s="0" t="s">
        <v>8</v>
      </c>
      <c r="H1823" s="0">
        <v>1142</v>
      </c>
      <c r="I1823" s="0">
        <v>61</v>
      </c>
      <c r="J1823" s="0">
        <v>0</v>
      </c>
      <c r="K1823" s="0">
        <v>1</v>
      </c>
      <c r="L1823" s="0">
        <v>4</v>
      </c>
      <c r="M1823" s="0">
        <v>1</v>
      </c>
      <c r="N1823" s="0">
        <v>0</v>
      </c>
      <c r="O1823" s="0">
        <v>0</v>
      </c>
      <c r="P1823" s="0">
        <v>0</v>
      </c>
      <c r="R1823" s="0" t="b">
        <v>0</v>
      </c>
      <c r="S1823" s="0" t="b">
        <v>0</v>
      </c>
      <c r="T1823" s="68">
        <v>44911.6061574074</v>
      </c>
      <c r="U1823" s="68">
        <v>44929.2916666667</v>
      </c>
      <c r="V1823" s="68">
        <v>46070.3928819444</v>
      </c>
      <c r="W1823" s="0">
        <f>IF(IF(B1823="none",1,IF(B1823="Trialer",1,0))+IF(C1823="Customer",1,IF(C1823="Lost",1,0))=2,1,0)</f>
      </c>
      <c r="X1823" s="0" t="s">
        <v>142</v>
      </c>
      <c r="Y1823" s="0" t="s">
        <v>499</v>
      </c>
      <c r="AV1823" s="68"/>
      <c r="AW1823" s="68"/>
      <c r="AY1823" s="27"/>
      <c r="BD1823" s="68">
        <v>46054.1666666667</v>
      </c>
      <c r="BE1823" s="68">
        <v>46082.1666666667</v>
      </c>
      <c r="BF1823" s="0" t="b">
        <v>0</v>
      </c>
      <c r="BG1823" s="0" t="b">
        <v>0</v>
      </c>
      <c r="BH1823" s="0">
        <v>61</v>
      </c>
      <c r="BI1823" s="0">
        <v>61</v>
      </c>
      <c r="BJ1823" s="0" t="s">
        <v>135</v>
      </c>
    </row>
    <row r="1824">
      <c r="A1824" s="0" t="s">
        <v>2052</v>
      </c>
      <c r="B1824" s="0" t="s">
        <v>134</v>
      </c>
      <c r="C1824" s="0" t="s">
        <v>134</v>
      </c>
      <c r="D1824" s="0" t="s">
        <v>135</v>
      </c>
      <c r="E1824" s="0" t="s">
        <v>3</v>
      </c>
      <c r="F1824" s="0" t="s">
        <v>12</v>
      </c>
      <c r="G1824" s="0" t="s">
        <v>8</v>
      </c>
      <c r="H1824" s="0">
        <v>1142</v>
      </c>
      <c r="I1824" s="0">
        <v>40</v>
      </c>
      <c r="J1824" s="0">
        <v>0</v>
      </c>
      <c r="K1824" s="0">
        <v>1</v>
      </c>
      <c r="L1824" s="0">
        <v>1</v>
      </c>
      <c r="M1824" s="0">
        <v>0</v>
      </c>
      <c r="N1824" s="0">
        <v>0</v>
      </c>
      <c r="O1824" s="0">
        <v>0</v>
      </c>
      <c r="P1824" s="0">
        <v>0</v>
      </c>
      <c r="R1824" s="0" t="b">
        <v>0</v>
      </c>
      <c r="S1824" s="0" t="b">
        <v>1</v>
      </c>
      <c r="T1824" s="68">
        <v>44911.7333333333</v>
      </c>
      <c r="U1824" s="68">
        <v>44911.5</v>
      </c>
      <c r="V1824" s="68">
        <v>0</v>
      </c>
      <c r="W1824" s="0">
        <f>IF(IF(B1824="none",1,IF(B1824="Trialer",1,0))+IF(C1824="Customer",1,IF(C1824="Lost",1,0))=2,1,0)</f>
      </c>
      <c r="X1824" s="0" t="s">
        <v>148</v>
      </c>
      <c r="Y1824" s="0" t="s">
        <v>243</v>
      </c>
      <c r="AV1824" s="68"/>
      <c r="AW1824" s="68"/>
      <c r="AY1824" s="27"/>
      <c r="BD1824" s="68">
        <v>46054.1666666667</v>
      </c>
      <c r="BE1824" s="68">
        <v>46082.1666666667</v>
      </c>
      <c r="BF1824" s="0" t="b">
        <v>0</v>
      </c>
      <c r="BG1824" s="0" t="b">
        <v>0</v>
      </c>
      <c r="BH1824" s="0">
        <v>40</v>
      </c>
      <c r="BI1824" s="0">
        <v>40</v>
      </c>
      <c r="BJ1824" s="0" t="s">
        <v>135</v>
      </c>
    </row>
    <row r="1825">
      <c r="A1825" s="0" t="s">
        <v>2053</v>
      </c>
      <c r="B1825" s="0" t="s">
        <v>134</v>
      </c>
      <c r="C1825" s="0" t="s">
        <v>134</v>
      </c>
      <c r="D1825" s="0" t="s">
        <v>230</v>
      </c>
      <c r="E1825" s="0" t="s">
        <v>2</v>
      </c>
      <c r="F1825" s="0" t="s">
        <v>12</v>
      </c>
      <c r="G1825" s="0" t="s">
        <v>8</v>
      </c>
      <c r="H1825" s="0">
        <v>1142</v>
      </c>
      <c r="I1825" s="0">
        <v>36</v>
      </c>
      <c r="J1825" s="0">
        <v>0</v>
      </c>
      <c r="K1825" s="0">
        <v>1</v>
      </c>
      <c r="L1825" s="0">
        <v>2</v>
      </c>
      <c r="M1825" s="0">
        <v>1</v>
      </c>
      <c r="N1825" s="0">
        <v>0</v>
      </c>
      <c r="O1825" s="0">
        <v>0</v>
      </c>
      <c r="P1825" s="0">
        <v>-36</v>
      </c>
      <c r="R1825" s="0" t="b">
        <v>0</v>
      </c>
      <c r="S1825" s="0" t="b">
        <v>1</v>
      </c>
      <c r="T1825" s="68">
        <v>44911.7920138889</v>
      </c>
      <c r="U1825" s="68">
        <v>44945.2916666667</v>
      </c>
      <c r="V1825" s="68">
        <v>0</v>
      </c>
      <c r="W1825" s="0">
        <f>IF(IF(B1825="none",1,IF(B1825="Trialer",1,0))+IF(C1825="Customer",1,IF(C1825="Lost",1,0))=2,1,0)</f>
      </c>
      <c r="X1825" s="0" t="s">
        <v>153</v>
      </c>
      <c r="Y1825" s="0" t="s">
        <v>499</v>
      </c>
      <c r="AV1825" s="68"/>
      <c r="AW1825" s="68"/>
      <c r="AY1825" s="27"/>
      <c r="BD1825" s="68">
        <v>46054.1666666667</v>
      </c>
      <c r="BE1825" s="68">
        <v>46082.1666666667</v>
      </c>
      <c r="BF1825" s="0" t="b">
        <v>0</v>
      </c>
      <c r="BG1825" s="0" t="b">
        <v>0</v>
      </c>
      <c r="BH1825" s="0">
        <v>40</v>
      </c>
      <c r="BI1825" s="0">
        <v>40</v>
      </c>
      <c r="BJ1825" s="0" t="s">
        <v>230</v>
      </c>
    </row>
    <row r="1826">
      <c r="A1826" s="0" t="s">
        <v>2054</v>
      </c>
      <c r="B1826" s="0" t="s">
        <v>134</v>
      </c>
      <c r="C1826" s="0" t="s">
        <v>134</v>
      </c>
      <c r="D1826" s="0" t="s">
        <v>135</v>
      </c>
      <c r="E1826" s="0" t="s">
        <v>3</v>
      </c>
      <c r="F1826" s="0" t="s">
        <v>10</v>
      </c>
      <c r="G1826" s="0" t="s">
        <v>8</v>
      </c>
      <c r="H1826" s="0">
        <v>1139</v>
      </c>
      <c r="I1826" s="0">
        <v>28</v>
      </c>
      <c r="J1826" s="0">
        <v>0</v>
      </c>
      <c r="K1826" s="0">
        <v>1</v>
      </c>
      <c r="L1826" s="0">
        <v>1</v>
      </c>
      <c r="M1826" s="0">
        <v>1</v>
      </c>
      <c r="N1826" s="0">
        <v>0</v>
      </c>
      <c r="O1826" s="0">
        <v>0</v>
      </c>
      <c r="P1826" s="0">
        <v>0</v>
      </c>
      <c r="Q1826" s="0" t="s">
        <v>618</v>
      </c>
      <c r="R1826" s="0" t="b">
        <v>0</v>
      </c>
      <c r="S1826" s="0" t="b">
        <v>1</v>
      </c>
      <c r="T1826" s="68">
        <v>44914.494849537</v>
      </c>
      <c r="U1826" s="68">
        <v>44928.2916666667</v>
      </c>
      <c r="V1826" s="68">
        <v>0</v>
      </c>
      <c r="W1826" s="0">
        <f>IF(IF(B1826="none",1,IF(B1826="Trialer",1,0))+IF(C1826="Customer",1,IF(C1826="Lost",1,0))=2,1,0)</f>
      </c>
      <c r="X1826" s="0" t="s">
        <v>148</v>
      </c>
      <c r="Y1826" s="0" t="s">
        <v>243</v>
      </c>
      <c r="AV1826" s="68"/>
      <c r="AW1826" s="68"/>
      <c r="AY1826" s="27"/>
      <c r="BD1826" s="68">
        <v>46054.1666666667</v>
      </c>
      <c r="BE1826" s="68">
        <v>46082.1666666667</v>
      </c>
      <c r="BF1826" s="0" t="b">
        <v>0</v>
      </c>
      <c r="BG1826" s="0" t="b">
        <v>0</v>
      </c>
      <c r="BH1826" s="0">
        <v>28</v>
      </c>
      <c r="BI1826" s="0">
        <v>28</v>
      </c>
      <c r="BJ1826" s="0" t="s">
        <v>135</v>
      </c>
    </row>
    <row r="1827">
      <c r="A1827" s="0" t="s">
        <v>2055</v>
      </c>
      <c r="B1827" s="0" t="s">
        <v>134</v>
      </c>
      <c r="C1827" s="0" t="s">
        <v>134</v>
      </c>
      <c r="D1827" s="0" t="s">
        <v>135</v>
      </c>
      <c r="E1827" s="0" t="s">
        <v>3</v>
      </c>
      <c r="F1827" s="0" t="s">
        <v>12</v>
      </c>
      <c r="G1827" s="0" t="s">
        <v>8</v>
      </c>
      <c r="H1827" s="0">
        <v>1137</v>
      </c>
      <c r="I1827" s="0">
        <v>49</v>
      </c>
      <c r="J1827" s="0">
        <v>0</v>
      </c>
      <c r="K1827" s="0">
        <v>1</v>
      </c>
      <c r="L1827" s="0">
        <v>3</v>
      </c>
      <c r="M1827" s="0">
        <v>1</v>
      </c>
      <c r="N1827" s="0">
        <v>0</v>
      </c>
      <c r="O1827" s="0">
        <v>0</v>
      </c>
      <c r="P1827" s="0">
        <v>0</v>
      </c>
      <c r="R1827" s="0" t="b">
        <v>0</v>
      </c>
      <c r="S1827" s="0" t="b">
        <v>0</v>
      </c>
      <c r="T1827" s="68">
        <v>44916.3128009259</v>
      </c>
      <c r="U1827" s="68">
        <v>44935.2916666667</v>
      </c>
      <c r="V1827" s="68">
        <v>46085.1683217593</v>
      </c>
      <c r="W1827" s="0">
        <f>IF(IF(B1827="none",1,IF(B1827="Trialer",1,0))+IF(C1827="Customer",1,IF(C1827="Lost",1,0))=2,1,0)</f>
      </c>
      <c r="X1827" s="0" t="s">
        <v>142</v>
      </c>
      <c r="Y1827" s="0" t="s">
        <v>243</v>
      </c>
      <c r="AV1827" s="68"/>
      <c r="AW1827" s="68"/>
      <c r="AY1827" s="27"/>
      <c r="BD1827" s="68">
        <v>46054.1666666667</v>
      </c>
      <c r="BE1827" s="68">
        <v>46082.1666666667</v>
      </c>
      <c r="BF1827" s="0" t="b">
        <v>0</v>
      </c>
      <c r="BG1827" s="0" t="b">
        <v>0</v>
      </c>
      <c r="BH1827" s="0">
        <v>49</v>
      </c>
      <c r="BI1827" s="0">
        <v>49</v>
      </c>
      <c r="BJ1827" s="0" t="s">
        <v>230</v>
      </c>
    </row>
    <row r="1828">
      <c r="A1828" s="0" t="s">
        <v>2056</v>
      </c>
      <c r="B1828" s="0" t="s">
        <v>134</v>
      </c>
      <c r="C1828" s="0" t="s">
        <v>134</v>
      </c>
      <c r="D1828" s="0" t="s">
        <v>230</v>
      </c>
      <c r="E1828" s="0" t="s">
        <v>3</v>
      </c>
      <c r="F1828" s="0" t="s">
        <v>12</v>
      </c>
      <c r="G1828" s="0" t="s">
        <v>8</v>
      </c>
      <c r="H1828" s="0">
        <v>1137</v>
      </c>
      <c r="I1828" s="0">
        <v>174</v>
      </c>
      <c r="J1828" s="0">
        <v>0</v>
      </c>
      <c r="K1828" s="0">
        <v>1</v>
      </c>
      <c r="L1828" s="0">
        <v>4</v>
      </c>
      <c r="M1828" s="0">
        <v>4</v>
      </c>
      <c r="N1828" s="0">
        <v>0</v>
      </c>
      <c r="O1828" s="0">
        <v>0</v>
      </c>
      <c r="P1828" s="0">
        <v>-174</v>
      </c>
      <c r="R1828" s="0" t="b">
        <v>0</v>
      </c>
      <c r="S1828" s="0" t="b">
        <v>1</v>
      </c>
      <c r="T1828" s="68">
        <v>44916.8583333333</v>
      </c>
      <c r="U1828" s="68">
        <v>44931.2916666667</v>
      </c>
      <c r="V1828" s="68">
        <v>0</v>
      </c>
      <c r="W1828" s="0">
        <f>IF(IF(B1828="none",1,IF(B1828="Trialer",1,0))+IF(C1828="Customer",1,IF(C1828="Lost",1,0))=2,1,0)</f>
      </c>
      <c r="X1828" s="0" t="s">
        <v>148</v>
      </c>
      <c r="Y1828" s="0" t="s">
        <v>243</v>
      </c>
      <c r="AV1828" s="68"/>
      <c r="AW1828" s="68"/>
      <c r="AY1828" s="27"/>
      <c r="BD1828" s="68">
        <v>46054.1666666667</v>
      </c>
      <c r="BE1828" s="68">
        <v>46082.1666666667</v>
      </c>
      <c r="BF1828" s="0" t="b">
        <v>0</v>
      </c>
      <c r="BG1828" s="0" t="b">
        <v>0</v>
      </c>
      <c r="BH1828" s="0">
        <v>196</v>
      </c>
      <c r="BI1828" s="0">
        <v>196</v>
      </c>
      <c r="BJ1828" s="0" t="s">
        <v>230</v>
      </c>
    </row>
    <row r="1829">
      <c r="A1829" s="0" t="s">
        <v>2057</v>
      </c>
      <c r="B1829" s="0" t="s">
        <v>134</v>
      </c>
      <c r="C1829" s="0" t="s">
        <v>134</v>
      </c>
      <c r="D1829" s="0" t="s">
        <v>230</v>
      </c>
      <c r="E1829" s="0" t="s">
        <v>3</v>
      </c>
      <c r="F1829" s="0" t="s">
        <v>12</v>
      </c>
      <c r="G1829" s="0" t="s">
        <v>8</v>
      </c>
      <c r="H1829" s="0">
        <v>1136</v>
      </c>
      <c r="I1829" s="0">
        <v>285.3</v>
      </c>
      <c r="J1829" s="0">
        <v>0</v>
      </c>
      <c r="K1829" s="0">
        <v>1</v>
      </c>
      <c r="L1829" s="0">
        <v>5</v>
      </c>
      <c r="M1829" s="0">
        <v>5</v>
      </c>
      <c r="N1829" s="0">
        <v>0</v>
      </c>
      <c r="O1829" s="0">
        <v>0</v>
      </c>
      <c r="P1829" s="0">
        <v>-285.3</v>
      </c>
      <c r="R1829" s="0" t="b">
        <v>0</v>
      </c>
      <c r="S1829" s="0" t="b">
        <v>1</v>
      </c>
      <c r="T1829" s="68">
        <v>44917.6838194444</v>
      </c>
      <c r="U1829" s="68">
        <v>44938.2916666667</v>
      </c>
      <c r="V1829" s="68">
        <v>0</v>
      </c>
      <c r="W1829" s="0">
        <f>IF(IF(B1829="none",1,IF(B1829="Trialer",1,0))+IF(C1829="Customer",1,IF(C1829="Lost",1,0))=2,1,0)</f>
      </c>
      <c r="X1829" s="0" t="s">
        <v>148</v>
      </c>
      <c r="Y1829" s="0" t="s">
        <v>243</v>
      </c>
      <c r="AV1829" s="68"/>
      <c r="AW1829" s="68"/>
      <c r="AY1829" s="27"/>
      <c r="BD1829" s="68">
        <v>46054.1666666667</v>
      </c>
      <c r="BE1829" s="68">
        <v>46082.1666666667</v>
      </c>
      <c r="BF1829" s="0" t="b">
        <v>0</v>
      </c>
      <c r="BG1829" s="0" t="b">
        <v>0</v>
      </c>
      <c r="BH1829" s="0">
        <v>317</v>
      </c>
      <c r="BI1829" s="0">
        <v>317</v>
      </c>
      <c r="BJ1829" s="0" t="s">
        <v>230</v>
      </c>
    </row>
    <row r="1830">
      <c r="A1830" s="0" t="s">
        <v>2058</v>
      </c>
      <c r="B1830" s="0" t="s">
        <v>134</v>
      </c>
      <c r="C1830" s="0" t="s">
        <v>134</v>
      </c>
      <c r="D1830" s="0" t="s">
        <v>230</v>
      </c>
      <c r="E1830" s="0" t="s">
        <v>3</v>
      </c>
      <c r="F1830" s="0" t="s">
        <v>12</v>
      </c>
      <c r="G1830" s="0" t="s">
        <v>8</v>
      </c>
      <c r="H1830" s="0">
        <v>1132</v>
      </c>
      <c r="I1830" s="0">
        <v>36</v>
      </c>
      <c r="J1830" s="0">
        <v>0</v>
      </c>
      <c r="K1830" s="0">
        <v>1</v>
      </c>
      <c r="L1830" s="0">
        <v>2</v>
      </c>
      <c r="M1830" s="0">
        <v>1</v>
      </c>
      <c r="N1830" s="0">
        <v>0</v>
      </c>
      <c r="O1830" s="0">
        <v>0</v>
      </c>
      <c r="P1830" s="0">
        <v>-36</v>
      </c>
      <c r="R1830" s="0" t="b">
        <v>0</v>
      </c>
      <c r="S1830" s="0" t="b">
        <v>1</v>
      </c>
      <c r="T1830" s="68">
        <v>44921.5134606482</v>
      </c>
      <c r="U1830" s="68">
        <v>44935.2916666667</v>
      </c>
      <c r="V1830" s="68">
        <v>0</v>
      </c>
      <c r="W1830" s="0">
        <f>IF(IF(B1830="none",1,IF(B1830="Trialer",1,0))+IF(C1830="Customer",1,IF(C1830="Lost",1,0))=2,1,0)</f>
      </c>
      <c r="X1830" s="0" t="s">
        <v>142</v>
      </c>
      <c r="Y1830" s="0" t="s">
        <v>243</v>
      </c>
      <c r="AV1830" s="68"/>
      <c r="AW1830" s="68"/>
      <c r="AY1830" s="27"/>
      <c r="BD1830" s="68">
        <v>46054.1666666667</v>
      </c>
      <c r="BE1830" s="68">
        <v>46082.1666666667</v>
      </c>
      <c r="BF1830" s="0" t="b">
        <v>0</v>
      </c>
      <c r="BG1830" s="0" t="b">
        <v>0</v>
      </c>
      <c r="BH1830" s="0">
        <v>40</v>
      </c>
      <c r="BI1830" s="0">
        <v>40</v>
      </c>
      <c r="BJ1830" s="0" t="s">
        <v>230</v>
      </c>
    </row>
    <row r="1831">
      <c r="A1831" s="0" t="s">
        <v>2059</v>
      </c>
      <c r="B1831" s="0" t="s">
        <v>134</v>
      </c>
      <c r="C1831" s="0" t="s">
        <v>134</v>
      </c>
      <c r="D1831" s="0" t="s">
        <v>135</v>
      </c>
      <c r="E1831" s="0" t="s">
        <v>2</v>
      </c>
      <c r="F1831" s="0" t="s">
        <v>12</v>
      </c>
      <c r="G1831" s="0" t="s">
        <v>8</v>
      </c>
      <c r="H1831" s="0">
        <v>1130</v>
      </c>
      <c r="I1831" s="0">
        <v>932</v>
      </c>
      <c r="J1831" s="0">
        <v>0</v>
      </c>
      <c r="K1831" s="0">
        <v>1</v>
      </c>
      <c r="L1831" s="0">
        <v>5</v>
      </c>
      <c r="M1831" s="0">
        <v>20</v>
      </c>
      <c r="N1831" s="0">
        <v>0</v>
      </c>
      <c r="O1831" s="0">
        <v>0</v>
      </c>
      <c r="P1831" s="0">
        <v>0</v>
      </c>
      <c r="R1831" s="0" t="b">
        <v>0</v>
      </c>
      <c r="S1831" s="0" t="b">
        <v>1</v>
      </c>
      <c r="T1831" s="68">
        <v>44923.5861111111</v>
      </c>
      <c r="U1831" s="68">
        <v>44934.2916666667</v>
      </c>
      <c r="V1831" s="68">
        <v>0</v>
      </c>
      <c r="W1831" s="0">
        <f>IF(IF(B1831="none",1,IF(B1831="Trialer",1,0))+IF(C1831="Customer",1,IF(C1831="Lost",1,0))=2,1,0)</f>
      </c>
      <c r="X1831" s="0" t="s">
        <v>148</v>
      </c>
      <c r="Y1831" s="0" t="s">
        <v>499</v>
      </c>
      <c r="AV1831" s="68"/>
      <c r="AW1831" s="68"/>
      <c r="AY1831" s="27"/>
      <c r="BD1831" s="68">
        <v>46054.1666666667</v>
      </c>
      <c r="BE1831" s="68">
        <v>46082.1666666667</v>
      </c>
      <c r="BF1831" s="0" t="b">
        <v>0</v>
      </c>
      <c r="BG1831" s="0" t="b">
        <v>0</v>
      </c>
      <c r="BH1831" s="0">
        <v>932</v>
      </c>
      <c r="BI1831" s="0">
        <v>932</v>
      </c>
      <c r="BJ1831" s="0" t="s">
        <v>135</v>
      </c>
    </row>
    <row r="1832">
      <c r="A1832" s="0" t="s">
        <v>2060</v>
      </c>
      <c r="B1832" s="0" t="s">
        <v>134</v>
      </c>
      <c r="C1832" s="0" t="s">
        <v>134</v>
      </c>
      <c r="D1832" s="0" t="s">
        <v>135</v>
      </c>
      <c r="E1832" s="0" t="s">
        <v>3</v>
      </c>
      <c r="F1832" s="0" t="s">
        <v>12</v>
      </c>
      <c r="G1832" s="0" t="s">
        <v>8</v>
      </c>
      <c r="H1832" s="0">
        <v>1130</v>
      </c>
      <c r="I1832" s="0">
        <v>171</v>
      </c>
      <c r="J1832" s="0">
        <v>0</v>
      </c>
      <c r="K1832" s="0">
        <v>1</v>
      </c>
      <c r="L1832" s="0">
        <v>4</v>
      </c>
      <c r="M1832" s="0">
        <v>3</v>
      </c>
      <c r="N1832" s="0">
        <v>0</v>
      </c>
      <c r="O1832" s="0">
        <v>0</v>
      </c>
      <c r="P1832" s="0">
        <v>0</v>
      </c>
      <c r="R1832" s="0" t="b">
        <v>0</v>
      </c>
      <c r="S1832" s="0" t="b">
        <v>1</v>
      </c>
      <c r="T1832" s="68">
        <v>44923.8391898148</v>
      </c>
      <c r="U1832" s="68">
        <v>44937.2916666667</v>
      </c>
      <c r="V1832" s="68">
        <v>0</v>
      </c>
      <c r="W1832" s="0">
        <f>IF(IF(B1832="none",1,IF(B1832="Trialer",1,0))+IF(C1832="Customer",1,IF(C1832="Lost",1,0))=2,1,0)</f>
      </c>
      <c r="X1832" s="0" t="s">
        <v>142</v>
      </c>
      <c r="Y1832" s="0" t="s">
        <v>243</v>
      </c>
      <c r="AV1832" s="68"/>
      <c r="AW1832" s="68"/>
      <c r="AY1832" s="27"/>
      <c r="BD1832" s="68">
        <v>46054.1666666667</v>
      </c>
      <c r="BE1832" s="68">
        <v>46082.1666666667</v>
      </c>
      <c r="BF1832" s="0" t="b">
        <v>0</v>
      </c>
      <c r="BG1832" s="0" t="b">
        <v>0</v>
      </c>
      <c r="BH1832" s="0">
        <v>171</v>
      </c>
      <c r="BI1832" s="0">
        <v>171</v>
      </c>
      <c r="BJ1832" s="0" t="s">
        <v>135</v>
      </c>
    </row>
    <row r="1833">
      <c r="A1833" s="0" t="s">
        <v>2061</v>
      </c>
      <c r="B1833" s="0" t="s">
        <v>134</v>
      </c>
      <c r="C1833" s="0" t="s">
        <v>134</v>
      </c>
      <c r="D1833" s="0" t="s">
        <v>230</v>
      </c>
      <c r="E1833" s="0" t="s">
        <v>3</v>
      </c>
      <c r="F1833" s="0" t="s">
        <v>12</v>
      </c>
      <c r="G1833" s="0" t="s">
        <v>8</v>
      </c>
      <c r="H1833" s="0">
        <v>1129</v>
      </c>
      <c r="I1833" s="0">
        <v>344</v>
      </c>
      <c r="J1833" s="0">
        <v>0</v>
      </c>
      <c r="K1833" s="0">
        <v>1</v>
      </c>
      <c r="L1833" s="0">
        <v>3</v>
      </c>
      <c r="M1833" s="0">
        <v>8</v>
      </c>
      <c r="N1833" s="0">
        <v>0</v>
      </c>
      <c r="O1833" s="0">
        <v>0</v>
      </c>
      <c r="P1833" s="0">
        <v>-344</v>
      </c>
      <c r="R1833" s="0" t="b">
        <v>0</v>
      </c>
      <c r="S1833" s="0" t="b">
        <v>1</v>
      </c>
      <c r="T1833" s="68">
        <v>44924.0500462963</v>
      </c>
      <c r="U1833" s="68">
        <v>44938.2916666667</v>
      </c>
      <c r="V1833" s="68">
        <v>0</v>
      </c>
      <c r="W1833" s="0">
        <f>IF(IF(B1833="none",1,IF(B1833="Trialer",1,0))+IF(C1833="Customer",1,IF(C1833="Lost",1,0))=2,1,0)</f>
      </c>
      <c r="X1833" s="0" t="s">
        <v>136</v>
      </c>
      <c r="Y1833" s="0" t="s">
        <v>243</v>
      </c>
      <c r="AV1833" s="68"/>
      <c r="AW1833" s="68"/>
      <c r="AY1833" s="27"/>
      <c r="BD1833" s="68">
        <v>46054.1666666667</v>
      </c>
      <c r="BE1833" s="68">
        <v>46082.1666666667</v>
      </c>
      <c r="BF1833" s="0" t="b">
        <v>0</v>
      </c>
      <c r="BG1833" s="0" t="b">
        <v>0</v>
      </c>
      <c r="BH1833" s="0">
        <v>383</v>
      </c>
      <c r="BI1833" s="0">
        <v>383</v>
      </c>
      <c r="BJ1833" s="0" t="s">
        <v>230</v>
      </c>
    </row>
    <row r="1834">
      <c r="A1834" s="0" t="s">
        <v>2062</v>
      </c>
      <c r="B1834" s="0" t="s">
        <v>134</v>
      </c>
      <c r="C1834" s="0" t="s">
        <v>134</v>
      </c>
      <c r="D1834" s="0" t="s">
        <v>135</v>
      </c>
      <c r="E1834" s="0" t="s">
        <v>3</v>
      </c>
      <c r="F1834" s="0" t="s">
        <v>10</v>
      </c>
      <c r="G1834" s="0" t="s">
        <v>8</v>
      </c>
      <c r="H1834" s="0">
        <v>1129</v>
      </c>
      <c r="I1834" s="0">
        <v>56</v>
      </c>
      <c r="J1834" s="0">
        <v>0</v>
      </c>
      <c r="K1834" s="0">
        <v>1</v>
      </c>
      <c r="L1834" s="0">
        <v>1</v>
      </c>
      <c r="M1834" s="0">
        <v>2</v>
      </c>
      <c r="N1834" s="0">
        <v>0</v>
      </c>
      <c r="O1834" s="0">
        <v>0</v>
      </c>
      <c r="P1834" s="0">
        <v>0</v>
      </c>
      <c r="Q1834" s="0" t="s">
        <v>618</v>
      </c>
      <c r="R1834" s="0" t="b">
        <v>0</v>
      </c>
      <c r="S1834" s="0" t="b">
        <v>1</v>
      </c>
      <c r="T1834" s="68">
        <v>44924.2178240741</v>
      </c>
      <c r="U1834" s="68">
        <v>44938.2916666667</v>
      </c>
      <c r="V1834" s="68">
        <v>0</v>
      </c>
      <c r="W1834" s="0">
        <f>IF(IF(B1834="none",1,IF(B1834="Trialer",1,0))+IF(C1834="Customer",1,IF(C1834="Lost",1,0))=2,1,0)</f>
      </c>
      <c r="X1834" s="0" t="s">
        <v>148</v>
      </c>
      <c r="Y1834" s="0" t="s">
        <v>243</v>
      </c>
      <c r="AV1834" s="68"/>
      <c r="AW1834" s="68"/>
      <c r="AY1834" s="27"/>
      <c r="BD1834" s="68">
        <v>46054.1666666667</v>
      </c>
      <c r="BE1834" s="68">
        <v>46082.1666666667</v>
      </c>
      <c r="BF1834" s="0" t="b">
        <v>0</v>
      </c>
      <c r="BG1834" s="0" t="b">
        <v>0</v>
      </c>
      <c r="BH1834" s="0">
        <v>56</v>
      </c>
      <c r="BI1834" s="0">
        <v>56</v>
      </c>
      <c r="BJ1834" s="0" t="s">
        <v>135</v>
      </c>
    </row>
    <row r="1835">
      <c r="A1835" s="0" t="s">
        <v>2063</v>
      </c>
      <c r="B1835" s="0" t="s">
        <v>134</v>
      </c>
      <c r="C1835" s="0" t="s">
        <v>134</v>
      </c>
      <c r="D1835" s="0" t="s">
        <v>230</v>
      </c>
      <c r="E1835" s="0" t="s">
        <v>3</v>
      </c>
      <c r="F1835" s="0" t="s">
        <v>10</v>
      </c>
      <c r="G1835" s="0" t="s">
        <v>8</v>
      </c>
      <c r="H1835" s="0">
        <v>1129</v>
      </c>
      <c r="I1835" s="0">
        <v>25</v>
      </c>
      <c r="J1835" s="0">
        <v>0</v>
      </c>
      <c r="K1835" s="0">
        <v>1</v>
      </c>
      <c r="L1835" s="0">
        <v>1</v>
      </c>
      <c r="M1835" s="0">
        <v>1</v>
      </c>
      <c r="N1835" s="0">
        <v>0</v>
      </c>
      <c r="O1835" s="0">
        <v>0</v>
      </c>
      <c r="P1835" s="0">
        <v>275</v>
      </c>
      <c r="Q1835" s="0" t="s">
        <v>618</v>
      </c>
      <c r="R1835" s="0" t="b">
        <v>0</v>
      </c>
      <c r="S1835" s="0" t="b">
        <v>1</v>
      </c>
      <c r="T1835" s="68">
        <v>44924.2181481481</v>
      </c>
      <c r="U1835" s="68">
        <v>44938.2916666667</v>
      </c>
      <c r="V1835" s="68">
        <v>0</v>
      </c>
      <c r="W1835" s="0">
        <f>IF(IF(B1835="none",1,IF(B1835="Trialer",1,0))+IF(C1835="Customer",1,IF(C1835="Lost",1,0))=2,1,0)</f>
      </c>
      <c r="X1835" s="0" t="s">
        <v>148</v>
      </c>
      <c r="Y1835" s="0" t="s">
        <v>243</v>
      </c>
      <c r="AV1835" s="68"/>
      <c r="AW1835" s="68"/>
      <c r="AY1835" s="27"/>
      <c r="BD1835" s="68">
        <v>46054.1666666667</v>
      </c>
      <c r="BE1835" s="68">
        <v>46082.1666666667</v>
      </c>
      <c r="BF1835" s="0" t="b">
        <v>0</v>
      </c>
      <c r="BG1835" s="0" t="b">
        <v>0</v>
      </c>
      <c r="BH1835" s="0">
        <v>28</v>
      </c>
      <c r="BI1835" s="0">
        <v>28</v>
      </c>
      <c r="BJ1835" s="0" t="s">
        <v>230</v>
      </c>
    </row>
    <row r="1836">
      <c r="A1836" s="0" t="s">
        <v>2064</v>
      </c>
      <c r="B1836" s="0" t="s">
        <v>134</v>
      </c>
      <c r="C1836" s="0" t="s">
        <v>134</v>
      </c>
      <c r="D1836" s="0" t="s">
        <v>135</v>
      </c>
      <c r="E1836" s="0" t="s">
        <v>3</v>
      </c>
      <c r="F1836" s="0" t="s">
        <v>12</v>
      </c>
      <c r="G1836" s="0" t="s">
        <v>8</v>
      </c>
      <c r="H1836" s="0">
        <v>1128</v>
      </c>
      <c r="I1836" s="0">
        <v>73</v>
      </c>
      <c r="J1836" s="0">
        <v>0</v>
      </c>
      <c r="K1836" s="0">
        <v>1</v>
      </c>
      <c r="L1836" s="0">
        <v>5</v>
      </c>
      <c r="M1836" s="0">
        <v>3</v>
      </c>
      <c r="N1836" s="0">
        <v>0</v>
      </c>
      <c r="O1836" s="0">
        <v>0</v>
      </c>
      <c r="P1836" s="0">
        <v>0</v>
      </c>
      <c r="R1836" s="0" t="b">
        <v>0</v>
      </c>
      <c r="S1836" s="0" t="b">
        <v>1</v>
      </c>
      <c r="T1836" s="68">
        <v>44925.6243055556</v>
      </c>
      <c r="U1836" s="68">
        <v>44939.2916666667</v>
      </c>
      <c r="V1836" s="68">
        <v>0</v>
      </c>
      <c r="W1836" s="0">
        <f>IF(IF(B1836="none",1,IF(B1836="Trialer",1,0))+IF(C1836="Customer",1,IF(C1836="Lost",1,0))=2,1,0)</f>
      </c>
      <c r="X1836" s="0" t="s">
        <v>148</v>
      </c>
      <c r="Y1836" s="0" t="s">
        <v>243</v>
      </c>
      <c r="AV1836" s="68"/>
      <c r="AW1836" s="68"/>
      <c r="AY1836" s="27"/>
      <c r="BD1836" s="68">
        <v>46054.1666666667</v>
      </c>
      <c r="BE1836" s="68">
        <v>46082.1666666667</v>
      </c>
      <c r="BF1836" s="0" t="b">
        <v>0</v>
      </c>
      <c r="BG1836" s="0" t="b">
        <v>0</v>
      </c>
      <c r="BH1836" s="0">
        <v>73</v>
      </c>
      <c r="BI1836" s="0">
        <v>73</v>
      </c>
      <c r="BJ1836" s="0" t="s">
        <v>135</v>
      </c>
    </row>
    <row r="1837">
      <c r="A1837" s="0" t="s">
        <v>2065</v>
      </c>
      <c r="B1837" s="0" t="s">
        <v>134</v>
      </c>
      <c r="C1837" s="0" t="s">
        <v>134</v>
      </c>
      <c r="D1837" s="0" t="s">
        <v>135</v>
      </c>
      <c r="E1837" s="0" t="s">
        <v>2</v>
      </c>
      <c r="F1837" s="0" t="s">
        <v>12</v>
      </c>
      <c r="G1837" s="0" t="s">
        <v>8</v>
      </c>
      <c r="H1837" s="0">
        <v>1123</v>
      </c>
      <c r="I1837" s="0">
        <v>28</v>
      </c>
      <c r="J1837" s="0">
        <v>0</v>
      </c>
      <c r="K1837" s="0">
        <v>1</v>
      </c>
      <c r="L1837" s="0">
        <v>1</v>
      </c>
      <c r="M1837" s="0">
        <v>1</v>
      </c>
      <c r="N1837" s="0">
        <v>0</v>
      </c>
      <c r="O1837" s="0">
        <v>0</v>
      </c>
      <c r="P1837" s="0">
        <v>0</v>
      </c>
      <c r="R1837" s="0" t="b">
        <v>0</v>
      </c>
      <c r="S1837" s="0" t="b">
        <v>1</v>
      </c>
      <c r="T1837" s="68">
        <v>44930.7854166667</v>
      </c>
      <c r="U1837" s="68">
        <v>44950.2916666667</v>
      </c>
      <c r="V1837" s="68">
        <v>0</v>
      </c>
      <c r="W1837" s="0">
        <f>IF(IF(B1837="none",1,IF(B1837="Trialer",1,0))+IF(C1837="Customer",1,IF(C1837="Lost",1,0))=2,1,0)</f>
      </c>
      <c r="X1837" s="0" t="s">
        <v>142</v>
      </c>
      <c r="Y1837" s="0" t="s">
        <v>499</v>
      </c>
      <c r="AV1837" s="68"/>
      <c r="AW1837" s="68"/>
      <c r="AY1837" s="27"/>
      <c r="BD1837" s="68">
        <v>46054.1666666667</v>
      </c>
      <c r="BE1837" s="68">
        <v>46082.1666666667</v>
      </c>
      <c r="BF1837" s="0" t="b">
        <v>0</v>
      </c>
      <c r="BG1837" s="0" t="b">
        <v>0</v>
      </c>
      <c r="BH1837" s="0">
        <v>28</v>
      </c>
      <c r="BI1837" s="0">
        <v>28</v>
      </c>
      <c r="BJ1837" s="0" t="s">
        <v>135</v>
      </c>
    </row>
    <row r="1838">
      <c r="A1838" s="0" t="s">
        <v>2066</v>
      </c>
      <c r="B1838" s="0" t="s">
        <v>134</v>
      </c>
      <c r="C1838" s="0" t="s">
        <v>134</v>
      </c>
      <c r="D1838" s="0" t="s">
        <v>135</v>
      </c>
      <c r="E1838" s="0" t="s">
        <v>3</v>
      </c>
      <c r="F1838" s="0" t="s">
        <v>12</v>
      </c>
      <c r="G1838" s="0" t="s">
        <v>8</v>
      </c>
      <c r="H1838" s="0">
        <v>1122</v>
      </c>
      <c r="I1838" s="0">
        <v>80</v>
      </c>
      <c r="J1838" s="0">
        <v>0</v>
      </c>
      <c r="K1838" s="0">
        <v>1</v>
      </c>
      <c r="L1838" s="0">
        <v>2</v>
      </c>
      <c r="M1838" s="0">
        <v>2</v>
      </c>
      <c r="N1838" s="0">
        <v>0</v>
      </c>
      <c r="O1838" s="0">
        <v>0</v>
      </c>
      <c r="P1838" s="0">
        <v>0</v>
      </c>
      <c r="R1838" s="0" t="b">
        <v>0</v>
      </c>
      <c r="S1838" s="0" t="b">
        <v>1</v>
      </c>
      <c r="T1838" s="68">
        <v>44931.4159837963</v>
      </c>
      <c r="U1838" s="68">
        <v>44931.2916666667</v>
      </c>
      <c r="V1838" s="68">
        <v>0</v>
      </c>
      <c r="W1838" s="0">
        <f>IF(IF(B1838="none",1,IF(B1838="Trialer",1,0))+IF(C1838="Customer",1,IF(C1838="Lost",1,0))=2,1,0)</f>
      </c>
      <c r="X1838" s="0" t="s">
        <v>136</v>
      </c>
      <c r="Y1838" s="0" t="s">
        <v>243</v>
      </c>
      <c r="AV1838" s="68"/>
      <c r="AW1838" s="68"/>
      <c r="AY1838" s="27"/>
      <c r="BD1838" s="68">
        <v>46054.1666666667</v>
      </c>
      <c r="BE1838" s="68">
        <v>46082.1666666667</v>
      </c>
      <c r="BF1838" s="0" t="b">
        <v>0</v>
      </c>
      <c r="BG1838" s="0" t="b">
        <v>0</v>
      </c>
      <c r="BH1838" s="0">
        <v>80</v>
      </c>
      <c r="BI1838" s="0">
        <v>80</v>
      </c>
      <c r="BJ1838" s="0" t="s">
        <v>135</v>
      </c>
    </row>
    <row r="1839">
      <c r="A1839" s="0" t="s">
        <v>2067</v>
      </c>
      <c r="B1839" s="0" t="s">
        <v>134</v>
      </c>
      <c r="C1839" s="0" t="s">
        <v>134</v>
      </c>
      <c r="D1839" s="0" t="s">
        <v>135</v>
      </c>
      <c r="E1839" s="0" t="s">
        <v>2</v>
      </c>
      <c r="F1839" s="0" t="s">
        <v>12</v>
      </c>
      <c r="G1839" s="0" t="s">
        <v>8</v>
      </c>
      <c r="H1839" s="0">
        <v>1122</v>
      </c>
      <c r="I1839" s="0">
        <v>98</v>
      </c>
      <c r="J1839" s="0">
        <v>0</v>
      </c>
      <c r="K1839" s="0">
        <v>1</v>
      </c>
      <c r="L1839" s="0">
        <v>3</v>
      </c>
      <c r="M1839" s="0">
        <v>2</v>
      </c>
      <c r="N1839" s="0">
        <v>0</v>
      </c>
      <c r="O1839" s="0">
        <v>0</v>
      </c>
      <c r="P1839" s="0">
        <v>0</v>
      </c>
      <c r="R1839" s="0" t="b">
        <v>0</v>
      </c>
      <c r="S1839" s="0" t="b">
        <v>1</v>
      </c>
      <c r="T1839" s="68">
        <v>44931.464837963</v>
      </c>
      <c r="U1839" s="68">
        <v>44945.2916666667</v>
      </c>
      <c r="V1839" s="68">
        <v>0</v>
      </c>
      <c r="W1839" s="0">
        <f>IF(IF(B1839="none",1,IF(B1839="Trialer",1,0))+IF(C1839="Customer",1,IF(C1839="Lost",1,0))=2,1,0)</f>
      </c>
      <c r="X1839" s="0" t="s">
        <v>142</v>
      </c>
      <c r="Y1839" s="0" t="s">
        <v>499</v>
      </c>
      <c r="AV1839" s="68"/>
      <c r="AW1839" s="68"/>
      <c r="AY1839" s="27"/>
      <c r="BD1839" s="68">
        <v>46054.1666666667</v>
      </c>
      <c r="BE1839" s="68">
        <v>46082.1666666667</v>
      </c>
      <c r="BF1839" s="0" t="b">
        <v>0</v>
      </c>
      <c r="BG1839" s="0" t="b">
        <v>0</v>
      </c>
      <c r="BH1839" s="0">
        <v>98</v>
      </c>
      <c r="BI1839" s="0">
        <v>98</v>
      </c>
      <c r="BJ1839" s="0" t="s">
        <v>135</v>
      </c>
    </row>
    <row r="1840">
      <c r="A1840" s="0" t="s">
        <v>2068</v>
      </c>
      <c r="B1840" s="0" t="s">
        <v>134</v>
      </c>
      <c r="C1840" s="0" t="s">
        <v>134</v>
      </c>
      <c r="D1840" s="0" t="s">
        <v>230</v>
      </c>
      <c r="E1840" s="0" t="s">
        <v>3</v>
      </c>
      <c r="F1840" s="0" t="s">
        <v>12</v>
      </c>
      <c r="G1840" s="0" t="s">
        <v>8</v>
      </c>
      <c r="H1840" s="0">
        <v>1121</v>
      </c>
      <c r="I1840" s="0">
        <v>274.5</v>
      </c>
      <c r="J1840" s="0">
        <v>0</v>
      </c>
      <c r="K1840" s="0">
        <v>1</v>
      </c>
      <c r="L1840" s="0">
        <v>4</v>
      </c>
      <c r="M1840" s="0">
        <v>5</v>
      </c>
      <c r="N1840" s="0">
        <v>0</v>
      </c>
      <c r="O1840" s="0">
        <v>0</v>
      </c>
      <c r="P1840" s="0">
        <v>3019.5</v>
      </c>
      <c r="R1840" s="0" t="b">
        <v>0</v>
      </c>
      <c r="S1840" s="0" t="b">
        <v>1</v>
      </c>
      <c r="T1840" s="68">
        <v>44932.5037731481</v>
      </c>
      <c r="U1840" s="68">
        <v>44946.2916666667</v>
      </c>
      <c r="V1840" s="68">
        <v>0</v>
      </c>
      <c r="W1840" s="0">
        <f>IF(IF(B1840="none",1,IF(B1840="Trialer",1,0))+IF(C1840="Customer",1,IF(C1840="Lost",1,0))=2,1,0)</f>
      </c>
      <c r="X1840" s="0" t="s">
        <v>148</v>
      </c>
      <c r="Y1840" s="0" t="s">
        <v>243</v>
      </c>
      <c r="AV1840" s="68"/>
      <c r="AW1840" s="68"/>
      <c r="AY1840" s="27"/>
      <c r="BD1840" s="68">
        <v>46054.1666666667</v>
      </c>
      <c r="BE1840" s="68">
        <v>46082.1666666667</v>
      </c>
      <c r="BF1840" s="0" t="b">
        <v>0</v>
      </c>
      <c r="BG1840" s="0" t="b">
        <v>0</v>
      </c>
      <c r="BH1840" s="0">
        <v>305</v>
      </c>
      <c r="BI1840" s="0">
        <v>305</v>
      </c>
      <c r="BJ1840" s="0" t="s">
        <v>230</v>
      </c>
    </row>
    <row r="1841">
      <c r="A1841" s="0" t="s">
        <v>2069</v>
      </c>
      <c r="B1841" s="0" t="s">
        <v>134</v>
      </c>
      <c r="C1841" s="0" t="s">
        <v>134</v>
      </c>
      <c r="D1841" s="0" t="s">
        <v>230</v>
      </c>
      <c r="E1841" s="0" t="s">
        <v>3</v>
      </c>
      <c r="F1841" s="0" t="s">
        <v>12</v>
      </c>
      <c r="G1841" s="0" t="s">
        <v>8</v>
      </c>
      <c r="H1841" s="0">
        <v>1119</v>
      </c>
      <c r="I1841" s="0">
        <v>274</v>
      </c>
      <c r="J1841" s="0">
        <v>0</v>
      </c>
      <c r="K1841" s="0">
        <v>1</v>
      </c>
      <c r="L1841" s="0">
        <v>4</v>
      </c>
      <c r="M1841" s="0">
        <v>6</v>
      </c>
      <c r="N1841" s="0">
        <v>0</v>
      </c>
      <c r="O1841" s="0">
        <v>0</v>
      </c>
      <c r="P1841" s="0">
        <v>-274</v>
      </c>
      <c r="R1841" s="0" t="b">
        <v>0</v>
      </c>
      <c r="S1841" s="0" t="b">
        <v>1</v>
      </c>
      <c r="T1841" s="68">
        <v>44934.612025463</v>
      </c>
      <c r="U1841" s="68">
        <v>44948.2916666667</v>
      </c>
      <c r="V1841" s="68">
        <v>0</v>
      </c>
      <c r="W1841" s="0">
        <f>IF(IF(B1841="none",1,IF(B1841="Trialer",1,0))+IF(C1841="Customer",1,IF(C1841="Lost",1,0))=2,1,0)</f>
      </c>
      <c r="X1841" s="0" t="s">
        <v>136</v>
      </c>
      <c r="Y1841" s="0" t="s">
        <v>243</v>
      </c>
      <c r="AV1841" s="68"/>
      <c r="AW1841" s="68"/>
      <c r="AY1841" s="27"/>
      <c r="BD1841" s="68">
        <v>46054.1666666667</v>
      </c>
      <c r="BE1841" s="68">
        <v>46082.1666666667</v>
      </c>
      <c r="BF1841" s="0" t="b">
        <v>0</v>
      </c>
      <c r="BG1841" s="0" t="b">
        <v>0</v>
      </c>
      <c r="BH1841" s="0">
        <v>306</v>
      </c>
      <c r="BI1841" s="0">
        <v>306</v>
      </c>
      <c r="BJ1841" s="0" t="s">
        <v>230</v>
      </c>
    </row>
    <row r="1842">
      <c r="A1842" s="0" t="s">
        <v>2070</v>
      </c>
      <c r="B1842" s="0" t="s">
        <v>134</v>
      </c>
      <c r="C1842" s="0" t="s">
        <v>134</v>
      </c>
      <c r="D1842" s="0" t="s">
        <v>135</v>
      </c>
      <c r="E1842" s="0" t="s">
        <v>3</v>
      </c>
      <c r="F1842" s="0" t="s">
        <v>12</v>
      </c>
      <c r="G1842" s="0" t="s">
        <v>8</v>
      </c>
      <c r="H1842" s="0">
        <v>1118</v>
      </c>
      <c r="I1842" s="0">
        <v>160</v>
      </c>
      <c r="J1842" s="0">
        <v>0</v>
      </c>
      <c r="K1842" s="0">
        <v>1</v>
      </c>
      <c r="L1842" s="0">
        <v>2</v>
      </c>
      <c r="M1842" s="0">
        <v>4</v>
      </c>
      <c r="N1842" s="0">
        <v>0</v>
      </c>
      <c r="O1842" s="0">
        <v>0</v>
      </c>
      <c r="P1842" s="0">
        <v>0</v>
      </c>
      <c r="R1842" s="0" t="b">
        <v>0</v>
      </c>
      <c r="S1842" s="0" t="b">
        <v>1</v>
      </c>
      <c r="T1842" s="68">
        <v>44935.4300115741</v>
      </c>
      <c r="U1842" s="68">
        <v>44949.2916666667</v>
      </c>
      <c r="V1842" s="68">
        <v>0</v>
      </c>
      <c r="W1842" s="0">
        <f>IF(IF(B1842="none",1,IF(B1842="Trialer",1,0))+IF(C1842="Customer",1,IF(C1842="Lost",1,0))=2,1,0)</f>
      </c>
      <c r="X1842" s="0" t="s">
        <v>145</v>
      </c>
      <c r="Y1842" s="0" t="s">
        <v>243</v>
      </c>
      <c r="AV1842" s="68"/>
      <c r="AW1842" s="68"/>
      <c r="AY1842" s="27"/>
      <c r="BD1842" s="68">
        <v>46054.1666666667</v>
      </c>
      <c r="BE1842" s="68">
        <v>46082.1666666667</v>
      </c>
      <c r="BF1842" s="0" t="b">
        <v>0</v>
      </c>
      <c r="BG1842" s="0" t="b">
        <v>0</v>
      </c>
      <c r="BH1842" s="0">
        <v>160</v>
      </c>
      <c r="BI1842" s="0">
        <v>160</v>
      </c>
      <c r="BJ1842" s="0" t="s">
        <v>135</v>
      </c>
    </row>
    <row r="1843">
      <c r="A1843" s="0" t="s">
        <v>2071</v>
      </c>
      <c r="B1843" s="0" t="s">
        <v>134</v>
      </c>
      <c r="C1843" s="0" t="s">
        <v>134</v>
      </c>
      <c r="D1843" s="0" t="s">
        <v>135</v>
      </c>
      <c r="E1843" s="0" t="s">
        <v>3</v>
      </c>
      <c r="F1843" s="0" t="s">
        <v>12</v>
      </c>
      <c r="G1843" s="0" t="s">
        <v>8</v>
      </c>
      <c r="H1843" s="0">
        <v>1118</v>
      </c>
      <c r="I1843" s="0">
        <v>219</v>
      </c>
      <c r="J1843" s="0">
        <v>0</v>
      </c>
      <c r="K1843" s="0">
        <v>1</v>
      </c>
      <c r="L1843" s="0">
        <v>5</v>
      </c>
      <c r="M1843" s="0">
        <v>3</v>
      </c>
      <c r="N1843" s="0">
        <v>0</v>
      </c>
      <c r="O1843" s="0">
        <v>0</v>
      </c>
      <c r="P1843" s="0">
        <v>0</v>
      </c>
      <c r="R1843" s="0" t="b">
        <v>0</v>
      </c>
      <c r="S1843" s="0" t="b">
        <v>1</v>
      </c>
      <c r="T1843" s="68">
        <v>44935.4470601852</v>
      </c>
      <c r="U1843" s="68">
        <v>44949.2916666667</v>
      </c>
      <c r="V1843" s="68">
        <v>0</v>
      </c>
      <c r="W1843" s="0">
        <f>IF(IF(B1843="none",1,IF(B1843="Trialer",1,0))+IF(C1843="Customer",1,IF(C1843="Lost",1,0))=2,1,0)</f>
      </c>
      <c r="X1843" s="0" t="s">
        <v>153</v>
      </c>
      <c r="Y1843" s="0" t="s">
        <v>243</v>
      </c>
      <c r="AV1843" s="68"/>
      <c r="AW1843" s="68"/>
      <c r="AY1843" s="27"/>
      <c r="BD1843" s="68">
        <v>46054.1666666667</v>
      </c>
      <c r="BE1843" s="68">
        <v>46082.1666666667</v>
      </c>
      <c r="BF1843" s="0" t="b">
        <v>0</v>
      </c>
      <c r="BG1843" s="0" t="b">
        <v>0</v>
      </c>
      <c r="BH1843" s="0">
        <v>219</v>
      </c>
      <c r="BI1843" s="0">
        <v>219</v>
      </c>
      <c r="BJ1843" s="0" t="s">
        <v>135</v>
      </c>
    </row>
    <row r="1844">
      <c r="A1844" s="0" t="s">
        <v>2072</v>
      </c>
      <c r="B1844" s="0" t="s">
        <v>134</v>
      </c>
      <c r="C1844" s="0" t="s">
        <v>134</v>
      </c>
      <c r="D1844" s="0" t="s">
        <v>135</v>
      </c>
      <c r="E1844" s="0" t="s">
        <v>2</v>
      </c>
      <c r="F1844" s="0" t="s">
        <v>12</v>
      </c>
      <c r="G1844" s="0" t="s">
        <v>8</v>
      </c>
      <c r="H1844" s="0">
        <v>1118</v>
      </c>
      <c r="I1844" s="0">
        <v>964</v>
      </c>
      <c r="J1844" s="0">
        <v>0</v>
      </c>
      <c r="K1844" s="0">
        <v>1</v>
      </c>
      <c r="L1844" s="0">
        <v>6</v>
      </c>
      <c r="M1844" s="0">
        <v>18</v>
      </c>
      <c r="N1844" s="0">
        <v>1305</v>
      </c>
      <c r="O1844" s="0">
        <v>0</v>
      </c>
      <c r="P1844" s="0">
        <v>0</v>
      </c>
      <c r="R1844" s="0" t="b">
        <v>0</v>
      </c>
      <c r="S1844" s="0" t="b">
        <v>1</v>
      </c>
      <c r="T1844" s="68">
        <v>44935.5534722222</v>
      </c>
      <c r="U1844" s="68">
        <v>44949.2916666667</v>
      </c>
      <c r="V1844" s="68">
        <v>0</v>
      </c>
      <c r="W1844" s="0">
        <f>IF(IF(B1844="none",1,IF(B1844="Trialer",1,0))+IF(C1844="Customer",1,IF(C1844="Lost",1,0))=2,1,0)</f>
      </c>
      <c r="X1844" s="0" t="s">
        <v>148</v>
      </c>
      <c r="Y1844" s="0" t="s">
        <v>499</v>
      </c>
      <c r="AV1844" s="68"/>
      <c r="AW1844" s="68"/>
      <c r="AY1844" s="27"/>
      <c r="BD1844" s="68">
        <v>46054.1666666667</v>
      </c>
      <c r="BE1844" s="68">
        <v>46082.1666666667</v>
      </c>
      <c r="BF1844" s="0" t="b">
        <v>0</v>
      </c>
      <c r="BG1844" s="0" t="b">
        <v>0</v>
      </c>
      <c r="BH1844" s="0">
        <v>964</v>
      </c>
      <c r="BI1844" s="0">
        <v>964</v>
      </c>
      <c r="BJ1844" s="0" t="s">
        <v>135</v>
      </c>
    </row>
    <row r="1845">
      <c r="A1845" s="0" t="s">
        <v>2073</v>
      </c>
      <c r="B1845" s="0" t="s">
        <v>134</v>
      </c>
      <c r="C1845" s="0" t="s">
        <v>134</v>
      </c>
      <c r="D1845" s="0" t="s">
        <v>230</v>
      </c>
      <c r="E1845" s="0" t="s">
        <v>2</v>
      </c>
      <c r="F1845" s="0" t="s">
        <v>10</v>
      </c>
      <c r="G1845" s="0" t="s">
        <v>8</v>
      </c>
      <c r="H1845" s="0">
        <v>1118</v>
      </c>
      <c r="I1845" s="0">
        <v>173</v>
      </c>
      <c r="J1845" s="0">
        <v>0</v>
      </c>
      <c r="K1845" s="0">
        <v>1</v>
      </c>
      <c r="L1845" s="0">
        <v>3</v>
      </c>
      <c r="M1845" s="0">
        <v>4</v>
      </c>
      <c r="N1845" s="0">
        <v>0</v>
      </c>
      <c r="O1845" s="0">
        <v>0</v>
      </c>
      <c r="P1845" s="0">
        <v>-173</v>
      </c>
      <c r="Q1845" s="0" t="s">
        <v>294</v>
      </c>
      <c r="R1845" s="0" t="b">
        <v>0</v>
      </c>
      <c r="S1845" s="0" t="b">
        <v>1</v>
      </c>
      <c r="T1845" s="68">
        <v>44935.7138194444</v>
      </c>
      <c r="U1845" s="68">
        <v>44949.2916666667</v>
      </c>
      <c r="V1845" s="68">
        <v>0</v>
      </c>
      <c r="W1845" s="0">
        <f>IF(IF(B1845="none",1,IF(B1845="Trialer",1,0))+IF(C1845="Customer",1,IF(C1845="Lost",1,0))=2,1,0)</f>
      </c>
      <c r="X1845" s="0" t="s">
        <v>148</v>
      </c>
      <c r="Y1845" s="0" t="s">
        <v>499</v>
      </c>
      <c r="AV1845" s="68"/>
      <c r="AW1845" s="68"/>
      <c r="AY1845" s="27"/>
      <c r="BD1845" s="68">
        <v>46054.1666666667</v>
      </c>
      <c r="BE1845" s="68">
        <v>46082.1666666667</v>
      </c>
      <c r="BF1845" s="0" t="b">
        <v>0</v>
      </c>
      <c r="BG1845" s="0" t="b">
        <v>0</v>
      </c>
      <c r="BH1845" s="0">
        <v>196</v>
      </c>
      <c r="BI1845" s="0">
        <v>196</v>
      </c>
      <c r="BJ1845" s="0" t="s">
        <v>230</v>
      </c>
    </row>
    <row r="1846">
      <c r="A1846" s="0" t="s">
        <v>2074</v>
      </c>
      <c r="B1846" s="0" t="s">
        <v>134</v>
      </c>
      <c r="C1846" s="0" t="s">
        <v>134</v>
      </c>
      <c r="D1846" s="0" t="s">
        <v>135</v>
      </c>
      <c r="E1846" s="0" t="s">
        <v>3</v>
      </c>
      <c r="F1846" s="0" t="s">
        <v>12</v>
      </c>
      <c r="G1846" s="0" t="s">
        <v>8</v>
      </c>
      <c r="H1846" s="0">
        <v>1118</v>
      </c>
      <c r="I1846" s="0">
        <v>151</v>
      </c>
      <c r="J1846" s="0">
        <v>0</v>
      </c>
      <c r="K1846" s="0">
        <v>1</v>
      </c>
      <c r="L1846" s="0">
        <v>3</v>
      </c>
      <c r="M1846" s="0">
        <v>4</v>
      </c>
      <c r="N1846" s="0">
        <v>0</v>
      </c>
      <c r="O1846" s="0">
        <v>0</v>
      </c>
      <c r="P1846" s="0">
        <v>0</v>
      </c>
      <c r="R1846" s="0" t="b">
        <v>0</v>
      </c>
      <c r="S1846" s="0" t="b">
        <v>1</v>
      </c>
      <c r="T1846" s="68">
        <v>44935.7469444444</v>
      </c>
      <c r="U1846" s="68">
        <v>44959.2916666667</v>
      </c>
      <c r="V1846" s="68">
        <v>0</v>
      </c>
      <c r="W1846" s="0">
        <f>IF(IF(B1846="none",1,IF(B1846="Trialer",1,0))+IF(C1846="Customer",1,IF(C1846="Lost",1,0))=2,1,0)</f>
      </c>
      <c r="X1846" s="0" t="s">
        <v>148</v>
      </c>
      <c r="Y1846" s="0" t="s">
        <v>243</v>
      </c>
      <c r="AV1846" s="68"/>
      <c r="AW1846" s="68"/>
      <c r="AY1846" s="27"/>
      <c r="BD1846" s="68">
        <v>46054.1666666667</v>
      </c>
      <c r="BE1846" s="68">
        <v>46082.1666666667</v>
      </c>
      <c r="BF1846" s="0" t="b">
        <v>0</v>
      </c>
      <c r="BG1846" s="0" t="b">
        <v>0</v>
      </c>
      <c r="BH1846" s="0">
        <v>151</v>
      </c>
      <c r="BI1846" s="0">
        <v>151</v>
      </c>
      <c r="BJ1846" s="0" t="s">
        <v>135</v>
      </c>
    </row>
    <row r="1847">
      <c r="A1847" s="0" t="s">
        <v>2075</v>
      </c>
      <c r="B1847" s="0" t="s">
        <v>134</v>
      </c>
      <c r="C1847" s="0" t="s">
        <v>134</v>
      </c>
      <c r="D1847" s="0" t="s">
        <v>230</v>
      </c>
      <c r="E1847" s="0" t="s">
        <v>2</v>
      </c>
      <c r="F1847" s="0" t="s">
        <v>12</v>
      </c>
      <c r="G1847" s="0" t="s">
        <v>8</v>
      </c>
      <c r="H1847" s="0">
        <v>1118</v>
      </c>
      <c r="I1847" s="0">
        <v>338</v>
      </c>
      <c r="J1847" s="0">
        <v>0</v>
      </c>
      <c r="K1847" s="0">
        <v>1</v>
      </c>
      <c r="L1847" s="0">
        <v>4</v>
      </c>
      <c r="M1847" s="0">
        <v>7</v>
      </c>
      <c r="N1847" s="0">
        <v>0</v>
      </c>
      <c r="O1847" s="0">
        <v>0</v>
      </c>
      <c r="P1847" s="0">
        <v>-338</v>
      </c>
      <c r="R1847" s="0" t="b">
        <v>0</v>
      </c>
      <c r="S1847" s="0" t="b">
        <v>1</v>
      </c>
      <c r="T1847" s="68">
        <v>44935.8664583333</v>
      </c>
      <c r="U1847" s="68">
        <v>44957.2916666667</v>
      </c>
      <c r="V1847" s="68">
        <v>0</v>
      </c>
      <c r="W1847" s="0">
        <f>IF(IF(B1847="none",1,IF(B1847="Trialer",1,0))+IF(C1847="Customer",1,IF(C1847="Lost",1,0))=2,1,0)</f>
      </c>
      <c r="X1847" s="0" t="s">
        <v>136</v>
      </c>
      <c r="Y1847" s="0" t="s">
        <v>499</v>
      </c>
      <c r="AV1847" s="68"/>
      <c r="AW1847" s="68"/>
      <c r="AY1847" s="27"/>
      <c r="BD1847" s="68">
        <v>46054.1666666667</v>
      </c>
      <c r="BE1847" s="68">
        <v>46082.1666666667</v>
      </c>
      <c r="BF1847" s="0" t="b">
        <v>0</v>
      </c>
      <c r="BG1847" s="0" t="b">
        <v>0</v>
      </c>
      <c r="BH1847" s="0">
        <v>330</v>
      </c>
      <c r="BI1847" s="0">
        <v>330</v>
      </c>
      <c r="BJ1847" s="0" t="s">
        <v>230</v>
      </c>
    </row>
    <row r="1848">
      <c r="A1848" s="0" t="s">
        <v>2076</v>
      </c>
      <c r="B1848" s="0" t="s">
        <v>134</v>
      </c>
      <c r="C1848" s="0" t="s">
        <v>134</v>
      </c>
      <c r="D1848" s="0" t="s">
        <v>230</v>
      </c>
      <c r="E1848" s="0" t="s">
        <v>3</v>
      </c>
      <c r="F1848" s="0" t="s">
        <v>12</v>
      </c>
      <c r="G1848" s="0" t="s">
        <v>8</v>
      </c>
      <c r="H1848" s="0">
        <v>1117</v>
      </c>
      <c r="I1848" s="0">
        <v>451</v>
      </c>
      <c r="J1848" s="0">
        <v>0</v>
      </c>
      <c r="K1848" s="0">
        <v>1</v>
      </c>
      <c r="L1848" s="0">
        <v>4</v>
      </c>
      <c r="M1848" s="0">
        <v>3</v>
      </c>
      <c r="N1848" s="0">
        <v>0</v>
      </c>
      <c r="O1848" s="0">
        <v>0</v>
      </c>
      <c r="P1848" s="0">
        <v>-126</v>
      </c>
      <c r="R1848" s="0" t="b">
        <v>0</v>
      </c>
      <c r="S1848" s="0" t="b">
        <v>1</v>
      </c>
      <c r="T1848" s="68">
        <v>44936.4770833333</v>
      </c>
      <c r="U1848" s="68">
        <v>44949.2916666667</v>
      </c>
      <c r="V1848" s="68">
        <v>0</v>
      </c>
      <c r="W1848" s="0">
        <f>IF(IF(B1848="none",1,IF(B1848="Trialer",1,0))+IF(C1848="Customer",1,IF(C1848="Lost",1,0))=2,1,0)</f>
      </c>
      <c r="X1848" s="0" t="s">
        <v>882</v>
      </c>
      <c r="Y1848" s="0" t="s">
        <v>243</v>
      </c>
      <c r="AV1848" s="68"/>
      <c r="AW1848" s="68"/>
      <c r="AY1848" s="27"/>
      <c r="BD1848" s="68">
        <v>46054.1666666667</v>
      </c>
      <c r="BE1848" s="68">
        <v>46082.1666666667</v>
      </c>
      <c r="BF1848" s="0" t="b">
        <v>0</v>
      </c>
      <c r="BG1848" s="0" t="b">
        <v>0</v>
      </c>
      <c r="BH1848" s="0">
        <v>141</v>
      </c>
      <c r="BI1848" s="0">
        <v>141</v>
      </c>
      <c r="BJ1848" s="0" t="s">
        <v>230</v>
      </c>
    </row>
    <row r="1849">
      <c r="A1849" s="0" t="s">
        <v>2077</v>
      </c>
      <c r="B1849" s="0" t="s">
        <v>134</v>
      </c>
      <c r="C1849" s="0" t="s">
        <v>134</v>
      </c>
      <c r="D1849" s="0" t="s">
        <v>230</v>
      </c>
      <c r="E1849" s="0" t="s">
        <v>3</v>
      </c>
      <c r="F1849" s="0" t="s">
        <v>12</v>
      </c>
      <c r="G1849" s="0" t="s">
        <v>8</v>
      </c>
      <c r="H1849" s="0">
        <v>1117</v>
      </c>
      <c r="I1849" s="0">
        <v>165.6</v>
      </c>
      <c r="J1849" s="0">
        <v>0</v>
      </c>
      <c r="K1849" s="0">
        <v>1</v>
      </c>
      <c r="L1849" s="0">
        <v>4</v>
      </c>
      <c r="M1849" s="0">
        <v>4</v>
      </c>
      <c r="N1849" s="0">
        <v>0</v>
      </c>
      <c r="O1849" s="0">
        <v>0</v>
      </c>
      <c r="P1849" s="0">
        <v>-165.6</v>
      </c>
      <c r="R1849" s="0" t="b">
        <v>0</v>
      </c>
      <c r="S1849" s="0" t="b">
        <v>1</v>
      </c>
      <c r="T1849" s="68">
        <v>44936.599224537</v>
      </c>
      <c r="U1849" s="68">
        <v>44960.2916666667</v>
      </c>
      <c r="V1849" s="68">
        <v>0</v>
      </c>
      <c r="W1849" s="0">
        <f>IF(IF(B1849="none",1,IF(B1849="Trialer",1,0))+IF(C1849="Customer",1,IF(C1849="Lost",1,0))=2,1,0)</f>
      </c>
      <c r="X1849" s="0" t="s">
        <v>145</v>
      </c>
      <c r="Y1849" s="0" t="s">
        <v>243</v>
      </c>
      <c r="AV1849" s="68"/>
      <c r="AW1849" s="68"/>
      <c r="AY1849" s="27"/>
      <c r="BD1849" s="68">
        <v>46054.1666666667</v>
      </c>
      <c r="BE1849" s="68">
        <v>46082.1666666667</v>
      </c>
      <c r="BF1849" s="0" t="b">
        <v>0</v>
      </c>
      <c r="BG1849" s="0" t="b">
        <v>0</v>
      </c>
      <c r="BH1849" s="0">
        <v>184</v>
      </c>
      <c r="BI1849" s="0">
        <v>184</v>
      </c>
      <c r="BJ1849" s="0" t="s">
        <v>230</v>
      </c>
    </row>
    <row r="1850">
      <c r="A1850" s="0" t="s">
        <v>2078</v>
      </c>
      <c r="B1850" s="0" t="s">
        <v>134</v>
      </c>
      <c r="C1850" s="0" t="s">
        <v>134</v>
      </c>
      <c r="D1850" s="0" t="s">
        <v>135</v>
      </c>
      <c r="E1850" s="0" t="s">
        <v>3</v>
      </c>
      <c r="F1850" s="0" t="s">
        <v>12</v>
      </c>
      <c r="G1850" s="0" t="s">
        <v>8</v>
      </c>
      <c r="H1850" s="0">
        <v>1117</v>
      </c>
      <c r="I1850" s="0">
        <v>175</v>
      </c>
      <c r="J1850" s="0">
        <v>0</v>
      </c>
      <c r="K1850" s="0">
        <v>1</v>
      </c>
      <c r="L1850" s="0">
        <v>4</v>
      </c>
      <c r="M1850" s="0">
        <v>4</v>
      </c>
      <c r="N1850" s="0">
        <v>0</v>
      </c>
      <c r="O1850" s="0">
        <v>0</v>
      </c>
      <c r="P1850" s="0">
        <v>0</v>
      </c>
      <c r="R1850" s="0" t="b">
        <v>0</v>
      </c>
      <c r="S1850" s="0" t="b">
        <v>1</v>
      </c>
      <c r="T1850" s="68">
        <v>44936.6415393519</v>
      </c>
      <c r="U1850" s="68">
        <v>44950.2916666667</v>
      </c>
      <c r="V1850" s="68">
        <v>0</v>
      </c>
      <c r="W1850" s="0">
        <f>IF(IF(B1850="none",1,IF(B1850="Trialer",1,0))+IF(C1850="Customer",1,IF(C1850="Lost",1,0))=2,1,0)</f>
      </c>
      <c r="X1850" s="0" t="s">
        <v>148</v>
      </c>
      <c r="Y1850" s="0" t="s">
        <v>243</v>
      </c>
      <c r="AV1850" s="68"/>
      <c r="AW1850" s="68"/>
      <c r="AY1850" s="27"/>
      <c r="BD1850" s="68">
        <v>46054.1666666667</v>
      </c>
      <c r="BE1850" s="68">
        <v>46082.1666666667</v>
      </c>
      <c r="BF1850" s="0" t="b">
        <v>0</v>
      </c>
      <c r="BG1850" s="0" t="b">
        <v>0</v>
      </c>
      <c r="BH1850" s="0">
        <v>220</v>
      </c>
      <c r="BI1850" s="0">
        <v>220</v>
      </c>
      <c r="BJ1850" s="0" t="s">
        <v>135</v>
      </c>
    </row>
    <row r="1851">
      <c r="A1851" s="0" t="s">
        <v>2079</v>
      </c>
      <c r="B1851" s="0" t="s">
        <v>134</v>
      </c>
      <c r="C1851" s="0" t="s">
        <v>134</v>
      </c>
      <c r="D1851" s="0" t="s">
        <v>135</v>
      </c>
      <c r="E1851" s="0" t="s">
        <v>3</v>
      </c>
      <c r="F1851" s="0" t="s">
        <v>12</v>
      </c>
      <c r="G1851" s="0" t="s">
        <v>8</v>
      </c>
      <c r="H1851" s="0">
        <v>1116</v>
      </c>
      <c r="I1851" s="0">
        <v>28</v>
      </c>
      <c r="J1851" s="0">
        <v>0</v>
      </c>
      <c r="K1851" s="0">
        <v>1</v>
      </c>
      <c r="L1851" s="0">
        <v>1</v>
      </c>
      <c r="M1851" s="0">
        <v>1</v>
      </c>
      <c r="N1851" s="0">
        <v>0</v>
      </c>
      <c r="O1851" s="0">
        <v>0</v>
      </c>
      <c r="P1851" s="0">
        <v>0</v>
      </c>
      <c r="R1851" s="0" t="b">
        <v>0</v>
      </c>
      <c r="S1851" s="0" t="b">
        <v>1</v>
      </c>
      <c r="T1851" s="68">
        <v>44937.5127314815</v>
      </c>
      <c r="U1851" s="68">
        <v>44951.2916666667</v>
      </c>
      <c r="V1851" s="68">
        <v>0</v>
      </c>
      <c r="W1851" s="0">
        <f>IF(IF(B1851="none",1,IF(B1851="Trialer",1,0))+IF(C1851="Customer",1,IF(C1851="Lost",1,0))=2,1,0)</f>
      </c>
      <c r="X1851" s="0" t="s">
        <v>142</v>
      </c>
      <c r="Y1851" s="0" t="s">
        <v>487</v>
      </c>
      <c r="AV1851" s="68"/>
      <c r="AW1851" s="68"/>
      <c r="AY1851" s="27"/>
      <c r="BD1851" s="68">
        <v>46054.1666666667</v>
      </c>
      <c r="BE1851" s="68">
        <v>46082.1666666667</v>
      </c>
      <c r="BF1851" s="0" t="b">
        <v>0</v>
      </c>
      <c r="BG1851" s="0" t="b">
        <v>0</v>
      </c>
      <c r="BH1851" s="0">
        <v>28</v>
      </c>
      <c r="BI1851" s="0">
        <v>28</v>
      </c>
      <c r="BJ1851" s="0" t="s">
        <v>135</v>
      </c>
    </row>
    <row r="1852">
      <c r="A1852" s="0" t="s">
        <v>2080</v>
      </c>
      <c r="B1852" s="0" t="s">
        <v>134</v>
      </c>
      <c r="C1852" s="0" t="s">
        <v>134</v>
      </c>
      <c r="D1852" s="0" t="s">
        <v>135</v>
      </c>
      <c r="E1852" s="0" t="s">
        <v>3</v>
      </c>
      <c r="F1852" s="0" t="s">
        <v>11</v>
      </c>
      <c r="G1852" s="0" t="s">
        <v>8</v>
      </c>
      <c r="H1852" s="0">
        <v>1116</v>
      </c>
      <c r="I1852" s="0">
        <v>196</v>
      </c>
      <c r="J1852" s="0">
        <v>0</v>
      </c>
      <c r="K1852" s="0">
        <v>1</v>
      </c>
      <c r="L1852" s="0">
        <v>3</v>
      </c>
      <c r="M1852" s="0">
        <v>5</v>
      </c>
      <c r="N1852" s="0">
        <v>0</v>
      </c>
      <c r="O1852" s="0">
        <v>0</v>
      </c>
      <c r="P1852" s="0">
        <v>0</v>
      </c>
      <c r="Q1852" s="0" t="s">
        <v>1743</v>
      </c>
      <c r="R1852" s="0" t="b">
        <v>1</v>
      </c>
      <c r="S1852" s="0" t="b">
        <v>1</v>
      </c>
      <c r="T1852" s="68">
        <v>44937.5256828704</v>
      </c>
      <c r="U1852" s="68">
        <v>44937.2916666667</v>
      </c>
      <c r="V1852" s="68">
        <v>0</v>
      </c>
      <c r="W1852" s="0">
        <f>IF(IF(B1852="none",1,IF(B1852="Trialer",1,0))+IF(C1852="Customer",1,IF(C1852="Lost",1,0))=2,1,0)</f>
      </c>
      <c r="X1852" s="0" t="s">
        <v>145</v>
      </c>
      <c r="Y1852" s="0" t="s">
        <v>243</v>
      </c>
      <c r="AV1852" s="68"/>
      <c r="AW1852" s="68"/>
      <c r="AY1852" s="27"/>
      <c r="BD1852" s="68">
        <v>46054.1666666667</v>
      </c>
      <c r="BE1852" s="68">
        <v>46082.1666666667</v>
      </c>
      <c r="BF1852" s="0" t="b">
        <v>0</v>
      </c>
      <c r="BG1852" s="0" t="b">
        <v>0</v>
      </c>
      <c r="BH1852" s="0">
        <v>196</v>
      </c>
      <c r="BI1852" s="0">
        <v>196</v>
      </c>
      <c r="BJ1852" s="0" t="s">
        <v>135</v>
      </c>
    </row>
    <row r="1853">
      <c r="A1853" s="0" t="s">
        <v>2081</v>
      </c>
      <c r="B1853" s="0" t="s">
        <v>134</v>
      </c>
      <c r="C1853" s="0" t="s">
        <v>134</v>
      </c>
      <c r="D1853" s="0" t="s">
        <v>135</v>
      </c>
      <c r="E1853" s="0" t="s">
        <v>3</v>
      </c>
      <c r="F1853" s="0" t="s">
        <v>12</v>
      </c>
      <c r="G1853" s="0" t="s">
        <v>8</v>
      </c>
      <c r="H1853" s="0">
        <v>1115</v>
      </c>
      <c r="I1853" s="0">
        <v>28</v>
      </c>
      <c r="J1853" s="0">
        <v>0</v>
      </c>
      <c r="K1853" s="0">
        <v>1</v>
      </c>
      <c r="L1853" s="0">
        <v>1</v>
      </c>
      <c r="M1853" s="0">
        <v>1</v>
      </c>
      <c r="N1853" s="0">
        <v>0</v>
      </c>
      <c r="O1853" s="0">
        <v>0</v>
      </c>
      <c r="P1853" s="0">
        <v>0</v>
      </c>
      <c r="R1853" s="0" t="b">
        <v>0</v>
      </c>
      <c r="S1853" s="0" t="b">
        <v>1</v>
      </c>
      <c r="T1853" s="68">
        <v>44938.6409722222</v>
      </c>
      <c r="U1853" s="68">
        <v>44952.2916666667</v>
      </c>
      <c r="V1853" s="68">
        <v>0</v>
      </c>
      <c r="W1853" s="0">
        <f>IF(IF(B1853="none",1,IF(B1853="Trialer",1,0))+IF(C1853="Customer",1,IF(C1853="Lost",1,0))=2,1,0)</f>
      </c>
      <c r="X1853" s="0" t="s">
        <v>142</v>
      </c>
      <c r="Y1853" s="0" t="s">
        <v>487</v>
      </c>
      <c r="AV1853" s="68"/>
      <c r="AW1853" s="68"/>
      <c r="AY1853" s="27"/>
      <c r="BD1853" s="68">
        <v>46054.1666666667</v>
      </c>
      <c r="BE1853" s="68">
        <v>46082.1666666667</v>
      </c>
      <c r="BF1853" s="0" t="b">
        <v>0</v>
      </c>
      <c r="BG1853" s="0" t="b">
        <v>0</v>
      </c>
      <c r="BH1853" s="0">
        <v>28</v>
      </c>
      <c r="BI1853" s="0">
        <v>28</v>
      </c>
      <c r="BJ1853" s="0" t="s">
        <v>135</v>
      </c>
    </row>
    <row r="1854">
      <c r="A1854" s="0" t="s">
        <v>2082</v>
      </c>
      <c r="B1854" s="0" t="s">
        <v>134</v>
      </c>
      <c r="C1854" s="0" t="s">
        <v>134</v>
      </c>
      <c r="D1854" s="0" t="s">
        <v>135</v>
      </c>
      <c r="E1854" s="0" t="s">
        <v>3</v>
      </c>
      <c r="F1854" s="0" t="s">
        <v>12</v>
      </c>
      <c r="G1854" s="0" t="s">
        <v>8</v>
      </c>
      <c r="H1854" s="0">
        <v>1115</v>
      </c>
      <c r="I1854" s="0">
        <v>56</v>
      </c>
      <c r="J1854" s="0">
        <v>0</v>
      </c>
      <c r="K1854" s="0">
        <v>1</v>
      </c>
      <c r="L1854" s="0">
        <v>1</v>
      </c>
      <c r="M1854" s="0">
        <v>2</v>
      </c>
      <c r="N1854" s="0">
        <v>0</v>
      </c>
      <c r="O1854" s="0">
        <v>0</v>
      </c>
      <c r="P1854" s="0">
        <v>0</v>
      </c>
      <c r="R1854" s="0" t="b">
        <v>0</v>
      </c>
      <c r="S1854" s="0" t="b">
        <v>1</v>
      </c>
      <c r="T1854" s="68">
        <v>44938.8784375</v>
      </c>
      <c r="U1854" s="68">
        <v>44957.2916666667</v>
      </c>
      <c r="V1854" s="68">
        <v>0</v>
      </c>
      <c r="W1854" s="0">
        <f>IF(IF(B1854="none",1,IF(B1854="Trialer",1,0))+IF(C1854="Customer",1,IF(C1854="Lost",1,0))=2,1,0)</f>
      </c>
      <c r="X1854" s="0" t="s">
        <v>166</v>
      </c>
      <c r="Y1854" s="0" t="s">
        <v>487</v>
      </c>
      <c r="AV1854" s="68"/>
      <c r="AW1854" s="68"/>
      <c r="AY1854" s="27"/>
      <c r="BD1854" s="68">
        <v>46054.1666666667</v>
      </c>
      <c r="BE1854" s="68">
        <v>46082.1666666667</v>
      </c>
      <c r="BF1854" s="0" t="b">
        <v>0</v>
      </c>
      <c r="BG1854" s="0" t="b">
        <v>0</v>
      </c>
      <c r="BH1854" s="0">
        <v>56</v>
      </c>
      <c r="BI1854" s="0">
        <v>56</v>
      </c>
      <c r="BJ1854" s="0" t="s">
        <v>135</v>
      </c>
    </row>
    <row r="1855">
      <c r="A1855" s="0" t="s">
        <v>2083</v>
      </c>
      <c r="B1855" s="0" t="s">
        <v>134</v>
      </c>
      <c r="C1855" s="0" t="s">
        <v>134</v>
      </c>
      <c r="D1855" s="0" t="s">
        <v>230</v>
      </c>
      <c r="E1855" s="0" t="s">
        <v>2</v>
      </c>
      <c r="F1855" s="0" t="s">
        <v>12</v>
      </c>
      <c r="G1855" s="0" t="s">
        <v>8</v>
      </c>
      <c r="H1855" s="0">
        <v>1114</v>
      </c>
      <c r="I1855" s="0">
        <v>306</v>
      </c>
      <c r="J1855" s="0">
        <v>0</v>
      </c>
      <c r="K1855" s="0">
        <v>1</v>
      </c>
      <c r="L1855" s="0">
        <v>6</v>
      </c>
      <c r="M1855" s="0">
        <v>4</v>
      </c>
      <c r="N1855" s="0">
        <v>0</v>
      </c>
      <c r="O1855" s="0">
        <v>0</v>
      </c>
      <c r="P1855" s="0">
        <v>-306</v>
      </c>
      <c r="R1855" s="0" t="b">
        <v>0</v>
      </c>
      <c r="S1855" s="0" t="b">
        <v>1</v>
      </c>
      <c r="T1855" s="68">
        <v>44939.4007407407</v>
      </c>
      <c r="U1855" s="68">
        <v>44956.2916666667</v>
      </c>
      <c r="V1855" s="68">
        <v>0</v>
      </c>
      <c r="W1855" s="0">
        <f>IF(IF(B1855="none",1,IF(B1855="Trialer",1,0))+IF(C1855="Customer",1,IF(C1855="Lost",1,0))=2,1,0)</f>
      </c>
      <c r="X1855" s="0" t="s">
        <v>148</v>
      </c>
      <c r="Y1855" s="0" t="s">
        <v>499</v>
      </c>
      <c r="AV1855" s="68"/>
      <c r="AW1855" s="68"/>
      <c r="AY1855" s="27"/>
      <c r="BD1855" s="68">
        <v>46054.1666666667</v>
      </c>
      <c r="BE1855" s="68">
        <v>46082.1666666667</v>
      </c>
      <c r="BF1855" s="0" t="b">
        <v>0</v>
      </c>
      <c r="BG1855" s="0" t="b">
        <v>0</v>
      </c>
      <c r="BH1855" s="0">
        <v>340</v>
      </c>
      <c r="BI1855" s="0">
        <v>340</v>
      </c>
      <c r="BJ1855" s="0" t="s">
        <v>230</v>
      </c>
    </row>
    <row r="1856">
      <c r="A1856" s="0" t="s">
        <v>2084</v>
      </c>
      <c r="B1856" s="0" t="s">
        <v>134</v>
      </c>
      <c r="C1856" s="0" t="s">
        <v>134</v>
      </c>
      <c r="D1856" s="0" t="s">
        <v>135</v>
      </c>
      <c r="E1856" s="0" t="s">
        <v>3</v>
      </c>
      <c r="F1856" s="0" t="s">
        <v>10</v>
      </c>
      <c r="G1856" s="0" t="s">
        <v>8</v>
      </c>
      <c r="H1856" s="0">
        <v>1114</v>
      </c>
      <c r="I1856" s="0">
        <v>28</v>
      </c>
      <c r="J1856" s="0">
        <v>0</v>
      </c>
      <c r="K1856" s="0">
        <v>1</v>
      </c>
      <c r="L1856" s="0">
        <v>1</v>
      </c>
      <c r="M1856" s="0">
        <v>1</v>
      </c>
      <c r="N1856" s="0">
        <v>0</v>
      </c>
      <c r="O1856" s="0">
        <v>0</v>
      </c>
      <c r="P1856" s="0">
        <v>0</v>
      </c>
      <c r="Q1856" s="0" t="s">
        <v>618</v>
      </c>
      <c r="R1856" s="0" t="b">
        <v>0</v>
      </c>
      <c r="S1856" s="0" t="b">
        <v>1</v>
      </c>
      <c r="T1856" s="68">
        <v>44939.5802430556</v>
      </c>
      <c r="U1856" s="68">
        <v>44953.2916666667</v>
      </c>
      <c r="V1856" s="68">
        <v>0</v>
      </c>
      <c r="W1856" s="0">
        <f>IF(IF(B1856="none",1,IF(B1856="Trialer",1,0))+IF(C1856="Customer",1,IF(C1856="Lost",1,0))=2,1,0)</f>
      </c>
      <c r="X1856" s="0" t="s">
        <v>148</v>
      </c>
      <c r="Y1856" s="0" t="s">
        <v>243</v>
      </c>
      <c r="AV1856" s="68"/>
      <c r="AW1856" s="68"/>
      <c r="AY1856" s="27"/>
      <c r="BD1856" s="68">
        <v>46054.1666666667</v>
      </c>
      <c r="BE1856" s="68">
        <v>46082.1666666667</v>
      </c>
      <c r="BF1856" s="0" t="b">
        <v>0</v>
      </c>
      <c r="BG1856" s="0" t="b">
        <v>0</v>
      </c>
      <c r="BH1856" s="0">
        <v>28</v>
      </c>
      <c r="BI1856" s="0">
        <v>28</v>
      </c>
      <c r="BJ1856" s="0" t="s">
        <v>135</v>
      </c>
    </row>
    <row r="1857">
      <c r="A1857" s="0" t="s">
        <v>2085</v>
      </c>
      <c r="B1857" s="0" t="s">
        <v>134</v>
      </c>
      <c r="C1857" s="0" t="s">
        <v>134</v>
      </c>
      <c r="D1857" s="0" t="s">
        <v>135</v>
      </c>
      <c r="E1857" s="0" t="s">
        <v>2</v>
      </c>
      <c r="F1857" s="0" t="s">
        <v>12</v>
      </c>
      <c r="G1857" s="0" t="s">
        <v>8</v>
      </c>
      <c r="H1857" s="0">
        <v>1113</v>
      </c>
      <c r="I1857" s="0">
        <v>61</v>
      </c>
      <c r="J1857" s="0">
        <v>0</v>
      </c>
      <c r="K1857" s="0">
        <v>1</v>
      </c>
      <c r="L1857" s="0">
        <v>4</v>
      </c>
      <c r="M1857" s="0">
        <v>1</v>
      </c>
      <c r="N1857" s="0">
        <v>0</v>
      </c>
      <c r="O1857" s="0">
        <v>0</v>
      </c>
      <c r="P1857" s="0">
        <v>0</v>
      </c>
      <c r="R1857" s="0" t="b">
        <v>0</v>
      </c>
      <c r="S1857" s="0" t="b">
        <v>1</v>
      </c>
      <c r="T1857" s="68">
        <v>44940.4938888889</v>
      </c>
      <c r="U1857" s="68">
        <v>44961.2916666667</v>
      </c>
      <c r="V1857" s="68">
        <v>0</v>
      </c>
      <c r="W1857" s="0">
        <f>IF(IF(B1857="none",1,IF(B1857="Trialer",1,0))+IF(C1857="Customer",1,IF(C1857="Lost",1,0))=2,1,0)</f>
      </c>
      <c r="X1857" s="0" t="s">
        <v>153</v>
      </c>
      <c r="Y1857" s="0" t="s">
        <v>499</v>
      </c>
      <c r="AV1857" s="68"/>
      <c r="AW1857" s="68"/>
      <c r="AY1857" s="27"/>
      <c r="BD1857" s="68">
        <v>46054.1666666667</v>
      </c>
      <c r="BE1857" s="68">
        <v>46082.1666666667</v>
      </c>
      <c r="BF1857" s="0" t="b">
        <v>0</v>
      </c>
      <c r="BG1857" s="0" t="b">
        <v>0</v>
      </c>
      <c r="BH1857" s="0">
        <v>61</v>
      </c>
      <c r="BI1857" s="0">
        <v>61</v>
      </c>
      <c r="BJ1857" s="0" t="s">
        <v>135</v>
      </c>
    </row>
    <row r="1858">
      <c r="A1858" s="0" t="s">
        <v>2086</v>
      </c>
      <c r="B1858" s="0" t="s">
        <v>134</v>
      </c>
      <c r="C1858" s="0" t="s">
        <v>134</v>
      </c>
      <c r="D1858" s="0" t="s">
        <v>135</v>
      </c>
      <c r="E1858" s="0" t="s">
        <v>3</v>
      </c>
      <c r="F1858" s="0" t="s">
        <v>12</v>
      </c>
      <c r="G1858" s="0" t="s">
        <v>8</v>
      </c>
      <c r="H1858" s="0">
        <v>1111</v>
      </c>
      <c r="I1858" s="0">
        <v>28</v>
      </c>
      <c r="J1858" s="0">
        <v>0</v>
      </c>
      <c r="K1858" s="0">
        <v>1</v>
      </c>
      <c r="L1858" s="0">
        <v>1</v>
      </c>
      <c r="M1858" s="0">
        <v>1</v>
      </c>
      <c r="N1858" s="0">
        <v>0</v>
      </c>
      <c r="O1858" s="0">
        <v>0</v>
      </c>
      <c r="P1858" s="0">
        <v>0</v>
      </c>
      <c r="R1858" s="0" t="b">
        <v>0</v>
      </c>
      <c r="S1858" s="0" t="b">
        <v>1</v>
      </c>
      <c r="T1858" s="68">
        <v>44942.1165509259</v>
      </c>
      <c r="U1858" s="68">
        <v>44977.2916666667</v>
      </c>
      <c r="V1858" s="68">
        <v>0</v>
      </c>
      <c r="W1858" s="0">
        <f>IF(IF(B1858="none",1,IF(B1858="Trialer",1,0))+IF(C1858="Customer",1,IF(C1858="Lost",1,0))=2,1,0)</f>
      </c>
      <c r="X1858" s="0" t="s">
        <v>153</v>
      </c>
      <c r="Y1858" s="0" t="s">
        <v>487</v>
      </c>
      <c r="AV1858" s="68"/>
      <c r="AW1858" s="68"/>
      <c r="AY1858" s="27"/>
      <c r="BD1858" s="68">
        <v>46054.1666666667</v>
      </c>
      <c r="BE1858" s="68">
        <v>46082.1666666667</v>
      </c>
      <c r="BF1858" s="0" t="b">
        <v>0</v>
      </c>
      <c r="BG1858" s="0" t="b">
        <v>0</v>
      </c>
      <c r="BH1858" s="0">
        <v>28</v>
      </c>
      <c r="BI1858" s="0">
        <v>28</v>
      </c>
      <c r="BJ1858" s="0" t="s">
        <v>135</v>
      </c>
    </row>
    <row r="1859">
      <c r="A1859" s="0" t="s">
        <v>2087</v>
      </c>
      <c r="B1859" s="0" t="s">
        <v>134</v>
      </c>
      <c r="C1859" s="0" t="s">
        <v>134</v>
      </c>
      <c r="D1859" s="0" t="s">
        <v>230</v>
      </c>
      <c r="E1859" s="0" t="s">
        <v>3</v>
      </c>
      <c r="F1859" s="0" t="s">
        <v>12</v>
      </c>
      <c r="G1859" s="0" t="s">
        <v>8</v>
      </c>
      <c r="H1859" s="0">
        <v>1111</v>
      </c>
      <c r="I1859" s="0">
        <v>118</v>
      </c>
      <c r="J1859" s="0">
        <v>0</v>
      </c>
      <c r="K1859" s="0">
        <v>1</v>
      </c>
      <c r="L1859" s="0">
        <v>3</v>
      </c>
      <c r="M1859" s="0">
        <v>3</v>
      </c>
      <c r="N1859" s="0">
        <v>0</v>
      </c>
      <c r="O1859" s="0">
        <v>0</v>
      </c>
      <c r="P1859" s="0">
        <v>-118</v>
      </c>
      <c r="R1859" s="0" t="b">
        <v>0</v>
      </c>
      <c r="S1859" s="0" t="b">
        <v>1</v>
      </c>
      <c r="T1859" s="68">
        <v>44942.349537037</v>
      </c>
      <c r="U1859" s="68">
        <v>44967.2916666667</v>
      </c>
      <c r="V1859" s="68">
        <v>0</v>
      </c>
      <c r="W1859" s="0">
        <f>IF(IF(B1859="none",1,IF(B1859="Trialer",1,0))+IF(C1859="Customer",1,IF(C1859="Lost",1,0))=2,1,0)</f>
      </c>
      <c r="X1859" s="0" t="s">
        <v>153</v>
      </c>
      <c r="Y1859" s="0" t="s">
        <v>243</v>
      </c>
      <c r="AV1859" s="68"/>
      <c r="AW1859" s="68"/>
      <c r="AY1859" s="27"/>
      <c r="BD1859" s="68">
        <v>46054.1666666667</v>
      </c>
      <c r="BE1859" s="68">
        <v>46082.1666666667</v>
      </c>
      <c r="BF1859" s="0" t="b">
        <v>0</v>
      </c>
      <c r="BG1859" s="0" t="b">
        <v>0</v>
      </c>
      <c r="BH1859" s="0">
        <v>132</v>
      </c>
      <c r="BI1859" s="0">
        <v>132</v>
      </c>
      <c r="BJ1859" s="0" t="s">
        <v>230</v>
      </c>
    </row>
    <row r="1860">
      <c r="A1860" s="0" t="s">
        <v>2088</v>
      </c>
      <c r="B1860" s="0" t="s">
        <v>134</v>
      </c>
      <c r="C1860" s="0" t="s">
        <v>134</v>
      </c>
      <c r="D1860" s="0" t="s">
        <v>135</v>
      </c>
      <c r="E1860" s="0" t="s">
        <v>3</v>
      </c>
      <c r="F1860" s="0" t="s">
        <v>12</v>
      </c>
      <c r="G1860" s="0" t="s">
        <v>8</v>
      </c>
      <c r="H1860" s="0">
        <v>1110</v>
      </c>
      <c r="I1860" s="0">
        <v>0</v>
      </c>
      <c r="J1860" s="0">
        <v>0</v>
      </c>
      <c r="K1860" s="0">
        <v>1</v>
      </c>
      <c r="L1860" s="0">
        <v>5</v>
      </c>
      <c r="M1860" s="0">
        <v>1</v>
      </c>
      <c r="N1860" s="0">
        <v>0</v>
      </c>
      <c r="O1860" s="0">
        <v>0</v>
      </c>
      <c r="P1860" s="0">
        <v>0</v>
      </c>
      <c r="R1860" s="0" t="b">
        <v>0</v>
      </c>
      <c r="S1860" s="0" t="b">
        <v>1</v>
      </c>
      <c r="T1860" s="68">
        <v>44943.6753356481</v>
      </c>
      <c r="U1860" s="68">
        <v>44957.2916666667</v>
      </c>
      <c r="V1860" s="68">
        <v>0</v>
      </c>
      <c r="W1860" s="0">
        <f>IF(IF(B1860="none",1,IF(B1860="Trialer",1,0))+IF(C1860="Customer",1,IF(C1860="Lost",1,0))=2,1,0)</f>
      </c>
      <c r="X1860" s="0" t="s">
        <v>145</v>
      </c>
      <c r="Y1860" s="0" t="s">
        <v>243</v>
      </c>
      <c r="AV1860" s="68"/>
      <c r="AW1860" s="68"/>
      <c r="AY1860" s="27"/>
      <c r="BD1860" s="68">
        <v>46054.1666666667</v>
      </c>
      <c r="BE1860" s="68">
        <v>46082.1666666667</v>
      </c>
      <c r="BF1860" s="0" t="b">
        <v>0</v>
      </c>
      <c r="BG1860" s="0" t="b">
        <v>0</v>
      </c>
      <c r="BH1860" s="0">
        <v>0</v>
      </c>
      <c r="BI1860" s="0">
        <v>0</v>
      </c>
      <c r="BJ1860" s="0" t="s">
        <v>135</v>
      </c>
    </row>
    <row r="1861">
      <c r="A1861" s="0" t="s">
        <v>2089</v>
      </c>
      <c r="B1861" s="0" t="s">
        <v>134</v>
      </c>
      <c r="C1861" s="0" t="s">
        <v>134</v>
      </c>
      <c r="D1861" s="0" t="s">
        <v>230</v>
      </c>
      <c r="E1861" s="0" t="s">
        <v>2</v>
      </c>
      <c r="F1861" s="0" t="s">
        <v>12</v>
      </c>
      <c r="G1861" s="0" t="s">
        <v>8</v>
      </c>
      <c r="H1861" s="0">
        <v>1110</v>
      </c>
      <c r="I1861" s="0">
        <v>604.8</v>
      </c>
      <c r="J1861" s="0">
        <v>0</v>
      </c>
      <c r="K1861" s="0">
        <v>1</v>
      </c>
      <c r="L1861" s="0">
        <v>4</v>
      </c>
      <c r="M1861" s="0">
        <v>16</v>
      </c>
      <c r="N1861" s="0">
        <v>155</v>
      </c>
      <c r="O1861" s="0">
        <v>0</v>
      </c>
      <c r="P1861" s="0">
        <v>-604.8</v>
      </c>
      <c r="R1861" s="0" t="b">
        <v>0</v>
      </c>
      <c r="S1861" s="0" t="b">
        <v>1</v>
      </c>
      <c r="T1861" s="68">
        <v>44943.7326388889</v>
      </c>
      <c r="U1861" s="68">
        <v>44965.5</v>
      </c>
      <c r="V1861" s="68">
        <v>0</v>
      </c>
      <c r="W1861" s="0">
        <f>IF(IF(B1861="none",1,IF(B1861="Trialer",1,0))+IF(C1861="Customer",1,IF(C1861="Lost",1,0))=2,1,0)</f>
      </c>
      <c r="X1861" s="0" t="s">
        <v>136</v>
      </c>
      <c r="Y1861" s="0" t="s">
        <v>499</v>
      </c>
      <c r="AV1861" s="68"/>
      <c r="AW1861" s="68"/>
      <c r="AY1861" s="27"/>
      <c r="BD1861" s="68">
        <v>46054.1666666667</v>
      </c>
      <c r="BE1861" s="68">
        <v>46082.1666666667</v>
      </c>
      <c r="BF1861" s="0" t="b">
        <v>0</v>
      </c>
      <c r="BG1861" s="0" t="b">
        <v>0</v>
      </c>
      <c r="BH1861" s="0">
        <v>721</v>
      </c>
      <c r="BI1861" s="0">
        <v>721</v>
      </c>
      <c r="BJ1861" s="0" t="s">
        <v>230</v>
      </c>
    </row>
    <row r="1862">
      <c r="A1862" s="0" t="s">
        <v>2090</v>
      </c>
      <c r="B1862" s="0" t="s">
        <v>134</v>
      </c>
      <c r="C1862" s="0" t="s">
        <v>134</v>
      </c>
      <c r="D1862" s="0" t="s">
        <v>135</v>
      </c>
      <c r="E1862" s="0" t="s">
        <v>3</v>
      </c>
      <c r="F1862" s="0" t="s">
        <v>12</v>
      </c>
      <c r="G1862" s="0" t="s">
        <v>8</v>
      </c>
      <c r="H1862" s="0">
        <v>1109</v>
      </c>
      <c r="I1862" s="0">
        <v>289</v>
      </c>
      <c r="J1862" s="0">
        <v>0</v>
      </c>
      <c r="K1862" s="0">
        <v>1</v>
      </c>
      <c r="L1862" s="0">
        <v>4</v>
      </c>
      <c r="M1862" s="0">
        <v>7</v>
      </c>
      <c r="N1862" s="0">
        <v>0</v>
      </c>
      <c r="O1862" s="0">
        <v>0</v>
      </c>
      <c r="P1862" s="0">
        <v>0</v>
      </c>
      <c r="R1862" s="0" t="b">
        <v>0</v>
      </c>
      <c r="S1862" s="0" t="b">
        <v>1</v>
      </c>
      <c r="T1862" s="68">
        <v>44943.9954398148</v>
      </c>
      <c r="U1862" s="68">
        <v>44958.2916666667</v>
      </c>
      <c r="V1862" s="68">
        <v>0</v>
      </c>
      <c r="W1862" s="0">
        <f>IF(IF(B1862="none",1,IF(B1862="Trialer",1,0))+IF(C1862="Customer",1,IF(C1862="Lost",1,0))=2,1,0)</f>
      </c>
      <c r="X1862" s="0" t="s">
        <v>148</v>
      </c>
      <c r="Y1862" s="0" t="s">
        <v>243</v>
      </c>
      <c r="AV1862" s="68"/>
      <c r="AW1862" s="68"/>
      <c r="AY1862" s="27"/>
      <c r="BD1862" s="68">
        <v>46054.1666666667</v>
      </c>
      <c r="BE1862" s="68">
        <v>46082.1666666667</v>
      </c>
      <c r="BF1862" s="0" t="b">
        <v>0</v>
      </c>
      <c r="BG1862" s="0" t="b">
        <v>0</v>
      </c>
      <c r="BH1862" s="0">
        <v>249</v>
      </c>
      <c r="BI1862" s="0">
        <v>249</v>
      </c>
      <c r="BJ1862" s="0" t="s">
        <v>135</v>
      </c>
    </row>
    <row r="1863">
      <c r="A1863" s="0" t="s">
        <v>2091</v>
      </c>
      <c r="B1863" s="0" t="s">
        <v>134</v>
      </c>
      <c r="C1863" s="0" t="s">
        <v>134</v>
      </c>
      <c r="D1863" s="0" t="s">
        <v>135</v>
      </c>
      <c r="E1863" s="0" t="s">
        <v>3</v>
      </c>
      <c r="F1863" s="0" t="s">
        <v>12</v>
      </c>
      <c r="G1863" s="0" t="s">
        <v>8</v>
      </c>
      <c r="H1863" s="0">
        <v>1109</v>
      </c>
      <c r="I1863" s="0">
        <v>61</v>
      </c>
      <c r="J1863" s="0">
        <v>0</v>
      </c>
      <c r="K1863" s="0">
        <v>1</v>
      </c>
      <c r="L1863" s="0">
        <v>4</v>
      </c>
      <c r="M1863" s="0">
        <v>1</v>
      </c>
      <c r="N1863" s="0">
        <v>0</v>
      </c>
      <c r="O1863" s="0">
        <v>0</v>
      </c>
      <c r="P1863" s="0">
        <v>0</v>
      </c>
      <c r="R1863" s="0" t="b">
        <v>0</v>
      </c>
      <c r="S1863" s="0" t="b">
        <v>1</v>
      </c>
      <c r="T1863" s="68">
        <v>44944.687962963</v>
      </c>
      <c r="U1863" s="68">
        <v>44958.2916666667</v>
      </c>
      <c r="V1863" s="68">
        <v>0</v>
      </c>
      <c r="W1863" s="0">
        <f>IF(IF(B1863="none",1,IF(B1863="Trialer",1,0))+IF(C1863="Customer",1,IF(C1863="Lost",1,0))=2,1,0)</f>
      </c>
      <c r="X1863" s="0" t="s">
        <v>166</v>
      </c>
      <c r="Y1863" s="0" t="s">
        <v>243</v>
      </c>
      <c r="AV1863" s="68"/>
      <c r="AW1863" s="68"/>
      <c r="AY1863" s="27"/>
      <c r="BD1863" s="68">
        <v>46054.1666666667</v>
      </c>
      <c r="BE1863" s="68">
        <v>46082.1666666667</v>
      </c>
      <c r="BF1863" s="0" t="b">
        <v>0</v>
      </c>
      <c r="BG1863" s="0" t="b">
        <v>0</v>
      </c>
      <c r="BH1863" s="0">
        <v>61</v>
      </c>
      <c r="BI1863" s="0">
        <v>61</v>
      </c>
      <c r="BJ1863" s="0" t="s">
        <v>135</v>
      </c>
    </row>
    <row r="1864">
      <c r="A1864" s="0" t="s">
        <v>2092</v>
      </c>
      <c r="B1864" s="0" t="s">
        <v>134</v>
      </c>
      <c r="C1864" s="0" t="s">
        <v>134</v>
      </c>
      <c r="D1864" s="0" t="s">
        <v>135</v>
      </c>
      <c r="E1864" s="0" t="s">
        <v>3</v>
      </c>
      <c r="F1864" s="0" t="s">
        <v>12</v>
      </c>
      <c r="G1864" s="0" t="s">
        <v>8</v>
      </c>
      <c r="H1864" s="0">
        <v>1108</v>
      </c>
      <c r="I1864" s="0">
        <v>85</v>
      </c>
      <c r="J1864" s="0">
        <v>0</v>
      </c>
      <c r="K1864" s="0">
        <v>1</v>
      </c>
      <c r="L1864" s="0">
        <v>3</v>
      </c>
      <c r="M1864" s="0">
        <v>3</v>
      </c>
      <c r="N1864" s="0">
        <v>0</v>
      </c>
      <c r="O1864" s="0">
        <v>0</v>
      </c>
      <c r="P1864" s="0">
        <v>0</v>
      </c>
      <c r="R1864" s="0" t="b">
        <v>0</v>
      </c>
      <c r="S1864" s="0" t="b">
        <v>1</v>
      </c>
      <c r="T1864" s="68">
        <v>44945.2920717593</v>
      </c>
      <c r="U1864" s="68">
        <v>44986.2916666667</v>
      </c>
      <c r="V1864" s="68">
        <v>0</v>
      </c>
      <c r="W1864" s="0">
        <f>IF(IF(B1864="none",1,IF(B1864="Trialer",1,0))+IF(C1864="Customer",1,IF(C1864="Lost",1,0))=2,1,0)</f>
      </c>
      <c r="X1864" s="0" t="s">
        <v>153</v>
      </c>
      <c r="Y1864" s="0" t="s">
        <v>243</v>
      </c>
      <c r="AV1864" s="68"/>
      <c r="AW1864" s="68"/>
      <c r="AY1864" s="27"/>
      <c r="BD1864" s="68">
        <v>46054.1666666667</v>
      </c>
      <c r="BE1864" s="68">
        <v>46082.1666666667</v>
      </c>
      <c r="BF1864" s="0" t="b">
        <v>0</v>
      </c>
      <c r="BG1864" s="0" t="b">
        <v>0</v>
      </c>
      <c r="BH1864" s="0">
        <v>67</v>
      </c>
      <c r="BI1864" s="0">
        <v>67</v>
      </c>
      <c r="BJ1864" s="0" t="s">
        <v>135</v>
      </c>
    </row>
    <row r="1865">
      <c r="A1865" s="0" t="s">
        <v>2093</v>
      </c>
      <c r="B1865" s="0" t="s">
        <v>134</v>
      </c>
      <c r="C1865" s="0" t="s">
        <v>134</v>
      </c>
      <c r="D1865" s="0" t="s">
        <v>135</v>
      </c>
      <c r="E1865" s="0" t="s">
        <v>3</v>
      </c>
      <c r="F1865" s="0" t="s">
        <v>12</v>
      </c>
      <c r="G1865" s="0" t="s">
        <v>8</v>
      </c>
      <c r="H1865" s="0">
        <v>1108</v>
      </c>
      <c r="I1865" s="0">
        <v>40</v>
      </c>
      <c r="J1865" s="0">
        <v>0</v>
      </c>
      <c r="K1865" s="0">
        <v>1</v>
      </c>
      <c r="L1865" s="0">
        <v>2</v>
      </c>
      <c r="M1865" s="0">
        <v>1</v>
      </c>
      <c r="N1865" s="0">
        <v>0</v>
      </c>
      <c r="O1865" s="0">
        <v>0</v>
      </c>
      <c r="P1865" s="0">
        <v>0</v>
      </c>
      <c r="R1865" s="0" t="b">
        <v>0</v>
      </c>
      <c r="S1865" s="0" t="b">
        <v>1</v>
      </c>
      <c r="T1865" s="68">
        <v>44945.6854398148</v>
      </c>
      <c r="U1865" s="68">
        <v>44959.2916666667</v>
      </c>
      <c r="V1865" s="68">
        <v>0</v>
      </c>
      <c r="W1865" s="0">
        <f>IF(IF(B1865="none",1,IF(B1865="Trialer",1,0))+IF(C1865="Customer",1,IF(C1865="Lost",1,0))=2,1,0)</f>
      </c>
      <c r="X1865" s="0" t="s">
        <v>142</v>
      </c>
      <c r="Y1865" s="0" t="s">
        <v>243</v>
      </c>
      <c r="AV1865" s="68"/>
      <c r="AW1865" s="68"/>
      <c r="AY1865" s="27"/>
      <c r="BD1865" s="68">
        <v>46054.1666666667</v>
      </c>
      <c r="BE1865" s="68">
        <v>46082.1666666667</v>
      </c>
      <c r="BF1865" s="0" t="b">
        <v>0</v>
      </c>
      <c r="BG1865" s="0" t="b">
        <v>0</v>
      </c>
      <c r="BH1865" s="0">
        <v>40</v>
      </c>
      <c r="BI1865" s="0">
        <v>40</v>
      </c>
      <c r="BJ1865" s="0" t="s">
        <v>135</v>
      </c>
    </row>
    <row r="1866">
      <c r="A1866" s="0" t="s">
        <v>2094</v>
      </c>
      <c r="B1866" s="0" t="s">
        <v>134</v>
      </c>
      <c r="C1866" s="0" t="s">
        <v>134</v>
      </c>
      <c r="D1866" s="0" t="s">
        <v>135</v>
      </c>
      <c r="E1866" s="0" t="s">
        <v>3</v>
      </c>
      <c r="F1866" s="0" t="s">
        <v>12</v>
      </c>
      <c r="G1866" s="0" t="s">
        <v>8</v>
      </c>
      <c r="H1866" s="0">
        <v>1107</v>
      </c>
      <c r="I1866" s="0">
        <v>117</v>
      </c>
      <c r="J1866" s="0">
        <v>0</v>
      </c>
      <c r="K1866" s="0">
        <v>1</v>
      </c>
      <c r="L1866" s="0">
        <v>4</v>
      </c>
      <c r="M1866" s="0">
        <v>3</v>
      </c>
      <c r="N1866" s="0">
        <v>0</v>
      </c>
      <c r="O1866" s="0">
        <v>0</v>
      </c>
      <c r="P1866" s="0">
        <v>0</v>
      </c>
      <c r="R1866" s="0" t="b">
        <v>0</v>
      </c>
      <c r="S1866" s="0" t="b">
        <v>1</v>
      </c>
      <c r="T1866" s="68">
        <v>44946.4379398148</v>
      </c>
      <c r="U1866" s="68">
        <v>44963.2916666667</v>
      </c>
      <c r="V1866" s="68">
        <v>0</v>
      </c>
      <c r="W1866" s="0">
        <f>IF(IF(B1866="none",1,IF(B1866="Trialer",1,0))+IF(C1866="Customer",1,IF(C1866="Lost",1,0))=2,1,0)</f>
      </c>
      <c r="X1866" s="0" t="s">
        <v>153</v>
      </c>
      <c r="Y1866" s="0" t="s">
        <v>243</v>
      </c>
      <c r="AV1866" s="68"/>
      <c r="AW1866" s="68"/>
      <c r="AY1866" s="27"/>
      <c r="BD1866" s="68">
        <v>46054.1666666667</v>
      </c>
      <c r="BE1866" s="68">
        <v>46082.1666666667</v>
      </c>
      <c r="BF1866" s="0" t="b">
        <v>0</v>
      </c>
      <c r="BG1866" s="0" t="b">
        <v>0</v>
      </c>
      <c r="BH1866" s="0">
        <v>117</v>
      </c>
      <c r="BI1866" s="0">
        <v>117</v>
      </c>
      <c r="BJ1866" s="0" t="s">
        <v>135</v>
      </c>
    </row>
    <row r="1867">
      <c r="A1867" s="0" t="s">
        <v>2095</v>
      </c>
      <c r="B1867" s="0" t="s">
        <v>134</v>
      </c>
      <c r="C1867" s="0" t="s">
        <v>134</v>
      </c>
      <c r="D1867" s="0" t="s">
        <v>135</v>
      </c>
      <c r="E1867" s="0" t="s">
        <v>3</v>
      </c>
      <c r="F1867" s="0" t="s">
        <v>12</v>
      </c>
      <c r="G1867" s="0" t="s">
        <v>8</v>
      </c>
      <c r="H1867" s="0">
        <v>1107</v>
      </c>
      <c r="I1867" s="0">
        <v>1082</v>
      </c>
      <c r="J1867" s="0">
        <v>0</v>
      </c>
      <c r="K1867" s="0">
        <v>1</v>
      </c>
      <c r="L1867" s="0">
        <v>3</v>
      </c>
      <c r="M1867" s="0">
        <v>16</v>
      </c>
      <c r="N1867" s="0">
        <v>0</v>
      </c>
      <c r="O1867" s="0">
        <v>0</v>
      </c>
      <c r="P1867" s="0">
        <v>0</v>
      </c>
      <c r="R1867" s="0" t="b">
        <v>0</v>
      </c>
      <c r="S1867" s="0" t="b">
        <v>1</v>
      </c>
      <c r="T1867" s="68">
        <v>44946.547962963</v>
      </c>
      <c r="U1867" s="68">
        <v>44977.2916666667</v>
      </c>
      <c r="V1867" s="68">
        <v>0</v>
      </c>
      <c r="W1867" s="0">
        <f>IF(IF(B1867="none",1,IF(B1867="Trialer",1,0))+IF(C1867="Customer",1,IF(C1867="Lost",1,0))=2,1,0)</f>
      </c>
      <c r="X1867" s="0" t="s">
        <v>136</v>
      </c>
      <c r="Y1867" s="0" t="s">
        <v>243</v>
      </c>
      <c r="AV1867" s="68"/>
      <c r="AW1867" s="68"/>
      <c r="AY1867" s="27"/>
      <c r="BD1867" s="68">
        <v>46054.1666666667</v>
      </c>
      <c r="BE1867" s="68">
        <v>46082.1666666667</v>
      </c>
      <c r="BF1867" s="0" t="b">
        <v>0</v>
      </c>
      <c r="BG1867" s="0" t="b">
        <v>0</v>
      </c>
      <c r="BH1867" s="0">
        <v>757</v>
      </c>
      <c r="BI1867" s="0">
        <v>757</v>
      </c>
      <c r="BJ1867" s="0" t="s">
        <v>135</v>
      </c>
    </row>
    <row r="1868">
      <c r="A1868" s="0" t="s">
        <v>2096</v>
      </c>
      <c r="B1868" s="0" t="s">
        <v>134</v>
      </c>
      <c r="C1868" s="0" t="s">
        <v>134</v>
      </c>
      <c r="D1868" s="0" t="s">
        <v>230</v>
      </c>
      <c r="E1868" s="0" t="s">
        <v>2</v>
      </c>
      <c r="F1868" s="0" t="s">
        <v>12</v>
      </c>
      <c r="G1868" s="0" t="s">
        <v>8</v>
      </c>
      <c r="H1868" s="0">
        <v>1107</v>
      </c>
      <c r="I1868" s="0">
        <v>427</v>
      </c>
      <c r="J1868" s="0">
        <v>0</v>
      </c>
      <c r="K1868" s="0">
        <v>1</v>
      </c>
      <c r="L1868" s="0">
        <v>4</v>
      </c>
      <c r="M1868" s="0">
        <v>11</v>
      </c>
      <c r="N1868" s="0">
        <v>232.5</v>
      </c>
      <c r="O1868" s="0">
        <v>0</v>
      </c>
      <c r="P1868" s="0">
        <v>4697</v>
      </c>
      <c r="R1868" s="0" t="b">
        <v>0</v>
      </c>
      <c r="S1868" s="0" t="b">
        <v>1</v>
      </c>
      <c r="T1868" s="68">
        <v>44946.6385532407</v>
      </c>
      <c r="U1868" s="68">
        <v>44970.2916666667</v>
      </c>
      <c r="V1868" s="68">
        <v>0</v>
      </c>
      <c r="W1868" s="0">
        <f>IF(IF(B1868="none",1,IF(B1868="Trialer",1,0))+IF(C1868="Customer",1,IF(C1868="Lost",1,0))=2,1,0)</f>
      </c>
      <c r="X1868" s="0" t="s">
        <v>148</v>
      </c>
      <c r="Y1868" s="0" t="s">
        <v>499</v>
      </c>
      <c r="AV1868" s="68"/>
      <c r="AW1868" s="68"/>
      <c r="AY1868" s="27"/>
      <c r="BD1868" s="68">
        <v>46054.1666666667</v>
      </c>
      <c r="BE1868" s="68">
        <v>46082.1666666667</v>
      </c>
      <c r="BF1868" s="0" t="b">
        <v>0</v>
      </c>
      <c r="BG1868" s="0" t="b">
        <v>0</v>
      </c>
      <c r="BH1868" s="0">
        <v>476</v>
      </c>
      <c r="BI1868" s="0">
        <v>476</v>
      </c>
      <c r="BJ1868" s="0" t="s">
        <v>230</v>
      </c>
    </row>
    <row r="1869">
      <c r="A1869" s="0" t="s">
        <v>2097</v>
      </c>
      <c r="B1869" s="0" t="s">
        <v>134</v>
      </c>
      <c r="C1869" s="0" t="s">
        <v>134</v>
      </c>
      <c r="D1869" s="0" t="s">
        <v>135</v>
      </c>
      <c r="E1869" s="0" t="s">
        <v>2</v>
      </c>
      <c r="F1869" s="0" t="s">
        <v>12</v>
      </c>
      <c r="G1869" s="0" t="s">
        <v>8</v>
      </c>
      <c r="H1869" s="0">
        <v>1104</v>
      </c>
      <c r="I1869" s="0">
        <v>147</v>
      </c>
      <c r="J1869" s="0">
        <v>0</v>
      </c>
      <c r="K1869" s="0">
        <v>1</v>
      </c>
      <c r="L1869" s="0">
        <v>3</v>
      </c>
      <c r="M1869" s="0">
        <v>3</v>
      </c>
      <c r="N1869" s="0">
        <v>0</v>
      </c>
      <c r="O1869" s="0">
        <v>0</v>
      </c>
      <c r="P1869" s="0">
        <v>0</v>
      </c>
      <c r="R1869" s="0" t="b">
        <v>0</v>
      </c>
      <c r="S1869" s="0" t="b">
        <v>1</v>
      </c>
      <c r="T1869" s="68">
        <v>44949.0527777778</v>
      </c>
      <c r="U1869" s="68">
        <v>44964.5</v>
      </c>
      <c r="V1869" s="68">
        <v>0</v>
      </c>
      <c r="W1869" s="0">
        <f>IF(IF(B1869="none",1,IF(B1869="Trialer",1,0))+IF(C1869="Customer",1,IF(C1869="Lost",1,0))=2,1,0)</f>
      </c>
      <c r="X1869" s="0" t="s">
        <v>153</v>
      </c>
      <c r="Y1869" s="0" t="s">
        <v>499</v>
      </c>
      <c r="AV1869" s="68"/>
      <c r="AW1869" s="68"/>
      <c r="AY1869" s="27"/>
      <c r="BD1869" s="68">
        <v>46054.1666666667</v>
      </c>
      <c r="BE1869" s="68">
        <v>46082.1666666667</v>
      </c>
      <c r="BF1869" s="0" t="b">
        <v>0</v>
      </c>
      <c r="BG1869" s="0" t="b">
        <v>0</v>
      </c>
      <c r="BH1869" s="0">
        <v>147</v>
      </c>
      <c r="BI1869" s="0">
        <v>147</v>
      </c>
      <c r="BJ1869" s="0" t="s">
        <v>135</v>
      </c>
    </row>
    <row r="1870">
      <c r="A1870" s="0" t="s">
        <v>2098</v>
      </c>
      <c r="B1870" s="0" t="s">
        <v>134</v>
      </c>
      <c r="C1870" s="0" t="s">
        <v>134</v>
      </c>
      <c r="D1870" s="0" t="s">
        <v>135</v>
      </c>
      <c r="E1870" s="0" t="s">
        <v>3</v>
      </c>
      <c r="F1870" s="0" t="s">
        <v>12</v>
      </c>
      <c r="G1870" s="0" t="s">
        <v>8</v>
      </c>
      <c r="H1870" s="0">
        <v>1104</v>
      </c>
      <c r="I1870" s="0">
        <v>40</v>
      </c>
      <c r="J1870" s="0">
        <v>0</v>
      </c>
      <c r="K1870" s="0">
        <v>1</v>
      </c>
      <c r="L1870" s="0">
        <v>1</v>
      </c>
      <c r="M1870" s="0">
        <v>0</v>
      </c>
      <c r="N1870" s="0">
        <v>0</v>
      </c>
      <c r="O1870" s="0">
        <v>0</v>
      </c>
      <c r="P1870" s="0">
        <v>0</v>
      </c>
      <c r="R1870" s="0" t="b">
        <v>0</v>
      </c>
      <c r="S1870" s="0" t="b">
        <v>1</v>
      </c>
      <c r="T1870" s="68">
        <v>44949.5118981482</v>
      </c>
      <c r="U1870" s="68">
        <v>44950.2916666667</v>
      </c>
      <c r="V1870" s="68">
        <v>0</v>
      </c>
      <c r="W1870" s="0">
        <f>IF(IF(B1870="none",1,IF(B1870="Trialer",1,0))+IF(C1870="Customer",1,IF(C1870="Lost",1,0))=2,1,0)</f>
      </c>
      <c r="X1870" s="0" t="s">
        <v>136</v>
      </c>
      <c r="Y1870" s="0" t="s">
        <v>499</v>
      </c>
      <c r="AV1870" s="68"/>
      <c r="AW1870" s="68"/>
      <c r="AY1870" s="27"/>
      <c r="BD1870" s="68">
        <v>46054.1666666667</v>
      </c>
      <c r="BE1870" s="68">
        <v>46082.1666666667</v>
      </c>
      <c r="BF1870" s="0" t="b">
        <v>0</v>
      </c>
      <c r="BG1870" s="0" t="b">
        <v>0</v>
      </c>
      <c r="BH1870" s="0">
        <v>40</v>
      </c>
      <c r="BI1870" s="0">
        <v>40</v>
      </c>
      <c r="BJ1870" s="0" t="s">
        <v>135</v>
      </c>
    </row>
    <row r="1871">
      <c r="A1871" s="0" t="s">
        <v>2099</v>
      </c>
      <c r="B1871" s="0" t="s">
        <v>134</v>
      </c>
      <c r="C1871" s="0" t="s">
        <v>134</v>
      </c>
      <c r="D1871" s="0" t="s">
        <v>135</v>
      </c>
      <c r="E1871" s="0" t="s">
        <v>3</v>
      </c>
      <c r="F1871" s="0" t="s">
        <v>12</v>
      </c>
      <c r="G1871" s="0" t="s">
        <v>8</v>
      </c>
      <c r="H1871" s="0">
        <v>1101</v>
      </c>
      <c r="I1871" s="0">
        <v>52</v>
      </c>
      <c r="J1871" s="0">
        <v>0</v>
      </c>
      <c r="K1871" s="0">
        <v>1</v>
      </c>
      <c r="L1871" s="0">
        <v>3</v>
      </c>
      <c r="M1871" s="0">
        <v>1</v>
      </c>
      <c r="N1871" s="0">
        <v>0</v>
      </c>
      <c r="O1871" s="0">
        <v>0</v>
      </c>
      <c r="P1871" s="0">
        <v>0</v>
      </c>
      <c r="R1871" s="0" t="b">
        <v>0</v>
      </c>
      <c r="S1871" s="0" t="b">
        <v>1</v>
      </c>
      <c r="T1871" s="68">
        <v>44952.5739467593</v>
      </c>
      <c r="U1871" s="68">
        <v>44971.2916666667</v>
      </c>
      <c r="V1871" s="68">
        <v>0</v>
      </c>
      <c r="W1871" s="0">
        <f>IF(IF(B1871="none",1,IF(B1871="Trialer",1,0))+IF(C1871="Customer",1,IF(C1871="Lost",1,0))=2,1,0)</f>
      </c>
      <c r="X1871" s="0" t="s">
        <v>142</v>
      </c>
      <c r="Y1871" s="0" t="s">
        <v>243</v>
      </c>
      <c r="AV1871" s="68"/>
      <c r="AW1871" s="68"/>
      <c r="AY1871" s="27"/>
      <c r="BD1871" s="68">
        <v>46054.1666666667</v>
      </c>
      <c r="BE1871" s="68">
        <v>46082.1666666667</v>
      </c>
      <c r="BF1871" s="0" t="b">
        <v>0</v>
      </c>
      <c r="BG1871" s="0" t="b">
        <v>0</v>
      </c>
      <c r="BH1871" s="0">
        <v>52</v>
      </c>
      <c r="BI1871" s="0">
        <v>52</v>
      </c>
      <c r="BJ1871" s="0" t="s">
        <v>135</v>
      </c>
    </row>
    <row r="1872">
      <c r="A1872" s="0" t="s">
        <v>2100</v>
      </c>
      <c r="B1872" s="0" t="s">
        <v>134</v>
      </c>
      <c r="C1872" s="0" t="s">
        <v>134</v>
      </c>
      <c r="D1872" s="0" t="s">
        <v>230</v>
      </c>
      <c r="E1872" s="0" t="s">
        <v>2</v>
      </c>
      <c r="F1872" s="0" t="s">
        <v>12</v>
      </c>
      <c r="G1872" s="0" t="s">
        <v>8</v>
      </c>
      <c r="H1872" s="0">
        <v>1100</v>
      </c>
      <c r="I1872" s="0">
        <v>132</v>
      </c>
      <c r="J1872" s="0">
        <v>0</v>
      </c>
      <c r="K1872" s="0">
        <v>1</v>
      </c>
      <c r="L1872" s="0">
        <v>3</v>
      </c>
      <c r="M1872" s="0">
        <v>3</v>
      </c>
      <c r="N1872" s="0">
        <v>0</v>
      </c>
      <c r="O1872" s="0">
        <v>0</v>
      </c>
      <c r="P1872" s="0">
        <v>-132</v>
      </c>
      <c r="R1872" s="0" t="b">
        <v>0</v>
      </c>
      <c r="S1872" s="0" t="b">
        <v>1</v>
      </c>
      <c r="T1872" s="68">
        <v>44953.4983217593</v>
      </c>
      <c r="U1872" s="68">
        <v>44987.2916666667</v>
      </c>
      <c r="V1872" s="68">
        <v>0</v>
      </c>
      <c r="W1872" s="0">
        <f>IF(IF(B1872="none",1,IF(B1872="Trialer",1,0))+IF(C1872="Customer",1,IF(C1872="Lost",1,0))=2,1,0)</f>
      </c>
      <c r="X1872" s="0" t="s">
        <v>153</v>
      </c>
      <c r="Y1872" s="0" t="s">
        <v>499</v>
      </c>
      <c r="AV1872" s="68"/>
      <c r="AW1872" s="68"/>
      <c r="AY1872" s="27"/>
      <c r="BD1872" s="68">
        <v>46054.1666666667</v>
      </c>
      <c r="BE1872" s="68">
        <v>46082.1666666667</v>
      </c>
      <c r="BF1872" s="0" t="b">
        <v>0</v>
      </c>
      <c r="BG1872" s="0" t="b">
        <v>0</v>
      </c>
      <c r="BH1872" s="0">
        <v>147</v>
      </c>
      <c r="BI1872" s="0">
        <v>147</v>
      </c>
      <c r="BJ1872" s="0" t="s">
        <v>230</v>
      </c>
    </row>
    <row r="1873">
      <c r="A1873" s="0" t="s">
        <v>2101</v>
      </c>
      <c r="B1873" s="0" t="s">
        <v>134</v>
      </c>
      <c r="C1873" s="0" t="s">
        <v>190</v>
      </c>
      <c r="D1873" s="0" t="s">
        <v>135</v>
      </c>
      <c r="E1873" s="0" t="s">
        <v>2</v>
      </c>
      <c r="F1873" s="0" t="s">
        <v>12</v>
      </c>
      <c r="G1873" s="0" t="s">
        <v>8</v>
      </c>
      <c r="H1873" s="0">
        <v>1100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  <c r="R1873" s="0" t="b">
        <v>0</v>
      </c>
      <c r="S1873" s="0" t="b">
        <v>0</v>
      </c>
      <c r="T1873" s="68">
        <v>44953.5191435185</v>
      </c>
      <c r="U1873" s="68">
        <v>44967.2916666667</v>
      </c>
      <c r="V1873" s="68">
        <v>46059.5384375</v>
      </c>
      <c r="W1873" s="0">
        <f>IF(IF(B1873="none",1,IF(B1873="Trialer",1,0))+IF(C1873="Customer",1,IF(C1873="Lost",1,0))=2,1,0)</f>
      </c>
      <c r="X1873" s="0" t="s">
        <v>145</v>
      </c>
      <c r="Y1873" s="0" t="s">
        <v>499</v>
      </c>
      <c r="AV1873" s="68"/>
      <c r="AW1873" s="68"/>
      <c r="AY1873" s="27"/>
      <c r="BD1873" s="68">
        <v>46054.1666666667</v>
      </c>
      <c r="BE1873" s="68">
        <v>46082.1666666667</v>
      </c>
      <c r="BF1873" s="0" t="b">
        <v>0</v>
      </c>
      <c r="BG1873" s="0" t="b">
        <v>0</v>
      </c>
      <c r="BH1873" s="0">
        <v>224</v>
      </c>
      <c r="BI1873" s="0">
        <v>224</v>
      </c>
      <c r="BJ1873" s="0" t="s">
        <v>230</v>
      </c>
    </row>
    <row r="1874">
      <c r="A1874" s="0" t="s">
        <v>2102</v>
      </c>
      <c r="B1874" s="0" t="s">
        <v>134</v>
      </c>
      <c r="C1874" s="0" t="s">
        <v>134</v>
      </c>
      <c r="D1874" s="0" t="s">
        <v>135</v>
      </c>
      <c r="E1874" s="0" t="s">
        <v>2</v>
      </c>
      <c r="F1874" s="0" t="s">
        <v>10</v>
      </c>
      <c r="G1874" s="0" t="s">
        <v>8</v>
      </c>
      <c r="H1874" s="0">
        <v>1100</v>
      </c>
      <c r="I1874" s="0">
        <v>40</v>
      </c>
      <c r="J1874" s="0">
        <v>0</v>
      </c>
      <c r="K1874" s="0">
        <v>1</v>
      </c>
      <c r="L1874" s="0">
        <v>1</v>
      </c>
      <c r="M1874" s="0">
        <v>0</v>
      </c>
      <c r="N1874" s="0">
        <v>0</v>
      </c>
      <c r="O1874" s="0">
        <v>0</v>
      </c>
      <c r="P1874" s="0">
        <v>0</v>
      </c>
      <c r="Q1874" s="0" t="s">
        <v>266</v>
      </c>
      <c r="R1874" s="0" t="b">
        <v>0</v>
      </c>
      <c r="S1874" s="0" t="b">
        <v>1</v>
      </c>
      <c r="T1874" s="68">
        <v>44953.5953125</v>
      </c>
      <c r="U1874" s="68">
        <v>44953.2916666667</v>
      </c>
      <c r="V1874" s="68">
        <v>0</v>
      </c>
      <c r="W1874" s="0">
        <f>IF(IF(B1874="none",1,IF(B1874="Trialer",1,0))+IF(C1874="Customer",1,IF(C1874="Lost",1,0))=2,1,0)</f>
      </c>
      <c r="X1874" s="0" t="s">
        <v>148</v>
      </c>
      <c r="Y1874" s="0" t="s">
        <v>137</v>
      </c>
      <c r="AV1874" s="68"/>
      <c r="AW1874" s="68"/>
      <c r="AY1874" s="27"/>
      <c r="BD1874" s="68">
        <v>46054.1666666667</v>
      </c>
      <c r="BE1874" s="68">
        <v>46082.1666666667</v>
      </c>
      <c r="BF1874" s="0" t="b">
        <v>0</v>
      </c>
      <c r="BG1874" s="0" t="b">
        <v>0</v>
      </c>
      <c r="BH1874" s="0">
        <v>40</v>
      </c>
      <c r="BI1874" s="0">
        <v>40</v>
      </c>
      <c r="BJ1874" s="0" t="s">
        <v>135</v>
      </c>
    </row>
    <row r="1875">
      <c r="A1875" s="0" t="s">
        <v>2103</v>
      </c>
      <c r="B1875" s="0" t="s">
        <v>134</v>
      </c>
      <c r="C1875" s="0" t="s">
        <v>134</v>
      </c>
      <c r="D1875" s="0" t="s">
        <v>230</v>
      </c>
      <c r="E1875" s="0" t="s">
        <v>2</v>
      </c>
      <c r="F1875" s="0" t="s">
        <v>12</v>
      </c>
      <c r="G1875" s="0" t="s">
        <v>8</v>
      </c>
      <c r="H1875" s="0">
        <v>1100</v>
      </c>
      <c r="I1875" s="0">
        <v>234.9</v>
      </c>
      <c r="J1875" s="0">
        <v>0</v>
      </c>
      <c r="K1875" s="0">
        <v>1</v>
      </c>
      <c r="L1875" s="0">
        <v>4</v>
      </c>
      <c r="M1875" s="0">
        <v>6</v>
      </c>
      <c r="N1875" s="0">
        <v>0</v>
      </c>
      <c r="O1875" s="0">
        <v>0</v>
      </c>
      <c r="P1875" s="0">
        <v>-234.9</v>
      </c>
      <c r="R1875" s="0" t="b">
        <v>0</v>
      </c>
      <c r="S1875" s="0" t="b">
        <v>1</v>
      </c>
      <c r="T1875" s="68">
        <v>44953.6655439815</v>
      </c>
      <c r="U1875" s="68">
        <v>44967.2916666667</v>
      </c>
      <c r="V1875" s="68">
        <v>0</v>
      </c>
      <c r="W1875" s="0">
        <f>IF(IF(B1875="none",1,IF(B1875="Trialer",1,0))+IF(C1875="Customer",1,IF(C1875="Lost",1,0))=2,1,0)</f>
      </c>
      <c r="X1875" s="0" t="s">
        <v>136</v>
      </c>
      <c r="Y1875" s="0" t="s">
        <v>499</v>
      </c>
      <c r="AV1875" s="68"/>
      <c r="AW1875" s="68"/>
      <c r="AY1875" s="27"/>
      <c r="BD1875" s="68">
        <v>46054.1666666667</v>
      </c>
      <c r="BE1875" s="68">
        <v>46082.1666666667</v>
      </c>
      <c r="BF1875" s="0" t="b">
        <v>0</v>
      </c>
      <c r="BG1875" s="0" t="b">
        <v>0</v>
      </c>
      <c r="BH1875" s="0">
        <v>301</v>
      </c>
      <c r="BI1875" s="0">
        <v>301</v>
      </c>
      <c r="BJ1875" s="0" t="s">
        <v>230</v>
      </c>
    </row>
    <row r="1876">
      <c r="A1876" s="0" t="s">
        <v>2104</v>
      </c>
      <c r="B1876" s="0" t="s">
        <v>134</v>
      </c>
      <c r="C1876" s="0" t="s">
        <v>134</v>
      </c>
      <c r="D1876" s="0" t="s">
        <v>135</v>
      </c>
      <c r="E1876" s="0" t="s">
        <v>3</v>
      </c>
      <c r="F1876" s="0" t="s">
        <v>12</v>
      </c>
      <c r="G1876" s="0" t="s">
        <v>8</v>
      </c>
      <c r="H1876" s="0">
        <v>1096</v>
      </c>
      <c r="I1876" s="0">
        <v>80</v>
      </c>
      <c r="J1876" s="0">
        <v>0</v>
      </c>
      <c r="K1876" s="0">
        <v>1</v>
      </c>
      <c r="L1876" s="0">
        <v>2</v>
      </c>
      <c r="M1876" s="0">
        <v>2</v>
      </c>
      <c r="N1876" s="0">
        <v>0</v>
      </c>
      <c r="O1876" s="0">
        <v>0</v>
      </c>
      <c r="P1876" s="0">
        <v>0</v>
      </c>
      <c r="R1876" s="0" t="b">
        <v>0</v>
      </c>
      <c r="S1876" s="0" t="b">
        <v>1</v>
      </c>
      <c r="T1876" s="68">
        <v>44957.2458333333</v>
      </c>
      <c r="U1876" s="68">
        <v>44972.2916666667</v>
      </c>
      <c r="V1876" s="68">
        <v>0</v>
      </c>
      <c r="W1876" s="0">
        <f>IF(IF(B1876="none",1,IF(B1876="Trialer",1,0))+IF(C1876="Customer",1,IF(C1876="Lost",1,0))=2,1,0)</f>
      </c>
      <c r="X1876" s="0" t="s">
        <v>166</v>
      </c>
      <c r="Y1876" s="0" t="s">
        <v>243</v>
      </c>
      <c r="AV1876" s="68"/>
      <c r="AW1876" s="68"/>
      <c r="AY1876" s="27"/>
      <c r="BD1876" s="68">
        <v>46054.1666666667</v>
      </c>
      <c r="BE1876" s="68">
        <v>46082.1666666667</v>
      </c>
      <c r="BF1876" s="0" t="b">
        <v>0</v>
      </c>
      <c r="BG1876" s="0" t="b">
        <v>0</v>
      </c>
      <c r="BH1876" s="0">
        <v>80</v>
      </c>
      <c r="BI1876" s="0">
        <v>80</v>
      </c>
      <c r="BJ1876" s="0" t="s">
        <v>135</v>
      </c>
    </row>
    <row r="1877">
      <c r="A1877" s="0" t="s">
        <v>2105</v>
      </c>
      <c r="B1877" s="0" t="s">
        <v>134</v>
      </c>
      <c r="C1877" s="0" t="s">
        <v>134</v>
      </c>
      <c r="D1877" s="0" t="s">
        <v>135</v>
      </c>
      <c r="E1877" s="0" t="s">
        <v>2</v>
      </c>
      <c r="F1877" s="0" t="s">
        <v>12</v>
      </c>
      <c r="G1877" s="0" t="s">
        <v>8</v>
      </c>
      <c r="H1877" s="0">
        <v>1096</v>
      </c>
      <c r="I1877" s="0">
        <v>207</v>
      </c>
      <c r="J1877" s="0">
        <v>0</v>
      </c>
      <c r="K1877" s="0">
        <v>1</v>
      </c>
      <c r="L1877" s="0">
        <v>6</v>
      </c>
      <c r="M1877" s="0">
        <v>3</v>
      </c>
      <c r="N1877" s="0">
        <v>0</v>
      </c>
      <c r="O1877" s="0">
        <v>0</v>
      </c>
      <c r="P1877" s="0">
        <v>0</v>
      </c>
      <c r="R1877" s="0" t="b">
        <v>0</v>
      </c>
      <c r="S1877" s="0" t="b">
        <v>1</v>
      </c>
      <c r="T1877" s="68">
        <v>44957.7583333333</v>
      </c>
      <c r="U1877" s="68">
        <v>44971.2916666667</v>
      </c>
      <c r="V1877" s="68">
        <v>0</v>
      </c>
      <c r="W1877" s="0">
        <f>IF(IF(B1877="none",1,IF(B1877="Trialer",1,0))+IF(C1877="Customer",1,IF(C1877="Lost",1,0))=2,1,0)</f>
      </c>
      <c r="X1877" s="0" t="s">
        <v>166</v>
      </c>
      <c r="Y1877" s="0" t="s">
        <v>499</v>
      </c>
      <c r="AV1877" s="68"/>
      <c r="AW1877" s="68"/>
      <c r="AY1877" s="27"/>
      <c r="BD1877" s="68">
        <v>46054.1666666667</v>
      </c>
      <c r="BE1877" s="68">
        <v>46082.1666666667</v>
      </c>
      <c r="BF1877" s="0" t="b">
        <v>0</v>
      </c>
      <c r="BG1877" s="0" t="b">
        <v>0</v>
      </c>
      <c r="BH1877" s="0">
        <v>207</v>
      </c>
      <c r="BI1877" s="0">
        <v>207</v>
      </c>
      <c r="BJ1877" s="0" t="s">
        <v>230</v>
      </c>
    </row>
    <row r="1878">
      <c r="A1878" s="0" t="s">
        <v>2106</v>
      </c>
      <c r="B1878" s="0" t="s">
        <v>134</v>
      </c>
      <c r="C1878" s="0" t="s">
        <v>134</v>
      </c>
      <c r="D1878" s="0" t="s">
        <v>135</v>
      </c>
      <c r="E1878" s="0" t="s">
        <v>3</v>
      </c>
      <c r="F1878" s="0" t="s">
        <v>12</v>
      </c>
      <c r="G1878" s="0" t="s">
        <v>8</v>
      </c>
      <c r="H1878" s="0">
        <v>1094</v>
      </c>
      <c r="I1878" s="0">
        <v>0</v>
      </c>
      <c r="J1878" s="0">
        <v>0</v>
      </c>
      <c r="K1878" s="0">
        <v>1</v>
      </c>
      <c r="L1878" s="0">
        <v>1</v>
      </c>
      <c r="M1878" s="0">
        <v>2</v>
      </c>
      <c r="N1878" s="0">
        <v>0</v>
      </c>
      <c r="O1878" s="0">
        <v>0</v>
      </c>
      <c r="P1878" s="0">
        <v>0</v>
      </c>
      <c r="R1878" s="0" t="b">
        <v>0</v>
      </c>
      <c r="S1878" s="0" t="b">
        <v>1</v>
      </c>
      <c r="T1878" s="68">
        <v>44959.108599537</v>
      </c>
      <c r="U1878" s="68">
        <v>44973.2916666667</v>
      </c>
      <c r="V1878" s="68">
        <v>0</v>
      </c>
      <c r="W1878" s="0">
        <f>IF(IF(B1878="none",1,IF(B1878="Trialer",1,0))+IF(C1878="Customer",1,IF(C1878="Lost",1,0))=2,1,0)</f>
      </c>
      <c r="X1878" s="0" t="s">
        <v>148</v>
      </c>
      <c r="Y1878" s="0" t="s">
        <v>243</v>
      </c>
      <c r="AV1878" s="68"/>
      <c r="AW1878" s="68"/>
      <c r="AY1878" s="27"/>
      <c r="BD1878" s="68">
        <v>46054.1666666667</v>
      </c>
      <c r="BE1878" s="68">
        <v>46082.1666666667</v>
      </c>
      <c r="BF1878" s="0" t="b">
        <v>0</v>
      </c>
      <c r="BG1878" s="0" t="b">
        <v>0</v>
      </c>
      <c r="BH1878" s="0">
        <v>0</v>
      </c>
      <c r="BI1878" s="0">
        <v>0</v>
      </c>
      <c r="BJ1878" s="0" t="s">
        <v>135</v>
      </c>
    </row>
    <row r="1879">
      <c r="A1879" s="0" t="s">
        <v>2107</v>
      </c>
      <c r="B1879" s="0" t="s">
        <v>134</v>
      </c>
      <c r="C1879" s="0" t="s">
        <v>134</v>
      </c>
      <c r="D1879" s="0" t="s">
        <v>135</v>
      </c>
      <c r="E1879" s="0" t="s">
        <v>3</v>
      </c>
      <c r="F1879" s="0" t="s">
        <v>12</v>
      </c>
      <c r="G1879" s="0" t="s">
        <v>8</v>
      </c>
      <c r="H1879" s="0">
        <v>1094</v>
      </c>
      <c r="I1879" s="0">
        <v>40</v>
      </c>
      <c r="J1879" s="0">
        <v>0</v>
      </c>
      <c r="K1879" s="0">
        <v>1</v>
      </c>
      <c r="L1879" s="0">
        <v>2</v>
      </c>
      <c r="M1879" s="0">
        <v>1</v>
      </c>
      <c r="N1879" s="0">
        <v>0</v>
      </c>
      <c r="O1879" s="0">
        <v>0</v>
      </c>
      <c r="P1879" s="0">
        <v>0</v>
      </c>
      <c r="R1879" s="0" t="b">
        <v>0</v>
      </c>
      <c r="S1879" s="0" t="b">
        <v>0</v>
      </c>
      <c r="T1879" s="68">
        <v>44959.7871296296</v>
      </c>
      <c r="U1879" s="68">
        <v>44992.2916666667</v>
      </c>
      <c r="V1879" s="68">
        <v>46097.1686805556</v>
      </c>
      <c r="W1879" s="0">
        <f>IF(IF(B1879="none",1,IF(B1879="Trialer",1,0))+IF(C1879="Customer",1,IF(C1879="Lost",1,0))=2,1,0)</f>
      </c>
      <c r="X1879" s="0" t="s">
        <v>142</v>
      </c>
      <c r="Y1879" s="0" t="s">
        <v>243</v>
      </c>
      <c r="AV1879" s="68"/>
      <c r="AW1879" s="68"/>
      <c r="AY1879" s="27"/>
      <c r="BD1879" s="68">
        <v>46054.1666666667</v>
      </c>
      <c r="BE1879" s="68">
        <v>46082.1666666667</v>
      </c>
      <c r="BF1879" s="0" t="b">
        <v>0</v>
      </c>
      <c r="BG1879" s="0" t="b">
        <v>0</v>
      </c>
      <c r="BH1879" s="0">
        <v>40</v>
      </c>
      <c r="BI1879" s="0">
        <v>40</v>
      </c>
      <c r="BJ1879" s="0" t="s">
        <v>230</v>
      </c>
    </row>
    <row r="1880">
      <c r="A1880" s="0" t="s">
        <v>2108</v>
      </c>
      <c r="B1880" s="0" t="s">
        <v>134</v>
      </c>
      <c r="C1880" s="0" t="s">
        <v>190</v>
      </c>
      <c r="D1880" s="0" t="s">
        <v>135</v>
      </c>
      <c r="E1880" s="0" t="s">
        <v>2</v>
      </c>
      <c r="F1880" s="0" t="s">
        <v>12</v>
      </c>
      <c r="G1880" s="0" t="s">
        <v>8</v>
      </c>
      <c r="H1880" s="0">
        <v>1093</v>
      </c>
      <c r="I1880" s="0">
        <v>0</v>
      </c>
      <c r="J1880" s="0">
        <v>-54</v>
      </c>
      <c r="K1880" s="0">
        <v>0</v>
      </c>
      <c r="L1880" s="0">
        <v>0</v>
      </c>
      <c r="M1880" s="0">
        <v>0</v>
      </c>
      <c r="N1880" s="0">
        <v>0</v>
      </c>
      <c r="O1880" s="0">
        <v>0</v>
      </c>
      <c r="P1880" s="0">
        <v>0</v>
      </c>
      <c r="R1880" s="0" t="b">
        <v>0</v>
      </c>
      <c r="S1880" s="0" t="b">
        <v>0</v>
      </c>
      <c r="T1880" s="68">
        <v>44960.5194444444</v>
      </c>
      <c r="U1880" s="68">
        <v>44974.2916666667</v>
      </c>
      <c r="V1880" s="68">
        <v>46068.1667708333</v>
      </c>
      <c r="W1880" s="0">
        <f>IF(IF(B1880="none",1,IF(B1880="Trialer",1,0))+IF(C1880="Customer",1,IF(C1880="Lost",1,0))=2,1,0)</f>
      </c>
      <c r="X1880" s="0" t="s">
        <v>148</v>
      </c>
      <c r="Y1880" s="0" t="s">
        <v>592</v>
      </c>
      <c r="AV1880" s="68"/>
      <c r="AW1880" s="68"/>
      <c r="AY1880" s="27"/>
      <c r="BD1880" s="68">
        <v>46054.1666666667</v>
      </c>
      <c r="BE1880" s="68">
        <v>46082.1666666667</v>
      </c>
      <c r="BF1880" s="0" t="b">
        <v>0</v>
      </c>
      <c r="BG1880" s="0" t="b">
        <v>0</v>
      </c>
      <c r="BH1880" s="0">
        <v>54</v>
      </c>
      <c r="BI1880" s="0">
        <v>54</v>
      </c>
      <c r="BJ1880" s="0" t="s">
        <v>135</v>
      </c>
    </row>
    <row r="1881">
      <c r="A1881" s="0" t="s">
        <v>2109</v>
      </c>
      <c r="B1881" s="0" t="s">
        <v>134</v>
      </c>
      <c r="C1881" s="0" t="s">
        <v>134</v>
      </c>
      <c r="D1881" s="0" t="s">
        <v>135</v>
      </c>
      <c r="E1881" s="0" t="s">
        <v>2</v>
      </c>
      <c r="F1881" s="0" t="s">
        <v>12</v>
      </c>
      <c r="G1881" s="0" t="s">
        <v>8</v>
      </c>
      <c r="H1881" s="0">
        <v>1091</v>
      </c>
      <c r="I1881" s="0">
        <v>1235</v>
      </c>
      <c r="J1881" s="0">
        <v>0</v>
      </c>
      <c r="K1881" s="0">
        <v>1</v>
      </c>
      <c r="L1881" s="0">
        <v>4</v>
      </c>
      <c r="M1881" s="0">
        <v>22</v>
      </c>
      <c r="N1881" s="0">
        <v>697.5</v>
      </c>
      <c r="O1881" s="0">
        <v>0</v>
      </c>
      <c r="P1881" s="0">
        <v>0</v>
      </c>
      <c r="R1881" s="0" t="b">
        <v>0</v>
      </c>
      <c r="S1881" s="0" t="b">
        <v>1</v>
      </c>
      <c r="T1881" s="68">
        <v>44962.3632986111</v>
      </c>
      <c r="U1881" s="68">
        <v>44985.2916666667</v>
      </c>
      <c r="V1881" s="68">
        <v>0</v>
      </c>
      <c r="W1881" s="0">
        <f>IF(IF(B1881="none",1,IF(B1881="Trialer",1,0))+IF(C1881="Customer",1,IF(C1881="Lost",1,0))=2,1,0)</f>
      </c>
      <c r="X1881" s="0" t="s">
        <v>136</v>
      </c>
      <c r="Y1881" s="0" t="s">
        <v>499</v>
      </c>
      <c r="AV1881" s="68"/>
      <c r="AW1881" s="68"/>
      <c r="AY1881" s="27"/>
      <c r="BD1881" s="68">
        <v>46054.1666666667</v>
      </c>
      <c r="BE1881" s="68">
        <v>46082.1666666667</v>
      </c>
      <c r="BF1881" s="0" t="b">
        <v>0</v>
      </c>
      <c r="BG1881" s="0" t="b">
        <v>0</v>
      </c>
      <c r="BH1881" s="0">
        <v>910</v>
      </c>
      <c r="BI1881" s="0">
        <v>910</v>
      </c>
      <c r="BJ1881" s="0" t="s">
        <v>135</v>
      </c>
    </row>
    <row r="1882">
      <c r="A1882" s="0" t="s">
        <v>2110</v>
      </c>
      <c r="B1882" s="0" t="s">
        <v>134</v>
      </c>
      <c r="C1882" s="0" t="s">
        <v>134</v>
      </c>
      <c r="D1882" s="0" t="s">
        <v>135</v>
      </c>
      <c r="E1882" s="0" t="s">
        <v>3</v>
      </c>
      <c r="F1882" s="0" t="s">
        <v>12</v>
      </c>
      <c r="G1882" s="0" t="s">
        <v>8</v>
      </c>
      <c r="H1882" s="0">
        <v>1090</v>
      </c>
      <c r="I1882" s="0">
        <v>224</v>
      </c>
      <c r="J1882" s="0">
        <v>0</v>
      </c>
      <c r="K1882" s="0">
        <v>1</v>
      </c>
      <c r="L1882" s="0">
        <v>3</v>
      </c>
      <c r="M1882" s="0">
        <v>5</v>
      </c>
      <c r="N1882" s="0">
        <v>0</v>
      </c>
      <c r="O1882" s="0">
        <v>0</v>
      </c>
      <c r="P1882" s="0">
        <v>0</v>
      </c>
      <c r="R1882" s="0" t="b">
        <v>0</v>
      </c>
      <c r="S1882" s="0" t="b">
        <v>0</v>
      </c>
      <c r="T1882" s="68">
        <v>44963.6421759259</v>
      </c>
      <c r="U1882" s="68">
        <v>44978.2916666667</v>
      </c>
      <c r="V1882" s="68">
        <v>46099.6077430556</v>
      </c>
      <c r="W1882" s="0">
        <f>IF(IF(B1882="none",1,IF(B1882="Trialer",1,0))+IF(C1882="Customer",1,IF(C1882="Lost",1,0))=2,1,0)</f>
      </c>
      <c r="X1882" s="0" t="s">
        <v>145</v>
      </c>
      <c r="Y1882" s="0" t="s">
        <v>243</v>
      </c>
      <c r="AV1882" s="68"/>
      <c r="AW1882" s="68"/>
      <c r="AY1882" s="27"/>
      <c r="BD1882" s="68">
        <v>46054.1666666667</v>
      </c>
      <c r="BE1882" s="68">
        <v>46082.1666666667</v>
      </c>
      <c r="BF1882" s="0" t="b">
        <v>0</v>
      </c>
      <c r="BG1882" s="0" t="b">
        <v>0</v>
      </c>
      <c r="BH1882" s="0">
        <v>224</v>
      </c>
      <c r="BI1882" s="0">
        <v>224</v>
      </c>
      <c r="BJ1882" s="0" t="s">
        <v>135</v>
      </c>
    </row>
    <row r="1883">
      <c r="A1883" s="0" t="s">
        <v>2111</v>
      </c>
      <c r="B1883" s="0" t="s">
        <v>134</v>
      </c>
      <c r="C1883" s="0" t="s">
        <v>134</v>
      </c>
      <c r="D1883" s="0" t="s">
        <v>135</v>
      </c>
      <c r="E1883" s="0" t="s">
        <v>3</v>
      </c>
      <c r="F1883" s="0" t="s">
        <v>12</v>
      </c>
      <c r="G1883" s="0" t="s">
        <v>8</v>
      </c>
      <c r="H1883" s="0">
        <v>1088</v>
      </c>
      <c r="I1883" s="0">
        <v>122</v>
      </c>
      <c r="J1883" s="0">
        <v>0</v>
      </c>
      <c r="K1883" s="0">
        <v>1</v>
      </c>
      <c r="L1883" s="0">
        <v>4</v>
      </c>
      <c r="M1883" s="0">
        <v>2</v>
      </c>
      <c r="N1883" s="0">
        <v>0</v>
      </c>
      <c r="O1883" s="0">
        <v>0</v>
      </c>
      <c r="P1883" s="0">
        <v>0</v>
      </c>
      <c r="R1883" s="0" t="b">
        <v>0</v>
      </c>
      <c r="S1883" s="0" t="b">
        <v>1</v>
      </c>
      <c r="T1883" s="68">
        <v>44965.6284722222</v>
      </c>
      <c r="U1883" s="68">
        <v>44979.2916666667</v>
      </c>
      <c r="V1883" s="68">
        <v>0</v>
      </c>
      <c r="W1883" s="0">
        <f>IF(IF(B1883="none",1,IF(B1883="Trialer",1,0))+IF(C1883="Customer",1,IF(C1883="Lost",1,0))=2,1,0)</f>
      </c>
      <c r="X1883" s="0" t="s">
        <v>153</v>
      </c>
      <c r="Y1883" s="0" t="s">
        <v>243</v>
      </c>
      <c r="AV1883" s="68"/>
      <c r="AW1883" s="68"/>
      <c r="AY1883" s="27"/>
      <c r="BD1883" s="68">
        <v>46054.1666666667</v>
      </c>
      <c r="BE1883" s="68">
        <v>46082.1666666667</v>
      </c>
      <c r="BF1883" s="0" t="b">
        <v>0</v>
      </c>
      <c r="BG1883" s="0" t="b">
        <v>0</v>
      </c>
      <c r="BH1883" s="0">
        <v>122</v>
      </c>
      <c r="BI1883" s="0">
        <v>122</v>
      </c>
      <c r="BJ1883" s="0" t="s">
        <v>135</v>
      </c>
    </row>
    <row r="1884">
      <c r="A1884" s="0" t="s">
        <v>2112</v>
      </c>
      <c r="B1884" s="0" t="s">
        <v>134</v>
      </c>
      <c r="C1884" s="0" t="s">
        <v>134</v>
      </c>
      <c r="D1884" s="0" t="s">
        <v>230</v>
      </c>
      <c r="E1884" s="0" t="s">
        <v>2</v>
      </c>
      <c r="F1884" s="0" t="s">
        <v>12</v>
      </c>
      <c r="G1884" s="0" t="s">
        <v>8</v>
      </c>
      <c r="H1884" s="0">
        <v>1086</v>
      </c>
      <c r="I1884" s="0">
        <v>261</v>
      </c>
      <c r="J1884" s="0">
        <v>0</v>
      </c>
      <c r="K1884" s="0">
        <v>1</v>
      </c>
      <c r="L1884" s="0">
        <v>5</v>
      </c>
      <c r="M1884" s="0">
        <v>5</v>
      </c>
      <c r="N1884" s="0">
        <v>0</v>
      </c>
      <c r="O1884" s="0">
        <v>0</v>
      </c>
      <c r="P1884" s="0">
        <v>-261</v>
      </c>
      <c r="R1884" s="0" t="b">
        <v>0</v>
      </c>
      <c r="S1884" s="0" t="b">
        <v>1</v>
      </c>
      <c r="T1884" s="68">
        <v>44967.4850925926</v>
      </c>
      <c r="U1884" s="68">
        <v>44981.2916666667</v>
      </c>
      <c r="V1884" s="68">
        <v>0</v>
      </c>
      <c r="W1884" s="0">
        <f>IF(IF(B1884="none",1,IF(B1884="Trialer",1,0))+IF(C1884="Customer",1,IF(C1884="Lost",1,0))=2,1,0)</f>
      </c>
      <c r="X1884" s="0" t="s">
        <v>136</v>
      </c>
      <c r="Y1884" s="0" t="s">
        <v>499</v>
      </c>
      <c r="AV1884" s="68"/>
      <c r="AW1884" s="68"/>
      <c r="AY1884" s="27"/>
      <c r="BD1884" s="68">
        <v>46054.1666666667</v>
      </c>
      <c r="BE1884" s="68">
        <v>46082.1666666667</v>
      </c>
      <c r="BF1884" s="0" t="b">
        <v>0</v>
      </c>
      <c r="BG1884" s="0" t="b">
        <v>0</v>
      </c>
      <c r="BH1884" s="0">
        <v>296</v>
      </c>
      <c r="BI1884" s="0">
        <v>296</v>
      </c>
      <c r="BJ1884" s="0" t="s">
        <v>230</v>
      </c>
    </row>
    <row r="1885">
      <c r="A1885" s="0" t="s">
        <v>2113</v>
      </c>
      <c r="B1885" s="0" t="s">
        <v>134</v>
      </c>
      <c r="C1885" s="0" t="s">
        <v>134</v>
      </c>
      <c r="D1885" s="0" t="s">
        <v>230</v>
      </c>
      <c r="E1885" s="0" t="s">
        <v>3</v>
      </c>
      <c r="F1885" s="0" t="s">
        <v>12</v>
      </c>
      <c r="G1885" s="0" t="s">
        <v>8</v>
      </c>
      <c r="H1885" s="0">
        <v>1086</v>
      </c>
      <c r="I1885" s="0">
        <v>35</v>
      </c>
      <c r="J1885" s="0">
        <v>0</v>
      </c>
      <c r="K1885" s="0">
        <v>1</v>
      </c>
      <c r="L1885" s="0">
        <v>2</v>
      </c>
      <c r="M1885" s="0">
        <v>1</v>
      </c>
      <c r="N1885" s="0">
        <v>0</v>
      </c>
      <c r="O1885" s="0">
        <v>0</v>
      </c>
      <c r="P1885" s="0">
        <v>-35</v>
      </c>
      <c r="R1885" s="0" t="b">
        <v>0</v>
      </c>
      <c r="S1885" s="0" t="b">
        <v>1</v>
      </c>
      <c r="T1885" s="68">
        <v>44967.5244907407</v>
      </c>
      <c r="U1885" s="68">
        <v>44981.2916666667</v>
      </c>
      <c r="V1885" s="68">
        <v>0</v>
      </c>
      <c r="W1885" s="0">
        <f>IF(IF(B1885="none",1,IF(B1885="Trialer",1,0))+IF(C1885="Customer",1,IF(C1885="Lost",1,0))=2,1,0)</f>
      </c>
      <c r="X1885" s="0" t="s">
        <v>153</v>
      </c>
      <c r="Y1885" s="0" t="s">
        <v>243</v>
      </c>
      <c r="AV1885" s="68"/>
      <c r="AW1885" s="68"/>
      <c r="AY1885" s="27"/>
      <c r="BD1885" s="68">
        <v>46054.1666666667</v>
      </c>
      <c r="BE1885" s="68">
        <v>46082.1666666667</v>
      </c>
      <c r="BF1885" s="0" t="b">
        <v>0</v>
      </c>
      <c r="BG1885" s="0" t="b">
        <v>0</v>
      </c>
      <c r="BH1885" s="0">
        <v>40</v>
      </c>
      <c r="BI1885" s="0">
        <v>40</v>
      </c>
      <c r="BJ1885" s="0" t="s">
        <v>230</v>
      </c>
    </row>
    <row r="1886">
      <c r="A1886" s="0" t="s">
        <v>2114</v>
      </c>
      <c r="B1886" s="0" t="s">
        <v>134</v>
      </c>
      <c r="C1886" s="0" t="s">
        <v>134</v>
      </c>
      <c r="D1886" s="0" t="s">
        <v>135</v>
      </c>
      <c r="E1886" s="0" t="s">
        <v>2</v>
      </c>
      <c r="F1886" s="0" t="s">
        <v>12</v>
      </c>
      <c r="G1886" s="0" t="s">
        <v>8</v>
      </c>
      <c r="H1886" s="0">
        <v>1085</v>
      </c>
      <c r="I1886" s="0">
        <v>884</v>
      </c>
      <c r="J1886" s="0">
        <v>0</v>
      </c>
      <c r="K1886" s="0">
        <v>1</v>
      </c>
      <c r="L1886" s="0">
        <v>5</v>
      </c>
      <c r="M1886" s="0">
        <v>10</v>
      </c>
      <c r="N1886" s="0">
        <v>0</v>
      </c>
      <c r="O1886" s="0">
        <v>0</v>
      </c>
      <c r="P1886" s="0">
        <v>0</v>
      </c>
      <c r="R1886" s="0" t="b">
        <v>0</v>
      </c>
      <c r="S1886" s="0" t="b">
        <v>1</v>
      </c>
      <c r="T1886" s="68">
        <v>44968.5891666667</v>
      </c>
      <c r="U1886" s="68">
        <v>44982.2916666667</v>
      </c>
      <c r="V1886" s="68">
        <v>0</v>
      </c>
      <c r="W1886" s="0">
        <f>IF(IF(B1886="none",1,IF(B1886="Trialer",1,0))+IF(C1886="Customer",1,IF(C1886="Lost",1,0))=2,1,0)</f>
      </c>
      <c r="X1886" s="0" t="s">
        <v>136</v>
      </c>
      <c r="Y1886" s="0" t="s">
        <v>499</v>
      </c>
      <c r="AV1886" s="68"/>
      <c r="AW1886" s="68"/>
      <c r="AY1886" s="27"/>
      <c r="BD1886" s="68">
        <v>46054.1666666667</v>
      </c>
      <c r="BE1886" s="68">
        <v>46082.1666666667</v>
      </c>
      <c r="BF1886" s="0" t="b">
        <v>0</v>
      </c>
      <c r="BG1886" s="0" t="b">
        <v>0</v>
      </c>
      <c r="BH1886" s="0">
        <v>559</v>
      </c>
      <c r="BI1886" s="0">
        <v>559</v>
      </c>
      <c r="BJ1886" s="0" t="s">
        <v>135</v>
      </c>
    </row>
    <row r="1887">
      <c r="A1887" s="0" t="s">
        <v>2115</v>
      </c>
      <c r="B1887" s="0" t="s">
        <v>134</v>
      </c>
      <c r="C1887" s="0" t="s">
        <v>134</v>
      </c>
      <c r="D1887" s="0" t="s">
        <v>135</v>
      </c>
      <c r="E1887" s="0" t="s">
        <v>3</v>
      </c>
      <c r="F1887" s="0" t="s">
        <v>12</v>
      </c>
      <c r="G1887" s="0" t="s">
        <v>8</v>
      </c>
      <c r="H1887" s="0">
        <v>1083</v>
      </c>
      <c r="I1887" s="0">
        <v>61</v>
      </c>
      <c r="J1887" s="0">
        <v>0</v>
      </c>
      <c r="K1887" s="0">
        <v>1</v>
      </c>
      <c r="L1887" s="0">
        <v>4</v>
      </c>
      <c r="M1887" s="0">
        <v>1</v>
      </c>
      <c r="N1887" s="0">
        <v>0</v>
      </c>
      <c r="O1887" s="0">
        <v>0</v>
      </c>
      <c r="P1887" s="0">
        <v>0</v>
      </c>
      <c r="R1887" s="0" t="b">
        <v>0</v>
      </c>
      <c r="S1887" s="0" t="b">
        <v>1</v>
      </c>
      <c r="T1887" s="68">
        <v>44970.6435185185</v>
      </c>
      <c r="U1887" s="68">
        <v>44984.2916666667</v>
      </c>
      <c r="V1887" s="68">
        <v>0</v>
      </c>
      <c r="W1887" s="0">
        <f>IF(IF(B1887="none",1,IF(B1887="Trialer",1,0))+IF(C1887="Customer",1,IF(C1887="Lost",1,0))=2,1,0)</f>
      </c>
      <c r="X1887" s="0" t="s">
        <v>153</v>
      </c>
      <c r="Y1887" s="0" t="s">
        <v>243</v>
      </c>
      <c r="AV1887" s="68"/>
      <c r="AW1887" s="68"/>
      <c r="AY1887" s="27"/>
      <c r="BD1887" s="68">
        <v>46054.1666666667</v>
      </c>
      <c r="BE1887" s="68">
        <v>46082.1666666667</v>
      </c>
      <c r="BF1887" s="0" t="b">
        <v>0</v>
      </c>
      <c r="BG1887" s="0" t="b">
        <v>0</v>
      </c>
      <c r="BH1887" s="0">
        <v>61</v>
      </c>
      <c r="BI1887" s="0">
        <v>61</v>
      </c>
      <c r="BJ1887" s="0" t="s">
        <v>135</v>
      </c>
    </row>
    <row r="1888">
      <c r="A1888" s="0" t="s">
        <v>2116</v>
      </c>
      <c r="B1888" s="0" t="s">
        <v>134</v>
      </c>
      <c r="C1888" s="0" t="s">
        <v>134</v>
      </c>
      <c r="D1888" s="0" t="s">
        <v>135</v>
      </c>
      <c r="E1888" s="0" t="s">
        <v>2</v>
      </c>
      <c r="F1888" s="0" t="s">
        <v>12</v>
      </c>
      <c r="G1888" s="0" t="s">
        <v>8</v>
      </c>
      <c r="H1888" s="0">
        <v>1083</v>
      </c>
      <c r="I1888" s="0">
        <v>28</v>
      </c>
      <c r="J1888" s="0">
        <v>0</v>
      </c>
      <c r="K1888" s="0">
        <v>1</v>
      </c>
      <c r="L1888" s="0">
        <v>1</v>
      </c>
      <c r="M1888" s="0">
        <v>1</v>
      </c>
      <c r="N1888" s="0">
        <v>0</v>
      </c>
      <c r="O1888" s="0">
        <v>0</v>
      </c>
      <c r="P1888" s="0">
        <v>0</v>
      </c>
      <c r="R1888" s="0" t="b">
        <v>0</v>
      </c>
      <c r="S1888" s="0" t="b">
        <v>1</v>
      </c>
      <c r="T1888" s="68">
        <v>44970.6489930556</v>
      </c>
      <c r="U1888" s="68">
        <v>44985.2916666667</v>
      </c>
      <c r="V1888" s="68">
        <v>0</v>
      </c>
      <c r="W1888" s="0">
        <f>IF(IF(B1888="none",1,IF(B1888="Trialer",1,0))+IF(C1888="Customer",1,IF(C1888="Lost",1,0))=2,1,0)</f>
      </c>
      <c r="X1888" s="0" t="s">
        <v>166</v>
      </c>
      <c r="Y1888" s="0" t="s">
        <v>499</v>
      </c>
      <c r="AV1888" s="68"/>
      <c r="AW1888" s="68"/>
      <c r="AY1888" s="27"/>
      <c r="BD1888" s="68">
        <v>46054.1666666667</v>
      </c>
      <c r="BE1888" s="68">
        <v>46082.1666666667</v>
      </c>
      <c r="BF1888" s="0" t="b">
        <v>0</v>
      </c>
      <c r="BG1888" s="0" t="b">
        <v>0</v>
      </c>
      <c r="BH1888" s="0">
        <v>28</v>
      </c>
      <c r="BI1888" s="0">
        <v>28</v>
      </c>
      <c r="BJ1888" s="0" t="s">
        <v>135</v>
      </c>
    </row>
    <row r="1889">
      <c r="A1889" s="0" t="s">
        <v>2117</v>
      </c>
      <c r="B1889" s="0" t="s">
        <v>134</v>
      </c>
      <c r="C1889" s="0" t="s">
        <v>134</v>
      </c>
      <c r="D1889" s="0" t="s">
        <v>135</v>
      </c>
      <c r="E1889" s="0" t="s">
        <v>3</v>
      </c>
      <c r="F1889" s="0" t="s">
        <v>11</v>
      </c>
      <c r="G1889" s="0" t="s">
        <v>8</v>
      </c>
      <c r="H1889" s="0">
        <v>1083</v>
      </c>
      <c r="I1889" s="0">
        <v>78.4</v>
      </c>
      <c r="J1889" s="0">
        <v>0</v>
      </c>
      <c r="K1889" s="0">
        <v>1</v>
      </c>
      <c r="L1889" s="0">
        <v>3</v>
      </c>
      <c r="M1889" s="0">
        <v>2</v>
      </c>
      <c r="N1889" s="0">
        <v>0</v>
      </c>
      <c r="O1889" s="0">
        <v>0</v>
      </c>
      <c r="P1889" s="0">
        <v>0</v>
      </c>
      <c r="Q1889" s="0" t="s">
        <v>1743</v>
      </c>
      <c r="R1889" s="0" t="b">
        <v>1</v>
      </c>
      <c r="S1889" s="0" t="b">
        <v>1</v>
      </c>
      <c r="T1889" s="68">
        <v>44970.6694097222</v>
      </c>
      <c r="U1889" s="68">
        <v>44970.2916666667</v>
      </c>
      <c r="V1889" s="68">
        <v>0</v>
      </c>
      <c r="W1889" s="0">
        <f>IF(IF(B1889="none",1,IF(B1889="Trialer",1,0))+IF(C1889="Customer",1,IF(C1889="Lost",1,0))=2,1,0)</f>
      </c>
      <c r="X1889" s="0" t="s">
        <v>145</v>
      </c>
      <c r="Y1889" s="0" t="s">
        <v>243</v>
      </c>
      <c r="AV1889" s="68"/>
      <c r="AW1889" s="68"/>
      <c r="AY1889" s="27"/>
      <c r="BD1889" s="68">
        <v>46054.1666666667</v>
      </c>
      <c r="BE1889" s="68">
        <v>46082.1666666667</v>
      </c>
      <c r="BF1889" s="0" t="b">
        <v>0</v>
      </c>
      <c r="BG1889" s="0" t="b">
        <v>0</v>
      </c>
      <c r="BH1889" s="0">
        <v>78.4</v>
      </c>
      <c r="BI1889" s="0">
        <v>78.4</v>
      </c>
      <c r="BJ1889" s="0" t="s">
        <v>135</v>
      </c>
    </row>
    <row r="1890">
      <c r="A1890" s="0" t="s">
        <v>2118</v>
      </c>
      <c r="B1890" s="0" t="s">
        <v>134</v>
      </c>
      <c r="C1890" s="0" t="s">
        <v>134</v>
      </c>
      <c r="D1890" s="0" t="s">
        <v>135</v>
      </c>
      <c r="E1890" s="0" t="s">
        <v>3</v>
      </c>
      <c r="F1890" s="0" t="s">
        <v>12</v>
      </c>
      <c r="G1890" s="0" t="s">
        <v>8</v>
      </c>
      <c r="H1890" s="0">
        <v>1082</v>
      </c>
      <c r="I1890" s="0">
        <v>110</v>
      </c>
      <c r="J1890" s="0">
        <v>0</v>
      </c>
      <c r="K1890" s="0">
        <v>1</v>
      </c>
      <c r="L1890" s="0">
        <v>4</v>
      </c>
      <c r="M1890" s="0">
        <v>2</v>
      </c>
      <c r="N1890" s="0">
        <v>0</v>
      </c>
      <c r="O1890" s="0">
        <v>0</v>
      </c>
      <c r="P1890" s="0">
        <v>0</v>
      </c>
      <c r="R1890" s="0" t="b">
        <v>0</v>
      </c>
      <c r="S1890" s="0" t="b">
        <v>1</v>
      </c>
      <c r="T1890" s="68">
        <v>44971.3180208333</v>
      </c>
      <c r="U1890" s="68">
        <v>44985.2916666667</v>
      </c>
      <c r="V1890" s="68">
        <v>0</v>
      </c>
      <c r="W1890" s="0">
        <f>IF(IF(B1890="none",1,IF(B1890="Trialer",1,0))+IF(C1890="Customer",1,IF(C1890="Lost",1,0))=2,1,0)</f>
      </c>
      <c r="X1890" s="0" t="s">
        <v>153</v>
      </c>
      <c r="Y1890" s="0" t="s">
        <v>243</v>
      </c>
      <c r="AV1890" s="68"/>
      <c r="AW1890" s="68"/>
      <c r="AY1890" s="27"/>
      <c r="BD1890" s="68">
        <v>46054.1666666667</v>
      </c>
      <c r="BE1890" s="68">
        <v>46082.1666666667</v>
      </c>
      <c r="BF1890" s="0" t="b">
        <v>0</v>
      </c>
      <c r="BG1890" s="0" t="b">
        <v>0</v>
      </c>
      <c r="BH1890" s="0">
        <v>110</v>
      </c>
      <c r="BI1890" s="0">
        <v>110</v>
      </c>
      <c r="BJ1890" s="0" t="s">
        <v>135</v>
      </c>
    </row>
    <row r="1891">
      <c r="A1891" s="0" t="s">
        <v>2119</v>
      </c>
      <c r="B1891" s="0" t="s">
        <v>134</v>
      </c>
      <c r="C1891" s="0" t="s">
        <v>134</v>
      </c>
      <c r="D1891" s="0" t="s">
        <v>135</v>
      </c>
      <c r="E1891" s="0" t="s">
        <v>2</v>
      </c>
      <c r="F1891" s="0" t="s">
        <v>12</v>
      </c>
      <c r="G1891" s="0" t="s">
        <v>8</v>
      </c>
      <c r="H1891" s="0">
        <v>1082</v>
      </c>
      <c r="I1891" s="0">
        <v>208</v>
      </c>
      <c r="J1891" s="0">
        <v>0</v>
      </c>
      <c r="K1891" s="0">
        <v>1</v>
      </c>
      <c r="L1891" s="0">
        <v>4</v>
      </c>
      <c r="M1891" s="0">
        <v>4</v>
      </c>
      <c r="N1891" s="0">
        <v>0</v>
      </c>
      <c r="O1891" s="0">
        <v>0</v>
      </c>
      <c r="P1891" s="0">
        <v>0</v>
      </c>
      <c r="R1891" s="0" t="b">
        <v>0</v>
      </c>
      <c r="S1891" s="0" t="b">
        <v>1</v>
      </c>
      <c r="T1891" s="68">
        <v>44971.5197569444</v>
      </c>
      <c r="U1891" s="68">
        <v>44986.2916666667</v>
      </c>
      <c r="V1891" s="68">
        <v>0</v>
      </c>
      <c r="W1891" s="0">
        <f>IF(IF(B1891="none",1,IF(B1891="Trialer",1,0))+IF(C1891="Customer",1,IF(C1891="Lost",1,0))=2,1,0)</f>
      </c>
      <c r="X1891" s="0" t="s">
        <v>148</v>
      </c>
      <c r="Y1891" s="0" t="s">
        <v>499</v>
      </c>
      <c r="AV1891" s="68"/>
      <c r="AW1891" s="68"/>
      <c r="AY1891" s="27"/>
      <c r="BD1891" s="68">
        <v>46054.1666666667</v>
      </c>
      <c r="BE1891" s="68">
        <v>46082.1666666667</v>
      </c>
      <c r="BF1891" s="0" t="b">
        <v>0</v>
      </c>
      <c r="BG1891" s="0" t="b">
        <v>0</v>
      </c>
      <c r="BH1891" s="0">
        <v>208</v>
      </c>
      <c r="BI1891" s="0">
        <v>208</v>
      </c>
      <c r="BJ1891" s="0" t="s">
        <v>135</v>
      </c>
    </row>
    <row r="1892">
      <c r="A1892" s="0" t="s">
        <v>2120</v>
      </c>
      <c r="B1892" s="0" t="s">
        <v>134</v>
      </c>
      <c r="C1892" s="0" t="s">
        <v>134</v>
      </c>
      <c r="D1892" s="0" t="s">
        <v>135</v>
      </c>
      <c r="E1892" s="0" t="s">
        <v>3</v>
      </c>
      <c r="F1892" s="0" t="s">
        <v>12</v>
      </c>
      <c r="G1892" s="0" t="s">
        <v>8</v>
      </c>
      <c r="H1892" s="0">
        <v>1081</v>
      </c>
      <c r="I1892" s="0">
        <v>0</v>
      </c>
      <c r="J1892" s="0">
        <v>0</v>
      </c>
      <c r="K1892" s="0">
        <v>1</v>
      </c>
      <c r="L1892" s="0">
        <v>4</v>
      </c>
      <c r="M1892" s="0">
        <v>2</v>
      </c>
      <c r="N1892" s="0">
        <v>0</v>
      </c>
      <c r="O1892" s="0">
        <v>0</v>
      </c>
      <c r="P1892" s="0">
        <v>0</v>
      </c>
      <c r="R1892" s="0" t="b">
        <v>0</v>
      </c>
      <c r="S1892" s="0" t="b">
        <v>1</v>
      </c>
      <c r="T1892" s="68">
        <v>44972.3159722222</v>
      </c>
      <c r="U1892" s="68">
        <v>44993.2916666667</v>
      </c>
      <c r="V1892" s="68">
        <v>0</v>
      </c>
      <c r="W1892" s="0">
        <f>IF(IF(B1892="none",1,IF(B1892="Trialer",1,0))+IF(C1892="Customer",1,IF(C1892="Lost",1,0))=2,1,0)</f>
      </c>
      <c r="X1892" s="0" t="s">
        <v>136</v>
      </c>
      <c r="Y1892" s="0" t="s">
        <v>243</v>
      </c>
      <c r="AV1892" s="68"/>
      <c r="AW1892" s="68"/>
      <c r="AY1892" s="27"/>
      <c r="BD1892" s="68">
        <v>46054.1666666667</v>
      </c>
      <c r="BE1892" s="68">
        <v>46082.1666666667</v>
      </c>
      <c r="BF1892" s="0" t="b">
        <v>0</v>
      </c>
      <c r="BG1892" s="0" t="b">
        <v>0</v>
      </c>
      <c r="BH1892" s="0">
        <v>0</v>
      </c>
      <c r="BI1892" s="0">
        <v>0</v>
      </c>
      <c r="BJ1892" s="0" t="s">
        <v>135</v>
      </c>
    </row>
    <row r="1893">
      <c r="A1893" s="0" t="s">
        <v>2121</v>
      </c>
      <c r="B1893" s="0" t="s">
        <v>134</v>
      </c>
      <c r="C1893" s="0" t="s">
        <v>134</v>
      </c>
      <c r="D1893" s="0" t="s">
        <v>135</v>
      </c>
      <c r="E1893" s="0" t="s">
        <v>2</v>
      </c>
      <c r="F1893" s="0" t="s">
        <v>10</v>
      </c>
      <c r="G1893" s="0" t="s">
        <v>8</v>
      </c>
      <c r="H1893" s="0">
        <v>1081</v>
      </c>
      <c r="I1893" s="0">
        <v>28</v>
      </c>
      <c r="J1893" s="0">
        <v>0</v>
      </c>
      <c r="K1893" s="0">
        <v>1</v>
      </c>
      <c r="L1893" s="0">
        <v>1</v>
      </c>
      <c r="M1893" s="0">
        <v>1</v>
      </c>
      <c r="N1893" s="0">
        <v>0</v>
      </c>
      <c r="O1893" s="0">
        <v>0</v>
      </c>
      <c r="P1893" s="0">
        <v>0</v>
      </c>
      <c r="Q1893" s="0" t="s">
        <v>618</v>
      </c>
      <c r="R1893" s="0" t="b">
        <v>0</v>
      </c>
      <c r="S1893" s="0" t="b">
        <v>1</v>
      </c>
      <c r="T1893" s="68">
        <v>44972.3178240741</v>
      </c>
      <c r="U1893" s="68">
        <v>44986.2916666667</v>
      </c>
      <c r="V1893" s="68">
        <v>0</v>
      </c>
      <c r="W1893" s="0">
        <f>IF(IF(B1893="none",1,IF(B1893="Trialer",1,0))+IF(C1893="Customer",1,IF(C1893="Lost",1,0))=2,1,0)</f>
      </c>
      <c r="X1893" s="0" t="s">
        <v>148</v>
      </c>
      <c r="Y1893" s="0" t="s">
        <v>499</v>
      </c>
      <c r="AV1893" s="68"/>
      <c r="AW1893" s="68"/>
      <c r="AY1893" s="27"/>
      <c r="BD1893" s="68">
        <v>46054.1666666667</v>
      </c>
      <c r="BE1893" s="68">
        <v>46082.1666666667</v>
      </c>
      <c r="BF1893" s="0" t="b">
        <v>0</v>
      </c>
      <c r="BG1893" s="0" t="b">
        <v>0</v>
      </c>
      <c r="BH1893" s="0">
        <v>28</v>
      </c>
      <c r="BI1893" s="0">
        <v>28</v>
      </c>
      <c r="BJ1893" s="0" t="s">
        <v>135</v>
      </c>
    </row>
    <row r="1894">
      <c r="A1894" s="0" t="s">
        <v>2122</v>
      </c>
      <c r="B1894" s="0" t="s">
        <v>134</v>
      </c>
      <c r="C1894" s="0" t="s">
        <v>134</v>
      </c>
      <c r="D1894" s="0" t="s">
        <v>230</v>
      </c>
      <c r="E1894" s="0" t="s">
        <v>3</v>
      </c>
      <c r="F1894" s="0" t="s">
        <v>12</v>
      </c>
      <c r="G1894" s="0" t="s">
        <v>8</v>
      </c>
      <c r="H1894" s="0">
        <v>1081</v>
      </c>
      <c r="I1894" s="0">
        <v>109</v>
      </c>
      <c r="J1894" s="0">
        <v>0</v>
      </c>
      <c r="K1894" s="0">
        <v>1</v>
      </c>
      <c r="L1894" s="0">
        <v>5</v>
      </c>
      <c r="M1894" s="0">
        <v>4</v>
      </c>
      <c r="N1894" s="0">
        <v>0</v>
      </c>
      <c r="O1894" s="0">
        <v>0</v>
      </c>
      <c r="P1894" s="0">
        <v>-109</v>
      </c>
      <c r="R1894" s="0" t="b">
        <v>0</v>
      </c>
      <c r="S1894" s="0" t="b">
        <v>1</v>
      </c>
      <c r="T1894" s="68">
        <v>44972.7763078704</v>
      </c>
      <c r="U1894" s="68">
        <v>45004.3333333333</v>
      </c>
      <c r="V1894" s="68">
        <v>0</v>
      </c>
      <c r="W1894" s="0">
        <f>IF(IF(B1894="none",1,IF(B1894="Trialer",1,0))+IF(C1894="Customer",1,IF(C1894="Lost",1,0))=2,1,0)</f>
      </c>
      <c r="X1894" s="0" t="s">
        <v>136</v>
      </c>
      <c r="Y1894" s="0" t="s">
        <v>243</v>
      </c>
      <c r="AV1894" s="68"/>
      <c r="AW1894" s="68"/>
      <c r="AY1894" s="27"/>
      <c r="BD1894" s="68">
        <v>46054.1666666667</v>
      </c>
      <c r="BE1894" s="68">
        <v>46082.1666666667</v>
      </c>
      <c r="BF1894" s="0" t="b">
        <v>0</v>
      </c>
      <c r="BG1894" s="0" t="b">
        <v>0</v>
      </c>
      <c r="BH1894" s="0">
        <v>127</v>
      </c>
      <c r="BI1894" s="0">
        <v>127</v>
      </c>
      <c r="BJ1894" s="0" t="s">
        <v>230</v>
      </c>
    </row>
    <row r="1895">
      <c r="A1895" s="0" t="s">
        <v>2123</v>
      </c>
      <c r="B1895" s="0" t="s">
        <v>134</v>
      </c>
      <c r="C1895" s="0" t="s">
        <v>134</v>
      </c>
      <c r="D1895" s="0" t="s">
        <v>135</v>
      </c>
      <c r="E1895" s="0" t="s">
        <v>2</v>
      </c>
      <c r="F1895" s="0" t="s">
        <v>12</v>
      </c>
      <c r="G1895" s="0" t="s">
        <v>8</v>
      </c>
      <c r="H1895" s="0">
        <v>1080</v>
      </c>
      <c r="I1895" s="0">
        <v>98</v>
      </c>
      <c r="J1895" s="0">
        <v>0</v>
      </c>
      <c r="K1895" s="0">
        <v>1</v>
      </c>
      <c r="L1895" s="0">
        <v>3</v>
      </c>
      <c r="M1895" s="0">
        <v>2</v>
      </c>
      <c r="N1895" s="0">
        <v>0</v>
      </c>
      <c r="O1895" s="0">
        <v>0</v>
      </c>
      <c r="P1895" s="0">
        <v>0</v>
      </c>
      <c r="R1895" s="0" t="b">
        <v>0</v>
      </c>
      <c r="S1895" s="0" t="b">
        <v>1</v>
      </c>
      <c r="T1895" s="68">
        <v>44973.3736574074</v>
      </c>
      <c r="U1895" s="68">
        <v>44987.2916666667</v>
      </c>
      <c r="V1895" s="68">
        <v>0</v>
      </c>
      <c r="W1895" s="0">
        <f>IF(IF(B1895="none",1,IF(B1895="Trialer",1,0))+IF(C1895="Customer",1,IF(C1895="Lost",1,0))=2,1,0)</f>
      </c>
      <c r="X1895" s="0" t="s">
        <v>142</v>
      </c>
      <c r="Y1895" s="0" t="s">
        <v>499</v>
      </c>
      <c r="AV1895" s="68"/>
      <c r="AW1895" s="68"/>
      <c r="AY1895" s="27"/>
      <c r="BD1895" s="68">
        <v>46054.1666666667</v>
      </c>
      <c r="BE1895" s="68">
        <v>46082.1666666667</v>
      </c>
      <c r="BF1895" s="0" t="b">
        <v>0</v>
      </c>
      <c r="BG1895" s="0" t="b">
        <v>0</v>
      </c>
      <c r="BH1895" s="0">
        <v>98</v>
      </c>
      <c r="BI1895" s="0">
        <v>98</v>
      </c>
      <c r="BJ1895" s="0" t="s">
        <v>135</v>
      </c>
    </row>
    <row r="1896">
      <c r="A1896" s="0" t="s">
        <v>2124</v>
      </c>
      <c r="B1896" s="0" t="s">
        <v>134</v>
      </c>
      <c r="C1896" s="0" t="s">
        <v>134</v>
      </c>
      <c r="D1896" s="0" t="s">
        <v>135</v>
      </c>
      <c r="E1896" s="0" t="s">
        <v>3</v>
      </c>
      <c r="F1896" s="0" t="s">
        <v>10</v>
      </c>
      <c r="G1896" s="0" t="s">
        <v>8</v>
      </c>
      <c r="H1896" s="0">
        <v>1080</v>
      </c>
      <c r="I1896" s="0">
        <v>56</v>
      </c>
      <c r="J1896" s="0">
        <v>0</v>
      </c>
      <c r="K1896" s="0">
        <v>1</v>
      </c>
      <c r="L1896" s="0">
        <v>1</v>
      </c>
      <c r="M1896" s="0">
        <v>2</v>
      </c>
      <c r="N1896" s="0">
        <v>0</v>
      </c>
      <c r="O1896" s="0">
        <v>0</v>
      </c>
      <c r="P1896" s="0">
        <v>0</v>
      </c>
      <c r="Q1896" s="0" t="s">
        <v>618</v>
      </c>
      <c r="R1896" s="0" t="b">
        <v>0</v>
      </c>
      <c r="S1896" s="0" t="b">
        <v>1</v>
      </c>
      <c r="T1896" s="68">
        <v>44973.5772337963</v>
      </c>
      <c r="U1896" s="68">
        <v>44987.2916666667</v>
      </c>
      <c r="V1896" s="68">
        <v>0</v>
      </c>
      <c r="W1896" s="0">
        <f>IF(IF(B1896="none",1,IF(B1896="Trialer",1,0))+IF(C1896="Customer",1,IF(C1896="Lost",1,0))=2,1,0)</f>
      </c>
      <c r="X1896" s="0" t="s">
        <v>148</v>
      </c>
      <c r="Y1896" s="0" t="s">
        <v>243</v>
      </c>
      <c r="AV1896" s="68"/>
      <c r="AW1896" s="68"/>
      <c r="AY1896" s="27"/>
      <c r="BD1896" s="68">
        <v>46054.1666666667</v>
      </c>
      <c r="BE1896" s="68">
        <v>46082.1666666667</v>
      </c>
      <c r="BF1896" s="0" t="b">
        <v>0</v>
      </c>
      <c r="BG1896" s="0" t="b">
        <v>0</v>
      </c>
      <c r="BH1896" s="0">
        <v>56</v>
      </c>
      <c r="BI1896" s="0">
        <v>56</v>
      </c>
      <c r="BJ1896" s="0" t="s">
        <v>135</v>
      </c>
    </row>
    <row r="1897">
      <c r="A1897" s="0" t="s">
        <v>2125</v>
      </c>
      <c r="B1897" s="0" t="s">
        <v>134</v>
      </c>
      <c r="C1897" s="0" t="s">
        <v>134</v>
      </c>
      <c r="D1897" s="0" t="s">
        <v>135</v>
      </c>
      <c r="E1897" s="0" t="s">
        <v>3</v>
      </c>
      <c r="F1897" s="0" t="s">
        <v>12</v>
      </c>
      <c r="G1897" s="0" t="s">
        <v>8</v>
      </c>
      <c r="H1897" s="0">
        <v>1080</v>
      </c>
      <c r="I1897" s="0">
        <v>296</v>
      </c>
      <c r="J1897" s="0">
        <v>0</v>
      </c>
      <c r="K1897" s="0">
        <v>1</v>
      </c>
      <c r="L1897" s="0">
        <v>4</v>
      </c>
      <c r="M1897" s="0">
        <v>5</v>
      </c>
      <c r="N1897" s="0">
        <v>0</v>
      </c>
      <c r="O1897" s="0">
        <v>0</v>
      </c>
      <c r="P1897" s="0">
        <v>0</v>
      </c>
      <c r="R1897" s="0" t="b">
        <v>0</v>
      </c>
      <c r="S1897" s="0" t="b">
        <v>1</v>
      </c>
      <c r="T1897" s="68">
        <v>44973.6230671296</v>
      </c>
      <c r="U1897" s="68">
        <v>44987.2916666667</v>
      </c>
      <c r="V1897" s="68">
        <v>0</v>
      </c>
      <c r="W1897" s="0">
        <f>IF(IF(B1897="none",1,IF(B1897="Trialer",1,0))+IF(C1897="Customer",1,IF(C1897="Lost",1,0))=2,1,0)</f>
      </c>
      <c r="X1897" s="0" t="s">
        <v>145</v>
      </c>
      <c r="Y1897" s="0" t="s">
        <v>243</v>
      </c>
      <c r="AV1897" s="68"/>
      <c r="AW1897" s="68"/>
      <c r="AY1897" s="27"/>
      <c r="BD1897" s="68">
        <v>46054.1666666667</v>
      </c>
      <c r="BE1897" s="68">
        <v>46082.1666666667</v>
      </c>
      <c r="BF1897" s="0" t="b">
        <v>0</v>
      </c>
      <c r="BG1897" s="0" t="b">
        <v>0</v>
      </c>
      <c r="BH1897" s="0">
        <v>296</v>
      </c>
      <c r="BI1897" s="0">
        <v>296</v>
      </c>
      <c r="BJ1897" s="0" t="s">
        <v>135</v>
      </c>
    </row>
    <row r="1898">
      <c r="A1898" s="0" t="s">
        <v>2126</v>
      </c>
      <c r="B1898" s="0" t="s">
        <v>134</v>
      </c>
      <c r="C1898" s="0" t="s">
        <v>134</v>
      </c>
      <c r="D1898" s="0" t="s">
        <v>135</v>
      </c>
      <c r="E1898" s="0" t="s">
        <v>3</v>
      </c>
      <c r="F1898" s="0" t="s">
        <v>12</v>
      </c>
      <c r="G1898" s="0" t="s">
        <v>8</v>
      </c>
      <c r="H1898" s="0">
        <v>1080</v>
      </c>
      <c r="I1898" s="0">
        <v>0</v>
      </c>
      <c r="J1898" s="0">
        <v>0</v>
      </c>
      <c r="K1898" s="0">
        <v>1</v>
      </c>
      <c r="L1898" s="0">
        <v>5</v>
      </c>
      <c r="M1898" s="0">
        <v>1</v>
      </c>
      <c r="N1898" s="0">
        <v>0</v>
      </c>
      <c r="O1898" s="0">
        <v>0</v>
      </c>
      <c r="P1898" s="0">
        <v>0</v>
      </c>
      <c r="R1898" s="0" t="b">
        <v>0</v>
      </c>
      <c r="S1898" s="0" t="b">
        <v>1</v>
      </c>
      <c r="T1898" s="68">
        <v>44973.6486226852</v>
      </c>
      <c r="U1898" s="68">
        <v>44987.2916666667</v>
      </c>
      <c r="V1898" s="68">
        <v>0</v>
      </c>
      <c r="W1898" s="0">
        <f>IF(IF(B1898="none",1,IF(B1898="Trialer",1,0))+IF(C1898="Customer",1,IF(C1898="Lost",1,0))=2,1,0)</f>
      </c>
      <c r="X1898" s="0" t="s">
        <v>148</v>
      </c>
      <c r="Y1898" s="0" t="s">
        <v>243</v>
      </c>
      <c r="AV1898" s="68"/>
      <c r="AW1898" s="68"/>
      <c r="AY1898" s="27"/>
      <c r="BD1898" s="68">
        <v>46054.1666666667</v>
      </c>
      <c r="BE1898" s="68">
        <v>46082.1666666667</v>
      </c>
      <c r="BF1898" s="0" t="b">
        <v>0</v>
      </c>
      <c r="BG1898" s="0" t="b">
        <v>0</v>
      </c>
      <c r="BH1898" s="0">
        <v>0</v>
      </c>
      <c r="BI1898" s="0">
        <v>0</v>
      </c>
      <c r="BJ1898" s="0" t="s">
        <v>135</v>
      </c>
    </row>
    <row r="1899">
      <c r="A1899" s="0" t="s">
        <v>2127</v>
      </c>
      <c r="B1899" s="0" t="s">
        <v>134</v>
      </c>
      <c r="C1899" s="0" t="s">
        <v>134</v>
      </c>
      <c r="D1899" s="0" t="s">
        <v>135</v>
      </c>
      <c r="E1899" s="0" t="s">
        <v>3</v>
      </c>
      <c r="F1899" s="0" t="s">
        <v>12</v>
      </c>
      <c r="G1899" s="0" t="s">
        <v>8</v>
      </c>
      <c r="H1899" s="0">
        <v>1080</v>
      </c>
      <c r="I1899" s="0">
        <v>0</v>
      </c>
      <c r="J1899" s="0">
        <v>0</v>
      </c>
      <c r="K1899" s="0">
        <v>1</v>
      </c>
      <c r="L1899" s="0">
        <v>3</v>
      </c>
      <c r="M1899" s="0">
        <v>1</v>
      </c>
      <c r="N1899" s="0">
        <v>0</v>
      </c>
      <c r="O1899" s="0">
        <v>0</v>
      </c>
      <c r="P1899" s="0">
        <v>0</v>
      </c>
      <c r="R1899" s="0" t="b">
        <v>0</v>
      </c>
      <c r="S1899" s="0" t="b">
        <v>1</v>
      </c>
      <c r="T1899" s="68">
        <v>44973.6509953704</v>
      </c>
      <c r="U1899" s="68">
        <v>44987.2916666667</v>
      </c>
      <c r="V1899" s="68">
        <v>0</v>
      </c>
      <c r="W1899" s="0">
        <f>IF(IF(B1899="none",1,IF(B1899="Trialer",1,0))+IF(C1899="Customer",1,IF(C1899="Lost",1,0))=2,1,0)</f>
      </c>
      <c r="X1899" s="0" t="s">
        <v>148</v>
      </c>
      <c r="Y1899" s="0" t="s">
        <v>243</v>
      </c>
      <c r="AV1899" s="68"/>
      <c r="AW1899" s="68"/>
      <c r="AY1899" s="27"/>
      <c r="BD1899" s="68">
        <v>46054.1666666667</v>
      </c>
      <c r="BE1899" s="68">
        <v>46082.1666666667</v>
      </c>
      <c r="BF1899" s="0" t="b">
        <v>0</v>
      </c>
      <c r="BG1899" s="0" t="b">
        <v>0</v>
      </c>
      <c r="BH1899" s="0">
        <v>0</v>
      </c>
      <c r="BI1899" s="0">
        <v>0</v>
      </c>
      <c r="BJ1899" s="0" t="s">
        <v>135</v>
      </c>
    </row>
    <row r="1900">
      <c r="A1900" s="0" t="s">
        <v>2128</v>
      </c>
      <c r="B1900" s="0" t="s">
        <v>134</v>
      </c>
      <c r="C1900" s="0" t="s">
        <v>134</v>
      </c>
      <c r="D1900" s="0" t="s">
        <v>135</v>
      </c>
      <c r="E1900" s="0" t="s">
        <v>3</v>
      </c>
      <c r="F1900" s="0" t="s">
        <v>12</v>
      </c>
      <c r="G1900" s="0" t="s">
        <v>8</v>
      </c>
      <c r="H1900" s="0">
        <v>1080</v>
      </c>
      <c r="I1900" s="0">
        <v>122</v>
      </c>
      <c r="J1900" s="0">
        <v>0</v>
      </c>
      <c r="K1900" s="0">
        <v>1</v>
      </c>
      <c r="L1900" s="0">
        <v>4</v>
      </c>
      <c r="M1900" s="0">
        <v>2</v>
      </c>
      <c r="N1900" s="0">
        <v>0</v>
      </c>
      <c r="O1900" s="0">
        <v>0</v>
      </c>
      <c r="P1900" s="0">
        <v>0</v>
      </c>
      <c r="R1900" s="0" t="b">
        <v>0</v>
      </c>
      <c r="S1900" s="0" t="b">
        <v>1</v>
      </c>
      <c r="T1900" s="68">
        <v>44973.6693287037</v>
      </c>
      <c r="U1900" s="68">
        <v>44987.2916666667</v>
      </c>
      <c r="V1900" s="68">
        <v>0</v>
      </c>
      <c r="W1900" s="0">
        <f>IF(IF(B1900="none",1,IF(B1900="Trialer",1,0))+IF(C1900="Customer",1,IF(C1900="Lost",1,0))=2,1,0)</f>
      </c>
      <c r="X1900" s="0" t="s">
        <v>166</v>
      </c>
      <c r="Y1900" s="0" t="s">
        <v>243</v>
      </c>
      <c r="AV1900" s="68"/>
      <c r="AW1900" s="68"/>
      <c r="AY1900" s="27"/>
      <c r="BD1900" s="68">
        <v>46054.1666666667</v>
      </c>
      <c r="BE1900" s="68">
        <v>46082.1666666667</v>
      </c>
      <c r="BF1900" s="0" t="b">
        <v>0</v>
      </c>
      <c r="BG1900" s="0" t="b">
        <v>0</v>
      </c>
      <c r="BH1900" s="0">
        <v>171</v>
      </c>
      <c r="BI1900" s="0">
        <v>171</v>
      </c>
      <c r="BJ1900" s="0" t="s">
        <v>135</v>
      </c>
    </row>
    <row r="1901">
      <c r="A1901" s="0" t="s">
        <v>2129</v>
      </c>
      <c r="B1901" s="0" t="s">
        <v>134</v>
      </c>
      <c r="C1901" s="0" t="s">
        <v>134</v>
      </c>
      <c r="D1901" s="0" t="s">
        <v>230</v>
      </c>
      <c r="E1901" s="0" t="s">
        <v>2</v>
      </c>
      <c r="F1901" s="0" t="s">
        <v>12</v>
      </c>
      <c r="G1901" s="0" t="s">
        <v>8</v>
      </c>
      <c r="H1901" s="0">
        <v>1079</v>
      </c>
      <c r="I1901" s="0">
        <v>344</v>
      </c>
      <c r="J1901" s="0">
        <v>0</v>
      </c>
      <c r="K1901" s="0">
        <v>1</v>
      </c>
      <c r="L1901" s="0">
        <v>3</v>
      </c>
      <c r="M1901" s="0">
        <v>9</v>
      </c>
      <c r="N1901" s="0">
        <v>0</v>
      </c>
      <c r="O1901" s="0">
        <v>0</v>
      </c>
      <c r="P1901" s="0">
        <v>-344</v>
      </c>
      <c r="R1901" s="0" t="b">
        <v>0</v>
      </c>
      <c r="S1901" s="0" t="b">
        <v>1</v>
      </c>
      <c r="T1901" s="68">
        <v>44974.4275115741</v>
      </c>
      <c r="U1901" s="68">
        <v>44988.2916666667</v>
      </c>
      <c r="V1901" s="68">
        <v>0</v>
      </c>
      <c r="W1901" s="0">
        <f>IF(IF(B1901="none",1,IF(B1901="Trialer",1,0))+IF(C1901="Customer",1,IF(C1901="Lost",1,0))=2,1,0)</f>
      </c>
      <c r="X1901" s="0" t="s">
        <v>148</v>
      </c>
      <c r="Y1901" s="0" t="s">
        <v>499</v>
      </c>
      <c r="AV1901" s="68"/>
      <c r="AW1901" s="68"/>
      <c r="AY1901" s="27"/>
      <c r="BD1901" s="68">
        <v>46054.1666666667</v>
      </c>
      <c r="BE1901" s="68">
        <v>46082.1666666667</v>
      </c>
      <c r="BF1901" s="0" t="b">
        <v>0</v>
      </c>
      <c r="BG1901" s="0" t="b">
        <v>0</v>
      </c>
      <c r="BH1901" s="0">
        <v>384</v>
      </c>
      <c r="BI1901" s="0">
        <v>384</v>
      </c>
      <c r="BJ1901" s="0" t="s">
        <v>230</v>
      </c>
    </row>
    <row r="1902">
      <c r="A1902" s="0" t="s">
        <v>2130</v>
      </c>
      <c r="B1902" s="0" t="s">
        <v>134</v>
      </c>
      <c r="C1902" s="0" t="s">
        <v>134</v>
      </c>
      <c r="D1902" s="0" t="s">
        <v>135</v>
      </c>
      <c r="E1902" s="0" t="s">
        <v>3</v>
      </c>
      <c r="F1902" s="0" t="s">
        <v>12</v>
      </c>
      <c r="G1902" s="0" t="s">
        <v>8</v>
      </c>
      <c r="H1902" s="0">
        <v>1079</v>
      </c>
      <c r="I1902" s="0">
        <v>1016</v>
      </c>
      <c r="J1902" s="0">
        <v>0</v>
      </c>
      <c r="K1902" s="0">
        <v>1</v>
      </c>
      <c r="L1902" s="0">
        <v>4</v>
      </c>
      <c r="M1902" s="0">
        <v>17</v>
      </c>
      <c r="N1902" s="0">
        <v>1305</v>
      </c>
      <c r="O1902" s="0">
        <v>0</v>
      </c>
      <c r="P1902" s="0">
        <v>0</v>
      </c>
      <c r="R1902" s="0" t="b">
        <v>0</v>
      </c>
      <c r="S1902" s="0" t="b">
        <v>1</v>
      </c>
      <c r="T1902" s="68">
        <v>44974.4290856481</v>
      </c>
      <c r="U1902" s="68">
        <v>44988.2916666667</v>
      </c>
      <c r="V1902" s="68">
        <v>0</v>
      </c>
      <c r="W1902" s="0">
        <f>IF(IF(B1902="none",1,IF(B1902="Trialer",1,0))+IF(C1902="Customer",1,IF(C1902="Lost",1,0))=2,1,0)</f>
      </c>
      <c r="X1902" s="0" t="s">
        <v>145</v>
      </c>
      <c r="Y1902" s="0" t="s">
        <v>243</v>
      </c>
      <c r="AV1902" s="68"/>
      <c r="AW1902" s="68"/>
      <c r="AY1902" s="27"/>
      <c r="BD1902" s="68">
        <v>46054.1666666667</v>
      </c>
      <c r="BE1902" s="68">
        <v>46082.1666666667</v>
      </c>
      <c r="BF1902" s="0" t="b">
        <v>0</v>
      </c>
      <c r="BG1902" s="0" t="b">
        <v>0</v>
      </c>
      <c r="BH1902" s="0">
        <v>1004</v>
      </c>
      <c r="BI1902" s="0">
        <v>1004</v>
      </c>
      <c r="BJ1902" s="0" t="s">
        <v>135</v>
      </c>
    </row>
    <row r="1903">
      <c r="A1903" s="0" t="s">
        <v>2131</v>
      </c>
      <c r="B1903" s="0" t="s">
        <v>134</v>
      </c>
      <c r="C1903" s="0" t="s">
        <v>134</v>
      </c>
      <c r="D1903" s="0" t="s">
        <v>135</v>
      </c>
      <c r="E1903" s="0" t="s">
        <v>3</v>
      </c>
      <c r="F1903" s="0" t="s">
        <v>10</v>
      </c>
      <c r="G1903" s="0" t="s">
        <v>8</v>
      </c>
      <c r="H1903" s="0">
        <v>1079</v>
      </c>
      <c r="I1903" s="0">
        <v>85</v>
      </c>
      <c r="J1903" s="0">
        <v>0</v>
      </c>
      <c r="K1903" s="0">
        <v>1</v>
      </c>
      <c r="L1903" s="0">
        <v>6</v>
      </c>
      <c r="M1903" s="0">
        <v>1</v>
      </c>
      <c r="N1903" s="0">
        <v>0</v>
      </c>
      <c r="O1903" s="0">
        <v>0</v>
      </c>
      <c r="P1903" s="0">
        <v>0</v>
      </c>
      <c r="Q1903" s="0" t="s">
        <v>2132</v>
      </c>
      <c r="R1903" s="0" t="b">
        <v>0</v>
      </c>
      <c r="S1903" s="0" t="b">
        <v>1</v>
      </c>
      <c r="T1903" s="68">
        <v>44974.6967592593</v>
      </c>
      <c r="U1903" s="68">
        <v>44988.2916666667</v>
      </c>
      <c r="V1903" s="68">
        <v>0</v>
      </c>
      <c r="W1903" s="0">
        <f>IF(IF(B1903="none",1,IF(B1903="Trialer",1,0))+IF(C1903="Customer",1,IF(C1903="Lost",1,0))=2,1,0)</f>
      </c>
      <c r="X1903" s="0" t="s">
        <v>148</v>
      </c>
      <c r="Y1903" s="0" t="s">
        <v>243</v>
      </c>
      <c r="AV1903" s="68"/>
      <c r="AW1903" s="68"/>
      <c r="AY1903" s="27"/>
      <c r="BD1903" s="68">
        <v>46054.1666666667</v>
      </c>
      <c r="BE1903" s="68">
        <v>46082.1666666667</v>
      </c>
      <c r="BF1903" s="0" t="b">
        <v>0</v>
      </c>
      <c r="BG1903" s="0" t="b">
        <v>0</v>
      </c>
      <c r="BH1903" s="0">
        <v>85</v>
      </c>
      <c r="BI1903" s="0">
        <v>85</v>
      </c>
      <c r="BJ1903" s="0" t="s">
        <v>135</v>
      </c>
    </row>
    <row r="1904">
      <c r="A1904" s="0" t="s">
        <v>2133</v>
      </c>
      <c r="B1904" s="0" t="s">
        <v>134</v>
      </c>
      <c r="C1904" s="0" t="s">
        <v>134</v>
      </c>
      <c r="D1904" s="0" t="s">
        <v>230</v>
      </c>
      <c r="E1904" s="0" t="s">
        <v>3</v>
      </c>
      <c r="F1904" s="0" t="s">
        <v>12</v>
      </c>
      <c r="G1904" s="0" t="s">
        <v>8</v>
      </c>
      <c r="H1904" s="0">
        <v>1079</v>
      </c>
      <c r="I1904" s="0">
        <v>291.6</v>
      </c>
      <c r="J1904" s="0">
        <v>0</v>
      </c>
      <c r="K1904" s="0">
        <v>1</v>
      </c>
      <c r="L1904" s="0">
        <v>4</v>
      </c>
      <c r="M1904" s="0">
        <v>6</v>
      </c>
      <c r="N1904" s="0">
        <v>0</v>
      </c>
      <c r="O1904" s="0">
        <v>0</v>
      </c>
      <c r="P1904" s="0">
        <v>3207.6</v>
      </c>
      <c r="R1904" s="0" t="b">
        <v>0</v>
      </c>
      <c r="S1904" s="0" t="b">
        <v>1</v>
      </c>
      <c r="T1904" s="68">
        <v>44974.941099537</v>
      </c>
      <c r="U1904" s="68">
        <v>44988.2916666667</v>
      </c>
      <c r="V1904" s="68">
        <v>0</v>
      </c>
      <c r="W1904" s="0">
        <f>IF(IF(B1904="none",1,IF(B1904="Trialer",1,0))+IF(C1904="Customer",1,IF(C1904="Lost",1,0))=2,1,0)</f>
      </c>
      <c r="X1904" s="0" t="s">
        <v>145</v>
      </c>
      <c r="Y1904" s="0" t="s">
        <v>243</v>
      </c>
      <c r="AV1904" s="68"/>
      <c r="AW1904" s="68"/>
      <c r="AY1904" s="27"/>
      <c r="BD1904" s="68">
        <v>46054.1666666667</v>
      </c>
      <c r="BE1904" s="68">
        <v>46082.1666666667</v>
      </c>
      <c r="BF1904" s="0" t="b">
        <v>0</v>
      </c>
      <c r="BG1904" s="0" t="b">
        <v>0</v>
      </c>
      <c r="BH1904" s="0">
        <v>263</v>
      </c>
      <c r="BI1904" s="0">
        <v>263</v>
      </c>
      <c r="BJ1904" s="0" t="s">
        <v>230</v>
      </c>
    </row>
    <row r="1905">
      <c r="A1905" s="0" t="s">
        <v>2134</v>
      </c>
      <c r="B1905" s="0" t="s">
        <v>134</v>
      </c>
      <c r="C1905" s="0" t="s">
        <v>134</v>
      </c>
      <c r="D1905" s="0" t="s">
        <v>135</v>
      </c>
      <c r="E1905" s="0" t="s">
        <v>2</v>
      </c>
      <c r="F1905" s="0" t="s">
        <v>12</v>
      </c>
      <c r="G1905" s="0" t="s">
        <v>8</v>
      </c>
      <c r="H1905" s="0">
        <v>1079</v>
      </c>
      <c r="I1905" s="0">
        <v>1645</v>
      </c>
      <c r="J1905" s="0">
        <v>0</v>
      </c>
      <c r="K1905" s="0">
        <v>1</v>
      </c>
      <c r="L1905" s="0">
        <v>4</v>
      </c>
      <c r="M1905" s="0">
        <v>49</v>
      </c>
      <c r="N1905" s="0">
        <v>826.5</v>
      </c>
      <c r="O1905" s="0">
        <v>0</v>
      </c>
      <c r="P1905" s="0">
        <v>0</v>
      </c>
      <c r="R1905" s="0" t="b">
        <v>0</v>
      </c>
      <c r="S1905" s="0" t="b">
        <v>1</v>
      </c>
      <c r="T1905" s="68">
        <v>44974.9445023148</v>
      </c>
      <c r="U1905" s="68">
        <v>44988.2916666667</v>
      </c>
      <c r="V1905" s="68">
        <v>0</v>
      </c>
      <c r="W1905" s="0">
        <f>IF(IF(B1905="none",1,IF(B1905="Trialer",1,0))+IF(C1905="Customer",1,IF(C1905="Lost",1,0))=2,1,0)</f>
      </c>
      <c r="X1905" s="0" t="s">
        <v>148</v>
      </c>
      <c r="Y1905" s="0" t="s">
        <v>499</v>
      </c>
      <c r="AV1905" s="68"/>
      <c r="AW1905" s="68"/>
      <c r="AY1905" s="27"/>
      <c r="BD1905" s="68">
        <v>46054.1666666667</v>
      </c>
      <c r="BE1905" s="68">
        <v>46082.1666666667</v>
      </c>
      <c r="BF1905" s="0" t="b">
        <v>0</v>
      </c>
      <c r="BG1905" s="0" t="b">
        <v>0</v>
      </c>
      <c r="BH1905" s="0">
        <v>1470</v>
      </c>
      <c r="BI1905" s="0">
        <v>1470</v>
      </c>
      <c r="BJ1905" s="0" t="s">
        <v>135</v>
      </c>
    </row>
    <row r="1906">
      <c r="A1906" s="0" t="s">
        <v>2135</v>
      </c>
      <c r="B1906" s="0" t="s">
        <v>134</v>
      </c>
      <c r="C1906" s="0" t="s">
        <v>134</v>
      </c>
      <c r="D1906" s="0" t="s">
        <v>135</v>
      </c>
      <c r="E1906" s="0" t="s">
        <v>3</v>
      </c>
      <c r="F1906" s="0" t="s">
        <v>12</v>
      </c>
      <c r="G1906" s="0" t="s">
        <v>8</v>
      </c>
      <c r="H1906" s="0">
        <v>1077</v>
      </c>
      <c r="I1906" s="0">
        <v>239</v>
      </c>
      <c r="J1906" s="0">
        <v>0</v>
      </c>
      <c r="K1906" s="0">
        <v>1</v>
      </c>
      <c r="L1906" s="0">
        <v>4</v>
      </c>
      <c r="M1906" s="0">
        <v>5</v>
      </c>
      <c r="N1906" s="0">
        <v>0</v>
      </c>
      <c r="O1906" s="0">
        <v>0</v>
      </c>
      <c r="P1906" s="0">
        <v>0</v>
      </c>
      <c r="R1906" s="0" t="b">
        <v>0</v>
      </c>
      <c r="S1906" s="0" t="b">
        <v>1</v>
      </c>
      <c r="T1906" s="68">
        <v>44976.5815046296</v>
      </c>
      <c r="U1906" s="68">
        <v>44993.2916666667</v>
      </c>
      <c r="V1906" s="68">
        <v>0</v>
      </c>
      <c r="W1906" s="0">
        <f>IF(IF(B1906="none",1,IF(B1906="Trialer",1,0))+IF(C1906="Customer",1,IF(C1906="Lost",1,0))=2,1,0)</f>
      </c>
      <c r="X1906" s="0" t="s">
        <v>145</v>
      </c>
      <c r="Y1906" s="0" t="s">
        <v>243</v>
      </c>
      <c r="AV1906" s="68"/>
      <c r="AW1906" s="68"/>
      <c r="AY1906" s="27"/>
      <c r="BD1906" s="68">
        <v>46054.1666666667</v>
      </c>
      <c r="BE1906" s="68">
        <v>46082.1666666667</v>
      </c>
      <c r="BF1906" s="0" t="b">
        <v>0</v>
      </c>
      <c r="BG1906" s="0" t="b">
        <v>0</v>
      </c>
      <c r="BH1906" s="0">
        <v>239</v>
      </c>
      <c r="BI1906" s="0">
        <v>239</v>
      </c>
      <c r="BJ1906" s="0" t="s">
        <v>135</v>
      </c>
    </row>
    <row r="1907">
      <c r="A1907" s="0" t="s">
        <v>2136</v>
      </c>
      <c r="B1907" s="0" t="s">
        <v>134</v>
      </c>
      <c r="C1907" s="0" t="s">
        <v>134</v>
      </c>
      <c r="D1907" s="0" t="s">
        <v>135</v>
      </c>
      <c r="E1907" s="0" t="s">
        <v>3</v>
      </c>
      <c r="F1907" s="0" t="s">
        <v>12</v>
      </c>
      <c r="G1907" s="0" t="s">
        <v>8</v>
      </c>
      <c r="H1907" s="0">
        <v>1076</v>
      </c>
      <c r="I1907" s="0">
        <v>89</v>
      </c>
      <c r="J1907" s="0">
        <v>0</v>
      </c>
      <c r="K1907" s="0">
        <v>1</v>
      </c>
      <c r="L1907" s="0">
        <v>4</v>
      </c>
      <c r="M1907" s="0">
        <v>2</v>
      </c>
      <c r="N1907" s="0">
        <v>0</v>
      </c>
      <c r="O1907" s="0">
        <v>0</v>
      </c>
      <c r="P1907" s="0">
        <v>0</v>
      </c>
      <c r="R1907" s="0" t="b">
        <v>0</v>
      </c>
      <c r="S1907" s="0" t="b">
        <v>1</v>
      </c>
      <c r="T1907" s="68">
        <v>44977.3176273148</v>
      </c>
      <c r="U1907" s="68">
        <v>44991.2916666667</v>
      </c>
      <c r="V1907" s="68">
        <v>0</v>
      </c>
      <c r="W1907" s="0">
        <f>IF(IF(B1907="none",1,IF(B1907="Trialer",1,0))+IF(C1907="Customer",1,IF(C1907="Lost",1,0))=2,1,0)</f>
      </c>
      <c r="X1907" s="0" t="s">
        <v>166</v>
      </c>
      <c r="Y1907" s="0" t="s">
        <v>243</v>
      </c>
      <c r="AV1907" s="68"/>
      <c r="AW1907" s="68"/>
      <c r="AY1907" s="27"/>
      <c r="BD1907" s="68">
        <v>46054.1666666667</v>
      </c>
      <c r="BE1907" s="68">
        <v>46082.1666666667</v>
      </c>
      <c r="BF1907" s="0" t="b">
        <v>0</v>
      </c>
      <c r="BG1907" s="0" t="b">
        <v>0</v>
      </c>
      <c r="BH1907" s="0">
        <v>89</v>
      </c>
      <c r="BI1907" s="0">
        <v>89</v>
      </c>
      <c r="BJ1907" s="0" t="s">
        <v>135</v>
      </c>
    </row>
    <row r="1908">
      <c r="A1908" s="0" t="s">
        <v>2137</v>
      </c>
      <c r="B1908" s="0" t="s">
        <v>134</v>
      </c>
      <c r="C1908" s="0" t="s">
        <v>134</v>
      </c>
      <c r="D1908" s="0" t="s">
        <v>135</v>
      </c>
      <c r="E1908" s="0" t="s">
        <v>2</v>
      </c>
      <c r="F1908" s="0" t="s">
        <v>12</v>
      </c>
      <c r="G1908" s="0" t="s">
        <v>8</v>
      </c>
      <c r="H1908" s="0">
        <v>1076</v>
      </c>
      <c r="I1908" s="0">
        <v>919.18</v>
      </c>
      <c r="J1908" s="0">
        <v>0</v>
      </c>
      <c r="K1908" s="0">
        <v>1</v>
      </c>
      <c r="L1908" s="0">
        <v>6</v>
      </c>
      <c r="M1908" s="0">
        <v>16</v>
      </c>
      <c r="N1908" s="0">
        <v>0</v>
      </c>
      <c r="O1908" s="0">
        <v>0</v>
      </c>
      <c r="P1908" s="0">
        <v>0</v>
      </c>
      <c r="R1908" s="0" t="b">
        <v>0</v>
      </c>
      <c r="S1908" s="0" t="b">
        <v>1</v>
      </c>
      <c r="T1908" s="68">
        <v>44977.5909722222</v>
      </c>
      <c r="U1908" s="68">
        <v>44991.5</v>
      </c>
      <c r="V1908" s="68">
        <v>0</v>
      </c>
      <c r="W1908" s="0">
        <f>IF(IF(B1908="none",1,IF(B1908="Trialer",1,0))+IF(C1908="Customer",1,IF(C1908="Lost",1,0))=2,1,0)</f>
      </c>
      <c r="X1908" s="0" t="s">
        <v>148</v>
      </c>
      <c r="Y1908" s="0" t="s">
        <v>499</v>
      </c>
      <c r="AV1908" s="68"/>
      <c r="AW1908" s="68"/>
      <c r="AY1908" s="27"/>
      <c r="BD1908" s="68">
        <v>46054.1666666667</v>
      </c>
      <c r="BE1908" s="68">
        <v>46082.1666666667</v>
      </c>
      <c r="BF1908" s="0" t="b">
        <v>0</v>
      </c>
      <c r="BG1908" s="0" t="b">
        <v>0</v>
      </c>
      <c r="BH1908" s="0">
        <v>919</v>
      </c>
      <c r="BI1908" s="0">
        <v>919</v>
      </c>
      <c r="BJ1908" s="0" t="s">
        <v>135</v>
      </c>
    </row>
    <row r="1909">
      <c r="A1909" s="0" t="s">
        <v>2138</v>
      </c>
      <c r="B1909" s="0" t="s">
        <v>134</v>
      </c>
      <c r="C1909" s="0" t="s">
        <v>134</v>
      </c>
      <c r="D1909" s="0" t="s">
        <v>135</v>
      </c>
      <c r="E1909" s="0" t="s">
        <v>3</v>
      </c>
      <c r="F1909" s="0" t="s">
        <v>10</v>
      </c>
      <c r="G1909" s="0" t="s">
        <v>8</v>
      </c>
      <c r="H1909" s="0">
        <v>1075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0">
        <v>0</v>
      </c>
      <c r="Q1909" s="0" t="s">
        <v>618</v>
      </c>
      <c r="R1909" s="0" t="b">
        <v>0</v>
      </c>
      <c r="S1909" s="0" t="b">
        <v>1</v>
      </c>
      <c r="T1909" s="68">
        <v>44978.4630671296</v>
      </c>
      <c r="U1909" s="68">
        <v>44992.2916666667</v>
      </c>
      <c r="V1909" s="68">
        <v>0</v>
      </c>
      <c r="W1909" s="0">
        <f>IF(IF(B1909="none",1,IF(B1909="Trialer",1,0))+IF(C1909="Customer",1,IF(C1909="Lost",1,0))=2,1,0)</f>
      </c>
      <c r="X1909" s="0" t="s">
        <v>148</v>
      </c>
      <c r="Y1909" s="0" t="s">
        <v>243</v>
      </c>
      <c r="AV1909" s="68"/>
      <c r="AW1909" s="68"/>
      <c r="AY1909" s="27"/>
      <c r="BD1909" s="68">
        <v>46054.1666666667</v>
      </c>
      <c r="BE1909" s="68">
        <v>46082.1666666667</v>
      </c>
      <c r="BF1909" s="0" t="b">
        <v>0</v>
      </c>
      <c r="BG1909" s="0" t="b">
        <v>0</v>
      </c>
      <c r="BH1909" s="0">
        <v>0</v>
      </c>
      <c r="BI1909" s="0">
        <v>0</v>
      </c>
      <c r="BJ1909" s="0" t="s">
        <v>135</v>
      </c>
    </row>
    <row r="1910">
      <c r="A1910" s="0" t="s">
        <v>2139</v>
      </c>
      <c r="B1910" s="0" t="s">
        <v>134</v>
      </c>
      <c r="C1910" s="0" t="s">
        <v>134</v>
      </c>
      <c r="D1910" s="0" t="s">
        <v>135</v>
      </c>
      <c r="E1910" s="0" t="s">
        <v>3</v>
      </c>
      <c r="F1910" s="0" t="s">
        <v>12</v>
      </c>
      <c r="G1910" s="0" t="s">
        <v>8</v>
      </c>
      <c r="H1910" s="0">
        <v>1074</v>
      </c>
      <c r="I1910" s="0">
        <v>116</v>
      </c>
      <c r="J1910" s="0">
        <v>0</v>
      </c>
      <c r="K1910" s="0">
        <v>1</v>
      </c>
      <c r="L1910" s="0">
        <v>3</v>
      </c>
      <c r="M1910" s="0">
        <v>3</v>
      </c>
      <c r="N1910" s="0">
        <v>0</v>
      </c>
      <c r="O1910" s="0">
        <v>0</v>
      </c>
      <c r="P1910" s="0">
        <v>0</v>
      </c>
      <c r="R1910" s="0" t="b">
        <v>0</v>
      </c>
      <c r="S1910" s="0" t="b">
        <v>1</v>
      </c>
      <c r="T1910" s="68">
        <v>44979.4895486111</v>
      </c>
      <c r="U1910" s="68">
        <v>45008.3333333333</v>
      </c>
      <c r="V1910" s="68">
        <v>0</v>
      </c>
      <c r="W1910" s="0">
        <f>IF(IF(B1910="none",1,IF(B1910="Trialer",1,0))+IF(C1910="Customer",1,IF(C1910="Lost",1,0))=2,1,0)</f>
      </c>
      <c r="X1910" s="0" t="s">
        <v>153</v>
      </c>
      <c r="Y1910" s="0" t="s">
        <v>243</v>
      </c>
      <c r="AV1910" s="68"/>
      <c r="AW1910" s="68"/>
      <c r="AY1910" s="27"/>
      <c r="BD1910" s="68">
        <v>46054.1666666667</v>
      </c>
      <c r="BE1910" s="68">
        <v>46082.1666666667</v>
      </c>
      <c r="BF1910" s="0" t="b">
        <v>0</v>
      </c>
      <c r="BG1910" s="0" t="b">
        <v>0</v>
      </c>
      <c r="BH1910" s="0">
        <v>116</v>
      </c>
      <c r="BI1910" s="0">
        <v>116</v>
      </c>
      <c r="BJ1910" s="0" t="s">
        <v>135</v>
      </c>
    </row>
    <row r="1911">
      <c r="A1911" s="0" t="s">
        <v>2140</v>
      </c>
      <c r="B1911" s="0" t="s">
        <v>134</v>
      </c>
      <c r="C1911" s="0" t="s">
        <v>134</v>
      </c>
      <c r="D1911" s="0" t="s">
        <v>230</v>
      </c>
      <c r="E1911" s="0" t="s">
        <v>3</v>
      </c>
      <c r="F1911" s="0" t="s">
        <v>12</v>
      </c>
      <c r="G1911" s="0" t="s">
        <v>8</v>
      </c>
      <c r="H1911" s="0">
        <v>1074</v>
      </c>
      <c r="I1911" s="0">
        <v>44</v>
      </c>
      <c r="J1911" s="0">
        <v>0</v>
      </c>
      <c r="K1911" s="0">
        <v>1</v>
      </c>
      <c r="L1911" s="0">
        <v>3</v>
      </c>
      <c r="M1911" s="0">
        <v>1</v>
      </c>
      <c r="N1911" s="0">
        <v>0</v>
      </c>
      <c r="O1911" s="0">
        <v>0</v>
      </c>
      <c r="P1911" s="0">
        <v>-44</v>
      </c>
      <c r="R1911" s="0" t="b">
        <v>0</v>
      </c>
      <c r="S1911" s="0" t="b">
        <v>1</v>
      </c>
      <c r="T1911" s="68">
        <v>44979.7138078704</v>
      </c>
      <c r="U1911" s="68">
        <v>44993.2916666667</v>
      </c>
      <c r="V1911" s="68">
        <v>0</v>
      </c>
      <c r="W1911" s="0">
        <f>IF(IF(B1911="none",1,IF(B1911="Trialer",1,0))+IF(C1911="Customer",1,IF(C1911="Lost",1,0))=2,1,0)</f>
      </c>
      <c r="X1911" s="0" t="s">
        <v>142</v>
      </c>
      <c r="Y1911" s="0" t="s">
        <v>243</v>
      </c>
      <c r="AV1911" s="68"/>
      <c r="AW1911" s="68"/>
      <c r="AY1911" s="27"/>
      <c r="BD1911" s="68">
        <v>46054.1666666667</v>
      </c>
      <c r="BE1911" s="68">
        <v>46082.1666666667</v>
      </c>
      <c r="BF1911" s="0" t="b">
        <v>0</v>
      </c>
      <c r="BG1911" s="0" t="b">
        <v>0</v>
      </c>
      <c r="BH1911" s="0">
        <v>49</v>
      </c>
      <c r="BI1911" s="0">
        <v>49</v>
      </c>
      <c r="BJ1911" s="0" t="s">
        <v>230</v>
      </c>
    </row>
    <row r="1912">
      <c r="A1912" s="0" t="s">
        <v>2141</v>
      </c>
      <c r="B1912" s="0" t="s">
        <v>134</v>
      </c>
      <c r="C1912" s="0" t="s">
        <v>134</v>
      </c>
      <c r="D1912" s="0" t="s">
        <v>230</v>
      </c>
      <c r="E1912" s="0" t="s">
        <v>3</v>
      </c>
      <c r="F1912" s="0" t="s">
        <v>12</v>
      </c>
      <c r="G1912" s="0" t="s">
        <v>8</v>
      </c>
      <c r="H1912" s="0">
        <v>1072</v>
      </c>
      <c r="I1912" s="0">
        <v>140.4</v>
      </c>
      <c r="J1912" s="0">
        <v>0</v>
      </c>
      <c r="K1912" s="0">
        <v>1</v>
      </c>
      <c r="L1912" s="0">
        <v>3</v>
      </c>
      <c r="M1912" s="0">
        <v>3</v>
      </c>
      <c r="N1912" s="0">
        <v>0</v>
      </c>
      <c r="O1912" s="0">
        <v>0</v>
      </c>
      <c r="P1912" s="0">
        <v>-140.4</v>
      </c>
      <c r="R1912" s="0" t="b">
        <v>0</v>
      </c>
      <c r="S1912" s="0" t="b">
        <v>1</v>
      </c>
      <c r="T1912" s="68">
        <v>44981.3492476852</v>
      </c>
      <c r="U1912" s="68">
        <v>44995.2916666667</v>
      </c>
      <c r="V1912" s="68">
        <v>0</v>
      </c>
      <c r="W1912" s="0">
        <f>IF(IF(B1912="none",1,IF(B1912="Trialer",1,0))+IF(C1912="Customer",1,IF(C1912="Lost",1,0))=2,1,0)</f>
      </c>
      <c r="X1912" s="0" t="s">
        <v>153</v>
      </c>
      <c r="Y1912" s="0" t="s">
        <v>243</v>
      </c>
      <c r="AV1912" s="68"/>
      <c r="AW1912" s="68"/>
      <c r="AY1912" s="27"/>
      <c r="BD1912" s="68">
        <v>46054.1666666667</v>
      </c>
      <c r="BE1912" s="68">
        <v>46082.1666666667</v>
      </c>
      <c r="BF1912" s="0" t="b">
        <v>0</v>
      </c>
      <c r="BG1912" s="0" t="b">
        <v>0</v>
      </c>
      <c r="BH1912" s="0">
        <v>156</v>
      </c>
      <c r="BI1912" s="0">
        <v>156</v>
      </c>
      <c r="BJ1912" s="0" t="s">
        <v>230</v>
      </c>
    </row>
    <row r="1913">
      <c r="A1913" s="0" t="s">
        <v>2142</v>
      </c>
      <c r="B1913" s="0" t="s">
        <v>134</v>
      </c>
      <c r="C1913" s="0" t="s">
        <v>134</v>
      </c>
      <c r="D1913" s="0" t="s">
        <v>135</v>
      </c>
      <c r="E1913" s="0" t="s">
        <v>3</v>
      </c>
      <c r="F1913" s="0" t="s">
        <v>12</v>
      </c>
      <c r="G1913" s="0" t="s">
        <v>8</v>
      </c>
      <c r="H1913" s="0">
        <v>1071</v>
      </c>
      <c r="I1913" s="0">
        <v>138</v>
      </c>
      <c r="J1913" s="0">
        <v>0</v>
      </c>
      <c r="K1913" s="0">
        <v>1</v>
      </c>
      <c r="L1913" s="0">
        <v>3</v>
      </c>
      <c r="M1913" s="0">
        <v>3</v>
      </c>
      <c r="N1913" s="0">
        <v>0</v>
      </c>
      <c r="O1913" s="0">
        <v>0</v>
      </c>
      <c r="P1913" s="0">
        <v>0</v>
      </c>
      <c r="R1913" s="0" t="b">
        <v>0</v>
      </c>
      <c r="S1913" s="0" t="b">
        <v>1</v>
      </c>
      <c r="T1913" s="68">
        <v>44982.8546527778</v>
      </c>
      <c r="U1913" s="68">
        <v>45009.3333333333</v>
      </c>
      <c r="V1913" s="68">
        <v>0</v>
      </c>
      <c r="W1913" s="0">
        <f>IF(IF(B1913="none",1,IF(B1913="Trialer",1,0))+IF(C1913="Customer",1,IF(C1913="Lost",1,0))=2,1,0)</f>
      </c>
      <c r="X1913" s="0" t="s">
        <v>153</v>
      </c>
      <c r="Y1913" s="0" t="s">
        <v>243</v>
      </c>
      <c r="AV1913" s="68"/>
      <c r="AW1913" s="68"/>
      <c r="AY1913" s="27"/>
      <c r="BD1913" s="68">
        <v>46054.1666666667</v>
      </c>
      <c r="BE1913" s="68">
        <v>46082.1666666667</v>
      </c>
      <c r="BF1913" s="0" t="b">
        <v>0</v>
      </c>
      <c r="BG1913" s="0" t="b">
        <v>0</v>
      </c>
      <c r="BH1913" s="0">
        <v>117</v>
      </c>
      <c r="BI1913" s="0">
        <v>117</v>
      </c>
      <c r="BJ1913" s="0" t="s">
        <v>135</v>
      </c>
    </row>
    <row r="1914">
      <c r="A1914" s="0" t="s">
        <v>2143</v>
      </c>
      <c r="B1914" s="0" t="s">
        <v>134</v>
      </c>
      <c r="C1914" s="0" t="s">
        <v>134</v>
      </c>
      <c r="D1914" s="0" t="s">
        <v>230</v>
      </c>
      <c r="E1914" s="0" t="s">
        <v>3</v>
      </c>
      <c r="F1914" s="0" t="s">
        <v>12</v>
      </c>
      <c r="G1914" s="0" t="s">
        <v>8</v>
      </c>
      <c r="H1914" s="0">
        <v>1070</v>
      </c>
      <c r="I1914" s="0">
        <v>108</v>
      </c>
      <c r="J1914" s="0">
        <v>0</v>
      </c>
      <c r="K1914" s="0">
        <v>1</v>
      </c>
      <c r="L1914" s="0">
        <v>4</v>
      </c>
      <c r="M1914" s="0">
        <v>2</v>
      </c>
      <c r="N1914" s="0">
        <v>0</v>
      </c>
      <c r="O1914" s="0">
        <v>0</v>
      </c>
      <c r="P1914" s="0">
        <v>1188</v>
      </c>
      <c r="R1914" s="0" t="b">
        <v>0</v>
      </c>
      <c r="S1914" s="0" t="b">
        <v>1</v>
      </c>
      <c r="T1914" s="68">
        <v>44983.7083912037</v>
      </c>
      <c r="U1914" s="68">
        <v>44998.3333333333</v>
      </c>
      <c r="V1914" s="68">
        <v>0</v>
      </c>
      <c r="W1914" s="0">
        <f>IF(IF(B1914="none",1,IF(B1914="Trialer",1,0))+IF(C1914="Customer",1,IF(C1914="Lost",1,0))=2,1,0)</f>
      </c>
      <c r="X1914" s="0" t="s">
        <v>153</v>
      </c>
      <c r="Y1914" s="0" t="s">
        <v>1792</v>
      </c>
      <c r="AV1914" s="68"/>
      <c r="AW1914" s="68"/>
      <c r="AY1914" s="27"/>
      <c r="BD1914" s="68">
        <v>46054.1666666667</v>
      </c>
      <c r="BE1914" s="68">
        <v>46082.1666666667</v>
      </c>
      <c r="BF1914" s="0" t="b">
        <v>0</v>
      </c>
      <c r="BG1914" s="0" t="b">
        <v>0</v>
      </c>
      <c r="BH1914" s="0">
        <v>122</v>
      </c>
      <c r="BI1914" s="0">
        <v>122</v>
      </c>
      <c r="BJ1914" s="0" t="s">
        <v>230</v>
      </c>
    </row>
    <row r="1915">
      <c r="A1915" s="0" t="s">
        <v>2144</v>
      </c>
      <c r="B1915" s="0" t="s">
        <v>134</v>
      </c>
      <c r="C1915" s="0" t="s">
        <v>134</v>
      </c>
      <c r="D1915" s="0" t="s">
        <v>135</v>
      </c>
      <c r="E1915" s="0" t="s">
        <v>3</v>
      </c>
      <c r="F1915" s="0" t="s">
        <v>10</v>
      </c>
      <c r="G1915" s="0" t="s">
        <v>8</v>
      </c>
      <c r="H1915" s="0">
        <v>1069</v>
      </c>
      <c r="I1915" s="0">
        <v>28</v>
      </c>
      <c r="J1915" s="0">
        <v>0</v>
      </c>
      <c r="K1915" s="0">
        <v>1</v>
      </c>
      <c r="L1915" s="0">
        <v>1</v>
      </c>
      <c r="M1915" s="0">
        <v>1</v>
      </c>
      <c r="N1915" s="0">
        <v>0</v>
      </c>
      <c r="O1915" s="0">
        <v>0</v>
      </c>
      <c r="P1915" s="0">
        <v>0</v>
      </c>
      <c r="Q1915" s="0" t="s">
        <v>618</v>
      </c>
      <c r="R1915" s="0" t="b">
        <v>0</v>
      </c>
      <c r="S1915" s="0" t="b">
        <v>1</v>
      </c>
      <c r="T1915" s="68">
        <v>44984.3259837963</v>
      </c>
      <c r="U1915" s="68">
        <v>44998.3333333333</v>
      </c>
      <c r="V1915" s="68">
        <v>0</v>
      </c>
      <c r="W1915" s="0">
        <f>IF(IF(B1915="none",1,IF(B1915="Trialer",1,0))+IF(C1915="Customer",1,IF(C1915="Lost",1,0))=2,1,0)</f>
      </c>
      <c r="X1915" s="0" t="s">
        <v>148</v>
      </c>
      <c r="Y1915" s="0" t="s">
        <v>243</v>
      </c>
      <c r="AV1915" s="68"/>
      <c r="AW1915" s="68"/>
      <c r="AY1915" s="27"/>
      <c r="BD1915" s="68">
        <v>46054.1666666667</v>
      </c>
      <c r="BE1915" s="68">
        <v>46082.1666666667</v>
      </c>
      <c r="BF1915" s="0" t="b">
        <v>0</v>
      </c>
      <c r="BG1915" s="0" t="b">
        <v>0</v>
      </c>
      <c r="BH1915" s="0">
        <v>28</v>
      </c>
      <c r="BI1915" s="0">
        <v>28</v>
      </c>
      <c r="BJ1915" s="0" t="s">
        <v>135</v>
      </c>
    </row>
    <row r="1916">
      <c r="A1916" s="0" t="s">
        <v>2145</v>
      </c>
      <c r="B1916" s="0" t="s">
        <v>134</v>
      </c>
      <c r="C1916" s="0" t="s">
        <v>134</v>
      </c>
      <c r="D1916" s="0" t="s">
        <v>135</v>
      </c>
      <c r="E1916" s="0" t="s">
        <v>3</v>
      </c>
      <c r="F1916" s="0" t="s">
        <v>12</v>
      </c>
      <c r="G1916" s="0" t="s">
        <v>8</v>
      </c>
      <c r="H1916" s="0">
        <v>1069</v>
      </c>
      <c r="I1916" s="0">
        <v>236</v>
      </c>
      <c r="J1916" s="0">
        <v>0</v>
      </c>
      <c r="K1916" s="0">
        <v>1</v>
      </c>
      <c r="L1916" s="0">
        <v>3</v>
      </c>
      <c r="M1916" s="0">
        <v>5</v>
      </c>
      <c r="N1916" s="0">
        <v>0</v>
      </c>
      <c r="O1916" s="0">
        <v>0</v>
      </c>
      <c r="P1916" s="0">
        <v>0</v>
      </c>
      <c r="R1916" s="0" t="b">
        <v>0</v>
      </c>
      <c r="S1916" s="0" t="b">
        <v>1</v>
      </c>
      <c r="T1916" s="68">
        <v>44984.4583333333</v>
      </c>
      <c r="U1916" s="68">
        <v>44998.3333333333</v>
      </c>
      <c r="V1916" s="68">
        <v>0</v>
      </c>
      <c r="W1916" s="0">
        <f>IF(IF(B1916="none",1,IF(B1916="Trialer",1,0))+IF(C1916="Customer",1,IF(C1916="Lost",1,0))=2,1,0)</f>
      </c>
      <c r="X1916" s="0" t="s">
        <v>136</v>
      </c>
      <c r="Y1916" s="0" t="s">
        <v>243</v>
      </c>
      <c r="AV1916" s="68"/>
      <c r="AW1916" s="68"/>
      <c r="AY1916" s="27"/>
      <c r="BD1916" s="68">
        <v>46054.1666666667</v>
      </c>
      <c r="BE1916" s="68">
        <v>46082.1666666667</v>
      </c>
      <c r="BF1916" s="0" t="b">
        <v>0</v>
      </c>
      <c r="BG1916" s="0" t="b">
        <v>0</v>
      </c>
      <c r="BH1916" s="0">
        <v>236</v>
      </c>
      <c r="BI1916" s="0">
        <v>236</v>
      </c>
      <c r="BJ1916" s="0" t="s">
        <v>135</v>
      </c>
    </row>
    <row r="1917">
      <c r="A1917" s="0" t="s">
        <v>2146</v>
      </c>
      <c r="B1917" s="0" t="s">
        <v>134</v>
      </c>
      <c r="C1917" s="0" t="s">
        <v>134</v>
      </c>
      <c r="D1917" s="0" t="s">
        <v>135</v>
      </c>
      <c r="E1917" s="0" t="s">
        <v>3</v>
      </c>
      <c r="F1917" s="0" t="s">
        <v>10</v>
      </c>
      <c r="G1917" s="0" t="s">
        <v>8</v>
      </c>
      <c r="H1917" s="0">
        <v>1069</v>
      </c>
      <c r="I1917" s="0">
        <v>28</v>
      </c>
      <c r="J1917" s="0">
        <v>0</v>
      </c>
      <c r="K1917" s="0">
        <v>1</v>
      </c>
      <c r="L1917" s="0">
        <v>1</v>
      </c>
      <c r="M1917" s="0">
        <v>1</v>
      </c>
      <c r="N1917" s="0">
        <v>0</v>
      </c>
      <c r="O1917" s="0">
        <v>0</v>
      </c>
      <c r="P1917" s="0">
        <v>0</v>
      </c>
      <c r="Q1917" s="0" t="s">
        <v>618</v>
      </c>
      <c r="R1917" s="0" t="b">
        <v>0</v>
      </c>
      <c r="S1917" s="0" t="b">
        <v>1</v>
      </c>
      <c r="T1917" s="68">
        <v>44984.4776388889</v>
      </c>
      <c r="U1917" s="68">
        <v>44998.3333333333</v>
      </c>
      <c r="V1917" s="68">
        <v>0</v>
      </c>
      <c r="W1917" s="0">
        <f>IF(IF(B1917="none",1,IF(B1917="Trialer",1,0))+IF(C1917="Customer",1,IF(C1917="Lost",1,0))=2,1,0)</f>
      </c>
      <c r="X1917" s="0" t="s">
        <v>148</v>
      </c>
      <c r="Y1917" s="0" t="s">
        <v>243</v>
      </c>
      <c r="AV1917" s="68"/>
      <c r="AW1917" s="68"/>
      <c r="AY1917" s="27"/>
      <c r="BD1917" s="68">
        <v>46054.1666666667</v>
      </c>
      <c r="BE1917" s="68">
        <v>46082.1666666667</v>
      </c>
      <c r="BF1917" s="0" t="b">
        <v>0</v>
      </c>
      <c r="BG1917" s="0" t="b">
        <v>0</v>
      </c>
      <c r="BH1917" s="0">
        <v>28</v>
      </c>
      <c r="BI1917" s="0">
        <v>28</v>
      </c>
      <c r="BJ1917" s="0" t="s">
        <v>135</v>
      </c>
    </row>
    <row r="1918">
      <c r="A1918" s="0" t="s">
        <v>2147</v>
      </c>
      <c r="B1918" s="0" t="s">
        <v>134</v>
      </c>
      <c r="C1918" s="0" t="s">
        <v>134</v>
      </c>
      <c r="D1918" s="0" t="s">
        <v>230</v>
      </c>
      <c r="E1918" s="0" t="s">
        <v>2</v>
      </c>
      <c r="F1918" s="0" t="s">
        <v>12</v>
      </c>
      <c r="G1918" s="0" t="s">
        <v>8</v>
      </c>
      <c r="H1918" s="0">
        <v>1069</v>
      </c>
      <c r="I1918" s="0">
        <v>30</v>
      </c>
      <c r="J1918" s="0">
        <v>0</v>
      </c>
      <c r="K1918" s="0">
        <v>1</v>
      </c>
      <c r="L1918" s="0">
        <v>2</v>
      </c>
      <c r="M1918" s="0">
        <v>1</v>
      </c>
      <c r="N1918" s="0">
        <v>0</v>
      </c>
      <c r="O1918" s="0">
        <v>0</v>
      </c>
      <c r="P1918" s="0">
        <v>-30</v>
      </c>
      <c r="R1918" s="0" t="b">
        <v>0</v>
      </c>
      <c r="S1918" s="0" t="b">
        <v>1</v>
      </c>
      <c r="T1918" s="68">
        <v>44984.6646759259</v>
      </c>
      <c r="U1918" s="68">
        <v>45009.3333333333</v>
      </c>
      <c r="V1918" s="68">
        <v>0</v>
      </c>
      <c r="W1918" s="0">
        <f>IF(IF(B1918="none",1,IF(B1918="Trialer",1,0))+IF(C1918="Customer",1,IF(C1918="Lost",1,0))=2,1,0)</f>
      </c>
      <c r="X1918" s="0" t="s">
        <v>142</v>
      </c>
      <c r="Y1918" s="0" t="s">
        <v>499</v>
      </c>
      <c r="AV1918" s="68"/>
      <c r="AW1918" s="68"/>
      <c r="AY1918" s="27"/>
      <c r="BD1918" s="68">
        <v>46054.1666666667</v>
      </c>
      <c r="BE1918" s="68">
        <v>46082.1666666667</v>
      </c>
      <c r="BF1918" s="0" t="b">
        <v>0</v>
      </c>
      <c r="BG1918" s="0" t="b">
        <v>0</v>
      </c>
      <c r="BH1918" s="0">
        <v>40</v>
      </c>
      <c r="BI1918" s="0">
        <v>40</v>
      </c>
      <c r="BJ1918" s="0" t="s">
        <v>230</v>
      </c>
    </row>
    <row r="1919">
      <c r="A1919" s="0" t="s">
        <v>2148</v>
      </c>
      <c r="B1919" s="0" t="s">
        <v>134</v>
      </c>
      <c r="C1919" s="0" t="s">
        <v>134</v>
      </c>
      <c r="D1919" s="0" t="s">
        <v>230</v>
      </c>
      <c r="E1919" s="0" t="s">
        <v>3</v>
      </c>
      <c r="F1919" s="0" t="s">
        <v>12</v>
      </c>
      <c r="G1919" s="0" t="s">
        <v>8</v>
      </c>
      <c r="H1919" s="0">
        <v>1069</v>
      </c>
      <c r="I1919" s="0">
        <v>73.5</v>
      </c>
      <c r="J1919" s="0">
        <v>0</v>
      </c>
      <c r="K1919" s="0">
        <v>1</v>
      </c>
      <c r="L1919" s="0">
        <v>3</v>
      </c>
      <c r="M1919" s="0">
        <v>2</v>
      </c>
      <c r="N1919" s="0">
        <v>0</v>
      </c>
      <c r="O1919" s="0">
        <v>0</v>
      </c>
      <c r="P1919" s="0">
        <v>-73.5</v>
      </c>
      <c r="R1919" s="0" t="b">
        <v>0</v>
      </c>
      <c r="S1919" s="0" t="b">
        <v>1</v>
      </c>
      <c r="T1919" s="68">
        <v>44984.9430555556</v>
      </c>
      <c r="U1919" s="68">
        <v>45006.3333333333</v>
      </c>
      <c r="V1919" s="68">
        <v>0</v>
      </c>
      <c r="W1919" s="0">
        <f>IF(IF(B1919="none",1,IF(B1919="Trialer",1,0))+IF(C1919="Customer",1,IF(C1919="Lost",1,0))=2,1,0)</f>
      </c>
      <c r="X1919" s="0" t="s">
        <v>142</v>
      </c>
      <c r="Y1919" s="0" t="s">
        <v>243</v>
      </c>
      <c r="AV1919" s="68"/>
      <c r="AW1919" s="68"/>
      <c r="AY1919" s="27"/>
      <c r="BD1919" s="68">
        <v>46054.1666666667</v>
      </c>
      <c r="BE1919" s="68">
        <v>46082.1666666667</v>
      </c>
      <c r="BF1919" s="0" t="b">
        <v>0</v>
      </c>
      <c r="BG1919" s="0" t="b">
        <v>0</v>
      </c>
      <c r="BH1919" s="0">
        <v>98</v>
      </c>
      <c r="BI1919" s="0">
        <v>98</v>
      </c>
      <c r="BJ1919" s="0" t="s">
        <v>230</v>
      </c>
    </row>
    <row r="1920">
      <c r="A1920" s="0" t="s">
        <v>2149</v>
      </c>
      <c r="B1920" s="0" t="s">
        <v>134</v>
      </c>
      <c r="C1920" s="0" t="s">
        <v>190</v>
      </c>
      <c r="D1920" s="0" t="s">
        <v>230</v>
      </c>
      <c r="E1920" s="0" t="s">
        <v>2</v>
      </c>
      <c r="F1920" s="0" t="s">
        <v>12</v>
      </c>
      <c r="G1920" s="0" t="s">
        <v>8</v>
      </c>
      <c r="H1920" s="0">
        <v>1067</v>
      </c>
      <c r="I1920" s="0">
        <v>61.2</v>
      </c>
      <c r="J1920" s="0">
        <v>0</v>
      </c>
      <c r="K1920" s="0">
        <v>1</v>
      </c>
      <c r="L1920" s="0">
        <v>2</v>
      </c>
      <c r="M1920" s="0">
        <v>2</v>
      </c>
      <c r="N1920" s="0">
        <v>0</v>
      </c>
      <c r="O1920" s="0">
        <v>0</v>
      </c>
      <c r="P1920" s="0">
        <v>-61.2</v>
      </c>
      <c r="R1920" s="0" t="b">
        <v>0</v>
      </c>
      <c r="S1920" s="0" t="b">
        <v>0</v>
      </c>
      <c r="T1920" s="68">
        <v>44986.5267824074</v>
      </c>
      <c r="U1920" s="68">
        <v>45007.3333333333</v>
      </c>
      <c r="V1920" s="68">
        <v>46078.5244675926</v>
      </c>
      <c r="W1920" s="0">
        <f>IF(IF(B1920="none",1,IF(B1920="Trialer",1,0))+IF(C1920="Customer",1,IF(C1920="Lost",1,0))=2,1,0)</f>
      </c>
      <c r="X1920" s="0" t="s">
        <v>166</v>
      </c>
      <c r="Y1920" s="0" t="s">
        <v>499</v>
      </c>
      <c r="AV1920" s="68"/>
      <c r="AW1920" s="68"/>
      <c r="AY1920" s="27"/>
      <c r="BD1920" s="68">
        <v>46054.1666666667</v>
      </c>
      <c r="BE1920" s="68">
        <v>46082.1666666667</v>
      </c>
      <c r="BF1920" s="0" t="b">
        <v>0</v>
      </c>
      <c r="BG1920" s="0" t="b">
        <v>0</v>
      </c>
      <c r="BH1920" s="0">
        <v>68</v>
      </c>
      <c r="BI1920" s="0">
        <v>68</v>
      </c>
      <c r="BJ1920" s="0" t="s">
        <v>230</v>
      </c>
    </row>
    <row r="1921">
      <c r="A1921" s="0" t="s">
        <v>2150</v>
      </c>
      <c r="B1921" s="0" t="s">
        <v>134</v>
      </c>
      <c r="C1921" s="0" t="s">
        <v>134</v>
      </c>
      <c r="D1921" s="0" t="s">
        <v>135</v>
      </c>
      <c r="E1921" s="0" t="s">
        <v>3</v>
      </c>
      <c r="F1921" s="0" t="s">
        <v>12</v>
      </c>
      <c r="G1921" s="0" t="s">
        <v>8</v>
      </c>
      <c r="H1921" s="0">
        <v>1067</v>
      </c>
      <c r="I1921" s="0">
        <v>111</v>
      </c>
      <c r="J1921" s="0">
        <v>0</v>
      </c>
      <c r="K1921" s="0">
        <v>1</v>
      </c>
      <c r="L1921" s="0">
        <v>2</v>
      </c>
      <c r="M1921" s="0">
        <v>3</v>
      </c>
      <c r="N1921" s="0">
        <v>0</v>
      </c>
      <c r="O1921" s="0">
        <v>0</v>
      </c>
      <c r="P1921" s="0">
        <v>0</v>
      </c>
      <c r="R1921" s="0" t="b">
        <v>0</v>
      </c>
      <c r="S1921" s="0" t="b">
        <v>1</v>
      </c>
      <c r="T1921" s="68">
        <v>44986.5862384259</v>
      </c>
      <c r="U1921" s="68">
        <v>45001.3333333333</v>
      </c>
      <c r="V1921" s="68">
        <v>0</v>
      </c>
      <c r="W1921" s="0">
        <f>IF(IF(B1921="none",1,IF(B1921="Trialer",1,0))+IF(C1921="Customer",1,IF(C1921="Lost",1,0))=2,1,0)</f>
      </c>
      <c r="X1921" s="0" t="s">
        <v>142</v>
      </c>
      <c r="Y1921" s="0" t="s">
        <v>243</v>
      </c>
      <c r="AV1921" s="68"/>
      <c r="AW1921" s="68"/>
      <c r="AY1921" s="27"/>
      <c r="BD1921" s="68">
        <v>46054.1666666667</v>
      </c>
      <c r="BE1921" s="68">
        <v>46082.1666666667</v>
      </c>
      <c r="BF1921" s="0" t="b">
        <v>0</v>
      </c>
      <c r="BG1921" s="0" t="b">
        <v>0</v>
      </c>
      <c r="BH1921" s="0">
        <v>111</v>
      </c>
      <c r="BI1921" s="0">
        <v>111</v>
      </c>
      <c r="BJ1921" s="0" t="s">
        <v>135</v>
      </c>
    </row>
    <row r="1922">
      <c r="A1922" s="0" t="s">
        <v>2151</v>
      </c>
      <c r="B1922" s="0" t="s">
        <v>134</v>
      </c>
      <c r="C1922" s="0" t="s">
        <v>134</v>
      </c>
      <c r="D1922" s="0" t="s">
        <v>135</v>
      </c>
      <c r="E1922" s="0" t="s">
        <v>3</v>
      </c>
      <c r="F1922" s="0" t="s">
        <v>12</v>
      </c>
      <c r="G1922" s="0" t="s">
        <v>8</v>
      </c>
      <c r="H1922" s="0">
        <v>1065</v>
      </c>
      <c r="I1922" s="0">
        <v>244</v>
      </c>
      <c r="J1922" s="0">
        <v>0</v>
      </c>
      <c r="K1922" s="0">
        <v>1</v>
      </c>
      <c r="L1922" s="0">
        <v>4</v>
      </c>
      <c r="M1922" s="0">
        <v>4</v>
      </c>
      <c r="N1922" s="0">
        <v>0</v>
      </c>
      <c r="O1922" s="0">
        <v>0</v>
      </c>
      <c r="P1922" s="0">
        <v>0</v>
      </c>
      <c r="R1922" s="0" t="b">
        <v>0</v>
      </c>
      <c r="S1922" s="0" t="b">
        <v>1</v>
      </c>
      <c r="T1922" s="68">
        <v>44988.586724537</v>
      </c>
      <c r="U1922" s="68">
        <v>45002.3333333333</v>
      </c>
      <c r="V1922" s="68">
        <v>0</v>
      </c>
      <c r="W1922" s="0">
        <f>IF(IF(B1922="none",1,IF(B1922="Trialer",1,0))+IF(C1922="Customer",1,IF(C1922="Lost",1,0))=2,1,0)</f>
      </c>
      <c r="X1922" s="0" t="s">
        <v>136</v>
      </c>
      <c r="Y1922" s="0" t="s">
        <v>243</v>
      </c>
      <c r="AV1922" s="68"/>
      <c r="AW1922" s="68"/>
      <c r="AY1922" s="27"/>
      <c r="BD1922" s="68">
        <v>46054.1666666667</v>
      </c>
      <c r="BE1922" s="68">
        <v>46082.1666666667</v>
      </c>
      <c r="BF1922" s="0" t="b">
        <v>0</v>
      </c>
      <c r="BG1922" s="0" t="b">
        <v>0</v>
      </c>
      <c r="BH1922" s="0">
        <v>244</v>
      </c>
      <c r="BI1922" s="0">
        <v>244</v>
      </c>
      <c r="BJ1922" s="0" t="s">
        <v>135</v>
      </c>
    </row>
    <row r="1923">
      <c r="A1923" s="0" t="s">
        <v>2152</v>
      </c>
      <c r="B1923" s="0" t="s">
        <v>134</v>
      </c>
      <c r="C1923" s="0" t="s">
        <v>134</v>
      </c>
      <c r="D1923" s="0" t="s">
        <v>135</v>
      </c>
      <c r="E1923" s="0" t="s">
        <v>3</v>
      </c>
      <c r="F1923" s="0" t="s">
        <v>12</v>
      </c>
      <c r="G1923" s="0" t="s">
        <v>8</v>
      </c>
      <c r="H1923" s="0">
        <v>1064</v>
      </c>
      <c r="I1923" s="0">
        <v>285</v>
      </c>
      <c r="J1923" s="0">
        <v>0</v>
      </c>
      <c r="K1923" s="0">
        <v>1</v>
      </c>
      <c r="L1923" s="0">
        <v>5</v>
      </c>
      <c r="M1923" s="0">
        <v>6</v>
      </c>
      <c r="N1923" s="0">
        <v>0</v>
      </c>
      <c r="O1923" s="0">
        <v>0</v>
      </c>
      <c r="P1923" s="0">
        <v>0</v>
      </c>
      <c r="R1923" s="0" t="b">
        <v>0</v>
      </c>
      <c r="S1923" s="0" t="b">
        <v>1</v>
      </c>
      <c r="T1923" s="68">
        <v>44989.3760532407</v>
      </c>
      <c r="U1923" s="68">
        <v>45003.3333333333</v>
      </c>
      <c r="V1923" s="68">
        <v>0</v>
      </c>
      <c r="W1923" s="0">
        <f>IF(IF(B1923="none",1,IF(B1923="Trialer",1,0))+IF(C1923="Customer",1,IF(C1923="Lost",1,0))=2,1,0)</f>
      </c>
      <c r="X1923" s="0" t="s">
        <v>145</v>
      </c>
      <c r="Y1923" s="0" t="s">
        <v>243</v>
      </c>
      <c r="AV1923" s="68"/>
      <c r="AW1923" s="68"/>
      <c r="AY1923" s="27"/>
      <c r="BD1923" s="68">
        <v>46054.1666666667</v>
      </c>
      <c r="BE1923" s="68">
        <v>46082.1666666667</v>
      </c>
      <c r="BF1923" s="0" t="b">
        <v>0</v>
      </c>
      <c r="BG1923" s="0" t="b">
        <v>0</v>
      </c>
      <c r="BH1923" s="0">
        <v>285</v>
      </c>
      <c r="BI1923" s="0">
        <v>285</v>
      </c>
      <c r="BJ1923" s="0" t="s">
        <v>135</v>
      </c>
    </row>
    <row r="1924">
      <c r="A1924" s="0" t="s">
        <v>2153</v>
      </c>
      <c r="B1924" s="0" t="s">
        <v>134</v>
      </c>
      <c r="C1924" s="0" t="s">
        <v>134</v>
      </c>
      <c r="D1924" s="0" t="s">
        <v>135</v>
      </c>
      <c r="E1924" s="0" t="s">
        <v>3</v>
      </c>
      <c r="F1924" s="0" t="s">
        <v>12</v>
      </c>
      <c r="G1924" s="0" t="s">
        <v>8</v>
      </c>
      <c r="H1924" s="0">
        <v>1062</v>
      </c>
      <c r="I1924" s="0">
        <v>0</v>
      </c>
      <c r="J1924" s="0">
        <v>0</v>
      </c>
      <c r="K1924" s="0">
        <v>1</v>
      </c>
      <c r="L1924" s="0">
        <v>4</v>
      </c>
      <c r="M1924" s="0">
        <v>1</v>
      </c>
      <c r="N1924" s="0">
        <v>0</v>
      </c>
      <c r="O1924" s="0">
        <v>0</v>
      </c>
      <c r="P1924" s="0">
        <v>0</v>
      </c>
      <c r="R1924" s="0" t="b">
        <v>0</v>
      </c>
      <c r="S1924" s="0" t="b">
        <v>1</v>
      </c>
      <c r="T1924" s="68">
        <v>44991.6097222222</v>
      </c>
      <c r="U1924" s="68">
        <v>45005.3333333333</v>
      </c>
      <c r="V1924" s="68">
        <v>0</v>
      </c>
      <c r="W1924" s="0">
        <f>IF(IF(B1924="none",1,IF(B1924="Trialer",1,0))+IF(C1924="Customer",1,IF(C1924="Lost",1,0))=2,1,0)</f>
      </c>
      <c r="X1924" s="0" t="s">
        <v>136</v>
      </c>
      <c r="Y1924" s="0" t="s">
        <v>243</v>
      </c>
      <c r="AV1924" s="68"/>
      <c r="AW1924" s="68"/>
      <c r="AY1924" s="27"/>
      <c r="BD1924" s="68">
        <v>46054.1666666667</v>
      </c>
      <c r="BE1924" s="68">
        <v>46082.1666666667</v>
      </c>
      <c r="BF1924" s="0" t="b">
        <v>0</v>
      </c>
      <c r="BG1924" s="0" t="b">
        <v>0</v>
      </c>
      <c r="BH1924" s="0">
        <v>0</v>
      </c>
      <c r="BI1924" s="0">
        <v>0</v>
      </c>
      <c r="BJ1924" s="0" t="s">
        <v>135</v>
      </c>
    </row>
    <row r="1925">
      <c r="A1925" s="0" t="s">
        <v>2154</v>
      </c>
      <c r="B1925" s="0" t="s">
        <v>134</v>
      </c>
      <c r="C1925" s="0" t="s">
        <v>134</v>
      </c>
      <c r="D1925" s="0" t="s">
        <v>135</v>
      </c>
      <c r="E1925" s="0" t="s">
        <v>2</v>
      </c>
      <c r="F1925" s="0" t="s">
        <v>12</v>
      </c>
      <c r="G1925" s="0" t="s">
        <v>7</v>
      </c>
      <c r="H1925" s="0">
        <v>1061</v>
      </c>
      <c r="I1925" s="0">
        <v>40</v>
      </c>
      <c r="J1925" s="0">
        <v>0</v>
      </c>
      <c r="K1925" s="0">
        <v>1</v>
      </c>
      <c r="L1925" s="0">
        <v>1</v>
      </c>
      <c r="M1925" s="0">
        <v>1</v>
      </c>
      <c r="N1925" s="0">
        <v>0</v>
      </c>
      <c r="O1925" s="0">
        <v>0</v>
      </c>
      <c r="P1925" s="0">
        <v>0</v>
      </c>
      <c r="R1925" s="0" t="b">
        <v>0</v>
      </c>
      <c r="S1925" s="0" t="b">
        <v>1</v>
      </c>
      <c r="T1925" s="68">
        <v>44992.5</v>
      </c>
      <c r="U1925" s="68">
        <v>44992.5</v>
      </c>
      <c r="V1925" s="68">
        <v>0</v>
      </c>
      <c r="W1925" s="0">
        <f>IF(IF(B1925="none",1,IF(B1925="Trialer",1,0))+IF(C1925="Customer",1,IF(C1925="Lost",1,0))=2,1,0)</f>
      </c>
      <c r="X1925" s="0" t="s">
        <v>145</v>
      </c>
      <c r="Y1925" s="0" t="s">
        <v>137</v>
      </c>
      <c r="AV1925" s="68"/>
      <c r="AW1925" s="68"/>
      <c r="AY1925" s="27"/>
      <c r="BD1925" s="68">
        <v>46054.1666666667</v>
      </c>
      <c r="BE1925" s="68">
        <v>46082.1666666667</v>
      </c>
      <c r="BF1925" s="0" t="b">
        <v>0</v>
      </c>
      <c r="BG1925" s="0" t="b">
        <v>0</v>
      </c>
      <c r="BH1925" s="0">
        <v>40</v>
      </c>
      <c r="BI1925" s="0">
        <v>40</v>
      </c>
      <c r="BJ1925" s="0" t="s">
        <v>135</v>
      </c>
    </row>
    <row r="1926">
      <c r="A1926" s="0" t="s">
        <v>2155</v>
      </c>
      <c r="B1926" s="0" t="s">
        <v>134</v>
      </c>
      <c r="C1926" s="0" t="s">
        <v>134</v>
      </c>
      <c r="D1926" s="0" t="s">
        <v>135</v>
      </c>
      <c r="E1926" s="0" t="s">
        <v>3</v>
      </c>
      <c r="F1926" s="0" t="s">
        <v>12</v>
      </c>
      <c r="G1926" s="0" t="s">
        <v>8</v>
      </c>
      <c r="H1926" s="0">
        <v>1061</v>
      </c>
      <c r="I1926" s="0">
        <v>243.02</v>
      </c>
      <c r="J1926" s="0">
        <v>0</v>
      </c>
      <c r="K1926" s="0">
        <v>1</v>
      </c>
      <c r="L1926" s="0">
        <v>4</v>
      </c>
      <c r="M1926" s="0">
        <v>6</v>
      </c>
      <c r="N1926" s="0">
        <v>0</v>
      </c>
      <c r="O1926" s="0">
        <v>0</v>
      </c>
      <c r="P1926" s="0">
        <v>0</v>
      </c>
      <c r="R1926" s="0" t="b">
        <v>0</v>
      </c>
      <c r="S1926" s="0" t="b">
        <v>1</v>
      </c>
      <c r="T1926" s="68">
        <v>44992.545787037</v>
      </c>
      <c r="U1926" s="68">
        <v>45006.3333333333</v>
      </c>
      <c r="V1926" s="68">
        <v>0</v>
      </c>
      <c r="W1926" s="0">
        <f>IF(IF(B1926="none",1,IF(B1926="Trialer",1,0))+IF(C1926="Customer",1,IF(C1926="Lost",1,0))=2,1,0)</f>
      </c>
      <c r="X1926" s="0" t="s">
        <v>145</v>
      </c>
      <c r="Y1926" s="0" t="s">
        <v>243</v>
      </c>
      <c r="AV1926" s="68"/>
      <c r="AW1926" s="68"/>
      <c r="AY1926" s="27"/>
      <c r="BD1926" s="68">
        <v>46054.1666666667</v>
      </c>
      <c r="BE1926" s="68">
        <v>46082.1666666667</v>
      </c>
      <c r="BF1926" s="0" t="b">
        <v>0</v>
      </c>
      <c r="BG1926" s="0" t="b">
        <v>0</v>
      </c>
      <c r="BH1926" s="0">
        <v>187</v>
      </c>
      <c r="BI1926" s="0">
        <v>187</v>
      </c>
      <c r="BJ1926" s="0" t="s">
        <v>135</v>
      </c>
    </row>
    <row r="1927">
      <c r="A1927" s="0" t="s">
        <v>2156</v>
      </c>
      <c r="B1927" s="0" t="s">
        <v>134</v>
      </c>
      <c r="C1927" s="0" t="s">
        <v>134</v>
      </c>
      <c r="D1927" s="0" t="s">
        <v>135</v>
      </c>
      <c r="E1927" s="0" t="s">
        <v>3</v>
      </c>
      <c r="F1927" s="0" t="s">
        <v>10</v>
      </c>
      <c r="G1927" s="0" t="s">
        <v>8</v>
      </c>
      <c r="H1927" s="0">
        <v>1061</v>
      </c>
      <c r="I1927" s="0">
        <v>56</v>
      </c>
      <c r="J1927" s="0">
        <v>0</v>
      </c>
      <c r="K1927" s="0">
        <v>1</v>
      </c>
      <c r="L1927" s="0">
        <v>1</v>
      </c>
      <c r="M1927" s="0">
        <v>2</v>
      </c>
      <c r="N1927" s="0">
        <v>0</v>
      </c>
      <c r="O1927" s="0">
        <v>0</v>
      </c>
      <c r="P1927" s="0">
        <v>0</v>
      </c>
      <c r="Q1927" s="0" t="s">
        <v>618</v>
      </c>
      <c r="R1927" s="0" t="b">
        <v>0</v>
      </c>
      <c r="S1927" s="0" t="b">
        <v>1</v>
      </c>
      <c r="T1927" s="68">
        <v>44992.6065509259</v>
      </c>
      <c r="U1927" s="68">
        <v>45006.3333333333</v>
      </c>
      <c r="V1927" s="68">
        <v>0</v>
      </c>
      <c r="W1927" s="0">
        <f>IF(IF(B1927="none",1,IF(B1927="Trialer",1,0))+IF(C1927="Customer",1,IF(C1927="Lost",1,0))=2,1,0)</f>
      </c>
      <c r="X1927" s="0" t="s">
        <v>148</v>
      </c>
      <c r="Y1927" s="0" t="s">
        <v>243</v>
      </c>
      <c r="AV1927" s="68"/>
      <c r="AW1927" s="68"/>
      <c r="AY1927" s="27"/>
      <c r="BD1927" s="68">
        <v>46054.1666666667</v>
      </c>
      <c r="BE1927" s="68">
        <v>46082.1666666667</v>
      </c>
      <c r="BF1927" s="0" t="b">
        <v>0</v>
      </c>
      <c r="BG1927" s="0" t="b">
        <v>0</v>
      </c>
      <c r="BH1927" s="0">
        <v>56</v>
      </c>
      <c r="BI1927" s="0">
        <v>56</v>
      </c>
      <c r="BJ1927" s="0" t="s">
        <v>135</v>
      </c>
    </row>
    <row r="1928">
      <c r="A1928" s="0" t="s">
        <v>2157</v>
      </c>
      <c r="B1928" s="0" t="s">
        <v>134</v>
      </c>
      <c r="C1928" s="0" t="s">
        <v>134</v>
      </c>
      <c r="D1928" s="0" t="s">
        <v>230</v>
      </c>
      <c r="E1928" s="0" t="s">
        <v>2</v>
      </c>
      <c r="F1928" s="0" t="s">
        <v>12</v>
      </c>
      <c r="G1928" s="0" t="s">
        <v>8</v>
      </c>
      <c r="H1928" s="0">
        <v>1060</v>
      </c>
      <c r="I1928" s="0">
        <v>360</v>
      </c>
      <c r="J1928" s="0">
        <v>0</v>
      </c>
      <c r="K1928" s="0">
        <v>1</v>
      </c>
      <c r="L1928" s="0">
        <v>2</v>
      </c>
      <c r="M1928" s="0">
        <v>10</v>
      </c>
      <c r="N1928" s="0">
        <v>413.25</v>
      </c>
      <c r="O1928" s="0">
        <v>0</v>
      </c>
      <c r="P1928" s="0">
        <v>-360</v>
      </c>
      <c r="R1928" s="0" t="b">
        <v>0</v>
      </c>
      <c r="S1928" s="0" t="b">
        <v>1</v>
      </c>
      <c r="T1928" s="68">
        <v>44993.4961574074</v>
      </c>
      <c r="U1928" s="68">
        <v>45027.3333333333</v>
      </c>
      <c r="V1928" s="68">
        <v>0</v>
      </c>
      <c r="W1928" s="0">
        <f>IF(IF(B1928="none",1,IF(B1928="Trialer",1,0))+IF(C1928="Customer",1,IF(C1928="Lost",1,0))=2,1,0)</f>
      </c>
      <c r="X1928" s="0" t="s">
        <v>136</v>
      </c>
      <c r="Y1928" s="0" t="s">
        <v>499</v>
      </c>
      <c r="AV1928" s="68"/>
      <c r="AW1928" s="68"/>
      <c r="AY1928" s="27"/>
      <c r="BD1928" s="68">
        <v>46054.1666666667</v>
      </c>
      <c r="BE1928" s="68">
        <v>46082.1666666667</v>
      </c>
      <c r="BF1928" s="0" t="b">
        <v>0</v>
      </c>
      <c r="BG1928" s="0" t="b">
        <v>0</v>
      </c>
      <c r="BH1928" s="0">
        <v>400</v>
      </c>
      <c r="BI1928" s="0">
        <v>400</v>
      </c>
      <c r="BJ1928" s="0" t="s">
        <v>230</v>
      </c>
    </row>
    <row r="1929">
      <c r="A1929" s="0" t="s">
        <v>2158</v>
      </c>
      <c r="B1929" s="0" t="s">
        <v>134</v>
      </c>
      <c r="C1929" s="0" t="s">
        <v>134</v>
      </c>
      <c r="D1929" s="0" t="s">
        <v>135</v>
      </c>
      <c r="E1929" s="0" t="s">
        <v>3</v>
      </c>
      <c r="F1929" s="0" t="s">
        <v>12</v>
      </c>
      <c r="G1929" s="0" t="s">
        <v>8</v>
      </c>
      <c r="H1929" s="0">
        <v>1060</v>
      </c>
      <c r="I1929" s="0">
        <v>0</v>
      </c>
      <c r="J1929" s="0">
        <v>0</v>
      </c>
      <c r="K1929" s="0">
        <v>1</v>
      </c>
      <c r="L1929" s="0">
        <v>6</v>
      </c>
      <c r="M1929" s="0">
        <v>2</v>
      </c>
      <c r="N1929" s="0">
        <v>0</v>
      </c>
      <c r="O1929" s="0">
        <v>0</v>
      </c>
      <c r="P1929" s="0">
        <v>0</v>
      </c>
      <c r="R1929" s="0" t="b">
        <v>0</v>
      </c>
      <c r="S1929" s="0" t="b">
        <v>1</v>
      </c>
      <c r="T1929" s="68">
        <v>44993.8627893518</v>
      </c>
      <c r="U1929" s="68">
        <v>45016.3333333333</v>
      </c>
      <c r="V1929" s="68">
        <v>0</v>
      </c>
      <c r="W1929" s="0">
        <f>IF(IF(B1929="none",1,IF(B1929="Trialer",1,0))+IF(C1929="Customer",1,IF(C1929="Lost",1,0))=2,1,0)</f>
      </c>
      <c r="X1929" s="0" t="s">
        <v>148</v>
      </c>
      <c r="Y1929" s="0" t="s">
        <v>243</v>
      </c>
      <c r="AV1929" s="68"/>
      <c r="AW1929" s="68"/>
      <c r="AY1929" s="27"/>
      <c r="BD1929" s="68">
        <v>46054.1666666667</v>
      </c>
      <c r="BE1929" s="68">
        <v>46082.1666666667</v>
      </c>
      <c r="BF1929" s="0" t="b">
        <v>0</v>
      </c>
      <c r="BG1929" s="0" t="b">
        <v>0</v>
      </c>
      <c r="BH1929" s="0">
        <v>0</v>
      </c>
      <c r="BI1929" s="0">
        <v>0</v>
      </c>
      <c r="BJ1929" s="0" t="s">
        <v>135</v>
      </c>
    </row>
    <row r="1930">
      <c r="A1930" s="0" t="s">
        <v>2159</v>
      </c>
      <c r="B1930" s="0" t="s">
        <v>134</v>
      </c>
      <c r="C1930" s="0" t="s">
        <v>134</v>
      </c>
      <c r="D1930" s="0" t="s">
        <v>135</v>
      </c>
      <c r="E1930" s="0" t="s">
        <v>3</v>
      </c>
      <c r="F1930" s="0" t="s">
        <v>12</v>
      </c>
      <c r="G1930" s="0" t="s">
        <v>8</v>
      </c>
      <c r="H1930" s="0">
        <v>1059</v>
      </c>
      <c r="I1930" s="0">
        <v>28</v>
      </c>
      <c r="J1930" s="0">
        <v>0</v>
      </c>
      <c r="K1930" s="0">
        <v>1</v>
      </c>
      <c r="L1930" s="0">
        <v>1</v>
      </c>
      <c r="M1930" s="0">
        <v>1</v>
      </c>
      <c r="N1930" s="0">
        <v>0</v>
      </c>
      <c r="O1930" s="0">
        <v>0</v>
      </c>
      <c r="P1930" s="0">
        <v>0</v>
      </c>
      <c r="R1930" s="0" t="b">
        <v>0</v>
      </c>
      <c r="S1930" s="0" t="b">
        <v>1</v>
      </c>
      <c r="T1930" s="68">
        <v>44994.4729398148</v>
      </c>
      <c r="U1930" s="68">
        <v>45008.3333333333</v>
      </c>
      <c r="V1930" s="68">
        <v>0</v>
      </c>
      <c r="W1930" s="0">
        <f>IF(IF(B1930="none",1,IF(B1930="Trialer",1,0))+IF(C1930="Customer",1,IF(C1930="Lost",1,0))=2,1,0)</f>
      </c>
      <c r="X1930" s="0" t="s">
        <v>142</v>
      </c>
      <c r="Y1930" s="0" t="s">
        <v>243</v>
      </c>
      <c r="AV1930" s="68"/>
      <c r="AW1930" s="68"/>
      <c r="AY1930" s="27"/>
      <c r="BD1930" s="68">
        <v>46054.1666666667</v>
      </c>
      <c r="BE1930" s="68">
        <v>46082.1666666667</v>
      </c>
      <c r="BF1930" s="0" t="b">
        <v>0</v>
      </c>
      <c r="BG1930" s="0" t="b">
        <v>0</v>
      </c>
      <c r="BH1930" s="0">
        <v>28</v>
      </c>
      <c r="BI1930" s="0">
        <v>28</v>
      </c>
      <c r="BJ1930" s="0" t="s">
        <v>135</v>
      </c>
    </row>
    <row r="1931">
      <c r="A1931" s="0" t="s">
        <v>2160</v>
      </c>
      <c r="B1931" s="0" t="s">
        <v>134</v>
      </c>
      <c r="C1931" s="0" t="s">
        <v>134</v>
      </c>
      <c r="D1931" s="0" t="s">
        <v>135</v>
      </c>
      <c r="E1931" s="0" t="s">
        <v>3</v>
      </c>
      <c r="F1931" s="0" t="s">
        <v>12</v>
      </c>
      <c r="G1931" s="0" t="s">
        <v>8</v>
      </c>
      <c r="H1931" s="0">
        <v>1059</v>
      </c>
      <c r="I1931" s="0">
        <v>208</v>
      </c>
      <c r="J1931" s="0">
        <v>0</v>
      </c>
      <c r="K1931" s="0">
        <v>1</v>
      </c>
      <c r="L1931" s="0">
        <v>3</v>
      </c>
      <c r="M1931" s="0">
        <v>4</v>
      </c>
      <c r="N1931" s="0">
        <v>0</v>
      </c>
      <c r="O1931" s="0">
        <v>0</v>
      </c>
      <c r="P1931" s="0">
        <v>0</v>
      </c>
      <c r="R1931" s="0" t="b">
        <v>0</v>
      </c>
      <c r="S1931" s="0" t="b">
        <v>1</v>
      </c>
      <c r="T1931" s="68">
        <v>44994.6798726852</v>
      </c>
      <c r="U1931" s="68">
        <v>45013.3333333333</v>
      </c>
      <c r="V1931" s="68">
        <v>0</v>
      </c>
      <c r="W1931" s="0">
        <f>IF(IF(B1931="none",1,IF(B1931="Trialer",1,0))+IF(C1931="Customer",1,IF(C1931="Lost",1,0))=2,1,0)</f>
      </c>
      <c r="X1931" s="0" t="s">
        <v>148</v>
      </c>
      <c r="Y1931" s="0" t="s">
        <v>243</v>
      </c>
      <c r="AV1931" s="68"/>
      <c r="AW1931" s="68"/>
      <c r="AY1931" s="27"/>
      <c r="BD1931" s="68">
        <v>46054.1666666667</v>
      </c>
      <c r="BE1931" s="68">
        <v>46082.1666666667</v>
      </c>
      <c r="BF1931" s="0" t="b">
        <v>0</v>
      </c>
      <c r="BG1931" s="0" t="b">
        <v>0</v>
      </c>
      <c r="BH1931" s="0">
        <v>208</v>
      </c>
      <c r="BI1931" s="0">
        <v>208</v>
      </c>
      <c r="BJ1931" s="0" t="s">
        <v>135</v>
      </c>
    </row>
    <row r="1932">
      <c r="A1932" s="0" t="s">
        <v>2161</v>
      </c>
      <c r="B1932" s="0" t="s">
        <v>134</v>
      </c>
      <c r="C1932" s="0" t="s">
        <v>134</v>
      </c>
      <c r="D1932" s="0" t="s">
        <v>230</v>
      </c>
      <c r="E1932" s="0" t="s">
        <v>2</v>
      </c>
      <c r="F1932" s="0" t="s">
        <v>10</v>
      </c>
      <c r="G1932" s="0" t="s">
        <v>8</v>
      </c>
      <c r="H1932" s="0">
        <v>1059</v>
      </c>
      <c r="I1932" s="0">
        <v>132.3</v>
      </c>
      <c r="J1932" s="0">
        <v>0</v>
      </c>
      <c r="K1932" s="0">
        <v>1</v>
      </c>
      <c r="L1932" s="0">
        <v>3</v>
      </c>
      <c r="M1932" s="0">
        <v>3</v>
      </c>
      <c r="N1932" s="0">
        <v>0</v>
      </c>
      <c r="O1932" s="0">
        <v>0</v>
      </c>
      <c r="P1932" s="0">
        <v>-132.3</v>
      </c>
      <c r="Q1932" s="0" t="s">
        <v>1898</v>
      </c>
      <c r="R1932" s="0" t="b">
        <v>0</v>
      </c>
      <c r="S1932" s="0" t="b">
        <v>1</v>
      </c>
      <c r="T1932" s="68">
        <v>44994.8168055556</v>
      </c>
      <c r="U1932" s="68">
        <v>45008.3333333333</v>
      </c>
      <c r="V1932" s="68">
        <v>0</v>
      </c>
      <c r="W1932" s="0">
        <f>IF(IF(B1932="none",1,IF(B1932="Trialer",1,0))+IF(C1932="Customer",1,IF(C1932="Lost",1,0))=2,1,0)</f>
      </c>
      <c r="X1932" s="0" t="s">
        <v>145</v>
      </c>
      <c r="Y1932" s="0" t="s">
        <v>499</v>
      </c>
      <c r="AV1932" s="68"/>
      <c r="AW1932" s="68"/>
      <c r="AY1932" s="27"/>
      <c r="BD1932" s="68">
        <v>46054.1666666667</v>
      </c>
      <c r="BE1932" s="68">
        <v>46082.1666666667</v>
      </c>
      <c r="BF1932" s="0" t="b">
        <v>0</v>
      </c>
      <c r="BG1932" s="0" t="b">
        <v>0</v>
      </c>
      <c r="BH1932" s="0">
        <v>147</v>
      </c>
      <c r="BI1932" s="0">
        <v>147</v>
      </c>
      <c r="BJ1932" s="0" t="s">
        <v>230</v>
      </c>
    </row>
    <row r="1933">
      <c r="A1933" s="0" t="s">
        <v>2162</v>
      </c>
      <c r="B1933" s="0" t="s">
        <v>134</v>
      </c>
      <c r="C1933" s="0" t="s">
        <v>134</v>
      </c>
      <c r="D1933" s="0" t="s">
        <v>230</v>
      </c>
      <c r="E1933" s="0" t="s">
        <v>3</v>
      </c>
      <c r="F1933" s="0" t="s">
        <v>12</v>
      </c>
      <c r="G1933" s="0" t="s">
        <v>8</v>
      </c>
      <c r="H1933" s="0">
        <v>1058</v>
      </c>
      <c r="I1933" s="0">
        <v>44</v>
      </c>
      <c r="J1933" s="0">
        <v>0</v>
      </c>
      <c r="K1933" s="0">
        <v>1</v>
      </c>
      <c r="L1933" s="0">
        <v>3</v>
      </c>
      <c r="M1933" s="0">
        <v>1</v>
      </c>
      <c r="N1933" s="0">
        <v>0</v>
      </c>
      <c r="O1933" s="0">
        <v>0</v>
      </c>
      <c r="P1933" s="0">
        <v>-44</v>
      </c>
      <c r="R1933" s="0" t="b">
        <v>0</v>
      </c>
      <c r="S1933" s="0" t="b">
        <v>1</v>
      </c>
      <c r="T1933" s="68">
        <v>44995.3932175926</v>
      </c>
      <c r="U1933" s="68">
        <v>45009.3333333333</v>
      </c>
      <c r="V1933" s="68">
        <v>0</v>
      </c>
      <c r="W1933" s="0">
        <f>IF(IF(B1933="none",1,IF(B1933="Trialer",1,0))+IF(C1933="Customer",1,IF(C1933="Lost",1,0))=2,1,0)</f>
      </c>
      <c r="X1933" s="0" t="s">
        <v>166</v>
      </c>
      <c r="Y1933" s="0" t="s">
        <v>243</v>
      </c>
      <c r="AV1933" s="68"/>
      <c r="AW1933" s="68"/>
      <c r="AY1933" s="27"/>
      <c r="BD1933" s="68">
        <v>46054.1666666667</v>
      </c>
      <c r="BE1933" s="68">
        <v>46082.1666666667</v>
      </c>
      <c r="BF1933" s="0" t="b">
        <v>0</v>
      </c>
      <c r="BG1933" s="0" t="b">
        <v>0</v>
      </c>
      <c r="BH1933" s="0">
        <v>49</v>
      </c>
      <c r="BI1933" s="0">
        <v>49</v>
      </c>
      <c r="BJ1933" s="0" t="s">
        <v>230</v>
      </c>
    </row>
    <row r="1934">
      <c r="A1934" s="0" t="s">
        <v>2163</v>
      </c>
      <c r="B1934" s="0" t="s">
        <v>134</v>
      </c>
      <c r="C1934" s="0" t="s">
        <v>134</v>
      </c>
      <c r="D1934" s="0" t="s">
        <v>135</v>
      </c>
      <c r="E1934" s="0" t="s">
        <v>3</v>
      </c>
      <c r="F1934" s="0" t="s">
        <v>12</v>
      </c>
      <c r="G1934" s="0" t="s">
        <v>8</v>
      </c>
      <c r="H1934" s="0">
        <v>1058</v>
      </c>
      <c r="I1934" s="0">
        <v>122</v>
      </c>
      <c r="J1934" s="0">
        <v>-122</v>
      </c>
      <c r="K1934" s="0">
        <v>1</v>
      </c>
      <c r="L1934" s="0">
        <v>4</v>
      </c>
      <c r="M1934" s="0">
        <v>2</v>
      </c>
      <c r="N1934" s="0">
        <v>0</v>
      </c>
      <c r="O1934" s="0">
        <v>0</v>
      </c>
      <c r="P1934" s="0">
        <v>0</v>
      </c>
      <c r="R1934" s="0" t="b">
        <v>0</v>
      </c>
      <c r="S1934" s="0" t="b">
        <v>1</v>
      </c>
      <c r="T1934" s="68">
        <v>44995.8896412037</v>
      </c>
      <c r="U1934" s="68">
        <v>45033.3333333333</v>
      </c>
      <c r="V1934" s="68">
        <v>0</v>
      </c>
      <c r="W1934" s="0">
        <f>IF(IF(B1934="none",1,IF(B1934="Trialer",1,0))+IF(C1934="Customer",1,IF(C1934="Lost",1,0))=2,1,0)</f>
      </c>
      <c r="X1934" s="0" t="s">
        <v>142</v>
      </c>
      <c r="Y1934" s="0" t="s">
        <v>243</v>
      </c>
      <c r="AV1934" s="68"/>
      <c r="AW1934" s="68"/>
      <c r="AY1934" s="27"/>
      <c r="BD1934" s="68">
        <v>46054.1666666667</v>
      </c>
      <c r="BE1934" s="68">
        <v>46082.1666666667</v>
      </c>
      <c r="BF1934" s="0" t="b">
        <v>0</v>
      </c>
      <c r="BG1934" s="0" t="b">
        <v>0</v>
      </c>
      <c r="BH1934" s="0">
        <v>0</v>
      </c>
      <c r="BI1934" s="0">
        <v>0</v>
      </c>
      <c r="BJ1934" s="0" t="s">
        <v>135</v>
      </c>
    </row>
    <row r="1935">
      <c r="A1935" s="0" t="s">
        <v>2164</v>
      </c>
      <c r="B1935" s="0" t="s">
        <v>134</v>
      </c>
      <c r="C1935" s="0" t="s">
        <v>134</v>
      </c>
      <c r="D1935" s="0" t="s">
        <v>135</v>
      </c>
      <c r="E1935" s="0" t="s">
        <v>3</v>
      </c>
      <c r="F1935" s="0" t="s">
        <v>12</v>
      </c>
      <c r="G1935" s="0" t="s">
        <v>8</v>
      </c>
      <c r="H1935" s="0">
        <v>1055</v>
      </c>
      <c r="I1935" s="0">
        <v>147</v>
      </c>
      <c r="J1935" s="0">
        <v>0</v>
      </c>
      <c r="K1935" s="0">
        <v>1</v>
      </c>
      <c r="L1935" s="0">
        <v>3</v>
      </c>
      <c r="M1935" s="0">
        <v>3</v>
      </c>
      <c r="N1935" s="0">
        <v>0</v>
      </c>
      <c r="O1935" s="0">
        <v>0</v>
      </c>
      <c r="P1935" s="0">
        <v>0</v>
      </c>
      <c r="R1935" s="0" t="b">
        <v>0</v>
      </c>
      <c r="S1935" s="0" t="b">
        <v>1</v>
      </c>
      <c r="T1935" s="68">
        <v>44998.5660300926</v>
      </c>
      <c r="U1935" s="68">
        <v>44998.3333333333</v>
      </c>
      <c r="V1935" s="68">
        <v>0</v>
      </c>
      <c r="W1935" s="0">
        <f>IF(IF(B1935="none",1,IF(B1935="Trialer",1,0))+IF(C1935="Customer",1,IF(C1935="Lost",1,0))=2,1,0)</f>
      </c>
      <c r="X1935" s="0" t="s">
        <v>166</v>
      </c>
      <c r="Y1935" s="0" t="s">
        <v>243</v>
      </c>
      <c r="AV1935" s="68"/>
      <c r="AW1935" s="68"/>
      <c r="AY1935" s="27"/>
      <c r="BD1935" s="68">
        <v>46054.1666666667</v>
      </c>
      <c r="BE1935" s="68">
        <v>46082.1666666667</v>
      </c>
      <c r="BF1935" s="0" t="b">
        <v>0</v>
      </c>
      <c r="BG1935" s="0" t="b">
        <v>0</v>
      </c>
      <c r="BH1935" s="0">
        <v>147</v>
      </c>
      <c r="BI1935" s="0">
        <v>147</v>
      </c>
      <c r="BJ1935" s="0" t="s">
        <v>135</v>
      </c>
    </row>
    <row r="1936">
      <c r="A1936" s="0" t="s">
        <v>2165</v>
      </c>
      <c r="B1936" s="0" t="s">
        <v>134</v>
      </c>
      <c r="C1936" s="0" t="s">
        <v>134</v>
      </c>
      <c r="D1936" s="0" t="s">
        <v>230</v>
      </c>
      <c r="E1936" s="0" t="s">
        <v>3</v>
      </c>
      <c r="F1936" s="0" t="s">
        <v>12</v>
      </c>
      <c r="G1936" s="0" t="s">
        <v>8</v>
      </c>
      <c r="H1936" s="0">
        <v>1055</v>
      </c>
      <c r="I1936" s="0">
        <v>453.6</v>
      </c>
      <c r="J1936" s="0">
        <v>0</v>
      </c>
      <c r="K1936" s="0">
        <v>1</v>
      </c>
      <c r="L1936" s="0">
        <v>1</v>
      </c>
      <c r="M1936" s="0">
        <v>18</v>
      </c>
      <c r="N1936" s="0">
        <v>0</v>
      </c>
      <c r="O1936" s="0">
        <v>0</v>
      </c>
      <c r="P1936" s="0">
        <v>-453.6</v>
      </c>
      <c r="R1936" s="0" t="b">
        <v>0</v>
      </c>
      <c r="S1936" s="0" t="b">
        <v>1</v>
      </c>
      <c r="T1936" s="68">
        <v>44998.6243055556</v>
      </c>
      <c r="U1936" s="68">
        <v>45015.5</v>
      </c>
      <c r="V1936" s="68">
        <v>0</v>
      </c>
      <c r="W1936" s="0">
        <f>IF(IF(B1936="none",1,IF(B1936="Trialer",1,0))+IF(C1936="Customer",1,IF(C1936="Lost",1,0))=2,1,0)</f>
      </c>
      <c r="X1936" s="0" t="s">
        <v>145</v>
      </c>
      <c r="Y1936" s="0" t="s">
        <v>243</v>
      </c>
      <c r="AV1936" s="68"/>
      <c r="AW1936" s="68"/>
      <c r="AY1936" s="27"/>
      <c r="BD1936" s="68">
        <v>46054.1666666667</v>
      </c>
      <c r="BE1936" s="68">
        <v>46082.1666666667</v>
      </c>
      <c r="BF1936" s="0" t="b">
        <v>0</v>
      </c>
      <c r="BG1936" s="0" t="b">
        <v>0</v>
      </c>
      <c r="BH1936" s="0">
        <v>504</v>
      </c>
      <c r="BI1936" s="0">
        <v>504</v>
      </c>
      <c r="BJ1936" s="0" t="s">
        <v>135</v>
      </c>
    </row>
    <row r="1937">
      <c r="A1937" s="0" t="s">
        <v>2166</v>
      </c>
      <c r="B1937" s="0" t="s">
        <v>134</v>
      </c>
      <c r="C1937" s="0" t="s">
        <v>134</v>
      </c>
      <c r="D1937" s="0" t="s">
        <v>230</v>
      </c>
      <c r="E1937" s="0" t="s">
        <v>3</v>
      </c>
      <c r="F1937" s="0" t="s">
        <v>12</v>
      </c>
      <c r="G1937" s="0" t="s">
        <v>8</v>
      </c>
      <c r="H1937" s="0">
        <v>1054</v>
      </c>
      <c r="I1937" s="0">
        <v>36</v>
      </c>
      <c r="J1937" s="0">
        <v>0</v>
      </c>
      <c r="K1937" s="0">
        <v>1</v>
      </c>
      <c r="L1937" s="0">
        <v>2</v>
      </c>
      <c r="M1937" s="0">
        <v>1</v>
      </c>
      <c r="N1937" s="0">
        <v>0</v>
      </c>
      <c r="O1937" s="0">
        <v>0</v>
      </c>
      <c r="P1937" s="0">
        <v>396</v>
      </c>
      <c r="R1937" s="0" t="b">
        <v>0</v>
      </c>
      <c r="S1937" s="0" t="b">
        <v>1</v>
      </c>
      <c r="T1937" s="68">
        <v>44999.5371643519</v>
      </c>
      <c r="U1937" s="68">
        <v>45013.3333333333</v>
      </c>
      <c r="V1937" s="68">
        <v>0</v>
      </c>
      <c r="W1937" s="0">
        <f>IF(IF(B1937="none",1,IF(B1937="Trialer",1,0))+IF(C1937="Customer",1,IF(C1937="Lost",1,0))=2,1,0)</f>
      </c>
      <c r="X1937" s="0" t="s">
        <v>166</v>
      </c>
      <c r="Y1937" s="0" t="s">
        <v>243</v>
      </c>
      <c r="AV1937" s="68"/>
      <c r="AW1937" s="68"/>
      <c r="AY1937" s="27"/>
      <c r="BD1937" s="68">
        <v>46054.1666666667</v>
      </c>
      <c r="BE1937" s="68">
        <v>46082.1666666667</v>
      </c>
      <c r="BF1937" s="0" t="b">
        <v>0</v>
      </c>
      <c r="BG1937" s="0" t="b">
        <v>0</v>
      </c>
      <c r="BH1937" s="0">
        <v>40</v>
      </c>
      <c r="BI1937" s="0">
        <v>40</v>
      </c>
      <c r="BJ1937" s="0" t="s">
        <v>230</v>
      </c>
    </row>
    <row r="1938">
      <c r="A1938" s="0" t="s">
        <v>2167</v>
      </c>
      <c r="B1938" s="0" t="s">
        <v>134</v>
      </c>
      <c r="C1938" s="0" t="s">
        <v>134</v>
      </c>
      <c r="D1938" s="0" t="s">
        <v>135</v>
      </c>
      <c r="E1938" s="0" t="s">
        <v>3</v>
      </c>
      <c r="F1938" s="0" t="s">
        <v>12</v>
      </c>
      <c r="G1938" s="0" t="s">
        <v>8</v>
      </c>
      <c r="H1938" s="0">
        <v>1054</v>
      </c>
      <c r="I1938" s="0">
        <v>0</v>
      </c>
      <c r="J1938" s="0">
        <v>0</v>
      </c>
      <c r="K1938" s="0">
        <v>1</v>
      </c>
      <c r="L1938" s="0">
        <v>3</v>
      </c>
      <c r="M1938" s="0">
        <v>2</v>
      </c>
      <c r="N1938" s="0">
        <v>0</v>
      </c>
      <c r="O1938" s="0">
        <v>0</v>
      </c>
      <c r="P1938" s="0">
        <v>0</v>
      </c>
      <c r="R1938" s="0" t="b">
        <v>0</v>
      </c>
      <c r="S1938" s="0" t="b">
        <v>1</v>
      </c>
      <c r="T1938" s="68">
        <v>44999.8664467593</v>
      </c>
      <c r="U1938" s="68">
        <v>45013.3333333333</v>
      </c>
      <c r="V1938" s="68">
        <v>0</v>
      </c>
      <c r="W1938" s="0">
        <f>IF(IF(B1938="none",1,IF(B1938="Trialer",1,0))+IF(C1938="Customer",1,IF(C1938="Lost",1,0))=2,1,0)</f>
      </c>
      <c r="X1938" s="0" t="s">
        <v>136</v>
      </c>
      <c r="Y1938" s="0" t="s">
        <v>243</v>
      </c>
      <c r="AV1938" s="68"/>
      <c r="AW1938" s="68"/>
      <c r="AY1938" s="27"/>
      <c r="BD1938" s="68">
        <v>46054.1666666667</v>
      </c>
      <c r="BE1938" s="68">
        <v>46082.1666666667</v>
      </c>
      <c r="BF1938" s="0" t="b">
        <v>0</v>
      </c>
      <c r="BG1938" s="0" t="b">
        <v>0</v>
      </c>
      <c r="BH1938" s="0">
        <v>0</v>
      </c>
      <c r="BI1938" s="0">
        <v>0</v>
      </c>
      <c r="BJ1938" s="0" t="s">
        <v>135</v>
      </c>
    </row>
    <row r="1939">
      <c r="A1939" s="0" t="s">
        <v>2168</v>
      </c>
      <c r="B1939" s="0" t="s">
        <v>134</v>
      </c>
      <c r="C1939" s="0" t="s">
        <v>134</v>
      </c>
      <c r="D1939" s="0" t="s">
        <v>230</v>
      </c>
      <c r="E1939" s="0" t="s">
        <v>3</v>
      </c>
      <c r="F1939" s="0" t="s">
        <v>12</v>
      </c>
      <c r="G1939" s="0" t="s">
        <v>8</v>
      </c>
      <c r="H1939" s="0">
        <v>1053</v>
      </c>
      <c r="I1939" s="0">
        <v>128</v>
      </c>
      <c r="J1939" s="0">
        <v>0</v>
      </c>
      <c r="K1939" s="0">
        <v>1</v>
      </c>
      <c r="L1939" s="0">
        <v>5</v>
      </c>
      <c r="M1939" s="0">
        <v>2</v>
      </c>
      <c r="N1939" s="0">
        <v>0</v>
      </c>
      <c r="O1939" s="0">
        <v>0</v>
      </c>
      <c r="P1939" s="0">
        <v>-128</v>
      </c>
      <c r="R1939" s="0" t="b">
        <v>0</v>
      </c>
      <c r="S1939" s="0" t="b">
        <v>1</v>
      </c>
      <c r="T1939" s="68">
        <v>45000.4149884259</v>
      </c>
      <c r="U1939" s="68">
        <v>45035.3333333333</v>
      </c>
      <c r="V1939" s="68">
        <v>0</v>
      </c>
      <c r="W1939" s="0">
        <f>IF(IF(B1939="none",1,IF(B1939="Trialer",1,0))+IF(C1939="Customer",1,IF(C1939="Lost",1,0))=2,1,0)</f>
      </c>
      <c r="X1939" s="0" t="s">
        <v>153</v>
      </c>
      <c r="Y1939" s="0" t="s">
        <v>243</v>
      </c>
      <c r="AV1939" s="68"/>
      <c r="AW1939" s="68"/>
      <c r="AY1939" s="27"/>
      <c r="BD1939" s="68">
        <v>46054.1666666667</v>
      </c>
      <c r="BE1939" s="68">
        <v>46082.1666666667</v>
      </c>
      <c r="BF1939" s="0" t="b">
        <v>0</v>
      </c>
      <c r="BG1939" s="0" t="b">
        <v>0</v>
      </c>
      <c r="BH1939" s="0">
        <v>146</v>
      </c>
      <c r="BI1939" s="0">
        <v>146</v>
      </c>
      <c r="BJ1939" s="0" t="s">
        <v>230</v>
      </c>
    </row>
    <row r="1940">
      <c r="A1940" s="0" t="s">
        <v>2169</v>
      </c>
      <c r="B1940" s="0" t="s">
        <v>134</v>
      </c>
      <c r="C1940" s="0" t="s">
        <v>134</v>
      </c>
      <c r="D1940" s="0" t="s">
        <v>230</v>
      </c>
      <c r="E1940" s="0" t="s">
        <v>3</v>
      </c>
      <c r="F1940" s="0" t="s">
        <v>10</v>
      </c>
      <c r="G1940" s="0" t="s">
        <v>8</v>
      </c>
      <c r="H1940" s="0">
        <v>1052</v>
      </c>
      <c r="I1940" s="0">
        <v>25</v>
      </c>
      <c r="J1940" s="0">
        <v>0</v>
      </c>
      <c r="K1940" s="0">
        <v>1</v>
      </c>
      <c r="L1940" s="0">
        <v>1</v>
      </c>
      <c r="M1940" s="0">
        <v>1</v>
      </c>
      <c r="N1940" s="0">
        <v>0</v>
      </c>
      <c r="O1940" s="0">
        <v>0</v>
      </c>
      <c r="P1940" s="0">
        <v>-25</v>
      </c>
      <c r="Q1940" s="0" t="s">
        <v>618</v>
      </c>
      <c r="R1940" s="0" t="b">
        <v>0</v>
      </c>
      <c r="S1940" s="0" t="b">
        <v>0</v>
      </c>
      <c r="T1940" s="68">
        <v>45001.2523958333</v>
      </c>
      <c r="U1940" s="68">
        <v>45017.3333333333</v>
      </c>
      <c r="V1940" s="68">
        <v>46084.1546527778</v>
      </c>
      <c r="W1940" s="0">
        <f>IF(IF(B1940="none",1,IF(B1940="Trialer",1,0))+IF(C1940="Customer",1,IF(C1940="Lost",1,0))=2,1,0)</f>
      </c>
      <c r="X1940" s="0" t="s">
        <v>148</v>
      </c>
      <c r="Y1940" s="0" t="s">
        <v>243</v>
      </c>
      <c r="AV1940" s="68"/>
      <c r="AW1940" s="68"/>
      <c r="AY1940" s="27"/>
      <c r="BD1940" s="68">
        <v>46054.1666666667</v>
      </c>
      <c r="BE1940" s="68">
        <v>46082.1666666667</v>
      </c>
      <c r="BF1940" s="0" t="b">
        <v>0</v>
      </c>
      <c r="BG1940" s="0" t="b">
        <v>0</v>
      </c>
      <c r="BH1940" s="0">
        <v>0</v>
      </c>
      <c r="BI1940" s="0">
        <v>28</v>
      </c>
      <c r="BJ1940" s="0" t="s">
        <v>230</v>
      </c>
    </row>
    <row r="1941">
      <c r="A1941" s="0" t="s">
        <v>2170</v>
      </c>
      <c r="B1941" s="0" t="s">
        <v>134</v>
      </c>
      <c r="C1941" s="0" t="s">
        <v>134</v>
      </c>
      <c r="D1941" s="0" t="s">
        <v>135</v>
      </c>
      <c r="E1941" s="0" t="s">
        <v>3</v>
      </c>
      <c r="F1941" s="0" t="s">
        <v>10</v>
      </c>
      <c r="G1941" s="0" t="s">
        <v>8</v>
      </c>
      <c r="H1941" s="0">
        <v>1052</v>
      </c>
      <c r="I1941" s="0">
        <v>28</v>
      </c>
      <c r="J1941" s="0">
        <v>0</v>
      </c>
      <c r="K1941" s="0">
        <v>1</v>
      </c>
      <c r="L1941" s="0">
        <v>1</v>
      </c>
      <c r="M1941" s="0">
        <v>1</v>
      </c>
      <c r="N1941" s="0">
        <v>0</v>
      </c>
      <c r="O1941" s="0">
        <v>0</v>
      </c>
      <c r="P1941" s="0">
        <v>0</v>
      </c>
      <c r="Q1941" s="0" t="s">
        <v>618</v>
      </c>
      <c r="R1941" s="0" t="b">
        <v>0</v>
      </c>
      <c r="S1941" s="0" t="b">
        <v>1</v>
      </c>
      <c r="T1941" s="68">
        <v>45001.5530439815</v>
      </c>
      <c r="U1941" s="68">
        <v>45048.3333333333</v>
      </c>
      <c r="V1941" s="68">
        <v>0</v>
      </c>
      <c r="W1941" s="0">
        <f>IF(IF(B1941="none",1,IF(B1941="Trialer",1,0))+IF(C1941="Customer",1,IF(C1941="Lost",1,0))=2,1,0)</f>
      </c>
      <c r="X1941" s="0" t="s">
        <v>148</v>
      </c>
      <c r="Y1941" s="0" t="s">
        <v>243</v>
      </c>
      <c r="AV1941" s="68"/>
      <c r="AW1941" s="68"/>
      <c r="AY1941" s="27"/>
      <c r="BD1941" s="68">
        <v>46054.1666666667</v>
      </c>
      <c r="BE1941" s="68">
        <v>46082.1666666667</v>
      </c>
      <c r="BF1941" s="0" t="b">
        <v>0</v>
      </c>
      <c r="BG1941" s="0" t="b">
        <v>0</v>
      </c>
      <c r="BH1941" s="0">
        <v>28</v>
      </c>
      <c r="BI1941" s="0">
        <v>28</v>
      </c>
      <c r="BJ1941" s="0" t="s">
        <v>135</v>
      </c>
    </row>
    <row r="1942">
      <c r="A1942" s="0" t="s">
        <v>2171</v>
      </c>
      <c r="B1942" s="0" t="s">
        <v>134</v>
      </c>
      <c r="C1942" s="0" t="s">
        <v>134</v>
      </c>
      <c r="D1942" s="0" t="s">
        <v>135</v>
      </c>
      <c r="E1942" s="0" t="s">
        <v>3</v>
      </c>
      <c r="F1942" s="0" t="s">
        <v>10</v>
      </c>
      <c r="G1942" s="0" t="s">
        <v>8</v>
      </c>
      <c r="H1942" s="0">
        <v>1051</v>
      </c>
      <c r="I1942" s="0">
        <v>0</v>
      </c>
      <c r="J1942" s="0">
        <v>0</v>
      </c>
      <c r="K1942" s="0">
        <v>0</v>
      </c>
      <c r="L1942" s="0">
        <v>0</v>
      </c>
      <c r="M1942" s="0">
        <v>0</v>
      </c>
      <c r="N1942" s="0">
        <v>0</v>
      </c>
      <c r="O1942" s="0">
        <v>0</v>
      </c>
      <c r="P1942" s="0">
        <v>0</v>
      </c>
      <c r="Q1942" s="0" t="s">
        <v>618</v>
      </c>
      <c r="R1942" s="0" t="b">
        <v>0</v>
      </c>
      <c r="S1942" s="0" t="b">
        <v>1</v>
      </c>
      <c r="T1942" s="68">
        <v>45002.5893518518</v>
      </c>
      <c r="U1942" s="68">
        <v>45017.3333333333</v>
      </c>
      <c r="V1942" s="68">
        <v>0</v>
      </c>
      <c r="W1942" s="0">
        <f>IF(IF(B1942="none",1,IF(B1942="Trialer",1,0))+IF(C1942="Customer",1,IF(C1942="Lost",1,0))=2,1,0)</f>
      </c>
      <c r="X1942" s="0" t="s">
        <v>148</v>
      </c>
      <c r="Y1942" s="0" t="s">
        <v>243</v>
      </c>
      <c r="AV1942" s="68"/>
      <c r="AW1942" s="68"/>
      <c r="AY1942" s="27"/>
      <c r="BD1942" s="68">
        <v>46054.1666666667</v>
      </c>
      <c r="BE1942" s="68">
        <v>46082.1666666667</v>
      </c>
      <c r="BF1942" s="0" t="b">
        <v>0</v>
      </c>
      <c r="BG1942" s="0" t="b">
        <v>0</v>
      </c>
      <c r="BH1942" s="0">
        <v>0</v>
      </c>
      <c r="BI1942" s="0">
        <v>0</v>
      </c>
      <c r="BJ1942" s="0" t="s">
        <v>135</v>
      </c>
    </row>
    <row r="1943">
      <c r="A1943" s="0" t="s">
        <v>2172</v>
      </c>
      <c r="B1943" s="0" t="s">
        <v>134</v>
      </c>
      <c r="C1943" s="0" t="s">
        <v>134</v>
      </c>
      <c r="D1943" s="0" t="s">
        <v>135</v>
      </c>
      <c r="E1943" s="0" t="s">
        <v>3</v>
      </c>
      <c r="F1943" s="0" t="s">
        <v>12</v>
      </c>
      <c r="G1943" s="0" t="s">
        <v>8</v>
      </c>
      <c r="H1943" s="0">
        <v>1051</v>
      </c>
      <c r="I1943" s="0">
        <v>80</v>
      </c>
      <c r="J1943" s="0">
        <v>0</v>
      </c>
      <c r="K1943" s="0">
        <v>1</v>
      </c>
      <c r="L1943" s="0">
        <v>2</v>
      </c>
      <c r="M1943" s="0">
        <v>2</v>
      </c>
      <c r="N1943" s="0">
        <v>0</v>
      </c>
      <c r="O1943" s="0">
        <v>0</v>
      </c>
      <c r="P1943" s="0">
        <v>0</v>
      </c>
      <c r="R1943" s="0" t="b">
        <v>0</v>
      </c>
      <c r="S1943" s="0" t="b">
        <v>1</v>
      </c>
      <c r="T1943" s="68">
        <v>45002.950162037</v>
      </c>
      <c r="U1943" s="68">
        <v>45038.3333333333</v>
      </c>
      <c r="V1943" s="68">
        <v>0</v>
      </c>
      <c r="W1943" s="0">
        <f>IF(IF(B1943="none",1,IF(B1943="Trialer",1,0))+IF(C1943="Customer",1,IF(C1943="Lost",1,0))=2,1,0)</f>
      </c>
      <c r="X1943" s="0" t="s">
        <v>166</v>
      </c>
      <c r="Y1943" s="0" t="s">
        <v>243</v>
      </c>
      <c r="AV1943" s="68"/>
      <c r="AW1943" s="68"/>
      <c r="AY1943" s="27"/>
      <c r="BD1943" s="68">
        <v>46054.1666666667</v>
      </c>
      <c r="BE1943" s="68">
        <v>46082.1666666667</v>
      </c>
      <c r="BF1943" s="0" t="b">
        <v>0</v>
      </c>
      <c r="BG1943" s="0" t="b">
        <v>0</v>
      </c>
      <c r="BH1943" s="0">
        <v>80</v>
      </c>
      <c r="BI1943" s="0">
        <v>80</v>
      </c>
      <c r="BJ1943" s="0" t="s">
        <v>135</v>
      </c>
    </row>
    <row r="1944">
      <c r="A1944" s="0" t="s">
        <v>2173</v>
      </c>
      <c r="B1944" s="0" t="s">
        <v>134</v>
      </c>
      <c r="C1944" s="0" t="s">
        <v>134</v>
      </c>
      <c r="D1944" s="0" t="s">
        <v>135</v>
      </c>
      <c r="E1944" s="0" t="s">
        <v>3</v>
      </c>
      <c r="F1944" s="0" t="s">
        <v>11</v>
      </c>
      <c r="G1944" s="0" t="s">
        <v>8</v>
      </c>
      <c r="H1944" s="0">
        <v>1048</v>
      </c>
      <c r="I1944" s="0">
        <v>362.4</v>
      </c>
      <c r="J1944" s="0">
        <v>0</v>
      </c>
      <c r="K1944" s="0">
        <v>1</v>
      </c>
      <c r="L1944" s="0">
        <v>4</v>
      </c>
      <c r="M1944" s="0">
        <v>9</v>
      </c>
      <c r="N1944" s="0">
        <v>0</v>
      </c>
      <c r="O1944" s="0">
        <v>0</v>
      </c>
      <c r="P1944" s="0">
        <v>0</v>
      </c>
      <c r="Q1944" s="0" t="s">
        <v>1743</v>
      </c>
      <c r="R1944" s="0" t="b">
        <v>1</v>
      </c>
      <c r="S1944" s="0" t="b">
        <v>1</v>
      </c>
      <c r="T1944" s="68">
        <v>45005.4309375</v>
      </c>
      <c r="U1944" s="68">
        <v>45005.3333333333</v>
      </c>
      <c r="V1944" s="68">
        <v>0</v>
      </c>
      <c r="W1944" s="0">
        <f>IF(IF(B1944="none",1,IF(B1944="Trialer",1,0))+IF(C1944="Customer",1,IF(C1944="Lost",1,0))=2,1,0)</f>
      </c>
      <c r="X1944" s="0" t="s">
        <v>145</v>
      </c>
      <c r="Y1944" s="0" t="s">
        <v>243</v>
      </c>
      <c r="AV1944" s="68"/>
      <c r="AW1944" s="68"/>
      <c r="AY1944" s="27"/>
      <c r="BD1944" s="68">
        <v>46054.1666666667</v>
      </c>
      <c r="BE1944" s="68">
        <v>46082.1666666667</v>
      </c>
      <c r="BF1944" s="0" t="b">
        <v>0</v>
      </c>
      <c r="BG1944" s="0" t="b">
        <v>0</v>
      </c>
      <c r="BH1944" s="0">
        <v>362.4</v>
      </c>
      <c r="BI1944" s="0">
        <v>362.4</v>
      </c>
      <c r="BJ1944" s="0" t="s">
        <v>135</v>
      </c>
    </row>
    <row r="1945">
      <c r="A1945" s="0" t="s">
        <v>2174</v>
      </c>
      <c r="B1945" s="0" t="s">
        <v>134</v>
      </c>
      <c r="C1945" s="0" t="s">
        <v>134</v>
      </c>
      <c r="D1945" s="0" t="s">
        <v>135</v>
      </c>
      <c r="E1945" s="0" t="s">
        <v>3</v>
      </c>
      <c r="F1945" s="0" t="s">
        <v>10</v>
      </c>
      <c r="G1945" s="0" t="s">
        <v>8</v>
      </c>
      <c r="H1945" s="0">
        <v>1048</v>
      </c>
      <c r="I1945" s="0">
        <v>28</v>
      </c>
      <c r="J1945" s="0">
        <v>0</v>
      </c>
      <c r="K1945" s="0">
        <v>1</v>
      </c>
      <c r="L1945" s="0">
        <v>1</v>
      </c>
      <c r="M1945" s="0">
        <v>1</v>
      </c>
      <c r="N1945" s="0">
        <v>0</v>
      </c>
      <c r="O1945" s="0">
        <v>0</v>
      </c>
      <c r="P1945" s="0">
        <v>0</v>
      </c>
      <c r="Q1945" s="0" t="s">
        <v>618</v>
      </c>
      <c r="R1945" s="0" t="b">
        <v>0</v>
      </c>
      <c r="S1945" s="0" t="b">
        <v>1</v>
      </c>
      <c r="T1945" s="68">
        <v>45005.6566203704</v>
      </c>
      <c r="U1945" s="68">
        <v>45019.3333333333</v>
      </c>
      <c r="V1945" s="68">
        <v>0</v>
      </c>
      <c r="W1945" s="0">
        <f>IF(IF(B1945="none",1,IF(B1945="Trialer",1,0))+IF(C1945="Customer",1,IF(C1945="Lost",1,0))=2,1,0)</f>
      </c>
      <c r="X1945" s="0" t="s">
        <v>148</v>
      </c>
      <c r="Y1945" s="0" t="s">
        <v>243</v>
      </c>
      <c r="AV1945" s="68"/>
      <c r="AW1945" s="68"/>
      <c r="AY1945" s="27"/>
      <c r="BD1945" s="68">
        <v>46054.1666666667</v>
      </c>
      <c r="BE1945" s="68">
        <v>46082.1666666667</v>
      </c>
      <c r="BF1945" s="0" t="b">
        <v>0</v>
      </c>
      <c r="BG1945" s="0" t="b">
        <v>0</v>
      </c>
      <c r="BH1945" s="0">
        <v>28</v>
      </c>
      <c r="BI1945" s="0">
        <v>28</v>
      </c>
      <c r="BJ1945" s="0" t="s">
        <v>135</v>
      </c>
    </row>
    <row r="1946">
      <c r="A1946" s="0" t="s">
        <v>2175</v>
      </c>
      <c r="B1946" s="0" t="s">
        <v>134</v>
      </c>
      <c r="C1946" s="0" t="s">
        <v>134</v>
      </c>
      <c r="D1946" s="0" t="s">
        <v>135</v>
      </c>
      <c r="E1946" s="0" t="s">
        <v>3</v>
      </c>
      <c r="F1946" s="0" t="s">
        <v>10</v>
      </c>
      <c r="G1946" s="0" t="s">
        <v>8</v>
      </c>
      <c r="H1946" s="0">
        <v>1048</v>
      </c>
      <c r="I1946" s="0">
        <v>56</v>
      </c>
      <c r="J1946" s="0">
        <v>0</v>
      </c>
      <c r="K1946" s="0">
        <v>1</v>
      </c>
      <c r="L1946" s="0">
        <v>1</v>
      </c>
      <c r="M1946" s="0">
        <v>2</v>
      </c>
      <c r="N1946" s="0">
        <v>0</v>
      </c>
      <c r="O1946" s="0">
        <v>0</v>
      </c>
      <c r="P1946" s="0">
        <v>0</v>
      </c>
      <c r="Q1946" s="0" t="s">
        <v>618</v>
      </c>
      <c r="R1946" s="0" t="b">
        <v>0</v>
      </c>
      <c r="S1946" s="0" t="b">
        <v>1</v>
      </c>
      <c r="T1946" s="68">
        <v>45005.6587268518</v>
      </c>
      <c r="U1946" s="68">
        <v>45019.3333333333</v>
      </c>
      <c r="V1946" s="68">
        <v>0</v>
      </c>
      <c r="W1946" s="0">
        <f>IF(IF(B1946="none",1,IF(B1946="Trialer",1,0))+IF(C1946="Customer",1,IF(C1946="Lost",1,0))=2,1,0)</f>
      </c>
      <c r="X1946" s="0" t="s">
        <v>148</v>
      </c>
      <c r="Y1946" s="0" t="s">
        <v>243</v>
      </c>
      <c r="AV1946" s="68"/>
      <c r="AW1946" s="68"/>
      <c r="AY1946" s="27"/>
      <c r="BD1946" s="68">
        <v>46054.1666666667</v>
      </c>
      <c r="BE1946" s="68">
        <v>46082.1666666667</v>
      </c>
      <c r="BF1946" s="0" t="b">
        <v>0</v>
      </c>
      <c r="BG1946" s="0" t="b">
        <v>0</v>
      </c>
      <c r="BH1946" s="0">
        <v>56</v>
      </c>
      <c r="BI1946" s="0">
        <v>56</v>
      </c>
      <c r="BJ1946" s="0" t="s">
        <v>135</v>
      </c>
    </row>
    <row r="1947">
      <c r="A1947" s="0" t="s">
        <v>2176</v>
      </c>
      <c r="B1947" s="0" t="s">
        <v>134</v>
      </c>
      <c r="C1947" s="0" t="s">
        <v>134</v>
      </c>
      <c r="D1947" s="0" t="s">
        <v>135</v>
      </c>
      <c r="E1947" s="0" t="s">
        <v>2</v>
      </c>
      <c r="F1947" s="0" t="s">
        <v>12</v>
      </c>
      <c r="G1947" s="0" t="s">
        <v>8</v>
      </c>
      <c r="H1947" s="0">
        <v>1047</v>
      </c>
      <c r="I1947" s="0">
        <v>298</v>
      </c>
      <c r="J1947" s="0">
        <v>0</v>
      </c>
      <c r="K1947" s="0">
        <v>1</v>
      </c>
      <c r="L1947" s="0">
        <v>3</v>
      </c>
      <c r="M1947" s="0">
        <v>7</v>
      </c>
      <c r="N1947" s="0">
        <v>0</v>
      </c>
      <c r="O1947" s="0">
        <v>0</v>
      </c>
      <c r="P1947" s="0">
        <v>0</v>
      </c>
      <c r="R1947" s="0" t="b">
        <v>0</v>
      </c>
      <c r="S1947" s="0" t="b">
        <v>1</v>
      </c>
      <c r="T1947" s="68">
        <v>45006.5451388889</v>
      </c>
      <c r="U1947" s="68">
        <v>45020.3333333333</v>
      </c>
      <c r="V1947" s="68">
        <v>0</v>
      </c>
      <c r="W1947" s="0">
        <f>IF(IF(B1947="none",1,IF(B1947="Trialer",1,0))+IF(C1947="Customer",1,IF(C1947="Lost",1,0))=2,1,0)</f>
      </c>
      <c r="X1947" s="0" t="s">
        <v>145</v>
      </c>
      <c r="Y1947" s="0" t="s">
        <v>499</v>
      </c>
      <c r="AV1947" s="68"/>
      <c r="AW1947" s="68"/>
      <c r="AY1947" s="27"/>
      <c r="BD1947" s="68">
        <v>46054.1666666667</v>
      </c>
      <c r="BE1947" s="68">
        <v>46082.1666666667</v>
      </c>
      <c r="BF1947" s="0" t="b">
        <v>0</v>
      </c>
      <c r="BG1947" s="0" t="b">
        <v>0</v>
      </c>
      <c r="BH1947" s="0">
        <v>338</v>
      </c>
      <c r="BI1947" s="0">
        <v>338</v>
      </c>
      <c r="BJ1947" s="0" t="s">
        <v>135</v>
      </c>
    </row>
    <row r="1948">
      <c r="A1948" s="0" t="s">
        <v>2177</v>
      </c>
      <c r="B1948" s="0" t="s">
        <v>134</v>
      </c>
      <c r="C1948" s="0" t="s">
        <v>134</v>
      </c>
      <c r="D1948" s="0" t="s">
        <v>230</v>
      </c>
      <c r="E1948" s="0" t="s">
        <v>3</v>
      </c>
      <c r="F1948" s="0" t="s">
        <v>12</v>
      </c>
      <c r="G1948" s="0" t="s">
        <v>8</v>
      </c>
      <c r="H1948" s="0">
        <v>1045</v>
      </c>
      <c r="I1948" s="0">
        <v>256</v>
      </c>
      <c r="J1948" s="0">
        <v>0</v>
      </c>
      <c r="K1948" s="0">
        <v>1</v>
      </c>
      <c r="L1948" s="0">
        <v>3</v>
      </c>
      <c r="M1948" s="0">
        <v>6</v>
      </c>
      <c r="N1948" s="0">
        <v>0</v>
      </c>
      <c r="O1948" s="0">
        <v>0</v>
      </c>
      <c r="P1948" s="0">
        <v>2816</v>
      </c>
      <c r="R1948" s="0" t="b">
        <v>0</v>
      </c>
      <c r="S1948" s="0" t="b">
        <v>1</v>
      </c>
      <c r="T1948" s="68">
        <v>45008.3876851852</v>
      </c>
      <c r="U1948" s="68">
        <v>45022.3333333333</v>
      </c>
      <c r="V1948" s="68">
        <v>0</v>
      </c>
      <c r="W1948" s="0">
        <f>IF(IF(B1948="none",1,IF(B1948="Trialer",1,0))+IF(C1948="Customer",1,IF(C1948="Lost",1,0))=2,1,0)</f>
      </c>
      <c r="X1948" s="0" t="s">
        <v>148</v>
      </c>
      <c r="Y1948" s="0" t="s">
        <v>243</v>
      </c>
      <c r="AV1948" s="68"/>
      <c r="AW1948" s="68"/>
      <c r="AY1948" s="27"/>
      <c r="BD1948" s="68">
        <v>46054.1666666667</v>
      </c>
      <c r="BE1948" s="68">
        <v>46082.1666666667</v>
      </c>
      <c r="BF1948" s="0" t="b">
        <v>0</v>
      </c>
      <c r="BG1948" s="0" t="b">
        <v>0</v>
      </c>
      <c r="BH1948" s="0">
        <v>285</v>
      </c>
      <c r="BI1948" s="0">
        <v>285</v>
      </c>
      <c r="BJ1948" s="0" t="s">
        <v>230</v>
      </c>
    </row>
    <row r="1949">
      <c r="A1949" s="0" t="s">
        <v>2178</v>
      </c>
      <c r="B1949" s="0" t="s">
        <v>134</v>
      </c>
      <c r="C1949" s="0" t="s">
        <v>134</v>
      </c>
      <c r="D1949" s="0" t="s">
        <v>135</v>
      </c>
      <c r="E1949" s="0" t="s">
        <v>2</v>
      </c>
      <c r="F1949" s="0" t="s">
        <v>12</v>
      </c>
      <c r="G1949" s="0" t="s">
        <v>8</v>
      </c>
      <c r="H1949" s="0">
        <v>1045</v>
      </c>
      <c r="I1949" s="0">
        <v>273</v>
      </c>
      <c r="J1949" s="0">
        <v>0</v>
      </c>
      <c r="K1949" s="0">
        <v>1</v>
      </c>
      <c r="L1949" s="0">
        <v>3</v>
      </c>
      <c r="M1949" s="0">
        <v>6</v>
      </c>
      <c r="N1949" s="0">
        <v>0</v>
      </c>
      <c r="O1949" s="0">
        <v>0</v>
      </c>
      <c r="P1949" s="0">
        <v>0</v>
      </c>
      <c r="R1949" s="0" t="b">
        <v>0</v>
      </c>
      <c r="S1949" s="0" t="b">
        <v>1</v>
      </c>
      <c r="T1949" s="68">
        <v>45008.4627777778</v>
      </c>
      <c r="U1949" s="68">
        <v>45014.3333333333</v>
      </c>
      <c r="V1949" s="68">
        <v>0</v>
      </c>
      <c r="W1949" s="0">
        <f>IF(IF(B1949="none",1,IF(B1949="Trialer",1,0))+IF(C1949="Customer",1,IF(C1949="Lost",1,0))=2,1,0)</f>
      </c>
      <c r="X1949" s="0" t="s">
        <v>148</v>
      </c>
      <c r="Y1949" s="0" t="s">
        <v>499</v>
      </c>
      <c r="AV1949" s="68"/>
      <c r="AW1949" s="68"/>
      <c r="AY1949" s="27"/>
      <c r="BD1949" s="68">
        <v>46054.1666666667</v>
      </c>
      <c r="BE1949" s="68">
        <v>46082.1666666667</v>
      </c>
      <c r="BF1949" s="0" t="b">
        <v>0</v>
      </c>
      <c r="BG1949" s="0" t="b">
        <v>0</v>
      </c>
      <c r="BH1949" s="0">
        <v>273</v>
      </c>
      <c r="BI1949" s="0">
        <v>273</v>
      </c>
      <c r="BJ1949" s="0" t="s">
        <v>135</v>
      </c>
    </row>
    <row r="1950">
      <c r="A1950" s="0" t="s">
        <v>2179</v>
      </c>
      <c r="B1950" s="0" t="s">
        <v>134</v>
      </c>
      <c r="C1950" s="0" t="s">
        <v>134</v>
      </c>
      <c r="D1950" s="0" t="s">
        <v>135</v>
      </c>
      <c r="E1950" s="0" t="s">
        <v>3</v>
      </c>
      <c r="F1950" s="0" t="s">
        <v>12</v>
      </c>
      <c r="G1950" s="0" t="s">
        <v>8</v>
      </c>
      <c r="H1950" s="0">
        <v>1045</v>
      </c>
      <c r="I1950" s="0">
        <v>160</v>
      </c>
      <c r="J1950" s="0">
        <v>0</v>
      </c>
      <c r="K1950" s="0">
        <v>1</v>
      </c>
      <c r="L1950" s="0">
        <v>2</v>
      </c>
      <c r="M1950" s="0">
        <v>4</v>
      </c>
      <c r="N1950" s="0">
        <v>0</v>
      </c>
      <c r="O1950" s="0">
        <v>0</v>
      </c>
      <c r="P1950" s="0">
        <v>0</v>
      </c>
      <c r="R1950" s="0" t="b">
        <v>0</v>
      </c>
      <c r="S1950" s="0" t="b">
        <v>1</v>
      </c>
      <c r="T1950" s="68">
        <v>45008.489212963</v>
      </c>
      <c r="U1950" s="68">
        <v>45022.3333333333</v>
      </c>
      <c r="V1950" s="68">
        <v>0</v>
      </c>
      <c r="W1950" s="0">
        <f>IF(IF(B1950="none",1,IF(B1950="Trialer",1,0))+IF(C1950="Customer",1,IF(C1950="Lost",1,0))=2,1,0)</f>
      </c>
      <c r="X1950" s="0" t="s">
        <v>145</v>
      </c>
      <c r="Y1950" s="0" t="s">
        <v>243</v>
      </c>
      <c r="AV1950" s="68"/>
      <c r="AW1950" s="68"/>
      <c r="AY1950" s="27"/>
      <c r="BD1950" s="68">
        <v>46054.1666666667</v>
      </c>
      <c r="BE1950" s="68">
        <v>46082.1666666667</v>
      </c>
      <c r="BF1950" s="0" t="b">
        <v>0</v>
      </c>
      <c r="BG1950" s="0" t="b">
        <v>0</v>
      </c>
      <c r="BH1950" s="0">
        <v>200</v>
      </c>
      <c r="BI1950" s="0">
        <v>200</v>
      </c>
      <c r="BJ1950" s="0" t="s">
        <v>135</v>
      </c>
    </row>
    <row r="1951">
      <c r="A1951" s="0" t="s">
        <v>2180</v>
      </c>
      <c r="B1951" s="0" t="s">
        <v>134</v>
      </c>
      <c r="C1951" s="0" t="s">
        <v>134</v>
      </c>
      <c r="D1951" s="0" t="s">
        <v>135</v>
      </c>
      <c r="E1951" s="0" t="s">
        <v>3</v>
      </c>
      <c r="F1951" s="0" t="s">
        <v>12</v>
      </c>
      <c r="G1951" s="0" t="s">
        <v>8</v>
      </c>
      <c r="H1951" s="0">
        <v>1045</v>
      </c>
      <c r="I1951" s="0">
        <v>0</v>
      </c>
      <c r="J1951" s="0">
        <v>0</v>
      </c>
      <c r="K1951" s="0">
        <v>1</v>
      </c>
      <c r="L1951" s="0">
        <v>4</v>
      </c>
      <c r="M1951" s="0">
        <v>1</v>
      </c>
      <c r="N1951" s="0">
        <v>0</v>
      </c>
      <c r="O1951" s="0">
        <v>0</v>
      </c>
      <c r="P1951" s="0">
        <v>0</v>
      </c>
      <c r="R1951" s="0" t="b">
        <v>0</v>
      </c>
      <c r="S1951" s="0" t="b">
        <v>1</v>
      </c>
      <c r="T1951" s="68">
        <v>45008.5684375</v>
      </c>
      <c r="U1951" s="68">
        <v>45027.3333333333</v>
      </c>
      <c r="V1951" s="68">
        <v>0</v>
      </c>
      <c r="W1951" s="0">
        <f>IF(IF(B1951="none",1,IF(B1951="Trialer",1,0))+IF(C1951="Customer",1,IF(C1951="Lost",1,0))=2,1,0)</f>
      </c>
      <c r="X1951" s="0" t="s">
        <v>136</v>
      </c>
      <c r="Y1951" s="0" t="s">
        <v>243</v>
      </c>
      <c r="AV1951" s="68"/>
      <c r="AW1951" s="68"/>
      <c r="AY1951" s="27"/>
      <c r="BD1951" s="68">
        <v>46054.1666666667</v>
      </c>
      <c r="BE1951" s="68">
        <v>46082.1666666667</v>
      </c>
      <c r="BF1951" s="0" t="b">
        <v>0</v>
      </c>
      <c r="BG1951" s="0" t="b">
        <v>0</v>
      </c>
      <c r="BH1951" s="0">
        <v>0</v>
      </c>
      <c r="BI1951" s="0">
        <v>0</v>
      </c>
      <c r="BJ1951" s="0" t="s">
        <v>135</v>
      </c>
    </row>
    <row r="1952">
      <c r="A1952" s="0" t="s">
        <v>2181</v>
      </c>
      <c r="B1952" s="0" t="s">
        <v>134</v>
      </c>
      <c r="C1952" s="0" t="s">
        <v>134</v>
      </c>
      <c r="D1952" s="0" t="s">
        <v>135</v>
      </c>
      <c r="E1952" s="0" t="s">
        <v>3</v>
      </c>
      <c r="F1952" s="0" t="s">
        <v>12</v>
      </c>
      <c r="G1952" s="0" t="s">
        <v>8</v>
      </c>
      <c r="H1952" s="0">
        <v>1045</v>
      </c>
      <c r="I1952" s="0">
        <v>438</v>
      </c>
      <c r="J1952" s="0">
        <v>0</v>
      </c>
      <c r="K1952" s="0">
        <v>1</v>
      </c>
      <c r="L1952" s="0">
        <v>5</v>
      </c>
      <c r="M1952" s="0">
        <v>9</v>
      </c>
      <c r="N1952" s="0">
        <v>0</v>
      </c>
      <c r="O1952" s="0">
        <v>0</v>
      </c>
      <c r="P1952" s="0">
        <v>0</v>
      </c>
      <c r="R1952" s="0" t="b">
        <v>0</v>
      </c>
      <c r="S1952" s="0" t="b">
        <v>1</v>
      </c>
      <c r="T1952" s="68">
        <v>45008.6167361111</v>
      </c>
      <c r="U1952" s="68">
        <v>45022.3333333333</v>
      </c>
      <c r="V1952" s="68">
        <v>0</v>
      </c>
      <c r="W1952" s="0">
        <f>IF(IF(B1952="none",1,IF(B1952="Trialer",1,0))+IF(C1952="Customer",1,IF(C1952="Lost",1,0))=2,1,0)</f>
      </c>
      <c r="X1952" s="0" t="s">
        <v>145</v>
      </c>
      <c r="Y1952" s="0" t="s">
        <v>243</v>
      </c>
      <c r="AV1952" s="68"/>
      <c r="AW1952" s="68"/>
      <c r="AY1952" s="27"/>
      <c r="BD1952" s="68">
        <v>46054.1666666667</v>
      </c>
      <c r="BE1952" s="68">
        <v>46082.1666666667</v>
      </c>
      <c r="BF1952" s="0" t="b">
        <v>0</v>
      </c>
      <c r="BG1952" s="0" t="b">
        <v>0</v>
      </c>
      <c r="BH1952" s="0">
        <v>193</v>
      </c>
      <c r="BI1952" s="0">
        <v>193</v>
      </c>
      <c r="BJ1952" s="0" t="s">
        <v>135</v>
      </c>
    </row>
    <row r="1953">
      <c r="A1953" s="0" t="s">
        <v>2182</v>
      </c>
      <c r="B1953" s="0" t="s">
        <v>134</v>
      </c>
      <c r="C1953" s="0" t="s">
        <v>134</v>
      </c>
      <c r="D1953" s="0" t="s">
        <v>135</v>
      </c>
      <c r="E1953" s="0" t="s">
        <v>2</v>
      </c>
      <c r="F1953" s="0" t="s">
        <v>12</v>
      </c>
      <c r="G1953" s="0" t="s">
        <v>8</v>
      </c>
      <c r="H1953" s="0">
        <v>1045</v>
      </c>
      <c r="I1953" s="0">
        <v>40</v>
      </c>
      <c r="J1953" s="0">
        <v>0</v>
      </c>
      <c r="K1953" s="0">
        <v>1</v>
      </c>
      <c r="L1953" s="0">
        <v>2</v>
      </c>
      <c r="M1953" s="0">
        <v>1</v>
      </c>
      <c r="N1953" s="0">
        <v>0</v>
      </c>
      <c r="O1953" s="0">
        <v>0</v>
      </c>
      <c r="P1953" s="0">
        <v>0</v>
      </c>
      <c r="R1953" s="0" t="b">
        <v>0</v>
      </c>
      <c r="S1953" s="0" t="b">
        <v>1</v>
      </c>
      <c r="T1953" s="68">
        <v>45008.8973958333</v>
      </c>
      <c r="U1953" s="68">
        <v>45022.3333333333</v>
      </c>
      <c r="V1953" s="68">
        <v>0</v>
      </c>
      <c r="W1953" s="0">
        <f>IF(IF(B1953="none",1,IF(B1953="Trialer",1,0))+IF(C1953="Customer",1,IF(C1953="Lost",1,0))=2,1,0)</f>
      </c>
      <c r="X1953" s="0" t="s">
        <v>166</v>
      </c>
      <c r="Y1953" s="0" t="s">
        <v>499</v>
      </c>
      <c r="AV1953" s="68"/>
      <c r="AW1953" s="68"/>
      <c r="AY1953" s="27"/>
      <c r="BD1953" s="68">
        <v>46054.1666666667</v>
      </c>
      <c r="BE1953" s="68">
        <v>46082.1666666667</v>
      </c>
      <c r="BF1953" s="0" t="b">
        <v>0</v>
      </c>
      <c r="BG1953" s="0" t="b">
        <v>0</v>
      </c>
      <c r="BH1953" s="0">
        <v>40</v>
      </c>
      <c r="BI1953" s="0">
        <v>40</v>
      </c>
      <c r="BJ1953" s="0" t="s">
        <v>135</v>
      </c>
    </row>
    <row r="1954">
      <c r="A1954" s="0" t="s">
        <v>2183</v>
      </c>
      <c r="B1954" s="0" t="s">
        <v>134</v>
      </c>
      <c r="C1954" s="0" t="s">
        <v>134</v>
      </c>
      <c r="D1954" s="0" t="s">
        <v>230</v>
      </c>
      <c r="E1954" s="0" t="s">
        <v>3</v>
      </c>
      <c r="F1954" s="0" t="s">
        <v>12</v>
      </c>
      <c r="G1954" s="0" t="s">
        <v>8</v>
      </c>
      <c r="H1954" s="0">
        <v>1044</v>
      </c>
      <c r="I1954" s="0">
        <v>25</v>
      </c>
      <c r="J1954" s="0">
        <v>0</v>
      </c>
      <c r="K1954" s="0">
        <v>1</v>
      </c>
      <c r="L1954" s="0">
        <v>1</v>
      </c>
      <c r="M1954" s="0">
        <v>1</v>
      </c>
      <c r="N1954" s="0">
        <v>0</v>
      </c>
      <c r="O1954" s="0">
        <v>0</v>
      </c>
      <c r="P1954" s="0">
        <v>-25</v>
      </c>
      <c r="R1954" s="0" t="b">
        <v>0</v>
      </c>
      <c r="S1954" s="0" t="b">
        <v>1</v>
      </c>
      <c r="T1954" s="68">
        <v>45009.3727430556</v>
      </c>
      <c r="U1954" s="68">
        <v>45023.3333333333</v>
      </c>
      <c r="V1954" s="68">
        <v>0</v>
      </c>
      <c r="W1954" s="0">
        <f>IF(IF(B1954="none",1,IF(B1954="Trialer",1,0))+IF(C1954="Customer",1,IF(C1954="Lost",1,0))=2,1,0)</f>
      </c>
      <c r="X1954" s="0" t="s">
        <v>142</v>
      </c>
      <c r="Y1954" s="0" t="s">
        <v>243</v>
      </c>
      <c r="AV1954" s="68"/>
      <c r="AW1954" s="68"/>
      <c r="AY1954" s="27"/>
      <c r="BD1954" s="68">
        <v>46054.1666666667</v>
      </c>
      <c r="BE1954" s="68">
        <v>46082.1666666667</v>
      </c>
      <c r="BF1954" s="0" t="b">
        <v>0</v>
      </c>
      <c r="BG1954" s="0" t="b">
        <v>0</v>
      </c>
      <c r="BH1954" s="0">
        <v>28</v>
      </c>
      <c r="BI1954" s="0">
        <v>28</v>
      </c>
      <c r="BJ1954" s="0" t="s">
        <v>230</v>
      </c>
    </row>
    <row r="1955">
      <c r="A1955" s="0" t="s">
        <v>2184</v>
      </c>
      <c r="B1955" s="0" t="s">
        <v>134</v>
      </c>
      <c r="C1955" s="0" t="s">
        <v>134</v>
      </c>
      <c r="D1955" s="0" t="s">
        <v>135</v>
      </c>
      <c r="E1955" s="0" t="s">
        <v>3</v>
      </c>
      <c r="F1955" s="0" t="s">
        <v>12</v>
      </c>
      <c r="G1955" s="0" t="s">
        <v>8</v>
      </c>
      <c r="H1955" s="0">
        <v>1041</v>
      </c>
      <c r="I1955" s="0">
        <v>178</v>
      </c>
      <c r="J1955" s="0">
        <v>0</v>
      </c>
      <c r="K1955" s="0">
        <v>1</v>
      </c>
      <c r="L1955" s="0">
        <v>3</v>
      </c>
      <c r="M1955" s="0">
        <v>4</v>
      </c>
      <c r="N1955" s="0">
        <v>0</v>
      </c>
      <c r="O1955" s="0">
        <v>0</v>
      </c>
      <c r="P1955" s="0">
        <v>0</v>
      </c>
      <c r="R1955" s="0" t="b">
        <v>0</v>
      </c>
      <c r="S1955" s="0" t="b">
        <v>1</v>
      </c>
      <c r="T1955" s="68">
        <v>45012.5076388889</v>
      </c>
      <c r="U1955" s="68">
        <v>45029.3333333333</v>
      </c>
      <c r="V1955" s="68">
        <v>0</v>
      </c>
      <c r="W1955" s="0">
        <f>IF(IF(B1955="none",1,IF(B1955="Trialer",1,0))+IF(C1955="Customer",1,IF(C1955="Lost",1,0))=2,1,0)</f>
      </c>
      <c r="X1955" s="0" t="s">
        <v>136</v>
      </c>
      <c r="Y1955" s="0" t="s">
        <v>243</v>
      </c>
      <c r="AV1955" s="68"/>
      <c r="AW1955" s="68"/>
      <c r="AY1955" s="27"/>
      <c r="BD1955" s="68">
        <v>46054.1666666667</v>
      </c>
      <c r="BE1955" s="68">
        <v>46082.1666666667</v>
      </c>
      <c r="BF1955" s="0" t="b">
        <v>0</v>
      </c>
      <c r="BG1955" s="0" t="b">
        <v>0</v>
      </c>
      <c r="BH1955" s="0">
        <v>178</v>
      </c>
      <c r="BI1955" s="0">
        <v>178</v>
      </c>
      <c r="BJ1955" s="0" t="s">
        <v>135</v>
      </c>
    </row>
    <row r="1956">
      <c r="A1956" s="0" t="s">
        <v>2185</v>
      </c>
      <c r="B1956" s="0" t="s">
        <v>134</v>
      </c>
      <c r="C1956" s="0" t="s">
        <v>134</v>
      </c>
      <c r="D1956" s="0" t="s">
        <v>230</v>
      </c>
      <c r="E1956" s="0" t="s">
        <v>3</v>
      </c>
      <c r="F1956" s="0" t="s">
        <v>12</v>
      </c>
      <c r="G1956" s="0" t="s">
        <v>8</v>
      </c>
      <c r="H1956" s="0">
        <v>1039</v>
      </c>
      <c r="I1956" s="0">
        <v>54</v>
      </c>
      <c r="J1956" s="0">
        <v>0</v>
      </c>
      <c r="K1956" s="0">
        <v>1</v>
      </c>
      <c r="L1956" s="0">
        <v>4</v>
      </c>
      <c r="M1956" s="0">
        <v>1</v>
      </c>
      <c r="N1956" s="0">
        <v>0</v>
      </c>
      <c r="O1956" s="0">
        <v>0</v>
      </c>
      <c r="P1956" s="0">
        <v>-54</v>
      </c>
      <c r="R1956" s="0" t="b">
        <v>0</v>
      </c>
      <c r="S1956" s="0" t="b">
        <v>1</v>
      </c>
      <c r="T1956" s="68">
        <v>45014.5342361111</v>
      </c>
      <c r="U1956" s="68">
        <v>45028.3333333333</v>
      </c>
      <c r="V1956" s="68">
        <v>0</v>
      </c>
      <c r="W1956" s="0">
        <f>IF(IF(B1956="none",1,IF(B1956="Trialer",1,0))+IF(C1956="Customer",1,IF(C1956="Lost",1,0))=2,1,0)</f>
      </c>
      <c r="X1956" s="0" t="s">
        <v>142</v>
      </c>
      <c r="Y1956" s="0" t="s">
        <v>243</v>
      </c>
      <c r="AV1956" s="68"/>
      <c r="AW1956" s="68"/>
      <c r="AY1956" s="27"/>
      <c r="BD1956" s="68">
        <v>46054.1666666667</v>
      </c>
      <c r="BE1956" s="68">
        <v>46082.1666666667</v>
      </c>
      <c r="BF1956" s="0" t="b">
        <v>0</v>
      </c>
      <c r="BG1956" s="0" t="b">
        <v>0</v>
      </c>
      <c r="BH1956" s="0">
        <v>61</v>
      </c>
      <c r="BI1956" s="0">
        <v>61</v>
      </c>
      <c r="BJ1956" s="0" t="s">
        <v>230</v>
      </c>
    </row>
    <row r="1957">
      <c r="A1957" s="0" t="s">
        <v>2186</v>
      </c>
      <c r="B1957" s="0" t="s">
        <v>134</v>
      </c>
      <c r="C1957" s="0" t="s">
        <v>134</v>
      </c>
      <c r="D1957" s="0" t="s">
        <v>135</v>
      </c>
      <c r="E1957" s="0" t="s">
        <v>3</v>
      </c>
      <c r="F1957" s="0" t="s">
        <v>12</v>
      </c>
      <c r="G1957" s="0" t="s">
        <v>8</v>
      </c>
      <c r="H1957" s="0">
        <v>1039</v>
      </c>
      <c r="I1957" s="0">
        <v>0</v>
      </c>
      <c r="J1957" s="0">
        <v>0</v>
      </c>
      <c r="K1957" s="0">
        <v>1</v>
      </c>
      <c r="L1957" s="0">
        <v>6</v>
      </c>
      <c r="M1957" s="0">
        <v>1</v>
      </c>
      <c r="N1957" s="0">
        <v>0</v>
      </c>
      <c r="O1957" s="0">
        <v>0</v>
      </c>
      <c r="P1957" s="0">
        <v>0</v>
      </c>
      <c r="R1957" s="0" t="b">
        <v>0</v>
      </c>
      <c r="S1957" s="0" t="b">
        <v>1</v>
      </c>
      <c r="T1957" s="68">
        <v>45014.6522685185</v>
      </c>
      <c r="U1957" s="68">
        <v>45028.3333333333</v>
      </c>
      <c r="V1957" s="68">
        <v>0</v>
      </c>
      <c r="W1957" s="0">
        <f>IF(IF(B1957="none",1,IF(B1957="Trialer",1,0))+IF(C1957="Customer",1,IF(C1957="Lost",1,0))=2,1,0)</f>
      </c>
      <c r="X1957" s="0" t="s">
        <v>148</v>
      </c>
      <c r="Y1957" s="0" t="s">
        <v>243</v>
      </c>
      <c r="AV1957" s="68"/>
      <c r="AW1957" s="68"/>
      <c r="AY1957" s="27"/>
      <c r="BD1957" s="68">
        <v>46054.1666666667</v>
      </c>
      <c r="BE1957" s="68">
        <v>46082.1666666667</v>
      </c>
      <c r="BF1957" s="0" t="b">
        <v>0</v>
      </c>
      <c r="BG1957" s="0" t="b">
        <v>0</v>
      </c>
      <c r="BH1957" s="0">
        <v>0</v>
      </c>
      <c r="BI1957" s="0">
        <v>0</v>
      </c>
      <c r="BJ1957" s="0" t="s">
        <v>135</v>
      </c>
    </row>
    <row r="1958">
      <c r="A1958" s="0" t="s">
        <v>2187</v>
      </c>
      <c r="B1958" s="0" t="s">
        <v>134</v>
      </c>
      <c r="C1958" s="0" t="s">
        <v>134</v>
      </c>
      <c r="D1958" s="0" t="s">
        <v>230</v>
      </c>
      <c r="E1958" s="0" t="s">
        <v>3</v>
      </c>
      <c r="F1958" s="0" t="s">
        <v>12</v>
      </c>
      <c r="G1958" s="0" t="s">
        <v>8</v>
      </c>
      <c r="H1958" s="0">
        <v>1039</v>
      </c>
      <c r="I1958" s="0">
        <v>340.2</v>
      </c>
      <c r="J1958" s="0">
        <v>0</v>
      </c>
      <c r="K1958" s="0">
        <v>1</v>
      </c>
      <c r="L1958" s="0">
        <v>3</v>
      </c>
      <c r="M1958" s="0">
        <v>9</v>
      </c>
      <c r="N1958" s="0">
        <v>0</v>
      </c>
      <c r="O1958" s="0">
        <v>0</v>
      </c>
      <c r="P1958" s="0">
        <v>-340.2</v>
      </c>
      <c r="R1958" s="0" t="b">
        <v>0</v>
      </c>
      <c r="S1958" s="0" t="b">
        <v>1</v>
      </c>
      <c r="T1958" s="68">
        <v>45014.6737384259</v>
      </c>
      <c r="U1958" s="68">
        <v>45031.3333333333</v>
      </c>
      <c r="V1958" s="68">
        <v>0</v>
      </c>
      <c r="W1958" s="0">
        <f>IF(IF(B1958="none",1,IF(B1958="Trialer",1,0))+IF(C1958="Customer",1,IF(C1958="Lost",1,0))=2,1,0)</f>
      </c>
      <c r="X1958" s="0" t="s">
        <v>148</v>
      </c>
      <c r="Y1958" s="0" t="s">
        <v>243</v>
      </c>
      <c r="AV1958" s="68"/>
      <c r="AW1958" s="68"/>
      <c r="AY1958" s="27"/>
      <c r="BD1958" s="68">
        <v>46054.1666666667</v>
      </c>
      <c r="BE1958" s="68">
        <v>46082.1666666667</v>
      </c>
      <c r="BF1958" s="0" t="b">
        <v>0</v>
      </c>
      <c r="BG1958" s="0" t="b">
        <v>0</v>
      </c>
      <c r="BH1958" s="0">
        <v>378</v>
      </c>
      <c r="BI1958" s="0">
        <v>378</v>
      </c>
      <c r="BJ1958" s="0" t="s">
        <v>230</v>
      </c>
    </row>
    <row r="1959">
      <c r="A1959" s="0" t="s">
        <v>2188</v>
      </c>
      <c r="B1959" s="0" t="s">
        <v>134</v>
      </c>
      <c r="C1959" s="0" t="s">
        <v>134</v>
      </c>
      <c r="D1959" s="0" t="s">
        <v>135</v>
      </c>
      <c r="E1959" s="0" t="s">
        <v>3</v>
      </c>
      <c r="F1959" s="0" t="s">
        <v>12</v>
      </c>
      <c r="G1959" s="0" t="s">
        <v>8</v>
      </c>
      <c r="H1959" s="0">
        <v>1038</v>
      </c>
      <c r="I1959" s="0">
        <v>89</v>
      </c>
      <c r="J1959" s="0">
        <v>0</v>
      </c>
      <c r="K1959" s="0">
        <v>1</v>
      </c>
      <c r="L1959" s="0">
        <v>4</v>
      </c>
      <c r="M1959" s="0">
        <v>2</v>
      </c>
      <c r="N1959" s="0">
        <v>0</v>
      </c>
      <c r="O1959" s="0">
        <v>0</v>
      </c>
      <c r="P1959" s="0">
        <v>0</v>
      </c>
      <c r="R1959" s="0" t="b">
        <v>0</v>
      </c>
      <c r="S1959" s="0" t="b">
        <v>1</v>
      </c>
      <c r="T1959" s="68">
        <v>45015.5472569444</v>
      </c>
      <c r="U1959" s="68">
        <v>45034.3333333333</v>
      </c>
      <c r="V1959" s="68">
        <v>0</v>
      </c>
      <c r="W1959" s="0">
        <f>IF(IF(B1959="none",1,IF(B1959="Trialer",1,0))+IF(C1959="Customer",1,IF(C1959="Lost",1,0))=2,1,0)</f>
      </c>
      <c r="X1959" s="0" t="s">
        <v>142</v>
      </c>
      <c r="Y1959" s="0" t="s">
        <v>243</v>
      </c>
      <c r="AV1959" s="68"/>
      <c r="AW1959" s="68"/>
      <c r="AY1959" s="27"/>
      <c r="BD1959" s="68">
        <v>46054.1666666667</v>
      </c>
      <c r="BE1959" s="68">
        <v>46082.1666666667</v>
      </c>
      <c r="BF1959" s="0" t="b">
        <v>0</v>
      </c>
      <c r="BG1959" s="0" t="b">
        <v>0</v>
      </c>
      <c r="BH1959" s="0">
        <v>89</v>
      </c>
      <c r="BI1959" s="0">
        <v>89</v>
      </c>
      <c r="BJ1959" s="0" t="s">
        <v>135</v>
      </c>
    </row>
    <row r="1960">
      <c r="A1960" s="0" t="s">
        <v>2189</v>
      </c>
      <c r="B1960" s="0" t="s">
        <v>134</v>
      </c>
      <c r="C1960" s="0" t="s">
        <v>134</v>
      </c>
      <c r="D1960" s="0" t="s">
        <v>135</v>
      </c>
      <c r="E1960" s="0" t="s">
        <v>3</v>
      </c>
      <c r="F1960" s="0" t="s">
        <v>10</v>
      </c>
      <c r="G1960" s="0" t="s">
        <v>8</v>
      </c>
      <c r="H1960" s="0">
        <v>1038</v>
      </c>
      <c r="I1960" s="0">
        <v>28</v>
      </c>
      <c r="J1960" s="0">
        <v>0</v>
      </c>
      <c r="K1960" s="0">
        <v>1</v>
      </c>
      <c r="L1960" s="0">
        <v>1</v>
      </c>
      <c r="M1960" s="0">
        <v>1</v>
      </c>
      <c r="N1960" s="0">
        <v>0</v>
      </c>
      <c r="O1960" s="0">
        <v>0</v>
      </c>
      <c r="P1960" s="0">
        <v>0</v>
      </c>
      <c r="Q1960" s="0" t="s">
        <v>618</v>
      </c>
      <c r="R1960" s="0" t="b">
        <v>0</v>
      </c>
      <c r="S1960" s="0" t="b">
        <v>1</v>
      </c>
      <c r="T1960" s="68">
        <v>45015.6798032407</v>
      </c>
      <c r="U1960" s="68">
        <v>45029.3333333333</v>
      </c>
      <c r="V1960" s="68">
        <v>0</v>
      </c>
      <c r="W1960" s="0">
        <f>IF(IF(B1960="none",1,IF(B1960="Trialer",1,0))+IF(C1960="Customer",1,IF(C1960="Lost",1,0))=2,1,0)</f>
      </c>
      <c r="X1960" s="0" t="s">
        <v>148</v>
      </c>
      <c r="Y1960" s="0" t="s">
        <v>243</v>
      </c>
      <c r="AV1960" s="68"/>
      <c r="AW1960" s="68"/>
      <c r="AY1960" s="27"/>
      <c r="BD1960" s="68">
        <v>46054.1666666667</v>
      </c>
      <c r="BE1960" s="68">
        <v>46082.1666666667</v>
      </c>
      <c r="BF1960" s="0" t="b">
        <v>0</v>
      </c>
      <c r="BG1960" s="0" t="b">
        <v>0</v>
      </c>
      <c r="BH1960" s="0">
        <v>28</v>
      </c>
      <c r="BI1960" s="0">
        <v>28</v>
      </c>
      <c r="BJ1960" s="0" t="s">
        <v>135</v>
      </c>
    </row>
    <row r="1961">
      <c r="A1961" s="0" t="s">
        <v>2190</v>
      </c>
      <c r="B1961" s="0" t="s">
        <v>134</v>
      </c>
      <c r="C1961" s="0" t="s">
        <v>134</v>
      </c>
      <c r="D1961" s="0" t="s">
        <v>230</v>
      </c>
      <c r="E1961" s="0" t="s">
        <v>2</v>
      </c>
      <c r="F1961" s="0" t="s">
        <v>12</v>
      </c>
      <c r="G1961" s="0" t="s">
        <v>8</v>
      </c>
      <c r="H1961" s="0">
        <v>1038</v>
      </c>
      <c r="I1961" s="0">
        <v>215</v>
      </c>
      <c r="J1961" s="0">
        <v>0</v>
      </c>
      <c r="K1961" s="0">
        <v>1</v>
      </c>
      <c r="L1961" s="0">
        <v>5</v>
      </c>
      <c r="M1961" s="0">
        <v>4</v>
      </c>
      <c r="N1961" s="0">
        <v>0</v>
      </c>
      <c r="O1961" s="0">
        <v>0</v>
      </c>
      <c r="P1961" s="0">
        <v>-215</v>
      </c>
      <c r="R1961" s="0" t="b">
        <v>0</v>
      </c>
      <c r="S1961" s="0" t="b">
        <v>1</v>
      </c>
      <c r="T1961" s="68">
        <v>45015.8133796296</v>
      </c>
      <c r="U1961" s="68">
        <v>45029.3333333333</v>
      </c>
      <c r="V1961" s="68">
        <v>0</v>
      </c>
      <c r="W1961" s="0">
        <f>IF(IF(B1961="none",1,IF(B1961="Trialer",1,0))+IF(C1961="Customer",1,IF(C1961="Lost",1,0))=2,1,0)</f>
      </c>
      <c r="X1961" s="0" t="s">
        <v>136</v>
      </c>
      <c r="Y1961" s="0" t="s">
        <v>499</v>
      </c>
      <c r="AV1961" s="68"/>
      <c r="AW1961" s="68"/>
      <c r="AY1961" s="27"/>
      <c r="BD1961" s="68">
        <v>46054.1666666667</v>
      </c>
      <c r="BE1961" s="68">
        <v>46082.1666666667</v>
      </c>
      <c r="BF1961" s="0" t="b">
        <v>0</v>
      </c>
      <c r="BG1961" s="0" t="b">
        <v>0</v>
      </c>
      <c r="BH1961" s="0">
        <v>244</v>
      </c>
      <c r="BI1961" s="0">
        <v>244</v>
      </c>
      <c r="BJ1961" s="0" t="s">
        <v>230</v>
      </c>
    </row>
    <row r="1962">
      <c r="A1962" s="0" t="s">
        <v>2191</v>
      </c>
      <c r="B1962" s="0" t="s">
        <v>134</v>
      </c>
      <c r="C1962" s="0" t="s">
        <v>134</v>
      </c>
      <c r="D1962" s="0" t="s">
        <v>230</v>
      </c>
      <c r="E1962" s="0" t="s">
        <v>3</v>
      </c>
      <c r="F1962" s="0" t="s">
        <v>12</v>
      </c>
      <c r="G1962" s="0" t="s">
        <v>8</v>
      </c>
      <c r="H1962" s="0">
        <v>1038</v>
      </c>
      <c r="I1962" s="0">
        <v>54</v>
      </c>
      <c r="J1962" s="0">
        <v>0</v>
      </c>
      <c r="K1962" s="0">
        <v>1</v>
      </c>
      <c r="L1962" s="0">
        <v>4</v>
      </c>
      <c r="M1962" s="0">
        <v>1</v>
      </c>
      <c r="N1962" s="0">
        <v>0</v>
      </c>
      <c r="O1962" s="0">
        <v>0</v>
      </c>
      <c r="P1962" s="0">
        <v>-54</v>
      </c>
      <c r="R1962" s="0" t="b">
        <v>0</v>
      </c>
      <c r="S1962" s="0" t="b">
        <v>1</v>
      </c>
      <c r="T1962" s="68">
        <v>45015.8480902778</v>
      </c>
      <c r="U1962" s="68">
        <v>45049.3333333333</v>
      </c>
      <c r="V1962" s="68">
        <v>0</v>
      </c>
      <c r="W1962" s="0">
        <f>IF(IF(B1962="none",1,IF(B1962="Trialer",1,0))+IF(C1962="Customer",1,IF(C1962="Lost",1,0))=2,1,0)</f>
      </c>
      <c r="X1962" s="0" t="s">
        <v>153</v>
      </c>
      <c r="Y1962" s="0" t="s">
        <v>1792</v>
      </c>
      <c r="AV1962" s="68"/>
      <c r="AW1962" s="68"/>
      <c r="AY1962" s="27"/>
      <c r="BD1962" s="68">
        <v>46054.1666666667</v>
      </c>
      <c r="BE1962" s="68">
        <v>46082.1666666667</v>
      </c>
      <c r="BF1962" s="0" t="b">
        <v>0</v>
      </c>
      <c r="BG1962" s="0" t="b">
        <v>0</v>
      </c>
      <c r="BH1962" s="0">
        <v>61</v>
      </c>
      <c r="BI1962" s="0">
        <v>61</v>
      </c>
      <c r="BJ1962" s="0" t="s">
        <v>230</v>
      </c>
    </row>
    <row r="1963">
      <c r="A1963" s="0" t="s">
        <v>2192</v>
      </c>
      <c r="B1963" s="0" t="s">
        <v>134</v>
      </c>
      <c r="C1963" s="0" t="s">
        <v>134</v>
      </c>
      <c r="D1963" s="0" t="s">
        <v>135</v>
      </c>
      <c r="E1963" s="0" t="s">
        <v>2</v>
      </c>
      <c r="F1963" s="0" t="s">
        <v>12</v>
      </c>
      <c r="G1963" s="0" t="s">
        <v>7</v>
      </c>
      <c r="H1963" s="0">
        <v>1037</v>
      </c>
      <c r="I1963" s="0">
        <v>40</v>
      </c>
      <c r="J1963" s="0">
        <v>0</v>
      </c>
      <c r="K1963" s="0">
        <v>1</v>
      </c>
      <c r="L1963" s="0">
        <v>1</v>
      </c>
      <c r="M1963" s="0">
        <v>1</v>
      </c>
      <c r="N1963" s="0">
        <v>0</v>
      </c>
      <c r="O1963" s="0">
        <v>0</v>
      </c>
      <c r="P1963" s="0">
        <v>0</v>
      </c>
      <c r="R1963" s="0" t="b">
        <v>0</v>
      </c>
      <c r="S1963" s="0" t="b">
        <v>1</v>
      </c>
      <c r="T1963" s="68">
        <v>45016.5</v>
      </c>
      <c r="U1963" s="68">
        <v>45016.5</v>
      </c>
      <c r="V1963" s="68">
        <v>0</v>
      </c>
      <c r="W1963" s="0">
        <f>IF(IF(B1963="none",1,IF(B1963="Trialer",1,0))+IF(C1963="Customer",1,IF(C1963="Lost",1,0))=2,1,0)</f>
      </c>
      <c r="X1963" s="0" t="s">
        <v>145</v>
      </c>
      <c r="Y1963" s="0" t="s">
        <v>137</v>
      </c>
      <c r="AV1963" s="68"/>
      <c r="AW1963" s="68"/>
      <c r="AY1963" s="27"/>
      <c r="BD1963" s="68">
        <v>46054.1666666667</v>
      </c>
      <c r="BE1963" s="68">
        <v>46082.1666666667</v>
      </c>
      <c r="BF1963" s="0" t="b">
        <v>0</v>
      </c>
      <c r="BG1963" s="0" t="b">
        <v>0</v>
      </c>
      <c r="BH1963" s="0">
        <v>40</v>
      </c>
      <c r="BI1963" s="0">
        <v>40</v>
      </c>
      <c r="BJ1963" s="0" t="s">
        <v>135</v>
      </c>
    </row>
    <row r="1964">
      <c r="A1964" s="0" t="s">
        <v>2193</v>
      </c>
      <c r="B1964" s="0" t="s">
        <v>134</v>
      </c>
      <c r="C1964" s="0" t="s">
        <v>134</v>
      </c>
      <c r="D1964" s="0" t="s">
        <v>135</v>
      </c>
      <c r="E1964" s="0" t="s">
        <v>3</v>
      </c>
      <c r="F1964" s="0" t="s">
        <v>12</v>
      </c>
      <c r="G1964" s="0" t="s">
        <v>8</v>
      </c>
      <c r="H1964" s="0">
        <v>1034</v>
      </c>
      <c r="I1964" s="0">
        <v>49</v>
      </c>
      <c r="J1964" s="0">
        <v>0</v>
      </c>
      <c r="K1964" s="0">
        <v>1</v>
      </c>
      <c r="L1964" s="0">
        <v>3</v>
      </c>
      <c r="M1964" s="0">
        <v>1</v>
      </c>
      <c r="N1964" s="0">
        <v>0</v>
      </c>
      <c r="O1964" s="0">
        <v>0</v>
      </c>
      <c r="P1964" s="0">
        <v>0</v>
      </c>
      <c r="R1964" s="0" t="b">
        <v>0</v>
      </c>
      <c r="S1964" s="0" t="b">
        <v>1</v>
      </c>
      <c r="T1964" s="68">
        <v>45019.4715856481</v>
      </c>
      <c r="U1964" s="68">
        <v>45033.3333333333</v>
      </c>
      <c r="V1964" s="68">
        <v>0</v>
      </c>
      <c r="W1964" s="0">
        <f>IF(IF(B1964="none",1,IF(B1964="Trialer",1,0))+IF(C1964="Customer",1,IF(C1964="Lost",1,0))=2,1,0)</f>
      </c>
      <c r="X1964" s="0" t="s">
        <v>153</v>
      </c>
      <c r="Y1964" s="0" t="s">
        <v>243</v>
      </c>
      <c r="AV1964" s="68"/>
      <c r="AW1964" s="68"/>
      <c r="AY1964" s="27"/>
      <c r="BD1964" s="68">
        <v>46054.1666666667</v>
      </c>
      <c r="BE1964" s="68">
        <v>46082.1666666667</v>
      </c>
      <c r="BF1964" s="0" t="b">
        <v>0</v>
      </c>
      <c r="BG1964" s="0" t="b">
        <v>0</v>
      </c>
      <c r="BH1964" s="0">
        <v>49</v>
      </c>
      <c r="BI1964" s="0">
        <v>49</v>
      </c>
      <c r="BJ1964" s="0" t="s">
        <v>135</v>
      </c>
    </row>
    <row r="1965">
      <c r="A1965" s="0" t="s">
        <v>2194</v>
      </c>
      <c r="B1965" s="0" t="s">
        <v>134</v>
      </c>
      <c r="C1965" s="0" t="s">
        <v>134</v>
      </c>
      <c r="D1965" s="0" t="s">
        <v>135</v>
      </c>
      <c r="E1965" s="0" t="s">
        <v>3</v>
      </c>
      <c r="F1965" s="0" t="s">
        <v>12</v>
      </c>
      <c r="G1965" s="0" t="s">
        <v>8</v>
      </c>
      <c r="H1965" s="0">
        <v>1034</v>
      </c>
      <c r="I1965" s="0">
        <v>264</v>
      </c>
      <c r="J1965" s="0">
        <v>0</v>
      </c>
      <c r="K1965" s="0">
        <v>1</v>
      </c>
      <c r="L1965" s="0">
        <v>3</v>
      </c>
      <c r="M1965" s="0">
        <v>6</v>
      </c>
      <c r="N1965" s="0">
        <v>0</v>
      </c>
      <c r="O1965" s="0">
        <v>0</v>
      </c>
      <c r="P1965" s="0">
        <v>0</v>
      </c>
      <c r="R1965" s="0" t="b">
        <v>0</v>
      </c>
      <c r="S1965" s="0" t="b">
        <v>1</v>
      </c>
      <c r="T1965" s="68">
        <v>45019.5001851852</v>
      </c>
      <c r="U1965" s="68">
        <v>45021.3333333333</v>
      </c>
      <c r="V1965" s="68">
        <v>0</v>
      </c>
      <c r="W1965" s="0">
        <f>IF(IF(B1965="none",1,IF(B1965="Trialer",1,0))+IF(C1965="Customer",1,IF(C1965="Lost",1,0))=2,1,0)</f>
      </c>
      <c r="X1965" s="0" t="s">
        <v>145</v>
      </c>
      <c r="Y1965" s="0" t="s">
        <v>243</v>
      </c>
      <c r="AV1965" s="68"/>
      <c r="AW1965" s="68"/>
      <c r="AY1965" s="27"/>
      <c r="BD1965" s="68">
        <v>46054.1666666667</v>
      </c>
      <c r="BE1965" s="68">
        <v>46082.1666666667</v>
      </c>
      <c r="BF1965" s="0" t="b">
        <v>0</v>
      </c>
      <c r="BG1965" s="0" t="b">
        <v>0</v>
      </c>
      <c r="BH1965" s="0">
        <v>344</v>
      </c>
      <c r="BI1965" s="0">
        <v>344</v>
      </c>
      <c r="BJ1965" s="0" t="s">
        <v>135</v>
      </c>
    </row>
    <row r="1966">
      <c r="A1966" s="0" t="s">
        <v>2195</v>
      </c>
      <c r="B1966" s="0" t="s">
        <v>134</v>
      </c>
      <c r="C1966" s="0" t="s">
        <v>134</v>
      </c>
      <c r="D1966" s="0" t="s">
        <v>135</v>
      </c>
      <c r="E1966" s="0" t="s">
        <v>3</v>
      </c>
      <c r="F1966" s="0" t="s">
        <v>12</v>
      </c>
      <c r="G1966" s="0" t="s">
        <v>8</v>
      </c>
      <c r="H1966" s="0">
        <v>1034</v>
      </c>
      <c r="I1966" s="0">
        <v>245</v>
      </c>
      <c r="J1966" s="0">
        <v>0</v>
      </c>
      <c r="K1966" s="0">
        <v>1</v>
      </c>
      <c r="L1966" s="0">
        <v>3</v>
      </c>
      <c r="M1966" s="0">
        <v>5</v>
      </c>
      <c r="N1966" s="0">
        <v>0</v>
      </c>
      <c r="O1966" s="0">
        <v>0</v>
      </c>
      <c r="P1966" s="0">
        <v>0</v>
      </c>
      <c r="R1966" s="0" t="b">
        <v>0</v>
      </c>
      <c r="S1966" s="0" t="b">
        <v>1</v>
      </c>
      <c r="T1966" s="68">
        <v>45019.56875</v>
      </c>
      <c r="U1966" s="68">
        <v>45033.3333333333</v>
      </c>
      <c r="V1966" s="68">
        <v>0</v>
      </c>
      <c r="W1966" s="0">
        <f>IF(IF(B1966="none",1,IF(B1966="Trialer",1,0))+IF(C1966="Customer",1,IF(C1966="Lost",1,0))=2,1,0)</f>
      </c>
      <c r="X1966" s="0" t="s">
        <v>145</v>
      </c>
      <c r="Y1966" s="0" t="s">
        <v>243</v>
      </c>
      <c r="AV1966" s="68"/>
      <c r="AW1966" s="68"/>
      <c r="AY1966" s="27"/>
      <c r="BD1966" s="68">
        <v>46054.1666666667</v>
      </c>
      <c r="BE1966" s="68">
        <v>46082.1666666667</v>
      </c>
      <c r="BF1966" s="0" t="b">
        <v>0</v>
      </c>
      <c r="BG1966" s="0" t="b">
        <v>0</v>
      </c>
      <c r="BH1966" s="0">
        <v>245</v>
      </c>
      <c r="BI1966" s="0">
        <v>245</v>
      </c>
      <c r="BJ1966" s="0" t="s">
        <v>135</v>
      </c>
    </row>
    <row r="1967">
      <c r="A1967" s="0" t="s">
        <v>2196</v>
      </c>
      <c r="B1967" s="0" t="s">
        <v>134</v>
      </c>
      <c r="C1967" s="0" t="s">
        <v>134</v>
      </c>
      <c r="D1967" s="0" t="s">
        <v>135</v>
      </c>
      <c r="E1967" s="0" t="s">
        <v>2</v>
      </c>
      <c r="F1967" s="0" t="s">
        <v>12</v>
      </c>
      <c r="G1967" s="0" t="s">
        <v>8</v>
      </c>
      <c r="H1967" s="0">
        <v>1034</v>
      </c>
      <c r="I1967" s="0">
        <v>947</v>
      </c>
      <c r="J1967" s="0">
        <v>0</v>
      </c>
      <c r="K1967" s="0">
        <v>1</v>
      </c>
      <c r="L1967" s="0">
        <v>5</v>
      </c>
      <c r="M1967" s="0">
        <v>10</v>
      </c>
      <c r="N1967" s="0">
        <v>0</v>
      </c>
      <c r="O1967" s="0">
        <v>0</v>
      </c>
      <c r="P1967" s="0">
        <v>0</v>
      </c>
      <c r="R1967" s="0" t="b">
        <v>0</v>
      </c>
      <c r="S1967" s="0" t="b">
        <v>1</v>
      </c>
      <c r="T1967" s="68">
        <v>45019.6748958333</v>
      </c>
      <c r="U1967" s="68">
        <v>45033.3333333333</v>
      </c>
      <c r="V1967" s="68">
        <v>0</v>
      </c>
      <c r="W1967" s="0">
        <f>IF(IF(B1967="none",1,IF(B1967="Trialer",1,0))+IF(C1967="Customer",1,IF(C1967="Lost",1,0))=2,1,0)</f>
      </c>
      <c r="X1967" s="0" t="s">
        <v>148</v>
      </c>
      <c r="Y1967" s="0" t="s">
        <v>499</v>
      </c>
      <c r="AV1967" s="68"/>
      <c r="AW1967" s="68"/>
      <c r="AY1967" s="27"/>
      <c r="BD1967" s="68">
        <v>46054.1666666667</v>
      </c>
      <c r="BE1967" s="68">
        <v>46082.1666666667</v>
      </c>
      <c r="BF1967" s="0" t="b">
        <v>0</v>
      </c>
      <c r="BG1967" s="0" t="b">
        <v>0</v>
      </c>
      <c r="BH1967" s="0">
        <v>622</v>
      </c>
      <c r="BI1967" s="0">
        <v>622</v>
      </c>
      <c r="BJ1967" s="0" t="s">
        <v>135</v>
      </c>
    </row>
    <row r="1968">
      <c r="A1968" s="0" t="s">
        <v>2197</v>
      </c>
      <c r="B1968" s="0" t="s">
        <v>134</v>
      </c>
      <c r="C1968" s="0" t="s">
        <v>134</v>
      </c>
      <c r="D1968" s="0" t="s">
        <v>135</v>
      </c>
      <c r="E1968" s="0" t="s">
        <v>3</v>
      </c>
      <c r="F1968" s="0" t="s">
        <v>12</v>
      </c>
      <c r="G1968" s="0" t="s">
        <v>8</v>
      </c>
      <c r="H1968" s="0">
        <v>1033</v>
      </c>
      <c r="I1968" s="0">
        <v>705</v>
      </c>
      <c r="J1968" s="0">
        <v>0</v>
      </c>
      <c r="K1968" s="0">
        <v>1</v>
      </c>
      <c r="L1968" s="0">
        <v>4</v>
      </c>
      <c r="M1968" s="0">
        <v>18</v>
      </c>
      <c r="N1968" s="0">
        <v>0</v>
      </c>
      <c r="O1968" s="0">
        <v>0</v>
      </c>
      <c r="P1968" s="0">
        <v>0</v>
      </c>
      <c r="R1968" s="0" t="b">
        <v>0</v>
      </c>
      <c r="S1968" s="0" t="b">
        <v>1</v>
      </c>
      <c r="T1968" s="68">
        <v>45020.5</v>
      </c>
      <c r="U1968" s="68">
        <v>45065.3333333333</v>
      </c>
      <c r="V1968" s="68">
        <v>0</v>
      </c>
      <c r="W1968" s="0">
        <f>IF(IF(B1968="none",1,IF(B1968="Trialer",1,0))+IF(C1968="Customer",1,IF(C1968="Lost",1,0))=2,1,0)</f>
      </c>
      <c r="X1968" s="0" t="s">
        <v>882</v>
      </c>
      <c r="Y1968" s="0" t="s">
        <v>243</v>
      </c>
      <c r="AV1968" s="68"/>
      <c r="AW1968" s="68"/>
      <c r="AY1968" s="27"/>
      <c r="BD1968" s="68">
        <v>46054.1666666667</v>
      </c>
      <c r="BE1968" s="68">
        <v>46082.1666666667</v>
      </c>
      <c r="BF1968" s="0" t="b">
        <v>0</v>
      </c>
      <c r="BG1968" s="0" t="b">
        <v>0</v>
      </c>
      <c r="BH1968" s="0">
        <v>705</v>
      </c>
      <c r="BI1968" s="0">
        <v>705</v>
      </c>
      <c r="BJ1968" s="0" t="s">
        <v>135</v>
      </c>
    </row>
    <row r="1969">
      <c r="A1969" s="0" t="s">
        <v>2198</v>
      </c>
      <c r="B1969" s="0" t="s">
        <v>134</v>
      </c>
      <c r="C1969" s="0" t="s">
        <v>134</v>
      </c>
      <c r="D1969" s="0" t="s">
        <v>135</v>
      </c>
      <c r="E1969" s="0" t="s">
        <v>3</v>
      </c>
      <c r="F1969" s="0" t="s">
        <v>12</v>
      </c>
      <c r="G1969" s="0" t="s">
        <v>8</v>
      </c>
      <c r="H1969" s="0">
        <v>1033</v>
      </c>
      <c r="I1969" s="0">
        <v>138</v>
      </c>
      <c r="J1969" s="0">
        <v>0</v>
      </c>
      <c r="K1969" s="0">
        <v>1</v>
      </c>
      <c r="L1969" s="0">
        <v>3</v>
      </c>
      <c r="M1969" s="0">
        <v>3</v>
      </c>
      <c r="N1969" s="0">
        <v>0</v>
      </c>
      <c r="O1969" s="0">
        <v>0</v>
      </c>
      <c r="P1969" s="0">
        <v>0</v>
      </c>
      <c r="R1969" s="0" t="b">
        <v>0</v>
      </c>
      <c r="S1969" s="0" t="b">
        <v>1</v>
      </c>
      <c r="T1969" s="68">
        <v>45020.9144675926</v>
      </c>
      <c r="U1969" s="68">
        <v>45035.3333333333</v>
      </c>
      <c r="V1969" s="68">
        <v>0</v>
      </c>
      <c r="W1969" s="0">
        <f>IF(IF(B1969="none",1,IF(B1969="Trialer",1,0))+IF(C1969="Customer",1,IF(C1969="Lost",1,0))=2,1,0)</f>
      </c>
      <c r="X1969" s="0" t="s">
        <v>166</v>
      </c>
      <c r="Y1969" s="0" t="s">
        <v>243</v>
      </c>
      <c r="AV1969" s="68"/>
      <c r="AW1969" s="68"/>
      <c r="AY1969" s="27"/>
      <c r="BD1969" s="68">
        <v>46054.1666666667</v>
      </c>
      <c r="BE1969" s="68">
        <v>46082.1666666667</v>
      </c>
      <c r="BF1969" s="0" t="b">
        <v>0</v>
      </c>
      <c r="BG1969" s="0" t="b">
        <v>0</v>
      </c>
      <c r="BH1969" s="0">
        <v>138</v>
      </c>
      <c r="BI1969" s="0">
        <v>138</v>
      </c>
      <c r="BJ1969" s="0" t="s">
        <v>135</v>
      </c>
    </row>
    <row r="1970">
      <c r="A1970" s="0" t="s">
        <v>2199</v>
      </c>
      <c r="B1970" s="0" t="s">
        <v>134</v>
      </c>
      <c r="C1970" s="0" t="s">
        <v>134</v>
      </c>
      <c r="D1970" s="0" t="s">
        <v>230</v>
      </c>
      <c r="E1970" s="0" t="s">
        <v>2</v>
      </c>
      <c r="F1970" s="0" t="s">
        <v>12</v>
      </c>
      <c r="G1970" s="0" t="s">
        <v>8</v>
      </c>
      <c r="H1970" s="0">
        <v>1029</v>
      </c>
      <c r="I1970" s="0">
        <v>615</v>
      </c>
      <c r="J1970" s="0">
        <v>0</v>
      </c>
      <c r="K1970" s="0">
        <v>1</v>
      </c>
      <c r="L1970" s="0">
        <v>6</v>
      </c>
      <c r="M1970" s="0">
        <v>5</v>
      </c>
      <c r="N1970" s="0">
        <v>0</v>
      </c>
      <c r="O1970" s="0">
        <v>0</v>
      </c>
      <c r="P1970" s="0">
        <v>-290</v>
      </c>
      <c r="R1970" s="0" t="b">
        <v>0</v>
      </c>
      <c r="S1970" s="0" t="b">
        <v>1</v>
      </c>
      <c r="T1970" s="68">
        <v>45024.6379282407</v>
      </c>
      <c r="U1970" s="68">
        <v>45038.3333333333</v>
      </c>
      <c r="V1970" s="68">
        <v>0</v>
      </c>
      <c r="W1970" s="0">
        <f>IF(IF(B1970="none",1,IF(B1970="Trialer",1,0))+IF(C1970="Customer",1,IF(C1970="Lost",1,0))=2,1,0)</f>
      </c>
      <c r="X1970" s="0" t="s">
        <v>148</v>
      </c>
      <c r="Y1970" s="0" t="s">
        <v>499</v>
      </c>
      <c r="AV1970" s="68"/>
      <c r="AW1970" s="68"/>
      <c r="AY1970" s="27"/>
      <c r="BD1970" s="68">
        <v>46054.1666666667</v>
      </c>
      <c r="BE1970" s="68">
        <v>46082.1666666667</v>
      </c>
      <c r="BF1970" s="0" t="b">
        <v>0</v>
      </c>
      <c r="BG1970" s="0" t="b">
        <v>0</v>
      </c>
      <c r="BH1970" s="0">
        <v>329</v>
      </c>
      <c r="BI1970" s="0">
        <v>329</v>
      </c>
      <c r="BJ1970" s="0" t="s">
        <v>230</v>
      </c>
    </row>
    <row r="1971">
      <c r="A1971" s="0" t="s">
        <v>2200</v>
      </c>
      <c r="B1971" s="0" t="s">
        <v>134</v>
      </c>
      <c r="C1971" s="0" t="s">
        <v>134</v>
      </c>
      <c r="D1971" s="0" t="s">
        <v>135</v>
      </c>
      <c r="E1971" s="0" t="s">
        <v>3</v>
      </c>
      <c r="F1971" s="0" t="s">
        <v>12</v>
      </c>
      <c r="G1971" s="0" t="s">
        <v>8</v>
      </c>
      <c r="H1971" s="0">
        <v>1027</v>
      </c>
      <c r="I1971" s="0">
        <v>0</v>
      </c>
      <c r="J1971" s="0">
        <v>0</v>
      </c>
      <c r="K1971" s="0">
        <v>1</v>
      </c>
      <c r="L1971" s="0">
        <v>5</v>
      </c>
      <c r="M1971" s="0">
        <v>1</v>
      </c>
      <c r="N1971" s="0">
        <v>0</v>
      </c>
      <c r="O1971" s="0">
        <v>0</v>
      </c>
      <c r="P1971" s="0">
        <v>0</v>
      </c>
      <c r="R1971" s="0" t="b">
        <v>0</v>
      </c>
      <c r="S1971" s="0" t="b">
        <v>1</v>
      </c>
      <c r="T1971" s="68">
        <v>45026.0787847222</v>
      </c>
      <c r="U1971" s="68">
        <v>45035.3333333333</v>
      </c>
      <c r="V1971" s="68">
        <v>0</v>
      </c>
      <c r="W1971" s="0">
        <f>IF(IF(B1971="none",1,IF(B1971="Trialer",1,0))+IF(C1971="Customer",1,IF(C1971="Lost",1,0))=2,1,0)</f>
      </c>
      <c r="X1971" s="0" t="s">
        <v>148</v>
      </c>
      <c r="Y1971" s="0" t="s">
        <v>243</v>
      </c>
      <c r="AV1971" s="68"/>
      <c r="AW1971" s="68"/>
      <c r="AY1971" s="27"/>
      <c r="BD1971" s="68">
        <v>46054.1666666667</v>
      </c>
      <c r="BE1971" s="68">
        <v>46082.1666666667</v>
      </c>
      <c r="BF1971" s="0" t="b">
        <v>0</v>
      </c>
      <c r="BG1971" s="0" t="b">
        <v>0</v>
      </c>
      <c r="BH1971" s="0">
        <v>0</v>
      </c>
      <c r="BI1971" s="0">
        <v>0</v>
      </c>
      <c r="BJ1971" s="0" t="s">
        <v>135</v>
      </c>
    </row>
    <row r="1972">
      <c r="A1972" s="0" t="s">
        <v>2201</v>
      </c>
      <c r="B1972" s="0" t="s">
        <v>134</v>
      </c>
      <c r="C1972" s="0" t="s">
        <v>134</v>
      </c>
      <c r="D1972" s="0" t="s">
        <v>135</v>
      </c>
      <c r="E1972" s="0" t="s">
        <v>4</v>
      </c>
      <c r="F1972" s="0" t="s">
        <v>12</v>
      </c>
      <c r="G1972" s="0" t="s">
        <v>8</v>
      </c>
      <c r="H1972" s="0">
        <v>1027</v>
      </c>
      <c r="I1972" s="0">
        <v>0</v>
      </c>
      <c r="J1972" s="0">
        <v>0</v>
      </c>
      <c r="K1972" s="0">
        <v>1</v>
      </c>
      <c r="L1972" s="0">
        <v>5</v>
      </c>
      <c r="M1972" s="0">
        <v>1</v>
      </c>
      <c r="N1972" s="0">
        <v>0</v>
      </c>
      <c r="O1972" s="0">
        <v>0</v>
      </c>
      <c r="P1972" s="0">
        <v>0</v>
      </c>
      <c r="R1972" s="0" t="b">
        <v>0</v>
      </c>
      <c r="S1972" s="0" t="b">
        <v>1</v>
      </c>
      <c r="T1972" s="68">
        <v>45026.0789467593</v>
      </c>
      <c r="U1972" s="68">
        <v>45040.3333333333</v>
      </c>
      <c r="V1972" s="68">
        <v>0</v>
      </c>
      <c r="W1972" s="0">
        <f>IF(IF(B1972="none",1,IF(B1972="Trialer",1,0))+IF(C1972="Customer",1,IF(C1972="Lost",1,0))=2,1,0)</f>
      </c>
      <c r="X1972" s="0" t="s">
        <v>136</v>
      </c>
      <c r="Y1972" s="0" t="s">
        <v>1772</v>
      </c>
      <c r="AV1972" s="68"/>
      <c r="AW1972" s="68"/>
      <c r="AY1972" s="27"/>
      <c r="BD1972" s="68">
        <v>46054.1666666667</v>
      </c>
      <c r="BE1972" s="68">
        <v>46082.1666666667</v>
      </c>
      <c r="BF1972" s="0" t="b">
        <v>0</v>
      </c>
      <c r="BG1972" s="0" t="b">
        <v>0</v>
      </c>
      <c r="BH1972" s="0">
        <v>0</v>
      </c>
      <c r="BI1972" s="0">
        <v>0</v>
      </c>
      <c r="BJ1972" s="0" t="s">
        <v>135</v>
      </c>
    </row>
    <row r="1973">
      <c r="A1973" s="0" t="s">
        <v>2202</v>
      </c>
      <c r="B1973" s="0" t="s">
        <v>134</v>
      </c>
      <c r="C1973" s="0" t="s">
        <v>134</v>
      </c>
      <c r="D1973" s="0" t="s">
        <v>230</v>
      </c>
      <c r="E1973" s="0" t="s">
        <v>3</v>
      </c>
      <c r="F1973" s="0" t="s">
        <v>10</v>
      </c>
      <c r="G1973" s="0" t="s">
        <v>8</v>
      </c>
      <c r="H1973" s="0">
        <v>1026</v>
      </c>
      <c r="I1973" s="0">
        <v>213.8</v>
      </c>
      <c r="J1973" s="0">
        <v>0</v>
      </c>
      <c r="K1973" s="0">
        <v>1</v>
      </c>
      <c r="L1973" s="0">
        <v>4</v>
      </c>
      <c r="M1973" s="0">
        <v>4</v>
      </c>
      <c r="N1973" s="0">
        <v>0</v>
      </c>
      <c r="O1973" s="0">
        <v>0</v>
      </c>
      <c r="P1973" s="0">
        <v>2351.8</v>
      </c>
      <c r="Q1973" s="0" t="s">
        <v>2203</v>
      </c>
      <c r="R1973" s="0" t="b">
        <v>0</v>
      </c>
      <c r="S1973" s="0" t="b">
        <v>1</v>
      </c>
      <c r="T1973" s="68">
        <v>45027.4693287037</v>
      </c>
      <c r="U1973" s="68">
        <v>45041.3333333333</v>
      </c>
      <c r="V1973" s="68">
        <v>0</v>
      </c>
      <c r="W1973" s="0">
        <f>IF(IF(B1973="none",1,IF(B1973="Trialer",1,0))+IF(C1973="Customer",1,IF(C1973="Lost",1,0))=2,1,0)</f>
      </c>
      <c r="X1973" s="0" t="s">
        <v>148</v>
      </c>
      <c r="Y1973" s="0" t="s">
        <v>243</v>
      </c>
      <c r="AV1973" s="68"/>
      <c r="AW1973" s="68"/>
      <c r="AY1973" s="27"/>
      <c r="BD1973" s="68">
        <v>46054.1666666667</v>
      </c>
      <c r="BE1973" s="68">
        <v>46082.1666666667</v>
      </c>
      <c r="BF1973" s="0" t="b">
        <v>0</v>
      </c>
      <c r="BG1973" s="0" t="b">
        <v>0</v>
      </c>
      <c r="BH1973" s="0">
        <v>238</v>
      </c>
      <c r="BI1973" s="0">
        <v>238</v>
      </c>
      <c r="BJ1973" s="0" t="s">
        <v>230</v>
      </c>
    </row>
    <row r="1974">
      <c r="A1974" s="0" t="s">
        <v>2204</v>
      </c>
      <c r="B1974" s="0" t="s">
        <v>134</v>
      </c>
      <c r="C1974" s="0" t="s">
        <v>134</v>
      </c>
      <c r="D1974" s="0" t="s">
        <v>135</v>
      </c>
      <c r="E1974" s="0" t="s">
        <v>3</v>
      </c>
      <c r="F1974" s="0" t="s">
        <v>12</v>
      </c>
      <c r="G1974" s="0" t="s">
        <v>8</v>
      </c>
      <c r="H1974" s="0">
        <v>1026</v>
      </c>
      <c r="I1974" s="0">
        <v>0</v>
      </c>
      <c r="J1974" s="0">
        <v>0</v>
      </c>
      <c r="K1974" s="0">
        <v>1</v>
      </c>
      <c r="L1974" s="0">
        <v>4</v>
      </c>
      <c r="M1974" s="0">
        <v>1</v>
      </c>
      <c r="N1974" s="0">
        <v>0</v>
      </c>
      <c r="O1974" s="0">
        <v>0</v>
      </c>
      <c r="P1974" s="0">
        <v>0</v>
      </c>
      <c r="R1974" s="0" t="b">
        <v>0</v>
      </c>
      <c r="S1974" s="0" t="b">
        <v>1</v>
      </c>
      <c r="T1974" s="68">
        <v>45027.6846296296</v>
      </c>
      <c r="U1974" s="68">
        <v>45041.3333333333</v>
      </c>
      <c r="V1974" s="68">
        <v>0</v>
      </c>
      <c r="W1974" s="0">
        <f>IF(IF(B1974="none",1,IF(B1974="Trialer",1,0))+IF(C1974="Customer",1,IF(C1974="Lost",1,0))=2,1,0)</f>
      </c>
      <c r="X1974" s="0" t="s">
        <v>136</v>
      </c>
      <c r="Y1974" s="0" t="s">
        <v>243</v>
      </c>
      <c r="AV1974" s="68"/>
      <c r="AW1974" s="68"/>
      <c r="AY1974" s="27"/>
      <c r="BD1974" s="68">
        <v>46054.1666666667</v>
      </c>
      <c r="BE1974" s="68">
        <v>46082.1666666667</v>
      </c>
      <c r="BF1974" s="0" t="b">
        <v>0</v>
      </c>
      <c r="BG1974" s="0" t="b">
        <v>0</v>
      </c>
      <c r="BH1974" s="0">
        <v>0</v>
      </c>
      <c r="BI1974" s="0">
        <v>0</v>
      </c>
      <c r="BJ1974" s="0" t="s">
        <v>135</v>
      </c>
    </row>
    <row r="1975">
      <c r="A1975" s="0" t="s">
        <v>2205</v>
      </c>
      <c r="B1975" s="0" t="s">
        <v>134</v>
      </c>
      <c r="C1975" s="0" t="s">
        <v>134</v>
      </c>
      <c r="D1975" s="0" t="s">
        <v>135</v>
      </c>
      <c r="E1975" s="0" t="s">
        <v>4</v>
      </c>
      <c r="F1975" s="0" t="s">
        <v>12</v>
      </c>
      <c r="G1975" s="0" t="s">
        <v>8</v>
      </c>
      <c r="H1975" s="0">
        <v>1026</v>
      </c>
      <c r="I1975" s="0">
        <v>0</v>
      </c>
      <c r="J1975" s="0">
        <v>0</v>
      </c>
      <c r="K1975" s="0">
        <v>1</v>
      </c>
      <c r="L1975" s="0">
        <v>3</v>
      </c>
      <c r="M1975" s="0">
        <v>1</v>
      </c>
      <c r="N1975" s="0">
        <v>0</v>
      </c>
      <c r="O1975" s="0">
        <v>0</v>
      </c>
      <c r="P1975" s="0">
        <v>0</v>
      </c>
      <c r="R1975" s="0" t="b">
        <v>0</v>
      </c>
      <c r="S1975" s="0" t="b">
        <v>1</v>
      </c>
      <c r="T1975" s="68">
        <v>45027.7411805556</v>
      </c>
      <c r="U1975" s="68">
        <v>45041.3333333333</v>
      </c>
      <c r="V1975" s="68">
        <v>0</v>
      </c>
      <c r="W1975" s="0">
        <f>IF(IF(B1975="none",1,IF(B1975="Trialer",1,0))+IF(C1975="Customer",1,IF(C1975="Lost",1,0))=2,1,0)</f>
      </c>
      <c r="X1975" s="0" t="s">
        <v>136</v>
      </c>
      <c r="Y1975" s="0" t="s">
        <v>1772</v>
      </c>
      <c r="AV1975" s="68"/>
      <c r="AW1975" s="68"/>
      <c r="AY1975" s="27"/>
      <c r="BD1975" s="68">
        <v>46054.1666666667</v>
      </c>
      <c r="BE1975" s="68">
        <v>46082.1666666667</v>
      </c>
      <c r="BF1975" s="0" t="b">
        <v>0</v>
      </c>
      <c r="BG1975" s="0" t="b">
        <v>0</v>
      </c>
      <c r="BH1975" s="0">
        <v>0</v>
      </c>
      <c r="BI1975" s="0">
        <v>0</v>
      </c>
      <c r="BJ1975" s="0" t="s">
        <v>135</v>
      </c>
    </row>
    <row r="1976">
      <c r="A1976" s="0" t="s">
        <v>2206</v>
      </c>
      <c r="B1976" s="0" t="s">
        <v>134</v>
      </c>
      <c r="C1976" s="0" t="s">
        <v>134</v>
      </c>
      <c r="D1976" s="0" t="s">
        <v>230</v>
      </c>
      <c r="E1976" s="0" t="s">
        <v>3</v>
      </c>
      <c r="F1976" s="0" t="s">
        <v>12</v>
      </c>
      <c r="G1976" s="0" t="s">
        <v>8</v>
      </c>
      <c r="H1976" s="0">
        <v>1023</v>
      </c>
      <c r="I1976" s="0">
        <v>50</v>
      </c>
      <c r="J1976" s="0">
        <v>0</v>
      </c>
      <c r="K1976" s="0">
        <v>1</v>
      </c>
      <c r="L1976" s="0">
        <v>1</v>
      </c>
      <c r="M1976" s="0">
        <v>2</v>
      </c>
      <c r="N1976" s="0">
        <v>0</v>
      </c>
      <c r="O1976" s="0">
        <v>0</v>
      </c>
      <c r="P1976" s="0">
        <v>-50</v>
      </c>
      <c r="R1976" s="0" t="b">
        <v>0</v>
      </c>
      <c r="S1976" s="0" t="b">
        <v>1</v>
      </c>
      <c r="T1976" s="68">
        <v>45030.5392361111</v>
      </c>
      <c r="U1976" s="68">
        <v>45044.3333333333</v>
      </c>
      <c r="V1976" s="68">
        <v>0</v>
      </c>
      <c r="W1976" s="0">
        <f>IF(IF(B1976="none",1,IF(B1976="Trialer",1,0))+IF(C1976="Customer",1,IF(C1976="Lost",1,0))=2,1,0)</f>
      </c>
      <c r="X1976" s="0" t="s">
        <v>166</v>
      </c>
      <c r="Y1976" s="0" t="s">
        <v>243</v>
      </c>
      <c r="AV1976" s="68"/>
      <c r="AW1976" s="68"/>
      <c r="AY1976" s="27"/>
      <c r="BD1976" s="68">
        <v>46054.1666666667</v>
      </c>
      <c r="BE1976" s="68">
        <v>46082.1666666667</v>
      </c>
      <c r="BF1976" s="0" t="b">
        <v>0</v>
      </c>
      <c r="BG1976" s="0" t="b">
        <v>0</v>
      </c>
      <c r="BH1976" s="0">
        <v>56</v>
      </c>
      <c r="BI1976" s="0">
        <v>56</v>
      </c>
      <c r="BJ1976" s="0" t="s">
        <v>230</v>
      </c>
    </row>
    <row r="1977">
      <c r="A1977" s="0" t="s">
        <v>2207</v>
      </c>
      <c r="B1977" s="0" t="s">
        <v>134</v>
      </c>
      <c r="C1977" s="0" t="s">
        <v>134</v>
      </c>
      <c r="D1977" s="0" t="s">
        <v>135</v>
      </c>
      <c r="E1977" s="0" t="s">
        <v>3</v>
      </c>
      <c r="F1977" s="0" t="s">
        <v>10</v>
      </c>
      <c r="G1977" s="0" t="s">
        <v>8</v>
      </c>
      <c r="H1977" s="0">
        <v>1021</v>
      </c>
      <c r="I1977" s="0">
        <v>56</v>
      </c>
      <c r="J1977" s="0">
        <v>0</v>
      </c>
      <c r="K1977" s="0">
        <v>1</v>
      </c>
      <c r="L1977" s="0">
        <v>1</v>
      </c>
      <c r="M1977" s="0">
        <v>2</v>
      </c>
      <c r="N1977" s="0">
        <v>0</v>
      </c>
      <c r="O1977" s="0">
        <v>0</v>
      </c>
      <c r="P1977" s="0">
        <v>0</v>
      </c>
      <c r="Q1977" s="0" t="s">
        <v>618</v>
      </c>
      <c r="R1977" s="0" t="b">
        <v>0</v>
      </c>
      <c r="S1977" s="0" t="b">
        <v>1</v>
      </c>
      <c r="T1977" s="68">
        <v>45032.2799189815</v>
      </c>
      <c r="U1977" s="68">
        <v>45045.3333333333</v>
      </c>
      <c r="V1977" s="68">
        <v>0</v>
      </c>
      <c r="W1977" s="0">
        <f>IF(IF(B1977="none",1,IF(B1977="Trialer",1,0))+IF(C1977="Customer",1,IF(C1977="Lost",1,0))=2,1,0)</f>
      </c>
      <c r="X1977" s="0" t="s">
        <v>148</v>
      </c>
      <c r="Y1977" s="0" t="s">
        <v>243</v>
      </c>
      <c r="AV1977" s="68"/>
      <c r="AW1977" s="68"/>
      <c r="AY1977" s="27"/>
      <c r="BD1977" s="68">
        <v>46054.1666666667</v>
      </c>
      <c r="BE1977" s="68">
        <v>46082.1666666667</v>
      </c>
      <c r="BF1977" s="0" t="b">
        <v>0</v>
      </c>
      <c r="BG1977" s="0" t="b">
        <v>0</v>
      </c>
      <c r="BH1977" s="0">
        <v>56</v>
      </c>
      <c r="BI1977" s="0">
        <v>56</v>
      </c>
      <c r="BJ1977" s="0" t="s">
        <v>135</v>
      </c>
    </row>
    <row r="1978">
      <c r="A1978" s="0" t="s">
        <v>2208</v>
      </c>
      <c r="B1978" s="0" t="s">
        <v>134</v>
      </c>
      <c r="C1978" s="0" t="s">
        <v>134</v>
      </c>
      <c r="D1978" s="0" t="s">
        <v>135</v>
      </c>
      <c r="E1978" s="0" t="s">
        <v>3</v>
      </c>
      <c r="F1978" s="0" t="s">
        <v>12</v>
      </c>
      <c r="G1978" s="0" t="s">
        <v>8</v>
      </c>
      <c r="H1978" s="0">
        <v>1020</v>
      </c>
      <c r="I1978" s="0">
        <v>270</v>
      </c>
      <c r="J1978" s="0">
        <v>0</v>
      </c>
      <c r="K1978" s="0">
        <v>1</v>
      </c>
      <c r="L1978" s="0">
        <v>3</v>
      </c>
      <c r="M1978" s="0">
        <v>6</v>
      </c>
      <c r="N1978" s="0">
        <v>0</v>
      </c>
      <c r="O1978" s="0">
        <v>0</v>
      </c>
      <c r="P1978" s="0">
        <v>0</v>
      </c>
      <c r="R1978" s="0" t="b">
        <v>0</v>
      </c>
      <c r="S1978" s="0" t="b">
        <v>1</v>
      </c>
      <c r="T1978" s="68">
        <v>45033.4185416667</v>
      </c>
      <c r="U1978" s="68">
        <v>45047.3333333333</v>
      </c>
      <c r="V1978" s="68">
        <v>0</v>
      </c>
      <c r="W1978" s="0">
        <f>IF(IF(B1978="none",1,IF(B1978="Trialer",1,0))+IF(C1978="Customer",1,IF(C1978="Lost",1,0))=2,1,0)</f>
      </c>
      <c r="X1978" s="0" t="s">
        <v>882</v>
      </c>
      <c r="Y1978" s="0" t="s">
        <v>243</v>
      </c>
      <c r="AV1978" s="68"/>
      <c r="AW1978" s="68"/>
      <c r="AY1978" s="27"/>
      <c r="BD1978" s="68">
        <v>46054.1666666667</v>
      </c>
      <c r="BE1978" s="68">
        <v>46082.1666666667</v>
      </c>
      <c r="BF1978" s="0" t="b">
        <v>0</v>
      </c>
      <c r="BG1978" s="0" t="b">
        <v>0</v>
      </c>
      <c r="BH1978" s="0">
        <v>249</v>
      </c>
      <c r="BI1978" s="0">
        <v>249</v>
      </c>
      <c r="BJ1978" s="0" t="s">
        <v>135</v>
      </c>
    </row>
    <row r="1979">
      <c r="A1979" s="0" t="s">
        <v>2209</v>
      </c>
      <c r="B1979" s="0" t="s">
        <v>134</v>
      </c>
      <c r="C1979" s="0" t="s">
        <v>134</v>
      </c>
      <c r="D1979" s="0" t="s">
        <v>135</v>
      </c>
      <c r="E1979" s="0" t="s">
        <v>2</v>
      </c>
      <c r="F1979" s="0" t="s">
        <v>12</v>
      </c>
      <c r="G1979" s="0" t="s">
        <v>8</v>
      </c>
      <c r="H1979" s="0">
        <v>1020</v>
      </c>
      <c r="I1979" s="0">
        <v>0</v>
      </c>
      <c r="J1979" s="0">
        <v>0</v>
      </c>
      <c r="K1979" s="0">
        <v>1</v>
      </c>
      <c r="L1979" s="0">
        <v>3</v>
      </c>
      <c r="M1979" s="0">
        <v>1</v>
      </c>
      <c r="N1979" s="0">
        <v>0</v>
      </c>
      <c r="O1979" s="0">
        <v>0</v>
      </c>
      <c r="P1979" s="0">
        <v>0</v>
      </c>
      <c r="R1979" s="0" t="b">
        <v>0</v>
      </c>
      <c r="S1979" s="0" t="b">
        <v>1</v>
      </c>
      <c r="T1979" s="68">
        <v>45033.4423611111</v>
      </c>
      <c r="U1979" s="68">
        <v>45061.3333333333</v>
      </c>
      <c r="V1979" s="68">
        <v>0</v>
      </c>
      <c r="W1979" s="0">
        <f>IF(IF(B1979="none",1,IF(B1979="Trialer",1,0))+IF(C1979="Customer",1,IF(C1979="Lost",1,0))=2,1,0)</f>
      </c>
      <c r="X1979" s="0" t="s">
        <v>148</v>
      </c>
      <c r="Y1979" s="0" t="s">
        <v>499</v>
      </c>
      <c r="AV1979" s="68"/>
      <c r="AW1979" s="68"/>
      <c r="AY1979" s="27"/>
      <c r="BD1979" s="68">
        <v>46054.1666666667</v>
      </c>
      <c r="BE1979" s="68">
        <v>46082.1666666667</v>
      </c>
      <c r="BF1979" s="0" t="b">
        <v>0</v>
      </c>
      <c r="BG1979" s="0" t="b">
        <v>0</v>
      </c>
      <c r="BH1979" s="0">
        <v>0</v>
      </c>
      <c r="BI1979" s="0">
        <v>0</v>
      </c>
      <c r="BJ1979" s="0" t="s">
        <v>135</v>
      </c>
    </row>
    <row r="1980">
      <c r="A1980" s="0" t="s">
        <v>2210</v>
      </c>
      <c r="B1980" s="0" t="s">
        <v>134</v>
      </c>
      <c r="C1980" s="0" t="s">
        <v>134</v>
      </c>
      <c r="D1980" s="0" t="s">
        <v>135</v>
      </c>
      <c r="E1980" s="0" t="s">
        <v>2</v>
      </c>
      <c r="F1980" s="0" t="s">
        <v>12</v>
      </c>
      <c r="G1980" s="0" t="s">
        <v>8</v>
      </c>
      <c r="H1980" s="0">
        <v>1018</v>
      </c>
      <c r="I1980" s="0">
        <v>77</v>
      </c>
      <c r="J1980" s="0">
        <v>0</v>
      </c>
      <c r="K1980" s="0">
        <v>1</v>
      </c>
      <c r="L1980" s="0">
        <v>3</v>
      </c>
      <c r="M1980" s="0">
        <v>2</v>
      </c>
      <c r="N1980" s="0">
        <v>0</v>
      </c>
      <c r="O1980" s="0">
        <v>0</v>
      </c>
      <c r="P1980" s="0">
        <v>0</v>
      </c>
      <c r="R1980" s="0" t="b">
        <v>0</v>
      </c>
      <c r="S1980" s="0" t="b">
        <v>1</v>
      </c>
      <c r="T1980" s="68">
        <v>45035.0750925926</v>
      </c>
      <c r="U1980" s="68">
        <v>45055.3333333333</v>
      </c>
      <c r="V1980" s="68">
        <v>0</v>
      </c>
      <c r="W1980" s="0">
        <f>IF(IF(B1980="none",1,IF(B1980="Trialer",1,0))+IF(C1980="Customer",1,IF(C1980="Lost",1,0))=2,1,0)</f>
      </c>
      <c r="X1980" s="0" t="s">
        <v>142</v>
      </c>
      <c r="Y1980" s="0" t="s">
        <v>499</v>
      </c>
      <c r="AV1980" s="68"/>
      <c r="AW1980" s="68"/>
      <c r="AY1980" s="27"/>
      <c r="BD1980" s="68">
        <v>46054.1666666667</v>
      </c>
      <c r="BE1980" s="68">
        <v>46082.1666666667</v>
      </c>
      <c r="BF1980" s="0" t="b">
        <v>0</v>
      </c>
      <c r="BG1980" s="0" t="b">
        <v>0</v>
      </c>
      <c r="BH1980" s="0">
        <v>89</v>
      </c>
      <c r="BI1980" s="0">
        <v>89</v>
      </c>
      <c r="BJ1980" s="0" t="s">
        <v>135</v>
      </c>
    </row>
    <row r="1981">
      <c r="A1981" s="0" t="s">
        <v>2211</v>
      </c>
      <c r="B1981" s="0" t="s">
        <v>134</v>
      </c>
      <c r="C1981" s="0" t="s">
        <v>134</v>
      </c>
      <c r="D1981" s="0" t="s">
        <v>135</v>
      </c>
      <c r="E1981" s="0" t="s">
        <v>3</v>
      </c>
      <c r="F1981" s="0" t="s">
        <v>12</v>
      </c>
      <c r="G1981" s="0" t="s">
        <v>8</v>
      </c>
      <c r="H1981" s="0">
        <v>1017</v>
      </c>
      <c r="I1981" s="0">
        <v>49</v>
      </c>
      <c r="J1981" s="0">
        <v>0</v>
      </c>
      <c r="K1981" s="0">
        <v>1</v>
      </c>
      <c r="L1981" s="0">
        <v>3</v>
      </c>
      <c r="M1981" s="0">
        <v>1</v>
      </c>
      <c r="N1981" s="0">
        <v>0</v>
      </c>
      <c r="O1981" s="0">
        <v>0</v>
      </c>
      <c r="P1981" s="0">
        <v>0</v>
      </c>
      <c r="R1981" s="0" t="b">
        <v>0</v>
      </c>
      <c r="S1981" s="0" t="b">
        <v>1</v>
      </c>
      <c r="T1981" s="68">
        <v>45036.3949884259</v>
      </c>
      <c r="U1981" s="68">
        <v>45050.3333333333</v>
      </c>
      <c r="V1981" s="68">
        <v>0</v>
      </c>
      <c r="W1981" s="0">
        <f>IF(IF(B1981="none",1,IF(B1981="Trialer",1,0))+IF(C1981="Customer",1,IF(C1981="Lost",1,0))=2,1,0)</f>
      </c>
      <c r="X1981" s="0" t="s">
        <v>142</v>
      </c>
      <c r="Y1981" s="0" t="s">
        <v>243</v>
      </c>
      <c r="AV1981" s="68"/>
      <c r="AW1981" s="68"/>
      <c r="AY1981" s="27"/>
      <c r="BD1981" s="68">
        <v>46054.1666666667</v>
      </c>
      <c r="BE1981" s="68">
        <v>46082.1666666667</v>
      </c>
      <c r="BF1981" s="0" t="b">
        <v>0</v>
      </c>
      <c r="BG1981" s="0" t="b">
        <v>0</v>
      </c>
      <c r="BH1981" s="0">
        <v>49</v>
      </c>
      <c r="BI1981" s="0">
        <v>49</v>
      </c>
      <c r="BJ1981" s="0" t="s">
        <v>135</v>
      </c>
    </row>
    <row r="1982">
      <c r="A1982" s="0" t="s">
        <v>2212</v>
      </c>
      <c r="B1982" s="0" t="s">
        <v>134</v>
      </c>
      <c r="C1982" s="0" t="s">
        <v>134</v>
      </c>
      <c r="D1982" s="0" t="s">
        <v>230</v>
      </c>
      <c r="E1982" s="0" t="s">
        <v>3</v>
      </c>
      <c r="F1982" s="0" t="s">
        <v>12</v>
      </c>
      <c r="G1982" s="0" t="s">
        <v>8</v>
      </c>
      <c r="H1982" s="0">
        <v>1017</v>
      </c>
      <c r="I1982" s="0">
        <v>384.3</v>
      </c>
      <c r="J1982" s="0">
        <v>0</v>
      </c>
      <c r="K1982" s="0">
        <v>1</v>
      </c>
      <c r="L1982" s="0">
        <v>3</v>
      </c>
      <c r="M1982" s="0">
        <v>10</v>
      </c>
      <c r="N1982" s="0">
        <v>0</v>
      </c>
      <c r="O1982" s="0">
        <v>0</v>
      </c>
      <c r="P1982" s="0">
        <v>-384.3</v>
      </c>
      <c r="R1982" s="0" t="b">
        <v>0</v>
      </c>
      <c r="S1982" s="0" t="b">
        <v>1</v>
      </c>
      <c r="T1982" s="68">
        <v>45036.5140740741</v>
      </c>
      <c r="U1982" s="68">
        <v>45050.3333333333</v>
      </c>
      <c r="V1982" s="68">
        <v>0</v>
      </c>
      <c r="W1982" s="0">
        <f>IF(IF(B1982="none",1,IF(B1982="Trialer",1,0))+IF(C1982="Customer",1,IF(C1982="Lost",1,0))=2,1,0)</f>
      </c>
      <c r="X1982" s="0" t="s">
        <v>882</v>
      </c>
      <c r="Y1982" s="0" t="s">
        <v>243</v>
      </c>
      <c r="AV1982" s="68"/>
      <c r="AW1982" s="68"/>
      <c r="AY1982" s="27"/>
      <c r="BD1982" s="68">
        <v>46054.1666666667</v>
      </c>
      <c r="BE1982" s="68">
        <v>46082.1666666667</v>
      </c>
      <c r="BF1982" s="0" t="b">
        <v>0</v>
      </c>
      <c r="BG1982" s="0" t="b">
        <v>0</v>
      </c>
      <c r="BH1982" s="0">
        <v>467</v>
      </c>
      <c r="BI1982" s="0">
        <v>467</v>
      </c>
      <c r="BJ1982" s="0" t="s">
        <v>230</v>
      </c>
    </row>
    <row r="1983">
      <c r="A1983" s="0" t="s">
        <v>2213</v>
      </c>
      <c r="B1983" s="0" t="s">
        <v>134</v>
      </c>
      <c r="C1983" s="0" t="s">
        <v>134</v>
      </c>
      <c r="D1983" s="0" t="s">
        <v>230</v>
      </c>
      <c r="E1983" s="0" t="s">
        <v>3</v>
      </c>
      <c r="F1983" s="0" t="s">
        <v>12</v>
      </c>
      <c r="G1983" s="0" t="s">
        <v>8</v>
      </c>
      <c r="H1983" s="0">
        <v>1016</v>
      </c>
      <c r="I1983" s="0">
        <v>180</v>
      </c>
      <c r="J1983" s="0">
        <v>0</v>
      </c>
      <c r="K1983" s="0">
        <v>1</v>
      </c>
      <c r="L1983" s="0">
        <v>2</v>
      </c>
      <c r="M1983" s="0">
        <v>5</v>
      </c>
      <c r="N1983" s="0">
        <v>0</v>
      </c>
      <c r="O1983" s="0">
        <v>0</v>
      </c>
      <c r="P1983" s="0">
        <v>1980</v>
      </c>
      <c r="R1983" s="0" t="b">
        <v>0</v>
      </c>
      <c r="S1983" s="0" t="b">
        <v>1</v>
      </c>
      <c r="T1983" s="68">
        <v>45037.5369791667</v>
      </c>
      <c r="U1983" s="68">
        <v>45051.3333333333</v>
      </c>
      <c r="V1983" s="68">
        <v>0</v>
      </c>
      <c r="W1983" s="0">
        <f>IF(IF(B1983="none",1,IF(B1983="Trialer",1,0))+IF(C1983="Customer",1,IF(C1983="Lost",1,0))=2,1,0)</f>
      </c>
      <c r="X1983" s="0" t="s">
        <v>136</v>
      </c>
      <c r="Y1983" s="0" t="s">
        <v>243</v>
      </c>
      <c r="AV1983" s="68"/>
      <c r="AW1983" s="68"/>
      <c r="AY1983" s="27"/>
      <c r="BD1983" s="68">
        <v>46054.1666666667</v>
      </c>
      <c r="BE1983" s="68">
        <v>46082.1666666667</v>
      </c>
      <c r="BF1983" s="0" t="b">
        <v>0</v>
      </c>
      <c r="BG1983" s="0" t="b">
        <v>0</v>
      </c>
      <c r="BH1983" s="0">
        <v>200</v>
      </c>
      <c r="BI1983" s="0">
        <v>200</v>
      </c>
      <c r="BJ1983" s="0" t="s">
        <v>230</v>
      </c>
    </row>
    <row r="1984">
      <c r="A1984" s="0" t="s">
        <v>2214</v>
      </c>
      <c r="B1984" s="0" t="s">
        <v>134</v>
      </c>
      <c r="C1984" s="0" t="s">
        <v>134</v>
      </c>
      <c r="D1984" s="0" t="s">
        <v>135</v>
      </c>
      <c r="E1984" s="0" t="s">
        <v>3</v>
      </c>
      <c r="F1984" s="0" t="s">
        <v>12</v>
      </c>
      <c r="G1984" s="0" t="s">
        <v>8</v>
      </c>
      <c r="H1984" s="0">
        <v>1013</v>
      </c>
      <c r="I1984" s="0">
        <v>0</v>
      </c>
      <c r="J1984" s="0">
        <v>0</v>
      </c>
      <c r="K1984" s="0">
        <v>1</v>
      </c>
      <c r="L1984" s="0">
        <v>5</v>
      </c>
      <c r="M1984" s="0">
        <v>1</v>
      </c>
      <c r="N1984" s="0">
        <v>0</v>
      </c>
      <c r="O1984" s="0">
        <v>0</v>
      </c>
      <c r="P1984" s="0">
        <v>0</v>
      </c>
      <c r="R1984" s="0" t="b">
        <v>0</v>
      </c>
      <c r="S1984" s="0" t="b">
        <v>1</v>
      </c>
      <c r="T1984" s="68">
        <v>45040.4202083333</v>
      </c>
      <c r="U1984" s="68">
        <v>45051.3333333333</v>
      </c>
      <c r="V1984" s="68">
        <v>0</v>
      </c>
      <c r="W1984" s="0">
        <f>IF(IF(B1984="none",1,IF(B1984="Trialer",1,0))+IF(C1984="Customer",1,IF(C1984="Lost",1,0))=2,1,0)</f>
      </c>
      <c r="X1984" s="0" t="s">
        <v>136</v>
      </c>
      <c r="Y1984" s="0" t="s">
        <v>243</v>
      </c>
      <c r="AV1984" s="68"/>
      <c r="AW1984" s="68"/>
      <c r="AY1984" s="27"/>
      <c r="BD1984" s="68">
        <v>46054.1666666667</v>
      </c>
      <c r="BE1984" s="68">
        <v>46082.1666666667</v>
      </c>
      <c r="BF1984" s="0" t="b">
        <v>0</v>
      </c>
      <c r="BG1984" s="0" t="b">
        <v>0</v>
      </c>
      <c r="BH1984" s="0">
        <v>0</v>
      </c>
      <c r="BI1984" s="0">
        <v>0</v>
      </c>
      <c r="BJ1984" s="0" t="s">
        <v>135</v>
      </c>
    </row>
    <row r="1985">
      <c r="A1985" s="0" t="s">
        <v>2215</v>
      </c>
      <c r="B1985" s="0" t="s">
        <v>134</v>
      </c>
      <c r="C1985" s="0" t="s">
        <v>134</v>
      </c>
      <c r="D1985" s="0" t="s">
        <v>135</v>
      </c>
      <c r="E1985" s="0" t="s">
        <v>2</v>
      </c>
      <c r="F1985" s="0" t="s">
        <v>12</v>
      </c>
      <c r="G1985" s="0" t="s">
        <v>8</v>
      </c>
      <c r="H1985" s="0">
        <v>1013</v>
      </c>
      <c r="I1985" s="0">
        <v>245</v>
      </c>
      <c r="J1985" s="0">
        <v>0</v>
      </c>
      <c r="K1985" s="0">
        <v>1</v>
      </c>
      <c r="L1985" s="0">
        <v>3</v>
      </c>
      <c r="M1985" s="0">
        <v>5</v>
      </c>
      <c r="N1985" s="0">
        <v>0</v>
      </c>
      <c r="O1985" s="0">
        <v>0</v>
      </c>
      <c r="P1985" s="0">
        <v>0</v>
      </c>
      <c r="R1985" s="0" t="b">
        <v>0</v>
      </c>
      <c r="S1985" s="0" t="b">
        <v>1</v>
      </c>
      <c r="T1985" s="68">
        <v>45040.4772337963</v>
      </c>
      <c r="U1985" s="68">
        <v>45071.3333333333</v>
      </c>
      <c r="V1985" s="68">
        <v>0</v>
      </c>
      <c r="W1985" s="0">
        <f>IF(IF(B1985="none",1,IF(B1985="Trialer",1,0))+IF(C1985="Customer",1,IF(C1985="Lost",1,0))=2,1,0)</f>
      </c>
      <c r="X1985" s="0" t="s">
        <v>882</v>
      </c>
      <c r="Y1985" s="0" t="s">
        <v>499</v>
      </c>
      <c r="AV1985" s="68"/>
      <c r="AW1985" s="68"/>
      <c r="AY1985" s="27"/>
      <c r="BD1985" s="68">
        <v>46054.1666666667</v>
      </c>
      <c r="BE1985" s="68">
        <v>46082.1666666667</v>
      </c>
      <c r="BF1985" s="0" t="b">
        <v>0</v>
      </c>
      <c r="BG1985" s="0" t="b">
        <v>0</v>
      </c>
      <c r="BH1985" s="0">
        <v>245</v>
      </c>
      <c r="BI1985" s="0">
        <v>245</v>
      </c>
      <c r="BJ1985" s="0" t="s">
        <v>135</v>
      </c>
    </row>
    <row r="1986">
      <c r="A1986" s="0" t="s">
        <v>2216</v>
      </c>
      <c r="B1986" s="0" t="s">
        <v>134</v>
      </c>
      <c r="C1986" s="0" t="s">
        <v>134</v>
      </c>
      <c r="D1986" s="0" t="s">
        <v>230</v>
      </c>
      <c r="E1986" s="0" t="s">
        <v>3</v>
      </c>
      <c r="F1986" s="0" t="s">
        <v>10</v>
      </c>
      <c r="G1986" s="0" t="s">
        <v>8</v>
      </c>
      <c r="H1986" s="0">
        <v>1013</v>
      </c>
      <c r="I1986" s="0">
        <v>182.43</v>
      </c>
      <c r="J1986" s="0">
        <v>0</v>
      </c>
      <c r="K1986" s="0">
        <v>1</v>
      </c>
      <c r="L1986" s="0">
        <v>4</v>
      </c>
      <c r="M1986" s="0">
        <v>4</v>
      </c>
      <c r="N1986" s="0">
        <v>413.25</v>
      </c>
      <c r="O1986" s="0">
        <v>0</v>
      </c>
      <c r="P1986" s="0">
        <v>-182.43</v>
      </c>
      <c r="Q1986" s="0" t="s">
        <v>2217</v>
      </c>
      <c r="R1986" s="0" t="b">
        <v>0</v>
      </c>
      <c r="S1986" s="0" t="b">
        <v>1</v>
      </c>
      <c r="T1986" s="68">
        <v>45040.5127662037</v>
      </c>
      <c r="U1986" s="68">
        <v>45054.3333333333</v>
      </c>
      <c r="V1986" s="68">
        <v>0</v>
      </c>
      <c r="W1986" s="0">
        <f>IF(IF(B1986="none",1,IF(B1986="Trialer",1,0))+IF(C1986="Customer",1,IF(C1986="Lost",1,0))=2,1,0)</f>
      </c>
      <c r="X1986" s="0" t="s">
        <v>136</v>
      </c>
      <c r="Y1986" s="0" t="s">
        <v>243</v>
      </c>
      <c r="AV1986" s="68"/>
      <c r="AW1986" s="68"/>
      <c r="AY1986" s="27"/>
      <c r="BD1986" s="68">
        <v>46054.1666666667</v>
      </c>
      <c r="BE1986" s="68">
        <v>46082.1666666667</v>
      </c>
      <c r="BF1986" s="0" t="b">
        <v>0</v>
      </c>
      <c r="BG1986" s="0" t="b">
        <v>0</v>
      </c>
      <c r="BH1986" s="0">
        <v>201.23</v>
      </c>
      <c r="BI1986" s="0">
        <v>201.05</v>
      </c>
      <c r="BJ1986" s="0" t="s">
        <v>230</v>
      </c>
    </row>
    <row r="1987">
      <c r="A1987" s="0" t="s">
        <v>2218</v>
      </c>
      <c r="B1987" s="0" t="s">
        <v>134</v>
      </c>
      <c r="C1987" s="0" t="s">
        <v>134</v>
      </c>
      <c r="D1987" s="0" t="s">
        <v>230</v>
      </c>
      <c r="E1987" s="0" t="s">
        <v>3</v>
      </c>
      <c r="F1987" s="0" t="s">
        <v>12</v>
      </c>
      <c r="G1987" s="0" t="s">
        <v>8</v>
      </c>
      <c r="H1987" s="0">
        <v>1013</v>
      </c>
      <c r="I1987" s="0">
        <v>36.75</v>
      </c>
      <c r="J1987" s="0">
        <v>0</v>
      </c>
      <c r="K1987" s="0">
        <v>1</v>
      </c>
      <c r="L1987" s="0">
        <v>3</v>
      </c>
      <c r="M1987" s="0">
        <v>1</v>
      </c>
      <c r="N1987" s="0">
        <v>0</v>
      </c>
      <c r="O1987" s="0">
        <v>0</v>
      </c>
      <c r="P1987" s="0">
        <v>-36.75</v>
      </c>
      <c r="R1987" s="0" t="b">
        <v>0</v>
      </c>
      <c r="S1987" s="0" t="b">
        <v>1</v>
      </c>
      <c r="T1987" s="68">
        <v>45040.544375</v>
      </c>
      <c r="U1987" s="68">
        <v>45054.3333333333</v>
      </c>
      <c r="V1987" s="68">
        <v>0</v>
      </c>
      <c r="W1987" s="0">
        <f>IF(IF(B1987="none",1,IF(B1987="Trialer",1,0))+IF(C1987="Customer",1,IF(C1987="Lost",1,0))=2,1,0)</f>
      </c>
      <c r="X1987" s="0" t="s">
        <v>153</v>
      </c>
      <c r="Y1987" s="0" t="s">
        <v>243</v>
      </c>
      <c r="AV1987" s="68"/>
      <c r="AW1987" s="68"/>
      <c r="AY1987" s="27"/>
      <c r="BD1987" s="68">
        <v>46054.1666666667</v>
      </c>
      <c r="BE1987" s="68">
        <v>46082.1666666667</v>
      </c>
      <c r="BF1987" s="0" t="b">
        <v>0</v>
      </c>
      <c r="BG1987" s="0" t="b">
        <v>0</v>
      </c>
      <c r="BH1987" s="0">
        <v>49</v>
      </c>
      <c r="BI1987" s="0">
        <v>49</v>
      </c>
      <c r="BJ1987" s="0" t="s">
        <v>230</v>
      </c>
    </row>
    <row r="1988">
      <c r="A1988" s="0" t="s">
        <v>2219</v>
      </c>
      <c r="B1988" s="0" t="s">
        <v>134</v>
      </c>
      <c r="C1988" s="0" t="s">
        <v>134</v>
      </c>
      <c r="D1988" s="0" t="s">
        <v>135</v>
      </c>
      <c r="E1988" s="0" t="s">
        <v>3</v>
      </c>
      <c r="F1988" s="0" t="s">
        <v>12</v>
      </c>
      <c r="G1988" s="0" t="s">
        <v>8</v>
      </c>
      <c r="H1988" s="0">
        <v>1013</v>
      </c>
      <c r="I1988" s="0">
        <v>49</v>
      </c>
      <c r="J1988" s="0">
        <v>0</v>
      </c>
      <c r="K1988" s="0">
        <v>1</v>
      </c>
      <c r="L1988" s="0">
        <v>3</v>
      </c>
      <c r="M1988" s="0">
        <v>1</v>
      </c>
      <c r="N1988" s="0">
        <v>0</v>
      </c>
      <c r="O1988" s="0">
        <v>0</v>
      </c>
      <c r="P1988" s="0">
        <v>0</v>
      </c>
      <c r="R1988" s="0" t="b">
        <v>0</v>
      </c>
      <c r="S1988" s="0" t="b">
        <v>1</v>
      </c>
      <c r="T1988" s="68">
        <v>45040.6792824074</v>
      </c>
      <c r="U1988" s="68">
        <v>45054.3333333333</v>
      </c>
      <c r="V1988" s="68">
        <v>0</v>
      </c>
      <c r="W1988" s="0">
        <f>IF(IF(B1988="none",1,IF(B1988="Trialer",1,0))+IF(C1988="Customer",1,IF(C1988="Lost",1,0))=2,1,0)</f>
      </c>
      <c r="X1988" s="0" t="s">
        <v>166</v>
      </c>
      <c r="Y1988" s="0" t="s">
        <v>1792</v>
      </c>
      <c r="AV1988" s="68"/>
      <c r="AW1988" s="68"/>
      <c r="AY1988" s="27"/>
      <c r="BD1988" s="68">
        <v>46054.1666666667</v>
      </c>
      <c r="BE1988" s="68">
        <v>46082.1666666667</v>
      </c>
      <c r="BF1988" s="0" t="b">
        <v>0</v>
      </c>
      <c r="BG1988" s="0" t="b">
        <v>0</v>
      </c>
      <c r="BH1988" s="0">
        <v>49</v>
      </c>
      <c r="BI1988" s="0">
        <v>49</v>
      </c>
      <c r="BJ1988" s="0" t="s">
        <v>135</v>
      </c>
    </row>
    <row r="1989">
      <c r="A1989" s="0" t="s">
        <v>2220</v>
      </c>
      <c r="B1989" s="0" t="s">
        <v>134</v>
      </c>
      <c r="C1989" s="0" t="s">
        <v>134</v>
      </c>
      <c r="D1989" s="0" t="s">
        <v>230</v>
      </c>
      <c r="E1989" s="0" t="s">
        <v>2</v>
      </c>
      <c r="F1989" s="0" t="s">
        <v>12</v>
      </c>
      <c r="G1989" s="0" t="s">
        <v>8</v>
      </c>
      <c r="H1989" s="0">
        <v>1013</v>
      </c>
      <c r="I1989" s="0">
        <v>88.2</v>
      </c>
      <c r="J1989" s="0">
        <v>0</v>
      </c>
      <c r="K1989" s="0">
        <v>1</v>
      </c>
      <c r="L1989" s="0">
        <v>3</v>
      </c>
      <c r="M1989" s="0">
        <v>2</v>
      </c>
      <c r="N1989" s="0">
        <v>0</v>
      </c>
      <c r="O1989" s="0">
        <v>0</v>
      </c>
      <c r="P1989" s="0">
        <v>970.2</v>
      </c>
      <c r="R1989" s="0" t="b">
        <v>0</v>
      </c>
      <c r="S1989" s="0" t="b">
        <v>1</v>
      </c>
      <c r="T1989" s="68">
        <v>45040.7301157407</v>
      </c>
      <c r="U1989" s="68">
        <v>45055.3333333333</v>
      </c>
      <c r="V1989" s="68">
        <v>0</v>
      </c>
      <c r="W1989" s="0">
        <f>IF(IF(B1989="none",1,IF(B1989="Trialer",1,0))+IF(C1989="Customer",1,IF(C1989="Lost",1,0))=2,1,0)</f>
      </c>
      <c r="X1989" s="0" t="s">
        <v>153</v>
      </c>
      <c r="Y1989" s="0" t="s">
        <v>499</v>
      </c>
      <c r="AV1989" s="68"/>
      <c r="AW1989" s="68"/>
      <c r="AY1989" s="27"/>
      <c r="BD1989" s="68">
        <v>46054.1666666667</v>
      </c>
      <c r="BE1989" s="68">
        <v>46082.1666666667</v>
      </c>
      <c r="BF1989" s="0" t="b">
        <v>0</v>
      </c>
      <c r="BG1989" s="0" t="b">
        <v>0</v>
      </c>
      <c r="BH1989" s="0">
        <v>98</v>
      </c>
      <c r="BI1989" s="0">
        <v>98</v>
      </c>
      <c r="BJ1989" s="0" t="s">
        <v>230</v>
      </c>
    </row>
    <row r="1990">
      <c r="A1990" s="0" t="s">
        <v>2221</v>
      </c>
      <c r="B1990" s="0" t="s">
        <v>134</v>
      </c>
      <c r="C1990" s="0" t="s">
        <v>134</v>
      </c>
      <c r="D1990" s="0" t="s">
        <v>135</v>
      </c>
      <c r="E1990" s="0" t="s">
        <v>3</v>
      </c>
      <c r="F1990" s="0" t="s">
        <v>10</v>
      </c>
      <c r="G1990" s="0" t="s">
        <v>8</v>
      </c>
      <c r="H1990" s="0">
        <v>1012</v>
      </c>
      <c r="I1990" s="0">
        <v>28</v>
      </c>
      <c r="J1990" s="0">
        <v>0</v>
      </c>
      <c r="K1990" s="0">
        <v>1</v>
      </c>
      <c r="L1990" s="0">
        <v>1</v>
      </c>
      <c r="M1990" s="0">
        <v>1</v>
      </c>
      <c r="N1990" s="0">
        <v>0</v>
      </c>
      <c r="O1990" s="0">
        <v>0</v>
      </c>
      <c r="P1990" s="0">
        <v>0</v>
      </c>
      <c r="Q1990" s="0" t="s">
        <v>618</v>
      </c>
      <c r="R1990" s="0" t="b">
        <v>0</v>
      </c>
      <c r="S1990" s="0" t="b">
        <v>1</v>
      </c>
      <c r="T1990" s="68">
        <v>45041.3942592593</v>
      </c>
      <c r="U1990" s="68">
        <v>45055.3333333333</v>
      </c>
      <c r="V1990" s="68">
        <v>0</v>
      </c>
      <c r="W1990" s="0">
        <f>IF(IF(B1990="none",1,IF(B1990="Trialer",1,0))+IF(C1990="Customer",1,IF(C1990="Lost",1,0))=2,1,0)</f>
      </c>
      <c r="X1990" s="0" t="s">
        <v>148</v>
      </c>
      <c r="Y1990" s="0" t="s">
        <v>243</v>
      </c>
      <c r="AV1990" s="68"/>
      <c r="AW1990" s="68"/>
      <c r="AY1990" s="27"/>
      <c r="BD1990" s="68">
        <v>46054.1666666667</v>
      </c>
      <c r="BE1990" s="68">
        <v>46082.1666666667</v>
      </c>
      <c r="BF1990" s="0" t="b">
        <v>0</v>
      </c>
      <c r="BG1990" s="0" t="b">
        <v>0</v>
      </c>
      <c r="BH1990" s="0">
        <v>28</v>
      </c>
      <c r="BI1990" s="0">
        <v>28</v>
      </c>
      <c r="BJ1990" s="0" t="s">
        <v>135</v>
      </c>
    </row>
    <row r="1991">
      <c r="A1991" s="0" t="s">
        <v>2222</v>
      </c>
      <c r="B1991" s="0" t="s">
        <v>134</v>
      </c>
      <c r="C1991" s="0" t="s">
        <v>134</v>
      </c>
      <c r="D1991" s="0" t="s">
        <v>135</v>
      </c>
      <c r="E1991" s="0" t="s">
        <v>3</v>
      </c>
      <c r="F1991" s="0" t="s">
        <v>12</v>
      </c>
      <c r="G1991" s="0" t="s">
        <v>8</v>
      </c>
      <c r="H1991" s="0">
        <v>1012</v>
      </c>
      <c r="I1991" s="0">
        <v>147</v>
      </c>
      <c r="J1991" s="0">
        <v>0</v>
      </c>
      <c r="K1991" s="0">
        <v>1</v>
      </c>
      <c r="L1991" s="0">
        <v>3</v>
      </c>
      <c r="M1991" s="0">
        <v>3</v>
      </c>
      <c r="N1991" s="0">
        <v>413.25</v>
      </c>
      <c r="O1991" s="0">
        <v>0</v>
      </c>
      <c r="P1991" s="0">
        <v>0</v>
      </c>
      <c r="R1991" s="0" t="b">
        <v>0</v>
      </c>
      <c r="S1991" s="0" t="b">
        <v>1</v>
      </c>
      <c r="T1991" s="68">
        <v>45041.5778240741</v>
      </c>
      <c r="U1991" s="68">
        <v>45055.3333333333</v>
      </c>
      <c r="V1991" s="68">
        <v>0</v>
      </c>
      <c r="W1991" s="0">
        <f>IF(IF(B1991="none",1,IF(B1991="Trialer",1,0))+IF(C1991="Customer",1,IF(C1991="Lost",1,0))=2,1,0)</f>
      </c>
      <c r="X1991" s="0" t="s">
        <v>136</v>
      </c>
      <c r="Y1991" s="0" t="s">
        <v>243</v>
      </c>
      <c r="AV1991" s="68"/>
      <c r="AW1991" s="68"/>
      <c r="AY1991" s="27"/>
      <c r="BD1991" s="68">
        <v>46054.1666666667</v>
      </c>
      <c r="BE1991" s="68">
        <v>46082.1666666667</v>
      </c>
      <c r="BF1991" s="0" t="b">
        <v>0</v>
      </c>
      <c r="BG1991" s="0" t="b">
        <v>0</v>
      </c>
      <c r="BH1991" s="0">
        <v>147</v>
      </c>
      <c r="BI1991" s="0">
        <v>147</v>
      </c>
      <c r="BJ1991" s="0" t="s">
        <v>135</v>
      </c>
    </row>
    <row r="1992">
      <c r="A1992" s="0" t="s">
        <v>2223</v>
      </c>
      <c r="B1992" s="0" t="s">
        <v>134</v>
      </c>
      <c r="C1992" s="0" t="s">
        <v>134</v>
      </c>
      <c r="D1992" s="0" t="s">
        <v>230</v>
      </c>
      <c r="E1992" s="0" t="s">
        <v>2</v>
      </c>
      <c r="F1992" s="0" t="s">
        <v>12</v>
      </c>
      <c r="G1992" s="0" t="s">
        <v>8</v>
      </c>
      <c r="H1992" s="0">
        <v>1012</v>
      </c>
      <c r="I1992" s="0">
        <v>25</v>
      </c>
      <c r="J1992" s="0">
        <v>0</v>
      </c>
      <c r="K1992" s="0">
        <v>1</v>
      </c>
      <c r="L1992" s="0">
        <v>1</v>
      </c>
      <c r="M1992" s="0">
        <v>1</v>
      </c>
      <c r="N1992" s="0">
        <v>0</v>
      </c>
      <c r="O1992" s="0">
        <v>0</v>
      </c>
      <c r="P1992" s="0">
        <v>-25</v>
      </c>
      <c r="R1992" s="0" t="b">
        <v>0</v>
      </c>
      <c r="S1992" s="0" t="b">
        <v>1</v>
      </c>
      <c r="T1992" s="68">
        <v>45041.6129398148</v>
      </c>
      <c r="U1992" s="68">
        <v>45065.3333333333</v>
      </c>
      <c r="V1992" s="68">
        <v>0</v>
      </c>
      <c r="W1992" s="0">
        <f>IF(IF(B1992="none",1,IF(B1992="Trialer",1,0))+IF(C1992="Customer",1,IF(C1992="Lost",1,0))=2,1,0)</f>
      </c>
      <c r="X1992" s="0" t="s">
        <v>166</v>
      </c>
      <c r="Y1992" s="0" t="s">
        <v>499</v>
      </c>
      <c r="AV1992" s="68"/>
      <c r="AW1992" s="68"/>
      <c r="AY1992" s="27"/>
      <c r="BD1992" s="68">
        <v>46054.1666666667</v>
      </c>
      <c r="BE1992" s="68">
        <v>46082.1666666667</v>
      </c>
      <c r="BF1992" s="0" t="b">
        <v>0</v>
      </c>
      <c r="BG1992" s="0" t="b">
        <v>0</v>
      </c>
      <c r="BH1992" s="0">
        <v>28</v>
      </c>
      <c r="BI1992" s="0">
        <v>28</v>
      </c>
      <c r="BJ1992" s="0" t="s">
        <v>230</v>
      </c>
    </row>
    <row r="1993">
      <c r="A1993" s="0" t="s">
        <v>2224</v>
      </c>
      <c r="B1993" s="0" t="s">
        <v>134</v>
      </c>
      <c r="C1993" s="0" t="s">
        <v>134</v>
      </c>
      <c r="D1993" s="0" t="s">
        <v>230</v>
      </c>
      <c r="E1993" s="0" t="s">
        <v>2</v>
      </c>
      <c r="F1993" s="0" t="s">
        <v>10</v>
      </c>
      <c r="G1993" s="0" t="s">
        <v>8</v>
      </c>
      <c r="H1993" s="0">
        <v>1011</v>
      </c>
      <c r="I1993" s="0">
        <v>512.2</v>
      </c>
      <c r="J1993" s="0">
        <v>0</v>
      </c>
      <c r="K1993" s="0">
        <v>1</v>
      </c>
      <c r="L1993" s="0">
        <v>3</v>
      </c>
      <c r="M1993" s="0">
        <v>4</v>
      </c>
      <c r="N1993" s="0">
        <v>0</v>
      </c>
      <c r="O1993" s="0">
        <v>0</v>
      </c>
      <c r="P1993" s="0">
        <v>-187.2</v>
      </c>
      <c r="Q1993" s="0" t="s">
        <v>357</v>
      </c>
      <c r="R1993" s="0" t="b">
        <v>0</v>
      </c>
      <c r="S1993" s="0" t="b">
        <v>1</v>
      </c>
      <c r="T1993" s="68">
        <v>45042.3631944444</v>
      </c>
      <c r="U1993" s="68">
        <v>45056.3333333333</v>
      </c>
      <c r="V1993" s="68">
        <v>0</v>
      </c>
      <c r="W1993" s="0">
        <f>IF(IF(B1993="none",1,IF(B1993="Trialer",1,0))+IF(C1993="Customer",1,IF(C1993="Lost",1,0))=2,1,0)</f>
      </c>
      <c r="X1993" s="0" t="s">
        <v>148</v>
      </c>
      <c r="Y1993" s="0" t="s">
        <v>499</v>
      </c>
      <c r="AV1993" s="68"/>
      <c r="AW1993" s="68"/>
      <c r="AY1993" s="27"/>
      <c r="BD1993" s="68">
        <v>46054.1666666667</v>
      </c>
      <c r="BE1993" s="68">
        <v>46082.1666666667</v>
      </c>
      <c r="BF1993" s="0" t="b">
        <v>0</v>
      </c>
      <c r="BG1993" s="0" t="b">
        <v>0</v>
      </c>
      <c r="BH1993" s="0">
        <v>208</v>
      </c>
      <c r="BI1993" s="0">
        <v>208</v>
      </c>
      <c r="BJ1993" s="0" t="s">
        <v>230</v>
      </c>
    </row>
    <row r="1994">
      <c r="A1994" s="0" t="s">
        <v>2225</v>
      </c>
      <c r="B1994" s="0" t="s">
        <v>134</v>
      </c>
      <c r="C1994" s="0" t="s">
        <v>134</v>
      </c>
      <c r="D1994" s="0" t="s">
        <v>230</v>
      </c>
      <c r="E1994" s="0" t="s">
        <v>3</v>
      </c>
      <c r="F1994" s="0" t="s">
        <v>12</v>
      </c>
      <c r="G1994" s="0" t="s">
        <v>8</v>
      </c>
      <c r="H1994" s="0">
        <v>1011</v>
      </c>
      <c r="I1994" s="0">
        <v>193</v>
      </c>
      <c r="J1994" s="0">
        <v>0</v>
      </c>
      <c r="K1994" s="0">
        <v>1</v>
      </c>
      <c r="L1994" s="0">
        <v>3</v>
      </c>
      <c r="M1994" s="0">
        <v>6</v>
      </c>
      <c r="N1994" s="0">
        <v>0</v>
      </c>
      <c r="O1994" s="0">
        <v>0</v>
      </c>
      <c r="P1994" s="0">
        <v>-193</v>
      </c>
      <c r="R1994" s="0" t="b">
        <v>0</v>
      </c>
      <c r="S1994" s="0" t="b">
        <v>1</v>
      </c>
      <c r="T1994" s="68">
        <v>45042.6730092593</v>
      </c>
      <c r="U1994" s="68">
        <v>45056.3333333333</v>
      </c>
      <c r="V1994" s="68">
        <v>0</v>
      </c>
      <c r="W1994" s="0">
        <f>IF(IF(B1994="none",1,IF(B1994="Trialer",1,0))+IF(C1994="Customer",1,IF(C1994="Lost",1,0))=2,1,0)</f>
      </c>
      <c r="X1994" s="0" t="s">
        <v>136</v>
      </c>
      <c r="Y1994" s="0" t="s">
        <v>243</v>
      </c>
      <c r="AV1994" s="68"/>
      <c r="AW1994" s="68"/>
      <c r="AY1994" s="27"/>
      <c r="BD1994" s="68">
        <v>46054.1666666667</v>
      </c>
      <c r="BE1994" s="68">
        <v>46082.1666666667</v>
      </c>
      <c r="BF1994" s="0" t="b">
        <v>0</v>
      </c>
      <c r="BG1994" s="0" t="b">
        <v>0</v>
      </c>
      <c r="BH1994" s="0">
        <v>216</v>
      </c>
      <c r="BI1994" s="0">
        <v>216</v>
      </c>
      <c r="BJ1994" s="0" t="s">
        <v>230</v>
      </c>
    </row>
    <row r="1995">
      <c r="A1995" s="0" t="s">
        <v>2226</v>
      </c>
      <c r="B1995" s="0" t="s">
        <v>134</v>
      </c>
      <c r="C1995" s="0" t="s">
        <v>134</v>
      </c>
      <c r="D1995" s="0" t="s">
        <v>230</v>
      </c>
      <c r="E1995" s="0" t="s">
        <v>2</v>
      </c>
      <c r="F1995" s="0" t="s">
        <v>12</v>
      </c>
      <c r="G1995" s="0" t="s">
        <v>8</v>
      </c>
      <c r="H1995" s="0">
        <v>1010</v>
      </c>
      <c r="I1995" s="0">
        <v>771.4</v>
      </c>
      <c r="J1995" s="0">
        <v>0</v>
      </c>
      <c r="K1995" s="0">
        <v>1</v>
      </c>
      <c r="L1995" s="0">
        <v>5</v>
      </c>
      <c r="M1995" s="0">
        <v>10</v>
      </c>
      <c r="N1995" s="0">
        <v>418.5</v>
      </c>
      <c r="O1995" s="0">
        <v>0</v>
      </c>
      <c r="P1995" s="0">
        <v>-446.4</v>
      </c>
      <c r="R1995" s="0" t="b">
        <v>0</v>
      </c>
      <c r="S1995" s="0" t="b">
        <v>1</v>
      </c>
      <c r="T1995" s="68">
        <v>45043.3838194444</v>
      </c>
      <c r="U1995" s="68">
        <v>45058.3333333333</v>
      </c>
      <c r="V1995" s="68">
        <v>0</v>
      </c>
      <c r="W1995" s="0">
        <f>IF(IF(B1995="none",1,IF(B1995="Trialer",1,0))+IF(C1995="Customer",1,IF(C1995="Lost",1,0))=2,1,0)</f>
      </c>
      <c r="X1995" s="0" t="s">
        <v>882</v>
      </c>
      <c r="Y1995" s="0" t="s">
        <v>499</v>
      </c>
      <c r="AV1995" s="68"/>
      <c r="AW1995" s="68"/>
      <c r="AY1995" s="27"/>
      <c r="BD1995" s="68">
        <v>46054.1666666667</v>
      </c>
      <c r="BE1995" s="68">
        <v>46082.1666666667</v>
      </c>
      <c r="BF1995" s="0" t="b">
        <v>0</v>
      </c>
      <c r="BG1995" s="0" t="b">
        <v>0</v>
      </c>
      <c r="BH1995" s="0">
        <v>496</v>
      </c>
      <c r="BI1995" s="0">
        <v>496</v>
      </c>
      <c r="BJ1995" s="0" t="s">
        <v>230</v>
      </c>
    </row>
    <row r="1996">
      <c r="A1996" s="0" t="s">
        <v>2227</v>
      </c>
      <c r="B1996" s="0" t="s">
        <v>134</v>
      </c>
      <c r="C1996" s="0" t="s">
        <v>134</v>
      </c>
      <c r="D1996" s="0" t="s">
        <v>135</v>
      </c>
      <c r="E1996" s="0" t="s">
        <v>3</v>
      </c>
      <c r="F1996" s="0" t="s">
        <v>12</v>
      </c>
      <c r="G1996" s="0" t="s">
        <v>8</v>
      </c>
      <c r="H1996" s="0">
        <v>1010</v>
      </c>
      <c r="I1996" s="0">
        <v>687</v>
      </c>
      <c r="J1996" s="0">
        <v>0</v>
      </c>
      <c r="K1996" s="0">
        <v>1</v>
      </c>
      <c r="L1996" s="0">
        <v>4</v>
      </c>
      <c r="M1996" s="0">
        <v>8</v>
      </c>
      <c r="N1996" s="0">
        <v>0</v>
      </c>
      <c r="O1996" s="0">
        <v>0</v>
      </c>
      <c r="P1996" s="0">
        <v>0</v>
      </c>
      <c r="R1996" s="0" t="b">
        <v>0</v>
      </c>
      <c r="S1996" s="0" t="b">
        <v>1</v>
      </c>
      <c r="T1996" s="68">
        <v>45043.4139351852</v>
      </c>
      <c r="U1996" s="68">
        <v>45057.3333333333</v>
      </c>
      <c r="V1996" s="68">
        <v>0</v>
      </c>
      <c r="W1996" s="0">
        <f>IF(IF(B1996="none",1,IF(B1996="Trialer",1,0))+IF(C1996="Customer",1,IF(C1996="Lost",1,0))=2,1,0)</f>
      </c>
      <c r="X1996" s="0" t="s">
        <v>136</v>
      </c>
      <c r="Y1996" s="0" t="s">
        <v>243</v>
      </c>
      <c r="AV1996" s="68"/>
      <c r="AW1996" s="68"/>
      <c r="AY1996" s="27"/>
      <c r="BD1996" s="68">
        <v>46054.1666666667</v>
      </c>
      <c r="BE1996" s="68">
        <v>46082.1666666667</v>
      </c>
      <c r="BF1996" s="0" t="b">
        <v>0</v>
      </c>
      <c r="BG1996" s="0" t="b">
        <v>0</v>
      </c>
      <c r="BH1996" s="0">
        <v>325</v>
      </c>
      <c r="BI1996" s="0">
        <v>325</v>
      </c>
      <c r="BJ1996" s="0" t="s">
        <v>135</v>
      </c>
    </row>
    <row r="1997">
      <c r="A1997" s="0" t="s">
        <v>2228</v>
      </c>
      <c r="B1997" s="0" t="s">
        <v>134</v>
      </c>
      <c r="C1997" s="0" t="s">
        <v>134</v>
      </c>
      <c r="D1997" s="0" t="s">
        <v>135</v>
      </c>
      <c r="E1997" s="0" t="s">
        <v>3</v>
      </c>
      <c r="F1997" s="0" t="s">
        <v>12</v>
      </c>
      <c r="G1997" s="0" t="s">
        <v>8</v>
      </c>
      <c r="H1997" s="0">
        <v>1010</v>
      </c>
      <c r="I1997" s="0">
        <v>134</v>
      </c>
      <c r="J1997" s="0">
        <v>0</v>
      </c>
      <c r="K1997" s="0">
        <v>1</v>
      </c>
      <c r="L1997" s="0">
        <v>3</v>
      </c>
      <c r="M1997" s="0">
        <v>4</v>
      </c>
      <c r="N1997" s="0">
        <v>0</v>
      </c>
      <c r="O1997" s="0">
        <v>0</v>
      </c>
      <c r="P1997" s="0">
        <v>0</v>
      </c>
      <c r="R1997" s="0" t="b">
        <v>0</v>
      </c>
      <c r="S1997" s="0" t="b">
        <v>1</v>
      </c>
      <c r="T1997" s="68">
        <v>45043.4853240741</v>
      </c>
      <c r="U1997" s="68">
        <v>45057.3333333333</v>
      </c>
      <c r="V1997" s="68">
        <v>0</v>
      </c>
      <c r="W1997" s="0">
        <f>IF(IF(B1997="none",1,IF(B1997="Trialer",1,0))+IF(C1997="Customer",1,IF(C1997="Lost",1,0))=2,1,0)</f>
      </c>
      <c r="X1997" s="0" t="s">
        <v>148</v>
      </c>
      <c r="Y1997" s="0" t="s">
        <v>1792</v>
      </c>
      <c r="AV1997" s="68"/>
      <c r="AW1997" s="68"/>
      <c r="AY1997" s="27"/>
      <c r="BD1997" s="68">
        <v>46054.1666666667</v>
      </c>
      <c r="BE1997" s="68">
        <v>46082.1666666667</v>
      </c>
      <c r="BF1997" s="0" t="b">
        <v>0</v>
      </c>
      <c r="BG1997" s="0" t="b">
        <v>0</v>
      </c>
      <c r="BH1997" s="0">
        <v>134</v>
      </c>
      <c r="BI1997" s="0">
        <v>134</v>
      </c>
      <c r="BJ1997" s="0" t="s">
        <v>135</v>
      </c>
    </row>
    <row r="1998">
      <c r="A1998" s="0" t="s">
        <v>2229</v>
      </c>
      <c r="B1998" s="0" t="s">
        <v>134</v>
      </c>
      <c r="C1998" s="0" t="s">
        <v>134</v>
      </c>
      <c r="D1998" s="0" t="s">
        <v>135</v>
      </c>
      <c r="E1998" s="0" t="s">
        <v>3</v>
      </c>
      <c r="F1998" s="0" t="s">
        <v>12</v>
      </c>
      <c r="G1998" s="0" t="s">
        <v>8</v>
      </c>
      <c r="H1998" s="0">
        <v>1010</v>
      </c>
      <c r="I1998" s="0">
        <v>49</v>
      </c>
      <c r="J1998" s="0">
        <v>0</v>
      </c>
      <c r="K1998" s="0">
        <v>1</v>
      </c>
      <c r="L1998" s="0">
        <v>3</v>
      </c>
      <c r="M1998" s="0">
        <v>1</v>
      </c>
      <c r="N1998" s="0">
        <v>0</v>
      </c>
      <c r="O1998" s="0">
        <v>0</v>
      </c>
      <c r="P1998" s="0">
        <v>0</v>
      </c>
      <c r="R1998" s="0" t="b">
        <v>0</v>
      </c>
      <c r="S1998" s="0" t="b">
        <v>1</v>
      </c>
      <c r="T1998" s="68">
        <v>45043.5686458333</v>
      </c>
      <c r="U1998" s="68">
        <v>45057.3333333333</v>
      </c>
      <c r="V1998" s="68">
        <v>0</v>
      </c>
      <c r="W1998" s="0">
        <f>IF(IF(B1998="none",1,IF(B1998="Trialer",1,0))+IF(C1998="Customer",1,IF(C1998="Lost",1,0))=2,1,0)</f>
      </c>
      <c r="X1998" s="0" t="s">
        <v>142</v>
      </c>
      <c r="Y1998" s="0" t="s">
        <v>243</v>
      </c>
      <c r="AV1998" s="68"/>
      <c r="AW1998" s="68"/>
      <c r="AY1998" s="27"/>
      <c r="BD1998" s="68">
        <v>46054.1666666667</v>
      </c>
      <c r="BE1998" s="68">
        <v>46082.1666666667</v>
      </c>
      <c r="BF1998" s="0" t="b">
        <v>0</v>
      </c>
      <c r="BG1998" s="0" t="b">
        <v>0</v>
      </c>
      <c r="BH1998" s="0">
        <v>49</v>
      </c>
      <c r="BI1998" s="0">
        <v>49</v>
      </c>
      <c r="BJ1998" s="0" t="s">
        <v>135</v>
      </c>
    </row>
    <row r="1999">
      <c r="A1999" s="0" t="s">
        <v>2230</v>
      </c>
      <c r="B1999" s="0" t="s">
        <v>134</v>
      </c>
      <c r="C1999" s="0" t="s">
        <v>134</v>
      </c>
      <c r="D1999" s="0" t="s">
        <v>230</v>
      </c>
      <c r="E1999" s="0" t="s">
        <v>3</v>
      </c>
      <c r="F1999" s="0" t="s">
        <v>12</v>
      </c>
      <c r="G1999" s="0" t="s">
        <v>8</v>
      </c>
      <c r="H1999" s="0">
        <v>1010</v>
      </c>
      <c r="I1999" s="0">
        <v>266.4</v>
      </c>
      <c r="J1999" s="0">
        <v>0</v>
      </c>
      <c r="K1999" s="0">
        <v>1</v>
      </c>
      <c r="L1999" s="0">
        <v>3</v>
      </c>
      <c r="M1999" s="0">
        <v>8</v>
      </c>
      <c r="N1999" s="0">
        <v>0</v>
      </c>
      <c r="O1999" s="0">
        <v>0</v>
      </c>
      <c r="P1999" s="0">
        <v>2930.4</v>
      </c>
      <c r="R1999" s="0" t="b">
        <v>0</v>
      </c>
      <c r="S1999" s="0" t="b">
        <v>1</v>
      </c>
      <c r="T1999" s="68">
        <v>45043.6026851852</v>
      </c>
      <c r="U1999" s="68">
        <v>45057.3333333333</v>
      </c>
      <c r="V1999" s="68">
        <v>0</v>
      </c>
      <c r="W1999" s="0">
        <f>IF(IF(B1999="none",1,IF(B1999="Trialer",1,0))+IF(C1999="Customer",1,IF(C1999="Lost",1,0))=2,1,0)</f>
      </c>
      <c r="X1999" s="0" t="s">
        <v>145</v>
      </c>
      <c r="Y1999" s="0" t="s">
        <v>243</v>
      </c>
      <c r="AV1999" s="68"/>
      <c r="AW1999" s="68"/>
      <c r="AY1999" s="27"/>
      <c r="BD1999" s="68">
        <v>46054.1666666667</v>
      </c>
      <c r="BE1999" s="68">
        <v>46082.1666666667</v>
      </c>
      <c r="BF1999" s="0" t="b">
        <v>0</v>
      </c>
      <c r="BG1999" s="0" t="b">
        <v>0</v>
      </c>
      <c r="BH1999" s="0">
        <v>336</v>
      </c>
      <c r="BI1999" s="0">
        <v>336</v>
      </c>
      <c r="BJ1999" s="0" t="s">
        <v>230</v>
      </c>
    </row>
    <row r="2000">
      <c r="A2000" s="0" t="s">
        <v>2231</v>
      </c>
      <c r="B2000" s="0" t="s">
        <v>134</v>
      </c>
      <c r="C2000" s="0" t="s">
        <v>134</v>
      </c>
      <c r="D2000" s="0" t="s">
        <v>230</v>
      </c>
      <c r="E2000" s="0" t="s">
        <v>3</v>
      </c>
      <c r="F2000" s="0" t="s">
        <v>12</v>
      </c>
      <c r="G2000" s="0" t="s">
        <v>8</v>
      </c>
      <c r="H2000" s="0">
        <v>1009</v>
      </c>
      <c r="I2000" s="0">
        <v>77</v>
      </c>
      <c r="J2000" s="0">
        <v>0</v>
      </c>
      <c r="K2000" s="0">
        <v>1</v>
      </c>
      <c r="L2000" s="0">
        <v>3</v>
      </c>
      <c r="M2000" s="0">
        <v>2</v>
      </c>
      <c r="N2000" s="0">
        <v>0</v>
      </c>
      <c r="O2000" s="0">
        <v>0</v>
      </c>
      <c r="P2000" s="0">
        <v>-77</v>
      </c>
      <c r="R2000" s="0" t="b">
        <v>0</v>
      </c>
      <c r="S2000" s="0" t="b">
        <v>1</v>
      </c>
      <c r="T2000" s="68">
        <v>45044.7524768518</v>
      </c>
      <c r="U2000" s="68">
        <v>45058.3333333333</v>
      </c>
      <c r="V2000" s="68">
        <v>0</v>
      </c>
      <c r="W2000" s="0">
        <f>IF(IF(B2000="none",1,IF(B2000="Trialer",1,0))+IF(C2000="Customer",1,IF(C2000="Lost",1,0))=2,1,0)</f>
      </c>
      <c r="X2000" s="0" t="s">
        <v>882</v>
      </c>
      <c r="Y2000" s="0" t="s">
        <v>243</v>
      </c>
      <c r="AV2000" s="68"/>
      <c r="AW2000" s="68"/>
      <c r="AY2000" s="27"/>
      <c r="BD2000" s="68">
        <v>46054.1666666667</v>
      </c>
      <c r="BE2000" s="68">
        <v>46082.1666666667</v>
      </c>
      <c r="BF2000" s="0" t="b">
        <v>0</v>
      </c>
      <c r="BG2000" s="0" t="b">
        <v>0</v>
      </c>
      <c r="BH2000" s="0">
        <v>86</v>
      </c>
      <c r="BI2000" s="0">
        <v>86</v>
      </c>
      <c r="BJ2000" s="0" t="s">
        <v>230</v>
      </c>
    </row>
    <row r="2001">
      <c r="A2001" s="0" t="s">
        <v>2232</v>
      </c>
      <c r="B2001" s="0" t="s">
        <v>134</v>
      </c>
      <c r="C2001" s="0" t="s">
        <v>134</v>
      </c>
      <c r="D2001" s="0" t="s">
        <v>135</v>
      </c>
      <c r="E2001" s="0" t="s">
        <v>2</v>
      </c>
      <c r="F2001" s="0" t="s">
        <v>12</v>
      </c>
      <c r="G2001" s="0" t="s">
        <v>8</v>
      </c>
      <c r="H2001" s="0">
        <v>1006</v>
      </c>
      <c r="I2001" s="0">
        <v>405</v>
      </c>
      <c r="J2001" s="0">
        <v>0</v>
      </c>
      <c r="K2001" s="0">
        <v>1</v>
      </c>
      <c r="L2001" s="0">
        <v>2</v>
      </c>
      <c r="M2001" s="0">
        <v>2</v>
      </c>
      <c r="N2001" s="0">
        <v>0</v>
      </c>
      <c r="O2001" s="0">
        <v>0</v>
      </c>
      <c r="P2001" s="0">
        <v>0</v>
      </c>
      <c r="R2001" s="0" t="b">
        <v>0</v>
      </c>
      <c r="S2001" s="0" t="b">
        <v>1</v>
      </c>
      <c r="T2001" s="68">
        <v>45047.6479166667</v>
      </c>
      <c r="U2001" s="68">
        <v>45062.3333333333</v>
      </c>
      <c r="V2001" s="68">
        <v>0</v>
      </c>
      <c r="W2001" s="0">
        <f>IF(IF(B2001="none",1,IF(B2001="Trialer",1,0))+IF(C2001="Customer",1,IF(C2001="Lost",1,0))=2,1,0)</f>
      </c>
      <c r="X2001" s="0" t="s">
        <v>136</v>
      </c>
      <c r="Y2001" s="0" t="s">
        <v>499</v>
      </c>
      <c r="AV2001" s="68"/>
      <c r="AW2001" s="68"/>
      <c r="AY2001" s="27"/>
      <c r="BD2001" s="68">
        <v>46054.1666666667</v>
      </c>
      <c r="BE2001" s="68">
        <v>46082.1666666667</v>
      </c>
      <c r="BF2001" s="0" t="b">
        <v>0</v>
      </c>
      <c r="BG2001" s="0" t="b">
        <v>0</v>
      </c>
      <c r="BH2001" s="0">
        <v>80</v>
      </c>
      <c r="BI2001" s="0">
        <v>80</v>
      </c>
      <c r="BJ2001" s="0" t="s">
        <v>135</v>
      </c>
    </row>
    <row r="2002">
      <c r="A2002" s="0" t="s">
        <v>2233</v>
      </c>
      <c r="B2002" s="0" t="s">
        <v>134</v>
      </c>
      <c r="C2002" s="0" t="s">
        <v>134</v>
      </c>
      <c r="D2002" s="0" t="s">
        <v>135</v>
      </c>
      <c r="E2002" s="0" t="s">
        <v>3</v>
      </c>
      <c r="F2002" s="0" t="s">
        <v>12</v>
      </c>
      <c r="G2002" s="0" t="s">
        <v>8</v>
      </c>
      <c r="H2002" s="0">
        <v>1006</v>
      </c>
      <c r="I2002" s="0">
        <v>0</v>
      </c>
      <c r="J2002" s="0">
        <v>0</v>
      </c>
      <c r="K2002" s="0">
        <v>1</v>
      </c>
      <c r="L2002" s="0">
        <v>6</v>
      </c>
      <c r="M2002" s="0">
        <v>1</v>
      </c>
      <c r="N2002" s="0">
        <v>0</v>
      </c>
      <c r="O2002" s="0">
        <v>0</v>
      </c>
      <c r="P2002" s="0">
        <v>0</v>
      </c>
      <c r="R2002" s="0" t="b">
        <v>0</v>
      </c>
      <c r="S2002" s="0" t="b">
        <v>1</v>
      </c>
      <c r="T2002" s="68">
        <v>45047.7651388889</v>
      </c>
      <c r="U2002" s="68">
        <v>45061.3333333333</v>
      </c>
      <c r="V2002" s="68">
        <v>0</v>
      </c>
      <c r="W2002" s="0">
        <f>IF(IF(B2002="none",1,IF(B2002="Trialer",1,0))+IF(C2002="Customer",1,IF(C2002="Lost",1,0))=2,1,0)</f>
      </c>
      <c r="X2002" s="0" t="s">
        <v>148</v>
      </c>
      <c r="Y2002" s="0" t="s">
        <v>243</v>
      </c>
      <c r="AV2002" s="68"/>
      <c r="AW2002" s="68"/>
      <c r="AY2002" s="27"/>
      <c r="BD2002" s="68">
        <v>46054.1666666667</v>
      </c>
      <c r="BE2002" s="68">
        <v>46082.1666666667</v>
      </c>
      <c r="BF2002" s="0" t="b">
        <v>0</v>
      </c>
      <c r="BG2002" s="0" t="b">
        <v>0</v>
      </c>
      <c r="BH2002" s="0">
        <v>0</v>
      </c>
      <c r="BI2002" s="0">
        <v>0</v>
      </c>
      <c r="BJ2002" s="0" t="s">
        <v>135</v>
      </c>
    </row>
    <row r="2003">
      <c r="A2003" s="0" t="s">
        <v>2234</v>
      </c>
      <c r="B2003" s="0" t="s">
        <v>134</v>
      </c>
      <c r="C2003" s="0" t="s">
        <v>134</v>
      </c>
      <c r="D2003" s="0" t="s">
        <v>135</v>
      </c>
      <c r="E2003" s="0" t="s">
        <v>3</v>
      </c>
      <c r="F2003" s="0" t="s">
        <v>12</v>
      </c>
      <c r="G2003" s="0" t="s">
        <v>8</v>
      </c>
      <c r="H2003" s="0">
        <v>1005</v>
      </c>
      <c r="I2003" s="0">
        <v>432</v>
      </c>
      <c r="J2003" s="0">
        <v>0</v>
      </c>
      <c r="K2003" s="0">
        <v>1</v>
      </c>
      <c r="L2003" s="0">
        <v>3</v>
      </c>
      <c r="M2003" s="0">
        <v>9</v>
      </c>
      <c r="N2003" s="0">
        <v>0</v>
      </c>
      <c r="O2003" s="0">
        <v>0</v>
      </c>
      <c r="P2003" s="0">
        <v>0</v>
      </c>
      <c r="R2003" s="0" t="b">
        <v>0</v>
      </c>
      <c r="S2003" s="0" t="b">
        <v>1</v>
      </c>
      <c r="T2003" s="68">
        <v>45048.4719328704</v>
      </c>
      <c r="U2003" s="68">
        <v>45114.3333333333</v>
      </c>
      <c r="V2003" s="68">
        <v>0</v>
      </c>
      <c r="W2003" s="0">
        <f>IF(IF(B2003="none",1,IF(B2003="Trialer",1,0))+IF(C2003="Customer",1,IF(C2003="Lost",1,0))=2,1,0)</f>
      </c>
      <c r="X2003" s="0" t="s">
        <v>136</v>
      </c>
      <c r="Y2003" s="0" t="s">
        <v>243</v>
      </c>
      <c r="AV2003" s="68"/>
      <c r="AW2003" s="68"/>
      <c r="AY2003" s="27"/>
      <c r="BD2003" s="68">
        <v>46054.1666666667</v>
      </c>
      <c r="BE2003" s="68">
        <v>46082.1666666667</v>
      </c>
      <c r="BF2003" s="0" t="b">
        <v>0</v>
      </c>
      <c r="BG2003" s="0" t="b">
        <v>0</v>
      </c>
      <c r="BH2003" s="0">
        <v>432</v>
      </c>
      <c r="BI2003" s="0">
        <v>432</v>
      </c>
      <c r="BJ2003" s="0" t="s">
        <v>135</v>
      </c>
    </row>
    <row r="2004">
      <c r="A2004" s="0" t="s">
        <v>2235</v>
      </c>
      <c r="B2004" s="0" t="s">
        <v>134</v>
      </c>
      <c r="C2004" s="0" t="s">
        <v>134</v>
      </c>
      <c r="D2004" s="0" t="s">
        <v>135</v>
      </c>
      <c r="E2004" s="0" t="s">
        <v>3</v>
      </c>
      <c r="F2004" s="0" t="s">
        <v>10</v>
      </c>
      <c r="G2004" s="0" t="s">
        <v>8</v>
      </c>
      <c r="H2004" s="0">
        <v>1003</v>
      </c>
      <c r="I2004" s="0">
        <v>28</v>
      </c>
      <c r="J2004" s="0">
        <v>0</v>
      </c>
      <c r="K2004" s="0">
        <v>1</v>
      </c>
      <c r="L2004" s="0">
        <v>1</v>
      </c>
      <c r="M2004" s="0">
        <v>1</v>
      </c>
      <c r="N2004" s="0">
        <v>0</v>
      </c>
      <c r="O2004" s="0">
        <v>0</v>
      </c>
      <c r="P2004" s="0">
        <v>0</v>
      </c>
      <c r="Q2004" s="0" t="s">
        <v>618</v>
      </c>
      <c r="R2004" s="0" t="b">
        <v>0</v>
      </c>
      <c r="S2004" s="0" t="b">
        <v>1</v>
      </c>
      <c r="T2004" s="68">
        <v>45050.1745833333</v>
      </c>
      <c r="U2004" s="68">
        <v>45064.3333333333</v>
      </c>
      <c r="V2004" s="68">
        <v>0</v>
      </c>
      <c r="W2004" s="0">
        <f>IF(IF(B2004="none",1,IF(B2004="Trialer",1,0))+IF(C2004="Customer",1,IF(C2004="Lost",1,0))=2,1,0)</f>
      </c>
      <c r="X2004" s="0" t="s">
        <v>148</v>
      </c>
      <c r="Y2004" s="0" t="s">
        <v>243</v>
      </c>
      <c r="AV2004" s="68"/>
      <c r="AW2004" s="68"/>
      <c r="AY2004" s="27"/>
      <c r="BD2004" s="68">
        <v>46054.1666666667</v>
      </c>
      <c r="BE2004" s="68">
        <v>46082.1666666667</v>
      </c>
      <c r="BF2004" s="0" t="b">
        <v>0</v>
      </c>
      <c r="BG2004" s="0" t="b">
        <v>0</v>
      </c>
      <c r="BH2004" s="0">
        <v>28</v>
      </c>
      <c r="BI2004" s="0">
        <v>28</v>
      </c>
      <c r="BJ2004" s="0" t="s">
        <v>135</v>
      </c>
    </row>
    <row r="2005">
      <c r="A2005" s="0" t="s">
        <v>2236</v>
      </c>
      <c r="B2005" s="0" t="s">
        <v>134</v>
      </c>
      <c r="C2005" s="0" t="s">
        <v>134</v>
      </c>
      <c r="D2005" s="0" t="s">
        <v>135</v>
      </c>
      <c r="E2005" s="0" t="s">
        <v>2</v>
      </c>
      <c r="F2005" s="0" t="s">
        <v>10</v>
      </c>
      <c r="G2005" s="0" t="s">
        <v>8</v>
      </c>
      <c r="H2005" s="0">
        <v>999</v>
      </c>
      <c r="I2005" s="0">
        <v>219</v>
      </c>
      <c r="J2005" s="0">
        <v>0</v>
      </c>
      <c r="K2005" s="0">
        <v>1</v>
      </c>
      <c r="L2005" s="0">
        <v>3</v>
      </c>
      <c r="M2005" s="0">
        <v>7</v>
      </c>
      <c r="N2005" s="0">
        <v>0</v>
      </c>
      <c r="O2005" s="0">
        <v>0</v>
      </c>
      <c r="P2005" s="0">
        <v>0</v>
      </c>
      <c r="Q2005" s="0" t="s">
        <v>756</v>
      </c>
      <c r="R2005" s="0" t="b">
        <v>0</v>
      </c>
      <c r="S2005" s="0" t="b">
        <v>1</v>
      </c>
      <c r="T2005" s="68">
        <v>45054.6559837963</v>
      </c>
      <c r="U2005" s="68">
        <v>45068.3333333333</v>
      </c>
      <c r="V2005" s="68">
        <v>0</v>
      </c>
      <c r="W2005" s="0">
        <f>IF(IF(B2005="none",1,IF(B2005="Trialer",1,0))+IF(C2005="Customer",1,IF(C2005="Lost",1,0))=2,1,0)</f>
      </c>
      <c r="X2005" s="0" t="s">
        <v>136</v>
      </c>
      <c r="Y2005" s="0" t="s">
        <v>499</v>
      </c>
      <c r="AV2005" s="68"/>
      <c r="AW2005" s="68"/>
      <c r="AY2005" s="27"/>
      <c r="BD2005" s="68">
        <v>46054.1666666667</v>
      </c>
      <c r="BE2005" s="68">
        <v>46082.1666666667</v>
      </c>
      <c r="BF2005" s="0" t="b">
        <v>0</v>
      </c>
      <c r="BG2005" s="0" t="b">
        <v>0</v>
      </c>
      <c r="BH2005" s="0">
        <v>219</v>
      </c>
      <c r="BI2005" s="0">
        <v>219</v>
      </c>
      <c r="BJ2005" s="0" t="s">
        <v>135</v>
      </c>
    </row>
    <row r="2006">
      <c r="A2006" s="0" t="s">
        <v>2237</v>
      </c>
      <c r="B2006" s="0" t="s">
        <v>134</v>
      </c>
      <c r="C2006" s="0" t="s">
        <v>134</v>
      </c>
      <c r="D2006" s="0" t="s">
        <v>230</v>
      </c>
      <c r="E2006" s="0" t="s">
        <v>3</v>
      </c>
      <c r="F2006" s="0" t="s">
        <v>12</v>
      </c>
      <c r="G2006" s="0" t="s">
        <v>8</v>
      </c>
      <c r="H2006" s="0">
        <v>999</v>
      </c>
      <c r="I2006" s="0">
        <v>25</v>
      </c>
      <c r="J2006" s="0">
        <v>0</v>
      </c>
      <c r="K2006" s="0">
        <v>1</v>
      </c>
      <c r="L2006" s="0">
        <v>1</v>
      </c>
      <c r="M2006" s="0">
        <v>1</v>
      </c>
      <c r="N2006" s="0">
        <v>0</v>
      </c>
      <c r="O2006" s="0">
        <v>0</v>
      </c>
      <c r="P2006" s="0">
        <v>-25</v>
      </c>
      <c r="R2006" s="0" t="b">
        <v>0</v>
      </c>
      <c r="S2006" s="0" t="b">
        <v>1</v>
      </c>
      <c r="T2006" s="68">
        <v>45054.6721759259</v>
      </c>
      <c r="U2006" s="68">
        <v>45079.3333333333</v>
      </c>
      <c r="V2006" s="68">
        <v>0</v>
      </c>
      <c r="W2006" s="0">
        <f>IF(IF(B2006="none",1,IF(B2006="Trialer",1,0))+IF(C2006="Customer",1,IF(C2006="Lost",1,0))=2,1,0)</f>
      </c>
      <c r="X2006" s="0" t="s">
        <v>142</v>
      </c>
      <c r="Y2006" s="0" t="s">
        <v>243</v>
      </c>
      <c r="AV2006" s="68"/>
      <c r="AW2006" s="68"/>
      <c r="AY2006" s="27"/>
      <c r="BD2006" s="68">
        <v>46054.1666666667</v>
      </c>
      <c r="BE2006" s="68">
        <v>46082.1666666667</v>
      </c>
      <c r="BF2006" s="0" t="b">
        <v>0</v>
      </c>
      <c r="BG2006" s="0" t="b">
        <v>0</v>
      </c>
      <c r="BH2006" s="0">
        <v>28</v>
      </c>
      <c r="BI2006" s="0">
        <v>28</v>
      </c>
      <c r="BJ2006" s="0" t="s">
        <v>230</v>
      </c>
    </row>
    <row r="2007">
      <c r="A2007" s="0" t="s">
        <v>2238</v>
      </c>
      <c r="B2007" s="0" t="s">
        <v>134</v>
      </c>
      <c r="C2007" s="0" t="s">
        <v>134</v>
      </c>
      <c r="D2007" s="0" t="s">
        <v>230</v>
      </c>
      <c r="E2007" s="0" t="s">
        <v>2</v>
      </c>
      <c r="F2007" s="0" t="s">
        <v>12</v>
      </c>
      <c r="G2007" s="0" t="s">
        <v>8</v>
      </c>
      <c r="H2007" s="0">
        <v>998</v>
      </c>
      <c r="I2007" s="0">
        <v>197.1</v>
      </c>
      <c r="J2007" s="0">
        <v>0</v>
      </c>
      <c r="K2007" s="0">
        <v>1</v>
      </c>
      <c r="L2007" s="0">
        <v>3</v>
      </c>
      <c r="M2007" s="0">
        <v>6</v>
      </c>
      <c r="N2007" s="0">
        <v>0</v>
      </c>
      <c r="O2007" s="0">
        <v>0</v>
      </c>
      <c r="P2007" s="0">
        <v>-197.1</v>
      </c>
      <c r="R2007" s="0" t="b">
        <v>0</v>
      </c>
      <c r="S2007" s="0" t="b">
        <v>1</v>
      </c>
      <c r="T2007" s="68">
        <v>45055.5097222222</v>
      </c>
      <c r="U2007" s="68">
        <v>45069.5</v>
      </c>
      <c r="V2007" s="68">
        <v>0</v>
      </c>
      <c r="W2007" s="0">
        <f>IF(IF(B2007="none",1,IF(B2007="Trialer",1,0))+IF(C2007="Customer",1,IF(C2007="Lost",1,0))=2,1,0)</f>
      </c>
      <c r="X2007" s="0" t="s">
        <v>136</v>
      </c>
      <c r="Y2007" s="0" t="s">
        <v>499</v>
      </c>
      <c r="AV2007" s="68"/>
      <c r="AW2007" s="68"/>
      <c r="AY2007" s="27"/>
      <c r="BD2007" s="68">
        <v>46054.1666666667</v>
      </c>
      <c r="BE2007" s="68">
        <v>46082.1666666667</v>
      </c>
      <c r="BF2007" s="0" t="b">
        <v>0</v>
      </c>
      <c r="BG2007" s="0" t="b">
        <v>0</v>
      </c>
      <c r="BH2007" s="0">
        <v>219</v>
      </c>
      <c r="BI2007" s="0">
        <v>219</v>
      </c>
      <c r="BJ2007" s="0" t="s">
        <v>230</v>
      </c>
    </row>
    <row r="2008">
      <c r="A2008" s="0" t="s">
        <v>2239</v>
      </c>
      <c r="B2008" s="0" t="s">
        <v>134</v>
      </c>
      <c r="C2008" s="0" t="s">
        <v>134</v>
      </c>
      <c r="D2008" s="0" t="s">
        <v>230</v>
      </c>
      <c r="E2008" s="0" t="s">
        <v>3</v>
      </c>
      <c r="F2008" s="0" t="s">
        <v>12</v>
      </c>
      <c r="G2008" s="0" t="s">
        <v>8</v>
      </c>
      <c r="H2008" s="0">
        <v>998</v>
      </c>
      <c r="I2008" s="0">
        <v>144</v>
      </c>
      <c r="J2008" s="0">
        <v>0</v>
      </c>
      <c r="K2008" s="0">
        <v>1</v>
      </c>
      <c r="L2008" s="0">
        <v>2</v>
      </c>
      <c r="M2008" s="0">
        <v>4</v>
      </c>
      <c r="N2008" s="0">
        <v>0</v>
      </c>
      <c r="O2008" s="0">
        <v>0</v>
      </c>
      <c r="P2008" s="0">
        <v>-144</v>
      </c>
      <c r="R2008" s="0" t="b">
        <v>0</v>
      </c>
      <c r="S2008" s="0" t="b">
        <v>1</v>
      </c>
      <c r="T2008" s="68">
        <v>45055.5141666667</v>
      </c>
      <c r="U2008" s="68">
        <v>45069.3333333333</v>
      </c>
      <c r="V2008" s="68">
        <v>0</v>
      </c>
      <c r="W2008" s="0">
        <f>IF(IF(B2008="none",1,IF(B2008="Trialer",1,0))+IF(C2008="Customer",1,IF(C2008="Lost",1,0))=2,1,0)</f>
      </c>
      <c r="X2008" s="0" t="s">
        <v>882</v>
      </c>
      <c r="Y2008" s="0" t="s">
        <v>243</v>
      </c>
      <c r="AV2008" s="68"/>
      <c r="AW2008" s="68"/>
      <c r="AY2008" s="27"/>
      <c r="BD2008" s="68">
        <v>46054.1666666667</v>
      </c>
      <c r="BE2008" s="68">
        <v>46082.1666666667</v>
      </c>
      <c r="BF2008" s="0" t="b">
        <v>0</v>
      </c>
      <c r="BG2008" s="0" t="b">
        <v>0</v>
      </c>
      <c r="BH2008" s="0">
        <v>160</v>
      </c>
      <c r="BI2008" s="0">
        <v>160</v>
      </c>
      <c r="BJ2008" s="0" t="s">
        <v>230</v>
      </c>
    </row>
    <row r="2009">
      <c r="A2009" s="0" t="s">
        <v>2240</v>
      </c>
      <c r="B2009" s="0" t="s">
        <v>134</v>
      </c>
      <c r="C2009" s="0" t="s">
        <v>134</v>
      </c>
      <c r="D2009" s="0" t="s">
        <v>135</v>
      </c>
      <c r="E2009" s="0" t="s">
        <v>2</v>
      </c>
      <c r="F2009" s="0" t="s">
        <v>12</v>
      </c>
      <c r="G2009" s="0" t="s">
        <v>8</v>
      </c>
      <c r="H2009" s="0">
        <v>997</v>
      </c>
      <c r="I2009" s="0">
        <v>138</v>
      </c>
      <c r="J2009" s="0">
        <v>0</v>
      </c>
      <c r="K2009" s="0">
        <v>1</v>
      </c>
      <c r="L2009" s="0">
        <v>3</v>
      </c>
      <c r="M2009" s="0">
        <v>3</v>
      </c>
      <c r="N2009" s="0">
        <v>0</v>
      </c>
      <c r="O2009" s="0">
        <v>0</v>
      </c>
      <c r="P2009" s="0">
        <v>0</v>
      </c>
      <c r="R2009" s="0" t="b">
        <v>0</v>
      </c>
      <c r="S2009" s="0" t="b">
        <v>1</v>
      </c>
      <c r="T2009" s="68">
        <v>45056.6051967593</v>
      </c>
      <c r="U2009" s="68">
        <v>45070.3333333333</v>
      </c>
      <c r="V2009" s="68">
        <v>0</v>
      </c>
      <c r="W2009" s="0">
        <f>IF(IF(B2009="none",1,IF(B2009="Trialer",1,0))+IF(C2009="Customer",1,IF(C2009="Lost",1,0))=2,1,0)</f>
      </c>
      <c r="X2009" s="0" t="s">
        <v>142</v>
      </c>
      <c r="Y2009" s="0" t="s">
        <v>499</v>
      </c>
      <c r="AV2009" s="68"/>
      <c r="AW2009" s="68"/>
      <c r="AY2009" s="27"/>
      <c r="BD2009" s="68">
        <v>46054.1666666667</v>
      </c>
      <c r="BE2009" s="68">
        <v>46082.1666666667</v>
      </c>
      <c r="BF2009" s="0" t="b">
        <v>0</v>
      </c>
      <c r="BG2009" s="0" t="b">
        <v>0</v>
      </c>
      <c r="BH2009" s="0">
        <v>178</v>
      </c>
      <c r="BI2009" s="0">
        <v>178</v>
      </c>
      <c r="BJ2009" s="0" t="s">
        <v>135</v>
      </c>
    </row>
    <row r="2010">
      <c r="A2010" s="0" t="s">
        <v>2241</v>
      </c>
      <c r="B2010" s="0" t="s">
        <v>134</v>
      </c>
      <c r="C2010" s="0" t="s">
        <v>134</v>
      </c>
      <c r="D2010" s="0" t="s">
        <v>135</v>
      </c>
      <c r="E2010" s="0" t="s">
        <v>3</v>
      </c>
      <c r="F2010" s="0" t="s">
        <v>12</v>
      </c>
      <c r="G2010" s="0" t="s">
        <v>8</v>
      </c>
      <c r="H2010" s="0">
        <v>997</v>
      </c>
      <c r="I2010" s="0">
        <v>0</v>
      </c>
      <c r="J2010" s="0">
        <v>0</v>
      </c>
      <c r="K2010" s="0">
        <v>1</v>
      </c>
      <c r="L2010" s="0">
        <v>3</v>
      </c>
      <c r="M2010" s="0">
        <v>1</v>
      </c>
      <c r="N2010" s="0">
        <v>0</v>
      </c>
      <c r="O2010" s="0">
        <v>0</v>
      </c>
      <c r="P2010" s="0">
        <v>0</v>
      </c>
      <c r="R2010" s="0" t="b">
        <v>0</v>
      </c>
      <c r="S2010" s="0" t="b">
        <v>1</v>
      </c>
      <c r="T2010" s="68">
        <v>45056.6833333333</v>
      </c>
      <c r="U2010" s="68">
        <v>45070.3333333333</v>
      </c>
      <c r="V2010" s="68">
        <v>0</v>
      </c>
      <c r="W2010" s="0">
        <f>IF(IF(B2010="none",1,IF(B2010="Trialer",1,0))+IF(C2010="Customer",1,IF(C2010="Lost",1,0))=2,1,0)</f>
      </c>
      <c r="X2010" s="0" t="s">
        <v>136</v>
      </c>
      <c r="Y2010" s="0" t="s">
        <v>243</v>
      </c>
      <c r="AV2010" s="68"/>
      <c r="AW2010" s="68"/>
      <c r="AY2010" s="27"/>
      <c r="BD2010" s="68">
        <v>46054.1666666667</v>
      </c>
      <c r="BE2010" s="68">
        <v>46082.1666666667</v>
      </c>
      <c r="BF2010" s="0" t="b">
        <v>0</v>
      </c>
      <c r="BG2010" s="0" t="b">
        <v>0</v>
      </c>
      <c r="BH2010" s="0">
        <v>0</v>
      </c>
      <c r="BI2010" s="0">
        <v>0</v>
      </c>
      <c r="BJ2010" s="0" t="s">
        <v>135</v>
      </c>
    </row>
    <row r="2011">
      <c r="A2011" s="0" t="s">
        <v>2242</v>
      </c>
      <c r="B2011" s="0" t="s">
        <v>134</v>
      </c>
      <c r="C2011" s="0" t="s">
        <v>134</v>
      </c>
      <c r="D2011" s="0" t="s">
        <v>230</v>
      </c>
      <c r="E2011" s="0" t="s">
        <v>2</v>
      </c>
      <c r="F2011" s="0" t="s">
        <v>12</v>
      </c>
      <c r="G2011" s="0" t="s">
        <v>8</v>
      </c>
      <c r="H2011" s="0">
        <v>996</v>
      </c>
      <c r="I2011" s="0">
        <v>44</v>
      </c>
      <c r="J2011" s="0">
        <v>0</v>
      </c>
      <c r="K2011" s="0">
        <v>1</v>
      </c>
      <c r="L2011" s="0">
        <v>3</v>
      </c>
      <c r="M2011" s="0">
        <v>1</v>
      </c>
      <c r="N2011" s="0">
        <v>0</v>
      </c>
      <c r="O2011" s="0">
        <v>0</v>
      </c>
      <c r="P2011" s="0">
        <v>-44</v>
      </c>
      <c r="R2011" s="0" t="b">
        <v>0</v>
      </c>
      <c r="S2011" s="0" t="b">
        <v>1</v>
      </c>
      <c r="T2011" s="68">
        <v>45057.790775463</v>
      </c>
      <c r="U2011" s="68">
        <v>45071.3333333333</v>
      </c>
      <c r="V2011" s="68">
        <v>0</v>
      </c>
      <c r="W2011" s="0">
        <f>IF(IF(B2011="none",1,IF(B2011="Trialer",1,0))+IF(C2011="Customer",1,IF(C2011="Lost",1,0))=2,1,0)</f>
      </c>
      <c r="X2011" s="0" t="s">
        <v>142</v>
      </c>
      <c r="Y2011" s="0" t="s">
        <v>499</v>
      </c>
      <c r="AV2011" s="68"/>
      <c r="AW2011" s="68"/>
      <c r="AY2011" s="27"/>
      <c r="BD2011" s="68">
        <v>46054.1666666667</v>
      </c>
      <c r="BE2011" s="68">
        <v>46082.1666666667</v>
      </c>
      <c r="BF2011" s="0" t="b">
        <v>0</v>
      </c>
      <c r="BG2011" s="0" t="b">
        <v>0</v>
      </c>
      <c r="BH2011" s="0">
        <v>49</v>
      </c>
      <c r="BI2011" s="0">
        <v>49</v>
      </c>
      <c r="BJ2011" s="0" t="s">
        <v>230</v>
      </c>
    </row>
    <row r="2012">
      <c r="A2012" s="0" t="s">
        <v>2243</v>
      </c>
      <c r="B2012" s="0" t="s">
        <v>134</v>
      </c>
      <c r="C2012" s="0" t="s">
        <v>134</v>
      </c>
      <c r="D2012" s="0" t="s">
        <v>230</v>
      </c>
      <c r="E2012" s="0" t="s">
        <v>3</v>
      </c>
      <c r="F2012" s="0" t="s">
        <v>12</v>
      </c>
      <c r="G2012" s="0" t="s">
        <v>8</v>
      </c>
      <c r="H2012" s="0">
        <v>996</v>
      </c>
      <c r="I2012" s="0">
        <v>134</v>
      </c>
      <c r="J2012" s="0">
        <v>0</v>
      </c>
      <c r="K2012" s="0">
        <v>1</v>
      </c>
      <c r="L2012" s="0">
        <v>3</v>
      </c>
      <c r="M2012" s="0">
        <v>7</v>
      </c>
      <c r="N2012" s="0">
        <v>0</v>
      </c>
      <c r="O2012" s="0">
        <v>0</v>
      </c>
      <c r="P2012" s="0">
        <v>-134</v>
      </c>
      <c r="R2012" s="0" t="b">
        <v>0</v>
      </c>
      <c r="S2012" s="0" t="b">
        <v>1</v>
      </c>
      <c r="T2012" s="68">
        <v>45057.8786921296</v>
      </c>
      <c r="U2012" s="68">
        <v>45071.3333333333</v>
      </c>
      <c r="V2012" s="68">
        <v>0</v>
      </c>
      <c r="W2012" s="0">
        <f>IF(IF(B2012="none",1,IF(B2012="Trialer",1,0))+IF(C2012="Customer",1,IF(C2012="Lost",1,0))=2,1,0)</f>
      </c>
      <c r="X2012" s="0" t="s">
        <v>148</v>
      </c>
      <c r="Y2012" s="0" t="s">
        <v>1792</v>
      </c>
      <c r="AV2012" s="68"/>
      <c r="AW2012" s="68"/>
      <c r="AY2012" s="27"/>
      <c r="BD2012" s="68">
        <v>46054.1666666667</v>
      </c>
      <c r="BE2012" s="68">
        <v>46082.1666666667</v>
      </c>
      <c r="BF2012" s="0" t="b">
        <v>0</v>
      </c>
      <c r="BG2012" s="0" t="b">
        <v>0</v>
      </c>
      <c r="BH2012" s="0">
        <v>157</v>
      </c>
      <c r="BI2012" s="0">
        <v>157</v>
      </c>
      <c r="BJ2012" s="0" t="s">
        <v>230</v>
      </c>
    </row>
    <row r="2013">
      <c r="A2013" s="0" t="s">
        <v>2244</v>
      </c>
      <c r="B2013" s="0" t="s">
        <v>134</v>
      </c>
      <c r="C2013" s="0" t="s">
        <v>134</v>
      </c>
      <c r="D2013" s="0" t="s">
        <v>135</v>
      </c>
      <c r="E2013" s="0" t="s">
        <v>3</v>
      </c>
      <c r="F2013" s="0" t="s">
        <v>12</v>
      </c>
      <c r="G2013" s="0" t="s">
        <v>8</v>
      </c>
      <c r="H2013" s="0">
        <v>993</v>
      </c>
      <c r="I2013" s="0">
        <v>181</v>
      </c>
      <c r="J2013" s="0">
        <v>0</v>
      </c>
      <c r="K2013" s="0">
        <v>1</v>
      </c>
      <c r="L2013" s="0">
        <v>4</v>
      </c>
      <c r="M2013" s="0">
        <v>4</v>
      </c>
      <c r="N2013" s="0">
        <v>0</v>
      </c>
      <c r="O2013" s="0">
        <v>0</v>
      </c>
      <c r="P2013" s="0">
        <v>0</v>
      </c>
      <c r="R2013" s="0" t="b">
        <v>0</v>
      </c>
      <c r="S2013" s="0" t="b">
        <v>1</v>
      </c>
      <c r="T2013" s="68">
        <v>45060.6166666667</v>
      </c>
      <c r="U2013" s="68">
        <v>45074.3333333333</v>
      </c>
      <c r="V2013" s="68">
        <v>0</v>
      </c>
      <c r="W2013" s="0">
        <f>IF(IF(B2013="none",1,IF(B2013="Trialer",1,0))+IF(C2013="Customer",1,IF(C2013="Lost",1,0))=2,1,0)</f>
      </c>
      <c r="X2013" s="0" t="s">
        <v>882</v>
      </c>
      <c r="Y2013" s="0" t="s">
        <v>243</v>
      </c>
      <c r="AV2013" s="68"/>
      <c r="AW2013" s="68"/>
      <c r="AY2013" s="27"/>
      <c r="BD2013" s="68">
        <v>46054.1666666667</v>
      </c>
      <c r="BE2013" s="68">
        <v>46082.1666666667</v>
      </c>
      <c r="BF2013" s="0" t="b">
        <v>0</v>
      </c>
      <c r="BG2013" s="0" t="b">
        <v>0</v>
      </c>
      <c r="BH2013" s="0">
        <v>181</v>
      </c>
      <c r="BI2013" s="0">
        <v>181</v>
      </c>
      <c r="BJ2013" s="0" t="s">
        <v>135</v>
      </c>
    </row>
    <row r="2014">
      <c r="A2014" s="0" t="s">
        <v>2245</v>
      </c>
      <c r="B2014" s="0" t="s">
        <v>134</v>
      </c>
      <c r="C2014" s="0" t="s">
        <v>134</v>
      </c>
      <c r="D2014" s="0" t="s">
        <v>135</v>
      </c>
      <c r="E2014" s="0" t="s">
        <v>3</v>
      </c>
      <c r="F2014" s="0" t="s">
        <v>12</v>
      </c>
      <c r="G2014" s="0" t="s">
        <v>8</v>
      </c>
      <c r="H2014" s="0">
        <v>992</v>
      </c>
      <c r="I2014" s="0">
        <v>122</v>
      </c>
      <c r="J2014" s="0">
        <v>0</v>
      </c>
      <c r="K2014" s="0">
        <v>1</v>
      </c>
      <c r="L2014" s="0">
        <v>4</v>
      </c>
      <c r="M2014" s="0">
        <v>2</v>
      </c>
      <c r="N2014" s="0">
        <v>0</v>
      </c>
      <c r="O2014" s="0">
        <v>0</v>
      </c>
      <c r="P2014" s="0">
        <v>0</v>
      </c>
      <c r="R2014" s="0" t="b">
        <v>0</v>
      </c>
      <c r="S2014" s="0" t="b">
        <v>1</v>
      </c>
      <c r="T2014" s="68">
        <v>45061.6489814815</v>
      </c>
      <c r="U2014" s="68">
        <v>45076.3333333333</v>
      </c>
      <c r="V2014" s="68">
        <v>0</v>
      </c>
      <c r="W2014" s="0">
        <f>IF(IF(B2014="none",1,IF(B2014="Trialer",1,0))+IF(C2014="Customer",1,IF(C2014="Lost",1,0))=2,1,0)</f>
      </c>
      <c r="X2014" s="0" t="s">
        <v>166</v>
      </c>
      <c r="Y2014" s="0" t="s">
        <v>243</v>
      </c>
      <c r="AV2014" s="68"/>
      <c r="AW2014" s="68"/>
      <c r="AY2014" s="27"/>
      <c r="BD2014" s="68">
        <v>46054.1666666667</v>
      </c>
      <c r="BE2014" s="68">
        <v>46082.1666666667</v>
      </c>
      <c r="BF2014" s="0" t="b">
        <v>0</v>
      </c>
      <c r="BG2014" s="0" t="b">
        <v>0</v>
      </c>
      <c r="BH2014" s="0">
        <v>122</v>
      </c>
      <c r="BI2014" s="0">
        <v>122</v>
      </c>
      <c r="BJ2014" s="0" t="s">
        <v>135</v>
      </c>
    </row>
    <row r="2015">
      <c r="A2015" s="0" t="s">
        <v>2246</v>
      </c>
      <c r="B2015" s="0" t="s">
        <v>134</v>
      </c>
      <c r="C2015" s="0" t="s">
        <v>134</v>
      </c>
      <c r="D2015" s="0" t="s">
        <v>230</v>
      </c>
      <c r="E2015" s="0" t="s">
        <v>3</v>
      </c>
      <c r="F2015" s="0" t="s">
        <v>12</v>
      </c>
      <c r="G2015" s="0" t="s">
        <v>8</v>
      </c>
      <c r="H2015" s="0">
        <v>989</v>
      </c>
      <c r="I2015" s="0">
        <v>285.3</v>
      </c>
      <c r="J2015" s="0">
        <v>0</v>
      </c>
      <c r="K2015" s="0">
        <v>1</v>
      </c>
      <c r="L2015" s="0">
        <v>5</v>
      </c>
      <c r="M2015" s="0">
        <v>5</v>
      </c>
      <c r="N2015" s="0">
        <v>0</v>
      </c>
      <c r="O2015" s="0">
        <v>0</v>
      </c>
      <c r="P2015" s="0">
        <v>-285.3</v>
      </c>
      <c r="R2015" s="0" t="b">
        <v>0</v>
      </c>
      <c r="S2015" s="0" t="b">
        <v>1</v>
      </c>
      <c r="T2015" s="68">
        <v>45064.314224537</v>
      </c>
      <c r="U2015" s="68">
        <v>45078.3333333333</v>
      </c>
      <c r="V2015" s="68">
        <v>0</v>
      </c>
      <c r="W2015" s="0">
        <f>IF(IF(B2015="none",1,IF(B2015="Trialer",1,0))+IF(C2015="Customer",1,IF(C2015="Lost",1,0))=2,1,0)</f>
      </c>
      <c r="X2015" s="0" t="s">
        <v>145</v>
      </c>
      <c r="Y2015" s="0" t="s">
        <v>243</v>
      </c>
      <c r="AV2015" s="68"/>
      <c r="AW2015" s="68"/>
      <c r="AY2015" s="27"/>
      <c r="BD2015" s="68">
        <v>46054.1666666667</v>
      </c>
      <c r="BE2015" s="68">
        <v>46082.1666666667</v>
      </c>
      <c r="BF2015" s="0" t="b">
        <v>0</v>
      </c>
      <c r="BG2015" s="0" t="b">
        <v>0</v>
      </c>
      <c r="BH2015" s="0">
        <v>256</v>
      </c>
      <c r="BI2015" s="0">
        <v>256</v>
      </c>
      <c r="BJ2015" s="0" t="s">
        <v>230</v>
      </c>
    </row>
    <row r="2016">
      <c r="A2016" s="0" t="s">
        <v>2247</v>
      </c>
      <c r="B2016" s="0" t="s">
        <v>134</v>
      </c>
      <c r="C2016" s="0" t="s">
        <v>134</v>
      </c>
      <c r="D2016" s="0" t="s">
        <v>135</v>
      </c>
      <c r="E2016" s="0" t="s">
        <v>2</v>
      </c>
      <c r="F2016" s="0" t="s">
        <v>12</v>
      </c>
      <c r="G2016" s="0" t="s">
        <v>8</v>
      </c>
      <c r="H2016" s="0">
        <v>989</v>
      </c>
      <c r="I2016" s="0">
        <v>147</v>
      </c>
      <c r="J2016" s="0">
        <v>0</v>
      </c>
      <c r="K2016" s="0">
        <v>1</v>
      </c>
      <c r="L2016" s="0">
        <v>3</v>
      </c>
      <c r="M2016" s="0">
        <v>3</v>
      </c>
      <c r="N2016" s="0">
        <v>0</v>
      </c>
      <c r="O2016" s="0">
        <v>0</v>
      </c>
      <c r="P2016" s="0">
        <v>0</v>
      </c>
      <c r="R2016" s="0" t="b">
        <v>0</v>
      </c>
      <c r="S2016" s="0" t="b">
        <v>1</v>
      </c>
      <c r="T2016" s="68">
        <v>45064.4722685185</v>
      </c>
      <c r="U2016" s="68">
        <v>45085.3333333333</v>
      </c>
      <c r="V2016" s="68">
        <v>0</v>
      </c>
      <c r="W2016" s="0">
        <f>IF(IF(B2016="none",1,IF(B2016="Trialer",1,0))+IF(C2016="Customer",1,IF(C2016="Lost",1,0))=2,1,0)</f>
      </c>
      <c r="X2016" s="0" t="s">
        <v>142</v>
      </c>
      <c r="Y2016" s="0" t="s">
        <v>499</v>
      </c>
      <c r="AV2016" s="68"/>
      <c r="AW2016" s="68"/>
      <c r="AY2016" s="27"/>
      <c r="BD2016" s="68">
        <v>46054.1666666667</v>
      </c>
      <c r="BE2016" s="68">
        <v>46082.1666666667</v>
      </c>
      <c r="BF2016" s="0" t="b">
        <v>0</v>
      </c>
      <c r="BG2016" s="0" t="b">
        <v>0</v>
      </c>
      <c r="BH2016" s="0">
        <v>147</v>
      </c>
      <c r="BI2016" s="0">
        <v>147</v>
      </c>
      <c r="BJ2016" s="0" t="s">
        <v>135</v>
      </c>
    </row>
    <row r="2017">
      <c r="A2017" s="0" t="s">
        <v>2248</v>
      </c>
      <c r="B2017" s="0" t="s">
        <v>134</v>
      </c>
      <c r="C2017" s="0" t="s">
        <v>134</v>
      </c>
      <c r="D2017" s="0" t="s">
        <v>230</v>
      </c>
      <c r="E2017" s="0" t="s">
        <v>2</v>
      </c>
      <c r="F2017" s="0" t="s">
        <v>12</v>
      </c>
      <c r="G2017" s="0" t="s">
        <v>8</v>
      </c>
      <c r="H2017" s="0">
        <v>989</v>
      </c>
      <c r="I2017" s="0">
        <v>124</v>
      </c>
      <c r="J2017" s="0">
        <v>0</v>
      </c>
      <c r="K2017" s="0">
        <v>1</v>
      </c>
      <c r="L2017" s="0">
        <v>3</v>
      </c>
      <c r="M2017" s="0">
        <v>3</v>
      </c>
      <c r="N2017" s="0">
        <v>0</v>
      </c>
      <c r="O2017" s="0">
        <v>0</v>
      </c>
      <c r="P2017" s="0">
        <v>-124</v>
      </c>
      <c r="R2017" s="0" t="b">
        <v>0</v>
      </c>
      <c r="S2017" s="0" t="b">
        <v>1</v>
      </c>
      <c r="T2017" s="68">
        <v>45064.9737731482</v>
      </c>
      <c r="U2017" s="68">
        <v>45078.3333333333</v>
      </c>
      <c r="V2017" s="68">
        <v>0</v>
      </c>
      <c r="W2017" s="0">
        <f>IF(IF(B2017="none",1,IF(B2017="Trialer",1,0))+IF(C2017="Customer",1,IF(C2017="Lost",1,0))=2,1,0)</f>
      </c>
      <c r="X2017" s="0" t="s">
        <v>166</v>
      </c>
      <c r="Y2017" s="0" t="s">
        <v>499</v>
      </c>
      <c r="AV2017" s="68"/>
      <c r="AW2017" s="68"/>
      <c r="AY2017" s="27"/>
      <c r="BD2017" s="68">
        <v>46054.1666666667</v>
      </c>
      <c r="BE2017" s="68">
        <v>46082.1666666667</v>
      </c>
      <c r="BF2017" s="0" t="b">
        <v>0</v>
      </c>
      <c r="BG2017" s="0" t="b">
        <v>0</v>
      </c>
      <c r="BH2017" s="0">
        <v>138</v>
      </c>
      <c r="BI2017" s="0">
        <v>138</v>
      </c>
      <c r="BJ2017" s="0" t="s">
        <v>230</v>
      </c>
    </row>
    <row r="2018">
      <c r="A2018" s="0" t="s">
        <v>2249</v>
      </c>
      <c r="B2018" s="0" t="s">
        <v>134</v>
      </c>
      <c r="C2018" s="0" t="s">
        <v>134</v>
      </c>
      <c r="D2018" s="0" t="s">
        <v>135</v>
      </c>
      <c r="E2018" s="0" t="s">
        <v>3</v>
      </c>
      <c r="F2018" s="0" t="s">
        <v>12</v>
      </c>
      <c r="G2018" s="0" t="s">
        <v>8</v>
      </c>
      <c r="H2018" s="0">
        <v>986</v>
      </c>
      <c r="I2018" s="0">
        <v>28</v>
      </c>
      <c r="J2018" s="0">
        <v>0</v>
      </c>
      <c r="K2018" s="0">
        <v>1</v>
      </c>
      <c r="L2018" s="0">
        <v>1</v>
      </c>
      <c r="M2018" s="0">
        <v>1</v>
      </c>
      <c r="N2018" s="0">
        <v>0</v>
      </c>
      <c r="O2018" s="0">
        <v>0</v>
      </c>
      <c r="P2018" s="0">
        <v>0</v>
      </c>
      <c r="R2018" s="0" t="b">
        <v>0</v>
      </c>
      <c r="S2018" s="0" t="b">
        <v>1</v>
      </c>
      <c r="T2018" s="68">
        <v>45067.4708680556</v>
      </c>
      <c r="U2018" s="68">
        <v>45088.3333333333</v>
      </c>
      <c r="V2018" s="68">
        <v>0</v>
      </c>
      <c r="W2018" s="0">
        <f>IF(IF(B2018="none",1,IF(B2018="Trialer",1,0))+IF(C2018="Customer",1,IF(C2018="Lost",1,0))=2,1,0)</f>
      </c>
      <c r="X2018" s="0" t="s">
        <v>142</v>
      </c>
      <c r="Y2018" s="0" t="s">
        <v>243</v>
      </c>
      <c r="AV2018" s="68"/>
      <c r="AW2018" s="68"/>
      <c r="AY2018" s="27"/>
      <c r="BD2018" s="68">
        <v>46054.1666666667</v>
      </c>
      <c r="BE2018" s="68">
        <v>46082.1666666667</v>
      </c>
      <c r="BF2018" s="0" t="b">
        <v>0</v>
      </c>
      <c r="BG2018" s="0" t="b">
        <v>0</v>
      </c>
      <c r="BH2018" s="0">
        <v>28</v>
      </c>
      <c r="BI2018" s="0">
        <v>28</v>
      </c>
      <c r="BJ2018" s="0" t="s">
        <v>135</v>
      </c>
    </row>
    <row r="2019">
      <c r="A2019" s="0" t="s">
        <v>2250</v>
      </c>
      <c r="B2019" s="0" t="s">
        <v>134</v>
      </c>
      <c r="C2019" s="0" t="s">
        <v>134</v>
      </c>
      <c r="D2019" s="0" t="s">
        <v>230</v>
      </c>
      <c r="E2019" s="0" t="s">
        <v>3</v>
      </c>
      <c r="F2019" s="0" t="s">
        <v>12</v>
      </c>
      <c r="G2019" s="0" t="s">
        <v>8</v>
      </c>
      <c r="H2019" s="0">
        <v>984</v>
      </c>
      <c r="I2019" s="0">
        <v>192</v>
      </c>
      <c r="J2019" s="0">
        <v>0</v>
      </c>
      <c r="K2019" s="0">
        <v>1</v>
      </c>
      <c r="L2019" s="0">
        <v>3</v>
      </c>
      <c r="M2019" s="0">
        <v>7</v>
      </c>
      <c r="N2019" s="0">
        <v>0</v>
      </c>
      <c r="O2019" s="0">
        <v>0</v>
      </c>
      <c r="P2019" s="0">
        <v>-192</v>
      </c>
      <c r="R2019" s="0" t="b">
        <v>0</v>
      </c>
      <c r="S2019" s="0" t="b">
        <v>1</v>
      </c>
      <c r="T2019" s="68">
        <v>45069.8619444444</v>
      </c>
      <c r="U2019" s="68">
        <v>45083.3333333333</v>
      </c>
      <c r="V2019" s="68">
        <v>0</v>
      </c>
      <c r="W2019" s="0">
        <f>IF(IF(B2019="none",1,IF(B2019="Trialer",1,0))+IF(C2019="Customer",1,IF(C2019="Lost",1,0))=2,1,0)</f>
      </c>
      <c r="X2019" s="0" t="s">
        <v>148</v>
      </c>
      <c r="Y2019" s="0" t="s">
        <v>243</v>
      </c>
      <c r="AV2019" s="68"/>
      <c r="AW2019" s="68"/>
      <c r="AY2019" s="27"/>
      <c r="BD2019" s="68">
        <v>46054.1666666667</v>
      </c>
      <c r="BE2019" s="68">
        <v>46082.1666666667</v>
      </c>
      <c r="BF2019" s="0" t="b">
        <v>0</v>
      </c>
      <c r="BG2019" s="0" t="b">
        <v>0</v>
      </c>
      <c r="BH2019" s="0">
        <v>201</v>
      </c>
      <c r="BI2019" s="0">
        <v>201</v>
      </c>
      <c r="BJ2019" s="0" t="s">
        <v>230</v>
      </c>
    </row>
    <row r="2020">
      <c r="A2020" s="0" t="s">
        <v>2251</v>
      </c>
      <c r="B2020" s="0" t="s">
        <v>134</v>
      </c>
      <c r="C2020" s="0" t="s">
        <v>134</v>
      </c>
      <c r="D2020" s="0" t="s">
        <v>135</v>
      </c>
      <c r="E2020" s="0" t="s">
        <v>3</v>
      </c>
      <c r="F2020" s="0" t="s">
        <v>12</v>
      </c>
      <c r="G2020" s="0" t="s">
        <v>8</v>
      </c>
      <c r="H2020" s="0">
        <v>982</v>
      </c>
      <c r="I2020" s="0">
        <v>0</v>
      </c>
      <c r="J2020" s="0">
        <v>0</v>
      </c>
      <c r="K2020" s="0">
        <v>1</v>
      </c>
      <c r="L2020" s="0">
        <v>6</v>
      </c>
      <c r="M2020" s="0">
        <v>1</v>
      </c>
      <c r="N2020" s="0">
        <v>0</v>
      </c>
      <c r="O2020" s="0">
        <v>0</v>
      </c>
      <c r="P2020" s="0">
        <v>0</v>
      </c>
      <c r="R2020" s="0" t="b">
        <v>0</v>
      </c>
      <c r="S2020" s="0" t="b">
        <v>1</v>
      </c>
      <c r="T2020" s="68">
        <v>45071.3088310185</v>
      </c>
      <c r="U2020" s="68">
        <v>45085.3333333333</v>
      </c>
      <c r="V2020" s="68">
        <v>0</v>
      </c>
      <c r="W2020" s="0">
        <f>IF(IF(B2020="none",1,IF(B2020="Trialer",1,0))+IF(C2020="Customer",1,IF(C2020="Lost",1,0))=2,1,0)</f>
      </c>
      <c r="X2020" s="0" t="s">
        <v>148</v>
      </c>
      <c r="Y2020" s="0" t="s">
        <v>1792</v>
      </c>
      <c r="AV2020" s="68"/>
      <c r="AW2020" s="68"/>
      <c r="AY2020" s="27"/>
      <c r="BD2020" s="68">
        <v>46054.1666666667</v>
      </c>
      <c r="BE2020" s="68">
        <v>46082.1666666667</v>
      </c>
      <c r="BF2020" s="0" t="b">
        <v>0</v>
      </c>
      <c r="BG2020" s="0" t="b">
        <v>0</v>
      </c>
      <c r="BH2020" s="0">
        <v>0</v>
      </c>
      <c r="BI2020" s="0">
        <v>0</v>
      </c>
      <c r="BJ2020" s="0" t="s">
        <v>135</v>
      </c>
    </row>
    <row r="2021">
      <c r="A2021" s="0" t="s">
        <v>2252</v>
      </c>
      <c r="B2021" s="0" t="s">
        <v>134</v>
      </c>
      <c r="C2021" s="0" t="s">
        <v>134</v>
      </c>
      <c r="D2021" s="0" t="s">
        <v>135</v>
      </c>
      <c r="E2021" s="0" t="s">
        <v>2</v>
      </c>
      <c r="F2021" s="0" t="s">
        <v>12</v>
      </c>
      <c r="G2021" s="0" t="s">
        <v>8</v>
      </c>
      <c r="H2021" s="0">
        <v>982</v>
      </c>
      <c r="I2021" s="0">
        <v>0</v>
      </c>
      <c r="J2021" s="0">
        <v>0</v>
      </c>
      <c r="K2021" s="0">
        <v>1</v>
      </c>
      <c r="L2021" s="0">
        <v>6</v>
      </c>
      <c r="M2021" s="0">
        <v>1</v>
      </c>
      <c r="N2021" s="0">
        <v>0</v>
      </c>
      <c r="O2021" s="0">
        <v>0</v>
      </c>
      <c r="P2021" s="0">
        <v>0</v>
      </c>
      <c r="R2021" s="0" t="b">
        <v>0</v>
      </c>
      <c r="S2021" s="0" t="b">
        <v>1</v>
      </c>
      <c r="T2021" s="68">
        <v>45071.3222222222</v>
      </c>
      <c r="U2021" s="68">
        <v>45085.3333333333</v>
      </c>
      <c r="V2021" s="68">
        <v>0</v>
      </c>
      <c r="W2021" s="0">
        <f>IF(IF(B2021="none",1,IF(B2021="Trialer",1,0))+IF(C2021="Customer",1,IF(C2021="Lost",1,0))=2,1,0)</f>
      </c>
      <c r="X2021" s="0" t="s">
        <v>148</v>
      </c>
      <c r="Y2021" s="0" t="s">
        <v>1587</v>
      </c>
      <c r="AV2021" s="68"/>
      <c r="AW2021" s="68"/>
      <c r="AY2021" s="27"/>
      <c r="BD2021" s="68">
        <v>46054.1666666667</v>
      </c>
      <c r="BE2021" s="68">
        <v>46082.1666666667</v>
      </c>
      <c r="BF2021" s="0" t="b">
        <v>0</v>
      </c>
      <c r="BG2021" s="0" t="b">
        <v>0</v>
      </c>
      <c r="BH2021" s="0">
        <v>0</v>
      </c>
      <c r="BI2021" s="0">
        <v>0</v>
      </c>
      <c r="BJ2021" s="0" t="s">
        <v>135</v>
      </c>
    </row>
    <row r="2022">
      <c r="A2022" s="0" t="s">
        <v>2253</v>
      </c>
      <c r="B2022" s="0" t="s">
        <v>134</v>
      </c>
      <c r="C2022" s="0" t="s">
        <v>134</v>
      </c>
      <c r="D2022" s="0" t="s">
        <v>230</v>
      </c>
      <c r="E2022" s="0" t="s">
        <v>3</v>
      </c>
      <c r="F2022" s="0" t="s">
        <v>12</v>
      </c>
      <c r="G2022" s="0" t="s">
        <v>8</v>
      </c>
      <c r="H2022" s="0">
        <v>982</v>
      </c>
      <c r="I2022" s="0">
        <v>306</v>
      </c>
      <c r="J2022" s="0">
        <v>0</v>
      </c>
      <c r="K2022" s="0">
        <v>1</v>
      </c>
      <c r="L2022" s="0">
        <v>5</v>
      </c>
      <c r="M2022" s="0">
        <v>7</v>
      </c>
      <c r="N2022" s="0">
        <v>0</v>
      </c>
      <c r="O2022" s="0">
        <v>0</v>
      </c>
      <c r="P2022" s="0">
        <v>-306</v>
      </c>
      <c r="R2022" s="0" t="b">
        <v>0</v>
      </c>
      <c r="S2022" s="0" t="b">
        <v>1</v>
      </c>
      <c r="T2022" s="68">
        <v>45071.4616782407</v>
      </c>
      <c r="U2022" s="68">
        <v>45086.3333333333</v>
      </c>
      <c r="V2022" s="68">
        <v>0</v>
      </c>
      <c r="W2022" s="0">
        <f>IF(IF(B2022="none",1,IF(B2022="Trialer",1,0))+IF(C2022="Customer",1,IF(C2022="Lost",1,0))=2,1,0)</f>
      </c>
      <c r="X2022" s="0" t="s">
        <v>882</v>
      </c>
      <c r="Y2022" s="0" t="s">
        <v>243</v>
      </c>
      <c r="AV2022" s="68"/>
      <c r="AW2022" s="68"/>
      <c r="AY2022" s="27"/>
      <c r="BD2022" s="68">
        <v>46054.1666666667</v>
      </c>
      <c r="BE2022" s="68">
        <v>46082.1666666667</v>
      </c>
      <c r="BF2022" s="0" t="b">
        <v>0</v>
      </c>
      <c r="BG2022" s="0" t="b">
        <v>0</v>
      </c>
      <c r="BH2022" s="0">
        <v>340</v>
      </c>
      <c r="BI2022" s="0">
        <v>340</v>
      </c>
      <c r="BJ2022" s="0" t="s">
        <v>230</v>
      </c>
    </row>
    <row r="2023">
      <c r="A2023" s="0" t="s">
        <v>2254</v>
      </c>
      <c r="B2023" s="0" t="s">
        <v>134</v>
      </c>
      <c r="C2023" s="0" t="s">
        <v>134</v>
      </c>
      <c r="D2023" s="0" t="s">
        <v>230</v>
      </c>
      <c r="E2023" s="0" t="s">
        <v>3</v>
      </c>
      <c r="F2023" s="0" t="s">
        <v>12</v>
      </c>
      <c r="G2023" s="0" t="s">
        <v>8</v>
      </c>
      <c r="H2023" s="0">
        <v>982</v>
      </c>
      <c r="I2023" s="0">
        <v>43</v>
      </c>
      <c r="J2023" s="0">
        <v>0</v>
      </c>
      <c r="K2023" s="0">
        <v>1</v>
      </c>
      <c r="L2023" s="0">
        <v>3</v>
      </c>
      <c r="M2023" s="0">
        <v>1</v>
      </c>
      <c r="N2023" s="0">
        <v>0</v>
      </c>
      <c r="O2023" s="0">
        <v>0</v>
      </c>
      <c r="P2023" s="0">
        <v>473</v>
      </c>
      <c r="R2023" s="0" t="b">
        <v>0</v>
      </c>
      <c r="S2023" s="0" t="b">
        <v>1</v>
      </c>
      <c r="T2023" s="68">
        <v>45071.7916666667</v>
      </c>
      <c r="U2023" s="68">
        <v>45085.5</v>
      </c>
      <c r="V2023" s="68">
        <v>0</v>
      </c>
      <c r="W2023" s="0">
        <f>IF(IF(B2023="none",1,IF(B2023="Trialer",1,0))+IF(C2023="Customer",1,IF(C2023="Lost",1,0))=2,1,0)</f>
      </c>
      <c r="X2023" s="0" t="s">
        <v>142</v>
      </c>
      <c r="Y2023" s="0" t="s">
        <v>243</v>
      </c>
      <c r="AV2023" s="68"/>
      <c r="AW2023" s="68"/>
      <c r="AY2023" s="27"/>
      <c r="BD2023" s="68">
        <v>46054.1666666667</v>
      </c>
      <c r="BE2023" s="68">
        <v>46082.1666666667</v>
      </c>
      <c r="BF2023" s="0" t="b">
        <v>0</v>
      </c>
      <c r="BG2023" s="0" t="b">
        <v>0</v>
      </c>
      <c r="BH2023" s="0">
        <v>49</v>
      </c>
      <c r="BI2023" s="0">
        <v>49</v>
      </c>
      <c r="BJ2023" s="0" t="s">
        <v>230</v>
      </c>
    </row>
    <row r="2024">
      <c r="A2024" s="0" t="s">
        <v>2255</v>
      </c>
      <c r="B2024" s="0" t="s">
        <v>134</v>
      </c>
      <c r="C2024" s="0" t="s">
        <v>134</v>
      </c>
      <c r="D2024" s="0" t="s">
        <v>230</v>
      </c>
      <c r="E2024" s="0" t="s">
        <v>3</v>
      </c>
      <c r="F2024" s="0" t="s">
        <v>12</v>
      </c>
      <c r="G2024" s="0" t="s">
        <v>8</v>
      </c>
      <c r="H2024" s="0">
        <v>981</v>
      </c>
      <c r="I2024" s="0">
        <v>44.1</v>
      </c>
      <c r="J2024" s="0">
        <v>0</v>
      </c>
      <c r="K2024" s="0">
        <v>1</v>
      </c>
      <c r="L2024" s="0">
        <v>3</v>
      </c>
      <c r="M2024" s="0">
        <v>1</v>
      </c>
      <c r="N2024" s="0">
        <v>0</v>
      </c>
      <c r="O2024" s="0">
        <v>0</v>
      </c>
      <c r="P2024" s="0">
        <v>-44.1</v>
      </c>
      <c r="R2024" s="0" t="b">
        <v>0</v>
      </c>
      <c r="S2024" s="0" t="b">
        <v>1</v>
      </c>
      <c r="T2024" s="68">
        <v>45072.4798611111</v>
      </c>
      <c r="U2024" s="68">
        <v>45086.3333333333</v>
      </c>
      <c r="V2024" s="68">
        <v>0</v>
      </c>
      <c r="W2024" s="0">
        <f>IF(IF(B2024="none",1,IF(B2024="Trialer",1,0))+IF(C2024="Customer",1,IF(C2024="Lost",1,0))=2,1,0)</f>
      </c>
      <c r="X2024" s="0" t="s">
        <v>142</v>
      </c>
      <c r="Y2024" s="0" t="s">
        <v>243</v>
      </c>
      <c r="AV2024" s="68"/>
      <c r="AW2024" s="68"/>
      <c r="AY2024" s="27"/>
      <c r="BD2024" s="68">
        <v>46054.1666666667</v>
      </c>
      <c r="BE2024" s="68">
        <v>46082.1666666667</v>
      </c>
      <c r="BF2024" s="0" t="b">
        <v>0</v>
      </c>
      <c r="BG2024" s="0" t="b">
        <v>0</v>
      </c>
      <c r="BH2024" s="0">
        <v>49</v>
      </c>
      <c r="BI2024" s="0">
        <v>49</v>
      </c>
      <c r="BJ2024" s="0" t="s">
        <v>230</v>
      </c>
    </row>
    <row r="2025">
      <c r="A2025" s="0" t="s">
        <v>2256</v>
      </c>
      <c r="B2025" s="0" t="s">
        <v>134</v>
      </c>
      <c r="C2025" s="0" t="s">
        <v>134</v>
      </c>
      <c r="D2025" s="0" t="s">
        <v>230</v>
      </c>
      <c r="E2025" s="0" t="s">
        <v>3</v>
      </c>
      <c r="F2025" s="0" t="s">
        <v>12</v>
      </c>
      <c r="G2025" s="0" t="s">
        <v>8</v>
      </c>
      <c r="H2025" s="0">
        <v>977</v>
      </c>
      <c r="I2025" s="0">
        <v>160</v>
      </c>
      <c r="J2025" s="0">
        <v>0</v>
      </c>
      <c r="K2025" s="0">
        <v>1</v>
      </c>
      <c r="L2025" s="0">
        <v>3</v>
      </c>
      <c r="M2025" s="0">
        <v>5</v>
      </c>
      <c r="N2025" s="0">
        <v>0</v>
      </c>
      <c r="O2025" s="0">
        <v>0</v>
      </c>
      <c r="P2025" s="0">
        <v>-160</v>
      </c>
      <c r="R2025" s="0" t="b">
        <v>0</v>
      </c>
      <c r="S2025" s="0" t="b">
        <v>1</v>
      </c>
      <c r="T2025" s="68">
        <v>45076.7756597222</v>
      </c>
      <c r="U2025" s="68">
        <v>45121.3333333333</v>
      </c>
      <c r="V2025" s="68">
        <v>0</v>
      </c>
      <c r="W2025" s="0">
        <f>IF(IF(B2025="none",1,IF(B2025="Trialer",1,0))+IF(C2025="Customer",1,IF(C2025="Lost",1,0))=2,1,0)</f>
      </c>
      <c r="X2025" s="0" t="s">
        <v>136</v>
      </c>
      <c r="Y2025" s="0" t="s">
        <v>243</v>
      </c>
      <c r="AV2025" s="68"/>
      <c r="AW2025" s="68"/>
      <c r="AY2025" s="27"/>
      <c r="BD2025" s="68">
        <v>46054.1666666667</v>
      </c>
      <c r="BE2025" s="68">
        <v>46082.1666666667</v>
      </c>
      <c r="BF2025" s="0" t="b">
        <v>0</v>
      </c>
      <c r="BG2025" s="0" t="b">
        <v>0</v>
      </c>
      <c r="BH2025" s="0">
        <v>179</v>
      </c>
      <c r="BI2025" s="0">
        <v>179</v>
      </c>
      <c r="BJ2025" s="0" t="s">
        <v>230</v>
      </c>
    </row>
    <row r="2026">
      <c r="A2026" s="0" t="s">
        <v>2257</v>
      </c>
      <c r="B2026" s="0" t="s">
        <v>134</v>
      </c>
      <c r="C2026" s="0" t="s">
        <v>134</v>
      </c>
      <c r="D2026" s="0" t="s">
        <v>135</v>
      </c>
      <c r="E2026" s="0" t="s">
        <v>3</v>
      </c>
      <c r="F2026" s="0" t="s">
        <v>12</v>
      </c>
      <c r="G2026" s="0" t="s">
        <v>8</v>
      </c>
      <c r="H2026" s="0">
        <v>976</v>
      </c>
      <c r="I2026" s="0">
        <v>49</v>
      </c>
      <c r="J2026" s="0">
        <v>0</v>
      </c>
      <c r="K2026" s="0">
        <v>1</v>
      </c>
      <c r="L2026" s="0">
        <v>3</v>
      </c>
      <c r="M2026" s="0">
        <v>1</v>
      </c>
      <c r="N2026" s="0">
        <v>0</v>
      </c>
      <c r="O2026" s="0">
        <v>0</v>
      </c>
      <c r="P2026" s="0">
        <v>0</v>
      </c>
      <c r="R2026" s="0" t="b">
        <v>0</v>
      </c>
      <c r="S2026" s="0" t="b">
        <v>1</v>
      </c>
      <c r="T2026" s="68">
        <v>45077.5467592593</v>
      </c>
      <c r="U2026" s="68">
        <v>45091.3333333333</v>
      </c>
      <c r="V2026" s="68">
        <v>0</v>
      </c>
      <c r="W2026" s="0">
        <f>IF(IF(B2026="none",1,IF(B2026="Trialer",1,0))+IF(C2026="Customer",1,IF(C2026="Lost",1,0))=2,1,0)</f>
      </c>
      <c r="X2026" s="0" t="s">
        <v>142</v>
      </c>
      <c r="Y2026" s="0" t="s">
        <v>243</v>
      </c>
      <c r="AV2026" s="68"/>
      <c r="AW2026" s="68"/>
      <c r="AY2026" s="27"/>
      <c r="BD2026" s="68">
        <v>46054.1666666667</v>
      </c>
      <c r="BE2026" s="68">
        <v>46082.1666666667</v>
      </c>
      <c r="BF2026" s="0" t="b">
        <v>0</v>
      </c>
      <c r="BG2026" s="0" t="b">
        <v>0</v>
      </c>
      <c r="BH2026" s="0">
        <v>49</v>
      </c>
      <c r="BI2026" s="0">
        <v>49</v>
      </c>
      <c r="BJ2026" s="0" t="s">
        <v>135</v>
      </c>
    </row>
    <row r="2027">
      <c r="A2027" s="0" t="s">
        <v>2258</v>
      </c>
      <c r="B2027" s="0" t="s">
        <v>134</v>
      </c>
      <c r="C2027" s="0" t="s">
        <v>134</v>
      </c>
      <c r="D2027" s="0" t="s">
        <v>135</v>
      </c>
      <c r="E2027" s="0" t="s">
        <v>3</v>
      </c>
      <c r="F2027" s="0" t="s">
        <v>12</v>
      </c>
      <c r="G2027" s="0" t="s">
        <v>8</v>
      </c>
      <c r="H2027" s="0">
        <v>976</v>
      </c>
      <c r="I2027" s="0">
        <v>49</v>
      </c>
      <c r="J2027" s="0">
        <v>0</v>
      </c>
      <c r="K2027" s="0">
        <v>1</v>
      </c>
      <c r="L2027" s="0">
        <v>3</v>
      </c>
      <c r="M2027" s="0">
        <v>1</v>
      </c>
      <c r="N2027" s="0">
        <v>0</v>
      </c>
      <c r="O2027" s="0">
        <v>0</v>
      </c>
      <c r="P2027" s="0">
        <v>0</v>
      </c>
      <c r="R2027" s="0" t="b">
        <v>0</v>
      </c>
      <c r="S2027" s="0" t="b">
        <v>1</v>
      </c>
      <c r="T2027" s="68">
        <v>45077.5666782407</v>
      </c>
      <c r="U2027" s="68">
        <v>45091.3333333333</v>
      </c>
      <c r="V2027" s="68">
        <v>0</v>
      </c>
      <c r="W2027" s="0">
        <f>IF(IF(B2027="none",1,IF(B2027="Trialer",1,0))+IF(C2027="Customer",1,IF(C2027="Lost",1,0))=2,1,0)</f>
      </c>
      <c r="X2027" s="0" t="s">
        <v>142</v>
      </c>
      <c r="Y2027" s="0" t="s">
        <v>1792</v>
      </c>
      <c r="AV2027" s="68"/>
      <c r="AW2027" s="68"/>
      <c r="AY2027" s="27"/>
      <c r="BD2027" s="68">
        <v>46054.1666666667</v>
      </c>
      <c r="BE2027" s="68">
        <v>46082.1666666667</v>
      </c>
      <c r="BF2027" s="0" t="b">
        <v>0</v>
      </c>
      <c r="BG2027" s="0" t="b">
        <v>0</v>
      </c>
      <c r="BH2027" s="0">
        <v>49</v>
      </c>
      <c r="BI2027" s="0">
        <v>49</v>
      </c>
      <c r="BJ2027" s="0" t="s">
        <v>135</v>
      </c>
    </row>
    <row r="2028">
      <c r="A2028" s="0" t="s">
        <v>2259</v>
      </c>
      <c r="B2028" s="0" t="s">
        <v>134</v>
      </c>
      <c r="C2028" s="0" t="s">
        <v>134</v>
      </c>
      <c r="D2028" s="0" t="s">
        <v>230</v>
      </c>
      <c r="E2028" s="0" t="s">
        <v>2</v>
      </c>
      <c r="F2028" s="0" t="s">
        <v>12</v>
      </c>
      <c r="G2028" s="0" t="s">
        <v>8</v>
      </c>
      <c r="H2028" s="0">
        <v>974</v>
      </c>
      <c r="I2028" s="0">
        <v>133.2</v>
      </c>
      <c r="J2028" s="0">
        <v>0</v>
      </c>
      <c r="K2028" s="0">
        <v>1</v>
      </c>
      <c r="L2028" s="0">
        <v>2</v>
      </c>
      <c r="M2028" s="0">
        <v>4</v>
      </c>
      <c r="N2028" s="0">
        <v>0</v>
      </c>
      <c r="O2028" s="0">
        <v>0</v>
      </c>
      <c r="P2028" s="0">
        <v>-133.2</v>
      </c>
      <c r="R2028" s="0" t="b">
        <v>0</v>
      </c>
      <c r="S2028" s="0" t="b">
        <v>1</v>
      </c>
      <c r="T2028" s="68">
        <v>45079.3571759259</v>
      </c>
      <c r="U2028" s="68">
        <v>45096.3333333333</v>
      </c>
      <c r="V2028" s="68">
        <v>0</v>
      </c>
      <c r="W2028" s="0">
        <f>IF(IF(B2028="none",1,IF(B2028="Trialer",1,0))+IF(C2028="Customer",1,IF(C2028="Lost",1,0))=2,1,0)</f>
      </c>
      <c r="X2028" s="0" t="s">
        <v>136</v>
      </c>
      <c r="Y2028" s="0" t="s">
        <v>499</v>
      </c>
      <c r="AV2028" s="68"/>
      <c r="AW2028" s="68"/>
      <c r="AY2028" s="27"/>
      <c r="BD2028" s="68">
        <v>46054.1666666667</v>
      </c>
      <c r="BE2028" s="68">
        <v>46082.1666666667</v>
      </c>
      <c r="BF2028" s="0" t="b">
        <v>0</v>
      </c>
      <c r="BG2028" s="0" t="b">
        <v>0</v>
      </c>
      <c r="BH2028" s="0">
        <v>148</v>
      </c>
      <c r="BI2028" s="0">
        <v>148</v>
      </c>
      <c r="BJ2028" s="0" t="s">
        <v>230</v>
      </c>
    </row>
    <row r="2029">
      <c r="A2029" s="0" t="s">
        <v>2260</v>
      </c>
      <c r="B2029" s="0" t="s">
        <v>134</v>
      </c>
      <c r="C2029" s="0" t="s">
        <v>134</v>
      </c>
      <c r="D2029" s="0" t="s">
        <v>135</v>
      </c>
      <c r="E2029" s="0" t="s">
        <v>3</v>
      </c>
      <c r="F2029" s="0" t="s">
        <v>10</v>
      </c>
      <c r="G2029" s="0" t="s">
        <v>8</v>
      </c>
      <c r="H2029" s="0">
        <v>974</v>
      </c>
      <c r="I2029" s="0">
        <v>84</v>
      </c>
      <c r="J2029" s="0">
        <v>0</v>
      </c>
      <c r="K2029" s="0">
        <v>1</v>
      </c>
      <c r="L2029" s="0">
        <v>1</v>
      </c>
      <c r="M2029" s="0">
        <v>3</v>
      </c>
      <c r="N2029" s="0">
        <v>0</v>
      </c>
      <c r="O2029" s="0">
        <v>0</v>
      </c>
      <c r="P2029" s="0">
        <v>0</v>
      </c>
      <c r="Q2029" s="0" t="s">
        <v>618</v>
      </c>
      <c r="R2029" s="0" t="b">
        <v>0</v>
      </c>
      <c r="S2029" s="0" t="b">
        <v>1</v>
      </c>
      <c r="T2029" s="68">
        <v>45079.6486805556</v>
      </c>
      <c r="U2029" s="68">
        <v>45093.3333333333</v>
      </c>
      <c r="V2029" s="68">
        <v>0</v>
      </c>
      <c r="W2029" s="0">
        <f>IF(IF(B2029="none",1,IF(B2029="Trialer",1,0))+IF(C2029="Customer",1,IF(C2029="Lost",1,0))=2,1,0)</f>
      </c>
      <c r="X2029" s="0" t="s">
        <v>148</v>
      </c>
      <c r="Y2029" s="0" t="s">
        <v>243</v>
      </c>
      <c r="AV2029" s="68"/>
      <c r="AW2029" s="68"/>
      <c r="AY2029" s="27"/>
      <c r="BD2029" s="68">
        <v>46054.1666666667</v>
      </c>
      <c r="BE2029" s="68">
        <v>46082.1666666667</v>
      </c>
      <c r="BF2029" s="0" t="b">
        <v>0</v>
      </c>
      <c r="BG2029" s="0" t="b">
        <v>0</v>
      </c>
      <c r="BH2029" s="0">
        <v>84</v>
      </c>
      <c r="BI2029" s="0">
        <v>84</v>
      </c>
      <c r="BJ2029" s="0" t="s">
        <v>135</v>
      </c>
    </row>
    <row r="2030">
      <c r="A2030" s="0" t="s">
        <v>2261</v>
      </c>
      <c r="B2030" s="0" t="s">
        <v>134</v>
      </c>
      <c r="C2030" s="0" t="s">
        <v>134</v>
      </c>
      <c r="D2030" s="0" t="s">
        <v>230</v>
      </c>
      <c r="E2030" s="0" t="s">
        <v>2</v>
      </c>
      <c r="F2030" s="0" t="s">
        <v>12</v>
      </c>
      <c r="G2030" s="0" t="s">
        <v>8</v>
      </c>
      <c r="H2030" s="0">
        <v>969</v>
      </c>
      <c r="I2030" s="0">
        <v>64</v>
      </c>
      <c r="J2030" s="0">
        <v>0</v>
      </c>
      <c r="K2030" s="0">
        <v>1</v>
      </c>
      <c r="L2030" s="0">
        <v>5</v>
      </c>
      <c r="M2030" s="0">
        <v>1</v>
      </c>
      <c r="N2030" s="0">
        <v>0</v>
      </c>
      <c r="O2030" s="0">
        <v>0</v>
      </c>
      <c r="P2030" s="0">
        <v>-64</v>
      </c>
      <c r="R2030" s="0" t="b">
        <v>0</v>
      </c>
      <c r="S2030" s="0" t="b">
        <v>1</v>
      </c>
      <c r="T2030" s="68">
        <v>45084.4048032407</v>
      </c>
      <c r="U2030" s="68">
        <v>45098.3333333333</v>
      </c>
      <c r="V2030" s="68">
        <v>0</v>
      </c>
      <c r="W2030" s="0">
        <f>IF(IF(B2030="none",1,IF(B2030="Trialer",1,0))+IF(C2030="Customer",1,IF(C2030="Lost",1,0))=2,1,0)</f>
      </c>
      <c r="X2030" s="0" t="s">
        <v>166</v>
      </c>
      <c r="Y2030" s="0" t="s">
        <v>499</v>
      </c>
      <c r="AV2030" s="68"/>
      <c r="AW2030" s="68"/>
      <c r="AY2030" s="27"/>
      <c r="BD2030" s="68">
        <v>46054.1666666667</v>
      </c>
      <c r="BE2030" s="68">
        <v>46082.1666666667</v>
      </c>
      <c r="BF2030" s="0" t="b">
        <v>0</v>
      </c>
      <c r="BG2030" s="0" t="b">
        <v>0</v>
      </c>
      <c r="BH2030" s="0">
        <v>73</v>
      </c>
      <c r="BI2030" s="0">
        <v>73</v>
      </c>
      <c r="BJ2030" s="0" t="s">
        <v>230</v>
      </c>
    </row>
    <row r="2031">
      <c r="A2031" s="0" t="s">
        <v>2262</v>
      </c>
      <c r="B2031" s="0" t="s">
        <v>134</v>
      </c>
      <c r="C2031" s="0" t="s">
        <v>134</v>
      </c>
      <c r="D2031" s="0" t="s">
        <v>135</v>
      </c>
      <c r="E2031" s="0" t="s">
        <v>3</v>
      </c>
      <c r="F2031" s="0" t="s">
        <v>11</v>
      </c>
      <c r="G2031" s="0" t="s">
        <v>8</v>
      </c>
      <c r="H2031" s="0">
        <v>969</v>
      </c>
      <c r="I2031" s="0">
        <v>40</v>
      </c>
      <c r="J2031" s="0">
        <v>0</v>
      </c>
      <c r="K2031" s="0">
        <v>1</v>
      </c>
      <c r="L2031" s="0">
        <v>4</v>
      </c>
      <c r="M2031" s="0">
        <v>1</v>
      </c>
      <c r="N2031" s="0">
        <v>0</v>
      </c>
      <c r="O2031" s="0">
        <v>0</v>
      </c>
      <c r="P2031" s="0">
        <v>0</v>
      </c>
      <c r="Q2031" s="0" t="s">
        <v>1743</v>
      </c>
      <c r="R2031" s="0" t="b">
        <v>1</v>
      </c>
      <c r="S2031" s="0" t="b">
        <v>1</v>
      </c>
      <c r="T2031" s="68">
        <v>45084.4431944444</v>
      </c>
      <c r="U2031" s="68">
        <v>45084.3333333333</v>
      </c>
      <c r="V2031" s="68">
        <v>0</v>
      </c>
      <c r="W2031" s="0">
        <f>IF(IF(B2031="none",1,IF(B2031="Trialer",1,0))+IF(C2031="Customer",1,IF(C2031="Lost",1,0))=2,1,0)</f>
      </c>
      <c r="X2031" s="0" t="s">
        <v>145</v>
      </c>
      <c r="Y2031" s="0" t="s">
        <v>243</v>
      </c>
      <c r="AV2031" s="68"/>
      <c r="AW2031" s="68"/>
      <c r="AY2031" s="27"/>
      <c r="BD2031" s="68">
        <v>46054.1666666667</v>
      </c>
      <c r="BE2031" s="68">
        <v>46082.1666666667</v>
      </c>
      <c r="BF2031" s="0" t="b">
        <v>0</v>
      </c>
      <c r="BG2031" s="0" t="b">
        <v>0</v>
      </c>
      <c r="BH2031" s="0">
        <v>40</v>
      </c>
      <c r="BI2031" s="0">
        <v>40</v>
      </c>
      <c r="BJ2031" s="0" t="s">
        <v>135</v>
      </c>
    </row>
    <row r="2032">
      <c r="A2032" s="0" t="s">
        <v>2263</v>
      </c>
      <c r="B2032" s="0" t="s">
        <v>134</v>
      </c>
      <c r="C2032" s="0" t="s">
        <v>134</v>
      </c>
      <c r="D2032" s="0" t="s">
        <v>135</v>
      </c>
      <c r="E2032" s="0" t="s">
        <v>3</v>
      </c>
      <c r="F2032" s="0" t="s">
        <v>11</v>
      </c>
      <c r="G2032" s="0" t="s">
        <v>8</v>
      </c>
      <c r="H2032" s="0">
        <v>968</v>
      </c>
      <c r="I2032" s="0">
        <v>215.2</v>
      </c>
      <c r="J2032" s="0">
        <v>0</v>
      </c>
      <c r="K2032" s="0">
        <v>1</v>
      </c>
      <c r="L2032" s="0">
        <v>4</v>
      </c>
      <c r="M2032" s="0">
        <v>5</v>
      </c>
      <c r="N2032" s="0">
        <v>0</v>
      </c>
      <c r="O2032" s="0">
        <v>0</v>
      </c>
      <c r="P2032" s="0">
        <v>0</v>
      </c>
      <c r="Q2032" s="0" t="s">
        <v>1743</v>
      </c>
      <c r="R2032" s="0" t="b">
        <v>1</v>
      </c>
      <c r="S2032" s="0" t="b">
        <v>1</v>
      </c>
      <c r="T2032" s="68">
        <v>45085.4375925926</v>
      </c>
      <c r="U2032" s="68">
        <v>45085.3333333333</v>
      </c>
      <c r="V2032" s="68">
        <v>0</v>
      </c>
      <c r="W2032" s="0">
        <f>IF(IF(B2032="none",1,IF(B2032="Trialer",1,0))+IF(C2032="Customer",1,IF(C2032="Lost",1,0))=2,1,0)</f>
      </c>
      <c r="X2032" s="0" t="s">
        <v>145</v>
      </c>
      <c r="Y2032" s="0" t="s">
        <v>243</v>
      </c>
      <c r="AV2032" s="68"/>
      <c r="AW2032" s="68"/>
      <c r="AY2032" s="27"/>
      <c r="BD2032" s="68">
        <v>46054.1666666667</v>
      </c>
      <c r="BE2032" s="68">
        <v>46082.1666666667</v>
      </c>
      <c r="BF2032" s="0" t="b">
        <v>0</v>
      </c>
      <c r="BG2032" s="0" t="b">
        <v>0</v>
      </c>
      <c r="BH2032" s="0">
        <v>215.2</v>
      </c>
      <c r="BI2032" s="0">
        <v>215.2</v>
      </c>
      <c r="BJ2032" s="0" t="s">
        <v>135</v>
      </c>
    </row>
    <row r="2033">
      <c r="A2033" s="0" t="s">
        <v>2264</v>
      </c>
      <c r="B2033" s="0" t="s">
        <v>134</v>
      </c>
      <c r="C2033" s="0" t="s">
        <v>134</v>
      </c>
      <c r="D2033" s="0" t="s">
        <v>135</v>
      </c>
      <c r="E2033" s="0" t="s">
        <v>3</v>
      </c>
      <c r="F2033" s="0" t="s">
        <v>12</v>
      </c>
      <c r="G2033" s="0" t="s">
        <v>8</v>
      </c>
      <c r="H2033" s="0">
        <v>968</v>
      </c>
      <c r="I2033" s="0">
        <v>150</v>
      </c>
      <c r="J2033" s="0">
        <v>0</v>
      </c>
      <c r="K2033" s="0">
        <v>1</v>
      </c>
      <c r="L2033" s="0">
        <v>4</v>
      </c>
      <c r="M2033" s="0">
        <v>3</v>
      </c>
      <c r="N2033" s="0">
        <v>0</v>
      </c>
      <c r="O2033" s="0">
        <v>0</v>
      </c>
      <c r="P2033" s="0">
        <v>0</v>
      </c>
      <c r="R2033" s="0" t="b">
        <v>0</v>
      </c>
      <c r="S2033" s="0" t="b">
        <v>1</v>
      </c>
      <c r="T2033" s="68">
        <v>45085.5110532407</v>
      </c>
      <c r="U2033" s="68">
        <v>45112.3333333333</v>
      </c>
      <c r="V2033" s="68">
        <v>0</v>
      </c>
      <c r="W2033" s="0">
        <f>IF(IF(B2033="none",1,IF(B2033="Trialer",1,0))+IF(C2033="Customer",1,IF(C2033="Lost",1,0))=2,1,0)</f>
      </c>
      <c r="X2033" s="0" t="s">
        <v>153</v>
      </c>
      <c r="Y2033" s="0" t="s">
        <v>243</v>
      </c>
      <c r="AV2033" s="68"/>
      <c r="AW2033" s="68"/>
      <c r="AY2033" s="27"/>
      <c r="BD2033" s="68">
        <v>46054.1666666667</v>
      </c>
      <c r="BE2033" s="68">
        <v>46082.1666666667</v>
      </c>
      <c r="BF2033" s="0" t="b">
        <v>0</v>
      </c>
      <c r="BG2033" s="0" t="b">
        <v>0</v>
      </c>
      <c r="BH2033" s="0">
        <v>150</v>
      </c>
      <c r="BI2033" s="0">
        <v>150</v>
      </c>
      <c r="BJ2033" s="0" t="s">
        <v>135</v>
      </c>
    </row>
    <row r="2034">
      <c r="A2034" s="0" t="s">
        <v>2265</v>
      </c>
      <c r="B2034" s="0" t="s">
        <v>134</v>
      </c>
      <c r="C2034" s="0" t="s">
        <v>134</v>
      </c>
      <c r="D2034" s="0" t="s">
        <v>135</v>
      </c>
      <c r="E2034" s="0" t="s">
        <v>3</v>
      </c>
      <c r="F2034" s="0" t="s">
        <v>12</v>
      </c>
      <c r="G2034" s="0" t="s">
        <v>8</v>
      </c>
      <c r="H2034" s="0">
        <v>968</v>
      </c>
      <c r="I2034" s="0">
        <v>28</v>
      </c>
      <c r="J2034" s="0">
        <v>0</v>
      </c>
      <c r="K2034" s="0">
        <v>1</v>
      </c>
      <c r="L2034" s="0">
        <v>1</v>
      </c>
      <c r="M2034" s="0">
        <v>1</v>
      </c>
      <c r="N2034" s="0">
        <v>0</v>
      </c>
      <c r="O2034" s="0">
        <v>0</v>
      </c>
      <c r="P2034" s="0">
        <v>0</v>
      </c>
      <c r="R2034" s="0" t="b">
        <v>0</v>
      </c>
      <c r="S2034" s="0" t="b">
        <v>1</v>
      </c>
      <c r="T2034" s="68">
        <v>45085.9543287037</v>
      </c>
      <c r="U2034" s="68">
        <v>45099.3333333333</v>
      </c>
      <c r="V2034" s="68">
        <v>0</v>
      </c>
      <c r="W2034" s="0">
        <f>IF(IF(B2034="none",1,IF(B2034="Trialer",1,0))+IF(C2034="Customer",1,IF(C2034="Lost",1,0))=2,1,0)</f>
      </c>
      <c r="X2034" s="0" t="s">
        <v>153</v>
      </c>
      <c r="Y2034" s="0" t="s">
        <v>243</v>
      </c>
      <c r="AV2034" s="68"/>
      <c r="AW2034" s="68"/>
      <c r="AY2034" s="27"/>
      <c r="BD2034" s="68">
        <v>46054.1666666667</v>
      </c>
      <c r="BE2034" s="68">
        <v>46082.1666666667</v>
      </c>
      <c r="BF2034" s="0" t="b">
        <v>0</v>
      </c>
      <c r="BG2034" s="0" t="b">
        <v>0</v>
      </c>
      <c r="BH2034" s="0">
        <v>28</v>
      </c>
      <c r="BI2034" s="0">
        <v>28</v>
      </c>
      <c r="BJ2034" s="0" t="s">
        <v>135</v>
      </c>
    </row>
    <row r="2035">
      <c r="A2035" s="0" t="s">
        <v>2266</v>
      </c>
      <c r="B2035" s="0" t="s">
        <v>134</v>
      </c>
      <c r="C2035" s="0" t="s">
        <v>134</v>
      </c>
      <c r="D2035" s="0" t="s">
        <v>135</v>
      </c>
      <c r="E2035" s="0" t="s">
        <v>3</v>
      </c>
      <c r="F2035" s="0" t="s">
        <v>12</v>
      </c>
      <c r="G2035" s="0" t="s">
        <v>8</v>
      </c>
      <c r="H2035" s="0">
        <v>966</v>
      </c>
      <c r="I2035" s="0">
        <v>98</v>
      </c>
      <c r="J2035" s="0">
        <v>0</v>
      </c>
      <c r="K2035" s="0">
        <v>1</v>
      </c>
      <c r="L2035" s="0">
        <v>3</v>
      </c>
      <c r="M2035" s="0">
        <v>2</v>
      </c>
      <c r="N2035" s="0">
        <v>0</v>
      </c>
      <c r="O2035" s="0">
        <v>0</v>
      </c>
      <c r="P2035" s="0">
        <v>0</v>
      </c>
      <c r="R2035" s="0" t="b">
        <v>0</v>
      </c>
      <c r="S2035" s="0" t="b">
        <v>1</v>
      </c>
      <c r="T2035" s="68">
        <v>45087.6276967593</v>
      </c>
      <c r="U2035" s="68">
        <v>45112.3333333333</v>
      </c>
      <c r="V2035" s="68">
        <v>0</v>
      </c>
      <c r="W2035" s="0">
        <f>IF(IF(B2035="none",1,IF(B2035="Trialer",1,0))+IF(C2035="Customer",1,IF(C2035="Lost",1,0))=2,1,0)</f>
      </c>
      <c r="X2035" s="0" t="s">
        <v>142</v>
      </c>
      <c r="Y2035" s="0" t="s">
        <v>243</v>
      </c>
      <c r="AV2035" s="68"/>
      <c r="AW2035" s="68"/>
      <c r="AY2035" s="27"/>
      <c r="BD2035" s="68">
        <v>46054.1666666667</v>
      </c>
      <c r="BE2035" s="68">
        <v>46082.1666666667</v>
      </c>
      <c r="BF2035" s="0" t="b">
        <v>0</v>
      </c>
      <c r="BG2035" s="0" t="b">
        <v>0</v>
      </c>
      <c r="BH2035" s="0">
        <v>98</v>
      </c>
      <c r="BI2035" s="0">
        <v>98</v>
      </c>
      <c r="BJ2035" s="0" t="s">
        <v>135</v>
      </c>
    </row>
    <row r="2036">
      <c r="A2036" s="0" t="s">
        <v>2267</v>
      </c>
      <c r="B2036" s="0" t="s">
        <v>134</v>
      </c>
      <c r="C2036" s="0" t="s">
        <v>134</v>
      </c>
      <c r="D2036" s="0" t="s">
        <v>135</v>
      </c>
      <c r="E2036" s="0" t="s">
        <v>2</v>
      </c>
      <c r="F2036" s="0" t="s">
        <v>12</v>
      </c>
      <c r="G2036" s="0" t="s">
        <v>7</v>
      </c>
      <c r="H2036" s="0">
        <v>964</v>
      </c>
      <c r="I2036" s="0">
        <v>40</v>
      </c>
      <c r="J2036" s="0">
        <v>0</v>
      </c>
      <c r="K2036" s="0">
        <v>1</v>
      </c>
      <c r="L2036" s="0">
        <v>1</v>
      </c>
      <c r="M2036" s="0">
        <v>1</v>
      </c>
      <c r="N2036" s="0">
        <v>0</v>
      </c>
      <c r="O2036" s="0">
        <v>0</v>
      </c>
      <c r="P2036" s="0">
        <v>0</v>
      </c>
      <c r="R2036" s="0" t="b">
        <v>0</v>
      </c>
      <c r="S2036" s="0" t="b">
        <v>1</v>
      </c>
      <c r="T2036" s="68">
        <v>45089.5</v>
      </c>
      <c r="U2036" s="68">
        <v>45089.5</v>
      </c>
      <c r="V2036" s="68">
        <v>0</v>
      </c>
      <c r="W2036" s="0">
        <f>IF(IF(B2036="none",1,IF(B2036="Trialer",1,0))+IF(C2036="Customer",1,IF(C2036="Lost",1,0))=2,1,0)</f>
      </c>
      <c r="X2036" s="0" t="s">
        <v>145</v>
      </c>
      <c r="Y2036" s="0" t="s">
        <v>137</v>
      </c>
      <c r="AV2036" s="68"/>
      <c r="AW2036" s="68"/>
      <c r="AY2036" s="27"/>
      <c r="BD2036" s="68">
        <v>46054.1666666667</v>
      </c>
      <c r="BE2036" s="68">
        <v>46082.1666666667</v>
      </c>
      <c r="BF2036" s="0" t="b">
        <v>0</v>
      </c>
      <c r="BG2036" s="0" t="b">
        <v>0</v>
      </c>
      <c r="BH2036" s="0">
        <v>40</v>
      </c>
      <c r="BI2036" s="0">
        <v>40</v>
      </c>
      <c r="BJ2036" s="0" t="s">
        <v>135</v>
      </c>
    </row>
    <row r="2037">
      <c r="A2037" s="0" t="s">
        <v>2268</v>
      </c>
      <c r="B2037" s="0" t="s">
        <v>134</v>
      </c>
      <c r="C2037" s="0" t="s">
        <v>134</v>
      </c>
      <c r="D2037" s="0" t="s">
        <v>135</v>
      </c>
      <c r="E2037" s="0" t="s">
        <v>3</v>
      </c>
      <c r="F2037" s="0" t="s">
        <v>10</v>
      </c>
      <c r="G2037" s="0" t="s">
        <v>8</v>
      </c>
      <c r="H2037" s="0">
        <v>964</v>
      </c>
      <c r="I2037" s="0">
        <v>56</v>
      </c>
      <c r="J2037" s="0">
        <v>0</v>
      </c>
      <c r="K2037" s="0">
        <v>1</v>
      </c>
      <c r="L2037" s="0">
        <v>1</v>
      </c>
      <c r="M2037" s="0">
        <v>2</v>
      </c>
      <c r="N2037" s="0">
        <v>0</v>
      </c>
      <c r="O2037" s="0">
        <v>0</v>
      </c>
      <c r="P2037" s="0">
        <v>0</v>
      </c>
      <c r="Q2037" s="0" t="s">
        <v>618</v>
      </c>
      <c r="R2037" s="0" t="b">
        <v>0</v>
      </c>
      <c r="S2037" s="0" t="b">
        <v>1</v>
      </c>
      <c r="T2037" s="68">
        <v>45089.5130555556</v>
      </c>
      <c r="U2037" s="68">
        <v>45103.3333333333</v>
      </c>
      <c r="V2037" s="68">
        <v>0</v>
      </c>
      <c r="W2037" s="0">
        <f>IF(IF(B2037="none",1,IF(B2037="Trialer",1,0))+IF(C2037="Customer",1,IF(C2037="Lost",1,0))=2,1,0)</f>
      </c>
      <c r="X2037" s="0" t="s">
        <v>148</v>
      </c>
      <c r="Y2037" s="0" t="s">
        <v>243</v>
      </c>
      <c r="AV2037" s="68"/>
      <c r="AW2037" s="68"/>
      <c r="AY2037" s="27"/>
      <c r="BD2037" s="68">
        <v>46054.1666666667</v>
      </c>
      <c r="BE2037" s="68">
        <v>46082.1666666667</v>
      </c>
      <c r="BF2037" s="0" t="b">
        <v>0</v>
      </c>
      <c r="BG2037" s="0" t="b">
        <v>0</v>
      </c>
      <c r="BH2037" s="0">
        <v>56</v>
      </c>
      <c r="BI2037" s="0">
        <v>56</v>
      </c>
      <c r="BJ2037" s="0" t="s">
        <v>135</v>
      </c>
    </row>
    <row r="2038">
      <c r="A2038" s="0" t="s">
        <v>2269</v>
      </c>
      <c r="B2038" s="0" t="s">
        <v>134</v>
      </c>
      <c r="C2038" s="0" t="s">
        <v>134</v>
      </c>
      <c r="D2038" s="0" t="s">
        <v>135</v>
      </c>
      <c r="E2038" s="0" t="s">
        <v>3</v>
      </c>
      <c r="F2038" s="0" t="s">
        <v>12</v>
      </c>
      <c r="G2038" s="0" t="s">
        <v>8</v>
      </c>
      <c r="H2038" s="0">
        <v>964</v>
      </c>
      <c r="I2038" s="0">
        <v>175</v>
      </c>
      <c r="J2038" s="0">
        <v>0</v>
      </c>
      <c r="K2038" s="0">
        <v>1</v>
      </c>
      <c r="L2038" s="0">
        <v>3</v>
      </c>
      <c r="M2038" s="0">
        <v>4</v>
      </c>
      <c r="N2038" s="0">
        <v>1305</v>
      </c>
      <c r="O2038" s="0">
        <v>0</v>
      </c>
      <c r="P2038" s="0">
        <v>0</v>
      </c>
      <c r="R2038" s="0" t="b">
        <v>0</v>
      </c>
      <c r="S2038" s="0" t="b">
        <v>1</v>
      </c>
      <c r="T2038" s="68">
        <v>45089.5465972222</v>
      </c>
      <c r="U2038" s="68">
        <v>45124.3333333333</v>
      </c>
      <c r="V2038" s="68">
        <v>0</v>
      </c>
      <c r="W2038" s="0">
        <f>IF(IF(B2038="none",1,IF(B2038="Trialer",1,0))+IF(C2038="Customer",1,IF(C2038="Lost",1,0))=2,1,0)</f>
      </c>
      <c r="X2038" s="0" t="s">
        <v>136</v>
      </c>
      <c r="Y2038" s="0" t="s">
        <v>243</v>
      </c>
      <c r="AV2038" s="68"/>
      <c r="AW2038" s="68"/>
      <c r="AY2038" s="27"/>
      <c r="BD2038" s="68">
        <v>46054.1666666667</v>
      </c>
      <c r="BE2038" s="68">
        <v>46082.1666666667</v>
      </c>
      <c r="BF2038" s="0" t="b">
        <v>0</v>
      </c>
      <c r="BG2038" s="0" t="b">
        <v>0</v>
      </c>
      <c r="BH2038" s="0">
        <v>175</v>
      </c>
      <c r="BI2038" s="0">
        <v>175</v>
      </c>
      <c r="BJ2038" s="0" t="s">
        <v>135</v>
      </c>
    </row>
    <row r="2039">
      <c r="A2039" s="0" t="s">
        <v>2270</v>
      </c>
      <c r="B2039" s="0" t="s">
        <v>134</v>
      </c>
      <c r="C2039" s="0" t="s">
        <v>134</v>
      </c>
      <c r="D2039" s="0" t="s">
        <v>135</v>
      </c>
      <c r="E2039" s="0" t="s">
        <v>2</v>
      </c>
      <c r="F2039" s="0" t="s">
        <v>10</v>
      </c>
      <c r="G2039" s="0" t="s">
        <v>8</v>
      </c>
      <c r="H2039" s="0">
        <v>961</v>
      </c>
      <c r="I2039" s="0">
        <v>1648</v>
      </c>
      <c r="J2039" s="0">
        <v>0</v>
      </c>
      <c r="K2039" s="0">
        <v>1</v>
      </c>
      <c r="L2039" s="0">
        <v>4</v>
      </c>
      <c r="M2039" s="0">
        <v>28</v>
      </c>
      <c r="N2039" s="0">
        <v>0</v>
      </c>
      <c r="O2039" s="0">
        <v>0</v>
      </c>
      <c r="P2039" s="0">
        <v>0</v>
      </c>
      <c r="Q2039" s="0" t="s">
        <v>357</v>
      </c>
      <c r="R2039" s="0" t="b">
        <v>0</v>
      </c>
      <c r="S2039" s="0" t="b">
        <v>1</v>
      </c>
      <c r="T2039" s="68">
        <v>45092.4057638889</v>
      </c>
      <c r="U2039" s="68">
        <v>45112.3333333333</v>
      </c>
      <c r="V2039" s="68">
        <v>0</v>
      </c>
      <c r="W2039" s="0">
        <f>IF(IF(B2039="none",1,IF(B2039="Trialer",1,0))+IF(C2039="Customer",1,IF(C2039="Lost",1,0))=2,1,0)</f>
      </c>
      <c r="X2039" s="0" t="s">
        <v>148</v>
      </c>
      <c r="Y2039" s="0" t="s">
        <v>499</v>
      </c>
      <c r="AV2039" s="68"/>
      <c r="AW2039" s="68"/>
      <c r="AY2039" s="27"/>
      <c r="BD2039" s="68">
        <v>46054.1666666667</v>
      </c>
      <c r="BE2039" s="68">
        <v>46082.1666666667</v>
      </c>
      <c r="BF2039" s="0" t="b">
        <v>0</v>
      </c>
      <c r="BG2039" s="0" t="b">
        <v>0</v>
      </c>
      <c r="BH2039" s="0">
        <v>1648</v>
      </c>
      <c r="BI2039" s="0">
        <v>1648</v>
      </c>
      <c r="BJ2039" s="0" t="s">
        <v>135</v>
      </c>
    </row>
    <row r="2040">
      <c r="A2040" s="0" t="s">
        <v>2271</v>
      </c>
      <c r="B2040" s="0" t="s">
        <v>134</v>
      </c>
      <c r="C2040" s="0" t="s">
        <v>134</v>
      </c>
      <c r="D2040" s="0" t="s">
        <v>135</v>
      </c>
      <c r="E2040" s="0" t="s">
        <v>3</v>
      </c>
      <c r="F2040" s="0" t="s">
        <v>12</v>
      </c>
      <c r="G2040" s="0" t="s">
        <v>8</v>
      </c>
      <c r="H2040" s="0">
        <v>961</v>
      </c>
      <c r="I2040" s="0">
        <v>49</v>
      </c>
      <c r="J2040" s="0">
        <v>0</v>
      </c>
      <c r="K2040" s="0">
        <v>1</v>
      </c>
      <c r="L2040" s="0">
        <v>3</v>
      </c>
      <c r="M2040" s="0">
        <v>1</v>
      </c>
      <c r="N2040" s="0">
        <v>0</v>
      </c>
      <c r="O2040" s="0">
        <v>0</v>
      </c>
      <c r="P2040" s="0">
        <v>0</v>
      </c>
      <c r="R2040" s="0" t="b">
        <v>0</v>
      </c>
      <c r="S2040" s="0" t="b">
        <v>1</v>
      </c>
      <c r="T2040" s="68">
        <v>45092.473599537</v>
      </c>
      <c r="U2040" s="68">
        <v>45119.3333333333</v>
      </c>
      <c r="V2040" s="68">
        <v>0</v>
      </c>
      <c r="W2040" s="0">
        <f>IF(IF(B2040="none",1,IF(B2040="Trialer",1,0))+IF(C2040="Customer",1,IF(C2040="Lost",1,0))=2,1,0)</f>
      </c>
      <c r="X2040" s="0" t="s">
        <v>166</v>
      </c>
      <c r="Y2040" s="0" t="s">
        <v>243</v>
      </c>
      <c r="AV2040" s="68"/>
      <c r="AW2040" s="68"/>
      <c r="AY2040" s="27"/>
      <c r="BD2040" s="68">
        <v>46054.1666666667</v>
      </c>
      <c r="BE2040" s="68">
        <v>46082.1666666667</v>
      </c>
      <c r="BF2040" s="0" t="b">
        <v>0</v>
      </c>
      <c r="BG2040" s="0" t="b">
        <v>0</v>
      </c>
      <c r="BH2040" s="0">
        <v>49</v>
      </c>
      <c r="BI2040" s="0">
        <v>49</v>
      </c>
      <c r="BJ2040" s="0" t="s">
        <v>135</v>
      </c>
    </row>
    <row r="2041">
      <c r="A2041" s="0" t="s">
        <v>2272</v>
      </c>
      <c r="B2041" s="0" t="s">
        <v>134</v>
      </c>
      <c r="C2041" s="0" t="s">
        <v>134</v>
      </c>
      <c r="D2041" s="0" t="s">
        <v>135</v>
      </c>
      <c r="E2041" s="0" t="s">
        <v>3</v>
      </c>
      <c r="F2041" s="0" t="s">
        <v>12</v>
      </c>
      <c r="G2041" s="0" t="s">
        <v>8</v>
      </c>
      <c r="H2041" s="0">
        <v>961</v>
      </c>
      <c r="I2041" s="0">
        <v>0</v>
      </c>
      <c r="J2041" s="0">
        <v>0</v>
      </c>
      <c r="K2041" s="0">
        <v>1</v>
      </c>
      <c r="L2041" s="0">
        <v>4</v>
      </c>
      <c r="M2041" s="0">
        <v>2</v>
      </c>
      <c r="N2041" s="0">
        <v>0</v>
      </c>
      <c r="O2041" s="0">
        <v>0</v>
      </c>
      <c r="P2041" s="0">
        <v>0</v>
      </c>
      <c r="R2041" s="0" t="b">
        <v>0</v>
      </c>
      <c r="S2041" s="0" t="b">
        <v>1</v>
      </c>
      <c r="T2041" s="68">
        <v>45092.5879976852</v>
      </c>
      <c r="U2041" s="68">
        <v>45106.3333333333</v>
      </c>
      <c r="V2041" s="68">
        <v>0</v>
      </c>
      <c r="W2041" s="0">
        <f>IF(IF(B2041="none",1,IF(B2041="Trialer",1,0))+IF(C2041="Customer",1,IF(C2041="Lost",1,0))=2,1,0)</f>
      </c>
      <c r="X2041" s="0" t="s">
        <v>136</v>
      </c>
      <c r="Y2041" s="0" t="s">
        <v>243</v>
      </c>
      <c r="AV2041" s="68"/>
      <c r="AW2041" s="68"/>
      <c r="AY2041" s="27"/>
      <c r="BD2041" s="68">
        <v>46054.1666666667</v>
      </c>
      <c r="BE2041" s="68">
        <v>46082.1666666667</v>
      </c>
      <c r="BF2041" s="0" t="b">
        <v>0</v>
      </c>
      <c r="BG2041" s="0" t="b">
        <v>0</v>
      </c>
      <c r="BH2041" s="0">
        <v>0</v>
      </c>
      <c r="BI2041" s="0">
        <v>0</v>
      </c>
      <c r="BJ2041" s="0" t="s">
        <v>135</v>
      </c>
    </row>
    <row r="2042">
      <c r="A2042" s="0" t="s">
        <v>2273</v>
      </c>
      <c r="B2042" s="0" t="s">
        <v>134</v>
      </c>
      <c r="C2042" s="0" t="s">
        <v>134</v>
      </c>
      <c r="D2042" s="0" t="s">
        <v>230</v>
      </c>
      <c r="E2042" s="0" t="s">
        <v>3</v>
      </c>
      <c r="F2042" s="0" t="s">
        <v>12</v>
      </c>
      <c r="G2042" s="0" t="s">
        <v>8</v>
      </c>
      <c r="H2042" s="0">
        <v>961</v>
      </c>
      <c r="I2042" s="0">
        <v>910</v>
      </c>
      <c r="J2042" s="0">
        <v>0</v>
      </c>
      <c r="K2042" s="0">
        <v>1</v>
      </c>
      <c r="L2042" s="0">
        <v>6</v>
      </c>
      <c r="M2042" s="0">
        <v>14</v>
      </c>
      <c r="N2042" s="0">
        <v>0</v>
      </c>
      <c r="O2042" s="0">
        <v>0</v>
      </c>
      <c r="P2042" s="0">
        <v>-585</v>
      </c>
      <c r="R2042" s="0" t="b">
        <v>0</v>
      </c>
      <c r="S2042" s="0" t="b">
        <v>1</v>
      </c>
      <c r="T2042" s="68">
        <v>45092.66625</v>
      </c>
      <c r="U2042" s="68">
        <v>45120.3333333333</v>
      </c>
      <c r="V2042" s="68">
        <v>0</v>
      </c>
      <c r="W2042" s="0">
        <f>IF(IF(B2042="none",1,IF(B2042="Trialer",1,0))+IF(C2042="Customer",1,IF(C2042="Lost",1,0))=2,1,0)</f>
      </c>
      <c r="X2042" s="0" t="s">
        <v>882</v>
      </c>
      <c r="Y2042" s="0" t="s">
        <v>243</v>
      </c>
      <c r="AV2042" s="68"/>
      <c r="AW2042" s="68"/>
      <c r="AY2042" s="27"/>
      <c r="BD2042" s="68">
        <v>46054.1666666667</v>
      </c>
      <c r="BE2042" s="68">
        <v>46082.1666666667</v>
      </c>
      <c r="BF2042" s="0" t="b">
        <v>0</v>
      </c>
      <c r="BG2042" s="0" t="b">
        <v>0</v>
      </c>
      <c r="BH2042" s="0">
        <v>687</v>
      </c>
      <c r="BI2042" s="0">
        <v>687</v>
      </c>
      <c r="BJ2042" s="0" t="s">
        <v>230</v>
      </c>
    </row>
    <row r="2043">
      <c r="A2043" s="0" t="s">
        <v>2274</v>
      </c>
      <c r="B2043" s="0" t="s">
        <v>134</v>
      </c>
      <c r="C2043" s="0" t="s">
        <v>134</v>
      </c>
      <c r="D2043" s="0" t="s">
        <v>135</v>
      </c>
      <c r="E2043" s="0" t="s">
        <v>3</v>
      </c>
      <c r="F2043" s="0" t="s">
        <v>12</v>
      </c>
      <c r="G2043" s="0" t="s">
        <v>8</v>
      </c>
      <c r="H2043" s="0">
        <v>960</v>
      </c>
      <c r="I2043" s="0">
        <v>0</v>
      </c>
      <c r="J2043" s="0">
        <v>0</v>
      </c>
      <c r="K2043" s="0">
        <v>1</v>
      </c>
      <c r="L2043" s="0">
        <v>5</v>
      </c>
      <c r="M2043" s="0">
        <v>1</v>
      </c>
      <c r="N2043" s="0">
        <v>0</v>
      </c>
      <c r="O2043" s="0">
        <v>0</v>
      </c>
      <c r="P2043" s="0">
        <v>0</v>
      </c>
      <c r="R2043" s="0" t="b">
        <v>0</v>
      </c>
      <c r="S2043" s="0" t="b">
        <v>1</v>
      </c>
      <c r="T2043" s="68">
        <v>45093.467974537</v>
      </c>
      <c r="U2043" s="68">
        <v>45112.3333333333</v>
      </c>
      <c r="V2043" s="68">
        <v>0</v>
      </c>
      <c r="W2043" s="0">
        <f>IF(IF(B2043="none",1,IF(B2043="Trialer",1,0))+IF(C2043="Customer",1,IF(C2043="Lost",1,0))=2,1,0)</f>
      </c>
      <c r="X2043" s="0" t="s">
        <v>882</v>
      </c>
      <c r="Y2043" s="0" t="s">
        <v>243</v>
      </c>
      <c r="AV2043" s="68"/>
      <c r="AW2043" s="68"/>
      <c r="AY2043" s="27"/>
      <c r="BD2043" s="68">
        <v>46054.1666666667</v>
      </c>
      <c r="BE2043" s="68">
        <v>46082.1666666667</v>
      </c>
      <c r="BF2043" s="0" t="b">
        <v>0</v>
      </c>
      <c r="BG2043" s="0" t="b">
        <v>0</v>
      </c>
      <c r="BH2043" s="0">
        <v>0</v>
      </c>
      <c r="BI2043" s="0">
        <v>0</v>
      </c>
      <c r="BJ2043" s="0" t="s">
        <v>135</v>
      </c>
    </row>
    <row r="2044">
      <c r="A2044" s="0" t="s">
        <v>2275</v>
      </c>
      <c r="B2044" s="0" t="s">
        <v>134</v>
      </c>
      <c r="C2044" s="0" t="s">
        <v>134</v>
      </c>
      <c r="D2044" s="0" t="s">
        <v>230</v>
      </c>
      <c r="E2044" s="0" t="s">
        <v>3</v>
      </c>
      <c r="F2044" s="0" t="s">
        <v>12</v>
      </c>
      <c r="G2044" s="0" t="s">
        <v>8</v>
      </c>
      <c r="H2044" s="0">
        <v>957</v>
      </c>
      <c r="I2044" s="0">
        <v>131</v>
      </c>
      <c r="J2044" s="0">
        <v>0</v>
      </c>
      <c r="K2044" s="0">
        <v>1</v>
      </c>
      <c r="L2044" s="0">
        <v>4</v>
      </c>
      <c r="M2044" s="0">
        <v>3</v>
      </c>
      <c r="N2044" s="0">
        <v>0</v>
      </c>
      <c r="O2044" s="0">
        <v>0</v>
      </c>
      <c r="P2044" s="0">
        <v>-131</v>
      </c>
      <c r="R2044" s="0" t="b">
        <v>0</v>
      </c>
      <c r="S2044" s="0" t="b">
        <v>1</v>
      </c>
      <c r="T2044" s="68">
        <v>45096.3879166667</v>
      </c>
      <c r="U2044" s="68">
        <v>45110.3333333333</v>
      </c>
      <c r="V2044" s="68">
        <v>0</v>
      </c>
      <c r="W2044" s="0">
        <f>IF(IF(B2044="none",1,IF(B2044="Trialer",1,0))+IF(C2044="Customer",1,IF(C2044="Lost",1,0))=2,1,0)</f>
      </c>
      <c r="X2044" s="0" t="s">
        <v>153</v>
      </c>
      <c r="Y2044" s="0" t="s">
        <v>243</v>
      </c>
      <c r="AV2044" s="68"/>
      <c r="AW2044" s="68"/>
      <c r="AY2044" s="27"/>
      <c r="BD2044" s="68">
        <v>46054.1666666667</v>
      </c>
      <c r="BE2044" s="68">
        <v>46082.1666666667</v>
      </c>
      <c r="BF2044" s="0" t="b">
        <v>0</v>
      </c>
      <c r="BG2044" s="0" t="b">
        <v>0</v>
      </c>
      <c r="BH2044" s="0">
        <v>147</v>
      </c>
      <c r="BI2044" s="0">
        <v>147</v>
      </c>
      <c r="BJ2044" s="0" t="s">
        <v>230</v>
      </c>
    </row>
    <row r="2045">
      <c r="A2045" s="0" t="s">
        <v>2276</v>
      </c>
      <c r="B2045" s="0" t="s">
        <v>134</v>
      </c>
      <c r="C2045" s="0" t="s">
        <v>134</v>
      </c>
      <c r="D2045" s="0" t="s">
        <v>230</v>
      </c>
      <c r="E2045" s="0" t="s">
        <v>3</v>
      </c>
      <c r="F2045" s="0" t="s">
        <v>12</v>
      </c>
      <c r="G2045" s="0" t="s">
        <v>8</v>
      </c>
      <c r="H2045" s="0">
        <v>957</v>
      </c>
      <c r="I2045" s="0">
        <v>50</v>
      </c>
      <c r="J2045" s="0">
        <v>0</v>
      </c>
      <c r="K2045" s="0">
        <v>1</v>
      </c>
      <c r="L2045" s="0">
        <v>1</v>
      </c>
      <c r="M2045" s="0">
        <v>2</v>
      </c>
      <c r="N2045" s="0">
        <v>0</v>
      </c>
      <c r="O2045" s="0">
        <v>0</v>
      </c>
      <c r="P2045" s="0">
        <v>-50</v>
      </c>
      <c r="R2045" s="0" t="b">
        <v>0</v>
      </c>
      <c r="S2045" s="0" t="b">
        <v>1</v>
      </c>
      <c r="T2045" s="68">
        <v>45096.6815625</v>
      </c>
      <c r="U2045" s="68">
        <v>45127.3333333333</v>
      </c>
      <c r="V2045" s="68">
        <v>0</v>
      </c>
      <c r="W2045" s="0">
        <f>IF(IF(B2045="none",1,IF(B2045="Trialer",1,0))+IF(C2045="Customer",1,IF(C2045="Lost",1,0))=2,1,0)</f>
      </c>
      <c r="X2045" s="0" t="s">
        <v>166</v>
      </c>
      <c r="Y2045" s="0" t="s">
        <v>243</v>
      </c>
      <c r="AV2045" s="68"/>
      <c r="AW2045" s="68"/>
      <c r="AY2045" s="27"/>
      <c r="BD2045" s="68">
        <v>46054.1666666667</v>
      </c>
      <c r="BE2045" s="68">
        <v>46082.1666666667</v>
      </c>
      <c r="BF2045" s="0" t="b">
        <v>0</v>
      </c>
      <c r="BG2045" s="0" t="b">
        <v>0</v>
      </c>
      <c r="BH2045" s="0">
        <v>56</v>
      </c>
      <c r="BI2045" s="0">
        <v>56</v>
      </c>
      <c r="BJ2045" s="0" t="s">
        <v>230</v>
      </c>
    </row>
    <row r="2046">
      <c r="A2046" s="0" t="s">
        <v>2277</v>
      </c>
      <c r="B2046" s="0" t="s">
        <v>134</v>
      </c>
      <c r="C2046" s="0" t="s">
        <v>134</v>
      </c>
      <c r="D2046" s="0" t="s">
        <v>135</v>
      </c>
      <c r="E2046" s="0" t="s">
        <v>3</v>
      </c>
      <c r="F2046" s="0" t="s">
        <v>12</v>
      </c>
      <c r="G2046" s="0" t="s">
        <v>8</v>
      </c>
      <c r="H2046" s="0">
        <v>956</v>
      </c>
      <c r="I2046" s="0">
        <v>443</v>
      </c>
      <c r="J2046" s="0">
        <v>0</v>
      </c>
      <c r="K2046" s="0">
        <v>1</v>
      </c>
      <c r="L2046" s="0">
        <v>4</v>
      </c>
      <c r="M2046" s="0">
        <v>8</v>
      </c>
      <c r="N2046" s="0">
        <v>0</v>
      </c>
      <c r="O2046" s="0">
        <v>0</v>
      </c>
      <c r="P2046" s="0">
        <v>0</v>
      </c>
      <c r="R2046" s="0" t="b">
        <v>0</v>
      </c>
      <c r="S2046" s="0" t="b">
        <v>1</v>
      </c>
      <c r="T2046" s="68">
        <v>45097.6758796296</v>
      </c>
      <c r="U2046" s="68">
        <v>45117.3333333333</v>
      </c>
      <c r="V2046" s="68">
        <v>0</v>
      </c>
      <c r="W2046" s="0">
        <f>IF(IF(B2046="none",1,IF(B2046="Trialer",1,0))+IF(C2046="Customer",1,IF(C2046="Lost",1,0))=2,1,0)</f>
      </c>
      <c r="X2046" s="0" t="s">
        <v>136</v>
      </c>
      <c r="Y2046" s="0" t="s">
        <v>243</v>
      </c>
      <c r="AV2046" s="68"/>
      <c r="AW2046" s="68"/>
      <c r="AY2046" s="27"/>
      <c r="BD2046" s="68">
        <v>46054.1666666667</v>
      </c>
      <c r="BE2046" s="68">
        <v>46082.1666666667</v>
      </c>
      <c r="BF2046" s="0" t="b">
        <v>0</v>
      </c>
      <c r="BG2046" s="0" t="b">
        <v>0</v>
      </c>
      <c r="BH2046" s="0">
        <v>443</v>
      </c>
      <c r="BI2046" s="0">
        <v>443</v>
      </c>
      <c r="BJ2046" s="0" t="s">
        <v>135</v>
      </c>
    </row>
    <row r="2047">
      <c r="A2047" s="0" t="s">
        <v>2278</v>
      </c>
      <c r="B2047" s="0" t="s">
        <v>134</v>
      </c>
      <c r="C2047" s="0" t="s">
        <v>134</v>
      </c>
      <c r="D2047" s="0" t="s">
        <v>135</v>
      </c>
      <c r="E2047" s="0" t="s">
        <v>2</v>
      </c>
      <c r="F2047" s="0" t="s">
        <v>12</v>
      </c>
      <c r="G2047" s="0" t="s">
        <v>8</v>
      </c>
      <c r="H2047" s="0">
        <v>955</v>
      </c>
      <c r="I2047" s="0">
        <v>256</v>
      </c>
      <c r="J2047" s="0">
        <v>0</v>
      </c>
      <c r="K2047" s="0">
        <v>1</v>
      </c>
      <c r="L2047" s="0">
        <v>4</v>
      </c>
      <c r="M2047" s="0">
        <v>7</v>
      </c>
      <c r="N2047" s="0">
        <v>0</v>
      </c>
      <c r="O2047" s="0">
        <v>0</v>
      </c>
      <c r="P2047" s="0">
        <v>0</v>
      </c>
      <c r="R2047" s="0" t="b">
        <v>0</v>
      </c>
      <c r="S2047" s="0" t="b">
        <v>1</v>
      </c>
      <c r="T2047" s="68">
        <v>45098.4893865741</v>
      </c>
      <c r="U2047" s="68">
        <v>45122.3333333333</v>
      </c>
      <c r="V2047" s="68">
        <v>0</v>
      </c>
      <c r="W2047" s="0">
        <f>IF(IF(B2047="none",1,IF(B2047="Trialer",1,0))+IF(C2047="Customer",1,IF(C2047="Lost",1,0))=2,1,0)</f>
      </c>
      <c r="X2047" s="0" t="s">
        <v>148</v>
      </c>
      <c r="Y2047" s="0" t="s">
        <v>499</v>
      </c>
      <c r="AV2047" s="68"/>
      <c r="AW2047" s="68"/>
      <c r="AY2047" s="27"/>
      <c r="BD2047" s="68">
        <v>46054.1666666667</v>
      </c>
      <c r="BE2047" s="68">
        <v>46082.1666666667</v>
      </c>
      <c r="BF2047" s="0" t="b">
        <v>0</v>
      </c>
      <c r="BG2047" s="0" t="b">
        <v>0</v>
      </c>
      <c r="BH2047" s="0">
        <v>265</v>
      </c>
      <c r="BI2047" s="0">
        <v>265</v>
      </c>
      <c r="BJ2047" s="0" t="s">
        <v>135</v>
      </c>
    </row>
    <row r="2048">
      <c r="A2048" s="0" t="s">
        <v>2279</v>
      </c>
      <c r="B2048" s="0" t="s">
        <v>134</v>
      </c>
      <c r="C2048" s="0" t="s">
        <v>134</v>
      </c>
      <c r="D2048" s="0" t="s">
        <v>230</v>
      </c>
      <c r="E2048" s="0" t="s">
        <v>2</v>
      </c>
      <c r="F2048" s="0" t="s">
        <v>12</v>
      </c>
      <c r="G2048" s="0" t="s">
        <v>8</v>
      </c>
      <c r="H2048" s="0">
        <v>955</v>
      </c>
      <c r="I2048" s="0">
        <v>308</v>
      </c>
      <c r="J2048" s="0">
        <v>0</v>
      </c>
      <c r="K2048" s="0">
        <v>1</v>
      </c>
      <c r="L2048" s="0">
        <v>3</v>
      </c>
      <c r="M2048" s="0">
        <v>7</v>
      </c>
      <c r="N2048" s="0">
        <v>0</v>
      </c>
      <c r="O2048" s="0">
        <v>0</v>
      </c>
      <c r="P2048" s="0">
        <v>-308</v>
      </c>
      <c r="R2048" s="0" t="b">
        <v>0</v>
      </c>
      <c r="S2048" s="0" t="b">
        <v>1</v>
      </c>
      <c r="T2048" s="68">
        <v>45098.5006712963</v>
      </c>
      <c r="U2048" s="68">
        <v>45113.3333333333</v>
      </c>
      <c r="V2048" s="68">
        <v>0</v>
      </c>
      <c r="W2048" s="0">
        <f>IF(IF(B2048="none",1,IF(B2048="Trialer",1,0))+IF(C2048="Customer",1,IF(C2048="Lost",1,0))=2,1,0)</f>
      </c>
      <c r="X2048" s="0" t="s">
        <v>145</v>
      </c>
      <c r="Y2048" s="0" t="s">
        <v>499</v>
      </c>
      <c r="AV2048" s="68"/>
      <c r="AW2048" s="68"/>
      <c r="AY2048" s="27"/>
      <c r="BD2048" s="68">
        <v>46054.1666666667</v>
      </c>
      <c r="BE2048" s="68">
        <v>46082.1666666667</v>
      </c>
      <c r="BF2048" s="0" t="b">
        <v>0</v>
      </c>
      <c r="BG2048" s="0" t="b">
        <v>0</v>
      </c>
      <c r="BH2048" s="0">
        <v>343</v>
      </c>
      <c r="BI2048" s="0">
        <v>343</v>
      </c>
      <c r="BJ2048" s="0" t="s">
        <v>230</v>
      </c>
    </row>
    <row r="2049">
      <c r="A2049" s="0" t="s">
        <v>2280</v>
      </c>
      <c r="B2049" s="0" t="s">
        <v>134</v>
      </c>
      <c r="C2049" s="0" t="s">
        <v>134</v>
      </c>
      <c r="D2049" s="0" t="s">
        <v>230</v>
      </c>
      <c r="E2049" s="0" t="s">
        <v>3</v>
      </c>
      <c r="F2049" s="0" t="s">
        <v>12</v>
      </c>
      <c r="G2049" s="0" t="s">
        <v>8</v>
      </c>
      <c r="H2049" s="0">
        <v>954</v>
      </c>
      <c r="I2049" s="0">
        <v>25</v>
      </c>
      <c r="J2049" s="0">
        <v>0</v>
      </c>
      <c r="K2049" s="0">
        <v>1</v>
      </c>
      <c r="L2049" s="0">
        <v>1</v>
      </c>
      <c r="M2049" s="0">
        <v>1</v>
      </c>
      <c r="N2049" s="0">
        <v>0</v>
      </c>
      <c r="O2049" s="0">
        <v>0</v>
      </c>
      <c r="P2049" s="0">
        <v>-25</v>
      </c>
      <c r="R2049" s="0" t="b">
        <v>0</v>
      </c>
      <c r="S2049" s="0" t="b">
        <v>1</v>
      </c>
      <c r="T2049" s="68">
        <v>45099.4755787037</v>
      </c>
      <c r="U2049" s="68">
        <v>45113.3333333333</v>
      </c>
      <c r="V2049" s="68">
        <v>0</v>
      </c>
      <c r="W2049" s="0">
        <f>IF(IF(B2049="none",1,IF(B2049="Trialer",1,0))+IF(C2049="Customer",1,IF(C2049="Lost",1,0))=2,1,0)</f>
      </c>
      <c r="X2049" s="0" t="s">
        <v>142</v>
      </c>
      <c r="Y2049" s="0" t="s">
        <v>243</v>
      </c>
      <c r="AV2049" s="68"/>
      <c r="AW2049" s="68"/>
      <c r="AY2049" s="27"/>
      <c r="BD2049" s="68">
        <v>46054.1666666667</v>
      </c>
      <c r="BE2049" s="68">
        <v>46082.1666666667</v>
      </c>
      <c r="BF2049" s="0" t="b">
        <v>0</v>
      </c>
      <c r="BG2049" s="0" t="b">
        <v>0</v>
      </c>
      <c r="BH2049" s="0">
        <v>28</v>
      </c>
      <c r="BI2049" s="0">
        <v>28</v>
      </c>
      <c r="BJ2049" s="0" t="s">
        <v>230</v>
      </c>
    </row>
    <row r="2050">
      <c r="A2050" s="0" t="s">
        <v>2281</v>
      </c>
      <c r="B2050" s="0" t="s">
        <v>134</v>
      </c>
      <c r="C2050" s="0" t="s">
        <v>134</v>
      </c>
      <c r="D2050" s="0" t="s">
        <v>135</v>
      </c>
      <c r="E2050" s="0" t="s">
        <v>2</v>
      </c>
      <c r="F2050" s="0" t="s">
        <v>12</v>
      </c>
      <c r="G2050" s="0" t="s">
        <v>8</v>
      </c>
      <c r="H2050" s="0">
        <v>954</v>
      </c>
      <c r="I2050" s="0">
        <v>605</v>
      </c>
      <c r="J2050" s="0">
        <v>0</v>
      </c>
      <c r="K2050" s="0">
        <v>1</v>
      </c>
      <c r="L2050" s="0">
        <v>3</v>
      </c>
      <c r="M2050" s="0">
        <v>7</v>
      </c>
      <c r="N2050" s="0">
        <v>0</v>
      </c>
      <c r="O2050" s="0">
        <v>0</v>
      </c>
      <c r="P2050" s="0">
        <v>0</v>
      </c>
      <c r="R2050" s="0" t="b">
        <v>0</v>
      </c>
      <c r="S2050" s="0" t="b">
        <v>1</v>
      </c>
      <c r="T2050" s="68">
        <v>45099.5270833333</v>
      </c>
      <c r="U2050" s="68">
        <v>45113.3333333333</v>
      </c>
      <c r="V2050" s="68">
        <v>0</v>
      </c>
      <c r="W2050" s="0">
        <f>IF(IF(B2050="none",1,IF(B2050="Trialer",1,0))+IF(C2050="Customer",1,IF(C2050="Lost",1,0))=2,1,0)</f>
      </c>
      <c r="X2050" s="0" t="s">
        <v>882</v>
      </c>
      <c r="Y2050" s="0" t="s">
        <v>499</v>
      </c>
      <c r="AV2050" s="68"/>
      <c r="AW2050" s="68"/>
      <c r="AY2050" s="27"/>
      <c r="BD2050" s="68">
        <v>46054.1666666667</v>
      </c>
      <c r="BE2050" s="68">
        <v>46082.1666666667</v>
      </c>
      <c r="BF2050" s="0" t="b">
        <v>0</v>
      </c>
      <c r="BG2050" s="0" t="b">
        <v>0</v>
      </c>
      <c r="BH2050" s="0">
        <v>280</v>
      </c>
      <c r="BI2050" s="0">
        <v>280</v>
      </c>
      <c r="BJ2050" s="0" t="s">
        <v>135</v>
      </c>
    </row>
    <row r="2051">
      <c r="A2051" s="0" t="s">
        <v>2282</v>
      </c>
      <c r="B2051" s="0" t="s">
        <v>134</v>
      </c>
      <c r="C2051" s="0" t="s">
        <v>134</v>
      </c>
      <c r="D2051" s="0" t="s">
        <v>135</v>
      </c>
      <c r="E2051" s="0" t="s">
        <v>3</v>
      </c>
      <c r="F2051" s="0" t="s">
        <v>12</v>
      </c>
      <c r="G2051" s="0" t="s">
        <v>8</v>
      </c>
      <c r="H2051" s="0">
        <v>954</v>
      </c>
      <c r="I2051" s="0">
        <v>355</v>
      </c>
      <c r="J2051" s="0">
        <v>0</v>
      </c>
      <c r="K2051" s="0">
        <v>1</v>
      </c>
      <c r="L2051" s="0">
        <v>4</v>
      </c>
      <c r="M2051" s="0">
        <v>7</v>
      </c>
      <c r="N2051" s="0">
        <v>0</v>
      </c>
      <c r="O2051" s="0">
        <v>0</v>
      </c>
      <c r="P2051" s="0">
        <v>0</v>
      </c>
      <c r="R2051" s="0" t="b">
        <v>0</v>
      </c>
      <c r="S2051" s="0" t="b">
        <v>1</v>
      </c>
      <c r="T2051" s="68">
        <v>45099.5972337963</v>
      </c>
      <c r="U2051" s="68">
        <v>45117.3333333333</v>
      </c>
      <c r="V2051" s="68">
        <v>0</v>
      </c>
      <c r="W2051" s="0">
        <f>IF(IF(B2051="none",1,IF(B2051="Trialer",1,0))+IF(C2051="Customer",1,IF(C2051="Lost",1,0))=2,1,0)</f>
      </c>
      <c r="X2051" s="0" t="s">
        <v>145</v>
      </c>
      <c r="Y2051" s="0" t="s">
        <v>243</v>
      </c>
      <c r="AV2051" s="68"/>
      <c r="AW2051" s="68"/>
      <c r="AY2051" s="27"/>
      <c r="BD2051" s="68">
        <v>46054.1666666667</v>
      </c>
      <c r="BE2051" s="68">
        <v>46082.1666666667</v>
      </c>
      <c r="BF2051" s="0" t="b">
        <v>0</v>
      </c>
      <c r="BG2051" s="0" t="b">
        <v>0</v>
      </c>
      <c r="BH2051" s="0">
        <v>306</v>
      </c>
      <c r="BI2051" s="0">
        <v>306</v>
      </c>
      <c r="BJ2051" s="0" t="s">
        <v>135</v>
      </c>
    </row>
    <row r="2052">
      <c r="A2052" s="0" t="s">
        <v>2283</v>
      </c>
      <c r="B2052" s="0" t="s">
        <v>134</v>
      </c>
      <c r="C2052" s="0" t="s">
        <v>134</v>
      </c>
      <c r="D2052" s="0" t="s">
        <v>230</v>
      </c>
      <c r="E2052" s="0" t="s">
        <v>3</v>
      </c>
      <c r="F2052" s="0" t="s">
        <v>12</v>
      </c>
      <c r="G2052" s="0" t="s">
        <v>8</v>
      </c>
      <c r="H2052" s="0">
        <v>954</v>
      </c>
      <c r="I2052" s="0">
        <v>407</v>
      </c>
      <c r="J2052" s="0">
        <v>0</v>
      </c>
      <c r="K2052" s="0">
        <v>1</v>
      </c>
      <c r="L2052" s="0">
        <v>3</v>
      </c>
      <c r="M2052" s="0">
        <v>10</v>
      </c>
      <c r="N2052" s="0">
        <v>0</v>
      </c>
      <c r="O2052" s="0">
        <v>0</v>
      </c>
      <c r="P2052" s="0">
        <v>-407</v>
      </c>
      <c r="R2052" s="0" t="b">
        <v>0</v>
      </c>
      <c r="S2052" s="0" t="b">
        <v>1</v>
      </c>
      <c r="T2052" s="68">
        <v>45099.6403587963</v>
      </c>
      <c r="U2052" s="68">
        <v>45121.3333333333</v>
      </c>
      <c r="V2052" s="68">
        <v>0</v>
      </c>
      <c r="W2052" s="0">
        <f>IF(IF(B2052="none",1,IF(B2052="Trialer",1,0))+IF(C2052="Customer",1,IF(C2052="Lost",1,0))=2,1,0)</f>
      </c>
      <c r="X2052" s="0" t="s">
        <v>136</v>
      </c>
      <c r="Y2052" s="0" t="s">
        <v>243</v>
      </c>
      <c r="AV2052" s="68"/>
      <c r="AW2052" s="68"/>
      <c r="AY2052" s="27"/>
      <c r="BD2052" s="68">
        <v>46054.1666666667</v>
      </c>
      <c r="BE2052" s="68">
        <v>46082.1666666667</v>
      </c>
      <c r="BF2052" s="0" t="b">
        <v>0</v>
      </c>
      <c r="BG2052" s="0" t="b">
        <v>0</v>
      </c>
      <c r="BH2052" s="0">
        <v>460</v>
      </c>
      <c r="BI2052" s="0">
        <v>460</v>
      </c>
      <c r="BJ2052" s="0" t="s">
        <v>230</v>
      </c>
    </row>
    <row r="2053">
      <c r="A2053" s="0" t="s">
        <v>2284</v>
      </c>
      <c r="B2053" s="0" t="s">
        <v>134</v>
      </c>
      <c r="C2053" s="0" t="s">
        <v>134</v>
      </c>
      <c r="D2053" s="0" t="s">
        <v>135</v>
      </c>
      <c r="E2053" s="0" t="s">
        <v>3</v>
      </c>
      <c r="F2053" s="0" t="s">
        <v>12</v>
      </c>
      <c r="G2053" s="0" t="s">
        <v>8</v>
      </c>
      <c r="H2053" s="0">
        <v>954</v>
      </c>
      <c r="I2053" s="0">
        <v>611</v>
      </c>
      <c r="J2053" s="0">
        <v>0</v>
      </c>
      <c r="K2053" s="0">
        <v>1</v>
      </c>
      <c r="L2053" s="0">
        <v>6</v>
      </c>
      <c r="M2053" s="0">
        <v>11</v>
      </c>
      <c r="N2053" s="0">
        <v>0</v>
      </c>
      <c r="O2053" s="0">
        <v>0</v>
      </c>
      <c r="P2053" s="0">
        <v>0</v>
      </c>
      <c r="R2053" s="0" t="b">
        <v>0</v>
      </c>
      <c r="S2053" s="0" t="b">
        <v>1</v>
      </c>
      <c r="T2053" s="68">
        <v>45099.6526041667</v>
      </c>
      <c r="U2053" s="68">
        <v>45121.3333333333</v>
      </c>
      <c r="V2053" s="68">
        <v>0</v>
      </c>
      <c r="W2053" s="0">
        <f>IF(IF(B2053="none",1,IF(B2053="Trialer",1,0))+IF(C2053="Customer",1,IF(C2053="Lost",1,0))=2,1,0)</f>
      </c>
      <c r="X2053" s="0" t="s">
        <v>882</v>
      </c>
      <c r="Y2053" s="0" t="s">
        <v>243</v>
      </c>
      <c r="AV2053" s="68"/>
      <c r="AW2053" s="68"/>
      <c r="AY2053" s="27"/>
      <c r="BD2053" s="68">
        <v>46054.1666666667</v>
      </c>
      <c r="BE2053" s="68">
        <v>46082.1666666667</v>
      </c>
      <c r="BF2053" s="0" t="b">
        <v>0</v>
      </c>
      <c r="BG2053" s="0" t="b">
        <v>0</v>
      </c>
      <c r="BH2053" s="0">
        <v>611</v>
      </c>
      <c r="BI2053" s="0">
        <v>611</v>
      </c>
      <c r="BJ2053" s="0" t="s">
        <v>135</v>
      </c>
    </row>
    <row r="2054">
      <c r="A2054" s="0" t="s">
        <v>2285</v>
      </c>
      <c r="B2054" s="0" t="s">
        <v>134</v>
      </c>
      <c r="C2054" s="0" t="s">
        <v>134</v>
      </c>
      <c r="D2054" s="0" t="s">
        <v>135</v>
      </c>
      <c r="E2054" s="0" t="s">
        <v>3</v>
      </c>
      <c r="F2054" s="0" t="s">
        <v>12</v>
      </c>
      <c r="G2054" s="0" t="s">
        <v>8</v>
      </c>
      <c r="H2054" s="0">
        <v>954</v>
      </c>
      <c r="I2054" s="0">
        <v>56</v>
      </c>
      <c r="J2054" s="0">
        <v>0</v>
      </c>
      <c r="K2054" s="0">
        <v>1</v>
      </c>
      <c r="L2054" s="0">
        <v>1</v>
      </c>
      <c r="M2054" s="0">
        <v>2</v>
      </c>
      <c r="N2054" s="0">
        <v>0</v>
      </c>
      <c r="O2054" s="0">
        <v>0</v>
      </c>
      <c r="P2054" s="0">
        <v>0</v>
      </c>
      <c r="R2054" s="0" t="b">
        <v>0</v>
      </c>
      <c r="S2054" s="0" t="b">
        <v>1</v>
      </c>
      <c r="T2054" s="68">
        <v>45099.6918402778</v>
      </c>
      <c r="U2054" s="68">
        <v>45127.3333333333</v>
      </c>
      <c r="V2054" s="68">
        <v>0</v>
      </c>
      <c r="W2054" s="0">
        <f>IF(IF(B2054="none",1,IF(B2054="Trialer",1,0))+IF(C2054="Customer",1,IF(C2054="Lost",1,0))=2,1,0)</f>
      </c>
      <c r="X2054" s="0" t="s">
        <v>153</v>
      </c>
      <c r="Y2054" s="0" t="s">
        <v>243</v>
      </c>
      <c r="AV2054" s="68"/>
      <c r="AW2054" s="68"/>
      <c r="AY2054" s="27"/>
      <c r="BD2054" s="68">
        <v>46054.1666666667</v>
      </c>
      <c r="BE2054" s="68">
        <v>46082.1666666667</v>
      </c>
      <c r="BF2054" s="0" t="b">
        <v>0</v>
      </c>
      <c r="BG2054" s="0" t="b">
        <v>0</v>
      </c>
      <c r="BH2054" s="0">
        <v>56</v>
      </c>
      <c r="BI2054" s="0">
        <v>56</v>
      </c>
      <c r="BJ2054" s="0" t="s">
        <v>135</v>
      </c>
    </row>
    <row r="2055">
      <c r="A2055" s="0" t="s">
        <v>2286</v>
      </c>
      <c r="B2055" s="0" t="s">
        <v>134</v>
      </c>
      <c r="C2055" s="0" t="s">
        <v>134</v>
      </c>
      <c r="D2055" s="0" t="s">
        <v>135</v>
      </c>
      <c r="E2055" s="0" t="s">
        <v>3</v>
      </c>
      <c r="F2055" s="0" t="s">
        <v>12</v>
      </c>
      <c r="G2055" s="0" t="s">
        <v>8</v>
      </c>
      <c r="H2055" s="0">
        <v>953</v>
      </c>
      <c r="I2055" s="0">
        <v>61</v>
      </c>
      <c r="J2055" s="0">
        <v>0</v>
      </c>
      <c r="K2055" s="0">
        <v>1</v>
      </c>
      <c r="L2055" s="0">
        <v>4</v>
      </c>
      <c r="M2055" s="0">
        <v>1</v>
      </c>
      <c r="N2055" s="0">
        <v>0</v>
      </c>
      <c r="O2055" s="0">
        <v>0</v>
      </c>
      <c r="P2055" s="0">
        <v>0</v>
      </c>
      <c r="R2055" s="0" t="b">
        <v>0</v>
      </c>
      <c r="S2055" s="0" t="b">
        <v>1</v>
      </c>
      <c r="T2055" s="68">
        <v>45100.4622337963</v>
      </c>
      <c r="U2055" s="68">
        <v>45117.3333333333</v>
      </c>
      <c r="V2055" s="68">
        <v>0</v>
      </c>
      <c r="W2055" s="0">
        <f>IF(IF(B2055="none",1,IF(B2055="Trialer",1,0))+IF(C2055="Customer",1,IF(C2055="Lost",1,0))=2,1,0)</f>
      </c>
      <c r="X2055" s="0" t="s">
        <v>142</v>
      </c>
      <c r="Y2055" s="0" t="s">
        <v>243</v>
      </c>
      <c r="AV2055" s="68"/>
      <c r="AW2055" s="68"/>
      <c r="AY2055" s="27"/>
      <c r="BD2055" s="68">
        <v>46054.1666666667</v>
      </c>
      <c r="BE2055" s="68">
        <v>46082.1666666667</v>
      </c>
      <c r="BF2055" s="0" t="b">
        <v>0</v>
      </c>
      <c r="BG2055" s="0" t="b">
        <v>0</v>
      </c>
      <c r="BH2055" s="0">
        <v>61</v>
      </c>
      <c r="BI2055" s="0">
        <v>61</v>
      </c>
      <c r="BJ2055" s="0" t="s">
        <v>135</v>
      </c>
    </row>
    <row r="2056">
      <c r="A2056" s="0" t="s">
        <v>2287</v>
      </c>
      <c r="B2056" s="0" t="s">
        <v>134</v>
      </c>
      <c r="C2056" s="0" t="s">
        <v>134</v>
      </c>
      <c r="D2056" s="0" t="s">
        <v>230</v>
      </c>
      <c r="E2056" s="0" t="s">
        <v>3</v>
      </c>
      <c r="F2056" s="0" t="s">
        <v>12</v>
      </c>
      <c r="G2056" s="0" t="s">
        <v>8</v>
      </c>
      <c r="H2056" s="0">
        <v>953</v>
      </c>
      <c r="I2056" s="0">
        <v>270</v>
      </c>
      <c r="J2056" s="0">
        <v>0</v>
      </c>
      <c r="K2056" s="0">
        <v>1</v>
      </c>
      <c r="L2056" s="0">
        <v>5</v>
      </c>
      <c r="M2056" s="0">
        <v>5</v>
      </c>
      <c r="N2056" s="0">
        <v>0</v>
      </c>
      <c r="O2056" s="0">
        <v>0</v>
      </c>
      <c r="P2056" s="0">
        <v>-270</v>
      </c>
      <c r="R2056" s="0" t="b">
        <v>0</v>
      </c>
      <c r="S2056" s="0" t="b">
        <v>1</v>
      </c>
      <c r="T2056" s="68">
        <v>45100.7006597222</v>
      </c>
      <c r="U2056" s="68">
        <v>45114.3333333333</v>
      </c>
      <c r="V2056" s="68">
        <v>0</v>
      </c>
      <c r="W2056" s="0">
        <f>IF(IF(B2056="none",1,IF(B2056="Trialer",1,0))+IF(C2056="Customer",1,IF(C2056="Lost",1,0))=2,1,0)</f>
      </c>
      <c r="X2056" s="0" t="s">
        <v>145</v>
      </c>
      <c r="Y2056" s="0" t="s">
        <v>243</v>
      </c>
      <c r="AV2056" s="68"/>
      <c r="AW2056" s="68"/>
      <c r="AY2056" s="27"/>
      <c r="BD2056" s="68">
        <v>46054.1666666667</v>
      </c>
      <c r="BE2056" s="68">
        <v>46082.1666666667</v>
      </c>
      <c r="BF2056" s="0" t="b">
        <v>0</v>
      </c>
      <c r="BG2056" s="0" t="b">
        <v>0</v>
      </c>
      <c r="BH2056" s="0">
        <v>305</v>
      </c>
      <c r="BI2056" s="0">
        <v>305</v>
      </c>
      <c r="BJ2056" s="0" t="s">
        <v>230</v>
      </c>
    </row>
    <row r="2057">
      <c r="A2057" s="0" t="s">
        <v>2288</v>
      </c>
      <c r="B2057" s="0" t="s">
        <v>134</v>
      </c>
      <c r="C2057" s="0" t="s">
        <v>134</v>
      </c>
      <c r="D2057" s="0" t="s">
        <v>230</v>
      </c>
      <c r="E2057" s="0" t="s">
        <v>3</v>
      </c>
      <c r="F2057" s="0" t="s">
        <v>12</v>
      </c>
      <c r="G2057" s="0" t="s">
        <v>8</v>
      </c>
      <c r="H2057" s="0">
        <v>952</v>
      </c>
      <c r="I2057" s="0">
        <v>44</v>
      </c>
      <c r="J2057" s="0">
        <v>0</v>
      </c>
      <c r="K2057" s="0">
        <v>1</v>
      </c>
      <c r="L2057" s="0">
        <v>3</v>
      </c>
      <c r="M2057" s="0">
        <v>1</v>
      </c>
      <c r="N2057" s="0">
        <v>0</v>
      </c>
      <c r="O2057" s="0">
        <v>0</v>
      </c>
      <c r="P2057" s="0">
        <v>-44</v>
      </c>
      <c r="R2057" s="0" t="b">
        <v>0</v>
      </c>
      <c r="S2057" s="0" t="b">
        <v>1</v>
      </c>
      <c r="T2057" s="68">
        <v>45101.2784837963</v>
      </c>
      <c r="U2057" s="68">
        <v>45116.3333333333</v>
      </c>
      <c r="V2057" s="68">
        <v>0</v>
      </c>
      <c r="W2057" s="0">
        <f>IF(IF(B2057="none",1,IF(B2057="Trialer",1,0))+IF(C2057="Customer",1,IF(C2057="Lost",1,0))=2,1,0)</f>
      </c>
      <c r="X2057" s="0" t="s">
        <v>142</v>
      </c>
      <c r="Y2057" s="0" t="s">
        <v>243</v>
      </c>
      <c r="AV2057" s="68"/>
      <c r="AW2057" s="68"/>
      <c r="AY2057" s="27"/>
      <c r="BD2057" s="68">
        <v>46054.1666666667</v>
      </c>
      <c r="BE2057" s="68">
        <v>46082.1666666667</v>
      </c>
      <c r="BF2057" s="0" t="b">
        <v>0</v>
      </c>
      <c r="BG2057" s="0" t="b">
        <v>0</v>
      </c>
      <c r="BH2057" s="0">
        <v>49</v>
      </c>
      <c r="BI2057" s="0">
        <v>49</v>
      </c>
      <c r="BJ2057" s="0" t="s">
        <v>230</v>
      </c>
    </row>
    <row r="2058">
      <c r="A2058" s="0" t="s">
        <v>2289</v>
      </c>
      <c r="B2058" s="0" t="s">
        <v>134</v>
      </c>
      <c r="C2058" s="0" t="s">
        <v>134</v>
      </c>
      <c r="D2058" s="0" t="s">
        <v>135</v>
      </c>
      <c r="E2058" s="0" t="s">
        <v>2</v>
      </c>
      <c r="F2058" s="0" t="s">
        <v>12</v>
      </c>
      <c r="G2058" s="0" t="s">
        <v>8</v>
      </c>
      <c r="H2058" s="0">
        <v>950</v>
      </c>
      <c r="I2058" s="0">
        <v>392</v>
      </c>
      <c r="J2058" s="0">
        <v>0</v>
      </c>
      <c r="K2058" s="0">
        <v>1</v>
      </c>
      <c r="L2058" s="0">
        <v>3</v>
      </c>
      <c r="M2058" s="0">
        <v>8</v>
      </c>
      <c r="N2058" s="0">
        <v>0</v>
      </c>
      <c r="O2058" s="0">
        <v>0</v>
      </c>
      <c r="P2058" s="0">
        <v>0</v>
      </c>
      <c r="R2058" s="0" t="b">
        <v>0</v>
      </c>
      <c r="S2058" s="0" t="b">
        <v>1</v>
      </c>
      <c r="T2058" s="68">
        <v>45103.3882638889</v>
      </c>
      <c r="U2058" s="68">
        <v>45117.3333333333</v>
      </c>
      <c r="V2058" s="68">
        <v>0</v>
      </c>
      <c r="W2058" s="0">
        <f>IF(IF(B2058="none",1,IF(B2058="Trialer",1,0))+IF(C2058="Customer",1,IF(C2058="Lost",1,0))=2,1,0)</f>
      </c>
      <c r="X2058" s="0" t="s">
        <v>145</v>
      </c>
      <c r="Y2058" s="0" t="s">
        <v>499</v>
      </c>
      <c r="AV2058" s="68"/>
      <c r="AW2058" s="68"/>
      <c r="AY2058" s="27"/>
      <c r="BD2058" s="68">
        <v>46054.1666666667</v>
      </c>
      <c r="BE2058" s="68">
        <v>46082.1666666667</v>
      </c>
      <c r="BF2058" s="0" t="b">
        <v>0</v>
      </c>
      <c r="BG2058" s="0" t="b">
        <v>0</v>
      </c>
      <c r="BH2058" s="0">
        <v>392</v>
      </c>
      <c r="BI2058" s="0">
        <v>392</v>
      </c>
      <c r="BJ2058" s="0" t="s">
        <v>135</v>
      </c>
    </row>
    <row r="2059">
      <c r="A2059" s="0" t="s">
        <v>2290</v>
      </c>
      <c r="B2059" s="0" t="s">
        <v>134</v>
      </c>
      <c r="C2059" s="0" t="s">
        <v>134</v>
      </c>
      <c r="D2059" s="0" t="s">
        <v>135</v>
      </c>
      <c r="E2059" s="0" t="s">
        <v>2</v>
      </c>
      <c r="F2059" s="0" t="s">
        <v>12</v>
      </c>
      <c r="G2059" s="0" t="s">
        <v>8</v>
      </c>
      <c r="H2059" s="0">
        <v>950</v>
      </c>
      <c r="I2059" s="0">
        <v>61</v>
      </c>
      <c r="J2059" s="0">
        <v>0</v>
      </c>
      <c r="K2059" s="0">
        <v>1</v>
      </c>
      <c r="L2059" s="0">
        <v>4</v>
      </c>
      <c r="M2059" s="0">
        <v>1</v>
      </c>
      <c r="N2059" s="0">
        <v>0</v>
      </c>
      <c r="O2059" s="0">
        <v>0</v>
      </c>
      <c r="P2059" s="0">
        <v>0</v>
      </c>
      <c r="R2059" s="0" t="b">
        <v>0</v>
      </c>
      <c r="S2059" s="0" t="b">
        <v>1</v>
      </c>
      <c r="T2059" s="68">
        <v>45103.5740393518</v>
      </c>
      <c r="U2059" s="68">
        <v>45117.3333333333</v>
      </c>
      <c r="V2059" s="68">
        <v>0</v>
      </c>
      <c r="W2059" s="0">
        <f>IF(IF(B2059="none",1,IF(B2059="Trialer",1,0))+IF(C2059="Customer",1,IF(C2059="Lost",1,0))=2,1,0)</f>
      </c>
      <c r="X2059" s="0" t="s">
        <v>153</v>
      </c>
      <c r="Y2059" s="0" t="s">
        <v>499</v>
      </c>
      <c r="AV2059" s="68"/>
      <c r="AW2059" s="68"/>
      <c r="AY2059" s="27"/>
      <c r="BD2059" s="68">
        <v>46054.1666666667</v>
      </c>
      <c r="BE2059" s="68">
        <v>46082.1666666667</v>
      </c>
      <c r="BF2059" s="0" t="b">
        <v>0</v>
      </c>
      <c r="BG2059" s="0" t="b">
        <v>0</v>
      </c>
      <c r="BH2059" s="0">
        <v>61</v>
      </c>
      <c r="BI2059" s="0">
        <v>61</v>
      </c>
      <c r="BJ2059" s="0" t="s">
        <v>135</v>
      </c>
    </row>
    <row r="2060">
      <c r="A2060" s="0" t="s">
        <v>2291</v>
      </c>
      <c r="B2060" s="0" t="s">
        <v>134</v>
      </c>
      <c r="C2060" s="0" t="s">
        <v>134</v>
      </c>
      <c r="D2060" s="0" t="s">
        <v>230</v>
      </c>
      <c r="E2060" s="0" t="s">
        <v>3</v>
      </c>
      <c r="F2060" s="0" t="s">
        <v>12</v>
      </c>
      <c r="G2060" s="0" t="s">
        <v>8</v>
      </c>
      <c r="H2060" s="0">
        <v>950</v>
      </c>
      <c r="I2060" s="0">
        <v>50</v>
      </c>
      <c r="J2060" s="0">
        <v>0</v>
      </c>
      <c r="K2060" s="0">
        <v>1</v>
      </c>
      <c r="L2060" s="0">
        <v>1</v>
      </c>
      <c r="M2060" s="0">
        <v>2</v>
      </c>
      <c r="N2060" s="0">
        <v>0</v>
      </c>
      <c r="O2060" s="0">
        <v>0</v>
      </c>
      <c r="P2060" s="0">
        <v>-50</v>
      </c>
      <c r="R2060" s="0" t="b">
        <v>0</v>
      </c>
      <c r="S2060" s="0" t="b">
        <v>1</v>
      </c>
      <c r="T2060" s="68">
        <v>45103.5850462963</v>
      </c>
      <c r="U2060" s="68">
        <v>45119.3333333333</v>
      </c>
      <c r="V2060" s="68">
        <v>0</v>
      </c>
      <c r="W2060" s="0">
        <f>IF(IF(B2060="none",1,IF(B2060="Trialer",1,0))+IF(C2060="Customer",1,IF(C2060="Lost",1,0))=2,1,0)</f>
      </c>
      <c r="X2060" s="0" t="s">
        <v>153</v>
      </c>
      <c r="Y2060" s="0" t="s">
        <v>243</v>
      </c>
      <c r="AV2060" s="68"/>
      <c r="AW2060" s="68"/>
      <c r="AY2060" s="27"/>
      <c r="BD2060" s="68">
        <v>46054.1666666667</v>
      </c>
      <c r="BE2060" s="68">
        <v>46082.1666666667</v>
      </c>
      <c r="BF2060" s="0" t="b">
        <v>0</v>
      </c>
      <c r="BG2060" s="0" t="b">
        <v>0</v>
      </c>
      <c r="BH2060" s="0">
        <v>56</v>
      </c>
      <c r="BI2060" s="0">
        <v>56</v>
      </c>
      <c r="BJ2060" s="0" t="s">
        <v>230</v>
      </c>
    </row>
    <row r="2061">
      <c r="A2061" s="0" t="s">
        <v>2292</v>
      </c>
      <c r="B2061" s="0" t="s">
        <v>134</v>
      </c>
      <c r="C2061" s="0" t="s">
        <v>134</v>
      </c>
      <c r="D2061" s="0" t="s">
        <v>135</v>
      </c>
      <c r="E2061" s="0" t="s">
        <v>2</v>
      </c>
      <c r="F2061" s="0" t="s">
        <v>12</v>
      </c>
      <c r="G2061" s="0" t="s">
        <v>8</v>
      </c>
      <c r="H2061" s="0">
        <v>950</v>
      </c>
      <c r="I2061" s="0">
        <v>56.34</v>
      </c>
      <c r="J2061" s="0">
        <v>0</v>
      </c>
      <c r="K2061" s="0">
        <v>1</v>
      </c>
      <c r="L2061" s="0">
        <v>3</v>
      </c>
      <c r="M2061" s="0">
        <v>1</v>
      </c>
      <c r="N2061" s="0">
        <v>0</v>
      </c>
      <c r="O2061" s="0">
        <v>0</v>
      </c>
      <c r="P2061" s="0">
        <v>0</v>
      </c>
      <c r="R2061" s="0" t="b">
        <v>0</v>
      </c>
      <c r="S2061" s="0" t="b">
        <v>1</v>
      </c>
      <c r="T2061" s="68">
        <v>45103.5930092593</v>
      </c>
      <c r="U2061" s="68">
        <v>45117.3333333333</v>
      </c>
      <c r="V2061" s="68">
        <v>0</v>
      </c>
      <c r="W2061" s="0">
        <f>IF(IF(B2061="none",1,IF(B2061="Trialer",1,0))+IF(C2061="Customer",1,IF(C2061="Lost",1,0))=2,1,0)</f>
      </c>
      <c r="X2061" s="0" t="s">
        <v>153</v>
      </c>
      <c r="Y2061" s="0" t="s">
        <v>499</v>
      </c>
      <c r="AV2061" s="68"/>
      <c r="AW2061" s="68"/>
      <c r="AY2061" s="27"/>
      <c r="BD2061" s="68">
        <v>46054.1666666667</v>
      </c>
      <c r="BE2061" s="68">
        <v>46082.1666666667</v>
      </c>
      <c r="BF2061" s="0" t="b">
        <v>0</v>
      </c>
      <c r="BG2061" s="0" t="b">
        <v>0</v>
      </c>
      <c r="BH2061" s="0">
        <v>52</v>
      </c>
      <c r="BI2061" s="0">
        <v>52</v>
      </c>
      <c r="BJ2061" s="0" t="s">
        <v>135</v>
      </c>
    </row>
    <row r="2062">
      <c r="A2062" s="0" t="s">
        <v>2293</v>
      </c>
      <c r="B2062" s="0" t="s">
        <v>134</v>
      </c>
      <c r="C2062" s="0" t="s">
        <v>134</v>
      </c>
      <c r="D2062" s="0" t="s">
        <v>135</v>
      </c>
      <c r="E2062" s="0" t="s">
        <v>3</v>
      </c>
      <c r="F2062" s="0" t="s">
        <v>11</v>
      </c>
      <c r="G2062" s="0" t="s">
        <v>8</v>
      </c>
      <c r="H2062" s="0">
        <v>950</v>
      </c>
      <c r="I2062" s="0">
        <v>315.6</v>
      </c>
      <c r="J2062" s="0">
        <v>0</v>
      </c>
      <c r="K2062" s="0">
        <v>1</v>
      </c>
      <c r="L2062" s="0">
        <v>4</v>
      </c>
      <c r="M2062" s="0">
        <v>8</v>
      </c>
      <c r="N2062" s="0">
        <v>0</v>
      </c>
      <c r="O2062" s="0">
        <v>0</v>
      </c>
      <c r="P2062" s="0">
        <v>0</v>
      </c>
      <c r="Q2062" s="0" t="s">
        <v>1743</v>
      </c>
      <c r="R2062" s="0" t="b">
        <v>1</v>
      </c>
      <c r="S2062" s="0" t="b">
        <v>1</v>
      </c>
      <c r="T2062" s="68">
        <v>45103.6705902778</v>
      </c>
      <c r="U2062" s="68">
        <v>45103.3333333333</v>
      </c>
      <c r="V2062" s="68">
        <v>0</v>
      </c>
      <c r="W2062" s="0">
        <f>IF(IF(B2062="none",1,IF(B2062="Trialer",1,0))+IF(C2062="Customer",1,IF(C2062="Lost",1,0))=2,1,0)</f>
      </c>
      <c r="X2062" s="0" t="s">
        <v>145</v>
      </c>
      <c r="Y2062" s="0" t="s">
        <v>243</v>
      </c>
      <c r="AV2062" s="68"/>
      <c r="AW2062" s="68"/>
      <c r="AY2062" s="27"/>
      <c r="BD2062" s="68">
        <v>46054.1666666667</v>
      </c>
      <c r="BE2062" s="68">
        <v>46082.1666666667</v>
      </c>
      <c r="BF2062" s="0" t="b">
        <v>0</v>
      </c>
      <c r="BG2062" s="0" t="b">
        <v>0</v>
      </c>
      <c r="BH2062" s="0">
        <v>315.6</v>
      </c>
      <c r="BI2062" s="0">
        <v>315.6</v>
      </c>
      <c r="BJ2062" s="0" t="s">
        <v>135</v>
      </c>
    </row>
    <row r="2063">
      <c r="A2063" s="0" t="s">
        <v>2294</v>
      </c>
      <c r="B2063" s="0" t="s">
        <v>134</v>
      </c>
      <c r="C2063" s="0" t="s">
        <v>134</v>
      </c>
      <c r="D2063" s="0" t="s">
        <v>135</v>
      </c>
      <c r="E2063" s="0" t="s">
        <v>2</v>
      </c>
      <c r="F2063" s="0" t="s">
        <v>12</v>
      </c>
      <c r="G2063" s="0" t="s">
        <v>8</v>
      </c>
      <c r="H2063" s="0">
        <v>950</v>
      </c>
      <c r="I2063" s="0">
        <v>49</v>
      </c>
      <c r="J2063" s="0">
        <v>0</v>
      </c>
      <c r="K2063" s="0">
        <v>1</v>
      </c>
      <c r="L2063" s="0">
        <v>3</v>
      </c>
      <c r="M2063" s="0">
        <v>1</v>
      </c>
      <c r="N2063" s="0">
        <v>0</v>
      </c>
      <c r="O2063" s="0">
        <v>0</v>
      </c>
      <c r="P2063" s="0">
        <v>0</v>
      </c>
      <c r="R2063" s="0" t="b">
        <v>0</v>
      </c>
      <c r="S2063" s="0" t="b">
        <v>1</v>
      </c>
      <c r="T2063" s="68">
        <v>45103.7119212963</v>
      </c>
      <c r="U2063" s="68">
        <v>45117.3333333333</v>
      </c>
      <c r="V2063" s="68">
        <v>0</v>
      </c>
      <c r="W2063" s="0">
        <f>IF(IF(B2063="none",1,IF(B2063="Trialer",1,0))+IF(C2063="Customer",1,IF(C2063="Lost",1,0))=2,1,0)</f>
      </c>
      <c r="X2063" s="0" t="s">
        <v>153</v>
      </c>
      <c r="Y2063" s="0" t="s">
        <v>499</v>
      </c>
      <c r="AV2063" s="68"/>
      <c r="AW2063" s="68"/>
      <c r="AY2063" s="27"/>
      <c r="BD2063" s="68">
        <v>46054.1666666667</v>
      </c>
      <c r="BE2063" s="68">
        <v>46082.1666666667</v>
      </c>
      <c r="BF2063" s="0" t="b">
        <v>0</v>
      </c>
      <c r="BG2063" s="0" t="b">
        <v>0</v>
      </c>
      <c r="BH2063" s="0">
        <v>49</v>
      </c>
      <c r="BI2063" s="0">
        <v>49</v>
      </c>
      <c r="BJ2063" s="0" t="s">
        <v>135</v>
      </c>
    </row>
    <row r="2064">
      <c r="A2064" s="0" t="s">
        <v>2295</v>
      </c>
      <c r="B2064" s="0" t="s">
        <v>134</v>
      </c>
      <c r="C2064" s="0" t="s">
        <v>134</v>
      </c>
      <c r="D2064" s="0" t="s">
        <v>135</v>
      </c>
      <c r="E2064" s="0" t="s">
        <v>2</v>
      </c>
      <c r="F2064" s="0" t="s">
        <v>12</v>
      </c>
      <c r="G2064" s="0" t="s">
        <v>8</v>
      </c>
      <c r="H2064" s="0">
        <v>949</v>
      </c>
      <c r="I2064" s="0">
        <v>0</v>
      </c>
      <c r="J2064" s="0">
        <v>0</v>
      </c>
      <c r="K2064" s="0">
        <v>1</v>
      </c>
      <c r="L2064" s="0">
        <v>4</v>
      </c>
      <c r="M2064" s="0">
        <v>2</v>
      </c>
      <c r="N2064" s="0">
        <v>0</v>
      </c>
      <c r="O2064" s="0">
        <v>0</v>
      </c>
      <c r="P2064" s="0">
        <v>0</v>
      </c>
      <c r="R2064" s="0" t="b">
        <v>0</v>
      </c>
      <c r="S2064" s="0" t="b">
        <v>1</v>
      </c>
      <c r="T2064" s="68">
        <v>45104.5024884259</v>
      </c>
      <c r="U2064" s="68">
        <v>45118.3333333333</v>
      </c>
      <c r="V2064" s="68">
        <v>0</v>
      </c>
      <c r="W2064" s="0">
        <f>IF(IF(B2064="none",1,IF(B2064="Trialer",1,0))+IF(C2064="Customer",1,IF(C2064="Lost",1,0))=2,1,0)</f>
      </c>
      <c r="X2064" s="0" t="s">
        <v>148</v>
      </c>
      <c r="Y2064" s="0" t="s">
        <v>499</v>
      </c>
      <c r="AV2064" s="68"/>
      <c r="AW2064" s="68"/>
      <c r="AY2064" s="27"/>
      <c r="BD2064" s="68">
        <v>46054.1666666667</v>
      </c>
      <c r="BE2064" s="68">
        <v>46082.1666666667</v>
      </c>
      <c r="BF2064" s="0" t="b">
        <v>0</v>
      </c>
      <c r="BG2064" s="0" t="b">
        <v>0</v>
      </c>
      <c r="BH2064" s="0">
        <v>0</v>
      </c>
      <c r="BI2064" s="0">
        <v>0</v>
      </c>
      <c r="BJ2064" s="0" t="s">
        <v>135</v>
      </c>
    </row>
    <row r="2065">
      <c r="A2065" s="0" t="s">
        <v>2296</v>
      </c>
      <c r="B2065" s="0" t="s">
        <v>134</v>
      </c>
      <c r="C2065" s="0" t="s">
        <v>134</v>
      </c>
      <c r="D2065" s="0" t="s">
        <v>135</v>
      </c>
      <c r="E2065" s="0" t="s">
        <v>2</v>
      </c>
      <c r="F2065" s="0" t="s">
        <v>12</v>
      </c>
      <c r="G2065" s="0" t="s">
        <v>8</v>
      </c>
      <c r="H2065" s="0">
        <v>949</v>
      </c>
      <c r="I2065" s="0">
        <v>245</v>
      </c>
      <c r="J2065" s="0">
        <v>0</v>
      </c>
      <c r="K2065" s="0">
        <v>1</v>
      </c>
      <c r="L2065" s="0">
        <v>3</v>
      </c>
      <c r="M2065" s="0">
        <v>5</v>
      </c>
      <c r="N2065" s="0">
        <v>0</v>
      </c>
      <c r="O2065" s="0">
        <v>0</v>
      </c>
      <c r="P2065" s="0">
        <v>0</v>
      </c>
      <c r="R2065" s="0" t="b">
        <v>0</v>
      </c>
      <c r="S2065" s="0" t="b">
        <v>1</v>
      </c>
      <c r="T2065" s="68">
        <v>45104.5416898148</v>
      </c>
      <c r="U2065" s="68">
        <v>45118.3333333333</v>
      </c>
      <c r="V2065" s="68">
        <v>0</v>
      </c>
      <c r="W2065" s="0">
        <f>IF(IF(B2065="none",1,IF(B2065="Trialer",1,0))+IF(C2065="Customer",1,IF(C2065="Lost",1,0))=2,1,0)</f>
      </c>
      <c r="X2065" s="0" t="s">
        <v>148</v>
      </c>
      <c r="Y2065" s="0" t="s">
        <v>499</v>
      </c>
      <c r="AV2065" s="68"/>
      <c r="AW2065" s="68"/>
      <c r="AY2065" s="27"/>
      <c r="BD2065" s="68">
        <v>46054.1666666667</v>
      </c>
      <c r="BE2065" s="68">
        <v>46082.1666666667</v>
      </c>
      <c r="BF2065" s="0" t="b">
        <v>0</v>
      </c>
      <c r="BG2065" s="0" t="b">
        <v>0</v>
      </c>
      <c r="BH2065" s="0">
        <v>236</v>
      </c>
      <c r="BI2065" s="0">
        <v>236</v>
      </c>
      <c r="BJ2065" s="0" t="s">
        <v>135</v>
      </c>
    </row>
    <row r="2066">
      <c r="A2066" s="0" t="s">
        <v>2297</v>
      </c>
      <c r="B2066" s="0" t="s">
        <v>134</v>
      </c>
      <c r="C2066" s="0" t="s">
        <v>190</v>
      </c>
      <c r="D2066" s="0" t="s">
        <v>135</v>
      </c>
      <c r="E2066" s="0" t="s">
        <v>2</v>
      </c>
      <c r="F2066" s="0" t="s">
        <v>12</v>
      </c>
      <c r="G2066" s="0" t="s">
        <v>8</v>
      </c>
      <c r="H2066" s="0">
        <v>949</v>
      </c>
      <c r="I2066" s="0">
        <v>0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R2066" s="0" t="b">
        <v>0</v>
      </c>
      <c r="S2066" s="0" t="b">
        <v>0</v>
      </c>
      <c r="T2066" s="68">
        <v>45104.6733796296</v>
      </c>
      <c r="U2066" s="68">
        <v>45118.3333333333</v>
      </c>
      <c r="V2066" s="68">
        <v>46057.48</v>
      </c>
      <c r="W2066" s="0">
        <f>IF(IF(B2066="none",1,IF(B2066="Trialer",1,0))+IF(C2066="Customer",1,IF(C2066="Lost",1,0))=2,1,0)</f>
      </c>
      <c r="X2066" s="0" t="s">
        <v>142</v>
      </c>
      <c r="Y2066" s="0" t="s">
        <v>499</v>
      </c>
      <c r="AV2066" s="68"/>
      <c r="AW2066" s="68"/>
      <c r="AY2066" s="27"/>
      <c r="BD2066" s="68">
        <v>46054.1666666667</v>
      </c>
      <c r="BE2066" s="68">
        <v>46082.1666666667</v>
      </c>
      <c r="BF2066" s="0" t="b">
        <v>0</v>
      </c>
      <c r="BG2066" s="0" t="b">
        <v>0</v>
      </c>
      <c r="BH2066" s="0">
        <v>122</v>
      </c>
      <c r="BI2066" s="0">
        <v>122</v>
      </c>
      <c r="BJ2066" s="0" t="s">
        <v>135</v>
      </c>
    </row>
    <row r="2067">
      <c r="A2067" s="0" t="s">
        <v>2298</v>
      </c>
      <c r="B2067" s="0" t="s">
        <v>134</v>
      </c>
      <c r="C2067" s="0" t="s">
        <v>134</v>
      </c>
      <c r="D2067" s="0" t="s">
        <v>230</v>
      </c>
      <c r="E2067" s="0" t="s">
        <v>3</v>
      </c>
      <c r="F2067" s="0" t="s">
        <v>10</v>
      </c>
      <c r="G2067" s="0" t="s">
        <v>8</v>
      </c>
      <c r="H2067" s="0">
        <v>948</v>
      </c>
      <c r="I2067" s="0">
        <v>290</v>
      </c>
      <c r="J2067" s="0">
        <v>0</v>
      </c>
      <c r="K2067" s="0">
        <v>1</v>
      </c>
      <c r="L2067" s="0">
        <v>5</v>
      </c>
      <c r="M2067" s="0">
        <v>5</v>
      </c>
      <c r="N2067" s="0">
        <v>0</v>
      </c>
      <c r="O2067" s="0">
        <v>0</v>
      </c>
      <c r="P2067" s="0">
        <v>3190</v>
      </c>
      <c r="Q2067" s="0" t="s">
        <v>2299</v>
      </c>
      <c r="R2067" s="0" t="b">
        <v>0</v>
      </c>
      <c r="S2067" s="0" t="b">
        <v>1</v>
      </c>
      <c r="T2067" s="68">
        <v>45105.5161226852</v>
      </c>
      <c r="U2067" s="68">
        <v>45119.3333333333</v>
      </c>
      <c r="V2067" s="68">
        <v>0</v>
      </c>
      <c r="W2067" s="0">
        <f>IF(IF(B2067="none",1,IF(B2067="Trialer",1,0))+IF(C2067="Customer",1,IF(C2067="Lost",1,0))=2,1,0)</f>
      </c>
      <c r="X2067" s="0" t="s">
        <v>148</v>
      </c>
      <c r="Y2067" s="0" t="s">
        <v>243</v>
      </c>
      <c r="AV2067" s="68"/>
      <c r="AW2067" s="68"/>
      <c r="AY2067" s="27"/>
      <c r="BD2067" s="68">
        <v>46054.1666666667</v>
      </c>
      <c r="BE2067" s="68">
        <v>46082.1666666667</v>
      </c>
      <c r="BF2067" s="0" t="b">
        <v>0</v>
      </c>
      <c r="BG2067" s="0" t="b">
        <v>0</v>
      </c>
      <c r="BH2067" s="0">
        <v>402</v>
      </c>
      <c r="BI2067" s="0">
        <v>402</v>
      </c>
      <c r="BJ2067" s="0" t="s">
        <v>230</v>
      </c>
    </row>
    <row r="2068">
      <c r="A2068" s="0" t="s">
        <v>2300</v>
      </c>
      <c r="B2068" s="0" t="s">
        <v>134</v>
      </c>
      <c r="C2068" s="0" t="s">
        <v>134</v>
      </c>
      <c r="D2068" s="0" t="s">
        <v>135</v>
      </c>
      <c r="E2068" s="0" t="s">
        <v>3</v>
      </c>
      <c r="F2068" s="0" t="s">
        <v>12</v>
      </c>
      <c r="G2068" s="0" t="s">
        <v>8</v>
      </c>
      <c r="H2068" s="0">
        <v>948</v>
      </c>
      <c r="I2068" s="0">
        <v>28</v>
      </c>
      <c r="J2068" s="0">
        <v>0</v>
      </c>
      <c r="K2068" s="0">
        <v>1</v>
      </c>
      <c r="L2068" s="0">
        <v>1</v>
      </c>
      <c r="M2068" s="0">
        <v>1</v>
      </c>
      <c r="N2068" s="0">
        <v>0</v>
      </c>
      <c r="O2068" s="0">
        <v>0</v>
      </c>
      <c r="P2068" s="0">
        <v>0</v>
      </c>
      <c r="R2068" s="0" t="b">
        <v>0</v>
      </c>
      <c r="S2068" s="0" t="b">
        <v>1</v>
      </c>
      <c r="T2068" s="68">
        <v>45105.5736805556</v>
      </c>
      <c r="U2068" s="68">
        <v>45119.3333333333</v>
      </c>
      <c r="V2068" s="68">
        <v>0</v>
      </c>
      <c r="W2068" s="0">
        <f>IF(IF(B2068="none",1,IF(B2068="Trialer",1,0))+IF(C2068="Customer",1,IF(C2068="Lost",1,0))=2,1,0)</f>
      </c>
      <c r="X2068" s="0" t="s">
        <v>142</v>
      </c>
      <c r="Y2068" s="0" t="s">
        <v>243</v>
      </c>
      <c r="AV2068" s="68"/>
      <c r="AW2068" s="68"/>
      <c r="AY2068" s="27"/>
      <c r="BD2068" s="68">
        <v>46054.1666666667</v>
      </c>
      <c r="BE2068" s="68">
        <v>46082.1666666667</v>
      </c>
      <c r="BF2068" s="0" t="b">
        <v>0</v>
      </c>
      <c r="BG2068" s="0" t="b">
        <v>0</v>
      </c>
      <c r="BH2068" s="0">
        <v>28</v>
      </c>
      <c r="BI2068" s="0">
        <v>28</v>
      </c>
      <c r="BJ2068" s="0" t="s">
        <v>135</v>
      </c>
    </row>
    <row r="2069">
      <c r="A2069" s="0" t="s">
        <v>2301</v>
      </c>
      <c r="B2069" s="0" t="s">
        <v>134</v>
      </c>
      <c r="C2069" s="0" t="s">
        <v>134</v>
      </c>
      <c r="D2069" s="0" t="s">
        <v>135</v>
      </c>
      <c r="E2069" s="0" t="s">
        <v>2</v>
      </c>
      <c r="F2069" s="0" t="s">
        <v>12</v>
      </c>
      <c r="G2069" s="0" t="s">
        <v>8</v>
      </c>
      <c r="H2069" s="0">
        <v>948</v>
      </c>
      <c r="I2069" s="0">
        <v>0</v>
      </c>
      <c r="J2069" s="0">
        <v>0</v>
      </c>
      <c r="K2069" s="0">
        <v>1</v>
      </c>
      <c r="L2069" s="0">
        <v>5</v>
      </c>
      <c r="M2069" s="0">
        <v>1</v>
      </c>
      <c r="N2069" s="0">
        <v>0</v>
      </c>
      <c r="O2069" s="0">
        <v>0</v>
      </c>
      <c r="P2069" s="0">
        <v>0</v>
      </c>
      <c r="R2069" s="0" t="b">
        <v>0</v>
      </c>
      <c r="S2069" s="0" t="b">
        <v>1</v>
      </c>
      <c r="T2069" s="68">
        <v>45105.6172222222</v>
      </c>
      <c r="U2069" s="68">
        <v>45105.3333333333</v>
      </c>
      <c r="V2069" s="68">
        <v>0</v>
      </c>
      <c r="W2069" s="0">
        <f>IF(IF(B2069="none",1,IF(B2069="Trialer",1,0))+IF(C2069="Customer",1,IF(C2069="Lost",1,0))=2,1,0)</f>
      </c>
      <c r="X2069" s="0" t="s">
        <v>145</v>
      </c>
      <c r="Y2069" s="0" t="s">
        <v>499</v>
      </c>
      <c r="AV2069" s="68"/>
      <c r="AW2069" s="68"/>
      <c r="AY2069" s="27"/>
      <c r="BD2069" s="68">
        <v>46054.1666666667</v>
      </c>
      <c r="BE2069" s="68">
        <v>46082.1666666667</v>
      </c>
      <c r="BF2069" s="0" t="b">
        <v>0</v>
      </c>
      <c r="BG2069" s="0" t="b">
        <v>0</v>
      </c>
      <c r="BH2069" s="0">
        <v>0</v>
      </c>
      <c r="BI2069" s="0">
        <v>0</v>
      </c>
      <c r="BJ2069" s="0" t="s">
        <v>135</v>
      </c>
    </row>
    <row r="2070">
      <c r="A2070" s="0" t="s">
        <v>2302</v>
      </c>
      <c r="B2070" s="0" t="s">
        <v>134</v>
      </c>
      <c r="C2070" s="0" t="s">
        <v>134</v>
      </c>
      <c r="D2070" s="0" t="s">
        <v>135</v>
      </c>
      <c r="E2070" s="0" t="s">
        <v>3</v>
      </c>
      <c r="F2070" s="0" t="s">
        <v>12</v>
      </c>
      <c r="G2070" s="0" t="s">
        <v>8</v>
      </c>
      <c r="H2070" s="0">
        <v>947</v>
      </c>
      <c r="I2070" s="0">
        <v>61</v>
      </c>
      <c r="J2070" s="0">
        <v>0</v>
      </c>
      <c r="K2070" s="0">
        <v>1</v>
      </c>
      <c r="L2070" s="0">
        <v>4</v>
      </c>
      <c r="M2070" s="0">
        <v>1</v>
      </c>
      <c r="N2070" s="0">
        <v>0</v>
      </c>
      <c r="O2070" s="0">
        <v>0</v>
      </c>
      <c r="P2070" s="0">
        <v>0</v>
      </c>
      <c r="R2070" s="0" t="b">
        <v>0</v>
      </c>
      <c r="S2070" s="0" t="b">
        <v>1</v>
      </c>
      <c r="T2070" s="68">
        <v>45106.7039930556</v>
      </c>
      <c r="U2070" s="68">
        <v>45120.3333333333</v>
      </c>
      <c r="V2070" s="68">
        <v>0</v>
      </c>
      <c r="W2070" s="0">
        <f>IF(IF(B2070="none",1,IF(B2070="Trialer",1,0))+IF(C2070="Customer",1,IF(C2070="Lost",1,0))=2,1,0)</f>
      </c>
      <c r="X2070" s="0" t="s">
        <v>142</v>
      </c>
      <c r="Y2070" s="0" t="s">
        <v>243</v>
      </c>
      <c r="AV2070" s="68"/>
      <c r="AW2070" s="68"/>
      <c r="AY2070" s="27"/>
      <c r="BD2070" s="68">
        <v>46054.1666666667</v>
      </c>
      <c r="BE2070" s="68">
        <v>46082.1666666667</v>
      </c>
      <c r="BF2070" s="0" t="b">
        <v>0</v>
      </c>
      <c r="BG2070" s="0" t="b">
        <v>0</v>
      </c>
      <c r="BH2070" s="0">
        <v>61</v>
      </c>
      <c r="BI2070" s="0">
        <v>61</v>
      </c>
      <c r="BJ2070" s="0" t="s">
        <v>135</v>
      </c>
    </row>
    <row r="2071">
      <c r="A2071" s="0" t="s">
        <v>2303</v>
      </c>
      <c r="B2071" s="0" t="s">
        <v>134</v>
      </c>
      <c r="C2071" s="0" t="s">
        <v>134</v>
      </c>
      <c r="D2071" s="0" t="s">
        <v>135</v>
      </c>
      <c r="E2071" s="0" t="s">
        <v>3</v>
      </c>
      <c r="F2071" s="0" t="s">
        <v>12</v>
      </c>
      <c r="G2071" s="0" t="s">
        <v>8</v>
      </c>
      <c r="H2071" s="0">
        <v>946</v>
      </c>
      <c r="I2071" s="0">
        <v>189</v>
      </c>
      <c r="J2071" s="0">
        <v>0</v>
      </c>
      <c r="K2071" s="0">
        <v>1</v>
      </c>
      <c r="L2071" s="0">
        <v>5</v>
      </c>
      <c r="M2071" s="0">
        <v>3</v>
      </c>
      <c r="N2071" s="0">
        <v>0</v>
      </c>
      <c r="O2071" s="0">
        <v>0</v>
      </c>
      <c r="P2071" s="0">
        <v>0</v>
      </c>
      <c r="R2071" s="0" t="b">
        <v>0</v>
      </c>
      <c r="S2071" s="0" t="b">
        <v>1</v>
      </c>
      <c r="T2071" s="68">
        <v>45107.6804050926</v>
      </c>
      <c r="U2071" s="68">
        <v>45135.3333333333</v>
      </c>
      <c r="V2071" s="68">
        <v>0</v>
      </c>
      <c r="W2071" s="0">
        <f>IF(IF(B2071="none",1,IF(B2071="Trialer",1,0))+IF(C2071="Customer",1,IF(C2071="Lost",1,0))=2,1,0)</f>
      </c>
      <c r="X2071" s="0" t="s">
        <v>153</v>
      </c>
      <c r="Y2071" s="0" t="s">
        <v>243</v>
      </c>
      <c r="AV2071" s="68"/>
      <c r="AW2071" s="68"/>
      <c r="AY2071" s="27"/>
      <c r="BD2071" s="68">
        <v>46054.1666666667</v>
      </c>
      <c r="BE2071" s="68">
        <v>46082.1666666667</v>
      </c>
      <c r="BF2071" s="0" t="b">
        <v>0</v>
      </c>
      <c r="BG2071" s="0" t="b">
        <v>0</v>
      </c>
      <c r="BH2071" s="0">
        <v>189</v>
      </c>
      <c r="BI2071" s="0">
        <v>189</v>
      </c>
      <c r="BJ2071" s="0" t="s">
        <v>135</v>
      </c>
    </row>
    <row r="2072">
      <c r="A2072" s="0" t="s">
        <v>2304</v>
      </c>
      <c r="B2072" s="0" t="s">
        <v>134</v>
      </c>
      <c r="C2072" s="0" t="s">
        <v>134</v>
      </c>
      <c r="D2072" s="0" t="s">
        <v>135</v>
      </c>
      <c r="E2072" s="0" t="s">
        <v>3</v>
      </c>
      <c r="F2072" s="0" t="s">
        <v>12</v>
      </c>
      <c r="G2072" s="0" t="s">
        <v>8</v>
      </c>
      <c r="H2072" s="0">
        <v>943</v>
      </c>
      <c r="I2072" s="0">
        <v>98</v>
      </c>
      <c r="J2072" s="0">
        <v>0</v>
      </c>
      <c r="K2072" s="0">
        <v>1</v>
      </c>
      <c r="L2072" s="0">
        <v>3</v>
      </c>
      <c r="M2072" s="0">
        <v>2</v>
      </c>
      <c r="N2072" s="0">
        <v>0</v>
      </c>
      <c r="O2072" s="0">
        <v>0</v>
      </c>
      <c r="P2072" s="0">
        <v>0</v>
      </c>
      <c r="R2072" s="0" t="b">
        <v>0</v>
      </c>
      <c r="S2072" s="0" t="b">
        <v>1</v>
      </c>
      <c r="T2072" s="68">
        <v>45110.5</v>
      </c>
      <c r="U2072" s="68">
        <v>45124.3333333333</v>
      </c>
      <c r="V2072" s="68">
        <v>0</v>
      </c>
      <c r="W2072" s="0">
        <f>IF(IF(B2072="none",1,IF(B2072="Trialer",1,0))+IF(C2072="Customer",1,IF(C2072="Lost",1,0))=2,1,0)</f>
      </c>
      <c r="X2072" s="0" t="s">
        <v>153</v>
      </c>
      <c r="Y2072" s="0" t="s">
        <v>243</v>
      </c>
      <c r="AV2072" s="68"/>
      <c r="AW2072" s="68"/>
      <c r="AY2072" s="27"/>
      <c r="BD2072" s="68">
        <v>46054.1666666667</v>
      </c>
      <c r="BE2072" s="68">
        <v>46082.1666666667</v>
      </c>
      <c r="BF2072" s="0" t="b">
        <v>0</v>
      </c>
      <c r="BG2072" s="0" t="b">
        <v>0</v>
      </c>
      <c r="BH2072" s="0">
        <v>98</v>
      </c>
      <c r="BI2072" s="0">
        <v>98</v>
      </c>
      <c r="BJ2072" s="0" t="s">
        <v>135</v>
      </c>
    </row>
    <row r="2073">
      <c r="A2073" s="0" t="s">
        <v>2305</v>
      </c>
      <c r="B2073" s="0" t="s">
        <v>134</v>
      </c>
      <c r="C2073" s="0" t="s">
        <v>134</v>
      </c>
      <c r="D2073" s="0" t="s">
        <v>230</v>
      </c>
      <c r="E2073" s="0" t="s">
        <v>3</v>
      </c>
      <c r="F2073" s="0" t="s">
        <v>12</v>
      </c>
      <c r="G2073" s="0" t="s">
        <v>8</v>
      </c>
      <c r="H2073" s="0">
        <v>943</v>
      </c>
      <c r="I2073" s="0">
        <v>25.2</v>
      </c>
      <c r="J2073" s="0">
        <v>0</v>
      </c>
      <c r="K2073" s="0">
        <v>1</v>
      </c>
      <c r="L2073" s="0">
        <v>1</v>
      </c>
      <c r="M2073" s="0">
        <v>1</v>
      </c>
      <c r="N2073" s="0">
        <v>0</v>
      </c>
      <c r="O2073" s="0">
        <v>0</v>
      </c>
      <c r="P2073" s="0">
        <v>-25.2</v>
      </c>
      <c r="R2073" s="0" t="b">
        <v>0</v>
      </c>
      <c r="S2073" s="0" t="b">
        <v>1</v>
      </c>
      <c r="T2073" s="68">
        <v>45110.5547916667</v>
      </c>
      <c r="U2073" s="68">
        <v>45124.3333333333</v>
      </c>
      <c r="V2073" s="68">
        <v>0</v>
      </c>
      <c r="W2073" s="0">
        <f>IF(IF(B2073="none",1,IF(B2073="Trialer",1,0))+IF(C2073="Customer",1,IF(C2073="Lost",1,0))=2,1,0)</f>
      </c>
      <c r="X2073" s="0" t="s">
        <v>153</v>
      </c>
      <c r="Y2073" s="0" t="s">
        <v>243</v>
      </c>
      <c r="AV2073" s="68"/>
      <c r="AW2073" s="68"/>
      <c r="AY2073" s="27"/>
      <c r="BD2073" s="68">
        <v>46054.1666666667</v>
      </c>
      <c r="BE2073" s="68">
        <v>46082.1666666667</v>
      </c>
      <c r="BF2073" s="0" t="b">
        <v>0</v>
      </c>
      <c r="BG2073" s="0" t="b">
        <v>0</v>
      </c>
      <c r="BH2073" s="0">
        <v>28</v>
      </c>
      <c r="BI2073" s="0">
        <v>28</v>
      </c>
      <c r="BJ2073" s="0" t="s">
        <v>230</v>
      </c>
    </row>
    <row r="2074">
      <c r="A2074" s="0" t="s">
        <v>2306</v>
      </c>
      <c r="B2074" s="0" t="s">
        <v>134</v>
      </c>
      <c r="C2074" s="0" t="s">
        <v>134</v>
      </c>
      <c r="D2074" s="0" t="s">
        <v>230</v>
      </c>
      <c r="E2074" s="0" t="s">
        <v>3</v>
      </c>
      <c r="F2074" s="0" t="s">
        <v>12</v>
      </c>
      <c r="G2074" s="0" t="s">
        <v>8</v>
      </c>
      <c r="H2074" s="0">
        <v>943</v>
      </c>
      <c r="I2074" s="0">
        <v>36</v>
      </c>
      <c r="J2074" s="0">
        <v>0</v>
      </c>
      <c r="K2074" s="0">
        <v>1</v>
      </c>
      <c r="L2074" s="0">
        <v>2</v>
      </c>
      <c r="M2074" s="0">
        <v>1</v>
      </c>
      <c r="N2074" s="0">
        <v>0</v>
      </c>
      <c r="O2074" s="0">
        <v>0</v>
      </c>
      <c r="P2074" s="0">
        <v>-36</v>
      </c>
      <c r="R2074" s="0" t="b">
        <v>0</v>
      </c>
      <c r="S2074" s="0" t="b">
        <v>1</v>
      </c>
      <c r="T2074" s="68">
        <v>45110.8990856481</v>
      </c>
      <c r="U2074" s="68">
        <v>45124.3333333333</v>
      </c>
      <c r="V2074" s="68">
        <v>0</v>
      </c>
      <c r="W2074" s="0">
        <f>IF(IF(B2074="none",1,IF(B2074="Trialer",1,0))+IF(C2074="Customer",1,IF(C2074="Lost",1,0))=2,1,0)</f>
      </c>
      <c r="X2074" s="0" t="s">
        <v>153</v>
      </c>
      <c r="Y2074" s="0" t="s">
        <v>243</v>
      </c>
      <c r="AV2074" s="68"/>
      <c r="AW2074" s="68"/>
      <c r="AY2074" s="27"/>
      <c r="BD2074" s="68">
        <v>46054.1666666667</v>
      </c>
      <c r="BE2074" s="68">
        <v>46082.1666666667</v>
      </c>
      <c r="BF2074" s="0" t="b">
        <v>0</v>
      </c>
      <c r="BG2074" s="0" t="b">
        <v>0</v>
      </c>
      <c r="BH2074" s="0">
        <v>40</v>
      </c>
      <c r="BI2074" s="0">
        <v>40</v>
      </c>
      <c r="BJ2074" s="0" t="s">
        <v>230</v>
      </c>
    </row>
    <row r="2075">
      <c r="A2075" s="0" t="s">
        <v>2307</v>
      </c>
      <c r="B2075" s="0" t="s">
        <v>134</v>
      </c>
      <c r="C2075" s="0" t="s">
        <v>134</v>
      </c>
      <c r="D2075" s="0" t="s">
        <v>135</v>
      </c>
      <c r="E2075" s="0" t="s">
        <v>3</v>
      </c>
      <c r="F2075" s="0" t="s">
        <v>12</v>
      </c>
      <c r="G2075" s="0" t="s">
        <v>8</v>
      </c>
      <c r="H2075" s="0">
        <v>942</v>
      </c>
      <c r="I2075" s="0">
        <v>49</v>
      </c>
      <c r="J2075" s="0">
        <v>0</v>
      </c>
      <c r="K2075" s="0">
        <v>1</v>
      </c>
      <c r="L2075" s="0">
        <v>3</v>
      </c>
      <c r="M2075" s="0">
        <v>1</v>
      </c>
      <c r="N2075" s="0">
        <v>0</v>
      </c>
      <c r="O2075" s="0">
        <v>0</v>
      </c>
      <c r="P2075" s="0">
        <v>0</v>
      </c>
      <c r="R2075" s="0" t="b">
        <v>0</v>
      </c>
      <c r="S2075" s="0" t="b">
        <v>1</v>
      </c>
      <c r="T2075" s="68">
        <v>45111.6424652778</v>
      </c>
      <c r="U2075" s="68">
        <v>45126.3333333333</v>
      </c>
      <c r="V2075" s="68">
        <v>0</v>
      </c>
      <c r="W2075" s="0">
        <f>IF(IF(B2075="none",1,IF(B2075="Trialer",1,0))+IF(C2075="Customer",1,IF(C2075="Lost",1,0))=2,1,0)</f>
      </c>
      <c r="X2075" s="0" t="s">
        <v>153</v>
      </c>
      <c r="Y2075" s="0" t="s">
        <v>243</v>
      </c>
      <c r="AV2075" s="68"/>
      <c r="AW2075" s="68"/>
      <c r="AY2075" s="27"/>
      <c r="BD2075" s="68">
        <v>46054.1666666667</v>
      </c>
      <c r="BE2075" s="68">
        <v>46082.1666666667</v>
      </c>
      <c r="BF2075" s="0" t="b">
        <v>0</v>
      </c>
      <c r="BG2075" s="0" t="b">
        <v>0</v>
      </c>
      <c r="BH2075" s="0">
        <v>49</v>
      </c>
      <c r="BI2075" s="0">
        <v>49</v>
      </c>
      <c r="BJ2075" s="0" t="s">
        <v>135</v>
      </c>
    </row>
    <row r="2076">
      <c r="A2076" s="0" t="s">
        <v>2308</v>
      </c>
      <c r="B2076" s="0" t="s">
        <v>134</v>
      </c>
      <c r="C2076" s="0" t="s">
        <v>134</v>
      </c>
      <c r="D2076" s="0" t="s">
        <v>135</v>
      </c>
      <c r="E2076" s="0" t="s">
        <v>3</v>
      </c>
      <c r="F2076" s="0" t="s">
        <v>12</v>
      </c>
      <c r="G2076" s="0" t="s">
        <v>8</v>
      </c>
      <c r="H2076" s="0">
        <v>941</v>
      </c>
      <c r="I2076" s="0">
        <v>61</v>
      </c>
      <c r="J2076" s="0">
        <v>0</v>
      </c>
      <c r="K2076" s="0">
        <v>1</v>
      </c>
      <c r="L2076" s="0">
        <v>4</v>
      </c>
      <c r="M2076" s="0">
        <v>1</v>
      </c>
      <c r="N2076" s="0">
        <v>0</v>
      </c>
      <c r="O2076" s="0">
        <v>0</v>
      </c>
      <c r="P2076" s="0">
        <v>0</v>
      </c>
      <c r="R2076" s="0" t="b">
        <v>0</v>
      </c>
      <c r="S2076" s="0" t="b">
        <v>1</v>
      </c>
      <c r="T2076" s="68">
        <v>45112.2585416667</v>
      </c>
      <c r="U2076" s="68">
        <v>45126.3333333333</v>
      </c>
      <c r="V2076" s="68">
        <v>0</v>
      </c>
      <c r="W2076" s="0">
        <f>IF(IF(B2076="none",1,IF(B2076="Trialer",1,0))+IF(C2076="Customer",1,IF(C2076="Lost",1,0))=2,1,0)</f>
      </c>
      <c r="X2076" s="0" t="s">
        <v>153</v>
      </c>
      <c r="Y2076" s="0" t="s">
        <v>243</v>
      </c>
      <c r="AV2076" s="68"/>
      <c r="AW2076" s="68"/>
      <c r="AY2076" s="27"/>
      <c r="BD2076" s="68">
        <v>46054.1666666667</v>
      </c>
      <c r="BE2076" s="68">
        <v>46082.1666666667</v>
      </c>
      <c r="BF2076" s="0" t="b">
        <v>0</v>
      </c>
      <c r="BG2076" s="0" t="b">
        <v>0</v>
      </c>
      <c r="BH2076" s="0">
        <v>61</v>
      </c>
      <c r="BI2076" s="0">
        <v>61</v>
      </c>
      <c r="BJ2076" s="0" t="s">
        <v>135</v>
      </c>
    </row>
    <row r="2077">
      <c r="A2077" s="0" t="s">
        <v>2309</v>
      </c>
      <c r="B2077" s="0" t="s">
        <v>134</v>
      </c>
      <c r="C2077" s="0" t="s">
        <v>134</v>
      </c>
      <c r="D2077" s="0" t="s">
        <v>135</v>
      </c>
      <c r="E2077" s="0" t="s">
        <v>3</v>
      </c>
      <c r="F2077" s="0" t="s">
        <v>10</v>
      </c>
      <c r="G2077" s="0" t="s">
        <v>8</v>
      </c>
      <c r="H2077" s="0">
        <v>940</v>
      </c>
      <c r="I2077" s="0">
        <v>268</v>
      </c>
      <c r="J2077" s="0">
        <v>0</v>
      </c>
      <c r="K2077" s="0">
        <v>1</v>
      </c>
      <c r="L2077" s="0">
        <v>3</v>
      </c>
      <c r="M2077" s="0">
        <v>7</v>
      </c>
      <c r="N2077" s="0">
        <v>0</v>
      </c>
      <c r="O2077" s="0">
        <v>0</v>
      </c>
      <c r="P2077" s="0">
        <v>0</v>
      </c>
      <c r="Q2077" s="0" t="s">
        <v>498</v>
      </c>
      <c r="R2077" s="0" t="b">
        <v>0</v>
      </c>
      <c r="S2077" s="0" t="b">
        <v>1</v>
      </c>
      <c r="T2077" s="68">
        <v>45113.3913194444</v>
      </c>
      <c r="U2077" s="68">
        <v>45134.3333333333</v>
      </c>
      <c r="V2077" s="68">
        <v>0</v>
      </c>
      <c r="W2077" s="0">
        <f>IF(IF(B2077="none",1,IF(B2077="Trialer",1,0))+IF(C2077="Customer",1,IF(C2077="Lost",1,0))=2,1,0)</f>
      </c>
      <c r="X2077" s="0" t="s">
        <v>136</v>
      </c>
      <c r="Y2077" s="0" t="s">
        <v>243</v>
      </c>
      <c r="AV2077" s="68"/>
      <c r="AW2077" s="68"/>
      <c r="AY2077" s="27"/>
      <c r="BD2077" s="68">
        <v>46054.1666666667</v>
      </c>
      <c r="BE2077" s="68">
        <v>46082.1666666667</v>
      </c>
      <c r="BF2077" s="0" t="b">
        <v>0</v>
      </c>
      <c r="BG2077" s="0" t="b">
        <v>0</v>
      </c>
      <c r="BH2077" s="0">
        <v>268</v>
      </c>
      <c r="BI2077" s="0">
        <v>268</v>
      </c>
      <c r="BJ2077" s="0" t="s">
        <v>135</v>
      </c>
    </row>
    <row r="2078">
      <c r="A2078" s="0" t="s">
        <v>2310</v>
      </c>
      <c r="B2078" s="0" t="s">
        <v>134</v>
      </c>
      <c r="C2078" s="0" t="s">
        <v>134</v>
      </c>
      <c r="D2078" s="0" t="s">
        <v>230</v>
      </c>
      <c r="E2078" s="0" t="s">
        <v>2</v>
      </c>
      <c r="F2078" s="0" t="s">
        <v>12</v>
      </c>
      <c r="G2078" s="0" t="s">
        <v>8</v>
      </c>
      <c r="H2078" s="0">
        <v>940</v>
      </c>
      <c r="I2078" s="0">
        <v>376.2</v>
      </c>
      <c r="J2078" s="0">
        <v>0</v>
      </c>
      <c r="K2078" s="0">
        <v>1</v>
      </c>
      <c r="L2078" s="0">
        <v>4</v>
      </c>
      <c r="M2078" s="0">
        <v>7</v>
      </c>
      <c r="N2078" s="0">
        <v>0</v>
      </c>
      <c r="O2078" s="0">
        <v>0</v>
      </c>
      <c r="P2078" s="0">
        <v>-376.2</v>
      </c>
      <c r="R2078" s="0" t="b">
        <v>0</v>
      </c>
      <c r="S2078" s="0" t="b">
        <v>1</v>
      </c>
      <c r="T2078" s="68">
        <v>45113.6344675926</v>
      </c>
      <c r="U2078" s="68">
        <v>45127.3333333333</v>
      </c>
      <c r="V2078" s="68">
        <v>0</v>
      </c>
      <c r="W2078" s="0">
        <f>IF(IF(B2078="none",1,IF(B2078="Trialer",1,0))+IF(C2078="Customer",1,IF(C2078="Lost",1,0))=2,1,0)</f>
      </c>
      <c r="X2078" s="0" t="s">
        <v>148</v>
      </c>
      <c r="Y2078" s="0" t="s">
        <v>499</v>
      </c>
      <c r="AV2078" s="68"/>
      <c r="AW2078" s="68"/>
      <c r="AY2078" s="27"/>
      <c r="BD2078" s="68">
        <v>46054.1666666667</v>
      </c>
      <c r="BE2078" s="68">
        <v>46082.1666666667</v>
      </c>
      <c r="BF2078" s="0" t="b">
        <v>0</v>
      </c>
      <c r="BG2078" s="0" t="b">
        <v>0</v>
      </c>
      <c r="BH2078" s="0">
        <v>418</v>
      </c>
      <c r="BI2078" s="0">
        <v>418</v>
      </c>
      <c r="BJ2078" s="0" t="s">
        <v>230</v>
      </c>
    </row>
    <row r="2079">
      <c r="A2079" s="0" t="s">
        <v>2311</v>
      </c>
      <c r="B2079" s="0" t="s">
        <v>134</v>
      </c>
      <c r="C2079" s="0" t="s">
        <v>134</v>
      </c>
      <c r="D2079" s="0" t="s">
        <v>230</v>
      </c>
      <c r="E2079" s="0" t="s">
        <v>2</v>
      </c>
      <c r="F2079" s="0" t="s">
        <v>12</v>
      </c>
      <c r="G2079" s="0" t="s">
        <v>8</v>
      </c>
      <c r="H2079" s="0">
        <v>940</v>
      </c>
      <c r="I2079" s="0">
        <v>44</v>
      </c>
      <c r="J2079" s="0">
        <v>0</v>
      </c>
      <c r="K2079" s="0">
        <v>1</v>
      </c>
      <c r="L2079" s="0">
        <v>3</v>
      </c>
      <c r="M2079" s="0">
        <v>1</v>
      </c>
      <c r="N2079" s="0">
        <v>0</v>
      </c>
      <c r="O2079" s="0">
        <v>0</v>
      </c>
      <c r="P2079" s="0">
        <v>-44</v>
      </c>
      <c r="R2079" s="0" t="b">
        <v>0</v>
      </c>
      <c r="S2079" s="0" t="b">
        <v>1</v>
      </c>
      <c r="T2079" s="68">
        <v>45113.7064467593</v>
      </c>
      <c r="U2079" s="68">
        <v>45127.3333333333</v>
      </c>
      <c r="V2079" s="68">
        <v>0</v>
      </c>
      <c r="W2079" s="0">
        <f>IF(IF(B2079="none",1,IF(B2079="Trialer",1,0))+IF(C2079="Customer",1,IF(C2079="Lost",1,0))=2,1,0)</f>
      </c>
      <c r="X2079" s="0" t="s">
        <v>142</v>
      </c>
      <c r="Y2079" s="0" t="s">
        <v>499</v>
      </c>
      <c r="AV2079" s="68"/>
      <c r="AW2079" s="68"/>
      <c r="AY2079" s="27"/>
      <c r="BD2079" s="68">
        <v>46054.1666666667</v>
      </c>
      <c r="BE2079" s="68">
        <v>46082.1666666667</v>
      </c>
      <c r="BF2079" s="0" t="b">
        <v>0</v>
      </c>
      <c r="BG2079" s="0" t="b">
        <v>0</v>
      </c>
      <c r="BH2079" s="0">
        <v>49</v>
      </c>
      <c r="BI2079" s="0">
        <v>49</v>
      </c>
      <c r="BJ2079" s="0" t="s">
        <v>230</v>
      </c>
    </row>
    <row r="2080">
      <c r="A2080" s="0" t="s">
        <v>2312</v>
      </c>
      <c r="B2080" s="0" t="s">
        <v>134</v>
      </c>
      <c r="C2080" s="0" t="s">
        <v>134</v>
      </c>
      <c r="D2080" s="0" t="s">
        <v>230</v>
      </c>
      <c r="E2080" s="0" t="s">
        <v>2</v>
      </c>
      <c r="F2080" s="0" t="s">
        <v>12</v>
      </c>
      <c r="G2080" s="0" t="s">
        <v>8</v>
      </c>
      <c r="H2080" s="0">
        <v>940</v>
      </c>
      <c r="I2080" s="0">
        <v>88.2</v>
      </c>
      <c r="J2080" s="0">
        <v>0</v>
      </c>
      <c r="K2080" s="0">
        <v>1</v>
      </c>
      <c r="L2080" s="0">
        <v>3</v>
      </c>
      <c r="M2080" s="0">
        <v>2</v>
      </c>
      <c r="N2080" s="0">
        <v>0</v>
      </c>
      <c r="O2080" s="0">
        <v>0</v>
      </c>
      <c r="P2080" s="0">
        <v>-88.2</v>
      </c>
      <c r="R2080" s="0" t="b">
        <v>0</v>
      </c>
      <c r="S2080" s="0" t="b">
        <v>1</v>
      </c>
      <c r="T2080" s="68">
        <v>45113.7159722222</v>
      </c>
      <c r="U2080" s="68">
        <v>45135.3333333333</v>
      </c>
      <c r="V2080" s="68">
        <v>0</v>
      </c>
      <c r="W2080" s="0">
        <f>IF(IF(B2080="none",1,IF(B2080="Trialer",1,0))+IF(C2080="Customer",1,IF(C2080="Lost",1,0))=2,1,0)</f>
      </c>
      <c r="X2080" s="0" t="s">
        <v>142</v>
      </c>
      <c r="Y2080" s="0" t="s">
        <v>499</v>
      </c>
      <c r="AV2080" s="68"/>
      <c r="AW2080" s="68"/>
      <c r="AY2080" s="27"/>
      <c r="BD2080" s="68">
        <v>46054.1666666667</v>
      </c>
      <c r="BE2080" s="68">
        <v>46082.1666666667</v>
      </c>
      <c r="BF2080" s="0" t="b">
        <v>0</v>
      </c>
      <c r="BG2080" s="0" t="b">
        <v>0</v>
      </c>
      <c r="BH2080" s="0">
        <v>98</v>
      </c>
      <c r="BI2080" s="0">
        <v>98</v>
      </c>
      <c r="BJ2080" s="0" t="s">
        <v>230</v>
      </c>
    </row>
    <row r="2081">
      <c r="A2081" s="0" t="s">
        <v>2313</v>
      </c>
      <c r="B2081" s="0" t="s">
        <v>134</v>
      </c>
      <c r="C2081" s="0" t="s">
        <v>134</v>
      </c>
      <c r="D2081" s="0" t="s">
        <v>135</v>
      </c>
      <c r="E2081" s="0" t="s">
        <v>3</v>
      </c>
      <c r="F2081" s="0" t="s">
        <v>12</v>
      </c>
      <c r="G2081" s="0" t="s">
        <v>8</v>
      </c>
      <c r="H2081" s="0">
        <v>939</v>
      </c>
      <c r="I2081" s="0">
        <v>104</v>
      </c>
      <c r="J2081" s="0">
        <v>0</v>
      </c>
      <c r="K2081" s="0">
        <v>1</v>
      </c>
      <c r="L2081" s="0">
        <v>3</v>
      </c>
      <c r="M2081" s="0">
        <v>2</v>
      </c>
      <c r="N2081" s="0">
        <v>0</v>
      </c>
      <c r="O2081" s="0">
        <v>0</v>
      </c>
      <c r="P2081" s="0">
        <v>0</v>
      </c>
      <c r="R2081" s="0" t="b">
        <v>0</v>
      </c>
      <c r="S2081" s="0" t="b">
        <v>1</v>
      </c>
      <c r="T2081" s="68">
        <v>45114.5804861111</v>
      </c>
      <c r="U2081" s="68">
        <v>45131.3333333333</v>
      </c>
      <c r="V2081" s="68">
        <v>0</v>
      </c>
      <c r="W2081" s="0">
        <f>IF(IF(B2081="none",1,IF(B2081="Trialer",1,0))+IF(C2081="Customer",1,IF(C2081="Lost",1,0))=2,1,0)</f>
      </c>
      <c r="X2081" s="0" t="s">
        <v>166</v>
      </c>
      <c r="Y2081" s="0" t="s">
        <v>243</v>
      </c>
      <c r="AV2081" s="68"/>
      <c r="AW2081" s="68"/>
      <c r="AY2081" s="27"/>
      <c r="BD2081" s="68">
        <v>46054.1666666667</v>
      </c>
      <c r="BE2081" s="68">
        <v>46082.1666666667</v>
      </c>
      <c r="BF2081" s="0" t="b">
        <v>0</v>
      </c>
      <c r="BG2081" s="0" t="b">
        <v>0</v>
      </c>
      <c r="BH2081" s="0">
        <v>104</v>
      </c>
      <c r="BI2081" s="0">
        <v>104</v>
      </c>
      <c r="BJ2081" s="0" t="s">
        <v>135</v>
      </c>
    </row>
    <row r="2082">
      <c r="A2082" s="0" t="s">
        <v>2314</v>
      </c>
      <c r="B2082" s="0" t="s">
        <v>134</v>
      </c>
      <c r="C2082" s="0" t="s">
        <v>134</v>
      </c>
      <c r="D2082" s="0" t="s">
        <v>230</v>
      </c>
      <c r="E2082" s="0" t="s">
        <v>2</v>
      </c>
      <c r="F2082" s="0" t="s">
        <v>10</v>
      </c>
      <c r="G2082" s="0" t="s">
        <v>8</v>
      </c>
      <c r="H2082" s="0">
        <v>938</v>
      </c>
      <c r="I2082" s="0">
        <v>914.5</v>
      </c>
      <c r="J2082" s="0">
        <v>0</v>
      </c>
      <c r="K2082" s="0">
        <v>1</v>
      </c>
      <c r="L2082" s="0">
        <v>4</v>
      </c>
      <c r="M2082" s="0">
        <v>13</v>
      </c>
      <c r="N2082" s="0">
        <v>418.5</v>
      </c>
      <c r="O2082" s="0">
        <v>0</v>
      </c>
      <c r="P2082" s="0">
        <v>-589.5</v>
      </c>
      <c r="Q2082" s="0" t="s">
        <v>357</v>
      </c>
      <c r="R2082" s="0" t="b">
        <v>0</v>
      </c>
      <c r="S2082" s="0" t="b">
        <v>1</v>
      </c>
      <c r="T2082" s="68">
        <v>45115.3543402778</v>
      </c>
      <c r="U2082" s="68">
        <v>45126.3333333333</v>
      </c>
      <c r="V2082" s="68">
        <v>0</v>
      </c>
      <c r="W2082" s="0">
        <f>IF(IF(B2082="none",1,IF(B2082="Trialer",1,0))+IF(C2082="Customer",1,IF(C2082="Lost",1,0))=2,1,0)</f>
      </c>
      <c r="X2082" s="0" t="s">
        <v>148</v>
      </c>
      <c r="Y2082" s="0" t="s">
        <v>499</v>
      </c>
      <c r="AV2082" s="68"/>
      <c r="AW2082" s="68"/>
      <c r="AY2082" s="27"/>
      <c r="BD2082" s="68">
        <v>46054.1666666667</v>
      </c>
      <c r="BE2082" s="68">
        <v>46082.1666666667</v>
      </c>
      <c r="BF2082" s="0" t="b">
        <v>0</v>
      </c>
      <c r="BG2082" s="0" t="b">
        <v>0</v>
      </c>
      <c r="BH2082" s="0">
        <v>777</v>
      </c>
      <c r="BI2082" s="0">
        <v>777</v>
      </c>
      <c r="BJ2082" s="0" t="s">
        <v>230</v>
      </c>
    </row>
    <row r="2083">
      <c r="A2083" s="0" t="s">
        <v>2315</v>
      </c>
      <c r="B2083" s="0" t="s">
        <v>134</v>
      </c>
      <c r="C2083" s="0" t="s">
        <v>134</v>
      </c>
      <c r="D2083" s="0" t="s">
        <v>135</v>
      </c>
      <c r="E2083" s="0" t="s">
        <v>3</v>
      </c>
      <c r="F2083" s="0" t="s">
        <v>12</v>
      </c>
      <c r="G2083" s="0" t="s">
        <v>8</v>
      </c>
      <c r="H2083" s="0">
        <v>937</v>
      </c>
      <c r="I2083" s="0">
        <v>84</v>
      </c>
      <c r="J2083" s="0">
        <v>0</v>
      </c>
      <c r="K2083" s="0">
        <v>1</v>
      </c>
      <c r="L2083" s="0">
        <v>1</v>
      </c>
      <c r="M2083" s="0">
        <v>3</v>
      </c>
      <c r="N2083" s="0">
        <v>0</v>
      </c>
      <c r="O2083" s="0">
        <v>0</v>
      </c>
      <c r="P2083" s="0">
        <v>0</v>
      </c>
      <c r="R2083" s="0" t="b">
        <v>0</v>
      </c>
      <c r="S2083" s="0" t="b">
        <v>1</v>
      </c>
      <c r="T2083" s="68">
        <v>45116.2980439815</v>
      </c>
      <c r="U2083" s="68">
        <v>45131.3333333333</v>
      </c>
      <c r="V2083" s="68">
        <v>0</v>
      </c>
      <c r="W2083" s="0">
        <f>IF(IF(B2083="none",1,IF(B2083="Trialer",1,0))+IF(C2083="Customer",1,IF(C2083="Lost",1,0))=2,1,0)</f>
      </c>
      <c r="X2083" s="0" t="s">
        <v>142</v>
      </c>
      <c r="Y2083" s="0" t="s">
        <v>243</v>
      </c>
      <c r="AV2083" s="68"/>
      <c r="AW2083" s="68"/>
      <c r="AY2083" s="27"/>
      <c r="BD2083" s="68">
        <v>46054.1666666667</v>
      </c>
      <c r="BE2083" s="68">
        <v>46082.1666666667</v>
      </c>
      <c r="BF2083" s="0" t="b">
        <v>0</v>
      </c>
      <c r="BG2083" s="0" t="b">
        <v>0</v>
      </c>
      <c r="BH2083" s="0">
        <v>84</v>
      </c>
      <c r="BI2083" s="0">
        <v>84</v>
      </c>
      <c r="BJ2083" s="0" t="s">
        <v>135</v>
      </c>
    </row>
    <row r="2084">
      <c r="A2084" s="0" t="s">
        <v>2316</v>
      </c>
      <c r="B2084" s="0" t="s">
        <v>134</v>
      </c>
      <c r="C2084" s="0" t="s">
        <v>134</v>
      </c>
      <c r="D2084" s="0" t="s">
        <v>135</v>
      </c>
      <c r="E2084" s="0" t="s">
        <v>3</v>
      </c>
      <c r="F2084" s="0" t="s">
        <v>12</v>
      </c>
      <c r="G2084" s="0" t="s">
        <v>8</v>
      </c>
      <c r="H2084" s="0">
        <v>937</v>
      </c>
      <c r="I2084" s="0">
        <v>77</v>
      </c>
      <c r="J2084" s="0">
        <v>0</v>
      </c>
      <c r="K2084" s="0">
        <v>1</v>
      </c>
      <c r="L2084" s="0">
        <v>3</v>
      </c>
      <c r="M2084" s="0">
        <v>2</v>
      </c>
      <c r="N2084" s="0">
        <v>0</v>
      </c>
      <c r="O2084" s="0">
        <v>0</v>
      </c>
      <c r="P2084" s="0">
        <v>0</v>
      </c>
      <c r="R2084" s="0" t="b">
        <v>0</v>
      </c>
      <c r="S2084" s="0" t="b">
        <v>1</v>
      </c>
      <c r="T2084" s="68">
        <v>45116.4987037037</v>
      </c>
      <c r="U2084" s="68">
        <v>45130.3333333333</v>
      </c>
      <c r="V2084" s="68">
        <v>0</v>
      </c>
      <c r="W2084" s="0">
        <f>IF(IF(B2084="none",1,IF(B2084="Trialer",1,0))+IF(C2084="Customer",1,IF(C2084="Lost",1,0))=2,1,0)</f>
      </c>
      <c r="X2084" s="0" t="s">
        <v>142</v>
      </c>
      <c r="Y2084" s="0" t="s">
        <v>243</v>
      </c>
      <c r="AV2084" s="68"/>
      <c r="AW2084" s="68"/>
      <c r="AY2084" s="27"/>
      <c r="BD2084" s="68">
        <v>46054.1666666667</v>
      </c>
      <c r="BE2084" s="68">
        <v>46082.1666666667</v>
      </c>
      <c r="BF2084" s="0" t="b">
        <v>0</v>
      </c>
      <c r="BG2084" s="0" t="b">
        <v>0</v>
      </c>
      <c r="BH2084" s="0">
        <v>77</v>
      </c>
      <c r="BI2084" s="0">
        <v>77</v>
      </c>
      <c r="BJ2084" s="0" t="s">
        <v>135</v>
      </c>
    </row>
    <row r="2085">
      <c r="A2085" s="0" t="s">
        <v>2317</v>
      </c>
      <c r="B2085" s="0" t="s">
        <v>134</v>
      </c>
      <c r="C2085" s="0" t="s">
        <v>134</v>
      </c>
      <c r="D2085" s="0" t="s">
        <v>230</v>
      </c>
      <c r="E2085" s="0" t="s">
        <v>2</v>
      </c>
      <c r="F2085" s="0" t="s">
        <v>12</v>
      </c>
      <c r="G2085" s="0" t="s">
        <v>8</v>
      </c>
      <c r="H2085" s="0">
        <v>936</v>
      </c>
      <c r="I2085" s="0">
        <v>36</v>
      </c>
      <c r="J2085" s="0">
        <v>0</v>
      </c>
      <c r="K2085" s="0">
        <v>1</v>
      </c>
      <c r="L2085" s="0">
        <v>2</v>
      </c>
      <c r="M2085" s="0">
        <v>1</v>
      </c>
      <c r="N2085" s="0">
        <v>0</v>
      </c>
      <c r="O2085" s="0">
        <v>0</v>
      </c>
      <c r="P2085" s="0">
        <v>-36</v>
      </c>
      <c r="R2085" s="0" t="b">
        <v>0</v>
      </c>
      <c r="S2085" s="0" t="b">
        <v>1</v>
      </c>
      <c r="T2085" s="68">
        <v>45117.6962731481</v>
      </c>
      <c r="U2085" s="68">
        <v>45131.3333333333</v>
      </c>
      <c r="V2085" s="68">
        <v>0</v>
      </c>
      <c r="W2085" s="0">
        <f>IF(IF(B2085="none",1,IF(B2085="Trialer",1,0))+IF(C2085="Customer",1,IF(C2085="Lost",1,0))=2,1,0)</f>
      </c>
      <c r="X2085" s="0" t="s">
        <v>142</v>
      </c>
      <c r="Y2085" s="0" t="s">
        <v>499</v>
      </c>
      <c r="AV2085" s="68"/>
      <c r="AW2085" s="68"/>
      <c r="AY2085" s="27"/>
      <c r="BD2085" s="68">
        <v>46054.1666666667</v>
      </c>
      <c r="BE2085" s="68">
        <v>46082.1666666667</v>
      </c>
      <c r="BF2085" s="0" t="b">
        <v>0</v>
      </c>
      <c r="BG2085" s="0" t="b">
        <v>0</v>
      </c>
      <c r="BH2085" s="0">
        <v>40</v>
      </c>
      <c r="BI2085" s="0">
        <v>40</v>
      </c>
      <c r="BJ2085" s="0" t="s">
        <v>230</v>
      </c>
    </row>
    <row r="2086">
      <c r="A2086" s="0" t="s">
        <v>2318</v>
      </c>
      <c r="B2086" s="0" t="s">
        <v>134</v>
      </c>
      <c r="C2086" s="0" t="s">
        <v>134</v>
      </c>
      <c r="D2086" s="0" t="s">
        <v>230</v>
      </c>
      <c r="E2086" s="0" t="s">
        <v>3</v>
      </c>
      <c r="F2086" s="0" t="s">
        <v>12</v>
      </c>
      <c r="G2086" s="0" t="s">
        <v>8</v>
      </c>
      <c r="H2086" s="0">
        <v>936</v>
      </c>
      <c r="I2086" s="0">
        <v>36</v>
      </c>
      <c r="J2086" s="0">
        <v>0</v>
      </c>
      <c r="K2086" s="0">
        <v>1</v>
      </c>
      <c r="L2086" s="0">
        <v>2</v>
      </c>
      <c r="M2086" s="0">
        <v>1</v>
      </c>
      <c r="N2086" s="0">
        <v>0</v>
      </c>
      <c r="O2086" s="0">
        <v>0</v>
      </c>
      <c r="P2086" s="0">
        <v>-36</v>
      </c>
      <c r="R2086" s="0" t="b">
        <v>0</v>
      </c>
      <c r="S2086" s="0" t="b">
        <v>1</v>
      </c>
      <c r="T2086" s="68">
        <v>45117.8865046296</v>
      </c>
      <c r="U2086" s="68">
        <v>45139.3333333333</v>
      </c>
      <c r="V2086" s="68">
        <v>0</v>
      </c>
      <c r="W2086" s="0">
        <f>IF(IF(B2086="none",1,IF(B2086="Trialer",1,0))+IF(C2086="Customer",1,IF(C2086="Lost",1,0))=2,1,0)</f>
      </c>
      <c r="X2086" s="0" t="s">
        <v>153</v>
      </c>
      <c r="Y2086" s="0" t="s">
        <v>243</v>
      </c>
      <c r="AV2086" s="68"/>
      <c r="AW2086" s="68"/>
      <c r="AY2086" s="27"/>
      <c r="BD2086" s="68">
        <v>46054.1666666667</v>
      </c>
      <c r="BE2086" s="68">
        <v>46082.1666666667</v>
      </c>
      <c r="BF2086" s="0" t="b">
        <v>0</v>
      </c>
      <c r="BG2086" s="0" t="b">
        <v>0</v>
      </c>
      <c r="BH2086" s="0">
        <v>40</v>
      </c>
      <c r="BI2086" s="0">
        <v>40</v>
      </c>
      <c r="BJ2086" s="0" t="s">
        <v>230</v>
      </c>
    </row>
    <row r="2087">
      <c r="A2087" s="0" t="s">
        <v>2319</v>
      </c>
      <c r="B2087" s="0" t="s">
        <v>134</v>
      </c>
      <c r="C2087" s="0" t="s">
        <v>134</v>
      </c>
      <c r="D2087" s="0" t="s">
        <v>135</v>
      </c>
      <c r="E2087" s="0" t="s">
        <v>3</v>
      </c>
      <c r="F2087" s="0" t="s">
        <v>12</v>
      </c>
      <c r="G2087" s="0" t="s">
        <v>8</v>
      </c>
      <c r="H2087" s="0">
        <v>935</v>
      </c>
      <c r="I2087" s="0">
        <v>381</v>
      </c>
      <c r="J2087" s="0">
        <v>0</v>
      </c>
      <c r="K2087" s="0">
        <v>1</v>
      </c>
      <c r="L2087" s="0">
        <v>4</v>
      </c>
      <c r="M2087" s="0">
        <v>9</v>
      </c>
      <c r="N2087" s="0">
        <v>688.75</v>
      </c>
      <c r="O2087" s="0">
        <v>0</v>
      </c>
      <c r="P2087" s="0">
        <v>0</v>
      </c>
      <c r="R2087" s="0" t="b">
        <v>0</v>
      </c>
      <c r="S2087" s="0" t="b">
        <v>1</v>
      </c>
      <c r="T2087" s="68">
        <v>45118.4608449074</v>
      </c>
      <c r="U2087" s="68">
        <v>45132.3333333333</v>
      </c>
      <c r="V2087" s="68">
        <v>0</v>
      </c>
      <c r="W2087" s="0">
        <f>IF(IF(B2087="none",1,IF(B2087="Trialer",1,0))+IF(C2087="Customer",1,IF(C2087="Lost",1,0))=2,1,0)</f>
      </c>
      <c r="X2087" s="0" t="s">
        <v>882</v>
      </c>
      <c r="Y2087" s="0" t="s">
        <v>243</v>
      </c>
      <c r="AV2087" s="68"/>
      <c r="AW2087" s="68"/>
      <c r="AY2087" s="27"/>
      <c r="BD2087" s="68">
        <v>46054.1666666667</v>
      </c>
      <c r="BE2087" s="68">
        <v>46082.1666666667</v>
      </c>
      <c r="BF2087" s="0" t="b">
        <v>0</v>
      </c>
      <c r="BG2087" s="0" t="b">
        <v>0</v>
      </c>
      <c r="BH2087" s="0">
        <v>381</v>
      </c>
      <c r="BI2087" s="0">
        <v>381</v>
      </c>
      <c r="BJ2087" s="0" t="s">
        <v>135</v>
      </c>
    </row>
    <row r="2088">
      <c r="A2088" s="0" t="s">
        <v>2320</v>
      </c>
      <c r="B2088" s="0" t="s">
        <v>134</v>
      </c>
      <c r="C2088" s="0" t="s">
        <v>134</v>
      </c>
      <c r="D2088" s="0" t="s">
        <v>230</v>
      </c>
      <c r="E2088" s="0" t="s">
        <v>2</v>
      </c>
      <c r="F2088" s="0" t="s">
        <v>12</v>
      </c>
      <c r="G2088" s="0" t="s">
        <v>8</v>
      </c>
      <c r="H2088" s="0">
        <v>935</v>
      </c>
      <c r="I2088" s="0">
        <v>153</v>
      </c>
      <c r="J2088" s="0">
        <v>0</v>
      </c>
      <c r="K2088" s="0">
        <v>1</v>
      </c>
      <c r="L2088" s="0">
        <v>6</v>
      </c>
      <c r="M2088" s="0">
        <v>3</v>
      </c>
      <c r="N2088" s="0">
        <v>0</v>
      </c>
      <c r="O2088" s="0">
        <v>0</v>
      </c>
      <c r="P2088" s="0">
        <v>-153</v>
      </c>
      <c r="R2088" s="0" t="b">
        <v>0</v>
      </c>
      <c r="S2088" s="0" t="b">
        <v>1</v>
      </c>
      <c r="T2088" s="68">
        <v>45118.691400463</v>
      </c>
      <c r="U2088" s="68">
        <v>45132.3333333333</v>
      </c>
      <c r="V2088" s="68">
        <v>0</v>
      </c>
      <c r="W2088" s="0">
        <f>IF(IF(B2088="none",1,IF(B2088="Trialer",1,0))+IF(C2088="Customer",1,IF(C2088="Lost",1,0))=2,1,0)</f>
      </c>
      <c r="X2088" s="0" t="s">
        <v>153</v>
      </c>
      <c r="Y2088" s="0" t="s">
        <v>499</v>
      </c>
      <c r="AV2088" s="68"/>
      <c r="AW2088" s="68"/>
      <c r="AY2088" s="27"/>
      <c r="BD2088" s="68">
        <v>46054.1666666667</v>
      </c>
      <c r="BE2088" s="68">
        <v>46082.1666666667</v>
      </c>
      <c r="BF2088" s="0" t="b">
        <v>0</v>
      </c>
      <c r="BG2088" s="0" t="b">
        <v>0</v>
      </c>
      <c r="BH2088" s="0">
        <v>174</v>
      </c>
      <c r="BI2088" s="0">
        <v>174</v>
      </c>
      <c r="BJ2088" s="0" t="s">
        <v>230</v>
      </c>
    </row>
    <row r="2089">
      <c r="A2089" s="0" t="s">
        <v>2321</v>
      </c>
      <c r="B2089" s="0" t="s">
        <v>134</v>
      </c>
      <c r="C2089" s="0" t="s">
        <v>134</v>
      </c>
      <c r="D2089" s="0" t="s">
        <v>135</v>
      </c>
      <c r="E2089" s="0" t="s">
        <v>3</v>
      </c>
      <c r="F2089" s="0" t="s">
        <v>12</v>
      </c>
      <c r="G2089" s="0" t="s">
        <v>8</v>
      </c>
      <c r="H2089" s="0">
        <v>934</v>
      </c>
      <c r="I2089" s="0">
        <v>49</v>
      </c>
      <c r="J2089" s="0">
        <v>0</v>
      </c>
      <c r="K2089" s="0">
        <v>1</v>
      </c>
      <c r="L2089" s="0">
        <v>3</v>
      </c>
      <c r="M2089" s="0">
        <v>1</v>
      </c>
      <c r="N2089" s="0">
        <v>0</v>
      </c>
      <c r="O2089" s="0">
        <v>0</v>
      </c>
      <c r="P2089" s="0">
        <v>0</v>
      </c>
      <c r="R2089" s="0" t="b">
        <v>0</v>
      </c>
      <c r="S2089" s="0" t="b">
        <v>1</v>
      </c>
      <c r="T2089" s="68">
        <v>45119.4093055556</v>
      </c>
      <c r="U2089" s="68">
        <v>45133.3333333333</v>
      </c>
      <c r="V2089" s="68">
        <v>0</v>
      </c>
      <c r="W2089" s="0">
        <f>IF(IF(B2089="none",1,IF(B2089="Trialer",1,0))+IF(C2089="Customer",1,IF(C2089="Lost",1,0))=2,1,0)</f>
      </c>
      <c r="X2089" s="0" t="s">
        <v>142</v>
      </c>
      <c r="Y2089" s="0" t="s">
        <v>243</v>
      </c>
      <c r="AV2089" s="68"/>
      <c r="AW2089" s="68"/>
      <c r="AY2089" s="27"/>
      <c r="BD2089" s="68">
        <v>46054.1666666667</v>
      </c>
      <c r="BE2089" s="68">
        <v>46082.1666666667</v>
      </c>
      <c r="BF2089" s="0" t="b">
        <v>0</v>
      </c>
      <c r="BG2089" s="0" t="b">
        <v>0</v>
      </c>
      <c r="BH2089" s="0">
        <v>49</v>
      </c>
      <c r="BI2089" s="0">
        <v>49</v>
      </c>
      <c r="BJ2089" s="0" t="s">
        <v>135</v>
      </c>
    </row>
    <row r="2090">
      <c r="A2090" s="0" t="s">
        <v>2322</v>
      </c>
      <c r="B2090" s="0" t="s">
        <v>134</v>
      </c>
      <c r="C2090" s="0" t="s">
        <v>134</v>
      </c>
      <c r="D2090" s="0" t="s">
        <v>135</v>
      </c>
      <c r="E2090" s="0" t="s">
        <v>3</v>
      </c>
      <c r="F2090" s="0" t="s">
        <v>10</v>
      </c>
      <c r="G2090" s="0" t="s">
        <v>8</v>
      </c>
      <c r="H2090" s="0">
        <v>934</v>
      </c>
      <c r="I2090" s="0">
        <v>280</v>
      </c>
      <c r="J2090" s="0">
        <v>0</v>
      </c>
      <c r="K2090" s="0">
        <v>1</v>
      </c>
      <c r="L2090" s="0">
        <v>2</v>
      </c>
      <c r="M2090" s="0">
        <v>7</v>
      </c>
      <c r="N2090" s="0">
        <v>0</v>
      </c>
      <c r="O2090" s="0">
        <v>0</v>
      </c>
      <c r="P2090" s="0">
        <v>0</v>
      </c>
      <c r="Q2090" s="0" t="s">
        <v>2323</v>
      </c>
      <c r="R2090" s="0" t="b">
        <v>0</v>
      </c>
      <c r="S2090" s="0" t="b">
        <v>1</v>
      </c>
      <c r="T2090" s="68">
        <v>45119.6489930556</v>
      </c>
      <c r="U2090" s="68">
        <v>45133.3333333333</v>
      </c>
      <c r="V2090" s="68">
        <v>0</v>
      </c>
      <c r="W2090" s="0">
        <f>IF(IF(B2090="none",1,IF(B2090="Trialer",1,0))+IF(C2090="Customer",1,IF(C2090="Lost",1,0))=2,1,0)</f>
      </c>
      <c r="X2090" s="0" t="s">
        <v>148</v>
      </c>
      <c r="Y2090" s="0" t="s">
        <v>243</v>
      </c>
      <c r="AV2090" s="68"/>
      <c r="AW2090" s="68"/>
      <c r="AY2090" s="27"/>
      <c r="BD2090" s="68">
        <v>46054.1666666667</v>
      </c>
      <c r="BE2090" s="68">
        <v>46082.1666666667</v>
      </c>
      <c r="BF2090" s="0" t="b">
        <v>0</v>
      </c>
      <c r="BG2090" s="0" t="b">
        <v>0</v>
      </c>
      <c r="BH2090" s="0">
        <v>280</v>
      </c>
      <c r="BI2090" s="0">
        <v>280</v>
      </c>
      <c r="BJ2090" s="0" t="s">
        <v>135</v>
      </c>
    </row>
    <row r="2091">
      <c r="A2091" s="0" t="s">
        <v>2324</v>
      </c>
      <c r="B2091" s="0" t="s">
        <v>134</v>
      </c>
      <c r="C2091" s="0" t="s">
        <v>134</v>
      </c>
      <c r="D2091" s="0" t="s">
        <v>135</v>
      </c>
      <c r="E2091" s="0" t="s">
        <v>2</v>
      </c>
      <c r="F2091" s="0" t="s">
        <v>12</v>
      </c>
      <c r="G2091" s="0" t="s">
        <v>7</v>
      </c>
      <c r="H2091" s="0">
        <v>933</v>
      </c>
      <c r="I2091" s="0">
        <v>40</v>
      </c>
      <c r="J2091" s="0">
        <v>0</v>
      </c>
      <c r="K2091" s="0">
        <v>1</v>
      </c>
      <c r="L2091" s="0">
        <v>1</v>
      </c>
      <c r="M2091" s="0">
        <v>1</v>
      </c>
      <c r="N2091" s="0">
        <v>0</v>
      </c>
      <c r="O2091" s="0">
        <v>0</v>
      </c>
      <c r="P2091" s="0">
        <v>0</v>
      </c>
      <c r="R2091" s="0" t="b">
        <v>0</v>
      </c>
      <c r="S2091" s="0" t="b">
        <v>1</v>
      </c>
      <c r="T2091" s="68">
        <v>45120.5</v>
      </c>
      <c r="U2091" s="68">
        <v>45120.5</v>
      </c>
      <c r="V2091" s="68">
        <v>0</v>
      </c>
      <c r="W2091" s="0">
        <f>IF(IF(B2091="none",1,IF(B2091="Trialer",1,0))+IF(C2091="Customer",1,IF(C2091="Lost",1,0))=2,1,0)</f>
      </c>
      <c r="X2091" s="0" t="s">
        <v>145</v>
      </c>
      <c r="Y2091" s="0" t="s">
        <v>137</v>
      </c>
      <c r="AV2091" s="68"/>
      <c r="AW2091" s="68"/>
      <c r="AY2091" s="27"/>
      <c r="BD2091" s="68">
        <v>46054.1666666667</v>
      </c>
      <c r="BE2091" s="68">
        <v>46082.1666666667</v>
      </c>
      <c r="BF2091" s="0" t="b">
        <v>0</v>
      </c>
      <c r="BG2091" s="0" t="b">
        <v>0</v>
      </c>
      <c r="BH2091" s="0">
        <v>40</v>
      </c>
      <c r="BI2091" s="0">
        <v>40</v>
      </c>
      <c r="BJ2091" s="0" t="s">
        <v>135</v>
      </c>
    </row>
    <row r="2092">
      <c r="A2092" s="0" t="s">
        <v>2325</v>
      </c>
      <c r="B2092" s="0" t="s">
        <v>134</v>
      </c>
      <c r="C2092" s="0" t="s">
        <v>134</v>
      </c>
      <c r="D2092" s="0" t="s">
        <v>135</v>
      </c>
      <c r="E2092" s="0" t="s">
        <v>3</v>
      </c>
      <c r="F2092" s="0" t="s">
        <v>12</v>
      </c>
      <c r="G2092" s="0" t="s">
        <v>8</v>
      </c>
      <c r="H2092" s="0">
        <v>933</v>
      </c>
      <c r="I2092" s="0">
        <v>184</v>
      </c>
      <c r="J2092" s="0">
        <v>0</v>
      </c>
      <c r="K2092" s="0">
        <v>1</v>
      </c>
      <c r="L2092" s="0">
        <v>4</v>
      </c>
      <c r="M2092" s="0">
        <v>4</v>
      </c>
      <c r="N2092" s="0">
        <v>0</v>
      </c>
      <c r="O2092" s="0">
        <v>0</v>
      </c>
      <c r="P2092" s="0">
        <v>0</v>
      </c>
      <c r="R2092" s="0" t="b">
        <v>0</v>
      </c>
      <c r="S2092" s="0" t="b">
        <v>1</v>
      </c>
      <c r="T2092" s="68">
        <v>45120.6854513889</v>
      </c>
      <c r="U2092" s="68">
        <v>45134.3333333333</v>
      </c>
      <c r="V2092" s="68">
        <v>0</v>
      </c>
      <c r="W2092" s="0">
        <f>IF(IF(B2092="none",1,IF(B2092="Trialer",1,0))+IF(C2092="Customer",1,IF(C2092="Lost",1,0))=2,1,0)</f>
      </c>
      <c r="X2092" s="0" t="s">
        <v>136</v>
      </c>
      <c r="Y2092" s="0" t="s">
        <v>243</v>
      </c>
      <c r="AV2092" s="68"/>
      <c r="AW2092" s="68"/>
      <c r="AY2092" s="27"/>
      <c r="BD2092" s="68">
        <v>46054.1666666667</v>
      </c>
      <c r="BE2092" s="68">
        <v>46082.1666666667</v>
      </c>
      <c r="BF2092" s="0" t="b">
        <v>0</v>
      </c>
      <c r="BG2092" s="0" t="b">
        <v>0</v>
      </c>
      <c r="BH2092" s="0">
        <v>184</v>
      </c>
      <c r="BI2092" s="0">
        <v>184</v>
      </c>
      <c r="BJ2092" s="0" t="s">
        <v>135</v>
      </c>
    </row>
    <row r="2093">
      <c r="A2093" s="0" t="s">
        <v>2326</v>
      </c>
      <c r="B2093" s="0" t="s">
        <v>134</v>
      </c>
      <c r="C2093" s="0" t="s">
        <v>134</v>
      </c>
      <c r="D2093" s="0" t="s">
        <v>135</v>
      </c>
      <c r="E2093" s="0" t="s">
        <v>3</v>
      </c>
      <c r="F2093" s="0" t="s">
        <v>12</v>
      </c>
      <c r="G2093" s="0" t="s">
        <v>8</v>
      </c>
      <c r="H2093" s="0">
        <v>933</v>
      </c>
      <c r="I2093" s="0">
        <v>40</v>
      </c>
      <c r="J2093" s="0">
        <v>0</v>
      </c>
      <c r="K2093" s="0">
        <v>1</v>
      </c>
      <c r="L2093" s="0">
        <v>2</v>
      </c>
      <c r="M2093" s="0">
        <v>1</v>
      </c>
      <c r="N2093" s="0">
        <v>0</v>
      </c>
      <c r="O2093" s="0">
        <v>0</v>
      </c>
      <c r="P2093" s="0">
        <v>0</v>
      </c>
      <c r="R2093" s="0" t="b">
        <v>0</v>
      </c>
      <c r="S2093" s="0" t="b">
        <v>1</v>
      </c>
      <c r="T2093" s="68">
        <v>45120.744224537</v>
      </c>
      <c r="U2093" s="68">
        <v>45148.3333333333</v>
      </c>
      <c r="V2093" s="68">
        <v>0</v>
      </c>
      <c r="W2093" s="0">
        <f>IF(IF(B2093="none",1,IF(B2093="Trialer",1,0))+IF(C2093="Customer",1,IF(C2093="Lost",1,0))=2,1,0)</f>
      </c>
      <c r="X2093" s="0" t="s">
        <v>153</v>
      </c>
      <c r="Y2093" s="0" t="s">
        <v>243</v>
      </c>
      <c r="AV2093" s="68"/>
      <c r="AW2093" s="68"/>
      <c r="AY2093" s="27"/>
      <c r="BD2093" s="68">
        <v>46054.1666666667</v>
      </c>
      <c r="BE2093" s="68">
        <v>46082.1666666667</v>
      </c>
      <c r="BF2093" s="0" t="b">
        <v>0</v>
      </c>
      <c r="BG2093" s="0" t="b">
        <v>0</v>
      </c>
      <c r="BH2093" s="0">
        <v>40</v>
      </c>
      <c r="BI2093" s="0">
        <v>40</v>
      </c>
      <c r="BJ2093" s="0" t="s">
        <v>135</v>
      </c>
    </row>
    <row r="2094">
      <c r="A2094" s="0" t="s">
        <v>2327</v>
      </c>
      <c r="B2094" s="0" t="s">
        <v>134</v>
      </c>
      <c r="C2094" s="0" t="s">
        <v>134</v>
      </c>
      <c r="D2094" s="0" t="s">
        <v>230</v>
      </c>
      <c r="E2094" s="0" t="s">
        <v>3</v>
      </c>
      <c r="F2094" s="0" t="s">
        <v>12</v>
      </c>
      <c r="G2094" s="0" t="s">
        <v>8</v>
      </c>
      <c r="H2094" s="0">
        <v>932</v>
      </c>
      <c r="I2094" s="0">
        <v>109.8</v>
      </c>
      <c r="J2094" s="0">
        <v>0</v>
      </c>
      <c r="K2094" s="0">
        <v>1</v>
      </c>
      <c r="L2094" s="0">
        <v>4</v>
      </c>
      <c r="M2094" s="0">
        <v>2</v>
      </c>
      <c r="N2094" s="0">
        <v>0</v>
      </c>
      <c r="O2094" s="0">
        <v>0</v>
      </c>
      <c r="P2094" s="0">
        <v>-109.8</v>
      </c>
      <c r="R2094" s="0" t="b">
        <v>0</v>
      </c>
      <c r="S2094" s="0" t="b">
        <v>1</v>
      </c>
      <c r="T2094" s="68">
        <v>45121.49375</v>
      </c>
      <c r="U2094" s="68">
        <v>45146.3333333333</v>
      </c>
      <c r="V2094" s="68">
        <v>0</v>
      </c>
      <c r="W2094" s="0">
        <f>IF(IF(B2094="none",1,IF(B2094="Trialer",1,0))+IF(C2094="Customer",1,IF(C2094="Lost",1,0))=2,1,0)</f>
      </c>
      <c r="X2094" s="0" t="s">
        <v>153</v>
      </c>
      <c r="Y2094" s="0" t="s">
        <v>243</v>
      </c>
      <c r="AV2094" s="68"/>
      <c r="AW2094" s="68"/>
      <c r="AY2094" s="27"/>
      <c r="BD2094" s="68">
        <v>46054.1666666667</v>
      </c>
      <c r="BE2094" s="68">
        <v>46082.1666666667</v>
      </c>
      <c r="BF2094" s="0" t="b">
        <v>0</v>
      </c>
      <c r="BG2094" s="0" t="b">
        <v>0</v>
      </c>
      <c r="BH2094" s="0">
        <v>183</v>
      </c>
      <c r="BI2094" s="0">
        <v>183</v>
      </c>
      <c r="BJ2094" s="0" t="s">
        <v>230</v>
      </c>
    </row>
    <row r="2095">
      <c r="A2095" s="0" t="s">
        <v>2328</v>
      </c>
      <c r="B2095" s="0" t="s">
        <v>134</v>
      </c>
      <c r="C2095" s="0" t="s">
        <v>134</v>
      </c>
      <c r="D2095" s="0" t="s">
        <v>135</v>
      </c>
      <c r="E2095" s="0" t="s">
        <v>3</v>
      </c>
      <c r="F2095" s="0" t="s">
        <v>11</v>
      </c>
      <c r="G2095" s="0" t="s">
        <v>8</v>
      </c>
      <c r="H2095" s="0">
        <v>932</v>
      </c>
      <c r="I2095" s="0">
        <v>196</v>
      </c>
      <c r="J2095" s="0">
        <v>0</v>
      </c>
      <c r="K2095" s="0">
        <v>1</v>
      </c>
      <c r="L2095" s="0">
        <v>3</v>
      </c>
      <c r="M2095" s="0">
        <v>5</v>
      </c>
      <c r="N2095" s="0">
        <v>0</v>
      </c>
      <c r="O2095" s="0">
        <v>0</v>
      </c>
      <c r="P2095" s="0">
        <v>0</v>
      </c>
      <c r="Q2095" s="0" t="s">
        <v>1743</v>
      </c>
      <c r="R2095" s="0" t="b">
        <v>1</v>
      </c>
      <c r="S2095" s="0" t="b">
        <v>1</v>
      </c>
      <c r="T2095" s="68">
        <v>45121.6113078704</v>
      </c>
      <c r="U2095" s="68">
        <v>45121.3333333333</v>
      </c>
      <c r="V2095" s="68">
        <v>0</v>
      </c>
      <c r="W2095" s="0">
        <f>IF(IF(B2095="none",1,IF(B2095="Trialer",1,0))+IF(C2095="Customer",1,IF(C2095="Lost",1,0))=2,1,0)</f>
      </c>
      <c r="X2095" s="0" t="s">
        <v>145</v>
      </c>
      <c r="Y2095" s="0" t="s">
        <v>243</v>
      </c>
      <c r="AV2095" s="68"/>
      <c r="AW2095" s="68"/>
      <c r="AY2095" s="27"/>
      <c r="BD2095" s="68">
        <v>46054.1666666667</v>
      </c>
      <c r="BE2095" s="68">
        <v>46082.1666666667</v>
      </c>
      <c r="BF2095" s="0" t="b">
        <v>0</v>
      </c>
      <c r="BG2095" s="0" t="b">
        <v>0</v>
      </c>
      <c r="BH2095" s="0">
        <v>274.4</v>
      </c>
      <c r="BI2095" s="0">
        <v>274.4</v>
      </c>
      <c r="BJ2095" s="0" t="s">
        <v>135</v>
      </c>
    </row>
    <row r="2096">
      <c r="A2096" s="0" t="s">
        <v>2329</v>
      </c>
      <c r="B2096" s="0" t="s">
        <v>134</v>
      </c>
      <c r="C2096" s="0" t="s">
        <v>134</v>
      </c>
      <c r="D2096" s="0" t="s">
        <v>135</v>
      </c>
      <c r="E2096" s="0" t="s">
        <v>3</v>
      </c>
      <c r="F2096" s="0" t="s">
        <v>12</v>
      </c>
      <c r="G2096" s="0" t="s">
        <v>8</v>
      </c>
      <c r="H2096" s="0">
        <v>932</v>
      </c>
      <c r="I2096" s="0">
        <v>0</v>
      </c>
      <c r="J2096" s="0">
        <v>0</v>
      </c>
      <c r="K2096" s="0">
        <v>1</v>
      </c>
      <c r="L2096" s="0">
        <v>5</v>
      </c>
      <c r="M2096" s="0">
        <v>2</v>
      </c>
      <c r="N2096" s="0">
        <v>0</v>
      </c>
      <c r="O2096" s="0">
        <v>0</v>
      </c>
      <c r="P2096" s="0">
        <v>0</v>
      </c>
      <c r="R2096" s="0" t="b">
        <v>0</v>
      </c>
      <c r="S2096" s="0" t="b">
        <v>1</v>
      </c>
      <c r="T2096" s="68">
        <v>45121.8838425926</v>
      </c>
      <c r="U2096" s="68">
        <v>45149.3333333333</v>
      </c>
      <c r="V2096" s="68">
        <v>0</v>
      </c>
      <c r="W2096" s="0">
        <f>IF(IF(B2096="none",1,IF(B2096="Trialer",1,0))+IF(C2096="Customer",1,IF(C2096="Lost",1,0))=2,1,0)</f>
      </c>
      <c r="X2096" s="0" t="s">
        <v>136</v>
      </c>
      <c r="Y2096" s="0" t="s">
        <v>243</v>
      </c>
      <c r="AV2096" s="68"/>
      <c r="AW2096" s="68"/>
      <c r="AY2096" s="27"/>
      <c r="BD2096" s="68">
        <v>46054.1666666667</v>
      </c>
      <c r="BE2096" s="68">
        <v>46082.1666666667</v>
      </c>
      <c r="BF2096" s="0" t="b">
        <v>0</v>
      </c>
      <c r="BG2096" s="0" t="b">
        <v>0</v>
      </c>
      <c r="BH2096" s="0">
        <v>0</v>
      </c>
      <c r="BI2096" s="0">
        <v>0</v>
      </c>
      <c r="BJ2096" s="0" t="s">
        <v>135</v>
      </c>
    </row>
    <row r="2097">
      <c r="A2097" s="0" t="s">
        <v>2330</v>
      </c>
      <c r="B2097" s="0" t="s">
        <v>134</v>
      </c>
      <c r="C2097" s="0" t="s">
        <v>134</v>
      </c>
      <c r="D2097" s="0" t="s">
        <v>230</v>
      </c>
      <c r="E2097" s="0" t="s">
        <v>2</v>
      </c>
      <c r="F2097" s="0" t="s">
        <v>12</v>
      </c>
      <c r="G2097" s="0" t="s">
        <v>8</v>
      </c>
      <c r="H2097" s="0">
        <v>929</v>
      </c>
      <c r="I2097" s="0">
        <v>72</v>
      </c>
      <c r="J2097" s="0">
        <v>0</v>
      </c>
      <c r="K2097" s="0">
        <v>1</v>
      </c>
      <c r="L2097" s="0">
        <v>2</v>
      </c>
      <c r="M2097" s="0">
        <v>2</v>
      </c>
      <c r="N2097" s="0">
        <v>0</v>
      </c>
      <c r="O2097" s="0">
        <v>0</v>
      </c>
      <c r="P2097" s="0">
        <v>-72</v>
      </c>
      <c r="R2097" s="0" t="b">
        <v>0</v>
      </c>
      <c r="S2097" s="0" t="b">
        <v>1</v>
      </c>
      <c r="T2097" s="68">
        <v>45124.4972222222</v>
      </c>
      <c r="U2097" s="68">
        <v>45138.3333333333</v>
      </c>
      <c r="V2097" s="68">
        <v>0</v>
      </c>
      <c r="W2097" s="0">
        <f>IF(IF(B2097="none",1,IF(B2097="Trialer",1,0))+IF(C2097="Customer",1,IF(C2097="Lost",1,0))=2,1,0)</f>
      </c>
      <c r="X2097" s="0" t="s">
        <v>166</v>
      </c>
      <c r="Y2097" s="0" t="s">
        <v>499</v>
      </c>
      <c r="AV2097" s="68"/>
      <c r="AW2097" s="68"/>
      <c r="AY2097" s="27"/>
      <c r="BD2097" s="68">
        <v>46054.1666666667</v>
      </c>
      <c r="BE2097" s="68">
        <v>46082.1666666667</v>
      </c>
      <c r="BF2097" s="0" t="b">
        <v>0</v>
      </c>
      <c r="BG2097" s="0" t="b">
        <v>0</v>
      </c>
      <c r="BH2097" s="0">
        <v>80</v>
      </c>
      <c r="BI2097" s="0">
        <v>80</v>
      </c>
      <c r="BJ2097" s="0" t="s">
        <v>230</v>
      </c>
    </row>
    <row r="2098">
      <c r="A2098" s="0" t="s">
        <v>2331</v>
      </c>
      <c r="B2098" s="0" t="s">
        <v>134</v>
      </c>
      <c r="C2098" s="0" t="s">
        <v>134</v>
      </c>
      <c r="D2098" s="0" t="s">
        <v>135</v>
      </c>
      <c r="E2098" s="0" t="s">
        <v>3</v>
      </c>
      <c r="F2098" s="0" t="s">
        <v>12</v>
      </c>
      <c r="G2098" s="0" t="s">
        <v>8</v>
      </c>
      <c r="H2098" s="0">
        <v>929</v>
      </c>
      <c r="I2098" s="0">
        <v>129</v>
      </c>
      <c r="J2098" s="0">
        <v>0</v>
      </c>
      <c r="K2098" s="0">
        <v>1</v>
      </c>
      <c r="L2098" s="0">
        <v>5</v>
      </c>
      <c r="M2098" s="0">
        <v>3</v>
      </c>
      <c r="N2098" s="0">
        <v>0</v>
      </c>
      <c r="O2098" s="0">
        <v>0</v>
      </c>
      <c r="P2098" s="0">
        <v>0</v>
      </c>
      <c r="R2098" s="0" t="b">
        <v>0</v>
      </c>
      <c r="S2098" s="0" t="b">
        <v>1</v>
      </c>
      <c r="T2098" s="68">
        <v>45124.5288773148</v>
      </c>
      <c r="U2098" s="68">
        <v>45139.3333333333</v>
      </c>
      <c r="V2098" s="68">
        <v>0</v>
      </c>
      <c r="W2098" s="0">
        <f>IF(IF(B2098="none",1,IF(B2098="Trialer",1,0))+IF(C2098="Customer",1,IF(C2098="Lost",1,0))=2,1,0)</f>
      </c>
      <c r="X2098" s="0" t="s">
        <v>153</v>
      </c>
      <c r="Y2098" s="0" t="s">
        <v>243</v>
      </c>
      <c r="AV2098" s="68"/>
      <c r="AW2098" s="68"/>
      <c r="AY2098" s="27"/>
      <c r="BD2098" s="68">
        <v>46054.1666666667</v>
      </c>
      <c r="BE2098" s="68">
        <v>46082.1666666667</v>
      </c>
      <c r="BF2098" s="0" t="b">
        <v>0</v>
      </c>
      <c r="BG2098" s="0" t="b">
        <v>0</v>
      </c>
      <c r="BH2098" s="0">
        <v>129</v>
      </c>
      <c r="BI2098" s="0">
        <v>129</v>
      </c>
      <c r="BJ2098" s="0" t="s">
        <v>135</v>
      </c>
    </row>
    <row r="2099">
      <c r="A2099" s="0" t="s">
        <v>2332</v>
      </c>
      <c r="B2099" s="0" t="s">
        <v>134</v>
      </c>
      <c r="C2099" s="0" t="s">
        <v>134</v>
      </c>
      <c r="D2099" s="0" t="s">
        <v>135</v>
      </c>
      <c r="E2099" s="0" t="s">
        <v>2</v>
      </c>
      <c r="F2099" s="0" t="s">
        <v>10</v>
      </c>
      <c r="G2099" s="0" t="s">
        <v>8</v>
      </c>
      <c r="H2099" s="0">
        <v>929</v>
      </c>
      <c r="I2099" s="0">
        <v>1186</v>
      </c>
      <c r="J2099" s="0">
        <v>0</v>
      </c>
      <c r="K2099" s="0">
        <v>1</v>
      </c>
      <c r="L2099" s="0">
        <v>5</v>
      </c>
      <c r="M2099" s="0">
        <v>22</v>
      </c>
      <c r="N2099" s="0">
        <v>0</v>
      </c>
      <c r="O2099" s="0">
        <v>0</v>
      </c>
      <c r="P2099" s="0">
        <v>0</v>
      </c>
      <c r="Q2099" s="0" t="s">
        <v>1919</v>
      </c>
      <c r="R2099" s="0" t="b">
        <v>0</v>
      </c>
      <c r="S2099" s="0" t="b">
        <v>1</v>
      </c>
      <c r="T2099" s="68">
        <v>45124.5755208333</v>
      </c>
      <c r="U2099" s="68">
        <v>45141.3333333333</v>
      </c>
      <c r="V2099" s="68">
        <v>0</v>
      </c>
      <c r="W2099" s="0">
        <f>IF(IF(B2099="none",1,IF(B2099="Trialer",1,0))+IF(C2099="Customer",1,IF(C2099="Lost",1,0))=2,1,0)</f>
      </c>
      <c r="X2099" s="0" t="s">
        <v>145</v>
      </c>
      <c r="Y2099" s="0" t="s">
        <v>499</v>
      </c>
      <c r="AV2099" s="68"/>
      <c r="AW2099" s="68"/>
      <c r="AY2099" s="27"/>
      <c r="BD2099" s="68">
        <v>46054.1666666667</v>
      </c>
      <c r="BE2099" s="68">
        <v>46082.1666666667</v>
      </c>
      <c r="BF2099" s="0" t="b">
        <v>0</v>
      </c>
      <c r="BG2099" s="0" t="b">
        <v>0</v>
      </c>
      <c r="BH2099" s="0">
        <v>1186</v>
      </c>
      <c r="BI2099" s="0">
        <v>1186</v>
      </c>
      <c r="BJ2099" s="0" t="s">
        <v>135</v>
      </c>
    </row>
    <row r="2100">
      <c r="A2100" s="0" t="s">
        <v>2333</v>
      </c>
      <c r="B2100" s="0" t="s">
        <v>134</v>
      </c>
      <c r="C2100" s="0" t="s">
        <v>134</v>
      </c>
      <c r="D2100" s="0" t="s">
        <v>135</v>
      </c>
      <c r="E2100" s="0" t="s">
        <v>3</v>
      </c>
      <c r="F2100" s="0" t="s">
        <v>12</v>
      </c>
      <c r="G2100" s="0" t="s">
        <v>8</v>
      </c>
      <c r="H2100" s="0">
        <v>928</v>
      </c>
      <c r="I2100" s="0">
        <v>98</v>
      </c>
      <c r="J2100" s="0">
        <v>0</v>
      </c>
      <c r="K2100" s="0">
        <v>1</v>
      </c>
      <c r="L2100" s="0">
        <v>3</v>
      </c>
      <c r="M2100" s="0">
        <v>2</v>
      </c>
      <c r="N2100" s="0">
        <v>0</v>
      </c>
      <c r="O2100" s="0">
        <v>0</v>
      </c>
      <c r="P2100" s="0">
        <v>0</v>
      </c>
      <c r="R2100" s="0" t="b">
        <v>0</v>
      </c>
      <c r="S2100" s="0" t="b">
        <v>1</v>
      </c>
      <c r="T2100" s="68">
        <v>45125.4476736111</v>
      </c>
      <c r="U2100" s="68">
        <v>45125.3333333333</v>
      </c>
      <c r="V2100" s="68">
        <v>0</v>
      </c>
      <c r="W2100" s="0">
        <f>IF(IF(B2100="none",1,IF(B2100="Trialer",1,0))+IF(C2100="Customer",1,IF(C2100="Lost",1,0))=2,1,0)</f>
      </c>
      <c r="X2100" s="0" t="s">
        <v>136</v>
      </c>
      <c r="Y2100" s="0" t="s">
        <v>243</v>
      </c>
      <c r="AV2100" s="68"/>
      <c r="AW2100" s="68"/>
      <c r="AY2100" s="27"/>
      <c r="BD2100" s="68">
        <v>46054.1666666667</v>
      </c>
      <c r="BE2100" s="68">
        <v>46082.1666666667</v>
      </c>
      <c r="BF2100" s="0" t="b">
        <v>0</v>
      </c>
      <c r="BG2100" s="0" t="b">
        <v>0</v>
      </c>
      <c r="BH2100" s="0">
        <v>98</v>
      </c>
      <c r="BI2100" s="0">
        <v>98</v>
      </c>
      <c r="BJ2100" s="0" t="s">
        <v>135</v>
      </c>
    </row>
    <row r="2101">
      <c r="A2101" s="0" t="s">
        <v>2334</v>
      </c>
      <c r="B2101" s="0" t="s">
        <v>134</v>
      </c>
      <c r="C2101" s="0" t="s">
        <v>134</v>
      </c>
      <c r="D2101" s="0" t="s">
        <v>135</v>
      </c>
      <c r="E2101" s="0" t="s">
        <v>2</v>
      </c>
      <c r="F2101" s="0" t="s">
        <v>12</v>
      </c>
      <c r="G2101" s="0" t="s">
        <v>7</v>
      </c>
      <c r="H2101" s="0">
        <v>928</v>
      </c>
      <c r="I2101" s="0">
        <v>40</v>
      </c>
      <c r="J2101" s="0">
        <v>0</v>
      </c>
      <c r="K2101" s="0">
        <v>1</v>
      </c>
      <c r="L2101" s="0">
        <v>1</v>
      </c>
      <c r="M2101" s="0">
        <v>1</v>
      </c>
      <c r="N2101" s="0">
        <v>0</v>
      </c>
      <c r="O2101" s="0">
        <v>0</v>
      </c>
      <c r="P2101" s="0">
        <v>0</v>
      </c>
      <c r="R2101" s="0" t="b">
        <v>0</v>
      </c>
      <c r="S2101" s="0" t="b">
        <v>1</v>
      </c>
      <c r="T2101" s="68">
        <v>45125.5</v>
      </c>
      <c r="U2101" s="68">
        <v>45125.5</v>
      </c>
      <c r="V2101" s="68">
        <v>0</v>
      </c>
      <c r="W2101" s="0">
        <f>IF(IF(B2101="none",1,IF(B2101="Trialer",1,0))+IF(C2101="Customer",1,IF(C2101="Lost",1,0))=2,1,0)</f>
      </c>
      <c r="X2101" s="0" t="s">
        <v>145</v>
      </c>
      <c r="Y2101" s="0" t="s">
        <v>137</v>
      </c>
      <c r="AV2101" s="68"/>
      <c r="AW2101" s="68"/>
      <c r="AY2101" s="27"/>
      <c r="BD2101" s="68">
        <v>46054.1666666667</v>
      </c>
      <c r="BE2101" s="68">
        <v>46082.1666666667</v>
      </c>
      <c r="BF2101" s="0" t="b">
        <v>0</v>
      </c>
      <c r="BG2101" s="0" t="b">
        <v>0</v>
      </c>
      <c r="BH2101" s="0">
        <v>40</v>
      </c>
      <c r="BI2101" s="0">
        <v>40</v>
      </c>
      <c r="BJ2101" s="0" t="s">
        <v>135</v>
      </c>
    </row>
    <row r="2102">
      <c r="A2102" s="0" t="s">
        <v>2335</v>
      </c>
      <c r="B2102" s="0" t="s">
        <v>134</v>
      </c>
      <c r="C2102" s="0" t="s">
        <v>134</v>
      </c>
      <c r="D2102" s="0" t="s">
        <v>135</v>
      </c>
      <c r="E2102" s="0" t="s">
        <v>3</v>
      </c>
      <c r="F2102" s="0" t="s">
        <v>11</v>
      </c>
      <c r="G2102" s="0" t="s">
        <v>8</v>
      </c>
      <c r="H2102" s="0">
        <v>928</v>
      </c>
      <c r="I2102" s="0">
        <v>136.8</v>
      </c>
      <c r="J2102" s="0">
        <v>0</v>
      </c>
      <c r="K2102" s="0">
        <v>1</v>
      </c>
      <c r="L2102" s="0">
        <v>4</v>
      </c>
      <c r="M2102" s="0">
        <v>3</v>
      </c>
      <c r="N2102" s="0">
        <v>0</v>
      </c>
      <c r="O2102" s="0">
        <v>0</v>
      </c>
      <c r="P2102" s="0">
        <v>0</v>
      </c>
      <c r="Q2102" s="0" t="s">
        <v>1743</v>
      </c>
      <c r="R2102" s="0" t="b">
        <v>1</v>
      </c>
      <c r="S2102" s="0" t="b">
        <v>1</v>
      </c>
      <c r="T2102" s="68">
        <v>45125.614212963</v>
      </c>
      <c r="U2102" s="68">
        <v>45125.3333333333</v>
      </c>
      <c r="V2102" s="68">
        <v>0</v>
      </c>
      <c r="W2102" s="0">
        <f>IF(IF(B2102="none",1,IF(B2102="Trialer",1,0))+IF(C2102="Customer",1,IF(C2102="Lost",1,0))=2,1,0)</f>
      </c>
      <c r="X2102" s="0" t="s">
        <v>145</v>
      </c>
      <c r="Y2102" s="0" t="s">
        <v>243</v>
      </c>
      <c r="AV2102" s="68"/>
      <c r="AW2102" s="68"/>
      <c r="AY2102" s="27"/>
      <c r="BD2102" s="68">
        <v>46054.1666666667</v>
      </c>
      <c r="BE2102" s="68">
        <v>46082.1666666667</v>
      </c>
      <c r="BF2102" s="0" t="b">
        <v>0</v>
      </c>
      <c r="BG2102" s="0" t="b">
        <v>0</v>
      </c>
      <c r="BH2102" s="0">
        <v>136.8</v>
      </c>
      <c r="BI2102" s="0">
        <v>136.8</v>
      </c>
      <c r="BJ2102" s="0" t="s">
        <v>135</v>
      </c>
    </row>
    <row r="2103">
      <c r="A2103" s="0" t="s">
        <v>2336</v>
      </c>
      <c r="B2103" s="0" t="s">
        <v>134</v>
      </c>
      <c r="C2103" s="0" t="s">
        <v>134</v>
      </c>
      <c r="D2103" s="0" t="s">
        <v>135</v>
      </c>
      <c r="E2103" s="0" t="s">
        <v>2</v>
      </c>
      <c r="F2103" s="0" t="s">
        <v>10</v>
      </c>
      <c r="G2103" s="0" t="s">
        <v>8</v>
      </c>
      <c r="H2103" s="0">
        <v>927</v>
      </c>
      <c r="I2103" s="0">
        <v>1986</v>
      </c>
      <c r="J2103" s="0">
        <v>0</v>
      </c>
      <c r="K2103" s="0">
        <v>1</v>
      </c>
      <c r="L2103" s="0">
        <v>5</v>
      </c>
      <c r="M2103" s="0">
        <v>39</v>
      </c>
      <c r="N2103" s="0">
        <v>0</v>
      </c>
      <c r="O2103" s="0">
        <v>0</v>
      </c>
      <c r="P2103" s="0">
        <v>0</v>
      </c>
      <c r="Q2103" s="0" t="s">
        <v>1919</v>
      </c>
      <c r="R2103" s="0" t="b">
        <v>0</v>
      </c>
      <c r="S2103" s="0" t="b">
        <v>1</v>
      </c>
      <c r="T2103" s="68">
        <v>45126.4049768519</v>
      </c>
      <c r="U2103" s="68">
        <v>45140.3333333333</v>
      </c>
      <c r="V2103" s="68">
        <v>0</v>
      </c>
      <c r="W2103" s="0">
        <f>IF(IF(B2103="none",1,IF(B2103="Trialer",1,0))+IF(C2103="Customer",1,IF(C2103="Lost",1,0))=2,1,0)</f>
      </c>
      <c r="X2103" s="0" t="s">
        <v>145</v>
      </c>
      <c r="Y2103" s="0" t="s">
        <v>499</v>
      </c>
      <c r="AV2103" s="68"/>
      <c r="AW2103" s="68"/>
      <c r="AY2103" s="27"/>
      <c r="BD2103" s="68">
        <v>46054.1666666667</v>
      </c>
      <c r="BE2103" s="68">
        <v>46082.1666666667</v>
      </c>
      <c r="BF2103" s="0" t="b">
        <v>0</v>
      </c>
      <c r="BG2103" s="0" t="b">
        <v>0</v>
      </c>
      <c r="BH2103" s="0">
        <v>1986</v>
      </c>
      <c r="BI2103" s="0">
        <v>1986</v>
      </c>
      <c r="BJ2103" s="0" t="s">
        <v>135</v>
      </c>
    </row>
    <row r="2104">
      <c r="A2104" s="0" t="s">
        <v>2337</v>
      </c>
      <c r="B2104" s="0" t="s">
        <v>134</v>
      </c>
      <c r="C2104" s="0" t="s">
        <v>134</v>
      </c>
      <c r="D2104" s="0" t="s">
        <v>135</v>
      </c>
      <c r="E2104" s="0" t="s">
        <v>3</v>
      </c>
      <c r="F2104" s="0" t="s">
        <v>12</v>
      </c>
      <c r="G2104" s="0" t="s">
        <v>8</v>
      </c>
      <c r="H2104" s="0">
        <v>925</v>
      </c>
      <c r="I2104" s="0">
        <v>0</v>
      </c>
      <c r="J2104" s="0">
        <v>0</v>
      </c>
      <c r="K2104" s="0">
        <v>1</v>
      </c>
      <c r="L2104" s="0">
        <v>3</v>
      </c>
      <c r="M2104" s="0">
        <v>1</v>
      </c>
      <c r="N2104" s="0">
        <v>0</v>
      </c>
      <c r="O2104" s="0">
        <v>0</v>
      </c>
      <c r="P2104" s="0">
        <v>0</v>
      </c>
      <c r="R2104" s="0" t="b">
        <v>0</v>
      </c>
      <c r="S2104" s="0" t="b">
        <v>1</v>
      </c>
      <c r="T2104" s="68">
        <v>45128.6549537037</v>
      </c>
      <c r="U2104" s="68">
        <v>45142.3333333333</v>
      </c>
      <c r="V2104" s="68">
        <v>0</v>
      </c>
      <c r="W2104" s="0">
        <f>IF(IF(B2104="none",1,IF(B2104="Trialer",1,0))+IF(C2104="Customer",1,IF(C2104="Lost",1,0))=2,1,0)</f>
      </c>
      <c r="X2104" s="0" t="s">
        <v>136</v>
      </c>
      <c r="Y2104" s="0" t="s">
        <v>243</v>
      </c>
      <c r="AV2104" s="68"/>
      <c r="AW2104" s="68"/>
      <c r="AY2104" s="27"/>
      <c r="BD2104" s="68">
        <v>46054.1666666667</v>
      </c>
      <c r="BE2104" s="68">
        <v>46082.1666666667</v>
      </c>
      <c r="BF2104" s="0" t="b">
        <v>0</v>
      </c>
      <c r="BG2104" s="0" t="b">
        <v>0</v>
      </c>
      <c r="BH2104" s="0">
        <v>0</v>
      </c>
      <c r="BI2104" s="0">
        <v>0</v>
      </c>
      <c r="BJ2104" s="0" t="s">
        <v>135</v>
      </c>
    </row>
    <row r="2105">
      <c r="A2105" s="0" t="s">
        <v>2338</v>
      </c>
      <c r="B2105" s="0" t="s">
        <v>134</v>
      </c>
      <c r="C2105" s="0" t="s">
        <v>134</v>
      </c>
      <c r="D2105" s="0" t="s">
        <v>135</v>
      </c>
      <c r="E2105" s="0" t="s">
        <v>3</v>
      </c>
      <c r="F2105" s="0" t="s">
        <v>12</v>
      </c>
      <c r="G2105" s="0" t="s">
        <v>8</v>
      </c>
      <c r="H2105" s="0">
        <v>922</v>
      </c>
      <c r="I2105" s="0">
        <v>111</v>
      </c>
      <c r="J2105" s="0">
        <v>0</v>
      </c>
      <c r="K2105" s="0">
        <v>1</v>
      </c>
      <c r="L2105" s="0">
        <v>2</v>
      </c>
      <c r="M2105" s="0">
        <v>3</v>
      </c>
      <c r="N2105" s="0">
        <v>0</v>
      </c>
      <c r="O2105" s="0">
        <v>0</v>
      </c>
      <c r="P2105" s="0">
        <v>0</v>
      </c>
      <c r="R2105" s="0" t="b">
        <v>0</v>
      </c>
      <c r="S2105" s="0" t="b">
        <v>1</v>
      </c>
      <c r="T2105" s="68">
        <v>45131.5047337963</v>
      </c>
      <c r="U2105" s="68">
        <v>45146.3333333333</v>
      </c>
      <c r="V2105" s="68">
        <v>0</v>
      </c>
      <c r="W2105" s="0">
        <f>IF(IF(B2105="none",1,IF(B2105="Trialer",1,0))+IF(C2105="Customer",1,IF(C2105="Lost",1,0))=2,1,0)</f>
      </c>
      <c r="X2105" s="0" t="s">
        <v>166</v>
      </c>
      <c r="Y2105" s="0" t="s">
        <v>243</v>
      </c>
      <c r="AV2105" s="68"/>
      <c r="AW2105" s="68"/>
      <c r="AY2105" s="27"/>
      <c r="BD2105" s="68">
        <v>46054.1666666667</v>
      </c>
      <c r="BE2105" s="68">
        <v>46082.1666666667</v>
      </c>
      <c r="BF2105" s="0" t="b">
        <v>0</v>
      </c>
      <c r="BG2105" s="0" t="b">
        <v>0</v>
      </c>
      <c r="BH2105" s="0">
        <v>111</v>
      </c>
      <c r="BI2105" s="0">
        <v>111</v>
      </c>
      <c r="BJ2105" s="0" t="s">
        <v>135</v>
      </c>
    </row>
    <row r="2106">
      <c r="A2106" s="0" t="s">
        <v>2339</v>
      </c>
      <c r="B2106" s="0" t="s">
        <v>134</v>
      </c>
      <c r="C2106" s="0" t="s">
        <v>134</v>
      </c>
      <c r="D2106" s="0" t="s">
        <v>135</v>
      </c>
      <c r="E2106" s="0" t="s">
        <v>2</v>
      </c>
      <c r="F2106" s="0" t="s">
        <v>12</v>
      </c>
      <c r="G2106" s="0" t="s">
        <v>8</v>
      </c>
      <c r="H2106" s="0">
        <v>921</v>
      </c>
      <c r="I2106" s="0">
        <v>244</v>
      </c>
      <c r="J2106" s="0">
        <v>0</v>
      </c>
      <c r="K2106" s="0">
        <v>1</v>
      </c>
      <c r="L2106" s="0">
        <v>4</v>
      </c>
      <c r="M2106" s="0">
        <v>4</v>
      </c>
      <c r="N2106" s="0">
        <v>0</v>
      </c>
      <c r="O2106" s="0">
        <v>0</v>
      </c>
      <c r="P2106" s="0">
        <v>0</v>
      </c>
      <c r="R2106" s="0" t="b">
        <v>0</v>
      </c>
      <c r="S2106" s="0" t="b">
        <v>1</v>
      </c>
      <c r="T2106" s="68">
        <v>45132.4432060185</v>
      </c>
      <c r="U2106" s="68">
        <v>45146.3333333333</v>
      </c>
      <c r="V2106" s="68">
        <v>0</v>
      </c>
      <c r="W2106" s="0">
        <f>IF(IF(B2106="none",1,IF(B2106="Trialer",1,0))+IF(C2106="Customer",1,IF(C2106="Lost",1,0))=2,1,0)</f>
      </c>
      <c r="X2106" s="0" t="s">
        <v>136</v>
      </c>
      <c r="Y2106" s="0" t="s">
        <v>499</v>
      </c>
      <c r="AV2106" s="68"/>
      <c r="AW2106" s="68"/>
      <c r="AY2106" s="27"/>
      <c r="BD2106" s="68">
        <v>46054.1666666667</v>
      </c>
      <c r="BE2106" s="68">
        <v>46082.1666666667</v>
      </c>
      <c r="BF2106" s="0" t="b">
        <v>0</v>
      </c>
      <c r="BG2106" s="0" t="b">
        <v>0</v>
      </c>
      <c r="BH2106" s="0">
        <v>244</v>
      </c>
      <c r="BI2106" s="0">
        <v>244</v>
      </c>
      <c r="BJ2106" s="0" t="s">
        <v>135</v>
      </c>
    </row>
    <row r="2107">
      <c r="A2107" s="0" t="s">
        <v>2340</v>
      </c>
      <c r="B2107" s="0" t="s">
        <v>134</v>
      </c>
      <c r="C2107" s="0" t="s">
        <v>134</v>
      </c>
      <c r="D2107" s="0" t="s">
        <v>230</v>
      </c>
      <c r="E2107" s="0" t="s">
        <v>3</v>
      </c>
      <c r="F2107" s="0" t="s">
        <v>12</v>
      </c>
      <c r="G2107" s="0" t="s">
        <v>8</v>
      </c>
      <c r="H2107" s="0">
        <v>921</v>
      </c>
      <c r="I2107" s="0">
        <v>25</v>
      </c>
      <c r="J2107" s="0">
        <v>0</v>
      </c>
      <c r="K2107" s="0">
        <v>1</v>
      </c>
      <c r="L2107" s="0">
        <v>1</v>
      </c>
      <c r="M2107" s="0">
        <v>1</v>
      </c>
      <c r="N2107" s="0">
        <v>0</v>
      </c>
      <c r="O2107" s="0">
        <v>0</v>
      </c>
      <c r="P2107" s="0">
        <v>-25</v>
      </c>
      <c r="R2107" s="0" t="b">
        <v>0</v>
      </c>
      <c r="S2107" s="0" t="b">
        <v>1</v>
      </c>
      <c r="T2107" s="68">
        <v>45132.4863541667</v>
      </c>
      <c r="U2107" s="68">
        <v>45146.3333333333</v>
      </c>
      <c r="V2107" s="68">
        <v>0</v>
      </c>
      <c r="W2107" s="0">
        <f>IF(IF(B2107="none",1,IF(B2107="Trialer",1,0))+IF(C2107="Customer",1,IF(C2107="Lost",1,0))=2,1,0)</f>
      </c>
      <c r="X2107" s="0" t="s">
        <v>142</v>
      </c>
      <c r="Y2107" s="0" t="s">
        <v>487</v>
      </c>
      <c r="AV2107" s="68"/>
      <c r="AW2107" s="68"/>
      <c r="AY2107" s="27"/>
      <c r="BD2107" s="68">
        <v>46054.1666666667</v>
      </c>
      <c r="BE2107" s="68">
        <v>46082.1666666667</v>
      </c>
      <c r="BF2107" s="0" t="b">
        <v>0</v>
      </c>
      <c r="BG2107" s="0" t="b">
        <v>0</v>
      </c>
      <c r="BH2107" s="0">
        <v>28</v>
      </c>
      <c r="BI2107" s="0">
        <v>28</v>
      </c>
      <c r="BJ2107" s="0" t="s">
        <v>230</v>
      </c>
    </row>
    <row r="2108">
      <c r="A2108" s="0" t="s">
        <v>2341</v>
      </c>
      <c r="B2108" s="0" t="s">
        <v>134</v>
      </c>
      <c r="C2108" s="0" t="s">
        <v>134</v>
      </c>
      <c r="D2108" s="0" t="s">
        <v>135</v>
      </c>
      <c r="E2108" s="0" t="s">
        <v>3</v>
      </c>
      <c r="F2108" s="0" t="s">
        <v>12</v>
      </c>
      <c r="G2108" s="0" t="s">
        <v>8</v>
      </c>
      <c r="H2108" s="0">
        <v>921</v>
      </c>
      <c r="I2108" s="0">
        <v>40</v>
      </c>
      <c r="J2108" s="0">
        <v>0</v>
      </c>
      <c r="K2108" s="0">
        <v>1</v>
      </c>
      <c r="L2108" s="0">
        <v>1</v>
      </c>
      <c r="M2108" s="0">
        <v>0</v>
      </c>
      <c r="N2108" s="0">
        <v>0</v>
      </c>
      <c r="O2108" s="0">
        <v>0</v>
      </c>
      <c r="P2108" s="0">
        <v>0</v>
      </c>
      <c r="R2108" s="0" t="b">
        <v>0</v>
      </c>
      <c r="S2108" s="0" t="b">
        <v>1</v>
      </c>
      <c r="T2108" s="68">
        <v>45132.5236689815</v>
      </c>
      <c r="U2108" s="68">
        <v>45132.3333333333</v>
      </c>
      <c r="V2108" s="68">
        <v>0</v>
      </c>
      <c r="W2108" s="0">
        <f>IF(IF(B2108="none",1,IF(B2108="Trialer",1,0))+IF(C2108="Customer",1,IF(C2108="Lost",1,0))=2,1,0)</f>
      </c>
      <c r="X2108" s="0" t="s">
        <v>136</v>
      </c>
      <c r="Y2108" s="0" t="s">
        <v>243</v>
      </c>
      <c r="AV2108" s="68"/>
      <c r="AW2108" s="68"/>
      <c r="AY2108" s="27"/>
      <c r="BD2108" s="68">
        <v>46054.1666666667</v>
      </c>
      <c r="BE2108" s="68">
        <v>46082.1666666667</v>
      </c>
      <c r="BF2108" s="0" t="b">
        <v>0</v>
      </c>
      <c r="BG2108" s="0" t="b">
        <v>0</v>
      </c>
      <c r="BH2108" s="0">
        <v>40</v>
      </c>
      <c r="BI2108" s="0">
        <v>40</v>
      </c>
      <c r="BJ2108" s="0" t="s">
        <v>135</v>
      </c>
    </row>
    <row r="2109">
      <c r="A2109" s="0" t="s">
        <v>2342</v>
      </c>
      <c r="B2109" s="0" t="s">
        <v>134</v>
      </c>
      <c r="C2109" s="0" t="s">
        <v>134</v>
      </c>
      <c r="D2109" s="0" t="s">
        <v>135</v>
      </c>
      <c r="E2109" s="0" t="s">
        <v>3</v>
      </c>
      <c r="F2109" s="0" t="s">
        <v>12</v>
      </c>
      <c r="G2109" s="0" t="s">
        <v>8</v>
      </c>
      <c r="H2109" s="0">
        <v>921</v>
      </c>
      <c r="I2109" s="0">
        <v>40</v>
      </c>
      <c r="J2109" s="0">
        <v>0</v>
      </c>
      <c r="K2109" s="0">
        <v>1</v>
      </c>
      <c r="L2109" s="0">
        <v>1</v>
      </c>
      <c r="M2109" s="0">
        <v>0</v>
      </c>
      <c r="N2109" s="0">
        <v>0</v>
      </c>
      <c r="O2109" s="0">
        <v>0</v>
      </c>
      <c r="P2109" s="0">
        <v>0</v>
      </c>
      <c r="R2109" s="0" t="b">
        <v>0</v>
      </c>
      <c r="S2109" s="0" t="b">
        <v>1</v>
      </c>
      <c r="T2109" s="68">
        <v>45132.5264699074</v>
      </c>
      <c r="U2109" s="68">
        <v>45132.3333333333</v>
      </c>
      <c r="V2109" s="68">
        <v>0</v>
      </c>
      <c r="W2109" s="0">
        <f>IF(IF(B2109="none",1,IF(B2109="Trialer",1,0))+IF(C2109="Customer",1,IF(C2109="Lost",1,0))=2,1,0)</f>
      </c>
      <c r="X2109" s="0" t="s">
        <v>136</v>
      </c>
      <c r="Y2109" s="0" t="s">
        <v>243</v>
      </c>
      <c r="AV2109" s="68"/>
      <c r="AW2109" s="68"/>
      <c r="AY2109" s="27"/>
      <c r="BD2109" s="68">
        <v>46054.1666666667</v>
      </c>
      <c r="BE2109" s="68">
        <v>46082.1666666667</v>
      </c>
      <c r="BF2109" s="0" t="b">
        <v>0</v>
      </c>
      <c r="BG2109" s="0" t="b">
        <v>0</v>
      </c>
      <c r="BH2109" s="0">
        <v>40</v>
      </c>
      <c r="BI2109" s="0">
        <v>40</v>
      </c>
      <c r="BJ2109" s="0" t="s">
        <v>135</v>
      </c>
    </row>
    <row r="2110">
      <c r="A2110" s="0" t="s">
        <v>2343</v>
      </c>
      <c r="B2110" s="0" t="s">
        <v>134</v>
      </c>
      <c r="C2110" s="0" t="s">
        <v>134</v>
      </c>
      <c r="D2110" s="0" t="s">
        <v>230</v>
      </c>
      <c r="E2110" s="0" t="s">
        <v>2</v>
      </c>
      <c r="F2110" s="0" t="s">
        <v>12</v>
      </c>
      <c r="G2110" s="0" t="s">
        <v>8</v>
      </c>
      <c r="H2110" s="0">
        <v>920</v>
      </c>
      <c r="I2110" s="0">
        <v>275</v>
      </c>
      <c r="J2110" s="0">
        <v>0</v>
      </c>
      <c r="K2110" s="0">
        <v>1</v>
      </c>
      <c r="L2110" s="0">
        <v>4</v>
      </c>
      <c r="M2110" s="0">
        <v>6</v>
      </c>
      <c r="N2110" s="0">
        <v>0</v>
      </c>
      <c r="O2110" s="0">
        <v>0</v>
      </c>
      <c r="P2110" s="0">
        <v>-275</v>
      </c>
      <c r="R2110" s="0" t="b">
        <v>0</v>
      </c>
      <c r="S2110" s="0" t="b">
        <v>1</v>
      </c>
      <c r="T2110" s="68">
        <v>45133.379837963</v>
      </c>
      <c r="U2110" s="68">
        <v>45147.3333333333</v>
      </c>
      <c r="V2110" s="68">
        <v>0</v>
      </c>
      <c r="W2110" s="0">
        <f>IF(IF(B2110="none",1,IF(B2110="Trialer",1,0))+IF(C2110="Customer",1,IF(C2110="Lost",1,0))=2,1,0)</f>
      </c>
      <c r="X2110" s="0" t="s">
        <v>136</v>
      </c>
      <c r="Y2110" s="0" t="s">
        <v>499</v>
      </c>
      <c r="AV2110" s="68"/>
      <c r="AW2110" s="68"/>
      <c r="AY2110" s="27"/>
      <c r="BD2110" s="68">
        <v>46054.1666666667</v>
      </c>
      <c r="BE2110" s="68">
        <v>46082.1666666667</v>
      </c>
      <c r="BF2110" s="0" t="b">
        <v>0</v>
      </c>
      <c r="BG2110" s="0" t="b">
        <v>0</v>
      </c>
      <c r="BH2110" s="0">
        <v>309</v>
      </c>
      <c r="BI2110" s="0">
        <v>309</v>
      </c>
      <c r="BJ2110" s="0" t="s">
        <v>230</v>
      </c>
    </row>
    <row r="2111">
      <c r="A2111" s="0" t="s">
        <v>2344</v>
      </c>
      <c r="B2111" s="0" t="s">
        <v>134</v>
      </c>
      <c r="C2111" s="0" t="s">
        <v>134</v>
      </c>
      <c r="D2111" s="0" t="s">
        <v>135</v>
      </c>
      <c r="E2111" s="0" t="s">
        <v>3</v>
      </c>
      <c r="F2111" s="0" t="s">
        <v>10</v>
      </c>
      <c r="G2111" s="0" t="s">
        <v>8</v>
      </c>
      <c r="H2111" s="0">
        <v>920</v>
      </c>
      <c r="I2111" s="0">
        <v>28</v>
      </c>
      <c r="J2111" s="0">
        <v>0</v>
      </c>
      <c r="K2111" s="0">
        <v>1</v>
      </c>
      <c r="L2111" s="0">
        <v>1</v>
      </c>
      <c r="M2111" s="0">
        <v>1</v>
      </c>
      <c r="N2111" s="0">
        <v>0</v>
      </c>
      <c r="O2111" s="0">
        <v>0</v>
      </c>
      <c r="P2111" s="0">
        <v>0</v>
      </c>
      <c r="Q2111" s="0" t="s">
        <v>618</v>
      </c>
      <c r="R2111" s="0" t="b">
        <v>0</v>
      </c>
      <c r="S2111" s="0" t="b">
        <v>1</v>
      </c>
      <c r="T2111" s="68">
        <v>45133.477037037</v>
      </c>
      <c r="U2111" s="68">
        <v>45147.3333333333</v>
      </c>
      <c r="V2111" s="68">
        <v>0</v>
      </c>
      <c r="W2111" s="0">
        <f>IF(IF(B2111="none",1,IF(B2111="Trialer",1,0))+IF(C2111="Customer",1,IF(C2111="Lost",1,0))=2,1,0)</f>
      </c>
      <c r="X2111" s="0" t="s">
        <v>148</v>
      </c>
      <c r="Y2111" s="0" t="s">
        <v>243</v>
      </c>
      <c r="AV2111" s="68"/>
      <c r="AW2111" s="68"/>
      <c r="AY2111" s="27"/>
      <c r="BD2111" s="68">
        <v>46054.1666666667</v>
      </c>
      <c r="BE2111" s="68">
        <v>46082.1666666667</v>
      </c>
      <c r="BF2111" s="0" t="b">
        <v>0</v>
      </c>
      <c r="BG2111" s="0" t="b">
        <v>0</v>
      </c>
      <c r="BH2111" s="0">
        <v>28</v>
      </c>
      <c r="BI2111" s="0">
        <v>28</v>
      </c>
      <c r="BJ2111" s="0" t="s">
        <v>135</v>
      </c>
    </row>
    <row r="2112">
      <c r="A2112" s="0" t="s">
        <v>2345</v>
      </c>
      <c r="B2112" s="0" t="s">
        <v>134</v>
      </c>
      <c r="C2112" s="0" t="s">
        <v>134</v>
      </c>
      <c r="D2112" s="0" t="s">
        <v>230</v>
      </c>
      <c r="E2112" s="0" t="s">
        <v>3</v>
      </c>
      <c r="F2112" s="0" t="s">
        <v>12</v>
      </c>
      <c r="G2112" s="0" t="s">
        <v>8</v>
      </c>
      <c r="H2112" s="0">
        <v>919</v>
      </c>
      <c r="I2112" s="0">
        <v>65.7</v>
      </c>
      <c r="J2112" s="0">
        <v>0</v>
      </c>
      <c r="K2112" s="0">
        <v>1</v>
      </c>
      <c r="L2112" s="0">
        <v>5</v>
      </c>
      <c r="M2112" s="0">
        <v>1</v>
      </c>
      <c r="N2112" s="0">
        <v>0</v>
      </c>
      <c r="O2112" s="0">
        <v>0</v>
      </c>
      <c r="P2112" s="0">
        <v>-65.7</v>
      </c>
      <c r="R2112" s="0" t="b">
        <v>0</v>
      </c>
      <c r="S2112" s="0" t="b">
        <v>1</v>
      </c>
      <c r="T2112" s="68">
        <v>45134.8286689815</v>
      </c>
      <c r="U2112" s="68">
        <v>45147.3333333333</v>
      </c>
      <c r="V2112" s="68">
        <v>0</v>
      </c>
      <c r="W2112" s="0">
        <f>IF(IF(B2112="none",1,IF(B2112="Trialer",1,0))+IF(C2112="Customer",1,IF(C2112="Lost",1,0))=2,1,0)</f>
      </c>
      <c r="X2112" s="0" t="s">
        <v>166</v>
      </c>
      <c r="Y2112" s="0" t="s">
        <v>243</v>
      </c>
      <c r="AV2112" s="68"/>
      <c r="AW2112" s="68"/>
      <c r="AY2112" s="27"/>
      <c r="BD2112" s="68">
        <v>46054.1666666667</v>
      </c>
      <c r="BE2112" s="68">
        <v>46082.1666666667</v>
      </c>
      <c r="BF2112" s="0" t="b">
        <v>0</v>
      </c>
      <c r="BG2112" s="0" t="b">
        <v>0</v>
      </c>
      <c r="BH2112" s="0">
        <v>73</v>
      </c>
      <c r="BI2112" s="0">
        <v>73</v>
      </c>
      <c r="BJ2112" s="0" t="s">
        <v>230</v>
      </c>
    </row>
    <row r="2113">
      <c r="A2113" s="0" t="s">
        <v>2346</v>
      </c>
      <c r="B2113" s="0" t="s">
        <v>134</v>
      </c>
      <c r="C2113" s="0" t="s">
        <v>134</v>
      </c>
      <c r="D2113" s="0" t="s">
        <v>135</v>
      </c>
      <c r="E2113" s="0" t="s">
        <v>2</v>
      </c>
      <c r="F2113" s="0" t="s">
        <v>12</v>
      </c>
      <c r="G2113" s="0" t="s">
        <v>8</v>
      </c>
      <c r="H2113" s="0">
        <v>918</v>
      </c>
      <c r="I2113" s="0">
        <v>1232</v>
      </c>
      <c r="J2113" s="0">
        <v>0</v>
      </c>
      <c r="K2113" s="0">
        <v>1</v>
      </c>
      <c r="L2113" s="0">
        <v>6</v>
      </c>
      <c r="M2113" s="0">
        <v>16</v>
      </c>
      <c r="N2113" s="0">
        <v>0</v>
      </c>
      <c r="O2113" s="0">
        <v>0</v>
      </c>
      <c r="P2113" s="0">
        <v>0</v>
      </c>
      <c r="R2113" s="0" t="b">
        <v>0</v>
      </c>
      <c r="S2113" s="0" t="b">
        <v>1</v>
      </c>
      <c r="T2113" s="68">
        <v>45135.6015162037</v>
      </c>
      <c r="U2113" s="68">
        <v>45149.3333333333</v>
      </c>
      <c r="V2113" s="68">
        <v>0</v>
      </c>
      <c r="W2113" s="0">
        <f>IF(IF(B2113="none",1,IF(B2113="Trialer",1,0))+IF(C2113="Customer",1,IF(C2113="Lost",1,0))=2,1,0)</f>
      </c>
      <c r="X2113" s="0" t="s">
        <v>882</v>
      </c>
      <c r="Y2113" s="0" t="s">
        <v>499</v>
      </c>
      <c r="AV2113" s="68"/>
      <c r="AW2113" s="68"/>
      <c r="AY2113" s="27"/>
      <c r="BD2113" s="68">
        <v>46054.1666666667</v>
      </c>
      <c r="BE2113" s="68">
        <v>46082.1666666667</v>
      </c>
      <c r="BF2113" s="0" t="b">
        <v>0</v>
      </c>
      <c r="BG2113" s="0" t="b">
        <v>0</v>
      </c>
      <c r="BH2113" s="0">
        <v>907</v>
      </c>
      <c r="BI2113" s="0">
        <v>907</v>
      </c>
      <c r="BJ2113" s="0" t="s">
        <v>135</v>
      </c>
    </row>
    <row r="2114">
      <c r="A2114" s="0" t="s">
        <v>2347</v>
      </c>
      <c r="B2114" s="0" t="s">
        <v>134</v>
      </c>
      <c r="C2114" s="0" t="s">
        <v>134</v>
      </c>
      <c r="D2114" s="0" t="s">
        <v>135</v>
      </c>
      <c r="E2114" s="0" t="s">
        <v>3</v>
      </c>
      <c r="F2114" s="0" t="s">
        <v>12</v>
      </c>
      <c r="G2114" s="0" t="s">
        <v>8</v>
      </c>
      <c r="H2114" s="0">
        <v>918</v>
      </c>
      <c r="I2114" s="0">
        <v>1252</v>
      </c>
      <c r="J2114" s="0">
        <v>0</v>
      </c>
      <c r="K2114" s="0">
        <v>1</v>
      </c>
      <c r="L2114" s="0">
        <v>4</v>
      </c>
      <c r="M2114" s="0">
        <v>18</v>
      </c>
      <c r="N2114" s="0">
        <v>0</v>
      </c>
      <c r="O2114" s="0">
        <v>0</v>
      </c>
      <c r="P2114" s="0">
        <v>0</v>
      </c>
      <c r="R2114" s="0" t="b">
        <v>0</v>
      </c>
      <c r="S2114" s="0" t="b">
        <v>1</v>
      </c>
      <c r="T2114" s="68">
        <v>45135.6113078704</v>
      </c>
      <c r="U2114" s="68">
        <v>45149.3333333333</v>
      </c>
      <c r="V2114" s="68">
        <v>0</v>
      </c>
      <c r="W2114" s="0">
        <f>IF(IF(B2114="none",1,IF(B2114="Trialer",1,0))+IF(C2114="Customer",1,IF(C2114="Lost",1,0))=2,1,0)</f>
      </c>
      <c r="X2114" s="0" t="s">
        <v>136</v>
      </c>
      <c r="Y2114" s="0" t="s">
        <v>243</v>
      </c>
      <c r="AV2114" s="68"/>
      <c r="AW2114" s="68"/>
      <c r="AY2114" s="27"/>
      <c r="BD2114" s="68">
        <v>46054.1666666667</v>
      </c>
      <c r="BE2114" s="68">
        <v>46082.1666666667</v>
      </c>
      <c r="BF2114" s="0" t="b">
        <v>0</v>
      </c>
      <c r="BG2114" s="0" t="b">
        <v>0</v>
      </c>
      <c r="BH2114" s="0">
        <v>1000</v>
      </c>
      <c r="BI2114" s="0">
        <v>1000</v>
      </c>
      <c r="BJ2114" s="0" t="s">
        <v>135</v>
      </c>
    </row>
    <row r="2115">
      <c r="A2115" s="0" t="s">
        <v>2348</v>
      </c>
      <c r="B2115" s="0" t="s">
        <v>134</v>
      </c>
      <c r="C2115" s="0" t="s">
        <v>134</v>
      </c>
      <c r="D2115" s="0" t="s">
        <v>135</v>
      </c>
      <c r="E2115" s="0" t="s">
        <v>3</v>
      </c>
      <c r="F2115" s="0" t="s">
        <v>12</v>
      </c>
      <c r="G2115" s="0" t="s">
        <v>8</v>
      </c>
      <c r="H2115" s="0">
        <v>917</v>
      </c>
      <c r="I2115" s="0">
        <v>122</v>
      </c>
      <c r="J2115" s="0">
        <v>0</v>
      </c>
      <c r="K2115" s="0">
        <v>1</v>
      </c>
      <c r="L2115" s="0">
        <v>4</v>
      </c>
      <c r="M2115" s="0">
        <v>2</v>
      </c>
      <c r="N2115" s="0">
        <v>0</v>
      </c>
      <c r="O2115" s="0">
        <v>0</v>
      </c>
      <c r="P2115" s="0">
        <v>0</v>
      </c>
      <c r="R2115" s="0" t="b">
        <v>0</v>
      </c>
      <c r="S2115" s="0" t="b">
        <v>1</v>
      </c>
      <c r="T2115" s="68">
        <v>45136.0365046296</v>
      </c>
      <c r="U2115" s="68">
        <v>45150.3333333333</v>
      </c>
      <c r="V2115" s="68">
        <v>0</v>
      </c>
      <c r="W2115" s="0">
        <f>IF(IF(B2115="none",1,IF(B2115="Trialer",1,0))+IF(C2115="Customer",1,IF(C2115="Lost",1,0))=2,1,0)</f>
      </c>
      <c r="X2115" s="0" t="s">
        <v>142</v>
      </c>
      <c r="Y2115" s="0" t="s">
        <v>243</v>
      </c>
      <c r="AV2115" s="68"/>
      <c r="AW2115" s="68"/>
      <c r="AY2115" s="27"/>
      <c r="BD2115" s="68">
        <v>46054.1666666667</v>
      </c>
      <c r="BE2115" s="68">
        <v>46082.1666666667</v>
      </c>
      <c r="BF2115" s="0" t="b">
        <v>0</v>
      </c>
      <c r="BG2115" s="0" t="b">
        <v>0</v>
      </c>
      <c r="BH2115" s="0">
        <v>122</v>
      </c>
      <c r="BI2115" s="0">
        <v>122</v>
      </c>
      <c r="BJ2115" s="0" t="s">
        <v>135</v>
      </c>
    </row>
    <row r="2116">
      <c r="A2116" s="0" t="s">
        <v>2349</v>
      </c>
      <c r="B2116" s="0" t="s">
        <v>134</v>
      </c>
      <c r="C2116" s="0" t="s">
        <v>134</v>
      </c>
      <c r="D2116" s="0" t="s">
        <v>135</v>
      </c>
      <c r="E2116" s="0" t="s">
        <v>3</v>
      </c>
      <c r="F2116" s="0" t="s">
        <v>12</v>
      </c>
      <c r="G2116" s="0" t="s">
        <v>8</v>
      </c>
      <c r="H2116" s="0">
        <v>917</v>
      </c>
      <c r="I2116" s="0">
        <v>77</v>
      </c>
      <c r="J2116" s="0">
        <v>0</v>
      </c>
      <c r="K2116" s="0">
        <v>1</v>
      </c>
      <c r="L2116" s="0">
        <v>3</v>
      </c>
      <c r="M2116" s="0">
        <v>2</v>
      </c>
      <c r="N2116" s="0">
        <v>0</v>
      </c>
      <c r="O2116" s="0">
        <v>0</v>
      </c>
      <c r="P2116" s="0">
        <v>0</v>
      </c>
      <c r="R2116" s="0" t="b">
        <v>0</v>
      </c>
      <c r="S2116" s="0" t="b">
        <v>1</v>
      </c>
      <c r="T2116" s="68">
        <v>45136.5064930556</v>
      </c>
      <c r="U2116" s="68">
        <v>45163.3333333333</v>
      </c>
      <c r="V2116" s="68">
        <v>0</v>
      </c>
      <c r="W2116" s="0">
        <f>IF(IF(B2116="none",1,IF(B2116="Trialer",1,0))+IF(C2116="Customer",1,IF(C2116="Lost",1,0))=2,1,0)</f>
      </c>
      <c r="X2116" s="0" t="s">
        <v>166</v>
      </c>
      <c r="Y2116" s="0" t="s">
        <v>243</v>
      </c>
      <c r="AV2116" s="68"/>
      <c r="AW2116" s="68"/>
      <c r="AY2116" s="27"/>
      <c r="BD2116" s="68">
        <v>46054.1666666667</v>
      </c>
      <c r="BE2116" s="68">
        <v>46082.1666666667</v>
      </c>
      <c r="BF2116" s="0" t="b">
        <v>0</v>
      </c>
      <c r="BG2116" s="0" t="b">
        <v>0</v>
      </c>
      <c r="BH2116" s="0">
        <v>77</v>
      </c>
      <c r="BI2116" s="0">
        <v>77</v>
      </c>
      <c r="BJ2116" s="0" t="s">
        <v>135</v>
      </c>
    </row>
    <row r="2117">
      <c r="A2117" s="0" t="s">
        <v>2350</v>
      </c>
      <c r="B2117" s="0" t="s">
        <v>134</v>
      </c>
      <c r="C2117" s="0" t="s">
        <v>134</v>
      </c>
      <c r="D2117" s="0" t="s">
        <v>230</v>
      </c>
      <c r="E2117" s="0" t="s">
        <v>3</v>
      </c>
      <c r="F2117" s="0" t="s">
        <v>12</v>
      </c>
      <c r="G2117" s="0" t="s">
        <v>8</v>
      </c>
      <c r="H2117" s="0">
        <v>917</v>
      </c>
      <c r="I2117" s="0">
        <v>143.1</v>
      </c>
      <c r="J2117" s="0">
        <v>0</v>
      </c>
      <c r="K2117" s="0">
        <v>1</v>
      </c>
      <c r="L2117" s="0">
        <v>4</v>
      </c>
      <c r="M2117" s="0">
        <v>3</v>
      </c>
      <c r="N2117" s="0">
        <v>0</v>
      </c>
      <c r="O2117" s="0">
        <v>0</v>
      </c>
      <c r="P2117" s="0">
        <v>-143.1</v>
      </c>
      <c r="R2117" s="0" t="b">
        <v>0</v>
      </c>
      <c r="S2117" s="0" t="b">
        <v>1</v>
      </c>
      <c r="T2117" s="68">
        <v>45136.5291666667</v>
      </c>
      <c r="U2117" s="68">
        <v>45153.3333333333</v>
      </c>
      <c r="V2117" s="68">
        <v>0</v>
      </c>
      <c r="W2117" s="0">
        <f>IF(IF(B2117="none",1,IF(B2117="Trialer",1,0))+IF(C2117="Customer",1,IF(C2117="Lost",1,0))=2,1,0)</f>
      </c>
      <c r="X2117" s="0" t="s">
        <v>166</v>
      </c>
      <c r="Y2117" s="0" t="s">
        <v>243</v>
      </c>
      <c r="AV2117" s="68"/>
      <c r="AW2117" s="68"/>
      <c r="AY2117" s="27"/>
      <c r="BD2117" s="68">
        <v>46054.1666666667</v>
      </c>
      <c r="BE2117" s="68">
        <v>46082.1666666667</v>
      </c>
      <c r="BF2117" s="0" t="b">
        <v>0</v>
      </c>
      <c r="BG2117" s="0" t="b">
        <v>0</v>
      </c>
      <c r="BH2117" s="0">
        <v>159</v>
      </c>
      <c r="BI2117" s="0">
        <v>159</v>
      </c>
      <c r="BJ2117" s="0" t="s">
        <v>230</v>
      </c>
    </row>
    <row r="2118">
      <c r="A2118" s="0" t="s">
        <v>2351</v>
      </c>
      <c r="B2118" s="0" t="s">
        <v>134</v>
      </c>
      <c r="C2118" s="0" t="s">
        <v>134</v>
      </c>
      <c r="D2118" s="0" t="s">
        <v>135</v>
      </c>
      <c r="E2118" s="0" t="s">
        <v>3</v>
      </c>
      <c r="F2118" s="0" t="s">
        <v>12</v>
      </c>
      <c r="G2118" s="0" t="s">
        <v>8</v>
      </c>
      <c r="H2118" s="0">
        <v>915</v>
      </c>
      <c r="I2118" s="0">
        <v>0</v>
      </c>
      <c r="J2118" s="0">
        <v>0</v>
      </c>
      <c r="K2118" s="0">
        <v>1</v>
      </c>
      <c r="L2118" s="0">
        <v>6</v>
      </c>
      <c r="M2118" s="0">
        <v>1</v>
      </c>
      <c r="N2118" s="0">
        <v>0</v>
      </c>
      <c r="O2118" s="0">
        <v>0</v>
      </c>
      <c r="P2118" s="0">
        <v>0</v>
      </c>
      <c r="R2118" s="0" t="b">
        <v>0</v>
      </c>
      <c r="S2118" s="0" t="b">
        <v>1</v>
      </c>
      <c r="T2118" s="68">
        <v>45138.6115972222</v>
      </c>
      <c r="U2118" s="68">
        <v>45152.3333333333</v>
      </c>
      <c r="V2118" s="68">
        <v>0</v>
      </c>
      <c r="W2118" s="0">
        <f>IF(IF(B2118="none",1,IF(B2118="Trialer",1,0))+IF(C2118="Customer",1,IF(C2118="Lost",1,0))=2,1,0)</f>
      </c>
      <c r="X2118" s="0" t="s">
        <v>145</v>
      </c>
      <c r="Y2118" s="0" t="s">
        <v>243</v>
      </c>
      <c r="AV2118" s="68"/>
      <c r="AW2118" s="68"/>
      <c r="AY2118" s="27"/>
      <c r="BD2118" s="68">
        <v>46054.1666666667</v>
      </c>
      <c r="BE2118" s="68">
        <v>46082.1666666667</v>
      </c>
      <c r="BF2118" s="0" t="b">
        <v>0</v>
      </c>
      <c r="BG2118" s="0" t="b">
        <v>0</v>
      </c>
      <c r="BH2118" s="0">
        <v>0</v>
      </c>
      <c r="BI2118" s="0">
        <v>0</v>
      </c>
      <c r="BJ2118" s="0" t="s">
        <v>135</v>
      </c>
    </row>
    <row r="2119">
      <c r="A2119" s="0" t="s">
        <v>2352</v>
      </c>
      <c r="B2119" s="0" t="s">
        <v>134</v>
      </c>
      <c r="C2119" s="0" t="s">
        <v>134</v>
      </c>
      <c r="D2119" s="0" t="s">
        <v>135</v>
      </c>
      <c r="E2119" s="0" t="s">
        <v>4</v>
      </c>
      <c r="F2119" s="0" t="s">
        <v>12</v>
      </c>
      <c r="G2119" s="0" t="s">
        <v>8</v>
      </c>
      <c r="H2119" s="0">
        <v>915</v>
      </c>
      <c r="I2119" s="0">
        <v>0</v>
      </c>
      <c r="J2119" s="0">
        <v>0</v>
      </c>
      <c r="K2119" s="0">
        <v>1</v>
      </c>
      <c r="L2119" s="0">
        <v>4</v>
      </c>
      <c r="M2119" s="0">
        <v>1</v>
      </c>
      <c r="N2119" s="0">
        <v>0</v>
      </c>
      <c r="O2119" s="0">
        <v>0</v>
      </c>
      <c r="P2119" s="0">
        <v>0</v>
      </c>
      <c r="R2119" s="0" t="b">
        <v>0</v>
      </c>
      <c r="S2119" s="0" t="b">
        <v>1</v>
      </c>
      <c r="T2119" s="68">
        <v>45138.6888194444</v>
      </c>
      <c r="U2119" s="68">
        <v>45159.3333333333</v>
      </c>
      <c r="V2119" s="68">
        <v>0</v>
      </c>
      <c r="W2119" s="0">
        <f>IF(IF(B2119="none",1,IF(B2119="Trialer",1,0))+IF(C2119="Customer",1,IF(C2119="Lost",1,0))=2,1,0)</f>
      </c>
      <c r="X2119" s="0" t="s">
        <v>136</v>
      </c>
      <c r="Y2119" s="0" t="s">
        <v>1772</v>
      </c>
      <c r="AV2119" s="68"/>
      <c r="AW2119" s="68"/>
      <c r="AY2119" s="27"/>
      <c r="BD2119" s="68">
        <v>46054.1666666667</v>
      </c>
      <c r="BE2119" s="68">
        <v>46082.1666666667</v>
      </c>
      <c r="BF2119" s="0" t="b">
        <v>0</v>
      </c>
      <c r="BG2119" s="0" t="b">
        <v>0</v>
      </c>
      <c r="BH2119" s="0">
        <v>0</v>
      </c>
      <c r="BI2119" s="0">
        <v>0</v>
      </c>
      <c r="BJ2119" s="0" t="s">
        <v>135</v>
      </c>
    </row>
    <row r="2120">
      <c r="A2120" s="0" t="s">
        <v>2353</v>
      </c>
      <c r="B2120" s="0" t="s">
        <v>134</v>
      </c>
      <c r="C2120" s="0" t="s">
        <v>134</v>
      </c>
      <c r="D2120" s="0" t="s">
        <v>230</v>
      </c>
      <c r="E2120" s="0" t="s">
        <v>3</v>
      </c>
      <c r="F2120" s="0" t="s">
        <v>12</v>
      </c>
      <c r="G2120" s="0" t="s">
        <v>8</v>
      </c>
      <c r="H2120" s="0">
        <v>913</v>
      </c>
      <c r="I2120" s="0">
        <v>72</v>
      </c>
      <c r="J2120" s="0">
        <v>0</v>
      </c>
      <c r="K2120" s="0">
        <v>1</v>
      </c>
      <c r="L2120" s="0">
        <v>2</v>
      </c>
      <c r="M2120" s="0">
        <v>2</v>
      </c>
      <c r="N2120" s="0">
        <v>0</v>
      </c>
      <c r="O2120" s="0">
        <v>0</v>
      </c>
      <c r="P2120" s="0">
        <v>-72</v>
      </c>
      <c r="R2120" s="0" t="b">
        <v>0</v>
      </c>
      <c r="S2120" s="0" t="b">
        <v>1</v>
      </c>
      <c r="T2120" s="68">
        <v>45140.0878240741</v>
      </c>
      <c r="U2120" s="68">
        <v>45161.3333333333</v>
      </c>
      <c r="V2120" s="68">
        <v>0</v>
      </c>
      <c r="W2120" s="0">
        <f>IF(IF(B2120="none",1,IF(B2120="Trialer",1,0))+IF(C2120="Customer",1,IF(C2120="Lost",1,0))=2,1,0)</f>
      </c>
      <c r="X2120" s="0" t="s">
        <v>153</v>
      </c>
      <c r="Y2120" s="0" t="s">
        <v>243</v>
      </c>
      <c r="AV2120" s="68"/>
      <c r="AW2120" s="68"/>
      <c r="AY2120" s="27"/>
      <c r="BD2120" s="68">
        <v>46054.1666666667</v>
      </c>
      <c r="BE2120" s="68">
        <v>46082.1666666667</v>
      </c>
      <c r="BF2120" s="0" t="b">
        <v>0</v>
      </c>
      <c r="BG2120" s="0" t="b">
        <v>0</v>
      </c>
      <c r="BH2120" s="0">
        <v>80</v>
      </c>
      <c r="BI2120" s="0">
        <v>80</v>
      </c>
      <c r="BJ2120" s="0" t="s">
        <v>230</v>
      </c>
    </row>
    <row r="2121">
      <c r="A2121" s="0" t="s">
        <v>2354</v>
      </c>
      <c r="B2121" s="0" t="s">
        <v>134</v>
      </c>
      <c r="C2121" s="0" t="s">
        <v>134</v>
      </c>
      <c r="D2121" s="0" t="s">
        <v>135</v>
      </c>
      <c r="E2121" s="0" t="s">
        <v>3</v>
      </c>
      <c r="F2121" s="0" t="s">
        <v>10</v>
      </c>
      <c r="G2121" s="0" t="s">
        <v>8</v>
      </c>
      <c r="H2121" s="0">
        <v>913</v>
      </c>
      <c r="I2121" s="0">
        <v>28</v>
      </c>
      <c r="J2121" s="0">
        <v>0</v>
      </c>
      <c r="K2121" s="0">
        <v>1</v>
      </c>
      <c r="L2121" s="0">
        <v>1</v>
      </c>
      <c r="M2121" s="0">
        <v>1</v>
      </c>
      <c r="N2121" s="0">
        <v>0</v>
      </c>
      <c r="O2121" s="0">
        <v>0</v>
      </c>
      <c r="P2121" s="0">
        <v>0</v>
      </c>
      <c r="Q2121" s="0" t="s">
        <v>618</v>
      </c>
      <c r="R2121" s="0" t="b">
        <v>0</v>
      </c>
      <c r="S2121" s="0" t="b">
        <v>1</v>
      </c>
      <c r="T2121" s="68">
        <v>45140.3356712963</v>
      </c>
      <c r="U2121" s="68">
        <v>45154.3333333333</v>
      </c>
      <c r="V2121" s="68">
        <v>0</v>
      </c>
      <c r="W2121" s="0">
        <f>IF(IF(B2121="none",1,IF(B2121="Trialer",1,0))+IF(C2121="Customer",1,IF(C2121="Lost",1,0))=2,1,0)</f>
      </c>
      <c r="X2121" s="0" t="s">
        <v>148</v>
      </c>
      <c r="Y2121" s="0" t="s">
        <v>243</v>
      </c>
      <c r="AV2121" s="68"/>
      <c r="AW2121" s="68"/>
      <c r="AY2121" s="27"/>
      <c r="BD2121" s="68">
        <v>46054.1666666667</v>
      </c>
      <c r="BE2121" s="68">
        <v>46082.1666666667</v>
      </c>
      <c r="BF2121" s="0" t="b">
        <v>0</v>
      </c>
      <c r="BG2121" s="0" t="b">
        <v>0</v>
      </c>
      <c r="BH2121" s="0">
        <v>28</v>
      </c>
      <c r="BI2121" s="0">
        <v>28</v>
      </c>
      <c r="BJ2121" s="0" t="s">
        <v>135</v>
      </c>
    </row>
    <row r="2122">
      <c r="A2122" s="0" t="s">
        <v>2355</v>
      </c>
      <c r="B2122" s="0" t="s">
        <v>134</v>
      </c>
      <c r="C2122" s="0" t="s">
        <v>134</v>
      </c>
      <c r="D2122" s="0" t="s">
        <v>135</v>
      </c>
      <c r="E2122" s="0" t="s">
        <v>3</v>
      </c>
      <c r="F2122" s="0" t="s">
        <v>12</v>
      </c>
      <c r="G2122" s="0" t="s">
        <v>8</v>
      </c>
      <c r="H2122" s="0">
        <v>913</v>
      </c>
      <c r="I2122" s="0">
        <v>325</v>
      </c>
      <c r="J2122" s="0">
        <v>0</v>
      </c>
      <c r="K2122" s="0">
        <v>1</v>
      </c>
      <c r="L2122" s="0">
        <v>5</v>
      </c>
      <c r="M2122" s="0">
        <v>1</v>
      </c>
      <c r="N2122" s="0">
        <v>2371.5</v>
      </c>
      <c r="O2122" s="0">
        <v>0</v>
      </c>
      <c r="P2122" s="0">
        <v>0</v>
      </c>
      <c r="R2122" s="0" t="b">
        <v>0</v>
      </c>
      <c r="S2122" s="0" t="b">
        <v>1</v>
      </c>
      <c r="T2122" s="68">
        <v>45140.6770833333</v>
      </c>
      <c r="U2122" s="68">
        <v>45194.3333333333</v>
      </c>
      <c r="V2122" s="68">
        <v>0</v>
      </c>
      <c r="W2122" s="0">
        <f>IF(IF(B2122="none",1,IF(B2122="Trialer",1,0))+IF(C2122="Customer",1,IF(C2122="Lost",1,0))=2,1,0)</f>
      </c>
      <c r="X2122" s="0" t="s">
        <v>136</v>
      </c>
      <c r="Y2122" s="0" t="s">
        <v>243</v>
      </c>
      <c r="AV2122" s="68"/>
      <c r="AW2122" s="68"/>
      <c r="AY2122" s="27"/>
      <c r="BD2122" s="68">
        <v>46054.1666666667</v>
      </c>
      <c r="BE2122" s="68">
        <v>46082.1666666667</v>
      </c>
      <c r="BF2122" s="0" t="b">
        <v>0</v>
      </c>
      <c r="BG2122" s="0" t="b">
        <v>0</v>
      </c>
      <c r="BH2122" s="0">
        <v>0</v>
      </c>
      <c r="BI2122" s="0">
        <v>0</v>
      </c>
      <c r="BJ2122" s="0" t="s">
        <v>135</v>
      </c>
    </row>
    <row r="2123">
      <c r="A2123" s="0" t="s">
        <v>2356</v>
      </c>
      <c r="B2123" s="0" t="s">
        <v>134</v>
      </c>
      <c r="C2123" s="0" t="s">
        <v>134</v>
      </c>
      <c r="D2123" s="0" t="s">
        <v>230</v>
      </c>
      <c r="E2123" s="0" t="s">
        <v>3</v>
      </c>
      <c r="F2123" s="0" t="s">
        <v>12</v>
      </c>
      <c r="G2123" s="0" t="s">
        <v>8</v>
      </c>
      <c r="H2123" s="0">
        <v>912</v>
      </c>
      <c r="I2123" s="0">
        <v>54</v>
      </c>
      <c r="J2123" s="0">
        <v>0</v>
      </c>
      <c r="K2123" s="0">
        <v>1</v>
      </c>
      <c r="L2123" s="0">
        <v>4</v>
      </c>
      <c r="M2123" s="0">
        <v>1</v>
      </c>
      <c r="N2123" s="0">
        <v>0</v>
      </c>
      <c r="O2123" s="0">
        <v>0</v>
      </c>
      <c r="P2123" s="0">
        <v>-54</v>
      </c>
      <c r="R2123" s="0" t="b">
        <v>0</v>
      </c>
      <c r="S2123" s="0" t="b">
        <v>1</v>
      </c>
      <c r="T2123" s="68">
        <v>45141.7802430556</v>
      </c>
      <c r="U2123" s="68">
        <v>45155.3333333333</v>
      </c>
      <c r="V2123" s="68">
        <v>0</v>
      </c>
      <c r="W2123" s="0">
        <f>IF(IF(B2123="none",1,IF(B2123="Trialer",1,0))+IF(C2123="Customer",1,IF(C2123="Lost",1,0))=2,1,0)</f>
      </c>
      <c r="X2123" s="0" t="s">
        <v>166</v>
      </c>
      <c r="Y2123" s="0" t="s">
        <v>243</v>
      </c>
      <c r="AV2123" s="68"/>
      <c r="AW2123" s="68"/>
      <c r="AY2123" s="27"/>
      <c r="BD2123" s="68">
        <v>46054.1666666667</v>
      </c>
      <c r="BE2123" s="68">
        <v>46082.1666666667</v>
      </c>
      <c r="BF2123" s="0" t="b">
        <v>0</v>
      </c>
      <c r="BG2123" s="0" t="b">
        <v>0</v>
      </c>
      <c r="BH2123" s="0">
        <v>61</v>
      </c>
      <c r="BI2123" s="0">
        <v>61</v>
      </c>
      <c r="BJ2123" s="0" t="s">
        <v>230</v>
      </c>
    </row>
    <row r="2124">
      <c r="A2124" s="0" t="s">
        <v>2357</v>
      </c>
      <c r="B2124" s="0" t="s">
        <v>134</v>
      </c>
      <c r="C2124" s="0" t="s">
        <v>134</v>
      </c>
      <c r="D2124" s="0" t="s">
        <v>135</v>
      </c>
      <c r="E2124" s="0" t="s">
        <v>2</v>
      </c>
      <c r="F2124" s="0" t="s">
        <v>12</v>
      </c>
      <c r="G2124" s="0" t="s">
        <v>8</v>
      </c>
      <c r="H2124" s="0">
        <v>911</v>
      </c>
      <c r="I2124" s="0">
        <v>285</v>
      </c>
      <c r="J2124" s="0">
        <v>0</v>
      </c>
      <c r="K2124" s="0">
        <v>1</v>
      </c>
      <c r="L2124" s="0">
        <v>3</v>
      </c>
      <c r="M2124" s="0">
        <v>6</v>
      </c>
      <c r="N2124" s="0">
        <v>0</v>
      </c>
      <c r="O2124" s="0">
        <v>0</v>
      </c>
      <c r="P2124" s="0">
        <v>0</v>
      </c>
      <c r="R2124" s="0" t="b">
        <v>0</v>
      </c>
      <c r="S2124" s="0" t="b">
        <v>1</v>
      </c>
      <c r="T2124" s="68">
        <v>45142.4570138889</v>
      </c>
      <c r="U2124" s="68">
        <v>45170.3333333333</v>
      </c>
      <c r="V2124" s="68">
        <v>0</v>
      </c>
      <c r="W2124" s="0">
        <f>IF(IF(B2124="none",1,IF(B2124="Trialer",1,0))+IF(C2124="Customer",1,IF(C2124="Lost",1,0))=2,1,0)</f>
      </c>
      <c r="X2124" s="0" t="s">
        <v>136</v>
      </c>
      <c r="Y2124" s="0" t="s">
        <v>499</v>
      </c>
      <c r="AV2124" s="68"/>
      <c r="AW2124" s="68"/>
      <c r="AY2124" s="27"/>
      <c r="BD2124" s="68">
        <v>46054.1666666667</v>
      </c>
      <c r="BE2124" s="68">
        <v>46082.1666666667</v>
      </c>
      <c r="BF2124" s="0" t="b">
        <v>0</v>
      </c>
      <c r="BG2124" s="0" t="b">
        <v>0</v>
      </c>
      <c r="BH2124" s="0">
        <v>285</v>
      </c>
      <c r="BI2124" s="0">
        <v>285</v>
      </c>
      <c r="BJ2124" s="0" t="s">
        <v>135</v>
      </c>
    </row>
    <row r="2125">
      <c r="A2125" s="0" t="s">
        <v>2358</v>
      </c>
      <c r="B2125" s="0" t="s">
        <v>134</v>
      </c>
      <c r="C2125" s="0" t="s">
        <v>134</v>
      </c>
      <c r="D2125" s="0" t="s">
        <v>135</v>
      </c>
      <c r="E2125" s="0" t="s">
        <v>3</v>
      </c>
      <c r="F2125" s="0" t="s">
        <v>10</v>
      </c>
      <c r="G2125" s="0" t="s">
        <v>8</v>
      </c>
      <c r="H2125" s="0">
        <v>910</v>
      </c>
      <c r="I2125" s="0">
        <v>28</v>
      </c>
      <c r="J2125" s="0">
        <v>0</v>
      </c>
      <c r="K2125" s="0">
        <v>1</v>
      </c>
      <c r="L2125" s="0">
        <v>1</v>
      </c>
      <c r="M2125" s="0">
        <v>1</v>
      </c>
      <c r="N2125" s="0">
        <v>0</v>
      </c>
      <c r="O2125" s="0">
        <v>0</v>
      </c>
      <c r="P2125" s="0">
        <v>0</v>
      </c>
      <c r="Q2125" s="0" t="s">
        <v>618</v>
      </c>
      <c r="R2125" s="0" t="b">
        <v>0</v>
      </c>
      <c r="S2125" s="0" t="b">
        <v>1</v>
      </c>
      <c r="T2125" s="68">
        <v>45143.1201967593</v>
      </c>
      <c r="U2125" s="68">
        <v>45157.3333333333</v>
      </c>
      <c r="V2125" s="68">
        <v>0</v>
      </c>
      <c r="W2125" s="0">
        <f>IF(IF(B2125="none",1,IF(B2125="Trialer",1,0))+IF(C2125="Customer",1,IF(C2125="Lost",1,0))=2,1,0)</f>
      </c>
      <c r="X2125" s="0" t="s">
        <v>148</v>
      </c>
      <c r="Y2125" s="0" t="s">
        <v>243</v>
      </c>
      <c r="AV2125" s="68"/>
      <c r="AW2125" s="68"/>
      <c r="AY2125" s="27"/>
      <c r="BD2125" s="68">
        <v>46054.1666666667</v>
      </c>
      <c r="BE2125" s="68">
        <v>46082.1666666667</v>
      </c>
      <c r="BF2125" s="0" t="b">
        <v>0</v>
      </c>
      <c r="BG2125" s="0" t="b">
        <v>0</v>
      </c>
      <c r="BH2125" s="0">
        <v>28</v>
      </c>
      <c r="BI2125" s="0">
        <v>28</v>
      </c>
      <c r="BJ2125" s="0" t="s">
        <v>135</v>
      </c>
    </row>
    <row r="2126">
      <c r="A2126" s="0" t="s">
        <v>2359</v>
      </c>
      <c r="B2126" s="0" t="s">
        <v>134</v>
      </c>
      <c r="C2126" s="0" t="s">
        <v>134</v>
      </c>
      <c r="D2126" s="0" t="s">
        <v>135</v>
      </c>
      <c r="E2126" s="0" t="s">
        <v>2</v>
      </c>
      <c r="F2126" s="0" t="s">
        <v>12</v>
      </c>
      <c r="G2126" s="0" t="s">
        <v>8</v>
      </c>
      <c r="H2126" s="0">
        <v>908</v>
      </c>
      <c r="I2126" s="0">
        <v>776</v>
      </c>
      <c r="J2126" s="0">
        <v>0</v>
      </c>
      <c r="K2126" s="0">
        <v>1</v>
      </c>
      <c r="L2126" s="0">
        <v>6</v>
      </c>
      <c r="M2126" s="0">
        <v>7</v>
      </c>
      <c r="N2126" s="0">
        <v>1054</v>
      </c>
      <c r="O2126" s="0">
        <v>-77.5</v>
      </c>
      <c r="P2126" s="0">
        <v>0</v>
      </c>
      <c r="R2126" s="0" t="b">
        <v>0</v>
      </c>
      <c r="S2126" s="0" t="b">
        <v>1</v>
      </c>
      <c r="T2126" s="68">
        <v>45145.4431134259</v>
      </c>
      <c r="U2126" s="68">
        <v>45160.3333333333</v>
      </c>
      <c r="V2126" s="68">
        <v>0</v>
      </c>
      <c r="W2126" s="0">
        <f>IF(IF(B2126="none",1,IF(B2126="Trialer",1,0))+IF(C2126="Customer",1,IF(C2126="Lost",1,0))=2,1,0)</f>
      </c>
      <c r="X2126" s="0" t="s">
        <v>145</v>
      </c>
      <c r="Y2126" s="0" t="s">
        <v>499</v>
      </c>
      <c r="AV2126" s="68"/>
      <c r="AW2126" s="68"/>
      <c r="AY2126" s="27"/>
      <c r="BD2126" s="68">
        <v>46054.1666666667</v>
      </c>
      <c r="BE2126" s="68">
        <v>46082.1666666667</v>
      </c>
      <c r="BF2126" s="0" t="b">
        <v>0</v>
      </c>
      <c r="BG2126" s="0" t="b">
        <v>0</v>
      </c>
      <c r="BH2126" s="0">
        <v>451</v>
      </c>
      <c r="BI2126" s="0">
        <v>451</v>
      </c>
      <c r="BJ2126" s="0" t="s">
        <v>135</v>
      </c>
    </row>
    <row r="2127">
      <c r="A2127" s="0" t="s">
        <v>2360</v>
      </c>
      <c r="B2127" s="0" t="s">
        <v>134</v>
      </c>
      <c r="C2127" s="0" t="s">
        <v>134</v>
      </c>
      <c r="D2127" s="0" t="s">
        <v>230</v>
      </c>
      <c r="E2127" s="0" t="s">
        <v>3</v>
      </c>
      <c r="F2127" s="0" t="s">
        <v>12</v>
      </c>
      <c r="G2127" s="0" t="s">
        <v>8</v>
      </c>
      <c r="H2127" s="0">
        <v>906</v>
      </c>
      <c r="I2127" s="0">
        <v>60</v>
      </c>
      <c r="J2127" s="0">
        <v>0</v>
      </c>
      <c r="K2127" s="0">
        <v>1</v>
      </c>
      <c r="L2127" s="0">
        <v>2</v>
      </c>
      <c r="M2127" s="0">
        <v>2</v>
      </c>
      <c r="N2127" s="0">
        <v>0</v>
      </c>
      <c r="O2127" s="0">
        <v>0</v>
      </c>
      <c r="P2127" s="0">
        <v>-60</v>
      </c>
      <c r="R2127" s="0" t="b">
        <v>0</v>
      </c>
      <c r="S2127" s="0" t="b">
        <v>1</v>
      </c>
      <c r="T2127" s="68">
        <v>45147.4259606482</v>
      </c>
      <c r="U2127" s="68">
        <v>45161.3333333333</v>
      </c>
      <c r="V2127" s="68">
        <v>0</v>
      </c>
      <c r="W2127" s="0">
        <f>IF(IF(B2127="none",1,IF(B2127="Trialer",1,0))+IF(C2127="Customer",1,IF(C2127="Lost",1,0))=2,1,0)</f>
      </c>
      <c r="X2127" s="0" t="s">
        <v>166</v>
      </c>
      <c r="Y2127" s="0" t="s">
        <v>487</v>
      </c>
      <c r="AV2127" s="68"/>
      <c r="AW2127" s="68"/>
      <c r="AY2127" s="27"/>
      <c r="BD2127" s="68">
        <v>46054.1666666667</v>
      </c>
      <c r="BE2127" s="68">
        <v>46082.1666666667</v>
      </c>
      <c r="BF2127" s="0" t="b">
        <v>0</v>
      </c>
      <c r="BG2127" s="0" t="b">
        <v>0</v>
      </c>
      <c r="BH2127" s="0">
        <v>68</v>
      </c>
      <c r="BI2127" s="0">
        <v>68</v>
      </c>
      <c r="BJ2127" s="0" t="s">
        <v>230</v>
      </c>
    </row>
    <row r="2128">
      <c r="A2128" s="0" t="s">
        <v>2361</v>
      </c>
      <c r="B2128" s="0" t="s">
        <v>134</v>
      </c>
      <c r="C2128" s="0" t="s">
        <v>134</v>
      </c>
      <c r="D2128" s="0" t="s">
        <v>135</v>
      </c>
      <c r="E2128" s="0" t="s">
        <v>3</v>
      </c>
      <c r="F2128" s="0" t="s">
        <v>12</v>
      </c>
      <c r="G2128" s="0" t="s">
        <v>8</v>
      </c>
      <c r="H2128" s="0">
        <v>905</v>
      </c>
      <c r="I2128" s="0">
        <v>129</v>
      </c>
      <c r="J2128" s="0">
        <v>0</v>
      </c>
      <c r="K2128" s="0">
        <v>1</v>
      </c>
      <c r="L2128" s="0">
        <v>3</v>
      </c>
      <c r="M2128" s="0">
        <v>3</v>
      </c>
      <c r="N2128" s="0">
        <v>0</v>
      </c>
      <c r="O2128" s="0">
        <v>0</v>
      </c>
      <c r="P2128" s="0">
        <v>0</v>
      </c>
      <c r="R2128" s="0" t="b">
        <v>0</v>
      </c>
      <c r="S2128" s="0" t="b">
        <v>1</v>
      </c>
      <c r="T2128" s="68">
        <v>45148.5880787037</v>
      </c>
      <c r="U2128" s="68">
        <v>45163.3333333333</v>
      </c>
      <c r="V2128" s="68">
        <v>0</v>
      </c>
      <c r="W2128" s="0">
        <f>IF(IF(B2128="none",1,IF(B2128="Trialer",1,0))+IF(C2128="Customer",1,IF(C2128="Lost",1,0))=2,1,0)</f>
      </c>
      <c r="X2128" s="0" t="s">
        <v>166</v>
      </c>
      <c r="Y2128" s="0" t="s">
        <v>243</v>
      </c>
      <c r="AV2128" s="68"/>
      <c r="AW2128" s="68"/>
      <c r="AY2128" s="27"/>
      <c r="BD2128" s="68">
        <v>46054.1666666667</v>
      </c>
      <c r="BE2128" s="68">
        <v>46082.1666666667</v>
      </c>
      <c r="BF2128" s="0" t="b">
        <v>0</v>
      </c>
      <c r="BG2128" s="0" t="b">
        <v>0</v>
      </c>
      <c r="BH2128" s="0">
        <v>129</v>
      </c>
      <c r="BI2128" s="0">
        <v>129</v>
      </c>
      <c r="BJ2128" s="0" t="s">
        <v>135</v>
      </c>
    </row>
    <row r="2129">
      <c r="A2129" s="0" t="s">
        <v>2362</v>
      </c>
      <c r="B2129" s="0" t="s">
        <v>134</v>
      </c>
      <c r="C2129" s="0" t="s">
        <v>134</v>
      </c>
      <c r="D2129" s="0" t="s">
        <v>135</v>
      </c>
      <c r="E2129" s="0" t="s">
        <v>3</v>
      </c>
      <c r="F2129" s="0" t="s">
        <v>12</v>
      </c>
      <c r="G2129" s="0" t="s">
        <v>8</v>
      </c>
      <c r="H2129" s="0">
        <v>904</v>
      </c>
      <c r="I2129" s="0">
        <v>0</v>
      </c>
      <c r="J2129" s="0">
        <v>0</v>
      </c>
      <c r="K2129" s="0">
        <v>1</v>
      </c>
      <c r="L2129" s="0">
        <v>6</v>
      </c>
      <c r="M2129" s="0">
        <v>1</v>
      </c>
      <c r="N2129" s="0">
        <v>0</v>
      </c>
      <c r="O2129" s="0">
        <v>0</v>
      </c>
      <c r="P2129" s="0">
        <v>0</v>
      </c>
      <c r="R2129" s="0" t="b">
        <v>0</v>
      </c>
      <c r="S2129" s="0" t="b">
        <v>1</v>
      </c>
      <c r="T2129" s="68">
        <v>45149.3976851852</v>
      </c>
      <c r="U2129" s="68">
        <v>45166.3333333333</v>
      </c>
      <c r="V2129" s="68">
        <v>0</v>
      </c>
      <c r="W2129" s="0">
        <f>IF(IF(B2129="none",1,IF(B2129="Trialer",1,0))+IF(C2129="Customer",1,IF(C2129="Lost",1,0))=2,1,0)</f>
      </c>
      <c r="X2129" s="0" t="s">
        <v>148</v>
      </c>
      <c r="Y2129" s="0" t="s">
        <v>243</v>
      </c>
      <c r="AV2129" s="68"/>
      <c r="AW2129" s="68"/>
      <c r="AY2129" s="27"/>
      <c r="BD2129" s="68">
        <v>46054.1666666667</v>
      </c>
      <c r="BE2129" s="68">
        <v>46082.1666666667</v>
      </c>
      <c r="BF2129" s="0" t="b">
        <v>0</v>
      </c>
      <c r="BG2129" s="0" t="b">
        <v>0</v>
      </c>
      <c r="BH2129" s="0">
        <v>0</v>
      </c>
      <c r="BI2129" s="0">
        <v>0</v>
      </c>
      <c r="BJ2129" s="0" t="s">
        <v>135</v>
      </c>
    </row>
    <row r="2130">
      <c r="A2130" s="0" t="s">
        <v>2363</v>
      </c>
      <c r="B2130" s="0" t="s">
        <v>134</v>
      </c>
      <c r="C2130" s="0" t="s">
        <v>134</v>
      </c>
      <c r="D2130" s="0" t="s">
        <v>135</v>
      </c>
      <c r="E2130" s="0" t="s">
        <v>3</v>
      </c>
      <c r="F2130" s="0" t="s">
        <v>12</v>
      </c>
      <c r="G2130" s="0" t="s">
        <v>8</v>
      </c>
      <c r="H2130" s="0">
        <v>904</v>
      </c>
      <c r="I2130" s="0">
        <v>121</v>
      </c>
      <c r="J2130" s="0">
        <v>0</v>
      </c>
      <c r="K2130" s="0">
        <v>1</v>
      </c>
      <c r="L2130" s="0">
        <v>2</v>
      </c>
      <c r="M2130" s="0">
        <v>4</v>
      </c>
      <c r="N2130" s="0">
        <v>0</v>
      </c>
      <c r="O2130" s="0">
        <v>0</v>
      </c>
      <c r="P2130" s="0">
        <v>0</v>
      </c>
      <c r="R2130" s="0" t="b">
        <v>0</v>
      </c>
      <c r="S2130" s="0" t="b">
        <v>1</v>
      </c>
      <c r="T2130" s="68">
        <v>45149.4032523148</v>
      </c>
      <c r="U2130" s="68">
        <v>45163.3333333333</v>
      </c>
      <c r="V2130" s="68">
        <v>0</v>
      </c>
      <c r="W2130" s="0">
        <f>IF(IF(B2130="none",1,IF(B2130="Trialer",1,0))+IF(C2130="Customer",1,IF(C2130="Lost",1,0))=2,1,0)</f>
      </c>
      <c r="X2130" s="0" t="s">
        <v>148</v>
      </c>
      <c r="Y2130" s="0" t="s">
        <v>243</v>
      </c>
      <c r="AV2130" s="68"/>
      <c r="AW2130" s="68"/>
      <c r="AY2130" s="27"/>
      <c r="BD2130" s="68">
        <v>46054.1666666667</v>
      </c>
      <c r="BE2130" s="68">
        <v>46082.1666666667</v>
      </c>
      <c r="BF2130" s="0" t="b">
        <v>0</v>
      </c>
      <c r="BG2130" s="0" t="b">
        <v>0</v>
      </c>
      <c r="BH2130" s="0">
        <v>121</v>
      </c>
      <c r="BI2130" s="0">
        <v>121</v>
      </c>
      <c r="BJ2130" s="0" t="s">
        <v>135</v>
      </c>
    </row>
    <row r="2131">
      <c r="A2131" s="0" t="s">
        <v>2364</v>
      </c>
      <c r="B2131" s="0" t="s">
        <v>134</v>
      </c>
      <c r="C2131" s="0" t="s">
        <v>134</v>
      </c>
      <c r="D2131" s="0" t="s">
        <v>135</v>
      </c>
      <c r="E2131" s="0" t="s">
        <v>3</v>
      </c>
      <c r="F2131" s="0" t="s">
        <v>12</v>
      </c>
      <c r="G2131" s="0" t="s">
        <v>8</v>
      </c>
      <c r="H2131" s="0">
        <v>904</v>
      </c>
      <c r="I2131" s="0">
        <v>183</v>
      </c>
      <c r="J2131" s="0">
        <v>0</v>
      </c>
      <c r="K2131" s="0">
        <v>1</v>
      </c>
      <c r="L2131" s="0">
        <v>5</v>
      </c>
      <c r="M2131" s="0">
        <v>3</v>
      </c>
      <c r="N2131" s="0">
        <v>0</v>
      </c>
      <c r="O2131" s="0">
        <v>0</v>
      </c>
      <c r="P2131" s="0">
        <v>0</v>
      </c>
      <c r="R2131" s="0" t="b">
        <v>0</v>
      </c>
      <c r="S2131" s="0" t="b">
        <v>1</v>
      </c>
      <c r="T2131" s="68">
        <v>45149.6239930556</v>
      </c>
      <c r="U2131" s="68">
        <v>45163.3333333333</v>
      </c>
      <c r="V2131" s="68">
        <v>0</v>
      </c>
      <c r="W2131" s="0">
        <f>IF(IF(B2131="none",1,IF(B2131="Trialer",1,0))+IF(C2131="Customer",1,IF(C2131="Lost",1,0))=2,1,0)</f>
      </c>
      <c r="X2131" s="0" t="s">
        <v>142</v>
      </c>
      <c r="Y2131" s="0" t="s">
        <v>243</v>
      </c>
      <c r="AV2131" s="68"/>
      <c r="AW2131" s="68"/>
      <c r="AY2131" s="27"/>
      <c r="BD2131" s="68">
        <v>46054.1666666667</v>
      </c>
      <c r="BE2131" s="68">
        <v>46082.1666666667</v>
      </c>
      <c r="BF2131" s="0" t="b">
        <v>0</v>
      </c>
      <c r="BG2131" s="0" t="b">
        <v>0</v>
      </c>
      <c r="BH2131" s="0">
        <v>183</v>
      </c>
      <c r="BI2131" s="0">
        <v>183</v>
      </c>
      <c r="BJ2131" s="0" t="s">
        <v>135</v>
      </c>
    </row>
    <row r="2132">
      <c r="A2132" s="0" t="s">
        <v>2365</v>
      </c>
      <c r="B2132" s="0" t="s">
        <v>134</v>
      </c>
      <c r="C2132" s="0" t="s">
        <v>134</v>
      </c>
      <c r="D2132" s="0" t="s">
        <v>230</v>
      </c>
      <c r="E2132" s="0" t="s">
        <v>3</v>
      </c>
      <c r="F2132" s="0" t="s">
        <v>12</v>
      </c>
      <c r="G2132" s="0" t="s">
        <v>8</v>
      </c>
      <c r="H2132" s="0">
        <v>902</v>
      </c>
      <c r="I2132" s="0">
        <v>74</v>
      </c>
      <c r="J2132" s="0">
        <v>0</v>
      </c>
      <c r="K2132" s="0">
        <v>1</v>
      </c>
      <c r="L2132" s="0">
        <v>6</v>
      </c>
      <c r="M2132" s="0">
        <v>1</v>
      </c>
      <c r="N2132" s="0">
        <v>0</v>
      </c>
      <c r="O2132" s="0">
        <v>0</v>
      </c>
      <c r="P2132" s="0">
        <v>-74</v>
      </c>
      <c r="R2132" s="0" t="b">
        <v>0</v>
      </c>
      <c r="S2132" s="0" t="b">
        <v>1</v>
      </c>
      <c r="T2132" s="68">
        <v>45151.9676967593</v>
      </c>
      <c r="U2132" s="68">
        <v>45165.3333333333</v>
      </c>
      <c r="V2132" s="68">
        <v>0</v>
      </c>
      <c r="W2132" s="0">
        <f>IF(IF(B2132="none",1,IF(B2132="Trialer",1,0))+IF(C2132="Customer",1,IF(C2132="Lost",1,0))=2,1,0)</f>
      </c>
      <c r="X2132" s="0" t="s">
        <v>166</v>
      </c>
      <c r="Y2132" s="0" t="s">
        <v>243</v>
      </c>
      <c r="AV2132" s="68"/>
      <c r="AW2132" s="68"/>
      <c r="AY2132" s="27"/>
      <c r="BD2132" s="68">
        <v>46054.1666666667</v>
      </c>
      <c r="BE2132" s="68">
        <v>46082.1666666667</v>
      </c>
      <c r="BF2132" s="0" t="b">
        <v>0</v>
      </c>
      <c r="BG2132" s="0" t="b">
        <v>0</v>
      </c>
      <c r="BH2132" s="0">
        <v>85</v>
      </c>
      <c r="BI2132" s="0">
        <v>85</v>
      </c>
      <c r="BJ2132" s="0" t="s">
        <v>230</v>
      </c>
    </row>
    <row r="2133">
      <c r="A2133" s="0" t="s">
        <v>2366</v>
      </c>
      <c r="B2133" s="0" t="s">
        <v>134</v>
      </c>
      <c r="C2133" s="0" t="s">
        <v>134</v>
      </c>
      <c r="D2133" s="0" t="s">
        <v>135</v>
      </c>
      <c r="E2133" s="0" t="s">
        <v>3</v>
      </c>
      <c r="F2133" s="0" t="s">
        <v>10</v>
      </c>
      <c r="G2133" s="0" t="s">
        <v>8</v>
      </c>
      <c r="H2133" s="0">
        <v>901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 t="s">
        <v>618</v>
      </c>
      <c r="R2133" s="0" t="b">
        <v>0</v>
      </c>
      <c r="S2133" s="0" t="b">
        <v>1</v>
      </c>
      <c r="T2133" s="68">
        <v>45152.7181712963</v>
      </c>
      <c r="U2133" s="68">
        <v>45166.3333333333</v>
      </c>
      <c r="V2133" s="68">
        <v>0</v>
      </c>
      <c r="W2133" s="0">
        <f>IF(IF(B2133="none",1,IF(B2133="Trialer",1,0))+IF(C2133="Customer",1,IF(C2133="Lost",1,0))=2,1,0)</f>
      </c>
      <c r="X2133" s="0" t="s">
        <v>148</v>
      </c>
      <c r="Y2133" s="0" t="s">
        <v>243</v>
      </c>
      <c r="AV2133" s="68"/>
      <c r="AW2133" s="68"/>
      <c r="AY2133" s="27"/>
      <c r="BD2133" s="68">
        <v>46054.1666666667</v>
      </c>
      <c r="BE2133" s="68">
        <v>46082.1666666667</v>
      </c>
      <c r="BF2133" s="0" t="b">
        <v>0</v>
      </c>
      <c r="BG2133" s="0" t="b">
        <v>0</v>
      </c>
      <c r="BH2133" s="0">
        <v>0</v>
      </c>
      <c r="BI2133" s="0">
        <v>0</v>
      </c>
      <c r="BJ2133" s="0" t="s">
        <v>135</v>
      </c>
    </row>
    <row r="2134">
      <c r="A2134" s="0" t="s">
        <v>2367</v>
      </c>
      <c r="B2134" s="0" t="s">
        <v>134</v>
      </c>
      <c r="C2134" s="0" t="s">
        <v>134</v>
      </c>
      <c r="D2134" s="0" t="s">
        <v>135</v>
      </c>
      <c r="E2134" s="0" t="s">
        <v>3</v>
      </c>
      <c r="F2134" s="0" t="s">
        <v>10</v>
      </c>
      <c r="G2134" s="0" t="s">
        <v>8</v>
      </c>
      <c r="H2134" s="0">
        <v>900</v>
      </c>
      <c r="I2134" s="0">
        <v>196</v>
      </c>
      <c r="J2134" s="0">
        <v>0</v>
      </c>
      <c r="K2134" s="0">
        <v>1</v>
      </c>
      <c r="L2134" s="0">
        <v>3</v>
      </c>
      <c r="M2134" s="0">
        <v>4</v>
      </c>
      <c r="N2134" s="0">
        <v>0</v>
      </c>
      <c r="O2134" s="0">
        <v>0</v>
      </c>
      <c r="P2134" s="0">
        <v>0</v>
      </c>
      <c r="Q2134" s="0" t="s">
        <v>1914</v>
      </c>
      <c r="R2134" s="0" t="b">
        <v>0</v>
      </c>
      <c r="S2134" s="0" t="b">
        <v>1</v>
      </c>
      <c r="T2134" s="68">
        <v>45153.672650463</v>
      </c>
      <c r="U2134" s="68">
        <v>45167.3333333333</v>
      </c>
      <c r="V2134" s="68">
        <v>0</v>
      </c>
      <c r="W2134" s="0">
        <f>IF(IF(B2134="none",1,IF(B2134="Trialer",1,0))+IF(C2134="Customer",1,IF(C2134="Lost",1,0))=2,1,0)</f>
      </c>
      <c r="X2134" s="0" t="s">
        <v>148</v>
      </c>
      <c r="Y2134" s="0" t="s">
        <v>243</v>
      </c>
      <c r="AV2134" s="68"/>
      <c r="AW2134" s="68"/>
      <c r="AY2134" s="27"/>
      <c r="BD2134" s="68">
        <v>46054.1666666667</v>
      </c>
      <c r="BE2134" s="68">
        <v>46082.1666666667</v>
      </c>
      <c r="BF2134" s="0" t="b">
        <v>0</v>
      </c>
      <c r="BG2134" s="0" t="b">
        <v>0</v>
      </c>
      <c r="BH2134" s="0">
        <v>196</v>
      </c>
      <c r="BI2134" s="0">
        <v>196</v>
      </c>
      <c r="BJ2134" s="0" t="s">
        <v>135</v>
      </c>
    </row>
    <row r="2135">
      <c r="A2135" s="0" t="s">
        <v>2368</v>
      </c>
      <c r="B2135" s="0" t="s">
        <v>134</v>
      </c>
      <c r="C2135" s="0" t="s">
        <v>134</v>
      </c>
      <c r="D2135" s="0" t="s">
        <v>230</v>
      </c>
      <c r="E2135" s="0" t="s">
        <v>3</v>
      </c>
      <c r="F2135" s="0" t="s">
        <v>12</v>
      </c>
      <c r="G2135" s="0" t="s">
        <v>8</v>
      </c>
      <c r="H2135" s="0">
        <v>899</v>
      </c>
      <c r="I2135" s="0">
        <v>44</v>
      </c>
      <c r="J2135" s="0">
        <v>0</v>
      </c>
      <c r="K2135" s="0">
        <v>1</v>
      </c>
      <c r="L2135" s="0">
        <v>3</v>
      </c>
      <c r="M2135" s="0">
        <v>1</v>
      </c>
      <c r="N2135" s="0">
        <v>0</v>
      </c>
      <c r="O2135" s="0">
        <v>0</v>
      </c>
      <c r="P2135" s="0">
        <v>-44</v>
      </c>
      <c r="R2135" s="0" t="b">
        <v>0</v>
      </c>
      <c r="S2135" s="0" t="b">
        <v>1</v>
      </c>
      <c r="T2135" s="68">
        <v>45154.3601851852</v>
      </c>
      <c r="U2135" s="68">
        <v>45168.3333333333</v>
      </c>
      <c r="V2135" s="68">
        <v>0</v>
      </c>
      <c r="W2135" s="0">
        <f>IF(IF(B2135="none",1,IF(B2135="Trialer",1,0))+IF(C2135="Customer",1,IF(C2135="Lost",1,0))=2,1,0)</f>
      </c>
      <c r="X2135" s="0" t="s">
        <v>142</v>
      </c>
      <c r="Y2135" s="0" t="s">
        <v>1792</v>
      </c>
      <c r="AV2135" s="68"/>
      <c r="AW2135" s="68"/>
      <c r="AY2135" s="27"/>
      <c r="BD2135" s="68">
        <v>46054.1666666667</v>
      </c>
      <c r="BE2135" s="68">
        <v>46082.1666666667</v>
      </c>
      <c r="BF2135" s="0" t="b">
        <v>0</v>
      </c>
      <c r="BG2135" s="0" t="b">
        <v>0</v>
      </c>
      <c r="BH2135" s="0">
        <v>49</v>
      </c>
      <c r="BI2135" s="0">
        <v>49</v>
      </c>
      <c r="BJ2135" s="0" t="s">
        <v>230</v>
      </c>
    </row>
    <row r="2136">
      <c r="A2136" s="0" t="s">
        <v>2369</v>
      </c>
      <c r="B2136" s="0" t="s">
        <v>134</v>
      </c>
      <c r="C2136" s="0" t="s">
        <v>134</v>
      </c>
      <c r="D2136" s="0" t="s">
        <v>135</v>
      </c>
      <c r="E2136" s="0" t="s">
        <v>2</v>
      </c>
      <c r="F2136" s="0" t="s">
        <v>10</v>
      </c>
      <c r="G2136" s="0" t="s">
        <v>8</v>
      </c>
      <c r="H2136" s="0">
        <v>899</v>
      </c>
      <c r="I2136" s="0">
        <v>183</v>
      </c>
      <c r="J2136" s="0">
        <v>0</v>
      </c>
      <c r="K2136" s="0">
        <v>1</v>
      </c>
      <c r="L2136" s="0">
        <v>4</v>
      </c>
      <c r="M2136" s="0">
        <v>3</v>
      </c>
      <c r="N2136" s="0">
        <v>413.25</v>
      </c>
      <c r="O2136" s="0">
        <v>0</v>
      </c>
      <c r="P2136" s="0">
        <v>0</v>
      </c>
      <c r="Q2136" s="0" t="s">
        <v>2370</v>
      </c>
      <c r="R2136" s="0" t="b">
        <v>0</v>
      </c>
      <c r="S2136" s="0" t="b">
        <v>1</v>
      </c>
      <c r="T2136" s="68">
        <v>45154.5283101852</v>
      </c>
      <c r="U2136" s="68">
        <v>45170.3333333333</v>
      </c>
      <c r="V2136" s="68">
        <v>0</v>
      </c>
      <c r="W2136" s="0">
        <f>IF(IF(B2136="none",1,IF(B2136="Trialer",1,0))+IF(C2136="Customer",1,IF(C2136="Lost",1,0))=2,1,0)</f>
      </c>
      <c r="X2136" s="0" t="s">
        <v>148</v>
      </c>
      <c r="Y2136" s="0" t="s">
        <v>499</v>
      </c>
      <c r="AV2136" s="68"/>
      <c r="AW2136" s="68"/>
      <c r="AY2136" s="27"/>
      <c r="BD2136" s="68">
        <v>46054.1666666667</v>
      </c>
      <c r="BE2136" s="68">
        <v>46082.1666666667</v>
      </c>
      <c r="BF2136" s="0" t="b">
        <v>0</v>
      </c>
      <c r="BG2136" s="0" t="b">
        <v>0</v>
      </c>
      <c r="BH2136" s="0">
        <v>183</v>
      </c>
      <c r="BI2136" s="0">
        <v>183</v>
      </c>
      <c r="BJ2136" s="0" t="s">
        <v>135</v>
      </c>
    </row>
    <row r="2137">
      <c r="A2137" s="0" t="s">
        <v>2371</v>
      </c>
      <c r="B2137" s="0" t="s">
        <v>134</v>
      </c>
      <c r="C2137" s="0" t="s">
        <v>134</v>
      </c>
      <c r="D2137" s="0" t="s">
        <v>135</v>
      </c>
      <c r="E2137" s="0" t="s">
        <v>3</v>
      </c>
      <c r="F2137" s="0" t="s">
        <v>12</v>
      </c>
      <c r="G2137" s="0" t="s">
        <v>8</v>
      </c>
      <c r="H2137" s="0">
        <v>897</v>
      </c>
      <c r="I2137" s="0">
        <v>322</v>
      </c>
      <c r="J2137" s="0">
        <v>0</v>
      </c>
      <c r="K2137" s="0">
        <v>1</v>
      </c>
      <c r="L2137" s="0">
        <v>3</v>
      </c>
      <c r="M2137" s="0">
        <v>7</v>
      </c>
      <c r="N2137" s="0">
        <v>0</v>
      </c>
      <c r="O2137" s="0">
        <v>0</v>
      </c>
      <c r="P2137" s="0">
        <v>0</v>
      </c>
      <c r="R2137" s="0" t="b">
        <v>0</v>
      </c>
      <c r="S2137" s="0" t="b">
        <v>1</v>
      </c>
      <c r="T2137" s="68">
        <v>45156.8616550926</v>
      </c>
      <c r="U2137" s="68">
        <v>45170.3333333333</v>
      </c>
      <c r="V2137" s="68">
        <v>0</v>
      </c>
      <c r="W2137" s="0">
        <f>IF(IF(B2137="none",1,IF(B2137="Trialer",1,0))+IF(C2137="Customer",1,IF(C2137="Lost",1,0))=2,1,0)</f>
      </c>
      <c r="X2137" s="0" t="s">
        <v>882</v>
      </c>
      <c r="Y2137" s="0" t="s">
        <v>243</v>
      </c>
      <c r="AV2137" s="68"/>
      <c r="AW2137" s="68"/>
      <c r="AY2137" s="27"/>
      <c r="BD2137" s="68">
        <v>46054.1666666667</v>
      </c>
      <c r="BE2137" s="68">
        <v>46082.1666666667</v>
      </c>
      <c r="BF2137" s="0" t="b">
        <v>0</v>
      </c>
      <c r="BG2137" s="0" t="b">
        <v>0</v>
      </c>
      <c r="BH2137" s="0">
        <v>294</v>
      </c>
      <c r="BI2137" s="0">
        <v>294</v>
      </c>
      <c r="BJ2137" s="0" t="s">
        <v>135</v>
      </c>
    </row>
    <row r="2138">
      <c r="A2138" s="0" t="s">
        <v>2372</v>
      </c>
      <c r="B2138" s="0" t="s">
        <v>134</v>
      </c>
      <c r="C2138" s="0" t="s">
        <v>134</v>
      </c>
      <c r="D2138" s="0" t="s">
        <v>135</v>
      </c>
      <c r="E2138" s="0" t="s">
        <v>2</v>
      </c>
      <c r="F2138" s="0" t="s">
        <v>12</v>
      </c>
      <c r="G2138" s="0" t="s">
        <v>7</v>
      </c>
      <c r="H2138" s="0">
        <v>894</v>
      </c>
      <c r="I2138" s="0">
        <v>40</v>
      </c>
      <c r="J2138" s="0">
        <v>0</v>
      </c>
      <c r="K2138" s="0">
        <v>1</v>
      </c>
      <c r="L2138" s="0">
        <v>1</v>
      </c>
      <c r="M2138" s="0">
        <v>1</v>
      </c>
      <c r="N2138" s="0">
        <v>0</v>
      </c>
      <c r="O2138" s="0">
        <v>0</v>
      </c>
      <c r="P2138" s="0">
        <v>0</v>
      </c>
      <c r="R2138" s="0" t="b">
        <v>0</v>
      </c>
      <c r="S2138" s="0" t="b">
        <v>1</v>
      </c>
      <c r="T2138" s="68">
        <v>45159.5</v>
      </c>
      <c r="U2138" s="68">
        <v>45159.5</v>
      </c>
      <c r="V2138" s="68">
        <v>0</v>
      </c>
      <c r="W2138" s="0">
        <f>IF(IF(B2138="none",1,IF(B2138="Trialer",1,0))+IF(C2138="Customer",1,IF(C2138="Lost",1,0))=2,1,0)</f>
      </c>
      <c r="X2138" s="0" t="s">
        <v>145</v>
      </c>
      <c r="Y2138" s="0" t="s">
        <v>137</v>
      </c>
      <c r="AV2138" s="68"/>
      <c r="AW2138" s="68"/>
      <c r="AY2138" s="27"/>
      <c r="BD2138" s="68">
        <v>46054.1666666667</v>
      </c>
      <c r="BE2138" s="68">
        <v>46082.1666666667</v>
      </c>
      <c r="BF2138" s="0" t="b">
        <v>0</v>
      </c>
      <c r="BG2138" s="0" t="b">
        <v>0</v>
      </c>
      <c r="BH2138" s="0">
        <v>40</v>
      </c>
      <c r="BI2138" s="0">
        <v>40</v>
      </c>
      <c r="BJ2138" s="0" t="s">
        <v>135</v>
      </c>
    </row>
    <row r="2139">
      <c r="A2139" s="0" t="s">
        <v>2373</v>
      </c>
      <c r="B2139" s="0" t="s">
        <v>134</v>
      </c>
      <c r="C2139" s="0" t="s">
        <v>134</v>
      </c>
      <c r="D2139" s="0" t="s">
        <v>135</v>
      </c>
      <c r="E2139" s="0" t="s">
        <v>3</v>
      </c>
      <c r="F2139" s="0" t="s">
        <v>12</v>
      </c>
      <c r="G2139" s="0" t="s">
        <v>8</v>
      </c>
      <c r="H2139" s="0">
        <v>894</v>
      </c>
      <c r="I2139" s="0">
        <v>164</v>
      </c>
      <c r="J2139" s="0">
        <v>0</v>
      </c>
      <c r="K2139" s="0">
        <v>1</v>
      </c>
      <c r="L2139" s="0">
        <v>2</v>
      </c>
      <c r="M2139" s="0">
        <v>5</v>
      </c>
      <c r="N2139" s="0">
        <v>0</v>
      </c>
      <c r="O2139" s="0">
        <v>0</v>
      </c>
      <c r="P2139" s="0">
        <v>0</v>
      </c>
      <c r="R2139" s="0" t="b">
        <v>0</v>
      </c>
      <c r="S2139" s="0" t="b">
        <v>1</v>
      </c>
      <c r="T2139" s="68">
        <v>45159.5972222222</v>
      </c>
      <c r="U2139" s="68">
        <v>45159.3333333333</v>
      </c>
      <c r="V2139" s="68">
        <v>0</v>
      </c>
      <c r="W2139" s="0">
        <f>IF(IF(B2139="none",1,IF(B2139="Trialer",1,0))+IF(C2139="Customer",1,IF(C2139="Lost",1,0))=2,1,0)</f>
      </c>
      <c r="X2139" s="0" t="s">
        <v>145</v>
      </c>
      <c r="Y2139" s="0" t="s">
        <v>243</v>
      </c>
      <c r="AV2139" s="68"/>
      <c r="AW2139" s="68"/>
      <c r="AY2139" s="27"/>
      <c r="BD2139" s="68">
        <v>46054.1666666667</v>
      </c>
      <c r="BE2139" s="68">
        <v>46082.1666666667</v>
      </c>
      <c r="BF2139" s="0" t="b">
        <v>0</v>
      </c>
      <c r="BG2139" s="0" t="b">
        <v>0</v>
      </c>
      <c r="BH2139" s="0">
        <v>164</v>
      </c>
      <c r="BI2139" s="0">
        <v>164</v>
      </c>
      <c r="BJ2139" s="0" t="s">
        <v>135</v>
      </c>
    </row>
    <row r="2140">
      <c r="A2140" s="0" t="s">
        <v>2374</v>
      </c>
      <c r="B2140" s="0" t="s">
        <v>134</v>
      </c>
      <c r="C2140" s="0" t="s">
        <v>134</v>
      </c>
      <c r="D2140" s="0" t="s">
        <v>135</v>
      </c>
      <c r="E2140" s="0" t="s">
        <v>3</v>
      </c>
      <c r="F2140" s="0" t="s">
        <v>12</v>
      </c>
      <c r="G2140" s="0" t="s">
        <v>8</v>
      </c>
      <c r="H2140" s="0">
        <v>894</v>
      </c>
      <c r="I2140" s="0">
        <v>376.07</v>
      </c>
      <c r="J2140" s="0">
        <v>0</v>
      </c>
      <c r="K2140" s="0">
        <v>1</v>
      </c>
      <c r="L2140" s="0">
        <v>4</v>
      </c>
      <c r="M2140" s="0">
        <v>6</v>
      </c>
      <c r="N2140" s="0">
        <v>688.75</v>
      </c>
      <c r="O2140" s="0">
        <v>0</v>
      </c>
      <c r="P2140" s="0">
        <v>0</v>
      </c>
      <c r="R2140" s="0" t="b">
        <v>0</v>
      </c>
      <c r="S2140" s="0" t="b">
        <v>1</v>
      </c>
      <c r="T2140" s="68">
        <v>45159.6607175926</v>
      </c>
      <c r="U2140" s="68">
        <v>45194.3333333333</v>
      </c>
      <c r="V2140" s="68">
        <v>0</v>
      </c>
      <c r="W2140" s="0">
        <f>IF(IF(B2140="none",1,IF(B2140="Trialer",1,0))+IF(C2140="Customer",1,IF(C2140="Lost",1,0))=2,1,0)</f>
      </c>
      <c r="X2140" s="0" t="s">
        <v>136</v>
      </c>
      <c r="Y2140" s="0" t="s">
        <v>243</v>
      </c>
      <c r="AV2140" s="68"/>
      <c r="AW2140" s="68"/>
      <c r="AY2140" s="27"/>
      <c r="BD2140" s="68">
        <v>46054.1666666667</v>
      </c>
      <c r="BE2140" s="68">
        <v>46082.1666666667</v>
      </c>
      <c r="BF2140" s="0" t="b">
        <v>0</v>
      </c>
      <c r="BG2140" s="0" t="b">
        <v>0</v>
      </c>
      <c r="BH2140" s="0">
        <v>370.57</v>
      </c>
      <c r="BI2140" s="0">
        <v>370.42</v>
      </c>
      <c r="BJ2140" s="0" t="s">
        <v>135</v>
      </c>
    </row>
    <row r="2141">
      <c r="A2141" s="0" t="s">
        <v>2375</v>
      </c>
      <c r="B2141" s="0" t="s">
        <v>134</v>
      </c>
      <c r="C2141" s="0" t="s">
        <v>134</v>
      </c>
      <c r="D2141" s="0" t="s">
        <v>135</v>
      </c>
      <c r="E2141" s="0" t="s">
        <v>3</v>
      </c>
      <c r="F2141" s="0" t="s">
        <v>12</v>
      </c>
      <c r="G2141" s="0" t="s">
        <v>8</v>
      </c>
      <c r="H2141" s="0">
        <v>894</v>
      </c>
      <c r="I2141" s="0">
        <v>579</v>
      </c>
      <c r="J2141" s="0">
        <v>0</v>
      </c>
      <c r="K2141" s="0">
        <v>1</v>
      </c>
      <c r="L2141" s="0">
        <v>3</v>
      </c>
      <c r="M2141" s="0">
        <v>12</v>
      </c>
      <c r="N2141" s="0">
        <v>0</v>
      </c>
      <c r="O2141" s="0">
        <v>0</v>
      </c>
      <c r="P2141" s="0">
        <v>0</v>
      </c>
      <c r="R2141" s="0" t="b">
        <v>0</v>
      </c>
      <c r="S2141" s="0" t="b">
        <v>1</v>
      </c>
      <c r="T2141" s="68">
        <v>45159.8757175926</v>
      </c>
      <c r="U2141" s="68">
        <v>45181.3333333333</v>
      </c>
      <c r="V2141" s="68">
        <v>0</v>
      </c>
      <c r="W2141" s="0">
        <f>IF(IF(B2141="none",1,IF(B2141="Trialer",1,0))+IF(C2141="Customer",1,IF(C2141="Lost",1,0))=2,1,0)</f>
      </c>
      <c r="X2141" s="0" t="s">
        <v>148</v>
      </c>
      <c r="Y2141" s="0" t="s">
        <v>243</v>
      </c>
      <c r="AV2141" s="68"/>
      <c r="AW2141" s="68"/>
      <c r="AY2141" s="27"/>
      <c r="BD2141" s="68">
        <v>46054.1666666667</v>
      </c>
      <c r="BE2141" s="68">
        <v>46082.1666666667</v>
      </c>
      <c r="BF2141" s="0" t="b">
        <v>0</v>
      </c>
      <c r="BG2141" s="0" t="b">
        <v>0</v>
      </c>
      <c r="BH2141" s="0">
        <v>579</v>
      </c>
      <c r="BI2141" s="0">
        <v>579</v>
      </c>
      <c r="BJ2141" s="0" t="s">
        <v>135</v>
      </c>
    </row>
    <row r="2142">
      <c r="A2142" s="0" t="s">
        <v>2376</v>
      </c>
      <c r="B2142" s="0" t="s">
        <v>134</v>
      </c>
      <c r="C2142" s="0" t="s">
        <v>134</v>
      </c>
      <c r="D2142" s="0" t="s">
        <v>135</v>
      </c>
      <c r="E2142" s="0" t="s">
        <v>3</v>
      </c>
      <c r="F2142" s="0" t="s">
        <v>12</v>
      </c>
      <c r="G2142" s="0" t="s">
        <v>8</v>
      </c>
      <c r="H2142" s="0">
        <v>893</v>
      </c>
      <c r="I2142" s="0">
        <v>196</v>
      </c>
      <c r="J2142" s="0">
        <v>0</v>
      </c>
      <c r="K2142" s="0">
        <v>1</v>
      </c>
      <c r="L2142" s="0">
        <v>3</v>
      </c>
      <c r="M2142" s="0">
        <v>4</v>
      </c>
      <c r="N2142" s="0">
        <v>0</v>
      </c>
      <c r="O2142" s="0">
        <v>0</v>
      </c>
      <c r="P2142" s="0">
        <v>0</v>
      </c>
      <c r="R2142" s="0" t="b">
        <v>0</v>
      </c>
      <c r="S2142" s="0" t="b">
        <v>1</v>
      </c>
      <c r="T2142" s="68">
        <v>45160.387662037</v>
      </c>
      <c r="U2142" s="68">
        <v>45182.3333333333</v>
      </c>
      <c r="V2142" s="68">
        <v>0</v>
      </c>
      <c r="W2142" s="0">
        <f>IF(IF(B2142="none",1,IF(B2142="Trialer",1,0))+IF(C2142="Customer",1,IF(C2142="Lost",1,0))=2,1,0)</f>
      </c>
      <c r="X2142" s="0" t="s">
        <v>136</v>
      </c>
      <c r="Y2142" s="0" t="s">
        <v>243</v>
      </c>
      <c r="AV2142" s="68"/>
      <c r="AW2142" s="68"/>
      <c r="AY2142" s="27"/>
      <c r="BD2142" s="68">
        <v>46054.1666666667</v>
      </c>
      <c r="BE2142" s="68">
        <v>46082.1666666667</v>
      </c>
      <c r="BF2142" s="0" t="b">
        <v>0</v>
      </c>
      <c r="BG2142" s="0" t="b">
        <v>0</v>
      </c>
      <c r="BH2142" s="0">
        <v>196</v>
      </c>
      <c r="BI2142" s="0">
        <v>196</v>
      </c>
      <c r="BJ2142" s="0" t="s">
        <v>135</v>
      </c>
    </row>
    <row r="2143">
      <c r="A2143" s="0" t="s">
        <v>2377</v>
      </c>
      <c r="B2143" s="0" t="s">
        <v>134</v>
      </c>
      <c r="C2143" s="0" t="s">
        <v>134</v>
      </c>
      <c r="D2143" s="0" t="s">
        <v>135</v>
      </c>
      <c r="E2143" s="0" t="s">
        <v>3</v>
      </c>
      <c r="F2143" s="0" t="s">
        <v>12</v>
      </c>
      <c r="G2143" s="0" t="s">
        <v>8</v>
      </c>
      <c r="H2143" s="0">
        <v>893</v>
      </c>
      <c r="I2143" s="0">
        <v>1099</v>
      </c>
      <c r="J2143" s="0">
        <v>0</v>
      </c>
      <c r="K2143" s="0">
        <v>1</v>
      </c>
      <c r="L2143" s="0">
        <v>5</v>
      </c>
      <c r="M2143" s="0">
        <v>15</v>
      </c>
      <c r="N2143" s="0">
        <v>976.5</v>
      </c>
      <c r="O2143" s="0">
        <v>0</v>
      </c>
      <c r="P2143" s="0">
        <v>0</v>
      </c>
      <c r="R2143" s="0" t="b">
        <v>0</v>
      </c>
      <c r="S2143" s="0" t="b">
        <v>1</v>
      </c>
      <c r="T2143" s="68">
        <v>45160.4100578704</v>
      </c>
      <c r="U2143" s="68">
        <v>45174.3333333333</v>
      </c>
      <c r="V2143" s="68">
        <v>0</v>
      </c>
      <c r="W2143" s="0">
        <f>IF(IF(B2143="none",1,IF(B2143="Trialer",1,0))+IF(C2143="Customer",1,IF(C2143="Lost",1,0))=2,1,0)</f>
      </c>
      <c r="X2143" s="0" t="s">
        <v>145</v>
      </c>
      <c r="Y2143" s="0" t="s">
        <v>243</v>
      </c>
      <c r="AV2143" s="68"/>
      <c r="AW2143" s="68"/>
      <c r="AY2143" s="27"/>
      <c r="BD2143" s="68">
        <v>46054.1666666667</v>
      </c>
      <c r="BE2143" s="68">
        <v>46082.1666666667</v>
      </c>
      <c r="BF2143" s="0" t="b">
        <v>0</v>
      </c>
      <c r="BG2143" s="0" t="b">
        <v>0</v>
      </c>
      <c r="BH2143" s="0">
        <v>774</v>
      </c>
      <c r="BI2143" s="0">
        <v>774</v>
      </c>
      <c r="BJ2143" s="0" t="s">
        <v>135</v>
      </c>
    </row>
    <row r="2144">
      <c r="A2144" s="0" t="s">
        <v>2378</v>
      </c>
      <c r="B2144" s="0" t="s">
        <v>134</v>
      </c>
      <c r="C2144" s="0" t="s">
        <v>134</v>
      </c>
      <c r="D2144" s="0" t="s">
        <v>135</v>
      </c>
      <c r="E2144" s="0" t="s">
        <v>3</v>
      </c>
      <c r="F2144" s="0" t="s">
        <v>10</v>
      </c>
      <c r="G2144" s="0" t="s">
        <v>8</v>
      </c>
      <c r="H2144" s="0">
        <v>893</v>
      </c>
      <c r="I2144" s="0">
        <v>84</v>
      </c>
      <c r="J2144" s="0">
        <v>0</v>
      </c>
      <c r="K2144" s="0">
        <v>1</v>
      </c>
      <c r="L2144" s="0">
        <v>1</v>
      </c>
      <c r="M2144" s="0">
        <v>3</v>
      </c>
      <c r="N2144" s="0">
        <v>0</v>
      </c>
      <c r="O2144" s="0">
        <v>0</v>
      </c>
      <c r="P2144" s="0">
        <v>0</v>
      </c>
      <c r="Q2144" s="0" t="s">
        <v>618</v>
      </c>
      <c r="R2144" s="0" t="b">
        <v>0</v>
      </c>
      <c r="S2144" s="0" t="b">
        <v>1</v>
      </c>
      <c r="T2144" s="68">
        <v>45160.5352662037</v>
      </c>
      <c r="U2144" s="68">
        <v>45174.3333333333</v>
      </c>
      <c r="V2144" s="68">
        <v>0</v>
      </c>
      <c r="W2144" s="0">
        <f>IF(IF(B2144="none",1,IF(B2144="Trialer",1,0))+IF(C2144="Customer",1,IF(C2144="Lost",1,0))=2,1,0)</f>
      </c>
      <c r="X2144" s="0" t="s">
        <v>148</v>
      </c>
      <c r="Y2144" s="0" t="s">
        <v>243</v>
      </c>
      <c r="AV2144" s="68"/>
      <c r="AW2144" s="68"/>
      <c r="AY2144" s="27"/>
      <c r="BD2144" s="68">
        <v>46054.1666666667</v>
      </c>
      <c r="BE2144" s="68">
        <v>46082.1666666667</v>
      </c>
      <c r="BF2144" s="0" t="b">
        <v>0</v>
      </c>
      <c r="BG2144" s="0" t="b">
        <v>0</v>
      </c>
      <c r="BH2144" s="0">
        <v>84</v>
      </c>
      <c r="BI2144" s="0">
        <v>84</v>
      </c>
      <c r="BJ2144" s="0" t="s">
        <v>135</v>
      </c>
    </row>
    <row r="2145">
      <c r="A2145" s="0" t="s">
        <v>2379</v>
      </c>
      <c r="B2145" s="0" t="s">
        <v>134</v>
      </c>
      <c r="C2145" s="0" t="s">
        <v>134</v>
      </c>
      <c r="D2145" s="0" t="s">
        <v>230</v>
      </c>
      <c r="E2145" s="0" t="s">
        <v>3</v>
      </c>
      <c r="F2145" s="0" t="s">
        <v>12</v>
      </c>
      <c r="G2145" s="0" t="s">
        <v>8</v>
      </c>
      <c r="H2145" s="0">
        <v>892</v>
      </c>
      <c r="I2145" s="0">
        <v>25</v>
      </c>
      <c r="J2145" s="0">
        <v>0</v>
      </c>
      <c r="K2145" s="0">
        <v>1</v>
      </c>
      <c r="L2145" s="0">
        <v>1</v>
      </c>
      <c r="M2145" s="0">
        <v>1</v>
      </c>
      <c r="N2145" s="0">
        <v>0</v>
      </c>
      <c r="O2145" s="0">
        <v>0</v>
      </c>
      <c r="P2145" s="0">
        <v>-25</v>
      </c>
      <c r="R2145" s="0" t="b">
        <v>0</v>
      </c>
      <c r="S2145" s="0" t="b">
        <v>1</v>
      </c>
      <c r="T2145" s="68">
        <v>45161.3793055556</v>
      </c>
      <c r="U2145" s="68">
        <v>45161.3333333333</v>
      </c>
      <c r="V2145" s="68">
        <v>0</v>
      </c>
      <c r="W2145" s="0">
        <f>IF(IF(B2145="none",1,IF(B2145="Trialer",1,0))+IF(C2145="Customer",1,IF(C2145="Lost",1,0))=2,1,0)</f>
      </c>
      <c r="X2145" s="0" t="s">
        <v>166</v>
      </c>
      <c r="Y2145" s="0" t="s">
        <v>243</v>
      </c>
      <c r="AV2145" s="68"/>
      <c r="AW2145" s="68"/>
      <c r="AY2145" s="27"/>
      <c r="BD2145" s="68">
        <v>46054.1666666667</v>
      </c>
      <c r="BE2145" s="68">
        <v>46082.1666666667</v>
      </c>
      <c r="BF2145" s="0" t="b">
        <v>0</v>
      </c>
      <c r="BG2145" s="0" t="b">
        <v>0</v>
      </c>
      <c r="BH2145" s="0">
        <v>28</v>
      </c>
      <c r="BI2145" s="0">
        <v>28</v>
      </c>
      <c r="BJ2145" s="0" t="s">
        <v>230</v>
      </c>
    </row>
    <row r="2146">
      <c r="A2146" s="0" t="s">
        <v>2380</v>
      </c>
      <c r="B2146" s="0" t="s">
        <v>134</v>
      </c>
      <c r="C2146" s="0" t="s">
        <v>134</v>
      </c>
      <c r="D2146" s="0" t="s">
        <v>230</v>
      </c>
      <c r="E2146" s="0" t="s">
        <v>3</v>
      </c>
      <c r="F2146" s="0" t="s">
        <v>12</v>
      </c>
      <c r="G2146" s="0" t="s">
        <v>8</v>
      </c>
      <c r="H2146" s="0">
        <v>892</v>
      </c>
      <c r="I2146" s="0">
        <v>72</v>
      </c>
      <c r="J2146" s="0">
        <v>0</v>
      </c>
      <c r="K2146" s="0">
        <v>1</v>
      </c>
      <c r="L2146" s="0">
        <v>2</v>
      </c>
      <c r="M2146" s="0">
        <v>2</v>
      </c>
      <c r="N2146" s="0">
        <v>0</v>
      </c>
      <c r="O2146" s="0">
        <v>0</v>
      </c>
      <c r="P2146" s="0">
        <v>-72</v>
      </c>
      <c r="R2146" s="0" t="b">
        <v>0</v>
      </c>
      <c r="S2146" s="0" t="b">
        <v>1</v>
      </c>
      <c r="T2146" s="68">
        <v>45161.6574537037</v>
      </c>
      <c r="U2146" s="68">
        <v>45175.3333333333</v>
      </c>
      <c r="V2146" s="68">
        <v>0</v>
      </c>
      <c r="W2146" s="0">
        <f>IF(IF(B2146="none",1,IF(B2146="Trialer",1,0))+IF(C2146="Customer",1,IF(C2146="Lost",1,0))=2,1,0)</f>
      </c>
      <c r="X2146" s="0" t="s">
        <v>153</v>
      </c>
      <c r="Y2146" s="0" t="s">
        <v>243</v>
      </c>
      <c r="AV2146" s="68"/>
      <c r="AW2146" s="68"/>
      <c r="AY2146" s="27"/>
      <c r="BD2146" s="68">
        <v>46054.1666666667</v>
      </c>
      <c r="BE2146" s="68">
        <v>46082.1666666667</v>
      </c>
      <c r="BF2146" s="0" t="b">
        <v>0</v>
      </c>
      <c r="BG2146" s="0" t="b">
        <v>0</v>
      </c>
      <c r="BH2146" s="0">
        <v>80</v>
      </c>
      <c r="BI2146" s="0">
        <v>80</v>
      </c>
      <c r="BJ2146" s="0" t="s">
        <v>230</v>
      </c>
    </row>
    <row r="2147">
      <c r="A2147" s="0" t="s">
        <v>2381</v>
      </c>
      <c r="B2147" s="0" t="s">
        <v>134</v>
      </c>
      <c r="C2147" s="0" t="s">
        <v>134</v>
      </c>
      <c r="D2147" s="0" t="s">
        <v>135</v>
      </c>
      <c r="E2147" s="0" t="s">
        <v>2</v>
      </c>
      <c r="F2147" s="0" t="s">
        <v>12</v>
      </c>
      <c r="G2147" s="0" t="s">
        <v>8</v>
      </c>
      <c r="H2147" s="0">
        <v>891</v>
      </c>
      <c r="I2147" s="0">
        <v>403</v>
      </c>
      <c r="J2147" s="0">
        <v>0</v>
      </c>
      <c r="K2147" s="0">
        <v>1</v>
      </c>
      <c r="L2147" s="0">
        <v>6</v>
      </c>
      <c r="M2147" s="0">
        <v>7</v>
      </c>
      <c r="N2147" s="0">
        <v>0</v>
      </c>
      <c r="O2147" s="0">
        <v>0</v>
      </c>
      <c r="P2147" s="0">
        <v>0</v>
      </c>
      <c r="R2147" s="0" t="b">
        <v>0</v>
      </c>
      <c r="S2147" s="0" t="b">
        <v>1</v>
      </c>
      <c r="T2147" s="68">
        <v>45162.4608912037</v>
      </c>
      <c r="U2147" s="68">
        <v>45176.3333333333</v>
      </c>
      <c r="V2147" s="68">
        <v>0</v>
      </c>
      <c r="W2147" s="0">
        <f>IF(IF(B2147="none",1,IF(B2147="Trialer",1,0))+IF(C2147="Customer",1,IF(C2147="Lost",1,0))=2,1,0)</f>
      </c>
      <c r="X2147" s="0" t="s">
        <v>148</v>
      </c>
      <c r="Y2147" s="0" t="s">
        <v>499</v>
      </c>
      <c r="AV2147" s="68"/>
      <c r="AW2147" s="68"/>
      <c r="AY2147" s="27"/>
      <c r="BD2147" s="68">
        <v>46054.1666666667</v>
      </c>
      <c r="BE2147" s="68">
        <v>46082.1666666667</v>
      </c>
      <c r="BF2147" s="0" t="b">
        <v>0</v>
      </c>
      <c r="BG2147" s="0" t="b">
        <v>0</v>
      </c>
      <c r="BH2147" s="0">
        <v>403</v>
      </c>
      <c r="BI2147" s="0">
        <v>403</v>
      </c>
      <c r="BJ2147" s="0" t="s">
        <v>135</v>
      </c>
    </row>
    <row r="2148">
      <c r="A2148" s="0" t="s">
        <v>2382</v>
      </c>
      <c r="B2148" s="0" t="s">
        <v>134</v>
      </c>
      <c r="C2148" s="0" t="s">
        <v>134</v>
      </c>
      <c r="D2148" s="0" t="s">
        <v>230</v>
      </c>
      <c r="E2148" s="0" t="s">
        <v>2</v>
      </c>
      <c r="F2148" s="0" t="s">
        <v>12</v>
      </c>
      <c r="G2148" s="0" t="s">
        <v>8</v>
      </c>
      <c r="H2148" s="0">
        <v>891</v>
      </c>
      <c r="I2148" s="0">
        <v>144</v>
      </c>
      <c r="J2148" s="0">
        <v>0</v>
      </c>
      <c r="K2148" s="0">
        <v>1</v>
      </c>
      <c r="L2148" s="0">
        <v>2</v>
      </c>
      <c r="M2148" s="0">
        <v>4</v>
      </c>
      <c r="N2148" s="0">
        <v>0</v>
      </c>
      <c r="O2148" s="0">
        <v>0</v>
      </c>
      <c r="P2148" s="0">
        <v>-144</v>
      </c>
      <c r="R2148" s="0" t="b">
        <v>0</v>
      </c>
      <c r="S2148" s="0" t="b">
        <v>1</v>
      </c>
      <c r="T2148" s="68">
        <v>45162.5241898148</v>
      </c>
      <c r="U2148" s="68">
        <v>45182.3333333333</v>
      </c>
      <c r="V2148" s="68">
        <v>0</v>
      </c>
      <c r="W2148" s="0">
        <f>IF(IF(B2148="none",1,IF(B2148="Trialer",1,0))+IF(C2148="Customer",1,IF(C2148="Lost",1,0))=2,1,0)</f>
      </c>
      <c r="X2148" s="0" t="s">
        <v>148</v>
      </c>
      <c r="Y2148" s="0" t="s">
        <v>499</v>
      </c>
      <c r="AV2148" s="68"/>
      <c r="AW2148" s="68"/>
      <c r="AY2148" s="27"/>
      <c r="BD2148" s="68">
        <v>46054.1666666667</v>
      </c>
      <c r="BE2148" s="68">
        <v>46082.1666666667</v>
      </c>
      <c r="BF2148" s="0" t="b">
        <v>0</v>
      </c>
      <c r="BG2148" s="0" t="b">
        <v>0</v>
      </c>
      <c r="BH2148" s="0">
        <v>160</v>
      </c>
      <c r="BI2148" s="0">
        <v>160</v>
      </c>
      <c r="BJ2148" s="0" t="s">
        <v>230</v>
      </c>
    </row>
    <row r="2149">
      <c r="A2149" s="0" t="s">
        <v>2383</v>
      </c>
      <c r="B2149" s="0" t="s">
        <v>134</v>
      </c>
      <c r="C2149" s="0" t="s">
        <v>134</v>
      </c>
      <c r="D2149" s="0" t="s">
        <v>135</v>
      </c>
      <c r="E2149" s="0" t="s">
        <v>3</v>
      </c>
      <c r="F2149" s="0" t="s">
        <v>10</v>
      </c>
      <c r="G2149" s="0" t="s">
        <v>8</v>
      </c>
      <c r="H2149" s="0">
        <v>887</v>
      </c>
      <c r="I2149" s="0">
        <v>364</v>
      </c>
      <c r="J2149" s="0">
        <v>0</v>
      </c>
      <c r="K2149" s="0">
        <v>1</v>
      </c>
      <c r="L2149" s="0">
        <v>1</v>
      </c>
      <c r="M2149" s="0">
        <v>13</v>
      </c>
      <c r="N2149" s="0">
        <v>0</v>
      </c>
      <c r="O2149" s="0">
        <v>0</v>
      </c>
      <c r="P2149" s="0">
        <v>0</v>
      </c>
      <c r="Q2149" s="0" t="s">
        <v>618</v>
      </c>
      <c r="R2149" s="0" t="b">
        <v>0</v>
      </c>
      <c r="S2149" s="0" t="b">
        <v>1</v>
      </c>
      <c r="T2149" s="68">
        <v>45166.4997222222</v>
      </c>
      <c r="U2149" s="68">
        <v>45180.3333333333</v>
      </c>
      <c r="V2149" s="68">
        <v>0</v>
      </c>
      <c r="W2149" s="0">
        <f>IF(IF(B2149="none",1,IF(B2149="Trialer",1,0))+IF(C2149="Customer",1,IF(C2149="Lost",1,0))=2,1,0)</f>
      </c>
      <c r="X2149" s="0" t="s">
        <v>148</v>
      </c>
      <c r="Y2149" s="0" t="s">
        <v>243</v>
      </c>
      <c r="AV2149" s="68"/>
      <c r="AW2149" s="68"/>
      <c r="AY2149" s="27"/>
      <c r="BD2149" s="68">
        <v>46054.1666666667</v>
      </c>
      <c r="BE2149" s="68">
        <v>46082.1666666667</v>
      </c>
      <c r="BF2149" s="0" t="b">
        <v>0</v>
      </c>
      <c r="BG2149" s="0" t="b">
        <v>0</v>
      </c>
      <c r="BH2149" s="0">
        <v>420</v>
      </c>
      <c r="BI2149" s="0">
        <v>420</v>
      </c>
      <c r="BJ2149" s="0" t="s">
        <v>135</v>
      </c>
    </row>
    <row r="2150">
      <c r="A2150" s="0" t="s">
        <v>2384</v>
      </c>
      <c r="B2150" s="0" t="s">
        <v>134</v>
      </c>
      <c r="C2150" s="0" t="s">
        <v>134</v>
      </c>
      <c r="D2150" s="0" t="s">
        <v>135</v>
      </c>
      <c r="E2150" s="0" t="s">
        <v>2</v>
      </c>
      <c r="F2150" s="0" t="s">
        <v>12</v>
      </c>
      <c r="G2150" s="0" t="s">
        <v>8</v>
      </c>
      <c r="H2150" s="0">
        <v>887</v>
      </c>
      <c r="I2150" s="0">
        <v>49</v>
      </c>
      <c r="J2150" s="0">
        <v>0</v>
      </c>
      <c r="K2150" s="0">
        <v>1</v>
      </c>
      <c r="L2150" s="0">
        <v>3</v>
      </c>
      <c r="M2150" s="0">
        <v>1</v>
      </c>
      <c r="N2150" s="0">
        <v>0</v>
      </c>
      <c r="O2150" s="0">
        <v>0</v>
      </c>
      <c r="P2150" s="0">
        <v>0</v>
      </c>
      <c r="R2150" s="0" t="b">
        <v>0</v>
      </c>
      <c r="S2150" s="0" t="b">
        <v>1</v>
      </c>
      <c r="T2150" s="68">
        <v>45166.6087847222</v>
      </c>
      <c r="U2150" s="68">
        <v>45196.3333333333</v>
      </c>
      <c r="V2150" s="68">
        <v>0</v>
      </c>
      <c r="W2150" s="0">
        <f>IF(IF(B2150="none",1,IF(B2150="Trialer",1,0))+IF(C2150="Customer",1,IF(C2150="Lost",1,0))=2,1,0)</f>
      </c>
      <c r="X2150" s="0" t="s">
        <v>153</v>
      </c>
      <c r="Y2150" s="0" t="s">
        <v>499</v>
      </c>
      <c r="AV2150" s="68"/>
      <c r="AW2150" s="68"/>
      <c r="AY2150" s="27"/>
      <c r="BD2150" s="68">
        <v>46054.1666666667</v>
      </c>
      <c r="BE2150" s="68">
        <v>46082.1666666667</v>
      </c>
      <c r="BF2150" s="0" t="b">
        <v>0</v>
      </c>
      <c r="BG2150" s="0" t="b">
        <v>0</v>
      </c>
      <c r="BH2150" s="0">
        <v>49</v>
      </c>
      <c r="BI2150" s="0">
        <v>49</v>
      </c>
      <c r="BJ2150" s="0" t="s">
        <v>135</v>
      </c>
    </row>
    <row r="2151">
      <c r="A2151" s="0" t="s">
        <v>2385</v>
      </c>
      <c r="B2151" s="0" t="s">
        <v>134</v>
      </c>
      <c r="C2151" s="0" t="s">
        <v>134</v>
      </c>
      <c r="D2151" s="0" t="s">
        <v>135</v>
      </c>
      <c r="E2151" s="0" t="s">
        <v>2</v>
      </c>
      <c r="F2151" s="0" t="s">
        <v>12</v>
      </c>
      <c r="G2151" s="0" t="s">
        <v>8</v>
      </c>
      <c r="H2151" s="0">
        <v>887</v>
      </c>
      <c r="I2151" s="0">
        <v>532</v>
      </c>
      <c r="J2151" s="0">
        <v>0</v>
      </c>
      <c r="K2151" s="0">
        <v>1</v>
      </c>
      <c r="L2151" s="0">
        <v>6</v>
      </c>
      <c r="M2151" s="0">
        <v>3</v>
      </c>
      <c r="N2151" s="0">
        <v>1193.5</v>
      </c>
      <c r="O2151" s="0">
        <v>-77.5</v>
      </c>
      <c r="P2151" s="0">
        <v>0</v>
      </c>
      <c r="R2151" s="0" t="b">
        <v>0</v>
      </c>
      <c r="S2151" s="0" t="b">
        <v>1</v>
      </c>
      <c r="T2151" s="68">
        <v>45166.6736111111</v>
      </c>
      <c r="U2151" s="68">
        <v>45181.3333333333</v>
      </c>
      <c r="V2151" s="68">
        <v>0</v>
      </c>
      <c r="W2151" s="0">
        <f>IF(IF(B2151="none",1,IF(B2151="Trialer",1,0))+IF(C2151="Customer",1,IF(C2151="Lost",1,0))=2,1,0)</f>
      </c>
      <c r="X2151" s="0" t="s">
        <v>148</v>
      </c>
      <c r="Y2151" s="0" t="s">
        <v>499</v>
      </c>
      <c r="AV2151" s="68"/>
      <c r="AW2151" s="68"/>
      <c r="AY2151" s="27"/>
      <c r="BD2151" s="68">
        <v>46054.1666666667</v>
      </c>
      <c r="BE2151" s="68">
        <v>46082.1666666667</v>
      </c>
      <c r="BF2151" s="0" t="b">
        <v>0</v>
      </c>
      <c r="BG2151" s="0" t="b">
        <v>0</v>
      </c>
      <c r="BH2151" s="0">
        <v>207</v>
      </c>
      <c r="BI2151" s="0">
        <v>207</v>
      </c>
      <c r="BJ2151" s="0" t="s">
        <v>135</v>
      </c>
    </row>
    <row r="2152">
      <c r="A2152" s="0" t="s">
        <v>2386</v>
      </c>
      <c r="B2152" s="0" t="s">
        <v>134</v>
      </c>
      <c r="C2152" s="0" t="s">
        <v>134</v>
      </c>
      <c r="D2152" s="0" t="s">
        <v>230</v>
      </c>
      <c r="E2152" s="0" t="s">
        <v>2</v>
      </c>
      <c r="F2152" s="0" t="s">
        <v>12</v>
      </c>
      <c r="G2152" s="0" t="s">
        <v>8</v>
      </c>
      <c r="H2152" s="0">
        <v>885</v>
      </c>
      <c r="I2152" s="0">
        <v>85</v>
      </c>
      <c r="J2152" s="0">
        <v>0</v>
      </c>
      <c r="K2152" s="0">
        <v>1</v>
      </c>
      <c r="L2152" s="0">
        <v>2</v>
      </c>
      <c r="M2152" s="0">
        <v>3</v>
      </c>
      <c r="N2152" s="0">
        <v>0</v>
      </c>
      <c r="O2152" s="0">
        <v>0</v>
      </c>
      <c r="P2152" s="0">
        <v>-85</v>
      </c>
      <c r="R2152" s="0" t="b">
        <v>0</v>
      </c>
      <c r="S2152" s="0" t="b">
        <v>1</v>
      </c>
      <c r="T2152" s="68">
        <v>45168.5123726852</v>
      </c>
      <c r="U2152" s="68">
        <v>45184.3333333333</v>
      </c>
      <c r="V2152" s="68">
        <v>0</v>
      </c>
      <c r="W2152" s="0">
        <f>IF(IF(B2152="none",1,IF(B2152="Trialer",1,0))+IF(C2152="Customer",1,IF(C2152="Lost",1,0))=2,1,0)</f>
      </c>
      <c r="X2152" s="0" t="s">
        <v>166</v>
      </c>
      <c r="Y2152" s="0" t="s">
        <v>499</v>
      </c>
      <c r="AV2152" s="68"/>
      <c r="AW2152" s="68"/>
      <c r="AY2152" s="27"/>
      <c r="BD2152" s="68">
        <v>46054.1666666667</v>
      </c>
      <c r="BE2152" s="68">
        <v>46082.1666666667</v>
      </c>
      <c r="BF2152" s="0" t="b">
        <v>0</v>
      </c>
      <c r="BG2152" s="0" t="b">
        <v>0</v>
      </c>
      <c r="BH2152" s="0">
        <v>96</v>
      </c>
      <c r="BI2152" s="0">
        <v>96</v>
      </c>
      <c r="BJ2152" s="0" t="s">
        <v>230</v>
      </c>
    </row>
    <row r="2153">
      <c r="A2153" s="0" t="s">
        <v>2387</v>
      </c>
      <c r="B2153" s="0" t="s">
        <v>134</v>
      </c>
      <c r="C2153" s="0" t="s">
        <v>134</v>
      </c>
      <c r="D2153" s="0" t="s">
        <v>135</v>
      </c>
      <c r="E2153" s="0" t="s">
        <v>3</v>
      </c>
      <c r="F2153" s="0" t="s">
        <v>10</v>
      </c>
      <c r="G2153" s="0" t="s">
        <v>8</v>
      </c>
      <c r="H2153" s="0">
        <v>883</v>
      </c>
      <c r="I2153" s="0">
        <v>56</v>
      </c>
      <c r="J2153" s="0">
        <v>0</v>
      </c>
      <c r="K2153" s="0">
        <v>1</v>
      </c>
      <c r="L2153" s="0">
        <v>1</v>
      </c>
      <c r="M2153" s="0">
        <v>2</v>
      </c>
      <c r="N2153" s="0">
        <v>0</v>
      </c>
      <c r="O2153" s="0">
        <v>0</v>
      </c>
      <c r="P2153" s="0">
        <v>0</v>
      </c>
      <c r="Q2153" s="0" t="s">
        <v>618</v>
      </c>
      <c r="R2153" s="0" t="b">
        <v>0</v>
      </c>
      <c r="S2153" s="0" t="b">
        <v>1</v>
      </c>
      <c r="T2153" s="68">
        <v>45170.3725347222</v>
      </c>
      <c r="U2153" s="68">
        <v>45214.3333333333</v>
      </c>
      <c r="V2153" s="68">
        <v>0</v>
      </c>
      <c r="W2153" s="0">
        <f>IF(IF(B2153="none",1,IF(B2153="Trialer",1,0))+IF(C2153="Customer",1,IF(C2153="Lost",1,0))=2,1,0)</f>
      </c>
      <c r="X2153" s="0" t="s">
        <v>148</v>
      </c>
      <c r="Y2153" s="0" t="s">
        <v>243</v>
      </c>
      <c r="AV2153" s="68"/>
      <c r="AW2153" s="68"/>
      <c r="AY2153" s="27"/>
      <c r="BD2153" s="68">
        <v>46054.1666666667</v>
      </c>
      <c r="BE2153" s="68">
        <v>46082.1666666667</v>
      </c>
      <c r="BF2153" s="0" t="b">
        <v>0</v>
      </c>
      <c r="BG2153" s="0" t="b">
        <v>0</v>
      </c>
      <c r="BH2153" s="0">
        <v>56</v>
      </c>
      <c r="BI2153" s="0">
        <v>56</v>
      </c>
      <c r="BJ2153" s="0" t="s">
        <v>135</v>
      </c>
    </row>
    <row r="2154">
      <c r="A2154" s="0" t="s">
        <v>2388</v>
      </c>
      <c r="B2154" s="0" t="s">
        <v>134</v>
      </c>
      <c r="C2154" s="0" t="s">
        <v>134</v>
      </c>
      <c r="D2154" s="0" t="s">
        <v>135</v>
      </c>
      <c r="E2154" s="0" t="s">
        <v>3</v>
      </c>
      <c r="F2154" s="0" t="s">
        <v>12</v>
      </c>
      <c r="G2154" s="0" t="s">
        <v>8</v>
      </c>
      <c r="H2154" s="0">
        <v>879</v>
      </c>
      <c r="I2154" s="0">
        <v>40</v>
      </c>
      <c r="J2154" s="0">
        <v>0</v>
      </c>
      <c r="K2154" s="0">
        <v>1</v>
      </c>
      <c r="L2154" s="0">
        <v>2</v>
      </c>
      <c r="M2154" s="0">
        <v>1</v>
      </c>
      <c r="N2154" s="0">
        <v>0</v>
      </c>
      <c r="O2154" s="0">
        <v>0</v>
      </c>
      <c r="P2154" s="0">
        <v>0</v>
      </c>
      <c r="R2154" s="0" t="b">
        <v>0</v>
      </c>
      <c r="S2154" s="0" t="b">
        <v>1</v>
      </c>
      <c r="T2154" s="68">
        <v>45174.4110416667</v>
      </c>
      <c r="U2154" s="68">
        <v>45188.3333333333</v>
      </c>
      <c r="V2154" s="68">
        <v>0</v>
      </c>
      <c r="W2154" s="0">
        <f>IF(IF(B2154="none",1,IF(B2154="Trialer",1,0))+IF(C2154="Customer",1,IF(C2154="Lost",1,0))=2,1,0)</f>
      </c>
      <c r="X2154" s="0" t="s">
        <v>153</v>
      </c>
      <c r="Y2154" s="0" t="s">
        <v>243</v>
      </c>
      <c r="AV2154" s="68"/>
      <c r="AW2154" s="68"/>
      <c r="AY2154" s="27"/>
      <c r="BD2154" s="68">
        <v>46054.1666666667</v>
      </c>
      <c r="BE2154" s="68">
        <v>46082.1666666667</v>
      </c>
      <c r="BF2154" s="0" t="b">
        <v>0</v>
      </c>
      <c r="BG2154" s="0" t="b">
        <v>0</v>
      </c>
      <c r="BH2154" s="0">
        <v>40</v>
      </c>
      <c r="BI2154" s="0">
        <v>40</v>
      </c>
      <c r="BJ2154" s="0" t="s">
        <v>135</v>
      </c>
    </row>
    <row r="2155">
      <c r="A2155" s="0" t="s">
        <v>2389</v>
      </c>
      <c r="B2155" s="0" t="s">
        <v>134</v>
      </c>
      <c r="C2155" s="0" t="s">
        <v>134</v>
      </c>
      <c r="D2155" s="0" t="s">
        <v>135</v>
      </c>
      <c r="E2155" s="0" t="s">
        <v>2</v>
      </c>
      <c r="F2155" s="0" t="s">
        <v>10</v>
      </c>
      <c r="G2155" s="0" t="s">
        <v>8</v>
      </c>
      <c r="H2155" s="0">
        <v>876</v>
      </c>
      <c r="I2155" s="0">
        <v>822</v>
      </c>
      <c r="J2155" s="0">
        <v>0</v>
      </c>
      <c r="K2155" s="0">
        <v>1</v>
      </c>
      <c r="L2155" s="0">
        <v>4</v>
      </c>
      <c r="M2155" s="0">
        <v>18</v>
      </c>
      <c r="N2155" s="0">
        <v>0</v>
      </c>
      <c r="O2155" s="0">
        <v>0</v>
      </c>
      <c r="P2155" s="0">
        <v>0</v>
      </c>
      <c r="Q2155" s="0" t="s">
        <v>1919</v>
      </c>
      <c r="R2155" s="0" t="b">
        <v>0</v>
      </c>
      <c r="S2155" s="0" t="b">
        <v>1</v>
      </c>
      <c r="T2155" s="68">
        <v>45177.4262615741</v>
      </c>
      <c r="U2155" s="68">
        <v>45191.3333333333</v>
      </c>
      <c r="V2155" s="68">
        <v>0</v>
      </c>
      <c r="W2155" s="0">
        <f>IF(IF(B2155="none",1,IF(B2155="Trialer",1,0))+IF(C2155="Customer",1,IF(C2155="Lost",1,0))=2,1,0)</f>
      </c>
      <c r="X2155" s="0" t="s">
        <v>145</v>
      </c>
      <c r="Y2155" s="0" t="s">
        <v>499</v>
      </c>
      <c r="AV2155" s="68"/>
      <c r="AW2155" s="68"/>
      <c r="AY2155" s="27"/>
      <c r="BD2155" s="68">
        <v>46054.1666666667</v>
      </c>
      <c r="BE2155" s="68">
        <v>46082.1666666667</v>
      </c>
      <c r="BF2155" s="0" t="b">
        <v>0</v>
      </c>
      <c r="BG2155" s="0" t="b">
        <v>0</v>
      </c>
      <c r="BH2155" s="0">
        <v>883</v>
      </c>
      <c r="BI2155" s="0">
        <v>883</v>
      </c>
      <c r="BJ2155" s="0" t="s">
        <v>135</v>
      </c>
    </row>
    <row r="2156">
      <c r="A2156" s="0" t="s">
        <v>2390</v>
      </c>
      <c r="B2156" s="0" t="s">
        <v>134</v>
      </c>
      <c r="C2156" s="0" t="s">
        <v>134</v>
      </c>
      <c r="D2156" s="0" t="s">
        <v>135</v>
      </c>
      <c r="E2156" s="0" t="s">
        <v>3</v>
      </c>
      <c r="F2156" s="0" t="s">
        <v>12</v>
      </c>
      <c r="G2156" s="0" t="s">
        <v>8</v>
      </c>
      <c r="H2156" s="0">
        <v>876</v>
      </c>
      <c r="I2156" s="0">
        <v>80</v>
      </c>
      <c r="J2156" s="0">
        <v>0</v>
      </c>
      <c r="K2156" s="0">
        <v>1</v>
      </c>
      <c r="L2156" s="0">
        <v>2</v>
      </c>
      <c r="M2156" s="0">
        <v>2</v>
      </c>
      <c r="N2156" s="0">
        <v>0</v>
      </c>
      <c r="O2156" s="0">
        <v>0</v>
      </c>
      <c r="P2156" s="0">
        <v>0</v>
      </c>
      <c r="R2156" s="0" t="b">
        <v>0</v>
      </c>
      <c r="S2156" s="0" t="b">
        <v>1</v>
      </c>
      <c r="T2156" s="68">
        <v>45177.5486458333</v>
      </c>
      <c r="U2156" s="68">
        <v>45191.3333333333</v>
      </c>
      <c r="V2156" s="68">
        <v>0</v>
      </c>
      <c r="W2156" s="0">
        <f>IF(IF(B2156="none",1,IF(B2156="Trialer",1,0))+IF(C2156="Customer",1,IF(C2156="Lost",1,0))=2,1,0)</f>
      </c>
      <c r="X2156" s="0" t="s">
        <v>166</v>
      </c>
      <c r="Y2156" s="0" t="s">
        <v>243</v>
      </c>
      <c r="AV2156" s="68"/>
      <c r="AW2156" s="68"/>
      <c r="AY2156" s="27"/>
      <c r="BD2156" s="68">
        <v>46054.1666666667</v>
      </c>
      <c r="BE2156" s="68">
        <v>46082.1666666667</v>
      </c>
      <c r="BF2156" s="0" t="b">
        <v>0</v>
      </c>
      <c r="BG2156" s="0" t="b">
        <v>0</v>
      </c>
      <c r="BH2156" s="0">
        <v>80</v>
      </c>
      <c r="BI2156" s="0">
        <v>80</v>
      </c>
      <c r="BJ2156" s="0" t="s">
        <v>135</v>
      </c>
    </row>
    <row r="2157">
      <c r="A2157" s="0" t="s">
        <v>2391</v>
      </c>
      <c r="B2157" s="0" t="s">
        <v>134</v>
      </c>
      <c r="C2157" s="0" t="s">
        <v>134</v>
      </c>
      <c r="D2157" s="0" t="s">
        <v>230</v>
      </c>
      <c r="E2157" s="0" t="s">
        <v>2</v>
      </c>
      <c r="F2157" s="0" t="s">
        <v>12</v>
      </c>
      <c r="G2157" s="0" t="s">
        <v>8</v>
      </c>
      <c r="H2157" s="0">
        <v>873</v>
      </c>
      <c r="I2157" s="0">
        <v>306.9</v>
      </c>
      <c r="J2157" s="0">
        <v>0</v>
      </c>
      <c r="K2157" s="0">
        <v>1</v>
      </c>
      <c r="L2157" s="0">
        <v>6</v>
      </c>
      <c r="M2157" s="0">
        <v>5</v>
      </c>
      <c r="N2157" s="0">
        <v>0</v>
      </c>
      <c r="O2157" s="0">
        <v>0</v>
      </c>
      <c r="P2157" s="0">
        <v>-306.9</v>
      </c>
      <c r="R2157" s="0" t="b">
        <v>0</v>
      </c>
      <c r="S2157" s="0" t="b">
        <v>1</v>
      </c>
      <c r="T2157" s="68">
        <v>45180.5996064815</v>
      </c>
      <c r="U2157" s="68">
        <v>45194.3333333333</v>
      </c>
      <c r="V2157" s="68">
        <v>0</v>
      </c>
      <c r="W2157" s="0">
        <f>IF(IF(B2157="none",1,IF(B2157="Trialer",1,0))+IF(C2157="Customer",1,IF(C2157="Lost",1,0))=2,1,0)</f>
      </c>
      <c r="X2157" s="0" t="s">
        <v>145</v>
      </c>
      <c r="Y2157" s="0" t="s">
        <v>499</v>
      </c>
      <c r="AV2157" s="68"/>
      <c r="AW2157" s="68"/>
      <c r="AY2157" s="27"/>
      <c r="BD2157" s="68">
        <v>46054.1666666667</v>
      </c>
      <c r="BE2157" s="68">
        <v>46082.1666666667</v>
      </c>
      <c r="BF2157" s="0" t="b">
        <v>0</v>
      </c>
      <c r="BG2157" s="0" t="b">
        <v>0</v>
      </c>
      <c r="BH2157" s="0">
        <v>414</v>
      </c>
      <c r="BI2157" s="0">
        <v>414</v>
      </c>
      <c r="BJ2157" s="0" t="s">
        <v>230</v>
      </c>
    </row>
    <row r="2158">
      <c r="A2158" s="0" t="s">
        <v>2392</v>
      </c>
      <c r="B2158" s="0" t="s">
        <v>134</v>
      </c>
      <c r="C2158" s="0" t="s">
        <v>134</v>
      </c>
      <c r="D2158" s="0" t="s">
        <v>135</v>
      </c>
      <c r="E2158" s="0" t="s">
        <v>2</v>
      </c>
      <c r="F2158" s="0" t="s">
        <v>10</v>
      </c>
      <c r="G2158" s="0" t="s">
        <v>8</v>
      </c>
      <c r="H2158" s="0">
        <v>873</v>
      </c>
      <c r="I2158" s="0">
        <v>40</v>
      </c>
      <c r="J2158" s="0">
        <v>0</v>
      </c>
      <c r="K2158" s="0">
        <v>1</v>
      </c>
      <c r="L2158" s="0">
        <v>1</v>
      </c>
      <c r="M2158" s="0">
        <v>0</v>
      </c>
      <c r="N2158" s="0">
        <v>0</v>
      </c>
      <c r="O2158" s="0">
        <v>0</v>
      </c>
      <c r="P2158" s="0">
        <v>0</v>
      </c>
      <c r="Q2158" s="0" t="s">
        <v>266</v>
      </c>
      <c r="R2158" s="0" t="b">
        <v>0</v>
      </c>
      <c r="S2158" s="0" t="b">
        <v>1</v>
      </c>
      <c r="T2158" s="68">
        <v>45180.7381365741</v>
      </c>
      <c r="U2158" s="68">
        <v>45180.3333333333</v>
      </c>
      <c r="V2158" s="68">
        <v>0</v>
      </c>
      <c r="W2158" s="0">
        <f>IF(IF(B2158="none",1,IF(B2158="Trialer",1,0))+IF(C2158="Customer",1,IF(C2158="Lost",1,0))=2,1,0)</f>
      </c>
      <c r="X2158" s="0" t="s">
        <v>148</v>
      </c>
      <c r="Y2158" s="0" t="s">
        <v>137</v>
      </c>
      <c r="AV2158" s="68"/>
      <c r="AW2158" s="68"/>
      <c r="AY2158" s="27"/>
      <c r="BD2158" s="68">
        <v>46054.1666666667</v>
      </c>
      <c r="BE2158" s="68">
        <v>46082.1666666667</v>
      </c>
      <c r="BF2158" s="0" t="b">
        <v>0</v>
      </c>
      <c r="BG2158" s="0" t="b">
        <v>0</v>
      </c>
      <c r="BH2158" s="0">
        <v>40</v>
      </c>
      <c r="BI2158" s="0">
        <v>40</v>
      </c>
      <c r="BJ2158" s="0" t="s">
        <v>135</v>
      </c>
    </row>
    <row r="2159">
      <c r="A2159" s="0" t="s">
        <v>2393</v>
      </c>
      <c r="B2159" s="0" t="s">
        <v>134</v>
      </c>
      <c r="C2159" s="0" t="s">
        <v>134</v>
      </c>
      <c r="D2159" s="0" t="s">
        <v>135</v>
      </c>
      <c r="E2159" s="0" t="s">
        <v>3</v>
      </c>
      <c r="F2159" s="0" t="s">
        <v>12</v>
      </c>
      <c r="G2159" s="0" t="s">
        <v>8</v>
      </c>
      <c r="H2159" s="0">
        <v>873</v>
      </c>
      <c r="I2159" s="0">
        <v>86</v>
      </c>
      <c r="J2159" s="0">
        <v>0</v>
      </c>
      <c r="K2159" s="0">
        <v>1</v>
      </c>
      <c r="L2159" s="0">
        <v>4</v>
      </c>
      <c r="M2159" s="0">
        <v>4</v>
      </c>
      <c r="N2159" s="0">
        <v>0</v>
      </c>
      <c r="O2159" s="0">
        <v>0</v>
      </c>
      <c r="P2159" s="0">
        <v>0</v>
      </c>
      <c r="R2159" s="0" t="b">
        <v>0</v>
      </c>
      <c r="S2159" s="0" t="b">
        <v>1</v>
      </c>
      <c r="T2159" s="68">
        <v>45180.8013888889</v>
      </c>
      <c r="U2159" s="68">
        <v>45196.3333333333</v>
      </c>
      <c r="V2159" s="68">
        <v>0</v>
      </c>
      <c r="W2159" s="0">
        <f>IF(IF(B2159="none",1,IF(B2159="Trialer",1,0))+IF(C2159="Customer",1,IF(C2159="Lost",1,0))=2,1,0)</f>
      </c>
      <c r="X2159" s="0" t="s">
        <v>136</v>
      </c>
      <c r="Y2159" s="0" t="s">
        <v>243</v>
      </c>
      <c r="AV2159" s="68"/>
      <c r="AW2159" s="68"/>
      <c r="AY2159" s="27"/>
      <c r="BD2159" s="68">
        <v>46054.1666666667</v>
      </c>
      <c r="BE2159" s="68">
        <v>46082.1666666667</v>
      </c>
      <c r="BF2159" s="0" t="b">
        <v>0</v>
      </c>
      <c r="BG2159" s="0" t="b">
        <v>0</v>
      </c>
      <c r="BH2159" s="0">
        <v>86</v>
      </c>
      <c r="BI2159" s="0">
        <v>86</v>
      </c>
      <c r="BJ2159" s="0" t="s">
        <v>135</v>
      </c>
    </row>
    <row r="2160">
      <c r="A2160" s="0" t="s">
        <v>2394</v>
      </c>
      <c r="B2160" s="0" t="s">
        <v>134</v>
      </c>
      <c r="C2160" s="0" t="s">
        <v>134</v>
      </c>
      <c r="D2160" s="0" t="s">
        <v>135</v>
      </c>
      <c r="E2160" s="0" t="s">
        <v>3</v>
      </c>
      <c r="F2160" s="0" t="s">
        <v>12</v>
      </c>
      <c r="G2160" s="0" t="s">
        <v>8</v>
      </c>
      <c r="H2160" s="0">
        <v>872</v>
      </c>
      <c r="I2160" s="0">
        <v>0</v>
      </c>
      <c r="J2160" s="0">
        <v>0</v>
      </c>
      <c r="K2160" s="0">
        <v>1</v>
      </c>
      <c r="L2160" s="0">
        <v>3</v>
      </c>
      <c r="M2160" s="0">
        <v>1</v>
      </c>
      <c r="N2160" s="0">
        <v>0</v>
      </c>
      <c r="O2160" s="0">
        <v>0</v>
      </c>
      <c r="P2160" s="0">
        <v>0</v>
      </c>
      <c r="R2160" s="0" t="b">
        <v>0</v>
      </c>
      <c r="S2160" s="0" t="b">
        <v>1</v>
      </c>
      <c r="T2160" s="68">
        <v>45181.6354166667</v>
      </c>
      <c r="U2160" s="68">
        <v>45195.5</v>
      </c>
      <c r="V2160" s="68">
        <v>0</v>
      </c>
      <c r="W2160" s="0">
        <f>IF(IF(B2160="none",1,IF(B2160="Trialer",1,0))+IF(C2160="Customer",1,IF(C2160="Lost",1,0))=2,1,0)</f>
      </c>
      <c r="X2160" s="0" t="s">
        <v>136</v>
      </c>
      <c r="Y2160" s="0" t="s">
        <v>243</v>
      </c>
      <c r="AV2160" s="68"/>
      <c r="AW2160" s="68"/>
      <c r="AY2160" s="27"/>
      <c r="BD2160" s="68">
        <v>46054.1666666667</v>
      </c>
      <c r="BE2160" s="68">
        <v>46082.1666666667</v>
      </c>
      <c r="BF2160" s="0" t="b">
        <v>0</v>
      </c>
      <c r="BG2160" s="0" t="b">
        <v>0</v>
      </c>
      <c r="BH2160" s="0">
        <v>0</v>
      </c>
      <c r="BI2160" s="0">
        <v>0</v>
      </c>
      <c r="BJ2160" s="0" t="s">
        <v>135</v>
      </c>
    </row>
    <row r="2161">
      <c r="A2161" s="0" t="s">
        <v>2395</v>
      </c>
      <c r="B2161" s="0" t="s">
        <v>134</v>
      </c>
      <c r="C2161" s="0" t="s">
        <v>134</v>
      </c>
      <c r="D2161" s="0" t="s">
        <v>230</v>
      </c>
      <c r="E2161" s="0" t="s">
        <v>3</v>
      </c>
      <c r="F2161" s="0" t="s">
        <v>12</v>
      </c>
      <c r="G2161" s="0" t="s">
        <v>8</v>
      </c>
      <c r="H2161" s="0">
        <v>871</v>
      </c>
      <c r="I2161" s="0">
        <v>108</v>
      </c>
      <c r="J2161" s="0">
        <v>0</v>
      </c>
      <c r="K2161" s="0">
        <v>1</v>
      </c>
      <c r="L2161" s="0">
        <v>4</v>
      </c>
      <c r="M2161" s="0">
        <v>2</v>
      </c>
      <c r="N2161" s="0">
        <v>0</v>
      </c>
      <c r="O2161" s="0">
        <v>0</v>
      </c>
      <c r="P2161" s="0">
        <v>-108</v>
      </c>
      <c r="R2161" s="0" t="b">
        <v>0</v>
      </c>
      <c r="S2161" s="0" t="b">
        <v>1</v>
      </c>
      <c r="T2161" s="68">
        <v>45182.5576157407</v>
      </c>
      <c r="U2161" s="68">
        <v>45211.3333333333</v>
      </c>
      <c r="V2161" s="68">
        <v>0</v>
      </c>
      <c r="W2161" s="0">
        <f>IF(IF(B2161="none",1,IF(B2161="Trialer",1,0))+IF(C2161="Customer",1,IF(C2161="Lost",1,0))=2,1,0)</f>
      </c>
      <c r="X2161" s="0" t="s">
        <v>142</v>
      </c>
      <c r="Y2161" s="0" t="s">
        <v>243</v>
      </c>
      <c r="AV2161" s="68"/>
      <c r="AW2161" s="68"/>
      <c r="AY2161" s="27"/>
      <c r="BD2161" s="68">
        <v>46054.1666666667</v>
      </c>
      <c r="BE2161" s="68">
        <v>46082.1666666667</v>
      </c>
      <c r="BF2161" s="0" t="b">
        <v>0</v>
      </c>
      <c r="BG2161" s="0" t="b">
        <v>0</v>
      </c>
      <c r="BH2161" s="0">
        <v>122</v>
      </c>
      <c r="BI2161" s="0">
        <v>122</v>
      </c>
      <c r="BJ2161" s="0" t="s">
        <v>230</v>
      </c>
    </row>
    <row r="2162">
      <c r="A2162" s="0" t="s">
        <v>2396</v>
      </c>
      <c r="B2162" s="0" t="s">
        <v>134</v>
      </c>
      <c r="C2162" s="0" t="s">
        <v>134</v>
      </c>
      <c r="D2162" s="0" t="s">
        <v>230</v>
      </c>
      <c r="E2162" s="0" t="s">
        <v>3</v>
      </c>
      <c r="F2162" s="0" t="s">
        <v>12</v>
      </c>
      <c r="G2162" s="0" t="s">
        <v>8</v>
      </c>
      <c r="H2162" s="0">
        <v>870</v>
      </c>
      <c r="I2162" s="0">
        <v>59</v>
      </c>
      <c r="J2162" s="0">
        <v>0</v>
      </c>
      <c r="K2162" s="0">
        <v>1</v>
      </c>
      <c r="L2162" s="0">
        <v>3</v>
      </c>
      <c r="M2162" s="0">
        <v>2</v>
      </c>
      <c r="N2162" s="0">
        <v>0</v>
      </c>
      <c r="O2162" s="0">
        <v>0</v>
      </c>
      <c r="P2162" s="0">
        <v>-59</v>
      </c>
      <c r="R2162" s="0" t="b">
        <v>0</v>
      </c>
      <c r="S2162" s="0" t="b">
        <v>1</v>
      </c>
      <c r="T2162" s="68">
        <v>45183.0197685185</v>
      </c>
      <c r="U2162" s="68">
        <v>45197.3333333333</v>
      </c>
      <c r="V2162" s="68">
        <v>0</v>
      </c>
      <c r="W2162" s="0">
        <f>IF(IF(B2162="none",1,IF(B2162="Trialer",1,0))+IF(C2162="Customer",1,IF(C2162="Lost",1,0))=2,1,0)</f>
      </c>
      <c r="X2162" s="0" t="s">
        <v>142</v>
      </c>
      <c r="Y2162" s="0" t="s">
        <v>243</v>
      </c>
      <c r="AV2162" s="68"/>
      <c r="AW2162" s="68"/>
      <c r="AY2162" s="27"/>
      <c r="BD2162" s="68">
        <v>46054.1666666667</v>
      </c>
      <c r="BE2162" s="68">
        <v>46082.1666666667</v>
      </c>
      <c r="BF2162" s="0" t="b">
        <v>0</v>
      </c>
      <c r="BG2162" s="0" t="b">
        <v>0</v>
      </c>
      <c r="BH2162" s="0">
        <v>67</v>
      </c>
      <c r="BI2162" s="0">
        <v>67</v>
      </c>
      <c r="BJ2162" s="0" t="s">
        <v>230</v>
      </c>
    </row>
    <row r="2163">
      <c r="A2163" s="0" t="s">
        <v>2397</v>
      </c>
      <c r="B2163" s="0" t="s">
        <v>134</v>
      </c>
      <c r="C2163" s="0" t="s">
        <v>134</v>
      </c>
      <c r="D2163" s="0" t="s">
        <v>135</v>
      </c>
      <c r="E2163" s="0" t="s">
        <v>3</v>
      </c>
      <c r="F2163" s="0" t="s">
        <v>12</v>
      </c>
      <c r="G2163" s="0" t="s">
        <v>8</v>
      </c>
      <c r="H2163" s="0">
        <v>870</v>
      </c>
      <c r="I2163" s="0">
        <v>56</v>
      </c>
      <c r="J2163" s="0">
        <v>0</v>
      </c>
      <c r="K2163" s="0">
        <v>1</v>
      </c>
      <c r="L2163" s="0">
        <v>1</v>
      </c>
      <c r="M2163" s="0">
        <v>2</v>
      </c>
      <c r="N2163" s="0">
        <v>0</v>
      </c>
      <c r="O2163" s="0">
        <v>0</v>
      </c>
      <c r="P2163" s="0">
        <v>0</v>
      </c>
      <c r="R2163" s="0" t="b">
        <v>0</v>
      </c>
      <c r="S2163" s="0" t="b">
        <v>1</v>
      </c>
      <c r="T2163" s="68">
        <v>45183.7067708333</v>
      </c>
      <c r="U2163" s="68">
        <v>45197.3333333333</v>
      </c>
      <c r="V2163" s="68">
        <v>0</v>
      </c>
      <c r="W2163" s="0">
        <f>IF(IF(B2163="none",1,IF(B2163="Trialer",1,0))+IF(C2163="Customer",1,IF(C2163="Lost",1,0))=2,1,0)</f>
      </c>
      <c r="X2163" s="0" t="s">
        <v>166</v>
      </c>
      <c r="Y2163" s="0" t="s">
        <v>243</v>
      </c>
      <c r="AV2163" s="68"/>
      <c r="AW2163" s="68"/>
      <c r="AY2163" s="27"/>
      <c r="BD2163" s="68">
        <v>46054.1666666667</v>
      </c>
      <c r="BE2163" s="68">
        <v>46082.1666666667</v>
      </c>
      <c r="BF2163" s="0" t="b">
        <v>0</v>
      </c>
      <c r="BG2163" s="0" t="b">
        <v>0</v>
      </c>
      <c r="BH2163" s="0">
        <v>56</v>
      </c>
      <c r="BI2163" s="0">
        <v>56</v>
      </c>
      <c r="BJ2163" s="0" t="s">
        <v>135</v>
      </c>
    </row>
    <row r="2164">
      <c r="A2164" s="0" t="s">
        <v>2398</v>
      </c>
      <c r="B2164" s="0" t="s">
        <v>134</v>
      </c>
      <c r="C2164" s="0" t="s">
        <v>134</v>
      </c>
      <c r="D2164" s="0" t="s">
        <v>135</v>
      </c>
      <c r="E2164" s="0" t="s">
        <v>3</v>
      </c>
      <c r="F2164" s="0" t="s">
        <v>12</v>
      </c>
      <c r="G2164" s="0" t="s">
        <v>8</v>
      </c>
      <c r="H2164" s="0">
        <v>869</v>
      </c>
      <c r="I2164" s="0">
        <v>49</v>
      </c>
      <c r="J2164" s="0">
        <v>0</v>
      </c>
      <c r="K2164" s="0">
        <v>1</v>
      </c>
      <c r="L2164" s="0">
        <v>3</v>
      </c>
      <c r="M2164" s="0">
        <v>1</v>
      </c>
      <c r="N2164" s="0">
        <v>0</v>
      </c>
      <c r="O2164" s="0">
        <v>0</v>
      </c>
      <c r="P2164" s="0">
        <v>0</v>
      </c>
      <c r="R2164" s="0" t="b">
        <v>0</v>
      </c>
      <c r="S2164" s="0" t="b">
        <v>1</v>
      </c>
      <c r="T2164" s="68">
        <v>45184.8228009259</v>
      </c>
      <c r="U2164" s="68">
        <v>45198.3333333333</v>
      </c>
      <c r="V2164" s="68">
        <v>0</v>
      </c>
      <c r="W2164" s="0">
        <f>IF(IF(B2164="none",1,IF(B2164="Trialer",1,0))+IF(C2164="Customer",1,IF(C2164="Lost",1,0))=2,1,0)</f>
      </c>
      <c r="X2164" s="0" t="s">
        <v>153</v>
      </c>
      <c r="Y2164" s="0" t="s">
        <v>243</v>
      </c>
      <c r="AV2164" s="68"/>
      <c r="AW2164" s="68"/>
      <c r="AY2164" s="27"/>
      <c r="BD2164" s="68">
        <v>46054.1666666667</v>
      </c>
      <c r="BE2164" s="68">
        <v>46082.1666666667</v>
      </c>
      <c r="BF2164" s="0" t="b">
        <v>0</v>
      </c>
      <c r="BG2164" s="0" t="b">
        <v>0</v>
      </c>
      <c r="BH2164" s="0">
        <v>49</v>
      </c>
      <c r="BI2164" s="0">
        <v>49</v>
      </c>
      <c r="BJ2164" s="0" t="s">
        <v>135</v>
      </c>
    </row>
    <row r="2165">
      <c r="A2165" s="0" t="s">
        <v>2399</v>
      </c>
      <c r="B2165" s="0" t="s">
        <v>134</v>
      </c>
      <c r="C2165" s="0" t="s">
        <v>134</v>
      </c>
      <c r="D2165" s="0" t="s">
        <v>135</v>
      </c>
      <c r="E2165" s="0" t="s">
        <v>3</v>
      </c>
      <c r="F2165" s="0" t="s">
        <v>12</v>
      </c>
      <c r="G2165" s="0" t="s">
        <v>8</v>
      </c>
      <c r="H2165" s="0">
        <v>866</v>
      </c>
      <c r="I2165" s="0">
        <v>507</v>
      </c>
      <c r="J2165" s="0">
        <v>0</v>
      </c>
      <c r="K2165" s="0">
        <v>1</v>
      </c>
      <c r="L2165" s="0">
        <v>4</v>
      </c>
      <c r="M2165" s="0">
        <v>13</v>
      </c>
      <c r="N2165" s="0">
        <v>0</v>
      </c>
      <c r="O2165" s="0">
        <v>0</v>
      </c>
      <c r="P2165" s="0">
        <v>0</v>
      </c>
      <c r="R2165" s="0" t="b">
        <v>0</v>
      </c>
      <c r="S2165" s="0" t="b">
        <v>1</v>
      </c>
      <c r="T2165" s="68">
        <v>45187.4847222222</v>
      </c>
      <c r="U2165" s="68">
        <v>45201.5</v>
      </c>
      <c r="V2165" s="68">
        <v>0</v>
      </c>
      <c r="W2165" s="0">
        <f>IF(IF(B2165="none",1,IF(B2165="Trialer",1,0))+IF(C2165="Customer",1,IF(C2165="Lost",1,0))=2,1,0)</f>
      </c>
      <c r="X2165" s="0" t="s">
        <v>145</v>
      </c>
      <c r="Y2165" s="0" t="s">
        <v>243</v>
      </c>
      <c r="AV2165" s="68"/>
      <c r="AW2165" s="68"/>
      <c r="AY2165" s="27"/>
      <c r="BD2165" s="68">
        <v>46054.1666666667</v>
      </c>
      <c r="BE2165" s="68">
        <v>46082.1666666667</v>
      </c>
      <c r="BF2165" s="0" t="b">
        <v>0</v>
      </c>
      <c r="BG2165" s="0" t="b">
        <v>0</v>
      </c>
      <c r="BH2165" s="0">
        <v>489</v>
      </c>
      <c r="BI2165" s="0">
        <v>489</v>
      </c>
      <c r="BJ2165" s="0" t="s">
        <v>135</v>
      </c>
    </row>
    <row r="2166">
      <c r="A2166" s="0" t="s">
        <v>2400</v>
      </c>
      <c r="B2166" s="0" t="s">
        <v>134</v>
      </c>
      <c r="C2166" s="0" t="s">
        <v>134</v>
      </c>
      <c r="D2166" s="0" t="s">
        <v>230</v>
      </c>
      <c r="E2166" s="0" t="s">
        <v>3</v>
      </c>
      <c r="F2166" s="0" t="s">
        <v>12</v>
      </c>
      <c r="G2166" s="0" t="s">
        <v>8</v>
      </c>
      <c r="H2166" s="0">
        <v>866</v>
      </c>
      <c r="I2166" s="0">
        <v>113.4</v>
      </c>
      <c r="J2166" s="0">
        <v>0</v>
      </c>
      <c r="K2166" s="0">
        <v>1</v>
      </c>
      <c r="L2166" s="0">
        <v>3</v>
      </c>
      <c r="M2166" s="0">
        <v>3</v>
      </c>
      <c r="N2166" s="0">
        <v>0</v>
      </c>
      <c r="O2166" s="0">
        <v>0</v>
      </c>
      <c r="P2166" s="0">
        <v>-113.4</v>
      </c>
      <c r="R2166" s="0" t="b">
        <v>0</v>
      </c>
      <c r="S2166" s="0" t="b">
        <v>1</v>
      </c>
      <c r="T2166" s="68">
        <v>45187.8143171296</v>
      </c>
      <c r="U2166" s="68">
        <v>45201.3333333333</v>
      </c>
      <c r="V2166" s="68">
        <v>0</v>
      </c>
      <c r="W2166" s="0">
        <f>IF(IF(B2166="none",1,IF(B2166="Trialer",1,0))+IF(C2166="Customer",1,IF(C2166="Lost",1,0))=2,1,0)</f>
      </c>
      <c r="X2166" s="0" t="s">
        <v>153</v>
      </c>
      <c r="Y2166" s="0" t="s">
        <v>243</v>
      </c>
      <c r="AV2166" s="68"/>
      <c r="AW2166" s="68"/>
      <c r="AY2166" s="27"/>
      <c r="BD2166" s="68">
        <v>46054.1666666667</v>
      </c>
      <c r="BE2166" s="68">
        <v>46082.1666666667</v>
      </c>
      <c r="BF2166" s="0" t="b">
        <v>0</v>
      </c>
      <c r="BG2166" s="0" t="b">
        <v>0</v>
      </c>
      <c r="BH2166" s="0">
        <v>126</v>
      </c>
      <c r="BI2166" s="0">
        <v>126</v>
      </c>
      <c r="BJ2166" s="0" t="s">
        <v>230</v>
      </c>
    </row>
    <row r="2167">
      <c r="A2167" s="0" t="s">
        <v>2401</v>
      </c>
      <c r="B2167" s="0" t="s">
        <v>134</v>
      </c>
      <c r="C2167" s="0" t="s">
        <v>134</v>
      </c>
      <c r="D2167" s="0" t="s">
        <v>135</v>
      </c>
      <c r="E2167" s="0" t="s">
        <v>3</v>
      </c>
      <c r="F2167" s="0" t="s">
        <v>12</v>
      </c>
      <c r="G2167" s="0" t="s">
        <v>8</v>
      </c>
      <c r="H2167" s="0">
        <v>866</v>
      </c>
      <c r="I2167" s="0">
        <v>85</v>
      </c>
      <c r="J2167" s="0">
        <v>0</v>
      </c>
      <c r="K2167" s="0">
        <v>1</v>
      </c>
      <c r="L2167" s="0">
        <v>6</v>
      </c>
      <c r="M2167" s="0">
        <v>1</v>
      </c>
      <c r="N2167" s="0">
        <v>0</v>
      </c>
      <c r="O2167" s="0">
        <v>0</v>
      </c>
      <c r="P2167" s="0">
        <v>0</v>
      </c>
      <c r="R2167" s="0" t="b">
        <v>0</v>
      </c>
      <c r="S2167" s="0" t="b">
        <v>1</v>
      </c>
      <c r="T2167" s="68">
        <v>45187.9150231481</v>
      </c>
      <c r="U2167" s="68">
        <v>45217.3333333333</v>
      </c>
      <c r="V2167" s="68">
        <v>0</v>
      </c>
      <c r="W2167" s="0">
        <f>IF(IF(B2167="none",1,IF(B2167="Trialer",1,0))+IF(C2167="Customer",1,IF(C2167="Lost",1,0))=2,1,0)</f>
      </c>
      <c r="X2167" s="0" t="s">
        <v>142</v>
      </c>
      <c r="Y2167" s="0" t="s">
        <v>243</v>
      </c>
      <c r="AV2167" s="68"/>
      <c r="AW2167" s="68"/>
      <c r="AY2167" s="27"/>
      <c r="BD2167" s="68">
        <v>46054.1666666667</v>
      </c>
      <c r="BE2167" s="68">
        <v>46082.1666666667</v>
      </c>
      <c r="BF2167" s="0" t="b">
        <v>0</v>
      </c>
      <c r="BG2167" s="0" t="b">
        <v>0</v>
      </c>
      <c r="BH2167" s="0">
        <v>85</v>
      </c>
      <c r="BI2167" s="0">
        <v>85</v>
      </c>
      <c r="BJ2167" s="0" t="s">
        <v>135</v>
      </c>
    </row>
    <row r="2168">
      <c r="A2168" s="0" t="s">
        <v>2402</v>
      </c>
      <c r="B2168" s="0" t="s">
        <v>134</v>
      </c>
      <c r="C2168" s="0" t="s">
        <v>134</v>
      </c>
      <c r="D2168" s="0" t="s">
        <v>230</v>
      </c>
      <c r="E2168" s="0" t="s">
        <v>3</v>
      </c>
      <c r="F2168" s="0" t="s">
        <v>12</v>
      </c>
      <c r="G2168" s="0" t="s">
        <v>8</v>
      </c>
      <c r="H2168" s="0">
        <v>865</v>
      </c>
      <c r="I2168" s="0">
        <v>219</v>
      </c>
      <c r="J2168" s="0">
        <v>0</v>
      </c>
      <c r="K2168" s="0">
        <v>1</v>
      </c>
      <c r="L2168" s="0">
        <v>5</v>
      </c>
      <c r="M2168" s="0">
        <v>3</v>
      </c>
      <c r="N2168" s="0">
        <v>0</v>
      </c>
      <c r="O2168" s="0">
        <v>0</v>
      </c>
      <c r="P2168" s="0">
        <v>-128</v>
      </c>
      <c r="R2168" s="0" t="b">
        <v>0</v>
      </c>
      <c r="S2168" s="0" t="b">
        <v>1</v>
      </c>
      <c r="T2168" s="68">
        <v>45188.7125810185</v>
      </c>
      <c r="U2168" s="68">
        <v>45202.3333333333</v>
      </c>
      <c r="V2168" s="68">
        <v>0</v>
      </c>
      <c r="W2168" s="0">
        <f>IF(IF(B2168="none",1,IF(B2168="Trialer",1,0))+IF(C2168="Customer",1,IF(C2168="Lost",1,0))=2,1,0)</f>
      </c>
      <c r="X2168" s="0" t="s">
        <v>153</v>
      </c>
      <c r="Y2168" s="0" t="s">
        <v>1792</v>
      </c>
      <c r="AV2168" s="68"/>
      <c r="AW2168" s="68"/>
      <c r="AY2168" s="27"/>
      <c r="BD2168" s="68">
        <v>46054.1666666667</v>
      </c>
      <c r="BE2168" s="68">
        <v>46082.1666666667</v>
      </c>
      <c r="BF2168" s="0" t="b">
        <v>0</v>
      </c>
      <c r="BG2168" s="0" t="b">
        <v>0</v>
      </c>
      <c r="BH2168" s="0">
        <v>219</v>
      </c>
      <c r="BI2168" s="0">
        <v>219</v>
      </c>
      <c r="BJ2168" s="0" t="s">
        <v>230</v>
      </c>
    </row>
    <row r="2169">
      <c r="A2169" s="0" t="s">
        <v>2403</v>
      </c>
      <c r="B2169" s="0" t="s">
        <v>134</v>
      </c>
      <c r="C2169" s="0" t="s">
        <v>134</v>
      </c>
      <c r="D2169" s="0" t="s">
        <v>230</v>
      </c>
      <c r="E2169" s="0" t="s">
        <v>3</v>
      </c>
      <c r="F2169" s="0" t="s">
        <v>12</v>
      </c>
      <c r="G2169" s="0" t="s">
        <v>8</v>
      </c>
      <c r="H2169" s="0">
        <v>864</v>
      </c>
      <c r="I2169" s="0">
        <v>110</v>
      </c>
      <c r="J2169" s="0">
        <v>0</v>
      </c>
      <c r="K2169" s="0">
        <v>1</v>
      </c>
      <c r="L2169" s="0">
        <v>2</v>
      </c>
      <c r="M2169" s="0">
        <v>4</v>
      </c>
      <c r="N2169" s="0">
        <v>0</v>
      </c>
      <c r="O2169" s="0">
        <v>0</v>
      </c>
      <c r="P2169" s="0">
        <v>-110</v>
      </c>
      <c r="R2169" s="0" t="b">
        <v>0</v>
      </c>
      <c r="S2169" s="0" t="b">
        <v>1</v>
      </c>
      <c r="T2169" s="68">
        <v>45189.3829282407</v>
      </c>
      <c r="U2169" s="68">
        <v>45203.3333333333</v>
      </c>
      <c r="V2169" s="68">
        <v>0</v>
      </c>
      <c r="W2169" s="0">
        <f>IF(IF(B2169="none",1,IF(B2169="Trialer",1,0))+IF(C2169="Customer",1,IF(C2169="Lost",1,0))=2,1,0)</f>
      </c>
      <c r="X2169" s="0" t="s">
        <v>145</v>
      </c>
      <c r="Y2169" s="0" t="s">
        <v>243</v>
      </c>
      <c r="AV2169" s="68"/>
      <c r="AW2169" s="68"/>
      <c r="AY2169" s="27"/>
      <c r="BD2169" s="68">
        <v>46054.1666666667</v>
      </c>
      <c r="BE2169" s="68">
        <v>46082.1666666667</v>
      </c>
      <c r="BF2169" s="0" t="b">
        <v>0</v>
      </c>
      <c r="BG2169" s="0" t="b">
        <v>0</v>
      </c>
      <c r="BH2169" s="0">
        <v>152</v>
      </c>
      <c r="BI2169" s="0">
        <v>152</v>
      </c>
      <c r="BJ2169" s="0" t="s">
        <v>230</v>
      </c>
    </row>
    <row r="2170">
      <c r="A2170" s="0" t="s">
        <v>2404</v>
      </c>
      <c r="B2170" s="0" t="s">
        <v>134</v>
      </c>
      <c r="C2170" s="0" t="s">
        <v>134</v>
      </c>
      <c r="D2170" s="0" t="s">
        <v>135</v>
      </c>
      <c r="E2170" s="0" t="s">
        <v>3</v>
      </c>
      <c r="F2170" s="0" t="s">
        <v>10</v>
      </c>
      <c r="G2170" s="0" t="s">
        <v>8</v>
      </c>
      <c r="H2170" s="0">
        <v>864</v>
      </c>
      <c r="I2170" s="0">
        <v>56</v>
      </c>
      <c r="J2170" s="0">
        <v>0</v>
      </c>
      <c r="K2170" s="0">
        <v>1</v>
      </c>
      <c r="L2170" s="0">
        <v>1</v>
      </c>
      <c r="M2170" s="0">
        <v>2</v>
      </c>
      <c r="N2170" s="0">
        <v>0</v>
      </c>
      <c r="O2170" s="0">
        <v>0</v>
      </c>
      <c r="P2170" s="0">
        <v>0</v>
      </c>
      <c r="Q2170" s="0" t="s">
        <v>618</v>
      </c>
      <c r="R2170" s="0" t="b">
        <v>0</v>
      </c>
      <c r="S2170" s="0" t="b">
        <v>1</v>
      </c>
      <c r="T2170" s="68">
        <v>45189.5227199074</v>
      </c>
      <c r="U2170" s="68">
        <v>45203.3333333333</v>
      </c>
      <c r="V2170" s="68">
        <v>0</v>
      </c>
      <c r="W2170" s="0">
        <f>IF(IF(B2170="none",1,IF(B2170="Trialer",1,0))+IF(C2170="Customer",1,IF(C2170="Lost",1,0))=2,1,0)</f>
      </c>
      <c r="X2170" s="0" t="s">
        <v>148</v>
      </c>
      <c r="Y2170" s="0" t="s">
        <v>243</v>
      </c>
      <c r="AV2170" s="68"/>
      <c r="AW2170" s="68"/>
      <c r="AY2170" s="27"/>
      <c r="BD2170" s="68">
        <v>46054.1666666667</v>
      </c>
      <c r="BE2170" s="68">
        <v>46082.1666666667</v>
      </c>
      <c r="BF2170" s="0" t="b">
        <v>0</v>
      </c>
      <c r="BG2170" s="0" t="b">
        <v>0</v>
      </c>
      <c r="BH2170" s="0">
        <v>56</v>
      </c>
      <c r="BI2170" s="0">
        <v>56</v>
      </c>
      <c r="BJ2170" s="0" t="s">
        <v>135</v>
      </c>
    </row>
    <row r="2171">
      <c r="A2171" s="0" t="s">
        <v>2405</v>
      </c>
      <c r="B2171" s="0" t="s">
        <v>134</v>
      </c>
      <c r="C2171" s="0" t="s">
        <v>134</v>
      </c>
      <c r="D2171" s="0" t="s">
        <v>230</v>
      </c>
      <c r="E2171" s="0" t="s">
        <v>3</v>
      </c>
      <c r="F2171" s="0" t="s">
        <v>12</v>
      </c>
      <c r="G2171" s="0" t="s">
        <v>8</v>
      </c>
      <c r="H2171" s="0">
        <v>864</v>
      </c>
      <c r="I2171" s="0">
        <v>220.5</v>
      </c>
      <c r="J2171" s="0">
        <v>0</v>
      </c>
      <c r="K2171" s="0">
        <v>1</v>
      </c>
      <c r="L2171" s="0">
        <v>3</v>
      </c>
      <c r="M2171" s="0">
        <v>5</v>
      </c>
      <c r="N2171" s="0">
        <v>0</v>
      </c>
      <c r="O2171" s="0">
        <v>0</v>
      </c>
      <c r="P2171" s="0">
        <v>-220.5</v>
      </c>
      <c r="R2171" s="0" t="b">
        <v>0</v>
      </c>
      <c r="S2171" s="0" t="b">
        <v>1</v>
      </c>
      <c r="T2171" s="68">
        <v>45189.5537152778</v>
      </c>
      <c r="U2171" s="68">
        <v>45204.3333333333</v>
      </c>
      <c r="V2171" s="68">
        <v>0</v>
      </c>
      <c r="W2171" s="0">
        <f>IF(IF(B2171="none",1,IF(B2171="Trialer",1,0))+IF(C2171="Customer",1,IF(C2171="Lost",1,0))=2,1,0)</f>
      </c>
      <c r="X2171" s="0" t="s">
        <v>882</v>
      </c>
      <c r="Y2171" s="0" t="s">
        <v>243</v>
      </c>
      <c r="AV2171" s="68"/>
      <c r="AW2171" s="68"/>
      <c r="AY2171" s="27"/>
      <c r="BD2171" s="68">
        <v>46054.1666666667</v>
      </c>
      <c r="BE2171" s="68">
        <v>46082.1666666667</v>
      </c>
      <c r="BF2171" s="0" t="b">
        <v>0</v>
      </c>
      <c r="BG2171" s="0" t="b">
        <v>0</v>
      </c>
      <c r="BH2171" s="0">
        <v>245</v>
      </c>
      <c r="BI2171" s="0">
        <v>245</v>
      </c>
      <c r="BJ2171" s="0" t="s">
        <v>230</v>
      </c>
    </row>
    <row r="2172">
      <c r="A2172" s="0" t="s">
        <v>2406</v>
      </c>
      <c r="B2172" s="0" t="s">
        <v>134</v>
      </c>
      <c r="C2172" s="0" t="s">
        <v>134</v>
      </c>
      <c r="D2172" s="0" t="s">
        <v>135</v>
      </c>
      <c r="E2172" s="0" t="s">
        <v>3</v>
      </c>
      <c r="F2172" s="0" t="s">
        <v>12</v>
      </c>
      <c r="G2172" s="0" t="s">
        <v>8</v>
      </c>
      <c r="H2172" s="0">
        <v>864</v>
      </c>
      <c r="I2172" s="0">
        <v>0</v>
      </c>
      <c r="J2172" s="0">
        <v>0</v>
      </c>
      <c r="K2172" s="0">
        <v>1</v>
      </c>
      <c r="L2172" s="0">
        <v>5</v>
      </c>
      <c r="M2172" s="0">
        <v>1</v>
      </c>
      <c r="N2172" s="0">
        <v>0</v>
      </c>
      <c r="O2172" s="0">
        <v>0</v>
      </c>
      <c r="P2172" s="0">
        <v>0</v>
      </c>
      <c r="R2172" s="0" t="b">
        <v>0</v>
      </c>
      <c r="S2172" s="0" t="b">
        <v>1</v>
      </c>
      <c r="T2172" s="68">
        <v>45189.6468055556</v>
      </c>
      <c r="U2172" s="68">
        <v>45203.3333333333</v>
      </c>
      <c r="V2172" s="68">
        <v>0</v>
      </c>
      <c r="W2172" s="0">
        <f>IF(IF(B2172="none",1,IF(B2172="Trialer",1,0))+IF(C2172="Customer",1,IF(C2172="Lost",1,0))=2,1,0)</f>
      </c>
      <c r="X2172" s="0" t="s">
        <v>145</v>
      </c>
      <c r="Y2172" s="0" t="s">
        <v>243</v>
      </c>
      <c r="AV2172" s="68"/>
      <c r="AW2172" s="68"/>
      <c r="AY2172" s="27"/>
      <c r="BD2172" s="68">
        <v>46054.1666666667</v>
      </c>
      <c r="BE2172" s="68">
        <v>46082.1666666667</v>
      </c>
      <c r="BF2172" s="0" t="b">
        <v>0</v>
      </c>
      <c r="BG2172" s="0" t="b">
        <v>0</v>
      </c>
      <c r="BH2172" s="0">
        <v>0</v>
      </c>
      <c r="BI2172" s="0">
        <v>0</v>
      </c>
      <c r="BJ2172" s="0" t="s">
        <v>230</v>
      </c>
    </row>
    <row r="2173">
      <c r="A2173" s="0" t="s">
        <v>2407</v>
      </c>
      <c r="B2173" s="0" t="s">
        <v>134</v>
      </c>
      <c r="C2173" s="0" t="s">
        <v>134</v>
      </c>
      <c r="D2173" s="0" t="s">
        <v>135</v>
      </c>
      <c r="E2173" s="0" t="s">
        <v>2</v>
      </c>
      <c r="F2173" s="0" t="s">
        <v>12</v>
      </c>
      <c r="G2173" s="0" t="s">
        <v>8</v>
      </c>
      <c r="H2173" s="0">
        <v>863</v>
      </c>
      <c r="I2173" s="0">
        <v>273</v>
      </c>
      <c r="J2173" s="0">
        <v>0</v>
      </c>
      <c r="K2173" s="0">
        <v>1</v>
      </c>
      <c r="L2173" s="0">
        <v>4</v>
      </c>
      <c r="M2173" s="0">
        <v>6</v>
      </c>
      <c r="N2173" s="0">
        <v>0</v>
      </c>
      <c r="O2173" s="0">
        <v>0</v>
      </c>
      <c r="P2173" s="0">
        <v>0</v>
      </c>
      <c r="R2173" s="0" t="b">
        <v>0</v>
      </c>
      <c r="S2173" s="0" t="b">
        <v>1</v>
      </c>
      <c r="T2173" s="68">
        <v>45190.5963194444</v>
      </c>
      <c r="U2173" s="68">
        <v>45204.3333333333</v>
      </c>
      <c r="V2173" s="68">
        <v>0</v>
      </c>
      <c r="W2173" s="0">
        <f>IF(IF(B2173="none",1,IF(B2173="Trialer",1,0))+IF(C2173="Customer",1,IF(C2173="Lost",1,0))=2,1,0)</f>
      </c>
      <c r="X2173" s="0" t="s">
        <v>148</v>
      </c>
      <c r="Y2173" s="0" t="s">
        <v>499</v>
      </c>
      <c r="AV2173" s="68"/>
      <c r="AW2173" s="68"/>
      <c r="AY2173" s="27"/>
      <c r="BD2173" s="68">
        <v>46054.1666666667</v>
      </c>
      <c r="BE2173" s="68">
        <v>46082.1666666667</v>
      </c>
      <c r="BF2173" s="0" t="b">
        <v>0</v>
      </c>
      <c r="BG2173" s="0" t="b">
        <v>0</v>
      </c>
      <c r="BH2173" s="0">
        <v>273</v>
      </c>
      <c r="BI2173" s="0">
        <v>273</v>
      </c>
      <c r="BJ2173" s="0" t="s">
        <v>135</v>
      </c>
    </row>
    <row r="2174">
      <c r="A2174" s="0" t="s">
        <v>2408</v>
      </c>
      <c r="B2174" s="0" t="s">
        <v>134</v>
      </c>
      <c r="C2174" s="0" t="s">
        <v>134</v>
      </c>
      <c r="D2174" s="0" t="s">
        <v>135</v>
      </c>
      <c r="E2174" s="0" t="s">
        <v>3</v>
      </c>
      <c r="F2174" s="0" t="s">
        <v>12</v>
      </c>
      <c r="G2174" s="0" t="s">
        <v>8</v>
      </c>
      <c r="H2174" s="0">
        <v>863</v>
      </c>
      <c r="I2174" s="0">
        <v>267</v>
      </c>
      <c r="J2174" s="0">
        <v>0</v>
      </c>
      <c r="K2174" s="0">
        <v>1</v>
      </c>
      <c r="L2174" s="0">
        <v>3</v>
      </c>
      <c r="M2174" s="0">
        <v>6</v>
      </c>
      <c r="N2174" s="0">
        <v>0</v>
      </c>
      <c r="O2174" s="0">
        <v>0</v>
      </c>
      <c r="P2174" s="0">
        <v>0</v>
      </c>
      <c r="R2174" s="0" t="b">
        <v>0</v>
      </c>
      <c r="S2174" s="0" t="b">
        <v>1</v>
      </c>
      <c r="T2174" s="68">
        <v>45190.9104166667</v>
      </c>
      <c r="U2174" s="68">
        <v>45204.3333333333</v>
      </c>
      <c r="V2174" s="68">
        <v>0</v>
      </c>
      <c r="W2174" s="0">
        <f>IF(IF(B2174="none",1,IF(B2174="Trialer",1,0))+IF(C2174="Customer",1,IF(C2174="Lost",1,0))=2,1,0)</f>
      </c>
      <c r="X2174" s="0" t="s">
        <v>145</v>
      </c>
      <c r="Y2174" s="0" t="s">
        <v>243</v>
      </c>
      <c r="AV2174" s="68"/>
      <c r="AW2174" s="68"/>
      <c r="AY2174" s="27"/>
      <c r="BD2174" s="68">
        <v>46054.1666666667</v>
      </c>
      <c r="BE2174" s="68">
        <v>46082.1666666667</v>
      </c>
      <c r="BF2174" s="0" t="b">
        <v>0</v>
      </c>
      <c r="BG2174" s="0" t="b">
        <v>0</v>
      </c>
      <c r="BH2174" s="0">
        <v>267</v>
      </c>
      <c r="BI2174" s="0">
        <v>267</v>
      </c>
      <c r="BJ2174" s="0" t="s">
        <v>135</v>
      </c>
    </row>
    <row r="2175">
      <c r="A2175" s="0" t="s">
        <v>2409</v>
      </c>
      <c r="B2175" s="0" t="s">
        <v>134</v>
      </c>
      <c r="C2175" s="0" t="s">
        <v>134</v>
      </c>
      <c r="D2175" s="0" t="s">
        <v>135</v>
      </c>
      <c r="E2175" s="0" t="s">
        <v>2</v>
      </c>
      <c r="F2175" s="0" t="s">
        <v>12</v>
      </c>
      <c r="G2175" s="0" t="s">
        <v>7</v>
      </c>
      <c r="H2175" s="0">
        <v>862</v>
      </c>
      <c r="I2175" s="0">
        <v>40</v>
      </c>
      <c r="J2175" s="0">
        <v>0</v>
      </c>
      <c r="K2175" s="0">
        <v>1</v>
      </c>
      <c r="L2175" s="0">
        <v>1</v>
      </c>
      <c r="M2175" s="0">
        <v>1</v>
      </c>
      <c r="N2175" s="0">
        <v>0</v>
      </c>
      <c r="O2175" s="0">
        <v>0</v>
      </c>
      <c r="P2175" s="0">
        <v>0</v>
      </c>
      <c r="R2175" s="0" t="b">
        <v>0</v>
      </c>
      <c r="S2175" s="0" t="b">
        <v>1</v>
      </c>
      <c r="T2175" s="68">
        <v>45191.5</v>
      </c>
      <c r="U2175" s="68">
        <v>45191.3333333333</v>
      </c>
      <c r="V2175" s="68">
        <v>0</v>
      </c>
      <c r="W2175" s="0">
        <f>IF(IF(B2175="none",1,IF(B2175="Trialer",1,0))+IF(C2175="Customer",1,IF(C2175="Lost",1,0))=2,1,0)</f>
      </c>
      <c r="X2175" s="0" t="s">
        <v>145</v>
      </c>
      <c r="Y2175" s="0" t="s">
        <v>137</v>
      </c>
      <c r="AV2175" s="68"/>
      <c r="AW2175" s="68"/>
      <c r="AY2175" s="27"/>
      <c r="BD2175" s="68">
        <v>46054.1666666667</v>
      </c>
      <c r="BE2175" s="68">
        <v>46082.1666666667</v>
      </c>
      <c r="BF2175" s="0" t="b">
        <v>0</v>
      </c>
      <c r="BG2175" s="0" t="b">
        <v>0</v>
      </c>
      <c r="BH2175" s="0">
        <v>40</v>
      </c>
      <c r="BI2175" s="0">
        <v>40</v>
      </c>
      <c r="BJ2175" s="0" t="s">
        <v>135</v>
      </c>
    </row>
    <row r="2176">
      <c r="A2176" s="0" t="s">
        <v>2410</v>
      </c>
      <c r="B2176" s="0" t="s">
        <v>134</v>
      </c>
      <c r="C2176" s="0" t="s">
        <v>134</v>
      </c>
      <c r="D2176" s="0" t="s">
        <v>135</v>
      </c>
      <c r="E2176" s="0" t="s">
        <v>2</v>
      </c>
      <c r="F2176" s="0" t="s">
        <v>12</v>
      </c>
      <c r="G2176" s="0" t="s">
        <v>8</v>
      </c>
      <c r="H2176" s="0">
        <v>859</v>
      </c>
      <c r="I2176" s="0">
        <v>534</v>
      </c>
      <c r="J2176" s="0">
        <v>0</v>
      </c>
      <c r="K2176" s="0">
        <v>1</v>
      </c>
      <c r="L2176" s="0">
        <v>3</v>
      </c>
      <c r="M2176" s="0">
        <v>12</v>
      </c>
      <c r="N2176" s="0">
        <v>0</v>
      </c>
      <c r="O2176" s="0">
        <v>0</v>
      </c>
      <c r="P2176" s="0">
        <v>0</v>
      </c>
      <c r="R2176" s="0" t="b">
        <v>0</v>
      </c>
      <c r="S2176" s="0" t="b">
        <v>1</v>
      </c>
      <c r="T2176" s="68">
        <v>45194.4274768519</v>
      </c>
      <c r="U2176" s="68">
        <v>45208.3333333333</v>
      </c>
      <c r="V2176" s="68">
        <v>0</v>
      </c>
      <c r="W2176" s="0">
        <f>IF(IF(B2176="none",1,IF(B2176="Trialer",1,0))+IF(C2176="Customer",1,IF(C2176="Lost",1,0))=2,1,0)</f>
      </c>
      <c r="X2176" s="0" t="s">
        <v>882</v>
      </c>
      <c r="Y2176" s="0" t="s">
        <v>499</v>
      </c>
      <c r="AV2176" s="68"/>
      <c r="AW2176" s="68"/>
      <c r="AY2176" s="27"/>
      <c r="BD2176" s="68">
        <v>46054.1666666667</v>
      </c>
      <c r="BE2176" s="68">
        <v>46082.1666666667</v>
      </c>
      <c r="BF2176" s="0" t="b">
        <v>0</v>
      </c>
      <c r="BG2176" s="0" t="b">
        <v>0</v>
      </c>
      <c r="BH2176" s="0">
        <v>534</v>
      </c>
      <c r="BI2176" s="0">
        <v>534</v>
      </c>
      <c r="BJ2176" s="0" t="s">
        <v>135</v>
      </c>
    </row>
    <row r="2177">
      <c r="A2177" s="0" t="s">
        <v>2411</v>
      </c>
      <c r="B2177" s="0" t="s">
        <v>134</v>
      </c>
      <c r="C2177" s="0" t="s">
        <v>134</v>
      </c>
      <c r="D2177" s="0" t="s">
        <v>135</v>
      </c>
      <c r="E2177" s="0" t="s">
        <v>2</v>
      </c>
      <c r="F2177" s="0" t="s">
        <v>12</v>
      </c>
      <c r="G2177" s="0" t="s">
        <v>8</v>
      </c>
      <c r="H2177" s="0">
        <v>859</v>
      </c>
      <c r="I2177" s="0">
        <v>110</v>
      </c>
      <c r="J2177" s="0">
        <v>0</v>
      </c>
      <c r="K2177" s="0">
        <v>1</v>
      </c>
      <c r="L2177" s="0">
        <v>4</v>
      </c>
      <c r="M2177" s="0">
        <v>2</v>
      </c>
      <c r="N2177" s="0">
        <v>0</v>
      </c>
      <c r="O2177" s="0">
        <v>0</v>
      </c>
      <c r="P2177" s="0">
        <v>0</v>
      </c>
      <c r="R2177" s="0" t="b">
        <v>0</v>
      </c>
      <c r="S2177" s="0" t="b">
        <v>1</v>
      </c>
      <c r="T2177" s="68">
        <v>45194.4877314815</v>
      </c>
      <c r="U2177" s="68">
        <v>45218.3333333333</v>
      </c>
      <c r="V2177" s="68">
        <v>0</v>
      </c>
      <c r="W2177" s="0">
        <f>IF(IF(B2177="none",1,IF(B2177="Trialer",1,0))+IF(C2177="Customer",1,IF(C2177="Lost",1,0))=2,1,0)</f>
      </c>
      <c r="X2177" s="0" t="s">
        <v>142</v>
      </c>
      <c r="Y2177" s="0" t="s">
        <v>499</v>
      </c>
      <c r="AV2177" s="68"/>
      <c r="AW2177" s="68"/>
      <c r="AY2177" s="27"/>
      <c r="BD2177" s="68">
        <v>46054.1666666667</v>
      </c>
      <c r="BE2177" s="68">
        <v>46082.1666666667</v>
      </c>
      <c r="BF2177" s="0" t="b">
        <v>0</v>
      </c>
      <c r="BG2177" s="0" t="b">
        <v>0</v>
      </c>
      <c r="BH2177" s="0">
        <v>110</v>
      </c>
      <c r="BI2177" s="0">
        <v>110</v>
      </c>
      <c r="BJ2177" s="0" t="s">
        <v>135</v>
      </c>
    </row>
    <row r="2178">
      <c r="A2178" s="0" t="s">
        <v>2412</v>
      </c>
      <c r="B2178" s="0" t="s">
        <v>134</v>
      </c>
      <c r="C2178" s="0" t="s">
        <v>134</v>
      </c>
      <c r="D2178" s="0" t="s">
        <v>135</v>
      </c>
      <c r="E2178" s="0" t="s">
        <v>3</v>
      </c>
      <c r="F2178" s="0" t="s">
        <v>10</v>
      </c>
      <c r="G2178" s="0" t="s">
        <v>8</v>
      </c>
      <c r="H2178" s="0">
        <v>859</v>
      </c>
      <c r="I2178" s="0">
        <v>28</v>
      </c>
      <c r="J2178" s="0">
        <v>0</v>
      </c>
      <c r="K2178" s="0">
        <v>1</v>
      </c>
      <c r="L2178" s="0">
        <v>1</v>
      </c>
      <c r="M2178" s="0">
        <v>1</v>
      </c>
      <c r="N2178" s="0">
        <v>0</v>
      </c>
      <c r="O2178" s="0">
        <v>0</v>
      </c>
      <c r="P2178" s="0">
        <v>0</v>
      </c>
      <c r="Q2178" s="0" t="s">
        <v>618</v>
      </c>
      <c r="R2178" s="0" t="b">
        <v>0</v>
      </c>
      <c r="S2178" s="0" t="b">
        <v>1</v>
      </c>
      <c r="T2178" s="68">
        <v>45194.522337963</v>
      </c>
      <c r="U2178" s="68">
        <v>45208.3333333333</v>
      </c>
      <c r="V2178" s="68">
        <v>0</v>
      </c>
      <c r="W2178" s="0">
        <f>IF(IF(B2178="none",1,IF(B2178="Trialer",1,0))+IF(C2178="Customer",1,IF(C2178="Lost",1,0))=2,1,0)</f>
      </c>
      <c r="X2178" s="0" t="s">
        <v>148</v>
      </c>
      <c r="Y2178" s="0" t="s">
        <v>243</v>
      </c>
      <c r="AV2178" s="68"/>
      <c r="AW2178" s="68"/>
      <c r="AY2178" s="27"/>
      <c r="BD2178" s="68">
        <v>46054.1666666667</v>
      </c>
      <c r="BE2178" s="68">
        <v>46082.1666666667</v>
      </c>
      <c r="BF2178" s="0" t="b">
        <v>0</v>
      </c>
      <c r="BG2178" s="0" t="b">
        <v>0</v>
      </c>
      <c r="BH2178" s="0">
        <v>28</v>
      </c>
      <c r="BI2178" s="0">
        <v>28</v>
      </c>
      <c r="BJ2178" s="0" t="s">
        <v>135</v>
      </c>
    </row>
    <row r="2179">
      <c r="A2179" s="0" t="s">
        <v>2413</v>
      </c>
      <c r="B2179" s="0" t="s">
        <v>134</v>
      </c>
      <c r="C2179" s="0" t="s">
        <v>134</v>
      </c>
      <c r="D2179" s="0" t="s">
        <v>135</v>
      </c>
      <c r="E2179" s="0" t="s">
        <v>2414</v>
      </c>
      <c r="F2179" s="0" t="s">
        <v>10</v>
      </c>
      <c r="G2179" s="0" t="s">
        <v>8</v>
      </c>
      <c r="H2179" s="0">
        <v>858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 t="s">
        <v>618</v>
      </c>
      <c r="R2179" s="0" t="b">
        <v>0</v>
      </c>
      <c r="S2179" s="0" t="b">
        <v>1</v>
      </c>
      <c r="T2179" s="68">
        <v>45195.6069444444</v>
      </c>
      <c r="U2179" s="68">
        <v>45210.5</v>
      </c>
      <c r="V2179" s="68">
        <v>0</v>
      </c>
      <c r="W2179" s="0">
        <f>IF(IF(B2179="none",1,IF(B2179="Trialer",1,0))+IF(C2179="Customer",1,IF(C2179="Lost",1,0))=2,1,0)</f>
      </c>
      <c r="X2179" s="0" t="s">
        <v>148</v>
      </c>
      <c r="Y2179" s="0" t="s">
        <v>1516</v>
      </c>
      <c r="AV2179" s="68"/>
      <c r="AW2179" s="68"/>
      <c r="AY2179" s="27"/>
      <c r="BD2179" s="68">
        <v>46054.1666666667</v>
      </c>
      <c r="BE2179" s="68">
        <v>46082.1666666667</v>
      </c>
      <c r="BF2179" s="0" t="b">
        <v>0</v>
      </c>
      <c r="BG2179" s="0" t="b">
        <v>0</v>
      </c>
      <c r="BH2179" s="0">
        <v>0</v>
      </c>
      <c r="BI2179" s="0">
        <v>0</v>
      </c>
      <c r="BJ2179" s="0" t="s">
        <v>135</v>
      </c>
    </row>
    <row r="2180">
      <c r="A2180" s="0" t="s">
        <v>2415</v>
      </c>
      <c r="B2180" s="0" t="s">
        <v>134</v>
      </c>
      <c r="C2180" s="0" t="s">
        <v>134</v>
      </c>
      <c r="D2180" s="0" t="s">
        <v>135</v>
      </c>
      <c r="E2180" s="0" t="s">
        <v>3</v>
      </c>
      <c r="F2180" s="0" t="s">
        <v>12</v>
      </c>
      <c r="G2180" s="0" t="s">
        <v>8</v>
      </c>
      <c r="H2180" s="0">
        <v>858</v>
      </c>
      <c r="I2180" s="0">
        <v>386</v>
      </c>
      <c r="J2180" s="0">
        <v>0</v>
      </c>
      <c r="K2180" s="0">
        <v>1</v>
      </c>
      <c r="L2180" s="0">
        <v>4</v>
      </c>
      <c r="M2180" s="0">
        <v>1</v>
      </c>
      <c r="N2180" s="0">
        <v>279</v>
      </c>
      <c r="O2180" s="0">
        <v>0</v>
      </c>
      <c r="P2180" s="0">
        <v>0</v>
      </c>
      <c r="R2180" s="0" t="b">
        <v>0</v>
      </c>
      <c r="S2180" s="0" t="b">
        <v>1</v>
      </c>
      <c r="T2180" s="68">
        <v>45195.7766087963</v>
      </c>
      <c r="U2180" s="68">
        <v>45222.3333333333</v>
      </c>
      <c r="V2180" s="68">
        <v>0</v>
      </c>
      <c r="W2180" s="0">
        <f>IF(IF(B2180="none",1,IF(B2180="Trialer",1,0))+IF(C2180="Customer",1,IF(C2180="Lost",1,0))=2,1,0)</f>
      </c>
      <c r="X2180" s="0" t="s">
        <v>882</v>
      </c>
      <c r="Y2180" s="0" t="s">
        <v>243</v>
      </c>
      <c r="AV2180" s="68"/>
      <c r="AW2180" s="68"/>
      <c r="AY2180" s="27"/>
      <c r="BD2180" s="68">
        <v>46054.1666666667</v>
      </c>
      <c r="BE2180" s="68">
        <v>46082.1666666667</v>
      </c>
      <c r="BF2180" s="0" t="b">
        <v>0</v>
      </c>
      <c r="BG2180" s="0" t="b">
        <v>0</v>
      </c>
      <c r="BH2180" s="0">
        <v>61</v>
      </c>
      <c r="BI2180" s="0">
        <v>61</v>
      </c>
      <c r="BJ2180" s="0" t="s">
        <v>135</v>
      </c>
    </row>
    <row r="2181">
      <c r="A2181" s="0" t="s">
        <v>2416</v>
      </c>
      <c r="B2181" s="0" t="s">
        <v>134</v>
      </c>
      <c r="C2181" s="0" t="s">
        <v>134</v>
      </c>
      <c r="D2181" s="0" t="s">
        <v>230</v>
      </c>
      <c r="E2181" s="0" t="s">
        <v>3</v>
      </c>
      <c r="F2181" s="0" t="s">
        <v>12</v>
      </c>
      <c r="G2181" s="0" t="s">
        <v>8</v>
      </c>
      <c r="H2181" s="0">
        <v>856</v>
      </c>
      <c r="I2181" s="0">
        <v>210.6</v>
      </c>
      <c r="J2181" s="0">
        <v>0</v>
      </c>
      <c r="K2181" s="0">
        <v>1</v>
      </c>
      <c r="L2181" s="0">
        <v>4</v>
      </c>
      <c r="M2181" s="0">
        <v>6</v>
      </c>
      <c r="N2181" s="0">
        <v>0</v>
      </c>
      <c r="O2181" s="0">
        <v>0</v>
      </c>
      <c r="P2181" s="0">
        <v>-210.6</v>
      </c>
      <c r="R2181" s="0" t="b">
        <v>0</v>
      </c>
      <c r="S2181" s="0" t="b">
        <v>1</v>
      </c>
      <c r="T2181" s="68">
        <v>45197.3777430556</v>
      </c>
      <c r="U2181" s="68">
        <v>45203.3333333333</v>
      </c>
      <c r="V2181" s="68">
        <v>0</v>
      </c>
      <c r="W2181" s="0">
        <f>IF(IF(B2181="none",1,IF(B2181="Trialer",1,0))+IF(C2181="Customer",1,IF(C2181="Lost",1,0))=2,1,0)</f>
      </c>
      <c r="X2181" s="0" t="s">
        <v>145</v>
      </c>
      <c r="Y2181" s="0" t="s">
        <v>243</v>
      </c>
      <c r="AV2181" s="68"/>
      <c r="AW2181" s="68"/>
      <c r="AY2181" s="27"/>
      <c r="BD2181" s="68">
        <v>46054.1666666667</v>
      </c>
      <c r="BE2181" s="68">
        <v>46082.1666666667</v>
      </c>
      <c r="BF2181" s="0" t="b">
        <v>0</v>
      </c>
      <c r="BG2181" s="0" t="b">
        <v>0</v>
      </c>
      <c r="BH2181" s="0">
        <v>234</v>
      </c>
      <c r="BI2181" s="0">
        <v>234</v>
      </c>
      <c r="BJ2181" s="0" t="s">
        <v>230</v>
      </c>
    </row>
    <row r="2182">
      <c r="A2182" s="0" t="s">
        <v>2417</v>
      </c>
      <c r="B2182" s="0" t="s">
        <v>134</v>
      </c>
      <c r="C2182" s="0" t="s">
        <v>134</v>
      </c>
      <c r="D2182" s="0" t="s">
        <v>135</v>
      </c>
      <c r="E2182" s="0" t="s">
        <v>3</v>
      </c>
      <c r="F2182" s="0" t="s">
        <v>10</v>
      </c>
      <c r="G2182" s="0" t="s">
        <v>8</v>
      </c>
      <c r="H2182" s="0">
        <v>856</v>
      </c>
      <c r="I2182" s="0">
        <v>126</v>
      </c>
      <c r="J2182" s="0">
        <v>0</v>
      </c>
      <c r="K2182" s="0">
        <v>1</v>
      </c>
      <c r="L2182" s="0">
        <v>4</v>
      </c>
      <c r="M2182" s="0">
        <v>3</v>
      </c>
      <c r="N2182" s="0">
        <v>0</v>
      </c>
      <c r="O2182" s="0">
        <v>0</v>
      </c>
      <c r="P2182" s="0">
        <v>0</v>
      </c>
      <c r="Q2182" s="0" t="s">
        <v>498</v>
      </c>
      <c r="R2182" s="0" t="b">
        <v>0</v>
      </c>
      <c r="S2182" s="0" t="b">
        <v>1</v>
      </c>
      <c r="T2182" s="68">
        <v>45197.6423032407</v>
      </c>
      <c r="U2182" s="68">
        <v>45216.3333333333</v>
      </c>
      <c r="V2182" s="68">
        <v>0</v>
      </c>
      <c r="W2182" s="0">
        <f>IF(IF(B2182="none",1,IF(B2182="Trialer",1,0))+IF(C2182="Customer",1,IF(C2182="Lost",1,0))=2,1,0)</f>
      </c>
      <c r="X2182" s="0" t="s">
        <v>136</v>
      </c>
      <c r="Y2182" s="0" t="s">
        <v>243</v>
      </c>
      <c r="AV2182" s="68"/>
      <c r="AW2182" s="68"/>
      <c r="AY2182" s="27"/>
      <c r="BD2182" s="68">
        <v>46054.1666666667</v>
      </c>
      <c r="BE2182" s="68">
        <v>46082.1666666667</v>
      </c>
      <c r="BF2182" s="0" t="b">
        <v>0</v>
      </c>
      <c r="BG2182" s="0" t="b">
        <v>0</v>
      </c>
      <c r="BH2182" s="0">
        <v>126</v>
      </c>
      <c r="BI2182" s="0">
        <v>126</v>
      </c>
      <c r="BJ2182" s="0" t="s">
        <v>135</v>
      </c>
    </row>
    <row r="2183">
      <c r="A2183" s="0" t="s">
        <v>2418</v>
      </c>
      <c r="B2183" s="0" t="s">
        <v>134</v>
      </c>
      <c r="C2183" s="0" t="s">
        <v>134</v>
      </c>
      <c r="D2183" s="0" t="s">
        <v>230</v>
      </c>
      <c r="E2183" s="0" t="s">
        <v>3</v>
      </c>
      <c r="F2183" s="0" t="s">
        <v>12</v>
      </c>
      <c r="G2183" s="0" t="s">
        <v>8</v>
      </c>
      <c r="H2183" s="0">
        <v>855</v>
      </c>
      <c r="I2183" s="0">
        <v>152</v>
      </c>
      <c r="J2183" s="0">
        <v>0</v>
      </c>
      <c r="K2183" s="0">
        <v>1</v>
      </c>
      <c r="L2183" s="0">
        <v>4</v>
      </c>
      <c r="M2183" s="0">
        <v>3</v>
      </c>
      <c r="N2183" s="0">
        <v>0</v>
      </c>
      <c r="O2183" s="0">
        <v>0</v>
      </c>
      <c r="P2183" s="0">
        <v>-152</v>
      </c>
      <c r="R2183" s="0" t="b">
        <v>0</v>
      </c>
      <c r="S2183" s="0" t="b">
        <v>1</v>
      </c>
      <c r="T2183" s="68">
        <v>45198.5403356481</v>
      </c>
      <c r="U2183" s="68">
        <v>45231.3333333333</v>
      </c>
      <c r="V2183" s="68">
        <v>0</v>
      </c>
      <c r="W2183" s="0">
        <f>IF(IF(B2183="none",1,IF(B2183="Trialer",1,0))+IF(C2183="Customer",1,IF(C2183="Lost",1,0))=2,1,0)</f>
      </c>
      <c r="X2183" s="0" t="s">
        <v>142</v>
      </c>
      <c r="Y2183" s="0" t="s">
        <v>243</v>
      </c>
      <c r="AV2183" s="68"/>
      <c r="AW2183" s="68"/>
      <c r="AY2183" s="27"/>
      <c r="BD2183" s="68">
        <v>46054.1666666667</v>
      </c>
      <c r="BE2183" s="68">
        <v>46082.1666666667</v>
      </c>
      <c r="BF2183" s="0" t="b">
        <v>0</v>
      </c>
      <c r="BG2183" s="0" t="b">
        <v>0</v>
      </c>
      <c r="BH2183" s="0">
        <v>171</v>
      </c>
      <c r="BI2183" s="0">
        <v>171</v>
      </c>
      <c r="BJ2183" s="0" t="s">
        <v>230</v>
      </c>
    </row>
    <row r="2184">
      <c r="A2184" s="0" t="s">
        <v>2419</v>
      </c>
      <c r="B2184" s="0" t="s">
        <v>134</v>
      </c>
      <c r="C2184" s="0" t="s">
        <v>134</v>
      </c>
      <c r="D2184" s="0" t="s">
        <v>230</v>
      </c>
      <c r="E2184" s="0" t="s">
        <v>3</v>
      </c>
      <c r="F2184" s="0" t="s">
        <v>12</v>
      </c>
      <c r="G2184" s="0" t="s">
        <v>8</v>
      </c>
      <c r="H2184" s="0">
        <v>852</v>
      </c>
      <c r="I2184" s="0">
        <v>147.6</v>
      </c>
      <c r="J2184" s="0">
        <v>0</v>
      </c>
      <c r="K2184" s="0">
        <v>1</v>
      </c>
      <c r="L2184" s="0">
        <v>2</v>
      </c>
      <c r="M2184" s="0">
        <v>5</v>
      </c>
      <c r="N2184" s="0">
        <v>0</v>
      </c>
      <c r="O2184" s="0">
        <v>0</v>
      </c>
      <c r="P2184" s="0">
        <v>-147.6</v>
      </c>
      <c r="R2184" s="0" t="b">
        <v>0</v>
      </c>
      <c r="S2184" s="0" t="b">
        <v>1</v>
      </c>
      <c r="T2184" s="68">
        <v>45201.379537037</v>
      </c>
      <c r="U2184" s="68">
        <v>45215.3333333333</v>
      </c>
      <c r="V2184" s="68">
        <v>0</v>
      </c>
      <c r="W2184" s="0">
        <f>IF(IF(B2184="none",1,IF(B2184="Trialer",1,0))+IF(C2184="Customer",1,IF(C2184="Lost",1,0))=2,1,0)</f>
      </c>
      <c r="X2184" s="0" t="s">
        <v>148</v>
      </c>
      <c r="Y2184" s="0" t="s">
        <v>243</v>
      </c>
      <c r="AV2184" s="68"/>
      <c r="AW2184" s="68"/>
      <c r="AY2184" s="27"/>
      <c r="BD2184" s="68">
        <v>46054.1666666667</v>
      </c>
      <c r="BE2184" s="68">
        <v>46082.1666666667</v>
      </c>
      <c r="BF2184" s="0" t="b">
        <v>0</v>
      </c>
      <c r="BG2184" s="0" t="b">
        <v>0</v>
      </c>
      <c r="BH2184" s="0">
        <v>164</v>
      </c>
      <c r="BI2184" s="0">
        <v>164</v>
      </c>
      <c r="BJ2184" s="0" t="s">
        <v>230</v>
      </c>
    </row>
    <row r="2185">
      <c r="A2185" s="0" t="s">
        <v>2420</v>
      </c>
      <c r="B2185" s="0" t="s">
        <v>134</v>
      </c>
      <c r="C2185" s="0" t="s">
        <v>134</v>
      </c>
      <c r="D2185" s="0" t="s">
        <v>135</v>
      </c>
      <c r="E2185" s="0" t="s">
        <v>3</v>
      </c>
      <c r="F2185" s="0" t="s">
        <v>12</v>
      </c>
      <c r="G2185" s="0" t="s">
        <v>8</v>
      </c>
      <c r="H2185" s="0">
        <v>852</v>
      </c>
      <c r="I2185" s="0">
        <v>242</v>
      </c>
      <c r="J2185" s="0">
        <v>0</v>
      </c>
      <c r="K2185" s="0">
        <v>1</v>
      </c>
      <c r="L2185" s="0">
        <v>6</v>
      </c>
      <c r="M2185" s="0">
        <v>6</v>
      </c>
      <c r="N2185" s="0">
        <v>0</v>
      </c>
      <c r="O2185" s="0">
        <v>0</v>
      </c>
      <c r="P2185" s="0">
        <v>0</v>
      </c>
      <c r="R2185" s="0" t="b">
        <v>0</v>
      </c>
      <c r="S2185" s="0" t="b">
        <v>1</v>
      </c>
      <c r="T2185" s="68">
        <v>45201.4230902778</v>
      </c>
      <c r="U2185" s="68">
        <v>45231.3333333333</v>
      </c>
      <c r="V2185" s="68">
        <v>0</v>
      </c>
      <c r="W2185" s="0">
        <f>IF(IF(B2185="none",1,IF(B2185="Trialer",1,0))+IF(C2185="Customer",1,IF(C2185="Lost",1,0))=2,1,0)</f>
      </c>
      <c r="X2185" s="0" t="s">
        <v>148</v>
      </c>
      <c r="Y2185" s="0" t="s">
        <v>243</v>
      </c>
      <c r="AV2185" s="68"/>
      <c r="AW2185" s="68"/>
      <c r="AY2185" s="27"/>
      <c r="BD2185" s="68">
        <v>46054.1666666667</v>
      </c>
      <c r="BE2185" s="68">
        <v>46082.1666666667</v>
      </c>
      <c r="BF2185" s="0" t="b">
        <v>0</v>
      </c>
      <c r="BG2185" s="0" t="b">
        <v>0</v>
      </c>
      <c r="BH2185" s="0">
        <v>242</v>
      </c>
      <c r="BI2185" s="0">
        <v>242</v>
      </c>
      <c r="BJ2185" s="0" t="s">
        <v>135</v>
      </c>
    </row>
    <row r="2186">
      <c r="A2186" s="0" t="s">
        <v>2421</v>
      </c>
      <c r="B2186" s="0" t="s">
        <v>134</v>
      </c>
      <c r="C2186" s="0" t="s">
        <v>134</v>
      </c>
      <c r="D2186" s="0" t="s">
        <v>135</v>
      </c>
      <c r="E2186" s="0" t="s">
        <v>4</v>
      </c>
      <c r="F2186" s="0" t="s">
        <v>12</v>
      </c>
      <c r="G2186" s="0" t="s">
        <v>8</v>
      </c>
      <c r="H2186" s="0">
        <v>852</v>
      </c>
      <c r="I2186" s="0">
        <v>0</v>
      </c>
      <c r="J2186" s="0">
        <v>0</v>
      </c>
      <c r="K2186" s="0">
        <v>1</v>
      </c>
      <c r="L2186" s="0">
        <v>5</v>
      </c>
      <c r="M2186" s="0">
        <v>2</v>
      </c>
      <c r="N2186" s="0">
        <v>0</v>
      </c>
      <c r="O2186" s="0">
        <v>0</v>
      </c>
      <c r="P2186" s="0">
        <v>0</v>
      </c>
      <c r="R2186" s="0" t="b">
        <v>0</v>
      </c>
      <c r="S2186" s="0" t="b">
        <v>1</v>
      </c>
      <c r="T2186" s="68">
        <v>45201.8037731481</v>
      </c>
      <c r="U2186" s="68">
        <v>45215.3333333333</v>
      </c>
      <c r="V2186" s="68">
        <v>0</v>
      </c>
      <c r="W2186" s="0">
        <f>IF(IF(B2186="none",1,IF(B2186="Trialer",1,0))+IF(C2186="Customer",1,IF(C2186="Lost",1,0))=2,1,0)</f>
      </c>
      <c r="X2186" s="0" t="s">
        <v>882</v>
      </c>
      <c r="Y2186" s="0" t="s">
        <v>1772</v>
      </c>
      <c r="AV2186" s="68"/>
      <c r="AW2186" s="68"/>
      <c r="AY2186" s="27"/>
      <c r="BD2186" s="68">
        <v>46054.1666666667</v>
      </c>
      <c r="BE2186" s="68">
        <v>46082.1666666667</v>
      </c>
      <c r="BF2186" s="0" t="b">
        <v>0</v>
      </c>
      <c r="BG2186" s="0" t="b">
        <v>0</v>
      </c>
      <c r="BH2186" s="0">
        <v>0</v>
      </c>
      <c r="BI2186" s="0">
        <v>0</v>
      </c>
      <c r="BJ2186" s="0" t="s">
        <v>135</v>
      </c>
    </row>
    <row r="2187">
      <c r="A2187" s="0" t="s">
        <v>2422</v>
      </c>
      <c r="B2187" s="0" t="s">
        <v>134</v>
      </c>
      <c r="C2187" s="0" t="s">
        <v>134</v>
      </c>
      <c r="D2187" s="0" t="s">
        <v>135</v>
      </c>
      <c r="E2187" s="0" t="s">
        <v>3</v>
      </c>
      <c r="F2187" s="0" t="s">
        <v>12</v>
      </c>
      <c r="G2187" s="0" t="s">
        <v>8</v>
      </c>
      <c r="H2187" s="0">
        <v>851</v>
      </c>
      <c r="I2187" s="0">
        <v>1235</v>
      </c>
      <c r="J2187" s="0">
        <v>0</v>
      </c>
      <c r="K2187" s="0">
        <v>1</v>
      </c>
      <c r="L2187" s="0">
        <v>5</v>
      </c>
      <c r="M2187" s="0">
        <v>23</v>
      </c>
      <c r="N2187" s="0">
        <v>1305</v>
      </c>
      <c r="O2187" s="0">
        <v>0</v>
      </c>
      <c r="P2187" s="0">
        <v>0</v>
      </c>
      <c r="R2187" s="0" t="b">
        <v>0</v>
      </c>
      <c r="S2187" s="0" t="b">
        <v>1</v>
      </c>
      <c r="T2187" s="68">
        <v>45202.397662037</v>
      </c>
      <c r="U2187" s="68">
        <v>45216.3333333333</v>
      </c>
      <c r="V2187" s="68">
        <v>0</v>
      </c>
      <c r="W2187" s="0">
        <f>IF(IF(B2187="none",1,IF(B2187="Trialer",1,0))+IF(C2187="Customer",1,IF(C2187="Lost",1,0))=2,1,0)</f>
      </c>
      <c r="X2187" s="0" t="s">
        <v>148</v>
      </c>
      <c r="Y2187" s="0" t="s">
        <v>243</v>
      </c>
      <c r="AV2187" s="68"/>
      <c r="AW2187" s="68"/>
      <c r="AY2187" s="27"/>
      <c r="BD2187" s="68">
        <v>46054.1666666667</v>
      </c>
      <c r="BE2187" s="68">
        <v>46082.1666666667</v>
      </c>
      <c r="BF2187" s="0" t="b">
        <v>0</v>
      </c>
      <c r="BG2187" s="0" t="b">
        <v>0</v>
      </c>
      <c r="BH2187" s="0">
        <v>1235</v>
      </c>
      <c r="BI2187" s="0">
        <v>1235</v>
      </c>
      <c r="BJ2187" s="0" t="s">
        <v>135</v>
      </c>
    </row>
    <row r="2188">
      <c r="A2188" s="0" t="s">
        <v>2423</v>
      </c>
      <c r="B2188" s="0" t="s">
        <v>134</v>
      </c>
      <c r="C2188" s="0" t="s">
        <v>134</v>
      </c>
      <c r="D2188" s="0" t="s">
        <v>230</v>
      </c>
      <c r="E2188" s="0" t="s">
        <v>3</v>
      </c>
      <c r="F2188" s="0" t="s">
        <v>12</v>
      </c>
      <c r="G2188" s="0" t="s">
        <v>8</v>
      </c>
      <c r="H2188" s="0">
        <v>851</v>
      </c>
      <c r="I2188" s="0">
        <v>104.4</v>
      </c>
      <c r="J2188" s="0">
        <v>0</v>
      </c>
      <c r="K2188" s="0">
        <v>1</v>
      </c>
      <c r="L2188" s="0">
        <v>4</v>
      </c>
      <c r="M2188" s="0">
        <v>2</v>
      </c>
      <c r="N2188" s="0">
        <v>0</v>
      </c>
      <c r="O2188" s="0">
        <v>0</v>
      </c>
      <c r="P2188" s="0">
        <v>-104.4</v>
      </c>
      <c r="R2188" s="0" t="b">
        <v>0</v>
      </c>
      <c r="S2188" s="0" t="b">
        <v>1</v>
      </c>
      <c r="T2188" s="68">
        <v>45202.6071875</v>
      </c>
      <c r="U2188" s="68">
        <v>45216.3333333333</v>
      </c>
      <c r="V2188" s="68">
        <v>0</v>
      </c>
      <c r="W2188" s="0">
        <f>IF(IF(B2188="none",1,IF(B2188="Trialer",1,0))+IF(C2188="Customer",1,IF(C2188="Lost",1,0))=2,1,0)</f>
      </c>
      <c r="X2188" s="0" t="s">
        <v>153</v>
      </c>
      <c r="Y2188" s="0" t="s">
        <v>487</v>
      </c>
      <c r="AV2188" s="68"/>
      <c r="AW2188" s="68"/>
      <c r="AY2188" s="27"/>
      <c r="BD2188" s="68">
        <v>46054.1666666667</v>
      </c>
      <c r="BE2188" s="68">
        <v>46082.1666666667</v>
      </c>
      <c r="BF2188" s="0" t="b">
        <v>0</v>
      </c>
      <c r="BG2188" s="0" t="b">
        <v>0</v>
      </c>
      <c r="BH2188" s="0">
        <v>144</v>
      </c>
      <c r="BI2188" s="0">
        <v>144</v>
      </c>
      <c r="BJ2188" s="0" t="s">
        <v>230</v>
      </c>
    </row>
    <row r="2189">
      <c r="A2189" s="0" t="s">
        <v>2424</v>
      </c>
      <c r="B2189" s="0" t="s">
        <v>134</v>
      </c>
      <c r="C2189" s="0" t="s">
        <v>134</v>
      </c>
      <c r="D2189" s="0" t="s">
        <v>135</v>
      </c>
      <c r="E2189" s="0" t="s">
        <v>3</v>
      </c>
      <c r="F2189" s="0" t="s">
        <v>12</v>
      </c>
      <c r="G2189" s="0" t="s">
        <v>8</v>
      </c>
      <c r="H2189" s="0">
        <v>850</v>
      </c>
      <c r="I2189" s="0">
        <v>61</v>
      </c>
      <c r="J2189" s="0">
        <v>0</v>
      </c>
      <c r="K2189" s="0">
        <v>1</v>
      </c>
      <c r="L2189" s="0">
        <v>4</v>
      </c>
      <c r="M2189" s="0">
        <v>1</v>
      </c>
      <c r="N2189" s="0">
        <v>0</v>
      </c>
      <c r="O2189" s="0">
        <v>0</v>
      </c>
      <c r="P2189" s="0">
        <v>0</v>
      </c>
      <c r="R2189" s="0" t="b">
        <v>0</v>
      </c>
      <c r="S2189" s="0" t="b">
        <v>1</v>
      </c>
      <c r="T2189" s="68">
        <v>45203.42625</v>
      </c>
      <c r="U2189" s="68">
        <v>45217.3333333333</v>
      </c>
      <c r="V2189" s="68">
        <v>0</v>
      </c>
      <c r="W2189" s="0">
        <f>IF(IF(B2189="none",1,IF(B2189="Trialer",1,0))+IF(C2189="Customer",1,IF(C2189="Lost",1,0))=2,1,0)</f>
      </c>
      <c r="X2189" s="0" t="s">
        <v>142</v>
      </c>
      <c r="Y2189" s="0" t="s">
        <v>243</v>
      </c>
      <c r="AV2189" s="68"/>
      <c r="AW2189" s="68"/>
      <c r="AY2189" s="27"/>
      <c r="BD2189" s="68">
        <v>46054.1666666667</v>
      </c>
      <c r="BE2189" s="68">
        <v>46082.1666666667</v>
      </c>
      <c r="BF2189" s="0" t="b">
        <v>0</v>
      </c>
      <c r="BG2189" s="0" t="b">
        <v>0</v>
      </c>
      <c r="BH2189" s="0">
        <v>61</v>
      </c>
      <c r="BI2189" s="0">
        <v>61</v>
      </c>
      <c r="BJ2189" s="0" t="s">
        <v>135</v>
      </c>
    </row>
    <row r="2190">
      <c r="A2190" s="0" t="s">
        <v>2425</v>
      </c>
      <c r="B2190" s="0" t="s">
        <v>134</v>
      </c>
      <c r="C2190" s="0" t="s">
        <v>134</v>
      </c>
      <c r="D2190" s="0" t="s">
        <v>230</v>
      </c>
      <c r="E2190" s="0" t="s">
        <v>2</v>
      </c>
      <c r="F2190" s="0" t="s">
        <v>12</v>
      </c>
      <c r="G2190" s="0" t="s">
        <v>8</v>
      </c>
      <c r="H2190" s="0">
        <v>850</v>
      </c>
      <c r="I2190" s="0">
        <v>324</v>
      </c>
      <c r="J2190" s="0">
        <v>0</v>
      </c>
      <c r="K2190" s="0">
        <v>1</v>
      </c>
      <c r="L2190" s="0">
        <v>3</v>
      </c>
      <c r="M2190" s="0">
        <v>12</v>
      </c>
      <c r="N2190" s="0">
        <v>0</v>
      </c>
      <c r="O2190" s="0">
        <v>0</v>
      </c>
      <c r="P2190" s="0">
        <v>-324</v>
      </c>
      <c r="R2190" s="0" t="b">
        <v>0</v>
      </c>
      <c r="S2190" s="0" t="b">
        <v>1</v>
      </c>
      <c r="T2190" s="68">
        <v>45203.6909490741</v>
      </c>
      <c r="U2190" s="68">
        <v>45217.3333333333</v>
      </c>
      <c r="V2190" s="68">
        <v>0</v>
      </c>
      <c r="W2190" s="0">
        <f>IF(IF(B2190="none",1,IF(B2190="Trialer",1,0))+IF(C2190="Customer",1,IF(C2190="Lost",1,0))=2,1,0)</f>
      </c>
      <c r="X2190" s="0" t="s">
        <v>882</v>
      </c>
      <c r="Y2190" s="0" t="s">
        <v>499</v>
      </c>
      <c r="AV2190" s="68"/>
      <c r="AW2190" s="68"/>
      <c r="AY2190" s="27"/>
      <c r="BD2190" s="68">
        <v>46054.1666666667</v>
      </c>
      <c r="BE2190" s="68">
        <v>46082.1666666667</v>
      </c>
      <c r="BF2190" s="0" t="b">
        <v>0</v>
      </c>
      <c r="BG2190" s="0" t="b">
        <v>0</v>
      </c>
      <c r="BH2190" s="0">
        <v>360</v>
      </c>
      <c r="BI2190" s="0">
        <v>360</v>
      </c>
      <c r="BJ2190" s="0" t="s">
        <v>230</v>
      </c>
    </row>
    <row r="2191">
      <c r="A2191" s="0" t="s">
        <v>2426</v>
      </c>
      <c r="B2191" s="0" t="s">
        <v>652</v>
      </c>
      <c r="C2191" s="0" t="s">
        <v>652</v>
      </c>
      <c r="D2191" s="0" t="s">
        <v>135</v>
      </c>
      <c r="E2191" s="0" t="s">
        <v>1515</v>
      </c>
      <c r="F2191" s="0" t="s">
        <v>12</v>
      </c>
      <c r="G2191" s="0" t="s">
        <v>8</v>
      </c>
      <c r="H2191" s="0">
        <v>849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R2191" s="0" t="b">
        <v>0</v>
      </c>
      <c r="S2191" s="0" t="b">
        <v>0</v>
      </c>
      <c r="T2191" s="68">
        <v>45204.3615740741</v>
      </c>
      <c r="U2191" s="68">
        <v>0</v>
      </c>
      <c r="V2191" s="68">
        <v>0</v>
      </c>
      <c r="W2191" s="0">
        <f>IF(IF(B2191="none",1,IF(B2191="Trialer",1,0))+IF(C2191="Customer",1,IF(C2191="Lost",1,0))=2,1,0)</f>
      </c>
      <c r="X2191" s="0" t="s">
        <v>653</v>
      </c>
      <c r="Y2191" s="0" t="s">
        <v>1516</v>
      </c>
      <c r="AV2191" s="68"/>
      <c r="AW2191" s="68"/>
      <c r="AY2191" s="27"/>
      <c r="BD2191" s="68">
        <v>46054.1666666667</v>
      </c>
      <c r="BE2191" s="68">
        <v>46082.1666666667</v>
      </c>
      <c r="BF2191" s="0" t="b">
        <v>1</v>
      </c>
      <c r="BG2191" s="0" t="b">
        <v>1</v>
      </c>
      <c r="BH2191" s="0">
        <v>0</v>
      </c>
      <c r="BI2191" s="0">
        <v>0</v>
      </c>
      <c r="BJ2191" s="0" t="s">
        <v>135</v>
      </c>
    </row>
    <row r="2192">
      <c r="A2192" s="0" t="s">
        <v>2427</v>
      </c>
      <c r="B2192" s="0" t="s">
        <v>134</v>
      </c>
      <c r="C2192" s="0" t="s">
        <v>134</v>
      </c>
      <c r="D2192" s="0" t="s">
        <v>230</v>
      </c>
      <c r="E2192" s="0" t="s">
        <v>3</v>
      </c>
      <c r="F2192" s="0" t="s">
        <v>12</v>
      </c>
      <c r="G2192" s="0" t="s">
        <v>8</v>
      </c>
      <c r="H2192" s="0">
        <v>844</v>
      </c>
      <c r="I2192" s="0">
        <v>74</v>
      </c>
      <c r="J2192" s="0">
        <v>0</v>
      </c>
      <c r="K2192" s="0">
        <v>1</v>
      </c>
      <c r="L2192" s="0">
        <v>6</v>
      </c>
      <c r="M2192" s="0">
        <v>1</v>
      </c>
      <c r="N2192" s="0">
        <v>0</v>
      </c>
      <c r="O2192" s="0">
        <v>0</v>
      </c>
      <c r="P2192" s="0">
        <v>-74</v>
      </c>
      <c r="R2192" s="0" t="b">
        <v>0</v>
      </c>
      <c r="S2192" s="0" t="b">
        <v>1</v>
      </c>
      <c r="T2192" s="68">
        <v>45209.5986342593</v>
      </c>
      <c r="U2192" s="68">
        <v>45223.3333333333</v>
      </c>
      <c r="V2192" s="68">
        <v>0</v>
      </c>
      <c r="W2192" s="0">
        <f>IF(IF(B2192="none",1,IF(B2192="Trialer",1,0))+IF(C2192="Customer",1,IF(C2192="Lost",1,0))=2,1,0)</f>
      </c>
      <c r="X2192" s="0" t="s">
        <v>142</v>
      </c>
      <c r="Y2192" s="0" t="s">
        <v>243</v>
      </c>
      <c r="AV2192" s="68"/>
      <c r="AW2192" s="68"/>
      <c r="AY2192" s="27"/>
      <c r="BD2192" s="68">
        <v>46054.1666666667</v>
      </c>
      <c r="BE2192" s="68">
        <v>46082.1666666667</v>
      </c>
      <c r="BF2192" s="0" t="b">
        <v>0</v>
      </c>
      <c r="BG2192" s="0" t="b">
        <v>0</v>
      </c>
      <c r="BH2192" s="0">
        <v>85</v>
      </c>
      <c r="BI2192" s="0">
        <v>85</v>
      </c>
      <c r="BJ2192" s="0" t="s">
        <v>230</v>
      </c>
    </row>
    <row r="2193">
      <c r="A2193" s="0" t="s">
        <v>2428</v>
      </c>
      <c r="B2193" s="0" t="s">
        <v>134</v>
      </c>
      <c r="C2193" s="0" t="s">
        <v>134</v>
      </c>
      <c r="D2193" s="0" t="s">
        <v>135</v>
      </c>
      <c r="E2193" s="0" t="s">
        <v>3</v>
      </c>
      <c r="F2193" s="0" t="s">
        <v>12</v>
      </c>
      <c r="G2193" s="0" t="s">
        <v>8</v>
      </c>
      <c r="H2193" s="0">
        <v>843</v>
      </c>
      <c r="I2193" s="0">
        <v>162</v>
      </c>
      <c r="J2193" s="0">
        <v>0</v>
      </c>
      <c r="K2193" s="0">
        <v>1</v>
      </c>
      <c r="L2193" s="0">
        <v>4</v>
      </c>
      <c r="M2193" s="0">
        <v>3</v>
      </c>
      <c r="N2193" s="0">
        <v>0</v>
      </c>
      <c r="O2193" s="0">
        <v>0</v>
      </c>
      <c r="P2193" s="0">
        <v>0</v>
      </c>
      <c r="R2193" s="0" t="b">
        <v>0</v>
      </c>
      <c r="S2193" s="0" t="b">
        <v>0</v>
      </c>
      <c r="T2193" s="68">
        <v>45210.4069444444</v>
      </c>
      <c r="U2193" s="68">
        <v>45236.2916666667</v>
      </c>
      <c r="V2193" s="68">
        <v>46098.5969212963</v>
      </c>
      <c r="W2193" s="0">
        <f>IF(IF(B2193="none",1,IF(B2193="Trialer",1,0))+IF(C2193="Customer",1,IF(C2193="Lost",1,0))=2,1,0)</f>
      </c>
      <c r="X2193" s="0" t="s">
        <v>166</v>
      </c>
      <c r="Y2193" s="0" t="s">
        <v>243</v>
      </c>
      <c r="AV2193" s="68"/>
      <c r="AW2193" s="68"/>
      <c r="AY2193" s="27"/>
      <c r="BD2193" s="68">
        <v>46054.1666666667</v>
      </c>
      <c r="BE2193" s="68">
        <v>46082.1666666667</v>
      </c>
      <c r="BF2193" s="0" t="b">
        <v>0</v>
      </c>
      <c r="BG2193" s="0" t="b">
        <v>0</v>
      </c>
      <c r="BH2193" s="0">
        <v>162</v>
      </c>
      <c r="BI2193" s="0">
        <v>162</v>
      </c>
      <c r="BJ2193" s="0" t="s">
        <v>135</v>
      </c>
    </row>
    <row r="2194">
      <c r="A2194" s="0" t="s">
        <v>2429</v>
      </c>
      <c r="B2194" s="0" t="s">
        <v>134</v>
      </c>
      <c r="C2194" s="0" t="s">
        <v>134</v>
      </c>
      <c r="D2194" s="0" t="s">
        <v>135</v>
      </c>
      <c r="E2194" s="0" t="s">
        <v>4</v>
      </c>
      <c r="F2194" s="0" t="s">
        <v>12</v>
      </c>
      <c r="G2194" s="0" t="s">
        <v>8</v>
      </c>
      <c r="H2194" s="0">
        <v>843</v>
      </c>
      <c r="I2194" s="0">
        <v>0</v>
      </c>
      <c r="J2194" s="0">
        <v>0</v>
      </c>
      <c r="K2194" s="0">
        <v>1</v>
      </c>
      <c r="L2194" s="0">
        <v>5</v>
      </c>
      <c r="M2194" s="0">
        <v>2</v>
      </c>
      <c r="N2194" s="0">
        <v>0</v>
      </c>
      <c r="O2194" s="0">
        <v>0</v>
      </c>
      <c r="P2194" s="0">
        <v>0</v>
      </c>
      <c r="R2194" s="0" t="b">
        <v>0</v>
      </c>
      <c r="S2194" s="0" t="b">
        <v>1</v>
      </c>
      <c r="T2194" s="68">
        <v>45210.755162037</v>
      </c>
      <c r="U2194" s="68">
        <v>45238.2916666667</v>
      </c>
      <c r="V2194" s="68">
        <v>0</v>
      </c>
      <c r="W2194" s="0">
        <f>IF(IF(B2194="none",1,IF(B2194="Trialer",1,0))+IF(C2194="Customer",1,IF(C2194="Lost",1,0))=2,1,0)</f>
      </c>
      <c r="X2194" s="0" t="s">
        <v>145</v>
      </c>
      <c r="Y2194" s="0" t="s">
        <v>1772</v>
      </c>
      <c r="AV2194" s="68"/>
      <c r="AW2194" s="68"/>
      <c r="AY2194" s="27"/>
      <c r="BD2194" s="68">
        <v>46054.1666666667</v>
      </c>
      <c r="BE2194" s="68">
        <v>46082.1666666667</v>
      </c>
      <c r="BF2194" s="0" t="b">
        <v>0</v>
      </c>
      <c r="BG2194" s="0" t="b">
        <v>0</v>
      </c>
      <c r="BH2194" s="0">
        <v>0</v>
      </c>
      <c r="BI2194" s="0">
        <v>0</v>
      </c>
      <c r="BJ2194" s="0" t="s">
        <v>135</v>
      </c>
    </row>
    <row r="2195">
      <c r="A2195" s="0" t="s">
        <v>2430</v>
      </c>
      <c r="B2195" s="0" t="s">
        <v>134</v>
      </c>
      <c r="C2195" s="0" t="s">
        <v>134</v>
      </c>
      <c r="D2195" s="0" t="s">
        <v>135</v>
      </c>
      <c r="E2195" s="0" t="s">
        <v>3</v>
      </c>
      <c r="F2195" s="0" t="s">
        <v>10</v>
      </c>
      <c r="G2195" s="0" t="s">
        <v>8</v>
      </c>
      <c r="H2195" s="0">
        <v>842</v>
      </c>
      <c r="I2195" s="0">
        <v>872</v>
      </c>
      <c r="J2195" s="0">
        <v>0</v>
      </c>
      <c r="K2195" s="0">
        <v>1</v>
      </c>
      <c r="L2195" s="0">
        <v>3</v>
      </c>
      <c r="M2195" s="0">
        <v>20</v>
      </c>
      <c r="N2195" s="0">
        <v>0</v>
      </c>
      <c r="O2195" s="0">
        <v>0</v>
      </c>
      <c r="P2195" s="0">
        <v>0</v>
      </c>
      <c r="Q2195" s="0" t="s">
        <v>357</v>
      </c>
      <c r="R2195" s="0" t="b">
        <v>0</v>
      </c>
      <c r="S2195" s="0" t="b">
        <v>1</v>
      </c>
      <c r="T2195" s="68">
        <v>45211.5096759259</v>
      </c>
      <c r="U2195" s="68">
        <v>45225.3333333333</v>
      </c>
      <c r="V2195" s="68">
        <v>0</v>
      </c>
      <c r="W2195" s="0">
        <f>IF(IF(B2195="none",1,IF(B2195="Trialer",1,0))+IF(C2195="Customer",1,IF(C2195="Lost",1,0))=2,1,0)</f>
      </c>
      <c r="X2195" s="0" t="s">
        <v>148</v>
      </c>
      <c r="Y2195" s="0" t="s">
        <v>243</v>
      </c>
      <c r="AV2195" s="68"/>
      <c r="AW2195" s="68"/>
      <c r="AY2195" s="27"/>
      <c r="BD2195" s="68">
        <v>46054.1666666667</v>
      </c>
      <c r="BE2195" s="68">
        <v>46082.1666666667</v>
      </c>
      <c r="BF2195" s="0" t="b">
        <v>0</v>
      </c>
      <c r="BG2195" s="0" t="b">
        <v>0</v>
      </c>
      <c r="BH2195" s="0">
        <v>98</v>
      </c>
      <c r="BI2195" s="0">
        <v>98</v>
      </c>
      <c r="BJ2195" s="0" t="s">
        <v>135</v>
      </c>
    </row>
    <row r="2196">
      <c r="A2196" s="0" t="s">
        <v>2431</v>
      </c>
      <c r="B2196" s="0" t="s">
        <v>134</v>
      </c>
      <c r="C2196" s="0" t="s">
        <v>134</v>
      </c>
      <c r="D2196" s="0" t="s">
        <v>230</v>
      </c>
      <c r="E2196" s="0" t="s">
        <v>2</v>
      </c>
      <c r="F2196" s="0" t="s">
        <v>12</v>
      </c>
      <c r="G2196" s="0" t="s">
        <v>8</v>
      </c>
      <c r="H2196" s="0">
        <v>841</v>
      </c>
      <c r="I2196" s="0">
        <v>88</v>
      </c>
      <c r="J2196" s="0">
        <v>0</v>
      </c>
      <c r="K2196" s="0">
        <v>1</v>
      </c>
      <c r="L2196" s="0">
        <v>3</v>
      </c>
      <c r="M2196" s="0">
        <v>2</v>
      </c>
      <c r="N2196" s="0">
        <v>0</v>
      </c>
      <c r="O2196" s="0">
        <v>0</v>
      </c>
      <c r="P2196" s="0">
        <v>-88</v>
      </c>
      <c r="R2196" s="0" t="b">
        <v>0</v>
      </c>
      <c r="S2196" s="0" t="b">
        <v>1</v>
      </c>
      <c r="T2196" s="68">
        <v>45212.7960532407</v>
      </c>
      <c r="U2196" s="68">
        <v>45229.3333333333</v>
      </c>
      <c r="V2196" s="68">
        <v>0</v>
      </c>
      <c r="W2196" s="0">
        <f>IF(IF(B2196="none",1,IF(B2196="Trialer",1,0))+IF(C2196="Customer",1,IF(C2196="Lost",1,0))=2,1,0)</f>
      </c>
      <c r="X2196" s="0" t="s">
        <v>166</v>
      </c>
      <c r="Y2196" s="0" t="s">
        <v>499</v>
      </c>
      <c r="AV2196" s="68"/>
      <c r="AW2196" s="68"/>
      <c r="AY2196" s="27"/>
      <c r="BD2196" s="68">
        <v>46054.1666666667</v>
      </c>
      <c r="BE2196" s="68">
        <v>46082.1666666667</v>
      </c>
      <c r="BF2196" s="0" t="b">
        <v>0</v>
      </c>
      <c r="BG2196" s="0" t="b">
        <v>0</v>
      </c>
      <c r="BH2196" s="0">
        <v>98</v>
      </c>
      <c r="BI2196" s="0">
        <v>98</v>
      </c>
      <c r="BJ2196" s="0" t="s">
        <v>230</v>
      </c>
    </row>
    <row r="2197">
      <c r="A2197" s="0" t="s">
        <v>2432</v>
      </c>
      <c r="B2197" s="0" t="s">
        <v>134</v>
      </c>
      <c r="C2197" s="0" t="s">
        <v>134</v>
      </c>
      <c r="D2197" s="0" t="s">
        <v>135</v>
      </c>
      <c r="E2197" s="0" t="s">
        <v>3</v>
      </c>
      <c r="F2197" s="0" t="s">
        <v>12</v>
      </c>
      <c r="G2197" s="0" t="s">
        <v>8</v>
      </c>
      <c r="H2197" s="0">
        <v>838</v>
      </c>
      <c r="I2197" s="0">
        <v>150</v>
      </c>
      <c r="J2197" s="0">
        <v>0</v>
      </c>
      <c r="K2197" s="0">
        <v>1</v>
      </c>
      <c r="L2197" s="0">
        <v>4</v>
      </c>
      <c r="M2197" s="0">
        <v>3</v>
      </c>
      <c r="N2197" s="0">
        <v>0</v>
      </c>
      <c r="O2197" s="0">
        <v>0</v>
      </c>
      <c r="P2197" s="0">
        <v>0</v>
      </c>
      <c r="R2197" s="0" t="b">
        <v>0</v>
      </c>
      <c r="S2197" s="0" t="b">
        <v>1</v>
      </c>
      <c r="T2197" s="68">
        <v>45215.6401273148</v>
      </c>
      <c r="U2197" s="68">
        <v>45215.3333333333</v>
      </c>
      <c r="V2197" s="68">
        <v>0</v>
      </c>
      <c r="W2197" s="0">
        <f>IF(IF(B2197="none",1,IF(B2197="Trialer",1,0))+IF(C2197="Customer",1,IF(C2197="Lost",1,0))=2,1,0)</f>
      </c>
      <c r="X2197" s="0" t="s">
        <v>148</v>
      </c>
      <c r="Y2197" s="0" t="s">
        <v>243</v>
      </c>
      <c r="AV2197" s="68"/>
      <c r="AW2197" s="68"/>
      <c r="AY2197" s="27"/>
      <c r="BD2197" s="68">
        <v>46054.1666666667</v>
      </c>
      <c r="BE2197" s="68">
        <v>46082.1666666667</v>
      </c>
      <c r="BF2197" s="0" t="b">
        <v>0</v>
      </c>
      <c r="BG2197" s="0" t="b">
        <v>0</v>
      </c>
      <c r="BH2197" s="0">
        <v>150</v>
      </c>
      <c r="BI2197" s="0">
        <v>150</v>
      </c>
      <c r="BJ2197" s="0" t="s">
        <v>135</v>
      </c>
    </row>
    <row r="2198">
      <c r="A2198" s="0" t="s">
        <v>2433</v>
      </c>
      <c r="B2198" s="0" t="s">
        <v>134</v>
      </c>
      <c r="C2198" s="0" t="s">
        <v>134</v>
      </c>
      <c r="D2198" s="0" t="s">
        <v>230</v>
      </c>
      <c r="E2198" s="0" t="s">
        <v>2</v>
      </c>
      <c r="F2198" s="0" t="s">
        <v>12</v>
      </c>
      <c r="G2198" s="0" t="s">
        <v>8</v>
      </c>
      <c r="H2198" s="0">
        <v>837</v>
      </c>
      <c r="I2198" s="0">
        <v>132</v>
      </c>
      <c r="J2198" s="0">
        <v>0</v>
      </c>
      <c r="K2198" s="0">
        <v>1</v>
      </c>
      <c r="L2198" s="0">
        <v>3</v>
      </c>
      <c r="M2198" s="0">
        <v>3</v>
      </c>
      <c r="N2198" s="0">
        <v>0</v>
      </c>
      <c r="O2198" s="0">
        <v>0</v>
      </c>
      <c r="P2198" s="0">
        <v>-132</v>
      </c>
      <c r="R2198" s="0" t="b">
        <v>0</v>
      </c>
      <c r="S2198" s="0" t="b">
        <v>1</v>
      </c>
      <c r="T2198" s="68">
        <v>45216.1721527778</v>
      </c>
      <c r="U2198" s="68">
        <v>45230.3333333333</v>
      </c>
      <c r="V2198" s="68">
        <v>0</v>
      </c>
      <c r="W2198" s="0">
        <f>IF(IF(B2198="none",1,IF(B2198="Trialer",1,0))+IF(C2198="Customer",1,IF(C2198="Lost",1,0))=2,1,0)</f>
      </c>
      <c r="X2198" s="0" t="s">
        <v>142</v>
      </c>
      <c r="Y2198" s="0" t="s">
        <v>499</v>
      </c>
      <c r="AV2198" s="68"/>
      <c r="AW2198" s="68"/>
      <c r="AY2198" s="27"/>
      <c r="BD2198" s="68">
        <v>46054.1666666667</v>
      </c>
      <c r="BE2198" s="68">
        <v>46082.1666666667</v>
      </c>
      <c r="BF2198" s="0" t="b">
        <v>0</v>
      </c>
      <c r="BG2198" s="0" t="b">
        <v>0</v>
      </c>
      <c r="BH2198" s="0">
        <v>147</v>
      </c>
      <c r="BI2198" s="0">
        <v>147</v>
      </c>
      <c r="BJ2198" s="0" t="s">
        <v>230</v>
      </c>
    </row>
    <row r="2199">
      <c r="A2199" s="0" t="s">
        <v>2434</v>
      </c>
      <c r="B2199" s="0" t="s">
        <v>134</v>
      </c>
      <c r="C2199" s="0" t="s">
        <v>134</v>
      </c>
      <c r="D2199" s="0" t="s">
        <v>135</v>
      </c>
      <c r="E2199" s="0" t="s">
        <v>3</v>
      </c>
      <c r="F2199" s="0" t="s">
        <v>12</v>
      </c>
      <c r="G2199" s="0" t="s">
        <v>8</v>
      </c>
      <c r="H2199" s="0">
        <v>836</v>
      </c>
      <c r="I2199" s="0">
        <v>196</v>
      </c>
      <c r="J2199" s="0">
        <v>0</v>
      </c>
      <c r="K2199" s="0">
        <v>1</v>
      </c>
      <c r="L2199" s="0">
        <v>3</v>
      </c>
      <c r="M2199" s="0">
        <v>4</v>
      </c>
      <c r="N2199" s="0">
        <v>0</v>
      </c>
      <c r="O2199" s="0">
        <v>0</v>
      </c>
      <c r="P2199" s="0">
        <v>0</v>
      </c>
      <c r="R2199" s="0" t="b">
        <v>0</v>
      </c>
      <c r="S2199" s="0" t="b">
        <v>1</v>
      </c>
      <c r="T2199" s="68">
        <v>45217.5903587963</v>
      </c>
      <c r="U2199" s="68">
        <v>45231.3333333333</v>
      </c>
      <c r="V2199" s="68">
        <v>0</v>
      </c>
      <c r="W2199" s="0">
        <f>IF(IF(B2199="none",1,IF(B2199="Trialer",1,0))+IF(C2199="Customer",1,IF(C2199="Lost",1,0))=2,1,0)</f>
      </c>
      <c r="X2199" s="0" t="s">
        <v>148</v>
      </c>
      <c r="Y2199" s="0" t="s">
        <v>243</v>
      </c>
      <c r="AV2199" s="68"/>
      <c r="AW2199" s="68"/>
      <c r="AY2199" s="27"/>
      <c r="BD2199" s="68">
        <v>46054.1666666667</v>
      </c>
      <c r="BE2199" s="68">
        <v>46082.1666666667</v>
      </c>
      <c r="BF2199" s="0" t="b">
        <v>0</v>
      </c>
      <c r="BG2199" s="0" t="b">
        <v>0</v>
      </c>
      <c r="BH2199" s="0">
        <v>147</v>
      </c>
      <c r="BI2199" s="0">
        <v>147</v>
      </c>
      <c r="BJ2199" s="0" t="s">
        <v>135</v>
      </c>
    </row>
    <row r="2200">
      <c r="A2200" s="0" t="s">
        <v>2435</v>
      </c>
      <c r="B2200" s="0" t="s">
        <v>134</v>
      </c>
      <c r="C2200" s="0" t="s">
        <v>134</v>
      </c>
      <c r="D2200" s="0" t="s">
        <v>230</v>
      </c>
      <c r="E2200" s="0" t="s">
        <v>3</v>
      </c>
      <c r="F2200" s="0" t="s">
        <v>12</v>
      </c>
      <c r="G2200" s="0" t="s">
        <v>8</v>
      </c>
      <c r="H2200" s="0">
        <v>836</v>
      </c>
      <c r="I2200" s="0">
        <v>50.4</v>
      </c>
      <c r="J2200" s="0">
        <v>0</v>
      </c>
      <c r="K2200" s="0">
        <v>1</v>
      </c>
      <c r="L2200" s="0">
        <v>1</v>
      </c>
      <c r="M2200" s="0">
        <v>2</v>
      </c>
      <c r="N2200" s="0">
        <v>0</v>
      </c>
      <c r="O2200" s="0">
        <v>0</v>
      </c>
      <c r="P2200" s="0">
        <v>-50.4</v>
      </c>
      <c r="R2200" s="0" t="b">
        <v>0</v>
      </c>
      <c r="S2200" s="0" t="b">
        <v>1</v>
      </c>
      <c r="T2200" s="68">
        <v>45217.7580324074</v>
      </c>
      <c r="U2200" s="68">
        <v>45231.3333333333</v>
      </c>
      <c r="V2200" s="68">
        <v>0</v>
      </c>
      <c r="W2200" s="0">
        <f>IF(IF(B2200="none",1,IF(B2200="Trialer",1,0))+IF(C2200="Customer",1,IF(C2200="Lost",1,0))=2,1,0)</f>
      </c>
      <c r="X2200" s="0" t="s">
        <v>153</v>
      </c>
      <c r="Y2200" s="0" t="s">
        <v>243</v>
      </c>
      <c r="AV2200" s="68"/>
      <c r="AW2200" s="68"/>
      <c r="AY2200" s="27"/>
      <c r="BD2200" s="68">
        <v>46054.1666666667</v>
      </c>
      <c r="BE2200" s="68">
        <v>46082.1666666667</v>
      </c>
      <c r="BF2200" s="0" t="b">
        <v>0</v>
      </c>
      <c r="BG2200" s="0" t="b">
        <v>0</v>
      </c>
      <c r="BH2200" s="0">
        <v>56</v>
      </c>
      <c r="BI2200" s="0">
        <v>56</v>
      </c>
      <c r="BJ2200" s="0" t="s">
        <v>230</v>
      </c>
    </row>
    <row r="2201">
      <c r="A2201" s="0" t="s">
        <v>2436</v>
      </c>
      <c r="B2201" s="0" t="s">
        <v>134</v>
      </c>
      <c r="C2201" s="0" t="s">
        <v>134</v>
      </c>
      <c r="D2201" s="0" t="s">
        <v>230</v>
      </c>
      <c r="E2201" s="0" t="s">
        <v>3</v>
      </c>
      <c r="F2201" s="0" t="s">
        <v>12</v>
      </c>
      <c r="G2201" s="0" t="s">
        <v>8</v>
      </c>
      <c r="H2201" s="0">
        <v>836</v>
      </c>
      <c r="I2201" s="0">
        <v>25</v>
      </c>
      <c r="J2201" s="0">
        <v>0</v>
      </c>
      <c r="K2201" s="0">
        <v>1</v>
      </c>
      <c r="L2201" s="0">
        <v>1</v>
      </c>
      <c r="M2201" s="0">
        <v>1</v>
      </c>
      <c r="N2201" s="0">
        <v>0</v>
      </c>
      <c r="O2201" s="0">
        <v>0</v>
      </c>
      <c r="P2201" s="0">
        <v>-25</v>
      </c>
      <c r="R2201" s="0" t="b">
        <v>0</v>
      </c>
      <c r="S2201" s="0" t="b">
        <v>1</v>
      </c>
      <c r="T2201" s="68">
        <v>45217.8508217593</v>
      </c>
      <c r="U2201" s="68">
        <v>45231.3333333333</v>
      </c>
      <c r="V2201" s="68">
        <v>0</v>
      </c>
      <c r="W2201" s="0">
        <f>IF(IF(B2201="none",1,IF(B2201="Trialer",1,0))+IF(C2201="Customer",1,IF(C2201="Lost",1,0))=2,1,0)</f>
      </c>
      <c r="X2201" s="0" t="s">
        <v>153</v>
      </c>
      <c r="Y2201" s="0" t="s">
        <v>243</v>
      </c>
      <c r="AV2201" s="68"/>
      <c r="AW2201" s="68"/>
      <c r="AY2201" s="27"/>
      <c r="BD2201" s="68">
        <v>46054.1666666667</v>
      </c>
      <c r="BE2201" s="68">
        <v>46082.1666666667</v>
      </c>
      <c r="BF2201" s="0" t="b">
        <v>0</v>
      </c>
      <c r="BG2201" s="0" t="b">
        <v>0</v>
      </c>
      <c r="BH2201" s="0">
        <v>28</v>
      </c>
      <c r="BI2201" s="0">
        <v>28</v>
      </c>
      <c r="BJ2201" s="0" t="s">
        <v>230</v>
      </c>
    </row>
    <row r="2202">
      <c r="A2202" s="0" t="s">
        <v>2437</v>
      </c>
      <c r="B2202" s="0" t="s">
        <v>134</v>
      </c>
      <c r="C2202" s="0" t="s">
        <v>134</v>
      </c>
      <c r="D2202" s="0" t="s">
        <v>230</v>
      </c>
      <c r="E2202" s="0" t="s">
        <v>3</v>
      </c>
      <c r="F2202" s="0" t="s">
        <v>12</v>
      </c>
      <c r="G2202" s="0" t="s">
        <v>8</v>
      </c>
      <c r="H2202" s="0">
        <v>835</v>
      </c>
      <c r="I2202" s="0">
        <v>30</v>
      </c>
      <c r="J2202" s="0">
        <v>0</v>
      </c>
      <c r="K2202" s="0">
        <v>1</v>
      </c>
      <c r="L2202" s="0">
        <v>2</v>
      </c>
      <c r="M2202" s="0">
        <v>1</v>
      </c>
      <c r="N2202" s="0">
        <v>0</v>
      </c>
      <c r="O2202" s="0">
        <v>0</v>
      </c>
      <c r="P2202" s="0">
        <v>-30</v>
      </c>
      <c r="R2202" s="0" t="b">
        <v>0</v>
      </c>
      <c r="S2202" s="0" t="b">
        <v>1</v>
      </c>
      <c r="T2202" s="68">
        <v>45218.3729166667</v>
      </c>
      <c r="U2202" s="68">
        <v>45238.2916666667</v>
      </c>
      <c r="V2202" s="68">
        <v>0</v>
      </c>
      <c r="W2202" s="0">
        <f>IF(IF(B2202="none",1,IF(B2202="Trialer",1,0))+IF(C2202="Customer",1,IF(C2202="Lost",1,0))=2,1,0)</f>
      </c>
      <c r="X2202" s="0" t="s">
        <v>142</v>
      </c>
      <c r="Y2202" s="0" t="s">
        <v>243</v>
      </c>
      <c r="AV2202" s="68"/>
      <c r="AW2202" s="68"/>
      <c r="AY2202" s="27"/>
      <c r="BD2202" s="68">
        <v>46054.1666666667</v>
      </c>
      <c r="BE2202" s="68">
        <v>46082.1666666667</v>
      </c>
      <c r="BF2202" s="0" t="b">
        <v>0</v>
      </c>
      <c r="BG2202" s="0" t="b">
        <v>0</v>
      </c>
      <c r="BH2202" s="0">
        <v>40</v>
      </c>
      <c r="BI2202" s="0">
        <v>40</v>
      </c>
      <c r="BJ2202" s="0" t="s">
        <v>230</v>
      </c>
    </row>
    <row r="2203">
      <c r="A2203" s="0" t="s">
        <v>2438</v>
      </c>
      <c r="B2203" s="0" t="s">
        <v>134</v>
      </c>
      <c r="C2203" s="0" t="s">
        <v>134</v>
      </c>
      <c r="D2203" s="0" t="s">
        <v>135</v>
      </c>
      <c r="E2203" s="0" t="s">
        <v>3</v>
      </c>
      <c r="F2203" s="0" t="s">
        <v>12</v>
      </c>
      <c r="G2203" s="0" t="s">
        <v>8</v>
      </c>
      <c r="H2203" s="0">
        <v>834</v>
      </c>
      <c r="I2203" s="0">
        <v>176</v>
      </c>
      <c r="J2203" s="0">
        <v>0</v>
      </c>
      <c r="K2203" s="0">
        <v>1</v>
      </c>
      <c r="L2203" s="0">
        <v>3</v>
      </c>
      <c r="M2203" s="0">
        <v>5</v>
      </c>
      <c r="N2203" s="0">
        <v>0</v>
      </c>
      <c r="O2203" s="0">
        <v>0</v>
      </c>
      <c r="P2203" s="0">
        <v>0</v>
      </c>
      <c r="R2203" s="0" t="b">
        <v>0</v>
      </c>
      <c r="S2203" s="0" t="b">
        <v>1</v>
      </c>
      <c r="T2203" s="68">
        <v>45219.5016087963</v>
      </c>
      <c r="U2203" s="68">
        <v>45233.3333333333</v>
      </c>
      <c r="V2203" s="68">
        <v>0</v>
      </c>
      <c r="W2203" s="0">
        <f>IF(IF(B2203="none",1,IF(B2203="Trialer",1,0))+IF(C2203="Customer",1,IF(C2203="Lost",1,0))=2,1,0)</f>
      </c>
      <c r="X2203" s="0" t="s">
        <v>145</v>
      </c>
      <c r="Y2203" s="0" t="s">
        <v>243</v>
      </c>
      <c r="AV2203" s="68"/>
      <c r="AW2203" s="68"/>
      <c r="AY2203" s="27"/>
      <c r="BD2203" s="68">
        <v>46054.1666666667</v>
      </c>
      <c r="BE2203" s="68">
        <v>46082.1666666667</v>
      </c>
      <c r="BF2203" s="0" t="b">
        <v>0</v>
      </c>
      <c r="BG2203" s="0" t="b">
        <v>0</v>
      </c>
      <c r="BH2203" s="0">
        <v>176</v>
      </c>
      <c r="BI2203" s="0">
        <v>176</v>
      </c>
      <c r="BJ2203" s="0" t="s">
        <v>135</v>
      </c>
    </row>
    <row r="2204">
      <c r="A2204" s="0" t="s">
        <v>2439</v>
      </c>
      <c r="B2204" s="0" t="s">
        <v>134</v>
      </c>
      <c r="C2204" s="0" t="s">
        <v>134</v>
      </c>
      <c r="D2204" s="0" t="s">
        <v>230</v>
      </c>
      <c r="E2204" s="0" t="s">
        <v>3</v>
      </c>
      <c r="F2204" s="0" t="s">
        <v>12</v>
      </c>
      <c r="G2204" s="0" t="s">
        <v>8</v>
      </c>
      <c r="H2204" s="0">
        <v>833</v>
      </c>
      <c r="I2204" s="0">
        <v>36</v>
      </c>
      <c r="J2204" s="0">
        <v>0</v>
      </c>
      <c r="K2204" s="0">
        <v>1</v>
      </c>
      <c r="L2204" s="0">
        <v>2</v>
      </c>
      <c r="M2204" s="0">
        <v>1</v>
      </c>
      <c r="N2204" s="0">
        <v>0</v>
      </c>
      <c r="O2204" s="0">
        <v>0</v>
      </c>
      <c r="P2204" s="0">
        <v>-36</v>
      </c>
      <c r="R2204" s="0" t="b">
        <v>0</v>
      </c>
      <c r="S2204" s="0" t="b">
        <v>1</v>
      </c>
      <c r="T2204" s="68">
        <v>45220.8500694444</v>
      </c>
      <c r="U2204" s="68">
        <v>45234.3333333333</v>
      </c>
      <c r="V2204" s="68">
        <v>0</v>
      </c>
      <c r="W2204" s="0">
        <f>IF(IF(B2204="none",1,IF(B2204="Trialer",1,0))+IF(C2204="Customer",1,IF(C2204="Lost",1,0))=2,1,0)</f>
      </c>
      <c r="X2204" s="0" t="s">
        <v>142</v>
      </c>
      <c r="Y2204" s="0" t="s">
        <v>243</v>
      </c>
      <c r="AV2204" s="68"/>
      <c r="AW2204" s="68"/>
      <c r="AY2204" s="27"/>
      <c r="BD2204" s="68">
        <v>46054.1666666667</v>
      </c>
      <c r="BE2204" s="68">
        <v>46082.1666666667</v>
      </c>
      <c r="BF2204" s="0" t="b">
        <v>0</v>
      </c>
      <c r="BG2204" s="0" t="b">
        <v>0</v>
      </c>
      <c r="BH2204" s="0">
        <v>40</v>
      </c>
      <c r="BI2204" s="0">
        <v>40</v>
      </c>
      <c r="BJ2204" s="0" t="s">
        <v>230</v>
      </c>
    </row>
    <row r="2205">
      <c r="A2205" s="0" t="s">
        <v>2440</v>
      </c>
      <c r="B2205" s="0" t="s">
        <v>134</v>
      </c>
      <c r="C2205" s="0" t="s">
        <v>134</v>
      </c>
      <c r="D2205" s="0" t="s">
        <v>135</v>
      </c>
      <c r="E2205" s="0" t="s">
        <v>2</v>
      </c>
      <c r="F2205" s="0" t="s">
        <v>12</v>
      </c>
      <c r="G2205" s="0" t="s">
        <v>8</v>
      </c>
      <c r="H2205" s="0">
        <v>831</v>
      </c>
      <c r="I2205" s="0">
        <v>120</v>
      </c>
      <c r="J2205" s="0">
        <v>0</v>
      </c>
      <c r="K2205" s="0">
        <v>1</v>
      </c>
      <c r="L2205" s="0">
        <v>2</v>
      </c>
      <c r="M2205" s="0">
        <v>3</v>
      </c>
      <c r="N2205" s="0">
        <v>0</v>
      </c>
      <c r="O2205" s="0">
        <v>0</v>
      </c>
      <c r="P2205" s="0">
        <v>0</v>
      </c>
      <c r="R2205" s="0" t="b">
        <v>0</v>
      </c>
      <c r="S2205" s="0" t="b">
        <v>1</v>
      </c>
      <c r="T2205" s="68">
        <v>45222.5052083333</v>
      </c>
      <c r="U2205" s="68">
        <v>45236.2916666667</v>
      </c>
      <c r="V2205" s="68">
        <v>0</v>
      </c>
      <c r="W2205" s="0">
        <f>IF(IF(B2205="none",1,IF(B2205="Trialer",1,0))+IF(C2205="Customer",1,IF(C2205="Lost",1,0))=2,1,0)</f>
      </c>
      <c r="X2205" s="0" t="s">
        <v>142</v>
      </c>
      <c r="Y2205" s="0" t="s">
        <v>499</v>
      </c>
      <c r="AV2205" s="68"/>
      <c r="AW2205" s="68"/>
      <c r="AY2205" s="27"/>
      <c r="BD2205" s="68">
        <v>46054.1666666667</v>
      </c>
      <c r="BE2205" s="68">
        <v>46082.1666666667</v>
      </c>
      <c r="BF2205" s="0" t="b">
        <v>0</v>
      </c>
      <c r="BG2205" s="0" t="b">
        <v>0</v>
      </c>
      <c r="BH2205" s="0">
        <v>120</v>
      </c>
      <c r="BI2205" s="0">
        <v>120</v>
      </c>
      <c r="BJ2205" s="0" t="s">
        <v>135</v>
      </c>
    </row>
    <row r="2206">
      <c r="A2206" s="0" t="s">
        <v>2441</v>
      </c>
      <c r="B2206" s="0" t="s">
        <v>134</v>
      </c>
      <c r="C2206" s="0" t="s">
        <v>134</v>
      </c>
      <c r="D2206" s="0" t="s">
        <v>135</v>
      </c>
      <c r="E2206" s="0" t="s">
        <v>3</v>
      </c>
      <c r="F2206" s="0" t="s">
        <v>10</v>
      </c>
      <c r="G2206" s="0" t="s">
        <v>8</v>
      </c>
      <c r="H2206" s="0">
        <v>830</v>
      </c>
      <c r="I2206" s="0">
        <v>49</v>
      </c>
      <c r="J2206" s="0">
        <v>0</v>
      </c>
      <c r="K2206" s="0">
        <v>1</v>
      </c>
      <c r="L2206" s="0">
        <v>3</v>
      </c>
      <c r="M2206" s="0">
        <v>1</v>
      </c>
      <c r="N2206" s="0">
        <v>0</v>
      </c>
      <c r="O2206" s="0">
        <v>0</v>
      </c>
      <c r="P2206" s="0">
        <v>0</v>
      </c>
      <c r="Q2206" s="0" t="s">
        <v>2442</v>
      </c>
      <c r="R2206" s="0" t="b">
        <v>0</v>
      </c>
      <c r="S2206" s="0" t="b">
        <v>1</v>
      </c>
      <c r="T2206" s="68">
        <v>45223.6746990741</v>
      </c>
      <c r="U2206" s="68">
        <v>45237.2916666667</v>
      </c>
      <c r="V2206" s="68">
        <v>0</v>
      </c>
      <c r="W2206" s="0">
        <f>IF(IF(B2206="none",1,IF(B2206="Trialer",1,0))+IF(C2206="Customer",1,IF(C2206="Lost",1,0))=2,1,0)</f>
      </c>
      <c r="X2206" s="0" t="s">
        <v>136</v>
      </c>
      <c r="Y2206" s="0" t="s">
        <v>243</v>
      </c>
      <c r="AV2206" s="68"/>
      <c r="AW2206" s="68"/>
      <c r="AY2206" s="27"/>
      <c r="BD2206" s="68">
        <v>46054.1666666667</v>
      </c>
      <c r="BE2206" s="68">
        <v>46082.1666666667</v>
      </c>
      <c r="BF2206" s="0" t="b">
        <v>0</v>
      </c>
      <c r="BG2206" s="0" t="b">
        <v>0</v>
      </c>
      <c r="BH2206" s="0">
        <v>49</v>
      </c>
      <c r="BI2206" s="0">
        <v>49</v>
      </c>
      <c r="BJ2206" s="0" t="s">
        <v>135</v>
      </c>
    </row>
    <row r="2207">
      <c r="A2207" s="0" t="s">
        <v>2443</v>
      </c>
      <c r="B2207" s="0" t="s">
        <v>134</v>
      </c>
      <c r="C2207" s="0" t="s">
        <v>134</v>
      </c>
      <c r="D2207" s="0" t="s">
        <v>135</v>
      </c>
      <c r="E2207" s="0" t="s">
        <v>3</v>
      </c>
      <c r="F2207" s="0" t="s">
        <v>12</v>
      </c>
      <c r="G2207" s="0" t="s">
        <v>8</v>
      </c>
      <c r="H2207" s="0">
        <v>829</v>
      </c>
      <c r="I2207" s="0">
        <v>85</v>
      </c>
      <c r="J2207" s="0">
        <v>0</v>
      </c>
      <c r="K2207" s="0">
        <v>1</v>
      </c>
      <c r="L2207" s="0">
        <v>6</v>
      </c>
      <c r="M2207" s="0">
        <v>1</v>
      </c>
      <c r="N2207" s="0">
        <v>0</v>
      </c>
      <c r="O2207" s="0">
        <v>0</v>
      </c>
      <c r="P2207" s="0">
        <v>0</v>
      </c>
      <c r="R2207" s="0" t="b">
        <v>0</v>
      </c>
      <c r="S2207" s="0" t="b">
        <v>1</v>
      </c>
      <c r="T2207" s="68">
        <v>45224.2732523148</v>
      </c>
      <c r="U2207" s="68">
        <v>45238.2916666667</v>
      </c>
      <c r="V2207" s="68">
        <v>0</v>
      </c>
      <c r="W2207" s="0">
        <f>IF(IF(B2207="none",1,IF(B2207="Trialer",1,0))+IF(C2207="Customer",1,IF(C2207="Lost",1,0))=2,1,0)</f>
      </c>
      <c r="X2207" s="0" t="s">
        <v>153</v>
      </c>
      <c r="Y2207" s="0" t="s">
        <v>243</v>
      </c>
      <c r="AV2207" s="68"/>
      <c r="AW2207" s="68"/>
      <c r="AY2207" s="27"/>
      <c r="BD2207" s="68">
        <v>46054.1666666667</v>
      </c>
      <c r="BE2207" s="68">
        <v>46082.1666666667</v>
      </c>
      <c r="BF2207" s="0" t="b">
        <v>0</v>
      </c>
      <c r="BG2207" s="0" t="b">
        <v>0</v>
      </c>
      <c r="BH2207" s="0">
        <v>85</v>
      </c>
      <c r="BI2207" s="0">
        <v>85</v>
      </c>
      <c r="BJ2207" s="0" t="s">
        <v>135</v>
      </c>
    </row>
    <row r="2208">
      <c r="A2208" s="0" t="s">
        <v>2444</v>
      </c>
      <c r="B2208" s="0" t="s">
        <v>134</v>
      </c>
      <c r="C2208" s="0" t="s">
        <v>134</v>
      </c>
      <c r="D2208" s="0" t="s">
        <v>135</v>
      </c>
      <c r="E2208" s="0" t="s">
        <v>3</v>
      </c>
      <c r="F2208" s="0" t="s">
        <v>12</v>
      </c>
      <c r="G2208" s="0" t="s">
        <v>8</v>
      </c>
      <c r="H2208" s="0">
        <v>828</v>
      </c>
      <c r="I2208" s="0">
        <v>28</v>
      </c>
      <c r="J2208" s="0">
        <v>0</v>
      </c>
      <c r="K2208" s="0">
        <v>1</v>
      </c>
      <c r="L2208" s="0">
        <v>1</v>
      </c>
      <c r="M2208" s="0">
        <v>1</v>
      </c>
      <c r="N2208" s="0">
        <v>0</v>
      </c>
      <c r="O2208" s="0">
        <v>0</v>
      </c>
      <c r="P2208" s="0">
        <v>0</v>
      </c>
      <c r="R2208" s="0" t="b">
        <v>0</v>
      </c>
      <c r="S2208" s="0" t="b">
        <v>0</v>
      </c>
      <c r="T2208" s="68">
        <v>45225.3537615741</v>
      </c>
      <c r="U2208" s="68">
        <v>45239.2916666667</v>
      </c>
      <c r="V2208" s="68">
        <v>46094.4549421296</v>
      </c>
      <c r="W2208" s="0">
        <f>IF(IF(B2208="none",1,IF(B2208="Trialer",1,0))+IF(C2208="Customer",1,IF(C2208="Lost",1,0))=2,1,0)</f>
      </c>
      <c r="X2208" s="0" t="s">
        <v>166</v>
      </c>
      <c r="Y2208" s="0" t="s">
        <v>243</v>
      </c>
      <c r="AV2208" s="68"/>
      <c r="AW2208" s="68"/>
      <c r="AY2208" s="27"/>
      <c r="BD2208" s="68">
        <v>46054.1666666667</v>
      </c>
      <c r="BE2208" s="68">
        <v>46082.1666666667</v>
      </c>
      <c r="BF2208" s="0" t="b">
        <v>0</v>
      </c>
      <c r="BG2208" s="0" t="b">
        <v>0</v>
      </c>
      <c r="BH2208" s="0">
        <v>28</v>
      </c>
      <c r="BI2208" s="0">
        <v>28</v>
      </c>
      <c r="BJ2208" s="0" t="s">
        <v>135</v>
      </c>
    </row>
    <row r="2209">
      <c r="A2209" s="0" t="s">
        <v>2445</v>
      </c>
      <c r="B2209" s="0" t="s">
        <v>134</v>
      </c>
      <c r="C2209" s="0" t="s">
        <v>134</v>
      </c>
      <c r="D2209" s="0" t="s">
        <v>135</v>
      </c>
      <c r="E2209" s="0" t="s">
        <v>2</v>
      </c>
      <c r="F2209" s="0" t="s">
        <v>12</v>
      </c>
      <c r="G2209" s="0" t="s">
        <v>8</v>
      </c>
      <c r="H2209" s="0">
        <v>827</v>
      </c>
      <c r="I2209" s="0">
        <v>49</v>
      </c>
      <c r="J2209" s="0">
        <v>0</v>
      </c>
      <c r="K2209" s="0">
        <v>1</v>
      </c>
      <c r="L2209" s="0">
        <v>3</v>
      </c>
      <c r="M2209" s="0">
        <v>1</v>
      </c>
      <c r="N2209" s="0">
        <v>0</v>
      </c>
      <c r="O2209" s="0">
        <v>0</v>
      </c>
      <c r="P2209" s="0">
        <v>0</v>
      </c>
      <c r="R2209" s="0" t="b">
        <v>0</v>
      </c>
      <c r="S2209" s="0" t="b">
        <v>1</v>
      </c>
      <c r="T2209" s="68">
        <v>45226.4762268519</v>
      </c>
      <c r="U2209" s="68">
        <v>45240.2916666667</v>
      </c>
      <c r="V2209" s="68">
        <v>0</v>
      </c>
      <c r="W2209" s="0">
        <f>IF(IF(B2209="none",1,IF(B2209="Trialer",1,0))+IF(C2209="Customer",1,IF(C2209="Lost",1,0))=2,1,0)</f>
      </c>
      <c r="X2209" s="0" t="s">
        <v>142</v>
      </c>
      <c r="Y2209" s="0" t="s">
        <v>499</v>
      </c>
      <c r="AV2209" s="68"/>
      <c r="AW2209" s="68"/>
      <c r="AY2209" s="27"/>
      <c r="BD2209" s="68">
        <v>46054.1666666667</v>
      </c>
      <c r="BE2209" s="68">
        <v>46082.1666666667</v>
      </c>
      <c r="BF2209" s="0" t="b">
        <v>0</v>
      </c>
      <c r="BG2209" s="0" t="b">
        <v>0</v>
      </c>
      <c r="BH2209" s="0">
        <v>49</v>
      </c>
      <c r="BI2209" s="0">
        <v>49</v>
      </c>
      <c r="BJ2209" s="0" t="s">
        <v>135</v>
      </c>
    </row>
    <row r="2210">
      <c r="A2210" s="0" t="s">
        <v>2446</v>
      </c>
      <c r="B2210" s="0" t="s">
        <v>134</v>
      </c>
      <c r="C2210" s="0" t="s">
        <v>134</v>
      </c>
      <c r="D2210" s="0" t="s">
        <v>135</v>
      </c>
      <c r="E2210" s="0" t="s">
        <v>2</v>
      </c>
      <c r="F2210" s="0" t="s">
        <v>12</v>
      </c>
      <c r="G2210" s="0" t="s">
        <v>8</v>
      </c>
      <c r="H2210" s="0">
        <v>827</v>
      </c>
      <c r="I2210" s="0">
        <v>49</v>
      </c>
      <c r="J2210" s="0">
        <v>0</v>
      </c>
      <c r="K2210" s="0">
        <v>1</v>
      </c>
      <c r="L2210" s="0">
        <v>3</v>
      </c>
      <c r="M2210" s="0">
        <v>1</v>
      </c>
      <c r="N2210" s="0">
        <v>0</v>
      </c>
      <c r="O2210" s="0">
        <v>0</v>
      </c>
      <c r="P2210" s="0">
        <v>0</v>
      </c>
      <c r="R2210" s="0" t="b">
        <v>0</v>
      </c>
      <c r="S2210" s="0" t="b">
        <v>1</v>
      </c>
      <c r="T2210" s="68">
        <v>45226.5242476852</v>
      </c>
      <c r="U2210" s="68">
        <v>45240.2916666667</v>
      </c>
      <c r="V2210" s="68">
        <v>0</v>
      </c>
      <c r="W2210" s="0">
        <f>IF(IF(B2210="none",1,IF(B2210="Trialer",1,0))+IF(C2210="Customer",1,IF(C2210="Lost",1,0))=2,1,0)</f>
      </c>
      <c r="X2210" s="0" t="s">
        <v>153</v>
      </c>
      <c r="Y2210" s="0" t="s">
        <v>499</v>
      </c>
      <c r="AV2210" s="68"/>
      <c r="AW2210" s="68"/>
      <c r="AY2210" s="27"/>
      <c r="BD2210" s="68">
        <v>46054.1666666667</v>
      </c>
      <c r="BE2210" s="68">
        <v>46082.1666666667</v>
      </c>
      <c r="BF2210" s="0" t="b">
        <v>0</v>
      </c>
      <c r="BG2210" s="0" t="b">
        <v>0</v>
      </c>
      <c r="BH2210" s="0">
        <v>49</v>
      </c>
      <c r="BI2210" s="0">
        <v>49</v>
      </c>
      <c r="BJ2210" s="0" t="s">
        <v>135</v>
      </c>
    </row>
    <row r="2211">
      <c r="A2211" s="0" t="s">
        <v>2447</v>
      </c>
      <c r="B2211" s="0" t="s">
        <v>134</v>
      </c>
      <c r="C2211" s="0" t="s">
        <v>134</v>
      </c>
      <c r="D2211" s="0" t="s">
        <v>135</v>
      </c>
      <c r="E2211" s="0" t="s">
        <v>3</v>
      </c>
      <c r="F2211" s="0" t="s">
        <v>12</v>
      </c>
      <c r="G2211" s="0" t="s">
        <v>8</v>
      </c>
      <c r="H2211" s="0">
        <v>824</v>
      </c>
      <c r="I2211" s="0">
        <v>298</v>
      </c>
      <c r="J2211" s="0">
        <v>0</v>
      </c>
      <c r="K2211" s="0">
        <v>1</v>
      </c>
      <c r="L2211" s="0">
        <v>3</v>
      </c>
      <c r="M2211" s="0">
        <v>7</v>
      </c>
      <c r="N2211" s="0">
        <v>0</v>
      </c>
      <c r="O2211" s="0">
        <v>0</v>
      </c>
      <c r="P2211" s="0">
        <v>0</v>
      </c>
      <c r="R2211" s="0" t="b">
        <v>0</v>
      </c>
      <c r="S2211" s="0" t="b">
        <v>1</v>
      </c>
      <c r="T2211" s="68">
        <v>45229.3791782407</v>
      </c>
      <c r="U2211" s="68">
        <v>45243.2916666667</v>
      </c>
      <c r="V2211" s="68">
        <v>0</v>
      </c>
      <c r="W2211" s="0">
        <f>IF(IF(B2211="none",1,IF(B2211="Trialer",1,0))+IF(C2211="Customer",1,IF(C2211="Lost",1,0))=2,1,0)</f>
      </c>
      <c r="X2211" s="0" t="s">
        <v>882</v>
      </c>
      <c r="Y2211" s="0" t="s">
        <v>243</v>
      </c>
      <c r="AV2211" s="68"/>
      <c r="AW2211" s="68"/>
      <c r="AY2211" s="27"/>
      <c r="BD2211" s="68">
        <v>46054.1666666667</v>
      </c>
      <c r="BE2211" s="68">
        <v>46082.1666666667</v>
      </c>
      <c r="BF2211" s="0" t="b">
        <v>0</v>
      </c>
      <c r="BG2211" s="0" t="b">
        <v>0</v>
      </c>
      <c r="BH2211" s="0">
        <v>298</v>
      </c>
      <c r="BI2211" s="0">
        <v>298</v>
      </c>
      <c r="BJ2211" s="0" t="s">
        <v>135</v>
      </c>
    </row>
    <row r="2212">
      <c r="A2212" s="0" t="s">
        <v>2448</v>
      </c>
      <c r="B2212" s="0" t="s">
        <v>134</v>
      </c>
      <c r="C2212" s="0" t="s">
        <v>134</v>
      </c>
      <c r="D2212" s="0" t="s">
        <v>135</v>
      </c>
      <c r="E2212" s="0" t="s">
        <v>3</v>
      </c>
      <c r="F2212" s="0" t="s">
        <v>12</v>
      </c>
      <c r="G2212" s="0" t="s">
        <v>8</v>
      </c>
      <c r="H2212" s="0">
        <v>824</v>
      </c>
      <c r="I2212" s="0">
        <v>134</v>
      </c>
      <c r="J2212" s="0">
        <v>0</v>
      </c>
      <c r="K2212" s="0">
        <v>1</v>
      </c>
      <c r="L2212" s="0">
        <v>5</v>
      </c>
      <c r="M2212" s="0">
        <v>2</v>
      </c>
      <c r="N2212" s="0">
        <v>0</v>
      </c>
      <c r="O2212" s="0">
        <v>0</v>
      </c>
      <c r="P2212" s="0">
        <v>0</v>
      </c>
      <c r="R2212" s="0" t="b">
        <v>0</v>
      </c>
      <c r="S2212" s="0" t="b">
        <v>1</v>
      </c>
      <c r="T2212" s="68">
        <v>45229.5124074074</v>
      </c>
      <c r="U2212" s="68">
        <v>45243.2916666667</v>
      </c>
      <c r="V2212" s="68">
        <v>0</v>
      </c>
      <c r="W2212" s="0">
        <f>IF(IF(B2212="none",1,IF(B2212="Trialer",1,0))+IF(C2212="Customer",1,IF(C2212="Lost",1,0))=2,1,0)</f>
      </c>
      <c r="X2212" s="0" t="s">
        <v>153</v>
      </c>
      <c r="Y2212" s="0" t="s">
        <v>243</v>
      </c>
      <c r="AV2212" s="68"/>
      <c r="AW2212" s="68"/>
      <c r="AY2212" s="27"/>
      <c r="BD2212" s="68">
        <v>46054.1666666667</v>
      </c>
      <c r="BE2212" s="68">
        <v>46082.1666666667</v>
      </c>
      <c r="BF2212" s="0" t="b">
        <v>0</v>
      </c>
      <c r="BG2212" s="0" t="b">
        <v>0</v>
      </c>
      <c r="BH2212" s="0">
        <v>134</v>
      </c>
      <c r="BI2212" s="0">
        <v>134</v>
      </c>
      <c r="BJ2212" s="0" t="s">
        <v>135</v>
      </c>
    </row>
    <row r="2213">
      <c r="A2213" s="0" t="s">
        <v>2449</v>
      </c>
      <c r="B2213" s="0" t="s">
        <v>134</v>
      </c>
      <c r="C2213" s="0" t="s">
        <v>134</v>
      </c>
      <c r="D2213" s="0" t="s">
        <v>135</v>
      </c>
      <c r="E2213" s="0" t="s">
        <v>3</v>
      </c>
      <c r="F2213" s="0" t="s">
        <v>12</v>
      </c>
      <c r="G2213" s="0" t="s">
        <v>8</v>
      </c>
      <c r="H2213" s="0">
        <v>822</v>
      </c>
      <c r="I2213" s="0">
        <v>211</v>
      </c>
      <c r="J2213" s="0">
        <v>0</v>
      </c>
      <c r="K2213" s="0">
        <v>1</v>
      </c>
      <c r="L2213" s="0">
        <v>4</v>
      </c>
      <c r="M2213" s="0">
        <v>4</v>
      </c>
      <c r="N2213" s="0">
        <v>0</v>
      </c>
      <c r="O2213" s="0">
        <v>0</v>
      </c>
      <c r="P2213" s="0">
        <v>0</v>
      </c>
      <c r="R2213" s="0" t="b">
        <v>0</v>
      </c>
      <c r="S2213" s="0" t="b">
        <v>1</v>
      </c>
      <c r="T2213" s="68">
        <v>45231.5434143519</v>
      </c>
      <c r="U2213" s="68">
        <v>45245.2916666667</v>
      </c>
      <c r="V2213" s="68">
        <v>0</v>
      </c>
      <c r="W2213" s="0">
        <f>IF(IF(B2213="none",1,IF(B2213="Trialer",1,0))+IF(C2213="Customer",1,IF(C2213="Lost",1,0))=2,1,0)</f>
      </c>
      <c r="X2213" s="0" t="s">
        <v>136</v>
      </c>
      <c r="Y2213" s="0" t="s">
        <v>243</v>
      </c>
      <c r="AV2213" s="68"/>
      <c r="AW2213" s="68"/>
      <c r="AY2213" s="27"/>
      <c r="BD2213" s="68">
        <v>46054.1666666667</v>
      </c>
      <c r="BE2213" s="68">
        <v>46082.1666666667</v>
      </c>
      <c r="BF2213" s="0" t="b">
        <v>0</v>
      </c>
      <c r="BG2213" s="0" t="b">
        <v>0</v>
      </c>
      <c r="BH2213" s="0">
        <v>211</v>
      </c>
      <c r="BI2213" s="0">
        <v>211</v>
      </c>
      <c r="BJ2213" s="0" t="s">
        <v>135</v>
      </c>
    </row>
    <row r="2214">
      <c r="A2214" s="0" t="s">
        <v>2450</v>
      </c>
      <c r="B2214" s="0" t="s">
        <v>134</v>
      </c>
      <c r="C2214" s="0" t="s">
        <v>134</v>
      </c>
      <c r="D2214" s="0" t="s">
        <v>135</v>
      </c>
      <c r="E2214" s="0" t="s">
        <v>2</v>
      </c>
      <c r="F2214" s="0" t="s">
        <v>12</v>
      </c>
      <c r="G2214" s="0" t="s">
        <v>8</v>
      </c>
      <c r="H2214" s="0">
        <v>822</v>
      </c>
      <c r="I2214" s="0">
        <v>507</v>
      </c>
      <c r="J2214" s="0">
        <v>0</v>
      </c>
      <c r="K2214" s="0">
        <v>1</v>
      </c>
      <c r="L2214" s="0">
        <v>5</v>
      </c>
      <c r="M2214" s="0">
        <v>9</v>
      </c>
      <c r="N2214" s="0">
        <v>0</v>
      </c>
      <c r="O2214" s="0">
        <v>0</v>
      </c>
      <c r="P2214" s="0">
        <v>0</v>
      </c>
      <c r="R2214" s="0" t="b">
        <v>0</v>
      </c>
      <c r="S2214" s="0" t="b">
        <v>1</v>
      </c>
      <c r="T2214" s="68">
        <v>45231.5871527778</v>
      </c>
      <c r="U2214" s="68">
        <v>45259.2916666667</v>
      </c>
      <c r="V2214" s="68">
        <v>0</v>
      </c>
      <c r="W2214" s="0">
        <f>IF(IF(B2214="none",1,IF(B2214="Trialer",1,0))+IF(C2214="Customer",1,IF(C2214="Lost",1,0))=2,1,0)</f>
      </c>
      <c r="X2214" s="0" t="s">
        <v>145</v>
      </c>
      <c r="Y2214" s="0" t="s">
        <v>499</v>
      </c>
      <c r="AV2214" s="68"/>
      <c r="AW2214" s="68"/>
      <c r="AY2214" s="27"/>
      <c r="BD2214" s="68">
        <v>46054.1666666667</v>
      </c>
      <c r="BE2214" s="68">
        <v>46082.1666666667</v>
      </c>
      <c r="BF2214" s="0" t="b">
        <v>0</v>
      </c>
      <c r="BG2214" s="0" t="b">
        <v>0</v>
      </c>
      <c r="BH2214" s="0">
        <v>507</v>
      </c>
      <c r="BI2214" s="0">
        <v>507</v>
      </c>
      <c r="BJ2214" s="0" t="s">
        <v>135</v>
      </c>
    </row>
    <row r="2215">
      <c r="A2215" s="0" t="s">
        <v>2451</v>
      </c>
      <c r="B2215" s="0" t="s">
        <v>134</v>
      </c>
      <c r="C2215" s="0" t="s">
        <v>134</v>
      </c>
      <c r="D2215" s="0" t="s">
        <v>135</v>
      </c>
      <c r="E2215" s="0" t="s">
        <v>3</v>
      </c>
      <c r="F2215" s="0" t="s">
        <v>10</v>
      </c>
      <c r="G2215" s="0" t="s">
        <v>8</v>
      </c>
      <c r="H2215" s="0">
        <v>822</v>
      </c>
      <c r="I2215" s="0">
        <v>28</v>
      </c>
      <c r="J2215" s="0">
        <v>0</v>
      </c>
      <c r="K2215" s="0">
        <v>1</v>
      </c>
      <c r="L2215" s="0">
        <v>1</v>
      </c>
      <c r="M2215" s="0">
        <v>1</v>
      </c>
      <c r="N2215" s="0">
        <v>0</v>
      </c>
      <c r="O2215" s="0">
        <v>0</v>
      </c>
      <c r="P2215" s="0">
        <v>0</v>
      </c>
      <c r="Q2215" s="0" t="s">
        <v>618</v>
      </c>
      <c r="R2215" s="0" t="b">
        <v>0</v>
      </c>
      <c r="S2215" s="0" t="b">
        <v>1</v>
      </c>
      <c r="T2215" s="68">
        <v>45231.6458912037</v>
      </c>
      <c r="U2215" s="68">
        <v>45245.2916666667</v>
      </c>
      <c r="V2215" s="68">
        <v>0</v>
      </c>
      <c r="W2215" s="0">
        <f>IF(IF(B2215="none",1,IF(B2215="Trialer",1,0))+IF(C2215="Customer",1,IF(C2215="Lost",1,0))=2,1,0)</f>
      </c>
      <c r="X2215" s="0" t="s">
        <v>148</v>
      </c>
      <c r="Y2215" s="0" t="s">
        <v>243</v>
      </c>
      <c r="AV2215" s="68"/>
      <c r="AW2215" s="68"/>
      <c r="AY2215" s="27"/>
      <c r="BD2215" s="68">
        <v>46054.1666666667</v>
      </c>
      <c r="BE2215" s="68">
        <v>46082.1666666667</v>
      </c>
      <c r="BF2215" s="0" t="b">
        <v>0</v>
      </c>
      <c r="BG2215" s="0" t="b">
        <v>0</v>
      </c>
      <c r="BH2215" s="0">
        <v>28</v>
      </c>
      <c r="BI2215" s="0">
        <v>28</v>
      </c>
      <c r="BJ2215" s="0" t="s">
        <v>135</v>
      </c>
    </row>
    <row r="2216">
      <c r="A2216" s="0" t="s">
        <v>2452</v>
      </c>
      <c r="B2216" s="0" t="s">
        <v>134</v>
      </c>
      <c r="C2216" s="0" t="s">
        <v>134</v>
      </c>
      <c r="D2216" s="0" t="s">
        <v>135</v>
      </c>
      <c r="E2216" s="0" t="s">
        <v>3</v>
      </c>
      <c r="F2216" s="0" t="s">
        <v>11</v>
      </c>
      <c r="G2216" s="0" t="s">
        <v>8</v>
      </c>
      <c r="H2216" s="0">
        <v>821</v>
      </c>
      <c r="I2216" s="0">
        <v>156.8</v>
      </c>
      <c r="J2216" s="0">
        <v>0</v>
      </c>
      <c r="K2216" s="0">
        <v>1</v>
      </c>
      <c r="L2216" s="0">
        <v>3</v>
      </c>
      <c r="M2216" s="0">
        <v>4</v>
      </c>
      <c r="N2216" s="0">
        <v>0</v>
      </c>
      <c r="O2216" s="0">
        <v>0</v>
      </c>
      <c r="P2216" s="0">
        <v>0</v>
      </c>
      <c r="Q2216" s="0" t="s">
        <v>1743</v>
      </c>
      <c r="R2216" s="0" t="b">
        <v>1</v>
      </c>
      <c r="S2216" s="0" t="b">
        <v>1</v>
      </c>
      <c r="T2216" s="68">
        <v>45232.6932986111</v>
      </c>
      <c r="U2216" s="68">
        <v>45232.3333333333</v>
      </c>
      <c r="V2216" s="68">
        <v>0</v>
      </c>
      <c r="W2216" s="0">
        <f>IF(IF(B2216="none",1,IF(B2216="Trialer",1,0))+IF(C2216="Customer",1,IF(C2216="Lost",1,0))=2,1,0)</f>
      </c>
      <c r="X2216" s="0" t="s">
        <v>145</v>
      </c>
      <c r="Y2216" s="0" t="s">
        <v>243</v>
      </c>
      <c r="AV2216" s="68"/>
      <c r="AW2216" s="68"/>
      <c r="AY2216" s="27"/>
      <c r="BD2216" s="68">
        <v>46054.1666666667</v>
      </c>
      <c r="BE2216" s="68">
        <v>46082.1666666667</v>
      </c>
      <c r="BF2216" s="0" t="b">
        <v>0</v>
      </c>
      <c r="BG2216" s="0" t="b">
        <v>0</v>
      </c>
      <c r="BH2216" s="0">
        <v>156.8</v>
      </c>
      <c r="BI2216" s="0">
        <v>156.8</v>
      </c>
      <c r="BJ2216" s="0" t="s">
        <v>135</v>
      </c>
    </row>
    <row r="2217">
      <c r="A2217" s="0" t="s">
        <v>2453</v>
      </c>
      <c r="B2217" s="0" t="s">
        <v>134</v>
      </c>
      <c r="C2217" s="0" t="s">
        <v>134</v>
      </c>
      <c r="D2217" s="0" t="s">
        <v>135</v>
      </c>
      <c r="E2217" s="0" t="s">
        <v>3</v>
      </c>
      <c r="F2217" s="0" t="s">
        <v>12</v>
      </c>
      <c r="G2217" s="0" t="s">
        <v>8</v>
      </c>
      <c r="H2217" s="0">
        <v>821</v>
      </c>
      <c r="I2217" s="0">
        <v>0</v>
      </c>
      <c r="J2217" s="0">
        <v>0</v>
      </c>
      <c r="K2217" s="0">
        <v>1</v>
      </c>
      <c r="L2217" s="0">
        <v>3</v>
      </c>
      <c r="M2217" s="0">
        <v>2</v>
      </c>
      <c r="N2217" s="0">
        <v>0</v>
      </c>
      <c r="O2217" s="0">
        <v>0</v>
      </c>
      <c r="P2217" s="0">
        <v>0</v>
      </c>
      <c r="R2217" s="0" t="b">
        <v>0</v>
      </c>
      <c r="S2217" s="0" t="b">
        <v>1</v>
      </c>
      <c r="T2217" s="68">
        <v>45232.7481712963</v>
      </c>
      <c r="U2217" s="68">
        <v>45246.2916666667</v>
      </c>
      <c r="V2217" s="68">
        <v>0</v>
      </c>
      <c r="W2217" s="0">
        <f>IF(IF(B2217="none",1,IF(B2217="Trialer",1,0))+IF(C2217="Customer",1,IF(C2217="Lost",1,0))=2,1,0)</f>
      </c>
      <c r="X2217" s="0" t="s">
        <v>148</v>
      </c>
      <c r="Y2217" s="0" t="s">
        <v>243</v>
      </c>
      <c r="AV2217" s="68"/>
      <c r="AW2217" s="68"/>
      <c r="AY2217" s="27"/>
      <c r="BD2217" s="68">
        <v>46054.1666666667</v>
      </c>
      <c r="BE2217" s="68">
        <v>46082.1666666667</v>
      </c>
      <c r="BF2217" s="0" t="b">
        <v>0</v>
      </c>
      <c r="BG2217" s="0" t="b">
        <v>0</v>
      </c>
      <c r="BH2217" s="0">
        <v>0</v>
      </c>
      <c r="BI2217" s="0">
        <v>0</v>
      </c>
      <c r="BJ2217" s="0" t="s">
        <v>230</v>
      </c>
    </row>
    <row r="2218">
      <c r="A2218" s="0" t="s">
        <v>2454</v>
      </c>
      <c r="B2218" s="0" t="s">
        <v>134</v>
      </c>
      <c r="C2218" s="0" t="s">
        <v>134</v>
      </c>
      <c r="D2218" s="0" t="s">
        <v>230</v>
      </c>
      <c r="E2218" s="0" t="s">
        <v>2</v>
      </c>
      <c r="F2218" s="0" t="s">
        <v>12</v>
      </c>
      <c r="G2218" s="0" t="s">
        <v>8</v>
      </c>
      <c r="H2218" s="0">
        <v>821</v>
      </c>
      <c r="I2218" s="0">
        <v>102</v>
      </c>
      <c r="J2218" s="0">
        <v>0</v>
      </c>
      <c r="K2218" s="0">
        <v>1</v>
      </c>
      <c r="L2218" s="0">
        <v>4</v>
      </c>
      <c r="M2218" s="0">
        <v>2</v>
      </c>
      <c r="N2218" s="0">
        <v>0</v>
      </c>
      <c r="O2218" s="0">
        <v>0</v>
      </c>
      <c r="P2218" s="0">
        <v>-102</v>
      </c>
      <c r="R2218" s="0" t="b">
        <v>0</v>
      </c>
      <c r="S2218" s="0" t="b">
        <v>1</v>
      </c>
      <c r="T2218" s="68">
        <v>45232.9266898148</v>
      </c>
      <c r="U2218" s="68">
        <v>45246.2916666667</v>
      </c>
      <c r="V2218" s="68">
        <v>0</v>
      </c>
      <c r="W2218" s="0">
        <f>IF(IF(B2218="none",1,IF(B2218="Trialer",1,0))+IF(C2218="Customer",1,IF(C2218="Lost",1,0))=2,1,0)</f>
      </c>
      <c r="X2218" s="0" t="s">
        <v>153</v>
      </c>
      <c r="Y2218" s="0" t="s">
        <v>499</v>
      </c>
      <c r="AV2218" s="68"/>
      <c r="AW2218" s="68"/>
      <c r="AY2218" s="27"/>
      <c r="BD2218" s="68">
        <v>46054.1666666667</v>
      </c>
      <c r="BE2218" s="68">
        <v>46082.1666666667</v>
      </c>
      <c r="BF2218" s="0" t="b">
        <v>0</v>
      </c>
      <c r="BG2218" s="0" t="b">
        <v>0</v>
      </c>
      <c r="BH2218" s="0">
        <v>116</v>
      </c>
      <c r="BI2218" s="0">
        <v>116</v>
      </c>
      <c r="BJ2218" s="0" t="s">
        <v>230</v>
      </c>
    </row>
    <row r="2219">
      <c r="A2219" s="0" t="s">
        <v>2455</v>
      </c>
      <c r="B2219" s="0" t="s">
        <v>134</v>
      </c>
      <c r="C2219" s="0" t="s">
        <v>134</v>
      </c>
      <c r="D2219" s="0" t="s">
        <v>135</v>
      </c>
      <c r="E2219" s="0" t="s">
        <v>3</v>
      </c>
      <c r="F2219" s="0" t="s">
        <v>12</v>
      </c>
      <c r="G2219" s="0" t="s">
        <v>8</v>
      </c>
      <c r="H2219" s="0">
        <v>820</v>
      </c>
      <c r="I2219" s="0">
        <v>252</v>
      </c>
      <c r="J2219" s="0">
        <v>0</v>
      </c>
      <c r="K2219" s="0">
        <v>1</v>
      </c>
      <c r="L2219" s="0">
        <v>3</v>
      </c>
      <c r="M2219" s="0">
        <v>6</v>
      </c>
      <c r="N2219" s="0">
        <v>0</v>
      </c>
      <c r="O2219" s="0">
        <v>0</v>
      </c>
      <c r="P2219" s="0">
        <v>0</v>
      </c>
      <c r="R2219" s="0" t="b">
        <v>0</v>
      </c>
      <c r="S2219" s="0" t="b">
        <v>1</v>
      </c>
      <c r="T2219" s="68">
        <v>45233.7023842593</v>
      </c>
      <c r="U2219" s="68">
        <v>45253.2916666667</v>
      </c>
      <c r="V2219" s="68">
        <v>0</v>
      </c>
      <c r="W2219" s="0">
        <f>IF(IF(B2219="none",1,IF(B2219="Trialer",1,0))+IF(C2219="Customer",1,IF(C2219="Lost",1,0))=2,1,0)</f>
      </c>
      <c r="X2219" s="0" t="s">
        <v>145</v>
      </c>
      <c r="Y2219" s="0" t="s">
        <v>243</v>
      </c>
      <c r="AV2219" s="68"/>
      <c r="AW2219" s="68"/>
      <c r="AY2219" s="27"/>
      <c r="BD2219" s="68">
        <v>46054.1666666667</v>
      </c>
      <c r="BE2219" s="68">
        <v>46082.1666666667</v>
      </c>
      <c r="BF2219" s="0" t="b">
        <v>0</v>
      </c>
      <c r="BG2219" s="0" t="b">
        <v>0</v>
      </c>
      <c r="BH2219" s="0">
        <v>212</v>
      </c>
      <c r="BI2219" s="0">
        <v>212</v>
      </c>
      <c r="BJ2219" s="0" t="s">
        <v>135</v>
      </c>
    </row>
    <row r="2220">
      <c r="A2220" s="0" t="s">
        <v>2456</v>
      </c>
      <c r="B2220" s="0" t="s">
        <v>134</v>
      </c>
      <c r="C2220" s="0" t="s">
        <v>134</v>
      </c>
      <c r="D2220" s="0" t="s">
        <v>230</v>
      </c>
      <c r="E2220" s="0" t="s">
        <v>2</v>
      </c>
      <c r="F2220" s="0" t="s">
        <v>12</v>
      </c>
      <c r="G2220" s="0" t="s">
        <v>8</v>
      </c>
      <c r="H2220" s="0">
        <v>820</v>
      </c>
      <c r="I2220" s="0">
        <v>54</v>
      </c>
      <c r="J2220" s="0">
        <v>0</v>
      </c>
      <c r="K2220" s="0">
        <v>1</v>
      </c>
      <c r="L2220" s="0">
        <v>4</v>
      </c>
      <c r="M2220" s="0">
        <v>1</v>
      </c>
      <c r="N2220" s="0">
        <v>0</v>
      </c>
      <c r="O2220" s="0">
        <v>0</v>
      </c>
      <c r="P2220" s="0">
        <v>-54</v>
      </c>
      <c r="R2220" s="0" t="b">
        <v>0</v>
      </c>
      <c r="S2220" s="0" t="b">
        <v>1</v>
      </c>
      <c r="T2220" s="68">
        <v>45233.7199884259</v>
      </c>
      <c r="U2220" s="68">
        <v>45247.2916666667</v>
      </c>
      <c r="V2220" s="68">
        <v>0</v>
      </c>
      <c r="W2220" s="0">
        <f>IF(IF(B2220="none",1,IF(B2220="Trialer",1,0))+IF(C2220="Customer",1,IF(C2220="Lost",1,0))=2,1,0)</f>
      </c>
      <c r="X2220" s="0" t="s">
        <v>153</v>
      </c>
      <c r="Y2220" s="0" t="s">
        <v>499</v>
      </c>
      <c r="AV2220" s="68"/>
      <c r="AW2220" s="68"/>
      <c r="AY2220" s="27"/>
      <c r="BD2220" s="68">
        <v>46054.1666666667</v>
      </c>
      <c r="BE2220" s="68">
        <v>46082.1666666667</v>
      </c>
      <c r="BF2220" s="0" t="b">
        <v>0</v>
      </c>
      <c r="BG2220" s="0" t="b">
        <v>0</v>
      </c>
      <c r="BH2220" s="0">
        <v>61</v>
      </c>
      <c r="BI2220" s="0">
        <v>61</v>
      </c>
      <c r="BJ2220" s="0" t="s">
        <v>230</v>
      </c>
    </row>
    <row r="2221">
      <c r="A2221" s="0" t="s">
        <v>2457</v>
      </c>
      <c r="B2221" s="0" t="s">
        <v>134</v>
      </c>
      <c r="C2221" s="0" t="s">
        <v>134</v>
      </c>
      <c r="D2221" s="0" t="s">
        <v>230</v>
      </c>
      <c r="E2221" s="0" t="s">
        <v>2</v>
      </c>
      <c r="F2221" s="0" t="s">
        <v>10</v>
      </c>
      <c r="G2221" s="0" t="s">
        <v>8</v>
      </c>
      <c r="H2221" s="0">
        <v>817</v>
      </c>
      <c r="I2221" s="0">
        <v>148</v>
      </c>
      <c r="J2221" s="0">
        <v>0</v>
      </c>
      <c r="K2221" s="0">
        <v>1</v>
      </c>
      <c r="L2221" s="0">
        <v>6</v>
      </c>
      <c r="M2221" s="0">
        <v>2</v>
      </c>
      <c r="N2221" s="0">
        <v>0</v>
      </c>
      <c r="O2221" s="0">
        <v>0</v>
      </c>
      <c r="P2221" s="0">
        <v>-148</v>
      </c>
      <c r="Q2221" s="0" t="s">
        <v>2301</v>
      </c>
      <c r="R2221" s="0" t="b">
        <v>0</v>
      </c>
      <c r="S2221" s="0" t="b">
        <v>1</v>
      </c>
      <c r="T2221" s="68">
        <v>45236.5530324074</v>
      </c>
      <c r="U2221" s="68">
        <v>45262.2916666667</v>
      </c>
      <c r="V2221" s="68">
        <v>0</v>
      </c>
      <c r="W2221" s="0">
        <f>IF(IF(B2221="none",1,IF(B2221="Trialer",1,0))+IF(C2221="Customer",1,IF(C2221="Lost",1,0))=2,1,0)</f>
      </c>
      <c r="X2221" s="0" t="s">
        <v>148</v>
      </c>
      <c r="Y2221" s="0" t="s">
        <v>499</v>
      </c>
      <c r="AV2221" s="68"/>
      <c r="AW2221" s="68"/>
      <c r="AY2221" s="27"/>
      <c r="BD2221" s="68">
        <v>46054.1666666667</v>
      </c>
      <c r="BE2221" s="68">
        <v>46082.1666666667</v>
      </c>
      <c r="BF2221" s="0" t="b">
        <v>0</v>
      </c>
      <c r="BG2221" s="0" t="b">
        <v>0</v>
      </c>
      <c r="BH2221" s="0">
        <v>170</v>
      </c>
      <c r="BI2221" s="0">
        <v>170</v>
      </c>
      <c r="BJ2221" s="0" t="s">
        <v>230</v>
      </c>
    </row>
    <row r="2222">
      <c r="A2222" s="0" t="s">
        <v>2458</v>
      </c>
      <c r="B2222" s="0" t="s">
        <v>134</v>
      </c>
      <c r="C2222" s="0" t="s">
        <v>134</v>
      </c>
      <c r="D2222" s="0" t="s">
        <v>135</v>
      </c>
      <c r="E2222" s="0" t="s">
        <v>3</v>
      </c>
      <c r="F2222" s="0" t="s">
        <v>12</v>
      </c>
      <c r="G2222" s="0" t="s">
        <v>8</v>
      </c>
      <c r="H2222" s="0">
        <v>817</v>
      </c>
      <c r="I2222" s="0">
        <v>49</v>
      </c>
      <c r="J2222" s="0">
        <v>0</v>
      </c>
      <c r="K2222" s="0">
        <v>1</v>
      </c>
      <c r="L2222" s="0">
        <v>3</v>
      </c>
      <c r="M2222" s="0">
        <v>1</v>
      </c>
      <c r="N2222" s="0">
        <v>0</v>
      </c>
      <c r="O2222" s="0">
        <v>0</v>
      </c>
      <c r="P2222" s="0">
        <v>0</v>
      </c>
      <c r="R2222" s="0" t="b">
        <v>0</v>
      </c>
      <c r="S2222" s="0" t="b">
        <v>1</v>
      </c>
      <c r="T2222" s="68">
        <v>45236.6873032407</v>
      </c>
      <c r="U2222" s="68">
        <v>45266.2916666667</v>
      </c>
      <c r="V2222" s="68">
        <v>0</v>
      </c>
      <c r="W2222" s="0">
        <f>IF(IF(B2222="none",1,IF(B2222="Trialer",1,0))+IF(C2222="Customer",1,IF(C2222="Lost",1,0))=2,1,0)</f>
      </c>
      <c r="X2222" s="0" t="s">
        <v>142</v>
      </c>
      <c r="Y2222" s="0" t="s">
        <v>243</v>
      </c>
      <c r="AV2222" s="68"/>
      <c r="AW2222" s="68"/>
      <c r="AY2222" s="27"/>
      <c r="BD2222" s="68">
        <v>46054.1666666667</v>
      </c>
      <c r="BE2222" s="68">
        <v>46082.1666666667</v>
      </c>
      <c r="BF2222" s="0" t="b">
        <v>0</v>
      </c>
      <c r="BG2222" s="0" t="b">
        <v>0</v>
      </c>
      <c r="BH2222" s="0">
        <v>49</v>
      </c>
      <c r="BI2222" s="0">
        <v>49</v>
      </c>
      <c r="BJ2222" s="0" t="s">
        <v>135</v>
      </c>
    </row>
    <row r="2223">
      <c r="A2223" s="0" t="s">
        <v>2459</v>
      </c>
      <c r="B2223" s="0" t="s">
        <v>134</v>
      </c>
      <c r="C2223" s="0" t="s">
        <v>134</v>
      </c>
      <c r="D2223" s="0" t="s">
        <v>135</v>
      </c>
      <c r="E2223" s="0" t="s">
        <v>2</v>
      </c>
      <c r="F2223" s="0" t="s">
        <v>10</v>
      </c>
      <c r="G2223" s="0" t="s">
        <v>8</v>
      </c>
      <c r="H2223" s="0">
        <v>817</v>
      </c>
      <c r="I2223" s="0">
        <v>0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  <c r="Q2223" s="0" t="s">
        <v>2301</v>
      </c>
      <c r="R2223" s="0" t="b">
        <v>0</v>
      </c>
      <c r="S2223" s="0" t="b">
        <v>1</v>
      </c>
      <c r="T2223" s="68">
        <v>45236.796724537</v>
      </c>
      <c r="U2223" s="68">
        <v>45250.2916666667</v>
      </c>
      <c r="V2223" s="68">
        <v>0</v>
      </c>
      <c r="W2223" s="0">
        <f>IF(IF(B2223="none",1,IF(B2223="Trialer",1,0))+IF(C2223="Customer",1,IF(C2223="Lost",1,0))=2,1,0)</f>
      </c>
      <c r="X2223" s="0" t="s">
        <v>148</v>
      </c>
      <c r="Y2223" s="0" t="s">
        <v>499</v>
      </c>
      <c r="AV2223" s="68"/>
      <c r="AW2223" s="68"/>
      <c r="AY2223" s="27"/>
      <c r="BD2223" s="68">
        <v>46054.1666666667</v>
      </c>
      <c r="BE2223" s="68">
        <v>46082.1666666667</v>
      </c>
      <c r="BF2223" s="0" t="b">
        <v>0</v>
      </c>
      <c r="BG2223" s="0" t="b">
        <v>0</v>
      </c>
      <c r="BH2223" s="0">
        <v>0</v>
      </c>
      <c r="BI2223" s="0">
        <v>0</v>
      </c>
      <c r="BJ2223" s="0" t="s">
        <v>135</v>
      </c>
    </row>
    <row r="2224">
      <c r="A2224" s="0" t="s">
        <v>2460</v>
      </c>
      <c r="B2224" s="0" t="s">
        <v>134</v>
      </c>
      <c r="C2224" s="0" t="s">
        <v>134</v>
      </c>
      <c r="D2224" s="0" t="s">
        <v>230</v>
      </c>
      <c r="E2224" s="0" t="s">
        <v>2</v>
      </c>
      <c r="F2224" s="0" t="s">
        <v>12</v>
      </c>
      <c r="G2224" s="0" t="s">
        <v>8</v>
      </c>
      <c r="H2224" s="0">
        <v>816</v>
      </c>
      <c r="I2224" s="0">
        <v>35</v>
      </c>
      <c r="J2224" s="0">
        <v>0</v>
      </c>
      <c r="K2224" s="0">
        <v>1</v>
      </c>
      <c r="L2224" s="0">
        <v>2</v>
      </c>
      <c r="M2224" s="0">
        <v>1</v>
      </c>
      <c r="N2224" s="0">
        <v>0</v>
      </c>
      <c r="O2224" s="0">
        <v>0</v>
      </c>
      <c r="P2224" s="0">
        <v>-35</v>
      </c>
      <c r="R2224" s="0" t="b">
        <v>0</v>
      </c>
      <c r="S2224" s="0" t="b">
        <v>1</v>
      </c>
      <c r="T2224" s="68">
        <v>45237.7323842593</v>
      </c>
      <c r="U2224" s="68">
        <v>45253.2916666667</v>
      </c>
      <c r="V2224" s="68">
        <v>0</v>
      </c>
      <c r="W2224" s="0">
        <f>IF(IF(B2224="none",1,IF(B2224="Trialer",1,0))+IF(C2224="Customer",1,IF(C2224="Lost",1,0))=2,1,0)</f>
      </c>
      <c r="X2224" s="0" t="s">
        <v>153</v>
      </c>
      <c r="Y2224" s="0" t="s">
        <v>499</v>
      </c>
      <c r="AV2224" s="68"/>
      <c r="AW2224" s="68"/>
      <c r="AY2224" s="27"/>
      <c r="BD2224" s="68">
        <v>46054.1666666667</v>
      </c>
      <c r="BE2224" s="68">
        <v>46082.1666666667</v>
      </c>
      <c r="BF2224" s="0" t="b">
        <v>0</v>
      </c>
      <c r="BG2224" s="0" t="b">
        <v>0</v>
      </c>
      <c r="BH2224" s="0">
        <v>40</v>
      </c>
      <c r="BI2224" s="0">
        <v>40</v>
      </c>
      <c r="BJ2224" s="0" t="s">
        <v>230</v>
      </c>
    </row>
    <row r="2225">
      <c r="A2225" s="0" t="s">
        <v>2461</v>
      </c>
      <c r="B2225" s="0" t="s">
        <v>134</v>
      </c>
      <c r="C2225" s="0" t="s">
        <v>134</v>
      </c>
      <c r="D2225" s="0" t="s">
        <v>135</v>
      </c>
      <c r="E2225" s="0" t="s">
        <v>3</v>
      </c>
      <c r="F2225" s="0" t="s">
        <v>12</v>
      </c>
      <c r="G2225" s="0" t="s">
        <v>8</v>
      </c>
      <c r="H2225" s="0">
        <v>815</v>
      </c>
      <c r="I2225" s="0">
        <v>711</v>
      </c>
      <c r="J2225" s="0">
        <v>0</v>
      </c>
      <c r="K2225" s="0">
        <v>1</v>
      </c>
      <c r="L2225" s="0">
        <v>5</v>
      </c>
      <c r="M2225" s="0">
        <v>12</v>
      </c>
      <c r="N2225" s="0">
        <v>0</v>
      </c>
      <c r="O2225" s="0">
        <v>0</v>
      </c>
      <c r="P2225" s="0">
        <v>0</v>
      </c>
      <c r="R2225" s="0" t="b">
        <v>0</v>
      </c>
      <c r="S2225" s="0" t="b">
        <v>1</v>
      </c>
      <c r="T2225" s="68">
        <v>45238.5074884259</v>
      </c>
      <c r="U2225" s="68">
        <v>45260.2916666667</v>
      </c>
      <c r="V2225" s="68">
        <v>0</v>
      </c>
      <c r="W2225" s="0">
        <f>IF(IF(B2225="none",1,IF(B2225="Trialer",1,0))+IF(C2225="Customer",1,IF(C2225="Lost",1,0))=2,1,0)</f>
      </c>
      <c r="X2225" s="0" t="s">
        <v>882</v>
      </c>
      <c r="Y2225" s="0" t="s">
        <v>243</v>
      </c>
      <c r="AV2225" s="68"/>
      <c r="AW2225" s="68"/>
      <c r="AY2225" s="27"/>
      <c r="BD2225" s="68">
        <v>46054.1666666667</v>
      </c>
      <c r="BE2225" s="68">
        <v>46082.1666666667</v>
      </c>
      <c r="BF2225" s="0" t="b">
        <v>0</v>
      </c>
      <c r="BG2225" s="0" t="b">
        <v>0</v>
      </c>
      <c r="BH2225" s="0">
        <v>711</v>
      </c>
      <c r="BI2225" s="0">
        <v>711</v>
      </c>
      <c r="BJ2225" s="0" t="s">
        <v>135</v>
      </c>
    </row>
    <row r="2226">
      <c r="A2226" s="0" t="s">
        <v>2462</v>
      </c>
      <c r="B2226" s="0" t="s">
        <v>134</v>
      </c>
      <c r="C2226" s="0" t="s">
        <v>134</v>
      </c>
      <c r="D2226" s="0" t="s">
        <v>230</v>
      </c>
      <c r="E2226" s="0" t="s">
        <v>3</v>
      </c>
      <c r="F2226" s="0" t="s">
        <v>12</v>
      </c>
      <c r="G2226" s="0" t="s">
        <v>8</v>
      </c>
      <c r="H2226" s="0">
        <v>815</v>
      </c>
      <c r="I2226" s="0">
        <v>98</v>
      </c>
      <c r="J2226" s="0">
        <v>0</v>
      </c>
      <c r="K2226" s="0">
        <v>1</v>
      </c>
      <c r="L2226" s="0">
        <v>4</v>
      </c>
      <c r="M2226" s="0">
        <v>2</v>
      </c>
      <c r="N2226" s="0">
        <v>0</v>
      </c>
      <c r="O2226" s="0">
        <v>0</v>
      </c>
      <c r="P2226" s="0">
        <v>-98</v>
      </c>
      <c r="R2226" s="0" t="b">
        <v>0</v>
      </c>
      <c r="S2226" s="0" t="b">
        <v>1</v>
      </c>
      <c r="T2226" s="68">
        <v>45238.6390856481</v>
      </c>
      <c r="U2226" s="68">
        <v>45330.2916666667</v>
      </c>
      <c r="V2226" s="68">
        <v>0</v>
      </c>
      <c r="W2226" s="0">
        <f>IF(IF(B2226="none",1,IF(B2226="Trialer",1,0))+IF(C2226="Customer",1,IF(C2226="Lost",1,0))=2,1,0)</f>
      </c>
      <c r="X2226" s="0" t="s">
        <v>153</v>
      </c>
      <c r="Y2226" s="0" t="s">
        <v>243</v>
      </c>
      <c r="AV2226" s="68"/>
      <c r="AW2226" s="68"/>
      <c r="AY2226" s="27"/>
      <c r="BD2226" s="68">
        <v>46054.1666666667</v>
      </c>
      <c r="BE2226" s="68">
        <v>46082.1666666667</v>
      </c>
      <c r="BF2226" s="0" t="b">
        <v>0</v>
      </c>
      <c r="BG2226" s="0" t="b">
        <v>0</v>
      </c>
      <c r="BH2226" s="0">
        <v>110</v>
      </c>
      <c r="BI2226" s="0">
        <v>110</v>
      </c>
      <c r="BJ2226" s="0" t="s">
        <v>230</v>
      </c>
    </row>
    <row r="2227">
      <c r="A2227" s="0" t="s">
        <v>2463</v>
      </c>
      <c r="B2227" s="0" t="s">
        <v>134</v>
      </c>
      <c r="C2227" s="0" t="s">
        <v>134</v>
      </c>
      <c r="D2227" s="0" t="s">
        <v>135</v>
      </c>
      <c r="E2227" s="0" t="s">
        <v>2</v>
      </c>
      <c r="F2227" s="0" t="s">
        <v>12</v>
      </c>
      <c r="G2227" s="0" t="s">
        <v>8</v>
      </c>
      <c r="H2227" s="0">
        <v>815</v>
      </c>
      <c r="I2227" s="0">
        <v>188</v>
      </c>
      <c r="J2227" s="0">
        <v>0</v>
      </c>
      <c r="K2227" s="0">
        <v>1</v>
      </c>
      <c r="L2227" s="0">
        <v>2</v>
      </c>
      <c r="M2227" s="0">
        <v>5</v>
      </c>
      <c r="N2227" s="0">
        <v>0</v>
      </c>
      <c r="O2227" s="0">
        <v>0</v>
      </c>
      <c r="P2227" s="0">
        <v>0</v>
      </c>
      <c r="R2227" s="0" t="b">
        <v>0</v>
      </c>
      <c r="S2227" s="0" t="b">
        <v>1</v>
      </c>
      <c r="T2227" s="68">
        <v>45238.8683564815</v>
      </c>
      <c r="U2227" s="68">
        <v>45239.2916666667</v>
      </c>
      <c r="V2227" s="68">
        <v>0</v>
      </c>
      <c r="W2227" s="0">
        <f>IF(IF(B2227="none",1,IF(B2227="Trialer",1,0))+IF(C2227="Customer",1,IF(C2227="Lost",1,0))=2,1,0)</f>
      </c>
      <c r="X2227" s="0" t="s">
        <v>148</v>
      </c>
      <c r="Y2227" s="0" t="s">
        <v>499</v>
      </c>
      <c r="AV2227" s="68"/>
      <c r="AW2227" s="68"/>
      <c r="AY2227" s="27"/>
      <c r="BD2227" s="68">
        <v>46054.1666666667</v>
      </c>
      <c r="BE2227" s="68">
        <v>46082.1666666667</v>
      </c>
      <c r="BF2227" s="0" t="b">
        <v>0</v>
      </c>
      <c r="BG2227" s="0" t="b">
        <v>0</v>
      </c>
      <c r="BH2227" s="0">
        <v>188</v>
      </c>
      <c r="BI2227" s="0">
        <v>188</v>
      </c>
      <c r="BJ2227" s="0" t="s">
        <v>135</v>
      </c>
    </row>
    <row r="2228">
      <c r="A2228" s="0" t="s">
        <v>2464</v>
      </c>
      <c r="B2228" s="0" t="s">
        <v>134</v>
      </c>
      <c r="C2228" s="0" t="s">
        <v>134</v>
      </c>
      <c r="D2228" s="0" t="s">
        <v>135</v>
      </c>
      <c r="E2228" s="0" t="s">
        <v>2</v>
      </c>
      <c r="F2228" s="0" t="s">
        <v>12</v>
      </c>
      <c r="G2228" s="0" t="s">
        <v>8</v>
      </c>
      <c r="H2228" s="0">
        <v>814</v>
      </c>
      <c r="I2228" s="0">
        <v>613</v>
      </c>
      <c r="J2228" s="0">
        <v>0</v>
      </c>
      <c r="K2228" s="0">
        <v>1</v>
      </c>
      <c r="L2228" s="0">
        <v>6</v>
      </c>
      <c r="M2228" s="0">
        <v>10</v>
      </c>
      <c r="N2228" s="0">
        <v>0</v>
      </c>
      <c r="O2228" s="0">
        <v>0</v>
      </c>
      <c r="P2228" s="0">
        <v>0</v>
      </c>
      <c r="R2228" s="0" t="b">
        <v>0</v>
      </c>
      <c r="S2228" s="0" t="b">
        <v>1</v>
      </c>
      <c r="T2228" s="68">
        <v>45239.3095717593</v>
      </c>
      <c r="U2228" s="68">
        <v>45253.2916666667</v>
      </c>
      <c r="V2228" s="68">
        <v>0</v>
      </c>
      <c r="W2228" s="0">
        <f>IF(IF(B2228="none",1,IF(B2228="Trialer",1,0))+IF(C2228="Customer",1,IF(C2228="Lost",1,0))=2,1,0)</f>
      </c>
      <c r="X2228" s="0" t="s">
        <v>148</v>
      </c>
      <c r="Y2228" s="0" t="s">
        <v>499</v>
      </c>
      <c r="AV2228" s="68"/>
      <c r="AW2228" s="68"/>
      <c r="AY2228" s="27"/>
      <c r="BD2228" s="68">
        <v>46054.1666666667</v>
      </c>
      <c r="BE2228" s="68">
        <v>46082.1666666667</v>
      </c>
      <c r="BF2228" s="0" t="b">
        <v>0</v>
      </c>
      <c r="BG2228" s="0" t="b">
        <v>0</v>
      </c>
      <c r="BH2228" s="0">
        <v>552</v>
      </c>
      <c r="BI2228" s="0">
        <v>552</v>
      </c>
      <c r="BJ2228" s="0" t="s">
        <v>135</v>
      </c>
    </row>
    <row r="2229">
      <c r="A2229" s="0" t="s">
        <v>2465</v>
      </c>
      <c r="B2229" s="0" t="s">
        <v>134</v>
      </c>
      <c r="C2229" s="0" t="s">
        <v>134</v>
      </c>
      <c r="D2229" s="0" t="s">
        <v>230</v>
      </c>
      <c r="E2229" s="0" t="s">
        <v>3</v>
      </c>
      <c r="F2229" s="0" t="s">
        <v>12</v>
      </c>
      <c r="G2229" s="0" t="s">
        <v>8</v>
      </c>
      <c r="H2229" s="0">
        <v>814</v>
      </c>
      <c r="I2229" s="0">
        <v>36</v>
      </c>
      <c r="J2229" s="0">
        <v>0</v>
      </c>
      <c r="K2229" s="0">
        <v>1</v>
      </c>
      <c r="L2229" s="0">
        <v>2</v>
      </c>
      <c r="M2229" s="0">
        <v>1</v>
      </c>
      <c r="N2229" s="0">
        <v>0</v>
      </c>
      <c r="O2229" s="0">
        <v>0</v>
      </c>
      <c r="P2229" s="0">
        <v>-36</v>
      </c>
      <c r="R2229" s="0" t="b">
        <v>0</v>
      </c>
      <c r="S2229" s="0" t="b">
        <v>1</v>
      </c>
      <c r="T2229" s="68">
        <v>45239.5700810185</v>
      </c>
      <c r="U2229" s="68">
        <v>45253.2916666667</v>
      </c>
      <c r="V2229" s="68">
        <v>0</v>
      </c>
      <c r="W2229" s="0">
        <f>IF(IF(B2229="none",1,IF(B2229="Trialer",1,0))+IF(C2229="Customer",1,IF(C2229="Lost",1,0))=2,1,0)</f>
      </c>
      <c r="X2229" s="0" t="s">
        <v>153</v>
      </c>
      <c r="Y2229" s="0" t="s">
        <v>243</v>
      </c>
      <c r="AV2229" s="68"/>
      <c r="AW2229" s="68"/>
      <c r="AY2229" s="27"/>
      <c r="BD2229" s="68">
        <v>46054.1666666667</v>
      </c>
      <c r="BE2229" s="68">
        <v>46082.1666666667</v>
      </c>
      <c r="BF2229" s="0" t="b">
        <v>0</v>
      </c>
      <c r="BG2229" s="0" t="b">
        <v>0</v>
      </c>
      <c r="BH2229" s="0">
        <v>40</v>
      </c>
      <c r="BI2229" s="0">
        <v>40</v>
      </c>
      <c r="BJ2229" s="0" t="s">
        <v>230</v>
      </c>
    </row>
    <row r="2230">
      <c r="A2230" s="0" t="s">
        <v>2466</v>
      </c>
      <c r="B2230" s="0" t="s">
        <v>134</v>
      </c>
      <c r="C2230" s="0" t="s">
        <v>134</v>
      </c>
      <c r="D2230" s="0" t="s">
        <v>230</v>
      </c>
      <c r="E2230" s="0" t="s">
        <v>3</v>
      </c>
      <c r="F2230" s="0" t="s">
        <v>10</v>
      </c>
      <c r="G2230" s="0" t="s">
        <v>8</v>
      </c>
      <c r="H2230" s="0">
        <v>813</v>
      </c>
      <c r="I2230" s="0">
        <v>58.5</v>
      </c>
      <c r="J2230" s="0">
        <v>0</v>
      </c>
      <c r="K2230" s="0">
        <v>1</v>
      </c>
      <c r="L2230" s="0">
        <v>2</v>
      </c>
      <c r="M2230" s="0">
        <v>2</v>
      </c>
      <c r="N2230" s="0">
        <v>155</v>
      </c>
      <c r="O2230" s="0">
        <v>0</v>
      </c>
      <c r="P2230" s="0">
        <v>-58.5</v>
      </c>
      <c r="Q2230" s="0" t="s">
        <v>2467</v>
      </c>
      <c r="R2230" s="0" t="b">
        <v>0</v>
      </c>
      <c r="S2230" s="0" t="b">
        <v>1</v>
      </c>
      <c r="T2230" s="68">
        <v>45240.0575694444</v>
      </c>
      <c r="U2230" s="68">
        <v>45262.2916666667</v>
      </c>
      <c r="V2230" s="68">
        <v>0</v>
      </c>
      <c r="W2230" s="0">
        <f>IF(IF(B2230="none",1,IF(B2230="Trialer",1,0))+IF(C2230="Customer",1,IF(C2230="Lost",1,0))=2,1,0)</f>
      </c>
      <c r="X2230" s="0" t="s">
        <v>136</v>
      </c>
      <c r="Y2230" s="0" t="s">
        <v>243</v>
      </c>
      <c r="AV2230" s="68"/>
      <c r="AW2230" s="68"/>
      <c r="AY2230" s="27"/>
      <c r="BD2230" s="68">
        <v>46054.1666666667</v>
      </c>
      <c r="BE2230" s="68">
        <v>46082.1666666667</v>
      </c>
      <c r="BF2230" s="0" t="b">
        <v>0</v>
      </c>
      <c r="BG2230" s="0" t="b">
        <v>0</v>
      </c>
      <c r="BH2230" s="0">
        <v>65</v>
      </c>
      <c r="BI2230" s="0">
        <v>65</v>
      </c>
      <c r="BJ2230" s="0" t="s">
        <v>230</v>
      </c>
    </row>
    <row r="2231">
      <c r="A2231" s="0" t="s">
        <v>2468</v>
      </c>
      <c r="B2231" s="0" t="s">
        <v>134</v>
      </c>
      <c r="C2231" s="0" t="s">
        <v>134</v>
      </c>
      <c r="D2231" s="0" t="s">
        <v>230</v>
      </c>
      <c r="E2231" s="0" t="s">
        <v>2</v>
      </c>
      <c r="F2231" s="0" t="s">
        <v>12</v>
      </c>
      <c r="G2231" s="0" t="s">
        <v>8</v>
      </c>
      <c r="H2231" s="0">
        <v>813</v>
      </c>
      <c r="I2231" s="0">
        <v>801.1</v>
      </c>
      <c r="J2231" s="0">
        <v>0</v>
      </c>
      <c r="K2231" s="0">
        <v>1</v>
      </c>
      <c r="L2231" s="0">
        <v>5</v>
      </c>
      <c r="M2231" s="0">
        <v>10</v>
      </c>
      <c r="N2231" s="0">
        <v>0</v>
      </c>
      <c r="O2231" s="0">
        <v>0</v>
      </c>
      <c r="P2231" s="0">
        <v>-476.1</v>
      </c>
      <c r="R2231" s="0" t="b">
        <v>0</v>
      </c>
      <c r="S2231" s="0" t="b">
        <v>1</v>
      </c>
      <c r="T2231" s="68">
        <v>45240.5784259259</v>
      </c>
      <c r="U2231" s="68">
        <v>45254.2916666667</v>
      </c>
      <c r="V2231" s="68">
        <v>0</v>
      </c>
      <c r="W2231" s="0">
        <f>IF(IF(B2231="none",1,IF(B2231="Trialer",1,0))+IF(C2231="Customer",1,IF(C2231="Lost",1,0))=2,1,0)</f>
      </c>
      <c r="X2231" s="0" t="s">
        <v>136</v>
      </c>
      <c r="Y2231" s="0" t="s">
        <v>499</v>
      </c>
      <c r="AV2231" s="68"/>
      <c r="AW2231" s="68"/>
      <c r="AY2231" s="27"/>
      <c r="BD2231" s="68">
        <v>46054.1666666667</v>
      </c>
      <c r="BE2231" s="68">
        <v>46082.1666666667</v>
      </c>
      <c r="BF2231" s="0" t="b">
        <v>0</v>
      </c>
      <c r="BG2231" s="0" t="b">
        <v>0</v>
      </c>
      <c r="BH2231" s="0">
        <v>529</v>
      </c>
      <c r="BI2231" s="0">
        <v>529</v>
      </c>
      <c r="BJ2231" s="0" t="s">
        <v>230</v>
      </c>
    </row>
    <row r="2232">
      <c r="A2232" s="0" t="s">
        <v>2469</v>
      </c>
      <c r="B2232" s="0" t="s">
        <v>134</v>
      </c>
      <c r="C2232" s="0" t="s">
        <v>190</v>
      </c>
      <c r="D2232" s="0" t="s">
        <v>135</v>
      </c>
      <c r="E2232" s="0" t="s">
        <v>3</v>
      </c>
      <c r="F2232" s="0" t="s">
        <v>10</v>
      </c>
      <c r="G2232" s="0" t="s">
        <v>8</v>
      </c>
      <c r="H2232" s="0">
        <v>809</v>
      </c>
      <c r="I2232" s="0">
        <v>0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0</v>
      </c>
      <c r="Q2232" s="0" t="s">
        <v>618</v>
      </c>
      <c r="R2232" s="0" t="b">
        <v>0</v>
      </c>
      <c r="S2232" s="0" t="b">
        <v>0</v>
      </c>
      <c r="T2232" s="68">
        <v>45244.4105671296</v>
      </c>
      <c r="U2232" s="68">
        <v>45258.2916666667</v>
      </c>
      <c r="V2232" s="68">
        <v>46078.2820717593</v>
      </c>
      <c r="W2232" s="0">
        <f>IF(IF(B2232="none",1,IF(B2232="Trialer",1,0))+IF(C2232="Customer",1,IF(C2232="Lost",1,0))=2,1,0)</f>
      </c>
      <c r="X2232" s="0" t="s">
        <v>148</v>
      </c>
      <c r="Y2232" s="0" t="s">
        <v>243</v>
      </c>
      <c r="AV2232" s="68"/>
      <c r="AW2232" s="68"/>
      <c r="AY2232" s="27"/>
      <c r="BD2232" s="68">
        <v>46054.1666666667</v>
      </c>
      <c r="BE2232" s="68">
        <v>46082.1666666667</v>
      </c>
      <c r="BF2232" s="0" t="b">
        <v>0</v>
      </c>
      <c r="BG2232" s="0" t="b">
        <v>0</v>
      </c>
      <c r="BH2232" s="0">
        <v>0</v>
      </c>
      <c r="BI2232" s="0">
        <v>0</v>
      </c>
      <c r="BJ2232" s="0" t="s">
        <v>135</v>
      </c>
    </row>
    <row r="2233">
      <c r="A2233" s="0" t="s">
        <v>2470</v>
      </c>
      <c r="B2233" s="0" t="s">
        <v>134</v>
      </c>
      <c r="C2233" s="0" t="s">
        <v>134</v>
      </c>
      <c r="D2233" s="0" t="s">
        <v>230</v>
      </c>
      <c r="E2233" s="0" t="s">
        <v>2</v>
      </c>
      <c r="F2233" s="0" t="s">
        <v>12</v>
      </c>
      <c r="G2233" s="0" t="s">
        <v>8</v>
      </c>
      <c r="H2233" s="0">
        <v>809</v>
      </c>
      <c r="I2233" s="0">
        <v>72</v>
      </c>
      <c r="J2233" s="0">
        <v>0</v>
      </c>
      <c r="K2233" s="0">
        <v>1</v>
      </c>
      <c r="L2233" s="0">
        <v>2</v>
      </c>
      <c r="M2233" s="0">
        <v>2</v>
      </c>
      <c r="N2233" s="0">
        <v>0</v>
      </c>
      <c r="O2233" s="0">
        <v>0</v>
      </c>
      <c r="P2233" s="0">
        <v>-72</v>
      </c>
      <c r="R2233" s="0" t="b">
        <v>0</v>
      </c>
      <c r="S2233" s="0" t="b">
        <v>1</v>
      </c>
      <c r="T2233" s="68">
        <v>45244.9116666667</v>
      </c>
      <c r="U2233" s="68">
        <v>45258.2916666667</v>
      </c>
      <c r="V2233" s="68">
        <v>0</v>
      </c>
      <c r="W2233" s="0">
        <f>IF(IF(B2233="none",1,IF(B2233="Trialer",1,0))+IF(C2233="Customer",1,IF(C2233="Lost",1,0))=2,1,0)</f>
      </c>
      <c r="X2233" s="0" t="s">
        <v>166</v>
      </c>
      <c r="Y2233" s="0" t="s">
        <v>499</v>
      </c>
      <c r="AV2233" s="68"/>
      <c r="AW2233" s="68"/>
      <c r="AY2233" s="27"/>
      <c r="BD2233" s="68">
        <v>46054.1666666667</v>
      </c>
      <c r="BE2233" s="68">
        <v>46082.1666666667</v>
      </c>
      <c r="BF2233" s="0" t="b">
        <v>0</v>
      </c>
      <c r="BG2233" s="0" t="b">
        <v>0</v>
      </c>
      <c r="BH2233" s="0">
        <v>80</v>
      </c>
      <c r="BI2233" s="0">
        <v>80</v>
      </c>
      <c r="BJ2233" s="0" t="s">
        <v>230</v>
      </c>
    </row>
    <row r="2234">
      <c r="A2234" s="0" t="s">
        <v>2471</v>
      </c>
      <c r="B2234" s="0" t="s">
        <v>134</v>
      </c>
      <c r="C2234" s="0" t="s">
        <v>134</v>
      </c>
      <c r="D2234" s="0" t="s">
        <v>135</v>
      </c>
      <c r="E2234" s="0" t="s">
        <v>3</v>
      </c>
      <c r="F2234" s="0" t="s">
        <v>10</v>
      </c>
      <c r="G2234" s="0" t="s">
        <v>8</v>
      </c>
      <c r="H2234" s="0">
        <v>808</v>
      </c>
      <c r="I2234" s="0">
        <v>28</v>
      </c>
      <c r="J2234" s="0">
        <v>0</v>
      </c>
      <c r="K2234" s="0">
        <v>1</v>
      </c>
      <c r="L2234" s="0">
        <v>1</v>
      </c>
      <c r="M2234" s="0">
        <v>1</v>
      </c>
      <c r="N2234" s="0">
        <v>0</v>
      </c>
      <c r="O2234" s="0">
        <v>0</v>
      </c>
      <c r="P2234" s="0">
        <v>0</v>
      </c>
      <c r="Q2234" s="0" t="s">
        <v>618</v>
      </c>
      <c r="R2234" s="0" t="b">
        <v>0</v>
      </c>
      <c r="S2234" s="0" t="b">
        <v>1</v>
      </c>
      <c r="T2234" s="68">
        <v>45245.5348032407</v>
      </c>
      <c r="U2234" s="68">
        <v>45261.2916666667</v>
      </c>
      <c r="V2234" s="68">
        <v>0</v>
      </c>
      <c r="W2234" s="0">
        <f>IF(IF(B2234="none",1,IF(B2234="Trialer",1,0))+IF(C2234="Customer",1,IF(C2234="Lost",1,0))=2,1,0)</f>
      </c>
      <c r="X2234" s="0" t="s">
        <v>148</v>
      </c>
      <c r="Y2234" s="0" t="s">
        <v>243</v>
      </c>
      <c r="AV2234" s="68"/>
      <c r="AW2234" s="68"/>
      <c r="AY2234" s="27"/>
      <c r="BD2234" s="68">
        <v>46054.1666666667</v>
      </c>
      <c r="BE2234" s="68">
        <v>46082.1666666667</v>
      </c>
      <c r="BF2234" s="0" t="b">
        <v>0</v>
      </c>
      <c r="BG2234" s="0" t="b">
        <v>0</v>
      </c>
      <c r="BH2234" s="0">
        <v>28</v>
      </c>
      <c r="BI2234" s="0">
        <v>28</v>
      </c>
      <c r="BJ2234" s="0" t="s">
        <v>135</v>
      </c>
    </row>
    <row r="2235">
      <c r="A2235" s="0" t="s">
        <v>2472</v>
      </c>
      <c r="B2235" s="0" t="s">
        <v>134</v>
      </c>
      <c r="C2235" s="0" t="s">
        <v>134</v>
      </c>
      <c r="D2235" s="0" t="s">
        <v>135</v>
      </c>
      <c r="E2235" s="0" t="s">
        <v>3</v>
      </c>
      <c r="F2235" s="0" t="s">
        <v>12</v>
      </c>
      <c r="G2235" s="0" t="s">
        <v>8</v>
      </c>
      <c r="H2235" s="0">
        <v>808</v>
      </c>
      <c r="I2235" s="0">
        <v>28</v>
      </c>
      <c r="J2235" s="0">
        <v>0</v>
      </c>
      <c r="K2235" s="0">
        <v>1</v>
      </c>
      <c r="L2235" s="0">
        <v>1</v>
      </c>
      <c r="M2235" s="0">
        <v>1</v>
      </c>
      <c r="N2235" s="0">
        <v>0</v>
      </c>
      <c r="O2235" s="0">
        <v>0</v>
      </c>
      <c r="P2235" s="0">
        <v>0</v>
      </c>
      <c r="R2235" s="0" t="b">
        <v>0</v>
      </c>
      <c r="S2235" s="0" t="b">
        <v>1</v>
      </c>
      <c r="T2235" s="68">
        <v>45245.5724421296</v>
      </c>
      <c r="U2235" s="68">
        <v>45259.2916666667</v>
      </c>
      <c r="V2235" s="68">
        <v>0</v>
      </c>
      <c r="W2235" s="0">
        <f>IF(IF(B2235="none",1,IF(B2235="Trialer",1,0))+IF(C2235="Customer",1,IF(C2235="Lost",1,0))=2,1,0)</f>
      </c>
      <c r="X2235" s="0" t="s">
        <v>142</v>
      </c>
      <c r="Y2235" s="0" t="s">
        <v>243</v>
      </c>
      <c r="AV2235" s="68"/>
      <c r="AW2235" s="68"/>
      <c r="AY2235" s="27"/>
      <c r="BD2235" s="68">
        <v>46054.1666666667</v>
      </c>
      <c r="BE2235" s="68">
        <v>46082.1666666667</v>
      </c>
      <c r="BF2235" s="0" t="b">
        <v>0</v>
      </c>
      <c r="BG2235" s="0" t="b">
        <v>0</v>
      </c>
      <c r="BH2235" s="0">
        <v>84</v>
      </c>
      <c r="BI2235" s="0">
        <v>84</v>
      </c>
      <c r="BJ2235" s="0" t="s">
        <v>135</v>
      </c>
    </row>
    <row r="2236">
      <c r="A2236" s="0" t="s">
        <v>2473</v>
      </c>
      <c r="B2236" s="0" t="s">
        <v>134</v>
      </c>
      <c r="C2236" s="0" t="s">
        <v>134</v>
      </c>
      <c r="D2236" s="0" t="s">
        <v>230</v>
      </c>
      <c r="E2236" s="0" t="s">
        <v>3</v>
      </c>
      <c r="F2236" s="0" t="s">
        <v>12</v>
      </c>
      <c r="G2236" s="0" t="s">
        <v>8</v>
      </c>
      <c r="H2236" s="0">
        <v>807</v>
      </c>
      <c r="I2236" s="0">
        <v>373.5</v>
      </c>
      <c r="J2236" s="0">
        <v>0</v>
      </c>
      <c r="K2236" s="0">
        <v>1</v>
      </c>
      <c r="L2236" s="0">
        <v>4</v>
      </c>
      <c r="M2236" s="0">
        <v>7</v>
      </c>
      <c r="N2236" s="0">
        <v>0</v>
      </c>
      <c r="O2236" s="0">
        <v>0</v>
      </c>
      <c r="P2236" s="0">
        <v>-373.5</v>
      </c>
      <c r="R2236" s="0" t="b">
        <v>0</v>
      </c>
      <c r="S2236" s="0" t="b">
        <v>1</v>
      </c>
      <c r="T2236" s="68">
        <v>45246.5743981482</v>
      </c>
      <c r="U2236" s="68">
        <v>45260.2916666667</v>
      </c>
      <c r="V2236" s="68">
        <v>0</v>
      </c>
      <c r="W2236" s="0">
        <f>IF(IF(B2236="none",1,IF(B2236="Trialer",1,0))+IF(C2236="Customer",1,IF(C2236="Lost",1,0))=2,1,0)</f>
      </c>
      <c r="X2236" s="0" t="s">
        <v>882</v>
      </c>
      <c r="Y2236" s="0" t="s">
        <v>243</v>
      </c>
      <c r="AV2236" s="68"/>
      <c r="AW2236" s="68"/>
      <c r="AY2236" s="27"/>
      <c r="BD2236" s="68">
        <v>46054.1666666667</v>
      </c>
      <c r="BE2236" s="68">
        <v>46082.1666666667</v>
      </c>
      <c r="BF2236" s="0" t="b">
        <v>0</v>
      </c>
      <c r="BG2236" s="0" t="b">
        <v>0</v>
      </c>
      <c r="BH2236" s="0">
        <v>183</v>
      </c>
      <c r="BI2236" s="0">
        <v>183</v>
      </c>
      <c r="BJ2236" s="0" t="s">
        <v>230</v>
      </c>
    </row>
    <row r="2237">
      <c r="A2237" s="0" t="s">
        <v>2474</v>
      </c>
      <c r="B2237" s="0" t="s">
        <v>134</v>
      </c>
      <c r="C2237" s="0" t="s">
        <v>134</v>
      </c>
      <c r="D2237" s="0" t="s">
        <v>135</v>
      </c>
      <c r="E2237" s="0" t="s">
        <v>3</v>
      </c>
      <c r="F2237" s="0" t="s">
        <v>12</v>
      </c>
      <c r="G2237" s="0" t="s">
        <v>8</v>
      </c>
      <c r="H2237" s="0">
        <v>807</v>
      </c>
      <c r="I2237" s="0">
        <v>73</v>
      </c>
      <c r="J2237" s="0">
        <v>0</v>
      </c>
      <c r="K2237" s="0">
        <v>1</v>
      </c>
      <c r="L2237" s="0">
        <v>5</v>
      </c>
      <c r="M2237" s="0">
        <v>1</v>
      </c>
      <c r="N2237" s="0">
        <v>0</v>
      </c>
      <c r="O2237" s="0">
        <v>0</v>
      </c>
      <c r="P2237" s="0">
        <v>0</v>
      </c>
      <c r="R2237" s="0" t="b">
        <v>0</v>
      </c>
      <c r="S2237" s="0" t="b">
        <v>1</v>
      </c>
      <c r="T2237" s="68">
        <v>45246.6930902778</v>
      </c>
      <c r="U2237" s="68">
        <v>45260.2916666667</v>
      </c>
      <c r="V2237" s="68">
        <v>0</v>
      </c>
      <c r="W2237" s="0">
        <f>IF(IF(B2237="none",1,IF(B2237="Trialer",1,0))+IF(C2237="Customer",1,IF(C2237="Lost",1,0))=2,1,0)</f>
      </c>
      <c r="X2237" s="0" t="s">
        <v>142</v>
      </c>
      <c r="Y2237" s="0" t="s">
        <v>243</v>
      </c>
      <c r="AV2237" s="68"/>
      <c r="AW2237" s="68"/>
      <c r="AY2237" s="27"/>
      <c r="BD2237" s="68">
        <v>46054.1666666667</v>
      </c>
      <c r="BE2237" s="68">
        <v>46082.1666666667</v>
      </c>
      <c r="BF2237" s="0" t="b">
        <v>0</v>
      </c>
      <c r="BG2237" s="0" t="b">
        <v>0</v>
      </c>
      <c r="BH2237" s="0">
        <v>73</v>
      </c>
      <c r="BI2237" s="0">
        <v>73</v>
      </c>
      <c r="BJ2237" s="0" t="s">
        <v>135</v>
      </c>
    </row>
    <row r="2238">
      <c r="A2238" s="0" t="s">
        <v>2475</v>
      </c>
      <c r="B2238" s="0" t="s">
        <v>134</v>
      </c>
      <c r="C2238" s="0" t="s">
        <v>134</v>
      </c>
      <c r="D2238" s="0" t="s">
        <v>135</v>
      </c>
      <c r="E2238" s="0" t="s">
        <v>3</v>
      </c>
      <c r="F2238" s="0" t="s">
        <v>12</v>
      </c>
      <c r="G2238" s="0" t="s">
        <v>8</v>
      </c>
      <c r="H2238" s="0">
        <v>807</v>
      </c>
      <c r="I2238" s="0">
        <v>196</v>
      </c>
      <c r="J2238" s="0">
        <v>0</v>
      </c>
      <c r="K2238" s="0">
        <v>1</v>
      </c>
      <c r="L2238" s="0">
        <v>3</v>
      </c>
      <c r="M2238" s="0">
        <v>4</v>
      </c>
      <c r="N2238" s="0">
        <v>0</v>
      </c>
      <c r="O2238" s="0">
        <v>0</v>
      </c>
      <c r="P2238" s="0">
        <v>0</v>
      </c>
      <c r="R2238" s="0" t="b">
        <v>0</v>
      </c>
      <c r="S2238" s="0" t="b">
        <v>1</v>
      </c>
      <c r="T2238" s="68">
        <v>45246.9256597222</v>
      </c>
      <c r="U2238" s="68">
        <v>45268.2916666667</v>
      </c>
      <c r="V2238" s="68">
        <v>0</v>
      </c>
      <c r="W2238" s="0">
        <f>IF(IF(B2238="none",1,IF(B2238="Trialer",1,0))+IF(C2238="Customer",1,IF(C2238="Lost",1,0))=2,1,0)</f>
      </c>
      <c r="X2238" s="0" t="s">
        <v>145</v>
      </c>
      <c r="Y2238" s="0" t="s">
        <v>1792</v>
      </c>
      <c r="AV2238" s="68"/>
      <c r="AW2238" s="68"/>
      <c r="AY2238" s="27"/>
      <c r="BD2238" s="68">
        <v>46054.1666666667</v>
      </c>
      <c r="BE2238" s="68">
        <v>46082.1666666667</v>
      </c>
      <c r="BF2238" s="0" t="b">
        <v>0</v>
      </c>
      <c r="BG2238" s="0" t="b">
        <v>0</v>
      </c>
      <c r="BH2238" s="0">
        <v>196</v>
      </c>
      <c r="BI2238" s="0">
        <v>196</v>
      </c>
      <c r="BJ2238" s="0" t="s">
        <v>135</v>
      </c>
    </row>
    <row r="2239">
      <c r="A2239" s="0" t="s">
        <v>2476</v>
      </c>
      <c r="B2239" s="0" t="s">
        <v>134</v>
      </c>
      <c r="C2239" s="0" t="s">
        <v>134</v>
      </c>
      <c r="D2239" s="0" t="s">
        <v>230</v>
      </c>
      <c r="E2239" s="0" t="s">
        <v>3</v>
      </c>
      <c r="F2239" s="0" t="s">
        <v>12</v>
      </c>
      <c r="G2239" s="0" t="s">
        <v>8</v>
      </c>
      <c r="H2239" s="0">
        <v>806</v>
      </c>
      <c r="I2239" s="0">
        <v>248.4</v>
      </c>
      <c r="J2239" s="0">
        <v>0</v>
      </c>
      <c r="K2239" s="0">
        <v>1</v>
      </c>
      <c r="L2239" s="0">
        <v>4</v>
      </c>
      <c r="M2239" s="0">
        <v>6</v>
      </c>
      <c r="N2239" s="0">
        <v>0</v>
      </c>
      <c r="O2239" s="0">
        <v>0</v>
      </c>
      <c r="P2239" s="0">
        <v>-248.4</v>
      </c>
      <c r="R2239" s="0" t="b">
        <v>0</v>
      </c>
      <c r="S2239" s="0" t="b">
        <v>1</v>
      </c>
      <c r="T2239" s="68">
        <v>45247.226400463</v>
      </c>
      <c r="U2239" s="68">
        <v>45261.2916666667</v>
      </c>
      <c r="V2239" s="68">
        <v>0</v>
      </c>
      <c r="W2239" s="0">
        <f>IF(IF(B2239="none",1,IF(B2239="Trialer",1,0))+IF(C2239="Customer",1,IF(C2239="Lost",1,0))=2,1,0)</f>
      </c>
      <c r="X2239" s="0" t="s">
        <v>136</v>
      </c>
      <c r="Y2239" s="0" t="s">
        <v>243</v>
      </c>
      <c r="AV2239" s="68"/>
      <c r="AW2239" s="68"/>
      <c r="AY2239" s="27"/>
      <c r="BD2239" s="68">
        <v>46054.1666666667</v>
      </c>
      <c r="BE2239" s="68">
        <v>46082.1666666667</v>
      </c>
      <c r="BF2239" s="0" t="b">
        <v>0</v>
      </c>
      <c r="BG2239" s="0" t="b">
        <v>0</v>
      </c>
      <c r="BH2239" s="0">
        <v>236</v>
      </c>
      <c r="BI2239" s="0">
        <v>236</v>
      </c>
      <c r="BJ2239" s="0" t="s">
        <v>230</v>
      </c>
    </row>
    <row r="2240">
      <c r="A2240" s="0" t="s">
        <v>2477</v>
      </c>
      <c r="B2240" s="0" t="s">
        <v>134</v>
      </c>
      <c r="C2240" s="0" t="s">
        <v>134</v>
      </c>
      <c r="D2240" s="0" t="s">
        <v>135</v>
      </c>
      <c r="E2240" s="0" t="s">
        <v>2</v>
      </c>
      <c r="F2240" s="0" t="s">
        <v>12</v>
      </c>
      <c r="G2240" s="0" t="s">
        <v>8</v>
      </c>
      <c r="H2240" s="0">
        <v>806</v>
      </c>
      <c r="I2240" s="0">
        <v>56</v>
      </c>
      <c r="J2240" s="0">
        <v>0</v>
      </c>
      <c r="K2240" s="0">
        <v>1</v>
      </c>
      <c r="L2240" s="0">
        <v>1</v>
      </c>
      <c r="M2240" s="0">
        <v>2</v>
      </c>
      <c r="N2240" s="0">
        <v>0</v>
      </c>
      <c r="O2240" s="0">
        <v>0</v>
      </c>
      <c r="P2240" s="0">
        <v>0</v>
      </c>
      <c r="R2240" s="0" t="b">
        <v>0</v>
      </c>
      <c r="S2240" s="0" t="b">
        <v>1</v>
      </c>
      <c r="T2240" s="68">
        <v>45247.6653703704</v>
      </c>
      <c r="U2240" s="68">
        <v>45266.2916666667</v>
      </c>
      <c r="V2240" s="68">
        <v>0</v>
      </c>
      <c r="W2240" s="0">
        <f>IF(IF(B2240="none",1,IF(B2240="Trialer",1,0))+IF(C2240="Customer",1,IF(C2240="Lost",1,0))=2,1,0)</f>
      </c>
      <c r="X2240" s="0" t="s">
        <v>153</v>
      </c>
      <c r="Y2240" s="0" t="s">
        <v>499</v>
      </c>
      <c r="AV2240" s="68"/>
      <c r="AW2240" s="68"/>
      <c r="AY2240" s="27"/>
      <c r="BD2240" s="68">
        <v>46054.1666666667</v>
      </c>
      <c r="BE2240" s="68">
        <v>46082.1666666667</v>
      </c>
      <c r="BF2240" s="0" t="b">
        <v>0</v>
      </c>
      <c r="BG2240" s="0" t="b">
        <v>0</v>
      </c>
      <c r="BH2240" s="0">
        <v>84</v>
      </c>
      <c r="BI2240" s="0">
        <v>84</v>
      </c>
      <c r="BJ2240" s="0" t="s">
        <v>135</v>
      </c>
    </row>
    <row r="2241">
      <c r="A2241" s="0" t="s">
        <v>2478</v>
      </c>
      <c r="B2241" s="0" t="s">
        <v>134</v>
      </c>
      <c r="C2241" s="0" t="s">
        <v>134</v>
      </c>
      <c r="D2241" s="0" t="s">
        <v>135</v>
      </c>
      <c r="E2241" s="0" t="s">
        <v>3</v>
      </c>
      <c r="F2241" s="0" t="s">
        <v>12</v>
      </c>
      <c r="G2241" s="0" t="s">
        <v>8</v>
      </c>
      <c r="H2241" s="0">
        <v>803</v>
      </c>
      <c r="I2241" s="0">
        <v>98</v>
      </c>
      <c r="J2241" s="0">
        <v>0</v>
      </c>
      <c r="K2241" s="0">
        <v>1</v>
      </c>
      <c r="L2241" s="0">
        <v>3</v>
      </c>
      <c r="M2241" s="0">
        <v>2</v>
      </c>
      <c r="N2241" s="0">
        <v>0</v>
      </c>
      <c r="O2241" s="0">
        <v>0</v>
      </c>
      <c r="P2241" s="0">
        <v>0</v>
      </c>
      <c r="R2241" s="0" t="b">
        <v>0</v>
      </c>
      <c r="S2241" s="0" t="b">
        <v>1</v>
      </c>
      <c r="T2241" s="68">
        <v>45250.4318634259</v>
      </c>
      <c r="U2241" s="68">
        <v>45271.2916666667</v>
      </c>
      <c r="V2241" s="68">
        <v>0</v>
      </c>
      <c r="W2241" s="0">
        <f>IF(IF(B2241="none",1,IF(B2241="Trialer",1,0))+IF(C2241="Customer",1,IF(C2241="Lost",1,0))=2,1,0)</f>
      </c>
      <c r="X2241" s="0" t="s">
        <v>153</v>
      </c>
      <c r="Y2241" s="0" t="s">
        <v>243</v>
      </c>
      <c r="AV2241" s="68"/>
      <c r="AW2241" s="68"/>
      <c r="AY2241" s="27"/>
      <c r="BD2241" s="68">
        <v>46054.1666666667</v>
      </c>
      <c r="BE2241" s="68">
        <v>46082.1666666667</v>
      </c>
      <c r="BF2241" s="0" t="b">
        <v>0</v>
      </c>
      <c r="BG2241" s="0" t="b">
        <v>0</v>
      </c>
      <c r="BH2241" s="0">
        <v>98</v>
      </c>
      <c r="BI2241" s="0">
        <v>98</v>
      </c>
      <c r="BJ2241" s="0" t="s">
        <v>135</v>
      </c>
    </row>
    <row r="2242">
      <c r="A2242" s="0" t="s">
        <v>2479</v>
      </c>
      <c r="B2242" s="0" t="s">
        <v>134</v>
      </c>
      <c r="C2242" s="0" t="s">
        <v>134</v>
      </c>
      <c r="D2242" s="0" t="s">
        <v>135</v>
      </c>
      <c r="E2242" s="0" t="s">
        <v>3</v>
      </c>
      <c r="F2242" s="0" t="s">
        <v>12</v>
      </c>
      <c r="G2242" s="0" t="s">
        <v>8</v>
      </c>
      <c r="H2242" s="0">
        <v>803</v>
      </c>
      <c r="I2242" s="0">
        <v>89</v>
      </c>
      <c r="J2242" s="0">
        <v>0</v>
      </c>
      <c r="K2242" s="0">
        <v>1</v>
      </c>
      <c r="L2242" s="0">
        <v>4</v>
      </c>
      <c r="M2242" s="0">
        <v>2</v>
      </c>
      <c r="N2242" s="0">
        <v>0</v>
      </c>
      <c r="O2242" s="0">
        <v>0</v>
      </c>
      <c r="P2242" s="0">
        <v>0</v>
      </c>
      <c r="R2242" s="0" t="b">
        <v>0</v>
      </c>
      <c r="S2242" s="0" t="b">
        <v>1</v>
      </c>
      <c r="T2242" s="68">
        <v>45250.4757060185</v>
      </c>
      <c r="U2242" s="68">
        <v>45264.2916666667</v>
      </c>
      <c r="V2242" s="68">
        <v>0</v>
      </c>
      <c r="W2242" s="0">
        <f>IF(IF(B2242="none",1,IF(B2242="Trialer",1,0))+IF(C2242="Customer",1,IF(C2242="Lost",1,0))=2,1,0)</f>
      </c>
      <c r="X2242" s="0" t="s">
        <v>153</v>
      </c>
      <c r="Y2242" s="0" t="s">
        <v>243</v>
      </c>
      <c r="AV2242" s="68"/>
      <c r="AW2242" s="68"/>
      <c r="AY2242" s="27"/>
      <c r="BD2242" s="68">
        <v>46054.1666666667</v>
      </c>
      <c r="BE2242" s="68">
        <v>46082.1666666667</v>
      </c>
      <c r="BF2242" s="0" t="b">
        <v>0</v>
      </c>
      <c r="BG2242" s="0" t="b">
        <v>0</v>
      </c>
      <c r="BH2242" s="0">
        <v>89</v>
      </c>
      <c r="BI2242" s="0">
        <v>89</v>
      </c>
      <c r="BJ2242" s="0" t="s">
        <v>135</v>
      </c>
    </row>
    <row r="2243">
      <c r="A2243" s="0" t="s">
        <v>2480</v>
      </c>
      <c r="B2243" s="0" t="s">
        <v>134</v>
      </c>
      <c r="C2243" s="0" t="s">
        <v>134</v>
      </c>
      <c r="D2243" s="0" t="s">
        <v>135</v>
      </c>
      <c r="E2243" s="0" t="s">
        <v>3</v>
      </c>
      <c r="F2243" s="0" t="s">
        <v>11</v>
      </c>
      <c r="G2243" s="0" t="s">
        <v>8</v>
      </c>
      <c r="H2243" s="0">
        <v>803</v>
      </c>
      <c r="I2243" s="0">
        <v>97.6</v>
      </c>
      <c r="J2243" s="0">
        <v>0</v>
      </c>
      <c r="K2243" s="0">
        <v>1</v>
      </c>
      <c r="L2243" s="0">
        <v>4</v>
      </c>
      <c r="M2243" s="0">
        <v>2</v>
      </c>
      <c r="N2243" s="0">
        <v>0</v>
      </c>
      <c r="O2243" s="0">
        <v>0</v>
      </c>
      <c r="P2243" s="0">
        <v>0</v>
      </c>
      <c r="Q2243" s="0" t="s">
        <v>1743</v>
      </c>
      <c r="R2243" s="0" t="b">
        <v>1</v>
      </c>
      <c r="S2243" s="0" t="b">
        <v>1</v>
      </c>
      <c r="T2243" s="68">
        <v>45250.512037037</v>
      </c>
      <c r="U2243" s="68">
        <v>45250.2916666667</v>
      </c>
      <c r="V2243" s="68">
        <v>0</v>
      </c>
      <c r="W2243" s="0">
        <f>IF(IF(B2243="none",1,IF(B2243="Trialer",1,0))+IF(C2243="Customer",1,IF(C2243="Lost",1,0))=2,1,0)</f>
      </c>
      <c r="X2243" s="0" t="s">
        <v>145</v>
      </c>
      <c r="Y2243" s="0" t="s">
        <v>243</v>
      </c>
      <c r="AV2243" s="68"/>
      <c r="AW2243" s="68"/>
      <c r="AY2243" s="27"/>
      <c r="BD2243" s="68">
        <v>46054.1666666667</v>
      </c>
      <c r="BE2243" s="68">
        <v>46082.1666666667</v>
      </c>
      <c r="BF2243" s="0" t="b">
        <v>0</v>
      </c>
      <c r="BG2243" s="0" t="b">
        <v>0</v>
      </c>
      <c r="BH2243" s="0">
        <v>97.6</v>
      </c>
      <c r="BI2243" s="0">
        <v>97.6</v>
      </c>
      <c r="BJ2243" s="0" t="s">
        <v>135</v>
      </c>
    </row>
    <row r="2244">
      <c r="A2244" s="0" t="s">
        <v>2481</v>
      </c>
      <c r="B2244" s="0" t="s">
        <v>134</v>
      </c>
      <c r="C2244" s="0" t="s">
        <v>134</v>
      </c>
      <c r="D2244" s="0" t="s">
        <v>230</v>
      </c>
      <c r="E2244" s="0" t="s">
        <v>3</v>
      </c>
      <c r="F2244" s="0" t="s">
        <v>12</v>
      </c>
      <c r="G2244" s="0" t="s">
        <v>8</v>
      </c>
      <c r="H2244" s="0">
        <v>803</v>
      </c>
      <c r="I2244" s="0">
        <v>289</v>
      </c>
      <c r="J2244" s="0">
        <v>0</v>
      </c>
      <c r="K2244" s="0">
        <v>1</v>
      </c>
      <c r="L2244" s="0">
        <v>3</v>
      </c>
      <c r="M2244" s="0">
        <v>7</v>
      </c>
      <c r="N2244" s="0">
        <v>0</v>
      </c>
      <c r="O2244" s="0">
        <v>0</v>
      </c>
      <c r="P2244" s="0">
        <v>-289</v>
      </c>
      <c r="R2244" s="0" t="b">
        <v>0</v>
      </c>
      <c r="S2244" s="0" t="b">
        <v>1</v>
      </c>
      <c r="T2244" s="68">
        <v>45250.624224537</v>
      </c>
      <c r="U2244" s="68">
        <v>45278.2916666667</v>
      </c>
      <c r="V2244" s="68">
        <v>0</v>
      </c>
      <c r="W2244" s="0">
        <f>IF(IF(B2244="none",1,IF(B2244="Trialer",1,0))+IF(C2244="Customer",1,IF(C2244="Lost",1,0))=2,1,0)</f>
      </c>
      <c r="X2244" s="0" t="s">
        <v>148</v>
      </c>
      <c r="Y2244" s="0" t="s">
        <v>243</v>
      </c>
      <c r="AV2244" s="68"/>
      <c r="AW2244" s="68"/>
      <c r="AY2244" s="27"/>
      <c r="BD2244" s="68">
        <v>46054.1666666667</v>
      </c>
      <c r="BE2244" s="68">
        <v>46082.1666666667</v>
      </c>
      <c r="BF2244" s="0" t="b">
        <v>0</v>
      </c>
      <c r="BG2244" s="0" t="b">
        <v>0</v>
      </c>
      <c r="BH2244" s="0">
        <v>322</v>
      </c>
      <c r="BI2244" s="0">
        <v>322</v>
      </c>
      <c r="BJ2244" s="0" t="s">
        <v>230</v>
      </c>
    </row>
    <row r="2245">
      <c r="A2245" s="0" t="s">
        <v>2482</v>
      </c>
      <c r="B2245" s="0" t="s">
        <v>134</v>
      </c>
      <c r="C2245" s="0" t="s">
        <v>134</v>
      </c>
      <c r="D2245" s="0" t="s">
        <v>230</v>
      </c>
      <c r="E2245" s="0" t="s">
        <v>3</v>
      </c>
      <c r="F2245" s="0" t="s">
        <v>12</v>
      </c>
      <c r="G2245" s="0" t="s">
        <v>8</v>
      </c>
      <c r="H2245" s="0">
        <v>802</v>
      </c>
      <c r="I2245" s="0">
        <v>25.2</v>
      </c>
      <c r="J2245" s="0">
        <v>0</v>
      </c>
      <c r="K2245" s="0">
        <v>1</v>
      </c>
      <c r="L2245" s="0">
        <v>1</v>
      </c>
      <c r="M2245" s="0">
        <v>1</v>
      </c>
      <c r="N2245" s="0">
        <v>0</v>
      </c>
      <c r="O2245" s="0">
        <v>0</v>
      </c>
      <c r="P2245" s="0">
        <v>-25.2</v>
      </c>
      <c r="R2245" s="0" t="b">
        <v>0</v>
      </c>
      <c r="S2245" s="0" t="b">
        <v>1</v>
      </c>
      <c r="T2245" s="68">
        <v>45251.0513888889</v>
      </c>
      <c r="U2245" s="68">
        <v>45265.2916666667</v>
      </c>
      <c r="V2245" s="68">
        <v>0</v>
      </c>
      <c r="W2245" s="0">
        <f>IF(IF(B2245="none",1,IF(B2245="Trialer",1,0))+IF(C2245="Customer",1,IF(C2245="Lost",1,0))=2,1,0)</f>
      </c>
      <c r="X2245" s="0" t="s">
        <v>142</v>
      </c>
      <c r="Y2245" s="0" t="s">
        <v>243</v>
      </c>
      <c r="AV2245" s="68"/>
      <c r="AW2245" s="68"/>
      <c r="AY2245" s="27"/>
      <c r="BD2245" s="68">
        <v>46054.1666666667</v>
      </c>
      <c r="BE2245" s="68">
        <v>46082.1666666667</v>
      </c>
      <c r="BF2245" s="0" t="b">
        <v>0</v>
      </c>
      <c r="BG2245" s="0" t="b">
        <v>0</v>
      </c>
      <c r="BH2245" s="0">
        <v>28</v>
      </c>
      <c r="BI2245" s="0">
        <v>28</v>
      </c>
      <c r="BJ2245" s="0" t="s">
        <v>230</v>
      </c>
    </row>
    <row r="2246">
      <c r="A2246" s="0" t="s">
        <v>2483</v>
      </c>
      <c r="B2246" s="0" t="s">
        <v>134</v>
      </c>
      <c r="C2246" s="0" t="s">
        <v>134</v>
      </c>
      <c r="D2246" s="0" t="s">
        <v>230</v>
      </c>
      <c r="E2246" s="0" t="s">
        <v>2</v>
      </c>
      <c r="F2246" s="0" t="s">
        <v>10</v>
      </c>
      <c r="G2246" s="0" t="s">
        <v>8</v>
      </c>
      <c r="H2246" s="0">
        <v>802</v>
      </c>
      <c r="I2246" s="0">
        <v>145.8</v>
      </c>
      <c r="J2246" s="0">
        <v>0</v>
      </c>
      <c r="K2246" s="0">
        <v>1</v>
      </c>
      <c r="L2246" s="0">
        <v>5</v>
      </c>
      <c r="M2246" s="0">
        <v>3</v>
      </c>
      <c r="N2246" s="0">
        <v>0</v>
      </c>
      <c r="O2246" s="0">
        <v>0</v>
      </c>
      <c r="P2246" s="0">
        <v>-145.8</v>
      </c>
      <c r="Q2246" s="0" t="s">
        <v>1914</v>
      </c>
      <c r="R2246" s="0" t="b">
        <v>0</v>
      </c>
      <c r="S2246" s="0" t="b">
        <v>1</v>
      </c>
      <c r="T2246" s="68">
        <v>45251.7040393519</v>
      </c>
      <c r="U2246" s="68">
        <v>45279.2916666667</v>
      </c>
      <c r="V2246" s="68">
        <v>0</v>
      </c>
      <c r="W2246" s="0">
        <f>IF(IF(B2246="none",1,IF(B2246="Trialer",1,0))+IF(C2246="Customer",1,IF(C2246="Lost",1,0))=2,1,0)</f>
      </c>
      <c r="X2246" s="0" t="s">
        <v>148</v>
      </c>
      <c r="Y2246" s="0" t="s">
        <v>499</v>
      </c>
      <c r="AV2246" s="68"/>
      <c r="AW2246" s="68"/>
      <c r="AY2246" s="27"/>
      <c r="BD2246" s="68">
        <v>46054.1666666667</v>
      </c>
      <c r="BE2246" s="68">
        <v>46082.1666666667</v>
      </c>
      <c r="BF2246" s="0" t="b">
        <v>0</v>
      </c>
      <c r="BG2246" s="0" t="b">
        <v>0</v>
      </c>
      <c r="BH2246" s="0">
        <v>162</v>
      </c>
      <c r="BI2246" s="0">
        <v>162</v>
      </c>
      <c r="BJ2246" s="0" t="s">
        <v>230</v>
      </c>
    </row>
    <row r="2247">
      <c r="A2247" s="0" t="s">
        <v>2484</v>
      </c>
      <c r="B2247" s="0" t="s">
        <v>134</v>
      </c>
      <c r="C2247" s="0" t="s">
        <v>134</v>
      </c>
      <c r="D2247" s="0" t="s">
        <v>230</v>
      </c>
      <c r="E2247" s="0" t="s">
        <v>3</v>
      </c>
      <c r="F2247" s="0" t="s">
        <v>12</v>
      </c>
      <c r="G2247" s="0" t="s">
        <v>8</v>
      </c>
      <c r="H2247" s="0">
        <v>802</v>
      </c>
      <c r="I2247" s="0">
        <v>44</v>
      </c>
      <c r="J2247" s="0">
        <v>0</v>
      </c>
      <c r="K2247" s="0">
        <v>1</v>
      </c>
      <c r="L2247" s="0">
        <v>3</v>
      </c>
      <c r="M2247" s="0">
        <v>1</v>
      </c>
      <c r="N2247" s="0">
        <v>0</v>
      </c>
      <c r="O2247" s="0">
        <v>0</v>
      </c>
      <c r="P2247" s="0">
        <v>-44</v>
      </c>
      <c r="R2247" s="0" t="b">
        <v>0</v>
      </c>
      <c r="S2247" s="0" t="b">
        <v>1</v>
      </c>
      <c r="T2247" s="68">
        <v>45251.712962963</v>
      </c>
      <c r="U2247" s="68">
        <v>45265.2916666667</v>
      </c>
      <c r="V2247" s="68">
        <v>0</v>
      </c>
      <c r="W2247" s="0">
        <f>IF(IF(B2247="none",1,IF(B2247="Trialer",1,0))+IF(C2247="Customer",1,IF(C2247="Lost",1,0))=2,1,0)</f>
      </c>
      <c r="X2247" s="0" t="s">
        <v>153</v>
      </c>
      <c r="Y2247" s="0" t="s">
        <v>243</v>
      </c>
      <c r="AV2247" s="68"/>
      <c r="AW2247" s="68"/>
      <c r="AY2247" s="27"/>
      <c r="BD2247" s="68">
        <v>46054.1666666667</v>
      </c>
      <c r="BE2247" s="68">
        <v>46082.1666666667</v>
      </c>
      <c r="BF2247" s="0" t="b">
        <v>0</v>
      </c>
      <c r="BG2247" s="0" t="b">
        <v>0</v>
      </c>
      <c r="BH2247" s="0">
        <v>49</v>
      </c>
      <c r="BI2247" s="0">
        <v>49</v>
      </c>
      <c r="BJ2247" s="0" t="s">
        <v>230</v>
      </c>
    </row>
    <row r="2248">
      <c r="A2248" s="0" t="s">
        <v>2485</v>
      </c>
      <c r="B2248" s="0" t="s">
        <v>134</v>
      </c>
      <c r="C2248" s="0" t="s">
        <v>134</v>
      </c>
      <c r="D2248" s="0" t="s">
        <v>135</v>
      </c>
      <c r="E2248" s="0" t="s">
        <v>3</v>
      </c>
      <c r="F2248" s="0" t="s">
        <v>10</v>
      </c>
      <c r="G2248" s="0" t="s">
        <v>8</v>
      </c>
      <c r="H2248" s="0">
        <v>796</v>
      </c>
      <c r="I2248" s="0">
        <v>56</v>
      </c>
      <c r="J2248" s="0">
        <v>0</v>
      </c>
      <c r="K2248" s="0">
        <v>1</v>
      </c>
      <c r="L2248" s="0">
        <v>1</v>
      </c>
      <c r="M2248" s="0">
        <v>2</v>
      </c>
      <c r="N2248" s="0">
        <v>0</v>
      </c>
      <c r="O2248" s="0">
        <v>0</v>
      </c>
      <c r="P2248" s="0">
        <v>0</v>
      </c>
      <c r="Q2248" s="0" t="s">
        <v>618</v>
      </c>
      <c r="R2248" s="0" t="b">
        <v>0</v>
      </c>
      <c r="S2248" s="0" t="b">
        <v>1</v>
      </c>
      <c r="T2248" s="68">
        <v>45257.3829398148</v>
      </c>
      <c r="U2248" s="68">
        <v>45302.2916666667</v>
      </c>
      <c r="V2248" s="68">
        <v>0</v>
      </c>
      <c r="W2248" s="0">
        <f>IF(IF(B2248="none",1,IF(B2248="Trialer",1,0))+IF(C2248="Customer",1,IF(C2248="Lost",1,0))=2,1,0)</f>
      </c>
      <c r="X2248" s="0" t="s">
        <v>148</v>
      </c>
      <c r="Y2248" s="0" t="s">
        <v>243</v>
      </c>
      <c r="AV2248" s="68"/>
      <c r="AW2248" s="68"/>
      <c r="AY2248" s="27"/>
      <c r="BD2248" s="68">
        <v>46054.1666666667</v>
      </c>
      <c r="BE2248" s="68">
        <v>46082.1666666667</v>
      </c>
      <c r="BF2248" s="0" t="b">
        <v>0</v>
      </c>
      <c r="BG2248" s="0" t="b">
        <v>0</v>
      </c>
      <c r="BH2248" s="0">
        <v>56</v>
      </c>
      <c r="BI2248" s="0">
        <v>56</v>
      </c>
      <c r="BJ2248" s="0" t="s">
        <v>135</v>
      </c>
    </row>
    <row r="2249">
      <c r="A2249" s="0" t="s">
        <v>2486</v>
      </c>
      <c r="B2249" s="0" t="s">
        <v>134</v>
      </c>
      <c r="C2249" s="0" t="s">
        <v>190</v>
      </c>
      <c r="D2249" s="0" t="s">
        <v>135</v>
      </c>
      <c r="E2249" s="0" t="s">
        <v>2</v>
      </c>
      <c r="F2249" s="0" t="s">
        <v>12</v>
      </c>
      <c r="G2249" s="0" t="s">
        <v>8</v>
      </c>
      <c r="H2249" s="0">
        <v>794</v>
      </c>
      <c r="I2249" s="0">
        <v>196</v>
      </c>
      <c r="J2249" s="0">
        <v>0</v>
      </c>
      <c r="K2249" s="0">
        <v>1</v>
      </c>
      <c r="L2249" s="0">
        <v>3</v>
      </c>
      <c r="M2249" s="0">
        <v>4</v>
      </c>
      <c r="N2249" s="0">
        <v>0</v>
      </c>
      <c r="O2249" s="0">
        <v>0</v>
      </c>
      <c r="P2249" s="0">
        <v>0</v>
      </c>
      <c r="R2249" s="0" t="b">
        <v>0</v>
      </c>
      <c r="S2249" s="0" t="b">
        <v>0</v>
      </c>
      <c r="T2249" s="68">
        <v>45259.5006944444</v>
      </c>
      <c r="U2249" s="68">
        <v>45295.2916666667</v>
      </c>
      <c r="V2249" s="68">
        <v>46076.6002083333</v>
      </c>
      <c r="W2249" s="0">
        <f>IF(IF(B2249="none",1,IF(B2249="Trialer",1,0))+IF(C2249="Customer",1,IF(C2249="Lost",1,0))=2,1,0)</f>
      </c>
      <c r="X2249" s="0" t="s">
        <v>882</v>
      </c>
      <c r="Y2249" s="0" t="s">
        <v>499</v>
      </c>
      <c r="AV2249" s="68"/>
      <c r="AW2249" s="68"/>
      <c r="AY2249" s="27"/>
      <c r="BD2249" s="68">
        <v>46054.1666666667</v>
      </c>
      <c r="BE2249" s="68">
        <v>46082.1666666667</v>
      </c>
      <c r="BF2249" s="0" t="b">
        <v>0</v>
      </c>
      <c r="BG2249" s="0" t="b">
        <v>0</v>
      </c>
      <c r="BH2249" s="0">
        <v>196</v>
      </c>
      <c r="BI2249" s="0">
        <v>196</v>
      </c>
      <c r="BJ2249" s="0" t="s">
        <v>135</v>
      </c>
    </row>
    <row r="2250">
      <c r="A2250" s="0" t="s">
        <v>2487</v>
      </c>
      <c r="B2250" s="0" t="s">
        <v>134</v>
      </c>
      <c r="C2250" s="0" t="s">
        <v>134</v>
      </c>
      <c r="D2250" s="0" t="s">
        <v>135</v>
      </c>
      <c r="E2250" s="0" t="s">
        <v>2</v>
      </c>
      <c r="F2250" s="0" t="s">
        <v>12</v>
      </c>
      <c r="G2250" s="0" t="s">
        <v>8</v>
      </c>
      <c r="H2250" s="0">
        <v>793</v>
      </c>
      <c r="I2250" s="0">
        <v>56</v>
      </c>
      <c r="J2250" s="0">
        <v>0</v>
      </c>
      <c r="K2250" s="0">
        <v>1</v>
      </c>
      <c r="L2250" s="0">
        <v>1</v>
      </c>
      <c r="M2250" s="0">
        <v>2</v>
      </c>
      <c r="N2250" s="0">
        <v>0</v>
      </c>
      <c r="O2250" s="0">
        <v>0</v>
      </c>
      <c r="P2250" s="0">
        <v>0</v>
      </c>
      <c r="R2250" s="0" t="b">
        <v>0</v>
      </c>
      <c r="S2250" s="0" t="b">
        <v>1</v>
      </c>
      <c r="T2250" s="68">
        <v>45260.6030324074</v>
      </c>
      <c r="U2250" s="68">
        <v>45274.2916666667</v>
      </c>
      <c r="V2250" s="68">
        <v>0</v>
      </c>
      <c r="W2250" s="0">
        <f>IF(IF(B2250="none",1,IF(B2250="Trialer",1,0))+IF(C2250="Customer",1,IF(C2250="Lost",1,0))=2,1,0)</f>
      </c>
      <c r="X2250" s="0" t="s">
        <v>153</v>
      </c>
      <c r="Y2250" s="0" t="s">
        <v>499</v>
      </c>
      <c r="AV2250" s="68"/>
      <c r="AW2250" s="68"/>
      <c r="AY2250" s="27"/>
      <c r="BD2250" s="68">
        <v>46054.1666666667</v>
      </c>
      <c r="BE2250" s="68">
        <v>46082.1666666667</v>
      </c>
      <c r="BF2250" s="0" t="b">
        <v>0</v>
      </c>
      <c r="BG2250" s="0" t="b">
        <v>0</v>
      </c>
      <c r="BH2250" s="0">
        <v>56</v>
      </c>
      <c r="BI2250" s="0">
        <v>56</v>
      </c>
      <c r="BJ2250" s="0" t="s">
        <v>135</v>
      </c>
    </row>
    <row r="2251">
      <c r="A2251" s="0" t="s">
        <v>2488</v>
      </c>
      <c r="B2251" s="0" t="s">
        <v>134</v>
      </c>
      <c r="C2251" s="0" t="s">
        <v>134</v>
      </c>
      <c r="D2251" s="0" t="s">
        <v>230</v>
      </c>
      <c r="E2251" s="0" t="s">
        <v>3</v>
      </c>
      <c r="F2251" s="0" t="s">
        <v>12</v>
      </c>
      <c r="G2251" s="0" t="s">
        <v>8</v>
      </c>
      <c r="H2251" s="0">
        <v>792</v>
      </c>
      <c r="I2251" s="0">
        <v>162</v>
      </c>
      <c r="J2251" s="0">
        <v>0</v>
      </c>
      <c r="K2251" s="0">
        <v>1</v>
      </c>
      <c r="L2251" s="0">
        <v>4</v>
      </c>
      <c r="M2251" s="0">
        <v>3</v>
      </c>
      <c r="N2251" s="0">
        <v>0</v>
      </c>
      <c r="O2251" s="0">
        <v>0</v>
      </c>
      <c r="P2251" s="0">
        <v>-162</v>
      </c>
      <c r="R2251" s="0" t="b">
        <v>0</v>
      </c>
      <c r="S2251" s="0" t="b">
        <v>1</v>
      </c>
      <c r="T2251" s="68">
        <v>45261.6144212963</v>
      </c>
      <c r="U2251" s="68">
        <v>45324.2916666667</v>
      </c>
      <c r="V2251" s="68">
        <v>0</v>
      </c>
      <c r="W2251" s="0">
        <f>IF(IF(B2251="none",1,IF(B2251="Trialer",1,0))+IF(C2251="Customer",1,IF(C2251="Lost",1,0))=2,1,0)</f>
      </c>
      <c r="X2251" s="0" t="s">
        <v>142</v>
      </c>
      <c r="Y2251" s="0" t="s">
        <v>243</v>
      </c>
      <c r="AV2251" s="68"/>
      <c r="AW2251" s="68"/>
      <c r="AY2251" s="27"/>
      <c r="BD2251" s="68">
        <v>46054.1666666667</v>
      </c>
      <c r="BE2251" s="68">
        <v>46082.1666666667</v>
      </c>
      <c r="BF2251" s="0" t="b">
        <v>0</v>
      </c>
      <c r="BG2251" s="0" t="b">
        <v>0</v>
      </c>
      <c r="BH2251" s="0">
        <v>183</v>
      </c>
      <c r="BI2251" s="0">
        <v>183</v>
      </c>
      <c r="BJ2251" s="0" t="s">
        <v>230</v>
      </c>
    </row>
    <row r="2252">
      <c r="A2252" s="0" t="s">
        <v>2489</v>
      </c>
      <c r="B2252" s="0" t="s">
        <v>134</v>
      </c>
      <c r="C2252" s="0" t="s">
        <v>134</v>
      </c>
      <c r="D2252" s="0" t="s">
        <v>135</v>
      </c>
      <c r="E2252" s="0" t="s">
        <v>3</v>
      </c>
      <c r="F2252" s="0" t="s">
        <v>12</v>
      </c>
      <c r="G2252" s="0" t="s">
        <v>8</v>
      </c>
      <c r="H2252" s="0">
        <v>791</v>
      </c>
      <c r="I2252" s="0">
        <v>61</v>
      </c>
      <c r="J2252" s="0">
        <v>0</v>
      </c>
      <c r="K2252" s="0">
        <v>1</v>
      </c>
      <c r="L2252" s="0">
        <v>4</v>
      </c>
      <c r="M2252" s="0">
        <v>1</v>
      </c>
      <c r="N2252" s="0">
        <v>0</v>
      </c>
      <c r="O2252" s="0">
        <v>0</v>
      </c>
      <c r="P2252" s="0">
        <v>0</v>
      </c>
      <c r="R2252" s="0" t="b">
        <v>0</v>
      </c>
      <c r="S2252" s="0" t="b">
        <v>1</v>
      </c>
      <c r="T2252" s="68">
        <v>45262.0003703704</v>
      </c>
      <c r="U2252" s="68">
        <v>45276.2916666667</v>
      </c>
      <c r="V2252" s="68">
        <v>0</v>
      </c>
      <c r="W2252" s="0">
        <f>IF(IF(B2252="none",1,IF(B2252="Trialer",1,0))+IF(C2252="Customer",1,IF(C2252="Lost",1,0))=2,1,0)</f>
      </c>
      <c r="X2252" s="0" t="s">
        <v>166</v>
      </c>
      <c r="Y2252" s="0" t="s">
        <v>243</v>
      </c>
      <c r="AV2252" s="68"/>
      <c r="AW2252" s="68"/>
      <c r="AY2252" s="27"/>
      <c r="BD2252" s="68">
        <v>46054.1666666667</v>
      </c>
      <c r="BE2252" s="68">
        <v>46082.1666666667</v>
      </c>
      <c r="BF2252" s="0" t="b">
        <v>0</v>
      </c>
      <c r="BG2252" s="0" t="b">
        <v>0</v>
      </c>
      <c r="BH2252" s="0">
        <v>61</v>
      </c>
      <c r="BI2252" s="0">
        <v>61</v>
      </c>
      <c r="BJ2252" s="0" t="s">
        <v>135</v>
      </c>
    </row>
    <row r="2253">
      <c r="A2253" s="0" t="s">
        <v>2490</v>
      </c>
      <c r="B2253" s="0" t="s">
        <v>134</v>
      </c>
      <c r="C2253" s="0" t="s">
        <v>134</v>
      </c>
      <c r="D2253" s="0" t="s">
        <v>135</v>
      </c>
      <c r="E2253" s="0" t="s">
        <v>2</v>
      </c>
      <c r="F2253" s="0" t="s">
        <v>12</v>
      </c>
      <c r="G2253" s="0" t="s">
        <v>8</v>
      </c>
      <c r="H2253" s="0">
        <v>789</v>
      </c>
      <c r="I2253" s="0">
        <v>183</v>
      </c>
      <c r="J2253" s="0">
        <v>0</v>
      </c>
      <c r="K2253" s="0">
        <v>1</v>
      </c>
      <c r="L2253" s="0">
        <v>4</v>
      </c>
      <c r="M2253" s="0">
        <v>3</v>
      </c>
      <c r="N2253" s="0">
        <v>0</v>
      </c>
      <c r="O2253" s="0">
        <v>0</v>
      </c>
      <c r="P2253" s="0">
        <v>0</v>
      </c>
      <c r="R2253" s="0" t="b">
        <v>0</v>
      </c>
      <c r="S2253" s="0" t="b">
        <v>1</v>
      </c>
      <c r="T2253" s="68">
        <v>45264.3901273148</v>
      </c>
      <c r="U2253" s="68">
        <v>45280.2916666667</v>
      </c>
      <c r="V2253" s="68">
        <v>0</v>
      </c>
      <c r="W2253" s="0">
        <f>IF(IF(B2253="none",1,IF(B2253="Trialer",1,0))+IF(C2253="Customer",1,IF(C2253="Lost",1,0))=2,1,0)</f>
      </c>
      <c r="X2253" s="0" t="s">
        <v>153</v>
      </c>
      <c r="Y2253" s="0" t="s">
        <v>499</v>
      </c>
      <c r="AV2253" s="68"/>
      <c r="AW2253" s="68"/>
      <c r="AY2253" s="27"/>
      <c r="BD2253" s="68">
        <v>46054.1666666667</v>
      </c>
      <c r="BE2253" s="68">
        <v>46082.1666666667</v>
      </c>
      <c r="BF2253" s="0" t="b">
        <v>0</v>
      </c>
      <c r="BG2253" s="0" t="b">
        <v>0</v>
      </c>
      <c r="BH2253" s="0">
        <v>183</v>
      </c>
      <c r="BI2253" s="0">
        <v>183</v>
      </c>
      <c r="BJ2253" s="0" t="s">
        <v>135</v>
      </c>
    </row>
    <row r="2254">
      <c r="A2254" s="0" t="s">
        <v>2491</v>
      </c>
      <c r="B2254" s="0" t="s">
        <v>134</v>
      </c>
      <c r="C2254" s="0" t="s">
        <v>134</v>
      </c>
      <c r="D2254" s="0" t="s">
        <v>230</v>
      </c>
      <c r="E2254" s="0" t="s">
        <v>2</v>
      </c>
      <c r="F2254" s="0" t="s">
        <v>12</v>
      </c>
      <c r="G2254" s="0" t="s">
        <v>8</v>
      </c>
      <c r="H2254" s="0">
        <v>788</v>
      </c>
      <c r="I2254" s="0">
        <v>54</v>
      </c>
      <c r="J2254" s="0">
        <v>0</v>
      </c>
      <c r="K2254" s="0">
        <v>1</v>
      </c>
      <c r="L2254" s="0">
        <v>4</v>
      </c>
      <c r="M2254" s="0">
        <v>1</v>
      </c>
      <c r="N2254" s="0">
        <v>0</v>
      </c>
      <c r="O2254" s="0">
        <v>0</v>
      </c>
      <c r="P2254" s="0">
        <v>-54</v>
      </c>
      <c r="R2254" s="0" t="b">
        <v>0</v>
      </c>
      <c r="S2254" s="0" t="b">
        <v>1</v>
      </c>
      <c r="T2254" s="68">
        <v>45265.2819444444</v>
      </c>
      <c r="U2254" s="68">
        <v>45279.2916666667</v>
      </c>
      <c r="V2254" s="68">
        <v>0</v>
      </c>
      <c r="W2254" s="0">
        <f>IF(IF(B2254="none",1,IF(B2254="Trialer",1,0))+IF(C2254="Customer",1,IF(C2254="Lost",1,0))=2,1,0)</f>
      </c>
      <c r="X2254" s="0" t="s">
        <v>166</v>
      </c>
      <c r="Y2254" s="0" t="s">
        <v>499</v>
      </c>
      <c r="AV2254" s="68"/>
      <c r="AW2254" s="68"/>
      <c r="AY2254" s="27"/>
      <c r="BD2254" s="68">
        <v>46054.1666666667</v>
      </c>
      <c r="BE2254" s="68">
        <v>46082.1666666667</v>
      </c>
      <c r="BF2254" s="0" t="b">
        <v>0</v>
      </c>
      <c r="BG2254" s="0" t="b">
        <v>0</v>
      </c>
      <c r="BH2254" s="0">
        <v>61</v>
      </c>
      <c r="BI2254" s="0">
        <v>61</v>
      </c>
      <c r="BJ2254" s="0" t="s">
        <v>230</v>
      </c>
    </row>
    <row r="2255">
      <c r="A2255" s="0" t="s">
        <v>2492</v>
      </c>
      <c r="B2255" s="0" t="s">
        <v>134</v>
      </c>
      <c r="C2255" s="0" t="s">
        <v>134</v>
      </c>
      <c r="D2255" s="0" t="s">
        <v>230</v>
      </c>
      <c r="E2255" s="0" t="s">
        <v>3</v>
      </c>
      <c r="F2255" s="0" t="s">
        <v>12</v>
      </c>
      <c r="G2255" s="0" t="s">
        <v>8</v>
      </c>
      <c r="H2255" s="0">
        <v>788</v>
      </c>
      <c r="I2255" s="0">
        <v>808.3</v>
      </c>
      <c r="J2255" s="0">
        <v>0</v>
      </c>
      <c r="K2255" s="0">
        <v>1</v>
      </c>
      <c r="L2255" s="0">
        <v>3</v>
      </c>
      <c r="M2255" s="0">
        <v>15</v>
      </c>
      <c r="N2255" s="0">
        <v>0</v>
      </c>
      <c r="O2255" s="0">
        <v>0</v>
      </c>
      <c r="P2255" s="0">
        <v>-483.3</v>
      </c>
      <c r="R2255" s="0" t="b">
        <v>0</v>
      </c>
      <c r="S2255" s="0" t="b">
        <v>1</v>
      </c>
      <c r="T2255" s="68">
        <v>45265.6066666667</v>
      </c>
      <c r="U2255" s="68">
        <v>45279.2916666667</v>
      </c>
      <c r="V2255" s="68">
        <v>0</v>
      </c>
      <c r="W2255" s="0">
        <f>IF(IF(B2255="none",1,IF(B2255="Trialer",1,0))+IF(C2255="Customer",1,IF(C2255="Lost",1,0))=2,1,0)</f>
      </c>
      <c r="X2255" s="0" t="s">
        <v>136</v>
      </c>
      <c r="Y2255" s="0" t="s">
        <v>243</v>
      </c>
      <c r="AV2255" s="68"/>
      <c r="AW2255" s="68"/>
      <c r="AY2255" s="27"/>
      <c r="BD2255" s="68">
        <v>46054.1666666667</v>
      </c>
      <c r="BE2255" s="68">
        <v>46082.1666666667</v>
      </c>
      <c r="BF2255" s="0" t="b">
        <v>0</v>
      </c>
      <c r="BG2255" s="0" t="b">
        <v>0</v>
      </c>
      <c r="BH2255" s="0">
        <v>537</v>
      </c>
      <c r="BI2255" s="0">
        <v>537</v>
      </c>
      <c r="BJ2255" s="0" t="s">
        <v>230</v>
      </c>
    </row>
    <row r="2256">
      <c r="A2256" s="0" t="s">
        <v>2493</v>
      </c>
      <c r="B2256" s="0" t="s">
        <v>134</v>
      </c>
      <c r="C2256" s="0" t="s">
        <v>134</v>
      </c>
      <c r="D2256" s="0" t="s">
        <v>135</v>
      </c>
      <c r="E2256" s="0" t="s">
        <v>2</v>
      </c>
      <c r="F2256" s="0" t="s">
        <v>12</v>
      </c>
      <c r="G2256" s="0" t="s">
        <v>8</v>
      </c>
      <c r="H2256" s="0">
        <v>788</v>
      </c>
      <c r="I2256" s="0">
        <v>85</v>
      </c>
      <c r="J2256" s="0">
        <v>0</v>
      </c>
      <c r="K2256" s="0">
        <v>1</v>
      </c>
      <c r="L2256" s="0">
        <v>6</v>
      </c>
      <c r="M2256" s="0">
        <v>1</v>
      </c>
      <c r="N2256" s="0">
        <v>0</v>
      </c>
      <c r="O2256" s="0">
        <v>0</v>
      </c>
      <c r="P2256" s="0">
        <v>0</v>
      </c>
      <c r="R2256" s="0" t="b">
        <v>0</v>
      </c>
      <c r="S2256" s="0" t="b">
        <v>1</v>
      </c>
      <c r="T2256" s="68">
        <v>45265.6268865741</v>
      </c>
      <c r="U2256" s="68">
        <v>45266.2916666667</v>
      </c>
      <c r="V2256" s="68">
        <v>0</v>
      </c>
      <c r="W2256" s="0">
        <f>IF(IF(B2256="none",1,IF(B2256="Trialer",1,0))+IF(C2256="Customer",1,IF(C2256="Lost",1,0))=2,1,0)</f>
      </c>
      <c r="X2256" s="0" t="s">
        <v>153</v>
      </c>
      <c r="Y2256" s="0" t="s">
        <v>499</v>
      </c>
      <c r="AV2256" s="68"/>
      <c r="AW2256" s="68"/>
      <c r="AY2256" s="27"/>
      <c r="BD2256" s="68">
        <v>46054.1666666667</v>
      </c>
      <c r="BE2256" s="68">
        <v>46082.1666666667</v>
      </c>
      <c r="BF2256" s="0" t="b">
        <v>0</v>
      </c>
      <c r="BG2256" s="0" t="b">
        <v>0</v>
      </c>
      <c r="BH2256" s="0">
        <v>85</v>
      </c>
      <c r="BI2256" s="0">
        <v>85</v>
      </c>
      <c r="BJ2256" s="0" t="s">
        <v>135</v>
      </c>
    </row>
    <row r="2257">
      <c r="A2257" s="0" t="s">
        <v>2494</v>
      </c>
      <c r="B2257" s="0" t="s">
        <v>134</v>
      </c>
      <c r="C2257" s="0" t="s">
        <v>134</v>
      </c>
      <c r="D2257" s="0" t="s">
        <v>230</v>
      </c>
      <c r="E2257" s="0" t="s">
        <v>2</v>
      </c>
      <c r="F2257" s="0" t="s">
        <v>12</v>
      </c>
      <c r="G2257" s="0" t="s">
        <v>8</v>
      </c>
      <c r="H2257" s="0">
        <v>787</v>
      </c>
      <c r="I2257" s="0">
        <v>72</v>
      </c>
      <c r="J2257" s="0">
        <v>0</v>
      </c>
      <c r="K2257" s="0">
        <v>1</v>
      </c>
      <c r="L2257" s="0">
        <v>2</v>
      </c>
      <c r="M2257" s="0">
        <v>2</v>
      </c>
      <c r="N2257" s="0">
        <v>0</v>
      </c>
      <c r="O2257" s="0">
        <v>0</v>
      </c>
      <c r="P2257" s="0">
        <v>-72</v>
      </c>
      <c r="R2257" s="0" t="b">
        <v>0</v>
      </c>
      <c r="S2257" s="0" t="b">
        <v>1</v>
      </c>
      <c r="T2257" s="68">
        <v>45266.4242013889</v>
      </c>
      <c r="U2257" s="68">
        <v>45272.2916666667</v>
      </c>
      <c r="V2257" s="68">
        <v>0</v>
      </c>
      <c r="W2257" s="0">
        <f>IF(IF(B2257="none",1,IF(B2257="Trialer",1,0))+IF(C2257="Customer",1,IF(C2257="Lost",1,0))=2,1,0)</f>
      </c>
      <c r="X2257" s="0" t="s">
        <v>166</v>
      </c>
      <c r="Y2257" s="0" t="s">
        <v>499</v>
      </c>
      <c r="AV2257" s="68"/>
      <c r="AW2257" s="68"/>
      <c r="AY2257" s="27"/>
      <c r="BD2257" s="68">
        <v>46054.1666666667</v>
      </c>
      <c r="BE2257" s="68">
        <v>46082.1666666667</v>
      </c>
      <c r="BF2257" s="0" t="b">
        <v>0</v>
      </c>
      <c r="BG2257" s="0" t="b">
        <v>0</v>
      </c>
      <c r="BH2257" s="0">
        <v>80</v>
      </c>
      <c r="BI2257" s="0">
        <v>80</v>
      </c>
      <c r="BJ2257" s="0" t="s">
        <v>230</v>
      </c>
    </row>
    <row r="2258">
      <c r="A2258" s="0" t="s">
        <v>2495</v>
      </c>
      <c r="B2258" s="0" t="s">
        <v>134</v>
      </c>
      <c r="C2258" s="0" t="s">
        <v>134</v>
      </c>
      <c r="D2258" s="0" t="s">
        <v>230</v>
      </c>
      <c r="E2258" s="0" t="s">
        <v>3</v>
      </c>
      <c r="F2258" s="0" t="s">
        <v>12</v>
      </c>
      <c r="G2258" s="0" t="s">
        <v>8</v>
      </c>
      <c r="H2258" s="0">
        <v>787</v>
      </c>
      <c r="I2258" s="0">
        <v>36</v>
      </c>
      <c r="J2258" s="0">
        <v>0</v>
      </c>
      <c r="K2258" s="0">
        <v>1</v>
      </c>
      <c r="L2258" s="0">
        <v>2</v>
      </c>
      <c r="M2258" s="0">
        <v>1</v>
      </c>
      <c r="N2258" s="0">
        <v>0</v>
      </c>
      <c r="O2258" s="0">
        <v>0</v>
      </c>
      <c r="P2258" s="0">
        <v>-36</v>
      </c>
      <c r="R2258" s="0" t="b">
        <v>0</v>
      </c>
      <c r="S2258" s="0" t="b">
        <v>1</v>
      </c>
      <c r="T2258" s="68">
        <v>45266.4352662037</v>
      </c>
      <c r="U2258" s="68">
        <v>45280.2916666667</v>
      </c>
      <c r="V2258" s="68">
        <v>0</v>
      </c>
      <c r="W2258" s="0">
        <f>IF(IF(B2258="none",1,IF(B2258="Trialer",1,0))+IF(C2258="Customer",1,IF(C2258="Lost",1,0))=2,1,0)</f>
      </c>
      <c r="X2258" s="0" t="s">
        <v>166</v>
      </c>
      <c r="Y2258" s="0" t="s">
        <v>243</v>
      </c>
      <c r="AV2258" s="68"/>
      <c r="AW2258" s="68"/>
      <c r="AY2258" s="27"/>
      <c r="BD2258" s="68">
        <v>46054.1666666667</v>
      </c>
      <c r="BE2258" s="68">
        <v>46082.1666666667</v>
      </c>
      <c r="BF2258" s="0" t="b">
        <v>0</v>
      </c>
      <c r="BG2258" s="0" t="b">
        <v>0</v>
      </c>
      <c r="BH2258" s="0">
        <v>40</v>
      </c>
      <c r="BI2258" s="0">
        <v>40</v>
      </c>
      <c r="BJ2258" s="0" t="s">
        <v>230</v>
      </c>
    </row>
    <row r="2259">
      <c r="A2259" s="0" t="s">
        <v>2496</v>
      </c>
      <c r="B2259" s="0" t="s">
        <v>134</v>
      </c>
      <c r="C2259" s="0" t="s">
        <v>134</v>
      </c>
      <c r="D2259" s="0" t="s">
        <v>135</v>
      </c>
      <c r="E2259" s="0" t="s">
        <v>3</v>
      </c>
      <c r="F2259" s="0" t="s">
        <v>10</v>
      </c>
      <c r="G2259" s="0" t="s">
        <v>8</v>
      </c>
      <c r="H2259" s="0">
        <v>787</v>
      </c>
      <c r="I2259" s="0">
        <v>61</v>
      </c>
      <c r="J2259" s="0">
        <v>0</v>
      </c>
      <c r="K2259" s="0">
        <v>1</v>
      </c>
      <c r="L2259" s="0">
        <v>4</v>
      </c>
      <c r="M2259" s="0">
        <v>1</v>
      </c>
      <c r="N2259" s="0">
        <v>0</v>
      </c>
      <c r="O2259" s="0">
        <v>0</v>
      </c>
      <c r="P2259" s="0">
        <v>0</v>
      </c>
      <c r="Q2259" s="0" t="s">
        <v>2497</v>
      </c>
      <c r="R2259" s="0" t="b">
        <v>0</v>
      </c>
      <c r="S2259" s="0" t="b">
        <v>1</v>
      </c>
      <c r="T2259" s="68">
        <v>45266.4464814815</v>
      </c>
      <c r="U2259" s="68">
        <v>45295.2916666667</v>
      </c>
      <c r="V2259" s="68">
        <v>0</v>
      </c>
      <c r="W2259" s="0">
        <f>IF(IF(B2259="none",1,IF(B2259="Trialer",1,0))+IF(C2259="Customer",1,IF(C2259="Lost",1,0))=2,1,0)</f>
      </c>
      <c r="X2259" s="0" t="s">
        <v>882</v>
      </c>
      <c r="Y2259" s="0" t="s">
        <v>243</v>
      </c>
      <c r="AV2259" s="68"/>
      <c r="AW2259" s="68"/>
      <c r="AY2259" s="27"/>
      <c r="BD2259" s="68">
        <v>46054.1666666667</v>
      </c>
      <c r="BE2259" s="68">
        <v>46082.1666666667</v>
      </c>
      <c r="BF2259" s="0" t="b">
        <v>0</v>
      </c>
      <c r="BG2259" s="0" t="b">
        <v>0</v>
      </c>
      <c r="BH2259" s="0">
        <v>61</v>
      </c>
      <c r="BI2259" s="0">
        <v>61</v>
      </c>
      <c r="BJ2259" s="0" t="s">
        <v>135</v>
      </c>
    </row>
    <row r="2260">
      <c r="A2260" s="0" t="s">
        <v>2498</v>
      </c>
      <c r="B2260" s="0" t="s">
        <v>134</v>
      </c>
      <c r="C2260" s="0" t="s">
        <v>134</v>
      </c>
      <c r="D2260" s="0" t="s">
        <v>230</v>
      </c>
      <c r="E2260" s="0" t="s">
        <v>3</v>
      </c>
      <c r="F2260" s="0" t="s">
        <v>12</v>
      </c>
      <c r="G2260" s="0" t="s">
        <v>8</v>
      </c>
      <c r="H2260" s="0">
        <v>787</v>
      </c>
      <c r="I2260" s="0">
        <v>118</v>
      </c>
      <c r="J2260" s="0">
        <v>0</v>
      </c>
      <c r="K2260" s="0">
        <v>1</v>
      </c>
      <c r="L2260" s="0">
        <v>5</v>
      </c>
      <c r="M2260" s="0">
        <v>2</v>
      </c>
      <c r="N2260" s="0">
        <v>0</v>
      </c>
      <c r="O2260" s="0">
        <v>0</v>
      </c>
      <c r="P2260" s="0">
        <v>-118</v>
      </c>
      <c r="R2260" s="0" t="b">
        <v>0</v>
      </c>
      <c r="S2260" s="0" t="b">
        <v>1</v>
      </c>
      <c r="T2260" s="68">
        <v>45266.6023958333</v>
      </c>
      <c r="U2260" s="68">
        <v>45280.2916666667</v>
      </c>
      <c r="V2260" s="68">
        <v>0</v>
      </c>
      <c r="W2260" s="0">
        <f>IF(IF(B2260="none",1,IF(B2260="Trialer",1,0))+IF(C2260="Customer",1,IF(C2260="Lost",1,0))=2,1,0)</f>
      </c>
      <c r="X2260" s="0" t="s">
        <v>153</v>
      </c>
      <c r="Y2260" s="0" t="s">
        <v>243</v>
      </c>
      <c r="AV2260" s="68"/>
      <c r="AW2260" s="68"/>
      <c r="AY2260" s="27"/>
      <c r="BD2260" s="68">
        <v>46054.1666666667</v>
      </c>
      <c r="BE2260" s="68">
        <v>46082.1666666667</v>
      </c>
      <c r="BF2260" s="0" t="b">
        <v>0</v>
      </c>
      <c r="BG2260" s="0" t="b">
        <v>0</v>
      </c>
      <c r="BH2260" s="0">
        <v>134</v>
      </c>
      <c r="BI2260" s="0">
        <v>134</v>
      </c>
      <c r="BJ2260" s="0" t="s">
        <v>230</v>
      </c>
    </row>
    <row r="2261">
      <c r="A2261" s="0" t="s">
        <v>2499</v>
      </c>
      <c r="B2261" s="0" t="s">
        <v>134</v>
      </c>
      <c r="C2261" s="0" t="s">
        <v>134</v>
      </c>
      <c r="D2261" s="0" t="s">
        <v>230</v>
      </c>
      <c r="E2261" s="0" t="s">
        <v>3</v>
      </c>
      <c r="F2261" s="0" t="s">
        <v>12</v>
      </c>
      <c r="G2261" s="0" t="s">
        <v>8</v>
      </c>
      <c r="H2261" s="0">
        <v>786</v>
      </c>
      <c r="I2261" s="0">
        <v>133</v>
      </c>
      <c r="J2261" s="0">
        <v>0</v>
      </c>
      <c r="K2261" s="0">
        <v>1</v>
      </c>
      <c r="L2261" s="0">
        <v>4</v>
      </c>
      <c r="M2261" s="0">
        <v>3</v>
      </c>
      <c r="N2261" s="0">
        <v>0</v>
      </c>
      <c r="O2261" s="0">
        <v>0</v>
      </c>
      <c r="P2261" s="0">
        <v>-133</v>
      </c>
      <c r="R2261" s="0" t="b">
        <v>0</v>
      </c>
      <c r="S2261" s="0" t="b">
        <v>1</v>
      </c>
      <c r="T2261" s="68">
        <v>45267.4074421296</v>
      </c>
      <c r="U2261" s="68">
        <v>45281.2916666667</v>
      </c>
      <c r="V2261" s="68">
        <v>0</v>
      </c>
      <c r="W2261" s="0">
        <f>IF(IF(B2261="none",1,IF(B2261="Trialer",1,0))+IF(C2261="Customer",1,IF(C2261="Lost",1,0))=2,1,0)</f>
      </c>
      <c r="X2261" s="0" t="s">
        <v>166</v>
      </c>
      <c r="Y2261" s="0" t="s">
        <v>243</v>
      </c>
      <c r="AV2261" s="68"/>
      <c r="AW2261" s="68"/>
      <c r="AY2261" s="27"/>
      <c r="BD2261" s="68">
        <v>46054.1666666667</v>
      </c>
      <c r="BE2261" s="68">
        <v>46082.1666666667</v>
      </c>
      <c r="BF2261" s="0" t="b">
        <v>0</v>
      </c>
      <c r="BG2261" s="0" t="b">
        <v>0</v>
      </c>
      <c r="BH2261" s="0">
        <v>150</v>
      </c>
      <c r="BI2261" s="0">
        <v>150</v>
      </c>
      <c r="BJ2261" s="0" t="s">
        <v>230</v>
      </c>
    </row>
    <row r="2262">
      <c r="A2262" s="0" t="s">
        <v>2500</v>
      </c>
      <c r="B2262" s="0" t="s">
        <v>134</v>
      </c>
      <c r="C2262" s="0" t="s">
        <v>134</v>
      </c>
      <c r="D2262" s="0" t="s">
        <v>230</v>
      </c>
      <c r="E2262" s="0" t="s">
        <v>2</v>
      </c>
      <c r="F2262" s="0" t="s">
        <v>12</v>
      </c>
      <c r="G2262" s="0" t="s">
        <v>8</v>
      </c>
      <c r="H2262" s="0">
        <v>786</v>
      </c>
      <c r="I2262" s="0">
        <v>98</v>
      </c>
      <c r="J2262" s="0">
        <v>0</v>
      </c>
      <c r="K2262" s="0">
        <v>1</v>
      </c>
      <c r="L2262" s="0">
        <v>4</v>
      </c>
      <c r="M2262" s="0">
        <v>2</v>
      </c>
      <c r="N2262" s="0">
        <v>0</v>
      </c>
      <c r="O2262" s="0">
        <v>0</v>
      </c>
      <c r="P2262" s="0">
        <v>-98</v>
      </c>
      <c r="R2262" s="0" t="b">
        <v>0</v>
      </c>
      <c r="S2262" s="0" t="b">
        <v>1</v>
      </c>
      <c r="T2262" s="68">
        <v>45267.457025463</v>
      </c>
      <c r="U2262" s="68">
        <v>45288.2916666667</v>
      </c>
      <c r="V2262" s="68">
        <v>0</v>
      </c>
      <c r="W2262" s="0">
        <f>IF(IF(B2262="none",1,IF(B2262="Trialer",1,0))+IF(C2262="Customer",1,IF(C2262="Lost",1,0))=2,1,0)</f>
      </c>
      <c r="X2262" s="0" t="s">
        <v>153</v>
      </c>
      <c r="Y2262" s="0" t="s">
        <v>1587</v>
      </c>
      <c r="AV2262" s="68"/>
      <c r="AW2262" s="68"/>
      <c r="AY2262" s="27"/>
      <c r="BD2262" s="68">
        <v>46054.1666666667</v>
      </c>
      <c r="BE2262" s="68">
        <v>46082.1666666667</v>
      </c>
      <c r="BF2262" s="0" t="b">
        <v>0</v>
      </c>
      <c r="BG2262" s="0" t="b">
        <v>0</v>
      </c>
      <c r="BH2262" s="0">
        <v>110</v>
      </c>
      <c r="BI2262" s="0">
        <v>110</v>
      </c>
      <c r="BJ2262" s="0" t="s">
        <v>230</v>
      </c>
    </row>
    <row r="2263">
      <c r="A2263" s="0" t="s">
        <v>2501</v>
      </c>
      <c r="B2263" s="0" t="s">
        <v>134</v>
      </c>
      <c r="C2263" s="0" t="s">
        <v>134</v>
      </c>
      <c r="D2263" s="0" t="s">
        <v>135</v>
      </c>
      <c r="E2263" s="0" t="s">
        <v>2</v>
      </c>
      <c r="F2263" s="0" t="s">
        <v>12</v>
      </c>
      <c r="G2263" s="0" t="s">
        <v>8</v>
      </c>
      <c r="H2263" s="0">
        <v>786</v>
      </c>
      <c r="I2263" s="0">
        <v>478</v>
      </c>
      <c r="J2263" s="0">
        <v>0</v>
      </c>
      <c r="K2263" s="0">
        <v>1</v>
      </c>
      <c r="L2263" s="0">
        <v>4</v>
      </c>
      <c r="M2263" s="0">
        <v>10</v>
      </c>
      <c r="N2263" s="0">
        <v>0</v>
      </c>
      <c r="O2263" s="0">
        <v>0</v>
      </c>
      <c r="P2263" s="0">
        <v>0</v>
      </c>
      <c r="R2263" s="0" t="b">
        <v>0</v>
      </c>
      <c r="S2263" s="0" t="b">
        <v>1</v>
      </c>
      <c r="T2263" s="68">
        <v>45267.6600578704</v>
      </c>
      <c r="U2263" s="68">
        <v>45281.2916666667</v>
      </c>
      <c r="V2263" s="68">
        <v>0</v>
      </c>
      <c r="W2263" s="0">
        <f>IF(IF(B2263="none",1,IF(B2263="Trialer",1,0))+IF(C2263="Customer",1,IF(C2263="Lost",1,0))=2,1,0)</f>
      </c>
      <c r="X2263" s="0" t="s">
        <v>145</v>
      </c>
      <c r="Y2263" s="0" t="s">
        <v>499</v>
      </c>
      <c r="AV2263" s="68"/>
      <c r="AW2263" s="68"/>
      <c r="AY2263" s="27"/>
      <c r="BD2263" s="68">
        <v>46054.1666666667</v>
      </c>
      <c r="BE2263" s="68">
        <v>46082.1666666667</v>
      </c>
      <c r="BF2263" s="0" t="b">
        <v>0</v>
      </c>
      <c r="BG2263" s="0" t="b">
        <v>0</v>
      </c>
      <c r="BH2263" s="0">
        <v>506</v>
      </c>
      <c r="BI2263" s="0">
        <v>478</v>
      </c>
      <c r="BJ2263" s="0" t="s">
        <v>135</v>
      </c>
    </row>
    <row r="2264">
      <c r="A2264" s="0" t="s">
        <v>2502</v>
      </c>
      <c r="B2264" s="0" t="s">
        <v>134</v>
      </c>
      <c r="C2264" s="0" t="s">
        <v>134</v>
      </c>
      <c r="D2264" s="0" t="s">
        <v>230</v>
      </c>
      <c r="E2264" s="0" t="s">
        <v>3</v>
      </c>
      <c r="F2264" s="0" t="s">
        <v>10</v>
      </c>
      <c r="G2264" s="0" t="s">
        <v>8</v>
      </c>
      <c r="H2264" s="0">
        <v>785</v>
      </c>
      <c r="I2264" s="0">
        <v>314</v>
      </c>
      <c r="J2264" s="0">
        <v>0</v>
      </c>
      <c r="K2264" s="0">
        <v>1</v>
      </c>
      <c r="L2264" s="0">
        <v>4</v>
      </c>
      <c r="M2264" s="0">
        <v>6</v>
      </c>
      <c r="N2264" s="0">
        <v>0</v>
      </c>
      <c r="O2264" s="0">
        <v>0</v>
      </c>
      <c r="P2264" s="0">
        <v>-314</v>
      </c>
      <c r="Q2264" s="0" t="s">
        <v>1914</v>
      </c>
      <c r="R2264" s="0" t="b">
        <v>0</v>
      </c>
      <c r="S2264" s="0" t="b">
        <v>1</v>
      </c>
      <c r="T2264" s="68">
        <v>45267.9932523148</v>
      </c>
      <c r="U2264" s="68">
        <v>45314.2916666667</v>
      </c>
      <c r="V2264" s="68">
        <v>0</v>
      </c>
      <c r="W2264" s="0">
        <f>IF(IF(B2264="none",1,IF(B2264="Trialer",1,0))+IF(C2264="Customer",1,IF(C2264="Lost",1,0))=2,1,0)</f>
      </c>
      <c r="X2264" s="0" t="s">
        <v>148</v>
      </c>
      <c r="Y2264" s="0" t="s">
        <v>243</v>
      </c>
      <c r="AV2264" s="68"/>
      <c r="AW2264" s="68"/>
      <c r="AY2264" s="27"/>
      <c r="BD2264" s="68">
        <v>46054.1666666667</v>
      </c>
      <c r="BE2264" s="68">
        <v>46082.1666666667</v>
      </c>
      <c r="BF2264" s="0" t="b">
        <v>0</v>
      </c>
      <c r="BG2264" s="0" t="b">
        <v>0</v>
      </c>
      <c r="BH2264" s="0">
        <v>354</v>
      </c>
      <c r="BI2264" s="0">
        <v>354</v>
      </c>
      <c r="BJ2264" s="0" t="s">
        <v>230</v>
      </c>
    </row>
    <row r="2265">
      <c r="A2265" s="0" t="s">
        <v>2503</v>
      </c>
      <c r="B2265" s="0" t="s">
        <v>134</v>
      </c>
      <c r="C2265" s="0" t="s">
        <v>134</v>
      </c>
      <c r="D2265" s="0" t="s">
        <v>135</v>
      </c>
      <c r="E2265" s="0" t="s">
        <v>2</v>
      </c>
      <c r="F2265" s="0" t="s">
        <v>12</v>
      </c>
      <c r="G2265" s="0" t="s">
        <v>8</v>
      </c>
      <c r="H2265" s="0">
        <v>785</v>
      </c>
      <c r="I2265" s="0">
        <v>110</v>
      </c>
      <c r="J2265" s="0">
        <v>0</v>
      </c>
      <c r="K2265" s="0">
        <v>1</v>
      </c>
      <c r="L2265" s="0">
        <v>4</v>
      </c>
      <c r="M2265" s="0">
        <v>2</v>
      </c>
      <c r="N2265" s="0">
        <v>0</v>
      </c>
      <c r="O2265" s="0">
        <v>0</v>
      </c>
      <c r="P2265" s="0">
        <v>0</v>
      </c>
      <c r="R2265" s="0" t="b">
        <v>0</v>
      </c>
      <c r="S2265" s="0" t="b">
        <v>1</v>
      </c>
      <c r="T2265" s="68">
        <v>45268.5708680556</v>
      </c>
      <c r="U2265" s="68">
        <v>45282.2916666667</v>
      </c>
      <c r="V2265" s="68">
        <v>0</v>
      </c>
      <c r="W2265" s="0">
        <f>IF(IF(B2265="none",1,IF(B2265="Trialer",1,0))+IF(C2265="Customer",1,IF(C2265="Lost",1,0))=2,1,0)</f>
      </c>
      <c r="X2265" s="0" t="s">
        <v>142</v>
      </c>
      <c r="Y2265" s="0" t="s">
        <v>499</v>
      </c>
      <c r="AV2265" s="68"/>
      <c r="AW2265" s="68"/>
      <c r="AY2265" s="27"/>
      <c r="BD2265" s="68">
        <v>46054.1666666667</v>
      </c>
      <c r="BE2265" s="68">
        <v>46082.1666666667</v>
      </c>
      <c r="BF2265" s="0" t="b">
        <v>0</v>
      </c>
      <c r="BG2265" s="0" t="b">
        <v>0</v>
      </c>
      <c r="BH2265" s="0">
        <v>110</v>
      </c>
      <c r="BI2265" s="0">
        <v>110</v>
      </c>
      <c r="BJ2265" s="0" t="s">
        <v>135</v>
      </c>
    </row>
    <row r="2266">
      <c r="A2266" s="0" t="s">
        <v>2504</v>
      </c>
      <c r="B2266" s="0" t="s">
        <v>134</v>
      </c>
      <c r="C2266" s="0" t="s">
        <v>134</v>
      </c>
      <c r="D2266" s="0" t="s">
        <v>135</v>
      </c>
      <c r="E2266" s="0" t="s">
        <v>3</v>
      </c>
      <c r="F2266" s="0" t="s">
        <v>10</v>
      </c>
      <c r="G2266" s="0" t="s">
        <v>8</v>
      </c>
      <c r="H2266" s="0">
        <v>781</v>
      </c>
      <c r="I2266" s="0">
        <v>0</v>
      </c>
      <c r="J2266" s="0">
        <v>0</v>
      </c>
      <c r="K2266" s="0">
        <v>0</v>
      </c>
      <c r="L2266" s="0">
        <v>0</v>
      </c>
      <c r="M2266" s="0">
        <v>0</v>
      </c>
      <c r="N2266" s="0">
        <v>0</v>
      </c>
      <c r="O2266" s="0">
        <v>0</v>
      </c>
      <c r="P2266" s="0">
        <v>0</v>
      </c>
      <c r="Q2266" s="0" t="s">
        <v>618</v>
      </c>
      <c r="R2266" s="0" t="b">
        <v>0</v>
      </c>
      <c r="S2266" s="0" t="b">
        <v>1</v>
      </c>
      <c r="T2266" s="68">
        <v>45272.160162037</v>
      </c>
      <c r="U2266" s="68">
        <v>45286.2916666667</v>
      </c>
      <c r="V2266" s="68">
        <v>0</v>
      </c>
      <c r="W2266" s="0">
        <f>IF(IF(B2266="none",1,IF(B2266="Trialer",1,0))+IF(C2266="Customer",1,IF(C2266="Lost",1,0))=2,1,0)</f>
      </c>
      <c r="X2266" s="0" t="s">
        <v>148</v>
      </c>
      <c r="Y2266" s="0" t="s">
        <v>243</v>
      </c>
      <c r="AV2266" s="68"/>
      <c r="AW2266" s="68"/>
      <c r="AY2266" s="27"/>
      <c r="BD2266" s="68">
        <v>46054.1666666667</v>
      </c>
      <c r="BE2266" s="68">
        <v>46082.1666666667</v>
      </c>
      <c r="BF2266" s="0" t="b">
        <v>0</v>
      </c>
      <c r="BG2266" s="0" t="b">
        <v>0</v>
      </c>
      <c r="BH2266" s="0">
        <v>0</v>
      </c>
      <c r="BI2266" s="0">
        <v>0</v>
      </c>
      <c r="BJ2266" s="0" t="s">
        <v>135</v>
      </c>
    </row>
    <row r="2267">
      <c r="A2267" s="0" t="s">
        <v>2505</v>
      </c>
      <c r="B2267" s="0" t="s">
        <v>134</v>
      </c>
      <c r="C2267" s="0" t="s">
        <v>134</v>
      </c>
      <c r="D2267" s="0" t="s">
        <v>135</v>
      </c>
      <c r="E2267" s="0" t="s">
        <v>3</v>
      </c>
      <c r="F2267" s="0" t="s">
        <v>12</v>
      </c>
      <c r="G2267" s="0" t="s">
        <v>8</v>
      </c>
      <c r="H2267" s="0">
        <v>780</v>
      </c>
      <c r="I2267" s="0">
        <v>265</v>
      </c>
      <c r="J2267" s="0">
        <v>0</v>
      </c>
      <c r="K2267" s="0">
        <v>1</v>
      </c>
      <c r="L2267" s="0">
        <v>3</v>
      </c>
      <c r="M2267" s="0">
        <v>7</v>
      </c>
      <c r="N2267" s="0">
        <v>0</v>
      </c>
      <c r="O2267" s="0">
        <v>0</v>
      </c>
      <c r="P2267" s="0">
        <v>0</v>
      </c>
      <c r="R2267" s="0" t="b">
        <v>0</v>
      </c>
      <c r="S2267" s="0" t="b">
        <v>1</v>
      </c>
      <c r="T2267" s="68">
        <v>45273.5652777778</v>
      </c>
      <c r="U2267" s="68">
        <v>45287.2916666667</v>
      </c>
      <c r="V2267" s="68">
        <v>0</v>
      </c>
      <c r="W2267" s="0">
        <f>IF(IF(B2267="none",1,IF(B2267="Trialer",1,0))+IF(C2267="Customer",1,IF(C2267="Lost",1,0))=2,1,0)</f>
      </c>
      <c r="X2267" s="0" t="s">
        <v>148</v>
      </c>
      <c r="Y2267" s="0" t="s">
        <v>243</v>
      </c>
      <c r="AV2267" s="68"/>
      <c r="AW2267" s="68"/>
      <c r="AY2267" s="27"/>
      <c r="BD2267" s="68">
        <v>46054.1666666667</v>
      </c>
      <c r="BE2267" s="68">
        <v>46082.1666666667</v>
      </c>
      <c r="BF2267" s="0" t="b">
        <v>0</v>
      </c>
      <c r="BG2267" s="0" t="b">
        <v>0</v>
      </c>
      <c r="BH2267" s="0">
        <v>265</v>
      </c>
      <c r="BI2267" s="0">
        <v>265</v>
      </c>
      <c r="BJ2267" s="0" t="s">
        <v>135</v>
      </c>
    </row>
    <row r="2268">
      <c r="A2268" s="0" t="s">
        <v>2506</v>
      </c>
      <c r="B2268" s="0" t="s">
        <v>134</v>
      </c>
      <c r="C2268" s="0" t="s">
        <v>134</v>
      </c>
      <c r="D2268" s="0" t="s">
        <v>135</v>
      </c>
      <c r="E2268" s="0" t="s">
        <v>2</v>
      </c>
      <c r="F2268" s="0" t="s">
        <v>12</v>
      </c>
      <c r="G2268" s="0" t="s">
        <v>8</v>
      </c>
      <c r="H2268" s="0">
        <v>780</v>
      </c>
      <c r="I2268" s="0">
        <v>80</v>
      </c>
      <c r="J2268" s="0">
        <v>0</v>
      </c>
      <c r="K2268" s="0">
        <v>1</v>
      </c>
      <c r="L2268" s="0">
        <v>2</v>
      </c>
      <c r="M2268" s="0">
        <v>2</v>
      </c>
      <c r="N2268" s="0">
        <v>0</v>
      </c>
      <c r="O2268" s="0">
        <v>0</v>
      </c>
      <c r="P2268" s="0">
        <v>0</v>
      </c>
      <c r="R2268" s="0" t="b">
        <v>0</v>
      </c>
      <c r="S2268" s="0" t="b">
        <v>1</v>
      </c>
      <c r="T2268" s="68">
        <v>45273.7916666667</v>
      </c>
      <c r="U2268" s="68">
        <v>45293.2916666667</v>
      </c>
      <c r="V2268" s="68">
        <v>0</v>
      </c>
      <c r="W2268" s="0">
        <f>IF(IF(B2268="none",1,IF(B2268="Trialer",1,0))+IF(C2268="Customer",1,IF(C2268="Lost",1,0))=2,1,0)</f>
      </c>
      <c r="X2268" s="0" t="s">
        <v>153</v>
      </c>
      <c r="Y2268" s="0" t="s">
        <v>499</v>
      </c>
      <c r="AV2268" s="68"/>
      <c r="AW2268" s="68"/>
      <c r="AY2268" s="27"/>
      <c r="BD2268" s="68">
        <v>46054.1666666667</v>
      </c>
      <c r="BE2268" s="68">
        <v>46082.1666666667</v>
      </c>
      <c r="BF2268" s="0" t="b">
        <v>0</v>
      </c>
      <c r="BG2268" s="0" t="b">
        <v>0</v>
      </c>
      <c r="BH2268" s="0">
        <v>80</v>
      </c>
      <c r="BI2268" s="0">
        <v>80</v>
      </c>
      <c r="BJ2268" s="0" t="s">
        <v>135</v>
      </c>
    </row>
    <row r="2269">
      <c r="A2269" s="0" t="s">
        <v>2507</v>
      </c>
      <c r="B2269" s="0" t="s">
        <v>134</v>
      </c>
      <c r="C2269" s="0" t="s">
        <v>134</v>
      </c>
      <c r="D2269" s="0" t="s">
        <v>230</v>
      </c>
      <c r="E2269" s="0" t="s">
        <v>3</v>
      </c>
      <c r="F2269" s="0" t="s">
        <v>12</v>
      </c>
      <c r="G2269" s="0" t="s">
        <v>8</v>
      </c>
      <c r="H2269" s="0">
        <v>780</v>
      </c>
      <c r="I2269" s="0">
        <v>54</v>
      </c>
      <c r="J2269" s="0">
        <v>0</v>
      </c>
      <c r="K2269" s="0">
        <v>1</v>
      </c>
      <c r="L2269" s="0">
        <v>4</v>
      </c>
      <c r="M2269" s="0">
        <v>1</v>
      </c>
      <c r="N2269" s="0">
        <v>0</v>
      </c>
      <c r="O2269" s="0">
        <v>0</v>
      </c>
      <c r="P2269" s="0">
        <v>-54</v>
      </c>
      <c r="R2269" s="0" t="b">
        <v>0</v>
      </c>
      <c r="S2269" s="0" t="b">
        <v>1</v>
      </c>
      <c r="T2269" s="68">
        <v>45273.9534143519</v>
      </c>
      <c r="U2269" s="68">
        <v>45293.2916666667</v>
      </c>
      <c r="V2269" s="68">
        <v>0</v>
      </c>
      <c r="W2269" s="0">
        <f>IF(IF(B2269="none",1,IF(B2269="Trialer",1,0))+IF(C2269="Customer",1,IF(C2269="Lost",1,0))=2,1,0)</f>
      </c>
      <c r="X2269" s="0" t="s">
        <v>166</v>
      </c>
      <c r="Y2269" s="0" t="s">
        <v>243</v>
      </c>
      <c r="AV2269" s="68"/>
      <c r="AW2269" s="68"/>
      <c r="AY2269" s="27"/>
      <c r="BD2269" s="68">
        <v>46054.1666666667</v>
      </c>
      <c r="BE2269" s="68">
        <v>46082.1666666667</v>
      </c>
      <c r="BF2269" s="0" t="b">
        <v>0</v>
      </c>
      <c r="BG2269" s="0" t="b">
        <v>0</v>
      </c>
      <c r="BH2269" s="0">
        <v>61</v>
      </c>
      <c r="BI2269" s="0">
        <v>61</v>
      </c>
      <c r="BJ2269" s="0" t="s">
        <v>230</v>
      </c>
    </row>
    <row r="2270">
      <c r="A2270" s="0" t="s">
        <v>2508</v>
      </c>
      <c r="B2270" s="0" t="s">
        <v>134</v>
      </c>
      <c r="C2270" s="0" t="s">
        <v>134</v>
      </c>
      <c r="D2270" s="0" t="s">
        <v>230</v>
      </c>
      <c r="E2270" s="0" t="s">
        <v>2</v>
      </c>
      <c r="F2270" s="0" t="s">
        <v>12</v>
      </c>
      <c r="G2270" s="0" t="s">
        <v>8</v>
      </c>
      <c r="H2270" s="0">
        <v>779</v>
      </c>
      <c r="I2270" s="0">
        <v>80</v>
      </c>
      <c r="J2270" s="0">
        <v>0</v>
      </c>
      <c r="K2270" s="0">
        <v>1</v>
      </c>
      <c r="L2270" s="0">
        <v>3</v>
      </c>
      <c r="M2270" s="0">
        <v>2</v>
      </c>
      <c r="N2270" s="0">
        <v>0</v>
      </c>
      <c r="O2270" s="0">
        <v>0</v>
      </c>
      <c r="P2270" s="0">
        <v>-80</v>
      </c>
      <c r="R2270" s="0" t="b">
        <v>0</v>
      </c>
      <c r="S2270" s="0" t="b">
        <v>1</v>
      </c>
      <c r="T2270" s="68">
        <v>45274.4706944444</v>
      </c>
      <c r="U2270" s="68">
        <v>45300.2916666667</v>
      </c>
      <c r="V2270" s="68">
        <v>0</v>
      </c>
      <c r="W2270" s="0">
        <f>IF(IF(B2270="none",1,IF(B2270="Trialer",1,0))+IF(C2270="Customer",1,IF(C2270="Lost",1,0))=2,1,0)</f>
      </c>
      <c r="X2270" s="0" t="s">
        <v>166</v>
      </c>
      <c r="Y2270" s="0" t="s">
        <v>499</v>
      </c>
      <c r="AV2270" s="68"/>
      <c r="AW2270" s="68"/>
      <c r="AY2270" s="27"/>
      <c r="BD2270" s="68">
        <v>46054.1666666667</v>
      </c>
      <c r="BE2270" s="68">
        <v>46082.1666666667</v>
      </c>
      <c r="BF2270" s="0" t="b">
        <v>0</v>
      </c>
      <c r="BG2270" s="0" t="b">
        <v>0</v>
      </c>
      <c r="BH2270" s="0">
        <v>89</v>
      </c>
      <c r="BI2270" s="0">
        <v>89</v>
      </c>
      <c r="BJ2270" s="0" t="s">
        <v>230</v>
      </c>
    </row>
    <row r="2271">
      <c r="A2271" s="0" t="s">
        <v>2509</v>
      </c>
      <c r="B2271" s="0" t="s">
        <v>134</v>
      </c>
      <c r="C2271" s="0" t="s">
        <v>134</v>
      </c>
      <c r="D2271" s="0" t="s">
        <v>135</v>
      </c>
      <c r="E2271" s="0" t="s">
        <v>3</v>
      </c>
      <c r="F2271" s="0" t="s">
        <v>12</v>
      </c>
      <c r="G2271" s="0" t="s">
        <v>8</v>
      </c>
      <c r="H2271" s="0">
        <v>779</v>
      </c>
      <c r="I2271" s="0">
        <v>201</v>
      </c>
      <c r="J2271" s="0">
        <v>0</v>
      </c>
      <c r="K2271" s="0">
        <v>1</v>
      </c>
      <c r="L2271" s="0">
        <v>3</v>
      </c>
      <c r="M2271" s="0">
        <v>6</v>
      </c>
      <c r="N2271" s="0">
        <v>0</v>
      </c>
      <c r="O2271" s="0">
        <v>0</v>
      </c>
      <c r="P2271" s="0">
        <v>0</v>
      </c>
      <c r="R2271" s="0" t="b">
        <v>0</v>
      </c>
      <c r="S2271" s="0" t="b">
        <v>1</v>
      </c>
      <c r="T2271" s="68">
        <v>45274.6226157407</v>
      </c>
      <c r="U2271" s="68">
        <v>45300.2916666667</v>
      </c>
      <c r="V2271" s="68">
        <v>0</v>
      </c>
      <c r="W2271" s="0">
        <f>IF(IF(B2271="none",1,IF(B2271="Trialer",1,0))+IF(C2271="Customer",1,IF(C2271="Lost",1,0))=2,1,0)</f>
      </c>
      <c r="X2271" s="0" t="s">
        <v>148</v>
      </c>
      <c r="Y2271" s="0" t="s">
        <v>243</v>
      </c>
      <c r="AV2271" s="68"/>
      <c r="AW2271" s="68"/>
      <c r="AY2271" s="27"/>
      <c r="BD2271" s="68">
        <v>46054.1666666667</v>
      </c>
      <c r="BE2271" s="68">
        <v>46082.1666666667</v>
      </c>
      <c r="BF2271" s="0" t="b">
        <v>0</v>
      </c>
      <c r="BG2271" s="0" t="b">
        <v>0</v>
      </c>
      <c r="BH2271" s="0">
        <v>201</v>
      </c>
      <c r="BI2271" s="0">
        <v>201</v>
      </c>
      <c r="BJ2271" s="0" t="s">
        <v>135</v>
      </c>
    </row>
    <row r="2272">
      <c r="A2272" s="0" t="s">
        <v>2510</v>
      </c>
      <c r="B2272" s="0" t="s">
        <v>134</v>
      </c>
      <c r="C2272" s="0" t="s">
        <v>134</v>
      </c>
      <c r="D2272" s="0" t="s">
        <v>135</v>
      </c>
      <c r="E2272" s="0" t="s">
        <v>2</v>
      </c>
      <c r="F2272" s="0" t="s">
        <v>12</v>
      </c>
      <c r="G2272" s="0" t="s">
        <v>8</v>
      </c>
      <c r="H2272" s="0">
        <v>779</v>
      </c>
      <c r="I2272" s="0">
        <v>632</v>
      </c>
      <c r="J2272" s="0">
        <v>0</v>
      </c>
      <c r="K2272" s="0">
        <v>1</v>
      </c>
      <c r="L2272" s="0">
        <v>4</v>
      </c>
      <c r="M2272" s="0">
        <v>14</v>
      </c>
      <c r="N2272" s="0">
        <v>0</v>
      </c>
      <c r="O2272" s="0">
        <v>0</v>
      </c>
      <c r="P2272" s="0">
        <v>0</v>
      </c>
      <c r="R2272" s="0" t="b">
        <v>0</v>
      </c>
      <c r="S2272" s="0" t="b">
        <v>1</v>
      </c>
      <c r="T2272" s="68">
        <v>45274.7340393519</v>
      </c>
      <c r="U2272" s="68">
        <v>45288.2916666667</v>
      </c>
      <c r="V2272" s="68">
        <v>0</v>
      </c>
      <c r="W2272" s="0">
        <f>IF(IF(B2272="none",1,IF(B2272="Trialer",1,0))+IF(C2272="Customer",1,IF(C2272="Lost",1,0))=2,1,0)</f>
      </c>
      <c r="X2272" s="0" t="s">
        <v>148</v>
      </c>
      <c r="Y2272" s="0" t="s">
        <v>499</v>
      </c>
      <c r="AV2272" s="68"/>
      <c r="AW2272" s="68"/>
      <c r="AY2272" s="27"/>
      <c r="BD2272" s="68">
        <v>46054.1666666667</v>
      </c>
      <c r="BE2272" s="68">
        <v>46082.1666666667</v>
      </c>
      <c r="BF2272" s="0" t="b">
        <v>0</v>
      </c>
      <c r="BG2272" s="0" t="b">
        <v>0</v>
      </c>
      <c r="BH2272" s="0">
        <v>660</v>
      </c>
      <c r="BI2272" s="0">
        <v>660</v>
      </c>
      <c r="BJ2272" s="0" t="s">
        <v>135</v>
      </c>
    </row>
    <row r="2273">
      <c r="A2273" s="0" t="s">
        <v>2511</v>
      </c>
      <c r="B2273" s="0" t="s">
        <v>134</v>
      </c>
      <c r="C2273" s="0" t="s">
        <v>134</v>
      </c>
      <c r="D2273" s="0" t="s">
        <v>135</v>
      </c>
      <c r="E2273" s="0" t="s">
        <v>3</v>
      </c>
      <c r="F2273" s="0" t="s">
        <v>12</v>
      </c>
      <c r="G2273" s="0" t="s">
        <v>8</v>
      </c>
      <c r="H2273" s="0">
        <v>779</v>
      </c>
      <c r="I2273" s="0">
        <v>73</v>
      </c>
      <c r="J2273" s="0">
        <v>0</v>
      </c>
      <c r="K2273" s="0">
        <v>1</v>
      </c>
      <c r="L2273" s="0">
        <v>5</v>
      </c>
      <c r="M2273" s="0">
        <v>1</v>
      </c>
      <c r="N2273" s="0">
        <v>0</v>
      </c>
      <c r="O2273" s="0">
        <v>0</v>
      </c>
      <c r="P2273" s="0">
        <v>0</v>
      </c>
      <c r="R2273" s="0" t="b">
        <v>0</v>
      </c>
      <c r="S2273" s="0" t="b">
        <v>1</v>
      </c>
      <c r="T2273" s="68">
        <v>45274.7844097222</v>
      </c>
      <c r="U2273" s="68">
        <v>45288.2916666667</v>
      </c>
      <c r="V2273" s="68">
        <v>0</v>
      </c>
      <c r="W2273" s="0">
        <f>IF(IF(B2273="none",1,IF(B2273="Trialer",1,0))+IF(C2273="Customer",1,IF(C2273="Lost",1,0))=2,1,0)</f>
      </c>
      <c r="X2273" s="0" t="s">
        <v>153</v>
      </c>
      <c r="Y2273" s="0" t="s">
        <v>243</v>
      </c>
      <c r="AV2273" s="68"/>
      <c r="AW2273" s="68"/>
      <c r="AY2273" s="27"/>
      <c r="BD2273" s="68">
        <v>46054.1666666667</v>
      </c>
      <c r="BE2273" s="68">
        <v>46082.1666666667</v>
      </c>
      <c r="BF2273" s="0" t="b">
        <v>0</v>
      </c>
      <c r="BG2273" s="0" t="b">
        <v>0</v>
      </c>
      <c r="BH2273" s="0">
        <v>73</v>
      </c>
      <c r="BI2273" s="0">
        <v>73</v>
      </c>
      <c r="BJ2273" s="0" t="s">
        <v>135</v>
      </c>
    </row>
    <row r="2274">
      <c r="A2274" s="0" t="s">
        <v>2512</v>
      </c>
      <c r="B2274" s="0" t="s">
        <v>134</v>
      </c>
      <c r="C2274" s="0" t="s">
        <v>134</v>
      </c>
      <c r="D2274" s="0" t="s">
        <v>135</v>
      </c>
      <c r="E2274" s="0" t="s">
        <v>3</v>
      </c>
      <c r="F2274" s="0" t="s">
        <v>12</v>
      </c>
      <c r="G2274" s="0" t="s">
        <v>8</v>
      </c>
      <c r="H2274" s="0">
        <v>778</v>
      </c>
      <c r="I2274" s="0">
        <v>465</v>
      </c>
      <c r="J2274" s="0">
        <v>0</v>
      </c>
      <c r="K2274" s="0">
        <v>1</v>
      </c>
      <c r="L2274" s="0">
        <v>4</v>
      </c>
      <c r="M2274" s="0">
        <v>9</v>
      </c>
      <c r="N2274" s="0">
        <v>0</v>
      </c>
      <c r="O2274" s="0">
        <v>0</v>
      </c>
      <c r="P2274" s="0">
        <v>0</v>
      </c>
      <c r="R2274" s="0" t="b">
        <v>0</v>
      </c>
      <c r="S2274" s="0" t="b">
        <v>1</v>
      </c>
      <c r="T2274" s="68">
        <v>45275.4821064815</v>
      </c>
      <c r="U2274" s="68">
        <v>45293.2916666667</v>
      </c>
      <c r="V2274" s="68">
        <v>0</v>
      </c>
      <c r="W2274" s="0">
        <f>IF(IF(B2274="none",1,IF(B2274="Trialer",1,0))+IF(C2274="Customer",1,IF(C2274="Lost",1,0))=2,1,0)</f>
      </c>
      <c r="X2274" s="0" t="s">
        <v>136</v>
      </c>
      <c r="Y2274" s="0" t="s">
        <v>243</v>
      </c>
      <c r="AV2274" s="68"/>
      <c r="AW2274" s="68"/>
      <c r="AY2274" s="27"/>
      <c r="BD2274" s="68">
        <v>46054.1666666667</v>
      </c>
      <c r="BE2274" s="68">
        <v>46082.1666666667</v>
      </c>
      <c r="BF2274" s="0" t="b">
        <v>0</v>
      </c>
      <c r="BG2274" s="0" t="b">
        <v>0</v>
      </c>
      <c r="BH2274" s="0">
        <v>465</v>
      </c>
      <c r="BI2274" s="0">
        <v>465</v>
      </c>
      <c r="BJ2274" s="0" t="s">
        <v>135</v>
      </c>
    </row>
    <row r="2275">
      <c r="A2275" s="0" t="s">
        <v>2513</v>
      </c>
      <c r="B2275" s="0" t="s">
        <v>134</v>
      </c>
      <c r="C2275" s="0" t="s">
        <v>134</v>
      </c>
      <c r="D2275" s="0" t="s">
        <v>135</v>
      </c>
      <c r="E2275" s="0" t="s">
        <v>2</v>
      </c>
      <c r="F2275" s="0" t="s">
        <v>12</v>
      </c>
      <c r="G2275" s="0" t="s">
        <v>8</v>
      </c>
      <c r="H2275" s="0">
        <v>775</v>
      </c>
      <c r="I2275" s="0">
        <v>61</v>
      </c>
      <c r="J2275" s="0">
        <v>0</v>
      </c>
      <c r="K2275" s="0">
        <v>1</v>
      </c>
      <c r="L2275" s="0">
        <v>4</v>
      </c>
      <c r="M2275" s="0">
        <v>1</v>
      </c>
      <c r="N2275" s="0">
        <v>0</v>
      </c>
      <c r="O2275" s="0">
        <v>0</v>
      </c>
      <c r="P2275" s="0">
        <v>0</v>
      </c>
      <c r="R2275" s="0" t="b">
        <v>0</v>
      </c>
      <c r="S2275" s="0" t="b">
        <v>1</v>
      </c>
      <c r="T2275" s="68">
        <v>45278.4292939815</v>
      </c>
      <c r="U2275" s="68">
        <v>45307.2916666667</v>
      </c>
      <c r="V2275" s="68">
        <v>0</v>
      </c>
      <c r="W2275" s="0">
        <f>IF(IF(B2275="none",1,IF(B2275="Trialer",1,0))+IF(C2275="Customer",1,IF(C2275="Lost",1,0))=2,1,0)</f>
      </c>
      <c r="X2275" s="0" t="s">
        <v>153</v>
      </c>
      <c r="Y2275" s="0" t="s">
        <v>499</v>
      </c>
      <c r="AV2275" s="68"/>
      <c r="AW2275" s="68"/>
      <c r="AY2275" s="27"/>
      <c r="BD2275" s="68">
        <v>46054.1666666667</v>
      </c>
      <c r="BE2275" s="68">
        <v>46082.1666666667</v>
      </c>
      <c r="BF2275" s="0" t="b">
        <v>0</v>
      </c>
      <c r="BG2275" s="0" t="b">
        <v>0</v>
      </c>
      <c r="BH2275" s="0">
        <v>61</v>
      </c>
      <c r="BI2275" s="0">
        <v>61</v>
      </c>
      <c r="BJ2275" s="0" t="s">
        <v>135</v>
      </c>
    </row>
    <row r="2276">
      <c r="A2276" s="0" t="s">
        <v>2514</v>
      </c>
      <c r="B2276" s="0" t="s">
        <v>134</v>
      </c>
      <c r="C2276" s="0" t="s">
        <v>134</v>
      </c>
      <c r="D2276" s="0" t="s">
        <v>230</v>
      </c>
      <c r="E2276" s="0" t="s">
        <v>3</v>
      </c>
      <c r="F2276" s="0" t="s">
        <v>12</v>
      </c>
      <c r="G2276" s="0" t="s">
        <v>8</v>
      </c>
      <c r="H2276" s="0">
        <v>775</v>
      </c>
      <c r="I2276" s="0">
        <v>74</v>
      </c>
      <c r="J2276" s="0">
        <v>0</v>
      </c>
      <c r="K2276" s="0">
        <v>1</v>
      </c>
      <c r="L2276" s="0">
        <v>6</v>
      </c>
      <c r="M2276" s="0">
        <v>1</v>
      </c>
      <c r="N2276" s="0">
        <v>0</v>
      </c>
      <c r="O2276" s="0">
        <v>0</v>
      </c>
      <c r="P2276" s="0">
        <v>-74</v>
      </c>
      <c r="R2276" s="0" t="b">
        <v>0</v>
      </c>
      <c r="S2276" s="0" t="b">
        <v>1</v>
      </c>
      <c r="T2276" s="68">
        <v>45278.5104050926</v>
      </c>
      <c r="U2276" s="68">
        <v>45293.2916666667</v>
      </c>
      <c r="V2276" s="68">
        <v>0</v>
      </c>
      <c r="W2276" s="0">
        <f>IF(IF(B2276="none",1,IF(B2276="Trialer",1,0))+IF(C2276="Customer",1,IF(C2276="Lost",1,0))=2,1,0)</f>
      </c>
      <c r="X2276" s="0" t="s">
        <v>142</v>
      </c>
      <c r="Y2276" s="0" t="s">
        <v>243</v>
      </c>
      <c r="AV2276" s="68"/>
      <c r="AW2276" s="68"/>
      <c r="AY2276" s="27"/>
      <c r="BD2276" s="68">
        <v>46054.1666666667</v>
      </c>
      <c r="BE2276" s="68">
        <v>46082.1666666667</v>
      </c>
      <c r="BF2276" s="0" t="b">
        <v>0</v>
      </c>
      <c r="BG2276" s="0" t="b">
        <v>0</v>
      </c>
      <c r="BH2276" s="0">
        <v>85</v>
      </c>
      <c r="BI2276" s="0">
        <v>85</v>
      </c>
      <c r="BJ2276" s="0" t="s">
        <v>230</v>
      </c>
    </row>
    <row r="2277">
      <c r="A2277" s="0" t="s">
        <v>2515</v>
      </c>
      <c r="B2277" s="0" t="s">
        <v>134</v>
      </c>
      <c r="C2277" s="0" t="s">
        <v>134</v>
      </c>
      <c r="D2277" s="0" t="s">
        <v>135</v>
      </c>
      <c r="E2277" s="0" t="s">
        <v>3</v>
      </c>
      <c r="F2277" s="0" t="s">
        <v>10</v>
      </c>
      <c r="G2277" s="0" t="s">
        <v>8</v>
      </c>
      <c r="H2277" s="0">
        <v>775</v>
      </c>
      <c r="I2277" s="0">
        <v>574</v>
      </c>
      <c r="J2277" s="0">
        <v>0</v>
      </c>
      <c r="K2277" s="0">
        <v>1</v>
      </c>
      <c r="L2277" s="0">
        <v>4</v>
      </c>
      <c r="M2277" s="0">
        <v>10</v>
      </c>
      <c r="N2277" s="0">
        <v>0</v>
      </c>
      <c r="O2277" s="0">
        <v>0</v>
      </c>
      <c r="P2277" s="0">
        <v>0</v>
      </c>
      <c r="Q2277" s="0" t="s">
        <v>1919</v>
      </c>
      <c r="R2277" s="0" t="b">
        <v>0</v>
      </c>
      <c r="S2277" s="0" t="b">
        <v>1</v>
      </c>
      <c r="T2277" s="68">
        <v>45278.5523263889</v>
      </c>
      <c r="U2277" s="68">
        <v>45293.2916666667</v>
      </c>
      <c r="V2277" s="68">
        <v>0</v>
      </c>
      <c r="W2277" s="0">
        <f>IF(IF(B2277="none",1,IF(B2277="Trialer",1,0))+IF(C2277="Customer",1,IF(C2277="Lost",1,0))=2,1,0)</f>
      </c>
      <c r="X2277" s="0" t="s">
        <v>145</v>
      </c>
      <c r="Y2277" s="0" t="s">
        <v>243</v>
      </c>
      <c r="AV2277" s="68"/>
      <c r="AW2277" s="68"/>
      <c r="AY2277" s="27"/>
      <c r="BD2277" s="68">
        <v>46054.1666666667</v>
      </c>
      <c r="BE2277" s="68">
        <v>46082.1666666667</v>
      </c>
      <c r="BF2277" s="0" t="b">
        <v>0</v>
      </c>
      <c r="BG2277" s="0" t="b">
        <v>0</v>
      </c>
      <c r="BH2277" s="0">
        <v>502</v>
      </c>
      <c r="BI2277" s="0">
        <v>502</v>
      </c>
      <c r="BJ2277" s="0" t="s">
        <v>135</v>
      </c>
    </row>
    <row r="2278">
      <c r="A2278" s="0" t="s">
        <v>2516</v>
      </c>
      <c r="B2278" s="0" t="s">
        <v>134</v>
      </c>
      <c r="C2278" s="0" t="s">
        <v>134</v>
      </c>
      <c r="D2278" s="0" t="s">
        <v>135</v>
      </c>
      <c r="E2278" s="0" t="s">
        <v>3</v>
      </c>
      <c r="F2278" s="0" t="s">
        <v>11</v>
      </c>
      <c r="G2278" s="0" t="s">
        <v>8</v>
      </c>
      <c r="H2278" s="0">
        <v>775</v>
      </c>
      <c r="I2278" s="0">
        <v>40</v>
      </c>
      <c r="J2278" s="0">
        <v>0</v>
      </c>
      <c r="K2278" s="0">
        <v>1</v>
      </c>
      <c r="L2278" s="0">
        <v>4</v>
      </c>
      <c r="M2278" s="0">
        <v>1</v>
      </c>
      <c r="N2278" s="0">
        <v>0</v>
      </c>
      <c r="O2278" s="0">
        <v>0</v>
      </c>
      <c r="P2278" s="0">
        <v>0</v>
      </c>
      <c r="Q2278" s="0" t="s">
        <v>1743</v>
      </c>
      <c r="R2278" s="0" t="b">
        <v>1</v>
      </c>
      <c r="S2278" s="0" t="b">
        <v>1</v>
      </c>
      <c r="T2278" s="68">
        <v>45278.6139467593</v>
      </c>
      <c r="U2278" s="68">
        <v>45278.2916666667</v>
      </c>
      <c r="V2278" s="68">
        <v>0</v>
      </c>
      <c r="W2278" s="0">
        <f>IF(IF(B2278="none",1,IF(B2278="Trialer",1,0))+IF(C2278="Customer",1,IF(C2278="Lost",1,0))=2,1,0)</f>
      </c>
      <c r="X2278" s="0" t="s">
        <v>145</v>
      </c>
      <c r="Y2278" s="0" t="s">
        <v>243</v>
      </c>
      <c r="AV2278" s="68"/>
      <c r="AW2278" s="68"/>
      <c r="AY2278" s="27"/>
      <c r="BD2278" s="68">
        <v>46054.1666666667</v>
      </c>
      <c r="BE2278" s="68">
        <v>46082.1666666667</v>
      </c>
      <c r="BF2278" s="0" t="b">
        <v>0</v>
      </c>
      <c r="BG2278" s="0" t="b">
        <v>0</v>
      </c>
      <c r="BH2278" s="0">
        <v>40</v>
      </c>
      <c r="BI2278" s="0">
        <v>40</v>
      </c>
      <c r="BJ2278" s="0" t="s">
        <v>135</v>
      </c>
    </row>
    <row r="2279">
      <c r="A2279" s="0" t="s">
        <v>2517</v>
      </c>
      <c r="B2279" s="0" t="s">
        <v>134</v>
      </c>
      <c r="C2279" s="0" t="s">
        <v>134</v>
      </c>
      <c r="D2279" s="0" t="s">
        <v>135</v>
      </c>
      <c r="E2279" s="0" t="s">
        <v>3</v>
      </c>
      <c r="F2279" s="0" t="s">
        <v>12</v>
      </c>
      <c r="G2279" s="0" t="s">
        <v>8</v>
      </c>
      <c r="H2279" s="0">
        <v>773</v>
      </c>
      <c r="I2279" s="0">
        <v>626</v>
      </c>
      <c r="J2279" s="0">
        <v>0</v>
      </c>
      <c r="K2279" s="0">
        <v>1</v>
      </c>
      <c r="L2279" s="0">
        <v>4</v>
      </c>
      <c r="M2279" s="0">
        <v>7</v>
      </c>
      <c r="N2279" s="0">
        <v>976.5</v>
      </c>
      <c r="O2279" s="0">
        <v>0</v>
      </c>
      <c r="P2279" s="0">
        <v>0</v>
      </c>
      <c r="R2279" s="0" t="b">
        <v>0</v>
      </c>
      <c r="S2279" s="0" t="b">
        <v>1</v>
      </c>
      <c r="T2279" s="68">
        <v>45280.4921643519</v>
      </c>
      <c r="U2279" s="68">
        <v>45294.2916666667</v>
      </c>
      <c r="V2279" s="68">
        <v>0</v>
      </c>
      <c r="W2279" s="0">
        <f>IF(IF(B2279="none",1,IF(B2279="Trialer",1,0))+IF(C2279="Customer",1,IF(C2279="Lost",1,0))=2,1,0)</f>
      </c>
      <c r="X2279" s="0" t="s">
        <v>145</v>
      </c>
      <c r="Y2279" s="0" t="s">
        <v>243</v>
      </c>
      <c r="AV2279" s="68"/>
      <c r="AW2279" s="68"/>
      <c r="AY2279" s="27"/>
      <c r="BD2279" s="68">
        <v>46054.1666666667</v>
      </c>
      <c r="BE2279" s="68">
        <v>46082.1666666667</v>
      </c>
      <c r="BF2279" s="0" t="b">
        <v>0</v>
      </c>
      <c r="BG2279" s="0" t="b">
        <v>0</v>
      </c>
      <c r="BH2279" s="0">
        <v>301</v>
      </c>
      <c r="BI2279" s="0">
        <v>301</v>
      </c>
      <c r="BJ2279" s="0" t="s">
        <v>135</v>
      </c>
    </row>
    <row r="2280">
      <c r="A2280" s="0" t="s">
        <v>2518</v>
      </c>
      <c r="B2280" s="0" t="s">
        <v>134</v>
      </c>
      <c r="C2280" s="0" t="s">
        <v>134</v>
      </c>
      <c r="D2280" s="0" t="s">
        <v>135</v>
      </c>
      <c r="E2280" s="0" t="s">
        <v>2</v>
      </c>
      <c r="F2280" s="0" t="s">
        <v>12</v>
      </c>
      <c r="G2280" s="0" t="s">
        <v>8</v>
      </c>
      <c r="H2280" s="0">
        <v>773</v>
      </c>
      <c r="I2280" s="0">
        <v>275</v>
      </c>
      <c r="J2280" s="0">
        <v>0</v>
      </c>
      <c r="K2280" s="0">
        <v>1</v>
      </c>
      <c r="L2280" s="0">
        <v>5</v>
      </c>
      <c r="M2280" s="0">
        <v>5</v>
      </c>
      <c r="N2280" s="0">
        <v>0</v>
      </c>
      <c r="O2280" s="0">
        <v>0</v>
      </c>
      <c r="P2280" s="0">
        <v>0</v>
      </c>
      <c r="R2280" s="0" t="b">
        <v>0</v>
      </c>
      <c r="S2280" s="0" t="b">
        <v>1</v>
      </c>
      <c r="T2280" s="68">
        <v>45280.5298263889</v>
      </c>
      <c r="U2280" s="68">
        <v>45302.2916666667</v>
      </c>
      <c r="V2280" s="68">
        <v>0</v>
      </c>
      <c r="W2280" s="0">
        <f>IF(IF(B2280="none",1,IF(B2280="Trialer",1,0))+IF(C2280="Customer",1,IF(C2280="Lost",1,0))=2,1,0)</f>
      </c>
      <c r="X2280" s="0" t="s">
        <v>148</v>
      </c>
      <c r="Y2280" s="0" t="s">
        <v>499</v>
      </c>
      <c r="AV2280" s="68"/>
      <c r="AW2280" s="68"/>
      <c r="AY2280" s="27"/>
      <c r="BD2280" s="68">
        <v>46054.1666666667</v>
      </c>
      <c r="BE2280" s="68">
        <v>46082.1666666667</v>
      </c>
      <c r="BF2280" s="0" t="b">
        <v>0</v>
      </c>
      <c r="BG2280" s="0" t="b">
        <v>0</v>
      </c>
      <c r="BH2280" s="0">
        <v>275</v>
      </c>
      <c r="BI2280" s="0">
        <v>275</v>
      </c>
      <c r="BJ2280" s="0" t="s">
        <v>135</v>
      </c>
    </row>
    <row r="2281">
      <c r="A2281" s="0" t="s">
        <v>2519</v>
      </c>
      <c r="B2281" s="0" t="s">
        <v>134</v>
      </c>
      <c r="C2281" s="0" t="s">
        <v>134</v>
      </c>
      <c r="D2281" s="0" t="s">
        <v>135</v>
      </c>
      <c r="E2281" s="0" t="s">
        <v>3</v>
      </c>
      <c r="F2281" s="0" t="s">
        <v>10</v>
      </c>
      <c r="G2281" s="0" t="s">
        <v>8</v>
      </c>
      <c r="H2281" s="0">
        <v>772</v>
      </c>
      <c r="I2281" s="0">
        <v>0</v>
      </c>
      <c r="J2281" s="0">
        <v>0</v>
      </c>
      <c r="K2281" s="0">
        <v>0</v>
      </c>
      <c r="L2281" s="0">
        <v>0</v>
      </c>
      <c r="M2281" s="0">
        <v>0</v>
      </c>
      <c r="N2281" s="0">
        <v>0</v>
      </c>
      <c r="O2281" s="0">
        <v>0</v>
      </c>
      <c r="P2281" s="0">
        <v>0</v>
      </c>
      <c r="Q2281" s="0" t="s">
        <v>618</v>
      </c>
      <c r="R2281" s="0" t="b">
        <v>0</v>
      </c>
      <c r="S2281" s="0" t="b">
        <v>1</v>
      </c>
      <c r="T2281" s="68">
        <v>45281.6180439815</v>
      </c>
      <c r="U2281" s="68">
        <v>45295.2916666667</v>
      </c>
      <c r="V2281" s="68">
        <v>0</v>
      </c>
      <c r="W2281" s="0">
        <f>IF(IF(B2281="none",1,IF(B2281="Trialer",1,0))+IF(C2281="Customer",1,IF(C2281="Lost",1,0))=2,1,0)</f>
      </c>
      <c r="X2281" s="0" t="s">
        <v>148</v>
      </c>
      <c r="Y2281" s="0" t="s">
        <v>243</v>
      </c>
      <c r="AV2281" s="68"/>
      <c r="AW2281" s="68"/>
      <c r="AY2281" s="27"/>
      <c r="BD2281" s="68">
        <v>46054.1666666667</v>
      </c>
      <c r="BE2281" s="68">
        <v>46082.1666666667</v>
      </c>
      <c r="BF2281" s="0" t="b">
        <v>0</v>
      </c>
      <c r="BG2281" s="0" t="b">
        <v>0</v>
      </c>
      <c r="BH2281" s="0">
        <v>0</v>
      </c>
      <c r="BI2281" s="0">
        <v>0</v>
      </c>
      <c r="BJ2281" s="0" t="s">
        <v>135</v>
      </c>
    </row>
    <row r="2282">
      <c r="A2282" s="0" t="s">
        <v>2520</v>
      </c>
      <c r="B2282" s="0" t="s">
        <v>134</v>
      </c>
      <c r="C2282" s="0" t="s">
        <v>134</v>
      </c>
      <c r="D2282" s="0" t="s">
        <v>230</v>
      </c>
      <c r="E2282" s="0" t="s">
        <v>3</v>
      </c>
      <c r="F2282" s="0" t="s">
        <v>12</v>
      </c>
      <c r="G2282" s="0" t="s">
        <v>8</v>
      </c>
      <c r="H2282" s="0">
        <v>772</v>
      </c>
      <c r="I2282" s="0">
        <v>88</v>
      </c>
      <c r="J2282" s="0">
        <v>0</v>
      </c>
      <c r="K2282" s="0">
        <v>1</v>
      </c>
      <c r="L2282" s="0">
        <v>3</v>
      </c>
      <c r="M2282" s="0">
        <v>2</v>
      </c>
      <c r="N2282" s="0">
        <v>0</v>
      </c>
      <c r="O2282" s="0">
        <v>0</v>
      </c>
      <c r="P2282" s="0">
        <v>-88</v>
      </c>
      <c r="R2282" s="0" t="b">
        <v>0</v>
      </c>
      <c r="S2282" s="0" t="b">
        <v>1</v>
      </c>
      <c r="T2282" s="68">
        <v>45281.9486111111</v>
      </c>
      <c r="U2282" s="68">
        <v>45295.2916666667</v>
      </c>
      <c r="V2282" s="68">
        <v>0</v>
      </c>
      <c r="W2282" s="0">
        <f>IF(IF(B2282="none",1,IF(B2282="Trialer",1,0))+IF(C2282="Customer",1,IF(C2282="Lost",1,0))=2,1,0)</f>
      </c>
      <c r="X2282" s="0" t="s">
        <v>142</v>
      </c>
      <c r="Y2282" s="0" t="s">
        <v>243</v>
      </c>
      <c r="AV2282" s="68"/>
      <c r="AW2282" s="68"/>
      <c r="AY2282" s="27"/>
      <c r="BD2282" s="68">
        <v>46054.1666666667</v>
      </c>
      <c r="BE2282" s="68">
        <v>46082.1666666667</v>
      </c>
      <c r="BF2282" s="0" t="b">
        <v>0</v>
      </c>
      <c r="BG2282" s="0" t="b">
        <v>0</v>
      </c>
      <c r="BH2282" s="0">
        <v>98</v>
      </c>
      <c r="BI2282" s="0">
        <v>98</v>
      </c>
      <c r="BJ2282" s="0" t="s">
        <v>230</v>
      </c>
    </row>
    <row r="2283">
      <c r="A2283" s="0" t="s">
        <v>2521</v>
      </c>
      <c r="B2283" s="0" t="s">
        <v>134</v>
      </c>
      <c r="C2283" s="0" t="s">
        <v>134</v>
      </c>
      <c r="D2283" s="0" t="s">
        <v>135</v>
      </c>
      <c r="E2283" s="0" t="s">
        <v>2</v>
      </c>
      <c r="F2283" s="0" t="s">
        <v>10</v>
      </c>
      <c r="G2283" s="0" t="s">
        <v>8</v>
      </c>
      <c r="H2283" s="0">
        <v>769</v>
      </c>
      <c r="I2283" s="0">
        <v>1067</v>
      </c>
      <c r="J2283" s="0">
        <v>0</v>
      </c>
      <c r="K2283" s="0">
        <v>1</v>
      </c>
      <c r="L2283" s="0">
        <v>5</v>
      </c>
      <c r="M2283" s="0">
        <v>23</v>
      </c>
      <c r="N2283" s="0">
        <v>0</v>
      </c>
      <c r="O2283" s="0">
        <v>0</v>
      </c>
      <c r="P2283" s="0">
        <v>0</v>
      </c>
      <c r="Q2283" s="0" t="s">
        <v>2522</v>
      </c>
      <c r="R2283" s="0" t="b">
        <v>0</v>
      </c>
      <c r="S2283" s="0" t="b">
        <v>1</v>
      </c>
      <c r="T2283" s="68">
        <v>45284.6537615741</v>
      </c>
      <c r="U2283" s="68">
        <v>45303.2916666667</v>
      </c>
      <c r="V2283" s="68">
        <v>0</v>
      </c>
      <c r="W2283" s="0">
        <f>IF(IF(B2283="none",1,IF(B2283="Trialer",1,0))+IF(C2283="Customer",1,IF(C2283="Lost",1,0))=2,1,0)</f>
      </c>
      <c r="X2283" s="0" t="s">
        <v>882</v>
      </c>
      <c r="Y2283" s="0" t="s">
        <v>499</v>
      </c>
      <c r="AV2283" s="68"/>
      <c r="AW2283" s="68"/>
      <c r="AY2283" s="27"/>
      <c r="BD2283" s="68">
        <v>46054.1666666667</v>
      </c>
      <c r="BE2283" s="68">
        <v>46082.1666666667</v>
      </c>
      <c r="BF2283" s="0" t="b">
        <v>0</v>
      </c>
      <c r="BG2283" s="0" t="b">
        <v>0</v>
      </c>
      <c r="BH2283" s="0">
        <v>1067</v>
      </c>
      <c r="BI2283" s="0">
        <v>1067</v>
      </c>
      <c r="BJ2283" s="0" t="s">
        <v>135</v>
      </c>
    </row>
    <row r="2284">
      <c r="A2284" s="0" t="s">
        <v>2523</v>
      </c>
      <c r="B2284" s="0" t="s">
        <v>134</v>
      </c>
      <c r="C2284" s="0" t="s">
        <v>134</v>
      </c>
      <c r="D2284" s="0" t="s">
        <v>135</v>
      </c>
      <c r="E2284" s="0" t="s">
        <v>2</v>
      </c>
      <c r="F2284" s="0" t="s">
        <v>12</v>
      </c>
      <c r="G2284" s="0" t="s">
        <v>8</v>
      </c>
      <c r="H2284" s="0">
        <v>766</v>
      </c>
      <c r="I2284" s="0">
        <v>40</v>
      </c>
      <c r="J2284" s="0">
        <v>0</v>
      </c>
      <c r="K2284" s="0">
        <v>1</v>
      </c>
      <c r="L2284" s="0">
        <v>1</v>
      </c>
      <c r="M2284" s="0">
        <v>0</v>
      </c>
      <c r="N2284" s="0">
        <v>0</v>
      </c>
      <c r="O2284" s="0">
        <v>0</v>
      </c>
      <c r="P2284" s="0">
        <v>0</v>
      </c>
      <c r="R2284" s="0" t="b">
        <v>0</v>
      </c>
      <c r="S2284" s="0" t="b">
        <v>1</v>
      </c>
      <c r="T2284" s="68">
        <v>45287.4180208333</v>
      </c>
      <c r="U2284" s="68">
        <v>45287.2916666667</v>
      </c>
      <c r="V2284" s="68">
        <v>0</v>
      </c>
      <c r="W2284" s="0">
        <f>IF(IF(B2284="none",1,IF(B2284="Trialer",1,0))+IF(C2284="Customer",1,IF(C2284="Lost",1,0))=2,1,0)</f>
      </c>
      <c r="X2284" s="0" t="s">
        <v>148</v>
      </c>
      <c r="Y2284" s="0" t="s">
        <v>499</v>
      </c>
      <c r="AV2284" s="68"/>
      <c r="AW2284" s="68"/>
      <c r="AY2284" s="27"/>
      <c r="BD2284" s="68">
        <v>46054.1666666667</v>
      </c>
      <c r="BE2284" s="68">
        <v>46082.1666666667</v>
      </c>
      <c r="BF2284" s="0" t="b">
        <v>0</v>
      </c>
      <c r="BG2284" s="0" t="b">
        <v>0</v>
      </c>
      <c r="BH2284" s="0">
        <v>40</v>
      </c>
      <c r="BI2284" s="0">
        <v>40</v>
      </c>
      <c r="BJ2284" s="0" t="s">
        <v>135</v>
      </c>
    </row>
    <row r="2285">
      <c r="A2285" s="0" t="s">
        <v>2524</v>
      </c>
      <c r="B2285" s="0" t="s">
        <v>134</v>
      </c>
      <c r="C2285" s="0" t="s">
        <v>134</v>
      </c>
      <c r="D2285" s="0" t="s">
        <v>135</v>
      </c>
      <c r="E2285" s="0" t="s">
        <v>3</v>
      </c>
      <c r="F2285" s="0" t="s">
        <v>12</v>
      </c>
      <c r="G2285" s="0" t="s">
        <v>8</v>
      </c>
      <c r="H2285" s="0">
        <v>765</v>
      </c>
      <c r="I2285" s="0">
        <v>28</v>
      </c>
      <c r="J2285" s="0">
        <v>0</v>
      </c>
      <c r="K2285" s="0">
        <v>1</v>
      </c>
      <c r="L2285" s="0">
        <v>1</v>
      </c>
      <c r="M2285" s="0">
        <v>1</v>
      </c>
      <c r="N2285" s="0">
        <v>0</v>
      </c>
      <c r="O2285" s="0">
        <v>0</v>
      </c>
      <c r="P2285" s="0">
        <v>0</v>
      </c>
      <c r="R2285" s="0" t="b">
        <v>0</v>
      </c>
      <c r="S2285" s="0" t="b">
        <v>1</v>
      </c>
      <c r="T2285" s="68">
        <v>45288.4134953704</v>
      </c>
      <c r="U2285" s="68">
        <v>45314.2916666667</v>
      </c>
      <c r="V2285" s="68">
        <v>0</v>
      </c>
      <c r="W2285" s="0">
        <f>IF(IF(B2285="none",1,IF(B2285="Trialer",1,0))+IF(C2285="Customer",1,IF(C2285="Lost",1,0))=2,1,0)</f>
      </c>
      <c r="X2285" s="0" t="s">
        <v>153</v>
      </c>
      <c r="Y2285" s="0" t="s">
        <v>243</v>
      </c>
      <c r="AV2285" s="68"/>
      <c r="AW2285" s="68"/>
      <c r="AY2285" s="27"/>
      <c r="BD2285" s="68">
        <v>46054.1666666667</v>
      </c>
      <c r="BE2285" s="68">
        <v>46082.1666666667</v>
      </c>
      <c r="BF2285" s="0" t="b">
        <v>0</v>
      </c>
      <c r="BG2285" s="0" t="b">
        <v>0</v>
      </c>
      <c r="BH2285" s="0">
        <v>28</v>
      </c>
      <c r="BI2285" s="0">
        <v>28</v>
      </c>
      <c r="BJ2285" s="0" t="s">
        <v>135</v>
      </c>
    </row>
    <row r="2286">
      <c r="A2286" s="0" t="s">
        <v>2525</v>
      </c>
      <c r="B2286" s="0" t="s">
        <v>134</v>
      </c>
      <c r="C2286" s="0" t="s">
        <v>134</v>
      </c>
      <c r="D2286" s="0" t="s">
        <v>135</v>
      </c>
      <c r="E2286" s="0" t="s">
        <v>4</v>
      </c>
      <c r="F2286" s="0" t="s">
        <v>12</v>
      </c>
      <c r="G2286" s="0" t="s">
        <v>8</v>
      </c>
      <c r="H2286" s="0">
        <v>765</v>
      </c>
      <c r="I2286" s="0">
        <v>0</v>
      </c>
      <c r="J2286" s="0">
        <v>0</v>
      </c>
      <c r="K2286" s="0">
        <v>1</v>
      </c>
      <c r="L2286" s="0">
        <v>3</v>
      </c>
      <c r="M2286" s="0">
        <v>2</v>
      </c>
      <c r="N2286" s="0">
        <v>0</v>
      </c>
      <c r="O2286" s="0">
        <v>0</v>
      </c>
      <c r="P2286" s="0">
        <v>0</v>
      </c>
      <c r="R2286" s="0" t="b">
        <v>0</v>
      </c>
      <c r="S2286" s="0" t="b">
        <v>1</v>
      </c>
      <c r="T2286" s="68">
        <v>45288.4593634259</v>
      </c>
      <c r="U2286" s="68">
        <v>45308.2916666667</v>
      </c>
      <c r="V2286" s="68">
        <v>0</v>
      </c>
      <c r="W2286" s="0">
        <f>IF(IF(B2286="none",1,IF(B2286="Trialer",1,0))+IF(C2286="Customer",1,IF(C2286="Lost",1,0))=2,1,0)</f>
      </c>
      <c r="X2286" s="0" t="s">
        <v>148</v>
      </c>
      <c r="Y2286" s="0" t="s">
        <v>1772</v>
      </c>
      <c r="AV2286" s="68"/>
      <c r="AW2286" s="68"/>
      <c r="AY2286" s="27"/>
      <c r="BD2286" s="68">
        <v>46054.1666666667</v>
      </c>
      <c r="BE2286" s="68">
        <v>46082.1666666667</v>
      </c>
      <c r="BF2286" s="0" t="b">
        <v>0</v>
      </c>
      <c r="BG2286" s="0" t="b">
        <v>0</v>
      </c>
      <c r="BH2286" s="0">
        <v>0</v>
      </c>
      <c r="BI2286" s="0">
        <v>0</v>
      </c>
      <c r="BJ2286" s="0" t="s">
        <v>135</v>
      </c>
    </row>
    <row r="2287">
      <c r="A2287" s="0" t="s">
        <v>2526</v>
      </c>
      <c r="B2287" s="0" t="s">
        <v>134</v>
      </c>
      <c r="C2287" s="0" t="s">
        <v>134</v>
      </c>
      <c r="D2287" s="0" t="s">
        <v>135</v>
      </c>
      <c r="E2287" s="0" t="s">
        <v>3</v>
      </c>
      <c r="F2287" s="0" t="s">
        <v>12</v>
      </c>
      <c r="G2287" s="0" t="s">
        <v>8</v>
      </c>
      <c r="H2287" s="0">
        <v>765</v>
      </c>
      <c r="I2287" s="0">
        <v>485</v>
      </c>
      <c r="J2287" s="0">
        <v>0</v>
      </c>
      <c r="K2287" s="0">
        <v>1</v>
      </c>
      <c r="L2287" s="0">
        <v>2</v>
      </c>
      <c r="M2287" s="0">
        <v>4</v>
      </c>
      <c r="N2287" s="0">
        <v>976.5</v>
      </c>
      <c r="O2287" s="0">
        <v>0</v>
      </c>
      <c r="P2287" s="0">
        <v>0</v>
      </c>
      <c r="R2287" s="0" t="b">
        <v>0</v>
      </c>
      <c r="S2287" s="0" t="b">
        <v>1</v>
      </c>
      <c r="T2287" s="68">
        <v>45288.6296990741</v>
      </c>
      <c r="U2287" s="68">
        <v>45302.2916666667</v>
      </c>
      <c r="V2287" s="68">
        <v>0</v>
      </c>
      <c r="W2287" s="0">
        <f>IF(IF(B2287="none",1,IF(B2287="Trialer",1,0))+IF(C2287="Customer",1,IF(C2287="Lost",1,0))=2,1,0)</f>
      </c>
      <c r="X2287" s="0" t="s">
        <v>148</v>
      </c>
      <c r="Y2287" s="0" t="s">
        <v>243</v>
      </c>
      <c r="AV2287" s="68"/>
      <c r="AW2287" s="68"/>
      <c r="AY2287" s="27"/>
      <c r="BD2287" s="68">
        <v>46054.1666666667</v>
      </c>
      <c r="BE2287" s="68">
        <v>46082.1666666667</v>
      </c>
      <c r="BF2287" s="0" t="b">
        <v>0</v>
      </c>
      <c r="BG2287" s="0" t="b">
        <v>0</v>
      </c>
      <c r="BH2287" s="0">
        <v>160</v>
      </c>
      <c r="BI2287" s="0">
        <v>160</v>
      </c>
      <c r="BJ2287" s="0" t="s">
        <v>135</v>
      </c>
    </row>
    <row r="2288">
      <c r="A2288" s="0" t="s">
        <v>2527</v>
      </c>
      <c r="B2288" s="0" t="s">
        <v>134</v>
      </c>
      <c r="C2288" s="0" t="s">
        <v>134</v>
      </c>
      <c r="D2288" s="0" t="s">
        <v>135</v>
      </c>
      <c r="E2288" s="0" t="s">
        <v>2</v>
      </c>
      <c r="F2288" s="0" t="s">
        <v>12</v>
      </c>
      <c r="G2288" s="0" t="s">
        <v>8</v>
      </c>
      <c r="H2288" s="0">
        <v>760</v>
      </c>
      <c r="I2288" s="0">
        <v>40</v>
      </c>
      <c r="J2288" s="0">
        <v>0</v>
      </c>
      <c r="K2288" s="0">
        <v>1</v>
      </c>
      <c r="L2288" s="0">
        <v>1</v>
      </c>
      <c r="M2288" s="0">
        <v>0</v>
      </c>
      <c r="N2288" s="0">
        <v>0</v>
      </c>
      <c r="O2288" s="0">
        <v>0</v>
      </c>
      <c r="P2288" s="0">
        <v>0</v>
      </c>
      <c r="R2288" s="0" t="b">
        <v>0</v>
      </c>
      <c r="S2288" s="0" t="b">
        <v>1</v>
      </c>
      <c r="T2288" s="68">
        <v>45293.4275231482</v>
      </c>
      <c r="U2288" s="68">
        <v>45293.2916666667</v>
      </c>
      <c r="V2288" s="68">
        <v>0</v>
      </c>
      <c r="W2288" s="0">
        <f>IF(IF(B2288="none",1,IF(B2288="Trialer",1,0))+IF(C2288="Customer",1,IF(C2288="Lost",1,0))=2,1,0)</f>
      </c>
      <c r="X2288" s="0" t="s">
        <v>148</v>
      </c>
      <c r="Y2288" s="0" t="s">
        <v>499</v>
      </c>
      <c r="AV2288" s="68"/>
      <c r="AW2288" s="68"/>
      <c r="AY2288" s="27"/>
      <c r="BD2288" s="68">
        <v>46054.1666666667</v>
      </c>
      <c r="BE2288" s="68">
        <v>46082.1666666667</v>
      </c>
      <c r="BF2288" s="0" t="b">
        <v>0</v>
      </c>
      <c r="BG2288" s="0" t="b">
        <v>0</v>
      </c>
      <c r="BH2288" s="0">
        <v>40</v>
      </c>
      <c r="BI2288" s="0">
        <v>40</v>
      </c>
      <c r="BJ2288" s="0" t="s">
        <v>135</v>
      </c>
    </row>
    <row r="2289">
      <c r="A2289" s="0" t="s">
        <v>2528</v>
      </c>
      <c r="B2289" s="0" t="s">
        <v>134</v>
      </c>
      <c r="C2289" s="0" t="s">
        <v>134</v>
      </c>
      <c r="D2289" s="0" t="s">
        <v>135</v>
      </c>
      <c r="E2289" s="0" t="s">
        <v>2</v>
      </c>
      <c r="F2289" s="0" t="s">
        <v>12</v>
      </c>
      <c r="G2289" s="0" t="s">
        <v>8</v>
      </c>
      <c r="H2289" s="0">
        <v>760</v>
      </c>
      <c r="I2289" s="0">
        <v>467</v>
      </c>
      <c r="J2289" s="0">
        <v>0</v>
      </c>
      <c r="K2289" s="0">
        <v>1</v>
      </c>
      <c r="L2289" s="0">
        <v>4</v>
      </c>
      <c r="M2289" s="0">
        <v>11</v>
      </c>
      <c r="N2289" s="0">
        <v>0</v>
      </c>
      <c r="O2289" s="0">
        <v>0</v>
      </c>
      <c r="P2289" s="0">
        <v>0</v>
      </c>
      <c r="R2289" s="0" t="b">
        <v>0</v>
      </c>
      <c r="S2289" s="0" t="b">
        <v>1</v>
      </c>
      <c r="T2289" s="68">
        <v>45293.4675347222</v>
      </c>
      <c r="U2289" s="68">
        <v>45307.2916666667</v>
      </c>
      <c r="V2289" s="68">
        <v>0</v>
      </c>
      <c r="W2289" s="0">
        <f>IF(IF(B2289="none",1,IF(B2289="Trialer",1,0))+IF(C2289="Customer",1,IF(C2289="Lost",1,0))=2,1,0)</f>
      </c>
      <c r="X2289" s="0" t="s">
        <v>136</v>
      </c>
      <c r="Y2289" s="0" t="s">
        <v>499</v>
      </c>
      <c r="AV2289" s="68"/>
      <c r="AW2289" s="68"/>
      <c r="AY2289" s="27"/>
      <c r="BD2289" s="68">
        <v>46054.1666666667</v>
      </c>
      <c r="BE2289" s="68">
        <v>46082.1666666667</v>
      </c>
      <c r="BF2289" s="0" t="b">
        <v>0</v>
      </c>
      <c r="BG2289" s="0" t="b">
        <v>0</v>
      </c>
      <c r="BH2289" s="0">
        <v>458</v>
      </c>
      <c r="BI2289" s="0">
        <v>458</v>
      </c>
      <c r="BJ2289" s="0" t="s">
        <v>135</v>
      </c>
    </row>
    <row r="2290">
      <c r="A2290" s="0" t="s">
        <v>2529</v>
      </c>
      <c r="B2290" s="0" t="s">
        <v>134</v>
      </c>
      <c r="C2290" s="0" t="s">
        <v>134</v>
      </c>
      <c r="D2290" s="0" t="s">
        <v>230</v>
      </c>
      <c r="E2290" s="0" t="s">
        <v>3</v>
      </c>
      <c r="F2290" s="0" t="s">
        <v>12</v>
      </c>
      <c r="G2290" s="0" t="s">
        <v>8</v>
      </c>
      <c r="H2290" s="0">
        <v>759</v>
      </c>
      <c r="I2290" s="0">
        <v>80</v>
      </c>
      <c r="J2290" s="0">
        <v>0</v>
      </c>
      <c r="K2290" s="0">
        <v>1</v>
      </c>
      <c r="L2290" s="0">
        <v>3</v>
      </c>
      <c r="M2290" s="0">
        <v>2</v>
      </c>
      <c r="N2290" s="0">
        <v>0</v>
      </c>
      <c r="O2290" s="0">
        <v>0</v>
      </c>
      <c r="P2290" s="0">
        <v>-80</v>
      </c>
      <c r="R2290" s="0" t="b">
        <v>0</v>
      </c>
      <c r="S2290" s="0" t="b">
        <v>1</v>
      </c>
      <c r="T2290" s="68">
        <v>45294.390162037</v>
      </c>
      <c r="U2290" s="68">
        <v>45308.2916666667</v>
      </c>
      <c r="V2290" s="68">
        <v>0</v>
      </c>
      <c r="W2290" s="0">
        <f>IF(IF(B2290="none",1,IF(B2290="Trialer",1,0))+IF(C2290="Customer",1,IF(C2290="Lost",1,0))=2,1,0)</f>
      </c>
      <c r="X2290" s="0" t="s">
        <v>153</v>
      </c>
      <c r="Y2290" s="0" t="s">
        <v>243</v>
      </c>
      <c r="AV2290" s="68"/>
      <c r="AW2290" s="68"/>
      <c r="AY2290" s="27"/>
      <c r="BD2290" s="68">
        <v>46054.1666666667</v>
      </c>
      <c r="BE2290" s="68">
        <v>46082.1666666667</v>
      </c>
      <c r="BF2290" s="0" t="b">
        <v>0</v>
      </c>
      <c r="BG2290" s="0" t="b">
        <v>0</v>
      </c>
      <c r="BH2290" s="0">
        <v>89</v>
      </c>
      <c r="BI2290" s="0">
        <v>89</v>
      </c>
      <c r="BJ2290" s="0" t="s">
        <v>230</v>
      </c>
    </row>
    <row r="2291">
      <c r="A2291" s="0" t="s">
        <v>2530</v>
      </c>
      <c r="B2291" s="0" t="s">
        <v>134</v>
      </c>
      <c r="C2291" s="0" t="s">
        <v>134</v>
      </c>
      <c r="D2291" s="0" t="s">
        <v>135</v>
      </c>
      <c r="E2291" s="0" t="s">
        <v>2</v>
      </c>
      <c r="F2291" s="0" t="s">
        <v>12</v>
      </c>
      <c r="G2291" s="0" t="s">
        <v>8</v>
      </c>
      <c r="H2291" s="0">
        <v>759</v>
      </c>
      <c r="I2291" s="0">
        <v>249</v>
      </c>
      <c r="J2291" s="0">
        <v>0</v>
      </c>
      <c r="K2291" s="0">
        <v>1</v>
      </c>
      <c r="L2291" s="0">
        <v>3</v>
      </c>
      <c r="M2291" s="0">
        <v>6</v>
      </c>
      <c r="N2291" s="0">
        <v>0</v>
      </c>
      <c r="O2291" s="0">
        <v>0</v>
      </c>
      <c r="P2291" s="0">
        <v>0</v>
      </c>
      <c r="R2291" s="0" t="b">
        <v>0</v>
      </c>
      <c r="S2291" s="0" t="b">
        <v>1</v>
      </c>
      <c r="T2291" s="68">
        <v>45294.5618287037</v>
      </c>
      <c r="U2291" s="68">
        <v>45308.2916666667</v>
      </c>
      <c r="V2291" s="68">
        <v>0</v>
      </c>
      <c r="W2291" s="0">
        <f>IF(IF(B2291="none",1,IF(B2291="Trialer",1,0))+IF(C2291="Customer",1,IF(C2291="Lost",1,0))=2,1,0)</f>
      </c>
      <c r="X2291" s="0" t="s">
        <v>148</v>
      </c>
      <c r="Y2291" s="0" t="s">
        <v>499</v>
      </c>
      <c r="AV2291" s="68"/>
      <c r="AW2291" s="68"/>
      <c r="AY2291" s="27"/>
      <c r="BD2291" s="68">
        <v>46054.1666666667</v>
      </c>
      <c r="BE2291" s="68">
        <v>46082.1666666667</v>
      </c>
      <c r="BF2291" s="0" t="b">
        <v>0</v>
      </c>
      <c r="BG2291" s="0" t="b">
        <v>0</v>
      </c>
      <c r="BH2291" s="0">
        <v>249</v>
      </c>
      <c r="BI2291" s="0">
        <v>249</v>
      </c>
      <c r="BJ2291" s="0" t="s">
        <v>135</v>
      </c>
    </row>
    <row r="2292">
      <c r="A2292" s="0" t="s">
        <v>2531</v>
      </c>
      <c r="B2292" s="0" t="s">
        <v>134</v>
      </c>
      <c r="C2292" s="0" t="s">
        <v>134</v>
      </c>
      <c r="D2292" s="0" t="s">
        <v>135</v>
      </c>
      <c r="E2292" s="0" t="s">
        <v>3</v>
      </c>
      <c r="F2292" s="0" t="s">
        <v>12</v>
      </c>
      <c r="G2292" s="0" t="s">
        <v>8</v>
      </c>
      <c r="H2292" s="0">
        <v>758</v>
      </c>
      <c r="I2292" s="0">
        <v>0</v>
      </c>
      <c r="J2292" s="0">
        <v>0</v>
      </c>
      <c r="K2292" s="0">
        <v>1</v>
      </c>
      <c r="L2292" s="0">
        <v>5</v>
      </c>
      <c r="M2292" s="0">
        <v>1</v>
      </c>
      <c r="N2292" s="0">
        <v>0</v>
      </c>
      <c r="O2292" s="0">
        <v>0</v>
      </c>
      <c r="P2292" s="0">
        <v>0</v>
      </c>
      <c r="R2292" s="0" t="b">
        <v>0</v>
      </c>
      <c r="S2292" s="0" t="b">
        <v>1</v>
      </c>
      <c r="T2292" s="68">
        <v>45295.5915509259</v>
      </c>
      <c r="U2292" s="68">
        <v>45309.2916666667</v>
      </c>
      <c r="V2292" s="68">
        <v>0</v>
      </c>
      <c r="W2292" s="0">
        <f>IF(IF(B2292="none",1,IF(B2292="Trialer",1,0))+IF(C2292="Customer",1,IF(C2292="Lost",1,0))=2,1,0)</f>
      </c>
      <c r="X2292" s="0" t="s">
        <v>148</v>
      </c>
      <c r="Y2292" s="0" t="s">
        <v>243</v>
      </c>
      <c r="AV2292" s="68"/>
      <c r="AW2292" s="68"/>
      <c r="AY2292" s="27"/>
      <c r="BD2292" s="68">
        <v>46054.1666666667</v>
      </c>
      <c r="BE2292" s="68">
        <v>46082.1666666667</v>
      </c>
      <c r="BF2292" s="0" t="b">
        <v>0</v>
      </c>
      <c r="BG2292" s="0" t="b">
        <v>0</v>
      </c>
      <c r="BH2292" s="0">
        <v>0</v>
      </c>
      <c r="BI2292" s="0">
        <v>0</v>
      </c>
      <c r="BJ2292" s="0" t="s">
        <v>135</v>
      </c>
    </row>
    <row r="2293">
      <c r="A2293" s="0" t="s">
        <v>2532</v>
      </c>
      <c r="B2293" s="0" t="s">
        <v>134</v>
      </c>
      <c r="C2293" s="0" t="s">
        <v>134</v>
      </c>
      <c r="D2293" s="0" t="s">
        <v>230</v>
      </c>
      <c r="E2293" s="0" t="s">
        <v>2</v>
      </c>
      <c r="F2293" s="0" t="s">
        <v>12</v>
      </c>
      <c r="G2293" s="0" t="s">
        <v>8</v>
      </c>
      <c r="H2293" s="0">
        <v>758</v>
      </c>
      <c r="I2293" s="0">
        <v>99</v>
      </c>
      <c r="J2293" s="0">
        <v>0</v>
      </c>
      <c r="K2293" s="0">
        <v>1</v>
      </c>
      <c r="L2293" s="0">
        <v>4</v>
      </c>
      <c r="M2293" s="0">
        <v>2</v>
      </c>
      <c r="N2293" s="0">
        <v>0</v>
      </c>
      <c r="O2293" s="0">
        <v>0</v>
      </c>
      <c r="P2293" s="0">
        <v>-99</v>
      </c>
      <c r="R2293" s="0" t="b">
        <v>0</v>
      </c>
      <c r="S2293" s="0" t="b">
        <v>1</v>
      </c>
      <c r="T2293" s="68">
        <v>45295.6889236111</v>
      </c>
      <c r="U2293" s="68">
        <v>45309.2916666667</v>
      </c>
      <c r="V2293" s="68">
        <v>0</v>
      </c>
      <c r="W2293" s="0">
        <f>IF(IF(B2293="none",1,IF(B2293="Trialer",1,0))+IF(C2293="Customer",1,IF(C2293="Lost",1,0))=2,1,0)</f>
      </c>
      <c r="X2293" s="0" t="s">
        <v>153</v>
      </c>
      <c r="Y2293" s="0" t="s">
        <v>499</v>
      </c>
      <c r="AV2293" s="68"/>
      <c r="AW2293" s="68"/>
      <c r="AY2293" s="27"/>
      <c r="BD2293" s="68">
        <v>46054.1666666667</v>
      </c>
      <c r="BE2293" s="68">
        <v>46082.1666666667</v>
      </c>
      <c r="BF2293" s="0" t="b">
        <v>0</v>
      </c>
      <c r="BG2293" s="0" t="b">
        <v>0</v>
      </c>
      <c r="BH2293" s="0">
        <v>110</v>
      </c>
      <c r="BI2293" s="0">
        <v>110</v>
      </c>
      <c r="BJ2293" s="0" t="s">
        <v>230</v>
      </c>
    </row>
    <row r="2294">
      <c r="A2294" s="0" t="s">
        <v>2533</v>
      </c>
      <c r="B2294" s="0" t="s">
        <v>134</v>
      </c>
      <c r="C2294" s="0" t="s">
        <v>134</v>
      </c>
      <c r="D2294" s="0" t="s">
        <v>135</v>
      </c>
      <c r="E2294" s="0" t="s">
        <v>3</v>
      </c>
      <c r="F2294" s="0" t="s">
        <v>12</v>
      </c>
      <c r="G2294" s="0" t="s">
        <v>8</v>
      </c>
      <c r="H2294" s="0">
        <v>757</v>
      </c>
      <c r="I2294" s="0">
        <v>61</v>
      </c>
      <c r="J2294" s="0">
        <v>0</v>
      </c>
      <c r="K2294" s="0">
        <v>1</v>
      </c>
      <c r="L2294" s="0">
        <v>4</v>
      </c>
      <c r="M2294" s="0">
        <v>1</v>
      </c>
      <c r="N2294" s="0">
        <v>0</v>
      </c>
      <c r="O2294" s="0">
        <v>0</v>
      </c>
      <c r="P2294" s="0">
        <v>0</v>
      </c>
      <c r="R2294" s="0" t="b">
        <v>0</v>
      </c>
      <c r="S2294" s="0" t="b">
        <v>1</v>
      </c>
      <c r="T2294" s="68">
        <v>45296.2182638889</v>
      </c>
      <c r="U2294" s="68">
        <v>45310.2916666667</v>
      </c>
      <c r="V2294" s="68">
        <v>0</v>
      </c>
      <c r="W2294" s="0">
        <f>IF(IF(B2294="none",1,IF(B2294="Trialer",1,0))+IF(C2294="Customer",1,IF(C2294="Lost",1,0))=2,1,0)</f>
      </c>
      <c r="X2294" s="0" t="s">
        <v>153</v>
      </c>
      <c r="Y2294" s="0" t="s">
        <v>243</v>
      </c>
      <c r="AV2294" s="68"/>
      <c r="AW2294" s="68"/>
      <c r="AY2294" s="27"/>
      <c r="BD2294" s="68">
        <v>46054.1666666667</v>
      </c>
      <c r="BE2294" s="68">
        <v>46082.1666666667</v>
      </c>
      <c r="BF2294" s="0" t="b">
        <v>0</v>
      </c>
      <c r="BG2294" s="0" t="b">
        <v>0</v>
      </c>
      <c r="BH2294" s="0">
        <v>61</v>
      </c>
      <c r="BI2294" s="0">
        <v>61</v>
      </c>
      <c r="BJ2294" s="0" t="s">
        <v>135</v>
      </c>
    </row>
    <row r="2295">
      <c r="A2295" s="0" t="s">
        <v>2534</v>
      </c>
      <c r="B2295" s="0" t="s">
        <v>134</v>
      </c>
      <c r="C2295" s="0" t="s">
        <v>134</v>
      </c>
      <c r="D2295" s="0" t="s">
        <v>135</v>
      </c>
      <c r="E2295" s="0" t="s">
        <v>3</v>
      </c>
      <c r="F2295" s="0" t="s">
        <v>12</v>
      </c>
      <c r="G2295" s="0" t="s">
        <v>8</v>
      </c>
      <c r="H2295" s="0">
        <v>757</v>
      </c>
      <c r="I2295" s="0">
        <v>80</v>
      </c>
      <c r="J2295" s="0">
        <v>0</v>
      </c>
      <c r="K2295" s="0">
        <v>1</v>
      </c>
      <c r="L2295" s="0">
        <v>2</v>
      </c>
      <c r="M2295" s="0">
        <v>2</v>
      </c>
      <c r="N2295" s="0">
        <v>0</v>
      </c>
      <c r="O2295" s="0">
        <v>0</v>
      </c>
      <c r="P2295" s="0">
        <v>0</v>
      </c>
      <c r="R2295" s="0" t="b">
        <v>0</v>
      </c>
      <c r="S2295" s="0" t="b">
        <v>1</v>
      </c>
      <c r="T2295" s="68">
        <v>45296.6801736111</v>
      </c>
      <c r="U2295" s="68">
        <v>45310.2916666667</v>
      </c>
      <c r="V2295" s="68">
        <v>0</v>
      </c>
      <c r="W2295" s="0">
        <f>IF(IF(B2295="none",1,IF(B2295="Trialer",1,0))+IF(C2295="Customer",1,IF(C2295="Lost",1,0))=2,1,0)</f>
      </c>
      <c r="X2295" s="0" t="s">
        <v>142</v>
      </c>
      <c r="Y2295" s="0" t="s">
        <v>243</v>
      </c>
      <c r="AV2295" s="68"/>
      <c r="AW2295" s="68"/>
      <c r="AY2295" s="27"/>
      <c r="BD2295" s="68">
        <v>46054.1666666667</v>
      </c>
      <c r="BE2295" s="68">
        <v>46082.1666666667</v>
      </c>
      <c r="BF2295" s="0" t="b">
        <v>0</v>
      </c>
      <c r="BG2295" s="0" t="b">
        <v>0</v>
      </c>
      <c r="BH2295" s="0">
        <v>80</v>
      </c>
      <c r="BI2295" s="0">
        <v>80</v>
      </c>
      <c r="BJ2295" s="0" t="s">
        <v>135</v>
      </c>
    </row>
    <row r="2296">
      <c r="A2296" s="0" t="s">
        <v>2535</v>
      </c>
      <c r="B2296" s="0" t="s">
        <v>134</v>
      </c>
      <c r="C2296" s="0" t="s">
        <v>134</v>
      </c>
      <c r="D2296" s="0" t="s">
        <v>135</v>
      </c>
      <c r="E2296" s="0" t="s">
        <v>3</v>
      </c>
      <c r="F2296" s="0" t="s">
        <v>12</v>
      </c>
      <c r="G2296" s="0" t="s">
        <v>8</v>
      </c>
      <c r="H2296" s="0">
        <v>756</v>
      </c>
      <c r="I2296" s="0">
        <v>0</v>
      </c>
      <c r="J2296" s="0">
        <v>0</v>
      </c>
      <c r="K2296" s="0">
        <v>1</v>
      </c>
      <c r="L2296" s="0">
        <v>6</v>
      </c>
      <c r="M2296" s="0">
        <v>2</v>
      </c>
      <c r="N2296" s="0">
        <v>0</v>
      </c>
      <c r="O2296" s="0">
        <v>0</v>
      </c>
      <c r="P2296" s="0">
        <v>0</v>
      </c>
      <c r="R2296" s="0" t="b">
        <v>0</v>
      </c>
      <c r="S2296" s="0" t="b">
        <v>1</v>
      </c>
      <c r="T2296" s="68">
        <v>45297.5111111111</v>
      </c>
      <c r="U2296" s="68">
        <v>45311.2916666667</v>
      </c>
      <c r="V2296" s="68">
        <v>0</v>
      </c>
      <c r="W2296" s="0">
        <f>IF(IF(B2296="none",1,IF(B2296="Trialer",1,0))+IF(C2296="Customer",1,IF(C2296="Lost",1,0))=2,1,0)</f>
      </c>
      <c r="X2296" s="0" t="s">
        <v>136</v>
      </c>
      <c r="Y2296" s="0" t="s">
        <v>243</v>
      </c>
      <c r="AV2296" s="68"/>
      <c r="AW2296" s="68"/>
      <c r="AY2296" s="27"/>
      <c r="BD2296" s="68">
        <v>46054.1666666667</v>
      </c>
      <c r="BE2296" s="68">
        <v>46082.1666666667</v>
      </c>
      <c r="BF2296" s="0" t="b">
        <v>0</v>
      </c>
      <c r="BG2296" s="0" t="b">
        <v>0</v>
      </c>
      <c r="BH2296" s="0">
        <v>0</v>
      </c>
      <c r="BI2296" s="0">
        <v>0</v>
      </c>
      <c r="BJ2296" s="0" t="s">
        <v>135</v>
      </c>
    </row>
    <row r="2297">
      <c r="A2297" s="0" t="s">
        <v>2536</v>
      </c>
      <c r="B2297" s="0" t="s">
        <v>134</v>
      </c>
      <c r="C2297" s="0" t="s">
        <v>134</v>
      </c>
      <c r="D2297" s="0" t="s">
        <v>135</v>
      </c>
      <c r="E2297" s="0" t="s">
        <v>3</v>
      </c>
      <c r="F2297" s="0" t="s">
        <v>12</v>
      </c>
      <c r="G2297" s="0" t="s">
        <v>8</v>
      </c>
      <c r="H2297" s="0">
        <v>756</v>
      </c>
      <c r="I2297" s="0">
        <v>0</v>
      </c>
      <c r="J2297" s="0">
        <v>0</v>
      </c>
      <c r="K2297" s="0">
        <v>1</v>
      </c>
      <c r="L2297" s="0">
        <v>6</v>
      </c>
      <c r="M2297" s="0">
        <v>2</v>
      </c>
      <c r="N2297" s="0">
        <v>0</v>
      </c>
      <c r="O2297" s="0">
        <v>0</v>
      </c>
      <c r="P2297" s="0">
        <v>0</v>
      </c>
      <c r="R2297" s="0" t="b">
        <v>0</v>
      </c>
      <c r="S2297" s="0" t="b">
        <v>1</v>
      </c>
      <c r="T2297" s="68">
        <v>45297.5878472222</v>
      </c>
      <c r="U2297" s="68">
        <v>45311.2916666667</v>
      </c>
      <c r="V2297" s="68">
        <v>0</v>
      </c>
      <c r="W2297" s="0">
        <f>IF(IF(B2297="none",1,IF(B2297="Trialer",1,0))+IF(C2297="Customer",1,IF(C2297="Lost",1,0))=2,1,0)</f>
      </c>
      <c r="X2297" s="0" t="s">
        <v>136</v>
      </c>
      <c r="Y2297" s="0" t="s">
        <v>243</v>
      </c>
      <c r="AV2297" s="68"/>
      <c r="AW2297" s="68"/>
      <c r="AY2297" s="27"/>
      <c r="BD2297" s="68">
        <v>46054.1666666667</v>
      </c>
      <c r="BE2297" s="68">
        <v>46082.1666666667</v>
      </c>
      <c r="BF2297" s="0" t="b">
        <v>0</v>
      </c>
      <c r="BG2297" s="0" t="b">
        <v>0</v>
      </c>
      <c r="BH2297" s="0">
        <v>0</v>
      </c>
      <c r="BI2297" s="0">
        <v>0</v>
      </c>
      <c r="BJ2297" s="0" t="s">
        <v>135</v>
      </c>
    </row>
    <row r="2298">
      <c r="A2298" s="0" t="s">
        <v>2537</v>
      </c>
      <c r="B2298" s="0" t="s">
        <v>134</v>
      </c>
      <c r="C2298" s="0" t="s">
        <v>134</v>
      </c>
      <c r="D2298" s="0" t="s">
        <v>135</v>
      </c>
      <c r="E2298" s="0" t="s">
        <v>3</v>
      </c>
      <c r="F2298" s="0" t="s">
        <v>12</v>
      </c>
      <c r="G2298" s="0" t="s">
        <v>8</v>
      </c>
      <c r="H2298" s="0">
        <v>756</v>
      </c>
      <c r="I2298" s="0">
        <v>40</v>
      </c>
      <c r="J2298" s="0">
        <v>0</v>
      </c>
      <c r="K2298" s="0">
        <v>1</v>
      </c>
      <c r="L2298" s="0">
        <v>2</v>
      </c>
      <c r="M2298" s="0">
        <v>1</v>
      </c>
      <c r="N2298" s="0">
        <v>0</v>
      </c>
      <c r="O2298" s="0">
        <v>0</v>
      </c>
      <c r="P2298" s="0">
        <v>0</v>
      </c>
      <c r="R2298" s="0" t="b">
        <v>0</v>
      </c>
      <c r="S2298" s="0" t="b">
        <v>1</v>
      </c>
      <c r="T2298" s="68">
        <v>45297.825</v>
      </c>
      <c r="U2298" s="68">
        <v>45311.2916666667</v>
      </c>
      <c r="V2298" s="68">
        <v>0</v>
      </c>
      <c r="W2298" s="0">
        <f>IF(IF(B2298="none",1,IF(B2298="Trialer",1,0))+IF(C2298="Customer",1,IF(C2298="Lost",1,0))=2,1,0)</f>
      </c>
      <c r="X2298" s="0" t="s">
        <v>166</v>
      </c>
      <c r="Y2298" s="0" t="s">
        <v>243</v>
      </c>
      <c r="AV2298" s="68"/>
      <c r="AW2298" s="68"/>
      <c r="AY2298" s="27"/>
      <c r="BD2298" s="68">
        <v>46054.1666666667</v>
      </c>
      <c r="BE2298" s="68">
        <v>46082.1666666667</v>
      </c>
      <c r="BF2298" s="0" t="b">
        <v>0</v>
      </c>
      <c r="BG2298" s="0" t="b">
        <v>0</v>
      </c>
      <c r="BH2298" s="0">
        <v>52</v>
      </c>
      <c r="BI2298" s="0">
        <v>52</v>
      </c>
      <c r="BJ2298" s="0" t="s">
        <v>135</v>
      </c>
    </row>
    <row r="2299">
      <c r="A2299" s="0" t="s">
        <v>2538</v>
      </c>
      <c r="B2299" s="0" t="s">
        <v>134</v>
      </c>
      <c r="C2299" s="0" t="s">
        <v>134</v>
      </c>
      <c r="D2299" s="0" t="s">
        <v>135</v>
      </c>
      <c r="E2299" s="0" t="s">
        <v>3</v>
      </c>
      <c r="F2299" s="0" t="s">
        <v>10</v>
      </c>
      <c r="G2299" s="0" t="s">
        <v>8</v>
      </c>
      <c r="H2299" s="0">
        <v>754</v>
      </c>
      <c r="I2299" s="0">
        <v>28</v>
      </c>
      <c r="J2299" s="0">
        <v>0</v>
      </c>
      <c r="K2299" s="0">
        <v>1</v>
      </c>
      <c r="L2299" s="0">
        <v>1</v>
      </c>
      <c r="M2299" s="0">
        <v>1</v>
      </c>
      <c r="N2299" s="0">
        <v>0</v>
      </c>
      <c r="O2299" s="0">
        <v>0</v>
      </c>
      <c r="P2299" s="0">
        <v>0</v>
      </c>
      <c r="Q2299" s="0" t="s">
        <v>618</v>
      </c>
      <c r="R2299" s="0" t="b">
        <v>0</v>
      </c>
      <c r="S2299" s="0" t="b">
        <v>1</v>
      </c>
      <c r="T2299" s="68">
        <v>45299.2003356482</v>
      </c>
      <c r="U2299" s="68">
        <v>45313.2916666667</v>
      </c>
      <c r="V2299" s="68">
        <v>0</v>
      </c>
      <c r="W2299" s="0">
        <f>IF(IF(B2299="none",1,IF(B2299="Trialer",1,0))+IF(C2299="Customer",1,IF(C2299="Lost",1,0))=2,1,0)</f>
      </c>
      <c r="X2299" s="0" t="s">
        <v>148</v>
      </c>
      <c r="Y2299" s="0" t="s">
        <v>243</v>
      </c>
      <c r="AV2299" s="68"/>
      <c r="AW2299" s="68"/>
      <c r="AY2299" s="27"/>
      <c r="BD2299" s="68">
        <v>46054.1666666667</v>
      </c>
      <c r="BE2299" s="68">
        <v>46082.1666666667</v>
      </c>
      <c r="BF2299" s="0" t="b">
        <v>0</v>
      </c>
      <c r="BG2299" s="0" t="b">
        <v>0</v>
      </c>
      <c r="BH2299" s="0">
        <v>28</v>
      </c>
      <c r="BI2299" s="0">
        <v>28</v>
      </c>
      <c r="BJ2299" s="0" t="s">
        <v>135</v>
      </c>
    </row>
    <row r="2300">
      <c r="A2300" s="0" t="s">
        <v>2539</v>
      </c>
      <c r="B2300" s="0" t="s">
        <v>134</v>
      </c>
      <c r="C2300" s="0" t="s">
        <v>134</v>
      </c>
      <c r="D2300" s="0" t="s">
        <v>135</v>
      </c>
      <c r="E2300" s="0" t="s">
        <v>3</v>
      </c>
      <c r="F2300" s="0" t="s">
        <v>12</v>
      </c>
      <c r="G2300" s="0" t="s">
        <v>8</v>
      </c>
      <c r="H2300" s="0">
        <v>754</v>
      </c>
      <c r="I2300" s="0">
        <v>219</v>
      </c>
      <c r="J2300" s="0">
        <v>0</v>
      </c>
      <c r="K2300" s="0">
        <v>1</v>
      </c>
      <c r="L2300" s="0">
        <v>5</v>
      </c>
      <c r="M2300" s="0">
        <v>3</v>
      </c>
      <c r="N2300" s="0">
        <v>1305</v>
      </c>
      <c r="O2300" s="0">
        <v>0</v>
      </c>
      <c r="P2300" s="0">
        <v>0</v>
      </c>
      <c r="R2300" s="0" t="b">
        <v>0</v>
      </c>
      <c r="S2300" s="0" t="b">
        <v>0</v>
      </c>
      <c r="T2300" s="68">
        <v>45299.4474074074</v>
      </c>
      <c r="U2300" s="68">
        <v>45316.2916666667</v>
      </c>
      <c r="V2300" s="68">
        <v>46093.580787037</v>
      </c>
      <c r="W2300" s="0">
        <f>IF(IF(B2300="none",1,IF(B2300="Trialer",1,0))+IF(C2300="Customer",1,IF(C2300="Lost",1,0))=2,1,0)</f>
      </c>
      <c r="X2300" s="0" t="s">
        <v>166</v>
      </c>
      <c r="Y2300" s="0" t="s">
        <v>243</v>
      </c>
      <c r="AV2300" s="68"/>
      <c r="AW2300" s="68"/>
      <c r="AY2300" s="27"/>
      <c r="BD2300" s="68">
        <v>46054.1666666667</v>
      </c>
      <c r="BE2300" s="68">
        <v>46082.1666666667</v>
      </c>
      <c r="BF2300" s="0" t="b">
        <v>0</v>
      </c>
      <c r="BG2300" s="0" t="b">
        <v>0</v>
      </c>
      <c r="BH2300" s="0">
        <v>219</v>
      </c>
      <c r="BI2300" s="0">
        <v>219</v>
      </c>
      <c r="BJ2300" s="0" t="s">
        <v>135</v>
      </c>
    </row>
    <row r="2301">
      <c r="A2301" s="0" t="s">
        <v>2540</v>
      </c>
      <c r="B2301" s="0" t="s">
        <v>134</v>
      </c>
      <c r="C2301" s="0" t="s">
        <v>134</v>
      </c>
      <c r="D2301" s="0" t="s">
        <v>230</v>
      </c>
      <c r="E2301" s="0" t="s">
        <v>2</v>
      </c>
      <c r="F2301" s="0" t="s">
        <v>10</v>
      </c>
      <c r="G2301" s="0" t="s">
        <v>8</v>
      </c>
      <c r="H2301" s="0">
        <v>753</v>
      </c>
      <c r="I2301" s="0">
        <v>154.8</v>
      </c>
      <c r="J2301" s="0">
        <v>0</v>
      </c>
      <c r="K2301" s="0">
        <v>1</v>
      </c>
      <c r="L2301" s="0">
        <v>3</v>
      </c>
      <c r="M2301" s="0">
        <v>4</v>
      </c>
      <c r="N2301" s="0">
        <v>697.5</v>
      </c>
      <c r="O2301" s="0">
        <v>0</v>
      </c>
      <c r="P2301" s="0">
        <v>-154.8</v>
      </c>
      <c r="Q2301" s="0" t="s">
        <v>756</v>
      </c>
      <c r="R2301" s="0" t="b">
        <v>0</v>
      </c>
      <c r="S2301" s="0" t="b">
        <v>1</v>
      </c>
      <c r="T2301" s="68">
        <v>45300.4187384259</v>
      </c>
      <c r="U2301" s="68">
        <v>45314.2916666667</v>
      </c>
      <c r="V2301" s="68">
        <v>0</v>
      </c>
      <c r="W2301" s="0">
        <f>IF(IF(B2301="none",1,IF(B2301="Trialer",1,0))+IF(C2301="Customer",1,IF(C2301="Lost",1,0))=2,1,0)</f>
      </c>
      <c r="X2301" s="0" t="s">
        <v>136</v>
      </c>
      <c r="Y2301" s="0" t="s">
        <v>499</v>
      </c>
      <c r="AV2301" s="68"/>
      <c r="AW2301" s="68"/>
      <c r="AY2301" s="27"/>
      <c r="BD2301" s="68">
        <v>46054.1666666667</v>
      </c>
      <c r="BE2301" s="68">
        <v>46082.1666666667</v>
      </c>
      <c r="BF2301" s="0" t="b">
        <v>0</v>
      </c>
      <c r="BG2301" s="0" t="b">
        <v>0</v>
      </c>
      <c r="BH2301" s="0">
        <v>172</v>
      </c>
      <c r="BI2301" s="0">
        <v>172</v>
      </c>
      <c r="BJ2301" s="0" t="s">
        <v>230</v>
      </c>
    </row>
    <row r="2302">
      <c r="A2302" s="0" t="s">
        <v>2541</v>
      </c>
      <c r="B2302" s="0" t="s">
        <v>134</v>
      </c>
      <c r="C2302" s="0" t="s">
        <v>190</v>
      </c>
      <c r="D2302" s="0" t="s">
        <v>135</v>
      </c>
      <c r="E2302" s="0" t="s">
        <v>2</v>
      </c>
      <c r="F2302" s="0" t="s">
        <v>12</v>
      </c>
      <c r="G2302" s="0" t="s">
        <v>8</v>
      </c>
      <c r="H2302" s="0">
        <v>753</v>
      </c>
      <c r="I2302" s="0">
        <v>40</v>
      </c>
      <c r="J2302" s="0">
        <v>0</v>
      </c>
      <c r="K2302" s="0">
        <v>1</v>
      </c>
      <c r="L2302" s="0">
        <v>1</v>
      </c>
      <c r="M2302" s="0">
        <v>0</v>
      </c>
      <c r="N2302" s="0">
        <v>0</v>
      </c>
      <c r="O2302" s="0">
        <v>0</v>
      </c>
      <c r="P2302" s="0">
        <v>0</v>
      </c>
      <c r="R2302" s="0" t="b">
        <v>0</v>
      </c>
      <c r="S2302" s="0" t="b">
        <v>0</v>
      </c>
      <c r="T2302" s="68">
        <v>45300.5646180556</v>
      </c>
      <c r="U2302" s="68">
        <v>45300.2916666667</v>
      </c>
      <c r="V2302" s="68">
        <v>46062.5036111111</v>
      </c>
      <c r="W2302" s="0">
        <f>IF(IF(B2302="none",1,IF(B2302="Trialer",1,0))+IF(C2302="Customer",1,IF(C2302="Lost",1,0))=2,1,0)</f>
      </c>
      <c r="X2302" s="0" t="s">
        <v>145</v>
      </c>
      <c r="Y2302" s="0" t="s">
        <v>499</v>
      </c>
      <c r="AV2302" s="68"/>
      <c r="AW2302" s="68"/>
      <c r="AY2302" s="27"/>
      <c r="BD2302" s="68">
        <v>46054.1666666667</v>
      </c>
      <c r="BE2302" s="68">
        <v>46082.1666666667</v>
      </c>
      <c r="BF2302" s="0" t="b">
        <v>0</v>
      </c>
      <c r="BG2302" s="0" t="b">
        <v>0</v>
      </c>
      <c r="BH2302" s="0">
        <v>40</v>
      </c>
      <c r="BI2302" s="0">
        <v>40</v>
      </c>
      <c r="BJ2302" s="0" t="s">
        <v>135</v>
      </c>
    </row>
    <row r="2303">
      <c r="A2303" s="0" t="s">
        <v>2542</v>
      </c>
      <c r="B2303" s="0" t="s">
        <v>134</v>
      </c>
      <c r="C2303" s="0" t="s">
        <v>134</v>
      </c>
      <c r="D2303" s="0" t="s">
        <v>230</v>
      </c>
      <c r="E2303" s="0" t="s">
        <v>2</v>
      </c>
      <c r="F2303" s="0" t="s">
        <v>12</v>
      </c>
      <c r="G2303" s="0" t="s">
        <v>8</v>
      </c>
      <c r="H2303" s="0">
        <v>753</v>
      </c>
      <c r="I2303" s="0">
        <v>162</v>
      </c>
      <c r="J2303" s="0">
        <v>0</v>
      </c>
      <c r="K2303" s="0">
        <v>1</v>
      </c>
      <c r="L2303" s="0">
        <v>4</v>
      </c>
      <c r="M2303" s="0">
        <v>3</v>
      </c>
      <c r="N2303" s="0">
        <v>0</v>
      </c>
      <c r="O2303" s="0">
        <v>0</v>
      </c>
      <c r="P2303" s="0">
        <v>-162</v>
      </c>
      <c r="R2303" s="0" t="b">
        <v>0</v>
      </c>
      <c r="S2303" s="0" t="b">
        <v>1</v>
      </c>
      <c r="T2303" s="68">
        <v>45300.5699768519</v>
      </c>
      <c r="U2303" s="68">
        <v>45328.2916666667</v>
      </c>
      <c r="V2303" s="68">
        <v>0</v>
      </c>
      <c r="W2303" s="0">
        <f>IF(IF(B2303="none",1,IF(B2303="Trialer",1,0))+IF(C2303="Customer",1,IF(C2303="Lost",1,0))=2,1,0)</f>
      </c>
      <c r="X2303" s="0" t="s">
        <v>153</v>
      </c>
      <c r="Y2303" s="0" t="s">
        <v>499</v>
      </c>
      <c r="AV2303" s="68"/>
      <c r="AW2303" s="68"/>
      <c r="AY2303" s="27"/>
      <c r="BD2303" s="68">
        <v>46054.1666666667</v>
      </c>
      <c r="BE2303" s="68">
        <v>46082.1666666667</v>
      </c>
      <c r="BF2303" s="0" t="b">
        <v>0</v>
      </c>
      <c r="BG2303" s="0" t="b">
        <v>0</v>
      </c>
      <c r="BH2303" s="0">
        <v>183</v>
      </c>
      <c r="BI2303" s="0">
        <v>183</v>
      </c>
      <c r="BJ2303" s="0" t="s">
        <v>230</v>
      </c>
    </row>
    <row r="2304">
      <c r="A2304" s="0" t="s">
        <v>2543</v>
      </c>
      <c r="B2304" s="0" t="s">
        <v>134</v>
      </c>
      <c r="C2304" s="0" t="s">
        <v>134</v>
      </c>
      <c r="D2304" s="0" t="s">
        <v>135</v>
      </c>
      <c r="E2304" s="0" t="s">
        <v>3</v>
      </c>
      <c r="F2304" s="0" t="s">
        <v>10</v>
      </c>
      <c r="G2304" s="0" t="s">
        <v>8</v>
      </c>
      <c r="H2304" s="0">
        <v>752</v>
      </c>
      <c r="I2304" s="0">
        <v>49</v>
      </c>
      <c r="J2304" s="0">
        <v>0</v>
      </c>
      <c r="K2304" s="0">
        <v>1</v>
      </c>
      <c r="L2304" s="0">
        <v>3</v>
      </c>
      <c r="M2304" s="0">
        <v>1</v>
      </c>
      <c r="N2304" s="0">
        <v>0</v>
      </c>
      <c r="O2304" s="0">
        <v>0</v>
      </c>
      <c r="P2304" s="0">
        <v>0</v>
      </c>
      <c r="Q2304" s="0" t="s">
        <v>390</v>
      </c>
      <c r="R2304" s="0" t="b">
        <v>0</v>
      </c>
      <c r="S2304" s="0" t="b">
        <v>1</v>
      </c>
      <c r="T2304" s="68">
        <v>45301.2492013889</v>
      </c>
      <c r="U2304" s="68">
        <v>45315.2916666667</v>
      </c>
      <c r="V2304" s="68">
        <v>0</v>
      </c>
      <c r="W2304" s="0">
        <f>IF(IF(B2304="none",1,IF(B2304="Trialer",1,0))+IF(C2304="Customer",1,IF(C2304="Lost",1,0))=2,1,0)</f>
      </c>
      <c r="X2304" s="0" t="s">
        <v>148</v>
      </c>
      <c r="Y2304" s="0" t="s">
        <v>243</v>
      </c>
      <c r="AV2304" s="68"/>
      <c r="AW2304" s="68"/>
      <c r="AY2304" s="27"/>
      <c r="BD2304" s="68">
        <v>46054.1666666667</v>
      </c>
      <c r="BE2304" s="68">
        <v>46082.1666666667</v>
      </c>
      <c r="BF2304" s="0" t="b">
        <v>0</v>
      </c>
      <c r="BG2304" s="0" t="b">
        <v>0</v>
      </c>
      <c r="BH2304" s="0">
        <v>49</v>
      </c>
      <c r="BI2304" s="0">
        <v>49</v>
      </c>
      <c r="BJ2304" s="0" t="s">
        <v>135</v>
      </c>
    </row>
    <row r="2305">
      <c r="A2305" s="0" t="s">
        <v>2544</v>
      </c>
      <c r="B2305" s="0" t="s">
        <v>134</v>
      </c>
      <c r="C2305" s="0" t="s">
        <v>134</v>
      </c>
      <c r="D2305" s="0" t="s">
        <v>230</v>
      </c>
      <c r="E2305" s="0" t="s">
        <v>3</v>
      </c>
      <c r="F2305" s="0" t="s">
        <v>12</v>
      </c>
      <c r="G2305" s="0" t="s">
        <v>8</v>
      </c>
      <c r="H2305" s="0">
        <v>752</v>
      </c>
      <c r="I2305" s="0">
        <v>132.3</v>
      </c>
      <c r="J2305" s="0">
        <v>0</v>
      </c>
      <c r="K2305" s="0">
        <v>1</v>
      </c>
      <c r="L2305" s="0">
        <v>3</v>
      </c>
      <c r="M2305" s="0">
        <v>3</v>
      </c>
      <c r="N2305" s="0">
        <v>0</v>
      </c>
      <c r="O2305" s="0">
        <v>0</v>
      </c>
      <c r="P2305" s="0">
        <v>-132.3</v>
      </c>
      <c r="R2305" s="0" t="b">
        <v>0</v>
      </c>
      <c r="S2305" s="0" t="b">
        <v>1</v>
      </c>
      <c r="T2305" s="68">
        <v>45301.4537384259</v>
      </c>
      <c r="U2305" s="68">
        <v>45315.2916666667</v>
      </c>
      <c r="V2305" s="68">
        <v>0</v>
      </c>
      <c r="W2305" s="0">
        <f>IF(IF(B2305="none",1,IF(B2305="Trialer",1,0))+IF(C2305="Customer",1,IF(C2305="Lost",1,0))=2,1,0)</f>
      </c>
      <c r="X2305" s="0" t="s">
        <v>153</v>
      </c>
      <c r="Y2305" s="0" t="s">
        <v>243</v>
      </c>
      <c r="AV2305" s="68"/>
      <c r="AW2305" s="68"/>
      <c r="AY2305" s="27"/>
      <c r="BD2305" s="68">
        <v>46054.1666666667</v>
      </c>
      <c r="BE2305" s="68">
        <v>46082.1666666667</v>
      </c>
      <c r="BF2305" s="0" t="b">
        <v>0</v>
      </c>
      <c r="BG2305" s="0" t="b">
        <v>0</v>
      </c>
      <c r="BH2305" s="0">
        <v>147</v>
      </c>
      <c r="BI2305" s="0">
        <v>147</v>
      </c>
      <c r="BJ2305" s="0" t="s">
        <v>230</v>
      </c>
    </row>
    <row r="2306">
      <c r="A2306" s="0" t="s">
        <v>2545</v>
      </c>
      <c r="B2306" s="0" t="s">
        <v>134</v>
      </c>
      <c r="C2306" s="0" t="s">
        <v>134</v>
      </c>
      <c r="D2306" s="0" t="s">
        <v>135</v>
      </c>
      <c r="E2306" s="0" t="s">
        <v>3</v>
      </c>
      <c r="F2306" s="0" t="s">
        <v>12</v>
      </c>
      <c r="G2306" s="0" t="s">
        <v>8</v>
      </c>
      <c r="H2306" s="0">
        <v>752</v>
      </c>
      <c r="I2306" s="0">
        <v>49</v>
      </c>
      <c r="J2306" s="0">
        <v>0</v>
      </c>
      <c r="K2306" s="0">
        <v>1</v>
      </c>
      <c r="L2306" s="0">
        <v>3</v>
      </c>
      <c r="M2306" s="0">
        <v>1</v>
      </c>
      <c r="N2306" s="0">
        <v>0</v>
      </c>
      <c r="O2306" s="0">
        <v>0</v>
      </c>
      <c r="P2306" s="0">
        <v>0</v>
      </c>
      <c r="R2306" s="0" t="b">
        <v>0</v>
      </c>
      <c r="S2306" s="0" t="b">
        <v>1</v>
      </c>
      <c r="T2306" s="68">
        <v>45301.4591898148</v>
      </c>
      <c r="U2306" s="68">
        <v>45315.2916666667</v>
      </c>
      <c r="V2306" s="68">
        <v>0</v>
      </c>
      <c r="W2306" s="0">
        <f>IF(IF(B2306="none",1,IF(B2306="Trialer",1,0))+IF(C2306="Customer",1,IF(C2306="Lost",1,0))=2,1,0)</f>
      </c>
      <c r="X2306" s="0" t="s">
        <v>142</v>
      </c>
      <c r="Y2306" s="0" t="s">
        <v>243</v>
      </c>
      <c r="AV2306" s="68"/>
      <c r="AW2306" s="68"/>
      <c r="AY2306" s="27"/>
      <c r="BD2306" s="68">
        <v>46054.1666666667</v>
      </c>
      <c r="BE2306" s="68">
        <v>46082.1666666667</v>
      </c>
      <c r="BF2306" s="0" t="b">
        <v>0</v>
      </c>
      <c r="BG2306" s="0" t="b">
        <v>0</v>
      </c>
      <c r="BH2306" s="0">
        <v>49</v>
      </c>
      <c r="BI2306" s="0">
        <v>49</v>
      </c>
      <c r="BJ2306" s="0" t="s">
        <v>135</v>
      </c>
    </row>
    <row r="2307">
      <c r="A2307" s="0" t="s">
        <v>2546</v>
      </c>
      <c r="B2307" s="0" t="s">
        <v>134</v>
      </c>
      <c r="C2307" s="0" t="s">
        <v>134</v>
      </c>
      <c r="D2307" s="0" t="s">
        <v>135</v>
      </c>
      <c r="E2307" s="0" t="s">
        <v>3</v>
      </c>
      <c r="F2307" s="0" t="s">
        <v>10</v>
      </c>
      <c r="G2307" s="0" t="s">
        <v>8</v>
      </c>
      <c r="H2307" s="0">
        <v>751</v>
      </c>
      <c r="I2307" s="0">
        <v>28</v>
      </c>
      <c r="J2307" s="0">
        <v>0</v>
      </c>
      <c r="K2307" s="0">
        <v>1</v>
      </c>
      <c r="L2307" s="0">
        <v>1</v>
      </c>
      <c r="M2307" s="0">
        <v>1</v>
      </c>
      <c r="N2307" s="0">
        <v>0</v>
      </c>
      <c r="O2307" s="0">
        <v>0</v>
      </c>
      <c r="P2307" s="0">
        <v>0</v>
      </c>
      <c r="Q2307" s="0" t="s">
        <v>618</v>
      </c>
      <c r="R2307" s="0" t="b">
        <v>0</v>
      </c>
      <c r="S2307" s="0" t="b">
        <v>1</v>
      </c>
      <c r="T2307" s="68">
        <v>45302.1616550926</v>
      </c>
      <c r="U2307" s="68">
        <v>45316.2916666667</v>
      </c>
      <c r="V2307" s="68">
        <v>0</v>
      </c>
      <c r="W2307" s="0">
        <f>IF(IF(B2307="none",1,IF(B2307="Trialer",1,0))+IF(C2307="Customer",1,IF(C2307="Lost",1,0))=2,1,0)</f>
      </c>
      <c r="X2307" s="0" t="s">
        <v>148</v>
      </c>
      <c r="Y2307" s="0" t="s">
        <v>243</v>
      </c>
      <c r="AV2307" s="68"/>
      <c r="AW2307" s="68"/>
      <c r="AY2307" s="27"/>
      <c r="BD2307" s="68">
        <v>46054.1666666667</v>
      </c>
      <c r="BE2307" s="68">
        <v>46082.1666666667</v>
      </c>
      <c r="BF2307" s="0" t="b">
        <v>0</v>
      </c>
      <c r="BG2307" s="0" t="b">
        <v>0</v>
      </c>
      <c r="BH2307" s="0">
        <v>28</v>
      </c>
      <c r="BI2307" s="0">
        <v>28</v>
      </c>
      <c r="BJ2307" s="0" t="s">
        <v>135</v>
      </c>
    </row>
    <row r="2308">
      <c r="A2308" s="0" t="s">
        <v>2547</v>
      </c>
      <c r="B2308" s="0" t="s">
        <v>134</v>
      </c>
      <c r="C2308" s="0" t="s">
        <v>134</v>
      </c>
      <c r="D2308" s="0" t="s">
        <v>230</v>
      </c>
      <c r="E2308" s="0" t="s">
        <v>3</v>
      </c>
      <c r="F2308" s="0" t="s">
        <v>12</v>
      </c>
      <c r="G2308" s="0" t="s">
        <v>8</v>
      </c>
      <c r="H2308" s="0">
        <v>751</v>
      </c>
      <c r="I2308" s="0">
        <v>154.8</v>
      </c>
      <c r="J2308" s="0">
        <v>0</v>
      </c>
      <c r="K2308" s="0">
        <v>1</v>
      </c>
      <c r="L2308" s="0">
        <v>3</v>
      </c>
      <c r="M2308" s="0">
        <v>4</v>
      </c>
      <c r="N2308" s="0">
        <v>0</v>
      </c>
      <c r="O2308" s="0">
        <v>0</v>
      </c>
      <c r="P2308" s="0">
        <v>-154.8</v>
      </c>
      <c r="R2308" s="0" t="b">
        <v>0</v>
      </c>
      <c r="S2308" s="0" t="b">
        <v>1</v>
      </c>
      <c r="T2308" s="68">
        <v>45302.4400925926</v>
      </c>
      <c r="U2308" s="68">
        <v>45316.2916666667</v>
      </c>
      <c r="V2308" s="68">
        <v>0</v>
      </c>
      <c r="W2308" s="0">
        <f>IF(IF(B2308="none",1,IF(B2308="Trialer",1,0))+IF(C2308="Customer",1,IF(C2308="Lost",1,0))=2,1,0)</f>
      </c>
      <c r="X2308" s="0" t="s">
        <v>148</v>
      </c>
      <c r="Y2308" s="0" t="s">
        <v>243</v>
      </c>
      <c r="AV2308" s="68"/>
      <c r="AW2308" s="68"/>
      <c r="AY2308" s="27"/>
      <c r="BD2308" s="68">
        <v>46054.1666666667</v>
      </c>
      <c r="BE2308" s="68">
        <v>46082.1666666667</v>
      </c>
      <c r="BF2308" s="0" t="b">
        <v>0</v>
      </c>
      <c r="BG2308" s="0" t="b">
        <v>0</v>
      </c>
      <c r="BH2308" s="0">
        <v>172</v>
      </c>
      <c r="BI2308" s="0">
        <v>172</v>
      </c>
      <c r="BJ2308" s="0" t="s">
        <v>230</v>
      </c>
    </row>
    <row r="2309">
      <c r="A2309" s="0" t="s">
        <v>2548</v>
      </c>
      <c r="B2309" s="0" t="s">
        <v>134</v>
      </c>
      <c r="C2309" s="0" t="s">
        <v>134</v>
      </c>
      <c r="D2309" s="0" t="s">
        <v>230</v>
      </c>
      <c r="E2309" s="0" t="s">
        <v>2</v>
      </c>
      <c r="F2309" s="0" t="s">
        <v>12</v>
      </c>
      <c r="G2309" s="0" t="s">
        <v>8</v>
      </c>
      <c r="H2309" s="0">
        <v>751</v>
      </c>
      <c r="I2309" s="0">
        <v>256.5</v>
      </c>
      <c r="J2309" s="0">
        <v>0</v>
      </c>
      <c r="K2309" s="0">
        <v>1</v>
      </c>
      <c r="L2309" s="0">
        <v>3</v>
      </c>
      <c r="M2309" s="0">
        <v>6</v>
      </c>
      <c r="N2309" s="0">
        <v>0</v>
      </c>
      <c r="O2309" s="0">
        <v>0</v>
      </c>
      <c r="P2309" s="0">
        <v>-256.5</v>
      </c>
      <c r="R2309" s="0" t="b">
        <v>0</v>
      </c>
      <c r="S2309" s="0" t="b">
        <v>1</v>
      </c>
      <c r="T2309" s="68">
        <v>45302.4540509259</v>
      </c>
      <c r="U2309" s="68">
        <v>45307.2916666667</v>
      </c>
      <c r="V2309" s="68">
        <v>0</v>
      </c>
      <c r="W2309" s="0">
        <f>IF(IF(B2309="none",1,IF(B2309="Trialer",1,0))+IF(C2309="Customer",1,IF(C2309="Lost",1,0))=2,1,0)</f>
      </c>
      <c r="X2309" s="0" t="s">
        <v>145</v>
      </c>
      <c r="Y2309" s="0" t="s">
        <v>499</v>
      </c>
      <c r="AV2309" s="68"/>
      <c r="AW2309" s="68"/>
      <c r="AY2309" s="27"/>
      <c r="BD2309" s="68">
        <v>46054.1666666667</v>
      </c>
      <c r="BE2309" s="68">
        <v>46082.1666666667</v>
      </c>
      <c r="BF2309" s="0" t="b">
        <v>0</v>
      </c>
      <c r="BG2309" s="0" t="b">
        <v>0</v>
      </c>
      <c r="BH2309" s="0">
        <v>285</v>
      </c>
      <c r="BI2309" s="0">
        <v>285</v>
      </c>
      <c r="BJ2309" s="0" t="s">
        <v>230</v>
      </c>
    </row>
    <row r="2310">
      <c r="A2310" s="0" t="s">
        <v>2549</v>
      </c>
      <c r="B2310" s="0" t="s">
        <v>134</v>
      </c>
      <c r="C2310" s="0" t="s">
        <v>134</v>
      </c>
      <c r="D2310" s="0" t="s">
        <v>135</v>
      </c>
      <c r="E2310" s="0" t="s">
        <v>3</v>
      </c>
      <c r="F2310" s="0" t="s">
        <v>12</v>
      </c>
      <c r="G2310" s="0" t="s">
        <v>8</v>
      </c>
      <c r="H2310" s="0">
        <v>751</v>
      </c>
      <c r="I2310" s="0">
        <v>345</v>
      </c>
      <c r="J2310" s="0">
        <v>0</v>
      </c>
      <c r="K2310" s="0">
        <v>1</v>
      </c>
      <c r="L2310" s="0">
        <v>3</v>
      </c>
      <c r="M2310" s="0">
        <v>10</v>
      </c>
      <c r="N2310" s="0">
        <v>0</v>
      </c>
      <c r="O2310" s="0">
        <v>0</v>
      </c>
      <c r="P2310" s="0">
        <v>0</v>
      </c>
      <c r="R2310" s="0" t="b">
        <v>0</v>
      </c>
      <c r="S2310" s="0" t="b">
        <v>1</v>
      </c>
      <c r="T2310" s="68">
        <v>45302.5201388889</v>
      </c>
      <c r="U2310" s="68">
        <v>45337.2916666667</v>
      </c>
      <c r="V2310" s="68">
        <v>0</v>
      </c>
      <c r="W2310" s="0">
        <f>IF(IF(B2310="none",1,IF(B2310="Trialer",1,0))+IF(C2310="Customer",1,IF(C2310="Lost",1,0))=2,1,0)</f>
      </c>
      <c r="X2310" s="0" t="s">
        <v>148</v>
      </c>
      <c r="Y2310" s="0" t="s">
        <v>243</v>
      </c>
      <c r="AV2310" s="68"/>
      <c r="AW2310" s="68"/>
      <c r="AY2310" s="27"/>
      <c r="BD2310" s="68">
        <v>46054.1666666667</v>
      </c>
      <c r="BE2310" s="68">
        <v>46082.1666666667</v>
      </c>
      <c r="BF2310" s="0" t="b">
        <v>0</v>
      </c>
      <c r="BG2310" s="0" t="b">
        <v>0</v>
      </c>
      <c r="BH2310" s="0">
        <v>345</v>
      </c>
      <c r="BI2310" s="0">
        <v>345</v>
      </c>
      <c r="BJ2310" s="0" t="s">
        <v>135</v>
      </c>
    </row>
    <row r="2311">
      <c r="A2311" s="0" t="s">
        <v>2550</v>
      </c>
      <c r="B2311" s="0" t="s">
        <v>134</v>
      </c>
      <c r="C2311" s="0" t="s">
        <v>134</v>
      </c>
      <c r="D2311" s="0" t="s">
        <v>135</v>
      </c>
      <c r="E2311" s="0" t="s">
        <v>3</v>
      </c>
      <c r="F2311" s="0" t="s">
        <v>12</v>
      </c>
      <c r="G2311" s="0" t="s">
        <v>8</v>
      </c>
      <c r="H2311" s="0">
        <v>751</v>
      </c>
      <c r="I2311" s="0">
        <v>484</v>
      </c>
      <c r="J2311" s="0">
        <v>0</v>
      </c>
      <c r="K2311" s="0">
        <v>1</v>
      </c>
      <c r="L2311" s="0">
        <v>4</v>
      </c>
      <c r="M2311" s="0">
        <v>3</v>
      </c>
      <c r="N2311" s="0">
        <v>1612</v>
      </c>
      <c r="O2311" s="0">
        <v>-77.5</v>
      </c>
      <c r="P2311" s="0">
        <v>0</v>
      </c>
      <c r="R2311" s="0" t="b">
        <v>0</v>
      </c>
      <c r="S2311" s="0" t="b">
        <v>1</v>
      </c>
      <c r="T2311" s="68">
        <v>45302.5861111111</v>
      </c>
      <c r="U2311" s="68">
        <v>45334.2916666667</v>
      </c>
      <c r="V2311" s="68">
        <v>0</v>
      </c>
      <c r="W2311" s="0">
        <f>IF(IF(B2311="none",1,IF(B2311="Trialer",1,0))+IF(C2311="Customer",1,IF(C2311="Lost",1,0))=2,1,0)</f>
      </c>
      <c r="X2311" s="0" t="s">
        <v>136</v>
      </c>
      <c r="Y2311" s="0" t="s">
        <v>243</v>
      </c>
      <c r="AV2311" s="68"/>
      <c r="AW2311" s="68"/>
      <c r="AY2311" s="27"/>
      <c r="BD2311" s="68">
        <v>46054.1666666667</v>
      </c>
      <c r="BE2311" s="68">
        <v>46082.1666666667</v>
      </c>
      <c r="BF2311" s="0" t="b">
        <v>0</v>
      </c>
      <c r="BG2311" s="0" t="b">
        <v>0</v>
      </c>
      <c r="BH2311" s="0">
        <v>159</v>
      </c>
      <c r="BI2311" s="0">
        <v>159</v>
      </c>
      <c r="BJ2311" s="0" t="s">
        <v>135</v>
      </c>
    </row>
    <row r="2312">
      <c r="A2312" s="0" t="s">
        <v>2551</v>
      </c>
      <c r="B2312" s="0" t="s">
        <v>134</v>
      </c>
      <c r="C2312" s="0" t="s">
        <v>134</v>
      </c>
      <c r="D2312" s="0" t="s">
        <v>230</v>
      </c>
      <c r="E2312" s="0" t="s">
        <v>3</v>
      </c>
      <c r="F2312" s="0" t="s">
        <v>12</v>
      </c>
      <c r="G2312" s="0" t="s">
        <v>8</v>
      </c>
      <c r="H2312" s="0">
        <v>750</v>
      </c>
      <c r="I2312" s="0">
        <v>131.4</v>
      </c>
      <c r="J2312" s="0">
        <v>0</v>
      </c>
      <c r="K2312" s="0">
        <v>1</v>
      </c>
      <c r="L2312" s="0">
        <v>6</v>
      </c>
      <c r="M2312" s="0">
        <v>2</v>
      </c>
      <c r="N2312" s="0">
        <v>0</v>
      </c>
      <c r="O2312" s="0">
        <v>0</v>
      </c>
      <c r="P2312" s="0">
        <v>-131.4</v>
      </c>
      <c r="R2312" s="0" t="b">
        <v>0</v>
      </c>
      <c r="S2312" s="0" t="b">
        <v>1</v>
      </c>
      <c r="T2312" s="68">
        <v>45303.4801273148</v>
      </c>
      <c r="U2312" s="68">
        <v>45317.2916666667</v>
      </c>
      <c r="V2312" s="68">
        <v>0</v>
      </c>
      <c r="W2312" s="0">
        <f>IF(IF(B2312="none",1,IF(B2312="Trialer",1,0))+IF(C2312="Customer",1,IF(C2312="Lost",1,0))=2,1,0)</f>
      </c>
      <c r="X2312" s="0" t="s">
        <v>153</v>
      </c>
      <c r="Y2312" s="0" t="s">
        <v>243</v>
      </c>
      <c r="AV2312" s="68"/>
      <c r="AW2312" s="68"/>
      <c r="AY2312" s="27"/>
      <c r="BD2312" s="68">
        <v>46054.1666666667</v>
      </c>
      <c r="BE2312" s="68">
        <v>46082.1666666667</v>
      </c>
      <c r="BF2312" s="0" t="b">
        <v>0</v>
      </c>
      <c r="BG2312" s="0" t="b">
        <v>0</v>
      </c>
      <c r="BH2312" s="0">
        <v>146</v>
      </c>
      <c r="BI2312" s="0">
        <v>146</v>
      </c>
      <c r="BJ2312" s="0" t="s">
        <v>230</v>
      </c>
    </row>
    <row r="2313">
      <c r="A2313" s="0" t="s">
        <v>2552</v>
      </c>
      <c r="B2313" s="0" t="s">
        <v>134</v>
      </c>
      <c r="C2313" s="0" t="s">
        <v>134</v>
      </c>
      <c r="D2313" s="0" t="s">
        <v>135</v>
      </c>
      <c r="E2313" s="0" t="s">
        <v>2</v>
      </c>
      <c r="F2313" s="0" t="s">
        <v>10</v>
      </c>
      <c r="G2313" s="0" t="s">
        <v>8</v>
      </c>
      <c r="H2313" s="0">
        <v>750</v>
      </c>
      <c r="I2313" s="0">
        <v>862</v>
      </c>
      <c r="J2313" s="0">
        <v>0</v>
      </c>
      <c r="K2313" s="0">
        <v>1</v>
      </c>
      <c r="L2313" s="0">
        <v>4</v>
      </c>
      <c r="M2313" s="0">
        <v>17</v>
      </c>
      <c r="N2313" s="0">
        <v>688.75</v>
      </c>
      <c r="O2313" s="0">
        <v>0</v>
      </c>
      <c r="P2313" s="0">
        <v>0</v>
      </c>
      <c r="Q2313" s="0" t="s">
        <v>2553</v>
      </c>
      <c r="R2313" s="0" t="b">
        <v>0</v>
      </c>
      <c r="S2313" s="0" t="b">
        <v>1</v>
      </c>
      <c r="T2313" s="68">
        <v>45303.5020833333</v>
      </c>
      <c r="U2313" s="68">
        <v>45317.2916666667</v>
      </c>
      <c r="V2313" s="68">
        <v>0</v>
      </c>
      <c r="W2313" s="0">
        <f>IF(IF(B2313="none",1,IF(B2313="Trialer",1,0))+IF(C2313="Customer",1,IF(C2313="Lost",1,0))=2,1,0)</f>
      </c>
      <c r="X2313" s="0" t="s">
        <v>148</v>
      </c>
      <c r="Y2313" s="0" t="s">
        <v>499</v>
      </c>
      <c r="AV2313" s="68"/>
      <c r="AW2313" s="68"/>
      <c r="AY2313" s="27"/>
      <c r="BD2313" s="68">
        <v>46054.1666666667</v>
      </c>
      <c r="BE2313" s="68">
        <v>46082.1666666667</v>
      </c>
      <c r="BF2313" s="0" t="b">
        <v>0</v>
      </c>
      <c r="BG2313" s="0" t="b">
        <v>0</v>
      </c>
      <c r="BH2313" s="0">
        <v>779</v>
      </c>
      <c r="BI2313" s="0">
        <v>779</v>
      </c>
      <c r="BJ2313" s="0" t="s">
        <v>135</v>
      </c>
    </row>
    <row r="2314">
      <c r="A2314" s="0" t="s">
        <v>2554</v>
      </c>
      <c r="B2314" s="0" t="s">
        <v>134</v>
      </c>
      <c r="C2314" s="0" t="s">
        <v>134</v>
      </c>
      <c r="D2314" s="0" t="s">
        <v>135</v>
      </c>
      <c r="E2314" s="0" t="s">
        <v>3</v>
      </c>
      <c r="F2314" s="0" t="s">
        <v>12</v>
      </c>
      <c r="G2314" s="0" t="s">
        <v>8</v>
      </c>
      <c r="H2314" s="0">
        <v>750</v>
      </c>
      <c r="I2314" s="0">
        <v>125</v>
      </c>
      <c r="J2314" s="0">
        <v>0</v>
      </c>
      <c r="K2314" s="0">
        <v>1</v>
      </c>
      <c r="L2314" s="0">
        <v>5</v>
      </c>
      <c r="M2314" s="0">
        <v>2</v>
      </c>
      <c r="N2314" s="0">
        <v>0</v>
      </c>
      <c r="O2314" s="0">
        <v>0</v>
      </c>
      <c r="P2314" s="0">
        <v>0</v>
      </c>
      <c r="R2314" s="0" t="b">
        <v>0</v>
      </c>
      <c r="S2314" s="0" t="b">
        <v>1</v>
      </c>
      <c r="T2314" s="68">
        <v>45303.51875</v>
      </c>
      <c r="U2314" s="68">
        <v>45317.2916666667</v>
      </c>
      <c r="V2314" s="68">
        <v>0</v>
      </c>
      <c r="W2314" s="0">
        <f>IF(IF(B2314="none",1,IF(B2314="Trialer",1,0))+IF(C2314="Customer",1,IF(C2314="Lost",1,0))=2,1,0)</f>
      </c>
      <c r="X2314" s="0" t="s">
        <v>142</v>
      </c>
      <c r="Y2314" s="0" t="s">
        <v>243</v>
      </c>
      <c r="AV2314" s="68"/>
      <c r="AW2314" s="68"/>
      <c r="AY2314" s="27"/>
      <c r="BD2314" s="68">
        <v>46054.1666666667</v>
      </c>
      <c r="BE2314" s="68">
        <v>46082.1666666667</v>
      </c>
      <c r="BF2314" s="0" t="b">
        <v>0</v>
      </c>
      <c r="BG2314" s="0" t="b">
        <v>0</v>
      </c>
      <c r="BH2314" s="0">
        <v>125</v>
      </c>
      <c r="BI2314" s="0">
        <v>125</v>
      </c>
      <c r="BJ2314" s="0" t="s">
        <v>135</v>
      </c>
    </row>
    <row r="2315">
      <c r="A2315" s="0" t="s">
        <v>2555</v>
      </c>
      <c r="B2315" s="0" t="s">
        <v>134</v>
      </c>
      <c r="C2315" s="0" t="s">
        <v>134</v>
      </c>
      <c r="D2315" s="0" t="s">
        <v>230</v>
      </c>
      <c r="E2315" s="0" t="s">
        <v>3</v>
      </c>
      <c r="F2315" s="0" t="s">
        <v>12</v>
      </c>
      <c r="G2315" s="0" t="s">
        <v>8</v>
      </c>
      <c r="H2315" s="0">
        <v>750</v>
      </c>
      <c r="I2315" s="0">
        <v>484.2</v>
      </c>
      <c r="J2315" s="0">
        <v>0</v>
      </c>
      <c r="K2315" s="0">
        <v>1</v>
      </c>
      <c r="L2315" s="0">
        <v>5</v>
      </c>
      <c r="M2315" s="0">
        <v>10</v>
      </c>
      <c r="N2315" s="0">
        <v>0</v>
      </c>
      <c r="O2315" s="0">
        <v>0</v>
      </c>
      <c r="P2315" s="0">
        <v>-484.2</v>
      </c>
      <c r="R2315" s="0" t="b">
        <v>0</v>
      </c>
      <c r="S2315" s="0" t="b">
        <v>1</v>
      </c>
      <c r="T2315" s="68">
        <v>45303.9354166667</v>
      </c>
      <c r="U2315" s="68">
        <v>45317.2916666667</v>
      </c>
      <c r="V2315" s="68">
        <v>0</v>
      </c>
      <c r="W2315" s="0">
        <f>IF(IF(B2315="none",1,IF(B2315="Trialer",1,0))+IF(C2315="Customer",1,IF(C2315="Lost",1,0))=2,1,0)</f>
      </c>
      <c r="X2315" s="0" t="s">
        <v>148</v>
      </c>
      <c r="Y2315" s="0" t="s">
        <v>243</v>
      </c>
      <c r="AV2315" s="68"/>
      <c r="AW2315" s="68"/>
      <c r="AY2315" s="27"/>
      <c r="BD2315" s="68">
        <v>46054.1666666667</v>
      </c>
      <c r="BE2315" s="68">
        <v>46082.1666666667</v>
      </c>
      <c r="BF2315" s="0" t="b">
        <v>0</v>
      </c>
      <c r="BG2315" s="0" t="b">
        <v>0</v>
      </c>
      <c r="BH2315" s="0">
        <v>538</v>
      </c>
      <c r="BI2315" s="0">
        <v>538</v>
      </c>
      <c r="BJ2315" s="0" t="s">
        <v>230</v>
      </c>
    </row>
    <row r="2316">
      <c r="A2316" s="0" t="s">
        <v>2556</v>
      </c>
      <c r="B2316" s="0" t="s">
        <v>134</v>
      </c>
      <c r="C2316" s="0" t="s">
        <v>134</v>
      </c>
      <c r="D2316" s="0" t="s">
        <v>135</v>
      </c>
      <c r="E2316" s="0" t="s">
        <v>3</v>
      </c>
      <c r="F2316" s="0" t="s">
        <v>10</v>
      </c>
      <c r="G2316" s="0" t="s">
        <v>8</v>
      </c>
      <c r="H2316" s="0">
        <v>748</v>
      </c>
      <c r="I2316" s="0">
        <v>0</v>
      </c>
      <c r="J2316" s="0">
        <v>0</v>
      </c>
      <c r="K2316" s="0">
        <v>0</v>
      </c>
      <c r="L2316" s="0">
        <v>0</v>
      </c>
      <c r="M2316" s="0">
        <v>0</v>
      </c>
      <c r="N2316" s="0">
        <v>0</v>
      </c>
      <c r="O2316" s="0">
        <v>0</v>
      </c>
      <c r="P2316" s="0">
        <v>0</v>
      </c>
      <c r="Q2316" s="0" t="s">
        <v>618</v>
      </c>
      <c r="R2316" s="0" t="b">
        <v>0</v>
      </c>
      <c r="S2316" s="0" t="b">
        <v>1</v>
      </c>
      <c r="T2316" s="68">
        <v>45305.2240393519</v>
      </c>
      <c r="U2316" s="68">
        <v>45350.2916666667</v>
      </c>
      <c r="V2316" s="68">
        <v>0</v>
      </c>
      <c r="W2316" s="0">
        <f>IF(IF(B2316="none",1,IF(B2316="Trialer",1,0))+IF(C2316="Customer",1,IF(C2316="Lost",1,0))=2,1,0)</f>
      </c>
      <c r="X2316" s="0" t="s">
        <v>148</v>
      </c>
      <c r="Y2316" s="0" t="s">
        <v>243</v>
      </c>
      <c r="AV2316" s="68"/>
      <c r="AW2316" s="68"/>
      <c r="AY2316" s="27"/>
      <c r="BD2316" s="68">
        <v>46054.1666666667</v>
      </c>
      <c r="BE2316" s="68">
        <v>46082.1666666667</v>
      </c>
      <c r="BF2316" s="0" t="b">
        <v>0</v>
      </c>
      <c r="BG2316" s="0" t="b">
        <v>0</v>
      </c>
      <c r="BH2316" s="0">
        <v>0</v>
      </c>
      <c r="BI2316" s="0">
        <v>0</v>
      </c>
      <c r="BJ2316" s="0" t="s">
        <v>135</v>
      </c>
    </row>
    <row r="2317">
      <c r="A2317" s="0" t="s">
        <v>2557</v>
      </c>
      <c r="B2317" s="0" t="s">
        <v>134</v>
      </c>
      <c r="C2317" s="0" t="s">
        <v>134</v>
      </c>
      <c r="D2317" s="0" t="s">
        <v>230</v>
      </c>
      <c r="E2317" s="0" t="s">
        <v>3</v>
      </c>
      <c r="F2317" s="0" t="s">
        <v>12</v>
      </c>
      <c r="G2317" s="0" t="s">
        <v>8</v>
      </c>
      <c r="H2317" s="0">
        <v>747</v>
      </c>
      <c r="I2317" s="0">
        <v>454.5</v>
      </c>
      <c r="J2317" s="0">
        <v>0</v>
      </c>
      <c r="K2317" s="0">
        <v>1</v>
      </c>
      <c r="L2317" s="0">
        <v>4</v>
      </c>
      <c r="M2317" s="0">
        <v>10</v>
      </c>
      <c r="N2317" s="0">
        <v>0</v>
      </c>
      <c r="O2317" s="0">
        <v>0</v>
      </c>
      <c r="P2317" s="0">
        <v>-454.5</v>
      </c>
      <c r="R2317" s="0" t="b">
        <v>0</v>
      </c>
      <c r="S2317" s="0" t="b">
        <v>1</v>
      </c>
      <c r="T2317" s="68">
        <v>45306.6145833333</v>
      </c>
      <c r="U2317" s="68">
        <v>45325.2916666667</v>
      </c>
      <c r="V2317" s="68">
        <v>0</v>
      </c>
      <c r="W2317" s="0">
        <f>IF(IF(B2317="none",1,IF(B2317="Trialer",1,0))+IF(C2317="Customer",1,IF(C2317="Lost",1,0))=2,1,0)</f>
      </c>
      <c r="X2317" s="0" t="s">
        <v>136</v>
      </c>
      <c r="Y2317" s="0" t="s">
        <v>243</v>
      </c>
      <c r="AV2317" s="68"/>
      <c r="AW2317" s="68"/>
      <c r="AY2317" s="27"/>
      <c r="BD2317" s="68">
        <v>46054.1666666667</v>
      </c>
      <c r="BE2317" s="68">
        <v>46082.1666666667</v>
      </c>
      <c r="BF2317" s="0" t="b">
        <v>0</v>
      </c>
      <c r="BG2317" s="0" t="b">
        <v>0</v>
      </c>
      <c r="BH2317" s="0">
        <v>505</v>
      </c>
      <c r="BI2317" s="0">
        <v>505</v>
      </c>
      <c r="BJ2317" s="0" t="s">
        <v>230</v>
      </c>
    </row>
    <row r="2318">
      <c r="A2318" s="0" t="s">
        <v>2558</v>
      </c>
      <c r="B2318" s="0" t="s">
        <v>134</v>
      </c>
      <c r="C2318" s="0" t="s">
        <v>134</v>
      </c>
      <c r="D2318" s="0" t="s">
        <v>135</v>
      </c>
      <c r="E2318" s="0" t="s">
        <v>3</v>
      </c>
      <c r="F2318" s="0" t="s">
        <v>12</v>
      </c>
      <c r="G2318" s="0" t="s">
        <v>8</v>
      </c>
      <c r="H2318" s="0">
        <v>747</v>
      </c>
      <c r="I2318" s="0">
        <v>374</v>
      </c>
      <c r="J2318" s="0">
        <v>0</v>
      </c>
      <c r="K2318" s="0">
        <v>1</v>
      </c>
      <c r="L2318" s="0">
        <v>3</v>
      </c>
      <c r="M2318" s="0">
        <v>1</v>
      </c>
      <c r="N2318" s="0">
        <v>0</v>
      </c>
      <c r="O2318" s="0">
        <v>0</v>
      </c>
      <c r="P2318" s="0">
        <v>0</v>
      </c>
      <c r="R2318" s="0" t="b">
        <v>0</v>
      </c>
      <c r="S2318" s="0" t="b">
        <v>1</v>
      </c>
      <c r="T2318" s="68">
        <v>45306.712662037</v>
      </c>
      <c r="U2318" s="68">
        <v>45320.2916666667</v>
      </c>
      <c r="V2318" s="68">
        <v>0</v>
      </c>
      <c r="W2318" s="0">
        <f>IF(IF(B2318="none",1,IF(B2318="Trialer",1,0))+IF(C2318="Customer",1,IF(C2318="Lost",1,0))=2,1,0)</f>
      </c>
      <c r="X2318" s="0" t="s">
        <v>136</v>
      </c>
      <c r="Y2318" s="0" t="s">
        <v>243</v>
      </c>
      <c r="AV2318" s="68"/>
      <c r="AW2318" s="68"/>
      <c r="AY2318" s="27"/>
      <c r="BD2318" s="68">
        <v>46054.1666666667</v>
      </c>
      <c r="BE2318" s="68">
        <v>46082.1666666667</v>
      </c>
      <c r="BF2318" s="0" t="b">
        <v>0</v>
      </c>
      <c r="BG2318" s="0" t="b">
        <v>0</v>
      </c>
      <c r="BH2318" s="0">
        <v>49</v>
      </c>
      <c r="BI2318" s="0">
        <v>49</v>
      </c>
      <c r="BJ2318" s="0" t="s">
        <v>135</v>
      </c>
    </row>
    <row r="2319">
      <c r="A2319" s="0" t="s">
        <v>2559</v>
      </c>
      <c r="B2319" s="0" t="s">
        <v>134</v>
      </c>
      <c r="C2319" s="0" t="s">
        <v>134</v>
      </c>
      <c r="D2319" s="0" t="s">
        <v>135</v>
      </c>
      <c r="E2319" s="0" t="s">
        <v>3</v>
      </c>
      <c r="F2319" s="0" t="s">
        <v>12</v>
      </c>
      <c r="G2319" s="0" t="s">
        <v>8</v>
      </c>
      <c r="H2319" s="0">
        <v>745</v>
      </c>
      <c r="I2319" s="0">
        <v>196</v>
      </c>
      <c r="J2319" s="0">
        <v>0</v>
      </c>
      <c r="K2319" s="0">
        <v>1</v>
      </c>
      <c r="L2319" s="0">
        <v>4</v>
      </c>
      <c r="M2319" s="0">
        <v>4</v>
      </c>
      <c r="N2319" s="0">
        <v>0</v>
      </c>
      <c r="O2319" s="0">
        <v>0</v>
      </c>
      <c r="P2319" s="0">
        <v>0</v>
      </c>
      <c r="R2319" s="0" t="b">
        <v>0</v>
      </c>
      <c r="S2319" s="0" t="b">
        <v>1</v>
      </c>
      <c r="T2319" s="68">
        <v>45308.49375</v>
      </c>
      <c r="U2319" s="68">
        <v>45348.2916666667</v>
      </c>
      <c r="V2319" s="68">
        <v>0</v>
      </c>
      <c r="W2319" s="0">
        <f>IF(IF(B2319="none",1,IF(B2319="Trialer",1,0))+IF(C2319="Customer",1,IF(C2319="Lost",1,0))=2,1,0)</f>
      </c>
      <c r="X2319" s="0" t="s">
        <v>136</v>
      </c>
      <c r="Y2319" s="0" t="s">
        <v>243</v>
      </c>
      <c r="AV2319" s="68"/>
      <c r="AW2319" s="68"/>
      <c r="AY2319" s="27"/>
      <c r="BD2319" s="68">
        <v>46054.1666666667</v>
      </c>
      <c r="BE2319" s="68">
        <v>46082.1666666667</v>
      </c>
      <c r="BF2319" s="0" t="b">
        <v>0</v>
      </c>
      <c r="BG2319" s="0" t="b">
        <v>0</v>
      </c>
      <c r="BH2319" s="0">
        <v>196</v>
      </c>
      <c r="BI2319" s="0">
        <v>196</v>
      </c>
      <c r="BJ2319" s="0" t="s">
        <v>135</v>
      </c>
    </row>
    <row r="2320">
      <c r="A2320" s="0" t="s">
        <v>2560</v>
      </c>
      <c r="B2320" s="0" t="s">
        <v>134</v>
      </c>
      <c r="C2320" s="0" t="s">
        <v>134</v>
      </c>
      <c r="D2320" s="0" t="s">
        <v>135</v>
      </c>
      <c r="E2320" s="0" t="s">
        <v>3</v>
      </c>
      <c r="F2320" s="0" t="s">
        <v>12</v>
      </c>
      <c r="G2320" s="0" t="s">
        <v>8</v>
      </c>
      <c r="H2320" s="0">
        <v>745</v>
      </c>
      <c r="I2320" s="0">
        <v>244</v>
      </c>
      <c r="J2320" s="0">
        <v>0</v>
      </c>
      <c r="K2320" s="0">
        <v>1</v>
      </c>
      <c r="L2320" s="0">
        <v>4</v>
      </c>
      <c r="M2320" s="0">
        <v>4</v>
      </c>
      <c r="N2320" s="0">
        <v>0</v>
      </c>
      <c r="O2320" s="0">
        <v>0</v>
      </c>
      <c r="P2320" s="0">
        <v>0</v>
      </c>
      <c r="R2320" s="0" t="b">
        <v>0</v>
      </c>
      <c r="S2320" s="0" t="b">
        <v>1</v>
      </c>
      <c r="T2320" s="68">
        <v>45308.58125</v>
      </c>
      <c r="U2320" s="68">
        <v>45323.2916666667</v>
      </c>
      <c r="V2320" s="68">
        <v>0</v>
      </c>
      <c r="W2320" s="0">
        <f>IF(IF(B2320="none",1,IF(B2320="Trialer",1,0))+IF(C2320="Customer",1,IF(C2320="Lost",1,0))=2,1,0)</f>
      </c>
      <c r="X2320" s="0" t="s">
        <v>148</v>
      </c>
      <c r="Y2320" s="0" t="s">
        <v>243</v>
      </c>
      <c r="AV2320" s="68"/>
      <c r="AW2320" s="68"/>
      <c r="AY2320" s="27"/>
      <c r="BD2320" s="68">
        <v>46054.1666666667</v>
      </c>
      <c r="BE2320" s="68">
        <v>46082.1666666667</v>
      </c>
      <c r="BF2320" s="0" t="b">
        <v>0</v>
      </c>
      <c r="BG2320" s="0" t="b">
        <v>0</v>
      </c>
      <c r="BH2320" s="0">
        <v>244</v>
      </c>
      <c r="BI2320" s="0">
        <v>244</v>
      </c>
      <c r="BJ2320" s="0" t="s">
        <v>135</v>
      </c>
    </row>
    <row r="2321">
      <c r="A2321" s="0" t="s">
        <v>2561</v>
      </c>
      <c r="B2321" s="0" t="s">
        <v>134</v>
      </c>
      <c r="C2321" s="0" t="s">
        <v>134</v>
      </c>
      <c r="D2321" s="0" t="s">
        <v>230</v>
      </c>
      <c r="E2321" s="0" t="s">
        <v>2</v>
      </c>
      <c r="F2321" s="0" t="s">
        <v>12</v>
      </c>
      <c r="G2321" s="0" t="s">
        <v>8</v>
      </c>
      <c r="H2321" s="0">
        <v>745</v>
      </c>
      <c r="I2321" s="0">
        <v>227</v>
      </c>
      <c r="J2321" s="0">
        <v>0</v>
      </c>
      <c r="K2321" s="0">
        <v>1</v>
      </c>
      <c r="L2321" s="0">
        <v>6</v>
      </c>
      <c r="M2321" s="0">
        <v>4</v>
      </c>
      <c r="N2321" s="0">
        <v>0</v>
      </c>
      <c r="O2321" s="0">
        <v>0</v>
      </c>
      <c r="P2321" s="0">
        <v>2497</v>
      </c>
      <c r="R2321" s="0" t="b">
        <v>0</v>
      </c>
      <c r="S2321" s="0" t="b">
        <v>0</v>
      </c>
      <c r="T2321" s="68">
        <v>45308.6631944444</v>
      </c>
      <c r="U2321" s="68">
        <v>45322.2916666667</v>
      </c>
      <c r="V2321" s="68">
        <v>46084.6800694444</v>
      </c>
      <c r="W2321" s="0">
        <f>IF(IF(B2321="none",1,IF(B2321="Trialer",1,0))+IF(C2321="Customer",1,IF(C2321="Lost",1,0))=2,1,0)</f>
      </c>
      <c r="X2321" s="0" t="s">
        <v>148</v>
      </c>
      <c r="Y2321" s="0" t="s">
        <v>499</v>
      </c>
      <c r="AV2321" s="68"/>
      <c r="AW2321" s="68"/>
      <c r="AY2321" s="27"/>
      <c r="BD2321" s="68">
        <v>46054.1666666667</v>
      </c>
      <c r="BE2321" s="68">
        <v>46082.1666666667</v>
      </c>
      <c r="BF2321" s="0" t="b">
        <v>0</v>
      </c>
      <c r="BG2321" s="0" t="b">
        <v>0</v>
      </c>
      <c r="BH2321" s="0">
        <v>259</v>
      </c>
      <c r="BI2321" s="0">
        <v>259</v>
      </c>
      <c r="BJ2321" s="0" t="s">
        <v>135</v>
      </c>
    </row>
    <row r="2322">
      <c r="A2322" s="0" t="s">
        <v>2562</v>
      </c>
      <c r="B2322" s="0" t="s">
        <v>134</v>
      </c>
      <c r="C2322" s="0" t="s">
        <v>134</v>
      </c>
      <c r="D2322" s="0" t="s">
        <v>135</v>
      </c>
      <c r="E2322" s="0" t="s">
        <v>2</v>
      </c>
      <c r="F2322" s="0" t="s">
        <v>12</v>
      </c>
      <c r="G2322" s="0" t="s">
        <v>8</v>
      </c>
      <c r="H2322" s="0">
        <v>744</v>
      </c>
      <c r="I2322" s="0">
        <v>52</v>
      </c>
      <c r="J2322" s="0">
        <v>0</v>
      </c>
      <c r="K2322" s="0">
        <v>1</v>
      </c>
      <c r="L2322" s="0">
        <v>3</v>
      </c>
      <c r="M2322" s="0">
        <v>1</v>
      </c>
      <c r="N2322" s="0">
        <v>0</v>
      </c>
      <c r="O2322" s="0">
        <v>0</v>
      </c>
      <c r="P2322" s="0">
        <v>0</v>
      </c>
      <c r="R2322" s="0" t="b">
        <v>0</v>
      </c>
      <c r="S2322" s="0" t="b">
        <v>1</v>
      </c>
      <c r="T2322" s="68">
        <v>45309.4587615741</v>
      </c>
      <c r="U2322" s="68">
        <v>45323.2916666667</v>
      </c>
      <c r="V2322" s="68">
        <v>0</v>
      </c>
      <c r="W2322" s="0">
        <f>IF(IF(B2322="none",1,IF(B2322="Trialer",1,0))+IF(C2322="Customer",1,IF(C2322="Lost",1,0))=2,1,0)</f>
      </c>
      <c r="X2322" s="0" t="s">
        <v>142</v>
      </c>
      <c r="Y2322" s="0" t="s">
        <v>499</v>
      </c>
      <c r="AV2322" s="68"/>
      <c r="AW2322" s="68"/>
      <c r="AY2322" s="27"/>
      <c r="BD2322" s="68">
        <v>46054.1666666667</v>
      </c>
      <c r="BE2322" s="68">
        <v>46082.1666666667</v>
      </c>
      <c r="BF2322" s="0" t="b">
        <v>0</v>
      </c>
      <c r="BG2322" s="0" t="b">
        <v>0</v>
      </c>
      <c r="BH2322" s="0">
        <v>52</v>
      </c>
      <c r="BI2322" s="0">
        <v>52</v>
      </c>
      <c r="BJ2322" s="0" t="s">
        <v>135</v>
      </c>
    </row>
    <row r="2323">
      <c r="A2323" s="0" t="s">
        <v>2563</v>
      </c>
      <c r="B2323" s="0" t="s">
        <v>134</v>
      </c>
      <c r="C2323" s="0" t="s">
        <v>134</v>
      </c>
      <c r="D2323" s="0" t="s">
        <v>135</v>
      </c>
      <c r="E2323" s="0" t="s">
        <v>3</v>
      </c>
      <c r="F2323" s="0" t="s">
        <v>12</v>
      </c>
      <c r="G2323" s="0" t="s">
        <v>8</v>
      </c>
      <c r="H2323" s="0">
        <v>744</v>
      </c>
      <c r="I2323" s="0">
        <v>126</v>
      </c>
      <c r="J2323" s="0">
        <v>0</v>
      </c>
      <c r="K2323" s="0">
        <v>1</v>
      </c>
      <c r="L2323" s="0">
        <v>3</v>
      </c>
      <c r="M2323" s="0">
        <v>3</v>
      </c>
      <c r="N2323" s="0">
        <v>0</v>
      </c>
      <c r="O2323" s="0">
        <v>0</v>
      </c>
      <c r="P2323" s="0">
        <v>0</v>
      </c>
      <c r="R2323" s="0" t="b">
        <v>0</v>
      </c>
      <c r="S2323" s="0" t="b">
        <v>1</v>
      </c>
      <c r="T2323" s="68">
        <v>45309.4617708333</v>
      </c>
      <c r="U2323" s="68">
        <v>45331.2916666667</v>
      </c>
      <c r="V2323" s="68">
        <v>0</v>
      </c>
      <c r="W2323" s="0">
        <f>IF(IF(B2323="none",1,IF(B2323="Trialer",1,0))+IF(C2323="Customer",1,IF(C2323="Lost",1,0))=2,1,0)</f>
      </c>
      <c r="X2323" s="0" t="s">
        <v>142</v>
      </c>
      <c r="Y2323" s="0" t="s">
        <v>243</v>
      </c>
      <c r="AV2323" s="68"/>
      <c r="AW2323" s="68"/>
      <c r="AY2323" s="27"/>
      <c r="BD2323" s="68">
        <v>46054.1666666667</v>
      </c>
      <c r="BE2323" s="68">
        <v>46082.1666666667</v>
      </c>
      <c r="BF2323" s="0" t="b">
        <v>0</v>
      </c>
      <c r="BG2323" s="0" t="b">
        <v>0</v>
      </c>
      <c r="BH2323" s="0">
        <v>126</v>
      </c>
      <c r="BI2323" s="0">
        <v>126</v>
      </c>
      <c r="BJ2323" s="0" t="s">
        <v>135</v>
      </c>
    </row>
    <row r="2324">
      <c r="A2324" s="0" t="s">
        <v>2564</v>
      </c>
      <c r="B2324" s="0" t="s">
        <v>134</v>
      </c>
      <c r="C2324" s="0" t="s">
        <v>134</v>
      </c>
      <c r="D2324" s="0" t="s">
        <v>135</v>
      </c>
      <c r="E2324" s="0" t="s">
        <v>2</v>
      </c>
      <c r="F2324" s="0" t="s">
        <v>12</v>
      </c>
      <c r="G2324" s="0" t="s">
        <v>7</v>
      </c>
      <c r="H2324" s="0">
        <v>744</v>
      </c>
      <c r="I2324" s="0">
        <v>40</v>
      </c>
      <c r="J2324" s="0">
        <v>0</v>
      </c>
      <c r="K2324" s="0">
        <v>1</v>
      </c>
      <c r="L2324" s="0">
        <v>1</v>
      </c>
      <c r="M2324" s="0">
        <v>1</v>
      </c>
      <c r="N2324" s="0">
        <v>0</v>
      </c>
      <c r="O2324" s="0">
        <v>0</v>
      </c>
      <c r="P2324" s="0">
        <v>0</v>
      </c>
      <c r="R2324" s="0" t="b">
        <v>0</v>
      </c>
      <c r="S2324" s="0" t="b">
        <v>1</v>
      </c>
      <c r="T2324" s="68">
        <v>45309.5</v>
      </c>
      <c r="U2324" s="68">
        <v>45309.2916666667</v>
      </c>
      <c r="V2324" s="68">
        <v>0</v>
      </c>
      <c r="W2324" s="0">
        <f>IF(IF(B2324="none",1,IF(B2324="Trialer",1,0))+IF(C2324="Customer",1,IF(C2324="Lost",1,0))=2,1,0)</f>
      </c>
      <c r="X2324" s="0" t="s">
        <v>145</v>
      </c>
      <c r="Y2324" s="0" t="s">
        <v>137</v>
      </c>
      <c r="AV2324" s="68"/>
      <c r="AW2324" s="68"/>
      <c r="AY2324" s="27"/>
      <c r="BD2324" s="68">
        <v>46054.1666666667</v>
      </c>
      <c r="BE2324" s="68">
        <v>46082.1666666667</v>
      </c>
      <c r="BF2324" s="0" t="b">
        <v>0</v>
      </c>
      <c r="BG2324" s="0" t="b">
        <v>0</v>
      </c>
      <c r="BH2324" s="0">
        <v>40</v>
      </c>
      <c r="BI2324" s="0">
        <v>40</v>
      </c>
      <c r="BJ2324" s="0" t="s">
        <v>135</v>
      </c>
    </row>
    <row r="2325">
      <c r="A2325" s="0" t="s">
        <v>2565</v>
      </c>
      <c r="B2325" s="0" t="s">
        <v>134</v>
      </c>
      <c r="C2325" s="0" t="s">
        <v>134</v>
      </c>
      <c r="D2325" s="0" t="s">
        <v>135</v>
      </c>
      <c r="E2325" s="0" t="s">
        <v>3</v>
      </c>
      <c r="F2325" s="0" t="s">
        <v>10</v>
      </c>
      <c r="G2325" s="0" t="s">
        <v>8</v>
      </c>
      <c r="H2325" s="0">
        <v>743</v>
      </c>
      <c r="I2325" s="0">
        <v>0</v>
      </c>
      <c r="J2325" s="0">
        <v>0</v>
      </c>
      <c r="K2325" s="0">
        <v>0</v>
      </c>
      <c r="L2325" s="0">
        <v>0</v>
      </c>
      <c r="M2325" s="0">
        <v>0</v>
      </c>
      <c r="N2325" s="0">
        <v>0</v>
      </c>
      <c r="O2325" s="0">
        <v>0</v>
      </c>
      <c r="P2325" s="0">
        <v>0</v>
      </c>
      <c r="Q2325" s="0" t="s">
        <v>618</v>
      </c>
      <c r="R2325" s="0" t="b">
        <v>0</v>
      </c>
      <c r="S2325" s="0" t="b">
        <v>1</v>
      </c>
      <c r="T2325" s="68">
        <v>45310.4171296296</v>
      </c>
      <c r="U2325" s="68">
        <v>45324.2916666667</v>
      </c>
      <c r="V2325" s="68">
        <v>0</v>
      </c>
      <c r="W2325" s="0">
        <f>IF(IF(B2325="none",1,IF(B2325="Trialer",1,0))+IF(C2325="Customer",1,IF(C2325="Lost",1,0))=2,1,0)</f>
      </c>
      <c r="X2325" s="0" t="s">
        <v>148</v>
      </c>
      <c r="Y2325" s="0" t="s">
        <v>243</v>
      </c>
      <c r="AV2325" s="68"/>
      <c r="AW2325" s="68"/>
      <c r="AY2325" s="27"/>
      <c r="BD2325" s="68">
        <v>46054.1666666667</v>
      </c>
      <c r="BE2325" s="68">
        <v>46082.1666666667</v>
      </c>
      <c r="BF2325" s="0" t="b">
        <v>0</v>
      </c>
      <c r="BG2325" s="0" t="b">
        <v>0</v>
      </c>
      <c r="BH2325" s="0">
        <v>0</v>
      </c>
      <c r="BI2325" s="0">
        <v>0</v>
      </c>
      <c r="BJ2325" s="0" t="s">
        <v>135</v>
      </c>
    </row>
    <row r="2326">
      <c r="A2326" s="0" t="s">
        <v>2566</v>
      </c>
      <c r="B2326" s="0" t="s">
        <v>134</v>
      </c>
      <c r="C2326" s="0" t="s">
        <v>134</v>
      </c>
      <c r="D2326" s="0" t="s">
        <v>230</v>
      </c>
      <c r="E2326" s="0" t="s">
        <v>3</v>
      </c>
      <c r="F2326" s="0" t="s">
        <v>12</v>
      </c>
      <c r="G2326" s="0" t="s">
        <v>8</v>
      </c>
      <c r="H2326" s="0">
        <v>743</v>
      </c>
      <c r="I2326" s="0">
        <v>726.3</v>
      </c>
      <c r="J2326" s="0">
        <v>0</v>
      </c>
      <c r="K2326" s="0">
        <v>1</v>
      </c>
      <c r="L2326" s="0">
        <v>5</v>
      </c>
      <c r="M2326" s="0">
        <v>15</v>
      </c>
      <c r="N2326" s="0">
        <v>688.75</v>
      </c>
      <c r="O2326" s="0">
        <v>0</v>
      </c>
      <c r="P2326" s="0">
        <v>-726.3</v>
      </c>
      <c r="R2326" s="0" t="b">
        <v>0</v>
      </c>
      <c r="S2326" s="0" t="b">
        <v>1</v>
      </c>
      <c r="T2326" s="68">
        <v>45310.450162037</v>
      </c>
      <c r="U2326" s="68">
        <v>45324.2916666667</v>
      </c>
      <c r="V2326" s="68">
        <v>0</v>
      </c>
      <c r="W2326" s="0">
        <f>IF(IF(B2326="none",1,IF(B2326="Trialer",1,0))+IF(C2326="Customer",1,IF(C2326="Lost",1,0))=2,1,0)</f>
      </c>
      <c r="X2326" s="0" t="s">
        <v>145</v>
      </c>
      <c r="Y2326" s="0" t="s">
        <v>243</v>
      </c>
      <c r="AV2326" s="68"/>
      <c r="AW2326" s="68"/>
      <c r="AY2326" s="27"/>
      <c r="BD2326" s="68">
        <v>46054.1666666667</v>
      </c>
      <c r="BE2326" s="68">
        <v>46082.1666666667</v>
      </c>
      <c r="BF2326" s="0" t="b">
        <v>0</v>
      </c>
      <c r="BG2326" s="0" t="b">
        <v>0</v>
      </c>
      <c r="BH2326" s="0">
        <v>758</v>
      </c>
      <c r="BI2326" s="0">
        <v>758</v>
      </c>
      <c r="BJ2326" s="0" t="s">
        <v>230</v>
      </c>
    </row>
    <row r="2327">
      <c r="A2327" s="0" t="s">
        <v>2567</v>
      </c>
      <c r="B2327" s="0" t="s">
        <v>134</v>
      </c>
      <c r="C2327" s="0" t="s">
        <v>134</v>
      </c>
      <c r="D2327" s="0" t="s">
        <v>230</v>
      </c>
      <c r="E2327" s="0" t="s">
        <v>3</v>
      </c>
      <c r="F2327" s="0" t="s">
        <v>12</v>
      </c>
      <c r="G2327" s="0" t="s">
        <v>8</v>
      </c>
      <c r="H2327" s="0">
        <v>743</v>
      </c>
      <c r="I2327" s="0">
        <v>176</v>
      </c>
      <c r="J2327" s="0">
        <v>0</v>
      </c>
      <c r="K2327" s="0">
        <v>1</v>
      </c>
      <c r="L2327" s="0">
        <v>3</v>
      </c>
      <c r="M2327" s="0">
        <v>4</v>
      </c>
      <c r="N2327" s="0">
        <v>0</v>
      </c>
      <c r="O2327" s="0">
        <v>0</v>
      </c>
      <c r="P2327" s="0">
        <v>1936</v>
      </c>
      <c r="R2327" s="0" t="b">
        <v>0</v>
      </c>
      <c r="S2327" s="0" t="b">
        <v>1</v>
      </c>
      <c r="T2327" s="68">
        <v>45310.5405787037</v>
      </c>
      <c r="U2327" s="68">
        <v>45330.2916666667</v>
      </c>
      <c r="V2327" s="68">
        <v>0</v>
      </c>
      <c r="W2327" s="0">
        <f>IF(IF(B2327="none",1,IF(B2327="Trialer",1,0))+IF(C2327="Customer",1,IF(C2327="Lost",1,0))=2,1,0)</f>
      </c>
      <c r="X2327" s="0" t="s">
        <v>148</v>
      </c>
      <c r="Y2327" s="0" t="s">
        <v>1792</v>
      </c>
      <c r="AV2327" s="68"/>
      <c r="AW2327" s="68"/>
      <c r="AY2327" s="27"/>
      <c r="BD2327" s="68">
        <v>46054.1666666667</v>
      </c>
      <c r="BE2327" s="68">
        <v>46082.1666666667</v>
      </c>
      <c r="BF2327" s="0" t="b">
        <v>0</v>
      </c>
      <c r="BG2327" s="0" t="b">
        <v>0</v>
      </c>
      <c r="BH2327" s="0">
        <v>196</v>
      </c>
      <c r="BI2327" s="0">
        <v>196</v>
      </c>
      <c r="BJ2327" s="0" t="s">
        <v>230</v>
      </c>
    </row>
    <row r="2328">
      <c r="A2328" s="0" t="s">
        <v>2568</v>
      </c>
      <c r="B2328" s="0" t="s">
        <v>134</v>
      </c>
      <c r="C2328" s="0" t="s">
        <v>134</v>
      </c>
      <c r="D2328" s="0" t="s">
        <v>230</v>
      </c>
      <c r="E2328" s="0" t="s">
        <v>3</v>
      </c>
      <c r="F2328" s="0" t="s">
        <v>12</v>
      </c>
      <c r="G2328" s="0" t="s">
        <v>8</v>
      </c>
      <c r="H2328" s="0">
        <v>743</v>
      </c>
      <c r="I2328" s="0">
        <v>66</v>
      </c>
      <c r="J2328" s="0">
        <v>0</v>
      </c>
      <c r="K2328" s="0">
        <v>1</v>
      </c>
      <c r="L2328" s="0">
        <v>2</v>
      </c>
      <c r="M2328" s="0">
        <v>2</v>
      </c>
      <c r="N2328" s="0">
        <v>0</v>
      </c>
      <c r="O2328" s="0">
        <v>0</v>
      </c>
      <c r="P2328" s="0">
        <v>-66</v>
      </c>
      <c r="R2328" s="0" t="b">
        <v>0</v>
      </c>
      <c r="S2328" s="0" t="b">
        <v>1</v>
      </c>
      <c r="T2328" s="68">
        <v>45310.7453935185</v>
      </c>
      <c r="U2328" s="68">
        <v>45324.2916666667</v>
      </c>
      <c r="V2328" s="68">
        <v>0</v>
      </c>
      <c r="W2328" s="0">
        <f>IF(IF(B2328="none",1,IF(B2328="Trialer",1,0))+IF(C2328="Customer",1,IF(C2328="Lost",1,0))=2,1,0)</f>
      </c>
      <c r="X2328" s="0" t="s">
        <v>142</v>
      </c>
      <c r="Y2328" s="0" t="s">
        <v>243</v>
      </c>
      <c r="AV2328" s="68"/>
      <c r="AW2328" s="68"/>
      <c r="AY2328" s="27"/>
      <c r="BD2328" s="68">
        <v>46054.1666666667</v>
      </c>
      <c r="BE2328" s="68">
        <v>46082.1666666667</v>
      </c>
      <c r="BF2328" s="0" t="b">
        <v>0</v>
      </c>
      <c r="BG2328" s="0" t="b">
        <v>0</v>
      </c>
      <c r="BH2328" s="0">
        <v>74</v>
      </c>
      <c r="BI2328" s="0">
        <v>74</v>
      </c>
      <c r="BJ2328" s="0" t="s">
        <v>230</v>
      </c>
    </row>
    <row r="2329">
      <c r="A2329" s="0" t="s">
        <v>2569</v>
      </c>
      <c r="B2329" s="0" t="s">
        <v>134</v>
      </c>
      <c r="C2329" s="0" t="s">
        <v>134</v>
      </c>
      <c r="D2329" s="0" t="s">
        <v>135</v>
      </c>
      <c r="E2329" s="0" t="s">
        <v>3</v>
      </c>
      <c r="F2329" s="0" t="s">
        <v>12</v>
      </c>
      <c r="G2329" s="0" t="s">
        <v>8</v>
      </c>
      <c r="H2329" s="0">
        <v>743</v>
      </c>
      <c r="I2329" s="0">
        <v>52</v>
      </c>
      <c r="J2329" s="0">
        <v>0</v>
      </c>
      <c r="K2329" s="0">
        <v>1</v>
      </c>
      <c r="L2329" s="0">
        <v>3</v>
      </c>
      <c r="M2329" s="0">
        <v>1</v>
      </c>
      <c r="N2329" s="0">
        <v>0</v>
      </c>
      <c r="O2329" s="0">
        <v>0</v>
      </c>
      <c r="P2329" s="0">
        <v>0</v>
      </c>
      <c r="R2329" s="0" t="b">
        <v>0</v>
      </c>
      <c r="S2329" s="0" t="b">
        <v>1</v>
      </c>
      <c r="T2329" s="68">
        <v>45310.8562962963</v>
      </c>
      <c r="U2329" s="68">
        <v>45325.2916666667</v>
      </c>
      <c r="V2329" s="68">
        <v>0</v>
      </c>
      <c r="W2329" s="0">
        <f>IF(IF(B2329="none",1,IF(B2329="Trialer",1,0))+IF(C2329="Customer",1,IF(C2329="Lost",1,0))=2,1,0)</f>
      </c>
      <c r="X2329" s="0" t="s">
        <v>142</v>
      </c>
      <c r="Y2329" s="0" t="s">
        <v>243</v>
      </c>
      <c r="AV2329" s="68"/>
      <c r="AW2329" s="68"/>
      <c r="AY2329" s="27"/>
      <c r="BD2329" s="68">
        <v>46054.1666666667</v>
      </c>
      <c r="BE2329" s="68">
        <v>46082.1666666667</v>
      </c>
      <c r="BF2329" s="0" t="b">
        <v>0</v>
      </c>
      <c r="BG2329" s="0" t="b">
        <v>0</v>
      </c>
      <c r="BH2329" s="0">
        <v>28</v>
      </c>
      <c r="BI2329" s="0">
        <v>28</v>
      </c>
      <c r="BJ2329" s="0" t="s">
        <v>135</v>
      </c>
    </row>
    <row r="2330">
      <c r="A2330" s="0" t="s">
        <v>2570</v>
      </c>
      <c r="B2330" s="0" t="s">
        <v>134</v>
      </c>
      <c r="C2330" s="0" t="s">
        <v>134</v>
      </c>
      <c r="D2330" s="0" t="s">
        <v>135</v>
      </c>
      <c r="E2330" s="0" t="s">
        <v>3</v>
      </c>
      <c r="F2330" s="0" t="s">
        <v>12</v>
      </c>
      <c r="G2330" s="0" t="s">
        <v>8</v>
      </c>
      <c r="H2330" s="0">
        <v>740</v>
      </c>
      <c r="I2330" s="0">
        <v>432</v>
      </c>
      <c r="J2330" s="0">
        <v>0</v>
      </c>
      <c r="K2330" s="0">
        <v>1</v>
      </c>
      <c r="L2330" s="0">
        <v>4</v>
      </c>
      <c r="M2330" s="0">
        <v>9</v>
      </c>
      <c r="N2330" s="0">
        <v>0</v>
      </c>
      <c r="O2330" s="0">
        <v>0</v>
      </c>
      <c r="P2330" s="0">
        <v>0</v>
      </c>
      <c r="R2330" s="0" t="b">
        <v>0</v>
      </c>
      <c r="S2330" s="0" t="b">
        <v>1</v>
      </c>
      <c r="T2330" s="68">
        <v>45313.1401967593</v>
      </c>
      <c r="U2330" s="68">
        <v>45328.2916666667</v>
      </c>
      <c r="V2330" s="68">
        <v>0</v>
      </c>
      <c r="W2330" s="0">
        <f>IF(IF(B2330="none",1,IF(B2330="Trialer",1,0))+IF(C2330="Customer",1,IF(C2330="Lost",1,0))=2,1,0)</f>
      </c>
      <c r="X2330" s="0" t="s">
        <v>148</v>
      </c>
      <c r="Y2330" s="0" t="s">
        <v>243</v>
      </c>
      <c r="AV2330" s="68"/>
      <c r="AW2330" s="68"/>
      <c r="AY2330" s="27"/>
      <c r="BD2330" s="68">
        <v>46054.1666666667</v>
      </c>
      <c r="BE2330" s="68">
        <v>46082.1666666667</v>
      </c>
      <c r="BF2330" s="0" t="b">
        <v>0</v>
      </c>
      <c r="BG2330" s="0" t="b">
        <v>0</v>
      </c>
      <c r="BH2330" s="0">
        <v>432</v>
      </c>
      <c r="BI2330" s="0">
        <v>432</v>
      </c>
      <c r="BJ2330" s="0" t="s">
        <v>135</v>
      </c>
    </row>
    <row r="2331">
      <c r="A2331" s="0" t="s">
        <v>2571</v>
      </c>
      <c r="B2331" s="0" t="s">
        <v>134</v>
      </c>
      <c r="C2331" s="0" t="s">
        <v>134</v>
      </c>
      <c r="D2331" s="0" t="s">
        <v>135</v>
      </c>
      <c r="E2331" s="0" t="s">
        <v>3</v>
      </c>
      <c r="F2331" s="0" t="s">
        <v>12</v>
      </c>
      <c r="G2331" s="0" t="s">
        <v>8</v>
      </c>
      <c r="H2331" s="0">
        <v>740</v>
      </c>
      <c r="I2331" s="0">
        <v>588</v>
      </c>
      <c r="J2331" s="0">
        <v>0</v>
      </c>
      <c r="K2331" s="0">
        <v>1</v>
      </c>
      <c r="L2331" s="0">
        <v>5</v>
      </c>
      <c r="M2331" s="0">
        <v>5</v>
      </c>
      <c r="N2331" s="0">
        <v>0</v>
      </c>
      <c r="O2331" s="0">
        <v>0</v>
      </c>
      <c r="P2331" s="0">
        <v>0</v>
      </c>
      <c r="R2331" s="0" t="b">
        <v>0</v>
      </c>
      <c r="S2331" s="0" t="b">
        <v>1</v>
      </c>
      <c r="T2331" s="68">
        <v>45313.4372916667</v>
      </c>
      <c r="U2331" s="68">
        <v>45327.2916666667</v>
      </c>
      <c r="V2331" s="68">
        <v>0</v>
      </c>
      <c r="W2331" s="0">
        <f>IF(IF(B2331="none",1,IF(B2331="Trialer",1,0))+IF(C2331="Customer",1,IF(C2331="Lost",1,0))=2,1,0)</f>
      </c>
      <c r="X2331" s="0" t="s">
        <v>148</v>
      </c>
      <c r="Y2331" s="0" t="s">
        <v>243</v>
      </c>
      <c r="AV2331" s="68"/>
      <c r="AW2331" s="68"/>
      <c r="AY2331" s="27"/>
      <c r="BD2331" s="68">
        <v>46054.1666666667</v>
      </c>
      <c r="BE2331" s="68">
        <v>46082.1666666667</v>
      </c>
      <c r="BF2331" s="0" t="b">
        <v>0</v>
      </c>
      <c r="BG2331" s="0" t="b">
        <v>0</v>
      </c>
      <c r="BH2331" s="0">
        <v>263</v>
      </c>
      <c r="BI2331" s="0">
        <v>263</v>
      </c>
      <c r="BJ2331" s="0" t="s">
        <v>135</v>
      </c>
    </row>
    <row r="2332">
      <c r="A2332" s="0" t="s">
        <v>2572</v>
      </c>
      <c r="B2332" s="0" t="s">
        <v>134</v>
      </c>
      <c r="C2332" s="0" t="s">
        <v>134</v>
      </c>
      <c r="D2332" s="0" t="s">
        <v>230</v>
      </c>
      <c r="E2332" s="0" t="s">
        <v>3</v>
      </c>
      <c r="F2332" s="0" t="s">
        <v>12</v>
      </c>
      <c r="G2332" s="0" t="s">
        <v>8</v>
      </c>
      <c r="H2332" s="0">
        <v>740</v>
      </c>
      <c r="I2332" s="0">
        <v>54</v>
      </c>
      <c r="J2332" s="0">
        <v>0</v>
      </c>
      <c r="K2332" s="0">
        <v>1</v>
      </c>
      <c r="L2332" s="0">
        <v>4</v>
      </c>
      <c r="M2332" s="0">
        <v>1</v>
      </c>
      <c r="N2332" s="0">
        <v>0</v>
      </c>
      <c r="O2332" s="0">
        <v>0</v>
      </c>
      <c r="P2332" s="0">
        <v>-54</v>
      </c>
      <c r="R2332" s="0" t="b">
        <v>0</v>
      </c>
      <c r="S2332" s="0" t="b">
        <v>1</v>
      </c>
      <c r="T2332" s="68">
        <v>45313.5131944444</v>
      </c>
      <c r="U2332" s="68">
        <v>45327.2916666667</v>
      </c>
      <c r="V2332" s="68">
        <v>0</v>
      </c>
      <c r="W2332" s="0">
        <f>IF(IF(B2332="none",1,IF(B2332="Trialer",1,0))+IF(C2332="Customer",1,IF(C2332="Lost",1,0))=2,1,0)</f>
      </c>
      <c r="X2332" s="0" t="s">
        <v>166</v>
      </c>
      <c r="Y2332" s="0" t="s">
        <v>243</v>
      </c>
      <c r="AV2332" s="68"/>
      <c r="AW2332" s="68"/>
      <c r="AY2332" s="27"/>
      <c r="BD2332" s="68">
        <v>46054.1666666667</v>
      </c>
      <c r="BE2332" s="68">
        <v>46082.1666666667</v>
      </c>
      <c r="BF2332" s="0" t="b">
        <v>0</v>
      </c>
      <c r="BG2332" s="0" t="b">
        <v>0</v>
      </c>
      <c r="BH2332" s="0">
        <v>61</v>
      </c>
      <c r="BI2332" s="0">
        <v>61</v>
      </c>
      <c r="BJ2332" s="0" t="s">
        <v>230</v>
      </c>
    </row>
    <row r="2333">
      <c r="A2333" s="0" t="s">
        <v>2573</v>
      </c>
      <c r="B2333" s="0" t="s">
        <v>134</v>
      </c>
      <c r="C2333" s="0" t="s">
        <v>134</v>
      </c>
      <c r="D2333" s="0" t="s">
        <v>135</v>
      </c>
      <c r="E2333" s="0" t="s">
        <v>3</v>
      </c>
      <c r="F2333" s="0" t="s">
        <v>12</v>
      </c>
      <c r="G2333" s="0" t="s">
        <v>8</v>
      </c>
      <c r="H2333" s="0">
        <v>740</v>
      </c>
      <c r="I2333" s="0">
        <v>49</v>
      </c>
      <c r="J2333" s="0">
        <v>0</v>
      </c>
      <c r="K2333" s="0">
        <v>1</v>
      </c>
      <c r="L2333" s="0">
        <v>3</v>
      </c>
      <c r="M2333" s="0">
        <v>1</v>
      </c>
      <c r="N2333" s="0">
        <v>0</v>
      </c>
      <c r="O2333" s="0">
        <v>0</v>
      </c>
      <c r="P2333" s="0">
        <v>0</v>
      </c>
      <c r="R2333" s="0" t="b">
        <v>0</v>
      </c>
      <c r="S2333" s="0" t="b">
        <v>1</v>
      </c>
      <c r="T2333" s="68">
        <v>45313.8086805556</v>
      </c>
      <c r="U2333" s="68">
        <v>45327.2916666667</v>
      </c>
      <c r="V2333" s="68">
        <v>0</v>
      </c>
      <c r="W2333" s="0">
        <f>IF(IF(B2333="none",1,IF(B2333="Trialer",1,0))+IF(C2333="Customer",1,IF(C2333="Lost",1,0))=2,1,0)</f>
      </c>
      <c r="X2333" s="0" t="s">
        <v>142</v>
      </c>
      <c r="Y2333" s="0" t="s">
        <v>243</v>
      </c>
      <c r="AV2333" s="68"/>
      <c r="AW2333" s="68"/>
      <c r="AY2333" s="27"/>
      <c r="BD2333" s="68">
        <v>46054.1666666667</v>
      </c>
      <c r="BE2333" s="68">
        <v>46082.1666666667</v>
      </c>
      <c r="BF2333" s="0" t="b">
        <v>0</v>
      </c>
      <c r="BG2333" s="0" t="b">
        <v>0</v>
      </c>
      <c r="BH2333" s="0">
        <v>49</v>
      </c>
      <c r="BI2333" s="0">
        <v>49</v>
      </c>
      <c r="BJ2333" s="0" t="s">
        <v>135</v>
      </c>
    </row>
    <row r="2334">
      <c r="A2334" s="0" t="s">
        <v>2574</v>
      </c>
      <c r="B2334" s="0" t="s">
        <v>134</v>
      </c>
      <c r="C2334" s="0" t="s">
        <v>134</v>
      </c>
      <c r="D2334" s="0" t="s">
        <v>135</v>
      </c>
      <c r="E2334" s="0" t="s">
        <v>3</v>
      </c>
      <c r="F2334" s="0" t="s">
        <v>12</v>
      </c>
      <c r="G2334" s="0" t="s">
        <v>8</v>
      </c>
      <c r="H2334" s="0">
        <v>739</v>
      </c>
      <c r="I2334" s="0">
        <v>263</v>
      </c>
      <c r="J2334" s="0">
        <v>0</v>
      </c>
      <c r="K2334" s="0">
        <v>1</v>
      </c>
      <c r="L2334" s="0">
        <v>4</v>
      </c>
      <c r="M2334" s="0">
        <v>5</v>
      </c>
      <c r="N2334" s="0">
        <v>0</v>
      </c>
      <c r="O2334" s="0">
        <v>0</v>
      </c>
      <c r="P2334" s="0">
        <v>0</v>
      </c>
      <c r="R2334" s="0" t="b">
        <v>0</v>
      </c>
      <c r="S2334" s="0" t="b">
        <v>1</v>
      </c>
      <c r="T2334" s="68">
        <v>45314.4817708333</v>
      </c>
      <c r="U2334" s="68">
        <v>45328.2916666667</v>
      </c>
      <c r="V2334" s="68">
        <v>0</v>
      </c>
      <c r="W2334" s="0">
        <f>IF(IF(B2334="none",1,IF(B2334="Trialer",1,0))+IF(C2334="Customer",1,IF(C2334="Lost",1,0))=2,1,0)</f>
      </c>
      <c r="X2334" s="0" t="s">
        <v>148</v>
      </c>
      <c r="Y2334" s="0" t="s">
        <v>243</v>
      </c>
      <c r="AV2334" s="68"/>
      <c r="AW2334" s="68"/>
      <c r="AY2334" s="27"/>
      <c r="BD2334" s="68">
        <v>46054.1666666667</v>
      </c>
      <c r="BE2334" s="68">
        <v>46082.1666666667</v>
      </c>
      <c r="BF2334" s="0" t="b">
        <v>0</v>
      </c>
      <c r="BG2334" s="0" t="b">
        <v>0</v>
      </c>
      <c r="BH2334" s="0">
        <v>263</v>
      </c>
      <c r="BI2334" s="0">
        <v>263</v>
      </c>
      <c r="BJ2334" s="0" t="s">
        <v>135</v>
      </c>
    </row>
    <row r="2335">
      <c r="A2335" s="0" t="s">
        <v>2575</v>
      </c>
      <c r="B2335" s="0" t="s">
        <v>134</v>
      </c>
      <c r="C2335" s="0" t="s">
        <v>134</v>
      </c>
      <c r="D2335" s="0" t="s">
        <v>230</v>
      </c>
      <c r="E2335" s="0" t="s">
        <v>3</v>
      </c>
      <c r="F2335" s="0" t="s">
        <v>12</v>
      </c>
      <c r="G2335" s="0" t="s">
        <v>8</v>
      </c>
      <c r="H2335" s="0">
        <v>739</v>
      </c>
      <c r="I2335" s="0">
        <v>44</v>
      </c>
      <c r="J2335" s="0">
        <v>0</v>
      </c>
      <c r="K2335" s="0">
        <v>1</v>
      </c>
      <c r="L2335" s="0">
        <v>3</v>
      </c>
      <c r="M2335" s="0">
        <v>1</v>
      </c>
      <c r="N2335" s="0">
        <v>0</v>
      </c>
      <c r="O2335" s="0">
        <v>0</v>
      </c>
      <c r="P2335" s="0">
        <v>-44</v>
      </c>
      <c r="R2335" s="0" t="b">
        <v>0</v>
      </c>
      <c r="S2335" s="0" t="b">
        <v>1</v>
      </c>
      <c r="T2335" s="68">
        <v>45314.8549421296</v>
      </c>
      <c r="U2335" s="68">
        <v>45328.2916666667</v>
      </c>
      <c r="V2335" s="68">
        <v>0</v>
      </c>
      <c r="W2335" s="0">
        <f>IF(IF(B2335="none",1,IF(B2335="Trialer",1,0))+IF(C2335="Customer",1,IF(C2335="Lost",1,0))=2,1,0)</f>
      </c>
      <c r="X2335" s="0" t="s">
        <v>142</v>
      </c>
      <c r="Y2335" s="0" t="s">
        <v>243</v>
      </c>
      <c r="AV2335" s="68"/>
      <c r="AW2335" s="68"/>
      <c r="AY2335" s="27"/>
      <c r="BD2335" s="68">
        <v>46054.1666666667</v>
      </c>
      <c r="BE2335" s="68">
        <v>46082.1666666667</v>
      </c>
      <c r="BF2335" s="0" t="b">
        <v>0</v>
      </c>
      <c r="BG2335" s="0" t="b">
        <v>0</v>
      </c>
      <c r="BH2335" s="0">
        <v>49</v>
      </c>
      <c r="BI2335" s="0">
        <v>49</v>
      </c>
      <c r="BJ2335" s="0" t="s">
        <v>230</v>
      </c>
    </row>
    <row r="2336">
      <c r="A2336" s="0" t="s">
        <v>2576</v>
      </c>
      <c r="B2336" s="0" t="s">
        <v>134</v>
      </c>
      <c r="C2336" s="0" t="s">
        <v>134</v>
      </c>
      <c r="D2336" s="0" t="s">
        <v>135</v>
      </c>
      <c r="E2336" s="0" t="s">
        <v>2</v>
      </c>
      <c r="F2336" s="0" t="s">
        <v>12</v>
      </c>
      <c r="G2336" s="0" t="s">
        <v>8</v>
      </c>
      <c r="H2336" s="0">
        <v>738</v>
      </c>
      <c r="I2336" s="0">
        <v>147</v>
      </c>
      <c r="J2336" s="0">
        <v>0</v>
      </c>
      <c r="K2336" s="0">
        <v>1</v>
      </c>
      <c r="L2336" s="0">
        <v>3</v>
      </c>
      <c r="M2336" s="0">
        <v>3</v>
      </c>
      <c r="N2336" s="0">
        <v>0</v>
      </c>
      <c r="O2336" s="0">
        <v>0</v>
      </c>
      <c r="P2336" s="0">
        <v>0</v>
      </c>
      <c r="R2336" s="0" t="b">
        <v>0</v>
      </c>
      <c r="S2336" s="0" t="b">
        <v>1</v>
      </c>
      <c r="T2336" s="68">
        <v>45315.3529166667</v>
      </c>
      <c r="U2336" s="68">
        <v>45329.2916666667</v>
      </c>
      <c r="V2336" s="68">
        <v>0</v>
      </c>
      <c r="W2336" s="0">
        <f>IF(IF(B2336="none",1,IF(B2336="Trialer",1,0))+IF(C2336="Customer",1,IF(C2336="Lost",1,0))=2,1,0)</f>
      </c>
      <c r="X2336" s="0" t="s">
        <v>145</v>
      </c>
      <c r="Y2336" s="0" t="s">
        <v>499</v>
      </c>
      <c r="AV2336" s="68"/>
      <c r="AW2336" s="68"/>
      <c r="AY2336" s="27"/>
      <c r="BD2336" s="68">
        <v>46054.1666666667</v>
      </c>
      <c r="BE2336" s="68">
        <v>46082.1666666667</v>
      </c>
      <c r="BF2336" s="0" t="b">
        <v>0</v>
      </c>
      <c r="BG2336" s="0" t="b">
        <v>0</v>
      </c>
      <c r="BH2336" s="0">
        <v>147</v>
      </c>
      <c r="BI2336" s="0">
        <v>147</v>
      </c>
      <c r="BJ2336" s="0" t="s">
        <v>135</v>
      </c>
    </row>
    <row r="2337">
      <c r="A2337" s="0" t="s">
        <v>2577</v>
      </c>
      <c r="B2337" s="0" t="s">
        <v>134</v>
      </c>
      <c r="C2337" s="0" t="s">
        <v>134</v>
      </c>
      <c r="D2337" s="0" t="s">
        <v>230</v>
      </c>
      <c r="E2337" s="0" t="s">
        <v>3</v>
      </c>
      <c r="F2337" s="0" t="s">
        <v>12</v>
      </c>
      <c r="G2337" s="0" t="s">
        <v>8</v>
      </c>
      <c r="H2337" s="0">
        <v>737</v>
      </c>
      <c r="I2337" s="0">
        <v>25</v>
      </c>
      <c r="J2337" s="0">
        <v>0</v>
      </c>
      <c r="K2337" s="0">
        <v>1</v>
      </c>
      <c r="L2337" s="0">
        <v>1</v>
      </c>
      <c r="M2337" s="0">
        <v>1</v>
      </c>
      <c r="N2337" s="0">
        <v>0</v>
      </c>
      <c r="O2337" s="0">
        <v>0</v>
      </c>
      <c r="P2337" s="0">
        <v>-25</v>
      </c>
      <c r="R2337" s="0" t="b">
        <v>0</v>
      </c>
      <c r="S2337" s="0" t="b">
        <v>1</v>
      </c>
      <c r="T2337" s="68">
        <v>45316.4394444444</v>
      </c>
      <c r="U2337" s="68">
        <v>45355.2916666667</v>
      </c>
      <c r="V2337" s="68">
        <v>0</v>
      </c>
      <c r="W2337" s="0">
        <f>IF(IF(B2337="none",1,IF(B2337="Trialer",1,0))+IF(C2337="Customer",1,IF(C2337="Lost",1,0))=2,1,0)</f>
      </c>
      <c r="X2337" s="0" t="s">
        <v>153</v>
      </c>
      <c r="Y2337" s="0" t="s">
        <v>487</v>
      </c>
      <c r="AV2337" s="68"/>
      <c r="AW2337" s="68"/>
      <c r="AY2337" s="27"/>
      <c r="BD2337" s="68">
        <v>46054.1666666667</v>
      </c>
      <c r="BE2337" s="68">
        <v>46082.1666666667</v>
      </c>
      <c r="BF2337" s="0" t="b">
        <v>0</v>
      </c>
      <c r="BG2337" s="0" t="b">
        <v>0</v>
      </c>
      <c r="BH2337" s="0">
        <v>28</v>
      </c>
      <c r="BI2337" s="0">
        <v>28</v>
      </c>
      <c r="BJ2337" s="0" t="s">
        <v>230</v>
      </c>
    </row>
    <row r="2338">
      <c r="A2338" s="0" t="s">
        <v>2578</v>
      </c>
      <c r="B2338" s="0" t="s">
        <v>134</v>
      </c>
      <c r="C2338" s="0" t="s">
        <v>134</v>
      </c>
      <c r="D2338" s="0" t="s">
        <v>135</v>
      </c>
      <c r="E2338" s="0" t="s">
        <v>3</v>
      </c>
      <c r="F2338" s="0" t="s">
        <v>12</v>
      </c>
      <c r="G2338" s="0" t="s">
        <v>8</v>
      </c>
      <c r="H2338" s="0">
        <v>737</v>
      </c>
      <c r="I2338" s="0">
        <v>28</v>
      </c>
      <c r="J2338" s="0">
        <v>0</v>
      </c>
      <c r="K2338" s="0">
        <v>1</v>
      </c>
      <c r="L2338" s="0">
        <v>1</v>
      </c>
      <c r="M2338" s="0">
        <v>1</v>
      </c>
      <c r="N2338" s="0">
        <v>0</v>
      </c>
      <c r="O2338" s="0">
        <v>0</v>
      </c>
      <c r="P2338" s="0">
        <v>0</v>
      </c>
      <c r="R2338" s="0" t="b">
        <v>0</v>
      </c>
      <c r="S2338" s="0" t="b">
        <v>1</v>
      </c>
      <c r="T2338" s="68">
        <v>45316.5693402778</v>
      </c>
      <c r="U2338" s="68">
        <v>45330.2916666667</v>
      </c>
      <c r="V2338" s="68">
        <v>0</v>
      </c>
      <c r="W2338" s="0">
        <f>IF(IF(B2338="none",1,IF(B2338="Trialer",1,0))+IF(C2338="Customer",1,IF(C2338="Lost",1,0))=2,1,0)</f>
      </c>
      <c r="X2338" s="0" t="s">
        <v>166</v>
      </c>
      <c r="Y2338" s="0" t="s">
        <v>243</v>
      </c>
      <c r="AV2338" s="68"/>
      <c r="AW2338" s="68"/>
      <c r="AY2338" s="27"/>
      <c r="BD2338" s="68">
        <v>46054.1666666667</v>
      </c>
      <c r="BE2338" s="68">
        <v>46082.1666666667</v>
      </c>
      <c r="BF2338" s="0" t="b">
        <v>0</v>
      </c>
      <c r="BG2338" s="0" t="b">
        <v>0</v>
      </c>
      <c r="BH2338" s="0">
        <v>28</v>
      </c>
      <c r="BI2338" s="0">
        <v>28</v>
      </c>
      <c r="BJ2338" s="0" t="s">
        <v>230</v>
      </c>
    </row>
    <row r="2339">
      <c r="A2339" s="0" t="s">
        <v>2579</v>
      </c>
      <c r="B2339" s="0" t="s">
        <v>134</v>
      </c>
      <c r="C2339" s="0" t="s">
        <v>134</v>
      </c>
      <c r="D2339" s="0" t="s">
        <v>135</v>
      </c>
      <c r="E2339" s="0" t="s">
        <v>3</v>
      </c>
      <c r="F2339" s="0" t="s">
        <v>12</v>
      </c>
      <c r="G2339" s="0" t="s">
        <v>8</v>
      </c>
      <c r="H2339" s="0">
        <v>737</v>
      </c>
      <c r="I2339" s="0">
        <v>40</v>
      </c>
      <c r="J2339" s="0">
        <v>0</v>
      </c>
      <c r="K2339" s="0">
        <v>1</v>
      </c>
      <c r="L2339" s="0">
        <v>2</v>
      </c>
      <c r="M2339" s="0">
        <v>1</v>
      </c>
      <c r="N2339" s="0">
        <v>0</v>
      </c>
      <c r="O2339" s="0">
        <v>0</v>
      </c>
      <c r="P2339" s="0">
        <v>0</v>
      </c>
      <c r="R2339" s="0" t="b">
        <v>0</v>
      </c>
      <c r="S2339" s="0" t="b">
        <v>1</v>
      </c>
      <c r="T2339" s="68">
        <v>45316.7486458333</v>
      </c>
      <c r="U2339" s="68">
        <v>45331.2916666667</v>
      </c>
      <c r="V2339" s="68">
        <v>0</v>
      </c>
      <c r="W2339" s="0">
        <f>IF(IF(B2339="none",1,IF(B2339="Trialer",1,0))+IF(C2339="Customer",1,IF(C2339="Lost",1,0))=2,1,0)</f>
      </c>
      <c r="X2339" s="0" t="s">
        <v>153</v>
      </c>
      <c r="Y2339" s="0" t="s">
        <v>243</v>
      </c>
      <c r="AV2339" s="68"/>
      <c r="AW2339" s="68"/>
      <c r="AY2339" s="27"/>
      <c r="BD2339" s="68">
        <v>46054.1666666667</v>
      </c>
      <c r="BE2339" s="68">
        <v>46082.1666666667</v>
      </c>
      <c r="BF2339" s="0" t="b">
        <v>0</v>
      </c>
      <c r="BG2339" s="0" t="b">
        <v>0</v>
      </c>
      <c r="BH2339" s="0">
        <v>40</v>
      </c>
      <c r="BI2339" s="0">
        <v>40</v>
      </c>
      <c r="BJ2339" s="0" t="s">
        <v>135</v>
      </c>
    </row>
    <row r="2340">
      <c r="A2340" s="0" t="s">
        <v>2580</v>
      </c>
      <c r="B2340" s="0" t="s">
        <v>134</v>
      </c>
      <c r="C2340" s="0" t="s">
        <v>134</v>
      </c>
      <c r="D2340" s="0" t="s">
        <v>135</v>
      </c>
      <c r="E2340" s="0" t="s">
        <v>3</v>
      </c>
      <c r="F2340" s="0" t="s">
        <v>12</v>
      </c>
      <c r="G2340" s="0" t="s">
        <v>8</v>
      </c>
      <c r="H2340" s="0">
        <v>737</v>
      </c>
      <c r="I2340" s="0">
        <v>105</v>
      </c>
      <c r="J2340" s="0">
        <v>0</v>
      </c>
      <c r="K2340" s="0">
        <v>1</v>
      </c>
      <c r="L2340" s="0">
        <v>3</v>
      </c>
      <c r="M2340" s="0">
        <v>3</v>
      </c>
      <c r="N2340" s="0">
        <v>0</v>
      </c>
      <c r="O2340" s="0">
        <v>0</v>
      </c>
      <c r="P2340" s="0">
        <v>0</v>
      </c>
      <c r="R2340" s="0" t="b">
        <v>0</v>
      </c>
      <c r="S2340" s="0" t="b">
        <v>0</v>
      </c>
      <c r="T2340" s="68">
        <v>45316.9405787037</v>
      </c>
      <c r="U2340" s="68">
        <v>45332.2916666667</v>
      </c>
      <c r="V2340" s="68">
        <v>46091.0165509259</v>
      </c>
      <c r="W2340" s="0">
        <f>IF(IF(B2340="none",1,IF(B2340="Trialer",1,0))+IF(C2340="Customer",1,IF(C2340="Lost",1,0))=2,1,0)</f>
      </c>
      <c r="X2340" s="0" t="s">
        <v>166</v>
      </c>
      <c r="Y2340" s="0" t="s">
        <v>243</v>
      </c>
      <c r="AV2340" s="68"/>
      <c r="AW2340" s="68"/>
      <c r="AY2340" s="27"/>
      <c r="BD2340" s="68">
        <v>46054.1666666667</v>
      </c>
      <c r="BE2340" s="68">
        <v>46082.1666666667</v>
      </c>
      <c r="BF2340" s="0" t="b">
        <v>0</v>
      </c>
      <c r="BG2340" s="0" t="b">
        <v>0</v>
      </c>
      <c r="BH2340" s="0">
        <v>105</v>
      </c>
      <c r="BI2340" s="0">
        <v>105</v>
      </c>
      <c r="BJ2340" s="0" t="s">
        <v>135</v>
      </c>
    </row>
    <row r="2341">
      <c r="A2341" s="0" t="s">
        <v>2581</v>
      </c>
      <c r="B2341" s="0" t="s">
        <v>134</v>
      </c>
      <c r="C2341" s="0" t="s">
        <v>134</v>
      </c>
      <c r="D2341" s="0" t="s">
        <v>135</v>
      </c>
      <c r="E2341" s="0" t="s">
        <v>2</v>
      </c>
      <c r="F2341" s="0" t="s">
        <v>12</v>
      </c>
      <c r="G2341" s="0" t="s">
        <v>8</v>
      </c>
      <c r="H2341" s="0">
        <v>735</v>
      </c>
      <c r="I2341" s="0">
        <v>800</v>
      </c>
      <c r="J2341" s="0">
        <v>0</v>
      </c>
      <c r="K2341" s="0">
        <v>1</v>
      </c>
      <c r="L2341" s="0">
        <v>6</v>
      </c>
      <c r="M2341" s="0">
        <v>7</v>
      </c>
      <c r="N2341" s="0">
        <v>0</v>
      </c>
      <c r="O2341" s="0">
        <v>0</v>
      </c>
      <c r="P2341" s="0">
        <v>0</v>
      </c>
      <c r="R2341" s="0" t="b">
        <v>0</v>
      </c>
      <c r="S2341" s="0" t="b">
        <v>1</v>
      </c>
      <c r="T2341" s="68">
        <v>45318.5441203704</v>
      </c>
      <c r="U2341" s="68">
        <v>45332.2916666667</v>
      </c>
      <c r="V2341" s="68">
        <v>0</v>
      </c>
      <c r="W2341" s="0">
        <f>IF(IF(B2341="none",1,IF(B2341="Trialer",1,0))+IF(C2341="Customer",1,IF(C2341="Lost",1,0))=2,1,0)</f>
      </c>
      <c r="X2341" s="0" t="s">
        <v>136</v>
      </c>
      <c r="Y2341" s="0" t="s">
        <v>499</v>
      </c>
      <c r="AV2341" s="68"/>
      <c r="AW2341" s="68"/>
      <c r="AY2341" s="27"/>
      <c r="BD2341" s="68">
        <v>46054.1666666667</v>
      </c>
      <c r="BE2341" s="68">
        <v>46082.1666666667</v>
      </c>
      <c r="BF2341" s="0" t="b">
        <v>0</v>
      </c>
      <c r="BG2341" s="0" t="b">
        <v>0</v>
      </c>
      <c r="BH2341" s="0">
        <v>475</v>
      </c>
      <c r="BI2341" s="0">
        <v>475</v>
      </c>
      <c r="BJ2341" s="0" t="s">
        <v>135</v>
      </c>
    </row>
    <row r="2342">
      <c r="A2342" s="0" t="s">
        <v>2582</v>
      </c>
      <c r="B2342" s="0" t="s">
        <v>134</v>
      </c>
      <c r="C2342" s="0" t="s">
        <v>134</v>
      </c>
      <c r="D2342" s="0" t="s">
        <v>135</v>
      </c>
      <c r="E2342" s="0" t="s">
        <v>2</v>
      </c>
      <c r="F2342" s="0" t="s">
        <v>12</v>
      </c>
      <c r="G2342" s="0" t="s">
        <v>8</v>
      </c>
      <c r="H2342" s="0">
        <v>733</v>
      </c>
      <c r="I2342" s="0">
        <v>223</v>
      </c>
      <c r="J2342" s="0">
        <v>0</v>
      </c>
      <c r="K2342" s="0">
        <v>1</v>
      </c>
      <c r="L2342" s="0">
        <v>5</v>
      </c>
      <c r="M2342" s="0">
        <v>4</v>
      </c>
      <c r="N2342" s="0">
        <v>0</v>
      </c>
      <c r="O2342" s="0">
        <v>0</v>
      </c>
      <c r="P2342" s="0">
        <v>0</v>
      </c>
      <c r="R2342" s="0" t="b">
        <v>0</v>
      </c>
      <c r="S2342" s="0" t="b">
        <v>1</v>
      </c>
      <c r="T2342" s="68">
        <v>45320.5675115741</v>
      </c>
      <c r="U2342" s="68">
        <v>45334.2916666667</v>
      </c>
      <c r="V2342" s="68">
        <v>0</v>
      </c>
      <c r="W2342" s="0">
        <f>IF(IF(B2342="none",1,IF(B2342="Trialer",1,0))+IF(C2342="Customer",1,IF(C2342="Lost",1,0))=2,1,0)</f>
      </c>
      <c r="X2342" s="0" t="s">
        <v>882</v>
      </c>
      <c r="Y2342" s="0" t="s">
        <v>499</v>
      </c>
      <c r="AV2342" s="68"/>
      <c r="AW2342" s="68"/>
      <c r="AY2342" s="27"/>
      <c r="BD2342" s="68">
        <v>46054.1666666667</v>
      </c>
      <c r="BE2342" s="68">
        <v>46082.1666666667</v>
      </c>
      <c r="BF2342" s="0" t="b">
        <v>0</v>
      </c>
      <c r="BG2342" s="0" t="b">
        <v>0</v>
      </c>
      <c r="BH2342" s="0">
        <v>345</v>
      </c>
      <c r="BI2342" s="0">
        <v>345</v>
      </c>
      <c r="BJ2342" s="0" t="s">
        <v>135</v>
      </c>
    </row>
    <row r="2343">
      <c r="A2343" s="0" t="s">
        <v>2583</v>
      </c>
      <c r="B2343" s="0" t="s">
        <v>134</v>
      </c>
      <c r="C2343" s="0" t="s">
        <v>134</v>
      </c>
      <c r="D2343" s="0" t="s">
        <v>230</v>
      </c>
      <c r="E2343" s="0" t="s">
        <v>3</v>
      </c>
      <c r="F2343" s="0" t="s">
        <v>12</v>
      </c>
      <c r="G2343" s="0" t="s">
        <v>8</v>
      </c>
      <c r="H2343" s="0">
        <v>733</v>
      </c>
      <c r="I2343" s="0">
        <v>141.75</v>
      </c>
      <c r="J2343" s="0">
        <v>0</v>
      </c>
      <c r="K2343" s="0">
        <v>1</v>
      </c>
      <c r="L2343" s="0">
        <v>4</v>
      </c>
      <c r="M2343" s="0">
        <v>4</v>
      </c>
      <c r="N2343" s="0">
        <v>0</v>
      </c>
      <c r="O2343" s="0">
        <v>0</v>
      </c>
      <c r="P2343" s="0">
        <v>1899.45</v>
      </c>
      <c r="R2343" s="0" t="b">
        <v>0</v>
      </c>
      <c r="S2343" s="0" t="b">
        <v>1</v>
      </c>
      <c r="T2343" s="68">
        <v>45320.5729166667</v>
      </c>
      <c r="U2343" s="68">
        <v>45334.2916666667</v>
      </c>
      <c r="V2343" s="68">
        <v>0</v>
      </c>
      <c r="W2343" s="0">
        <f>IF(IF(B2343="none",1,IF(B2343="Trialer",1,0))+IF(C2343="Customer",1,IF(C2343="Lost",1,0))=2,1,0)</f>
      </c>
      <c r="X2343" s="0" t="s">
        <v>136</v>
      </c>
      <c r="Y2343" s="0" t="s">
        <v>1792</v>
      </c>
      <c r="AV2343" s="68"/>
      <c r="AW2343" s="68"/>
      <c r="AY2343" s="27"/>
      <c r="BD2343" s="68">
        <v>46054.1666666667</v>
      </c>
      <c r="BE2343" s="68">
        <v>46082.1666666667</v>
      </c>
      <c r="BF2343" s="0" t="b">
        <v>0</v>
      </c>
      <c r="BG2343" s="0" t="b">
        <v>0</v>
      </c>
      <c r="BH2343" s="0">
        <v>189</v>
      </c>
      <c r="BI2343" s="0">
        <v>189</v>
      </c>
      <c r="BJ2343" s="0" t="s">
        <v>230</v>
      </c>
    </row>
    <row r="2344">
      <c r="A2344" s="0" t="s">
        <v>2584</v>
      </c>
      <c r="B2344" s="0" t="s">
        <v>134</v>
      </c>
      <c r="C2344" s="0" t="s">
        <v>134</v>
      </c>
      <c r="D2344" s="0" t="s">
        <v>135</v>
      </c>
      <c r="E2344" s="0" t="s">
        <v>2</v>
      </c>
      <c r="F2344" s="0" t="s">
        <v>12</v>
      </c>
      <c r="G2344" s="0" t="s">
        <v>8</v>
      </c>
      <c r="H2344" s="0">
        <v>733</v>
      </c>
      <c r="I2344" s="0">
        <v>996</v>
      </c>
      <c r="J2344" s="0">
        <v>0</v>
      </c>
      <c r="K2344" s="0">
        <v>1</v>
      </c>
      <c r="L2344" s="0">
        <v>4</v>
      </c>
      <c r="M2344" s="0">
        <v>11</v>
      </c>
      <c r="N2344" s="0">
        <v>0</v>
      </c>
      <c r="O2344" s="0">
        <v>0</v>
      </c>
      <c r="P2344" s="0">
        <v>0</v>
      </c>
      <c r="R2344" s="0" t="b">
        <v>0</v>
      </c>
      <c r="S2344" s="0" t="b">
        <v>1</v>
      </c>
      <c r="T2344" s="68">
        <v>45320.6140046296</v>
      </c>
      <c r="U2344" s="68">
        <v>45335.2916666667</v>
      </c>
      <c r="V2344" s="68">
        <v>0</v>
      </c>
      <c r="W2344" s="0">
        <f>IF(IF(B2344="none",1,IF(B2344="Trialer",1,0))+IF(C2344="Customer",1,IF(C2344="Lost",1,0))=2,1,0)</f>
      </c>
      <c r="X2344" s="0" t="s">
        <v>145</v>
      </c>
      <c r="Y2344" s="0" t="s">
        <v>499</v>
      </c>
      <c r="AV2344" s="68"/>
      <c r="AW2344" s="68"/>
      <c r="AY2344" s="27"/>
      <c r="BD2344" s="68">
        <v>46054.1666666667</v>
      </c>
      <c r="BE2344" s="68">
        <v>46082.1666666667</v>
      </c>
      <c r="BF2344" s="0" t="b">
        <v>0</v>
      </c>
      <c r="BG2344" s="0" t="b">
        <v>0</v>
      </c>
      <c r="BH2344" s="0">
        <v>671</v>
      </c>
      <c r="BI2344" s="0">
        <v>671</v>
      </c>
      <c r="BJ2344" s="0" t="s">
        <v>135</v>
      </c>
    </row>
    <row r="2345">
      <c r="A2345" s="0" t="s">
        <v>2585</v>
      </c>
      <c r="B2345" s="0" t="s">
        <v>134</v>
      </c>
      <c r="C2345" s="0" t="s">
        <v>134</v>
      </c>
      <c r="D2345" s="0" t="s">
        <v>135</v>
      </c>
      <c r="E2345" s="0" t="s">
        <v>3</v>
      </c>
      <c r="F2345" s="0" t="s">
        <v>12</v>
      </c>
      <c r="G2345" s="0" t="s">
        <v>8</v>
      </c>
      <c r="H2345" s="0">
        <v>733</v>
      </c>
      <c r="I2345" s="0">
        <v>223</v>
      </c>
      <c r="J2345" s="0">
        <v>0</v>
      </c>
      <c r="K2345" s="0">
        <v>1</v>
      </c>
      <c r="L2345" s="0">
        <v>6</v>
      </c>
      <c r="M2345" s="0">
        <v>4</v>
      </c>
      <c r="N2345" s="0">
        <v>0</v>
      </c>
      <c r="O2345" s="0">
        <v>0</v>
      </c>
      <c r="P2345" s="0">
        <v>0</v>
      </c>
      <c r="R2345" s="0" t="b">
        <v>0</v>
      </c>
      <c r="S2345" s="0" t="b">
        <v>1</v>
      </c>
      <c r="T2345" s="68">
        <v>45320.9434259259</v>
      </c>
      <c r="U2345" s="68">
        <v>45334.2916666667</v>
      </c>
      <c r="V2345" s="68">
        <v>0</v>
      </c>
      <c r="W2345" s="0">
        <f>IF(IF(B2345="none",1,IF(B2345="Trialer",1,0))+IF(C2345="Customer",1,IF(C2345="Lost",1,0))=2,1,0)</f>
      </c>
      <c r="X2345" s="0" t="s">
        <v>882</v>
      </c>
      <c r="Y2345" s="0" t="s">
        <v>243</v>
      </c>
      <c r="AV2345" s="68"/>
      <c r="AW2345" s="68"/>
      <c r="AY2345" s="27"/>
      <c r="BD2345" s="68">
        <v>46054.1666666667</v>
      </c>
      <c r="BE2345" s="68">
        <v>46082.1666666667</v>
      </c>
      <c r="BF2345" s="0" t="b">
        <v>0</v>
      </c>
      <c r="BG2345" s="0" t="b">
        <v>0</v>
      </c>
      <c r="BH2345" s="0">
        <v>223</v>
      </c>
      <c r="BI2345" s="0">
        <v>223</v>
      </c>
      <c r="BJ2345" s="0" t="s">
        <v>135</v>
      </c>
    </row>
    <row r="2346">
      <c r="A2346" s="0" t="s">
        <v>2586</v>
      </c>
      <c r="B2346" s="0" t="s">
        <v>134</v>
      </c>
      <c r="C2346" s="0" t="s">
        <v>134</v>
      </c>
      <c r="D2346" s="0" t="s">
        <v>230</v>
      </c>
      <c r="E2346" s="0" t="s">
        <v>3</v>
      </c>
      <c r="F2346" s="0" t="s">
        <v>12</v>
      </c>
      <c r="G2346" s="0" t="s">
        <v>8</v>
      </c>
      <c r="H2346" s="0">
        <v>731</v>
      </c>
      <c r="I2346" s="0">
        <v>44.1</v>
      </c>
      <c r="J2346" s="0">
        <v>0</v>
      </c>
      <c r="K2346" s="0">
        <v>1</v>
      </c>
      <c r="L2346" s="0">
        <v>3</v>
      </c>
      <c r="M2346" s="0">
        <v>1</v>
      </c>
      <c r="N2346" s="0">
        <v>0</v>
      </c>
      <c r="O2346" s="0">
        <v>0</v>
      </c>
      <c r="P2346" s="0">
        <v>-44.1</v>
      </c>
      <c r="R2346" s="0" t="b">
        <v>0</v>
      </c>
      <c r="S2346" s="0" t="b">
        <v>1</v>
      </c>
      <c r="T2346" s="68">
        <v>45322.5238425926</v>
      </c>
      <c r="U2346" s="68">
        <v>45336.2916666667</v>
      </c>
      <c r="V2346" s="68">
        <v>0</v>
      </c>
      <c r="W2346" s="0">
        <f>IF(IF(B2346="none",1,IF(B2346="Trialer",1,0))+IF(C2346="Customer",1,IF(C2346="Lost",1,0))=2,1,0)</f>
      </c>
      <c r="X2346" s="0" t="s">
        <v>153</v>
      </c>
      <c r="Y2346" s="0" t="s">
        <v>243</v>
      </c>
      <c r="AV2346" s="68"/>
      <c r="AW2346" s="68"/>
      <c r="AY2346" s="27"/>
      <c r="BD2346" s="68">
        <v>46054.1666666667</v>
      </c>
      <c r="BE2346" s="68">
        <v>46082.1666666667</v>
      </c>
      <c r="BF2346" s="0" t="b">
        <v>0</v>
      </c>
      <c r="BG2346" s="0" t="b">
        <v>0</v>
      </c>
      <c r="BH2346" s="0">
        <v>49</v>
      </c>
      <c r="BI2346" s="0">
        <v>49</v>
      </c>
      <c r="BJ2346" s="0" t="s">
        <v>230</v>
      </c>
    </row>
    <row r="2347">
      <c r="A2347" s="0" t="s">
        <v>2587</v>
      </c>
      <c r="B2347" s="0" t="s">
        <v>134</v>
      </c>
      <c r="C2347" s="0" t="s">
        <v>134</v>
      </c>
      <c r="D2347" s="0" t="s">
        <v>135</v>
      </c>
      <c r="E2347" s="0" t="s">
        <v>3</v>
      </c>
      <c r="F2347" s="0" t="s">
        <v>12</v>
      </c>
      <c r="G2347" s="0" t="s">
        <v>8</v>
      </c>
      <c r="H2347" s="0">
        <v>731</v>
      </c>
      <c r="I2347" s="0">
        <v>61</v>
      </c>
      <c r="J2347" s="0">
        <v>0</v>
      </c>
      <c r="K2347" s="0">
        <v>1</v>
      </c>
      <c r="L2347" s="0">
        <v>4</v>
      </c>
      <c r="M2347" s="0">
        <v>1</v>
      </c>
      <c r="N2347" s="0">
        <v>0</v>
      </c>
      <c r="O2347" s="0">
        <v>0</v>
      </c>
      <c r="P2347" s="0">
        <v>0</v>
      </c>
      <c r="R2347" s="0" t="b">
        <v>0</v>
      </c>
      <c r="S2347" s="0" t="b">
        <v>1</v>
      </c>
      <c r="T2347" s="68">
        <v>45322.7244675926</v>
      </c>
      <c r="U2347" s="68">
        <v>45336.2916666667</v>
      </c>
      <c r="V2347" s="68">
        <v>0</v>
      </c>
      <c r="W2347" s="0">
        <f>IF(IF(B2347="none",1,IF(B2347="Trialer",1,0))+IF(C2347="Customer",1,IF(C2347="Lost",1,0))=2,1,0)</f>
      </c>
      <c r="X2347" s="0" t="s">
        <v>153</v>
      </c>
      <c r="Y2347" s="0" t="s">
        <v>243</v>
      </c>
      <c r="AV2347" s="68"/>
      <c r="AW2347" s="68"/>
      <c r="AY2347" s="27"/>
      <c r="BD2347" s="68">
        <v>46054.1666666667</v>
      </c>
      <c r="BE2347" s="68">
        <v>46082.1666666667</v>
      </c>
      <c r="BF2347" s="0" t="b">
        <v>0</v>
      </c>
      <c r="BG2347" s="0" t="b">
        <v>0</v>
      </c>
      <c r="BH2347" s="0">
        <v>61</v>
      </c>
      <c r="BI2347" s="0">
        <v>61</v>
      </c>
      <c r="BJ2347" s="0" t="s">
        <v>135</v>
      </c>
    </row>
    <row r="2348">
      <c r="A2348" s="0" t="s">
        <v>2588</v>
      </c>
      <c r="B2348" s="0" t="s">
        <v>134</v>
      </c>
      <c r="C2348" s="0" t="s">
        <v>134</v>
      </c>
      <c r="D2348" s="0" t="s">
        <v>135</v>
      </c>
      <c r="E2348" s="0" t="s">
        <v>2</v>
      </c>
      <c r="F2348" s="0" t="s">
        <v>12</v>
      </c>
      <c r="G2348" s="0" t="s">
        <v>8</v>
      </c>
      <c r="H2348" s="0">
        <v>729</v>
      </c>
      <c r="I2348" s="0">
        <v>0</v>
      </c>
      <c r="J2348" s="0">
        <v>0</v>
      </c>
      <c r="K2348" s="0">
        <v>1</v>
      </c>
      <c r="L2348" s="0">
        <v>6</v>
      </c>
      <c r="M2348" s="0">
        <v>1</v>
      </c>
      <c r="N2348" s="0">
        <v>0</v>
      </c>
      <c r="O2348" s="0">
        <v>0</v>
      </c>
      <c r="P2348" s="0">
        <v>0</v>
      </c>
      <c r="R2348" s="0" t="b">
        <v>0</v>
      </c>
      <c r="S2348" s="0" t="b">
        <v>1</v>
      </c>
      <c r="T2348" s="68">
        <v>45324.4031018519</v>
      </c>
      <c r="U2348" s="68">
        <v>45365.3333333333</v>
      </c>
      <c r="V2348" s="68">
        <v>0</v>
      </c>
      <c r="W2348" s="0">
        <f>IF(IF(B2348="none",1,IF(B2348="Trialer",1,0))+IF(C2348="Customer",1,IF(C2348="Lost",1,0))=2,1,0)</f>
      </c>
      <c r="X2348" s="0" t="s">
        <v>148</v>
      </c>
      <c r="Y2348" s="0" t="s">
        <v>499</v>
      </c>
      <c r="AV2348" s="68"/>
      <c r="AW2348" s="68"/>
      <c r="AY2348" s="27"/>
      <c r="BD2348" s="68">
        <v>46054.1666666667</v>
      </c>
      <c r="BE2348" s="68">
        <v>46082.1666666667</v>
      </c>
      <c r="BF2348" s="0" t="b">
        <v>0</v>
      </c>
      <c r="BG2348" s="0" t="b">
        <v>0</v>
      </c>
      <c r="BH2348" s="0">
        <v>0</v>
      </c>
      <c r="BI2348" s="0">
        <v>0</v>
      </c>
      <c r="BJ2348" s="0" t="s">
        <v>135</v>
      </c>
    </row>
    <row r="2349">
      <c r="A2349" s="0" t="s">
        <v>2589</v>
      </c>
      <c r="B2349" s="0" t="s">
        <v>134</v>
      </c>
      <c r="C2349" s="0" t="s">
        <v>134</v>
      </c>
      <c r="D2349" s="0" t="s">
        <v>135</v>
      </c>
      <c r="E2349" s="0" t="s">
        <v>3</v>
      </c>
      <c r="F2349" s="0" t="s">
        <v>11</v>
      </c>
      <c r="G2349" s="0" t="s">
        <v>8</v>
      </c>
      <c r="H2349" s="0">
        <v>729</v>
      </c>
      <c r="I2349" s="0">
        <v>97.6</v>
      </c>
      <c r="J2349" s="0">
        <v>0</v>
      </c>
      <c r="K2349" s="0">
        <v>1</v>
      </c>
      <c r="L2349" s="0">
        <v>4</v>
      </c>
      <c r="M2349" s="0">
        <v>2</v>
      </c>
      <c r="N2349" s="0">
        <v>0</v>
      </c>
      <c r="O2349" s="0">
        <v>0</v>
      </c>
      <c r="P2349" s="0">
        <v>0</v>
      </c>
      <c r="Q2349" s="0" t="s">
        <v>1743</v>
      </c>
      <c r="R2349" s="0" t="b">
        <v>1</v>
      </c>
      <c r="S2349" s="0" t="b">
        <v>1</v>
      </c>
      <c r="T2349" s="68">
        <v>45324.5723263889</v>
      </c>
      <c r="U2349" s="68">
        <v>45324.2916666667</v>
      </c>
      <c r="V2349" s="68">
        <v>0</v>
      </c>
      <c r="W2349" s="0">
        <f>IF(IF(B2349="none",1,IF(B2349="Trialer",1,0))+IF(C2349="Customer",1,IF(C2349="Lost",1,0))=2,1,0)</f>
      </c>
      <c r="X2349" s="0" t="s">
        <v>145</v>
      </c>
      <c r="Y2349" s="0" t="s">
        <v>243</v>
      </c>
      <c r="AV2349" s="68"/>
      <c r="AW2349" s="68"/>
      <c r="AY2349" s="27"/>
      <c r="BD2349" s="68">
        <v>46054.1666666667</v>
      </c>
      <c r="BE2349" s="68">
        <v>46082.1666666667</v>
      </c>
      <c r="BF2349" s="0" t="b">
        <v>0</v>
      </c>
      <c r="BG2349" s="0" t="b">
        <v>0</v>
      </c>
      <c r="BH2349" s="0">
        <v>97.6</v>
      </c>
      <c r="BI2349" s="0">
        <v>97.6</v>
      </c>
      <c r="BJ2349" s="0" t="s">
        <v>135</v>
      </c>
    </row>
    <row r="2350">
      <c r="A2350" s="0" t="s">
        <v>2590</v>
      </c>
      <c r="B2350" s="0" t="s">
        <v>134</v>
      </c>
      <c r="C2350" s="0" t="s">
        <v>134</v>
      </c>
      <c r="D2350" s="0" t="s">
        <v>230</v>
      </c>
      <c r="E2350" s="0" t="s">
        <v>2</v>
      </c>
      <c r="F2350" s="0" t="s">
        <v>12</v>
      </c>
      <c r="G2350" s="0" t="s">
        <v>8</v>
      </c>
      <c r="H2350" s="0">
        <v>728</v>
      </c>
      <c r="I2350" s="0">
        <v>648</v>
      </c>
      <c r="J2350" s="0">
        <v>0</v>
      </c>
      <c r="K2350" s="0">
        <v>1</v>
      </c>
      <c r="L2350" s="0">
        <v>4</v>
      </c>
      <c r="M2350" s="0">
        <v>14</v>
      </c>
      <c r="N2350" s="0">
        <v>0</v>
      </c>
      <c r="O2350" s="0">
        <v>0</v>
      </c>
      <c r="P2350" s="0">
        <v>-648</v>
      </c>
      <c r="R2350" s="0" t="b">
        <v>0</v>
      </c>
      <c r="S2350" s="0" t="b">
        <v>1</v>
      </c>
      <c r="T2350" s="68">
        <v>45325.4595717593</v>
      </c>
      <c r="U2350" s="68">
        <v>45345.2916666667</v>
      </c>
      <c r="V2350" s="68">
        <v>0</v>
      </c>
      <c r="W2350" s="0">
        <f>IF(IF(B2350="none",1,IF(B2350="Trialer",1,0))+IF(C2350="Customer",1,IF(C2350="Lost",1,0))=2,1,0)</f>
      </c>
      <c r="X2350" s="0" t="s">
        <v>136</v>
      </c>
      <c r="Y2350" s="0" t="s">
        <v>499</v>
      </c>
      <c r="AV2350" s="68"/>
      <c r="AW2350" s="68"/>
      <c r="AY2350" s="27"/>
      <c r="BD2350" s="68">
        <v>46054.1666666667</v>
      </c>
      <c r="BE2350" s="68">
        <v>46082.1666666667</v>
      </c>
      <c r="BF2350" s="0" t="b">
        <v>0</v>
      </c>
      <c r="BG2350" s="0" t="b">
        <v>0</v>
      </c>
      <c r="BH2350" s="0">
        <v>720</v>
      </c>
      <c r="BI2350" s="0">
        <v>720</v>
      </c>
      <c r="BJ2350" s="0" t="s">
        <v>230</v>
      </c>
    </row>
    <row r="2351">
      <c r="A2351" s="0" t="s">
        <v>2591</v>
      </c>
      <c r="B2351" s="0" t="s">
        <v>134</v>
      </c>
      <c r="C2351" s="0" t="s">
        <v>134</v>
      </c>
      <c r="D2351" s="0" t="s">
        <v>230</v>
      </c>
      <c r="E2351" s="0" t="s">
        <v>2</v>
      </c>
      <c r="F2351" s="0" t="s">
        <v>12</v>
      </c>
      <c r="G2351" s="0" t="s">
        <v>8</v>
      </c>
      <c r="H2351" s="0">
        <v>727</v>
      </c>
      <c r="I2351" s="0">
        <v>263.7</v>
      </c>
      <c r="J2351" s="0">
        <v>0</v>
      </c>
      <c r="K2351" s="0">
        <v>1</v>
      </c>
      <c r="L2351" s="0">
        <v>4</v>
      </c>
      <c r="M2351" s="0">
        <v>5</v>
      </c>
      <c r="N2351" s="0">
        <v>0</v>
      </c>
      <c r="O2351" s="0">
        <v>0</v>
      </c>
      <c r="P2351" s="0">
        <v>-263.7</v>
      </c>
      <c r="R2351" s="0" t="b">
        <v>0</v>
      </c>
      <c r="S2351" s="0" t="b">
        <v>1</v>
      </c>
      <c r="T2351" s="68">
        <v>45326.4840856481</v>
      </c>
      <c r="U2351" s="68">
        <v>45348.2916666667</v>
      </c>
      <c r="V2351" s="68">
        <v>0</v>
      </c>
      <c r="W2351" s="0">
        <f>IF(IF(B2351="none",1,IF(B2351="Trialer",1,0))+IF(C2351="Customer",1,IF(C2351="Lost",1,0))=2,1,0)</f>
      </c>
      <c r="X2351" s="0" t="s">
        <v>136</v>
      </c>
      <c r="Y2351" s="0" t="s">
        <v>499</v>
      </c>
      <c r="AV2351" s="68"/>
      <c r="AW2351" s="68"/>
      <c r="AY2351" s="27"/>
      <c r="BD2351" s="68">
        <v>46054.1666666667</v>
      </c>
      <c r="BE2351" s="68">
        <v>46082.1666666667</v>
      </c>
      <c r="BF2351" s="0" t="b">
        <v>0</v>
      </c>
      <c r="BG2351" s="0" t="b">
        <v>0</v>
      </c>
      <c r="BH2351" s="0">
        <v>293</v>
      </c>
      <c r="BI2351" s="0">
        <v>293</v>
      </c>
      <c r="BJ2351" s="0" t="s">
        <v>230</v>
      </c>
    </row>
    <row r="2352">
      <c r="A2352" s="0" t="s">
        <v>2592</v>
      </c>
      <c r="B2352" s="0" t="s">
        <v>134</v>
      </c>
      <c r="C2352" s="0" t="s">
        <v>134</v>
      </c>
      <c r="D2352" s="0" t="s">
        <v>135</v>
      </c>
      <c r="E2352" s="0" t="s">
        <v>4</v>
      </c>
      <c r="F2352" s="0" t="s">
        <v>12</v>
      </c>
      <c r="G2352" s="0" t="s">
        <v>8</v>
      </c>
      <c r="H2352" s="0">
        <v>726</v>
      </c>
      <c r="I2352" s="0">
        <v>0</v>
      </c>
      <c r="J2352" s="0">
        <v>0</v>
      </c>
      <c r="K2352" s="0">
        <v>1</v>
      </c>
      <c r="L2352" s="0">
        <v>5</v>
      </c>
      <c r="M2352" s="0">
        <v>2</v>
      </c>
      <c r="N2352" s="0">
        <v>0</v>
      </c>
      <c r="O2352" s="0">
        <v>0</v>
      </c>
      <c r="P2352" s="0">
        <v>0</v>
      </c>
      <c r="R2352" s="0" t="b">
        <v>0</v>
      </c>
      <c r="S2352" s="0" t="b">
        <v>1</v>
      </c>
      <c r="T2352" s="68">
        <v>45327.463599537</v>
      </c>
      <c r="U2352" s="68">
        <v>45348.2916666667</v>
      </c>
      <c r="V2352" s="68">
        <v>0</v>
      </c>
      <c r="W2352" s="0">
        <f>IF(IF(B2352="none",1,IF(B2352="Trialer",1,0))+IF(C2352="Customer",1,IF(C2352="Lost",1,0))=2,1,0)</f>
      </c>
      <c r="X2352" s="0" t="s">
        <v>145</v>
      </c>
      <c r="Y2352" s="0" t="s">
        <v>1772</v>
      </c>
      <c r="AV2352" s="68"/>
      <c r="AW2352" s="68"/>
      <c r="AY2352" s="27"/>
      <c r="BD2352" s="68">
        <v>46054.1666666667</v>
      </c>
      <c r="BE2352" s="68">
        <v>46082.1666666667</v>
      </c>
      <c r="BF2352" s="0" t="b">
        <v>0</v>
      </c>
      <c r="BG2352" s="0" t="b">
        <v>0</v>
      </c>
      <c r="BH2352" s="0">
        <v>0</v>
      </c>
      <c r="BI2352" s="0">
        <v>0</v>
      </c>
      <c r="BJ2352" s="0" t="s">
        <v>135</v>
      </c>
    </row>
    <row r="2353">
      <c r="A2353" s="0" t="s">
        <v>2593</v>
      </c>
      <c r="B2353" s="0" t="s">
        <v>134</v>
      </c>
      <c r="C2353" s="0" t="s">
        <v>134</v>
      </c>
      <c r="D2353" s="0" t="s">
        <v>135</v>
      </c>
      <c r="E2353" s="0" t="s">
        <v>3</v>
      </c>
      <c r="F2353" s="0" t="s">
        <v>12</v>
      </c>
      <c r="G2353" s="0" t="s">
        <v>7</v>
      </c>
      <c r="H2353" s="0">
        <v>726</v>
      </c>
      <c r="I2353" s="0">
        <v>80</v>
      </c>
      <c r="J2353" s="0">
        <v>0</v>
      </c>
      <c r="K2353" s="0">
        <v>1</v>
      </c>
      <c r="L2353" s="0">
        <v>1</v>
      </c>
      <c r="M2353" s="0">
        <v>2</v>
      </c>
      <c r="N2353" s="0">
        <v>0</v>
      </c>
      <c r="O2353" s="0">
        <v>0</v>
      </c>
      <c r="P2353" s="0">
        <v>0</v>
      </c>
      <c r="R2353" s="0" t="b">
        <v>0</v>
      </c>
      <c r="S2353" s="0" t="b">
        <v>1</v>
      </c>
      <c r="T2353" s="68">
        <v>45327.5</v>
      </c>
      <c r="U2353" s="68">
        <v>45327.2916666667</v>
      </c>
      <c r="V2353" s="68">
        <v>0</v>
      </c>
      <c r="W2353" s="0">
        <f>IF(IF(B2353="none",1,IF(B2353="Trialer",1,0))+IF(C2353="Customer",1,IF(C2353="Lost",1,0))=2,1,0)</f>
      </c>
      <c r="X2353" s="0" t="s">
        <v>136</v>
      </c>
      <c r="Y2353" s="0" t="s">
        <v>213</v>
      </c>
      <c r="AV2353" s="68"/>
      <c r="AW2353" s="68"/>
      <c r="AY2353" s="27"/>
      <c r="BD2353" s="68">
        <v>46054.1666666667</v>
      </c>
      <c r="BE2353" s="68">
        <v>46082.1666666667</v>
      </c>
      <c r="BF2353" s="0" t="b">
        <v>0</v>
      </c>
      <c r="BG2353" s="0" t="b">
        <v>0</v>
      </c>
      <c r="BH2353" s="0">
        <v>80</v>
      </c>
      <c r="BI2353" s="0">
        <v>80</v>
      </c>
      <c r="BJ2353" s="0" t="s">
        <v>135</v>
      </c>
    </row>
    <row r="2354">
      <c r="A2354" s="0" t="s">
        <v>2594</v>
      </c>
      <c r="B2354" s="0" t="s">
        <v>134</v>
      </c>
      <c r="C2354" s="0" t="s">
        <v>134</v>
      </c>
      <c r="D2354" s="0" t="s">
        <v>230</v>
      </c>
      <c r="E2354" s="0" t="s">
        <v>2</v>
      </c>
      <c r="F2354" s="0" t="s">
        <v>12</v>
      </c>
      <c r="G2354" s="0" t="s">
        <v>8</v>
      </c>
      <c r="H2354" s="0">
        <v>725</v>
      </c>
      <c r="I2354" s="0">
        <v>431.1</v>
      </c>
      <c r="J2354" s="0">
        <v>0</v>
      </c>
      <c r="K2354" s="0">
        <v>1</v>
      </c>
      <c r="L2354" s="0">
        <v>5</v>
      </c>
      <c r="M2354" s="0">
        <v>8</v>
      </c>
      <c r="N2354" s="0">
        <v>0</v>
      </c>
      <c r="O2354" s="0">
        <v>0</v>
      </c>
      <c r="P2354" s="0">
        <v>-431.1</v>
      </c>
      <c r="R2354" s="0" t="b">
        <v>0</v>
      </c>
      <c r="S2354" s="0" t="b">
        <v>1</v>
      </c>
      <c r="T2354" s="68">
        <v>45328.4178472222</v>
      </c>
      <c r="U2354" s="68">
        <v>45342.2916666667</v>
      </c>
      <c r="V2354" s="68">
        <v>0</v>
      </c>
      <c r="W2354" s="0">
        <f>IF(IF(B2354="none",1,IF(B2354="Trialer",1,0))+IF(C2354="Customer",1,IF(C2354="Lost",1,0))=2,1,0)</f>
      </c>
      <c r="X2354" s="0" t="s">
        <v>148</v>
      </c>
      <c r="Y2354" s="0" t="s">
        <v>499</v>
      </c>
      <c r="AV2354" s="68"/>
      <c r="AW2354" s="68"/>
      <c r="AY2354" s="27"/>
      <c r="BD2354" s="68">
        <v>46054.1666666667</v>
      </c>
      <c r="BE2354" s="68">
        <v>46082.1666666667</v>
      </c>
      <c r="BF2354" s="0" t="b">
        <v>0</v>
      </c>
      <c r="BG2354" s="0" t="b">
        <v>0</v>
      </c>
      <c r="BH2354" s="0">
        <v>479</v>
      </c>
      <c r="BI2354" s="0">
        <v>479</v>
      </c>
      <c r="BJ2354" s="0" t="s">
        <v>230</v>
      </c>
    </row>
    <row r="2355">
      <c r="A2355" s="0" t="s">
        <v>2595</v>
      </c>
      <c r="B2355" s="0" t="s">
        <v>134</v>
      </c>
      <c r="C2355" s="0" t="s">
        <v>134</v>
      </c>
      <c r="D2355" s="0" t="s">
        <v>230</v>
      </c>
      <c r="E2355" s="0" t="s">
        <v>3</v>
      </c>
      <c r="F2355" s="0" t="s">
        <v>12</v>
      </c>
      <c r="G2355" s="0" t="s">
        <v>8</v>
      </c>
      <c r="H2355" s="0">
        <v>725</v>
      </c>
      <c r="I2355" s="0">
        <v>50.4</v>
      </c>
      <c r="J2355" s="0">
        <v>0</v>
      </c>
      <c r="K2355" s="0">
        <v>1</v>
      </c>
      <c r="L2355" s="0">
        <v>1</v>
      </c>
      <c r="M2355" s="0">
        <v>2</v>
      </c>
      <c r="N2355" s="0">
        <v>0</v>
      </c>
      <c r="O2355" s="0">
        <v>0</v>
      </c>
      <c r="P2355" s="0">
        <v>-50.4</v>
      </c>
      <c r="R2355" s="0" t="b">
        <v>0</v>
      </c>
      <c r="S2355" s="0" t="b">
        <v>1</v>
      </c>
      <c r="T2355" s="68">
        <v>45328.5361689815</v>
      </c>
      <c r="U2355" s="68">
        <v>45342.2916666667</v>
      </c>
      <c r="V2355" s="68">
        <v>0</v>
      </c>
      <c r="W2355" s="0">
        <f>IF(IF(B2355="none",1,IF(B2355="Trialer",1,0))+IF(C2355="Customer",1,IF(C2355="Lost",1,0))=2,1,0)</f>
      </c>
      <c r="X2355" s="0" t="s">
        <v>142</v>
      </c>
      <c r="Y2355" s="0" t="s">
        <v>243</v>
      </c>
      <c r="AV2355" s="68"/>
      <c r="AW2355" s="68"/>
      <c r="AY2355" s="27"/>
      <c r="BD2355" s="68">
        <v>46054.1666666667</v>
      </c>
      <c r="BE2355" s="68">
        <v>46082.1666666667</v>
      </c>
      <c r="BF2355" s="0" t="b">
        <v>0</v>
      </c>
      <c r="BG2355" s="0" t="b">
        <v>0</v>
      </c>
      <c r="BH2355" s="0">
        <v>56</v>
      </c>
      <c r="BI2355" s="0">
        <v>56</v>
      </c>
      <c r="BJ2355" s="0" t="s">
        <v>230</v>
      </c>
    </row>
    <row r="2356">
      <c r="A2356" s="0" t="s">
        <v>2596</v>
      </c>
      <c r="B2356" s="0" t="s">
        <v>134</v>
      </c>
      <c r="C2356" s="0" t="s">
        <v>134</v>
      </c>
      <c r="D2356" s="0" t="s">
        <v>135</v>
      </c>
      <c r="E2356" s="0" t="s">
        <v>3</v>
      </c>
      <c r="F2356" s="0" t="s">
        <v>12</v>
      </c>
      <c r="G2356" s="0" t="s">
        <v>8</v>
      </c>
      <c r="H2356" s="0">
        <v>724</v>
      </c>
      <c r="I2356" s="0">
        <v>0</v>
      </c>
      <c r="J2356" s="0">
        <v>0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0">
        <v>0</v>
      </c>
      <c r="R2356" s="0" t="b">
        <v>0</v>
      </c>
      <c r="S2356" s="0" t="b">
        <v>1</v>
      </c>
      <c r="T2356" s="68">
        <v>45329.3769560185</v>
      </c>
      <c r="U2356" s="68">
        <v>45348.2916666667</v>
      </c>
      <c r="V2356" s="68">
        <v>0</v>
      </c>
      <c r="W2356" s="0">
        <f>IF(IF(B2356="none",1,IF(B2356="Trialer",1,0))+IF(C2356="Customer",1,IF(C2356="Lost",1,0))=2,1,0)</f>
      </c>
      <c r="X2356" s="0" t="s">
        <v>142</v>
      </c>
      <c r="Y2356" s="0" t="s">
        <v>243</v>
      </c>
      <c r="AV2356" s="68"/>
      <c r="AW2356" s="68"/>
      <c r="AY2356" s="27"/>
      <c r="BD2356" s="68">
        <v>46054.1666666667</v>
      </c>
      <c r="BE2356" s="68">
        <v>46082.1666666667</v>
      </c>
      <c r="BF2356" s="0" t="b">
        <v>0</v>
      </c>
      <c r="BG2356" s="0" t="b">
        <v>0</v>
      </c>
      <c r="BH2356" s="0">
        <v>101</v>
      </c>
      <c r="BI2356" s="0">
        <v>101</v>
      </c>
      <c r="BJ2356" s="0" t="s">
        <v>230</v>
      </c>
    </row>
    <row r="2357">
      <c r="A2357" s="0" t="s">
        <v>2597</v>
      </c>
      <c r="B2357" s="0" t="s">
        <v>134</v>
      </c>
      <c r="C2357" s="0" t="s">
        <v>134</v>
      </c>
      <c r="D2357" s="0" t="s">
        <v>230</v>
      </c>
      <c r="E2357" s="0" t="s">
        <v>3</v>
      </c>
      <c r="F2357" s="0" t="s">
        <v>12</v>
      </c>
      <c r="G2357" s="0" t="s">
        <v>8</v>
      </c>
      <c r="H2357" s="0">
        <v>724</v>
      </c>
      <c r="I2357" s="0">
        <v>551</v>
      </c>
      <c r="J2357" s="0">
        <v>0</v>
      </c>
      <c r="K2357" s="0">
        <v>1</v>
      </c>
      <c r="L2357" s="0">
        <v>6</v>
      </c>
      <c r="M2357" s="0">
        <v>8</v>
      </c>
      <c r="N2357" s="0">
        <v>0</v>
      </c>
      <c r="O2357" s="0">
        <v>0</v>
      </c>
      <c r="P2357" s="0">
        <v>-161</v>
      </c>
      <c r="R2357" s="0" t="b">
        <v>0</v>
      </c>
      <c r="S2357" s="0" t="b">
        <v>1</v>
      </c>
      <c r="T2357" s="68">
        <v>45329.3840277778</v>
      </c>
      <c r="U2357" s="68">
        <v>45343.2916666667</v>
      </c>
      <c r="V2357" s="68">
        <v>0</v>
      </c>
      <c r="W2357" s="0">
        <f>IF(IF(B2357="none",1,IF(B2357="Trialer",1,0))+IF(C2357="Customer",1,IF(C2357="Lost",1,0))=2,1,0)</f>
      </c>
      <c r="X2357" s="0" t="s">
        <v>148</v>
      </c>
      <c r="Y2357" s="0" t="s">
        <v>243</v>
      </c>
      <c r="AV2357" s="68"/>
      <c r="AW2357" s="68"/>
      <c r="AY2357" s="27"/>
      <c r="BD2357" s="68">
        <v>46054.1666666667</v>
      </c>
      <c r="BE2357" s="68">
        <v>46082.1666666667</v>
      </c>
      <c r="BF2357" s="0" t="b">
        <v>0</v>
      </c>
      <c r="BG2357" s="0" t="b">
        <v>0</v>
      </c>
      <c r="BH2357" s="0">
        <v>551</v>
      </c>
      <c r="BI2357" s="0">
        <v>551</v>
      </c>
      <c r="BJ2357" s="0" t="s">
        <v>135</v>
      </c>
    </row>
    <row r="2358">
      <c r="A2358" s="0" t="s">
        <v>2598</v>
      </c>
      <c r="B2358" s="0" t="s">
        <v>134</v>
      </c>
      <c r="C2358" s="0" t="s">
        <v>134</v>
      </c>
      <c r="D2358" s="0" t="s">
        <v>135</v>
      </c>
      <c r="E2358" s="0" t="s">
        <v>2</v>
      </c>
      <c r="F2358" s="0" t="s">
        <v>12</v>
      </c>
      <c r="G2358" s="0" t="s">
        <v>8</v>
      </c>
      <c r="H2358" s="0">
        <v>724</v>
      </c>
      <c r="I2358" s="0">
        <v>146</v>
      </c>
      <c r="J2358" s="0">
        <v>0</v>
      </c>
      <c r="K2358" s="0">
        <v>1</v>
      </c>
      <c r="L2358" s="0">
        <v>5</v>
      </c>
      <c r="M2358" s="0">
        <v>2</v>
      </c>
      <c r="N2358" s="0">
        <v>0</v>
      </c>
      <c r="O2358" s="0">
        <v>0</v>
      </c>
      <c r="P2358" s="0">
        <v>0</v>
      </c>
      <c r="R2358" s="0" t="b">
        <v>0</v>
      </c>
      <c r="S2358" s="0" t="b">
        <v>1</v>
      </c>
      <c r="T2358" s="68">
        <v>45329.5598263889</v>
      </c>
      <c r="U2358" s="68">
        <v>45343.2916666667</v>
      </c>
      <c r="V2358" s="68">
        <v>0</v>
      </c>
      <c r="W2358" s="0">
        <f>IF(IF(B2358="none",1,IF(B2358="Trialer",1,0))+IF(C2358="Customer",1,IF(C2358="Lost",1,0))=2,1,0)</f>
      </c>
      <c r="X2358" s="0" t="s">
        <v>153</v>
      </c>
      <c r="Y2358" s="0" t="s">
        <v>499</v>
      </c>
      <c r="AV2358" s="68"/>
      <c r="AW2358" s="68"/>
      <c r="AY2358" s="27"/>
      <c r="BD2358" s="68">
        <v>46054.1666666667</v>
      </c>
      <c r="BE2358" s="68">
        <v>46082.1666666667</v>
      </c>
      <c r="BF2358" s="0" t="b">
        <v>0</v>
      </c>
      <c r="BG2358" s="0" t="b">
        <v>0</v>
      </c>
      <c r="BH2358" s="0">
        <v>146</v>
      </c>
      <c r="BI2358" s="0">
        <v>146</v>
      </c>
      <c r="BJ2358" s="0" t="s">
        <v>135</v>
      </c>
    </row>
    <row r="2359">
      <c r="A2359" s="0" t="s">
        <v>2599</v>
      </c>
      <c r="B2359" s="0" t="s">
        <v>134</v>
      </c>
      <c r="C2359" s="0" t="s">
        <v>134</v>
      </c>
      <c r="D2359" s="0" t="s">
        <v>135</v>
      </c>
      <c r="E2359" s="0" t="s">
        <v>3</v>
      </c>
      <c r="F2359" s="0" t="s">
        <v>12</v>
      </c>
      <c r="G2359" s="0" t="s">
        <v>8</v>
      </c>
      <c r="H2359" s="0">
        <v>723</v>
      </c>
      <c r="I2359" s="0">
        <v>217</v>
      </c>
      <c r="J2359" s="0">
        <v>0</v>
      </c>
      <c r="K2359" s="0">
        <v>1</v>
      </c>
      <c r="L2359" s="0">
        <v>5</v>
      </c>
      <c r="M2359" s="0">
        <v>4</v>
      </c>
      <c r="N2359" s="0">
        <v>0</v>
      </c>
      <c r="O2359" s="0">
        <v>0</v>
      </c>
      <c r="P2359" s="0">
        <v>0</v>
      </c>
      <c r="R2359" s="0" t="b">
        <v>0</v>
      </c>
      <c r="S2359" s="0" t="b">
        <v>1</v>
      </c>
      <c r="T2359" s="68">
        <v>45330.8206944444</v>
      </c>
      <c r="U2359" s="68">
        <v>45344.2916666667</v>
      </c>
      <c r="V2359" s="68">
        <v>0</v>
      </c>
      <c r="W2359" s="0">
        <f>IF(IF(B2359="none",1,IF(B2359="Trialer",1,0))+IF(C2359="Customer",1,IF(C2359="Lost",1,0))=2,1,0)</f>
      </c>
      <c r="X2359" s="0" t="s">
        <v>148</v>
      </c>
      <c r="Y2359" s="0" t="s">
        <v>243</v>
      </c>
      <c r="AV2359" s="68"/>
      <c r="AW2359" s="68"/>
      <c r="AY2359" s="27"/>
      <c r="BD2359" s="68">
        <v>46054.1666666667</v>
      </c>
      <c r="BE2359" s="68">
        <v>46082.1666666667</v>
      </c>
      <c r="BF2359" s="0" t="b">
        <v>0</v>
      </c>
      <c r="BG2359" s="0" t="b">
        <v>0</v>
      </c>
      <c r="BH2359" s="0">
        <v>183</v>
      </c>
      <c r="BI2359" s="0">
        <v>183</v>
      </c>
      <c r="BJ2359" s="0" t="s">
        <v>135</v>
      </c>
    </row>
    <row r="2360">
      <c r="A2360" s="0" t="s">
        <v>2600</v>
      </c>
      <c r="B2360" s="0" t="s">
        <v>134</v>
      </c>
      <c r="C2360" s="0" t="s">
        <v>134</v>
      </c>
      <c r="D2360" s="0" t="s">
        <v>135</v>
      </c>
      <c r="E2360" s="0" t="s">
        <v>3</v>
      </c>
      <c r="F2360" s="0" t="s">
        <v>12</v>
      </c>
      <c r="G2360" s="0" t="s">
        <v>8</v>
      </c>
      <c r="H2360" s="0">
        <v>722</v>
      </c>
      <c r="I2360" s="0">
        <v>154</v>
      </c>
      <c r="J2360" s="0">
        <v>0</v>
      </c>
      <c r="K2360" s="0">
        <v>1</v>
      </c>
      <c r="L2360" s="0">
        <v>3</v>
      </c>
      <c r="M2360" s="0">
        <v>4</v>
      </c>
      <c r="N2360" s="0">
        <v>0</v>
      </c>
      <c r="O2360" s="0">
        <v>0</v>
      </c>
      <c r="P2360" s="0">
        <v>-1663.2</v>
      </c>
      <c r="R2360" s="0" t="b">
        <v>0</v>
      </c>
      <c r="S2360" s="0" t="b">
        <v>0</v>
      </c>
      <c r="T2360" s="68">
        <v>45331.3571064815</v>
      </c>
      <c r="U2360" s="68">
        <v>45341.2916666667</v>
      </c>
      <c r="V2360" s="68">
        <v>46091.4162731481</v>
      </c>
      <c r="W2360" s="0">
        <f>IF(IF(B2360="none",1,IF(B2360="Trialer",1,0))+IF(C2360="Customer",1,IF(C2360="Lost",1,0))=2,1,0)</f>
      </c>
      <c r="X2360" s="0" t="s">
        <v>145</v>
      </c>
      <c r="Y2360" s="0" t="s">
        <v>243</v>
      </c>
      <c r="AV2360" s="68"/>
      <c r="AW2360" s="68"/>
      <c r="AY2360" s="27"/>
      <c r="BD2360" s="68">
        <v>46054.1666666667</v>
      </c>
      <c r="BE2360" s="68">
        <v>46082.1666666667</v>
      </c>
      <c r="BF2360" s="0" t="b">
        <v>0</v>
      </c>
      <c r="BG2360" s="0" t="b">
        <v>0</v>
      </c>
      <c r="BH2360" s="0">
        <v>154</v>
      </c>
      <c r="BI2360" s="0">
        <v>154</v>
      </c>
      <c r="BJ2360" s="0" t="s">
        <v>230</v>
      </c>
    </row>
    <row r="2361">
      <c r="A2361" s="0" t="s">
        <v>2601</v>
      </c>
      <c r="B2361" s="0" t="s">
        <v>134</v>
      </c>
      <c r="C2361" s="0" t="s">
        <v>134</v>
      </c>
      <c r="D2361" s="0" t="s">
        <v>230</v>
      </c>
      <c r="E2361" s="0" t="s">
        <v>2</v>
      </c>
      <c r="F2361" s="0" t="s">
        <v>12</v>
      </c>
      <c r="G2361" s="0" t="s">
        <v>8</v>
      </c>
      <c r="H2361" s="0">
        <v>722</v>
      </c>
      <c r="I2361" s="0">
        <v>132</v>
      </c>
      <c r="J2361" s="0">
        <v>0</v>
      </c>
      <c r="K2361" s="0">
        <v>1</v>
      </c>
      <c r="L2361" s="0">
        <v>3</v>
      </c>
      <c r="M2361" s="0">
        <v>3</v>
      </c>
      <c r="N2361" s="0">
        <v>0</v>
      </c>
      <c r="O2361" s="0">
        <v>0</v>
      </c>
      <c r="P2361" s="0">
        <v>-132</v>
      </c>
      <c r="R2361" s="0" t="b">
        <v>0</v>
      </c>
      <c r="S2361" s="0" t="b">
        <v>1</v>
      </c>
      <c r="T2361" s="68">
        <v>45331.3975925926</v>
      </c>
      <c r="U2361" s="68">
        <v>45345.2916666667</v>
      </c>
      <c r="V2361" s="68">
        <v>0</v>
      </c>
      <c r="W2361" s="0">
        <f>IF(IF(B2361="none",1,IF(B2361="Trialer",1,0))+IF(C2361="Customer",1,IF(C2361="Lost",1,0))=2,1,0)</f>
      </c>
      <c r="X2361" s="0" t="s">
        <v>166</v>
      </c>
      <c r="Y2361" s="0" t="s">
        <v>499</v>
      </c>
      <c r="AV2361" s="68"/>
      <c r="AW2361" s="68"/>
      <c r="AY2361" s="27"/>
      <c r="BD2361" s="68">
        <v>46054.1666666667</v>
      </c>
      <c r="BE2361" s="68">
        <v>46082.1666666667</v>
      </c>
      <c r="BF2361" s="0" t="b">
        <v>0</v>
      </c>
      <c r="BG2361" s="0" t="b">
        <v>0</v>
      </c>
      <c r="BH2361" s="0">
        <v>147</v>
      </c>
      <c r="BI2361" s="0">
        <v>147</v>
      </c>
      <c r="BJ2361" s="0" t="s">
        <v>230</v>
      </c>
    </row>
    <row r="2362">
      <c r="A2362" s="0" t="s">
        <v>2602</v>
      </c>
      <c r="B2362" s="0" t="s">
        <v>134</v>
      </c>
      <c r="C2362" s="0" t="s">
        <v>134</v>
      </c>
      <c r="D2362" s="0" t="s">
        <v>135</v>
      </c>
      <c r="E2362" s="0" t="s">
        <v>3</v>
      </c>
      <c r="F2362" s="0" t="s">
        <v>12</v>
      </c>
      <c r="G2362" s="0" t="s">
        <v>8</v>
      </c>
      <c r="H2362" s="0">
        <v>722</v>
      </c>
      <c r="I2362" s="0">
        <v>49</v>
      </c>
      <c r="J2362" s="0">
        <v>0</v>
      </c>
      <c r="K2362" s="0">
        <v>1</v>
      </c>
      <c r="L2362" s="0">
        <v>3</v>
      </c>
      <c r="M2362" s="0">
        <v>1</v>
      </c>
      <c r="N2362" s="0">
        <v>0</v>
      </c>
      <c r="O2362" s="0">
        <v>0</v>
      </c>
      <c r="P2362" s="0">
        <v>0</v>
      </c>
      <c r="R2362" s="0" t="b">
        <v>0</v>
      </c>
      <c r="S2362" s="0" t="b">
        <v>1</v>
      </c>
      <c r="T2362" s="68">
        <v>45331.6903703704</v>
      </c>
      <c r="U2362" s="68">
        <v>45359.2916666667</v>
      </c>
      <c r="V2362" s="68">
        <v>0</v>
      </c>
      <c r="W2362" s="0">
        <f>IF(IF(B2362="none",1,IF(B2362="Trialer",1,0))+IF(C2362="Customer",1,IF(C2362="Lost",1,0))=2,1,0)</f>
      </c>
      <c r="X2362" s="0" t="s">
        <v>153</v>
      </c>
      <c r="Y2362" s="0" t="s">
        <v>243</v>
      </c>
      <c r="AV2362" s="68"/>
      <c r="AW2362" s="68"/>
      <c r="AY2362" s="27"/>
      <c r="BD2362" s="68">
        <v>46054.1666666667</v>
      </c>
      <c r="BE2362" s="68">
        <v>46082.1666666667</v>
      </c>
      <c r="BF2362" s="0" t="b">
        <v>0</v>
      </c>
      <c r="BG2362" s="0" t="b">
        <v>0</v>
      </c>
      <c r="BH2362" s="0">
        <v>49</v>
      </c>
      <c r="BI2362" s="0">
        <v>49</v>
      </c>
      <c r="BJ2362" s="0" t="s">
        <v>135</v>
      </c>
    </row>
    <row r="2363">
      <c r="A2363" s="0" t="s">
        <v>2603</v>
      </c>
      <c r="B2363" s="0" t="s">
        <v>134</v>
      </c>
      <c r="C2363" s="0" t="s">
        <v>134</v>
      </c>
      <c r="D2363" s="0" t="s">
        <v>230</v>
      </c>
      <c r="E2363" s="0" t="s">
        <v>2</v>
      </c>
      <c r="F2363" s="0" t="s">
        <v>10</v>
      </c>
      <c r="G2363" s="0" t="s">
        <v>8</v>
      </c>
      <c r="H2363" s="0">
        <v>722</v>
      </c>
      <c r="I2363" s="0">
        <v>346.5</v>
      </c>
      <c r="J2363" s="0">
        <v>0</v>
      </c>
      <c r="K2363" s="0">
        <v>1</v>
      </c>
      <c r="L2363" s="0">
        <v>4</v>
      </c>
      <c r="M2363" s="0">
        <v>7</v>
      </c>
      <c r="N2363" s="0">
        <v>0</v>
      </c>
      <c r="O2363" s="0">
        <v>0</v>
      </c>
      <c r="P2363" s="0">
        <v>-346.5</v>
      </c>
      <c r="Q2363" s="0" t="s">
        <v>357</v>
      </c>
      <c r="R2363" s="0" t="b">
        <v>0</v>
      </c>
      <c r="S2363" s="0" t="b">
        <v>1</v>
      </c>
      <c r="T2363" s="68">
        <v>45331.6940162037</v>
      </c>
      <c r="U2363" s="68">
        <v>45334.2916666667</v>
      </c>
      <c r="V2363" s="68">
        <v>0</v>
      </c>
      <c r="W2363" s="0">
        <f>IF(IF(B2363="none",1,IF(B2363="Trialer",1,0))+IF(C2363="Customer",1,IF(C2363="Lost",1,0))=2,1,0)</f>
      </c>
      <c r="X2363" s="0" t="s">
        <v>148</v>
      </c>
      <c r="Y2363" s="0" t="s">
        <v>499</v>
      </c>
      <c r="AV2363" s="68"/>
      <c r="AW2363" s="68"/>
      <c r="AY2363" s="27"/>
      <c r="BD2363" s="68">
        <v>46054.1666666667</v>
      </c>
      <c r="BE2363" s="68">
        <v>46082.1666666667</v>
      </c>
      <c r="BF2363" s="0" t="b">
        <v>0</v>
      </c>
      <c r="BG2363" s="0" t="b">
        <v>0</v>
      </c>
      <c r="BH2363" s="0">
        <v>385</v>
      </c>
      <c r="BI2363" s="0">
        <v>385</v>
      </c>
      <c r="BJ2363" s="0" t="s">
        <v>230</v>
      </c>
    </row>
    <row r="2364">
      <c r="A2364" s="0" t="s">
        <v>2604</v>
      </c>
      <c r="B2364" s="0" t="s">
        <v>134</v>
      </c>
      <c r="C2364" s="0" t="s">
        <v>134</v>
      </c>
      <c r="D2364" s="0" t="s">
        <v>135</v>
      </c>
      <c r="E2364" s="0" t="s">
        <v>3</v>
      </c>
      <c r="F2364" s="0" t="s">
        <v>12</v>
      </c>
      <c r="G2364" s="0" t="s">
        <v>8</v>
      </c>
      <c r="H2364" s="0">
        <v>721</v>
      </c>
      <c r="I2364" s="0">
        <v>61</v>
      </c>
      <c r="J2364" s="0">
        <v>0</v>
      </c>
      <c r="K2364" s="0">
        <v>1</v>
      </c>
      <c r="L2364" s="0">
        <v>4</v>
      </c>
      <c r="M2364" s="0">
        <v>1</v>
      </c>
      <c r="N2364" s="0">
        <v>0</v>
      </c>
      <c r="O2364" s="0">
        <v>0</v>
      </c>
      <c r="P2364" s="0">
        <v>0</v>
      </c>
      <c r="R2364" s="0" t="b">
        <v>0</v>
      </c>
      <c r="S2364" s="0" t="b">
        <v>1</v>
      </c>
      <c r="T2364" s="68">
        <v>45332.5478472222</v>
      </c>
      <c r="U2364" s="68">
        <v>45351.2916666667</v>
      </c>
      <c r="V2364" s="68">
        <v>0</v>
      </c>
      <c r="W2364" s="0">
        <f>IF(IF(B2364="none",1,IF(B2364="Trialer",1,0))+IF(C2364="Customer",1,IF(C2364="Lost",1,0))=2,1,0)</f>
      </c>
      <c r="X2364" s="0" t="s">
        <v>153</v>
      </c>
      <c r="Y2364" s="0" t="s">
        <v>243</v>
      </c>
      <c r="AV2364" s="68"/>
      <c r="AW2364" s="68"/>
      <c r="AY2364" s="27"/>
      <c r="BD2364" s="68">
        <v>46054.1666666667</v>
      </c>
      <c r="BE2364" s="68">
        <v>46082.1666666667</v>
      </c>
      <c r="BF2364" s="0" t="b">
        <v>0</v>
      </c>
      <c r="BG2364" s="0" t="b">
        <v>0</v>
      </c>
      <c r="BH2364" s="0">
        <v>61</v>
      </c>
      <c r="BI2364" s="0">
        <v>61</v>
      </c>
      <c r="BJ2364" s="0" t="s">
        <v>135</v>
      </c>
    </row>
    <row r="2365">
      <c r="A2365" s="0" t="s">
        <v>2605</v>
      </c>
      <c r="B2365" s="0" t="s">
        <v>134</v>
      </c>
      <c r="C2365" s="0" t="s">
        <v>134</v>
      </c>
      <c r="D2365" s="0" t="s">
        <v>230</v>
      </c>
      <c r="E2365" s="0" t="s">
        <v>3</v>
      </c>
      <c r="F2365" s="0" t="s">
        <v>12</v>
      </c>
      <c r="G2365" s="0" t="s">
        <v>8</v>
      </c>
      <c r="H2365" s="0">
        <v>719</v>
      </c>
      <c r="I2365" s="0">
        <v>131</v>
      </c>
      <c r="J2365" s="0">
        <v>0</v>
      </c>
      <c r="K2365" s="0">
        <v>1</v>
      </c>
      <c r="L2365" s="0">
        <v>3</v>
      </c>
      <c r="M2365" s="0">
        <v>4</v>
      </c>
      <c r="N2365" s="0">
        <v>0</v>
      </c>
      <c r="O2365" s="0">
        <v>0</v>
      </c>
      <c r="P2365" s="0">
        <v>-131</v>
      </c>
      <c r="R2365" s="0" t="b">
        <v>0</v>
      </c>
      <c r="S2365" s="0" t="b">
        <v>1</v>
      </c>
      <c r="T2365" s="68">
        <v>45334.4657986111</v>
      </c>
      <c r="U2365" s="68">
        <v>45349.2916666667</v>
      </c>
      <c r="V2365" s="68">
        <v>0</v>
      </c>
      <c r="W2365" s="0">
        <f>IF(IF(B2365="none",1,IF(B2365="Trialer",1,0))+IF(C2365="Customer",1,IF(C2365="Lost",1,0))=2,1,0)</f>
      </c>
      <c r="X2365" s="0" t="s">
        <v>136</v>
      </c>
      <c r="Y2365" s="0" t="s">
        <v>243</v>
      </c>
      <c r="AV2365" s="68"/>
      <c r="AW2365" s="68"/>
      <c r="AY2365" s="27"/>
      <c r="BD2365" s="68">
        <v>46054.1666666667</v>
      </c>
      <c r="BE2365" s="68">
        <v>46082.1666666667</v>
      </c>
      <c r="BF2365" s="0" t="b">
        <v>0</v>
      </c>
      <c r="BG2365" s="0" t="b">
        <v>0</v>
      </c>
      <c r="BH2365" s="0">
        <v>148</v>
      </c>
      <c r="BI2365" s="0">
        <v>148</v>
      </c>
      <c r="BJ2365" s="0" t="s">
        <v>230</v>
      </c>
    </row>
    <row r="2366">
      <c r="A2366" s="0" t="s">
        <v>2606</v>
      </c>
      <c r="B2366" s="0" t="s">
        <v>134</v>
      </c>
      <c r="C2366" s="0" t="s">
        <v>134</v>
      </c>
      <c r="D2366" s="0" t="s">
        <v>230</v>
      </c>
      <c r="E2366" s="0" t="s">
        <v>3</v>
      </c>
      <c r="F2366" s="0" t="s">
        <v>12</v>
      </c>
      <c r="G2366" s="0" t="s">
        <v>8</v>
      </c>
      <c r="H2366" s="0">
        <v>718</v>
      </c>
      <c r="I2366" s="0">
        <v>72</v>
      </c>
      <c r="J2366" s="0">
        <v>0</v>
      </c>
      <c r="K2366" s="0">
        <v>1</v>
      </c>
      <c r="L2366" s="0">
        <v>2</v>
      </c>
      <c r="M2366" s="0">
        <v>2</v>
      </c>
      <c r="N2366" s="0">
        <v>0</v>
      </c>
      <c r="O2366" s="0">
        <v>0</v>
      </c>
      <c r="P2366" s="0">
        <v>-72</v>
      </c>
      <c r="R2366" s="0" t="b">
        <v>0</v>
      </c>
      <c r="S2366" s="0" t="b">
        <v>1</v>
      </c>
      <c r="T2366" s="68">
        <v>45335.5376736111</v>
      </c>
      <c r="U2366" s="68">
        <v>45349.2916666667</v>
      </c>
      <c r="V2366" s="68">
        <v>0</v>
      </c>
      <c r="W2366" s="0">
        <f>IF(IF(B2366="none",1,IF(B2366="Trialer",1,0))+IF(C2366="Customer",1,IF(C2366="Lost",1,0))=2,1,0)</f>
      </c>
      <c r="X2366" s="0" t="s">
        <v>153</v>
      </c>
      <c r="Y2366" s="0" t="s">
        <v>243</v>
      </c>
      <c r="AV2366" s="68"/>
      <c r="AW2366" s="68"/>
      <c r="AY2366" s="27"/>
      <c r="BD2366" s="68">
        <v>46054.1666666667</v>
      </c>
      <c r="BE2366" s="68">
        <v>46082.1666666667</v>
      </c>
      <c r="BF2366" s="0" t="b">
        <v>0</v>
      </c>
      <c r="BG2366" s="0" t="b">
        <v>0</v>
      </c>
      <c r="BH2366" s="0">
        <v>80</v>
      </c>
      <c r="BI2366" s="0">
        <v>80</v>
      </c>
      <c r="BJ2366" s="0" t="s">
        <v>230</v>
      </c>
    </row>
    <row r="2367">
      <c r="A2367" s="0" t="s">
        <v>2607</v>
      </c>
      <c r="B2367" s="0" t="s">
        <v>134</v>
      </c>
      <c r="C2367" s="0" t="s">
        <v>134</v>
      </c>
      <c r="D2367" s="0" t="s">
        <v>230</v>
      </c>
      <c r="E2367" s="0" t="s">
        <v>3</v>
      </c>
      <c r="F2367" s="0" t="s">
        <v>12</v>
      </c>
      <c r="G2367" s="0" t="s">
        <v>8</v>
      </c>
      <c r="H2367" s="0">
        <v>718</v>
      </c>
      <c r="I2367" s="0">
        <v>25</v>
      </c>
      <c r="J2367" s="0">
        <v>0</v>
      </c>
      <c r="K2367" s="0">
        <v>1</v>
      </c>
      <c r="L2367" s="0">
        <v>1</v>
      </c>
      <c r="M2367" s="0">
        <v>1</v>
      </c>
      <c r="N2367" s="0">
        <v>0</v>
      </c>
      <c r="O2367" s="0">
        <v>0</v>
      </c>
      <c r="P2367" s="0">
        <v>-25</v>
      </c>
      <c r="R2367" s="0" t="b">
        <v>0</v>
      </c>
      <c r="S2367" s="0" t="b">
        <v>1</v>
      </c>
      <c r="T2367" s="68">
        <v>45335.6362962963</v>
      </c>
      <c r="U2367" s="68">
        <v>45352.2916666667</v>
      </c>
      <c r="V2367" s="68">
        <v>0</v>
      </c>
      <c r="W2367" s="0">
        <f>IF(IF(B2367="none",1,IF(B2367="Trialer",1,0))+IF(C2367="Customer",1,IF(C2367="Lost",1,0))=2,1,0)</f>
      </c>
      <c r="X2367" s="0" t="s">
        <v>166</v>
      </c>
      <c r="Y2367" s="0" t="s">
        <v>243</v>
      </c>
      <c r="AV2367" s="68"/>
      <c r="AW2367" s="68"/>
      <c r="AY2367" s="27"/>
      <c r="BD2367" s="68">
        <v>46054.1666666667</v>
      </c>
      <c r="BE2367" s="68">
        <v>46082.1666666667</v>
      </c>
      <c r="BF2367" s="0" t="b">
        <v>0</v>
      </c>
      <c r="BG2367" s="0" t="b">
        <v>0</v>
      </c>
      <c r="BH2367" s="0">
        <v>28</v>
      </c>
      <c r="BI2367" s="0">
        <v>28</v>
      </c>
      <c r="BJ2367" s="0" t="s">
        <v>230</v>
      </c>
    </row>
    <row r="2368">
      <c r="A2368" s="0" t="s">
        <v>2608</v>
      </c>
      <c r="B2368" s="0" t="s">
        <v>134</v>
      </c>
      <c r="C2368" s="0" t="s">
        <v>134</v>
      </c>
      <c r="D2368" s="0" t="s">
        <v>135</v>
      </c>
      <c r="E2368" s="0" t="s">
        <v>3</v>
      </c>
      <c r="F2368" s="0" t="s">
        <v>12</v>
      </c>
      <c r="G2368" s="0" t="s">
        <v>8</v>
      </c>
      <c r="H2368" s="0">
        <v>718</v>
      </c>
      <c r="I2368" s="0">
        <v>170</v>
      </c>
      <c r="J2368" s="0">
        <v>0</v>
      </c>
      <c r="K2368" s="0">
        <v>1</v>
      </c>
      <c r="L2368" s="0">
        <v>6</v>
      </c>
      <c r="M2368" s="0">
        <v>2</v>
      </c>
      <c r="N2368" s="0">
        <v>0</v>
      </c>
      <c r="O2368" s="0">
        <v>0</v>
      </c>
      <c r="P2368" s="0">
        <v>0</v>
      </c>
      <c r="R2368" s="0" t="b">
        <v>0</v>
      </c>
      <c r="S2368" s="0" t="b">
        <v>1</v>
      </c>
      <c r="T2368" s="68">
        <v>45335.9456365741</v>
      </c>
      <c r="U2368" s="68">
        <v>45352.2916666667</v>
      </c>
      <c r="V2368" s="68">
        <v>0</v>
      </c>
      <c r="W2368" s="0">
        <f>IF(IF(B2368="none",1,IF(B2368="Trialer",1,0))+IF(C2368="Customer",1,IF(C2368="Lost",1,0))=2,1,0)</f>
      </c>
      <c r="X2368" s="0" t="s">
        <v>153</v>
      </c>
      <c r="Y2368" s="0" t="s">
        <v>243</v>
      </c>
      <c r="AV2368" s="68"/>
      <c r="AW2368" s="68"/>
      <c r="AY2368" s="27"/>
      <c r="BD2368" s="68">
        <v>46054.1666666667</v>
      </c>
      <c r="BE2368" s="68">
        <v>46082.1666666667</v>
      </c>
      <c r="BF2368" s="0" t="b">
        <v>0</v>
      </c>
      <c r="BG2368" s="0" t="b">
        <v>0</v>
      </c>
      <c r="BH2368" s="0">
        <v>170</v>
      </c>
      <c r="BI2368" s="0">
        <v>170</v>
      </c>
      <c r="BJ2368" s="0" t="s">
        <v>135</v>
      </c>
    </row>
    <row r="2369">
      <c r="A2369" s="0" t="s">
        <v>2609</v>
      </c>
      <c r="B2369" s="0" t="s">
        <v>134</v>
      </c>
      <c r="C2369" s="0" t="s">
        <v>134</v>
      </c>
      <c r="D2369" s="0" t="s">
        <v>135</v>
      </c>
      <c r="E2369" s="0" t="s">
        <v>3</v>
      </c>
      <c r="F2369" s="0" t="s">
        <v>12</v>
      </c>
      <c r="G2369" s="0" t="s">
        <v>8</v>
      </c>
      <c r="H2369" s="0">
        <v>717</v>
      </c>
      <c r="I2369" s="0">
        <v>827</v>
      </c>
      <c r="J2369" s="0">
        <v>0</v>
      </c>
      <c r="K2369" s="0">
        <v>1</v>
      </c>
      <c r="L2369" s="0">
        <v>3</v>
      </c>
      <c r="M2369" s="0">
        <v>10</v>
      </c>
      <c r="N2369" s="0">
        <v>0</v>
      </c>
      <c r="O2369" s="0">
        <v>0</v>
      </c>
      <c r="P2369" s="0">
        <v>0</v>
      </c>
      <c r="R2369" s="0" t="b">
        <v>0</v>
      </c>
      <c r="S2369" s="0" t="b">
        <v>1</v>
      </c>
      <c r="T2369" s="68">
        <v>45336.6074768519</v>
      </c>
      <c r="U2369" s="68">
        <v>45350.2916666667</v>
      </c>
      <c r="V2369" s="68">
        <v>0</v>
      </c>
      <c r="W2369" s="0">
        <f>IF(IF(B2369="none",1,IF(B2369="Trialer",1,0))+IF(C2369="Customer",1,IF(C2369="Lost",1,0))=2,1,0)</f>
      </c>
      <c r="X2369" s="0" t="s">
        <v>148</v>
      </c>
      <c r="Y2369" s="0" t="s">
        <v>243</v>
      </c>
      <c r="AV2369" s="68"/>
      <c r="AW2369" s="68"/>
      <c r="AY2369" s="27"/>
      <c r="BD2369" s="68">
        <v>46054.1666666667</v>
      </c>
      <c r="BE2369" s="68">
        <v>46082.1666666667</v>
      </c>
      <c r="BF2369" s="0" t="b">
        <v>0</v>
      </c>
      <c r="BG2369" s="0" t="b">
        <v>0</v>
      </c>
      <c r="BH2369" s="0">
        <v>582</v>
      </c>
      <c r="BI2369" s="0">
        <v>582</v>
      </c>
      <c r="BJ2369" s="0" t="s">
        <v>135</v>
      </c>
    </row>
    <row r="2370">
      <c r="A2370" s="0" t="s">
        <v>2610</v>
      </c>
      <c r="B2370" s="0" t="s">
        <v>134</v>
      </c>
      <c r="C2370" s="0" t="s">
        <v>190</v>
      </c>
      <c r="D2370" s="0" t="s">
        <v>135</v>
      </c>
      <c r="E2370" s="0" t="s">
        <v>2</v>
      </c>
      <c r="F2370" s="0" t="s">
        <v>12</v>
      </c>
      <c r="G2370" s="0" t="s">
        <v>8</v>
      </c>
      <c r="H2370" s="0">
        <v>716</v>
      </c>
      <c r="I2370" s="0">
        <v>0</v>
      </c>
      <c r="J2370" s="0">
        <v>0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0</v>
      </c>
      <c r="R2370" s="0" t="b">
        <v>0</v>
      </c>
      <c r="S2370" s="0" t="b">
        <v>0</v>
      </c>
      <c r="T2370" s="68">
        <v>45337.6704166667</v>
      </c>
      <c r="U2370" s="68">
        <v>45351.2916666667</v>
      </c>
      <c r="V2370" s="68">
        <v>46077.5054050926</v>
      </c>
      <c r="W2370" s="0">
        <f>IF(IF(B2370="none",1,IF(B2370="Trialer",1,0))+IF(C2370="Customer",1,IF(C2370="Lost",1,0))=2,1,0)</f>
      </c>
      <c r="X2370" s="0" t="s">
        <v>142</v>
      </c>
      <c r="Y2370" s="0" t="s">
        <v>499</v>
      </c>
      <c r="AV2370" s="68"/>
      <c r="AW2370" s="68"/>
      <c r="AY2370" s="27"/>
      <c r="BD2370" s="68">
        <v>46054.1666666667</v>
      </c>
      <c r="BE2370" s="68">
        <v>46082.1666666667</v>
      </c>
      <c r="BF2370" s="0" t="b">
        <v>0</v>
      </c>
      <c r="BG2370" s="0" t="b">
        <v>0</v>
      </c>
      <c r="BH2370" s="0">
        <v>52</v>
      </c>
      <c r="BI2370" s="0">
        <v>52</v>
      </c>
      <c r="BJ2370" s="0" t="s">
        <v>135</v>
      </c>
    </row>
    <row r="2371">
      <c r="A2371" s="0" t="s">
        <v>2611</v>
      </c>
      <c r="B2371" s="0" t="s">
        <v>134</v>
      </c>
      <c r="C2371" s="0" t="s">
        <v>134</v>
      </c>
      <c r="D2371" s="0" t="s">
        <v>230</v>
      </c>
      <c r="E2371" s="0" t="s">
        <v>2</v>
      </c>
      <c r="F2371" s="0" t="s">
        <v>12</v>
      </c>
      <c r="G2371" s="0" t="s">
        <v>8</v>
      </c>
      <c r="H2371" s="0">
        <v>716</v>
      </c>
      <c r="I2371" s="0">
        <v>308.25</v>
      </c>
      <c r="J2371" s="0">
        <v>0</v>
      </c>
      <c r="K2371" s="0">
        <v>1</v>
      </c>
      <c r="L2371" s="0">
        <v>4</v>
      </c>
      <c r="M2371" s="0">
        <v>7</v>
      </c>
      <c r="N2371" s="0">
        <v>0</v>
      </c>
      <c r="O2371" s="0">
        <v>0</v>
      </c>
      <c r="P2371" s="0">
        <v>3655.35</v>
      </c>
      <c r="R2371" s="0" t="b">
        <v>0</v>
      </c>
      <c r="S2371" s="0" t="b">
        <v>1</v>
      </c>
      <c r="T2371" s="68">
        <v>45337.721412037</v>
      </c>
      <c r="U2371" s="68">
        <v>45363.3333333333</v>
      </c>
      <c r="V2371" s="68">
        <v>0</v>
      </c>
      <c r="W2371" s="0">
        <f>IF(IF(B2371="none",1,IF(B2371="Trialer",1,0))+IF(C2371="Customer",1,IF(C2371="Lost",1,0))=2,1,0)</f>
      </c>
      <c r="X2371" s="0" t="s">
        <v>882</v>
      </c>
      <c r="Y2371" s="0" t="s">
        <v>499</v>
      </c>
      <c r="AV2371" s="68"/>
      <c r="AW2371" s="68"/>
      <c r="AY2371" s="27"/>
      <c r="BD2371" s="68">
        <v>46054.1666666667</v>
      </c>
      <c r="BE2371" s="68">
        <v>46082.1666666667</v>
      </c>
      <c r="BF2371" s="0" t="b">
        <v>0</v>
      </c>
      <c r="BG2371" s="0" t="b">
        <v>0</v>
      </c>
      <c r="BH2371" s="0">
        <v>367</v>
      </c>
      <c r="BI2371" s="0">
        <v>367</v>
      </c>
      <c r="BJ2371" s="0" t="s">
        <v>230</v>
      </c>
    </row>
    <row r="2372">
      <c r="A2372" s="0" t="s">
        <v>2612</v>
      </c>
      <c r="B2372" s="0" t="s">
        <v>134</v>
      </c>
      <c r="C2372" s="0" t="s">
        <v>134</v>
      </c>
      <c r="D2372" s="0" t="s">
        <v>135</v>
      </c>
      <c r="E2372" s="0" t="s">
        <v>3</v>
      </c>
      <c r="F2372" s="0" t="s">
        <v>12</v>
      </c>
      <c r="G2372" s="0" t="s">
        <v>8</v>
      </c>
      <c r="H2372" s="0">
        <v>715</v>
      </c>
      <c r="I2372" s="0">
        <v>1518</v>
      </c>
      <c r="J2372" s="0">
        <v>0</v>
      </c>
      <c r="K2372" s="0">
        <v>1</v>
      </c>
      <c r="L2372" s="0">
        <v>6</v>
      </c>
      <c r="M2372" s="0">
        <v>23</v>
      </c>
      <c r="N2372" s="0">
        <v>0</v>
      </c>
      <c r="O2372" s="0">
        <v>0</v>
      </c>
      <c r="P2372" s="0">
        <v>0</v>
      </c>
      <c r="R2372" s="0" t="b">
        <v>0</v>
      </c>
      <c r="S2372" s="0" t="b">
        <v>1</v>
      </c>
      <c r="T2372" s="68">
        <v>45338.4363425926</v>
      </c>
      <c r="U2372" s="68">
        <v>45352.2916666667</v>
      </c>
      <c r="V2372" s="68">
        <v>0</v>
      </c>
      <c r="W2372" s="0">
        <f>IF(IF(B2372="none",1,IF(B2372="Trialer",1,0))+IF(C2372="Customer",1,IF(C2372="Lost",1,0))=2,1,0)</f>
      </c>
      <c r="X2372" s="0" t="s">
        <v>882</v>
      </c>
      <c r="Y2372" s="0" t="s">
        <v>243</v>
      </c>
      <c r="AV2372" s="68"/>
      <c r="AW2372" s="68"/>
      <c r="AY2372" s="27"/>
      <c r="BD2372" s="68">
        <v>46054.1666666667</v>
      </c>
      <c r="BE2372" s="68">
        <v>46082.1666666667</v>
      </c>
      <c r="BF2372" s="0" t="b">
        <v>0</v>
      </c>
      <c r="BG2372" s="0" t="b">
        <v>0</v>
      </c>
      <c r="BH2372" s="0">
        <v>158</v>
      </c>
      <c r="BI2372" s="0">
        <v>158</v>
      </c>
      <c r="BJ2372" s="0" t="s">
        <v>135</v>
      </c>
    </row>
    <row r="2373">
      <c r="A2373" s="0" t="s">
        <v>2613</v>
      </c>
      <c r="B2373" s="0" t="s">
        <v>134</v>
      </c>
      <c r="C2373" s="0" t="s">
        <v>134</v>
      </c>
      <c r="D2373" s="0" t="s">
        <v>135</v>
      </c>
      <c r="E2373" s="0" t="s">
        <v>3</v>
      </c>
      <c r="F2373" s="0" t="s">
        <v>10</v>
      </c>
      <c r="G2373" s="0" t="s">
        <v>8</v>
      </c>
      <c r="H2373" s="0">
        <v>713</v>
      </c>
      <c r="I2373" s="0">
        <v>56</v>
      </c>
      <c r="J2373" s="0">
        <v>0</v>
      </c>
      <c r="K2373" s="0">
        <v>1</v>
      </c>
      <c r="L2373" s="0">
        <v>1</v>
      </c>
      <c r="M2373" s="0">
        <v>2</v>
      </c>
      <c r="N2373" s="0">
        <v>0</v>
      </c>
      <c r="O2373" s="0">
        <v>0</v>
      </c>
      <c r="P2373" s="0">
        <v>0</v>
      </c>
      <c r="Q2373" s="0" t="s">
        <v>618</v>
      </c>
      <c r="R2373" s="0" t="b">
        <v>0</v>
      </c>
      <c r="S2373" s="0" t="b">
        <v>1</v>
      </c>
      <c r="T2373" s="68">
        <v>45340.2863888889</v>
      </c>
      <c r="U2373" s="68">
        <v>45354.2916666667</v>
      </c>
      <c r="V2373" s="68">
        <v>0</v>
      </c>
      <c r="W2373" s="0">
        <f>IF(IF(B2373="none",1,IF(B2373="Trialer",1,0))+IF(C2373="Customer",1,IF(C2373="Lost",1,0))=2,1,0)</f>
      </c>
      <c r="X2373" s="0" t="s">
        <v>148</v>
      </c>
      <c r="Y2373" s="0" t="s">
        <v>243</v>
      </c>
      <c r="AV2373" s="68"/>
      <c r="AW2373" s="68"/>
      <c r="AY2373" s="27"/>
      <c r="BD2373" s="68">
        <v>46054.1666666667</v>
      </c>
      <c r="BE2373" s="68">
        <v>46082.1666666667</v>
      </c>
      <c r="BF2373" s="0" t="b">
        <v>0</v>
      </c>
      <c r="BG2373" s="0" t="b">
        <v>0</v>
      </c>
      <c r="BH2373" s="0">
        <v>56</v>
      </c>
      <c r="BI2373" s="0">
        <v>56</v>
      </c>
      <c r="BJ2373" s="0" t="s">
        <v>135</v>
      </c>
    </row>
    <row r="2374">
      <c r="A2374" s="0" t="s">
        <v>2614</v>
      </c>
      <c r="B2374" s="0" t="s">
        <v>134</v>
      </c>
      <c r="C2374" s="0" t="s">
        <v>134</v>
      </c>
      <c r="D2374" s="0" t="s">
        <v>135</v>
      </c>
      <c r="E2374" s="0" t="s">
        <v>2</v>
      </c>
      <c r="F2374" s="0" t="s">
        <v>12</v>
      </c>
      <c r="G2374" s="0" t="s">
        <v>8</v>
      </c>
      <c r="H2374" s="0">
        <v>711</v>
      </c>
      <c r="I2374" s="0">
        <v>1370</v>
      </c>
      <c r="J2374" s="0">
        <v>0</v>
      </c>
      <c r="K2374" s="0">
        <v>1</v>
      </c>
      <c r="L2374" s="0">
        <v>5</v>
      </c>
      <c r="M2374" s="0">
        <v>19</v>
      </c>
      <c r="N2374" s="0">
        <v>558</v>
      </c>
      <c r="O2374" s="0">
        <v>0</v>
      </c>
      <c r="P2374" s="0">
        <v>0</v>
      </c>
      <c r="R2374" s="0" t="b">
        <v>0</v>
      </c>
      <c r="S2374" s="0" t="b">
        <v>1</v>
      </c>
      <c r="T2374" s="68">
        <v>45342.4027777778</v>
      </c>
      <c r="U2374" s="68">
        <v>45356.2916666667</v>
      </c>
      <c r="V2374" s="68">
        <v>0</v>
      </c>
      <c r="W2374" s="0">
        <f>IF(IF(B2374="none",1,IF(B2374="Trialer",1,0))+IF(C2374="Customer",1,IF(C2374="Lost",1,0))=2,1,0)</f>
      </c>
      <c r="X2374" s="0" t="s">
        <v>148</v>
      </c>
      <c r="Y2374" s="0" t="s">
        <v>499</v>
      </c>
      <c r="AV2374" s="68"/>
      <c r="AW2374" s="68"/>
      <c r="AY2374" s="27"/>
      <c r="BD2374" s="68">
        <v>46054.1666666667</v>
      </c>
      <c r="BE2374" s="68">
        <v>46082.1666666667</v>
      </c>
      <c r="BF2374" s="0" t="b">
        <v>0</v>
      </c>
      <c r="BG2374" s="0" t="b">
        <v>0</v>
      </c>
      <c r="BH2374" s="0">
        <v>1057</v>
      </c>
      <c r="BI2374" s="0">
        <v>1057</v>
      </c>
      <c r="BJ2374" s="0" t="s">
        <v>135</v>
      </c>
    </row>
    <row r="2375">
      <c r="A2375" s="0" t="s">
        <v>2615</v>
      </c>
      <c r="B2375" s="0" t="s">
        <v>134</v>
      </c>
      <c r="C2375" s="0" t="s">
        <v>134</v>
      </c>
      <c r="D2375" s="0" t="s">
        <v>135</v>
      </c>
      <c r="E2375" s="0" t="s">
        <v>3</v>
      </c>
      <c r="F2375" s="0" t="s">
        <v>12</v>
      </c>
      <c r="G2375" s="0" t="s">
        <v>8</v>
      </c>
      <c r="H2375" s="0">
        <v>711</v>
      </c>
      <c r="I2375" s="0">
        <v>28</v>
      </c>
      <c r="J2375" s="0">
        <v>0</v>
      </c>
      <c r="K2375" s="0">
        <v>1</v>
      </c>
      <c r="L2375" s="0">
        <v>1</v>
      </c>
      <c r="M2375" s="0">
        <v>1</v>
      </c>
      <c r="N2375" s="0">
        <v>0</v>
      </c>
      <c r="O2375" s="0">
        <v>0</v>
      </c>
      <c r="P2375" s="0">
        <v>0</v>
      </c>
      <c r="R2375" s="0" t="b">
        <v>0</v>
      </c>
      <c r="S2375" s="0" t="b">
        <v>1</v>
      </c>
      <c r="T2375" s="68">
        <v>45342.425162037</v>
      </c>
      <c r="U2375" s="68">
        <v>45356.2916666667</v>
      </c>
      <c r="V2375" s="68">
        <v>0</v>
      </c>
      <c r="W2375" s="0">
        <f>IF(IF(B2375="none",1,IF(B2375="Trialer",1,0))+IF(C2375="Customer",1,IF(C2375="Lost",1,0))=2,1,0)</f>
      </c>
      <c r="X2375" s="0" t="s">
        <v>142</v>
      </c>
      <c r="Y2375" s="0" t="s">
        <v>487</v>
      </c>
      <c r="AV2375" s="68"/>
      <c r="AW2375" s="68"/>
      <c r="AY2375" s="27"/>
      <c r="BD2375" s="68">
        <v>46054.1666666667</v>
      </c>
      <c r="BE2375" s="68">
        <v>46082.1666666667</v>
      </c>
      <c r="BF2375" s="0" t="b">
        <v>0</v>
      </c>
      <c r="BG2375" s="0" t="b">
        <v>0</v>
      </c>
      <c r="BH2375" s="0">
        <v>28</v>
      </c>
      <c r="BI2375" s="0">
        <v>28</v>
      </c>
      <c r="BJ2375" s="0" t="s">
        <v>135</v>
      </c>
    </row>
    <row r="2376">
      <c r="A2376" s="0" t="s">
        <v>2616</v>
      </c>
      <c r="B2376" s="0" t="s">
        <v>134</v>
      </c>
      <c r="C2376" s="0" t="s">
        <v>134</v>
      </c>
      <c r="D2376" s="0" t="s">
        <v>135</v>
      </c>
      <c r="E2376" s="0" t="s">
        <v>3</v>
      </c>
      <c r="F2376" s="0" t="s">
        <v>12</v>
      </c>
      <c r="G2376" s="0" t="s">
        <v>8</v>
      </c>
      <c r="H2376" s="0">
        <v>711</v>
      </c>
      <c r="I2376" s="0">
        <v>201</v>
      </c>
      <c r="J2376" s="0">
        <v>0</v>
      </c>
      <c r="K2376" s="0">
        <v>1</v>
      </c>
      <c r="L2376" s="0">
        <v>4</v>
      </c>
      <c r="M2376" s="0">
        <v>6</v>
      </c>
      <c r="N2376" s="0">
        <v>0</v>
      </c>
      <c r="O2376" s="0">
        <v>0</v>
      </c>
      <c r="P2376" s="0">
        <v>0</v>
      </c>
      <c r="R2376" s="0" t="b">
        <v>0</v>
      </c>
      <c r="S2376" s="0" t="b">
        <v>1</v>
      </c>
      <c r="T2376" s="68">
        <v>45342.6636342593</v>
      </c>
      <c r="U2376" s="68">
        <v>45356.2916666667</v>
      </c>
      <c r="V2376" s="68">
        <v>0</v>
      </c>
      <c r="W2376" s="0">
        <f>IF(IF(B2376="none",1,IF(B2376="Trialer",1,0))+IF(C2376="Customer",1,IF(C2376="Lost",1,0))=2,1,0)</f>
      </c>
      <c r="X2376" s="0" t="s">
        <v>145</v>
      </c>
      <c r="Y2376" s="0" t="s">
        <v>243</v>
      </c>
      <c r="AV2376" s="68"/>
      <c r="AW2376" s="68"/>
      <c r="AY2376" s="27"/>
      <c r="BD2376" s="68">
        <v>46054.1666666667</v>
      </c>
      <c r="BE2376" s="68">
        <v>46082.1666666667</v>
      </c>
      <c r="BF2376" s="0" t="b">
        <v>0</v>
      </c>
      <c r="BG2376" s="0" t="b">
        <v>0</v>
      </c>
      <c r="BH2376" s="0">
        <v>201</v>
      </c>
      <c r="BI2376" s="0">
        <v>201</v>
      </c>
      <c r="BJ2376" s="0" t="s">
        <v>135</v>
      </c>
    </row>
    <row r="2377">
      <c r="A2377" s="0" t="s">
        <v>2617</v>
      </c>
      <c r="B2377" s="0" t="s">
        <v>134</v>
      </c>
      <c r="C2377" s="0" t="s">
        <v>134</v>
      </c>
      <c r="D2377" s="0" t="s">
        <v>135</v>
      </c>
      <c r="E2377" s="0" t="s">
        <v>2</v>
      </c>
      <c r="F2377" s="0" t="s">
        <v>12</v>
      </c>
      <c r="G2377" s="0" t="s">
        <v>8</v>
      </c>
      <c r="H2377" s="0">
        <v>710</v>
      </c>
      <c r="I2377" s="0">
        <v>150</v>
      </c>
      <c r="J2377" s="0">
        <v>0</v>
      </c>
      <c r="K2377" s="0">
        <v>1</v>
      </c>
      <c r="L2377" s="0">
        <v>4</v>
      </c>
      <c r="M2377" s="0">
        <v>3</v>
      </c>
      <c r="N2377" s="0">
        <v>0</v>
      </c>
      <c r="O2377" s="0">
        <v>0</v>
      </c>
      <c r="P2377" s="0">
        <v>0</v>
      </c>
      <c r="R2377" s="0" t="b">
        <v>0</v>
      </c>
      <c r="S2377" s="0" t="b">
        <v>1</v>
      </c>
      <c r="T2377" s="68">
        <v>45343.5617824074</v>
      </c>
      <c r="U2377" s="68">
        <v>45357.2916666667</v>
      </c>
      <c r="V2377" s="68">
        <v>0</v>
      </c>
      <c r="W2377" s="0">
        <f>IF(IF(B2377="none",1,IF(B2377="Trialer",1,0))+IF(C2377="Customer",1,IF(C2377="Lost",1,0))=2,1,0)</f>
      </c>
      <c r="X2377" s="0" t="s">
        <v>153</v>
      </c>
      <c r="Y2377" s="0" t="s">
        <v>499</v>
      </c>
      <c r="AV2377" s="68"/>
      <c r="AW2377" s="68"/>
      <c r="AY2377" s="27"/>
      <c r="BD2377" s="68">
        <v>46054.1666666667</v>
      </c>
      <c r="BE2377" s="68">
        <v>46082.1666666667</v>
      </c>
      <c r="BF2377" s="0" t="b">
        <v>0</v>
      </c>
      <c r="BG2377" s="0" t="b">
        <v>0</v>
      </c>
      <c r="BH2377" s="0">
        <v>150</v>
      </c>
      <c r="BI2377" s="0">
        <v>150</v>
      </c>
      <c r="BJ2377" s="0" t="s">
        <v>135</v>
      </c>
    </row>
    <row r="2378">
      <c r="A2378" s="0" t="s">
        <v>2618</v>
      </c>
      <c r="B2378" s="0" t="s">
        <v>134</v>
      </c>
      <c r="C2378" s="0" t="s">
        <v>134</v>
      </c>
      <c r="D2378" s="0" t="s">
        <v>135</v>
      </c>
      <c r="E2378" s="0" t="s">
        <v>3</v>
      </c>
      <c r="F2378" s="0" t="s">
        <v>12</v>
      </c>
      <c r="G2378" s="0" t="s">
        <v>8</v>
      </c>
      <c r="H2378" s="0">
        <v>710</v>
      </c>
      <c r="I2378" s="0">
        <v>98</v>
      </c>
      <c r="J2378" s="0">
        <v>0</v>
      </c>
      <c r="K2378" s="0">
        <v>1</v>
      </c>
      <c r="L2378" s="0">
        <v>3</v>
      </c>
      <c r="M2378" s="0">
        <v>2</v>
      </c>
      <c r="N2378" s="0">
        <v>0</v>
      </c>
      <c r="O2378" s="0">
        <v>0</v>
      </c>
      <c r="P2378" s="0">
        <v>0</v>
      </c>
      <c r="R2378" s="0" t="b">
        <v>0</v>
      </c>
      <c r="S2378" s="0" t="b">
        <v>1</v>
      </c>
      <c r="T2378" s="68">
        <v>45343.562349537</v>
      </c>
      <c r="U2378" s="68">
        <v>45359.2916666667</v>
      </c>
      <c r="V2378" s="68">
        <v>0</v>
      </c>
      <c r="W2378" s="0">
        <f>IF(IF(B2378="none",1,IF(B2378="Trialer",1,0))+IF(C2378="Customer",1,IF(C2378="Lost",1,0))=2,1,0)</f>
      </c>
      <c r="X2378" s="0" t="s">
        <v>153</v>
      </c>
      <c r="Y2378" s="0" t="s">
        <v>243</v>
      </c>
      <c r="AV2378" s="68"/>
      <c r="AW2378" s="68"/>
      <c r="AY2378" s="27"/>
      <c r="BD2378" s="68">
        <v>46054.1666666667</v>
      </c>
      <c r="BE2378" s="68">
        <v>46082.1666666667</v>
      </c>
      <c r="BF2378" s="0" t="b">
        <v>0</v>
      </c>
      <c r="BG2378" s="0" t="b">
        <v>0</v>
      </c>
      <c r="BH2378" s="0">
        <v>98</v>
      </c>
      <c r="BI2378" s="0">
        <v>98</v>
      </c>
      <c r="BJ2378" s="0" t="s">
        <v>135</v>
      </c>
    </row>
    <row r="2379">
      <c r="A2379" s="0" t="s">
        <v>2619</v>
      </c>
      <c r="B2379" s="0" t="s">
        <v>134</v>
      </c>
      <c r="C2379" s="0" t="s">
        <v>134</v>
      </c>
      <c r="D2379" s="0" t="s">
        <v>230</v>
      </c>
      <c r="E2379" s="0" t="s">
        <v>3</v>
      </c>
      <c r="F2379" s="0" t="s">
        <v>12</v>
      </c>
      <c r="G2379" s="0" t="s">
        <v>8</v>
      </c>
      <c r="H2379" s="0">
        <v>710</v>
      </c>
      <c r="I2379" s="0">
        <v>44</v>
      </c>
      <c r="J2379" s="0">
        <v>0</v>
      </c>
      <c r="K2379" s="0">
        <v>1</v>
      </c>
      <c r="L2379" s="0">
        <v>3</v>
      </c>
      <c r="M2379" s="0">
        <v>1</v>
      </c>
      <c r="N2379" s="0">
        <v>0</v>
      </c>
      <c r="O2379" s="0">
        <v>0</v>
      </c>
      <c r="P2379" s="0">
        <v>-44</v>
      </c>
      <c r="R2379" s="0" t="b">
        <v>0</v>
      </c>
      <c r="S2379" s="0" t="b">
        <v>1</v>
      </c>
      <c r="T2379" s="68">
        <v>45343.5860532407</v>
      </c>
      <c r="U2379" s="68">
        <v>45357.2916666667</v>
      </c>
      <c r="V2379" s="68">
        <v>0</v>
      </c>
      <c r="W2379" s="0">
        <f>IF(IF(B2379="none",1,IF(B2379="Trialer",1,0))+IF(C2379="Customer",1,IF(C2379="Lost",1,0))=2,1,0)</f>
      </c>
      <c r="X2379" s="0" t="s">
        <v>166</v>
      </c>
      <c r="Y2379" s="0" t="s">
        <v>243</v>
      </c>
      <c r="AV2379" s="68"/>
      <c r="AW2379" s="68"/>
      <c r="AY2379" s="27"/>
      <c r="BD2379" s="68">
        <v>46054.1666666667</v>
      </c>
      <c r="BE2379" s="68">
        <v>46082.1666666667</v>
      </c>
      <c r="BF2379" s="0" t="b">
        <v>0</v>
      </c>
      <c r="BG2379" s="0" t="b">
        <v>0</v>
      </c>
      <c r="BH2379" s="0">
        <v>49</v>
      </c>
      <c r="BI2379" s="0">
        <v>49</v>
      </c>
      <c r="BJ2379" s="0" t="s">
        <v>230</v>
      </c>
    </row>
    <row r="2380">
      <c r="A2380" s="0" t="s">
        <v>2620</v>
      </c>
      <c r="B2380" s="0" t="s">
        <v>134</v>
      </c>
      <c r="C2380" s="0" t="s">
        <v>134</v>
      </c>
      <c r="D2380" s="0" t="s">
        <v>135</v>
      </c>
      <c r="E2380" s="0" t="s">
        <v>2</v>
      </c>
      <c r="F2380" s="0" t="s">
        <v>12</v>
      </c>
      <c r="G2380" s="0" t="s">
        <v>8</v>
      </c>
      <c r="H2380" s="0">
        <v>710</v>
      </c>
      <c r="I2380" s="0">
        <v>152</v>
      </c>
      <c r="J2380" s="0">
        <v>0</v>
      </c>
      <c r="K2380" s="0">
        <v>1</v>
      </c>
      <c r="L2380" s="0">
        <v>2</v>
      </c>
      <c r="M2380" s="0">
        <v>5</v>
      </c>
      <c r="N2380" s="0">
        <v>0</v>
      </c>
      <c r="O2380" s="0">
        <v>0</v>
      </c>
      <c r="P2380" s="0">
        <v>0</v>
      </c>
      <c r="R2380" s="0" t="b">
        <v>0</v>
      </c>
      <c r="S2380" s="0" t="b">
        <v>1</v>
      </c>
      <c r="T2380" s="68">
        <v>45343.6971064815</v>
      </c>
      <c r="U2380" s="68">
        <v>45357.2916666667</v>
      </c>
      <c r="V2380" s="68">
        <v>0</v>
      </c>
      <c r="W2380" s="0">
        <f>IF(IF(B2380="none",1,IF(B2380="Trialer",1,0))+IF(C2380="Customer",1,IF(C2380="Lost",1,0))=2,1,0)</f>
      </c>
      <c r="X2380" s="0" t="s">
        <v>145</v>
      </c>
      <c r="Y2380" s="0" t="s">
        <v>499</v>
      </c>
      <c r="AV2380" s="68"/>
      <c r="AW2380" s="68"/>
      <c r="AY2380" s="27"/>
      <c r="BD2380" s="68">
        <v>46054.1666666667</v>
      </c>
      <c r="BE2380" s="68">
        <v>46082.1666666667</v>
      </c>
      <c r="BF2380" s="0" t="b">
        <v>0</v>
      </c>
      <c r="BG2380" s="0" t="b">
        <v>0</v>
      </c>
      <c r="BH2380" s="0">
        <v>152</v>
      </c>
      <c r="BI2380" s="0">
        <v>152</v>
      </c>
      <c r="BJ2380" s="0" t="s">
        <v>135</v>
      </c>
    </row>
    <row r="2381">
      <c r="A2381" s="0" t="s">
        <v>2621</v>
      </c>
      <c r="B2381" s="0" t="s">
        <v>134</v>
      </c>
      <c r="C2381" s="0" t="s">
        <v>134</v>
      </c>
      <c r="D2381" s="0" t="s">
        <v>230</v>
      </c>
      <c r="E2381" s="0" t="s">
        <v>3</v>
      </c>
      <c r="F2381" s="0" t="s">
        <v>12</v>
      </c>
      <c r="G2381" s="0" t="s">
        <v>8</v>
      </c>
      <c r="H2381" s="0">
        <v>710</v>
      </c>
      <c r="I2381" s="0">
        <v>128</v>
      </c>
      <c r="J2381" s="0">
        <v>0</v>
      </c>
      <c r="K2381" s="0">
        <v>1</v>
      </c>
      <c r="L2381" s="0">
        <v>5</v>
      </c>
      <c r="M2381" s="0">
        <v>2</v>
      </c>
      <c r="N2381" s="0">
        <v>0</v>
      </c>
      <c r="O2381" s="0">
        <v>0</v>
      </c>
      <c r="P2381" s="0">
        <v>1408</v>
      </c>
      <c r="R2381" s="0" t="b">
        <v>0</v>
      </c>
      <c r="S2381" s="0" t="b">
        <v>1</v>
      </c>
      <c r="T2381" s="68">
        <v>45343.7031134259</v>
      </c>
      <c r="U2381" s="68">
        <v>45357.2916666667</v>
      </c>
      <c r="V2381" s="68">
        <v>0</v>
      </c>
      <c r="W2381" s="0">
        <f>IF(IF(B2381="none",1,IF(B2381="Trialer",1,0))+IF(C2381="Customer",1,IF(C2381="Lost",1,0))=2,1,0)</f>
      </c>
      <c r="X2381" s="0" t="s">
        <v>153</v>
      </c>
      <c r="Y2381" s="0" t="s">
        <v>243</v>
      </c>
      <c r="AV2381" s="68"/>
      <c r="AW2381" s="68"/>
      <c r="AY2381" s="27"/>
      <c r="BD2381" s="68">
        <v>46054.1666666667</v>
      </c>
      <c r="BE2381" s="68">
        <v>46082.1666666667</v>
      </c>
      <c r="BF2381" s="0" t="b">
        <v>0</v>
      </c>
      <c r="BG2381" s="0" t="b">
        <v>0</v>
      </c>
      <c r="BH2381" s="0">
        <v>146</v>
      </c>
      <c r="BI2381" s="0">
        <v>146</v>
      </c>
      <c r="BJ2381" s="0" t="s">
        <v>230</v>
      </c>
    </row>
    <row r="2382">
      <c r="A2382" s="0" t="s">
        <v>2622</v>
      </c>
      <c r="B2382" s="0" t="s">
        <v>134</v>
      </c>
      <c r="C2382" s="0" t="s">
        <v>134</v>
      </c>
      <c r="D2382" s="0" t="s">
        <v>135</v>
      </c>
      <c r="E2382" s="0" t="s">
        <v>3</v>
      </c>
      <c r="F2382" s="0" t="s">
        <v>10</v>
      </c>
      <c r="G2382" s="0" t="s">
        <v>8</v>
      </c>
      <c r="H2382" s="0">
        <v>709</v>
      </c>
      <c r="I2382" s="0">
        <v>694</v>
      </c>
      <c r="J2382" s="0">
        <v>0</v>
      </c>
      <c r="K2382" s="0">
        <v>1</v>
      </c>
      <c r="L2382" s="0">
        <v>3</v>
      </c>
      <c r="M2382" s="0">
        <v>9</v>
      </c>
      <c r="N2382" s="0">
        <v>0</v>
      </c>
      <c r="O2382" s="0">
        <v>0</v>
      </c>
      <c r="P2382" s="0">
        <v>0</v>
      </c>
      <c r="Q2382" s="0" t="s">
        <v>168</v>
      </c>
      <c r="R2382" s="0" t="b">
        <v>0</v>
      </c>
      <c r="S2382" s="0" t="b">
        <v>1</v>
      </c>
      <c r="T2382" s="68">
        <v>45344.3453009259</v>
      </c>
      <c r="U2382" s="68">
        <v>45358.2916666667</v>
      </c>
      <c r="V2382" s="68">
        <v>0</v>
      </c>
      <c r="W2382" s="0">
        <f>IF(IF(B2382="none",1,IF(B2382="Trialer",1,0))+IF(C2382="Customer",1,IF(C2382="Lost",1,0))=2,1,0)</f>
      </c>
      <c r="X2382" s="0" t="s">
        <v>148</v>
      </c>
      <c r="Y2382" s="0" t="s">
        <v>243</v>
      </c>
      <c r="AV2382" s="68"/>
      <c r="AW2382" s="68"/>
      <c r="AY2382" s="27"/>
      <c r="BD2382" s="68">
        <v>46054.1666666667</v>
      </c>
      <c r="BE2382" s="68">
        <v>46082.1666666667</v>
      </c>
      <c r="BF2382" s="0" t="b">
        <v>0</v>
      </c>
      <c r="BG2382" s="0" t="b">
        <v>0</v>
      </c>
      <c r="BH2382" s="0">
        <v>369</v>
      </c>
      <c r="BI2382" s="0">
        <v>369</v>
      </c>
      <c r="BJ2382" s="0" t="s">
        <v>135</v>
      </c>
    </row>
    <row r="2383">
      <c r="A2383" s="0" t="s">
        <v>2623</v>
      </c>
      <c r="B2383" s="0" t="s">
        <v>134</v>
      </c>
      <c r="C2383" s="0" t="s">
        <v>134</v>
      </c>
      <c r="D2383" s="0" t="s">
        <v>135</v>
      </c>
      <c r="E2383" s="0" t="s">
        <v>3</v>
      </c>
      <c r="F2383" s="0" t="s">
        <v>12</v>
      </c>
      <c r="G2383" s="0" t="s">
        <v>8</v>
      </c>
      <c r="H2383" s="0">
        <v>709</v>
      </c>
      <c r="I2383" s="0">
        <v>135</v>
      </c>
      <c r="J2383" s="0">
        <v>0</v>
      </c>
      <c r="K2383" s="0">
        <v>1</v>
      </c>
      <c r="L2383" s="0">
        <v>3</v>
      </c>
      <c r="M2383" s="0">
        <v>3</v>
      </c>
      <c r="N2383" s="0">
        <v>0</v>
      </c>
      <c r="O2383" s="0">
        <v>0</v>
      </c>
      <c r="P2383" s="0">
        <v>0</v>
      </c>
      <c r="R2383" s="0" t="b">
        <v>0</v>
      </c>
      <c r="S2383" s="0" t="b">
        <v>1</v>
      </c>
      <c r="T2383" s="68">
        <v>45344.6174074074</v>
      </c>
      <c r="U2383" s="68">
        <v>45358.2916666667</v>
      </c>
      <c r="V2383" s="68">
        <v>0</v>
      </c>
      <c r="W2383" s="0">
        <f>IF(IF(B2383="none",1,IF(B2383="Trialer",1,0))+IF(C2383="Customer",1,IF(C2383="Lost",1,0))=2,1,0)</f>
      </c>
      <c r="X2383" s="0" t="s">
        <v>153</v>
      </c>
      <c r="Y2383" s="0" t="s">
        <v>243</v>
      </c>
      <c r="AV2383" s="68"/>
      <c r="AW2383" s="68"/>
      <c r="AY2383" s="27"/>
      <c r="BD2383" s="68">
        <v>46054.1666666667</v>
      </c>
      <c r="BE2383" s="68">
        <v>46082.1666666667</v>
      </c>
      <c r="BF2383" s="0" t="b">
        <v>0</v>
      </c>
      <c r="BG2383" s="0" t="b">
        <v>0</v>
      </c>
      <c r="BH2383" s="0">
        <v>135</v>
      </c>
      <c r="BI2383" s="0">
        <v>135</v>
      </c>
      <c r="BJ2383" s="0" t="s">
        <v>135</v>
      </c>
    </row>
    <row r="2384">
      <c r="A2384" s="0" t="s">
        <v>2624</v>
      </c>
      <c r="B2384" s="0" t="s">
        <v>134</v>
      </c>
      <c r="C2384" s="0" t="s">
        <v>134</v>
      </c>
      <c r="D2384" s="0" t="s">
        <v>135</v>
      </c>
      <c r="E2384" s="0" t="s">
        <v>3</v>
      </c>
      <c r="F2384" s="0" t="s">
        <v>12</v>
      </c>
      <c r="G2384" s="0" t="s">
        <v>8</v>
      </c>
      <c r="H2384" s="0">
        <v>709</v>
      </c>
      <c r="I2384" s="0">
        <v>61</v>
      </c>
      <c r="J2384" s="0">
        <v>0</v>
      </c>
      <c r="K2384" s="0">
        <v>1</v>
      </c>
      <c r="L2384" s="0">
        <v>4</v>
      </c>
      <c r="M2384" s="0">
        <v>1</v>
      </c>
      <c r="N2384" s="0">
        <v>0</v>
      </c>
      <c r="O2384" s="0">
        <v>0</v>
      </c>
      <c r="P2384" s="0">
        <v>0</v>
      </c>
      <c r="R2384" s="0" t="b">
        <v>0</v>
      </c>
      <c r="S2384" s="0" t="b">
        <v>1</v>
      </c>
      <c r="T2384" s="68">
        <v>45344.6185648148</v>
      </c>
      <c r="U2384" s="68">
        <v>45344.2916666667</v>
      </c>
      <c r="V2384" s="68">
        <v>0</v>
      </c>
      <c r="W2384" s="0">
        <f>IF(IF(B2384="none",1,IF(B2384="Trialer",1,0))+IF(C2384="Customer",1,IF(C2384="Lost",1,0))=2,1,0)</f>
      </c>
      <c r="X2384" s="0" t="s">
        <v>148</v>
      </c>
      <c r="Y2384" s="0" t="s">
        <v>243</v>
      </c>
      <c r="AV2384" s="68"/>
      <c r="AW2384" s="68"/>
      <c r="AY2384" s="27"/>
      <c r="BD2384" s="68">
        <v>46054.1666666667</v>
      </c>
      <c r="BE2384" s="68">
        <v>46082.1666666667</v>
      </c>
      <c r="BF2384" s="0" t="b">
        <v>0</v>
      </c>
      <c r="BG2384" s="0" t="b">
        <v>0</v>
      </c>
      <c r="BH2384" s="0">
        <v>61</v>
      </c>
      <c r="BI2384" s="0">
        <v>61</v>
      </c>
      <c r="BJ2384" s="0" t="s">
        <v>135</v>
      </c>
    </row>
    <row r="2385">
      <c r="A2385" s="0" t="s">
        <v>2625</v>
      </c>
      <c r="B2385" s="0" t="s">
        <v>134</v>
      </c>
      <c r="C2385" s="0" t="s">
        <v>134</v>
      </c>
      <c r="D2385" s="0" t="s">
        <v>230</v>
      </c>
      <c r="E2385" s="0" t="s">
        <v>3</v>
      </c>
      <c r="F2385" s="0" t="s">
        <v>12</v>
      </c>
      <c r="G2385" s="0" t="s">
        <v>8</v>
      </c>
      <c r="H2385" s="0">
        <v>709</v>
      </c>
      <c r="I2385" s="0">
        <v>113.8</v>
      </c>
      <c r="J2385" s="0">
        <v>0</v>
      </c>
      <c r="K2385" s="0">
        <v>2</v>
      </c>
      <c r="L2385" s="0">
        <v>0</v>
      </c>
      <c r="M2385" s="0">
        <v>0</v>
      </c>
      <c r="N2385" s="0">
        <v>0</v>
      </c>
      <c r="O2385" s="0">
        <v>0</v>
      </c>
      <c r="P2385" s="0">
        <v>-73.8</v>
      </c>
      <c r="R2385" s="0" t="b">
        <v>0</v>
      </c>
      <c r="S2385" s="0" t="b">
        <v>1</v>
      </c>
      <c r="T2385" s="68">
        <v>45344.9504166667</v>
      </c>
      <c r="U2385" s="68">
        <v>45358.2916666667</v>
      </c>
      <c r="V2385" s="68">
        <v>0</v>
      </c>
      <c r="W2385" s="0">
        <f>IF(IF(B2385="none",1,IF(B2385="Trialer",1,0))+IF(C2385="Customer",1,IF(C2385="Lost",1,0))=2,1,0)</f>
      </c>
      <c r="X2385" s="0" t="s">
        <v>653</v>
      </c>
      <c r="Y2385" s="0" t="s">
        <v>243</v>
      </c>
      <c r="AV2385" s="68"/>
      <c r="AW2385" s="68"/>
      <c r="AY2385" s="27"/>
      <c r="BD2385" s="68">
        <v>46054.1666666667</v>
      </c>
      <c r="BE2385" s="68">
        <v>46082.1666666667</v>
      </c>
      <c r="BF2385" s="0" t="b">
        <v>0</v>
      </c>
      <c r="BG2385" s="0" t="b">
        <v>0</v>
      </c>
      <c r="BH2385" s="0">
        <v>122</v>
      </c>
      <c r="BI2385" s="0">
        <v>122</v>
      </c>
      <c r="BJ2385" s="0" t="s">
        <v>135</v>
      </c>
    </row>
    <row r="2386">
      <c r="A2386" s="0" t="s">
        <v>2626</v>
      </c>
      <c r="B2386" s="0" t="s">
        <v>134</v>
      </c>
      <c r="C2386" s="0" t="s">
        <v>134</v>
      </c>
      <c r="D2386" s="0" t="s">
        <v>230</v>
      </c>
      <c r="E2386" s="0" t="s">
        <v>3</v>
      </c>
      <c r="F2386" s="0" t="s">
        <v>12</v>
      </c>
      <c r="G2386" s="0" t="s">
        <v>8</v>
      </c>
      <c r="H2386" s="0">
        <v>708</v>
      </c>
      <c r="I2386" s="0">
        <v>113.4</v>
      </c>
      <c r="J2386" s="0">
        <v>0</v>
      </c>
      <c r="K2386" s="0">
        <v>1</v>
      </c>
      <c r="L2386" s="0">
        <v>3</v>
      </c>
      <c r="M2386" s="0">
        <v>3</v>
      </c>
      <c r="N2386" s="0">
        <v>0</v>
      </c>
      <c r="O2386" s="0">
        <v>0</v>
      </c>
      <c r="P2386" s="0">
        <v>1247.4</v>
      </c>
      <c r="R2386" s="0" t="b">
        <v>0</v>
      </c>
      <c r="S2386" s="0" t="b">
        <v>1</v>
      </c>
      <c r="T2386" s="68">
        <v>45345.201099537</v>
      </c>
      <c r="U2386" s="68">
        <v>45362.3333333333</v>
      </c>
      <c r="V2386" s="68">
        <v>0</v>
      </c>
      <c r="W2386" s="0">
        <f>IF(IF(B2386="none",1,IF(B2386="Trialer",1,0))+IF(C2386="Customer",1,IF(C2386="Lost",1,0))=2,1,0)</f>
      </c>
      <c r="X2386" s="0" t="s">
        <v>142</v>
      </c>
      <c r="Y2386" s="0" t="s">
        <v>243</v>
      </c>
      <c r="AV2386" s="68"/>
      <c r="AW2386" s="68"/>
      <c r="AY2386" s="27"/>
      <c r="BD2386" s="68">
        <v>46054.1666666667</v>
      </c>
      <c r="BE2386" s="68">
        <v>46082.1666666667</v>
      </c>
      <c r="BF2386" s="0" t="b">
        <v>0</v>
      </c>
      <c r="BG2386" s="0" t="b">
        <v>0</v>
      </c>
      <c r="BH2386" s="0">
        <v>126</v>
      </c>
      <c r="BI2386" s="0">
        <v>126</v>
      </c>
      <c r="BJ2386" s="0" t="s">
        <v>230</v>
      </c>
    </row>
    <row r="2387">
      <c r="A2387" s="0" t="s">
        <v>2627</v>
      </c>
      <c r="B2387" s="0" t="s">
        <v>134</v>
      </c>
      <c r="C2387" s="0" t="s">
        <v>134</v>
      </c>
      <c r="D2387" s="0" t="s">
        <v>135</v>
      </c>
      <c r="E2387" s="0" t="s">
        <v>3</v>
      </c>
      <c r="F2387" s="0" t="s">
        <v>10</v>
      </c>
      <c r="G2387" s="0" t="s">
        <v>8</v>
      </c>
      <c r="H2387" s="0">
        <v>708</v>
      </c>
      <c r="I2387" s="0">
        <v>28</v>
      </c>
      <c r="J2387" s="0">
        <v>0</v>
      </c>
      <c r="K2387" s="0">
        <v>1</v>
      </c>
      <c r="L2387" s="0">
        <v>1</v>
      </c>
      <c r="M2387" s="0">
        <v>1</v>
      </c>
      <c r="N2387" s="0">
        <v>0</v>
      </c>
      <c r="O2387" s="0">
        <v>0</v>
      </c>
      <c r="P2387" s="0">
        <v>0</v>
      </c>
      <c r="Q2387" s="0" t="s">
        <v>618</v>
      </c>
      <c r="R2387" s="0" t="b">
        <v>0</v>
      </c>
      <c r="S2387" s="0" t="b">
        <v>1</v>
      </c>
      <c r="T2387" s="68">
        <v>45345.2128009259</v>
      </c>
      <c r="U2387" s="68">
        <v>45359.2916666667</v>
      </c>
      <c r="V2387" s="68">
        <v>0</v>
      </c>
      <c r="W2387" s="0">
        <f>IF(IF(B2387="none",1,IF(B2387="Trialer",1,0))+IF(C2387="Customer",1,IF(C2387="Lost",1,0))=2,1,0)</f>
      </c>
      <c r="X2387" s="0" t="s">
        <v>148</v>
      </c>
      <c r="Y2387" s="0" t="s">
        <v>243</v>
      </c>
      <c r="AV2387" s="68"/>
      <c r="AW2387" s="68"/>
      <c r="AY2387" s="27"/>
      <c r="BD2387" s="68">
        <v>46054.1666666667</v>
      </c>
      <c r="BE2387" s="68">
        <v>46082.1666666667</v>
      </c>
      <c r="BF2387" s="0" t="b">
        <v>0</v>
      </c>
      <c r="BG2387" s="0" t="b">
        <v>0</v>
      </c>
      <c r="BH2387" s="0">
        <v>28</v>
      </c>
      <c r="BI2387" s="0">
        <v>28</v>
      </c>
      <c r="BJ2387" s="0" t="s">
        <v>135</v>
      </c>
    </row>
    <row r="2388">
      <c r="A2388" s="0" t="s">
        <v>2628</v>
      </c>
      <c r="B2388" s="0" t="s">
        <v>134</v>
      </c>
      <c r="C2388" s="0" t="s">
        <v>134</v>
      </c>
      <c r="D2388" s="0" t="s">
        <v>230</v>
      </c>
      <c r="E2388" s="0" t="s">
        <v>3</v>
      </c>
      <c r="F2388" s="0" t="s">
        <v>12</v>
      </c>
      <c r="G2388" s="0" t="s">
        <v>8</v>
      </c>
      <c r="H2388" s="0">
        <v>708</v>
      </c>
      <c r="I2388" s="0">
        <v>36</v>
      </c>
      <c r="J2388" s="0">
        <v>0</v>
      </c>
      <c r="K2388" s="0">
        <v>1</v>
      </c>
      <c r="L2388" s="0">
        <v>2</v>
      </c>
      <c r="M2388" s="0">
        <v>1</v>
      </c>
      <c r="N2388" s="0">
        <v>0</v>
      </c>
      <c r="O2388" s="0">
        <v>0</v>
      </c>
      <c r="P2388" s="0">
        <v>396</v>
      </c>
      <c r="R2388" s="0" t="b">
        <v>0</v>
      </c>
      <c r="S2388" s="0" t="b">
        <v>1</v>
      </c>
      <c r="T2388" s="68">
        <v>45345.4706944444</v>
      </c>
      <c r="U2388" s="68">
        <v>45359.2916666667</v>
      </c>
      <c r="V2388" s="68">
        <v>0</v>
      </c>
      <c r="W2388" s="0">
        <f>IF(IF(B2388="none",1,IF(B2388="Trialer",1,0))+IF(C2388="Customer",1,IF(C2388="Lost",1,0))=2,1,0)</f>
      </c>
      <c r="X2388" s="0" t="s">
        <v>142</v>
      </c>
      <c r="Y2388" s="0" t="s">
        <v>243</v>
      </c>
      <c r="AV2388" s="68"/>
      <c r="AW2388" s="68"/>
      <c r="AY2388" s="27"/>
      <c r="BD2388" s="68">
        <v>46054.1666666667</v>
      </c>
      <c r="BE2388" s="68">
        <v>46082.1666666667</v>
      </c>
      <c r="BF2388" s="0" t="b">
        <v>0</v>
      </c>
      <c r="BG2388" s="0" t="b">
        <v>0</v>
      </c>
      <c r="BH2388" s="0">
        <v>40</v>
      </c>
      <c r="BI2388" s="0">
        <v>40</v>
      </c>
      <c r="BJ2388" s="0" t="s">
        <v>230</v>
      </c>
    </row>
    <row r="2389">
      <c r="A2389" s="0" t="s">
        <v>2629</v>
      </c>
      <c r="B2389" s="0" t="s">
        <v>134</v>
      </c>
      <c r="C2389" s="0" t="s">
        <v>134</v>
      </c>
      <c r="D2389" s="0" t="s">
        <v>135</v>
      </c>
      <c r="E2389" s="0" t="s">
        <v>2</v>
      </c>
      <c r="F2389" s="0" t="s">
        <v>10</v>
      </c>
      <c r="G2389" s="0" t="s">
        <v>8</v>
      </c>
      <c r="H2389" s="0">
        <v>708</v>
      </c>
      <c r="I2389" s="0">
        <v>2304</v>
      </c>
      <c r="J2389" s="0">
        <v>0</v>
      </c>
      <c r="K2389" s="0">
        <v>1</v>
      </c>
      <c r="L2389" s="0">
        <v>6</v>
      </c>
      <c r="M2389" s="0">
        <v>54</v>
      </c>
      <c r="N2389" s="0">
        <v>688.75</v>
      </c>
      <c r="O2389" s="0">
        <v>0</v>
      </c>
      <c r="P2389" s="0">
        <v>0</v>
      </c>
      <c r="Q2389" s="0" t="s">
        <v>1914</v>
      </c>
      <c r="R2389" s="0" t="b">
        <v>0</v>
      </c>
      <c r="S2389" s="0" t="b">
        <v>1</v>
      </c>
      <c r="T2389" s="68">
        <v>45345.9130902778</v>
      </c>
      <c r="U2389" s="68">
        <v>45380.3333333333</v>
      </c>
      <c r="V2389" s="68">
        <v>0</v>
      </c>
      <c r="W2389" s="0">
        <f>IF(IF(B2389="none",1,IF(B2389="Trialer",1,0))+IF(C2389="Customer",1,IF(C2389="Lost",1,0))=2,1,0)</f>
      </c>
      <c r="X2389" s="0" t="s">
        <v>148</v>
      </c>
      <c r="Y2389" s="0" t="s">
        <v>499</v>
      </c>
      <c r="AV2389" s="68"/>
      <c r="AW2389" s="68"/>
      <c r="AY2389" s="27"/>
      <c r="BD2389" s="68">
        <v>46054.1666666667</v>
      </c>
      <c r="BE2389" s="68">
        <v>46082.1666666667</v>
      </c>
      <c r="BF2389" s="0" t="b">
        <v>0</v>
      </c>
      <c r="BG2389" s="0" t="b">
        <v>0</v>
      </c>
      <c r="BH2389" s="0">
        <v>2304</v>
      </c>
      <c r="BI2389" s="0">
        <v>2304</v>
      </c>
      <c r="BJ2389" s="0" t="s">
        <v>135</v>
      </c>
    </row>
    <row r="2390">
      <c r="A2390" s="0" t="s">
        <v>2630</v>
      </c>
      <c r="B2390" s="0" t="s">
        <v>134</v>
      </c>
      <c r="C2390" s="0" t="s">
        <v>134</v>
      </c>
      <c r="D2390" s="0" t="s">
        <v>135</v>
      </c>
      <c r="E2390" s="0" t="s">
        <v>3</v>
      </c>
      <c r="F2390" s="0" t="s">
        <v>10</v>
      </c>
      <c r="G2390" s="0" t="s">
        <v>8</v>
      </c>
      <c r="H2390" s="0">
        <v>705</v>
      </c>
      <c r="I2390" s="0">
        <v>385</v>
      </c>
      <c r="J2390" s="0">
        <v>0</v>
      </c>
      <c r="K2390" s="0">
        <v>1</v>
      </c>
      <c r="L2390" s="0">
        <v>3</v>
      </c>
      <c r="M2390" s="0">
        <v>10</v>
      </c>
      <c r="N2390" s="0">
        <v>0</v>
      </c>
      <c r="O2390" s="0">
        <v>0</v>
      </c>
      <c r="P2390" s="0">
        <v>0</v>
      </c>
      <c r="Q2390" s="0" t="s">
        <v>618</v>
      </c>
      <c r="R2390" s="0" t="b">
        <v>0</v>
      </c>
      <c r="S2390" s="0" t="b">
        <v>1</v>
      </c>
      <c r="T2390" s="68">
        <v>45348.505775463</v>
      </c>
      <c r="U2390" s="68">
        <v>45362.3333333333</v>
      </c>
      <c r="V2390" s="68">
        <v>0</v>
      </c>
      <c r="W2390" s="0">
        <f>IF(IF(B2390="none",1,IF(B2390="Trialer",1,0))+IF(C2390="Customer",1,IF(C2390="Lost",1,0))=2,1,0)</f>
      </c>
      <c r="X2390" s="0" t="s">
        <v>148</v>
      </c>
      <c r="Y2390" s="0" t="s">
        <v>243</v>
      </c>
      <c r="AV2390" s="68"/>
      <c r="AW2390" s="68"/>
      <c r="AY2390" s="27"/>
      <c r="BD2390" s="68">
        <v>46054.1666666667</v>
      </c>
      <c r="BE2390" s="68">
        <v>46082.1666666667</v>
      </c>
      <c r="BF2390" s="0" t="b">
        <v>0</v>
      </c>
      <c r="BG2390" s="0" t="b">
        <v>0</v>
      </c>
      <c r="BH2390" s="0">
        <v>455</v>
      </c>
      <c r="BI2390" s="0">
        <v>455</v>
      </c>
      <c r="BJ2390" s="0" t="s">
        <v>135</v>
      </c>
    </row>
    <row r="2391">
      <c r="A2391" s="0" t="s">
        <v>2631</v>
      </c>
      <c r="B2391" s="0" t="s">
        <v>134</v>
      </c>
      <c r="C2391" s="0" t="s">
        <v>134</v>
      </c>
      <c r="D2391" s="0" t="s">
        <v>135</v>
      </c>
      <c r="E2391" s="0" t="s">
        <v>3</v>
      </c>
      <c r="F2391" s="0" t="s">
        <v>12</v>
      </c>
      <c r="G2391" s="0" t="s">
        <v>8</v>
      </c>
      <c r="H2391" s="0">
        <v>705</v>
      </c>
      <c r="I2391" s="0">
        <v>1283</v>
      </c>
      <c r="J2391" s="0">
        <v>0</v>
      </c>
      <c r="K2391" s="0">
        <v>1</v>
      </c>
      <c r="L2391" s="0">
        <v>5</v>
      </c>
      <c r="M2391" s="0">
        <v>20</v>
      </c>
      <c r="N2391" s="0">
        <v>0</v>
      </c>
      <c r="O2391" s="0">
        <v>0</v>
      </c>
      <c r="P2391" s="0">
        <v>0</v>
      </c>
      <c r="R2391" s="0" t="b">
        <v>0</v>
      </c>
      <c r="S2391" s="0" t="b">
        <v>1</v>
      </c>
      <c r="T2391" s="68">
        <v>45348.528587963</v>
      </c>
      <c r="U2391" s="68">
        <v>45368.3333333333</v>
      </c>
      <c r="V2391" s="68">
        <v>0</v>
      </c>
      <c r="W2391" s="0">
        <f>IF(IF(B2391="none",1,IF(B2391="Trialer",1,0))+IF(C2391="Customer",1,IF(C2391="Lost",1,0))=2,1,0)</f>
      </c>
      <c r="X2391" s="0" t="s">
        <v>148</v>
      </c>
      <c r="Y2391" s="0" t="s">
        <v>243</v>
      </c>
      <c r="AV2391" s="68"/>
      <c r="AW2391" s="68"/>
      <c r="AY2391" s="27"/>
      <c r="BD2391" s="68">
        <v>46054.1666666667</v>
      </c>
      <c r="BE2391" s="68">
        <v>46082.1666666667</v>
      </c>
      <c r="BF2391" s="0" t="b">
        <v>0</v>
      </c>
      <c r="BG2391" s="0" t="b">
        <v>0</v>
      </c>
      <c r="BH2391" s="0">
        <v>1283</v>
      </c>
      <c r="BI2391" s="0">
        <v>1283</v>
      </c>
      <c r="BJ2391" s="0" t="s">
        <v>135</v>
      </c>
    </row>
    <row r="2392">
      <c r="A2392" s="0" t="s">
        <v>2632</v>
      </c>
      <c r="B2392" s="0" t="s">
        <v>134</v>
      </c>
      <c r="C2392" s="0" t="s">
        <v>134</v>
      </c>
      <c r="D2392" s="0" t="s">
        <v>135</v>
      </c>
      <c r="E2392" s="0" t="s">
        <v>3</v>
      </c>
      <c r="F2392" s="0" t="s">
        <v>12</v>
      </c>
      <c r="G2392" s="0" t="s">
        <v>8</v>
      </c>
      <c r="H2392" s="0">
        <v>705</v>
      </c>
      <c r="I2392" s="0">
        <v>125</v>
      </c>
      <c r="J2392" s="0">
        <v>0</v>
      </c>
      <c r="K2392" s="0">
        <v>1</v>
      </c>
      <c r="L2392" s="0">
        <v>5</v>
      </c>
      <c r="M2392" s="0">
        <v>2</v>
      </c>
      <c r="N2392" s="0">
        <v>0</v>
      </c>
      <c r="O2392" s="0">
        <v>0</v>
      </c>
      <c r="P2392" s="0">
        <v>0</v>
      </c>
      <c r="R2392" s="0" t="b">
        <v>0</v>
      </c>
      <c r="S2392" s="0" t="b">
        <v>1</v>
      </c>
      <c r="T2392" s="68">
        <v>45348.5334375</v>
      </c>
      <c r="U2392" s="68">
        <v>45386.3333333333</v>
      </c>
      <c r="V2392" s="68">
        <v>0</v>
      </c>
      <c r="W2392" s="0">
        <f>IF(IF(B2392="none",1,IF(B2392="Trialer",1,0))+IF(C2392="Customer",1,IF(C2392="Lost",1,0))=2,1,0)</f>
      </c>
      <c r="X2392" s="0" t="s">
        <v>166</v>
      </c>
      <c r="Y2392" s="0" t="s">
        <v>243</v>
      </c>
      <c r="AV2392" s="68"/>
      <c r="AW2392" s="68"/>
      <c r="AY2392" s="27"/>
      <c r="BD2392" s="68">
        <v>46054.1666666667</v>
      </c>
      <c r="BE2392" s="68">
        <v>46082.1666666667</v>
      </c>
      <c r="BF2392" s="0" t="b">
        <v>0</v>
      </c>
      <c r="BG2392" s="0" t="b">
        <v>0</v>
      </c>
      <c r="BH2392" s="0">
        <v>125</v>
      </c>
      <c r="BI2392" s="0">
        <v>125</v>
      </c>
      <c r="BJ2392" s="0" t="s">
        <v>135</v>
      </c>
    </row>
    <row r="2393">
      <c r="A2393" s="0" t="s">
        <v>2633</v>
      </c>
      <c r="B2393" s="0" t="s">
        <v>134</v>
      </c>
      <c r="C2393" s="0" t="s">
        <v>134</v>
      </c>
      <c r="D2393" s="0" t="s">
        <v>135</v>
      </c>
      <c r="E2393" s="0" t="s">
        <v>2</v>
      </c>
      <c r="F2393" s="0" t="s">
        <v>12</v>
      </c>
      <c r="G2393" s="0" t="s">
        <v>8</v>
      </c>
      <c r="H2393" s="0">
        <v>704</v>
      </c>
      <c r="I2393" s="0">
        <v>447</v>
      </c>
      <c r="J2393" s="0">
        <v>0</v>
      </c>
      <c r="K2393" s="0">
        <v>1</v>
      </c>
      <c r="L2393" s="0">
        <v>4</v>
      </c>
      <c r="M2393" s="0">
        <v>2</v>
      </c>
      <c r="N2393" s="0">
        <v>0</v>
      </c>
      <c r="O2393" s="0">
        <v>0</v>
      </c>
      <c r="P2393" s="0">
        <v>0</v>
      </c>
      <c r="R2393" s="0" t="b">
        <v>0</v>
      </c>
      <c r="S2393" s="0" t="b">
        <v>1</v>
      </c>
      <c r="T2393" s="68">
        <v>45349.6875</v>
      </c>
      <c r="U2393" s="68">
        <v>45366.3333333333</v>
      </c>
      <c r="V2393" s="68">
        <v>0</v>
      </c>
      <c r="W2393" s="0">
        <f>IF(IF(B2393="none",1,IF(B2393="Trialer",1,0))+IF(C2393="Customer",1,IF(C2393="Lost",1,0))=2,1,0)</f>
      </c>
      <c r="X2393" s="0" t="s">
        <v>142</v>
      </c>
      <c r="Y2393" s="0" t="s">
        <v>499</v>
      </c>
      <c r="AV2393" s="68"/>
      <c r="AW2393" s="68"/>
      <c r="AY2393" s="27"/>
      <c r="BD2393" s="68">
        <v>46054.1666666667</v>
      </c>
      <c r="BE2393" s="68">
        <v>46082.1666666667</v>
      </c>
      <c r="BF2393" s="0" t="b">
        <v>0</v>
      </c>
      <c r="BG2393" s="0" t="b">
        <v>0</v>
      </c>
      <c r="BH2393" s="0">
        <v>122</v>
      </c>
      <c r="BI2393" s="0">
        <v>122</v>
      </c>
      <c r="BJ2393" s="0" t="s">
        <v>135</v>
      </c>
    </row>
    <row r="2394">
      <c r="A2394" s="0" t="s">
        <v>2634</v>
      </c>
      <c r="B2394" s="0" t="s">
        <v>134</v>
      </c>
      <c r="C2394" s="0" t="s">
        <v>134</v>
      </c>
      <c r="D2394" s="0" t="s">
        <v>135</v>
      </c>
      <c r="E2394" s="0" t="s">
        <v>3</v>
      </c>
      <c r="F2394" s="0" t="s">
        <v>12</v>
      </c>
      <c r="G2394" s="0" t="s">
        <v>8</v>
      </c>
      <c r="H2394" s="0">
        <v>703</v>
      </c>
      <c r="I2394" s="0">
        <v>301</v>
      </c>
      <c r="J2394" s="0">
        <v>0</v>
      </c>
      <c r="K2394" s="0">
        <v>1</v>
      </c>
      <c r="L2394" s="0">
        <v>3</v>
      </c>
      <c r="M2394" s="0">
        <v>7</v>
      </c>
      <c r="N2394" s="0">
        <v>0</v>
      </c>
      <c r="O2394" s="0">
        <v>0</v>
      </c>
      <c r="P2394" s="0">
        <v>0</v>
      </c>
      <c r="R2394" s="0" t="b">
        <v>0</v>
      </c>
      <c r="S2394" s="0" t="b">
        <v>1</v>
      </c>
      <c r="T2394" s="68">
        <v>45350.4455208333</v>
      </c>
      <c r="U2394" s="68">
        <v>45366.3333333333</v>
      </c>
      <c r="V2394" s="68">
        <v>0</v>
      </c>
      <c r="W2394" s="0">
        <f>IF(IF(B2394="none",1,IF(B2394="Trialer",1,0))+IF(C2394="Customer",1,IF(C2394="Lost",1,0))=2,1,0)</f>
      </c>
      <c r="X2394" s="0" t="s">
        <v>136</v>
      </c>
      <c r="Y2394" s="0" t="s">
        <v>243</v>
      </c>
      <c r="AV2394" s="68"/>
      <c r="AW2394" s="68"/>
      <c r="AY2394" s="27"/>
      <c r="BD2394" s="68">
        <v>46054.1666666667</v>
      </c>
      <c r="BE2394" s="68">
        <v>46082.1666666667</v>
      </c>
      <c r="BF2394" s="0" t="b">
        <v>0</v>
      </c>
      <c r="BG2394" s="0" t="b">
        <v>0</v>
      </c>
      <c r="BH2394" s="0">
        <v>350</v>
      </c>
      <c r="BI2394" s="0">
        <v>350</v>
      </c>
      <c r="BJ2394" s="0" t="s">
        <v>135</v>
      </c>
    </row>
    <row r="2395">
      <c r="A2395" s="0" t="s">
        <v>2635</v>
      </c>
      <c r="B2395" s="0" t="s">
        <v>134</v>
      </c>
      <c r="C2395" s="0" t="s">
        <v>134</v>
      </c>
      <c r="D2395" s="0" t="s">
        <v>135</v>
      </c>
      <c r="E2395" s="0" t="s">
        <v>3</v>
      </c>
      <c r="F2395" s="0" t="s">
        <v>12</v>
      </c>
      <c r="G2395" s="0" t="s">
        <v>8</v>
      </c>
      <c r="H2395" s="0">
        <v>702</v>
      </c>
      <c r="I2395" s="0">
        <v>138</v>
      </c>
      <c r="J2395" s="0">
        <v>0</v>
      </c>
      <c r="K2395" s="0">
        <v>1</v>
      </c>
      <c r="L2395" s="0">
        <v>4</v>
      </c>
      <c r="M2395" s="0">
        <v>3</v>
      </c>
      <c r="N2395" s="0">
        <v>0</v>
      </c>
      <c r="O2395" s="0">
        <v>0</v>
      </c>
      <c r="P2395" s="0">
        <v>0</v>
      </c>
      <c r="R2395" s="0" t="b">
        <v>0</v>
      </c>
      <c r="S2395" s="0" t="b">
        <v>1</v>
      </c>
      <c r="T2395" s="68">
        <v>45351.4371412037</v>
      </c>
      <c r="U2395" s="68">
        <v>45365.3333333333</v>
      </c>
      <c r="V2395" s="68">
        <v>0</v>
      </c>
      <c r="W2395" s="0">
        <f>IF(IF(B2395="none",1,IF(B2395="Trialer",1,0))+IF(C2395="Customer",1,IF(C2395="Lost",1,0))=2,1,0)</f>
      </c>
      <c r="X2395" s="0" t="s">
        <v>142</v>
      </c>
      <c r="Y2395" s="0" t="s">
        <v>243</v>
      </c>
      <c r="AV2395" s="68"/>
      <c r="AW2395" s="68"/>
      <c r="AY2395" s="27"/>
      <c r="BD2395" s="68">
        <v>46054.1666666667</v>
      </c>
      <c r="BE2395" s="68">
        <v>46082.1666666667</v>
      </c>
      <c r="BF2395" s="0" t="b">
        <v>0</v>
      </c>
      <c r="BG2395" s="0" t="b">
        <v>0</v>
      </c>
      <c r="BH2395" s="0">
        <v>138</v>
      </c>
      <c r="BI2395" s="0">
        <v>138</v>
      </c>
      <c r="BJ2395" s="0" t="s">
        <v>135</v>
      </c>
    </row>
    <row r="2396">
      <c r="A2396" s="0" t="s">
        <v>2636</v>
      </c>
      <c r="B2396" s="0" t="s">
        <v>134</v>
      </c>
      <c r="C2396" s="0" t="s">
        <v>134</v>
      </c>
      <c r="D2396" s="0" t="s">
        <v>135</v>
      </c>
      <c r="E2396" s="0" t="s">
        <v>3</v>
      </c>
      <c r="F2396" s="0" t="s">
        <v>10</v>
      </c>
      <c r="G2396" s="0" t="s">
        <v>8</v>
      </c>
      <c r="H2396" s="0">
        <v>701</v>
      </c>
      <c r="I2396" s="0">
        <v>28</v>
      </c>
      <c r="J2396" s="0">
        <v>0</v>
      </c>
      <c r="K2396" s="0">
        <v>1</v>
      </c>
      <c r="L2396" s="0">
        <v>1</v>
      </c>
      <c r="M2396" s="0">
        <v>1</v>
      </c>
      <c r="N2396" s="0">
        <v>0</v>
      </c>
      <c r="O2396" s="0">
        <v>0</v>
      </c>
      <c r="P2396" s="0">
        <v>0</v>
      </c>
      <c r="Q2396" s="0" t="s">
        <v>618</v>
      </c>
      <c r="R2396" s="0" t="b">
        <v>0</v>
      </c>
      <c r="S2396" s="0" t="b">
        <v>1</v>
      </c>
      <c r="T2396" s="68">
        <v>45352.2114699074</v>
      </c>
      <c r="U2396" s="68">
        <v>45366.3333333333</v>
      </c>
      <c r="V2396" s="68">
        <v>0</v>
      </c>
      <c r="W2396" s="0">
        <f>IF(IF(B2396="none",1,IF(B2396="Trialer",1,0))+IF(C2396="Customer",1,IF(C2396="Lost",1,0))=2,1,0)</f>
      </c>
      <c r="X2396" s="0" t="s">
        <v>148</v>
      </c>
      <c r="Y2396" s="0" t="s">
        <v>243</v>
      </c>
      <c r="AV2396" s="68"/>
      <c r="AW2396" s="68"/>
      <c r="AY2396" s="27"/>
      <c r="BD2396" s="68">
        <v>46054.1666666667</v>
      </c>
      <c r="BE2396" s="68">
        <v>46082.1666666667</v>
      </c>
      <c r="BF2396" s="0" t="b">
        <v>0</v>
      </c>
      <c r="BG2396" s="0" t="b">
        <v>0</v>
      </c>
      <c r="BH2396" s="0">
        <v>28</v>
      </c>
      <c r="BI2396" s="0">
        <v>28</v>
      </c>
      <c r="BJ2396" s="0" t="s">
        <v>135</v>
      </c>
    </row>
    <row r="2397">
      <c r="A2397" s="0" t="s">
        <v>2637</v>
      </c>
      <c r="B2397" s="0" t="s">
        <v>134</v>
      </c>
      <c r="C2397" s="0" t="s">
        <v>134</v>
      </c>
      <c r="D2397" s="0" t="s">
        <v>230</v>
      </c>
      <c r="E2397" s="0" t="s">
        <v>3</v>
      </c>
      <c r="F2397" s="0" t="s">
        <v>12</v>
      </c>
      <c r="G2397" s="0" t="s">
        <v>8</v>
      </c>
      <c r="H2397" s="0">
        <v>701</v>
      </c>
      <c r="I2397" s="0">
        <v>59</v>
      </c>
      <c r="J2397" s="0">
        <v>0</v>
      </c>
      <c r="K2397" s="0">
        <v>1</v>
      </c>
      <c r="L2397" s="0">
        <v>3</v>
      </c>
      <c r="M2397" s="0">
        <v>2</v>
      </c>
      <c r="N2397" s="0">
        <v>0</v>
      </c>
      <c r="O2397" s="0">
        <v>0</v>
      </c>
      <c r="P2397" s="0">
        <v>-59</v>
      </c>
      <c r="R2397" s="0" t="b">
        <v>0</v>
      </c>
      <c r="S2397" s="0" t="b">
        <v>1</v>
      </c>
      <c r="T2397" s="68">
        <v>45352.4857407407</v>
      </c>
      <c r="U2397" s="68">
        <v>45366.3333333333</v>
      </c>
      <c r="V2397" s="68">
        <v>0</v>
      </c>
      <c r="W2397" s="0">
        <f>IF(IF(B2397="none",1,IF(B2397="Trialer",1,0))+IF(C2397="Customer",1,IF(C2397="Lost",1,0))=2,1,0)</f>
      </c>
      <c r="X2397" s="0" t="s">
        <v>153</v>
      </c>
      <c r="Y2397" s="0" t="s">
        <v>243</v>
      </c>
      <c r="AV2397" s="68"/>
      <c r="AW2397" s="68"/>
      <c r="AY2397" s="27"/>
      <c r="BD2397" s="68">
        <v>46054.1666666667</v>
      </c>
      <c r="BE2397" s="68">
        <v>46082.1666666667</v>
      </c>
      <c r="BF2397" s="0" t="b">
        <v>0</v>
      </c>
      <c r="BG2397" s="0" t="b">
        <v>0</v>
      </c>
      <c r="BH2397" s="0">
        <v>67</v>
      </c>
      <c r="BI2397" s="0">
        <v>67</v>
      </c>
      <c r="BJ2397" s="0" t="s">
        <v>230</v>
      </c>
    </row>
    <row r="2398">
      <c r="A2398" s="0" t="s">
        <v>2638</v>
      </c>
      <c r="B2398" s="0" t="s">
        <v>134</v>
      </c>
      <c r="C2398" s="0" t="s">
        <v>134</v>
      </c>
      <c r="D2398" s="0" t="s">
        <v>230</v>
      </c>
      <c r="E2398" s="0" t="s">
        <v>3</v>
      </c>
      <c r="F2398" s="0" t="s">
        <v>10</v>
      </c>
      <c r="G2398" s="0" t="s">
        <v>8</v>
      </c>
      <c r="H2398" s="0">
        <v>701</v>
      </c>
      <c r="I2398" s="0">
        <v>236</v>
      </c>
      <c r="J2398" s="0">
        <v>0</v>
      </c>
      <c r="K2398" s="0">
        <v>1</v>
      </c>
      <c r="L2398" s="0">
        <v>2</v>
      </c>
      <c r="M2398" s="0">
        <v>9</v>
      </c>
      <c r="N2398" s="0">
        <v>0</v>
      </c>
      <c r="O2398" s="0">
        <v>0</v>
      </c>
      <c r="P2398" s="0">
        <v>2596</v>
      </c>
      <c r="Q2398" s="0" t="s">
        <v>498</v>
      </c>
      <c r="R2398" s="0" t="b">
        <v>0</v>
      </c>
      <c r="S2398" s="0" t="b">
        <v>1</v>
      </c>
      <c r="T2398" s="68">
        <v>45352.5350578704</v>
      </c>
      <c r="U2398" s="68">
        <v>45366.3333333333</v>
      </c>
      <c r="V2398" s="68">
        <v>0</v>
      </c>
      <c r="W2398" s="0">
        <f>IF(IF(B2398="none",1,IF(B2398="Trialer",1,0))+IF(C2398="Customer",1,IF(C2398="Lost",1,0))=2,1,0)</f>
      </c>
      <c r="X2398" s="0" t="s">
        <v>136</v>
      </c>
      <c r="Y2398" s="0" t="s">
        <v>243</v>
      </c>
      <c r="AV2398" s="68"/>
      <c r="AW2398" s="68"/>
      <c r="AY2398" s="27"/>
      <c r="BD2398" s="68">
        <v>46054.1666666667</v>
      </c>
      <c r="BE2398" s="68">
        <v>46082.1666666667</v>
      </c>
      <c r="BF2398" s="0" t="b">
        <v>0</v>
      </c>
      <c r="BG2398" s="0" t="b">
        <v>0</v>
      </c>
      <c r="BH2398" s="0">
        <v>264</v>
      </c>
      <c r="BI2398" s="0">
        <v>264</v>
      </c>
      <c r="BJ2398" s="0" t="s">
        <v>230</v>
      </c>
    </row>
    <row r="2399">
      <c r="A2399" s="0" t="s">
        <v>2639</v>
      </c>
      <c r="B2399" s="0" t="s">
        <v>134</v>
      </c>
      <c r="C2399" s="0" t="s">
        <v>134</v>
      </c>
      <c r="D2399" s="0" t="s">
        <v>135</v>
      </c>
      <c r="E2399" s="0" t="s">
        <v>3</v>
      </c>
      <c r="F2399" s="0" t="s">
        <v>10</v>
      </c>
      <c r="G2399" s="0" t="s">
        <v>8</v>
      </c>
      <c r="H2399" s="0">
        <v>701</v>
      </c>
      <c r="I2399" s="0">
        <v>40</v>
      </c>
      <c r="J2399" s="0">
        <v>0</v>
      </c>
      <c r="K2399" s="0">
        <v>1</v>
      </c>
      <c r="L2399" s="0">
        <v>2</v>
      </c>
      <c r="M2399" s="0">
        <v>1</v>
      </c>
      <c r="N2399" s="0">
        <v>0</v>
      </c>
      <c r="O2399" s="0">
        <v>0</v>
      </c>
      <c r="P2399" s="0">
        <v>0</v>
      </c>
      <c r="Q2399" s="0" t="s">
        <v>498</v>
      </c>
      <c r="R2399" s="0" t="b">
        <v>0</v>
      </c>
      <c r="S2399" s="0" t="b">
        <v>1</v>
      </c>
      <c r="T2399" s="68">
        <v>45352.6978125</v>
      </c>
      <c r="U2399" s="68">
        <v>45366.3333333333</v>
      </c>
      <c r="V2399" s="68">
        <v>0</v>
      </c>
      <c r="W2399" s="0">
        <f>IF(IF(B2399="none",1,IF(B2399="Trialer",1,0))+IF(C2399="Customer",1,IF(C2399="Lost",1,0))=2,1,0)</f>
      </c>
      <c r="X2399" s="0" t="s">
        <v>136</v>
      </c>
      <c r="Y2399" s="0" t="s">
        <v>243</v>
      </c>
      <c r="AV2399" s="68"/>
      <c r="AW2399" s="68"/>
      <c r="AY2399" s="27"/>
      <c r="BD2399" s="68">
        <v>46054.1666666667</v>
      </c>
      <c r="BE2399" s="68">
        <v>46082.1666666667</v>
      </c>
      <c r="BF2399" s="0" t="b">
        <v>0</v>
      </c>
      <c r="BG2399" s="0" t="b">
        <v>0</v>
      </c>
      <c r="BH2399" s="0">
        <v>40</v>
      </c>
      <c r="BI2399" s="0">
        <v>40</v>
      </c>
      <c r="BJ2399" s="0" t="s">
        <v>135</v>
      </c>
    </row>
    <row r="2400">
      <c r="A2400" s="0" t="s">
        <v>2640</v>
      </c>
      <c r="B2400" s="0" t="s">
        <v>134</v>
      </c>
      <c r="C2400" s="0" t="s">
        <v>134</v>
      </c>
      <c r="D2400" s="0" t="s">
        <v>230</v>
      </c>
      <c r="E2400" s="0" t="s">
        <v>3</v>
      </c>
      <c r="F2400" s="0" t="s">
        <v>12</v>
      </c>
      <c r="G2400" s="0" t="s">
        <v>8</v>
      </c>
      <c r="H2400" s="0">
        <v>699</v>
      </c>
      <c r="I2400" s="0">
        <v>108</v>
      </c>
      <c r="J2400" s="0">
        <v>0</v>
      </c>
      <c r="K2400" s="0">
        <v>1</v>
      </c>
      <c r="L2400" s="0">
        <v>4</v>
      </c>
      <c r="M2400" s="0">
        <v>2</v>
      </c>
      <c r="N2400" s="0">
        <v>0</v>
      </c>
      <c r="O2400" s="0">
        <v>0</v>
      </c>
      <c r="P2400" s="0">
        <v>-108</v>
      </c>
      <c r="R2400" s="0" t="b">
        <v>0</v>
      </c>
      <c r="S2400" s="0" t="b">
        <v>1</v>
      </c>
      <c r="T2400" s="68">
        <v>45354.2777430556</v>
      </c>
      <c r="U2400" s="68">
        <v>45368.3333333333</v>
      </c>
      <c r="V2400" s="68">
        <v>0</v>
      </c>
      <c r="W2400" s="0">
        <f>IF(IF(B2400="none",1,IF(B2400="Trialer",1,0))+IF(C2400="Customer",1,IF(C2400="Lost",1,0))=2,1,0)</f>
      </c>
      <c r="X2400" s="0" t="s">
        <v>166</v>
      </c>
      <c r="Y2400" s="0" t="s">
        <v>243</v>
      </c>
      <c r="AV2400" s="68"/>
      <c r="AW2400" s="68"/>
      <c r="AY2400" s="27"/>
      <c r="BD2400" s="68">
        <v>46054.1666666667</v>
      </c>
      <c r="BE2400" s="68">
        <v>46082.1666666667</v>
      </c>
      <c r="BF2400" s="0" t="b">
        <v>0</v>
      </c>
      <c r="BG2400" s="0" t="b">
        <v>0</v>
      </c>
      <c r="BH2400" s="0">
        <v>122</v>
      </c>
      <c r="BI2400" s="0">
        <v>122</v>
      </c>
      <c r="BJ2400" s="0" t="s">
        <v>230</v>
      </c>
    </row>
    <row r="2401">
      <c r="A2401" s="0" t="s">
        <v>2641</v>
      </c>
      <c r="B2401" s="0" t="s">
        <v>134</v>
      </c>
      <c r="C2401" s="0" t="s">
        <v>134</v>
      </c>
      <c r="D2401" s="0" t="s">
        <v>230</v>
      </c>
      <c r="E2401" s="0" t="s">
        <v>3</v>
      </c>
      <c r="F2401" s="0" t="s">
        <v>12</v>
      </c>
      <c r="G2401" s="0" t="s">
        <v>8</v>
      </c>
      <c r="H2401" s="0">
        <v>698</v>
      </c>
      <c r="I2401" s="0">
        <v>54</v>
      </c>
      <c r="J2401" s="0">
        <v>0</v>
      </c>
      <c r="K2401" s="0">
        <v>1</v>
      </c>
      <c r="L2401" s="0">
        <v>4</v>
      </c>
      <c r="M2401" s="0">
        <v>1</v>
      </c>
      <c r="N2401" s="0">
        <v>0</v>
      </c>
      <c r="O2401" s="0">
        <v>0</v>
      </c>
      <c r="P2401" s="0">
        <v>-54</v>
      </c>
      <c r="R2401" s="0" t="b">
        <v>0</v>
      </c>
      <c r="S2401" s="0" t="b">
        <v>1</v>
      </c>
      <c r="T2401" s="68">
        <v>45355.3479166667</v>
      </c>
      <c r="U2401" s="68">
        <v>45369.3333333333</v>
      </c>
      <c r="V2401" s="68">
        <v>0</v>
      </c>
      <c r="W2401" s="0">
        <f>IF(IF(B2401="none",1,IF(B2401="Trialer",1,0))+IF(C2401="Customer",1,IF(C2401="Lost",1,0))=2,1,0)</f>
      </c>
      <c r="X2401" s="0" t="s">
        <v>166</v>
      </c>
      <c r="Y2401" s="0" t="s">
        <v>243</v>
      </c>
      <c r="AV2401" s="68"/>
      <c r="AW2401" s="68"/>
      <c r="AY2401" s="27"/>
      <c r="BD2401" s="68">
        <v>46054.1666666667</v>
      </c>
      <c r="BE2401" s="68">
        <v>46082.1666666667</v>
      </c>
      <c r="BF2401" s="0" t="b">
        <v>0</v>
      </c>
      <c r="BG2401" s="0" t="b">
        <v>0</v>
      </c>
      <c r="BH2401" s="0">
        <v>61</v>
      </c>
      <c r="BI2401" s="0">
        <v>61</v>
      </c>
      <c r="BJ2401" s="0" t="s">
        <v>230</v>
      </c>
    </row>
    <row r="2402">
      <c r="A2402" s="0" t="s">
        <v>2642</v>
      </c>
      <c r="B2402" s="0" t="s">
        <v>134</v>
      </c>
      <c r="C2402" s="0" t="s">
        <v>134</v>
      </c>
      <c r="D2402" s="0" t="s">
        <v>135</v>
      </c>
      <c r="E2402" s="0" t="s">
        <v>2</v>
      </c>
      <c r="F2402" s="0" t="s">
        <v>10</v>
      </c>
      <c r="G2402" s="0" t="s">
        <v>8</v>
      </c>
      <c r="H2402" s="0">
        <v>698</v>
      </c>
      <c r="I2402" s="0">
        <v>1526</v>
      </c>
      <c r="J2402" s="0">
        <v>0</v>
      </c>
      <c r="K2402" s="0">
        <v>1</v>
      </c>
      <c r="L2402" s="0">
        <v>6</v>
      </c>
      <c r="M2402" s="0">
        <v>39</v>
      </c>
      <c r="N2402" s="0">
        <v>0</v>
      </c>
      <c r="O2402" s="0">
        <v>0</v>
      </c>
      <c r="P2402" s="0">
        <v>0</v>
      </c>
      <c r="Q2402" s="0" t="s">
        <v>1919</v>
      </c>
      <c r="R2402" s="0" t="b">
        <v>0</v>
      </c>
      <c r="S2402" s="0" t="b">
        <v>1</v>
      </c>
      <c r="T2402" s="68">
        <v>45355.4069444444</v>
      </c>
      <c r="U2402" s="68">
        <v>45356.2916666667</v>
      </c>
      <c r="V2402" s="68">
        <v>0</v>
      </c>
      <c r="W2402" s="0">
        <f>IF(IF(B2402="none",1,IF(B2402="Trialer",1,0))+IF(C2402="Customer",1,IF(C2402="Lost",1,0))=2,1,0)</f>
      </c>
      <c r="X2402" s="0" t="s">
        <v>145</v>
      </c>
      <c r="Y2402" s="0" t="s">
        <v>1587</v>
      </c>
      <c r="AV2402" s="68"/>
      <c r="AW2402" s="68"/>
      <c r="AY2402" s="27"/>
      <c r="BD2402" s="68">
        <v>46054.1666666667</v>
      </c>
      <c r="BE2402" s="68">
        <v>46082.1666666667</v>
      </c>
      <c r="BF2402" s="0" t="b">
        <v>0</v>
      </c>
      <c r="BG2402" s="0" t="b">
        <v>0</v>
      </c>
      <c r="BH2402" s="0">
        <v>1517</v>
      </c>
      <c r="BI2402" s="0">
        <v>1517</v>
      </c>
      <c r="BJ2402" s="0" t="s">
        <v>135</v>
      </c>
    </row>
    <row r="2403">
      <c r="A2403" s="0" t="s">
        <v>2643</v>
      </c>
      <c r="B2403" s="0" t="s">
        <v>134</v>
      </c>
      <c r="C2403" s="0" t="s">
        <v>134</v>
      </c>
      <c r="D2403" s="0" t="s">
        <v>135</v>
      </c>
      <c r="E2403" s="0" t="s">
        <v>3</v>
      </c>
      <c r="F2403" s="0" t="s">
        <v>10</v>
      </c>
      <c r="G2403" s="0" t="s">
        <v>8</v>
      </c>
      <c r="H2403" s="0">
        <v>698</v>
      </c>
      <c r="I2403" s="0">
        <v>140</v>
      </c>
      <c r="J2403" s="0">
        <v>0</v>
      </c>
      <c r="K2403" s="0">
        <v>1</v>
      </c>
      <c r="L2403" s="0">
        <v>1</v>
      </c>
      <c r="M2403" s="0">
        <v>5</v>
      </c>
      <c r="N2403" s="0">
        <v>0</v>
      </c>
      <c r="O2403" s="0">
        <v>0</v>
      </c>
      <c r="P2403" s="0">
        <v>0</v>
      </c>
      <c r="Q2403" s="0" t="s">
        <v>618</v>
      </c>
      <c r="R2403" s="0" t="b">
        <v>0</v>
      </c>
      <c r="S2403" s="0" t="b">
        <v>1</v>
      </c>
      <c r="T2403" s="68">
        <v>45355.5203703704</v>
      </c>
      <c r="U2403" s="68">
        <v>45369.3333333333</v>
      </c>
      <c r="V2403" s="68">
        <v>0</v>
      </c>
      <c r="W2403" s="0">
        <f>IF(IF(B2403="none",1,IF(B2403="Trialer",1,0))+IF(C2403="Customer",1,IF(C2403="Lost",1,0))=2,1,0)</f>
      </c>
      <c r="X2403" s="0" t="s">
        <v>148</v>
      </c>
      <c r="Y2403" s="0" t="s">
        <v>243</v>
      </c>
      <c r="AV2403" s="68"/>
      <c r="AW2403" s="68"/>
      <c r="AY2403" s="27"/>
      <c r="BD2403" s="68">
        <v>46054.1666666667</v>
      </c>
      <c r="BE2403" s="68">
        <v>46082.1666666667</v>
      </c>
      <c r="BF2403" s="0" t="b">
        <v>0</v>
      </c>
      <c r="BG2403" s="0" t="b">
        <v>0</v>
      </c>
      <c r="BH2403" s="0">
        <v>140</v>
      </c>
      <c r="BI2403" s="0">
        <v>140</v>
      </c>
      <c r="BJ2403" s="0" t="s">
        <v>135</v>
      </c>
    </row>
    <row r="2404">
      <c r="A2404" s="0" t="s">
        <v>2644</v>
      </c>
      <c r="B2404" s="0" t="s">
        <v>134</v>
      </c>
      <c r="C2404" s="0" t="s">
        <v>134</v>
      </c>
      <c r="D2404" s="0" t="s">
        <v>135</v>
      </c>
      <c r="E2404" s="0" t="s">
        <v>3</v>
      </c>
      <c r="F2404" s="0" t="s">
        <v>12</v>
      </c>
      <c r="G2404" s="0" t="s">
        <v>8</v>
      </c>
      <c r="H2404" s="0">
        <v>698</v>
      </c>
      <c r="I2404" s="0">
        <v>257</v>
      </c>
      <c r="J2404" s="0">
        <v>0</v>
      </c>
      <c r="K2404" s="0">
        <v>1</v>
      </c>
      <c r="L2404" s="0">
        <v>4</v>
      </c>
      <c r="M2404" s="0">
        <v>5</v>
      </c>
      <c r="N2404" s="0">
        <v>0</v>
      </c>
      <c r="O2404" s="0">
        <v>0</v>
      </c>
      <c r="P2404" s="0">
        <v>0</v>
      </c>
      <c r="R2404" s="0" t="b">
        <v>0</v>
      </c>
      <c r="S2404" s="0" t="b">
        <v>1</v>
      </c>
      <c r="T2404" s="68">
        <v>45355.5692939815</v>
      </c>
      <c r="U2404" s="68">
        <v>45383.3333333333</v>
      </c>
      <c r="V2404" s="68">
        <v>0</v>
      </c>
      <c r="W2404" s="0">
        <f>IF(IF(B2404="none",1,IF(B2404="Trialer",1,0))+IF(C2404="Customer",1,IF(C2404="Lost",1,0))=2,1,0)</f>
      </c>
      <c r="X2404" s="0" t="s">
        <v>148</v>
      </c>
      <c r="Y2404" s="0" t="s">
        <v>243</v>
      </c>
      <c r="AV2404" s="68"/>
      <c r="AW2404" s="68"/>
      <c r="AY2404" s="27"/>
      <c r="BD2404" s="68">
        <v>46054.1666666667</v>
      </c>
      <c r="BE2404" s="68">
        <v>46082.1666666667</v>
      </c>
      <c r="BF2404" s="0" t="b">
        <v>0</v>
      </c>
      <c r="BG2404" s="0" t="b">
        <v>0</v>
      </c>
      <c r="BH2404" s="0">
        <v>257</v>
      </c>
      <c r="BI2404" s="0">
        <v>257</v>
      </c>
      <c r="BJ2404" s="0" t="s">
        <v>135</v>
      </c>
    </row>
    <row r="2405">
      <c r="A2405" s="0" t="s">
        <v>2645</v>
      </c>
      <c r="B2405" s="0" t="s">
        <v>134</v>
      </c>
      <c r="C2405" s="0" t="s">
        <v>134</v>
      </c>
      <c r="D2405" s="0" t="s">
        <v>135</v>
      </c>
      <c r="E2405" s="0" t="s">
        <v>3</v>
      </c>
      <c r="F2405" s="0" t="s">
        <v>12</v>
      </c>
      <c r="G2405" s="0" t="s">
        <v>8</v>
      </c>
      <c r="H2405" s="0">
        <v>698</v>
      </c>
      <c r="I2405" s="0">
        <v>169</v>
      </c>
      <c r="J2405" s="0">
        <v>0</v>
      </c>
      <c r="K2405" s="0">
        <v>1</v>
      </c>
      <c r="L2405" s="0">
        <v>3</v>
      </c>
      <c r="M2405" s="0">
        <v>4</v>
      </c>
      <c r="N2405" s="0">
        <v>0</v>
      </c>
      <c r="O2405" s="0">
        <v>0</v>
      </c>
      <c r="P2405" s="0">
        <v>0</v>
      </c>
      <c r="R2405" s="0" t="b">
        <v>0</v>
      </c>
      <c r="S2405" s="0" t="b">
        <v>1</v>
      </c>
      <c r="T2405" s="68">
        <v>45355.9321527778</v>
      </c>
      <c r="U2405" s="68">
        <v>45370.3333333333</v>
      </c>
      <c r="V2405" s="68">
        <v>0</v>
      </c>
      <c r="W2405" s="0">
        <f>IF(IF(B2405="none",1,IF(B2405="Trialer",1,0))+IF(C2405="Customer",1,IF(C2405="Lost",1,0))=2,1,0)</f>
      </c>
      <c r="X2405" s="0" t="s">
        <v>136</v>
      </c>
      <c r="Y2405" s="0" t="s">
        <v>243</v>
      </c>
      <c r="AV2405" s="68"/>
      <c r="AW2405" s="68"/>
      <c r="AY2405" s="27"/>
      <c r="BD2405" s="68">
        <v>46054.1666666667</v>
      </c>
      <c r="BE2405" s="68">
        <v>46082.1666666667</v>
      </c>
      <c r="BF2405" s="0" t="b">
        <v>0</v>
      </c>
      <c r="BG2405" s="0" t="b">
        <v>0</v>
      </c>
      <c r="BH2405" s="0">
        <v>169</v>
      </c>
      <c r="BI2405" s="0">
        <v>169</v>
      </c>
      <c r="BJ2405" s="0" t="s">
        <v>135</v>
      </c>
    </row>
    <row r="2406">
      <c r="A2406" s="0" t="s">
        <v>2646</v>
      </c>
      <c r="B2406" s="0" t="s">
        <v>134</v>
      </c>
      <c r="C2406" s="0" t="s">
        <v>134</v>
      </c>
      <c r="D2406" s="0" t="s">
        <v>135</v>
      </c>
      <c r="E2406" s="0" t="s">
        <v>3</v>
      </c>
      <c r="F2406" s="0" t="s">
        <v>11</v>
      </c>
      <c r="G2406" s="0" t="s">
        <v>8</v>
      </c>
      <c r="H2406" s="0">
        <v>697</v>
      </c>
      <c r="I2406" s="0">
        <v>235.2</v>
      </c>
      <c r="J2406" s="0">
        <v>0</v>
      </c>
      <c r="K2406" s="0">
        <v>1</v>
      </c>
      <c r="L2406" s="0">
        <v>3</v>
      </c>
      <c r="M2406" s="0">
        <v>6</v>
      </c>
      <c r="N2406" s="0">
        <v>0</v>
      </c>
      <c r="O2406" s="0">
        <v>0</v>
      </c>
      <c r="P2406" s="0">
        <v>0</v>
      </c>
      <c r="Q2406" s="0" t="s">
        <v>1743</v>
      </c>
      <c r="R2406" s="0" t="b">
        <v>1</v>
      </c>
      <c r="S2406" s="0" t="b">
        <v>1</v>
      </c>
      <c r="T2406" s="68">
        <v>45356.4220601852</v>
      </c>
      <c r="U2406" s="68">
        <v>45356.2916666667</v>
      </c>
      <c r="V2406" s="68">
        <v>0</v>
      </c>
      <c r="W2406" s="0">
        <f>IF(IF(B2406="none",1,IF(B2406="Trialer",1,0))+IF(C2406="Customer",1,IF(C2406="Lost",1,0))=2,1,0)</f>
      </c>
      <c r="X2406" s="0" t="s">
        <v>145</v>
      </c>
      <c r="Y2406" s="0" t="s">
        <v>243</v>
      </c>
      <c r="AV2406" s="68"/>
      <c r="AW2406" s="68"/>
      <c r="AY2406" s="27"/>
      <c r="BD2406" s="68">
        <v>46054.1666666667</v>
      </c>
      <c r="BE2406" s="68">
        <v>46082.1666666667</v>
      </c>
      <c r="BF2406" s="0" t="b">
        <v>0</v>
      </c>
      <c r="BG2406" s="0" t="b">
        <v>0</v>
      </c>
      <c r="BH2406" s="0">
        <v>235.2</v>
      </c>
      <c r="BI2406" s="0">
        <v>235.2</v>
      </c>
      <c r="BJ2406" s="0" t="s">
        <v>135</v>
      </c>
    </row>
    <row r="2407">
      <c r="A2407" s="0" t="s">
        <v>2647</v>
      </c>
      <c r="B2407" s="0" t="s">
        <v>134</v>
      </c>
      <c r="C2407" s="0" t="s">
        <v>134</v>
      </c>
      <c r="D2407" s="0" t="s">
        <v>135</v>
      </c>
      <c r="E2407" s="0" t="s">
        <v>3</v>
      </c>
      <c r="F2407" s="0" t="s">
        <v>12</v>
      </c>
      <c r="G2407" s="0" t="s">
        <v>8</v>
      </c>
      <c r="H2407" s="0">
        <v>697</v>
      </c>
      <c r="I2407" s="0">
        <v>40</v>
      </c>
      <c r="J2407" s="0">
        <v>0</v>
      </c>
      <c r="K2407" s="0">
        <v>1</v>
      </c>
      <c r="L2407" s="0">
        <v>1</v>
      </c>
      <c r="M2407" s="0">
        <v>0</v>
      </c>
      <c r="N2407" s="0">
        <v>0</v>
      </c>
      <c r="O2407" s="0">
        <v>0</v>
      </c>
      <c r="P2407" s="0">
        <v>0</v>
      </c>
      <c r="R2407" s="0" t="b">
        <v>0</v>
      </c>
      <c r="S2407" s="0" t="b">
        <v>1</v>
      </c>
      <c r="T2407" s="68">
        <v>45356.4520138889</v>
      </c>
      <c r="U2407" s="68">
        <v>45356.2916666667</v>
      </c>
      <c r="V2407" s="68">
        <v>0</v>
      </c>
      <c r="W2407" s="0">
        <f>IF(IF(B2407="none",1,IF(B2407="Trialer",1,0))+IF(C2407="Customer",1,IF(C2407="Lost",1,0))=2,1,0)</f>
      </c>
      <c r="X2407" s="0" t="s">
        <v>148</v>
      </c>
      <c r="Y2407" s="0" t="s">
        <v>243</v>
      </c>
      <c r="AV2407" s="68"/>
      <c r="AW2407" s="68"/>
      <c r="AY2407" s="27"/>
      <c r="BD2407" s="68">
        <v>46054.1666666667</v>
      </c>
      <c r="BE2407" s="68">
        <v>46082.1666666667</v>
      </c>
      <c r="BF2407" s="0" t="b">
        <v>0</v>
      </c>
      <c r="BG2407" s="0" t="b">
        <v>0</v>
      </c>
      <c r="BH2407" s="0">
        <v>40</v>
      </c>
      <c r="BI2407" s="0">
        <v>40</v>
      </c>
      <c r="BJ2407" s="0" t="s">
        <v>135</v>
      </c>
    </row>
    <row r="2408">
      <c r="A2408" s="0" t="s">
        <v>2648</v>
      </c>
      <c r="B2408" s="0" t="s">
        <v>134</v>
      </c>
      <c r="C2408" s="0" t="s">
        <v>134</v>
      </c>
      <c r="D2408" s="0" t="s">
        <v>135</v>
      </c>
      <c r="E2408" s="0" t="s">
        <v>3</v>
      </c>
      <c r="F2408" s="0" t="s">
        <v>12</v>
      </c>
      <c r="G2408" s="0" t="s">
        <v>8</v>
      </c>
      <c r="H2408" s="0">
        <v>696</v>
      </c>
      <c r="I2408" s="0">
        <v>232</v>
      </c>
      <c r="J2408" s="0">
        <v>0</v>
      </c>
      <c r="K2408" s="0">
        <v>1</v>
      </c>
      <c r="L2408" s="0">
        <v>4</v>
      </c>
      <c r="M2408" s="0">
        <v>4</v>
      </c>
      <c r="N2408" s="0">
        <v>0</v>
      </c>
      <c r="O2408" s="0">
        <v>0</v>
      </c>
      <c r="P2408" s="0">
        <v>0</v>
      </c>
      <c r="R2408" s="0" t="b">
        <v>0</v>
      </c>
      <c r="S2408" s="0" t="b">
        <v>1</v>
      </c>
      <c r="T2408" s="68">
        <v>45357.7383912037</v>
      </c>
      <c r="U2408" s="68">
        <v>45371.3333333333</v>
      </c>
      <c r="V2408" s="68">
        <v>0</v>
      </c>
      <c r="W2408" s="0">
        <f>IF(IF(B2408="none",1,IF(B2408="Trialer",1,0))+IF(C2408="Customer",1,IF(C2408="Lost",1,0))=2,1,0)</f>
      </c>
      <c r="X2408" s="0" t="s">
        <v>145</v>
      </c>
      <c r="Y2408" s="0" t="s">
        <v>243</v>
      </c>
      <c r="AV2408" s="68"/>
      <c r="AW2408" s="68"/>
      <c r="AY2408" s="27"/>
      <c r="BD2408" s="68">
        <v>46054.1666666667</v>
      </c>
      <c r="BE2408" s="68">
        <v>46082.1666666667</v>
      </c>
      <c r="BF2408" s="0" t="b">
        <v>0</v>
      </c>
      <c r="BG2408" s="0" t="b">
        <v>0</v>
      </c>
      <c r="BH2408" s="0">
        <v>232</v>
      </c>
      <c r="BI2408" s="0">
        <v>232</v>
      </c>
      <c r="BJ2408" s="0" t="s">
        <v>135</v>
      </c>
    </row>
    <row r="2409">
      <c r="A2409" s="0" t="s">
        <v>2649</v>
      </c>
      <c r="B2409" s="0" t="s">
        <v>134</v>
      </c>
      <c r="C2409" s="0" t="s">
        <v>134</v>
      </c>
      <c r="D2409" s="0" t="s">
        <v>230</v>
      </c>
      <c r="E2409" s="0" t="s">
        <v>3</v>
      </c>
      <c r="F2409" s="0" t="s">
        <v>12</v>
      </c>
      <c r="G2409" s="0" t="s">
        <v>8</v>
      </c>
      <c r="H2409" s="0">
        <v>696</v>
      </c>
      <c r="I2409" s="0">
        <v>105.3</v>
      </c>
      <c r="J2409" s="0">
        <v>0</v>
      </c>
      <c r="K2409" s="0">
        <v>1</v>
      </c>
      <c r="L2409" s="0">
        <v>4</v>
      </c>
      <c r="M2409" s="0">
        <v>3</v>
      </c>
      <c r="N2409" s="0">
        <v>0</v>
      </c>
      <c r="O2409" s="0">
        <v>0</v>
      </c>
      <c r="P2409" s="0">
        <v>-105.3</v>
      </c>
      <c r="R2409" s="0" t="b">
        <v>0</v>
      </c>
      <c r="S2409" s="0" t="b">
        <v>1</v>
      </c>
      <c r="T2409" s="68">
        <v>45357.8021296296</v>
      </c>
      <c r="U2409" s="68">
        <v>45376.3333333333</v>
      </c>
      <c r="V2409" s="68">
        <v>0</v>
      </c>
      <c r="W2409" s="0">
        <f>IF(IF(B2409="none",1,IF(B2409="Trialer",1,0))+IF(C2409="Customer",1,IF(C2409="Lost",1,0))=2,1,0)</f>
      </c>
      <c r="X2409" s="0" t="s">
        <v>166</v>
      </c>
      <c r="Y2409" s="0" t="s">
        <v>243</v>
      </c>
      <c r="AV2409" s="68"/>
      <c r="AW2409" s="68"/>
      <c r="AY2409" s="27"/>
      <c r="BD2409" s="68">
        <v>46054.1666666667</v>
      </c>
      <c r="BE2409" s="68">
        <v>46082.1666666667</v>
      </c>
      <c r="BF2409" s="0" t="b">
        <v>0</v>
      </c>
      <c r="BG2409" s="0" t="b">
        <v>0</v>
      </c>
      <c r="BH2409" s="0">
        <v>117</v>
      </c>
      <c r="BI2409" s="0">
        <v>117</v>
      </c>
      <c r="BJ2409" s="0" t="s">
        <v>230</v>
      </c>
    </row>
    <row r="2410">
      <c r="A2410" s="0" t="s">
        <v>2650</v>
      </c>
      <c r="B2410" s="0" t="s">
        <v>134</v>
      </c>
      <c r="C2410" s="0" t="s">
        <v>134</v>
      </c>
      <c r="D2410" s="0" t="s">
        <v>230</v>
      </c>
      <c r="E2410" s="0" t="s">
        <v>3</v>
      </c>
      <c r="F2410" s="0" t="s">
        <v>12</v>
      </c>
      <c r="G2410" s="0" t="s">
        <v>8</v>
      </c>
      <c r="H2410" s="0">
        <v>695</v>
      </c>
      <c r="I2410" s="0">
        <v>192</v>
      </c>
      <c r="J2410" s="0">
        <v>0</v>
      </c>
      <c r="K2410" s="0">
        <v>1</v>
      </c>
      <c r="L2410" s="0">
        <v>5</v>
      </c>
      <c r="M2410" s="0">
        <v>3</v>
      </c>
      <c r="N2410" s="0">
        <v>0</v>
      </c>
      <c r="O2410" s="0">
        <v>0</v>
      </c>
      <c r="P2410" s="0">
        <v>-192</v>
      </c>
      <c r="R2410" s="0" t="b">
        <v>0</v>
      </c>
      <c r="S2410" s="0" t="b">
        <v>1</v>
      </c>
      <c r="T2410" s="68">
        <v>45358.0226157407</v>
      </c>
      <c r="U2410" s="68">
        <v>45376.3333333333</v>
      </c>
      <c r="V2410" s="68">
        <v>0</v>
      </c>
      <c r="W2410" s="0">
        <f>IF(IF(B2410="none",1,IF(B2410="Trialer",1,0))+IF(C2410="Customer",1,IF(C2410="Lost",1,0))=2,1,0)</f>
      </c>
      <c r="X2410" s="0" t="s">
        <v>142</v>
      </c>
      <c r="Y2410" s="0" t="s">
        <v>243</v>
      </c>
      <c r="AV2410" s="68"/>
      <c r="AW2410" s="68"/>
      <c r="AY2410" s="27"/>
      <c r="BD2410" s="68">
        <v>46054.1666666667</v>
      </c>
      <c r="BE2410" s="68">
        <v>46082.1666666667</v>
      </c>
      <c r="BF2410" s="0" t="b">
        <v>0</v>
      </c>
      <c r="BG2410" s="0" t="b">
        <v>0</v>
      </c>
      <c r="BH2410" s="0">
        <v>219</v>
      </c>
      <c r="BI2410" s="0">
        <v>219</v>
      </c>
      <c r="BJ2410" s="0" t="s">
        <v>230</v>
      </c>
    </row>
    <row r="2411">
      <c r="A2411" s="0" t="s">
        <v>2651</v>
      </c>
      <c r="B2411" s="0" t="s">
        <v>134</v>
      </c>
      <c r="C2411" s="0" t="s">
        <v>134</v>
      </c>
      <c r="D2411" s="0" t="s">
        <v>135</v>
      </c>
      <c r="E2411" s="0" t="s">
        <v>3</v>
      </c>
      <c r="F2411" s="0" t="s">
        <v>12</v>
      </c>
      <c r="G2411" s="0" t="s">
        <v>8</v>
      </c>
      <c r="H2411" s="0">
        <v>695</v>
      </c>
      <c r="I2411" s="0">
        <v>578</v>
      </c>
      <c r="J2411" s="0">
        <v>0</v>
      </c>
      <c r="K2411" s="0">
        <v>1</v>
      </c>
      <c r="L2411" s="0">
        <v>6</v>
      </c>
      <c r="M2411" s="0">
        <v>4</v>
      </c>
      <c r="N2411" s="0">
        <v>0</v>
      </c>
      <c r="O2411" s="0">
        <v>0</v>
      </c>
      <c r="P2411" s="0">
        <v>0</v>
      </c>
      <c r="R2411" s="0" t="b">
        <v>0</v>
      </c>
      <c r="S2411" s="0" t="b">
        <v>1</v>
      </c>
      <c r="T2411" s="68">
        <v>45358.4771759259</v>
      </c>
      <c r="U2411" s="68">
        <v>45372.3333333333</v>
      </c>
      <c r="V2411" s="68">
        <v>0</v>
      </c>
      <c r="W2411" s="0">
        <f>IF(IF(B2411="none",1,IF(B2411="Trialer",1,0))+IF(C2411="Customer",1,IF(C2411="Lost",1,0))=2,1,0)</f>
      </c>
      <c r="X2411" s="0" t="s">
        <v>148</v>
      </c>
      <c r="Y2411" s="0" t="s">
        <v>243</v>
      </c>
      <c r="AV2411" s="68"/>
      <c r="AW2411" s="68"/>
      <c r="AY2411" s="27"/>
      <c r="BD2411" s="68">
        <v>46054.1666666667</v>
      </c>
      <c r="BE2411" s="68">
        <v>46082.1666666667</v>
      </c>
      <c r="BF2411" s="0" t="b">
        <v>0</v>
      </c>
      <c r="BG2411" s="0" t="b">
        <v>0</v>
      </c>
      <c r="BH2411" s="0">
        <v>253</v>
      </c>
      <c r="BI2411" s="0">
        <v>253</v>
      </c>
      <c r="BJ2411" s="0" t="s">
        <v>135</v>
      </c>
    </row>
    <row r="2412">
      <c r="A2412" s="0" t="s">
        <v>2652</v>
      </c>
      <c r="B2412" s="0" t="s">
        <v>134</v>
      </c>
      <c r="C2412" s="0" t="s">
        <v>134</v>
      </c>
      <c r="D2412" s="0" t="s">
        <v>230</v>
      </c>
      <c r="E2412" s="0" t="s">
        <v>3</v>
      </c>
      <c r="F2412" s="0" t="s">
        <v>12</v>
      </c>
      <c r="G2412" s="0" t="s">
        <v>8</v>
      </c>
      <c r="H2412" s="0">
        <v>693</v>
      </c>
      <c r="I2412" s="0">
        <v>428.5</v>
      </c>
      <c r="J2412" s="0">
        <v>0</v>
      </c>
      <c r="K2412" s="0">
        <v>1</v>
      </c>
      <c r="L2412" s="0">
        <v>3</v>
      </c>
      <c r="M2412" s="0">
        <v>3</v>
      </c>
      <c r="N2412" s="0">
        <v>0</v>
      </c>
      <c r="O2412" s="0">
        <v>0</v>
      </c>
      <c r="P2412" s="0">
        <v>1138.5</v>
      </c>
      <c r="R2412" s="0" t="b">
        <v>0</v>
      </c>
      <c r="S2412" s="0" t="b">
        <v>1</v>
      </c>
      <c r="T2412" s="68">
        <v>45360.774224537</v>
      </c>
      <c r="U2412" s="68">
        <v>45374.3333333333</v>
      </c>
      <c r="V2412" s="68">
        <v>0</v>
      </c>
      <c r="W2412" s="0">
        <f>IF(IF(B2412="none",1,IF(B2412="Trialer",1,0))+IF(C2412="Customer",1,IF(C2412="Lost",1,0))=2,1,0)</f>
      </c>
      <c r="X2412" s="0" t="s">
        <v>136</v>
      </c>
      <c r="Y2412" s="0" t="s">
        <v>243</v>
      </c>
      <c r="AV2412" s="68"/>
      <c r="AW2412" s="68"/>
      <c r="AY2412" s="27"/>
      <c r="BD2412" s="68">
        <v>46054.1666666667</v>
      </c>
      <c r="BE2412" s="68">
        <v>46082.1666666667</v>
      </c>
      <c r="BF2412" s="0" t="b">
        <v>0</v>
      </c>
      <c r="BG2412" s="0" t="b">
        <v>0</v>
      </c>
      <c r="BH2412" s="0">
        <v>138</v>
      </c>
      <c r="BI2412" s="0">
        <v>138</v>
      </c>
      <c r="BJ2412" s="0" t="s">
        <v>230</v>
      </c>
    </row>
    <row r="2413">
      <c r="A2413" s="0" t="s">
        <v>2653</v>
      </c>
      <c r="B2413" s="0" t="s">
        <v>134</v>
      </c>
      <c r="C2413" s="0" t="s">
        <v>134</v>
      </c>
      <c r="D2413" s="0" t="s">
        <v>230</v>
      </c>
      <c r="E2413" s="0" t="s">
        <v>3</v>
      </c>
      <c r="F2413" s="0" t="s">
        <v>12</v>
      </c>
      <c r="G2413" s="0" t="s">
        <v>8</v>
      </c>
      <c r="H2413" s="0">
        <v>691</v>
      </c>
      <c r="I2413" s="0">
        <v>220.5</v>
      </c>
      <c r="J2413" s="0">
        <v>0</v>
      </c>
      <c r="K2413" s="0">
        <v>1</v>
      </c>
      <c r="L2413" s="0">
        <v>3</v>
      </c>
      <c r="M2413" s="0">
        <v>5</v>
      </c>
      <c r="N2413" s="0">
        <v>0</v>
      </c>
      <c r="O2413" s="0">
        <v>0</v>
      </c>
      <c r="P2413" s="0">
        <v>2425.5</v>
      </c>
      <c r="R2413" s="0" t="b">
        <v>0</v>
      </c>
      <c r="S2413" s="0" t="b">
        <v>1</v>
      </c>
      <c r="T2413" s="68">
        <v>45362.563587963</v>
      </c>
      <c r="U2413" s="68">
        <v>45377.3333333333</v>
      </c>
      <c r="V2413" s="68">
        <v>0</v>
      </c>
      <c r="W2413" s="0">
        <f>IF(IF(B2413="none",1,IF(B2413="Trialer",1,0))+IF(C2413="Customer",1,IF(C2413="Lost",1,0))=2,1,0)</f>
      </c>
      <c r="X2413" s="0" t="s">
        <v>882</v>
      </c>
      <c r="Y2413" s="0" t="s">
        <v>243</v>
      </c>
      <c r="AV2413" s="68"/>
      <c r="AW2413" s="68"/>
      <c r="AY2413" s="27"/>
      <c r="BD2413" s="68">
        <v>46054.1666666667</v>
      </c>
      <c r="BE2413" s="68">
        <v>46082.1666666667</v>
      </c>
      <c r="BF2413" s="0" t="b">
        <v>0</v>
      </c>
      <c r="BG2413" s="0" t="b">
        <v>0</v>
      </c>
      <c r="BH2413" s="0">
        <v>245</v>
      </c>
      <c r="BI2413" s="0">
        <v>245</v>
      </c>
      <c r="BJ2413" s="0" t="s">
        <v>230</v>
      </c>
    </row>
    <row r="2414">
      <c r="A2414" s="0" t="s">
        <v>2654</v>
      </c>
      <c r="B2414" s="0" t="s">
        <v>134</v>
      </c>
      <c r="C2414" s="0" t="s">
        <v>190</v>
      </c>
      <c r="D2414" s="0" t="s">
        <v>135</v>
      </c>
      <c r="E2414" s="0" t="s">
        <v>3</v>
      </c>
      <c r="F2414" s="0" t="s">
        <v>12</v>
      </c>
      <c r="G2414" s="0" t="s">
        <v>8</v>
      </c>
      <c r="H2414" s="0">
        <v>691</v>
      </c>
      <c r="I2414" s="0">
        <v>0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>
        <v>0</v>
      </c>
      <c r="R2414" s="0" t="b">
        <v>0</v>
      </c>
      <c r="S2414" s="0" t="b">
        <v>0</v>
      </c>
      <c r="T2414" s="68">
        <v>45362.5788888889</v>
      </c>
      <c r="U2414" s="68">
        <v>45376.3333333333</v>
      </c>
      <c r="V2414" s="68">
        <v>46058.5307986111</v>
      </c>
      <c r="W2414" s="0">
        <f>IF(IF(B2414="none",1,IF(B2414="Trialer",1,0))+IF(C2414="Customer",1,IF(C2414="Lost",1,0))=2,1,0)</f>
      </c>
      <c r="X2414" s="0" t="s">
        <v>142</v>
      </c>
      <c r="Y2414" s="0" t="s">
        <v>243</v>
      </c>
      <c r="AV2414" s="68"/>
      <c r="AW2414" s="68"/>
      <c r="AY2414" s="27"/>
      <c r="BD2414" s="68">
        <v>46054.1666666667</v>
      </c>
      <c r="BE2414" s="68">
        <v>46082.1666666667</v>
      </c>
      <c r="BF2414" s="0" t="b">
        <v>0</v>
      </c>
      <c r="BG2414" s="0" t="b">
        <v>0</v>
      </c>
      <c r="BH2414" s="0">
        <v>40</v>
      </c>
      <c r="BI2414" s="0">
        <v>40</v>
      </c>
      <c r="BJ2414" s="0" t="s">
        <v>135</v>
      </c>
    </row>
    <row r="2415">
      <c r="A2415" s="0" t="s">
        <v>2655</v>
      </c>
      <c r="B2415" s="0" t="s">
        <v>134</v>
      </c>
      <c r="C2415" s="0" t="s">
        <v>134</v>
      </c>
      <c r="D2415" s="0" t="s">
        <v>135</v>
      </c>
      <c r="E2415" s="0" t="s">
        <v>3</v>
      </c>
      <c r="F2415" s="0" t="s">
        <v>11</v>
      </c>
      <c r="G2415" s="0" t="s">
        <v>8</v>
      </c>
      <c r="H2415" s="0">
        <v>691</v>
      </c>
      <c r="I2415" s="0">
        <v>196</v>
      </c>
      <c r="J2415" s="0">
        <v>0</v>
      </c>
      <c r="K2415" s="0">
        <v>1</v>
      </c>
      <c r="L2415" s="0">
        <v>3</v>
      </c>
      <c r="M2415" s="0">
        <v>5</v>
      </c>
      <c r="N2415" s="0">
        <v>0</v>
      </c>
      <c r="O2415" s="0">
        <v>0</v>
      </c>
      <c r="P2415" s="0">
        <v>0</v>
      </c>
      <c r="Q2415" s="0" t="s">
        <v>1743</v>
      </c>
      <c r="R2415" s="0" t="b">
        <v>1</v>
      </c>
      <c r="S2415" s="0" t="b">
        <v>1</v>
      </c>
      <c r="T2415" s="68">
        <v>45362.6074537037</v>
      </c>
      <c r="U2415" s="68">
        <v>45362.3333333333</v>
      </c>
      <c r="V2415" s="68">
        <v>0</v>
      </c>
      <c r="W2415" s="0">
        <f>IF(IF(B2415="none",1,IF(B2415="Trialer",1,0))+IF(C2415="Customer",1,IF(C2415="Lost",1,0))=2,1,0)</f>
      </c>
      <c r="X2415" s="0" t="s">
        <v>145</v>
      </c>
      <c r="Y2415" s="0" t="s">
        <v>243</v>
      </c>
      <c r="AV2415" s="68"/>
      <c r="AW2415" s="68"/>
      <c r="AY2415" s="27"/>
      <c r="BD2415" s="68">
        <v>46054.1666666667</v>
      </c>
      <c r="BE2415" s="68">
        <v>46082.1666666667</v>
      </c>
      <c r="BF2415" s="0" t="b">
        <v>0</v>
      </c>
      <c r="BG2415" s="0" t="b">
        <v>0</v>
      </c>
      <c r="BH2415" s="0">
        <v>196</v>
      </c>
      <c r="BI2415" s="0">
        <v>196</v>
      </c>
      <c r="BJ2415" s="0" t="s">
        <v>135</v>
      </c>
    </row>
    <row r="2416">
      <c r="A2416" s="0" t="s">
        <v>2656</v>
      </c>
      <c r="B2416" s="0" t="s">
        <v>134</v>
      </c>
      <c r="C2416" s="0" t="s">
        <v>134</v>
      </c>
      <c r="D2416" s="0" t="s">
        <v>135</v>
      </c>
      <c r="E2416" s="0" t="s">
        <v>3</v>
      </c>
      <c r="F2416" s="0" t="s">
        <v>12</v>
      </c>
      <c r="G2416" s="0" t="s">
        <v>8</v>
      </c>
      <c r="H2416" s="0">
        <v>691</v>
      </c>
      <c r="I2416" s="0">
        <v>666</v>
      </c>
      <c r="J2416" s="0">
        <v>0</v>
      </c>
      <c r="K2416" s="0">
        <v>1</v>
      </c>
      <c r="L2416" s="0">
        <v>4</v>
      </c>
      <c r="M2416" s="0">
        <v>18</v>
      </c>
      <c r="N2416" s="0">
        <v>0</v>
      </c>
      <c r="O2416" s="0">
        <v>0</v>
      </c>
      <c r="P2416" s="0">
        <v>0</v>
      </c>
      <c r="R2416" s="0" t="b">
        <v>0</v>
      </c>
      <c r="S2416" s="0" t="b">
        <v>1</v>
      </c>
      <c r="T2416" s="68">
        <v>45362.7180787037</v>
      </c>
      <c r="U2416" s="68">
        <v>45382.3333333333</v>
      </c>
      <c r="V2416" s="68">
        <v>0</v>
      </c>
      <c r="W2416" s="0">
        <f>IF(IF(B2416="none",1,IF(B2416="Trialer",1,0))+IF(C2416="Customer",1,IF(C2416="Lost",1,0))=2,1,0)</f>
      </c>
      <c r="X2416" s="0" t="s">
        <v>148</v>
      </c>
      <c r="Y2416" s="0" t="s">
        <v>243</v>
      </c>
      <c r="AV2416" s="68"/>
      <c r="AW2416" s="68"/>
      <c r="AY2416" s="27"/>
      <c r="BD2416" s="68">
        <v>46054.1666666667</v>
      </c>
      <c r="BE2416" s="68">
        <v>46082.1666666667</v>
      </c>
      <c r="BF2416" s="0" t="b">
        <v>0</v>
      </c>
      <c r="BG2416" s="0" t="b">
        <v>0</v>
      </c>
      <c r="BH2416" s="0">
        <v>648</v>
      </c>
      <c r="BI2416" s="0">
        <v>648</v>
      </c>
      <c r="BJ2416" s="0" t="s">
        <v>135</v>
      </c>
    </row>
    <row r="2417">
      <c r="A2417" s="0" t="s">
        <v>2657</v>
      </c>
      <c r="B2417" s="0" t="s">
        <v>134</v>
      </c>
      <c r="C2417" s="0" t="s">
        <v>134</v>
      </c>
      <c r="D2417" s="0" t="s">
        <v>230</v>
      </c>
      <c r="E2417" s="0" t="s">
        <v>3</v>
      </c>
      <c r="F2417" s="0" t="s">
        <v>12</v>
      </c>
      <c r="G2417" s="0" t="s">
        <v>8</v>
      </c>
      <c r="H2417" s="0">
        <v>691</v>
      </c>
      <c r="I2417" s="0">
        <v>64</v>
      </c>
      <c r="J2417" s="0">
        <v>0</v>
      </c>
      <c r="K2417" s="0">
        <v>1</v>
      </c>
      <c r="L2417" s="0">
        <v>5</v>
      </c>
      <c r="M2417" s="0">
        <v>1</v>
      </c>
      <c r="N2417" s="0">
        <v>0</v>
      </c>
      <c r="O2417" s="0">
        <v>0</v>
      </c>
      <c r="P2417" s="0">
        <v>-64</v>
      </c>
      <c r="R2417" s="0" t="b">
        <v>0</v>
      </c>
      <c r="S2417" s="0" t="b">
        <v>1</v>
      </c>
      <c r="T2417" s="68">
        <v>45362.7576388889</v>
      </c>
      <c r="U2417" s="68">
        <v>45376.3333333333</v>
      </c>
      <c r="V2417" s="68">
        <v>0</v>
      </c>
      <c r="W2417" s="0">
        <f>IF(IF(B2417="none",1,IF(B2417="Trialer",1,0))+IF(C2417="Customer",1,IF(C2417="Lost",1,0))=2,1,0)</f>
      </c>
      <c r="X2417" s="0" t="s">
        <v>153</v>
      </c>
      <c r="Y2417" s="0" t="s">
        <v>243</v>
      </c>
      <c r="AV2417" s="68"/>
      <c r="AW2417" s="68"/>
      <c r="AY2417" s="27"/>
      <c r="BD2417" s="68">
        <v>46054.1666666667</v>
      </c>
      <c r="BE2417" s="68">
        <v>46082.1666666667</v>
      </c>
      <c r="BF2417" s="0" t="b">
        <v>0</v>
      </c>
      <c r="BG2417" s="0" t="b">
        <v>0</v>
      </c>
      <c r="BH2417" s="0">
        <v>73</v>
      </c>
      <c r="BI2417" s="0">
        <v>73</v>
      </c>
      <c r="BJ2417" s="0" t="s">
        <v>230</v>
      </c>
    </row>
    <row r="2418">
      <c r="A2418" s="0" t="s">
        <v>2658</v>
      </c>
      <c r="B2418" s="0" t="s">
        <v>134</v>
      </c>
      <c r="C2418" s="0" t="s">
        <v>134</v>
      </c>
      <c r="D2418" s="0" t="s">
        <v>230</v>
      </c>
      <c r="E2418" s="0" t="s">
        <v>2</v>
      </c>
      <c r="F2418" s="0" t="s">
        <v>12</v>
      </c>
      <c r="G2418" s="0" t="s">
        <v>8</v>
      </c>
      <c r="H2418" s="0">
        <v>691</v>
      </c>
      <c r="I2418" s="0">
        <v>152.1</v>
      </c>
      <c r="J2418" s="0">
        <v>0</v>
      </c>
      <c r="K2418" s="0">
        <v>1</v>
      </c>
      <c r="L2418" s="0">
        <v>3</v>
      </c>
      <c r="M2418" s="0">
        <v>4</v>
      </c>
      <c r="N2418" s="0">
        <v>0</v>
      </c>
      <c r="O2418" s="0">
        <v>0</v>
      </c>
      <c r="P2418" s="0">
        <v>-152.1</v>
      </c>
      <c r="R2418" s="0" t="b">
        <v>0</v>
      </c>
      <c r="S2418" s="0" t="b">
        <v>1</v>
      </c>
      <c r="T2418" s="68">
        <v>45362.8278125</v>
      </c>
      <c r="U2418" s="68">
        <v>45376.3333333333</v>
      </c>
      <c r="V2418" s="68">
        <v>0</v>
      </c>
      <c r="W2418" s="0">
        <f>IF(IF(B2418="none",1,IF(B2418="Trialer",1,0))+IF(C2418="Customer",1,IF(C2418="Lost",1,0))=2,1,0)</f>
      </c>
      <c r="X2418" s="0" t="s">
        <v>145</v>
      </c>
      <c r="Y2418" s="0" t="s">
        <v>499</v>
      </c>
      <c r="AV2418" s="68"/>
      <c r="AW2418" s="68"/>
      <c r="AY2418" s="27"/>
      <c r="BD2418" s="68">
        <v>46054.1666666667</v>
      </c>
      <c r="BE2418" s="68">
        <v>46082.1666666667</v>
      </c>
      <c r="BF2418" s="0" t="b">
        <v>0</v>
      </c>
      <c r="BG2418" s="0" t="b">
        <v>0</v>
      </c>
      <c r="BH2418" s="0">
        <v>169</v>
      </c>
      <c r="BI2418" s="0">
        <v>169</v>
      </c>
      <c r="BJ2418" s="0" t="s">
        <v>230</v>
      </c>
    </row>
    <row r="2419">
      <c r="A2419" s="0" t="s">
        <v>2659</v>
      </c>
      <c r="B2419" s="0" t="s">
        <v>134</v>
      </c>
      <c r="C2419" s="0" t="s">
        <v>134</v>
      </c>
      <c r="D2419" s="0" t="s">
        <v>230</v>
      </c>
      <c r="E2419" s="0" t="s">
        <v>3</v>
      </c>
      <c r="F2419" s="0" t="s">
        <v>12</v>
      </c>
      <c r="G2419" s="0" t="s">
        <v>8</v>
      </c>
      <c r="H2419" s="0">
        <v>690</v>
      </c>
      <c r="I2419" s="0">
        <v>216</v>
      </c>
      <c r="J2419" s="0">
        <v>0</v>
      </c>
      <c r="K2419" s="0">
        <v>1</v>
      </c>
      <c r="L2419" s="0">
        <v>4</v>
      </c>
      <c r="M2419" s="0">
        <v>4</v>
      </c>
      <c r="N2419" s="0">
        <v>0</v>
      </c>
      <c r="O2419" s="0">
        <v>0</v>
      </c>
      <c r="P2419" s="0">
        <v>2376</v>
      </c>
      <c r="R2419" s="0" t="b">
        <v>0</v>
      </c>
      <c r="S2419" s="0" t="b">
        <v>1</v>
      </c>
      <c r="T2419" s="68">
        <v>45363.4392361111</v>
      </c>
      <c r="U2419" s="68">
        <v>45377.3333333333</v>
      </c>
      <c r="V2419" s="68">
        <v>0</v>
      </c>
      <c r="W2419" s="0">
        <f>IF(IF(B2419="none",1,IF(B2419="Trialer",1,0))+IF(C2419="Customer",1,IF(C2419="Lost",1,0))=2,1,0)</f>
      </c>
      <c r="X2419" s="0" t="s">
        <v>882</v>
      </c>
      <c r="Y2419" s="0" t="s">
        <v>243</v>
      </c>
      <c r="AV2419" s="68"/>
      <c r="AW2419" s="68"/>
      <c r="AY2419" s="27"/>
      <c r="BD2419" s="68">
        <v>46054.1666666667</v>
      </c>
      <c r="BE2419" s="68">
        <v>46082.1666666667</v>
      </c>
      <c r="BF2419" s="0" t="b">
        <v>0</v>
      </c>
      <c r="BG2419" s="0" t="b">
        <v>0</v>
      </c>
      <c r="BH2419" s="0">
        <v>244</v>
      </c>
      <c r="BI2419" s="0">
        <v>244</v>
      </c>
      <c r="BJ2419" s="0" t="s">
        <v>230</v>
      </c>
    </row>
    <row r="2420">
      <c r="A2420" s="0" t="s">
        <v>2660</v>
      </c>
      <c r="B2420" s="0" t="s">
        <v>134</v>
      </c>
      <c r="C2420" s="0" t="s">
        <v>134</v>
      </c>
      <c r="D2420" s="0" t="s">
        <v>230</v>
      </c>
      <c r="E2420" s="0" t="s">
        <v>2</v>
      </c>
      <c r="F2420" s="0" t="s">
        <v>12</v>
      </c>
      <c r="G2420" s="0" t="s">
        <v>8</v>
      </c>
      <c r="H2420" s="0">
        <v>690</v>
      </c>
      <c r="I2420" s="0">
        <v>230.4</v>
      </c>
      <c r="J2420" s="0">
        <v>0</v>
      </c>
      <c r="K2420" s="0">
        <v>1</v>
      </c>
      <c r="L2420" s="0">
        <v>5</v>
      </c>
      <c r="M2420" s="0">
        <v>4</v>
      </c>
      <c r="N2420" s="0">
        <v>0</v>
      </c>
      <c r="O2420" s="0">
        <v>0</v>
      </c>
      <c r="P2420" s="0">
        <v>-230.4</v>
      </c>
      <c r="R2420" s="0" t="b">
        <v>0</v>
      </c>
      <c r="S2420" s="0" t="b">
        <v>1</v>
      </c>
      <c r="T2420" s="68">
        <v>45363.4773611111</v>
      </c>
      <c r="U2420" s="68">
        <v>45386.3333333333</v>
      </c>
      <c r="V2420" s="68">
        <v>0</v>
      </c>
      <c r="W2420" s="0">
        <f>IF(IF(B2420="none",1,IF(B2420="Trialer",1,0))+IF(C2420="Customer",1,IF(C2420="Lost",1,0))=2,1,0)</f>
      </c>
      <c r="X2420" s="0" t="s">
        <v>145</v>
      </c>
      <c r="Y2420" s="0" t="s">
        <v>499</v>
      </c>
      <c r="AV2420" s="68"/>
      <c r="AW2420" s="68"/>
      <c r="AY2420" s="27"/>
      <c r="BD2420" s="68">
        <v>46054.1666666667</v>
      </c>
      <c r="BE2420" s="68">
        <v>46082.1666666667</v>
      </c>
      <c r="BF2420" s="0" t="b">
        <v>0</v>
      </c>
      <c r="BG2420" s="0" t="b">
        <v>0</v>
      </c>
      <c r="BH2420" s="0">
        <v>256</v>
      </c>
      <c r="BI2420" s="0">
        <v>256</v>
      </c>
      <c r="BJ2420" s="0" t="s">
        <v>230</v>
      </c>
    </row>
    <row r="2421">
      <c r="A2421" s="0" t="s">
        <v>2661</v>
      </c>
      <c r="B2421" s="0" t="s">
        <v>134</v>
      </c>
      <c r="C2421" s="0" t="s">
        <v>134</v>
      </c>
      <c r="D2421" s="0" t="s">
        <v>135</v>
      </c>
      <c r="E2421" s="0" t="s">
        <v>2</v>
      </c>
      <c r="F2421" s="0" t="s">
        <v>12</v>
      </c>
      <c r="G2421" s="0" t="s">
        <v>8</v>
      </c>
      <c r="H2421" s="0">
        <v>690</v>
      </c>
      <c r="I2421" s="0">
        <v>358</v>
      </c>
      <c r="J2421" s="0">
        <v>0</v>
      </c>
      <c r="K2421" s="0">
        <v>1</v>
      </c>
      <c r="L2421" s="0">
        <v>4</v>
      </c>
      <c r="M2421" s="0">
        <v>7</v>
      </c>
      <c r="N2421" s="0">
        <v>0</v>
      </c>
      <c r="O2421" s="0">
        <v>0</v>
      </c>
      <c r="P2421" s="0">
        <v>0</v>
      </c>
      <c r="R2421" s="0" t="b">
        <v>0</v>
      </c>
      <c r="S2421" s="0" t="b">
        <v>1</v>
      </c>
      <c r="T2421" s="68">
        <v>45363.6305092593</v>
      </c>
      <c r="U2421" s="68">
        <v>45377.3333333333</v>
      </c>
      <c r="V2421" s="68">
        <v>0</v>
      </c>
      <c r="W2421" s="0">
        <f>IF(IF(B2421="none",1,IF(B2421="Trialer",1,0))+IF(C2421="Customer",1,IF(C2421="Lost",1,0))=2,1,0)</f>
      </c>
      <c r="X2421" s="0" t="s">
        <v>145</v>
      </c>
      <c r="Y2421" s="0" t="s">
        <v>499</v>
      </c>
      <c r="AV2421" s="68"/>
      <c r="AW2421" s="68"/>
      <c r="AY2421" s="27"/>
      <c r="BD2421" s="68">
        <v>46054.1666666667</v>
      </c>
      <c r="BE2421" s="68">
        <v>46082.1666666667</v>
      </c>
      <c r="BF2421" s="0" t="b">
        <v>0</v>
      </c>
      <c r="BG2421" s="0" t="b">
        <v>0</v>
      </c>
      <c r="BH2421" s="0">
        <v>395</v>
      </c>
      <c r="BI2421" s="0">
        <v>395</v>
      </c>
      <c r="BJ2421" s="0" t="s">
        <v>135</v>
      </c>
    </row>
    <row r="2422">
      <c r="A2422" s="0" t="s">
        <v>2662</v>
      </c>
      <c r="B2422" s="0" t="s">
        <v>134</v>
      </c>
      <c r="C2422" s="0" t="s">
        <v>134</v>
      </c>
      <c r="D2422" s="0" t="s">
        <v>230</v>
      </c>
      <c r="E2422" s="0" t="s">
        <v>3</v>
      </c>
      <c r="F2422" s="0" t="s">
        <v>12</v>
      </c>
      <c r="G2422" s="0" t="s">
        <v>8</v>
      </c>
      <c r="H2422" s="0">
        <v>690</v>
      </c>
      <c r="I2422" s="0">
        <v>72</v>
      </c>
      <c r="J2422" s="0">
        <v>0</v>
      </c>
      <c r="K2422" s="0">
        <v>1</v>
      </c>
      <c r="L2422" s="0">
        <v>2</v>
      </c>
      <c r="M2422" s="0">
        <v>2</v>
      </c>
      <c r="N2422" s="0">
        <v>0</v>
      </c>
      <c r="O2422" s="0">
        <v>0</v>
      </c>
      <c r="P2422" s="0">
        <v>792</v>
      </c>
      <c r="R2422" s="0" t="b">
        <v>0</v>
      </c>
      <c r="S2422" s="0" t="b">
        <v>1</v>
      </c>
      <c r="T2422" s="68">
        <v>45363.8653587963</v>
      </c>
      <c r="U2422" s="68">
        <v>45371.3333333333</v>
      </c>
      <c r="V2422" s="68">
        <v>0</v>
      </c>
      <c r="W2422" s="0">
        <f>IF(IF(B2422="none",1,IF(B2422="Trialer",1,0))+IF(C2422="Customer",1,IF(C2422="Lost",1,0))=2,1,0)</f>
      </c>
      <c r="X2422" s="0" t="s">
        <v>166</v>
      </c>
      <c r="Y2422" s="0" t="s">
        <v>243</v>
      </c>
      <c r="AV2422" s="68"/>
      <c r="AW2422" s="68"/>
      <c r="AY2422" s="27"/>
      <c r="BD2422" s="68">
        <v>46054.1666666667</v>
      </c>
      <c r="BE2422" s="68">
        <v>46082.1666666667</v>
      </c>
      <c r="BF2422" s="0" t="b">
        <v>0</v>
      </c>
      <c r="BG2422" s="0" t="b">
        <v>0</v>
      </c>
      <c r="BH2422" s="0">
        <v>80</v>
      </c>
      <c r="BI2422" s="0">
        <v>80</v>
      </c>
      <c r="BJ2422" s="0" t="s">
        <v>230</v>
      </c>
    </row>
    <row r="2423">
      <c r="A2423" s="0" t="s">
        <v>2663</v>
      </c>
      <c r="B2423" s="0" t="s">
        <v>134</v>
      </c>
      <c r="C2423" s="0" t="s">
        <v>134</v>
      </c>
      <c r="D2423" s="0" t="s">
        <v>135</v>
      </c>
      <c r="E2423" s="0" t="s">
        <v>3</v>
      </c>
      <c r="F2423" s="0" t="s">
        <v>12</v>
      </c>
      <c r="G2423" s="0" t="s">
        <v>8</v>
      </c>
      <c r="H2423" s="0">
        <v>689</v>
      </c>
      <c r="I2423" s="0">
        <v>0</v>
      </c>
      <c r="J2423" s="0">
        <v>0</v>
      </c>
      <c r="K2423" s="0">
        <v>1</v>
      </c>
      <c r="L2423" s="0">
        <v>6</v>
      </c>
      <c r="M2423" s="0">
        <v>1</v>
      </c>
      <c r="N2423" s="0">
        <v>0</v>
      </c>
      <c r="O2423" s="0">
        <v>0</v>
      </c>
      <c r="P2423" s="0">
        <v>0</v>
      </c>
      <c r="R2423" s="0" t="b">
        <v>0</v>
      </c>
      <c r="S2423" s="0" t="b">
        <v>1</v>
      </c>
      <c r="T2423" s="68">
        <v>45364.2011458333</v>
      </c>
      <c r="U2423" s="68">
        <v>45386.3333333333</v>
      </c>
      <c r="V2423" s="68">
        <v>0</v>
      </c>
      <c r="W2423" s="0">
        <f>IF(IF(B2423="none",1,IF(B2423="Trialer",1,0))+IF(C2423="Customer",1,IF(C2423="Lost",1,0))=2,1,0)</f>
      </c>
      <c r="X2423" s="0" t="s">
        <v>145</v>
      </c>
      <c r="Y2423" s="0" t="s">
        <v>2664</v>
      </c>
      <c r="AV2423" s="68"/>
      <c r="AW2423" s="68"/>
      <c r="AY2423" s="27"/>
      <c r="BD2423" s="68">
        <v>46054.1666666667</v>
      </c>
      <c r="BE2423" s="68">
        <v>46082.1666666667</v>
      </c>
      <c r="BF2423" s="0" t="b">
        <v>0</v>
      </c>
      <c r="BG2423" s="0" t="b">
        <v>0</v>
      </c>
      <c r="BH2423" s="0">
        <v>0</v>
      </c>
      <c r="BI2423" s="0">
        <v>0</v>
      </c>
      <c r="BJ2423" s="0" t="s">
        <v>135</v>
      </c>
    </row>
    <row r="2424">
      <c r="A2424" s="0" t="s">
        <v>2665</v>
      </c>
      <c r="B2424" s="0" t="s">
        <v>134</v>
      </c>
      <c r="C2424" s="0" t="s">
        <v>134</v>
      </c>
      <c r="D2424" s="0" t="s">
        <v>135</v>
      </c>
      <c r="E2424" s="0" t="s">
        <v>3</v>
      </c>
      <c r="F2424" s="0" t="s">
        <v>12</v>
      </c>
      <c r="G2424" s="0" t="s">
        <v>8</v>
      </c>
      <c r="H2424" s="0">
        <v>689</v>
      </c>
      <c r="I2424" s="0">
        <v>0</v>
      </c>
      <c r="J2424" s="0">
        <v>0</v>
      </c>
      <c r="K2424" s="0">
        <v>1</v>
      </c>
      <c r="L2424" s="0">
        <v>4</v>
      </c>
      <c r="M2424" s="0">
        <v>1</v>
      </c>
      <c r="N2424" s="0">
        <v>0</v>
      </c>
      <c r="O2424" s="0">
        <v>0</v>
      </c>
      <c r="P2424" s="0">
        <v>0</v>
      </c>
      <c r="R2424" s="0" t="b">
        <v>0</v>
      </c>
      <c r="S2424" s="0" t="b">
        <v>1</v>
      </c>
      <c r="T2424" s="68">
        <v>45364.5230092593</v>
      </c>
      <c r="U2424" s="68">
        <v>45378.3333333333</v>
      </c>
      <c r="V2424" s="68">
        <v>0</v>
      </c>
      <c r="W2424" s="0">
        <f>IF(IF(B2424="none",1,IF(B2424="Trialer",1,0))+IF(C2424="Customer",1,IF(C2424="Lost",1,0))=2,1,0)</f>
      </c>
      <c r="X2424" s="0" t="s">
        <v>148</v>
      </c>
      <c r="Y2424" s="0" t="s">
        <v>243</v>
      </c>
      <c r="AV2424" s="68"/>
      <c r="AW2424" s="68"/>
      <c r="AY2424" s="27"/>
      <c r="BD2424" s="68">
        <v>46054.1666666667</v>
      </c>
      <c r="BE2424" s="68">
        <v>46082.1666666667</v>
      </c>
      <c r="BF2424" s="0" t="b">
        <v>0</v>
      </c>
      <c r="BG2424" s="0" t="b">
        <v>0</v>
      </c>
      <c r="BH2424" s="0">
        <v>0</v>
      </c>
      <c r="BI2424" s="0">
        <v>0</v>
      </c>
      <c r="BJ2424" s="0" t="s">
        <v>135</v>
      </c>
    </row>
    <row r="2425">
      <c r="A2425" s="0" t="s">
        <v>2666</v>
      </c>
      <c r="B2425" s="0" t="s">
        <v>134</v>
      </c>
      <c r="C2425" s="0" t="s">
        <v>134</v>
      </c>
      <c r="D2425" s="0" t="s">
        <v>230</v>
      </c>
      <c r="E2425" s="0" t="s">
        <v>3</v>
      </c>
      <c r="F2425" s="0" t="s">
        <v>12</v>
      </c>
      <c r="G2425" s="0" t="s">
        <v>8</v>
      </c>
      <c r="H2425" s="0">
        <v>688</v>
      </c>
      <c r="I2425" s="0">
        <v>189.9</v>
      </c>
      <c r="J2425" s="0">
        <v>0</v>
      </c>
      <c r="K2425" s="0">
        <v>1</v>
      </c>
      <c r="L2425" s="0">
        <v>4</v>
      </c>
      <c r="M2425" s="0">
        <v>4</v>
      </c>
      <c r="N2425" s="0">
        <v>0</v>
      </c>
      <c r="O2425" s="0">
        <v>0</v>
      </c>
      <c r="P2425" s="0">
        <v>-189.9</v>
      </c>
      <c r="R2425" s="0" t="b">
        <v>0</v>
      </c>
      <c r="S2425" s="0" t="b">
        <v>1</v>
      </c>
      <c r="T2425" s="68">
        <v>45365.6533449074</v>
      </c>
      <c r="U2425" s="68">
        <v>45379.3333333333</v>
      </c>
      <c r="V2425" s="68">
        <v>0</v>
      </c>
      <c r="W2425" s="0">
        <f>IF(IF(B2425="none",1,IF(B2425="Trialer",1,0))+IF(C2425="Customer",1,IF(C2425="Lost",1,0))=2,1,0)</f>
      </c>
      <c r="X2425" s="0" t="s">
        <v>145</v>
      </c>
      <c r="Y2425" s="0" t="s">
        <v>243</v>
      </c>
      <c r="AV2425" s="68"/>
      <c r="AW2425" s="68"/>
      <c r="AY2425" s="27"/>
      <c r="BD2425" s="68">
        <v>46054.1666666667</v>
      </c>
      <c r="BE2425" s="68">
        <v>46082.1666666667</v>
      </c>
      <c r="BF2425" s="0" t="b">
        <v>0</v>
      </c>
      <c r="BG2425" s="0" t="b">
        <v>0</v>
      </c>
      <c r="BH2425" s="0">
        <v>211</v>
      </c>
      <c r="BI2425" s="0">
        <v>211</v>
      </c>
      <c r="BJ2425" s="0" t="s">
        <v>230</v>
      </c>
    </row>
    <row r="2426">
      <c r="A2426" s="0" t="s">
        <v>2667</v>
      </c>
      <c r="B2426" s="0" t="s">
        <v>134</v>
      </c>
      <c r="C2426" s="0" t="s">
        <v>134</v>
      </c>
      <c r="D2426" s="0" t="s">
        <v>135</v>
      </c>
      <c r="E2426" s="0" t="s">
        <v>3</v>
      </c>
      <c r="F2426" s="0" t="s">
        <v>10</v>
      </c>
      <c r="G2426" s="0" t="s">
        <v>8</v>
      </c>
      <c r="H2426" s="0">
        <v>686</v>
      </c>
      <c r="I2426" s="0">
        <v>28</v>
      </c>
      <c r="J2426" s="0">
        <v>0</v>
      </c>
      <c r="K2426" s="0">
        <v>1</v>
      </c>
      <c r="L2426" s="0">
        <v>1</v>
      </c>
      <c r="M2426" s="0">
        <v>1</v>
      </c>
      <c r="N2426" s="0">
        <v>0</v>
      </c>
      <c r="O2426" s="0">
        <v>0</v>
      </c>
      <c r="P2426" s="0">
        <v>0</v>
      </c>
      <c r="Q2426" s="0" t="s">
        <v>618</v>
      </c>
      <c r="R2426" s="0" t="b">
        <v>0</v>
      </c>
      <c r="S2426" s="0" t="b">
        <v>0</v>
      </c>
      <c r="T2426" s="68">
        <v>45367.5113657407</v>
      </c>
      <c r="U2426" s="68">
        <v>45381.3333333333</v>
      </c>
      <c r="V2426" s="68">
        <v>46093.5171527778</v>
      </c>
      <c r="W2426" s="0">
        <f>IF(IF(B2426="none",1,IF(B2426="Trialer",1,0))+IF(C2426="Customer",1,IF(C2426="Lost",1,0))=2,1,0)</f>
      </c>
      <c r="X2426" s="0" t="s">
        <v>148</v>
      </c>
      <c r="Y2426" s="0" t="s">
        <v>243</v>
      </c>
      <c r="AV2426" s="68"/>
      <c r="AW2426" s="68"/>
      <c r="AY2426" s="27"/>
      <c r="BD2426" s="68">
        <v>46054.1666666667</v>
      </c>
      <c r="BE2426" s="68">
        <v>46082.1666666667</v>
      </c>
      <c r="BF2426" s="0" t="b">
        <v>0</v>
      </c>
      <c r="BG2426" s="0" t="b">
        <v>0</v>
      </c>
      <c r="BH2426" s="0">
        <v>28</v>
      </c>
      <c r="BI2426" s="0">
        <v>28</v>
      </c>
      <c r="BJ2426" s="0" t="s">
        <v>135</v>
      </c>
    </row>
    <row r="2427">
      <c r="A2427" s="0" t="s">
        <v>2668</v>
      </c>
      <c r="B2427" s="0" t="s">
        <v>134</v>
      </c>
      <c r="C2427" s="0" t="s">
        <v>134</v>
      </c>
      <c r="D2427" s="0" t="s">
        <v>135</v>
      </c>
      <c r="E2427" s="0" t="s">
        <v>3</v>
      </c>
      <c r="F2427" s="0" t="s">
        <v>12</v>
      </c>
      <c r="G2427" s="0" t="s">
        <v>8</v>
      </c>
      <c r="H2427" s="0">
        <v>685</v>
      </c>
      <c r="I2427" s="0">
        <v>0</v>
      </c>
      <c r="J2427" s="0">
        <v>0</v>
      </c>
      <c r="K2427" s="0">
        <v>1</v>
      </c>
      <c r="L2427" s="0">
        <v>5</v>
      </c>
      <c r="M2427" s="0">
        <v>1</v>
      </c>
      <c r="N2427" s="0">
        <v>0</v>
      </c>
      <c r="O2427" s="0">
        <v>0</v>
      </c>
      <c r="P2427" s="0">
        <v>0</v>
      </c>
      <c r="R2427" s="0" t="b">
        <v>0</v>
      </c>
      <c r="S2427" s="0" t="b">
        <v>1</v>
      </c>
      <c r="T2427" s="68">
        <v>45368.6555555556</v>
      </c>
      <c r="U2427" s="68">
        <v>45382.3333333333</v>
      </c>
      <c r="V2427" s="68">
        <v>0</v>
      </c>
      <c r="W2427" s="0">
        <f>IF(IF(B2427="none",1,IF(B2427="Trialer",1,0))+IF(C2427="Customer",1,IF(C2427="Lost",1,0))=2,1,0)</f>
      </c>
      <c r="X2427" s="0" t="s">
        <v>136</v>
      </c>
      <c r="Y2427" s="0" t="s">
        <v>243</v>
      </c>
      <c r="AV2427" s="68"/>
      <c r="AW2427" s="68"/>
      <c r="AY2427" s="27"/>
      <c r="BD2427" s="68">
        <v>46054.1666666667</v>
      </c>
      <c r="BE2427" s="68">
        <v>46082.1666666667</v>
      </c>
      <c r="BF2427" s="0" t="b">
        <v>0</v>
      </c>
      <c r="BG2427" s="0" t="b">
        <v>0</v>
      </c>
      <c r="BH2427" s="0">
        <v>0</v>
      </c>
      <c r="BI2427" s="0">
        <v>0</v>
      </c>
      <c r="BJ2427" s="0" t="s">
        <v>135</v>
      </c>
    </row>
    <row r="2428">
      <c r="A2428" s="0" t="s">
        <v>2669</v>
      </c>
      <c r="B2428" s="0" t="s">
        <v>134</v>
      </c>
      <c r="C2428" s="0" t="s">
        <v>134</v>
      </c>
      <c r="D2428" s="0" t="s">
        <v>230</v>
      </c>
      <c r="E2428" s="0" t="s">
        <v>3</v>
      </c>
      <c r="F2428" s="0" t="s">
        <v>12</v>
      </c>
      <c r="G2428" s="0" t="s">
        <v>8</v>
      </c>
      <c r="H2428" s="0">
        <v>684</v>
      </c>
      <c r="I2428" s="0">
        <v>264</v>
      </c>
      <c r="J2428" s="0">
        <v>0</v>
      </c>
      <c r="K2428" s="0">
        <v>1</v>
      </c>
      <c r="L2428" s="0">
        <v>3</v>
      </c>
      <c r="M2428" s="0">
        <v>6</v>
      </c>
      <c r="N2428" s="0">
        <v>0</v>
      </c>
      <c r="O2428" s="0">
        <v>0</v>
      </c>
      <c r="P2428" s="0">
        <v>-264</v>
      </c>
      <c r="R2428" s="0" t="b">
        <v>0</v>
      </c>
      <c r="S2428" s="0" t="b">
        <v>1</v>
      </c>
      <c r="T2428" s="68">
        <v>45369.410150463</v>
      </c>
      <c r="U2428" s="68">
        <v>45407.3333333333</v>
      </c>
      <c r="V2428" s="68">
        <v>0</v>
      </c>
      <c r="W2428" s="0">
        <f>IF(IF(B2428="none",1,IF(B2428="Trialer",1,0))+IF(C2428="Customer",1,IF(C2428="Lost",1,0))=2,1,0)</f>
      </c>
      <c r="X2428" s="0" t="s">
        <v>136</v>
      </c>
      <c r="Y2428" s="0" t="s">
        <v>243</v>
      </c>
      <c r="AV2428" s="68"/>
      <c r="AW2428" s="68"/>
      <c r="AY2428" s="27"/>
      <c r="BD2428" s="68">
        <v>46054.1666666667</v>
      </c>
      <c r="BE2428" s="68">
        <v>46082.1666666667</v>
      </c>
      <c r="BF2428" s="0" t="b">
        <v>0</v>
      </c>
      <c r="BG2428" s="0" t="b">
        <v>0</v>
      </c>
      <c r="BH2428" s="0">
        <v>294</v>
      </c>
      <c r="BI2428" s="0">
        <v>294</v>
      </c>
      <c r="BJ2428" s="0" t="s">
        <v>230</v>
      </c>
    </row>
    <row r="2429">
      <c r="A2429" s="0" t="s">
        <v>2670</v>
      </c>
      <c r="B2429" s="0" t="s">
        <v>134</v>
      </c>
      <c r="C2429" s="0" t="s">
        <v>134</v>
      </c>
      <c r="D2429" s="0" t="s">
        <v>135</v>
      </c>
      <c r="E2429" s="0" t="s">
        <v>3</v>
      </c>
      <c r="F2429" s="0" t="s">
        <v>12</v>
      </c>
      <c r="G2429" s="0" t="s">
        <v>8</v>
      </c>
      <c r="H2429" s="0">
        <v>684</v>
      </c>
      <c r="I2429" s="0">
        <v>208</v>
      </c>
      <c r="J2429" s="0">
        <v>0</v>
      </c>
      <c r="K2429" s="0">
        <v>1</v>
      </c>
      <c r="L2429" s="0">
        <v>4</v>
      </c>
      <c r="M2429" s="0">
        <v>4</v>
      </c>
      <c r="N2429" s="0">
        <v>0</v>
      </c>
      <c r="O2429" s="0">
        <v>0</v>
      </c>
      <c r="P2429" s="0">
        <v>0</v>
      </c>
      <c r="R2429" s="0" t="b">
        <v>0</v>
      </c>
      <c r="S2429" s="0" t="b">
        <v>1</v>
      </c>
      <c r="T2429" s="68">
        <v>45369.7256944444</v>
      </c>
      <c r="U2429" s="68">
        <v>45385.3333333333</v>
      </c>
      <c r="V2429" s="68">
        <v>0</v>
      </c>
      <c r="W2429" s="0">
        <f>IF(IF(B2429="none",1,IF(B2429="Trialer",1,0))+IF(C2429="Customer",1,IF(C2429="Lost",1,0))=2,1,0)</f>
      </c>
      <c r="X2429" s="0" t="s">
        <v>882</v>
      </c>
      <c r="Y2429" s="0" t="s">
        <v>243</v>
      </c>
      <c r="AV2429" s="68"/>
      <c r="AW2429" s="68"/>
      <c r="AY2429" s="27"/>
      <c r="BD2429" s="68">
        <v>46054.1666666667</v>
      </c>
      <c r="BE2429" s="68">
        <v>46082.1666666667</v>
      </c>
      <c r="BF2429" s="0" t="b">
        <v>0</v>
      </c>
      <c r="BG2429" s="0" t="b">
        <v>0</v>
      </c>
      <c r="BH2429" s="0">
        <v>208</v>
      </c>
      <c r="BI2429" s="0">
        <v>208</v>
      </c>
      <c r="BJ2429" s="0" t="s">
        <v>135</v>
      </c>
    </row>
    <row r="2430">
      <c r="A2430" s="0" t="s">
        <v>2671</v>
      </c>
      <c r="B2430" s="0" t="s">
        <v>134</v>
      </c>
      <c r="C2430" s="0" t="s">
        <v>134</v>
      </c>
      <c r="D2430" s="0" t="s">
        <v>230</v>
      </c>
      <c r="E2430" s="0" t="s">
        <v>3</v>
      </c>
      <c r="F2430" s="0" t="s">
        <v>12</v>
      </c>
      <c r="G2430" s="0" t="s">
        <v>8</v>
      </c>
      <c r="H2430" s="0">
        <v>683</v>
      </c>
      <c r="I2430" s="0">
        <v>176.4</v>
      </c>
      <c r="J2430" s="0">
        <v>0</v>
      </c>
      <c r="K2430" s="0">
        <v>1</v>
      </c>
      <c r="L2430" s="0">
        <v>3</v>
      </c>
      <c r="M2430" s="0">
        <v>4</v>
      </c>
      <c r="N2430" s="0">
        <v>0</v>
      </c>
      <c r="O2430" s="0">
        <v>0</v>
      </c>
      <c r="P2430" s="0">
        <v>-176.4</v>
      </c>
      <c r="R2430" s="0" t="b">
        <v>0</v>
      </c>
      <c r="S2430" s="0" t="b">
        <v>1</v>
      </c>
      <c r="T2430" s="68">
        <v>45370.368599537</v>
      </c>
      <c r="U2430" s="68">
        <v>45391.3333333333</v>
      </c>
      <c r="V2430" s="68">
        <v>0</v>
      </c>
      <c r="W2430" s="0">
        <f>IF(IF(B2430="none",1,IF(B2430="Trialer",1,0))+IF(C2430="Customer",1,IF(C2430="Lost",1,0))=2,1,0)</f>
      </c>
      <c r="X2430" s="0" t="s">
        <v>136</v>
      </c>
      <c r="Y2430" s="0" t="s">
        <v>243</v>
      </c>
      <c r="AV2430" s="68"/>
      <c r="AW2430" s="68"/>
      <c r="AY2430" s="27"/>
      <c r="BD2430" s="68">
        <v>46054.1666666667</v>
      </c>
      <c r="BE2430" s="68">
        <v>46082.1666666667</v>
      </c>
      <c r="BF2430" s="0" t="b">
        <v>0</v>
      </c>
      <c r="BG2430" s="0" t="b">
        <v>0</v>
      </c>
      <c r="BH2430" s="0">
        <v>196</v>
      </c>
      <c r="BI2430" s="0">
        <v>196</v>
      </c>
      <c r="BJ2430" s="0" t="s">
        <v>230</v>
      </c>
    </row>
    <row r="2431">
      <c r="A2431" s="0" t="s">
        <v>2672</v>
      </c>
      <c r="B2431" s="0" t="s">
        <v>134</v>
      </c>
      <c r="C2431" s="0" t="s">
        <v>134</v>
      </c>
      <c r="D2431" s="0" t="s">
        <v>135</v>
      </c>
      <c r="E2431" s="0" t="s">
        <v>3</v>
      </c>
      <c r="F2431" s="0" t="s">
        <v>12</v>
      </c>
      <c r="G2431" s="0" t="s">
        <v>8</v>
      </c>
      <c r="H2431" s="0">
        <v>683</v>
      </c>
      <c r="I2431" s="0">
        <v>129</v>
      </c>
      <c r="J2431" s="0">
        <v>0</v>
      </c>
      <c r="K2431" s="0">
        <v>1</v>
      </c>
      <c r="L2431" s="0">
        <v>3</v>
      </c>
      <c r="M2431" s="0">
        <v>3</v>
      </c>
      <c r="N2431" s="0">
        <v>0</v>
      </c>
      <c r="O2431" s="0">
        <v>0</v>
      </c>
      <c r="P2431" s="0">
        <v>0</v>
      </c>
      <c r="R2431" s="0" t="b">
        <v>0</v>
      </c>
      <c r="S2431" s="0" t="b">
        <v>1</v>
      </c>
      <c r="T2431" s="68">
        <v>45370.5177314815</v>
      </c>
      <c r="U2431" s="68">
        <v>45384.3333333333</v>
      </c>
      <c r="V2431" s="68">
        <v>0</v>
      </c>
      <c r="W2431" s="0">
        <f>IF(IF(B2431="none",1,IF(B2431="Trialer",1,0))+IF(C2431="Customer",1,IF(C2431="Lost",1,0))=2,1,0)</f>
      </c>
      <c r="X2431" s="0" t="s">
        <v>166</v>
      </c>
      <c r="Y2431" s="0" t="s">
        <v>243</v>
      </c>
      <c r="AV2431" s="68"/>
      <c r="AW2431" s="68"/>
      <c r="AY2431" s="27"/>
      <c r="BD2431" s="68">
        <v>46054.1666666667</v>
      </c>
      <c r="BE2431" s="68">
        <v>46082.1666666667</v>
      </c>
      <c r="BF2431" s="0" t="b">
        <v>0</v>
      </c>
      <c r="BG2431" s="0" t="b">
        <v>0</v>
      </c>
      <c r="BH2431" s="0">
        <v>129</v>
      </c>
      <c r="BI2431" s="0">
        <v>129</v>
      </c>
      <c r="BJ2431" s="0" t="s">
        <v>135</v>
      </c>
    </row>
    <row r="2432">
      <c r="A2432" s="0" t="s">
        <v>2673</v>
      </c>
      <c r="B2432" s="0" t="s">
        <v>134</v>
      </c>
      <c r="C2432" s="0" t="s">
        <v>134</v>
      </c>
      <c r="D2432" s="0" t="s">
        <v>135</v>
      </c>
      <c r="E2432" s="0" t="s">
        <v>3</v>
      </c>
      <c r="F2432" s="0" t="s">
        <v>12</v>
      </c>
      <c r="G2432" s="0" t="s">
        <v>8</v>
      </c>
      <c r="H2432" s="0">
        <v>683</v>
      </c>
      <c r="I2432" s="0">
        <v>120</v>
      </c>
      <c r="J2432" s="0">
        <v>0</v>
      </c>
      <c r="K2432" s="0">
        <v>1</v>
      </c>
      <c r="L2432" s="0">
        <v>2</v>
      </c>
      <c r="M2432" s="0">
        <v>3</v>
      </c>
      <c r="N2432" s="0">
        <v>0</v>
      </c>
      <c r="O2432" s="0">
        <v>0</v>
      </c>
      <c r="P2432" s="0">
        <v>0</v>
      </c>
      <c r="R2432" s="0" t="b">
        <v>0</v>
      </c>
      <c r="S2432" s="0" t="b">
        <v>1</v>
      </c>
      <c r="T2432" s="68">
        <v>45370.5635300926</v>
      </c>
      <c r="U2432" s="68">
        <v>45391.3333333333</v>
      </c>
      <c r="V2432" s="68">
        <v>0</v>
      </c>
      <c r="W2432" s="0">
        <f>IF(IF(B2432="none",1,IF(B2432="Trialer",1,0))+IF(C2432="Customer",1,IF(C2432="Lost",1,0))=2,1,0)</f>
      </c>
      <c r="X2432" s="0" t="s">
        <v>166</v>
      </c>
      <c r="Y2432" s="0" t="s">
        <v>243</v>
      </c>
      <c r="AV2432" s="68"/>
      <c r="AW2432" s="68"/>
      <c r="AY2432" s="27"/>
      <c r="BD2432" s="68">
        <v>46054.1666666667</v>
      </c>
      <c r="BE2432" s="68">
        <v>46082.1666666667</v>
      </c>
      <c r="BF2432" s="0" t="b">
        <v>0</v>
      </c>
      <c r="BG2432" s="0" t="b">
        <v>0</v>
      </c>
      <c r="BH2432" s="0">
        <v>120</v>
      </c>
      <c r="BI2432" s="0">
        <v>120</v>
      </c>
      <c r="BJ2432" s="0" t="s">
        <v>135</v>
      </c>
    </row>
    <row r="2433">
      <c r="A2433" s="0" t="s">
        <v>2674</v>
      </c>
      <c r="B2433" s="0" t="s">
        <v>134</v>
      </c>
      <c r="C2433" s="0" t="s">
        <v>134</v>
      </c>
      <c r="D2433" s="0" t="s">
        <v>135</v>
      </c>
      <c r="E2433" s="0" t="s">
        <v>3</v>
      </c>
      <c r="F2433" s="0" t="s">
        <v>12</v>
      </c>
      <c r="G2433" s="0" t="s">
        <v>8</v>
      </c>
      <c r="H2433" s="0">
        <v>682</v>
      </c>
      <c r="I2433" s="0">
        <v>178</v>
      </c>
      <c r="J2433" s="0">
        <v>0</v>
      </c>
      <c r="K2433" s="0">
        <v>1</v>
      </c>
      <c r="L2433" s="0">
        <v>4</v>
      </c>
      <c r="M2433" s="0">
        <v>4</v>
      </c>
      <c r="N2433" s="0">
        <v>0</v>
      </c>
      <c r="O2433" s="0">
        <v>0</v>
      </c>
      <c r="P2433" s="0">
        <v>0</v>
      </c>
      <c r="R2433" s="0" t="b">
        <v>0</v>
      </c>
      <c r="S2433" s="0" t="b">
        <v>1</v>
      </c>
      <c r="T2433" s="68">
        <v>45371.4840046296</v>
      </c>
      <c r="U2433" s="68">
        <v>45371.3333333333</v>
      </c>
      <c r="V2433" s="68">
        <v>0</v>
      </c>
      <c r="W2433" s="0">
        <f>IF(IF(B2433="none",1,IF(B2433="Trialer",1,0))+IF(C2433="Customer",1,IF(C2433="Lost",1,0))=2,1,0)</f>
      </c>
      <c r="X2433" s="0" t="s">
        <v>882</v>
      </c>
      <c r="Y2433" s="0" t="s">
        <v>243</v>
      </c>
      <c r="AV2433" s="68"/>
      <c r="AW2433" s="68"/>
      <c r="AY2433" s="27"/>
      <c r="BD2433" s="68">
        <v>46054.1666666667</v>
      </c>
      <c r="BE2433" s="68">
        <v>46082.1666666667</v>
      </c>
      <c r="BF2433" s="0" t="b">
        <v>0</v>
      </c>
      <c r="BG2433" s="0" t="b">
        <v>0</v>
      </c>
      <c r="BH2433" s="0">
        <v>178</v>
      </c>
      <c r="BI2433" s="0">
        <v>178</v>
      </c>
      <c r="BJ2433" s="0" t="s">
        <v>135</v>
      </c>
    </row>
    <row r="2434">
      <c r="A2434" s="0" t="s">
        <v>2675</v>
      </c>
      <c r="B2434" s="0" t="s">
        <v>134</v>
      </c>
      <c r="C2434" s="0" t="s">
        <v>134</v>
      </c>
      <c r="D2434" s="0" t="s">
        <v>135</v>
      </c>
      <c r="E2434" s="0" t="s">
        <v>3</v>
      </c>
      <c r="F2434" s="0" t="s">
        <v>10</v>
      </c>
      <c r="G2434" s="0" t="s">
        <v>8</v>
      </c>
      <c r="H2434" s="0">
        <v>681</v>
      </c>
      <c r="I2434" s="0">
        <v>28</v>
      </c>
      <c r="J2434" s="0">
        <v>0</v>
      </c>
      <c r="K2434" s="0">
        <v>1</v>
      </c>
      <c r="L2434" s="0">
        <v>1</v>
      </c>
      <c r="M2434" s="0">
        <v>1</v>
      </c>
      <c r="N2434" s="0">
        <v>0</v>
      </c>
      <c r="O2434" s="0">
        <v>0</v>
      </c>
      <c r="P2434" s="0">
        <v>0</v>
      </c>
      <c r="Q2434" s="0" t="s">
        <v>618</v>
      </c>
      <c r="R2434" s="0" t="b">
        <v>0</v>
      </c>
      <c r="S2434" s="0" t="b">
        <v>1</v>
      </c>
      <c r="T2434" s="68">
        <v>45372.7028125</v>
      </c>
      <c r="U2434" s="68">
        <v>45386.3333333333</v>
      </c>
      <c r="V2434" s="68">
        <v>0</v>
      </c>
      <c r="W2434" s="0">
        <f>IF(IF(B2434="none",1,IF(B2434="Trialer",1,0))+IF(C2434="Customer",1,IF(C2434="Lost",1,0))=2,1,0)</f>
      </c>
      <c r="X2434" s="0" t="s">
        <v>148</v>
      </c>
      <c r="Y2434" s="0" t="s">
        <v>243</v>
      </c>
      <c r="AV2434" s="68"/>
      <c r="AW2434" s="68"/>
      <c r="AY2434" s="27"/>
      <c r="BD2434" s="68">
        <v>46054.1666666667</v>
      </c>
      <c r="BE2434" s="68">
        <v>46082.1666666667</v>
      </c>
      <c r="BF2434" s="0" t="b">
        <v>0</v>
      </c>
      <c r="BG2434" s="0" t="b">
        <v>0</v>
      </c>
      <c r="BH2434" s="0">
        <v>28</v>
      </c>
      <c r="BI2434" s="0">
        <v>28</v>
      </c>
      <c r="BJ2434" s="0" t="s">
        <v>135</v>
      </c>
    </row>
    <row r="2435">
      <c r="A2435" s="0" t="s">
        <v>2676</v>
      </c>
      <c r="B2435" s="0" t="s">
        <v>134</v>
      </c>
      <c r="C2435" s="0" t="s">
        <v>134</v>
      </c>
      <c r="D2435" s="0" t="s">
        <v>230</v>
      </c>
      <c r="E2435" s="0" t="s">
        <v>3</v>
      </c>
      <c r="F2435" s="0" t="s">
        <v>12</v>
      </c>
      <c r="G2435" s="0" t="s">
        <v>8</v>
      </c>
      <c r="H2435" s="0">
        <v>680</v>
      </c>
      <c r="I2435" s="0">
        <v>44</v>
      </c>
      <c r="J2435" s="0">
        <v>0</v>
      </c>
      <c r="K2435" s="0">
        <v>1</v>
      </c>
      <c r="L2435" s="0">
        <v>3</v>
      </c>
      <c r="M2435" s="0">
        <v>1</v>
      </c>
      <c r="N2435" s="0">
        <v>0</v>
      </c>
      <c r="O2435" s="0">
        <v>0</v>
      </c>
      <c r="P2435" s="0">
        <v>-44</v>
      </c>
      <c r="R2435" s="0" t="b">
        <v>0</v>
      </c>
      <c r="S2435" s="0" t="b">
        <v>1</v>
      </c>
      <c r="T2435" s="68">
        <v>45373.3966435185</v>
      </c>
      <c r="U2435" s="68">
        <v>45387.3333333333</v>
      </c>
      <c r="V2435" s="68">
        <v>0</v>
      </c>
      <c r="W2435" s="0">
        <f>IF(IF(B2435="none",1,IF(B2435="Trialer",1,0))+IF(C2435="Customer",1,IF(C2435="Lost",1,0))=2,1,0)</f>
      </c>
      <c r="X2435" s="0" t="s">
        <v>142</v>
      </c>
      <c r="Y2435" s="0" t="s">
        <v>243</v>
      </c>
      <c r="AV2435" s="68"/>
      <c r="AW2435" s="68"/>
      <c r="AY2435" s="27"/>
      <c r="BD2435" s="68">
        <v>46054.1666666667</v>
      </c>
      <c r="BE2435" s="68">
        <v>46082.1666666667</v>
      </c>
      <c r="BF2435" s="0" t="b">
        <v>0</v>
      </c>
      <c r="BG2435" s="0" t="b">
        <v>0</v>
      </c>
      <c r="BH2435" s="0">
        <v>49</v>
      </c>
      <c r="BI2435" s="0">
        <v>49</v>
      </c>
      <c r="BJ2435" s="0" t="s">
        <v>230</v>
      </c>
    </row>
    <row r="2436">
      <c r="A2436" s="0" t="s">
        <v>2677</v>
      </c>
      <c r="B2436" s="0" t="s">
        <v>134</v>
      </c>
      <c r="C2436" s="0" t="s">
        <v>134</v>
      </c>
      <c r="D2436" s="0" t="s">
        <v>135</v>
      </c>
      <c r="E2436" s="0" t="s">
        <v>3</v>
      </c>
      <c r="F2436" s="0" t="s">
        <v>12</v>
      </c>
      <c r="G2436" s="0" t="s">
        <v>8</v>
      </c>
      <c r="H2436" s="0">
        <v>676</v>
      </c>
      <c r="I2436" s="0">
        <v>56</v>
      </c>
      <c r="J2436" s="0">
        <v>0</v>
      </c>
      <c r="K2436" s="0">
        <v>1</v>
      </c>
      <c r="L2436" s="0">
        <v>1</v>
      </c>
      <c r="M2436" s="0">
        <v>2</v>
      </c>
      <c r="N2436" s="0">
        <v>0</v>
      </c>
      <c r="O2436" s="0">
        <v>0</v>
      </c>
      <c r="P2436" s="0">
        <v>0</v>
      </c>
      <c r="R2436" s="0" t="b">
        <v>0</v>
      </c>
      <c r="S2436" s="0" t="b">
        <v>1</v>
      </c>
      <c r="T2436" s="68">
        <v>45377.4399305556</v>
      </c>
      <c r="U2436" s="68">
        <v>45391.3333333333</v>
      </c>
      <c r="V2436" s="68">
        <v>0</v>
      </c>
      <c r="W2436" s="0">
        <f>IF(IF(B2436="none",1,IF(B2436="Trialer",1,0))+IF(C2436="Customer",1,IF(C2436="Lost",1,0))=2,1,0)</f>
      </c>
      <c r="X2436" s="0" t="s">
        <v>166</v>
      </c>
      <c r="Y2436" s="0" t="s">
        <v>243</v>
      </c>
      <c r="AV2436" s="68"/>
      <c r="AW2436" s="68"/>
      <c r="AY2436" s="27"/>
      <c r="BD2436" s="68">
        <v>46054.1666666667</v>
      </c>
      <c r="BE2436" s="68">
        <v>46082.1666666667</v>
      </c>
      <c r="BF2436" s="0" t="b">
        <v>0</v>
      </c>
      <c r="BG2436" s="0" t="b">
        <v>0</v>
      </c>
      <c r="BH2436" s="0">
        <v>56</v>
      </c>
      <c r="BI2436" s="0">
        <v>56</v>
      </c>
      <c r="BJ2436" s="0" t="s">
        <v>135</v>
      </c>
    </row>
    <row r="2437">
      <c r="A2437" s="0" t="s">
        <v>2678</v>
      </c>
      <c r="B2437" s="0" t="s">
        <v>134</v>
      </c>
      <c r="C2437" s="0" t="s">
        <v>134</v>
      </c>
      <c r="D2437" s="0" t="s">
        <v>135</v>
      </c>
      <c r="E2437" s="0" t="s">
        <v>3</v>
      </c>
      <c r="F2437" s="0" t="s">
        <v>10</v>
      </c>
      <c r="G2437" s="0" t="s">
        <v>8</v>
      </c>
      <c r="H2437" s="0">
        <v>675</v>
      </c>
      <c r="I2437" s="0">
        <v>56</v>
      </c>
      <c r="J2437" s="0">
        <v>0</v>
      </c>
      <c r="K2437" s="0">
        <v>1</v>
      </c>
      <c r="L2437" s="0">
        <v>1</v>
      </c>
      <c r="M2437" s="0">
        <v>2</v>
      </c>
      <c r="N2437" s="0">
        <v>0</v>
      </c>
      <c r="O2437" s="0">
        <v>0</v>
      </c>
      <c r="P2437" s="0">
        <v>0</v>
      </c>
      <c r="Q2437" s="0" t="s">
        <v>618</v>
      </c>
      <c r="R2437" s="0" t="b">
        <v>0</v>
      </c>
      <c r="S2437" s="0" t="b">
        <v>1</v>
      </c>
      <c r="T2437" s="68">
        <v>45378.2534490741</v>
      </c>
      <c r="U2437" s="68">
        <v>45392.3333333333</v>
      </c>
      <c r="V2437" s="68">
        <v>0</v>
      </c>
      <c r="W2437" s="0">
        <f>IF(IF(B2437="none",1,IF(B2437="Trialer",1,0))+IF(C2437="Customer",1,IF(C2437="Lost",1,0))=2,1,0)</f>
      </c>
      <c r="X2437" s="0" t="s">
        <v>148</v>
      </c>
      <c r="Y2437" s="0" t="s">
        <v>243</v>
      </c>
      <c r="AV2437" s="68"/>
      <c r="AW2437" s="68"/>
      <c r="AY2437" s="27"/>
      <c r="BD2437" s="68">
        <v>46054.1666666667</v>
      </c>
      <c r="BE2437" s="68">
        <v>46082.1666666667</v>
      </c>
      <c r="BF2437" s="0" t="b">
        <v>0</v>
      </c>
      <c r="BG2437" s="0" t="b">
        <v>0</v>
      </c>
      <c r="BH2437" s="0">
        <v>56</v>
      </c>
      <c r="BI2437" s="0">
        <v>56</v>
      </c>
      <c r="BJ2437" s="0" t="s">
        <v>135</v>
      </c>
    </row>
    <row r="2438">
      <c r="A2438" s="0" t="s">
        <v>2679</v>
      </c>
      <c r="B2438" s="0" t="s">
        <v>134</v>
      </c>
      <c r="C2438" s="0" t="s">
        <v>134</v>
      </c>
      <c r="D2438" s="0" t="s">
        <v>230</v>
      </c>
      <c r="E2438" s="0" t="s">
        <v>2</v>
      </c>
      <c r="F2438" s="0" t="s">
        <v>10</v>
      </c>
      <c r="G2438" s="0" t="s">
        <v>8</v>
      </c>
      <c r="H2438" s="0">
        <v>675</v>
      </c>
      <c r="I2438" s="0">
        <v>687.6</v>
      </c>
      <c r="J2438" s="0">
        <v>0</v>
      </c>
      <c r="K2438" s="0">
        <v>1</v>
      </c>
      <c r="L2438" s="0">
        <v>4</v>
      </c>
      <c r="M2438" s="0">
        <v>14</v>
      </c>
      <c r="N2438" s="0">
        <v>0</v>
      </c>
      <c r="O2438" s="0">
        <v>0</v>
      </c>
      <c r="P2438" s="0">
        <v>-687.6</v>
      </c>
      <c r="Q2438" s="0" t="s">
        <v>357</v>
      </c>
      <c r="R2438" s="0" t="b">
        <v>0</v>
      </c>
      <c r="S2438" s="0" t="b">
        <v>1</v>
      </c>
      <c r="T2438" s="68">
        <v>45378.5784722222</v>
      </c>
      <c r="U2438" s="68">
        <v>45392.3333333333</v>
      </c>
      <c r="V2438" s="68">
        <v>0</v>
      </c>
      <c r="W2438" s="0">
        <f>IF(IF(B2438="none",1,IF(B2438="Trialer",1,0))+IF(C2438="Customer",1,IF(C2438="Lost",1,0))=2,1,0)</f>
      </c>
      <c r="X2438" s="0" t="s">
        <v>148</v>
      </c>
      <c r="Y2438" s="0" t="s">
        <v>499</v>
      </c>
      <c r="AV2438" s="68"/>
      <c r="AW2438" s="68"/>
      <c r="AY2438" s="27"/>
      <c r="BD2438" s="68">
        <v>46054.1666666667</v>
      </c>
      <c r="BE2438" s="68">
        <v>46082.1666666667</v>
      </c>
      <c r="BF2438" s="0" t="b">
        <v>0</v>
      </c>
      <c r="BG2438" s="0" t="b">
        <v>0</v>
      </c>
      <c r="BH2438" s="0">
        <v>902</v>
      </c>
      <c r="BI2438" s="0">
        <v>902</v>
      </c>
      <c r="BJ2438" s="0" t="s">
        <v>230</v>
      </c>
    </row>
    <row r="2439">
      <c r="A2439" s="0" t="s">
        <v>2680</v>
      </c>
      <c r="B2439" s="0" t="s">
        <v>134</v>
      </c>
      <c r="C2439" s="0" t="s">
        <v>134</v>
      </c>
      <c r="D2439" s="0" t="s">
        <v>230</v>
      </c>
      <c r="E2439" s="0" t="s">
        <v>3</v>
      </c>
      <c r="F2439" s="0" t="s">
        <v>12</v>
      </c>
      <c r="G2439" s="0" t="s">
        <v>8</v>
      </c>
      <c r="H2439" s="0">
        <v>675</v>
      </c>
      <c r="I2439" s="0">
        <v>158.25</v>
      </c>
      <c r="J2439" s="0">
        <v>0</v>
      </c>
      <c r="K2439" s="0">
        <v>1</v>
      </c>
      <c r="L2439" s="0">
        <v>4</v>
      </c>
      <c r="M2439" s="0">
        <v>4</v>
      </c>
      <c r="N2439" s="0">
        <v>0</v>
      </c>
      <c r="O2439" s="0">
        <v>0</v>
      </c>
      <c r="P2439" s="0">
        <v>-158.25</v>
      </c>
      <c r="R2439" s="0" t="b">
        <v>0</v>
      </c>
      <c r="S2439" s="0" t="b">
        <v>1</v>
      </c>
      <c r="T2439" s="68">
        <v>45378.6400115741</v>
      </c>
      <c r="U2439" s="68">
        <v>45392.3333333333</v>
      </c>
      <c r="V2439" s="68">
        <v>0</v>
      </c>
      <c r="W2439" s="0">
        <f>IF(IF(B2439="none",1,IF(B2439="Trialer",1,0))+IF(C2439="Customer",1,IF(C2439="Lost",1,0))=2,1,0)</f>
      </c>
      <c r="X2439" s="0" t="s">
        <v>136</v>
      </c>
      <c r="Y2439" s="0" t="s">
        <v>243</v>
      </c>
      <c r="AV2439" s="68"/>
      <c r="AW2439" s="68"/>
      <c r="AY2439" s="27"/>
      <c r="BD2439" s="68">
        <v>46054.1666666667</v>
      </c>
      <c r="BE2439" s="68">
        <v>46082.1666666667</v>
      </c>
      <c r="BF2439" s="0" t="b">
        <v>0</v>
      </c>
      <c r="BG2439" s="0" t="b">
        <v>0</v>
      </c>
      <c r="BH2439" s="0">
        <v>211</v>
      </c>
      <c r="BI2439" s="0">
        <v>211</v>
      </c>
      <c r="BJ2439" s="0" t="s">
        <v>230</v>
      </c>
    </row>
    <row r="2440">
      <c r="A2440" s="0" t="s">
        <v>2681</v>
      </c>
      <c r="B2440" s="0" t="s">
        <v>134</v>
      </c>
      <c r="C2440" s="0" t="s">
        <v>134</v>
      </c>
      <c r="D2440" s="0" t="s">
        <v>135</v>
      </c>
      <c r="E2440" s="0" t="s">
        <v>2</v>
      </c>
      <c r="F2440" s="0" t="s">
        <v>12</v>
      </c>
      <c r="G2440" s="0" t="s">
        <v>8</v>
      </c>
      <c r="H2440" s="0">
        <v>675</v>
      </c>
      <c r="I2440" s="0">
        <v>305</v>
      </c>
      <c r="J2440" s="0">
        <v>0</v>
      </c>
      <c r="K2440" s="0">
        <v>1</v>
      </c>
      <c r="L2440" s="0">
        <v>6</v>
      </c>
      <c r="M2440" s="0">
        <v>5</v>
      </c>
      <c r="N2440" s="0">
        <v>0</v>
      </c>
      <c r="O2440" s="0">
        <v>0</v>
      </c>
      <c r="P2440" s="0">
        <v>0</v>
      </c>
      <c r="R2440" s="0" t="b">
        <v>0</v>
      </c>
      <c r="S2440" s="0" t="b">
        <v>1</v>
      </c>
      <c r="T2440" s="68">
        <v>45378.6958449074</v>
      </c>
      <c r="U2440" s="68">
        <v>45392.3333333333</v>
      </c>
      <c r="V2440" s="68">
        <v>0</v>
      </c>
      <c r="W2440" s="0">
        <f>IF(IF(B2440="none",1,IF(B2440="Trialer",1,0))+IF(C2440="Customer",1,IF(C2440="Lost",1,0))=2,1,0)</f>
      </c>
      <c r="X2440" s="0" t="s">
        <v>148</v>
      </c>
      <c r="Y2440" s="0" t="s">
        <v>499</v>
      </c>
      <c r="AV2440" s="68"/>
      <c r="AW2440" s="68"/>
      <c r="AY2440" s="27"/>
      <c r="BD2440" s="68">
        <v>46054.1666666667</v>
      </c>
      <c r="BE2440" s="68">
        <v>46082.1666666667</v>
      </c>
      <c r="BF2440" s="0" t="b">
        <v>0</v>
      </c>
      <c r="BG2440" s="0" t="b">
        <v>0</v>
      </c>
      <c r="BH2440" s="0">
        <v>305</v>
      </c>
      <c r="BI2440" s="0">
        <v>305</v>
      </c>
      <c r="BJ2440" s="0" t="s">
        <v>135</v>
      </c>
    </row>
    <row r="2441">
      <c r="A2441" s="0" t="s">
        <v>2682</v>
      </c>
      <c r="B2441" s="0" t="s">
        <v>134</v>
      </c>
      <c r="C2441" s="0" t="s">
        <v>134</v>
      </c>
      <c r="D2441" s="0" t="s">
        <v>230</v>
      </c>
      <c r="E2441" s="0" t="s">
        <v>3</v>
      </c>
      <c r="F2441" s="0" t="s">
        <v>10</v>
      </c>
      <c r="G2441" s="0" t="s">
        <v>8</v>
      </c>
      <c r="H2441" s="0">
        <v>674</v>
      </c>
      <c r="I2441" s="0">
        <v>75</v>
      </c>
      <c r="J2441" s="0">
        <v>0</v>
      </c>
      <c r="K2441" s="0">
        <v>1</v>
      </c>
      <c r="L2441" s="0">
        <v>1</v>
      </c>
      <c r="M2441" s="0">
        <v>3</v>
      </c>
      <c r="N2441" s="0">
        <v>0</v>
      </c>
      <c r="O2441" s="0">
        <v>0</v>
      </c>
      <c r="P2441" s="0">
        <v>-75</v>
      </c>
      <c r="Q2441" s="0" t="s">
        <v>618</v>
      </c>
      <c r="R2441" s="0" t="b">
        <v>0</v>
      </c>
      <c r="S2441" s="0" t="b">
        <v>1</v>
      </c>
      <c r="T2441" s="68">
        <v>45379.2291782407</v>
      </c>
      <c r="U2441" s="68">
        <v>45393.3333333333</v>
      </c>
      <c r="V2441" s="68">
        <v>0</v>
      </c>
      <c r="W2441" s="0">
        <f>IF(IF(B2441="none",1,IF(B2441="Trialer",1,0))+IF(C2441="Customer",1,IF(C2441="Lost",1,0))=2,1,0)</f>
      </c>
      <c r="X2441" s="0" t="s">
        <v>148</v>
      </c>
      <c r="Y2441" s="0" t="s">
        <v>243</v>
      </c>
      <c r="AV2441" s="68"/>
      <c r="AW2441" s="68"/>
      <c r="AY2441" s="27"/>
      <c r="BD2441" s="68">
        <v>46054.1666666667</v>
      </c>
      <c r="BE2441" s="68">
        <v>46082.1666666667</v>
      </c>
      <c r="BF2441" s="0" t="b">
        <v>0</v>
      </c>
      <c r="BG2441" s="0" t="b">
        <v>0</v>
      </c>
      <c r="BH2441" s="0">
        <v>84</v>
      </c>
      <c r="BI2441" s="0">
        <v>84</v>
      </c>
      <c r="BJ2441" s="0" t="s">
        <v>230</v>
      </c>
    </row>
    <row r="2442">
      <c r="A2442" s="0" t="s">
        <v>2683</v>
      </c>
      <c r="B2442" s="0" t="s">
        <v>134</v>
      </c>
      <c r="C2442" s="0" t="s">
        <v>134</v>
      </c>
      <c r="D2442" s="0" t="s">
        <v>135</v>
      </c>
      <c r="E2442" s="0" t="s">
        <v>2</v>
      </c>
      <c r="F2442" s="0" t="s">
        <v>10</v>
      </c>
      <c r="G2442" s="0" t="s">
        <v>8</v>
      </c>
      <c r="H2442" s="0">
        <v>670</v>
      </c>
      <c r="I2442" s="0">
        <v>56</v>
      </c>
      <c r="J2442" s="0">
        <v>0</v>
      </c>
      <c r="K2442" s="0">
        <v>1</v>
      </c>
      <c r="L2442" s="0">
        <v>1</v>
      </c>
      <c r="M2442" s="0">
        <v>2</v>
      </c>
      <c r="N2442" s="0">
        <v>0</v>
      </c>
      <c r="O2442" s="0">
        <v>0</v>
      </c>
      <c r="P2442" s="0">
        <v>0</v>
      </c>
      <c r="Q2442" s="0" t="s">
        <v>618</v>
      </c>
      <c r="R2442" s="0" t="b">
        <v>0</v>
      </c>
      <c r="S2442" s="0" t="b">
        <v>1</v>
      </c>
      <c r="T2442" s="68">
        <v>45383.1247569444</v>
      </c>
      <c r="U2442" s="68">
        <v>45397.3333333333</v>
      </c>
      <c r="V2442" s="68">
        <v>0</v>
      </c>
      <c r="W2442" s="0">
        <f>IF(IF(B2442="none",1,IF(B2442="Trialer",1,0))+IF(C2442="Customer",1,IF(C2442="Lost",1,0))=2,1,0)</f>
      </c>
      <c r="X2442" s="0" t="s">
        <v>148</v>
      </c>
      <c r="Y2442" s="0" t="s">
        <v>499</v>
      </c>
      <c r="AV2442" s="68"/>
      <c r="AW2442" s="68"/>
      <c r="AY2442" s="27"/>
      <c r="BD2442" s="68">
        <v>46054.1666666667</v>
      </c>
      <c r="BE2442" s="68">
        <v>46082.1666666667</v>
      </c>
      <c r="BF2442" s="0" t="b">
        <v>0</v>
      </c>
      <c r="BG2442" s="0" t="b">
        <v>0</v>
      </c>
      <c r="BH2442" s="0">
        <v>56</v>
      </c>
      <c r="BI2442" s="0">
        <v>56</v>
      </c>
      <c r="BJ2442" s="0" t="s">
        <v>135</v>
      </c>
    </row>
    <row r="2443">
      <c r="A2443" s="0" t="s">
        <v>2684</v>
      </c>
      <c r="B2443" s="0" t="s">
        <v>134</v>
      </c>
      <c r="C2443" s="0" t="s">
        <v>134</v>
      </c>
      <c r="D2443" s="0" t="s">
        <v>230</v>
      </c>
      <c r="E2443" s="0" t="s">
        <v>2</v>
      </c>
      <c r="F2443" s="0" t="s">
        <v>12</v>
      </c>
      <c r="G2443" s="0" t="s">
        <v>8</v>
      </c>
      <c r="H2443" s="0">
        <v>670</v>
      </c>
      <c r="I2443" s="0">
        <v>766.9</v>
      </c>
      <c r="J2443" s="0">
        <v>0</v>
      </c>
      <c r="K2443" s="0">
        <v>1</v>
      </c>
      <c r="L2443" s="0">
        <v>6</v>
      </c>
      <c r="M2443" s="0">
        <v>8</v>
      </c>
      <c r="N2443" s="0">
        <v>0</v>
      </c>
      <c r="O2443" s="0">
        <v>0</v>
      </c>
      <c r="P2443" s="0">
        <v>-441.9</v>
      </c>
      <c r="R2443" s="0" t="b">
        <v>0</v>
      </c>
      <c r="S2443" s="0" t="b">
        <v>1</v>
      </c>
      <c r="T2443" s="68">
        <v>45383.5395023148</v>
      </c>
      <c r="U2443" s="68">
        <v>45397.3333333333</v>
      </c>
      <c r="V2443" s="68">
        <v>0</v>
      </c>
      <c r="W2443" s="0">
        <f>IF(IF(B2443="none",1,IF(B2443="Trialer",1,0))+IF(C2443="Customer",1,IF(C2443="Lost",1,0))=2,1,0)</f>
      </c>
      <c r="X2443" s="0" t="s">
        <v>145</v>
      </c>
      <c r="Y2443" s="0" t="s">
        <v>499</v>
      </c>
      <c r="AV2443" s="68"/>
      <c r="AW2443" s="68"/>
      <c r="AY2443" s="27"/>
      <c r="BD2443" s="68">
        <v>46054.1666666667</v>
      </c>
      <c r="BE2443" s="68">
        <v>46082.1666666667</v>
      </c>
      <c r="BF2443" s="0" t="b">
        <v>0</v>
      </c>
      <c r="BG2443" s="0" t="b">
        <v>0</v>
      </c>
      <c r="BH2443" s="0">
        <v>352</v>
      </c>
      <c r="BI2443" s="0">
        <v>352</v>
      </c>
      <c r="BJ2443" s="0" t="s">
        <v>230</v>
      </c>
    </row>
    <row r="2444">
      <c r="A2444" s="0" t="s">
        <v>2685</v>
      </c>
      <c r="B2444" s="0" t="s">
        <v>134</v>
      </c>
      <c r="C2444" s="0" t="s">
        <v>134</v>
      </c>
      <c r="D2444" s="0" t="s">
        <v>230</v>
      </c>
      <c r="E2444" s="0" t="s">
        <v>3</v>
      </c>
      <c r="F2444" s="0" t="s">
        <v>12</v>
      </c>
      <c r="G2444" s="0" t="s">
        <v>8</v>
      </c>
      <c r="H2444" s="0">
        <v>669</v>
      </c>
      <c r="I2444" s="0">
        <v>35</v>
      </c>
      <c r="J2444" s="0">
        <v>0</v>
      </c>
      <c r="K2444" s="0">
        <v>1</v>
      </c>
      <c r="L2444" s="0">
        <v>2</v>
      </c>
      <c r="M2444" s="0">
        <v>1</v>
      </c>
      <c r="N2444" s="0">
        <v>0</v>
      </c>
      <c r="O2444" s="0">
        <v>0</v>
      </c>
      <c r="P2444" s="0">
        <v>-35</v>
      </c>
      <c r="R2444" s="0" t="b">
        <v>0</v>
      </c>
      <c r="S2444" s="0" t="b">
        <v>1</v>
      </c>
      <c r="T2444" s="68">
        <v>45384.8738425926</v>
      </c>
      <c r="U2444" s="68">
        <v>45399.3333333333</v>
      </c>
      <c r="V2444" s="68">
        <v>0</v>
      </c>
      <c r="W2444" s="0">
        <f>IF(IF(B2444="none",1,IF(B2444="Trialer",1,0))+IF(C2444="Customer",1,IF(C2444="Lost",1,0))=2,1,0)</f>
      </c>
      <c r="X2444" s="0" t="s">
        <v>153</v>
      </c>
      <c r="Y2444" s="0" t="s">
        <v>243</v>
      </c>
      <c r="AV2444" s="68"/>
      <c r="AW2444" s="68"/>
      <c r="AY2444" s="27"/>
      <c r="BD2444" s="68">
        <v>46054.1666666667</v>
      </c>
      <c r="BE2444" s="68">
        <v>46082.1666666667</v>
      </c>
      <c r="BF2444" s="0" t="b">
        <v>0</v>
      </c>
      <c r="BG2444" s="0" t="b">
        <v>0</v>
      </c>
      <c r="BH2444" s="0">
        <v>40</v>
      </c>
      <c r="BI2444" s="0">
        <v>40</v>
      </c>
      <c r="BJ2444" s="0" t="s">
        <v>230</v>
      </c>
    </row>
    <row r="2445">
      <c r="A2445" s="0" t="s">
        <v>2686</v>
      </c>
      <c r="B2445" s="0" t="s">
        <v>134</v>
      </c>
      <c r="C2445" s="0" t="s">
        <v>134</v>
      </c>
      <c r="D2445" s="0" t="s">
        <v>230</v>
      </c>
      <c r="E2445" s="0" t="s">
        <v>3</v>
      </c>
      <c r="F2445" s="0" t="s">
        <v>12</v>
      </c>
      <c r="G2445" s="0" t="s">
        <v>8</v>
      </c>
      <c r="H2445" s="0">
        <v>669</v>
      </c>
      <c r="I2445" s="0">
        <v>66</v>
      </c>
      <c r="J2445" s="0">
        <v>0</v>
      </c>
      <c r="K2445" s="0">
        <v>1</v>
      </c>
      <c r="L2445" s="0">
        <v>2</v>
      </c>
      <c r="M2445" s="0">
        <v>2</v>
      </c>
      <c r="N2445" s="0">
        <v>0</v>
      </c>
      <c r="O2445" s="0">
        <v>0</v>
      </c>
      <c r="P2445" s="0">
        <v>-66</v>
      </c>
      <c r="R2445" s="0" t="b">
        <v>0</v>
      </c>
      <c r="S2445" s="0" t="b">
        <v>1</v>
      </c>
      <c r="T2445" s="68">
        <v>45384.8888888889</v>
      </c>
      <c r="U2445" s="68">
        <v>45399.3333333333</v>
      </c>
      <c r="V2445" s="68">
        <v>0</v>
      </c>
      <c r="W2445" s="0">
        <f>IF(IF(B2445="none",1,IF(B2445="Trialer",1,0))+IF(C2445="Customer",1,IF(C2445="Lost",1,0))=2,1,0)</f>
      </c>
      <c r="X2445" s="0" t="s">
        <v>153</v>
      </c>
      <c r="Y2445" s="0" t="s">
        <v>243</v>
      </c>
      <c r="AV2445" s="68"/>
      <c r="AW2445" s="68"/>
      <c r="AY2445" s="27"/>
      <c r="BD2445" s="68">
        <v>46054.1666666667</v>
      </c>
      <c r="BE2445" s="68">
        <v>46082.1666666667</v>
      </c>
      <c r="BF2445" s="0" t="b">
        <v>0</v>
      </c>
      <c r="BG2445" s="0" t="b">
        <v>0</v>
      </c>
      <c r="BH2445" s="0">
        <v>74</v>
      </c>
      <c r="BI2445" s="0">
        <v>74</v>
      </c>
      <c r="BJ2445" s="0" t="s">
        <v>135</v>
      </c>
    </row>
    <row r="2446">
      <c r="A2446" s="0" t="s">
        <v>2687</v>
      </c>
      <c r="B2446" s="0" t="s">
        <v>134</v>
      </c>
      <c r="C2446" s="0" t="s">
        <v>134</v>
      </c>
      <c r="D2446" s="0" t="s">
        <v>135</v>
      </c>
      <c r="E2446" s="0" t="s">
        <v>3</v>
      </c>
      <c r="F2446" s="0" t="s">
        <v>10</v>
      </c>
      <c r="G2446" s="0" t="s">
        <v>8</v>
      </c>
      <c r="H2446" s="0">
        <v>668</v>
      </c>
      <c r="I2446" s="0">
        <v>28</v>
      </c>
      <c r="J2446" s="0">
        <v>0</v>
      </c>
      <c r="K2446" s="0">
        <v>1</v>
      </c>
      <c r="L2446" s="0">
        <v>1</v>
      </c>
      <c r="M2446" s="0">
        <v>1</v>
      </c>
      <c r="N2446" s="0">
        <v>0</v>
      </c>
      <c r="O2446" s="0">
        <v>0</v>
      </c>
      <c r="P2446" s="0">
        <v>0</v>
      </c>
      <c r="Q2446" s="0" t="s">
        <v>618</v>
      </c>
      <c r="R2446" s="0" t="b">
        <v>0</v>
      </c>
      <c r="S2446" s="0" t="b">
        <v>1</v>
      </c>
      <c r="T2446" s="68">
        <v>45385.1782175926</v>
      </c>
      <c r="U2446" s="68">
        <v>45399.3333333333</v>
      </c>
      <c r="V2446" s="68">
        <v>0</v>
      </c>
      <c r="W2446" s="0">
        <f>IF(IF(B2446="none",1,IF(B2446="Trialer",1,0))+IF(C2446="Customer",1,IF(C2446="Lost",1,0))=2,1,0)</f>
      </c>
      <c r="X2446" s="0" t="s">
        <v>148</v>
      </c>
      <c r="Y2446" s="0" t="s">
        <v>243</v>
      </c>
      <c r="AV2446" s="68"/>
      <c r="AW2446" s="68"/>
      <c r="AY2446" s="27"/>
      <c r="BD2446" s="68">
        <v>46054.1666666667</v>
      </c>
      <c r="BE2446" s="68">
        <v>46082.1666666667</v>
      </c>
      <c r="BF2446" s="0" t="b">
        <v>0</v>
      </c>
      <c r="BG2446" s="0" t="b">
        <v>0</v>
      </c>
      <c r="BH2446" s="0">
        <v>28</v>
      </c>
      <c r="BI2446" s="0">
        <v>28</v>
      </c>
      <c r="BJ2446" s="0" t="s">
        <v>135</v>
      </c>
    </row>
    <row r="2447">
      <c r="A2447" s="0" t="s">
        <v>2688</v>
      </c>
      <c r="B2447" s="0" t="s">
        <v>134</v>
      </c>
      <c r="C2447" s="0" t="s">
        <v>134</v>
      </c>
      <c r="D2447" s="0" t="s">
        <v>230</v>
      </c>
      <c r="E2447" s="0" t="s">
        <v>3</v>
      </c>
      <c r="F2447" s="0" t="s">
        <v>12</v>
      </c>
      <c r="G2447" s="0" t="s">
        <v>8</v>
      </c>
      <c r="H2447" s="0">
        <v>668</v>
      </c>
      <c r="I2447" s="0">
        <v>153</v>
      </c>
      <c r="J2447" s="0">
        <v>0</v>
      </c>
      <c r="K2447" s="0">
        <v>1</v>
      </c>
      <c r="L2447" s="0">
        <v>6</v>
      </c>
      <c r="M2447" s="0">
        <v>2</v>
      </c>
      <c r="N2447" s="0">
        <v>0</v>
      </c>
      <c r="O2447" s="0">
        <v>0</v>
      </c>
      <c r="P2447" s="0">
        <v>-153</v>
      </c>
      <c r="R2447" s="0" t="b">
        <v>0</v>
      </c>
      <c r="S2447" s="0" t="b">
        <v>1</v>
      </c>
      <c r="T2447" s="68">
        <v>45385.4628009259</v>
      </c>
      <c r="U2447" s="68">
        <v>45400.3333333333</v>
      </c>
      <c r="V2447" s="68">
        <v>0</v>
      </c>
      <c r="W2447" s="0">
        <f>IF(IF(B2447="none",1,IF(B2447="Trialer",1,0))+IF(C2447="Customer",1,IF(C2447="Lost",1,0))=2,1,0)</f>
      </c>
      <c r="X2447" s="0" t="s">
        <v>142</v>
      </c>
      <c r="Y2447" s="0" t="s">
        <v>243</v>
      </c>
      <c r="AV2447" s="68"/>
      <c r="AW2447" s="68"/>
      <c r="AY2447" s="27"/>
      <c r="BD2447" s="68">
        <v>46054.1666666667</v>
      </c>
      <c r="BE2447" s="68">
        <v>46082.1666666667</v>
      </c>
      <c r="BF2447" s="0" t="b">
        <v>0</v>
      </c>
      <c r="BG2447" s="0" t="b">
        <v>0</v>
      </c>
      <c r="BH2447" s="0">
        <v>170</v>
      </c>
      <c r="BI2447" s="0">
        <v>170</v>
      </c>
      <c r="BJ2447" s="0" t="s">
        <v>230</v>
      </c>
    </row>
    <row r="2448">
      <c r="A2448" s="0" t="s">
        <v>2689</v>
      </c>
      <c r="B2448" s="0" t="s">
        <v>134</v>
      </c>
      <c r="C2448" s="0" t="s">
        <v>134</v>
      </c>
      <c r="D2448" s="0" t="s">
        <v>230</v>
      </c>
      <c r="E2448" s="0" t="s">
        <v>2</v>
      </c>
      <c r="F2448" s="0" t="s">
        <v>12</v>
      </c>
      <c r="G2448" s="0" t="s">
        <v>8</v>
      </c>
      <c r="H2448" s="0">
        <v>668</v>
      </c>
      <c r="I2448" s="0">
        <v>200.7</v>
      </c>
      <c r="J2448" s="0">
        <v>0</v>
      </c>
      <c r="K2448" s="0">
        <v>1</v>
      </c>
      <c r="L2448" s="0">
        <v>6</v>
      </c>
      <c r="M2448" s="0">
        <v>4</v>
      </c>
      <c r="N2448" s="0">
        <v>0</v>
      </c>
      <c r="O2448" s="0">
        <v>0</v>
      </c>
      <c r="P2448" s="0">
        <v>-200.7</v>
      </c>
      <c r="R2448" s="0" t="b">
        <v>0</v>
      </c>
      <c r="S2448" s="0" t="b">
        <v>1</v>
      </c>
      <c r="T2448" s="68">
        <v>45385.7446180556</v>
      </c>
      <c r="U2448" s="68">
        <v>45399.3333333333</v>
      </c>
      <c r="V2448" s="68">
        <v>0</v>
      </c>
      <c r="W2448" s="0">
        <f>IF(IF(B2448="none",1,IF(B2448="Trialer",1,0))+IF(C2448="Customer",1,IF(C2448="Lost",1,0))=2,1,0)</f>
      </c>
      <c r="X2448" s="0" t="s">
        <v>145</v>
      </c>
      <c r="Y2448" s="0" t="s">
        <v>499</v>
      </c>
      <c r="AV2448" s="68"/>
      <c r="AW2448" s="68"/>
      <c r="AY2448" s="27"/>
      <c r="BD2448" s="68">
        <v>46054.1666666667</v>
      </c>
      <c r="BE2448" s="68">
        <v>46082.1666666667</v>
      </c>
      <c r="BF2448" s="0" t="b">
        <v>0</v>
      </c>
      <c r="BG2448" s="0" t="b">
        <v>0</v>
      </c>
      <c r="BH2448" s="0">
        <v>244</v>
      </c>
      <c r="BI2448" s="0">
        <v>244</v>
      </c>
      <c r="BJ2448" s="0" t="s">
        <v>230</v>
      </c>
    </row>
    <row r="2449">
      <c r="A2449" s="0" t="s">
        <v>2690</v>
      </c>
      <c r="B2449" s="0" t="s">
        <v>134</v>
      </c>
      <c r="C2449" s="0" t="s">
        <v>134</v>
      </c>
      <c r="D2449" s="0" t="s">
        <v>135</v>
      </c>
      <c r="E2449" s="0" t="s">
        <v>2</v>
      </c>
      <c r="F2449" s="0" t="s">
        <v>12</v>
      </c>
      <c r="G2449" s="0" t="s">
        <v>8</v>
      </c>
      <c r="H2449" s="0">
        <v>667</v>
      </c>
      <c r="I2449" s="0">
        <v>517</v>
      </c>
      <c r="J2449" s="0">
        <v>0</v>
      </c>
      <c r="K2449" s="0">
        <v>1</v>
      </c>
      <c r="L2449" s="0">
        <v>4</v>
      </c>
      <c r="M2449" s="0">
        <v>13</v>
      </c>
      <c r="N2449" s="0">
        <v>0</v>
      </c>
      <c r="O2449" s="0">
        <v>0</v>
      </c>
      <c r="P2449" s="0">
        <v>0</v>
      </c>
      <c r="R2449" s="0" t="b">
        <v>0</v>
      </c>
      <c r="S2449" s="0" t="b">
        <v>1</v>
      </c>
      <c r="T2449" s="68">
        <v>45386.4697337963</v>
      </c>
      <c r="U2449" s="68">
        <v>45400.3333333333</v>
      </c>
      <c r="V2449" s="68">
        <v>0</v>
      </c>
      <c r="W2449" s="0">
        <f>IF(IF(B2449="none",1,IF(B2449="Trialer",1,0))+IF(C2449="Customer",1,IF(C2449="Lost",1,0))=2,1,0)</f>
      </c>
      <c r="X2449" s="0" t="s">
        <v>148</v>
      </c>
      <c r="Y2449" s="0" t="s">
        <v>499</v>
      </c>
      <c r="AV2449" s="68"/>
      <c r="AW2449" s="68"/>
      <c r="AY2449" s="27"/>
      <c r="BD2449" s="68">
        <v>46054.1666666667</v>
      </c>
      <c r="BE2449" s="68">
        <v>46082.1666666667</v>
      </c>
      <c r="BF2449" s="0" t="b">
        <v>0</v>
      </c>
      <c r="BG2449" s="0" t="b">
        <v>0</v>
      </c>
      <c r="BH2449" s="0">
        <v>517</v>
      </c>
      <c r="BI2449" s="0">
        <v>517</v>
      </c>
      <c r="BJ2449" s="0" t="s">
        <v>135</v>
      </c>
    </row>
    <row r="2450">
      <c r="A2450" s="0" t="s">
        <v>2691</v>
      </c>
      <c r="B2450" s="0" t="s">
        <v>134</v>
      </c>
      <c r="C2450" s="0" t="s">
        <v>134</v>
      </c>
      <c r="D2450" s="0" t="s">
        <v>230</v>
      </c>
      <c r="E2450" s="0" t="s">
        <v>3</v>
      </c>
      <c r="F2450" s="0" t="s">
        <v>12</v>
      </c>
      <c r="G2450" s="0" t="s">
        <v>8</v>
      </c>
      <c r="H2450" s="0">
        <v>667</v>
      </c>
      <c r="I2450" s="0">
        <v>21</v>
      </c>
      <c r="J2450" s="0">
        <v>0</v>
      </c>
      <c r="K2450" s="0">
        <v>1</v>
      </c>
      <c r="L2450" s="0">
        <v>1</v>
      </c>
      <c r="M2450" s="0">
        <v>1</v>
      </c>
      <c r="N2450" s="0">
        <v>0</v>
      </c>
      <c r="O2450" s="0">
        <v>0</v>
      </c>
      <c r="P2450" s="0">
        <v>-21</v>
      </c>
      <c r="R2450" s="0" t="b">
        <v>0</v>
      </c>
      <c r="S2450" s="0" t="b">
        <v>1</v>
      </c>
      <c r="T2450" s="68">
        <v>45386.5690509259</v>
      </c>
      <c r="U2450" s="68">
        <v>45400.3333333333</v>
      </c>
      <c r="V2450" s="68">
        <v>0</v>
      </c>
      <c r="W2450" s="0">
        <f>IF(IF(B2450="none",1,IF(B2450="Trialer",1,0))+IF(C2450="Customer",1,IF(C2450="Lost",1,0))=2,1,0)</f>
      </c>
      <c r="X2450" s="0" t="s">
        <v>153</v>
      </c>
      <c r="Y2450" s="0" t="s">
        <v>243</v>
      </c>
      <c r="AV2450" s="68"/>
      <c r="AW2450" s="68"/>
      <c r="AY2450" s="27"/>
      <c r="BD2450" s="68">
        <v>46054.1666666667</v>
      </c>
      <c r="BE2450" s="68">
        <v>46082.1666666667</v>
      </c>
      <c r="BF2450" s="0" t="b">
        <v>0</v>
      </c>
      <c r="BG2450" s="0" t="b">
        <v>0</v>
      </c>
      <c r="BH2450" s="0">
        <v>28</v>
      </c>
      <c r="BI2450" s="0">
        <v>28</v>
      </c>
      <c r="BJ2450" s="0" t="s">
        <v>230</v>
      </c>
    </row>
    <row r="2451">
      <c r="A2451" s="0" t="s">
        <v>2692</v>
      </c>
      <c r="B2451" s="0" t="s">
        <v>134</v>
      </c>
      <c r="C2451" s="0" t="s">
        <v>134</v>
      </c>
      <c r="D2451" s="0" t="s">
        <v>230</v>
      </c>
      <c r="E2451" s="0" t="s">
        <v>3</v>
      </c>
      <c r="F2451" s="0" t="s">
        <v>12</v>
      </c>
      <c r="G2451" s="0" t="s">
        <v>8</v>
      </c>
      <c r="H2451" s="0">
        <v>666</v>
      </c>
      <c r="I2451" s="0">
        <v>54.9</v>
      </c>
      <c r="J2451" s="0">
        <v>0</v>
      </c>
      <c r="K2451" s="0">
        <v>1</v>
      </c>
      <c r="L2451" s="0">
        <v>4</v>
      </c>
      <c r="M2451" s="0">
        <v>1</v>
      </c>
      <c r="N2451" s="0">
        <v>0</v>
      </c>
      <c r="O2451" s="0">
        <v>0</v>
      </c>
      <c r="P2451" s="0">
        <v>-54.9</v>
      </c>
      <c r="R2451" s="0" t="b">
        <v>0</v>
      </c>
      <c r="S2451" s="0" t="b">
        <v>1</v>
      </c>
      <c r="T2451" s="68">
        <v>45387.5545949074</v>
      </c>
      <c r="U2451" s="68">
        <v>45401.3333333333</v>
      </c>
      <c r="V2451" s="68">
        <v>0</v>
      </c>
      <c r="W2451" s="0">
        <f>IF(IF(B2451="none",1,IF(B2451="Trialer",1,0))+IF(C2451="Customer",1,IF(C2451="Lost",1,0))=2,1,0)</f>
      </c>
      <c r="X2451" s="0" t="s">
        <v>142</v>
      </c>
      <c r="Y2451" s="0" t="s">
        <v>243</v>
      </c>
      <c r="AV2451" s="68"/>
      <c r="AW2451" s="68"/>
      <c r="AY2451" s="27"/>
      <c r="BD2451" s="68">
        <v>46054.1666666667</v>
      </c>
      <c r="BE2451" s="68">
        <v>46082.1666666667</v>
      </c>
      <c r="BF2451" s="0" t="b">
        <v>0</v>
      </c>
      <c r="BG2451" s="0" t="b">
        <v>0</v>
      </c>
      <c r="BH2451" s="0">
        <v>61</v>
      </c>
      <c r="BI2451" s="0">
        <v>61</v>
      </c>
      <c r="BJ2451" s="0" t="s">
        <v>230</v>
      </c>
    </row>
    <row r="2452">
      <c r="A2452" s="0" t="s">
        <v>2693</v>
      </c>
      <c r="B2452" s="0" t="s">
        <v>134</v>
      </c>
      <c r="C2452" s="0" t="s">
        <v>134</v>
      </c>
      <c r="D2452" s="0" t="s">
        <v>135</v>
      </c>
      <c r="E2452" s="0" t="s">
        <v>3</v>
      </c>
      <c r="F2452" s="0" t="s">
        <v>12</v>
      </c>
      <c r="G2452" s="0" t="s">
        <v>8</v>
      </c>
      <c r="H2452" s="0">
        <v>663</v>
      </c>
      <c r="I2452" s="0">
        <v>243</v>
      </c>
      <c r="J2452" s="0">
        <v>0</v>
      </c>
      <c r="K2452" s="0">
        <v>1</v>
      </c>
      <c r="L2452" s="0">
        <v>6</v>
      </c>
      <c r="M2452" s="0">
        <v>3</v>
      </c>
      <c r="N2452" s="0">
        <v>0</v>
      </c>
      <c r="O2452" s="0">
        <v>0</v>
      </c>
      <c r="P2452" s="0">
        <v>0</v>
      </c>
      <c r="R2452" s="0" t="b">
        <v>0</v>
      </c>
      <c r="S2452" s="0" t="b">
        <v>1</v>
      </c>
      <c r="T2452" s="68">
        <v>45390.3540162037</v>
      </c>
      <c r="U2452" s="68">
        <v>45400.3333333333</v>
      </c>
      <c r="V2452" s="68">
        <v>0</v>
      </c>
      <c r="W2452" s="0">
        <f>IF(IF(B2452="none",1,IF(B2452="Trialer",1,0))+IF(C2452="Customer",1,IF(C2452="Lost",1,0))=2,1,0)</f>
      </c>
      <c r="X2452" s="0" t="s">
        <v>166</v>
      </c>
      <c r="Y2452" s="0" t="s">
        <v>243</v>
      </c>
      <c r="AV2452" s="68"/>
      <c r="AW2452" s="68"/>
      <c r="AY2452" s="27"/>
      <c r="BD2452" s="68">
        <v>46054.1666666667</v>
      </c>
      <c r="BE2452" s="68">
        <v>46082.1666666667</v>
      </c>
      <c r="BF2452" s="0" t="b">
        <v>0</v>
      </c>
      <c r="BG2452" s="0" t="b">
        <v>0</v>
      </c>
      <c r="BH2452" s="0">
        <v>243</v>
      </c>
      <c r="BI2452" s="0">
        <v>243</v>
      </c>
      <c r="BJ2452" s="0" t="s">
        <v>135</v>
      </c>
    </row>
    <row r="2453">
      <c r="A2453" s="0" t="s">
        <v>2694</v>
      </c>
      <c r="B2453" s="0" t="s">
        <v>134</v>
      </c>
      <c r="C2453" s="0" t="s">
        <v>134</v>
      </c>
      <c r="D2453" s="0" t="s">
        <v>230</v>
      </c>
      <c r="E2453" s="0" t="s">
        <v>3</v>
      </c>
      <c r="F2453" s="0" t="s">
        <v>12</v>
      </c>
      <c r="G2453" s="0" t="s">
        <v>8</v>
      </c>
      <c r="H2453" s="0">
        <v>663</v>
      </c>
      <c r="I2453" s="0">
        <v>909.1</v>
      </c>
      <c r="J2453" s="0">
        <v>0</v>
      </c>
      <c r="K2453" s="0">
        <v>1</v>
      </c>
      <c r="L2453" s="0">
        <v>4</v>
      </c>
      <c r="M2453" s="0">
        <v>13</v>
      </c>
      <c r="N2453" s="0">
        <v>0</v>
      </c>
      <c r="O2453" s="0">
        <v>0</v>
      </c>
      <c r="P2453" s="0">
        <v>-584.1</v>
      </c>
      <c r="R2453" s="0" t="b">
        <v>0</v>
      </c>
      <c r="S2453" s="0" t="b">
        <v>1</v>
      </c>
      <c r="T2453" s="68">
        <v>45390.4675231481</v>
      </c>
      <c r="U2453" s="68">
        <v>45404.3333333333</v>
      </c>
      <c r="V2453" s="68">
        <v>0</v>
      </c>
      <c r="W2453" s="0">
        <f>IF(IF(B2453="none",1,IF(B2453="Trialer",1,0))+IF(C2453="Customer",1,IF(C2453="Lost",1,0))=2,1,0)</f>
      </c>
      <c r="X2453" s="0" t="s">
        <v>148</v>
      </c>
      <c r="Y2453" s="0" t="s">
        <v>243</v>
      </c>
      <c r="AV2453" s="68"/>
      <c r="AW2453" s="68"/>
      <c r="AY2453" s="27"/>
      <c r="BD2453" s="68">
        <v>46054.1666666667</v>
      </c>
      <c r="BE2453" s="68">
        <v>46082.1666666667</v>
      </c>
      <c r="BF2453" s="0" t="b">
        <v>0</v>
      </c>
      <c r="BG2453" s="0" t="b">
        <v>0</v>
      </c>
      <c r="BH2453" s="0">
        <v>698</v>
      </c>
      <c r="BI2453" s="0">
        <v>698</v>
      </c>
      <c r="BJ2453" s="0" t="s">
        <v>230</v>
      </c>
    </row>
    <row r="2454">
      <c r="A2454" s="0" t="s">
        <v>2695</v>
      </c>
      <c r="B2454" s="0" t="s">
        <v>134</v>
      </c>
      <c r="C2454" s="0" t="s">
        <v>134</v>
      </c>
      <c r="D2454" s="0" t="s">
        <v>230</v>
      </c>
      <c r="E2454" s="0" t="s">
        <v>2</v>
      </c>
      <c r="F2454" s="0" t="s">
        <v>12</v>
      </c>
      <c r="G2454" s="0" t="s">
        <v>8</v>
      </c>
      <c r="H2454" s="0">
        <v>662</v>
      </c>
      <c r="I2454" s="0">
        <v>199.8</v>
      </c>
      <c r="J2454" s="0">
        <v>0</v>
      </c>
      <c r="K2454" s="0">
        <v>1</v>
      </c>
      <c r="L2454" s="0">
        <v>6</v>
      </c>
      <c r="M2454" s="0">
        <v>3</v>
      </c>
      <c r="N2454" s="0">
        <v>0</v>
      </c>
      <c r="O2454" s="0">
        <v>0</v>
      </c>
      <c r="P2454" s="0">
        <v>-199.8</v>
      </c>
      <c r="R2454" s="0" t="b">
        <v>0</v>
      </c>
      <c r="S2454" s="0" t="b">
        <v>1</v>
      </c>
      <c r="T2454" s="68">
        <v>45391.5293171296</v>
      </c>
      <c r="U2454" s="68">
        <v>45408.3333333333</v>
      </c>
      <c r="V2454" s="68">
        <v>0</v>
      </c>
      <c r="W2454" s="0">
        <f>IF(IF(B2454="none",1,IF(B2454="Trialer",1,0))+IF(C2454="Customer",1,IF(C2454="Lost",1,0))=2,1,0)</f>
      </c>
      <c r="X2454" s="0" t="s">
        <v>166</v>
      </c>
      <c r="Y2454" s="0" t="s">
        <v>499</v>
      </c>
      <c r="AV2454" s="68"/>
      <c r="AW2454" s="68"/>
      <c r="AY2454" s="27"/>
      <c r="BD2454" s="68">
        <v>46054.1666666667</v>
      </c>
      <c r="BE2454" s="68">
        <v>46082.1666666667</v>
      </c>
      <c r="BF2454" s="0" t="b">
        <v>0</v>
      </c>
      <c r="BG2454" s="0" t="b">
        <v>0</v>
      </c>
      <c r="BH2454" s="0">
        <v>222</v>
      </c>
      <c r="BI2454" s="0">
        <v>222</v>
      </c>
      <c r="BJ2454" s="0" t="s">
        <v>230</v>
      </c>
    </row>
    <row r="2455">
      <c r="A2455" s="0" t="s">
        <v>2696</v>
      </c>
      <c r="B2455" s="0" t="s">
        <v>134</v>
      </c>
      <c r="C2455" s="0" t="s">
        <v>134</v>
      </c>
      <c r="D2455" s="0" t="s">
        <v>230</v>
      </c>
      <c r="E2455" s="0" t="s">
        <v>2</v>
      </c>
      <c r="F2455" s="0" t="s">
        <v>12</v>
      </c>
      <c r="G2455" s="0" t="s">
        <v>8</v>
      </c>
      <c r="H2455" s="0">
        <v>661</v>
      </c>
      <c r="I2455" s="0">
        <v>220.5</v>
      </c>
      <c r="J2455" s="0">
        <v>0</v>
      </c>
      <c r="K2455" s="0">
        <v>1</v>
      </c>
      <c r="L2455" s="0">
        <v>3</v>
      </c>
      <c r="M2455" s="0">
        <v>5</v>
      </c>
      <c r="N2455" s="0">
        <v>0</v>
      </c>
      <c r="O2455" s="0">
        <v>0</v>
      </c>
      <c r="P2455" s="0">
        <v>-220.5</v>
      </c>
      <c r="R2455" s="0" t="b">
        <v>0</v>
      </c>
      <c r="S2455" s="0" t="b">
        <v>1</v>
      </c>
      <c r="T2455" s="68">
        <v>45392.303275463</v>
      </c>
      <c r="U2455" s="68">
        <v>45441.3333333333</v>
      </c>
      <c r="V2455" s="68">
        <v>0</v>
      </c>
      <c r="W2455" s="0">
        <f>IF(IF(B2455="none",1,IF(B2455="Trialer",1,0))+IF(C2455="Customer",1,IF(C2455="Lost",1,0))=2,1,0)</f>
      </c>
      <c r="X2455" s="0" t="s">
        <v>136</v>
      </c>
      <c r="Y2455" s="0" t="s">
        <v>499</v>
      </c>
      <c r="AV2455" s="68"/>
      <c r="AW2455" s="68"/>
      <c r="AY2455" s="27"/>
      <c r="BD2455" s="68">
        <v>46054.1666666667</v>
      </c>
      <c r="BE2455" s="68">
        <v>46082.1666666667</v>
      </c>
      <c r="BF2455" s="0" t="b">
        <v>0</v>
      </c>
      <c r="BG2455" s="0" t="b">
        <v>0</v>
      </c>
      <c r="BH2455" s="0">
        <v>245</v>
      </c>
      <c r="BI2455" s="0">
        <v>245</v>
      </c>
      <c r="BJ2455" s="0" t="s">
        <v>230</v>
      </c>
    </row>
    <row r="2456">
      <c r="A2456" s="0" t="s">
        <v>2697</v>
      </c>
      <c r="B2456" s="0" t="s">
        <v>134</v>
      </c>
      <c r="C2456" s="0" t="s">
        <v>134</v>
      </c>
      <c r="D2456" s="0" t="s">
        <v>135</v>
      </c>
      <c r="E2456" s="0" t="s">
        <v>2</v>
      </c>
      <c r="F2456" s="0" t="s">
        <v>12</v>
      </c>
      <c r="G2456" s="0" t="s">
        <v>8</v>
      </c>
      <c r="H2456" s="0">
        <v>661</v>
      </c>
      <c r="I2456" s="0">
        <v>1250</v>
      </c>
      <c r="J2456" s="0">
        <v>0</v>
      </c>
      <c r="K2456" s="0">
        <v>1</v>
      </c>
      <c r="L2456" s="0">
        <v>5</v>
      </c>
      <c r="M2456" s="0">
        <v>16</v>
      </c>
      <c r="N2456" s="0">
        <v>0</v>
      </c>
      <c r="O2456" s="0">
        <v>0</v>
      </c>
      <c r="P2456" s="0">
        <v>0</v>
      </c>
      <c r="R2456" s="0" t="b">
        <v>0</v>
      </c>
      <c r="S2456" s="0" t="b">
        <v>1</v>
      </c>
      <c r="T2456" s="68">
        <v>45392.4769675926</v>
      </c>
      <c r="U2456" s="68">
        <v>45406.3333333333</v>
      </c>
      <c r="V2456" s="68">
        <v>0</v>
      </c>
      <c r="W2456" s="0">
        <f>IF(IF(B2456="none",1,IF(B2456="Trialer",1,0))+IF(C2456="Customer",1,IF(C2456="Lost",1,0))=2,1,0)</f>
      </c>
      <c r="X2456" s="0" t="s">
        <v>148</v>
      </c>
      <c r="Y2456" s="0" t="s">
        <v>499</v>
      </c>
      <c r="AV2456" s="68"/>
      <c r="AW2456" s="68"/>
      <c r="AY2456" s="27"/>
      <c r="BD2456" s="68">
        <v>46054.1666666667</v>
      </c>
      <c r="BE2456" s="68">
        <v>46082.1666666667</v>
      </c>
      <c r="BF2456" s="0" t="b">
        <v>0</v>
      </c>
      <c r="BG2456" s="0" t="b">
        <v>0</v>
      </c>
      <c r="BH2456" s="0">
        <v>925</v>
      </c>
      <c r="BI2456" s="0">
        <v>925</v>
      </c>
      <c r="BJ2456" s="0" t="s">
        <v>135</v>
      </c>
    </row>
    <row r="2457">
      <c r="A2457" s="0" t="s">
        <v>2698</v>
      </c>
      <c r="B2457" s="0" t="s">
        <v>134</v>
      </c>
      <c r="C2457" s="0" t="s">
        <v>134</v>
      </c>
      <c r="D2457" s="0" t="s">
        <v>230</v>
      </c>
      <c r="E2457" s="0" t="s">
        <v>3</v>
      </c>
      <c r="F2457" s="0" t="s">
        <v>12</v>
      </c>
      <c r="G2457" s="0" t="s">
        <v>8</v>
      </c>
      <c r="H2457" s="0">
        <v>660</v>
      </c>
      <c r="I2457" s="0">
        <v>25</v>
      </c>
      <c r="J2457" s="0">
        <v>0</v>
      </c>
      <c r="K2457" s="0">
        <v>1</v>
      </c>
      <c r="L2457" s="0">
        <v>1</v>
      </c>
      <c r="M2457" s="0">
        <v>1</v>
      </c>
      <c r="N2457" s="0">
        <v>0</v>
      </c>
      <c r="O2457" s="0">
        <v>0</v>
      </c>
      <c r="P2457" s="0">
        <v>-25</v>
      </c>
      <c r="R2457" s="0" t="b">
        <v>0</v>
      </c>
      <c r="S2457" s="0" t="b">
        <v>1</v>
      </c>
      <c r="T2457" s="68">
        <v>45393.7305902778</v>
      </c>
      <c r="U2457" s="68">
        <v>45411.3333333333</v>
      </c>
      <c r="V2457" s="68">
        <v>0</v>
      </c>
      <c r="W2457" s="0">
        <f>IF(IF(B2457="none",1,IF(B2457="Trialer",1,0))+IF(C2457="Customer",1,IF(C2457="Lost",1,0))=2,1,0)</f>
      </c>
      <c r="X2457" s="0" t="s">
        <v>153</v>
      </c>
      <c r="Y2457" s="0" t="s">
        <v>243</v>
      </c>
      <c r="AV2457" s="68"/>
      <c r="AW2457" s="68"/>
      <c r="AY2457" s="27"/>
      <c r="BD2457" s="68">
        <v>46054.1666666667</v>
      </c>
      <c r="BE2457" s="68">
        <v>46082.1666666667</v>
      </c>
      <c r="BF2457" s="0" t="b">
        <v>0</v>
      </c>
      <c r="BG2457" s="0" t="b">
        <v>0</v>
      </c>
      <c r="BH2457" s="0">
        <v>28</v>
      </c>
      <c r="BI2457" s="0">
        <v>28</v>
      </c>
      <c r="BJ2457" s="0" t="s">
        <v>230</v>
      </c>
    </row>
    <row r="2458">
      <c r="A2458" s="0" t="s">
        <v>2699</v>
      </c>
      <c r="B2458" s="0" t="s">
        <v>134</v>
      </c>
      <c r="C2458" s="0" t="s">
        <v>134</v>
      </c>
      <c r="D2458" s="0" t="s">
        <v>135</v>
      </c>
      <c r="E2458" s="0" t="s">
        <v>4</v>
      </c>
      <c r="F2458" s="0" t="s">
        <v>12</v>
      </c>
      <c r="G2458" s="0" t="s">
        <v>8</v>
      </c>
      <c r="H2458" s="0">
        <v>659</v>
      </c>
      <c r="I2458" s="0">
        <v>472</v>
      </c>
      <c r="J2458" s="0">
        <v>0</v>
      </c>
      <c r="K2458" s="0">
        <v>1</v>
      </c>
      <c r="L2458" s="0">
        <v>3</v>
      </c>
      <c r="M2458" s="0">
        <v>3</v>
      </c>
      <c r="N2458" s="0">
        <v>418.5</v>
      </c>
      <c r="O2458" s="0">
        <v>0</v>
      </c>
      <c r="P2458" s="0">
        <v>0</v>
      </c>
      <c r="R2458" s="0" t="b">
        <v>0</v>
      </c>
      <c r="S2458" s="0" t="b">
        <v>1</v>
      </c>
      <c r="T2458" s="68">
        <v>45394.6666666667</v>
      </c>
      <c r="U2458" s="68">
        <v>45408.3333333333</v>
      </c>
      <c r="V2458" s="68">
        <v>0</v>
      </c>
      <c r="W2458" s="0">
        <f>IF(IF(B2458="none",1,IF(B2458="Trialer",1,0))+IF(C2458="Customer",1,IF(C2458="Lost",1,0))=2,1,0)</f>
      </c>
      <c r="X2458" s="0" t="s">
        <v>148</v>
      </c>
      <c r="Y2458" s="0" t="s">
        <v>1772</v>
      </c>
      <c r="AV2458" s="68"/>
      <c r="AW2458" s="68"/>
      <c r="AY2458" s="27"/>
      <c r="BD2458" s="68">
        <v>46054.1666666667</v>
      </c>
      <c r="BE2458" s="68">
        <v>46082.1666666667</v>
      </c>
      <c r="BF2458" s="0" t="b">
        <v>0</v>
      </c>
      <c r="BG2458" s="0" t="b">
        <v>0</v>
      </c>
      <c r="BH2458" s="0">
        <v>147</v>
      </c>
      <c r="BI2458" s="0">
        <v>147</v>
      </c>
      <c r="BJ2458" s="0" t="s">
        <v>135</v>
      </c>
    </row>
    <row r="2459">
      <c r="A2459" s="0" t="s">
        <v>2700</v>
      </c>
      <c r="B2459" s="0" t="s">
        <v>134</v>
      </c>
      <c r="C2459" s="0" t="s">
        <v>134</v>
      </c>
      <c r="D2459" s="0" t="s">
        <v>230</v>
      </c>
      <c r="E2459" s="0" t="s">
        <v>2</v>
      </c>
      <c r="F2459" s="0" t="s">
        <v>12</v>
      </c>
      <c r="G2459" s="0" t="s">
        <v>8</v>
      </c>
      <c r="H2459" s="0">
        <v>659</v>
      </c>
      <c r="I2459" s="0">
        <v>90.9</v>
      </c>
      <c r="J2459" s="0">
        <v>0</v>
      </c>
      <c r="K2459" s="0">
        <v>1</v>
      </c>
      <c r="L2459" s="0">
        <v>4</v>
      </c>
      <c r="M2459" s="0">
        <v>2</v>
      </c>
      <c r="N2459" s="0">
        <v>0</v>
      </c>
      <c r="O2459" s="0">
        <v>0</v>
      </c>
      <c r="P2459" s="0">
        <v>-90.9</v>
      </c>
      <c r="R2459" s="0" t="b">
        <v>0</v>
      </c>
      <c r="S2459" s="0" t="b">
        <v>1</v>
      </c>
      <c r="T2459" s="68">
        <v>45394.6791666667</v>
      </c>
      <c r="U2459" s="68">
        <v>45408.3333333333</v>
      </c>
      <c r="V2459" s="68">
        <v>0</v>
      </c>
      <c r="W2459" s="0">
        <f>IF(IF(B2459="none",1,IF(B2459="Trialer",1,0))+IF(C2459="Customer",1,IF(C2459="Lost",1,0))=2,1,0)</f>
      </c>
      <c r="X2459" s="0" t="s">
        <v>142</v>
      </c>
      <c r="Y2459" s="0" t="s">
        <v>499</v>
      </c>
      <c r="AV2459" s="68"/>
      <c r="AW2459" s="68"/>
      <c r="AY2459" s="27"/>
      <c r="BD2459" s="68">
        <v>46054.1666666667</v>
      </c>
      <c r="BE2459" s="68">
        <v>46082.1666666667</v>
      </c>
      <c r="BF2459" s="0" t="b">
        <v>0</v>
      </c>
      <c r="BG2459" s="0" t="b">
        <v>0</v>
      </c>
      <c r="BH2459" s="0">
        <v>101</v>
      </c>
      <c r="BI2459" s="0">
        <v>101</v>
      </c>
      <c r="BJ2459" s="0" t="s">
        <v>230</v>
      </c>
    </row>
    <row r="2460">
      <c r="A2460" s="0" t="s">
        <v>2701</v>
      </c>
      <c r="B2460" s="0" t="s">
        <v>134</v>
      </c>
      <c r="C2460" s="0" t="s">
        <v>134</v>
      </c>
      <c r="D2460" s="0" t="s">
        <v>135</v>
      </c>
      <c r="E2460" s="0" t="s">
        <v>2</v>
      </c>
      <c r="F2460" s="0" t="s">
        <v>12</v>
      </c>
      <c r="G2460" s="0" t="s">
        <v>8</v>
      </c>
      <c r="H2460" s="0">
        <v>658</v>
      </c>
      <c r="I2460" s="0">
        <v>479</v>
      </c>
      <c r="J2460" s="0">
        <v>0</v>
      </c>
      <c r="K2460" s="0">
        <v>1</v>
      </c>
      <c r="L2460" s="0">
        <v>3</v>
      </c>
      <c r="M2460" s="0">
        <v>11</v>
      </c>
      <c r="N2460" s="0">
        <v>0</v>
      </c>
      <c r="O2460" s="0">
        <v>0</v>
      </c>
      <c r="P2460" s="0">
        <v>0</v>
      </c>
      <c r="R2460" s="0" t="b">
        <v>0</v>
      </c>
      <c r="S2460" s="0" t="b">
        <v>1</v>
      </c>
      <c r="T2460" s="68">
        <v>45395.5923842593</v>
      </c>
      <c r="U2460" s="68">
        <v>45413.3333333333</v>
      </c>
      <c r="V2460" s="68">
        <v>0</v>
      </c>
      <c r="W2460" s="0">
        <f>IF(IF(B2460="none",1,IF(B2460="Trialer",1,0))+IF(C2460="Customer",1,IF(C2460="Lost",1,0))=2,1,0)</f>
      </c>
      <c r="X2460" s="0" t="s">
        <v>148</v>
      </c>
      <c r="Y2460" s="0" t="s">
        <v>499</v>
      </c>
      <c r="AV2460" s="68"/>
      <c r="AW2460" s="68"/>
      <c r="AY2460" s="27"/>
      <c r="BD2460" s="68">
        <v>46054.1666666667</v>
      </c>
      <c r="BE2460" s="68">
        <v>46082.1666666667</v>
      </c>
      <c r="BF2460" s="0" t="b">
        <v>0</v>
      </c>
      <c r="BG2460" s="0" t="b">
        <v>0</v>
      </c>
      <c r="BH2460" s="0">
        <v>479</v>
      </c>
      <c r="BI2460" s="0">
        <v>479</v>
      </c>
      <c r="BJ2460" s="0" t="s">
        <v>135</v>
      </c>
    </row>
    <row r="2461">
      <c r="A2461" s="0" t="s">
        <v>2702</v>
      </c>
      <c r="B2461" s="0" t="s">
        <v>134</v>
      </c>
      <c r="C2461" s="0" t="s">
        <v>134</v>
      </c>
      <c r="D2461" s="0" t="s">
        <v>230</v>
      </c>
      <c r="E2461" s="0" t="s">
        <v>3</v>
      </c>
      <c r="F2461" s="0" t="s">
        <v>10</v>
      </c>
      <c r="G2461" s="0" t="s">
        <v>8</v>
      </c>
      <c r="H2461" s="0">
        <v>655</v>
      </c>
      <c r="I2461" s="0">
        <v>393.3</v>
      </c>
      <c r="J2461" s="0">
        <v>0</v>
      </c>
      <c r="K2461" s="0">
        <v>1</v>
      </c>
      <c r="L2461" s="0">
        <v>3</v>
      </c>
      <c r="M2461" s="0">
        <v>10</v>
      </c>
      <c r="N2461" s="0">
        <v>0</v>
      </c>
      <c r="O2461" s="0">
        <v>0</v>
      </c>
      <c r="P2461" s="0">
        <v>-393.3</v>
      </c>
      <c r="Q2461" s="0" t="s">
        <v>2203</v>
      </c>
      <c r="R2461" s="0" t="b">
        <v>0</v>
      </c>
      <c r="S2461" s="0" t="b">
        <v>1</v>
      </c>
      <c r="T2461" s="68">
        <v>45398.6344444444</v>
      </c>
      <c r="U2461" s="68">
        <v>45412.3333333333</v>
      </c>
      <c r="V2461" s="68">
        <v>0</v>
      </c>
      <c r="W2461" s="0">
        <f>IF(IF(B2461="none",1,IF(B2461="Trialer",1,0))+IF(C2461="Customer",1,IF(C2461="Lost",1,0))=2,1,0)</f>
      </c>
      <c r="X2461" s="0" t="s">
        <v>148</v>
      </c>
      <c r="Y2461" s="0" t="s">
        <v>243</v>
      </c>
      <c r="AV2461" s="68"/>
      <c r="AW2461" s="68"/>
      <c r="AY2461" s="27"/>
      <c r="BD2461" s="68">
        <v>46054.1666666667</v>
      </c>
      <c r="BE2461" s="68">
        <v>46082.1666666667</v>
      </c>
      <c r="BF2461" s="0" t="b">
        <v>0</v>
      </c>
      <c r="BG2461" s="0" t="b">
        <v>0</v>
      </c>
      <c r="BH2461" s="0">
        <v>476</v>
      </c>
      <c r="BI2461" s="0">
        <v>476</v>
      </c>
      <c r="BJ2461" s="0" t="s">
        <v>230</v>
      </c>
    </row>
    <row r="2462">
      <c r="A2462" s="0" t="s">
        <v>2703</v>
      </c>
      <c r="B2462" s="0" t="s">
        <v>134</v>
      </c>
      <c r="C2462" s="0" t="s">
        <v>134</v>
      </c>
      <c r="D2462" s="0" t="s">
        <v>135</v>
      </c>
      <c r="E2462" s="0" t="s">
        <v>3</v>
      </c>
      <c r="F2462" s="0" t="s">
        <v>12</v>
      </c>
      <c r="G2462" s="0" t="s">
        <v>8</v>
      </c>
      <c r="H2462" s="0">
        <v>655</v>
      </c>
      <c r="I2462" s="0">
        <v>40</v>
      </c>
      <c r="J2462" s="0">
        <v>0</v>
      </c>
      <c r="K2462" s="0">
        <v>1</v>
      </c>
      <c r="L2462" s="0">
        <v>2</v>
      </c>
      <c r="M2462" s="0">
        <v>1</v>
      </c>
      <c r="N2462" s="0">
        <v>0</v>
      </c>
      <c r="O2462" s="0">
        <v>0</v>
      </c>
      <c r="P2462" s="0">
        <v>0</v>
      </c>
      <c r="R2462" s="0" t="b">
        <v>0</v>
      </c>
      <c r="S2462" s="0" t="b">
        <v>1</v>
      </c>
      <c r="T2462" s="68">
        <v>45398.6535185185</v>
      </c>
      <c r="U2462" s="68">
        <v>45412.3333333333</v>
      </c>
      <c r="V2462" s="68">
        <v>0</v>
      </c>
      <c r="W2462" s="0">
        <f>IF(IF(B2462="none",1,IF(B2462="Trialer",1,0))+IF(C2462="Customer",1,IF(C2462="Lost",1,0))=2,1,0)</f>
      </c>
      <c r="X2462" s="0" t="s">
        <v>153</v>
      </c>
      <c r="Y2462" s="0" t="s">
        <v>243</v>
      </c>
      <c r="AV2462" s="68"/>
      <c r="AW2462" s="68"/>
      <c r="AY2462" s="27"/>
      <c r="BD2462" s="68">
        <v>46054.1666666667</v>
      </c>
      <c r="BE2462" s="68">
        <v>46082.1666666667</v>
      </c>
      <c r="BF2462" s="0" t="b">
        <v>0</v>
      </c>
      <c r="BG2462" s="0" t="b">
        <v>0</v>
      </c>
      <c r="BH2462" s="0">
        <v>40</v>
      </c>
      <c r="BI2462" s="0">
        <v>40</v>
      </c>
      <c r="BJ2462" s="0" t="s">
        <v>135</v>
      </c>
    </row>
    <row r="2463">
      <c r="A2463" s="0" t="s">
        <v>2704</v>
      </c>
      <c r="B2463" s="0" t="s">
        <v>134</v>
      </c>
      <c r="C2463" s="0" t="s">
        <v>134</v>
      </c>
      <c r="D2463" s="0" t="s">
        <v>135</v>
      </c>
      <c r="E2463" s="0" t="s">
        <v>3</v>
      </c>
      <c r="F2463" s="0" t="s">
        <v>12</v>
      </c>
      <c r="G2463" s="0" t="s">
        <v>8</v>
      </c>
      <c r="H2463" s="0">
        <v>653</v>
      </c>
      <c r="I2463" s="0">
        <v>52</v>
      </c>
      <c r="J2463" s="0">
        <v>0</v>
      </c>
      <c r="K2463" s="0">
        <v>1</v>
      </c>
      <c r="L2463" s="0">
        <v>3</v>
      </c>
      <c r="M2463" s="0">
        <v>1</v>
      </c>
      <c r="N2463" s="0">
        <v>0</v>
      </c>
      <c r="O2463" s="0">
        <v>0</v>
      </c>
      <c r="P2463" s="0">
        <v>0</v>
      </c>
      <c r="R2463" s="0" t="b">
        <v>0</v>
      </c>
      <c r="S2463" s="0" t="b">
        <v>1</v>
      </c>
      <c r="T2463" s="68">
        <v>45400.1383912037</v>
      </c>
      <c r="U2463" s="68">
        <v>45415.3333333333</v>
      </c>
      <c r="V2463" s="68">
        <v>0</v>
      </c>
      <c r="W2463" s="0">
        <f>IF(IF(B2463="none",1,IF(B2463="Trialer",1,0))+IF(C2463="Customer",1,IF(C2463="Lost",1,0))=2,1,0)</f>
      </c>
      <c r="X2463" s="0" t="s">
        <v>153</v>
      </c>
      <c r="Y2463" s="0" t="s">
        <v>243</v>
      </c>
      <c r="AV2463" s="68"/>
      <c r="AW2463" s="68"/>
      <c r="AY2463" s="27"/>
      <c r="BD2463" s="68">
        <v>46054.1666666667</v>
      </c>
      <c r="BE2463" s="68">
        <v>46082.1666666667</v>
      </c>
      <c r="BF2463" s="0" t="b">
        <v>0</v>
      </c>
      <c r="BG2463" s="0" t="b">
        <v>0</v>
      </c>
      <c r="BH2463" s="0">
        <v>52</v>
      </c>
      <c r="BI2463" s="0">
        <v>52</v>
      </c>
      <c r="BJ2463" s="0" t="s">
        <v>135</v>
      </c>
    </row>
    <row r="2464">
      <c r="A2464" s="0" t="s">
        <v>2705</v>
      </c>
      <c r="B2464" s="0" t="s">
        <v>134</v>
      </c>
      <c r="C2464" s="0" t="s">
        <v>134</v>
      </c>
      <c r="D2464" s="0" t="s">
        <v>230</v>
      </c>
      <c r="E2464" s="0" t="s">
        <v>3</v>
      </c>
      <c r="F2464" s="0" t="s">
        <v>12</v>
      </c>
      <c r="G2464" s="0" t="s">
        <v>8</v>
      </c>
      <c r="H2464" s="0">
        <v>653</v>
      </c>
      <c r="I2464" s="0">
        <v>90</v>
      </c>
      <c r="J2464" s="0">
        <v>0</v>
      </c>
      <c r="K2464" s="0">
        <v>1</v>
      </c>
      <c r="L2464" s="0">
        <v>2</v>
      </c>
      <c r="M2464" s="0">
        <v>3</v>
      </c>
      <c r="N2464" s="0">
        <v>0</v>
      </c>
      <c r="O2464" s="0">
        <v>0</v>
      </c>
      <c r="P2464" s="0">
        <v>-90</v>
      </c>
      <c r="R2464" s="0" t="b">
        <v>0</v>
      </c>
      <c r="S2464" s="0" t="b">
        <v>1</v>
      </c>
      <c r="T2464" s="68">
        <v>45400.2930555556</v>
      </c>
      <c r="U2464" s="68">
        <v>45414.3333333333</v>
      </c>
      <c r="V2464" s="68">
        <v>0</v>
      </c>
      <c r="W2464" s="0">
        <f>IF(IF(B2464="none",1,IF(B2464="Trialer",1,0))+IF(C2464="Customer",1,IF(C2464="Lost",1,0))=2,1,0)</f>
      </c>
      <c r="X2464" s="0" t="s">
        <v>153</v>
      </c>
      <c r="Y2464" s="0" t="s">
        <v>243</v>
      </c>
      <c r="AV2464" s="68"/>
      <c r="AW2464" s="68"/>
      <c r="AY2464" s="27"/>
      <c r="BD2464" s="68">
        <v>46054.1666666667</v>
      </c>
      <c r="BE2464" s="68">
        <v>46082.1666666667</v>
      </c>
      <c r="BF2464" s="0" t="b">
        <v>0</v>
      </c>
      <c r="BG2464" s="0" t="b">
        <v>0</v>
      </c>
      <c r="BH2464" s="0">
        <v>120</v>
      </c>
      <c r="BI2464" s="0">
        <v>120</v>
      </c>
      <c r="BJ2464" s="0" t="s">
        <v>230</v>
      </c>
    </row>
    <row r="2465">
      <c r="A2465" s="0" t="s">
        <v>2706</v>
      </c>
      <c r="B2465" s="0" t="s">
        <v>134</v>
      </c>
      <c r="C2465" s="0" t="s">
        <v>134</v>
      </c>
      <c r="D2465" s="0" t="s">
        <v>135</v>
      </c>
      <c r="E2465" s="0" t="s">
        <v>2</v>
      </c>
      <c r="F2465" s="0" t="s">
        <v>10</v>
      </c>
      <c r="G2465" s="0" t="s">
        <v>8</v>
      </c>
      <c r="H2465" s="0">
        <v>652</v>
      </c>
      <c r="I2465" s="0">
        <v>56</v>
      </c>
      <c r="J2465" s="0">
        <v>0</v>
      </c>
      <c r="K2465" s="0">
        <v>1</v>
      </c>
      <c r="L2465" s="0">
        <v>1</v>
      </c>
      <c r="M2465" s="0">
        <v>2</v>
      </c>
      <c r="N2465" s="0">
        <v>0</v>
      </c>
      <c r="O2465" s="0">
        <v>0</v>
      </c>
      <c r="P2465" s="0">
        <v>0</v>
      </c>
      <c r="Q2465" s="0" t="s">
        <v>618</v>
      </c>
      <c r="R2465" s="0" t="b">
        <v>0</v>
      </c>
      <c r="S2465" s="0" t="b">
        <v>1</v>
      </c>
      <c r="T2465" s="68">
        <v>45401.1888541667</v>
      </c>
      <c r="U2465" s="68">
        <v>45415.3333333333</v>
      </c>
      <c r="V2465" s="68">
        <v>0</v>
      </c>
      <c r="W2465" s="0">
        <f>IF(IF(B2465="none",1,IF(B2465="Trialer",1,0))+IF(C2465="Customer",1,IF(C2465="Lost",1,0))=2,1,0)</f>
      </c>
      <c r="X2465" s="0" t="s">
        <v>148</v>
      </c>
      <c r="Y2465" s="0" t="s">
        <v>499</v>
      </c>
      <c r="AV2465" s="68"/>
      <c r="AW2465" s="68"/>
      <c r="AY2465" s="27"/>
      <c r="BD2465" s="68">
        <v>46054.1666666667</v>
      </c>
      <c r="BE2465" s="68">
        <v>46082.1666666667</v>
      </c>
      <c r="BF2465" s="0" t="b">
        <v>0</v>
      </c>
      <c r="BG2465" s="0" t="b">
        <v>0</v>
      </c>
      <c r="BH2465" s="0">
        <v>56</v>
      </c>
      <c r="BI2465" s="0">
        <v>56</v>
      </c>
      <c r="BJ2465" s="0" t="s">
        <v>135</v>
      </c>
    </row>
    <row r="2466">
      <c r="A2466" s="0" t="s">
        <v>2707</v>
      </c>
      <c r="B2466" s="0" t="s">
        <v>134</v>
      </c>
      <c r="C2466" s="0" t="s">
        <v>134</v>
      </c>
      <c r="D2466" s="0" t="s">
        <v>135</v>
      </c>
      <c r="E2466" s="0" t="s">
        <v>3</v>
      </c>
      <c r="F2466" s="0" t="s">
        <v>10</v>
      </c>
      <c r="G2466" s="0" t="s">
        <v>8</v>
      </c>
      <c r="H2466" s="0">
        <v>652</v>
      </c>
      <c r="I2466" s="0">
        <v>0</v>
      </c>
      <c r="J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 t="s">
        <v>618</v>
      </c>
      <c r="R2466" s="0" t="b">
        <v>0</v>
      </c>
      <c r="S2466" s="0" t="b">
        <v>1</v>
      </c>
      <c r="T2466" s="68">
        <v>45401.1992013889</v>
      </c>
      <c r="U2466" s="68">
        <v>45415.3333333333</v>
      </c>
      <c r="V2466" s="68">
        <v>0</v>
      </c>
      <c r="W2466" s="0">
        <f>IF(IF(B2466="none",1,IF(B2466="Trialer",1,0))+IF(C2466="Customer",1,IF(C2466="Lost",1,0))=2,1,0)</f>
      </c>
      <c r="X2466" s="0" t="s">
        <v>148</v>
      </c>
      <c r="Y2466" s="0" t="s">
        <v>243</v>
      </c>
      <c r="AV2466" s="68"/>
      <c r="AW2466" s="68"/>
      <c r="AY2466" s="27"/>
      <c r="BD2466" s="68">
        <v>46054.1666666667</v>
      </c>
      <c r="BE2466" s="68">
        <v>46082.1666666667</v>
      </c>
      <c r="BF2466" s="0" t="b">
        <v>0</v>
      </c>
      <c r="BG2466" s="0" t="b">
        <v>0</v>
      </c>
      <c r="BH2466" s="0">
        <v>0</v>
      </c>
      <c r="BI2466" s="0">
        <v>0</v>
      </c>
      <c r="BJ2466" s="0" t="s">
        <v>135</v>
      </c>
    </row>
    <row r="2467">
      <c r="A2467" s="0" t="s">
        <v>2708</v>
      </c>
      <c r="B2467" s="0" t="s">
        <v>134</v>
      </c>
      <c r="C2467" s="0" t="s">
        <v>190</v>
      </c>
      <c r="D2467" s="0" t="s">
        <v>230</v>
      </c>
      <c r="E2467" s="0" t="s">
        <v>3</v>
      </c>
      <c r="F2467" s="0" t="s">
        <v>12</v>
      </c>
      <c r="G2467" s="0" t="s">
        <v>8</v>
      </c>
      <c r="H2467" s="0">
        <v>652</v>
      </c>
      <c r="I2467" s="0">
        <v>88</v>
      </c>
      <c r="J2467" s="0">
        <v>0</v>
      </c>
      <c r="K2467" s="0">
        <v>1</v>
      </c>
      <c r="L2467" s="0">
        <v>3</v>
      </c>
      <c r="M2467" s="0">
        <v>2</v>
      </c>
      <c r="N2467" s="0">
        <v>0</v>
      </c>
      <c r="O2467" s="0">
        <v>0</v>
      </c>
      <c r="P2467" s="0">
        <v>-88</v>
      </c>
      <c r="R2467" s="0" t="b">
        <v>0</v>
      </c>
      <c r="S2467" s="0" t="b">
        <v>0</v>
      </c>
      <c r="T2467" s="68">
        <v>45401.3778009259</v>
      </c>
      <c r="U2467" s="68">
        <v>45415.3333333333</v>
      </c>
      <c r="V2467" s="68">
        <v>46072.5934722222</v>
      </c>
      <c r="W2467" s="0">
        <f>IF(IF(B2467="none",1,IF(B2467="Trialer",1,0))+IF(C2467="Customer",1,IF(C2467="Lost",1,0))=2,1,0)</f>
      </c>
      <c r="X2467" s="0" t="s">
        <v>153</v>
      </c>
      <c r="Y2467" s="0" t="s">
        <v>243</v>
      </c>
      <c r="AV2467" s="68"/>
      <c r="AW2467" s="68"/>
      <c r="AY2467" s="27"/>
      <c r="BD2467" s="68">
        <v>46054.1666666667</v>
      </c>
      <c r="BE2467" s="68">
        <v>46082.1666666667</v>
      </c>
      <c r="BF2467" s="0" t="b">
        <v>0</v>
      </c>
      <c r="BG2467" s="0" t="b">
        <v>0</v>
      </c>
      <c r="BH2467" s="0">
        <v>98</v>
      </c>
      <c r="BI2467" s="0">
        <v>98</v>
      </c>
      <c r="BJ2467" s="0" t="s">
        <v>230</v>
      </c>
    </row>
    <row r="2468">
      <c r="A2468" s="0" t="s">
        <v>2709</v>
      </c>
      <c r="B2468" s="0" t="s">
        <v>134</v>
      </c>
      <c r="C2468" s="0" t="s">
        <v>134</v>
      </c>
      <c r="D2468" s="0" t="s">
        <v>135</v>
      </c>
      <c r="E2468" s="0" t="s">
        <v>3</v>
      </c>
      <c r="F2468" s="0" t="s">
        <v>12</v>
      </c>
      <c r="G2468" s="0" t="s">
        <v>8</v>
      </c>
      <c r="H2468" s="0">
        <v>652</v>
      </c>
      <c r="I2468" s="0">
        <v>61</v>
      </c>
      <c r="J2468" s="0">
        <v>0</v>
      </c>
      <c r="K2468" s="0">
        <v>1</v>
      </c>
      <c r="L2468" s="0">
        <v>4</v>
      </c>
      <c r="M2468" s="0">
        <v>1</v>
      </c>
      <c r="N2468" s="0">
        <v>0</v>
      </c>
      <c r="O2468" s="0">
        <v>0</v>
      </c>
      <c r="P2468" s="0">
        <v>0</v>
      </c>
      <c r="R2468" s="0" t="b">
        <v>0</v>
      </c>
      <c r="S2468" s="0" t="b">
        <v>0</v>
      </c>
      <c r="T2468" s="68">
        <v>45401.5851157407</v>
      </c>
      <c r="U2468" s="68">
        <v>45415.3333333333</v>
      </c>
      <c r="V2468" s="68">
        <v>46092.6071180556</v>
      </c>
      <c r="W2468" s="0">
        <f>IF(IF(B2468="none",1,IF(B2468="Trialer",1,0))+IF(C2468="Customer",1,IF(C2468="Lost",1,0))=2,1,0)</f>
      </c>
      <c r="X2468" s="0" t="s">
        <v>142</v>
      </c>
      <c r="Y2468" s="0" t="s">
        <v>243</v>
      </c>
      <c r="AV2468" s="68"/>
      <c r="AW2468" s="68"/>
      <c r="AY2468" s="27"/>
      <c r="BD2468" s="68">
        <v>46054.1666666667</v>
      </c>
      <c r="BE2468" s="68">
        <v>46082.1666666667</v>
      </c>
      <c r="BF2468" s="0" t="b">
        <v>0</v>
      </c>
      <c r="BG2468" s="0" t="b">
        <v>0</v>
      </c>
      <c r="BH2468" s="0">
        <v>61</v>
      </c>
      <c r="BI2468" s="0">
        <v>61</v>
      </c>
      <c r="BJ2468" s="0" t="s">
        <v>135</v>
      </c>
    </row>
    <row r="2469">
      <c r="A2469" s="0" t="s">
        <v>2710</v>
      </c>
      <c r="B2469" s="0" t="s">
        <v>134</v>
      </c>
      <c r="C2469" s="0" t="s">
        <v>134</v>
      </c>
      <c r="D2469" s="0" t="s">
        <v>135</v>
      </c>
      <c r="E2469" s="0" t="s">
        <v>3</v>
      </c>
      <c r="F2469" s="0" t="s">
        <v>12</v>
      </c>
      <c r="G2469" s="0" t="s">
        <v>8</v>
      </c>
      <c r="H2469" s="0">
        <v>651</v>
      </c>
      <c r="I2469" s="0">
        <v>84</v>
      </c>
      <c r="J2469" s="0">
        <v>0</v>
      </c>
      <c r="K2469" s="0">
        <v>1</v>
      </c>
      <c r="L2469" s="0">
        <v>1</v>
      </c>
      <c r="M2469" s="0">
        <v>3</v>
      </c>
      <c r="N2469" s="0">
        <v>0</v>
      </c>
      <c r="O2469" s="0">
        <v>0</v>
      </c>
      <c r="P2469" s="0">
        <v>0</v>
      </c>
      <c r="R2469" s="0" t="b">
        <v>0</v>
      </c>
      <c r="S2469" s="0" t="b">
        <v>1</v>
      </c>
      <c r="T2469" s="68">
        <v>45402.4463425926</v>
      </c>
      <c r="U2469" s="68">
        <v>45416.3333333333</v>
      </c>
      <c r="V2469" s="68">
        <v>0</v>
      </c>
      <c r="W2469" s="0">
        <f>IF(IF(B2469="none",1,IF(B2469="Trialer",1,0))+IF(C2469="Customer",1,IF(C2469="Lost",1,0))=2,1,0)</f>
      </c>
      <c r="X2469" s="0" t="s">
        <v>142</v>
      </c>
      <c r="Y2469" s="0" t="s">
        <v>487</v>
      </c>
      <c r="AV2469" s="68"/>
      <c r="AW2469" s="68"/>
      <c r="AY2469" s="27"/>
      <c r="BD2469" s="68">
        <v>46054.1666666667</v>
      </c>
      <c r="BE2469" s="68">
        <v>46082.1666666667</v>
      </c>
      <c r="BF2469" s="0" t="b">
        <v>0</v>
      </c>
      <c r="BG2469" s="0" t="b">
        <v>0</v>
      </c>
      <c r="BH2469" s="0">
        <v>84</v>
      </c>
      <c r="BI2469" s="0">
        <v>84</v>
      </c>
      <c r="BJ2469" s="0" t="s">
        <v>135</v>
      </c>
    </row>
    <row r="2470">
      <c r="A2470" s="0" t="s">
        <v>2711</v>
      </c>
      <c r="B2470" s="0" t="s">
        <v>134</v>
      </c>
      <c r="C2470" s="0" t="s">
        <v>134</v>
      </c>
      <c r="D2470" s="0" t="s">
        <v>135</v>
      </c>
      <c r="E2470" s="0" t="s">
        <v>3</v>
      </c>
      <c r="F2470" s="0" t="s">
        <v>12</v>
      </c>
      <c r="G2470" s="0" t="s">
        <v>8</v>
      </c>
      <c r="H2470" s="0">
        <v>650</v>
      </c>
      <c r="I2470" s="0">
        <v>61</v>
      </c>
      <c r="J2470" s="0">
        <v>0</v>
      </c>
      <c r="K2470" s="0">
        <v>1</v>
      </c>
      <c r="L2470" s="0">
        <v>4</v>
      </c>
      <c r="M2470" s="0">
        <v>1</v>
      </c>
      <c r="N2470" s="0">
        <v>0</v>
      </c>
      <c r="O2470" s="0">
        <v>0</v>
      </c>
      <c r="P2470" s="0">
        <v>0</v>
      </c>
      <c r="R2470" s="0" t="b">
        <v>0</v>
      </c>
      <c r="S2470" s="0" t="b">
        <v>1</v>
      </c>
      <c r="T2470" s="68">
        <v>45403.7747106481</v>
      </c>
      <c r="U2470" s="68">
        <v>45417.3333333333</v>
      </c>
      <c r="V2470" s="68">
        <v>0</v>
      </c>
      <c r="W2470" s="0">
        <f>IF(IF(B2470="none",1,IF(B2470="Trialer",1,0))+IF(C2470="Customer",1,IF(C2470="Lost",1,0))=2,1,0)</f>
      </c>
      <c r="X2470" s="0" t="s">
        <v>142</v>
      </c>
      <c r="Y2470" s="0" t="s">
        <v>243</v>
      </c>
      <c r="AV2470" s="68"/>
      <c r="AW2470" s="68"/>
      <c r="AY2470" s="27"/>
      <c r="BD2470" s="68">
        <v>46054.1666666667</v>
      </c>
      <c r="BE2470" s="68">
        <v>46082.1666666667</v>
      </c>
      <c r="BF2470" s="0" t="b">
        <v>0</v>
      </c>
      <c r="BG2470" s="0" t="b">
        <v>0</v>
      </c>
      <c r="BH2470" s="0">
        <v>61</v>
      </c>
      <c r="BI2470" s="0">
        <v>61</v>
      </c>
      <c r="BJ2470" s="0" t="s">
        <v>135</v>
      </c>
    </row>
    <row r="2471">
      <c r="A2471" s="0" t="s">
        <v>2712</v>
      </c>
      <c r="B2471" s="0" t="s">
        <v>134</v>
      </c>
      <c r="C2471" s="0" t="s">
        <v>134</v>
      </c>
      <c r="D2471" s="0" t="s">
        <v>230</v>
      </c>
      <c r="E2471" s="0" t="s">
        <v>3</v>
      </c>
      <c r="F2471" s="0" t="s">
        <v>12</v>
      </c>
      <c r="G2471" s="0" t="s">
        <v>8</v>
      </c>
      <c r="H2471" s="0">
        <v>649</v>
      </c>
      <c r="I2471" s="0">
        <v>703</v>
      </c>
      <c r="J2471" s="0">
        <v>0</v>
      </c>
      <c r="K2471" s="0">
        <v>1</v>
      </c>
      <c r="L2471" s="0">
        <v>4</v>
      </c>
      <c r="M2471" s="0">
        <v>7</v>
      </c>
      <c r="N2471" s="0">
        <v>1674</v>
      </c>
      <c r="O2471" s="0">
        <v>0</v>
      </c>
      <c r="P2471" s="0">
        <v>-378</v>
      </c>
      <c r="R2471" s="0" t="b">
        <v>0</v>
      </c>
      <c r="S2471" s="0" t="b">
        <v>1</v>
      </c>
      <c r="T2471" s="68">
        <v>45404.5145833333</v>
      </c>
      <c r="U2471" s="68">
        <v>45418.3333333333</v>
      </c>
      <c r="V2471" s="68">
        <v>0</v>
      </c>
      <c r="W2471" s="0">
        <f>IF(IF(B2471="none",1,IF(B2471="Trialer",1,0))+IF(C2471="Customer",1,IF(C2471="Lost",1,0))=2,1,0)</f>
      </c>
      <c r="X2471" s="0" t="s">
        <v>136</v>
      </c>
      <c r="Y2471" s="0" t="s">
        <v>243</v>
      </c>
      <c r="AV2471" s="68"/>
      <c r="AW2471" s="68"/>
      <c r="AY2471" s="27"/>
      <c r="BD2471" s="68">
        <v>46054.1666666667</v>
      </c>
      <c r="BE2471" s="68">
        <v>46082.1666666667</v>
      </c>
      <c r="BF2471" s="0" t="b">
        <v>0</v>
      </c>
      <c r="BG2471" s="0" t="b">
        <v>0</v>
      </c>
      <c r="BH2471" s="0">
        <v>415</v>
      </c>
      <c r="BI2471" s="0">
        <v>415</v>
      </c>
      <c r="BJ2471" s="0" t="s">
        <v>230</v>
      </c>
    </row>
    <row r="2472">
      <c r="A2472" s="0" t="s">
        <v>2713</v>
      </c>
      <c r="B2472" s="0" t="s">
        <v>134</v>
      </c>
      <c r="C2472" s="0" t="s">
        <v>134</v>
      </c>
      <c r="D2472" s="0" t="s">
        <v>135</v>
      </c>
      <c r="E2472" s="0" t="s">
        <v>3</v>
      </c>
      <c r="F2472" s="0" t="s">
        <v>12</v>
      </c>
      <c r="G2472" s="0" t="s">
        <v>8</v>
      </c>
      <c r="H2472" s="0">
        <v>648</v>
      </c>
      <c r="I2472" s="0">
        <v>68</v>
      </c>
      <c r="J2472" s="0">
        <v>0</v>
      </c>
      <c r="K2472" s="0">
        <v>1</v>
      </c>
      <c r="L2472" s="0">
        <v>2</v>
      </c>
      <c r="M2472" s="0">
        <v>2</v>
      </c>
      <c r="N2472" s="0">
        <v>0</v>
      </c>
      <c r="O2472" s="0">
        <v>0</v>
      </c>
      <c r="P2472" s="0">
        <v>0</v>
      </c>
      <c r="R2472" s="0" t="b">
        <v>0</v>
      </c>
      <c r="S2472" s="0" t="b">
        <v>1</v>
      </c>
      <c r="T2472" s="68">
        <v>45405.6970601852</v>
      </c>
      <c r="U2472" s="68">
        <v>45405.3333333333</v>
      </c>
      <c r="V2472" s="68">
        <v>0</v>
      </c>
      <c r="W2472" s="0">
        <f>IF(IF(B2472="none",1,IF(B2472="Trialer",1,0))+IF(C2472="Customer",1,IF(C2472="Lost",1,0))=2,1,0)</f>
      </c>
      <c r="X2472" s="0" t="s">
        <v>166</v>
      </c>
      <c r="Y2472" s="0" t="s">
        <v>243</v>
      </c>
      <c r="AV2472" s="68"/>
      <c r="AW2472" s="68"/>
      <c r="AY2472" s="27"/>
      <c r="BD2472" s="68">
        <v>46054.1666666667</v>
      </c>
      <c r="BE2472" s="68">
        <v>46082.1666666667</v>
      </c>
      <c r="BF2472" s="0" t="b">
        <v>0</v>
      </c>
      <c r="BG2472" s="0" t="b">
        <v>0</v>
      </c>
      <c r="BH2472" s="0">
        <v>56</v>
      </c>
      <c r="BI2472" s="0">
        <v>56</v>
      </c>
      <c r="BJ2472" s="0" t="s">
        <v>135</v>
      </c>
    </row>
    <row r="2473">
      <c r="A2473" s="0" t="s">
        <v>2714</v>
      </c>
      <c r="B2473" s="0" t="s">
        <v>134</v>
      </c>
      <c r="C2473" s="0" t="s">
        <v>134</v>
      </c>
      <c r="D2473" s="0" t="s">
        <v>135</v>
      </c>
      <c r="E2473" s="0" t="s">
        <v>3</v>
      </c>
      <c r="F2473" s="0" t="s">
        <v>10</v>
      </c>
      <c r="G2473" s="0" t="s">
        <v>8</v>
      </c>
      <c r="H2473" s="0">
        <v>647</v>
      </c>
      <c r="I2473" s="0">
        <v>28</v>
      </c>
      <c r="J2473" s="0">
        <v>0</v>
      </c>
      <c r="K2473" s="0">
        <v>1</v>
      </c>
      <c r="L2473" s="0">
        <v>1</v>
      </c>
      <c r="M2473" s="0">
        <v>1</v>
      </c>
      <c r="N2473" s="0">
        <v>0</v>
      </c>
      <c r="O2473" s="0">
        <v>0</v>
      </c>
      <c r="P2473" s="0">
        <v>0</v>
      </c>
      <c r="Q2473" s="0" t="s">
        <v>618</v>
      </c>
      <c r="R2473" s="0" t="b">
        <v>0</v>
      </c>
      <c r="S2473" s="0" t="b">
        <v>1</v>
      </c>
      <c r="T2473" s="68">
        <v>45406.2043865741</v>
      </c>
      <c r="U2473" s="68">
        <v>45420.3333333333</v>
      </c>
      <c r="V2473" s="68">
        <v>0</v>
      </c>
      <c r="W2473" s="0">
        <f>IF(IF(B2473="none",1,IF(B2473="Trialer",1,0))+IF(C2473="Customer",1,IF(C2473="Lost",1,0))=2,1,0)</f>
      </c>
      <c r="X2473" s="0" t="s">
        <v>148</v>
      </c>
      <c r="Y2473" s="0" t="s">
        <v>243</v>
      </c>
      <c r="AV2473" s="68"/>
      <c r="AW2473" s="68"/>
      <c r="AY2473" s="27"/>
      <c r="BD2473" s="68">
        <v>46054.1666666667</v>
      </c>
      <c r="BE2473" s="68">
        <v>46082.1666666667</v>
      </c>
      <c r="BF2473" s="0" t="b">
        <v>0</v>
      </c>
      <c r="BG2473" s="0" t="b">
        <v>0</v>
      </c>
      <c r="BH2473" s="0">
        <v>28</v>
      </c>
      <c r="BI2473" s="0">
        <v>28</v>
      </c>
      <c r="BJ2473" s="0" t="s">
        <v>135</v>
      </c>
    </row>
    <row r="2474">
      <c r="A2474" s="0" t="s">
        <v>2715</v>
      </c>
      <c r="B2474" s="0" t="s">
        <v>134</v>
      </c>
      <c r="C2474" s="0" t="s">
        <v>134</v>
      </c>
      <c r="D2474" s="0" t="s">
        <v>135</v>
      </c>
      <c r="E2474" s="0" t="s">
        <v>2</v>
      </c>
      <c r="F2474" s="0" t="s">
        <v>12</v>
      </c>
      <c r="G2474" s="0" t="s">
        <v>8</v>
      </c>
      <c r="H2474" s="0">
        <v>647</v>
      </c>
      <c r="I2474" s="0">
        <v>40</v>
      </c>
      <c r="J2474" s="0">
        <v>0</v>
      </c>
      <c r="K2474" s="0">
        <v>1</v>
      </c>
      <c r="L2474" s="0">
        <v>2</v>
      </c>
      <c r="M2474" s="0">
        <v>1</v>
      </c>
      <c r="N2474" s="0">
        <v>0</v>
      </c>
      <c r="O2474" s="0">
        <v>0</v>
      </c>
      <c r="P2474" s="0">
        <v>0</v>
      </c>
      <c r="R2474" s="0" t="b">
        <v>0</v>
      </c>
      <c r="S2474" s="0" t="b">
        <v>1</v>
      </c>
      <c r="T2474" s="68">
        <v>45406.4458217593</v>
      </c>
      <c r="U2474" s="68">
        <v>45406.3333333333</v>
      </c>
      <c r="V2474" s="68">
        <v>0</v>
      </c>
      <c r="W2474" s="0">
        <f>IF(IF(B2474="none",1,IF(B2474="Trialer",1,0))+IF(C2474="Customer",1,IF(C2474="Lost",1,0))=2,1,0)</f>
      </c>
      <c r="X2474" s="0" t="s">
        <v>166</v>
      </c>
      <c r="Y2474" s="0" t="s">
        <v>499</v>
      </c>
      <c r="AV2474" s="68"/>
      <c r="AW2474" s="68"/>
      <c r="AY2474" s="27"/>
      <c r="BD2474" s="68">
        <v>46054.1666666667</v>
      </c>
      <c r="BE2474" s="68">
        <v>46082.1666666667</v>
      </c>
      <c r="BF2474" s="0" t="b">
        <v>0</v>
      </c>
      <c r="BG2474" s="0" t="b">
        <v>0</v>
      </c>
      <c r="BH2474" s="0">
        <v>40</v>
      </c>
      <c r="BI2474" s="0">
        <v>40</v>
      </c>
      <c r="BJ2474" s="0" t="s">
        <v>135</v>
      </c>
    </row>
    <row r="2475">
      <c r="A2475" s="0" t="s">
        <v>2716</v>
      </c>
      <c r="B2475" s="0" t="s">
        <v>134</v>
      </c>
      <c r="C2475" s="0" t="s">
        <v>134</v>
      </c>
      <c r="D2475" s="0" t="s">
        <v>230</v>
      </c>
      <c r="E2475" s="0" t="s">
        <v>3</v>
      </c>
      <c r="F2475" s="0" t="s">
        <v>12</v>
      </c>
      <c r="G2475" s="0" t="s">
        <v>8</v>
      </c>
      <c r="H2475" s="0">
        <v>647</v>
      </c>
      <c r="I2475" s="0">
        <v>271.8</v>
      </c>
      <c r="J2475" s="0">
        <v>0</v>
      </c>
      <c r="K2475" s="0">
        <v>1</v>
      </c>
      <c r="L2475" s="0">
        <v>4</v>
      </c>
      <c r="M2475" s="0">
        <v>8</v>
      </c>
      <c r="N2475" s="0">
        <v>0</v>
      </c>
      <c r="O2475" s="0">
        <v>0</v>
      </c>
      <c r="P2475" s="0">
        <v>-271.8</v>
      </c>
      <c r="R2475" s="0" t="b">
        <v>0</v>
      </c>
      <c r="S2475" s="0" t="b">
        <v>1</v>
      </c>
      <c r="T2475" s="68">
        <v>45406.6245833333</v>
      </c>
      <c r="U2475" s="68">
        <v>45420.3333333333</v>
      </c>
      <c r="V2475" s="68">
        <v>0</v>
      </c>
      <c r="W2475" s="0">
        <f>IF(IF(B2475="none",1,IF(B2475="Trialer",1,0))+IF(C2475="Customer",1,IF(C2475="Lost",1,0))=2,1,0)</f>
      </c>
      <c r="X2475" s="0" t="s">
        <v>136</v>
      </c>
      <c r="Y2475" s="0" t="s">
        <v>243</v>
      </c>
      <c r="AV2475" s="68"/>
      <c r="AW2475" s="68"/>
      <c r="AY2475" s="27"/>
      <c r="BD2475" s="68">
        <v>46054.1666666667</v>
      </c>
      <c r="BE2475" s="68">
        <v>46082.1666666667</v>
      </c>
      <c r="BF2475" s="0" t="b">
        <v>0</v>
      </c>
      <c r="BG2475" s="0" t="b">
        <v>0</v>
      </c>
      <c r="BH2475" s="0">
        <v>302</v>
      </c>
      <c r="BI2475" s="0">
        <v>302</v>
      </c>
      <c r="BJ2475" s="0" t="s">
        <v>230</v>
      </c>
    </row>
    <row r="2476">
      <c r="A2476" s="0" t="s">
        <v>2717</v>
      </c>
      <c r="B2476" s="0" t="s">
        <v>134</v>
      </c>
      <c r="C2476" s="0" t="s">
        <v>190</v>
      </c>
      <c r="D2476" s="0" t="s">
        <v>135</v>
      </c>
      <c r="E2476" s="0" t="s">
        <v>3</v>
      </c>
      <c r="F2476" s="0" t="s">
        <v>12</v>
      </c>
      <c r="G2476" s="0" t="s">
        <v>8</v>
      </c>
      <c r="H2476" s="0">
        <v>647</v>
      </c>
      <c r="I2476" s="0">
        <v>0</v>
      </c>
      <c r="J2476" s="0">
        <v>-62.7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-3056.4</v>
      </c>
      <c r="R2476" s="0" t="b">
        <v>0</v>
      </c>
      <c r="S2476" s="0" t="b">
        <v>0</v>
      </c>
      <c r="T2476" s="68">
        <v>45406.7720949074</v>
      </c>
      <c r="U2476" s="68">
        <v>45457.3333333333</v>
      </c>
      <c r="V2476" s="68">
        <v>46056.45375</v>
      </c>
      <c r="W2476" s="0">
        <f>IF(IF(B2476="none",1,IF(B2476="Trialer",1,0))+IF(C2476="Customer",1,IF(C2476="Lost",1,0))=2,1,0)</f>
      </c>
      <c r="X2476" s="0" t="s">
        <v>136</v>
      </c>
      <c r="Y2476" s="0" t="s">
        <v>243</v>
      </c>
      <c r="AV2476" s="68"/>
      <c r="AW2476" s="68"/>
      <c r="AY2476" s="27"/>
      <c r="BD2476" s="68">
        <v>46054.1666666667</v>
      </c>
      <c r="BE2476" s="68">
        <v>46082.1666666667</v>
      </c>
      <c r="BF2476" s="0" t="b">
        <v>0</v>
      </c>
      <c r="BG2476" s="0" t="b">
        <v>0</v>
      </c>
      <c r="BH2476" s="0">
        <v>283</v>
      </c>
      <c r="BI2476" s="0">
        <v>283</v>
      </c>
      <c r="BJ2476" s="0" t="s">
        <v>135</v>
      </c>
    </row>
    <row r="2477">
      <c r="A2477" s="0" t="s">
        <v>2718</v>
      </c>
      <c r="B2477" s="0" t="s">
        <v>134</v>
      </c>
      <c r="C2477" s="0" t="s">
        <v>134</v>
      </c>
      <c r="D2477" s="0" t="s">
        <v>230</v>
      </c>
      <c r="E2477" s="0" t="s">
        <v>3</v>
      </c>
      <c r="F2477" s="0" t="s">
        <v>12</v>
      </c>
      <c r="G2477" s="0" t="s">
        <v>8</v>
      </c>
      <c r="H2477" s="0">
        <v>646</v>
      </c>
      <c r="I2477" s="0">
        <v>36</v>
      </c>
      <c r="J2477" s="0">
        <v>0</v>
      </c>
      <c r="K2477" s="0">
        <v>1</v>
      </c>
      <c r="L2477" s="0">
        <v>2</v>
      </c>
      <c r="M2477" s="0">
        <v>1</v>
      </c>
      <c r="N2477" s="0">
        <v>0</v>
      </c>
      <c r="O2477" s="0">
        <v>0</v>
      </c>
      <c r="P2477" s="0">
        <v>-36</v>
      </c>
      <c r="R2477" s="0" t="b">
        <v>0</v>
      </c>
      <c r="S2477" s="0" t="b">
        <v>1</v>
      </c>
      <c r="T2477" s="68">
        <v>45407.4294560185</v>
      </c>
      <c r="U2477" s="68">
        <v>45422.3333333333</v>
      </c>
      <c r="V2477" s="68">
        <v>0</v>
      </c>
      <c r="W2477" s="0">
        <f>IF(IF(B2477="none",1,IF(B2477="Trialer",1,0))+IF(C2477="Customer",1,IF(C2477="Lost",1,0))=2,1,0)</f>
      </c>
      <c r="X2477" s="0" t="s">
        <v>142</v>
      </c>
      <c r="Y2477" s="0" t="s">
        <v>243</v>
      </c>
      <c r="AV2477" s="68"/>
      <c r="AW2477" s="68"/>
      <c r="AY2477" s="27"/>
      <c r="BD2477" s="68">
        <v>46054.1666666667</v>
      </c>
      <c r="BE2477" s="68">
        <v>46082.1666666667</v>
      </c>
      <c r="BF2477" s="0" t="b">
        <v>0</v>
      </c>
      <c r="BG2477" s="0" t="b">
        <v>0</v>
      </c>
      <c r="BH2477" s="0">
        <v>40</v>
      </c>
      <c r="BI2477" s="0">
        <v>40</v>
      </c>
      <c r="BJ2477" s="0" t="s">
        <v>230</v>
      </c>
    </row>
    <row r="2478">
      <c r="A2478" s="0" t="s">
        <v>2719</v>
      </c>
      <c r="B2478" s="0" t="s">
        <v>134</v>
      </c>
      <c r="C2478" s="0" t="s">
        <v>134</v>
      </c>
      <c r="D2478" s="0" t="s">
        <v>135</v>
      </c>
      <c r="E2478" s="0" t="s">
        <v>3</v>
      </c>
      <c r="F2478" s="0" t="s">
        <v>10</v>
      </c>
      <c r="G2478" s="0" t="s">
        <v>8</v>
      </c>
      <c r="H2478" s="0">
        <v>646</v>
      </c>
      <c r="I2478" s="0">
        <v>40</v>
      </c>
      <c r="J2478" s="0">
        <v>0</v>
      </c>
      <c r="K2478" s="0">
        <v>1</v>
      </c>
      <c r="L2478" s="0">
        <v>1</v>
      </c>
      <c r="M2478" s="0">
        <v>0</v>
      </c>
      <c r="N2478" s="0">
        <v>0</v>
      </c>
      <c r="O2478" s="0">
        <v>0</v>
      </c>
      <c r="P2478" s="0">
        <v>0</v>
      </c>
      <c r="Q2478" s="0" t="s">
        <v>357</v>
      </c>
      <c r="R2478" s="0" t="b">
        <v>0</v>
      </c>
      <c r="S2478" s="0" t="b">
        <v>1</v>
      </c>
      <c r="T2478" s="68">
        <v>45407.5865162037</v>
      </c>
      <c r="U2478" s="68">
        <v>45407.3333333333</v>
      </c>
      <c r="V2478" s="68">
        <v>0</v>
      </c>
      <c r="W2478" s="0">
        <f>IF(IF(B2478="none",1,IF(B2478="Trialer",1,0))+IF(C2478="Customer",1,IF(C2478="Lost",1,0))=2,1,0)</f>
      </c>
      <c r="X2478" s="0" t="s">
        <v>148</v>
      </c>
      <c r="Y2478" s="0" t="s">
        <v>243</v>
      </c>
      <c r="AV2478" s="68"/>
      <c r="AW2478" s="68"/>
      <c r="AY2478" s="27"/>
      <c r="BD2478" s="68">
        <v>46054.1666666667</v>
      </c>
      <c r="BE2478" s="68">
        <v>46082.1666666667</v>
      </c>
      <c r="BF2478" s="0" t="b">
        <v>0</v>
      </c>
      <c r="BG2478" s="0" t="b">
        <v>0</v>
      </c>
      <c r="BH2478" s="0">
        <v>40</v>
      </c>
      <c r="BI2478" s="0">
        <v>40</v>
      </c>
      <c r="BJ2478" s="0" t="s">
        <v>135</v>
      </c>
    </row>
    <row r="2479">
      <c r="A2479" s="0" t="s">
        <v>2720</v>
      </c>
      <c r="B2479" s="0" t="s">
        <v>134</v>
      </c>
      <c r="C2479" s="0" t="s">
        <v>134</v>
      </c>
      <c r="D2479" s="0" t="s">
        <v>230</v>
      </c>
      <c r="E2479" s="0" t="s">
        <v>2</v>
      </c>
      <c r="F2479" s="0" t="s">
        <v>12</v>
      </c>
      <c r="G2479" s="0" t="s">
        <v>8</v>
      </c>
      <c r="H2479" s="0">
        <v>646</v>
      </c>
      <c r="I2479" s="0">
        <v>44</v>
      </c>
      <c r="J2479" s="0">
        <v>0</v>
      </c>
      <c r="K2479" s="0">
        <v>1</v>
      </c>
      <c r="L2479" s="0">
        <v>3</v>
      </c>
      <c r="M2479" s="0">
        <v>1</v>
      </c>
      <c r="N2479" s="0">
        <v>0</v>
      </c>
      <c r="O2479" s="0">
        <v>0</v>
      </c>
      <c r="P2479" s="0">
        <v>-44</v>
      </c>
      <c r="R2479" s="0" t="b">
        <v>0</v>
      </c>
      <c r="S2479" s="0" t="b">
        <v>1</v>
      </c>
      <c r="T2479" s="68">
        <v>45407.6234259259</v>
      </c>
      <c r="U2479" s="68">
        <v>45435.3333333333</v>
      </c>
      <c r="V2479" s="68">
        <v>0</v>
      </c>
      <c r="W2479" s="0">
        <f>IF(IF(B2479="none",1,IF(B2479="Trialer",1,0))+IF(C2479="Customer",1,IF(C2479="Lost",1,0))=2,1,0)</f>
      </c>
      <c r="X2479" s="0" t="s">
        <v>166</v>
      </c>
      <c r="Y2479" s="0" t="s">
        <v>499</v>
      </c>
      <c r="AV2479" s="68"/>
      <c r="AW2479" s="68"/>
      <c r="AY2479" s="27"/>
      <c r="BD2479" s="68">
        <v>46054.1666666667</v>
      </c>
      <c r="BE2479" s="68">
        <v>46082.1666666667</v>
      </c>
      <c r="BF2479" s="0" t="b">
        <v>0</v>
      </c>
      <c r="BG2479" s="0" t="b">
        <v>0</v>
      </c>
      <c r="BH2479" s="0">
        <v>49</v>
      </c>
      <c r="BI2479" s="0">
        <v>49</v>
      </c>
      <c r="BJ2479" s="0" t="s">
        <v>230</v>
      </c>
    </row>
    <row r="2480">
      <c r="A2480" s="0" t="s">
        <v>2721</v>
      </c>
      <c r="B2480" s="0" t="s">
        <v>134</v>
      </c>
      <c r="C2480" s="0" t="s">
        <v>134</v>
      </c>
      <c r="D2480" s="0" t="s">
        <v>230</v>
      </c>
      <c r="E2480" s="0" t="s">
        <v>3</v>
      </c>
      <c r="F2480" s="0" t="s">
        <v>12</v>
      </c>
      <c r="G2480" s="0" t="s">
        <v>8</v>
      </c>
      <c r="H2480" s="0">
        <v>646</v>
      </c>
      <c r="I2480" s="0">
        <v>274.5</v>
      </c>
      <c r="J2480" s="0">
        <v>0</v>
      </c>
      <c r="K2480" s="0">
        <v>1</v>
      </c>
      <c r="L2480" s="0">
        <v>5</v>
      </c>
      <c r="M2480" s="0">
        <v>5</v>
      </c>
      <c r="N2480" s="0">
        <v>0</v>
      </c>
      <c r="O2480" s="0">
        <v>0</v>
      </c>
      <c r="P2480" s="0">
        <v>-274.5</v>
      </c>
      <c r="R2480" s="0" t="b">
        <v>0</v>
      </c>
      <c r="S2480" s="0" t="b">
        <v>1</v>
      </c>
      <c r="T2480" s="68">
        <v>45407.7030555556</v>
      </c>
      <c r="U2480" s="68">
        <v>45421.3333333333</v>
      </c>
      <c r="V2480" s="68">
        <v>0</v>
      </c>
      <c r="W2480" s="0">
        <f>IF(IF(B2480="none",1,IF(B2480="Trialer",1,0))+IF(C2480="Customer",1,IF(C2480="Lost",1,0))=2,1,0)</f>
      </c>
      <c r="X2480" s="0" t="s">
        <v>882</v>
      </c>
      <c r="Y2480" s="0" t="s">
        <v>243</v>
      </c>
      <c r="AV2480" s="68"/>
      <c r="AW2480" s="68"/>
      <c r="AY2480" s="27"/>
      <c r="BD2480" s="68">
        <v>46054.1666666667</v>
      </c>
      <c r="BE2480" s="68">
        <v>46082.1666666667</v>
      </c>
      <c r="BF2480" s="0" t="b">
        <v>0</v>
      </c>
      <c r="BG2480" s="0" t="b">
        <v>0</v>
      </c>
      <c r="BH2480" s="0">
        <v>305</v>
      </c>
      <c r="BI2480" s="0">
        <v>305</v>
      </c>
      <c r="BJ2480" s="0" t="s">
        <v>230</v>
      </c>
    </row>
    <row r="2481">
      <c r="A2481" s="0" t="s">
        <v>2722</v>
      </c>
      <c r="B2481" s="0" t="s">
        <v>134</v>
      </c>
      <c r="C2481" s="0" t="s">
        <v>134</v>
      </c>
      <c r="D2481" s="0" t="s">
        <v>230</v>
      </c>
      <c r="E2481" s="0" t="s">
        <v>3</v>
      </c>
      <c r="F2481" s="0" t="s">
        <v>12</v>
      </c>
      <c r="G2481" s="0" t="s">
        <v>8</v>
      </c>
      <c r="H2481" s="0">
        <v>645</v>
      </c>
      <c r="I2481" s="0">
        <v>54.9</v>
      </c>
      <c r="J2481" s="0">
        <v>0</v>
      </c>
      <c r="K2481" s="0">
        <v>1</v>
      </c>
      <c r="L2481" s="0">
        <v>4</v>
      </c>
      <c r="M2481" s="0">
        <v>1</v>
      </c>
      <c r="N2481" s="0">
        <v>0</v>
      </c>
      <c r="O2481" s="0">
        <v>0</v>
      </c>
      <c r="P2481" s="0">
        <v>-54.9</v>
      </c>
      <c r="R2481" s="0" t="b">
        <v>0</v>
      </c>
      <c r="S2481" s="0" t="b">
        <v>1</v>
      </c>
      <c r="T2481" s="68">
        <v>45408.3159722222</v>
      </c>
      <c r="U2481" s="68">
        <v>45422.3333333333</v>
      </c>
      <c r="V2481" s="68">
        <v>0</v>
      </c>
      <c r="W2481" s="0">
        <f>IF(IF(B2481="none",1,IF(B2481="Trialer",1,0))+IF(C2481="Customer",1,IF(C2481="Lost",1,0))=2,1,0)</f>
      </c>
      <c r="X2481" s="0" t="s">
        <v>153</v>
      </c>
      <c r="Y2481" s="0" t="s">
        <v>243</v>
      </c>
      <c r="AV2481" s="68"/>
      <c r="AW2481" s="68"/>
      <c r="AY2481" s="27"/>
      <c r="BD2481" s="68">
        <v>46054.1666666667</v>
      </c>
      <c r="BE2481" s="68">
        <v>46082.1666666667</v>
      </c>
      <c r="BF2481" s="0" t="b">
        <v>0</v>
      </c>
      <c r="BG2481" s="0" t="b">
        <v>0</v>
      </c>
      <c r="BH2481" s="0">
        <v>61</v>
      </c>
      <c r="BI2481" s="0">
        <v>61</v>
      </c>
      <c r="BJ2481" s="0" t="s">
        <v>230</v>
      </c>
    </row>
    <row r="2482">
      <c r="A2482" s="0" t="s">
        <v>2723</v>
      </c>
      <c r="B2482" s="0" t="s">
        <v>134</v>
      </c>
      <c r="C2482" s="0" t="s">
        <v>134</v>
      </c>
      <c r="D2482" s="0" t="s">
        <v>135</v>
      </c>
      <c r="E2482" s="0" t="s">
        <v>2</v>
      </c>
      <c r="F2482" s="0" t="s">
        <v>12</v>
      </c>
      <c r="G2482" s="0" t="s">
        <v>8</v>
      </c>
      <c r="H2482" s="0">
        <v>642</v>
      </c>
      <c r="I2482" s="0">
        <v>61</v>
      </c>
      <c r="J2482" s="0">
        <v>0</v>
      </c>
      <c r="K2482" s="0">
        <v>1</v>
      </c>
      <c r="L2482" s="0">
        <v>4</v>
      </c>
      <c r="M2482" s="0">
        <v>1</v>
      </c>
      <c r="N2482" s="0">
        <v>0</v>
      </c>
      <c r="O2482" s="0">
        <v>0</v>
      </c>
      <c r="P2482" s="0">
        <v>0</v>
      </c>
      <c r="R2482" s="0" t="b">
        <v>0</v>
      </c>
      <c r="S2482" s="0" t="b">
        <v>1</v>
      </c>
      <c r="T2482" s="68">
        <v>45411.4619212963</v>
      </c>
      <c r="U2482" s="68">
        <v>45527.3333333333</v>
      </c>
      <c r="V2482" s="68">
        <v>0</v>
      </c>
      <c r="W2482" s="0">
        <f>IF(IF(B2482="none",1,IF(B2482="Trialer",1,0))+IF(C2482="Customer",1,IF(C2482="Lost",1,0))=2,1,0)</f>
      </c>
      <c r="X2482" s="0" t="s">
        <v>153</v>
      </c>
      <c r="Y2482" s="0" t="s">
        <v>499</v>
      </c>
      <c r="AV2482" s="68"/>
      <c r="AW2482" s="68"/>
      <c r="AY2482" s="27"/>
      <c r="BD2482" s="68">
        <v>46054.1666666667</v>
      </c>
      <c r="BE2482" s="68">
        <v>46082.1666666667</v>
      </c>
      <c r="BF2482" s="0" t="b">
        <v>0</v>
      </c>
      <c r="BG2482" s="0" t="b">
        <v>0</v>
      </c>
      <c r="BH2482" s="0">
        <v>61</v>
      </c>
      <c r="BI2482" s="0">
        <v>61</v>
      </c>
      <c r="BJ2482" s="0" t="s">
        <v>135</v>
      </c>
    </row>
    <row r="2483">
      <c r="A2483" s="0" t="s">
        <v>2724</v>
      </c>
      <c r="B2483" s="0" t="s">
        <v>134</v>
      </c>
      <c r="C2483" s="0" t="s">
        <v>134</v>
      </c>
      <c r="D2483" s="0" t="s">
        <v>135</v>
      </c>
      <c r="E2483" s="0" t="s">
        <v>3</v>
      </c>
      <c r="F2483" s="0" t="s">
        <v>12</v>
      </c>
      <c r="G2483" s="0" t="s">
        <v>8</v>
      </c>
      <c r="H2483" s="0">
        <v>642</v>
      </c>
      <c r="I2483" s="0">
        <v>245</v>
      </c>
      <c r="J2483" s="0">
        <v>0</v>
      </c>
      <c r="K2483" s="0">
        <v>1</v>
      </c>
      <c r="L2483" s="0">
        <v>3</v>
      </c>
      <c r="M2483" s="0">
        <v>5</v>
      </c>
      <c r="N2483" s="0">
        <v>0</v>
      </c>
      <c r="O2483" s="0">
        <v>0</v>
      </c>
      <c r="P2483" s="0">
        <v>0</v>
      </c>
      <c r="R2483" s="0" t="b">
        <v>0</v>
      </c>
      <c r="S2483" s="0" t="b">
        <v>1</v>
      </c>
      <c r="T2483" s="68">
        <v>45411.5803935185</v>
      </c>
      <c r="U2483" s="68">
        <v>45425.3333333333</v>
      </c>
      <c r="V2483" s="68">
        <v>0</v>
      </c>
      <c r="W2483" s="0">
        <f>IF(IF(B2483="none",1,IF(B2483="Trialer",1,0))+IF(C2483="Customer",1,IF(C2483="Lost",1,0))=2,1,0)</f>
      </c>
      <c r="X2483" s="0" t="s">
        <v>148</v>
      </c>
      <c r="Y2483" s="0" t="s">
        <v>243</v>
      </c>
      <c r="AV2483" s="68"/>
      <c r="AW2483" s="68"/>
      <c r="AY2483" s="27"/>
      <c r="BD2483" s="68">
        <v>46054.1666666667</v>
      </c>
      <c r="BE2483" s="68">
        <v>46082.1666666667</v>
      </c>
      <c r="BF2483" s="0" t="b">
        <v>0</v>
      </c>
      <c r="BG2483" s="0" t="b">
        <v>0</v>
      </c>
      <c r="BH2483" s="0">
        <v>245</v>
      </c>
      <c r="BI2483" s="0">
        <v>245</v>
      </c>
      <c r="BJ2483" s="0" t="s">
        <v>135</v>
      </c>
    </row>
    <row r="2484">
      <c r="A2484" s="0" t="s">
        <v>2725</v>
      </c>
      <c r="B2484" s="0" t="s">
        <v>134</v>
      </c>
      <c r="C2484" s="0" t="s">
        <v>134</v>
      </c>
      <c r="D2484" s="0" t="s">
        <v>135</v>
      </c>
      <c r="E2484" s="0" t="s">
        <v>3</v>
      </c>
      <c r="F2484" s="0" t="s">
        <v>12</v>
      </c>
      <c r="G2484" s="0" t="s">
        <v>8</v>
      </c>
      <c r="H2484" s="0">
        <v>642</v>
      </c>
      <c r="I2484" s="0">
        <v>150</v>
      </c>
      <c r="J2484" s="0">
        <v>0</v>
      </c>
      <c r="K2484" s="0">
        <v>1</v>
      </c>
      <c r="L2484" s="0">
        <v>4</v>
      </c>
      <c r="M2484" s="0">
        <v>3</v>
      </c>
      <c r="N2484" s="0">
        <v>0</v>
      </c>
      <c r="O2484" s="0">
        <v>0</v>
      </c>
      <c r="P2484" s="0">
        <v>0</v>
      </c>
      <c r="R2484" s="0" t="b">
        <v>0</v>
      </c>
      <c r="S2484" s="0" t="b">
        <v>1</v>
      </c>
      <c r="T2484" s="68">
        <v>45411.6729976852</v>
      </c>
      <c r="U2484" s="68">
        <v>45437.3333333333</v>
      </c>
      <c r="V2484" s="68">
        <v>0</v>
      </c>
      <c r="W2484" s="0">
        <f>IF(IF(B2484="none",1,IF(B2484="Trialer",1,0))+IF(C2484="Customer",1,IF(C2484="Lost",1,0))=2,1,0)</f>
      </c>
      <c r="X2484" s="0" t="s">
        <v>142</v>
      </c>
      <c r="Y2484" s="0" t="s">
        <v>243</v>
      </c>
      <c r="AV2484" s="68"/>
      <c r="AW2484" s="68"/>
      <c r="AY2484" s="27"/>
      <c r="BD2484" s="68">
        <v>46054.1666666667</v>
      </c>
      <c r="BE2484" s="68">
        <v>46082.1666666667</v>
      </c>
      <c r="BF2484" s="0" t="b">
        <v>0</v>
      </c>
      <c r="BG2484" s="0" t="b">
        <v>0</v>
      </c>
      <c r="BH2484" s="0">
        <v>150</v>
      </c>
      <c r="BI2484" s="0">
        <v>150</v>
      </c>
      <c r="BJ2484" s="0" t="s">
        <v>135</v>
      </c>
    </row>
    <row r="2485">
      <c r="A2485" s="0" t="s">
        <v>2726</v>
      </c>
      <c r="B2485" s="0" t="s">
        <v>134</v>
      </c>
      <c r="C2485" s="0" t="s">
        <v>134</v>
      </c>
      <c r="D2485" s="0" t="s">
        <v>135</v>
      </c>
      <c r="E2485" s="0" t="s">
        <v>3</v>
      </c>
      <c r="F2485" s="0" t="s">
        <v>10</v>
      </c>
      <c r="G2485" s="0" t="s">
        <v>8</v>
      </c>
      <c r="H2485" s="0">
        <v>641</v>
      </c>
      <c r="I2485" s="0">
        <v>159</v>
      </c>
      <c r="J2485" s="0">
        <v>0</v>
      </c>
      <c r="K2485" s="0">
        <v>1</v>
      </c>
      <c r="L2485" s="0">
        <v>4</v>
      </c>
      <c r="M2485" s="0">
        <v>3</v>
      </c>
      <c r="N2485" s="0">
        <v>0</v>
      </c>
      <c r="O2485" s="0">
        <v>0</v>
      </c>
      <c r="P2485" s="0">
        <v>0</v>
      </c>
      <c r="Q2485" s="0" t="s">
        <v>1898</v>
      </c>
      <c r="R2485" s="0" t="b">
        <v>0</v>
      </c>
      <c r="S2485" s="0" t="b">
        <v>1</v>
      </c>
      <c r="T2485" s="68">
        <v>45412.4701967593</v>
      </c>
      <c r="U2485" s="68">
        <v>45412.3333333333</v>
      </c>
      <c r="V2485" s="68">
        <v>0</v>
      </c>
      <c r="W2485" s="0">
        <f>IF(IF(B2485="none",1,IF(B2485="Trialer",1,0))+IF(C2485="Customer",1,IF(C2485="Lost",1,0))=2,1,0)</f>
      </c>
      <c r="X2485" s="0" t="s">
        <v>145</v>
      </c>
      <c r="Y2485" s="0" t="s">
        <v>243</v>
      </c>
      <c r="AV2485" s="68"/>
      <c r="AW2485" s="68"/>
      <c r="AY2485" s="27"/>
      <c r="BD2485" s="68">
        <v>46054.1666666667</v>
      </c>
      <c r="BE2485" s="68">
        <v>46082.1666666667</v>
      </c>
      <c r="BF2485" s="0" t="b">
        <v>0</v>
      </c>
      <c r="BG2485" s="0" t="b">
        <v>0</v>
      </c>
      <c r="BH2485" s="0">
        <v>159</v>
      </c>
      <c r="BI2485" s="0">
        <v>159</v>
      </c>
      <c r="BJ2485" s="0" t="s">
        <v>135</v>
      </c>
    </row>
    <row r="2486">
      <c r="A2486" s="0" t="s">
        <v>2727</v>
      </c>
      <c r="B2486" s="0" t="s">
        <v>134</v>
      </c>
      <c r="C2486" s="0" t="s">
        <v>134</v>
      </c>
      <c r="D2486" s="0" t="s">
        <v>135</v>
      </c>
      <c r="E2486" s="0" t="s">
        <v>3</v>
      </c>
      <c r="F2486" s="0" t="s">
        <v>12</v>
      </c>
      <c r="G2486" s="0" t="s">
        <v>8</v>
      </c>
      <c r="H2486" s="0">
        <v>641</v>
      </c>
      <c r="I2486" s="0">
        <v>0</v>
      </c>
      <c r="J2486" s="0">
        <v>0</v>
      </c>
      <c r="K2486" s="0">
        <v>1</v>
      </c>
      <c r="L2486" s="0">
        <v>3</v>
      </c>
      <c r="M2486" s="0">
        <v>1</v>
      </c>
      <c r="N2486" s="0">
        <v>0</v>
      </c>
      <c r="O2486" s="0">
        <v>0</v>
      </c>
      <c r="P2486" s="0">
        <v>0</v>
      </c>
      <c r="R2486" s="0" t="b">
        <v>0</v>
      </c>
      <c r="S2486" s="0" t="b">
        <v>1</v>
      </c>
      <c r="T2486" s="68">
        <v>45412.746099537</v>
      </c>
      <c r="U2486" s="68">
        <v>45426.3333333333</v>
      </c>
      <c r="V2486" s="68">
        <v>0</v>
      </c>
      <c r="W2486" s="0">
        <f>IF(IF(B2486="none",1,IF(B2486="Trialer",1,0))+IF(C2486="Customer",1,IF(C2486="Lost",1,0))=2,1,0)</f>
      </c>
      <c r="X2486" s="0" t="s">
        <v>136</v>
      </c>
      <c r="Y2486" s="0" t="s">
        <v>243</v>
      </c>
      <c r="AV2486" s="68"/>
      <c r="AW2486" s="68"/>
      <c r="AY2486" s="27"/>
      <c r="BD2486" s="68">
        <v>46054.1666666667</v>
      </c>
      <c r="BE2486" s="68">
        <v>46082.1666666667</v>
      </c>
      <c r="BF2486" s="0" t="b">
        <v>0</v>
      </c>
      <c r="BG2486" s="0" t="b">
        <v>0</v>
      </c>
      <c r="BH2486" s="0">
        <v>0</v>
      </c>
      <c r="BI2486" s="0">
        <v>0</v>
      </c>
      <c r="BJ2486" s="0" t="s">
        <v>135</v>
      </c>
    </row>
    <row r="2487">
      <c r="A2487" s="0" t="s">
        <v>2728</v>
      </c>
      <c r="B2487" s="0" t="s">
        <v>134</v>
      </c>
      <c r="C2487" s="0" t="s">
        <v>134</v>
      </c>
      <c r="D2487" s="0" t="s">
        <v>230</v>
      </c>
      <c r="E2487" s="0" t="s">
        <v>3</v>
      </c>
      <c r="F2487" s="0" t="s">
        <v>12</v>
      </c>
      <c r="G2487" s="0" t="s">
        <v>8</v>
      </c>
      <c r="H2487" s="0">
        <v>640</v>
      </c>
      <c r="I2487" s="0">
        <v>25</v>
      </c>
      <c r="J2487" s="0">
        <v>0</v>
      </c>
      <c r="K2487" s="0">
        <v>1</v>
      </c>
      <c r="L2487" s="0">
        <v>1</v>
      </c>
      <c r="M2487" s="0">
        <v>1</v>
      </c>
      <c r="N2487" s="0">
        <v>0</v>
      </c>
      <c r="O2487" s="0">
        <v>0</v>
      </c>
      <c r="P2487" s="0">
        <v>-25</v>
      </c>
      <c r="R2487" s="0" t="b">
        <v>0</v>
      </c>
      <c r="S2487" s="0" t="b">
        <v>1</v>
      </c>
      <c r="T2487" s="68">
        <v>45413.168287037</v>
      </c>
      <c r="U2487" s="68">
        <v>45427.3333333333</v>
      </c>
      <c r="V2487" s="68">
        <v>0</v>
      </c>
      <c r="W2487" s="0">
        <f>IF(IF(B2487="none",1,IF(B2487="Trialer",1,0))+IF(C2487="Customer",1,IF(C2487="Lost",1,0))=2,1,0)</f>
      </c>
      <c r="X2487" s="0" t="s">
        <v>153</v>
      </c>
      <c r="Y2487" s="0" t="s">
        <v>243</v>
      </c>
      <c r="AV2487" s="68"/>
      <c r="AW2487" s="68"/>
      <c r="AY2487" s="27"/>
      <c r="BD2487" s="68">
        <v>46054.1666666667</v>
      </c>
      <c r="BE2487" s="68">
        <v>46082.1666666667</v>
      </c>
      <c r="BF2487" s="0" t="b">
        <v>0</v>
      </c>
      <c r="BG2487" s="0" t="b">
        <v>0</v>
      </c>
      <c r="BH2487" s="0">
        <v>28</v>
      </c>
      <c r="BI2487" s="0">
        <v>28</v>
      </c>
      <c r="BJ2487" s="0" t="s">
        <v>230</v>
      </c>
    </row>
    <row r="2488">
      <c r="A2488" s="0" t="s">
        <v>2729</v>
      </c>
      <c r="B2488" s="0" t="s">
        <v>134</v>
      </c>
      <c r="C2488" s="0" t="s">
        <v>134</v>
      </c>
      <c r="D2488" s="0" t="s">
        <v>135</v>
      </c>
      <c r="E2488" s="0" t="s">
        <v>3</v>
      </c>
      <c r="F2488" s="0" t="s">
        <v>11</v>
      </c>
      <c r="G2488" s="0" t="s">
        <v>8</v>
      </c>
      <c r="H2488" s="0">
        <v>640</v>
      </c>
      <c r="I2488" s="0">
        <v>235.2</v>
      </c>
      <c r="J2488" s="0">
        <v>0</v>
      </c>
      <c r="K2488" s="0">
        <v>1</v>
      </c>
      <c r="L2488" s="0">
        <v>3</v>
      </c>
      <c r="M2488" s="0">
        <v>6</v>
      </c>
      <c r="N2488" s="0">
        <v>0</v>
      </c>
      <c r="O2488" s="0">
        <v>0</v>
      </c>
      <c r="P2488" s="0">
        <v>0</v>
      </c>
      <c r="Q2488" s="0" t="s">
        <v>1743</v>
      </c>
      <c r="R2488" s="0" t="b">
        <v>1</v>
      </c>
      <c r="S2488" s="0" t="b">
        <v>1</v>
      </c>
      <c r="T2488" s="68">
        <v>45413.5042708333</v>
      </c>
      <c r="U2488" s="68">
        <v>45413.3333333333</v>
      </c>
      <c r="V2488" s="68">
        <v>0</v>
      </c>
      <c r="W2488" s="0">
        <f>IF(IF(B2488="none",1,IF(B2488="Trialer",1,0))+IF(C2488="Customer",1,IF(C2488="Lost",1,0))=2,1,0)</f>
      </c>
      <c r="X2488" s="0" t="s">
        <v>145</v>
      </c>
      <c r="Y2488" s="0" t="s">
        <v>243</v>
      </c>
      <c r="AV2488" s="68"/>
      <c r="AW2488" s="68"/>
      <c r="AY2488" s="27"/>
      <c r="BD2488" s="68">
        <v>46054.1666666667</v>
      </c>
      <c r="BE2488" s="68">
        <v>46082.1666666667</v>
      </c>
      <c r="BF2488" s="0" t="b">
        <v>0</v>
      </c>
      <c r="BG2488" s="0" t="b">
        <v>0</v>
      </c>
      <c r="BH2488" s="0">
        <v>274.4</v>
      </c>
      <c r="BI2488" s="0">
        <v>274.4</v>
      </c>
      <c r="BJ2488" s="0" t="s">
        <v>135</v>
      </c>
    </row>
    <row r="2489">
      <c r="A2489" s="0" t="s">
        <v>2730</v>
      </c>
      <c r="B2489" s="0" t="s">
        <v>134</v>
      </c>
      <c r="C2489" s="0" t="s">
        <v>134</v>
      </c>
      <c r="D2489" s="0" t="s">
        <v>135</v>
      </c>
      <c r="E2489" s="0" t="s">
        <v>3</v>
      </c>
      <c r="F2489" s="0" t="s">
        <v>11</v>
      </c>
      <c r="G2489" s="0" t="s">
        <v>8</v>
      </c>
      <c r="H2489" s="0">
        <v>640</v>
      </c>
      <c r="I2489" s="0">
        <v>117.6</v>
      </c>
      <c r="J2489" s="0">
        <v>0</v>
      </c>
      <c r="K2489" s="0">
        <v>1</v>
      </c>
      <c r="L2489" s="0">
        <v>3</v>
      </c>
      <c r="M2489" s="0">
        <v>3</v>
      </c>
      <c r="N2489" s="0">
        <v>0</v>
      </c>
      <c r="O2489" s="0">
        <v>0</v>
      </c>
      <c r="P2489" s="0">
        <v>0</v>
      </c>
      <c r="Q2489" s="0" t="s">
        <v>1743</v>
      </c>
      <c r="R2489" s="0" t="b">
        <v>1</v>
      </c>
      <c r="S2489" s="0" t="b">
        <v>1</v>
      </c>
      <c r="T2489" s="68">
        <v>45413.5265393518</v>
      </c>
      <c r="U2489" s="68">
        <v>45413.3333333333</v>
      </c>
      <c r="V2489" s="68">
        <v>0</v>
      </c>
      <c r="W2489" s="0">
        <f>IF(IF(B2489="none",1,IF(B2489="Trialer",1,0))+IF(C2489="Customer",1,IF(C2489="Lost",1,0))=2,1,0)</f>
      </c>
      <c r="X2489" s="0" t="s">
        <v>145</v>
      </c>
      <c r="Y2489" s="0" t="s">
        <v>243</v>
      </c>
      <c r="AV2489" s="68"/>
      <c r="AW2489" s="68"/>
      <c r="AY2489" s="27"/>
      <c r="BD2489" s="68">
        <v>46054.1666666667</v>
      </c>
      <c r="BE2489" s="68">
        <v>46082.1666666667</v>
      </c>
      <c r="BF2489" s="0" t="b">
        <v>0</v>
      </c>
      <c r="BG2489" s="0" t="b">
        <v>0</v>
      </c>
      <c r="BH2489" s="0">
        <v>117.6</v>
      </c>
      <c r="BI2489" s="0">
        <v>117.6</v>
      </c>
      <c r="BJ2489" s="0" t="s">
        <v>135</v>
      </c>
    </row>
    <row r="2490">
      <c r="A2490" s="0" t="s">
        <v>2731</v>
      </c>
      <c r="B2490" s="0" t="s">
        <v>134</v>
      </c>
      <c r="C2490" s="0" t="s">
        <v>134</v>
      </c>
      <c r="D2490" s="0" t="s">
        <v>230</v>
      </c>
      <c r="E2490" s="0" t="s">
        <v>3</v>
      </c>
      <c r="F2490" s="0" t="s">
        <v>12</v>
      </c>
      <c r="G2490" s="0" t="s">
        <v>8</v>
      </c>
      <c r="H2490" s="0">
        <v>640</v>
      </c>
      <c r="I2490" s="0">
        <v>25</v>
      </c>
      <c r="J2490" s="0">
        <v>0</v>
      </c>
      <c r="K2490" s="0">
        <v>1</v>
      </c>
      <c r="L2490" s="0">
        <v>1</v>
      </c>
      <c r="M2490" s="0">
        <v>1</v>
      </c>
      <c r="N2490" s="0">
        <v>0</v>
      </c>
      <c r="O2490" s="0">
        <v>0</v>
      </c>
      <c r="P2490" s="0">
        <v>-25</v>
      </c>
      <c r="R2490" s="0" t="b">
        <v>0</v>
      </c>
      <c r="S2490" s="0" t="b">
        <v>1</v>
      </c>
      <c r="T2490" s="68">
        <v>45413.5719212963</v>
      </c>
      <c r="U2490" s="68">
        <v>45428.3333333333</v>
      </c>
      <c r="V2490" s="68">
        <v>0</v>
      </c>
      <c r="W2490" s="0">
        <f>IF(IF(B2490="none",1,IF(B2490="Trialer",1,0))+IF(C2490="Customer",1,IF(C2490="Lost",1,0))=2,1,0)</f>
      </c>
      <c r="X2490" s="0" t="s">
        <v>153</v>
      </c>
      <c r="Y2490" s="0" t="s">
        <v>243</v>
      </c>
      <c r="AV2490" s="68"/>
      <c r="AW2490" s="68"/>
      <c r="AY2490" s="27"/>
      <c r="BD2490" s="68">
        <v>46054.1666666667</v>
      </c>
      <c r="BE2490" s="68">
        <v>46082.1666666667</v>
      </c>
      <c r="BF2490" s="0" t="b">
        <v>0</v>
      </c>
      <c r="BG2490" s="0" t="b">
        <v>0</v>
      </c>
      <c r="BH2490" s="0">
        <v>28</v>
      </c>
      <c r="BI2490" s="0">
        <v>28</v>
      </c>
      <c r="BJ2490" s="0" t="s">
        <v>230</v>
      </c>
    </row>
    <row r="2491">
      <c r="A2491" s="0" t="s">
        <v>2732</v>
      </c>
      <c r="B2491" s="0" t="s">
        <v>134</v>
      </c>
      <c r="C2491" s="0" t="s">
        <v>134</v>
      </c>
      <c r="D2491" s="0" t="s">
        <v>135</v>
      </c>
      <c r="E2491" s="0" t="s">
        <v>3</v>
      </c>
      <c r="F2491" s="0" t="s">
        <v>12</v>
      </c>
      <c r="G2491" s="0" t="s">
        <v>8</v>
      </c>
      <c r="H2491" s="0">
        <v>639</v>
      </c>
      <c r="I2491" s="0">
        <v>0</v>
      </c>
      <c r="J2491" s="0">
        <v>0</v>
      </c>
      <c r="K2491" s="0">
        <v>1</v>
      </c>
      <c r="L2491" s="0">
        <v>1</v>
      </c>
      <c r="M2491" s="0">
        <v>1</v>
      </c>
      <c r="N2491" s="0">
        <v>0</v>
      </c>
      <c r="O2491" s="0">
        <v>0</v>
      </c>
      <c r="P2491" s="0">
        <v>0</v>
      </c>
      <c r="R2491" s="0" t="b">
        <v>0</v>
      </c>
      <c r="S2491" s="0" t="b">
        <v>1</v>
      </c>
      <c r="T2491" s="68">
        <v>45414.4691203704</v>
      </c>
      <c r="U2491" s="68">
        <v>45434.3333333333</v>
      </c>
      <c r="V2491" s="68">
        <v>0</v>
      </c>
      <c r="W2491" s="0">
        <f>IF(IF(B2491="none",1,IF(B2491="Trialer",1,0))+IF(C2491="Customer",1,IF(C2491="Lost",1,0))=2,1,0)</f>
      </c>
      <c r="X2491" s="0" t="s">
        <v>145</v>
      </c>
      <c r="Y2491" s="0" t="s">
        <v>243</v>
      </c>
      <c r="AV2491" s="68"/>
      <c r="AW2491" s="68"/>
      <c r="AY2491" s="27"/>
      <c r="BD2491" s="68">
        <v>46054.1666666667</v>
      </c>
      <c r="BE2491" s="68">
        <v>46082.1666666667</v>
      </c>
      <c r="BF2491" s="0" t="b">
        <v>0</v>
      </c>
      <c r="BG2491" s="0" t="b">
        <v>0</v>
      </c>
      <c r="BH2491" s="0">
        <v>0</v>
      </c>
      <c r="BI2491" s="0">
        <v>0</v>
      </c>
      <c r="BJ2491" s="0" t="s">
        <v>135</v>
      </c>
    </row>
    <row r="2492">
      <c r="A2492" s="0" t="s">
        <v>2733</v>
      </c>
      <c r="B2492" s="0" t="s">
        <v>134</v>
      </c>
      <c r="C2492" s="0" t="s">
        <v>134</v>
      </c>
      <c r="D2492" s="0" t="s">
        <v>135</v>
      </c>
      <c r="E2492" s="0" t="s">
        <v>3</v>
      </c>
      <c r="F2492" s="0" t="s">
        <v>12</v>
      </c>
      <c r="G2492" s="0" t="s">
        <v>8</v>
      </c>
      <c r="H2492" s="0">
        <v>639</v>
      </c>
      <c r="I2492" s="0">
        <v>52</v>
      </c>
      <c r="J2492" s="0">
        <v>0</v>
      </c>
      <c r="K2492" s="0">
        <v>1</v>
      </c>
      <c r="L2492" s="0">
        <v>3</v>
      </c>
      <c r="M2492" s="0">
        <v>1</v>
      </c>
      <c r="N2492" s="0">
        <v>0</v>
      </c>
      <c r="O2492" s="0">
        <v>0</v>
      </c>
      <c r="P2492" s="0">
        <v>0</v>
      </c>
      <c r="R2492" s="0" t="b">
        <v>0</v>
      </c>
      <c r="S2492" s="0" t="b">
        <v>1</v>
      </c>
      <c r="T2492" s="68">
        <v>45414.4969212963</v>
      </c>
      <c r="U2492" s="68">
        <v>45428.3333333333</v>
      </c>
      <c r="V2492" s="68">
        <v>0</v>
      </c>
      <c r="W2492" s="0">
        <f>IF(IF(B2492="none",1,IF(B2492="Trialer",1,0))+IF(C2492="Customer",1,IF(C2492="Lost",1,0))=2,1,0)</f>
      </c>
      <c r="X2492" s="0" t="s">
        <v>142</v>
      </c>
      <c r="Y2492" s="0" t="s">
        <v>243</v>
      </c>
      <c r="AV2492" s="68"/>
      <c r="AW2492" s="68"/>
      <c r="AY2492" s="27"/>
      <c r="BD2492" s="68">
        <v>46054.1666666667</v>
      </c>
      <c r="BE2492" s="68">
        <v>46082.1666666667</v>
      </c>
      <c r="BF2492" s="0" t="b">
        <v>0</v>
      </c>
      <c r="BG2492" s="0" t="b">
        <v>0</v>
      </c>
      <c r="BH2492" s="0">
        <v>52</v>
      </c>
      <c r="BI2492" s="0">
        <v>52</v>
      </c>
      <c r="BJ2492" s="0" t="s">
        <v>135</v>
      </c>
    </row>
    <row r="2493">
      <c r="A2493" s="0" t="s">
        <v>2734</v>
      </c>
      <c r="B2493" s="0" t="s">
        <v>134</v>
      </c>
      <c r="C2493" s="0" t="s">
        <v>134</v>
      </c>
      <c r="D2493" s="0" t="s">
        <v>230</v>
      </c>
      <c r="E2493" s="0" t="s">
        <v>3</v>
      </c>
      <c r="F2493" s="0" t="s">
        <v>12</v>
      </c>
      <c r="G2493" s="0" t="s">
        <v>8</v>
      </c>
      <c r="H2493" s="0">
        <v>638</v>
      </c>
      <c r="I2493" s="0">
        <v>36</v>
      </c>
      <c r="J2493" s="0">
        <v>0</v>
      </c>
      <c r="K2493" s="0">
        <v>1</v>
      </c>
      <c r="L2493" s="0">
        <v>2</v>
      </c>
      <c r="M2493" s="0">
        <v>1</v>
      </c>
      <c r="N2493" s="0">
        <v>0</v>
      </c>
      <c r="O2493" s="0">
        <v>0</v>
      </c>
      <c r="P2493" s="0">
        <v>-36</v>
      </c>
      <c r="R2493" s="0" t="b">
        <v>0</v>
      </c>
      <c r="S2493" s="0" t="b">
        <v>1</v>
      </c>
      <c r="T2493" s="68">
        <v>45415.4213541667</v>
      </c>
      <c r="U2493" s="68">
        <v>45429.3333333333</v>
      </c>
      <c r="V2493" s="68">
        <v>0</v>
      </c>
      <c r="W2493" s="0">
        <f>IF(IF(B2493="none",1,IF(B2493="Trialer",1,0))+IF(C2493="Customer",1,IF(C2493="Lost",1,0))=2,1,0)</f>
      </c>
      <c r="X2493" s="0" t="s">
        <v>153</v>
      </c>
      <c r="Y2493" s="0" t="s">
        <v>243</v>
      </c>
      <c r="AV2493" s="68"/>
      <c r="AW2493" s="68"/>
      <c r="AY2493" s="27"/>
      <c r="BD2493" s="68">
        <v>46054.1666666667</v>
      </c>
      <c r="BE2493" s="68">
        <v>46082.1666666667</v>
      </c>
      <c r="BF2493" s="0" t="b">
        <v>0</v>
      </c>
      <c r="BG2493" s="0" t="b">
        <v>0</v>
      </c>
      <c r="BH2493" s="0">
        <v>40</v>
      </c>
      <c r="BI2493" s="0">
        <v>40</v>
      </c>
      <c r="BJ2493" s="0" t="s">
        <v>230</v>
      </c>
    </row>
    <row r="2494">
      <c r="A2494" s="0" t="s">
        <v>2735</v>
      </c>
      <c r="B2494" s="0" t="s">
        <v>134</v>
      </c>
      <c r="C2494" s="0" t="s">
        <v>134</v>
      </c>
      <c r="D2494" s="0" t="s">
        <v>135</v>
      </c>
      <c r="E2494" s="0" t="s">
        <v>3</v>
      </c>
      <c r="F2494" s="0" t="s">
        <v>10</v>
      </c>
      <c r="G2494" s="0" t="s">
        <v>8</v>
      </c>
      <c r="H2494" s="0">
        <v>638</v>
      </c>
      <c r="I2494" s="0">
        <v>187</v>
      </c>
      <c r="J2494" s="0">
        <v>0</v>
      </c>
      <c r="K2494" s="0">
        <v>1</v>
      </c>
      <c r="L2494" s="0">
        <v>4</v>
      </c>
      <c r="M2494" s="0">
        <v>4</v>
      </c>
      <c r="N2494" s="0">
        <v>0</v>
      </c>
      <c r="O2494" s="0">
        <v>0</v>
      </c>
      <c r="P2494" s="0">
        <v>0</v>
      </c>
      <c r="Q2494" s="0" t="s">
        <v>2736</v>
      </c>
      <c r="R2494" s="0" t="b">
        <v>0</v>
      </c>
      <c r="S2494" s="0" t="b">
        <v>1</v>
      </c>
      <c r="T2494" s="68">
        <v>45415.5709259259</v>
      </c>
      <c r="U2494" s="68">
        <v>45418.3333333333</v>
      </c>
      <c r="V2494" s="68">
        <v>0</v>
      </c>
      <c r="W2494" s="0">
        <f>IF(IF(B2494="none",1,IF(B2494="Trialer",1,0))+IF(C2494="Customer",1,IF(C2494="Lost",1,0))=2,1,0)</f>
      </c>
      <c r="X2494" s="0" t="s">
        <v>145</v>
      </c>
      <c r="Y2494" s="0" t="s">
        <v>243</v>
      </c>
      <c r="AV2494" s="68"/>
      <c r="AW2494" s="68"/>
      <c r="AY2494" s="27"/>
      <c r="BD2494" s="68">
        <v>46054.1666666667</v>
      </c>
      <c r="BE2494" s="68">
        <v>46082.1666666667</v>
      </c>
      <c r="BF2494" s="0" t="b">
        <v>0</v>
      </c>
      <c r="BG2494" s="0" t="b">
        <v>0</v>
      </c>
      <c r="BH2494" s="0">
        <v>187</v>
      </c>
      <c r="BI2494" s="0">
        <v>187</v>
      </c>
      <c r="BJ2494" s="0" t="s">
        <v>135</v>
      </c>
    </row>
    <row r="2495">
      <c r="A2495" s="0" t="s">
        <v>2737</v>
      </c>
      <c r="B2495" s="0" t="s">
        <v>134</v>
      </c>
      <c r="C2495" s="0" t="s">
        <v>134</v>
      </c>
      <c r="D2495" s="0" t="s">
        <v>135</v>
      </c>
      <c r="E2495" s="0" t="s">
        <v>2</v>
      </c>
      <c r="F2495" s="0" t="s">
        <v>12</v>
      </c>
      <c r="G2495" s="0" t="s">
        <v>8</v>
      </c>
      <c r="H2495" s="0">
        <v>638</v>
      </c>
      <c r="I2495" s="0">
        <v>40</v>
      </c>
      <c r="J2495" s="0">
        <v>0</v>
      </c>
      <c r="K2495" s="0">
        <v>1</v>
      </c>
      <c r="L2495" s="0">
        <v>1</v>
      </c>
      <c r="M2495" s="0">
        <v>0</v>
      </c>
      <c r="N2495" s="0">
        <v>0</v>
      </c>
      <c r="O2495" s="0">
        <v>0</v>
      </c>
      <c r="P2495" s="0">
        <v>0</v>
      </c>
      <c r="R2495" s="0" t="b">
        <v>0</v>
      </c>
      <c r="S2495" s="0" t="b">
        <v>1</v>
      </c>
      <c r="T2495" s="68">
        <v>45415.6491319444</v>
      </c>
      <c r="U2495" s="68">
        <v>45415.3333333333</v>
      </c>
      <c r="V2495" s="68">
        <v>0</v>
      </c>
      <c r="W2495" s="0">
        <f>IF(IF(B2495="none",1,IF(B2495="Trialer",1,0))+IF(C2495="Customer",1,IF(C2495="Lost",1,0))=2,1,0)</f>
      </c>
      <c r="X2495" s="0" t="s">
        <v>145</v>
      </c>
      <c r="Y2495" s="0" t="s">
        <v>137</v>
      </c>
      <c r="AV2495" s="68"/>
      <c r="AW2495" s="68"/>
      <c r="AY2495" s="27"/>
      <c r="BD2495" s="68">
        <v>46054.1666666667</v>
      </c>
      <c r="BE2495" s="68">
        <v>46082.1666666667</v>
      </c>
      <c r="BF2495" s="0" t="b">
        <v>0</v>
      </c>
      <c r="BG2495" s="0" t="b">
        <v>0</v>
      </c>
      <c r="BH2495" s="0">
        <v>40</v>
      </c>
      <c r="BI2495" s="0">
        <v>40</v>
      </c>
      <c r="BJ2495" s="0" t="s">
        <v>135</v>
      </c>
    </row>
    <row r="2496">
      <c r="A2496" s="0" t="s">
        <v>2738</v>
      </c>
      <c r="B2496" s="0" t="s">
        <v>134</v>
      </c>
      <c r="C2496" s="0" t="s">
        <v>134</v>
      </c>
      <c r="D2496" s="0" t="s">
        <v>135</v>
      </c>
      <c r="E2496" s="0" t="s">
        <v>3</v>
      </c>
      <c r="F2496" s="0" t="s">
        <v>12</v>
      </c>
      <c r="G2496" s="0" t="s">
        <v>8</v>
      </c>
      <c r="H2496" s="0">
        <v>638</v>
      </c>
      <c r="I2496" s="0">
        <v>80</v>
      </c>
      <c r="J2496" s="0">
        <v>0</v>
      </c>
      <c r="K2496" s="0">
        <v>1</v>
      </c>
      <c r="L2496" s="0">
        <v>3</v>
      </c>
      <c r="M2496" s="0">
        <v>2</v>
      </c>
      <c r="N2496" s="0">
        <v>0</v>
      </c>
      <c r="O2496" s="0">
        <v>0</v>
      </c>
      <c r="P2496" s="0">
        <v>0</v>
      </c>
      <c r="R2496" s="0" t="b">
        <v>0</v>
      </c>
      <c r="S2496" s="0" t="b">
        <v>1</v>
      </c>
      <c r="T2496" s="68">
        <v>45415.7193402778</v>
      </c>
      <c r="U2496" s="68">
        <v>45454.3333333333</v>
      </c>
      <c r="V2496" s="68">
        <v>0</v>
      </c>
      <c r="W2496" s="0">
        <f>IF(IF(B2496="none",1,IF(B2496="Trialer",1,0))+IF(C2496="Customer",1,IF(C2496="Lost",1,0))=2,1,0)</f>
      </c>
      <c r="X2496" s="0" t="s">
        <v>153</v>
      </c>
      <c r="Y2496" s="0" t="s">
        <v>243</v>
      </c>
      <c r="AV2496" s="68"/>
      <c r="AW2496" s="68"/>
      <c r="AY2496" s="27"/>
      <c r="BD2496" s="68">
        <v>46054.1666666667</v>
      </c>
      <c r="BE2496" s="68">
        <v>46082.1666666667</v>
      </c>
      <c r="BF2496" s="0" t="b">
        <v>0</v>
      </c>
      <c r="BG2496" s="0" t="b">
        <v>0</v>
      </c>
      <c r="BH2496" s="0">
        <v>80</v>
      </c>
      <c r="BI2496" s="0">
        <v>80</v>
      </c>
      <c r="BJ2496" s="0" t="s">
        <v>135</v>
      </c>
    </row>
    <row r="2497">
      <c r="A2497" s="0" t="s">
        <v>2739</v>
      </c>
      <c r="B2497" s="0" t="s">
        <v>134</v>
      </c>
      <c r="C2497" s="0" t="s">
        <v>134</v>
      </c>
      <c r="D2497" s="0" t="s">
        <v>135</v>
      </c>
      <c r="E2497" s="0" t="s">
        <v>3</v>
      </c>
      <c r="F2497" s="0" t="s">
        <v>12</v>
      </c>
      <c r="G2497" s="0" t="s">
        <v>8</v>
      </c>
      <c r="H2497" s="0">
        <v>636</v>
      </c>
      <c r="I2497" s="0">
        <v>40</v>
      </c>
      <c r="J2497" s="0">
        <v>0</v>
      </c>
      <c r="K2497" s="0">
        <v>1</v>
      </c>
      <c r="L2497" s="0">
        <v>2</v>
      </c>
      <c r="M2497" s="0">
        <v>1</v>
      </c>
      <c r="N2497" s="0">
        <v>0</v>
      </c>
      <c r="O2497" s="0">
        <v>0</v>
      </c>
      <c r="P2497" s="0">
        <v>0</v>
      </c>
      <c r="R2497" s="0" t="b">
        <v>0</v>
      </c>
      <c r="S2497" s="0" t="b">
        <v>1</v>
      </c>
      <c r="T2497" s="68">
        <v>45417.8151388889</v>
      </c>
      <c r="U2497" s="68">
        <v>45432.3333333333</v>
      </c>
      <c r="V2497" s="68">
        <v>0</v>
      </c>
      <c r="W2497" s="0">
        <f>IF(IF(B2497="none",1,IF(B2497="Trialer",1,0))+IF(C2497="Customer",1,IF(C2497="Lost",1,0))=2,1,0)</f>
      </c>
      <c r="X2497" s="0" t="s">
        <v>145</v>
      </c>
      <c r="Y2497" s="0" t="s">
        <v>243</v>
      </c>
      <c r="AV2497" s="68"/>
      <c r="AW2497" s="68"/>
      <c r="AY2497" s="27"/>
      <c r="BD2497" s="68">
        <v>46054.1666666667</v>
      </c>
      <c r="BE2497" s="68">
        <v>46082.1666666667</v>
      </c>
      <c r="BF2497" s="0" t="b">
        <v>0</v>
      </c>
      <c r="BG2497" s="0" t="b">
        <v>0</v>
      </c>
      <c r="BH2497" s="0">
        <v>40</v>
      </c>
      <c r="BI2497" s="0">
        <v>40</v>
      </c>
      <c r="BJ2497" s="0" t="s">
        <v>135</v>
      </c>
    </row>
    <row r="2498">
      <c r="A2498" s="0" t="s">
        <v>2740</v>
      </c>
      <c r="B2498" s="0" t="s">
        <v>134</v>
      </c>
      <c r="C2498" s="0" t="s">
        <v>134</v>
      </c>
      <c r="D2498" s="0" t="s">
        <v>230</v>
      </c>
      <c r="E2498" s="0" t="s">
        <v>3</v>
      </c>
      <c r="F2498" s="0" t="s">
        <v>12</v>
      </c>
      <c r="G2498" s="0" t="s">
        <v>8</v>
      </c>
      <c r="H2498" s="0">
        <v>635</v>
      </c>
      <c r="I2498" s="0">
        <v>108</v>
      </c>
      <c r="J2498" s="0">
        <v>0</v>
      </c>
      <c r="K2498" s="0">
        <v>1</v>
      </c>
      <c r="L2498" s="0">
        <v>2</v>
      </c>
      <c r="M2498" s="0">
        <v>3</v>
      </c>
      <c r="N2498" s="0">
        <v>0</v>
      </c>
      <c r="O2498" s="0">
        <v>0</v>
      </c>
      <c r="P2498" s="0">
        <v>-108</v>
      </c>
      <c r="R2498" s="0" t="b">
        <v>0</v>
      </c>
      <c r="S2498" s="0" t="b">
        <v>1</v>
      </c>
      <c r="T2498" s="68">
        <v>45418.3334606482</v>
      </c>
      <c r="U2498" s="68">
        <v>45432.3333333333</v>
      </c>
      <c r="V2498" s="68">
        <v>0</v>
      </c>
      <c r="W2498" s="0">
        <f>IF(IF(B2498="none",1,IF(B2498="Trialer",1,0))+IF(C2498="Customer",1,IF(C2498="Lost",1,0))=2,1,0)</f>
      </c>
      <c r="X2498" s="0" t="s">
        <v>153</v>
      </c>
      <c r="Y2498" s="0" t="s">
        <v>243</v>
      </c>
      <c r="AV2498" s="68"/>
      <c r="AW2498" s="68"/>
      <c r="AY2498" s="27"/>
      <c r="BD2498" s="68">
        <v>46054.1666666667</v>
      </c>
      <c r="BE2498" s="68">
        <v>46082.1666666667</v>
      </c>
      <c r="BF2498" s="0" t="b">
        <v>0</v>
      </c>
      <c r="BG2498" s="0" t="b">
        <v>0</v>
      </c>
      <c r="BH2498" s="0">
        <v>120</v>
      </c>
      <c r="BI2498" s="0">
        <v>120</v>
      </c>
      <c r="BJ2498" s="0" t="s">
        <v>230</v>
      </c>
    </row>
    <row r="2499">
      <c r="A2499" s="0" t="s">
        <v>2741</v>
      </c>
      <c r="B2499" s="0" t="s">
        <v>134</v>
      </c>
      <c r="C2499" s="0" t="s">
        <v>134</v>
      </c>
      <c r="D2499" s="0" t="s">
        <v>230</v>
      </c>
      <c r="E2499" s="0" t="s">
        <v>3</v>
      </c>
      <c r="F2499" s="0" t="s">
        <v>12</v>
      </c>
      <c r="G2499" s="0" t="s">
        <v>8</v>
      </c>
      <c r="H2499" s="0">
        <v>635</v>
      </c>
      <c r="I2499" s="0">
        <v>286.2</v>
      </c>
      <c r="J2499" s="0">
        <v>0</v>
      </c>
      <c r="K2499" s="0">
        <v>1</v>
      </c>
      <c r="L2499" s="0">
        <v>4</v>
      </c>
      <c r="M2499" s="0">
        <v>6</v>
      </c>
      <c r="N2499" s="0">
        <v>155</v>
      </c>
      <c r="O2499" s="0">
        <v>0</v>
      </c>
      <c r="P2499" s="0">
        <v>-286.2</v>
      </c>
      <c r="R2499" s="0" t="b">
        <v>0</v>
      </c>
      <c r="S2499" s="0" t="b">
        <v>1</v>
      </c>
      <c r="T2499" s="68">
        <v>45418.5670138889</v>
      </c>
      <c r="U2499" s="68">
        <v>45433.3333333333</v>
      </c>
      <c r="V2499" s="68">
        <v>0</v>
      </c>
      <c r="W2499" s="0">
        <f>IF(IF(B2499="none",1,IF(B2499="Trialer",1,0))+IF(C2499="Customer",1,IF(C2499="Lost",1,0))=2,1,0)</f>
      </c>
      <c r="X2499" s="0" t="s">
        <v>136</v>
      </c>
      <c r="Y2499" s="0" t="s">
        <v>243</v>
      </c>
      <c r="AV2499" s="68"/>
      <c r="AW2499" s="68"/>
      <c r="AY2499" s="27"/>
      <c r="BD2499" s="68">
        <v>46054.1666666667</v>
      </c>
      <c r="BE2499" s="68">
        <v>46082.1666666667</v>
      </c>
      <c r="BF2499" s="0" t="b">
        <v>0</v>
      </c>
      <c r="BG2499" s="0" t="b">
        <v>0</v>
      </c>
      <c r="BH2499" s="0">
        <v>318</v>
      </c>
      <c r="BI2499" s="0">
        <v>318</v>
      </c>
      <c r="BJ2499" s="0" t="s">
        <v>230</v>
      </c>
    </row>
    <row r="2500">
      <c r="A2500" s="0" t="s">
        <v>2742</v>
      </c>
      <c r="B2500" s="0" t="s">
        <v>134</v>
      </c>
      <c r="C2500" s="0" t="s">
        <v>134</v>
      </c>
      <c r="D2500" s="0" t="s">
        <v>135</v>
      </c>
      <c r="E2500" s="0" t="s">
        <v>3</v>
      </c>
      <c r="F2500" s="0" t="s">
        <v>10</v>
      </c>
      <c r="G2500" s="0" t="s">
        <v>8</v>
      </c>
      <c r="H2500" s="0">
        <v>635</v>
      </c>
      <c r="I2500" s="0">
        <v>545</v>
      </c>
      <c r="J2500" s="0">
        <v>0</v>
      </c>
      <c r="K2500" s="0">
        <v>1</v>
      </c>
      <c r="L2500" s="0">
        <v>2</v>
      </c>
      <c r="M2500" s="0">
        <v>7</v>
      </c>
      <c r="N2500" s="0">
        <v>418.5</v>
      </c>
      <c r="O2500" s="0">
        <v>0</v>
      </c>
      <c r="P2500" s="0">
        <v>0</v>
      </c>
      <c r="Q2500" s="0" t="s">
        <v>2743</v>
      </c>
      <c r="R2500" s="0" t="b">
        <v>0</v>
      </c>
      <c r="S2500" s="0" t="b">
        <v>1</v>
      </c>
      <c r="T2500" s="68">
        <v>45418.7145949074</v>
      </c>
      <c r="U2500" s="68">
        <v>45442.3333333333</v>
      </c>
      <c r="V2500" s="68">
        <v>0</v>
      </c>
      <c r="W2500" s="0">
        <f>IF(IF(B2500="none",1,IF(B2500="Trialer",1,0))+IF(C2500="Customer",1,IF(C2500="Lost",1,0))=2,1,0)</f>
      </c>
      <c r="X2500" s="0" t="s">
        <v>145</v>
      </c>
      <c r="Y2500" s="0" t="s">
        <v>243</v>
      </c>
      <c r="AV2500" s="68"/>
      <c r="AW2500" s="68"/>
      <c r="AY2500" s="27"/>
      <c r="BD2500" s="68">
        <v>46054.1666666667</v>
      </c>
      <c r="BE2500" s="68">
        <v>46082.1666666667</v>
      </c>
      <c r="BF2500" s="0" t="b">
        <v>0</v>
      </c>
      <c r="BG2500" s="0" t="b">
        <v>0</v>
      </c>
      <c r="BH2500" s="0">
        <v>260</v>
      </c>
      <c r="BI2500" s="0">
        <v>260</v>
      </c>
      <c r="BJ2500" s="0" t="s">
        <v>135</v>
      </c>
    </row>
    <row r="2501">
      <c r="A2501" s="0" t="s">
        <v>2744</v>
      </c>
      <c r="B2501" s="0" t="s">
        <v>134</v>
      </c>
      <c r="C2501" s="0" t="s">
        <v>134</v>
      </c>
      <c r="D2501" s="0" t="s">
        <v>135</v>
      </c>
      <c r="E2501" s="0" t="s">
        <v>3</v>
      </c>
      <c r="F2501" s="0" t="s">
        <v>12</v>
      </c>
      <c r="G2501" s="0" t="s">
        <v>8</v>
      </c>
      <c r="H2501" s="0">
        <v>635</v>
      </c>
      <c r="I2501" s="0">
        <v>77</v>
      </c>
      <c r="J2501" s="0">
        <v>0</v>
      </c>
      <c r="K2501" s="0">
        <v>1</v>
      </c>
      <c r="L2501" s="0">
        <v>3</v>
      </c>
      <c r="M2501" s="0">
        <v>2</v>
      </c>
      <c r="N2501" s="0">
        <v>0</v>
      </c>
      <c r="O2501" s="0">
        <v>0</v>
      </c>
      <c r="P2501" s="0">
        <v>0</v>
      </c>
      <c r="R2501" s="0" t="b">
        <v>0</v>
      </c>
      <c r="S2501" s="0" t="b">
        <v>1</v>
      </c>
      <c r="T2501" s="68">
        <v>45418.7873842593</v>
      </c>
      <c r="U2501" s="68">
        <v>45433.3333333333</v>
      </c>
      <c r="V2501" s="68">
        <v>0</v>
      </c>
      <c r="W2501" s="0">
        <f>IF(IF(B2501="none",1,IF(B2501="Trialer",1,0))+IF(C2501="Customer",1,IF(C2501="Lost",1,0))=2,1,0)</f>
      </c>
      <c r="X2501" s="0" t="s">
        <v>142</v>
      </c>
      <c r="Y2501" s="0" t="s">
        <v>243</v>
      </c>
      <c r="AV2501" s="68"/>
      <c r="AW2501" s="68"/>
      <c r="AY2501" s="27"/>
      <c r="BD2501" s="68">
        <v>46054.1666666667</v>
      </c>
      <c r="BE2501" s="68">
        <v>46082.1666666667</v>
      </c>
      <c r="BF2501" s="0" t="b">
        <v>0</v>
      </c>
      <c r="BG2501" s="0" t="b">
        <v>0</v>
      </c>
      <c r="BH2501" s="0">
        <v>77</v>
      </c>
      <c r="BI2501" s="0">
        <v>77</v>
      </c>
      <c r="BJ2501" s="0" t="s">
        <v>135</v>
      </c>
    </row>
    <row r="2502">
      <c r="A2502" s="0" t="s">
        <v>2745</v>
      </c>
      <c r="B2502" s="0" t="s">
        <v>134</v>
      </c>
      <c r="C2502" s="0" t="s">
        <v>134</v>
      </c>
      <c r="D2502" s="0" t="s">
        <v>230</v>
      </c>
      <c r="E2502" s="0" t="s">
        <v>3</v>
      </c>
      <c r="F2502" s="0" t="s">
        <v>12</v>
      </c>
      <c r="G2502" s="0" t="s">
        <v>8</v>
      </c>
      <c r="H2502" s="0">
        <v>634</v>
      </c>
      <c r="I2502" s="0">
        <v>651.6</v>
      </c>
      <c r="J2502" s="0">
        <v>0</v>
      </c>
      <c r="K2502" s="0">
        <v>1</v>
      </c>
      <c r="L2502" s="0">
        <v>4</v>
      </c>
      <c r="M2502" s="0">
        <v>22</v>
      </c>
      <c r="N2502" s="0">
        <v>826.5</v>
      </c>
      <c r="O2502" s="0">
        <v>0</v>
      </c>
      <c r="P2502" s="0">
        <v>7167.6</v>
      </c>
      <c r="R2502" s="0" t="b">
        <v>0</v>
      </c>
      <c r="S2502" s="0" t="b">
        <v>1</v>
      </c>
      <c r="T2502" s="68">
        <v>45419.8086458333</v>
      </c>
      <c r="U2502" s="68">
        <v>45434.3333333333</v>
      </c>
      <c r="V2502" s="68">
        <v>0</v>
      </c>
      <c r="W2502" s="0">
        <f>IF(IF(B2502="none",1,IF(B2502="Trialer",1,0))+IF(C2502="Customer",1,IF(C2502="Lost",1,0))=2,1,0)</f>
      </c>
      <c r="X2502" s="0" t="s">
        <v>136</v>
      </c>
      <c r="Y2502" s="0" t="s">
        <v>1792</v>
      </c>
      <c r="AV2502" s="68"/>
      <c r="AW2502" s="68"/>
      <c r="AY2502" s="27"/>
      <c r="BD2502" s="68">
        <v>46054.1666666667</v>
      </c>
      <c r="BE2502" s="68">
        <v>46082.1666666667</v>
      </c>
      <c r="BF2502" s="0" t="b">
        <v>0</v>
      </c>
      <c r="BG2502" s="0" t="b">
        <v>0</v>
      </c>
      <c r="BH2502" s="0">
        <v>752</v>
      </c>
      <c r="BI2502" s="0">
        <v>752</v>
      </c>
      <c r="BJ2502" s="0" t="s">
        <v>230</v>
      </c>
    </row>
    <row r="2503">
      <c r="A2503" s="0" t="s">
        <v>2746</v>
      </c>
      <c r="B2503" s="0" t="s">
        <v>134</v>
      </c>
      <c r="C2503" s="0" t="s">
        <v>134</v>
      </c>
      <c r="D2503" s="0" t="s">
        <v>135</v>
      </c>
      <c r="E2503" s="0" t="s">
        <v>3</v>
      </c>
      <c r="F2503" s="0" t="s">
        <v>12</v>
      </c>
      <c r="G2503" s="0" t="s">
        <v>8</v>
      </c>
      <c r="H2503" s="0">
        <v>633</v>
      </c>
      <c r="I2503" s="0">
        <v>172</v>
      </c>
      <c r="J2503" s="0">
        <v>0</v>
      </c>
      <c r="K2503" s="0">
        <v>1</v>
      </c>
      <c r="L2503" s="0">
        <v>3</v>
      </c>
      <c r="M2503" s="0">
        <v>4</v>
      </c>
      <c r="N2503" s="0">
        <v>1162.5</v>
      </c>
      <c r="O2503" s="0">
        <v>0</v>
      </c>
      <c r="P2503" s="0">
        <v>0</v>
      </c>
      <c r="R2503" s="0" t="b">
        <v>0</v>
      </c>
      <c r="S2503" s="0" t="b">
        <v>1</v>
      </c>
      <c r="T2503" s="68">
        <v>45420.4845833333</v>
      </c>
      <c r="U2503" s="68">
        <v>45427.3333333333</v>
      </c>
      <c r="V2503" s="68">
        <v>0</v>
      </c>
      <c r="W2503" s="0">
        <f>IF(IF(B2503="none",1,IF(B2503="Trialer",1,0))+IF(C2503="Customer",1,IF(C2503="Lost",1,0))=2,1,0)</f>
      </c>
      <c r="X2503" s="0" t="s">
        <v>148</v>
      </c>
      <c r="Y2503" s="0" t="s">
        <v>243</v>
      </c>
      <c r="AV2503" s="68"/>
      <c r="AW2503" s="68"/>
      <c r="AY2503" s="27"/>
      <c r="BD2503" s="68">
        <v>46054.1666666667</v>
      </c>
      <c r="BE2503" s="68">
        <v>46082.1666666667</v>
      </c>
      <c r="BF2503" s="0" t="b">
        <v>0</v>
      </c>
      <c r="BG2503" s="0" t="b">
        <v>0</v>
      </c>
      <c r="BH2503" s="0">
        <v>193</v>
      </c>
      <c r="BI2503" s="0">
        <v>193</v>
      </c>
      <c r="BJ2503" s="0" t="s">
        <v>135</v>
      </c>
    </row>
    <row r="2504">
      <c r="A2504" s="0" t="s">
        <v>2747</v>
      </c>
      <c r="B2504" s="0" t="s">
        <v>134</v>
      </c>
      <c r="C2504" s="0" t="s">
        <v>134</v>
      </c>
      <c r="D2504" s="0" t="s">
        <v>135</v>
      </c>
      <c r="E2504" s="0" t="s">
        <v>2</v>
      </c>
      <c r="F2504" s="0" t="s">
        <v>12</v>
      </c>
      <c r="G2504" s="0" t="s">
        <v>8</v>
      </c>
      <c r="H2504" s="0">
        <v>633</v>
      </c>
      <c r="I2504" s="0">
        <v>406</v>
      </c>
      <c r="J2504" s="0">
        <v>0</v>
      </c>
      <c r="K2504" s="0">
        <v>1</v>
      </c>
      <c r="L2504" s="0">
        <v>4</v>
      </c>
      <c r="M2504" s="0">
        <v>7</v>
      </c>
      <c r="N2504" s="0">
        <v>0</v>
      </c>
      <c r="O2504" s="0">
        <v>0</v>
      </c>
      <c r="P2504" s="0">
        <v>0</v>
      </c>
      <c r="R2504" s="0" t="b">
        <v>0</v>
      </c>
      <c r="S2504" s="0" t="b">
        <v>1</v>
      </c>
      <c r="T2504" s="68">
        <v>45420.5010648148</v>
      </c>
      <c r="U2504" s="68">
        <v>45440.3333333333</v>
      </c>
      <c r="V2504" s="68">
        <v>0</v>
      </c>
      <c r="W2504" s="0">
        <f>IF(IF(B2504="none",1,IF(B2504="Trialer",1,0))+IF(C2504="Customer",1,IF(C2504="Lost",1,0))=2,1,0)</f>
      </c>
      <c r="X2504" s="0" t="s">
        <v>145</v>
      </c>
      <c r="Y2504" s="0" t="s">
        <v>499</v>
      </c>
      <c r="AV2504" s="68"/>
      <c r="AW2504" s="68"/>
      <c r="AY2504" s="27"/>
      <c r="BD2504" s="68">
        <v>46054.1666666667</v>
      </c>
      <c r="BE2504" s="68">
        <v>46082.1666666667</v>
      </c>
      <c r="BF2504" s="0" t="b">
        <v>0</v>
      </c>
      <c r="BG2504" s="0" t="b">
        <v>0</v>
      </c>
      <c r="BH2504" s="0">
        <v>467</v>
      </c>
      <c r="BI2504" s="0">
        <v>467</v>
      </c>
      <c r="BJ2504" s="0" t="s">
        <v>135</v>
      </c>
    </row>
    <row r="2505">
      <c r="A2505" s="0" t="s">
        <v>2748</v>
      </c>
      <c r="B2505" s="0" t="s">
        <v>134</v>
      </c>
      <c r="C2505" s="0" t="s">
        <v>134</v>
      </c>
      <c r="D2505" s="0" t="s">
        <v>230</v>
      </c>
      <c r="E2505" s="0" t="s">
        <v>3</v>
      </c>
      <c r="F2505" s="0" t="s">
        <v>12</v>
      </c>
      <c r="G2505" s="0" t="s">
        <v>8</v>
      </c>
      <c r="H2505" s="0">
        <v>632</v>
      </c>
      <c r="I2505" s="0">
        <v>110.25</v>
      </c>
      <c r="J2505" s="0">
        <v>0</v>
      </c>
      <c r="K2505" s="0">
        <v>1</v>
      </c>
      <c r="L2505" s="0">
        <v>4</v>
      </c>
      <c r="M2505" s="0">
        <v>3</v>
      </c>
      <c r="N2505" s="0">
        <v>0</v>
      </c>
      <c r="O2505" s="0">
        <v>0</v>
      </c>
      <c r="P2505" s="0">
        <v>-110.25</v>
      </c>
      <c r="R2505" s="0" t="b">
        <v>0</v>
      </c>
      <c r="S2505" s="0" t="b">
        <v>1</v>
      </c>
      <c r="T2505" s="68">
        <v>45421.5138773148</v>
      </c>
      <c r="U2505" s="68">
        <v>45435.3333333333</v>
      </c>
      <c r="V2505" s="68">
        <v>0</v>
      </c>
      <c r="W2505" s="0">
        <f>IF(IF(B2505="none",1,IF(B2505="Trialer",1,0))+IF(C2505="Customer",1,IF(C2505="Lost",1,0))=2,1,0)</f>
      </c>
      <c r="X2505" s="0" t="s">
        <v>153</v>
      </c>
      <c r="Y2505" s="0" t="s">
        <v>243</v>
      </c>
      <c r="AV2505" s="68"/>
      <c r="AW2505" s="68"/>
      <c r="AY2505" s="27"/>
      <c r="BD2505" s="68">
        <v>46054.1666666667</v>
      </c>
      <c r="BE2505" s="68">
        <v>46082.1666666667</v>
      </c>
      <c r="BF2505" s="0" t="b">
        <v>0</v>
      </c>
      <c r="BG2505" s="0" t="b">
        <v>0</v>
      </c>
      <c r="BH2505" s="0">
        <v>147</v>
      </c>
      <c r="BI2505" s="0">
        <v>147</v>
      </c>
      <c r="BJ2505" s="0" t="s">
        <v>230</v>
      </c>
    </row>
    <row r="2506">
      <c r="A2506" s="0" t="s">
        <v>2749</v>
      </c>
      <c r="B2506" s="0" t="s">
        <v>134</v>
      </c>
      <c r="C2506" s="0" t="s">
        <v>134</v>
      </c>
      <c r="D2506" s="0" t="s">
        <v>135</v>
      </c>
      <c r="E2506" s="0" t="s">
        <v>3</v>
      </c>
      <c r="F2506" s="0" t="s">
        <v>12</v>
      </c>
      <c r="G2506" s="0" t="s">
        <v>8</v>
      </c>
      <c r="H2506" s="0">
        <v>632</v>
      </c>
      <c r="I2506" s="0">
        <v>465</v>
      </c>
      <c r="J2506" s="0">
        <v>0</v>
      </c>
      <c r="K2506" s="0">
        <v>1</v>
      </c>
      <c r="L2506" s="0">
        <v>4</v>
      </c>
      <c r="M2506" s="0">
        <v>9</v>
      </c>
      <c r="N2506" s="0">
        <v>0</v>
      </c>
      <c r="O2506" s="0">
        <v>0</v>
      </c>
      <c r="P2506" s="0">
        <v>0</v>
      </c>
      <c r="R2506" s="0" t="b">
        <v>0</v>
      </c>
      <c r="S2506" s="0" t="b">
        <v>1</v>
      </c>
      <c r="T2506" s="68">
        <v>45421.6428009259</v>
      </c>
      <c r="U2506" s="68">
        <v>45447.3333333333</v>
      </c>
      <c r="V2506" s="68">
        <v>0</v>
      </c>
      <c r="W2506" s="0">
        <f>IF(IF(B2506="none",1,IF(B2506="Trialer",1,0))+IF(C2506="Customer",1,IF(C2506="Lost",1,0))=2,1,0)</f>
      </c>
      <c r="X2506" s="0" t="s">
        <v>148</v>
      </c>
      <c r="Y2506" s="0" t="s">
        <v>243</v>
      </c>
      <c r="AV2506" s="68"/>
      <c r="AW2506" s="68"/>
      <c r="AY2506" s="27"/>
      <c r="BD2506" s="68">
        <v>46054.1666666667</v>
      </c>
      <c r="BE2506" s="68">
        <v>46082.1666666667</v>
      </c>
      <c r="BF2506" s="0" t="b">
        <v>0</v>
      </c>
      <c r="BG2506" s="0" t="b">
        <v>0</v>
      </c>
      <c r="BH2506" s="0">
        <v>465</v>
      </c>
      <c r="BI2506" s="0">
        <v>465</v>
      </c>
      <c r="BJ2506" s="0" t="s">
        <v>135</v>
      </c>
    </row>
    <row r="2507">
      <c r="A2507" s="0" t="s">
        <v>2750</v>
      </c>
      <c r="B2507" s="0" t="s">
        <v>134</v>
      </c>
      <c r="C2507" s="0" t="s">
        <v>134</v>
      </c>
      <c r="D2507" s="0" t="s">
        <v>135</v>
      </c>
      <c r="E2507" s="0" t="s">
        <v>2</v>
      </c>
      <c r="F2507" s="0" t="s">
        <v>12</v>
      </c>
      <c r="G2507" s="0" t="s">
        <v>8</v>
      </c>
      <c r="H2507" s="0">
        <v>628</v>
      </c>
      <c r="I2507" s="0">
        <v>98</v>
      </c>
      <c r="J2507" s="0">
        <v>0</v>
      </c>
      <c r="K2507" s="0">
        <v>1</v>
      </c>
      <c r="L2507" s="0">
        <v>3</v>
      </c>
      <c r="M2507" s="0">
        <v>2</v>
      </c>
      <c r="N2507" s="0">
        <v>0</v>
      </c>
      <c r="O2507" s="0">
        <v>0</v>
      </c>
      <c r="P2507" s="0">
        <v>0</v>
      </c>
      <c r="R2507" s="0" t="b">
        <v>0</v>
      </c>
      <c r="S2507" s="0" t="b">
        <v>1</v>
      </c>
      <c r="T2507" s="68">
        <v>45425.5402430556</v>
      </c>
      <c r="U2507" s="68">
        <v>45439.3333333333</v>
      </c>
      <c r="V2507" s="68">
        <v>0</v>
      </c>
      <c r="W2507" s="0">
        <f>IF(IF(B2507="none",1,IF(B2507="Trialer",1,0))+IF(C2507="Customer",1,IF(C2507="Lost",1,0))=2,1,0)</f>
      </c>
      <c r="X2507" s="0" t="s">
        <v>142</v>
      </c>
      <c r="Y2507" s="0" t="s">
        <v>499</v>
      </c>
      <c r="AV2507" s="68"/>
      <c r="AW2507" s="68"/>
      <c r="AY2507" s="27"/>
      <c r="BD2507" s="68">
        <v>46054.1666666667</v>
      </c>
      <c r="BE2507" s="68">
        <v>46082.1666666667</v>
      </c>
      <c r="BF2507" s="0" t="b">
        <v>0</v>
      </c>
      <c r="BG2507" s="0" t="b">
        <v>0</v>
      </c>
      <c r="BH2507" s="0">
        <v>98</v>
      </c>
      <c r="BI2507" s="0">
        <v>98</v>
      </c>
      <c r="BJ2507" s="0" t="s">
        <v>135</v>
      </c>
    </row>
    <row r="2508">
      <c r="A2508" s="0" t="s">
        <v>2751</v>
      </c>
      <c r="B2508" s="0" t="s">
        <v>134</v>
      </c>
      <c r="C2508" s="0" t="s">
        <v>134</v>
      </c>
      <c r="D2508" s="0" t="s">
        <v>230</v>
      </c>
      <c r="E2508" s="0" t="s">
        <v>2</v>
      </c>
      <c r="F2508" s="0" t="s">
        <v>12</v>
      </c>
      <c r="G2508" s="0" t="s">
        <v>8</v>
      </c>
      <c r="H2508" s="0">
        <v>628</v>
      </c>
      <c r="I2508" s="0">
        <v>426</v>
      </c>
      <c r="J2508" s="0">
        <v>0</v>
      </c>
      <c r="K2508" s="0">
        <v>1</v>
      </c>
      <c r="L2508" s="0">
        <v>5</v>
      </c>
      <c r="M2508" s="0">
        <v>9</v>
      </c>
      <c r="N2508" s="0">
        <v>0</v>
      </c>
      <c r="O2508" s="0">
        <v>0</v>
      </c>
      <c r="P2508" s="0">
        <v>-426</v>
      </c>
      <c r="R2508" s="0" t="b">
        <v>0</v>
      </c>
      <c r="S2508" s="0" t="b">
        <v>1</v>
      </c>
      <c r="T2508" s="68">
        <v>45425.6487268519</v>
      </c>
      <c r="U2508" s="68">
        <v>45443.3333333333</v>
      </c>
      <c r="V2508" s="68">
        <v>0</v>
      </c>
      <c r="W2508" s="0">
        <f>IF(IF(B2508="none",1,IF(B2508="Trialer",1,0))+IF(C2508="Customer",1,IF(C2508="Lost",1,0))=2,1,0)</f>
      </c>
      <c r="X2508" s="0" t="s">
        <v>145</v>
      </c>
      <c r="Y2508" s="0" t="s">
        <v>499</v>
      </c>
      <c r="AV2508" s="68"/>
      <c r="AW2508" s="68"/>
      <c r="AY2508" s="27"/>
      <c r="BD2508" s="68">
        <v>46054.1666666667</v>
      </c>
      <c r="BE2508" s="68">
        <v>46082.1666666667</v>
      </c>
      <c r="BF2508" s="0" t="b">
        <v>0</v>
      </c>
      <c r="BG2508" s="0" t="b">
        <v>0</v>
      </c>
      <c r="BH2508" s="0">
        <v>477</v>
      </c>
      <c r="BI2508" s="0">
        <v>477</v>
      </c>
      <c r="BJ2508" s="0" t="s">
        <v>230</v>
      </c>
    </row>
    <row r="2509">
      <c r="A2509" s="0" t="s">
        <v>2752</v>
      </c>
      <c r="B2509" s="0" t="s">
        <v>134</v>
      </c>
      <c r="C2509" s="0" t="s">
        <v>134</v>
      </c>
      <c r="D2509" s="0" t="s">
        <v>135</v>
      </c>
      <c r="E2509" s="0" t="s">
        <v>3</v>
      </c>
      <c r="F2509" s="0" t="s">
        <v>12</v>
      </c>
      <c r="G2509" s="0" t="s">
        <v>8</v>
      </c>
      <c r="H2509" s="0">
        <v>628</v>
      </c>
      <c r="I2509" s="0">
        <v>322</v>
      </c>
      <c r="J2509" s="0">
        <v>0</v>
      </c>
      <c r="K2509" s="0">
        <v>1</v>
      </c>
      <c r="L2509" s="0">
        <v>3</v>
      </c>
      <c r="M2509" s="0">
        <v>7</v>
      </c>
      <c r="N2509" s="0">
        <v>0</v>
      </c>
      <c r="O2509" s="0">
        <v>0</v>
      </c>
      <c r="P2509" s="0">
        <v>0</v>
      </c>
      <c r="R2509" s="0" t="b">
        <v>0</v>
      </c>
      <c r="S2509" s="0" t="b">
        <v>1</v>
      </c>
      <c r="T2509" s="68">
        <v>45425.7184490741</v>
      </c>
      <c r="U2509" s="68">
        <v>45441.3333333333</v>
      </c>
      <c r="V2509" s="68">
        <v>0</v>
      </c>
      <c r="W2509" s="0">
        <f>IF(IF(B2509="none",1,IF(B2509="Trialer",1,0))+IF(C2509="Customer",1,IF(C2509="Lost",1,0))=2,1,0)</f>
      </c>
      <c r="X2509" s="0" t="s">
        <v>136</v>
      </c>
      <c r="Y2509" s="0" t="s">
        <v>243</v>
      </c>
      <c r="AV2509" s="68"/>
      <c r="AW2509" s="68"/>
      <c r="AY2509" s="27"/>
      <c r="BD2509" s="68">
        <v>46054.1666666667</v>
      </c>
      <c r="BE2509" s="68">
        <v>46082.1666666667</v>
      </c>
      <c r="BF2509" s="0" t="b">
        <v>0</v>
      </c>
      <c r="BG2509" s="0" t="b">
        <v>0</v>
      </c>
      <c r="BH2509" s="0">
        <v>322</v>
      </c>
      <c r="BI2509" s="0">
        <v>322</v>
      </c>
      <c r="BJ2509" s="0" t="s">
        <v>135</v>
      </c>
    </row>
    <row r="2510">
      <c r="A2510" s="0" t="s">
        <v>2753</v>
      </c>
      <c r="B2510" s="0" t="s">
        <v>134</v>
      </c>
      <c r="C2510" s="0" t="s">
        <v>134</v>
      </c>
      <c r="D2510" s="0" t="s">
        <v>135</v>
      </c>
      <c r="E2510" s="0" t="s">
        <v>3</v>
      </c>
      <c r="F2510" s="0" t="s">
        <v>12</v>
      </c>
      <c r="G2510" s="0" t="s">
        <v>8</v>
      </c>
      <c r="H2510" s="0">
        <v>627</v>
      </c>
      <c r="I2510" s="0">
        <v>113</v>
      </c>
      <c r="J2510" s="0">
        <v>0</v>
      </c>
      <c r="K2510" s="0">
        <v>1</v>
      </c>
      <c r="L2510" s="0">
        <v>4</v>
      </c>
      <c r="M2510" s="0">
        <v>2</v>
      </c>
      <c r="N2510" s="0">
        <v>0</v>
      </c>
      <c r="O2510" s="0">
        <v>0</v>
      </c>
      <c r="P2510" s="0">
        <v>0</v>
      </c>
      <c r="R2510" s="0" t="b">
        <v>0</v>
      </c>
      <c r="S2510" s="0" t="b">
        <v>1</v>
      </c>
      <c r="T2510" s="68">
        <v>45426.7414699074</v>
      </c>
      <c r="U2510" s="68">
        <v>45440.3333333333</v>
      </c>
      <c r="V2510" s="68">
        <v>0</v>
      </c>
      <c r="W2510" s="0">
        <f>IF(IF(B2510="none",1,IF(B2510="Trialer",1,0))+IF(C2510="Customer",1,IF(C2510="Lost",1,0))=2,1,0)</f>
      </c>
      <c r="X2510" s="0" t="s">
        <v>166</v>
      </c>
      <c r="Y2510" s="0" t="s">
        <v>487</v>
      </c>
      <c r="AV2510" s="68"/>
      <c r="AW2510" s="68"/>
      <c r="AY2510" s="27"/>
      <c r="BD2510" s="68">
        <v>46054.1666666667</v>
      </c>
      <c r="BE2510" s="68">
        <v>46082.1666666667</v>
      </c>
      <c r="BF2510" s="0" t="b">
        <v>0</v>
      </c>
      <c r="BG2510" s="0" t="b">
        <v>0</v>
      </c>
      <c r="BH2510" s="0">
        <v>101</v>
      </c>
      <c r="BI2510" s="0">
        <v>101</v>
      </c>
      <c r="BJ2510" s="0" t="s">
        <v>135</v>
      </c>
    </row>
    <row r="2511">
      <c r="A2511" s="0" t="s">
        <v>2754</v>
      </c>
      <c r="B2511" s="0" t="s">
        <v>134</v>
      </c>
      <c r="C2511" s="0" t="s">
        <v>134</v>
      </c>
      <c r="D2511" s="0" t="s">
        <v>135</v>
      </c>
      <c r="E2511" s="0" t="s">
        <v>2</v>
      </c>
      <c r="F2511" s="0" t="s">
        <v>12</v>
      </c>
      <c r="G2511" s="0" t="s">
        <v>8</v>
      </c>
      <c r="H2511" s="0">
        <v>627</v>
      </c>
      <c r="I2511" s="0">
        <v>257</v>
      </c>
      <c r="J2511" s="0">
        <v>0</v>
      </c>
      <c r="K2511" s="0">
        <v>1</v>
      </c>
      <c r="L2511" s="0">
        <v>4</v>
      </c>
      <c r="M2511" s="0">
        <v>5</v>
      </c>
      <c r="N2511" s="0">
        <v>0</v>
      </c>
      <c r="O2511" s="0">
        <v>0</v>
      </c>
      <c r="P2511" s="0">
        <v>0</v>
      </c>
      <c r="R2511" s="0" t="b">
        <v>0</v>
      </c>
      <c r="S2511" s="0" t="b">
        <v>1</v>
      </c>
      <c r="T2511" s="68">
        <v>45426.914849537</v>
      </c>
      <c r="U2511" s="68">
        <v>45440.3333333333</v>
      </c>
      <c r="V2511" s="68">
        <v>0</v>
      </c>
      <c r="W2511" s="0">
        <f>IF(IF(B2511="none",1,IF(B2511="Trialer",1,0))+IF(C2511="Customer",1,IF(C2511="Lost",1,0))=2,1,0)</f>
      </c>
      <c r="X2511" s="0" t="s">
        <v>148</v>
      </c>
      <c r="Y2511" s="0" t="s">
        <v>499</v>
      </c>
      <c r="AV2511" s="68"/>
      <c r="AW2511" s="68"/>
      <c r="AY2511" s="27"/>
      <c r="BD2511" s="68">
        <v>46054.1666666667</v>
      </c>
      <c r="BE2511" s="68">
        <v>46082.1666666667</v>
      </c>
      <c r="BF2511" s="0" t="b">
        <v>0</v>
      </c>
      <c r="BG2511" s="0" t="b">
        <v>0</v>
      </c>
      <c r="BH2511" s="0">
        <v>257</v>
      </c>
      <c r="BI2511" s="0">
        <v>257</v>
      </c>
      <c r="BJ2511" s="0" t="s">
        <v>135</v>
      </c>
    </row>
    <row r="2512">
      <c r="A2512" s="0" t="s">
        <v>2755</v>
      </c>
      <c r="B2512" s="0" t="s">
        <v>134</v>
      </c>
      <c r="C2512" s="0" t="s">
        <v>134</v>
      </c>
      <c r="D2512" s="0" t="s">
        <v>135</v>
      </c>
      <c r="E2512" s="0" t="s">
        <v>3</v>
      </c>
      <c r="F2512" s="0" t="s">
        <v>12</v>
      </c>
      <c r="G2512" s="0" t="s">
        <v>8</v>
      </c>
      <c r="H2512" s="0">
        <v>626</v>
      </c>
      <c r="I2512" s="0">
        <v>451</v>
      </c>
      <c r="J2512" s="0">
        <v>0</v>
      </c>
      <c r="K2512" s="0">
        <v>1</v>
      </c>
      <c r="L2512" s="0">
        <v>5</v>
      </c>
      <c r="M2512" s="0">
        <v>7</v>
      </c>
      <c r="N2512" s="0">
        <v>0</v>
      </c>
      <c r="O2512" s="0">
        <v>0</v>
      </c>
      <c r="P2512" s="0">
        <v>0</v>
      </c>
      <c r="R2512" s="0" t="b">
        <v>0</v>
      </c>
      <c r="S2512" s="0" t="b">
        <v>1</v>
      </c>
      <c r="T2512" s="68">
        <v>45427.4726041667</v>
      </c>
      <c r="U2512" s="68">
        <v>45457.3333333333</v>
      </c>
      <c r="V2512" s="68">
        <v>0</v>
      </c>
      <c r="W2512" s="0">
        <f>IF(IF(B2512="none",1,IF(B2512="Trialer",1,0))+IF(C2512="Customer",1,IF(C2512="Lost",1,0))=2,1,0)</f>
      </c>
      <c r="X2512" s="0" t="s">
        <v>136</v>
      </c>
      <c r="Y2512" s="0" t="s">
        <v>243</v>
      </c>
      <c r="AV2512" s="68"/>
      <c r="AW2512" s="68"/>
      <c r="AY2512" s="27"/>
      <c r="BD2512" s="68">
        <v>46054.1666666667</v>
      </c>
      <c r="BE2512" s="68">
        <v>46082.1666666667</v>
      </c>
      <c r="BF2512" s="0" t="b">
        <v>0</v>
      </c>
      <c r="BG2512" s="0" t="b">
        <v>0</v>
      </c>
      <c r="BH2512" s="0">
        <v>451</v>
      </c>
      <c r="BI2512" s="0">
        <v>451</v>
      </c>
      <c r="BJ2512" s="0" t="s">
        <v>135</v>
      </c>
    </row>
    <row r="2513">
      <c r="A2513" s="0" t="s">
        <v>2756</v>
      </c>
      <c r="B2513" s="0" t="s">
        <v>134</v>
      </c>
      <c r="C2513" s="0" t="s">
        <v>134</v>
      </c>
      <c r="D2513" s="0" t="s">
        <v>135</v>
      </c>
      <c r="E2513" s="0" t="s">
        <v>3</v>
      </c>
      <c r="F2513" s="0" t="s">
        <v>12</v>
      </c>
      <c r="G2513" s="0" t="s">
        <v>8</v>
      </c>
      <c r="H2513" s="0">
        <v>626</v>
      </c>
      <c r="I2513" s="0">
        <v>0</v>
      </c>
      <c r="J2513" s="0">
        <v>0</v>
      </c>
      <c r="K2513" s="0">
        <v>1</v>
      </c>
      <c r="L2513" s="0">
        <v>6</v>
      </c>
      <c r="M2513" s="0">
        <v>1</v>
      </c>
      <c r="N2513" s="0">
        <v>0</v>
      </c>
      <c r="O2513" s="0">
        <v>0</v>
      </c>
      <c r="P2513" s="0">
        <v>0</v>
      </c>
      <c r="R2513" s="0" t="b">
        <v>0</v>
      </c>
      <c r="S2513" s="0" t="b">
        <v>1</v>
      </c>
      <c r="T2513" s="68">
        <v>45427.5663425926</v>
      </c>
      <c r="U2513" s="68">
        <v>45441.3333333333</v>
      </c>
      <c r="V2513" s="68">
        <v>0</v>
      </c>
      <c r="W2513" s="0">
        <f>IF(IF(B2513="none",1,IF(B2513="Trialer",1,0))+IF(C2513="Customer",1,IF(C2513="Lost",1,0))=2,1,0)</f>
      </c>
      <c r="X2513" s="0" t="s">
        <v>136</v>
      </c>
      <c r="Y2513" s="0" t="s">
        <v>2664</v>
      </c>
      <c r="AV2513" s="68"/>
      <c r="AW2513" s="68"/>
      <c r="AY2513" s="27"/>
      <c r="BD2513" s="68">
        <v>46054.1666666667</v>
      </c>
      <c r="BE2513" s="68">
        <v>46082.1666666667</v>
      </c>
      <c r="BF2513" s="0" t="b">
        <v>0</v>
      </c>
      <c r="BG2513" s="0" t="b">
        <v>0</v>
      </c>
      <c r="BH2513" s="0">
        <v>0</v>
      </c>
      <c r="BI2513" s="0">
        <v>0</v>
      </c>
      <c r="BJ2513" s="0" t="s">
        <v>135</v>
      </c>
    </row>
    <row r="2514">
      <c r="A2514" s="0" t="s">
        <v>2757</v>
      </c>
      <c r="B2514" s="0" t="s">
        <v>134</v>
      </c>
      <c r="C2514" s="0" t="s">
        <v>134</v>
      </c>
      <c r="D2514" s="0" t="s">
        <v>230</v>
      </c>
      <c r="E2514" s="0" t="s">
        <v>3</v>
      </c>
      <c r="F2514" s="0" t="s">
        <v>12</v>
      </c>
      <c r="G2514" s="0" t="s">
        <v>8</v>
      </c>
      <c r="H2514" s="0">
        <v>626</v>
      </c>
      <c r="I2514" s="0">
        <v>98</v>
      </c>
      <c r="J2514" s="0">
        <v>0</v>
      </c>
      <c r="K2514" s="0">
        <v>1</v>
      </c>
      <c r="L2514" s="0">
        <v>4</v>
      </c>
      <c r="M2514" s="0">
        <v>2</v>
      </c>
      <c r="N2514" s="0">
        <v>0</v>
      </c>
      <c r="O2514" s="0">
        <v>0</v>
      </c>
      <c r="P2514" s="0">
        <v>-98</v>
      </c>
      <c r="R2514" s="0" t="b">
        <v>0</v>
      </c>
      <c r="S2514" s="0" t="b">
        <v>1</v>
      </c>
      <c r="T2514" s="68">
        <v>45427.7770717593</v>
      </c>
      <c r="U2514" s="68">
        <v>45442.3333333333</v>
      </c>
      <c r="V2514" s="68">
        <v>0</v>
      </c>
      <c r="W2514" s="0">
        <f>IF(IF(B2514="none",1,IF(B2514="Trialer",1,0))+IF(C2514="Customer",1,IF(C2514="Lost",1,0))=2,1,0)</f>
      </c>
      <c r="X2514" s="0" t="s">
        <v>142</v>
      </c>
      <c r="Y2514" s="0" t="s">
        <v>243</v>
      </c>
      <c r="AV2514" s="68"/>
      <c r="AW2514" s="68"/>
      <c r="AY2514" s="27"/>
      <c r="BD2514" s="68">
        <v>46054.1666666667</v>
      </c>
      <c r="BE2514" s="68">
        <v>46082.1666666667</v>
      </c>
      <c r="BF2514" s="0" t="b">
        <v>0</v>
      </c>
      <c r="BG2514" s="0" t="b">
        <v>0</v>
      </c>
      <c r="BH2514" s="0">
        <v>110</v>
      </c>
      <c r="BI2514" s="0">
        <v>110</v>
      </c>
      <c r="BJ2514" s="0" t="s">
        <v>230</v>
      </c>
    </row>
    <row r="2515">
      <c r="A2515" s="0" t="s">
        <v>2758</v>
      </c>
      <c r="B2515" s="0" t="s">
        <v>134</v>
      </c>
      <c r="C2515" s="0" t="s">
        <v>134</v>
      </c>
      <c r="D2515" s="0" t="s">
        <v>135</v>
      </c>
      <c r="E2515" s="0" t="s">
        <v>2</v>
      </c>
      <c r="F2515" s="0" t="s">
        <v>12</v>
      </c>
      <c r="G2515" s="0" t="s">
        <v>8</v>
      </c>
      <c r="H2515" s="0">
        <v>626</v>
      </c>
      <c r="I2515" s="0">
        <v>465</v>
      </c>
      <c r="J2515" s="0">
        <v>0</v>
      </c>
      <c r="K2515" s="0">
        <v>1</v>
      </c>
      <c r="L2515" s="0">
        <v>4</v>
      </c>
      <c r="M2515" s="0">
        <v>9</v>
      </c>
      <c r="N2515" s="0">
        <v>0</v>
      </c>
      <c r="O2515" s="0">
        <v>0</v>
      </c>
      <c r="P2515" s="0">
        <v>0</v>
      </c>
      <c r="R2515" s="0" t="b">
        <v>0</v>
      </c>
      <c r="S2515" s="0" t="b">
        <v>1</v>
      </c>
      <c r="T2515" s="68">
        <v>45427.9098148148</v>
      </c>
      <c r="U2515" s="68">
        <v>45444.3333333333</v>
      </c>
      <c r="V2515" s="68">
        <v>0</v>
      </c>
      <c r="W2515" s="0">
        <f>IF(IF(B2515="none",1,IF(B2515="Trialer",1,0))+IF(C2515="Customer",1,IF(C2515="Lost",1,0))=2,1,0)</f>
      </c>
      <c r="X2515" s="0" t="s">
        <v>145</v>
      </c>
      <c r="Y2515" s="0" t="s">
        <v>499</v>
      </c>
      <c r="AV2515" s="68"/>
      <c r="AW2515" s="68"/>
      <c r="AY2515" s="27"/>
      <c r="BD2515" s="68">
        <v>46054.1666666667</v>
      </c>
      <c r="BE2515" s="68">
        <v>46082.1666666667</v>
      </c>
      <c r="BF2515" s="0" t="b">
        <v>0</v>
      </c>
      <c r="BG2515" s="0" t="b">
        <v>0</v>
      </c>
      <c r="BH2515" s="0">
        <v>465</v>
      </c>
      <c r="BI2515" s="0">
        <v>465</v>
      </c>
      <c r="BJ2515" s="0" t="s">
        <v>135</v>
      </c>
    </row>
    <row r="2516">
      <c r="A2516" s="0" t="s">
        <v>2759</v>
      </c>
      <c r="B2516" s="0" t="s">
        <v>134</v>
      </c>
      <c r="C2516" s="0" t="s">
        <v>134</v>
      </c>
      <c r="D2516" s="0" t="s">
        <v>135</v>
      </c>
      <c r="E2516" s="0" t="s">
        <v>3</v>
      </c>
      <c r="F2516" s="0" t="s">
        <v>12</v>
      </c>
      <c r="G2516" s="0" t="s">
        <v>8</v>
      </c>
      <c r="H2516" s="0">
        <v>626</v>
      </c>
      <c r="I2516" s="0">
        <v>40</v>
      </c>
      <c r="J2516" s="0">
        <v>0</v>
      </c>
      <c r="K2516" s="0">
        <v>1</v>
      </c>
      <c r="L2516" s="0">
        <v>2</v>
      </c>
      <c r="M2516" s="0">
        <v>1</v>
      </c>
      <c r="N2516" s="0">
        <v>0</v>
      </c>
      <c r="O2516" s="0">
        <v>0</v>
      </c>
      <c r="P2516" s="0">
        <v>0</v>
      </c>
      <c r="R2516" s="0" t="b">
        <v>0</v>
      </c>
      <c r="S2516" s="0" t="b">
        <v>1</v>
      </c>
      <c r="T2516" s="68">
        <v>45427.9352083333</v>
      </c>
      <c r="U2516" s="68">
        <v>45454.3333333333</v>
      </c>
      <c r="V2516" s="68">
        <v>0</v>
      </c>
      <c r="W2516" s="0">
        <f>IF(IF(B2516="none",1,IF(B2516="Trialer",1,0))+IF(C2516="Customer",1,IF(C2516="Lost",1,0))=2,1,0)</f>
      </c>
      <c r="X2516" s="0" t="s">
        <v>153</v>
      </c>
      <c r="Y2516" s="0" t="s">
        <v>243</v>
      </c>
      <c r="AV2516" s="68"/>
      <c r="AW2516" s="68"/>
      <c r="AY2516" s="27"/>
      <c r="BD2516" s="68">
        <v>46054.1666666667</v>
      </c>
      <c r="BE2516" s="68">
        <v>46082.1666666667</v>
      </c>
      <c r="BF2516" s="0" t="b">
        <v>0</v>
      </c>
      <c r="BG2516" s="0" t="b">
        <v>0</v>
      </c>
      <c r="BH2516" s="0">
        <v>40</v>
      </c>
      <c r="BI2516" s="0">
        <v>40</v>
      </c>
      <c r="BJ2516" s="0" t="s">
        <v>135</v>
      </c>
    </row>
    <row r="2517">
      <c r="A2517" s="0" t="s">
        <v>2760</v>
      </c>
      <c r="B2517" s="0" t="s">
        <v>134</v>
      </c>
      <c r="C2517" s="0" t="s">
        <v>134</v>
      </c>
      <c r="D2517" s="0" t="s">
        <v>230</v>
      </c>
      <c r="E2517" s="0" t="s">
        <v>3</v>
      </c>
      <c r="F2517" s="0" t="s">
        <v>12</v>
      </c>
      <c r="G2517" s="0" t="s">
        <v>8</v>
      </c>
      <c r="H2517" s="0">
        <v>625</v>
      </c>
      <c r="I2517" s="0">
        <v>176.4</v>
      </c>
      <c r="J2517" s="0">
        <v>0</v>
      </c>
      <c r="K2517" s="0">
        <v>1</v>
      </c>
      <c r="L2517" s="0">
        <v>3</v>
      </c>
      <c r="M2517" s="0">
        <v>4</v>
      </c>
      <c r="N2517" s="0">
        <v>0</v>
      </c>
      <c r="O2517" s="0">
        <v>0</v>
      </c>
      <c r="P2517" s="0">
        <v>-176.4</v>
      </c>
      <c r="R2517" s="0" t="b">
        <v>0</v>
      </c>
      <c r="S2517" s="0" t="b">
        <v>1</v>
      </c>
      <c r="T2517" s="68">
        <v>45428.5111342593</v>
      </c>
      <c r="U2517" s="68">
        <v>45454.3333333333</v>
      </c>
      <c r="V2517" s="68">
        <v>0</v>
      </c>
      <c r="W2517" s="0">
        <f>IF(IF(B2517="none",1,IF(B2517="Trialer",1,0))+IF(C2517="Customer",1,IF(C2517="Lost",1,0))=2,1,0)</f>
      </c>
      <c r="X2517" s="0" t="s">
        <v>148</v>
      </c>
      <c r="Y2517" s="0" t="s">
        <v>243</v>
      </c>
      <c r="AV2517" s="68"/>
      <c r="AW2517" s="68"/>
      <c r="AY2517" s="27"/>
      <c r="BD2517" s="68">
        <v>46054.1666666667</v>
      </c>
      <c r="BE2517" s="68">
        <v>46082.1666666667</v>
      </c>
      <c r="BF2517" s="0" t="b">
        <v>0</v>
      </c>
      <c r="BG2517" s="0" t="b">
        <v>0</v>
      </c>
      <c r="BH2517" s="0">
        <v>196</v>
      </c>
      <c r="BI2517" s="0">
        <v>196</v>
      </c>
      <c r="BJ2517" s="0" t="s">
        <v>230</v>
      </c>
    </row>
    <row r="2518">
      <c r="A2518" s="0" t="s">
        <v>2761</v>
      </c>
      <c r="B2518" s="0" t="s">
        <v>134</v>
      </c>
      <c r="C2518" s="0" t="s">
        <v>134</v>
      </c>
      <c r="D2518" s="0" t="s">
        <v>135</v>
      </c>
      <c r="E2518" s="0" t="s">
        <v>2</v>
      </c>
      <c r="F2518" s="0" t="s">
        <v>12</v>
      </c>
      <c r="G2518" s="0" t="s">
        <v>8</v>
      </c>
      <c r="H2518" s="0">
        <v>625</v>
      </c>
      <c r="I2518" s="0">
        <v>236</v>
      </c>
      <c r="J2518" s="0">
        <v>0</v>
      </c>
      <c r="K2518" s="0">
        <v>1</v>
      </c>
      <c r="L2518" s="0">
        <v>4</v>
      </c>
      <c r="M2518" s="0">
        <v>5</v>
      </c>
      <c r="N2518" s="0">
        <v>0</v>
      </c>
      <c r="O2518" s="0">
        <v>0</v>
      </c>
      <c r="P2518" s="0">
        <v>0</v>
      </c>
      <c r="R2518" s="0" t="b">
        <v>0</v>
      </c>
      <c r="S2518" s="0" t="b">
        <v>1</v>
      </c>
      <c r="T2518" s="68">
        <v>45428.5516319444</v>
      </c>
      <c r="U2518" s="68">
        <v>45450.3333333333</v>
      </c>
      <c r="V2518" s="68">
        <v>0</v>
      </c>
      <c r="W2518" s="0">
        <f>IF(IF(B2518="none",1,IF(B2518="Trialer",1,0))+IF(C2518="Customer",1,IF(C2518="Lost",1,0))=2,1,0)</f>
      </c>
      <c r="X2518" s="0" t="s">
        <v>136</v>
      </c>
      <c r="Y2518" s="0" t="s">
        <v>499</v>
      </c>
      <c r="AV2518" s="68"/>
      <c r="AW2518" s="68"/>
      <c r="AY2518" s="27"/>
      <c r="BD2518" s="68">
        <v>46054.1666666667</v>
      </c>
      <c r="BE2518" s="68">
        <v>46082.1666666667</v>
      </c>
      <c r="BF2518" s="0" t="b">
        <v>0</v>
      </c>
      <c r="BG2518" s="0" t="b">
        <v>0</v>
      </c>
      <c r="BH2518" s="0">
        <v>236</v>
      </c>
      <c r="BI2518" s="0">
        <v>236</v>
      </c>
      <c r="BJ2518" s="0" t="s">
        <v>135</v>
      </c>
    </row>
    <row r="2519">
      <c r="A2519" s="0" t="s">
        <v>2762</v>
      </c>
      <c r="B2519" s="0" t="s">
        <v>134</v>
      </c>
      <c r="C2519" s="0" t="s">
        <v>134</v>
      </c>
      <c r="D2519" s="0" t="s">
        <v>135</v>
      </c>
      <c r="E2519" s="0" t="s">
        <v>3</v>
      </c>
      <c r="F2519" s="0" t="s">
        <v>12</v>
      </c>
      <c r="G2519" s="0" t="s">
        <v>8</v>
      </c>
      <c r="H2519" s="0">
        <v>625</v>
      </c>
      <c r="I2519" s="0">
        <v>178</v>
      </c>
      <c r="J2519" s="0">
        <v>0</v>
      </c>
      <c r="K2519" s="0">
        <v>1</v>
      </c>
      <c r="L2519" s="0">
        <v>3</v>
      </c>
      <c r="M2519" s="0">
        <v>4</v>
      </c>
      <c r="N2519" s="0">
        <v>0</v>
      </c>
      <c r="O2519" s="0">
        <v>0</v>
      </c>
      <c r="P2519" s="0">
        <v>0</v>
      </c>
      <c r="R2519" s="0" t="b">
        <v>0</v>
      </c>
      <c r="S2519" s="0" t="b">
        <v>1</v>
      </c>
      <c r="T2519" s="68">
        <v>45428.562025463</v>
      </c>
      <c r="U2519" s="68">
        <v>45428.3333333333</v>
      </c>
      <c r="V2519" s="68">
        <v>0</v>
      </c>
      <c r="W2519" s="0">
        <f>IF(IF(B2519="none",1,IF(B2519="Trialer",1,0))+IF(C2519="Customer",1,IF(C2519="Lost",1,0))=2,1,0)</f>
      </c>
      <c r="X2519" s="0" t="s">
        <v>136</v>
      </c>
      <c r="Y2519" s="0" t="s">
        <v>243</v>
      </c>
      <c r="AV2519" s="68"/>
      <c r="AW2519" s="68"/>
      <c r="AY2519" s="27"/>
      <c r="BD2519" s="68">
        <v>46054.1666666667</v>
      </c>
      <c r="BE2519" s="68">
        <v>46082.1666666667</v>
      </c>
      <c r="BF2519" s="0" t="b">
        <v>0</v>
      </c>
      <c r="BG2519" s="0" t="b">
        <v>0</v>
      </c>
      <c r="BH2519" s="0">
        <v>178</v>
      </c>
      <c r="BI2519" s="0">
        <v>178</v>
      </c>
      <c r="BJ2519" s="0" t="s">
        <v>135</v>
      </c>
    </row>
    <row r="2520">
      <c r="A2520" s="0" t="s">
        <v>2763</v>
      </c>
      <c r="B2520" s="0" t="s">
        <v>134</v>
      </c>
      <c r="C2520" s="0" t="s">
        <v>134</v>
      </c>
      <c r="D2520" s="0" t="s">
        <v>135</v>
      </c>
      <c r="E2520" s="0" t="s">
        <v>2</v>
      </c>
      <c r="F2520" s="0" t="s">
        <v>12</v>
      </c>
      <c r="G2520" s="0" t="s">
        <v>8</v>
      </c>
      <c r="H2520" s="0">
        <v>625</v>
      </c>
      <c r="I2520" s="0">
        <v>52</v>
      </c>
      <c r="J2520" s="0">
        <v>0</v>
      </c>
      <c r="K2520" s="0">
        <v>1</v>
      </c>
      <c r="L2520" s="0">
        <v>3</v>
      </c>
      <c r="M2520" s="0">
        <v>1</v>
      </c>
      <c r="N2520" s="0">
        <v>0</v>
      </c>
      <c r="O2520" s="0">
        <v>0</v>
      </c>
      <c r="P2520" s="0">
        <v>0</v>
      </c>
      <c r="R2520" s="0" t="b">
        <v>0</v>
      </c>
      <c r="S2520" s="0" t="b">
        <v>1</v>
      </c>
      <c r="T2520" s="68">
        <v>45428.9743171296</v>
      </c>
      <c r="U2520" s="68">
        <v>45456.3333333333</v>
      </c>
      <c r="V2520" s="68">
        <v>0</v>
      </c>
      <c r="W2520" s="0">
        <f>IF(IF(B2520="none",1,IF(B2520="Trialer",1,0))+IF(C2520="Customer",1,IF(C2520="Lost",1,0))=2,1,0)</f>
      </c>
      <c r="X2520" s="0" t="s">
        <v>153</v>
      </c>
      <c r="Y2520" s="0" t="s">
        <v>499</v>
      </c>
      <c r="AV2520" s="68"/>
      <c r="AW2520" s="68"/>
      <c r="AY2520" s="27"/>
      <c r="BD2520" s="68">
        <v>46054.1666666667</v>
      </c>
      <c r="BE2520" s="68">
        <v>46082.1666666667</v>
      </c>
      <c r="BF2520" s="0" t="b">
        <v>0</v>
      </c>
      <c r="BG2520" s="0" t="b">
        <v>0</v>
      </c>
      <c r="BH2520" s="0">
        <v>52</v>
      </c>
      <c r="BI2520" s="0">
        <v>52</v>
      </c>
      <c r="BJ2520" s="0" t="s">
        <v>135</v>
      </c>
    </row>
    <row r="2521">
      <c r="A2521" s="0" t="s">
        <v>2764</v>
      </c>
      <c r="B2521" s="0" t="s">
        <v>134</v>
      </c>
      <c r="C2521" s="0" t="s">
        <v>134</v>
      </c>
      <c r="D2521" s="0" t="s">
        <v>135</v>
      </c>
      <c r="E2521" s="0" t="s">
        <v>3</v>
      </c>
      <c r="F2521" s="0" t="s">
        <v>12</v>
      </c>
      <c r="G2521" s="0" t="s">
        <v>8</v>
      </c>
      <c r="H2521" s="0">
        <v>624</v>
      </c>
      <c r="I2521" s="0">
        <v>248</v>
      </c>
      <c r="J2521" s="0">
        <v>0</v>
      </c>
      <c r="K2521" s="0">
        <v>1</v>
      </c>
      <c r="L2521" s="0">
        <v>4</v>
      </c>
      <c r="M2521" s="0">
        <v>5</v>
      </c>
      <c r="N2521" s="0">
        <v>0</v>
      </c>
      <c r="O2521" s="0">
        <v>0</v>
      </c>
      <c r="P2521" s="0">
        <v>0</v>
      </c>
      <c r="R2521" s="0" t="b">
        <v>0</v>
      </c>
      <c r="S2521" s="0" t="b">
        <v>1</v>
      </c>
      <c r="T2521" s="68">
        <v>45429.5160185185</v>
      </c>
      <c r="U2521" s="68">
        <v>45443.3333333333</v>
      </c>
      <c r="V2521" s="68">
        <v>0</v>
      </c>
      <c r="W2521" s="0">
        <f>IF(IF(B2521="none",1,IF(B2521="Trialer",1,0))+IF(C2521="Customer",1,IF(C2521="Lost",1,0))=2,1,0)</f>
      </c>
      <c r="X2521" s="0" t="s">
        <v>148</v>
      </c>
      <c r="Y2521" s="0" t="s">
        <v>243</v>
      </c>
      <c r="AV2521" s="68"/>
      <c r="AW2521" s="68"/>
      <c r="AY2521" s="27"/>
      <c r="BD2521" s="68">
        <v>46054.1666666667</v>
      </c>
      <c r="BE2521" s="68">
        <v>46082.1666666667</v>
      </c>
      <c r="BF2521" s="0" t="b">
        <v>0</v>
      </c>
      <c r="BG2521" s="0" t="b">
        <v>0</v>
      </c>
      <c r="BH2521" s="0">
        <v>248</v>
      </c>
      <c r="BI2521" s="0">
        <v>248</v>
      </c>
      <c r="BJ2521" s="0" t="s">
        <v>135</v>
      </c>
    </row>
    <row r="2522">
      <c r="A2522" s="0" t="s">
        <v>2765</v>
      </c>
      <c r="B2522" s="0" t="s">
        <v>134</v>
      </c>
      <c r="C2522" s="0" t="s">
        <v>134</v>
      </c>
      <c r="D2522" s="0" t="s">
        <v>230</v>
      </c>
      <c r="E2522" s="0" t="s">
        <v>3</v>
      </c>
      <c r="F2522" s="0" t="s">
        <v>12</v>
      </c>
      <c r="G2522" s="0" t="s">
        <v>8</v>
      </c>
      <c r="H2522" s="0">
        <v>620</v>
      </c>
      <c r="I2522" s="0">
        <v>164.7</v>
      </c>
      <c r="J2522" s="0">
        <v>0</v>
      </c>
      <c r="K2522" s="0">
        <v>1</v>
      </c>
      <c r="L2522" s="0">
        <v>4</v>
      </c>
      <c r="M2522" s="0">
        <v>3</v>
      </c>
      <c r="N2522" s="0">
        <v>0</v>
      </c>
      <c r="O2522" s="0">
        <v>0</v>
      </c>
      <c r="P2522" s="0">
        <v>-164.7</v>
      </c>
      <c r="R2522" s="0" t="b">
        <v>0</v>
      </c>
      <c r="S2522" s="0" t="b">
        <v>1</v>
      </c>
      <c r="T2522" s="68">
        <v>45433.7009606482</v>
      </c>
      <c r="U2522" s="68">
        <v>45436.3333333333</v>
      </c>
      <c r="V2522" s="68">
        <v>0</v>
      </c>
      <c r="W2522" s="0">
        <f>IF(IF(B2522="none",1,IF(B2522="Trialer",1,0))+IF(C2522="Customer",1,IF(C2522="Lost",1,0))=2,1,0)</f>
      </c>
      <c r="X2522" s="0" t="s">
        <v>142</v>
      </c>
      <c r="Y2522" s="0" t="s">
        <v>243</v>
      </c>
      <c r="AV2522" s="68"/>
      <c r="AW2522" s="68"/>
      <c r="AY2522" s="27"/>
      <c r="BD2522" s="68">
        <v>46054.1666666667</v>
      </c>
      <c r="BE2522" s="68">
        <v>46082.1666666667</v>
      </c>
      <c r="BF2522" s="0" t="b">
        <v>0</v>
      </c>
      <c r="BG2522" s="0" t="b">
        <v>0</v>
      </c>
      <c r="BH2522" s="0">
        <v>232</v>
      </c>
      <c r="BI2522" s="0">
        <v>232</v>
      </c>
      <c r="BJ2522" s="0" t="s">
        <v>230</v>
      </c>
    </row>
    <row r="2523">
      <c r="A2523" s="0" t="s">
        <v>2766</v>
      </c>
      <c r="B2523" s="0" t="s">
        <v>134</v>
      </c>
      <c r="C2523" s="0" t="s">
        <v>134</v>
      </c>
      <c r="D2523" s="0" t="s">
        <v>135</v>
      </c>
      <c r="E2523" s="0" t="s">
        <v>2</v>
      </c>
      <c r="F2523" s="0" t="s">
        <v>12</v>
      </c>
      <c r="G2523" s="0" t="s">
        <v>8</v>
      </c>
      <c r="H2523" s="0">
        <v>619</v>
      </c>
      <c r="I2523" s="0">
        <v>333</v>
      </c>
      <c r="J2523" s="0">
        <v>0</v>
      </c>
      <c r="K2523" s="0">
        <v>1</v>
      </c>
      <c r="L2523" s="0">
        <v>2</v>
      </c>
      <c r="M2523" s="0">
        <v>9</v>
      </c>
      <c r="N2523" s="0">
        <v>0</v>
      </c>
      <c r="O2523" s="0">
        <v>0</v>
      </c>
      <c r="P2523" s="0">
        <v>0</v>
      </c>
      <c r="R2523" s="0" t="b">
        <v>0</v>
      </c>
      <c r="S2523" s="0" t="b">
        <v>1</v>
      </c>
      <c r="T2523" s="68">
        <v>45434.5599305556</v>
      </c>
      <c r="U2523" s="68">
        <v>45454.3333333333</v>
      </c>
      <c r="V2523" s="68">
        <v>0</v>
      </c>
      <c r="W2523" s="0">
        <f>IF(IF(B2523="none",1,IF(B2523="Trialer",1,0))+IF(C2523="Customer",1,IF(C2523="Lost",1,0))=2,1,0)</f>
      </c>
      <c r="X2523" s="0" t="s">
        <v>136</v>
      </c>
      <c r="Y2523" s="0" t="s">
        <v>499</v>
      </c>
      <c r="AV2523" s="68"/>
      <c r="AW2523" s="68"/>
      <c r="AY2523" s="27"/>
      <c r="BD2523" s="68">
        <v>46054.1666666667</v>
      </c>
      <c r="BE2523" s="68">
        <v>46082.1666666667</v>
      </c>
      <c r="BF2523" s="0" t="b">
        <v>0</v>
      </c>
      <c r="BG2523" s="0" t="b">
        <v>0</v>
      </c>
      <c r="BH2523" s="0">
        <v>333</v>
      </c>
      <c r="BI2523" s="0">
        <v>333</v>
      </c>
      <c r="BJ2523" s="0" t="s">
        <v>135</v>
      </c>
    </row>
    <row r="2524">
      <c r="A2524" s="0" t="s">
        <v>2767</v>
      </c>
      <c r="B2524" s="0" t="s">
        <v>134</v>
      </c>
      <c r="C2524" s="0" t="s">
        <v>134</v>
      </c>
      <c r="D2524" s="0" t="s">
        <v>230</v>
      </c>
      <c r="E2524" s="0" t="s">
        <v>2</v>
      </c>
      <c r="F2524" s="0" t="s">
        <v>12</v>
      </c>
      <c r="G2524" s="0" t="s">
        <v>8</v>
      </c>
      <c r="H2524" s="0">
        <v>619</v>
      </c>
      <c r="I2524" s="0">
        <v>97.5</v>
      </c>
      <c r="J2524" s="0">
        <v>0</v>
      </c>
      <c r="K2524" s="0">
        <v>1</v>
      </c>
      <c r="L2524" s="0">
        <v>2</v>
      </c>
      <c r="M2524" s="0">
        <v>4</v>
      </c>
      <c r="N2524" s="0">
        <v>0</v>
      </c>
      <c r="O2524" s="0">
        <v>0</v>
      </c>
      <c r="P2524" s="0">
        <v>-97.5</v>
      </c>
      <c r="R2524" s="0" t="b">
        <v>0</v>
      </c>
      <c r="S2524" s="0" t="b">
        <v>1</v>
      </c>
      <c r="T2524" s="68">
        <v>45434.6197800926</v>
      </c>
      <c r="U2524" s="68">
        <v>45467.3333333333</v>
      </c>
      <c r="V2524" s="68">
        <v>0</v>
      </c>
      <c r="W2524" s="0">
        <f>IF(IF(B2524="none",1,IF(B2524="Trialer",1,0))+IF(C2524="Customer",1,IF(C2524="Lost",1,0))=2,1,0)</f>
      </c>
      <c r="X2524" s="0" t="s">
        <v>145</v>
      </c>
      <c r="Y2524" s="0" t="s">
        <v>499</v>
      </c>
      <c r="AV2524" s="68"/>
      <c r="AW2524" s="68"/>
      <c r="AY2524" s="27"/>
      <c r="BD2524" s="68">
        <v>46054.1666666667</v>
      </c>
      <c r="BE2524" s="68">
        <v>46082.1666666667</v>
      </c>
      <c r="BF2524" s="0" t="b">
        <v>0</v>
      </c>
      <c r="BG2524" s="0" t="b">
        <v>0</v>
      </c>
      <c r="BH2524" s="0">
        <v>130</v>
      </c>
      <c r="BI2524" s="0">
        <v>130</v>
      </c>
      <c r="BJ2524" s="0" t="s">
        <v>230</v>
      </c>
    </row>
    <row r="2525">
      <c r="A2525" s="0" t="s">
        <v>2768</v>
      </c>
      <c r="B2525" s="0" t="s">
        <v>134</v>
      </c>
      <c r="C2525" s="0" t="s">
        <v>134</v>
      </c>
      <c r="D2525" s="0" t="s">
        <v>135</v>
      </c>
      <c r="E2525" s="0" t="s">
        <v>3</v>
      </c>
      <c r="F2525" s="0" t="s">
        <v>12</v>
      </c>
      <c r="G2525" s="0" t="s">
        <v>8</v>
      </c>
      <c r="H2525" s="0">
        <v>618</v>
      </c>
      <c r="I2525" s="0">
        <v>73</v>
      </c>
      <c r="J2525" s="0">
        <v>0</v>
      </c>
      <c r="K2525" s="0">
        <v>1</v>
      </c>
      <c r="L2525" s="0">
        <v>5</v>
      </c>
      <c r="M2525" s="0">
        <v>1</v>
      </c>
      <c r="N2525" s="0">
        <v>0</v>
      </c>
      <c r="O2525" s="0">
        <v>0</v>
      </c>
      <c r="P2525" s="0">
        <v>0</v>
      </c>
      <c r="R2525" s="0" t="b">
        <v>0</v>
      </c>
      <c r="S2525" s="0" t="b">
        <v>1</v>
      </c>
      <c r="T2525" s="68">
        <v>45435.4201388889</v>
      </c>
      <c r="U2525" s="68">
        <v>45435.3333333333</v>
      </c>
      <c r="V2525" s="68">
        <v>0</v>
      </c>
      <c r="W2525" s="0">
        <f>IF(IF(B2525="none",1,IF(B2525="Trialer",1,0))+IF(C2525="Customer",1,IF(C2525="Lost",1,0))=2,1,0)</f>
      </c>
      <c r="X2525" s="0" t="s">
        <v>166</v>
      </c>
      <c r="Y2525" s="0" t="s">
        <v>243</v>
      </c>
      <c r="AV2525" s="68"/>
      <c r="AW2525" s="68"/>
      <c r="AY2525" s="27"/>
      <c r="BD2525" s="68">
        <v>46054.1666666667</v>
      </c>
      <c r="BE2525" s="68">
        <v>46082.1666666667</v>
      </c>
      <c r="BF2525" s="0" t="b">
        <v>0</v>
      </c>
      <c r="BG2525" s="0" t="b">
        <v>0</v>
      </c>
      <c r="BH2525" s="0">
        <v>73</v>
      </c>
      <c r="BI2525" s="0">
        <v>73</v>
      </c>
      <c r="BJ2525" s="0" t="s">
        <v>135</v>
      </c>
    </row>
    <row r="2526">
      <c r="A2526" s="0" t="s">
        <v>2769</v>
      </c>
      <c r="B2526" s="0" t="s">
        <v>134</v>
      </c>
      <c r="C2526" s="0" t="s">
        <v>134</v>
      </c>
      <c r="D2526" s="0" t="s">
        <v>230</v>
      </c>
      <c r="E2526" s="0" t="s">
        <v>2</v>
      </c>
      <c r="F2526" s="0" t="s">
        <v>12</v>
      </c>
      <c r="G2526" s="0" t="s">
        <v>8</v>
      </c>
      <c r="H2526" s="0">
        <v>618</v>
      </c>
      <c r="I2526" s="0">
        <v>88</v>
      </c>
      <c r="J2526" s="0">
        <v>0</v>
      </c>
      <c r="K2526" s="0">
        <v>1</v>
      </c>
      <c r="L2526" s="0">
        <v>3</v>
      </c>
      <c r="M2526" s="0">
        <v>2</v>
      </c>
      <c r="N2526" s="0">
        <v>0</v>
      </c>
      <c r="O2526" s="0">
        <v>0</v>
      </c>
      <c r="P2526" s="0">
        <v>-88</v>
      </c>
      <c r="R2526" s="0" t="b">
        <v>0</v>
      </c>
      <c r="S2526" s="0" t="b">
        <v>1</v>
      </c>
      <c r="T2526" s="68">
        <v>45435.6541435185</v>
      </c>
      <c r="U2526" s="68">
        <v>45442.3333333333</v>
      </c>
      <c r="V2526" s="68">
        <v>0</v>
      </c>
      <c r="W2526" s="0">
        <f>IF(IF(B2526="none",1,IF(B2526="Trialer",1,0))+IF(C2526="Customer",1,IF(C2526="Lost",1,0))=2,1,0)</f>
      </c>
      <c r="X2526" s="0" t="s">
        <v>145</v>
      </c>
      <c r="Y2526" s="0" t="s">
        <v>499</v>
      </c>
      <c r="AV2526" s="68"/>
      <c r="AW2526" s="68"/>
      <c r="AY2526" s="27"/>
      <c r="BD2526" s="68">
        <v>46054.1666666667</v>
      </c>
      <c r="BE2526" s="68">
        <v>46082.1666666667</v>
      </c>
      <c r="BF2526" s="0" t="b">
        <v>0</v>
      </c>
      <c r="BG2526" s="0" t="b">
        <v>0</v>
      </c>
      <c r="BH2526" s="0">
        <v>98</v>
      </c>
      <c r="BI2526" s="0">
        <v>98</v>
      </c>
      <c r="BJ2526" s="0" t="s">
        <v>230</v>
      </c>
    </row>
    <row r="2527">
      <c r="A2527" s="0" t="s">
        <v>2770</v>
      </c>
      <c r="B2527" s="0" t="s">
        <v>134</v>
      </c>
      <c r="C2527" s="0" t="s">
        <v>134</v>
      </c>
      <c r="D2527" s="0" t="s">
        <v>230</v>
      </c>
      <c r="E2527" s="0" t="s">
        <v>3</v>
      </c>
      <c r="F2527" s="0" t="s">
        <v>12</v>
      </c>
      <c r="G2527" s="0" t="s">
        <v>8</v>
      </c>
      <c r="H2527" s="0">
        <v>615</v>
      </c>
      <c r="I2527" s="0">
        <v>119.7</v>
      </c>
      <c r="J2527" s="0">
        <v>0</v>
      </c>
      <c r="K2527" s="0">
        <v>1</v>
      </c>
      <c r="L2527" s="0">
        <v>3</v>
      </c>
      <c r="M2527" s="0">
        <v>4</v>
      </c>
      <c r="N2527" s="0">
        <v>0</v>
      </c>
      <c r="O2527" s="0">
        <v>0</v>
      </c>
      <c r="P2527" s="0">
        <v>-119.7</v>
      </c>
      <c r="R2527" s="0" t="b">
        <v>0</v>
      </c>
      <c r="S2527" s="0" t="b">
        <v>1</v>
      </c>
      <c r="T2527" s="68">
        <v>45438.6922337963</v>
      </c>
      <c r="U2527" s="68">
        <v>45452.3333333333</v>
      </c>
      <c r="V2527" s="68">
        <v>0</v>
      </c>
      <c r="W2527" s="0">
        <f>IF(IF(B2527="none",1,IF(B2527="Trialer",1,0))+IF(C2527="Customer",1,IF(C2527="Lost",1,0))=2,1,0)</f>
      </c>
      <c r="X2527" s="0" t="s">
        <v>148</v>
      </c>
      <c r="Y2527" s="0" t="s">
        <v>243</v>
      </c>
      <c r="AV2527" s="68"/>
      <c r="AW2527" s="68"/>
      <c r="AY2527" s="27"/>
      <c r="BD2527" s="68">
        <v>46054.1666666667</v>
      </c>
      <c r="BE2527" s="68">
        <v>46082.1666666667</v>
      </c>
      <c r="BF2527" s="0" t="b">
        <v>0</v>
      </c>
      <c r="BG2527" s="0" t="b">
        <v>0</v>
      </c>
      <c r="BH2527" s="0">
        <v>133</v>
      </c>
      <c r="BI2527" s="0">
        <v>133</v>
      </c>
      <c r="BJ2527" s="0" t="s">
        <v>230</v>
      </c>
    </row>
    <row r="2528">
      <c r="A2528" s="0" t="s">
        <v>2771</v>
      </c>
      <c r="B2528" s="0" t="s">
        <v>134</v>
      </c>
      <c r="C2528" s="0" t="s">
        <v>134</v>
      </c>
      <c r="D2528" s="0" t="s">
        <v>135</v>
      </c>
      <c r="E2528" s="0" t="s">
        <v>2</v>
      </c>
      <c r="F2528" s="0" t="s">
        <v>12</v>
      </c>
      <c r="G2528" s="0" t="s">
        <v>8</v>
      </c>
      <c r="H2528" s="0">
        <v>614</v>
      </c>
      <c r="I2528" s="0">
        <v>542</v>
      </c>
      <c r="J2528" s="0">
        <v>0</v>
      </c>
      <c r="K2528" s="0">
        <v>1</v>
      </c>
      <c r="L2528" s="0">
        <v>4</v>
      </c>
      <c r="M2528" s="0">
        <v>4</v>
      </c>
      <c r="N2528" s="0">
        <v>0</v>
      </c>
      <c r="O2528" s="0">
        <v>0</v>
      </c>
      <c r="P2528" s="0">
        <v>0</v>
      </c>
      <c r="R2528" s="0" t="b">
        <v>0</v>
      </c>
      <c r="S2528" s="0" t="b">
        <v>1</v>
      </c>
      <c r="T2528" s="68">
        <v>45439.3970138889</v>
      </c>
      <c r="U2528" s="68">
        <v>45453.3333333333</v>
      </c>
      <c r="V2528" s="68">
        <v>0</v>
      </c>
      <c r="W2528" s="0">
        <f>IF(IF(B2528="none",1,IF(B2528="Trialer",1,0))+IF(C2528="Customer",1,IF(C2528="Lost",1,0))=2,1,0)</f>
      </c>
      <c r="X2528" s="0" t="s">
        <v>148</v>
      </c>
      <c r="Y2528" s="0" t="s">
        <v>499</v>
      </c>
      <c r="AV2528" s="68"/>
      <c r="AW2528" s="68"/>
      <c r="AY2528" s="27"/>
      <c r="BD2528" s="68">
        <v>46054.1666666667</v>
      </c>
      <c r="BE2528" s="68">
        <v>46082.1666666667</v>
      </c>
      <c r="BF2528" s="0" t="b">
        <v>0</v>
      </c>
      <c r="BG2528" s="0" t="b">
        <v>0</v>
      </c>
      <c r="BH2528" s="0">
        <v>165</v>
      </c>
      <c r="BI2528" s="0">
        <v>217</v>
      </c>
      <c r="BJ2528" s="0" t="s">
        <v>135</v>
      </c>
    </row>
    <row r="2529">
      <c r="A2529" s="0" t="s">
        <v>2772</v>
      </c>
      <c r="B2529" s="0" t="s">
        <v>134</v>
      </c>
      <c r="C2529" s="0" t="s">
        <v>134</v>
      </c>
      <c r="D2529" s="0" t="s">
        <v>230</v>
      </c>
      <c r="E2529" s="0" t="s">
        <v>3</v>
      </c>
      <c r="F2529" s="0" t="s">
        <v>12</v>
      </c>
      <c r="G2529" s="0" t="s">
        <v>8</v>
      </c>
      <c r="H2529" s="0">
        <v>614</v>
      </c>
      <c r="I2529" s="0">
        <v>60</v>
      </c>
      <c r="J2529" s="0">
        <v>0</v>
      </c>
      <c r="K2529" s="0">
        <v>1</v>
      </c>
      <c r="L2529" s="0">
        <v>2</v>
      </c>
      <c r="M2529" s="0">
        <v>2</v>
      </c>
      <c r="N2529" s="0">
        <v>0</v>
      </c>
      <c r="O2529" s="0">
        <v>0</v>
      </c>
      <c r="P2529" s="0">
        <v>-60</v>
      </c>
      <c r="R2529" s="0" t="b">
        <v>0</v>
      </c>
      <c r="S2529" s="0" t="b">
        <v>1</v>
      </c>
      <c r="T2529" s="68">
        <v>45439.5205324074</v>
      </c>
      <c r="U2529" s="68">
        <v>45453.3333333333</v>
      </c>
      <c r="V2529" s="68">
        <v>0</v>
      </c>
      <c r="W2529" s="0">
        <f>IF(IF(B2529="none",1,IF(B2529="Trialer",1,0))+IF(C2529="Customer",1,IF(C2529="Lost",1,0))=2,1,0)</f>
      </c>
      <c r="X2529" s="0" t="s">
        <v>153</v>
      </c>
      <c r="Y2529" s="0" t="s">
        <v>243</v>
      </c>
      <c r="AV2529" s="68"/>
      <c r="AW2529" s="68"/>
      <c r="AY2529" s="27"/>
      <c r="BD2529" s="68">
        <v>46054.1666666667</v>
      </c>
      <c r="BE2529" s="68">
        <v>46082.1666666667</v>
      </c>
      <c r="BF2529" s="0" t="b">
        <v>0</v>
      </c>
      <c r="BG2529" s="0" t="b">
        <v>0</v>
      </c>
      <c r="BH2529" s="0">
        <v>68</v>
      </c>
      <c r="BI2529" s="0">
        <v>68</v>
      </c>
      <c r="BJ2529" s="0" t="s">
        <v>230</v>
      </c>
    </row>
    <row r="2530">
      <c r="A2530" s="0" t="s">
        <v>2773</v>
      </c>
      <c r="B2530" s="0" t="s">
        <v>134</v>
      </c>
      <c r="C2530" s="0" t="s">
        <v>134</v>
      </c>
      <c r="D2530" s="0" t="s">
        <v>135</v>
      </c>
      <c r="E2530" s="0" t="s">
        <v>3</v>
      </c>
      <c r="F2530" s="0" t="s">
        <v>12</v>
      </c>
      <c r="G2530" s="0" t="s">
        <v>8</v>
      </c>
      <c r="H2530" s="0">
        <v>614</v>
      </c>
      <c r="I2530" s="0">
        <v>49</v>
      </c>
      <c r="J2530" s="0">
        <v>0</v>
      </c>
      <c r="K2530" s="0">
        <v>1</v>
      </c>
      <c r="L2530" s="0">
        <v>3</v>
      </c>
      <c r="M2530" s="0">
        <v>1</v>
      </c>
      <c r="N2530" s="0">
        <v>0</v>
      </c>
      <c r="O2530" s="0">
        <v>0</v>
      </c>
      <c r="P2530" s="0">
        <v>0</v>
      </c>
      <c r="R2530" s="0" t="b">
        <v>0</v>
      </c>
      <c r="S2530" s="0" t="b">
        <v>1</v>
      </c>
      <c r="T2530" s="68">
        <v>45439.5451967593</v>
      </c>
      <c r="U2530" s="68">
        <v>45453.3333333333</v>
      </c>
      <c r="V2530" s="68">
        <v>0</v>
      </c>
      <c r="W2530" s="0">
        <f>IF(IF(B2530="none",1,IF(B2530="Trialer",1,0))+IF(C2530="Customer",1,IF(C2530="Lost",1,0))=2,1,0)</f>
      </c>
      <c r="X2530" s="0" t="s">
        <v>153</v>
      </c>
      <c r="Y2530" s="0" t="s">
        <v>243</v>
      </c>
      <c r="AV2530" s="68"/>
      <c r="AW2530" s="68"/>
      <c r="AY2530" s="27"/>
      <c r="BD2530" s="68">
        <v>46054.1666666667</v>
      </c>
      <c r="BE2530" s="68">
        <v>46082.1666666667</v>
      </c>
      <c r="BF2530" s="0" t="b">
        <v>0</v>
      </c>
      <c r="BG2530" s="0" t="b">
        <v>0</v>
      </c>
      <c r="BH2530" s="0">
        <v>49</v>
      </c>
      <c r="BI2530" s="0">
        <v>49</v>
      </c>
      <c r="BJ2530" s="0" t="s">
        <v>135</v>
      </c>
    </row>
    <row r="2531">
      <c r="A2531" s="0" t="s">
        <v>2774</v>
      </c>
      <c r="B2531" s="0" t="s">
        <v>134</v>
      </c>
      <c r="C2531" s="0" t="s">
        <v>134</v>
      </c>
      <c r="D2531" s="0" t="s">
        <v>135</v>
      </c>
      <c r="E2531" s="0" t="s">
        <v>3</v>
      </c>
      <c r="F2531" s="0" t="s">
        <v>10</v>
      </c>
      <c r="G2531" s="0" t="s">
        <v>8</v>
      </c>
      <c r="H2531" s="0">
        <v>613</v>
      </c>
      <c r="I2531" s="0">
        <v>112</v>
      </c>
      <c r="J2531" s="0">
        <v>0</v>
      </c>
      <c r="K2531" s="0">
        <v>1</v>
      </c>
      <c r="L2531" s="0">
        <v>1</v>
      </c>
      <c r="M2531" s="0">
        <v>4</v>
      </c>
      <c r="N2531" s="0">
        <v>0</v>
      </c>
      <c r="O2531" s="0">
        <v>0</v>
      </c>
      <c r="P2531" s="0">
        <v>0</v>
      </c>
      <c r="Q2531" s="0" t="s">
        <v>618</v>
      </c>
      <c r="R2531" s="0" t="b">
        <v>0</v>
      </c>
      <c r="S2531" s="0" t="b">
        <v>1</v>
      </c>
      <c r="T2531" s="68">
        <v>45440.2067708333</v>
      </c>
      <c r="U2531" s="68">
        <v>45484.3333333333</v>
      </c>
      <c r="V2531" s="68">
        <v>0</v>
      </c>
      <c r="W2531" s="0">
        <f>IF(IF(B2531="none",1,IF(B2531="Trialer",1,0))+IF(C2531="Customer",1,IF(C2531="Lost",1,0))=2,1,0)</f>
      </c>
      <c r="X2531" s="0" t="s">
        <v>148</v>
      </c>
      <c r="Y2531" s="0" t="s">
        <v>243</v>
      </c>
      <c r="AV2531" s="68"/>
      <c r="AW2531" s="68"/>
      <c r="AY2531" s="27"/>
      <c r="BD2531" s="68">
        <v>46054.1666666667</v>
      </c>
      <c r="BE2531" s="68">
        <v>46082.1666666667</v>
      </c>
      <c r="BF2531" s="0" t="b">
        <v>0</v>
      </c>
      <c r="BG2531" s="0" t="b">
        <v>0</v>
      </c>
      <c r="BH2531" s="0">
        <v>112</v>
      </c>
      <c r="BI2531" s="0">
        <v>112</v>
      </c>
      <c r="BJ2531" s="0" t="s">
        <v>135</v>
      </c>
    </row>
    <row r="2532">
      <c r="A2532" s="0" t="s">
        <v>2775</v>
      </c>
      <c r="B2532" s="0" t="s">
        <v>134</v>
      </c>
      <c r="C2532" s="0" t="s">
        <v>134</v>
      </c>
      <c r="D2532" s="0" t="s">
        <v>230</v>
      </c>
      <c r="E2532" s="0" t="s">
        <v>3</v>
      </c>
      <c r="F2532" s="0" t="s">
        <v>12</v>
      </c>
      <c r="G2532" s="0" t="s">
        <v>8</v>
      </c>
      <c r="H2532" s="0">
        <v>613</v>
      </c>
      <c r="I2532" s="0">
        <v>91.5</v>
      </c>
      <c r="J2532" s="0">
        <v>0</v>
      </c>
      <c r="K2532" s="0">
        <v>1</v>
      </c>
      <c r="L2532" s="0">
        <v>4</v>
      </c>
      <c r="M2532" s="0">
        <v>2</v>
      </c>
      <c r="N2532" s="0">
        <v>0</v>
      </c>
      <c r="O2532" s="0">
        <v>0</v>
      </c>
      <c r="P2532" s="0">
        <v>-91.5</v>
      </c>
      <c r="R2532" s="0" t="b">
        <v>0</v>
      </c>
      <c r="S2532" s="0" t="b">
        <v>1</v>
      </c>
      <c r="T2532" s="68">
        <v>45440.8797916667</v>
      </c>
      <c r="U2532" s="68">
        <v>45455.3333333333</v>
      </c>
      <c r="V2532" s="68">
        <v>0</v>
      </c>
      <c r="W2532" s="0">
        <f>IF(IF(B2532="none",1,IF(B2532="Trialer",1,0))+IF(C2532="Customer",1,IF(C2532="Lost",1,0))=2,1,0)</f>
      </c>
      <c r="X2532" s="0" t="s">
        <v>153</v>
      </c>
      <c r="Y2532" s="0" t="s">
        <v>243</v>
      </c>
      <c r="AV2532" s="68"/>
      <c r="AW2532" s="68"/>
      <c r="AY2532" s="27"/>
      <c r="BD2532" s="68">
        <v>46054.1666666667</v>
      </c>
      <c r="BE2532" s="68">
        <v>46082.1666666667</v>
      </c>
      <c r="BF2532" s="0" t="b">
        <v>0</v>
      </c>
      <c r="BG2532" s="0" t="b">
        <v>0</v>
      </c>
      <c r="BH2532" s="0">
        <v>122</v>
      </c>
      <c r="BI2532" s="0">
        <v>122</v>
      </c>
      <c r="BJ2532" s="0" t="s">
        <v>230</v>
      </c>
    </row>
    <row r="2533">
      <c r="A2533" s="0" t="s">
        <v>2776</v>
      </c>
      <c r="B2533" s="0" t="s">
        <v>134</v>
      </c>
      <c r="C2533" s="0" t="s">
        <v>134</v>
      </c>
      <c r="D2533" s="0" t="s">
        <v>135</v>
      </c>
      <c r="E2533" s="0" t="s">
        <v>3</v>
      </c>
      <c r="F2533" s="0" t="s">
        <v>12</v>
      </c>
      <c r="G2533" s="0" t="s">
        <v>8</v>
      </c>
      <c r="H2533" s="0">
        <v>612</v>
      </c>
      <c r="I2533" s="0">
        <v>28</v>
      </c>
      <c r="J2533" s="0">
        <v>0</v>
      </c>
      <c r="K2533" s="0">
        <v>1</v>
      </c>
      <c r="L2533" s="0">
        <v>1</v>
      </c>
      <c r="M2533" s="0">
        <v>1</v>
      </c>
      <c r="N2533" s="0">
        <v>0</v>
      </c>
      <c r="O2533" s="0">
        <v>0</v>
      </c>
      <c r="P2533" s="0">
        <v>0</v>
      </c>
      <c r="R2533" s="0" t="b">
        <v>0</v>
      </c>
      <c r="S2533" s="0" t="b">
        <v>1</v>
      </c>
      <c r="T2533" s="68">
        <v>45441.8211226852</v>
      </c>
      <c r="U2533" s="68">
        <v>45459.3333333333</v>
      </c>
      <c r="V2533" s="68">
        <v>0</v>
      </c>
      <c r="W2533" s="0">
        <f>IF(IF(B2533="none",1,IF(B2533="Trialer",1,0))+IF(C2533="Customer",1,IF(C2533="Lost",1,0))=2,1,0)</f>
      </c>
      <c r="X2533" s="0" t="s">
        <v>166</v>
      </c>
      <c r="Y2533" s="0" t="s">
        <v>487</v>
      </c>
      <c r="AV2533" s="68"/>
      <c r="AW2533" s="68"/>
      <c r="AY2533" s="27"/>
      <c r="BD2533" s="68">
        <v>46054.1666666667</v>
      </c>
      <c r="BE2533" s="68">
        <v>46082.1666666667</v>
      </c>
      <c r="BF2533" s="0" t="b">
        <v>0</v>
      </c>
      <c r="BG2533" s="0" t="b">
        <v>0</v>
      </c>
      <c r="BH2533" s="0">
        <v>28</v>
      </c>
      <c r="BI2533" s="0">
        <v>28</v>
      </c>
      <c r="BJ2533" s="0" t="s">
        <v>135</v>
      </c>
    </row>
    <row r="2534">
      <c r="A2534" s="0" t="s">
        <v>2777</v>
      </c>
      <c r="B2534" s="0" t="s">
        <v>134</v>
      </c>
      <c r="C2534" s="0" t="s">
        <v>134</v>
      </c>
      <c r="D2534" s="0" t="s">
        <v>135</v>
      </c>
      <c r="E2534" s="0" t="s">
        <v>3</v>
      </c>
      <c r="F2534" s="0" t="s">
        <v>11</v>
      </c>
      <c r="G2534" s="0" t="s">
        <v>8</v>
      </c>
      <c r="H2534" s="0">
        <v>611</v>
      </c>
      <c r="I2534" s="0">
        <v>78.4</v>
      </c>
      <c r="J2534" s="0">
        <v>0</v>
      </c>
      <c r="K2534" s="0">
        <v>1</v>
      </c>
      <c r="L2534" s="0">
        <v>3</v>
      </c>
      <c r="M2534" s="0">
        <v>2</v>
      </c>
      <c r="N2534" s="0">
        <v>0</v>
      </c>
      <c r="O2534" s="0">
        <v>0</v>
      </c>
      <c r="P2534" s="0">
        <v>0</v>
      </c>
      <c r="Q2534" s="0" t="s">
        <v>1743</v>
      </c>
      <c r="R2534" s="0" t="b">
        <v>1</v>
      </c>
      <c r="S2534" s="0" t="b">
        <v>1</v>
      </c>
      <c r="T2534" s="68">
        <v>45442.6268402778</v>
      </c>
      <c r="U2534" s="68">
        <v>45442.3333333333</v>
      </c>
      <c r="V2534" s="68">
        <v>0</v>
      </c>
      <c r="W2534" s="0">
        <f>IF(IF(B2534="none",1,IF(B2534="Trialer",1,0))+IF(C2534="Customer",1,IF(C2534="Lost",1,0))=2,1,0)</f>
      </c>
      <c r="X2534" s="0" t="s">
        <v>145</v>
      </c>
      <c r="Y2534" s="0" t="s">
        <v>243</v>
      </c>
      <c r="AV2534" s="68"/>
      <c r="AW2534" s="68"/>
      <c r="AY2534" s="27"/>
      <c r="BD2534" s="68">
        <v>46054.1666666667</v>
      </c>
      <c r="BE2534" s="68">
        <v>46082.1666666667</v>
      </c>
      <c r="BF2534" s="0" t="b">
        <v>0</v>
      </c>
      <c r="BG2534" s="0" t="b">
        <v>0</v>
      </c>
      <c r="BH2534" s="0">
        <v>78.4</v>
      </c>
      <c r="BI2534" s="0">
        <v>78.4</v>
      </c>
      <c r="BJ2534" s="0" t="s">
        <v>135</v>
      </c>
    </row>
    <row r="2535">
      <c r="A2535" s="0" t="s">
        <v>2778</v>
      </c>
      <c r="B2535" s="0" t="s">
        <v>134</v>
      </c>
      <c r="C2535" s="0" t="s">
        <v>134</v>
      </c>
      <c r="D2535" s="0" t="s">
        <v>135</v>
      </c>
      <c r="E2535" s="0" t="s">
        <v>3</v>
      </c>
      <c r="F2535" s="0" t="s">
        <v>10</v>
      </c>
      <c r="G2535" s="0" t="s">
        <v>8</v>
      </c>
      <c r="H2535" s="0">
        <v>610</v>
      </c>
      <c r="I2535" s="0">
        <v>28</v>
      </c>
      <c r="J2535" s="0">
        <v>0</v>
      </c>
      <c r="K2535" s="0">
        <v>1</v>
      </c>
      <c r="L2535" s="0">
        <v>1</v>
      </c>
      <c r="M2535" s="0">
        <v>1</v>
      </c>
      <c r="N2535" s="0">
        <v>0</v>
      </c>
      <c r="O2535" s="0">
        <v>0</v>
      </c>
      <c r="P2535" s="0">
        <v>0</v>
      </c>
      <c r="Q2535" s="0" t="s">
        <v>618</v>
      </c>
      <c r="R2535" s="0" t="b">
        <v>0</v>
      </c>
      <c r="S2535" s="0" t="b">
        <v>1</v>
      </c>
      <c r="T2535" s="68">
        <v>45443.1785069444</v>
      </c>
      <c r="U2535" s="68">
        <v>45457.3333333333</v>
      </c>
      <c r="V2535" s="68">
        <v>0</v>
      </c>
      <c r="W2535" s="0">
        <f>IF(IF(B2535="none",1,IF(B2535="Trialer",1,0))+IF(C2535="Customer",1,IF(C2535="Lost",1,0))=2,1,0)</f>
      </c>
      <c r="X2535" s="0" t="s">
        <v>148</v>
      </c>
      <c r="Y2535" s="0" t="s">
        <v>243</v>
      </c>
      <c r="AV2535" s="68"/>
      <c r="AW2535" s="68"/>
      <c r="AY2535" s="27"/>
      <c r="BD2535" s="68">
        <v>46054.1666666667</v>
      </c>
      <c r="BE2535" s="68">
        <v>46082.1666666667</v>
      </c>
      <c r="BF2535" s="0" t="b">
        <v>0</v>
      </c>
      <c r="BG2535" s="0" t="b">
        <v>0</v>
      </c>
      <c r="BH2535" s="0">
        <v>28</v>
      </c>
      <c r="BI2535" s="0">
        <v>28</v>
      </c>
      <c r="BJ2535" s="0" t="s">
        <v>135</v>
      </c>
    </row>
    <row r="2536">
      <c r="A2536" s="0" t="s">
        <v>2779</v>
      </c>
      <c r="B2536" s="0" t="s">
        <v>134</v>
      </c>
      <c r="C2536" s="0" t="s">
        <v>134</v>
      </c>
      <c r="D2536" s="0" t="s">
        <v>135</v>
      </c>
      <c r="E2536" s="0" t="s">
        <v>3</v>
      </c>
      <c r="F2536" s="0" t="s">
        <v>12</v>
      </c>
      <c r="G2536" s="0" t="s">
        <v>8</v>
      </c>
      <c r="H2536" s="0">
        <v>610</v>
      </c>
      <c r="I2536" s="0">
        <v>110</v>
      </c>
      <c r="J2536" s="0">
        <v>0</v>
      </c>
      <c r="K2536" s="0">
        <v>1</v>
      </c>
      <c r="L2536" s="0">
        <v>4</v>
      </c>
      <c r="M2536" s="0">
        <v>2</v>
      </c>
      <c r="N2536" s="0">
        <v>0</v>
      </c>
      <c r="O2536" s="0">
        <v>0</v>
      </c>
      <c r="P2536" s="0">
        <v>0</v>
      </c>
      <c r="R2536" s="0" t="b">
        <v>0</v>
      </c>
      <c r="S2536" s="0" t="b">
        <v>1</v>
      </c>
      <c r="T2536" s="68">
        <v>45443.4395833333</v>
      </c>
      <c r="U2536" s="68">
        <v>45457.3333333333</v>
      </c>
      <c r="V2536" s="68">
        <v>0</v>
      </c>
      <c r="W2536" s="0">
        <f>IF(IF(B2536="none",1,IF(B2536="Trialer",1,0))+IF(C2536="Customer",1,IF(C2536="Lost",1,0))=2,1,0)</f>
      </c>
      <c r="X2536" s="0" t="s">
        <v>153</v>
      </c>
      <c r="Y2536" s="0" t="s">
        <v>243</v>
      </c>
      <c r="AV2536" s="68"/>
      <c r="AW2536" s="68"/>
      <c r="AY2536" s="27"/>
      <c r="BD2536" s="68">
        <v>46054.1666666667</v>
      </c>
      <c r="BE2536" s="68">
        <v>46082.1666666667</v>
      </c>
      <c r="BF2536" s="0" t="b">
        <v>0</v>
      </c>
      <c r="BG2536" s="0" t="b">
        <v>0</v>
      </c>
      <c r="BH2536" s="0">
        <v>110</v>
      </c>
      <c r="BI2536" s="0">
        <v>110</v>
      </c>
      <c r="BJ2536" s="0" t="s">
        <v>135</v>
      </c>
    </row>
    <row r="2537">
      <c r="A2537" s="0" t="s">
        <v>2780</v>
      </c>
      <c r="B2537" s="0" t="s">
        <v>134</v>
      </c>
      <c r="C2537" s="0" t="s">
        <v>134</v>
      </c>
      <c r="D2537" s="0" t="s">
        <v>230</v>
      </c>
      <c r="E2537" s="0" t="s">
        <v>3</v>
      </c>
      <c r="F2537" s="0" t="s">
        <v>12</v>
      </c>
      <c r="G2537" s="0" t="s">
        <v>8</v>
      </c>
      <c r="H2537" s="0">
        <v>610</v>
      </c>
      <c r="I2537" s="0">
        <v>61.2</v>
      </c>
      <c r="J2537" s="0">
        <v>0</v>
      </c>
      <c r="K2537" s="0">
        <v>1</v>
      </c>
      <c r="L2537" s="0">
        <v>2</v>
      </c>
      <c r="M2537" s="0">
        <v>2</v>
      </c>
      <c r="N2537" s="0">
        <v>0</v>
      </c>
      <c r="O2537" s="0">
        <v>0</v>
      </c>
      <c r="P2537" s="0">
        <v>-61.2</v>
      </c>
      <c r="R2537" s="0" t="b">
        <v>0</v>
      </c>
      <c r="S2537" s="0" t="b">
        <v>1</v>
      </c>
      <c r="T2537" s="68">
        <v>45443.5521759259</v>
      </c>
      <c r="U2537" s="68">
        <v>45457.3333333333</v>
      </c>
      <c r="V2537" s="68">
        <v>0</v>
      </c>
      <c r="W2537" s="0">
        <f>IF(IF(B2537="none",1,IF(B2537="Trialer",1,0))+IF(C2537="Customer",1,IF(C2537="Lost",1,0))=2,1,0)</f>
      </c>
      <c r="X2537" s="0" t="s">
        <v>153</v>
      </c>
      <c r="Y2537" s="0" t="s">
        <v>243</v>
      </c>
      <c r="AV2537" s="68"/>
      <c r="AW2537" s="68"/>
      <c r="AY2537" s="27"/>
      <c r="BD2537" s="68">
        <v>46054.1666666667</v>
      </c>
      <c r="BE2537" s="68">
        <v>46082.1666666667</v>
      </c>
      <c r="BF2537" s="0" t="b">
        <v>0</v>
      </c>
      <c r="BG2537" s="0" t="b">
        <v>0</v>
      </c>
      <c r="BH2537" s="0">
        <v>68</v>
      </c>
      <c r="BI2537" s="0">
        <v>68</v>
      </c>
      <c r="BJ2537" s="0" t="s">
        <v>230</v>
      </c>
    </row>
    <row r="2538">
      <c r="A2538" s="0" t="s">
        <v>2781</v>
      </c>
      <c r="B2538" s="0" t="s">
        <v>134</v>
      </c>
      <c r="C2538" s="0" t="s">
        <v>134</v>
      </c>
      <c r="D2538" s="0" t="s">
        <v>230</v>
      </c>
      <c r="E2538" s="0" t="s">
        <v>2</v>
      </c>
      <c r="F2538" s="0" t="s">
        <v>12</v>
      </c>
      <c r="G2538" s="0" t="s">
        <v>8</v>
      </c>
      <c r="H2538" s="0">
        <v>608</v>
      </c>
      <c r="I2538" s="0">
        <v>46</v>
      </c>
      <c r="J2538" s="0">
        <v>0</v>
      </c>
      <c r="K2538" s="0">
        <v>1</v>
      </c>
      <c r="L2538" s="0">
        <v>3</v>
      </c>
      <c r="M2538" s="0">
        <v>1</v>
      </c>
      <c r="N2538" s="0">
        <v>0</v>
      </c>
      <c r="O2538" s="0">
        <v>0</v>
      </c>
      <c r="P2538" s="0">
        <v>-46</v>
      </c>
      <c r="R2538" s="0" t="b">
        <v>0</v>
      </c>
      <c r="S2538" s="0" t="b">
        <v>1</v>
      </c>
      <c r="T2538" s="68">
        <v>45445.5</v>
      </c>
      <c r="U2538" s="68">
        <v>45456.3333333333</v>
      </c>
      <c r="V2538" s="68">
        <v>0</v>
      </c>
      <c r="W2538" s="0">
        <f>IF(IF(B2538="none",1,IF(B2538="Trialer",1,0))+IF(C2538="Customer",1,IF(C2538="Lost",1,0))=2,1,0)</f>
      </c>
      <c r="X2538" s="0" t="s">
        <v>145</v>
      </c>
      <c r="Y2538" s="0" t="s">
        <v>499</v>
      </c>
      <c r="AV2538" s="68"/>
      <c r="AW2538" s="68"/>
      <c r="AY2538" s="27"/>
      <c r="BD2538" s="68">
        <v>46054.1666666667</v>
      </c>
      <c r="BE2538" s="68">
        <v>46082.1666666667</v>
      </c>
      <c r="BF2538" s="0" t="b">
        <v>0</v>
      </c>
      <c r="BG2538" s="0" t="b">
        <v>0</v>
      </c>
      <c r="BH2538" s="0">
        <v>40</v>
      </c>
      <c r="BI2538" s="0">
        <v>40</v>
      </c>
      <c r="BJ2538" s="0" t="s">
        <v>230</v>
      </c>
    </row>
    <row r="2539">
      <c r="A2539" s="0" t="s">
        <v>2782</v>
      </c>
      <c r="B2539" s="0" t="s">
        <v>134</v>
      </c>
      <c r="C2539" s="0" t="s">
        <v>134</v>
      </c>
      <c r="D2539" s="0" t="s">
        <v>135</v>
      </c>
      <c r="E2539" s="0" t="s">
        <v>3</v>
      </c>
      <c r="F2539" s="0" t="s">
        <v>12</v>
      </c>
      <c r="G2539" s="0" t="s">
        <v>8</v>
      </c>
      <c r="H2539" s="0">
        <v>607</v>
      </c>
      <c r="I2539" s="0">
        <v>49</v>
      </c>
      <c r="J2539" s="0">
        <v>0</v>
      </c>
      <c r="K2539" s="0">
        <v>1</v>
      </c>
      <c r="L2539" s="0">
        <v>3</v>
      </c>
      <c r="M2539" s="0">
        <v>1</v>
      </c>
      <c r="N2539" s="0">
        <v>0</v>
      </c>
      <c r="O2539" s="0">
        <v>0</v>
      </c>
      <c r="P2539" s="0">
        <v>0</v>
      </c>
      <c r="R2539" s="0" t="b">
        <v>0</v>
      </c>
      <c r="S2539" s="0" t="b">
        <v>1</v>
      </c>
      <c r="T2539" s="68">
        <v>45446.4502662037</v>
      </c>
      <c r="U2539" s="68">
        <v>45460.3333333333</v>
      </c>
      <c r="V2539" s="68">
        <v>0</v>
      </c>
      <c r="W2539" s="0">
        <f>IF(IF(B2539="none",1,IF(B2539="Trialer",1,0))+IF(C2539="Customer",1,IF(C2539="Lost",1,0))=2,1,0)</f>
      </c>
      <c r="X2539" s="0" t="s">
        <v>153</v>
      </c>
      <c r="Y2539" s="0" t="s">
        <v>243</v>
      </c>
      <c r="AV2539" s="68"/>
      <c r="AW2539" s="68"/>
      <c r="AY2539" s="27"/>
      <c r="BD2539" s="68">
        <v>46054.1666666667</v>
      </c>
      <c r="BE2539" s="68">
        <v>46082.1666666667</v>
      </c>
      <c r="BF2539" s="0" t="b">
        <v>0</v>
      </c>
      <c r="BG2539" s="0" t="b">
        <v>0</v>
      </c>
      <c r="BH2539" s="0">
        <v>49</v>
      </c>
      <c r="BI2539" s="0">
        <v>49</v>
      </c>
      <c r="BJ2539" s="0" t="s">
        <v>135</v>
      </c>
    </row>
    <row r="2540">
      <c r="A2540" s="0" t="s">
        <v>2783</v>
      </c>
      <c r="B2540" s="0" t="s">
        <v>134</v>
      </c>
      <c r="C2540" s="0" t="s">
        <v>134</v>
      </c>
      <c r="D2540" s="0" t="s">
        <v>135</v>
      </c>
      <c r="E2540" s="0" t="s">
        <v>3</v>
      </c>
      <c r="F2540" s="0" t="s">
        <v>12</v>
      </c>
      <c r="G2540" s="0" t="s">
        <v>8</v>
      </c>
      <c r="H2540" s="0">
        <v>606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  <c r="N2540" s="0">
        <v>145</v>
      </c>
      <c r="O2540" s="0">
        <v>0</v>
      </c>
      <c r="P2540" s="0">
        <v>0</v>
      </c>
      <c r="R2540" s="0" t="b">
        <v>0</v>
      </c>
      <c r="S2540" s="0" t="b">
        <v>1</v>
      </c>
      <c r="T2540" s="68">
        <v>45447.4529398148</v>
      </c>
      <c r="U2540" s="68">
        <v>45468.3333333333</v>
      </c>
      <c r="V2540" s="68">
        <v>0</v>
      </c>
      <c r="W2540" s="0">
        <f>IF(IF(B2540="none",1,IF(B2540="Trialer",1,0))+IF(C2540="Customer",1,IF(C2540="Lost",1,0))=2,1,0)</f>
      </c>
      <c r="X2540" s="0" t="s">
        <v>153</v>
      </c>
      <c r="Y2540" s="0" t="s">
        <v>243</v>
      </c>
      <c r="AV2540" s="68"/>
      <c r="AW2540" s="68"/>
      <c r="AY2540" s="27"/>
      <c r="BD2540" s="68">
        <v>46054.1666666667</v>
      </c>
      <c r="BE2540" s="68">
        <v>46082.1666666667</v>
      </c>
      <c r="BF2540" s="0" t="b">
        <v>0</v>
      </c>
      <c r="BG2540" s="0" t="b">
        <v>0</v>
      </c>
      <c r="BH2540" s="0">
        <v>117</v>
      </c>
      <c r="BI2540" s="0">
        <v>117</v>
      </c>
      <c r="BJ2540" s="0" t="s">
        <v>135</v>
      </c>
    </row>
    <row r="2541">
      <c r="A2541" s="0" t="s">
        <v>2784</v>
      </c>
      <c r="B2541" s="0" t="s">
        <v>134</v>
      </c>
      <c r="C2541" s="0" t="s">
        <v>134</v>
      </c>
      <c r="D2541" s="0" t="s">
        <v>135</v>
      </c>
      <c r="E2541" s="0" t="s">
        <v>2</v>
      </c>
      <c r="F2541" s="0" t="s">
        <v>12</v>
      </c>
      <c r="G2541" s="0" t="s">
        <v>7</v>
      </c>
      <c r="H2541" s="0">
        <v>606</v>
      </c>
      <c r="I2541" s="0">
        <v>40</v>
      </c>
      <c r="J2541" s="0">
        <v>0</v>
      </c>
      <c r="K2541" s="0">
        <v>1</v>
      </c>
      <c r="L2541" s="0">
        <v>1</v>
      </c>
      <c r="M2541" s="0">
        <v>1</v>
      </c>
      <c r="N2541" s="0">
        <v>0</v>
      </c>
      <c r="O2541" s="0">
        <v>0</v>
      </c>
      <c r="P2541" s="0">
        <v>0</v>
      </c>
      <c r="R2541" s="0" t="b">
        <v>0</v>
      </c>
      <c r="S2541" s="0" t="b">
        <v>1</v>
      </c>
      <c r="T2541" s="68">
        <v>45447.5</v>
      </c>
      <c r="U2541" s="68">
        <v>45447.3333333333</v>
      </c>
      <c r="V2541" s="68">
        <v>0</v>
      </c>
      <c r="W2541" s="0">
        <f>IF(IF(B2541="none",1,IF(B2541="Trialer",1,0))+IF(C2541="Customer",1,IF(C2541="Lost",1,0))=2,1,0)</f>
      </c>
      <c r="X2541" s="0" t="s">
        <v>145</v>
      </c>
      <c r="Y2541" s="0" t="s">
        <v>137</v>
      </c>
      <c r="AV2541" s="68"/>
      <c r="AW2541" s="68"/>
      <c r="AY2541" s="27"/>
      <c r="BD2541" s="68">
        <v>46054.1666666667</v>
      </c>
      <c r="BE2541" s="68">
        <v>46082.1666666667</v>
      </c>
      <c r="BF2541" s="0" t="b">
        <v>0</v>
      </c>
      <c r="BG2541" s="0" t="b">
        <v>0</v>
      </c>
      <c r="BH2541" s="0">
        <v>40</v>
      </c>
      <c r="BI2541" s="0">
        <v>40</v>
      </c>
      <c r="BJ2541" s="0" t="s">
        <v>135</v>
      </c>
    </row>
    <row r="2542">
      <c r="A2542" s="0" t="s">
        <v>2785</v>
      </c>
      <c r="B2542" s="0" t="s">
        <v>134</v>
      </c>
      <c r="C2542" s="0" t="s">
        <v>134</v>
      </c>
      <c r="D2542" s="0" t="s">
        <v>135</v>
      </c>
      <c r="E2542" s="0" t="s">
        <v>3</v>
      </c>
      <c r="F2542" s="0" t="s">
        <v>10</v>
      </c>
      <c r="G2542" s="0" t="s">
        <v>8</v>
      </c>
      <c r="H2542" s="0">
        <v>606</v>
      </c>
      <c r="I2542" s="0">
        <v>28</v>
      </c>
      <c r="J2542" s="0">
        <v>0</v>
      </c>
      <c r="K2542" s="0">
        <v>1</v>
      </c>
      <c r="L2542" s="0">
        <v>1</v>
      </c>
      <c r="M2542" s="0">
        <v>1</v>
      </c>
      <c r="N2542" s="0">
        <v>0</v>
      </c>
      <c r="O2542" s="0">
        <v>0</v>
      </c>
      <c r="P2542" s="0">
        <v>0</v>
      </c>
      <c r="Q2542" s="0" t="s">
        <v>618</v>
      </c>
      <c r="R2542" s="0" t="b">
        <v>0</v>
      </c>
      <c r="S2542" s="0" t="b">
        <v>1</v>
      </c>
      <c r="T2542" s="68">
        <v>45447.5438657407</v>
      </c>
      <c r="U2542" s="68">
        <v>45461.3333333333</v>
      </c>
      <c r="V2542" s="68">
        <v>0</v>
      </c>
      <c r="W2542" s="0">
        <f>IF(IF(B2542="none",1,IF(B2542="Trialer",1,0))+IF(C2542="Customer",1,IF(C2542="Lost",1,0))=2,1,0)</f>
      </c>
      <c r="X2542" s="0" t="s">
        <v>148</v>
      </c>
      <c r="Y2542" s="0" t="s">
        <v>243</v>
      </c>
      <c r="AV2542" s="68"/>
      <c r="AW2542" s="68"/>
      <c r="AY2542" s="27"/>
      <c r="BD2542" s="68">
        <v>46054.1666666667</v>
      </c>
      <c r="BE2542" s="68">
        <v>46082.1666666667</v>
      </c>
      <c r="BF2542" s="0" t="b">
        <v>0</v>
      </c>
      <c r="BG2542" s="0" t="b">
        <v>0</v>
      </c>
      <c r="BH2542" s="0">
        <v>28</v>
      </c>
      <c r="BI2542" s="0">
        <v>28</v>
      </c>
      <c r="BJ2542" s="0" t="s">
        <v>135</v>
      </c>
    </row>
    <row r="2543">
      <c r="A2543" s="0" t="s">
        <v>2786</v>
      </c>
      <c r="B2543" s="0" t="s">
        <v>134</v>
      </c>
      <c r="C2543" s="0" t="s">
        <v>134</v>
      </c>
      <c r="D2543" s="0" t="s">
        <v>135</v>
      </c>
      <c r="E2543" s="0" t="s">
        <v>3</v>
      </c>
      <c r="F2543" s="0" t="s">
        <v>12</v>
      </c>
      <c r="G2543" s="0" t="s">
        <v>8</v>
      </c>
      <c r="H2543" s="0">
        <v>606</v>
      </c>
      <c r="I2543" s="0">
        <v>374</v>
      </c>
      <c r="J2543" s="0">
        <v>0</v>
      </c>
      <c r="K2543" s="0">
        <v>1</v>
      </c>
      <c r="L2543" s="0">
        <v>3</v>
      </c>
      <c r="M2543" s="0">
        <v>1</v>
      </c>
      <c r="N2543" s="0">
        <v>0</v>
      </c>
      <c r="O2543" s="0">
        <v>0</v>
      </c>
      <c r="P2543" s="0">
        <v>0</v>
      </c>
      <c r="R2543" s="0" t="b">
        <v>0</v>
      </c>
      <c r="S2543" s="0" t="b">
        <v>1</v>
      </c>
      <c r="T2543" s="68">
        <v>45447.575</v>
      </c>
      <c r="U2543" s="68">
        <v>45461.3333333333</v>
      </c>
      <c r="V2543" s="68">
        <v>0</v>
      </c>
      <c r="W2543" s="0">
        <f>IF(IF(B2543="none",1,IF(B2543="Trialer",1,0))+IF(C2543="Customer",1,IF(C2543="Lost",1,0))=2,1,0)</f>
      </c>
      <c r="X2543" s="0" t="s">
        <v>148</v>
      </c>
      <c r="Y2543" s="0" t="s">
        <v>243</v>
      </c>
      <c r="AV2543" s="68"/>
      <c r="AW2543" s="68"/>
      <c r="AY2543" s="27"/>
      <c r="BD2543" s="68">
        <v>46054.1666666667</v>
      </c>
      <c r="BE2543" s="68">
        <v>46082.1666666667</v>
      </c>
      <c r="BF2543" s="0" t="b">
        <v>0</v>
      </c>
      <c r="BG2543" s="0" t="b">
        <v>0</v>
      </c>
      <c r="BH2543" s="0">
        <v>49</v>
      </c>
      <c r="BI2543" s="0">
        <v>49</v>
      </c>
      <c r="BJ2543" s="0" t="s">
        <v>135</v>
      </c>
    </row>
    <row r="2544">
      <c r="A2544" s="0" t="s">
        <v>2787</v>
      </c>
      <c r="B2544" s="0" t="s">
        <v>134</v>
      </c>
      <c r="C2544" s="0" t="s">
        <v>134</v>
      </c>
      <c r="D2544" s="0" t="s">
        <v>230</v>
      </c>
      <c r="E2544" s="0" t="s">
        <v>3</v>
      </c>
      <c r="F2544" s="0" t="s">
        <v>12</v>
      </c>
      <c r="G2544" s="0" t="s">
        <v>8</v>
      </c>
      <c r="H2544" s="0">
        <v>606</v>
      </c>
      <c r="I2544" s="0">
        <v>88.2</v>
      </c>
      <c r="J2544" s="0">
        <v>0</v>
      </c>
      <c r="K2544" s="0">
        <v>1</v>
      </c>
      <c r="L2544" s="0">
        <v>3</v>
      </c>
      <c r="M2544" s="0">
        <v>2</v>
      </c>
      <c r="N2544" s="0">
        <v>0</v>
      </c>
      <c r="O2544" s="0">
        <v>0</v>
      </c>
      <c r="P2544" s="0">
        <v>-88.2</v>
      </c>
      <c r="R2544" s="0" t="b">
        <v>0</v>
      </c>
      <c r="S2544" s="0" t="b">
        <v>1</v>
      </c>
      <c r="T2544" s="68">
        <v>45447.6027430556</v>
      </c>
      <c r="U2544" s="68">
        <v>45461.3333333333</v>
      </c>
      <c r="V2544" s="68">
        <v>0</v>
      </c>
      <c r="W2544" s="0">
        <f>IF(IF(B2544="none",1,IF(B2544="Trialer",1,0))+IF(C2544="Customer",1,IF(C2544="Lost",1,0))=2,1,0)</f>
      </c>
      <c r="X2544" s="0" t="s">
        <v>166</v>
      </c>
      <c r="Y2544" s="0" t="s">
        <v>243</v>
      </c>
      <c r="AV2544" s="68"/>
      <c r="AW2544" s="68"/>
      <c r="AY2544" s="27"/>
      <c r="BD2544" s="68">
        <v>46054.1666666667</v>
      </c>
      <c r="BE2544" s="68">
        <v>46082.1666666667</v>
      </c>
      <c r="BF2544" s="0" t="b">
        <v>0</v>
      </c>
      <c r="BG2544" s="0" t="b">
        <v>0</v>
      </c>
      <c r="BH2544" s="0">
        <v>77</v>
      </c>
      <c r="BI2544" s="0">
        <v>77</v>
      </c>
      <c r="BJ2544" s="0" t="s">
        <v>230</v>
      </c>
    </row>
    <row r="2545">
      <c r="A2545" s="0" t="s">
        <v>2788</v>
      </c>
      <c r="B2545" s="0" t="s">
        <v>134</v>
      </c>
      <c r="C2545" s="0" t="s">
        <v>134</v>
      </c>
      <c r="D2545" s="0" t="s">
        <v>135</v>
      </c>
      <c r="E2545" s="0" t="s">
        <v>3</v>
      </c>
      <c r="F2545" s="0" t="s">
        <v>12</v>
      </c>
      <c r="G2545" s="0" t="s">
        <v>8</v>
      </c>
      <c r="H2545" s="0">
        <v>605</v>
      </c>
      <c r="I2545" s="0">
        <v>40</v>
      </c>
      <c r="J2545" s="0">
        <v>0</v>
      </c>
      <c r="K2545" s="0">
        <v>1</v>
      </c>
      <c r="L2545" s="0">
        <v>2</v>
      </c>
      <c r="M2545" s="0">
        <v>1</v>
      </c>
      <c r="N2545" s="0">
        <v>0</v>
      </c>
      <c r="O2545" s="0">
        <v>0</v>
      </c>
      <c r="P2545" s="0">
        <v>0</v>
      </c>
      <c r="R2545" s="0" t="b">
        <v>0</v>
      </c>
      <c r="S2545" s="0" t="b">
        <v>1</v>
      </c>
      <c r="T2545" s="68">
        <v>45448.5109375</v>
      </c>
      <c r="U2545" s="68">
        <v>45462.3333333333</v>
      </c>
      <c r="V2545" s="68">
        <v>0</v>
      </c>
      <c r="W2545" s="0">
        <f>IF(IF(B2545="none",1,IF(B2545="Trialer",1,0))+IF(C2545="Customer",1,IF(C2545="Lost",1,0))=2,1,0)</f>
      </c>
      <c r="X2545" s="0" t="s">
        <v>153</v>
      </c>
      <c r="Y2545" s="0" t="s">
        <v>243</v>
      </c>
      <c r="AV2545" s="68"/>
      <c r="AW2545" s="68"/>
      <c r="AY2545" s="27"/>
      <c r="BD2545" s="68">
        <v>46054.1666666667</v>
      </c>
      <c r="BE2545" s="68">
        <v>46082.1666666667</v>
      </c>
      <c r="BF2545" s="0" t="b">
        <v>0</v>
      </c>
      <c r="BG2545" s="0" t="b">
        <v>0</v>
      </c>
      <c r="BH2545" s="0">
        <v>40</v>
      </c>
      <c r="BI2545" s="0">
        <v>40</v>
      </c>
      <c r="BJ2545" s="0" t="s">
        <v>135</v>
      </c>
    </row>
    <row r="2546">
      <c r="A2546" s="0" t="s">
        <v>2789</v>
      </c>
      <c r="B2546" s="0" t="s">
        <v>134</v>
      </c>
      <c r="C2546" s="0" t="s">
        <v>134</v>
      </c>
      <c r="D2546" s="0" t="s">
        <v>230</v>
      </c>
      <c r="E2546" s="0" t="s">
        <v>3</v>
      </c>
      <c r="F2546" s="0" t="s">
        <v>12</v>
      </c>
      <c r="G2546" s="0" t="s">
        <v>8</v>
      </c>
      <c r="H2546" s="0">
        <v>605</v>
      </c>
      <c r="I2546" s="0">
        <v>236</v>
      </c>
      <c r="J2546" s="0">
        <v>0</v>
      </c>
      <c r="K2546" s="0">
        <v>1</v>
      </c>
      <c r="L2546" s="0">
        <v>4</v>
      </c>
      <c r="M2546" s="0">
        <v>6</v>
      </c>
      <c r="N2546" s="0">
        <v>0</v>
      </c>
      <c r="O2546" s="0">
        <v>0</v>
      </c>
      <c r="P2546" s="0">
        <v>-236</v>
      </c>
      <c r="R2546" s="0" t="b">
        <v>0</v>
      </c>
      <c r="S2546" s="0" t="b">
        <v>1</v>
      </c>
      <c r="T2546" s="68">
        <v>45448.6065046296</v>
      </c>
      <c r="U2546" s="68">
        <v>45462.3333333333</v>
      </c>
      <c r="V2546" s="68">
        <v>0</v>
      </c>
      <c r="W2546" s="0">
        <f>IF(IF(B2546="none",1,IF(B2546="Trialer",1,0))+IF(C2546="Customer",1,IF(C2546="Lost",1,0))=2,1,0)</f>
      </c>
      <c r="X2546" s="0" t="s">
        <v>145</v>
      </c>
      <c r="Y2546" s="0" t="s">
        <v>243</v>
      </c>
      <c r="AV2546" s="68"/>
      <c r="AW2546" s="68"/>
      <c r="AY2546" s="27"/>
      <c r="BD2546" s="68">
        <v>46054.1666666667</v>
      </c>
      <c r="BE2546" s="68">
        <v>46082.1666666667</v>
      </c>
      <c r="BF2546" s="0" t="b">
        <v>0</v>
      </c>
      <c r="BG2546" s="0" t="b">
        <v>0</v>
      </c>
      <c r="BH2546" s="0">
        <v>267</v>
      </c>
      <c r="BI2546" s="0">
        <v>267</v>
      </c>
      <c r="BJ2546" s="0" t="s">
        <v>230</v>
      </c>
    </row>
    <row r="2547">
      <c r="A2547" s="0" t="s">
        <v>2790</v>
      </c>
      <c r="B2547" s="0" t="s">
        <v>134</v>
      </c>
      <c r="C2547" s="0" t="s">
        <v>134</v>
      </c>
      <c r="D2547" s="0" t="s">
        <v>135</v>
      </c>
      <c r="E2547" s="0" t="s">
        <v>3</v>
      </c>
      <c r="F2547" s="0" t="s">
        <v>12</v>
      </c>
      <c r="G2547" s="0" t="s">
        <v>8</v>
      </c>
      <c r="H2547" s="0">
        <v>604</v>
      </c>
      <c r="I2547" s="0">
        <v>135</v>
      </c>
      <c r="J2547" s="0">
        <v>0</v>
      </c>
      <c r="K2547" s="0">
        <v>1</v>
      </c>
      <c r="L2547" s="0">
        <v>3</v>
      </c>
      <c r="M2547" s="0">
        <v>3</v>
      </c>
      <c r="N2547" s="0">
        <v>0</v>
      </c>
      <c r="O2547" s="0">
        <v>0</v>
      </c>
      <c r="P2547" s="0">
        <v>0</v>
      </c>
      <c r="R2547" s="0" t="b">
        <v>0</v>
      </c>
      <c r="S2547" s="0" t="b">
        <v>1</v>
      </c>
      <c r="T2547" s="68">
        <v>45449.4971064815</v>
      </c>
      <c r="U2547" s="68">
        <v>45467.3333333333</v>
      </c>
      <c r="V2547" s="68">
        <v>0</v>
      </c>
      <c r="W2547" s="0">
        <f>IF(IF(B2547="none",1,IF(B2547="Trialer",1,0))+IF(C2547="Customer",1,IF(C2547="Lost",1,0))=2,1,0)</f>
      </c>
      <c r="X2547" s="0" t="s">
        <v>153</v>
      </c>
      <c r="Y2547" s="0" t="s">
        <v>243</v>
      </c>
      <c r="AV2547" s="68"/>
      <c r="AW2547" s="68"/>
      <c r="AY2547" s="27"/>
      <c r="BD2547" s="68">
        <v>46054.1666666667</v>
      </c>
      <c r="BE2547" s="68">
        <v>46082.1666666667</v>
      </c>
      <c r="BF2547" s="0" t="b">
        <v>0</v>
      </c>
      <c r="BG2547" s="0" t="b">
        <v>0</v>
      </c>
      <c r="BH2547" s="0">
        <v>233</v>
      </c>
      <c r="BI2547" s="0">
        <v>233</v>
      </c>
      <c r="BJ2547" s="0" t="s">
        <v>135</v>
      </c>
    </row>
    <row r="2548">
      <c r="A2548" s="0" t="s">
        <v>2791</v>
      </c>
      <c r="B2548" s="0" t="s">
        <v>134</v>
      </c>
      <c r="C2548" s="0" t="s">
        <v>134</v>
      </c>
      <c r="D2548" s="0" t="s">
        <v>230</v>
      </c>
      <c r="E2548" s="0" t="s">
        <v>3</v>
      </c>
      <c r="F2548" s="0" t="s">
        <v>12</v>
      </c>
      <c r="G2548" s="0" t="s">
        <v>8</v>
      </c>
      <c r="H2548" s="0">
        <v>604</v>
      </c>
      <c r="I2548" s="0">
        <v>258</v>
      </c>
      <c r="J2548" s="0">
        <v>0</v>
      </c>
      <c r="K2548" s="0">
        <v>1</v>
      </c>
      <c r="L2548" s="0">
        <v>4</v>
      </c>
      <c r="M2548" s="0">
        <v>7</v>
      </c>
      <c r="N2548" s="0">
        <v>1007.5</v>
      </c>
      <c r="O2548" s="0">
        <v>0</v>
      </c>
      <c r="P2548" s="0">
        <v>-258</v>
      </c>
      <c r="R2548" s="0" t="b">
        <v>0</v>
      </c>
      <c r="S2548" s="0" t="b">
        <v>1</v>
      </c>
      <c r="T2548" s="68">
        <v>45449.6313194444</v>
      </c>
      <c r="U2548" s="68">
        <v>45467.3333333333</v>
      </c>
      <c r="V2548" s="68">
        <v>0</v>
      </c>
      <c r="W2548" s="0">
        <f>IF(IF(B2548="none",1,IF(B2548="Trialer",1,0))+IF(C2548="Customer",1,IF(C2548="Lost",1,0))=2,1,0)</f>
      </c>
      <c r="X2548" s="0" t="s">
        <v>882</v>
      </c>
      <c r="Y2548" s="0" t="s">
        <v>243</v>
      </c>
      <c r="AV2548" s="68"/>
      <c r="AW2548" s="68"/>
      <c r="AY2548" s="27"/>
      <c r="BD2548" s="68">
        <v>46054.1666666667</v>
      </c>
      <c r="BE2548" s="68">
        <v>46082.1666666667</v>
      </c>
      <c r="BF2548" s="0" t="b">
        <v>0</v>
      </c>
      <c r="BG2548" s="0" t="b">
        <v>0</v>
      </c>
      <c r="BH2548" s="0">
        <v>293</v>
      </c>
      <c r="BI2548" s="0">
        <v>293</v>
      </c>
      <c r="BJ2548" s="0" t="s">
        <v>230</v>
      </c>
    </row>
    <row r="2549">
      <c r="A2549" s="0" t="s">
        <v>2792</v>
      </c>
      <c r="B2549" s="0" t="s">
        <v>134</v>
      </c>
      <c r="C2549" s="0" t="s">
        <v>134</v>
      </c>
      <c r="D2549" s="0" t="s">
        <v>230</v>
      </c>
      <c r="E2549" s="0" t="s">
        <v>3</v>
      </c>
      <c r="F2549" s="0" t="s">
        <v>12</v>
      </c>
      <c r="G2549" s="0" t="s">
        <v>8</v>
      </c>
      <c r="H2549" s="0">
        <v>604</v>
      </c>
      <c r="I2549" s="0">
        <v>44</v>
      </c>
      <c r="J2549" s="0">
        <v>0</v>
      </c>
      <c r="K2549" s="0">
        <v>1</v>
      </c>
      <c r="L2549" s="0">
        <v>3</v>
      </c>
      <c r="M2549" s="0">
        <v>1</v>
      </c>
      <c r="N2549" s="0">
        <v>0</v>
      </c>
      <c r="O2549" s="0">
        <v>0</v>
      </c>
      <c r="P2549" s="0">
        <v>-44</v>
      </c>
      <c r="R2549" s="0" t="b">
        <v>0</v>
      </c>
      <c r="S2549" s="0" t="b">
        <v>1</v>
      </c>
      <c r="T2549" s="68">
        <v>45449.8584143519</v>
      </c>
      <c r="U2549" s="68">
        <v>45457.3333333333</v>
      </c>
      <c r="V2549" s="68">
        <v>0</v>
      </c>
      <c r="W2549" s="0">
        <f>IF(IF(B2549="none",1,IF(B2549="Trialer",1,0))+IF(C2549="Customer",1,IF(C2549="Lost",1,0))=2,1,0)</f>
      </c>
      <c r="X2549" s="0" t="s">
        <v>166</v>
      </c>
      <c r="Y2549" s="0" t="s">
        <v>243</v>
      </c>
      <c r="AV2549" s="68"/>
      <c r="AW2549" s="68"/>
      <c r="AY2549" s="27"/>
      <c r="BD2549" s="68">
        <v>46054.1666666667</v>
      </c>
      <c r="BE2549" s="68">
        <v>46082.1666666667</v>
      </c>
      <c r="BF2549" s="0" t="b">
        <v>0</v>
      </c>
      <c r="BG2549" s="0" t="b">
        <v>0</v>
      </c>
      <c r="BH2549" s="0">
        <v>49</v>
      </c>
      <c r="BI2549" s="0">
        <v>49</v>
      </c>
      <c r="BJ2549" s="0" t="s">
        <v>230</v>
      </c>
    </row>
    <row r="2550">
      <c r="A2550" s="0" t="s">
        <v>2793</v>
      </c>
      <c r="B2550" s="0" t="s">
        <v>134</v>
      </c>
      <c r="C2550" s="0" t="s">
        <v>134</v>
      </c>
      <c r="D2550" s="0" t="s">
        <v>135</v>
      </c>
      <c r="E2550" s="0" t="s">
        <v>2</v>
      </c>
      <c r="F2550" s="0" t="s">
        <v>12</v>
      </c>
      <c r="G2550" s="0" t="s">
        <v>8</v>
      </c>
      <c r="H2550" s="0">
        <v>603</v>
      </c>
      <c r="I2550" s="0">
        <v>89</v>
      </c>
      <c r="J2550" s="0">
        <v>0</v>
      </c>
      <c r="K2550" s="0">
        <v>1</v>
      </c>
      <c r="L2550" s="0">
        <v>3</v>
      </c>
      <c r="M2550" s="0">
        <v>2</v>
      </c>
      <c r="N2550" s="0">
        <v>0</v>
      </c>
      <c r="O2550" s="0">
        <v>0</v>
      </c>
      <c r="P2550" s="0">
        <v>0</v>
      </c>
      <c r="R2550" s="0" t="b">
        <v>0</v>
      </c>
      <c r="S2550" s="0" t="b">
        <v>1</v>
      </c>
      <c r="T2550" s="68">
        <v>45450.4079861111</v>
      </c>
      <c r="U2550" s="68">
        <v>45464.3333333333</v>
      </c>
      <c r="V2550" s="68">
        <v>0</v>
      </c>
      <c r="W2550" s="0">
        <f>IF(IF(B2550="none",1,IF(B2550="Trialer",1,0))+IF(C2550="Customer",1,IF(C2550="Lost",1,0))=2,1,0)</f>
      </c>
      <c r="X2550" s="0" t="s">
        <v>142</v>
      </c>
      <c r="Y2550" s="0" t="s">
        <v>499</v>
      </c>
      <c r="AV2550" s="68"/>
      <c r="AW2550" s="68"/>
      <c r="AY2550" s="27"/>
      <c r="BD2550" s="68">
        <v>46054.1666666667</v>
      </c>
      <c r="BE2550" s="68">
        <v>46082.1666666667</v>
      </c>
      <c r="BF2550" s="0" t="b">
        <v>0</v>
      </c>
      <c r="BG2550" s="0" t="b">
        <v>0</v>
      </c>
      <c r="BH2550" s="0">
        <v>89</v>
      </c>
      <c r="BI2550" s="0">
        <v>89</v>
      </c>
      <c r="BJ2550" s="0" t="s">
        <v>135</v>
      </c>
    </row>
    <row r="2551">
      <c r="A2551" s="0" t="s">
        <v>2794</v>
      </c>
      <c r="B2551" s="0" t="s">
        <v>134</v>
      </c>
      <c r="C2551" s="0" t="s">
        <v>134</v>
      </c>
      <c r="D2551" s="0" t="s">
        <v>230</v>
      </c>
      <c r="E2551" s="0" t="s">
        <v>3</v>
      </c>
      <c r="F2551" s="0" t="s">
        <v>12</v>
      </c>
      <c r="G2551" s="0" t="s">
        <v>8</v>
      </c>
      <c r="H2551" s="0">
        <v>603</v>
      </c>
      <c r="I2551" s="0">
        <v>36</v>
      </c>
      <c r="J2551" s="0">
        <v>0</v>
      </c>
      <c r="K2551" s="0">
        <v>1</v>
      </c>
      <c r="L2551" s="0">
        <v>2</v>
      </c>
      <c r="M2551" s="0">
        <v>1</v>
      </c>
      <c r="N2551" s="0">
        <v>0</v>
      </c>
      <c r="O2551" s="0">
        <v>0</v>
      </c>
      <c r="P2551" s="0">
        <v>-36</v>
      </c>
      <c r="R2551" s="0" t="b">
        <v>0</v>
      </c>
      <c r="S2551" s="0" t="b">
        <v>1</v>
      </c>
      <c r="T2551" s="68">
        <v>45450.5147453704</v>
      </c>
      <c r="U2551" s="68">
        <v>45464.3333333333</v>
      </c>
      <c r="V2551" s="68">
        <v>0</v>
      </c>
      <c r="W2551" s="0">
        <f>IF(IF(B2551="none",1,IF(B2551="Trialer",1,0))+IF(C2551="Customer",1,IF(C2551="Lost",1,0))=2,1,0)</f>
      </c>
      <c r="X2551" s="0" t="s">
        <v>153</v>
      </c>
      <c r="Y2551" s="0" t="s">
        <v>243</v>
      </c>
      <c r="AV2551" s="68"/>
      <c r="AW2551" s="68"/>
      <c r="AY2551" s="27"/>
      <c r="BD2551" s="68">
        <v>46054.1666666667</v>
      </c>
      <c r="BE2551" s="68">
        <v>46082.1666666667</v>
      </c>
      <c r="BF2551" s="0" t="b">
        <v>0</v>
      </c>
      <c r="BG2551" s="0" t="b">
        <v>0</v>
      </c>
      <c r="BH2551" s="0">
        <v>40</v>
      </c>
      <c r="BI2551" s="0">
        <v>40</v>
      </c>
      <c r="BJ2551" s="0" t="s">
        <v>230</v>
      </c>
    </row>
    <row r="2552">
      <c r="A2552" s="0" t="s">
        <v>2795</v>
      </c>
      <c r="B2552" s="0" t="s">
        <v>134</v>
      </c>
      <c r="C2552" s="0" t="s">
        <v>134</v>
      </c>
      <c r="D2552" s="0" t="s">
        <v>230</v>
      </c>
      <c r="E2552" s="0" t="s">
        <v>2</v>
      </c>
      <c r="F2552" s="0" t="s">
        <v>12</v>
      </c>
      <c r="G2552" s="0" t="s">
        <v>8</v>
      </c>
      <c r="H2552" s="0">
        <v>603</v>
      </c>
      <c r="I2552" s="0">
        <v>369.9</v>
      </c>
      <c r="J2552" s="0">
        <v>0</v>
      </c>
      <c r="K2552" s="0">
        <v>1</v>
      </c>
      <c r="L2552" s="0">
        <v>4</v>
      </c>
      <c r="M2552" s="0">
        <v>9</v>
      </c>
      <c r="N2552" s="0">
        <v>0</v>
      </c>
      <c r="O2552" s="0">
        <v>0</v>
      </c>
      <c r="P2552" s="0">
        <v>-369.9</v>
      </c>
      <c r="R2552" s="0" t="b">
        <v>0</v>
      </c>
      <c r="S2552" s="0" t="b">
        <v>1</v>
      </c>
      <c r="T2552" s="68">
        <v>45450.5909143519</v>
      </c>
      <c r="U2552" s="68">
        <v>45450.3333333333</v>
      </c>
      <c r="V2552" s="68">
        <v>0</v>
      </c>
      <c r="W2552" s="0">
        <f>IF(IF(B2552="none",1,IF(B2552="Trialer",1,0))+IF(C2552="Customer",1,IF(C2552="Lost",1,0))=2,1,0)</f>
      </c>
      <c r="X2552" s="0" t="s">
        <v>145</v>
      </c>
      <c r="Y2552" s="0" t="s">
        <v>499</v>
      </c>
      <c r="AV2552" s="68"/>
      <c r="AW2552" s="68"/>
      <c r="AY2552" s="27"/>
      <c r="BD2552" s="68">
        <v>46054.1666666667</v>
      </c>
      <c r="BE2552" s="68">
        <v>46082.1666666667</v>
      </c>
      <c r="BF2552" s="0" t="b">
        <v>0</v>
      </c>
      <c r="BG2552" s="0" t="b">
        <v>0</v>
      </c>
      <c r="BH2552" s="0">
        <v>334</v>
      </c>
      <c r="BI2552" s="0">
        <v>334</v>
      </c>
      <c r="BJ2552" s="0" t="s">
        <v>230</v>
      </c>
    </row>
    <row r="2553">
      <c r="A2553" s="0" t="s">
        <v>2796</v>
      </c>
      <c r="B2553" s="0" t="s">
        <v>134</v>
      </c>
      <c r="C2553" s="0" t="s">
        <v>134</v>
      </c>
      <c r="D2553" s="0" t="s">
        <v>135</v>
      </c>
      <c r="E2553" s="0" t="s">
        <v>3</v>
      </c>
      <c r="F2553" s="0" t="s">
        <v>11</v>
      </c>
      <c r="G2553" s="0" t="s">
        <v>8</v>
      </c>
      <c r="H2553" s="0">
        <v>600</v>
      </c>
      <c r="I2553" s="0">
        <v>40</v>
      </c>
      <c r="J2553" s="0">
        <v>0</v>
      </c>
      <c r="K2553" s="0">
        <v>1</v>
      </c>
      <c r="L2553" s="0">
        <v>1</v>
      </c>
      <c r="M2553" s="0">
        <v>0</v>
      </c>
      <c r="N2553" s="0">
        <v>0</v>
      </c>
      <c r="O2553" s="0">
        <v>0</v>
      </c>
      <c r="P2553" s="0">
        <v>0</v>
      </c>
      <c r="Q2553" s="0" t="s">
        <v>1743</v>
      </c>
      <c r="R2553" s="0" t="b">
        <v>1</v>
      </c>
      <c r="S2553" s="0" t="b">
        <v>1</v>
      </c>
      <c r="T2553" s="68">
        <v>45453.5097453704</v>
      </c>
      <c r="U2553" s="68">
        <v>45453.3333333333</v>
      </c>
      <c r="V2553" s="68">
        <v>0</v>
      </c>
      <c r="W2553" s="0">
        <f>IF(IF(B2553="none",1,IF(B2553="Trialer",1,0))+IF(C2553="Customer",1,IF(C2553="Lost",1,0))=2,1,0)</f>
      </c>
      <c r="X2553" s="0" t="s">
        <v>145</v>
      </c>
      <c r="Y2553" s="0" t="s">
        <v>243</v>
      </c>
      <c r="AV2553" s="68"/>
      <c r="AW2553" s="68"/>
      <c r="AY2553" s="27"/>
      <c r="BD2553" s="68">
        <v>46054.1666666667</v>
      </c>
      <c r="BE2553" s="68">
        <v>46082.1666666667</v>
      </c>
      <c r="BF2553" s="0" t="b">
        <v>0</v>
      </c>
      <c r="BG2553" s="0" t="b">
        <v>0</v>
      </c>
      <c r="BH2553" s="0">
        <v>40</v>
      </c>
      <c r="BI2553" s="0">
        <v>40</v>
      </c>
      <c r="BJ2553" s="0" t="s">
        <v>135</v>
      </c>
    </row>
    <row r="2554">
      <c r="A2554" s="0" t="s">
        <v>2797</v>
      </c>
      <c r="B2554" s="0" t="s">
        <v>134</v>
      </c>
      <c r="C2554" s="0" t="s">
        <v>134</v>
      </c>
      <c r="D2554" s="0" t="s">
        <v>135</v>
      </c>
      <c r="E2554" s="0" t="s">
        <v>2</v>
      </c>
      <c r="F2554" s="0" t="s">
        <v>10</v>
      </c>
      <c r="G2554" s="0" t="s">
        <v>8</v>
      </c>
      <c r="H2554" s="0">
        <v>600</v>
      </c>
      <c r="I2554" s="0">
        <v>1137</v>
      </c>
      <c r="J2554" s="0">
        <v>0</v>
      </c>
      <c r="K2554" s="0">
        <v>1</v>
      </c>
      <c r="L2554" s="0">
        <v>4</v>
      </c>
      <c r="M2554" s="0">
        <v>27</v>
      </c>
      <c r="N2554" s="0">
        <v>0</v>
      </c>
      <c r="O2554" s="0">
        <v>0</v>
      </c>
      <c r="P2554" s="0">
        <v>0</v>
      </c>
      <c r="Q2554" s="0" t="s">
        <v>357</v>
      </c>
      <c r="R2554" s="0" t="b">
        <v>0</v>
      </c>
      <c r="S2554" s="0" t="b">
        <v>1</v>
      </c>
      <c r="T2554" s="68">
        <v>45453.5256944444</v>
      </c>
      <c r="U2554" s="68">
        <v>45467.3333333333</v>
      </c>
      <c r="V2554" s="68">
        <v>0</v>
      </c>
      <c r="W2554" s="0">
        <f>IF(IF(B2554="none",1,IF(B2554="Trialer",1,0))+IF(C2554="Customer",1,IF(C2554="Lost",1,0))=2,1,0)</f>
      </c>
      <c r="X2554" s="0" t="s">
        <v>148</v>
      </c>
      <c r="Y2554" s="0" t="s">
        <v>499</v>
      </c>
      <c r="AV2554" s="68"/>
      <c r="AW2554" s="68"/>
      <c r="AY2554" s="27"/>
      <c r="BD2554" s="68">
        <v>46054.1666666667</v>
      </c>
      <c r="BE2554" s="68">
        <v>46082.1666666667</v>
      </c>
      <c r="BF2554" s="0" t="b">
        <v>0</v>
      </c>
      <c r="BG2554" s="0" t="b">
        <v>0</v>
      </c>
      <c r="BH2554" s="0">
        <v>1137</v>
      </c>
      <c r="BI2554" s="0">
        <v>1137</v>
      </c>
      <c r="BJ2554" s="0" t="s">
        <v>135</v>
      </c>
    </row>
    <row r="2555">
      <c r="A2555" s="0" t="s">
        <v>2798</v>
      </c>
      <c r="B2555" s="0" t="s">
        <v>134</v>
      </c>
      <c r="C2555" s="0" t="s">
        <v>134</v>
      </c>
      <c r="D2555" s="0" t="s">
        <v>135</v>
      </c>
      <c r="E2555" s="0" t="s">
        <v>3</v>
      </c>
      <c r="F2555" s="0" t="s">
        <v>12</v>
      </c>
      <c r="G2555" s="0" t="s">
        <v>8</v>
      </c>
      <c r="H2555" s="0">
        <v>599</v>
      </c>
      <c r="I2555" s="0">
        <v>85</v>
      </c>
      <c r="J2555" s="0">
        <v>0</v>
      </c>
      <c r="K2555" s="0">
        <v>1</v>
      </c>
      <c r="L2555" s="0">
        <v>3</v>
      </c>
      <c r="M2555" s="0">
        <v>3</v>
      </c>
      <c r="N2555" s="0">
        <v>0</v>
      </c>
      <c r="O2555" s="0">
        <v>0</v>
      </c>
      <c r="P2555" s="0">
        <v>0</v>
      </c>
      <c r="R2555" s="0" t="b">
        <v>0</v>
      </c>
      <c r="S2555" s="0" t="b">
        <v>1</v>
      </c>
      <c r="T2555" s="68">
        <v>45454.5596759259</v>
      </c>
      <c r="U2555" s="68">
        <v>45468.3333333333</v>
      </c>
      <c r="V2555" s="68">
        <v>0</v>
      </c>
      <c r="W2555" s="0">
        <f>IF(IF(B2555="none",1,IF(B2555="Trialer",1,0))+IF(C2555="Customer",1,IF(C2555="Lost",1,0))=2,1,0)</f>
      </c>
      <c r="X2555" s="0" t="s">
        <v>142</v>
      </c>
      <c r="Y2555" s="0" t="s">
        <v>243</v>
      </c>
      <c r="AV2555" s="68"/>
      <c r="AW2555" s="68"/>
      <c r="AY2555" s="27"/>
      <c r="BD2555" s="68">
        <v>46054.1666666667</v>
      </c>
      <c r="BE2555" s="68">
        <v>46082.1666666667</v>
      </c>
      <c r="BF2555" s="0" t="b">
        <v>0</v>
      </c>
      <c r="BG2555" s="0" t="b">
        <v>0</v>
      </c>
      <c r="BH2555" s="0">
        <v>85</v>
      </c>
      <c r="BI2555" s="0">
        <v>85</v>
      </c>
      <c r="BJ2555" s="0" t="s">
        <v>135</v>
      </c>
    </row>
    <row r="2556">
      <c r="A2556" s="0" t="s">
        <v>2799</v>
      </c>
      <c r="B2556" s="0" t="s">
        <v>134</v>
      </c>
      <c r="C2556" s="0" t="s">
        <v>134</v>
      </c>
      <c r="D2556" s="0" t="s">
        <v>135</v>
      </c>
      <c r="E2556" s="0" t="s">
        <v>2</v>
      </c>
      <c r="F2556" s="0" t="s">
        <v>12</v>
      </c>
      <c r="G2556" s="0" t="s">
        <v>8</v>
      </c>
      <c r="H2556" s="0">
        <v>599</v>
      </c>
      <c r="I2556" s="0">
        <v>49</v>
      </c>
      <c r="J2556" s="0">
        <v>0</v>
      </c>
      <c r="K2556" s="0">
        <v>1</v>
      </c>
      <c r="L2556" s="0">
        <v>3</v>
      </c>
      <c r="M2556" s="0">
        <v>1</v>
      </c>
      <c r="N2556" s="0">
        <v>0</v>
      </c>
      <c r="O2556" s="0">
        <v>0</v>
      </c>
      <c r="P2556" s="0">
        <v>0</v>
      </c>
      <c r="R2556" s="0" t="b">
        <v>0</v>
      </c>
      <c r="S2556" s="0" t="b">
        <v>1</v>
      </c>
      <c r="T2556" s="68">
        <v>45454.6655671296</v>
      </c>
      <c r="U2556" s="68">
        <v>45468.3333333333</v>
      </c>
      <c r="V2556" s="68">
        <v>0</v>
      </c>
      <c r="W2556" s="0">
        <f>IF(IF(B2556="none",1,IF(B2556="Trialer",1,0))+IF(C2556="Customer",1,IF(C2556="Lost",1,0))=2,1,0)</f>
      </c>
      <c r="X2556" s="0" t="s">
        <v>142</v>
      </c>
      <c r="Y2556" s="0" t="s">
        <v>499</v>
      </c>
      <c r="AV2556" s="68"/>
      <c r="AW2556" s="68"/>
      <c r="AY2556" s="27"/>
      <c r="BD2556" s="68">
        <v>46054.1666666667</v>
      </c>
      <c r="BE2556" s="68">
        <v>46082.1666666667</v>
      </c>
      <c r="BF2556" s="0" t="b">
        <v>0</v>
      </c>
      <c r="BG2556" s="0" t="b">
        <v>0</v>
      </c>
      <c r="BH2556" s="0">
        <v>49</v>
      </c>
      <c r="BI2556" s="0">
        <v>49</v>
      </c>
      <c r="BJ2556" s="0" t="s">
        <v>135</v>
      </c>
    </row>
    <row r="2557">
      <c r="A2557" s="0" t="s">
        <v>2800</v>
      </c>
      <c r="B2557" s="0" t="s">
        <v>134</v>
      </c>
      <c r="C2557" s="0" t="s">
        <v>134</v>
      </c>
      <c r="D2557" s="0" t="s">
        <v>230</v>
      </c>
      <c r="E2557" s="0" t="s">
        <v>2</v>
      </c>
      <c r="F2557" s="0" t="s">
        <v>12</v>
      </c>
      <c r="G2557" s="0" t="s">
        <v>8</v>
      </c>
      <c r="H2557" s="0">
        <v>599</v>
      </c>
      <c r="I2557" s="0">
        <v>180</v>
      </c>
      <c r="J2557" s="0">
        <v>0</v>
      </c>
      <c r="K2557" s="0">
        <v>1</v>
      </c>
      <c r="L2557" s="0">
        <v>2</v>
      </c>
      <c r="M2557" s="0">
        <v>5</v>
      </c>
      <c r="N2557" s="0">
        <v>0</v>
      </c>
      <c r="O2557" s="0">
        <v>0</v>
      </c>
      <c r="P2557" s="0">
        <v>-180</v>
      </c>
      <c r="R2557" s="0" t="b">
        <v>0</v>
      </c>
      <c r="S2557" s="0" t="b">
        <v>1</v>
      </c>
      <c r="T2557" s="68">
        <v>45454.6722800926</v>
      </c>
      <c r="U2557" s="68">
        <v>45468.3333333333</v>
      </c>
      <c r="V2557" s="68">
        <v>0</v>
      </c>
      <c r="W2557" s="0">
        <f>IF(IF(B2557="none",1,IF(B2557="Trialer",1,0))+IF(C2557="Customer",1,IF(C2557="Lost",1,0))=2,1,0)</f>
      </c>
      <c r="X2557" s="0" t="s">
        <v>148</v>
      </c>
      <c r="Y2557" s="0" t="s">
        <v>499</v>
      </c>
      <c r="AV2557" s="68"/>
      <c r="AW2557" s="68"/>
      <c r="AY2557" s="27"/>
      <c r="BD2557" s="68">
        <v>46054.1666666667</v>
      </c>
      <c r="BE2557" s="68">
        <v>46082.1666666667</v>
      </c>
      <c r="BF2557" s="0" t="b">
        <v>0</v>
      </c>
      <c r="BG2557" s="0" t="b">
        <v>0</v>
      </c>
      <c r="BH2557" s="0">
        <v>200</v>
      </c>
      <c r="BI2557" s="0">
        <v>200</v>
      </c>
      <c r="BJ2557" s="0" t="s">
        <v>230</v>
      </c>
    </row>
    <row r="2558">
      <c r="A2558" s="0" t="s">
        <v>2801</v>
      </c>
      <c r="B2558" s="0" t="s">
        <v>134</v>
      </c>
      <c r="C2558" s="0" t="s">
        <v>134</v>
      </c>
      <c r="D2558" s="0" t="s">
        <v>135</v>
      </c>
      <c r="E2558" s="0" t="s">
        <v>2</v>
      </c>
      <c r="F2558" s="0" t="s">
        <v>12</v>
      </c>
      <c r="G2558" s="0" t="s">
        <v>8</v>
      </c>
      <c r="H2558" s="0">
        <v>598</v>
      </c>
      <c r="I2558" s="0">
        <v>247</v>
      </c>
      <c r="J2558" s="0">
        <v>0</v>
      </c>
      <c r="K2558" s="0">
        <v>1</v>
      </c>
      <c r="L2558" s="0">
        <v>5</v>
      </c>
      <c r="M2558" s="0">
        <v>4</v>
      </c>
      <c r="N2558" s="0">
        <v>0</v>
      </c>
      <c r="O2558" s="0">
        <v>0</v>
      </c>
      <c r="P2558" s="0">
        <v>0</v>
      </c>
      <c r="R2558" s="0" t="b">
        <v>0</v>
      </c>
      <c r="S2558" s="0" t="b">
        <v>1</v>
      </c>
      <c r="T2558" s="68">
        <v>45455.3818518519</v>
      </c>
      <c r="U2558" s="68">
        <v>45469.3333333333</v>
      </c>
      <c r="V2558" s="68">
        <v>0</v>
      </c>
      <c r="W2558" s="0">
        <f>IF(IF(B2558="none",1,IF(B2558="Trialer",1,0))+IF(C2558="Customer",1,IF(C2558="Lost",1,0))=2,1,0)</f>
      </c>
      <c r="X2558" s="0" t="s">
        <v>148</v>
      </c>
      <c r="Y2558" s="0" t="s">
        <v>499</v>
      </c>
      <c r="AV2558" s="68"/>
      <c r="AW2558" s="68"/>
      <c r="AY2558" s="27"/>
      <c r="BD2558" s="68">
        <v>46054.1666666667</v>
      </c>
      <c r="BE2558" s="68">
        <v>46082.1666666667</v>
      </c>
      <c r="BF2558" s="0" t="b">
        <v>0</v>
      </c>
      <c r="BG2558" s="0" t="b">
        <v>0</v>
      </c>
      <c r="BH2558" s="0">
        <v>247</v>
      </c>
      <c r="BI2558" s="0">
        <v>247</v>
      </c>
      <c r="BJ2558" s="0" t="s">
        <v>135</v>
      </c>
    </row>
    <row r="2559">
      <c r="A2559" s="0" t="s">
        <v>2802</v>
      </c>
      <c r="B2559" s="0" t="s">
        <v>134</v>
      </c>
      <c r="C2559" s="0" t="s">
        <v>134</v>
      </c>
      <c r="D2559" s="0" t="s">
        <v>135</v>
      </c>
      <c r="E2559" s="0" t="s">
        <v>3</v>
      </c>
      <c r="F2559" s="0" t="s">
        <v>11</v>
      </c>
      <c r="G2559" s="0" t="s">
        <v>8</v>
      </c>
      <c r="H2559" s="0">
        <v>598</v>
      </c>
      <c r="I2559" s="0">
        <v>166.4</v>
      </c>
      <c r="J2559" s="0">
        <v>0</v>
      </c>
      <c r="K2559" s="0">
        <v>1</v>
      </c>
      <c r="L2559" s="0">
        <v>4</v>
      </c>
      <c r="M2559" s="0">
        <v>4</v>
      </c>
      <c r="N2559" s="0">
        <v>0</v>
      </c>
      <c r="O2559" s="0">
        <v>0</v>
      </c>
      <c r="P2559" s="0">
        <v>0</v>
      </c>
      <c r="Q2559" s="0" t="s">
        <v>1743</v>
      </c>
      <c r="R2559" s="0" t="b">
        <v>1</v>
      </c>
      <c r="S2559" s="0" t="b">
        <v>1</v>
      </c>
      <c r="T2559" s="68">
        <v>45455.5846180556</v>
      </c>
      <c r="U2559" s="68">
        <v>45455.3333333333</v>
      </c>
      <c r="V2559" s="68">
        <v>0</v>
      </c>
      <c r="W2559" s="0">
        <f>IF(IF(B2559="none",1,IF(B2559="Trialer",1,0))+IF(C2559="Customer",1,IF(C2559="Lost",1,0))=2,1,0)</f>
      </c>
      <c r="X2559" s="0" t="s">
        <v>145</v>
      </c>
      <c r="Y2559" s="0" t="s">
        <v>243</v>
      </c>
      <c r="AV2559" s="68"/>
      <c r="AW2559" s="68"/>
      <c r="AY2559" s="27"/>
      <c r="BD2559" s="68">
        <v>46054.1666666667</v>
      </c>
      <c r="BE2559" s="68">
        <v>46082.1666666667</v>
      </c>
      <c r="BF2559" s="0" t="b">
        <v>0</v>
      </c>
      <c r="BG2559" s="0" t="b">
        <v>0</v>
      </c>
      <c r="BH2559" s="0">
        <v>166.4</v>
      </c>
      <c r="BI2559" s="0">
        <v>166.4</v>
      </c>
      <c r="BJ2559" s="0" t="s">
        <v>135</v>
      </c>
    </row>
    <row r="2560">
      <c r="A2560" s="0" t="s">
        <v>2803</v>
      </c>
      <c r="B2560" s="0" t="s">
        <v>134</v>
      </c>
      <c r="C2560" s="0" t="s">
        <v>134</v>
      </c>
      <c r="D2560" s="0" t="s">
        <v>230</v>
      </c>
      <c r="E2560" s="0" t="s">
        <v>3</v>
      </c>
      <c r="F2560" s="0" t="s">
        <v>12</v>
      </c>
      <c r="G2560" s="0" t="s">
        <v>8</v>
      </c>
      <c r="H2560" s="0">
        <v>597</v>
      </c>
      <c r="I2560" s="0">
        <v>148</v>
      </c>
      <c r="J2560" s="0">
        <v>0</v>
      </c>
      <c r="K2560" s="0">
        <v>1</v>
      </c>
      <c r="L2560" s="0">
        <v>6</v>
      </c>
      <c r="M2560" s="0">
        <v>2</v>
      </c>
      <c r="N2560" s="0">
        <v>0</v>
      </c>
      <c r="O2560" s="0">
        <v>0</v>
      </c>
      <c r="P2560" s="0">
        <v>-148</v>
      </c>
      <c r="R2560" s="0" t="b">
        <v>0</v>
      </c>
      <c r="S2560" s="0" t="b">
        <v>1</v>
      </c>
      <c r="T2560" s="68">
        <v>45456.4722222222</v>
      </c>
      <c r="U2560" s="68">
        <v>45470.3333333333</v>
      </c>
      <c r="V2560" s="68">
        <v>0</v>
      </c>
      <c r="W2560" s="0">
        <f>IF(IF(B2560="none",1,IF(B2560="Trialer",1,0))+IF(C2560="Customer",1,IF(C2560="Lost",1,0))=2,1,0)</f>
      </c>
      <c r="X2560" s="0" t="s">
        <v>142</v>
      </c>
      <c r="Y2560" s="0" t="s">
        <v>243</v>
      </c>
      <c r="AV2560" s="68"/>
      <c r="AW2560" s="68"/>
      <c r="AY2560" s="27"/>
      <c r="BD2560" s="68">
        <v>46054.1666666667</v>
      </c>
      <c r="BE2560" s="68">
        <v>46082.1666666667</v>
      </c>
      <c r="BF2560" s="0" t="b">
        <v>0</v>
      </c>
      <c r="BG2560" s="0" t="b">
        <v>0</v>
      </c>
      <c r="BH2560" s="0">
        <v>219</v>
      </c>
      <c r="BI2560" s="0">
        <v>219</v>
      </c>
      <c r="BJ2560" s="0" t="s">
        <v>230</v>
      </c>
    </row>
    <row r="2561">
      <c r="A2561" s="0" t="s">
        <v>2804</v>
      </c>
      <c r="B2561" s="0" t="s">
        <v>134</v>
      </c>
      <c r="C2561" s="0" t="s">
        <v>134</v>
      </c>
      <c r="D2561" s="0" t="s">
        <v>230</v>
      </c>
      <c r="E2561" s="0" t="s">
        <v>3</v>
      </c>
      <c r="F2561" s="0" t="s">
        <v>12</v>
      </c>
      <c r="G2561" s="0" t="s">
        <v>8</v>
      </c>
      <c r="H2561" s="0">
        <v>597</v>
      </c>
      <c r="I2561" s="0">
        <v>206</v>
      </c>
      <c r="J2561" s="0">
        <v>0</v>
      </c>
      <c r="K2561" s="0">
        <v>1</v>
      </c>
      <c r="L2561" s="0">
        <v>4</v>
      </c>
      <c r="M2561" s="0">
        <v>4</v>
      </c>
      <c r="N2561" s="0">
        <v>0</v>
      </c>
      <c r="O2561" s="0">
        <v>0</v>
      </c>
      <c r="P2561" s="0">
        <v>-206</v>
      </c>
      <c r="R2561" s="0" t="b">
        <v>0</v>
      </c>
      <c r="S2561" s="0" t="b">
        <v>1</v>
      </c>
      <c r="T2561" s="68">
        <v>45456.4930787037</v>
      </c>
      <c r="U2561" s="68">
        <v>45456.3333333333</v>
      </c>
      <c r="V2561" s="68">
        <v>0</v>
      </c>
      <c r="W2561" s="0">
        <f>IF(IF(B2561="none",1,IF(B2561="Trialer",1,0))+IF(C2561="Customer",1,IF(C2561="Lost",1,0))=2,1,0)</f>
      </c>
      <c r="X2561" s="0" t="s">
        <v>145</v>
      </c>
      <c r="Y2561" s="0" t="s">
        <v>243</v>
      </c>
      <c r="AV2561" s="68"/>
      <c r="AW2561" s="68"/>
      <c r="AY2561" s="27"/>
      <c r="BD2561" s="68">
        <v>46054.1666666667</v>
      </c>
      <c r="BE2561" s="68">
        <v>46082.1666666667</v>
      </c>
      <c r="BF2561" s="0" t="b">
        <v>0</v>
      </c>
      <c r="BG2561" s="0" t="b">
        <v>0</v>
      </c>
      <c r="BH2561" s="0">
        <v>246</v>
      </c>
      <c r="BI2561" s="0">
        <v>246</v>
      </c>
      <c r="BJ2561" s="0" t="s">
        <v>230</v>
      </c>
    </row>
    <row r="2562">
      <c r="A2562" s="0" t="s">
        <v>2805</v>
      </c>
      <c r="B2562" s="0" t="s">
        <v>134</v>
      </c>
      <c r="C2562" s="0" t="s">
        <v>134</v>
      </c>
      <c r="D2562" s="0" t="s">
        <v>230</v>
      </c>
      <c r="E2562" s="0" t="s">
        <v>3</v>
      </c>
      <c r="F2562" s="0" t="s">
        <v>12</v>
      </c>
      <c r="G2562" s="0" t="s">
        <v>8</v>
      </c>
      <c r="H2562" s="0">
        <v>596</v>
      </c>
      <c r="I2562" s="0">
        <v>44</v>
      </c>
      <c r="J2562" s="0">
        <v>0</v>
      </c>
      <c r="K2562" s="0">
        <v>1</v>
      </c>
      <c r="L2562" s="0">
        <v>3</v>
      </c>
      <c r="M2562" s="0">
        <v>1</v>
      </c>
      <c r="N2562" s="0">
        <v>0</v>
      </c>
      <c r="O2562" s="0">
        <v>0</v>
      </c>
      <c r="P2562" s="0">
        <v>-44</v>
      </c>
      <c r="R2562" s="0" t="b">
        <v>0</v>
      </c>
      <c r="S2562" s="0" t="b">
        <v>1</v>
      </c>
      <c r="T2562" s="68">
        <v>45457.4453587963</v>
      </c>
      <c r="U2562" s="68">
        <v>45471.3333333333</v>
      </c>
      <c r="V2562" s="68">
        <v>0</v>
      </c>
      <c r="W2562" s="0">
        <f>IF(IF(B2562="none",1,IF(B2562="Trialer",1,0))+IF(C2562="Customer",1,IF(C2562="Lost",1,0))=2,1,0)</f>
      </c>
      <c r="X2562" s="0" t="s">
        <v>142</v>
      </c>
      <c r="Y2562" s="0" t="s">
        <v>243</v>
      </c>
      <c r="AV2562" s="68"/>
      <c r="AW2562" s="68"/>
      <c r="AY2562" s="27"/>
      <c r="BD2562" s="68">
        <v>46054.1666666667</v>
      </c>
      <c r="BE2562" s="68">
        <v>46082.1666666667</v>
      </c>
      <c r="BF2562" s="0" t="b">
        <v>0</v>
      </c>
      <c r="BG2562" s="0" t="b">
        <v>0</v>
      </c>
      <c r="BH2562" s="0">
        <v>49</v>
      </c>
      <c r="BI2562" s="0">
        <v>49</v>
      </c>
      <c r="BJ2562" s="0" t="s">
        <v>230</v>
      </c>
    </row>
    <row r="2563">
      <c r="A2563" s="0" t="s">
        <v>2806</v>
      </c>
      <c r="B2563" s="0" t="s">
        <v>134</v>
      </c>
      <c r="C2563" s="0" t="s">
        <v>134</v>
      </c>
      <c r="D2563" s="0" t="s">
        <v>135</v>
      </c>
      <c r="E2563" s="0" t="s">
        <v>2</v>
      </c>
      <c r="F2563" s="0" t="s">
        <v>10</v>
      </c>
      <c r="G2563" s="0" t="s">
        <v>8</v>
      </c>
      <c r="H2563" s="0">
        <v>596</v>
      </c>
      <c r="I2563" s="0">
        <v>40</v>
      </c>
      <c r="J2563" s="0">
        <v>0</v>
      </c>
      <c r="K2563" s="0">
        <v>1</v>
      </c>
      <c r="L2563" s="0">
        <v>1</v>
      </c>
      <c r="M2563" s="0">
        <v>0</v>
      </c>
      <c r="N2563" s="0">
        <v>0</v>
      </c>
      <c r="O2563" s="0">
        <v>0</v>
      </c>
      <c r="P2563" s="0">
        <v>0</v>
      </c>
      <c r="Q2563" s="0" t="s">
        <v>2370</v>
      </c>
      <c r="R2563" s="0" t="b">
        <v>0</v>
      </c>
      <c r="S2563" s="0" t="b">
        <v>1</v>
      </c>
      <c r="T2563" s="68">
        <v>45457.6964467593</v>
      </c>
      <c r="U2563" s="68">
        <v>45457.3333333333</v>
      </c>
      <c r="V2563" s="68">
        <v>0</v>
      </c>
      <c r="W2563" s="0">
        <f>IF(IF(B2563="none",1,IF(B2563="Trialer",1,0))+IF(C2563="Customer",1,IF(C2563="Lost",1,0))=2,1,0)</f>
      </c>
      <c r="X2563" s="0" t="s">
        <v>148</v>
      </c>
      <c r="Y2563" s="0" t="s">
        <v>499</v>
      </c>
      <c r="AV2563" s="68"/>
      <c r="AW2563" s="68"/>
      <c r="AY2563" s="27"/>
      <c r="BD2563" s="68">
        <v>46054.1666666667</v>
      </c>
      <c r="BE2563" s="68">
        <v>46082.1666666667</v>
      </c>
      <c r="BF2563" s="0" t="b">
        <v>0</v>
      </c>
      <c r="BG2563" s="0" t="b">
        <v>0</v>
      </c>
      <c r="BH2563" s="0">
        <v>40</v>
      </c>
      <c r="BI2563" s="0">
        <v>40</v>
      </c>
      <c r="BJ2563" s="0" t="s">
        <v>135</v>
      </c>
    </row>
    <row r="2564">
      <c r="A2564" s="0" t="s">
        <v>2807</v>
      </c>
      <c r="B2564" s="0" t="s">
        <v>134</v>
      </c>
      <c r="C2564" s="0" t="s">
        <v>134</v>
      </c>
      <c r="D2564" s="0" t="s">
        <v>135</v>
      </c>
      <c r="E2564" s="0" t="s">
        <v>3</v>
      </c>
      <c r="F2564" s="0" t="s">
        <v>12</v>
      </c>
      <c r="G2564" s="0" t="s">
        <v>8</v>
      </c>
      <c r="H2564" s="0">
        <v>593</v>
      </c>
      <c r="I2564" s="0">
        <v>52</v>
      </c>
      <c r="J2564" s="0">
        <v>0</v>
      </c>
      <c r="K2564" s="0">
        <v>1</v>
      </c>
      <c r="L2564" s="0">
        <v>3</v>
      </c>
      <c r="M2564" s="0">
        <v>1</v>
      </c>
      <c r="N2564" s="0">
        <v>0</v>
      </c>
      <c r="O2564" s="0">
        <v>0</v>
      </c>
      <c r="P2564" s="0">
        <v>0</v>
      </c>
      <c r="R2564" s="0" t="b">
        <v>0</v>
      </c>
      <c r="S2564" s="0" t="b">
        <v>1</v>
      </c>
      <c r="T2564" s="68">
        <v>45460.4209606481</v>
      </c>
      <c r="U2564" s="68">
        <v>45481.3333333333</v>
      </c>
      <c r="V2564" s="68">
        <v>0</v>
      </c>
      <c r="W2564" s="0">
        <f>IF(IF(B2564="none",1,IF(B2564="Trialer",1,0))+IF(C2564="Customer",1,IF(C2564="Lost",1,0))=2,1,0)</f>
      </c>
      <c r="X2564" s="0" t="s">
        <v>166</v>
      </c>
      <c r="Y2564" s="0" t="s">
        <v>243</v>
      </c>
      <c r="AV2564" s="68"/>
      <c r="AW2564" s="68"/>
      <c r="AY2564" s="27"/>
      <c r="BD2564" s="68">
        <v>46054.1666666667</v>
      </c>
      <c r="BE2564" s="68">
        <v>46082.1666666667</v>
      </c>
      <c r="BF2564" s="0" t="b">
        <v>0</v>
      </c>
      <c r="BG2564" s="0" t="b">
        <v>0</v>
      </c>
      <c r="BH2564" s="0">
        <v>52</v>
      </c>
      <c r="BI2564" s="0">
        <v>52</v>
      </c>
      <c r="BJ2564" s="0" t="s">
        <v>135</v>
      </c>
    </row>
    <row r="2565">
      <c r="A2565" s="0" t="s">
        <v>2808</v>
      </c>
      <c r="B2565" s="0" t="s">
        <v>134</v>
      </c>
      <c r="C2565" s="0" t="s">
        <v>134</v>
      </c>
      <c r="D2565" s="0" t="s">
        <v>230</v>
      </c>
      <c r="E2565" s="0" t="s">
        <v>3</v>
      </c>
      <c r="F2565" s="0" t="s">
        <v>12</v>
      </c>
      <c r="G2565" s="0" t="s">
        <v>8</v>
      </c>
      <c r="H2565" s="0">
        <v>593</v>
      </c>
      <c r="I2565" s="0">
        <v>54</v>
      </c>
      <c r="J2565" s="0">
        <v>0</v>
      </c>
      <c r="K2565" s="0">
        <v>1</v>
      </c>
      <c r="L2565" s="0">
        <v>4</v>
      </c>
      <c r="M2565" s="0">
        <v>1</v>
      </c>
      <c r="N2565" s="0">
        <v>0</v>
      </c>
      <c r="O2565" s="0">
        <v>0</v>
      </c>
      <c r="P2565" s="0">
        <v>-54</v>
      </c>
      <c r="R2565" s="0" t="b">
        <v>0</v>
      </c>
      <c r="S2565" s="0" t="b">
        <v>1</v>
      </c>
      <c r="T2565" s="68">
        <v>45460.6333333333</v>
      </c>
      <c r="U2565" s="68">
        <v>45475.3333333333</v>
      </c>
      <c r="V2565" s="68">
        <v>0</v>
      </c>
      <c r="W2565" s="0">
        <f>IF(IF(B2565="none",1,IF(B2565="Trialer",1,0))+IF(C2565="Customer",1,IF(C2565="Lost",1,0))=2,1,0)</f>
      </c>
      <c r="X2565" s="0" t="s">
        <v>142</v>
      </c>
      <c r="Y2565" s="0" t="s">
        <v>243</v>
      </c>
      <c r="AV2565" s="68"/>
      <c r="AW2565" s="68"/>
      <c r="AY2565" s="27"/>
      <c r="BD2565" s="68">
        <v>46054.1666666667</v>
      </c>
      <c r="BE2565" s="68">
        <v>46082.1666666667</v>
      </c>
      <c r="BF2565" s="0" t="b">
        <v>0</v>
      </c>
      <c r="BG2565" s="0" t="b">
        <v>0</v>
      </c>
      <c r="BH2565" s="0">
        <v>61</v>
      </c>
      <c r="BI2565" s="0">
        <v>61</v>
      </c>
      <c r="BJ2565" s="0" t="s">
        <v>230</v>
      </c>
    </row>
    <row r="2566">
      <c r="A2566" s="0" t="s">
        <v>2809</v>
      </c>
      <c r="B2566" s="0" t="s">
        <v>134</v>
      </c>
      <c r="C2566" s="0" t="s">
        <v>134</v>
      </c>
      <c r="D2566" s="0" t="s">
        <v>135</v>
      </c>
      <c r="E2566" s="0" t="s">
        <v>3</v>
      </c>
      <c r="F2566" s="0" t="s">
        <v>12</v>
      </c>
      <c r="G2566" s="0" t="s">
        <v>8</v>
      </c>
      <c r="H2566" s="0">
        <v>592</v>
      </c>
      <c r="I2566" s="0">
        <v>334</v>
      </c>
      <c r="J2566" s="0">
        <v>0</v>
      </c>
      <c r="K2566" s="0">
        <v>1</v>
      </c>
      <c r="L2566" s="0">
        <v>3</v>
      </c>
      <c r="M2566" s="0">
        <v>7</v>
      </c>
      <c r="N2566" s="0">
        <v>0</v>
      </c>
      <c r="O2566" s="0">
        <v>0</v>
      </c>
      <c r="P2566" s="0">
        <v>0</v>
      </c>
      <c r="R2566" s="0" t="b">
        <v>0</v>
      </c>
      <c r="S2566" s="0" t="b">
        <v>1</v>
      </c>
      <c r="T2566" s="68">
        <v>45461.3406828704</v>
      </c>
      <c r="U2566" s="68">
        <v>45475.3333333333</v>
      </c>
      <c r="V2566" s="68">
        <v>0</v>
      </c>
      <c r="W2566" s="0">
        <f>IF(IF(B2566="none",1,IF(B2566="Trialer",1,0))+IF(C2566="Customer",1,IF(C2566="Lost",1,0))=2,1,0)</f>
      </c>
      <c r="X2566" s="0" t="s">
        <v>145</v>
      </c>
      <c r="Y2566" s="0" t="s">
        <v>243</v>
      </c>
      <c r="AV2566" s="68"/>
      <c r="AW2566" s="68"/>
      <c r="AY2566" s="27"/>
      <c r="BD2566" s="68">
        <v>46054.1666666667</v>
      </c>
      <c r="BE2566" s="68">
        <v>46082.1666666667</v>
      </c>
      <c r="BF2566" s="0" t="b">
        <v>0</v>
      </c>
      <c r="BG2566" s="0" t="b">
        <v>0</v>
      </c>
      <c r="BH2566" s="0">
        <v>334</v>
      </c>
      <c r="BI2566" s="0">
        <v>334</v>
      </c>
      <c r="BJ2566" s="0" t="s">
        <v>135</v>
      </c>
    </row>
    <row r="2567">
      <c r="A2567" s="0" t="s">
        <v>2810</v>
      </c>
      <c r="B2567" s="0" t="s">
        <v>134</v>
      </c>
      <c r="C2567" s="0" t="s">
        <v>134</v>
      </c>
      <c r="D2567" s="0" t="s">
        <v>230</v>
      </c>
      <c r="E2567" s="0" t="s">
        <v>3</v>
      </c>
      <c r="F2567" s="0" t="s">
        <v>12</v>
      </c>
      <c r="G2567" s="0" t="s">
        <v>8</v>
      </c>
      <c r="H2567" s="0">
        <v>592</v>
      </c>
      <c r="I2567" s="0">
        <v>44</v>
      </c>
      <c r="J2567" s="0">
        <v>0</v>
      </c>
      <c r="K2567" s="0">
        <v>1</v>
      </c>
      <c r="L2567" s="0">
        <v>3</v>
      </c>
      <c r="M2567" s="0">
        <v>1</v>
      </c>
      <c r="N2567" s="0">
        <v>0</v>
      </c>
      <c r="O2567" s="0">
        <v>0</v>
      </c>
      <c r="P2567" s="0">
        <v>-44</v>
      </c>
      <c r="R2567" s="0" t="b">
        <v>0</v>
      </c>
      <c r="S2567" s="0" t="b">
        <v>1</v>
      </c>
      <c r="T2567" s="68">
        <v>45461.5131712963</v>
      </c>
      <c r="U2567" s="68">
        <v>45475.3333333333</v>
      </c>
      <c r="V2567" s="68">
        <v>0</v>
      </c>
      <c r="W2567" s="0">
        <f>IF(IF(B2567="none",1,IF(B2567="Trialer",1,0))+IF(C2567="Customer",1,IF(C2567="Lost",1,0))=2,1,0)</f>
      </c>
      <c r="X2567" s="0" t="s">
        <v>153</v>
      </c>
      <c r="Y2567" s="0" t="s">
        <v>243</v>
      </c>
      <c r="AV2567" s="68"/>
      <c r="AW2567" s="68"/>
      <c r="AY2567" s="27"/>
      <c r="BD2567" s="68">
        <v>46054.1666666667</v>
      </c>
      <c r="BE2567" s="68">
        <v>46082.1666666667</v>
      </c>
      <c r="BF2567" s="0" t="b">
        <v>0</v>
      </c>
      <c r="BG2567" s="0" t="b">
        <v>0</v>
      </c>
      <c r="BH2567" s="0">
        <v>49</v>
      </c>
      <c r="BI2567" s="0">
        <v>49</v>
      </c>
      <c r="BJ2567" s="0" t="s">
        <v>230</v>
      </c>
    </row>
    <row r="2568">
      <c r="A2568" s="0" t="s">
        <v>2811</v>
      </c>
      <c r="B2568" s="0" t="s">
        <v>134</v>
      </c>
      <c r="C2568" s="0" t="s">
        <v>134</v>
      </c>
      <c r="D2568" s="0" t="s">
        <v>135</v>
      </c>
      <c r="E2568" s="0" t="s">
        <v>2</v>
      </c>
      <c r="F2568" s="0" t="s">
        <v>12</v>
      </c>
      <c r="G2568" s="0" t="s">
        <v>8</v>
      </c>
      <c r="H2568" s="0">
        <v>592</v>
      </c>
      <c r="I2568" s="0">
        <v>49</v>
      </c>
      <c r="J2568" s="0">
        <v>0</v>
      </c>
      <c r="K2568" s="0">
        <v>1</v>
      </c>
      <c r="L2568" s="0">
        <v>3</v>
      </c>
      <c r="M2568" s="0">
        <v>1</v>
      </c>
      <c r="N2568" s="0">
        <v>0</v>
      </c>
      <c r="O2568" s="0">
        <v>0</v>
      </c>
      <c r="P2568" s="0">
        <v>0</v>
      </c>
      <c r="R2568" s="0" t="b">
        <v>0</v>
      </c>
      <c r="S2568" s="0" t="b">
        <v>1</v>
      </c>
      <c r="T2568" s="68">
        <v>45461.7118055556</v>
      </c>
      <c r="U2568" s="68">
        <v>45490.3333333333</v>
      </c>
      <c r="V2568" s="68">
        <v>0</v>
      </c>
      <c r="W2568" s="0">
        <f>IF(IF(B2568="none",1,IF(B2568="Trialer",1,0))+IF(C2568="Customer",1,IF(C2568="Lost",1,0))=2,1,0)</f>
      </c>
      <c r="X2568" s="0" t="s">
        <v>153</v>
      </c>
      <c r="Y2568" s="0" t="s">
        <v>499</v>
      </c>
      <c r="AV2568" s="68"/>
      <c r="AW2568" s="68"/>
      <c r="AY2568" s="27"/>
      <c r="BD2568" s="68">
        <v>46054.1666666667</v>
      </c>
      <c r="BE2568" s="68">
        <v>46082.1666666667</v>
      </c>
      <c r="BF2568" s="0" t="b">
        <v>0</v>
      </c>
      <c r="BG2568" s="0" t="b">
        <v>0</v>
      </c>
      <c r="BH2568" s="0">
        <v>49</v>
      </c>
      <c r="BI2568" s="0">
        <v>49</v>
      </c>
      <c r="BJ2568" s="0" t="s">
        <v>135</v>
      </c>
    </row>
    <row r="2569">
      <c r="A2569" s="0" t="s">
        <v>2812</v>
      </c>
      <c r="B2569" s="0" t="s">
        <v>134</v>
      </c>
      <c r="C2569" s="0" t="s">
        <v>134</v>
      </c>
      <c r="D2569" s="0" t="s">
        <v>230</v>
      </c>
      <c r="E2569" s="0" t="s">
        <v>2</v>
      </c>
      <c r="F2569" s="0" t="s">
        <v>12</v>
      </c>
      <c r="G2569" s="0" t="s">
        <v>8</v>
      </c>
      <c r="H2569" s="0">
        <v>591</v>
      </c>
      <c r="I2569" s="0">
        <v>735.4</v>
      </c>
      <c r="J2569" s="0">
        <v>0</v>
      </c>
      <c r="K2569" s="0">
        <v>1</v>
      </c>
      <c r="L2569" s="0">
        <v>4</v>
      </c>
      <c r="M2569" s="0">
        <v>9</v>
      </c>
      <c r="N2569" s="0">
        <v>2371.5</v>
      </c>
      <c r="O2569" s="0">
        <v>0</v>
      </c>
      <c r="P2569" s="0">
        <v>-410.4</v>
      </c>
      <c r="R2569" s="0" t="b">
        <v>0</v>
      </c>
      <c r="S2569" s="0" t="b">
        <v>1</v>
      </c>
      <c r="T2569" s="68">
        <v>45462.4280671296</v>
      </c>
      <c r="U2569" s="68">
        <v>45462.3333333333</v>
      </c>
      <c r="V2569" s="68">
        <v>0</v>
      </c>
      <c r="W2569" s="0">
        <f>IF(IF(B2569="none",1,IF(B2569="Trialer",1,0))+IF(C2569="Customer",1,IF(C2569="Lost",1,0))=2,1,0)</f>
      </c>
      <c r="X2569" s="0" t="s">
        <v>145</v>
      </c>
      <c r="Y2569" s="0" t="s">
        <v>499</v>
      </c>
      <c r="AV2569" s="68"/>
      <c r="AW2569" s="68"/>
      <c r="AY2569" s="27"/>
      <c r="BD2569" s="68">
        <v>46054.1666666667</v>
      </c>
      <c r="BE2569" s="68">
        <v>46082.1666666667</v>
      </c>
      <c r="BF2569" s="0" t="b">
        <v>0</v>
      </c>
      <c r="BG2569" s="0" t="b">
        <v>0</v>
      </c>
      <c r="BH2569" s="0">
        <v>456</v>
      </c>
      <c r="BI2569" s="0">
        <v>456</v>
      </c>
      <c r="BJ2569" s="0" t="s">
        <v>230</v>
      </c>
    </row>
    <row r="2570">
      <c r="A2570" s="0" t="s">
        <v>2813</v>
      </c>
      <c r="B2570" s="0" t="s">
        <v>134</v>
      </c>
      <c r="C2570" s="0" t="s">
        <v>134</v>
      </c>
      <c r="D2570" s="0" t="s">
        <v>135</v>
      </c>
      <c r="E2570" s="0" t="s">
        <v>3</v>
      </c>
      <c r="F2570" s="0" t="s">
        <v>12</v>
      </c>
      <c r="G2570" s="0" t="s">
        <v>8</v>
      </c>
      <c r="H2570" s="0">
        <v>590</v>
      </c>
      <c r="I2570" s="0">
        <v>49</v>
      </c>
      <c r="J2570" s="0">
        <v>0</v>
      </c>
      <c r="K2570" s="0">
        <v>1</v>
      </c>
      <c r="L2570" s="0">
        <v>3</v>
      </c>
      <c r="M2570" s="0">
        <v>1</v>
      </c>
      <c r="N2570" s="0">
        <v>0</v>
      </c>
      <c r="O2570" s="0">
        <v>0</v>
      </c>
      <c r="P2570" s="0">
        <v>0</v>
      </c>
      <c r="R2570" s="0" t="b">
        <v>0</v>
      </c>
      <c r="S2570" s="0" t="b">
        <v>1</v>
      </c>
      <c r="T2570" s="68">
        <v>45463.4611111111</v>
      </c>
      <c r="U2570" s="68">
        <v>45477.3333333333</v>
      </c>
      <c r="V2570" s="68">
        <v>0</v>
      </c>
      <c r="W2570" s="0">
        <f>IF(IF(B2570="none",1,IF(B2570="Trialer",1,0))+IF(C2570="Customer",1,IF(C2570="Lost",1,0))=2,1,0)</f>
      </c>
      <c r="X2570" s="0" t="s">
        <v>153</v>
      </c>
      <c r="Y2570" s="0" t="s">
        <v>243</v>
      </c>
      <c r="AV2570" s="68"/>
      <c r="AW2570" s="68"/>
      <c r="AY2570" s="27"/>
      <c r="BD2570" s="68">
        <v>46054.1666666667</v>
      </c>
      <c r="BE2570" s="68">
        <v>46082.1666666667</v>
      </c>
      <c r="BF2570" s="0" t="b">
        <v>0</v>
      </c>
      <c r="BG2570" s="0" t="b">
        <v>0</v>
      </c>
      <c r="BH2570" s="0">
        <v>49</v>
      </c>
      <c r="BI2570" s="0">
        <v>49</v>
      </c>
      <c r="BJ2570" s="0" t="s">
        <v>135</v>
      </c>
    </row>
    <row r="2571">
      <c r="A2571" s="0" t="s">
        <v>2814</v>
      </c>
      <c r="B2571" s="0" t="s">
        <v>134</v>
      </c>
      <c r="C2571" s="0" t="s">
        <v>134</v>
      </c>
      <c r="D2571" s="0" t="s">
        <v>135</v>
      </c>
      <c r="E2571" s="0" t="s">
        <v>3</v>
      </c>
      <c r="F2571" s="0" t="s">
        <v>12</v>
      </c>
      <c r="G2571" s="0" t="s">
        <v>8</v>
      </c>
      <c r="H2571" s="0">
        <v>590</v>
      </c>
      <c r="I2571" s="0">
        <v>49</v>
      </c>
      <c r="J2571" s="0">
        <v>0</v>
      </c>
      <c r="K2571" s="0">
        <v>1</v>
      </c>
      <c r="L2571" s="0">
        <v>3</v>
      </c>
      <c r="M2571" s="0">
        <v>1</v>
      </c>
      <c r="N2571" s="0">
        <v>0</v>
      </c>
      <c r="O2571" s="0">
        <v>0</v>
      </c>
      <c r="P2571" s="0">
        <v>0</v>
      </c>
      <c r="R2571" s="0" t="b">
        <v>0</v>
      </c>
      <c r="S2571" s="0" t="b">
        <v>1</v>
      </c>
      <c r="T2571" s="68">
        <v>45463.4902430556</v>
      </c>
      <c r="U2571" s="68">
        <v>45477.3333333333</v>
      </c>
      <c r="V2571" s="68">
        <v>0</v>
      </c>
      <c r="W2571" s="0">
        <f>IF(IF(B2571="none",1,IF(B2571="Trialer",1,0))+IF(C2571="Customer",1,IF(C2571="Lost",1,0))=2,1,0)</f>
      </c>
      <c r="X2571" s="0" t="s">
        <v>153</v>
      </c>
      <c r="Y2571" s="0" t="s">
        <v>243</v>
      </c>
      <c r="AV2571" s="68"/>
      <c r="AW2571" s="68"/>
      <c r="AY2571" s="27"/>
      <c r="BD2571" s="68">
        <v>46054.1666666667</v>
      </c>
      <c r="BE2571" s="68">
        <v>46082.1666666667</v>
      </c>
      <c r="BF2571" s="0" t="b">
        <v>0</v>
      </c>
      <c r="BG2571" s="0" t="b">
        <v>0</v>
      </c>
      <c r="BH2571" s="0">
        <v>49</v>
      </c>
      <c r="BI2571" s="0">
        <v>49</v>
      </c>
      <c r="BJ2571" s="0" t="s">
        <v>135</v>
      </c>
    </row>
    <row r="2572">
      <c r="A2572" s="0" t="s">
        <v>2815</v>
      </c>
      <c r="B2572" s="0" t="s">
        <v>134</v>
      </c>
      <c r="C2572" s="0" t="s">
        <v>134</v>
      </c>
      <c r="D2572" s="0" t="s">
        <v>135</v>
      </c>
      <c r="E2572" s="0" t="s">
        <v>3</v>
      </c>
      <c r="F2572" s="0" t="s">
        <v>11</v>
      </c>
      <c r="G2572" s="0" t="s">
        <v>8</v>
      </c>
      <c r="H2572" s="0">
        <v>586</v>
      </c>
      <c r="I2572" s="0">
        <v>117.6</v>
      </c>
      <c r="J2572" s="0">
        <v>0</v>
      </c>
      <c r="K2572" s="0">
        <v>1</v>
      </c>
      <c r="L2572" s="0">
        <v>3</v>
      </c>
      <c r="M2572" s="0">
        <v>3</v>
      </c>
      <c r="N2572" s="0">
        <v>0</v>
      </c>
      <c r="O2572" s="0">
        <v>0</v>
      </c>
      <c r="P2572" s="0">
        <v>0</v>
      </c>
      <c r="Q2572" s="0" t="s">
        <v>1743</v>
      </c>
      <c r="R2572" s="0" t="b">
        <v>1</v>
      </c>
      <c r="S2572" s="0" t="b">
        <v>1</v>
      </c>
      <c r="T2572" s="68">
        <v>45467.531875</v>
      </c>
      <c r="U2572" s="68">
        <v>45467.3333333333</v>
      </c>
      <c r="V2572" s="68">
        <v>0</v>
      </c>
      <c r="W2572" s="0">
        <f>IF(IF(B2572="none",1,IF(B2572="Trialer",1,0))+IF(C2572="Customer",1,IF(C2572="Lost",1,0))=2,1,0)</f>
      </c>
      <c r="X2572" s="0" t="s">
        <v>145</v>
      </c>
      <c r="Y2572" s="0" t="s">
        <v>243</v>
      </c>
      <c r="AV2572" s="68"/>
      <c r="AW2572" s="68"/>
      <c r="AY2572" s="27"/>
      <c r="BD2572" s="68">
        <v>46054.1666666667</v>
      </c>
      <c r="BE2572" s="68">
        <v>46082.1666666667</v>
      </c>
      <c r="BF2572" s="0" t="b">
        <v>0</v>
      </c>
      <c r="BG2572" s="0" t="b">
        <v>0</v>
      </c>
      <c r="BH2572" s="0">
        <v>117.6</v>
      </c>
      <c r="BI2572" s="0">
        <v>117.6</v>
      </c>
      <c r="BJ2572" s="0" t="s">
        <v>135</v>
      </c>
    </row>
    <row r="2573">
      <c r="A2573" s="0" t="s">
        <v>2816</v>
      </c>
      <c r="B2573" s="0" t="s">
        <v>134</v>
      </c>
      <c r="C2573" s="0" t="s">
        <v>134</v>
      </c>
      <c r="D2573" s="0" t="s">
        <v>135</v>
      </c>
      <c r="E2573" s="0" t="s">
        <v>3</v>
      </c>
      <c r="F2573" s="0" t="s">
        <v>12</v>
      </c>
      <c r="G2573" s="0" t="s">
        <v>8</v>
      </c>
      <c r="H2573" s="0">
        <v>585</v>
      </c>
      <c r="I2573" s="0">
        <v>49</v>
      </c>
      <c r="J2573" s="0">
        <v>0</v>
      </c>
      <c r="K2573" s="0">
        <v>1</v>
      </c>
      <c r="L2573" s="0">
        <v>3</v>
      </c>
      <c r="M2573" s="0">
        <v>1</v>
      </c>
      <c r="N2573" s="0">
        <v>0</v>
      </c>
      <c r="O2573" s="0">
        <v>0</v>
      </c>
      <c r="P2573" s="0">
        <v>0</v>
      </c>
      <c r="R2573" s="0" t="b">
        <v>0</v>
      </c>
      <c r="S2573" s="0" t="b">
        <v>1</v>
      </c>
      <c r="T2573" s="68">
        <v>45468.2326967593</v>
      </c>
      <c r="U2573" s="68">
        <v>45489.3333333333</v>
      </c>
      <c r="V2573" s="68">
        <v>0</v>
      </c>
      <c r="W2573" s="0">
        <f>IF(IF(B2573="none",1,IF(B2573="Trialer",1,0))+IF(C2573="Customer",1,IF(C2573="Lost",1,0))=2,1,0)</f>
      </c>
      <c r="X2573" s="0" t="s">
        <v>153</v>
      </c>
      <c r="Y2573" s="0" t="s">
        <v>243</v>
      </c>
      <c r="AV2573" s="68"/>
      <c r="AW2573" s="68"/>
      <c r="AY2573" s="27"/>
      <c r="BD2573" s="68">
        <v>46054.1666666667</v>
      </c>
      <c r="BE2573" s="68">
        <v>46082.1666666667</v>
      </c>
      <c r="BF2573" s="0" t="b">
        <v>0</v>
      </c>
      <c r="BG2573" s="0" t="b">
        <v>0</v>
      </c>
      <c r="BH2573" s="0">
        <v>49</v>
      </c>
      <c r="BI2573" s="0">
        <v>49</v>
      </c>
      <c r="BJ2573" s="0" t="s">
        <v>135</v>
      </c>
    </row>
    <row r="2574">
      <c r="A2574" s="0" t="s">
        <v>2817</v>
      </c>
      <c r="B2574" s="0" t="s">
        <v>134</v>
      </c>
      <c r="C2574" s="0" t="s">
        <v>134</v>
      </c>
      <c r="D2574" s="0" t="s">
        <v>230</v>
      </c>
      <c r="E2574" s="0" t="s">
        <v>3</v>
      </c>
      <c r="F2574" s="0" t="s">
        <v>12</v>
      </c>
      <c r="G2574" s="0" t="s">
        <v>8</v>
      </c>
      <c r="H2574" s="0">
        <v>585</v>
      </c>
      <c r="I2574" s="0">
        <v>831.7</v>
      </c>
      <c r="J2574" s="0">
        <v>0</v>
      </c>
      <c r="K2574" s="0">
        <v>1</v>
      </c>
      <c r="L2574" s="0">
        <v>5</v>
      </c>
      <c r="M2574" s="0">
        <v>14</v>
      </c>
      <c r="N2574" s="0">
        <v>0</v>
      </c>
      <c r="O2574" s="0">
        <v>0</v>
      </c>
      <c r="P2574" s="0">
        <v>-506.7</v>
      </c>
      <c r="R2574" s="0" t="b">
        <v>0</v>
      </c>
      <c r="S2574" s="0" t="b">
        <v>1</v>
      </c>
      <c r="T2574" s="68">
        <v>45468.6669097222</v>
      </c>
      <c r="U2574" s="68">
        <v>45489.3333333333</v>
      </c>
      <c r="V2574" s="68">
        <v>0</v>
      </c>
      <c r="W2574" s="0">
        <f>IF(IF(B2574="none",1,IF(B2574="Trialer",1,0))+IF(C2574="Customer",1,IF(C2574="Lost",1,0))=2,1,0)</f>
      </c>
      <c r="X2574" s="0" t="s">
        <v>136</v>
      </c>
      <c r="Y2574" s="0" t="s">
        <v>243</v>
      </c>
      <c r="AV2574" s="68"/>
      <c r="AW2574" s="68"/>
      <c r="AY2574" s="27"/>
      <c r="BD2574" s="68">
        <v>46054.1666666667</v>
      </c>
      <c r="BE2574" s="68">
        <v>46082.1666666667</v>
      </c>
      <c r="BF2574" s="0" t="b">
        <v>0</v>
      </c>
      <c r="BG2574" s="0" t="b">
        <v>0</v>
      </c>
      <c r="BH2574" s="0">
        <v>612</v>
      </c>
      <c r="BI2574" s="0">
        <v>612</v>
      </c>
      <c r="BJ2574" s="0" t="s">
        <v>230</v>
      </c>
    </row>
    <row r="2575">
      <c r="A2575" s="0" t="s">
        <v>2818</v>
      </c>
      <c r="B2575" s="0" t="s">
        <v>134</v>
      </c>
      <c r="C2575" s="0" t="s">
        <v>134</v>
      </c>
      <c r="D2575" s="0" t="s">
        <v>135</v>
      </c>
      <c r="E2575" s="0" t="s">
        <v>3</v>
      </c>
      <c r="F2575" s="0" t="s">
        <v>10</v>
      </c>
      <c r="G2575" s="0" t="s">
        <v>8</v>
      </c>
      <c r="H2575" s="0">
        <v>584</v>
      </c>
      <c r="I2575" s="0">
        <v>28</v>
      </c>
      <c r="J2575" s="0">
        <v>0</v>
      </c>
      <c r="K2575" s="0">
        <v>1</v>
      </c>
      <c r="L2575" s="0">
        <v>1</v>
      </c>
      <c r="M2575" s="0">
        <v>1</v>
      </c>
      <c r="N2575" s="0">
        <v>0</v>
      </c>
      <c r="O2575" s="0">
        <v>0</v>
      </c>
      <c r="P2575" s="0">
        <v>0</v>
      </c>
      <c r="Q2575" s="0" t="s">
        <v>618</v>
      </c>
      <c r="R2575" s="0" t="b">
        <v>0</v>
      </c>
      <c r="S2575" s="0" t="b">
        <v>1</v>
      </c>
      <c r="T2575" s="68">
        <v>45469.4940972222</v>
      </c>
      <c r="U2575" s="68">
        <v>45490.3333333333</v>
      </c>
      <c r="V2575" s="68">
        <v>0</v>
      </c>
      <c r="W2575" s="0">
        <f>IF(IF(B2575="none",1,IF(B2575="Trialer",1,0))+IF(C2575="Customer",1,IF(C2575="Lost",1,0))=2,1,0)</f>
      </c>
      <c r="X2575" s="0" t="s">
        <v>148</v>
      </c>
      <c r="Y2575" s="0" t="s">
        <v>243</v>
      </c>
      <c r="AV2575" s="68"/>
      <c r="AW2575" s="68"/>
      <c r="AY2575" s="27"/>
      <c r="BD2575" s="68">
        <v>46054.1666666667</v>
      </c>
      <c r="BE2575" s="68">
        <v>46082.1666666667</v>
      </c>
      <c r="BF2575" s="0" t="b">
        <v>0</v>
      </c>
      <c r="BG2575" s="0" t="b">
        <v>0</v>
      </c>
      <c r="BH2575" s="0">
        <v>28</v>
      </c>
      <c r="BI2575" s="0">
        <v>28</v>
      </c>
      <c r="BJ2575" s="0" t="s">
        <v>135</v>
      </c>
    </row>
    <row r="2576">
      <c r="A2576" s="0" t="s">
        <v>2819</v>
      </c>
      <c r="B2576" s="0" t="s">
        <v>134</v>
      </c>
      <c r="C2576" s="0" t="s">
        <v>134</v>
      </c>
      <c r="D2576" s="0" t="s">
        <v>135</v>
      </c>
      <c r="E2576" s="0" t="s">
        <v>2</v>
      </c>
      <c r="F2576" s="0" t="s">
        <v>12</v>
      </c>
      <c r="G2576" s="0" t="s">
        <v>8</v>
      </c>
      <c r="H2576" s="0">
        <v>584</v>
      </c>
      <c r="I2576" s="0">
        <v>500</v>
      </c>
      <c r="J2576" s="0">
        <v>0</v>
      </c>
      <c r="K2576" s="0">
        <v>1</v>
      </c>
      <c r="L2576" s="0">
        <v>3</v>
      </c>
      <c r="M2576" s="0">
        <v>4</v>
      </c>
      <c r="N2576" s="0">
        <v>0</v>
      </c>
      <c r="O2576" s="0">
        <v>0</v>
      </c>
      <c r="P2576" s="0">
        <v>0</v>
      </c>
      <c r="R2576" s="0" t="b">
        <v>0</v>
      </c>
      <c r="S2576" s="0" t="b">
        <v>1</v>
      </c>
      <c r="T2576" s="68">
        <v>45469.7263310185</v>
      </c>
      <c r="U2576" s="68">
        <v>45490.3333333333</v>
      </c>
      <c r="V2576" s="68">
        <v>0</v>
      </c>
      <c r="W2576" s="0">
        <f>IF(IF(B2576="none",1,IF(B2576="Trialer",1,0))+IF(C2576="Customer",1,IF(C2576="Lost",1,0))=2,1,0)</f>
      </c>
      <c r="X2576" s="0" t="s">
        <v>136</v>
      </c>
      <c r="Y2576" s="0" t="s">
        <v>499</v>
      </c>
      <c r="AV2576" s="68"/>
      <c r="AW2576" s="68"/>
      <c r="AY2576" s="27"/>
      <c r="BD2576" s="68">
        <v>46054.1666666667</v>
      </c>
      <c r="BE2576" s="68">
        <v>46082.1666666667</v>
      </c>
      <c r="BF2576" s="0" t="b">
        <v>0</v>
      </c>
      <c r="BG2576" s="0" t="b">
        <v>0</v>
      </c>
      <c r="BH2576" s="0">
        <v>175</v>
      </c>
      <c r="BI2576" s="0">
        <v>175</v>
      </c>
      <c r="BJ2576" s="0" t="s">
        <v>135</v>
      </c>
    </row>
    <row r="2577">
      <c r="A2577" s="0" t="s">
        <v>2820</v>
      </c>
      <c r="B2577" s="0" t="s">
        <v>134</v>
      </c>
      <c r="C2577" s="0" t="s">
        <v>134</v>
      </c>
      <c r="D2577" s="0" t="s">
        <v>135</v>
      </c>
      <c r="E2577" s="0" t="s">
        <v>3</v>
      </c>
      <c r="F2577" s="0" t="s">
        <v>12</v>
      </c>
      <c r="G2577" s="0" t="s">
        <v>8</v>
      </c>
      <c r="H2577" s="0">
        <v>584</v>
      </c>
      <c r="I2577" s="0">
        <v>402</v>
      </c>
      <c r="J2577" s="0">
        <v>0</v>
      </c>
      <c r="K2577" s="0">
        <v>1</v>
      </c>
      <c r="L2577" s="0">
        <v>5</v>
      </c>
      <c r="M2577" s="0">
        <v>6</v>
      </c>
      <c r="N2577" s="0">
        <v>0</v>
      </c>
      <c r="O2577" s="0">
        <v>0</v>
      </c>
      <c r="P2577" s="0">
        <v>0</v>
      </c>
      <c r="R2577" s="0" t="b">
        <v>0</v>
      </c>
      <c r="S2577" s="0" t="b">
        <v>1</v>
      </c>
      <c r="T2577" s="68">
        <v>45469.7284722222</v>
      </c>
      <c r="U2577" s="68">
        <v>45490.3333333333</v>
      </c>
      <c r="V2577" s="68">
        <v>0</v>
      </c>
      <c r="W2577" s="0">
        <f>IF(IF(B2577="none",1,IF(B2577="Trialer",1,0))+IF(C2577="Customer",1,IF(C2577="Lost",1,0))=2,1,0)</f>
      </c>
      <c r="X2577" s="0" t="s">
        <v>148</v>
      </c>
      <c r="Y2577" s="0" t="s">
        <v>243</v>
      </c>
      <c r="AV2577" s="68"/>
      <c r="AW2577" s="68"/>
      <c r="AY2577" s="27"/>
      <c r="BD2577" s="68">
        <v>46054.1666666667</v>
      </c>
      <c r="BE2577" s="68">
        <v>46082.1666666667</v>
      </c>
      <c r="BF2577" s="0" t="b">
        <v>0</v>
      </c>
      <c r="BG2577" s="0" t="b">
        <v>0</v>
      </c>
      <c r="BH2577" s="0">
        <v>402</v>
      </c>
      <c r="BI2577" s="0">
        <v>402</v>
      </c>
      <c r="BJ2577" s="0" t="s">
        <v>135</v>
      </c>
    </row>
    <row r="2578">
      <c r="A2578" s="0" t="s">
        <v>2821</v>
      </c>
      <c r="B2578" s="0" t="s">
        <v>134</v>
      </c>
      <c r="C2578" s="0" t="s">
        <v>134</v>
      </c>
      <c r="D2578" s="0" t="s">
        <v>135</v>
      </c>
      <c r="E2578" s="0" t="s">
        <v>2</v>
      </c>
      <c r="F2578" s="0" t="s">
        <v>10</v>
      </c>
      <c r="G2578" s="0" t="s">
        <v>8</v>
      </c>
      <c r="H2578" s="0">
        <v>583</v>
      </c>
      <c r="I2578" s="0">
        <v>509</v>
      </c>
      <c r="J2578" s="0">
        <v>0</v>
      </c>
      <c r="K2578" s="0">
        <v>1</v>
      </c>
      <c r="L2578" s="0">
        <v>4</v>
      </c>
      <c r="M2578" s="0">
        <v>11</v>
      </c>
      <c r="N2578" s="0">
        <v>0</v>
      </c>
      <c r="O2578" s="0">
        <v>0</v>
      </c>
      <c r="P2578" s="0">
        <v>0</v>
      </c>
      <c r="Q2578" s="0" t="s">
        <v>1919</v>
      </c>
      <c r="R2578" s="0" t="b">
        <v>0</v>
      </c>
      <c r="S2578" s="0" t="b">
        <v>1</v>
      </c>
      <c r="T2578" s="68">
        <v>45470.4664351852</v>
      </c>
      <c r="U2578" s="68">
        <v>45491.3333333333</v>
      </c>
      <c r="V2578" s="68">
        <v>0</v>
      </c>
      <c r="W2578" s="0">
        <f>IF(IF(B2578="none",1,IF(B2578="Trialer",1,0))+IF(C2578="Customer",1,IF(C2578="Lost",1,0))=2,1,0)</f>
      </c>
      <c r="X2578" s="0" t="s">
        <v>145</v>
      </c>
      <c r="Y2578" s="0" t="s">
        <v>1587</v>
      </c>
      <c r="AV2578" s="68"/>
      <c r="AW2578" s="68"/>
      <c r="AY2578" s="27"/>
      <c r="BD2578" s="68">
        <v>46054.1666666667</v>
      </c>
      <c r="BE2578" s="68">
        <v>46082.1666666667</v>
      </c>
      <c r="BF2578" s="0" t="b">
        <v>0</v>
      </c>
      <c r="BG2578" s="0" t="b">
        <v>0</v>
      </c>
      <c r="BH2578" s="0">
        <v>549</v>
      </c>
      <c r="BI2578" s="0">
        <v>549</v>
      </c>
      <c r="BJ2578" s="0" t="s">
        <v>135</v>
      </c>
    </row>
    <row r="2579">
      <c r="A2579" s="0" t="s">
        <v>2822</v>
      </c>
      <c r="B2579" s="0" t="s">
        <v>134</v>
      </c>
      <c r="C2579" s="0" t="s">
        <v>134</v>
      </c>
      <c r="D2579" s="0" t="s">
        <v>230</v>
      </c>
      <c r="E2579" s="0" t="s">
        <v>3</v>
      </c>
      <c r="F2579" s="0" t="s">
        <v>12</v>
      </c>
      <c r="G2579" s="0" t="s">
        <v>8</v>
      </c>
      <c r="H2579" s="0">
        <v>582</v>
      </c>
      <c r="I2579" s="0">
        <v>399</v>
      </c>
      <c r="J2579" s="0">
        <v>0</v>
      </c>
      <c r="K2579" s="0">
        <v>1</v>
      </c>
      <c r="L2579" s="0">
        <v>6</v>
      </c>
      <c r="M2579" s="0">
        <v>1</v>
      </c>
      <c r="N2579" s="0">
        <v>0</v>
      </c>
      <c r="O2579" s="0">
        <v>0</v>
      </c>
      <c r="P2579" s="0">
        <v>-74</v>
      </c>
      <c r="R2579" s="0" t="b">
        <v>0</v>
      </c>
      <c r="S2579" s="0" t="b">
        <v>1</v>
      </c>
      <c r="T2579" s="68">
        <v>45471.4408333333</v>
      </c>
      <c r="U2579" s="68">
        <v>45497.3333333333</v>
      </c>
      <c r="V2579" s="68">
        <v>0</v>
      </c>
      <c r="W2579" s="0">
        <f>IF(IF(B2579="none",1,IF(B2579="Trialer",1,0))+IF(C2579="Customer",1,IF(C2579="Lost",1,0))=2,1,0)</f>
      </c>
      <c r="X2579" s="0" t="s">
        <v>145</v>
      </c>
      <c r="Y2579" s="0" t="s">
        <v>243</v>
      </c>
      <c r="AV2579" s="68"/>
      <c r="AW2579" s="68"/>
      <c r="AY2579" s="27"/>
      <c r="BD2579" s="68">
        <v>46054.1666666667</v>
      </c>
      <c r="BE2579" s="68">
        <v>46082.1666666667</v>
      </c>
      <c r="BF2579" s="0" t="b">
        <v>0</v>
      </c>
      <c r="BG2579" s="0" t="b">
        <v>0</v>
      </c>
      <c r="BH2579" s="0">
        <v>85</v>
      </c>
      <c r="BI2579" s="0">
        <v>85</v>
      </c>
      <c r="BJ2579" s="0" t="s">
        <v>230</v>
      </c>
    </row>
    <row r="2580">
      <c r="A2580" s="0" t="s">
        <v>2823</v>
      </c>
      <c r="B2580" s="0" t="s">
        <v>134</v>
      </c>
      <c r="C2580" s="0" t="s">
        <v>134</v>
      </c>
      <c r="D2580" s="0" t="s">
        <v>135</v>
      </c>
      <c r="E2580" s="0" t="s">
        <v>3</v>
      </c>
      <c r="F2580" s="0" t="s">
        <v>12</v>
      </c>
      <c r="G2580" s="0" t="s">
        <v>8</v>
      </c>
      <c r="H2580" s="0">
        <v>582</v>
      </c>
      <c r="I2580" s="0">
        <v>152</v>
      </c>
      <c r="J2580" s="0">
        <v>0</v>
      </c>
      <c r="K2580" s="0">
        <v>1</v>
      </c>
      <c r="L2580" s="0">
        <v>2</v>
      </c>
      <c r="M2580" s="0">
        <v>5</v>
      </c>
      <c r="N2580" s="0">
        <v>0</v>
      </c>
      <c r="O2580" s="0">
        <v>0</v>
      </c>
      <c r="P2580" s="0">
        <v>0</v>
      </c>
      <c r="R2580" s="0" t="b">
        <v>0</v>
      </c>
      <c r="S2580" s="0" t="b">
        <v>1</v>
      </c>
      <c r="T2580" s="68">
        <v>45471.8645486111</v>
      </c>
      <c r="U2580" s="68">
        <v>45492.3333333333</v>
      </c>
      <c r="V2580" s="68">
        <v>0</v>
      </c>
      <c r="W2580" s="0">
        <f>IF(IF(B2580="none",1,IF(B2580="Trialer",1,0))+IF(C2580="Customer",1,IF(C2580="Lost",1,0))=2,1,0)</f>
      </c>
      <c r="X2580" s="0" t="s">
        <v>148</v>
      </c>
      <c r="Y2580" s="0" t="s">
        <v>243</v>
      </c>
      <c r="AV2580" s="68"/>
      <c r="AW2580" s="68"/>
      <c r="AY2580" s="27"/>
      <c r="BD2580" s="68">
        <v>46054.1666666667</v>
      </c>
      <c r="BE2580" s="68">
        <v>46082.1666666667</v>
      </c>
      <c r="BF2580" s="0" t="b">
        <v>0</v>
      </c>
      <c r="BG2580" s="0" t="b">
        <v>0</v>
      </c>
      <c r="BH2580" s="0">
        <v>152</v>
      </c>
      <c r="BI2580" s="0">
        <v>152</v>
      </c>
      <c r="BJ2580" s="0" t="s">
        <v>135</v>
      </c>
    </row>
    <row r="2581">
      <c r="A2581" s="0" t="s">
        <v>2824</v>
      </c>
      <c r="B2581" s="0" t="s">
        <v>134</v>
      </c>
      <c r="C2581" s="0" t="s">
        <v>134</v>
      </c>
      <c r="D2581" s="0" t="s">
        <v>135</v>
      </c>
      <c r="E2581" s="0" t="s">
        <v>3</v>
      </c>
      <c r="F2581" s="0" t="s">
        <v>10</v>
      </c>
      <c r="G2581" s="0" t="s">
        <v>8</v>
      </c>
      <c r="H2581" s="0">
        <v>581</v>
      </c>
      <c r="I2581" s="0">
        <v>28</v>
      </c>
      <c r="J2581" s="0">
        <v>0</v>
      </c>
      <c r="K2581" s="0">
        <v>1</v>
      </c>
      <c r="L2581" s="0">
        <v>1</v>
      </c>
      <c r="M2581" s="0">
        <v>1</v>
      </c>
      <c r="N2581" s="0">
        <v>0</v>
      </c>
      <c r="O2581" s="0">
        <v>0</v>
      </c>
      <c r="P2581" s="0">
        <v>0</v>
      </c>
      <c r="Q2581" s="0" t="s">
        <v>618</v>
      </c>
      <c r="R2581" s="0" t="b">
        <v>0</v>
      </c>
      <c r="S2581" s="0" t="b">
        <v>1</v>
      </c>
      <c r="T2581" s="68">
        <v>45472.2826388889</v>
      </c>
      <c r="U2581" s="68">
        <v>45493.3333333333</v>
      </c>
      <c r="V2581" s="68">
        <v>0</v>
      </c>
      <c r="W2581" s="0">
        <f>IF(IF(B2581="none",1,IF(B2581="Trialer",1,0))+IF(C2581="Customer",1,IF(C2581="Lost",1,0))=2,1,0)</f>
      </c>
      <c r="X2581" s="0" t="s">
        <v>148</v>
      </c>
      <c r="Y2581" s="0" t="s">
        <v>243</v>
      </c>
      <c r="AV2581" s="68"/>
      <c r="AW2581" s="68"/>
      <c r="AY2581" s="27"/>
      <c r="BD2581" s="68">
        <v>46054.1666666667</v>
      </c>
      <c r="BE2581" s="68">
        <v>46082.1666666667</v>
      </c>
      <c r="BF2581" s="0" t="b">
        <v>0</v>
      </c>
      <c r="BG2581" s="0" t="b">
        <v>0</v>
      </c>
      <c r="BH2581" s="0">
        <v>28</v>
      </c>
      <c r="BI2581" s="0">
        <v>28</v>
      </c>
      <c r="BJ2581" s="0" t="s">
        <v>135</v>
      </c>
    </row>
    <row r="2582">
      <c r="A2582" s="0" t="s">
        <v>2825</v>
      </c>
      <c r="B2582" s="0" t="s">
        <v>134</v>
      </c>
      <c r="C2582" s="0" t="s">
        <v>134</v>
      </c>
      <c r="D2582" s="0" t="s">
        <v>135</v>
      </c>
      <c r="E2582" s="0" t="s">
        <v>3</v>
      </c>
      <c r="F2582" s="0" t="s">
        <v>10</v>
      </c>
      <c r="G2582" s="0" t="s">
        <v>8</v>
      </c>
      <c r="H2582" s="0">
        <v>579</v>
      </c>
      <c r="I2582" s="0">
        <v>28</v>
      </c>
      <c r="J2582" s="0">
        <v>0</v>
      </c>
      <c r="K2582" s="0">
        <v>1</v>
      </c>
      <c r="L2582" s="0">
        <v>1</v>
      </c>
      <c r="M2582" s="0">
        <v>1</v>
      </c>
      <c r="N2582" s="0">
        <v>0</v>
      </c>
      <c r="O2582" s="0">
        <v>0</v>
      </c>
      <c r="P2582" s="0">
        <v>0</v>
      </c>
      <c r="Q2582" s="0" t="s">
        <v>618</v>
      </c>
      <c r="R2582" s="0" t="b">
        <v>0</v>
      </c>
      <c r="S2582" s="0" t="b">
        <v>1</v>
      </c>
      <c r="T2582" s="68">
        <v>45474.4252662037</v>
      </c>
      <c r="U2582" s="68">
        <v>45495.3333333333</v>
      </c>
      <c r="V2582" s="68">
        <v>0</v>
      </c>
      <c r="W2582" s="0">
        <f>IF(IF(B2582="none",1,IF(B2582="Trialer",1,0))+IF(C2582="Customer",1,IF(C2582="Lost",1,0))=2,1,0)</f>
      </c>
      <c r="X2582" s="0" t="s">
        <v>148</v>
      </c>
      <c r="Y2582" s="0" t="s">
        <v>243</v>
      </c>
      <c r="AV2582" s="68"/>
      <c r="AW2582" s="68"/>
      <c r="AY2582" s="27"/>
      <c r="BD2582" s="68">
        <v>46054.1666666667</v>
      </c>
      <c r="BE2582" s="68">
        <v>46082.1666666667</v>
      </c>
      <c r="BF2582" s="0" t="b">
        <v>0</v>
      </c>
      <c r="BG2582" s="0" t="b">
        <v>0</v>
      </c>
      <c r="BH2582" s="0">
        <v>28</v>
      </c>
      <c r="BI2582" s="0">
        <v>28</v>
      </c>
      <c r="BJ2582" s="0" t="s">
        <v>135</v>
      </c>
    </row>
    <row r="2583">
      <c r="A2583" s="0" t="s">
        <v>2826</v>
      </c>
      <c r="B2583" s="0" t="s">
        <v>134</v>
      </c>
      <c r="C2583" s="0" t="s">
        <v>190</v>
      </c>
      <c r="D2583" s="0" t="s">
        <v>135</v>
      </c>
      <c r="E2583" s="0" t="s">
        <v>2</v>
      </c>
      <c r="F2583" s="0" t="s">
        <v>12</v>
      </c>
      <c r="G2583" s="0" t="s">
        <v>8</v>
      </c>
      <c r="H2583" s="0">
        <v>579</v>
      </c>
      <c r="I2583" s="0">
        <v>0</v>
      </c>
      <c r="J2583" s="0">
        <v>0</v>
      </c>
      <c r="K2583" s="0">
        <v>0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  <c r="R2583" s="0" t="b">
        <v>0</v>
      </c>
      <c r="S2583" s="0" t="b">
        <v>0</v>
      </c>
      <c r="T2583" s="68">
        <v>45474.6988310185</v>
      </c>
      <c r="U2583" s="68">
        <v>45495.3333333333</v>
      </c>
      <c r="V2583" s="68">
        <v>46062.5051041667</v>
      </c>
      <c r="W2583" s="0">
        <f>IF(IF(B2583="none",1,IF(B2583="Trialer",1,0))+IF(C2583="Customer",1,IF(C2583="Lost",1,0))=2,1,0)</f>
      </c>
      <c r="X2583" s="0" t="s">
        <v>142</v>
      </c>
      <c r="Y2583" s="0" t="s">
        <v>499</v>
      </c>
      <c r="AV2583" s="68"/>
      <c r="AW2583" s="68"/>
      <c r="AY2583" s="27"/>
      <c r="BD2583" s="68">
        <v>46054.1666666667</v>
      </c>
      <c r="BE2583" s="68">
        <v>46082.1666666667</v>
      </c>
      <c r="BF2583" s="0" t="b">
        <v>0</v>
      </c>
      <c r="BG2583" s="0" t="b">
        <v>0</v>
      </c>
      <c r="BH2583" s="0">
        <v>52</v>
      </c>
      <c r="BI2583" s="0">
        <v>52</v>
      </c>
      <c r="BJ2583" s="0" t="s">
        <v>135</v>
      </c>
    </row>
    <row r="2584">
      <c r="A2584" s="0" t="s">
        <v>2827</v>
      </c>
      <c r="B2584" s="0" t="s">
        <v>134</v>
      </c>
      <c r="C2584" s="0" t="s">
        <v>134</v>
      </c>
      <c r="D2584" s="0" t="s">
        <v>135</v>
      </c>
      <c r="E2584" s="0" t="s">
        <v>3</v>
      </c>
      <c r="F2584" s="0" t="s">
        <v>12</v>
      </c>
      <c r="G2584" s="0" t="s">
        <v>8</v>
      </c>
      <c r="H2584" s="0">
        <v>579</v>
      </c>
      <c r="I2584" s="0">
        <v>67</v>
      </c>
      <c r="J2584" s="0">
        <v>0</v>
      </c>
      <c r="K2584" s="0">
        <v>1</v>
      </c>
      <c r="L2584" s="0">
        <v>3</v>
      </c>
      <c r="M2584" s="0">
        <v>2</v>
      </c>
      <c r="N2584" s="0">
        <v>0</v>
      </c>
      <c r="O2584" s="0">
        <v>0</v>
      </c>
      <c r="P2584" s="0">
        <v>0</v>
      </c>
      <c r="R2584" s="0" t="b">
        <v>0</v>
      </c>
      <c r="S2584" s="0" t="b">
        <v>1</v>
      </c>
      <c r="T2584" s="68">
        <v>45474.7746759259</v>
      </c>
      <c r="U2584" s="68">
        <v>45495.3333333333</v>
      </c>
      <c r="V2584" s="68">
        <v>0</v>
      </c>
      <c r="W2584" s="0">
        <f>IF(IF(B2584="none",1,IF(B2584="Trialer",1,0))+IF(C2584="Customer",1,IF(C2584="Lost",1,0))=2,1,0)</f>
      </c>
      <c r="X2584" s="0" t="s">
        <v>153</v>
      </c>
      <c r="Y2584" s="0" t="s">
        <v>243</v>
      </c>
      <c r="AV2584" s="68"/>
      <c r="AW2584" s="68"/>
      <c r="AY2584" s="27"/>
      <c r="BD2584" s="68">
        <v>46054.1666666667</v>
      </c>
      <c r="BE2584" s="68">
        <v>46082.1666666667</v>
      </c>
      <c r="BF2584" s="0" t="b">
        <v>0</v>
      </c>
      <c r="BG2584" s="0" t="b">
        <v>0</v>
      </c>
      <c r="BH2584" s="0">
        <v>67</v>
      </c>
      <c r="BI2584" s="0">
        <v>67</v>
      </c>
      <c r="BJ2584" s="0" t="s">
        <v>135</v>
      </c>
    </row>
    <row r="2585">
      <c r="A2585" s="0" t="s">
        <v>2828</v>
      </c>
      <c r="B2585" s="0" t="s">
        <v>134</v>
      </c>
      <c r="C2585" s="0" t="s">
        <v>134</v>
      </c>
      <c r="D2585" s="0" t="s">
        <v>135</v>
      </c>
      <c r="E2585" s="0" t="s">
        <v>3</v>
      </c>
      <c r="F2585" s="0" t="s">
        <v>12</v>
      </c>
      <c r="G2585" s="0" t="s">
        <v>8</v>
      </c>
      <c r="H2585" s="0">
        <v>578</v>
      </c>
      <c r="I2585" s="0">
        <v>89</v>
      </c>
      <c r="J2585" s="0">
        <v>0</v>
      </c>
      <c r="K2585" s="0">
        <v>1</v>
      </c>
      <c r="L2585" s="0">
        <v>4</v>
      </c>
      <c r="M2585" s="0">
        <v>2</v>
      </c>
      <c r="N2585" s="0">
        <v>0</v>
      </c>
      <c r="O2585" s="0">
        <v>0</v>
      </c>
      <c r="P2585" s="0">
        <v>0</v>
      </c>
      <c r="R2585" s="0" t="b">
        <v>0</v>
      </c>
      <c r="S2585" s="0" t="b">
        <v>1</v>
      </c>
      <c r="T2585" s="68">
        <v>45475.9226851852</v>
      </c>
      <c r="U2585" s="68">
        <v>45496.3333333333</v>
      </c>
      <c r="V2585" s="68">
        <v>0</v>
      </c>
      <c r="W2585" s="0">
        <f>IF(IF(B2585="none",1,IF(B2585="Trialer",1,0))+IF(C2585="Customer",1,IF(C2585="Lost",1,0))=2,1,0)</f>
      </c>
      <c r="X2585" s="0" t="s">
        <v>166</v>
      </c>
      <c r="Y2585" s="0" t="s">
        <v>243</v>
      </c>
      <c r="AV2585" s="68"/>
      <c r="AW2585" s="68"/>
      <c r="AY2585" s="27"/>
      <c r="BD2585" s="68">
        <v>46054.1666666667</v>
      </c>
      <c r="BE2585" s="68">
        <v>46082.1666666667</v>
      </c>
      <c r="BF2585" s="0" t="b">
        <v>0</v>
      </c>
      <c r="BG2585" s="0" t="b">
        <v>0</v>
      </c>
      <c r="BH2585" s="0">
        <v>89</v>
      </c>
      <c r="BI2585" s="0">
        <v>89</v>
      </c>
      <c r="BJ2585" s="0" t="s">
        <v>135</v>
      </c>
    </row>
    <row r="2586">
      <c r="A2586" s="0" t="s">
        <v>2829</v>
      </c>
      <c r="B2586" s="0" t="s">
        <v>134</v>
      </c>
      <c r="C2586" s="0" t="s">
        <v>134</v>
      </c>
      <c r="D2586" s="0" t="s">
        <v>135</v>
      </c>
      <c r="E2586" s="0" t="s">
        <v>3</v>
      </c>
      <c r="F2586" s="0" t="s">
        <v>12</v>
      </c>
      <c r="G2586" s="0" t="s">
        <v>8</v>
      </c>
      <c r="H2586" s="0">
        <v>577</v>
      </c>
      <c r="I2586" s="0">
        <v>37</v>
      </c>
      <c r="J2586" s="0">
        <v>0</v>
      </c>
      <c r="K2586" s="0">
        <v>1</v>
      </c>
      <c r="L2586" s="0">
        <v>2</v>
      </c>
      <c r="M2586" s="0">
        <v>1</v>
      </c>
      <c r="N2586" s="0">
        <v>0</v>
      </c>
      <c r="O2586" s="0">
        <v>0</v>
      </c>
      <c r="P2586" s="0">
        <v>0</v>
      </c>
      <c r="R2586" s="0" t="b">
        <v>0</v>
      </c>
      <c r="S2586" s="0" t="b">
        <v>1</v>
      </c>
      <c r="T2586" s="68">
        <v>45476.2752662037</v>
      </c>
      <c r="U2586" s="68">
        <v>45497.3333333333</v>
      </c>
      <c r="V2586" s="68">
        <v>0</v>
      </c>
      <c r="W2586" s="0">
        <f>IF(IF(B2586="none",1,IF(B2586="Trialer",1,0))+IF(C2586="Customer",1,IF(C2586="Lost",1,0))=2,1,0)</f>
      </c>
      <c r="X2586" s="0" t="s">
        <v>153</v>
      </c>
      <c r="Y2586" s="0" t="s">
        <v>243</v>
      </c>
      <c r="AV2586" s="68"/>
      <c r="AW2586" s="68"/>
      <c r="AY2586" s="27"/>
      <c r="BD2586" s="68">
        <v>46054.1666666667</v>
      </c>
      <c r="BE2586" s="68">
        <v>46082.1666666667</v>
      </c>
      <c r="BF2586" s="0" t="b">
        <v>0</v>
      </c>
      <c r="BG2586" s="0" t="b">
        <v>0</v>
      </c>
      <c r="BH2586" s="0">
        <v>37</v>
      </c>
      <c r="BI2586" s="0">
        <v>37</v>
      </c>
      <c r="BJ2586" s="0" t="s">
        <v>135</v>
      </c>
    </row>
    <row r="2587">
      <c r="A2587" s="0" t="s">
        <v>2830</v>
      </c>
      <c r="B2587" s="0" t="s">
        <v>134</v>
      </c>
      <c r="C2587" s="0" t="s">
        <v>134</v>
      </c>
      <c r="D2587" s="0" t="s">
        <v>135</v>
      </c>
      <c r="E2587" s="0" t="s">
        <v>3</v>
      </c>
      <c r="F2587" s="0" t="s">
        <v>11</v>
      </c>
      <c r="G2587" s="0" t="s">
        <v>8</v>
      </c>
      <c r="H2587" s="0">
        <v>577</v>
      </c>
      <c r="I2587" s="0">
        <v>439.2</v>
      </c>
      <c r="J2587" s="0">
        <v>0</v>
      </c>
      <c r="K2587" s="0">
        <v>1</v>
      </c>
      <c r="L2587" s="0">
        <v>4</v>
      </c>
      <c r="M2587" s="0">
        <v>9</v>
      </c>
      <c r="N2587" s="0">
        <v>0</v>
      </c>
      <c r="O2587" s="0">
        <v>0</v>
      </c>
      <c r="P2587" s="0">
        <v>0</v>
      </c>
      <c r="Q2587" s="0" t="s">
        <v>1743</v>
      </c>
      <c r="R2587" s="0" t="b">
        <v>1</v>
      </c>
      <c r="S2587" s="0" t="b">
        <v>1</v>
      </c>
      <c r="T2587" s="68">
        <v>45476.5839814815</v>
      </c>
      <c r="U2587" s="68">
        <v>45476.3333333333</v>
      </c>
      <c r="V2587" s="68">
        <v>0</v>
      </c>
      <c r="W2587" s="0">
        <f>IF(IF(B2587="none",1,IF(B2587="Trialer",1,0))+IF(C2587="Customer",1,IF(C2587="Lost",1,0))=2,1,0)</f>
      </c>
      <c r="X2587" s="0" t="s">
        <v>145</v>
      </c>
      <c r="Y2587" s="0" t="s">
        <v>243</v>
      </c>
      <c r="AV2587" s="68"/>
      <c r="AW2587" s="68"/>
      <c r="AY2587" s="27"/>
      <c r="BD2587" s="68">
        <v>46054.1666666667</v>
      </c>
      <c r="BE2587" s="68">
        <v>46082.1666666667</v>
      </c>
      <c r="BF2587" s="0" t="b">
        <v>0</v>
      </c>
      <c r="BG2587" s="0" t="b">
        <v>0</v>
      </c>
      <c r="BH2587" s="0">
        <v>439.2</v>
      </c>
      <c r="BI2587" s="0">
        <v>439.2</v>
      </c>
      <c r="BJ2587" s="0" t="s">
        <v>135</v>
      </c>
    </row>
    <row r="2588">
      <c r="A2588" s="0" t="s">
        <v>2831</v>
      </c>
      <c r="B2588" s="0" t="s">
        <v>134</v>
      </c>
      <c r="C2588" s="0" t="s">
        <v>134</v>
      </c>
      <c r="D2588" s="0" t="s">
        <v>135</v>
      </c>
      <c r="E2588" s="0" t="s">
        <v>3</v>
      </c>
      <c r="F2588" s="0" t="s">
        <v>12</v>
      </c>
      <c r="G2588" s="0" t="s">
        <v>8</v>
      </c>
      <c r="H2588" s="0">
        <v>577</v>
      </c>
      <c r="I2588" s="0">
        <v>49</v>
      </c>
      <c r="J2588" s="0">
        <v>0</v>
      </c>
      <c r="K2588" s="0">
        <v>1</v>
      </c>
      <c r="L2588" s="0">
        <v>3</v>
      </c>
      <c r="M2588" s="0">
        <v>1</v>
      </c>
      <c r="N2588" s="0">
        <v>0</v>
      </c>
      <c r="O2588" s="0">
        <v>0</v>
      </c>
      <c r="P2588" s="0">
        <v>0</v>
      </c>
      <c r="R2588" s="0" t="b">
        <v>0</v>
      </c>
      <c r="S2588" s="0" t="b">
        <v>1</v>
      </c>
      <c r="T2588" s="68">
        <v>45476.6110069444</v>
      </c>
      <c r="U2588" s="68">
        <v>45499.3333333333</v>
      </c>
      <c r="V2588" s="68">
        <v>0</v>
      </c>
      <c r="W2588" s="0">
        <f>IF(IF(B2588="none",1,IF(B2588="Trialer",1,0))+IF(C2588="Customer",1,IF(C2588="Lost",1,0))=2,1,0)</f>
      </c>
      <c r="X2588" s="0" t="s">
        <v>166</v>
      </c>
      <c r="Y2588" s="0" t="s">
        <v>243</v>
      </c>
      <c r="AV2588" s="68"/>
      <c r="AW2588" s="68"/>
      <c r="AY2588" s="27"/>
      <c r="BD2588" s="68">
        <v>46054.1666666667</v>
      </c>
      <c r="BE2588" s="68">
        <v>46082.1666666667</v>
      </c>
      <c r="BF2588" s="0" t="b">
        <v>0</v>
      </c>
      <c r="BG2588" s="0" t="b">
        <v>0</v>
      </c>
      <c r="BH2588" s="0">
        <v>49</v>
      </c>
      <c r="BI2588" s="0">
        <v>49</v>
      </c>
      <c r="BJ2588" s="0" t="s">
        <v>135</v>
      </c>
    </row>
    <row r="2589">
      <c r="A2589" s="0" t="s">
        <v>2832</v>
      </c>
      <c r="B2589" s="0" t="s">
        <v>134</v>
      </c>
      <c r="C2589" s="0" t="s">
        <v>134</v>
      </c>
      <c r="D2589" s="0" t="s">
        <v>135</v>
      </c>
      <c r="E2589" s="0" t="s">
        <v>2</v>
      </c>
      <c r="F2589" s="0" t="s">
        <v>12</v>
      </c>
      <c r="G2589" s="0" t="s">
        <v>8</v>
      </c>
      <c r="H2589" s="0">
        <v>571</v>
      </c>
      <c r="I2589" s="0">
        <v>52</v>
      </c>
      <c r="J2589" s="0">
        <v>0</v>
      </c>
      <c r="K2589" s="0">
        <v>1</v>
      </c>
      <c r="L2589" s="0">
        <v>3</v>
      </c>
      <c r="M2589" s="0">
        <v>1</v>
      </c>
      <c r="N2589" s="0">
        <v>0</v>
      </c>
      <c r="O2589" s="0">
        <v>0</v>
      </c>
      <c r="P2589" s="0">
        <v>0</v>
      </c>
      <c r="R2589" s="0" t="b">
        <v>0</v>
      </c>
      <c r="S2589" s="0" t="b">
        <v>1</v>
      </c>
      <c r="T2589" s="68">
        <v>45482.3857638889</v>
      </c>
      <c r="U2589" s="68">
        <v>45496.3333333333</v>
      </c>
      <c r="V2589" s="68">
        <v>0</v>
      </c>
      <c r="W2589" s="0">
        <f>IF(IF(B2589="none",1,IF(B2589="Trialer",1,0))+IF(C2589="Customer",1,IF(C2589="Lost",1,0))=2,1,0)</f>
      </c>
      <c r="X2589" s="0" t="s">
        <v>142</v>
      </c>
      <c r="Y2589" s="0" t="s">
        <v>499</v>
      </c>
      <c r="AV2589" s="68"/>
      <c r="AW2589" s="68"/>
      <c r="AY2589" s="27"/>
      <c r="BD2589" s="68">
        <v>46054.1666666667</v>
      </c>
      <c r="BE2589" s="68">
        <v>46082.1666666667</v>
      </c>
      <c r="BF2589" s="0" t="b">
        <v>0</v>
      </c>
      <c r="BG2589" s="0" t="b">
        <v>0</v>
      </c>
      <c r="BH2589" s="0">
        <v>52</v>
      </c>
      <c r="BI2589" s="0">
        <v>52</v>
      </c>
      <c r="BJ2589" s="0" t="s">
        <v>135</v>
      </c>
    </row>
    <row r="2590">
      <c r="A2590" s="0" t="s">
        <v>2833</v>
      </c>
      <c r="B2590" s="0" t="s">
        <v>134</v>
      </c>
      <c r="C2590" s="0" t="s">
        <v>134</v>
      </c>
      <c r="D2590" s="0" t="s">
        <v>135</v>
      </c>
      <c r="E2590" s="0" t="s">
        <v>2</v>
      </c>
      <c r="F2590" s="0" t="s">
        <v>12</v>
      </c>
      <c r="G2590" s="0" t="s">
        <v>8</v>
      </c>
      <c r="H2590" s="0">
        <v>571</v>
      </c>
      <c r="I2590" s="0">
        <v>120</v>
      </c>
      <c r="J2590" s="0">
        <v>0</v>
      </c>
      <c r="K2590" s="0">
        <v>1</v>
      </c>
      <c r="L2590" s="0">
        <v>2</v>
      </c>
      <c r="M2590" s="0">
        <v>3</v>
      </c>
      <c r="N2590" s="0">
        <v>0</v>
      </c>
      <c r="O2590" s="0">
        <v>0</v>
      </c>
      <c r="P2590" s="0">
        <v>0</v>
      </c>
      <c r="R2590" s="0" t="b">
        <v>0</v>
      </c>
      <c r="S2590" s="0" t="b">
        <v>1</v>
      </c>
      <c r="T2590" s="68">
        <v>45482.3907638889</v>
      </c>
      <c r="U2590" s="68">
        <v>45496.3333333333</v>
      </c>
      <c r="V2590" s="68">
        <v>0</v>
      </c>
      <c r="W2590" s="0">
        <f>IF(IF(B2590="none",1,IF(B2590="Trialer",1,0))+IF(C2590="Customer",1,IF(C2590="Lost",1,0))=2,1,0)</f>
      </c>
      <c r="X2590" s="0" t="s">
        <v>153</v>
      </c>
      <c r="Y2590" s="0" t="s">
        <v>499</v>
      </c>
      <c r="AV2590" s="68"/>
      <c r="AW2590" s="68"/>
      <c r="AY2590" s="27"/>
      <c r="BD2590" s="68">
        <v>46054.1666666667</v>
      </c>
      <c r="BE2590" s="68">
        <v>46082.1666666667</v>
      </c>
      <c r="BF2590" s="0" t="b">
        <v>0</v>
      </c>
      <c r="BG2590" s="0" t="b">
        <v>0</v>
      </c>
      <c r="BH2590" s="0">
        <v>120</v>
      </c>
      <c r="BI2590" s="0">
        <v>120</v>
      </c>
      <c r="BJ2590" s="0" t="s">
        <v>135</v>
      </c>
    </row>
    <row r="2591">
      <c r="A2591" s="0" t="s">
        <v>2834</v>
      </c>
      <c r="B2591" s="0" t="s">
        <v>134</v>
      </c>
      <c r="C2591" s="0" t="s">
        <v>134</v>
      </c>
      <c r="D2591" s="0" t="s">
        <v>135</v>
      </c>
      <c r="E2591" s="0" t="s">
        <v>3</v>
      </c>
      <c r="F2591" s="0" t="s">
        <v>12</v>
      </c>
      <c r="G2591" s="0" t="s">
        <v>8</v>
      </c>
      <c r="H2591" s="0">
        <v>571</v>
      </c>
      <c r="I2591" s="0">
        <v>98</v>
      </c>
      <c r="J2591" s="0">
        <v>0</v>
      </c>
      <c r="K2591" s="0">
        <v>1</v>
      </c>
      <c r="L2591" s="0">
        <v>3</v>
      </c>
      <c r="M2591" s="0">
        <v>2</v>
      </c>
      <c r="N2591" s="0">
        <v>0</v>
      </c>
      <c r="O2591" s="0">
        <v>0</v>
      </c>
      <c r="P2591" s="0">
        <v>0</v>
      </c>
      <c r="R2591" s="0" t="b">
        <v>0</v>
      </c>
      <c r="S2591" s="0" t="b">
        <v>1</v>
      </c>
      <c r="T2591" s="68">
        <v>45482.4195833333</v>
      </c>
      <c r="U2591" s="68">
        <v>45496.3333333333</v>
      </c>
      <c r="V2591" s="68">
        <v>0</v>
      </c>
      <c r="W2591" s="0">
        <f>IF(IF(B2591="none",1,IF(B2591="Trialer",1,0))+IF(C2591="Customer",1,IF(C2591="Lost",1,0))=2,1,0)</f>
      </c>
      <c r="X2591" s="0" t="s">
        <v>142</v>
      </c>
      <c r="Y2591" s="0" t="s">
        <v>243</v>
      </c>
      <c r="AV2591" s="68"/>
      <c r="AW2591" s="68"/>
      <c r="AY2591" s="27"/>
      <c r="BD2591" s="68">
        <v>46054.1666666667</v>
      </c>
      <c r="BE2591" s="68">
        <v>46082.1666666667</v>
      </c>
      <c r="BF2591" s="0" t="b">
        <v>0</v>
      </c>
      <c r="BG2591" s="0" t="b">
        <v>0</v>
      </c>
      <c r="BH2591" s="0">
        <v>98</v>
      </c>
      <c r="BI2591" s="0">
        <v>98</v>
      </c>
      <c r="BJ2591" s="0" t="s">
        <v>135</v>
      </c>
    </row>
    <row r="2592">
      <c r="A2592" s="0" t="s">
        <v>2835</v>
      </c>
      <c r="B2592" s="0" t="s">
        <v>134</v>
      </c>
      <c r="C2592" s="0" t="s">
        <v>134</v>
      </c>
      <c r="D2592" s="0" t="s">
        <v>135</v>
      </c>
      <c r="E2592" s="0" t="s">
        <v>3</v>
      </c>
      <c r="F2592" s="0" t="s">
        <v>12</v>
      </c>
      <c r="G2592" s="0" t="s">
        <v>8</v>
      </c>
      <c r="H2592" s="0">
        <v>571</v>
      </c>
      <c r="I2592" s="0">
        <v>270</v>
      </c>
      <c r="J2592" s="0">
        <v>0</v>
      </c>
      <c r="K2592" s="0">
        <v>1</v>
      </c>
      <c r="L2592" s="0">
        <v>4</v>
      </c>
      <c r="M2592" s="0">
        <v>6</v>
      </c>
      <c r="N2592" s="0">
        <v>0</v>
      </c>
      <c r="O2592" s="0">
        <v>0</v>
      </c>
      <c r="P2592" s="0">
        <v>0</v>
      </c>
      <c r="R2592" s="0" t="b">
        <v>0</v>
      </c>
      <c r="S2592" s="0" t="b">
        <v>1</v>
      </c>
      <c r="T2592" s="68">
        <v>45482.6636689815</v>
      </c>
      <c r="U2592" s="68">
        <v>45502.3333333333</v>
      </c>
      <c r="V2592" s="68">
        <v>0</v>
      </c>
      <c r="W2592" s="0">
        <f>IF(IF(B2592="none",1,IF(B2592="Trialer",1,0))+IF(C2592="Customer",1,IF(C2592="Lost",1,0))=2,1,0)</f>
      </c>
      <c r="X2592" s="0" t="s">
        <v>148</v>
      </c>
      <c r="Y2592" s="0" t="s">
        <v>243</v>
      </c>
      <c r="AV2592" s="68"/>
      <c r="AW2592" s="68"/>
      <c r="AY2592" s="27"/>
      <c r="BD2592" s="68">
        <v>46054.1666666667</v>
      </c>
      <c r="BE2592" s="68">
        <v>46082.1666666667</v>
      </c>
      <c r="BF2592" s="0" t="b">
        <v>0</v>
      </c>
      <c r="BG2592" s="0" t="b">
        <v>0</v>
      </c>
      <c r="BH2592" s="0">
        <v>270</v>
      </c>
      <c r="BI2592" s="0">
        <v>270</v>
      </c>
      <c r="BJ2592" s="0" t="s">
        <v>135</v>
      </c>
    </row>
    <row r="2593">
      <c r="A2593" s="0" t="s">
        <v>2836</v>
      </c>
      <c r="B2593" s="0" t="s">
        <v>134</v>
      </c>
      <c r="C2593" s="0" t="s">
        <v>134</v>
      </c>
      <c r="D2593" s="0" t="s">
        <v>230</v>
      </c>
      <c r="E2593" s="0" t="s">
        <v>3</v>
      </c>
      <c r="F2593" s="0" t="s">
        <v>10</v>
      </c>
      <c r="G2593" s="0" t="s">
        <v>8</v>
      </c>
      <c r="H2593" s="0">
        <v>569</v>
      </c>
      <c r="I2593" s="0">
        <v>79</v>
      </c>
      <c r="J2593" s="0">
        <v>0</v>
      </c>
      <c r="K2593" s="0">
        <v>1</v>
      </c>
      <c r="L2593" s="0">
        <v>4</v>
      </c>
      <c r="M2593" s="0">
        <v>2</v>
      </c>
      <c r="N2593" s="0">
        <v>0</v>
      </c>
      <c r="O2593" s="0">
        <v>0</v>
      </c>
      <c r="P2593" s="0">
        <v>-79</v>
      </c>
      <c r="Q2593" s="0" t="s">
        <v>1701</v>
      </c>
      <c r="R2593" s="0" t="b">
        <v>0</v>
      </c>
      <c r="S2593" s="0" t="b">
        <v>1</v>
      </c>
      <c r="T2593" s="68">
        <v>45484.6097222222</v>
      </c>
      <c r="U2593" s="68">
        <v>45498.3333333333</v>
      </c>
      <c r="V2593" s="68">
        <v>0</v>
      </c>
      <c r="W2593" s="0">
        <f>IF(IF(B2593="none",1,IF(B2593="Trialer",1,0))+IF(C2593="Customer",1,IF(C2593="Lost",1,0))=2,1,0)</f>
      </c>
      <c r="X2593" s="0" t="s">
        <v>136</v>
      </c>
      <c r="Y2593" s="0" t="s">
        <v>243</v>
      </c>
      <c r="AV2593" s="68"/>
      <c r="AW2593" s="68"/>
      <c r="AY2593" s="27"/>
      <c r="BD2593" s="68">
        <v>46054.1666666667</v>
      </c>
      <c r="BE2593" s="68">
        <v>46082.1666666667</v>
      </c>
      <c r="BF2593" s="0" t="b">
        <v>0</v>
      </c>
      <c r="BG2593" s="0" t="b">
        <v>0</v>
      </c>
      <c r="BH2593" s="0">
        <v>89</v>
      </c>
      <c r="BI2593" s="0">
        <v>89</v>
      </c>
      <c r="BJ2593" s="0" t="s">
        <v>230</v>
      </c>
    </row>
    <row r="2594">
      <c r="A2594" s="0" t="s">
        <v>2837</v>
      </c>
      <c r="B2594" s="0" t="s">
        <v>134</v>
      </c>
      <c r="C2594" s="0" t="s">
        <v>134</v>
      </c>
      <c r="D2594" s="0" t="s">
        <v>135</v>
      </c>
      <c r="E2594" s="0" t="s">
        <v>3</v>
      </c>
      <c r="F2594" s="0" t="s">
        <v>10</v>
      </c>
      <c r="G2594" s="0" t="s">
        <v>8</v>
      </c>
      <c r="H2594" s="0">
        <v>568</v>
      </c>
      <c r="I2594" s="0">
        <v>754</v>
      </c>
      <c r="J2594" s="0">
        <v>0</v>
      </c>
      <c r="K2594" s="0">
        <v>1</v>
      </c>
      <c r="L2594" s="0">
        <v>4</v>
      </c>
      <c r="M2594" s="0">
        <v>19</v>
      </c>
      <c r="N2594" s="0">
        <v>0</v>
      </c>
      <c r="O2594" s="0">
        <v>0</v>
      </c>
      <c r="P2594" s="0">
        <v>0</v>
      </c>
      <c r="Q2594" s="0" t="s">
        <v>498</v>
      </c>
      <c r="R2594" s="0" t="b">
        <v>0</v>
      </c>
      <c r="S2594" s="0" t="b">
        <v>1</v>
      </c>
      <c r="T2594" s="68">
        <v>45485.4476851852</v>
      </c>
      <c r="U2594" s="68">
        <v>45505.3333333333</v>
      </c>
      <c r="V2594" s="68">
        <v>0</v>
      </c>
      <c r="W2594" s="0">
        <f>IF(IF(B2594="none",1,IF(B2594="Trialer",1,0))+IF(C2594="Customer",1,IF(C2594="Lost",1,0))=2,1,0)</f>
      </c>
      <c r="X2594" s="0" t="s">
        <v>136</v>
      </c>
      <c r="Y2594" s="0" t="s">
        <v>243</v>
      </c>
      <c r="AV2594" s="68"/>
      <c r="AW2594" s="68"/>
      <c r="AY2594" s="27"/>
      <c r="BD2594" s="68">
        <v>46054.1666666667</v>
      </c>
      <c r="BE2594" s="68">
        <v>46082.1666666667</v>
      </c>
      <c r="BF2594" s="0" t="b">
        <v>0</v>
      </c>
      <c r="BG2594" s="0" t="b">
        <v>0</v>
      </c>
      <c r="BH2594" s="0">
        <v>810</v>
      </c>
      <c r="BI2594" s="0">
        <v>810</v>
      </c>
      <c r="BJ2594" s="0" t="s">
        <v>135</v>
      </c>
    </row>
    <row r="2595">
      <c r="A2595" s="0" t="s">
        <v>2838</v>
      </c>
      <c r="B2595" s="0" t="s">
        <v>134</v>
      </c>
      <c r="C2595" s="0" t="s">
        <v>134</v>
      </c>
      <c r="D2595" s="0" t="s">
        <v>135</v>
      </c>
      <c r="E2595" s="0" t="s">
        <v>3</v>
      </c>
      <c r="F2595" s="0" t="s">
        <v>12</v>
      </c>
      <c r="G2595" s="0" t="s">
        <v>8</v>
      </c>
      <c r="H2595" s="0">
        <v>568</v>
      </c>
      <c r="I2595" s="0">
        <v>747</v>
      </c>
      <c r="J2595" s="0">
        <v>0</v>
      </c>
      <c r="K2595" s="0">
        <v>1</v>
      </c>
      <c r="L2595" s="0">
        <v>6</v>
      </c>
      <c r="M2595" s="0">
        <v>12</v>
      </c>
      <c r="N2595" s="0">
        <v>0</v>
      </c>
      <c r="O2595" s="0">
        <v>0</v>
      </c>
      <c r="P2595" s="0">
        <v>0</v>
      </c>
      <c r="R2595" s="0" t="b">
        <v>0</v>
      </c>
      <c r="S2595" s="0" t="b">
        <v>1</v>
      </c>
      <c r="T2595" s="68">
        <v>45485.5965277778</v>
      </c>
      <c r="U2595" s="68">
        <v>45499.3333333333</v>
      </c>
      <c r="V2595" s="68">
        <v>0</v>
      </c>
      <c r="W2595" s="0">
        <f>IF(IF(B2595="none",1,IF(B2595="Trialer",1,0))+IF(C2595="Customer",1,IF(C2595="Lost",1,0))=2,1,0)</f>
      </c>
      <c r="X2595" s="0" t="s">
        <v>148</v>
      </c>
      <c r="Y2595" s="0" t="s">
        <v>243</v>
      </c>
      <c r="AV2595" s="68"/>
      <c r="AW2595" s="68"/>
      <c r="AY2595" s="27"/>
      <c r="BD2595" s="68">
        <v>46054.1666666667</v>
      </c>
      <c r="BE2595" s="68">
        <v>46082.1666666667</v>
      </c>
      <c r="BF2595" s="0" t="b">
        <v>0</v>
      </c>
      <c r="BG2595" s="0" t="b">
        <v>0</v>
      </c>
      <c r="BH2595" s="0">
        <v>747</v>
      </c>
      <c r="BI2595" s="0">
        <v>747</v>
      </c>
      <c r="BJ2595" s="0" t="s">
        <v>135</v>
      </c>
    </row>
    <row r="2596">
      <c r="A2596" s="0" t="s">
        <v>2839</v>
      </c>
      <c r="B2596" s="0" t="s">
        <v>134</v>
      </c>
      <c r="C2596" s="0" t="s">
        <v>134</v>
      </c>
      <c r="D2596" s="0" t="s">
        <v>230</v>
      </c>
      <c r="E2596" s="0" t="s">
        <v>3</v>
      </c>
      <c r="F2596" s="0" t="s">
        <v>12</v>
      </c>
      <c r="G2596" s="0" t="s">
        <v>8</v>
      </c>
      <c r="H2596" s="0">
        <v>568</v>
      </c>
      <c r="I2596" s="0">
        <v>44</v>
      </c>
      <c r="J2596" s="0">
        <v>0</v>
      </c>
      <c r="K2596" s="0">
        <v>1</v>
      </c>
      <c r="L2596" s="0">
        <v>3</v>
      </c>
      <c r="M2596" s="0">
        <v>1</v>
      </c>
      <c r="N2596" s="0">
        <v>0</v>
      </c>
      <c r="O2596" s="0">
        <v>0</v>
      </c>
      <c r="P2596" s="0">
        <v>-44</v>
      </c>
      <c r="R2596" s="0" t="b">
        <v>0</v>
      </c>
      <c r="S2596" s="0" t="b">
        <v>1</v>
      </c>
      <c r="T2596" s="68">
        <v>45485.6930902778</v>
      </c>
      <c r="U2596" s="68">
        <v>45499.3333333333</v>
      </c>
      <c r="V2596" s="68">
        <v>0</v>
      </c>
      <c r="W2596" s="0">
        <f>IF(IF(B2596="none",1,IF(B2596="Trialer",1,0))+IF(C2596="Customer",1,IF(C2596="Lost",1,0))=2,1,0)</f>
      </c>
      <c r="X2596" s="0" t="s">
        <v>166</v>
      </c>
      <c r="Y2596" s="0" t="s">
        <v>243</v>
      </c>
      <c r="AV2596" s="68"/>
      <c r="AW2596" s="68"/>
      <c r="AY2596" s="27"/>
      <c r="BD2596" s="68">
        <v>46054.1666666667</v>
      </c>
      <c r="BE2596" s="68">
        <v>46082.1666666667</v>
      </c>
      <c r="BF2596" s="0" t="b">
        <v>0</v>
      </c>
      <c r="BG2596" s="0" t="b">
        <v>0</v>
      </c>
      <c r="BH2596" s="0">
        <v>49</v>
      </c>
      <c r="BI2596" s="0">
        <v>49</v>
      </c>
      <c r="BJ2596" s="0" t="s">
        <v>230</v>
      </c>
    </row>
    <row r="2597">
      <c r="A2597" s="0" t="s">
        <v>2840</v>
      </c>
      <c r="B2597" s="0" t="s">
        <v>134</v>
      </c>
      <c r="C2597" s="0" t="s">
        <v>134</v>
      </c>
      <c r="D2597" s="0" t="s">
        <v>135</v>
      </c>
      <c r="E2597" s="0" t="s">
        <v>3</v>
      </c>
      <c r="F2597" s="0" t="s">
        <v>12</v>
      </c>
      <c r="G2597" s="0" t="s">
        <v>8</v>
      </c>
      <c r="H2597" s="0">
        <v>568</v>
      </c>
      <c r="I2597" s="0">
        <v>61</v>
      </c>
      <c r="J2597" s="0">
        <v>0</v>
      </c>
      <c r="K2597" s="0">
        <v>1</v>
      </c>
      <c r="L2597" s="0">
        <v>4</v>
      </c>
      <c r="M2597" s="0">
        <v>1</v>
      </c>
      <c r="N2597" s="0">
        <v>0</v>
      </c>
      <c r="O2597" s="0">
        <v>0</v>
      </c>
      <c r="P2597" s="0">
        <v>0</v>
      </c>
      <c r="R2597" s="0" t="b">
        <v>0</v>
      </c>
      <c r="S2597" s="0" t="b">
        <v>1</v>
      </c>
      <c r="T2597" s="68">
        <v>45485.7868055556</v>
      </c>
      <c r="U2597" s="68">
        <v>45496.3333333333</v>
      </c>
      <c r="V2597" s="68">
        <v>0</v>
      </c>
      <c r="W2597" s="0">
        <f>IF(IF(B2597="none",1,IF(B2597="Trialer",1,0))+IF(C2597="Customer",1,IF(C2597="Lost",1,0))=2,1,0)</f>
      </c>
      <c r="X2597" s="0" t="s">
        <v>145</v>
      </c>
      <c r="Y2597" s="0" t="s">
        <v>243</v>
      </c>
      <c r="AV2597" s="68"/>
      <c r="AW2597" s="68"/>
      <c r="AY2597" s="27"/>
      <c r="BD2597" s="68">
        <v>46054.1666666667</v>
      </c>
      <c r="BE2597" s="68">
        <v>46082.1666666667</v>
      </c>
      <c r="BF2597" s="0" t="b">
        <v>0</v>
      </c>
      <c r="BG2597" s="0" t="b">
        <v>0</v>
      </c>
      <c r="BH2597" s="0">
        <v>61</v>
      </c>
      <c r="BI2597" s="0">
        <v>61</v>
      </c>
      <c r="BJ2597" s="0" t="s">
        <v>135</v>
      </c>
    </row>
    <row r="2598">
      <c r="A2598" s="0" t="s">
        <v>2841</v>
      </c>
      <c r="B2598" s="0" t="s">
        <v>134</v>
      </c>
      <c r="C2598" s="0" t="s">
        <v>134</v>
      </c>
      <c r="D2598" s="0" t="s">
        <v>135</v>
      </c>
      <c r="E2598" s="0" t="s">
        <v>2</v>
      </c>
      <c r="F2598" s="0" t="s">
        <v>12</v>
      </c>
      <c r="G2598" s="0" t="s">
        <v>8</v>
      </c>
      <c r="H2598" s="0">
        <v>567</v>
      </c>
      <c r="I2598" s="0">
        <v>773</v>
      </c>
      <c r="J2598" s="0">
        <v>0</v>
      </c>
      <c r="K2598" s="0">
        <v>1</v>
      </c>
      <c r="L2598" s="0">
        <v>6</v>
      </c>
      <c r="M2598" s="0">
        <v>7</v>
      </c>
      <c r="N2598" s="0">
        <v>279</v>
      </c>
      <c r="O2598" s="0">
        <v>0</v>
      </c>
      <c r="P2598" s="0">
        <v>0</v>
      </c>
      <c r="R2598" s="0" t="b">
        <v>0</v>
      </c>
      <c r="S2598" s="0" t="b">
        <v>1</v>
      </c>
      <c r="T2598" s="68">
        <v>45486.5972916667</v>
      </c>
      <c r="U2598" s="68">
        <v>45500.3333333333</v>
      </c>
      <c r="V2598" s="68">
        <v>0</v>
      </c>
      <c r="W2598" s="0">
        <f>IF(IF(B2598="none",1,IF(B2598="Trialer",1,0))+IF(C2598="Customer",1,IF(C2598="Lost",1,0))=2,1,0)</f>
      </c>
      <c r="X2598" s="0" t="s">
        <v>148</v>
      </c>
      <c r="Y2598" s="0" t="s">
        <v>499</v>
      </c>
      <c r="AV2598" s="68"/>
      <c r="AW2598" s="68"/>
      <c r="AY2598" s="27"/>
      <c r="BD2598" s="68">
        <v>46054.1666666667</v>
      </c>
      <c r="BE2598" s="68">
        <v>46082.1666666667</v>
      </c>
      <c r="BF2598" s="0" t="b">
        <v>0</v>
      </c>
      <c r="BG2598" s="0" t="b">
        <v>0</v>
      </c>
      <c r="BH2598" s="0">
        <v>448</v>
      </c>
      <c r="BI2598" s="0">
        <v>448</v>
      </c>
      <c r="BJ2598" s="0" t="s">
        <v>135</v>
      </c>
    </row>
    <row r="2599">
      <c r="A2599" s="0" t="s">
        <v>2842</v>
      </c>
      <c r="B2599" s="0" t="s">
        <v>134</v>
      </c>
      <c r="C2599" s="0" t="s">
        <v>134</v>
      </c>
      <c r="D2599" s="0" t="s">
        <v>230</v>
      </c>
      <c r="E2599" s="0" t="s">
        <v>4</v>
      </c>
      <c r="F2599" s="0" t="s">
        <v>12</v>
      </c>
      <c r="G2599" s="0" t="s">
        <v>8</v>
      </c>
      <c r="H2599" s="0">
        <v>564</v>
      </c>
      <c r="I2599" s="0">
        <v>55.12</v>
      </c>
      <c r="J2599" s="0">
        <v>0</v>
      </c>
      <c r="K2599" s="0">
        <v>1</v>
      </c>
      <c r="L2599" s="0">
        <v>3</v>
      </c>
      <c r="M2599" s="0">
        <v>3</v>
      </c>
      <c r="N2599" s="0">
        <v>0</v>
      </c>
      <c r="O2599" s="0">
        <v>0</v>
      </c>
      <c r="P2599" s="0">
        <v>-55.12</v>
      </c>
      <c r="R2599" s="0" t="b">
        <v>0</v>
      </c>
      <c r="S2599" s="0" t="b">
        <v>1</v>
      </c>
      <c r="T2599" s="68">
        <v>45489.2951388889</v>
      </c>
      <c r="U2599" s="68">
        <v>45503.3333333333</v>
      </c>
      <c r="V2599" s="68">
        <v>0</v>
      </c>
      <c r="W2599" s="0">
        <f>IF(IF(B2599="none",1,IF(B2599="Trialer",1,0))+IF(C2599="Customer",1,IF(C2599="Lost",1,0))=2,1,0)</f>
      </c>
      <c r="X2599" s="0" t="s">
        <v>153</v>
      </c>
      <c r="Y2599" s="0" t="s">
        <v>1772</v>
      </c>
      <c r="AV2599" s="68"/>
      <c r="AW2599" s="68"/>
      <c r="AY2599" s="27"/>
      <c r="BD2599" s="68">
        <v>46054.1666666667</v>
      </c>
      <c r="BE2599" s="68">
        <v>46082.1666666667</v>
      </c>
      <c r="BF2599" s="0" t="b">
        <v>0</v>
      </c>
      <c r="BG2599" s="0" t="b">
        <v>0</v>
      </c>
      <c r="BH2599" s="0">
        <v>73.5</v>
      </c>
      <c r="BI2599" s="0">
        <v>73.5</v>
      </c>
      <c r="BJ2599" s="0" t="s">
        <v>230</v>
      </c>
    </row>
    <row r="2600">
      <c r="A2600" s="0" t="s">
        <v>2843</v>
      </c>
      <c r="B2600" s="0" t="s">
        <v>134</v>
      </c>
      <c r="C2600" s="0" t="s">
        <v>134</v>
      </c>
      <c r="D2600" s="0" t="s">
        <v>135</v>
      </c>
      <c r="E2600" s="0" t="s">
        <v>3</v>
      </c>
      <c r="F2600" s="0" t="s">
        <v>12</v>
      </c>
      <c r="G2600" s="0" t="s">
        <v>8</v>
      </c>
      <c r="H2600" s="0">
        <v>564</v>
      </c>
      <c r="I2600" s="0">
        <v>44.5</v>
      </c>
      <c r="J2600" s="0">
        <v>0</v>
      </c>
      <c r="K2600" s="0">
        <v>1</v>
      </c>
      <c r="L2600" s="0">
        <v>4</v>
      </c>
      <c r="M2600" s="0">
        <v>2</v>
      </c>
      <c r="N2600" s="0">
        <v>0</v>
      </c>
      <c r="O2600" s="0">
        <v>0</v>
      </c>
      <c r="P2600" s="0">
        <v>0</v>
      </c>
      <c r="R2600" s="0" t="b">
        <v>0</v>
      </c>
      <c r="S2600" s="0" t="b">
        <v>1</v>
      </c>
      <c r="T2600" s="68">
        <v>45489.43125</v>
      </c>
      <c r="U2600" s="68">
        <v>45504.3333333333</v>
      </c>
      <c r="V2600" s="68">
        <v>0</v>
      </c>
      <c r="W2600" s="0">
        <f>IF(IF(B2600="none",1,IF(B2600="Trialer",1,0))+IF(C2600="Customer",1,IF(C2600="Lost",1,0))=2,1,0)</f>
      </c>
      <c r="X2600" s="0" t="s">
        <v>142</v>
      </c>
      <c r="Y2600" s="0" t="s">
        <v>243</v>
      </c>
      <c r="AV2600" s="68"/>
      <c r="AW2600" s="68"/>
      <c r="AY2600" s="27"/>
      <c r="BD2600" s="68">
        <v>46054.1666666667</v>
      </c>
      <c r="BE2600" s="68">
        <v>46082.1666666667</v>
      </c>
      <c r="BF2600" s="0" t="b">
        <v>0</v>
      </c>
      <c r="BG2600" s="0" t="b">
        <v>0</v>
      </c>
      <c r="BH2600" s="0">
        <v>44.5</v>
      </c>
      <c r="BI2600" s="0">
        <v>44.5</v>
      </c>
      <c r="BJ2600" s="0" t="s">
        <v>135</v>
      </c>
    </row>
    <row r="2601">
      <c r="A2601" s="0" t="s">
        <v>2844</v>
      </c>
      <c r="B2601" s="0" t="s">
        <v>134</v>
      </c>
      <c r="C2601" s="0" t="s">
        <v>134</v>
      </c>
      <c r="D2601" s="0" t="s">
        <v>135</v>
      </c>
      <c r="E2601" s="0" t="s">
        <v>3</v>
      </c>
      <c r="F2601" s="0" t="s">
        <v>12</v>
      </c>
      <c r="G2601" s="0" t="s">
        <v>8</v>
      </c>
      <c r="H2601" s="0">
        <v>564</v>
      </c>
      <c r="I2601" s="0">
        <v>66</v>
      </c>
      <c r="J2601" s="0">
        <v>0</v>
      </c>
      <c r="K2601" s="0">
        <v>1</v>
      </c>
      <c r="L2601" s="0">
        <v>3</v>
      </c>
      <c r="M2601" s="0">
        <v>3</v>
      </c>
      <c r="N2601" s="0">
        <v>0</v>
      </c>
      <c r="O2601" s="0">
        <v>0</v>
      </c>
      <c r="P2601" s="0">
        <v>0</v>
      </c>
      <c r="R2601" s="0" t="b">
        <v>0</v>
      </c>
      <c r="S2601" s="0" t="b">
        <v>1</v>
      </c>
      <c r="T2601" s="68">
        <v>45489.5694444444</v>
      </c>
      <c r="U2601" s="68">
        <v>45503.3333333333</v>
      </c>
      <c r="V2601" s="68">
        <v>0</v>
      </c>
      <c r="W2601" s="0">
        <f>IF(IF(B2601="none",1,IF(B2601="Trialer",1,0))+IF(C2601="Customer",1,IF(C2601="Lost",1,0))=2,1,0)</f>
      </c>
      <c r="X2601" s="0" t="s">
        <v>153</v>
      </c>
      <c r="Y2601" s="0" t="s">
        <v>243</v>
      </c>
      <c r="AV2601" s="68"/>
      <c r="AW2601" s="68"/>
      <c r="AY2601" s="27"/>
      <c r="BD2601" s="68">
        <v>46054.1666666667</v>
      </c>
      <c r="BE2601" s="68">
        <v>46082.1666666667</v>
      </c>
      <c r="BF2601" s="0" t="b">
        <v>0</v>
      </c>
      <c r="BG2601" s="0" t="b">
        <v>0</v>
      </c>
      <c r="BH2601" s="0">
        <v>66</v>
      </c>
      <c r="BI2601" s="0">
        <v>66</v>
      </c>
      <c r="BJ2601" s="0" t="s">
        <v>135</v>
      </c>
    </row>
    <row r="2602">
      <c r="A2602" s="0" t="s">
        <v>2845</v>
      </c>
      <c r="B2602" s="0" t="s">
        <v>134</v>
      </c>
      <c r="C2602" s="0" t="s">
        <v>134</v>
      </c>
      <c r="D2602" s="0" t="s">
        <v>135</v>
      </c>
      <c r="E2602" s="0" t="s">
        <v>2</v>
      </c>
      <c r="F2602" s="0" t="s">
        <v>12</v>
      </c>
      <c r="G2602" s="0" t="s">
        <v>8</v>
      </c>
      <c r="H2602" s="0">
        <v>564</v>
      </c>
      <c r="I2602" s="0">
        <v>365</v>
      </c>
      <c r="J2602" s="0">
        <v>0</v>
      </c>
      <c r="K2602" s="0">
        <v>1</v>
      </c>
      <c r="L2602" s="0">
        <v>2</v>
      </c>
      <c r="M2602" s="0">
        <v>2</v>
      </c>
      <c r="N2602" s="0">
        <v>418.5</v>
      </c>
      <c r="O2602" s="0">
        <v>0</v>
      </c>
      <c r="P2602" s="0">
        <v>0</v>
      </c>
      <c r="R2602" s="0" t="b">
        <v>0</v>
      </c>
      <c r="S2602" s="0" t="b">
        <v>1</v>
      </c>
      <c r="T2602" s="68">
        <v>45489.66875</v>
      </c>
      <c r="U2602" s="68">
        <v>45499.3333333333</v>
      </c>
      <c r="V2602" s="68">
        <v>0</v>
      </c>
      <c r="W2602" s="0">
        <f>IF(IF(B2602="none",1,IF(B2602="Trialer",1,0))+IF(C2602="Customer",1,IF(C2602="Lost",1,0))=2,1,0)</f>
      </c>
      <c r="X2602" s="0" t="s">
        <v>145</v>
      </c>
      <c r="Y2602" s="0" t="s">
        <v>499</v>
      </c>
      <c r="AV2602" s="68"/>
      <c r="AW2602" s="68"/>
      <c r="AY2602" s="27"/>
      <c r="BD2602" s="68">
        <v>46054.1666666667</v>
      </c>
      <c r="BE2602" s="68">
        <v>46082.1666666667</v>
      </c>
      <c r="BF2602" s="0" t="b">
        <v>0</v>
      </c>
      <c r="BG2602" s="0" t="b">
        <v>0</v>
      </c>
      <c r="BH2602" s="0">
        <v>40</v>
      </c>
      <c r="BI2602" s="0">
        <v>40</v>
      </c>
      <c r="BJ2602" s="0" t="s">
        <v>135</v>
      </c>
    </row>
    <row r="2603">
      <c r="A2603" s="0" t="s">
        <v>2846</v>
      </c>
      <c r="B2603" s="0" t="s">
        <v>134</v>
      </c>
      <c r="C2603" s="0" t="s">
        <v>134</v>
      </c>
      <c r="D2603" s="0" t="s">
        <v>230</v>
      </c>
      <c r="E2603" s="0" t="s">
        <v>3</v>
      </c>
      <c r="F2603" s="0" t="s">
        <v>12</v>
      </c>
      <c r="G2603" s="0" t="s">
        <v>8</v>
      </c>
      <c r="H2603" s="0">
        <v>563</v>
      </c>
      <c r="I2603" s="0">
        <v>26</v>
      </c>
      <c r="J2603" s="0">
        <v>0</v>
      </c>
      <c r="K2603" s="0">
        <v>1</v>
      </c>
      <c r="L2603" s="0">
        <v>2</v>
      </c>
      <c r="M2603" s="0">
        <v>2</v>
      </c>
      <c r="N2603" s="0">
        <v>0</v>
      </c>
      <c r="O2603" s="0">
        <v>0</v>
      </c>
      <c r="P2603" s="0">
        <v>-26</v>
      </c>
      <c r="R2603" s="0" t="b">
        <v>0</v>
      </c>
      <c r="S2603" s="0" t="b">
        <v>1</v>
      </c>
      <c r="T2603" s="68">
        <v>45490.5270833333</v>
      </c>
      <c r="U2603" s="68">
        <v>45504.3333333333</v>
      </c>
      <c r="V2603" s="68">
        <v>0</v>
      </c>
      <c r="W2603" s="0">
        <f>IF(IF(B2603="none",1,IF(B2603="Trialer",1,0))+IF(C2603="Customer",1,IF(C2603="Lost",1,0))=2,1,0)</f>
      </c>
      <c r="X2603" s="0" t="s">
        <v>142</v>
      </c>
      <c r="Y2603" s="0" t="s">
        <v>243</v>
      </c>
      <c r="AV2603" s="68"/>
      <c r="AW2603" s="68"/>
      <c r="AY2603" s="27"/>
      <c r="BD2603" s="68">
        <v>46054.1666666667</v>
      </c>
      <c r="BE2603" s="68">
        <v>46082.1666666667</v>
      </c>
      <c r="BF2603" s="0" t="b">
        <v>0</v>
      </c>
      <c r="BG2603" s="0" t="b">
        <v>0</v>
      </c>
      <c r="BH2603" s="0">
        <v>34</v>
      </c>
      <c r="BI2603" s="0">
        <v>34</v>
      </c>
      <c r="BJ2603" s="0" t="s">
        <v>230</v>
      </c>
    </row>
    <row r="2604">
      <c r="A2604" s="0" t="s">
        <v>2847</v>
      </c>
      <c r="B2604" s="0" t="s">
        <v>134</v>
      </c>
      <c r="C2604" s="0" t="s">
        <v>134</v>
      </c>
      <c r="D2604" s="0" t="s">
        <v>135</v>
      </c>
      <c r="E2604" s="0" t="s">
        <v>3</v>
      </c>
      <c r="F2604" s="0" t="s">
        <v>12</v>
      </c>
      <c r="G2604" s="0" t="s">
        <v>8</v>
      </c>
      <c r="H2604" s="0">
        <v>563</v>
      </c>
      <c r="I2604" s="0">
        <v>0</v>
      </c>
      <c r="J2604" s="0">
        <v>0</v>
      </c>
      <c r="K2604" s="0">
        <v>1</v>
      </c>
      <c r="L2604" s="0">
        <v>3</v>
      </c>
      <c r="M2604" s="0">
        <v>1</v>
      </c>
      <c r="N2604" s="0">
        <v>0</v>
      </c>
      <c r="O2604" s="0">
        <v>0</v>
      </c>
      <c r="P2604" s="0">
        <v>0</v>
      </c>
      <c r="R2604" s="0" t="b">
        <v>0</v>
      </c>
      <c r="S2604" s="0" t="b">
        <v>1</v>
      </c>
      <c r="T2604" s="68">
        <v>45490.6237615741</v>
      </c>
      <c r="U2604" s="68">
        <v>45504.3333333333</v>
      </c>
      <c r="V2604" s="68">
        <v>0</v>
      </c>
      <c r="W2604" s="0">
        <f>IF(IF(B2604="none",1,IF(B2604="Trialer",1,0))+IF(C2604="Customer",1,IF(C2604="Lost",1,0))=2,1,0)</f>
      </c>
      <c r="X2604" s="0" t="s">
        <v>148</v>
      </c>
      <c r="Y2604" s="0" t="s">
        <v>243</v>
      </c>
      <c r="AV2604" s="68"/>
      <c r="AW2604" s="68"/>
      <c r="AY2604" s="27"/>
      <c r="BD2604" s="68">
        <v>46054.1666666667</v>
      </c>
      <c r="BE2604" s="68">
        <v>46082.1666666667</v>
      </c>
      <c r="BF2604" s="0" t="b">
        <v>0</v>
      </c>
      <c r="BG2604" s="0" t="b">
        <v>0</v>
      </c>
      <c r="BH2604" s="0">
        <v>0</v>
      </c>
      <c r="BI2604" s="0">
        <v>0</v>
      </c>
      <c r="BJ2604" s="0" t="s">
        <v>135</v>
      </c>
    </row>
    <row r="2605">
      <c r="A2605" s="0" t="s">
        <v>2848</v>
      </c>
      <c r="B2605" s="0" t="s">
        <v>134</v>
      </c>
      <c r="C2605" s="0" t="s">
        <v>134</v>
      </c>
      <c r="D2605" s="0" t="s">
        <v>135</v>
      </c>
      <c r="E2605" s="0" t="s">
        <v>3</v>
      </c>
      <c r="F2605" s="0" t="s">
        <v>12</v>
      </c>
      <c r="G2605" s="0" t="s">
        <v>8</v>
      </c>
      <c r="H2605" s="0">
        <v>563</v>
      </c>
      <c r="I2605" s="0">
        <v>392</v>
      </c>
      <c r="J2605" s="0">
        <v>0</v>
      </c>
      <c r="K2605" s="0">
        <v>1</v>
      </c>
      <c r="L2605" s="0">
        <v>3</v>
      </c>
      <c r="M2605" s="0">
        <v>19</v>
      </c>
      <c r="N2605" s="0">
        <v>0</v>
      </c>
      <c r="O2605" s="0">
        <v>0</v>
      </c>
      <c r="P2605" s="0">
        <v>0</v>
      </c>
      <c r="R2605" s="0" t="b">
        <v>0</v>
      </c>
      <c r="S2605" s="0" t="b">
        <v>1</v>
      </c>
      <c r="T2605" s="68">
        <v>45490.6708333333</v>
      </c>
      <c r="U2605" s="68">
        <v>45490.3333333333</v>
      </c>
      <c r="V2605" s="68">
        <v>0</v>
      </c>
      <c r="W2605" s="0">
        <f>IF(IF(B2605="none",1,IF(B2605="Trialer",1,0))+IF(C2605="Customer",1,IF(C2605="Lost",1,0))=2,1,0)</f>
      </c>
      <c r="X2605" s="0" t="s">
        <v>145</v>
      </c>
      <c r="Y2605" s="0" t="s">
        <v>243</v>
      </c>
      <c r="AV2605" s="68"/>
      <c r="AW2605" s="68"/>
      <c r="AY2605" s="27"/>
      <c r="BD2605" s="68">
        <v>46054.1666666667</v>
      </c>
      <c r="BE2605" s="68">
        <v>46082.1666666667</v>
      </c>
      <c r="BF2605" s="0" t="b">
        <v>0</v>
      </c>
      <c r="BG2605" s="0" t="b">
        <v>0</v>
      </c>
      <c r="BH2605" s="0">
        <v>416.5</v>
      </c>
      <c r="BI2605" s="0">
        <v>416.5</v>
      </c>
      <c r="BJ2605" s="0" t="s">
        <v>135</v>
      </c>
    </row>
    <row r="2606">
      <c r="A2606" s="0" t="s">
        <v>2849</v>
      </c>
      <c r="B2606" s="0" t="s">
        <v>134</v>
      </c>
      <c r="C2606" s="0" t="s">
        <v>134</v>
      </c>
      <c r="D2606" s="0" t="s">
        <v>135</v>
      </c>
      <c r="E2606" s="0" t="s">
        <v>2</v>
      </c>
      <c r="F2606" s="0" t="s">
        <v>12</v>
      </c>
      <c r="G2606" s="0" t="s">
        <v>8</v>
      </c>
      <c r="H2606" s="0">
        <v>562</v>
      </c>
      <c r="I2606" s="0">
        <v>298</v>
      </c>
      <c r="J2606" s="0">
        <v>0</v>
      </c>
      <c r="K2606" s="0">
        <v>1</v>
      </c>
      <c r="L2606" s="0">
        <v>3</v>
      </c>
      <c r="M2606" s="0">
        <v>14</v>
      </c>
      <c r="N2606" s="0">
        <v>0</v>
      </c>
      <c r="O2606" s="0">
        <v>0</v>
      </c>
      <c r="P2606" s="0">
        <v>0</v>
      </c>
      <c r="R2606" s="0" t="b">
        <v>0</v>
      </c>
      <c r="S2606" s="0" t="b">
        <v>1</v>
      </c>
      <c r="T2606" s="68">
        <v>45491.4972222222</v>
      </c>
      <c r="U2606" s="68">
        <v>45511.3333333333</v>
      </c>
      <c r="V2606" s="68">
        <v>0</v>
      </c>
      <c r="W2606" s="0">
        <f>IF(IF(B2606="none",1,IF(B2606="Trialer",1,0))+IF(C2606="Customer",1,IF(C2606="Lost",1,0))=2,1,0)</f>
      </c>
      <c r="X2606" s="0" t="s">
        <v>148</v>
      </c>
      <c r="Y2606" s="0" t="s">
        <v>499</v>
      </c>
      <c r="AV2606" s="68"/>
      <c r="AW2606" s="68"/>
      <c r="AY2606" s="27"/>
      <c r="BD2606" s="68">
        <v>46054.1666666667</v>
      </c>
      <c r="BE2606" s="68">
        <v>46082.1666666667</v>
      </c>
      <c r="BF2606" s="0" t="b">
        <v>0</v>
      </c>
      <c r="BG2606" s="0" t="b">
        <v>0</v>
      </c>
      <c r="BH2606" s="0">
        <v>298</v>
      </c>
      <c r="BI2606" s="0">
        <v>298</v>
      </c>
      <c r="BJ2606" s="0" t="s">
        <v>135</v>
      </c>
    </row>
    <row r="2607">
      <c r="A2607" s="0" t="s">
        <v>2850</v>
      </c>
      <c r="B2607" s="0" t="s">
        <v>134</v>
      </c>
      <c r="C2607" s="0" t="s">
        <v>134</v>
      </c>
      <c r="D2607" s="0" t="s">
        <v>135</v>
      </c>
      <c r="E2607" s="0" t="s">
        <v>3</v>
      </c>
      <c r="F2607" s="0" t="s">
        <v>12</v>
      </c>
      <c r="G2607" s="0" t="s">
        <v>8</v>
      </c>
      <c r="H2607" s="0">
        <v>562</v>
      </c>
      <c r="I2607" s="0">
        <v>48</v>
      </c>
      <c r="J2607" s="0">
        <v>0</v>
      </c>
      <c r="K2607" s="0">
        <v>1</v>
      </c>
      <c r="L2607" s="0">
        <v>2</v>
      </c>
      <c r="M2607" s="0">
        <v>3</v>
      </c>
      <c r="N2607" s="0">
        <v>0</v>
      </c>
      <c r="O2607" s="0">
        <v>0</v>
      </c>
      <c r="P2607" s="0">
        <v>0</v>
      </c>
      <c r="R2607" s="0" t="b">
        <v>0</v>
      </c>
      <c r="S2607" s="0" t="b">
        <v>1</v>
      </c>
      <c r="T2607" s="68">
        <v>45491.5881944444</v>
      </c>
      <c r="U2607" s="68">
        <v>45505.3333333333</v>
      </c>
      <c r="V2607" s="68">
        <v>0</v>
      </c>
      <c r="W2607" s="0">
        <f>IF(IF(B2607="none",1,IF(B2607="Trialer",1,0))+IF(C2607="Customer",1,IF(C2607="Lost",1,0))=2,1,0)</f>
      </c>
      <c r="X2607" s="0" t="s">
        <v>153</v>
      </c>
      <c r="Y2607" s="0" t="s">
        <v>487</v>
      </c>
      <c r="AV2607" s="68"/>
      <c r="AW2607" s="68"/>
      <c r="AY2607" s="27"/>
      <c r="BD2607" s="68">
        <v>46054.1666666667</v>
      </c>
      <c r="BE2607" s="68">
        <v>46082.1666666667</v>
      </c>
      <c r="BF2607" s="0" t="b">
        <v>0</v>
      </c>
      <c r="BG2607" s="0" t="b">
        <v>0</v>
      </c>
      <c r="BH2607" s="0">
        <v>48</v>
      </c>
      <c r="BI2607" s="0">
        <v>48</v>
      </c>
      <c r="BJ2607" s="0" t="s">
        <v>135</v>
      </c>
    </row>
    <row r="2608">
      <c r="A2608" s="0" t="s">
        <v>2851</v>
      </c>
      <c r="B2608" s="0" t="s">
        <v>134</v>
      </c>
      <c r="C2608" s="0" t="s">
        <v>134</v>
      </c>
      <c r="D2608" s="0" t="s">
        <v>135</v>
      </c>
      <c r="E2608" s="0" t="s">
        <v>3</v>
      </c>
      <c r="F2608" s="0" t="s">
        <v>12</v>
      </c>
      <c r="G2608" s="0" t="s">
        <v>8</v>
      </c>
      <c r="H2608" s="0">
        <v>561</v>
      </c>
      <c r="I2608" s="0">
        <v>52</v>
      </c>
      <c r="J2608" s="0">
        <v>0</v>
      </c>
      <c r="K2608" s="0">
        <v>1</v>
      </c>
      <c r="L2608" s="0">
        <v>3</v>
      </c>
      <c r="M2608" s="0">
        <v>2</v>
      </c>
      <c r="N2608" s="0">
        <v>0</v>
      </c>
      <c r="O2608" s="0">
        <v>0</v>
      </c>
      <c r="P2608" s="0">
        <v>0</v>
      </c>
      <c r="R2608" s="0" t="b">
        <v>0</v>
      </c>
      <c r="S2608" s="0" t="b">
        <v>1</v>
      </c>
      <c r="T2608" s="68">
        <v>45492.4805555556</v>
      </c>
      <c r="U2608" s="68">
        <v>45506.3333333333</v>
      </c>
      <c r="V2608" s="68">
        <v>0</v>
      </c>
      <c r="W2608" s="0">
        <f>IF(IF(B2608="none",1,IF(B2608="Trialer",1,0))+IF(C2608="Customer",1,IF(C2608="Lost",1,0))=2,1,0)</f>
      </c>
      <c r="X2608" s="0" t="s">
        <v>166</v>
      </c>
      <c r="Y2608" s="0" t="s">
        <v>243</v>
      </c>
      <c r="AV2608" s="68"/>
      <c r="AW2608" s="68"/>
      <c r="AY2608" s="27"/>
      <c r="BD2608" s="68">
        <v>46054.1666666667</v>
      </c>
      <c r="BE2608" s="68">
        <v>46082.1666666667</v>
      </c>
      <c r="BF2608" s="0" t="b">
        <v>0</v>
      </c>
      <c r="BG2608" s="0" t="b">
        <v>0</v>
      </c>
      <c r="BH2608" s="0">
        <v>52</v>
      </c>
      <c r="BI2608" s="0">
        <v>52</v>
      </c>
      <c r="BJ2608" s="0" t="s">
        <v>135</v>
      </c>
    </row>
    <row r="2609">
      <c r="A2609" s="0" t="s">
        <v>2852</v>
      </c>
      <c r="B2609" s="0" t="s">
        <v>134</v>
      </c>
      <c r="C2609" s="0" t="s">
        <v>134</v>
      </c>
      <c r="D2609" s="0" t="s">
        <v>135</v>
      </c>
      <c r="E2609" s="0" t="s">
        <v>3</v>
      </c>
      <c r="F2609" s="0" t="s">
        <v>12</v>
      </c>
      <c r="G2609" s="0" t="s">
        <v>8</v>
      </c>
      <c r="H2609" s="0">
        <v>561</v>
      </c>
      <c r="I2609" s="0">
        <v>26</v>
      </c>
      <c r="J2609" s="0">
        <v>0</v>
      </c>
      <c r="K2609" s="0">
        <v>1</v>
      </c>
      <c r="L2609" s="0">
        <v>3</v>
      </c>
      <c r="M2609" s="0">
        <v>1</v>
      </c>
      <c r="N2609" s="0">
        <v>0</v>
      </c>
      <c r="O2609" s="0">
        <v>0</v>
      </c>
      <c r="P2609" s="0">
        <v>0</v>
      </c>
      <c r="R2609" s="0" t="b">
        <v>0</v>
      </c>
      <c r="S2609" s="0" t="b">
        <v>1</v>
      </c>
      <c r="T2609" s="68">
        <v>45492.825</v>
      </c>
      <c r="U2609" s="68">
        <v>45506.3333333333</v>
      </c>
      <c r="V2609" s="68">
        <v>0</v>
      </c>
      <c r="W2609" s="0">
        <f>IF(IF(B2609="none",1,IF(B2609="Trialer",1,0))+IF(C2609="Customer",1,IF(C2609="Lost",1,0))=2,1,0)</f>
      </c>
      <c r="X2609" s="0" t="s">
        <v>148</v>
      </c>
      <c r="Y2609" s="0" t="s">
        <v>243</v>
      </c>
      <c r="AV2609" s="68"/>
      <c r="AW2609" s="68"/>
      <c r="AY2609" s="27"/>
      <c r="BD2609" s="68">
        <v>46054.1666666667</v>
      </c>
      <c r="BE2609" s="68">
        <v>46082.1666666667</v>
      </c>
      <c r="BF2609" s="0" t="b">
        <v>0</v>
      </c>
      <c r="BG2609" s="0" t="b">
        <v>0</v>
      </c>
      <c r="BH2609" s="0">
        <v>26</v>
      </c>
      <c r="BI2609" s="0">
        <v>26</v>
      </c>
      <c r="BJ2609" s="0" t="s">
        <v>135</v>
      </c>
    </row>
    <row r="2610">
      <c r="A2610" s="0" t="s">
        <v>2853</v>
      </c>
      <c r="B2610" s="0" t="s">
        <v>134</v>
      </c>
      <c r="C2610" s="0" t="s">
        <v>134</v>
      </c>
      <c r="D2610" s="0" t="s">
        <v>135</v>
      </c>
      <c r="E2610" s="0" t="s">
        <v>3</v>
      </c>
      <c r="F2610" s="0" t="s">
        <v>12</v>
      </c>
      <c r="G2610" s="0" t="s">
        <v>8</v>
      </c>
      <c r="H2610" s="0">
        <v>559</v>
      </c>
      <c r="I2610" s="0">
        <v>85</v>
      </c>
      <c r="J2610" s="0">
        <v>0</v>
      </c>
      <c r="K2610" s="0">
        <v>1</v>
      </c>
      <c r="L2610" s="0">
        <v>6</v>
      </c>
      <c r="M2610" s="0">
        <v>2</v>
      </c>
      <c r="N2610" s="0">
        <v>0</v>
      </c>
      <c r="O2610" s="0">
        <v>0</v>
      </c>
      <c r="P2610" s="0">
        <v>0</v>
      </c>
      <c r="R2610" s="0" t="b">
        <v>0</v>
      </c>
      <c r="S2610" s="0" t="b">
        <v>1</v>
      </c>
      <c r="T2610" s="68">
        <v>45494.8284722222</v>
      </c>
      <c r="U2610" s="68">
        <v>45508.3333333333</v>
      </c>
      <c r="V2610" s="68">
        <v>0</v>
      </c>
      <c r="W2610" s="0">
        <f>IF(IF(B2610="none",1,IF(B2610="Trialer",1,0))+IF(C2610="Customer",1,IF(C2610="Lost",1,0))=2,1,0)</f>
      </c>
      <c r="X2610" s="0" t="s">
        <v>153</v>
      </c>
      <c r="Y2610" s="0" t="s">
        <v>243</v>
      </c>
      <c r="AV2610" s="68"/>
      <c r="AW2610" s="68"/>
      <c r="AY2610" s="27"/>
      <c r="BD2610" s="68">
        <v>46054.1666666667</v>
      </c>
      <c r="BE2610" s="68">
        <v>46082.1666666667</v>
      </c>
      <c r="BF2610" s="0" t="b">
        <v>0</v>
      </c>
      <c r="BG2610" s="0" t="b">
        <v>0</v>
      </c>
      <c r="BH2610" s="0">
        <v>85</v>
      </c>
      <c r="BI2610" s="0">
        <v>85</v>
      </c>
      <c r="BJ2610" s="0" t="s">
        <v>135</v>
      </c>
    </row>
    <row r="2611">
      <c r="A2611" s="0" t="s">
        <v>2854</v>
      </c>
      <c r="B2611" s="0" t="s">
        <v>134</v>
      </c>
      <c r="C2611" s="0" t="s">
        <v>134</v>
      </c>
      <c r="D2611" s="0" t="s">
        <v>135</v>
      </c>
      <c r="E2611" s="0" t="s">
        <v>3</v>
      </c>
      <c r="F2611" s="0" t="s">
        <v>12</v>
      </c>
      <c r="G2611" s="0" t="s">
        <v>8</v>
      </c>
      <c r="H2611" s="0">
        <v>557</v>
      </c>
      <c r="I2611" s="0">
        <v>49</v>
      </c>
      <c r="J2611" s="0">
        <v>0</v>
      </c>
      <c r="K2611" s="0">
        <v>1</v>
      </c>
      <c r="L2611" s="0">
        <v>3</v>
      </c>
      <c r="M2611" s="0">
        <v>1</v>
      </c>
      <c r="N2611" s="0">
        <v>0</v>
      </c>
      <c r="O2611" s="0">
        <v>0</v>
      </c>
      <c r="P2611" s="0">
        <v>0</v>
      </c>
      <c r="R2611" s="0" t="b">
        <v>0</v>
      </c>
      <c r="S2611" s="0" t="b">
        <v>1</v>
      </c>
      <c r="T2611" s="68">
        <v>45496.1156712963</v>
      </c>
      <c r="U2611" s="68">
        <v>45510.3333333333</v>
      </c>
      <c r="V2611" s="68">
        <v>0</v>
      </c>
      <c r="W2611" s="0">
        <f>IF(IF(B2611="none",1,IF(B2611="Trialer",1,0))+IF(C2611="Customer",1,IF(C2611="Lost",1,0))=2,1,0)</f>
      </c>
      <c r="X2611" s="0" t="s">
        <v>153</v>
      </c>
      <c r="Y2611" s="0" t="s">
        <v>243</v>
      </c>
      <c r="AV2611" s="68"/>
      <c r="AW2611" s="68"/>
      <c r="AY2611" s="27"/>
      <c r="BD2611" s="68">
        <v>46054.1666666667</v>
      </c>
      <c r="BE2611" s="68">
        <v>46082.1666666667</v>
      </c>
      <c r="BF2611" s="0" t="b">
        <v>0</v>
      </c>
      <c r="BG2611" s="0" t="b">
        <v>0</v>
      </c>
      <c r="BH2611" s="0">
        <v>49</v>
      </c>
      <c r="BI2611" s="0">
        <v>49</v>
      </c>
      <c r="BJ2611" s="0" t="s">
        <v>135</v>
      </c>
    </row>
    <row r="2612">
      <c r="A2612" s="0" t="s">
        <v>2855</v>
      </c>
      <c r="B2612" s="0" t="s">
        <v>134</v>
      </c>
      <c r="C2612" s="0" t="s">
        <v>134</v>
      </c>
      <c r="D2612" s="0" t="s">
        <v>230</v>
      </c>
      <c r="E2612" s="0" t="s">
        <v>3</v>
      </c>
      <c r="F2612" s="0" t="s">
        <v>12</v>
      </c>
      <c r="G2612" s="0" t="s">
        <v>8</v>
      </c>
      <c r="H2612" s="0">
        <v>557</v>
      </c>
      <c r="I2612" s="0">
        <v>61.2</v>
      </c>
      <c r="J2612" s="0">
        <v>0</v>
      </c>
      <c r="K2612" s="0">
        <v>1</v>
      </c>
      <c r="L2612" s="0">
        <v>2</v>
      </c>
      <c r="M2612" s="0">
        <v>2</v>
      </c>
      <c r="N2612" s="0">
        <v>542.5</v>
      </c>
      <c r="O2612" s="0">
        <v>-155</v>
      </c>
      <c r="P2612" s="0">
        <v>-61.2</v>
      </c>
      <c r="R2612" s="0" t="b">
        <v>0</v>
      </c>
      <c r="S2612" s="0" t="b">
        <v>1</v>
      </c>
      <c r="T2612" s="68">
        <v>45496.5225231481</v>
      </c>
      <c r="U2612" s="68">
        <v>45510.3333333333</v>
      </c>
      <c r="V2612" s="68">
        <v>0</v>
      </c>
      <c r="W2612" s="0">
        <f>IF(IF(B2612="none",1,IF(B2612="Trialer",1,0))+IF(C2612="Customer",1,IF(C2612="Lost",1,0))=2,1,0)</f>
      </c>
      <c r="X2612" s="0" t="s">
        <v>142</v>
      </c>
      <c r="Y2612" s="0" t="s">
        <v>243</v>
      </c>
      <c r="AV2612" s="68"/>
      <c r="AW2612" s="68"/>
      <c r="AY2612" s="27"/>
      <c r="BD2612" s="68">
        <v>46054.1666666667</v>
      </c>
      <c r="BE2612" s="68">
        <v>46082.1666666667</v>
      </c>
      <c r="BF2612" s="0" t="b">
        <v>0</v>
      </c>
      <c r="BG2612" s="0" t="b">
        <v>0</v>
      </c>
      <c r="BH2612" s="0">
        <v>68</v>
      </c>
      <c r="BI2612" s="0">
        <v>68</v>
      </c>
      <c r="BJ2612" s="0" t="s">
        <v>230</v>
      </c>
    </row>
    <row r="2613">
      <c r="A2613" s="0" t="s">
        <v>2856</v>
      </c>
      <c r="B2613" s="0" t="s">
        <v>134</v>
      </c>
      <c r="C2613" s="0" t="s">
        <v>134</v>
      </c>
      <c r="D2613" s="0" t="s">
        <v>230</v>
      </c>
      <c r="E2613" s="0" t="s">
        <v>2</v>
      </c>
      <c r="F2613" s="0" t="s">
        <v>12</v>
      </c>
      <c r="G2613" s="0" t="s">
        <v>8</v>
      </c>
      <c r="H2613" s="0">
        <v>556</v>
      </c>
      <c r="I2613" s="0">
        <v>308.7</v>
      </c>
      <c r="J2613" s="0">
        <v>0</v>
      </c>
      <c r="K2613" s="0">
        <v>1</v>
      </c>
      <c r="L2613" s="0">
        <v>3</v>
      </c>
      <c r="M2613" s="0">
        <v>7</v>
      </c>
      <c r="N2613" s="0">
        <v>0</v>
      </c>
      <c r="O2613" s="0">
        <v>0</v>
      </c>
      <c r="P2613" s="0">
        <v>-308.7</v>
      </c>
      <c r="R2613" s="0" t="b">
        <v>0</v>
      </c>
      <c r="S2613" s="0" t="b">
        <v>1</v>
      </c>
      <c r="T2613" s="68">
        <v>45497.7735416667</v>
      </c>
      <c r="U2613" s="68">
        <v>45497.3333333333</v>
      </c>
      <c r="V2613" s="68">
        <v>0</v>
      </c>
      <c r="W2613" s="0">
        <f>IF(IF(B2613="none",1,IF(B2613="Trialer",1,0))+IF(C2613="Customer",1,IF(C2613="Lost",1,0))=2,1,0)</f>
      </c>
      <c r="X2613" s="0" t="s">
        <v>136</v>
      </c>
      <c r="Y2613" s="0" t="s">
        <v>499</v>
      </c>
      <c r="AV2613" s="68"/>
      <c r="AW2613" s="68"/>
      <c r="AY2613" s="27"/>
      <c r="BD2613" s="68">
        <v>46054.1666666667</v>
      </c>
      <c r="BE2613" s="68">
        <v>46082.1666666667</v>
      </c>
      <c r="BF2613" s="0" t="b">
        <v>0</v>
      </c>
      <c r="BG2613" s="0" t="b">
        <v>0</v>
      </c>
      <c r="BH2613" s="0">
        <v>343</v>
      </c>
      <c r="BI2613" s="0">
        <v>343</v>
      </c>
      <c r="BJ2613" s="0" t="s">
        <v>230</v>
      </c>
    </row>
    <row r="2614">
      <c r="A2614" s="0" t="s">
        <v>2857</v>
      </c>
      <c r="B2614" s="0" t="s">
        <v>134</v>
      </c>
      <c r="C2614" s="0" t="s">
        <v>134</v>
      </c>
      <c r="D2614" s="0" t="s">
        <v>230</v>
      </c>
      <c r="E2614" s="0" t="s">
        <v>3</v>
      </c>
      <c r="F2614" s="0" t="s">
        <v>12</v>
      </c>
      <c r="G2614" s="0" t="s">
        <v>8</v>
      </c>
      <c r="H2614" s="0">
        <v>555</v>
      </c>
      <c r="I2614" s="0">
        <v>54</v>
      </c>
      <c r="J2614" s="0">
        <v>0</v>
      </c>
      <c r="K2614" s="0">
        <v>1</v>
      </c>
      <c r="L2614" s="0">
        <v>4</v>
      </c>
      <c r="M2614" s="0">
        <v>1</v>
      </c>
      <c r="N2614" s="0">
        <v>0</v>
      </c>
      <c r="O2614" s="0">
        <v>0</v>
      </c>
      <c r="P2614" s="0">
        <v>-54</v>
      </c>
      <c r="R2614" s="0" t="b">
        <v>0</v>
      </c>
      <c r="S2614" s="0" t="b">
        <v>1</v>
      </c>
      <c r="T2614" s="68">
        <v>45498.4951041667</v>
      </c>
      <c r="U2614" s="68">
        <v>45502.3333333333</v>
      </c>
      <c r="V2614" s="68">
        <v>0</v>
      </c>
      <c r="W2614" s="0">
        <f>IF(IF(B2614="none",1,IF(B2614="Trialer",1,0))+IF(C2614="Customer",1,IF(C2614="Lost",1,0))=2,1,0)</f>
      </c>
      <c r="X2614" s="0" t="s">
        <v>166</v>
      </c>
      <c r="Y2614" s="0" t="s">
        <v>243</v>
      </c>
      <c r="AV2614" s="68"/>
      <c r="AW2614" s="68"/>
      <c r="AY2614" s="27"/>
      <c r="BD2614" s="68">
        <v>46054.1666666667</v>
      </c>
      <c r="BE2614" s="68">
        <v>46082.1666666667</v>
      </c>
      <c r="BF2614" s="0" t="b">
        <v>0</v>
      </c>
      <c r="BG2614" s="0" t="b">
        <v>0</v>
      </c>
      <c r="BH2614" s="0">
        <v>61</v>
      </c>
      <c r="BI2614" s="0">
        <v>61</v>
      </c>
      <c r="BJ2614" s="0" t="s">
        <v>230</v>
      </c>
    </row>
    <row r="2615">
      <c r="A2615" s="0" t="s">
        <v>2858</v>
      </c>
      <c r="B2615" s="0" t="s">
        <v>134</v>
      </c>
      <c r="C2615" s="0" t="s">
        <v>134</v>
      </c>
      <c r="D2615" s="0" t="s">
        <v>135</v>
      </c>
      <c r="E2615" s="0" t="s">
        <v>2</v>
      </c>
      <c r="F2615" s="0" t="s">
        <v>10</v>
      </c>
      <c r="G2615" s="0" t="s">
        <v>8</v>
      </c>
      <c r="H2615" s="0">
        <v>551</v>
      </c>
      <c r="I2615" s="0">
        <v>132</v>
      </c>
      <c r="J2615" s="0">
        <v>0</v>
      </c>
      <c r="K2615" s="0">
        <v>1</v>
      </c>
      <c r="L2615" s="0">
        <v>3</v>
      </c>
      <c r="M2615" s="0">
        <v>3</v>
      </c>
      <c r="N2615" s="0">
        <v>0</v>
      </c>
      <c r="O2615" s="0">
        <v>0</v>
      </c>
      <c r="P2615" s="0">
        <v>0</v>
      </c>
      <c r="Q2615" s="0" t="s">
        <v>1023</v>
      </c>
      <c r="R2615" s="0" t="b">
        <v>0</v>
      </c>
      <c r="S2615" s="0" t="b">
        <v>1</v>
      </c>
      <c r="T2615" s="68">
        <v>45502.6071990741</v>
      </c>
      <c r="U2615" s="68">
        <v>45516.3333333333</v>
      </c>
      <c r="V2615" s="68">
        <v>0</v>
      </c>
      <c r="W2615" s="0">
        <f>IF(IF(B2615="none",1,IF(B2615="Trialer",1,0))+IF(C2615="Customer",1,IF(C2615="Lost",1,0))=2,1,0)</f>
      </c>
      <c r="X2615" s="0" t="s">
        <v>136</v>
      </c>
      <c r="Y2615" s="0" t="s">
        <v>499</v>
      </c>
      <c r="AV2615" s="68"/>
      <c r="AW2615" s="68"/>
      <c r="AY2615" s="27"/>
      <c r="BD2615" s="68">
        <v>46054.1666666667</v>
      </c>
      <c r="BE2615" s="68">
        <v>46082.1666666667</v>
      </c>
      <c r="BF2615" s="0" t="b">
        <v>0</v>
      </c>
      <c r="BG2615" s="0" t="b">
        <v>0</v>
      </c>
      <c r="BH2615" s="0">
        <v>132</v>
      </c>
      <c r="BI2615" s="0">
        <v>132</v>
      </c>
      <c r="BJ2615" s="0" t="s">
        <v>135</v>
      </c>
    </row>
    <row r="2616">
      <c r="A2616" s="0" t="s">
        <v>2859</v>
      </c>
      <c r="B2616" s="0" t="s">
        <v>134</v>
      </c>
      <c r="C2616" s="0" t="s">
        <v>134</v>
      </c>
      <c r="D2616" s="0" t="s">
        <v>230</v>
      </c>
      <c r="E2616" s="0" t="s">
        <v>3</v>
      </c>
      <c r="F2616" s="0" t="s">
        <v>12</v>
      </c>
      <c r="G2616" s="0" t="s">
        <v>8</v>
      </c>
      <c r="H2616" s="0">
        <v>551</v>
      </c>
      <c r="I2616" s="0">
        <v>397</v>
      </c>
      <c r="J2616" s="0">
        <v>0</v>
      </c>
      <c r="K2616" s="0">
        <v>1</v>
      </c>
      <c r="L2616" s="0">
        <v>2</v>
      </c>
      <c r="M2616" s="0">
        <v>2</v>
      </c>
      <c r="N2616" s="0">
        <v>0</v>
      </c>
      <c r="O2616" s="0">
        <v>0</v>
      </c>
      <c r="P2616" s="0">
        <v>-72</v>
      </c>
      <c r="R2616" s="0" t="b">
        <v>0</v>
      </c>
      <c r="S2616" s="0" t="b">
        <v>1</v>
      </c>
      <c r="T2616" s="68">
        <v>45502.6587268518</v>
      </c>
      <c r="U2616" s="68">
        <v>45531.3333333333</v>
      </c>
      <c r="V2616" s="68">
        <v>0</v>
      </c>
      <c r="W2616" s="0">
        <f>IF(IF(B2616="none",1,IF(B2616="Trialer",1,0))+IF(C2616="Customer",1,IF(C2616="Lost",1,0))=2,1,0)</f>
      </c>
      <c r="X2616" s="0" t="s">
        <v>882</v>
      </c>
      <c r="Y2616" s="0" t="s">
        <v>243</v>
      </c>
      <c r="AV2616" s="68"/>
      <c r="AW2616" s="68"/>
      <c r="AY2616" s="27"/>
      <c r="BD2616" s="68">
        <v>46054.1666666667</v>
      </c>
      <c r="BE2616" s="68">
        <v>46082.1666666667</v>
      </c>
      <c r="BF2616" s="0" t="b">
        <v>0</v>
      </c>
      <c r="BG2616" s="0" t="b">
        <v>0</v>
      </c>
      <c r="BH2616" s="0">
        <v>80</v>
      </c>
      <c r="BI2616" s="0">
        <v>80</v>
      </c>
      <c r="BJ2616" s="0" t="s">
        <v>230</v>
      </c>
    </row>
    <row r="2617">
      <c r="A2617" s="0" t="s">
        <v>2860</v>
      </c>
      <c r="B2617" s="0" t="s">
        <v>134</v>
      </c>
      <c r="C2617" s="0" t="s">
        <v>134</v>
      </c>
      <c r="D2617" s="0" t="s">
        <v>135</v>
      </c>
      <c r="E2617" s="0" t="s">
        <v>3</v>
      </c>
      <c r="F2617" s="0" t="s">
        <v>12</v>
      </c>
      <c r="G2617" s="0" t="s">
        <v>8</v>
      </c>
      <c r="H2617" s="0">
        <v>549</v>
      </c>
      <c r="I2617" s="0">
        <v>40</v>
      </c>
      <c r="J2617" s="0">
        <v>0</v>
      </c>
      <c r="K2617" s="0">
        <v>1</v>
      </c>
      <c r="L2617" s="0">
        <v>1</v>
      </c>
      <c r="M2617" s="0">
        <v>0</v>
      </c>
      <c r="N2617" s="0">
        <v>0</v>
      </c>
      <c r="O2617" s="0">
        <v>0</v>
      </c>
      <c r="P2617" s="0">
        <v>0</v>
      </c>
      <c r="R2617" s="0" t="b">
        <v>0</v>
      </c>
      <c r="S2617" s="0" t="b">
        <v>1</v>
      </c>
      <c r="T2617" s="68">
        <v>45504.3857060185</v>
      </c>
      <c r="U2617" s="68">
        <v>45504.3333333333</v>
      </c>
      <c r="V2617" s="68">
        <v>0</v>
      </c>
      <c r="W2617" s="0">
        <f>IF(IF(B2617="none",1,IF(B2617="Trialer",1,0))+IF(C2617="Customer",1,IF(C2617="Lost",1,0))=2,1,0)</f>
      </c>
      <c r="X2617" s="0" t="s">
        <v>148</v>
      </c>
      <c r="Y2617" s="0" t="s">
        <v>213</v>
      </c>
      <c r="AV2617" s="68"/>
      <c r="AW2617" s="68"/>
      <c r="AY2617" s="27"/>
      <c r="BD2617" s="68">
        <v>46054.1666666667</v>
      </c>
      <c r="BE2617" s="68">
        <v>46082.1666666667</v>
      </c>
      <c r="BF2617" s="0" t="b">
        <v>0</v>
      </c>
      <c r="BG2617" s="0" t="b">
        <v>0</v>
      </c>
      <c r="BH2617" s="0">
        <v>40</v>
      </c>
      <c r="BI2617" s="0">
        <v>40</v>
      </c>
      <c r="BJ2617" s="0" t="s">
        <v>135</v>
      </c>
    </row>
    <row r="2618">
      <c r="A2618" s="0" t="s">
        <v>2861</v>
      </c>
      <c r="B2618" s="0" t="s">
        <v>134</v>
      </c>
      <c r="C2618" s="0" t="s">
        <v>134</v>
      </c>
      <c r="D2618" s="0" t="s">
        <v>135</v>
      </c>
      <c r="E2618" s="0" t="s">
        <v>2</v>
      </c>
      <c r="F2618" s="0" t="s">
        <v>12</v>
      </c>
      <c r="G2618" s="0" t="s">
        <v>8</v>
      </c>
      <c r="H2618" s="0">
        <v>549</v>
      </c>
      <c r="I2618" s="0">
        <v>958</v>
      </c>
      <c r="J2618" s="0">
        <v>0</v>
      </c>
      <c r="K2618" s="0">
        <v>1</v>
      </c>
      <c r="L2618" s="0">
        <v>6</v>
      </c>
      <c r="M2618" s="0">
        <v>12</v>
      </c>
      <c r="N2618" s="0">
        <v>0</v>
      </c>
      <c r="O2618" s="0">
        <v>0</v>
      </c>
      <c r="P2618" s="0">
        <v>0</v>
      </c>
      <c r="R2618" s="0" t="b">
        <v>0</v>
      </c>
      <c r="S2618" s="0" t="b">
        <v>1</v>
      </c>
      <c r="T2618" s="68">
        <v>45504.6796875</v>
      </c>
      <c r="U2618" s="68">
        <v>45530.3333333333</v>
      </c>
      <c r="V2618" s="68">
        <v>0</v>
      </c>
      <c r="W2618" s="0">
        <f>IF(IF(B2618="none",1,IF(B2618="Trialer",1,0))+IF(C2618="Customer",1,IF(C2618="Lost",1,0))=2,1,0)</f>
      </c>
      <c r="X2618" s="0" t="s">
        <v>882</v>
      </c>
      <c r="Y2618" s="0" t="s">
        <v>499</v>
      </c>
      <c r="AV2618" s="68"/>
      <c r="AW2618" s="68"/>
      <c r="AY2618" s="27"/>
      <c r="BD2618" s="68">
        <v>46054.1666666667</v>
      </c>
      <c r="BE2618" s="68">
        <v>46082.1666666667</v>
      </c>
      <c r="BF2618" s="0" t="b">
        <v>0</v>
      </c>
      <c r="BG2618" s="0" t="b">
        <v>0</v>
      </c>
      <c r="BH2618" s="0">
        <v>633</v>
      </c>
      <c r="BI2618" s="0">
        <v>633</v>
      </c>
      <c r="BJ2618" s="0" t="s">
        <v>135</v>
      </c>
    </row>
    <row r="2619">
      <c r="A2619" s="0" t="s">
        <v>2862</v>
      </c>
      <c r="B2619" s="0" t="s">
        <v>134</v>
      </c>
      <c r="C2619" s="0" t="s">
        <v>134</v>
      </c>
      <c r="D2619" s="0" t="s">
        <v>230</v>
      </c>
      <c r="E2619" s="0" t="s">
        <v>3</v>
      </c>
      <c r="F2619" s="0" t="s">
        <v>12</v>
      </c>
      <c r="G2619" s="0" t="s">
        <v>8</v>
      </c>
      <c r="H2619" s="0">
        <v>549</v>
      </c>
      <c r="I2619" s="0">
        <v>208.8</v>
      </c>
      <c r="J2619" s="0">
        <v>0</v>
      </c>
      <c r="K2619" s="0">
        <v>1</v>
      </c>
      <c r="L2619" s="0">
        <v>4</v>
      </c>
      <c r="M2619" s="0">
        <v>4</v>
      </c>
      <c r="N2619" s="0">
        <v>0</v>
      </c>
      <c r="O2619" s="0">
        <v>0</v>
      </c>
      <c r="P2619" s="0">
        <v>-208.8</v>
      </c>
      <c r="R2619" s="0" t="b">
        <v>0</v>
      </c>
      <c r="S2619" s="0" t="b">
        <v>1</v>
      </c>
      <c r="T2619" s="68">
        <v>45504.7901736111</v>
      </c>
      <c r="U2619" s="68">
        <v>45523.3333333333</v>
      </c>
      <c r="V2619" s="68">
        <v>0</v>
      </c>
      <c r="W2619" s="0">
        <f>IF(IF(B2619="none",1,IF(B2619="Trialer",1,0))+IF(C2619="Customer",1,IF(C2619="Lost",1,0))=2,1,0)</f>
      </c>
      <c r="X2619" s="0" t="s">
        <v>145</v>
      </c>
      <c r="Y2619" s="0" t="s">
        <v>243</v>
      </c>
      <c r="AV2619" s="68"/>
      <c r="AW2619" s="68"/>
      <c r="AY2619" s="27"/>
      <c r="BD2619" s="68">
        <v>46054.1666666667</v>
      </c>
      <c r="BE2619" s="68">
        <v>46082.1666666667</v>
      </c>
      <c r="BF2619" s="0" t="b">
        <v>0</v>
      </c>
      <c r="BG2619" s="0" t="b">
        <v>0</v>
      </c>
      <c r="BH2619" s="0">
        <v>232</v>
      </c>
      <c r="BI2619" s="0">
        <v>232</v>
      </c>
      <c r="BJ2619" s="0" t="s">
        <v>230</v>
      </c>
    </row>
    <row r="2620">
      <c r="A2620" s="0" t="s">
        <v>2863</v>
      </c>
      <c r="B2620" s="0" t="s">
        <v>134</v>
      </c>
      <c r="C2620" s="0" t="s">
        <v>134</v>
      </c>
      <c r="D2620" s="0" t="s">
        <v>135</v>
      </c>
      <c r="E2620" s="0" t="s">
        <v>2</v>
      </c>
      <c r="F2620" s="0" t="s">
        <v>12</v>
      </c>
      <c r="G2620" s="0" t="s">
        <v>8</v>
      </c>
      <c r="H2620" s="0">
        <v>548</v>
      </c>
      <c r="I2620" s="0">
        <v>1284</v>
      </c>
      <c r="J2620" s="0">
        <v>0</v>
      </c>
      <c r="K2620" s="0">
        <v>1</v>
      </c>
      <c r="L2620" s="0">
        <v>3</v>
      </c>
      <c r="M2620" s="0">
        <v>20</v>
      </c>
      <c r="N2620" s="0">
        <v>279</v>
      </c>
      <c r="O2620" s="0">
        <v>0</v>
      </c>
      <c r="P2620" s="0">
        <v>0</v>
      </c>
      <c r="R2620" s="0" t="b">
        <v>0</v>
      </c>
      <c r="S2620" s="0" t="b">
        <v>1</v>
      </c>
      <c r="T2620" s="68">
        <v>45505.65</v>
      </c>
      <c r="U2620" s="68">
        <v>45511.3333333333</v>
      </c>
      <c r="V2620" s="68">
        <v>0</v>
      </c>
      <c r="W2620" s="0">
        <f>IF(IF(B2620="none",1,IF(B2620="Trialer",1,0))+IF(C2620="Customer",1,IF(C2620="Lost",1,0))=2,1,0)</f>
      </c>
      <c r="X2620" s="0" t="s">
        <v>145</v>
      </c>
      <c r="Y2620" s="0" t="s">
        <v>499</v>
      </c>
      <c r="AV2620" s="68"/>
      <c r="AW2620" s="68"/>
      <c r="AY2620" s="27"/>
      <c r="BD2620" s="68">
        <v>46054.1666666667</v>
      </c>
      <c r="BE2620" s="68">
        <v>46082.1666666667</v>
      </c>
      <c r="BF2620" s="0" t="b">
        <v>0</v>
      </c>
      <c r="BG2620" s="0" t="b">
        <v>0</v>
      </c>
      <c r="BH2620" s="0">
        <v>882</v>
      </c>
      <c r="BI2620" s="0">
        <v>882</v>
      </c>
      <c r="BJ2620" s="0" t="s">
        <v>135</v>
      </c>
    </row>
    <row r="2621">
      <c r="A2621" s="0" t="s">
        <v>2864</v>
      </c>
      <c r="B2621" s="0" t="s">
        <v>134</v>
      </c>
      <c r="C2621" s="0" t="s">
        <v>134</v>
      </c>
      <c r="D2621" s="0" t="s">
        <v>135</v>
      </c>
      <c r="E2621" s="0" t="s">
        <v>3</v>
      </c>
      <c r="F2621" s="0" t="s">
        <v>12</v>
      </c>
      <c r="G2621" s="0" t="s">
        <v>8</v>
      </c>
      <c r="H2621" s="0">
        <v>545</v>
      </c>
      <c r="I2621" s="0">
        <v>231</v>
      </c>
      <c r="J2621" s="0">
        <v>0</v>
      </c>
      <c r="K2621" s="0">
        <v>1</v>
      </c>
      <c r="L2621" s="0">
        <v>6</v>
      </c>
      <c r="M2621" s="0">
        <v>3</v>
      </c>
      <c r="N2621" s="0">
        <v>0</v>
      </c>
      <c r="O2621" s="0">
        <v>0</v>
      </c>
      <c r="P2621" s="0">
        <v>0</v>
      </c>
      <c r="R2621" s="0" t="b">
        <v>0</v>
      </c>
      <c r="S2621" s="0" t="b">
        <v>1</v>
      </c>
      <c r="T2621" s="68">
        <v>45508.592349537</v>
      </c>
      <c r="U2621" s="68">
        <v>45533.3333333333</v>
      </c>
      <c r="V2621" s="68">
        <v>0</v>
      </c>
      <c r="W2621" s="0">
        <f>IF(IF(B2621="none",1,IF(B2621="Trialer",1,0))+IF(C2621="Customer",1,IF(C2621="Lost",1,0))=2,1,0)</f>
      </c>
      <c r="X2621" s="0" t="s">
        <v>166</v>
      </c>
      <c r="Y2621" s="0" t="s">
        <v>243</v>
      </c>
      <c r="AV2621" s="68"/>
      <c r="AW2621" s="68"/>
      <c r="AY2621" s="27"/>
      <c r="BD2621" s="68">
        <v>46054.1666666667</v>
      </c>
      <c r="BE2621" s="68">
        <v>46082.1666666667</v>
      </c>
      <c r="BF2621" s="0" t="b">
        <v>0</v>
      </c>
      <c r="BG2621" s="0" t="b">
        <v>0</v>
      </c>
      <c r="BH2621" s="0">
        <v>231</v>
      </c>
      <c r="BI2621" s="0">
        <v>231</v>
      </c>
      <c r="BJ2621" s="0" t="s">
        <v>135</v>
      </c>
    </row>
    <row r="2622">
      <c r="A2622" s="0" t="s">
        <v>2865</v>
      </c>
      <c r="B2622" s="0" t="s">
        <v>134</v>
      </c>
      <c r="C2622" s="0" t="s">
        <v>134</v>
      </c>
      <c r="D2622" s="0" t="s">
        <v>135</v>
      </c>
      <c r="E2622" s="0" t="s">
        <v>3</v>
      </c>
      <c r="F2622" s="0" t="s">
        <v>12</v>
      </c>
      <c r="G2622" s="0" t="s">
        <v>8</v>
      </c>
      <c r="H2622" s="0">
        <v>543</v>
      </c>
      <c r="I2622" s="0">
        <v>274</v>
      </c>
      <c r="J2622" s="0">
        <v>0</v>
      </c>
      <c r="K2622" s="0">
        <v>1</v>
      </c>
      <c r="L2622" s="0">
        <v>5</v>
      </c>
      <c r="M2622" s="0">
        <v>5</v>
      </c>
      <c r="N2622" s="0">
        <v>0</v>
      </c>
      <c r="O2622" s="0">
        <v>0</v>
      </c>
      <c r="P2622" s="0">
        <v>0</v>
      </c>
      <c r="R2622" s="0" t="b">
        <v>0</v>
      </c>
      <c r="S2622" s="0" t="b">
        <v>1</v>
      </c>
      <c r="T2622" s="68">
        <v>45510.8192476852</v>
      </c>
      <c r="U2622" s="68">
        <v>45524.3333333333</v>
      </c>
      <c r="V2622" s="68">
        <v>0</v>
      </c>
      <c r="W2622" s="0">
        <f>IF(IF(B2622="none",1,IF(B2622="Trialer",1,0))+IF(C2622="Customer",1,IF(C2622="Lost",1,0))=2,1,0)</f>
      </c>
      <c r="X2622" s="0" t="s">
        <v>136</v>
      </c>
      <c r="Y2622" s="0" t="s">
        <v>243</v>
      </c>
      <c r="AV2622" s="68"/>
      <c r="AW2622" s="68"/>
      <c r="AY2622" s="27"/>
      <c r="BD2622" s="68">
        <v>46054.1666666667</v>
      </c>
      <c r="BE2622" s="68">
        <v>46082.1666666667</v>
      </c>
      <c r="BF2622" s="0" t="b">
        <v>0</v>
      </c>
      <c r="BG2622" s="0" t="b">
        <v>0</v>
      </c>
      <c r="BH2622" s="0">
        <v>292</v>
      </c>
      <c r="BI2622" s="0">
        <v>292</v>
      </c>
      <c r="BJ2622" s="0" t="s">
        <v>135</v>
      </c>
    </row>
    <row r="2623">
      <c r="A2623" s="0" t="s">
        <v>2866</v>
      </c>
      <c r="B2623" s="0" t="s">
        <v>134</v>
      </c>
      <c r="C2623" s="0" t="s">
        <v>134</v>
      </c>
      <c r="D2623" s="0" t="s">
        <v>135</v>
      </c>
      <c r="E2623" s="0" t="s">
        <v>3</v>
      </c>
      <c r="F2623" s="0" t="s">
        <v>12</v>
      </c>
      <c r="G2623" s="0" t="s">
        <v>8</v>
      </c>
      <c r="H2623" s="0">
        <v>542</v>
      </c>
      <c r="I2623" s="0">
        <v>85</v>
      </c>
      <c r="J2623" s="0">
        <v>0</v>
      </c>
      <c r="K2623" s="0">
        <v>1</v>
      </c>
      <c r="L2623" s="0">
        <v>6</v>
      </c>
      <c r="M2623" s="0">
        <v>1</v>
      </c>
      <c r="N2623" s="0">
        <v>0</v>
      </c>
      <c r="O2623" s="0">
        <v>0</v>
      </c>
      <c r="P2623" s="0">
        <v>0</v>
      </c>
      <c r="R2623" s="0" t="b">
        <v>0</v>
      </c>
      <c r="S2623" s="0" t="b">
        <v>1</v>
      </c>
      <c r="T2623" s="68">
        <v>45511.315162037</v>
      </c>
      <c r="U2623" s="68">
        <v>45532.3333333333</v>
      </c>
      <c r="V2623" s="68">
        <v>0</v>
      </c>
      <c r="W2623" s="0">
        <f>IF(IF(B2623="none",1,IF(B2623="Trialer",1,0))+IF(C2623="Customer",1,IF(C2623="Lost",1,0))=2,1,0)</f>
      </c>
      <c r="X2623" s="0" t="s">
        <v>145</v>
      </c>
      <c r="Y2623" s="0" t="s">
        <v>243</v>
      </c>
      <c r="AV2623" s="68"/>
      <c r="AW2623" s="68"/>
      <c r="AY2623" s="27"/>
      <c r="BD2623" s="68">
        <v>46054.1666666667</v>
      </c>
      <c r="BE2623" s="68">
        <v>46082.1666666667</v>
      </c>
      <c r="BF2623" s="0" t="b">
        <v>0</v>
      </c>
      <c r="BG2623" s="0" t="b">
        <v>0</v>
      </c>
      <c r="BH2623" s="0">
        <v>85</v>
      </c>
      <c r="BI2623" s="0">
        <v>85</v>
      </c>
      <c r="BJ2623" s="0" t="s">
        <v>135</v>
      </c>
    </row>
    <row r="2624">
      <c r="A2624" s="0" t="s">
        <v>2867</v>
      </c>
      <c r="B2624" s="0" t="s">
        <v>134</v>
      </c>
      <c r="C2624" s="0" t="s">
        <v>134</v>
      </c>
      <c r="D2624" s="0" t="s">
        <v>230</v>
      </c>
      <c r="E2624" s="0" t="s">
        <v>3</v>
      </c>
      <c r="F2624" s="0" t="s">
        <v>12</v>
      </c>
      <c r="G2624" s="0" t="s">
        <v>8</v>
      </c>
      <c r="H2624" s="0">
        <v>542</v>
      </c>
      <c r="I2624" s="0">
        <v>204.3</v>
      </c>
      <c r="J2624" s="0">
        <v>0</v>
      </c>
      <c r="K2624" s="0">
        <v>1</v>
      </c>
      <c r="L2624" s="0">
        <v>3</v>
      </c>
      <c r="M2624" s="0">
        <v>5</v>
      </c>
      <c r="N2624" s="0">
        <v>0</v>
      </c>
      <c r="O2624" s="0">
        <v>0</v>
      </c>
      <c r="P2624" s="0">
        <v>-204.3</v>
      </c>
      <c r="R2624" s="0" t="b">
        <v>0</v>
      </c>
      <c r="S2624" s="0" t="b">
        <v>1</v>
      </c>
      <c r="T2624" s="68">
        <v>45511.3214930556</v>
      </c>
      <c r="U2624" s="68">
        <v>45525.3333333333</v>
      </c>
      <c r="V2624" s="68">
        <v>0</v>
      </c>
      <c r="W2624" s="0">
        <f>IF(IF(B2624="none",1,IF(B2624="Trialer",1,0))+IF(C2624="Customer",1,IF(C2624="Lost",1,0))=2,1,0)</f>
      </c>
      <c r="X2624" s="0" t="s">
        <v>148</v>
      </c>
      <c r="Y2624" s="0" t="s">
        <v>243</v>
      </c>
      <c r="AV2624" s="68"/>
      <c r="AW2624" s="68"/>
      <c r="AY2624" s="27"/>
      <c r="BD2624" s="68">
        <v>46054.1666666667</v>
      </c>
      <c r="BE2624" s="68">
        <v>46082.1666666667</v>
      </c>
      <c r="BF2624" s="0" t="b">
        <v>0</v>
      </c>
      <c r="BG2624" s="0" t="b">
        <v>0</v>
      </c>
      <c r="BH2624" s="0">
        <v>227</v>
      </c>
      <c r="BI2624" s="0">
        <v>227</v>
      </c>
      <c r="BJ2624" s="0" t="s">
        <v>230</v>
      </c>
    </row>
    <row r="2625">
      <c r="A2625" s="0" t="s">
        <v>2868</v>
      </c>
      <c r="B2625" s="0" t="s">
        <v>134</v>
      </c>
      <c r="C2625" s="0" t="s">
        <v>134</v>
      </c>
      <c r="D2625" s="0" t="s">
        <v>135</v>
      </c>
      <c r="E2625" s="0" t="s">
        <v>2</v>
      </c>
      <c r="F2625" s="0" t="s">
        <v>12</v>
      </c>
      <c r="G2625" s="0" t="s">
        <v>8</v>
      </c>
      <c r="H2625" s="0">
        <v>542</v>
      </c>
      <c r="I2625" s="0">
        <v>113</v>
      </c>
      <c r="J2625" s="0">
        <v>0</v>
      </c>
      <c r="K2625" s="0">
        <v>1</v>
      </c>
      <c r="L2625" s="0">
        <v>4</v>
      </c>
      <c r="M2625" s="0">
        <v>2</v>
      </c>
      <c r="N2625" s="0">
        <v>0</v>
      </c>
      <c r="O2625" s="0">
        <v>0</v>
      </c>
      <c r="P2625" s="0">
        <v>0</v>
      </c>
      <c r="R2625" s="0" t="b">
        <v>0</v>
      </c>
      <c r="S2625" s="0" t="b">
        <v>1</v>
      </c>
      <c r="T2625" s="68">
        <v>45511.6847569444</v>
      </c>
      <c r="U2625" s="68">
        <v>45525.3333333333</v>
      </c>
      <c r="V2625" s="68">
        <v>0</v>
      </c>
      <c r="W2625" s="0">
        <f>IF(IF(B2625="none",1,IF(B2625="Trialer",1,0))+IF(C2625="Customer",1,IF(C2625="Lost",1,0))=2,1,0)</f>
      </c>
      <c r="X2625" s="0" t="s">
        <v>142</v>
      </c>
      <c r="Y2625" s="0" t="s">
        <v>499</v>
      </c>
      <c r="AV2625" s="68"/>
      <c r="AW2625" s="68"/>
      <c r="AY2625" s="27"/>
      <c r="BD2625" s="68">
        <v>46054.1666666667</v>
      </c>
      <c r="BE2625" s="68">
        <v>46082.1666666667</v>
      </c>
      <c r="BF2625" s="0" t="b">
        <v>0</v>
      </c>
      <c r="BG2625" s="0" t="b">
        <v>0</v>
      </c>
      <c r="BH2625" s="0">
        <v>113</v>
      </c>
      <c r="BI2625" s="0">
        <v>113</v>
      </c>
      <c r="BJ2625" s="0" t="s">
        <v>135</v>
      </c>
    </row>
    <row r="2626">
      <c r="A2626" s="0" t="s">
        <v>2869</v>
      </c>
      <c r="B2626" s="0" t="s">
        <v>134</v>
      </c>
      <c r="C2626" s="0" t="s">
        <v>134</v>
      </c>
      <c r="D2626" s="0" t="s">
        <v>135</v>
      </c>
      <c r="E2626" s="0" t="s">
        <v>3</v>
      </c>
      <c r="F2626" s="0" t="s">
        <v>12</v>
      </c>
      <c r="G2626" s="0" t="s">
        <v>8</v>
      </c>
      <c r="H2626" s="0">
        <v>541</v>
      </c>
      <c r="I2626" s="0">
        <v>245</v>
      </c>
      <c r="J2626" s="0">
        <v>0</v>
      </c>
      <c r="K2626" s="0">
        <v>1</v>
      </c>
      <c r="L2626" s="0">
        <v>3</v>
      </c>
      <c r="M2626" s="0">
        <v>5</v>
      </c>
      <c r="N2626" s="0">
        <v>0</v>
      </c>
      <c r="O2626" s="0">
        <v>0</v>
      </c>
      <c r="P2626" s="0">
        <v>0</v>
      </c>
      <c r="R2626" s="0" t="b">
        <v>0</v>
      </c>
      <c r="S2626" s="0" t="b">
        <v>1</v>
      </c>
      <c r="T2626" s="68">
        <v>45512.2106018519</v>
      </c>
      <c r="U2626" s="68">
        <v>45526.3333333333</v>
      </c>
      <c r="V2626" s="68">
        <v>0</v>
      </c>
      <c r="W2626" s="0">
        <f>IF(IF(B2626="none",1,IF(B2626="Trialer",1,0))+IF(C2626="Customer",1,IF(C2626="Lost",1,0))=2,1,0)</f>
      </c>
      <c r="X2626" s="0" t="s">
        <v>136</v>
      </c>
      <c r="Y2626" s="0" t="s">
        <v>243</v>
      </c>
      <c r="AV2626" s="68"/>
      <c r="AW2626" s="68"/>
      <c r="AY2626" s="27"/>
      <c r="BD2626" s="68">
        <v>46054.1666666667</v>
      </c>
      <c r="BE2626" s="68">
        <v>46082.1666666667</v>
      </c>
      <c r="BF2626" s="0" t="b">
        <v>0</v>
      </c>
      <c r="BG2626" s="0" t="b">
        <v>0</v>
      </c>
      <c r="BH2626" s="0">
        <v>245</v>
      </c>
      <c r="BI2626" s="0">
        <v>245</v>
      </c>
      <c r="BJ2626" s="0" t="s">
        <v>135</v>
      </c>
    </row>
    <row r="2627">
      <c r="A2627" s="0" t="s">
        <v>2870</v>
      </c>
      <c r="B2627" s="0" t="s">
        <v>134</v>
      </c>
      <c r="C2627" s="0" t="s">
        <v>134</v>
      </c>
      <c r="D2627" s="0" t="s">
        <v>230</v>
      </c>
      <c r="E2627" s="0" t="s">
        <v>3</v>
      </c>
      <c r="F2627" s="0" t="s">
        <v>12</v>
      </c>
      <c r="G2627" s="0" t="s">
        <v>8</v>
      </c>
      <c r="H2627" s="0">
        <v>541</v>
      </c>
      <c r="I2627" s="0">
        <v>105.3</v>
      </c>
      <c r="J2627" s="0">
        <v>0</v>
      </c>
      <c r="K2627" s="0">
        <v>1</v>
      </c>
      <c r="L2627" s="0">
        <v>4</v>
      </c>
      <c r="M2627" s="0">
        <v>3</v>
      </c>
      <c r="N2627" s="0">
        <v>0</v>
      </c>
      <c r="O2627" s="0">
        <v>0</v>
      </c>
      <c r="P2627" s="0">
        <v>-105.3</v>
      </c>
      <c r="R2627" s="0" t="b">
        <v>0</v>
      </c>
      <c r="S2627" s="0" t="b">
        <v>1</v>
      </c>
      <c r="T2627" s="68">
        <v>45512.6501041667</v>
      </c>
      <c r="U2627" s="68">
        <v>45544.3333333333</v>
      </c>
      <c r="V2627" s="68">
        <v>0</v>
      </c>
      <c r="W2627" s="0">
        <f>IF(IF(B2627="none",1,IF(B2627="Trialer",1,0))+IF(C2627="Customer",1,IF(C2627="Lost",1,0))=2,1,0)</f>
      </c>
      <c r="X2627" s="0" t="s">
        <v>136</v>
      </c>
      <c r="Y2627" s="0" t="s">
        <v>243</v>
      </c>
      <c r="AV2627" s="68"/>
      <c r="AW2627" s="68"/>
      <c r="AY2627" s="27"/>
      <c r="BD2627" s="68">
        <v>46054.1666666667</v>
      </c>
      <c r="BE2627" s="68">
        <v>46082.1666666667</v>
      </c>
      <c r="BF2627" s="0" t="b">
        <v>0</v>
      </c>
      <c r="BG2627" s="0" t="b">
        <v>0</v>
      </c>
      <c r="BH2627" s="0">
        <v>117</v>
      </c>
      <c r="BI2627" s="0">
        <v>117</v>
      </c>
      <c r="BJ2627" s="0" t="s">
        <v>230</v>
      </c>
    </row>
    <row r="2628">
      <c r="A2628" s="0" t="s">
        <v>2871</v>
      </c>
      <c r="B2628" s="0" t="s">
        <v>134</v>
      </c>
      <c r="C2628" s="0" t="s">
        <v>134</v>
      </c>
      <c r="D2628" s="0" t="s">
        <v>230</v>
      </c>
      <c r="E2628" s="0" t="s">
        <v>3</v>
      </c>
      <c r="F2628" s="0" t="s">
        <v>12</v>
      </c>
      <c r="G2628" s="0" t="s">
        <v>8</v>
      </c>
      <c r="H2628" s="0">
        <v>541</v>
      </c>
      <c r="I2628" s="0">
        <v>600.4</v>
      </c>
      <c r="J2628" s="0">
        <v>0</v>
      </c>
      <c r="K2628" s="0">
        <v>1</v>
      </c>
      <c r="L2628" s="0">
        <v>5</v>
      </c>
      <c r="M2628" s="0">
        <v>6</v>
      </c>
      <c r="N2628" s="0">
        <v>279</v>
      </c>
      <c r="O2628" s="0">
        <v>0</v>
      </c>
      <c r="P2628" s="0">
        <v>-275.4</v>
      </c>
      <c r="R2628" s="0" t="b">
        <v>0</v>
      </c>
      <c r="S2628" s="0" t="b">
        <v>1</v>
      </c>
      <c r="T2628" s="68">
        <v>45512.8106944444</v>
      </c>
      <c r="U2628" s="68">
        <v>45526.3333333333</v>
      </c>
      <c r="V2628" s="68">
        <v>0</v>
      </c>
      <c r="W2628" s="0">
        <f>IF(IF(B2628="none",1,IF(B2628="Trialer",1,0))+IF(C2628="Customer",1,IF(C2628="Lost",1,0))=2,1,0)</f>
      </c>
      <c r="X2628" s="0" t="s">
        <v>136</v>
      </c>
      <c r="Y2628" s="0" t="s">
        <v>243</v>
      </c>
      <c r="AV2628" s="68"/>
      <c r="AW2628" s="68"/>
      <c r="AY2628" s="27"/>
      <c r="BD2628" s="68">
        <v>46054.1666666667</v>
      </c>
      <c r="BE2628" s="68">
        <v>46082.1666666667</v>
      </c>
      <c r="BF2628" s="0" t="b">
        <v>0</v>
      </c>
      <c r="BG2628" s="0" t="b">
        <v>0</v>
      </c>
      <c r="BH2628" s="0">
        <v>306</v>
      </c>
      <c r="BI2628" s="0">
        <v>306</v>
      </c>
      <c r="BJ2628" s="0" t="s">
        <v>230</v>
      </c>
    </row>
    <row r="2629">
      <c r="A2629" s="0" t="s">
        <v>2872</v>
      </c>
      <c r="B2629" s="0" t="s">
        <v>134</v>
      </c>
      <c r="C2629" s="0" t="s">
        <v>134</v>
      </c>
      <c r="D2629" s="0" t="s">
        <v>135</v>
      </c>
      <c r="E2629" s="0" t="s">
        <v>3</v>
      </c>
      <c r="F2629" s="0" t="s">
        <v>12</v>
      </c>
      <c r="G2629" s="0" t="s">
        <v>8</v>
      </c>
      <c r="H2629" s="0">
        <v>540</v>
      </c>
      <c r="I2629" s="0">
        <v>557</v>
      </c>
      <c r="J2629" s="0">
        <v>0</v>
      </c>
      <c r="K2629" s="0">
        <v>1</v>
      </c>
      <c r="L2629" s="0">
        <v>4</v>
      </c>
      <c r="M2629" s="0">
        <v>4</v>
      </c>
      <c r="N2629" s="0">
        <v>0</v>
      </c>
      <c r="O2629" s="0">
        <v>0</v>
      </c>
      <c r="P2629" s="0">
        <v>0</v>
      </c>
      <c r="R2629" s="0" t="b">
        <v>0</v>
      </c>
      <c r="S2629" s="0" t="b">
        <v>1</v>
      </c>
      <c r="T2629" s="68">
        <v>45513.0111458333</v>
      </c>
      <c r="U2629" s="68">
        <v>45527.3333333333</v>
      </c>
      <c r="V2629" s="68">
        <v>0</v>
      </c>
      <c r="W2629" s="0">
        <f>IF(IF(B2629="none",1,IF(B2629="Trialer",1,0))+IF(C2629="Customer",1,IF(C2629="Lost",1,0))=2,1,0)</f>
      </c>
      <c r="X2629" s="0" t="s">
        <v>148</v>
      </c>
      <c r="Y2629" s="0" t="s">
        <v>243</v>
      </c>
      <c r="AV2629" s="68"/>
      <c r="AW2629" s="68"/>
      <c r="AY2629" s="27"/>
      <c r="BD2629" s="68">
        <v>46054.1666666667</v>
      </c>
      <c r="BE2629" s="68">
        <v>46082.1666666667</v>
      </c>
      <c r="BF2629" s="0" t="b">
        <v>0</v>
      </c>
      <c r="BG2629" s="0" t="b">
        <v>0</v>
      </c>
      <c r="BH2629" s="0">
        <v>232</v>
      </c>
      <c r="BI2629" s="0">
        <v>232</v>
      </c>
      <c r="BJ2629" s="0" t="s">
        <v>135</v>
      </c>
    </row>
    <row r="2630">
      <c r="A2630" s="0" t="s">
        <v>2873</v>
      </c>
      <c r="B2630" s="0" t="s">
        <v>134</v>
      </c>
      <c r="C2630" s="0" t="s">
        <v>134</v>
      </c>
      <c r="D2630" s="0" t="s">
        <v>230</v>
      </c>
      <c r="E2630" s="0" t="s">
        <v>2</v>
      </c>
      <c r="F2630" s="0" t="s">
        <v>12</v>
      </c>
      <c r="G2630" s="0" t="s">
        <v>8</v>
      </c>
      <c r="H2630" s="0">
        <v>540</v>
      </c>
      <c r="I2630" s="0">
        <v>220.5</v>
      </c>
      <c r="J2630" s="0">
        <v>0</v>
      </c>
      <c r="K2630" s="0">
        <v>1</v>
      </c>
      <c r="L2630" s="0">
        <v>3</v>
      </c>
      <c r="M2630" s="0">
        <v>5</v>
      </c>
      <c r="N2630" s="0">
        <v>0</v>
      </c>
      <c r="O2630" s="0">
        <v>0</v>
      </c>
      <c r="P2630" s="0">
        <v>-220.5</v>
      </c>
      <c r="R2630" s="0" t="b">
        <v>0</v>
      </c>
      <c r="S2630" s="0" t="b">
        <v>1</v>
      </c>
      <c r="T2630" s="68">
        <v>45513.4871064815</v>
      </c>
      <c r="U2630" s="68">
        <v>45513.3333333333</v>
      </c>
      <c r="V2630" s="68">
        <v>0</v>
      </c>
      <c r="W2630" s="0">
        <f>IF(IF(B2630="none",1,IF(B2630="Trialer",1,0))+IF(C2630="Customer",1,IF(C2630="Lost",1,0))=2,1,0)</f>
      </c>
      <c r="X2630" s="0" t="s">
        <v>145</v>
      </c>
      <c r="Y2630" s="0" t="s">
        <v>499</v>
      </c>
      <c r="AV2630" s="68"/>
      <c r="AW2630" s="68"/>
      <c r="AY2630" s="27"/>
      <c r="BD2630" s="68">
        <v>46054.1666666667</v>
      </c>
      <c r="BE2630" s="68">
        <v>46082.1666666667</v>
      </c>
      <c r="BF2630" s="0" t="b">
        <v>0</v>
      </c>
      <c r="BG2630" s="0" t="b">
        <v>0</v>
      </c>
      <c r="BH2630" s="0">
        <v>245</v>
      </c>
      <c r="BI2630" s="0">
        <v>245</v>
      </c>
      <c r="BJ2630" s="0" t="s">
        <v>230</v>
      </c>
    </row>
    <row r="2631">
      <c r="A2631" s="0" t="s">
        <v>2874</v>
      </c>
      <c r="B2631" s="0" t="s">
        <v>134</v>
      </c>
      <c r="C2631" s="0" t="s">
        <v>134</v>
      </c>
      <c r="D2631" s="0" t="s">
        <v>135</v>
      </c>
      <c r="E2631" s="0" t="s">
        <v>3</v>
      </c>
      <c r="F2631" s="0" t="s">
        <v>12</v>
      </c>
      <c r="G2631" s="0" t="s">
        <v>8</v>
      </c>
      <c r="H2631" s="0">
        <v>540</v>
      </c>
      <c r="I2631" s="0">
        <v>40</v>
      </c>
      <c r="J2631" s="0">
        <v>0</v>
      </c>
      <c r="K2631" s="0">
        <v>1</v>
      </c>
      <c r="L2631" s="0">
        <v>2</v>
      </c>
      <c r="M2631" s="0">
        <v>1</v>
      </c>
      <c r="N2631" s="0">
        <v>0</v>
      </c>
      <c r="O2631" s="0">
        <v>0</v>
      </c>
      <c r="P2631" s="0">
        <v>0</v>
      </c>
      <c r="R2631" s="0" t="b">
        <v>0</v>
      </c>
      <c r="S2631" s="0" t="b">
        <v>1</v>
      </c>
      <c r="T2631" s="68">
        <v>45513.5068518519</v>
      </c>
      <c r="U2631" s="68">
        <v>45527.3333333333</v>
      </c>
      <c r="V2631" s="68">
        <v>0</v>
      </c>
      <c r="W2631" s="0">
        <f>IF(IF(B2631="none",1,IF(B2631="Trialer",1,0))+IF(C2631="Customer",1,IF(C2631="Lost",1,0))=2,1,0)</f>
      </c>
      <c r="X2631" s="0" t="s">
        <v>153</v>
      </c>
      <c r="Y2631" s="0" t="s">
        <v>243</v>
      </c>
      <c r="AV2631" s="68"/>
      <c r="AW2631" s="68"/>
      <c r="AY2631" s="27"/>
      <c r="BD2631" s="68">
        <v>46054.1666666667</v>
      </c>
      <c r="BE2631" s="68">
        <v>46082.1666666667</v>
      </c>
      <c r="BF2631" s="0" t="b">
        <v>0</v>
      </c>
      <c r="BG2631" s="0" t="b">
        <v>0</v>
      </c>
      <c r="BH2631" s="0">
        <v>40</v>
      </c>
      <c r="BI2631" s="0">
        <v>40</v>
      </c>
      <c r="BJ2631" s="0" t="s">
        <v>135</v>
      </c>
    </row>
    <row r="2632">
      <c r="A2632" s="0" t="s">
        <v>2875</v>
      </c>
      <c r="B2632" s="0" t="s">
        <v>134</v>
      </c>
      <c r="C2632" s="0" t="s">
        <v>134</v>
      </c>
      <c r="D2632" s="0" t="s">
        <v>135</v>
      </c>
      <c r="E2632" s="0" t="s">
        <v>3</v>
      </c>
      <c r="F2632" s="0" t="s">
        <v>12</v>
      </c>
      <c r="G2632" s="0" t="s">
        <v>8</v>
      </c>
      <c r="H2632" s="0">
        <v>540</v>
      </c>
      <c r="I2632" s="0">
        <v>56</v>
      </c>
      <c r="J2632" s="0">
        <v>0</v>
      </c>
      <c r="K2632" s="0">
        <v>1</v>
      </c>
      <c r="L2632" s="0">
        <v>1</v>
      </c>
      <c r="M2632" s="0">
        <v>2</v>
      </c>
      <c r="N2632" s="0">
        <v>0</v>
      </c>
      <c r="O2632" s="0">
        <v>0</v>
      </c>
      <c r="P2632" s="0">
        <v>0</v>
      </c>
      <c r="R2632" s="0" t="b">
        <v>0</v>
      </c>
      <c r="S2632" s="0" t="b">
        <v>1</v>
      </c>
      <c r="T2632" s="68">
        <v>45513.5929513889</v>
      </c>
      <c r="U2632" s="68">
        <v>45527.3333333333</v>
      </c>
      <c r="V2632" s="68">
        <v>0</v>
      </c>
      <c r="W2632" s="0">
        <f>IF(IF(B2632="none",1,IF(B2632="Trialer",1,0))+IF(C2632="Customer",1,IF(C2632="Lost",1,0))=2,1,0)</f>
      </c>
      <c r="X2632" s="0" t="s">
        <v>153</v>
      </c>
      <c r="Y2632" s="0" t="s">
        <v>243</v>
      </c>
      <c r="AV2632" s="68"/>
      <c r="AW2632" s="68"/>
      <c r="AY2632" s="27"/>
      <c r="BD2632" s="68">
        <v>46054.1666666667</v>
      </c>
      <c r="BE2632" s="68">
        <v>46082.1666666667</v>
      </c>
      <c r="BF2632" s="0" t="b">
        <v>0</v>
      </c>
      <c r="BG2632" s="0" t="b">
        <v>0</v>
      </c>
      <c r="BH2632" s="0">
        <v>56</v>
      </c>
      <c r="BI2632" s="0">
        <v>56</v>
      </c>
      <c r="BJ2632" s="0" t="s">
        <v>135</v>
      </c>
    </row>
    <row r="2633">
      <c r="A2633" s="0" t="s">
        <v>2876</v>
      </c>
      <c r="B2633" s="0" t="s">
        <v>134</v>
      </c>
      <c r="C2633" s="0" t="s">
        <v>134</v>
      </c>
      <c r="D2633" s="0" t="s">
        <v>135</v>
      </c>
      <c r="E2633" s="0" t="s">
        <v>2</v>
      </c>
      <c r="F2633" s="0" t="s">
        <v>12</v>
      </c>
      <c r="G2633" s="0" t="s">
        <v>8</v>
      </c>
      <c r="H2633" s="0">
        <v>540</v>
      </c>
      <c r="I2633" s="0">
        <v>112</v>
      </c>
      <c r="J2633" s="0">
        <v>0</v>
      </c>
      <c r="K2633" s="0">
        <v>1</v>
      </c>
      <c r="L2633" s="0">
        <v>1</v>
      </c>
      <c r="M2633" s="0">
        <v>4</v>
      </c>
      <c r="N2633" s="0">
        <v>0</v>
      </c>
      <c r="O2633" s="0">
        <v>0</v>
      </c>
      <c r="P2633" s="0">
        <v>0</v>
      </c>
      <c r="R2633" s="0" t="b">
        <v>0</v>
      </c>
      <c r="S2633" s="0" t="b">
        <v>1</v>
      </c>
      <c r="T2633" s="68">
        <v>45513.6233449074</v>
      </c>
      <c r="U2633" s="68">
        <v>45527.3333333333</v>
      </c>
      <c r="V2633" s="68">
        <v>0</v>
      </c>
      <c r="W2633" s="0">
        <f>IF(IF(B2633="none",1,IF(B2633="Trialer",1,0))+IF(C2633="Customer",1,IF(C2633="Lost",1,0))=2,1,0)</f>
      </c>
      <c r="X2633" s="0" t="s">
        <v>148</v>
      </c>
      <c r="Y2633" s="0" t="s">
        <v>499</v>
      </c>
      <c r="AV2633" s="68"/>
      <c r="AW2633" s="68"/>
      <c r="AY2633" s="27"/>
      <c r="BD2633" s="68">
        <v>46054.1666666667</v>
      </c>
      <c r="BE2633" s="68">
        <v>46082.1666666667</v>
      </c>
      <c r="BF2633" s="0" t="b">
        <v>0</v>
      </c>
      <c r="BG2633" s="0" t="b">
        <v>0</v>
      </c>
      <c r="BH2633" s="0">
        <v>112</v>
      </c>
      <c r="BI2633" s="0">
        <v>112</v>
      </c>
      <c r="BJ2633" s="0" t="s">
        <v>135</v>
      </c>
    </row>
    <row r="2634">
      <c r="A2634" s="0" t="s">
        <v>2877</v>
      </c>
      <c r="B2634" s="0" t="s">
        <v>134</v>
      </c>
      <c r="C2634" s="0" t="s">
        <v>134</v>
      </c>
      <c r="D2634" s="0" t="s">
        <v>135</v>
      </c>
      <c r="E2634" s="0" t="s">
        <v>3</v>
      </c>
      <c r="F2634" s="0" t="s">
        <v>12</v>
      </c>
      <c r="G2634" s="0" t="s">
        <v>8</v>
      </c>
      <c r="H2634" s="0">
        <v>538</v>
      </c>
      <c r="I2634" s="0">
        <v>73</v>
      </c>
      <c r="J2634" s="0">
        <v>0</v>
      </c>
      <c r="K2634" s="0">
        <v>1</v>
      </c>
      <c r="L2634" s="0">
        <v>5</v>
      </c>
      <c r="M2634" s="0">
        <v>1</v>
      </c>
      <c r="N2634" s="0">
        <v>0</v>
      </c>
      <c r="O2634" s="0">
        <v>0</v>
      </c>
      <c r="P2634" s="0">
        <v>0</v>
      </c>
      <c r="R2634" s="0" t="b">
        <v>0</v>
      </c>
      <c r="S2634" s="0" t="b">
        <v>1</v>
      </c>
      <c r="T2634" s="68">
        <v>45515.7409375</v>
      </c>
      <c r="U2634" s="68">
        <v>45530.3333333333</v>
      </c>
      <c r="V2634" s="68">
        <v>0</v>
      </c>
      <c r="W2634" s="0">
        <f>IF(IF(B2634="none",1,IF(B2634="Trialer",1,0))+IF(C2634="Customer",1,IF(C2634="Lost",1,0))=2,1,0)</f>
      </c>
      <c r="X2634" s="0" t="s">
        <v>166</v>
      </c>
      <c r="Y2634" s="0" t="s">
        <v>243</v>
      </c>
      <c r="AV2634" s="68"/>
      <c r="AW2634" s="68"/>
      <c r="AY2634" s="27"/>
      <c r="BD2634" s="68">
        <v>46054.1666666667</v>
      </c>
      <c r="BE2634" s="68">
        <v>46082.1666666667</v>
      </c>
      <c r="BF2634" s="0" t="b">
        <v>0</v>
      </c>
      <c r="BG2634" s="0" t="b">
        <v>0</v>
      </c>
      <c r="BH2634" s="0">
        <v>73</v>
      </c>
      <c r="BI2634" s="0">
        <v>73</v>
      </c>
      <c r="BJ2634" s="0" t="s">
        <v>135</v>
      </c>
    </row>
    <row r="2635">
      <c r="A2635" s="0" t="s">
        <v>2878</v>
      </c>
      <c r="B2635" s="0" t="s">
        <v>134</v>
      </c>
      <c r="C2635" s="0" t="s">
        <v>134</v>
      </c>
      <c r="D2635" s="0" t="s">
        <v>135</v>
      </c>
      <c r="E2635" s="0" t="s">
        <v>3</v>
      </c>
      <c r="F2635" s="0" t="s">
        <v>12</v>
      </c>
      <c r="G2635" s="0" t="s">
        <v>8</v>
      </c>
      <c r="H2635" s="0">
        <v>537</v>
      </c>
      <c r="I2635" s="0">
        <v>105</v>
      </c>
      <c r="J2635" s="0">
        <v>0</v>
      </c>
      <c r="K2635" s="0">
        <v>1</v>
      </c>
      <c r="L2635" s="0">
        <v>3</v>
      </c>
      <c r="M2635" s="0">
        <v>3</v>
      </c>
      <c r="N2635" s="0">
        <v>0</v>
      </c>
      <c r="O2635" s="0">
        <v>0</v>
      </c>
      <c r="P2635" s="0">
        <v>0</v>
      </c>
      <c r="R2635" s="0" t="b">
        <v>0</v>
      </c>
      <c r="S2635" s="0" t="b">
        <v>1</v>
      </c>
      <c r="T2635" s="68">
        <v>45516.3842361111</v>
      </c>
      <c r="U2635" s="68">
        <v>45530.3333333333</v>
      </c>
      <c r="V2635" s="68">
        <v>0</v>
      </c>
      <c r="W2635" s="0">
        <f>IF(IF(B2635="none",1,IF(B2635="Trialer",1,0))+IF(C2635="Customer",1,IF(C2635="Lost",1,0))=2,1,0)</f>
      </c>
      <c r="X2635" s="0" t="s">
        <v>142</v>
      </c>
      <c r="Y2635" s="0" t="s">
        <v>243</v>
      </c>
      <c r="AV2635" s="68"/>
      <c r="AW2635" s="68"/>
      <c r="AY2635" s="27"/>
      <c r="BD2635" s="68">
        <v>46054.1666666667</v>
      </c>
      <c r="BE2635" s="68">
        <v>46082.1666666667</v>
      </c>
      <c r="BF2635" s="0" t="b">
        <v>0</v>
      </c>
      <c r="BG2635" s="0" t="b">
        <v>0</v>
      </c>
      <c r="BH2635" s="0">
        <v>105</v>
      </c>
      <c r="BI2635" s="0">
        <v>105</v>
      </c>
      <c r="BJ2635" s="0" t="s">
        <v>135</v>
      </c>
    </row>
    <row r="2636">
      <c r="A2636" s="0" t="s">
        <v>2879</v>
      </c>
      <c r="B2636" s="0" t="s">
        <v>134</v>
      </c>
      <c r="C2636" s="0" t="s">
        <v>134</v>
      </c>
      <c r="D2636" s="0" t="s">
        <v>230</v>
      </c>
      <c r="E2636" s="0" t="s">
        <v>3</v>
      </c>
      <c r="F2636" s="0" t="s">
        <v>12</v>
      </c>
      <c r="G2636" s="0" t="s">
        <v>8</v>
      </c>
      <c r="H2636" s="0">
        <v>537</v>
      </c>
      <c r="I2636" s="0">
        <v>703</v>
      </c>
      <c r="J2636" s="0">
        <v>0</v>
      </c>
      <c r="K2636" s="0">
        <v>1</v>
      </c>
      <c r="L2636" s="0">
        <v>4</v>
      </c>
      <c r="M2636" s="0">
        <v>9</v>
      </c>
      <c r="N2636" s="0">
        <v>0</v>
      </c>
      <c r="O2636" s="0">
        <v>0</v>
      </c>
      <c r="P2636" s="0">
        <v>4158</v>
      </c>
      <c r="R2636" s="0" t="b">
        <v>0</v>
      </c>
      <c r="S2636" s="0" t="b">
        <v>1</v>
      </c>
      <c r="T2636" s="68">
        <v>45516.4165740741</v>
      </c>
      <c r="U2636" s="68">
        <v>45524.3333333333</v>
      </c>
      <c r="V2636" s="68">
        <v>0</v>
      </c>
      <c r="W2636" s="0">
        <f>IF(IF(B2636="none",1,IF(B2636="Trialer",1,0))+IF(C2636="Customer",1,IF(C2636="Lost",1,0))=2,1,0)</f>
      </c>
      <c r="X2636" s="0" t="s">
        <v>145</v>
      </c>
      <c r="Y2636" s="0" t="s">
        <v>243</v>
      </c>
      <c r="AV2636" s="68"/>
      <c r="AW2636" s="68"/>
      <c r="AY2636" s="27"/>
      <c r="BD2636" s="68">
        <v>46054.1666666667</v>
      </c>
      <c r="BE2636" s="68">
        <v>46082.1666666667</v>
      </c>
      <c r="BF2636" s="0" t="b">
        <v>0</v>
      </c>
      <c r="BG2636" s="0" t="b">
        <v>0</v>
      </c>
      <c r="BH2636" s="0">
        <v>420</v>
      </c>
      <c r="BI2636" s="0">
        <v>420</v>
      </c>
      <c r="BJ2636" s="0" t="s">
        <v>230</v>
      </c>
    </row>
    <row r="2637">
      <c r="A2637" s="0" t="s">
        <v>2880</v>
      </c>
      <c r="B2637" s="0" t="s">
        <v>134</v>
      </c>
      <c r="C2637" s="0" t="s">
        <v>134</v>
      </c>
      <c r="D2637" s="0" t="s">
        <v>230</v>
      </c>
      <c r="E2637" s="0" t="s">
        <v>3</v>
      </c>
      <c r="F2637" s="0" t="s">
        <v>12</v>
      </c>
      <c r="G2637" s="0" t="s">
        <v>8</v>
      </c>
      <c r="H2637" s="0">
        <v>537</v>
      </c>
      <c r="I2637" s="0">
        <v>88</v>
      </c>
      <c r="J2637" s="0">
        <v>0</v>
      </c>
      <c r="K2637" s="0">
        <v>1</v>
      </c>
      <c r="L2637" s="0">
        <v>3</v>
      </c>
      <c r="M2637" s="0">
        <v>2</v>
      </c>
      <c r="N2637" s="0">
        <v>0</v>
      </c>
      <c r="O2637" s="0">
        <v>0</v>
      </c>
      <c r="P2637" s="0">
        <v>-88</v>
      </c>
      <c r="R2637" s="0" t="b">
        <v>0</v>
      </c>
      <c r="S2637" s="0" t="b">
        <v>1</v>
      </c>
      <c r="T2637" s="68">
        <v>45516.5134606482</v>
      </c>
      <c r="U2637" s="68">
        <v>45544.3333333333</v>
      </c>
      <c r="V2637" s="68">
        <v>0</v>
      </c>
      <c r="W2637" s="0">
        <f>IF(IF(B2637="none",1,IF(B2637="Trialer",1,0))+IF(C2637="Customer",1,IF(C2637="Lost",1,0))=2,1,0)</f>
      </c>
      <c r="X2637" s="0" t="s">
        <v>166</v>
      </c>
      <c r="Y2637" s="0" t="s">
        <v>243</v>
      </c>
      <c r="AV2637" s="68"/>
      <c r="AW2637" s="68"/>
      <c r="AY2637" s="27"/>
      <c r="BD2637" s="68">
        <v>46054.1666666667</v>
      </c>
      <c r="BE2637" s="68">
        <v>46082.1666666667</v>
      </c>
      <c r="BF2637" s="0" t="b">
        <v>0</v>
      </c>
      <c r="BG2637" s="0" t="b">
        <v>0</v>
      </c>
      <c r="BH2637" s="0">
        <v>98</v>
      </c>
      <c r="BI2637" s="0">
        <v>98</v>
      </c>
      <c r="BJ2637" s="0" t="s">
        <v>230</v>
      </c>
    </row>
    <row r="2638">
      <c r="A2638" s="0" t="s">
        <v>2881</v>
      </c>
      <c r="B2638" s="0" t="s">
        <v>134</v>
      </c>
      <c r="C2638" s="0" t="s">
        <v>134</v>
      </c>
      <c r="D2638" s="0" t="s">
        <v>230</v>
      </c>
      <c r="E2638" s="0" t="s">
        <v>3</v>
      </c>
      <c r="F2638" s="0" t="s">
        <v>12</v>
      </c>
      <c r="G2638" s="0" t="s">
        <v>8</v>
      </c>
      <c r="H2638" s="0">
        <v>537</v>
      </c>
      <c r="I2638" s="0">
        <v>1018.9</v>
      </c>
      <c r="J2638" s="0">
        <v>0</v>
      </c>
      <c r="K2638" s="0">
        <v>1</v>
      </c>
      <c r="L2638" s="0">
        <v>6</v>
      </c>
      <c r="M2638" s="0">
        <v>12</v>
      </c>
      <c r="N2638" s="0">
        <v>0</v>
      </c>
      <c r="O2638" s="0">
        <v>0</v>
      </c>
      <c r="P2638" s="0">
        <v>-693.9</v>
      </c>
      <c r="R2638" s="0" t="b">
        <v>0</v>
      </c>
      <c r="S2638" s="0" t="b">
        <v>1</v>
      </c>
      <c r="T2638" s="68">
        <v>45516.6402546296</v>
      </c>
      <c r="U2638" s="68">
        <v>45524.3333333333</v>
      </c>
      <c r="V2638" s="68">
        <v>0</v>
      </c>
      <c r="W2638" s="0">
        <f>IF(IF(B2638="none",1,IF(B2638="Trialer",1,0))+IF(C2638="Customer",1,IF(C2638="Lost",1,0))=2,1,0)</f>
      </c>
      <c r="X2638" s="0" t="s">
        <v>136</v>
      </c>
      <c r="Y2638" s="0" t="s">
        <v>243</v>
      </c>
      <c r="AV2638" s="68"/>
      <c r="AW2638" s="68"/>
      <c r="AY2638" s="27"/>
      <c r="BD2638" s="68">
        <v>46054.1666666667</v>
      </c>
      <c r="BE2638" s="68">
        <v>46082.1666666667</v>
      </c>
      <c r="BF2638" s="0" t="b">
        <v>0</v>
      </c>
      <c r="BG2638" s="0" t="b">
        <v>0</v>
      </c>
      <c r="BH2638" s="0">
        <v>771</v>
      </c>
      <c r="BI2638" s="0">
        <v>771</v>
      </c>
      <c r="BJ2638" s="0" t="s">
        <v>230</v>
      </c>
    </row>
    <row r="2639">
      <c r="A2639" s="0" t="s">
        <v>2882</v>
      </c>
      <c r="B2639" s="0" t="s">
        <v>134</v>
      </c>
      <c r="C2639" s="0" t="s">
        <v>134</v>
      </c>
      <c r="D2639" s="0" t="s">
        <v>135</v>
      </c>
      <c r="E2639" s="0" t="s">
        <v>2</v>
      </c>
      <c r="F2639" s="0" t="s">
        <v>10</v>
      </c>
      <c r="G2639" s="0" t="s">
        <v>8</v>
      </c>
      <c r="H2639" s="0">
        <v>537</v>
      </c>
      <c r="I2639" s="0">
        <v>52</v>
      </c>
      <c r="J2639" s="0">
        <v>0</v>
      </c>
      <c r="K2639" s="0">
        <v>1</v>
      </c>
      <c r="L2639" s="0">
        <v>3</v>
      </c>
      <c r="M2639" s="0">
        <v>1</v>
      </c>
      <c r="N2639" s="0">
        <v>0</v>
      </c>
      <c r="O2639" s="0">
        <v>0</v>
      </c>
      <c r="P2639" s="0">
        <v>0</v>
      </c>
      <c r="Q2639" s="0" t="s">
        <v>2040</v>
      </c>
      <c r="R2639" s="0" t="b">
        <v>0</v>
      </c>
      <c r="S2639" s="0" t="b">
        <v>1</v>
      </c>
      <c r="T2639" s="68">
        <v>45516.666087963</v>
      </c>
      <c r="U2639" s="68">
        <v>45530.3333333333</v>
      </c>
      <c r="V2639" s="68">
        <v>0</v>
      </c>
      <c r="W2639" s="0">
        <f>IF(IF(B2639="none",1,IF(B2639="Trialer",1,0))+IF(C2639="Customer",1,IF(C2639="Lost",1,0))=2,1,0)</f>
      </c>
      <c r="X2639" s="0" t="s">
        <v>148</v>
      </c>
      <c r="Y2639" s="0" t="s">
        <v>499</v>
      </c>
      <c r="AV2639" s="68"/>
      <c r="AW2639" s="68"/>
      <c r="AY2639" s="27"/>
      <c r="BD2639" s="68">
        <v>46054.1666666667</v>
      </c>
      <c r="BE2639" s="68">
        <v>46082.1666666667</v>
      </c>
      <c r="BF2639" s="0" t="b">
        <v>0</v>
      </c>
      <c r="BG2639" s="0" t="b">
        <v>0</v>
      </c>
      <c r="BH2639" s="0">
        <v>52</v>
      </c>
      <c r="BI2639" s="0">
        <v>52</v>
      </c>
      <c r="BJ2639" s="0" t="s">
        <v>135</v>
      </c>
    </row>
    <row r="2640">
      <c r="A2640" s="0" t="s">
        <v>2883</v>
      </c>
      <c r="B2640" s="0" t="s">
        <v>134</v>
      </c>
      <c r="C2640" s="0" t="s">
        <v>134</v>
      </c>
      <c r="D2640" s="0" t="s">
        <v>135</v>
      </c>
      <c r="E2640" s="0" t="s">
        <v>3</v>
      </c>
      <c r="F2640" s="0" t="s">
        <v>12</v>
      </c>
      <c r="G2640" s="0" t="s">
        <v>8</v>
      </c>
      <c r="H2640" s="0">
        <v>536</v>
      </c>
      <c r="I2640" s="0">
        <v>236</v>
      </c>
      <c r="J2640" s="0">
        <v>0</v>
      </c>
      <c r="K2640" s="0">
        <v>1</v>
      </c>
      <c r="L2640" s="0">
        <v>3</v>
      </c>
      <c r="M2640" s="0">
        <v>5</v>
      </c>
      <c r="N2640" s="0">
        <v>852.5</v>
      </c>
      <c r="O2640" s="0">
        <v>0</v>
      </c>
      <c r="P2640" s="0">
        <v>0</v>
      </c>
      <c r="R2640" s="0" t="b">
        <v>0</v>
      </c>
      <c r="S2640" s="0" t="b">
        <v>1</v>
      </c>
      <c r="T2640" s="68">
        <v>45517.4691666667</v>
      </c>
      <c r="U2640" s="68">
        <v>45533.3333333333</v>
      </c>
      <c r="V2640" s="68">
        <v>0</v>
      </c>
      <c r="W2640" s="0">
        <f>IF(IF(B2640="none",1,IF(B2640="Trialer",1,0))+IF(C2640="Customer",1,IF(C2640="Lost",1,0))=2,1,0)</f>
      </c>
      <c r="X2640" s="0" t="s">
        <v>136</v>
      </c>
      <c r="Y2640" s="0" t="s">
        <v>243</v>
      </c>
      <c r="AV2640" s="68"/>
      <c r="AW2640" s="68"/>
      <c r="AY2640" s="27"/>
      <c r="BD2640" s="68">
        <v>46054.1666666667</v>
      </c>
      <c r="BE2640" s="68">
        <v>46082.1666666667</v>
      </c>
      <c r="BF2640" s="0" t="b">
        <v>0</v>
      </c>
      <c r="BG2640" s="0" t="b">
        <v>0</v>
      </c>
      <c r="BH2640" s="0">
        <v>245</v>
      </c>
      <c r="BI2640" s="0">
        <v>245</v>
      </c>
      <c r="BJ2640" s="0" t="s">
        <v>135</v>
      </c>
    </row>
    <row r="2641">
      <c r="A2641" s="0" t="s">
        <v>2884</v>
      </c>
      <c r="B2641" s="0" t="s">
        <v>134</v>
      </c>
      <c r="C2641" s="0" t="s">
        <v>134</v>
      </c>
      <c r="D2641" s="0" t="s">
        <v>135</v>
      </c>
      <c r="E2641" s="0" t="s">
        <v>3</v>
      </c>
      <c r="F2641" s="0" t="s">
        <v>12</v>
      </c>
      <c r="G2641" s="0" t="s">
        <v>8</v>
      </c>
      <c r="H2641" s="0">
        <v>535</v>
      </c>
      <c r="I2641" s="0">
        <v>61</v>
      </c>
      <c r="J2641" s="0">
        <v>0</v>
      </c>
      <c r="K2641" s="0">
        <v>1</v>
      </c>
      <c r="L2641" s="0">
        <v>4</v>
      </c>
      <c r="M2641" s="0">
        <v>1</v>
      </c>
      <c r="N2641" s="0">
        <v>0</v>
      </c>
      <c r="O2641" s="0">
        <v>0</v>
      </c>
      <c r="P2641" s="0">
        <v>0</v>
      </c>
      <c r="R2641" s="0" t="b">
        <v>0</v>
      </c>
      <c r="S2641" s="0" t="b">
        <v>1</v>
      </c>
      <c r="T2641" s="68">
        <v>45518.7595023148</v>
      </c>
      <c r="U2641" s="68">
        <v>45532.3333333333</v>
      </c>
      <c r="V2641" s="68">
        <v>0</v>
      </c>
      <c r="W2641" s="0">
        <f>IF(IF(B2641="none",1,IF(B2641="Trialer",1,0))+IF(C2641="Customer",1,IF(C2641="Lost",1,0))=2,1,0)</f>
      </c>
      <c r="X2641" s="0" t="s">
        <v>1461</v>
      </c>
      <c r="Y2641" s="0" t="s">
        <v>243</v>
      </c>
      <c r="AV2641" s="68"/>
      <c r="AW2641" s="68"/>
      <c r="AY2641" s="27"/>
      <c r="BD2641" s="68">
        <v>46054.1666666667</v>
      </c>
      <c r="BE2641" s="68">
        <v>46082.1666666667</v>
      </c>
      <c r="BF2641" s="0" t="b">
        <v>0</v>
      </c>
      <c r="BG2641" s="0" t="b">
        <v>0</v>
      </c>
      <c r="BH2641" s="0">
        <v>61</v>
      </c>
      <c r="BI2641" s="0">
        <v>61</v>
      </c>
      <c r="BJ2641" s="0" t="s">
        <v>135</v>
      </c>
    </row>
    <row r="2642">
      <c r="A2642" s="0" t="s">
        <v>2885</v>
      </c>
      <c r="B2642" s="0" t="s">
        <v>134</v>
      </c>
      <c r="C2642" s="0" t="s">
        <v>134</v>
      </c>
      <c r="D2642" s="0" t="s">
        <v>135</v>
      </c>
      <c r="E2642" s="0" t="s">
        <v>3</v>
      </c>
      <c r="F2642" s="0" t="s">
        <v>12</v>
      </c>
      <c r="G2642" s="0" t="s">
        <v>8</v>
      </c>
      <c r="H2642" s="0">
        <v>535</v>
      </c>
      <c r="I2642" s="0">
        <v>819</v>
      </c>
      <c r="J2642" s="0">
        <v>0</v>
      </c>
      <c r="K2642" s="0">
        <v>1</v>
      </c>
      <c r="L2642" s="0">
        <v>5</v>
      </c>
      <c r="M2642" s="0">
        <v>8</v>
      </c>
      <c r="N2642" s="0">
        <v>0</v>
      </c>
      <c r="O2642" s="0">
        <v>0</v>
      </c>
      <c r="P2642" s="0">
        <v>0</v>
      </c>
      <c r="R2642" s="0" t="b">
        <v>0</v>
      </c>
      <c r="S2642" s="0" t="b">
        <v>1</v>
      </c>
      <c r="T2642" s="68">
        <v>45518.7623263889</v>
      </c>
      <c r="U2642" s="68">
        <v>45533.3333333333</v>
      </c>
      <c r="V2642" s="68">
        <v>0</v>
      </c>
      <c r="W2642" s="0">
        <f>IF(IF(B2642="none",1,IF(B2642="Trialer",1,0))+IF(C2642="Customer",1,IF(C2642="Lost",1,0))=2,1,0)</f>
      </c>
      <c r="X2642" s="0" t="s">
        <v>148</v>
      </c>
      <c r="Y2642" s="0" t="s">
        <v>243</v>
      </c>
      <c r="AV2642" s="68"/>
      <c r="AW2642" s="68"/>
      <c r="AY2642" s="27"/>
      <c r="BD2642" s="68">
        <v>46054.1666666667</v>
      </c>
      <c r="BE2642" s="68">
        <v>46082.1666666667</v>
      </c>
      <c r="BF2642" s="0" t="b">
        <v>0</v>
      </c>
      <c r="BG2642" s="0" t="b">
        <v>0</v>
      </c>
      <c r="BH2642" s="0">
        <v>494</v>
      </c>
      <c r="BI2642" s="0">
        <v>494</v>
      </c>
      <c r="BJ2642" s="0" t="s">
        <v>135</v>
      </c>
    </row>
    <row r="2643">
      <c r="A2643" s="0" t="s">
        <v>2886</v>
      </c>
      <c r="B2643" s="0" t="s">
        <v>134</v>
      </c>
      <c r="C2643" s="0" t="s">
        <v>134</v>
      </c>
      <c r="D2643" s="0" t="s">
        <v>230</v>
      </c>
      <c r="E2643" s="0" t="s">
        <v>3</v>
      </c>
      <c r="F2643" s="0" t="s">
        <v>12</v>
      </c>
      <c r="G2643" s="0" t="s">
        <v>8</v>
      </c>
      <c r="H2643" s="0">
        <v>533</v>
      </c>
      <c r="I2643" s="0">
        <v>220.5</v>
      </c>
      <c r="J2643" s="0">
        <v>0</v>
      </c>
      <c r="K2643" s="0">
        <v>1</v>
      </c>
      <c r="L2643" s="0">
        <v>3</v>
      </c>
      <c r="M2643" s="0">
        <v>6</v>
      </c>
      <c r="N2643" s="0">
        <v>0</v>
      </c>
      <c r="O2643" s="0">
        <v>0</v>
      </c>
      <c r="P2643" s="0">
        <v>-220.5</v>
      </c>
      <c r="R2643" s="0" t="b">
        <v>0</v>
      </c>
      <c r="S2643" s="0" t="b">
        <v>1</v>
      </c>
      <c r="T2643" s="68">
        <v>45520.596875</v>
      </c>
      <c r="U2643" s="68">
        <v>45534.3333333333</v>
      </c>
      <c r="V2643" s="68">
        <v>0</v>
      </c>
      <c r="W2643" s="0">
        <f>IF(IF(B2643="none",1,IF(B2643="Trialer",1,0))+IF(C2643="Customer",1,IF(C2643="Lost",1,0))=2,1,0)</f>
      </c>
      <c r="X2643" s="0" t="s">
        <v>145</v>
      </c>
      <c r="Y2643" s="0" t="s">
        <v>243</v>
      </c>
      <c r="AV2643" s="68"/>
      <c r="AW2643" s="68"/>
      <c r="AY2643" s="27"/>
      <c r="BD2643" s="68">
        <v>46054.1666666667</v>
      </c>
      <c r="BE2643" s="68">
        <v>46082.1666666667</v>
      </c>
      <c r="BF2643" s="0" t="b">
        <v>0</v>
      </c>
      <c r="BG2643" s="0" t="b">
        <v>0</v>
      </c>
      <c r="BH2643" s="0">
        <v>294</v>
      </c>
      <c r="BI2643" s="0">
        <v>294</v>
      </c>
      <c r="BJ2643" s="0" t="s">
        <v>230</v>
      </c>
    </row>
    <row r="2644">
      <c r="A2644" s="0" t="s">
        <v>2887</v>
      </c>
      <c r="B2644" s="0" t="s">
        <v>134</v>
      </c>
      <c r="C2644" s="0" t="s">
        <v>134</v>
      </c>
      <c r="D2644" s="0" t="s">
        <v>135</v>
      </c>
      <c r="E2644" s="0" t="s">
        <v>3</v>
      </c>
      <c r="F2644" s="0" t="s">
        <v>12</v>
      </c>
      <c r="G2644" s="0" t="s">
        <v>8</v>
      </c>
      <c r="H2644" s="0">
        <v>533</v>
      </c>
      <c r="I2644" s="0">
        <v>40</v>
      </c>
      <c r="J2644" s="0">
        <v>0</v>
      </c>
      <c r="K2644" s="0">
        <v>1</v>
      </c>
      <c r="L2644" s="0">
        <v>1</v>
      </c>
      <c r="M2644" s="0">
        <v>0</v>
      </c>
      <c r="N2644" s="0">
        <v>0</v>
      </c>
      <c r="O2644" s="0">
        <v>0</v>
      </c>
      <c r="P2644" s="0">
        <v>0</v>
      </c>
      <c r="R2644" s="0" t="b">
        <v>0</v>
      </c>
      <c r="S2644" s="0" t="b">
        <v>1</v>
      </c>
      <c r="T2644" s="68">
        <v>45520.6097222222</v>
      </c>
      <c r="U2644" s="68">
        <v>45520.3333333333</v>
      </c>
      <c r="V2644" s="68">
        <v>0</v>
      </c>
      <c r="W2644" s="0">
        <f>IF(IF(B2644="none",1,IF(B2644="Trialer",1,0))+IF(C2644="Customer",1,IF(C2644="Lost",1,0))=2,1,0)</f>
      </c>
      <c r="X2644" s="0" t="s">
        <v>148</v>
      </c>
      <c r="Y2644" s="0" t="s">
        <v>243</v>
      </c>
      <c r="AV2644" s="68"/>
      <c r="AW2644" s="68"/>
      <c r="AY2644" s="27"/>
      <c r="BD2644" s="68">
        <v>46054.1666666667</v>
      </c>
      <c r="BE2644" s="68">
        <v>46082.1666666667</v>
      </c>
      <c r="BF2644" s="0" t="b">
        <v>0</v>
      </c>
      <c r="BG2644" s="0" t="b">
        <v>0</v>
      </c>
      <c r="BH2644" s="0">
        <v>40</v>
      </c>
      <c r="BI2644" s="0">
        <v>40</v>
      </c>
      <c r="BJ2644" s="0" t="s">
        <v>135</v>
      </c>
    </row>
    <row r="2645">
      <c r="A2645" s="0" t="s">
        <v>2888</v>
      </c>
      <c r="B2645" s="0" t="s">
        <v>134</v>
      </c>
      <c r="C2645" s="0" t="s">
        <v>134</v>
      </c>
      <c r="D2645" s="0" t="s">
        <v>135</v>
      </c>
      <c r="E2645" s="0" t="s">
        <v>3</v>
      </c>
      <c r="F2645" s="0" t="s">
        <v>12</v>
      </c>
      <c r="G2645" s="0" t="s">
        <v>8</v>
      </c>
      <c r="H2645" s="0">
        <v>530</v>
      </c>
      <c r="I2645" s="0">
        <v>73</v>
      </c>
      <c r="J2645" s="0">
        <v>0</v>
      </c>
      <c r="K2645" s="0">
        <v>1</v>
      </c>
      <c r="L2645" s="0">
        <v>5</v>
      </c>
      <c r="M2645" s="0">
        <v>1</v>
      </c>
      <c r="N2645" s="0">
        <v>0</v>
      </c>
      <c r="O2645" s="0">
        <v>0</v>
      </c>
      <c r="P2645" s="0">
        <v>0</v>
      </c>
      <c r="R2645" s="0" t="b">
        <v>0</v>
      </c>
      <c r="S2645" s="0" t="b">
        <v>1</v>
      </c>
      <c r="T2645" s="68">
        <v>45523.5239583333</v>
      </c>
      <c r="U2645" s="68">
        <v>45537.3333333333</v>
      </c>
      <c r="V2645" s="68">
        <v>0</v>
      </c>
      <c r="W2645" s="0">
        <f>IF(IF(B2645="none",1,IF(B2645="Trialer",1,0))+IF(C2645="Customer",1,IF(C2645="Lost",1,0))=2,1,0)</f>
      </c>
      <c r="X2645" s="0" t="s">
        <v>153</v>
      </c>
      <c r="Y2645" s="0" t="s">
        <v>243</v>
      </c>
      <c r="AV2645" s="68"/>
      <c r="AW2645" s="68"/>
      <c r="AY2645" s="27"/>
      <c r="BD2645" s="68">
        <v>46054.1666666667</v>
      </c>
      <c r="BE2645" s="68">
        <v>46082.1666666667</v>
      </c>
      <c r="BF2645" s="0" t="b">
        <v>0</v>
      </c>
      <c r="BG2645" s="0" t="b">
        <v>0</v>
      </c>
      <c r="BH2645" s="0">
        <v>73</v>
      </c>
      <c r="BI2645" s="0">
        <v>73</v>
      </c>
      <c r="BJ2645" s="0" t="s">
        <v>135</v>
      </c>
    </row>
    <row r="2646">
      <c r="A2646" s="0" t="s">
        <v>2889</v>
      </c>
      <c r="B2646" s="0" t="s">
        <v>134</v>
      </c>
      <c r="C2646" s="0" t="s">
        <v>134</v>
      </c>
      <c r="D2646" s="0" t="s">
        <v>135</v>
      </c>
      <c r="E2646" s="0" t="s">
        <v>2</v>
      </c>
      <c r="F2646" s="0" t="s">
        <v>12</v>
      </c>
      <c r="G2646" s="0" t="s">
        <v>8</v>
      </c>
      <c r="H2646" s="0">
        <v>530</v>
      </c>
      <c r="I2646" s="0">
        <v>159</v>
      </c>
      <c r="J2646" s="0">
        <v>0</v>
      </c>
      <c r="K2646" s="0">
        <v>1</v>
      </c>
      <c r="L2646" s="0">
        <v>4</v>
      </c>
      <c r="M2646" s="0">
        <v>3</v>
      </c>
      <c r="N2646" s="0">
        <v>0</v>
      </c>
      <c r="O2646" s="0">
        <v>0</v>
      </c>
      <c r="P2646" s="0">
        <v>0</v>
      </c>
      <c r="R2646" s="0" t="b">
        <v>0</v>
      </c>
      <c r="S2646" s="0" t="b">
        <v>1</v>
      </c>
      <c r="T2646" s="68">
        <v>45523.5299421296</v>
      </c>
      <c r="U2646" s="68">
        <v>45523.3333333333</v>
      </c>
      <c r="V2646" s="68">
        <v>0</v>
      </c>
      <c r="W2646" s="0">
        <f>IF(IF(B2646="none",1,IF(B2646="Trialer",1,0))+IF(C2646="Customer",1,IF(C2646="Lost",1,0))=2,1,0)</f>
      </c>
      <c r="X2646" s="0" t="s">
        <v>145</v>
      </c>
      <c r="Y2646" s="0" t="s">
        <v>499</v>
      </c>
      <c r="AV2646" s="68"/>
      <c r="AW2646" s="68"/>
      <c r="AY2646" s="27"/>
      <c r="BD2646" s="68">
        <v>46054.1666666667</v>
      </c>
      <c r="BE2646" s="68">
        <v>46082.1666666667</v>
      </c>
      <c r="BF2646" s="0" t="b">
        <v>0</v>
      </c>
      <c r="BG2646" s="0" t="b">
        <v>0</v>
      </c>
      <c r="BH2646" s="0">
        <v>159</v>
      </c>
      <c r="BI2646" s="0">
        <v>159</v>
      </c>
      <c r="BJ2646" s="0" t="s">
        <v>135</v>
      </c>
    </row>
    <row r="2647">
      <c r="A2647" s="0" t="s">
        <v>2890</v>
      </c>
      <c r="B2647" s="0" t="s">
        <v>134</v>
      </c>
      <c r="C2647" s="0" t="s">
        <v>134</v>
      </c>
      <c r="D2647" s="0" t="s">
        <v>230</v>
      </c>
      <c r="E2647" s="0" t="s">
        <v>3</v>
      </c>
      <c r="F2647" s="0" t="s">
        <v>12</v>
      </c>
      <c r="G2647" s="0" t="s">
        <v>8</v>
      </c>
      <c r="H2647" s="0">
        <v>530</v>
      </c>
      <c r="I2647" s="0">
        <v>638</v>
      </c>
      <c r="J2647" s="0">
        <v>0</v>
      </c>
      <c r="K2647" s="0">
        <v>1</v>
      </c>
      <c r="L2647" s="0">
        <v>6</v>
      </c>
      <c r="M2647" s="0">
        <v>6</v>
      </c>
      <c r="N2647" s="0">
        <v>837</v>
      </c>
      <c r="O2647" s="0">
        <v>0</v>
      </c>
      <c r="P2647" s="0">
        <v>-313</v>
      </c>
      <c r="R2647" s="0" t="b">
        <v>0</v>
      </c>
      <c r="S2647" s="0" t="b">
        <v>1</v>
      </c>
      <c r="T2647" s="68">
        <v>45523.5413194444</v>
      </c>
      <c r="U2647" s="68">
        <v>45540.3333333333</v>
      </c>
      <c r="V2647" s="68">
        <v>0</v>
      </c>
      <c r="W2647" s="0">
        <f>IF(IF(B2647="none",1,IF(B2647="Trialer",1,0))+IF(C2647="Customer",1,IF(C2647="Lost",1,0))=2,1,0)</f>
      </c>
      <c r="X2647" s="0" t="s">
        <v>145</v>
      </c>
      <c r="Y2647" s="0" t="s">
        <v>243</v>
      </c>
      <c r="AV2647" s="68"/>
      <c r="AW2647" s="68"/>
      <c r="AY2647" s="27"/>
      <c r="BD2647" s="68">
        <v>46054.1666666667</v>
      </c>
      <c r="BE2647" s="68">
        <v>46082.1666666667</v>
      </c>
      <c r="BF2647" s="0" t="b">
        <v>0</v>
      </c>
      <c r="BG2647" s="0" t="b">
        <v>0</v>
      </c>
      <c r="BH2647" s="0">
        <v>379</v>
      </c>
      <c r="BI2647" s="0">
        <v>379</v>
      </c>
      <c r="BJ2647" s="0" t="s">
        <v>230</v>
      </c>
    </row>
    <row r="2648">
      <c r="A2648" s="0" t="s">
        <v>2891</v>
      </c>
      <c r="B2648" s="0" t="s">
        <v>134</v>
      </c>
      <c r="C2648" s="0" t="s">
        <v>134</v>
      </c>
      <c r="D2648" s="0" t="s">
        <v>230</v>
      </c>
      <c r="E2648" s="0" t="s">
        <v>3</v>
      </c>
      <c r="F2648" s="0" t="s">
        <v>12</v>
      </c>
      <c r="G2648" s="0" t="s">
        <v>8</v>
      </c>
      <c r="H2648" s="0">
        <v>530</v>
      </c>
      <c r="I2648" s="0">
        <v>379</v>
      </c>
      <c r="J2648" s="0">
        <v>0</v>
      </c>
      <c r="K2648" s="0">
        <v>1</v>
      </c>
      <c r="L2648" s="0">
        <v>4</v>
      </c>
      <c r="M2648" s="0">
        <v>1</v>
      </c>
      <c r="N2648" s="0">
        <v>0</v>
      </c>
      <c r="O2648" s="0">
        <v>0</v>
      </c>
      <c r="P2648" s="0">
        <v>-54</v>
      </c>
      <c r="R2648" s="0" t="b">
        <v>0</v>
      </c>
      <c r="S2648" s="0" t="b">
        <v>1</v>
      </c>
      <c r="T2648" s="68">
        <v>45523.5534837963</v>
      </c>
      <c r="U2648" s="68">
        <v>45532.3333333333</v>
      </c>
      <c r="V2648" s="68">
        <v>0</v>
      </c>
      <c r="W2648" s="0">
        <f>IF(IF(B2648="none",1,IF(B2648="Trialer",1,0))+IF(C2648="Customer",1,IF(C2648="Lost",1,0))=2,1,0)</f>
      </c>
      <c r="X2648" s="0" t="s">
        <v>145</v>
      </c>
      <c r="Y2648" s="0" t="s">
        <v>243</v>
      </c>
      <c r="AV2648" s="68"/>
      <c r="AW2648" s="68"/>
      <c r="AY2648" s="27"/>
      <c r="BD2648" s="68">
        <v>46054.1666666667</v>
      </c>
      <c r="BE2648" s="68">
        <v>46082.1666666667</v>
      </c>
      <c r="BF2648" s="0" t="b">
        <v>0</v>
      </c>
      <c r="BG2648" s="0" t="b">
        <v>0</v>
      </c>
      <c r="BH2648" s="0">
        <v>61</v>
      </c>
      <c r="BI2648" s="0">
        <v>61</v>
      </c>
      <c r="BJ2648" s="0" t="s">
        <v>230</v>
      </c>
    </row>
    <row r="2649">
      <c r="A2649" s="0" t="s">
        <v>2892</v>
      </c>
      <c r="B2649" s="0" t="s">
        <v>134</v>
      </c>
      <c r="C2649" s="0" t="s">
        <v>134</v>
      </c>
      <c r="D2649" s="0" t="s">
        <v>230</v>
      </c>
      <c r="E2649" s="0" t="s">
        <v>3</v>
      </c>
      <c r="F2649" s="0" t="s">
        <v>12</v>
      </c>
      <c r="G2649" s="0" t="s">
        <v>8</v>
      </c>
      <c r="H2649" s="0">
        <v>529</v>
      </c>
      <c r="I2649" s="0">
        <v>255.75</v>
      </c>
      <c r="J2649" s="0">
        <v>0</v>
      </c>
      <c r="K2649" s="0">
        <v>1</v>
      </c>
      <c r="L2649" s="0">
        <v>5</v>
      </c>
      <c r="M2649" s="0">
        <v>5</v>
      </c>
      <c r="N2649" s="0">
        <v>0</v>
      </c>
      <c r="O2649" s="0">
        <v>0</v>
      </c>
      <c r="P2649" s="0">
        <v>-255.75</v>
      </c>
      <c r="R2649" s="0" t="b">
        <v>0</v>
      </c>
      <c r="S2649" s="0" t="b">
        <v>1</v>
      </c>
      <c r="T2649" s="68">
        <v>45524.5673611111</v>
      </c>
      <c r="U2649" s="68">
        <v>45565.3333333333</v>
      </c>
      <c r="V2649" s="68">
        <v>0</v>
      </c>
      <c r="W2649" s="0">
        <f>IF(IF(B2649="none",1,IF(B2649="Trialer",1,0))+IF(C2649="Customer",1,IF(C2649="Lost",1,0))=2,1,0)</f>
      </c>
      <c r="X2649" s="0" t="s">
        <v>882</v>
      </c>
      <c r="Y2649" s="0" t="s">
        <v>243</v>
      </c>
      <c r="AV2649" s="68"/>
      <c r="AW2649" s="68"/>
      <c r="AY2649" s="27"/>
      <c r="BD2649" s="68">
        <v>46054.1666666667</v>
      </c>
      <c r="BE2649" s="68">
        <v>46082.1666666667</v>
      </c>
      <c r="BF2649" s="0" t="b">
        <v>0</v>
      </c>
      <c r="BG2649" s="0" t="b">
        <v>0</v>
      </c>
      <c r="BH2649" s="0">
        <v>341</v>
      </c>
      <c r="BI2649" s="0">
        <v>341</v>
      </c>
      <c r="BJ2649" s="0" t="s">
        <v>230</v>
      </c>
    </row>
    <row r="2650">
      <c r="A2650" s="0" t="s">
        <v>2893</v>
      </c>
      <c r="B2650" s="0" t="s">
        <v>134</v>
      </c>
      <c r="C2650" s="0" t="s">
        <v>134</v>
      </c>
      <c r="D2650" s="0" t="s">
        <v>135</v>
      </c>
      <c r="E2650" s="0" t="s">
        <v>3</v>
      </c>
      <c r="F2650" s="0" t="s">
        <v>12</v>
      </c>
      <c r="G2650" s="0" t="s">
        <v>8</v>
      </c>
      <c r="H2650" s="0">
        <v>529</v>
      </c>
      <c r="I2650" s="0">
        <v>196</v>
      </c>
      <c r="J2650" s="0">
        <v>0</v>
      </c>
      <c r="K2650" s="0">
        <v>1</v>
      </c>
      <c r="L2650" s="0">
        <v>3</v>
      </c>
      <c r="M2650" s="0">
        <v>4</v>
      </c>
      <c r="N2650" s="0">
        <v>0</v>
      </c>
      <c r="O2650" s="0">
        <v>0</v>
      </c>
      <c r="P2650" s="0">
        <v>0</v>
      </c>
      <c r="R2650" s="0" t="b">
        <v>0</v>
      </c>
      <c r="S2650" s="0" t="b">
        <v>1</v>
      </c>
      <c r="T2650" s="68">
        <v>45524.6473958333</v>
      </c>
      <c r="U2650" s="68">
        <v>45541.3333333333</v>
      </c>
      <c r="V2650" s="68">
        <v>0</v>
      </c>
      <c r="W2650" s="0">
        <f>IF(IF(B2650="none",1,IF(B2650="Trialer",1,0))+IF(C2650="Customer",1,IF(C2650="Lost",1,0))=2,1,0)</f>
      </c>
      <c r="X2650" s="0" t="s">
        <v>882</v>
      </c>
      <c r="Y2650" s="0" t="s">
        <v>243</v>
      </c>
      <c r="AV2650" s="68"/>
      <c r="AW2650" s="68"/>
      <c r="AY2650" s="27"/>
      <c r="BD2650" s="68">
        <v>46054.1666666667</v>
      </c>
      <c r="BE2650" s="68">
        <v>46082.1666666667</v>
      </c>
      <c r="BF2650" s="0" t="b">
        <v>0</v>
      </c>
      <c r="BG2650" s="0" t="b">
        <v>0</v>
      </c>
      <c r="BH2650" s="0">
        <v>196</v>
      </c>
      <c r="BI2650" s="0">
        <v>196</v>
      </c>
      <c r="BJ2650" s="0" t="s">
        <v>135</v>
      </c>
    </row>
    <row r="2651">
      <c r="A2651" s="0" t="s">
        <v>2894</v>
      </c>
      <c r="B2651" s="0" t="s">
        <v>134</v>
      </c>
      <c r="C2651" s="0" t="s">
        <v>134</v>
      </c>
      <c r="D2651" s="0" t="s">
        <v>135</v>
      </c>
      <c r="E2651" s="0" t="s">
        <v>3</v>
      </c>
      <c r="F2651" s="0" t="s">
        <v>12</v>
      </c>
      <c r="G2651" s="0" t="s">
        <v>8</v>
      </c>
      <c r="H2651" s="0">
        <v>529</v>
      </c>
      <c r="I2651" s="0">
        <v>217</v>
      </c>
      <c r="J2651" s="0">
        <v>0</v>
      </c>
      <c r="K2651" s="0">
        <v>1</v>
      </c>
      <c r="L2651" s="0">
        <v>5</v>
      </c>
      <c r="M2651" s="0">
        <v>4</v>
      </c>
      <c r="N2651" s="0">
        <v>0</v>
      </c>
      <c r="O2651" s="0">
        <v>0</v>
      </c>
      <c r="P2651" s="0">
        <v>0</v>
      </c>
      <c r="R2651" s="0" t="b">
        <v>0</v>
      </c>
      <c r="S2651" s="0" t="b">
        <v>1</v>
      </c>
      <c r="T2651" s="68">
        <v>45524.6524189815</v>
      </c>
      <c r="U2651" s="68">
        <v>45538.3333333333</v>
      </c>
      <c r="V2651" s="68">
        <v>0</v>
      </c>
      <c r="W2651" s="0">
        <f>IF(IF(B2651="none",1,IF(B2651="Trialer",1,0))+IF(C2651="Customer",1,IF(C2651="Lost",1,0))=2,1,0)</f>
      </c>
      <c r="X2651" s="0" t="s">
        <v>145</v>
      </c>
      <c r="Y2651" s="0" t="s">
        <v>243</v>
      </c>
      <c r="AV2651" s="68"/>
      <c r="AW2651" s="68"/>
      <c r="AY2651" s="27"/>
      <c r="BD2651" s="68">
        <v>46054.1666666667</v>
      </c>
      <c r="BE2651" s="68">
        <v>46082.1666666667</v>
      </c>
      <c r="BF2651" s="0" t="b">
        <v>0</v>
      </c>
      <c r="BG2651" s="0" t="b">
        <v>0</v>
      </c>
      <c r="BH2651" s="0">
        <v>217</v>
      </c>
      <c r="BI2651" s="0">
        <v>217</v>
      </c>
      <c r="BJ2651" s="0" t="s">
        <v>135</v>
      </c>
    </row>
    <row r="2652">
      <c r="A2652" s="0" t="s">
        <v>2895</v>
      </c>
      <c r="B2652" s="0" t="s">
        <v>134</v>
      </c>
      <c r="C2652" s="0" t="s">
        <v>134</v>
      </c>
      <c r="D2652" s="0" t="s">
        <v>135</v>
      </c>
      <c r="E2652" s="0" t="s">
        <v>2</v>
      </c>
      <c r="F2652" s="0" t="s">
        <v>12</v>
      </c>
      <c r="G2652" s="0" t="s">
        <v>8</v>
      </c>
      <c r="H2652" s="0">
        <v>529</v>
      </c>
      <c r="I2652" s="0">
        <v>160</v>
      </c>
      <c r="J2652" s="0">
        <v>0</v>
      </c>
      <c r="K2652" s="0">
        <v>1</v>
      </c>
      <c r="L2652" s="0">
        <v>2</v>
      </c>
      <c r="M2652" s="0">
        <v>4</v>
      </c>
      <c r="N2652" s="0">
        <v>0</v>
      </c>
      <c r="O2652" s="0">
        <v>0</v>
      </c>
      <c r="P2652" s="0">
        <v>0</v>
      </c>
      <c r="R2652" s="0" t="b">
        <v>0</v>
      </c>
      <c r="S2652" s="0" t="b">
        <v>1</v>
      </c>
      <c r="T2652" s="68">
        <v>45524.7646412037</v>
      </c>
      <c r="U2652" s="68">
        <v>45540.3333333333</v>
      </c>
      <c r="V2652" s="68">
        <v>0</v>
      </c>
      <c r="W2652" s="0">
        <f>IF(IF(B2652="none",1,IF(B2652="Trialer",1,0))+IF(C2652="Customer",1,IF(C2652="Lost",1,0))=2,1,0)</f>
      </c>
      <c r="X2652" s="0" t="s">
        <v>136</v>
      </c>
      <c r="Y2652" s="0" t="s">
        <v>499</v>
      </c>
      <c r="AV2652" s="68"/>
      <c r="AW2652" s="68"/>
      <c r="AY2652" s="27"/>
      <c r="BD2652" s="68">
        <v>46054.1666666667</v>
      </c>
      <c r="BE2652" s="68">
        <v>46082.1666666667</v>
      </c>
      <c r="BF2652" s="0" t="b">
        <v>0</v>
      </c>
      <c r="BG2652" s="0" t="b">
        <v>0</v>
      </c>
      <c r="BH2652" s="0">
        <v>160</v>
      </c>
      <c r="BI2652" s="0">
        <v>160</v>
      </c>
      <c r="BJ2652" s="0" t="s">
        <v>135</v>
      </c>
    </row>
    <row r="2653">
      <c r="A2653" s="0" t="s">
        <v>2896</v>
      </c>
      <c r="B2653" s="0" t="s">
        <v>134</v>
      </c>
      <c r="C2653" s="0" t="s">
        <v>190</v>
      </c>
      <c r="D2653" s="0" t="s">
        <v>135</v>
      </c>
      <c r="E2653" s="0" t="s">
        <v>3</v>
      </c>
      <c r="F2653" s="0" t="s">
        <v>12</v>
      </c>
      <c r="G2653" s="0" t="s">
        <v>8</v>
      </c>
      <c r="H2653" s="0">
        <v>528</v>
      </c>
      <c r="I2653" s="0">
        <v>183</v>
      </c>
      <c r="J2653" s="0">
        <v>0</v>
      </c>
      <c r="K2653" s="0">
        <v>1</v>
      </c>
      <c r="L2653" s="0">
        <v>4</v>
      </c>
      <c r="M2653" s="0">
        <v>3</v>
      </c>
      <c r="N2653" s="0">
        <v>0</v>
      </c>
      <c r="O2653" s="0">
        <v>0</v>
      </c>
      <c r="P2653" s="0">
        <v>0</v>
      </c>
      <c r="R2653" s="0" t="b">
        <v>0</v>
      </c>
      <c r="S2653" s="0" t="b">
        <v>0</v>
      </c>
      <c r="T2653" s="68">
        <v>45525.4893287037</v>
      </c>
      <c r="U2653" s="68">
        <v>45539.3333333333</v>
      </c>
      <c r="V2653" s="68">
        <v>46077.7224884259</v>
      </c>
      <c r="W2653" s="0">
        <f>IF(IF(B2653="none",1,IF(B2653="Trialer",1,0))+IF(C2653="Customer",1,IF(C2653="Lost",1,0))=2,1,0)</f>
      </c>
      <c r="X2653" s="0" t="s">
        <v>153</v>
      </c>
      <c r="Y2653" s="0" t="s">
        <v>243</v>
      </c>
      <c r="AV2653" s="68"/>
      <c r="AW2653" s="68"/>
      <c r="AY2653" s="27"/>
      <c r="BD2653" s="68">
        <v>46054.1666666667</v>
      </c>
      <c r="BE2653" s="68">
        <v>46082.1666666667</v>
      </c>
      <c r="BF2653" s="0" t="b">
        <v>0</v>
      </c>
      <c r="BG2653" s="0" t="b">
        <v>0</v>
      </c>
      <c r="BH2653" s="0">
        <v>183</v>
      </c>
      <c r="BI2653" s="0">
        <v>183</v>
      </c>
      <c r="BJ2653" s="0" t="s">
        <v>135</v>
      </c>
    </row>
    <row r="2654">
      <c r="A2654" s="0" t="s">
        <v>2897</v>
      </c>
      <c r="B2654" s="0" t="s">
        <v>134</v>
      </c>
      <c r="C2654" s="0" t="s">
        <v>134</v>
      </c>
      <c r="D2654" s="0" t="s">
        <v>135</v>
      </c>
      <c r="E2654" s="0" t="s">
        <v>3</v>
      </c>
      <c r="F2654" s="0" t="s">
        <v>12</v>
      </c>
      <c r="G2654" s="0" t="s">
        <v>8</v>
      </c>
      <c r="H2654" s="0">
        <v>527</v>
      </c>
      <c r="I2654" s="0">
        <v>220</v>
      </c>
      <c r="J2654" s="0">
        <v>0</v>
      </c>
      <c r="K2654" s="0">
        <v>1</v>
      </c>
      <c r="L2654" s="0">
        <v>4</v>
      </c>
      <c r="M2654" s="0">
        <v>4</v>
      </c>
      <c r="N2654" s="0">
        <v>0</v>
      </c>
      <c r="O2654" s="0">
        <v>0</v>
      </c>
      <c r="P2654" s="0">
        <v>0</v>
      </c>
      <c r="R2654" s="0" t="b">
        <v>0</v>
      </c>
      <c r="S2654" s="0" t="b">
        <v>1</v>
      </c>
      <c r="T2654" s="68">
        <v>45526.4098958333</v>
      </c>
      <c r="U2654" s="68">
        <v>45551.3333333333</v>
      </c>
      <c r="V2654" s="68">
        <v>0</v>
      </c>
      <c r="W2654" s="0">
        <f>IF(IF(B2654="none",1,IF(B2654="Trialer",1,0))+IF(C2654="Customer",1,IF(C2654="Lost",1,0))=2,1,0)</f>
      </c>
      <c r="X2654" s="0" t="s">
        <v>148</v>
      </c>
      <c r="Y2654" s="0" t="s">
        <v>243</v>
      </c>
      <c r="AV2654" s="68"/>
      <c r="AW2654" s="68"/>
      <c r="AY2654" s="27"/>
      <c r="BD2654" s="68">
        <v>46054.1666666667</v>
      </c>
      <c r="BE2654" s="68">
        <v>46082.1666666667</v>
      </c>
      <c r="BF2654" s="0" t="b">
        <v>0</v>
      </c>
      <c r="BG2654" s="0" t="b">
        <v>0</v>
      </c>
      <c r="BH2654" s="0">
        <v>220</v>
      </c>
      <c r="BI2654" s="0">
        <v>220</v>
      </c>
      <c r="BJ2654" s="0" t="s">
        <v>135</v>
      </c>
    </row>
    <row r="2655">
      <c r="A2655" s="0" t="s">
        <v>2898</v>
      </c>
      <c r="B2655" s="0" t="s">
        <v>134</v>
      </c>
      <c r="C2655" s="0" t="s">
        <v>134</v>
      </c>
      <c r="D2655" s="0" t="s">
        <v>230</v>
      </c>
      <c r="E2655" s="0" t="s">
        <v>3</v>
      </c>
      <c r="F2655" s="0" t="s">
        <v>10</v>
      </c>
      <c r="G2655" s="0" t="s">
        <v>8</v>
      </c>
      <c r="H2655" s="0">
        <v>526</v>
      </c>
      <c r="I2655" s="0">
        <v>44.1</v>
      </c>
      <c r="J2655" s="0">
        <v>0</v>
      </c>
      <c r="K2655" s="0">
        <v>1</v>
      </c>
      <c r="L2655" s="0">
        <v>3</v>
      </c>
      <c r="M2655" s="0">
        <v>1</v>
      </c>
      <c r="N2655" s="0">
        <v>0</v>
      </c>
      <c r="O2655" s="0">
        <v>0</v>
      </c>
      <c r="P2655" s="0">
        <v>-44.1</v>
      </c>
      <c r="Q2655" s="0" t="s">
        <v>756</v>
      </c>
      <c r="R2655" s="0" t="b">
        <v>0</v>
      </c>
      <c r="S2655" s="0" t="b">
        <v>1</v>
      </c>
      <c r="T2655" s="68">
        <v>45527.5999421296</v>
      </c>
      <c r="U2655" s="68">
        <v>45527.3333333333</v>
      </c>
      <c r="V2655" s="68">
        <v>0</v>
      </c>
      <c r="W2655" s="0">
        <f>IF(IF(B2655="none",1,IF(B2655="Trialer",1,0))+IF(C2655="Customer",1,IF(C2655="Lost",1,0))=2,1,0)</f>
      </c>
      <c r="X2655" s="0" t="s">
        <v>145</v>
      </c>
      <c r="Y2655" s="0" t="s">
        <v>243</v>
      </c>
      <c r="AV2655" s="68"/>
      <c r="AW2655" s="68"/>
      <c r="AY2655" s="27"/>
      <c r="BD2655" s="68">
        <v>46054.1666666667</v>
      </c>
      <c r="BE2655" s="68">
        <v>46082.1666666667</v>
      </c>
      <c r="BF2655" s="0" t="b">
        <v>0</v>
      </c>
      <c r="BG2655" s="0" t="b">
        <v>0</v>
      </c>
      <c r="BH2655" s="0">
        <v>49</v>
      </c>
      <c r="BI2655" s="0">
        <v>49</v>
      </c>
      <c r="BJ2655" s="0" t="s">
        <v>230</v>
      </c>
    </row>
    <row r="2656">
      <c r="A2656" s="0" t="s">
        <v>2899</v>
      </c>
      <c r="B2656" s="0" t="s">
        <v>134</v>
      </c>
      <c r="C2656" s="0" t="s">
        <v>134</v>
      </c>
      <c r="D2656" s="0" t="s">
        <v>230</v>
      </c>
      <c r="E2656" s="0" t="s">
        <v>2</v>
      </c>
      <c r="F2656" s="0" t="s">
        <v>12</v>
      </c>
      <c r="G2656" s="0" t="s">
        <v>8</v>
      </c>
      <c r="H2656" s="0">
        <v>526</v>
      </c>
      <c r="I2656" s="0">
        <v>88.2</v>
      </c>
      <c r="J2656" s="0">
        <v>0</v>
      </c>
      <c r="K2656" s="0">
        <v>1</v>
      </c>
      <c r="L2656" s="0">
        <v>3</v>
      </c>
      <c r="M2656" s="0">
        <v>2</v>
      </c>
      <c r="N2656" s="0">
        <v>0</v>
      </c>
      <c r="O2656" s="0">
        <v>0</v>
      </c>
      <c r="P2656" s="0">
        <v>-88.2</v>
      </c>
      <c r="R2656" s="0" t="b">
        <v>0</v>
      </c>
      <c r="S2656" s="0" t="b">
        <v>1</v>
      </c>
      <c r="T2656" s="68">
        <v>45527.7028240741</v>
      </c>
      <c r="U2656" s="68">
        <v>45527.3333333333</v>
      </c>
      <c r="V2656" s="68">
        <v>0</v>
      </c>
      <c r="W2656" s="0">
        <f>IF(IF(B2656="none",1,IF(B2656="Trialer",1,0))+IF(C2656="Customer",1,IF(C2656="Lost",1,0))=2,1,0)</f>
      </c>
      <c r="X2656" s="0" t="s">
        <v>166</v>
      </c>
      <c r="Y2656" s="0" t="s">
        <v>499</v>
      </c>
      <c r="AV2656" s="68"/>
      <c r="AW2656" s="68"/>
      <c r="AY2656" s="27"/>
      <c r="BD2656" s="68">
        <v>46054.1666666667</v>
      </c>
      <c r="BE2656" s="68">
        <v>46082.1666666667</v>
      </c>
      <c r="BF2656" s="0" t="b">
        <v>0</v>
      </c>
      <c r="BG2656" s="0" t="b">
        <v>0</v>
      </c>
      <c r="BH2656" s="0">
        <v>98</v>
      </c>
      <c r="BI2656" s="0">
        <v>98</v>
      </c>
      <c r="BJ2656" s="0" t="s">
        <v>230</v>
      </c>
    </row>
    <row r="2657">
      <c r="A2657" s="0" t="s">
        <v>2900</v>
      </c>
      <c r="B2657" s="0" t="s">
        <v>134</v>
      </c>
      <c r="C2657" s="0" t="s">
        <v>134</v>
      </c>
      <c r="D2657" s="0" t="s">
        <v>230</v>
      </c>
      <c r="E2657" s="0" t="s">
        <v>3</v>
      </c>
      <c r="F2657" s="0" t="s">
        <v>12</v>
      </c>
      <c r="G2657" s="0" t="s">
        <v>8</v>
      </c>
      <c r="H2657" s="0">
        <v>526</v>
      </c>
      <c r="I2657" s="0">
        <v>25</v>
      </c>
      <c r="J2657" s="0">
        <v>0</v>
      </c>
      <c r="K2657" s="0">
        <v>1</v>
      </c>
      <c r="L2657" s="0">
        <v>1</v>
      </c>
      <c r="M2657" s="0">
        <v>1</v>
      </c>
      <c r="N2657" s="0">
        <v>0</v>
      </c>
      <c r="O2657" s="0">
        <v>0</v>
      </c>
      <c r="P2657" s="0">
        <v>-25</v>
      </c>
      <c r="R2657" s="0" t="b">
        <v>0</v>
      </c>
      <c r="S2657" s="0" t="b">
        <v>1</v>
      </c>
      <c r="T2657" s="68">
        <v>45527.902025463</v>
      </c>
      <c r="U2657" s="68">
        <v>45541.3333333333</v>
      </c>
      <c r="V2657" s="68">
        <v>0</v>
      </c>
      <c r="W2657" s="0">
        <f>IF(IF(B2657="none",1,IF(B2657="Trialer",1,0))+IF(C2657="Customer",1,IF(C2657="Lost",1,0))=2,1,0)</f>
      </c>
      <c r="X2657" s="0" t="s">
        <v>653</v>
      </c>
      <c r="Y2657" s="0" t="s">
        <v>243</v>
      </c>
      <c r="AV2657" s="68"/>
      <c r="AW2657" s="68"/>
      <c r="AY2657" s="27"/>
      <c r="BD2657" s="68">
        <v>46054.1666666667</v>
      </c>
      <c r="BE2657" s="68">
        <v>46082.1666666667</v>
      </c>
      <c r="BF2657" s="0" t="b">
        <v>0</v>
      </c>
      <c r="BG2657" s="0" t="b">
        <v>0</v>
      </c>
      <c r="BH2657" s="0">
        <v>28</v>
      </c>
      <c r="BI2657" s="0">
        <v>28</v>
      </c>
      <c r="BJ2657" s="0" t="s">
        <v>230</v>
      </c>
    </row>
    <row r="2658">
      <c r="A2658" s="0" t="s">
        <v>2901</v>
      </c>
      <c r="B2658" s="0" t="s">
        <v>134</v>
      </c>
      <c r="C2658" s="0" t="s">
        <v>134</v>
      </c>
      <c r="D2658" s="0" t="s">
        <v>230</v>
      </c>
      <c r="E2658" s="0" t="s">
        <v>3</v>
      </c>
      <c r="F2658" s="0" t="s">
        <v>12</v>
      </c>
      <c r="G2658" s="0" t="s">
        <v>8</v>
      </c>
      <c r="H2658" s="0">
        <v>525</v>
      </c>
      <c r="I2658" s="0">
        <v>44</v>
      </c>
      <c r="J2658" s="0">
        <v>0</v>
      </c>
      <c r="K2658" s="0">
        <v>1</v>
      </c>
      <c r="L2658" s="0">
        <v>3</v>
      </c>
      <c r="M2658" s="0">
        <v>1</v>
      </c>
      <c r="N2658" s="0">
        <v>0</v>
      </c>
      <c r="O2658" s="0">
        <v>0</v>
      </c>
      <c r="P2658" s="0">
        <v>-44</v>
      </c>
      <c r="R2658" s="0" t="b">
        <v>0</v>
      </c>
      <c r="S2658" s="0" t="b">
        <v>1</v>
      </c>
      <c r="T2658" s="68">
        <v>45528.8096990741</v>
      </c>
      <c r="U2658" s="68">
        <v>45543.3333333333</v>
      </c>
      <c r="V2658" s="68">
        <v>0</v>
      </c>
      <c r="W2658" s="0">
        <f>IF(IF(B2658="none",1,IF(B2658="Trialer",1,0))+IF(C2658="Customer",1,IF(C2658="Lost",1,0))=2,1,0)</f>
      </c>
      <c r="X2658" s="0" t="s">
        <v>142</v>
      </c>
      <c r="Y2658" s="0" t="s">
        <v>243</v>
      </c>
      <c r="AV2658" s="68"/>
      <c r="AW2658" s="68"/>
      <c r="AY2658" s="27"/>
      <c r="BD2658" s="68">
        <v>46054.1666666667</v>
      </c>
      <c r="BE2658" s="68">
        <v>46082.1666666667</v>
      </c>
      <c r="BF2658" s="0" t="b">
        <v>0</v>
      </c>
      <c r="BG2658" s="0" t="b">
        <v>0</v>
      </c>
      <c r="BH2658" s="0">
        <v>49</v>
      </c>
      <c r="BI2658" s="0">
        <v>49</v>
      </c>
      <c r="BJ2658" s="0" t="s">
        <v>230</v>
      </c>
    </row>
    <row r="2659">
      <c r="A2659" s="0" t="s">
        <v>2902</v>
      </c>
      <c r="B2659" s="0" t="s">
        <v>134</v>
      </c>
      <c r="C2659" s="0" t="s">
        <v>134</v>
      </c>
      <c r="D2659" s="0" t="s">
        <v>135</v>
      </c>
      <c r="E2659" s="0" t="s">
        <v>3</v>
      </c>
      <c r="F2659" s="0" t="s">
        <v>12</v>
      </c>
      <c r="G2659" s="0" t="s">
        <v>8</v>
      </c>
      <c r="H2659" s="0">
        <v>523</v>
      </c>
      <c r="I2659" s="0">
        <v>40</v>
      </c>
      <c r="J2659" s="0">
        <v>0</v>
      </c>
      <c r="K2659" s="0">
        <v>1</v>
      </c>
      <c r="L2659" s="0">
        <v>1</v>
      </c>
      <c r="M2659" s="0">
        <v>0</v>
      </c>
      <c r="N2659" s="0">
        <v>0</v>
      </c>
      <c r="O2659" s="0">
        <v>0</v>
      </c>
      <c r="P2659" s="0">
        <v>0</v>
      </c>
      <c r="R2659" s="0" t="b">
        <v>0</v>
      </c>
      <c r="S2659" s="0" t="b">
        <v>1</v>
      </c>
      <c r="T2659" s="68">
        <v>45530.441087963</v>
      </c>
      <c r="U2659" s="68">
        <v>45530.3333333333</v>
      </c>
      <c r="V2659" s="68">
        <v>0</v>
      </c>
      <c r="W2659" s="0">
        <f>IF(IF(B2659="none",1,IF(B2659="Trialer",1,0))+IF(C2659="Customer",1,IF(C2659="Lost",1,0))=2,1,0)</f>
      </c>
      <c r="X2659" s="0" t="s">
        <v>136</v>
      </c>
      <c r="Y2659" s="0" t="s">
        <v>213</v>
      </c>
      <c r="AV2659" s="68"/>
      <c r="AW2659" s="68"/>
      <c r="AY2659" s="27"/>
      <c r="BD2659" s="68">
        <v>46054.1666666667</v>
      </c>
      <c r="BE2659" s="68">
        <v>46082.1666666667</v>
      </c>
      <c r="BF2659" s="0" t="b">
        <v>0</v>
      </c>
      <c r="BG2659" s="0" t="b">
        <v>0</v>
      </c>
      <c r="BH2659" s="0">
        <v>40</v>
      </c>
      <c r="BI2659" s="0">
        <v>40</v>
      </c>
      <c r="BJ2659" s="0" t="s">
        <v>135</v>
      </c>
    </row>
    <row r="2660">
      <c r="A2660" s="0" t="s">
        <v>2903</v>
      </c>
      <c r="B2660" s="0" t="s">
        <v>134</v>
      </c>
      <c r="C2660" s="0" t="s">
        <v>190</v>
      </c>
      <c r="D2660" s="0" t="s">
        <v>135</v>
      </c>
      <c r="E2660" s="0" t="s">
        <v>3</v>
      </c>
      <c r="F2660" s="0" t="s">
        <v>12</v>
      </c>
      <c r="G2660" s="0" t="s">
        <v>8</v>
      </c>
      <c r="H2660" s="0">
        <v>522</v>
      </c>
      <c r="I2660" s="0">
        <v>28</v>
      </c>
      <c r="J2660" s="0">
        <v>0</v>
      </c>
      <c r="K2660" s="0">
        <v>1</v>
      </c>
      <c r="L2660" s="0">
        <v>1</v>
      </c>
      <c r="M2660" s="0">
        <v>1</v>
      </c>
      <c r="N2660" s="0">
        <v>0</v>
      </c>
      <c r="O2660" s="0">
        <v>0</v>
      </c>
      <c r="P2660" s="0">
        <v>0</v>
      </c>
      <c r="R2660" s="0" t="b">
        <v>0</v>
      </c>
      <c r="S2660" s="0" t="b">
        <v>0</v>
      </c>
      <c r="T2660" s="68">
        <v>45531.1358680556</v>
      </c>
      <c r="U2660" s="68">
        <v>45552.3333333333</v>
      </c>
      <c r="V2660" s="68">
        <v>46081.8614814815</v>
      </c>
      <c r="W2660" s="0">
        <f>IF(IF(B2660="none",1,IF(B2660="Trialer",1,0))+IF(C2660="Customer",1,IF(C2660="Lost",1,0))=2,1,0)</f>
      </c>
      <c r="X2660" s="0" t="s">
        <v>653</v>
      </c>
      <c r="Y2660" s="0" t="s">
        <v>243</v>
      </c>
      <c r="AV2660" s="68"/>
      <c r="AW2660" s="68"/>
      <c r="AY2660" s="27"/>
      <c r="BD2660" s="68">
        <v>46054.1666666667</v>
      </c>
      <c r="BE2660" s="68">
        <v>46082.1666666667</v>
      </c>
      <c r="BF2660" s="0" t="b">
        <v>0</v>
      </c>
      <c r="BG2660" s="0" t="b">
        <v>0</v>
      </c>
      <c r="BH2660" s="0">
        <v>28</v>
      </c>
      <c r="BI2660" s="0">
        <v>28</v>
      </c>
      <c r="BJ2660" s="0" t="s">
        <v>135</v>
      </c>
    </row>
    <row r="2661">
      <c r="A2661" s="0" t="s">
        <v>2904</v>
      </c>
      <c r="B2661" s="0" t="s">
        <v>134</v>
      </c>
      <c r="C2661" s="0" t="s">
        <v>134</v>
      </c>
      <c r="D2661" s="0" t="s">
        <v>135</v>
      </c>
      <c r="E2661" s="0" t="s">
        <v>3</v>
      </c>
      <c r="F2661" s="0" t="s">
        <v>12</v>
      </c>
      <c r="G2661" s="0" t="s">
        <v>8</v>
      </c>
      <c r="H2661" s="0">
        <v>522</v>
      </c>
      <c r="I2661" s="0">
        <v>49</v>
      </c>
      <c r="J2661" s="0">
        <v>0</v>
      </c>
      <c r="K2661" s="0">
        <v>1</v>
      </c>
      <c r="L2661" s="0">
        <v>3</v>
      </c>
      <c r="M2661" s="0">
        <v>1</v>
      </c>
      <c r="N2661" s="0">
        <v>0</v>
      </c>
      <c r="O2661" s="0">
        <v>0</v>
      </c>
      <c r="P2661" s="0">
        <v>0</v>
      </c>
      <c r="R2661" s="0" t="b">
        <v>0</v>
      </c>
      <c r="S2661" s="0" t="b">
        <v>1</v>
      </c>
      <c r="T2661" s="68">
        <v>45531.4454398148</v>
      </c>
      <c r="U2661" s="68">
        <v>45553.3333333333</v>
      </c>
      <c r="V2661" s="68">
        <v>0</v>
      </c>
      <c r="W2661" s="0">
        <f>IF(IF(B2661="none",1,IF(B2661="Trialer",1,0))+IF(C2661="Customer",1,IF(C2661="Lost",1,0))=2,1,0)</f>
      </c>
      <c r="X2661" s="0" t="s">
        <v>166</v>
      </c>
      <c r="Y2661" s="0" t="s">
        <v>243</v>
      </c>
      <c r="AV2661" s="68"/>
      <c r="AW2661" s="68"/>
      <c r="AY2661" s="27"/>
      <c r="BD2661" s="68">
        <v>46054.1666666667</v>
      </c>
      <c r="BE2661" s="68">
        <v>46082.1666666667</v>
      </c>
      <c r="BF2661" s="0" t="b">
        <v>0</v>
      </c>
      <c r="BG2661" s="0" t="b">
        <v>0</v>
      </c>
      <c r="BH2661" s="0">
        <v>49</v>
      </c>
      <c r="BI2661" s="0">
        <v>49</v>
      </c>
      <c r="BJ2661" s="0" t="s">
        <v>135</v>
      </c>
    </row>
    <row r="2662">
      <c r="A2662" s="0" t="s">
        <v>2905</v>
      </c>
      <c r="B2662" s="0" t="s">
        <v>134</v>
      </c>
      <c r="C2662" s="0" t="s">
        <v>134</v>
      </c>
      <c r="D2662" s="0" t="s">
        <v>230</v>
      </c>
      <c r="E2662" s="0" t="s">
        <v>2</v>
      </c>
      <c r="F2662" s="0" t="s">
        <v>12</v>
      </c>
      <c r="G2662" s="0" t="s">
        <v>8</v>
      </c>
      <c r="H2662" s="0">
        <v>522</v>
      </c>
      <c r="I2662" s="0">
        <v>102.6</v>
      </c>
      <c r="J2662" s="0">
        <v>0</v>
      </c>
      <c r="K2662" s="0">
        <v>1</v>
      </c>
      <c r="L2662" s="0">
        <v>3</v>
      </c>
      <c r="M2662" s="0">
        <v>3</v>
      </c>
      <c r="N2662" s="0">
        <v>0</v>
      </c>
      <c r="O2662" s="0">
        <v>0</v>
      </c>
      <c r="P2662" s="0">
        <v>-102.6</v>
      </c>
      <c r="R2662" s="0" t="b">
        <v>0</v>
      </c>
      <c r="S2662" s="0" t="b">
        <v>1</v>
      </c>
      <c r="T2662" s="68">
        <v>45531.625</v>
      </c>
      <c r="U2662" s="68">
        <v>45548.3333333333</v>
      </c>
      <c r="V2662" s="68">
        <v>0</v>
      </c>
      <c r="W2662" s="0">
        <f>IF(IF(B2662="none",1,IF(B2662="Trialer",1,0))+IF(C2662="Customer",1,IF(C2662="Lost",1,0))=2,1,0)</f>
      </c>
      <c r="X2662" s="0" t="s">
        <v>653</v>
      </c>
      <c r="Y2662" s="0" t="s">
        <v>499</v>
      </c>
      <c r="AV2662" s="68"/>
      <c r="AW2662" s="68"/>
      <c r="AY2662" s="27"/>
      <c r="BD2662" s="68">
        <v>46054.1666666667</v>
      </c>
      <c r="BE2662" s="68">
        <v>46082.1666666667</v>
      </c>
      <c r="BF2662" s="0" t="b">
        <v>0</v>
      </c>
      <c r="BG2662" s="0" t="b">
        <v>0</v>
      </c>
      <c r="BH2662" s="0">
        <v>114</v>
      </c>
      <c r="BI2662" s="0">
        <v>114</v>
      </c>
      <c r="BJ2662" s="0" t="s">
        <v>230</v>
      </c>
    </row>
    <row r="2663">
      <c r="A2663" s="0" t="s">
        <v>2906</v>
      </c>
      <c r="B2663" s="0" t="s">
        <v>134</v>
      </c>
      <c r="C2663" s="0" t="s">
        <v>134</v>
      </c>
      <c r="D2663" s="0" t="s">
        <v>230</v>
      </c>
      <c r="E2663" s="0" t="s">
        <v>2</v>
      </c>
      <c r="F2663" s="0" t="s">
        <v>12</v>
      </c>
      <c r="G2663" s="0" t="s">
        <v>8</v>
      </c>
      <c r="H2663" s="0">
        <v>522</v>
      </c>
      <c r="I2663" s="0">
        <v>682.3</v>
      </c>
      <c r="J2663" s="0">
        <v>0</v>
      </c>
      <c r="K2663" s="0">
        <v>1</v>
      </c>
      <c r="L2663" s="0">
        <v>4</v>
      </c>
      <c r="M2663" s="0">
        <v>7</v>
      </c>
      <c r="N2663" s="0">
        <v>0</v>
      </c>
      <c r="O2663" s="0">
        <v>0</v>
      </c>
      <c r="P2663" s="0">
        <v>-357.3</v>
      </c>
      <c r="R2663" s="0" t="b">
        <v>0</v>
      </c>
      <c r="S2663" s="0" t="b">
        <v>1</v>
      </c>
      <c r="T2663" s="68">
        <v>45531.7236111111</v>
      </c>
      <c r="U2663" s="68">
        <v>45545.3333333333</v>
      </c>
      <c r="V2663" s="68">
        <v>0</v>
      </c>
      <c r="W2663" s="0">
        <f>IF(IF(B2663="none",1,IF(B2663="Trialer",1,0))+IF(C2663="Customer",1,IF(C2663="Lost",1,0))=2,1,0)</f>
      </c>
      <c r="X2663" s="0" t="s">
        <v>145</v>
      </c>
      <c r="Y2663" s="0" t="s">
        <v>499</v>
      </c>
      <c r="AV2663" s="68"/>
      <c r="AW2663" s="68"/>
      <c r="AY2663" s="27"/>
      <c r="BD2663" s="68">
        <v>46054.1666666667</v>
      </c>
      <c r="BE2663" s="68">
        <v>46082.1666666667</v>
      </c>
      <c r="BF2663" s="0" t="b">
        <v>0</v>
      </c>
      <c r="BG2663" s="0" t="b">
        <v>0</v>
      </c>
      <c r="BH2663" s="0">
        <v>397</v>
      </c>
      <c r="BI2663" s="0">
        <v>397</v>
      </c>
      <c r="BJ2663" s="0" t="s">
        <v>230</v>
      </c>
    </row>
    <row r="2664">
      <c r="A2664" s="0" t="s">
        <v>2907</v>
      </c>
      <c r="B2664" s="0" t="s">
        <v>134</v>
      </c>
      <c r="C2664" s="0" t="s">
        <v>134</v>
      </c>
      <c r="D2664" s="0" t="s">
        <v>135</v>
      </c>
      <c r="E2664" s="0" t="s">
        <v>3</v>
      </c>
      <c r="F2664" s="0" t="s">
        <v>12</v>
      </c>
      <c r="G2664" s="0" t="s">
        <v>8</v>
      </c>
      <c r="H2664" s="0">
        <v>521</v>
      </c>
      <c r="I2664" s="0">
        <v>148</v>
      </c>
      <c r="J2664" s="0">
        <v>0</v>
      </c>
      <c r="K2664" s="0">
        <v>1</v>
      </c>
      <c r="L2664" s="0">
        <v>2</v>
      </c>
      <c r="M2664" s="0">
        <v>4</v>
      </c>
      <c r="N2664" s="0">
        <v>0</v>
      </c>
      <c r="O2664" s="0">
        <v>0</v>
      </c>
      <c r="P2664" s="0">
        <v>0</v>
      </c>
      <c r="R2664" s="0" t="b">
        <v>0</v>
      </c>
      <c r="S2664" s="0" t="b">
        <v>1</v>
      </c>
      <c r="T2664" s="68">
        <v>45532.7462962963</v>
      </c>
      <c r="U2664" s="68">
        <v>45546.3333333333</v>
      </c>
      <c r="V2664" s="68">
        <v>0</v>
      </c>
      <c r="W2664" s="0">
        <f>IF(IF(B2664="none",1,IF(B2664="Trialer",1,0))+IF(C2664="Customer",1,IF(C2664="Lost",1,0))=2,1,0)</f>
      </c>
      <c r="X2664" s="0" t="s">
        <v>145</v>
      </c>
      <c r="Y2664" s="0" t="s">
        <v>243</v>
      </c>
      <c r="AV2664" s="68"/>
      <c r="AW2664" s="68"/>
      <c r="AY2664" s="27"/>
      <c r="BD2664" s="68">
        <v>46054.1666666667</v>
      </c>
      <c r="BE2664" s="68">
        <v>46082.1666666667</v>
      </c>
      <c r="BF2664" s="0" t="b">
        <v>0</v>
      </c>
      <c r="BG2664" s="0" t="b">
        <v>0</v>
      </c>
      <c r="BH2664" s="0">
        <v>148</v>
      </c>
      <c r="BI2664" s="0">
        <v>148</v>
      </c>
      <c r="BJ2664" s="0" t="s">
        <v>135</v>
      </c>
    </row>
    <row r="2665">
      <c r="A2665" s="0" t="s">
        <v>2908</v>
      </c>
      <c r="B2665" s="0" t="s">
        <v>134</v>
      </c>
      <c r="C2665" s="0" t="s">
        <v>134</v>
      </c>
      <c r="D2665" s="0" t="s">
        <v>135</v>
      </c>
      <c r="E2665" s="0" t="s">
        <v>3</v>
      </c>
      <c r="F2665" s="0" t="s">
        <v>12</v>
      </c>
      <c r="G2665" s="0" t="s">
        <v>8</v>
      </c>
      <c r="H2665" s="0">
        <v>516</v>
      </c>
      <c r="I2665" s="0">
        <v>0</v>
      </c>
      <c r="J2665" s="0">
        <v>0</v>
      </c>
      <c r="K2665" s="0">
        <v>0</v>
      </c>
      <c r="L2665" s="0">
        <v>0</v>
      </c>
      <c r="M2665" s="0">
        <v>0</v>
      </c>
      <c r="N2665" s="0">
        <v>0</v>
      </c>
      <c r="O2665" s="0">
        <v>0</v>
      </c>
      <c r="P2665" s="0">
        <v>0</v>
      </c>
      <c r="R2665" s="0" t="b">
        <v>0</v>
      </c>
      <c r="S2665" s="0" t="b">
        <v>1</v>
      </c>
      <c r="T2665" s="68">
        <v>45537.5048611111</v>
      </c>
      <c r="U2665" s="68">
        <v>45544.3743055556</v>
      </c>
      <c r="V2665" s="68">
        <v>0</v>
      </c>
      <c r="W2665" s="0">
        <f>IF(IF(B2665="none",1,IF(B2665="Trialer",1,0))+IF(C2665="Customer",1,IF(C2665="Lost",1,0))=2,1,0)</f>
      </c>
      <c r="X2665" s="0" t="s">
        <v>148</v>
      </c>
      <c r="Y2665" s="0" t="s">
        <v>243</v>
      </c>
      <c r="AV2665" s="68"/>
      <c r="AW2665" s="68"/>
      <c r="AY2665" s="27"/>
      <c r="BD2665" s="68">
        <v>46054.1666666667</v>
      </c>
      <c r="BE2665" s="68">
        <v>46082.1666666667</v>
      </c>
      <c r="BF2665" s="0" t="b">
        <v>1</v>
      </c>
      <c r="BG2665" s="0" t="b">
        <v>0</v>
      </c>
      <c r="BH2665" s="0">
        <v>0</v>
      </c>
      <c r="BI2665" s="0">
        <v>0</v>
      </c>
      <c r="BJ2665" s="0" t="s">
        <v>135</v>
      </c>
    </row>
    <row r="2666">
      <c r="A2666" s="0" t="s">
        <v>2909</v>
      </c>
      <c r="B2666" s="0" t="s">
        <v>134</v>
      </c>
      <c r="C2666" s="0" t="s">
        <v>134</v>
      </c>
      <c r="D2666" s="0" t="s">
        <v>135</v>
      </c>
      <c r="E2666" s="0" t="s">
        <v>3</v>
      </c>
      <c r="F2666" s="0" t="s">
        <v>12</v>
      </c>
      <c r="G2666" s="0" t="s">
        <v>8</v>
      </c>
      <c r="H2666" s="0">
        <v>516</v>
      </c>
      <c r="I2666" s="0">
        <v>49</v>
      </c>
      <c r="J2666" s="0">
        <v>0</v>
      </c>
      <c r="K2666" s="0">
        <v>1</v>
      </c>
      <c r="L2666" s="0">
        <v>3</v>
      </c>
      <c r="M2666" s="0">
        <v>1</v>
      </c>
      <c r="N2666" s="0">
        <v>0</v>
      </c>
      <c r="O2666" s="0">
        <v>0</v>
      </c>
      <c r="P2666" s="0">
        <v>0</v>
      </c>
      <c r="R2666" s="0" t="b">
        <v>0</v>
      </c>
      <c r="S2666" s="0" t="b">
        <v>1</v>
      </c>
      <c r="T2666" s="68">
        <v>45537.845162037</v>
      </c>
      <c r="U2666" s="68">
        <v>45559.3333333333</v>
      </c>
      <c r="V2666" s="68">
        <v>0</v>
      </c>
      <c r="W2666" s="0">
        <f>IF(IF(B2666="none",1,IF(B2666="Trialer",1,0))+IF(C2666="Customer",1,IF(C2666="Lost",1,0))=2,1,0)</f>
      </c>
      <c r="X2666" s="0" t="s">
        <v>653</v>
      </c>
      <c r="Y2666" s="0" t="s">
        <v>243</v>
      </c>
      <c r="AV2666" s="68"/>
      <c r="AW2666" s="68"/>
      <c r="AY2666" s="27"/>
      <c r="BD2666" s="68">
        <v>46054.1666666667</v>
      </c>
      <c r="BE2666" s="68">
        <v>46082.1666666667</v>
      </c>
      <c r="BF2666" s="0" t="b">
        <v>0</v>
      </c>
      <c r="BG2666" s="0" t="b">
        <v>0</v>
      </c>
      <c r="BH2666" s="0">
        <v>49</v>
      </c>
      <c r="BI2666" s="0">
        <v>49</v>
      </c>
      <c r="BJ2666" s="0" t="s">
        <v>135</v>
      </c>
    </row>
    <row r="2667">
      <c r="A2667" s="0" t="s">
        <v>2910</v>
      </c>
      <c r="B2667" s="0" t="s">
        <v>134</v>
      </c>
      <c r="C2667" s="0" t="s">
        <v>134</v>
      </c>
      <c r="D2667" s="0" t="s">
        <v>135</v>
      </c>
      <c r="E2667" s="0" t="s">
        <v>3</v>
      </c>
      <c r="F2667" s="0" t="s">
        <v>12</v>
      </c>
      <c r="G2667" s="0" t="s">
        <v>8</v>
      </c>
      <c r="H2667" s="0">
        <v>513</v>
      </c>
      <c r="I2667" s="0">
        <v>0</v>
      </c>
      <c r="J2667" s="0">
        <v>0</v>
      </c>
      <c r="K2667" s="0">
        <v>1</v>
      </c>
      <c r="L2667" s="0">
        <v>5</v>
      </c>
      <c r="M2667" s="0">
        <v>2</v>
      </c>
      <c r="N2667" s="0">
        <v>0</v>
      </c>
      <c r="O2667" s="0">
        <v>0</v>
      </c>
      <c r="P2667" s="0">
        <v>0</v>
      </c>
      <c r="R2667" s="0" t="b">
        <v>0</v>
      </c>
      <c r="S2667" s="0" t="b">
        <v>1</v>
      </c>
      <c r="T2667" s="68">
        <v>45540.7334722222</v>
      </c>
      <c r="U2667" s="68">
        <v>45554.3333333333</v>
      </c>
      <c r="V2667" s="68">
        <v>0</v>
      </c>
      <c r="W2667" s="0">
        <f>IF(IF(B2667="none",1,IF(B2667="Trialer",1,0))+IF(C2667="Customer",1,IF(C2667="Lost",1,0))=2,1,0)</f>
      </c>
      <c r="X2667" s="0" t="s">
        <v>148</v>
      </c>
      <c r="Y2667" s="0" t="s">
        <v>2664</v>
      </c>
      <c r="AV2667" s="68"/>
      <c r="AW2667" s="68"/>
      <c r="AY2667" s="27"/>
      <c r="BD2667" s="68">
        <v>46054.1666666667</v>
      </c>
      <c r="BE2667" s="68">
        <v>46082.1666666667</v>
      </c>
      <c r="BF2667" s="0" t="b">
        <v>0</v>
      </c>
      <c r="BG2667" s="0" t="b">
        <v>0</v>
      </c>
      <c r="BH2667" s="0">
        <v>0</v>
      </c>
      <c r="BI2667" s="0">
        <v>0</v>
      </c>
      <c r="BJ2667" s="0" t="s">
        <v>135</v>
      </c>
    </row>
    <row r="2668">
      <c r="A2668" s="0" t="s">
        <v>2911</v>
      </c>
      <c r="B2668" s="0" t="s">
        <v>134</v>
      </c>
      <c r="C2668" s="0" t="s">
        <v>134</v>
      </c>
      <c r="D2668" s="0" t="s">
        <v>135</v>
      </c>
      <c r="E2668" s="0" t="s">
        <v>3</v>
      </c>
      <c r="F2668" s="0" t="s">
        <v>12</v>
      </c>
      <c r="G2668" s="0" t="s">
        <v>8</v>
      </c>
      <c r="H2668" s="0">
        <v>512</v>
      </c>
      <c r="I2668" s="0">
        <v>154</v>
      </c>
      <c r="J2668" s="0">
        <v>0</v>
      </c>
      <c r="K2668" s="0">
        <v>1</v>
      </c>
      <c r="L2668" s="0">
        <v>3</v>
      </c>
      <c r="M2668" s="0">
        <v>4</v>
      </c>
      <c r="N2668" s="0">
        <v>0</v>
      </c>
      <c r="O2668" s="0">
        <v>0</v>
      </c>
      <c r="P2668" s="0">
        <v>0</v>
      </c>
      <c r="R2668" s="0" t="b">
        <v>0</v>
      </c>
      <c r="S2668" s="0" t="b">
        <v>1</v>
      </c>
      <c r="T2668" s="68">
        <v>45541.3329050926</v>
      </c>
      <c r="U2668" s="68">
        <v>45555.3333333333</v>
      </c>
      <c r="V2668" s="68">
        <v>0</v>
      </c>
      <c r="W2668" s="0">
        <f>IF(IF(B2668="none",1,IF(B2668="Trialer",1,0))+IF(C2668="Customer",1,IF(C2668="Lost",1,0))=2,1,0)</f>
      </c>
      <c r="X2668" s="0" t="s">
        <v>136</v>
      </c>
      <c r="Y2668" s="0" t="s">
        <v>243</v>
      </c>
      <c r="AV2668" s="68"/>
      <c r="AW2668" s="68"/>
      <c r="AY2668" s="27"/>
      <c r="BD2668" s="68">
        <v>46054.1666666667</v>
      </c>
      <c r="BE2668" s="68">
        <v>46082.1666666667</v>
      </c>
      <c r="BF2668" s="0" t="b">
        <v>0</v>
      </c>
      <c r="BG2668" s="0" t="b">
        <v>0</v>
      </c>
      <c r="BH2668" s="0">
        <v>154</v>
      </c>
      <c r="BI2668" s="0">
        <v>154</v>
      </c>
      <c r="BJ2668" s="0" t="s">
        <v>135</v>
      </c>
    </row>
    <row r="2669">
      <c r="A2669" s="0" t="s">
        <v>2912</v>
      </c>
      <c r="B2669" s="0" t="s">
        <v>134</v>
      </c>
      <c r="C2669" s="0" t="s">
        <v>134</v>
      </c>
      <c r="D2669" s="0" t="s">
        <v>135</v>
      </c>
      <c r="E2669" s="0" t="s">
        <v>2</v>
      </c>
      <c r="F2669" s="0" t="s">
        <v>12</v>
      </c>
      <c r="G2669" s="0" t="s">
        <v>8</v>
      </c>
      <c r="H2669" s="0">
        <v>512</v>
      </c>
      <c r="I2669" s="0">
        <v>556</v>
      </c>
      <c r="J2669" s="0">
        <v>0</v>
      </c>
      <c r="K2669" s="0">
        <v>1</v>
      </c>
      <c r="L2669" s="0">
        <v>3</v>
      </c>
      <c r="M2669" s="0">
        <v>6</v>
      </c>
      <c r="N2669" s="0">
        <v>558</v>
      </c>
      <c r="O2669" s="0">
        <v>0</v>
      </c>
      <c r="P2669" s="0">
        <v>0</v>
      </c>
      <c r="R2669" s="0" t="b">
        <v>0</v>
      </c>
      <c r="S2669" s="0" t="b">
        <v>1</v>
      </c>
      <c r="T2669" s="68">
        <v>45541.3635300926</v>
      </c>
      <c r="U2669" s="68">
        <v>45562.3333333333</v>
      </c>
      <c r="V2669" s="68">
        <v>0</v>
      </c>
      <c r="W2669" s="0">
        <f>IF(IF(B2669="none",1,IF(B2669="Trialer",1,0))+IF(C2669="Customer",1,IF(C2669="Lost",1,0))=2,1,0)</f>
      </c>
      <c r="X2669" s="0" t="s">
        <v>148</v>
      </c>
      <c r="Y2669" s="0" t="s">
        <v>499</v>
      </c>
      <c r="AV2669" s="68"/>
      <c r="AW2669" s="68"/>
      <c r="AY2669" s="27"/>
      <c r="BD2669" s="68">
        <v>46054.1666666667</v>
      </c>
      <c r="BE2669" s="68">
        <v>46082.1666666667</v>
      </c>
      <c r="BF2669" s="0" t="b">
        <v>0</v>
      </c>
      <c r="BG2669" s="0" t="b">
        <v>0</v>
      </c>
      <c r="BH2669" s="0">
        <v>231</v>
      </c>
      <c r="BI2669" s="0">
        <v>231</v>
      </c>
      <c r="BJ2669" s="0" t="s">
        <v>135</v>
      </c>
    </row>
    <row r="2670">
      <c r="A2670" s="0" t="s">
        <v>2913</v>
      </c>
      <c r="B2670" s="0" t="s">
        <v>134</v>
      </c>
      <c r="C2670" s="0" t="s">
        <v>134</v>
      </c>
      <c r="D2670" s="0" t="s">
        <v>135</v>
      </c>
      <c r="E2670" s="0" t="s">
        <v>2</v>
      </c>
      <c r="F2670" s="0" t="s">
        <v>12</v>
      </c>
      <c r="G2670" s="0" t="s">
        <v>8</v>
      </c>
      <c r="H2670" s="0">
        <v>512</v>
      </c>
      <c r="I2670" s="0">
        <v>196</v>
      </c>
      <c r="J2670" s="0">
        <v>0</v>
      </c>
      <c r="K2670" s="0">
        <v>1</v>
      </c>
      <c r="L2670" s="0">
        <v>3</v>
      </c>
      <c r="M2670" s="0">
        <v>4</v>
      </c>
      <c r="N2670" s="0">
        <v>0</v>
      </c>
      <c r="O2670" s="0">
        <v>0</v>
      </c>
      <c r="P2670" s="0">
        <v>0</v>
      </c>
      <c r="R2670" s="0" t="b">
        <v>0</v>
      </c>
      <c r="S2670" s="0" t="b">
        <v>1</v>
      </c>
      <c r="T2670" s="68">
        <v>45541.4684259259</v>
      </c>
      <c r="U2670" s="68">
        <v>45541.3333333333</v>
      </c>
      <c r="V2670" s="68">
        <v>0</v>
      </c>
      <c r="W2670" s="0">
        <f>IF(IF(B2670="none",1,IF(B2670="Trialer",1,0))+IF(C2670="Customer",1,IF(C2670="Lost",1,0))=2,1,0)</f>
      </c>
      <c r="X2670" s="0" t="s">
        <v>882</v>
      </c>
      <c r="Y2670" s="0" t="s">
        <v>499</v>
      </c>
      <c r="AV2670" s="68"/>
      <c r="AW2670" s="68"/>
      <c r="AY2670" s="27"/>
      <c r="BD2670" s="68">
        <v>46054.1666666667</v>
      </c>
      <c r="BE2670" s="68">
        <v>46082.1666666667</v>
      </c>
      <c r="BF2670" s="0" t="b">
        <v>0</v>
      </c>
      <c r="BG2670" s="0" t="b">
        <v>0</v>
      </c>
      <c r="BH2670" s="0">
        <v>196</v>
      </c>
      <c r="BI2670" s="0">
        <v>196</v>
      </c>
      <c r="BJ2670" s="0" t="s">
        <v>135</v>
      </c>
    </row>
    <row r="2671">
      <c r="A2671" s="0" t="s">
        <v>2914</v>
      </c>
      <c r="B2671" s="0" t="s">
        <v>134</v>
      </c>
      <c r="C2671" s="0" t="s">
        <v>134</v>
      </c>
      <c r="D2671" s="0" t="s">
        <v>135</v>
      </c>
      <c r="E2671" s="0" t="s">
        <v>3</v>
      </c>
      <c r="F2671" s="0" t="s">
        <v>12</v>
      </c>
      <c r="G2671" s="0" t="s">
        <v>8</v>
      </c>
      <c r="H2671" s="0">
        <v>509</v>
      </c>
      <c r="I2671" s="0">
        <v>196</v>
      </c>
      <c r="J2671" s="0">
        <v>0</v>
      </c>
      <c r="K2671" s="0">
        <v>1</v>
      </c>
      <c r="L2671" s="0">
        <v>3</v>
      </c>
      <c r="M2671" s="0">
        <v>4</v>
      </c>
      <c r="N2671" s="0">
        <v>0</v>
      </c>
      <c r="O2671" s="0">
        <v>0</v>
      </c>
      <c r="P2671" s="0">
        <v>0</v>
      </c>
      <c r="R2671" s="0" t="b">
        <v>0</v>
      </c>
      <c r="S2671" s="0" t="b">
        <v>1</v>
      </c>
      <c r="T2671" s="68">
        <v>45544.3757638889</v>
      </c>
      <c r="U2671" s="68">
        <v>45558.3333333333</v>
      </c>
      <c r="V2671" s="68">
        <v>0</v>
      </c>
      <c r="W2671" s="0">
        <f>IF(IF(B2671="none",1,IF(B2671="Trialer",1,0))+IF(C2671="Customer",1,IF(C2671="Lost",1,0))=2,1,0)</f>
      </c>
      <c r="X2671" s="0" t="s">
        <v>136</v>
      </c>
      <c r="Y2671" s="0" t="s">
        <v>243</v>
      </c>
      <c r="AV2671" s="68"/>
      <c r="AW2671" s="68"/>
      <c r="AY2671" s="27"/>
      <c r="BD2671" s="68">
        <v>46054.1666666667</v>
      </c>
      <c r="BE2671" s="68">
        <v>46082.1666666667</v>
      </c>
      <c r="BF2671" s="0" t="b">
        <v>0</v>
      </c>
      <c r="BG2671" s="0" t="b">
        <v>0</v>
      </c>
      <c r="BH2671" s="0">
        <v>196</v>
      </c>
      <c r="BI2671" s="0">
        <v>196</v>
      </c>
      <c r="BJ2671" s="0" t="s">
        <v>135</v>
      </c>
    </row>
    <row r="2672">
      <c r="A2672" s="0" t="s">
        <v>2915</v>
      </c>
      <c r="B2672" s="0" t="s">
        <v>134</v>
      </c>
      <c r="C2672" s="0" t="s">
        <v>134</v>
      </c>
      <c r="D2672" s="0" t="s">
        <v>230</v>
      </c>
      <c r="E2672" s="0" t="s">
        <v>3</v>
      </c>
      <c r="F2672" s="0" t="s">
        <v>12</v>
      </c>
      <c r="G2672" s="0" t="s">
        <v>8</v>
      </c>
      <c r="H2672" s="0">
        <v>509</v>
      </c>
      <c r="I2672" s="0">
        <v>190.8</v>
      </c>
      <c r="J2672" s="0">
        <v>0</v>
      </c>
      <c r="K2672" s="0">
        <v>1</v>
      </c>
      <c r="L2672" s="0">
        <v>3</v>
      </c>
      <c r="M2672" s="0">
        <v>5</v>
      </c>
      <c r="N2672" s="0">
        <v>0</v>
      </c>
      <c r="O2672" s="0">
        <v>0</v>
      </c>
      <c r="P2672" s="0">
        <v>-190.8</v>
      </c>
      <c r="R2672" s="0" t="b">
        <v>0</v>
      </c>
      <c r="S2672" s="0" t="b">
        <v>1</v>
      </c>
      <c r="T2672" s="68">
        <v>45544.6069560185</v>
      </c>
      <c r="U2672" s="68">
        <v>45554.3333333333</v>
      </c>
      <c r="V2672" s="68">
        <v>0</v>
      </c>
      <c r="W2672" s="0">
        <f>IF(IF(B2672="none",1,IF(B2672="Trialer",1,0))+IF(C2672="Customer",1,IF(C2672="Lost",1,0))=2,1,0)</f>
      </c>
      <c r="X2672" s="0" t="s">
        <v>145</v>
      </c>
      <c r="Y2672" s="0" t="s">
        <v>243</v>
      </c>
      <c r="AV2672" s="68"/>
      <c r="AW2672" s="68"/>
      <c r="AY2672" s="27"/>
      <c r="BD2672" s="68">
        <v>46054.1666666667</v>
      </c>
      <c r="BE2672" s="68">
        <v>46082.1666666667</v>
      </c>
      <c r="BF2672" s="0" t="b">
        <v>0</v>
      </c>
      <c r="BG2672" s="0" t="b">
        <v>0</v>
      </c>
      <c r="BH2672" s="0">
        <v>212</v>
      </c>
      <c r="BI2672" s="0">
        <v>212</v>
      </c>
      <c r="BJ2672" s="0" t="s">
        <v>230</v>
      </c>
    </row>
    <row r="2673">
      <c r="A2673" s="0" t="s">
        <v>2916</v>
      </c>
      <c r="B2673" s="0" t="s">
        <v>134</v>
      </c>
      <c r="C2673" s="0" t="s">
        <v>134</v>
      </c>
      <c r="D2673" s="0" t="s">
        <v>135</v>
      </c>
      <c r="E2673" s="0" t="s">
        <v>3</v>
      </c>
      <c r="F2673" s="0" t="s">
        <v>12</v>
      </c>
      <c r="G2673" s="0" t="s">
        <v>8</v>
      </c>
      <c r="H2673" s="0">
        <v>509</v>
      </c>
      <c r="I2673" s="0">
        <v>28</v>
      </c>
      <c r="J2673" s="0">
        <v>0</v>
      </c>
      <c r="K2673" s="0">
        <v>1</v>
      </c>
      <c r="L2673" s="0">
        <v>1</v>
      </c>
      <c r="M2673" s="0">
        <v>1</v>
      </c>
      <c r="N2673" s="0">
        <v>0</v>
      </c>
      <c r="O2673" s="0">
        <v>0</v>
      </c>
      <c r="P2673" s="0">
        <v>0</v>
      </c>
      <c r="R2673" s="0" t="b">
        <v>0</v>
      </c>
      <c r="S2673" s="0" t="b">
        <v>1</v>
      </c>
      <c r="T2673" s="68">
        <v>45544.9245601852</v>
      </c>
      <c r="U2673" s="68">
        <v>45559.3333333333</v>
      </c>
      <c r="V2673" s="68">
        <v>0</v>
      </c>
      <c r="W2673" s="0">
        <f>IF(IF(B2673="none",1,IF(B2673="Trialer",1,0))+IF(C2673="Customer",1,IF(C2673="Lost",1,0))=2,1,0)</f>
      </c>
      <c r="X2673" s="0" t="s">
        <v>653</v>
      </c>
      <c r="Y2673" s="0" t="s">
        <v>243</v>
      </c>
      <c r="AV2673" s="68"/>
      <c r="AW2673" s="68"/>
      <c r="AY2673" s="27"/>
      <c r="BD2673" s="68">
        <v>46054.1666666667</v>
      </c>
      <c r="BE2673" s="68">
        <v>46082.1666666667</v>
      </c>
      <c r="BF2673" s="0" t="b">
        <v>0</v>
      </c>
      <c r="BG2673" s="0" t="b">
        <v>0</v>
      </c>
      <c r="BH2673" s="0">
        <v>28</v>
      </c>
      <c r="BI2673" s="0">
        <v>28</v>
      </c>
      <c r="BJ2673" s="0" t="s">
        <v>135</v>
      </c>
    </row>
    <row r="2674">
      <c r="A2674" s="0" t="s">
        <v>2917</v>
      </c>
      <c r="B2674" s="0" t="s">
        <v>134</v>
      </c>
      <c r="C2674" s="0" t="s">
        <v>134</v>
      </c>
      <c r="D2674" s="0" t="s">
        <v>135</v>
      </c>
      <c r="E2674" s="0" t="s">
        <v>3</v>
      </c>
      <c r="F2674" s="0" t="s">
        <v>11</v>
      </c>
      <c r="G2674" s="0" t="s">
        <v>8</v>
      </c>
      <c r="H2674" s="0">
        <v>508</v>
      </c>
      <c r="I2674" s="0">
        <v>156.8</v>
      </c>
      <c r="J2674" s="0">
        <v>0</v>
      </c>
      <c r="K2674" s="0">
        <v>1</v>
      </c>
      <c r="L2674" s="0">
        <v>3</v>
      </c>
      <c r="M2674" s="0">
        <v>4</v>
      </c>
      <c r="N2674" s="0">
        <v>0</v>
      </c>
      <c r="O2674" s="0">
        <v>0</v>
      </c>
      <c r="P2674" s="0">
        <v>0</v>
      </c>
      <c r="Q2674" s="0" t="s">
        <v>1743</v>
      </c>
      <c r="R2674" s="0" t="b">
        <v>1</v>
      </c>
      <c r="S2674" s="0" t="b">
        <v>1</v>
      </c>
      <c r="T2674" s="68">
        <v>45545.479537037</v>
      </c>
      <c r="U2674" s="68">
        <v>45545.3333333333</v>
      </c>
      <c r="V2674" s="68">
        <v>0</v>
      </c>
      <c r="W2674" s="0">
        <f>IF(IF(B2674="none",1,IF(B2674="Trialer",1,0))+IF(C2674="Customer",1,IF(C2674="Lost",1,0))=2,1,0)</f>
      </c>
      <c r="X2674" s="0" t="s">
        <v>145</v>
      </c>
      <c r="Y2674" s="0" t="s">
        <v>243</v>
      </c>
      <c r="AV2674" s="68"/>
      <c r="AW2674" s="68"/>
      <c r="AY2674" s="27"/>
      <c r="BD2674" s="68">
        <v>46054.1666666667</v>
      </c>
      <c r="BE2674" s="68">
        <v>46082.1666666667</v>
      </c>
      <c r="BF2674" s="0" t="b">
        <v>0</v>
      </c>
      <c r="BG2674" s="0" t="b">
        <v>0</v>
      </c>
      <c r="BH2674" s="0">
        <v>156.8</v>
      </c>
      <c r="BI2674" s="0">
        <v>156.8</v>
      </c>
      <c r="BJ2674" s="0" t="s">
        <v>135</v>
      </c>
    </row>
    <row r="2675">
      <c r="A2675" s="0" t="s">
        <v>2918</v>
      </c>
      <c r="B2675" s="0" t="s">
        <v>134</v>
      </c>
      <c r="C2675" s="0" t="s">
        <v>134</v>
      </c>
      <c r="D2675" s="0" t="s">
        <v>135</v>
      </c>
      <c r="E2675" s="0" t="s">
        <v>2</v>
      </c>
      <c r="F2675" s="0" t="s">
        <v>12</v>
      </c>
      <c r="G2675" s="0" t="s">
        <v>8</v>
      </c>
      <c r="H2675" s="0">
        <v>508</v>
      </c>
      <c r="I2675" s="0">
        <v>0</v>
      </c>
      <c r="J2675" s="0">
        <v>0</v>
      </c>
      <c r="K2675" s="0">
        <v>1</v>
      </c>
      <c r="L2675" s="0">
        <v>3</v>
      </c>
      <c r="M2675" s="0">
        <v>1</v>
      </c>
      <c r="N2675" s="0">
        <v>0</v>
      </c>
      <c r="O2675" s="0">
        <v>0</v>
      </c>
      <c r="P2675" s="0">
        <v>0</v>
      </c>
      <c r="R2675" s="0" t="b">
        <v>0</v>
      </c>
      <c r="S2675" s="0" t="b">
        <v>1</v>
      </c>
      <c r="T2675" s="68">
        <v>45545.5540740741</v>
      </c>
      <c r="U2675" s="68">
        <v>45572.3333333333</v>
      </c>
      <c r="V2675" s="68">
        <v>0</v>
      </c>
      <c r="W2675" s="0">
        <f>IF(IF(B2675="none",1,IF(B2675="Trialer",1,0))+IF(C2675="Customer",1,IF(C2675="Lost",1,0))=2,1,0)</f>
      </c>
      <c r="X2675" s="0" t="s">
        <v>148</v>
      </c>
      <c r="Y2675" s="0" t="s">
        <v>499</v>
      </c>
      <c r="AV2675" s="68"/>
      <c r="AW2675" s="68"/>
      <c r="AY2675" s="27"/>
      <c r="BD2675" s="68">
        <v>46054.1666666667</v>
      </c>
      <c r="BE2675" s="68">
        <v>46082.1666666667</v>
      </c>
      <c r="BF2675" s="0" t="b">
        <v>0</v>
      </c>
      <c r="BG2675" s="0" t="b">
        <v>0</v>
      </c>
      <c r="BH2675" s="0">
        <v>0</v>
      </c>
      <c r="BI2675" s="0">
        <v>0</v>
      </c>
      <c r="BJ2675" s="0" t="s">
        <v>135</v>
      </c>
    </row>
    <row r="2676">
      <c r="A2676" s="0" t="s">
        <v>2919</v>
      </c>
      <c r="B2676" s="0" t="s">
        <v>134</v>
      </c>
      <c r="C2676" s="0" t="s">
        <v>134</v>
      </c>
      <c r="D2676" s="0" t="s">
        <v>135</v>
      </c>
      <c r="E2676" s="0" t="s">
        <v>3</v>
      </c>
      <c r="F2676" s="0" t="s">
        <v>12</v>
      </c>
      <c r="G2676" s="0" t="s">
        <v>8</v>
      </c>
      <c r="H2676" s="0">
        <v>508</v>
      </c>
      <c r="I2676" s="0">
        <v>61</v>
      </c>
      <c r="J2676" s="0">
        <v>0</v>
      </c>
      <c r="K2676" s="0">
        <v>1</v>
      </c>
      <c r="L2676" s="0">
        <v>4</v>
      </c>
      <c r="M2676" s="0">
        <v>1</v>
      </c>
      <c r="N2676" s="0">
        <v>0</v>
      </c>
      <c r="O2676" s="0">
        <v>0</v>
      </c>
      <c r="P2676" s="0">
        <v>0</v>
      </c>
      <c r="R2676" s="0" t="b">
        <v>0</v>
      </c>
      <c r="S2676" s="0" t="b">
        <v>1</v>
      </c>
      <c r="T2676" s="68">
        <v>45545.5594791667</v>
      </c>
      <c r="U2676" s="68">
        <v>45559.3333333333</v>
      </c>
      <c r="V2676" s="68">
        <v>0</v>
      </c>
      <c r="W2676" s="0">
        <f>IF(IF(B2676="none",1,IF(B2676="Trialer",1,0))+IF(C2676="Customer",1,IF(C2676="Lost",1,0))=2,1,0)</f>
      </c>
      <c r="X2676" s="0" t="s">
        <v>653</v>
      </c>
      <c r="Y2676" s="0" t="s">
        <v>243</v>
      </c>
      <c r="AV2676" s="68"/>
      <c r="AW2676" s="68"/>
      <c r="AY2676" s="27"/>
      <c r="BD2676" s="68">
        <v>46054.1666666667</v>
      </c>
      <c r="BE2676" s="68">
        <v>46082.1666666667</v>
      </c>
      <c r="BF2676" s="0" t="b">
        <v>0</v>
      </c>
      <c r="BG2676" s="0" t="b">
        <v>0</v>
      </c>
      <c r="BH2676" s="0">
        <v>61</v>
      </c>
      <c r="BI2676" s="0">
        <v>61</v>
      </c>
      <c r="BJ2676" s="0" t="s">
        <v>135</v>
      </c>
    </row>
    <row r="2677">
      <c r="A2677" s="0" t="s">
        <v>2920</v>
      </c>
      <c r="B2677" s="0" t="s">
        <v>134</v>
      </c>
      <c r="C2677" s="0" t="s">
        <v>134</v>
      </c>
      <c r="D2677" s="0" t="s">
        <v>135</v>
      </c>
      <c r="E2677" s="0" t="s">
        <v>2</v>
      </c>
      <c r="F2677" s="0" t="s">
        <v>12</v>
      </c>
      <c r="G2677" s="0" t="s">
        <v>8</v>
      </c>
      <c r="H2677" s="0">
        <v>507</v>
      </c>
      <c r="I2677" s="0">
        <v>385</v>
      </c>
      <c r="J2677" s="0">
        <v>0</v>
      </c>
      <c r="K2677" s="0">
        <v>1</v>
      </c>
      <c r="L2677" s="0">
        <v>5</v>
      </c>
      <c r="M2677" s="0">
        <v>7</v>
      </c>
      <c r="N2677" s="0">
        <v>542.5</v>
      </c>
      <c r="O2677" s="0">
        <v>0</v>
      </c>
      <c r="P2677" s="0">
        <v>0</v>
      </c>
      <c r="R2677" s="0" t="b">
        <v>0</v>
      </c>
      <c r="S2677" s="0" t="b">
        <v>1</v>
      </c>
      <c r="T2677" s="68">
        <v>45546.4085648148</v>
      </c>
      <c r="U2677" s="68">
        <v>45567.3333333333</v>
      </c>
      <c r="V2677" s="68">
        <v>0</v>
      </c>
      <c r="W2677" s="0">
        <f>IF(IF(B2677="none",1,IF(B2677="Trialer",1,0))+IF(C2677="Customer",1,IF(C2677="Lost",1,0))=2,1,0)</f>
      </c>
      <c r="X2677" s="0" t="s">
        <v>148</v>
      </c>
      <c r="Y2677" s="0" t="s">
        <v>499</v>
      </c>
      <c r="AV2677" s="68"/>
      <c r="AW2677" s="68"/>
      <c r="AY2677" s="27"/>
      <c r="BD2677" s="68">
        <v>46054.1666666667</v>
      </c>
      <c r="BE2677" s="68">
        <v>46082.1666666667</v>
      </c>
      <c r="BF2677" s="0" t="b">
        <v>0</v>
      </c>
      <c r="BG2677" s="0" t="b">
        <v>0</v>
      </c>
      <c r="BH2677" s="0">
        <v>397</v>
      </c>
      <c r="BI2677" s="0">
        <v>397</v>
      </c>
      <c r="BJ2677" s="0" t="s">
        <v>135</v>
      </c>
    </row>
    <row r="2678">
      <c r="A2678" s="0" t="s">
        <v>2921</v>
      </c>
      <c r="B2678" s="0" t="s">
        <v>134</v>
      </c>
      <c r="C2678" s="0" t="s">
        <v>134</v>
      </c>
      <c r="D2678" s="0" t="s">
        <v>135</v>
      </c>
      <c r="E2678" s="0" t="s">
        <v>3</v>
      </c>
      <c r="F2678" s="0" t="s">
        <v>12</v>
      </c>
      <c r="G2678" s="0" t="s">
        <v>8</v>
      </c>
      <c r="H2678" s="0">
        <v>505</v>
      </c>
      <c r="I2678" s="0">
        <v>98</v>
      </c>
      <c r="J2678" s="0">
        <v>0</v>
      </c>
      <c r="K2678" s="0">
        <v>1</v>
      </c>
      <c r="L2678" s="0">
        <v>3</v>
      </c>
      <c r="M2678" s="0">
        <v>2</v>
      </c>
      <c r="N2678" s="0">
        <v>0</v>
      </c>
      <c r="O2678" s="0">
        <v>0</v>
      </c>
      <c r="P2678" s="0">
        <v>0</v>
      </c>
      <c r="R2678" s="0" t="b">
        <v>0</v>
      </c>
      <c r="S2678" s="0" t="b">
        <v>1</v>
      </c>
      <c r="T2678" s="68">
        <v>45548.5</v>
      </c>
      <c r="U2678" s="68">
        <v>45548.3333333333</v>
      </c>
      <c r="V2678" s="68">
        <v>0</v>
      </c>
      <c r="W2678" s="0">
        <f>IF(IF(B2678="none",1,IF(B2678="Trialer",1,0))+IF(C2678="Customer",1,IF(C2678="Lost",1,0))=2,1,0)</f>
      </c>
      <c r="X2678" s="0" t="s">
        <v>145</v>
      </c>
      <c r="Y2678" s="0" t="s">
        <v>243</v>
      </c>
      <c r="AV2678" s="68"/>
      <c r="AW2678" s="68"/>
      <c r="AY2678" s="27"/>
      <c r="BD2678" s="68">
        <v>46054.1666666667</v>
      </c>
      <c r="BE2678" s="68">
        <v>46082.1666666667</v>
      </c>
      <c r="BF2678" s="0" t="b">
        <v>0</v>
      </c>
      <c r="BG2678" s="0" t="b">
        <v>0</v>
      </c>
      <c r="BH2678" s="0">
        <v>98</v>
      </c>
      <c r="BI2678" s="0">
        <v>98</v>
      </c>
      <c r="BJ2678" s="0" t="s">
        <v>135</v>
      </c>
    </row>
    <row r="2679">
      <c r="A2679" s="0" t="s">
        <v>2922</v>
      </c>
      <c r="B2679" s="0" t="s">
        <v>134</v>
      </c>
      <c r="C2679" s="0" t="s">
        <v>134</v>
      </c>
      <c r="D2679" s="0" t="s">
        <v>230</v>
      </c>
      <c r="E2679" s="0" t="s">
        <v>3</v>
      </c>
      <c r="F2679" s="0" t="s">
        <v>12</v>
      </c>
      <c r="G2679" s="0" t="s">
        <v>8</v>
      </c>
      <c r="H2679" s="0">
        <v>505</v>
      </c>
      <c r="I2679" s="0">
        <v>213.3</v>
      </c>
      <c r="J2679" s="0">
        <v>0</v>
      </c>
      <c r="K2679" s="0">
        <v>1</v>
      </c>
      <c r="L2679" s="0">
        <v>3</v>
      </c>
      <c r="M2679" s="0">
        <v>8</v>
      </c>
      <c r="N2679" s="0">
        <v>0</v>
      </c>
      <c r="O2679" s="0">
        <v>0</v>
      </c>
      <c r="P2679" s="0">
        <v>-213.3</v>
      </c>
      <c r="R2679" s="0" t="b">
        <v>0</v>
      </c>
      <c r="S2679" s="0" t="b">
        <v>1</v>
      </c>
      <c r="T2679" s="68">
        <v>45548.5021527778</v>
      </c>
      <c r="U2679" s="68">
        <v>45548.3333333333</v>
      </c>
      <c r="V2679" s="68">
        <v>0</v>
      </c>
      <c r="W2679" s="0">
        <f>IF(IF(B2679="none",1,IF(B2679="Trialer",1,0))+IF(C2679="Customer",1,IF(C2679="Lost",1,0))=2,1,0)</f>
      </c>
      <c r="X2679" s="0" t="s">
        <v>145</v>
      </c>
      <c r="Y2679" s="0" t="s">
        <v>243</v>
      </c>
      <c r="AV2679" s="68"/>
      <c r="AW2679" s="68"/>
      <c r="AY2679" s="27"/>
      <c r="BD2679" s="68">
        <v>46054.1666666667</v>
      </c>
      <c r="BE2679" s="68">
        <v>46082.1666666667</v>
      </c>
      <c r="BF2679" s="0" t="b">
        <v>0</v>
      </c>
      <c r="BG2679" s="0" t="b">
        <v>0</v>
      </c>
      <c r="BH2679" s="0">
        <v>237</v>
      </c>
      <c r="BI2679" s="0">
        <v>237</v>
      </c>
      <c r="BJ2679" s="0" t="s">
        <v>230</v>
      </c>
    </row>
    <row r="2680">
      <c r="A2680" s="0" t="s">
        <v>2923</v>
      </c>
      <c r="B2680" s="0" t="s">
        <v>134</v>
      </c>
      <c r="C2680" s="0" t="s">
        <v>190</v>
      </c>
      <c r="D2680" s="0" t="s">
        <v>135</v>
      </c>
      <c r="E2680" s="0" t="s">
        <v>3</v>
      </c>
      <c r="F2680" s="0" t="s">
        <v>12</v>
      </c>
      <c r="G2680" s="0" t="s">
        <v>8</v>
      </c>
      <c r="H2680" s="0">
        <v>504</v>
      </c>
      <c r="I2680" s="0">
        <v>0</v>
      </c>
      <c r="J2680" s="0">
        <v>0</v>
      </c>
      <c r="K2680" s="0">
        <v>0</v>
      </c>
      <c r="L2680" s="0">
        <v>0</v>
      </c>
      <c r="M2680" s="0">
        <v>0</v>
      </c>
      <c r="N2680" s="0">
        <v>0</v>
      </c>
      <c r="O2680" s="0">
        <v>0</v>
      </c>
      <c r="P2680" s="0">
        <v>0</v>
      </c>
      <c r="R2680" s="0" t="b">
        <v>0</v>
      </c>
      <c r="S2680" s="0" t="b">
        <v>0</v>
      </c>
      <c r="T2680" s="68">
        <v>45549.6085069444</v>
      </c>
      <c r="U2680" s="68">
        <v>45565.3333333333</v>
      </c>
      <c r="V2680" s="68">
        <v>46072.6869444444</v>
      </c>
      <c r="W2680" s="0">
        <f>IF(IF(B2680="none",1,IF(B2680="Trialer",1,0))+IF(C2680="Customer",1,IF(C2680="Lost",1,0))=2,1,0)</f>
      </c>
      <c r="X2680" s="0" t="s">
        <v>153</v>
      </c>
      <c r="Y2680" s="0" t="s">
        <v>243</v>
      </c>
      <c r="AV2680" s="68"/>
      <c r="AW2680" s="68"/>
      <c r="AY2680" s="27"/>
      <c r="BD2680" s="68">
        <v>46054.1666666667</v>
      </c>
      <c r="BE2680" s="68">
        <v>46082.1666666667</v>
      </c>
      <c r="BF2680" s="0" t="b">
        <v>0</v>
      </c>
      <c r="BG2680" s="0" t="b">
        <v>0</v>
      </c>
      <c r="BH2680" s="0">
        <v>49</v>
      </c>
      <c r="BI2680" s="0">
        <v>49</v>
      </c>
      <c r="BJ2680" s="0" t="s">
        <v>135</v>
      </c>
    </row>
    <row r="2681">
      <c r="A2681" s="0" t="s">
        <v>2924</v>
      </c>
      <c r="B2681" s="0" t="s">
        <v>134</v>
      </c>
      <c r="C2681" s="0" t="s">
        <v>134</v>
      </c>
      <c r="D2681" s="0" t="s">
        <v>230</v>
      </c>
      <c r="E2681" s="0" t="s">
        <v>3</v>
      </c>
      <c r="F2681" s="0" t="s">
        <v>12</v>
      </c>
      <c r="G2681" s="0" t="s">
        <v>8</v>
      </c>
      <c r="H2681" s="0">
        <v>502</v>
      </c>
      <c r="I2681" s="0">
        <v>394</v>
      </c>
      <c r="J2681" s="0">
        <v>0</v>
      </c>
      <c r="K2681" s="0">
        <v>1</v>
      </c>
      <c r="L2681" s="0">
        <v>3</v>
      </c>
      <c r="M2681" s="0">
        <v>2</v>
      </c>
      <c r="N2681" s="0">
        <v>0</v>
      </c>
      <c r="O2681" s="0">
        <v>0</v>
      </c>
      <c r="P2681" s="0">
        <v>-69</v>
      </c>
      <c r="R2681" s="0" t="b">
        <v>0</v>
      </c>
      <c r="S2681" s="0" t="b">
        <v>1</v>
      </c>
      <c r="T2681" s="68">
        <v>45551.4816550926</v>
      </c>
      <c r="U2681" s="68">
        <v>45565.3333333333</v>
      </c>
      <c r="V2681" s="68">
        <v>0</v>
      </c>
      <c r="W2681" s="0">
        <f>IF(IF(B2681="none",1,IF(B2681="Trialer",1,0))+IF(C2681="Customer",1,IF(C2681="Lost",1,0))=2,1,0)</f>
      </c>
      <c r="X2681" s="0" t="s">
        <v>148</v>
      </c>
      <c r="Y2681" s="0" t="s">
        <v>243</v>
      </c>
      <c r="AV2681" s="68"/>
      <c r="AW2681" s="68"/>
      <c r="AY2681" s="27"/>
      <c r="BD2681" s="68">
        <v>46054.1666666667</v>
      </c>
      <c r="BE2681" s="68">
        <v>46082.1666666667</v>
      </c>
      <c r="BF2681" s="0" t="b">
        <v>0</v>
      </c>
      <c r="BG2681" s="0" t="b">
        <v>0</v>
      </c>
      <c r="BH2681" s="0">
        <v>77</v>
      </c>
      <c r="BI2681" s="0">
        <v>77</v>
      </c>
      <c r="BJ2681" s="0" t="s">
        <v>230</v>
      </c>
    </row>
    <row r="2682">
      <c r="A2682" s="0" t="s">
        <v>2925</v>
      </c>
      <c r="B2682" s="0" t="s">
        <v>134</v>
      </c>
      <c r="C2682" s="0" t="s">
        <v>134</v>
      </c>
      <c r="D2682" s="0" t="s">
        <v>135</v>
      </c>
      <c r="E2682" s="0" t="s">
        <v>2</v>
      </c>
      <c r="F2682" s="0" t="s">
        <v>12</v>
      </c>
      <c r="G2682" s="0" t="s">
        <v>8</v>
      </c>
      <c r="H2682" s="0">
        <v>502</v>
      </c>
      <c r="I2682" s="0">
        <v>147</v>
      </c>
      <c r="J2682" s="0">
        <v>0</v>
      </c>
      <c r="K2682" s="0">
        <v>1</v>
      </c>
      <c r="L2682" s="0">
        <v>3</v>
      </c>
      <c r="M2682" s="0">
        <v>3</v>
      </c>
      <c r="N2682" s="0">
        <v>0</v>
      </c>
      <c r="O2682" s="0">
        <v>0</v>
      </c>
      <c r="P2682" s="0">
        <v>0</v>
      </c>
      <c r="R2682" s="0" t="b">
        <v>0</v>
      </c>
      <c r="S2682" s="0" t="b">
        <v>1</v>
      </c>
      <c r="T2682" s="68">
        <v>45551.6586111111</v>
      </c>
      <c r="U2682" s="68">
        <v>45567.3333333333</v>
      </c>
      <c r="V2682" s="68">
        <v>0</v>
      </c>
      <c r="W2682" s="0">
        <f>IF(IF(B2682="none",1,IF(B2682="Trialer",1,0))+IF(C2682="Customer",1,IF(C2682="Lost",1,0))=2,1,0)</f>
      </c>
      <c r="X2682" s="0" t="s">
        <v>166</v>
      </c>
      <c r="Y2682" s="0" t="s">
        <v>499</v>
      </c>
      <c r="AV2682" s="68"/>
      <c r="AW2682" s="68"/>
      <c r="AY2682" s="27"/>
      <c r="BD2682" s="68">
        <v>46054.1666666667</v>
      </c>
      <c r="BE2682" s="68">
        <v>46082.1666666667</v>
      </c>
      <c r="BF2682" s="0" t="b">
        <v>0</v>
      </c>
      <c r="BG2682" s="0" t="b">
        <v>0</v>
      </c>
      <c r="BH2682" s="0">
        <v>147</v>
      </c>
      <c r="BI2682" s="0">
        <v>147</v>
      </c>
      <c r="BJ2682" s="0" t="s">
        <v>135</v>
      </c>
    </row>
    <row r="2683">
      <c r="A2683" s="0" t="s">
        <v>2926</v>
      </c>
      <c r="B2683" s="0" t="s">
        <v>134</v>
      </c>
      <c r="C2683" s="0" t="s">
        <v>134</v>
      </c>
      <c r="D2683" s="0" t="s">
        <v>135</v>
      </c>
      <c r="E2683" s="0" t="s">
        <v>2</v>
      </c>
      <c r="F2683" s="0" t="s">
        <v>12</v>
      </c>
      <c r="G2683" s="0" t="s">
        <v>8</v>
      </c>
      <c r="H2683" s="0">
        <v>502</v>
      </c>
      <c r="I2683" s="0">
        <v>49</v>
      </c>
      <c r="J2683" s="0">
        <v>0</v>
      </c>
      <c r="K2683" s="0">
        <v>1</v>
      </c>
      <c r="L2683" s="0">
        <v>3</v>
      </c>
      <c r="M2683" s="0">
        <v>1</v>
      </c>
      <c r="N2683" s="0">
        <v>0</v>
      </c>
      <c r="O2683" s="0">
        <v>0</v>
      </c>
      <c r="P2683" s="0">
        <v>0</v>
      </c>
      <c r="R2683" s="0" t="b">
        <v>0</v>
      </c>
      <c r="S2683" s="0" t="b">
        <v>1</v>
      </c>
      <c r="T2683" s="68">
        <v>45551.8144675926</v>
      </c>
      <c r="U2683" s="68">
        <v>45565.3333333333</v>
      </c>
      <c r="V2683" s="68">
        <v>0</v>
      </c>
      <c r="W2683" s="0">
        <f>IF(IF(B2683="none",1,IF(B2683="Trialer",1,0))+IF(C2683="Customer",1,IF(C2683="Lost",1,0))=2,1,0)</f>
      </c>
      <c r="X2683" s="0" t="s">
        <v>653</v>
      </c>
      <c r="Y2683" s="0" t="s">
        <v>499</v>
      </c>
      <c r="AV2683" s="68"/>
      <c r="AW2683" s="68"/>
      <c r="AY2683" s="27"/>
      <c r="BD2683" s="68">
        <v>46054.1666666667</v>
      </c>
      <c r="BE2683" s="68">
        <v>46082.1666666667</v>
      </c>
      <c r="BF2683" s="0" t="b">
        <v>0</v>
      </c>
      <c r="BG2683" s="0" t="b">
        <v>0</v>
      </c>
      <c r="BH2683" s="0">
        <v>49</v>
      </c>
      <c r="BI2683" s="0">
        <v>49</v>
      </c>
      <c r="BJ2683" s="0" t="s">
        <v>135</v>
      </c>
    </row>
    <row r="2684">
      <c r="A2684" s="0" t="s">
        <v>2927</v>
      </c>
      <c r="B2684" s="0" t="s">
        <v>134</v>
      </c>
      <c r="C2684" s="0" t="s">
        <v>134</v>
      </c>
      <c r="D2684" s="0" t="s">
        <v>135</v>
      </c>
      <c r="E2684" s="0" t="s">
        <v>3</v>
      </c>
      <c r="F2684" s="0" t="s">
        <v>12</v>
      </c>
      <c r="G2684" s="0" t="s">
        <v>8</v>
      </c>
      <c r="H2684" s="0">
        <v>501</v>
      </c>
      <c r="I2684" s="0">
        <v>809</v>
      </c>
      <c r="J2684" s="0">
        <v>0</v>
      </c>
      <c r="K2684" s="0">
        <v>1</v>
      </c>
      <c r="L2684" s="0">
        <v>2</v>
      </c>
      <c r="M2684" s="0">
        <v>13</v>
      </c>
      <c r="N2684" s="0">
        <v>418.5</v>
      </c>
      <c r="O2684" s="0">
        <v>0</v>
      </c>
      <c r="P2684" s="0">
        <v>0</v>
      </c>
      <c r="R2684" s="0" t="b">
        <v>0</v>
      </c>
      <c r="S2684" s="0" t="b">
        <v>1</v>
      </c>
      <c r="T2684" s="68">
        <v>45552.4688657407</v>
      </c>
      <c r="U2684" s="68">
        <v>45566.3333333333</v>
      </c>
      <c r="V2684" s="68">
        <v>0</v>
      </c>
      <c r="W2684" s="0">
        <f>IF(IF(B2684="none",1,IF(B2684="Trialer",1,0))+IF(C2684="Customer",1,IF(C2684="Lost",1,0))=2,1,0)</f>
      </c>
      <c r="X2684" s="0" t="s">
        <v>148</v>
      </c>
      <c r="Y2684" s="0" t="s">
        <v>243</v>
      </c>
      <c r="AV2684" s="68"/>
      <c r="AW2684" s="68"/>
      <c r="AY2684" s="27"/>
      <c r="BD2684" s="68">
        <v>46054.1666666667</v>
      </c>
      <c r="BE2684" s="68">
        <v>46082.1666666667</v>
      </c>
      <c r="BF2684" s="0" t="b">
        <v>0</v>
      </c>
      <c r="BG2684" s="0" t="b">
        <v>0</v>
      </c>
      <c r="BH2684" s="0">
        <v>484</v>
      </c>
      <c r="BI2684" s="0">
        <v>484</v>
      </c>
      <c r="BJ2684" s="0" t="s">
        <v>135</v>
      </c>
    </row>
    <row r="2685">
      <c r="A2685" s="0" t="s">
        <v>2928</v>
      </c>
      <c r="B2685" s="0" t="s">
        <v>134</v>
      </c>
      <c r="C2685" s="0" t="s">
        <v>134</v>
      </c>
      <c r="D2685" s="0" t="s">
        <v>230</v>
      </c>
      <c r="E2685" s="0" t="s">
        <v>2</v>
      </c>
      <c r="F2685" s="0" t="s">
        <v>12</v>
      </c>
      <c r="G2685" s="0" t="s">
        <v>8</v>
      </c>
      <c r="H2685" s="0">
        <v>501</v>
      </c>
      <c r="I2685" s="0">
        <v>396.9</v>
      </c>
      <c r="J2685" s="0">
        <v>0</v>
      </c>
      <c r="K2685" s="0">
        <v>1</v>
      </c>
      <c r="L2685" s="0">
        <v>3</v>
      </c>
      <c r="M2685" s="0">
        <v>9</v>
      </c>
      <c r="N2685" s="0">
        <v>0</v>
      </c>
      <c r="O2685" s="0">
        <v>0</v>
      </c>
      <c r="P2685" s="0">
        <v>-396.9</v>
      </c>
      <c r="R2685" s="0" t="b">
        <v>0</v>
      </c>
      <c r="S2685" s="0" t="b">
        <v>1</v>
      </c>
      <c r="T2685" s="68">
        <v>45552.5020717593</v>
      </c>
      <c r="U2685" s="68">
        <v>45573.3333333333</v>
      </c>
      <c r="V2685" s="68">
        <v>0</v>
      </c>
      <c r="W2685" s="0">
        <f>IF(IF(B2685="none",1,IF(B2685="Trialer",1,0))+IF(C2685="Customer",1,IF(C2685="Lost",1,0))=2,1,0)</f>
      </c>
      <c r="X2685" s="0" t="s">
        <v>148</v>
      </c>
      <c r="Y2685" s="0" t="s">
        <v>499</v>
      </c>
      <c r="AV2685" s="68"/>
      <c r="AW2685" s="68"/>
      <c r="AY2685" s="27"/>
      <c r="BD2685" s="68">
        <v>46054.1666666667</v>
      </c>
      <c r="BE2685" s="68">
        <v>46082.1666666667</v>
      </c>
      <c r="BF2685" s="0" t="b">
        <v>0</v>
      </c>
      <c r="BG2685" s="0" t="b">
        <v>0</v>
      </c>
      <c r="BH2685" s="0">
        <v>490</v>
      </c>
      <c r="BI2685" s="0">
        <v>490</v>
      </c>
      <c r="BJ2685" s="0" t="s">
        <v>230</v>
      </c>
    </row>
    <row r="2686">
      <c r="A2686" s="0" t="s">
        <v>2929</v>
      </c>
      <c r="B2686" s="0" t="s">
        <v>134</v>
      </c>
      <c r="C2686" s="0" t="s">
        <v>134</v>
      </c>
      <c r="D2686" s="0" t="s">
        <v>135</v>
      </c>
      <c r="E2686" s="0" t="s">
        <v>3</v>
      </c>
      <c r="F2686" s="0" t="s">
        <v>10</v>
      </c>
      <c r="G2686" s="0" t="s">
        <v>8</v>
      </c>
      <c r="H2686" s="0">
        <v>501</v>
      </c>
      <c r="I2686" s="0">
        <v>28</v>
      </c>
      <c r="J2686" s="0">
        <v>0</v>
      </c>
      <c r="K2686" s="0">
        <v>1</v>
      </c>
      <c r="L2686" s="0">
        <v>1</v>
      </c>
      <c r="M2686" s="0">
        <v>1</v>
      </c>
      <c r="N2686" s="0">
        <v>0</v>
      </c>
      <c r="O2686" s="0">
        <v>0</v>
      </c>
      <c r="P2686" s="0">
        <v>0</v>
      </c>
      <c r="Q2686" s="0" t="s">
        <v>217</v>
      </c>
      <c r="R2686" s="0" t="b">
        <v>0</v>
      </c>
      <c r="S2686" s="0" t="b">
        <v>1</v>
      </c>
      <c r="T2686" s="68">
        <v>45552.6928703704</v>
      </c>
      <c r="U2686" s="68">
        <v>45569.3333333333</v>
      </c>
      <c r="V2686" s="68">
        <v>0</v>
      </c>
      <c r="W2686" s="0">
        <f>IF(IF(B2686="none",1,IF(B2686="Trialer",1,0))+IF(C2686="Customer",1,IF(C2686="Lost",1,0))=2,1,0)</f>
      </c>
      <c r="X2686" s="0" t="s">
        <v>136</v>
      </c>
      <c r="Y2686" s="0" t="s">
        <v>243</v>
      </c>
      <c r="AV2686" s="68"/>
      <c r="AW2686" s="68"/>
      <c r="AY2686" s="27"/>
      <c r="BD2686" s="68">
        <v>46054.1666666667</v>
      </c>
      <c r="BE2686" s="68">
        <v>46082.1666666667</v>
      </c>
      <c r="BF2686" s="0" t="b">
        <v>0</v>
      </c>
      <c r="BG2686" s="0" t="b">
        <v>0</v>
      </c>
      <c r="BH2686" s="0">
        <v>28</v>
      </c>
      <c r="BI2686" s="0">
        <v>28</v>
      </c>
      <c r="BJ2686" s="0" t="s">
        <v>135</v>
      </c>
    </row>
    <row r="2687">
      <c r="A2687" s="0" t="s">
        <v>2930</v>
      </c>
      <c r="B2687" s="0" t="s">
        <v>134</v>
      </c>
      <c r="C2687" s="0" t="s">
        <v>134</v>
      </c>
      <c r="D2687" s="0" t="s">
        <v>230</v>
      </c>
      <c r="E2687" s="0" t="s">
        <v>2</v>
      </c>
      <c r="F2687" s="0" t="s">
        <v>10</v>
      </c>
      <c r="G2687" s="0" t="s">
        <v>8</v>
      </c>
      <c r="H2687" s="0">
        <v>501</v>
      </c>
      <c r="I2687" s="0">
        <v>1161</v>
      </c>
      <c r="J2687" s="0">
        <v>0</v>
      </c>
      <c r="K2687" s="0">
        <v>1</v>
      </c>
      <c r="L2687" s="0">
        <v>3</v>
      </c>
      <c r="M2687" s="0">
        <v>19</v>
      </c>
      <c r="N2687" s="0">
        <v>976.5</v>
      </c>
      <c r="O2687" s="0">
        <v>0</v>
      </c>
      <c r="P2687" s="0">
        <v>-836</v>
      </c>
      <c r="Q2687" s="0" t="s">
        <v>2918</v>
      </c>
      <c r="R2687" s="0" t="b">
        <v>0</v>
      </c>
      <c r="S2687" s="0" t="b">
        <v>1</v>
      </c>
      <c r="T2687" s="68">
        <v>45552.7784259259</v>
      </c>
      <c r="U2687" s="68">
        <v>45574.3333333333</v>
      </c>
      <c r="V2687" s="68">
        <v>0</v>
      </c>
      <c r="W2687" s="0">
        <f>IF(IF(B2687="none",1,IF(B2687="Trialer",1,0))+IF(C2687="Customer",1,IF(C2687="Lost",1,0))=2,1,0)</f>
      </c>
      <c r="X2687" s="0" t="s">
        <v>148</v>
      </c>
      <c r="Y2687" s="0" t="s">
        <v>499</v>
      </c>
      <c r="AV2687" s="68"/>
      <c r="AW2687" s="68"/>
      <c r="AY2687" s="27"/>
      <c r="BD2687" s="68">
        <v>46054.1666666667</v>
      </c>
      <c r="BE2687" s="68">
        <v>46082.1666666667</v>
      </c>
      <c r="BF2687" s="0" t="b">
        <v>0</v>
      </c>
      <c r="BG2687" s="0" t="b">
        <v>0</v>
      </c>
      <c r="BH2687" s="0">
        <v>931</v>
      </c>
      <c r="BI2687" s="0">
        <v>931</v>
      </c>
      <c r="BJ2687" s="0" t="s">
        <v>230</v>
      </c>
    </row>
    <row r="2688">
      <c r="A2688" s="0" t="s">
        <v>2931</v>
      </c>
      <c r="B2688" s="0" t="s">
        <v>134</v>
      </c>
      <c r="C2688" s="0" t="s">
        <v>134</v>
      </c>
      <c r="D2688" s="0" t="s">
        <v>230</v>
      </c>
      <c r="E2688" s="0" t="s">
        <v>3</v>
      </c>
      <c r="F2688" s="0" t="s">
        <v>12</v>
      </c>
      <c r="G2688" s="0" t="s">
        <v>8</v>
      </c>
      <c r="H2688" s="0">
        <v>499</v>
      </c>
      <c r="I2688" s="0">
        <v>54</v>
      </c>
      <c r="J2688" s="0">
        <v>0</v>
      </c>
      <c r="K2688" s="0">
        <v>1</v>
      </c>
      <c r="L2688" s="0">
        <v>4</v>
      </c>
      <c r="M2688" s="0">
        <v>1</v>
      </c>
      <c r="N2688" s="0">
        <v>0</v>
      </c>
      <c r="O2688" s="0">
        <v>0</v>
      </c>
      <c r="P2688" s="0">
        <v>-54</v>
      </c>
      <c r="R2688" s="0" t="b">
        <v>0</v>
      </c>
      <c r="S2688" s="0" t="b">
        <v>1</v>
      </c>
      <c r="T2688" s="68">
        <v>45554.6847222222</v>
      </c>
      <c r="U2688" s="68">
        <v>45568.3333333333</v>
      </c>
      <c r="V2688" s="68">
        <v>0</v>
      </c>
      <c r="W2688" s="0">
        <f>IF(IF(B2688="none",1,IF(B2688="Trialer",1,0))+IF(C2688="Customer",1,IF(C2688="Lost",1,0))=2,1,0)</f>
      </c>
      <c r="X2688" s="0" t="s">
        <v>153</v>
      </c>
      <c r="Y2688" s="0" t="s">
        <v>243</v>
      </c>
      <c r="AV2688" s="68"/>
      <c r="AW2688" s="68"/>
      <c r="AY2688" s="27"/>
      <c r="BD2688" s="68">
        <v>46054.1666666667</v>
      </c>
      <c r="BE2688" s="68">
        <v>46082.1666666667</v>
      </c>
      <c r="BF2688" s="0" t="b">
        <v>0</v>
      </c>
      <c r="BG2688" s="0" t="b">
        <v>0</v>
      </c>
      <c r="BH2688" s="0">
        <v>61</v>
      </c>
      <c r="BI2688" s="0">
        <v>61</v>
      </c>
      <c r="BJ2688" s="0" t="s">
        <v>230</v>
      </c>
    </row>
    <row r="2689">
      <c r="A2689" s="0" t="s">
        <v>2932</v>
      </c>
      <c r="B2689" s="0" t="s">
        <v>134</v>
      </c>
      <c r="C2689" s="0" t="s">
        <v>134</v>
      </c>
      <c r="D2689" s="0" t="s">
        <v>135</v>
      </c>
      <c r="E2689" s="0" t="s">
        <v>3</v>
      </c>
      <c r="F2689" s="0" t="s">
        <v>12</v>
      </c>
      <c r="G2689" s="0" t="s">
        <v>8</v>
      </c>
      <c r="H2689" s="0">
        <v>499</v>
      </c>
      <c r="I2689" s="0">
        <v>233</v>
      </c>
      <c r="J2689" s="0">
        <v>0</v>
      </c>
      <c r="K2689" s="0">
        <v>1</v>
      </c>
      <c r="L2689" s="0">
        <v>3</v>
      </c>
      <c r="M2689" s="0">
        <v>5</v>
      </c>
      <c r="N2689" s="0">
        <v>0</v>
      </c>
      <c r="O2689" s="0">
        <v>0</v>
      </c>
      <c r="P2689" s="0">
        <v>0</v>
      </c>
      <c r="R2689" s="0" t="b">
        <v>0</v>
      </c>
      <c r="S2689" s="0" t="b">
        <v>1</v>
      </c>
      <c r="T2689" s="68">
        <v>45554.7349074074</v>
      </c>
      <c r="U2689" s="68">
        <v>45568.3333333333</v>
      </c>
      <c r="V2689" s="68">
        <v>0</v>
      </c>
      <c r="W2689" s="0">
        <f>IF(IF(B2689="none",1,IF(B2689="Trialer",1,0))+IF(C2689="Customer",1,IF(C2689="Lost",1,0))=2,1,0)</f>
      </c>
      <c r="X2689" s="0" t="s">
        <v>653</v>
      </c>
      <c r="Y2689" s="0" t="s">
        <v>243</v>
      </c>
      <c r="AV2689" s="68"/>
      <c r="AW2689" s="68"/>
      <c r="AY2689" s="27"/>
      <c r="BD2689" s="68">
        <v>46054.1666666667</v>
      </c>
      <c r="BE2689" s="68">
        <v>46082.1666666667</v>
      </c>
      <c r="BF2689" s="0" t="b">
        <v>0</v>
      </c>
      <c r="BG2689" s="0" t="b">
        <v>0</v>
      </c>
      <c r="BH2689" s="0">
        <v>233</v>
      </c>
      <c r="BI2689" s="0">
        <v>233</v>
      </c>
      <c r="BJ2689" s="0" t="s">
        <v>135</v>
      </c>
    </row>
    <row r="2690">
      <c r="A2690" s="0" t="s">
        <v>2933</v>
      </c>
      <c r="B2690" s="0" t="s">
        <v>134</v>
      </c>
      <c r="C2690" s="0" t="s">
        <v>134</v>
      </c>
      <c r="D2690" s="0" t="s">
        <v>135</v>
      </c>
      <c r="E2690" s="0" t="s">
        <v>2</v>
      </c>
      <c r="F2690" s="0" t="s">
        <v>12</v>
      </c>
      <c r="G2690" s="0" t="s">
        <v>8</v>
      </c>
      <c r="H2690" s="0">
        <v>499</v>
      </c>
      <c r="I2690" s="0">
        <v>61</v>
      </c>
      <c r="J2690" s="0">
        <v>0</v>
      </c>
      <c r="K2690" s="0">
        <v>1</v>
      </c>
      <c r="L2690" s="0">
        <v>4</v>
      </c>
      <c r="M2690" s="0">
        <v>1</v>
      </c>
      <c r="N2690" s="0">
        <v>0</v>
      </c>
      <c r="O2690" s="0">
        <v>0</v>
      </c>
      <c r="P2690" s="0">
        <v>0</v>
      </c>
      <c r="R2690" s="0" t="b">
        <v>0</v>
      </c>
      <c r="S2690" s="0" t="b">
        <v>1</v>
      </c>
      <c r="T2690" s="68">
        <v>45554.9437962963</v>
      </c>
      <c r="U2690" s="68">
        <v>45568.3333333333</v>
      </c>
      <c r="V2690" s="68">
        <v>0</v>
      </c>
      <c r="W2690" s="0">
        <f>IF(IF(B2690="none",1,IF(B2690="Trialer",1,0))+IF(C2690="Customer",1,IF(C2690="Lost",1,0))=2,1,0)</f>
      </c>
      <c r="X2690" s="0" t="s">
        <v>653</v>
      </c>
      <c r="Y2690" s="0" t="s">
        <v>499</v>
      </c>
      <c r="AV2690" s="68"/>
      <c r="AW2690" s="68"/>
      <c r="AY2690" s="27"/>
      <c r="BD2690" s="68">
        <v>46054.1666666667</v>
      </c>
      <c r="BE2690" s="68">
        <v>46082.1666666667</v>
      </c>
      <c r="BF2690" s="0" t="b">
        <v>0</v>
      </c>
      <c r="BG2690" s="0" t="b">
        <v>0</v>
      </c>
      <c r="BH2690" s="0">
        <v>61</v>
      </c>
      <c r="BI2690" s="0">
        <v>61</v>
      </c>
      <c r="BJ2690" s="0" t="s">
        <v>135</v>
      </c>
    </row>
    <row r="2691">
      <c r="A2691" s="0" t="s">
        <v>2934</v>
      </c>
      <c r="B2691" s="0" t="s">
        <v>134</v>
      </c>
      <c r="C2691" s="0" t="s">
        <v>134</v>
      </c>
      <c r="D2691" s="0" t="s">
        <v>135</v>
      </c>
      <c r="E2691" s="0" t="s">
        <v>2</v>
      </c>
      <c r="F2691" s="0" t="s">
        <v>12</v>
      </c>
      <c r="G2691" s="0" t="s">
        <v>8</v>
      </c>
      <c r="H2691" s="0">
        <v>495</v>
      </c>
      <c r="I2691" s="0">
        <v>68</v>
      </c>
      <c r="J2691" s="0">
        <v>0</v>
      </c>
      <c r="K2691" s="0">
        <v>1</v>
      </c>
      <c r="L2691" s="0">
        <v>2</v>
      </c>
      <c r="M2691" s="0">
        <v>2</v>
      </c>
      <c r="N2691" s="0">
        <v>0</v>
      </c>
      <c r="O2691" s="0">
        <v>0</v>
      </c>
      <c r="P2691" s="0">
        <v>0</v>
      </c>
      <c r="R2691" s="0" t="b">
        <v>0</v>
      </c>
      <c r="S2691" s="0" t="b">
        <v>1</v>
      </c>
      <c r="T2691" s="68">
        <v>45558.3861111111</v>
      </c>
      <c r="U2691" s="68">
        <v>45572.3333333333</v>
      </c>
      <c r="V2691" s="68">
        <v>0</v>
      </c>
      <c r="W2691" s="0">
        <f>IF(IF(B2691="none",1,IF(B2691="Trialer",1,0))+IF(C2691="Customer",1,IF(C2691="Lost",1,0))=2,1,0)</f>
      </c>
      <c r="X2691" s="0" t="s">
        <v>153</v>
      </c>
      <c r="Y2691" s="0" t="s">
        <v>499</v>
      </c>
      <c r="AV2691" s="68"/>
      <c r="AW2691" s="68"/>
      <c r="AY2691" s="27"/>
      <c r="BD2691" s="68">
        <v>46054.1666666667</v>
      </c>
      <c r="BE2691" s="68">
        <v>46082.1666666667</v>
      </c>
      <c r="BF2691" s="0" t="b">
        <v>0</v>
      </c>
      <c r="BG2691" s="0" t="b">
        <v>0</v>
      </c>
      <c r="BH2691" s="0">
        <v>68</v>
      </c>
      <c r="BI2691" s="0">
        <v>68</v>
      </c>
      <c r="BJ2691" s="0" t="s">
        <v>135</v>
      </c>
    </row>
    <row r="2692">
      <c r="A2692" s="0" t="s">
        <v>2935</v>
      </c>
      <c r="B2692" s="0" t="s">
        <v>134</v>
      </c>
      <c r="C2692" s="0" t="s">
        <v>134</v>
      </c>
      <c r="D2692" s="0" t="s">
        <v>230</v>
      </c>
      <c r="E2692" s="0" t="s">
        <v>3</v>
      </c>
      <c r="F2692" s="0" t="s">
        <v>12</v>
      </c>
      <c r="G2692" s="0" t="s">
        <v>8</v>
      </c>
      <c r="H2692" s="0">
        <v>495</v>
      </c>
      <c r="I2692" s="0">
        <v>177</v>
      </c>
      <c r="J2692" s="0">
        <v>0</v>
      </c>
      <c r="K2692" s="0">
        <v>1</v>
      </c>
      <c r="L2692" s="0">
        <v>4</v>
      </c>
      <c r="M2692" s="0">
        <v>5</v>
      </c>
      <c r="N2692" s="0">
        <v>0</v>
      </c>
      <c r="O2692" s="0">
        <v>0</v>
      </c>
      <c r="P2692" s="0">
        <v>-177</v>
      </c>
      <c r="R2692" s="0" t="b">
        <v>0</v>
      </c>
      <c r="S2692" s="0" t="b">
        <v>1</v>
      </c>
      <c r="T2692" s="68">
        <v>45558.4645486111</v>
      </c>
      <c r="U2692" s="68">
        <v>45577.3333333333</v>
      </c>
      <c r="V2692" s="68">
        <v>0</v>
      </c>
      <c r="W2692" s="0">
        <f>IF(IF(B2692="none",1,IF(B2692="Trialer",1,0))+IF(C2692="Customer",1,IF(C2692="Lost",1,0))=2,1,0)</f>
      </c>
      <c r="X2692" s="0" t="s">
        <v>145</v>
      </c>
      <c r="Y2692" s="0" t="s">
        <v>243</v>
      </c>
      <c r="AV2692" s="68"/>
      <c r="AW2692" s="68"/>
      <c r="AY2692" s="27"/>
      <c r="BD2692" s="68">
        <v>46054.1666666667</v>
      </c>
      <c r="BE2692" s="68">
        <v>46082.1666666667</v>
      </c>
      <c r="BF2692" s="0" t="b">
        <v>0</v>
      </c>
      <c r="BG2692" s="0" t="b">
        <v>0</v>
      </c>
      <c r="BH2692" s="0">
        <v>236</v>
      </c>
      <c r="BI2692" s="0">
        <v>236</v>
      </c>
      <c r="BJ2692" s="0" t="s">
        <v>230</v>
      </c>
    </row>
    <row r="2693">
      <c r="A2693" s="0" t="s">
        <v>2936</v>
      </c>
      <c r="B2693" s="0" t="s">
        <v>134</v>
      </c>
      <c r="C2693" s="0" t="s">
        <v>134</v>
      </c>
      <c r="D2693" s="0" t="s">
        <v>230</v>
      </c>
      <c r="E2693" s="0" t="s">
        <v>3</v>
      </c>
      <c r="F2693" s="0" t="s">
        <v>12</v>
      </c>
      <c r="G2693" s="0" t="s">
        <v>8</v>
      </c>
      <c r="H2693" s="0">
        <v>495</v>
      </c>
      <c r="I2693" s="0">
        <v>99</v>
      </c>
      <c r="J2693" s="0">
        <v>0</v>
      </c>
      <c r="K2693" s="0">
        <v>1</v>
      </c>
      <c r="L2693" s="0">
        <v>4</v>
      </c>
      <c r="M2693" s="0">
        <v>2</v>
      </c>
      <c r="N2693" s="0">
        <v>0</v>
      </c>
      <c r="O2693" s="0">
        <v>0</v>
      </c>
      <c r="P2693" s="0">
        <v>-99</v>
      </c>
      <c r="R2693" s="0" t="b">
        <v>0</v>
      </c>
      <c r="S2693" s="0" t="b">
        <v>1</v>
      </c>
      <c r="T2693" s="68">
        <v>45558.9985069444</v>
      </c>
      <c r="U2693" s="68">
        <v>45566.3333333333</v>
      </c>
      <c r="V2693" s="68">
        <v>0</v>
      </c>
      <c r="W2693" s="0">
        <f>IF(IF(B2693="none",1,IF(B2693="Trialer",1,0))+IF(C2693="Customer",1,IF(C2693="Lost",1,0))=2,1,0)</f>
      </c>
      <c r="X2693" s="0" t="s">
        <v>166</v>
      </c>
      <c r="Y2693" s="0" t="s">
        <v>243</v>
      </c>
      <c r="AV2693" s="68"/>
      <c r="AW2693" s="68"/>
      <c r="AY2693" s="27"/>
      <c r="BD2693" s="68">
        <v>46054.1666666667</v>
      </c>
      <c r="BE2693" s="68">
        <v>46082.1666666667</v>
      </c>
      <c r="BF2693" s="0" t="b">
        <v>0</v>
      </c>
      <c r="BG2693" s="0" t="b">
        <v>0</v>
      </c>
      <c r="BH2693" s="0">
        <v>110</v>
      </c>
      <c r="BI2693" s="0">
        <v>110</v>
      </c>
      <c r="BJ2693" s="0" t="s">
        <v>230</v>
      </c>
    </row>
    <row r="2694">
      <c r="A2694" s="0" t="s">
        <v>2937</v>
      </c>
      <c r="B2694" s="0" t="s">
        <v>134</v>
      </c>
      <c r="C2694" s="0" t="s">
        <v>134</v>
      </c>
      <c r="D2694" s="0" t="s">
        <v>135</v>
      </c>
      <c r="E2694" s="0" t="s">
        <v>3</v>
      </c>
      <c r="F2694" s="0" t="s">
        <v>12</v>
      </c>
      <c r="G2694" s="0" t="s">
        <v>8</v>
      </c>
      <c r="H2694" s="0">
        <v>494</v>
      </c>
      <c r="I2694" s="0">
        <v>114</v>
      </c>
      <c r="J2694" s="0">
        <v>0</v>
      </c>
      <c r="K2694" s="0">
        <v>1</v>
      </c>
      <c r="L2694" s="0">
        <v>3</v>
      </c>
      <c r="M2694" s="0">
        <v>3</v>
      </c>
      <c r="N2694" s="0">
        <v>0</v>
      </c>
      <c r="O2694" s="0">
        <v>0</v>
      </c>
      <c r="P2694" s="0">
        <v>0</v>
      </c>
      <c r="R2694" s="0" t="b">
        <v>0</v>
      </c>
      <c r="S2694" s="0" t="b">
        <v>1</v>
      </c>
      <c r="T2694" s="68">
        <v>45559.5655555556</v>
      </c>
      <c r="U2694" s="68">
        <v>45575.3333333333</v>
      </c>
      <c r="V2694" s="68">
        <v>0</v>
      </c>
      <c r="W2694" s="0">
        <f>IF(IF(B2694="none",1,IF(B2694="Trialer",1,0))+IF(C2694="Customer",1,IF(C2694="Lost",1,0))=2,1,0)</f>
      </c>
      <c r="X2694" s="0" t="s">
        <v>166</v>
      </c>
      <c r="Y2694" s="0" t="s">
        <v>243</v>
      </c>
      <c r="AV2694" s="68"/>
      <c r="AW2694" s="68"/>
      <c r="AY2694" s="27"/>
      <c r="BD2694" s="68">
        <v>46054.1666666667</v>
      </c>
      <c r="BE2694" s="68">
        <v>46082.1666666667</v>
      </c>
      <c r="BF2694" s="0" t="b">
        <v>0</v>
      </c>
      <c r="BG2694" s="0" t="b">
        <v>0</v>
      </c>
      <c r="BH2694" s="0">
        <v>114</v>
      </c>
      <c r="BI2694" s="0">
        <v>114</v>
      </c>
      <c r="BJ2694" s="0" t="s">
        <v>135</v>
      </c>
    </row>
    <row r="2695">
      <c r="A2695" s="0" t="s">
        <v>2938</v>
      </c>
      <c r="B2695" s="0" t="s">
        <v>134</v>
      </c>
      <c r="C2695" s="0" t="s">
        <v>134</v>
      </c>
      <c r="D2695" s="0" t="s">
        <v>135</v>
      </c>
      <c r="E2695" s="0" t="s">
        <v>3</v>
      </c>
      <c r="F2695" s="0" t="s">
        <v>12</v>
      </c>
      <c r="G2695" s="0" t="s">
        <v>8</v>
      </c>
      <c r="H2695" s="0">
        <v>494</v>
      </c>
      <c r="I2695" s="0">
        <v>313</v>
      </c>
      <c r="J2695" s="0">
        <v>0</v>
      </c>
      <c r="K2695" s="0">
        <v>1</v>
      </c>
      <c r="L2695" s="0">
        <v>4</v>
      </c>
      <c r="M2695" s="0">
        <v>7</v>
      </c>
      <c r="N2695" s="0">
        <v>0</v>
      </c>
      <c r="O2695" s="0">
        <v>0</v>
      </c>
      <c r="P2695" s="0">
        <v>0</v>
      </c>
      <c r="R2695" s="0" t="b">
        <v>0</v>
      </c>
      <c r="S2695" s="0" t="b">
        <v>1</v>
      </c>
      <c r="T2695" s="68">
        <v>45559.7282638889</v>
      </c>
      <c r="U2695" s="68">
        <v>45560.3333333333</v>
      </c>
      <c r="V2695" s="68">
        <v>0</v>
      </c>
      <c r="W2695" s="0">
        <f>IF(IF(B2695="none",1,IF(B2695="Trialer",1,0))+IF(C2695="Customer",1,IF(C2695="Lost",1,0))=2,1,0)</f>
      </c>
      <c r="X2695" s="0" t="s">
        <v>145</v>
      </c>
      <c r="Y2695" s="0" t="s">
        <v>243</v>
      </c>
      <c r="AV2695" s="68"/>
      <c r="AW2695" s="68"/>
      <c r="AY2695" s="27"/>
      <c r="BD2695" s="68">
        <v>46054.1666666667</v>
      </c>
      <c r="BE2695" s="68">
        <v>46082.1666666667</v>
      </c>
      <c r="BF2695" s="0" t="b">
        <v>0</v>
      </c>
      <c r="BG2695" s="0" t="b">
        <v>0</v>
      </c>
      <c r="BH2695" s="0">
        <v>313</v>
      </c>
      <c r="BI2695" s="0">
        <v>313</v>
      </c>
      <c r="BJ2695" s="0" t="s">
        <v>135</v>
      </c>
    </row>
    <row r="2696">
      <c r="A2696" s="0" t="s">
        <v>2939</v>
      </c>
      <c r="B2696" s="0" t="s">
        <v>134</v>
      </c>
      <c r="C2696" s="0" t="s">
        <v>134</v>
      </c>
      <c r="D2696" s="0" t="s">
        <v>135</v>
      </c>
      <c r="E2696" s="0" t="s">
        <v>3</v>
      </c>
      <c r="F2696" s="0" t="s">
        <v>10</v>
      </c>
      <c r="G2696" s="0" t="s">
        <v>8</v>
      </c>
      <c r="H2696" s="0">
        <v>493</v>
      </c>
      <c r="I2696" s="0">
        <v>697</v>
      </c>
      <c r="J2696" s="0">
        <v>0</v>
      </c>
      <c r="K2696" s="0">
        <v>1</v>
      </c>
      <c r="L2696" s="0">
        <v>4</v>
      </c>
      <c r="M2696" s="0">
        <v>13</v>
      </c>
      <c r="N2696" s="0">
        <v>0</v>
      </c>
      <c r="O2696" s="0">
        <v>0</v>
      </c>
      <c r="P2696" s="0">
        <v>0</v>
      </c>
      <c r="Q2696" s="0" t="s">
        <v>1919</v>
      </c>
      <c r="R2696" s="0" t="b">
        <v>0</v>
      </c>
      <c r="S2696" s="0" t="b">
        <v>1</v>
      </c>
      <c r="T2696" s="68">
        <v>45560.3821412037</v>
      </c>
      <c r="U2696" s="68">
        <v>45574.3333333333</v>
      </c>
      <c r="V2696" s="68">
        <v>0</v>
      </c>
      <c r="W2696" s="0">
        <f>IF(IF(B2696="none",1,IF(B2696="Trialer",1,0))+IF(C2696="Customer",1,IF(C2696="Lost",1,0))=2,1,0)</f>
      </c>
      <c r="X2696" s="0" t="s">
        <v>145</v>
      </c>
      <c r="Y2696" s="0" t="s">
        <v>1792</v>
      </c>
      <c r="AV2696" s="68"/>
      <c r="AW2696" s="68"/>
      <c r="AY2696" s="27"/>
      <c r="BD2696" s="68">
        <v>46054.1666666667</v>
      </c>
      <c r="BE2696" s="68">
        <v>46082.1666666667</v>
      </c>
      <c r="BF2696" s="0" t="b">
        <v>0</v>
      </c>
      <c r="BG2696" s="0" t="b">
        <v>0</v>
      </c>
      <c r="BH2696" s="0">
        <v>697</v>
      </c>
      <c r="BI2696" s="0">
        <v>697</v>
      </c>
      <c r="BJ2696" s="0" t="s">
        <v>135</v>
      </c>
    </row>
    <row r="2697">
      <c r="A2697" s="0" t="s">
        <v>2940</v>
      </c>
      <c r="B2697" s="0" t="s">
        <v>134</v>
      </c>
      <c r="C2697" s="0" t="s">
        <v>134</v>
      </c>
      <c r="D2697" s="0" t="s">
        <v>135</v>
      </c>
      <c r="E2697" s="0" t="s">
        <v>3</v>
      </c>
      <c r="F2697" s="0" t="s">
        <v>12</v>
      </c>
      <c r="G2697" s="0" t="s">
        <v>8</v>
      </c>
      <c r="H2697" s="0">
        <v>493</v>
      </c>
      <c r="I2697" s="0">
        <v>571</v>
      </c>
      <c r="J2697" s="0">
        <v>0</v>
      </c>
      <c r="K2697" s="0">
        <v>1</v>
      </c>
      <c r="L2697" s="0">
        <v>4</v>
      </c>
      <c r="M2697" s="0">
        <v>13</v>
      </c>
      <c r="N2697" s="0">
        <v>0</v>
      </c>
      <c r="O2697" s="0">
        <v>0</v>
      </c>
      <c r="P2697" s="0">
        <v>0</v>
      </c>
      <c r="R2697" s="0" t="b">
        <v>0</v>
      </c>
      <c r="S2697" s="0" t="b">
        <v>1</v>
      </c>
      <c r="T2697" s="68">
        <v>45560.4811689815</v>
      </c>
      <c r="U2697" s="68">
        <v>45574.3333333333</v>
      </c>
      <c r="V2697" s="68">
        <v>0</v>
      </c>
      <c r="W2697" s="0">
        <f>IF(IF(B2697="none",1,IF(B2697="Trialer",1,0))+IF(C2697="Customer",1,IF(C2697="Lost",1,0))=2,1,0)</f>
      </c>
      <c r="X2697" s="0" t="s">
        <v>882</v>
      </c>
      <c r="Y2697" s="0" t="s">
        <v>243</v>
      </c>
      <c r="AV2697" s="68"/>
      <c r="AW2697" s="68"/>
      <c r="AY2697" s="27"/>
      <c r="BD2697" s="68">
        <v>46054.1666666667</v>
      </c>
      <c r="BE2697" s="68">
        <v>46082.1666666667</v>
      </c>
      <c r="BF2697" s="0" t="b">
        <v>0</v>
      </c>
      <c r="BG2697" s="0" t="b">
        <v>0</v>
      </c>
      <c r="BH2697" s="0">
        <v>571</v>
      </c>
      <c r="BI2697" s="0">
        <v>571</v>
      </c>
      <c r="BJ2697" s="0" t="s">
        <v>135</v>
      </c>
    </row>
    <row r="2698">
      <c r="A2698" s="0" t="s">
        <v>2941</v>
      </c>
      <c r="B2698" s="0" t="s">
        <v>134</v>
      </c>
      <c r="C2698" s="0" t="s">
        <v>134</v>
      </c>
      <c r="D2698" s="0" t="s">
        <v>230</v>
      </c>
      <c r="E2698" s="0" t="s">
        <v>2</v>
      </c>
      <c r="F2698" s="0" t="s">
        <v>12</v>
      </c>
      <c r="G2698" s="0" t="s">
        <v>8</v>
      </c>
      <c r="H2698" s="0">
        <v>493</v>
      </c>
      <c r="I2698" s="0">
        <v>36</v>
      </c>
      <c r="J2698" s="0">
        <v>0</v>
      </c>
      <c r="K2698" s="0">
        <v>1</v>
      </c>
      <c r="L2698" s="0">
        <v>2</v>
      </c>
      <c r="M2698" s="0">
        <v>1</v>
      </c>
      <c r="N2698" s="0">
        <v>0</v>
      </c>
      <c r="O2698" s="0">
        <v>0</v>
      </c>
      <c r="P2698" s="0">
        <v>-36</v>
      </c>
      <c r="R2698" s="0" t="b">
        <v>0</v>
      </c>
      <c r="S2698" s="0" t="b">
        <v>1</v>
      </c>
      <c r="T2698" s="68">
        <v>45560.5465277778</v>
      </c>
      <c r="U2698" s="68">
        <v>45574.3333333333</v>
      </c>
      <c r="V2698" s="68">
        <v>0</v>
      </c>
      <c r="W2698" s="0">
        <f>IF(IF(B2698="none",1,IF(B2698="Trialer",1,0))+IF(C2698="Customer",1,IF(C2698="Lost",1,0))=2,1,0)</f>
      </c>
      <c r="X2698" s="0" t="s">
        <v>653</v>
      </c>
      <c r="Y2698" s="0" t="s">
        <v>499</v>
      </c>
      <c r="AV2698" s="68"/>
      <c r="AW2698" s="68"/>
      <c r="AY2698" s="27"/>
      <c r="BD2698" s="68">
        <v>46054.1666666667</v>
      </c>
      <c r="BE2698" s="68">
        <v>46082.1666666667</v>
      </c>
      <c r="BF2698" s="0" t="b">
        <v>0</v>
      </c>
      <c r="BG2698" s="0" t="b">
        <v>0</v>
      </c>
      <c r="BH2698" s="0">
        <v>40</v>
      </c>
      <c r="BI2698" s="0">
        <v>40</v>
      </c>
      <c r="BJ2698" s="0" t="s">
        <v>230</v>
      </c>
    </row>
    <row r="2699">
      <c r="A2699" s="0" t="s">
        <v>2942</v>
      </c>
      <c r="B2699" s="0" t="s">
        <v>134</v>
      </c>
      <c r="C2699" s="0" t="s">
        <v>134</v>
      </c>
      <c r="D2699" s="0" t="s">
        <v>230</v>
      </c>
      <c r="E2699" s="0" t="s">
        <v>3</v>
      </c>
      <c r="F2699" s="0" t="s">
        <v>12</v>
      </c>
      <c r="G2699" s="0" t="s">
        <v>8</v>
      </c>
      <c r="H2699" s="0">
        <v>493</v>
      </c>
      <c r="I2699" s="0">
        <v>164.7</v>
      </c>
      <c r="J2699" s="0">
        <v>0</v>
      </c>
      <c r="K2699" s="0">
        <v>1</v>
      </c>
      <c r="L2699" s="0">
        <v>5</v>
      </c>
      <c r="M2699" s="0">
        <v>3</v>
      </c>
      <c r="N2699" s="0">
        <v>0</v>
      </c>
      <c r="O2699" s="0">
        <v>0</v>
      </c>
      <c r="P2699" s="0">
        <v>-164.7</v>
      </c>
      <c r="R2699" s="0" t="b">
        <v>0</v>
      </c>
      <c r="S2699" s="0" t="b">
        <v>1</v>
      </c>
      <c r="T2699" s="68">
        <v>45560.5762615741</v>
      </c>
      <c r="U2699" s="68">
        <v>45574.3333333333</v>
      </c>
      <c r="V2699" s="68">
        <v>0</v>
      </c>
      <c r="W2699" s="0">
        <f>IF(IF(B2699="none",1,IF(B2699="Trialer",1,0))+IF(C2699="Customer",1,IF(C2699="Lost",1,0))=2,1,0)</f>
      </c>
      <c r="X2699" s="0" t="s">
        <v>166</v>
      </c>
      <c r="Y2699" s="0" t="s">
        <v>243</v>
      </c>
      <c r="AV2699" s="68"/>
      <c r="AW2699" s="68"/>
      <c r="AY2699" s="27"/>
      <c r="BD2699" s="68">
        <v>46054.1666666667</v>
      </c>
      <c r="BE2699" s="68">
        <v>46082.1666666667</v>
      </c>
      <c r="BF2699" s="0" t="b">
        <v>0</v>
      </c>
      <c r="BG2699" s="0" t="b">
        <v>0</v>
      </c>
      <c r="BH2699" s="0">
        <v>183</v>
      </c>
      <c r="BI2699" s="0">
        <v>183</v>
      </c>
      <c r="BJ2699" s="0" t="s">
        <v>230</v>
      </c>
    </row>
    <row r="2700">
      <c r="A2700" s="0" t="s">
        <v>2943</v>
      </c>
      <c r="B2700" s="0" t="s">
        <v>134</v>
      </c>
      <c r="C2700" s="0" t="s">
        <v>134</v>
      </c>
      <c r="D2700" s="0" t="s">
        <v>135</v>
      </c>
      <c r="E2700" s="0" t="s">
        <v>3</v>
      </c>
      <c r="F2700" s="0" t="s">
        <v>12</v>
      </c>
      <c r="G2700" s="0" t="s">
        <v>8</v>
      </c>
      <c r="H2700" s="0">
        <v>493</v>
      </c>
      <c r="I2700" s="0">
        <v>340</v>
      </c>
      <c r="J2700" s="0">
        <v>0</v>
      </c>
      <c r="K2700" s="0">
        <v>1</v>
      </c>
      <c r="L2700" s="0">
        <v>3</v>
      </c>
      <c r="M2700" s="0">
        <v>12</v>
      </c>
      <c r="N2700" s="0">
        <v>0</v>
      </c>
      <c r="O2700" s="0">
        <v>0</v>
      </c>
      <c r="P2700" s="0">
        <v>0</v>
      </c>
      <c r="R2700" s="0" t="b">
        <v>0</v>
      </c>
      <c r="S2700" s="0" t="b">
        <v>1</v>
      </c>
      <c r="T2700" s="68">
        <v>45560.6061921296</v>
      </c>
      <c r="U2700" s="68">
        <v>45581.3333333333</v>
      </c>
      <c r="V2700" s="68">
        <v>0</v>
      </c>
      <c r="W2700" s="0">
        <f>IF(IF(B2700="none",1,IF(B2700="Trialer",1,0))+IF(C2700="Customer",1,IF(C2700="Lost",1,0))=2,1,0)</f>
      </c>
      <c r="X2700" s="0" t="s">
        <v>136</v>
      </c>
      <c r="Y2700" s="0" t="s">
        <v>243</v>
      </c>
      <c r="AV2700" s="68"/>
      <c r="AW2700" s="68"/>
      <c r="AY2700" s="27"/>
      <c r="BD2700" s="68">
        <v>46054.1666666667</v>
      </c>
      <c r="BE2700" s="68">
        <v>46082.1666666667</v>
      </c>
      <c r="BF2700" s="0" t="b">
        <v>0</v>
      </c>
      <c r="BG2700" s="0" t="b">
        <v>0</v>
      </c>
      <c r="BH2700" s="0">
        <v>340</v>
      </c>
      <c r="BI2700" s="0">
        <v>340</v>
      </c>
      <c r="BJ2700" s="0" t="s">
        <v>135</v>
      </c>
    </row>
    <row r="2701">
      <c r="A2701" s="0" t="s">
        <v>2944</v>
      </c>
      <c r="B2701" s="0" t="s">
        <v>134</v>
      </c>
      <c r="C2701" s="0" t="s">
        <v>134</v>
      </c>
      <c r="D2701" s="0" t="s">
        <v>135</v>
      </c>
      <c r="E2701" s="0" t="s">
        <v>3</v>
      </c>
      <c r="F2701" s="0" t="s">
        <v>12</v>
      </c>
      <c r="G2701" s="0" t="s">
        <v>8</v>
      </c>
      <c r="H2701" s="0">
        <v>493</v>
      </c>
      <c r="I2701" s="0">
        <v>236</v>
      </c>
      <c r="J2701" s="0">
        <v>0</v>
      </c>
      <c r="K2701" s="0">
        <v>1</v>
      </c>
      <c r="L2701" s="0">
        <v>3</v>
      </c>
      <c r="M2701" s="0">
        <v>5</v>
      </c>
      <c r="N2701" s="0">
        <v>0</v>
      </c>
      <c r="O2701" s="0">
        <v>0</v>
      </c>
      <c r="P2701" s="0">
        <v>0</v>
      </c>
      <c r="R2701" s="0" t="b">
        <v>0</v>
      </c>
      <c r="S2701" s="0" t="b">
        <v>1</v>
      </c>
      <c r="T2701" s="68">
        <v>45560.6414236111</v>
      </c>
      <c r="U2701" s="68">
        <v>45560.3333333333</v>
      </c>
      <c r="V2701" s="68">
        <v>0</v>
      </c>
      <c r="W2701" s="0">
        <f>IF(IF(B2701="none",1,IF(B2701="Trialer",1,0))+IF(C2701="Customer",1,IF(C2701="Lost",1,0))=2,1,0)</f>
      </c>
      <c r="X2701" s="0" t="s">
        <v>145</v>
      </c>
      <c r="Y2701" s="0" t="s">
        <v>243</v>
      </c>
      <c r="AV2701" s="68"/>
      <c r="AW2701" s="68"/>
      <c r="AY2701" s="27"/>
      <c r="BD2701" s="68">
        <v>46054.1666666667</v>
      </c>
      <c r="BE2701" s="68">
        <v>46082.1666666667</v>
      </c>
      <c r="BF2701" s="0" t="b">
        <v>0</v>
      </c>
      <c r="BG2701" s="0" t="b">
        <v>0</v>
      </c>
      <c r="BH2701" s="0">
        <v>236</v>
      </c>
      <c r="BI2701" s="0">
        <v>236</v>
      </c>
      <c r="BJ2701" s="0" t="s">
        <v>135</v>
      </c>
    </row>
    <row r="2702">
      <c r="A2702" s="0" t="s">
        <v>2945</v>
      </c>
      <c r="B2702" s="0" t="s">
        <v>134</v>
      </c>
      <c r="C2702" s="0" t="s">
        <v>134</v>
      </c>
      <c r="D2702" s="0" t="s">
        <v>230</v>
      </c>
      <c r="E2702" s="0" t="s">
        <v>3</v>
      </c>
      <c r="F2702" s="0" t="s">
        <v>12</v>
      </c>
      <c r="G2702" s="0" t="s">
        <v>8</v>
      </c>
      <c r="H2702" s="0">
        <v>493</v>
      </c>
      <c r="I2702" s="0">
        <v>164.7</v>
      </c>
      <c r="J2702" s="0">
        <v>0</v>
      </c>
      <c r="K2702" s="0">
        <v>1</v>
      </c>
      <c r="L2702" s="0">
        <v>3</v>
      </c>
      <c r="M2702" s="0">
        <v>5</v>
      </c>
      <c r="N2702" s="0">
        <v>0</v>
      </c>
      <c r="O2702" s="0">
        <v>0</v>
      </c>
      <c r="P2702" s="0">
        <v>-164.7</v>
      </c>
      <c r="R2702" s="0" t="b">
        <v>0</v>
      </c>
      <c r="S2702" s="0" t="b">
        <v>1</v>
      </c>
      <c r="T2702" s="68">
        <v>45560.9853356481</v>
      </c>
      <c r="U2702" s="68">
        <v>45574.3333333333</v>
      </c>
      <c r="V2702" s="68">
        <v>0</v>
      </c>
      <c r="W2702" s="0">
        <f>IF(IF(B2702="none",1,IF(B2702="Trialer",1,0))+IF(C2702="Customer",1,IF(C2702="Lost",1,0))=2,1,0)</f>
      </c>
      <c r="X2702" s="0" t="s">
        <v>153</v>
      </c>
      <c r="Y2702" s="0" t="s">
        <v>243</v>
      </c>
      <c r="AV2702" s="68"/>
      <c r="AW2702" s="68"/>
      <c r="AY2702" s="27"/>
      <c r="BD2702" s="68">
        <v>46054.1666666667</v>
      </c>
      <c r="BE2702" s="68">
        <v>46082.1666666667</v>
      </c>
      <c r="BF2702" s="0" t="b">
        <v>0</v>
      </c>
      <c r="BG2702" s="0" t="b">
        <v>0</v>
      </c>
      <c r="BH2702" s="0">
        <v>67</v>
      </c>
      <c r="BI2702" s="0">
        <v>67</v>
      </c>
      <c r="BJ2702" s="0" t="s">
        <v>230</v>
      </c>
    </row>
    <row r="2703">
      <c r="A2703" s="0" t="s">
        <v>2946</v>
      </c>
      <c r="B2703" s="0" t="s">
        <v>134</v>
      </c>
      <c r="C2703" s="0" t="s">
        <v>134</v>
      </c>
      <c r="D2703" s="0" t="s">
        <v>135</v>
      </c>
      <c r="E2703" s="0" t="s">
        <v>3</v>
      </c>
      <c r="F2703" s="0" t="s">
        <v>10</v>
      </c>
      <c r="G2703" s="0" t="s">
        <v>8</v>
      </c>
      <c r="H2703" s="0">
        <v>492</v>
      </c>
      <c r="I2703" s="0">
        <v>180</v>
      </c>
      <c r="J2703" s="0">
        <v>0</v>
      </c>
      <c r="K2703" s="0">
        <v>1</v>
      </c>
      <c r="L2703" s="0">
        <v>2</v>
      </c>
      <c r="M2703" s="0">
        <v>6</v>
      </c>
      <c r="N2703" s="0">
        <v>0</v>
      </c>
      <c r="O2703" s="0">
        <v>0</v>
      </c>
      <c r="P2703" s="0">
        <v>0</v>
      </c>
      <c r="Q2703" s="0" t="s">
        <v>618</v>
      </c>
      <c r="R2703" s="0" t="b">
        <v>0</v>
      </c>
      <c r="S2703" s="0" t="b">
        <v>1</v>
      </c>
      <c r="T2703" s="68">
        <v>45561.5560648148</v>
      </c>
      <c r="U2703" s="68">
        <v>45582.3333333333</v>
      </c>
      <c r="V2703" s="68">
        <v>0</v>
      </c>
      <c r="W2703" s="0">
        <f>IF(IF(B2703="none",1,IF(B2703="Trialer",1,0))+IF(C2703="Customer",1,IF(C2703="Lost",1,0))=2,1,0)</f>
      </c>
      <c r="X2703" s="0" t="s">
        <v>148</v>
      </c>
      <c r="Y2703" s="0" t="s">
        <v>243</v>
      </c>
      <c r="AV2703" s="68"/>
      <c r="AW2703" s="68"/>
      <c r="AY2703" s="27"/>
      <c r="BD2703" s="68">
        <v>46054.1666666667</v>
      </c>
      <c r="BE2703" s="68">
        <v>46082.1666666667</v>
      </c>
      <c r="BF2703" s="0" t="b">
        <v>0</v>
      </c>
      <c r="BG2703" s="0" t="b">
        <v>0</v>
      </c>
      <c r="BH2703" s="0">
        <v>180</v>
      </c>
      <c r="BI2703" s="0">
        <v>180</v>
      </c>
      <c r="BJ2703" s="0" t="s">
        <v>135</v>
      </c>
    </row>
    <row r="2704">
      <c r="A2704" s="0" t="s">
        <v>2947</v>
      </c>
      <c r="B2704" s="0" t="s">
        <v>134</v>
      </c>
      <c r="C2704" s="0" t="s">
        <v>134</v>
      </c>
      <c r="D2704" s="0" t="s">
        <v>135</v>
      </c>
      <c r="E2704" s="0" t="s">
        <v>2</v>
      </c>
      <c r="F2704" s="0" t="s">
        <v>12</v>
      </c>
      <c r="G2704" s="0" t="s">
        <v>8</v>
      </c>
      <c r="H2704" s="0">
        <v>492</v>
      </c>
      <c r="I2704" s="0">
        <v>435</v>
      </c>
      <c r="J2704" s="0">
        <v>0</v>
      </c>
      <c r="K2704" s="0">
        <v>1</v>
      </c>
      <c r="L2704" s="0">
        <v>4</v>
      </c>
      <c r="M2704" s="0">
        <v>2</v>
      </c>
      <c r="N2704" s="0">
        <v>0</v>
      </c>
      <c r="O2704" s="0">
        <v>0</v>
      </c>
      <c r="P2704" s="0">
        <v>0</v>
      </c>
      <c r="R2704" s="0" t="b">
        <v>0</v>
      </c>
      <c r="S2704" s="0" t="b">
        <v>1</v>
      </c>
      <c r="T2704" s="68">
        <v>45561.6875925926</v>
      </c>
      <c r="U2704" s="68">
        <v>45562.3333333333</v>
      </c>
      <c r="V2704" s="68">
        <v>0</v>
      </c>
      <c r="W2704" s="0">
        <f>IF(IF(B2704="none",1,IF(B2704="Trialer",1,0))+IF(C2704="Customer",1,IF(C2704="Lost",1,0))=2,1,0)</f>
      </c>
      <c r="X2704" s="0" t="s">
        <v>145</v>
      </c>
      <c r="Y2704" s="0" t="s">
        <v>499</v>
      </c>
      <c r="AV2704" s="68"/>
      <c r="AW2704" s="68"/>
      <c r="AY2704" s="27"/>
      <c r="BD2704" s="68">
        <v>46054.1666666667</v>
      </c>
      <c r="BE2704" s="68">
        <v>46082.1666666667</v>
      </c>
      <c r="BF2704" s="0" t="b">
        <v>0</v>
      </c>
      <c r="BG2704" s="0" t="b">
        <v>0</v>
      </c>
      <c r="BH2704" s="0">
        <v>110</v>
      </c>
      <c r="BI2704" s="0">
        <v>110</v>
      </c>
      <c r="BJ2704" s="0" t="s">
        <v>135</v>
      </c>
    </row>
    <row r="2705">
      <c r="A2705" s="0" t="s">
        <v>2948</v>
      </c>
      <c r="B2705" s="0" t="s">
        <v>134</v>
      </c>
      <c r="C2705" s="0" t="s">
        <v>190</v>
      </c>
      <c r="D2705" s="0" t="s">
        <v>135</v>
      </c>
      <c r="E2705" s="0" t="s">
        <v>3</v>
      </c>
      <c r="F2705" s="0" t="s">
        <v>12</v>
      </c>
      <c r="G2705" s="0" t="s">
        <v>8</v>
      </c>
      <c r="H2705" s="0">
        <v>492</v>
      </c>
      <c r="I2705" s="0">
        <v>61</v>
      </c>
      <c r="J2705" s="0">
        <v>0</v>
      </c>
      <c r="K2705" s="0">
        <v>1</v>
      </c>
      <c r="L2705" s="0">
        <v>4</v>
      </c>
      <c r="M2705" s="0">
        <v>1</v>
      </c>
      <c r="N2705" s="0">
        <v>0</v>
      </c>
      <c r="O2705" s="0">
        <v>0</v>
      </c>
      <c r="P2705" s="0">
        <v>0</v>
      </c>
      <c r="R2705" s="0" t="b">
        <v>0</v>
      </c>
      <c r="S2705" s="0" t="b">
        <v>0</v>
      </c>
      <c r="T2705" s="68">
        <v>45561.8772453704</v>
      </c>
      <c r="U2705" s="68">
        <v>45576.3333333333</v>
      </c>
      <c r="V2705" s="68">
        <v>46077.4396643518</v>
      </c>
      <c r="W2705" s="0">
        <f>IF(IF(B2705="none",1,IF(B2705="Trialer",1,0))+IF(C2705="Customer",1,IF(C2705="Lost",1,0))=2,1,0)</f>
      </c>
      <c r="X2705" s="0" t="s">
        <v>166</v>
      </c>
      <c r="Y2705" s="0" t="s">
        <v>2664</v>
      </c>
      <c r="AV2705" s="68"/>
      <c r="AW2705" s="68"/>
      <c r="AY2705" s="27"/>
      <c r="BD2705" s="68">
        <v>46054.1666666667</v>
      </c>
      <c r="BE2705" s="68">
        <v>46082.1666666667</v>
      </c>
      <c r="BF2705" s="0" t="b">
        <v>0</v>
      </c>
      <c r="BG2705" s="0" t="b">
        <v>0</v>
      </c>
      <c r="BH2705" s="0">
        <v>61</v>
      </c>
      <c r="BI2705" s="0">
        <v>61</v>
      </c>
      <c r="BJ2705" s="0" t="s">
        <v>135</v>
      </c>
    </row>
    <row r="2706">
      <c r="A2706" s="0" t="s">
        <v>2949</v>
      </c>
      <c r="B2706" s="0" t="s">
        <v>134</v>
      </c>
      <c r="C2706" s="0" t="s">
        <v>134</v>
      </c>
      <c r="D2706" s="0" t="s">
        <v>230</v>
      </c>
      <c r="E2706" s="0" t="s">
        <v>3</v>
      </c>
      <c r="F2706" s="0" t="s">
        <v>12</v>
      </c>
      <c r="G2706" s="0" t="s">
        <v>8</v>
      </c>
      <c r="H2706" s="0">
        <v>489</v>
      </c>
      <c r="I2706" s="0">
        <v>1298.8</v>
      </c>
      <c r="J2706" s="0">
        <v>0</v>
      </c>
      <c r="K2706" s="0">
        <v>1</v>
      </c>
      <c r="L2706" s="0">
        <v>5</v>
      </c>
      <c r="M2706" s="0">
        <v>20</v>
      </c>
      <c r="N2706" s="0">
        <v>0</v>
      </c>
      <c r="O2706" s="0">
        <v>0</v>
      </c>
      <c r="P2706" s="0">
        <v>-973.8</v>
      </c>
      <c r="R2706" s="0" t="b">
        <v>0</v>
      </c>
      <c r="S2706" s="0" t="b">
        <v>1</v>
      </c>
      <c r="T2706" s="68">
        <v>45564.8229166667</v>
      </c>
      <c r="U2706" s="68">
        <v>45581.3333333333</v>
      </c>
      <c r="V2706" s="68">
        <v>0</v>
      </c>
      <c r="W2706" s="0">
        <f>IF(IF(B2706="none",1,IF(B2706="Trialer",1,0))+IF(C2706="Customer",1,IF(C2706="Lost",1,0))=2,1,0)</f>
      </c>
      <c r="X2706" s="0" t="s">
        <v>882</v>
      </c>
      <c r="Y2706" s="0" t="s">
        <v>243</v>
      </c>
      <c r="AV2706" s="68"/>
      <c r="AW2706" s="68"/>
      <c r="AY2706" s="27"/>
      <c r="BD2706" s="68">
        <v>46054.1666666667</v>
      </c>
      <c r="BE2706" s="68">
        <v>46082.1666666667</v>
      </c>
      <c r="BF2706" s="0" t="b">
        <v>0</v>
      </c>
      <c r="BG2706" s="0" t="b">
        <v>0</v>
      </c>
      <c r="BH2706" s="0">
        <v>1094</v>
      </c>
      <c r="BI2706" s="0">
        <v>1094</v>
      </c>
      <c r="BJ2706" s="0" t="s">
        <v>230</v>
      </c>
    </row>
    <row r="2707">
      <c r="A2707" s="0" t="s">
        <v>2950</v>
      </c>
      <c r="B2707" s="0" t="s">
        <v>134</v>
      </c>
      <c r="C2707" s="0" t="s">
        <v>134</v>
      </c>
      <c r="D2707" s="0" t="s">
        <v>135</v>
      </c>
      <c r="E2707" s="0" t="s">
        <v>3</v>
      </c>
      <c r="F2707" s="0" t="s">
        <v>11</v>
      </c>
      <c r="G2707" s="0" t="s">
        <v>8</v>
      </c>
      <c r="H2707" s="0">
        <v>488</v>
      </c>
      <c r="I2707" s="0">
        <v>117.6</v>
      </c>
      <c r="J2707" s="0">
        <v>0</v>
      </c>
      <c r="K2707" s="0">
        <v>1</v>
      </c>
      <c r="L2707" s="0">
        <v>3</v>
      </c>
      <c r="M2707" s="0">
        <v>3</v>
      </c>
      <c r="N2707" s="0">
        <v>0</v>
      </c>
      <c r="O2707" s="0">
        <v>0</v>
      </c>
      <c r="P2707" s="0">
        <v>0</v>
      </c>
      <c r="Q2707" s="0" t="s">
        <v>1743</v>
      </c>
      <c r="R2707" s="0" t="b">
        <v>1</v>
      </c>
      <c r="S2707" s="0" t="b">
        <v>1</v>
      </c>
      <c r="T2707" s="68">
        <v>45565.6199305556</v>
      </c>
      <c r="U2707" s="68">
        <v>45565.3333333333</v>
      </c>
      <c r="V2707" s="68">
        <v>0</v>
      </c>
      <c r="W2707" s="0">
        <f>IF(IF(B2707="none",1,IF(B2707="Trialer",1,0))+IF(C2707="Customer",1,IF(C2707="Lost",1,0))=2,1,0)</f>
      </c>
      <c r="X2707" s="0" t="s">
        <v>145</v>
      </c>
      <c r="Y2707" s="0" t="s">
        <v>243</v>
      </c>
      <c r="AV2707" s="68"/>
      <c r="AW2707" s="68"/>
      <c r="AY2707" s="27"/>
      <c r="BD2707" s="68">
        <v>46054.1666666667</v>
      </c>
      <c r="BE2707" s="68">
        <v>46082.1666666667</v>
      </c>
      <c r="BF2707" s="0" t="b">
        <v>0</v>
      </c>
      <c r="BG2707" s="0" t="b">
        <v>0</v>
      </c>
      <c r="BH2707" s="0">
        <v>117.6</v>
      </c>
      <c r="BI2707" s="0">
        <v>117.6</v>
      </c>
      <c r="BJ2707" s="0" t="s">
        <v>135</v>
      </c>
    </row>
    <row r="2708">
      <c r="A2708" s="0" t="s">
        <v>2951</v>
      </c>
      <c r="B2708" s="0" t="s">
        <v>134</v>
      </c>
      <c r="C2708" s="0" t="s">
        <v>134</v>
      </c>
      <c r="D2708" s="0" t="s">
        <v>135</v>
      </c>
      <c r="E2708" s="0" t="s">
        <v>3</v>
      </c>
      <c r="F2708" s="0" t="s">
        <v>12</v>
      </c>
      <c r="G2708" s="0" t="s">
        <v>8</v>
      </c>
      <c r="H2708" s="0">
        <v>487</v>
      </c>
      <c r="I2708" s="0">
        <v>260</v>
      </c>
      <c r="J2708" s="0">
        <v>0</v>
      </c>
      <c r="K2708" s="0">
        <v>1</v>
      </c>
      <c r="L2708" s="0">
        <v>5</v>
      </c>
      <c r="M2708" s="0">
        <v>5</v>
      </c>
      <c r="N2708" s="0">
        <v>0</v>
      </c>
      <c r="O2708" s="0">
        <v>0</v>
      </c>
      <c r="P2708" s="0">
        <v>0</v>
      </c>
      <c r="R2708" s="0" t="b">
        <v>0</v>
      </c>
      <c r="S2708" s="0" t="b">
        <v>1</v>
      </c>
      <c r="T2708" s="68">
        <v>45566.5522222222</v>
      </c>
      <c r="U2708" s="68">
        <v>45586.3333333333</v>
      </c>
      <c r="V2708" s="68">
        <v>0</v>
      </c>
      <c r="W2708" s="0">
        <f>IF(IF(B2708="none",1,IF(B2708="Trialer",1,0))+IF(C2708="Customer",1,IF(C2708="Lost",1,0))=2,1,0)</f>
      </c>
      <c r="X2708" s="0" t="s">
        <v>145</v>
      </c>
      <c r="Y2708" s="0" t="s">
        <v>243</v>
      </c>
      <c r="AV2708" s="68"/>
      <c r="AW2708" s="68"/>
      <c r="AY2708" s="27"/>
      <c r="BD2708" s="68">
        <v>46054.1666666667</v>
      </c>
      <c r="BE2708" s="68">
        <v>46082.1666666667</v>
      </c>
      <c r="BF2708" s="0" t="b">
        <v>0</v>
      </c>
      <c r="BG2708" s="0" t="b">
        <v>0</v>
      </c>
      <c r="BH2708" s="0">
        <v>260</v>
      </c>
      <c r="BI2708" s="0">
        <v>260</v>
      </c>
      <c r="BJ2708" s="0" t="s">
        <v>135</v>
      </c>
    </row>
    <row r="2709">
      <c r="A2709" s="0" t="s">
        <v>2952</v>
      </c>
      <c r="B2709" s="0" t="s">
        <v>134</v>
      </c>
      <c r="C2709" s="0" t="s">
        <v>134</v>
      </c>
      <c r="D2709" s="0" t="s">
        <v>135</v>
      </c>
      <c r="E2709" s="0" t="s">
        <v>3</v>
      </c>
      <c r="F2709" s="0" t="s">
        <v>12</v>
      </c>
      <c r="G2709" s="0" t="s">
        <v>8</v>
      </c>
      <c r="H2709" s="0">
        <v>487</v>
      </c>
      <c r="I2709" s="0">
        <v>211</v>
      </c>
      <c r="J2709" s="0">
        <v>0</v>
      </c>
      <c r="K2709" s="0">
        <v>1</v>
      </c>
      <c r="L2709" s="0">
        <v>3</v>
      </c>
      <c r="M2709" s="0">
        <v>6</v>
      </c>
      <c r="N2709" s="0">
        <v>0</v>
      </c>
      <c r="O2709" s="0">
        <v>0</v>
      </c>
      <c r="P2709" s="0">
        <v>0</v>
      </c>
      <c r="R2709" s="0" t="b">
        <v>0</v>
      </c>
      <c r="S2709" s="0" t="b">
        <v>1</v>
      </c>
      <c r="T2709" s="68">
        <v>45566.5886574074</v>
      </c>
      <c r="U2709" s="68">
        <v>45582.3333333333</v>
      </c>
      <c r="V2709" s="68">
        <v>0</v>
      </c>
      <c r="W2709" s="0">
        <f>IF(IF(B2709="none",1,IF(B2709="Trialer",1,0))+IF(C2709="Customer",1,IF(C2709="Lost",1,0))=2,1,0)</f>
      </c>
      <c r="X2709" s="0" t="s">
        <v>136</v>
      </c>
      <c r="Y2709" s="0" t="s">
        <v>243</v>
      </c>
      <c r="AV2709" s="68"/>
      <c r="AW2709" s="68"/>
      <c r="AY2709" s="27"/>
      <c r="BD2709" s="68">
        <v>46054.1666666667</v>
      </c>
      <c r="BE2709" s="68">
        <v>46082.1666666667</v>
      </c>
      <c r="BF2709" s="0" t="b">
        <v>0</v>
      </c>
      <c r="BG2709" s="0" t="b">
        <v>0</v>
      </c>
      <c r="BH2709" s="0">
        <v>211</v>
      </c>
      <c r="BI2709" s="0">
        <v>211</v>
      </c>
      <c r="BJ2709" s="0" t="s">
        <v>135</v>
      </c>
    </row>
    <row r="2710">
      <c r="A2710" s="0" t="s">
        <v>2953</v>
      </c>
      <c r="B2710" s="0" t="s">
        <v>134</v>
      </c>
      <c r="C2710" s="0" t="s">
        <v>134</v>
      </c>
      <c r="D2710" s="0" t="s">
        <v>135</v>
      </c>
      <c r="E2710" s="0" t="s">
        <v>3</v>
      </c>
      <c r="F2710" s="0" t="s">
        <v>10</v>
      </c>
      <c r="G2710" s="0" t="s">
        <v>8</v>
      </c>
      <c r="H2710" s="0">
        <v>486</v>
      </c>
      <c r="I2710" s="0">
        <v>28</v>
      </c>
      <c r="J2710" s="0">
        <v>0</v>
      </c>
      <c r="K2710" s="0">
        <v>1</v>
      </c>
      <c r="L2710" s="0">
        <v>1</v>
      </c>
      <c r="M2710" s="0">
        <v>1</v>
      </c>
      <c r="N2710" s="0">
        <v>0</v>
      </c>
      <c r="O2710" s="0">
        <v>0</v>
      </c>
      <c r="P2710" s="0">
        <v>0</v>
      </c>
      <c r="Q2710" s="0" t="s">
        <v>618</v>
      </c>
      <c r="R2710" s="0" t="b">
        <v>0</v>
      </c>
      <c r="S2710" s="0" t="b">
        <v>1</v>
      </c>
      <c r="T2710" s="68">
        <v>45567.4695717593</v>
      </c>
      <c r="U2710" s="68">
        <v>45581.3333333333</v>
      </c>
      <c r="V2710" s="68">
        <v>0</v>
      </c>
      <c r="W2710" s="0">
        <f>IF(IF(B2710="none",1,IF(B2710="Trialer",1,0))+IF(C2710="Customer",1,IF(C2710="Lost",1,0))=2,1,0)</f>
      </c>
      <c r="X2710" s="0" t="s">
        <v>148</v>
      </c>
      <c r="Y2710" s="0" t="s">
        <v>243</v>
      </c>
      <c r="AV2710" s="68"/>
      <c r="AW2710" s="68"/>
      <c r="AY2710" s="27"/>
      <c r="BD2710" s="68">
        <v>46054.1666666667</v>
      </c>
      <c r="BE2710" s="68">
        <v>46082.1666666667</v>
      </c>
      <c r="BF2710" s="0" t="b">
        <v>0</v>
      </c>
      <c r="BG2710" s="0" t="b">
        <v>0</v>
      </c>
      <c r="BH2710" s="0">
        <v>28</v>
      </c>
      <c r="BI2710" s="0">
        <v>28</v>
      </c>
      <c r="BJ2710" s="0" t="s">
        <v>135</v>
      </c>
    </row>
    <row r="2711">
      <c r="A2711" s="0" t="s">
        <v>2954</v>
      </c>
      <c r="B2711" s="0" t="s">
        <v>134</v>
      </c>
      <c r="C2711" s="0" t="s">
        <v>134</v>
      </c>
      <c r="D2711" s="0" t="s">
        <v>230</v>
      </c>
      <c r="E2711" s="0" t="s">
        <v>3</v>
      </c>
      <c r="F2711" s="0" t="s">
        <v>12</v>
      </c>
      <c r="G2711" s="0" t="s">
        <v>8</v>
      </c>
      <c r="H2711" s="0">
        <v>486</v>
      </c>
      <c r="I2711" s="0">
        <v>1254</v>
      </c>
      <c r="J2711" s="0">
        <v>0</v>
      </c>
      <c r="K2711" s="0">
        <v>1</v>
      </c>
      <c r="L2711" s="0">
        <v>3</v>
      </c>
      <c r="M2711" s="0">
        <v>34</v>
      </c>
      <c r="N2711" s="0">
        <v>155</v>
      </c>
      <c r="O2711" s="0">
        <v>0</v>
      </c>
      <c r="P2711" s="0">
        <v>-1254</v>
      </c>
      <c r="R2711" s="0" t="b">
        <v>0</v>
      </c>
      <c r="S2711" s="0" t="b">
        <v>1</v>
      </c>
      <c r="T2711" s="68">
        <v>45567.4729166667</v>
      </c>
      <c r="U2711" s="68">
        <v>45581.3333333333</v>
      </c>
      <c r="V2711" s="68">
        <v>0</v>
      </c>
      <c r="W2711" s="0">
        <f>IF(IF(B2711="none",1,IF(B2711="Trialer",1,0))+IF(C2711="Customer",1,IF(C2711="Lost",1,0))=2,1,0)</f>
      </c>
      <c r="X2711" s="0" t="s">
        <v>145</v>
      </c>
      <c r="Y2711" s="0" t="s">
        <v>243</v>
      </c>
      <c r="AV2711" s="68"/>
      <c r="AW2711" s="68"/>
      <c r="AY2711" s="27"/>
      <c r="BD2711" s="68">
        <v>46054.1666666667</v>
      </c>
      <c r="BE2711" s="68">
        <v>46082.1666666667</v>
      </c>
      <c r="BF2711" s="0" t="b">
        <v>0</v>
      </c>
      <c r="BG2711" s="0" t="b">
        <v>0</v>
      </c>
      <c r="BH2711" s="0">
        <v>1436</v>
      </c>
      <c r="BI2711" s="0">
        <v>1436</v>
      </c>
      <c r="BJ2711" s="0" t="s">
        <v>230</v>
      </c>
    </row>
    <row r="2712">
      <c r="A2712" s="0" t="s">
        <v>2955</v>
      </c>
      <c r="B2712" s="0" t="s">
        <v>134</v>
      </c>
      <c r="C2712" s="0" t="s">
        <v>134</v>
      </c>
      <c r="D2712" s="0" t="s">
        <v>230</v>
      </c>
      <c r="E2712" s="0" t="s">
        <v>2</v>
      </c>
      <c r="F2712" s="0" t="s">
        <v>12</v>
      </c>
      <c r="G2712" s="0" t="s">
        <v>8</v>
      </c>
      <c r="H2712" s="0">
        <v>486</v>
      </c>
      <c r="I2712" s="0">
        <v>46</v>
      </c>
      <c r="J2712" s="0">
        <v>0</v>
      </c>
      <c r="K2712" s="0">
        <v>1</v>
      </c>
      <c r="L2712" s="0">
        <v>3</v>
      </c>
      <c r="M2712" s="0">
        <v>1</v>
      </c>
      <c r="N2712" s="0">
        <v>0</v>
      </c>
      <c r="O2712" s="0">
        <v>0</v>
      </c>
      <c r="P2712" s="0">
        <v>-46</v>
      </c>
      <c r="R2712" s="0" t="b">
        <v>0</v>
      </c>
      <c r="S2712" s="0" t="b">
        <v>1</v>
      </c>
      <c r="T2712" s="68">
        <v>45567.5132175926</v>
      </c>
      <c r="U2712" s="68">
        <v>45582.3333333333</v>
      </c>
      <c r="V2712" s="68">
        <v>0</v>
      </c>
      <c r="W2712" s="0">
        <f>IF(IF(B2712="none",1,IF(B2712="Trialer",1,0))+IF(C2712="Customer",1,IF(C2712="Lost",1,0))=2,1,0)</f>
      </c>
      <c r="X2712" s="0" t="s">
        <v>653</v>
      </c>
      <c r="Y2712" s="0" t="s">
        <v>499</v>
      </c>
      <c r="AV2712" s="68"/>
      <c r="AW2712" s="68"/>
      <c r="AY2712" s="27"/>
      <c r="BD2712" s="68">
        <v>46054.1666666667</v>
      </c>
      <c r="BE2712" s="68">
        <v>46082.1666666667</v>
      </c>
      <c r="BF2712" s="0" t="b">
        <v>0</v>
      </c>
      <c r="BG2712" s="0" t="b">
        <v>0</v>
      </c>
      <c r="BH2712" s="0">
        <v>52</v>
      </c>
      <c r="BI2712" s="0">
        <v>52</v>
      </c>
      <c r="BJ2712" s="0" t="s">
        <v>230</v>
      </c>
    </row>
    <row r="2713">
      <c r="A2713" s="0" t="s">
        <v>2956</v>
      </c>
      <c r="B2713" s="0" t="s">
        <v>134</v>
      </c>
      <c r="C2713" s="0" t="s">
        <v>134</v>
      </c>
      <c r="D2713" s="0" t="s">
        <v>230</v>
      </c>
      <c r="E2713" s="0" t="s">
        <v>2</v>
      </c>
      <c r="F2713" s="0" t="s">
        <v>12</v>
      </c>
      <c r="G2713" s="0" t="s">
        <v>8</v>
      </c>
      <c r="H2713" s="0">
        <v>486</v>
      </c>
      <c r="I2713" s="0">
        <v>46</v>
      </c>
      <c r="J2713" s="0">
        <v>0</v>
      </c>
      <c r="K2713" s="0">
        <v>1</v>
      </c>
      <c r="L2713" s="0">
        <v>3</v>
      </c>
      <c r="M2713" s="0">
        <v>1</v>
      </c>
      <c r="N2713" s="0">
        <v>0</v>
      </c>
      <c r="O2713" s="0">
        <v>0</v>
      </c>
      <c r="P2713" s="0">
        <v>-46</v>
      </c>
      <c r="R2713" s="0" t="b">
        <v>0</v>
      </c>
      <c r="S2713" s="0" t="b">
        <v>1</v>
      </c>
      <c r="T2713" s="68">
        <v>45567.5319097222</v>
      </c>
      <c r="U2713" s="68">
        <v>45582.3333333333</v>
      </c>
      <c r="V2713" s="68">
        <v>0</v>
      </c>
      <c r="W2713" s="0">
        <f>IF(IF(B2713="none",1,IF(B2713="Trialer",1,0))+IF(C2713="Customer",1,IF(C2713="Lost",1,0))=2,1,0)</f>
      </c>
      <c r="X2713" s="0" t="s">
        <v>653</v>
      </c>
      <c r="Y2713" s="0" t="s">
        <v>499</v>
      </c>
      <c r="AV2713" s="68"/>
      <c r="AW2713" s="68"/>
      <c r="AY2713" s="27"/>
      <c r="BD2713" s="68">
        <v>46054.1666666667</v>
      </c>
      <c r="BE2713" s="68">
        <v>46082.1666666667</v>
      </c>
      <c r="BF2713" s="0" t="b">
        <v>0</v>
      </c>
      <c r="BG2713" s="0" t="b">
        <v>0</v>
      </c>
      <c r="BH2713" s="0">
        <v>52</v>
      </c>
      <c r="BI2713" s="0">
        <v>52</v>
      </c>
      <c r="BJ2713" s="0" t="s">
        <v>230</v>
      </c>
    </row>
    <row r="2714">
      <c r="A2714" s="0" t="s">
        <v>2957</v>
      </c>
      <c r="B2714" s="0" t="s">
        <v>134</v>
      </c>
      <c r="C2714" s="0" t="s">
        <v>134</v>
      </c>
      <c r="D2714" s="0" t="s">
        <v>135</v>
      </c>
      <c r="E2714" s="0" t="s">
        <v>3</v>
      </c>
      <c r="F2714" s="0" t="s">
        <v>12</v>
      </c>
      <c r="G2714" s="0" t="s">
        <v>8</v>
      </c>
      <c r="H2714" s="0">
        <v>486</v>
      </c>
      <c r="I2714" s="0">
        <v>329</v>
      </c>
      <c r="J2714" s="0">
        <v>0</v>
      </c>
      <c r="K2714" s="0">
        <v>1</v>
      </c>
      <c r="L2714" s="0">
        <v>3</v>
      </c>
      <c r="M2714" s="0">
        <v>8</v>
      </c>
      <c r="N2714" s="0">
        <v>0</v>
      </c>
      <c r="O2714" s="0">
        <v>0</v>
      </c>
      <c r="P2714" s="0">
        <v>0</v>
      </c>
      <c r="R2714" s="0" t="b">
        <v>0</v>
      </c>
      <c r="S2714" s="0" t="b">
        <v>1</v>
      </c>
      <c r="T2714" s="68">
        <v>45567.7165277778</v>
      </c>
      <c r="U2714" s="68">
        <v>45581.3333333333</v>
      </c>
      <c r="V2714" s="68">
        <v>0</v>
      </c>
      <c r="W2714" s="0">
        <f>IF(IF(B2714="none",1,IF(B2714="Trialer",1,0))+IF(C2714="Customer",1,IF(C2714="Lost",1,0))=2,1,0)</f>
      </c>
      <c r="X2714" s="0" t="s">
        <v>145</v>
      </c>
      <c r="Y2714" s="0" t="s">
        <v>243</v>
      </c>
      <c r="AV2714" s="68"/>
      <c r="AW2714" s="68"/>
      <c r="AY2714" s="27"/>
      <c r="BD2714" s="68">
        <v>46054.1666666667</v>
      </c>
      <c r="BE2714" s="68">
        <v>46082.1666666667</v>
      </c>
      <c r="BF2714" s="0" t="b">
        <v>0</v>
      </c>
      <c r="BG2714" s="0" t="b">
        <v>0</v>
      </c>
      <c r="BH2714" s="0">
        <v>329</v>
      </c>
      <c r="BI2714" s="0">
        <v>329</v>
      </c>
      <c r="BJ2714" s="0" t="s">
        <v>135</v>
      </c>
    </row>
    <row r="2715">
      <c r="A2715" s="0" t="s">
        <v>2958</v>
      </c>
      <c r="B2715" s="0" t="s">
        <v>134</v>
      </c>
      <c r="C2715" s="0" t="s">
        <v>134</v>
      </c>
      <c r="D2715" s="0" t="s">
        <v>230</v>
      </c>
      <c r="E2715" s="0" t="s">
        <v>3</v>
      </c>
      <c r="F2715" s="0" t="s">
        <v>12</v>
      </c>
      <c r="G2715" s="0" t="s">
        <v>8</v>
      </c>
      <c r="H2715" s="0">
        <v>486</v>
      </c>
      <c r="I2715" s="0">
        <v>381.75</v>
      </c>
      <c r="J2715" s="0">
        <v>0</v>
      </c>
      <c r="K2715" s="0">
        <v>1</v>
      </c>
      <c r="L2715" s="0">
        <v>6</v>
      </c>
      <c r="M2715" s="0">
        <v>9</v>
      </c>
      <c r="N2715" s="0">
        <v>0</v>
      </c>
      <c r="O2715" s="0">
        <v>0</v>
      </c>
      <c r="P2715" s="0">
        <v>-381.75</v>
      </c>
      <c r="R2715" s="0" t="b">
        <v>0</v>
      </c>
      <c r="S2715" s="0" t="b">
        <v>1</v>
      </c>
      <c r="T2715" s="68">
        <v>45567.952662037</v>
      </c>
      <c r="U2715" s="68">
        <v>45581.3333333333</v>
      </c>
      <c r="V2715" s="68">
        <v>0</v>
      </c>
      <c r="W2715" s="0">
        <f>IF(IF(B2715="none",1,IF(B2715="Trialer",1,0))+IF(C2715="Customer",1,IF(C2715="Lost",1,0))=2,1,0)</f>
      </c>
      <c r="X2715" s="0" t="s">
        <v>148</v>
      </c>
      <c r="Y2715" s="0" t="s">
        <v>243</v>
      </c>
      <c r="AV2715" s="68"/>
      <c r="AW2715" s="68"/>
      <c r="AY2715" s="27"/>
      <c r="BD2715" s="68">
        <v>46054.1666666667</v>
      </c>
      <c r="BE2715" s="68">
        <v>46082.1666666667</v>
      </c>
      <c r="BF2715" s="0" t="b">
        <v>0</v>
      </c>
      <c r="BG2715" s="0" t="b">
        <v>0</v>
      </c>
      <c r="BH2715" s="0">
        <v>509</v>
      </c>
      <c r="BI2715" s="0">
        <v>509</v>
      </c>
      <c r="BJ2715" s="0" t="s">
        <v>230</v>
      </c>
    </row>
    <row r="2716">
      <c r="A2716" s="0" t="s">
        <v>2959</v>
      </c>
      <c r="B2716" s="0" t="s">
        <v>134</v>
      </c>
      <c r="C2716" s="0" t="s">
        <v>134</v>
      </c>
      <c r="D2716" s="0" t="s">
        <v>230</v>
      </c>
      <c r="E2716" s="0" t="s">
        <v>3</v>
      </c>
      <c r="F2716" s="0" t="s">
        <v>12</v>
      </c>
      <c r="G2716" s="0" t="s">
        <v>8</v>
      </c>
      <c r="H2716" s="0">
        <v>485</v>
      </c>
      <c r="I2716" s="0">
        <v>87.75</v>
      </c>
      <c r="J2716" s="0">
        <v>0</v>
      </c>
      <c r="K2716" s="0">
        <v>1</v>
      </c>
      <c r="L2716" s="0">
        <v>3</v>
      </c>
      <c r="M2716" s="0">
        <v>3</v>
      </c>
      <c r="N2716" s="0">
        <v>0</v>
      </c>
      <c r="O2716" s="0">
        <v>0</v>
      </c>
      <c r="P2716" s="0">
        <v>965.25</v>
      </c>
      <c r="R2716" s="0" t="b">
        <v>0</v>
      </c>
      <c r="S2716" s="0" t="b">
        <v>1</v>
      </c>
      <c r="T2716" s="68">
        <v>45568.6973726852</v>
      </c>
      <c r="U2716" s="68">
        <v>45588.3333333333</v>
      </c>
      <c r="V2716" s="68">
        <v>0</v>
      </c>
      <c r="W2716" s="0">
        <f>IF(IF(B2716="none",1,IF(B2716="Trialer",1,0))+IF(C2716="Customer",1,IF(C2716="Lost",1,0))=2,1,0)</f>
      </c>
      <c r="X2716" s="0" t="s">
        <v>142</v>
      </c>
      <c r="Y2716" s="0" t="s">
        <v>243</v>
      </c>
      <c r="AV2716" s="68"/>
      <c r="AW2716" s="68"/>
      <c r="AY2716" s="27"/>
      <c r="BD2716" s="68">
        <v>46054.1666666667</v>
      </c>
      <c r="BE2716" s="68">
        <v>46082.1666666667</v>
      </c>
      <c r="BF2716" s="0" t="b">
        <v>0</v>
      </c>
      <c r="BG2716" s="0" t="b">
        <v>0</v>
      </c>
      <c r="BH2716" s="0">
        <v>117</v>
      </c>
      <c r="BI2716" s="0">
        <v>117</v>
      </c>
      <c r="BJ2716" s="0" t="s">
        <v>230</v>
      </c>
    </row>
    <row r="2717">
      <c r="A2717" s="0" t="s">
        <v>2960</v>
      </c>
      <c r="B2717" s="0" t="s">
        <v>134</v>
      </c>
      <c r="C2717" s="0" t="s">
        <v>134</v>
      </c>
      <c r="D2717" s="0" t="s">
        <v>230</v>
      </c>
      <c r="E2717" s="0" t="s">
        <v>2</v>
      </c>
      <c r="F2717" s="0" t="s">
        <v>10</v>
      </c>
      <c r="G2717" s="0" t="s">
        <v>8</v>
      </c>
      <c r="H2717" s="0">
        <v>484</v>
      </c>
      <c r="I2717" s="0">
        <v>306</v>
      </c>
      <c r="J2717" s="0">
        <v>0</v>
      </c>
      <c r="K2717" s="0">
        <v>1</v>
      </c>
      <c r="L2717" s="0">
        <v>3</v>
      </c>
      <c r="M2717" s="0">
        <v>12</v>
      </c>
      <c r="N2717" s="0">
        <v>0</v>
      </c>
      <c r="O2717" s="0">
        <v>0</v>
      </c>
      <c r="P2717" s="0">
        <v>-306</v>
      </c>
      <c r="Q2717" s="0" t="s">
        <v>1919</v>
      </c>
      <c r="R2717" s="0" t="b">
        <v>0</v>
      </c>
      <c r="S2717" s="0" t="b">
        <v>1</v>
      </c>
      <c r="T2717" s="68">
        <v>45569.5737615741</v>
      </c>
      <c r="U2717" s="68">
        <v>45583.3333333333</v>
      </c>
      <c r="V2717" s="68">
        <v>0</v>
      </c>
      <c r="W2717" s="0">
        <f>IF(IF(B2717="none",1,IF(B2717="Trialer",1,0))+IF(C2717="Customer",1,IF(C2717="Lost",1,0))=2,1,0)</f>
      </c>
      <c r="X2717" s="0" t="s">
        <v>145</v>
      </c>
      <c r="Y2717" s="0" t="s">
        <v>1587</v>
      </c>
      <c r="AV2717" s="68"/>
      <c r="AW2717" s="68"/>
      <c r="AY2717" s="27"/>
      <c r="BD2717" s="68">
        <v>46054.1666666667</v>
      </c>
      <c r="BE2717" s="68">
        <v>46082.1666666667</v>
      </c>
      <c r="BF2717" s="0" t="b">
        <v>0</v>
      </c>
      <c r="BG2717" s="0" t="b">
        <v>0</v>
      </c>
      <c r="BH2717" s="0">
        <v>322</v>
      </c>
      <c r="BI2717" s="0">
        <v>350</v>
      </c>
      <c r="BJ2717" s="0" t="s">
        <v>230</v>
      </c>
    </row>
    <row r="2718">
      <c r="A2718" s="0" t="s">
        <v>2961</v>
      </c>
      <c r="B2718" s="0" t="s">
        <v>134</v>
      </c>
      <c r="C2718" s="0" t="s">
        <v>134</v>
      </c>
      <c r="D2718" s="0" t="s">
        <v>135</v>
      </c>
      <c r="E2718" s="0" t="s">
        <v>2</v>
      </c>
      <c r="F2718" s="0" t="s">
        <v>12</v>
      </c>
      <c r="G2718" s="0" t="s">
        <v>8</v>
      </c>
      <c r="H2718" s="0">
        <v>480</v>
      </c>
      <c r="I2718" s="0">
        <v>49</v>
      </c>
      <c r="J2718" s="0">
        <v>0</v>
      </c>
      <c r="K2718" s="0">
        <v>1</v>
      </c>
      <c r="L2718" s="0">
        <v>3</v>
      </c>
      <c r="M2718" s="0">
        <v>1</v>
      </c>
      <c r="N2718" s="0">
        <v>0</v>
      </c>
      <c r="O2718" s="0">
        <v>0</v>
      </c>
      <c r="P2718" s="0">
        <v>0</v>
      </c>
      <c r="R2718" s="0" t="b">
        <v>0</v>
      </c>
      <c r="S2718" s="0" t="b">
        <v>1</v>
      </c>
      <c r="T2718" s="68">
        <v>45573.3916203704</v>
      </c>
      <c r="U2718" s="68">
        <v>45622.2916666667</v>
      </c>
      <c r="V2718" s="68">
        <v>0</v>
      </c>
      <c r="W2718" s="0">
        <f>IF(IF(B2718="none",1,IF(B2718="Trialer",1,0))+IF(C2718="Customer",1,IF(C2718="Lost",1,0))=2,1,0)</f>
      </c>
      <c r="X2718" s="0" t="s">
        <v>653</v>
      </c>
      <c r="Y2718" s="0" t="s">
        <v>499</v>
      </c>
      <c r="AV2718" s="68"/>
      <c r="AW2718" s="68"/>
      <c r="AY2718" s="27"/>
      <c r="BD2718" s="68">
        <v>46054.1666666667</v>
      </c>
      <c r="BE2718" s="68">
        <v>46082.1666666667</v>
      </c>
      <c r="BF2718" s="0" t="b">
        <v>0</v>
      </c>
      <c r="BG2718" s="0" t="b">
        <v>0</v>
      </c>
      <c r="BH2718" s="0">
        <v>49</v>
      </c>
      <c r="BI2718" s="0">
        <v>49</v>
      </c>
      <c r="BJ2718" s="0" t="s">
        <v>135</v>
      </c>
    </row>
    <row r="2719">
      <c r="A2719" s="0" t="s">
        <v>2962</v>
      </c>
      <c r="B2719" s="0" t="s">
        <v>134</v>
      </c>
      <c r="C2719" s="0" t="s">
        <v>134</v>
      </c>
      <c r="D2719" s="0" t="s">
        <v>230</v>
      </c>
      <c r="E2719" s="0" t="s">
        <v>3</v>
      </c>
      <c r="F2719" s="0" t="s">
        <v>10</v>
      </c>
      <c r="G2719" s="0" t="s">
        <v>8</v>
      </c>
      <c r="H2719" s="0">
        <v>480</v>
      </c>
      <c r="I2719" s="0">
        <v>352.8</v>
      </c>
      <c r="J2719" s="0">
        <v>0</v>
      </c>
      <c r="K2719" s="0">
        <v>1</v>
      </c>
      <c r="L2719" s="0">
        <v>3</v>
      </c>
      <c r="M2719" s="0">
        <v>8</v>
      </c>
      <c r="N2719" s="0">
        <v>0</v>
      </c>
      <c r="O2719" s="0">
        <v>0</v>
      </c>
      <c r="P2719" s="0">
        <v>-352.8</v>
      </c>
      <c r="Q2719" s="0" t="s">
        <v>357</v>
      </c>
      <c r="R2719" s="0" t="b">
        <v>0</v>
      </c>
      <c r="S2719" s="0" t="b">
        <v>1</v>
      </c>
      <c r="T2719" s="68">
        <v>45573.5334953704</v>
      </c>
      <c r="U2719" s="68">
        <v>45587.3333333333</v>
      </c>
      <c r="V2719" s="68">
        <v>0</v>
      </c>
      <c r="W2719" s="0">
        <f>IF(IF(B2719="none",1,IF(B2719="Trialer",1,0))+IF(C2719="Customer",1,IF(C2719="Lost",1,0))=2,1,0)</f>
      </c>
      <c r="X2719" s="0" t="s">
        <v>148</v>
      </c>
      <c r="Y2719" s="0" t="s">
        <v>243</v>
      </c>
      <c r="AV2719" s="68"/>
      <c r="AW2719" s="68"/>
      <c r="AY2719" s="27"/>
      <c r="BD2719" s="68">
        <v>46054.1666666667</v>
      </c>
      <c r="BE2719" s="68">
        <v>46082.1666666667</v>
      </c>
      <c r="BF2719" s="0" t="b">
        <v>0</v>
      </c>
      <c r="BG2719" s="0" t="b">
        <v>0</v>
      </c>
      <c r="BH2719" s="0">
        <v>392</v>
      </c>
      <c r="BI2719" s="0">
        <v>392</v>
      </c>
      <c r="BJ2719" s="0" t="s">
        <v>230</v>
      </c>
    </row>
    <row r="2720">
      <c r="A2720" s="0" t="s">
        <v>2963</v>
      </c>
      <c r="B2720" s="0" t="s">
        <v>134</v>
      </c>
      <c r="C2720" s="0" t="s">
        <v>134</v>
      </c>
      <c r="D2720" s="0" t="s">
        <v>230</v>
      </c>
      <c r="E2720" s="0" t="s">
        <v>3</v>
      </c>
      <c r="F2720" s="0" t="s">
        <v>12</v>
      </c>
      <c r="G2720" s="0" t="s">
        <v>8</v>
      </c>
      <c r="H2720" s="0">
        <v>480</v>
      </c>
      <c r="I2720" s="0">
        <v>176</v>
      </c>
      <c r="J2720" s="0">
        <v>0</v>
      </c>
      <c r="K2720" s="0">
        <v>1</v>
      </c>
      <c r="L2720" s="0">
        <v>3</v>
      </c>
      <c r="M2720" s="0">
        <v>4</v>
      </c>
      <c r="N2720" s="0">
        <v>0</v>
      </c>
      <c r="O2720" s="0">
        <v>0</v>
      </c>
      <c r="P2720" s="0">
        <v>-176</v>
      </c>
      <c r="R2720" s="0" t="b">
        <v>0</v>
      </c>
      <c r="S2720" s="0" t="b">
        <v>1</v>
      </c>
      <c r="T2720" s="68">
        <v>45573.737037037</v>
      </c>
      <c r="U2720" s="68">
        <v>45593.3333333333</v>
      </c>
      <c r="V2720" s="68">
        <v>0</v>
      </c>
      <c r="W2720" s="0">
        <f>IF(IF(B2720="none",1,IF(B2720="Trialer",1,0))+IF(C2720="Customer",1,IF(C2720="Lost",1,0))=2,1,0)</f>
      </c>
      <c r="X2720" s="0" t="s">
        <v>145</v>
      </c>
      <c r="Y2720" s="0" t="s">
        <v>243</v>
      </c>
      <c r="AV2720" s="68"/>
      <c r="AW2720" s="68"/>
      <c r="AY2720" s="27"/>
      <c r="BD2720" s="68">
        <v>46054.1666666667</v>
      </c>
      <c r="BE2720" s="68">
        <v>46082.1666666667</v>
      </c>
      <c r="BF2720" s="0" t="b">
        <v>0</v>
      </c>
      <c r="BG2720" s="0" t="b">
        <v>0</v>
      </c>
      <c r="BH2720" s="0">
        <v>196</v>
      </c>
      <c r="BI2720" s="0">
        <v>196</v>
      </c>
      <c r="BJ2720" s="0" t="s">
        <v>230</v>
      </c>
    </row>
    <row r="2721">
      <c r="A2721" s="0" t="s">
        <v>2964</v>
      </c>
      <c r="B2721" s="0" t="s">
        <v>134</v>
      </c>
      <c r="C2721" s="0" t="s">
        <v>134</v>
      </c>
      <c r="D2721" s="0" t="s">
        <v>230</v>
      </c>
      <c r="E2721" s="0" t="s">
        <v>3</v>
      </c>
      <c r="F2721" s="0" t="s">
        <v>12</v>
      </c>
      <c r="G2721" s="0" t="s">
        <v>8</v>
      </c>
      <c r="H2721" s="0">
        <v>479</v>
      </c>
      <c r="I2721" s="0">
        <v>72</v>
      </c>
      <c r="J2721" s="0">
        <v>0</v>
      </c>
      <c r="K2721" s="0">
        <v>1</v>
      </c>
      <c r="L2721" s="0">
        <v>2</v>
      </c>
      <c r="M2721" s="0">
        <v>2</v>
      </c>
      <c r="N2721" s="0">
        <v>0</v>
      </c>
      <c r="O2721" s="0">
        <v>0</v>
      </c>
      <c r="P2721" s="0">
        <v>-72</v>
      </c>
      <c r="R2721" s="0" t="b">
        <v>0</v>
      </c>
      <c r="S2721" s="0" t="b">
        <v>1</v>
      </c>
      <c r="T2721" s="68">
        <v>45574.4951388889</v>
      </c>
      <c r="U2721" s="68">
        <v>45588.3333333333</v>
      </c>
      <c r="V2721" s="68">
        <v>0</v>
      </c>
      <c r="W2721" s="0">
        <f>IF(IF(B2721="none",1,IF(B2721="Trialer",1,0))+IF(C2721="Customer",1,IF(C2721="Lost",1,0))=2,1,0)</f>
      </c>
      <c r="X2721" s="0" t="s">
        <v>153</v>
      </c>
      <c r="Y2721" s="0" t="s">
        <v>243</v>
      </c>
      <c r="AV2721" s="68"/>
      <c r="AW2721" s="68"/>
      <c r="AY2721" s="27"/>
      <c r="BD2721" s="68">
        <v>46054.1666666667</v>
      </c>
      <c r="BE2721" s="68">
        <v>46082.1666666667</v>
      </c>
      <c r="BF2721" s="0" t="b">
        <v>0</v>
      </c>
      <c r="BG2721" s="0" t="b">
        <v>0</v>
      </c>
      <c r="BH2721" s="0">
        <v>80</v>
      </c>
      <c r="BI2721" s="0">
        <v>80</v>
      </c>
      <c r="BJ2721" s="0" t="s">
        <v>230</v>
      </c>
    </row>
    <row r="2722">
      <c r="A2722" s="0" t="s">
        <v>2965</v>
      </c>
      <c r="B2722" s="0" t="s">
        <v>134</v>
      </c>
      <c r="C2722" s="0" t="s">
        <v>134</v>
      </c>
      <c r="D2722" s="0" t="s">
        <v>230</v>
      </c>
      <c r="E2722" s="0" t="s">
        <v>3</v>
      </c>
      <c r="F2722" s="0" t="s">
        <v>12</v>
      </c>
      <c r="G2722" s="0" t="s">
        <v>8</v>
      </c>
      <c r="H2722" s="0">
        <v>479</v>
      </c>
      <c r="I2722" s="0">
        <v>88.2</v>
      </c>
      <c r="J2722" s="0">
        <v>0</v>
      </c>
      <c r="K2722" s="0">
        <v>1</v>
      </c>
      <c r="L2722" s="0">
        <v>3</v>
      </c>
      <c r="M2722" s="0">
        <v>2</v>
      </c>
      <c r="N2722" s="0">
        <v>0</v>
      </c>
      <c r="O2722" s="0">
        <v>0</v>
      </c>
      <c r="P2722" s="0">
        <v>-88.2</v>
      </c>
      <c r="R2722" s="0" t="b">
        <v>0</v>
      </c>
      <c r="S2722" s="0" t="b">
        <v>1</v>
      </c>
      <c r="T2722" s="68">
        <v>45574.6118055556</v>
      </c>
      <c r="U2722" s="68">
        <v>45574.3333333333</v>
      </c>
      <c r="V2722" s="68">
        <v>0</v>
      </c>
      <c r="W2722" s="0">
        <f>IF(IF(B2722="none",1,IF(B2722="Trialer",1,0))+IF(C2722="Customer",1,IF(C2722="Lost",1,0))=2,1,0)</f>
      </c>
      <c r="X2722" s="0" t="s">
        <v>166</v>
      </c>
      <c r="Y2722" s="0" t="s">
        <v>243</v>
      </c>
      <c r="AV2722" s="68"/>
      <c r="AW2722" s="68"/>
      <c r="AY2722" s="27"/>
      <c r="BD2722" s="68">
        <v>46054.1666666667</v>
      </c>
      <c r="BE2722" s="68">
        <v>46082.1666666667</v>
      </c>
      <c r="BF2722" s="0" t="b">
        <v>0</v>
      </c>
      <c r="BG2722" s="0" t="b">
        <v>0</v>
      </c>
      <c r="BH2722" s="0">
        <v>49</v>
      </c>
      <c r="BI2722" s="0">
        <v>49</v>
      </c>
      <c r="BJ2722" s="0" t="s">
        <v>230</v>
      </c>
    </row>
    <row r="2723">
      <c r="A2723" s="0" t="s">
        <v>2966</v>
      </c>
      <c r="B2723" s="0" t="s">
        <v>134</v>
      </c>
      <c r="C2723" s="0" t="s">
        <v>134</v>
      </c>
      <c r="D2723" s="0" t="s">
        <v>135</v>
      </c>
      <c r="E2723" s="0" t="s">
        <v>2</v>
      </c>
      <c r="F2723" s="0" t="s">
        <v>10</v>
      </c>
      <c r="G2723" s="0" t="s">
        <v>8</v>
      </c>
      <c r="H2723" s="0">
        <v>479</v>
      </c>
      <c r="I2723" s="0">
        <v>840</v>
      </c>
      <c r="J2723" s="0">
        <v>0</v>
      </c>
      <c r="K2723" s="0">
        <v>1</v>
      </c>
      <c r="L2723" s="0">
        <v>3</v>
      </c>
      <c r="M2723" s="0">
        <v>18</v>
      </c>
      <c r="N2723" s="0">
        <v>0</v>
      </c>
      <c r="O2723" s="0">
        <v>0</v>
      </c>
      <c r="P2723" s="0">
        <v>0</v>
      </c>
      <c r="Q2723" s="0" t="s">
        <v>1919</v>
      </c>
      <c r="R2723" s="0" t="b">
        <v>0</v>
      </c>
      <c r="S2723" s="0" t="b">
        <v>1</v>
      </c>
      <c r="T2723" s="68">
        <v>45574.7867361111</v>
      </c>
      <c r="U2723" s="68">
        <v>45589.3333333333</v>
      </c>
      <c r="V2723" s="68">
        <v>0</v>
      </c>
      <c r="W2723" s="0">
        <f>IF(IF(B2723="none",1,IF(B2723="Trialer",1,0))+IF(C2723="Customer",1,IF(C2723="Lost",1,0))=2,1,0)</f>
      </c>
      <c r="X2723" s="0" t="s">
        <v>145</v>
      </c>
      <c r="Y2723" s="0" t="s">
        <v>1587</v>
      </c>
      <c r="AV2723" s="68"/>
      <c r="AW2723" s="68"/>
      <c r="AY2723" s="27"/>
      <c r="BD2723" s="68">
        <v>46054.1666666667</v>
      </c>
      <c r="BE2723" s="68">
        <v>46082.1666666667</v>
      </c>
      <c r="BF2723" s="0" t="b">
        <v>0</v>
      </c>
      <c r="BG2723" s="0" t="b">
        <v>0</v>
      </c>
      <c r="BH2723" s="0">
        <v>840</v>
      </c>
      <c r="BI2723" s="0">
        <v>840</v>
      </c>
      <c r="BJ2723" s="0" t="s">
        <v>135</v>
      </c>
    </row>
    <row r="2724">
      <c r="A2724" s="0" t="s">
        <v>2967</v>
      </c>
      <c r="B2724" s="0" t="s">
        <v>134</v>
      </c>
      <c r="C2724" s="0" t="s">
        <v>134</v>
      </c>
      <c r="D2724" s="0" t="s">
        <v>135</v>
      </c>
      <c r="E2724" s="0" t="s">
        <v>3</v>
      </c>
      <c r="F2724" s="0" t="s">
        <v>12</v>
      </c>
      <c r="G2724" s="0" t="s">
        <v>8</v>
      </c>
      <c r="H2724" s="0">
        <v>478</v>
      </c>
      <c r="I2724" s="0">
        <v>0</v>
      </c>
      <c r="J2724" s="0">
        <v>0</v>
      </c>
      <c r="K2724" s="0">
        <v>1</v>
      </c>
      <c r="L2724" s="0">
        <v>4</v>
      </c>
      <c r="M2724" s="0">
        <v>1</v>
      </c>
      <c r="N2724" s="0">
        <v>0</v>
      </c>
      <c r="O2724" s="0">
        <v>0</v>
      </c>
      <c r="P2724" s="0">
        <v>0</v>
      </c>
      <c r="R2724" s="0" t="b">
        <v>0</v>
      </c>
      <c r="S2724" s="0" t="b">
        <v>1</v>
      </c>
      <c r="T2724" s="68">
        <v>45575.4094444444</v>
      </c>
      <c r="U2724" s="68">
        <v>45589.3333333333</v>
      </c>
      <c r="V2724" s="68">
        <v>0</v>
      </c>
      <c r="W2724" s="0">
        <f>IF(IF(B2724="none",1,IF(B2724="Trialer",1,0))+IF(C2724="Customer",1,IF(C2724="Lost",1,0))=2,1,0)</f>
      </c>
      <c r="X2724" s="0" t="s">
        <v>148</v>
      </c>
      <c r="Y2724" s="0" t="s">
        <v>243</v>
      </c>
      <c r="AV2724" s="68"/>
      <c r="AW2724" s="68"/>
      <c r="AY2724" s="27"/>
      <c r="BD2724" s="68">
        <v>46054.1666666667</v>
      </c>
      <c r="BE2724" s="68">
        <v>46082.1666666667</v>
      </c>
      <c r="BF2724" s="0" t="b">
        <v>0</v>
      </c>
      <c r="BG2724" s="0" t="b">
        <v>0</v>
      </c>
      <c r="BH2724" s="0">
        <v>0</v>
      </c>
      <c r="BI2724" s="0">
        <v>0</v>
      </c>
      <c r="BJ2724" s="0" t="s">
        <v>135</v>
      </c>
    </row>
    <row r="2725">
      <c r="A2725" s="0" t="s">
        <v>2968</v>
      </c>
      <c r="B2725" s="0" t="s">
        <v>134</v>
      </c>
      <c r="C2725" s="0" t="s">
        <v>134</v>
      </c>
      <c r="D2725" s="0" t="s">
        <v>135</v>
      </c>
      <c r="E2725" s="0" t="s">
        <v>3</v>
      </c>
      <c r="F2725" s="0" t="s">
        <v>12</v>
      </c>
      <c r="G2725" s="0" t="s">
        <v>8</v>
      </c>
      <c r="H2725" s="0">
        <v>478</v>
      </c>
      <c r="I2725" s="0">
        <v>503</v>
      </c>
      <c r="J2725" s="0">
        <v>0</v>
      </c>
      <c r="K2725" s="0">
        <v>1</v>
      </c>
      <c r="L2725" s="0">
        <v>4</v>
      </c>
      <c r="M2725" s="0">
        <v>4</v>
      </c>
      <c r="N2725" s="0">
        <v>0</v>
      </c>
      <c r="O2725" s="0">
        <v>0</v>
      </c>
      <c r="P2725" s="0">
        <v>0</v>
      </c>
      <c r="R2725" s="0" t="b">
        <v>0</v>
      </c>
      <c r="S2725" s="0" t="b">
        <v>1</v>
      </c>
      <c r="T2725" s="68">
        <v>45575.4885185185</v>
      </c>
      <c r="U2725" s="68">
        <v>45595.3333333333</v>
      </c>
      <c r="V2725" s="68">
        <v>0</v>
      </c>
      <c r="W2725" s="0">
        <f>IF(IF(B2725="none",1,IF(B2725="Trialer",1,0))+IF(C2725="Customer",1,IF(C2725="Lost",1,0))=2,1,0)</f>
      </c>
      <c r="X2725" s="0" t="s">
        <v>136</v>
      </c>
      <c r="Y2725" s="0" t="s">
        <v>243</v>
      </c>
      <c r="AV2725" s="68"/>
      <c r="AW2725" s="68"/>
      <c r="AY2725" s="27"/>
      <c r="BD2725" s="68">
        <v>46054.1666666667</v>
      </c>
      <c r="BE2725" s="68">
        <v>46082.1666666667</v>
      </c>
      <c r="BF2725" s="0" t="b">
        <v>0</v>
      </c>
      <c r="BG2725" s="0" t="b">
        <v>0</v>
      </c>
      <c r="BH2725" s="0">
        <v>206</v>
      </c>
      <c r="BI2725" s="0">
        <v>206</v>
      </c>
      <c r="BJ2725" s="0" t="s">
        <v>135</v>
      </c>
    </row>
    <row r="2726">
      <c r="A2726" s="0" t="s">
        <v>2969</v>
      </c>
      <c r="B2726" s="0" t="s">
        <v>134</v>
      </c>
      <c r="C2726" s="0" t="s">
        <v>134</v>
      </c>
      <c r="D2726" s="0" t="s">
        <v>135</v>
      </c>
      <c r="E2726" s="0" t="s">
        <v>3</v>
      </c>
      <c r="F2726" s="0" t="s">
        <v>12</v>
      </c>
      <c r="G2726" s="0" t="s">
        <v>8</v>
      </c>
      <c r="H2726" s="0">
        <v>478</v>
      </c>
      <c r="I2726" s="0">
        <v>481</v>
      </c>
      <c r="J2726" s="0">
        <v>0</v>
      </c>
      <c r="K2726" s="0">
        <v>1</v>
      </c>
      <c r="L2726" s="0">
        <v>3</v>
      </c>
      <c r="M2726" s="0">
        <v>3</v>
      </c>
      <c r="N2726" s="0">
        <v>0</v>
      </c>
      <c r="O2726" s="0">
        <v>0</v>
      </c>
      <c r="P2726" s="0">
        <v>0</v>
      </c>
      <c r="R2726" s="0" t="b">
        <v>0</v>
      </c>
      <c r="S2726" s="0" t="b">
        <v>1</v>
      </c>
      <c r="T2726" s="68">
        <v>45575.5686689815</v>
      </c>
      <c r="U2726" s="68">
        <v>45595.3333333333</v>
      </c>
      <c r="V2726" s="68">
        <v>0</v>
      </c>
      <c r="W2726" s="0">
        <f>IF(IF(B2726="none",1,IF(B2726="Trialer",1,0))+IF(C2726="Customer",1,IF(C2726="Lost",1,0))=2,1,0)</f>
      </c>
      <c r="X2726" s="0" t="s">
        <v>136</v>
      </c>
      <c r="Y2726" s="0" t="s">
        <v>243</v>
      </c>
      <c r="AV2726" s="68"/>
      <c r="AW2726" s="68"/>
      <c r="AY2726" s="27"/>
      <c r="BD2726" s="68">
        <v>46054.1666666667</v>
      </c>
      <c r="BE2726" s="68">
        <v>46082.1666666667</v>
      </c>
      <c r="BF2726" s="0" t="b">
        <v>0</v>
      </c>
      <c r="BG2726" s="0" t="b">
        <v>0</v>
      </c>
      <c r="BH2726" s="0">
        <v>156</v>
      </c>
      <c r="BI2726" s="0">
        <v>156</v>
      </c>
      <c r="BJ2726" s="0" t="s">
        <v>135</v>
      </c>
    </row>
    <row r="2727">
      <c r="A2727" s="0" t="s">
        <v>2970</v>
      </c>
      <c r="B2727" s="0" t="s">
        <v>134</v>
      </c>
      <c r="C2727" s="0" t="s">
        <v>190</v>
      </c>
      <c r="D2727" s="0" t="s">
        <v>230</v>
      </c>
      <c r="E2727" s="0" t="s">
        <v>2</v>
      </c>
      <c r="F2727" s="0" t="s">
        <v>12</v>
      </c>
      <c r="G2727" s="0" t="s">
        <v>8</v>
      </c>
      <c r="H2727" s="0">
        <v>477</v>
      </c>
      <c r="I2727" s="0">
        <v>330.3</v>
      </c>
      <c r="J2727" s="0">
        <v>0</v>
      </c>
      <c r="K2727" s="0">
        <v>1</v>
      </c>
      <c r="L2727" s="0">
        <v>4</v>
      </c>
      <c r="M2727" s="0">
        <v>7</v>
      </c>
      <c r="N2727" s="0">
        <v>0</v>
      </c>
      <c r="O2727" s="0">
        <v>0</v>
      </c>
      <c r="P2727" s="0">
        <v>-330.3</v>
      </c>
      <c r="R2727" s="0" t="b">
        <v>0</v>
      </c>
      <c r="S2727" s="0" t="b">
        <v>0</v>
      </c>
      <c r="T2727" s="68">
        <v>45576.3741319444</v>
      </c>
      <c r="U2727" s="68">
        <v>45594.3333333333</v>
      </c>
      <c r="V2727" s="68">
        <v>46072.340787037</v>
      </c>
      <c r="W2727" s="0">
        <f>IF(IF(B2727="none",1,IF(B2727="Trialer",1,0))+IF(C2727="Customer",1,IF(C2727="Lost",1,0))=2,1,0)</f>
      </c>
      <c r="X2727" s="0" t="s">
        <v>148</v>
      </c>
      <c r="Y2727" s="0" t="s">
        <v>499</v>
      </c>
      <c r="AV2727" s="68"/>
      <c r="AW2727" s="68"/>
      <c r="AY2727" s="27"/>
      <c r="BD2727" s="68">
        <v>46054.1666666667</v>
      </c>
      <c r="BE2727" s="68">
        <v>46082.1666666667</v>
      </c>
      <c r="BF2727" s="0" t="b">
        <v>0</v>
      </c>
      <c r="BG2727" s="0" t="b">
        <v>0</v>
      </c>
      <c r="BH2727" s="0">
        <v>269</v>
      </c>
      <c r="BI2727" s="0">
        <v>269</v>
      </c>
      <c r="BJ2727" s="0" t="s">
        <v>230</v>
      </c>
    </row>
    <row r="2728">
      <c r="A2728" s="0" t="s">
        <v>2971</v>
      </c>
      <c r="B2728" s="0" t="s">
        <v>134</v>
      </c>
      <c r="C2728" s="0" t="s">
        <v>134</v>
      </c>
      <c r="D2728" s="0" t="s">
        <v>135</v>
      </c>
      <c r="E2728" s="0" t="s">
        <v>3</v>
      </c>
      <c r="F2728" s="0" t="s">
        <v>12</v>
      </c>
      <c r="G2728" s="0" t="s">
        <v>8</v>
      </c>
      <c r="H2728" s="0">
        <v>477</v>
      </c>
      <c r="I2728" s="0">
        <v>68</v>
      </c>
      <c r="J2728" s="0">
        <v>0</v>
      </c>
      <c r="K2728" s="0">
        <v>1</v>
      </c>
      <c r="L2728" s="0">
        <v>2</v>
      </c>
      <c r="M2728" s="0">
        <v>2</v>
      </c>
      <c r="N2728" s="0">
        <v>0</v>
      </c>
      <c r="O2728" s="0">
        <v>0</v>
      </c>
      <c r="P2728" s="0">
        <v>0</v>
      </c>
      <c r="R2728" s="0" t="b">
        <v>0</v>
      </c>
      <c r="S2728" s="0" t="b">
        <v>1</v>
      </c>
      <c r="T2728" s="68">
        <v>45576.4247800926</v>
      </c>
      <c r="U2728" s="68">
        <v>45590.3333333333</v>
      </c>
      <c r="V2728" s="68">
        <v>0</v>
      </c>
      <c r="W2728" s="0">
        <f>IF(IF(B2728="none",1,IF(B2728="Trialer",1,0))+IF(C2728="Customer",1,IF(C2728="Lost",1,0))=2,1,0)</f>
      </c>
      <c r="X2728" s="0" t="s">
        <v>153</v>
      </c>
      <c r="Y2728" s="0" t="s">
        <v>243</v>
      </c>
      <c r="AV2728" s="68"/>
      <c r="AW2728" s="68"/>
      <c r="AY2728" s="27"/>
      <c r="BD2728" s="68">
        <v>46054.1666666667</v>
      </c>
      <c r="BE2728" s="68">
        <v>46082.1666666667</v>
      </c>
      <c r="BF2728" s="0" t="b">
        <v>0</v>
      </c>
      <c r="BG2728" s="0" t="b">
        <v>0</v>
      </c>
      <c r="BH2728" s="0">
        <v>68</v>
      </c>
      <c r="BI2728" s="0">
        <v>68</v>
      </c>
      <c r="BJ2728" s="0" t="s">
        <v>135</v>
      </c>
    </row>
    <row r="2729">
      <c r="A2729" s="0" t="s">
        <v>2972</v>
      </c>
      <c r="B2729" s="0" t="s">
        <v>134</v>
      </c>
      <c r="C2729" s="0" t="s">
        <v>134</v>
      </c>
      <c r="D2729" s="0" t="s">
        <v>135</v>
      </c>
      <c r="E2729" s="0" t="s">
        <v>2</v>
      </c>
      <c r="F2729" s="0" t="s">
        <v>12</v>
      </c>
      <c r="G2729" s="0" t="s">
        <v>8</v>
      </c>
      <c r="H2729" s="0">
        <v>477</v>
      </c>
      <c r="I2729" s="0">
        <v>89</v>
      </c>
      <c r="J2729" s="0">
        <v>0</v>
      </c>
      <c r="K2729" s="0">
        <v>1</v>
      </c>
      <c r="L2729" s="0">
        <v>3</v>
      </c>
      <c r="M2729" s="0">
        <v>2</v>
      </c>
      <c r="N2729" s="0">
        <v>0</v>
      </c>
      <c r="O2729" s="0">
        <v>0</v>
      </c>
      <c r="P2729" s="0">
        <v>0</v>
      </c>
      <c r="R2729" s="0" t="b">
        <v>0</v>
      </c>
      <c r="S2729" s="0" t="b">
        <v>1</v>
      </c>
      <c r="T2729" s="68">
        <v>45576.60375</v>
      </c>
      <c r="U2729" s="68">
        <v>45590.3333333333</v>
      </c>
      <c r="V2729" s="68">
        <v>0</v>
      </c>
      <c r="W2729" s="0">
        <f>IF(IF(B2729="none",1,IF(B2729="Trialer",1,0))+IF(C2729="Customer",1,IF(C2729="Lost",1,0))=2,1,0)</f>
      </c>
      <c r="X2729" s="0" t="s">
        <v>153</v>
      </c>
      <c r="Y2729" s="0" t="s">
        <v>499</v>
      </c>
      <c r="AV2729" s="68"/>
      <c r="AW2729" s="68"/>
      <c r="AY2729" s="27"/>
      <c r="BD2729" s="68">
        <v>46054.1666666667</v>
      </c>
      <c r="BE2729" s="68">
        <v>46082.1666666667</v>
      </c>
      <c r="BF2729" s="0" t="b">
        <v>0</v>
      </c>
      <c r="BG2729" s="0" t="b">
        <v>0</v>
      </c>
      <c r="BH2729" s="0">
        <v>89</v>
      </c>
      <c r="BI2729" s="0">
        <v>89</v>
      </c>
      <c r="BJ2729" s="0" t="s">
        <v>135</v>
      </c>
    </row>
    <row r="2730">
      <c r="A2730" s="0" t="s">
        <v>2973</v>
      </c>
      <c r="B2730" s="0" t="s">
        <v>134</v>
      </c>
      <c r="C2730" s="0" t="s">
        <v>134</v>
      </c>
      <c r="D2730" s="0" t="s">
        <v>230</v>
      </c>
      <c r="E2730" s="0" t="s">
        <v>3</v>
      </c>
      <c r="F2730" s="0" t="s">
        <v>12</v>
      </c>
      <c r="G2730" s="0" t="s">
        <v>8</v>
      </c>
      <c r="H2730" s="0">
        <v>474</v>
      </c>
      <c r="I2730" s="0">
        <v>257.4</v>
      </c>
      <c r="J2730" s="0">
        <v>0</v>
      </c>
      <c r="K2730" s="0">
        <v>1</v>
      </c>
      <c r="L2730" s="0">
        <v>3</v>
      </c>
      <c r="M2730" s="0">
        <v>7</v>
      </c>
      <c r="N2730" s="0">
        <v>0</v>
      </c>
      <c r="O2730" s="0">
        <v>0</v>
      </c>
      <c r="P2730" s="0">
        <v>-257.4</v>
      </c>
      <c r="R2730" s="0" t="b">
        <v>0</v>
      </c>
      <c r="S2730" s="0" t="b">
        <v>1</v>
      </c>
      <c r="T2730" s="68">
        <v>45579.1844444444</v>
      </c>
      <c r="U2730" s="68">
        <v>45593.3333333333</v>
      </c>
      <c r="V2730" s="68">
        <v>0</v>
      </c>
      <c r="W2730" s="0">
        <f>IF(IF(B2730="none",1,IF(B2730="Trialer",1,0))+IF(C2730="Customer",1,IF(C2730="Lost",1,0))=2,1,0)</f>
      </c>
      <c r="X2730" s="0" t="s">
        <v>148</v>
      </c>
      <c r="Y2730" s="0" t="s">
        <v>243</v>
      </c>
      <c r="AV2730" s="68"/>
      <c r="AW2730" s="68"/>
      <c r="AY2730" s="27"/>
      <c r="BD2730" s="68">
        <v>46054.1666666667</v>
      </c>
      <c r="BE2730" s="68">
        <v>46082.1666666667</v>
      </c>
      <c r="BF2730" s="0" t="b">
        <v>0</v>
      </c>
      <c r="BG2730" s="0" t="b">
        <v>0</v>
      </c>
      <c r="BH2730" s="0">
        <v>286</v>
      </c>
      <c r="BI2730" s="0">
        <v>286</v>
      </c>
      <c r="BJ2730" s="0" t="s">
        <v>230</v>
      </c>
    </row>
    <row r="2731">
      <c r="A2731" s="0" t="s">
        <v>2974</v>
      </c>
      <c r="B2731" s="0" t="s">
        <v>134</v>
      </c>
      <c r="C2731" s="0" t="s">
        <v>134</v>
      </c>
      <c r="D2731" s="0" t="s">
        <v>230</v>
      </c>
      <c r="E2731" s="0" t="s">
        <v>3</v>
      </c>
      <c r="F2731" s="0" t="s">
        <v>12</v>
      </c>
      <c r="G2731" s="0" t="s">
        <v>8</v>
      </c>
      <c r="H2731" s="0">
        <v>474</v>
      </c>
      <c r="I2731" s="0">
        <v>108</v>
      </c>
      <c r="J2731" s="0">
        <v>0</v>
      </c>
      <c r="K2731" s="0">
        <v>1</v>
      </c>
      <c r="L2731" s="0">
        <v>4</v>
      </c>
      <c r="M2731" s="0">
        <v>2</v>
      </c>
      <c r="N2731" s="0">
        <v>0</v>
      </c>
      <c r="O2731" s="0">
        <v>0</v>
      </c>
      <c r="P2731" s="0">
        <v>-108</v>
      </c>
      <c r="R2731" s="0" t="b">
        <v>0</v>
      </c>
      <c r="S2731" s="0" t="b">
        <v>1</v>
      </c>
      <c r="T2731" s="68">
        <v>45579.4347222222</v>
      </c>
      <c r="U2731" s="68">
        <v>45593.3333333333</v>
      </c>
      <c r="V2731" s="68">
        <v>0</v>
      </c>
      <c r="W2731" s="0">
        <f>IF(IF(B2731="none",1,IF(B2731="Trialer",1,0))+IF(C2731="Customer",1,IF(C2731="Lost",1,0))=2,1,0)</f>
      </c>
      <c r="X2731" s="0" t="s">
        <v>653</v>
      </c>
      <c r="Y2731" s="0" t="s">
        <v>243</v>
      </c>
      <c r="AV2731" s="68"/>
      <c r="AW2731" s="68"/>
      <c r="AY2731" s="27"/>
      <c r="BD2731" s="68">
        <v>46054.1666666667</v>
      </c>
      <c r="BE2731" s="68">
        <v>46082.1666666667</v>
      </c>
      <c r="BF2731" s="0" t="b">
        <v>0</v>
      </c>
      <c r="BG2731" s="0" t="b">
        <v>0</v>
      </c>
      <c r="BH2731" s="0">
        <v>122</v>
      </c>
      <c r="BI2731" s="0">
        <v>122</v>
      </c>
      <c r="BJ2731" s="0" t="s">
        <v>230</v>
      </c>
    </row>
    <row r="2732">
      <c r="A2732" s="0" t="s">
        <v>2975</v>
      </c>
      <c r="B2732" s="0" t="s">
        <v>134</v>
      </c>
      <c r="C2732" s="0" t="s">
        <v>134</v>
      </c>
      <c r="D2732" s="0" t="s">
        <v>135</v>
      </c>
      <c r="E2732" s="0" t="s">
        <v>3</v>
      </c>
      <c r="F2732" s="0" t="s">
        <v>12</v>
      </c>
      <c r="G2732" s="0" t="s">
        <v>8</v>
      </c>
      <c r="H2732" s="0">
        <v>473</v>
      </c>
      <c r="I2732" s="0">
        <v>40</v>
      </c>
      <c r="J2732" s="0">
        <v>0</v>
      </c>
      <c r="K2732" s="0">
        <v>1</v>
      </c>
      <c r="L2732" s="0">
        <v>2</v>
      </c>
      <c r="M2732" s="0">
        <v>1</v>
      </c>
      <c r="N2732" s="0">
        <v>0</v>
      </c>
      <c r="O2732" s="0">
        <v>0</v>
      </c>
      <c r="P2732" s="0">
        <v>0</v>
      </c>
      <c r="R2732" s="0" t="b">
        <v>0</v>
      </c>
      <c r="S2732" s="0" t="b">
        <v>1</v>
      </c>
      <c r="T2732" s="68">
        <v>45580.3951388889</v>
      </c>
      <c r="U2732" s="68">
        <v>45594.3333333333</v>
      </c>
      <c r="V2732" s="68">
        <v>0</v>
      </c>
      <c r="W2732" s="0">
        <f>IF(IF(B2732="none",1,IF(B2732="Trialer",1,0))+IF(C2732="Customer",1,IF(C2732="Lost",1,0))=2,1,0)</f>
      </c>
      <c r="X2732" s="0" t="s">
        <v>166</v>
      </c>
      <c r="Y2732" s="0" t="s">
        <v>243</v>
      </c>
      <c r="AV2732" s="68"/>
      <c r="AW2732" s="68"/>
      <c r="AY2732" s="27"/>
      <c r="BD2732" s="68">
        <v>46054.1666666667</v>
      </c>
      <c r="BE2732" s="68">
        <v>46082.1666666667</v>
      </c>
      <c r="BF2732" s="0" t="b">
        <v>0</v>
      </c>
      <c r="BG2732" s="0" t="b">
        <v>0</v>
      </c>
      <c r="BH2732" s="0">
        <v>40</v>
      </c>
      <c r="BI2732" s="0">
        <v>40</v>
      </c>
      <c r="BJ2732" s="0" t="s">
        <v>135</v>
      </c>
    </row>
    <row r="2733">
      <c r="A2733" s="0" t="s">
        <v>2976</v>
      </c>
      <c r="B2733" s="0" t="s">
        <v>134</v>
      </c>
      <c r="C2733" s="0" t="s">
        <v>134</v>
      </c>
      <c r="D2733" s="0" t="s">
        <v>135</v>
      </c>
      <c r="E2733" s="0" t="s">
        <v>4</v>
      </c>
      <c r="F2733" s="0" t="s">
        <v>12</v>
      </c>
      <c r="G2733" s="0" t="s">
        <v>8</v>
      </c>
      <c r="H2733" s="0">
        <v>472</v>
      </c>
      <c r="I2733" s="0">
        <v>0</v>
      </c>
      <c r="J2733" s="0">
        <v>0</v>
      </c>
      <c r="K2733" s="0">
        <v>1</v>
      </c>
      <c r="L2733" s="0">
        <v>4</v>
      </c>
      <c r="M2733" s="0">
        <v>1</v>
      </c>
      <c r="N2733" s="0">
        <v>0</v>
      </c>
      <c r="O2733" s="0">
        <v>0</v>
      </c>
      <c r="P2733" s="0">
        <v>0</v>
      </c>
      <c r="R2733" s="0" t="b">
        <v>0</v>
      </c>
      <c r="S2733" s="0" t="b">
        <v>1</v>
      </c>
      <c r="T2733" s="68">
        <v>45581.439837963</v>
      </c>
      <c r="U2733" s="68">
        <v>45597.3333333333</v>
      </c>
      <c r="V2733" s="68">
        <v>0</v>
      </c>
      <c r="W2733" s="0">
        <f>IF(IF(B2733="none",1,IF(B2733="Trialer",1,0))+IF(C2733="Customer",1,IF(C2733="Lost",1,0))=2,1,0)</f>
      </c>
      <c r="X2733" s="0" t="s">
        <v>148</v>
      </c>
      <c r="Y2733" s="0" t="s">
        <v>1772</v>
      </c>
      <c r="AV2733" s="68"/>
      <c r="AW2733" s="68"/>
      <c r="AY2733" s="27"/>
      <c r="BD2733" s="68">
        <v>46054.1666666667</v>
      </c>
      <c r="BE2733" s="68">
        <v>46082.1666666667</v>
      </c>
      <c r="BF2733" s="0" t="b">
        <v>0</v>
      </c>
      <c r="BG2733" s="0" t="b">
        <v>0</v>
      </c>
      <c r="BH2733" s="0">
        <v>0</v>
      </c>
      <c r="BI2733" s="0">
        <v>0</v>
      </c>
      <c r="BJ2733" s="0" t="s">
        <v>135</v>
      </c>
    </row>
    <row r="2734">
      <c r="A2734" s="0" t="s">
        <v>2977</v>
      </c>
      <c r="B2734" s="0" t="s">
        <v>134</v>
      </c>
      <c r="C2734" s="0" t="s">
        <v>134</v>
      </c>
      <c r="D2734" s="0" t="s">
        <v>135</v>
      </c>
      <c r="E2734" s="0" t="s">
        <v>3</v>
      </c>
      <c r="F2734" s="0" t="s">
        <v>12</v>
      </c>
      <c r="G2734" s="0" t="s">
        <v>8</v>
      </c>
      <c r="H2734" s="0">
        <v>472</v>
      </c>
      <c r="I2734" s="0">
        <v>98</v>
      </c>
      <c r="J2734" s="0">
        <v>0</v>
      </c>
      <c r="K2734" s="0">
        <v>1</v>
      </c>
      <c r="L2734" s="0">
        <v>3</v>
      </c>
      <c r="M2734" s="0">
        <v>2</v>
      </c>
      <c r="N2734" s="0">
        <v>0</v>
      </c>
      <c r="O2734" s="0">
        <v>0</v>
      </c>
      <c r="P2734" s="0">
        <v>0</v>
      </c>
      <c r="R2734" s="0" t="b">
        <v>0</v>
      </c>
      <c r="S2734" s="0" t="b">
        <v>1</v>
      </c>
      <c r="T2734" s="68">
        <v>45581.6105787037</v>
      </c>
      <c r="U2734" s="68">
        <v>45595.3333333333</v>
      </c>
      <c r="V2734" s="68">
        <v>0</v>
      </c>
      <c r="W2734" s="0">
        <f>IF(IF(B2734="none",1,IF(B2734="Trialer",1,0))+IF(C2734="Customer",1,IF(C2734="Lost",1,0))=2,1,0)</f>
      </c>
      <c r="X2734" s="0" t="s">
        <v>142</v>
      </c>
      <c r="Y2734" s="0" t="s">
        <v>243</v>
      </c>
      <c r="AV2734" s="68"/>
      <c r="AW2734" s="68"/>
      <c r="AY2734" s="27"/>
      <c r="BD2734" s="68">
        <v>46054.1666666667</v>
      </c>
      <c r="BE2734" s="68">
        <v>46082.1666666667</v>
      </c>
      <c r="BF2734" s="0" t="b">
        <v>0</v>
      </c>
      <c r="BG2734" s="0" t="b">
        <v>0</v>
      </c>
      <c r="BH2734" s="0">
        <v>98</v>
      </c>
      <c r="BI2734" s="0">
        <v>98</v>
      </c>
      <c r="BJ2734" s="0" t="s">
        <v>135</v>
      </c>
    </row>
    <row r="2735">
      <c r="A2735" s="0" t="s">
        <v>2978</v>
      </c>
      <c r="B2735" s="0" t="s">
        <v>134</v>
      </c>
      <c r="C2735" s="0" t="s">
        <v>134</v>
      </c>
      <c r="D2735" s="0" t="s">
        <v>230</v>
      </c>
      <c r="E2735" s="0" t="s">
        <v>3</v>
      </c>
      <c r="F2735" s="0" t="s">
        <v>12</v>
      </c>
      <c r="G2735" s="0" t="s">
        <v>8</v>
      </c>
      <c r="H2735" s="0">
        <v>472</v>
      </c>
      <c r="I2735" s="0">
        <v>328.5</v>
      </c>
      <c r="J2735" s="0">
        <v>0</v>
      </c>
      <c r="K2735" s="0">
        <v>1</v>
      </c>
      <c r="L2735" s="0">
        <v>5</v>
      </c>
      <c r="M2735" s="0">
        <v>5</v>
      </c>
      <c r="N2735" s="0">
        <v>0</v>
      </c>
      <c r="O2735" s="0">
        <v>0</v>
      </c>
      <c r="P2735" s="0">
        <v>-328.5</v>
      </c>
      <c r="R2735" s="0" t="b">
        <v>0</v>
      </c>
      <c r="S2735" s="0" t="b">
        <v>1</v>
      </c>
      <c r="T2735" s="68">
        <v>45581.6159722222</v>
      </c>
      <c r="U2735" s="68">
        <v>45626.2916666667</v>
      </c>
      <c r="V2735" s="68">
        <v>0</v>
      </c>
      <c r="W2735" s="0">
        <f>IF(IF(B2735="none",1,IF(B2735="Trialer",1,0))+IF(C2735="Customer",1,IF(C2735="Lost",1,0))=2,1,0)</f>
      </c>
      <c r="X2735" s="0" t="s">
        <v>136</v>
      </c>
      <c r="Y2735" s="0" t="s">
        <v>243</v>
      </c>
      <c r="AV2735" s="68"/>
      <c r="AW2735" s="68"/>
      <c r="AY2735" s="27"/>
      <c r="BD2735" s="68">
        <v>46054.1666666667</v>
      </c>
      <c r="BE2735" s="68">
        <v>46082.1666666667</v>
      </c>
      <c r="BF2735" s="0" t="b">
        <v>0</v>
      </c>
      <c r="BG2735" s="0" t="b">
        <v>0</v>
      </c>
      <c r="BH2735" s="0">
        <v>365</v>
      </c>
      <c r="BI2735" s="0">
        <v>365</v>
      </c>
      <c r="BJ2735" s="0" t="s">
        <v>230</v>
      </c>
    </row>
    <row r="2736">
      <c r="A2736" s="0" t="s">
        <v>2979</v>
      </c>
      <c r="B2736" s="0" t="s">
        <v>134</v>
      </c>
      <c r="C2736" s="0" t="s">
        <v>134</v>
      </c>
      <c r="D2736" s="0" t="s">
        <v>230</v>
      </c>
      <c r="E2736" s="0" t="s">
        <v>3</v>
      </c>
      <c r="F2736" s="0" t="s">
        <v>12</v>
      </c>
      <c r="G2736" s="0" t="s">
        <v>8</v>
      </c>
      <c r="H2736" s="0">
        <v>471</v>
      </c>
      <c r="I2736" s="0">
        <v>410.4</v>
      </c>
      <c r="J2736" s="0">
        <v>0</v>
      </c>
      <c r="K2736" s="0">
        <v>1</v>
      </c>
      <c r="L2736" s="0">
        <v>4</v>
      </c>
      <c r="M2736" s="0">
        <v>9</v>
      </c>
      <c r="N2736" s="0">
        <v>0</v>
      </c>
      <c r="O2736" s="0">
        <v>0</v>
      </c>
      <c r="P2736" s="0">
        <v>-410.4</v>
      </c>
      <c r="R2736" s="0" t="b">
        <v>0</v>
      </c>
      <c r="S2736" s="0" t="b">
        <v>1</v>
      </c>
      <c r="T2736" s="68">
        <v>45582.4516898148</v>
      </c>
      <c r="U2736" s="68">
        <v>45596.3333333333</v>
      </c>
      <c r="V2736" s="68">
        <v>0</v>
      </c>
      <c r="W2736" s="0">
        <f>IF(IF(B2736="none",1,IF(B2736="Trialer",1,0))+IF(C2736="Customer",1,IF(C2736="Lost",1,0))=2,1,0)</f>
      </c>
      <c r="X2736" s="0" t="s">
        <v>136</v>
      </c>
      <c r="Y2736" s="0" t="s">
        <v>243</v>
      </c>
      <c r="AV2736" s="68"/>
      <c r="AW2736" s="68"/>
      <c r="AY2736" s="27"/>
      <c r="BD2736" s="68">
        <v>46054.1666666667</v>
      </c>
      <c r="BE2736" s="68">
        <v>46082.1666666667</v>
      </c>
      <c r="BF2736" s="0" t="b">
        <v>0</v>
      </c>
      <c r="BG2736" s="0" t="b">
        <v>0</v>
      </c>
      <c r="BH2736" s="0">
        <v>456</v>
      </c>
      <c r="BI2736" s="0">
        <v>456</v>
      </c>
      <c r="BJ2736" s="0" t="s">
        <v>230</v>
      </c>
    </row>
    <row r="2737">
      <c r="A2737" s="0" t="s">
        <v>2980</v>
      </c>
      <c r="B2737" s="0" t="s">
        <v>134</v>
      </c>
      <c r="C2737" s="0" t="s">
        <v>134</v>
      </c>
      <c r="D2737" s="0" t="s">
        <v>135</v>
      </c>
      <c r="E2737" s="0" t="s">
        <v>2</v>
      </c>
      <c r="F2737" s="0" t="s">
        <v>12</v>
      </c>
      <c r="G2737" s="0" t="s">
        <v>8</v>
      </c>
      <c r="H2737" s="0">
        <v>470</v>
      </c>
      <c r="I2737" s="0">
        <v>0</v>
      </c>
      <c r="J2737" s="0">
        <v>0</v>
      </c>
      <c r="K2737" s="0">
        <v>1</v>
      </c>
      <c r="L2737" s="0">
        <v>4</v>
      </c>
      <c r="M2737" s="0">
        <v>2</v>
      </c>
      <c r="N2737" s="0">
        <v>0</v>
      </c>
      <c r="O2737" s="0">
        <v>0</v>
      </c>
      <c r="P2737" s="0">
        <v>0</v>
      </c>
      <c r="R2737" s="0" t="b">
        <v>0</v>
      </c>
      <c r="S2737" s="0" t="b">
        <v>1</v>
      </c>
      <c r="T2737" s="68">
        <v>45583.385787037</v>
      </c>
      <c r="U2737" s="68">
        <v>45597.3333333333</v>
      </c>
      <c r="V2737" s="68">
        <v>0</v>
      </c>
      <c r="W2737" s="0">
        <f>IF(IF(B2737="none",1,IF(B2737="Trialer",1,0))+IF(C2737="Customer",1,IF(C2737="Lost",1,0))=2,1,0)</f>
      </c>
      <c r="X2737" s="0" t="s">
        <v>148</v>
      </c>
      <c r="Y2737" s="0" t="s">
        <v>499</v>
      </c>
      <c r="AV2737" s="68"/>
      <c r="AW2737" s="68"/>
      <c r="AY2737" s="27"/>
      <c r="BD2737" s="68">
        <v>46054.1666666667</v>
      </c>
      <c r="BE2737" s="68">
        <v>46082.1666666667</v>
      </c>
      <c r="BF2737" s="0" t="b">
        <v>0</v>
      </c>
      <c r="BG2737" s="0" t="b">
        <v>0</v>
      </c>
      <c r="BH2737" s="0">
        <v>0</v>
      </c>
      <c r="BI2737" s="0">
        <v>0</v>
      </c>
      <c r="BJ2737" s="0" t="s">
        <v>135</v>
      </c>
    </row>
    <row r="2738">
      <c r="A2738" s="0" t="s">
        <v>2981</v>
      </c>
      <c r="B2738" s="0" t="s">
        <v>134</v>
      </c>
      <c r="C2738" s="0" t="s">
        <v>134</v>
      </c>
      <c r="D2738" s="0" t="s">
        <v>135</v>
      </c>
      <c r="E2738" s="0" t="s">
        <v>3</v>
      </c>
      <c r="F2738" s="0" t="s">
        <v>12</v>
      </c>
      <c r="G2738" s="0" t="s">
        <v>8</v>
      </c>
      <c r="H2738" s="0">
        <v>468</v>
      </c>
      <c r="I2738" s="0">
        <v>0</v>
      </c>
      <c r="J2738" s="0">
        <v>0</v>
      </c>
      <c r="K2738" s="0">
        <v>0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  <c r="R2738" s="0" t="b">
        <v>0</v>
      </c>
      <c r="S2738" s="0" t="b">
        <v>1</v>
      </c>
      <c r="T2738" s="68">
        <v>45585.0527777778</v>
      </c>
      <c r="U2738" s="68">
        <v>45599.2916666667</v>
      </c>
      <c r="V2738" s="68">
        <v>0</v>
      </c>
      <c r="W2738" s="0">
        <f>IF(IF(B2738="none",1,IF(B2738="Trialer",1,0))+IF(C2738="Customer",1,IF(C2738="Lost",1,0))=2,1,0)</f>
      </c>
      <c r="X2738" s="0" t="s">
        <v>153</v>
      </c>
      <c r="Y2738" s="0" t="s">
        <v>243</v>
      </c>
      <c r="AV2738" s="68"/>
      <c r="AW2738" s="68"/>
      <c r="AY2738" s="27"/>
      <c r="BD2738" s="68">
        <v>46054.1666666667</v>
      </c>
      <c r="BE2738" s="68">
        <v>46082.1666666667</v>
      </c>
      <c r="BF2738" s="0" t="b">
        <v>0</v>
      </c>
      <c r="BG2738" s="0" t="b">
        <v>0</v>
      </c>
      <c r="BH2738" s="0">
        <v>0</v>
      </c>
      <c r="BI2738" s="0">
        <v>0</v>
      </c>
      <c r="BJ2738" s="0" t="s">
        <v>135</v>
      </c>
    </row>
    <row r="2739">
      <c r="A2739" s="0" t="s">
        <v>2982</v>
      </c>
      <c r="B2739" s="0" t="s">
        <v>134</v>
      </c>
      <c r="C2739" s="0" t="s">
        <v>134</v>
      </c>
      <c r="D2739" s="0" t="s">
        <v>230</v>
      </c>
      <c r="E2739" s="0" t="s">
        <v>3</v>
      </c>
      <c r="F2739" s="0" t="s">
        <v>12</v>
      </c>
      <c r="G2739" s="0" t="s">
        <v>8</v>
      </c>
      <c r="H2739" s="0">
        <v>468</v>
      </c>
      <c r="I2739" s="0">
        <v>189.9</v>
      </c>
      <c r="J2739" s="0">
        <v>0</v>
      </c>
      <c r="K2739" s="0">
        <v>1</v>
      </c>
      <c r="L2739" s="0">
        <v>4</v>
      </c>
      <c r="M2739" s="0">
        <v>4</v>
      </c>
      <c r="N2739" s="0">
        <v>0</v>
      </c>
      <c r="O2739" s="0">
        <v>0</v>
      </c>
      <c r="P2739" s="0">
        <v>-189.9</v>
      </c>
      <c r="R2739" s="0" t="b">
        <v>0</v>
      </c>
      <c r="S2739" s="0" t="b">
        <v>1</v>
      </c>
      <c r="T2739" s="68">
        <v>45585.5920949074</v>
      </c>
      <c r="U2739" s="68">
        <v>45586.3333333333</v>
      </c>
      <c r="V2739" s="68">
        <v>0</v>
      </c>
      <c r="W2739" s="0">
        <f>IF(IF(B2739="none",1,IF(B2739="Trialer",1,0))+IF(C2739="Customer",1,IF(C2739="Lost",1,0))=2,1,0)</f>
      </c>
      <c r="X2739" s="0" t="s">
        <v>145</v>
      </c>
      <c r="Y2739" s="0" t="s">
        <v>243</v>
      </c>
      <c r="AV2739" s="68"/>
      <c r="AW2739" s="68"/>
      <c r="AY2739" s="27"/>
      <c r="BD2739" s="68">
        <v>46054.1666666667</v>
      </c>
      <c r="BE2739" s="68">
        <v>46082.1666666667</v>
      </c>
      <c r="BF2739" s="0" t="b">
        <v>0</v>
      </c>
      <c r="BG2739" s="0" t="b">
        <v>0</v>
      </c>
      <c r="BH2739" s="0">
        <v>211</v>
      </c>
      <c r="BI2739" s="0">
        <v>211</v>
      </c>
      <c r="BJ2739" s="0" t="s">
        <v>230</v>
      </c>
    </row>
    <row r="2740">
      <c r="A2740" s="0" t="s">
        <v>2983</v>
      </c>
      <c r="B2740" s="0" t="s">
        <v>134</v>
      </c>
      <c r="C2740" s="0" t="s">
        <v>134</v>
      </c>
      <c r="D2740" s="0" t="s">
        <v>135</v>
      </c>
      <c r="E2740" s="0" t="s">
        <v>3</v>
      </c>
      <c r="F2740" s="0" t="s">
        <v>12</v>
      </c>
      <c r="G2740" s="0" t="s">
        <v>8</v>
      </c>
      <c r="H2740" s="0">
        <v>467</v>
      </c>
      <c r="I2740" s="0">
        <v>98</v>
      </c>
      <c r="J2740" s="0">
        <v>0</v>
      </c>
      <c r="K2740" s="0">
        <v>1</v>
      </c>
      <c r="L2740" s="0">
        <v>3</v>
      </c>
      <c r="M2740" s="0">
        <v>2</v>
      </c>
      <c r="N2740" s="0">
        <v>0</v>
      </c>
      <c r="O2740" s="0">
        <v>0</v>
      </c>
      <c r="P2740" s="0">
        <v>0</v>
      </c>
      <c r="R2740" s="0" t="b">
        <v>0</v>
      </c>
      <c r="S2740" s="0" t="b">
        <v>0</v>
      </c>
      <c r="T2740" s="68">
        <v>45586.4818865741</v>
      </c>
      <c r="U2740" s="68">
        <v>45604.2916666667</v>
      </c>
      <c r="V2740" s="68">
        <v>46097.6168402778</v>
      </c>
      <c r="W2740" s="0">
        <f>IF(IF(B2740="none",1,IF(B2740="Trialer",1,0))+IF(C2740="Customer",1,IF(C2740="Lost",1,0))=2,1,0)</f>
      </c>
      <c r="X2740" s="0" t="s">
        <v>142</v>
      </c>
      <c r="Y2740" s="0" t="s">
        <v>243</v>
      </c>
      <c r="AV2740" s="68"/>
      <c r="AW2740" s="68"/>
      <c r="AY2740" s="27"/>
      <c r="BD2740" s="68">
        <v>46054.1666666667</v>
      </c>
      <c r="BE2740" s="68">
        <v>46082.1666666667</v>
      </c>
      <c r="BF2740" s="0" t="b">
        <v>0</v>
      </c>
      <c r="BG2740" s="0" t="b">
        <v>0</v>
      </c>
      <c r="BH2740" s="0">
        <v>98</v>
      </c>
      <c r="BI2740" s="0">
        <v>98</v>
      </c>
      <c r="BJ2740" s="0" t="s">
        <v>135</v>
      </c>
    </row>
    <row r="2741">
      <c r="A2741" s="0" t="s">
        <v>2984</v>
      </c>
      <c r="B2741" s="0" t="s">
        <v>134</v>
      </c>
      <c r="C2741" s="0" t="s">
        <v>134</v>
      </c>
      <c r="D2741" s="0" t="s">
        <v>230</v>
      </c>
      <c r="E2741" s="0" t="s">
        <v>2</v>
      </c>
      <c r="F2741" s="0" t="s">
        <v>12</v>
      </c>
      <c r="G2741" s="0" t="s">
        <v>8</v>
      </c>
      <c r="H2741" s="0">
        <v>467</v>
      </c>
      <c r="I2741" s="0">
        <v>855.1</v>
      </c>
      <c r="J2741" s="0">
        <v>0</v>
      </c>
      <c r="K2741" s="0">
        <v>1</v>
      </c>
      <c r="L2741" s="0">
        <v>6</v>
      </c>
      <c r="M2741" s="0">
        <v>10</v>
      </c>
      <c r="N2741" s="0">
        <v>0</v>
      </c>
      <c r="O2741" s="0">
        <v>0</v>
      </c>
      <c r="P2741" s="0">
        <v>-530.1</v>
      </c>
      <c r="R2741" s="0" t="b">
        <v>0</v>
      </c>
      <c r="S2741" s="0" t="b">
        <v>1</v>
      </c>
      <c r="T2741" s="68">
        <v>45586.6944444444</v>
      </c>
      <c r="U2741" s="68">
        <v>45614.2916666667</v>
      </c>
      <c r="V2741" s="68">
        <v>0</v>
      </c>
      <c r="W2741" s="0">
        <f>IF(IF(B2741="none",1,IF(B2741="Trialer",1,0))+IF(C2741="Customer",1,IF(C2741="Lost",1,0))=2,1,0)</f>
      </c>
      <c r="X2741" s="0" t="s">
        <v>145</v>
      </c>
      <c r="Y2741" s="0" t="s">
        <v>499</v>
      </c>
      <c r="AV2741" s="68"/>
      <c r="AW2741" s="68"/>
      <c r="AY2741" s="27"/>
      <c r="BD2741" s="68">
        <v>46054.1666666667</v>
      </c>
      <c r="BE2741" s="68">
        <v>46082.1666666667</v>
      </c>
      <c r="BF2741" s="0" t="b">
        <v>0</v>
      </c>
      <c r="BG2741" s="0" t="b">
        <v>0</v>
      </c>
      <c r="BH2741" s="0">
        <v>589</v>
      </c>
      <c r="BI2741" s="0">
        <v>589</v>
      </c>
      <c r="BJ2741" s="0" t="s">
        <v>230</v>
      </c>
    </row>
    <row r="2742">
      <c r="A2742" s="0" t="s">
        <v>2985</v>
      </c>
      <c r="B2742" s="0" t="s">
        <v>134</v>
      </c>
      <c r="C2742" s="0" t="s">
        <v>134</v>
      </c>
      <c r="D2742" s="0" t="s">
        <v>135</v>
      </c>
      <c r="E2742" s="0" t="s">
        <v>2</v>
      </c>
      <c r="F2742" s="0" t="s">
        <v>10</v>
      </c>
      <c r="G2742" s="0" t="s">
        <v>8</v>
      </c>
      <c r="H2742" s="0">
        <v>466</v>
      </c>
      <c r="I2742" s="0">
        <v>147</v>
      </c>
      <c r="J2742" s="0">
        <v>0</v>
      </c>
      <c r="K2742" s="0">
        <v>1</v>
      </c>
      <c r="L2742" s="0">
        <v>3</v>
      </c>
      <c r="M2742" s="0">
        <v>3</v>
      </c>
      <c r="N2742" s="0">
        <v>0</v>
      </c>
      <c r="O2742" s="0">
        <v>0</v>
      </c>
      <c r="P2742" s="0">
        <v>0</v>
      </c>
      <c r="Q2742" s="0" t="s">
        <v>357</v>
      </c>
      <c r="R2742" s="0" t="b">
        <v>0</v>
      </c>
      <c r="S2742" s="0" t="b">
        <v>1</v>
      </c>
      <c r="T2742" s="68">
        <v>45587.5129398148</v>
      </c>
      <c r="U2742" s="68">
        <v>45609.2916666667</v>
      </c>
      <c r="V2742" s="68">
        <v>0</v>
      </c>
      <c r="W2742" s="0">
        <f>IF(IF(B2742="none",1,IF(B2742="Trialer",1,0))+IF(C2742="Customer",1,IF(C2742="Lost",1,0))=2,1,0)</f>
      </c>
      <c r="X2742" s="0" t="s">
        <v>148</v>
      </c>
      <c r="Y2742" s="0" t="s">
        <v>1587</v>
      </c>
      <c r="AV2742" s="68"/>
      <c r="AW2742" s="68"/>
      <c r="AY2742" s="27"/>
      <c r="BD2742" s="68">
        <v>46054.1666666667</v>
      </c>
      <c r="BE2742" s="68">
        <v>46082.1666666667</v>
      </c>
      <c r="BF2742" s="0" t="b">
        <v>0</v>
      </c>
      <c r="BG2742" s="0" t="b">
        <v>0</v>
      </c>
      <c r="BH2742" s="0">
        <v>147</v>
      </c>
      <c r="BI2742" s="0">
        <v>147</v>
      </c>
      <c r="BJ2742" s="0" t="s">
        <v>135</v>
      </c>
    </row>
    <row r="2743">
      <c r="A2743" s="0" t="s">
        <v>2986</v>
      </c>
      <c r="B2743" s="0" t="s">
        <v>134</v>
      </c>
      <c r="C2743" s="0" t="s">
        <v>134</v>
      </c>
      <c r="D2743" s="0" t="s">
        <v>135</v>
      </c>
      <c r="E2743" s="0" t="s">
        <v>2</v>
      </c>
      <c r="F2743" s="0" t="s">
        <v>12</v>
      </c>
      <c r="G2743" s="0" t="s">
        <v>8</v>
      </c>
      <c r="H2743" s="0">
        <v>464</v>
      </c>
      <c r="I2743" s="0">
        <v>1108</v>
      </c>
      <c r="J2743" s="0">
        <v>0</v>
      </c>
      <c r="K2743" s="0">
        <v>1</v>
      </c>
      <c r="L2743" s="0">
        <v>4</v>
      </c>
      <c r="M2743" s="0">
        <v>15</v>
      </c>
      <c r="N2743" s="0">
        <v>0</v>
      </c>
      <c r="O2743" s="0">
        <v>0</v>
      </c>
      <c r="P2743" s="0">
        <v>0</v>
      </c>
      <c r="R2743" s="0" t="b">
        <v>0</v>
      </c>
      <c r="S2743" s="0" t="b">
        <v>1</v>
      </c>
      <c r="T2743" s="68">
        <v>45589.3859837963</v>
      </c>
      <c r="U2743" s="68">
        <v>45629.2916666667</v>
      </c>
      <c r="V2743" s="68">
        <v>0</v>
      </c>
      <c r="W2743" s="0">
        <f>IF(IF(B2743="none",1,IF(B2743="Trialer",1,0))+IF(C2743="Customer",1,IF(C2743="Lost",1,0))=2,1,0)</f>
      </c>
      <c r="X2743" s="0" t="s">
        <v>136</v>
      </c>
      <c r="Y2743" s="0" t="s">
        <v>499</v>
      </c>
      <c r="AV2743" s="68"/>
      <c r="AW2743" s="68"/>
      <c r="AY2743" s="27"/>
      <c r="BD2743" s="68">
        <v>46054.1666666667</v>
      </c>
      <c r="BE2743" s="68">
        <v>46082.1666666667</v>
      </c>
      <c r="BF2743" s="0" t="b">
        <v>0</v>
      </c>
      <c r="BG2743" s="0" t="b">
        <v>0</v>
      </c>
      <c r="BH2743" s="0">
        <v>783</v>
      </c>
      <c r="BI2743" s="0">
        <v>783</v>
      </c>
      <c r="BJ2743" s="0" t="s">
        <v>135</v>
      </c>
    </row>
    <row r="2744">
      <c r="A2744" s="0" t="s">
        <v>2987</v>
      </c>
      <c r="B2744" s="0" t="s">
        <v>134</v>
      </c>
      <c r="C2744" s="0" t="s">
        <v>134</v>
      </c>
      <c r="D2744" s="0" t="s">
        <v>230</v>
      </c>
      <c r="E2744" s="0" t="s">
        <v>3</v>
      </c>
      <c r="F2744" s="0" t="s">
        <v>12</v>
      </c>
      <c r="G2744" s="0" t="s">
        <v>8</v>
      </c>
      <c r="H2744" s="0">
        <v>463</v>
      </c>
      <c r="I2744" s="0">
        <v>46</v>
      </c>
      <c r="J2744" s="0">
        <v>0</v>
      </c>
      <c r="K2744" s="0">
        <v>1</v>
      </c>
      <c r="L2744" s="0">
        <v>3</v>
      </c>
      <c r="M2744" s="0">
        <v>1</v>
      </c>
      <c r="N2744" s="0">
        <v>0</v>
      </c>
      <c r="O2744" s="0">
        <v>0</v>
      </c>
      <c r="P2744" s="0">
        <v>-46</v>
      </c>
      <c r="R2744" s="0" t="b">
        <v>0</v>
      </c>
      <c r="S2744" s="0" t="b">
        <v>1</v>
      </c>
      <c r="T2744" s="68">
        <v>45590.0201851852</v>
      </c>
      <c r="U2744" s="68">
        <v>45603.2916666667</v>
      </c>
      <c r="V2744" s="68">
        <v>0</v>
      </c>
      <c r="W2744" s="0">
        <f>IF(IF(B2744="none",1,IF(B2744="Trialer",1,0))+IF(C2744="Customer",1,IF(C2744="Lost",1,0))=2,1,0)</f>
      </c>
      <c r="X2744" s="0" t="s">
        <v>153</v>
      </c>
      <c r="Y2744" s="0" t="s">
        <v>243</v>
      </c>
      <c r="AV2744" s="68"/>
      <c r="AW2744" s="68"/>
      <c r="AY2744" s="27"/>
      <c r="BD2744" s="68">
        <v>46054.1666666667</v>
      </c>
      <c r="BE2744" s="68">
        <v>46082.1666666667</v>
      </c>
      <c r="BF2744" s="0" t="b">
        <v>0</v>
      </c>
      <c r="BG2744" s="0" t="b">
        <v>0</v>
      </c>
      <c r="BH2744" s="0">
        <v>52</v>
      </c>
      <c r="BI2744" s="0">
        <v>52</v>
      </c>
      <c r="BJ2744" s="0" t="s">
        <v>230</v>
      </c>
    </row>
    <row r="2745">
      <c r="A2745" s="0" t="s">
        <v>2988</v>
      </c>
      <c r="B2745" s="0" t="s">
        <v>134</v>
      </c>
      <c r="C2745" s="0" t="s">
        <v>134</v>
      </c>
      <c r="D2745" s="0" t="s">
        <v>230</v>
      </c>
      <c r="E2745" s="0" t="s">
        <v>3</v>
      </c>
      <c r="F2745" s="0" t="s">
        <v>12</v>
      </c>
      <c r="G2745" s="0" t="s">
        <v>8</v>
      </c>
      <c r="H2745" s="0">
        <v>463</v>
      </c>
      <c r="I2745" s="0">
        <v>91.5</v>
      </c>
      <c r="J2745" s="0">
        <v>0</v>
      </c>
      <c r="K2745" s="0">
        <v>1</v>
      </c>
      <c r="L2745" s="0">
        <v>4</v>
      </c>
      <c r="M2745" s="0">
        <v>2</v>
      </c>
      <c r="N2745" s="0">
        <v>0</v>
      </c>
      <c r="O2745" s="0">
        <v>0</v>
      </c>
      <c r="P2745" s="0">
        <v>-91.5</v>
      </c>
      <c r="R2745" s="0" t="b">
        <v>0</v>
      </c>
      <c r="S2745" s="0" t="b">
        <v>1</v>
      </c>
      <c r="T2745" s="68">
        <v>45590.1284143518</v>
      </c>
      <c r="U2745" s="68">
        <v>45590.3333333333</v>
      </c>
      <c r="V2745" s="68">
        <v>0</v>
      </c>
      <c r="W2745" s="0">
        <f>IF(IF(B2745="none",1,IF(B2745="Trialer",1,0))+IF(C2745="Customer",1,IF(C2745="Lost",1,0))=2,1,0)</f>
      </c>
      <c r="X2745" s="0" t="s">
        <v>145</v>
      </c>
      <c r="Y2745" s="0" t="s">
        <v>243</v>
      </c>
      <c r="AV2745" s="68"/>
      <c r="AW2745" s="68"/>
      <c r="AY2745" s="27"/>
      <c r="BD2745" s="68">
        <v>46054.1666666667</v>
      </c>
      <c r="BE2745" s="68">
        <v>46082.1666666667</v>
      </c>
      <c r="BF2745" s="0" t="b">
        <v>0</v>
      </c>
      <c r="BG2745" s="0" t="b">
        <v>0</v>
      </c>
      <c r="BH2745" s="0">
        <v>207</v>
      </c>
      <c r="BI2745" s="0">
        <v>207</v>
      </c>
      <c r="BJ2745" s="0" t="s">
        <v>230</v>
      </c>
    </row>
    <row r="2746">
      <c r="A2746" s="0" t="s">
        <v>2989</v>
      </c>
      <c r="B2746" s="0" t="s">
        <v>134</v>
      </c>
      <c r="C2746" s="0" t="s">
        <v>134</v>
      </c>
      <c r="D2746" s="0" t="s">
        <v>135</v>
      </c>
      <c r="E2746" s="0" t="s">
        <v>2</v>
      </c>
      <c r="F2746" s="0" t="s">
        <v>12</v>
      </c>
      <c r="G2746" s="0" t="s">
        <v>8</v>
      </c>
      <c r="H2746" s="0">
        <v>463</v>
      </c>
      <c r="I2746" s="0">
        <v>61</v>
      </c>
      <c r="J2746" s="0">
        <v>0</v>
      </c>
      <c r="K2746" s="0">
        <v>2</v>
      </c>
      <c r="L2746" s="0">
        <v>0</v>
      </c>
      <c r="M2746" s="0">
        <v>0</v>
      </c>
      <c r="N2746" s="0">
        <v>0</v>
      </c>
      <c r="O2746" s="0">
        <v>0</v>
      </c>
      <c r="P2746" s="0">
        <v>0</v>
      </c>
      <c r="R2746" s="0" t="b">
        <v>0</v>
      </c>
      <c r="S2746" s="0" t="b">
        <v>1</v>
      </c>
      <c r="T2746" s="68">
        <v>45590.3972222222</v>
      </c>
      <c r="U2746" s="68">
        <v>45609.2916666667</v>
      </c>
      <c r="V2746" s="68">
        <v>0</v>
      </c>
      <c r="W2746" s="0">
        <f>IF(IF(B2746="none",1,IF(B2746="Trialer",1,0))+IF(C2746="Customer",1,IF(C2746="Lost",1,0))=2,1,0)</f>
      </c>
      <c r="X2746" s="0" t="s">
        <v>166</v>
      </c>
      <c r="Y2746" s="0" t="s">
        <v>499</v>
      </c>
      <c r="AV2746" s="68"/>
      <c r="AW2746" s="68"/>
      <c r="AY2746" s="27"/>
      <c r="BD2746" s="68">
        <v>46054.1666666667</v>
      </c>
      <c r="BE2746" s="68">
        <v>46082.1666666667</v>
      </c>
      <c r="BF2746" s="0" t="b">
        <v>0</v>
      </c>
      <c r="BG2746" s="0" t="b">
        <v>0</v>
      </c>
      <c r="BH2746" s="0">
        <v>61</v>
      </c>
      <c r="BI2746" s="0">
        <v>61</v>
      </c>
      <c r="BJ2746" s="0" t="s">
        <v>135</v>
      </c>
    </row>
    <row r="2747">
      <c r="A2747" s="0" t="s">
        <v>2990</v>
      </c>
      <c r="B2747" s="0" t="s">
        <v>134</v>
      </c>
      <c r="C2747" s="0" t="s">
        <v>134</v>
      </c>
      <c r="D2747" s="0" t="s">
        <v>135</v>
      </c>
      <c r="E2747" s="0" t="s">
        <v>3</v>
      </c>
      <c r="F2747" s="0" t="s">
        <v>10</v>
      </c>
      <c r="G2747" s="0" t="s">
        <v>8</v>
      </c>
      <c r="H2747" s="0">
        <v>463</v>
      </c>
      <c r="I2747" s="0">
        <v>28</v>
      </c>
      <c r="J2747" s="0">
        <v>0</v>
      </c>
      <c r="K2747" s="0">
        <v>1</v>
      </c>
      <c r="L2747" s="0">
        <v>1</v>
      </c>
      <c r="M2747" s="0">
        <v>1</v>
      </c>
      <c r="N2747" s="0">
        <v>0</v>
      </c>
      <c r="O2747" s="0">
        <v>0</v>
      </c>
      <c r="P2747" s="0">
        <v>0</v>
      </c>
      <c r="Q2747" s="0" t="s">
        <v>618</v>
      </c>
      <c r="R2747" s="0" t="b">
        <v>0</v>
      </c>
      <c r="S2747" s="0" t="b">
        <v>1</v>
      </c>
      <c r="T2747" s="68">
        <v>45590.4875694444</v>
      </c>
      <c r="U2747" s="68">
        <v>45604.2916666667</v>
      </c>
      <c r="V2747" s="68">
        <v>0</v>
      </c>
      <c r="W2747" s="0">
        <f>IF(IF(B2747="none",1,IF(B2747="Trialer",1,0))+IF(C2747="Customer",1,IF(C2747="Lost",1,0))=2,1,0)</f>
      </c>
      <c r="X2747" s="0" t="s">
        <v>148</v>
      </c>
      <c r="Y2747" s="0" t="s">
        <v>243</v>
      </c>
      <c r="AV2747" s="68"/>
      <c r="AW2747" s="68"/>
      <c r="AY2747" s="27"/>
      <c r="BD2747" s="68">
        <v>46054.1666666667</v>
      </c>
      <c r="BE2747" s="68">
        <v>46082.1666666667</v>
      </c>
      <c r="BF2747" s="0" t="b">
        <v>0</v>
      </c>
      <c r="BG2747" s="0" t="b">
        <v>0</v>
      </c>
      <c r="BH2747" s="0">
        <v>28</v>
      </c>
      <c r="BI2747" s="0">
        <v>28</v>
      </c>
      <c r="BJ2747" s="0" t="s">
        <v>135</v>
      </c>
    </row>
    <row r="2748">
      <c r="A2748" s="0" t="s">
        <v>2991</v>
      </c>
      <c r="B2748" s="0" t="s">
        <v>134</v>
      </c>
      <c r="C2748" s="0" t="s">
        <v>134</v>
      </c>
      <c r="D2748" s="0" t="s">
        <v>135</v>
      </c>
      <c r="E2748" s="0" t="s">
        <v>3</v>
      </c>
      <c r="F2748" s="0" t="s">
        <v>12</v>
      </c>
      <c r="G2748" s="0" t="s">
        <v>8</v>
      </c>
      <c r="H2748" s="0">
        <v>463</v>
      </c>
      <c r="I2748" s="0">
        <v>98</v>
      </c>
      <c r="J2748" s="0">
        <v>0</v>
      </c>
      <c r="K2748" s="0">
        <v>1</v>
      </c>
      <c r="L2748" s="0">
        <v>4</v>
      </c>
      <c r="M2748" s="0">
        <v>2</v>
      </c>
      <c r="N2748" s="0">
        <v>0</v>
      </c>
      <c r="O2748" s="0">
        <v>0</v>
      </c>
      <c r="P2748" s="0">
        <v>0</v>
      </c>
      <c r="R2748" s="0" t="b">
        <v>0</v>
      </c>
      <c r="S2748" s="0" t="b">
        <v>1</v>
      </c>
      <c r="T2748" s="68">
        <v>45590.5219097222</v>
      </c>
      <c r="U2748" s="68">
        <v>45604.2916666667</v>
      </c>
      <c r="V2748" s="68">
        <v>0</v>
      </c>
      <c r="W2748" s="0">
        <f>IF(IF(B2748="none",1,IF(B2748="Trialer",1,0))+IF(C2748="Customer",1,IF(C2748="Lost",1,0))=2,1,0)</f>
      </c>
      <c r="X2748" s="0" t="s">
        <v>653</v>
      </c>
      <c r="Y2748" s="0" t="s">
        <v>243</v>
      </c>
      <c r="AV2748" s="68"/>
      <c r="AW2748" s="68"/>
      <c r="AY2748" s="27"/>
      <c r="BD2748" s="68">
        <v>46054.1666666667</v>
      </c>
      <c r="BE2748" s="68">
        <v>46082.1666666667</v>
      </c>
      <c r="BF2748" s="0" t="b">
        <v>0</v>
      </c>
      <c r="BG2748" s="0" t="b">
        <v>0</v>
      </c>
      <c r="BH2748" s="0">
        <v>98</v>
      </c>
      <c r="BI2748" s="0">
        <v>98</v>
      </c>
      <c r="BJ2748" s="0" t="s">
        <v>135</v>
      </c>
    </row>
    <row r="2749">
      <c r="A2749" s="0" t="s">
        <v>2992</v>
      </c>
      <c r="B2749" s="0" t="s">
        <v>134</v>
      </c>
      <c r="C2749" s="0" t="s">
        <v>134</v>
      </c>
      <c r="D2749" s="0" t="s">
        <v>135</v>
      </c>
      <c r="E2749" s="0" t="s">
        <v>3</v>
      </c>
      <c r="F2749" s="0" t="s">
        <v>12</v>
      </c>
      <c r="G2749" s="0" t="s">
        <v>8</v>
      </c>
      <c r="H2749" s="0">
        <v>463</v>
      </c>
      <c r="I2749" s="0">
        <v>0</v>
      </c>
      <c r="J2749" s="0">
        <v>0</v>
      </c>
      <c r="K2749" s="0">
        <v>1</v>
      </c>
      <c r="L2749" s="0">
        <v>4</v>
      </c>
      <c r="M2749" s="0">
        <v>2</v>
      </c>
      <c r="N2749" s="0">
        <v>0</v>
      </c>
      <c r="O2749" s="0">
        <v>0</v>
      </c>
      <c r="P2749" s="0">
        <v>0</v>
      </c>
      <c r="R2749" s="0" t="b">
        <v>0</v>
      </c>
      <c r="S2749" s="0" t="b">
        <v>1</v>
      </c>
      <c r="T2749" s="68">
        <v>45590.7534722222</v>
      </c>
      <c r="U2749" s="68">
        <v>45604.2916666667</v>
      </c>
      <c r="V2749" s="68">
        <v>0</v>
      </c>
      <c r="W2749" s="0">
        <f>IF(IF(B2749="none",1,IF(B2749="Trialer",1,0))+IF(C2749="Customer",1,IF(C2749="Lost",1,0))=2,1,0)</f>
      </c>
      <c r="X2749" s="0" t="s">
        <v>148</v>
      </c>
      <c r="Y2749" s="0" t="s">
        <v>2664</v>
      </c>
      <c r="AV2749" s="68"/>
      <c r="AW2749" s="68"/>
      <c r="AY2749" s="27"/>
      <c r="BD2749" s="68">
        <v>46054.1666666667</v>
      </c>
      <c r="BE2749" s="68">
        <v>46082.1666666667</v>
      </c>
      <c r="BF2749" s="0" t="b">
        <v>0</v>
      </c>
      <c r="BG2749" s="0" t="b">
        <v>0</v>
      </c>
      <c r="BH2749" s="0">
        <v>0</v>
      </c>
      <c r="BI2749" s="0">
        <v>0</v>
      </c>
      <c r="BJ2749" s="0" t="s">
        <v>135</v>
      </c>
    </row>
    <row r="2750">
      <c r="A2750" s="0" t="s">
        <v>2993</v>
      </c>
      <c r="B2750" s="0" t="s">
        <v>134</v>
      </c>
      <c r="C2750" s="0" t="s">
        <v>134</v>
      </c>
      <c r="D2750" s="0" t="s">
        <v>135</v>
      </c>
      <c r="E2750" s="0" t="s">
        <v>3</v>
      </c>
      <c r="F2750" s="0" t="s">
        <v>12</v>
      </c>
      <c r="G2750" s="0" t="s">
        <v>8</v>
      </c>
      <c r="H2750" s="0">
        <v>463</v>
      </c>
      <c r="I2750" s="0">
        <v>183</v>
      </c>
      <c r="J2750" s="0">
        <v>0</v>
      </c>
      <c r="K2750" s="0">
        <v>1</v>
      </c>
      <c r="L2750" s="0">
        <v>4</v>
      </c>
      <c r="M2750" s="0">
        <v>3</v>
      </c>
      <c r="N2750" s="0">
        <v>0</v>
      </c>
      <c r="O2750" s="0">
        <v>0</v>
      </c>
      <c r="P2750" s="0">
        <v>0</v>
      </c>
      <c r="R2750" s="0" t="b">
        <v>0</v>
      </c>
      <c r="S2750" s="0" t="b">
        <v>1</v>
      </c>
      <c r="T2750" s="68">
        <v>45590.8892708333</v>
      </c>
      <c r="U2750" s="68">
        <v>45604.2916666667</v>
      </c>
      <c r="V2750" s="68">
        <v>0</v>
      </c>
      <c r="W2750" s="0">
        <f>IF(IF(B2750="none",1,IF(B2750="Trialer",1,0))+IF(C2750="Customer",1,IF(C2750="Lost",1,0))=2,1,0)</f>
      </c>
      <c r="X2750" s="0" t="s">
        <v>166</v>
      </c>
      <c r="Y2750" s="0" t="s">
        <v>243</v>
      </c>
      <c r="AV2750" s="68"/>
      <c r="AW2750" s="68"/>
      <c r="AY2750" s="27"/>
      <c r="BD2750" s="68">
        <v>46054.1666666667</v>
      </c>
      <c r="BE2750" s="68">
        <v>46082.1666666667</v>
      </c>
      <c r="BF2750" s="0" t="b">
        <v>0</v>
      </c>
      <c r="BG2750" s="0" t="b">
        <v>0</v>
      </c>
      <c r="BH2750" s="0">
        <v>183</v>
      </c>
      <c r="BI2750" s="0">
        <v>183</v>
      </c>
      <c r="BJ2750" s="0" t="s">
        <v>135</v>
      </c>
    </row>
    <row r="2751">
      <c r="A2751" s="0" t="s">
        <v>2994</v>
      </c>
      <c r="B2751" s="0" t="s">
        <v>134</v>
      </c>
      <c r="C2751" s="0" t="s">
        <v>134</v>
      </c>
      <c r="D2751" s="0" t="s">
        <v>135</v>
      </c>
      <c r="E2751" s="0" t="s">
        <v>2</v>
      </c>
      <c r="F2751" s="0" t="s">
        <v>12</v>
      </c>
      <c r="G2751" s="0" t="s">
        <v>8</v>
      </c>
      <c r="H2751" s="0">
        <v>462</v>
      </c>
      <c r="I2751" s="0">
        <v>80</v>
      </c>
      <c r="J2751" s="0">
        <v>0</v>
      </c>
      <c r="K2751" s="0">
        <v>1</v>
      </c>
      <c r="L2751" s="0">
        <v>2</v>
      </c>
      <c r="M2751" s="0">
        <v>2</v>
      </c>
      <c r="N2751" s="0">
        <v>0</v>
      </c>
      <c r="O2751" s="0">
        <v>0</v>
      </c>
      <c r="P2751" s="0">
        <v>0</v>
      </c>
      <c r="R2751" s="0" t="b">
        <v>0</v>
      </c>
      <c r="S2751" s="0" t="b">
        <v>1</v>
      </c>
      <c r="T2751" s="68">
        <v>45591.2928935185</v>
      </c>
      <c r="U2751" s="68">
        <v>45601.2916666667</v>
      </c>
      <c r="V2751" s="68">
        <v>0</v>
      </c>
      <c r="W2751" s="0">
        <f>IF(IF(B2751="none",1,IF(B2751="Trialer",1,0))+IF(C2751="Customer",1,IF(C2751="Lost",1,0))=2,1,0)</f>
      </c>
      <c r="X2751" s="0" t="s">
        <v>1461</v>
      </c>
      <c r="Y2751" s="0" t="s">
        <v>499</v>
      </c>
      <c r="AV2751" s="68"/>
      <c r="AW2751" s="68"/>
      <c r="AY2751" s="27"/>
      <c r="BD2751" s="68">
        <v>46054.1666666667</v>
      </c>
      <c r="BE2751" s="68">
        <v>46082.1666666667</v>
      </c>
      <c r="BF2751" s="0" t="b">
        <v>0</v>
      </c>
      <c r="BG2751" s="0" t="b">
        <v>0</v>
      </c>
      <c r="BH2751" s="0">
        <v>80</v>
      </c>
      <c r="BI2751" s="0">
        <v>80</v>
      </c>
      <c r="BJ2751" s="0" t="s">
        <v>135</v>
      </c>
    </row>
    <row r="2752">
      <c r="A2752" s="0" t="s">
        <v>2995</v>
      </c>
      <c r="B2752" s="0" t="s">
        <v>134</v>
      </c>
      <c r="C2752" s="0" t="s">
        <v>134</v>
      </c>
      <c r="D2752" s="0" t="s">
        <v>135</v>
      </c>
      <c r="E2752" s="0" t="s">
        <v>3</v>
      </c>
      <c r="F2752" s="0" t="s">
        <v>12</v>
      </c>
      <c r="G2752" s="0" t="s">
        <v>8</v>
      </c>
      <c r="H2752" s="0">
        <v>462</v>
      </c>
      <c r="I2752" s="0">
        <v>109</v>
      </c>
      <c r="J2752" s="0">
        <v>0</v>
      </c>
      <c r="K2752" s="0">
        <v>1</v>
      </c>
      <c r="L2752" s="0">
        <v>5</v>
      </c>
      <c r="M2752" s="0">
        <v>3</v>
      </c>
      <c r="N2752" s="0">
        <v>0</v>
      </c>
      <c r="O2752" s="0">
        <v>0</v>
      </c>
      <c r="P2752" s="0">
        <v>0</v>
      </c>
      <c r="R2752" s="0" t="b">
        <v>0</v>
      </c>
      <c r="S2752" s="0" t="b">
        <v>1</v>
      </c>
      <c r="T2752" s="68">
        <v>45591.3077430556</v>
      </c>
      <c r="U2752" s="68">
        <v>45605.2916666667</v>
      </c>
      <c r="V2752" s="68">
        <v>0</v>
      </c>
      <c r="W2752" s="0">
        <f>IF(IF(B2752="none",1,IF(B2752="Trialer",1,0))+IF(C2752="Customer",1,IF(C2752="Lost",1,0))=2,1,0)</f>
      </c>
      <c r="X2752" s="0" t="s">
        <v>142</v>
      </c>
      <c r="Y2752" s="0" t="s">
        <v>243</v>
      </c>
      <c r="AV2752" s="68"/>
      <c r="AW2752" s="68"/>
      <c r="AY2752" s="27"/>
      <c r="BD2752" s="68">
        <v>46054.1666666667</v>
      </c>
      <c r="BE2752" s="68">
        <v>46082.1666666667</v>
      </c>
      <c r="BF2752" s="0" t="b">
        <v>0</v>
      </c>
      <c r="BG2752" s="0" t="b">
        <v>0</v>
      </c>
      <c r="BH2752" s="0">
        <v>109</v>
      </c>
      <c r="BI2752" s="0">
        <v>109</v>
      </c>
      <c r="BJ2752" s="0" t="s">
        <v>135</v>
      </c>
    </row>
    <row r="2753">
      <c r="A2753" s="0" t="s">
        <v>2996</v>
      </c>
      <c r="B2753" s="0" t="s">
        <v>134</v>
      </c>
      <c r="C2753" s="0" t="s">
        <v>134</v>
      </c>
      <c r="D2753" s="0" t="s">
        <v>135</v>
      </c>
      <c r="E2753" s="0" t="s">
        <v>3</v>
      </c>
      <c r="F2753" s="0" t="s">
        <v>12</v>
      </c>
      <c r="G2753" s="0" t="s">
        <v>8</v>
      </c>
      <c r="H2753" s="0">
        <v>460</v>
      </c>
      <c r="I2753" s="0">
        <v>0</v>
      </c>
      <c r="J2753" s="0">
        <v>0</v>
      </c>
      <c r="K2753" s="0">
        <v>1</v>
      </c>
      <c r="L2753" s="0">
        <v>3</v>
      </c>
      <c r="M2753" s="0">
        <v>1</v>
      </c>
      <c r="N2753" s="0">
        <v>0</v>
      </c>
      <c r="O2753" s="0">
        <v>0</v>
      </c>
      <c r="P2753" s="0">
        <v>0</v>
      </c>
      <c r="R2753" s="0" t="b">
        <v>0</v>
      </c>
      <c r="S2753" s="0" t="b">
        <v>1</v>
      </c>
      <c r="T2753" s="68">
        <v>45593.3168171296</v>
      </c>
      <c r="U2753" s="68">
        <v>45607.2916666667</v>
      </c>
      <c r="V2753" s="68">
        <v>0</v>
      </c>
      <c r="W2753" s="0">
        <f>IF(IF(B2753="none",1,IF(B2753="Trialer",1,0))+IF(C2753="Customer",1,IF(C2753="Lost",1,0))=2,1,0)</f>
      </c>
      <c r="X2753" s="0" t="s">
        <v>148</v>
      </c>
      <c r="Y2753" s="0" t="s">
        <v>243</v>
      </c>
      <c r="AV2753" s="68"/>
      <c r="AW2753" s="68"/>
      <c r="AY2753" s="27"/>
      <c r="BD2753" s="68">
        <v>46054.1666666667</v>
      </c>
      <c r="BE2753" s="68">
        <v>46082.1666666667</v>
      </c>
      <c r="BF2753" s="0" t="b">
        <v>0</v>
      </c>
      <c r="BG2753" s="0" t="b">
        <v>0</v>
      </c>
      <c r="BH2753" s="0">
        <v>0</v>
      </c>
      <c r="BI2753" s="0">
        <v>0</v>
      </c>
      <c r="BJ2753" s="0" t="s">
        <v>135</v>
      </c>
    </row>
    <row r="2754">
      <c r="A2754" s="0" t="s">
        <v>2997</v>
      </c>
      <c r="B2754" s="0" t="s">
        <v>134</v>
      </c>
      <c r="C2754" s="0" t="s">
        <v>134</v>
      </c>
      <c r="D2754" s="0" t="s">
        <v>135</v>
      </c>
      <c r="E2754" s="0" t="s">
        <v>3</v>
      </c>
      <c r="F2754" s="0" t="s">
        <v>12</v>
      </c>
      <c r="G2754" s="0" t="s">
        <v>8</v>
      </c>
      <c r="H2754" s="0">
        <v>460</v>
      </c>
      <c r="I2754" s="0">
        <v>40</v>
      </c>
      <c r="J2754" s="0">
        <v>0</v>
      </c>
      <c r="K2754" s="0">
        <v>1</v>
      </c>
      <c r="L2754" s="0">
        <v>2</v>
      </c>
      <c r="M2754" s="0">
        <v>1</v>
      </c>
      <c r="N2754" s="0">
        <v>0</v>
      </c>
      <c r="O2754" s="0">
        <v>0</v>
      </c>
      <c r="P2754" s="0">
        <v>0</v>
      </c>
      <c r="R2754" s="0" t="b">
        <v>0</v>
      </c>
      <c r="S2754" s="0" t="b">
        <v>1</v>
      </c>
      <c r="T2754" s="68">
        <v>45593.8002546296</v>
      </c>
      <c r="U2754" s="68">
        <v>45600.2916666667</v>
      </c>
      <c r="V2754" s="68">
        <v>0</v>
      </c>
      <c r="W2754" s="0">
        <f>IF(IF(B2754="none",1,IF(B2754="Trialer",1,0))+IF(C2754="Customer",1,IF(C2754="Lost",1,0))=2,1,0)</f>
      </c>
      <c r="X2754" s="0" t="s">
        <v>166</v>
      </c>
      <c r="Y2754" s="0" t="s">
        <v>243</v>
      </c>
      <c r="AV2754" s="68"/>
      <c r="AW2754" s="68"/>
      <c r="AY2754" s="27"/>
      <c r="BD2754" s="68">
        <v>46054.1666666667</v>
      </c>
      <c r="BE2754" s="68">
        <v>46082.1666666667</v>
      </c>
      <c r="BF2754" s="0" t="b">
        <v>0</v>
      </c>
      <c r="BG2754" s="0" t="b">
        <v>0</v>
      </c>
      <c r="BH2754" s="0">
        <v>40</v>
      </c>
      <c r="BI2754" s="0">
        <v>40</v>
      </c>
      <c r="BJ2754" s="0" t="s">
        <v>135</v>
      </c>
    </row>
    <row r="2755">
      <c r="A2755" s="0" t="s">
        <v>2998</v>
      </c>
      <c r="B2755" s="0" t="s">
        <v>134</v>
      </c>
      <c r="C2755" s="0" t="s">
        <v>134</v>
      </c>
      <c r="D2755" s="0" t="s">
        <v>230</v>
      </c>
      <c r="E2755" s="0" t="s">
        <v>3</v>
      </c>
      <c r="F2755" s="0" t="s">
        <v>12</v>
      </c>
      <c r="G2755" s="0" t="s">
        <v>8</v>
      </c>
      <c r="H2755" s="0">
        <v>459</v>
      </c>
      <c r="I2755" s="0">
        <v>118.8</v>
      </c>
      <c r="J2755" s="0">
        <v>0</v>
      </c>
      <c r="K2755" s="0">
        <v>1</v>
      </c>
      <c r="L2755" s="0">
        <v>3</v>
      </c>
      <c r="M2755" s="0">
        <v>3</v>
      </c>
      <c r="N2755" s="0">
        <v>0</v>
      </c>
      <c r="O2755" s="0">
        <v>0</v>
      </c>
      <c r="P2755" s="0">
        <v>-118.8</v>
      </c>
      <c r="R2755" s="0" t="b">
        <v>0</v>
      </c>
      <c r="S2755" s="0" t="b">
        <v>1</v>
      </c>
      <c r="T2755" s="68">
        <v>45594.6213310185</v>
      </c>
      <c r="U2755" s="68">
        <v>45622.2916666667</v>
      </c>
      <c r="V2755" s="68">
        <v>0</v>
      </c>
      <c r="W2755" s="0">
        <f>IF(IF(B2755="none",1,IF(B2755="Trialer",1,0))+IF(C2755="Customer",1,IF(C2755="Lost",1,0))=2,1,0)</f>
      </c>
      <c r="X2755" s="0" t="s">
        <v>166</v>
      </c>
      <c r="Y2755" s="0" t="s">
        <v>243</v>
      </c>
      <c r="AV2755" s="68"/>
      <c r="AW2755" s="68"/>
      <c r="AY2755" s="27"/>
      <c r="BD2755" s="68">
        <v>46054.1666666667</v>
      </c>
      <c r="BE2755" s="68">
        <v>46082.1666666667</v>
      </c>
      <c r="BF2755" s="0" t="b">
        <v>0</v>
      </c>
      <c r="BG2755" s="0" t="b">
        <v>0</v>
      </c>
      <c r="BH2755" s="0">
        <v>132</v>
      </c>
      <c r="BI2755" s="0">
        <v>132</v>
      </c>
      <c r="BJ2755" s="0" t="s">
        <v>230</v>
      </c>
    </row>
    <row r="2756">
      <c r="A2756" s="0" t="s">
        <v>2999</v>
      </c>
      <c r="B2756" s="0" t="s">
        <v>134</v>
      </c>
      <c r="C2756" s="0" t="s">
        <v>134</v>
      </c>
      <c r="D2756" s="0" t="s">
        <v>135</v>
      </c>
      <c r="E2756" s="0" t="s">
        <v>3</v>
      </c>
      <c r="F2756" s="0" t="s">
        <v>12</v>
      </c>
      <c r="G2756" s="0" t="s">
        <v>8</v>
      </c>
      <c r="H2756" s="0">
        <v>458</v>
      </c>
      <c r="I2756" s="0">
        <v>407</v>
      </c>
      <c r="J2756" s="0">
        <v>0</v>
      </c>
      <c r="K2756" s="0">
        <v>1</v>
      </c>
      <c r="L2756" s="0">
        <v>5</v>
      </c>
      <c r="M2756" s="0">
        <v>10</v>
      </c>
      <c r="N2756" s="0">
        <v>0</v>
      </c>
      <c r="O2756" s="0">
        <v>0</v>
      </c>
      <c r="P2756" s="0">
        <v>0</v>
      </c>
      <c r="R2756" s="0" t="b">
        <v>0</v>
      </c>
      <c r="S2756" s="0" t="b">
        <v>1</v>
      </c>
      <c r="T2756" s="68">
        <v>45595.6710416667</v>
      </c>
      <c r="U2756" s="68">
        <v>45597.3333333333</v>
      </c>
      <c r="V2756" s="68">
        <v>0</v>
      </c>
      <c r="W2756" s="0">
        <f>IF(IF(B2756="none",1,IF(B2756="Trialer",1,0))+IF(C2756="Customer",1,IF(C2756="Lost",1,0))=2,1,0)</f>
      </c>
      <c r="X2756" s="0" t="s">
        <v>148</v>
      </c>
      <c r="Y2756" s="0" t="s">
        <v>243</v>
      </c>
      <c r="AV2756" s="68"/>
      <c r="AW2756" s="68"/>
      <c r="AY2756" s="27"/>
      <c r="BD2756" s="68">
        <v>46054.1666666667</v>
      </c>
      <c r="BE2756" s="68">
        <v>46082.1666666667</v>
      </c>
      <c r="BF2756" s="0" t="b">
        <v>0</v>
      </c>
      <c r="BG2756" s="0" t="b">
        <v>0</v>
      </c>
      <c r="BH2756" s="0">
        <v>425</v>
      </c>
      <c r="BI2756" s="0">
        <v>425</v>
      </c>
      <c r="BJ2756" s="0" t="s">
        <v>135</v>
      </c>
    </row>
    <row r="2757">
      <c r="A2757" s="0" t="s">
        <v>3000</v>
      </c>
      <c r="B2757" s="0" t="s">
        <v>134</v>
      </c>
      <c r="C2757" s="0" t="s">
        <v>134</v>
      </c>
      <c r="D2757" s="0" t="s">
        <v>230</v>
      </c>
      <c r="E2757" s="0" t="s">
        <v>3</v>
      </c>
      <c r="F2757" s="0" t="s">
        <v>12</v>
      </c>
      <c r="G2757" s="0" t="s">
        <v>8</v>
      </c>
      <c r="H2757" s="0">
        <v>457</v>
      </c>
      <c r="I2757" s="0">
        <v>240</v>
      </c>
      <c r="J2757" s="0">
        <v>0</v>
      </c>
      <c r="K2757" s="0">
        <v>1</v>
      </c>
      <c r="L2757" s="0">
        <v>5</v>
      </c>
      <c r="M2757" s="0">
        <v>5</v>
      </c>
      <c r="N2757" s="0">
        <v>0</v>
      </c>
      <c r="O2757" s="0">
        <v>0</v>
      </c>
      <c r="P2757" s="0">
        <v>-240</v>
      </c>
      <c r="R2757" s="0" t="b">
        <v>0</v>
      </c>
      <c r="S2757" s="0" t="b">
        <v>1</v>
      </c>
      <c r="T2757" s="68">
        <v>45596.4284722222</v>
      </c>
      <c r="U2757" s="68">
        <v>45610.2916666667</v>
      </c>
      <c r="V2757" s="68">
        <v>0</v>
      </c>
      <c r="W2757" s="0">
        <f>IF(IF(B2757="none",1,IF(B2757="Trialer",1,0))+IF(C2757="Customer",1,IF(C2757="Lost",1,0))=2,1,0)</f>
      </c>
      <c r="X2757" s="0" t="s">
        <v>136</v>
      </c>
      <c r="Y2757" s="0" t="s">
        <v>243</v>
      </c>
      <c r="AV2757" s="68"/>
      <c r="AW2757" s="68"/>
      <c r="AY2757" s="27"/>
      <c r="BD2757" s="68">
        <v>46054.1666666667</v>
      </c>
      <c r="BE2757" s="68">
        <v>46082.1666666667</v>
      </c>
      <c r="BF2757" s="0" t="b">
        <v>0</v>
      </c>
      <c r="BG2757" s="0" t="b">
        <v>0</v>
      </c>
      <c r="BH2757" s="0">
        <v>269</v>
      </c>
      <c r="BI2757" s="0">
        <v>269</v>
      </c>
      <c r="BJ2757" s="0" t="s">
        <v>230</v>
      </c>
    </row>
    <row r="2758">
      <c r="A2758" s="0" t="s">
        <v>3001</v>
      </c>
      <c r="B2758" s="0" t="s">
        <v>134</v>
      </c>
      <c r="C2758" s="0" t="s">
        <v>134</v>
      </c>
      <c r="D2758" s="0" t="s">
        <v>135</v>
      </c>
      <c r="E2758" s="0" t="s">
        <v>3</v>
      </c>
      <c r="F2758" s="0" t="s">
        <v>12</v>
      </c>
      <c r="G2758" s="0" t="s">
        <v>8</v>
      </c>
      <c r="H2758" s="0">
        <v>456</v>
      </c>
      <c r="I2758" s="0">
        <v>0</v>
      </c>
      <c r="J2758" s="0">
        <v>0</v>
      </c>
      <c r="K2758" s="0">
        <v>1</v>
      </c>
      <c r="L2758" s="0">
        <v>3</v>
      </c>
      <c r="M2758" s="0">
        <v>1</v>
      </c>
      <c r="N2758" s="0">
        <v>0</v>
      </c>
      <c r="O2758" s="0">
        <v>0</v>
      </c>
      <c r="P2758" s="0">
        <v>0</v>
      </c>
      <c r="R2758" s="0" t="b">
        <v>0</v>
      </c>
      <c r="S2758" s="0" t="b">
        <v>1</v>
      </c>
      <c r="T2758" s="68">
        <v>45597.5227662037</v>
      </c>
      <c r="U2758" s="68">
        <v>45611.2916666667</v>
      </c>
      <c r="V2758" s="68">
        <v>0</v>
      </c>
      <c r="W2758" s="0">
        <f>IF(IF(B2758="none",1,IF(B2758="Trialer",1,0))+IF(C2758="Customer",1,IF(C2758="Lost",1,0))=2,1,0)</f>
      </c>
      <c r="X2758" s="0" t="s">
        <v>136</v>
      </c>
      <c r="Y2758" s="0" t="s">
        <v>243</v>
      </c>
      <c r="AV2758" s="68"/>
      <c r="AW2758" s="68"/>
      <c r="AY2758" s="27"/>
      <c r="BD2758" s="68">
        <v>46054.1666666667</v>
      </c>
      <c r="BE2758" s="68">
        <v>46082.1666666667</v>
      </c>
      <c r="BF2758" s="0" t="b">
        <v>0</v>
      </c>
      <c r="BG2758" s="0" t="b">
        <v>0</v>
      </c>
      <c r="BH2758" s="0">
        <v>0</v>
      </c>
      <c r="BI2758" s="0">
        <v>0</v>
      </c>
      <c r="BJ2758" s="0" t="s">
        <v>135</v>
      </c>
    </row>
    <row r="2759">
      <c r="A2759" s="0" t="s">
        <v>3002</v>
      </c>
      <c r="B2759" s="0" t="s">
        <v>134</v>
      </c>
      <c r="C2759" s="0" t="s">
        <v>134</v>
      </c>
      <c r="D2759" s="0" t="s">
        <v>135</v>
      </c>
      <c r="E2759" s="0" t="s">
        <v>3</v>
      </c>
      <c r="F2759" s="0" t="s">
        <v>12</v>
      </c>
      <c r="G2759" s="0" t="s">
        <v>8</v>
      </c>
      <c r="H2759" s="0">
        <v>456</v>
      </c>
      <c r="I2759" s="0">
        <v>487</v>
      </c>
      <c r="J2759" s="0">
        <v>0</v>
      </c>
      <c r="K2759" s="0">
        <v>1</v>
      </c>
      <c r="L2759" s="0">
        <v>3</v>
      </c>
      <c r="M2759" s="0">
        <v>15</v>
      </c>
      <c r="N2759" s="0">
        <v>0</v>
      </c>
      <c r="O2759" s="0">
        <v>0</v>
      </c>
      <c r="P2759" s="0">
        <v>0</v>
      </c>
      <c r="R2759" s="0" t="b">
        <v>0</v>
      </c>
      <c r="S2759" s="0" t="b">
        <v>1</v>
      </c>
      <c r="T2759" s="68">
        <v>45597.6782060185</v>
      </c>
      <c r="U2759" s="68">
        <v>45616.2916666667</v>
      </c>
      <c r="V2759" s="68">
        <v>0</v>
      </c>
      <c r="W2759" s="0">
        <f>IF(IF(B2759="none",1,IF(B2759="Trialer",1,0))+IF(C2759="Customer",1,IF(C2759="Lost",1,0))=2,1,0)</f>
      </c>
      <c r="X2759" s="0" t="s">
        <v>148</v>
      </c>
      <c r="Y2759" s="0" t="s">
        <v>243</v>
      </c>
      <c r="AV2759" s="68"/>
      <c r="AW2759" s="68"/>
      <c r="AY2759" s="27"/>
      <c r="BD2759" s="68">
        <v>46054.1666666667</v>
      </c>
      <c r="BE2759" s="68">
        <v>46082.1666666667</v>
      </c>
      <c r="BF2759" s="0" t="b">
        <v>0</v>
      </c>
      <c r="BG2759" s="0" t="b">
        <v>0</v>
      </c>
      <c r="BH2759" s="0">
        <v>487</v>
      </c>
      <c r="BI2759" s="0">
        <v>487</v>
      </c>
      <c r="BJ2759" s="0" t="s">
        <v>135</v>
      </c>
    </row>
    <row r="2760">
      <c r="A2760" s="0" t="s">
        <v>3003</v>
      </c>
      <c r="B2760" s="0" t="s">
        <v>134</v>
      </c>
      <c r="C2760" s="0" t="s">
        <v>134</v>
      </c>
      <c r="D2760" s="0" t="s">
        <v>135</v>
      </c>
      <c r="E2760" s="0" t="s">
        <v>3</v>
      </c>
      <c r="F2760" s="0" t="s">
        <v>12</v>
      </c>
      <c r="G2760" s="0" t="s">
        <v>8</v>
      </c>
      <c r="H2760" s="0">
        <v>456</v>
      </c>
      <c r="I2760" s="0">
        <v>61</v>
      </c>
      <c r="J2760" s="0">
        <v>0</v>
      </c>
      <c r="K2760" s="0">
        <v>1</v>
      </c>
      <c r="L2760" s="0">
        <v>4</v>
      </c>
      <c r="M2760" s="0">
        <v>1</v>
      </c>
      <c r="N2760" s="0">
        <v>0</v>
      </c>
      <c r="O2760" s="0">
        <v>0</v>
      </c>
      <c r="P2760" s="0">
        <v>0</v>
      </c>
      <c r="R2760" s="0" t="b">
        <v>0</v>
      </c>
      <c r="S2760" s="0" t="b">
        <v>1</v>
      </c>
      <c r="T2760" s="68">
        <v>45597.861400463</v>
      </c>
      <c r="U2760" s="68">
        <v>45611.2916666667</v>
      </c>
      <c r="V2760" s="68">
        <v>0</v>
      </c>
      <c r="W2760" s="0">
        <f>IF(IF(B2760="none",1,IF(B2760="Trialer",1,0))+IF(C2760="Customer",1,IF(C2760="Lost",1,0))=2,1,0)</f>
      </c>
      <c r="X2760" s="0" t="s">
        <v>153</v>
      </c>
      <c r="Y2760" s="0" t="s">
        <v>243</v>
      </c>
      <c r="AV2760" s="68"/>
      <c r="AW2760" s="68"/>
      <c r="AY2760" s="27"/>
      <c r="BD2760" s="68">
        <v>46054.1666666667</v>
      </c>
      <c r="BE2760" s="68">
        <v>46082.1666666667</v>
      </c>
      <c r="BF2760" s="0" t="b">
        <v>0</v>
      </c>
      <c r="BG2760" s="0" t="b">
        <v>0</v>
      </c>
      <c r="BH2760" s="0">
        <v>61</v>
      </c>
      <c r="BI2760" s="0">
        <v>61</v>
      </c>
      <c r="BJ2760" s="0" t="s">
        <v>135</v>
      </c>
    </row>
    <row r="2761">
      <c r="A2761" s="0" t="s">
        <v>3004</v>
      </c>
      <c r="B2761" s="0" t="s">
        <v>134</v>
      </c>
      <c r="C2761" s="0" t="s">
        <v>134</v>
      </c>
      <c r="D2761" s="0" t="s">
        <v>230</v>
      </c>
      <c r="E2761" s="0" t="s">
        <v>3</v>
      </c>
      <c r="F2761" s="0" t="s">
        <v>12</v>
      </c>
      <c r="G2761" s="0" t="s">
        <v>8</v>
      </c>
      <c r="H2761" s="0">
        <v>454</v>
      </c>
      <c r="I2761" s="0">
        <v>127.5</v>
      </c>
      <c r="J2761" s="0">
        <v>0</v>
      </c>
      <c r="K2761" s="0">
        <v>1</v>
      </c>
      <c r="L2761" s="0">
        <v>3</v>
      </c>
      <c r="M2761" s="0">
        <v>6</v>
      </c>
      <c r="N2761" s="0">
        <v>0</v>
      </c>
      <c r="O2761" s="0">
        <v>0</v>
      </c>
      <c r="P2761" s="0">
        <v>-127.5</v>
      </c>
      <c r="R2761" s="0" t="b">
        <v>0</v>
      </c>
      <c r="S2761" s="0" t="b">
        <v>1</v>
      </c>
      <c r="T2761" s="68">
        <v>45599.7021527778</v>
      </c>
      <c r="U2761" s="68">
        <v>45614.2916666667</v>
      </c>
      <c r="V2761" s="68">
        <v>0</v>
      </c>
      <c r="W2761" s="0">
        <f>IF(IF(B2761="none",1,IF(B2761="Trialer",1,0))+IF(C2761="Customer",1,IF(C2761="Lost",1,0))=2,1,0)</f>
      </c>
      <c r="X2761" s="0" t="s">
        <v>148</v>
      </c>
      <c r="Y2761" s="0" t="s">
        <v>243</v>
      </c>
      <c r="AV2761" s="68"/>
      <c r="AW2761" s="68"/>
      <c r="AY2761" s="27"/>
      <c r="BD2761" s="68">
        <v>46054.1666666667</v>
      </c>
      <c r="BE2761" s="68">
        <v>46082.1666666667</v>
      </c>
      <c r="BF2761" s="0" t="b">
        <v>0</v>
      </c>
      <c r="BG2761" s="0" t="b">
        <v>0</v>
      </c>
      <c r="BH2761" s="0">
        <v>170</v>
      </c>
      <c r="BI2761" s="0">
        <v>170</v>
      </c>
      <c r="BJ2761" s="0" t="s">
        <v>230</v>
      </c>
    </row>
    <row r="2762">
      <c r="A2762" s="0" t="s">
        <v>3005</v>
      </c>
      <c r="B2762" s="0" t="s">
        <v>134</v>
      </c>
      <c r="C2762" s="0" t="s">
        <v>134</v>
      </c>
      <c r="D2762" s="0" t="s">
        <v>135</v>
      </c>
      <c r="E2762" s="0" t="s">
        <v>2</v>
      </c>
      <c r="F2762" s="0" t="s">
        <v>12</v>
      </c>
      <c r="G2762" s="0" t="s">
        <v>8</v>
      </c>
      <c r="H2762" s="0">
        <v>453</v>
      </c>
      <c r="I2762" s="0">
        <v>647</v>
      </c>
      <c r="J2762" s="0">
        <v>0</v>
      </c>
      <c r="K2762" s="0">
        <v>1</v>
      </c>
      <c r="L2762" s="0">
        <v>3</v>
      </c>
      <c r="M2762" s="0">
        <v>17</v>
      </c>
      <c r="N2762" s="0">
        <v>0</v>
      </c>
      <c r="O2762" s="0">
        <v>0</v>
      </c>
      <c r="P2762" s="0">
        <v>0</v>
      </c>
      <c r="R2762" s="0" t="b">
        <v>0</v>
      </c>
      <c r="S2762" s="0" t="b">
        <v>1</v>
      </c>
      <c r="T2762" s="68">
        <v>45600.4776157407</v>
      </c>
      <c r="U2762" s="68">
        <v>45614.2916666667</v>
      </c>
      <c r="V2762" s="68">
        <v>0</v>
      </c>
      <c r="W2762" s="0">
        <f>IF(IF(B2762="none",1,IF(B2762="Trialer",1,0))+IF(C2762="Customer",1,IF(C2762="Lost",1,0))=2,1,0)</f>
      </c>
      <c r="X2762" s="0" t="s">
        <v>148</v>
      </c>
      <c r="Y2762" s="0" t="s">
        <v>1587</v>
      </c>
      <c r="AV2762" s="68"/>
      <c r="AW2762" s="68"/>
      <c r="AY2762" s="27"/>
      <c r="BD2762" s="68">
        <v>46054.1666666667</v>
      </c>
      <c r="BE2762" s="68">
        <v>46082.1666666667</v>
      </c>
      <c r="BF2762" s="0" t="b">
        <v>0</v>
      </c>
      <c r="BG2762" s="0" t="b">
        <v>0</v>
      </c>
      <c r="BH2762" s="0">
        <v>647</v>
      </c>
      <c r="BI2762" s="0">
        <v>647</v>
      </c>
      <c r="BJ2762" s="0" t="s">
        <v>135</v>
      </c>
    </row>
    <row r="2763">
      <c r="A2763" s="0" t="s">
        <v>3006</v>
      </c>
      <c r="B2763" s="0" t="s">
        <v>134</v>
      </c>
      <c r="C2763" s="0" t="s">
        <v>134</v>
      </c>
      <c r="D2763" s="0" t="s">
        <v>135</v>
      </c>
      <c r="E2763" s="0" t="s">
        <v>3</v>
      </c>
      <c r="F2763" s="0" t="s">
        <v>12</v>
      </c>
      <c r="G2763" s="0" t="s">
        <v>8</v>
      </c>
      <c r="H2763" s="0">
        <v>452</v>
      </c>
      <c r="I2763" s="0">
        <v>186</v>
      </c>
      <c r="J2763" s="0">
        <v>0</v>
      </c>
      <c r="K2763" s="0">
        <v>1</v>
      </c>
      <c r="L2763" s="0">
        <v>2</v>
      </c>
      <c r="M2763" s="0">
        <v>6</v>
      </c>
      <c r="N2763" s="0">
        <v>0</v>
      </c>
      <c r="O2763" s="0">
        <v>0</v>
      </c>
      <c r="P2763" s="0">
        <v>0</v>
      </c>
      <c r="R2763" s="0" t="b">
        <v>0</v>
      </c>
      <c r="S2763" s="0" t="b">
        <v>1</v>
      </c>
      <c r="T2763" s="68">
        <v>45601.4582407407</v>
      </c>
      <c r="U2763" s="68">
        <v>45615.2916666667</v>
      </c>
      <c r="V2763" s="68">
        <v>0</v>
      </c>
      <c r="W2763" s="0">
        <f>IF(IF(B2763="none",1,IF(B2763="Trialer",1,0))+IF(C2763="Customer",1,IF(C2763="Lost",1,0))=2,1,0)</f>
      </c>
      <c r="X2763" s="0" t="s">
        <v>136</v>
      </c>
      <c r="Y2763" s="0" t="s">
        <v>243</v>
      </c>
      <c r="AV2763" s="68"/>
      <c r="AW2763" s="68"/>
      <c r="AY2763" s="27"/>
      <c r="BD2763" s="68">
        <v>46054.1666666667</v>
      </c>
      <c r="BE2763" s="68">
        <v>46082.1666666667</v>
      </c>
      <c r="BF2763" s="0" t="b">
        <v>0</v>
      </c>
      <c r="BG2763" s="0" t="b">
        <v>0</v>
      </c>
      <c r="BH2763" s="0">
        <v>214</v>
      </c>
      <c r="BI2763" s="0">
        <v>214</v>
      </c>
      <c r="BJ2763" s="0" t="s">
        <v>135</v>
      </c>
    </row>
    <row r="2764">
      <c r="A2764" s="0" t="s">
        <v>3007</v>
      </c>
      <c r="B2764" s="0" t="s">
        <v>134</v>
      </c>
      <c r="C2764" s="0" t="s">
        <v>134</v>
      </c>
      <c r="D2764" s="0" t="s">
        <v>135</v>
      </c>
      <c r="E2764" s="0" t="s">
        <v>3</v>
      </c>
      <c r="F2764" s="0" t="s">
        <v>12</v>
      </c>
      <c r="G2764" s="0" t="s">
        <v>8</v>
      </c>
      <c r="H2764" s="0">
        <v>452</v>
      </c>
      <c r="I2764" s="0">
        <v>1180</v>
      </c>
      <c r="J2764" s="0">
        <v>0</v>
      </c>
      <c r="K2764" s="0">
        <v>1</v>
      </c>
      <c r="L2764" s="0">
        <v>5</v>
      </c>
      <c r="M2764" s="0">
        <v>15</v>
      </c>
      <c r="N2764" s="0">
        <v>0</v>
      </c>
      <c r="O2764" s="0">
        <v>0</v>
      </c>
      <c r="P2764" s="0">
        <v>0</v>
      </c>
      <c r="R2764" s="0" t="b">
        <v>0</v>
      </c>
      <c r="S2764" s="0" t="b">
        <v>1</v>
      </c>
      <c r="T2764" s="68">
        <v>45601.4617592593</v>
      </c>
      <c r="U2764" s="68">
        <v>45622.2916666667</v>
      </c>
      <c r="V2764" s="68">
        <v>0</v>
      </c>
      <c r="W2764" s="0">
        <f>IF(IF(B2764="none",1,IF(B2764="Trialer",1,0))+IF(C2764="Customer",1,IF(C2764="Lost",1,0))=2,1,0)</f>
      </c>
      <c r="X2764" s="0" t="s">
        <v>148</v>
      </c>
      <c r="Y2764" s="0" t="s">
        <v>243</v>
      </c>
      <c r="AV2764" s="68"/>
      <c r="AW2764" s="68"/>
      <c r="AY2764" s="27"/>
      <c r="BD2764" s="68">
        <v>46054.1666666667</v>
      </c>
      <c r="BE2764" s="68">
        <v>46082.1666666667</v>
      </c>
      <c r="BF2764" s="0" t="b">
        <v>0</v>
      </c>
      <c r="BG2764" s="0" t="b">
        <v>0</v>
      </c>
      <c r="BH2764" s="0">
        <v>855</v>
      </c>
      <c r="BI2764" s="0">
        <v>855</v>
      </c>
      <c r="BJ2764" s="0" t="s">
        <v>135</v>
      </c>
    </row>
    <row r="2765">
      <c r="A2765" s="0" t="s">
        <v>3008</v>
      </c>
      <c r="B2765" s="0" t="s">
        <v>134</v>
      </c>
      <c r="C2765" s="0" t="s">
        <v>134</v>
      </c>
      <c r="D2765" s="0" t="s">
        <v>135</v>
      </c>
      <c r="E2765" s="0" t="s">
        <v>3</v>
      </c>
      <c r="F2765" s="0" t="s">
        <v>10</v>
      </c>
      <c r="G2765" s="0" t="s">
        <v>8</v>
      </c>
      <c r="H2765" s="0">
        <v>451</v>
      </c>
      <c r="I2765" s="0">
        <v>291</v>
      </c>
      <c r="J2765" s="0">
        <v>0</v>
      </c>
      <c r="K2765" s="0">
        <v>1</v>
      </c>
      <c r="L2765" s="0">
        <v>4</v>
      </c>
      <c r="M2765" s="0">
        <v>6</v>
      </c>
      <c r="N2765" s="0">
        <v>0</v>
      </c>
      <c r="O2765" s="0">
        <v>0</v>
      </c>
      <c r="P2765" s="0">
        <v>0</v>
      </c>
      <c r="Q2765" s="0" t="s">
        <v>2980</v>
      </c>
      <c r="R2765" s="0" t="b">
        <v>0</v>
      </c>
      <c r="S2765" s="0" t="b">
        <v>1</v>
      </c>
      <c r="T2765" s="68">
        <v>45602.2907638889</v>
      </c>
      <c r="U2765" s="68">
        <v>45616.2916666667</v>
      </c>
      <c r="V2765" s="68">
        <v>0</v>
      </c>
      <c r="W2765" s="0">
        <f>IF(IF(B2765="none",1,IF(B2765="Trialer",1,0))+IF(C2765="Customer",1,IF(C2765="Lost",1,0))=2,1,0)</f>
      </c>
      <c r="X2765" s="0" t="s">
        <v>148</v>
      </c>
      <c r="Y2765" s="0" t="s">
        <v>243</v>
      </c>
      <c r="AV2765" s="68"/>
      <c r="AW2765" s="68"/>
      <c r="AY2765" s="27"/>
      <c r="BD2765" s="68">
        <v>46054.1666666667</v>
      </c>
      <c r="BE2765" s="68">
        <v>46082.1666666667</v>
      </c>
      <c r="BF2765" s="0" t="b">
        <v>0</v>
      </c>
      <c r="BG2765" s="0" t="b">
        <v>0</v>
      </c>
      <c r="BH2765" s="0">
        <v>291</v>
      </c>
      <c r="BI2765" s="0">
        <v>291</v>
      </c>
      <c r="BJ2765" s="0" t="s">
        <v>135</v>
      </c>
    </row>
    <row r="2766">
      <c r="A2766" s="0" t="s">
        <v>3009</v>
      </c>
      <c r="B2766" s="0" t="s">
        <v>134</v>
      </c>
      <c r="C2766" s="0" t="s">
        <v>134</v>
      </c>
      <c r="D2766" s="0" t="s">
        <v>230</v>
      </c>
      <c r="E2766" s="0" t="s">
        <v>3</v>
      </c>
      <c r="F2766" s="0" t="s">
        <v>12</v>
      </c>
      <c r="G2766" s="0" t="s">
        <v>8</v>
      </c>
      <c r="H2766" s="0">
        <v>451</v>
      </c>
      <c r="I2766" s="0">
        <v>176</v>
      </c>
      <c r="J2766" s="0">
        <v>0</v>
      </c>
      <c r="K2766" s="0">
        <v>1</v>
      </c>
      <c r="L2766" s="0">
        <v>3</v>
      </c>
      <c r="M2766" s="0">
        <v>4</v>
      </c>
      <c r="N2766" s="0">
        <v>0</v>
      </c>
      <c r="O2766" s="0">
        <v>0</v>
      </c>
      <c r="P2766" s="0">
        <v>-176</v>
      </c>
      <c r="R2766" s="0" t="b">
        <v>0</v>
      </c>
      <c r="S2766" s="0" t="b">
        <v>1</v>
      </c>
      <c r="T2766" s="68">
        <v>45602.3811921296</v>
      </c>
      <c r="U2766" s="68">
        <v>45616.2916666667</v>
      </c>
      <c r="V2766" s="68">
        <v>0</v>
      </c>
      <c r="W2766" s="0">
        <f>IF(IF(B2766="none",1,IF(B2766="Trialer",1,0))+IF(C2766="Customer",1,IF(C2766="Lost",1,0))=2,1,0)</f>
      </c>
      <c r="X2766" s="0" t="s">
        <v>148</v>
      </c>
      <c r="Y2766" s="0" t="s">
        <v>243</v>
      </c>
      <c r="AV2766" s="68"/>
      <c r="AW2766" s="68"/>
      <c r="AY2766" s="27"/>
      <c r="BD2766" s="68">
        <v>46054.1666666667</v>
      </c>
      <c r="BE2766" s="68">
        <v>46082.1666666667</v>
      </c>
      <c r="BF2766" s="0" t="b">
        <v>0</v>
      </c>
      <c r="BG2766" s="0" t="b">
        <v>0</v>
      </c>
      <c r="BH2766" s="0">
        <v>196</v>
      </c>
      <c r="BI2766" s="0">
        <v>196</v>
      </c>
      <c r="BJ2766" s="0" t="s">
        <v>230</v>
      </c>
    </row>
    <row r="2767">
      <c r="A2767" s="0" t="s">
        <v>3010</v>
      </c>
      <c r="B2767" s="0" t="s">
        <v>134</v>
      </c>
      <c r="C2767" s="0" t="s">
        <v>134</v>
      </c>
      <c r="D2767" s="0" t="s">
        <v>135</v>
      </c>
      <c r="E2767" s="0" t="s">
        <v>3</v>
      </c>
      <c r="F2767" s="0" t="s">
        <v>12</v>
      </c>
      <c r="G2767" s="0" t="s">
        <v>8</v>
      </c>
      <c r="H2767" s="0">
        <v>451</v>
      </c>
      <c r="I2767" s="0">
        <v>123</v>
      </c>
      <c r="J2767" s="0">
        <v>0</v>
      </c>
      <c r="K2767" s="0">
        <v>1</v>
      </c>
      <c r="L2767" s="0">
        <v>3</v>
      </c>
      <c r="M2767" s="0">
        <v>3</v>
      </c>
      <c r="N2767" s="0">
        <v>0</v>
      </c>
      <c r="O2767" s="0">
        <v>0</v>
      </c>
      <c r="P2767" s="0">
        <v>0</v>
      </c>
      <c r="R2767" s="0" t="b">
        <v>0</v>
      </c>
      <c r="S2767" s="0" t="b">
        <v>1</v>
      </c>
      <c r="T2767" s="68">
        <v>45602.4319444444</v>
      </c>
      <c r="U2767" s="68">
        <v>45621.2916666667</v>
      </c>
      <c r="V2767" s="68">
        <v>0</v>
      </c>
      <c r="W2767" s="0">
        <f>IF(IF(B2767="none",1,IF(B2767="Trialer",1,0))+IF(C2767="Customer",1,IF(C2767="Lost",1,0))=2,1,0)</f>
      </c>
      <c r="X2767" s="0" t="s">
        <v>3011</v>
      </c>
      <c r="Y2767" s="0" t="s">
        <v>243</v>
      </c>
      <c r="AV2767" s="68"/>
      <c r="AW2767" s="68"/>
      <c r="AY2767" s="27"/>
      <c r="BD2767" s="68">
        <v>46054.1666666667</v>
      </c>
      <c r="BE2767" s="68">
        <v>46082.1666666667</v>
      </c>
      <c r="BF2767" s="0" t="b">
        <v>0</v>
      </c>
      <c r="BG2767" s="0" t="b">
        <v>0</v>
      </c>
      <c r="BH2767" s="0">
        <v>123</v>
      </c>
      <c r="BI2767" s="0">
        <v>123</v>
      </c>
      <c r="BJ2767" s="0" t="s">
        <v>135</v>
      </c>
    </row>
    <row r="2768">
      <c r="A2768" s="0" t="s">
        <v>3012</v>
      </c>
      <c r="B2768" s="0" t="s">
        <v>134</v>
      </c>
      <c r="C2768" s="0" t="s">
        <v>134</v>
      </c>
      <c r="D2768" s="0" t="s">
        <v>230</v>
      </c>
      <c r="E2768" s="0" t="s">
        <v>3</v>
      </c>
      <c r="F2768" s="0" t="s">
        <v>10</v>
      </c>
      <c r="G2768" s="0" t="s">
        <v>8</v>
      </c>
      <c r="H2768" s="0">
        <v>451</v>
      </c>
      <c r="I2768" s="0">
        <v>116.1</v>
      </c>
      <c r="J2768" s="0">
        <v>0</v>
      </c>
      <c r="K2768" s="0">
        <v>1</v>
      </c>
      <c r="L2768" s="0">
        <v>3</v>
      </c>
      <c r="M2768" s="0">
        <v>3</v>
      </c>
      <c r="N2768" s="0">
        <v>0</v>
      </c>
      <c r="O2768" s="0">
        <v>0</v>
      </c>
      <c r="P2768" s="0">
        <v>-116.1</v>
      </c>
      <c r="Q2768" s="0" t="s">
        <v>3013</v>
      </c>
      <c r="R2768" s="0" t="b">
        <v>0</v>
      </c>
      <c r="S2768" s="0" t="b">
        <v>1</v>
      </c>
      <c r="T2768" s="68">
        <v>45602.4805555556</v>
      </c>
      <c r="U2768" s="68">
        <v>45642.2916666667</v>
      </c>
      <c r="V2768" s="68">
        <v>0</v>
      </c>
      <c r="W2768" s="0">
        <f>IF(IF(B2768="none",1,IF(B2768="Trialer",1,0))+IF(C2768="Customer",1,IF(C2768="Lost",1,0))=2,1,0)</f>
      </c>
      <c r="X2768" s="0" t="s">
        <v>136</v>
      </c>
      <c r="Y2768" s="0" t="s">
        <v>243</v>
      </c>
      <c r="AV2768" s="68"/>
      <c r="AW2768" s="68"/>
      <c r="AY2768" s="27"/>
      <c r="BD2768" s="68">
        <v>46054.1666666667</v>
      </c>
      <c r="BE2768" s="68">
        <v>46082.1666666667</v>
      </c>
      <c r="BF2768" s="0" t="b">
        <v>0</v>
      </c>
      <c r="BG2768" s="0" t="b">
        <v>0</v>
      </c>
      <c r="BH2768" s="0">
        <v>129</v>
      </c>
      <c r="BI2768" s="0">
        <v>129</v>
      </c>
      <c r="BJ2768" s="0" t="s">
        <v>230</v>
      </c>
    </row>
    <row r="2769">
      <c r="A2769" s="0" t="s">
        <v>3014</v>
      </c>
      <c r="B2769" s="0" t="s">
        <v>134</v>
      </c>
      <c r="C2769" s="0" t="s">
        <v>134</v>
      </c>
      <c r="D2769" s="0" t="s">
        <v>135</v>
      </c>
      <c r="E2769" s="0" t="s">
        <v>3</v>
      </c>
      <c r="F2769" s="0" t="s">
        <v>12</v>
      </c>
      <c r="G2769" s="0" t="s">
        <v>8</v>
      </c>
      <c r="H2769" s="0">
        <v>451</v>
      </c>
      <c r="I2769" s="0">
        <v>962</v>
      </c>
      <c r="J2769" s="0">
        <v>0</v>
      </c>
      <c r="K2769" s="0">
        <v>1</v>
      </c>
      <c r="L2769" s="0">
        <v>6</v>
      </c>
      <c r="M2769" s="0">
        <v>10</v>
      </c>
      <c r="N2769" s="0">
        <v>558</v>
      </c>
      <c r="O2769" s="0">
        <v>0</v>
      </c>
      <c r="P2769" s="0">
        <v>0</v>
      </c>
      <c r="R2769" s="0" t="b">
        <v>0</v>
      </c>
      <c r="S2769" s="0" t="b">
        <v>1</v>
      </c>
      <c r="T2769" s="68">
        <v>45602.6604166667</v>
      </c>
      <c r="U2769" s="68">
        <v>45628.2916666667</v>
      </c>
      <c r="V2769" s="68">
        <v>0</v>
      </c>
      <c r="W2769" s="0">
        <f>IF(IF(B2769="none",1,IF(B2769="Trialer",1,0))+IF(C2769="Customer",1,IF(C2769="Lost",1,0))=2,1,0)</f>
      </c>
      <c r="X2769" s="0" t="s">
        <v>148</v>
      </c>
      <c r="Y2769" s="0" t="s">
        <v>243</v>
      </c>
      <c r="AV2769" s="68"/>
      <c r="AW2769" s="68"/>
      <c r="AY2769" s="27"/>
      <c r="BD2769" s="68">
        <v>46054.1666666667</v>
      </c>
      <c r="BE2769" s="68">
        <v>46082.1666666667</v>
      </c>
      <c r="BF2769" s="0" t="b">
        <v>0</v>
      </c>
      <c r="BG2769" s="0" t="b">
        <v>0</v>
      </c>
      <c r="BH2769" s="0">
        <v>698</v>
      </c>
      <c r="BI2769" s="0">
        <v>698</v>
      </c>
      <c r="BJ2769" s="0" t="s">
        <v>135</v>
      </c>
    </row>
    <row r="2770">
      <c r="A2770" s="0" t="s">
        <v>3015</v>
      </c>
      <c r="B2770" s="0" t="s">
        <v>134</v>
      </c>
      <c r="C2770" s="0" t="s">
        <v>134</v>
      </c>
      <c r="D2770" s="0" t="s">
        <v>135</v>
      </c>
      <c r="E2770" s="0" t="s">
        <v>3</v>
      </c>
      <c r="F2770" s="0" t="s">
        <v>10</v>
      </c>
      <c r="G2770" s="0" t="s">
        <v>8</v>
      </c>
      <c r="H2770" s="0">
        <v>449</v>
      </c>
      <c r="I2770" s="0">
        <v>28</v>
      </c>
      <c r="J2770" s="0">
        <v>0</v>
      </c>
      <c r="K2770" s="0">
        <v>1</v>
      </c>
      <c r="L2770" s="0">
        <v>1</v>
      </c>
      <c r="M2770" s="0">
        <v>1</v>
      </c>
      <c r="N2770" s="0">
        <v>0</v>
      </c>
      <c r="O2770" s="0">
        <v>0</v>
      </c>
      <c r="P2770" s="0">
        <v>0</v>
      </c>
      <c r="Q2770" s="0" t="s">
        <v>618</v>
      </c>
      <c r="R2770" s="0" t="b">
        <v>0</v>
      </c>
      <c r="S2770" s="0" t="b">
        <v>1</v>
      </c>
      <c r="T2770" s="68">
        <v>45604.1821180556</v>
      </c>
      <c r="U2770" s="68">
        <v>45618.2916666667</v>
      </c>
      <c r="V2770" s="68">
        <v>0</v>
      </c>
      <c r="W2770" s="0">
        <f>IF(IF(B2770="none",1,IF(B2770="Trialer",1,0))+IF(C2770="Customer",1,IF(C2770="Lost",1,0))=2,1,0)</f>
      </c>
      <c r="X2770" s="0" t="s">
        <v>148</v>
      </c>
      <c r="Y2770" s="0" t="s">
        <v>243</v>
      </c>
      <c r="AV2770" s="68"/>
      <c r="AW2770" s="68"/>
      <c r="AY2770" s="27"/>
      <c r="BD2770" s="68">
        <v>46054.1666666667</v>
      </c>
      <c r="BE2770" s="68">
        <v>46082.1666666667</v>
      </c>
      <c r="BF2770" s="0" t="b">
        <v>0</v>
      </c>
      <c r="BG2770" s="0" t="b">
        <v>0</v>
      </c>
      <c r="BH2770" s="0">
        <v>28</v>
      </c>
      <c r="BI2770" s="0">
        <v>28</v>
      </c>
      <c r="BJ2770" s="0" t="s">
        <v>135</v>
      </c>
    </row>
    <row r="2771">
      <c r="A2771" s="0" t="s">
        <v>3016</v>
      </c>
      <c r="B2771" s="0" t="s">
        <v>134</v>
      </c>
      <c r="C2771" s="0" t="s">
        <v>134</v>
      </c>
      <c r="D2771" s="0" t="s">
        <v>135</v>
      </c>
      <c r="E2771" s="0" t="s">
        <v>3</v>
      </c>
      <c r="F2771" s="0" t="s">
        <v>12</v>
      </c>
      <c r="G2771" s="0" t="s">
        <v>8</v>
      </c>
      <c r="H2771" s="0">
        <v>449</v>
      </c>
      <c r="I2771" s="0">
        <v>208</v>
      </c>
      <c r="J2771" s="0">
        <v>0</v>
      </c>
      <c r="K2771" s="0">
        <v>1</v>
      </c>
      <c r="L2771" s="0">
        <v>4</v>
      </c>
      <c r="M2771" s="0">
        <v>4</v>
      </c>
      <c r="N2771" s="0">
        <v>0</v>
      </c>
      <c r="O2771" s="0">
        <v>0</v>
      </c>
      <c r="P2771" s="0">
        <v>0</v>
      </c>
      <c r="R2771" s="0" t="b">
        <v>0</v>
      </c>
      <c r="S2771" s="0" t="b">
        <v>1</v>
      </c>
      <c r="T2771" s="68">
        <v>45604.505150463</v>
      </c>
      <c r="U2771" s="68">
        <v>45618.2916666667</v>
      </c>
      <c r="V2771" s="68">
        <v>0</v>
      </c>
      <c r="W2771" s="0">
        <f>IF(IF(B2771="none",1,IF(B2771="Trialer",1,0))+IF(C2771="Customer",1,IF(C2771="Lost",1,0))=2,1,0)</f>
      </c>
      <c r="X2771" s="0" t="s">
        <v>148</v>
      </c>
      <c r="Y2771" s="0" t="s">
        <v>243</v>
      </c>
      <c r="AV2771" s="68"/>
      <c r="AW2771" s="68"/>
      <c r="AY2771" s="27"/>
      <c r="BD2771" s="68">
        <v>46054.1666666667</v>
      </c>
      <c r="BE2771" s="68">
        <v>46082.1666666667</v>
      </c>
      <c r="BF2771" s="0" t="b">
        <v>0</v>
      </c>
      <c r="BG2771" s="0" t="b">
        <v>0</v>
      </c>
      <c r="BH2771" s="0">
        <v>208</v>
      </c>
      <c r="BI2771" s="0">
        <v>208</v>
      </c>
      <c r="BJ2771" s="0" t="s">
        <v>135</v>
      </c>
    </row>
    <row r="2772">
      <c r="A2772" s="0" t="s">
        <v>3017</v>
      </c>
      <c r="B2772" s="0" t="s">
        <v>134</v>
      </c>
      <c r="C2772" s="0" t="s">
        <v>134</v>
      </c>
      <c r="D2772" s="0" t="s">
        <v>135</v>
      </c>
      <c r="E2772" s="0" t="s">
        <v>3</v>
      </c>
      <c r="F2772" s="0" t="s">
        <v>12</v>
      </c>
      <c r="G2772" s="0" t="s">
        <v>8</v>
      </c>
      <c r="H2772" s="0">
        <v>449</v>
      </c>
      <c r="I2772" s="0">
        <v>0</v>
      </c>
      <c r="J2772" s="0">
        <v>0</v>
      </c>
      <c r="K2772" s="0">
        <v>1</v>
      </c>
      <c r="L2772" s="0">
        <v>6</v>
      </c>
      <c r="M2772" s="0">
        <v>1</v>
      </c>
      <c r="N2772" s="0">
        <v>0</v>
      </c>
      <c r="O2772" s="0">
        <v>0</v>
      </c>
      <c r="P2772" s="0">
        <v>0</v>
      </c>
      <c r="R2772" s="0" t="b">
        <v>0</v>
      </c>
      <c r="S2772" s="0" t="b">
        <v>1</v>
      </c>
      <c r="T2772" s="68">
        <v>45604.62375</v>
      </c>
      <c r="U2772" s="68">
        <v>45636.2916666667</v>
      </c>
      <c r="V2772" s="68">
        <v>0</v>
      </c>
      <c r="W2772" s="0">
        <f>IF(IF(B2772="none",1,IF(B2772="Trialer",1,0))+IF(C2772="Customer",1,IF(C2772="Lost",1,0))=2,1,0)</f>
      </c>
      <c r="X2772" s="0" t="s">
        <v>148</v>
      </c>
      <c r="Y2772" s="0" t="s">
        <v>243</v>
      </c>
      <c r="AV2772" s="68"/>
      <c r="AW2772" s="68"/>
      <c r="AY2772" s="27"/>
      <c r="BD2772" s="68">
        <v>46054.1666666667</v>
      </c>
      <c r="BE2772" s="68">
        <v>46082.1666666667</v>
      </c>
      <c r="BF2772" s="0" t="b">
        <v>0</v>
      </c>
      <c r="BG2772" s="0" t="b">
        <v>0</v>
      </c>
      <c r="BH2772" s="0">
        <v>0</v>
      </c>
      <c r="BI2772" s="0">
        <v>0</v>
      </c>
      <c r="BJ2772" s="0" t="s">
        <v>135</v>
      </c>
    </row>
    <row r="2773">
      <c r="A2773" s="0" t="s">
        <v>3018</v>
      </c>
      <c r="B2773" s="0" t="s">
        <v>134</v>
      </c>
      <c r="C2773" s="0" t="s">
        <v>134</v>
      </c>
      <c r="D2773" s="0" t="s">
        <v>230</v>
      </c>
      <c r="E2773" s="0" t="s">
        <v>3</v>
      </c>
      <c r="F2773" s="0" t="s">
        <v>12</v>
      </c>
      <c r="G2773" s="0" t="s">
        <v>8</v>
      </c>
      <c r="H2773" s="0">
        <v>448</v>
      </c>
      <c r="I2773" s="0">
        <v>157</v>
      </c>
      <c r="J2773" s="0">
        <v>0</v>
      </c>
      <c r="K2773" s="0">
        <v>1</v>
      </c>
      <c r="L2773" s="0">
        <v>3</v>
      </c>
      <c r="M2773" s="0">
        <v>4</v>
      </c>
      <c r="N2773" s="0">
        <v>0</v>
      </c>
      <c r="O2773" s="0">
        <v>0</v>
      </c>
      <c r="P2773" s="0">
        <v>1727</v>
      </c>
      <c r="R2773" s="0" t="b">
        <v>0</v>
      </c>
      <c r="S2773" s="0" t="b">
        <v>1</v>
      </c>
      <c r="T2773" s="68">
        <v>45605.5046412037</v>
      </c>
      <c r="U2773" s="68">
        <v>45619.2916666667</v>
      </c>
      <c r="V2773" s="68">
        <v>0</v>
      </c>
      <c r="W2773" s="0">
        <f>IF(IF(B2773="none",1,IF(B2773="Trialer",1,0))+IF(C2773="Customer",1,IF(C2773="Lost",1,0))=2,1,0)</f>
      </c>
      <c r="X2773" s="0" t="s">
        <v>136</v>
      </c>
      <c r="Y2773" s="0" t="s">
        <v>243</v>
      </c>
      <c r="AV2773" s="68"/>
      <c r="AW2773" s="68"/>
      <c r="AY2773" s="27"/>
      <c r="BD2773" s="68">
        <v>46054.1666666667</v>
      </c>
      <c r="BE2773" s="68">
        <v>46082.1666666667</v>
      </c>
      <c r="BF2773" s="0" t="b">
        <v>0</v>
      </c>
      <c r="BG2773" s="0" t="b">
        <v>0</v>
      </c>
      <c r="BH2773" s="0">
        <v>175</v>
      </c>
      <c r="BI2773" s="0">
        <v>175</v>
      </c>
      <c r="BJ2773" s="0" t="s">
        <v>230</v>
      </c>
    </row>
    <row r="2774">
      <c r="A2774" s="0" t="s">
        <v>3019</v>
      </c>
      <c r="B2774" s="0" t="s">
        <v>134</v>
      </c>
      <c r="C2774" s="0" t="s">
        <v>134</v>
      </c>
      <c r="D2774" s="0" t="s">
        <v>230</v>
      </c>
      <c r="E2774" s="0" t="s">
        <v>3</v>
      </c>
      <c r="F2774" s="0" t="s">
        <v>12</v>
      </c>
      <c r="G2774" s="0" t="s">
        <v>8</v>
      </c>
      <c r="H2774" s="0">
        <v>447</v>
      </c>
      <c r="I2774" s="0">
        <v>82</v>
      </c>
      <c r="J2774" s="0">
        <v>0</v>
      </c>
      <c r="K2774" s="0">
        <v>1</v>
      </c>
      <c r="L2774" s="0">
        <v>3</v>
      </c>
      <c r="M2774" s="0">
        <v>2</v>
      </c>
      <c r="N2774" s="0">
        <v>0</v>
      </c>
      <c r="O2774" s="0">
        <v>0</v>
      </c>
      <c r="P2774" s="0">
        <v>-82</v>
      </c>
      <c r="R2774" s="0" t="b">
        <v>0</v>
      </c>
      <c r="S2774" s="0" t="b">
        <v>1</v>
      </c>
      <c r="T2774" s="68">
        <v>45606.5986111111</v>
      </c>
      <c r="U2774" s="68">
        <v>45621.2916666667</v>
      </c>
      <c r="V2774" s="68">
        <v>0</v>
      </c>
      <c r="W2774" s="0">
        <f>IF(IF(B2774="none",1,IF(B2774="Trialer",1,0))+IF(C2774="Customer",1,IF(C2774="Lost",1,0))=2,1,0)</f>
      </c>
      <c r="X2774" s="0" t="s">
        <v>166</v>
      </c>
      <c r="Y2774" s="0" t="s">
        <v>243</v>
      </c>
      <c r="AV2774" s="68"/>
      <c r="AW2774" s="68"/>
      <c r="AY2774" s="27"/>
      <c r="BD2774" s="68">
        <v>46054.1666666667</v>
      </c>
      <c r="BE2774" s="68">
        <v>46082.1666666667</v>
      </c>
      <c r="BF2774" s="0" t="b">
        <v>0</v>
      </c>
      <c r="BG2774" s="0" t="b">
        <v>0</v>
      </c>
      <c r="BH2774" s="0">
        <v>92</v>
      </c>
      <c r="BI2774" s="0">
        <v>92</v>
      </c>
      <c r="BJ2774" s="0" t="s">
        <v>230</v>
      </c>
    </row>
    <row r="2775">
      <c r="A2775" s="0" t="s">
        <v>3020</v>
      </c>
      <c r="B2775" s="0" t="s">
        <v>134</v>
      </c>
      <c r="C2775" s="0" t="s">
        <v>134</v>
      </c>
      <c r="D2775" s="0" t="s">
        <v>230</v>
      </c>
      <c r="E2775" s="0" t="s">
        <v>2</v>
      </c>
      <c r="F2775" s="0" t="s">
        <v>12</v>
      </c>
      <c r="G2775" s="0" t="s">
        <v>8</v>
      </c>
      <c r="H2775" s="0">
        <v>446</v>
      </c>
      <c r="I2775" s="0">
        <v>1572.4</v>
      </c>
      <c r="J2775" s="0">
        <v>0</v>
      </c>
      <c r="K2775" s="0">
        <v>1</v>
      </c>
      <c r="L2775" s="0">
        <v>6</v>
      </c>
      <c r="M2775" s="0">
        <v>30</v>
      </c>
      <c r="N2775" s="0">
        <v>0</v>
      </c>
      <c r="O2775" s="0">
        <v>0</v>
      </c>
      <c r="P2775" s="0">
        <v>-1247.4</v>
      </c>
      <c r="R2775" s="0" t="b">
        <v>0</v>
      </c>
      <c r="S2775" s="0" t="b">
        <v>1</v>
      </c>
      <c r="T2775" s="68">
        <v>45607.6813310185</v>
      </c>
      <c r="U2775" s="68">
        <v>45607.2916666667</v>
      </c>
      <c r="V2775" s="68">
        <v>0</v>
      </c>
      <c r="W2775" s="0">
        <f>IF(IF(B2775="none",1,IF(B2775="Trialer",1,0))+IF(C2775="Customer",1,IF(C2775="Lost",1,0))=2,1,0)</f>
      </c>
      <c r="X2775" s="0" t="s">
        <v>145</v>
      </c>
      <c r="Y2775" s="0" t="s">
        <v>499</v>
      </c>
      <c r="AV2775" s="68"/>
      <c r="AW2775" s="68"/>
      <c r="AY2775" s="27"/>
      <c r="BD2775" s="68">
        <v>46054.1666666667</v>
      </c>
      <c r="BE2775" s="68">
        <v>46082.1666666667</v>
      </c>
      <c r="BF2775" s="0" t="b">
        <v>0</v>
      </c>
      <c r="BG2775" s="0" t="b">
        <v>0</v>
      </c>
      <c r="BH2775" s="0">
        <v>1422</v>
      </c>
      <c r="BI2775" s="0">
        <v>1422</v>
      </c>
      <c r="BJ2775" s="0" t="s">
        <v>230</v>
      </c>
    </row>
    <row r="2776">
      <c r="A2776" s="0" t="s">
        <v>3021</v>
      </c>
      <c r="B2776" s="0" t="s">
        <v>134</v>
      </c>
      <c r="C2776" s="0" t="s">
        <v>134</v>
      </c>
      <c r="D2776" s="0" t="s">
        <v>135</v>
      </c>
      <c r="E2776" s="0" t="s">
        <v>3</v>
      </c>
      <c r="F2776" s="0" t="s">
        <v>12</v>
      </c>
      <c r="G2776" s="0" t="s">
        <v>8</v>
      </c>
      <c r="H2776" s="0">
        <v>446</v>
      </c>
      <c r="I2776" s="0">
        <v>61</v>
      </c>
      <c r="J2776" s="0">
        <v>0</v>
      </c>
      <c r="K2776" s="0">
        <v>1</v>
      </c>
      <c r="L2776" s="0">
        <v>4</v>
      </c>
      <c r="M2776" s="0">
        <v>1</v>
      </c>
      <c r="N2776" s="0">
        <v>0</v>
      </c>
      <c r="O2776" s="0">
        <v>0</v>
      </c>
      <c r="P2776" s="0">
        <v>0</v>
      </c>
      <c r="R2776" s="0" t="b">
        <v>0</v>
      </c>
      <c r="S2776" s="0" t="b">
        <v>1</v>
      </c>
      <c r="T2776" s="68">
        <v>45607.7582175926</v>
      </c>
      <c r="U2776" s="68">
        <v>45621.2916666667</v>
      </c>
      <c r="V2776" s="68">
        <v>0</v>
      </c>
      <c r="W2776" s="0">
        <f>IF(IF(B2776="none",1,IF(B2776="Trialer",1,0))+IF(C2776="Customer",1,IF(C2776="Lost",1,0))=2,1,0)</f>
      </c>
      <c r="X2776" s="0" t="s">
        <v>3011</v>
      </c>
      <c r="Y2776" s="0" t="s">
        <v>243</v>
      </c>
      <c r="AV2776" s="68"/>
      <c r="AW2776" s="68"/>
      <c r="AY2776" s="27"/>
      <c r="BD2776" s="68">
        <v>46054.1666666667</v>
      </c>
      <c r="BE2776" s="68">
        <v>46082.1666666667</v>
      </c>
      <c r="BF2776" s="0" t="b">
        <v>0</v>
      </c>
      <c r="BG2776" s="0" t="b">
        <v>0</v>
      </c>
      <c r="BH2776" s="0">
        <v>61</v>
      </c>
      <c r="BI2776" s="0">
        <v>61</v>
      </c>
      <c r="BJ2776" s="0" t="s">
        <v>135</v>
      </c>
    </row>
    <row r="2777">
      <c r="A2777" s="0" t="s">
        <v>3022</v>
      </c>
      <c r="B2777" s="0" t="s">
        <v>134</v>
      </c>
      <c r="C2777" s="0" t="s">
        <v>134</v>
      </c>
      <c r="D2777" s="0" t="s">
        <v>230</v>
      </c>
      <c r="E2777" s="0" t="s">
        <v>3</v>
      </c>
      <c r="F2777" s="0" t="s">
        <v>12</v>
      </c>
      <c r="G2777" s="0" t="s">
        <v>8</v>
      </c>
      <c r="H2777" s="0">
        <v>445</v>
      </c>
      <c r="I2777" s="0">
        <v>132.3</v>
      </c>
      <c r="J2777" s="0">
        <v>0</v>
      </c>
      <c r="K2777" s="0">
        <v>1</v>
      </c>
      <c r="L2777" s="0">
        <v>3</v>
      </c>
      <c r="M2777" s="0">
        <v>3</v>
      </c>
      <c r="N2777" s="0">
        <v>0</v>
      </c>
      <c r="O2777" s="0">
        <v>0</v>
      </c>
      <c r="P2777" s="0">
        <v>-132.3</v>
      </c>
      <c r="R2777" s="0" t="b">
        <v>0</v>
      </c>
      <c r="S2777" s="0" t="b">
        <v>1</v>
      </c>
      <c r="T2777" s="68">
        <v>45608.4359027778</v>
      </c>
      <c r="U2777" s="68">
        <v>45622.2916666667</v>
      </c>
      <c r="V2777" s="68">
        <v>0</v>
      </c>
      <c r="W2777" s="0">
        <f>IF(IF(B2777="none",1,IF(B2777="Trialer",1,0))+IF(C2777="Customer",1,IF(C2777="Lost",1,0))=2,1,0)</f>
      </c>
      <c r="X2777" s="0" t="s">
        <v>1461</v>
      </c>
      <c r="Y2777" s="0" t="s">
        <v>243</v>
      </c>
      <c r="AV2777" s="68"/>
      <c r="AW2777" s="68"/>
      <c r="AY2777" s="27"/>
      <c r="BD2777" s="68">
        <v>46054.1666666667</v>
      </c>
      <c r="BE2777" s="68">
        <v>46082.1666666667</v>
      </c>
      <c r="BF2777" s="0" t="b">
        <v>0</v>
      </c>
      <c r="BG2777" s="0" t="b">
        <v>0</v>
      </c>
      <c r="BH2777" s="0">
        <v>147</v>
      </c>
      <c r="BI2777" s="0">
        <v>147</v>
      </c>
      <c r="BJ2777" s="0" t="s">
        <v>230</v>
      </c>
    </row>
    <row r="2778">
      <c r="A2778" s="0" t="s">
        <v>3023</v>
      </c>
      <c r="B2778" s="0" t="s">
        <v>134</v>
      </c>
      <c r="C2778" s="0" t="s">
        <v>134</v>
      </c>
      <c r="D2778" s="0" t="s">
        <v>135</v>
      </c>
      <c r="E2778" s="0" t="s">
        <v>3</v>
      </c>
      <c r="F2778" s="0" t="s">
        <v>10</v>
      </c>
      <c r="G2778" s="0" t="s">
        <v>8</v>
      </c>
      <c r="H2778" s="0">
        <v>444</v>
      </c>
      <c r="I2778" s="0">
        <v>56</v>
      </c>
      <c r="J2778" s="0">
        <v>0</v>
      </c>
      <c r="K2778" s="0">
        <v>1</v>
      </c>
      <c r="L2778" s="0">
        <v>1</v>
      </c>
      <c r="M2778" s="0">
        <v>2</v>
      </c>
      <c r="N2778" s="0">
        <v>0</v>
      </c>
      <c r="O2778" s="0">
        <v>0</v>
      </c>
      <c r="P2778" s="0">
        <v>0</v>
      </c>
      <c r="Q2778" s="0" t="s">
        <v>618</v>
      </c>
      <c r="R2778" s="0" t="b">
        <v>0</v>
      </c>
      <c r="S2778" s="0" t="b">
        <v>1</v>
      </c>
      <c r="T2778" s="68">
        <v>45609.2261458333</v>
      </c>
      <c r="U2778" s="68">
        <v>45684.2916666667</v>
      </c>
      <c r="V2778" s="68">
        <v>0</v>
      </c>
      <c r="W2778" s="0">
        <f>IF(IF(B2778="none",1,IF(B2778="Trialer",1,0))+IF(C2778="Customer",1,IF(C2778="Lost",1,0))=2,1,0)</f>
      </c>
      <c r="X2778" s="0" t="s">
        <v>148</v>
      </c>
      <c r="Y2778" s="0" t="s">
        <v>243</v>
      </c>
      <c r="AV2778" s="68"/>
      <c r="AW2778" s="68"/>
      <c r="AY2778" s="27"/>
      <c r="BD2778" s="68">
        <v>46054.1666666667</v>
      </c>
      <c r="BE2778" s="68">
        <v>46082.1666666667</v>
      </c>
      <c r="BF2778" s="0" t="b">
        <v>0</v>
      </c>
      <c r="BG2778" s="0" t="b">
        <v>0</v>
      </c>
      <c r="BH2778" s="0">
        <v>84</v>
      </c>
      <c r="BI2778" s="0">
        <v>84</v>
      </c>
      <c r="BJ2778" s="0" t="s">
        <v>135</v>
      </c>
    </row>
    <row r="2779">
      <c r="A2779" s="0" t="s">
        <v>3024</v>
      </c>
      <c r="B2779" s="0" t="s">
        <v>134</v>
      </c>
      <c r="C2779" s="0" t="s">
        <v>134</v>
      </c>
      <c r="D2779" s="0" t="s">
        <v>230</v>
      </c>
      <c r="E2779" s="0" t="s">
        <v>2</v>
      </c>
      <c r="F2779" s="0" t="s">
        <v>12</v>
      </c>
      <c r="G2779" s="0" t="s">
        <v>8</v>
      </c>
      <c r="H2779" s="0">
        <v>444</v>
      </c>
      <c r="I2779" s="0">
        <v>832.24</v>
      </c>
      <c r="J2779" s="0">
        <v>0</v>
      </c>
      <c r="K2779" s="0">
        <v>1</v>
      </c>
      <c r="L2779" s="0">
        <v>5</v>
      </c>
      <c r="M2779" s="0">
        <v>11</v>
      </c>
      <c r="N2779" s="0">
        <v>0</v>
      </c>
      <c r="O2779" s="0">
        <v>0</v>
      </c>
      <c r="P2779" s="0">
        <v>-507.24</v>
      </c>
      <c r="R2779" s="0" t="b">
        <v>0</v>
      </c>
      <c r="S2779" s="0" t="b">
        <v>1</v>
      </c>
      <c r="T2779" s="68">
        <v>45609.2581018519</v>
      </c>
      <c r="U2779" s="68">
        <v>45621.2916666667</v>
      </c>
      <c r="V2779" s="68">
        <v>0</v>
      </c>
      <c r="W2779" s="0">
        <f>IF(IF(B2779="none",1,IF(B2779="Trialer",1,0))+IF(C2779="Customer",1,IF(C2779="Lost",1,0))=2,1,0)</f>
      </c>
      <c r="X2779" s="0" t="s">
        <v>145</v>
      </c>
      <c r="Y2779" s="0" t="s">
        <v>499</v>
      </c>
      <c r="AV2779" s="68"/>
      <c r="AW2779" s="68"/>
      <c r="AY2779" s="27"/>
      <c r="BD2779" s="68">
        <v>46054.1666666667</v>
      </c>
      <c r="BE2779" s="68">
        <v>46082.1666666667</v>
      </c>
      <c r="BF2779" s="0" t="b">
        <v>0</v>
      </c>
      <c r="BG2779" s="0" t="b">
        <v>0</v>
      </c>
      <c r="BH2779" s="0">
        <v>563</v>
      </c>
      <c r="BI2779" s="0">
        <v>563</v>
      </c>
      <c r="BJ2779" s="0" t="s">
        <v>230</v>
      </c>
    </row>
    <row r="2780">
      <c r="A2780" s="0" t="s">
        <v>3025</v>
      </c>
      <c r="B2780" s="0" t="s">
        <v>134</v>
      </c>
      <c r="C2780" s="0" t="s">
        <v>134</v>
      </c>
      <c r="D2780" s="0" t="s">
        <v>135</v>
      </c>
      <c r="E2780" s="0" t="s">
        <v>3</v>
      </c>
      <c r="F2780" s="0" t="s">
        <v>12</v>
      </c>
      <c r="G2780" s="0" t="s">
        <v>8</v>
      </c>
      <c r="H2780" s="0">
        <v>444</v>
      </c>
      <c r="I2780" s="0">
        <v>0</v>
      </c>
      <c r="J2780" s="0">
        <v>0</v>
      </c>
      <c r="K2780" s="0">
        <v>1</v>
      </c>
      <c r="L2780" s="0">
        <v>6</v>
      </c>
      <c r="M2780" s="0">
        <v>2</v>
      </c>
      <c r="N2780" s="0">
        <v>0</v>
      </c>
      <c r="O2780" s="0">
        <v>0</v>
      </c>
      <c r="P2780" s="0">
        <v>0</v>
      </c>
      <c r="R2780" s="0" t="b">
        <v>0</v>
      </c>
      <c r="S2780" s="0" t="b">
        <v>1</v>
      </c>
      <c r="T2780" s="68">
        <v>45609.4048611111</v>
      </c>
      <c r="U2780" s="68">
        <v>45623.2916666667</v>
      </c>
      <c r="V2780" s="68">
        <v>0</v>
      </c>
      <c r="W2780" s="0">
        <f>IF(IF(B2780="none",1,IF(B2780="Trialer",1,0))+IF(C2780="Customer",1,IF(C2780="Lost",1,0))=2,1,0)</f>
      </c>
      <c r="X2780" s="0" t="s">
        <v>136</v>
      </c>
      <c r="Y2780" s="0" t="s">
        <v>243</v>
      </c>
      <c r="AV2780" s="68"/>
      <c r="AW2780" s="68"/>
      <c r="AY2780" s="27"/>
      <c r="BD2780" s="68">
        <v>46054.1666666667</v>
      </c>
      <c r="BE2780" s="68">
        <v>46082.1666666667</v>
      </c>
      <c r="BF2780" s="0" t="b">
        <v>0</v>
      </c>
      <c r="BG2780" s="0" t="b">
        <v>0</v>
      </c>
      <c r="BH2780" s="0">
        <v>0</v>
      </c>
      <c r="BI2780" s="0">
        <v>0</v>
      </c>
      <c r="BJ2780" s="0" t="s">
        <v>135</v>
      </c>
    </row>
    <row r="2781">
      <c r="A2781" s="0" t="s">
        <v>3026</v>
      </c>
      <c r="B2781" s="0" t="s">
        <v>134</v>
      </c>
      <c r="C2781" s="0" t="s">
        <v>134</v>
      </c>
      <c r="D2781" s="0" t="s">
        <v>230</v>
      </c>
      <c r="E2781" s="0" t="s">
        <v>2</v>
      </c>
      <c r="F2781" s="0" t="s">
        <v>12</v>
      </c>
      <c r="G2781" s="0" t="s">
        <v>8</v>
      </c>
      <c r="H2781" s="0">
        <v>444</v>
      </c>
      <c r="I2781" s="0">
        <v>434.8</v>
      </c>
      <c r="J2781" s="0">
        <v>0</v>
      </c>
      <c r="K2781" s="0">
        <v>1</v>
      </c>
      <c r="L2781" s="0">
        <v>4</v>
      </c>
      <c r="M2781" s="0">
        <v>2</v>
      </c>
      <c r="N2781" s="0">
        <v>0</v>
      </c>
      <c r="O2781" s="0">
        <v>0</v>
      </c>
      <c r="P2781" s="0">
        <v>-109.8</v>
      </c>
      <c r="R2781" s="0" t="b">
        <v>0</v>
      </c>
      <c r="S2781" s="0" t="b">
        <v>1</v>
      </c>
      <c r="T2781" s="68">
        <v>45609.6590277778</v>
      </c>
      <c r="U2781" s="68">
        <v>45623.2916666667</v>
      </c>
      <c r="V2781" s="68">
        <v>0</v>
      </c>
      <c r="W2781" s="0">
        <f>IF(IF(B2781="none",1,IF(B2781="Trialer",1,0))+IF(C2781="Customer",1,IF(C2781="Lost",1,0))=2,1,0)</f>
      </c>
      <c r="X2781" s="0" t="s">
        <v>136</v>
      </c>
      <c r="Y2781" s="0" t="s">
        <v>499</v>
      </c>
      <c r="AV2781" s="68"/>
      <c r="AW2781" s="68"/>
      <c r="AY2781" s="27"/>
      <c r="BD2781" s="68">
        <v>46054.1666666667</v>
      </c>
      <c r="BE2781" s="68">
        <v>46082.1666666667</v>
      </c>
      <c r="BF2781" s="0" t="b">
        <v>0</v>
      </c>
      <c r="BG2781" s="0" t="b">
        <v>0</v>
      </c>
      <c r="BH2781" s="0">
        <v>122</v>
      </c>
      <c r="BI2781" s="0">
        <v>122</v>
      </c>
      <c r="BJ2781" s="0" t="s">
        <v>230</v>
      </c>
    </row>
    <row r="2782">
      <c r="A2782" s="0" t="s">
        <v>3027</v>
      </c>
      <c r="B2782" s="0" t="s">
        <v>134</v>
      </c>
      <c r="C2782" s="0" t="s">
        <v>134</v>
      </c>
      <c r="D2782" s="0" t="s">
        <v>135</v>
      </c>
      <c r="E2782" s="0" t="s">
        <v>2</v>
      </c>
      <c r="F2782" s="0" t="s">
        <v>12</v>
      </c>
      <c r="G2782" s="0" t="s">
        <v>8</v>
      </c>
      <c r="H2782" s="0">
        <v>444</v>
      </c>
      <c r="I2782" s="0">
        <v>122</v>
      </c>
      <c r="J2782" s="0">
        <v>0</v>
      </c>
      <c r="K2782" s="0">
        <v>1</v>
      </c>
      <c r="L2782" s="0">
        <v>4</v>
      </c>
      <c r="M2782" s="0">
        <v>2</v>
      </c>
      <c r="N2782" s="0">
        <v>0</v>
      </c>
      <c r="O2782" s="0">
        <v>0</v>
      </c>
      <c r="P2782" s="0">
        <v>0</v>
      </c>
      <c r="R2782" s="0" t="b">
        <v>0</v>
      </c>
      <c r="S2782" s="0" t="b">
        <v>1</v>
      </c>
      <c r="T2782" s="68">
        <v>45609.7117013889</v>
      </c>
      <c r="U2782" s="68">
        <v>45628.2916666667</v>
      </c>
      <c r="V2782" s="68">
        <v>0</v>
      </c>
      <c r="W2782" s="0">
        <f>IF(IF(B2782="none",1,IF(B2782="Trialer",1,0))+IF(C2782="Customer",1,IF(C2782="Lost",1,0))=2,1,0)</f>
      </c>
      <c r="X2782" s="0" t="s">
        <v>166</v>
      </c>
      <c r="Y2782" s="0" t="s">
        <v>499</v>
      </c>
      <c r="AV2782" s="68"/>
      <c r="AW2782" s="68"/>
      <c r="AY2782" s="27"/>
      <c r="BD2782" s="68">
        <v>46054.1666666667</v>
      </c>
      <c r="BE2782" s="68">
        <v>46082.1666666667</v>
      </c>
      <c r="BF2782" s="0" t="b">
        <v>0</v>
      </c>
      <c r="BG2782" s="0" t="b">
        <v>0</v>
      </c>
      <c r="BH2782" s="0">
        <v>122</v>
      </c>
      <c r="BI2782" s="0">
        <v>122</v>
      </c>
      <c r="BJ2782" s="0" t="s">
        <v>135</v>
      </c>
    </row>
    <row r="2783">
      <c r="A2783" s="0" t="s">
        <v>3028</v>
      </c>
      <c r="B2783" s="0" t="s">
        <v>134</v>
      </c>
      <c r="C2783" s="0" t="s">
        <v>134</v>
      </c>
      <c r="D2783" s="0" t="s">
        <v>230</v>
      </c>
      <c r="E2783" s="0" t="s">
        <v>3</v>
      </c>
      <c r="F2783" s="0" t="s">
        <v>12</v>
      </c>
      <c r="G2783" s="0" t="s">
        <v>8</v>
      </c>
      <c r="H2783" s="0">
        <v>443</v>
      </c>
      <c r="I2783" s="0">
        <v>65.7</v>
      </c>
      <c r="J2783" s="0">
        <v>0</v>
      </c>
      <c r="K2783" s="0">
        <v>1</v>
      </c>
      <c r="L2783" s="0">
        <v>5</v>
      </c>
      <c r="M2783" s="0">
        <v>1</v>
      </c>
      <c r="N2783" s="0">
        <v>0</v>
      </c>
      <c r="O2783" s="0">
        <v>0</v>
      </c>
      <c r="P2783" s="0">
        <v>-65.7</v>
      </c>
      <c r="R2783" s="0" t="b">
        <v>0</v>
      </c>
      <c r="S2783" s="0" t="b">
        <v>1</v>
      </c>
      <c r="T2783" s="68">
        <v>45610.5222222222</v>
      </c>
      <c r="U2783" s="68">
        <v>45643.2916666667</v>
      </c>
      <c r="V2783" s="68">
        <v>0</v>
      </c>
      <c r="W2783" s="0">
        <f>IF(IF(B2783="none",1,IF(B2783="Trialer",1,0))+IF(C2783="Customer",1,IF(C2783="Lost",1,0))=2,1,0)</f>
      </c>
      <c r="X2783" s="0" t="s">
        <v>142</v>
      </c>
      <c r="Y2783" s="0" t="s">
        <v>243</v>
      </c>
      <c r="AV2783" s="68"/>
      <c r="AW2783" s="68"/>
      <c r="AY2783" s="27"/>
      <c r="BD2783" s="68">
        <v>46054.1666666667</v>
      </c>
      <c r="BE2783" s="68">
        <v>46082.1666666667</v>
      </c>
      <c r="BF2783" s="0" t="b">
        <v>0</v>
      </c>
      <c r="BG2783" s="0" t="b">
        <v>0</v>
      </c>
      <c r="BH2783" s="0">
        <v>73</v>
      </c>
      <c r="BI2783" s="0">
        <v>73</v>
      </c>
      <c r="BJ2783" s="0" t="s">
        <v>230</v>
      </c>
    </row>
    <row r="2784">
      <c r="A2784" s="0" t="s">
        <v>3029</v>
      </c>
      <c r="B2784" s="0" t="s">
        <v>134</v>
      </c>
      <c r="C2784" s="0" t="s">
        <v>134</v>
      </c>
      <c r="D2784" s="0" t="s">
        <v>135</v>
      </c>
      <c r="E2784" s="0" t="s">
        <v>3</v>
      </c>
      <c r="F2784" s="0" t="s">
        <v>10</v>
      </c>
      <c r="G2784" s="0" t="s">
        <v>8</v>
      </c>
      <c r="H2784" s="0">
        <v>443</v>
      </c>
      <c r="I2784" s="0">
        <v>956</v>
      </c>
      <c r="J2784" s="0">
        <v>0</v>
      </c>
      <c r="K2784" s="0">
        <v>1</v>
      </c>
      <c r="L2784" s="0">
        <v>3</v>
      </c>
      <c r="M2784" s="0">
        <v>16</v>
      </c>
      <c r="N2784" s="0">
        <v>77.5</v>
      </c>
      <c r="O2784" s="0">
        <v>-77.5</v>
      </c>
      <c r="P2784" s="0">
        <v>0</v>
      </c>
      <c r="Q2784" s="0" t="s">
        <v>3030</v>
      </c>
      <c r="R2784" s="0" t="b">
        <v>0</v>
      </c>
      <c r="S2784" s="0" t="b">
        <v>1</v>
      </c>
      <c r="T2784" s="68">
        <v>45610.5300462963</v>
      </c>
      <c r="U2784" s="68">
        <v>45627.2916666667</v>
      </c>
      <c r="V2784" s="68">
        <v>0</v>
      </c>
      <c r="W2784" s="0">
        <f>IF(IF(B2784="none",1,IF(B2784="Trialer",1,0))+IF(C2784="Customer",1,IF(C2784="Lost",1,0))=2,1,0)</f>
      </c>
      <c r="X2784" s="0" t="s">
        <v>148</v>
      </c>
      <c r="Y2784" s="0" t="s">
        <v>243</v>
      </c>
      <c r="AV2784" s="68"/>
      <c r="AW2784" s="68"/>
      <c r="AY2784" s="27"/>
      <c r="BD2784" s="68">
        <v>46054.1666666667</v>
      </c>
      <c r="BE2784" s="68">
        <v>46082.1666666667</v>
      </c>
      <c r="BF2784" s="0" t="b">
        <v>0</v>
      </c>
      <c r="BG2784" s="0" t="b">
        <v>0</v>
      </c>
      <c r="BH2784" s="0">
        <v>650.02</v>
      </c>
      <c r="BI2784" s="0">
        <v>650</v>
      </c>
      <c r="BJ2784" s="0" t="s">
        <v>135</v>
      </c>
    </row>
    <row r="2785">
      <c r="A2785" s="0" t="s">
        <v>3031</v>
      </c>
      <c r="B2785" s="0" t="s">
        <v>134</v>
      </c>
      <c r="C2785" s="0" t="s">
        <v>134</v>
      </c>
      <c r="D2785" s="0" t="s">
        <v>230</v>
      </c>
      <c r="E2785" s="0" t="s">
        <v>3</v>
      </c>
      <c r="F2785" s="0" t="s">
        <v>12</v>
      </c>
      <c r="G2785" s="0" t="s">
        <v>8</v>
      </c>
      <c r="H2785" s="0">
        <v>443</v>
      </c>
      <c r="I2785" s="0">
        <v>108</v>
      </c>
      <c r="J2785" s="0">
        <v>0</v>
      </c>
      <c r="K2785" s="0">
        <v>1</v>
      </c>
      <c r="L2785" s="0">
        <v>2</v>
      </c>
      <c r="M2785" s="0">
        <v>3</v>
      </c>
      <c r="N2785" s="0">
        <v>0</v>
      </c>
      <c r="O2785" s="0">
        <v>0</v>
      </c>
      <c r="P2785" s="0">
        <v>-108</v>
      </c>
      <c r="R2785" s="0" t="b">
        <v>0</v>
      </c>
      <c r="S2785" s="0" t="b">
        <v>1</v>
      </c>
      <c r="T2785" s="68">
        <v>45610.6404513889</v>
      </c>
      <c r="U2785" s="68">
        <v>45623.2916666667</v>
      </c>
      <c r="V2785" s="68">
        <v>0</v>
      </c>
      <c r="W2785" s="0">
        <f>IF(IF(B2785="none",1,IF(B2785="Trialer",1,0))+IF(C2785="Customer",1,IF(C2785="Lost",1,0))=2,1,0)</f>
      </c>
      <c r="X2785" s="0" t="s">
        <v>145</v>
      </c>
      <c r="Y2785" s="0" t="s">
        <v>243</v>
      </c>
      <c r="AV2785" s="68"/>
      <c r="AW2785" s="68"/>
      <c r="AY2785" s="27"/>
      <c r="BD2785" s="68">
        <v>46054.1666666667</v>
      </c>
      <c r="BE2785" s="68">
        <v>46082.1666666667</v>
      </c>
      <c r="BF2785" s="0" t="b">
        <v>0</v>
      </c>
      <c r="BG2785" s="0" t="b">
        <v>0</v>
      </c>
      <c r="BH2785" s="0">
        <v>120</v>
      </c>
      <c r="BI2785" s="0">
        <v>120</v>
      </c>
      <c r="BJ2785" s="0" t="s">
        <v>230</v>
      </c>
    </row>
    <row r="2786">
      <c r="A2786" s="0" t="s">
        <v>3032</v>
      </c>
      <c r="B2786" s="0" t="s">
        <v>134</v>
      </c>
      <c r="C2786" s="0" t="s">
        <v>134</v>
      </c>
      <c r="D2786" s="0" t="s">
        <v>135</v>
      </c>
      <c r="E2786" s="0" t="s">
        <v>3</v>
      </c>
      <c r="F2786" s="0" t="s">
        <v>12</v>
      </c>
      <c r="G2786" s="0" t="s">
        <v>8</v>
      </c>
      <c r="H2786" s="0">
        <v>443</v>
      </c>
      <c r="I2786" s="0">
        <v>61</v>
      </c>
      <c r="J2786" s="0">
        <v>0</v>
      </c>
      <c r="K2786" s="0">
        <v>1</v>
      </c>
      <c r="L2786" s="0">
        <v>4</v>
      </c>
      <c r="M2786" s="0">
        <v>1</v>
      </c>
      <c r="N2786" s="0">
        <v>0</v>
      </c>
      <c r="O2786" s="0">
        <v>0</v>
      </c>
      <c r="P2786" s="0">
        <v>0</v>
      </c>
      <c r="R2786" s="0" t="b">
        <v>0</v>
      </c>
      <c r="S2786" s="0" t="b">
        <v>1</v>
      </c>
      <c r="T2786" s="68">
        <v>45610.707025463</v>
      </c>
      <c r="U2786" s="68">
        <v>45624.2916666667</v>
      </c>
      <c r="V2786" s="68">
        <v>0</v>
      </c>
      <c r="W2786" s="0">
        <f>IF(IF(B2786="none",1,IF(B2786="Trialer",1,0))+IF(C2786="Customer",1,IF(C2786="Lost",1,0))=2,1,0)</f>
      </c>
      <c r="X2786" s="0" t="s">
        <v>166</v>
      </c>
      <c r="Y2786" s="0" t="s">
        <v>243</v>
      </c>
      <c r="AV2786" s="68"/>
      <c r="AW2786" s="68"/>
      <c r="AY2786" s="27"/>
      <c r="BD2786" s="68">
        <v>46054.1666666667</v>
      </c>
      <c r="BE2786" s="68">
        <v>46082.1666666667</v>
      </c>
      <c r="BF2786" s="0" t="b">
        <v>0</v>
      </c>
      <c r="BG2786" s="0" t="b">
        <v>0</v>
      </c>
      <c r="BH2786" s="0">
        <v>61</v>
      </c>
      <c r="BI2786" s="0">
        <v>61</v>
      </c>
      <c r="BJ2786" s="0" t="s">
        <v>135</v>
      </c>
    </row>
    <row r="2787">
      <c r="A2787" s="0" t="s">
        <v>3033</v>
      </c>
      <c r="B2787" s="0" t="s">
        <v>134</v>
      </c>
      <c r="C2787" s="0" t="s">
        <v>134</v>
      </c>
      <c r="D2787" s="0" t="s">
        <v>230</v>
      </c>
      <c r="E2787" s="0" t="s">
        <v>3</v>
      </c>
      <c r="F2787" s="0" t="s">
        <v>12</v>
      </c>
      <c r="G2787" s="0" t="s">
        <v>8</v>
      </c>
      <c r="H2787" s="0">
        <v>443</v>
      </c>
      <c r="I2787" s="0">
        <v>132</v>
      </c>
      <c r="J2787" s="0">
        <v>0</v>
      </c>
      <c r="K2787" s="0">
        <v>1</v>
      </c>
      <c r="L2787" s="0">
        <v>3</v>
      </c>
      <c r="M2787" s="0">
        <v>3</v>
      </c>
      <c r="N2787" s="0">
        <v>0</v>
      </c>
      <c r="O2787" s="0">
        <v>0</v>
      </c>
      <c r="P2787" s="0">
        <v>-132</v>
      </c>
      <c r="R2787" s="0" t="b">
        <v>0</v>
      </c>
      <c r="S2787" s="0" t="b">
        <v>1</v>
      </c>
      <c r="T2787" s="68">
        <v>45610.7188888889</v>
      </c>
      <c r="U2787" s="68">
        <v>45628.2916666667</v>
      </c>
      <c r="V2787" s="68">
        <v>0</v>
      </c>
      <c r="W2787" s="0">
        <f>IF(IF(B2787="none",1,IF(B2787="Trialer",1,0))+IF(C2787="Customer",1,IF(C2787="Lost",1,0))=2,1,0)</f>
      </c>
      <c r="X2787" s="0" t="s">
        <v>142</v>
      </c>
      <c r="Y2787" s="0" t="s">
        <v>243</v>
      </c>
      <c r="AV2787" s="68"/>
      <c r="AW2787" s="68"/>
      <c r="AY2787" s="27"/>
      <c r="BD2787" s="68">
        <v>46054.1666666667</v>
      </c>
      <c r="BE2787" s="68">
        <v>46082.1666666667</v>
      </c>
      <c r="BF2787" s="0" t="b">
        <v>0</v>
      </c>
      <c r="BG2787" s="0" t="b">
        <v>0</v>
      </c>
      <c r="BH2787" s="0">
        <v>147</v>
      </c>
      <c r="BI2787" s="0">
        <v>147</v>
      </c>
      <c r="BJ2787" s="0" t="s">
        <v>230</v>
      </c>
    </row>
    <row r="2788">
      <c r="A2788" s="0" t="s">
        <v>3034</v>
      </c>
      <c r="B2788" s="0" t="s">
        <v>134</v>
      </c>
      <c r="C2788" s="0" t="s">
        <v>134</v>
      </c>
      <c r="D2788" s="0" t="s">
        <v>135</v>
      </c>
      <c r="E2788" s="0" t="s">
        <v>3</v>
      </c>
      <c r="F2788" s="0" t="s">
        <v>12</v>
      </c>
      <c r="G2788" s="0" t="s">
        <v>8</v>
      </c>
      <c r="H2788" s="0">
        <v>442</v>
      </c>
      <c r="I2788" s="0">
        <v>37</v>
      </c>
      <c r="J2788" s="0">
        <v>0</v>
      </c>
      <c r="K2788" s="0">
        <v>1</v>
      </c>
      <c r="L2788" s="0">
        <v>2</v>
      </c>
      <c r="M2788" s="0">
        <v>1</v>
      </c>
      <c r="N2788" s="0">
        <v>0</v>
      </c>
      <c r="O2788" s="0">
        <v>0</v>
      </c>
      <c r="P2788" s="0">
        <v>0</v>
      </c>
      <c r="R2788" s="0" t="b">
        <v>0</v>
      </c>
      <c r="S2788" s="0" t="b">
        <v>1</v>
      </c>
      <c r="T2788" s="68">
        <v>45611.4920949074</v>
      </c>
      <c r="U2788" s="68">
        <v>45625.2916666667</v>
      </c>
      <c r="V2788" s="68">
        <v>0</v>
      </c>
      <c r="W2788" s="0">
        <f>IF(IF(B2788="none",1,IF(B2788="Trialer",1,0))+IF(C2788="Customer",1,IF(C2788="Lost",1,0))=2,1,0)</f>
      </c>
      <c r="X2788" s="0" t="s">
        <v>142</v>
      </c>
      <c r="Y2788" s="0" t="s">
        <v>243</v>
      </c>
      <c r="AV2788" s="68"/>
      <c r="AW2788" s="68"/>
      <c r="AY2788" s="27"/>
      <c r="BD2788" s="68">
        <v>46054.1666666667</v>
      </c>
      <c r="BE2788" s="68">
        <v>46082.1666666667</v>
      </c>
      <c r="BF2788" s="0" t="b">
        <v>0</v>
      </c>
      <c r="BG2788" s="0" t="b">
        <v>0</v>
      </c>
      <c r="BH2788" s="0">
        <v>65</v>
      </c>
      <c r="BI2788" s="0">
        <v>65</v>
      </c>
      <c r="BJ2788" s="0" t="s">
        <v>135</v>
      </c>
    </row>
    <row r="2789">
      <c r="A2789" s="0" t="s">
        <v>3035</v>
      </c>
      <c r="B2789" s="0" t="s">
        <v>134</v>
      </c>
      <c r="C2789" s="0" t="s">
        <v>134</v>
      </c>
      <c r="D2789" s="0" t="s">
        <v>230</v>
      </c>
      <c r="E2789" s="0" t="s">
        <v>3</v>
      </c>
      <c r="F2789" s="0" t="s">
        <v>12</v>
      </c>
      <c r="G2789" s="0" t="s">
        <v>8</v>
      </c>
      <c r="H2789" s="0">
        <v>439</v>
      </c>
      <c r="I2789" s="0">
        <v>501</v>
      </c>
      <c r="J2789" s="0">
        <v>0</v>
      </c>
      <c r="K2789" s="0">
        <v>1</v>
      </c>
      <c r="L2789" s="0">
        <v>3</v>
      </c>
      <c r="M2789" s="0">
        <v>4</v>
      </c>
      <c r="N2789" s="0">
        <v>0</v>
      </c>
      <c r="O2789" s="0">
        <v>0</v>
      </c>
      <c r="P2789" s="0">
        <v>-176</v>
      </c>
      <c r="R2789" s="0" t="b">
        <v>0</v>
      </c>
      <c r="S2789" s="0" t="b">
        <v>1</v>
      </c>
      <c r="T2789" s="68">
        <v>45614.4611458333</v>
      </c>
      <c r="U2789" s="68">
        <v>45616.5</v>
      </c>
      <c r="V2789" s="68">
        <v>0</v>
      </c>
      <c r="W2789" s="0">
        <f>IF(IF(B2789="none",1,IF(B2789="Trialer",1,0))+IF(C2789="Customer",1,IF(C2789="Lost",1,0))=2,1,0)</f>
      </c>
      <c r="X2789" s="0" t="s">
        <v>136</v>
      </c>
      <c r="Y2789" s="0" t="s">
        <v>243</v>
      </c>
      <c r="AV2789" s="68"/>
      <c r="AW2789" s="68"/>
      <c r="AY2789" s="27"/>
      <c r="BD2789" s="68">
        <v>46054.1666666667</v>
      </c>
      <c r="BE2789" s="68">
        <v>46082.1666666667</v>
      </c>
      <c r="BF2789" s="0" t="b">
        <v>0</v>
      </c>
      <c r="BG2789" s="0" t="b">
        <v>0</v>
      </c>
      <c r="BH2789" s="0">
        <v>196</v>
      </c>
      <c r="BI2789" s="0">
        <v>196</v>
      </c>
      <c r="BJ2789" s="0" t="s">
        <v>230</v>
      </c>
    </row>
    <row r="2790">
      <c r="A2790" s="0" t="s">
        <v>3036</v>
      </c>
      <c r="B2790" s="0" t="s">
        <v>134</v>
      </c>
      <c r="C2790" s="0" t="s">
        <v>134</v>
      </c>
      <c r="D2790" s="0" t="s">
        <v>230</v>
      </c>
      <c r="E2790" s="0" t="s">
        <v>3</v>
      </c>
      <c r="F2790" s="0" t="s">
        <v>12</v>
      </c>
      <c r="G2790" s="0" t="s">
        <v>8</v>
      </c>
      <c r="H2790" s="0">
        <v>439</v>
      </c>
      <c r="I2790" s="0">
        <v>415.9</v>
      </c>
      <c r="J2790" s="0">
        <v>0</v>
      </c>
      <c r="K2790" s="0">
        <v>1</v>
      </c>
      <c r="L2790" s="0">
        <v>4</v>
      </c>
      <c r="M2790" s="0">
        <v>2</v>
      </c>
      <c r="N2790" s="0">
        <v>0</v>
      </c>
      <c r="O2790" s="0">
        <v>0</v>
      </c>
      <c r="P2790" s="0">
        <v>-90.9</v>
      </c>
      <c r="R2790" s="0" t="b">
        <v>0</v>
      </c>
      <c r="S2790" s="0" t="b">
        <v>1</v>
      </c>
      <c r="T2790" s="68">
        <v>45614.6246527778</v>
      </c>
      <c r="U2790" s="68">
        <v>45615.2916666667</v>
      </c>
      <c r="V2790" s="68">
        <v>0</v>
      </c>
      <c r="W2790" s="0">
        <f>IF(IF(B2790="none",1,IF(B2790="Trialer",1,0))+IF(C2790="Customer",1,IF(C2790="Lost",1,0))=2,1,0)</f>
      </c>
      <c r="X2790" s="0" t="s">
        <v>145</v>
      </c>
      <c r="Y2790" s="0" t="s">
        <v>243</v>
      </c>
      <c r="AV2790" s="68"/>
      <c r="AW2790" s="68"/>
      <c r="AY2790" s="27"/>
      <c r="BD2790" s="68">
        <v>46054.1666666667</v>
      </c>
      <c r="BE2790" s="68">
        <v>46082.1666666667</v>
      </c>
      <c r="BF2790" s="0" t="b">
        <v>0</v>
      </c>
      <c r="BG2790" s="0" t="b">
        <v>0</v>
      </c>
      <c r="BH2790" s="0">
        <v>101</v>
      </c>
      <c r="BI2790" s="0">
        <v>101</v>
      </c>
      <c r="BJ2790" s="0" t="s">
        <v>230</v>
      </c>
    </row>
    <row r="2791">
      <c r="A2791" s="0" t="s">
        <v>3037</v>
      </c>
      <c r="B2791" s="0" t="s">
        <v>134</v>
      </c>
      <c r="C2791" s="0" t="s">
        <v>134</v>
      </c>
      <c r="D2791" s="0" t="s">
        <v>230</v>
      </c>
      <c r="E2791" s="0" t="s">
        <v>2</v>
      </c>
      <c r="F2791" s="0" t="s">
        <v>12</v>
      </c>
      <c r="G2791" s="0" t="s">
        <v>8</v>
      </c>
      <c r="H2791" s="0">
        <v>439</v>
      </c>
      <c r="I2791" s="0">
        <v>202</v>
      </c>
      <c r="J2791" s="0">
        <v>0</v>
      </c>
      <c r="K2791" s="0">
        <v>1</v>
      </c>
      <c r="L2791" s="0">
        <v>6</v>
      </c>
      <c r="M2791" s="0">
        <v>3</v>
      </c>
      <c r="N2791" s="0">
        <v>0</v>
      </c>
      <c r="O2791" s="0">
        <v>0</v>
      </c>
      <c r="P2791" s="0">
        <v>-202</v>
      </c>
      <c r="R2791" s="0" t="b">
        <v>0</v>
      </c>
      <c r="S2791" s="0" t="b">
        <v>1</v>
      </c>
      <c r="T2791" s="68">
        <v>45614.6609490741</v>
      </c>
      <c r="U2791" s="68">
        <v>45628.2916666667</v>
      </c>
      <c r="V2791" s="68">
        <v>0</v>
      </c>
      <c r="W2791" s="0">
        <f>IF(IF(B2791="none",1,IF(B2791="Trialer",1,0))+IF(C2791="Customer",1,IF(C2791="Lost",1,0))=2,1,0)</f>
      </c>
      <c r="X2791" s="0" t="s">
        <v>153</v>
      </c>
      <c r="Y2791" s="0" t="s">
        <v>499</v>
      </c>
      <c r="AV2791" s="68"/>
      <c r="AW2791" s="68"/>
      <c r="AY2791" s="27"/>
      <c r="BD2791" s="68">
        <v>46054.1666666667</v>
      </c>
      <c r="BE2791" s="68">
        <v>46082.1666666667</v>
      </c>
      <c r="BF2791" s="0" t="b">
        <v>0</v>
      </c>
      <c r="BG2791" s="0" t="b">
        <v>0</v>
      </c>
      <c r="BH2791" s="0">
        <v>231</v>
      </c>
      <c r="BI2791" s="0">
        <v>231</v>
      </c>
      <c r="BJ2791" s="0" t="s">
        <v>230</v>
      </c>
    </row>
    <row r="2792">
      <c r="A2792" s="0" t="s">
        <v>3038</v>
      </c>
      <c r="B2792" s="0" t="s">
        <v>134</v>
      </c>
      <c r="C2792" s="0" t="s">
        <v>134</v>
      </c>
      <c r="D2792" s="0" t="s">
        <v>135</v>
      </c>
      <c r="E2792" s="0" t="s">
        <v>2</v>
      </c>
      <c r="F2792" s="0" t="s">
        <v>12</v>
      </c>
      <c r="G2792" s="0" t="s">
        <v>8</v>
      </c>
      <c r="H2792" s="0">
        <v>438</v>
      </c>
      <c r="I2792" s="0">
        <v>897</v>
      </c>
      <c r="J2792" s="0">
        <v>0</v>
      </c>
      <c r="K2792" s="0">
        <v>1</v>
      </c>
      <c r="L2792" s="0">
        <v>4</v>
      </c>
      <c r="M2792" s="0">
        <v>14</v>
      </c>
      <c r="N2792" s="0">
        <v>0</v>
      </c>
      <c r="O2792" s="0">
        <v>0</v>
      </c>
      <c r="P2792" s="0">
        <v>0</v>
      </c>
      <c r="R2792" s="0" t="b">
        <v>0</v>
      </c>
      <c r="S2792" s="0" t="b">
        <v>1</v>
      </c>
      <c r="T2792" s="68">
        <v>45615.5974305556</v>
      </c>
      <c r="U2792" s="68">
        <v>45617.2916666667</v>
      </c>
      <c r="V2792" s="68">
        <v>0</v>
      </c>
      <c r="W2792" s="0">
        <f>IF(IF(B2792="none",1,IF(B2792="Trialer",1,0))+IF(C2792="Customer",1,IF(C2792="Lost",1,0))=2,1,0)</f>
      </c>
      <c r="X2792" s="0" t="s">
        <v>145</v>
      </c>
      <c r="Y2792" s="0" t="s">
        <v>499</v>
      </c>
      <c r="AV2792" s="68"/>
      <c r="AW2792" s="68"/>
      <c r="AY2792" s="27"/>
      <c r="BD2792" s="68">
        <v>46054.1666666667</v>
      </c>
      <c r="BE2792" s="68">
        <v>46082.1666666667</v>
      </c>
      <c r="BF2792" s="0" t="b">
        <v>0</v>
      </c>
      <c r="BG2792" s="0" t="b">
        <v>0</v>
      </c>
      <c r="BH2792" s="0">
        <v>572</v>
      </c>
      <c r="BI2792" s="0">
        <v>572</v>
      </c>
      <c r="BJ2792" s="0" t="s">
        <v>230</v>
      </c>
    </row>
    <row r="2793">
      <c r="A2793" s="0" t="s">
        <v>3039</v>
      </c>
      <c r="B2793" s="0" t="s">
        <v>134</v>
      </c>
      <c r="C2793" s="0" t="s">
        <v>134</v>
      </c>
      <c r="D2793" s="0" t="s">
        <v>135</v>
      </c>
      <c r="E2793" s="0" t="s">
        <v>3</v>
      </c>
      <c r="F2793" s="0" t="s">
        <v>12</v>
      </c>
      <c r="G2793" s="0" t="s">
        <v>8</v>
      </c>
      <c r="H2793" s="0">
        <v>438</v>
      </c>
      <c r="I2793" s="0">
        <v>49</v>
      </c>
      <c r="J2793" s="0">
        <v>0</v>
      </c>
      <c r="K2793" s="0">
        <v>1</v>
      </c>
      <c r="L2793" s="0">
        <v>3</v>
      </c>
      <c r="M2793" s="0">
        <v>1</v>
      </c>
      <c r="N2793" s="0">
        <v>0</v>
      </c>
      <c r="O2793" s="0">
        <v>0</v>
      </c>
      <c r="P2793" s="0">
        <v>0</v>
      </c>
      <c r="R2793" s="0" t="b">
        <v>0</v>
      </c>
      <c r="S2793" s="0" t="b">
        <v>1</v>
      </c>
      <c r="T2793" s="68">
        <v>45615.6216203704</v>
      </c>
      <c r="U2793" s="68">
        <v>45631.2916666667</v>
      </c>
      <c r="V2793" s="68">
        <v>0</v>
      </c>
      <c r="W2793" s="0">
        <f>IF(IF(B2793="none",1,IF(B2793="Trialer",1,0))+IF(C2793="Customer",1,IF(C2793="Lost",1,0))=2,1,0)</f>
      </c>
      <c r="X2793" s="0" t="s">
        <v>1461</v>
      </c>
      <c r="Y2793" s="0" t="s">
        <v>243</v>
      </c>
      <c r="AV2793" s="68"/>
      <c r="AW2793" s="68"/>
      <c r="AY2793" s="27"/>
      <c r="BD2793" s="68">
        <v>46054.1666666667</v>
      </c>
      <c r="BE2793" s="68">
        <v>46082.1666666667</v>
      </c>
      <c r="BF2793" s="0" t="b">
        <v>0</v>
      </c>
      <c r="BG2793" s="0" t="b">
        <v>0</v>
      </c>
      <c r="BH2793" s="0">
        <v>49</v>
      </c>
      <c r="BI2793" s="0">
        <v>49</v>
      </c>
      <c r="BJ2793" s="0" t="s">
        <v>135</v>
      </c>
    </row>
    <row r="2794">
      <c r="A2794" s="0" t="s">
        <v>3040</v>
      </c>
      <c r="B2794" s="0" t="s">
        <v>134</v>
      </c>
      <c r="C2794" s="0" t="s">
        <v>134</v>
      </c>
      <c r="D2794" s="0" t="s">
        <v>135</v>
      </c>
      <c r="E2794" s="0" t="s">
        <v>3</v>
      </c>
      <c r="F2794" s="0" t="s">
        <v>12</v>
      </c>
      <c r="G2794" s="0" t="s">
        <v>8</v>
      </c>
      <c r="H2794" s="0">
        <v>438</v>
      </c>
      <c r="I2794" s="0">
        <v>61</v>
      </c>
      <c r="J2794" s="0">
        <v>0</v>
      </c>
      <c r="K2794" s="0">
        <v>1</v>
      </c>
      <c r="L2794" s="0">
        <v>4</v>
      </c>
      <c r="M2794" s="0">
        <v>1</v>
      </c>
      <c r="N2794" s="0">
        <v>0</v>
      </c>
      <c r="O2794" s="0">
        <v>0</v>
      </c>
      <c r="P2794" s="0">
        <v>0</v>
      </c>
      <c r="R2794" s="0" t="b">
        <v>0</v>
      </c>
      <c r="S2794" s="0" t="b">
        <v>1</v>
      </c>
      <c r="T2794" s="68">
        <v>45615.8329861111</v>
      </c>
      <c r="U2794" s="68">
        <v>45616.2916666667</v>
      </c>
      <c r="V2794" s="68">
        <v>0</v>
      </c>
      <c r="W2794" s="0">
        <f>IF(IF(B2794="none",1,IF(B2794="Trialer",1,0))+IF(C2794="Customer",1,IF(C2794="Lost",1,0))=2,1,0)</f>
      </c>
      <c r="X2794" s="0" t="s">
        <v>153</v>
      </c>
      <c r="Y2794" s="0" t="s">
        <v>243</v>
      </c>
      <c r="AV2794" s="68"/>
      <c r="AW2794" s="68"/>
      <c r="AY2794" s="27"/>
      <c r="BD2794" s="68">
        <v>46054.1666666667</v>
      </c>
      <c r="BE2794" s="68">
        <v>46082.1666666667</v>
      </c>
      <c r="BF2794" s="0" t="b">
        <v>0</v>
      </c>
      <c r="BG2794" s="0" t="b">
        <v>0</v>
      </c>
      <c r="BH2794" s="0">
        <v>61</v>
      </c>
      <c r="BI2794" s="0">
        <v>61</v>
      </c>
      <c r="BJ2794" s="0" t="s">
        <v>135</v>
      </c>
    </row>
    <row r="2795">
      <c r="A2795" s="0" t="s">
        <v>3041</v>
      </c>
      <c r="B2795" s="0" t="s">
        <v>134</v>
      </c>
      <c r="C2795" s="0" t="s">
        <v>134</v>
      </c>
      <c r="D2795" s="0" t="s">
        <v>230</v>
      </c>
      <c r="E2795" s="0" t="s">
        <v>3</v>
      </c>
      <c r="F2795" s="0" t="s">
        <v>10</v>
      </c>
      <c r="G2795" s="0" t="s">
        <v>8</v>
      </c>
      <c r="H2795" s="0">
        <v>437</v>
      </c>
      <c r="I2795" s="0">
        <v>582.25</v>
      </c>
      <c r="J2795" s="0">
        <v>0</v>
      </c>
      <c r="K2795" s="0">
        <v>1</v>
      </c>
      <c r="L2795" s="0">
        <v>3</v>
      </c>
      <c r="M2795" s="0">
        <v>7</v>
      </c>
      <c r="N2795" s="0">
        <v>0</v>
      </c>
      <c r="O2795" s="0">
        <v>0</v>
      </c>
      <c r="P2795" s="0">
        <v>-257.25</v>
      </c>
      <c r="Q2795" s="0" t="s">
        <v>725</v>
      </c>
      <c r="R2795" s="0" t="b">
        <v>0</v>
      </c>
      <c r="S2795" s="0" t="b">
        <v>1</v>
      </c>
      <c r="T2795" s="68">
        <v>45616.6900578704</v>
      </c>
      <c r="U2795" s="68">
        <v>45643.2916666667</v>
      </c>
      <c r="V2795" s="68">
        <v>0</v>
      </c>
      <c r="W2795" s="0">
        <f>IF(IF(B2795="none",1,IF(B2795="Trialer",1,0))+IF(C2795="Customer",1,IF(C2795="Lost",1,0))=2,1,0)</f>
      </c>
      <c r="X2795" s="0" t="s">
        <v>148</v>
      </c>
      <c r="Y2795" s="0" t="s">
        <v>243</v>
      </c>
      <c r="AV2795" s="68"/>
      <c r="AW2795" s="68"/>
      <c r="AY2795" s="27"/>
      <c r="BD2795" s="68">
        <v>46054.1666666667</v>
      </c>
      <c r="BE2795" s="68">
        <v>46082.1666666667</v>
      </c>
      <c r="BF2795" s="0" t="b">
        <v>0</v>
      </c>
      <c r="BG2795" s="0" t="b">
        <v>0</v>
      </c>
      <c r="BH2795" s="0">
        <v>147</v>
      </c>
      <c r="BI2795" s="0">
        <v>147</v>
      </c>
      <c r="BJ2795" s="0" t="s">
        <v>230</v>
      </c>
    </row>
    <row r="2796">
      <c r="A2796" s="0" t="s">
        <v>3042</v>
      </c>
      <c r="B2796" s="0" t="s">
        <v>134</v>
      </c>
      <c r="C2796" s="0" t="s">
        <v>134</v>
      </c>
      <c r="D2796" s="0" t="s">
        <v>135</v>
      </c>
      <c r="E2796" s="0" t="s">
        <v>2</v>
      </c>
      <c r="F2796" s="0" t="s">
        <v>12</v>
      </c>
      <c r="G2796" s="0" t="s">
        <v>8</v>
      </c>
      <c r="H2796" s="0">
        <v>437</v>
      </c>
      <c r="I2796" s="0">
        <v>49</v>
      </c>
      <c r="J2796" s="0">
        <v>0</v>
      </c>
      <c r="K2796" s="0">
        <v>1</v>
      </c>
      <c r="L2796" s="0">
        <v>3</v>
      </c>
      <c r="M2796" s="0">
        <v>1</v>
      </c>
      <c r="N2796" s="0">
        <v>0</v>
      </c>
      <c r="O2796" s="0">
        <v>0</v>
      </c>
      <c r="P2796" s="0">
        <v>0</v>
      </c>
      <c r="R2796" s="0" t="b">
        <v>0</v>
      </c>
      <c r="S2796" s="0" t="b">
        <v>1</v>
      </c>
      <c r="T2796" s="68">
        <v>45616.9213773148</v>
      </c>
      <c r="U2796" s="68">
        <v>45637.2916666667</v>
      </c>
      <c r="V2796" s="68">
        <v>0</v>
      </c>
      <c r="W2796" s="0">
        <f>IF(IF(B2796="none",1,IF(B2796="Trialer",1,0))+IF(C2796="Customer",1,IF(C2796="Lost",1,0))=2,1,0)</f>
      </c>
      <c r="X2796" s="0" t="s">
        <v>166</v>
      </c>
      <c r="Y2796" s="0" t="s">
        <v>499</v>
      </c>
      <c r="AV2796" s="68"/>
      <c r="AW2796" s="68"/>
      <c r="AY2796" s="27"/>
      <c r="BD2796" s="68">
        <v>46054.1666666667</v>
      </c>
      <c r="BE2796" s="68">
        <v>46082.1666666667</v>
      </c>
      <c r="BF2796" s="0" t="b">
        <v>0</v>
      </c>
      <c r="BG2796" s="0" t="b">
        <v>0</v>
      </c>
      <c r="BH2796" s="0">
        <v>49</v>
      </c>
      <c r="BI2796" s="0">
        <v>49</v>
      </c>
      <c r="BJ2796" s="0" t="s">
        <v>135</v>
      </c>
    </row>
    <row r="2797">
      <c r="A2797" s="0" t="s">
        <v>3043</v>
      </c>
      <c r="B2797" s="0" t="s">
        <v>134</v>
      </c>
      <c r="C2797" s="0" t="s">
        <v>134</v>
      </c>
      <c r="D2797" s="0" t="s">
        <v>230</v>
      </c>
      <c r="E2797" s="0" t="s">
        <v>3</v>
      </c>
      <c r="F2797" s="0" t="s">
        <v>12</v>
      </c>
      <c r="G2797" s="0" t="s">
        <v>8</v>
      </c>
      <c r="H2797" s="0">
        <v>436</v>
      </c>
      <c r="I2797" s="0">
        <v>263.7</v>
      </c>
      <c r="J2797" s="0">
        <v>0</v>
      </c>
      <c r="K2797" s="0">
        <v>1</v>
      </c>
      <c r="L2797" s="0">
        <v>4</v>
      </c>
      <c r="M2797" s="0">
        <v>5</v>
      </c>
      <c r="N2797" s="0">
        <v>0</v>
      </c>
      <c r="O2797" s="0">
        <v>0</v>
      </c>
      <c r="P2797" s="0">
        <v>-263.7</v>
      </c>
      <c r="R2797" s="0" t="b">
        <v>0</v>
      </c>
      <c r="S2797" s="0" t="b">
        <v>1</v>
      </c>
      <c r="T2797" s="68">
        <v>45617.7634490741</v>
      </c>
      <c r="U2797" s="68">
        <v>45645.2916666667</v>
      </c>
      <c r="V2797" s="68">
        <v>0</v>
      </c>
      <c r="W2797" s="0">
        <f>IF(IF(B2797="none",1,IF(B2797="Trialer",1,0))+IF(C2797="Customer",1,IF(C2797="Lost",1,0))=2,1,0)</f>
      </c>
      <c r="X2797" s="0" t="s">
        <v>145</v>
      </c>
      <c r="Y2797" s="0" t="s">
        <v>243</v>
      </c>
      <c r="AV2797" s="68"/>
      <c r="AW2797" s="68"/>
      <c r="AY2797" s="27"/>
      <c r="BD2797" s="68">
        <v>46054.1666666667</v>
      </c>
      <c r="BE2797" s="68">
        <v>46082.1666666667</v>
      </c>
      <c r="BF2797" s="0" t="b">
        <v>0</v>
      </c>
      <c r="BG2797" s="0" t="b">
        <v>0</v>
      </c>
      <c r="BH2797" s="0">
        <v>293</v>
      </c>
      <c r="BI2797" s="0">
        <v>293</v>
      </c>
      <c r="BJ2797" s="0" t="s">
        <v>230</v>
      </c>
    </row>
    <row r="2798">
      <c r="A2798" s="0" t="s">
        <v>3044</v>
      </c>
      <c r="B2798" s="0" t="s">
        <v>134</v>
      </c>
      <c r="C2798" s="0" t="s">
        <v>190</v>
      </c>
      <c r="D2798" s="0" t="s">
        <v>230</v>
      </c>
      <c r="E2798" s="0" t="s">
        <v>4</v>
      </c>
      <c r="F2798" s="0" t="s">
        <v>12</v>
      </c>
      <c r="G2798" s="0" t="s">
        <v>8</v>
      </c>
      <c r="H2798" s="0">
        <v>435</v>
      </c>
      <c r="I2798" s="0">
        <v>361</v>
      </c>
      <c r="J2798" s="0">
        <v>0</v>
      </c>
      <c r="K2798" s="0">
        <v>1</v>
      </c>
      <c r="L2798" s="0">
        <v>2</v>
      </c>
      <c r="M2798" s="0">
        <v>1</v>
      </c>
      <c r="N2798" s="0">
        <v>0</v>
      </c>
      <c r="O2798" s="0">
        <v>0</v>
      </c>
      <c r="P2798" s="0">
        <v>-36</v>
      </c>
      <c r="R2798" s="0" t="b">
        <v>0</v>
      </c>
      <c r="S2798" s="0" t="b">
        <v>0</v>
      </c>
      <c r="T2798" s="68">
        <v>45618.2455208333</v>
      </c>
      <c r="U2798" s="68">
        <v>45632.2916666667</v>
      </c>
      <c r="V2798" s="68">
        <v>46076.295474537</v>
      </c>
      <c r="W2798" s="0">
        <f>IF(IF(B2798="none",1,IF(B2798="Trialer",1,0))+IF(C2798="Customer",1,IF(C2798="Lost",1,0))=2,1,0)</f>
      </c>
      <c r="X2798" s="0" t="s">
        <v>148</v>
      </c>
      <c r="Y2798" s="0" t="s">
        <v>1772</v>
      </c>
      <c r="AV2798" s="68"/>
      <c r="AW2798" s="68"/>
      <c r="AY2798" s="27"/>
      <c r="BD2798" s="68">
        <v>46054.1666666667</v>
      </c>
      <c r="BE2798" s="68">
        <v>46082.1666666667</v>
      </c>
      <c r="BF2798" s="0" t="b">
        <v>0</v>
      </c>
      <c r="BG2798" s="0" t="b">
        <v>0</v>
      </c>
      <c r="BH2798" s="0">
        <v>40</v>
      </c>
      <c r="BI2798" s="0">
        <v>40</v>
      </c>
      <c r="BJ2798" s="0" t="s">
        <v>230</v>
      </c>
    </row>
    <row r="2799">
      <c r="A2799" s="0" t="s">
        <v>3045</v>
      </c>
      <c r="B2799" s="0" t="s">
        <v>134</v>
      </c>
      <c r="C2799" s="0" t="s">
        <v>134</v>
      </c>
      <c r="D2799" s="0" t="s">
        <v>135</v>
      </c>
      <c r="E2799" s="0" t="s">
        <v>3</v>
      </c>
      <c r="F2799" s="0" t="s">
        <v>12</v>
      </c>
      <c r="G2799" s="0" t="s">
        <v>8</v>
      </c>
      <c r="H2799" s="0">
        <v>433</v>
      </c>
      <c r="I2799" s="0">
        <v>49</v>
      </c>
      <c r="J2799" s="0">
        <v>0</v>
      </c>
      <c r="K2799" s="0">
        <v>1</v>
      </c>
      <c r="L2799" s="0">
        <v>3</v>
      </c>
      <c r="M2799" s="0">
        <v>1</v>
      </c>
      <c r="N2799" s="0">
        <v>0</v>
      </c>
      <c r="O2799" s="0">
        <v>0</v>
      </c>
      <c r="P2799" s="0">
        <v>0</v>
      </c>
      <c r="R2799" s="0" t="b">
        <v>0</v>
      </c>
      <c r="S2799" s="0" t="b">
        <v>1</v>
      </c>
      <c r="T2799" s="68">
        <v>45620.9243981481</v>
      </c>
      <c r="U2799" s="68">
        <v>45642.2916666667</v>
      </c>
      <c r="V2799" s="68">
        <v>0</v>
      </c>
      <c r="W2799" s="0">
        <f>IF(IF(B2799="none",1,IF(B2799="Trialer",1,0))+IF(C2799="Customer",1,IF(C2799="Lost",1,0))=2,1,0)</f>
      </c>
      <c r="X2799" s="0" t="s">
        <v>166</v>
      </c>
      <c r="Y2799" s="0" t="s">
        <v>243</v>
      </c>
      <c r="AV2799" s="68"/>
      <c r="AW2799" s="68"/>
      <c r="AY2799" s="27"/>
      <c r="BD2799" s="68">
        <v>46054.1666666667</v>
      </c>
      <c r="BE2799" s="68">
        <v>46082.1666666667</v>
      </c>
      <c r="BF2799" s="0" t="b">
        <v>0</v>
      </c>
      <c r="BG2799" s="0" t="b">
        <v>0</v>
      </c>
      <c r="BH2799" s="0">
        <v>49</v>
      </c>
      <c r="BI2799" s="0">
        <v>49</v>
      </c>
      <c r="BJ2799" s="0" t="s">
        <v>135</v>
      </c>
    </row>
    <row r="2800">
      <c r="A2800" s="0" t="s">
        <v>3046</v>
      </c>
      <c r="B2800" s="0" t="s">
        <v>134</v>
      </c>
      <c r="C2800" s="0" t="s">
        <v>134</v>
      </c>
      <c r="D2800" s="0" t="s">
        <v>230</v>
      </c>
      <c r="E2800" s="0" t="s">
        <v>3</v>
      </c>
      <c r="F2800" s="0" t="s">
        <v>12</v>
      </c>
      <c r="G2800" s="0" t="s">
        <v>8</v>
      </c>
      <c r="H2800" s="0">
        <v>432</v>
      </c>
      <c r="I2800" s="0">
        <v>463.6</v>
      </c>
      <c r="J2800" s="0">
        <v>0</v>
      </c>
      <c r="K2800" s="0">
        <v>1</v>
      </c>
      <c r="L2800" s="0">
        <v>3</v>
      </c>
      <c r="M2800" s="0">
        <v>4</v>
      </c>
      <c r="N2800" s="0">
        <v>0</v>
      </c>
      <c r="O2800" s="0">
        <v>0</v>
      </c>
      <c r="P2800" s="0">
        <v>-138.6</v>
      </c>
      <c r="R2800" s="0" t="b">
        <v>0</v>
      </c>
      <c r="S2800" s="0" t="b">
        <v>1</v>
      </c>
      <c r="T2800" s="68">
        <v>45621.3797106482</v>
      </c>
      <c r="U2800" s="68">
        <v>45635.2916666667</v>
      </c>
      <c r="V2800" s="68">
        <v>0</v>
      </c>
      <c r="W2800" s="0">
        <f>IF(IF(B2800="none",1,IF(B2800="Trialer",1,0))+IF(C2800="Customer",1,IF(C2800="Lost",1,0))=2,1,0)</f>
      </c>
      <c r="X2800" s="0" t="s">
        <v>148</v>
      </c>
      <c r="Y2800" s="0" t="s">
        <v>243</v>
      </c>
      <c r="AV2800" s="68"/>
      <c r="AW2800" s="68"/>
      <c r="AY2800" s="27"/>
      <c r="BD2800" s="68">
        <v>46054.1666666667</v>
      </c>
      <c r="BE2800" s="68">
        <v>46082.1666666667</v>
      </c>
      <c r="BF2800" s="0" t="b">
        <v>0</v>
      </c>
      <c r="BG2800" s="0" t="b">
        <v>0</v>
      </c>
      <c r="BH2800" s="0">
        <v>154</v>
      </c>
      <c r="BI2800" s="0">
        <v>154</v>
      </c>
      <c r="BJ2800" s="0" t="s">
        <v>230</v>
      </c>
    </row>
    <row r="2801">
      <c r="A2801" s="0" t="s">
        <v>3047</v>
      </c>
      <c r="B2801" s="0" t="s">
        <v>134</v>
      </c>
      <c r="C2801" s="0" t="s">
        <v>134</v>
      </c>
      <c r="D2801" s="0" t="s">
        <v>230</v>
      </c>
      <c r="E2801" s="0" t="s">
        <v>2</v>
      </c>
      <c r="F2801" s="0" t="s">
        <v>12</v>
      </c>
      <c r="G2801" s="0" t="s">
        <v>8</v>
      </c>
      <c r="H2801" s="0">
        <v>431</v>
      </c>
      <c r="I2801" s="0">
        <v>1160.2</v>
      </c>
      <c r="J2801" s="0">
        <v>0</v>
      </c>
      <c r="K2801" s="0">
        <v>1</v>
      </c>
      <c r="L2801" s="0">
        <v>5</v>
      </c>
      <c r="M2801" s="0">
        <v>16</v>
      </c>
      <c r="N2801" s="0">
        <v>0</v>
      </c>
      <c r="O2801" s="0">
        <v>0</v>
      </c>
      <c r="P2801" s="0">
        <v>-835.2</v>
      </c>
      <c r="R2801" s="0" t="b">
        <v>0</v>
      </c>
      <c r="S2801" s="0" t="b">
        <v>1</v>
      </c>
      <c r="T2801" s="68">
        <v>45622.5192939815</v>
      </c>
      <c r="U2801" s="68">
        <v>45645.2916666667</v>
      </c>
      <c r="V2801" s="68">
        <v>0</v>
      </c>
      <c r="W2801" s="0">
        <f>IF(IF(B2801="none",1,IF(B2801="Trialer",1,0))+IF(C2801="Customer",1,IF(C2801="Lost",1,0))=2,1,0)</f>
      </c>
      <c r="X2801" s="0" t="s">
        <v>145</v>
      </c>
      <c r="Y2801" s="0" t="s">
        <v>499</v>
      </c>
      <c r="AV2801" s="68"/>
      <c r="AW2801" s="68"/>
      <c r="AY2801" s="27"/>
      <c r="BD2801" s="68">
        <v>46054.1666666667</v>
      </c>
      <c r="BE2801" s="68">
        <v>46082.1666666667</v>
      </c>
      <c r="BF2801" s="0" t="b">
        <v>0</v>
      </c>
      <c r="BG2801" s="0" t="b">
        <v>0</v>
      </c>
      <c r="BH2801" s="0">
        <v>928</v>
      </c>
      <c r="BI2801" s="0">
        <v>928</v>
      </c>
      <c r="BJ2801" s="0" t="s">
        <v>230</v>
      </c>
    </row>
    <row r="2802">
      <c r="A2802" s="0" t="s">
        <v>3048</v>
      </c>
      <c r="B2802" s="0" t="s">
        <v>134</v>
      </c>
      <c r="C2802" s="0" t="s">
        <v>134</v>
      </c>
      <c r="D2802" s="0" t="s">
        <v>135</v>
      </c>
      <c r="E2802" s="0" t="s">
        <v>3</v>
      </c>
      <c r="F2802" s="0" t="s">
        <v>11</v>
      </c>
      <c r="G2802" s="0" t="s">
        <v>8</v>
      </c>
      <c r="H2802" s="0">
        <v>431</v>
      </c>
      <c r="I2802" s="0">
        <v>78.4</v>
      </c>
      <c r="J2802" s="0">
        <v>0</v>
      </c>
      <c r="K2802" s="0">
        <v>1</v>
      </c>
      <c r="L2802" s="0">
        <v>3</v>
      </c>
      <c r="M2802" s="0">
        <v>2</v>
      </c>
      <c r="N2802" s="0">
        <v>0</v>
      </c>
      <c r="O2802" s="0">
        <v>0</v>
      </c>
      <c r="P2802" s="0">
        <v>0</v>
      </c>
      <c r="Q2802" s="0" t="s">
        <v>1743</v>
      </c>
      <c r="R2802" s="0" t="b">
        <v>1</v>
      </c>
      <c r="S2802" s="0" t="b">
        <v>1</v>
      </c>
      <c r="T2802" s="68">
        <v>45622.6915856482</v>
      </c>
      <c r="U2802" s="68">
        <v>45622.2916666667</v>
      </c>
      <c r="V2802" s="68">
        <v>0</v>
      </c>
      <c r="W2802" s="0">
        <f>IF(IF(B2802="none",1,IF(B2802="Trialer",1,0))+IF(C2802="Customer",1,IF(C2802="Lost",1,0))=2,1,0)</f>
      </c>
      <c r="X2802" s="0" t="s">
        <v>145</v>
      </c>
      <c r="Y2802" s="0" t="s">
        <v>243</v>
      </c>
      <c r="AV2802" s="68"/>
      <c r="AW2802" s="68"/>
      <c r="AY2802" s="27"/>
      <c r="BD2802" s="68">
        <v>46054.1666666667</v>
      </c>
      <c r="BE2802" s="68">
        <v>46082.1666666667</v>
      </c>
      <c r="BF2802" s="0" t="b">
        <v>0</v>
      </c>
      <c r="BG2802" s="0" t="b">
        <v>0</v>
      </c>
      <c r="BH2802" s="0">
        <v>78.4</v>
      </c>
      <c r="BI2802" s="0">
        <v>78.4</v>
      </c>
      <c r="BJ2802" s="0" t="s">
        <v>135</v>
      </c>
    </row>
    <row r="2803">
      <c r="A2803" s="0" t="s">
        <v>3049</v>
      </c>
      <c r="B2803" s="0" t="s">
        <v>134</v>
      </c>
      <c r="C2803" s="0" t="s">
        <v>134</v>
      </c>
      <c r="D2803" s="0" t="s">
        <v>135</v>
      </c>
      <c r="E2803" s="0" t="s">
        <v>2</v>
      </c>
      <c r="F2803" s="0" t="s">
        <v>12</v>
      </c>
      <c r="G2803" s="0" t="s">
        <v>8</v>
      </c>
      <c r="H2803" s="0">
        <v>430</v>
      </c>
      <c r="I2803" s="0">
        <v>633</v>
      </c>
      <c r="J2803" s="0">
        <v>0</v>
      </c>
      <c r="K2803" s="0">
        <v>1</v>
      </c>
      <c r="L2803" s="0">
        <v>5</v>
      </c>
      <c r="M2803" s="0">
        <v>5</v>
      </c>
      <c r="N2803" s="0">
        <v>0</v>
      </c>
      <c r="O2803" s="0">
        <v>0</v>
      </c>
      <c r="P2803" s="0">
        <v>0</v>
      </c>
      <c r="R2803" s="0" t="b">
        <v>0</v>
      </c>
      <c r="S2803" s="0" t="b">
        <v>1</v>
      </c>
      <c r="T2803" s="68">
        <v>45623.5841550926</v>
      </c>
      <c r="U2803" s="68">
        <v>45637.2916666667</v>
      </c>
      <c r="V2803" s="68">
        <v>0</v>
      </c>
      <c r="W2803" s="0">
        <f>IF(IF(B2803="none",1,IF(B2803="Trialer",1,0))+IF(C2803="Customer",1,IF(C2803="Lost",1,0))=2,1,0)</f>
      </c>
      <c r="X2803" s="0" t="s">
        <v>148</v>
      </c>
      <c r="Y2803" s="0" t="s">
        <v>499</v>
      </c>
      <c r="AV2803" s="68"/>
      <c r="AW2803" s="68"/>
      <c r="AY2803" s="27"/>
      <c r="BD2803" s="68">
        <v>46054.1666666667</v>
      </c>
      <c r="BE2803" s="68">
        <v>46082.1666666667</v>
      </c>
      <c r="BF2803" s="0" t="b">
        <v>0</v>
      </c>
      <c r="BG2803" s="0" t="b">
        <v>0</v>
      </c>
      <c r="BH2803" s="0">
        <v>308</v>
      </c>
      <c r="BI2803" s="0">
        <v>308</v>
      </c>
      <c r="BJ2803" s="0" t="s">
        <v>135</v>
      </c>
    </row>
    <row r="2804">
      <c r="A2804" s="0" t="s">
        <v>3050</v>
      </c>
      <c r="B2804" s="0" t="s">
        <v>134</v>
      </c>
      <c r="C2804" s="0" t="s">
        <v>134</v>
      </c>
      <c r="D2804" s="0" t="s">
        <v>230</v>
      </c>
      <c r="E2804" s="0" t="s">
        <v>2</v>
      </c>
      <c r="F2804" s="0" t="s">
        <v>12</v>
      </c>
      <c r="G2804" s="0" t="s">
        <v>8</v>
      </c>
      <c r="H2804" s="0">
        <v>429</v>
      </c>
      <c r="I2804" s="0">
        <v>132.3</v>
      </c>
      <c r="J2804" s="0">
        <v>0</v>
      </c>
      <c r="K2804" s="0">
        <v>1</v>
      </c>
      <c r="L2804" s="0">
        <v>3</v>
      </c>
      <c r="M2804" s="0">
        <v>3</v>
      </c>
      <c r="N2804" s="0">
        <v>0</v>
      </c>
      <c r="O2804" s="0">
        <v>0</v>
      </c>
      <c r="P2804" s="0">
        <v>-132.3</v>
      </c>
      <c r="R2804" s="0" t="b">
        <v>0</v>
      </c>
      <c r="S2804" s="0" t="b">
        <v>1</v>
      </c>
      <c r="T2804" s="68">
        <v>45624.4914236111</v>
      </c>
      <c r="U2804" s="68">
        <v>45638.2916666667</v>
      </c>
      <c r="V2804" s="68">
        <v>0</v>
      </c>
      <c r="W2804" s="0">
        <f>IF(IF(B2804="none",1,IF(B2804="Trialer",1,0))+IF(C2804="Customer",1,IF(C2804="Lost",1,0))=2,1,0)</f>
      </c>
      <c r="X2804" s="0" t="s">
        <v>166</v>
      </c>
      <c r="Y2804" s="0" t="s">
        <v>499</v>
      </c>
      <c r="AV2804" s="68"/>
      <c r="AW2804" s="68"/>
      <c r="AY2804" s="27"/>
      <c r="BD2804" s="68">
        <v>46054.1666666667</v>
      </c>
      <c r="BE2804" s="68">
        <v>46082.1666666667</v>
      </c>
      <c r="BF2804" s="0" t="b">
        <v>0</v>
      </c>
      <c r="BG2804" s="0" t="b">
        <v>0</v>
      </c>
      <c r="BH2804" s="0">
        <v>147</v>
      </c>
      <c r="BI2804" s="0">
        <v>147</v>
      </c>
      <c r="BJ2804" s="0" t="s">
        <v>230</v>
      </c>
    </row>
    <row r="2805">
      <c r="A2805" s="0" t="s">
        <v>3051</v>
      </c>
      <c r="B2805" s="0" t="s">
        <v>134</v>
      </c>
      <c r="C2805" s="0" t="s">
        <v>134</v>
      </c>
      <c r="D2805" s="0" t="s">
        <v>135</v>
      </c>
      <c r="E2805" s="0" t="s">
        <v>3</v>
      </c>
      <c r="F2805" s="0" t="s">
        <v>12</v>
      </c>
      <c r="G2805" s="0" t="s">
        <v>8</v>
      </c>
      <c r="H2805" s="0">
        <v>428</v>
      </c>
      <c r="I2805" s="0">
        <v>249</v>
      </c>
      <c r="J2805" s="0">
        <v>0</v>
      </c>
      <c r="K2805" s="0">
        <v>1</v>
      </c>
      <c r="L2805" s="0">
        <v>3</v>
      </c>
      <c r="M2805" s="0">
        <v>6</v>
      </c>
      <c r="N2805" s="0">
        <v>0</v>
      </c>
      <c r="O2805" s="0">
        <v>0</v>
      </c>
      <c r="P2805" s="0">
        <v>0</v>
      </c>
      <c r="R2805" s="0" t="b">
        <v>0</v>
      </c>
      <c r="S2805" s="0" t="b">
        <v>1</v>
      </c>
      <c r="T2805" s="68">
        <v>45625.609224537</v>
      </c>
      <c r="U2805" s="68">
        <v>45639.2916666667</v>
      </c>
      <c r="V2805" s="68">
        <v>0</v>
      </c>
      <c r="W2805" s="0">
        <f>IF(IF(B2805="none",1,IF(B2805="Trialer",1,0))+IF(C2805="Customer",1,IF(C2805="Lost",1,0))=2,1,0)</f>
      </c>
      <c r="X2805" s="0" t="s">
        <v>148</v>
      </c>
      <c r="Y2805" s="0" t="s">
        <v>243</v>
      </c>
      <c r="AV2805" s="68"/>
      <c r="AW2805" s="68"/>
      <c r="AY2805" s="27"/>
      <c r="BD2805" s="68">
        <v>46054.1666666667</v>
      </c>
      <c r="BE2805" s="68">
        <v>46082.1666666667</v>
      </c>
      <c r="BF2805" s="0" t="b">
        <v>0</v>
      </c>
      <c r="BG2805" s="0" t="b">
        <v>0</v>
      </c>
      <c r="BH2805" s="0">
        <v>249</v>
      </c>
      <c r="BI2805" s="0">
        <v>249</v>
      </c>
      <c r="BJ2805" s="0" t="s">
        <v>135</v>
      </c>
    </row>
    <row r="2806">
      <c r="A2806" s="0" t="s">
        <v>3052</v>
      </c>
      <c r="B2806" s="0" t="s">
        <v>134</v>
      </c>
      <c r="C2806" s="0" t="s">
        <v>134</v>
      </c>
      <c r="D2806" s="0" t="s">
        <v>230</v>
      </c>
      <c r="E2806" s="0" t="s">
        <v>3</v>
      </c>
      <c r="F2806" s="0" t="s">
        <v>12</v>
      </c>
      <c r="G2806" s="0" t="s">
        <v>8</v>
      </c>
      <c r="H2806" s="0">
        <v>427</v>
      </c>
      <c r="I2806" s="0">
        <v>109.5</v>
      </c>
      <c r="J2806" s="0">
        <v>0</v>
      </c>
      <c r="K2806" s="0">
        <v>1</v>
      </c>
      <c r="L2806" s="0">
        <v>6</v>
      </c>
      <c r="M2806" s="0">
        <v>2</v>
      </c>
      <c r="N2806" s="0">
        <v>0</v>
      </c>
      <c r="O2806" s="0">
        <v>0</v>
      </c>
      <c r="P2806" s="0">
        <v>-109.5</v>
      </c>
      <c r="R2806" s="0" t="b">
        <v>0</v>
      </c>
      <c r="S2806" s="0" t="b">
        <v>1</v>
      </c>
      <c r="T2806" s="68">
        <v>45626.6288773148</v>
      </c>
      <c r="U2806" s="68">
        <v>45640.2916666667</v>
      </c>
      <c r="V2806" s="68">
        <v>0</v>
      </c>
      <c r="W2806" s="0">
        <f>IF(IF(B2806="none",1,IF(B2806="Trialer",1,0))+IF(C2806="Customer",1,IF(C2806="Lost",1,0))=2,1,0)</f>
      </c>
      <c r="X2806" s="0" t="s">
        <v>166</v>
      </c>
      <c r="Y2806" s="0" t="s">
        <v>243</v>
      </c>
      <c r="AV2806" s="68"/>
      <c r="AW2806" s="68"/>
      <c r="AY2806" s="27"/>
      <c r="BD2806" s="68">
        <v>46054.1666666667</v>
      </c>
      <c r="BE2806" s="68">
        <v>46082.1666666667</v>
      </c>
      <c r="BF2806" s="0" t="b">
        <v>0</v>
      </c>
      <c r="BG2806" s="0" t="b">
        <v>0</v>
      </c>
      <c r="BH2806" s="0">
        <v>125</v>
      </c>
      <c r="BI2806" s="0">
        <v>125</v>
      </c>
      <c r="BJ2806" s="0" t="s">
        <v>230</v>
      </c>
    </row>
    <row r="2807">
      <c r="A2807" s="0" t="s">
        <v>3053</v>
      </c>
      <c r="B2807" s="0" t="s">
        <v>134</v>
      </c>
      <c r="C2807" s="0" t="s">
        <v>134</v>
      </c>
      <c r="D2807" s="0" t="s">
        <v>230</v>
      </c>
      <c r="E2807" s="0" t="s">
        <v>3</v>
      </c>
      <c r="F2807" s="0" t="s">
        <v>12</v>
      </c>
      <c r="G2807" s="0" t="s">
        <v>8</v>
      </c>
      <c r="H2807" s="0">
        <v>426</v>
      </c>
      <c r="I2807" s="0">
        <v>76.5</v>
      </c>
      <c r="J2807" s="0">
        <v>0</v>
      </c>
      <c r="K2807" s="0">
        <v>1</v>
      </c>
      <c r="L2807" s="0">
        <v>6</v>
      </c>
      <c r="M2807" s="0">
        <v>1</v>
      </c>
      <c r="N2807" s="0">
        <v>0</v>
      </c>
      <c r="O2807" s="0">
        <v>0</v>
      </c>
      <c r="P2807" s="0">
        <v>-76.5</v>
      </c>
      <c r="R2807" s="0" t="b">
        <v>0</v>
      </c>
      <c r="S2807" s="0" t="b">
        <v>1</v>
      </c>
      <c r="T2807" s="68">
        <v>45627.2444444444</v>
      </c>
      <c r="U2807" s="68">
        <v>45641.2916666667</v>
      </c>
      <c r="V2807" s="68">
        <v>0</v>
      </c>
      <c r="W2807" s="0">
        <f>IF(IF(B2807="none",1,IF(B2807="Trialer",1,0))+IF(C2807="Customer",1,IF(C2807="Lost",1,0))=2,1,0)</f>
      </c>
      <c r="X2807" s="0" t="s">
        <v>153</v>
      </c>
      <c r="Y2807" s="0" t="s">
        <v>243</v>
      </c>
      <c r="AV2807" s="68"/>
      <c r="AW2807" s="68"/>
      <c r="AY2807" s="27"/>
      <c r="BD2807" s="68">
        <v>46054.1666666667</v>
      </c>
      <c r="BE2807" s="68">
        <v>46082.1666666667</v>
      </c>
      <c r="BF2807" s="0" t="b">
        <v>0</v>
      </c>
      <c r="BG2807" s="0" t="b">
        <v>0</v>
      </c>
      <c r="BH2807" s="0">
        <v>85</v>
      </c>
      <c r="BI2807" s="0">
        <v>85</v>
      </c>
      <c r="BJ2807" s="0" t="s">
        <v>230</v>
      </c>
    </row>
    <row r="2808">
      <c r="A2808" s="0" t="s">
        <v>3054</v>
      </c>
      <c r="B2808" s="0" t="s">
        <v>134</v>
      </c>
      <c r="C2808" s="0" t="s">
        <v>134</v>
      </c>
      <c r="D2808" s="0" t="s">
        <v>230</v>
      </c>
      <c r="E2808" s="0" t="s">
        <v>3</v>
      </c>
      <c r="F2808" s="0" t="s">
        <v>12</v>
      </c>
      <c r="G2808" s="0" t="s">
        <v>8</v>
      </c>
      <c r="H2808" s="0">
        <v>425</v>
      </c>
      <c r="I2808" s="0">
        <v>25</v>
      </c>
      <c r="J2808" s="0">
        <v>0</v>
      </c>
      <c r="K2808" s="0">
        <v>1</v>
      </c>
      <c r="L2808" s="0">
        <v>1</v>
      </c>
      <c r="M2808" s="0">
        <v>1</v>
      </c>
      <c r="N2808" s="0">
        <v>0</v>
      </c>
      <c r="O2808" s="0">
        <v>0</v>
      </c>
      <c r="P2808" s="0">
        <v>-25</v>
      </c>
      <c r="R2808" s="0" t="b">
        <v>0</v>
      </c>
      <c r="S2808" s="0" t="b">
        <v>1</v>
      </c>
      <c r="T2808" s="68">
        <v>45628.5500694444</v>
      </c>
      <c r="U2808" s="68">
        <v>45631.2916666667</v>
      </c>
      <c r="V2808" s="68">
        <v>0</v>
      </c>
      <c r="W2808" s="0">
        <f>IF(IF(B2808="none",1,IF(B2808="Trialer",1,0))+IF(C2808="Customer",1,IF(C2808="Lost",1,0))=2,1,0)</f>
      </c>
      <c r="X2808" s="0" t="s">
        <v>166</v>
      </c>
      <c r="Y2808" s="0" t="s">
        <v>243</v>
      </c>
      <c r="AV2808" s="68"/>
      <c r="AW2808" s="68"/>
      <c r="AY2808" s="27"/>
      <c r="BD2808" s="68">
        <v>46054.1666666667</v>
      </c>
      <c r="BE2808" s="68">
        <v>46082.1666666667</v>
      </c>
      <c r="BF2808" s="0" t="b">
        <v>0</v>
      </c>
      <c r="BG2808" s="0" t="b">
        <v>0</v>
      </c>
      <c r="BH2808" s="0">
        <v>28</v>
      </c>
      <c r="BI2808" s="0">
        <v>28</v>
      </c>
      <c r="BJ2808" s="0" t="s">
        <v>230</v>
      </c>
    </row>
    <row r="2809">
      <c r="A2809" s="0" t="s">
        <v>3055</v>
      </c>
      <c r="B2809" s="0" t="s">
        <v>134</v>
      </c>
      <c r="C2809" s="0" t="s">
        <v>134</v>
      </c>
      <c r="D2809" s="0" t="s">
        <v>135</v>
      </c>
      <c r="E2809" s="0" t="s">
        <v>3</v>
      </c>
      <c r="F2809" s="0" t="s">
        <v>12</v>
      </c>
      <c r="G2809" s="0" t="s">
        <v>8</v>
      </c>
      <c r="H2809" s="0">
        <v>425</v>
      </c>
      <c r="I2809" s="0">
        <v>110</v>
      </c>
      <c r="J2809" s="0">
        <v>0</v>
      </c>
      <c r="K2809" s="0">
        <v>1</v>
      </c>
      <c r="L2809" s="0">
        <v>4</v>
      </c>
      <c r="M2809" s="0">
        <v>2</v>
      </c>
      <c r="N2809" s="0">
        <v>0</v>
      </c>
      <c r="O2809" s="0">
        <v>0</v>
      </c>
      <c r="P2809" s="0">
        <v>0</v>
      </c>
      <c r="R2809" s="0" t="b">
        <v>0</v>
      </c>
      <c r="S2809" s="0" t="b">
        <v>1</v>
      </c>
      <c r="T2809" s="68">
        <v>45628.5985532407</v>
      </c>
      <c r="U2809" s="68">
        <v>45639.2916666667</v>
      </c>
      <c r="V2809" s="68">
        <v>0</v>
      </c>
      <c r="W2809" s="0">
        <f>IF(IF(B2809="none",1,IF(B2809="Trialer",1,0))+IF(C2809="Customer",1,IF(C2809="Lost",1,0))=2,1,0)</f>
      </c>
      <c r="X2809" s="0" t="s">
        <v>166</v>
      </c>
      <c r="Y2809" s="0" t="s">
        <v>243</v>
      </c>
      <c r="AV2809" s="68"/>
      <c r="AW2809" s="68"/>
      <c r="AY2809" s="27"/>
      <c r="BD2809" s="68">
        <v>46054.1666666667</v>
      </c>
      <c r="BE2809" s="68">
        <v>46082.1666666667</v>
      </c>
      <c r="BF2809" s="0" t="b">
        <v>0</v>
      </c>
      <c r="BG2809" s="0" t="b">
        <v>0</v>
      </c>
      <c r="BH2809" s="0">
        <v>110</v>
      </c>
      <c r="BI2809" s="0">
        <v>110</v>
      </c>
      <c r="BJ2809" s="0" t="s">
        <v>135</v>
      </c>
    </row>
    <row r="2810">
      <c r="A2810" s="0" t="s">
        <v>3056</v>
      </c>
      <c r="B2810" s="0" t="s">
        <v>134</v>
      </c>
      <c r="C2810" s="0" t="s">
        <v>134</v>
      </c>
      <c r="D2810" s="0" t="s">
        <v>230</v>
      </c>
      <c r="E2810" s="0" t="s">
        <v>3</v>
      </c>
      <c r="F2810" s="0" t="s">
        <v>12</v>
      </c>
      <c r="G2810" s="0" t="s">
        <v>8</v>
      </c>
      <c r="H2810" s="0">
        <v>425</v>
      </c>
      <c r="I2810" s="0">
        <v>25</v>
      </c>
      <c r="J2810" s="0">
        <v>0</v>
      </c>
      <c r="K2810" s="0">
        <v>1</v>
      </c>
      <c r="L2810" s="0">
        <v>1</v>
      </c>
      <c r="M2810" s="0">
        <v>1</v>
      </c>
      <c r="N2810" s="0">
        <v>0</v>
      </c>
      <c r="O2810" s="0">
        <v>0</v>
      </c>
      <c r="P2810" s="0">
        <v>-25</v>
      </c>
      <c r="R2810" s="0" t="b">
        <v>0</v>
      </c>
      <c r="S2810" s="0" t="b">
        <v>1</v>
      </c>
      <c r="T2810" s="68">
        <v>45628.626099537</v>
      </c>
      <c r="U2810" s="68">
        <v>45667.2916666667</v>
      </c>
      <c r="V2810" s="68">
        <v>0</v>
      </c>
      <c r="W2810" s="0">
        <f>IF(IF(B2810="none",1,IF(B2810="Trialer",1,0))+IF(C2810="Customer",1,IF(C2810="Lost",1,0))=2,1,0)</f>
      </c>
      <c r="X2810" s="0" t="s">
        <v>142</v>
      </c>
      <c r="Y2810" s="0" t="s">
        <v>243</v>
      </c>
      <c r="AV2810" s="68"/>
      <c r="AW2810" s="68"/>
      <c r="AY2810" s="27"/>
      <c r="BD2810" s="68">
        <v>46054.1666666667</v>
      </c>
      <c r="BE2810" s="68">
        <v>46082.1666666667</v>
      </c>
      <c r="BF2810" s="0" t="b">
        <v>0</v>
      </c>
      <c r="BG2810" s="0" t="b">
        <v>0</v>
      </c>
      <c r="BH2810" s="0">
        <v>28</v>
      </c>
      <c r="BI2810" s="0">
        <v>28</v>
      </c>
      <c r="BJ2810" s="0" t="s">
        <v>230</v>
      </c>
    </row>
    <row r="2811">
      <c r="A2811" s="0" t="s">
        <v>3057</v>
      </c>
      <c r="B2811" s="0" t="s">
        <v>134</v>
      </c>
      <c r="C2811" s="0" t="s">
        <v>134</v>
      </c>
      <c r="D2811" s="0" t="s">
        <v>135</v>
      </c>
      <c r="E2811" s="0" t="s">
        <v>3</v>
      </c>
      <c r="F2811" s="0" t="s">
        <v>12</v>
      </c>
      <c r="G2811" s="0" t="s">
        <v>8</v>
      </c>
      <c r="H2811" s="0">
        <v>424</v>
      </c>
      <c r="I2811" s="0">
        <v>61</v>
      </c>
      <c r="J2811" s="0">
        <v>0</v>
      </c>
      <c r="K2811" s="0">
        <v>1</v>
      </c>
      <c r="L2811" s="0">
        <v>4</v>
      </c>
      <c r="M2811" s="0">
        <v>1</v>
      </c>
      <c r="N2811" s="0">
        <v>0</v>
      </c>
      <c r="O2811" s="0">
        <v>0</v>
      </c>
      <c r="P2811" s="0">
        <v>0</v>
      </c>
      <c r="R2811" s="0" t="b">
        <v>0</v>
      </c>
      <c r="S2811" s="0" t="b">
        <v>1</v>
      </c>
      <c r="T2811" s="68">
        <v>45629.0171180556</v>
      </c>
      <c r="U2811" s="68">
        <v>45664.2916666667</v>
      </c>
      <c r="V2811" s="68">
        <v>0</v>
      </c>
      <c r="W2811" s="0">
        <f>IF(IF(B2811="none",1,IF(B2811="Trialer",1,0))+IF(C2811="Customer",1,IF(C2811="Lost",1,0))=2,1,0)</f>
      </c>
      <c r="X2811" s="0" t="s">
        <v>153</v>
      </c>
      <c r="Y2811" s="0" t="s">
        <v>243</v>
      </c>
      <c r="AV2811" s="68"/>
      <c r="AW2811" s="68"/>
      <c r="AY2811" s="27"/>
      <c r="BD2811" s="68">
        <v>46054.1666666667</v>
      </c>
      <c r="BE2811" s="68">
        <v>46082.1666666667</v>
      </c>
      <c r="BF2811" s="0" t="b">
        <v>0</v>
      </c>
      <c r="BG2811" s="0" t="b">
        <v>0</v>
      </c>
      <c r="BH2811" s="0">
        <v>61</v>
      </c>
      <c r="BI2811" s="0">
        <v>61</v>
      </c>
      <c r="BJ2811" s="0" t="s">
        <v>135</v>
      </c>
    </row>
    <row r="2812">
      <c r="A2812" s="0" t="s">
        <v>3058</v>
      </c>
      <c r="B2812" s="0" t="s">
        <v>134</v>
      </c>
      <c r="C2812" s="0" t="s">
        <v>134</v>
      </c>
      <c r="D2812" s="0" t="s">
        <v>230</v>
      </c>
      <c r="E2812" s="0" t="s">
        <v>3</v>
      </c>
      <c r="F2812" s="0" t="s">
        <v>12</v>
      </c>
      <c r="G2812" s="0" t="s">
        <v>8</v>
      </c>
      <c r="H2812" s="0">
        <v>424</v>
      </c>
      <c r="I2812" s="0">
        <v>765.1</v>
      </c>
      <c r="J2812" s="0">
        <v>0</v>
      </c>
      <c r="K2812" s="0">
        <v>1</v>
      </c>
      <c r="L2812" s="0">
        <v>6</v>
      </c>
      <c r="M2812" s="0">
        <v>9</v>
      </c>
      <c r="N2812" s="0">
        <v>0</v>
      </c>
      <c r="O2812" s="0">
        <v>0</v>
      </c>
      <c r="P2812" s="0">
        <v>-440.1</v>
      </c>
      <c r="R2812" s="0" t="b">
        <v>0</v>
      </c>
      <c r="S2812" s="0" t="b">
        <v>1</v>
      </c>
      <c r="T2812" s="68">
        <v>45629.6519328704</v>
      </c>
      <c r="U2812" s="68">
        <v>45664.2916666667</v>
      </c>
      <c r="V2812" s="68">
        <v>0</v>
      </c>
      <c r="W2812" s="0">
        <f>IF(IF(B2812="none",1,IF(B2812="Trialer",1,0))+IF(C2812="Customer",1,IF(C2812="Lost",1,0))=2,1,0)</f>
      </c>
      <c r="X2812" s="0" t="s">
        <v>145</v>
      </c>
      <c r="Y2812" s="0" t="s">
        <v>243</v>
      </c>
      <c r="AV2812" s="68"/>
      <c r="AW2812" s="68"/>
      <c r="AY2812" s="27"/>
      <c r="BD2812" s="68">
        <v>46054.1666666667</v>
      </c>
      <c r="BE2812" s="68">
        <v>46082.1666666667</v>
      </c>
      <c r="BF2812" s="0" t="b">
        <v>0</v>
      </c>
      <c r="BG2812" s="0" t="b">
        <v>0</v>
      </c>
      <c r="BH2812" s="0">
        <v>550</v>
      </c>
      <c r="BI2812" s="0">
        <v>550</v>
      </c>
      <c r="BJ2812" s="0" t="s">
        <v>230</v>
      </c>
    </row>
    <row r="2813">
      <c r="A2813" s="0" t="s">
        <v>3059</v>
      </c>
      <c r="B2813" s="0" t="s">
        <v>134</v>
      </c>
      <c r="C2813" s="0" t="s">
        <v>134</v>
      </c>
      <c r="D2813" s="0" t="s">
        <v>135</v>
      </c>
      <c r="E2813" s="0" t="s">
        <v>3</v>
      </c>
      <c r="F2813" s="0" t="s">
        <v>11</v>
      </c>
      <c r="G2813" s="0" t="s">
        <v>8</v>
      </c>
      <c r="H2813" s="0">
        <v>423</v>
      </c>
      <c r="I2813" s="0">
        <v>196</v>
      </c>
      <c r="J2813" s="0">
        <v>0</v>
      </c>
      <c r="K2813" s="0">
        <v>1</v>
      </c>
      <c r="L2813" s="0">
        <v>3</v>
      </c>
      <c r="M2813" s="0">
        <v>5</v>
      </c>
      <c r="N2813" s="0">
        <v>0</v>
      </c>
      <c r="O2813" s="0">
        <v>0</v>
      </c>
      <c r="P2813" s="0">
        <v>0</v>
      </c>
      <c r="Q2813" s="0" t="s">
        <v>1743</v>
      </c>
      <c r="R2813" s="0" t="b">
        <v>1</v>
      </c>
      <c r="S2813" s="0" t="b">
        <v>1</v>
      </c>
      <c r="T2813" s="68">
        <v>45630.5559722222</v>
      </c>
      <c r="U2813" s="68">
        <v>45630.2916666667</v>
      </c>
      <c r="V2813" s="68">
        <v>0</v>
      </c>
      <c r="W2813" s="0">
        <f>IF(IF(B2813="none",1,IF(B2813="Trialer",1,0))+IF(C2813="Customer",1,IF(C2813="Lost",1,0))=2,1,0)</f>
      </c>
      <c r="X2813" s="0" t="s">
        <v>145</v>
      </c>
      <c r="Y2813" s="0" t="s">
        <v>243</v>
      </c>
      <c r="AV2813" s="68"/>
      <c r="AW2813" s="68"/>
      <c r="AY2813" s="27"/>
      <c r="BD2813" s="68">
        <v>46054.1666666667</v>
      </c>
      <c r="BE2813" s="68">
        <v>46082.1666666667</v>
      </c>
      <c r="BF2813" s="0" t="b">
        <v>0</v>
      </c>
      <c r="BG2813" s="0" t="b">
        <v>0</v>
      </c>
      <c r="BH2813" s="0">
        <v>156.8</v>
      </c>
      <c r="BI2813" s="0">
        <v>156.8</v>
      </c>
      <c r="BJ2813" s="0" t="s">
        <v>135</v>
      </c>
    </row>
    <row r="2814">
      <c r="A2814" s="0" t="s">
        <v>3060</v>
      </c>
      <c r="B2814" s="0" t="s">
        <v>134</v>
      </c>
      <c r="C2814" s="0" t="s">
        <v>134</v>
      </c>
      <c r="D2814" s="0" t="s">
        <v>135</v>
      </c>
      <c r="E2814" s="0" t="s">
        <v>3</v>
      </c>
      <c r="F2814" s="0" t="s">
        <v>12</v>
      </c>
      <c r="G2814" s="0" t="s">
        <v>8</v>
      </c>
      <c r="H2814" s="0">
        <v>421</v>
      </c>
      <c r="I2814" s="0">
        <v>61</v>
      </c>
      <c r="J2814" s="0">
        <v>0</v>
      </c>
      <c r="K2814" s="0">
        <v>1</v>
      </c>
      <c r="L2814" s="0">
        <v>4</v>
      </c>
      <c r="M2814" s="0">
        <v>1</v>
      </c>
      <c r="N2814" s="0">
        <v>0</v>
      </c>
      <c r="O2814" s="0">
        <v>0</v>
      </c>
      <c r="P2814" s="0">
        <v>0</v>
      </c>
      <c r="R2814" s="0" t="b">
        <v>0</v>
      </c>
      <c r="S2814" s="0" t="b">
        <v>1</v>
      </c>
      <c r="T2814" s="68">
        <v>45632.5493287037</v>
      </c>
      <c r="U2814" s="68">
        <v>45645.2916666667</v>
      </c>
      <c r="V2814" s="68">
        <v>0</v>
      </c>
      <c r="W2814" s="0">
        <f>IF(IF(B2814="none",1,IF(B2814="Trialer",1,0))+IF(C2814="Customer",1,IF(C2814="Lost",1,0))=2,1,0)</f>
      </c>
      <c r="X2814" s="0" t="s">
        <v>166</v>
      </c>
      <c r="Y2814" s="0" t="s">
        <v>243</v>
      </c>
      <c r="AV2814" s="68"/>
      <c r="AW2814" s="68"/>
      <c r="AY2814" s="27"/>
      <c r="BD2814" s="68">
        <v>46054.1666666667</v>
      </c>
      <c r="BE2814" s="68">
        <v>46082.1666666667</v>
      </c>
      <c r="BF2814" s="0" t="b">
        <v>0</v>
      </c>
      <c r="BG2814" s="0" t="b">
        <v>0</v>
      </c>
      <c r="BH2814" s="0">
        <v>61</v>
      </c>
      <c r="BI2814" s="0">
        <v>61</v>
      </c>
      <c r="BJ2814" s="0" t="s">
        <v>135</v>
      </c>
    </row>
    <row r="2815">
      <c r="A2815" s="0" t="s">
        <v>3061</v>
      </c>
      <c r="B2815" s="0" t="s">
        <v>134</v>
      </c>
      <c r="C2815" s="0" t="s">
        <v>134</v>
      </c>
      <c r="D2815" s="0" t="s">
        <v>135</v>
      </c>
      <c r="E2815" s="0" t="s">
        <v>3</v>
      </c>
      <c r="F2815" s="0" t="s">
        <v>12</v>
      </c>
      <c r="G2815" s="0" t="s">
        <v>8</v>
      </c>
      <c r="H2815" s="0">
        <v>418</v>
      </c>
      <c r="I2815" s="0">
        <v>180</v>
      </c>
      <c r="J2815" s="0">
        <v>0</v>
      </c>
      <c r="K2815" s="0">
        <v>1</v>
      </c>
      <c r="L2815" s="0">
        <v>2</v>
      </c>
      <c r="M2815" s="0">
        <v>6</v>
      </c>
      <c r="N2815" s="0">
        <v>0</v>
      </c>
      <c r="O2815" s="0">
        <v>0</v>
      </c>
      <c r="P2815" s="0">
        <v>0</v>
      </c>
      <c r="R2815" s="0" t="b">
        <v>0</v>
      </c>
      <c r="S2815" s="0" t="b">
        <v>1</v>
      </c>
      <c r="T2815" s="68">
        <v>45635.4730208333</v>
      </c>
      <c r="U2815" s="68">
        <v>45659.2916666667</v>
      </c>
      <c r="V2815" s="68">
        <v>0</v>
      </c>
      <c r="W2815" s="0">
        <f>IF(IF(B2815="none",1,IF(B2815="Trialer",1,0))+IF(C2815="Customer",1,IF(C2815="Lost",1,0))=2,1,0)</f>
      </c>
      <c r="X2815" s="0" t="s">
        <v>148</v>
      </c>
      <c r="Y2815" s="0" t="s">
        <v>243</v>
      </c>
      <c r="AV2815" s="68"/>
      <c r="AW2815" s="68"/>
      <c r="AY2815" s="27"/>
      <c r="BD2815" s="68">
        <v>46054.1666666667</v>
      </c>
      <c r="BE2815" s="68">
        <v>46082.1666666667</v>
      </c>
      <c r="BF2815" s="0" t="b">
        <v>0</v>
      </c>
      <c r="BG2815" s="0" t="b">
        <v>0</v>
      </c>
      <c r="BH2815" s="0">
        <v>180</v>
      </c>
      <c r="BI2815" s="0">
        <v>180</v>
      </c>
      <c r="BJ2815" s="0" t="s">
        <v>135</v>
      </c>
    </row>
    <row r="2816">
      <c r="A2816" s="0" t="s">
        <v>3062</v>
      </c>
      <c r="B2816" s="0" t="s">
        <v>134</v>
      </c>
      <c r="C2816" s="0" t="s">
        <v>134</v>
      </c>
      <c r="D2816" s="0" t="s">
        <v>230</v>
      </c>
      <c r="E2816" s="0" t="s">
        <v>3</v>
      </c>
      <c r="F2816" s="0" t="s">
        <v>12</v>
      </c>
      <c r="G2816" s="0" t="s">
        <v>8</v>
      </c>
      <c r="H2816" s="0">
        <v>418</v>
      </c>
      <c r="I2816" s="0">
        <v>88.2</v>
      </c>
      <c r="J2816" s="0">
        <v>0</v>
      </c>
      <c r="K2816" s="0">
        <v>1</v>
      </c>
      <c r="L2816" s="0">
        <v>3</v>
      </c>
      <c r="M2816" s="0">
        <v>2</v>
      </c>
      <c r="N2816" s="0">
        <v>0</v>
      </c>
      <c r="O2816" s="0">
        <v>0</v>
      </c>
      <c r="P2816" s="0">
        <v>-88.2</v>
      </c>
      <c r="R2816" s="0" t="b">
        <v>0</v>
      </c>
      <c r="S2816" s="0" t="b">
        <v>1</v>
      </c>
      <c r="T2816" s="68">
        <v>45635.515775463</v>
      </c>
      <c r="U2816" s="68">
        <v>45649.2916666667</v>
      </c>
      <c r="V2816" s="68">
        <v>0</v>
      </c>
      <c r="W2816" s="0">
        <f>IF(IF(B2816="none",1,IF(B2816="Trialer",1,0))+IF(C2816="Customer",1,IF(C2816="Lost",1,0))=2,1,0)</f>
      </c>
      <c r="X2816" s="0" t="s">
        <v>142</v>
      </c>
      <c r="Y2816" s="0" t="s">
        <v>243</v>
      </c>
      <c r="AV2816" s="68"/>
      <c r="AW2816" s="68"/>
      <c r="AY2816" s="27"/>
      <c r="BD2816" s="68">
        <v>46054.1666666667</v>
      </c>
      <c r="BE2816" s="68">
        <v>46082.1666666667</v>
      </c>
      <c r="BF2816" s="0" t="b">
        <v>0</v>
      </c>
      <c r="BG2816" s="0" t="b">
        <v>0</v>
      </c>
      <c r="BH2816" s="0">
        <v>98</v>
      </c>
      <c r="BI2816" s="0">
        <v>98</v>
      </c>
      <c r="BJ2816" s="0" t="s">
        <v>230</v>
      </c>
    </row>
    <row r="2817">
      <c r="A2817" s="0" t="s">
        <v>3063</v>
      </c>
      <c r="B2817" s="0" t="s">
        <v>134</v>
      </c>
      <c r="C2817" s="0" t="s">
        <v>134</v>
      </c>
      <c r="D2817" s="0" t="s">
        <v>135</v>
      </c>
      <c r="E2817" s="0" t="s">
        <v>3</v>
      </c>
      <c r="F2817" s="0" t="s">
        <v>10</v>
      </c>
      <c r="G2817" s="0" t="s">
        <v>8</v>
      </c>
      <c r="H2817" s="0">
        <v>417</v>
      </c>
      <c r="I2817" s="0">
        <v>56</v>
      </c>
      <c r="J2817" s="0">
        <v>0</v>
      </c>
      <c r="K2817" s="0">
        <v>1</v>
      </c>
      <c r="L2817" s="0">
        <v>1</v>
      </c>
      <c r="M2817" s="0">
        <v>2</v>
      </c>
      <c r="N2817" s="0">
        <v>0</v>
      </c>
      <c r="O2817" s="0">
        <v>0</v>
      </c>
      <c r="P2817" s="0">
        <v>0</v>
      </c>
      <c r="Q2817" s="0" t="s">
        <v>618</v>
      </c>
      <c r="R2817" s="0" t="b">
        <v>0</v>
      </c>
      <c r="S2817" s="0" t="b">
        <v>1</v>
      </c>
      <c r="T2817" s="68">
        <v>45636.5732986111</v>
      </c>
      <c r="U2817" s="68">
        <v>45650.2916666667</v>
      </c>
      <c r="V2817" s="68">
        <v>0</v>
      </c>
      <c r="W2817" s="0">
        <f>IF(IF(B2817="none",1,IF(B2817="Trialer",1,0))+IF(C2817="Customer",1,IF(C2817="Lost",1,0))=2,1,0)</f>
      </c>
      <c r="X2817" s="0" t="s">
        <v>148</v>
      </c>
      <c r="Y2817" s="0" t="s">
        <v>243</v>
      </c>
      <c r="AV2817" s="68"/>
      <c r="AW2817" s="68"/>
      <c r="AY2817" s="27"/>
      <c r="BD2817" s="68">
        <v>46054.1666666667</v>
      </c>
      <c r="BE2817" s="68">
        <v>46082.1666666667</v>
      </c>
      <c r="BF2817" s="0" t="b">
        <v>0</v>
      </c>
      <c r="BG2817" s="0" t="b">
        <v>0</v>
      </c>
      <c r="BH2817" s="0">
        <v>56</v>
      </c>
      <c r="BI2817" s="0">
        <v>56</v>
      </c>
      <c r="BJ2817" s="0" t="s">
        <v>135</v>
      </c>
    </row>
    <row r="2818">
      <c r="A2818" s="0" t="s">
        <v>3064</v>
      </c>
      <c r="B2818" s="0" t="s">
        <v>134</v>
      </c>
      <c r="C2818" s="0" t="s">
        <v>134</v>
      </c>
      <c r="D2818" s="0" t="s">
        <v>135</v>
      </c>
      <c r="E2818" s="0" t="s">
        <v>3</v>
      </c>
      <c r="F2818" s="0" t="s">
        <v>12</v>
      </c>
      <c r="G2818" s="0" t="s">
        <v>8</v>
      </c>
      <c r="H2818" s="0">
        <v>416</v>
      </c>
      <c r="I2818" s="0">
        <v>85</v>
      </c>
      <c r="J2818" s="0">
        <v>0</v>
      </c>
      <c r="K2818" s="0">
        <v>1</v>
      </c>
      <c r="L2818" s="0">
        <v>6</v>
      </c>
      <c r="M2818" s="0">
        <v>1</v>
      </c>
      <c r="N2818" s="0">
        <v>0</v>
      </c>
      <c r="O2818" s="0">
        <v>0</v>
      </c>
      <c r="P2818" s="0">
        <v>0</v>
      </c>
      <c r="R2818" s="0" t="b">
        <v>0</v>
      </c>
      <c r="S2818" s="0" t="b">
        <v>1</v>
      </c>
      <c r="T2818" s="68">
        <v>45637.1558449074</v>
      </c>
      <c r="U2818" s="68">
        <v>45651.2916666667</v>
      </c>
      <c r="V2818" s="68">
        <v>0</v>
      </c>
      <c r="W2818" s="0">
        <f>IF(IF(B2818="none",1,IF(B2818="Trialer",1,0))+IF(C2818="Customer",1,IF(C2818="Lost",1,0))=2,1,0)</f>
      </c>
      <c r="X2818" s="0" t="s">
        <v>142</v>
      </c>
      <c r="Y2818" s="0" t="s">
        <v>243</v>
      </c>
      <c r="AV2818" s="68"/>
      <c r="AW2818" s="68"/>
      <c r="AY2818" s="27"/>
      <c r="BD2818" s="68">
        <v>46054.1666666667</v>
      </c>
      <c r="BE2818" s="68">
        <v>46082.1666666667</v>
      </c>
      <c r="BF2818" s="0" t="b">
        <v>0</v>
      </c>
      <c r="BG2818" s="0" t="b">
        <v>0</v>
      </c>
      <c r="BH2818" s="0">
        <v>85</v>
      </c>
      <c r="BI2818" s="0">
        <v>85</v>
      </c>
      <c r="BJ2818" s="0" t="s">
        <v>135</v>
      </c>
    </row>
    <row r="2819">
      <c r="A2819" s="0" t="s">
        <v>3065</v>
      </c>
      <c r="B2819" s="0" t="s">
        <v>134</v>
      </c>
      <c r="C2819" s="0" t="s">
        <v>134</v>
      </c>
      <c r="D2819" s="0" t="s">
        <v>135</v>
      </c>
      <c r="E2819" s="0" t="s">
        <v>3</v>
      </c>
      <c r="F2819" s="0" t="s">
        <v>12</v>
      </c>
      <c r="G2819" s="0" t="s">
        <v>8</v>
      </c>
      <c r="H2819" s="0">
        <v>416</v>
      </c>
      <c r="I2819" s="0">
        <v>40</v>
      </c>
      <c r="J2819" s="0">
        <v>0</v>
      </c>
      <c r="K2819" s="0">
        <v>1</v>
      </c>
      <c r="L2819" s="0">
        <v>2</v>
      </c>
      <c r="M2819" s="0">
        <v>1</v>
      </c>
      <c r="N2819" s="0">
        <v>0</v>
      </c>
      <c r="O2819" s="0">
        <v>0</v>
      </c>
      <c r="P2819" s="0">
        <v>0</v>
      </c>
      <c r="R2819" s="0" t="b">
        <v>0</v>
      </c>
      <c r="S2819" s="0" t="b">
        <v>1</v>
      </c>
      <c r="T2819" s="68">
        <v>45637.6458796296</v>
      </c>
      <c r="U2819" s="68">
        <v>45651.2916666667</v>
      </c>
      <c r="V2819" s="68">
        <v>0</v>
      </c>
      <c r="W2819" s="0">
        <f>IF(IF(B2819="none",1,IF(B2819="Trialer",1,0))+IF(C2819="Customer",1,IF(C2819="Lost",1,0))=2,1,0)</f>
      </c>
      <c r="X2819" s="0" t="s">
        <v>142</v>
      </c>
      <c r="Y2819" s="0" t="s">
        <v>243</v>
      </c>
      <c r="AV2819" s="68"/>
      <c r="AW2819" s="68"/>
      <c r="AY2819" s="27"/>
      <c r="BD2819" s="68">
        <v>46054.1666666667</v>
      </c>
      <c r="BE2819" s="68">
        <v>46082.1666666667</v>
      </c>
      <c r="BF2819" s="0" t="b">
        <v>0</v>
      </c>
      <c r="BG2819" s="0" t="b">
        <v>0</v>
      </c>
      <c r="BH2819" s="0">
        <v>40</v>
      </c>
      <c r="BI2819" s="0">
        <v>40</v>
      </c>
      <c r="BJ2819" s="0" t="s">
        <v>135</v>
      </c>
    </row>
    <row r="2820">
      <c r="A2820" s="0" t="s">
        <v>3066</v>
      </c>
      <c r="B2820" s="0" t="s">
        <v>134</v>
      </c>
      <c r="C2820" s="0" t="s">
        <v>134</v>
      </c>
      <c r="D2820" s="0" t="s">
        <v>135</v>
      </c>
      <c r="E2820" s="0" t="s">
        <v>3</v>
      </c>
      <c r="F2820" s="0" t="s">
        <v>12</v>
      </c>
      <c r="G2820" s="0" t="s">
        <v>8</v>
      </c>
      <c r="H2820" s="0">
        <v>416</v>
      </c>
      <c r="I2820" s="0">
        <v>260</v>
      </c>
      <c r="J2820" s="0">
        <v>0</v>
      </c>
      <c r="K2820" s="0">
        <v>1</v>
      </c>
      <c r="L2820" s="0">
        <v>4</v>
      </c>
      <c r="M2820" s="0">
        <v>5</v>
      </c>
      <c r="N2820" s="0">
        <v>0</v>
      </c>
      <c r="O2820" s="0">
        <v>0</v>
      </c>
      <c r="P2820" s="0">
        <v>0</v>
      </c>
      <c r="R2820" s="0" t="b">
        <v>0</v>
      </c>
      <c r="S2820" s="0" t="b">
        <v>1</v>
      </c>
      <c r="T2820" s="68">
        <v>45637.65625</v>
      </c>
      <c r="U2820" s="68">
        <v>45651.2916666667</v>
      </c>
      <c r="V2820" s="68">
        <v>0</v>
      </c>
      <c r="W2820" s="0">
        <f>IF(IF(B2820="none",1,IF(B2820="Trialer",1,0))+IF(C2820="Customer",1,IF(C2820="Lost",1,0))=2,1,0)</f>
      </c>
      <c r="X2820" s="0" t="s">
        <v>136</v>
      </c>
      <c r="Y2820" s="0" t="s">
        <v>243</v>
      </c>
      <c r="AV2820" s="68"/>
      <c r="AW2820" s="68"/>
      <c r="AY2820" s="27"/>
      <c r="BD2820" s="68">
        <v>46054.1666666667</v>
      </c>
      <c r="BE2820" s="68">
        <v>46082.1666666667</v>
      </c>
      <c r="BF2820" s="0" t="b">
        <v>0</v>
      </c>
      <c r="BG2820" s="0" t="b">
        <v>0</v>
      </c>
      <c r="BH2820" s="0">
        <v>260</v>
      </c>
      <c r="BI2820" s="0">
        <v>260</v>
      </c>
      <c r="BJ2820" s="0" t="s">
        <v>135</v>
      </c>
    </row>
    <row r="2821">
      <c r="A2821" s="0" t="s">
        <v>3067</v>
      </c>
      <c r="B2821" s="0" t="s">
        <v>134</v>
      </c>
      <c r="C2821" s="0" t="s">
        <v>134</v>
      </c>
      <c r="D2821" s="0" t="s">
        <v>135</v>
      </c>
      <c r="E2821" s="0" t="s">
        <v>3</v>
      </c>
      <c r="F2821" s="0" t="s">
        <v>12</v>
      </c>
      <c r="G2821" s="0" t="s">
        <v>8</v>
      </c>
      <c r="H2821" s="0">
        <v>416</v>
      </c>
      <c r="I2821" s="0">
        <v>281</v>
      </c>
      <c r="J2821" s="0">
        <v>0</v>
      </c>
      <c r="K2821" s="0">
        <v>1</v>
      </c>
      <c r="L2821" s="0">
        <v>4</v>
      </c>
      <c r="M2821" s="0">
        <v>5</v>
      </c>
      <c r="N2821" s="0">
        <v>0</v>
      </c>
      <c r="O2821" s="0">
        <v>0</v>
      </c>
      <c r="P2821" s="0">
        <v>0</v>
      </c>
      <c r="R2821" s="0" t="b">
        <v>0</v>
      </c>
      <c r="S2821" s="0" t="b">
        <v>1</v>
      </c>
      <c r="T2821" s="68">
        <v>45637.837025463</v>
      </c>
      <c r="U2821" s="68">
        <v>45665.2916666667</v>
      </c>
      <c r="V2821" s="68">
        <v>0</v>
      </c>
      <c r="W2821" s="0">
        <f>IF(IF(B2821="none",1,IF(B2821="Trialer",1,0))+IF(C2821="Customer",1,IF(C2821="Lost",1,0))=2,1,0)</f>
      </c>
      <c r="X2821" s="0" t="s">
        <v>136</v>
      </c>
      <c r="Y2821" s="0" t="s">
        <v>243</v>
      </c>
      <c r="AV2821" s="68"/>
      <c r="AW2821" s="68"/>
      <c r="AY2821" s="27"/>
      <c r="BD2821" s="68">
        <v>46054.1666666667</v>
      </c>
      <c r="BE2821" s="68">
        <v>46082.1666666667</v>
      </c>
      <c r="BF2821" s="0" t="b">
        <v>0</v>
      </c>
      <c r="BG2821" s="0" t="b">
        <v>0</v>
      </c>
      <c r="BH2821" s="0">
        <v>281</v>
      </c>
      <c r="BI2821" s="0">
        <v>281</v>
      </c>
      <c r="BJ2821" s="0" t="s">
        <v>135</v>
      </c>
    </row>
    <row r="2822">
      <c r="A2822" s="0" t="s">
        <v>3068</v>
      </c>
      <c r="B2822" s="0" t="s">
        <v>134</v>
      </c>
      <c r="C2822" s="0" t="s">
        <v>134</v>
      </c>
      <c r="D2822" s="0" t="s">
        <v>135</v>
      </c>
      <c r="E2822" s="0" t="s">
        <v>3</v>
      </c>
      <c r="F2822" s="0" t="s">
        <v>12</v>
      </c>
      <c r="G2822" s="0" t="s">
        <v>8</v>
      </c>
      <c r="H2822" s="0">
        <v>415</v>
      </c>
      <c r="I2822" s="0">
        <v>135</v>
      </c>
      <c r="J2822" s="0">
        <v>0</v>
      </c>
      <c r="K2822" s="0">
        <v>1</v>
      </c>
      <c r="L2822" s="0">
        <v>3</v>
      </c>
      <c r="M2822" s="0">
        <v>3</v>
      </c>
      <c r="N2822" s="0">
        <v>0</v>
      </c>
      <c r="O2822" s="0">
        <v>0</v>
      </c>
      <c r="P2822" s="0">
        <v>0</v>
      </c>
      <c r="R2822" s="0" t="b">
        <v>0</v>
      </c>
      <c r="S2822" s="0" t="b">
        <v>1</v>
      </c>
      <c r="T2822" s="68">
        <v>45637.9883217593</v>
      </c>
      <c r="U2822" s="68">
        <v>45656.2916666667</v>
      </c>
      <c r="V2822" s="68">
        <v>0</v>
      </c>
      <c r="W2822" s="0">
        <f>IF(IF(B2822="none",1,IF(B2822="Trialer",1,0))+IF(C2822="Customer",1,IF(C2822="Lost",1,0))=2,1,0)</f>
      </c>
      <c r="X2822" s="0" t="s">
        <v>166</v>
      </c>
      <c r="Y2822" s="0" t="s">
        <v>243</v>
      </c>
      <c r="AV2822" s="68"/>
      <c r="AW2822" s="68"/>
      <c r="AY2822" s="27"/>
      <c r="BD2822" s="68">
        <v>46054.1666666667</v>
      </c>
      <c r="BE2822" s="68">
        <v>46082.1666666667</v>
      </c>
      <c r="BF2822" s="0" t="b">
        <v>0</v>
      </c>
      <c r="BG2822" s="0" t="b">
        <v>0</v>
      </c>
      <c r="BH2822" s="0">
        <v>135</v>
      </c>
      <c r="BI2822" s="0">
        <v>135</v>
      </c>
      <c r="BJ2822" s="0" t="s">
        <v>135</v>
      </c>
    </row>
    <row r="2823">
      <c r="A2823" s="0" t="s">
        <v>3069</v>
      </c>
      <c r="B2823" s="0" t="s">
        <v>134</v>
      </c>
      <c r="C2823" s="0" t="s">
        <v>134</v>
      </c>
      <c r="D2823" s="0" t="s">
        <v>135</v>
      </c>
      <c r="E2823" s="0" t="s">
        <v>3</v>
      </c>
      <c r="F2823" s="0" t="s">
        <v>12</v>
      </c>
      <c r="G2823" s="0" t="s">
        <v>8</v>
      </c>
      <c r="H2823" s="0">
        <v>415</v>
      </c>
      <c r="I2823" s="0">
        <v>61</v>
      </c>
      <c r="J2823" s="0">
        <v>0</v>
      </c>
      <c r="K2823" s="0">
        <v>1</v>
      </c>
      <c r="L2823" s="0">
        <v>4</v>
      </c>
      <c r="M2823" s="0">
        <v>1</v>
      </c>
      <c r="N2823" s="0">
        <v>0</v>
      </c>
      <c r="O2823" s="0">
        <v>0</v>
      </c>
      <c r="P2823" s="0">
        <v>0</v>
      </c>
      <c r="R2823" s="0" t="b">
        <v>0</v>
      </c>
      <c r="S2823" s="0" t="b">
        <v>1</v>
      </c>
      <c r="T2823" s="68">
        <v>45638.8386458333</v>
      </c>
      <c r="U2823" s="68">
        <v>45652.2916666667</v>
      </c>
      <c r="V2823" s="68">
        <v>0</v>
      </c>
      <c r="W2823" s="0">
        <f>IF(IF(B2823="none",1,IF(B2823="Trialer",1,0))+IF(C2823="Customer",1,IF(C2823="Lost",1,0))=2,1,0)</f>
      </c>
      <c r="X2823" s="0" t="s">
        <v>142</v>
      </c>
      <c r="Y2823" s="0" t="s">
        <v>1792</v>
      </c>
      <c r="AV2823" s="68"/>
      <c r="AW2823" s="68"/>
      <c r="AY2823" s="27"/>
      <c r="BD2823" s="68">
        <v>46054.1666666667</v>
      </c>
      <c r="BE2823" s="68">
        <v>46082.1666666667</v>
      </c>
      <c r="BF2823" s="0" t="b">
        <v>0</v>
      </c>
      <c r="BG2823" s="0" t="b">
        <v>0</v>
      </c>
      <c r="BH2823" s="0">
        <v>61</v>
      </c>
      <c r="BI2823" s="0">
        <v>61</v>
      </c>
      <c r="BJ2823" s="0" t="s">
        <v>135</v>
      </c>
    </row>
    <row r="2824">
      <c r="A2824" s="0" t="s">
        <v>3070</v>
      </c>
      <c r="B2824" s="0" t="s">
        <v>134</v>
      </c>
      <c r="C2824" s="0" t="s">
        <v>134</v>
      </c>
      <c r="D2824" s="0" t="s">
        <v>230</v>
      </c>
      <c r="E2824" s="0" t="s">
        <v>3</v>
      </c>
      <c r="F2824" s="0" t="s">
        <v>12</v>
      </c>
      <c r="G2824" s="0" t="s">
        <v>8</v>
      </c>
      <c r="H2824" s="0">
        <v>414</v>
      </c>
      <c r="I2824" s="0">
        <v>359</v>
      </c>
      <c r="J2824" s="0">
        <v>0</v>
      </c>
      <c r="K2824" s="0">
        <v>1</v>
      </c>
      <c r="L2824" s="0">
        <v>5</v>
      </c>
      <c r="M2824" s="0">
        <v>9</v>
      </c>
      <c r="N2824" s="0">
        <v>0</v>
      </c>
      <c r="O2824" s="0">
        <v>0</v>
      </c>
      <c r="P2824" s="0">
        <v>-359</v>
      </c>
      <c r="R2824" s="0" t="b">
        <v>0</v>
      </c>
      <c r="S2824" s="0" t="b">
        <v>1</v>
      </c>
      <c r="T2824" s="68">
        <v>45639.4842824074</v>
      </c>
      <c r="U2824" s="68">
        <v>45639.2916666667</v>
      </c>
      <c r="V2824" s="68">
        <v>0</v>
      </c>
      <c r="W2824" s="0">
        <f>IF(IF(B2824="none",1,IF(B2824="Trialer",1,0))+IF(C2824="Customer",1,IF(C2824="Lost",1,0))=2,1,0)</f>
      </c>
      <c r="X2824" s="0" t="s">
        <v>145</v>
      </c>
      <c r="Y2824" s="0" t="s">
        <v>243</v>
      </c>
      <c r="AV2824" s="68"/>
      <c r="AW2824" s="68"/>
      <c r="AY2824" s="27"/>
      <c r="BD2824" s="68">
        <v>46054.1666666667</v>
      </c>
      <c r="BE2824" s="68">
        <v>46082.1666666667</v>
      </c>
      <c r="BF2824" s="0" t="b">
        <v>0</v>
      </c>
      <c r="BG2824" s="0" t="b">
        <v>0</v>
      </c>
      <c r="BH2824" s="0">
        <v>405</v>
      </c>
      <c r="BI2824" s="0">
        <v>405</v>
      </c>
      <c r="BJ2824" s="0" t="s">
        <v>230</v>
      </c>
    </row>
    <row r="2825">
      <c r="A2825" s="0" t="s">
        <v>3071</v>
      </c>
      <c r="B2825" s="0" t="s">
        <v>134</v>
      </c>
      <c r="C2825" s="0" t="s">
        <v>134</v>
      </c>
      <c r="D2825" s="0" t="s">
        <v>230</v>
      </c>
      <c r="E2825" s="0" t="s">
        <v>3</v>
      </c>
      <c r="F2825" s="0" t="s">
        <v>12</v>
      </c>
      <c r="G2825" s="0" t="s">
        <v>8</v>
      </c>
      <c r="H2825" s="0">
        <v>413</v>
      </c>
      <c r="I2825" s="0">
        <v>132.75</v>
      </c>
      <c r="J2825" s="0">
        <v>0</v>
      </c>
      <c r="K2825" s="0">
        <v>1</v>
      </c>
      <c r="L2825" s="0">
        <v>4</v>
      </c>
      <c r="M2825" s="0">
        <v>4</v>
      </c>
      <c r="N2825" s="0">
        <v>0</v>
      </c>
      <c r="O2825" s="0">
        <v>0</v>
      </c>
      <c r="P2825" s="0">
        <v>-132.75</v>
      </c>
      <c r="R2825" s="0" t="b">
        <v>0</v>
      </c>
      <c r="S2825" s="0" t="b">
        <v>1</v>
      </c>
      <c r="T2825" s="68">
        <v>45640.6600578704</v>
      </c>
      <c r="U2825" s="68">
        <v>45645.2916666667</v>
      </c>
      <c r="V2825" s="68">
        <v>0</v>
      </c>
      <c r="W2825" s="0">
        <f>IF(IF(B2825="none",1,IF(B2825="Trialer",1,0))+IF(C2825="Customer",1,IF(C2825="Lost",1,0))=2,1,0)</f>
      </c>
      <c r="X2825" s="0" t="s">
        <v>136</v>
      </c>
      <c r="Y2825" s="0" t="s">
        <v>243</v>
      </c>
      <c r="AV2825" s="68"/>
      <c r="AW2825" s="68"/>
      <c r="AY2825" s="27"/>
      <c r="BD2825" s="68">
        <v>46054.1666666667</v>
      </c>
      <c r="BE2825" s="68">
        <v>46082.1666666667</v>
      </c>
      <c r="BF2825" s="0" t="b">
        <v>0</v>
      </c>
      <c r="BG2825" s="0" t="b">
        <v>0</v>
      </c>
      <c r="BH2825" s="0">
        <v>177</v>
      </c>
      <c r="BI2825" s="0">
        <v>177</v>
      </c>
      <c r="BJ2825" s="0" t="s">
        <v>230</v>
      </c>
    </row>
    <row r="2826">
      <c r="A2826" s="0" t="s">
        <v>3072</v>
      </c>
      <c r="B2826" s="0" t="s">
        <v>134</v>
      </c>
      <c r="C2826" s="0" t="s">
        <v>134</v>
      </c>
      <c r="D2826" s="0" t="s">
        <v>135</v>
      </c>
      <c r="E2826" s="0" t="s">
        <v>3</v>
      </c>
      <c r="F2826" s="0" t="s">
        <v>10</v>
      </c>
      <c r="G2826" s="0" t="s">
        <v>8</v>
      </c>
      <c r="H2826" s="0">
        <v>411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0">
        <v>0</v>
      </c>
      <c r="Q2826" s="0" t="s">
        <v>618</v>
      </c>
      <c r="R2826" s="0" t="b">
        <v>0</v>
      </c>
      <c r="S2826" s="0" t="b">
        <v>1</v>
      </c>
      <c r="T2826" s="68">
        <v>45642.4509259259</v>
      </c>
      <c r="U2826" s="68">
        <v>45656.2916666667</v>
      </c>
      <c r="V2826" s="68">
        <v>0</v>
      </c>
      <c r="W2826" s="0">
        <f>IF(IF(B2826="none",1,IF(B2826="Trialer",1,0))+IF(C2826="Customer",1,IF(C2826="Lost",1,0))=2,1,0)</f>
      </c>
      <c r="X2826" s="0" t="s">
        <v>148</v>
      </c>
      <c r="Y2826" s="0" t="s">
        <v>243</v>
      </c>
      <c r="AV2826" s="68"/>
      <c r="AW2826" s="68"/>
      <c r="AY2826" s="27"/>
      <c r="BD2826" s="68">
        <v>46054.1666666667</v>
      </c>
      <c r="BE2826" s="68">
        <v>46082.1666666667</v>
      </c>
      <c r="BF2826" s="0" t="b">
        <v>0</v>
      </c>
      <c r="BG2826" s="0" t="b">
        <v>0</v>
      </c>
      <c r="BH2826" s="0">
        <v>0</v>
      </c>
      <c r="BI2826" s="0">
        <v>0</v>
      </c>
      <c r="BJ2826" s="0" t="s">
        <v>135</v>
      </c>
    </row>
    <row r="2827">
      <c r="A2827" s="0" t="s">
        <v>3073</v>
      </c>
      <c r="B2827" s="0" t="s">
        <v>134</v>
      </c>
      <c r="C2827" s="0" t="s">
        <v>134</v>
      </c>
      <c r="D2827" s="0" t="s">
        <v>135</v>
      </c>
      <c r="E2827" s="0" t="s">
        <v>3</v>
      </c>
      <c r="F2827" s="0" t="s">
        <v>12</v>
      </c>
      <c r="G2827" s="0" t="s">
        <v>8</v>
      </c>
      <c r="H2827" s="0">
        <v>411</v>
      </c>
      <c r="I2827" s="0">
        <v>136</v>
      </c>
      <c r="J2827" s="0">
        <v>0</v>
      </c>
      <c r="K2827" s="0">
        <v>1</v>
      </c>
      <c r="L2827" s="0">
        <v>3</v>
      </c>
      <c r="M2827" s="0">
        <v>4</v>
      </c>
      <c r="N2827" s="0">
        <v>0</v>
      </c>
      <c r="O2827" s="0">
        <v>0</v>
      </c>
      <c r="P2827" s="0">
        <v>0</v>
      </c>
      <c r="R2827" s="0" t="b">
        <v>0</v>
      </c>
      <c r="S2827" s="0" t="b">
        <v>1</v>
      </c>
      <c r="T2827" s="68">
        <v>45642.6281134259</v>
      </c>
      <c r="U2827" s="68">
        <v>45659.2916666667</v>
      </c>
      <c r="V2827" s="68">
        <v>0</v>
      </c>
      <c r="W2827" s="0">
        <f>IF(IF(B2827="none",1,IF(B2827="Trialer",1,0))+IF(C2827="Customer",1,IF(C2827="Lost",1,0))=2,1,0)</f>
      </c>
      <c r="X2827" s="0" t="s">
        <v>136</v>
      </c>
      <c r="Y2827" s="0" t="s">
        <v>243</v>
      </c>
      <c r="AV2827" s="68"/>
      <c r="AW2827" s="68"/>
      <c r="AY2827" s="27"/>
      <c r="BD2827" s="68">
        <v>46054.1666666667</v>
      </c>
      <c r="BE2827" s="68">
        <v>46082.1666666667</v>
      </c>
      <c r="BF2827" s="0" t="b">
        <v>0</v>
      </c>
      <c r="BG2827" s="0" t="b">
        <v>0</v>
      </c>
      <c r="BH2827" s="0">
        <v>136</v>
      </c>
      <c r="BI2827" s="0">
        <v>136</v>
      </c>
      <c r="BJ2827" s="0" t="s">
        <v>135</v>
      </c>
    </row>
    <row r="2828">
      <c r="A2828" s="0" t="s">
        <v>3074</v>
      </c>
      <c r="B2828" s="0" t="s">
        <v>134</v>
      </c>
      <c r="C2828" s="0" t="s">
        <v>134</v>
      </c>
      <c r="D2828" s="0" t="s">
        <v>135</v>
      </c>
      <c r="E2828" s="0" t="s">
        <v>3</v>
      </c>
      <c r="F2828" s="0" t="s">
        <v>12</v>
      </c>
      <c r="G2828" s="0" t="s">
        <v>8</v>
      </c>
      <c r="H2828" s="0">
        <v>411</v>
      </c>
      <c r="I2828" s="0">
        <v>61</v>
      </c>
      <c r="J2828" s="0">
        <v>0</v>
      </c>
      <c r="K2828" s="0">
        <v>1</v>
      </c>
      <c r="L2828" s="0">
        <v>4</v>
      </c>
      <c r="M2828" s="0">
        <v>1</v>
      </c>
      <c r="N2828" s="0">
        <v>0</v>
      </c>
      <c r="O2828" s="0">
        <v>0</v>
      </c>
      <c r="P2828" s="0">
        <v>0</v>
      </c>
      <c r="R2828" s="0" t="b">
        <v>0</v>
      </c>
      <c r="S2828" s="0" t="b">
        <v>1</v>
      </c>
      <c r="T2828" s="68">
        <v>45642.7875810185</v>
      </c>
      <c r="U2828" s="68">
        <v>45660.2916666667</v>
      </c>
      <c r="V2828" s="68">
        <v>0</v>
      </c>
      <c r="W2828" s="0">
        <f>IF(IF(B2828="none",1,IF(B2828="Trialer",1,0))+IF(C2828="Customer",1,IF(C2828="Lost",1,0))=2,1,0)</f>
      </c>
      <c r="X2828" s="0" t="s">
        <v>142</v>
      </c>
      <c r="Y2828" s="0" t="s">
        <v>243</v>
      </c>
      <c r="AV2828" s="68"/>
      <c r="AW2828" s="68"/>
      <c r="AY2828" s="27"/>
      <c r="BD2828" s="68">
        <v>46054.1666666667</v>
      </c>
      <c r="BE2828" s="68">
        <v>46082.1666666667</v>
      </c>
      <c r="BF2828" s="0" t="b">
        <v>0</v>
      </c>
      <c r="BG2828" s="0" t="b">
        <v>0</v>
      </c>
      <c r="BH2828" s="0">
        <v>61</v>
      </c>
      <c r="BI2828" s="0">
        <v>61</v>
      </c>
      <c r="BJ2828" s="0" t="s">
        <v>135</v>
      </c>
    </row>
    <row r="2829">
      <c r="A2829" s="0" t="s">
        <v>3075</v>
      </c>
      <c r="B2829" s="0" t="s">
        <v>134</v>
      </c>
      <c r="C2829" s="0" t="s">
        <v>134</v>
      </c>
      <c r="D2829" s="0" t="s">
        <v>135</v>
      </c>
      <c r="E2829" s="0" t="s">
        <v>2</v>
      </c>
      <c r="F2829" s="0" t="s">
        <v>12</v>
      </c>
      <c r="G2829" s="0" t="s">
        <v>8</v>
      </c>
      <c r="H2829" s="0">
        <v>410</v>
      </c>
      <c r="I2829" s="0">
        <v>447</v>
      </c>
      <c r="J2829" s="0">
        <v>0</v>
      </c>
      <c r="K2829" s="0">
        <v>1</v>
      </c>
      <c r="L2829" s="0">
        <v>5</v>
      </c>
      <c r="M2829" s="0">
        <v>2</v>
      </c>
      <c r="N2829" s="0">
        <v>1395</v>
      </c>
      <c r="O2829" s="0">
        <v>0</v>
      </c>
      <c r="P2829" s="0">
        <v>0</v>
      </c>
      <c r="R2829" s="0" t="b">
        <v>0</v>
      </c>
      <c r="S2829" s="0" t="b">
        <v>1</v>
      </c>
      <c r="T2829" s="68">
        <v>45643.6083333333</v>
      </c>
      <c r="U2829" s="68">
        <v>45657.0416666667</v>
      </c>
      <c r="V2829" s="68">
        <v>0</v>
      </c>
      <c r="W2829" s="0">
        <f>IF(IF(B2829="none",1,IF(B2829="Trialer",1,0))+IF(C2829="Customer",1,IF(C2829="Lost",1,0))=2,1,0)</f>
      </c>
      <c r="X2829" s="0" t="s">
        <v>148</v>
      </c>
      <c r="Y2829" s="0" t="s">
        <v>499</v>
      </c>
      <c r="AV2829" s="68"/>
      <c r="AW2829" s="68"/>
      <c r="AY2829" s="27"/>
      <c r="BD2829" s="68">
        <v>46054.1666666667</v>
      </c>
      <c r="BE2829" s="68">
        <v>46082.1666666667</v>
      </c>
      <c r="BF2829" s="0" t="b">
        <v>0</v>
      </c>
      <c r="BG2829" s="0" t="b">
        <v>0</v>
      </c>
      <c r="BH2829" s="0">
        <v>122</v>
      </c>
      <c r="BI2829" s="0">
        <v>122</v>
      </c>
      <c r="BJ2829" s="0" t="s">
        <v>135</v>
      </c>
    </row>
    <row r="2830">
      <c r="A2830" s="0" t="s">
        <v>3076</v>
      </c>
      <c r="B2830" s="0" t="s">
        <v>134</v>
      </c>
      <c r="C2830" s="0" t="s">
        <v>134</v>
      </c>
      <c r="D2830" s="0" t="s">
        <v>135</v>
      </c>
      <c r="E2830" s="0" t="s">
        <v>3</v>
      </c>
      <c r="F2830" s="0" t="s">
        <v>12</v>
      </c>
      <c r="G2830" s="0" t="s">
        <v>8</v>
      </c>
      <c r="H2830" s="0">
        <v>409</v>
      </c>
      <c r="I2830" s="0">
        <v>151</v>
      </c>
      <c r="J2830" s="0">
        <v>0</v>
      </c>
      <c r="K2830" s="0">
        <v>1</v>
      </c>
      <c r="L2830" s="0">
        <v>3</v>
      </c>
      <c r="M2830" s="0">
        <v>4</v>
      </c>
      <c r="N2830" s="0">
        <v>0</v>
      </c>
      <c r="O2830" s="0">
        <v>0</v>
      </c>
      <c r="P2830" s="0">
        <v>0</v>
      </c>
      <c r="R2830" s="0" t="b">
        <v>0</v>
      </c>
      <c r="S2830" s="0" t="b">
        <v>1</v>
      </c>
      <c r="T2830" s="68">
        <v>45644.5196990741</v>
      </c>
      <c r="U2830" s="68">
        <v>45659.2916666667</v>
      </c>
      <c r="V2830" s="68">
        <v>0</v>
      </c>
      <c r="W2830" s="0">
        <f>IF(IF(B2830="none",1,IF(B2830="Trialer",1,0))+IF(C2830="Customer",1,IF(C2830="Lost",1,0))=2,1,0)</f>
      </c>
      <c r="X2830" s="0" t="s">
        <v>148</v>
      </c>
      <c r="Y2830" s="0" t="s">
        <v>243</v>
      </c>
      <c r="AV2830" s="68"/>
      <c r="AW2830" s="68"/>
      <c r="AY2830" s="27"/>
      <c r="BD2830" s="68">
        <v>46054.1666666667</v>
      </c>
      <c r="BE2830" s="68">
        <v>46082.1666666667</v>
      </c>
      <c r="BF2830" s="0" t="b">
        <v>0</v>
      </c>
      <c r="BG2830" s="0" t="b">
        <v>0</v>
      </c>
      <c r="BH2830" s="0">
        <v>151</v>
      </c>
      <c r="BI2830" s="0">
        <v>151</v>
      </c>
      <c r="BJ2830" s="0" t="s">
        <v>135</v>
      </c>
    </row>
    <row r="2831">
      <c r="A2831" s="0" t="s">
        <v>3077</v>
      </c>
      <c r="B2831" s="0" t="s">
        <v>134</v>
      </c>
      <c r="C2831" s="0" t="s">
        <v>134</v>
      </c>
      <c r="D2831" s="0" t="s">
        <v>135</v>
      </c>
      <c r="E2831" s="0" t="s">
        <v>3</v>
      </c>
      <c r="F2831" s="0" t="s">
        <v>12</v>
      </c>
      <c r="G2831" s="0" t="s">
        <v>8</v>
      </c>
      <c r="H2831" s="0">
        <v>409</v>
      </c>
      <c r="I2831" s="0">
        <v>836</v>
      </c>
      <c r="J2831" s="0">
        <v>0</v>
      </c>
      <c r="K2831" s="0">
        <v>1</v>
      </c>
      <c r="L2831" s="0">
        <v>6</v>
      </c>
      <c r="M2831" s="0">
        <v>10</v>
      </c>
      <c r="N2831" s="0">
        <v>0</v>
      </c>
      <c r="O2831" s="0">
        <v>0</v>
      </c>
      <c r="P2831" s="0">
        <v>0</v>
      </c>
      <c r="R2831" s="0" t="b">
        <v>0</v>
      </c>
      <c r="S2831" s="0" t="b">
        <v>1</v>
      </c>
      <c r="T2831" s="68">
        <v>45644.5835648148</v>
      </c>
      <c r="U2831" s="68">
        <v>45658.2916666667</v>
      </c>
      <c r="V2831" s="68">
        <v>0</v>
      </c>
      <c r="W2831" s="0">
        <f>IF(IF(B2831="none",1,IF(B2831="Trialer",1,0))+IF(C2831="Customer",1,IF(C2831="Lost",1,0))=2,1,0)</f>
      </c>
      <c r="X2831" s="0" t="s">
        <v>148</v>
      </c>
      <c r="Y2831" s="0" t="s">
        <v>243</v>
      </c>
      <c r="AV2831" s="68"/>
      <c r="AW2831" s="68"/>
      <c r="AY2831" s="27"/>
      <c r="BD2831" s="68">
        <v>46054.1666666667</v>
      </c>
      <c r="BE2831" s="68">
        <v>46082.1666666667</v>
      </c>
      <c r="BF2831" s="0" t="b">
        <v>0</v>
      </c>
      <c r="BG2831" s="0" t="b">
        <v>0</v>
      </c>
      <c r="BH2831" s="0">
        <v>529</v>
      </c>
      <c r="BI2831" s="0">
        <v>529</v>
      </c>
      <c r="BJ2831" s="0" t="s">
        <v>135</v>
      </c>
    </row>
    <row r="2832">
      <c r="A2832" s="0" t="s">
        <v>3078</v>
      </c>
      <c r="B2832" s="0" t="s">
        <v>134</v>
      </c>
      <c r="C2832" s="0" t="s">
        <v>134</v>
      </c>
      <c r="D2832" s="0" t="s">
        <v>230</v>
      </c>
      <c r="E2832" s="0" t="s">
        <v>3</v>
      </c>
      <c r="F2832" s="0" t="s">
        <v>12</v>
      </c>
      <c r="G2832" s="0" t="s">
        <v>8</v>
      </c>
      <c r="H2832" s="0">
        <v>409</v>
      </c>
      <c r="I2832" s="0">
        <v>145.8</v>
      </c>
      <c r="J2832" s="0">
        <v>0</v>
      </c>
      <c r="K2832" s="0">
        <v>1</v>
      </c>
      <c r="L2832" s="0">
        <v>5</v>
      </c>
      <c r="M2832" s="0">
        <v>3</v>
      </c>
      <c r="N2832" s="0">
        <v>0</v>
      </c>
      <c r="O2832" s="0">
        <v>0</v>
      </c>
      <c r="P2832" s="0">
        <v>-145.8</v>
      </c>
      <c r="R2832" s="0" t="b">
        <v>0</v>
      </c>
      <c r="S2832" s="0" t="b">
        <v>1</v>
      </c>
      <c r="T2832" s="68">
        <v>45644.6139699074</v>
      </c>
      <c r="U2832" s="68">
        <v>45659.2916666667</v>
      </c>
      <c r="V2832" s="68">
        <v>0</v>
      </c>
      <c r="W2832" s="0">
        <f>IF(IF(B2832="none",1,IF(B2832="Trialer",1,0))+IF(C2832="Customer",1,IF(C2832="Lost",1,0))=2,1,0)</f>
      </c>
      <c r="X2832" s="0" t="s">
        <v>142</v>
      </c>
      <c r="Y2832" s="0" t="s">
        <v>243</v>
      </c>
      <c r="AV2832" s="68"/>
      <c r="AW2832" s="68"/>
      <c r="AY2832" s="27"/>
      <c r="BD2832" s="68">
        <v>46054.1666666667</v>
      </c>
      <c r="BE2832" s="68">
        <v>46082.1666666667</v>
      </c>
      <c r="BF2832" s="0" t="b">
        <v>0</v>
      </c>
      <c r="BG2832" s="0" t="b">
        <v>0</v>
      </c>
      <c r="BH2832" s="0">
        <v>162</v>
      </c>
      <c r="BI2832" s="0">
        <v>162</v>
      </c>
      <c r="BJ2832" s="0" t="s">
        <v>230</v>
      </c>
    </row>
    <row r="2833">
      <c r="A2833" s="0" t="s">
        <v>3079</v>
      </c>
      <c r="B2833" s="0" t="s">
        <v>134</v>
      </c>
      <c r="C2833" s="0" t="s">
        <v>134</v>
      </c>
      <c r="D2833" s="0" t="s">
        <v>230</v>
      </c>
      <c r="E2833" s="0" t="s">
        <v>3</v>
      </c>
      <c r="F2833" s="0" t="s">
        <v>12</v>
      </c>
      <c r="G2833" s="0" t="s">
        <v>8</v>
      </c>
      <c r="H2833" s="0">
        <v>409</v>
      </c>
      <c r="I2833" s="0">
        <v>369.1</v>
      </c>
      <c r="J2833" s="0">
        <v>0</v>
      </c>
      <c r="K2833" s="0">
        <v>1</v>
      </c>
      <c r="L2833" s="0">
        <v>3</v>
      </c>
      <c r="M2833" s="0">
        <v>1</v>
      </c>
      <c r="N2833" s="0">
        <v>0</v>
      </c>
      <c r="O2833" s="0">
        <v>0</v>
      </c>
      <c r="P2833" s="0">
        <v>-44.1</v>
      </c>
      <c r="R2833" s="0" t="b">
        <v>0</v>
      </c>
      <c r="S2833" s="0" t="b">
        <v>1</v>
      </c>
      <c r="T2833" s="68">
        <v>45644.6162268519</v>
      </c>
      <c r="U2833" s="68">
        <v>45656.2916666667</v>
      </c>
      <c r="V2833" s="68">
        <v>0</v>
      </c>
      <c r="W2833" s="0">
        <f>IF(IF(B2833="none",1,IF(B2833="Trialer",1,0))+IF(C2833="Customer",1,IF(C2833="Lost",1,0))=2,1,0)</f>
      </c>
      <c r="X2833" s="0" t="s">
        <v>136</v>
      </c>
      <c r="Y2833" s="0" t="s">
        <v>243</v>
      </c>
      <c r="AV2833" s="68"/>
      <c r="AW2833" s="68"/>
      <c r="AY2833" s="27"/>
      <c r="BD2833" s="68">
        <v>46054.1666666667</v>
      </c>
      <c r="BE2833" s="68">
        <v>46082.1666666667</v>
      </c>
      <c r="BF2833" s="0" t="b">
        <v>0</v>
      </c>
      <c r="BG2833" s="0" t="b">
        <v>0</v>
      </c>
      <c r="BH2833" s="0">
        <v>98</v>
      </c>
      <c r="BI2833" s="0">
        <v>98</v>
      </c>
      <c r="BJ2833" s="0" t="s">
        <v>230</v>
      </c>
    </row>
    <row r="2834">
      <c r="A2834" s="0" t="s">
        <v>3080</v>
      </c>
      <c r="B2834" s="0" t="s">
        <v>134</v>
      </c>
      <c r="C2834" s="0" t="s">
        <v>134</v>
      </c>
      <c r="D2834" s="0" t="s">
        <v>230</v>
      </c>
      <c r="E2834" s="0" t="s">
        <v>3</v>
      </c>
      <c r="F2834" s="0" t="s">
        <v>12</v>
      </c>
      <c r="G2834" s="0" t="s">
        <v>8</v>
      </c>
      <c r="H2834" s="0">
        <v>409</v>
      </c>
      <c r="I2834" s="0">
        <v>96.3</v>
      </c>
      <c r="J2834" s="0">
        <v>0</v>
      </c>
      <c r="K2834" s="0">
        <v>1</v>
      </c>
      <c r="L2834" s="0">
        <v>4</v>
      </c>
      <c r="M2834" s="0">
        <v>3</v>
      </c>
      <c r="N2834" s="0">
        <v>0</v>
      </c>
      <c r="O2834" s="0">
        <v>0</v>
      </c>
      <c r="P2834" s="0">
        <v>-96.3</v>
      </c>
      <c r="R2834" s="0" t="b">
        <v>0</v>
      </c>
      <c r="S2834" s="0" t="b">
        <v>1</v>
      </c>
      <c r="T2834" s="68">
        <v>45644.8498726852</v>
      </c>
      <c r="U2834" s="68">
        <v>45656.2916666667</v>
      </c>
      <c r="V2834" s="68">
        <v>0</v>
      </c>
      <c r="W2834" s="0">
        <f>IF(IF(B2834="none",1,IF(B2834="Trialer",1,0))+IF(C2834="Customer",1,IF(C2834="Lost",1,0))=2,1,0)</f>
      </c>
      <c r="X2834" s="0" t="s">
        <v>142</v>
      </c>
      <c r="Y2834" s="0" t="s">
        <v>1792</v>
      </c>
      <c r="AV2834" s="68"/>
      <c r="AW2834" s="68"/>
      <c r="AY2834" s="27"/>
      <c r="BD2834" s="68">
        <v>46054.1666666667</v>
      </c>
      <c r="BE2834" s="68">
        <v>46082.1666666667</v>
      </c>
      <c r="BF2834" s="0" t="b">
        <v>0</v>
      </c>
      <c r="BG2834" s="0" t="b">
        <v>0</v>
      </c>
      <c r="BH2834" s="0">
        <v>107</v>
      </c>
      <c r="BI2834" s="0">
        <v>107</v>
      </c>
      <c r="BJ2834" s="0" t="s">
        <v>230</v>
      </c>
    </row>
    <row r="2835">
      <c r="A2835" s="0" t="s">
        <v>3081</v>
      </c>
      <c r="B2835" s="0" t="s">
        <v>134</v>
      </c>
      <c r="C2835" s="0" t="s">
        <v>134</v>
      </c>
      <c r="D2835" s="0" t="s">
        <v>230</v>
      </c>
      <c r="E2835" s="0" t="s">
        <v>3</v>
      </c>
      <c r="F2835" s="0" t="s">
        <v>12</v>
      </c>
      <c r="G2835" s="0" t="s">
        <v>8</v>
      </c>
      <c r="H2835" s="0">
        <v>409</v>
      </c>
      <c r="I2835" s="0">
        <v>99</v>
      </c>
      <c r="J2835" s="0">
        <v>0</v>
      </c>
      <c r="K2835" s="0">
        <v>1</v>
      </c>
      <c r="L2835" s="0">
        <v>4</v>
      </c>
      <c r="M2835" s="0">
        <v>2</v>
      </c>
      <c r="N2835" s="0">
        <v>0</v>
      </c>
      <c r="O2835" s="0">
        <v>0</v>
      </c>
      <c r="P2835" s="0">
        <v>-99</v>
      </c>
      <c r="R2835" s="0" t="b">
        <v>0</v>
      </c>
      <c r="S2835" s="0" t="b">
        <v>1</v>
      </c>
      <c r="T2835" s="68">
        <v>45644.9520833333</v>
      </c>
      <c r="U2835" s="68">
        <v>45701.2916666667</v>
      </c>
      <c r="V2835" s="68">
        <v>0</v>
      </c>
      <c r="W2835" s="0">
        <f>IF(IF(B2835="none",1,IF(B2835="Trialer",1,0))+IF(C2835="Customer",1,IF(C2835="Lost",1,0))=2,1,0)</f>
      </c>
      <c r="X2835" s="0" t="s">
        <v>166</v>
      </c>
      <c r="Y2835" s="0" t="s">
        <v>243</v>
      </c>
      <c r="AV2835" s="68"/>
      <c r="AW2835" s="68"/>
      <c r="AY2835" s="27"/>
      <c r="BD2835" s="68">
        <v>46054.1666666667</v>
      </c>
      <c r="BE2835" s="68">
        <v>46082.1666666667</v>
      </c>
      <c r="BF2835" s="0" t="b">
        <v>0</v>
      </c>
      <c r="BG2835" s="0" t="b">
        <v>0</v>
      </c>
      <c r="BH2835" s="0">
        <v>110</v>
      </c>
      <c r="BI2835" s="0">
        <v>110</v>
      </c>
      <c r="BJ2835" s="0" t="s">
        <v>230</v>
      </c>
    </row>
    <row r="2836">
      <c r="A2836" s="0" t="s">
        <v>3082</v>
      </c>
      <c r="B2836" s="0" t="s">
        <v>134</v>
      </c>
      <c r="C2836" s="0" t="s">
        <v>134</v>
      </c>
      <c r="D2836" s="0" t="s">
        <v>135</v>
      </c>
      <c r="E2836" s="0" t="s">
        <v>3</v>
      </c>
      <c r="F2836" s="0" t="s">
        <v>10</v>
      </c>
      <c r="G2836" s="0" t="s">
        <v>8</v>
      </c>
      <c r="H2836" s="0">
        <v>408</v>
      </c>
      <c r="I2836" s="0">
        <v>101</v>
      </c>
      <c r="J2836" s="0">
        <v>0</v>
      </c>
      <c r="K2836" s="0">
        <v>1</v>
      </c>
      <c r="L2836" s="0">
        <v>4</v>
      </c>
      <c r="M2836" s="0">
        <v>2</v>
      </c>
      <c r="N2836" s="0">
        <v>0</v>
      </c>
      <c r="O2836" s="0">
        <v>0</v>
      </c>
      <c r="P2836" s="0">
        <v>0</v>
      </c>
      <c r="Q2836" s="0" t="s">
        <v>3083</v>
      </c>
      <c r="R2836" s="0" t="b">
        <v>0</v>
      </c>
      <c r="S2836" s="0" t="b">
        <v>1</v>
      </c>
      <c r="T2836" s="68">
        <v>45645.5307291667</v>
      </c>
      <c r="U2836" s="68">
        <v>45646.2916666667</v>
      </c>
      <c r="V2836" s="68">
        <v>0</v>
      </c>
      <c r="W2836" s="0">
        <f>IF(IF(B2836="none",1,IF(B2836="Trialer",1,0))+IF(C2836="Customer",1,IF(C2836="Lost",1,0))=2,1,0)</f>
      </c>
      <c r="X2836" s="0" t="s">
        <v>145</v>
      </c>
      <c r="Y2836" s="0" t="s">
        <v>243</v>
      </c>
      <c r="AV2836" s="68"/>
      <c r="AW2836" s="68"/>
      <c r="AY2836" s="27"/>
      <c r="BD2836" s="68">
        <v>46054.1666666667</v>
      </c>
      <c r="BE2836" s="68">
        <v>46082.1666666667</v>
      </c>
      <c r="BF2836" s="0" t="b">
        <v>0</v>
      </c>
      <c r="BG2836" s="0" t="b">
        <v>0</v>
      </c>
      <c r="BH2836" s="0">
        <v>101</v>
      </c>
      <c r="BI2836" s="0">
        <v>101</v>
      </c>
      <c r="BJ2836" s="0" t="s">
        <v>135</v>
      </c>
    </row>
    <row r="2837">
      <c r="A2837" s="0" t="s">
        <v>3084</v>
      </c>
      <c r="B2837" s="0" t="s">
        <v>134</v>
      </c>
      <c r="C2837" s="0" t="s">
        <v>134</v>
      </c>
      <c r="D2837" s="0" t="s">
        <v>135</v>
      </c>
      <c r="E2837" s="0" t="s">
        <v>3</v>
      </c>
      <c r="F2837" s="0" t="s">
        <v>11</v>
      </c>
      <c r="G2837" s="0" t="s">
        <v>8</v>
      </c>
      <c r="H2837" s="0">
        <v>408</v>
      </c>
      <c r="I2837" s="0">
        <v>40</v>
      </c>
      <c r="J2837" s="0">
        <v>0</v>
      </c>
      <c r="K2837" s="0">
        <v>1</v>
      </c>
      <c r="L2837" s="0">
        <v>1</v>
      </c>
      <c r="M2837" s="0">
        <v>0</v>
      </c>
      <c r="N2837" s="0">
        <v>0</v>
      </c>
      <c r="O2837" s="0">
        <v>0</v>
      </c>
      <c r="P2837" s="0">
        <v>0</v>
      </c>
      <c r="Q2837" s="0" t="s">
        <v>1743</v>
      </c>
      <c r="R2837" s="0" t="b">
        <v>1</v>
      </c>
      <c r="S2837" s="0" t="b">
        <v>0</v>
      </c>
      <c r="T2837" s="68">
        <v>45645.7891435185</v>
      </c>
      <c r="U2837" s="68">
        <v>45645.2916666667</v>
      </c>
      <c r="V2837" s="68">
        <v>46087.466724537</v>
      </c>
      <c r="W2837" s="0">
        <f>IF(IF(B2837="none",1,IF(B2837="Trialer",1,0))+IF(C2837="Customer",1,IF(C2837="Lost",1,0))=2,1,0)</f>
      </c>
      <c r="X2837" s="0" t="s">
        <v>145</v>
      </c>
      <c r="Y2837" s="0" t="s">
        <v>243</v>
      </c>
      <c r="AV2837" s="68"/>
      <c r="AW2837" s="68"/>
      <c r="AY2837" s="27"/>
      <c r="BD2837" s="68">
        <v>46054.1666666667</v>
      </c>
      <c r="BE2837" s="68">
        <v>46082.1666666667</v>
      </c>
      <c r="BF2837" s="0" t="b">
        <v>0</v>
      </c>
      <c r="BG2837" s="0" t="b">
        <v>0</v>
      </c>
      <c r="BH2837" s="0">
        <v>40</v>
      </c>
      <c r="BI2837" s="0">
        <v>40</v>
      </c>
      <c r="BJ2837" s="0" t="s">
        <v>135</v>
      </c>
    </row>
    <row r="2838">
      <c r="A2838" s="0" t="s">
        <v>3085</v>
      </c>
      <c r="B2838" s="0" t="s">
        <v>134</v>
      </c>
      <c r="C2838" s="0" t="s">
        <v>134</v>
      </c>
      <c r="D2838" s="0" t="s">
        <v>230</v>
      </c>
      <c r="E2838" s="0" t="s">
        <v>3</v>
      </c>
      <c r="F2838" s="0" t="s">
        <v>12</v>
      </c>
      <c r="G2838" s="0" t="s">
        <v>8</v>
      </c>
      <c r="H2838" s="0">
        <v>407</v>
      </c>
      <c r="I2838" s="0">
        <v>118</v>
      </c>
      <c r="J2838" s="0">
        <v>0</v>
      </c>
      <c r="K2838" s="0">
        <v>1</v>
      </c>
      <c r="L2838" s="0">
        <v>5</v>
      </c>
      <c r="M2838" s="0">
        <v>2</v>
      </c>
      <c r="N2838" s="0">
        <v>0</v>
      </c>
      <c r="O2838" s="0">
        <v>0</v>
      </c>
      <c r="P2838" s="0">
        <v>-118</v>
      </c>
      <c r="R2838" s="0" t="b">
        <v>0</v>
      </c>
      <c r="S2838" s="0" t="b">
        <v>1</v>
      </c>
      <c r="T2838" s="68">
        <v>45646.4112384259</v>
      </c>
      <c r="U2838" s="68">
        <v>45660.2916666667</v>
      </c>
      <c r="V2838" s="68">
        <v>0</v>
      </c>
      <c r="W2838" s="0">
        <f>IF(IF(B2838="none",1,IF(B2838="Trialer",1,0))+IF(C2838="Customer",1,IF(C2838="Lost",1,0))=2,1,0)</f>
      </c>
      <c r="X2838" s="0" t="s">
        <v>166</v>
      </c>
      <c r="Y2838" s="0" t="s">
        <v>243</v>
      </c>
      <c r="AV2838" s="68"/>
      <c r="AW2838" s="68"/>
      <c r="AY2838" s="27"/>
      <c r="BD2838" s="68">
        <v>46054.1666666667</v>
      </c>
      <c r="BE2838" s="68">
        <v>46082.1666666667</v>
      </c>
      <c r="BF2838" s="0" t="b">
        <v>0</v>
      </c>
      <c r="BG2838" s="0" t="b">
        <v>0</v>
      </c>
      <c r="BH2838" s="0">
        <v>134</v>
      </c>
      <c r="BI2838" s="0">
        <v>134</v>
      </c>
      <c r="BJ2838" s="0" t="s">
        <v>230</v>
      </c>
    </row>
    <row r="2839">
      <c r="A2839" s="0" t="s">
        <v>3086</v>
      </c>
      <c r="B2839" s="0" t="s">
        <v>134</v>
      </c>
      <c r="C2839" s="0" t="s">
        <v>134</v>
      </c>
      <c r="D2839" s="0" t="s">
        <v>135</v>
      </c>
      <c r="E2839" s="0" t="s">
        <v>3</v>
      </c>
      <c r="F2839" s="0" t="s">
        <v>12</v>
      </c>
      <c r="G2839" s="0" t="s">
        <v>8</v>
      </c>
      <c r="H2839" s="0">
        <v>407</v>
      </c>
      <c r="I2839" s="0">
        <v>73</v>
      </c>
      <c r="J2839" s="0">
        <v>0</v>
      </c>
      <c r="K2839" s="0">
        <v>1</v>
      </c>
      <c r="L2839" s="0">
        <v>5</v>
      </c>
      <c r="M2839" s="0">
        <v>1</v>
      </c>
      <c r="N2839" s="0">
        <v>0</v>
      </c>
      <c r="O2839" s="0">
        <v>0</v>
      </c>
      <c r="P2839" s="0">
        <v>0</v>
      </c>
      <c r="R2839" s="0" t="b">
        <v>0</v>
      </c>
      <c r="S2839" s="0" t="b">
        <v>1</v>
      </c>
      <c r="T2839" s="68">
        <v>45646.5509259259</v>
      </c>
      <c r="U2839" s="68">
        <v>45664.2916666667</v>
      </c>
      <c r="V2839" s="68">
        <v>0</v>
      </c>
      <c r="W2839" s="0">
        <f>IF(IF(B2839="none",1,IF(B2839="Trialer",1,0))+IF(C2839="Customer",1,IF(C2839="Lost",1,0))=2,1,0)</f>
      </c>
      <c r="X2839" s="0" t="s">
        <v>153</v>
      </c>
      <c r="Y2839" s="0" t="s">
        <v>243</v>
      </c>
      <c r="AV2839" s="68"/>
      <c r="AW2839" s="68"/>
      <c r="AY2839" s="27"/>
      <c r="BD2839" s="68">
        <v>46054.1666666667</v>
      </c>
      <c r="BE2839" s="68">
        <v>46082.1666666667</v>
      </c>
      <c r="BF2839" s="0" t="b">
        <v>0</v>
      </c>
      <c r="BG2839" s="0" t="b">
        <v>0</v>
      </c>
      <c r="BH2839" s="0">
        <v>73</v>
      </c>
      <c r="BI2839" s="0">
        <v>73</v>
      </c>
      <c r="BJ2839" s="0" t="s">
        <v>135</v>
      </c>
    </row>
    <row r="2840">
      <c r="A2840" s="0" t="s">
        <v>3087</v>
      </c>
      <c r="B2840" s="0" t="s">
        <v>134</v>
      </c>
      <c r="C2840" s="0" t="s">
        <v>134</v>
      </c>
      <c r="D2840" s="0" t="s">
        <v>135</v>
      </c>
      <c r="E2840" s="0" t="s">
        <v>3</v>
      </c>
      <c r="F2840" s="0" t="s">
        <v>12</v>
      </c>
      <c r="G2840" s="0" t="s">
        <v>8</v>
      </c>
      <c r="H2840" s="0">
        <v>407</v>
      </c>
      <c r="I2840" s="0">
        <v>365</v>
      </c>
      <c r="J2840" s="0">
        <v>0</v>
      </c>
      <c r="K2840" s="0">
        <v>1</v>
      </c>
      <c r="L2840" s="0">
        <v>2</v>
      </c>
      <c r="M2840" s="0">
        <v>1</v>
      </c>
      <c r="N2840" s="0">
        <v>0</v>
      </c>
      <c r="O2840" s="0">
        <v>0</v>
      </c>
      <c r="P2840" s="0">
        <v>0</v>
      </c>
      <c r="R2840" s="0" t="b">
        <v>0</v>
      </c>
      <c r="S2840" s="0" t="b">
        <v>1</v>
      </c>
      <c r="T2840" s="68">
        <v>45646.555474537</v>
      </c>
      <c r="U2840" s="68">
        <v>45672.2916666667</v>
      </c>
      <c r="V2840" s="68">
        <v>0</v>
      </c>
      <c r="W2840" s="0">
        <f>IF(IF(B2840="none",1,IF(B2840="Trialer",1,0))+IF(C2840="Customer",1,IF(C2840="Lost",1,0))=2,1,0)</f>
      </c>
      <c r="X2840" s="0" t="s">
        <v>148</v>
      </c>
      <c r="Y2840" s="0" t="s">
        <v>243</v>
      </c>
      <c r="AV2840" s="68"/>
      <c r="AW2840" s="68"/>
      <c r="AY2840" s="27"/>
      <c r="BD2840" s="68">
        <v>46054.1666666667</v>
      </c>
      <c r="BE2840" s="68">
        <v>46082.1666666667</v>
      </c>
      <c r="BF2840" s="0" t="b">
        <v>0</v>
      </c>
      <c r="BG2840" s="0" t="b">
        <v>0</v>
      </c>
      <c r="BH2840" s="0">
        <v>40</v>
      </c>
      <c r="BI2840" s="0">
        <v>40</v>
      </c>
      <c r="BJ2840" s="0" t="s">
        <v>135</v>
      </c>
    </row>
    <row r="2841">
      <c r="A2841" s="0" t="s">
        <v>3088</v>
      </c>
      <c r="B2841" s="0" t="s">
        <v>134</v>
      </c>
      <c r="C2841" s="0" t="s">
        <v>134</v>
      </c>
      <c r="D2841" s="0" t="s">
        <v>135</v>
      </c>
      <c r="E2841" s="0" t="s">
        <v>2</v>
      </c>
      <c r="F2841" s="0" t="s">
        <v>12</v>
      </c>
      <c r="G2841" s="0" t="s">
        <v>8</v>
      </c>
      <c r="H2841" s="0">
        <v>406</v>
      </c>
      <c r="I2841" s="0">
        <v>61</v>
      </c>
      <c r="J2841" s="0">
        <v>0</v>
      </c>
      <c r="K2841" s="0">
        <v>1</v>
      </c>
      <c r="L2841" s="0">
        <v>4</v>
      </c>
      <c r="M2841" s="0">
        <v>1</v>
      </c>
      <c r="N2841" s="0">
        <v>0</v>
      </c>
      <c r="O2841" s="0">
        <v>0</v>
      </c>
      <c r="P2841" s="0">
        <v>0</v>
      </c>
      <c r="R2841" s="0" t="b">
        <v>0</v>
      </c>
      <c r="S2841" s="0" t="b">
        <v>1</v>
      </c>
      <c r="T2841" s="68">
        <v>45647.4419444444</v>
      </c>
      <c r="U2841" s="68">
        <v>45661.2916666667</v>
      </c>
      <c r="V2841" s="68">
        <v>0</v>
      </c>
      <c r="W2841" s="0">
        <f>IF(IF(B2841="none",1,IF(B2841="Trialer",1,0))+IF(C2841="Customer",1,IF(C2841="Lost",1,0))=2,1,0)</f>
      </c>
      <c r="X2841" s="0" t="s">
        <v>153</v>
      </c>
      <c r="Y2841" s="0" t="s">
        <v>499</v>
      </c>
      <c r="AV2841" s="68"/>
      <c r="AW2841" s="68"/>
      <c r="AY2841" s="27"/>
      <c r="BD2841" s="68">
        <v>46054.1666666667</v>
      </c>
      <c r="BE2841" s="68">
        <v>46082.1666666667</v>
      </c>
      <c r="BF2841" s="0" t="b">
        <v>0</v>
      </c>
      <c r="BG2841" s="0" t="b">
        <v>0</v>
      </c>
      <c r="BH2841" s="0">
        <v>61</v>
      </c>
      <c r="BI2841" s="0">
        <v>61</v>
      </c>
      <c r="BJ2841" s="0" t="s">
        <v>135</v>
      </c>
    </row>
    <row r="2842">
      <c r="A2842" s="0" t="s">
        <v>3089</v>
      </c>
      <c r="B2842" s="0" t="s">
        <v>134</v>
      </c>
      <c r="C2842" s="0" t="s">
        <v>134</v>
      </c>
      <c r="D2842" s="0" t="s">
        <v>135</v>
      </c>
      <c r="E2842" s="0" t="s">
        <v>2</v>
      </c>
      <c r="F2842" s="0" t="s">
        <v>12</v>
      </c>
      <c r="G2842" s="0" t="s">
        <v>8</v>
      </c>
      <c r="H2842" s="0">
        <v>404</v>
      </c>
      <c r="I2842" s="0">
        <v>544</v>
      </c>
      <c r="J2842" s="0">
        <v>0</v>
      </c>
      <c r="K2842" s="0">
        <v>1</v>
      </c>
      <c r="L2842" s="0">
        <v>5</v>
      </c>
      <c r="M2842" s="0">
        <v>3</v>
      </c>
      <c r="N2842" s="0">
        <v>0</v>
      </c>
      <c r="O2842" s="0">
        <v>0</v>
      </c>
      <c r="P2842" s="0">
        <v>0</v>
      </c>
      <c r="R2842" s="0" t="b">
        <v>0</v>
      </c>
      <c r="S2842" s="0" t="b">
        <v>1</v>
      </c>
      <c r="T2842" s="68">
        <v>45649.4902777778</v>
      </c>
      <c r="U2842" s="68">
        <v>45663.2916666667</v>
      </c>
      <c r="V2842" s="68">
        <v>0</v>
      </c>
      <c r="W2842" s="0">
        <f>IF(IF(B2842="none",1,IF(B2842="Trialer",1,0))+IF(C2842="Customer",1,IF(C2842="Lost",1,0))=2,1,0)</f>
      </c>
      <c r="X2842" s="0" t="s">
        <v>145</v>
      </c>
      <c r="Y2842" s="0" t="s">
        <v>499</v>
      </c>
      <c r="AV2842" s="68"/>
      <c r="AW2842" s="68"/>
      <c r="AY2842" s="27"/>
      <c r="BD2842" s="68">
        <v>46054.1666666667</v>
      </c>
      <c r="BE2842" s="68">
        <v>46082.1666666667</v>
      </c>
      <c r="BF2842" s="0" t="b">
        <v>0</v>
      </c>
      <c r="BG2842" s="0" t="b">
        <v>0</v>
      </c>
      <c r="BH2842" s="0">
        <v>219</v>
      </c>
      <c r="BI2842" s="0">
        <v>219</v>
      </c>
      <c r="BJ2842" s="0" t="s">
        <v>135</v>
      </c>
    </row>
    <row r="2843">
      <c r="A2843" s="0" t="s">
        <v>3090</v>
      </c>
      <c r="B2843" s="0" t="s">
        <v>134</v>
      </c>
      <c r="C2843" s="0" t="s">
        <v>134</v>
      </c>
      <c r="D2843" s="0" t="s">
        <v>135</v>
      </c>
      <c r="E2843" s="0" t="s">
        <v>2</v>
      </c>
      <c r="F2843" s="0" t="s">
        <v>10</v>
      </c>
      <c r="G2843" s="0" t="s">
        <v>8</v>
      </c>
      <c r="H2843" s="0">
        <v>404</v>
      </c>
      <c r="I2843" s="0">
        <v>248</v>
      </c>
      <c r="J2843" s="0">
        <v>0</v>
      </c>
      <c r="K2843" s="0">
        <v>1</v>
      </c>
      <c r="L2843" s="0">
        <v>3</v>
      </c>
      <c r="M2843" s="0">
        <v>5</v>
      </c>
      <c r="N2843" s="0">
        <v>0</v>
      </c>
      <c r="O2843" s="0">
        <v>0</v>
      </c>
      <c r="P2843" s="0">
        <v>0</v>
      </c>
      <c r="Q2843" s="0" t="s">
        <v>390</v>
      </c>
      <c r="R2843" s="0" t="b">
        <v>0</v>
      </c>
      <c r="S2843" s="0" t="b">
        <v>1</v>
      </c>
      <c r="T2843" s="68">
        <v>45649.6134953704</v>
      </c>
      <c r="U2843" s="68">
        <v>45670.2916666667</v>
      </c>
      <c r="V2843" s="68">
        <v>0</v>
      </c>
      <c r="W2843" s="0">
        <f>IF(IF(B2843="none",1,IF(B2843="Trialer",1,0))+IF(C2843="Customer",1,IF(C2843="Lost",1,0))=2,1,0)</f>
      </c>
      <c r="X2843" s="0" t="s">
        <v>148</v>
      </c>
      <c r="Y2843" s="0" t="s">
        <v>499</v>
      </c>
      <c r="AV2843" s="68"/>
      <c r="AW2843" s="68"/>
      <c r="AY2843" s="27"/>
      <c r="BD2843" s="68">
        <v>46054.1666666667</v>
      </c>
      <c r="BE2843" s="68">
        <v>46082.1666666667</v>
      </c>
      <c r="BF2843" s="0" t="b">
        <v>0</v>
      </c>
      <c r="BG2843" s="0" t="b">
        <v>0</v>
      </c>
      <c r="BH2843" s="0">
        <v>248</v>
      </c>
      <c r="BI2843" s="0">
        <v>248</v>
      </c>
      <c r="BJ2843" s="0" t="s">
        <v>135</v>
      </c>
    </row>
    <row r="2844">
      <c r="A2844" s="0" t="s">
        <v>3091</v>
      </c>
      <c r="B2844" s="0" t="s">
        <v>134</v>
      </c>
      <c r="C2844" s="0" t="s">
        <v>190</v>
      </c>
      <c r="D2844" s="0" t="s">
        <v>135</v>
      </c>
      <c r="E2844" s="0" t="s">
        <v>3</v>
      </c>
      <c r="F2844" s="0" t="s">
        <v>12</v>
      </c>
      <c r="G2844" s="0" t="s">
        <v>8</v>
      </c>
      <c r="H2844" s="0">
        <v>403</v>
      </c>
      <c r="I2844" s="0">
        <v>0</v>
      </c>
      <c r="J2844" s="0">
        <v>0</v>
      </c>
      <c r="K2844" s="0">
        <v>0</v>
      </c>
      <c r="L2844" s="0">
        <v>0</v>
      </c>
      <c r="M2844" s="0">
        <v>0</v>
      </c>
      <c r="N2844" s="0">
        <v>0</v>
      </c>
      <c r="O2844" s="0">
        <v>0</v>
      </c>
      <c r="P2844" s="0">
        <v>0</v>
      </c>
      <c r="R2844" s="0" t="b">
        <v>0</v>
      </c>
      <c r="S2844" s="0" t="b">
        <v>0</v>
      </c>
      <c r="T2844" s="68">
        <v>45650.6544212963</v>
      </c>
      <c r="U2844" s="68">
        <v>45651.2916666667</v>
      </c>
      <c r="V2844" s="68">
        <v>46077.1681134259</v>
      </c>
      <c r="W2844" s="0">
        <f>IF(IF(B2844="none",1,IF(B2844="Trialer",1,0))+IF(C2844="Customer",1,IF(C2844="Lost",1,0))=2,1,0)</f>
      </c>
      <c r="X2844" s="0" t="s">
        <v>153</v>
      </c>
      <c r="Y2844" s="0" t="s">
        <v>243</v>
      </c>
      <c r="AV2844" s="68"/>
      <c r="AW2844" s="68"/>
      <c r="AY2844" s="27"/>
      <c r="BD2844" s="68">
        <v>46054.1666666667</v>
      </c>
      <c r="BE2844" s="68">
        <v>46082.1666666667</v>
      </c>
      <c r="BF2844" s="0" t="b">
        <v>0</v>
      </c>
      <c r="BG2844" s="0" t="b">
        <v>0</v>
      </c>
      <c r="BH2844" s="0">
        <v>40</v>
      </c>
      <c r="BI2844" s="0">
        <v>40</v>
      </c>
      <c r="BJ2844" s="0" t="s">
        <v>135</v>
      </c>
    </row>
    <row r="2845">
      <c r="A2845" s="0" t="s">
        <v>3092</v>
      </c>
      <c r="B2845" s="0" t="s">
        <v>134</v>
      </c>
      <c r="C2845" s="0" t="s">
        <v>134</v>
      </c>
      <c r="D2845" s="0" t="s">
        <v>135</v>
      </c>
      <c r="E2845" s="0" t="s">
        <v>3</v>
      </c>
      <c r="F2845" s="0" t="s">
        <v>12</v>
      </c>
      <c r="G2845" s="0" t="s">
        <v>8</v>
      </c>
      <c r="H2845" s="0">
        <v>401</v>
      </c>
      <c r="I2845" s="0">
        <v>98</v>
      </c>
      <c r="J2845" s="0">
        <v>0</v>
      </c>
      <c r="K2845" s="0">
        <v>1</v>
      </c>
      <c r="L2845" s="0">
        <v>3</v>
      </c>
      <c r="M2845" s="0">
        <v>2</v>
      </c>
      <c r="N2845" s="0">
        <v>0</v>
      </c>
      <c r="O2845" s="0">
        <v>0</v>
      </c>
      <c r="P2845" s="0">
        <v>0</v>
      </c>
      <c r="R2845" s="0" t="b">
        <v>0</v>
      </c>
      <c r="S2845" s="0" t="b">
        <v>1</v>
      </c>
      <c r="T2845" s="68">
        <v>45652.5487268519</v>
      </c>
      <c r="U2845" s="68">
        <v>45666.2916666667</v>
      </c>
      <c r="V2845" s="68">
        <v>0</v>
      </c>
      <c r="W2845" s="0">
        <f>IF(IF(B2845="none",1,IF(B2845="Trialer",1,0))+IF(C2845="Customer",1,IF(C2845="Lost",1,0))=2,1,0)</f>
      </c>
      <c r="X2845" s="0" t="s">
        <v>142</v>
      </c>
      <c r="Y2845" s="0" t="s">
        <v>243</v>
      </c>
      <c r="AV2845" s="68"/>
      <c r="AW2845" s="68"/>
      <c r="AY2845" s="27"/>
      <c r="BD2845" s="68">
        <v>46054.1666666667</v>
      </c>
      <c r="BE2845" s="68">
        <v>46082.1666666667</v>
      </c>
      <c r="BF2845" s="0" t="b">
        <v>0</v>
      </c>
      <c r="BG2845" s="0" t="b">
        <v>0</v>
      </c>
      <c r="BH2845" s="0">
        <v>98</v>
      </c>
      <c r="BI2845" s="0">
        <v>98</v>
      </c>
      <c r="BJ2845" s="0" t="s">
        <v>135</v>
      </c>
    </row>
    <row r="2846">
      <c r="A2846" s="0" t="s">
        <v>3093</v>
      </c>
      <c r="B2846" s="0" t="s">
        <v>134</v>
      </c>
      <c r="C2846" s="0" t="s">
        <v>134</v>
      </c>
      <c r="D2846" s="0" t="s">
        <v>135</v>
      </c>
      <c r="E2846" s="0" t="s">
        <v>2</v>
      </c>
      <c r="F2846" s="0" t="s">
        <v>10</v>
      </c>
      <c r="G2846" s="0" t="s">
        <v>8</v>
      </c>
      <c r="H2846" s="0">
        <v>400</v>
      </c>
      <c r="I2846" s="0">
        <v>508</v>
      </c>
      <c r="J2846" s="0">
        <v>0</v>
      </c>
      <c r="K2846" s="0">
        <v>1</v>
      </c>
      <c r="L2846" s="0">
        <v>4</v>
      </c>
      <c r="M2846" s="0">
        <v>3</v>
      </c>
      <c r="N2846" s="0">
        <v>0</v>
      </c>
      <c r="O2846" s="0">
        <v>0</v>
      </c>
      <c r="P2846" s="0">
        <v>0</v>
      </c>
      <c r="Q2846" s="0" t="s">
        <v>357</v>
      </c>
      <c r="R2846" s="0" t="b">
        <v>0</v>
      </c>
      <c r="S2846" s="0" t="b">
        <v>1</v>
      </c>
      <c r="T2846" s="68">
        <v>45653.4858912037</v>
      </c>
      <c r="U2846" s="68">
        <v>45658.2916666667</v>
      </c>
      <c r="V2846" s="68">
        <v>0</v>
      </c>
      <c r="W2846" s="0">
        <f>IF(IF(B2846="none",1,IF(B2846="Trialer",1,0))+IF(C2846="Customer",1,IF(C2846="Lost",1,0))=2,1,0)</f>
      </c>
      <c r="X2846" s="0" t="s">
        <v>148</v>
      </c>
      <c r="Y2846" s="0" t="s">
        <v>499</v>
      </c>
      <c r="AV2846" s="68"/>
      <c r="AW2846" s="68"/>
      <c r="AY2846" s="27"/>
      <c r="BD2846" s="68">
        <v>46054.1666666667</v>
      </c>
      <c r="BE2846" s="68">
        <v>46082.1666666667</v>
      </c>
      <c r="BF2846" s="0" t="b">
        <v>0</v>
      </c>
      <c r="BG2846" s="0" t="b">
        <v>0</v>
      </c>
      <c r="BH2846" s="0">
        <v>219</v>
      </c>
      <c r="BI2846" s="0">
        <v>219</v>
      </c>
      <c r="BJ2846" s="0" t="s">
        <v>135</v>
      </c>
    </row>
    <row r="2847">
      <c r="A2847" s="0" t="s">
        <v>3094</v>
      </c>
      <c r="B2847" s="0" t="s">
        <v>134</v>
      </c>
      <c r="C2847" s="0" t="s">
        <v>134</v>
      </c>
      <c r="D2847" s="0" t="s">
        <v>135</v>
      </c>
      <c r="E2847" s="0" t="s">
        <v>2</v>
      </c>
      <c r="F2847" s="0" t="s">
        <v>10</v>
      </c>
      <c r="G2847" s="0" t="s">
        <v>8</v>
      </c>
      <c r="H2847" s="0">
        <v>400</v>
      </c>
      <c r="I2847" s="0">
        <v>618</v>
      </c>
      <c r="J2847" s="0">
        <v>0</v>
      </c>
      <c r="K2847" s="0">
        <v>1</v>
      </c>
      <c r="L2847" s="0">
        <v>4</v>
      </c>
      <c r="M2847" s="0">
        <v>20</v>
      </c>
      <c r="N2847" s="0">
        <v>0</v>
      </c>
      <c r="O2847" s="0">
        <v>0</v>
      </c>
      <c r="P2847" s="0">
        <v>0</v>
      </c>
      <c r="Q2847" s="0" t="s">
        <v>1914</v>
      </c>
      <c r="R2847" s="0" t="b">
        <v>0</v>
      </c>
      <c r="S2847" s="0" t="b">
        <v>1</v>
      </c>
      <c r="T2847" s="68">
        <v>45653.6234606481</v>
      </c>
      <c r="U2847" s="68">
        <v>45653.2916666667</v>
      </c>
      <c r="V2847" s="68">
        <v>0</v>
      </c>
      <c r="W2847" s="0">
        <f>IF(IF(B2847="none",1,IF(B2847="Trialer",1,0))+IF(C2847="Customer",1,IF(C2847="Lost",1,0))=2,1,0)</f>
      </c>
      <c r="X2847" s="0" t="s">
        <v>148</v>
      </c>
      <c r="Y2847" s="0" t="s">
        <v>499</v>
      </c>
      <c r="AV2847" s="68"/>
      <c r="AW2847" s="68"/>
      <c r="AY2847" s="27"/>
      <c r="BD2847" s="68">
        <v>46054.1666666667</v>
      </c>
      <c r="BE2847" s="68">
        <v>46082.1666666667</v>
      </c>
      <c r="BF2847" s="0" t="b">
        <v>0</v>
      </c>
      <c r="BG2847" s="0" t="b">
        <v>0</v>
      </c>
      <c r="BH2847" s="0">
        <v>618</v>
      </c>
      <c r="BI2847" s="0">
        <v>618</v>
      </c>
      <c r="BJ2847" s="0" t="s">
        <v>135</v>
      </c>
    </row>
    <row r="2848">
      <c r="A2848" s="0" t="s">
        <v>3095</v>
      </c>
      <c r="B2848" s="0" t="s">
        <v>134</v>
      </c>
      <c r="C2848" s="0" t="s">
        <v>134</v>
      </c>
      <c r="D2848" s="0" t="s">
        <v>135</v>
      </c>
      <c r="E2848" s="0" t="s">
        <v>3</v>
      </c>
      <c r="F2848" s="0" t="s">
        <v>12</v>
      </c>
      <c r="G2848" s="0" t="s">
        <v>8</v>
      </c>
      <c r="H2848" s="0">
        <v>399</v>
      </c>
      <c r="I2848" s="0">
        <v>249</v>
      </c>
      <c r="J2848" s="0">
        <v>0</v>
      </c>
      <c r="K2848" s="0">
        <v>1</v>
      </c>
      <c r="L2848" s="0">
        <v>4</v>
      </c>
      <c r="M2848" s="0">
        <v>8</v>
      </c>
      <c r="N2848" s="0">
        <v>0</v>
      </c>
      <c r="O2848" s="0">
        <v>0</v>
      </c>
      <c r="P2848" s="0">
        <v>0</v>
      </c>
      <c r="R2848" s="0" t="b">
        <v>0</v>
      </c>
      <c r="S2848" s="0" t="b">
        <v>1</v>
      </c>
      <c r="T2848" s="68">
        <v>45654.5590856482</v>
      </c>
      <c r="U2848" s="68">
        <v>45671.2916666667</v>
      </c>
      <c r="V2848" s="68">
        <v>0</v>
      </c>
      <c r="W2848" s="0">
        <f>IF(IF(B2848="none",1,IF(B2848="Trialer",1,0))+IF(C2848="Customer",1,IF(C2848="Lost",1,0))=2,1,0)</f>
      </c>
      <c r="X2848" s="0" t="s">
        <v>148</v>
      </c>
      <c r="Y2848" s="0" t="s">
        <v>243</v>
      </c>
      <c r="AV2848" s="68"/>
      <c r="AW2848" s="68"/>
      <c r="AY2848" s="27"/>
      <c r="BD2848" s="68">
        <v>46054.1666666667</v>
      </c>
      <c r="BE2848" s="68">
        <v>46082.1666666667</v>
      </c>
      <c r="BF2848" s="0" t="b">
        <v>0</v>
      </c>
      <c r="BG2848" s="0" t="b">
        <v>0</v>
      </c>
      <c r="BH2848" s="0">
        <v>249</v>
      </c>
      <c r="BI2848" s="0">
        <v>249</v>
      </c>
      <c r="BJ2848" s="0" t="s">
        <v>135</v>
      </c>
    </row>
    <row r="2849">
      <c r="A2849" s="0" t="s">
        <v>3096</v>
      </c>
      <c r="B2849" s="0" t="s">
        <v>134</v>
      </c>
      <c r="C2849" s="0" t="s">
        <v>134</v>
      </c>
      <c r="D2849" s="0" t="s">
        <v>135</v>
      </c>
      <c r="E2849" s="0" t="s">
        <v>3</v>
      </c>
      <c r="F2849" s="0" t="s">
        <v>12</v>
      </c>
      <c r="G2849" s="0" t="s">
        <v>8</v>
      </c>
      <c r="H2849" s="0">
        <v>398</v>
      </c>
      <c r="I2849" s="0">
        <v>0</v>
      </c>
      <c r="J2849" s="0">
        <v>0</v>
      </c>
      <c r="K2849" s="0">
        <v>1</v>
      </c>
      <c r="L2849" s="0">
        <v>4</v>
      </c>
      <c r="M2849" s="0">
        <v>1</v>
      </c>
      <c r="N2849" s="0">
        <v>0</v>
      </c>
      <c r="O2849" s="0">
        <v>0</v>
      </c>
      <c r="P2849" s="0">
        <v>0</v>
      </c>
      <c r="R2849" s="0" t="b">
        <v>0</v>
      </c>
      <c r="S2849" s="0" t="b">
        <v>1</v>
      </c>
      <c r="T2849" s="68">
        <v>45655.8761458333</v>
      </c>
      <c r="U2849" s="68">
        <v>45669.2916666667</v>
      </c>
      <c r="V2849" s="68">
        <v>0</v>
      </c>
      <c r="W2849" s="0">
        <f>IF(IF(B2849="none",1,IF(B2849="Trialer",1,0))+IF(C2849="Customer",1,IF(C2849="Lost",1,0))=2,1,0)</f>
      </c>
      <c r="X2849" s="0" t="s">
        <v>148</v>
      </c>
      <c r="Y2849" s="0" t="s">
        <v>243</v>
      </c>
      <c r="AV2849" s="68"/>
      <c r="AW2849" s="68"/>
      <c r="AY2849" s="27"/>
      <c r="BD2849" s="68">
        <v>46054.1666666667</v>
      </c>
      <c r="BE2849" s="68">
        <v>46082.1666666667</v>
      </c>
      <c r="BF2849" s="0" t="b">
        <v>0</v>
      </c>
      <c r="BG2849" s="0" t="b">
        <v>0</v>
      </c>
      <c r="BH2849" s="0">
        <v>0</v>
      </c>
      <c r="BI2849" s="0">
        <v>0</v>
      </c>
      <c r="BJ2849" s="0" t="s">
        <v>135</v>
      </c>
    </row>
    <row r="2850">
      <c r="A2850" s="0" t="s">
        <v>3097</v>
      </c>
      <c r="B2850" s="0" t="s">
        <v>134</v>
      </c>
      <c r="C2850" s="0" t="s">
        <v>134</v>
      </c>
      <c r="D2850" s="0" t="s">
        <v>135</v>
      </c>
      <c r="E2850" s="0" t="s">
        <v>3</v>
      </c>
      <c r="F2850" s="0" t="s">
        <v>12</v>
      </c>
      <c r="G2850" s="0" t="s">
        <v>8</v>
      </c>
      <c r="H2850" s="0">
        <v>396</v>
      </c>
      <c r="I2850" s="0">
        <v>40</v>
      </c>
      <c r="J2850" s="0">
        <v>0</v>
      </c>
      <c r="K2850" s="0">
        <v>1</v>
      </c>
      <c r="L2850" s="0">
        <v>2</v>
      </c>
      <c r="M2850" s="0">
        <v>1</v>
      </c>
      <c r="N2850" s="0">
        <v>0</v>
      </c>
      <c r="O2850" s="0">
        <v>0</v>
      </c>
      <c r="P2850" s="0">
        <v>0</v>
      </c>
      <c r="R2850" s="0" t="b">
        <v>0</v>
      </c>
      <c r="S2850" s="0" t="b">
        <v>1</v>
      </c>
      <c r="T2850" s="68">
        <v>45657.8688888889</v>
      </c>
      <c r="U2850" s="68">
        <v>45674.2916666667</v>
      </c>
      <c r="V2850" s="68">
        <v>0</v>
      </c>
      <c r="W2850" s="0">
        <f>IF(IF(B2850="none",1,IF(B2850="Trialer",1,0))+IF(C2850="Customer",1,IF(C2850="Lost",1,0))=2,1,0)</f>
      </c>
      <c r="X2850" s="0" t="s">
        <v>142</v>
      </c>
      <c r="Y2850" s="0" t="s">
        <v>243</v>
      </c>
      <c r="AV2850" s="68"/>
      <c r="AW2850" s="68"/>
      <c r="AY2850" s="27"/>
      <c r="BD2850" s="68">
        <v>46054.1666666667</v>
      </c>
      <c r="BE2850" s="68">
        <v>46082.1666666667</v>
      </c>
      <c r="BF2850" s="0" t="b">
        <v>0</v>
      </c>
      <c r="BG2850" s="0" t="b">
        <v>0</v>
      </c>
      <c r="BH2850" s="0">
        <v>40</v>
      </c>
      <c r="BI2850" s="0">
        <v>40</v>
      </c>
      <c r="BJ2850" s="0" t="s">
        <v>135</v>
      </c>
    </row>
    <row r="2851">
      <c r="A2851" s="0" t="s">
        <v>3098</v>
      </c>
      <c r="B2851" s="0" t="s">
        <v>134</v>
      </c>
      <c r="C2851" s="0" t="s">
        <v>134</v>
      </c>
      <c r="D2851" s="0" t="s">
        <v>230</v>
      </c>
      <c r="E2851" s="0" t="s">
        <v>2</v>
      </c>
      <c r="F2851" s="0" t="s">
        <v>12</v>
      </c>
      <c r="G2851" s="0" t="s">
        <v>8</v>
      </c>
      <c r="H2851" s="0">
        <v>394</v>
      </c>
      <c r="I2851" s="0">
        <v>511.3</v>
      </c>
      <c r="J2851" s="0">
        <v>0</v>
      </c>
      <c r="K2851" s="0">
        <v>1</v>
      </c>
      <c r="L2851" s="0">
        <v>4</v>
      </c>
      <c r="M2851" s="0">
        <v>4</v>
      </c>
      <c r="N2851" s="0">
        <v>0</v>
      </c>
      <c r="O2851" s="0">
        <v>0</v>
      </c>
      <c r="P2851" s="0">
        <v>2319.3</v>
      </c>
      <c r="R2851" s="0" t="b">
        <v>0</v>
      </c>
      <c r="S2851" s="0" t="b">
        <v>1</v>
      </c>
      <c r="T2851" s="68">
        <v>45659.4961226852</v>
      </c>
      <c r="U2851" s="68">
        <v>45671.2916666667</v>
      </c>
      <c r="V2851" s="68">
        <v>0</v>
      </c>
      <c r="W2851" s="0">
        <f>IF(IF(B2851="none",1,IF(B2851="Trialer",1,0))+IF(C2851="Customer",1,IF(C2851="Lost",1,0))=2,1,0)</f>
      </c>
      <c r="X2851" s="0" t="s">
        <v>136</v>
      </c>
      <c r="Y2851" s="0" t="s">
        <v>499</v>
      </c>
      <c r="AV2851" s="68"/>
      <c r="AW2851" s="68"/>
      <c r="AY2851" s="27"/>
      <c r="BD2851" s="68">
        <v>46054.1666666667</v>
      </c>
      <c r="BE2851" s="68">
        <v>46082.1666666667</v>
      </c>
      <c r="BF2851" s="0" t="b">
        <v>0</v>
      </c>
      <c r="BG2851" s="0" t="b">
        <v>0</v>
      </c>
      <c r="BH2851" s="0">
        <v>232</v>
      </c>
      <c r="BI2851" s="0">
        <v>232</v>
      </c>
      <c r="BJ2851" s="0" t="s">
        <v>230</v>
      </c>
    </row>
    <row r="2852">
      <c r="A2852" s="0" t="s">
        <v>3099</v>
      </c>
      <c r="B2852" s="0" t="s">
        <v>134</v>
      </c>
      <c r="C2852" s="0" t="s">
        <v>134</v>
      </c>
      <c r="D2852" s="0" t="s">
        <v>135</v>
      </c>
      <c r="E2852" s="0" t="s">
        <v>3</v>
      </c>
      <c r="F2852" s="0" t="s">
        <v>12</v>
      </c>
      <c r="G2852" s="0" t="s">
        <v>8</v>
      </c>
      <c r="H2852" s="0">
        <v>394</v>
      </c>
      <c r="I2852" s="0">
        <v>104</v>
      </c>
      <c r="J2852" s="0">
        <v>0</v>
      </c>
      <c r="K2852" s="0">
        <v>1</v>
      </c>
      <c r="L2852" s="0">
        <v>3</v>
      </c>
      <c r="M2852" s="0">
        <v>2</v>
      </c>
      <c r="N2852" s="0">
        <v>0</v>
      </c>
      <c r="O2852" s="0">
        <v>0</v>
      </c>
      <c r="P2852" s="0">
        <v>0</v>
      </c>
      <c r="R2852" s="0" t="b">
        <v>0</v>
      </c>
      <c r="S2852" s="0" t="b">
        <v>1</v>
      </c>
      <c r="T2852" s="68">
        <v>45659.5378819444</v>
      </c>
      <c r="U2852" s="68">
        <v>45673.2916666667</v>
      </c>
      <c r="V2852" s="68">
        <v>0</v>
      </c>
      <c r="W2852" s="0">
        <f>IF(IF(B2852="none",1,IF(B2852="Trialer",1,0))+IF(C2852="Customer",1,IF(C2852="Lost",1,0))=2,1,0)</f>
      </c>
      <c r="X2852" s="0" t="s">
        <v>153</v>
      </c>
      <c r="Y2852" s="0" t="s">
        <v>243</v>
      </c>
      <c r="AV2852" s="68"/>
      <c r="AW2852" s="68"/>
      <c r="AY2852" s="27"/>
      <c r="BD2852" s="68">
        <v>46054.1666666667</v>
      </c>
      <c r="BE2852" s="68">
        <v>46082.1666666667</v>
      </c>
      <c r="BF2852" s="0" t="b">
        <v>0</v>
      </c>
      <c r="BG2852" s="0" t="b">
        <v>0</v>
      </c>
      <c r="BH2852" s="0">
        <v>104</v>
      </c>
      <c r="BI2852" s="0">
        <v>104</v>
      </c>
      <c r="BJ2852" s="0" t="s">
        <v>135</v>
      </c>
    </row>
    <row r="2853">
      <c r="A2853" s="0" t="s">
        <v>3100</v>
      </c>
      <c r="B2853" s="0" t="s">
        <v>134</v>
      </c>
      <c r="C2853" s="0" t="s">
        <v>134</v>
      </c>
      <c r="D2853" s="0" t="s">
        <v>230</v>
      </c>
      <c r="E2853" s="0" t="s">
        <v>2</v>
      </c>
      <c r="F2853" s="0" t="s">
        <v>12</v>
      </c>
      <c r="G2853" s="0" t="s">
        <v>8</v>
      </c>
      <c r="H2853" s="0">
        <v>394</v>
      </c>
      <c r="I2853" s="0">
        <v>48</v>
      </c>
      <c r="J2853" s="0">
        <v>0</v>
      </c>
      <c r="K2853" s="0">
        <v>1</v>
      </c>
      <c r="L2853" s="0">
        <v>4</v>
      </c>
      <c r="M2853" s="0">
        <v>1</v>
      </c>
      <c r="N2853" s="0">
        <v>0</v>
      </c>
      <c r="O2853" s="0">
        <v>0</v>
      </c>
      <c r="P2853" s="0">
        <v>-48</v>
      </c>
      <c r="R2853" s="0" t="b">
        <v>0</v>
      </c>
      <c r="S2853" s="0" t="b">
        <v>1</v>
      </c>
      <c r="T2853" s="68">
        <v>45659.6113310185</v>
      </c>
      <c r="U2853" s="68">
        <v>45673.2916666667</v>
      </c>
      <c r="V2853" s="68">
        <v>0</v>
      </c>
      <c r="W2853" s="0">
        <f>IF(IF(B2853="none",1,IF(B2853="Trialer",1,0))+IF(C2853="Customer",1,IF(C2853="Lost",1,0))=2,1,0)</f>
      </c>
      <c r="X2853" s="0" t="s">
        <v>142</v>
      </c>
      <c r="Y2853" s="0" t="s">
        <v>499</v>
      </c>
      <c r="AV2853" s="68"/>
      <c r="AW2853" s="68"/>
      <c r="AY2853" s="27"/>
      <c r="BD2853" s="68">
        <v>46054.1666666667</v>
      </c>
      <c r="BE2853" s="68">
        <v>46082.1666666667</v>
      </c>
      <c r="BF2853" s="0" t="b">
        <v>0</v>
      </c>
      <c r="BG2853" s="0" t="b">
        <v>0</v>
      </c>
      <c r="BH2853" s="0">
        <v>64</v>
      </c>
      <c r="BI2853" s="0">
        <v>64</v>
      </c>
      <c r="BJ2853" s="0" t="s">
        <v>230</v>
      </c>
    </row>
    <row r="2854">
      <c r="A2854" s="0" t="s">
        <v>3101</v>
      </c>
      <c r="B2854" s="0" t="s">
        <v>134</v>
      </c>
      <c r="C2854" s="0" t="s">
        <v>134</v>
      </c>
      <c r="D2854" s="0" t="s">
        <v>135</v>
      </c>
      <c r="E2854" s="0" t="s">
        <v>3</v>
      </c>
      <c r="F2854" s="0" t="s">
        <v>12</v>
      </c>
      <c r="G2854" s="0" t="s">
        <v>8</v>
      </c>
      <c r="H2854" s="0">
        <v>393</v>
      </c>
      <c r="I2854" s="0">
        <v>124</v>
      </c>
      <c r="J2854" s="0">
        <v>0</v>
      </c>
      <c r="K2854" s="0">
        <v>1</v>
      </c>
      <c r="L2854" s="0">
        <v>2</v>
      </c>
      <c r="M2854" s="0">
        <v>4</v>
      </c>
      <c r="N2854" s="0">
        <v>0</v>
      </c>
      <c r="O2854" s="0">
        <v>0</v>
      </c>
      <c r="P2854" s="0">
        <v>0</v>
      </c>
      <c r="R2854" s="0" t="b">
        <v>0</v>
      </c>
      <c r="S2854" s="0" t="b">
        <v>0</v>
      </c>
      <c r="T2854" s="68">
        <v>45660.6621296296</v>
      </c>
      <c r="U2854" s="68">
        <v>45664.2916666667</v>
      </c>
      <c r="V2854" s="68">
        <v>46092.4757175926</v>
      </c>
      <c r="W2854" s="0">
        <f>IF(IF(B2854="none",1,IF(B2854="Trialer",1,0))+IF(C2854="Customer",1,IF(C2854="Lost",1,0))=2,1,0)</f>
      </c>
      <c r="X2854" s="0" t="s">
        <v>145</v>
      </c>
      <c r="Y2854" s="0" t="s">
        <v>243</v>
      </c>
      <c r="AV2854" s="68"/>
      <c r="AW2854" s="68"/>
      <c r="AY2854" s="27"/>
      <c r="BD2854" s="68">
        <v>46054.1666666667</v>
      </c>
      <c r="BE2854" s="68">
        <v>46082.1666666667</v>
      </c>
      <c r="BF2854" s="0" t="b">
        <v>0</v>
      </c>
      <c r="BG2854" s="0" t="b">
        <v>0</v>
      </c>
      <c r="BH2854" s="0">
        <v>124</v>
      </c>
      <c r="BI2854" s="0">
        <v>124</v>
      </c>
      <c r="BJ2854" s="0" t="s">
        <v>135</v>
      </c>
    </row>
    <row r="2855">
      <c r="A2855" s="0" t="s">
        <v>3102</v>
      </c>
      <c r="B2855" s="0" t="s">
        <v>134</v>
      </c>
      <c r="C2855" s="0" t="s">
        <v>134</v>
      </c>
      <c r="D2855" s="0" t="s">
        <v>135</v>
      </c>
      <c r="E2855" s="0" t="s">
        <v>3</v>
      </c>
      <c r="F2855" s="0" t="s">
        <v>12</v>
      </c>
      <c r="G2855" s="0" t="s">
        <v>8</v>
      </c>
      <c r="H2855" s="0">
        <v>393</v>
      </c>
      <c r="I2855" s="0">
        <v>122</v>
      </c>
      <c r="J2855" s="0">
        <v>0</v>
      </c>
      <c r="K2855" s="0">
        <v>1</v>
      </c>
      <c r="L2855" s="0">
        <v>4</v>
      </c>
      <c r="M2855" s="0">
        <v>2</v>
      </c>
      <c r="N2855" s="0">
        <v>0</v>
      </c>
      <c r="O2855" s="0">
        <v>0</v>
      </c>
      <c r="P2855" s="0">
        <v>0</v>
      </c>
      <c r="R2855" s="0" t="b">
        <v>0</v>
      </c>
      <c r="S2855" s="0" t="b">
        <v>1</v>
      </c>
      <c r="T2855" s="68">
        <v>45660.8301851852</v>
      </c>
      <c r="U2855" s="68">
        <v>45674.2916666667</v>
      </c>
      <c r="V2855" s="68">
        <v>0</v>
      </c>
      <c r="W2855" s="0">
        <f>IF(IF(B2855="none",1,IF(B2855="Trialer",1,0))+IF(C2855="Customer",1,IF(C2855="Lost",1,0))=2,1,0)</f>
      </c>
      <c r="X2855" s="0" t="s">
        <v>153</v>
      </c>
      <c r="Y2855" s="0" t="s">
        <v>243</v>
      </c>
      <c r="AV2855" s="68"/>
      <c r="AW2855" s="68"/>
      <c r="AY2855" s="27"/>
      <c r="BD2855" s="68">
        <v>46054.1666666667</v>
      </c>
      <c r="BE2855" s="68">
        <v>46082.1666666667</v>
      </c>
      <c r="BF2855" s="0" t="b">
        <v>0</v>
      </c>
      <c r="BG2855" s="0" t="b">
        <v>0</v>
      </c>
      <c r="BH2855" s="0">
        <v>122</v>
      </c>
      <c r="BI2855" s="0">
        <v>122</v>
      </c>
      <c r="BJ2855" s="0" t="s">
        <v>135</v>
      </c>
    </row>
    <row r="2856">
      <c r="A2856" s="0" t="s">
        <v>3103</v>
      </c>
      <c r="B2856" s="0" t="s">
        <v>134</v>
      </c>
      <c r="C2856" s="0" t="s">
        <v>134</v>
      </c>
      <c r="D2856" s="0" t="s">
        <v>230</v>
      </c>
      <c r="E2856" s="0" t="s">
        <v>2</v>
      </c>
      <c r="F2856" s="0" t="s">
        <v>12</v>
      </c>
      <c r="G2856" s="0" t="s">
        <v>8</v>
      </c>
      <c r="H2856" s="0">
        <v>390</v>
      </c>
      <c r="I2856" s="0">
        <v>108</v>
      </c>
      <c r="J2856" s="0">
        <v>0</v>
      </c>
      <c r="K2856" s="0">
        <v>1</v>
      </c>
      <c r="L2856" s="0">
        <v>4</v>
      </c>
      <c r="M2856" s="0">
        <v>2</v>
      </c>
      <c r="N2856" s="0">
        <v>0</v>
      </c>
      <c r="O2856" s="0">
        <v>0</v>
      </c>
      <c r="P2856" s="0">
        <v>-108</v>
      </c>
      <c r="R2856" s="0" t="b">
        <v>0</v>
      </c>
      <c r="S2856" s="0" t="b">
        <v>1</v>
      </c>
      <c r="T2856" s="68">
        <v>45663.4181597222</v>
      </c>
      <c r="U2856" s="68">
        <v>45677.2916666667</v>
      </c>
      <c r="V2856" s="68">
        <v>0</v>
      </c>
      <c r="W2856" s="0">
        <f>IF(IF(B2856="none",1,IF(B2856="Trialer",1,0))+IF(C2856="Customer",1,IF(C2856="Lost",1,0))=2,1,0)</f>
      </c>
      <c r="X2856" s="0" t="s">
        <v>153</v>
      </c>
      <c r="Y2856" s="0" t="s">
        <v>499</v>
      </c>
      <c r="AV2856" s="68"/>
      <c r="AW2856" s="68"/>
      <c r="AY2856" s="27"/>
      <c r="BD2856" s="68">
        <v>46054.1666666667</v>
      </c>
      <c r="BE2856" s="68">
        <v>46082.1666666667</v>
      </c>
      <c r="BF2856" s="0" t="b">
        <v>0</v>
      </c>
      <c r="BG2856" s="0" t="b">
        <v>0</v>
      </c>
      <c r="BH2856" s="0">
        <v>122</v>
      </c>
      <c r="BI2856" s="0">
        <v>122</v>
      </c>
      <c r="BJ2856" s="0" t="s">
        <v>230</v>
      </c>
    </row>
    <row r="2857">
      <c r="A2857" s="0" t="s">
        <v>3104</v>
      </c>
      <c r="B2857" s="0" t="s">
        <v>134</v>
      </c>
      <c r="C2857" s="0" t="s">
        <v>134</v>
      </c>
      <c r="D2857" s="0" t="s">
        <v>135</v>
      </c>
      <c r="E2857" s="0" t="s">
        <v>2</v>
      </c>
      <c r="F2857" s="0" t="s">
        <v>12</v>
      </c>
      <c r="G2857" s="0" t="s">
        <v>8</v>
      </c>
      <c r="H2857" s="0">
        <v>390</v>
      </c>
      <c r="I2857" s="0">
        <v>281</v>
      </c>
      <c r="J2857" s="0">
        <v>0</v>
      </c>
      <c r="K2857" s="0">
        <v>1</v>
      </c>
      <c r="L2857" s="0">
        <v>4</v>
      </c>
      <c r="M2857" s="0">
        <v>5</v>
      </c>
      <c r="N2857" s="0">
        <v>0</v>
      </c>
      <c r="O2857" s="0">
        <v>0</v>
      </c>
      <c r="P2857" s="0">
        <v>0</v>
      </c>
      <c r="R2857" s="0" t="b">
        <v>0</v>
      </c>
      <c r="S2857" s="0" t="b">
        <v>1</v>
      </c>
      <c r="T2857" s="68">
        <v>45663.671087963</v>
      </c>
      <c r="U2857" s="68">
        <v>45677.2916666667</v>
      </c>
      <c r="V2857" s="68">
        <v>0</v>
      </c>
      <c r="W2857" s="0">
        <f>IF(IF(B2857="none",1,IF(B2857="Trialer",1,0))+IF(C2857="Customer",1,IF(C2857="Lost",1,0))=2,1,0)</f>
      </c>
      <c r="X2857" s="0" t="s">
        <v>136</v>
      </c>
      <c r="Y2857" s="0" t="s">
        <v>499</v>
      </c>
      <c r="AV2857" s="68"/>
      <c r="AW2857" s="68"/>
      <c r="AY2857" s="27"/>
      <c r="BD2857" s="68">
        <v>46054.1666666667</v>
      </c>
      <c r="BE2857" s="68">
        <v>46082.1666666667</v>
      </c>
      <c r="BF2857" s="0" t="b">
        <v>0</v>
      </c>
      <c r="BG2857" s="0" t="b">
        <v>0</v>
      </c>
      <c r="BH2857" s="0">
        <v>281</v>
      </c>
      <c r="BI2857" s="0">
        <v>281</v>
      </c>
      <c r="BJ2857" s="0" t="s">
        <v>135</v>
      </c>
    </row>
    <row r="2858">
      <c r="A2858" s="0" t="s">
        <v>3105</v>
      </c>
      <c r="B2858" s="0" t="s">
        <v>134</v>
      </c>
      <c r="C2858" s="0" t="s">
        <v>134</v>
      </c>
      <c r="D2858" s="0" t="s">
        <v>230</v>
      </c>
      <c r="E2858" s="0" t="s">
        <v>3</v>
      </c>
      <c r="F2858" s="0" t="s">
        <v>12</v>
      </c>
      <c r="G2858" s="0" t="s">
        <v>8</v>
      </c>
      <c r="H2858" s="0">
        <v>390</v>
      </c>
      <c r="I2858" s="0">
        <v>485.1</v>
      </c>
      <c r="J2858" s="0">
        <v>0</v>
      </c>
      <c r="K2858" s="0">
        <v>1</v>
      </c>
      <c r="L2858" s="0">
        <v>5</v>
      </c>
      <c r="M2858" s="0">
        <v>8</v>
      </c>
      <c r="N2858" s="0">
        <v>0</v>
      </c>
      <c r="O2858" s="0">
        <v>0</v>
      </c>
      <c r="P2858" s="0">
        <v>-485.1</v>
      </c>
      <c r="R2858" s="0" t="b">
        <v>0</v>
      </c>
      <c r="S2858" s="0" t="b">
        <v>1</v>
      </c>
      <c r="T2858" s="68">
        <v>45663.6854282407</v>
      </c>
      <c r="U2858" s="68">
        <v>45678.2916666667</v>
      </c>
      <c r="V2858" s="68">
        <v>0</v>
      </c>
      <c r="W2858" s="0">
        <f>IF(IF(B2858="none",1,IF(B2858="Trialer",1,0))+IF(C2858="Customer",1,IF(C2858="Lost",1,0))=2,1,0)</f>
      </c>
      <c r="X2858" s="0" t="s">
        <v>148</v>
      </c>
      <c r="Y2858" s="0" t="s">
        <v>243</v>
      </c>
      <c r="AV2858" s="68"/>
      <c r="AW2858" s="68"/>
      <c r="AY2858" s="27"/>
      <c r="BD2858" s="68">
        <v>46054.1666666667</v>
      </c>
      <c r="BE2858" s="68">
        <v>46082.1666666667</v>
      </c>
      <c r="BF2858" s="0" t="b">
        <v>0</v>
      </c>
      <c r="BG2858" s="0" t="b">
        <v>0</v>
      </c>
      <c r="BH2858" s="0">
        <v>539</v>
      </c>
      <c r="BI2858" s="0">
        <v>539</v>
      </c>
      <c r="BJ2858" s="0" t="s">
        <v>230</v>
      </c>
    </row>
    <row r="2859">
      <c r="A2859" s="0" t="s">
        <v>3106</v>
      </c>
      <c r="B2859" s="0" t="s">
        <v>134</v>
      </c>
      <c r="C2859" s="0" t="s">
        <v>134</v>
      </c>
      <c r="D2859" s="0" t="s">
        <v>135</v>
      </c>
      <c r="E2859" s="0" t="s">
        <v>3</v>
      </c>
      <c r="F2859" s="0" t="s">
        <v>12</v>
      </c>
      <c r="G2859" s="0" t="s">
        <v>8</v>
      </c>
      <c r="H2859" s="0">
        <v>389</v>
      </c>
      <c r="I2859" s="0">
        <v>74</v>
      </c>
      <c r="J2859" s="0">
        <v>0</v>
      </c>
      <c r="K2859" s="0">
        <v>1</v>
      </c>
      <c r="L2859" s="0">
        <v>2</v>
      </c>
      <c r="M2859" s="0">
        <v>2</v>
      </c>
      <c r="N2859" s="0">
        <v>0</v>
      </c>
      <c r="O2859" s="0">
        <v>0</v>
      </c>
      <c r="P2859" s="0">
        <v>0</v>
      </c>
      <c r="R2859" s="0" t="b">
        <v>0</v>
      </c>
      <c r="S2859" s="0" t="b">
        <v>1</v>
      </c>
      <c r="T2859" s="68">
        <v>45664.4255324074</v>
      </c>
      <c r="U2859" s="68">
        <v>45678.2916666667</v>
      </c>
      <c r="V2859" s="68">
        <v>0</v>
      </c>
      <c r="W2859" s="0">
        <f>IF(IF(B2859="none",1,IF(B2859="Trialer",1,0))+IF(C2859="Customer",1,IF(C2859="Lost",1,0))=2,1,0)</f>
      </c>
      <c r="X2859" s="0" t="s">
        <v>142</v>
      </c>
      <c r="Y2859" s="0" t="s">
        <v>243</v>
      </c>
      <c r="AV2859" s="68"/>
      <c r="AW2859" s="68"/>
      <c r="AY2859" s="27"/>
      <c r="BD2859" s="68">
        <v>46054.1666666667</v>
      </c>
      <c r="BE2859" s="68">
        <v>46082.1666666667</v>
      </c>
      <c r="BF2859" s="0" t="b">
        <v>0</v>
      </c>
      <c r="BG2859" s="0" t="b">
        <v>0</v>
      </c>
      <c r="BH2859" s="0">
        <v>74</v>
      </c>
      <c r="BI2859" s="0">
        <v>74</v>
      </c>
      <c r="BJ2859" s="0" t="s">
        <v>135</v>
      </c>
    </row>
    <row r="2860">
      <c r="A2860" s="0" t="s">
        <v>3107</v>
      </c>
      <c r="B2860" s="0" t="s">
        <v>134</v>
      </c>
      <c r="C2860" s="0" t="s">
        <v>134</v>
      </c>
      <c r="D2860" s="0" t="s">
        <v>135</v>
      </c>
      <c r="E2860" s="0" t="s">
        <v>3</v>
      </c>
      <c r="F2860" s="0" t="s">
        <v>12</v>
      </c>
      <c r="G2860" s="0" t="s">
        <v>8</v>
      </c>
      <c r="H2860" s="0">
        <v>389</v>
      </c>
      <c r="I2860" s="0">
        <v>98</v>
      </c>
      <c r="J2860" s="0">
        <v>0</v>
      </c>
      <c r="K2860" s="0">
        <v>1</v>
      </c>
      <c r="L2860" s="0">
        <v>3</v>
      </c>
      <c r="M2860" s="0">
        <v>2</v>
      </c>
      <c r="N2860" s="0">
        <v>0</v>
      </c>
      <c r="O2860" s="0">
        <v>0</v>
      </c>
      <c r="P2860" s="0">
        <v>0</v>
      </c>
      <c r="R2860" s="0" t="b">
        <v>0</v>
      </c>
      <c r="S2860" s="0" t="b">
        <v>1</v>
      </c>
      <c r="T2860" s="68">
        <v>45664.6696064815</v>
      </c>
      <c r="U2860" s="68">
        <v>45678.2916666667</v>
      </c>
      <c r="V2860" s="68">
        <v>0</v>
      </c>
      <c r="W2860" s="0">
        <f>IF(IF(B2860="none",1,IF(B2860="Trialer",1,0))+IF(C2860="Customer",1,IF(C2860="Lost",1,0))=2,1,0)</f>
      </c>
      <c r="X2860" s="0" t="s">
        <v>153</v>
      </c>
      <c r="Y2860" s="0" t="s">
        <v>243</v>
      </c>
      <c r="AV2860" s="68"/>
      <c r="AW2860" s="68"/>
      <c r="AY2860" s="27"/>
      <c r="BD2860" s="68">
        <v>46054.1666666667</v>
      </c>
      <c r="BE2860" s="68">
        <v>46082.1666666667</v>
      </c>
      <c r="BF2860" s="0" t="b">
        <v>0</v>
      </c>
      <c r="BG2860" s="0" t="b">
        <v>0</v>
      </c>
      <c r="BH2860" s="0">
        <v>98</v>
      </c>
      <c r="BI2860" s="0">
        <v>98</v>
      </c>
      <c r="BJ2860" s="0" t="s">
        <v>135</v>
      </c>
    </row>
    <row r="2861">
      <c r="A2861" s="0" t="s">
        <v>3108</v>
      </c>
      <c r="B2861" s="0" t="s">
        <v>134</v>
      </c>
      <c r="C2861" s="0" t="s">
        <v>134</v>
      </c>
      <c r="D2861" s="0" t="s">
        <v>230</v>
      </c>
      <c r="E2861" s="0" t="s">
        <v>2</v>
      </c>
      <c r="F2861" s="0" t="s">
        <v>12</v>
      </c>
      <c r="G2861" s="0" t="s">
        <v>8</v>
      </c>
      <c r="H2861" s="0">
        <v>389</v>
      </c>
      <c r="I2861" s="0">
        <v>844.3</v>
      </c>
      <c r="J2861" s="0">
        <v>0</v>
      </c>
      <c r="K2861" s="0">
        <v>1</v>
      </c>
      <c r="L2861" s="0">
        <v>3</v>
      </c>
      <c r="M2861" s="0">
        <v>13</v>
      </c>
      <c r="N2861" s="0">
        <v>0</v>
      </c>
      <c r="O2861" s="0">
        <v>0</v>
      </c>
      <c r="P2861" s="0">
        <v>-519.3</v>
      </c>
      <c r="R2861" s="0" t="b">
        <v>0</v>
      </c>
      <c r="S2861" s="0" t="b">
        <v>1</v>
      </c>
      <c r="T2861" s="68">
        <v>45664.6791666667</v>
      </c>
      <c r="U2861" s="68">
        <v>45678.2916666667</v>
      </c>
      <c r="V2861" s="68">
        <v>0</v>
      </c>
      <c r="W2861" s="0">
        <f>IF(IF(B2861="none",1,IF(B2861="Trialer",1,0))+IF(C2861="Customer",1,IF(C2861="Lost",1,0))=2,1,0)</f>
      </c>
      <c r="X2861" s="0" t="s">
        <v>148</v>
      </c>
      <c r="Y2861" s="0" t="s">
        <v>499</v>
      </c>
      <c r="AV2861" s="68"/>
      <c r="AW2861" s="68"/>
      <c r="AY2861" s="27"/>
      <c r="BD2861" s="68">
        <v>46054.1666666667</v>
      </c>
      <c r="BE2861" s="68">
        <v>46082.1666666667</v>
      </c>
      <c r="BF2861" s="0" t="b">
        <v>0</v>
      </c>
      <c r="BG2861" s="0" t="b">
        <v>0</v>
      </c>
      <c r="BH2861" s="0">
        <v>577</v>
      </c>
      <c r="BI2861" s="0">
        <v>577</v>
      </c>
      <c r="BJ2861" s="0" t="s">
        <v>230</v>
      </c>
    </row>
    <row r="2862">
      <c r="A2862" s="0" t="s">
        <v>3109</v>
      </c>
      <c r="B2862" s="0" t="s">
        <v>134</v>
      </c>
      <c r="C2862" s="0" t="s">
        <v>134</v>
      </c>
      <c r="D2862" s="0" t="s">
        <v>135</v>
      </c>
      <c r="E2862" s="0" t="s">
        <v>3</v>
      </c>
      <c r="F2862" s="0" t="s">
        <v>10</v>
      </c>
      <c r="G2862" s="0" t="s">
        <v>8</v>
      </c>
      <c r="H2862" s="0">
        <v>389</v>
      </c>
      <c r="I2862" s="0">
        <v>845</v>
      </c>
      <c r="J2862" s="0">
        <v>0</v>
      </c>
      <c r="K2862" s="0">
        <v>1</v>
      </c>
      <c r="L2862" s="0">
        <v>4</v>
      </c>
      <c r="M2862" s="0">
        <v>20</v>
      </c>
      <c r="N2862" s="0">
        <v>0</v>
      </c>
      <c r="O2862" s="0">
        <v>0</v>
      </c>
      <c r="P2862" s="0">
        <v>0</v>
      </c>
      <c r="Q2862" s="0" t="s">
        <v>390</v>
      </c>
      <c r="R2862" s="0" t="b">
        <v>0</v>
      </c>
      <c r="S2862" s="0" t="b">
        <v>1</v>
      </c>
      <c r="T2862" s="68">
        <v>45664.6826388889</v>
      </c>
      <c r="U2862" s="68">
        <v>45679.2916666667</v>
      </c>
      <c r="V2862" s="68">
        <v>0</v>
      </c>
      <c r="W2862" s="0">
        <f>IF(IF(B2862="none",1,IF(B2862="Trialer",1,0))+IF(C2862="Customer",1,IF(C2862="Lost",1,0))=2,1,0)</f>
      </c>
      <c r="X2862" s="0" t="s">
        <v>148</v>
      </c>
      <c r="Y2862" s="0" t="s">
        <v>243</v>
      </c>
      <c r="AV2862" s="68"/>
      <c r="AW2862" s="68"/>
      <c r="AY2862" s="27"/>
      <c r="BD2862" s="68">
        <v>46054.1666666667</v>
      </c>
      <c r="BE2862" s="68">
        <v>46082.1666666667</v>
      </c>
      <c r="BF2862" s="0" t="b">
        <v>0</v>
      </c>
      <c r="BG2862" s="0" t="b">
        <v>0</v>
      </c>
      <c r="BH2862" s="0">
        <v>1469</v>
      </c>
      <c r="BI2862" s="0">
        <v>1469</v>
      </c>
      <c r="BJ2862" s="0" t="s">
        <v>135</v>
      </c>
    </row>
    <row r="2863">
      <c r="A2863" s="0" t="s">
        <v>3110</v>
      </c>
      <c r="B2863" s="0" t="s">
        <v>134</v>
      </c>
      <c r="C2863" s="0" t="s">
        <v>134</v>
      </c>
      <c r="D2863" s="0" t="s">
        <v>135</v>
      </c>
      <c r="E2863" s="0" t="s">
        <v>3</v>
      </c>
      <c r="F2863" s="0" t="s">
        <v>12</v>
      </c>
      <c r="G2863" s="0" t="s">
        <v>8</v>
      </c>
      <c r="H2863" s="0">
        <v>388</v>
      </c>
      <c r="I2863" s="0">
        <v>98</v>
      </c>
      <c r="J2863" s="0">
        <v>0</v>
      </c>
      <c r="K2863" s="0">
        <v>1</v>
      </c>
      <c r="L2863" s="0">
        <v>3</v>
      </c>
      <c r="M2863" s="0">
        <v>2</v>
      </c>
      <c r="N2863" s="0">
        <v>0</v>
      </c>
      <c r="O2863" s="0">
        <v>0</v>
      </c>
      <c r="P2863" s="0">
        <v>0</v>
      </c>
      <c r="R2863" s="0" t="b">
        <v>0</v>
      </c>
      <c r="S2863" s="0" t="b">
        <v>1</v>
      </c>
      <c r="T2863" s="68">
        <v>45665.4749074074</v>
      </c>
      <c r="U2863" s="68">
        <v>45665.2916666667</v>
      </c>
      <c r="V2863" s="68">
        <v>0</v>
      </c>
      <c r="W2863" s="0">
        <f>IF(IF(B2863="none",1,IF(B2863="Trialer",1,0))+IF(C2863="Customer",1,IF(C2863="Lost",1,0))=2,1,0)</f>
      </c>
      <c r="X2863" s="0" t="s">
        <v>145</v>
      </c>
      <c r="Y2863" s="0" t="s">
        <v>1792</v>
      </c>
      <c r="AV2863" s="68"/>
      <c r="AW2863" s="68"/>
      <c r="AY2863" s="27"/>
      <c r="BD2863" s="68">
        <v>46054.1666666667</v>
      </c>
      <c r="BE2863" s="68">
        <v>46082.1666666667</v>
      </c>
      <c r="BF2863" s="0" t="b">
        <v>0</v>
      </c>
      <c r="BG2863" s="0" t="b">
        <v>0</v>
      </c>
      <c r="BH2863" s="0">
        <v>98</v>
      </c>
      <c r="BI2863" s="0">
        <v>98</v>
      </c>
      <c r="BJ2863" s="0" t="s">
        <v>135</v>
      </c>
    </row>
    <row r="2864">
      <c r="A2864" s="0" t="s">
        <v>3111</v>
      </c>
      <c r="B2864" s="0" t="s">
        <v>134</v>
      </c>
      <c r="C2864" s="0" t="s">
        <v>134</v>
      </c>
      <c r="D2864" s="0" t="s">
        <v>135</v>
      </c>
      <c r="E2864" s="0" t="s">
        <v>3</v>
      </c>
      <c r="F2864" s="0" t="s">
        <v>12</v>
      </c>
      <c r="G2864" s="0" t="s">
        <v>8</v>
      </c>
      <c r="H2864" s="0">
        <v>388</v>
      </c>
      <c r="I2864" s="0">
        <v>512</v>
      </c>
      <c r="J2864" s="0">
        <v>0</v>
      </c>
      <c r="K2864" s="0">
        <v>1</v>
      </c>
      <c r="L2864" s="0">
        <v>3</v>
      </c>
      <c r="M2864" s="0">
        <v>4</v>
      </c>
      <c r="N2864" s="0">
        <v>0</v>
      </c>
      <c r="O2864" s="0">
        <v>0</v>
      </c>
      <c r="P2864" s="0">
        <v>0</v>
      </c>
      <c r="R2864" s="0" t="b">
        <v>0</v>
      </c>
      <c r="S2864" s="0" t="b">
        <v>1</v>
      </c>
      <c r="T2864" s="68">
        <v>45665.5331944444</v>
      </c>
      <c r="U2864" s="68">
        <v>45685.2916666667</v>
      </c>
      <c r="V2864" s="68">
        <v>0</v>
      </c>
      <c r="W2864" s="0">
        <f>IF(IF(B2864="none",1,IF(B2864="Trialer",1,0))+IF(C2864="Customer",1,IF(C2864="Lost",1,0))=2,1,0)</f>
      </c>
      <c r="X2864" s="0" t="s">
        <v>136</v>
      </c>
      <c r="Y2864" s="0" t="s">
        <v>243</v>
      </c>
      <c r="AV2864" s="68"/>
      <c r="AW2864" s="68"/>
      <c r="AY2864" s="27"/>
      <c r="BD2864" s="68">
        <v>46054.1666666667</v>
      </c>
      <c r="BE2864" s="68">
        <v>46082.1666666667</v>
      </c>
      <c r="BF2864" s="0" t="b">
        <v>0</v>
      </c>
      <c r="BG2864" s="0" t="b">
        <v>0</v>
      </c>
      <c r="BH2864" s="0">
        <v>178</v>
      </c>
      <c r="BI2864" s="0">
        <v>178</v>
      </c>
      <c r="BJ2864" s="0" t="s">
        <v>135</v>
      </c>
    </row>
    <row r="2865">
      <c r="A2865" s="0" t="s">
        <v>3112</v>
      </c>
      <c r="B2865" s="0" t="s">
        <v>134</v>
      </c>
      <c r="C2865" s="0" t="s">
        <v>134</v>
      </c>
      <c r="D2865" s="0" t="s">
        <v>230</v>
      </c>
      <c r="E2865" s="0" t="s">
        <v>3</v>
      </c>
      <c r="F2865" s="0" t="s">
        <v>12</v>
      </c>
      <c r="G2865" s="0" t="s">
        <v>8</v>
      </c>
      <c r="H2865" s="0">
        <v>388</v>
      </c>
      <c r="I2865" s="0">
        <v>35</v>
      </c>
      <c r="J2865" s="0">
        <v>0</v>
      </c>
      <c r="K2865" s="0">
        <v>1</v>
      </c>
      <c r="L2865" s="0">
        <v>2</v>
      </c>
      <c r="M2865" s="0">
        <v>1</v>
      </c>
      <c r="N2865" s="0">
        <v>0</v>
      </c>
      <c r="O2865" s="0">
        <v>0</v>
      </c>
      <c r="P2865" s="0">
        <v>-35</v>
      </c>
      <c r="R2865" s="0" t="b">
        <v>0</v>
      </c>
      <c r="S2865" s="0" t="b">
        <v>0</v>
      </c>
      <c r="T2865" s="68">
        <v>45665.5972222222</v>
      </c>
      <c r="U2865" s="68">
        <v>45692.2916666667</v>
      </c>
      <c r="V2865" s="68">
        <v>46093.5342708333</v>
      </c>
      <c r="W2865" s="0">
        <f>IF(IF(B2865="none",1,IF(B2865="Trialer",1,0))+IF(C2865="Customer",1,IF(C2865="Lost",1,0))=2,1,0)</f>
      </c>
      <c r="X2865" s="0" t="s">
        <v>142</v>
      </c>
      <c r="Y2865" s="0" t="s">
        <v>487</v>
      </c>
      <c r="AV2865" s="68"/>
      <c r="AW2865" s="68"/>
      <c r="AY2865" s="27"/>
      <c r="BD2865" s="68">
        <v>46054.1666666667</v>
      </c>
      <c r="BE2865" s="68">
        <v>46082.1666666667</v>
      </c>
      <c r="BF2865" s="0" t="b">
        <v>0</v>
      </c>
      <c r="BG2865" s="0" t="b">
        <v>1</v>
      </c>
      <c r="BH2865" s="0">
        <v>80</v>
      </c>
      <c r="BI2865" s="0">
        <v>80</v>
      </c>
      <c r="BJ2865" s="0" t="s">
        <v>135</v>
      </c>
    </row>
    <row r="2866">
      <c r="A2866" s="0" t="s">
        <v>3113</v>
      </c>
      <c r="B2866" s="0" t="s">
        <v>134</v>
      </c>
      <c r="C2866" s="0" t="s">
        <v>134</v>
      </c>
      <c r="D2866" s="0" t="s">
        <v>230</v>
      </c>
      <c r="E2866" s="0" t="s">
        <v>3</v>
      </c>
      <c r="F2866" s="0" t="s">
        <v>12</v>
      </c>
      <c r="G2866" s="0" t="s">
        <v>8</v>
      </c>
      <c r="H2866" s="0">
        <v>388</v>
      </c>
      <c r="I2866" s="0">
        <v>459.9</v>
      </c>
      <c r="J2866" s="0">
        <v>0</v>
      </c>
      <c r="K2866" s="0">
        <v>1</v>
      </c>
      <c r="L2866" s="0">
        <v>4</v>
      </c>
      <c r="M2866" s="0">
        <v>10</v>
      </c>
      <c r="N2866" s="0">
        <v>0</v>
      </c>
      <c r="O2866" s="0">
        <v>0</v>
      </c>
      <c r="P2866" s="0">
        <v>-459.9</v>
      </c>
      <c r="R2866" s="0" t="b">
        <v>0</v>
      </c>
      <c r="S2866" s="0" t="b">
        <v>1</v>
      </c>
      <c r="T2866" s="68">
        <v>45665.6615277778</v>
      </c>
      <c r="U2866" s="68">
        <v>45679.2916666667</v>
      </c>
      <c r="V2866" s="68">
        <v>0</v>
      </c>
      <c r="W2866" s="0">
        <f>IF(IF(B2866="none",1,IF(B2866="Trialer",1,0))+IF(C2866="Customer",1,IF(C2866="Lost",1,0))=2,1,0)</f>
      </c>
      <c r="X2866" s="0" t="s">
        <v>882</v>
      </c>
      <c r="Y2866" s="0" t="s">
        <v>243</v>
      </c>
      <c r="AV2866" s="68"/>
      <c r="AW2866" s="68"/>
      <c r="AY2866" s="27"/>
      <c r="BD2866" s="68">
        <v>46054.1666666667</v>
      </c>
      <c r="BE2866" s="68">
        <v>46082.1666666667</v>
      </c>
      <c r="BF2866" s="0" t="b">
        <v>0</v>
      </c>
      <c r="BG2866" s="0" t="b">
        <v>0</v>
      </c>
      <c r="BH2866" s="0">
        <v>511</v>
      </c>
      <c r="BI2866" s="0">
        <v>511</v>
      </c>
      <c r="BJ2866" s="0" t="s">
        <v>230</v>
      </c>
    </row>
    <row r="2867">
      <c r="A2867" s="0" t="s">
        <v>3114</v>
      </c>
      <c r="B2867" s="0" t="s">
        <v>134</v>
      </c>
      <c r="C2867" s="0" t="s">
        <v>134</v>
      </c>
      <c r="D2867" s="0" t="s">
        <v>230</v>
      </c>
      <c r="E2867" s="0" t="s">
        <v>3</v>
      </c>
      <c r="F2867" s="0" t="s">
        <v>12</v>
      </c>
      <c r="G2867" s="0" t="s">
        <v>8</v>
      </c>
      <c r="H2867" s="0">
        <v>388</v>
      </c>
      <c r="I2867" s="0">
        <v>530.95</v>
      </c>
      <c r="J2867" s="0">
        <v>0</v>
      </c>
      <c r="K2867" s="0">
        <v>1</v>
      </c>
      <c r="L2867" s="0">
        <v>4</v>
      </c>
      <c r="M2867" s="0">
        <v>5</v>
      </c>
      <c r="N2867" s="0">
        <v>279</v>
      </c>
      <c r="O2867" s="0">
        <v>0</v>
      </c>
      <c r="P2867" s="0">
        <v>2699.25</v>
      </c>
      <c r="R2867" s="0" t="b">
        <v>0</v>
      </c>
      <c r="S2867" s="0" t="b">
        <v>1</v>
      </c>
      <c r="T2867" s="68">
        <v>45665.6713310185</v>
      </c>
      <c r="U2867" s="68">
        <v>45679.2916666667</v>
      </c>
      <c r="V2867" s="68">
        <v>0</v>
      </c>
      <c r="W2867" s="0">
        <f>IF(IF(B2867="none",1,IF(B2867="Trialer",1,0))+IF(C2867="Customer",1,IF(C2867="Lost",1,0))=2,1,0)</f>
      </c>
      <c r="X2867" s="0" t="s">
        <v>148</v>
      </c>
      <c r="Y2867" s="0" t="s">
        <v>243</v>
      </c>
      <c r="AV2867" s="68"/>
      <c r="AW2867" s="68"/>
      <c r="AY2867" s="27"/>
      <c r="BD2867" s="68">
        <v>46054.1666666667</v>
      </c>
      <c r="BE2867" s="68">
        <v>46082.1666666667</v>
      </c>
      <c r="BF2867" s="0" t="b">
        <v>0</v>
      </c>
      <c r="BG2867" s="0" t="b">
        <v>0</v>
      </c>
      <c r="BH2867" s="0">
        <v>269</v>
      </c>
      <c r="BI2867" s="0">
        <v>269</v>
      </c>
      <c r="BJ2867" s="0" t="s">
        <v>230</v>
      </c>
    </row>
    <row r="2868">
      <c r="A2868" s="0" t="s">
        <v>3115</v>
      </c>
      <c r="B2868" s="0" t="s">
        <v>134</v>
      </c>
      <c r="C2868" s="0" t="s">
        <v>134</v>
      </c>
      <c r="D2868" s="0" t="s">
        <v>230</v>
      </c>
      <c r="E2868" s="0" t="s">
        <v>2</v>
      </c>
      <c r="F2868" s="0" t="s">
        <v>10</v>
      </c>
      <c r="G2868" s="0" t="s">
        <v>8</v>
      </c>
      <c r="H2868" s="0">
        <v>388</v>
      </c>
      <c r="I2868" s="0">
        <v>150</v>
      </c>
      <c r="J2868" s="0">
        <v>0</v>
      </c>
      <c r="K2868" s="0">
        <v>1</v>
      </c>
      <c r="L2868" s="0">
        <v>2</v>
      </c>
      <c r="M2868" s="0">
        <v>5</v>
      </c>
      <c r="N2868" s="0">
        <v>0</v>
      </c>
      <c r="O2868" s="0">
        <v>0</v>
      </c>
      <c r="P2868" s="0">
        <v>-150</v>
      </c>
      <c r="Q2868" s="0" t="s">
        <v>3116</v>
      </c>
      <c r="R2868" s="0" t="b">
        <v>0</v>
      </c>
      <c r="S2868" s="0" t="b">
        <v>1</v>
      </c>
      <c r="T2868" s="68">
        <v>45665.7923611111</v>
      </c>
      <c r="U2868" s="68">
        <v>45682.2916666667</v>
      </c>
      <c r="V2868" s="68">
        <v>0</v>
      </c>
      <c r="W2868" s="0">
        <f>IF(IF(B2868="none",1,IF(B2868="Trialer",1,0))+IF(C2868="Customer",1,IF(C2868="Lost",1,0))=2,1,0)</f>
      </c>
      <c r="X2868" s="0" t="s">
        <v>136</v>
      </c>
      <c r="Y2868" s="0" t="s">
        <v>499</v>
      </c>
      <c r="AV2868" s="68"/>
      <c r="AW2868" s="68"/>
      <c r="AY2868" s="27"/>
      <c r="BD2868" s="68">
        <v>46054.1666666667</v>
      </c>
      <c r="BE2868" s="68">
        <v>46082.1666666667</v>
      </c>
      <c r="BF2868" s="0" t="b">
        <v>0</v>
      </c>
      <c r="BG2868" s="0" t="b">
        <v>0</v>
      </c>
      <c r="BH2868" s="0">
        <v>200</v>
      </c>
      <c r="BI2868" s="0">
        <v>200</v>
      </c>
      <c r="BJ2868" s="0" t="s">
        <v>230</v>
      </c>
    </row>
    <row r="2869">
      <c r="A2869" s="0" t="s">
        <v>3117</v>
      </c>
      <c r="B2869" s="0" t="s">
        <v>134</v>
      </c>
      <c r="C2869" s="0" t="s">
        <v>134</v>
      </c>
      <c r="D2869" s="0" t="s">
        <v>230</v>
      </c>
      <c r="E2869" s="0" t="s">
        <v>3</v>
      </c>
      <c r="F2869" s="0" t="s">
        <v>12</v>
      </c>
      <c r="G2869" s="0" t="s">
        <v>8</v>
      </c>
      <c r="H2869" s="0">
        <v>387</v>
      </c>
      <c r="I2869" s="0">
        <v>36</v>
      </c>
      <c r="J2869" s="0">
        <v>0</v>
      </c>
      <c r="K2869" s="0">
        <v>1</v>
      </c>
      <c r="L2869" s="0">
        <v>2</v>
      </c>
      <c r="M2869" s="0">
        <v>1</v>
      </c>
      <c r="N2869" s="0">
        <v>0</v>
      </c>
      <c r="O2869" s="0">
        <v>0</v>
      </c>
      <c r="P2869" s="0">
        <v>-36</v>
      </c>
      <c r="R2869" s="0" t="b">
        <v>0</v>
      </c>
      <c r="S2869" s="0" t="b">
        <v>1</v>
      </c>
      <c r="T2869" s="68">
        <v>45666.4153009259</v>
      </c>
      <c r="U2869" s="68">
        <v>45680.2916666667</v>
      </c>
      <c r="V2869" s="68">
        <v>0</v>
      </c>
      <c r="W2869" s="0">
        <f>IF(IF(B2869="none",1,IF(B2869="Trialer",1,0))+IF(C2869="Customer",1,IF(C2869="Lost",1,0))=2,1,0)</f>
      </c>
      <c r="X2869" s="0" t="s">
        <v>153</v>
      </c>
      <c r="Y2869" s="0" t="s">
        <v>243</v>
      </c>
      <c r="AV2869" s="68"/>
      <c r="AW2869" s="68"/>
      <c r="AY2869" s="27"/>
      <c r="BD2869" s="68">
        <v>46054.1666666667</v>
      </c>
      <c r="BE2869" s="68">
        <v>46082.1666666667</v>
      </c>
      <c r="BF2869" s="0" t="b">
        <v>0</v>
      </c>
      <c r="BG2869" s="0" t="b">
        <v>0</v>
      </c>
      <c r="BH2869" s="0">
        <v>40</v>
      </c>
      <c r="BI2869" s="0">
        <v>40</v>
      </c>
      <c r="BJ2869" s="0" t="s">
        <v>230</v>
      </c>
    </row>
    <row r="2870">
      <c r="A2870" s="0" t="s">
        <v>3118</v>
      </c>
      <c r="B2870" s="0" t="s">
        <v>134</v>
      </c>
      <c r="C2870" s="0" t="s">
        <v>134</v>
      </c>
      <c r="D2870" s="0" t="s">
        <v>230</v>
      </c>
      <c r="E2870" s="0" t="s">
        <v>3</v>
      </c>
      <c r="F2870" s="0" t="s">
        <v>12</v>
      </c>
      <c r="G2870" s="0" t="s">
        <v>8</v>
      </c>
      <c r="H2870" s="0">
        <v>387</v>
      </c>
      <c r="I2870" s="0">
        <v>108</v>
      </c>
      <c r="J2870" s="0">
        <v>0</v>
      </c>
      <c r="K2870" s="0">
        <v>1</v>
      </c>
      <c r="L2870" s="0">
        <v>4</v>
      </c>
      <c r="M2870" s="0">
        <v>2</v>
      </c>
      <c r="N2870" s="0">
        <v>0</v>
      </c>
      <c r="O2870" s="0">
        <v>0</v>
      </c>
      <c r="P2870" s="0">
        <v>-108</v>
      </c>
      <c r="R2870" s="0" t="b">
        <v>0</v>
      </c>
      <c r="S2870" s="0" t="b">
        <v>1</v>
      </c>
      <c r="T2870" s="68">
        <v>45666.4995949074</v>
      </c>
      <c r="U2870" s="68">
        <v>45680.2916666667</v>
      </c>
      <c r="V2870" s="68">
        <v>0</v>
      </c>
      <c r="W2870" s="0">
        <f>IF(IF(B2870="none",1,IF(B2870="Trialer",1,0))+IF(C2870="Customer",1,IF(C2870="Lost",1,0))=2,1,0)</f>
      </c>
      <c r="X2870" s="0" t="s">
        <v>166</v>
      </c>
      <c r="Y2870" s="0" t="s">
        <v>243</v>
      </c>
      <c r="AV2870" s="68"/>
      <c r="AW2870" s="68"/>
      <c r="AY2870" s="27"/>
      <c r="BD2870" s="68">
        <v>46054.1666666667</v>
      </c>
      <c r="BE2870" s="68">
        <v>46082.1666666667</v>
      </c>
      <c r="BF2870" s="0" t="b">
        <v>0</v>
      </c>
      <c r="BG2870" s="0" t="b">
        <v>0</v>
      </c>
      <c r="BH2870" s="0">
        <v>122</v>
      </c>
      <c r="BI2870" s="0">
        <v>122</v>
      </c>
      <c r="BJ2870" s="0" t="s">
        <v>230</v>
      </c>
    </row>
    <row r="2871">
      <c r="A2871" s="0" t="s">
        <v>3119</v>
      </c>
      <c r="B2871" s="0" t="s">
        <v>134</v>
      </c>
      <c r="C2871" s="0" t="s">
        <v>134</v>
      </c>
      <c r="D2871" s="0" t="s">
        <v>230</v>
      </c>
      <c r="E2871" s="0" t="s">
        <v>3</v>
      </c>
      <c r="F2871" s="0" t="s">
        <v>12</v>
      </c>
      <c r="G2871" s="0" t="s">
        <v>8</v>
      </c>
      <c r="H2871" s="0">
        <v>386</v>
      </c>
      <c r="I2871" s="0">
        <v>523.9</v>
      </c>
      <c r="J2871" s="0">
        <v>0</v>
      </c>
      <c r="K2871" s="0">
        <v>1</v>
      </c>
      <c r="L2871" s="0">
        <v>3</v>
      </c>
      <c r="M2871" s="0">
        <v>5</v>
      </c>
      <c r="N2871" s="0">
        <v>0</v>
      </c>
      <c r="O2871" s="0">
        <v>0</v>
      </c>
      <c r="P2871" s="0">
        <v>-198.9</v>
      </c>
      <c r="R2871" s="0" t="b">
        <v>0</v>
      </c>
      <c r="S2871" s="0" t="b">
        <v>1</v>
      </c>
      <c r="T2871" s="68">
        <v>45667.2610763889</v>
      </c>
      <c r="U2871" s="68">
        <v>45684.2916666667</v>
      </c>
      <c r="V2871" s="68">
        <v>0</v>
      </c>
      <c r="W2871" s="0">
        <f>IF(IF(B2871="none",1,IF(B2871="Trialer",1,0))+IF(C2871="Customer",1,IF(C2871="Lost",1,0))=2,1,0)</f>
      </c>
      <c r="X2871" s="0" t="s">
        <v>136</v>
      </c>
      <c r="Y2871" s="0" t="s">
        <v>243</v>
      </c>
      <c r="AV2871" s="68"/>
      <c r="AW2871" s="68"/>
      <c r="AY2871" s="27"/>
      <c r="BD2871" s="68">
        <v>46054.1666666667</v>
      </c>
      <c r="BE2871" s="68">
        <v>46082.1666666667</v>
      </c>
      <c r="BF2871" s="0" t="b">
        <v>0</v>
      </c>
      <c r="BG2871" s="0" t="b">
        <v>0</v>
      </c>
      <c r="BH2871" s="0">
        <v>221</v>
      </c>
      <c r="BI2871" s="0">
        <v>221</v>
      </c>
      <c r="BJ2871" s="0" t="s">
        <v>230</v>
      </c>
    </row>
    <row r="2872">
      <c r="A2872" s="0" t="s">
        <v>3120</v>
      </c>
      <c r="B2872" s="0" t="s">
        <v>134</v>
      </c>
      <c r="C2872" s="0" t="s">
        <v>134</v>
      </c>
      <c r="D2872" s="0" t="s">
        <v>135</v>
      </c>
      <c r="E2872" s="0" t="s">
        <v>3</v>
      </c>
      <c r="F2872" s="0" t="s">
        <v>12</v>
      </c>
      <c r="G2872" s="0" t="s">
        <v>8</v>
      </c>
      <c r="H2872" s="0">
        <v>386</v>
      </c>
      <c r="I2872" s="0">
        <v>49</v>
      </c>
      <c r="J2872" s="0">
        <v>0</v>
      </c>
      <c r="K2872" s="0">
        <v>1</v>
      </c>
      <c r="L2872" s="0">
        <v>3</v>
      </c>
      <c r="M2872" s="0">
        <v>1</v>
      </c>
      <c r="N2872" s="0">
        <v>0</v>
      </c>
      <c r="O2872" s="0">
        <v>0</v>
      </c>
      <c r="P2872" s="0">
        <v>0</v>
      </c>
      <c r="R2872" s="0" t="b">
        <v>0</v>
      </c>
      <c r="S2872" s="0" t="b">
        <v>1</v>
      </c>
      <c r="T2872" s="68">
        <v>45667.400462963</v>
      </c>
      <c r="U2872" s="68">
        <v>45681.2916666667</v>
      </c>
      <c r="V2872" s="68">
        <v>0</v>
      </c>
      <c r="W2872" s="0">
        <f>IF(IF(B2872="none",1,IF(B2872="Trialer",1,0))+IF(C2872="Customer",1,IF(C2872="Lost",1,0))=2,1,0)</f>
      </c>
      <c r="X2872" s="0" t="s">
        <v>153</v>
      </c>
      <c r="Y2872" s="0" t="s">
        <v>1792</v>
      </c>
      <c r="AV2872" s="68"/>
      <c r="AW2872" s="68"/>
      <c r="AY2872" s="27"/>
      <c r="BD2872" s="68">
        <v>46054.1666666667</v>
      </c>
      <c r="BE2872" s="68">
        <v>46082.1666666667</v>
      </c>
      <c r="BF2872" s="0" t="b">
        <v>0</v>
      </c>
      <c r="BG2872" s="0" t="b">
        <v>0</v>
      </c>
      <c r="BH2872" s="0">
        <v>49</v>
      </c>
      <c r="BI2872" s="0">
        <v>49</v>
      </c>
      <c r="BJ2872" s="0" t="s">
        <v>135</v>
      </c>
    </row>
    <row r="2873">
      <c r="A2873" s="0" t="s">
        <v>3121</v>
      </c>
      <c r="B2873" s="0" t="s">
        <v>134</v>
      </c>
      <c r="C2873" s="0" t="s">
        <v>134</v>
      </c>
      <c r="D2873" s="0" t="s">
        <v>135</v>
      </c>
      <c r="E2873" s="0" t="s">
        <v>3</v>
      </c>
      <c r="F2873" s="0" t="s">
        <v>12</v>
      </c>
      <c r="G2873" s="0" t="s">
        <v>8</v>
      </c>
      <c r="H2873" s="0">
        <v>386</v>
      </c>
      <c r="I2873" s="0">
        <v>56</v>
      </c>
      <c r="J2873" s="0">
        <v>0</v>
      </c>
      <c r="K2873" s="0">
        <v>1</v>
      </c>
      <c r="L2873" s="0">
        <v>1</v>
      </c>
      <c r="M2873" s="0">
        <v>2</v>
      </c>
      <c r="N2873" s="0">
        <v>0</v>
      </c>
      <c r="O2873" s="0">
        <v>0</v>
      </c>
      <c r="P2873" s="0">
        <v>0</v>
      </c>
      <c r="R2873" s="0" t="b">
        <v>0</v>
      </c>
      <c r="S2873" s="0" t="b">
        <v>1</v>
      </c>
      <c r="T2873" s="68">
        <v>45667.4869328704</v>
      </c>
      <c r="U2873" s="68">
        <v>45682.2916666667</v>
      </c>
      <c r="V2873" s="68">
        <v>0</v>
      </c>
      <c r="W2873" s="0">
        <f>IF(IF(B2873="none",1,IF(B2873="Trialer",1,0))+IF(C2873="Customer",1,IF(C2873="Lost",1,0))=2,1,0)</f>
      </c>
      <c r="X2873" s="0" t="s">
        <v>166</v>
      </c>
      <c r="Y2873" s="0" t="s">
        <v>243</v>
      </c>
      <c r="AV2873" s="68"/>
      <c r="AW2873" s="68"/>
      <c r="AY2873" s="27"/>
      <c r="BD2873" s="68">
        <v>46054.1666666667</v>
      </c>
      <c r="BE2873" s="68">
        <v>46082.1666666667</v>
      </c>
      <c r="BF2873" s="0" t="b">
        <v>0</v>
      </c>
      <c r="BG2873" s="0" t="b">
        <v>0</v>
      </c>
      <c r="BH2873" s="0">
        <v>56</v>
      </c>
      <c r="BI2873" s="0">
        <v>56</v>
      </c>
      <c r="BJ2873" s="0" t="s">
        <v>135</v>
      </c>
    </row>
    <row r="2874">
      <c r="A2874" s="0" t="s">
        <v>3122</v>
      </c>
      <c r="B2874" s="0" t="s">
        <v>134</v>
      </c>
      <c r="C2874" s="0" t="s">
        <v>134</v>
      </c>
      <c r="D2874" s="0" t="s">
        <v>230</v>
      </c>
      <c r="E2874" s="0" t="s">
        <v>2</v>
      </c>
      <c r="F2874" s="0" t="s">
        <v>12</v>
      </c>
      <c r="G2874" s="0" t="s">
        <v>8</v>
      </c>
      <c r="H2874" s="0">
        <v>385</v>
      </c>
      <c r="I2874" s="0">
        <v>60.3</v>
      </c>
      <c r="J2874" s="0">
        <v>0</v>
      </c>
      <c r="K2874" s="0">
        <v>1</v>
      </c>
      <c r="L2874" s="0">
        <v>3</v>
      </c>
      <c r="M2874" s="0">
        <v>2</v>
      </c>
      <c r="N2874" s="0">
        <v>0</v>
      </c>
      <c r="O2874" s="0">
        <v>0</v>
      </c>
      <c r="P2874" s="0">
        <v>-60.3</v>
      </c>
      <c r="R2874" s="0" t="b">
        <v>0</v>
      </c>
      <c r="S2874" s="0" t="b">
        <v>1</v>
      </c>
      <c r="T2874" s="68">
        <v>45668.6317361111</v>
      </c>
      <c r="U2874" s="68">
        <v>45688.2916666667</v>
      </c>
      <c r="V2874" s="68">
        <v>0</v>
      </c>
      <c r="W2874" s="0">
        <f>IF(IF(B2874="none",1,IF(B2874="Trialer",1,0))+IF(C2874="Customer",1,IF(C2874="Lost",1,0))=2,1,0)</f>
      </c>
      <c r="X2874" s="0" t="s">
        <v>153</v>
      </c>
      <c r="Y2874" s="0" t="s">
        <v>499</v>
      </c>
      <c r="AV2874" s="68"/>
      <c r="AW2874" s="68"/>
      <c r="AY2874" s="27"/>
      <c r="BD2874" s="68">
        <v>46054.1666666667</v>
      </c>
      <c r="BE2874" s="68">
        <v>46082.1666666667</v>
      </c>
      <c r="BF2874" s="0" t="b">
        <v>0</v>
      </c>
      <c r="BG2874" s="0" t="b">
        <v>0</v>
      </c>
      <c r="BH2874" s="0">
        <v>67</v>
      </c>
      <c r="BI2874" s="0">
        <v>67</v>
      </c>
      <c r="BJ2874" s="0" t="s">
        <v>230</v>
      </c>
    </row>
    <row r="2875">
      <c r="A2875" s="0" t="s">
        <v>3123</v>
      </c>
      <c r="B2875" s="0" t="s">
        <v>134</v>
      </c>
      <c r="C2875" s="0" t="s">
        <v>134</v>
      </c>
      <c r="D2875" s="0" t="s">
        <v>230</v>
      </c>
      <c r="E2875" s="0" t="s">
        <v>3</v>
      </c>
      <c r="F2875" s="0" t="s">
        <v>12</v>
      </c>
      <c r="G2875" s="0" t="s">
        <v>8</v>
      </c>
      <c r="H2875" s="0">
        <v>384</v>
      </c>
      <c r="I2875" s="0">
        <v>90.9</v>
      </c>
      <c r="J2875" s="0">
        <v>0</v>
      </c>
      <c r="K2875" s="0">
        <v>1</v>
      </c>
      <c r="L2875" s="0">
        <v>4</v>
      </c>
      <c r="M2875" s="0">
        <v>2</v>
      </c>
      <c r="N2875" s="0">
        <v>0</v>
      </c>
      <c r="O2875" s="0">
        <v>0</v>
      </c>
      <c r="P2875" s="0">
        <v>-90.9</v>
      </c>
      <c r="R2875" s="0" t="b">
        <v>0</v>
      </c>
      <c r="S2875" s="0" t="b">
        <v>1</v>
      </c>
      <c r="T2875" s="68">
        <v>45669.5970023148</v>
      </c>
      <c r="U2875" s="68">
        <v>45691.2916666667</v>
      </c>
      <c r="V2875" s="68">
        <v>0</v>
      </c>
      <c r="W2875" s="0">
        <f>IF(IF(B2875="none",1,IF(B2875="Trialer",1,0))+IF(C2875="Customer",1,IF(C2875="Lost",1,0))=2,1,0)</f>
      </c>
      <c r="X2875" s="0" t="s">
        <v>142</v>
      </c>
      <c r="Y2875" s="0" t="s">
        <v>243</v>
      </c>
      <c r="AV2875" s="68"/>
      <c r="AW2875" s="68"/>
      <c r="AY2875" s="27"/>
      <c r="BD2875" s="68">
        <v>46054.1666666667</v>
      </c>
      <c r="BE2875" s="68">
        <v>46082.1666666667</v>
      </c>
      <c r="BF2875" s="0" t="b">
        <v>0</v>
      </c>
      <c r="BG2875" s="0" t="b">
        <v>0</v>
      </c>
      <c r="BH2875" s="0">
        <v>101</v>
      </c>
      <c r="BI2875" s="0">
        <v>101</v>
      </c>
      <c r="BJ2875" s="0" t="s">
        <v>230</v>
      </c>
    </row>
    <row r="2876">
      <c r="A2876" s="0" t="s">
        <v>3124</v>
      </c>
      <c r="B2876" s="0" t="s">
        <v>134</v>
      </c>
      <c r="C2876" s="0" t="s">
        <v>134</v>
      </c>
      <c r="D2876" s="0" t="s">
        <v>135</v>
      </c>
      <c r="E2876" s="0" t="s">
        <v>2</v>
      </c>
      <c r="F2876" s="0" t="s">
        <v>12</v>
      </c>
      <c r="G2876" s="0" t="s">
        <v>8</v>
      </c>
      <c r="H2876" s="0">
        <v>383</v>
      </c>
      <c r="I2876" s="0">
        <v>49</v>
      </c>
      <c r="J2876" s="0">
        <v>0</v>
      </c>
      <c r="K2876" s="0">
        <v>1</v>
      </c>
      <c r="L2876" s="0">
        <v>3</v>
      </c>
      <c r="M2876" s="0">
        <v>1</v>
      </c>
      <c r="N2876" s="0">
        <v>0</v>
      </c>
      <c r="O2876" s="0">
        <v>0</v>
      </c>
      <c r="P2876" s="0">
        <v>0</v>
      </c>
      <c r="R2876" s="0" t="b">
        <v>0</v>
      </c>
      <c r="S2876" s="0" t="b">
        <v>1</v>
      </c>
      <c r="T2876" s="68">
        <v>45670.4636921296</v>
      </c>
      <c r="U2876" s="68">
        <v>45684.2916666667</v>
      </c>
      <c r="V2876" s="68">
        <v>0</v>
      </c>
      <c r="W2876" s="0">
        <f>IF(IF(B2876="none",1,IF(B2876="Trialer",1,0))+IF(C2876="Customer",1,IF(C2876="Lost",1,0))=2,1,0)</f>
      </c>
      <c r="X2876" s="0" t="s">
        <v>153</v>
      </c>
      <c r="Y2876" s="0" t="s">
        <v>499</v>
      </c>
      <c r="AV2876" s="68"/>
      <c r="AW2876" s="68"/>
      <c r="AY2876" s="27"/>
      <c r="BD2876" s="68">
        <v>46054.1666666667</v>
      </c>
      <c r="BE2876" s="68">
        <v>46082.1666666667</v>
      </c>
      <c r="BF2876" s="0" t="b">
        <v>0</v>
      </c>
      <c r="BG2876" s="0" t="b">
        <v>0</v>
      </c>
      <c r="BH2876" s="0">
        <v>49</v>
      </c>
      <c r="BI2876" s="0">
        <v>49</v>
      </c>
      <c r="BJ2876" s="0" t="s">
        <v>135</v>
      </c>
    </row>
    <row r="2877">
      <c r="A2877" s="0" t="s">
        <v>3125</v>
      </c>
      <c r="B2877" s="0" t="s">
        <v>134</v>
      </c>
      <c r="C2877" s="0" t="s">
        <v>134</v>
      </c>
      <c r="D2877" s="0" t="s">
        <v>230</v>
      </c>
      <c r="E2877" s="0" t="s">
        <v>3</v>
      </c>
      <c r="F2877" s="0" t="s">
        <v>12</v>
      </c>
      <c r="G2877" s="0" t="s">
        <v>8</v>
      </c>
      <c r="H2877" s="0">
        <v>383</v>
      </c>
      <c r="I2877" s="0">
        <v>405.1</v>
      </c>
      <c r="J2877" s="0">
        <v>0</v>
      </c>
      <c r="K2877" s="0">
        <v>1</v>
      </c>
      <c r="L2877" s="0">
        <v>3</v>
      </c>
      <c r="M2877" s="0">
        <v>2</v>
      </c>
      <c r="N2877" s="0">
        <v>0</v>
      </c>
      <c r="O2877" s="0">
        <v>0</v>
      </c>
      <c r="P2877" s="0">
        <v>-80.1</v>
      </c>
      <c r="R2877" s="0" t="b">
        <v>0</v>
      </c>
      <c r="S2877" s="0" t="b">
        <v>1</v>
      </c>
      <c r="T2877" s="68">
        <v>45670.4738425926</v>
      </c>
      <c r="U2877" s="68">
        <v>45691.2916666667</v>
      </c>
      <c r="V2877" s="68">
        <v>0</v>
      </c>
      <c r="W2877" s="0">
        <f>IF(IF(B2877="none",1,IF(B2877="Trialer",1,0))+IF(C2877="Customer",1,IF(C2877="Lost",1,0))=2,1,0)</f>
      </c>
      <c r="X2877" s="0" t="s">
        <v>145</v>
      </c>
      <c r="Y2877" s="0" t="s">
        <v>243</v>
      </c>
      <c r="AV2877" s="68"/>
      <c r="AW2877" s="68"/>
      <c r="AY2877" s="27"/>
      <c r="BD2877" s="68">
        <v>46054.1666666667</v>
      </c>
      <c r="BE2877" s="68">
        <v>46082.1666666667</v>
      </c>
      <c r="BF2877" s="0" t="b">
        <v>0</v>
      </c>
      <c r="BG2877" s="0" t="b">
        <v>0</v>
      </c>
      <c r="BH2877" s="0">
        <v>89</v>
      </c>
      <c r="BI2877" s="0">
        <v>89</v>
      </c>
      <c r="BJ2877" s="0" t="s">
        <v>230</v>
      </c>
    </row>
    <row r="2878">
      <c r="A2878" s="0" t="s">
        <v>3126</v>
      </c>
      <c r="B2878" s="0" t="s">
        <v>134</v>
      </c>
      <c r="C2878" s="0" t="s">
        <v>134</v>
      </c>
      <c r="D2878" s="0" t="s">
        <v>135</v>
      </c>
      <c r="E2878" s="0" t="s">
        <v>3</v>
      </c>
      <c r="F2878" s="0" t="s">
        <v>12</v>
      </c>
      <c r="G2878" s="0" t="s">
        <v>8</v>
      </c>
      <c r="H2878" s="0">
        <v>383</v>
      </c>
      <c r="I2878" s="0">
        <v>0</v>
      </c>
      <c r="J2878" s="0">
        <v>0</v>
      </c>
      <c r="K2878" s="0">
        <v>1</v>
      </c>
      <c r="L2878" s="0">
        <v>5</v>
      </c>
      <c r="M2878" s="0">
        <v>1</v>
      </c>
      <c r="N2878" s="0">
        <v>0</v>
      </c>
      <c r="O2878" s="0">
        <v>0</v>
      </c>
      <c r="P2878" s="0">
        <v>0</v>
      </c>
      <c r="R2878" s="0" t="b">
        <v>0</v>
      </c>
      <c r="S2878" s="0" t="b">
        <v>1</v>
      </c>
      <c r="T2878" s="68">
        <v>45670.8548611111</v>
      </c>
      <c r="U2878" s="68">
        <v>45673.2916666667</v>
      </c>
      <c r="V2878" s="68">
        <v>0</v>
      </c>
      <c r="W2878" s="0">
        <f>IF(IF(B2878="none",1,IF(B2878="Trialer",1,0))+IF(C2878="Customer",1,IF(C2878="Lost",1,0))=2,1,0)</f>
      </c>
      <c r="X2878" s="0" t="s">
        <v>136</v>
      </c>
      <c r="Y2878" s="0" t="s">
        <v>243</v>
      </c>
      <c r="AV2878" s="68"/>
      <c r="AW2878" s="68"/>
      <c r="AY2878" s="27"/>
      <c r="BD2878" s="68">
        <v>46054.1666666667</v>
      </c>
      <c r="BE2878" s="68">
        <v>46082.1666666667</v>
      </c>
      <c r="BF2878" s="0" t="b">
        <v>0</v>
      </c>
      <c r="BG2878" s="0" t="b">
        <v>0</v>
      </c>
      <c r="BH2878" s="0">
        <v>0</v>
      </c>
      <c r="BI2878" s="0">
        <v>0</v>
      </c>
      <c r="BJ2878" s="0" t="s">
        <v>135</v>
      </c>
    </row>
    <row r="2879">
      <c r="A2879" s="0" t="s">
        <v>3127</v>
      </c>
      <c r="B2879" s="0" t="s">
        <v>134</v>
      </c>
      <c r="C2879" s="0" t="s">
        <v>134</v>
      </c>
      <c r="D2879" s="0" t="s">
        <v>135</v>
      </c>
      <c r="E2879" s="0" t="s">
        <v>3</v>
      </c>
      <c r="F2879" s="0" t="s">
        <v>12</v>
      </c>
      <c r="G2879" s="0" t="s">
        <v>7</v>
      </c>
      <c r="H2879" s="0">
        <v>382</v>
      </c>
      <c r="I2879" s="0">
        <v>160</v>
      </c>
      <c r="J2879" s="0">
        <v>0</v>
      </c>
      <c r="K2879" s="0">
        <v>1</v>
      </c>
      <c r="L2879" s="0">
        <v>1</v>
      </c>
      <c r="M2879" s="0">
        <v>4</v>
      </c>
      <c r="N2879" s="0">
        <v>0</v>
      </c>
      <c r="O2879" s="0">
        <v>0</v>
      </c>
      <c r="P2879" s="0">
        <v>0</v>
      </c>
      <c r="R2879" s="0" t="b">
        <v>0</v>
      </c>
      <c r="S2879" s="0" t="b">
        <v>1</v>
      </c>
      <c r="T2879" s="68">
        <v>45671.5</v>
      </c>
      <c r="U2879" s="68">
        <v>45671.2916666667</v>
      </c>
      <c r="V2879" s="68">
        <v>0</v>
      </c>
      <c r="W2879" s="0">
        <f>IF(IF(B2879="none",1,IF(B2879="Trialer",1,0))+IF(C2879="Customer",1,IF(C2879="Lost",1,0))=2,1,0)</f>
      </c>
      <c r="X2879" s="0" t="s">
        <v>136</v>
      </c>
      <c r="Y2879" s="0" t="s">
        <v>213</v>
      </c>
      <c r="AV2879" s="68"/>
      <c r="AW2879" s="68"/>
      <c r="AY2879" s="27"/>
      <c r="BD2879" s="68">
        <v>46054.1666666667</v>
      </c>
      <c r="BE2879" s="68">
        <v>46082.1666666667</v>
      </c>
      <c r="BF2879" s="0" t="b">
        <v>0</v>
      </c>
      <c r="BG2879" s="0" t="b">
        <v>0</v>
      </c>
      <c r="BH2879" s="0">
        <v>160</v>
      </c>
      <c r="BI2879" s="0">
        <v>160</v>
      </c>
      <c r="BJ2879" s="0" t="s">
        <v>135</v>
      </c>
    </row>
    <row r="2880">
      <c r="A2880" s="0" t="s">
        <v>3128</v>
      </c>
      <c r="B2880" s="0" t="s">
        <v>134</v>
      </c>
      <c r="C2880" s="0" t="s">
        <v>134</v>
      </c>
      <c r="D2880" s="0" t="s">
        <v>230</v>
      </c>
      <c r="E2880" s="0" t="s">
        <v>3</v>
      </c>
      <c r="F2880" s="0" t="s">
        <v>10</v>
      </c>
      <c r="G2880" s="0" t="s">
        <v>8</v>
      </c>
      <c r="H2880" s="0">
        <v>382</v>
      </c>
      <c r="I2880" s="0">
        <v>286</v>
      </c>
      <c r="J2880" s="0">
        <v>0</v>
      </c>
      <c r="K2880" s="0">
        <v>1</v>
      </c>
      <c r="L2880" s="0">
        <v>2</v>
      </c>
      <c r="M2880" s="0">
        <v>11</v>
      </c>
      <c r="N2880" s="0">
        <v>0</v>
      </c>
      <c r="O2880" s="0">
        <v>0</v>
      </c>
      <c r="P2880" s="0">
        <v>-286</v>
      </c>
      <c r="Q2880" s="0" t="s">
        <v>1898</v>
      </c>
      <c r="R2880" s="0" t="b">
        <v>0</v>
      </c>
      <c r="S2880" s="0" t="b">
        <v>1</v>
      </c>
      <c r="T2880" s="68">
        <v>45671.504849537</v>
      </c>
      <c r="U2880" s="68">
        <v>45723.2916666667</v>
      </c>
      <c r="V2880" s="68">
        <v>0</v>
      </c>
      <c r="W2880" s="0">
        <f>IF(IF(B2880="none",1,IF(B2880="Trialer",1,0))+IF(C2880="Customer",1,IF(C2880="Lost",1,0))=2,1,0)</f>
      </c>
      <c r="X2880" s="0" t="s">
        <v>145</v>
      </c>
      <c r="Y2880" s="0" t="s">
        <v>243</v>
      </c>
      <c r="AV2880" s="68"/>
      <c r="AW2880" s="68"/>
      <c r="AY2880" s="27"/>
      <c r="BD2880" s="68">
        <v>46054.1666666667</v>
      </c>
      <c r="BE2880" s="68">
        <v>46082.1666666667</v>
      </c>
      <c r="BF2880" s="0" t="b">
        <v>0</v>
      </c>
      <c r="BG2880" s="0" t="b">
        <v>0</v>
      </c>
      <c r="BH2880" s="0">
        <v>320</v>
      </c>
      <c r="BI2880" s="0">
        <v>320</v>
      </c>
      <c r="BJ2880" s="0" t="s">
        <v>230</v>
      </c>
    </row>
    <row r="2881">
      <c r="A2881" s="0" t="s">
        <v>3129</v>
      </c>
      <c r="B2881" s="0" t="s">
        <v>134</v>
      </c>
      <c r="C2881" s="0" t="s">
        <v>134</v>
      </c>
      <c r="D2881" s="0" t="s">
        <v>230</v>
      </c>
      <c r="E2881" s="0" t="s">
        <v>3</v>
      </c>
      <c r="F2881" s="0" t="s">
        <v>12</v>
      </c>
      <c r="G2881" s="0" t="s">
        <v>8</v>
      </c>
      <c r="H2881" s="0">
        <v>382</v>
      </c>
      <c r="I2881" s="0">
        <v>131.4</v>
      </c>
      <c r="J2881" s="0">
        <v>0</v>
      </c>
      <c r="K2881" s="0">
        <v>1</v>
      </c>
      <c r="L2881" s="0">
        <v>5</v>
      </c>
      <c r="M2881" s="0">
        <v>2</v>
      </c>
      <c r="N2881" s="0">
        <v>0</v>
      </c>
      <c r="O2881" s="0">
        <v>0</v>
      </c>
      <c r="P2881" s="0">
        <v>-131.4</v>
      </c>
      <c r="R2881" s="0" t="b">
        <v>0</v>
      </c>
      <c r="S2881" s="0" t="b">
        <v>1</v>
      </c>
      <c r="T2881" s="68">
        <v>45671.5766898148</v>
      </c>
      <c r="U2881" s="68">
        <v>45685.2916666667</v>
      </c>
      <c r="V2881" s="68">
        <v>0</v>
      </c>
      <c r="W2881" s="0">
        <f>IF(IF(B2881="none",1,IF(B2881="Trialer",1,0))+IF(C2881="Customer",1,IF(C2881="Lost",1,0))=2,1,0)</f>
      </c>
      <c r="X2881" s="0" t="s">
        <v>166</v>
      </c>
      <c r="Y2881" s="0" t="s">
        <v>243</v>
      </c>
      <c r="AV2881" s="68"/>
      <c r="AW2881" s="68"/>
      <c r="AY2881" s="27"/>
      <c r="BD2881" s="68">
        <v>46054.1666666667</v>
      </c>
      <c r="BE2881" s="68">
        <v>46082.1666666667</v>
      </c>
      <c r="BF2881" s="0" t="b">
        <v>0</v>
      </c>
      <c r="BG2881" s="0" t="b">
        <v>0</v>
      </c>
      <c r="BH2881" s="0">
        <v>146</v>
      </c>
      <c r="BI2881" s="0">
        <v>146</v>
      </c>
      <c r="BJ2881" s="0" t="s">
        <v>230</v>
      </c>
    </row>
    <row r="2882">
      <c r="A2882" s="0" t="s">
        <v>3130</v>
      </c>
      <c r="B2882" s="0" t="s">
        <v>134</v>
      </c>
      <c r="C2882" s="0" t="s">
        <v>134</v>
      </c>
      <c r="D2882" s="0" t="s">
        <v>135</v>
      </c>
      <c r="E2882" s="0" t="s">
        <v>3</v>
      </c>
      <c r="F2882" s="0" t="s">
        <v>11</v>
      </c>
      <c r="G2882" s="0" t="s">
        <v>8</v>
      </c>
      <c r="H2882" s="0">
        <v>382</v>
      </c>
      <c r="I2882" s="0">
        <v>117.6</v>
      </c>
      <c r="J2882" s="0">
        <v>0</v>
      </c>
      <c r="K2882" s="0">
        <v>1</v>
      </c>
      <c r="L2882" s="0">
        <v>3</v>
      </c>
      <c r="M2882" s="0">
        <v>3</v>
      </c>
      <c r="N2882" s="0">
        <v>0</v>
      </c>
      <c r="O2882" s="0">
        <v>0</v>
      </c>
      <c r="P2882" s="0">
        <v>0</v>
      </c>
      <c r="Q2882" s="0" t="s">
        <v>1743</v>
      </c>
      <c r="R2882" s="0" t="b">
        <v>1</v>
      </c>
      <c r="S2882" s="0" t="b">
        <v>1</v>
      </c>
      <c r="T2882" s="68">
        <v>45671.6122685185</v>
      </c>
      <c r="U2882" s="68">
        <v>45671.2916666667</v>
      </c>
      <c r="V2882" s="68">
        <v>0</v>
      </c>
      <c r="W2882" s="0">
        <f>IF(IF(B2882="none",1,IF(B2882="Trialer",1,0))+IF(C2882="Customer",1,IF(C2882="Lost",1,0))=2,1,0)</f>
      </c>
      <c r="X2882" s="0" t="s">
        <v>145</v>
      </c>
      <c r="Y2882" s="0" t="s">
        <v>243</v>
      </c>
      <c r="AV2882" s="68"/>
      <c r="AW2882" s="68"/>
      <c r="AY2882" s="27"/>
      <c r="BD2882" s="68">
        <v>46054.1666666667</v>
      </c>
      <c r="BE2882" s="68">
        <v>46082.1666666667</v>
      </c>
      <c r="BF2882" s="0" t="b">
        <v>0</v>
      </c>
      <c r="BG2882" s="0" t="b">
        <v>0</v>
      </c>
      <c r="BH2882" s="0">
        <v>117.6</v>
      </c>
      <c r="BI2882" s="0">
        <v>117.6</v>
      </c>
      <c r="BJ2882" s="0" t="s">
        <v>135</v>
      </c>
    </row>
    <row r="2883">
      <c r="A2883" s="0" t="s">
        <v>3131</v>
      </c>
      <c r="B2883" s="0" t="s">
        <v>134</v>
      </c>
      <c r="C2883" s="0" t="s">
        <v>134</v>
      </c>
      <c r="D2883" s="0" t="s">
        <v>135</v>
      </c>
      <c r="E2883" s="0" t="s">
        <v>3</v>
      </c>
      <c r="F2883" s="0" t="s">
        <v>11</v>
      </c>
      <c r="G2883" s="0" t="s">
        <v>8</v>
      </c>
      <c r="H2883" s="0">
        <v>382</v>
      </c>
      <c r="I2883" s="0">
        <v>156.8</v>
      </c>
      <c r="J2883" s="0">
        <v>0</v>
      </c>
      <c r="K2883" s="0">
        <v>1</v>
      </c>
      <c r="L2883" s="0">
        <v>3</v>
      </c>
      <c r="M2883" s="0">
        <v>4</v>
      </c>
      <c r="N2883" s="0">
        <v>0</v>
      </c>
      <c r="O2883" s="0">
        <v>0</v>
      </c>
      <c r="P2883" s="0">
        <v>0</v>
      </c>
      <c r="Q2883" s="0" t="s">
        <v>1743</v>
      </c>
      <c r="R2883" s="0" t="b">
        <v>1</v>
      </c>
      <c r="S2883" s="0" t="b">
        <v>1</v>
      </c>
      <c r="T2883" s="68">
        <v>45671.6163425926</v>
      </c>
      <c r="U2883" s="68">
        <v>45671.2916666667</v>
      </c>
      <c r="V2883" s="68">
        <v>0</v>
      </c>
      <c r="W2883" s="0">
        <f>IF(IF(B2883="none",1,IF(B2883="Trialer",1,0))+IF(C2883="Customer",1,IF(C2883="Lost",1,0))=2,1,0)</f>
      </c>
      <c r="X2883" s="0" t="s">
        <v>145</v>
      </c>
      <c r="Y2883" s="0" t="s">
        <v>243</v>
      </c>
      <c r="AV2883" s="68"/>
      <c r="AW2883" s="68"/>
      <c r="AY2883" s="27"/>
      <c r="BD2883" s="68">
        <v>46054.1666666667</v>
      </c>
      <c r="BE2883" s="68">
        <v>46082.1666666667</v>
      </c>
      <c r="BF2883" s="0" t="b">
        <v>0</v>
      </c>
      <c r="BG2883" s="0" t="b">
        <v>0</v>
      </c>
      <c r="BH2883" s="0">
        <v>196</v>
      </c>
      <c r="BI2883" s="0">
        <v>196</v>
      </c>
      <c r="BJ2883" s="0" t="s">
        <v>135</v>
      </c>
    </row>
    <row r="2884">
      <c r="A2884" s="0" t="s">
        <v>3132</v>
      </c>
      <c r="B2884" s="0" t="s">
        <v>134</v>
      </c>
      <c r="C2884" s="0" t="s">
        <v>134</v>
      </c>
      <c r="D2884" s="0" t="s">
        <v>230</v>
      </c>
      <c r="E2884" s="0" t="s">
        <v>2</v>
      </c>
      <c r="F2884" s="0" t="s">
        <v>12</v>
      </c>
      <c r="G2884" s="0" t="s">
        <v>8</v>
      </c>
      <c r="H2884" s="0">
        <v>382</v>
      </c>
      <c r="I2884" s="0">
        <v>668.8</v>
      </c>
      <c r="J2884" s="0">
        <v>0</v>
      </c>
      <c r="K2884" s="0">
        <v>1</v>
      </c>
      <c r="L2884" s="0">
        <v>4</v>
      </c>
      <c r="M2884" s="0">
        <v>7</v>
      </c>
      <c r="N2884" s="0">
        <v>2092.5</v>
      </c>
      <c r="O2884" s="0">
        <v>0</v>
      </c>
      <c r="P2884" s="0">
        <v>-343.8</v>
      </c>
      <c r="R2884" s="0" t="b">
        <v>0</v>
      </c>
      <c r="S2884" s="0" t="b">
        <v>1</v>
      </c>
      <c r="T2884" s="68">
        <v>45671.7696180556</v>
      </c>
      <c r="U2884" s="68">
        <v>45681.2916666667</v>
      </c>
      <c r="V2884" s="68">
        <v>0</v>
      </c>
      <c r="W2884" s="0">
        <f>IF(IF(B2884="none",1,IF(B2884="Trialer",1,0))+IF(C2884="Customer",1,IF(C2884="Lost",1,0))=2,1,0)</f>
      </c>
      <c r="X2884" s="0" t="s">
        <v>145</v>
      </c>
      <c r="Y2884" s="0" t="s">
        <v>499</v>
      </c>
      <c r="AV2884" s="68"/>
      <c r="AW2884" s="68"/>
      <c r="AY2884" s="27"/>
      <c r="BD2884" s="68">
        <v>46054.1666666667</v>
      </c>
      <c r="BE2884" s="68">
        <v>46082.1666666667</v>
      </c>
      <c r="BF2884" s="0" t="b">
        <v>0</v>
      </c>
      <c r="BG2884" s="0" t="b">
        <v>0</v>
      </c>
      <c r="BH2884" s="0">
        <v>443</v>
      </c>
      <c r="BI2884" s="0">
        <v>443</v>
      </c>
      <c r="BJ2884" s="0" t="s">
        <v>230</v>
      </c>
    </row>
    <row r="2885">
      <c r="A2885" s="0" t="s">
        <v>3133</v>
      </c>
      <c r="B2885" s="0" t="s">
        <v>134</v>
      </c>
      <c r="C2885" s="0" t="s">
        <v>134</v>
      </c>
      <c r="D2885" s="0" t="s">
        <v>230</v>
      </c>
      <c r="E2885" s="0" t="s">
        <v>3</v>
      </c>
      <c r="F2885" s="0" t="s">
        <v>12</v>
      </c>
      <c r="G2885" s="0" t="s">
        <v>8</v>
      </c>
      <c r="H2885" s="0">
        <v>381</v>
      </c>
      <c r="I2885" s="0">
        <v>25</v>
      </c>
      <c r="J2885" s="0">
        <v>0</v>
      </c>
      <c r="K2885" s="0">
        <v>1</v>
      </c>
      <c r="L2885" s="0">
        <v>1</v>
      </c>
      <c r="M2885" s="0">
        <v>1</v>
      </c>
      <c r="N2885" s="0">
        <v>0</v>
      </c>
      <c r="O2885" s="0">
        <v>0</v>
      </c>
      <c r="P2885" s="0">
        <v>-25</v>
      </c>
      <c r="R2885" s="0" t="b">
        <v>0</v>
      </c>
      <c r="S2885" s="0" t="b">
        <v>1</v>
      </c>
      <c r="T2885" s="68">
        <v>45672.6211574074</v>
      </c>
      <c r="U2885" s="68">
        <v>45687.2916666667</v>
      </c>
      <c r="V2885" s="68">
        <v>0</v>
      </c>
      <c r="W2885" s="0">
        <f>IF(IF(B2885="none",1,IF(B2885="Trialer",1,0))+IF(C2885="Customer",1,IF(C2885="Lost",1,0))=2,1,0)</f>
      </c>
      <c r="X2885" s="0" t="s">
        <v>153</v>
      </c>
      <c r="Y2885" s="0" t="s">
        <v>243</v>
      </c>
      <c r="AV2885" s="68"/>
      <c r="AW2885" s="68"/>
      <c r="AY2885" s="27"/>
      <c r="BD2885" s="68">
        <v>46054.1666666667</v>
      </c>
      <c r="BE2885" s="68">
        <v>46082.1666666667</v>
      </c>
      <c r="BF2885" s="0" t="b">
        <v>0</v>
      </c>
      <c r="BG2885" s="0" t="b">
        <v>0</v>
      </c>
      <c r="BH2885" s="0">
        <v>28</v>
      </c>
      <c r="BI2885" s="0">
        <v>28</v>
      </c>
      <c r="BJ2885" s="0" t="s">
        <v>230</v>
      </c>
    </row>
    <row r="2886">
      <c r="A2886" s="0" t="s">
        <v>3134</v>
      </c>
      <c r="B2886" s="0" t="s">
        <v>134</v>
      </c>
      <c r="C2886" s="0" t="s">
        <v>134</v>
      </c>
      <c r="D2886" s="0" t="s">
        <v>135</v>
      </c>
      <c r="E2886" s="0" t="s">
        <v>2</v>
      </c>
      <c r="F2886" s="0" t="s">
        <v>12</v>
      </c>
      <c r="G2886" s="0" t="s">
        <v>8</v>
      </c>
      <c r="H2886" s="0">
        <v>381</v>
      </c>
      <c r="I2886" s="0">
        <v>40</v>
      </c>
      <c r="J2886" s="0">
        <v>0</v>
      </c>
      <c r="K2886" s="0">
        <v>1</v>
      </c>
      <c r="L2886" s="0">
        <v>2</v>
      </c>
      <c r="M2886" s="0">
        <v>1</v>
      </c>
      <c r="N2886" s="0">
        <v>0</v>
      </c>
      <c r="O2886" s="0">
        <v>0</v>
      </c>
      <c r="P2886" s="0">
        <v>0</v>
      </c>
      <c r="R2886" s="0" t="b">
        <v>0</v>
      </c>
      <c r="S2886" s="0" t="b">
        <v>1</v>
      </c>
      <c r="T2886" s="68">
        <v>45672.6241898148</v>
      </c>
      <c r="U2886" s="68">
        <v>45686.2916666667</v>
      </c>
      <c r="V2886" s="68">
        <v>0</v>
      </c>
      <c r="W2886" s="0">
        <f>IF(IF(B2886="none",1,IF(B2886="Trialer",1,0))+IF(C2886="Customer",1,IF(C2886="Lost",1,0))=2,1,0)</f>
      </c>
      <c r="X2886" s="0" t="s">
        <v>153</v>
      </c>
      <c r="Y2886" s="0" t="s">
        <v>499</v>
      </c>
      <c r="AV2886" s="68"/>
      <c r="AW2886" s="68"/>
      <c r="AY2886" s="27"/>
      <c r="BD2886" s="68">
        <v>46054.1666666667</v>
      </c>
      <c r="BE2886" s="68">
        <v>46082.1666666667</v>
      </c>
      <c r="BF2886" s="0" t="b">
        <v>0</v>
      </c>
      <c r="BG2886" s="0" t="b">
        <v>0</v>
      </c>
      <c r="BH2886" s="0">
        <v>40</v>
      </c>
      <c r="BI2886" s="0">
        <v>40</v>
      </c>
      <c r="BJ2886" s="0" t="s">
        <v>135</v>
      </c>
    </row>
    <row r="2887">
      <c r="A2887" s="0" t="s">
        <v>3135</v>
      </c>
      <c r="B2887" s="0" t="s">
        <v>134</v>
      </c>
      <c r="C2887" s="0" t="s">
        <v>134</v>
      </c>
      <c r="D2887" s="0" t="s">
        <v>135</v>
      </c>
      <c r="E2887" s="0" t="s">
        <v>3</v>
      </c>
      <c r="F2887" s="0" t="s">
        <v>12</v>
      </c>
      <c r="G2887" s="0" t="s">
        <v>8</v>
      </c>
      <c r="H2887" s="0">
        <v>381</v>
      </c>
      <c r="I2887" s="0">
        <v>122</v>
      </c>
      <c r="J2887" s="0">
        <v>0</v>
      </c>
      <c r="K2887" s="0">
        <v>1</v>
      </c>
      <c r="L2887" s="0">
        <v>5</v>
      </c>
      <c r="M2887" s="0">
        <v>2</v>
      </c>
      <c r="N2887" s="0">
        <v>0</v>
      </c>
      <c r="O2887" s="0">
        <v>0</v>
      </c>
      <c r="P2887" s="0">
        <v>0</v>
      </c>
      <c r="R2887" s="0" t="b">
        <v>0</v>
      </c>
      <c r="S2887" s="0" t="b">
        <v>1</v>
      </c>
      <c r="T2887" s="68">
        <v>45672.645787037</v>
      </c>
      <c r="U2887" s="68">
        <v>45686.2916666667</v>
      </c>
      <c r="V2887" s="68">
        <v>0</v>
      </c>
      <c r="W2887" s="0">
        <f>IF(IF(B2887="none",1,IF(B2887="Trialer",1,0))+IF(C2887="Customer",1,IF(C2887="Lost",1,0))=2,1,0)</f>
      </c>
      <c r="X2887" s="0" t="s">
        <v>153</v>
      </c>
      <c r="Y2887" s="0" t="s">
        <v>243</v>
      </c>
      <c r="AV2887" s="68"/>
      <c r="AW2887" s="68"/>
      <c r="AY2887" s="27"/>
      <c r="BD2887" s="68">
        <v>46054.1666666667</v>
      </c>
      <c r="BE2887" s="68">
        <v>46082.1666666667</v>
      </c>
      <c r="BF2887" s="0" t="b">
        <v>0</v>
      </c>
      <c r="BG2887" s="0" t="b">
        <v>0</v>
      </c>
      <c r="BH2887" s="0">
        <v>122</v>
      </c>
      <c r="BI2887" s="0">
        <v>122</v>
      </c>
      <c r="BJ2887" s="0" t="s">
        <v>135</v>
      </c>
    </row>
    <row r="2888">
      <c r="A2888" s="0" t="s">
        <v>3136</v>
      </c>
      <c r="B2888" s="0" t="s">
        <v>134</v>
      </c>
      <c r="C2888" s="0" t="s">
        <v>134</v>
      </c>
      <c r="D2888" s="0" t="s">
        <v>230</v>
      </c>
      <c r="E2888" s="0" t="s">
        <v>3</v>
      </c>
      <c r="F2888" s="0" t="s">
        <v>12</v>
      </c>
      <c r="G2888" s="0" t="s">
        <v>8</v>
      </c>
      <c r="H2888" s="0">
        <v>381</v>
      </c>
      <c r="I2888" s="0">
        <v>25</v>
      </c>
      <c r="J2888" s="0">
        <v>0</v>
      </c>
      <c r="K2888" s="0">
        <v>1</v>
      </c>
      <c r="L2888" s="0">
        <v>1</v>
      </c>
      <c r="M2888" s="0">
        <v>1</v>
      </c>
      <c r="N2888" s="0">
        <v>0</v>
      </c>
      <c r="O2888" s="0">
        <v>0</v>
      </c>
      <c r="P2888" s="0">
        <v>-25</v>
      </c>
      <c r="R2888" s="0" t="b">
        <v>0</v>
      </c>
      <c r="S2888" s="0" t="b">
        <v>1</v>
      </c>
      <c r="T2888" s="68">
        <v>45672.6991435185</v>
      </c>
      <c r="U2888" s="68">
        <v>45686.2916666667</v>
      </c>
      <c r="V2888" s="68">
        <v>0</v>
      </c>
      <c r="W2888" s="0">
        <f>IF(IF(B2888="none",1,IF(B2888="Trialer",1,0))+IF(C2888="Customer",1,IF(C2888="Lost",1,0))=2,1,0)</f>
      </c>
      <c r="X2888" s="0" t="s">
        <v>166</v>
      </c>
      <c r="Y2888" s="0" t="s">
        <v>243</v>
      </c>
      <c r="AV2888" s="68"/>
      <c r="AW2888" s="68"/>
      <c r="AY2888" s="27"/>
      <c r="BD2888" s="68">
        <v>46054.1666666667</v>
      </c>
      <c r="BE2888" s="68">
        <v>46082.1666666667</v>
      </c>
      <c r="BF2888" s="0" t="b">
        <v>0</v>
      </c>
      <c r="BG2888" s="0" t="b">
        <v>0</v>
      </c>
      <c r="BH2888" s="0">
        <v>28</v>
      </c>
      <c r="BI2888" s="0">
        <v>28</v>
      </c>
      <c r="BJ2888" s="0" t="s">
        <v>230</v>
      </c>
    </row>
    <row r="2889">
      <c r="A2889" s="0" t="s">
        <v>3137</v>
      </c>
      <c r="B2889" s="0" t="s">
        <v>134</v>
      </c>
      <c r="C2889" s="0" t="s">
        <v>134</v>
      </c>
      <c r="D2889" s="0" t="s">
        <v>135</v>
      </c>
      <c r="E2889" s="0" t="s">
        <v>2</v>
      </c>
      <c r="F2889" s="0" t="s">
        <v>12</v>
      </c>
      <c r="G2889" s="0" t="s">
        <v>8</v>
      </c>
      <c r="H2889" s="0">
        <v>380</v>
      </c>
      <c r="I2889" s="0">
        <v>113</v>
      </c>
      <c r="J2889" s="0">
        <v>0</v>
      </c>
      <c r="K2889" s="0">
        <v>1</v>
      </c>
      <c r="L2889" s="0">
        <v>6</v>
      </c>
      <c r="M2889" s="0">
        <v>2</v>
      </c>
      <c r="N2889" s="0">
        <v>0</v>
      </c>
      <c r="O2889" s="0">
        <v>0</v>
      </c>
      <c r="P2889" s="0">
        <v>0</v>
      </c>
      <c r="R2889" s="0" t="b">
        <v>0</v>
      </c>
      <c r="S2889" s="0" t="b">
        <v>1</v>
      </c>
      <c r="T2889" s="68">
        <v>45673.543599537</v>
      </c>
      <c r="U2889" s="68">
        <v>45688.2916666667</v>
      </c>
      <c r="V2889" s="68">
        <v>0</v>
      </c>
      <c r="W2889" s="0">
        <f>IF(IF(B2889="none",1,IF(B2889="Trialer",1,0))+IF(C2889="Customer",1,IF(C2889="Lost",1,0))=2,1,0)</f>
      </c>
      <c r="X2889" s="0" t="s">
        <v>148</v>
      </c>
      <c r="Y2889" s="0" t="s">
        <v>499</v>
      </c>
      <c r="AV2889" s="68"/>
      <c r="AW2889" s="68"/>
      <c r="AY2889" s="27"/>
      <c r="BD2889" s="68">
        <v>46054.1666666667</v>
      </c>
      <c r="BE2889" s="68">
        <v>46082.1666666667</v>
      </c>
      <c r="BF2889" s="0" t="b">
        <v>0</v>
      </c>
      <c r="BG2889" s="0" t="b">
        <v>0</v>
      </c>
      <c r="BH2889" s="0">
        <v>113</v>
      </c>
      <c r="BI2889" s="0">
        <v>113</v>
      </c>
      <c r="BJ2889" s="0" t="s">
        <v>135</v>
      </c>
    </row>
    <row r="2890">
      <c r="A2890" s="0" t="s">
        <v>3138</v>
      </c>
      <c r="B2890" s="0" t="s">
        <v>134</v>
      </c>
      <c r="C2890" s="0" t="s">
        <v>134</v>
      </c>
      <c r="D2890" s="0" t="s">
        <v>135</v>
      </c>
      <c r="E2890" s="0" t="s">
        <v>3</v>
      </c>
      <c r="F2890" s="0" t="s">
        <v>12</v>
      </c>
      <c r="G2890" s="0" t="s">
        <v>8</v>
      </c>
      <c r="H2890" s="0">
        <v>380</v>
      </c>
      <c r="I2890" s="0">
        <v>0</v>
      </c>
      <c r="J2890" s="0">
        <v>0</v>
      </c>
      <c r="K2890" s="0">
        <v>1</v>
      </c>
      <c r="L2890" s="0">
        <v>3</v>
      </c>
      <c r="M2890" s="0">
        <v>1</v>
      </c>
      <c r="N2890" s="0">
        <v>0</v>
      </c>
      <c r="O2890" s="0">
        <v>0</v>
      </c>
      <c r="P2890" s="0">
        <v>0</v>
      </c>
      <c r="R2890" s="0" t="b">
        <v>0</v>
      </c>
      <c r="S2890" s="0" t="b">
        <v>1</v>
      </c>
      <c r="T2890" s="68">
        <v>45673.590162037</v>
      </c>
      <c r="U2890" s="68">
        <v>45687.2916666667</v>
      </c>
      <c r="V2890" s="68">
        <v>0</v>
      </c>
      <c r="W2890" s="0">
        <f>IF(IF(B2890="none",1,IF(B2890="Trialer",1,0))+IF(C2890="Customer",1,IF(C2890="Lost",1,0))=2,1,0)</f>
      </c>
      <c r="X2890" s="0" t="s">
        <v>136</v>
      </c>
      <c r="Y2890" s="0" t="s">
        <v>243</v>
      </c>
      <c r="AV2890" s="68"/>
      <c r="AW2890" s="68"/>
      <c r="AY2890" s="27"/>
      <c r="BD2890" s="68">
        <v>46054.1666666667</v>
      </c>
      <c r="BE2890" s="68">
        <v>46082.1666666667</v>
      </c>
      <c r="BF2890" s="0" t="b">
        <v>0</v>
      </c>
      <c r="BG2890" s="0" t="b">
        <v>0</v>
      </c>
      <c r="BH2890" s="0">
        <v>0</v>
      </c>
      <c r="BI2890" s="0">
        <v>0</v>
      </c>
      <c r="BJ2890" s="0" t="s">
        <v>135</v>
      </c>
    </row>
    <row r="2891">
      <c r="A2891" s="0" t="s">
        <v>3139</v>
      </c>
      <c r="B2891" s="0" t="s">
        <v>134</v>
      </c>
      <c r="C2891" s="0" t="s">
        <v>134</v>
      </c>
      <c r="D2891" s="0" t="s">
        <v>135</v>
      </c>
      <c r="E2891" s="0" t="s">
        <v>3</v>
      </c>
      <c r="F2891" s="0" t="s">
        <v>12</v>
      </c>
      <c r="G2891" s="0" t="s">
        <v>8</v>
      </c>
      <c r="H2891" s="0">
        <v>380</v>
      </c>
      <c r="I2891" s="0">
        <v>98</v>
      </c>
      <c r="J2891" s="0">
        <v>0</v>
      </c>
      <c r="K2891" s="0">
        <v>1</v>
      </c>
      <c r="L2891" s="0">
        <v>3</v>
      </c>
      <c r="M2891" s="0">
        <v>2</v>
      </c>
      <c r="N2891" s="0">
        <v>0</v>
      </c>
      <c r="O2891" s="0">
        <v>0</v>
      </c>
      <c r="P2891" s="0">
        <v>0</v>
      </c>
      <c r="R2891" s="0" t="b">
        <v>0</v>
      </c>
      <c r="S2891" s="0" t="b">
        <v>1</v>
      </c>
      <c r="T2891" s="68">
        <v>45673.6977893518</v>
      </c>
      <c r="U2891" s="68">
        <v>45687.2916666667</v>
      </c>
      <c r="V2891" s="68">
        <v>0</v>
      </c>
      <c r="W2891" s="0">
        <f>IF(IF(B2891="none",1,IF(B2891="Trialer",1,0))+IF(C2891="Customer",1,IF(C2891="Lost",1,0))=2,1,0)</f>
      </c>
      <c r="X2891" s="0" t="s">
        <v>142</v>
      </c>
      <c r="Y2891" s="0" t="s">
        <v>243</v>
      </c>
      <c r="AV2891" s="68"/>
      <c r="AW2891" s="68"/>
      <c r="AY2891" s="27"/>
      <c r="BD2891" s="68">
        <v>46054.1666666667</v>
      </c>
      <c r="BE2891" s="68">
        <v>46082.1666666667</v>
      </c>
      <c r="BF2891" s="0" t="b">
        <v>0</v>
      </c>
      <c r="BG2891" s="0" t="b">
        <v>0</v>
      </c>
      <c r="BH2891" s="0">
        <v>98</v>
      </c>
      <c r="BI2891" s="0">
        <v>98</v>
      </c>
      <c r="BJ2891" s="0" t="s">
        <v>135</v>
      </c>
    </row>
    <row r="2892">
      <c r="A2892" s="0" t="s">
        <v>3140</v>
      </c>
      <c r="B2892" s="0" t="s">
        <v>134</v>
      </c>
      <c r="C2892" s="0" t="s">
        <v>134</v>
      </c>
      <c r="D2892" s="0" t="s">
        <v>135</v>
      </c>
      <c r="E2892" s="0" t="s">
        <v>3</v>
      </c>
      <c r="F2892" s="0" t="s">
        <v>12</v>
      </c>
      <c r="G2892" s="0" t="s">
        <v>8</v>
      </c>
      <c r="H2892" s="0">
        <v>379</v>
      </c>
      <c r="I2892" s="0">
        <v>110</v>
      </c>
      <c r="J2892" s="0">
        <v>0</v>
      </c>
      <c r="K2892" s="0">
        <v>1</v>
      </c>
      <c r="L2892" s="0">
        <v>4</v>
      </c>
      <c r="M2892" s="0">
        <v>2</v>
      </c>
      <c r="N2892" s="0">
        <v>0</v>
      </c>
      <c r="O2892" s="0">
        <v>0</v>
      </c>
      <c r="P2892" s="0">
        <v>0</v>
      </c>
      <c r="R2892" s="0" t="b">
        <v>0</v>
      </c>
      <c r="S2892" s="0" t="b">
        <v>1</v>
      </c>
      <c r="T2892" s="68">
        <v>45674.1195023148</v>
      </c>
      <c r="U2892" s="68">
        <v>45713.2916666667</v>
      </c>
      <c r="V2892" s="68">
        <v>0</v>
      </c>
      <c r="W2892" s="0">
        <f>IF(IF(B2892="none",1,IF(B2892="Trialer",1,0))+IF(C2892="Customer",1,IF(C2892="Lost",1,0))=2,1,0)</f>
      </c>
      <c r="X2892" s="0" t="s">
        <v>136</v>
      </c>
      <c r="Y2892" s="0" t="s">
        <v>243</v>
      </c>
      <c r="AV2892" s="68"/>
      <c r="AW2892" s="68"/>
      <c r="AY2892" s="27"/>
      <c r="BD2892" s="68">
        <v>46054.1666666667</v>
      </c>
      <c r="BE2892" s="68">
        <v>46082.1666666667</v>
      </c>
      <c r="BF2892" s="0" t="b">
        <v>0</v>
      </c>
      <c r="BG2892" s="0" t="b">
        <v>0</v>
      </c>
      <c r="BH2892" s="0">
        <v>110</v>
      </c>
      <c r="BI2892" s="0">
        <v>110</v>
      </c>
      <c r="BJ2892" s="0" t="s">
        <v>135</v>
      </c>
    </row>
    <row r="2893">
      <c r="A2893" s="0" t="s">
        <v>3141</v>
      </c>
      <c r="B2893" s="0" t="s">
        <v>134</v>
      </c>
      <c r="C2893" s="0" t="s">
        <v>134</v>
      </c>
      <c r="D2893" s="0" t="s">
        <v>135</v>
      </c>
      <c r="E2893" s="0" t="s">
        <v>3</v>
      </c>
      <c r="F2893" s="0" t="s">
        <v>12</v>
      </c>
      <c r="G2893" s="0" t="s">
        <v>8</v>
      </c>
      <c r="H2893" s="0">
        <v>379</v>
      </c>
      <c r="I2893" s="0">
        <v>224</v>
      </c>
      <c r="J2893" s="0">
        <v>0</v>
      </c>
      <c r="K2893" s="0">
        <v>1</v>
      </c>
      <c r="L2893" s="0">
        <v>4</v>
      </c>
      <c r="M2893" s="0">
        <v>5</v>
      </c>
      <c r="N2893" s="0">
        <v>0</v>
      </c>
      <c r="O2893" s="0">
        <v>0</v>
      </c>
      <c r="P2893" s="0">
        <v>0</v>
      </c>
      <c r="R2893" s="0" t="b">
        <v>0</v>
      </c>
      <c r="S2893" s="0" t="b">
        <v>1</v>
      </c>
      <c r="T2893" s="68">
        <v>45674.5050694444</v>
      </c>
      <c r="U2893" s="68">
        <v>45688.2916666667</v>
      </c>
      <c r="V2893" s="68">
        <v>0</v>
      </c>
      <c r="W2893" s="0">
        <f>IF(IF(B2893="none",1,IF(B2893="Trialer",1,0))+IF(C2893="Customer",1,IF(C2893="Lost",1,0))=2,1,0)</f>
      </c>
      <c r="X2893" s="0" t="s">
        <v>882</v>
      </c>
      <c r="Y2893" s="0" t="s">
        <v>243</v>
      </c>
      <c r="AV2893" s="68"/>
      <c r="AW2893" s="68"/>
      <c r="AY2893" s="27"/>
      <c r="BD2893" s="68">
        <v>46054.1666666667</v>
      </c>
      <c r="BE2893" s="68">
        <v>46082.1666666667</v>
      </c>
      <c r="BF2893" s="0" t="b">
        <v>0</v>
      </c>
      <c r="BG2893" s="0" t="b">
        <v>0</v>
      </c>
      <c r="BH2893" s="0">
        <v>224</v>
      </c>
      <c r="BI2893" s="0">
        <v>224</v>
      </c>
      <c r="BJ2893" s="0" t="s">
        <v>135</v>
      </c>
    </row>
    <row r="2894">
      <c r="A2894" s="0" t="s">
        <v>3142</v>
      </c>
      <c r="B2894" s="0" t="s">
        <v>134</v>
      </c>
      <c r="C2894" s="0" t="s">
        <v>190</v>
      </c>
      <c r="D2894" s="0" t="s">
        <v>135</v>
      </c>
      <c r="E2894" s="0" t="s">
        <v>2</v>
      </c>
      <c r="F2894" s="0" t="s">
        <v>12</v>
      </c>
      <c r="G2894" s="0" t="s">
        <v>8</v>
      </c>
      <c r="H2894" s="0">
        <v>379</v>
      </c>
      <c r="I2894" s="0">
        <v>202</v>
      </c>
      <c r="J2894" s="0">
        <v>0</v>
      </c>
      <c r="K2894" s="0">
        <v>1</v>
      </c>
      <c r="L2894" s="0">
        <v>6</v>
      </c>
      <c r="M2894" s="0">
        <v>4</v>
      </c>
      <c r="N2894" s="0">
        <v>0</v>
      </c>
      <c r="O2894" s="0">
        <v>0</v>
      </c>
      <c r="P2894" s="0">
        <v>0</v>
      </c>
      <c r="R2894" s="0" t="b">
        <v>0</v>
      </c>
      <c r="S2894" s="0" t="b">
        <v>0</v>
      </c>
      <c r="T2894" s="68">
        <v>45674.5310763889</v>
      </c>
      <c r="U2894" s="68">
        <v>45715.2916666667</v>
      </c>
      <c r="V2894" s="68">
        <v>46079.5671643519</v>
      </c>
      <c r="W2894" s="0">
        <f>IF(IF(B2894="none",1,IF(B2894="Trialer",1,0))+IF(C2894="Customer",1,IF(C2894="Lost",1,0))=2,1,0)</f>
      </c>
      <c r="X2894" s="0" t="s">
        <v>148</v>
      </c>
      <c r="Y2894" s="0" t="s">
        <v>499</v>
      </c>
      <c r="AV2894" s="68"/>
      <c r="AW2894" s="68"/>
      <c r="AY2894" s="27"/>
      <c r="BD2894" s="68">
        <v>46054.1666666667</v>
      </c>
      <c r="BE2894" s="68">
        <v>46082.1666666667</v>
      </c>
      <c r="BF2894" s="0" t="b">
        <v>0</v>
      </c>
      <c r="BG2894" s="0" t="b">
        <v>0</v>
      </c>
      <c r="BH2894" s="0">
        <v>202</v>
      </c>
      <c r="BI2894" s="0">
        <v>202</v>
      </c>
      <c r="BJ2894" s="0" t="s">
        <v>135</v>
      </c>
    </row>
    <row r="2895">
      <c r="A2895" s="0" t="s">
        <v>3143</v>
      </c>
      <c r="B2895" s="0" t="s">
        <v>134</v>
      </c>
      <c r="C2895" s="0" t="s">
        <v>134</v>
      </c>
      <c r="D2895" s="0" t="s">
        <v>230</v>
      </c>
      <c r="E2895" s="0" t="s">
        <v>3</v>
      </c>
      <c r="F2895" s="0" t="s">
        <v>12</v>
      </c>
      <c r="G2895" s="0" t="s">
        <v>8</v>
      </c>
      <c r="H2895" s="0">
        <v>377</v>
      </c>
      <c r="I2895" s="0">
        <v>107</v>
      </c>
      <c r="J2895" s="0">
        <v>0</v>
      </c>
      <c r="K2895" s="0">
        <v>1</v>
      </c>
      <c r="L2895" s="0">
        <v>5</v>
      </c>
      <c r="M2895" s="0">
        <v>2</v>
      </c>
      <c r="N2895" s="0">
        <v>0</v>
      </c>
      <c r="O2895" s="0">
        <v>0</v>
      </c>
      <c r="P2895" s="0">
        <v>-107</v>
      </c>
      <c r="R2895" s="0" t="b">
        <v>0</v>
      </c>
      <c r="S2895" s="0" t="b">
        <v>1</v>
      </c>
      <c r="T2895" s="68">
        <v>45676.8368055556</v>
      </c>
      <c r="U2895" s="68">
        <v>45690.2916666667</v>
      </c>
      <c r="V2895" s="68">
        <v>0</v>
      </c>
      <c r="W2895" s="0">
        <f>IF(IF(B2895="none",1,IF(B2895="Trialer",1,0))+IF(C2895="Customer",1,IF(C2895="Lost",1,0))=2,1,0)</f>
      </c>
      <c r="X2895" s="0" t="s">
        <v>166</v>
      </c>
      <c r="Y2895" s="0" t="s">
        <v>243</v>
      </c>
      <c r="AV2895" s="68"/>
      <c r="AW2895" s="68"/>
      <c r="AY2895" s="27"/>
      <c r="BD2895" s="68">
        <v>46054.1666666667</v>
      </c>
      <c r="BE2895" s="68">
        <v>46082.1666666667</v>
      </c>
      <c r="BF2895" s="0" t="b">
        <v>0</v>
      </c>
      <c r="BG2895" s="0" t="b">
        <v>0</v>
      </c>
      <c r="BH2895" s="0">
        <v>122</v>
      </c>
      <c r="BI2895" s="0">
        <v>122</v>
      </c>
      <c r="BJ2895" s="0" t="s">
        <v>230</v>
      </c>
    </row>
    <row r="2896">
      <c r="A2896" s="0" t="s">
        <v>3144</v>
      </c>
      <c r="B2896" s="0" t="s">
        <v>134</v>
      </c>
      <c r="C2896" s="0" t="s">
        <v>134</v>
      </c>
      <c r="D2896" s="0" t="s">
        <v>135</v>
      </c>
      <c r="E2896" s="0" t="s">
        <v>2</v>
      </c>
      <c r="F2896" s="0" t="s">
        <v>12</v>
      </c>
      <c r="G2896" s="0" t="s">
        <v>8</v>
      </c>
      <c r="H2896" s="0">
        <v>376</v>
      </c>
      <c r="I2896" s="0">
        <v>468</v>
      </c>
      <c r="J2896" s="0">
        <v>0</v>
      </c>
      <c r="K2896" s="0">
        <v>1</v>
      </c>
      <c r="L2896" s="0">
        <v>4</v>
      </c>
      <c r="M2896" s="0">
        <v>9</v>
      </c>
      <c r="N2896" s="0">
        <v>0</v>
      </c>
      <c r="O2896" s="0">
        <v>0</v>
      </c>
      <c r="P2896" s="0">
        <v>0</v>
      </c>
      <c r="R2896" s="0" t="b">
        <v>0</v>
      </c>
      <c r="S2896" s="0" t="b">
        <v>1</v>
      </c>
      <c r="T2896" s="68">
        <v>45677.5347222222</v>
      </c>
      <c r="U2896" s="68">
        <v>45692.2916666667</v>
      </c>
      <c r="V2896" s="68">
        <v>0</v>
      </c>
      <c r="W2896" s="0">
        <f>IF(IF(B2896="none",1,IF(B2896="Trialer",1,0))+IF(C2896="Customer",1,IF(C2896="Lost",1,0))=2,1,0)</f>
      </c>
      <c r="X2896" s="0" t="s">
        <v>148</v>
      </c>
      <c r="Y2896" s="0" t="s">
        <v>499</v>
      </c>
      <c r="AV2896" s="68"/>
      <c r="AW2896" s="68"/>
      <c r="AY2896" s="27"/>
      <c r="BD2896" s="68">
        <v>46054.1666666667</v>
      </c>
      <c r="BE2896" s="68">
        <v>46082.1666666667</v>
      </c>
      <c r="BF2896" s="0" t="b">
        <v>0</v>
      </c>
      <c r="BG2896" s="0" t="b">
        <v>0</v>
      </c>
      <c r="BH2896" s="0">
        <v>407</v>
      </c>
      <c r="BI2896" s="0">
        <v>407</v>
      </c>
      <c r="BJ2896" s="0" t="s">
        <v>135</v>
      </c>
    </row>
    <row r="2897">
      <c r="A2897" s="0" t="s">
        <v>3145</v>
      </c>
      <c r="B2897" s="0" t="s">
        <v>134</v>
      </c>
      <c r="C2897" s="0" t="s">
        <v>134</v>
      </c>
      <c r="D2897" s="0" t="s">
        <v>135</v>
      </c>
      <c r="E2897" s="0" t="s">
        <v>3</v>
      </c>
      <c r="F2897" s="0" t="s">
        <v>12</v>
      </c>
      <c r="G2897" s="0" t="s">
        <v>8</v>
      </c>
      <c r="H2897" s="0">
        <v>376</v>
      </c>
      <c r="I2897" s="0">
        <v>423</v>
      </c>
      <c r="J2897" s="0">
        <v>0</v>
      </c>
      <c r="K2897" s="0">
        <v>1</v>
      </c>
      <c r="L2897" s="0">
        <v>4</v>
      </c>
      <c r="M2897" s="0">
        <v>9</v>
      </c>
      <c r="N2897" s="0">
        <v>0</v>
      </c>
      <c r="O2897" s="0">
        <v>0</v>
      </c>
      <c r="P2897" s="0">
        <v>0</v>
      </c>
      <c r="R2897" s="0" t="b">
        <v>0</v>
      </c>
      <c r="S2897" s="0" t="b">
        <v>1</v>
      </c>
      <c r="T2897" s="68">
        <v>45677.6540509259</v>
      </c>
      <c r="U2897" s="68">
        <v>45701.2916666667</v>
      </c>
      <c r="V2897" s="68">
        <v>0</v>
      </c>
      <c r="W2897" s="0">
        <f>IF(IF(B2897="none",1,IF(B2897="Trialer",1,0))+IF(C2897="Customer",1,IF(C2897="Lost",1,0))=2,1,0)</f>
      </c>
      <c r="X2897" s="0" t="s">
        <v>136</v>
      </c>
      <c r="Y2897" s="0" t="s">
        <v>243</v>
      </c>
      <c r="AV2897" s="68"/>
      <c r="AW2897" s="68"/>
      <c r="AY2897" s="27"/>
      <c r="BD2897" s="68">
        <v>46054.1666666667</v>
      </c>
      <c r="BE2897" s="68">
        <v>46082.1666666667</v>
      </c>
      <c r="BF2897" s="0" t="b">
        <v>0</v>
      </c>
      <c r="BG2897" s="0" t="b">
        <v>0</v>
      </c>
      <c r="BH2897" s="0">
        <v>444</v>
      </c>
      <c r="BI2897" s="0">
        <v>444</v>
      </c>
      <c r="BJ2897" s="0" t="s">
        <v>230</v>
      </c>
    </row>
    <row r="2898">
      <c r="A2898" s="0" t="s">
        <v>3146</v>
      </c>
      <c r="B2898" s="0" t="s">
        <v>134</v>
      </c>
      <c r="C2898" s="0" t="s">
        <v>134</v>
      </c>
      <c r="D2898" s="0" t="s">
        <v>135</v>
      </c>
      <c r="E2898" s="0" t="s">
        <v>3</v>
      </c>
      <c r="F2898" s="0" t="s">
        <v>12</v>
      </c>
      <c r="G2898" s="0" t="s">
        <v>8</v>
      </c>
      <c r="H2898" s="0">
        <v>376</v>
      </c>
      <c r="I2898" s="0">
        <v>1085</v>
      </c>
      <c r="J2898" s="0">
        <v>0</v>
      </c>
      <c r="K2898" s="0">
        <v>1</v>
      </c>
      <c r="L2898" s="0">
        <v>5</v>
      </c>
      <c r="M2898" s="0">
        <v>13</v>
      </c>
      <c r="N2898" s="0">
        <v>914.5</v>
      </c>
      <c r="O2898" s="0">
        <v>-77.5</v>
      </c>
      <c r="P2898" s="0">
        <v>0</v>
      </c>
      <c r="R2898" s="0" t="b">
        <v>0</v>
      </c>
      <c r="S2898" s="0" t="b">
        <v>1</v>
      </c>
      <c r="T2898" s="68">
        <v>45677.6990162037</v>
      </c>
      <c r="U2898" s="68">
        <v>45684.2916666667</v>
      </c>
      <c r="V2898" s="68">
        <v>0</v>
      </c>
      <c r="W2898" s="0">
        <f>IF(IF(B2898="none",1,IF(B2898="Trialer",1,0))+IF(C2898="Customer",1,IF(C2898="Lost",1,0))=2,1,0)</f>
      </c>
      <c r="X2898" s="0" t="s">
        <v>145</v>
      </c>
      <c r="Y2898" s="0" t="s">
        <v>243</v>
      </c>
      <c r="AV2898" s="68"/>
      <c r="AW2898" s="68"/>
      <c r="AY2898" s="27"/>
      <c r="BD2898" s="68">
        <v>46054.1666666667</v>
      </c>
      <c r="BE2898" s="68">
        <v>46082.1666666667</v>
      </c>
      <c r="BF2898" s="0" t="b">
        <v>0</v>
      </c>
      <c r="BG2898" s="0" t="b">
        <v>0</v>
      </c>
      <c r="BH2898" s="0">
        <v>760</v>
      </c>
      <c r="BI2898" s="0">
        <v>760</v>
      </c>
      <c r="BJ2898" s="0" t="s">
        <v>135</v>
      </c>
    </row>
    <row r="2899">
      <c r="A2899" s="0" t="s">
        <v>3147</v>
      </c>
      <c r="B2899" s="0" t="s">
        <v>134</v>
      </c>
      <c r="C2899" s="0" t="s">
        <v>134</v>
      </c>
      <c r="D2899" s="0" t="s">
        <v>135</v>
      </c>
      <c r="E2899" s="0" t="s">
        <v>3</v>
      </c>
      <c r="F2899" s="0" t="s">
        <v>12</v>
      </c>
      <c r="G2899" s="0" t="s">
        <v>8</v>
      </c>
      <c r="H2899" s="0">
        <v>376</v>
      </c>
      <c r="I2899" s="0">
        <v>386</v>
      </c>
      <c r="J2899" s="0">
        <v>0</v>
      </c>
      <c r="K2899" s="0">
        <v>1</v>
      </c>
      <c r="L2899" s="0">
        <v>4</v>
      </c>
      <c r="M2899" s="0">
        <v>1</v>
      </c>
      <c r="N2899" s="0">
        <v>0</v>
      </c>
      <c r="O2899" s="0">
        <v>0</v>
      </c>
      <c r="P2899" s="0">
        <v>0</v>
      </c>
      <c r="R2899" s="0" t="b">
        <v>0</v>
      </c>
      <c r="S2899" s="0" t="b">
        <v>1</v>
      </c>
      <c r="T2899" s="68">
        <v>45677.7347222222</v>
      </c>
      <c r="U2899" s="68">
        <v>45692.2916666667</v>
      </c>
      <c r="V2899" s="68">
        <v>0</v>
      </c>
      <c r="W2899" s="0">
        <f>IF(IF(B2899="none",1,IF(B2899="Trialer",1,0))+IF(C2899="Customer",1,IF(C2899="Lost",1,0))=2,1,0)</f>
      </c>
      <c r="X2899" s="0" t="s">
        <v>145</v>
      </c>
      <c r="Y2899" s="0" t="s">
        <v>243</v>
      </c>
      <c r="AV2899" s="68"/>
      <c r="AW2899" s="68"/>
      <c r="AY2899" s="27"/>
      <c r="BD2899" s="68">
        <v>46054.1666666667</v>
      </c>
      <c r="BE2899" s="68">
        <v>46082.1666666667</v>
      </c>
      <c r="BF2899" s="0" t="b">
        <v>0</v>
      </c>
      <c r="BG2899" s="0" t="b">
        <v>0</v>
      </c>
      <c r="BH2899" s="0">
        <v>61</v>
      </c>
      <c r="BI2899" s="0">
        <v>61</v>
      </c>
      <c r="BJ2899" s="0" t="s">
        <v>135</v>
      </c>
    </row>
    <row r="2900">
      <c r="A2900" s="0" t="s">
        <v>3148</v>
      </c>
      <c r="B2900" s="0" t="s">
        <v>134</v>
      </c>
      <c r="C2900" s="0" t="s">
        <v>134</v>
      </c>
      <c r="D2900" s="0" t="s">
        <v>135</v>
      </c>
      <c r="E2900" s="0" t="s">
        <v>2</v>
      </c>
      <c r="F2900" s="0" t="s">
        <v>12</v>
      </c>
      <c r="G2900" s="0" t="s">
        <v>8</v>
      </c>
      <c r="H2900" s="0">
        <v>375</v>
      </c>
      <c r="I2900" s="0">
        <v>211</v>
      </c>
      <c r="J2900" s="0">
        <v>0</v>
      </c>
      <c r="K2900" s="0">
        <v>1</v>
      </c>
      <c r="L2900" s="0">
        <v>5</v>
      </c>
      <c r="M2900" s="0">
        <v>4</v>
      </c>
      <c r="N2900" s="0">
        <v>0</v>
      </c>
      <c r="O2900" s="0">
        <v>0</v>
      </c>
      <c r="P2900" s="0">
        <v>0</v>
      </c>
      <c r="R2900" s="0" t="b">
        <v>0</v>
      </c>
      <c r="S2900" s="0" t="b">
        <v>1</v>
      </c>
      <c r="T2900" s="68">
        <v>45678.6660416667</v>
      </c>
      <c r="U2900" s="68">
        <v>45692.2916666667</v>
      </c>
      <c r="V2900" s="68">
        <v>0</v>
      </c>
      <c r="W2900" s="0">
        <f>IF(IF(B2900="none",1,IF(B2900="Trialer",1,0))+IF(C2900="Customer",1,IF(C2900="Lost",1,0))=2,1,0)</f>
      </c>
      <c r="X2900" s="0" t="s">
        <v>145</v>
      </c>
      <c r="Y2900" s="0" t="s">
        <v>499</v>
      </c>
      <c r="AV2900" s="68"/>
      <c r="AW2900" s="68"/>
      <c r="AY2900" s="27"/>
      <c r="BD2900" s="68">
        <v>46054.1666666667</v>
      </c>
      <c r="BE2900" s="68">
        <v>46082.1666666667</v>
      </c>
      <c r="BF2900" s="0" t="b">
        <v>0</v>
      </c>
      <c r="BG2900" s="0" t="b">
        <v>0</v>
      </c>
      <c r="BH2900" s="0">
        <v>211</v>
      </c>
      <c r="BI2900" s="0">
        <v>211</v>
      </c>
      <c r="BJ2900" s="0" t="s">
        <v>135</v>
      </c>
    </row>
    <row r="2901">
      <c r="A2901" s="0" t="s">
        <v>3149</v>
      </c>
      <c r="B2901" s="0" t="s">
        <v>134</v>
      </c>
      <c r="C2901" s="0" t="s">
        <v>134</v>
      </c>
      <c r="D2901" s="0" t="s">
        <v>135</v>
      </c>
      <c r="E2901" s="0" t="s">
        <v>2</v>
      </c>
      <c r="F2901" s="0" t="s">
        <v>12</v>
      </c>
      <c r="G2901" s="0" t="s">
        <v>8</v>
      </c>
      <c r="H2901" s="0">
        <v>375</v>
      </c>
      <c r="I2901" s="0">
        <v>49</v>
      </c>
      <c r="J2901" s="0">
        <v>0</v>
      </c>
      <c r="K2901" s="0">
        <v>1</v>
      </c>
      <c r="L2901" s="0">
        <v>3</v>
      </c>
      <c r="M2901" s="0">
        <v>1</v>
      </c>
      <c r="N2901" s="0">
        <v>0</v>
      </c>
      <c r="O2901" s="0">
        <v>0</v>
      </c>
      <c r="P2901" s="0">
        <v>0</v>
      </c>
      <c r="R2901" s="0" t="b">
        <v>0</v>
      </c>
      <c r="S2901" s="0" t="b">
        <v>1</v>
      </c>
      <c r="T2901" s="68">
        <v>45678.7188310185</v>
      </c>
      <c r="U2901" s="68">
        <v>45685.2916666667</v>
      </c>
      <c r="V2901" s="68">
        <v>0</v>
      </c>
      <c r="W2901" s="0">
        <f>IF(IF(B2901="none",1,IF(B2901="Trialer",1,0))+IF(C2901="Customer",1,IF(C2901="Lost",1,0))=2,1,0)</f>
      </c>
      <c r="X2901" s="0" t="s">
        <v>166</v>
      </c>
      <c r="Y2901" s="0" t="s">
        <v>499</v>
      </c>
      <c r="AV2901" s="68"/>
      <c r="AW2901" s="68"/>
      <c r="AY2901" s="27"/>
      <c r="BD2901" s="68">
        <v>46054.1666666667</v>
      </c>
      <c r="BE2901" s="68">
        <v>46082.1666666667</v>
      </c>
      <c r="BF2901" s="0" t="b">
        <v>0</v>
      </c>
      <c r="BG2901" s="0" t="b">
        <v>0</v>
      </c>
      <c r="BH2901" s="0">
        <v>49</v>
      </c>
      <c r="BI2901" s="0">
        <v>49</v>
      </c>
      <c r="BJ2901" s="0" t="s">
        <v>135</v>
      </c>
    </row>
    <row r="2902">
      <c r="A2902" s="0" t="s">
        <v>3116</v>
      </c>
      <c r="B2902" s="0" t="s">
        <v>134</v>
      </c>
      <c r="C2902" s="0" t="s">
        <v>134</v>
      </c>
      <c r="D2902" s="0" t="s">
        <v>135</v>
      </c>
      <c r="E2902" s="0" t="s">
        <v>3</v>
      </c>
      <c r="F2902" s="0" t="s">
        <v>12</v>
      </c>
      <c r="G2902" s="0" t="s">
        <v>8</v>
      </c>
      <c r="H2902" s="0">
        <v>374</v>
      </c>
      <c r="I2902" s="0">
        <v>0</v>
      </c>
      <c r="J2902" s="0">
        <v>0</v>
      </c>
      <c r="K2902" s="0">
        <v>1</v>
      </c>
      <c r="L2902" s="0">
        <v>3</v>
      </c>
      <c r="M2902" s="0">
        <v>1</v>
      </c>
      <c r="N2902" s="0">
        <v>0</v>
      </c>
      <c r="O2902" s="0">
        <v>0</v>
      </c>
      <c r="P2902" s="0">
        <v>0</v>
      </c>
      <c r="R2902" s="0" t="b">
        <v>0</v>
      </c>
      <c r="S2902" s="0" t="b">
        <v>1</v>
      </c>
      <c r="T2902" s="68">
        <v>45679.7145833333</v>
      </c>
      <c r="U2902" s="68">
        <v>45679.2916666667</v>
      </c>
      <c r="V2902" s="68">
        <v>0</v>
      </c>
      <c r="W2902" s="0">
        <f>IF(IF(B2902="none",1,IF(B2902="Trialer",1,0))+IF(C2902="Customer",1,IF(C2902="Lost",1,0))=2,1,0)</f>
      </c>
      <c r="X2902" s="0" t="s">
        <v>136</v>
      </c>
      <c r="Y2902" s="0" t="s">
        <v>243</v>
      </c>
      <c r="AV2902" s="68"/>
      <c r="AW2902" s="68"/>
      <c r="AY2902" s="27"/>
      <c r="BD2902" s="68">
        <v>46054.1666666667</v>
      </c>
      <c r="BE2902" s="68">
        <v>46082.1666666667</v>
      </c>
      <c r="BF2902" s="0" t="b">
        <v>0</v>
      </c>
      <c r="BG2902" s="0" t="b">
        <v>0</v>
      </c>
      <c r="BH2902" s="0">
        <v>0</v>
      </c>
      <c r="BI2902" s="0">
        <v>0</v>
      </c>
      <c r="BJ2902" s="0" t="s">
        <v>135</v>
      </c>
    </row>
    <row r="2903">
      <c r="A2903" s="0" t="s">
        <v>3150</v>
      </c>
      <c r="B2903" s="0" t="s">
        <v>134</v>
      </c>
      <c r="C2903" s="0" t="s">
        <v>190</v>
      </c>
      <c r="D2903" s="0" t="s">
        <v>230</v>
      </c>
      <c r="E2903" s="0" t="s">
        <v>3</v>
      </c>
      <c r="F2903" s="0" t="s">
        <v>12</v>
      </c>
      <c r="G2903" s="0" t="s">
        <v>8</v>
      </c>
      <c r="H2903" s="0">
        <v>374</v>
      </c>
      <c r="I2903" s="0">
        <v>237.75</v>
      </c>
      <c r="J2903" s="0">
        <v>0</v>
      </c>
      <c r="K2903" s="0">
        <v>1</v>
      </c>
      <c r="L2903" s="0">
        <v>5</v>
      </c>
      <c r="M2903" s="0">
        <v>5</v>
      </c>
      <c r="N2903" s="0">
        <v>0</v>
      </c>
      <c r="O2903" s="0">
        <v>0</v>
      </c>
      <c r="P2903" s="0">
        <v>-237.75</v>
      </c>
      <c r="R2903" s="0" t="b">
        <v>0</v>
      </c>
      <c r="S2903" s="0" t="b">
        <v>0</v>
      </c>
      <c r="T2903" s="68">
        <v>45679.7598958333</v>
      </c>
      <c r="U2903" s="68">
        <v>45717.2916666667</v>
      </c>
      <c r="V2903" s="68">
        <v>46055.7058449074</v>
      </c>
      <c r="W2903" s="0">
        <f>IF(IF(B2903="none",1,IF(B2903="Trialer",1,0))+IF(C2903="Customer",1,IF(C2903="Lost",1,0))=2,1,0)</f>
      </c>
      <c r="X2903" s="0" t="s">
        <v>148</v>
      </c>
      <c r="Y2903" s="0" t="s">
        <v>243</v>
      </c>
      <c r="AV2903" s="68"/>
      <c r="AW2903" s="68"/>
      <c r="AY2903" s="27"/>
      <c r="BD2903" s="68">
        <v>46054.1666666667</v>
      </c>
      <c r="BE2903" s="68">
        <v>46082.1666666667</v>
      </c>
      <c r="BF2903" s="0" t="b">
        <v>0</v>
      </c>
      <c r="BG2903" s="0" t="b">
        <v>0</v>
      </c>
      <c r="BH2903" s="0">
        <v>317</v>
      </c>
      <c r="BI2903" s="0">
        <v>317</v>
      </c>
      <c r="BJ2903" s="0" t="s">
        <v>135</v>
      </c>
    </row>
    <row r="2904">
      <c r="A2904" s="0" t="s">
        <v>3151</v>
      </c>
      <c r="B2904" s="0" t="s">
        <v>134</v>
      </c>
      <c r="C2904" s="0" t="s">
        <v>134</v>
      </c>
      <c r="D2904" s="0" t="s">
        <v>230</v>
      </c>
      <c r="E2904" s="0" t="s">
        <v>3</v>
      </c>
      <c r="F2904" s="0" t="s">
        <v>12</v>
      </c>
      <c r="G2904" s="0" t="s">
        <v>8</v>
      </c>
      <c r="H2904" s="0">
        <v>374</v>
      </c>
      <c r="I2904" s="0">
        <v>50</v>
      </c>
      <c r="J2904" s="0">
        <v>0</v>
      </c>
      <c r="K2904" s="0">
        <v>1</v>
      </c>
      <c r="L2904" s="0">
        <v>1</v>
      </c>
      <c r="M2904" s="0">
        <v>2</v>
      </c>
      <c r="N2904" s="0">
        <v>0</v>
      </c>
      <c r="O2904" s="0">
        <v>0</v>
      </c>
      <c r="P2904" s="0">
        <v>550</v>
      </c>
      <c r="R2904" s="0" t="b">
        <v>0</v>
      </c>
      <c r="S2904" s="0" t="b">
        <v>1</v>
      </c>
      <c r="T2904" s="68">
        <v>45679.9373958333</v>
      </c>
      <c r="U2904" s="68">
        <v>45699.2916666667</v>
      </c>
      <c r="V2904" s="68">
        <v>0</v>
      </c>
      <c r="W2904" s="0">
        <f>IF(IF(B2904="none",1,IF(B2904="Trialer",1,0))+IF(C2904="Customer",1,IF(C2904="Lost",1,0))=2,1,0)</f>
      </c>
      <c r="X2904" s="0" t="s">
        <v>166</v>
      </c>
      <c r="Y2904" s="0" t="s">
        <v>243</v>
      </c>
      <c r="AV2904" s="68"/>
      <c r="AW2904" s="68"/>
      <c r="AY2904" s="27"/>
      <c r="BD2904" s="68">
        <v>46054.1666666667</v>
      </c>
      <c r="BE2904" s="68">
        <v>46082.1666666667</v>
      </c>
      <c r="BF2904" s="0" t="b">
        <v>0</v>
      </c>
      <c r="BG2904" s="0" t="b">
        <v>0</v>
      </c>
      <c r="BH2904" s="0">
        <v>56</v>
      </c>
      <c r="BI2904" s="0">
        <v>56</v>
      </c>
      <c r="BJ2904" s="0" t="s">
        <v>230</v>
      </c>
    </row>
    <row r="2905">
      <c r="A2905" s="0" t="s">
        <v>3152</v>
      </c>
      <c r="B2905" s="0" t="s">
        <v>134</v>
      </c>
      <c r="C2905" s="0" t="s">
        <v>134</v>
      </c>
      <c r="D2905" s="0" t="s">
        <v>230</v>
      </c>
      <c r="E2905" s="0" t="s">
        <v>2</v>
      </c>
      <c r="F2905" s="0" t="s">
        <v>10</v>
      </c>
      <c r="G2905" s="0" t="s">
        <v>8</v>
      </c>
      <c r="H2905" s="0">
        <v>373</v>
      </c>
      <c r="I2905" s="0">
        <v>132</v>
      </c>
      <c r="J2905" s="0">
        <v>0</v>
      </c>
      <c r="K2905" s="0">
        <v>1</v>
      </c>
      <c r="L2905" s="0">
        <v>3</v>
      </c>
      <c r="M2905" s="0">
        <v>3</v>
      </c>
      <c r="N2905" s="0">
        <v>0</v>
      </c>
      <c r="O2905" s="0">
        <v>0</v>
      </c>
      <c r="P2905" s="0">
        <v>-132</v>
      </c>
      <c r="Q2905" s="0" t="s">
        <v>756</v>
      </c>
      <c r="R2905" s="0" t="b">
        <v>0</v>
      </c>
      <c r="S2905" s="0" t="b">
        <v>1</v>
      </c>
      <c r="T2905" s="68">
        <v>45680.4837731481</v>
      </c>
      <c r="U2905" s="68">
        <v>45694.2916666667</v>
      </c>
      <c r="V2905" s="68">
        <v>0</v>
      </c>
      <c r="W2905" s="0">
        <f>IF(IF(B2905="none",1,IF(B2905="Trialer",1,0))+IF(C2905="Customer",1,IF(C2905="Lost",1,0))=2,1,0)</f>
      </c>
      <c r="X2905" s="0" t="s">
        <v>136</v>
      </c>
      <c r="Y2905" s="0" t="s">
        <v>499</v>
      </c>
      <c r="AV2905" s="68"/>
      <c r="AW2905" s="68"/>
      <c r="AY2905" s="27"/>
      <c r="BD2905" s="68">
        <v>46054.1666666667</v>
      </c>
      <c r="BE2905" s="68">
        <v>46082.1666666667</v>
      </c>
      <c r="BF2905" s="0" t="b">
        <v>0</v>
      </c>
      <c r="BG2905" s="0" t="b">
        <v>0</v>
      </c>
      <c r="BH2905" s="0">
        <v>147</v>
      </c>
      <c r="BI2905" s="0">
        <v>147</v>
      </c>
      <c r="BJ2905" s="0" t="s">
        <v>230</v>
      </c>
    </row>
    <row r="2906">
      <c r="A2906" s="0" t="s">
        <v>3153</v>
      </c>
      <c r="B2906" s="0" t="s">
        <v>134</v>
      </c>
      <c r="C2906" s="0" t="s">
        <v>134</v>
      </c>
      <c r="D2906" s="0" t="s">
        <v>135</v>
      </c>
      <c r="E2906" s="0" t="s">
        <v>2</v>
      </c>
      <c r="F2906" s="0" t="s">
        <v>12</v>
      </c>
      <c r="G2906" s="0" t="s">
        <v>8</v>
      </c>
      <c r="H2906" s="0">
        <v>373</v>
      </c>
      <c r="I2906" s="0">
        <v>915</v>
      </c>
      <c r="J2906" s="0">
        <v>0</v>
      </c>
      <c r="K2906" s="0">
        <v>1</v>
      </c>
      <c r="L2906" s="0">
        <v>4</v>
      </c>
      <c r="M2906" s="0">
        <v>14</v>
      </c>
      <c r="N2906" s="0">
        <v>0</v>
      </c>
      <c r="O2906" s="0">
        <v>0</v>
      </c>
      <c r="P2906" s="0">
        <v>0</v>
      </c>
      <c r="R2906" s="0" t="b">
        <v>0</v>
      </c>
      <c r="S2906" s="0" t="b">
        <v>1</v>
      </c>
      <c r="T2906" s="68">
        <v>45680.5218981481</v>
      </c>
      <c r="U2906" s="68">
        <v>45693.2916666667</v>
      </c>
      <c r="V2906" s="68">
        <v>0</v>
      </c>
      <c r="W2906" s="0">
        <f>IF(IF(B2906="none",1,IF(B2906="Trialer",1,0))+IF(C2906="Customer",1,IF(C2906="Lost",1,0))=2,1,0)</f>
      </c>
      <c r="X2906" s="0" t="s">
        <v>148</v>
      </c>
      <c r="Y2906" s="0" t="s">
        <v>499</v>
      </c>
      <c r="AV2906" s="68"/>
      <c r="AW2906" s="68"/>
      <c r="AY2906" s="27"/>
      <c r="BD2906" s="68">
        <v>46054.1666666667</v>
      </c>
      <c r="BE2906" s="68">
        <v>46082.1666666667</v>
      </c>
      <c r="BF2906" s="0" t="b">
        <v>0</v>
      </c>
      <c r="BG2906" s="0" t="b">
        <v>0</v>
      </c>
      <c r="BH2906" s="0">
        <v>651</v>
      </c>
      <c r="BI2906" s="0">
        <v>639</v>
      </c>
      <c r="BJ2906" s="0" t="s">
        <v>135</v>
      </c>
    </row>
    <row r="2907">
      <c r="A2907" s="0" t="s">
        <v>3154</v>
      </c>
      <c r="B2907" s="0" t="s">
        <v>134</v>
      </c>
      <c r="C2907" s="0" t="s">
        <v>134</v>
      </c>
      <c r="D2907" s="0" t="s">
        <v>135</v>
      </c>
      <c r="E2907" s="0" t="s">
        <v>3</v>
      </c>
      <c r="F2907" s="0" t="s">
        <v>12</v>
      </c>
      <c r="G2907" s="0" t="s">
        <v>8</v>
      </c>
      <c r="H2907" s="0">
        <v>373</v>
      </c>
      <c r="I2907" s="0">
        <v>49</v>
      </c>
      <c r="J2907" s="0">
        <v>0</v>
      </c>
      <c r="K2907" s="0">
        <v>1</v>
      </c>
      <c r="L2907" s="0">
        <v>3</v>
      </c>
      <c r="M2907" s="0">
        <v>1</v>
      </c>
      <c r="N2907" s="0">
        <v>0</v>
      </c>
      <c r="O2907" s="0">
        <v>0</v>
      </c>
      <c r="P2907" s="0">
        <v>0</v>
      </c>
      <c r="R2907" s="0" t="b">
        <v>0</v>
      </c>
      <c r="S2907" s="0" t="b">
        <v>1</v>
      </c>
      <c r="T2907" s="68">
        <v>45680.6444212963</v>
      </c>
      <c r="U2907" s="68">
        <v>45694.2916666667</v>
      </c>
      <c r="V2907" s="68">
        <v>0</v>
      </c>
      <c r="W2907" s="0">
        <f>IF(IF(B2907="none",1,IF(B2907="Trialer",1,0))+IF(C2907="Customer",1,IF(C2907="Lost",1,0))=2,1,0)</f>
      </c>
      <c r="X2907" s="0" t="s">
        <v>153</v>
      </c>
      <c r="Y2907" s="0" t="s">
        <v>243</v>
      </c>
      <c r="AV2907" s="68"/>
      <c r="AW2907" s="68"/>
      <c r="AY2907" s="27"/>
      <c r="BD2907" s="68">
        <v>46054.1666666667</v>
      </c>
      <c r="BE2907" s="68">
        <v>46082.1666666667</v>
      </c>
      <c r="BF2907" s="0" t="b">
        <v>0</v>
      </c>
      <c r="BG2907" s="0" t="b">
        <v>0</v>
      </c>
      <c r="BH2907" s="0">
        <v>49</v>
      </c>
      <c r="BI2907" s="0">
        <v>49</v>
      </c>
      <c r="BJ2907" s="0" t="s">
        <v>135</v>
      </c>
    </row>
    <row r="2908">
      <c r="A2908" s="0" t="s">
        <v>3155</v>
      </c>
      <c r="B2908" s="0" t="s">
        <v>134</v>
      </c>
      <c r="C2908" s="0" t="s">
        <v>134</v>
      </c>
      <c r="D2908" s="0" t="s">
        <v>135</v>
      </c>
      <c r="E2908" s="0" t="s">
        <v>3</v>
      </c>
      <c r="F2908" s="0" t="s">
        <v>12</v>
      </c>
      <c r="G2908" s="0" t="s">
        <v>8</v>
      </c>
      <c r="H2908" s="0">
        <v>372</v>
      </c>
      <c r="I2908" s="0">
        <v>49</v>
      </c>
      <c r="J2908" s="0">
        <v>0</v>
      </c>
      <c r="K2908" s="0">
        <v>1</v>
      </c>
      <c r="L2908" s="0">
        <v>3</v>
      </c>
      <c r="M2908" s="0">
        <v>1</v>
      </c>
      <c r="N2908" s="0">
        <v>0</v>
      </c>
      <c r="O2908" s="0">
        <v>0</v>
      </c>
      <c r="P2908" s="0">
        <v>0</v>
      </c>
      <c r="R2908" s="0" t="b">
        <v>0</v>
      </c>
      <c r="S2908" s="0" t="b">
        <v>1</v>
      </c>
      <c r="T2908" s="68">
        <v>45681.4237615741</v>
      </c>
      <c r="U2908" s="68">
        <v>45695.2916666667</v>
      </c>
      <c r="V2908" s="68">
        <v>0</v>
      </c>
      <c r="W2908" s="0">
        <f>IF(IF(B2908="none",1,IF(B2908="Trialer",1,0))+IF(C2908="Customer",1,IF(C2908="Lost",1,0))=2,1,0)</f>
      </c>
      <c r="X2908" s="0" t="s">
        <v>142</v>
      </c>
      <c r="Y2908" s="0" t="s">
        <v>243</v>
      </c>
      <c r="AV2908" s="68"/>
      <c r="AW2908" s="68"/>
      <c r="AY2908" s="27"/>
      <c r="BD2908" s="68">
        <v>46054.1666666667</v>
      </c>
      <c r="BE2908" s="68">
        <v>46082.1666666667</v>
      </c>
      <c r="BF2908" s="0" t="b">
        <v>0</v>
      </c>
      <c r="BG2908" s="0" t="b">
        <v>0</v>
      </c>
      <c r="BH2908" s="0">
        <v>49</v>
      </c>
      <c r="BI2908" s="0">
        <v>49</v>
      </c>
      <c r="BJ2908" s="0" t="s">
        <v>135</v>
      </c>
    </row>
    <row r="2909">
      <c r="A2909" s="0" t="s">
        <v>3156</v>
      </c>
      <c r="B2909" s="0" t="s">
        <v>134</v>
      </c>
      <c r="C2909" s="0" t="s">
        <v>134</v>
      </c>
      <c r="D2909" s="0" t="s">
        <v>135</v>
      </c>
      <c r="E2909" s="0" t="s">
        <v>3</v>
      </c>
      <c r="F2909" s="0" t="s">
        <v>12</v>
      </c>
      <c r="G2909" s="0" t="s">
        <v>8</v>
      </c>
      <c r="H2909" s="0">
        <v>372</v>
      </c>
      <c r="I2909" s="0">
        <v>169</v>
      </c>
      <c r="J2909" s="0">
        <v>0</v>
      </c>
      <c r="K2909" s="0">
        <v>1</v>
      </c>
      <c r="L2909" s="0">
        <v>3</v>
      </c>
      <c r="M2909" s="0">
        <v>4</v>
      </c>
      <c r="N2909" s="0">
        <v>0</v>
      </c>
      <c r="O2909" s="0">
        <v>0</v>
      </c>
      <c r="P2909" s="0">
        <v>0</v>
      </c>
      <c r="R2909" s="0" t="b">
        <v>0</v>
      </c>
      <c r="S2909" s="0" t="b">
        <v>1</v>
      </c>
      <c r="T2909" s="68">
        <v>45681.5513773148</v>
      </c>
      <c r="U2909" s="68">
        <v>45693.2916666667</v>
      </c>
      <c r="V2909" s="68">
        <v>0</v>
      </c>
      <c r="W2909" s="0">
        <f>IF(IF(B2909="none",1,IF(B2909="Trialer",1,0))+IF(C2909="Customer",1,IF(C2909="Lost",1,0))=2,1,0)</f>
      </c>
      <c r="X2909" s="0" t="s">
        <v>145</v>
      </c>
      <c r="Y2909" s="0" t="s">
        <v>243</v>
      </c>
      <c r="AV2909" s="68"/>
      <c r="AW2909" s="68"/>
      <c r="AY2909" s="27"/>
      <c r="BD2909" s="68">
        <v>46054.1666666667</v>
      </c>
      <c r="BE2909" s="68">
        <v>46082.1666666667</v>
      </c>
      <c r="BF2909" s="0" t="b">
        <v>0</v>
      </c>
      <c r="BG2909" s="0" t="b">
        <v>0</v>
      </c>
      <c r="BH2909" s="0">
        <v>169</v>
      </c>
      <c r="BI2909" s="0">
        <v>169</v>
      </c>
      <c r="BJ2909" s="0" t="s">
        <v>135</v>
      </c>
    </row>
    <row r="2910">
      <c r="A2910" s="0" t="s">
        <v>3157</v>
      </c>
      <c r="B2910" s="0" t="s">
        <v>134</v>
      </c>
      <c r="C2910" s="0" t="s">
        <v>134</v>
      </c>
      <c r="D2910" s="0" t="s">
        <v>135</v>
      </c>
      <c r="E2910" s="0" t="s">
        <v>3</v>
      </c>
      <c r="F2910" s="0" t="s">
        <v>12</v>
      </c>
      <c r="G2910" s="0" t="s">
        <v>8</v>
      </c>
      <c r="H2910" s="0">
        <v>372</v>
      </c>
      <c r="I2910" s="0">
        <v>98</v>
      </c>
      <c r="J2910" s="0">
        <v>0</v>
      </c>
      <c r="K2910" s="0">
        <v>1</v>
      </c>
      <c r="L2910" s="0">
        <v>3</v>
      </c>
      <c r="M2910" s="0">
        <v>2</v>
      </c>
      <c r="N2910" s="0">
        <v>0</v>
      </c>
      <c r="O2910" s="0">
        <v>0</v>
      </c>
      <c r="P2910" s="0">
        <v>0</v>
      </c>
      <c r="R2910" s="0" t="b">
        <v>0</v>
      </c>
      <c r="S2910" s="0" t="b">
        <v>1</v>
      </c>
      <c r="T2910" s="68">
        <v>45681.5666666667</v>
      </c>
      <c r="U2910" s="68">
        <v>45695.2916666667</v>
      </c>
      <c r="V2910" s="68">
        <v>0</v>
      </c>
      <c r="W2910" s="0">
        <f>IF(IF(B2910="none",1,IF(B2910="Trialer",1,0))+IF(C2910="Customer",1,IF(C2910="Lost",1,0))=2,1,0)</f>
      </c>
      <c r="X2910" s="0" t="s">
        <v>166</v>
      </c>
      <c r="Y2910" s="0" t="s">
        <v>243</v>
      </c>
      <c r="AV2910" s="68"/>
      <c r="AW2910" s="68"/>
      <c r="AY2910" s="27"/>
      <c r="BD2910" s="68">
        <v>46054.1666666667</v>
      </c>
      <c r="BE2910" s="68">
        <v>46082.1666666667</v>
      </c>
      <c r="BF2910" s="0" t="b">
        <v>0</v>
      </c>
      <c r="BG2910" s="0" t="b">
        <v>0</v>
      </c>
      <c r="BH2910" s="0">
        <v>98</v>
      </c>
      <c r="BI2910" s="0">
        <v>98</v>
      </c>
      <c r="BJ2910" s="0" t="s">
        <v>135</v>
      </c>
    </row>
    <row r="2911">
      <c r="A2911" s="0" t="s">
        <v>3158</v>
      </c>
      <c r="B2911" s="0" t="s">
        <v>134</v>
      </c>
      <c r="C2911" s="0" t="s">
        <v>134</v>
      </c>
      <c r="D2911" s="0" t="s">
        <v>135</v>
      </c>
      <c r="E2911" s="0" t="s">
        <v>3</v>
      </c>
      <c r="F2911" s="0" t="s">
        <v>12</v>
      </c>
      <c r="G2911" s="0" t="s">
        <v>8</v>
      </c>
      <c r="H2911" s="0">
        <v>372</v>
      </c>
      <c r="I2911" s="0">
        <v>40</v>
      </c>
      <c r="J2911" s="0">
        <v>0</v>
      </c>
      <c r="K2911" s="0">
        <v>1</v>
      </c>
      <c r="L2911" s="0">
        <v>2</v>
      </c>
      <c r="M2911" s="0">
        <v>1</v>
      </c>
      <c r="N2911" s="0">
        <v>0</v>
      </c>
      <c r="O2911" s="0">
        <v>0</v>
      </c>
      <c r="P2911" s="0">
        <v>0</v>
      </c>
      <c r="R2911" s="0" t="b">
        <v>0</v>
      </c>
      <c r="S2911" s="0" t="b">
        <v>1</v>
      </c>
      <c r="T2911" s="68">
        <v>45681.9334027778</v>
      </c>
      <c r="U2911" s="68">
        <v>45699.2916666667</v>
      </c>
      <c r="V2911" s="68">
        <v>0</v>
      </c>
      <c r="W2911" s="0">
        <f>IF(IF(B2911="none",1,IF(B2911="Trialer",1,0))+IF(C2911="Customer",1,IF(C2911="Lost",1,0))=2,1,0)</f>
      </c>
      <c r="X2911" s="0" t="s">
        <v>142</v>
      </c>
      <c r="Y2911" s="0" t="s">
        <v>243</v>
      </c>
      <c r="AV2911" s="68"/>
      <c r="AW2911" s="68"/>
      <c r="AY2911" s="27"/>
      <c r="BD2911" s="68">
        <v>46054.1666666667</v>
      </c>
      <c r="BE2911" s="68">
        <v>46082.1666666667</v>
      </c>
      <c r="BF2911" s="0" t="b">
        <v>0</v>
      </c>
      <c r="BG2911" s="0" t="b">
        <v>0</v>
      </c>
      <c r="BH2911" s="0">
        <v>40</v>
      </c>
      <c r="BI2911" s="0">
        <v>40</v>
      </c>
      <c r="BJ2911" s="0" t="s">
        <v>135</v>
      </c>
    </row>
    <row r="2912">
      <c r="A2912" s="0" t="s">
        <v>3159</v>
      </c>
      <c r="B2912" s="0" t="s">
        <v>134</v>
      </c>
      <c r="C2912" s="0" t="s">
        <v>134</v>
      </c>
      <c r="D2912" s="0" t="s">
        <v>135</v>
      </c>
      <c r="E2912" s="0" t="s">
        <v>2</v>
      </c>
      <c r="F2912" s="0" t="s">
        <v>12</v>
      </c>
      <c r="G2912" s="0" t="s">
        <v>8</v>
      </c>
      <c r="H2912" s="0">
        <v>371</v>
      </c>
      <c r="I2912" s="0">
        <v>80</v>
      </c>
      <c r="J2912" s="0">
        <v>0</v>
      </c>
      <c r="K2912" s="0">
        <v>1</v>
      </c>
      <c r="L2912" s="0">
        <v>2</v>
      </c>
      <c r="M2912" s="0">
        <v>2</v>
      </c>
      <c r="N2912" s="0">
        <v>0</v>
      </c>
      <c r="O2912" s="0">
        <v>0</v>
      </c>
      <c r="P2912" s="0">
        <v>0</v>
      </c>
      <c r="R2912" s="0" t="b">
        <v>0</v>
      </c>
      <c r="S2912" s="0" t="b">
        <v>1</v>
      </c>
      <c r="T2912" s="68">
        <v>45682.636412037</v>
      </c>
      <c r="U2912" s="68">
        <v>45696.2916666667</v>
      </c>
      <c r="V2912" s="68">
        <v>0</v>
      </c>
      <c r="W2912" s="0">
        <f>IF(IF(B2912="none",1,IF(B2912="Trialer",1,0))+IF(C2912="Customer",1,IF(C2912="Lost",1,0))=2,1,0)</f>
      </c>
      <c r="X2912" s="0" t="s">
        <v>142</v>
      </c>
      <c r="Y2912" s="0" t="s">
        <v>499</v>
      </c>
      <c r="AV2912" s="68"/>
      <c r="AW2912" s="68"/>
      <c r="AY2912" s="27"/>
      <c r="BD2912" s="68">
        <v>46054.1666666667</v>
      </c>
      <c r="BE2912" s="68">
        <v>46082.1666666667</v>
      </c>
      <c r="BF2912" s="0" t="b">
        <v>0</v>
      </c>
      <c r="BG2912" s="0" t="b">
        <v>0</v>
      </c>
      <c r="BH2912" s="0">
        <v>80</v>
      </c>
      <c r="BI2912" s="0">
        <v>80</v>
      </c>
      <c r="BJ2912" s="0" t="s">
        <v>135</v>
      </c>
    </row>
    <row r="2913">
      <c r="A2913" s="0" t="s">
        <v>3160</v>
      </c>
      <c r="B2913" s="0" t="s">
        <v>134</v>
      </c>
      <c r="C2913" s="0" t="s">
        <v>134</v>
      </c>
      <c r="D2913" s="0" t="s">
        <v>135</v>
      </c>
      <c r="E2913" s="0" t="s">
        <v>3</v>
      </c>
      <c r="F2913" s="0" t="s">
        <v>12</v>
      </c>
      <c r="G2913" s="0" t="s">
        <v>8</v>
      </c>
      <c r="H2913" s="0">
        <v>370</v>
      </c>
      <c r="I2913" s="0">
        <v>374</v>
      </c>
      <c r="J2913" s="0">
        <v>0</v>
      </c>
      <c r="K2913" s="0">
        <v>1</v>
      </c>
      <c r="L2913" s="0">
        <v>3</v>
      </c>
      <c r="M2913" s="0">
        <v>1</v>
      </c>
      <c r="N2913" s="0">
        <v>0</v>
      </c>
      <c r="O2913" s="0">
        <v>0</v>
      </c>
      <c r="P2913" s="0">
        <v>0</v>
      </c>
      <c r="R2913" s="0" t="b">
        <v>0</v>
      </c>
      <c r="S2913" s="0" t="b">
        <v>1</v>
      </c>
      <c r="T2913" s="68">
        <v>45683.6673958333</v>
      </c>
      <c r="U2913" s="68">
        <v>45697.2916666667</v>
      </c>
      <c r="V2913" s="68">
        <v>0</v>
      </c>
      <c r="W2913" s="0">
        <f>IF(IF(B2913="none",1,IF(B2913="Trialer",1,0))+IF(C2913="Customer",1,IF(C2913="Lost",1,0))=2,1,0)</f>
      </c>
      <c r="X2913" s="0" t="s">
        <v>153</v>
      </c>
      <c r="Y2913" s="0" t="s">
        <v>243</v>
      </c>
      <c r="AV2913" s="68"/>
      <c r="AW2913" s="68"/>
      <c r="AY2913" s="27"/>
      <c r="BD2913" s="68">
        <v>46054.1666666667</v>
      </c>
      <c r="BE2913" s="68">
        <v>46082.1666666667</v>
      </c>
      <c r="BF2913" s="0" t="b">
        <v>0</v>
      </c>
      <c r="BG2913" s="0" t="b">
        <v>0</v>
      </c>
      <c r="BH2913" s="0">
        <v>49</v>
      </c>
      <c r="BI2913" s="0">
        <v>49</v>
      </c>
      <c r="BJ2913" s="0" t="s">
        <v>135</v>
      </c>
    </row>
    <row r="2914">
      <c r="A2914" s="0" t="s">
        <v>3161</v>
      </c>
      <c r="B2914" s="0" t="s">
        <v>134</v>
      </c>
      <c r="C2914" s="0" t="s">
        <v>134</v>
      </c>
      <c r="D2914" s="0" t="s">
        <v>230</v>
      </c>
      <c r="E2914" s="0" t="s">
        <v>3</v>
      </c>
      <c r="F2914" s="0" t="s">
        <v>12</v>
      </c>
      <c r="G2914" s="0" t="s">
        <v>8</v>
      </c>
      <c r="H2914" s="0">
        <v>369</v>
      </c>
      <c r="I2914" s="0">
        <v>266.4</v>
      </c>
      <c r="J2914" s="0">
        <v>0</v>
      </c>
      <c r="K2914" s="0">
        <v>1</v>
      </c>
      <c r="L2914" s="0">
        <v>4</v>
      </c>
      <c r="M2914" s="0">
        <v>7</v>
      </c>
      <c r="N2914" s="0">
        <v>0</v>
      </c>
      <c r="O2914" s="0">
        <v>0</v>
      </c>
      <c r="P2914" s="0">
        <v>-266.4</v>
      </c>
      <c r="R2914" s="0" t="b">
        <v>0</v>
      </c>
      <c r="S2914" s="0" t="b">
        <v>1</v>
      </c>
      <c r="T2914" s="68">
        <v>45684.5255671296</v>
      </c>
      <c r="U2914" s="68">
        <v>45695.2916666667</v>
      </c>
      <c r="V2914" s="68">
        <v>0</v>
      </c>
      <c r="W2914" s="0">
        <f>IF(IF(B2914="none",1,IF(B2914="Trialer",1,0))+IF(C2914="Customer",1,IF(C2914="Lost",1,0))=2,1,0)</f>
      </c>
      <c r="X2914" s="0" t="s">
        <v>136</v>
      </c>
      <c r="Y2914" s="0" t="s">
        <v>1792</v>
      </c>
      <c r="AV2914" s="68"/>
      <c r="AW2914" s="68"/>
      <c r="AY2914" s="27"/>
      <c r="BD2914" s="68">
        <v>46054.1666666667</v>
      </c>
      <c r="BE2914" s="68">
        <v>46082.1666666667</v>
      </c>
      <c r="BF2914" s="0" t="b">
        <v>0</v>
      </c>
      <c r="BG2914" s="0" t="b">
        <v>0</v>
      </c>
      <c r="BH2914" s="0">
        <v>308</v>
      </c>
      <c r="BI2914" s="0">
        <v>308</v>
      </c>
      <c r="BJ2914" s="0" t="s">
        <v>230</v>
      </c>
    </row>
    <row r="2915">
      <c r="A2915" s="0" t="s">
        <v>3162</v>
      </c>
      <c r="B2915" s="0" t="s">
        <v>134</v>
      </c>
      <c r="C2915" s="0" t="s">
        <v>134</v>
      </c>
      <c r="D2915" s="0" t="s">
        <v>135</v>
      </c>
      <c r="E2915" s="0" t="s">
        <v>3</v>
      </c>
      <c r="F2915" s="0" t="s">
        <v>12</v>
      </c>
      <c r="G2915" s="0" t="s">
        <v>8</v>
      </c>
      <c r="H2915" s="0">
        <v>369</v>
      </c>
      <c r="I2915" s="0">
        <v>40</v>
      </c>
      <c r="J2915" s="0">
        <v>0</v>
      </c>
      <c r="K2915" s="0">
        <v>1</v>
      </c>
      <c r="L2915" s="0">
        <v>2</v>
      </c>
      <c r="M2915" s="0">
        <v>1</v>
      </c>
      <c r="N2915" s="0">
        <v>0</v>
      </c>
      <c r="O2915" s="0">
        <v>0</v>
      </c>
      <c r="P2915" s="0">
        <v>0</v>
      </c>
      <c r="R2915" s="0" t="b">
        <v>0</v>
      </c>
      <c r="S2915" s="0" t="b">
        <v>1</v>
      </c>
      <c r="T2915" s="68">
        <v>45684.7145023148</v>
      </c>
      <c r="U2915" s="68">
        <v>45684.2916666667</v>
      </c>
      <c r="V2915" s="68">
        <v>0</v>
      </c>
      <c r="W2915" s="0">
        <f>IF(IF(B2915="none",1,IF(B2915="Trialer",1,0))+IF(C2915="Customer",1,IF(C2915="Lost",1,0))=2,1,0)</f>
      </c>
      <c r="X2915" s="0" t="s">
        <v>166</v>
      </c>
      <c r="Y2915" s="0" t="s">
        <v>243</v>
      </c>
      <c r="AV2915" s="68"/>
      <c r="AW2915" s="68"/>
      <c r="AY2915" s="27"/>
      <c r="BD2915" s="68">
        <v>46054.1666666667</v>
      </c>
      <c r="BE2915" s="68">
        <v>46082.1666666667</v>
      </c>
      <c r="BF2915" s="0" t="b">
        <v>0</v>
      </c>
      <c r="BG2915" s="0" t="b">
        <v>0</v>
      </c>
      <c r="BH2915" s="0">
        <v>40</v>
      </c>
      <c r="BI2915" s="0">
        <v>40</v>
      </c>
      <c r="BJ2915" s="0" t="s">
        <v>135</v>
      </c>
    </row>
    <row r="2916">
      <c r="A2916" s="0" t="s">
        <v>3163</v>
      </c>
      <c r="B2916" s="0" t="s">
        <v>134</v>
      </c>
      <c r="C2916" s="0" t="s">
        <v>134</v>
      </c>
      <c r="D2916" s="0" t="s">
        <v>135</v>
      </c>
      <c r="E2916" s="0" t="s">
        <v>3</v>
      </c>
      <c r="F2916" s="0" t="s">
        <v>12</v>
      </c>
      <c r="G2916" s="0" t="s">
        <v>8</v>
      </c>
      <c r="H2916" s="0">
        <v>369</v>
      </c>
      <c r="I2916" s="0">
        <v>245</v>
      </c>
      <c r="J2916" s="0">
        <v>0</v>
      </c>
      <c r="K2916" s="0">
        <v>1</v>
      </c>
      <c r="L2916" s="0">
        <v>3</v>
      </c>
      <c r="M2916" s="0">
        <v>5</v>
      </c>
      <c r="N2916" s="0">
        <v>0</v>
      </c>
      <c r="O2916" s="0">
        <v>0</v>
      </c>
      <c r="P2916" s="0">
        <v>0</v>
      </c>
      <c r="R2916" s="0" t="b">
        <v>0</v>
      </c>
      <c r="S2916" s="0" t="b">
        <v>0</v>
      </c>
      <c r="T2916" s="68">
        <v>45684.7835069444</v>
      </c>
      <c r="U2916" s="68">
        <v>45698.2916666667</v>
      </c>
      <c r="V2916" s="68">
        <v>46091.1688657407</v>
      </c>
      <c r="W2916" s="0">
        <f>IF(IF(B2916="none",1,IF(B2916="Trialer",1,0))+IF(C2916="Customer",1,IF(C2916="Lost",1,0))=2,1,0)</f>
      </c>
      <c r="X2916" s="0" t="s">
        <v>145</v>
      </c>
      <c r="Y2916" s="0" t="s">
        <v>243</v>
      </c>
      <c r="AV2916" s="68"/>
      <c r="AW2916" s="68"/>
      <c r="AY2916" s="27"/>
      <c r="BD2916" s="68">
        <v>46054.1666666667</v>
      </c>
      <c r="BE2916" s="68">
        <v>46082.1666666667</v>
      </c>
      <c r="BF2916" s="0" t="b">
        <v>0</v>
      </c>
      <c r="BG2916" s="0" t="b">
        <v>0</v>
      </c>
      <c r="BH2916" s="0">
        <v>245</v>
      </c>
      <c r="BI2916" s="0">
        <v>245</v>
      </c>
      <c r="BJ2916" s="0" t="s">
        <v>230</v>
      </c>
    </row>
    <row r="2917">
      <c r="A2917" s="0" t="s">
        <v>3164</v>
      </c>
      <c r="B2917" s="0" t="s">
        <v>134</v>
      </c>
      <c r="C2917" s="0" t="s">
        <v>134</v>
      </c>
      <c r="D2917" s="0" t="s">
        <v>230</v>
      </c>
      <c r="E2917" s="0" t="s">
        <v>3</v>
      </c>
      <c r="F2917" s="0" t="s">
        <v>12</v>
      </c>
      <c r="G2917" s="0" t="s">
        <v>8</v>
      </c>
      <c r="H2917" s="0">
        <v>368</v>
      </c>
      <c r="I2917" s="0">
        <v>512.2</v>
      </c>
      <c r="J2917" s="0">
        <v>0</v>
      </c>
      <c r="K2917" s="0">
        <v>1</v>
      </c>
      <c r="L2917" s="0">
        <v>3</v>
      </c>
      <c r="M2917" s="0">
        <v>4</v>
      </c>
      <c r="N2917" s="0">
        <v>0</v>
      </c>
      <c r="O2917" s="0">
        <v>0</v>
      </c>
      <c r="P2917" s="0">
        <v>-187.2</v>
      </c>
      <c r="R2917" s="0" t="b">
        <v>0</v>
      </c>
      <c r="S2917" s="0" t="b">
        <v>1</v>
      </c>
      <c r="T2917" s="68">
        <v>45685.4916087963</v>
      </c>
      <c r="U2917" s="68">
        <v>45691.2916666667</v>
      </c>
      <c r="V2917" s="68">
        <v>0</v>
      </c>
      <c r="W2917" s="0">
        <f>IF(IF(B2917="none",1,IF(B2917="Trialer",1,0))+IF(C2917="Customer",1,IF(C2917="Lost",1,0))=2,1,0)</f>
      </c>
      <c r="X2917" s="0" t="s">
        <v>136</v>
      </c>
      <c r="Y2917" s="0" t="s">
        <v>243</v>
      </c>
      <c r="AV2917" s="68"/>
      <c r="AW2917" s="68"/>
      <c r="AY2917" s="27"/>
      <c r="BD2917" s="68">
        <v>46054.1666666667</v>
      </c>
      <c r="BE2917" s="68">
        <v>46082.1666666667</v>
      </c>
      <c r="BF2917" s="0" t="b">
        <v>0</v>
      </c>
      <c r="BG2917" s="0" t="b">
        <v>0</v>
      </c>
      <c r="BH2917" s="0">
        <v>196</v>
      </c>
      <c r="BI2917" s="0">
        <v>196</v>
      </c>
      <c r="BJ2917" s="0" t="s">
        <v>230</v>
      </c>
    </row>
    <row r="2918">
      <c r="A2918" s="0" t="s">
        <v>3165</v>
      </c>
      <c r="B2918" s="0" t="s">
        <v>134</v>
      </c>
      <c r="C2918" s="0" t="s">
        <v>134</v>
      </c>
      <c r="D2918" s="0" t="s">
        <v>230</v>
      </c>
      <c r="E2918" s="0" t="s">
        <v>2</v>
      </c>
      <c r="F2918" s="0" t="s">
        <v>12</v>
      </c>
      <c r="G2918" s="0" t="s">
        <v>8</v>
      </c>
      <c r="H2918" s="0">
        <v>368</v>
      </c>
      <c r="I2918" s="0">
        <v>52</v>
      </c>
      <c r="J2918" s="0">
        <v>0</v>
      </c>
      <c r="K2918" s="0">
        <v>2</v>
      </c>
      <c r="L2918" s="0">
        <v>0</v>
      </c>
      <c r="M2918" s="0">
        <v>0</v>
      </c>
      <c r="N2918" s="0">
        <v>0</v>
      </c>
      <c r="O2918" s="0">
        <v>0</v>
      </c>
      <c r="P2918" s="0">
        <v>0</v>
      </c>
      <c r="R2918" s="0" t="b">
        <v>0</v>
      </c>
      <c r="S2918" s="0" t="b">
        <v>1</v>
      </c>
      <c r="T2918" s="68">
        <v>45685.5696990741</v>
      </c>
      <c r="U2918" s="68">
        <v>45699.2916666667</v>
      </c>
      <c r="V2918" s="68">
        <v>0</v>
      </c>
      <c r="W2918" s="0">
        <f>IF(IF(B2918="none",1,IF(B2918="Trialer",1,0))+IF(C2918="Customer",1,IF(C2918="Lost",1,0))=2,1,0)</f>
      </c>
      <c r="X2918" s="0" t="s">
        <v>166</v>
      </c>
      <c r="Y2918" s="0" t="s">
        <v>499</v>
      </c>
      <c r="AV2918" s="68"/>
      <c r="AW2918" s="68"/>
      <c r="AY2918" s="27"/>
      <c r="BD2918" s="68">
        <v>46054.1666666667</v>
      </c>
      <c r="BE2918" s="68">
        <v>46082.1666666667</v>
      </c>
      <c r="BF2918" s="0" t="b">
        <v>0</v>
      </c>
      <c r="BG2918" s="0" t="b">
        <v>0</v>
      </c>
      <c r="BH2918" s="0">
        <v>52</v>
      </c>
      <c r="BI2918" s="0">
        <v>52</v>
      </c>
      <c r="BJ2918" s="0" t="s">
        <v>135</v>
      </c>
    </row>
    <row r="2919">
      <c r="A2919" s="0" t="s">
        <v>3166</v>
      </c>
      <c r="B2919" s="0" t="s">
        <v>134</v>
      </c>
      <c r="C2919" s="0" t="s">
        <v>134</v>
      </c>
      <c r="D2919" s="0" t="s">
        <v>230</v>
      </c>
      <c r="E2919" s="0" t="s">
        <v>2</v>
      </c>
      <c r="F2919" s="0" t="s">
        <v>12</v>
      </c>
      <c r="G2919" s="0" t="s">
        <v>8</v>
      </c>
      <c r="H2919" s="0">
        <v>368</v>
      </c>
      <c r="I2919" s="0">
        <v>225</v>
      </c>
      <c r="J2919" s="0">
        <v>0</v>
      </c>
      <c r="K2919" s="0">
        <v>1</v>
      </c>
      <c r="L2919" s="0">
        <v>3</v>
      </c>
      <c r="M2919" s="0">
        <v>7</v>
      </c>
      <c r="N2919" s="0">
        <v>0</v>
      </c>
      <c r="O2919" s="0">
        <v>0</v>
      </c>
      <c r="P2919" s="0">
        <v>-225</v>
      </c>
      <c r="R2919" s="0" t="b">
        <v>0</v>
      </c>
      <c r="S2919" s="0" t="b">
        <v>1</v>
      </c>
      <c r="T2919" s="68">
        <v>45685.603287037</v>
      </c>
      <c r="U2919" s="68">
        <v>45698.2916666667</v>
      </c>
      <c r="V2919" s="68">
        <v>0</v>
      </c>
      <c r="W2919" s="0">
        <f>IF(IF(B2919="none",1,IF(B2919="Trialer",1,0))+IF(C2919="Customer",1,IF(C2919="Lost",1,0))=2,1,0)</f>
      </c>
      <c r="X2919" s="0" t="s">
        <v>136</v>
      </c>
      <c r="Y2919" s="0" t="s">
        <v>499</v>
      </c>
      <c r="AV2919" s="68"/>
      <c r="AW2919" s="68"/>
      <c r="AY2919" s="27"/>
      <c r="BD2919" s="68">
        <v>46054.1666666667</v>
      </c>
      <c r="BE2919" s="68">
        <v>46082.1666666667</v>
      </c>
      <c r="BF2919" s="0" t="b">
        <v>0</v>
      </c>
      <c r="BG2919" s="0" t="b">
        <v>0</v>
      </c>
      <c r="BH2919" s="0">
        <v>250</v>
      </c>
      <c r="BI2919" s="0">
        <v>250</v>
      </c>
      <c r="BJ2919" s="0" t="s">
        <v>230</v>
      </c>
    </row>
    <row r="2920">
      <c r="A2920" s="0" t="s">
        <v>3167</v>
      </c>
      <c r="B2920" s="0" t="s">
        <v>134</v>
      </c>
      <c r="C2920" s="0" t="s">
        <v>134</v>
      </c>
      <c r="D2920" s="0" t="s">
        <v>135</v>
      </c>
      <c r="E2920" s="0" t="s">
        <v>3</v>
      </c>
      <c r="F2920" s="0" t="s">
        <v>10</v>
      </c>
      <c r="G2920" s="0" t="s">
        <v>8</v>
      </c>
      <c r="H2920" s="0">
        <v>368</v>
      </c>
      <c r="I2920" s="0">
        <v>0</v>
      </c>
      <c r="J2920" s="0">
        <v>0</v>
      </c>
      <c r="K2920" s="0">
        <v>0</v>
      </c>
      <c r="L2920" s="0">
        <v>0</v>
      </c>
      <c r="M2920" s="0">
        <v>0</v>
      </c>
      <c r="N2920" s="0">
        <v>0</v>
      </c>
      <c r="O2920" s="0">
        <v>0</v>
      </c>
      <c r="P2920" s="0">
        <v>0</v>
      </c>
      <c r="Q2920" s="0" t="s">
        <v>618</v>
      </c>
      <c r="R2920" s="0" t="b">
        <v>0</v>
      </c>
      <c r="S2920" s="0" t="b">
        <v>1</v>
      </c>
      <c r="T2920" s="68">
        <v>45685.6045717593</v>
      </c>
      <c r="U2920" s="68">
        <v>45699.2916666667</v>
      </c>
      <c r="V2920" s="68">
        <v>0</v>
      </c>
      <c r="W2920" s="0">
        <f>IF(IF(B2920="none",1,IF(B2920="Trialer",1,0))+IF(C2920="Customer",1,IF(C2920="Lost",1,0))=2,1,0)</f>
      </c>
      <c r="X2920" s="0" t="s">
        <v>148</v>
      </c>
      <c r="Y2920" s="0" t="s">
        <v>243</v>
      </c>
      <c r="AV2920" s="68"/>
      <c r="AW2920" s="68"/>
      <c r="AY2920" s="27"/>
      <c r="BD2920" s="68">
        <v>46054.1666666667</v>
      </c>
      <c r="BE2920" s="68">
        <v>46082.1666666667</v>
      </c>
      <c r="BF2920" s="0" t="b">
        <v>0</v>
      </c>
      <c r="BG2920" s="0" t="b">
        <v>0</v>
      </c>
      <c r="BH2920" s="0">
        <v>0</v>
      </c>
      <c r="BI2920" s="0">
        <v>0</v>
      </c>
      <c r="BJ2920" s="0" t="s">
        <v>135</v>
      </c>
    </row>
    <row r="2921">
      <c r="A2921" s="0" t="s">
        <v>3168</v>
      </c>
      <c r="B2921" s="0" t="s">
        <v>134</v>
      </c>
      <c r="C2921" s="0" t="s">
        <v>134</v>
      </c>
      <c r="D2921" s="0" t="s">
        <v>230</v>
      </c>
      <c r="E2921" s="0" t="s">
        <v>3</v>
      </c>
      <c r="F2921" s="0" t="s">
        <v>12</v>
      </c>
      <c r="G2921" s="0" t="s">
        <v>8</v>
      </c>
      <c r="H2921" s="0">
        <v>368</v>
      </c>
      <c r="I2921" s="0">
        <v>88</v>
      </c>
      <c r="J2921" s="0">
        <v>0</v>
      </c>
      <c r="K2921" s="0">
        <v>1</v>
      </c>
      <c r="L2921" s="0">
        <v>3</v>
      </c>
      <c r="M2921" s="0">
        <v>2</v>
      </c>
      <c r="N2921" s="0">
        <v>0</v>
      </c>
      <c r="O2921" s="0">
        <v>0</v>
      </c>
      <c r="P2921" s="0">
        <v>968</v>
      </c>
      <c r="R2921" s="0" t="b">
        <v>0</v>
      </c>
      <c r="S2921" s="0" t="b">
        <v>1</v>
      </c>
      <c r="T2921" s="68">
        <v>45685.6180555556</v>
      </c>
      <c r="U2921" s="68">
        <v>45712.5944444444</v>
      </c>
      <c r="V2921" s="68">
        <v>0</v>
      </c>
      <c r="W2921" s="0">
        <f>IF(IF(B2921="none",1,IF(B2921="Trialer",1,0))+IF(C2921="Customer",1,IF(C2921="Lost",1,0))=2,1,0)</f>
      </c>
      <c r="X2921" s="0" t="s">
        <v>153</v>
      </c>
      <c r="Y2921" s="0" t="s">
        <v>243</v>
      </c>
      <c r="AV2921" s="68"/>
      <c r="AW2921" s="68"/>
      <c r="AY2921" s="27"/>
      <c r="BD2921" s="68">
        <v>46054.1666666667</v>
      </c>
      <c r="BE2921" s="68">
        <v>46082.1666666667</v>
      </c>
      <c r="BF2921" s="0" t="b">
        <v>0</v>
      </c>
      <c r="BG2921" s="0" t="b">
        <v>0</v>
      </c>
      <c r="BH2921" s="0">
        <v>147</v>
      </c>
      <c r="BI2921" s="0">
        <v>147</v>
      </c>
      <c r="BJ2921" s="0" t="s">
        <v>230</v>
      </c>
    </row>
    <row r="2922">
      <c r="A2922" s="0" t="s">
        <v>3169</v>
      </c>
      <c r="B2922" s="0" t="s">
        <v>134</v>
      </c>
      <c r="C2922" s="0" t="s">
        <v>134</v>
      </c>
      <c r="D2922" s="0" t="s">
        <v>230</v>
      </c>
      <c r="E2922" s="0" t="s">
        <v>3</v>
      </c>
      <c r="F2922" s="0" t="s">
        <v>12</v>
      </c>
      <c r="G2922" s="0" t="s">
        <v>8</v>
      </c>
      <c r="H2922" s="0">
        <v>368</v>
      </c>
      <c r="I2922" s="0">
        <v>510.25</v>
      </c>
      <c r="J2922" s="0">
        <v>0</v>
      </c>
      <c r="K2922" s="0">
        <v>1</v>
      </c>
      <c r="L2922" s="0">
        <v>5</v>
      </c>
      <c r="M2922" s="0">
        <v>4</v>
      </c>
      <c r="N2922" s="0">
        <v>418.5</v>
      </c>
      <c r="O2922" s="0">
        <v>0</v>
      </c>
      <c r="P2922" s="0">
        <v>-185.25</v>
      </c>
      <c r="R2922" s="0" t="b">
        <v>0</v>
      </c>
      <c r="S2922" s="0" t="b">
        <v>1</v>
      </c>
      <c r="T2922" s="68">
        <v>45685.6192824074</v>
      </c>
      <c r="U2922" s="68">
        <v>45720.2916666667</v>
      </c>
      <c r="V2922" s="68">
        <v>0</v>
      </c>
      <c r="W2922" s="0">
        <f>IF(IF(B2922="none",1,IF(B2922="Trialer",1,0))+IF(C2922="Customer",1,IF(C2922="Lost",1,0))=2,1,0)</f>
      </c>
      <c r="X2922" s="0" t="s">
        <v>145</v>
      </c>
      <c r="Y2922" s="0" t="s">
        <v>243</v>
      </c>
      <c r="AV2922" s="68"/>
      <c r="AW2922" s="68"/>
      <c r="AY2922" s="27"/>
      <c r="BD2922" s="68">
        <v>46054.1666666667</v>
      </c>
      <c r="BE2922" s="68">
        <v>46082.1666666667</v>
      </c>
      <c r="BF2922" s="0" t="b">
        <v>0</v>
      </c>
      <c r="BG2922" s="0" t="b">
        <v>0</v>
      </c>
      <c r="BH2922" s="0">
        <v>247</v>
      </c>
      <c r="BI2922" s="0">
        <v>247</v>
      </c>
      <c r="BJ2922" s="0" t="s">
        <v>230</v>
      </c>
    </row>
    <row r="2923">
      <c r="A2923" s="0" t="s">
        <v>3170</v>
      </c>
      <c r="B2923" s="0" t="s">
        <v>134</v>
      </c>
      <c r="C2923" s="0" t="s">
        <v>190</v>
      </c>
      <c r="D2923" s="0" t="s">
        <v>135</v>
      </c>
      <c r="E2923" s="0" t="s">
        <v>3</v>
      </c>
      <c r="F2923" s="0" t="s">
        <v>12</v>
      </c>
      <c r="G2923" s="0" t="s">
        <v>8</v>
      </c>
      <c r="H2923" s="0">
        <v>368</v>
      </c>
      <c r="I2923" s="0">
        <v>49</v>
      </c>
      <c r="J2923" s="0">
        <v>0</v>
      </c>
      <c r="K2923" s="0">
        <v>1</v>
      </c>
      <c r="L2923" s="0">
        <v>3</v>
      </c>
      <c r="M2923" s="0">
        <v>1</v>
      </c>
      <c r="N2923" s="0">
        <v>0</v>
      </c>
      <c r="O2923" s="0">
        <v>0</v>
      </c>
      <c r="P2923" s="0">
        <v>0</v>
      </c>
      <c r="R2923" s="0" t="b">
        <v>0</v>
      </c>
      <c r="S2923" s="0" t="b">
        <v>0</v>
      </c>
      <c r="T2923" s="68">
        <v>45685.6984375</v>
      </c>
      <c r="U2923" s="68">
        <v>45699.2916666667</v>
      </c>
      <c r="V2923" s="68">
        <v>46077.5178587963</v>
      </c>
      <c r="W2923" s="0">
        <f>IF(IF(B2923="none",1,IF(B2923="Trialer",1,0))+IF(C2923="Customer",1,IF(C2923="Lost",1,0))=2,1,0)</f>
      </c>
      <c r="X2923" s="0" t="s">
        <v>153</v>
      </c>
      <c r="Y2923" s="0" t="s">
        <v>243</v>
      </c>
      <c r="AV2923" s="68"/>
      <c r="AW2923" s="68"/>
      <c r="AY2923" s="27"/>
      <c r="BD2923" s="68">
        <v>46054.1666666667</v>
      </c>
      <c r="BE2923" s="68">
        <v>46082.1666666667</v>
      </c>
      <c r="BF2923" s="0" t="b">
        <v>0</v>
      </c>
      <c r="BG2923" s="0" t="b">
        <v>0</v>
      </c>
      <c r="BH2923" s="0">
        <v>49</v>
      </c>
      <c r="BI2923" s="0">
        <v>49</v>
      </c>
      <c r="BJ2923" s="0" t="s">
        <v>230</v>
      </c>
    </row>
    <row r="2924">
      <c r="A2924" s="0" t="s">
        <v>3171</v>
      </c>
      <c r="B2924" s="0" t="s">
        <v>134</v>
      </c>
      <c r="C2924" s="0" t="s">
        <v>134</v>
      </c>
      <c r="D2924" s="0" t="s">
        <v>135</v>
      </c>
      <c r="E2924" s="0" t="s">
        <v>3</v>
      </c>
      <c r="F2924" s="0" t="s">
        <v>12</v>
      </c>
      <c r="G2924" s="0" t="s">
        <v>8</v>
      </c>
      <c r="H2924" s="0">
        <v>367</v>
      </c>
      <c r="I2924" s="0">
        <v>110</v>
      </c>
      <c r="J2924" s="0">
        <v>0</v>
      </c>
      <c r="K2924" s="0">
        <v>1</v>
      </c>
      <c r="L2924" s="0">
        <v>4</v>
      </c>
      <c r="M2924" s="0">
        <v>2</v>
      </c>
      <c r="N2924" s="0">
        <v>0</v>
      </c>
      <c r="O2924" s="0">
        <v>0</v>
      </c>
      <c r="P2924" s="0">
        <v>0</v>
      </c>
      <c r="R2924" s="0" t="b">
        <v>0</v>
      </c>
      <c r="S2924" s="0" t="b">
        <v>1</v>
      </c>
      <c r="T2924" s="68">
        <v>45686.6545717593</v>
      </c>
      <c r="U2924" s="68">
        <v>45700.2916666667</v>
      </c>
      <c r="V2924" s="68">
        <v>0</v>
      </c>
      <c r="W2924" s="0">
        <f>IF(IF(B2924="none",1,IF(B2924="Trialer",1,0))+IF(C2924="Customer",1,IF(C2924="Lost",1,0))=2,1,0)</f>
      </c>
      <c r="X2924" s="0" t="s">
        <v>153</v>
      </c>
      <c r="Y2924" s="0" t="s">
        <v>243</v>
      </c>
      <c r="AV2924" s="68"/>
      <c r="AW2924" s="68"/>
      <c r="AY2924" s="27"/>
      <c r="BD2924" s="68">
        <v>46054.1666666667</v>
      </c>
      <c r="BE2924" s="68">
        <v>46082.1666666667</v>
      </c>
      <c r="BF2924" s="0" t="b">
        <v>0</v>
      </c>
      <c r="BG2924" s="0" t="b">
        <v>0</v>
      </c>
      <c r="BH2924" s="0">
        <v>110</v>
      </c>
      <c r="BI2924" s="0">
        <v>110</v>
      </c>
      <c r="BJ2924" s="0" t="s">
        <v>135</v>
      </c>
    </row>
    <row r="2925">
      <c r="A2925" s="0" t="s">
        <v>3172</v>
      </c>
      <c r="B2925" s="0" t="s">
        <v>134</v>
      </c>
      <c r="C2925" s="0" t="s">
        <v>134</v>
      </c>
      <c r="D2925" s="0" t="s">
        <v>135</v>
      </c>
      <c r="E2925" s="0" t="s">
        <v>3</v>
      </c>
      <c r="F2925" s="0" t="s">
        <v>11</v>
      </c>
      <c r="G2925" s="0" t="s">
        <v>8</v>
      </c>
      <c r="H2925" s="0">
        <v>366</v>
      </c>
      <c r="I2925" s="0">
        <v>40</v>
      </c>
      <c r="J2925" s="0">
        <v>0</v>
      </c>
      <c r="K2925" s="0">
        <v>1</v>
      </c>
      <c r="L2925" s="0">
        <v>4</v>
      </c>
      <c r="M2925" s="0">
        <v>1</v>
      </c>
      <c r="N2925" s="0">
        <v>0</v>
      </c>
      <c r="O2925" s="0">
        <v>0</v>
      </c>
      <c r="P2925" s="0">
        <v>0</v>
      </c>
      <c r="Q2925" s="0" t="s">
        <v>1743</v>
      </c>
      <c r="R2925" s="0" t="b">
        <v>1</v>
      </c>
      <c r="S2925" s="0" t="b">
        <v>1</v>
      </c>
      <c r="T2925" s="68">
        <v>45687.5037152778</v>
      </c>
      <c r="U2925" s="68">
        <v>45687.2916666667</v>
      </c>
      <c r="V2925" s="68">
        <v>0</v>
      </c>
      <c r="W2925" s="0">
        <f>IF(IF(B2925="none",1,IF(B2925="Trialer",1,0))+IF(C2925="Customer",1,IF(C2925="Lost",1,0))=2,1,0)</f>
      </c>
      <c r="X2925" s="0" t="s">
        <v>145</v>
      </c>
      <c r="Y2925" s="0" t="s">
        <v>243</v>
      </c>
      <c r="AV2925" s="68"/>
      <c r="AW2925" s="68"/>
      <c r="AY2925" s="27"/>
      <c r="BD2925" s="68">
        <v>46054.1666666667</v>
      </c>
      <c r="BE2925" s="68">
        <v>46082.1666666667</v>
      </c>
      <c r="BF2925" s="0" t="b">
        <v>0</v>
      </c>
      <c r="BG2925" s="0" t="b">
        <v>0</v>
      </c>
      <c r="BH2925" s="0">
        <v>40</v>
      </c>
      <c r="BI2925" s="0">
        <v>40</v>
      </c>
      <c r="BJ2925" s="0" t="s">
        <v>135</v>
      </c>
    </row>
    <row r="2926">
      <c r="A2926" s="0" t="s">
        <v>3173</v>
      </c>
      <c r="B2926" s="0" t="s">
        <v>134</v>
      </c>
      <c r="C2926" s="0" t="s">
        <v>134</v>
      </c>
      <c r="D2926" s="0" t="s">
        <v>230</v>
      </c>
      <c r="E2926" s="0" t="s">
        <v>3</v>
      </c>
      <c r="F2926" s="0" t="s">
        <v>12</v>
      </c>
      <c r="G2926" s="0" t="s">
        <v>8</v>
      </c>
      <c r="H2926" s="0">
        <v>366</v>
      </c>
      <c r="I2926" s="0">
        <v>126.9</v>
      </c>
      <c r="J2926" s="0">
        <v>0</v>
      </c>
      <c r="K2926" s="0">
        <v>1</v>
      </c>
      <c r="L2926" s="0">
        <v>4</v>
      </c>
      <c r="M2926" s="0">
        <v>3</v>
      </c>
      <c r="N2926" s="0">
        <v>0</v>
      </c>
      <c r="O2926" s="0">
        <v>0</v>
      </c>
      <c r="P2926" s="0">
        <v>-126.9</v>
      </c>
      <c r="R2926" s="0" t="b">
        <v>0</v>
      </c>
      <c r="S2926" s="0" t="b">
        <v>1</v>
      </c>
      <c r="T2926" s="68">
        <v>45687.9518865741</v>
      </c>
      <c r="U2926" s="68">
        <v>45708.2916666667</v>
      </c>
      <c r="V2926" s="68">
        <v>0</v>
      </c>
      <c r="W2926" s="0">
        <f>IF(IF(B2926="none",1,IF(B2926="Trialer",1,0))+IF(C2926="Customer",1,IF(C2926="Lost",1,0))=2,1,0)</f>
      </c>
      <c r="X2926" s="0" t="s">
        <v>142</v>
      </c>
      <c r="Y2926" s="0" t="s">
        <v>243</v>
      </c>
      <c r="AV2926" s="68"/>
      <c r="AW2926" s="68"/>
      <c r="AY2926" s="27"/>
      <c r="BD2926" s="68">
        <v>46054.1666666667</v>
      </c>
      <c r="BE2926" s="68">
        <v>46082.1666666667</v>
      </c>
      <c r="BF2926" s="0" t="b">
        <v>0</v>
      </c>
      <c r="BG2926" s="0" t="b">
        <v>0</v>
      </c>
      <c r="BH2926" s="0">
        <v>141</v>
      </c>
      <c r="BI2926" s="0">
        <v>141</v>
      </c>
      <c r="BJ2926" s="0" t="s">
        <v>230</v>
      </c>
    </row>
    <row r="2927">
      <c r="A2927" s="0" t="s">
        <v>3174</v>
      </c>
      <c r="B2927" s="0" t="s">
        <v>134</v>
      </c>
      <c r="C2927" s="0" t="s">
        <v>134</v>
      </c>
      <c r="D2927" s="0" t="s">
        <v>135</v>
      </c>
      <c r="E2927" s="0" t="s">
        <v>3</v>
      </c>
      <c r="F2927" s="0" t="s">
        <v>12</v>
      </c>
      <c r="G2927" s="0" t="s">
        <v>8</v>
      </c>
      <c r="H2927" s="0">
        <v>365</v>
      </c>
      <c r="I2927" s="0">
        <v>49</v>
      </c>
      <c r="J2927" s="0">
        <v>0</v>
      </c>
      <c r="K2927" s="0">
        <v>1</v>
      </c>
      <c r="L2927" s="0">
        <v>3</v>
      </c>
      <c r="M2927" s="0">
        <v>1</v>
      </c>
      <c r="N2927" s="0">
        <v>0</v>
      </c>
      <c r="O2927" s="0">
        <v>0</v>
      </c>
      <c r="P2927" s="0">
        <v>0</v>
      </c>
      <c r="R2927" s="0" t="b">
        <v>0</v>
      </c>
      <c r="S2927" s="0" t="b">
        <v>1</v>
      </c>
      <c r="T2927" s="68">
        <v>45688.832662037</v>
      </c>
      <c r="U2927" s="68">
        <v>45712.2916666667</v>
      </c>
      <c r="V2927" s="68">
        <v>0</v>
      </c>
      <c r="W2927" s="0">
        <f>IF(IF(B2927="none",1,IF(B2927="Trialer",1,0))+IF(C2927="Customer",1,IF(C2927="Lost",1,0))=2,1,0)</f>
      </c>
      <c r="X2927" s="0" t="s">
        <v>142</v>
      </c>
      <c r="Y2927" s="0" t="s">
        <v>243</v>
      </c>
      <c r="AV2927" s="68"/>
      <c r="AW2927" s="68"/>
      <c r="AY2927" s="27"/>
      <c r="BD2927" s="68">
        <v>46054.1666666667</v>
      </c>
      <c r="BE2927" s="68">
        <v>46082.1666666667</v>
      </c>
      <c r="BF2927" s="0" t="b">
        <v>0</v>
      </c>
      <c r="BG2927" s="0" t="b">
        <v>0</v>
      </c>
      <c r="BH2927" s="0">
        <v>49</v>
      </c>
      <c r="BI2927" s="0">
        <v>49</v>
      </c>
      <c r="BJ2927" s="0" t="s">
        <v>135</v>
      </c>
    </row>
    <row r="2928">
      <c r="A2928" s="0" t="s">
        <v>3175</v>
      </c>
      <c r="B2928" s="0" t="s">
        <v>134</v>
      </c>
      <c r="C2928" s="0" t="s">
        <v>134</v>
      </c>
      <c r="D2928" s="0" t="s">
        <v>135</v>
      </c>
      <c r="E2928" s="0" t="s">
        <v>3</v>
      </c>
      <c r="F2928" s="0" t="s">
        <v>10</v>
      </c>
      <c r="G2928" s="0" t="s">
        <v>8</v>
      </c>
      <c r="H2928" s="0">
        <v>364</v>
      </c>
      <c r="I2928" s="0">
        <v>28</v>
      </c>
      <c r="J2928" s="0">
        <v>0</v>
      </c>
      <c r="K2928" s="0">
        <v>1</v>
      </c>
      <c r="L2928" s="0">
        <v>1</v>
      </c>
      <c r="M2928" s="0">
        <v>1</v>
      </c>
      <c r="N2928" s="0">
        <v>0</v>
      </c>
      <c r="O2928" s="0">
        <v>0</v>
      </c>
      <c r="P2928" s="0">
        <v>0</v>
      </c>
      <c r="Q2928" s="0" t="s">
        <v>618</v>
      </c>
      <c r="R2928" s="0" t="b">
        <v>0</v>
      </c>
      <c r="S2928" s="0" t="b">
        <v>1</v>
      </c>
      <c r="T2928" s="68">
        <v>45689.4522337963</v>
      </c>
      <c r="U2928" s="68">
        <v>45703.2916666667</v>
      </c>
      <c r="V2928" s="68">
        <v>0</v>
      </c>
      <c r="W2928" s="0">
        <f>IF(IF(B2928="none",1,IF(B2928="Trialer",1,0))+IF(C2928="Customer",1,IF(C2928="Lost",1,0))=2,1,0)</f>
      </c>
      <c r="X2928" s="0" t="s">
        <v>148</v>
      </c>
      <c r="Y2928" s="0" t="s">
        <v>243</v>
      </c>
      <c r="AV2928" s="68"/>
      <c r="AW2928" s="68"/>
      <c r="AY2928" s="27"/>
      <c r="BD2928" s="68">
        <v>46054.1666666667</v>
      </c>
      <c r="BE2928" s="68">
        <v>46082.1666666667</v>
      </c>
      <c r="BF2928" s="0" t="b">
        <v>0</v>
      </c>
      <c r="BG2928" s="0" t="b">
        <v>0</v>
      </c>
      <c r="BH2928" s="0">
        <v>28</v>
      </c>
      <c r="BI2928" s="0">
        <v>28</v>
      </c>
      <c r="BJ2928" s="0" t="s">
        <v>135</v>
      </c>
    </row>
    <row r="2929">
      <c r="A2929" s="0" t="s">
        <v>3176</v>
      </c>
      <c r="B2929" s="0" t="s">
        <v>134</v>
      </c>
      <c r="C2929" s="0" t="s">
        <v>134</v>
      </c>
      <c r="D2929" s="0" t="s">
        <v>230</v>
      </c>
      <c r="E2929" s="0" t="s">
        <v>3</v>
      </c>
      <c r="F2929" s="0" t="s">
        <v>12</v>
      </c>
      <c r="G2929" s="0" t="s">
        <v>8</v>
      </c>
      <c r="H2929" s="0">
        <v>362</v>
      </c>
      <c r="I2929" s="0">
        <v>45.75</v>
      </c>
      <c r="J2929" s="0">
        <v>0</v>
      </c>
      <c r="K2929" s="0">
        <v>1</v>
      </c>
      <c r="L2929" s="0">
        <v>4</v>
      </c>
      <c r="M2929" s="0">
        <v>1</v>
      </c>
      <c r="N2929" s="0">
        <v>0</v>
      </c>
      <c r="O2929" s="0">
        <v>0</v>
      </c>
      <c r="P2929" s="0">
        <v>-45.75</v>
      </c>
      <c r="R2929" s="0" t="b">
        <v>0</v>
      </c>
      <c r="S2929" s="0" t="b">
        <v>1</v>
      </c>
      <c r="T2929" s="68">
        <v>45691.1814236111</v>
      </c>
      <c r="U2929" s="68">
        <v>45718.2916666667</v>
      </c>
      <c r="V2929" s="68">
        <v>0</v>
      </c>
      <c r="W2929" s="0">
        <f>IF(IF(B2929="none",1,IF(B2929="Trialer",1,0))+IF(C2929="Customer",1,IF(C2929="Lost",1,0))=2,1,0)</f>
      </c>
      <c r="X2929" s="0" t="s">
        <v>142</v>
      </c>
      <c r="Y2929" s="0" t="s">
        <v>243</v>
      </c>
      <c r="AV2929" s="68"/>
      <c r="AW2929" s="68"/>
      <c r="AY2929" s="27"/>
      <c r="BD2929" s="68">
        <v>46054.1666666667</v>
      </c>
      <c r="BE2929" s="68">
        <v>46082.1666666667</v>
      </c>
      <c r="BF2929" s="0" t="b">
        <v>0</v>
      </c>
      <c r="BG2929" s="0" t="b">
        <v>0</v>
      </c>
      <c r="BH2929" s="0">
        <v>61</v>
      </c>
      <c r="BI2929" s="0">
        <v>61</v>
      </c>
      <c r="BJ2929" s="0" t="s">
        <v>230</v>
      </c>
    </row>
    <row r="2930">
      <c r="A2930" s="0" t="s">
        <v>3177</v>
      </c>
      <c r="B2930" s="0" t="s">
        <v>134</v>
      </c>
      <c r="C2930" s="0" t="s">
        <v>134</v>
      </c>
      <c r="D2930" s="0" t="s">
        <v>135</v>
      </c>
      <c r="E2930" s="0" t="s">
        <v>3</v>
      </c>
      <c r="F2930" s="0" t="s">
        <v>10</v>
      </c>
      <c r="G2930" s="0" t="s">
        <v>8</v>
      </c>
      <c r="H2930" s="0">
        <v>362</v>
      </c>
      <c r="I2930" s="0">
        <v>401</v>
      </c>
      <c r="J2930" s="0">
        <v>0</v>
      </c>
      <c r="K2930" s="0">
        <v>1</v>
      </c>
      <c r="L2930" s="0">
        <v>5</v>
      </c>
      <c r="M2930" s="0">
        <v>11</v>
      </c>
      <c r="N2930" s="0">
        <v>0</v>
      </c>
      <c r="O2930" s="0">
        <v>0</v>
      </c>
      <c r="P2930" s="0">
        <v>0</v>
      </c>
      <c r="Q2930" s="0" t="s">
        <v>756</v>
      </c>
      <c r="R2930" s="0" t="b">
        <v>0</v>
      </c>
      <c r="S2930" s="0" t="b">
        <v>1</v>
      </c>
      <c r="T2930" s="68">
        <v>45691.4194444444</v>
      </c>
      <c r="U2930" s="68">
        <v>45705.2916666667</v>
      </c>
      <c r="V2930" s="68">
        <v>0</v>
      </c>
      <c r="W2930" s="0">
        <f>IF(IF(B2930="none",1,IF(B2930="Trialer",1,0))+IF(C2930="Customer",1,IF(C2930="Lost",1,0))=2,1,0)</f>
      </c>
      <c r="X2930" s="0" t="s">
        <v>136</v>
      </c>
      <c r="Y2930" s="0" t="s">
        <v>243</v>
      </c>
      <c r="AV2930" s="68"/>
      <c r="AW2930" s="68"/>
      <c r="AY2930" s="27"/>
      <c r="BD2930" s="68">
        <v>46054.1666666667</v>
      </c>
      <c r="BE2930" s="68">
        <v>46082.1666666667</v>
      </c>
      <c r="BF2930" s="0" t="b">
        <v>0</v>
      </c>
      <c r="BG2930" s="0" t="b">
        <v>0</v>
      </c>
      <c r="BH2930" s="0">
        <v>401</v>
      </c>
      <c r="BI2930" s="0">
        <v>401</v>
      </c>
      <c r="BJ2930" s="0" t="s">
        <v>135</v>
      </c>
    </row>
    <row r="2931">
      <c r="A2931" s="0" t="s">
        <v>3178</v>
      </c>
      <c r="B2931" s="0" t="s">
        <v>134</v>
      </c>
      <c r="C2931" s="0" t="s">
        <v>134</v>
      </c>
      <c r="D2931" s="0" t="s">
        <v>135</v>
      </c>
      <c r="E2931" s="0" t="s">
        <v>3</v>
      </c>
      <c r="F2931" s="0" t="s">
        <v>12</v>
      </c>
      <c r="G2931" s="0" t="s">
        <v>8</v>
      </c>
      <c r="H2931" s="0">
        <v>362</v>
      </c>
      <c r="I2931" s="0">
        <v>98</v>
      </c>
      <c r="J2931" s="0">
        <v>0</v>
      </c>
      <c r="K2931" s="0">
        <v>1</v>
      </c>
      <c r="L2931" s="0">
        <v>3</v>
      </c>
      <c r="M2931" s="0">
        <v>2</v>
      </c>
      <c r="N2931" s="0">
        <v>0</v>
      </c>
      <c r="O2931" s="0">
        <v>0</v>
      </c>
      <c r="P2931" s="0">
        <v>0</v>
      </c>
      <c r="R2931" s="0" t="b">
        <v>0</v>
      </c>
      <c r="S2931" s="0" t="b">
        <v>1</v>
      </c>
      <c r="T2931" s="68">
        <v>45691.5969212963</v>
      </c>
      <c r="U2931" s="68">
        <v>45694.2916666667</v>
      </c>
      <c r="V2931" s="68">
        <v>0</v>
      </c>
      <c r="W2931" s="0">
        <f>IF(IF(B2931="none",1,IF(B2931="Trialer",1,0))+IF(C2931="Customer",1,IF(C2931="Lost",1,0))=2,1,0)</f>
      </c>
      <c r="X2931" s="0" t="s">
        <v>166</v>
      </c>
      <c r="Y2931" s="0" t="s">
        <v>243</v>
      </c>
      <c r="AV2931" s="68"/>
      <c r="AW2931" s="68"/>
      <c r="AY2931" s="27"/>
      <c r="BD2931" s="68">
        <v>46054.1666666667</v>
      </c>
      <c r="BE2931" s="68">
        <v>46082.1666666667</v>
      </c>
      <c r="BF2931" s="0" t="b">
        <v>0</v>
      </c>
      <c r="BG2931" s="0" t="b">
        <v>0</v>
      </c>
      <c r="BH2931" s="0">
        <v>98</v>
      </c>
      <c r="BI2931" s="0">
        <v>98</v>
      </c>
      <c r="BJ2931" s="0" t="s">
        <v>135</v>
      </c>
    </row>
    <row r="2932">
      <c r="A2932" s="0" t="s">
        <v>3179</v>
      </c>
      <c r="B2932" s="0" t="s">
        <v>134</v>
      </c>
      <c r="C2932" s="0" t="s">
        <v>134</v>
      </c>
      <c r="D2932" s="0" t="s">
        <v>135</v>
      </c>
      <c r="E2932" s="0" t="s">
        <v>2</v>
      </c>
      <c r="F2932" s="0" t="s">
        <v>12</v>
      </c>
      <c r="G2932" s="0" t="s">
        <v>8</v>
      </c>
      <c r="H2932" s="0">
        <v>362</v>
      </c>
      <c r="I2932" s="0">
        <v>1118</v>
      </c>
      <c r="J2932" s="0">
        <v>0</v>
      </c>
      <c r="K2932" s="0">
        <v>1</v>
      </c>
      <c r="L2932" s="0">
        <v>4</v>
      </c>
      <c r="M2932" s="0">
        <v>13</v>
      </c>
      <c r="N2932" s="0">
        <v>279</v>
      </c>
      <c r="O2932" s="0">
        <v>0</v>
      </c>
      <c r="P2932" s="0">
        <v>0</v>
      </c>
      <c r="R2932" s="0" t="b">
        <v>0</v>
      </c>
      <c r="S2932" s="0" t="b">
        <v>1</v>
      </c>
      <c r="T2932" s="68">
        <v>45691.5986111111</v>
      </c>
      <c r="U2932" s="68">
        <v>45712.2916666667</v>
      </c>
      <c r="V2932" s="68">
        <v>0</v>
      </c>
      <c r="W2932" s="0">
        <f>IF(IF(B2932="none",1,IF(B2932="Trialer",1,0))+IF(C2932="Customer",1,IF(C2932="Lost",1,0))=2,1,0)</f>
      </c>
      <c r="X2932" s="0" t="s">
        <v>145</v>
      </c>
      <c r="Y2932" s="0" t="s">
        <v>499</v>
      </c>
      <c r="AV2932" s="68"/>
      <c r="AW2932" s="68"/>
      <c r="AY2932" s="27"/>
      <c r="BD2932" s="68">
        <v>46054.1666666667</v>
      </c>
      <c r="BE2932" s="68">
        <v>46082.1666666667</v>
      </c>
      <c r="BF2932" s="0" t="b">
        <v>0</v>
      </c>
      <c r="BG2932" s="0" t="b">
        <v>0</v>
      </c>
      <c r="BH2932" s="0">
        <v>793</v>
      </c>
      <c r="BI2932" s="0">
        <v>793</v>
      </c>
      <c r="BJ2932" s="0" t="s">
        <v>135</v>
      </c>
    </row>
    <row r="2933">
      <c r="A2933" s="0" t="s">
        <v>3180</v>
      </c>
      <c r="B2933" s="0" t="s">
        <v>134</v>
      </c>
      <c r="C2933" s="0" t="s">
        <v>134</v>
      </c>
      <c r="D2933" s="0" t="s">
        <v>135</v>
      </c>
      <c r="E2933" s="0" t="s">
        <v>2</v>
      </c>
      <c r="F2933" s="0" t="s">
        <v>10</v>
      </c>
      <c r="G2933" s="0" t="s">
        <v>8</v>
      </c>
      <c r="H2933" s="0">
        <v>362</v>
      </c>
      <c r="I2933" s="0">
        <v>605.76</v>
      </c>
      <c r="J2933" s="0">
        <v>0</v>
      </c>
      <c r="K2933" s="0">
        <v>1</v>
      </c>
      <c r="L2933" s="0">
        <v>4</v>
      </c>
      <c r="M2933" s="0">
        <v>16</v>
      </c>
      <c r="N2933" s="0">
        <v>0</v>
      </c>
      <c r="O2933" s="0">
        <v>0</v>
      </c>
      <c r="P2933" s="0">
        <v>0</v>
      </c>
      <c r="Q2933" s="0" t="s">
        <v>1919</v>
      </c>
      <c r="R2933" s="0" t="b">
        <v>0</v>
      </c>
      <c r="S2933" s="0" t="b">
        <v>1</v>
      </c>
      <c r="T2933" s="68">
        <v>45691.6401736111</v>
      </c>
      <c r="U2933" s="68">
        <v>45705.2916666667</v>
      </c>
      <c r="V2933" s="68">
        <v>0</v>
      </c>
      <c r="W2933" s="0">
        <f>IF(IF(B2933="none",1,IF(B2933="Trialer",1,0))+IF(C2933="Customer",1,IF(C2933="Lost",1,0))=2,1,0)</f>
      </c>
      <c r="X2933" s="0" t="s">
        <v>145</v>
      </c>
      <c r="Y2933" s="0" t="s">
        <v>1587</v>
      </c>
      <c r="AV2933" s="68"/>
      <c r="AW2933" s="68"/>
      <c r="AY2933" s="27"/>
      <c r="BD2933" s="68">
        <v>46054.1666666667</v>
      </c>
      <c r="BE2933" s="68">
        <v>46082.1666666667</v>
      </c>
      <c r="BF2933" s="0" t="b">
        <v>0</v>
      </c>
      <c r="BG2933" s="0" t="b">
        <v>0</v>
      </c>
      <c r="BH2933" s="0">
        <v>598</v>
      </c>
      <c r="BI2933" s="0">
        <v>598</v>
      </c>
      <c r="BJ2933" s="0" t="s">
        <v>135</v>
      </c>
    </row>
    <row r="2934">
      <c r="A2934" s="0" t="s">
        <v>3181</v>
      </c>
      <c r="B2934" s="0" t="s">
        <v>134</v>
      </c>
      <c r="C2934" s="0" t="s">
        <v>134</v>
      </c>
      <c r="D2934" s="0" t="s">
        <v>135</v>
      </c>
      <c r="E2934" s="0" t="s">
        <v>3</v>
      </c>
      <c r="F2934" s="0" t="s">
        <v>12</v>
      </c>
      <c r="G2934" s="0" t="s">
        <v>8</v>
      </c>
      <c r="H2934" s="0">
        <v>362</v>
      </c>
      <c r="I2934" s="0">
        <v>379</v>
      </c>
      <c r="J2934" s="0">
        <v>0</v>
      </c>
      <c r="K2934" s="0">
        <v>1</v>
      </c>
      <c r="L2934" s="0">
        <v>4</v>
      </c>
      <c r="M2934" s="0">
        <v>7</v>
      </c>
      <c r="N2934" s="0">
        <v>0</v>
      </c>
      <c r="O2934" s="0">
        <v>0</v>
      </c>
      <c r="P2934" s="0">
        <v>0</v>
      </c>
      <c r="R2934" s="0" t="b">
        <v>0</v>
      </c>
      <c r="S2934" s="0" t="b">
        <v>1</v>
      </c>
      <c r="T2934" s="68">
        <v>45691.7527546296</v>
      </c>
      <c r="U2934" s="68">
        <v>45705.2916666667</v>
      </c>
      <c r="V2934" s="68">
        <v>0</v>
      </c>
      <c r="W2934" s="0">
        <f>IF(IF(B2934="none",1,IF(B2934="Trialer",1,0))+IF(C2934="Customer",1,IF(C2934="Lost",1,0))=2,1,0)</f>
      </c>
      <c r="X2934" s="0" t="s">
        <v>136</v>
      </c>
      <c r="Y2934" s="0" t="s">
        <v>243</v>
      </c>
      <c r="AV2934" s="68"/>
      <c r="AW2934" s="68"/>
      <c r="AY2934" s="27"/>
      <c r="BD2934" s="68">
        <v>46054.1666666667</v>
      </c>
      <c r="BE2934" s="68">
        <v>46082.1666666667</v>
      </c>
      <c r="BF2934" s="0" t="b">
        <v>0</v>
      </c>
      <c r="BG2934" s="0" t="b">
        <v>0</v>
      </c>
      <c r="BH2934" s="0">
        <v>428</v>
      </c>
      <c r="BI2934" s="0">
        <v>428</v>
      </c>
      <c r="BJ2934" s="0" t="s">
        <v>135</v>
      </c>
    </row>
    <row r="2935">
      <c r="A2935" s="0" t="s">
        <v>3182</v>
      </c>
      <c r="B2935" s="0" t="s">
        <v>134</v>
      </c>
      <c r="C2935" s="0" t="s">
        <v>134</v>
      </c>
      <c r="D2935" s="0" t="s">
        <v>135</v>
      </c>
      <c r="E2935" s="0" t="s">
        <v>3</v>
      </c>
      <c r="F2935" s="0" t="s">
        <v>12</v>
      </c>
      <c r="G2935" s="0" t="s">
        <v>8</v>
      </c>
      <c r="H2935" s="0">
        <v>361</v>
      </c>
      <c r="I2935" s="0">
        <v>49</v>
      </c>
      <c r="J2935" s="0">
        <v>0</v>
      </c>
      <c r="K2935" s="0">
        <v>1</v>
      </c>
      <c r="L2935" s="0">
        <v>3</v>
      </c>
      <c r="M2935" s="0">
        <v>1</v>
      </c>
      <c r="N2935" s="0">
        <v>0</v>
      </c>
      <c r="O2935" s="0">
        <v>0</v>
      </c>
      <c r="P2935" s="0">
        <v>0</v>
      </c>
      <c r="R2935" s="0" t="b">
        <v>0</v>
      </c>
      <c r="S2935" s="0" t="b">
        <v>1</v>
      </c>
      <c r="T2935" s="68">
        <v>45692.344537037</v>
      </c>
      <c r="U2935" s="68">
        <v>45706.2916666667</v>
      </c>
      <c r="V2935" s="68">
        <v>0</v>
      </c>
      <c r="W2935" s="0">
        <f>IF(IF(B2935="none",1,IF(B2935="Trialer",1,0))+IF(C2935="Customer",1,IF(C2935="Lost",1,0))=2,1,0)</f>
      </c>
      <c r="X2935" s="0" t="s">
        <v>153</v>
      </c>
      <c r="Y2935" s="0" t="s">
        <v>243</v>
      </c>
      <c r="AV2935" s="68"/>
      <c r="AW2935" s="68"/>
      <c r="AY2935" s="27"/>
      <c r="BD2935" s="68">
        <v>46054.1666666667</v>
      </c>
      <c r="BE2935" s="68">
        <v>46082.1666666667</v>
      </c>
      <c r="BF2935" s="0" t="b">
        <v>0</v>
      </c>
      <c r="BG2935" s="0" t="b">
        <v>0</v>
      </c>
      <c r="BH2935" s="0">
        <v>49</v>
      </c>
      <c r="BI2935" s="0">
        <v>49</v>
      </c>
      <c r="BJ2935" s="0" t="s">
        <v>135</v>
      </c>
    </row>
    <row r="2936">
      <c r="A2936" s="0" t="s">
        <v>3183</v>
      </c>
      <c r="B2936" s="0" t="s">
        <v>134</v>
      </c>
      <c r="C2936" s="0" t="s">
        <v>134</v>
      </c>
      <c r="D2936" s="0" t="s">
        <v>230</v>
      </c>
      <c r="E2936" s="0" t="s">
        <v>2</v>
      </c>
      <c r="F2936" s="0" t="s">
        <v>10</v>
      </c>
      <c r="G2936" s="0" t="s">
        <v>8</v>
      </c>
      <c r="H2936" s="0">
        <v>361</v>
      </c>
      <c r="I2936" s="0">
        <v>318</v>
      </c>
      <c r="J2936" s="0">
        <v>0</v>
      </c>
      <c r="K2936" s="0">
        <v>1</v>
      </c>
      <c r="L2936" s="0">
        <v>4</v>
      </c>
      <c r="M2936" s="0">
        <v>7</v>
      </c>
      <c r="N2936" s="0">
        <v>0</v>
      </c>
      <c r="O2936" s="0">
        <v>0</v>
      </c>
      <c r="P2936" s="0">
        <v>-318</v>
      </c>
      <c r="Q2936" s="0" t="s">
        <v>1919</v>
      </c>
      <c r="R2936" s="0" t="b">
        <v>0</v>
      </c>
      <c r="S2936" s="0" t="b">
        <v>1</v>
      </c>
      <c r="T2936" s="68">
        <v>45692.4312962963</v>
      </c>
      <c r="U2936" s="68">
        <v>45706.2916666667</v>
      </c>
      <c r="V2936" s="68">
        <v>0</v>
      </c>
      <c r="W2936" s="0">
        <f>IF(IF(B2936="none",1,IF(B2936="Trialer",1,0))+IF(C2936="Customer",1,IF(C2936="Lost",1,0))=2,1,0)</f>
      </c>
      <c r="X2936" s="0" t="s">
        <v>145</v>
      </c>
      <c r="Y2936" s="0" t="s">
        <v>499</v>
      </c>
      <c r="AV2936" s="68"/>
      <c r="AW2936" s="68"/>
      <c r="AY2936" s="27"/>
      <c r="BD2936" s="68">
        <v>46054.1666666667</v>
      </c>
      <c r="BE2936" s="68">
        <v>46082.1666666667</v>
      </c>
      <c r="BF2936" s="0" t="b">
        <v>0</v>
      </c>
      <c r="BG2936" s="0" t="b">
        <v>0</v>
      </c>
      <c r="BH2936" s="0">
        <v>355</v>
      </c>
      <c r="BI2936" s="0">
        <v>355</v>
      </c>
      <c r="BJ2936" s="0" t="s">
        <v>230</v>
      </c>
    </row>
    <row r="2937">
      <c r="A2937" s="0" t="s">
        <v>3184</v>
      </c>
      <c r="B2937" s="0" t="s">
        <v>134</v>
      </c>
      <c r="C2937" s="0" t="s">
        <v>134</v>
      </c>
      <c r="D2937" s="0" t="s">
        <v>135</v>
      </c>
      <c r="E2937" s="0" t="s">
        <v>3</v>
      </c>
      <c r="F2937" s="0" t="s">
        <v>12</v>
      </c>
      <c r="G2937" s="0" t="s">
        <v>8</v>
      </c>
      <c r="H2937" s="0">
        <v>361</v>
      </c>
      <c r="I2937" s="0">
        <v>40</v>
      </c>
      <c r="J2937" s="0">
        <v>0</v>
      </c>
      <c r="K2937" s="0">
        <v>1</v>
      </c>
      <c r="L2937" s="0">
        <v>1</v>
      </c>
      <c r="M2937" s="0">
        <v>0</v>
      </c>
      <c r="N2937" s="0">
        <v>0</v>
      </c>
      <c r="O2937" s="0">
        <v>0</v>
      </c>
      <c r="P2937" s="0">
        <v>0</v>
      </c>
      <c r="R2937" s="0" t="b">
        <v>0</v>
      </c>
      <c r="S2937" s="0" t="b">
        <v>1</v>
      </c>
      <c r="T2937" s="68">
        <v>45692.4410763889</v>
      </c>
      <c r="U2937" s="68">
        <v>45692.2916666667</v>
      </c>
      <c r="V2937" s="68">
        <v>0</v>
      </c>
      <c r="W2937" s="0">
        <f>IF(IF(B2937="none",1,IF(B2937="Trialer",1,0))+IF(C2937="Customer",1,IF(C2937="Lost",1,0))=2,1,0)</f>
      </c>
      <c r="X2937" s="0" t="s">
        <v>136</v>
      </c>
      <c r="Y2937" s="0" t="s">
        <v>243</v>
      </c>
      <c r="AV2937" s="68"/>
      <c r="AW2937" s="68"/>
      <c r="AY2937" s="27"/>
      <c r="BD2937" s="68">
        <v>46054.1666666667</v>
      </c>
      <c r="BE2937" s="68">
        <v>46082.1666666667</v>
      </c>
      <c r="BF2937" s="0" t="b">
        <v>0</v>
      </c>
      <c r="BG2937" s="0" t="b">
        <v>0</v>
      </c>
      <c r="BH2937" s="0">
        <v>40</v>
      </c>
      <c r="BI2937" s="0">
        <v>40</v>
      </c>
      <c r="BJ2937" s="0" t="s">
        <v>135</v>
      </c>
    </row>
    <row r="2938">
      <c r="A2938" s="0" t="s">
        <v>3185</v>
      </c>
      <c r="B2938" s="0" t="s">
        <v>134</v>
      </c>
      <c r="C2938" s="0" t="s">
        <v>134</v>
      </c>
      <c r="D2938" s="0" t="s">
        <v>135</v>
      </c>
      <c r="E2938" s="0" t="s">
        <v>3</v>
      </c>
      <c r="F2938" s="0" t="s">
        <v>12</v>
      </c>
      <c r="G2938" s="0" t="s">
        <v>8</v>
      </c>
      <c r="H2938" s="0">
        <v>361</v>
      </c>
      <c r="I2938" s="0">
        <v>122</v>
      </c>
      <c r="J2938" s="0">
        <v>0</v>
      </c>
      <c r="K2938" s="0">
        <v>1</v>
      </c>
      <c r="L2938" s="0">
        <v>4</v>
      </c>
      <c r="M2938" s="0">
        <v>2</v>
      </c>
      <c r="N2938" s="0">
        <v>0</v>
      </c>
      <c r="O2938" s="0">
        <v>0</v>
      </c>
      <c r="P2938" s="0">
        <v>0</v>
      </c>
      <c r="R2938" s="0" t="b">
        <v>0</v>
      </c>
      <c r="S2938" s="0" t="b">
        <v>1</v>
      </c>
      <c r="T2938" s="68">
        <v>45692.6499305556</v>
      </c>
      <c r="U2938" s="68">
        <v>45692.2916666667</v>
      </c>
      <c r="V2938" s="68">
        <v>0</v>
      </c>
      <c r="W2938" s="0">
        <f>IF(IF(B2938="none",1,IF(B2938="Trialer",1,0))+IF(C2938="Customer",1,IF(C2938="Lost",1,0))=2,1,0)</f>
      </c>
      <c r="X2938" s="0" t="s">
        <v>166</v>
      </c>
      <c r="Y2938" s="0" t="s">
        <v>243</v>
      </c>
      <c r="AV2938" s="68"/>
      <c r="AW2938" s="68"/>
      <c r="AY2938" s="27"/>
      <c r="BD2938" s="68">
        <v>46054.1666666667</v>
      </c>
      <c r="BE2938" s="68">
        <v>46082.1666666667</v>
      </c>
      <c r="BF2938" s="0" t="b">
        <v>0</v>
      </c>
      <c r="BG2938" s="0" t="b">
        <v>0</v>
      </c>
      <c r="BH2938" s="0">
        <v>122</v>
      </c>
      <c r="BI2938" s="0">
        <v>122</v>
      </c>
      <c r="BJ2938" s="0" t="s">
        <v>135</v>
      </c>
    </row>
    <row r="2939">
      <c r="A2939" s="0" t="s">
        <v>3186</v>
      </c>
      <c r="B2939" s="0" t="s">
        <v>134</v>
      </c>
      <c r="C2939" s="0" t="s">
        <v>134</v>
      </c>
      <c r="D2939" s="0" t="s">
        <v>230</v>
      </c>
      <c r="E2939" s="0" t="s">
        <v>3</v>
      </c>
      <c r="F2939" s="0" t="s">
        <v>12</v>
      </c>
      <c r="G2939" s="0" t="s">
        <v>8</v>
      </c>
      <c r="H2939" s="0">
        <v>361</v>
      </c>
      <c r="I2939" s="0">
        <v>108</v>
      </c>
      <c r="J2939" s="0">
        <v>0</v>
      </c>
      <c r="K2939" s="0">
        <v>1</v>
      </c>
      <c r="L2939" s="0">
        <v>4</v>
      </c>
      <c r="M2939" s="0">
        <v>2</v>
      </c>
      <c r="N2939" s="0">
        <v>0</v>
      </c>
      <c r="O2939" s="0">
        <v>0</v>
      </c>
      <c r="P2939" s="0">
        <v>-108</v>
      </c>
      <c r="R2939" s="0" t="b">
        <v>0</v>
      </c>
      <c r="S2939" s="0" t="b">
        <v>1</v>
      </c>
      <c r="T2939" s="68">
        <v>45692.8742013889</v>
      </c>
      <c r="U2939" s="68">
        <v>45699.2916666667</v>
      </c>
      <c r="V2939" s="68">
        <v>0</v>
      </c>
      <c r="W2939" s="0">
        <f>IF(IF(B2939="none",1,IF(B2939="Trialer",1,0))+IF(C2939="Customer",1,IF(C2939="Lost",1,0))=2,1,0)</f>
      </c>
      <c r="X2939" s="0" t="s">
        <v>166</v>
      </c>
      <c r="Y2939" s="0" t="s">
        <v>243</v>
      </c>
      <c r="AV2939" s="68"/>
      <c r="AW2939" s="68"/>
      <c r="AY2939" s="27"/>
      <c r="BD2939" s="68">
        <v>46054.1666666667</v>
      </c>
      <c r="BE2939" s="68">
        <v>46082.1666666667</v>
      </c>
      <c r="BF2939" s="0" t="b">
        <v>0</v>
      </c>
      <c r="BG2939" s="0" t="b">
        <v>0</v>
      </c>
      <c r="BH2939" s="0">
        <v>122</v>
      </c>
      <c r="BI2939" s="0">
        <v>122</v>
      </c>
      <c r="BJ2939" s="0" t="s">
        <v>230</v>
      </c>
    </row>
    <row r="2940">
      <c r="A2940" s="0" t="s">
        <v>3187</v>
      </c>
      <c r="B2940" s="0" t="s">
        <v>134</v>
      </c>
      <c r="C2940" s="0" t="s">
        <v>134</v>
      </c>
      <c r="D2940" s="0" t="s">
        <v>230</v>
      </c>
      <c r="E2940" s="0" t="s">
        <v>2</v>
      </c>
      <c r="F2940" s="0" t="s">
        <v>12</v>
      </c>
      <c r="G2940" s="0" t="s">
        <v>8</v>
      </c>
      <c r="H2940" s="0">
        <v>360</v>
      </c>
      <c r="I2940" s="0">
        <v>36</v>
      </c>
      <c r="J2940" s="0">
        <v>0</v>
      </c>
      <c r="K2940" s="0">
        <v>1</v>
      </c>
      <c r="L2940" s="0">
        <v>2</v>
      </c>
      <c r="M2940" s="0">
        <v>1</v>
      </c>
      <c r="N2940" s="0">
        <v>0</v>
      </c>
      <c r="O2940" s="0">
        <v>0</v>
      </c>
      <c r="P2940" s="0">
        <v>-36</v>
      </c>
      <c r="R2940" s="0" t="b">
        <v>0</v>
      </c>
      <c r="S2940" s="0" t="b">
        <v>1</v>
      </c>
      <c r="T2940" s="68">
        <v>45693.4295023148</v>
      </c>
      <c r="U2940" s="68">
        <v>45707.2916666667</v>
      </c>
      <c r="V2940" s="68">
        <v>0</v>
      </c>
      <c r="W2940" s="0">
        <f>IF(IF(B2940="none",1,IF(B2940="Trialer",1,0))+IF(C2940="Customer",1,IF(C2940="Lost",1,0))=2,1,0)</f>
      </c>
      <c r="X2940" s="0" t="s">
        <v>142</v>
      </c>
      <c r="Y2940" s="0" t="s">
        <v>499</v>
      </c>
      <c r="AV2940" s="68"/>
      <c r="AW2940" s="68"/>
      <c r="AY2940" s="27"/>
      <c r="BD2940" s="68">
        <v>46054.1666666667</v>
      </c>
      <c r="BE2940" s="68">
        <v>46082.1666666667</v>
      </c>
      <c r="BF2940" s="0" t="b">
        <v>0</v>
      </c>
      <c r="BG2940" s="0" t="b">
        <v>0</v>
      </c>
      <c r="BH2940" s="0">
        <v>40</v>
      </c>
      <c r="BI2940" s="0">
        <v>40</v>
      </c>
      <c r="BJ2940" s="0" t="s">
        <v>230</v>
      </c>
    </row>
    <row r="2941">
      <c r="A2941" s="0" t="s">
        <v>3188</v>
      </c>
      <c r="B2941" s="0" t="s">
        <v>134</v>
      </c>
      <c r="C2941" s="0" t="s">
        <v>134</v>
      </c>
      <c r="D2941" s="0" t="s">
        <v>135</v>
      </c>
      <c r="E2941" s="0" t="s">
        <v>2</v>
      </c>
      <c r="F2941" s="0" t="s">
        <v>12</v>
      </c>
      <c r="G2941" s="0" t="s">
        <v>8</v>
      </c>
      <c r="H2941" s="0">
        <v>360</v>
      </c>
      <c r="I2941" s="0">
        <v>49</v>
      </c>
      <c r="J2941" s="0">
        <v>0</v>
      </c>
      <c r="K2941" s="0">
        <v>1</v>
      </c>
      <c r="L2941" s="0">
        <v>3</v>
      </c>
      <c r="M2941" s="0">
        <v>1</v>
      </c>
      <c r="N2941" s="0">
        <v>0</v>
      </c>
      <c r="O2941" s="0">
        <v>0</v>
      </c>
      <c r="P2941" s="0">
        <v>0</v>
      </c>
      <c r="R2941" s="0" t="b">
        <v>0</v>
      </c>
      <c r="S2941" s="0" t="b">
        <v>1</v>
      </c>
      <c r="T2941" s="68">
        <v>45693.6418981481</v>
      </c>
      <c r="U2941" s="68">
        <v>45701.2916666667</v>
      </c>
      <c r="V2941" s="68">
        <v>0</v>
      </c>
      <c r="W2941" s="0">
        <f>IF(IF(B2941="none",1,IF(B2941="Trialer",1,0))+IF(C2941="Customer",1,IF(C2941="Lost",1,0))=2,1,0)</f>
      </c>
      <c r="X2941" s="0" t="s">
        <v>153</v>
      </c>
      <c r="Y2941" s="0" t="s">
        <v>499</v>
      </c>
      <c r="AV2941" s="68"/>
      <c r="AW2941" s="68"/>
      <c r="AY2941" s="27"/>
      <c r="BD2941" s="68">
        <v>46054.1666666667</v>
      </c>
      <c r="BE2941" s="68">
        <v>46082.1666666667</v>
      </c>
      <c r="BF2941" s="0" t="b">
        <v>0</v>
      </c>
      <c r="BG2941" s="0" t="b">
        <v>0</v>
      </c>
      <c r="BH2941" s="0">
        <v>49</v>
      </c>
      <c r="BI2941" s="0">
        <v>49</v>
      </c>
      <c r="BJ2941" s="0" t="s">
        <v>230</v>
      </c>
    </row>
    <row r="2942">
      <c r="A2942" s="0" t="s">
        <v>3189</v>
      </c>
      <c r="B2942" s="0" t="s">
        <v>134</v>
      </c>
      <c r="C2942" s="0" t="s">
        <v>134</v>
      </c>
      <c r="D2942" s="0" t="s">
        <v>135</v>
      </c>
      <c r="E2942" s="0" t="s">
        <v>3</v>
      </c>
      <c r="F2942" s="0" t="s">
        <v>12</v>
      </c>
      <c r="G2942" s="0" t="s">
        <v>8</v>
      </c>
      <c r="H2942" s="0">
        <v>360</v>
      </c>
      <c r="I2942" s="0">
        <v>147</v>
      </c>
      <c r="J2942" s="0">
        <v>0</v>
      </c>
      <c r="K2942" s="0">
        <v>1</v>
      </c>
      <c r="L2942" s="0">
        <v>3</v>
      </c>
      <c r="M2942" s="0">
        <v>3</v>
      </c>
      <c r="N2942" s="0">
        <v>0</v>
      </c>
      <c r="O2942" s="0">
        <v>0</v>
      </c>
      <c r="P2942" s="0">
        <v>0</v>
      </c>
      <c r="R2942" s="0" t="b">
        <v>0</v>
      </c>
      <c r="S2942" s="0" t="b">
        <v>1</v>
      </c>
      <c r="T2942" s="68">
        <v>45693.8632291667</v>
      </c>
      <c r="U2942" s="68">
        <v>45707.2916666667</v>
      </c>
      <c r="V2942" s="68">
        <v>0</v>
      </c>
      <c r="W2942" s="0">
        <f>IF(IF(B2942="none",1,IF(B2942="Trialer",1,0))+IF(C2942="Customer",1,IF(C2942="Lost",1,0))=2,1,0)</f>
      </c>
      <c r="X2942" s="0" t="s">
        <v>153</v>
      </c>
      <c r="Y2942" s="0" t="s">
        <v>243</v>
      </c>
      <c r="AV2942" s="68"/>
      <c r="AW2942" s="68"/>
      <c r="AY2942" s="27"/>
      <c r="BD2942" s="68">
        <v>46054.1666666667</v>
      </c>
      <c r="BE2942" s="68">
        <v>46082.1666666667</v>
      </c>
      <c r="BF2942" s="0" t="b">
        <v>0</v>
      </c>
      <c r="BG2942" s="0" t="b">
        <v>0</v>
      </c>
      <c r="BH2942" s="0">
        <v>147</v>
      </c>
      <c r="BI2942" s="0">
        <v>147</v>
      </c>
      <c r="BJ2942" s="0" t="s">
        <v>135</v>
      </c>
    </row>
    <row r="2943">
      <c r="A2943" s="0" t="s">
        <v>3190</v>
      </c>
      <c r="B2943" s="0" t="s">
        <v>134</v>
      </c>
      <c r="C2943" s="0" t="s">
        <v>134</v>
      </c>
      <c r="D2943" s="0" t="s">
        <v>230</v>
      </c>
      <c r="E2943" s="0" t="s">
        <v>3</v>
      </c>
      <c r="F2943" s="0" t="s">
        <v>12</v>
      </c>
      <c r="G2943" s="0" t="s">
        <v>8</v>
      </c>
      <c r="H2943" s="0">
        <v>359</v>
      </c>
      <c r="I2943" s="0">
        <v>54</v>
      </c>
      <c r="J2943" s="0">
        <v>0</v>
      </c>
      <c r="K2943" s="0">
        <v>1</v>
      </c>
      <c r="L2943" s="0">
        <v>4</v>
      </c>
      <c r="M2943" s="0">
        <v>1</v>
      </c>
      <c r="N2943" s="0">
        <v>0</v>
      </c>
      <c r="O2943" s="0">
        <v>0</v>
      </c>
      <c r="P2943" s="0">
        <v>-54</v>
      </c>
      <c r="R2943" s="0" t="b">
        <v>0</v>
      </c>
      <c r="S2943" s="0" t="b">
        <v>1</v>
      </c>
      <c r="T2943" s="68">
        <v>45694.4709953704</v>
      </c>
      <c r="U2943" s="68">
        <v>45742.3333333333</v>
      </c>
      <c r="V2943" s="68">
        <v>0</v>
      </c>
      <c r="W2943" s="0">
        <f>IF(IF(B2943="none",1,IF(B2943="Trialer",1,0))+IF(C2943="Customer",1,IF(C2943="Lost",1,0))=2,1,0)</f>
      </c>
      <c r="X2943" s="0" t="s">
        <v>142</v>
      </c>
      <c r="Y2943" s="0" t="s">
        <v>243</v>
      </c>
      <c r="AV2943" s="68"/>
      <c r="AW2943" s="68"/>
      <c r="AY2943" s="27"/>
      <c r="BD2943" s="68">
        <v>46054.1666666667</v>
      </c>
      <c r="BE2943" s="68">
        <v>46082.1666666667</v>
      </c>
      <c r="BF2943" s="0" t="b">
        <v>0</v>
      </c>
      <c r="BG2943" s="0" t="b">
        <v>0</v>
      </c>
      <c r="BH2943" s="0">
        <v>61</v>
      </c>
      <c r="BI2943" s="0">
        <v>61</v>
      </c>
      <c r="BJ2943" s="0" t="s">
        <v>230</v>
      </c>
    </row>
    <row r="2944">
      <c r="A2944" s="0" t="s">
        <v>3191</v>
      </c>
      <c r="B2944" s="0" t="s">
        <v>134</v>
      </c>
      <c r="C2944" s="0" t="s">
        <v>134</v>
      </c>
      <c r="D2944" s="0" t="s">
        <v>230</v>
      </c>
      <c r="E2944" s="0" t="s">
        <v>3</v>
      </c>
      <c r="F2944" s="0" t="s">
        <v>12</v>
      </c>
      <c r="G2944" s="0" t="s">
        <v>8</v>
      </c>
      <c r="H2944" s="0">
        <v>359</v>
      </c>
      <c r="I2944" s="0">
        <v>646</v>
      </c>
      <c r="J2944" s="0">
        <v>0</v>
      </c>
      <c r="K2944" s="0">
        <v>1</v>
      </c>
      <c r="L2944" s="0">
        <v>3</v>
      </c>
      <c r="M2944" s="0">
        <v>9</v>
      </c>
      <c r="N2944" s="0">
        <v>0</v>
      </c>
      <c r="O2944" s="0">
        <v>0</v>
      </c>
      <c r="P2944" s="0">
        <v>-321</v>
      </c>
      <c r="R2944" s="0" t="b">
        <v>0</v>
      </c>
      <c r="S2944" s="0" t="b">
        <v>1</v>
      </c>
      <c r="T2944" s="68">
        <v>45694.4849421296</v>
      </c>
      <c r="U2944" s="68">
        <v>45708.2916666667</v>
      </c>
      <c r="V2944" s="68">
        <v>0</v>
      </c>
      <c r="W2944" s="0">
        <f>IF(IF(B2944="none",1,IF(B2944="Trialer",1,0))+IF(C2944="Customer",1,IF(C2944="Lost",1,0))=2,1,0)</f>
      </c>
      <c r="X2944" s="0" t="s">
        <v>148</v>
      </c>
      <c r="Y2944" s="0" t="s">
        <v>243</v>
      </c>
      <c r="AV2944" s="68"/>
      <c r="AW2944" s="68"/>
      <c r="AY2944" s="27"/>
      <c r="BD2944" s="68">
        <v>46054.1666666667</v>
      </c>
      <c r="BE2944" s="68">
        <v>46082.1666666667</v>
      </c>
      <c r="BF2944" s="0" t="b">
        <v>0</v>
      </c>
      <c r="BG2944" s="0" t="b">
        <v>0</v>
      </c>
      <c r="BH2944" s="0">
        <v>357</v>
      </c>
      <c r="BI2944" s="0">
        <v>357</v>
      </c>
      <c r="BJ2944" s="0" t="s">
        <v>230</v>
      </c>
    </row>
    <row r="2945">
      <c r="A2945" s="0" t="s">
        <v>3192</v>
      </c>
      <c r="B2945" s="0" t="s">
        <v>134</v>
      </c>
      <c r="C2945" s="0" t="s">
        <v>134</v>
      </c>
      <c r="D2945" s="0" t="s">
        <v>135</v>
      </c>
      <c r="E2945" s="0" t="s">
        <v>3</v>
      </c>
      <c r="F2945" s="0" t="s">
        <v>12</v>
      </c>
      <c r="G2945" s="0" t="s">
        <v>8</v>
      </c>
      <c r="H2945" s="0">
        <v>359</v>
      </c>
      <c r="I2945" s="0">
        <v>56</v>
      </c>
      <c r="J2945" s="0">
        <v>0</v>
      </c>
      <c r="K2945" s="0">
        <v>1</v>
      </c>
      <c r="L2945" s="0">
        <v>1</v>
      </c>
      <c r="M2945" s="0">
        <v>2</v>
      </c>
      <c r="N2945" s="0">
        <v>0</v>
      </c>
      <c r="O2945" s="0">
        <v>0</v>
      </c>
      <c r="P2945" s="0">
        <v>0</v>
      </c>
      <c r="R2945" s="0" t="b">
        <v>0</v>
      </c>
      <c r="S2945" s="0" t="b">
        <v>1</v>
      </c>
      <c r="T2945" s="68">
        <v>45694.5997106481</v>
      </c>
      <c r="U2945" s="68">
        <v>45712.2916666667</v>
      </c>
      <c r="V2945" s="68">
        <v>0</v>
      </c>
      <c r="W2945" s="0">
        <f>IF(IF(B2945="none",1,IF(B2945="Trialer",1,0))+IF(C2945="Customer",1,IF(C2945="Lost",1,0))=2,1,0)</f>
      </c>
      <c r="X2945" s="0" t="s">
        <v>142</v>
      </c>
      <c r="Y2945" s="0" t="s">
        <v>487</v>
      </c>
      <c r="AV2945" s="68"/>
      <c r="AW2945" s="68"/>
      <c r="AY2945" s="27"/>
      <c r="BD2945" s="68">
        <v>46054.1666666667</v>
      </c>
      <c r="BE2945" s="68">
        <v>46082.1666666667</v>
      </c>
      <c r="BF2945" s="0" t="b">
        <v>0</v>
      </c>
      <c r="BG2945" s="0" t="b">
        <v>0</v>
      </c>
      <c r="BH2945" s="0">
        <v>56</v>
      </c>
      <c r="BI2945" s="0">
        <v>56</v>
      </c>
      <c r="BJ2945" s="0" t="s">
        <v>135</v>
      </c>
    </row>
    <row r="2946">
      <c r="A2946" s="0" t="s">
        <v>3193</v>
      </c>
      <c r="B2946" s="0" t="s">
        <v>134</v>
      </c>
      <c r="C2946" s="0" t="s">
        <v>134</v>
      </c>
      <c r="D2946" s="0" t="s">
        <v>135</v>
      </c>
      <c r="E2946" s="0" t="s">
        <v>2</v>
      </c>
      <c r="F2946" s="0" t="s">
        <v>12</v>
      </c>
      <c r="G2946" s="0" t="s">
        <v>8</v>
      </c>
      <c r="H2946" s="0">
        <v>359</v>
      </c>
      <c r="I2946" s="0">
        <v>974</v>
      </c>
      <c r="J2946" s="0">
        <v>0</v>
      </c>
      <c r="K2946" s="0">
        <v>1</v>
      </c>
      <c r="L2946" s="0">
        <v>5</v>
      </c>
      <c r="M2946" s="0">
        <v>13</v>
      </c>
      <c r="N2946" s="0">
        <v>0</v>
      </c>
      <c r="O2946" s="0">
        <v>0</v>
      </c>
      <c r="P2946" s="0">
        <v>0</v>
      </c>
      <c r="R2946" s="0" t="b">
        <v>0</v>
      </c>
      <c r="S2946" s="0" t="b">
        <v>1</v>
      </c>
      <c r="T2946" s="68">
        <v>45694.6750694444</v>
      </c>
      <c r="U2946" s="68">
        <v>45743.3333333333</v>
      </c>
      <c r="V2946" s="68">
        <v>0</v>
      </c>
      <c r="W2946" s="0">
        <f>IF(IF(B2946="none",1,IF(B2946="Trialer",1,0))+IF(C2946="Customer",1,IF(C2946="Lost",1,0))=2,1,0)</f>
      </c>
      <c r="X2946" s="0" t="s">
        <v>145</v>
      </c>
      <c r="Y2946" s="0" t="s">
        <v>499</v>
      </c>
      <c r="AV2946" s="68"/>
      <c r="AW2946" s="68"/>
      <c r="AY2946" s="27"/>
      <c r="BD2946" s="68">
        <v>46054.1666666667</v>
      </c>
      <c r="BE2946" s="68">
        <v>46082.1666666667</v>
      </c>
      <c r="BF2946" s="0" t="b">
        <v>0</v>
      </c>
      <c r="BG2946" s="0" t="b">
        <v>0</v>
      </c>
      <c r="BH2946" s="0">
        <v>649</v>
      </c>
      <c r="BI2946" s="0">
        <v>649</v>
      </c>
      <c r="BJ2946" s="0" t="s">
        <v>135</v>
      </c>
    </row>
    <row r="2947">
      <c r="A2947" s="0" t="s">
        <v>3194</v>
      </c>
      <c r="B2947" s="0" t="s">
        <v>134</v>
      </c>
      <c r="C2947" s="0" t="s">
        <v>134</v>
      </c>
      <c r="D2947" s="0" t="s">
        <v>135</v>
      </c>
      <c r="E2947" s="0" t="s">
        <v>3</v>
      </c>
      <c r="F2947" s="0" t="s">
        <v>12</v>
      </c>
      <c r="G2947" s="0" t="s">
        <v>8</v>
      </c>
      <c r="H2947" s="0">
        <v>358</v>
      </c>
      <c r="I2947" s="0">
        <v>49</v>
      </c>
      <c r="J2947" s="0">
        <v>0</v>
      </c>
      <c r="K2947" s="0">
        <v>1</v>
      </c>
      <c r="L2947" s="0">
        <v>3</v>
      </c>
      <c r="M2947" s="0">
        <v>1</v>
      </c>
      <c r="N2947" s="0">
        <v>0</v>
      </c>
      <c r="O2947" s="0">
        <v>0</v>
      </c>
      <c r="P2947" s="0">
        <v>0</v>
      </c>
      <c r="R2947" s="0" t="b">
        <v>0</v>
      </c>
      <c r="S2947" s="0" t="b">
        <v>1</v>
      </c>
      <c r="T2947" s="68">
        <v>45695.4886342593</v>
      </c>
      <c r="U2947" s="68">
        <v>45695.2916666667</v>
      </c>
      <c r="V2947" s="68">
        <v>0</v>
      </c>
      <c r="W2947" s="0">
        <f>IF(IF(B2947="none",1,IF(B2947="Trialer",1,0))+IF(C2947="Customer",1,IF(C2947="Lost",1,0))=2,1,0)</f>
      </c>
      <c r="X2947" s="0" t="s">
        <v>148</v>
      </c>
      <c r="Y2947" s="0" t="s">
        <v>243</v>
      </c>
      <c r="AV2947" s="68"/>
      <c r="AW2947" s="68"/>
      <c r="AY2947" s="27"/>
      <c r="BD2947" s="68">
        <v>46054.1666666667</v>
      </c>
      <c r="BE2947" s="68">
        <v>46082.1666666667</v>
      </c>
      <c r="BF2947" s="0" t="b">
        <v>0</v>
      </c>
      <c r="BG2947" s="0" t="b">
        <v>0</v>
      </c>
      <c r="BH2947" s="0">
        <v>49</v>
      </c>
      <c r="BI2947" s="0">
        <v>49</v>
      </c>
      <c r="BJ2947" s="0" t="s">
        <v>135</v>
      </c>
    </row>
    <row r="2948">
      <c r="A2948" s="0" t="s">
        <v>3195</v>
      </c>
      <c r="B2948" s="0" t="s">
        <v>134</v>
      </c>
      <c r="C2948" s="0" t="s">
        <v>134</v>
      </c>
      <c r="D2948" s="0" t="s">
        <v>135</v>
      </c>
      <c r="E2948" s="0" t="s">
        <v>3</v>
      </c>
      <c r="F2948" s="0" t="s">
        <v>12</v>
      </c>
      <c r="G2948" s="0" t="s">
        <v>8</v>
      </c>
      <c r="H2948" s="0">
        <v>358</v>
      </c>
      <c r="I2948" s="0">
        <v>89</v>
      </c>
      <c r="J2948" s="0">
        <v>0</v>
      </c>
      <c r="K2948" s="0">
        <v>1</v>
      </c>
      <c r="L2948" s="0">
        <v>4</v>
      </c>
      <c r="M2948" s="0">
        <v>2</v>
      </c>
      <c r="N2948" s="0">
        <v>0</v>
      </c>
      <c r="O2948" s="0">
        <v>0</v>
      </c>
      <c r="P2948" s="0">
        <v>0</v>
      </c>
      <c r="R2948" s="0" t="b">
        <v>0</v>
      </c>
      <c r="S2948" s="0" t="b">
        <v>1</v>
      </c>
      <c r="T2948" s="68">
        <v>45695.6671412037</v>
      </c>
      <c r="U2948" s="68">
        <v>45709.2916666667</v>
      </c>
      <c r="V2948" s="68">
        <v>0</v>
      </c>
      <c r="W2948" s="0">
        <f>IF(IF(B2948="none",1,IF(B2948="Trialer",1,0))+IF(C2948="Customer",1,IF(C2948="Lost",1,0))=2,1,0)</f>
      </c>
      <c r="X2948" s="0" t="s">
        <v>1461</v>
      </c>
      <c r="Y2948" s="0" t="s">
        <v>2664</v>
      </c>
      <c r="AV2948" s="68"/>
      <c r="AW2948" s="68"/>
      <c r="AY2948" s="27"/>
      <c r="BD2948" s="68">
        <v>46054.1666666667</v>
      </c>
      <c r="BE2948" s="68">
        <v>46082.1666666667</v>
      </c>
      <c r="BF2948" s="0" t="b">
        <v>0</v>
      </c>
      <c r="BG2948" s="0" t="b">
        <v>0</v>
      </c>
      <c r="BH2948" s="0">
        <v>89</v>
      </c>
      <c r="BI2948" s="0">
        <v>89</v>
      </c>
      <c r="BJ2948" s="0" t="s">
        <v>135</v>
      </c>
    </row>
    <row r="2949">
      <c r="A2949" s="0" t="s">
        <v>3196</v>
      </c>
      <c r="B2949" s="0" t="s">
        <v>134</v>
      </c>
      <c r="C2949" s="0" t="s">
        <v>134</v>
      </c>
      <c r="D2949" s="0" t="s">
        <v>135</v>
      </c>
      <c r="E2949" s="0" t="s">
        <v>3</v>
      </c>
      <c r="F2949" s="0" t="s">
        <v>12</v>
      </c>
      <c r="G2949" s="0" t="s">
        <v>8</v>
      </c>
      <c r="H2949" s="0">
        <v>358</v>
      </c>
      <c r="I2949" s="0">
        <v>429</v>
      </c>
      <c r="J2949" s="0">
        <v>0</v>
      </c>
      <c r="K2949" s="0">
        <v>1</v>
      </c>
      <c r="L2949" s="0">
        <v>3</v>
      </c>
      <c r="M2949" s="0">
        <v>2</v>
      </c>
      <c r="N2949" s="0">
        <v>697.5</v>
      </c>
      <c r="O2949" s="0">
        <v>0</v>
      </c>
      <c r="P2949" s="0">
        <v>0</v>
      </c>
      <c r="R2949" s="0" t="b">
        <v>0</v>
      </c>
      <c r="S2949" s="0" t="b">
        <v>1</v>
      </c>
      <c r="T2949" s="68">
        <v>45695.7291319444</v>
      </c>
      <c r="U2949" s="68">
        <v>45734.3333333333</v>
      </c>
      <c r="V2949" s="68">
        <v>0</v>
      </c>
      <c r="W2949" s="0">
        <f>IF(IF(B2949="none",1,IF(B2949="Trialer",1,0))+IF(C2949="Customer",1,IF(C2949="Lost",1,0))=2,1,0)</f>
      </c>
      <c r="X2949" s="0" t="s">
        <v>136</v>
      </c>
      <c r="Y2949" s="0" t="s">
        <v>243</v>
      </c>
      <c r="AV2949" s="68"/>
      <c r="AW2949" s="68"/>
      <c r="AY2949" s="27"/>
      <c r="BD2949" s="68">
        <v>46054.1666666667</v>
      </c>
      <c r="BE2949" s="68">
        <v>46082.1666666667</v>
      </c>
      <c r="BF2949" s="0" t="b">
        <v>0</v>
      </c>
      <c r="BG2949" s="0" t="b">
        <v>0</v>
      </c>
      <c r="BH2949" s="0">
        <v>104</v>
      </c>
      <c r="BI2949" s="0">
        <v>104</v>
      </c>
      <c r="BJ2949" s="0" t="s">
        <v>135</v>
      </c>
    </row>
    <row r="2950">
      <c r="A2950" s="0" t="s">
        <v>3197</v>
      </c>
      <c r="B2950" s="0" t="s">
        <v>134</v>
      </c>
      <c r="C2950" s="0" t="s">
        <v>134</v>
      </c>
      <c r="D2950" s="0" t="s">
        <v>230</v>
      </c>
      <c r="E2950" s="0" t="s">
        <v>3</v>
      </c>
      <c r="F2950" s="0" t="s">
        <v>12</v>
      </c>
      <c r="G2950" s="0" t="s">
        <v>8</v>
      </c>
      <c r="H2950" s="0">
        <v>356</v>
      </c>
      <c r="I2950" s="0">
        <v>88.2</v>
      </c>
      <c r="J2950" s="0">
        <v>0</v>
      </c>
      <c r="K2950" s="0">
        <v>1</v>
      </c>
      <c r="L2950" s="0">
        <v>3</v>
      </c>
      <c r="M2950" s="0">
        <v>2</v>
      </c>
      <c r="N2950" s="0">
        <v>0</v>
      </c>
      <c r="O2950" s="0">
        <v>0</v>
      </c>
      <c r="P2950" s="0">
        <v>-88.2</v>
      </c>
      <c r="R2950" s="0" t="b">
        <v>0</v>
      </c>
      <c r="S2950" s="0" t="b">
        <v>1</v>
      </c>
      <c r="T2950" s="68">
        <v>45697.0156134259</v>
      </c>
      <c r="U2950" s="68">
        <v>45711.2916666667</v>
      </c>
      <c r="V2950" s="68">
        <v>0</v>
      </c>
      <c r="W2950" s="0">
        <f>IF(IF(B2950="none",1,IF(B2950="Trialer",1,0))+IF(C2950="Customer",1,IF(C2950="Lost",1,0))=2,1,0)</f>
      </c>
      <c r="X2950" s="0" t="s">
        <v>166</v>
      </c>
      <c r="Y2950" s="0" t="s">
        <v>243</v>
      </c>
      <c r="AV2950" s="68"/>
      <c r="AW2950" s="68"/>
      <c r="AY2950" s="27"/>
      <c r="BD2950" s="68">
        <v>46054.1666666667</v>
      </c>
      <c r="BE2950" s="68">
        <v>46082.1666666667</v>
      </c>
      <c r="BF2950" s="0" t="b">
        <v>0</v>
      </c>
      <c r="BG2950" s="0" t="b">
        <v>0</v>
      </c>
      <c r="BH2950" s="0">
        <v>98</v>
      </c>
      <c r="BI2950" s="0">
        <v>98</v>
      </c>
      <c r="BJ2950" s="0" t="s">
        <v>230</v>
      </c>
    </row>
    <row r="2951">
      <c r="A2951" s="0" t="s">
        <v>3198</v>
      </c>
      <c r="B2951" s="0" t="s">
        <v>134</v>
      </c>
      <c r="C2951" s="0" t="s">
        <v>134</v>
      </c>
      <c r="D2951" s="0" t="s">
        <v>135</v>
      </c>
      <c r="E2951" s="0" t="s">
        <v>3</v>
      </c>
      <c r="F2951" s="0" t="s">
        <v>12</v>
      </c>
      <c r="G2951" s="0" t="s">
        <v>8</v>
      </c>
      <c r="H2951" s="0">
        <v>355</v>
      </c>
      <c r="I2951" s="0">
        <v>49</v>
      </c>
      <c r="J2951" s="0">
        <v>0</v>
      </c>
      <c r="K2951" s="0">
        <v>1</v>
      </c>
      <c r="L2951" s="0">
        <v>3</v>
      </c>
      <c r="M2951" s="0">
        <v>1</v>
      </c>
      <c r="N2951" s="0">
        <v>0</v>
      </c>
      <c r="O2951" s="0">
        <v>0</v>
      </c>
      <c r="P2951" s="0">
        <v>0</v>
      </c>
      <c r="R2951" s="0" t="b">
        <v>0</v>
      </c>
      <c r="S2951" s="0" t="b">
        <v>1</v>
      </c>
      <c r="T2951" s="68">
        <v>45698.3619212963</v>
      </c>
      <c r="U2951" s="68">
        <v>45712.2916666667</v>
      </c>
      <c r="V2951" s="68">
        <v>0</v>
      </c>
      <c r="W2951" s="0">
        <f>IF(IF(B2951="none",1,IF(B2951="Trialer",1,0))+IF(C2951="Customer",1,IF(C2951="Lost",1,0))=2,1,0)</f>
      </c>
      <c r="X2951" s="0" t="s">
        <v>153</v>
      </c>
      <c r="Y2951" s="0" t="s">
        <v>243</v>
      </c>
      <c r="AV2951" s="68"/>
      <c r="AW2951" s="68"/>
      <c r="AY2951" s="27"/>
      <c r="BD2951" s="68">
        <v>46054.1666666667</v>
      </c>
      <c r="BE2951" s="68">
        <v>46082.1666666667</v>
      </c>
      <c r="BF2951" s="0" t="b">
        <v>0</v>
      </c>
      <c r="BG2951" s="0" t="b">
        <v>0</v>
      </c>
      <c r="BH2951" s="0">
        <v>49</v>
      </c>
      <c r="BI2951" s="0">
        <v>49</v>
      </c>
      <c r="BJ2951" s="0" t="s">
        <v>230</v>
      </c>
    </row>
    <row r="2952">
      <c r="A2952" s="0" t="s">
        <v>3199</v>
      </c>
      <c r="B2952" s="0" t="s">
        <v>134</v>
      </c>
      <c r="C2952" s="0" t="s">
        <v>134</v>
      </c>
      <c r="D2952" s="0" t="s">
        <v>135</v>
      </c>
      <c r="E2952" s="0" t="s">
        <v>3</v>
      </c>
      <c r="F2952" s="0" t="s">
        <v>12</v>
      </c>
      <c r="G2952" s="0" t="s">
        <v>8</v>
      </c>
      <c r="H2952" s="0">
        <v>355</v>
      </c>
      <c r="I2952" s="0">
        <v>208</v>
      </c>
      <c r="J2952" s="0">
        <v>0</v>
      </c>
      <c r="K2952" s="0">
        <v>1</v>
      </c>
      <c r="L2952" s="0">
        <v>4</v>
      </c>
      <c r="M2952" s="0">
        <v>4</v>
      </c>
      <c r="N2952" s="0">
        <v>0</v>
      </c>
      <c r="O2952" s="0">
        <v>0</v>
      </c>
      <c r="P2952" s="0">
        <v>0</v>
      </c>
      <c r="R2952" s="0" t="b">
        <v>0</v>
      </c>
      <c r="S2952" s="0" t="b">
        <v>1</v>
      </c>
      <c r="T2952" s="68">
        <v>45698.4153472222</v>
      </c>
      <c r="U2952" s="68">
        <v>45712.2916666667</v>
      </c>
      <c r="V2952" s="68">
        <v>0</v>
      </c>
      <c r="W2952" s="0">
        <f>IF(IF(B2952="none",1,IF(B2952="Trialer",1,0))+IF(C2952="Customer",1,IF(C2952="Lost",1,0))=2,1,0)</f>
      </c>
      <c r="X2952" s="0" t="s">
        <v>148</v>
      </c>
      <c r="Y2952" s="0" t="s">
        <v>243</v>
      </c>
      <c r="AV2952" s="68"/>
      <c r="AW2952" s="68"/>
      <c r="AY2952" s="27"/>
      <c r="BD2952" s="68">
        <v>46054.1666666667</v>
      </c>
      <c r="BE2952" s="68">
        <v>46082.1666666667</v>
      </c>
      <c r="BF2952" s="0" t="b">
        <v>0</v>
      </c>
      <c r="BG2952" s="0" t="b">
        <v>0</v>
      </c>
      <c r="BH2952" s="0">
        <v>208</v>
      </c>
      <c r="BI2952" s="0">
        <v>208</v>
      </c>
      <c r="BJ2952" s="0" t="s">
        <v>135</v>
      </c>
    </row>
    <row r="2953">
      <c r="A2953" s="0" t="s">
        <v>3200</v>
      </c>
      <c r="B2953" s="0" t="s">
        <v>134</v>
      </c>
      <c r="C2953" s="0" t="s">
        <v>134</v>
      </c>
      <c r="D2953" s="0" t="s">
        <v>135</v>
      </c>
      <c r="E2953" s="0" t="s">
        <v>3</v>
      </c>
      <c r="F2953" s="0" t="s">
        <v>12</v>
      </c>
      <c r="G2953" s="0" t="s">
        <v>8</v>
      </c>
      <c r="H2953" s="0">
        <v>355</v>
      </c>
      <c r="I2953" s="0">
        <v>49</v>
      </c>
      <c r="J2953" s="0">
        <v>0</v>
      </c>
      <c r="K2953" s="0">
        <v>1</v>
      </c>
      <c r="L2953" s="0">
        <v>3</v>
      </c>
      <c r="M2953" s="0">
        <v>1</v>
      </c>
      <c r="N2953" s="0">
        <v>0</v>
      </c>
      <c r="O2953" s="0">
        <v>0</v>
      </c>
      <c r="P2953" s="0">
        <v>0</v>
      </c>
      <c r="R2953" s="0" t="b">
        <v>0</v>
      </c>
      <c r="S2953" s="0" t="b">
        <v>1</v>
      </c>
      <c r="T2953" s="68">
        <v>45698.5812384259</v>
      </c>
      <c r="U2953" s="68">
        <v>45714.2916666667</v>
      </c>
      <c r="V2953" s="68">
        <v>0</v>
      </c>
      <c r="W2953" s="0">
        <f>IF(IF(B2953="none",1,IF(B2953="Trialer",1,0))+IF(C2953="Customer",1,IF(C2953="Lost",1,0))=2,1,0)</f>
      </c>
      <c r="X2953" s="0" t="s">
        <v>166</v>
      </c>
      <c r="Y2953" s="0" t="s">
        <v>243</v>
      </c>
      <c r="AV2953" s="68"/>
      <c r="AW2953" s="68"/>
      <c r="AY2953" s="27"/>
      <c r="BD2953" s="68">
        <v>46054.1666666667</v>
      </c>
      <c r="BE2953" s="68">
        <v>46082.1666666667</v>
      </c>
      <c r="BF2953" s="0" t="b">
        <v>0</v>
      </c>
      <c r="BG2953" s="0" t="b">
        <v>0</v>
      </c>
      <c r="BH2953" s="0">
        <v>49</v>
      </c>
      <c r="BI2953" s="0">
        <v>49</v>
      </c>
      <c r="BJ2953" s="0" t="s">
        <v>135</v>
      </c>
    </row>
    <row r="2954">
      <c r="A2954" s="0" t="s">
        <v>3201</v>
      </c>
      <c r="B2954" s="0" t="s">
        <v>134</v>
      </c>
      <c r="C2954" s="0" t="s">
        <v>134</v>
      </c>
      <c r="D2954" s="0" t="s">
        <v>135</v>
      </c>
      <c r="E2954" s="0" t="s">
        <v>3</v>
      </c>
      <c r="F2954" s="0" t="s">
        <v>12</v>
      </c>
      <c r="G2954" s="0" t="s">
        <v>8</v>
      </c>
      <c r="H2954" s="0">
        <v>355</v>
      </c>
      <c r="I2954" s="0">
        <v>687</v>
      </c>
      <c r="J2954" s="0">
        <v>0</v>
      </c>
      <c r="K2954" s="0">
        <v>1</v>
      </c>
      <c r="L2954" s="0">
        <v>5</v>
      </c>
      <c r="M2954" s="0">
        <v>15</v>
      </c>
      <c r="N2954" s="0">
        <v>0</v>
      </c>
      <c r="O2954" s="0">
        <v>0</v>
      </c>
      <c r="P2954" s="0">
        <v>0</v>
      </c>
      <c r="R2954" s="0" t="b">
        <v>0</v>
      </c>
      <c r="S2954" s="0" t="b">
        <v>1</v>
      </c>
      <c r="T2954" s="68">
        <v>45698.6307407407</v>
      </c>
      <c r="U2954" s="68">
        <v>45712.2916666667</v>
      </c>
      <c r="V2954" s="68">
        <v>0</v>
      </c>
      <c r="W2954" s="0">
        <f>IF(IF(B2954="none",1,IF(B2954="Trialer",1,0))+IF(C2954="Customer",1,IF(C2954="Lost",1,0))=2,1,0)</f>
      </c>
      <c r="X2954" s="0" t="s">
        <v>148</v>
      </c>
      <c r="Y2954" s="0" t="s">
        <v>243</v>
      </c>
      <c r="AV2954" s="68"/>
      <c r="AW2954" s="68"/>
      <c r="AY2954" s="27"/>
      <c r="BD2954" s="68">
        <v>46054.1666666667</v>
      </c>
      <c r="BE2954" s="68">
        <v>46082.1666666667</v>
      </c>
      <c r="BF2954" s="0" t="b">
        <v>0</v>
      </c>
      <c r="BG2954" s="0" t="b">
        <v>0</v>
      </c>
      <c r="BH2954" s="0">
        <v>687</v>
      </c>
      <c r="BI2954" s="0">
        <v>687</v>
      </c>
      <c r="BJ2954" s="0" t="s">
        <v>135</v>
      </c>
    </row>
    <row r="2955">
      <c r="A2955" s="0" t="s">
        <v>3202</v>
      </c>
      <c r="B2955" s="0" t="s">
        <v>134</v>
      </c>
      <c r="C2955" s="0" t="s">
        <v>134</v>
      </c>
      <c r="D2955" s="0" t="s">
        <v>135</v>
      </c>
      <c r="E2955" s="0" t="s">
        <v>3</v>
      </c>
      <c r="F2955" s="0" t="s">
        <v>12</v>
      </c>
      <c r="G2955" s="0" t="s">
        <v>8</v>
      </c>
      <c r="H2955" s="0">
        <v>355</v>
      </c>
      <c r="I2955" s="0">
        <v>40</v>
      </c>
      <c r="J2955" s="0">
        <v>0</v>
      </c>
      <c r="K2955" s="0">
        <v>1</v>
      </c>
      <c r="L2955" s="0">
        <v>1</v>
      </c>
      <c r="M2955" s="0">
        <v>0</v>
      </c>
      <c r="N2955" s="0">
        <v>0</v>
      </c>
      <c r="O2955" s="0">
        <v>0</v>
      </c>
      <c r="P2955" s="0">
        <v>0</v>
      </c>
      <c r="R2955" s="0" t="b">
        <v>0</v>
      </c>
      <c r="S2955" s="0" t="b">
        <v>1</v>
      </c>
      <c r="T2955" s="68">
        <v>45698.633125</v>
      </c>
      <c r="U2955" s="68">
        <v>45698.2916666667</v>
      </c>
      <c r="V2955" s="68">
        <v>0</v>
      </c>
      <c r="W2955" s="0">
        <f>IF(IF(B2955="none",1,IF(B2955="Trialer",1,0))+IF(C2955="Customer",1,IF(C2955="Lost",1,0))=2,1,0)</f>
      </c>
      <c r="X2955" s="0" t="s">
        <v>136</v>
      </c>
      <c r="Y2955" s="0" t="s">
        <v>243</v>
      </c>
      <c r="AV2955" s="68"/>
      <c r="AW2955" s="68"/>
      <c r="AY2955" s="27"/>
      <c r="BD2955" s="68">
        <v>46054.1666666667</v>
      </c>
      <c r="BE2955" s="68">
        <v>46082.1666666667</v>
      </c>
      <c r="BF2955" s="0" t="b">
        <v>0</v>
      </c>
      <c r="BG2955" s="0" t="b">
        <v>0</v>
      </c>
      <c r="BH2955" s="0">
        <v>40</v>
      </c>
      <c r="BI2955" s="0">
        <v>40</v>
      </c>
      <c r="BJ2955" s="0" t="s">
        <v>135</v>
      </c>
    </row>
    <row r="2956">
      <c r="A2956" s="0" t="s">
        <v>3203</v>
      </c>
      <c r="B2956" s="0" t="s">
        <v>134</v>
      </c>
      <c r="C2956" s="0" t="s">
        <v>134</v>
      </c>
      <c r="D2956" s="0" t="s">
        <v>230</v>
      </c>
      <c r="E2956" s="0" t="s">
        <v>3</v>
      </c>
      <c r="F2956" s="0" t="s">
        <v>12</v>
      </c>
      <c r="G2956" s="0" t="s">
        <v>8</v>
      </c>
      <c r="H2956" s="0">
        <v>355</v>
      </c>
      <c r="I2956" s="0">
        <v>847</v>
      </c>
      <c r="J2956" s="0">
        <v>0</v>
      </c>
      <c r="K2956" s="0">
        <v>1</v>
      </c>
      <c r="L2956" s="0">
        <v>3</v>
      </c>
      <c r="M2956" s="0">
        <v>18</v>
      </c>
      <c r="N2956" s="0">
        <v>976.5</v>
      </c>
      <c r="O2956" s="0">
        <v>0</v>
      </c>
      <c r="P2956" s="0">
        <v>-522</v>
      </c>
      <c r="R2956" s="0" t="b">
        <v>0</v>
      </c>
      <c r="S2956" s="0" t="b">
        <v>1</v>
      </c>
      <c r="T2956" s="68">
        <v>45698.8548611111</v>
      </c>
      <c r="U2956" s="68">
        <v>45712.2916666667</v>
      </c>
      <c r="V2956" s="68">
        <v>0</v>
      </c>
      <c r="W2956" s="0">
        <f>IF(IF(B2956="none",1,IF(B2956="Trialer",1,0))+IF(C2956="Customer",1,IF(C2956="Lost",1,0))=2,1,0)</f>
      </c>
      <c r="X2956" s="0" t="s">
        <v>136</v>
      </c>
      <c r="Y2956" s="0" t="s">
        <v>243</v>
      </c>
      <c r="AV2956" s="68"/>
      <c r="AW2956" s="68"/>
      <c r="AY2956" s="27"/>
      <c r="BD2956" s="68">
        <v>46054.1666666667</v>
      </c>
      <c r="BE2956" s="68">
        <v>46082.1666666667</v>
      </c>
      <c r="BF2956" s="0" t="b">
        <v>0</v>
      </c>
      <c r="BG2956" s="0" t="b">
        <v>0</v>
      </c>
      <c r="BH2956" s="0">
        <v>716</v>
      </c>
      <c r="BI2956" s="0">
        <v>716</v>
      </c>
      <c r="BJ2956" s="0" t="s">
        <v>230</v>
      </c>
    </row>
    <row r="2957">
      <c r="A2957" s="0" t="s">
        <v>3204</v>
      </c>
      <c r="B2957" s="0" t="s">
        <v>134</v>
      </c>
      <c r="C2957" s="0" t="s">
        <v>134</v>
      </c>
      <c r="D2957" s="0" t="s">
        <v>135</v>
      </c>
      <c r="E2957" s="0" t="s">
        <v>3</v>
      </c>
      <c r="F2957" s="0" t="s">
        <v>12</v>
      </c>
      <c r="G2957" s="0" t="s">
        <v>8</v>
      </c>
      <c r="H2957" s="0">
        <v>354</v>
      </c>
      <c r="I2957" s="0">
        <v>171</v>
      </c>
      <c r="J2957" s="0">
        <v>0</v>
      </c>
      <c r="K2957" s="0">
        <v>1</v>
      </c>
      <c r="L2957" s="0">
        <v>4</v>
      </c>
      <c r="M2957" s="0">
        <v>3</v>
      </c>
      <c r="N2957" s="0">
        <v>0</v>
      </c>
      <c r="O2957" s="0">
        <v>0</v>
      </c>
      <c r="P2957" s="0">
        <v>0</v>
      </c>
      <c r="R2957" s="0" t="b">
        <v>0</v>
      </c>
      <c r="S2957" s="0" t="b">
        <v>1</v>
      </c>
      <c r="T2957" s="68">
        <v>45699.4508912037</v>
      </c>
      <c r="U2957" s="68">
        <v>45713.2916666667</v>
      </c>
      <c r="V2957" s="68">
        <v>0</v>
      </c>
      <c r="W2957" s="0">
        <f>IF(IF(B2957="none",1,IF(B2957="Trialer",1,0))+IF(C2957="Customer",1,IF(C2957="Lost",1,0))=2,1,0)</f>
      </c>
      <c r="X2957" s="0" t="s">
        <v>3011</v>
      </c>
      <c r="Y2957" s="0" t="s">
        <v>243</v>
      </c>
      <c r="AV2957" s="68"/>
      <c r="AW2957" s="68"/>
      <c r="AY2957" s="27"/>
      <c r="BD2957" s="68">
        <v>46054.1666666667</v>
      </c>
      <c r="BE2957" s="68">
        <v>46082.1666666667</v>
      </c>
      <c r="BF2957" s="0" t="b">
        <v>0</v>
      </c>
      <c r="BG2957" s="0" t="b">
        <v>0</v>
      </c>
      <c r="BH2957" s="0">
        <v>171</v>
      </c>
      <c r="BI2957" s="0">
        <v>171</v>
      </c>
      <c r="BJ2957" s="0" t="s">
        <v>135</v>
      </c>
    </row>
    <row r="2958">
      <c r="A2958" s="0" t="s">
        <v>3205</v>
      </c>
      <c r="B2958" s="0" t="s">
        <v>134</v>
      </c>
      <c r="C2958" s="0" t="s">
        <v>134</v>
      </c>
      <c r="D2958" s="0" t="s">
        <v>230</v>
      </c>
      <c r="E2958" s="0" t="s">
        <v>3</v>
      </c>
      <c r="F2958" s="0" t="s">
        <v>12</v>
      </c>
      <c r="G2958" s="0" t="s">
        <v>8</v>
      </c>
      <c r="H2958" s="0">
        <v>354</v>
      </c>
      <c r="I2958" s="0">
        <v>598.75</v>
      </c>
      <c r="J2958" s="0">
        <v>0</v>
      </c>
      <c r="K2958" s="0">
        <v>1</v>
      </c>
      <c r="L2958" s="0">
        <v>4</v>
      </c>
      <c r="M2958" s="0">
        <v>9</v>
      </c>
      <c r="N2958" s="0">
        <v>0</v>
      </c>
      <c r="O2958" s="0">
        <v>0</v>
      </c>
      <c r="P2958" s="0">
        <v>-273.75</v>
      </c>
      <c r="R2958" s="0" t="b">
        <v>0</v>
      </c>
      <c r="S2958" s="0" t="b">
        <v>1</v>
      </c>
      <c r="T2958" s="68">
        <v>45699.4707986111</v>
      </c>
      <c r="U2958" s="68">
        <v>45707.2916666667</v>
      </c>
      <c r="V2958" s="68">
        <v>0</v>
      </c>
      <c r="W2958" s="0">
        <f>IF(IF(B2958="none",1,IF(B2958="Trialer",1,0))+IF(C2958="Customer",1,IF(C2958="Lost",1,0))=2,1,0)</f>
      </c>
      <c r="X2958" s="0" t="s">
        <v>145</v>
      </c>
      <c r="Y2958" s="0" t="s">
        <v>243</v>
      </c>
      <c r="AV2958" s="68"/>
      <c r="AW2958" s="68"/>
      <c r="AY2958" s="27"/>
      <c r="BD2958" s="68">
        <v>46054.1666666667</v>
      </c>
      <c r="BE2958" s="68">
        <v>46082.1666666667</v>
      </c>
      <c r="BF2958" s="0" t="b">
        <v>0</v>
      </c>
      <c r="BG2958" s="0" t="b">
        <v>0</v>
      </c>
      <c r="BH2958" s="0">
        <v>365</v>
      </c>
      <c r="BI2958" s="0">
        <v>365</v>
      </c>
      <c r="BJ2958" s="0" t="s">
        <v>230</v>
      </c>
    </row>
    <row r="2959">
      <c r="A2959" s="0" t="s">
        <v>3206</v>
      </c>
      <c r="B2959" s="0" t="s">
        <v>134</v>
      </c>
      <c r="C2959" s="0" t="s">
        <v>134</v>
      </c>
      <c r="D2959" s="0" t="s">
        <v>135</v>
      </c>
      <c r="E2959" s="0" t="s">
        <v>3</v>
      </c>
      <c r="F2959" s="0" t="s">
        <v>12</v>
      </c>
      <c r="G2959" s="0" t="s">
        <v>8</v>
      </c>
      <c r="H2959" s="0">
        <v>354</v>
      </c>
      <c r="I2959" s="0">
        <v>73</v>
      </c>
      <c r="J2959" s="0">
        <v>0</v>
      </c>
      <c r="K2959" s="0">
        <v>1</v>
      </c>
      <c r="L2959" s="0">
        <v>5</v>
      </c>
      <c r="M2959" s="0">
        <v>1</v>
      </c>
      <c r="N2959" s="0">
        <v>0</v>
      </c>
      <c r="O2959" s="0">
        <v>0</v>
      </c>
      <c r="P2959" s="0">
        <v>0</v>
      </c>
      <c r="R2959" s="0" t="b">
        <v>0</v>
      </c>
      <c r="S2959" s="0" t="b">
        <v>1</v>
      </c>
      <c r="T2959" s="68">
        <v>45699.4757407407</v>
      </c>
      <c r="U2959" s="68">
        <v>45713.2916666667</v>
      </c>
      <c r="V2959" s="68">
        <v>0</v>
      </c>
      <c r="W2959" s="0">
        <f>IF(IF(B2959="none",1,IF(B2959="Trialer",1,0))+IF(C2959="Customer",1,IF(C2959="Lost",1,0))=2,1,0)</f>
      </c>
      <c r="X2959" s="0" t="s">
        <v>142</v>
      </c>
      <c r="Y2959" s="0" t="s">
        <v>243</v>
      </c>
      <c r="AV2959" s="68"/>
      <c r="AW2959" s="68"/>
      <c r="AY2959" s="27"/>
      <c r="BD2959" s="68">
        <v>46054.1666666667</v>
      </c>
      <c r="BE2959" s="68">
        <v>46082.1666666667</v>
      </c>
      <c r="BF2959" s="0" t="b">
        <v>0</v>
      </c>
      <c r="BG2959" s="0" t="b">
        <v>0</v>
      </c>
      <c r="BH2959" s="0">
        <v>73</v>
      </c>
      <c r="BI2959" s="0">
        <v>73</v>
      </c>
      <c r="BJ2959" s="0" t="s">
        <v>230</v>
      </c>
    </row>
    <row r="2960">
      <c r="A2960" s="0" t="s">
        <v>3207</v>
      </c>
      <c r="B2960" s="0" t="s">
        <v>134</v>
      </c>
      <c r="C2960" s="0" t="s">
        <v>134</v>
      </c>
      <c r="D2960" s="0" t="s">
        <v>230</v>
      </c>
      <c r="E2960" s="0" t="s">
        <v>2</v>
      </c>
      <c r="F2960" s="0" t="s">
        <v>12</v>
      </c>
      <c r="G2960" s="0" t="s">
        <v>8</v>
      </c>
      <c r="H2960" s="0">
        <v>354</v>
      </c>
      <c r="I2960" s="0">
        <v>176.4</v>
      </c>
      <c r="J2960" s="0">
        <v>0</v>
      </c>
      <c r="K2960" s="0">
        <v>1</v>
      </c>
      <c r="L2960" s="0">
        <v>3</v>
      </c>
      <c r="M2960" s="0">
        <v>4</v>
      </c>
      <c r="N2960" s="0">
        <v>0</v>
      </c>
      <c r="O2960" s="0">
        <v>0</v>
      </c>
      <c r="P2960" s="0">
        <v>-176.4</v>
      </c>
      <c r="R2960" s="0" t="b">
        <v>0</v>
      </c>
      <c r="S2960" s="0" t="b">
        <v>1</v>
      </c>
      <c r="T2960" s="68">
        <v>45699.5685416667</v>
      </c>
      <c r="U2960" s="68">
        <v>45717.2916666667</v>
      </c>
      <c r="V2960" s="68">
        <v>0</v>
      </c>
      <c r="W2960" s="0">
        <f>IF(IF(B2960="none",1,IF(B2960="Trialer",1,0))+IF(C2960="Customer",1,IF(C2960="Lost",1,0))=2,1,0)</f>
      </c>
      <c r="X2960" s="0" t="s">
        <v>136</v>
      </c>
      <c r="Y2960" s="0" t="s">
        <v>499</v>
      </c>
      <c r="AV2960" s="68"/>
      <c r="AW2960" s="68"/>
      <c r="AY2960" s="27"/>
      <c r="BD2960" s="68">
        <v>46054.1666666667</v>
      </c>
      <c r="BE2960" s="68">
        <v>46082.1666666667</v>
      </c>
      <c r="BF2960" s="0" t="b">
        <v>0</v>
      </c>
      <c r="BG2960" s="0" t="b">
        <v>0</v>
      </c>
      <c r="BH2960" s="0">
        <v>196</v>
      </c>
      <c r="BI2960" s="0">
        <v>196</v>
      </c>
      <c r="BJ2960" s="0" t="s">
        <v>230</v>
      </c>
    </row>
    <row r="2961">
      <c r="A2961" s="0" t="s">
        <v>3208</v>
      </c>
      <c r="B2961" s="0" t="s">
        <v>134</v>
      </c>
      <c r="C2961" s="0" t="s">
        <v>134</v>
      </c>
      <c r="D2961" s="0" t="s">
        <v>135</v>
      </c>
      <c r="E2961" s="0" t="s">
        <v>2</v>
      </c>
      <c r="F2961" s="0" t="s">
        <v>12</v>
      </c>
      <c r="G2961" s="0" t="s">
        <v>8</v>
      </c>
      <c r="H2961" s="0">
        <v>354</v>
      </c>
      <c r="I2961" s="0">
        <v>472</v>
      </c>
      <c r="J2961" s="0">
        <v>0</v>
      </c>
      <c r="K2961" s="0">
        <v>1</v>
      </c>
      <c r="L2961" s="0">
        <v>3</v>
      </c>
      <c r="M2961" s="0">
        <v>3</v>
      </c>
      <c r="N2961" s="0">
        <v>0</v>
      </c>
      <c r="O2961" s="0">
        <v>0</v>
      </c>
      <c r="P2961" s="0">
        <v>0</v>
      </c>
      <c r="R2961" s="0" t="b">
        <v>0</v>
      </c>
      <c r="S2961" s="0" t="b">
        <v>1</v>
      </c>
      <c r="T2961" s="68">
        <v>45699.6731134259</v>
      </c>
      <c r="U2961" s="68">
        <v>45699.2916666667</v>
      </c>
      <c r="V2961" s="68">
        <v>0</v>
      </c>
      <c r="W2961" s="0">
        <f>IF(IF(B2961="none",1,IF(B2961="Trialer",1,0))+IF(C2961="Customer",1,IF(C2961="Lost",1,0))=2,1,0)</f>
      </c>
      <c r="X2961" s="0" t="s">
        <v>145</v>
      </c>
      <c r="Y2961" s="0" t="s">
        <v>499</v>
      </c>
      <c r="AV2961" s="68"/>
      <c r="AW2961" s="68"/>
      <c r="AY2961" s="27"/>
      <c r="BD2961" s="68">
        <v>46054.1666666667</v>
      </c>
      <c r="BE2961" s="68">
        <v>46082.1666666667</v>
      </c>
      <c r="BF2961" s="0" t="b">
        <v>0</v>
      </c>
      <c r="BG2961" s="0" t="b">
        <v>0</v>
      </c>
      <c r="BH2961" s="0">
        <v>147</v>
      </c>
      <c r="BI2961" s="0">
        <v>147</v>
      </c>
      <c r="BJ2961" s="0" t="s">
        <v>135</v>
      </c>
    </row>
    <row r="2962">
      <c r="A2962" s="0" t="s">
        <v>3209</v>
      </c>
      <c r="B2962" s="0" t="s">
        <v>134</v>
      </c>
      <c r="C2962" s="0" t="s">
        <v>134</v>
      </c>
      <c r="D2962" s="0" t="s">
        <v>135</v>
      </c>
      <c r="E2962" s="0" t="s">
        <v>3</v>
      </c>
      <c r="F2962" s="0" t="s">
        <v>10</v>
      </c>
      <c r="G2962" s="0" t="s">
        <v>8</v>
      </c>
      <c r="H2962" s="0">
        <v>353</v>
      </c>
      <c r="I2962" s="0">
        <v>152</v>
      </c>
      <c r="J2962" s="0">
        <v>0</v>
      </c>
      <c r="K2962" s="0">
        <v>1</v>
      </c>
      <c r="L2962" s="0">
        <v>3</v>
      </c>
      <c r="M2962" s="0">
        <v>2</v>
      </c>
      <c r="N2962" s="0">
        <v>0</v>
      </c>
      <c r="O2962" s="0">
        <v>0</v>
      </c>
      <c r="P2962" s="0">
        <v>0</v>
      </c>
      <c r="Q2962" s="0" t="s">
        <v>266</v>
      </c>
      <c r="R2962" s="0" t="b">
        <v>0</v>
      </c>
      <c r="S2962" s="0" t="b">
        <v>1</v>
      </c>
      <c r="T2962" s="68">
        <v>45700.8208449074</v>
      </c>
      <c r="U2962" s="68">
        <v>45714.2916666667</v>
      </c>
      <c r="V2962" s="68">
        <v>0</v>
      </c>
      <c r="W2962" s="0">
        <f>IF(IF(B2962="none",1,IF(B2962="Trialer",1,0))+IF(C2962="Customer",1,IF(C2962="Lost",1,0))=2,1,0)</f>
      </c>
      <c r="X2962" s="0" t="s">
        <v>148</v>
      </c>
      <c r="Y2962" s="0" t="s">
        <v>613</v>
      </c>
      <c r="AV2962" s="68"/>
      <c r="AW2962" s="68"/>
      <c r="AY2962" s="27"/>
      <c r="BD2962" s="68">
        <v>46054.1666666667</v>
      </c>
      <c r="BE2962" s="68">
        <v>46082.1666666667</v>
      </c>
      <c r="BF2962" s="0" t="b">
        <v>0</v>
      </c>
      <c r="BG2962" s="0" t="b">
        <v>0</v>
      </c>
      <c r="BH2962" s="0">
        <v>152</v>
      </c>
      <c r="BI2962" s="0">
        <v>152</v>
      </c>
      <c r="BJ2962" s="0" t="s">
        <v>135</v>
      </c>
    </row>
    <row r="2963">
      <c r="A2963" s="0" t="s">
        <v>3210</v>
      </c>
      <c r="B2963" s="0" t="s">
        <v>134</v>
      </c>
      <c r="C2963" s="0" t="s">
        <v>134</v>
      </c>
      <c r="D2963" s="0" t="s">
        <v>230</v>
      </c>
      <c r="E2963" s="0" t="s">
        <v>2</v>
      </c>
      <c r="F2963" s="0" t="s">
        <v>12</v>
      </c>
      <c r="G2963" s="0" t="s">
        <v>8</v>
      </c>
      <c r="H2963" s="0">
        <v>352</v>
      </c>
      <c r="I2963" s="0">
        <v>633.7</v>
      </c>
      <c r="J2963" s="0">
        <v>0</v>
      </c>
      <c r="K2963" s="0">
        <v>1</v>
      </c>
      <c r="L2963" s="0">
        <v>3</v>
      </c>
      <c r="M2963" s="0">
        <v>7</v>
      </c>
      <c r="N2963" s="0">
        <v>0</v>
      </c>
      <c r="O2963" s="0">
        <v>0</v>
      </c>
      <c r="P2963" s="0">
        <v>-308.7</v>
      </c>
      <c r="R2963" s="0" t="b">
        <v>0</v>
      </c>
      <c r="S2963" s="0" t="b">
        <v>1</v>
      </c>
      <c r="T2963" s="68">
        <v>45701.3946180556</v>
      </c>
      <c r="U2963" s="68">
        <v>45701.2916666667</v>
      </c>
      <c r="V2963" s="68">
        <v>0</v>
      </c>
      <c r="W2963" s="0">
        <f>IF(IF(B2963="none",1,IF(B2963="Trialer",1,0))+IF(C2963="Customer",1,IF(C2963="Lost",1,0))=2,1,0)</f>
      </c>
      <c r="X2963" s="0" t="s">
        <v>145</v>
      </c>
      <c r="Y2963" s="0" t="s">
        <v>499</v>
      </c>
      <c r="AV2963" s="68"/>
      <c r="AW2963" s="68"/>
      <c r="AY2963" s="27"/>
      <c r="BD2963" s="68">
        <v>46054.1666666667</v>
      </c>
      <c r="BE2963" s="68">
        <v>46082.1666666667</v>
      </c>
      <c r="BF2963" s="0" t="b">
        <v>0</v>
      </c>
      <c r="BG2963" s="0" t="b">
        <v>0</v>
      </c>
      <c r="BH2963" s="0">
        <v>343</v>
      </c>
      <c r="BI2963" s="0">
        <v>343</v>
      </c>
      <c r="BJ2963" s="0" t="s">
        <v>230</v>
      </c>
    </row>
    <row r="2964">
      <c r="A2964" s="0" t="s">
        <v>3211</v>
      </c>
      <c r="B2964" s="0" t="s">
        <v>134</v>
      </c>
      <c r="C2964" s="0" t="s">
        <v>134</v>
      </c>
      <c r="D2964" s="0" t="s">
        <v>230</v>
      </c>
      <c r="E2964" s="0" t="s">
        <v>3</v>
      </c>
      <c r="F2964" s="0" t="s">
        <v>12</v>
      </c>
      <c r="G2964" s="0" t="s">
        <v>8</v>
      </c>
      <c r="H2964" s="0">
        <v>352</v>
      </c>
      <c r="I2964" s="0">
        <v>35</v>
      </c>
      <c r="J2964" s="0">
        <v>0</v>
      </c>
      <c r="K2964" s="0">
        <v>1</v>
      </c>
      <c r="L2964" s="0">
        <v>2</v>
      </c>
      <c r="M2964" s="0">
        <v>1</v>
      </c>
      <c r="N2964" s="0">
        <v>0</v>
      </c>
      <c r="O2964" s="0">
        <v>0</v>
      </c>
      <c r="P2964" s="0">
        <v>-35</v>
      </c>
      <c r="R2964" s="0" t="b">
        <v>0</v>
      </c>
      <c r="S2964" s="0" t="b">
        <v>1</v>
      </c>
      <c r="T2964" s="68">
        <v>45701.4985532407</v>
      </c>
      <c r="U2964" s="68">
        <v>45715.2916666667</v>
      </c>
      <c r="V2964" s="68">
        <v>0</v>
      </c>
      <c r="W2964" s="0">
        <f>IF(IF(B2964="none",1,IF(B2964="Trialer",1,0))+IF(C2964="Customer",1,IF(C2964="Lost",1,0))=2,1,0)</f>
      </c>
      <c r="X2964" s="0" t="s">
        <v>153</v>
      </c>
      <c r="Y2964" s="0" t="s">
        <v>243</v>
      </c>
      <c r="AV2964" s="68"/>
      <c r="AW2964" s="68"/>
      <c r="AY2964" s="27"/>
      <c r="BD2964" s="68">
        <v>46054.1666666667</v>
      </c>
      <c r="BE2964" s="68">
        <v>46082.1666666667</v>
      </c>
      <c r="BF2964" s="0" t="b">
        <v>0</v>
      </c>
      <c r="BG2964" s="0" t="b">
        <v>0</v>
      </c>
      <c r="BH2964" s="0">
        <v>40</v>
      </c>
      <c r="BI2964" s="0">
        <v>40</v>
      </c>
      <c r="BJ2964" s="0" t="s">
        <v>230</v>
      </c>
    </row>
    <row r="2965">
      <c r="A2965" s="0" t="s">
        <v>3212</v>
      </c>
      <c r="B2965" s="0" t="s">
        <v>134</v>
      </c>
      <c r="C2965" s="0" t="s">
        <v>134</v>
      </c>
      <c r="D2965" s="0" t="s">
        <v>230</v>
      </c>
      <c r="E2965" s="0" t="s">
        <v>2</v>
      </c>
      <c r="F2965" s="0" t="s">
        <v>12</v>
      </c>
      <c r="G2965" s="0" t="s">
        <v>8</v>
      </c>
      <c r="H2965" s="0">
        <v>352</v>
      </c>
      <c r="I2965" s="0">
        <v>284</v>
      </c>
      <c r="J2965" s="0">
        <v>0</v>
      </c>
      <c r="K2965" s="0">
        <v>1</v>
      </c>
      <c r="L2965" s="0">
        <v>4</v>
      </c>
      <c r="M2965" s="0">
        <v>6</v>
      </c>
      <c r="N2965" s="0">
        <v>0</v>
      </c>
      <c r="O2965" s="0">
        <v>0</v>
      </c>
      <c r="P2965" s="0">
        <v>-284</v>
      </c>
      <c r="R2965" s="0" t="b">
        <v>0</v>
      </c>
      <c r="S2965" s="0" t="b">
        <v>1</v>
      </c>
      <c r="T2965" s="68">
        <v>45701.5221527778</v>
      </c>
      <c r="U2965" s="68">
        <v>45722.2916666667</v>
      </c>
      <c r="V2965" s="68">
        <v>0</v>
      </c>
      <c r="W2965" s="0">
        <f>IF(IF(B2965="none",1,IF(B2965="Trialer",1,0))+IF(C2965="Customer",1,IF(C2965="Lost",1,0))=2,1,0)</f>
      </c>
      <c r="X2965" s="0" t="s">
        <v>148</v>
      </c>
      <c r="Y2965" s="0" t="s">
        <v>499</v>
      </c>
      <c r="AV2965" s="68"/>
      <c r="AW2965" s="68"/>
      <c r="AY2965" s="27"/>
      <c r="BD2965" s="68">
        <v>46054.1666666667</v>
      </c>
      <c r="BE2965" s="68">
        <v>46082.1666666667</v>
      </c>
      <c r="BF2965" s="0" t="b">
        <v>0</v>
      </c>
      <c r="BG2965" s="0" t="b">
        <v>0</v>
      </c>
      <c r="BH2965" s="0">
        <v>318</v>
      </c>
      <c r="BI2965" s="0">
        <v>318</v>
      </c>
      <c r="BJ2965" s="0" t="s">
        <v>230</v>
      </c>
    </row>
    <row r="2966">
      <c r="A2966" s="0" t="s">
        <v>3213</v>
      </c>
      <c r="B2966" s="0" t="s">
        <v>134</v>
      </c>
      <c r="C2966" s="0" t="s">
        <v>134</v>
      </c>
      <c r="D2966" s="0" t="s">
        <v>230</v>
      </c>
      <c r="E2966" s="0" t="s">
        <v>3</v>
      </c>
      <c r="F2966" s="0" t="s">
        <v>12</v>
      </c>
      <c r="G2966" s="0" t="s">
        <v>8</v>
      </c>
      <c r="H2966" s="0">
        <v>352</v>
      </c>
      <c r="I2966" s="0">
        <v>54.75</v>
      </c>
      <c r="J2966" s="0">
        <v>0</v>
      </c>
      <c r="K2966" s="0">
        <v>1</v>
      </c>
      <c r="L2966" s="0">
        <v>5</v>
      </c>
      <c r="M2966" s="0">
        <v>1</v>
      </c>
      <c r="N2966" s="0">
        <v>0</v>
      </c>
      <c r="O2966" s="0">
        <v>0</v>
      </c>
      <c r="P2966" s="0">
        <v>-54.75</v>
      </c>
      <c r="R2966" s="0" t="b">
        <v>0</v>
      </c>
      <c r="S2966" s="0" t="b">
        <v>1</v>
      </c>
      <c r="T2966" s="68">
        <v>45701.6067708333</v>
      </c>
      <c r="U2966" s="68">
        <v>45702.2916666667</v>
      </c>
      <c r="V2966" s="68">
        <v>0</v>
      </c>
      <c r="W2966" s="0">
        <f>IF(IF(B2966="none",1,IF(B2966="Trialer",1,0))+IF(C2966="Customer",1,IF(C2966="Lost",1,0))=2,1,0)</f>
      </c>
      <c r="X2966" s="0" t="s">
        <v>142</v>
      </c>
      <c r="Y2966" s="0" t="s">
        <v>243</v>
      </c>
      <c r="AV2966" s="68"/>
      <c r="AW2966" s="68"/>
      <c r="AY2966" s="27"/>
      <c r="BD2966" s="68">
        <v>46054.1666666667</v>
      </c>
      <c r="BE2966" s="68">
        <v>46082.1666666667</v>
      </c>
      <c r="BF2966" s="0" t="b">
        <v>0</v>
      </c>
      <c r="BG2966" s="0" t="b">
        <v>0</v>
      </c>
      <c r="BH2966" s="0">
        <v>73</v>
      </c>
      <c r="BI2966" s="0">
        <v>73</v>
      </c>
      <c r="BJ2966" s="0" t="s">
        <v>230</v>
      </c>
    </row>
    <row r="2967">
      <c r="A2967" s="0" t="s">
        <v>3214</v>
      </c>
      <c r="B2967" s="0" t="s">
        <v>134</v>
      </c>
      <c r="C2967" s="0" t="s">
        <v>134</v>
      </c>
      <c r="D2967" s="0" t="s">
        <v>135</v>
      </c>
      <c r="E2967" s="0" t="s">
        <v>3</v>
      </c>
      <c r="F2967" s="0" t="s">
        <v>12</v>
      </c>
      <c r="G2967" s="0" t="s">
        <v>8</v>
      </c>
      <c r="H2967" s="0">
        <v>352</v>
      </c>
      <c r="I2967" s="0">
        <v>61</v>
      </c>
      <c r="J2967" s="0">
        <v>0</v>
      </c>
      <c r="K2967" s="0">
        <v>1</v>
      </c>
      <c r="L2967" s="0">
        <v>4</v>
      </c>
      <c r="M2967" s="0">
        <v>1</v>
      </c>
      <c r="N2967" s="0">
        <v>0</v>
      </c>
      <c r="O2967" s="0">
        <v>0</v>
      </c>
      <c r="P2967" s="0">
        <v>0</v>
      </c>
      <c r="R2967" s="0" t="b">
        <v>0</v>
      </c>
      <c r="S2967" s="0" t="b">
        <v>1</v>
      </c>
      <c r="T2967" s="68">
        <v>45701.7810648148</v>
      </c>
      <c r="U2967" s="68">
        <v>45716.2916666667</v>
      </c>
      <c r="V2967" s="68">
        <v>0</v>
      </c>
      <c r="W2967" s="0">
        <f>IF(IF(B2967="none",1,IF(B2967="Trialer",1,0))+IF(C2967="Customer",1,IF(C2967="Lost",1,0))=2,1,0)</f>
      </c>
      <c r="X2967" s="0" t="s">
        <v>142</v>
      </c>
      <c r="Y2967" s="0" t="s">
        <v>243</v>
      </c>
      <c r="AV2967" s="68"/>
      <c r="AW2967" s="68"/>
      <c r="AY2967" s="27"/>
      <c r="BD2967" s="68">
        <v>46054.1666666667</v>
      </c>
      <c r="BE2967" s="68">
        <v>46082.1666666667</v>
      </c>
      <c r="BF2967" s="0" t="b">
        <v>0</v>
      </c>
      <c r="BG2967" s="0" t="b">
        <v>0</v>
      </c>
      <c r="BH2967" s="0">
        <v>61</v>
      </c>
      <c r="BI2967" s="0">
        <v>61</v>
      </c>
      <c r="BJ2967" s="0" t="s">
        <v>135</v>
      </c>
    </row>
    <row r="2968">
      <c r="A2968" s="0" t="s">
        <v>3215</v>
      </c>
      <c r="B2968" s="0" t="s">
        <v>134</v>
      </c>
      <c r="C2968" s="0" t="s">
        <v>134</v>
      </c>
      <c r="D2968" s="0" t="s">
        <v>230</v>
      </c>
      <c r="E2968" s="0" t="s">
        <v>3</v>
      </c>
      <c r="F2968" s="0" t="s">
        <v>12</v>
      </c>
      <c r="G2968" s="0" t="s">
        <v>8</v>
      </c>
      <c r="H2968" s="0">
        <v>352</v>
      </c>
      <c r="I2968" s="0">
        <v>36</v>
      </c>
      <c r="J2968" s="0">
        <v>0</v>
      </c>
      <c r="K2968" s="0">
        <v>1</v>
      </c>
      <c r="L2968" s="0">
        <v>2</v>
      </c>
      <c r="M2968" s="0">
        <v>1</v>
      </c>
      <c r="N2968" s="0">
        <v>0</v>
      </c>
      <c r="O2968" s="0">
        <v>0</v>
      </c>
      <c r="P2968" s="0">
        <v>-36</v>
      </c>
      <c r="R2968" s="0" t="b">
        <v>0</v>
      </c>
      <c r="S2968" s="0" t="b">
        <v>1</v>
      </c>
      <c r="T2968" s="68">
        <v>45701.8126851852</v>
      </c>
      <c r="U2968" s="68">
        <v>45715.2916666667</v>
      </c>
      <c r="V2968" s="68">
        <v>0</v>
      </c>
      <c r="W2968" s="0">
        <f>IF(IF(B2968="none",1,IF(B2968="Trialer",1,0))+IF(C2968="Customer",1,IF(C2968="Lost",1,0))=2,1,0)</f>
      </c>
      <c r="X2968" s="0" t="s">
        <v>153</v>
      </c>
      <c r="Y2968" s="0" t="s">
        <v>243</v>
      </c>
      <c r="AV2968" s="68"/>
      <c r="AW2968" s="68"/>
      <c r="AY2968" s="27"/>
      <c r="BD2968" s="68">
        <v>46054.1666666667</v>
      </c>
      <c r="BE2968" s="68">
        <v>46082.1666666667</v>
      </c>
      <c r="BF2968" s="0" t="b">
        <v>0</v>
      </c>
      <c r="BG2968" s="0" t="b">
        <v>0</v>
      </c>
      <c r="BH2968" s="0">
        <v>40</v>
      </c>
      <c r="BI2968" s="0">
        <v>40</v>
      </c>
      <c r="BJ2968" s="0" t="s">
        <v>230</v>
      </c>
    </row>
    <row r="2969">
      <c r="A2969" s="0" t="s">
        <v>3216</v>
      </c>
      <c r="B2969" s="0" t="s">
        <v>134</v>
      </c>
      <c r="C2969" s="0" t="s">
        <v>134</v>
      </c>
      <c r="D2969" s="0" t="s">
        <v>230</v>
      </c>
      <c r="E2969" s="0" t="s">
        <v>3</v>
      </c>
      <c r="F2969" s="0" t="s">
        <v>12</v>
      </c>
      <c r="G2969" s="0" t="s">
        <v>8</v>
      </c>
      <c r="H2969" s="0">
        <v>351</v>
      </c>
      <c r="I2969" s="0">
        <v>44</v>
      </c>
      <c r="J2969" s="0">
        <v>0</v>
      </c>
      <c r="K2969" s="0">
        <v>1</v>
      </c>
      <c r="L2969" s="0">
        <v>3</v>
      </c>
      <c r="M2969" s="0">
        <v>1</v>
      </c>
      <c r="N2969" s="0">
        <v>0</v>
      </c>
      <c r="O2969" s="0">
        <v>0</v>
      </c>
      <c r="P2969" s="0">
        <v>-44</v>
      </c>
      <c r="R2969" s="0" t="b">
        <v>0</v>
      </c>
      <c r="S2969" s="0" t="b">
        <v>1</v>
      </c>
      <c r="T2969" s="68">
        <v>45702.4804166667</v>
      </c>
      <c r="U2969" s="68">
        <v>45716.2916666667</v>
      </c>
      <c r="V2969" s="68">
        <v>0</v>
      </c>
      <c r="W2969" s="0">
        <f>IF(IF(B2969="none",1,IF(B2969="Trialer",1,0))+IF(C2969="Customer",1,IF(C2969="Lost",1,0))=2,1,0)</f>
      </c>
      <c r="X2969" s="0" t="s">
        <v>166</v>
      </c>
      <c r="Y2969" s="0" t="s">
        <v>243</v>
      </c>
      <c r="AV2969" s="68"/>
      <c r="AW2969" s="68"/>
      <c r="AY2969" s="27"/>
      <c r="BD2969" s="68">
        <v>46054.1666666667</v>
      </c>
      <c r="BE2969" s="68">
        <v>46082.1666666667</v>
      </c>
      <c r="BF2969" s="0" t="b">
        <v>0</v>
      </c>
      <c r="BG2969" s="0" t="b">
        <v>0</v>
      </c>
      <c r="BH2969" s="0">
        <v>49</v>
      </c>
      <c r="BI2969" s="0">
        <v>49</v>
      </c>
      <c r="BJ2969" s="0" t="s">
        <v>230</v>
      </c>
    </row>
    <row r="2970">
      <c r="A2970" s="0" t="s">
        <v>3217</v>
      </c>
      <c r="B2970" s="0" t="s">
        <v>134</v>
      </c>
      <c r="C2970" s="0" t="s">
        <v>134</v>
      </c>
      <c r="D2970" s="0" t="s">
        <v>230</v>
      </c>
      <c r="E2970" s="0" t="s">
        <v>3</v>
      </c>
      <c r="F2970" s="0" t="s">
        <v>12</v>
      </c>
      <c r="G2970" s="0" t="s">
        <v>8</v>
      </c>
      <c r="H2970" s="0">
        <v>351</v>
      </c>
      <c r="I2970" s="0">
        <v>72</v>
      </c>
      <c r="J2970" s="0">
        <v>0</v>
      </c>
      <c r="K2970" s="0">
        <v>1</v>
      </c>
      <c r="L2970" s="0">
        <v>2</v>
      </c>
      <c r="M2970" s="0">
        <v>2</v>
      </c>
      <c r="N2970" s="0">
        <v>0</v>
      </c>
      <c r="O2970" s="0">
        <v>0</v>
      </c>
      <c r="P2970" s="0">
        <v>-72</v>
      </c>
      <c r="R2970" s="0" t="b">
        <v>0</v>
      </c>
      <c r="S2970" s="0" t="b">
        <v>1</v>
      </c>
      <c r="T2970" s="68">
        <v>45702.5734837963</v>
      </c>
      <c r="U2970" s="68">
        <v>45716.2916666667</v>
      </c>
      <c r="V2970" s="68">
        <v>0</v>
      </c>
      <c r="W2970" s="0">
        <f>IF(IF(B2970="none",1,IF(B2970="Trialer",1,0))+IF(C2970="Customer",1,IF(C2970="Lost",1,0))=2,1,0)</f>
      </c>
      <c r="X2970" s="0" t="s">
        <v>142</v>
      </c>
      <c r="Y2970" s="0" t="s">
        <v>243</v>
      </c>
      <c r="AV2970" s="68"/>
      <c r="AW2970" s="68"/>
      <c r="AY2970" s="27"/>
      <c r="BD2970" s="68">
        <v>46054.1666666667</v>
      </c>
      <c r="BE2970" s="68">
        <v>46082.1666666667</v>
      </c>
      <c r="BF2970" s="0" t="b">
        <v>0</v>
      </c>
      <c r="BG2970" s="0" t="b">
        <v>0</v>
      </c>
      <c r="BH2970" s="0">
        <v>80</v>
      </c>
      <c r="BI2970" s="0">
        <v>80</v>
      </c>
      <c r="BJ2970" s="0" t="s">
        <v>230</v>
      </c>
    </row>
    <row r="2971">
      <c r="A2971" s="0" t="s">
        <v>3218</v>
      </c>
      <c r="B2971" s="0" t="s">
        <v>134</v>
      </c>
      <c r="C2971" s="0" t="s">
        <v>134</v>
      </c>
      <c r="D2971" s="0" t="s">
        <v>135</v>
      </c>
      <c r="E2971" s="0" t="s">
        <v>3</v>
      </c>
      <c r="F2971" s="0" t="s">
        <v>12</v>
      </c>
      <c r="G2971" s="0" t="s">
        <v>8</v>
      </c>
      <c r="H2971" s="0">
        <v>348</v>
      </c>
      <c r="I2971" s="0">
        <v>74</v>
      </c>
      <c r="J2971" s="0">
        <v>0</v>
      </c>
      <c r="K2971" s="0">
        <v>1</v>
      </c>
      <c r="L2971" s="0">
        <v>2</v>
      </c>
      <c r="M2971" s="0">
        <v>2</v>
      </c>
      <c r="N2971" s="0">
        <v>0</v>
      </c>
      <c r="O2971" s="0">
        <v>0</v>
      </c>
      <c r="P2971" s="0">
        <v>0</v>
      </c>
      <c r="R2971" s="0" t="b">
        <v>0</v>
      </c>
      <c r="S2971" s="0" t="b">
        <v>1</v>
      </c>
      <c r="T2971" s="68">
        <v>45705.4282175926</v>
      </c>
      <c r="U2971" s="68">
        <v>45719.2916666667</v>
      </c>
      <c r="V2971" s="68">
        <v>0</v>
      </c>
      <c r="W2971" s="0">
        <f>IF(IF(B2971="none",1,IF(B2971="Trialer",1,0))+IF(C2971="Customer",1,IF(C2971="Lost",1,0))=2,1,0)</f>
      </c>
      <c r="X2971" s="0" t="s">
        <v>153</v>
      </c>
      <c r="Y2971" s="0" t="s">
        <v>243</v>
      </c>
      <c r="AV2971" s="68"/>
      <c r="AW2971" s="68"/>
      <c r="AY2971" s="27"/>
      <c r="BD2971" s="68">
        <v>46054.1666666667</v>
      </c>
      <c r="BE2971" s="68">
        <v>46082.1666666667</v>
      </c>
      <c r="BF2971" s="0" t="b">
        <v>0</v>
      </c>
      <c r="BG2971" s="0" t="b">
        <v>0</v>
      </c>
      <c r="BH2971" s="0">
        <v>74</v>
      </c>
      <c r="BI2971" s="0">
        <v>74</v>
      </c>
      <c r="BJ2971" s="0" t="s">
        <v>135</v>
      </c>
    </row>
    <row r="2972">
      <c r="A2972" s="0" t="s">
        <v>3219</v>
      </c>
      <c r="B2972" s="0" t="s">
        <v>134</v>
      </c>
      <c r="C2972" s="0" t="s">
        <v>134</v>
      </c>
      <c r="D2972" s="0" t="s">
        <v>135</v>
      </c>
      <c r="E2972" s="0" t="s">
        <v>3</v>
      </c>
      <c r="F2972" s="0" t="s">
        <v>12</v>
      </c>
      <c r="G2972" s="0" t="s">
        <v>8</v>
      </c>
      <c r="H2972" s="0">
        <v>348</v>
      </c>
      <c r="I2972" s="0">
        <v>77</v>
      </c>
      <c r="J2972" s="0">
        <v>0</v>
      </c>
      <c r="K2972" s="0">
        <v>1</v>
      </c>
      <c r="L2972" s="0">
        <v>3</v>
      </c>
      <c r="M2972" s="0">
        <v>2</v>
      </c>
      <c r="N2972" s="0">
        <v>0</v>
      </c>
      <c r="O2972" s="0">
        <v>0</v>
      </c>
      <c r="P2972" s="0">
        <v>0</v>
      </c>
      <c r="R2972" s="0" t="b">
        <v>0</v>
      </c>
      <c r="S2972" s="0" t="b">
        <v>1</v>
      </c>
      <c r="T2972" s="68">
        <v>45705.4413425926</v>
      </c>
      <c r="U2972" s="68">
        <v>45705.2916666667</v>
      </c>
      <c r="V2972" s="68">
        <v>0</v>
      </c>
      <c r="W2972" s="0">
        <f>IF(IF(B2972="none",1,IF(B2972="Trialer",1,0))+IF(C2972="Customer",1,IF(C2972="Lost",1,0))=2,1,0)</f>
      </c>
      <c r="X2972" s="0" t="s">
        <v>145</v>
      </c>
      <c r="Y2972" s="0" t="s">
        <v>243</v>
      </c>
      <c r="AV2972" s="68"/>
      <c r="AW2972" s="68"/>
      <c r="AY2972" s="27"/>
      <c r="BD2972" s="68">
        <v>46054.1666666667</v>
      </c>
      <c r="BE2972" s="68">
        <v>46082.1666666667</v>
      </c>
      <c r="BF2972" s="0" t="b">
        <v>0</v>
      </c>
      <c r="BG2972" s="0" t="b">
        <v>0</v>
      </c>
      <c r="BH2972" s="0">
        <v>40</v>
      </c>
      <c r="BI2972" s="0">
        <v>40</v>
      </c>
      <c r="BJ2972" s="0" t="s">
        <v>135</v>
      </c>
    </row>
    <row r="2973">
      <c r="A2973" s="0" t="s">
        <v>3220</v>
      </c>
      <c r="B2973" s="0" t="s">
        <v>134</v>
      </c>
      <c r="C2973" s="0" t="s">
        <v>134</v>
      </c>
      <c r="D2973" s="0" t="s">
        <v>135</v>
      </c>
      <c r="E2973" s="0" t="s">
        <v>3</v>
      </c>
      <c r="F2973" s="0" t="s">
        <v>12</v>
      </c>
      <c r="G2973" s="0" t="s">
        <v>8</v>
      </c>
      <c r="H2973" s="0">
        <v>348</v>
      </c>
      <c r="I2973" s="0">
        <v>40</v>
      </c>
      <c r="J2973" s="0">
        <v>0</v>
      </c>
      <c r="K2973" s="0">
        <v>1</v>
      </c>
      <c r="L2973" s="0">
        <v>1</v>
      </c>
      <c r="M2973" s="0">
        <v>0</v>
      </c>
      <c r="N2973" s="0">
        <v>0</v>
      </c>
      <c r="O2973" s="0">
        <v>0</v>
      </c>
      <c r="P2973" s="0">
        <v>0</v>
      </c>
      <c r="R2973" s="0" t="b">
        <v>0</v>
      </c>
      <c r="S2973" s="0" t="b">
        <v>1</v>
      </c>
      <c r="T2973" s="68">
        <v>45705.4456134259</v>
      </c>
      <c r="U2973" s="68">
        <v>45705.2916666667</v>
      </c>
      <c r="V2973" s="68">
        <v>0</v>
      </c>
      <c r="W2973" s="0">
        <f>IF(IF(B2973="none",1,IF(B2973="Trialer",1,0))+IF(C2973="Customer",1,IF(C2973="Lost",1,0))=2,1,0)</f>
      </c>
      <c r="X2973" s="0" t="s">
        <v>145</v>
      </c>
      <c r="Y2973" s="0" t="s">
        <v>243</v>
      </c>
      <c r="AV2973" s="68"/>
      <c r="AW2973" s="68"/>
      <c r="AY2973" s="27"/>
      <c r="BD2973" s="68">
        <v>46054.1666666667</v>
      </c>
      <c r="BE2973" s="68">
        <v>46082.1666666667</v>
      </c>
      <c r="BF2973" s="0" t="b">
        <v>0</v>
      </c>
      <c r="BG2973" s="0" t="b">
        <v>0</v>
      </c>
      <c r="BH2973" s="0">
        <v>40</v>
      </c>
      <c r="BI2973" s="0">
        <v>40</v>
      </c>
      <c r="BJ2973" s="0" t="s">
        <v>135</v>
      </c>
    </row>
    <row r="2974">
      <c r="A2974" s="0" t="s">
        <v>3221</v>
      </c>
      <c r="B2974" s="0" t="s">
        <v>134</v>
      </c>
      <c r="C2974" s="0" t="s">
        <v>134</v>
      </c>
      <c r="D2974" s="0" t="s">
        <v>135</v>
      </c>
      <c r="E2974" s="0" t="s">
        <v>3</v>
      </c>
      <c r="F2974" s="0" t="s">
        <v>12</v>
      </c>
      <c r="G2974" s="0" t="s">
        <v>8</v>
      </c>
      <c r="H2974" s="0">
        <v>348</v>
      </c>
      <c r="I2974" s="0">
        <v>122</v>
      </c>
      <c r="J2974" s="0">
        <v>0</v>
      </c>
      <c r="K2974" s="0">
        <v>1</v>
      </c>
      <c r="L2974" s="0">
        <v>4</v>
      </c>
      <c r="M2974" s="0">
        <v>2</v>
      </c>
      <c r="N2974" s="0">
        <v>0</v>
      </c>
      <c r="O2974" s="0">
        <v>0</v>
      </c>
      <c r="P2974" s="0">
        <v>0</v>
      </c>
      <c r="R2974" s="0" t="b">
        <v>0</v>
      </c>
      <c r="S2974" s="0" t="b">
        <v>1</v>
      </c>
      <c r="T2974" s="68">
        <v>45705.5066203704</v>
      </c>
      <c r="U2974" s="68">
        <v>45719.2916666667</v>
      </c>
      <c r="V2974" s="68">
        <v>0</v>
      </c>
      <c r="W2974" s="0">
        <f>IF(IF(B2974="none",1,IF(B2974="Trialer",1,0))+IF(C2974="Customer",1,IF(C2974="Lost",1,0))=2,1,0)</f>
      </c>
      <c r="X2974" s="0" t="s">
        <v>153</v>
      </c>
      <c r="Y2974" s="0" t="s">
        <v>243</v>
      </c>
      <c r="AV2974" s="68"/>
      <c r="AW2974" s="68"/>
      <c r="AY2974" s="27"/>
      <c r="BD2974" s="68">
        <v>46054.1666666667</v>
      </c>
      <c r="BE2974" s="68">
        <v>46082.1666666667</v>
      </c>
      <c r="BF2974" s="0" t="b">
        <v>0</v>
      </c>
      <c r="BG2974" s="0" t="b">
        <v>0</v>
      </c>
      <c r="BH2974" s="0">
        <v>61</v>
      </c>
      <c r="BI2974" s="0">
        <v>61</v>
      </c>
      <c r="BJ2974" s="0" t="s">
        <v>135</v>
      </c>
    </row>
    <row r="2975">
      <c r="A2975" s="0" t="s">
        <v>3222</v>
      </c>
      <c r="B2975" s="0" t="s">
        <v>134</v>
      </c>
      <c r="C2975" s="0" t="s">
        <v>134</v>
      </c>
      <c r="D2975" s="0" t="s">
        <v>230</v>
      </c>
      <c r="E2975" s="0" t="s">
        <v>3</v>
      </c>
      <c r="F2975" s="0" t="s">
        <v>12</v>
      </c>
      <c r="G2975" s="0" t="s">
        <v>8</v>
      </c>
      <c r="H2975" s="0">
        <v>348</v>
      </c>
      <c r="I2975" s="0">
        <v>207.9</v>
      </c>
      <c r="J2975" s="0">
        <v>0</v>
      </c>
      <c r="K2975" s="0">
        <v>1</v>
      </c>
      <c r="L2975" s="0">
        <v>3</v>
      </c>
      <c r="M2975" s="0">
        <v>6</v>
      </c>
      <c r="N2975" s="0">
        <v>0</v>
      </c>
      <c r="O2975" s="0">
        <v>0</v>
      </c>
      <c r="P2975" s="0">
        <v>-207.9</v>
      </c>
      <c r="R2975" s="0" t="b">
        <v>0</v>
      </c>
      <c r="S2975" s="0" t="b">
        <v>1</v>
      </c>
      <c r="T2975" s="68">
        <v>45705.8563888889</v>
      </c>
      <c r="U2975" s="68">
        <v>45722.2916666667</v>
      </c>
      <c r="V2975" s="68">
        <v>0</v>
      </c>
      <c r="W2975" s="0">
        <f>IF(IF(B2975="none",1,IF(B2975="Trialer",1,0))+IF(C2975="Customer",1,IF(C2975="Lost",1,0))=2,1,0)</f>
      </c>
      <c r="X2975" s="0" t="s">
        <v>145</v>
      </c>
      <c r="Y2975" s="0" t="s">
        <v>243</v>
      </c>
      <c r="AV2975" s="68"/>
      <c r="AW2975" s="68"/>
      <c r="AY2975" s="27"/>
      <c r="BD2975" s="68">
        <v>46054.1666666667</v>
      </c>
      <c r="BE2975" s="68">
        <v>46082.1666666667</v>
      </c>
      <c r="BF2975" s="0" t="b">
        <v>0</v>
      </c>
      <c r="BG2975" s="0" t="b">
        <v>0</v>
      </c>
      <c r="BH2975" s="0">
        <v>231</v>
      </c>
      <c r="BI2975" s="0">
        <v>231</v>
      </c>
      <c r="BJ2975" s="0" t="s">
        <v>230</v>
      </c>
    </row>
    <row r="2976">
      <c r="A2976" s="0" t="s">
        <v>3223</v>
      </c>
      <c r="B2976" s="0" t="s">
        <v>134</v>
      </c>
      <c r="C2976" s="0" t="s">
        <v>134</v>
      </c>
      <c r="D2976" s="0" t="s">
        <v>135</v>
      </c>
      <c r="E2976" s="0" t="s">
        <v>3</v>
      </c>
      <c r="F2976" s="0" t="s">
        <v>12</v>
      </c>
      <c r="G2976" s="0" t="s">
        <v>8</v>
      </c>
      <c r="H2976" s="0">
        <v>348</v>
      </c>
      <c r="I2976" s="0">
        <v>28</v>
      </c>
      <c r="J2976" s="0">
        <v>0</v>
      </c>
      <c r="K2976" s="0">
        <v>1</v>
      </c>
      <c r="L2976" s="0">
        <v>1</v>
      </c>
      <c r="M2976" s="0">
        <v>1</v>
      </c>
      <c r="N2976" s="0">
        <v>0</v>
      </c>
      <c r="O2976" s="0">
        <v>0</v>
      </c>
      <c r="P2976" s="0">
        <v>0</v>
      </c>
      <c r="R2976" s="0" t="b">
        <v>0</v>
      </c>
      <c r="S2976" s="0" t="b">
        <v>1</v>
      </c>
      <c r="T2976" s="68">
        <v>45705.9218518519</v>
      </c>
      <c r="U2976" s="68">
        <v>45733.3333333333</v>
      </c>
      <c r="V2976" s="68">
        <v>0</v>
      </c>
      <c r="W2976" s="0">
        <f>IF(IF(B2976="none",1,IF(B2976="Trialer",1,0))+IF(C2976="Customer",1,IF(C2976="Lost",1,0))=2,1,0)</f>
      </c>
      <c r="X2976" s="0" t="s">
        <v>166</v>
      </c>
      <c r="Y2976" s="0" t="s">
        <v>243</v>
      </c>
      <c r="AV2976" s="68"/>
      <c r="AW2976" s="68"/>
      <c r="AY2976" s="27"/>
      <c r="BD2976" s="68">
        <v>46054.1666666667</v>
      </c>
      <c r="BE2976" s="68">
        <v>46082.1666666667</v>
      </c>
      <c r="BF2976" s="0" t="b">
        <v>0</v>
      </c>
      <c r="BG2976" s="0" t="b">
        <v>0</v>
      </c>
      <c r="BH2976" s="0">
        <v>28</v>
      </c>
      <c r="BI2976" s="0">
        <v>28</v>
      </c>
      <c r="BJ2976" s="0" t="s">
        <v>135</v>
      </c>
    </row>
    <row r="2977">
      <c r="A2977" s="0" t="s">
        <v>3224</v>
      </c>
      <c r="B2977" s="0" t="s">
        <v>134</v>
      </c>
      <c r="C2977" s="0" t="s">
        <v>134</v>
      </c>
      <c r="D2977" s="0" t="s">
        <v>230</v>
      </c>
      <c r="E2977" s="0" t="s">
        <v>3</v>
      </c>
      <c r="F2977" s="0" t="s">
        <v>12</v>
      </c>
      <c r="G2977" s="0" t="s">
        <v>8</v>
      </c>
      <c r="H2977" s="0">
        <v>347</v>
      </c>
      <c r="I2977" s="0">
        <v>44</v>
      </c>
      <c r="J2977" s="0">
        <v>0</v>
      </c>
      <c r="K2977" s="0">
        <v>1</v>
      </c>
      <c r="L2977" s="0">
        <v>3</v>
      </c>
      <c r="M2977" s="0">
        <v>1</v>
      </c>
      <c r="N2977" s="0">
        <v>0</v>
      </c>
      <c r="O2977" s="0">
        <v>0</v>
      </c>
      <c r="P2977" s="0">
        <v>-44</v>
      </c>
      <c r="R2977" s="0" t="b">
        <v>0</v>
      </c>
      <c r="S2977" s="0" t="b">
        <v>1</v>
      </c>
      <c r="T2977" s="68">
        <v>45706.5161689815</v>
      </c>
      <c r="U2977" s="68">
        <v>45709.2916666667</v>
      </c>
      <c r="V2977" s="68">
        <v>0</v>
      </c>
      <c r="W2977" s="0">
        <f>IF(IF(B2977="none",1,IF(B2977="Trialer",1,0))+IF(C2977="Customer",1,IF(C2977="Lost",1,0))=2,1,0)</f>
      </c>
      <c r="X2977" s="0" t="s">
        <v>166</v>
      </c>
      <c r="Y2977" s="0" t="s">
        <v>243</v>
      </c>
      <c r="AV2977" s="68"/>
      <c r="AW2977" s="68"/>
      <c r="AY2977" s="27"/>
      <c r="BD2977" s="68">
        <v>46054.1666666667</v>
      </c>
      <c r="BE2977" s="68">
        <v>46082.1666666667</v>
      </c>
      <c r="BF2977" s="0" t="b">
        <v>0</v>
      </c>
      <c r="BG2977" s="0" t="b">
        <v>0</v>
      </c>
      <c r="BH2977" s="0">
        <v>49</v>
      </c>
      <c r="BI2977" s="0">
        <v>49</v>
      </c>
      <c r="BJ2977" s="0" t="s">
        <v>230</v>
      </c>
    </row>
    <row r="2978">
      <c r="A2978" s="0" t="s">
        <v>3225</v>
      </c>
      <c r="B2978" s="0" t="s">
        <v>134</v>
      </c>
      <c r="C2978" s="0" t="s">
        <v>134</v>
      </c>
      <c r="D2978" s="0" t="s">
        <v>230</v>
      </c>
      <c r="E2978" s="0" t="s">
        <v>3</v>
      </c>
      <c r="F2978" s="0" t="s">
        <v>12</v>
      </c>
      <c r="G2978" s="0" t="s">
        <v>8</v>
      </c>
      <c r="H2978" s="0">
        <v>347</v>
      </c>
      <c r="I2978" s="0">
        <v>91.5</v>
      </c>
      <c r="J2978" s="0">
        <v>0</v>
      </c>
      <c r="K2978" s="0">
        <v>1</v>
      </c>
      <c r="L2978" s="0">
        <v>4</v>
      </c>
      <c r="M2978" s="0">
        <v>2</v>
      </c>
      <c r="N2978" s="0">
        <v>0</v>
      </c>
      <c r="O2978" s="0">
        <v>0</v>
      </c>
      <c r="P2978" s="0">
        <v>1226.1</v>
      </c>
      <c r="R2978" s="0" t="b">
        <v>0</v>
      </c>
      <c r="S2978" s="0" t="b">
        <v>1</v>
      </c>
      <c r="T2978" s="68">
        <v>45706.6778587963</v>
      </c>
      <c r="U2978" s="68">
        <v>45720.2916666667</v>
      </c>
      <c r="V2978" s="68">
        <v>0</v>
      </c>
      <c r="W2978" s="0">
        <f>IF(IF(B2978="none",1,IF(B2978="Trialer",1,0))+IF(C2978="Customer",1,IF(C2978="Lost",1,0))=2,1,0)</f>
      </c>
      <c r="X2978" s="0" t="s">
        <v>166</v>
      </c>
      <c r="Y2978" s="0" t="s">
        <v>243</v>
      </c>
      <c r="AV2978" s="68"/>
      <c r="AW2978" s="68"/>
      <c r="AY2978" s="27"/>
      <c r="BD2978" s="68">
        <v>46054.1666666667</v>
      </c>
      <c r="BE2978" s="68">
        <v>46082.1666666667</v>
      </c>
      <c r="BF2978" s="0" t="b">
        <v>0</v>
      </c>
      <c r="BG2978" s="0" t="b">
        <v>0</v>
      </c>
      <c r="BH2978" s="0">
        <v>122</v>
      </c>
      <c r="BI2978" s="0">
        <v>122</v>
      </c>
      <c r="BJ2978" s="0" t="s">
        <v>230</v>
      </c>
    </row>
    <row r="2979">
      <c r="A2979" s="0" t="s">
        <v>3226</v>
      </c>
      <c r="B2979" s="0" t="s">
        <v>134</v>
      </c>
      <c r="C2979" s="0" t="s">
        <v>134</v>
      </c>
      <c r="D2979" s="0" t="s">
        <v>135</v>
      </c>
      <c r="E2979" s="0" t="s">
        <v>3</v>
      </c>
      <c r="F2979" s="0" t="s">
        <v>12</v>
      </c>
      <c r="G2979" s="0" t="s">
        <v>8</v>
      </c>
      <c r="H2979" s="0">
        <v>347</v>
      </c>
      <c r="I2979" s="0">
        <v>183</v>
      </c>
      <c r="J2979" s="0">
        <v>0</v>
      </c>
      <c r="K2979" s="0">
        <v>1</v>
      </c>
      <c r="L2979" s="0">
        <v>4</v>
      </c>
      <c r="M2979" s="0">
        <v>3</v>
      </c>
      <c r="N2979" s="0">
        <v>0</v>
      </c>
      <c r="O2979" s="0">
        <v>0</v>
      </c>
      <c r="P2979" s="0">
        <v>0</v>
      </c>
      <c r="R2979" s="0" t="b">
        <v>0</v>
      </c>
      <c r="S2979" s="0" t="b">
        <v>1</v>
      </c>
      <c r="T2979" s="68">
        <v>45706.7234490741</v>
      </c>
      <c r="U2979" s="68">
        <v>45730.3333333333</v>
      </c>
      <c r="V2979" s="68">
        <v>0</v>
      </c>
      <c r="W2979" s="0">
        <f>IF(IF(B2979="none",1,IF(B2979="Trialer",1,0))+IF(C2979="Customer",1,IF(C2979="Lost",1,0))=2,1,0)</f>
      </c>
      <c r="X2979" s="0" t="s">
        <v>166</v>
      </c>
      <c r="Y2979" s="0" t="s">
        <v>243</v>
      </c>
      <c r="AV2979" s="68"/>
      <c r="AW2979" s="68"/>
      <c r="AY2979" s="27"/>
      <c r="BD2979" s="68">
        <v>46054.1666666667</v>
      </c>
      <c r="BE2979" s="68">
        <v>46082.1666666667</v>
      </c>
      <c r="BF2979" s="0" t="b">
        <v>0</v>
      </c>
      <c r="BG2979" s="0" t="b">
        <v>0</v>
      </c>
      <c r="BH2979" s="0">
        <v>183</v>
      </c>
      <c r="BI2979" s="0">
        <v>183</v>
      </c>
      <c r="BJ2979" s="0" t="s">
        <v>135</v>
      </c>
    </row>
    <row r="2980">
      <c r="A2980" s="0" t="s">
        <v>3227</v>
      </c>
      <c r="B2980" s="0" t="s">
        <v>134</v>
      </c>
      <c r="C2980" s="0" t="s">
        <v>134</v>
      </c>
      <c r="D2980" s="0" t="s">
        <v>230</v>
      </c>
      <c r="E2980" s="0" t="s">
        <v>3</v>
      </c>
      <c r="F2980" s="0" t="s">
        <v>12</v>
      </c>
      <c r="G2980" s="0" t="s">
        <v>8</v>
      </c>
      <c r="H2980" s="0">
        <v>346</v>
      </c>
      <c r="I2980" s="0">
        <v>64</v>
      </c>
      <c r="J2980" s="0">
        <v>0</v>
      </c>
      <c r="K2980" s="0">
        <v>1</v>
      </c>
      <c r="L2980" s="0">
        <v>5</v>
      </c>
      <c r="M2980" s="0">
        <v>1</v>
      </c>
      <c r="N2980" s="0">
        <v>0</v>
      </c>
      <c r="O2980" s="0">
        <v>0</v>
      </c>
      <c r="P2980" s="0">
        <v>-64</v>
      </c>
      <c r="R2980" s="0" t="b">
        <v>0</v>
      </c>
      <c r="S2980" s="0" t="b">
        <v>1</v>
      </c>
      <c r="T2980" s="68">
        <v>45707.0559606481</v>
      </c>
      <c r="U2980" s="68">
        <v>45748.3333333333</v>
      </c>
      <c r="V2980" s="68">
        <v>0</v>
      </c>
      <c r="W2980" s="0">
        <f>IF(IF(B2980="none",1,IF(B2980="Trialer",1,0))+IF(C2980="Customer",1,IF(C2980="Lost",1,0))=2,1,0)</f>
      </c>
      <c r="X2980" s="0" t="s">
        <v>153</v>
      </c>
      <c r="Y2980" s="0" t="s">
        <v>243</v>
      </c>
      <c r="AV2980" s="68"/>
      <c r="AW2980" s="68"/>
      <c r="AY2980" s="27"/>
      <c r="BD2980" s="68">
        <v>46054.1666666667</v>
      </c>
      <c r="BE2980" s="68">
        <v>46082.1666666667</v>
      </c>
      <c r="BF2980" s="0" t="b">
        <v>0</v>
      </c>
      <c r="BG2980" s="0" t="b">
        <v>0</v>
      </c>
      <c r="BH2980" s="0">
        <v>73</v>
      </c>
      <c r="BI2980" s="0">
        <v>73</v>
      </c>
      <c r="BJ2980" s="0" t="s">
        <v>230</v>
      </c>
    </row>
    <row r="2981">
      <c r="A2981" s="0" t="s">
        <v>3228</v>
      </c>
      <c r="B2981" s="0" t="s">
        <v>134</v>
      </c>
      <c r="C2981" s="0" t="s">
        <v>134</v>
      </c>
      <c r="D2981" s="0" t="s">
        <v>135</v>
      </c>
      <c r="E2981" s="0" t="s">
        <v>2</v>
      </c>
      <c r="F2981" s="0" t="s">
        <v>12</v>
      </c>
      <c r="G2981" s="0" t="s">
        <v>8</v>
      </c>
      <c r="H2981" s="0">
        <v>346</v>
      </c>
      <c r="I2981" s="0">
        <v>1549</v>
      </c>
      <c r="J2981" s="0">
        <v>0</v>
      </c>
      <c r="K2981" s="0">
        <v>1</v>
      </c>
      <c r="L2981" s="0">
        <v>5</v>
      </c>
      <c r="M2981" s="0">
        <v>28</v>
      </c>
      <c r="N2981" s="0">
        <v>0</v>
      </c>
      <c r="O2981" s="0">
        <v>0</v>
      </c>
      <c r="P2981" s="0">
        <v>0</v>
      </c>
      <c r="R2981" s="0" t="b">
        <v>0</v>
      </c>
      <c r="S2981" s="0" t="b">
        <v>1</v>
      </c>
      <c r="T2981" s="68">
        <v>45707.3479861111</v>
      </c>
      <c r="U2981" s="68">
        <v>45720.2916666667</v>
      </c>
      <c r="V2981" s="68">
        <v>0</v>
      </c>
      <c r="W2981" s="0">
        <f>IF(IF(B2981="none",1,IF(B2981="Trialer",1,0))+IF(C2981="Customer",1,IF(C2981="Lost",1,0))=2,1,0)</f>
      </c>
      <c r="X2981" s="0" t="s">
        <v>148</v>
      </c>
      <c r="Y2981" s="0" t="s">
        <v>499</v>
      </c>
      <c r="AV2981" s="68"/>
      <c r="AW2981" s="68"/>
      <c r="AY2981" s="27"/>
      <c r="BD2981" s="68">
        <v>46054.1666666667</v>
      </c>
      <c r="BE2981" s="68">
        <v>46082.1666666667</v>
      </c>
      <c r="BF2981" s="0" t="b">
        <v>0</v>
      </c>
      <c r="BG2981" s="0" t="b">
        <v>0</v>
      </c>
      <c r="BH2981" s="0">
        <v>1549</v>
      </c>
      <c r="BI2981" s="0">
        <v>1549</v>
      </c>
      <c r="BJ2981" s="0" t="s">
        <v>135</v>
      </c>
    </row>
    <row r="2982">
      <c r="A2982" s="0" t="s">
        <v>3229</v>
      </c>
      <c r="B2982" s="0" t="s">
        <v>134</v>
      </c>
      <c r="C2982" s="0" t="s">
        <v>134</v>
      </c>
      <c r="D2982" s="0" t="s">
        <v>135</v>
      </c>
      <c r="E2982" s="0" t="s">
        <v>3</v>
      </c>
      <c r="F2982" s="0" t="s">
        <v>12</v>
      </c>
      <c r="G2982" s="0" t="s">
        <v>8</v>
      </c>
      <c r="H2982" s="0">
        <v>346</v>
      </c>
      <c r="I2982" s="0">
        <v>98</v>
      </c>
      <c r="J2982" s="0">
        <v>0</v>
      </c>
      <c r="K2982" s="0">
        <v>1</v>
      </c>
      <c r="L2982" s="0">
        <v>3</v>
      </c>
      <c r="M2982" s="0">
        <v>2</v>
      </c>
      <c r="N2982" s="0">
        <v>0</v>
      </c>
      <c r="O2982" s="0">
        <v>0</v>
      </c>
      <c r="P2982" s="0">
        <v>0</v>
      </c>
      <c r="R2982" s="0" t="b">
        <v>0</v>
      </c>
      <c r="S2982" s="0" t="b">
        <v>1</v>
      </c>
      <c r="T2982" s="68">
        <v>45707.4265277778</v>
      </c>
      <c r="U2982" s="68">
        <v>45715.2916666667</v>
      </c>
      <c r="V2982" s="68">
        <v>0</v>
      </c>
      <c r="W2982" s="0">
        <f>IF(IF(B2982="none",1,IF(B2982="Trialer",1,0))+IF(C2982="Customer",1,IF(C2982="Lost",1,0))=2,1,0)</f>
      </c>
      <c r="X2982" s="0" t="s">
        <v>153</v>
      </c>
      <c r="Y2982" s="0" t="s">
        <v>1792</v>
      </c>
      <c r="AV2982" s="68"/>
      <c r="AW2982" s="68"/>
      <c r="AY2982" s="27"/>
      <c r="BD2982" s="68">
        <v>46054.1666666667</v>
      </c>
      <c r="BE2982" s="68">
        <v>46082.1666666667</v>
      </c>
      <c r="BF2982" s="0" t="b">
        <v>0</v>
      </c>
      <c r="BG2982" s="0" t="b">
        <v>0</v>
      </c>
      <c r="BH2982" s="0">
        <v>98</v>
      </c>
      <c r="BI2982" s="0">
        <v>98</v>
      </c>
      <c r="BJ2982" s="0" t="s">
        <v>135</v>
      </c>
    </row>
    <row r="2983">
      <c r="A2983" s="0" t="s">
        <v>3230</v>
      </c>
      <c r="B2983" s="0" t="s">
        <v>134</v>
      </c>
      <c r="C2983" s="0" t="s">
        <v>134</v>
      </c>
      <c r="D2983" s="0" t="s">
        <v>135</v>
      </c>
      <c r="E2983" s="0" t="s">
        <v>3</v>
      </c>
      <c r="F2983" s="0" t="s">
        <v>12</v>
      </c>
      <c r="G2983" s="0" t="s">
        <v>8</v>
      </c>
      <c r="H2983" s="0">
        <v>346</v>
      </c>
      <c r="I2983" s="0">
        <v>0</v>
      </c>
      <c r="J2983" s="0">
        <v>0</v>
      </c>
      <c r="K2983" s="0">
        <v>1</v>
      </c>
      <c r="L2983" s="0">
        <v>4</v>
      </c>
      <c r="M2983" s="0">
        <v>1</v>
      </c>
      <c r="N2983" s="0">
        <v>0</v>
      </c>
      <c r="O2983" s="0">
        <v>0</v>
      </c>
      <c r="P2983" s="0">
        <v>0</v>
      </c>
      <c r="R2983" s="0" t="b">
        <v>0</v>
      </c>
      <c r="S2983" s="0" t="b">
        <v>1</v>
      </c>
      <c r="T2983" s="68">
        <v>45707.8595833333</v>
      </c>
      <c r="U2983" s="68">
        <v>45721.2916666667</v>
      </c>
      <c r="V2983" s="68">
        <v>0</v>
      </c>
      <c r="W2983" s="0">
        <f>IF(IF(B2983="none",1,IF(B2983="Trialer",1,0))+IF(C2983="Customer",1,IF(C2983="Lost",1,0))=2,1,0)</f>
      </c>
      <c r="X2983" s="0" t="s">
        <v>148</v>
      </c>
      <c r="Y2983" s="0" t="s">
        <v>243</v>
      </c>
      <c r="AV2983" s="68"/>
      <c r="AW2983" s="68"/>
      <c r="AY2983" s="27"/>
      <c r="BD2983" s="68">
        <v>46054.1666666667</v>
      </c>
      <c r="BE2983" s="68">
        <v>46082.1666666667</v>
      </c>
      <c r="BF2983" s="0" t="b">
        <v>0</v>
      </c>
      <c r="BG2983" s="0" t="b">
        <v>0</v>
      </c>
      <c r="BH2983" s="0">
        <v>0</v>
      </c>
      <c r="BI2983" s="0">
        <v>0</v>
      </c>
      <c r="BJ2983" s="0" t="s">
        <v>135</v>
      </c>
    </row>
    <row r="2984">
      <c r="A2984" s="0" t="s">
        <v>3231</v>
      </c>
      <c r="B2984" s="0" t="s">
        <v>134</v>
      </c>
      <c r="C2984" s="0" t="s">
        <v>134</v>
      </c>
      <c r="D2984" s="0" t="s">
        <v>230</v>
      </c>
      <c r="E2984" s="0" t="s">
        <v>3</v>
      </c>
      <c r="F2984" s="0" t="s">
        <v>12</v>
      </c>
      <c r="G2984" s="0" t="s">
        <v>8</v>
      </c>
      <c r="H2984" s="0">
        <v>345</v>
      </c>
      <c r="I2984" s="0">
        <v>54</v>
      </c>
      <c r="J2984" s="0">
        <v>0</v>
      </c>
      <c r="K2984" s="0">
        <v>1</v>
      </c>
      <c r="L2984" s="0">
        <v>4</v>
      </c>
      <c r="M2984" s="0">
        <v>1</v>
      </c>
      <c r="N2984" s="0">
        <v>0</v>
      </c>
      <c r="O2984" s="0">
        <v>0</v>
      </c>
      <c r="P2984" s="0">
        <v>594</v>
      </c>
      <c r="R2984" s="0" t="b">
        <v>0</v>
      </c>
      <c r="S2984" s="0" t="b">
        <v>1</v>
      </c>
      <c r="T2984" s="68">
        <v>45708.5178240741</v>
      </c>
      <c r="U2984" s="68">
        <v>45722.2916666667</v>
      </c>
      <c r="V2984" s="68">
        <v>0</v>
      </c>
      <c r="W2984" s="0">
        <f>IF(IF(B2984="none",1,IF(B2984="Trialer",1,0))+IF(C2984="Customer",1,IF(C2984="Lost",1,0))=2,1,0)</f>
      </c>
      <c r="X2984" s="0" t="s">
        <v>142</v>
      </c>
      <c r="Y2984" s="0" t="s">
        <v>243</v>
      </c>
      <c r="AV2984" s="68"/>
      <c r="AW2984" s="68"/>
      <c r="AY2984" s="27"/>
      <c r="BD2984" s="68">
        <v>46054.1666666667</v>
      </c>
      <c r="BE2984" s="68">
        <v>46082.1666666667</v>
      </c>
      <c r="BF2984" s="0" t="b">
        <v>0</v>
      </c>
      <c r="BG2984" s="0" t="b">
        <v>0</v>
      </c>
      <c r="BH2984" s="0">
        <v>61</v>
      </c>
      <c r="BI2984" s="0">
        <v>61</v>
      </c>
      <c r="BJ2984" s="0" t="s">
        <v>230</v>
      </c>
    </row>
    <row r="2985">
      <c r="A2985" s="0" t="s">
        <v>3232</v>
      </c>
      <c r="B2985" s="0" t="s">
        <v>134</v>
      </c>
      <c r="C2985" s="0" t="s">
        <v>190</v>
      </c>
      <c r="D2985" s="0" t="s">
        <v>230</v>
      </c>
      <c r="E2985" s="0" t="s">
        <v>2</v>
      </c>
      <c r="F2985" s="0" t="s">
        <v>12</v>
      </c>
      <c r="G2985" s="0" t="s">
        <v>8</v>
      </c>
      <c r="H2985" s="0">
        <v>345</v>
      </c>
      <c r="I2985" s="0">
        <v>257.25</v>
      </c>
      <c r="J2985" s="0">
        <v>0</v>
      </c>
      <c r="K2985" s="0">
        <v>1</v>
      </c>
      <c r="L2985" s="0">
        <v>3</v>
      </c>
      <c r="M2985" s="0">
        <v>7</v>
      </c>
      <c r="N2985" s="0">
        <v>0</v>
      </c>
      <c r="O2985" s="0">
        <v>0</v>
      </c>
      <c r="P2985" s="0">
        <v>-257.25</v>
      </c>
      <c r="R2985" s="0" t="b">
        <v>0</v>
      </c>
      <c r="S2985" s="0" t="b">
        <v>0</v>
      </c>
      <c r="T2985" s="68">
        <v>45708.7459143518</v>
      </c>
      <c r="U2985" s="68">
        <v>45723.2916666667</v>
      </c>
      <c r="V2985" s="68">
        <v>46076.5066550926</v>
      </c>
      <c r="W2985" s="0">
        <f>IF(IF(B2985="none",1,IF(B2985="Trialer",1,0))+IF(C2985="Customer",1,IF(C2985="Lost",1,0))=2,1,0)</f>
      </c>
      <c r="X2985" s="0" t="s">
        <v>136</v>
      </c>
      <c r="Y2985" s="0" t="s">
        <v>499</v>
      </c>
      <c r="AV2985" s="68"/>
      <c r="AW2985" s="68"/>
      <c r="AY2985" s="27"/>
      <c r="BD2985" s="68">
        <v>46054.1666666667</v>
      </c>
      <c r="BE2985" s="68">
        <v>46082.1666666667</v>
      </c>
      <c r="BF2985" s="0" t="b">
        <v>0</v>
      </c>
      <c r="BG2985" s="0" t="b">
        <v>0</v>
      </c>
      <c r="BH2985" s="0">
        <v>343</v>
      </c>
      <c r="BI2985" s="0">
        <v>343</v>
      </c>
      <c r="BJ2985" s="0" t="s">
        <v>135</v>
      </c>
    </row>
    <row r="2986">
      <c r="A2986" s="0" t="s">
        <v>3233</v>
      </c>
      <c r="B2986" s="0" t="s">
        <v>134</v>
      </c>
      <c r="C2986" s="0" t="s">
        <v>134</v>
      </c>
      <c r="D2986" s="0" t="s">
        <v>230</v>
      </c>
      <c r="E2986" s="0" t="s">
        <v>2</v>
      </c>
      <c r="F2986" s="0" t="s">
        <v>10</v>
      </c>
      <c r="G2986" s="0" t="s">
        <v>8</v>
      </c>
      <c r="H2986" s="0">
        <v>344</v>
      </c>
      <c r="I2986" s="0">
        <v>114.75</v>
      </c>
      <c r="J2986" s="0">
        <v>0</v>
      </c>
      <c r="K2986" s="0">
        <v>1</v>
      </c>
      <c r="L2986" s="0">
        <v>3</v>
      </c>
      <c r="M2986" s="0">
        <v>3</v>
      </c>
      <c r="N2986" s="0">
        <v>0</v>
      </c>
      <c r="O2986" s="0">
        <v>0</v>
      </c>
      <c r="P2986" s="0">
        <v>1343.25</v>
      </c>
      <c r="Q2986" s="0" t="s">
        <v>3234</v>
      </c>
      <c r="R2986" s="0" t="b">
        <v>0</v>
      </c>
      <c r="S2986" s="0" t="b">
        <v>1</v>
      </c>
      <c r="T2986" s="68">
        <v>45709.4699652778</v>
      </c>
      <c r="U2986" s="68">
        <v>45727.3333333333</v>
      </c>
      <c r="V2986" s="68">
        <v>0</v>
      </c>
      <c r="W2986" s="0">
        <f>IF(IF(B2986="none",1,IF(B2986="Trialer",1,0))+IF(C2986="Customer",1,IF(C2986="Lost",1,0))=2,1,0)</f>
      </c>
      <c r="X2986" s="0" t="s">
        <v>136</v>
      </c>
      <c r="Y2986" s="0" t="s">
        <v>499</v>
      </c>
      <c r="AV2986" s="68"/>
      <c r="AW2986" s="68"/>
      <c r="AY2986" s="27"/>
      <c r="BD2986" s="68">
        <v>46054.1666666667</v>
      </c>
      <c r="BE2986" s="68">
        <v>46082.1666666667</v>
      </c>
      <c r="BF2986" s="0" t="b">
        <v>0</v>
      </c>
      <c r="BG2986" s="0" t="b">
        <v>0</v>
      </c>
      <c r="BH2986" s="0">
        <v>135</v>
      </c>
      <c r="BI2986" s="0">
        <v>135</v>
      </c>
      <c r="BJ2986" s="0" t="s">
        <v>230</v>
      </c>
    </row>
    <row r="2987">
      <c r="A2987" s="0" t="s">
        <v>3235</v>
      </c>
      <c r="B2987" s="0" t="s">
        <v>134</v>
      </c>
      <c r="C2987" s="0" t="s">
        <v>134</v>
      </c>
      <c r="D2987" s="0" t="s">
        <v>135</v>
      </c>
      <c r="E2987" s="0" t="s">
        <v>3</v>
      </c>
      <c r="F2987" s="0" t="s">
        <v>12</v>
      </c>
      <c r="G2987" s="0" t="s">
        <v>8</v>
      </c>
      <c r="H2987" s="0">
        <v>342</v>
      </c>
      <c r="I2987" s="0">
        <v>171</v>
      </c>
      <c r="J2987" s="0">
        <v>0</v>
      </c>
      <c r="K2987" s="0">
        <v>1</v>
      </c>
      <c r="L2987" s="0">
        <v>5</v>
      </c>
      <c r="M2987" s="0">
        <v>3</v>
      </c>
      <c r="N2987" s="0">
        <v>0</v>
      </c>
      <c r="O2987" s="0">
        <v>0</v>
      </c>
      <c r="P2987" s="0">
        <v>0</v>
      </c>
      <c r="R2987" s="0" t="b">
        <v>0</v>
      </c>
      <c r="S2987" s="0" t="b">
        <v>1</v>
      </c>
      <c r="T2987" s="68">
        <v>45711.6753935185</v>
      </c>
      <c r="U2987" s="68">
        <v>45725.3333333333</v>
      </c>
      <c r="V2987" s="68">
        <v>0</v>
      </c>
      <c r="W2987" s="0">
        <f>IF(IF(B2987="none",1,IF(B2987="Trialer",1,0))+IF(C2987="Customer",1,IF(C2987="Lost",1,0))=2,1,0)</f>
      </c>
      <c r="X2987" s="0" t="s">
        <v>153</v>
      </c>
      <c r="Y2987" s="0" t="s">
        <v>1792</v>
      </c>
      <c r="AV2987" s="68"/>
      <c r="AW2987" s="68"/>
      <c r="AY2987" s="27"/>
      <c r="BD2987" s="68">
        <v>46054.1666666667</v>
      </c>
      <c r="BE2987" s="68">
        <v>46082.1666666667</v>
      </c>
      <c r="BF2987" s="0" t="b">
        <v>0</v>
      </c>
      <c r="BG2987" s="0" t="b">
        <v>0</v>
      </c>
      <c r="BH2987" s="0">
        <v>171</v>
      </c>
      <c r="BI2987" s="0">
        <v>171</v>
      </c>
      <c r="BJ2987" s="0" t="s">
        <v>135</v>
      </c>
    </row>
    <row r="2988">
      <c r="A2988" s="0" t="s">
        <v>3236</v>
      </c>
      <c r="B2988" s="0" t="s">
        <v>134</v>
      </c>
      <c r="C2988" s="0" t="s">
        <v>134</v>
      </c>
      <c r="D2988" s="0" t="s">
        <v>135</v>
      </c>
      <c r="E2988" s="0" t="s">
        <v>3</v>
      </c>
      <c r="F2988" s="0" t="s">
        <v>12</v>
      </c>
      <c r="G2988" s="0" t="s">
        <v>8</v>
      </c>
      <c r="H2988" s="0">
        <v>341</v>
      </c>
      <c r="I2988" s="0">
        <v>49</v>
      </c>
      <c r="J2988" s="0">
        <v>0</v>
      </c>
      <c r="K2988" s="0">
        <v>1</v>
      </c>
      <c r="L2988" s="0">
        <v>3</v>
      </c>
      <c r="M2988" s="0">
        <v>1</v>
      </c>
      <c r="N2988" s="0">
        <v>0</v>
      </c>
      <c r="O2988" s="0">
        <v>0</v>
      </c>
      <c r="P2988" s="0">
        <v>0</v>
      </c>
      <c r="R2988" s="0" t="b">
        <v>0</v>
      </c>
      <c r="S2988" s="0" t="b">
        <v>1</v>
      </c>
      <c r="T2988" s="68">
        <v>45712.2956597222</v>
      </c>
      <c r="U2988" s="68">
        <v>45734.3333333333</v>
      </c>
      <c r="V2988" s="68">
        <v>0</v>
      </c>
      <c r="W2988" s="0">
        <f>IF(IF(B2988="none",1,IF(B2988="Trialer",1,0))+IF(C2988="Customer",1,IF(C2988="Lost",1,0))=2,1,0)</f>
      </c>
      <c r="X2988" s="0" t="s">
        <v>166</v>
      </c>
      <c r="Y2988" s="0" t="s">
        <v>243</v>
      </c>
      <c r="AV2988" s="68"/>
      <c r="AW2988" s="68"/>
      <c r="AY2988" s="27"/>
      <c r="BD2988" s="68">
        <v>46054.1666666667</v>
      </c>
      <c r="BE2988" s="68">
        <v>46082.1666666667</v>
      </c>
      <c r="BF2988" s="0" t="b">
        <v>0</v>
      </c>
      <c r="BG2988" s="0" t="b">
        <v>0</v>
      </c>
      <c r="BH2988" s="0">
        <v>49</v>
      </c>
      <c r="BI2988" s="0">
        <v>49</v>
      </c>
      <c r="BJ2988" s="0" t="s">
        <v>135</v>
      </c>
    </row>
    <row r="2989">
      <c r="A2989" s="0" t="s">
        <v>3237</v>
      </c>
      <c r="B2989" s="0" t="s">
        <v>134</v>
      </c>
      <c r="C2989" s="0" t="s">
        <v>190</v>
      </c>
      <c r="D2989" s="0" t="s">
        <v>135</v>
      </c>
      <c r="E2989" s="0" t="s">
        <v>3</v>
      </c>
      <c r="F2989" s="0" t="s">
        <v>12</v>
      </c>
      <c r="G2989" s="0" t="s">
        <v>8</v>
      </c>
      <c r="H2989" s="0">
        <v>341</v>
      </c>
      <c r="I2989" s="0">
        <v>0</v>
      </c>
      <c r="J2989" s="0">
        <v>0</v>
      </c>
      <c r="K2989" s="0">
        <v>0</v>
      </c>
      <c r="L2989" s="0">
        <v>0</v>
      </c>
      <c r="M2989" s="0">
        <v>0</v>
      </c>
      <c r="N2989" s="0">
        <v>0</v>
      </c>
      <c r="O2989" s="0">
        <v>0</v>
      </c>
      <c r="P2989" s="0">
        <v>0</v>
      </c>
      <c r="R2989" s="0" t="b">
        <v>0</v>
      </c>
      <c r="S2989" s="0" t="b">
        <v>0</v>
      </c>
      <c r="T2989" s="68">
        <v>45712.4244212963</v>
      </c>
      <c r="U2989" s="68">
        <v>45726.3333333333</v>
      </c>
      <c r="V2989" s="68">
        <v>46056.3843402778</v>
      </c>
      <c r="W2989" s="0">
        <f>IF(IF(B2989="none",1,IF(B2989="Trialer",1,0))+IF(C2989="Customer",1,IF(C2989="Lost",1,0))=2,1,0)</f>
      </c>
      <c r="X2989" s="0" t="s">
        <v>153</v>
      </c>
      <c r="Y2989" s="0" t="s">
        <v>243</v>
      </c>
      <c r="AV2989" s="68"/>
      <c r="AW2989" s="68"/>
      <c r="AY2989" s="27"/>
      <c r="BD2989" s="68">
        <v>46054.1666666667</v>
      </c>
      <c r="BE2989" s="68">
        <v>46082.1666666667</v>
      </c>
      <c r="BF2989" s="0" t="b">
        <v>0</v>
      </c>
      <c r="BG2989" s="0" t="b">
        <v>0</v>
      </c>
      <c r="BH2989" s="0">
        <v>61</v>
      </c>
      <c r="BI2989" s="0">
        <v>61</v>
      </c>
      <c r="BJ2989" s="0" t="s">
        <v>230</v>
      </c>
    </row>
    <row r="2990">
      <c r="A2990" s="0" t="s">
        <v>3238</v>
      </c>
      <c r="B2990" s="0" t="s">
        <v>134</v>
      </c>
      <c r="C2990" s="0" t="s">
        <v>134</v>
      </c>
      <c r="D2990" s="0" t="s">
        <v>135</v>
      </c>
      <c r="E2990" s="0" t="s">
        <v>2</v>
      </c>
      <c r="F2990" s="0" t="s">
        <v>12</v>
      </c>
      <c r="G2990" s="0" t="s">
        <v>8</v>
      </c>
      <c r="H2990" s="0">
        <v>341</v>
      </c>
      <c r="I2990" s="0">
        <v>864</v>
      </c>
      <c r="J2990" s="0">
        <v>0</v>
      </c>
      <c r="K2990" s="0">
        <v>1</v>
      </c>
      <c r="L2990" s="0">
        <v>5</v>
      </c>
      <c r="M2990" s="0">
        <v>11</v>
      </c>
      <c r="N2990" s="0">
        <v>837</v>
      </c>
      <c r="O2990" s="0">
        <v>0</v>
      </c>
      <c r="P2990" s="0">
        <v>0</v>
      </c>
      <c r="R2990" s="0" t="b">
        <v>0</v>
      </c>
      <c r="S2990" s="0" t="b">
        <v>1</v>
      </c>
      <c r="T2990" s="68">
        <v>45712.5336342593</v>
      </c>
      <c r="U2990" s="68">
        <v>45712.2916666667</v>
      </c>
      <c r="V2990" s="68">
        <v>0</v>
      </c>
      <c r="W2990" s="0">
        <f>IF(IF(B2990="none",1,IF(B2990="Trialer",1,0))+IF(C2990="Customer",1,IF(C2990="Lost",1,0))=2,1,0)</f>
      </c>
      <c r="X2990" s="0" t="s">
        <v>145</v>
      </c>
      <c r="Y2990" s="0" t="s">
        <v>499</v>
      </c>
      <c r="AV2990" s="68"/>
      <c r="AW2990" s="68"/>
      <c r="AY2990" s="27"/>
      <c r="BD2990" s="68">
        <v>46054.1666666667</v>
      </c>
      <c r="BE2990" s="68">
        <v>46082.1666666667</v>
      </c>
      <c r="BF2990" s="0" t="b">
        <v>0</v>
      </c>
      <c r="BG2990" s="0" t="b">
        <v>0</v>
      </c>
      <c r="BH2990" s="0">
        <v>628</v>
      </c>
      <c r="BI2990" s="0">
        <v>628</v>
      </c>
      <c r="BJ2990" s="0" t="s">
        <v>135</v>
      </c>
    </row>
    <row r="2991">
      <c r="A2991" s="0" t="s">
        <v>3239</v>
      </c>
      <c r="B2991" s="0" t="s">
        <v>134</v>
      </c>
      <c r="C2991" s="0" t="s">
        <v>134</v>
      </c>
      <c r="D2991" s="0" t="s">
        <v>230</v>
      </c>
      <c r="E2991" s="0" t="s">
        <v>2</v>
      </c>
      <c r="F2991" s="0" t="s">
        <v>12</v>
      </c>
      <c r="G2991" s="0" t="s">
        <v>8</v>
      </c>
      <c r="H2991" s="0">
        <v>341</v>
      </c>
      <c r="I2991" s="0">
        <v>60</v>
      </c>
      <c r="J2991" s="0">
        <v>0</v>
      </c>
      <c r="K2991" s="0">
        <v>1</v>
      </c>
      <c r="L2991" s="0">
        <v>2</v>
      </c>
      <c r="M2991" s="0">
        <v>2</v>
      </c>
      <c r="N2991" s="0">
        <v>0</v>
      </c>
      <c r="O2991" s="0">
        <v>0</v>
      </c>
      <c r="P2991" s="0">
        <v>-60</v>
      </c>
      <c r="R2991" s="0" t="b">
        <v>0</v>
      </c>
      <c r="S2991" s="0" t="b">
        <v>1</v>
      </c>
      <c r="T2991" s="68">
        <v>45712.5360763889</v>
      </c>
      <c r="U2991" s="68">
        <v>45726.3333333333</v>
      </c>
      <c r="V2991" s="68">
        <v>0</v>
      </c>
      <c r="W2991" s="0">
        <f>IF(IF(B2991="none",1,IF(B2991="Trialer",1,0))+IF(C2991="Customer",1,IF(C2991="Lost",1,0))=2,1,0)</f>
      </c>
      <c r="X2991" s="0" t="s">
        <v>142</v>
      </c>
      <c r="Y2991" s="0" t="s">
        <v>499</v>
      </c>
      <c r="AV2991" s="68"/>
      <c r="AW2991" s="68"/>
      <c r="AY2991" s="27"/>
      <c r="BD2991" s="68">
        <v>46054.1666666667</v>
      </c>
      <c r="BE2991" s="68">
        <v>46082.1666666667</v>
      </c>
      <c r="BF2991" s="0" t="b">
        <v>0</v>
      </c>
      <c r="BG2991" s="0" t="b">
        <v>0</v>
      </c>
      <c r="BH2991" s="0">
        <v>80</v>
      </c>
      <c r="BI2991" s="0">
        <v>80</v>
      </c>
      <c r="BJ2991" s="0" t="s">
        <v>230</v>
      </c>
    </row>
    <row r="2992">
      <c r="A2992" s="0" t="s">
        <v>3240</v>
      </c>
      <c r="B2992" s="0" t="s">
        <v>134</v>
      </c>
      <c r="C2992" s="0" t="s">
        <v>134</v>
      </c>
      <c r="D2992" s="0" t="s">
        <v>135</v>
      </c>
      <c r="E2992" s="0" t="s">
        <v>3</v>
      </c>
      <c r="F2992" s="0" t="s">
        <v>12</v>
      </c>
      <c r="G2992" s="0" t="s">
        <v>8</v>
      </c>
      <c r="H2992" s="0">
        <v>341</v>
      </c>
      <c r="I2992" s="0">
        <v>386</v>
      </c>
      <c r="J2992" s="0">
        <v>0</v>
      </c>
      <c r="K2992" s="0">
        <v>1</v>
      </c>
      <c r="L2992" s="0">
        <v>4</v>
      </c>
      <c r="M2992" s="0">
        <v>1</v>
      </c>
      <c r="N2992" s="0">
        <v>0</v>
      </c>
      <c r="O2992" s="0">
        <v>0</v>
      </c>
      <c r="P2992" s="0">
        <v>0</v>
      </c>
      <c r="R2992" s="0" t="b">
        <v>0</v>
      </c>
      <c r="S2992" s="0" t="b">
        <v>1</v>
      </c>
      <c r="T2992" s="68">
        <v>45712.6671990741</v>
      </c>
      <c r="U2992" s="68">
        <v>45726.3333333333</v>
      </c>
      <c r="V2992" s="68">
        <v>0</v>
      </c>
      <c r="W2992" s="0">
        <f>IF(IF(B2992="none",1,IF(B2992="Trialer",1,0))+IF(C2992="Customer",1,IF(C2992="Lost",1,0))=2,1,0)</f>
      </c>
      <c r="X2992" s="0" t="s">
        <v>142</v>
      </c>
      <c r="Y2992" s="0" t="s">
        <v>243</v>
      </c>
      <c r="AV2992" s="68"/>
      <c r="AW2992" s="68"/>
      <c r="AY2992" s="27"/>
      <c r="BD2992" s="68">
        <v>46054.1666666667</v>
      </c>
      <c r="BE2992" s="68">
        <v>46082.1666666667</v>
      </c>
      <c r="BF2992" s="0" t="b">
        <v>0</v>
      </c>
      <c r="BG2992" s="0" t="b">
        <v>0</v>
      </c>
      <c r="BH2992" s="0">
        <v>61</v>
      </c>
      <c r="BI2992" s="0">
        <v>61</v>
      </c>
      <c r="BJ2992" s="0" t="s">
        <v>135</v>
      </c>
    </row>
    <row r="2993">
      <c r="A2993" s="0" t="s">
        <v>3241</v>
      </c>
      <c r="B2993" s="0" t="s">
        <v>134</v>
      </c>
      <c r="C2993" s="0" t="s">
        <v>134</v>
      </c>
      <c r="D2993" s="0" t="s">
        <v>230</v>
      </c>
      <c r="E2993" s="0" t="s">
        <v>2</v>
      </c>
      <c r="F2993" s="0" t="s">
        <v>12</v>
      </c>
      <c r="G2993" s="0" t="s">
        <v>8</v>
      </c>
      <c r="H2993" s="0">
        <v>341</v>
      </c>
      <c r="I2993" s="0">
        <v>44</v>
      </c>
      <c r="J2993" s="0">
        <v>0</v>
      </c>
      <c r="K2993" s="0">
        <v>1</v>
      </c>
      <c r="L2993" s="0">
        <v>3</v>
      </c>
      <c r="M2993" s="0">
        <v>1</v>
      </c>
      <c r="N2993" s="0">
        <v>0</v>
      </c>
      <c r="O2993" s="0">
        <v>0</v>
      </c>
      <c r="P2993" s="0">
        <v>484</v>
      </c>
      <c r="R2993" s="0" t="b">
        <v>0</v>
      </c>
      <c r="S2993" s="0" t="b">
        <v>1</v>
      </c>
      <c r="T2993" s="68">
        <v>45712.6909027778</v>
      </c>
      <c r="U2993" s="68">
        <v>45726.3333333333</v>
      </c>
      <c r="V2993" s="68">
        <v>0</v>
      </c>
      <c r="W2993" s="0">
        <f>IF(IF(B2993="none",1,IF(B2993="Trialer",1,0))+IF(C2993="Customer",1,IF(C2993="Lost",1,0))=2,1,0)</f>
      </c>
      <c r="X2993" s="0" t="s">
        <v>153</v>
      </c>
      <c r="Y2993" s="0" t="s">
        <v>499</v>
      </c>
      <c r="AV2993" s="68"/>
      <c r="AW2993" s="68"/>
      <c r="AY2993" s="27"/>
      <c r="BD2993" s="68">
        <v>46054.1666666667</v>
      </c>
      <c r="BE2993" s="68">
        <v>46082.1666666667</v>
      </c>
      <c r="BF2993" s="0" t="b">
        <v>0</v>
      </c>
      <c r="BG2993" s="0" t="b">
        <v>0</v>
      </c>
      <c r="BH2993" s="0">
        <v>49</v>
      </c>
      <c r="BI2993" s="0">
        <v>49</v>
      </c>
      <c r="BJ2993" s="0" t="s">
        <v>230</v>
      </c>
    </row>
    <row r="2994">
      <c r="A2994" s="0" t="s">
        <v>3242</v>
      </c>
      <c r="B2994" s="0" t="s">
        <v>134</v>
      </c>
      <c r="C2994" s="0" t="s">
        <v>134</v>
      </c>
      <c r="D2994" s="0" t="s">
        <v>230</v>
      </c>
      <c r="E2994" s="0" t="s">
        <v>3</v>
      </c>
      <c r="F2994" s="0" t="s">
        <v>12</v>
      </c>
      <c r="G2994" s="0" t="s">
        <v>8</v>
      </c>
      <c r="H2994" s="0">
        <v>341</v>
      </c>
      <c r="I2994" s="0">
        <v>108</v>
      </c>
      <c r="J2994" s="0">
        <v>0</v>
      </c>
      <c r="K2994" s="0">
        <v>1</v>
      </c>
      <c r="L2994" s="0">
        <v>5</v>
      </c>
      <c r="M2994" s="0">
        <v>2</v>
      </c>
      <c r="N2994" s="0">
        <v>0</v>
      </c>
      <c r="O2994" s="0">
        <v>0</v>
      </c>
      <c r="P2994" s="0">
        <v>-108</v>
      </c>
      <c r="R2994" s="0" t="b">
        <v>0</v>
      </c>
      <c r="S2994" s="0" t="b">
        <v>1</v>
      </c>
      <c r="T2994" s="68">
        <v>45712.7215393518</v>
      </c>
      <c r="U2994" s="68">
        <v>45726.3333333333</v>
      </c>
      <c r="V2994" s="68">
        <v>0</v>
      </c>
      <c r="W2994" s="0">
        <f>IF(IF(B2994="none",1,IF(B2994="Trialer",1,0))+IF(C2994="Customer",1,IF(C2994="Lost",1,0))=2,1,0)</f>
      </c>
      <c r="X2994" s="0" t="s">
        <v>153</v>
      </c>
      <c r="Y2994" s="0" t="s">
        <v>243</v>
      </c>
      <c r="AV2994" s="68"/>
      <c r="AW2994" s="68"/>
      <c r="AY2994" s="27"/>
      <c r="BD2994" s="68">
        <v>46054.1666666667</v>
      </c>
      <c r="BE2994" s="68">
        <v>46082.1666666667</v>
      </c>
      <c r="BF2994" s="0" t="b">
        <v>0</v>
      </c>
      <c r="BG2994" s="0" t="b">
        <v>0</v>
      </c>
      <c r="BH2994" s="0">
        <v>183</v>
      </c>
      <c r="BI2994" s="0">
        <v>183</v>
      </c>
      <c r="BJ2994" s="0" t="s">
        <v>230</v>
      </c>
    </row>
    <row r="2995">
      <c r="A2995" s="0" t="s">
        <v>3243</v>
      </c>
      <c r="B2995" s="0" t="s">
        <v>134</v>
      </c>
      <c r="C2995" s="0" t="s">
        <v>134</v>
      </c>
      <c r="D2995" s="0" t="s">
        <v>230</v>
      </c>
      <c r="E2995" s="0" t="s">
        <v>3</v>
      </c>
      <c r="F2995" s="0" t="s">
        <v>10</v>
      </c>
      <c r="G2995" s="0" t="s">
        <v>8</v>
      </c>
      <c r="H2995" s="0">
        <v>341</v>
      </c>
      <c r="I2995" s="0">
        <v>80.1</v>
      </c>
      <c r="J2995" s="0">
        <v>0</v>
      </c>
      <c r="K2995" s="0">
        <v>1</v>
      </c>
      <c r="L2995" s="0">
        <v>4</v>
      </c>
      <c r="M2995" s="0">
        <v>2</v>
      </c>
      <c r="N2995" s="0">
        <v>0</v>
      </c>
      <c r="O2995" s="0">
        <v>0</v>
      </c>
      <c r="P2995" s="0">
        <v>-80.1</v>
      </c>
      <c r="Q2995" s="0" t="s">
        <v>357</v>
      </c>
      <c r="R2995" s="0" t="b">
        <v>0</v>
      </c>
      <c r="S2995" s="0" t="b">
        <v>1</v>
      </c>
      <c r="T2995" s="68">
        <v>45712.7756828704</v>
      </c>
      <c r="U2995" s="68">
        <v>45726.3333333333</v>
      </c>
      <c r="V2995" s="68">
        <v>0</v>
      </c>
      <c r="W2995" s="0">
        <f>IF(IF(B2995="none",1,IF(B2995="Trialer",1,0))+IF(C2995="Customer",1,IF(C2995="Lost",1,0))=2,1,0)</f>
      </c>
      <c r="X2995" s="0" t="s">
        <v>148</v>
      </c>
      <c r="Y2995" s="0" t="s">
        <v>243</v>
      </c>
      <c r="AV2995" s="68"/>
      <c r="AW2995" s="68"/>
      <c r="AY2995" s="27"/>
      <c r="BD2995" s="68">
        <v>46054.1666666667</v>
      </c>
      <c r="BE2995" s="68">
        <v>46082.1666666667</v>
      </c>
      <c r="BF2995" s="0" t="b">
        <v>0</v>
      </c>
      <c r="BG2995" s="0" t="b">
        <v>0</v>
      </c>
      <c r="BH2995" s="0">
        <v>89</v>
      </c>
      <c r="BI2995" s="0">
        <v>89</v>
      </c>
      <c r="BJ2995" s="0" t="s">
        <v>230</v>
      </c>
    </row>
    <row r="2996">
      <c r="A2996" s="0" t="s">
        <v>3244</v>
      </c>
      <c r="B2996" s="0" t="s">
        <v>134</v>
      </c>
      <c r="C2996" s="0" t="s">
        <v>134</v>
      </c>
      <c r="D2996" s="0" t="s">
        <v>135</v>
      </c>
      <c r="E2996" s="0" t="s">
        <v>3</v>
      </c>
      <c r="F2996" s="0" t="s">
        <v>12</v>
      </c>
      <c r="G2996" s="0" t="s">
        <v>8</v>
      </c>
      <c r="H2996" s="0">
        <v>341</v>
      </c>
      <c r="I2996" s="0">
        <v>49</v>
      </c>
      <c r="J2996" s="0">
        <v>0</v>
      </c>
      <c r="K2996" s="0">
        <v>1</v>
      </c>
      <c r="L2996" s="0">
        <v>3</v>
      </c>
      <c r="M2996" s="0">
        <v>1</v>
      </c>
      <c r="N2996" s="0">
        <v>0</v>
      </c>
      <c r="O2996" s="0">
        <v>0</v>
      </c>
      <c r="P2996" s="0">
        <v>0</v>
      </c>
      <c r="R2996" s="0" t="b">
        <v>0</v>
      </c>
      <c r="S2996" s="0" t="b">
        <v>1</v>
      </c>
      <c r="T2996" s="68">
        <v>45712.9262037037</v>
      </c>
      <c r="U2996" s="68">
        <v>45727.3333333333</v>
      </c>
      <c r="V2996" s="68">
        <v>0</v>
      </c>
      <c r="W2996" s="0">
        <f>IF(IF(B2996="none",1,IF(B2996="Trialer",1,0))+IF(C2996="Customer",1,IF(C2996="Lost",1,0))=2,1,0)</f>
      </c>
      <c r="X2996" s="0" t="s">
        <v>142</v>
      </c>
      <c r="Y2996" s="0" t="s">
        <v>243</v>
      </c>
      <c r="AV2996" s="68"/>
      <c r="AW2996" s="68"/>
      <c r="AY2996" s="27"/>
      <c r="BD2996" s="68">
        <v>46054.1666666667</v>
      </c>
      <c r="BE2996" s="68">
        <v>46082.1666666667</v>
      </c>
      <c r="BF2996" s="0" t="b">
        <v>0</v>
      </c>
      <c r="BG2996" s="0" t="b">
        <v>0</v>
      </c>
      <c r="BH2996" s="0">
        <v>49</v>
      </c>
      <c r="BI2996" s="0">
        <v>49</v>
      </c>
      <c r="BJ2996" s="0" t="s">
        <v>135</v>
      </c>
    </row>
    <row r="2997">
      <c r="A2997" s="0" t="s">
        <v>3245</v>
      </c>
      <c r="B2997" s="0" t="s">
        <v>134</v>
      </c>
      <c r="C2997" s="0" t="s">
        <v>190</v>
      </c>
      <c r="D2997" s="0" t="s">
        <v>135</v>
      </c>
      <c r="E2997" s="0" t="s">
        <v>2</v>
      </c>
      <c r="F2997" s="0" t="s">
        <v>10</v>
      </c>
      <c r="G2997" s="0" t="s">
        <v>8</v>
      </c>
      <c r="H2997" s="0">
        <v>340</v>
      </c>
      <c r="I2997" s="0">
        <v>73</v>
      </c>
      <c r="J2997" s="0">
        <v>0</v>
      </c>
      <c r="K2997" s="0">
        <v>1</v>
      </c>
      <c r="L2997" s="0">
        <v>5</v>
      </c>
      <c r="M2997" s="0">
        <v>1</v>
      </c>
      <c r="N2997" s="0">
        <v>0</v>
      </c>
      <c r="O2997" s="0">
        <v>0</v>
      </c>
      <c r="P2997" s="0">
        <v>0</v>
      </c>
      <c r="Q2997" s="0" t="s">
        <v>294</v>
      </c>
      <c r="R2997" s="0" t="b">
        <v>0</v>
      </c>
      <c r="S2997" s="0" t="b">
        <v>0</v>
      </c>
      <c r="T2997" s="68">
        <v>45713.5128472222</v>
      </c>
      <c r="U2997" s="68">
        <v>45727.3333333333</v>
      </c>
      <c r="V2997" s="68">
        <v>46064.3733101852</v>
      </c>
      <c r="W2997" s="0">
        <f>IF(IF(B2997="none",1,IF(B2997="Trialer",1,0))+IF(C2997="Customer",1,IF(C2997="Lost",1,0))=2,1,0)</f>
      </c>
      <c r="X2997" s="0" t="s">
        <v>148</v>
      </c>
      <c r="Y2997" s="0" t="s">
        <v>499</v>
      </c>
      <c r="AV2997" s="68"/>
      <c r="AW2997" s="68"/>
      <c r="AY2997" s="27"/>
      <c r="BD2997" s="68">
        <v>46054.1666666667</v>
      </c>
      <c r="BE2997" s="68">
        <v>46082.1666666667</v>
      </c>
      <c r="BF2997" s="0" t="b">
        <v>0</v>
      </c>
      <c r="BG2997" s="0" t="b">
        <v>0</v>
      </c>
      <c r="BH2997" s="0">
        <v>73</v>
      </c>
      <c r="BI2997" s="0">
        <v>73</v>
      </c>
      <c r="BJ2997" s="0" t="s">
        <v>135</v>
      </c>
    </row>
    <row r="2998">
      <c r="A2998" s="0" t="s">
        <v>3246</v>
      </c>
      <c r="B2998" s="0" t="s">
        <v>134</v>
      </c>
      <c r="C2998" s="0" t="s">
        <v>134</v>
      </c>
      <c r="D2998" s="0" t="s">
        <v>135</v>
      </c>
      <c r="E2998" s="0" t="s">
        <v>3</v>
      </c>
      <c r="F2998" s="0" t="s">
        <v>12</v>
      </c>
      <c r="G2998" s="0" t="s">
        <v>8</v>
      </c>
      <c r="H2998" s="0">
        <v>340</v>
      </c>
      <c r="I2998" s="0">
        <v>0</v>
      </c>
      <c r="J2998" s="0">
        <v>0</v>
      </c>
      <c r="K2998" s="0">
        <v>1</v>
      </c>
      <c r="L2998" s="0">
        <v>5</v>
      </c>
      <c r="M2998" s="0">
        <v>1</v>
      </c>
      <c r="N2998" s="0">
        <v>0</v>
      </c>
      <c r="O2998" s="0">
        <v>0</v>
      </c>
      <c r="P2998" s="0">
        <v>0</v>
      </c>
      <c r="R2998" s="0" t="b">
        <v>0</v>
      </c>
      <c r="S2998" s="0" t="b">
        <v>1</v>
      </c>
      <c r="T2998" s="68">
        <v>45713.7465277778</v>
      </c>
      <c r="U2998" s="68">
        <v>45727.3333333333</v>
      </c>
      <c r="V2998" s="68">
        <v>0</v>
      </c>
      <c r="W2998" s="0">
        <f>IF(IF(B2998="none",1,IF(B2998="Trialer",1,0))+IF(C2998="Customer",1,IF(C2998="Lost",1,0))=2,1,0)</f>
      </c>
      <c r="X2998" s="0" t="s">
        <v>136</v>
      </c>
      <c r="Y2998" s="0" t="s">
        <v>243</v>
      </c>
      <c r="AV2998" s="68"/>
      <c r="AW2998" s="68"/>
      <c r="AY2998" s="27"/>
      <c r="BD2998" s="68">
        <v>46054.1666666667</v>
      </c>
      <c r="BE2998" s="68">
        <v>46082.1666666667</v>
      </c>
      <c r="BF2998" s="0" t="b">
        <v>0</v>
      </c>
      <c r="BG2998" s="0" t="b">
        <v>0</v>
      </c>
      <c r="BH2998" s="0">
        <v>0</v>
      </c>
      <c r="BI2998" s="0">
        <v>0</v>
      </c>
      <c r="BJ2998" s="0" t="s">
        <v>135</v>
      </c>
    </row>
    <row r="2999">
      <c r="A2999" s="0" t="s">
        <v>3247</v>
      </c>
      <c r="B2999" s="0" t="s">
        <v>134</v>
      </c>
      <c r="C2999" s="0" t="s">
        <v>134</v>
      </c>
      <c r="D2999" s="0" t="s">
        <v>135</v>
      </c>
      <c r="E2999" s="0" t="s">
        <v>3</v>
      </c>
      <c r="F2999" s="0" t="s">
        <v>10</v>
      </c>
      <c r="G2999" s="0" t="s">
        <v>8</v>
      </c>
      <c r="H2999" s="0">
        <v>339</v>
      </c>
      <c r="I2999" s="0">
        <v>28</v>
      </c>
      <c r="J2999" s="0">
        <v>0</v>
      </c>
      <c r="K2999" s="0">
        <v>1</v>
      </c>
      <c r="L2999" s="0">
        <v>1</v>
      </c>
      <c r="M2999" s="0">
        <v>1</v>
      </c>
      <c r="N2999" s="0">
        <v>0</v>
      </c>
      <c r="O2999" s="0">
        <v>0</v>
      </c>
      <c r="P2999" s="0">
        <v>0</v>
      </c>
      <c r="Q2999" s="0" t="s">
        <v>618</v>
      </c>
      <c r="R2999" s="0" t="b">
        <v>0</v>
      </c>
      <c r="S2999" s="0" t="b">
        <v>1</v>
      </c>
      <c r="T2999" s="68">
        <v>45714.3377083333</v>
      </c>
      <c r="U2999" s="68">
        <v>45728.3333333333</v>
      </c>
      <c r="V2999" s="68">
        <v>0</v>
      </c>
      <c r="W2999" s="0">
        <f>IF(IF(B2999="none",1,IF(B2999="Trialer",1,0))+IF(C2999="Customer",1,IF(C2999="Lost",1,0))=2,1,0)</f>
      </c>
      <c r="X2999" s="0" t="s">
        <v>148</v>
      </c>
      <c r="Y2999" s="0" t="s">
        <v>243</v>
      </c>
      <c r="AV2999" s="68"/>
      <c r="AW2999" s="68"/>
      <c r="AY2999" s="27"/>
      <c r="BD2999" s="68">
        <v>46054.1666666667</v>
      </c>
      <c r="BE2999" s="68">
        <v>46082.1666666667</v>
      </c>
      <c r="BF2999" s="0" t="b">
        <v>0</v>
      </c>
      <c r="BG2999" s="0" t="b">
        <v>0</v>
      </c>
      <c r="BH2999" s="0">
        <v>28</v>
      </c>
      <c r="BI2999" s="0">
        <v>28</v>
      </c>
      <c r="BJ2999" s="0" t="s">
        <v>135</v>
      </c>
    </row>
    <row r="3000">
      <c r="A3000" s="0" t="s">
        <v>3248</v>
      </c>
      <c r="B3000" s="0" t="s">
        <v>134</v>
      </c>
      <c r="C3000" s="0" t="s">
        <v>134</v>
      </c>
      <c r="D3000" s="0" t="s">
        <v>135</v>
      </c>
      <c r="E3000" s="0" t="s">
        <v>2</v>
      </c>
      <c r="F3000" s="0" t="s">
        <v>12</v>
      </c>
      <c r="G3000" s="0" t="s">
        <v>8</v>
      </c>
      <c r="H3000" s="0">
        <v>339</v>
      </c>
      <c r="I3000" s="0">
        <v>405</v>
      </c>
      <c r="J3000" s="0">
        <v>0</v>
      </c>
      <c r="K3000" s="0">
        <v>1</v>
      </c>
      <c r="L3000" s="0">
        <v>5</v>
      </c>
      <c r="M3000" s="0">
        <v>9</v>
      </c>
      <c r="N3000" s="0">
        <v>620</v>
      </c>
      <c r="O3000" s="0">
        <v>0</v>
      </c>
      <c r="P3000" s="0">
        <v>0</v>
      </c>
      <c r="R3000" s="0" t="b">
        <v>0</v>
      </c>
      <c r="S3000" s="0" t="b">
        <v>1</v>
      </c>
      <c r="T3000" s="68">
        <v>45714.3723611111</v>
      </c>
      <c r="U3000" s="68">
        <v>45728.3333333333</v>
      </c>
      <c r="V3000" s="68">
        <v>0</v>
      </c>
      <c r="W3000" s="0">
        <f>IF(IF(B3000="none",1,IF(B3000="Trialer",1,0))+IF(C3000="Customer",1,IF(C3000="Lost",1,0))=2,1,0)</f>
      </c>
      <c r="X3000" s="0" t="s">
        <v>136</v>
      </c>
      <c r="Y3000" s="0" t="s">
        <v>499</v>
      </c>
      <c r="AV3000" s="68"/>
      <c r="AW3000" s="68"/>
      <c r="AY3000" s="27"/>
      <c r="BD3000" s="68">
        <v>46054.1666666667</v>
      </c>
      <c r="BE3000" s="68">
        <v>46082.1666666667</v>
      </c>
      <c r="BF3000" s="0" t="b">
        <v>0</v>
      </c>
      <c r="BG3000" s="0" t="b">
        <v>0</v>
      </c>
      <c r="BH3000" s="0">
        <v>478</v>
      </c>
      <c r="BI3000" s="0">
        <v>454</v>
      </c>
      <c r="BJ3000" s="0" t="s">
        <v>135</v>
      </c>
    </row>
    <row r="3001">
      <c r="A3001" s="0" t="s">
        <v>3249</v>
      </c>
      <c r="B3001" s="0" t="s">
        <v>134</v>
      </c>
      <c r="C3001" s="0" t="s">
        <v>134</v>
      </c>
      <c r="D3001" s="0" t="s">
        <v>230</v>
      </c>
      <c r="E3001" s="0" t="s">
        <v>3</v>
      </c>
      <c r="F3001" s="0" t="s">
        <v>12</v>
      </c>
      <c r="G3001" s="0" t="s">
        <v>8</v>
      </c>
      <c r="H3001" s="0">
        <v>339</v>
      </c>
      <c r="I3001" s="0">
        <v>88</v>
      </c>
      <c r="J3001" s="0">
        <v>0</v>
      </c>
      <c r="K3001" s="0">
        <v>1</v>
      </c>
      <c r="L3001" s="0">
        <v>3</v>
      </c>
      <c r="M3001" s="0">
        <v>2</v>
      </c>
      <c r="N3001" s="0">
        <v>0</v>
      </c>
      <c r="O3001" s="0">
        <v>0</v>
      </c>
      <c r="P3001" s="0">
        <v>-88</v>
      </c>
      <c r="R3001" s="0" t="b">
        <v>0</v>
      </c>
      <c r="S3001" s="0" t="b">
        <v>1</v>
      </c>
      <c r="T3001" s="68">
        <v>45714.3853472222</v>
      </c>
      <c r="U3001" s="68">
        <v>45714.2916666667</v>
      </c>
      <c r="V3001" s="68">
        <v>0</v>
      </c>
      <c r="W3001" s="0">
        <f>IF(IF(B3001="none",1,IF(B3001="Trialer",1,0))+IF(C3001="Customer",1,IF(C3001="Lost",1,0))=2,1,0)</f>
      </c>
      <c r="X3001" s="0" t="s">
        <v>166</v>
      </c>
      <c r="Y3001" s="0" t="s">
        <v>243</v>
      </c>
      <c r="AV3001" s="68"/>
      <c r="AW3001" s="68"/>
      <c r="AY3001" s="27"/>
      <c r="BD3001" s="68">
        <v>46054.1666666667</v>
      </c>
      <c r="BE3001" s="68">
        <v>46082.1666666667</v>
      </c>
      <c r="BF3001" s="0" t="b">
        <v>0</v>
      </c>
      <c r="BG3001" s="0" t="b">
        <v>0</v>
      </c>
      <c r="BH3001" s="0">
        <v>98</v>
      </c>
      <c r="BI3001" s="0">
        <v>98</v>
      </c>
      <c r="BJ3001" s="0" t="s">
        <v>230</v>
      </c>
    </row>
    <row r="3002">
      <c r="A3002" s="0" t="s">
        <v>3250</v>
      </c>
      <c r="B3002" s="0" t="s">
        <v>134</v>
      </c>
      <c r="C3002" s="0" t="s">
        <v>134</v>
      </c>
      <c r="D3002" s="0" t="s">
        <v>230</v>
      </c>
      <c r="E3002" s="0" t="s">
        <v>3</v>
      </c>
      <c r="F3002" s="0" t="s">
        <v>12</v>
      </c>
      <c r="G3002" s="0" t="s">
        <v>8</v>
      </c>
      <c r="H3002" s="0">
        <v>339</v>
      </c>
      <c r="I3002" s="0">
        <v>36</v>
      </c>
      <c r="J3002" s="0">
        <v>0</v>
      </c>
      <c r="K3002" s="0">
        <v>1</v>
      </c>
      <c r="L3002" s="0">
        <v>2</v>
      </c>
      <c r="M3002" s="0">
        <v>1</v>
      </c>
      <c r="N3002" s="0">
        <v>0</v>
      </c>
      <c r="O3002" s="0">
        <v>0</v>
      </c>
      <c r="P3002" s="0">
        <v>396</v>
      </c>
      <c r="R3002" s="0" t="b">
        <v>0</v>
      </c>
      <c r="S3002" s="0" t="b">
        <v>1</v>
      </c>
      <c r="T3002" s="68">
        <v>45714.4697569444</v>
      </c>
      <c r="U3002" s="68">
        <v>45728.3333333333</v>
      </c>
      <c r="V3002" s="68">
        <v>0</v>
      </c>
      <c r="W3002" s="0">
        <f>IF(IF(B3002="none",1,IF(B3002="Trialer",1,0))+IF(C3002="Customer",1,IF(C3002="Lost",1,0))=2,1,0)</f>
      </c>
      <c r="X3002" s="0" t="s">
        <v>166</v>
      </c>
      <c r="Y3002" s="0" t="s">
        <v>243</v>
      </c>
      <c r="AV3002" s="68"/>
      <c r="AW3002" s="68"/>
      <c r="AY3002" s="27"/>
      <c r="BD3002" s="68">
        <v>46054.1666666667</v>
      </c>
      <c r="BE3002" s="68">
        <v>46082.1666666667</v>
      </c>
      <c r="BF3002" s="0" t="b">
        <v>0</v>
      </c>
      <c r="BG3002" s="0" t="b">
        <v>0</v>
      </c>
      <c r="BH3002" s="0">
        <v>40</v>
      </c>
      <c r="BI3002" s="0">
        <v>40</v>
      </c>
      <c r="BJ3002" s="0" t="s">
        <v>230</v>
      </c>
    </row>
    <row r="3003">
      <c r="A3003" s="0" t="s">
        <v>3251</v>
      </c>
      <c r="B3003" s="0" t="s">
        <v>134</v>
      </c>
      <c r="C3003" s="0" t="s">
        <v>134</v>
      </c>
      <c r="D3003" s="0" t="s">
        <v>135</v>
      </c>
      <c r="E3003" s="0" t="s">
        <v>3</v>
      </c>
      <c r="F3003" s="0" t="s">
        <v>12</v>
      </c>
      <c r="G3003" s="0" t="s">
        <v>8</v>
      </c>
      <c r="H3003" s="0">
        <v>339</v>
      </c>
      <c r="I3003" s="0">
        <v>93</v>
      </c>
      <c r="J3003" s="0">
        <v>0</v>
      </c>
      <c r="K3003" s="0">
        <v>1</v>
      </c>
      <c r="L3003" s="0">
        <v>2</v>
      </c>
      <c r="M3003" s="0">
        <v>3</v>
      </c>
      <c r="N3003" s="0">
        <v>0</v>
      </c>
      <c r="O3003" s="0">
        <v>0</v>
      </c>
      <c r="P3003" s="0">
        <v>0</v>
      </c>
      <c r="R3003" s="0" t="b">
        <v>0</v>
      </c>
      <c r="S3003" s="0" t="b">
        <v>1</v>
      </c>
      <c r="T3003" s="68">
        <v>45714.6149189815</v>
      </c>
      <c r="U3003" s="68">
        <v>45729.3333333333</v>
      </c>
      <c r="V3003" s="68">
        <v>0</v>
      </c>
      <c r="W3003" s="0">
        <f>IF(IF(B3003="none",1,IF(B3003="Trialer",1,0))+IF(C3003="Customer",1,IF(C3003="Lost",1,0))=2,1,0)</f>
      </c>
      <c r="X3003" s="0" t="s">
        <v>166</v>
      </c>
      <c r="Y3003" s="0" t="s">
        <v>243</v>
      </c>
      <c r="AV3003" s="68"/>
      <c r="AW3003" s="68"/>
      <c r="AY3003" s="27"/>
      <c r="BD3003" s="68">
        <v>46054.1666666667</v>
      </c>
      <c r="BE3003" s="68">
        <v>46082.1666666667</v>
      </c>
      <c r="BF3003" s="0" t="b">
        <v>0</v>
      </c>
      <c r="BG3003" s="0" t="b">
        <v>0</v>
      </c>
      <c r="BH3003" s="0">
        <v>93</v>
      </c>
      <c r="BI3003" s="0">
        <v>93</v>
      </c>
      <c r="BJ3003" s="0" t="s">
        <v>135</v>
      </c>
    </row>
    <row r="3004">
      <c r="A3004" s="0" t="s">
        <v>3252</v>
      </c>
      <c r="B3004" s="0" t="s">
        <v>134</v>
      </c>
      <c r="C3004" s="0" t="s">
        <v>134</v>
      </c>
      <c r="D3004" s="0" t="s">
        <v>230</v>
      </c>
      <c r="E3004" s="0" t="s">
        <v>3</v>
      </c>
      <c r="F3004" s="0" t="s">
        <v>12</v>
      </c>
      <c r="G3004" s="0" t="s">
        <v>8</v>
      </c>
      <c r="H3004" s="0">
        <v>338</v>
      </c>
      <c r="I3004" s="0">
        <v>25</v>
      </c>
      <c r="J3004" s="0">
        <v>0</v>
      </c>
      <c r="K3004" s="0">
        <v>1</v>
      </c>
      <c r="L3004" s="0">
        <v>1</v>
      </c>
      <c r="M3004" s="0">
        <v>1</v>
      </c>
      <c r="N3004" s="0">
        <v>0</v>
      </c>
      <c r="O3004" s="0">
        <v>0</v>
      </c>
      <c r="P3004" s="0">
        <v>275</v>
      </c>
      <c r="R3004" s="0" t="b">
        <v>0</v>
      </c>
      <c r="S3004" s="0" t="b">
        <v>1</v>
      </c>
      <c r="T3004" s="68">
        <v>45715.4411111111</v>
      </c>
      <c r="U3004" s="68">
        <v>45719.2916666667</v>
      </c>
      <c r="V3004" s="68">
        <v>0</v>
      </c>
      <c r="W3004" s="0">
        <f>IF(IF(B3004="none",1,IF(B3004="Trialer",1,0))+IF(C3004="Customer",1,IF(C3004="Lost",1,0))=2,1,0)</f>
      </c>
      <c r="X3004" s="0" t="s">
        <v>166</v>
      </c>
      <c r="Y3004" s="0" t="s">
        <v>243</v>
      </c>
      <c r="AV3004" s="68"/>
      <c r="AW3004" s="68"/>
      <c r="AY3004" s="27"/>
      <c r="BD3004" s="68">
        <v>46054.1666666667</v>
      </c>
      <c r="BE3004" s="68">
        <v>46082.1666666667</v>
      </c>
      <c r="BF3004" s="0" t="b">
        <v>0</v>
      </c>
      <c r="BG3004" s="0" t="b">
        <v>0</v>
      </c>
      <c r="BH3004" s="0">
        <v>28</v>
      </c>
      <c r="BI3004" s="0">
        <v>28</v>
      </c>
      <c r="BJ3004" s="0" t="s">
        <v>230</v>
      </c>
    </row>
    <row r="3005">
      <c r="A3005" s="0" t="s">
        <v>3253</v>
      </c>
      <c r="B3005" s="0" t="s">
        <v>134</v>
      </c>
      <c r="C3005" s="0" t="s">
        <v>134</v>
      </c>
      <c r="D3005" s="0" t="s">
        <v>135</v>
      </c>
      <c r="E3005" s="0" t="s">
        <v>3</v>
      </c>
      <c r="F3005" s="0" t="s">
        <v>12</v>
      </c>
      <c r="G3005" s="0" t="s">
        <v>8</v>
      </c>
      <c r="H3005" s="0">
        <v>338</v>
      </c>
      <c r="I3005" s="0">
        <v>122</v>
      </c>
      <c r="J3005" s="0">
        <v>0</v>
      </c>
      <c r="K3005" s="0">
        <v>1</v>
      </c>
      <c r="L3005" s="0">
        <v>4</v>
      </c>
      <c r="M3005" s="0">
        <v>2</v>
      </c>
      <c r="N3005" s="0">
        <v>0</v>
      </c>
      <c r="O3005" s="0">
        <v>0</v>
      </c>
      <c r="P3005" s="0">
        <v>0</v>
      </c>
      <c r="R3005" s="0" t="b">
        <v>0</v>
      </c>
      <c r="S3005" s="0" t="b">
        <v>1</v>
      </c>
      <c r="T3005" s="68">
        <v>45715.6290972222</v>
      </c>
      <c r="U3005" s="68">
        <v>45729.3333333333</v>
      </c>
      <c r="V3005" s="68">
        <v>0</v>
      </c>
      <c r="W3005" s="0">
        <f>IF(IF(B3005="none",1,IF(B3005="Trialer",1,0))+IF(C3005="Customer",1,IF(C3005="Lost",1,0))=2,1,0)</f>
      </c>
      <c r="X3005" s="0" t="s">
        <v>153</v>
      </c>
      <c r="Y3005" s="0" t="s">
        <v>243</v>
      </c>
      <c r="AV3005" s="68"/>
      <c r="AW3005" s="68"/>
      <c r="AY3005" s="27"/>
      <c r="BD3005" s="68">
        <v>46054.1666666667</v>
      </c>
      <c r="BE3005" s="68">
        <v>46082.1666666667</v>
      </c>
      <c r="BF3005" s="0" t="b">
        <v>0</v>
      </c>
      <c r="BG3005" s="0" t="b">
        <v>0</v>
      </c>
      <c r="BH3005" s="0">
        <v>61</v>
      </c>
      <c r="BI3005" s="0">
        <v>61</v>
      </c>
      <c r="BJ3005" s="0" t="s">
        <v>135</v>
      </c>
    </row>
    <row r="3006">
      <c r="A3006" s="0" t="s">
        <v>3254</v>
      </c>
      <c r="B3006" s="0" t="s">
        <v>134</v>
      </c>
      <c r="C3006" s="0" t="s">
        <v>134</v>
      </c>
      <c r="D3006" s="0" t="s">
        <v>135</v>
      </c>
      <c r="E3006" s="0" t="s">
        <v>3</v>
      </c>
      <c r="F3006" s="0" t="s">
        <v>12</v>
      </c>
      <c r="G3006" s="0" t="s">
        <v>8</v>
      </c>
      <c r="H3006" s="0">
        <v>338</v>
      </c>
      <c r="I3006" s="0">
        <v>98</v>
      </c>
      <c r="J3006" s="0">
        <v>0</v>
      </c>
      <c r="K3006" s="0">
        <v>1</v>
      </c>
      <c r="L3006" s="0">
        <v>3</v>
      </c>
      <c r="M3006" s="0">
        <v>2</v>
      </c>
      <c r="N3006" s="0">
        <v>0</v>
      </c>
      <c r="O3006" s="0">
        <v>0</v>
      </c>
      <c r="P3006" s="0">
        <v>0</v>
      </c>
      <c r="R3006" s="0" t="b">
        <v>0</v>
      </c>
      <c r="S3006" s="0" t="b">
        <v>1</v>
      </c>
      <c r="T3006" s="68">
        <v>45715.6775</v>
      </c>
      <c r="U3006" s="68">
        <v>45729.3333333333</v>
      </c>
      <c r="V3006" s="68">
        <v>0</v>
      </c>
      <c r="W3006" s="0">
        <f>IF(IF(B3006="none",1,IF(B3006="Trialer",1,0))+IF(C3006="Customer",1,IF(C3006="Lost",1,0))=2,1,0)</f>
      </c>
      <c r="X3006" s="0" t="s">
        <v>153</v>
      </c>
      <c r="Y3006" s="0" t="s">
        <v>243</v>
      </c>
      <c r="AV3006" s="68"/>
      <c r="AW3006" s="68"/>
      <c r="AY3006" s="27"/>
      <c r="BD3006" s="68">
        <v>46054.1666666667</v>
      </c>
      <c r="BE3006" s="68">
        <v>46082.1666666667</v>
      </c>
      <c r="BF3006" s="0" t="b">
        <v>0</v>
      </c>
      <c r="BG3006" s="0" t="b">
        <v>0</v>
      </c>
      <c r="BH3006" s="0">
        <v>98</v>
      </c>
      <c r="BI3006" s="0">
        <v>98</v>
      </c>
      <c r="BJ3006" s="0" t="s">
        <v>135</v>
      </c>
    </row>
    <row r="3007">
      <c r="A3007" s="0" t="s">
        <v>3255</v>
      </c>
      <c r="B3007" s="0" t="s">
        <v>134</v>
      </c>
      <c r="C3007" s="0" t="s">
        <v>134</v>
      </c>
      <c r="D3007" s="0" t="s">
        <v>135</v>
      </c>
      <c r="E3007" s="0" t="s">
        <v>2</v>
      </c>
      <c r="F3007" s="0" t="s">
        <v>12</v>
      </c>
      <c r="G3007" s="0" t="s">
        <v>8</v>
      </c>
      <c r="H3007" s="0">
        <v>337</v>
      </c>
      <c r="I3007" s="0">
        <v>296</v>
      </c>
      <c r="J3007" s="0">
        <v>0</v>
      </c>
      <c r="K3007" s="0">
        <v>1</v>
      </c>
      <c r="L3007" s="0">
        <v>5</v>
      </c>
      <c r="M3007" s="0">
        <v>5</v>
      </c>
      <c r="N3007" s="0">
        <v>0</v>
      </c>
      <c r="O3007" s="0">
        <v>0</v>
      </c>
      <c r="P3007" s="0">
        <v>0</v>
      </c>
      <c r="R3007" s="0" t="b">
        <v>0</v>
      </c>
      <c r="S3007" s="0" t="b">
        <v>1</v>
      </c>
      <c r="T3007" s="68">
        <v>45716.3746180556</v>
      </c>
      <c r="U3007" s="68">
        <v>45730.3333333333</v>
      </c>
      <c r="V3007" s="68">
        <v>0</v>
      </c>
      <c r="W3007" s="0">
        <f>IF(IF(B3007="none",1,IF(B3007="Trialer",1,0))+IF(C3007="Customer",1,IF(C3007="Lost",1,0))=2,1,0)</f>
      </c>
      <c r="X3007" s="0" t="s">
        <v>148</v>
      </c>
      <c r="Y3007" s="0" t="s">
        <v>499</v>
      </c>
      <c r="AV3007" s="68"/>
      <c r="AW3007" s="68"/>
      <c r="AY3007" s="27"/>
      <c r="BD3007" s="68">
        <v>46054.1666666667</v>
      </c>
      <c r="BE3007" s="68">
        <v>46082.1666666667</v>
      </c>
      <c r="BF3007" s="0" t="b">
        <v>0</v>
      </c>
      <c r="BG3007" s="0" t="b">
        <v>0</v>
      </c>
      <c r="BH3007" s="0">
        <v>296</v>
      </c>
      <c r="BI3007" s="0">
        <v>296</v>
      </c>
      <c r="BJ3007" s="0" t="s">
        <v>135</v>
      </c>
    </row>
    <row r="3008">
      <c r="A3008" s="0" t="s">
        <v>3256</v>
      </c>
      <c r="B3008" s="0" t="s">
        <v>134</v>
      </c>
      <c r="C3008" s="0" t="s">
        <v>134</v>
      </c>
      <c r="D3008" s="0" t="s">
        <v>135</v>
      </c>
      <c r="E3008" s="0" t="s">
        <v>3</v>
      </c>
      <c r="F3008" s="0" t="s">
        <v>12</v>
      </c>
      <c r="G3008" s="0" t="s">
        <v>8</v>
      </c>
      <c r="H3008" s="0">
        <v>337</v>
      </c>
      <c r="I3008" s="0">
        <v>80</v>
      </c>
      <c r="J3008" s="0">
        <v>0</v>
      </c>
      <c r="K3008" s="0">
        <v>1</v>
      </c>
      <c r="L3008" s="0">
        <v>2</v>
      </c>
      <c r="M3008" s="0">
        <v>2</v>
      </c>
      <c r="N3008" s="0">
        <v>0</v>
      </c>
      <c r="O3008" s="0">
        <v>0</v>
      </c>
      <c r="P3008" s="0">
        <v>0</v>
      </c>
      <c r="R3008" s="0" t="b">
        <v>0</v>
      </c>
      <c r="S3008" s="0" t="b">
        <v>1</v>
      </c>
      <c r="T3008" s="68">
        <v>45716.8545486111</v>
      </c>
      <c r="U3008" s="68">
        <v>45730.3333333333</v>
      </c>
      <c r="V3008" s="68">
        <v>0</v>
      </c>
      <c r="W3008" s="0">
        <f>IF(IF(B3008="none",1,IF(B3008="Trialer",1,0))+IF(C3008="Customer",1,IF(C3008="Lost",1,0))=2,1,0)</f>
      </c>
      <c r="X3008" s="0" t="s">
        <v>166</v>
      </c>
      <c r="Y3008" s="0" t="s">
        <v>243</v>
      </c>
      <c r="AV3008" s="68"/>
      <c r="AW3008" s="68"/>
      <c r="AY3008" s="27"/>
      <c r="BD3008" s="68">
        <v>46054.1666666667</v>
      </c>
      <c r="BE3008" s="68">
        <v>46082.1666666667</v>
      </c>
      <c r="BF3008" s="0" t="b">
        <v>0</v>
      </c>
      <c r="BG3008" s="0" t="b">
        <v>0</v>
      </c>
      <c r="BH3008" s="0">
        <v>80</v>
      </c>
      <c r="BI3008" s="0">
        <v>80</v>
      </c>
      <c r="BJ3008" s="0" t="s">
        <v>135</v>
      </c>
    </row>
    <row r="3009">
      <c r="A3009" s="0" t="s">
        <v>3257</v>
      </c>
      <c r="B3009" s="0" t="s">
        <v>134</v>
      </c>
      <c r="C3009" s="0" t="s">
        <v>134</v>
      </c>
      <c r="D3009" s="0" t="s">
        <v>230</v>
      </c>
      <c r="E3009" s="0" t="s">
        <v>3</v>
      </c>
      <c r="F3009" s="0" t="s">
        <v>10</v>
      </c>
      <c r="G3009" s="0" t="s">
        <v>8</v>
      </c>
      <c r="H3009" s="0">
        <v>334</v>
      </c>
      <c r="I3009" s="0">
        <v>274</v>
      </c>
      <c r="J3009" s="0">
        <v>0</v>
      </c>
      <c r="K3009" s="0">
        <v>1</v>
      </c>
      <c r="L3009" s="0">
        <v>5</v>
      </c>
      <c r="M3009" s="0">
        <v>6</v>
      </c>
      <c r="N3009" s="0">
        <v>0</v>
      </c>
      <c r="O3009" s="0">
        <v>0</v>
      </c>
      <c r="P3009" s="0">
        <v>-274</v>
      </c>
      <c r="Q3009" s="0" t="s">
        <v>3258</v>
      </c>
      <c r="R3009" s="0" t="b">
        <v>0</v>
      </c>
      <c r="S3009" s="0" t="b">
        <v>1</v>
      </c>
      <c r="T3009" s="68">
        <v>45719.7958680556</v>
      </c>
      <c r="U3009" s="68">
        <v>45733.3333333333</v>
      </c>
      <c r="V3009" s="68">
        <v>0</v>
      </c>
      <c r="W3009" s="0">
        <f>IF(IF(B3009="none",1,IF(B3009="Trialer",1,0))+IF(C3009="Customer",1,IF(C3009="Lost",1,0))=2,1,0)</f>
      </c>
      <c r="X3009" s="0" t="s">
        <v>145</v>
      </c>
      <c r="Y3009" s="0" t="s">
        <v>243</v>
      </c>
      <c r="AV3009" s="68"/>
      <c r="AW3009" s="68"/>
      <c r="AY3009" s="27"/>
      <c r="BD3009" s="68">
        <v>46054.1666666667</v>
      </c>
      <c r="BE3009" s="68">
        <v>46082.1666666667</v>
      </c>
      <c r="BF3009" s="0" t="b">
        <v>0</v>
      </c>
      <c r="BG3009" s="0" t="b">
        <v>0</v>
      </c>
      <c r="BH3009" s="0">
        <v>361</v>
      </c>
      <c r="BI3009" s="0">
        <v>361</v>
      </c>
      <c r="BJ3009" s="0" t="s">
        <v>230</v>
      </c>
    </row>
    <row r="3010">
      <c r="A3010" s="0" t="s">
        <v>3259</v>
      </c>
      <c r="B3010" s="0" t="s">
        <v>134</v>
      </c>
      <c r="C3010" s="0" t="s">
        <v>134</v>
      </c>
      <c r="D3010" s="0" t="s">
        <v>135</v>
      </c>
      <c r="E3010" s="0" t="s">
        <v>2</v>
      </c>
      <c r="F3010" s="0" t="s">
        <v>12</v>
      </c>
      <c r="G3010" s="0" t="s">
        <v>8</v>
      </c>
      <c r="H3010" s="0">
        <v>333</v>
      </c>
      <c r="I3010" s="0">
        <v>564</v>
      </c>
      <c r="J3010" s="0">
        <v>0</v>
      </c>
      <c r="K3010" s="0">
        <v>1</v>
      </c>
      <c r="L3010" s="0">
        <v>5</v>
      </c>
      <c r="M3010" s="0">
        <v>5</v>
      </c>
      <c r="N3010" s="0">
        <v>837</v>
      </c>
      <c r="O3010" s="0">
        <v>0</v>
      </c>
      <c r="P3010" s="0">
        <v>0</v>
      </c>
      <c r="R3010" s="0" t="b">
        <v>0</v>
      </c>
      <c r="S3010" s="0" t="b">
        <v>1</v>
      </c>
      <c r="T3010" s="68">
        <v>45720.7739351852</v>
      </c>
      <c r="U3010" s="68">
        <v>45737.3333333333</v>
      </c>
      <c r="V3010" s="68">
        <v>0</v>
      </c>
      <c r="W3010" s="0">
        <f>IF(IF(B3010="none",1,IF(B3010="Trialer",1,0))+IF(C3010="Customer",1,IF(C3010="Lost",1,0))=2,1,0)</f>
      </c>
      <c r="X3010" s="0" t="s">
        <v>148</v>
      </c>
      <c r="Y3010" s="0" t="s">
        <v>499</v>
      </c>
      <c r="AV3010" s="68"/>
      <c r="AW3010" s="68"/>
      <c r="AY3010" s="27"/>
      <c r="BD3010" s="68">
        <v>46054.1666666667</v>
      </c>
      <c r="BE3010" s="68">
        <v>46082.1666666667</v>
      </c>
      <c r="BF3010" s="0" t="b">
        <v>0</v>
      </c>
      <c r="BG3010" s="0" t="b">
        <v>0</v>
      </c>
      <c r="BH3010" s="0">
        <v>267</v>
      </c>
      <c r="BI3010" s="0">
        <v>267</v>
      </c>
      <c r="BJ3010" s="0" t="s">
        <v>135</v>
      </c>
    </row>
    <row r="3011">
      <c r="A3011" s="0" t="s">
        <v>3260</v>
      </c>
      <c r="B3011" s="0" t="s">
        <v>134</v>
      </c>
      <c r="C3011" s="0" t="s">
        <v>134</v>
      </c>
      <c r="D3011" s="0" t="s">
        <v>135</v>
      </c>
      <c r="E3011" s="0" t="s">
        <v>3</v>
      </c>
      <c r="F3011" s="0" t="s">
        <v>12</v>
      </c>
      <c r="G3011" s="0" t="s">
        <v>8</v>
      </c>
      <c r="H3011" s="0">
        <v>333</v>
      </c>
      <c r="I3011" s="0">
        <v>98</v>
      </c>
      <c r="J3011" s="0">
        <v>0</v>
      </c>
      <c r="K3011" s="0">
        <v>1</v>
      </c>
      <c r="L3011" s="0">
        <v>3</v>
      </c>
      <c r="M3011" s="0">
        <v>2</v>
      </c>
      <c r="N3011" s="0">
        <v>0</v>
      </c>
      <c r="O3011" s="0">
        <v>0</v>
      </c>
      <c r="P3011" s="0">
        <v>0</v>
      </c>
      <c r="R3011" s="0" t="b">
        <v>0</v>
      </c>
      <c r="S3011" s="0" t="b">
        <v>1</v>
      </c>
      <c r="T3011" s="68">
        <v>45720.9176041667</v>
      </c>
      <c r="U3011" s="68">
        <v>45734.3333333333</v>
      </c>
      <c r="V3011" s="68">
        <v>0</v>
      </c>
      <c r="W3011" s="0">
        <f>IF(IF(B3011="none",1,IF(B3011="Trialer",1,0))+IF(C3011="Customer",1,IF(C3011="Lost",1,0))=2,1,0)</f>
      </c>
      <c r="X3011" s="0" t="s">
        <v>142</v>
      </c>
      <c r="Y3011" s="0" t="s">
        <v>243</v>
      </c>
      <c r="AV3011" s="68"/>
      <c r="AW3011" s="68"/>
      <c r="AY3011" s="27"/>
      <c r="BD3011" s="68">
        <v>46054.1666666667</v>
      </c>
      <c r="BE3011" s="68">
        <v>46082.1666666667</v>
      </c>
      <c r="BF3011" s="0" t="b">
        <v>0</v>
      </c>
      <c r="BG3011" s="0" t="b">
        <v>0</v>
      </c>
      <c r="BH3011" s="0">
        <v>98</v>
      </c>
      <c r="BI3011" s="0">
        <v>98</v>
      </c>
      <c r="BJ3011" s="0" t="s">
        <v>135</v>
      </c>
    </row>
    <row r="3012">
      <c r="A3012" s="0" t="s">
        <v>3261</v>
      </c>
      <c r="B3012" s="0" t="s">
        <v>134</v>
      </c>
      <c r="C3012" s="0" t="s">
        <v>190</v>
      </c>
      <c r="D3012" s="0" t="s">
        <v>135</v>
      </c>
      <c r="E3012" s="0" t="s">
        <v>3</v>
      </c>
      <c r="F3012" s="0" t="s">
        <v>12</v>
      </c>
      <c r="G3012" s="0" t="s">
        <v>8</v>
      </c>
      <c r="H3012" s="0">
        <v>332</v>
      </c>
      <c r="I3012" s="0">
        <v>0</v>
      </c>
      <c r="J3012" s="0">
        <v>0</v>
      </c>
      <c r="K3012" s="0">
        <v>0</v>
      </c>
      <c r="L3012" s="0">
        <v>0</v>
      </c>
      <c r="M3012" s="0">
        <v>0</v>
      </c>
      <c r="N3012" s="0">
        <v>279</v>
      </c>
      <c r="O3012" s="0">
        <v>0</v>
      </c>
      <c r="P3012" s="0">
        <v>0</v>
      </c>
      <c r="R3012" s="0" t="b">
        <v>0</v>
      </c>
      <c r="S3012" s="0" t="b">
        <v>0</v>
      </c>
      <c r="T3012" s="68">
        <v>45721.5027777778</v>
      </c>
      <c r="U3012" s="68">
        <v>45733.3333333333</v>
      </c>
      <c r="V3012" s="68">
        <v>46069.7122685185</v>
      </c>
      <c r="W3012" s="0">
        <f>IF(IF(B3012="none",1,IF(B3012="Trialer",1,0))+IF(C3012="Customer",1,IF(C3012="Lost",1,0))=2,1,0)</f>
      </c>
      <c r="X3012" s="0" t="s">
        <v>136</v>
      </c>
      <c r="Y3012" s="0" t="s">
        <v>243</v>
      </c>
      <c r="AV3012" s="68"/>
      <c r="AW3012" s="68"/>
      <c r="AY3012" s="27"/>
      <c r="BD3012" s="68">
        <v>46054.1666666667</v>
      </c>
      <c r="BE3012" s="68">
        <v>46082.1666666667</v>
      </c>
      <c r="BF3012" s="0" t="b">
        <v>0</v>
      </c>
      <c r="BG3012" s="0" t="b">
        <v>0</v>
      </c>
      <c r="BH3012" s="0">
        <v>492</v>
      </c>
      <c r="BI3012" s="0">
        <v>492</v>
      </c>
      <c r="BJ3012" s="0" t="s">
        <v>135</v>
      </c>
    </row>
    <row r="3013">
      <c r="A3013" s="0" t="s">
        <v>3262</v>
      </c>
      <c r="B3013" s="0" t="s">
        <v>134</v>
      </c>
      <c r="C3013" s="0" t="s">
        <v>134</v>
      </c>
      <c r="D3013" s="0" t="s">
        <v>135</v>
      </c>
      <c r="E3013" s="0" t="s">
        <v>3</v>
      </c>
      <c r="F3013" s="0" t="s">
        <v>10</v>
      </c>
      <c r="G3013" s="0" t="s">
        <v>8</v>
      </c>
      <c r="H3013" s="0">
        <v>332</v>
      </c>
      <c r="I3013" s="0">
        <v>56</v>
      </c>
      <c r="J3013" s="0">
        <v>0</v>
      </c>
      <c r="K3013" s="0">
        <v>1</v>
      </c>
      <c r="L3013" s="0">
        <v>1</v>
      </c>
      <c r="M3013" s="0">
        <v>2</v>
      </c>
      <c r="N3013" s="0">
        <v>0</v>
      </c>
      <c r="O3013" s="0">
        <v>0</v>
      </c>
      <c r="P3013" s="0">
        <v>0</v>
      </c>
      <c r="Q3013" s="0" t="s">
        <v>618</v>
      </c>
      <c r="R3013" s="0" t="b">
        <v>0</v>
      </c>
      <c r="S3013" s="0" t="b">
        <v>1</v>
      </c>
      <c r="T3013" s="68">
        <v>45721.5522453704</v>
      </c>
      <c r="U3013" s="68">
        <v>45735.3333333333</v>
      </c>
      <c r="V3013" s="68">
        <v>0</v>
      </c>
      <c r="W3013" s="0">
        <f>IF(IF(B3013="none",1,IF(B3013="Trialer",1,0))+IF(C3013="Customer",1,IF(C3013="Lost",1,0))=2,1,0)</f>
      </c>
      <c r="X3013" s="0" t="s">
        <v>148</v>
      </c>
      <c r="Y3013" s="0" t="s">
        <v>243</v>
      </c>
      <c r="AV3013" s="68"/>
      <c r="AW3013" s="68"/>
      <c r="AY3013" s="27"/>
      <c r="BD3013" s="68">
        <v>46054.1666666667</v>
      </c>
      <c r="BE3013" s="68">
        <v>46082.1666666667</v>
      </c>
      <c r="BF3013" s="0" t="b">
        <v>0</v>
      </c>
      <c r="BG3013" s="0" t="b">
        <v>0</v>
      </c>
      <c r="BH3013" s="0">
        <v>56</v>
      </c>
      <c r="BI3013" s="0">
        <v>56</v>
      </c>
      <c r="BJ3013" s="0" t="s">
        <v>135</v>
      </c>
    </row>
    <row r="3014">
      <c r="A3014" s="0" t="s">
        <v>3263</v>
      </c>
      <c r="B3014" s="0" t="s">
        <v>134</v>
      </c>
      <c r="C3014" s="0" t="s">
        <v>134</v>
      </c>
      <c r="D3014" s="0" t="s">
        <v>230</v>
      </c>
      <c r="E3014" s="0" t="s">
        <v>3</v>
      </c>
      <c r="F3014" s="0" t="s">
        <v>12</v>
      </c>
      <c r="G3014" s="0" t="s">
        <v>8</v>
      </c>
      <c r="H3014" s="0">
        <v>332</v>
      </c>
      <c r="I3014" s="0">
        <v>145.8</v>
      </c>
      <c r="J3014" s="0">
        <v>0</v>
      </c>
      <c r="K3014" s="0">
        <v>1</v>
      </c>
      <c r="L3014" s="0">
        <v>5</v>
      </c>
      <c r="M3014" s="0">
        <v>3</v>
      </c>
      <c r="N3014" s="0">
        <v>0</v>
      </c>
      <c r="O3014" s="0">
        <v>0</v>
      </c>
      <c r="P3014" s="0">
        <v>-145.8</v>
      </c>
      <c r="R3014" s="0" t="b">
        <v>0</v>
      </c>
      <c r="S3014" s="0" t="b">
        <v>1</v>
      </c>
      <c r="T3014" s="68">
        <v>45721.60375</v>
      </c>
      <c r="U3014" s="68">
        <v>45735.3333333333</v>
      </c>
      <c r="V3014" s="68">
        <v>0</v>
      </c>
      <c r="W3014" s="0">
        <f>IF(IF(B3014="none",1,IF(B3014="Trialer",1,0))+IF(C3014="Customer",1,IF(C3014="Lost",1,0))=2,1,0)</f>
      </c>
      <c r="X3014" s="0" t="s">
        <v>153</v>
      </c>
      <c r="Y3014" s="0" t="s">
        <v>243</v>
      </c>
      <c r="AV3014" s="68"/>
      <c r="AW3014" s="68"/>
      <c r="AY3014" s="27"/>
      <c r="BD3014" s="68">
        <v>46054.1666666667</v>
      </c>
      <c r="BE3014" s="68">
        <v>46082.1666666667</v>
      </c>
      <c r="BF3014" s="0" t="b">
        <v>0</v>
      </c>
      <c r="BG3014" s="0" t="b">
        <v>0</v>
      </c>
      <c r="BH3014" s="0">
        <v>162</v>
      </c>
      <c r="BI3014" s="0">
        <v>162</v>
      </c>
      <c r="BJ3014" s="0" t="s">
        <v>230</v>
      </c>
    </row>
    <row r="3015">
      <c r="A3015" s="0" t="s">
        <v>3264</v>
      </c>
      <c r="B3015" s="0" t="s">
        <v>134</v>
      </c>
      <c r="C3015" s="0" t="s">
        <v>134</v>
      </c>
      <c r="D3015" s="0" t="s">
        <v>135</v>
      </c>
      <c r="E3015" s="0" t="s">
        <v>3</v>
      </c>
      <c r="F3015" s="0" t="s">
        <v>12</v>
      </c>
      <c r="G3015" s="0" t="s">
        <v>8</v>
      </c>
      <c r="H3015" s="0">
        <v>332</v>
      </c>
      <c r="I3015" s="0">
        <v>122</v>
      </c>
      <c r="J3015" s="0">
        <v>0</v>
      </c>
      <c r="K3015" s="0">
        <v>1</v>
      </c>
      <c r="L3015" s="0">
        <v>4</v>
      </c>
      <c r="M3015" s="0">
        <v>2</v>
      </c>
      <c r="N3015" s="0">
        <v>0</v>
      </c>
      <c r="O3015" s="0">
        <v>0</v>
      </c>
      <c r="P3015" s="0">
        <v>0</v>
      </c>
      <c r="R3015" s="0" t="b">
        <v>0</v>
      </c>
      <c r="S3015" s="0" t="b">
        <v>1</v>
      </c>
      <c r="T3015" s="68">
        <v>45721.8644097222</v>
      </c>
      <c r="U3015" s="68">
        <v>45735.3333333333</v>
      </c>
      <c r="V3015" s="68">
        <v>0</v>
      </c>
      <c r="W3015" s="0">
        <f>IF(IF(B3015="none",1,IF(B3015="Trialer",1,0))+IF(C3015="Customer",1,IF(C3015="Lost",1,0))=2,1,0)</f>
      </c>
      <c r="X3015" s="0" t="s">
        <v>166</v>
      </c>
      <c r="Y3015" s="0" t="s">
        <v>243</v>
      </c>
      <c r="AV3015" s="68"/>
      <c r="AW3015" s="68"/>
      <c r="AY3015" s="27"/>
      <c r="BD3015" s="68">
        <v>46054.1666666667</v>
      </c>
      <c r="BE3015" s="68">
        <v>46082.1666666667</v>
      </c>
      <c r="BF3015" s="0" t="b">
        <v>0</v>
      </c>
      <c r="BG3015" s="0" t="b">
        <v>0</v>
      </c>
      <c r="BH3015" s="0">
        <v>122</v>
      </c>
      <c r="BI3015" s="0">
        <v>122</v>
      </c>
      <c r="BJ3015" s="0" t="s">
        <v>135</v>
      </c>
    </row>
    <row r="3016">
      <c r="A3016" s="0" t="s">
        <v>3265</v>
      </c>
      <c r="B3016" s="0" t="s">
        <v>134</v>
      </c>
      <c r="C3016" s="0" t="s">
        <v>134</v>
      </c>
      <c r="D3016" s="0" t="s">
        <v>135</v>
      </c>
      <c r="E3016" s="0" t="s">
        <v>3</v>
      </c>
      <c r="F3016" s="0" t="s">
        <v>12</v>
      </c>
      <c r="G3016" s="0" t="s">
        <v>8</v>
      </c>
      <c r="H3016" s="0">
        <v>332</v>
      </c>
      <c r="I3016" s="0">
        <v>232</v>
      </c>
      <c r="J3016" s="0">
        <v>0</v>
      </c>
      <c r="K3016" s="0">
        <v>1</v>
      </c>
      <c r="L3016" s="0">
        <v>5</v>
      </c>
      <c r="M3016" s="0">
        <v>4</v>
      </c>
      <c r="N3016" s="0">
        <v>0</v>
      </c>
      <c r="O3016" s="0">
        <v>0</v>
      </c>
      <c r="P3016" s="0">
        <v>0</v>
      </c>
      <c r="R3016" s="0" t="b">
        <v>0</v>
      </c>
      <c r="S3016" s="0" t="b">
        <v>1</v>
      </c>
      <c r="T3016" s="68">
        <v>45721.9172569444</v>
      </c>
      <c r="U3016" s="68">
        <v>45735.3333333333</v>
      </c>
      <c r="V3016" s="68">
        <v>0</v>
      </c>
      <c r="W3016" s="0">
        <f>IF(IF(B3016="none",1,IF(B3016="Trialer",1,0))+IF(C3016="Customer",1,IF(C3016="Lost",1,0))=2,1,0)</f>
      </c>
      <c r="X3016" s="0" t="s">
        <v>136</v>
      </c>
      <c r="Y3016" s="0" t="s">
        <v>243</v>
      </c>
      <c r="AV3016" s="68"/>
      <c r="AW3016" s="68"/>
      <c r="AY3016" s="27"/>
      <c r="BD3016" s="68">
        <v>46054.1666666667</v>
      </c>
      <c r="BE3016" s="68">
        <v>46082.1666666667</v>
      </c>
      <c r="BF3016" s="0" t="b">
        <v>0</v>
      </c>
      <c r="BG3016" s="0" t="b">
        <v>0</v>
      </c>
      <c r="BH3016" s="0">
        <v>232</v>
      </c>
      <c r="BI3016" s="0">
        <v>232</v>
      </c>
      <c r="BJ3016" s="0" t="s">
        <v>135</v>
      </c>
    </row>
    <row r="3017">
      <c r="A3017" s="0" t="s">
        <v>3266</v>
      </c>
      <c r="B3017" s="0" t="s">
        <v>134</v>
      </c>
      <c r="C3017" s="0" t="s">
        <v>134</v>
      </c>
      <c r="D3017" s="0" t="s">
        <v>135</v>
      </c>
      <c r="E3017" s="0" t="s">
        <v>3</v>
      </c>
      <c r="F3017" s="0" t="s">
        <v>12</v>
      </c>
      <c r="G3017" s="0" t="s">
        <v>8</v>
      </c>
      <c r="H3017" s="0">
        <v>331</v>
      </c>
      <c r="I3017" s="0">
        <v>40</v>
      </c>
      <c r="J3017" s="0">
        <v>0</v>
      </c>
      <c r="K3017" s="0">
        <v>1</v>
      </c>
      <c r="L3017" s="0">
        <v>2</v>
      </c>
      <c r="M3017" s="0">
        <v>1</v>
      </c>
      <c r="N3017" s="0">
        <v>0</v>
      </c>
      <c r="O3017" s="0">
        <v>0</v>
      </c>
      <c r="P3017" s="0">
        <v>0</v>
      </c>
      <c r="R3017" s="0" t="b">
        <v>0</v>
      </c>
      <c r="S3017" s="0" t="b">
        <v>1</v>
      </c>
      <c r="T3017" s="68">
        <v>45722.0729976852</v>
      </c>
      <c r="U3017" s="68">
        <v>45722.2916666667</v>
      </c>
      <c r="V3017" s="68">
        <v>0</v>
      </c>
      <c r="W3017" s="0">
        <f>IF(IF(B3017="none",1,IF(B3017="Trialer",1,0))+IF(C3017="Customer",1,IF(C3017="Lost",1,0))=2,1,0)</f>
      </c>
      <c r="X3017" s="0" t="s">
        <v>142</v>
      </c>
      <c r="Y3017" s="0" t="s">
        <v>243</v>
      </c>
      <c r="AV3017" s="68"/>
      <c r="AW3017" s="68"/>
      <c r="AY3017" s="27"/>
      <c r="BD3017" s="68">
        <v>46054.1666666667</v>
      </c>
      <c r="BE3017" s="68">
        <v>46082.1666666667</v>
      </c>
      <c r="BF3017" s="0" t="b">
        <v>0</v>
      </c>
      <c r="BG3017" s="0" t="b">
        <v>0</v>
      </c>
      <c r="BH3017" s="0">
        <v>40</v>
      </c>
      <c r="BI3017" s="0">
        <v>40</v>
      </c>
      <c r="BJ3017" s="0" t="s">
        <v>135</v>
      </c>
    </row>
    <row r="3018">
      <c r="A3018" s="0" t="s">
        <v>3267</v>
      </c>
      <c r="B3018" s="0" t="s">
        <v>134</v>
      </c>
      <c r="C3018" s="0" t="s">
        <v>134</v>
      </c>
      <c r="D3018" s="0" t="s">
        <v>135</v>
      </c>
      <c r="E3018" s="0" t="s">
        <v>2</v>
      </c>
      <c r="F3018" s="0" t="s">
        <v>12</v>
      </c>
      <c r="G3018" s="0" t="s">
        <v>8</v>
      </c>
      <c r="H3018" s="0">
        <v>331</v>
      </c>
      <c r="I3018" s="0">
        <v>393</v>
      </c>
      <c r="J3018" s="0">
        <v>0</v>
      </c>
      <c r="K3018" s="0">
        <v>1</v>
      </c>
      <c r="L3018" s="0">
        <v>6</v>
      </c>
      <c r="M3018" s="0">
        <v>6</v>
      </c>
      <c r="N3018" s="0">
        <v>0</v>
      </c>
      <c r="O3018" s="0">
        <v>0</v>
      </c>
      <c r="P3018" s="0">
        <v>0</v>
      </c>
      <c r="R3018" s="0" t="b">
        <v>0</v>
      </c>
      <c r="S3018" s="0" t="b">
        <v>1</v>
      </c>
      <c r="T3018" s="68">
        <v>45722.4931597222</v>
      </c>
      <c r="U3018" s="68">
        <v>45737.3333333333</v>
      </c>
      <c r="V3018" s="68">
        <v>0</v>
      </c>
      <c r="W3018" s="0">
        <f>IF(IF(B3018="none",1,IF(B3018="Trialer",1,0))+IF(C3018="Customer",1,IF(C3018="Lost",1,0))=2,1,0)</f>
      </c>
      <c r="X3018" s="0" t="s">
        <v>136</v>
      </c>
      <c r="Y3018" s="0" t="s">
        <v>499</v>
      </c>
      <c r="AV3018" s="68"/>
      <c r="AW3018" s="68"/>
      <c r="AY3018" s="27"/>
      <c r="BD3018" s="68">
        <v>46054.1666666667</v>
      </c>
      <c r="BE3018" s="68">
        <v>46082.1666666667</v>
      </c>
      <c r="BF3018" s="0" t="b">
        <v>0</v>
      </c>
      <c r="BG3018" s="0" t="b">
        <v>0</v>
      </c>
      <c r="BH3018" s="0">
        <v>393</v>
      </c>
      <c r="BI3018" s="0">
        <v>393</v>
      </c>
      <c r="BJ3018" s="0" t="s">
        <v>135</v>
      </c>
    </row>
    <row r="3019">
      <c r="A3019" s="0" t="s">
        <v>3268</v>
      </c>
      <c r="B3019" s="0" t="s">
        <v>134</v>
      </c>
      <c r="C3019" s="0" t="s">
        <v>134</v>
      </c>
      <c r="D3019" s="0" t="s">
        <v>135</v>
      </c>
      <c r="E3019" s="0" t="s">
        <v>3</v>
      </c>
      <c r="F3019" s="0" t="s">
        <v>12</v>
      </c>
      <c r="G3019" s="0" t="s">
        <v>8</v>
      </c>
      <c r="H3019" s="0">
        <v>331</v>
      </c>
      <c r="I3019" s="0">
        <v>147</v>
      </c>
      <c r="J3019" s="0">
        <v>0</v>
      </c>
      <c r="K3019" s="0">
        <v>1</v>
      </c>
      <c r="L3019" s="0">
        <v>3</v>
      </c>
      <c r="M3019" s="0">
        <v>3</v>
      </c>
      <c r="N3019" s="0">
        <v>0</v>
      </c>
      <c r="O3019" s="0">
        <v>0</v>
      </c>
      <c r="P3019" s="0">
        <v>0</v>
      </c>
      <c r="R3019" s="0" t="b">
        <v>0</v>
      </c>
      <c r="S3019" s="0" t="b">
        <v>1</v>
      </c>
      <c r="T3019" s="68">
        <v>45722.7729166667</v>
      </c>
      <c r="U3019" s="68">
        <v>45761.3333333333</v>
      </c>
      <c r="V3019" s="68">
        <v>0</v>
      </c>
      <c r="W3019" s="0">
        <f>IF(IF(B3019="none",1,IF(B3019="Trialer",1,0))+IF(C3019="Customer",1,IF(C3019="Lost",1,0))=2,1,0)</f>
      </c>
      <c r="X3019" s="0" t="s">
        <v>166</v>
      </c>
      <c r="Y3019" s="0" t="s">
        <v>243</v>
      </c>
      <c r="AV3019" s="68"/>
      <c r="AW3019" s="68"/>
      <c r="AY3019" s="27"/>
      <c r="BD3019" s="68">
        <v>46054.1666666667</v>
      </c>
      <c r="BE3019" s="68">
        <v>46082.1666666667</v>
      </c>
      <c r="BF3019" s="0" t="b">
        <v>0</v>
      </c>
      <c r="BG3019" s="0" t="b">
        <v>0</v>
      </c>
      <c r="BH3019" s="0">
        <v>147</v>
      </c>
      <c r="BI3019" s="0">
        <v>147</v>
      </c>
      <c r="BJ3019" s="0" t="s">
        <v>230</v>
      </c>
    </row>
    <row r="3020">
      <c r="A3020" s="0" t="s">
        <v>3269</v>
      </c>
      <c r="B3020" s="0" t="s">
        <v>134</v>
      </c>
      <c r="C3020" s="0" t="s">
        <v>134</v>
      </c>
      <c r="D3020" s="0" t="s">
        <v>135</v>
      </c>
      <c r="E3020" s="0" t="s">
        <v>2</v>
      </c>
      <c r="F3020" s="0" t="s">
        <v>12</v>
      </c>
      <c r="G3020" s="0" t="s">
        <v>8</v>
      </c>
      <c r="H3020" s="0">
        <v>331</v>
      </c>
      <c r="I3020" s="0">
        <v>122</v>
      </c>
      <c r="J3020" s="0">
        <v>0</v>
      </c>
      <c r="K3020" s="0">
        <v>1</v>
      </c>
      <c r="L3020" s="0">
        <v>4</v>
      </c>
      <c r="M3020" s="0">
        <v>2</v>
      </c>
      <c r="N3020" s="0">
        <v>0</v>
      </c>
      <c r="O3020" s="0">
        <v>0</v>
      </c>
      <c r="P3020" s="0">
        <v>0</v>
      </c>
      <c r="R3020" s="0" t="b">
        <v>0</v>
      </c>
      <c r="S3020" s="0" t="b">
        <v>1</v>
      </c>
      <c r="T3020" s="68">
        <v>45722.8490972222</v>
      </c>
      <c r="U3020" s="68">
        <v>45758.3333333333</v>
      </c>
      <c r="V3020" s="68">
        <v>0</v>
      </c>
      <c r="W3020" s="0">
        <f>IF(IF(B3020="none",1,IF(B3020="Trialer",1,0))+IF(C3020="Customer",1,IF(C3020="Lost",1,0))=2,1,0)</f>
      </c>
      <c r="X3020" s="0" t="s">
        <v>153</v>
      </c>
      <c r="Y3020" s="0" t="s">
        <v>499</v>
      </c>
      <c r="AV3020" s="68"/>
      <c r="AW3020" s="68"/>
      <c r="AY3020" s="27"/>
      <c r="BD3020" s="68">
        <v>46054.1666666667</v>
      </c>
      <c r="BE3020" s="68">
        <v>46082.1666666667</v>
      </c>
      <c r="BF3020" s="0" t="b">
        <v>0</v>
      </c>
      <c r="BG3020" s="0" t="b">
        <v>0</v>
      </c>
      <c r="BH3020" s="0">
        <v>122</v>
      </c>
      <c r="BI3020" s="0">
        <v>122</v>
      </c>
      <c r="BJ3020" s="0" t="s">
        <v>135</v>
      </c>
    </row>
    <row r="3021">
      <c r="A3021" s="0" t="s">
        <v>3270</v>
      </c>
      <c r="B3021" s="0" t="s">
        <v>134</v>
      </c>
      <c r="C3021" s="0" t="s">
        <v>134</v>
      </c>
      <c r="D3021" s="0" t="s">
        <v>230</v>
      </c>
      <c r="E3021" s="0" t="s">
        <v>2</v>
      </c>
      <c r="F3021" s="0" t="s">
        <v>12</v>
      </c>
      <c r="G3021" s="0" t="s">
        <v>8</v>
      </c>
      <c r="H3021" s="0">
        <v>330</v>
      </c>
      <c r="I3021" s="0">
        <v>122.4</v>
      </c>
      <c r="J3021" s="0">
        <v>0</v>
      </c>
      <c r="K3021" s="0">
        <v>1</v>
      </c>
      <c r="L3021" s="0">
        <v>3</v>
      </c>
      <c r="M3021" s="0">
        <v>4</v>
      </c>
      <c r="N3021" s="0">
        <v>0</v>
      </c>
      <c r="O3021" s="0">
        <v>0</v>
      </c>
      <c r="P3021" s="0">
        <v>-122.4</v>
      </c>
      <c r="R3021" s="0" t="b">
        <v>0</v>
      </c>
      <c r="S3021" s="0" t="b">
        <v>1</v>
      </c>
      <c r="T3021" s="68">
        <v>45723.0990972222</v>
      </c>
      <c r="U3021" s="68">
        <v>45733.3333333333</v>
      </c>
      <c r="V3021" s="68">
        <v>0</v>
      </c>
      <c r="W3021" s="0">
        <f>IF(IF(B3021="none",1,IF(B3021="Trialer",1,0))+IF(C3021="Customer",1,IF(C3021="Lost",1,0))=2,1,0)</f>
      </c>
      <c r="X3021" s="0" t="s">
        <v>136</v>
      </c>
      <c r="Y3021" s="0" t="s">
        <v>499</v>
      </c>
      <c r="AV3021" s="68"/>
      <c r="AW3021" s="68"/>
      <c r="AY3021" s="27"/>
      <c r="BD3021" s="68">
        <v>46054.1666666667</v>
      </c>
      <c r="BE3021" s="68">
        <v>46082.1666666667</v>
      </c>
      <c r="BF3021" s="0" t="b">
        <v>0</v>
      </c>
      <c r="BG3021" s="0" t="b">
        <v>0</v>
      </c>
      <c r="BH3021" s="0">
        <v>136</v>
      </c>
      <c r="BI3021" s="0">
        <v>136</v>
      </c>
      <c r="BJ3021" s="0" t="s">
        <v>230</v>
      </c>
    </row>
    <row r="3022">
      <c r="A3022" s="0" t="s">
        <v>3271</v>
      </c>
      <c r="B3022" s="0" t="s">
        <v>134</v>
      </c>
      <c r="C3022" s="0" t="s">
        <v>134</v>
      </c>
      <c r="D3022" s="0" t="s">
        <v>230</v>
      </c>
      <c r="E3022" s="0" t="s">
        <v>2</v>
      </c>
      <c r="F3022" s="0" t="s">
        <v>10</v>
      </c>
      <c r="G3022" s="0" t="s">
        <v>8</v>
      </c>
      <c r="H3022" s="0">
        <v>330</v>
      </c>
      <c r="I3022" s="0">
        <v>1188</v>
      </c>
      <c r="J3022" s="0">
        <v>0</v>
      </c>
      <c r="K3022" s="0">
        <v>1</v>
      </c>
      <c r="L3022" s="0">
        <v>3</v>
      </c>
      <c r="M3022" s="0">
        <v>27</v>
      </c>
      <c r="N3022" s="0">
        <v>0</v>
      </c>
      <c r="O3022" s="0">
        <v>0</v>
      </c>
      <c r="P3022" s="0">
        <v>-1188</v>
      </c>
      <c r="Q3022" s="0" t="s">
        <v>2918</v>
      </c>
      <c r="R3022" s="0" t="b">
        <v>0</v>
      </c>
      <c r="S3022" s="0" t="b">
        <v>1</v>
      </c>
      <c r="T3022" s="68">
        <v>45723.5732060185</v>
      </c>
      <c r="U3022" s="68">
        <v>45723.2916666667</v>
      </c>
      <c r="V3022" s="68">
        <v>0</v>
      </c>
      <c r="W3022" s="0">
        <f>IF(IF(B3022="none",1,IF(B3022="Trialer",1,0))+IF(C3022="Customer",1,IF(C3022="Lost",1,0))=2,1,0)</f>
      </c>
      <c r="X3022" s="0" t="s">
        <v>148</v>
      </c>
      <c r="Y3022" s="0" t="s">
        <v>499</v>
      </c>
      <c r="AV3022" s="68"/>
      <c r="AW3022" s="68"/>
      <c r="AY3022" s="27"/>
      <c r="BD3022" s="68">
        <v>46054.1666666667</v>
      </c>
      <c r="BE3022" s="68">
        <v>46082.1666666667</v>
      </c>
      <c r="BF3022" s="0" t="b">
        <v>0</v>
      </c>
      <c r="BG3022" s="0" t="b">
        <v>0</v>
      </c>
      <c r="BH3022" s="0">
        <v>931</v>
      </c>
      <c r="BI3022" s="0">
        <v>931</v>
      </c>
      <c r="BJ3022" s="0" t="s">
        <v>230</v>
      </c>
    </row>
    <row r="3023">
      <c r="A3023" s="0" t="s">
        <v>3272</v>
      </c>
      <c r="B3023" s="0" t="s">
        <v>134</v>
      </c>
      <c r="C3023" s="0" t="s">
        <v>134</v>
      </c>
      <c r="D3023" s="0" t="s">
        <v>230</v>
      </c>
      <c r="E3023" s="0" t="s">
        <v>3</v>
      </c>
      <c r="F3023" s="0" t="s">
        <v>12</v>
      </c>
      <c r="G3023" s="0" t="s">
        <v>8</v>
      </c>
      <c r="H3023" s="0">
        <v>330</v>
      </c>
      <c r="I3023" s="0">
        <v>208.65</v>
      </c>
      <c r="J3023" s="0">
        <v>0</v>
      </c>
      <c r="K3023" s="0">
        <v>1</v>
      </c>
      <c r="L3023" s="0">
        <v>4</v>
      </c>
      <c r="M3023" s="0">
        <v>5</v>
      </c>
      <c r="N3023" s="0">
        <v>0</v>
      </c>
      <c r="O3023" s="0">
        <v>0</v>
      </c>
      <c r="P3023" s="0">
        <v>-208.65</v>
      </c>
      <c r="R3023" s="0" t="b">
        <v>0</v>
      </c>
      <c r="S3023" s="0" t="b">
        <v>1</v>
      </c>
      <c r="T3023" s="68">
        <v>45723.7419560185</v>
      </c>
      <c r="U3023" s="68">
        <v>45749.3333333333</v>
      </c>
      <c r="V3023" s="68">
        <v>0</v>
      </c>
      <c r="W3023" s="0">
        <f>IF(IF(B3023="none",1,IF(B3023="Trialer",1,0))+IF(C3023="Customer",1,IF(C3023="Lost",1,0))=2,1,0)</f>
      </c>
      <c r="X3023" s="0" t="s">
        <v>136</v>
      </c>
      <c r="Y3023" s="0" t="s">
        <v>243</v>
      </c>
      <c r="AV3023" s="68"/>
      <c r="AW3023" s="68"/>
      <c r="AY3023" s="27"/>
      <c r="BD3023" s="68">
        <v>46054.1666666667</v>
      </c>
      <c r="BE3023" s="68">
        <v>46082.1666666667</v>
      </c>
      <c r="BF3023" s="0" t="b">
        <v>0</v>
      </c>
      <c r="BG3023" s="0" t="b">
        <v>0</v>
      </c>
      <c r="BH3023" s="0">
        <v>239</v>
      </c>
      <c r="BI3023" s="0">
        <v>239</v>
      </c>
      <c r="BJ3023" s="0" t="s">
        <v>230</v>
      </c>
    </row>
    <row r="3024">
      <c r="A3024" s="0" t="s">
        <v>3273</v>
      </c>
      <c r="B3024" s="0" t="s">
        <v>134</v>
      </c>
      <c r="C3024" s="0" t="s">
        <v>134</v>
      </c>
      <c r="D3024" s="0" t="s">
        <v>230</v>
      </c>
      <c r="E3024" s="0" t="s">
        <v>2</v>
      </c>
      <c r="F3024" s="0" t="s">
        <v>12</v>
      </c>
      <c r="G3024" s="0" t="s">
        <v>8</v>
      </c>
      <c r="H3024" s="0">
        <v>327</v>
      </c>
      <c r="I3024" s="0">
        <v>64</v>
      </c>
      <c r="J3024" s="0">
        <v>0</v>
      </c>
      <c r="K3024" s="0">
        <v>1</v>
      </c>
      <c r="L3024" s="0">
        <v>5</v>
      </c>
      <c r="M3024" s="0">
        <v>1</v>
      </c>
      <c r="N3024" s="0">
        <v>0</v>
      </c>
      <c r="O3024" s="0">
        <v>0</v>
      </c>
      <c r="P3024" s="0">
        <v>-64</v>
      </c>
      <c r="R3024" s="0" t="b">
        <v>0</v>
      </c>
      <c r="S3024" s="0" t="b">
        <v>1</v>
      </c>
      <c r="T3024" s="68">
        <v>45726.4041666667</v>
      </c>
      <c r="U3024" s="68">
        <v>45724.5666666667</v>
      </c>
      <c r="V3024" s="68">
        <v>0</v>
      </c>
      <c r="W3024" s="0">
        <f>IF(IF(B3024="none",1,IF(B3024="Trialer",1,0))+IF(C3024="Customer",1,IF(C3024="Lost",1,0))=2,1,0)</f>
      </c>
      <c r="X3024" s="0" t="s">
        <v>166</v>
      </c>
      <c r="Y3024" s="0" t="s">
        <v>499</v>
      </c>
      <c r="AV3024" s="68"/>
      <c r="AW3024" s="68"/>
      <c r="AY3024" s="27"/>
      <c r="BD3024" s="68">
        <v>46054.1666666667</v>
      </c>
      <c r="BE3024" s="68">
        <v>46082.1666666667</v>
      </c>
      <c r="BF3024" s="0" t="b">
        <v>0</v>
      </c>
      <c r="BG3024" s="0" t="b">
        <v>0</v>
      </c>
      <c r="BH3024" s="0">
        <v>73</v>
      </c>
      <c r="BI3024" s="0">
        <v>73</v>
      </c>
      <c r="BJ3024" s="0" t="s">
        <v>230</v>
      </c>
    </row>
    <row r="3025">
      <c r="A3025" s="0" t="s">
        <v>3274</v>
      </c>
      <c r="B3025" s="0" t="s">
        <v>134</v>
      </c>
      <c r="C3025" s="0" t="s">
        <v>134</v>
      </c>
      <c r="D3025" s="0" t="s">
        <v>230</v>
      </c>
      <c r="E3025" s="0" t="s">
        <v>3</v>
      </c>
      <c r="F3025" s="0" t="s">
        <v>12</v>
      </c>
      <c r="G3025" s="0" t="s">
        <v>8</v>
      </c>
      <c r="H3025" s="0">
        <v>327</v>
      </c>
      <c r="I3025" s="0">
        <v>131.4</v>
      </c>
      <c r="J3025" s="0">
        <v>0</v>
      </c>
      <c r="K3025" s="0">
        <v>1</v>
      </c>
      <c r="L3025" s="0">
        <v>5</v>
      </c>
      <c r="M3025" s="0">
        <v>2</v>
      </c>
      <c r="N3025" s="0">
        <v>0</v>
      </c>
      <c r="O3025" s="0">
        <v>0</v>
      </c>
      <c r="P3025" s="0">
        <v>-131.4</v>
      </c>
      <c r="R3025" s="0" t="b">
        <v>0</v>
      </c>
      <c r="S3025" s="0" t="b">
        <v>1</v>
      </c>
      <c r="T3025" s="68">
        <v>45726.5666666667</v>
      </c>
      <c r="U3025" s="68">
        <v>45740.3333333333</v>
      </c>
      <c r="V3025" s="68">
        <v>0</v>
      </c>
      <c r="W3025" s="0">
        <f>IF(IF(B3025="none",1,IF(B3025="Trialer",1,0))+IF(C3025="Customer",1,IF(C3025="Lost",1,0))=2,1,0)</f>
      </c>
      <c r="X3025" s="0" t="s">
        <v>1461</v>
      </c>
      <c r="Y3025" s="0" t="s">
        <v>243</v>
      </c>
      <c r="AV3025" s="68"/>
      <c r="AW3025" s="68"/>
      <c r="AY3025" s="27"/>
      <c r="BD3025" s="68">
        <v>46054.1666666667</v>
      </c>
      <c r="BE3025" s="68">
        <v>46082.1666666667</v>
      </c>
      <c r="BF3025" s="0" t="b">
        <v>0</v>
      </c>
      <c r="BG3025" s="0" t="b">
        <v>0</v>
      </c>
      <c r="BH3025" s="0">
        <v>146</v>
      </c>
      <c r="BI3025" s="0">
        <v>146</v>
      </c>
      <c r="BJ3025" s="0" t="s">
        <v>230</v>
      </c>
    </row>
    <row r="3026">
      <c r="A3026" s="0" t="s">
        <v>3275</v>
      </c>
      <c r="B3026" s="0" t="s">
        <v>134</v>
      </c>
      <c r="C3026" s="0" t="s">
        <v>134</v>
      </c>
      <c r="D3026" s="0" t="s">
        <v>135</v>
      </c>
      <c r="E3026" s="0" t="s">
        <v>3</v>
      </c>
      <c r="F3026" s="0" t="s">
        <v>12</v>
      </c>
      <c r="G3026" s="0" t="s">
        <v>8</v>
      </c>
      <c r="H3026" s="0">
        <v>327</v>
      </c>
      <c r="I3026" s="0">
        <v>790</v>
      </c>
      <c r="J3026" s="0">
        <v>0</v>
      </c>
      <c r="K3026" s="0">
        <v>1</v>
      </c>
      <c r="L3026" s="0">
        <v>4</v>
      </c>
      <c r="M3026" s="0">
        <v>9</v>
      </c>
      <c r="N3026" s="0">
        <v>1674</v>
      </c>
      <c r="O3026" s="0">
        <v>0</v>
      </c>
      <c r="P3026" s="0">
        <v>0</v>
      </c>
      <c r="R3026" s="0" t="b">
        <v>0</v>
      </c>
      <c r="S3026" s="0" t="b">
        <v>1</v>
      </c>
      <c r="T3026" s="68">
        <v>45726.5727662037</v>
      </c>
      <c r="U3026" s="68">
        <v>45741.3333333333</v>
      </c>
      <c r="V3026" s="68">
        <v>0</v>
      </c>
      <c r="W3026" s="0">
        <f>IF(IF(B3026="none",1,IF(B3026="Trialer",1,0))+IF(C3026="Customer",1,IF(C3026="Lost",1,0))=2,1,0)</f>
      </c>
      <c r="X3026" s="0" t="s">
        <v>145</v>
      </c>
      <c r="Y3026" s="0" t="s">
        <v>243</v>
      </c>
      <c r="AV3026" s="68"/>
      <c r="AW3026" s="68"/>
      <c r="AY3026" s="27"/>
      <c r="BD3026" s="68">
        <v>46054.1666666667</v>
      </c>
      <c r="BE3026" s="68">
        <v>46082.1666666667</v>
      </c>
      <c r="BF3026" s="0" t="b">
        <v>0</v>
      </c>
      <c r="BG3026" s="0" t="b">
        <v>0</v>
      </c>
      <c r="BH3026" s="0">
        <v>526</v>
      </c>
      <c r="BI3026" s="0">
        <v>526</v>
      </c>
      <c r="BJ3026" s="0" t="s">
        <v>135</v>
      </c>
    </row>
    <row r="3027">
      <c r="A3027" s="0" t="s">
        <v>3276</v>
      </c>
      <c r="B3027" s="0" t="s">
        <v>134</v>
      </c>
      <c r="C3027" s="0" t="s">
        <v>134</v>
      </c>
      <c r="D3027" s="0" t="s">
        <v>135</v>
      </c>
      <c r="E3027" s="0" t="s">
        <v>2</v>
      </c>
      <c r="F3027" s="0" t="s">
        <v>12</v>
      </c>
      <c r="G3027" s="0" t="s">
        <v>8</v>
      </c>
      <c r="H3027" s="0">
        <v>327</v>
      </c>
      <c r="I3027" s="0">
        <v>49</v>
      </c>
      <c r="J3027" s="0">
        <v>0</v>
      </c>
      <c r="K3027" s="0">
        <v>1</v>
      </c>
      <c r="L3027" s="0">
        <v>3</v>
      </c>
      <c r="M3027" s="0">
        <v>1</v>
      </c>
      <c r="N3027" s="0">
        <v>0</v>
      </c>
      <c r="O3027" s="0">
        <v>0</v>
      </c>
      <c r="P3027" s="0">
        <v>0</v>
      </c>
      <c r="R3027" s="0" t="b">
        <v>0</v>
      </c>
      <c r="S3027" s="0" t="b">
        <v>1</v>
      </c>
      <c r="T3027" s="68">
        <v>45726.6183912037</v>
      </c>
      <c r="U3027" s="68">
        <v>45740.3333333333</v>
      </c>
      <c r="V3027" s="68">
        <v>0</v>
      </c>
      <c r="W3027" s="0">
        <f>IF(IF(B3027="none",1,IF(B3027="Trialer",1,0))+IF(C3027="Customer",1,IF(C3027="Lost",1,0))=2,1,0)</f>
      </c>
      <c r="X3027" s="0" t="s">
        <v>142</v>
      </c>
      <c r="Y3027" s="0" t="s">
        <v>499</v>
      </c>
      <c r="AV3027" s="68"/>
      <c r="AW3027" s="68"/>
      <c r="AY3027" s="27"/>
      <c r="BD3027" s="68">
        <v>46054.1666666667</v>
      </c>
      <c r="BE3027" s="68">
        <v>46082.1666666667</v>
      </c>
      <c r="BF3027" s="0" t="b">
        <v>0</v>
      </c>
      <c r="BG3027" s="0" t="b">
        <v>0</v>
      </c>
      <c r="BH3027" s="0">
        <v>49</v>
      </c>
      <c r="BI3027" s="0">
        <v>49</v>
      </c>
      <c r="BJ3027" s="0" t="s">
        <v>135</v>
      </c>
    </row>
    <row r="3028">
      <c r="A3028" s="0" t="s">
        <v>3277</v>
      </c>
      <c r="B3028" s="0" t="s">
        <v>134</v>
      </c>
      <c r="C3028" s="0" t="s">
        <v>134</v>
      </c>
      <c r="D3028" s="0" t="s">
        <v>135</v>
      </c>
      <c r="E3028" s="0" t="s">
        <v>3</v>
      </c>
      <c r="F3028" s="0" t="s">
        <v>12</v>
      </c>
      <c r="G3028" s="0" t="s">
        <v>8</v>
      </c>
      <c r="H3028" s="0">
        <v>327</v>
      </c>
      <c r="I3028" s="0">
        <v>73</v>
      </c>
      <c r="J3028" s="0">
        <v>0</v>
      </c>
      <c r="K3028" s="0">
        <v>1</v>
      </c>
      <c r="L3028" s="0">
        <v>5</v>
      </c>
      <c r="M3028" s="0">
        <v>1</v>
      </c>
      <c r="N3028" s="0">
        <v>0</v>
      </c>
      <c r="O3028" s="0">
        <v>0</v>
      </c>
      <c r="P3028" s="0">
        <v>0</v>
      </c>
      <c r="R3028" s="0" t="b">
        <v>0</v>
      </c>
      <c r="S3028" s="0" t="b">
        <v>1</v>
      </c>
      <c r="T3028" s="68">
        <v>45726.8117939815</v>
      </c>
      <c r="U3028" s="68">
        <v>45740.3333333333</v>
      </c>
      <c r="V3028" s="68">
        <v>0</v>
      </c>
      <c r="W3028" s="0">
        <f>IF(IF(B3028="none",1,IF(B3028="Trialer",1,0))+IF(C3028="Customer",1,IF(C3028="Lost",1,0))=2,1,0)</f>
      </c>
      <c r="X3028" s="0" t="s">
        <v>166</v>
      </c>
      <c r="Y3028" s="0" t="s">
        <v>243</v>
      </c>
      <c r="AV3028" s="68"/>
      <c r="AW3028" s="68"/>
      <c r="AY3028" s="27"/>
      <c r="BD3028" s="68">
        <v>46054.1666666667</v>
      </c>
      <c r="BE3028" s="68">
        <v>46082.1666666667</v>
      </c>
      <c r="BF3028" s="0" t="b">
        <v>0</v>
      </c>
      <c r="BG3028" s="0" t="b">
        <v>0</v>
      </c>
      <c r="BH3028" s="0">
        <v>73</v>
      </c>
      <c r="BI3028" s="0">
        <v>73</v>
      </c>
      <c r="BJ3028" s="0" t="s">
        <v>135</v>
      </c>
    </row>
    <row r="3029">
      <c r="A3029" s="0" t="s">
        <v>3278</v>
      </c>
      <c r="B3029" s="0" t="s">
        <v>134</v>
      </c>
      <c r="C3029" s="0" t="s">
        <v>134</v>
      </c>
      <c r="D3029" s="0" t="s">
        <v>135</v>
      </c>
      <c r="E3029" s="0" t="s">
        <v>3</v>
      </c>
      <c r="F3029" s="0" t="s">
        <v>12</v>
      </c>
      <c r="G3029" s="0" t="s">
        <v>8</v>
      </c>
      <c r="H3029" s="0">
        <v>326</v>
      </c>
      <c r="I3029" s="0">
        <v>867</v>
      </c>
      <c r="J3029" s="0">
        <v>0</v>
      </c>
      <c r="K3029" s="0">
        <v>1</v>
      </c>
      <c r="L3029" s="0">
        <v>4</v>
      </c>
      <c r="M3029" s="0">
        <v>11</v>
      </c>
      <c r="N3029" s="0">
        <v>0</v>
      </c>
      <c r="O3029" s="0">
        <v>0</v>
      </c>
      <c r="P3029" s="0">
        <v>0</v>
      </c>
      <c r="R3029" s="0" t="b">
        <v>0</v>
      </c>
      <c r="S3029" s="0" t="b">
        <v>1</v>
      </c>
      <c r="T3029" s="68">
        <v>45727.0028819444</v>
      </c>
      <c r="U3029" s="68">
        <v>45728.3333333333</v>
      </c>
      <c r="V3029" s="68">
        <v>0</v>
      </c>
      <c r="W3029" s="0">
        <f>IF(IF(B3029="none",1,IF(B3029="Trialer",1,0))+IF(C3029="Customer",1,IF(C3029="Lost",1,0))=2,1,0)</f>
      </c>
      <c r="X3029" s="0" t="s">
        <v>145</v>
      </c>
      <c r="Y3029" s="0" t="s">
        <v>243</v>
      </c>
      <c r="AV3029" s="68"/>
      <c r="AW3029" s="68"/>
      <c r="AY3029" s="27"/>
      <c r="BD3029" s="68">
        <v>46054.1666666667</v>
      </c>
      <c r="BE3029" s="68">
        <v>46082.1666666667</v>
      </c>
      <c r="BF3029" s="0" t="b">
        <v>0</v>
      </c>
      <c r="BG3029" s="0" t="b">
        <v>0</v>
      </c>
      <c r="BH3029" s="0">
        <v>561</v>
      </c>
      <c r="BI3029" s="0">
        <v>561</v>
      </c>
      <c r="BJ3029" s="0" t="s">
        <v>135</v>
      </c>
    </row>
    <row r="3030">
      <c r="A3030" s="0" t="s">
        <v>3279</v>
      </c>
      <c r="B3030" s="0" t="s">
        <v>134</v>
      </c>
      <c r="C3030" s="0" t="s">
        <v>134</v>
      </c>
      <c r="D3030" s="0" t="s">
        <v>135</v>
      </c>
      <c r="E3030" s="0" t="s">
        <v>3</v>
      </c>
      <c r="F3030" s="0" t="s">
        <v>12</v>
      </c>
      <c r="G3030" s="0" t="s">
        <v>8</v>
      </c>
      <c r="H3030" s="0">
        <v>326</v>
      </c>
      <c r="I3030" s="0">
        <v>28</v>
      </c>
      <c r="J3030" s="0">
        <v>0</v>
      </c>
      <c r="K3030" s="0">
        <v>1</v>
      </c>
      <c r="L3030" s="0">
        <v>1</v>
      </c>
      <c r="M3030" s="0">
        <v>1</v>
      </c>
      <c r="N3030" s="0">
        <v>0</v>
      </c>
      <c r="O3030" s="0">
        <v>0</v>
      </c>
      <c r="P3030" s="0">
        <v>0</v>
      </c>
      <c r="R3030" s="0" t="b">
        <v>0</v>
      </c>
      <c r="S3030" s="0" t="b">
        <v>1</v>
      </c>
      <c r="T3030" s="68">
        <v>45727.6472569444</v>
      </c>
      <c r="U3030" s="68">
        <v>45743.3333333333</v>
      </c>
      <c r="V3030" s="68">
        <v>0</v>
      </c>
      <c r="W3030" s="0">
        <f>IF(IF(B3030="none",1,IF(B3030="Trialer",1,0))+IF(C3030="Customer",1,IF(C3030="Lost",1,0))=2,1,0)</f>
      </c>
      <c r="X3030" s="0" t="s">
        <v>153</v>
      </c>
      <c r="Y3030" s="0" t="s">
        <v>243</v>
      </c>
      <c r="AV3030" s="68"/>
      <c r="AW3030" s="68"/>
      <c r="AY3030" s="27"/>
      <c r="BD3030" s="68">
        <v>46054.1666666667</v>
      </c>
      <c r="BE3030" s="68">
        <v>46082.1666666667</v>
      </c>
      <c r="BF3030" s="0" t="b">
        <v>0</v>
      </c>
      <c r="BG3030" s="0" t="b">
        <v>0</v>
      </c>
      <c r="BH3030" s="0">
        <v>28</v>
      </c>
      <c r="BI3030" s="0">
        <v>28</v>
      </c>
      <c r="BJ3030" s="0" t="s">
        <v>135</v>
      </c>
    </row>
    <row r="3031">
      <c r="A3031" s="0" t="s">
        <v>3280</v>
      </c>
      <c r="B3031" s="0" t="s">
        <v>134</v>
      </c>
      <c r="C3031" s="0" t="s">
        <v>134</v>
      </c>
      <c r="D3031" s="0" t="s">
        <v>230</v>
      </c>
      <c r="E3031" s="0" t="s">
        <v>3</v>
      </c>
      <c r="F3031" s="0" t="s">
        <v>12</v>
      </c>
      <c r="G3031" s="0" t="s">
        <v>8</v>
      </c>
      <c r="H3031" s="0">
        <v>326</v>
      </c>
      <c r="I3031" s="0">
        <v>228.75</v>
      </c>
      <c r="J3031" s="0">
        <v>0</v>
      </c>
      <c r="K3031" s="0">
        <v>1</v>
      </c>
      <c r="L3031" s="0">
        <v>4</v>
      </c>
      <c r="M3031" s="0">
        <v>5</v>
      </c>
      <c r="N3031" s="0">
        <v>0</v>
      </c>
      <c r="O3031" s="0">
        <v>0</v>
      </c>
      <c r="P3031" s="0">
        <v>-228.75</v>
      </c>
      <c r="R3031" s="0" t="b">
        <v>0</v>
      </c>
      <c r="S3031" s="0" t="b">
        <v>1</v>
      </c>
      <c r="T3031" s="68">
        <v>45727.6673263889</v>
      </c>
      <c r="U3031" s="68">
        <v>45741.3333333333</v>
      </c>
      <c r="V3031" s="68">
        <v>0</v>
      </c>
      <c r="W3031" s="0">
        <f>IF(IF(B3031="none",1,IF(B3031="Trialer",1,0))+IF(C3031="Customer",1,IF(C3031="Lost",1,0))=2,1,0)</f>
      </c>
      <c r="X3031" s="0" t="s">
        <v>136</v>
      </c>
      <c r="Y3031" s="0" t="s">
        <v>243</v>
      </c>
      <c r="AV3031" s="68"/>
      <c r="AW3031" s="68"/>
      <c r="AY3031" s="27"/>
      <c r="BD3031" s="68">
        <v>46054.1666666667</v>
      </c>
      <c r="BE3031" s="68">
        <v>46082.1666666667</v>
      </c>
      <c r="BF3031" s="0" t="b">
        <v>0</v>
      </c>
      <c r="BG3031" s="0" t="b">
        <v>0</v>
      </c>
      <c r="BH3031" s="0">
        <v>305</v>
      </c>
      <c r="BI3031" s="0">
        <v>305</v>
      </c>
      <c r="BJ3031" s="0" t="s">
        <v>230</v>
      </c>
    </row>
    <row r="3032">
      <c r="A3032" s="0" t="s">
        <v>3281</v>
      </c>
      <c r="B3032" s="0" t="s">
        <v>134</v>
      </c>
      <c r="C3032" s="0" t="s">
        <v>134</v>
      </c>
      <c r="D3032" s="0" t="s">
        <v>135</v>
      </c>
      <c r="E3032" s="0" t="s">
        <v>2</v>
      </c>
      <c r="F3032" s="0" t="s">
        <v>12</v>
      </c>
      <c r="G3032" s="0" t="s">
        <v>8</v>
      </c>
      <c r="H3032" s="0">
        <v>326</v>
      </c>
      <c r="I3032" s="0">
        <v>98</v>
      </c>
      <c r="J3032" s="0">
        <v>0</v>
      </c>
      <c r="K3032" s="0">
        <v>1</v>
      </c>
      <c r="L3032" s="0">
        <v>3</v>
      </c>
      <c r="M3032" s="0">
        <v>2</v>
      </c>
      <c r="N3032" s="0">
        <v>0</v>
      </c>
      <c r="O3032" s="0">
        <v>0</v>
      </c>
      <c r="P3032" s="0">
        <v>0</v>
      </c>
      <c r="R3032" s="0" t="b">
        <v>0</v>
      </c>
      <c r="S3032" s="0" t="b">
        <v>1</v>
      </c>
      <c r="T3032" s="68">
        <v>45727.6927893519</v>
      </c>
      <c r="U3032" s="68">
        <v>45742.3333333333</v>
      </c>
      <c r="V3032" s="68">
        <v>0</v>
      </c>
      <c r="W3032" s="0">
        <f>IF(IF(B3032="none",1,IF(B3032="Trialer",1,0))+IF(C3032="Customer",1,IF(C3032="Lost",1,0))=2,1,0)</f>
      </c>
      <c r="X3032" s="0" t="s">
        <v>153</v>
      </c>
      <c r="Y3032" s="0" t="s">
        <v>499</v>
      </c>
      <c r="AV3032" s="68"/>
      <c r="AW3032" s="68"/>
      <c r="AY3032" s="27"/>
      <c r="BD3032" s="68">
        <v>46054.1666666667</v>
      </c>
      <c r="BE3032" s="68">
        <v>46082.1666666667</v>
      </c>
      <c r="BF3032" s="0" t="b">
        <v>0</v>
      </c>
      <c r="BG3032" s="0" t="b">
        <v>0</v>
      </c>
      <c r="BH3032" s="0">
        <v>98</v>
      </c>
      <c r="BI3032" s="0">
        <v>98</v>
      </c>
      <c r="BJ3032" s="0" t="s">
        <v>135</v>
      </c>
    </row>
    <row r="3033">
      <c r="A3033" s="0" t="s">
        <v>3282</v>
      </c>
      <c r="B3033" s="0" t="s">
        <v>134</v>
      </c>
      <c r="C3033" s="0" t="s">
        <v>134</v>
      </c>
      <c r="D3033" s="0" t="s">
        <v>230</v>
      </c>
      <c r="E3033" s="0" t="s">
        <v>2</v>
      </c>
      <c r="F3033" s="0" t="s">
        <v>12</v>
      </c>
      <c r="G3033" s="0" t="s">
        <v>8</v>
      </c>
      <c r="H3033" s="0">
        <v>326</v>
      </c>
      <c r="I3033" s="0">
        <v>108</v>
      </c>
      <c r="J3033" s="0">
        <v>0</v>
      </c>
      <c r="K3033" s="0">
        <v>1</v>
      </c>
      <c r="L3033" s="0">
        <v>4</v>
      </c>
      <c r="M3033" s="0">
        <v>2</v>
      </c>
      <c r="N3033" s="0">
        <v>0</v>
      </c>
      <c r="O3033" s="0">
        <v>0</v>
      </c>
      <c r="P3033" s="0">
        <v>-108</v>
      </c>
      <c r="R3033" s="0" t="b">
        <v>0</v>
      </c>
      <c r="S3033" s="0" t="b">
        <v>1</v>
      </c>
      <c r="T3033" s="68">
        <v>45727.6983680556</v>
      </c>
      <c r="U3033" s="68">
        <v>45758.3333333333</v>
      </c>
      <c r="V3033" s="68">
        <v>0</v>
      </c>
      <c r="W3033" s="0">
        <f>IF(IF(B3033="none",1,IF(B3033="Trialer",1,0))+IF(C3033="Customer",1,IF(C3033="Lost",1,0))=2,1,0)</f>
      </c>
      <c r="X3033" s="0" t="s">
        <v>166</v>
      </c>
      <c r="Y3033" s="0" t="s">
        <v>499</v>
      </c>
      <c r="AV3033" s="68"/>
      <c r="AW3033" s="68"/>
      <c r="AY3033" s="27"/>
      <c r="BD3033" s="68">
        <v>46054.1666666667</v>
      </c>
      <c r="BE3033" s="68">
        <v>46082.1666666667</v>
      </c>
      <c r="BF3033" s="0" t="b">
        <v>0</v>
      </c>
      <c r="BG3033" s="0" t="b">
        <v>0</v>
      </c>
      <c r="BH3033" s="0">
        <v>122</v>
      </c>
      <c r="BI3033" s="0">
        <v>122</v>
      </c>
      <c r="BJ3033" s="0" t="s">
        <v>230</v>
      </c>
    </row>
    <row r="3034">
      <c r="A3034" s="0" t="s">
        <v>3283</v>
      </c>
      <c r="B3034" s="0" t="s">
        <v>134</v>
      </c>
      <c r="C3034" s="0" t="s">
        <v>134</v>
      </c>
      <c r="D3034" s="0" t="s">
        <v>230</v>
      </c>
      <c r="E3034" s="0" t="s">
        <v>3</v>
      </c>
      <c r="F3034" s="0" t="s">
        <v>12</v>
      </c>
      <c r="G3034" s="0" t="s">
        <v>8</v>
      </c>
      <c r="H3034" s="0">
        <v>325</v>
      </c>
      <c r="I3034" s="0">
        <v>608</v>
      </c>
      <c r="J3034" s="0">
        <v>0</v>
      </c>
      <c r="K3034" s="0">
        <v>1</v>
      </c>
      <c r="L3034" s="0">
        <v>5</v>
      </c>
      <c r="M3034" s="0">
        <v>6</v>
      </c>
      <c r="N3034" s="0">
        <v>0</v>
      </c>
      <c r="O3034" s="0">
        <v>0</v>
      </c>
      <c r="P3034" s="0">
        <v>-283</v>
      </c>
      <c r="R3034" s="0" t="b">
        <v>0</v>
      </c>
      <c r="S3034" s="0" t="b">
        <v>1</v>
      </c>
      <c r="T3034" s="68">
        <v>45728.6597222222</v>
      </c>
      <c r="U3034" s="68">
        <v>45742.3333333333</v>
      </c>
      <c r="V3034" s="68">
        <v>0</v>
      </c>
      <c r="W3034" s="0">
        <f>IF(IF(B3034="none",1,IF(B3034="Trialer",1,0))+IF(C3034="Customer",1,IF(C3034="Lost",1,0))=2,1,0)</f>
      </c>
      <c r="X3034" s="0" t="s">
        <v>148</v>
      </c>
      <c r="Y3034" s="0" t="s">
        <v>243</v>
      </c>
      <c r="AV3034" s="68"/>
      <c r="AW3034" s="68"/>
      <c r="AY3034" s="27"/>
      <c r="BD3034" s="68">
        <v>46054.1666666667</v>
      </c>
      <c r="BE3034" s="68">
        <v>46082.1666666667</v>
      </c>
      <c r="BF3034" s="0" t="b">
        <v>0</v>
      </c>
      <c r="BG3034" s="0" t="b">
        <v>0</v>
      </c>
      <c r="BH3034" s="0">
        <v>318</v>
      </c>
      <c r="BI3034" s="0">
        <v>318</v>
      </c>
      <c r="BJ3034" s="0" t="s">
        <v>230</v>
      </c>
    </row>
    <row r="3035">
      <c r="A3035" s="0" t="s">
        <v>3284</v>
      </c>
      <c r="B3035" s="0" t="s">
        <v>134</v>
      </c>
      <c r="C3035" s="0" t="s">
        <v>190</v>
      </c>
      <c r="D3035" s="0" t="s">
        <v>135</v>
      </c>
      <c r="E3035" s="0" t="s">
        <v>3</v>
      </c>
      <c r="F3035" s="0" t="s">
        <v>12</v>
      </c>
      <c r="G3035" s="0" t="s">
        <v>8</v>
      </c>
      <c r="H3035" s="0">
        <v>324</v>
      </c>
      <c r="I3035" s="0">
        <v>0</v>
      </c>
      <c r="J3035" s="0">
        <v>0</v>
      </c>
      <c r="K3035" s="0">
        <v>0</v>
      </c>
      <c r="L3035" s="0">
        <v>0</v>
      </c>
      <c r="M3035" s="0">
        <v>0</v>
      </c>
      <c r="N3035" s="0">
        <v>0</v>
      </c>
      <c r="O3035" s="0">
        <v>0</v>
      </c>
      <c r="P3035" s="0">
        <v>0</v>
      </c>
      <c r="R3035" s="0" t="b">
        <v>0</v>
      </c>
      <c r="S3035" s="0" t="b">
        <v>0</v>
      </c>
      <c r="T3035" s="68">
        <v>45729.4708912037</v>
      </c>
      <c r="U3035" s="68">
        <v>45743.3333333333</v>
      </c>
      <c r="V3035" s="68">
        <v>46065.6975231481</v>
      </c>
      <c r="W3035" s="0">
        <f>IF(IF(B3035="none",1,IF(B3035="Trialer",1,0))+IF(C3035="Customer",1,IF(C3035="Lost",1,0))=2,1,0)</f>
      </c>
      <c r="X3035" s="0" t="s">
        <v>166</v>
      </c>
      <c r="Y3035" s="0" t="s">
        <v>243</v>
      </c>
      <c r="AV3035" s="68"/>
      <c r="AW3035" s="68"/>
      <c r="AY3035" s="27"/>
      <c r="BD3035" s="68">
        <v>46054.1666666667</v>
      </c>
      <c r="BE3035" s="68">
        <v>46082.1666666667</v>
      </c>
      <c r="BF3035" s="0" t="b">
        <v>0</v>
      </c>
      <c r="BG3035" s="0" t="b">
        <v>0</v>
      </c>
      <c r="BH3035" s="0">
        <v>195</v>
      </c>
      <c r="BI3035" s="0">
        <v>195</v>
      </c>
      <c r="BJ3035" s="0" t="s">
        <v>135</v>
      </c>
    </row>
    <row r="3036">
      <c r="A3036" s="0" t="s">
        <v>3285</v>
      </c>
      <c r="B3036" s="0" t="s">
        <v>134</v>
      </c>
      <c r="C3036" s="0" t="s">
        <v>134</v>
      </c>
      <c r="D3036" s="0" t="s">
        <v>135</v>
      </c>
      <c r="E3036" s="0" t="s">
        <v>3</v>
      </c>
      <c r="F3036" s="0" t="s">
        <v>12</v>
      </c>
      <c r="G3036" s="0" t="s">
        <v>8</v>
      </c>
      <c r="H3036" s="0">
        <v>324</v>
      </c>
      <c r="I3036" s="0">
        <v>68</v>
      </c>
      <c r="J3036" s="0">
        <v>0</v>
      </c>
      <c r="K3036" s="0">
        <v>1</v>
      </c>
      <c r="L3036" s="0">
        <v>2</v>
      </c>
      <c r="M3036" s="0">
        <v>2</v>
      </c>
      <c r="N3036" s="0">
        <v>0</v>
      </c>
      <c r="O3036" s="0">
        <v>0</v>
      </c>
      <c r="P3036" s="0">
        <v>0</v>
      </c>
      <c r="R3036" s="0" t="b">
        <v>0</v>
      </c>
      <c r="S3036" s="0" t="b">
        <v>1</v>
      </c>
      <c r="T3036" s="68">
        <v>45729.525</v>
      </c>
      <c r="U3036" s="68">
        <v>45743.3333333333</v>
      </c>
      <c r="V3036" s="68">
        <v>0</v>
      </c>
      <c r="W3036" s="0">
        <f>IF(IF(B3036="none",1,IF(B3036="Trialer",1,0))+IF(C3036="Customer",1,IF(C3036="Lost",1,0))=2,1,0)</f>
      </c>
      <c r="X3036" s="0" t="s">
        <v>653</v>
      </c>
      <c r="Y3036" s="0" t="s">
        <v>243</v>
      </c>
      <c r="AV3036" s="68"/>
      <c r="AW3036" s="68"/>
      <c r="AY3036" s="27"/>
      <c r="BD3036" s="68">
        <v>46054.1666666667</v>
      </c>
      <c r="BE3036" s="68">
        <v>46082.1666666667</v>
      </c>
      <c r="BF3036" s="0" t="b">
        <v>0</v>
      </c>
      <c r="BG3036" s="0" t="b">
        <v>0</v>
      </c>
      <c r="BH3036" s="0">
        <v>68</v>
      </c>
      <c r="BI3036" s="0">
        <v>68</v>
      </c>
      <c r="BJ3036" s="0" t="s">
        <v>135</v>
      </c>
    </row>
    <row r="3037">
      <c r="A3037" s="0" t="s">
        <v>3286</v>
      </c>
      <c r="B3037" s="0" t="s">
        <v>134</v>
      </c>
      <c r="C3037" s="0" t="s">
        <v>134</v>
      </c>
      <c r="D3037" s="0" t="s">
        <v>230</v>
      </c>
      <c r="E3037" s="0" t="s">
        <v>3</v>
      </c>
      <c r="F3037" s="0" t="s">
        <v>12</v>
      </c>
      <c r="G3037" s="0" t="s">
        <v>8</v>
      </c>
      <c r="H3037" s="0">
        <v>324</v>
      </c>
      <c r="I3037" s="0">
        <v>234</v>
      </c>
      <c r="J3037" s="0">
        <v>0</v>
      </c>
      <c r="K3037" s="0">
        <v>1</v>
      </c>
      <c r="L3037" s="0">
        <v>3</v>
      </c>
      <c r="M3037" s="0">
        <v>7</v>
      </c>
      <c r="N3037" s="0">
        <v>0</v>
      </c>
      <c r="O3037" s="0">
        <v>0</v>
      </c>
      <c r="P3037" s="0">
        <v>-234</v>
      </c>
      <c r="R3037" s="0" t="b">
        <v>0</v>
      </c>
      <c r="S3037" s="0" t="b">
        <v>1</v>
      </c>
      <c r="T3037" s="68">
        <v>45729.5701967593</v>
      </c>
      <c r="U3037" s="68">
        <v>45763.3333333333</v>
      </c>
      <c r="V3037" s="68">
        <v>0</v>
      </c>
      <c r="W3037" s="0">
        <f>IF(IF(B3037="none",1,IF(B3037="Trialer",1,0))+IF(C3037="Customer",1,IF(C3037="Lost",1,0))=2,1,0)</f>
      </c>
      <c r="X3037" s="0" t="s">
        <v>145</v>
      </c>
      <c r="Y3037" s="0" t="s">
        <v>243</v>
      </c>
      <c r="AV3037" s="68"/>
      <c r="AW3037" s="68"/>
      <c r="AY3037" s="27"/>
      <c r="BD3037" s="68">
        <v>46054.1666666667</v>
      </c>
      <c r="BE3037" s="68">
        <v>46082.1666666667</v>
      </c>
      <c r="BF3037" s="0" t="b">
        <v>0</v>
      </c>
      <c r="BG3037" s="0" t="b">
        <v>0</v>
      </c>
      <c r="BH3037" s="0">
        <v>312</v>
      </c>
      <c r="BI3037" s="0">
        <v>312</v>
      </c>
      <c r="BJ3037" s="0" t="s">
        <v>230</v>
      </c>
    </row>
    <row r="3038">
      <c r="A3038" s="0" t="s">
        <v>3287</v>
      </c>
      <c r="B3038" s="0" t="s">
        <v>134</v>
      </c>
      <c r="C3038" s="0" t="s">
        <v>134</v>
      </c>
      <c r="D3038" s="0" t="s">
        <v>135</v>
      </c>
      <c r="E3038" s="0" t="s">
        <v>2</v>
      </c>
      <c r="F3038" s="0" t="s">
        <v>12</v>
      </c>
      <c r="G3038" s="0" t="s">
        <v>8</v>
      </c>
      <c r="H3038" s="0">
        <v>324</v>
      </c>
      <c r="I3038" s="0">
        <v>49</v>
      </c>
      <c r="J3038" s="0">
        <v>0</v>
      </c>
      <c r="K3038" s="0">
        <v>1</v>
      </c>
      <c r="L3038" s="0">
        <v>3</v>
      </c>
      <c r="M3038" s="0">
        <v>1</v>
      </c>
      <c r="N3038" s="0">
        <v>0</v>
      </c>
      <c r="O3038" s="0">
        <v>0</v>
      </c>
      <c r="P3038" s="0">
        <v>0</v>
      </c>
      <c r="R3038" s="0" t="b">
        <v>0</v>
      </c>
      <c r="S3038" s="0" t="b">
        <v>1</v>
      </c>
      <c r="T3038" s="68">
        <v>45729.5839236111</v>
      </c>
      <c r="U3038" s="68">
        <v>45743.3333333333</v>
      </c>
      <c r="V3038" s="68">
        <v>0</v>
      </c>
      <c r="W3038" s="0">
        <f>IF(IF(B3038="none",1,IF(B3038="Trialer",1,0))+IF(C3038="Customer",1,IF(C3038="Lost",1,0))=2,1,0)</f>
      </c>
      <c r="X3038" s="0" t="s">
        <v>153</v>
      </c>
      <c r="Y3038" s="0" t="s">
        <v>499</v>
      </c>
      <c r="AV3038" s="68"/>
      <c r="AW3038" s="68"/>
      <c r="AY3038" s="27"/>
      <c r="BD3038" s="68">
        <v>46054.1666666667</v>
      </c>
      <c r="BE3038" s="68">
        <v>46082.1666666667</v>
      </c>
      <c r="BF3038" s="0" t="b">
        <v>0</v>
      </c>
      <c r="BG3038" s="0" t="b">
        <v>0</v>
      </c>
      <c r="BH3038" s="0">
        <v>89</v>
      </c>
      <c r="BI3038" s="0">
        <v>89</v>
      </c>
      <c r="BJ3038" s="0" t="s">
        <v>135</v>
      </c>
    </row>
    <row r="3039">
      <c r="A3039" s="0" t="s">
        <v>3288</v>
      </c>
      <c r="B3039" s="0" t="s">
        <v>134</v>
      </c>
      <c r="C3039" s="0" t="s">
        <v>134</v>
      </c>
      <c r="D3039" s="0" t="s">
        <v>135</v>
      </c>
      <c r="E3039" s="0" t="s">
        <v>3</v>
      </c>
      <c r="F3039" s="0" t="s">
        <v>12</v>
      </c>
      <c r="G3039" s="0" t="s">
        <v>8</v>
      </c>
      <c r="H3039" s="0">
        <v>324</v>
      </c>
      <c r="I3039" s="0">
        <v>146</v>
      </c>
      <c r="J3039" s="0">
        <v>0</v>
      </c>
      <c r="K3039" s="0">
        <v>1</v>
      </c>
      <c r="L3039" s="0">
        <v>5</v>
      </c>
      <c r="M3039" s="0">
        <v>2</v>
      </c>
      <c r="N3039" s="0">
        <v>0</v>
      </c>
      <c r="O3039" s="0">
        <v>0</v>
      </c>
      <c r="P3039" s="0">
        <v>0</v>
      </c>
      <c r="R3039" s="0" t="b">
        <v>0</v>
      </c>
      <c r="S3039" s="0" t="b">
        <v>1</v>
      </c>
      <c r="T3039" s="68">
        <v>45729.6968634259</v>
      </c>
      <c r="U3039" s="68">
        <v>45743.3333333333</v>
      </c>
      <c r="V3039" s="68">
        <v>0</v>
      </c>
      <c r="W3039" s="0">
        <f>IF(IF(B3039="none",1,IF(B3039="Trialer",1,0))+IF(C3039="Customer",1,IF(C3039="Lost",1,0))=2,1,0)</f>
      </c>
      <c r="X3039" s="0" t="s">
        <v>153</v>
      </c>
      <c r="Y3039" s="0" t="s">
        <v>243</v>
      </c>
      <c r="AV3039" s="68"/>
      <c r="AW3039" s="68"/>
      <c r="AY3039" s="27"/>
      <c r="BD3039" s="68">
        <v>46054.1666666667</v>
      </c>
      <c r="BE3039" s="68">
        <v>46082.1666666667</v>
      </c>
      <c r="BF3039" s="0" t="b">
        <v>0</v>
      </c>
      <c r="BG3039" s="0" t="b">
        <v>0</v>
      </c>
      <c r="BH3039" s="0">
        <v>146</v>
      </c>
      <c r="BI3039" s="0">
        <v>146</v>
      </c>
      <c r="BJ3039" s="0" t="s">
        <v>135</v>
      </c>
    </row>
    <row r="3040">
      <c r="A3040" s="0" t="s">
        <v>3289</v>
      </c>
      <c r="B3040" s="0" t="s">
        <v>134</v>
      </c>
      <c r="C3040" s="0" t="s">
        <v>134</v>
      </c>
      <c r="D3040" s="0" t="s">
        <v>135</v>
      </c>
      <c r="E3040" s="0" t="s">
        <v>3</v>
      </c>
      <c r="F3040" s="0" t="s">
        <v>12</v>
      </c>
      <c r="G3040" s="0" t="s">
        <v>8</v>
      </c>
      <c r="H3040" s="0">
        <v>324</v>
      </c>
      <c r="I3040" s="0">
        <v>1117</v>
      </c>
      <c r="J3040" s="0">
        <v>0</v>
      </c>
      <c r="K3040" s="0">
        <v>1</v>
      </c>
      <c r="L3040" s="0">
        <v>4</v>
      </c>
      <c r="M3040" s="0">
        <v>18</v>
      </c>
      <c r="N3040" s="0">
        <v>1255.5</v>
      </c>
      <c r="O3040" s="0">
        <v>0</v>
      </c>
      <c r="P3040" s="0">
        <v>0</v>
      </c>
      <c r="R3040" s="0" t="b">
        <v>0</v>
      </c>
      <c r="S3040" s="0" t="b">
        <v>1</v>
      </c>
      <c r="T3040" s="68">
        <v>45729.697962963</v>
      </c>
      <c r="U3040" s="68">
        <v>45743.3333333333</v>
      </c>
      <c r="V3040" s="68">
        <v>0</v>
      </c>
      <c r="W3040" s="0">
        <f>IF(IF(B3040="none",1,IF(B3040="Trialer",1,0))+IF(C3040="Customer",1,IF(C3040="Lost",1,0))=2,1,0)</f>
      </c>
      <c r="X3040" s="0" t="s">
        <v>148</v>
      </c>
      <c r="Y3040" s="0" t="s">
        <v>243</v>
      </c>
      <c r="AV3040" s="68"/>
      <c r="AW3040" s="68"/>
      <c r="AY3040" s="27"/>
      <c r="BD3040" s="68">
        <v>46054.1666666667</v>
      </c>
      <c r="BE3040" s="68">
        <v>46082.1666666667</v>
      </c>
      <c r="BF3040" s="0" t="b">
        <v>0</v>
      </c>
      <c r="BG3040" s="0" t="b">
        <v>0</v>
      </c>
      <c r="BH3040" s="0">
        <v>840</v>
      </c>
      <c r="BI3040" s="0">
        <v>840</v>
      </c>
      <c r="BJ3040" s="0" t="s">
        <v>135</v>
      </c>
    </row>
    <row r="3041">
      <c r="A3041" s="0" t="s">
        <v>3290</v>
      </c>
      <c r="B3041" s="0" t="s">
        <v>134</v>
      </c>
      <c r="C3041" s="0" t="s">
        <v>134</v>
      </c>
      <c r="D3041" s="0" t="s">
        <v>230</v>
      </c>
      <c r="E3041" s="0" t="s">
        <v>3</v>
      </c>
      <c r="F3041" s="0" t="s">
        <v>12</v>
      </c>
      <c r="G3041" s="0" t="s">
        <v>8</v>
      </c>
      <c r="H3041" s="0">
        <v>323</v>
      </c>
      <c r="I3041" s="0">
        <v>216</v>
      </c>
      <c r="J3041" s="0">
        <v>0</v>
      </c>
      <c r="K3041" s="0">
        <v>1</v>
      </c>
      <c r="L3041" s="0">
        <v>4</v>
      </c>
      <c r="M3041" s="0">
        <v>5</v>
      </c>
      <c r="N3041" s="0">
        <v>0</v>
      </c>
      <c r="O3041" s="0">
        <v>0</v>
      </c>
      <c r="P3041" s="0">
        <v>-216</v>
      </c>
      <c r="R3041" s="0" t="b">
        <v>0</v>
      </c>
      <c r="S3041" s="0" t="b">
        <v>1</v>
      </c>
      <c r="T3041" s="68">
        <v>45730.4819791667</v>
      </c>
      <c r="U3041" s="68">
        <v>45744.3333333333</v>
      </c>
      <c r="V3041" s="68">
        <v>0</v>
      </c>
      <c r="W3041" s="0">
        <f>IF(IF(B3041="none",1,IF(B3041="Trialer",1,0))+IF(C3041="Customer",1,IF(C3041="Lost",1,0))=2,1,0)</f>
      </c>
      <c r="X3041" s="0" t="s">
        <v>136</v>
      </c>
      <c r="Y3041" s="0" t="s">
        <v>243</v>
      </c>
      <c r="AV3041" s="68"/>
      <c r="AW3041" s="68"/>
      <c r="AY3041" s="27"/>
      <c r="BD3041" s="68">
        <v>46054.1666666667</v>
      </c>
      <c r="BE3041" s="68">
        <v>46082.1666666667</v>
      </c>
      <c r="BF3041" s="0" t="b">
        <v>0</v>
      </c>
      <c r="BG3041" s="0" t="b">
        <v>0</v>
      </c>
      <c r="BH3041" s="0">
        <v>242</v>
      </c>
      <c r="BI3041" s="0">
        <v>242</v>
      </c>
      <c r="BJ3041" s="0" t="s">
        <v>230</v>
      </c>
    </row>
    <row r="3042">
      <c r="A3042" s="0" t="s">
        <v>3291</v>
      </c>
      <c r="B3042" s="0" t="s">
        <v>134</v>
      </c>
      <c r="C3042" s="0" t="s">
        <v>134</v>
      </c>
      <c r="D3042" s="0" t="s">
        <v>230</v>
      </c>
      <c r="E3042" s="0" t="s">
        <v>3</v>
      </c>
      <c r="F3042" s="0" t="s">
        <v>12</v>
      </c>
      <c r="G3042" s="0" t="s">
        <v>8</v>
      </c>
      <c r="H3042" s="0">
        <v>323</v>
      </c>
      <c r="I3042" s="0">
        <v>435.25</v>
      </c>
      <c r="J3042" s="0">
        <v>0</v>
      </c>
      <c r="K3042" s="0">
        <v>1</v>
      </c>
      <c r="L3042" s="0">
        <v>3</v>
      </c>
      <c r="M3042" s="0">
        <v>3</v>
      </c>
      <c r="N3042" s="0">
        <v>0</v>
      </c>
      <c r="O3042" s="0">
        <v>0</v>
      </c>
      <c r="P3042" s="0">
        <v>1477.35</v>
      </c>
      <c r="R3042" s="0" t="b">
        <v>0</v>
      </c>
      <c r="S3042" s="0" t="b">
        <v>1</v>
      </c>
      <c r="T3042" s="68">
        <v>45730.6260532407</v>
      </c>
      <c r="U3042" s="68">
        <v>45744.3333333333</v>
      </c>
      <c r="V3042" s="68">
        <v>0</v>
      </c>
      <c r="W3042" s="0">
        <f>IF(IF(B3042="none",1,IF(B3042="Trialer",1,0))+IF(C3042="Customer",1,IF(C3042="Lost",1,0))=2,1,0)</f>
      </c>
      <c r="X3042" s="0" t="s">
        <v>136</v>
      </c>
      <c r="Y3042" s="0" t="s">
        <v>243</v>
      </c>
      <c r="AV3042" s="68"/>
      <c r="AW3042" s="68"/>
      <c r="AY3042" s="27"/>
      <c r="BD3042" s="68">
        <v>46054.1666666667</v>
      </c>
      <c r="BE3042" s="68">
        <v>46082.1666666667</v>
      </c>
      <c r="BF3042" s="0" t="b">
        <v>0</v>
      </c>
      <c r="BG3042" s="0" t="b">
        <v>0</v>
      </c>
      <c r="BH3042" s="0">
        <v>147</v>
      </c>
      <c r="BI3042" s="0">
        <v>147</v>
      </c>
      <c r="BJ3042" s="0" t="s">
        <v>230</v>
      </c>
    </row>
    <row r="3043">
      <c r="A3043" s="0" t="s">
        <v>3292</v>
      </c>
      <c r="B3043" s="0" t="s">
        <v>134</v>
      </c>
      <c r="C3043" s="0" t="s">
        <v>134</v>
      </c>
      <c r="D3043" s="0" t="s">
        <v>230</v>
      </c>
      <c r="E3043" s="0" t="s">
        <v>3</v>
      </c>
      <c r="F3043" s="0" t="s">
        <v>12</v>
      </c>
      <c r="G3043" s="0" t="s">
        <v>8</v>
      </c>
      <c r="H3043" s="0">
        <v>323</v>
      </c>
      <c r="I3043" s="0">
        <v>25</v>
      </c>
      <c r="J3043" s="0">
        <v>0</v>
      </c>
      <c r="K3043" s="0">
        <v>1</v>
      </c>
      <c r="L3043" s="0">
        <v>1</v>
      </c>
      <c r="M3043" s="0">
        <v>1</v>
      </c>
      <c r="N3043" s="0">
        <v>0</v>
      </c>
      <c r="O3043" s="0">
        <v>0</v>
      </c>
      <c r="P3043" s="0">
        <v>-25</v>
      </c>
      <c r="R3043" s="0" t="b">
        <v>0</v>
      </c>
      <c r="S3043" s="0" t="b">
        <v>1</v>
      </c>
      <c r="T3043" s="68">
        <v>45730.6858680556</v>
      </c>
      <c r="U3043" s="68">
        <v>45744.3333333333</v>
      </c>
      <c r="V3043" s="68">
        <v>0</v>
      </c>
      <c r="W3043" s="0">
        <f>IF(IF(B3043="none",1,IF(B3043="Trialer",1,0))+IF(C3043="Customer",1,IF(C3043="Lost",1,0))=2,1,0)</f>
      </c>
      <c r="X3043" s="0" t="s">
        <v>1461</v>
      </c>
      <c r="Y3043" s="0" t="s">
        <v>243</v>
      </c>
      <c r="AV3043" s="68"/>
      <c r="AW3043" s="68"/>
      <c r="AY3043" s="27"/>
      <c r="BD3043" s="68">
        <v>46054.1666666667</v>
      </c>
      <c r="BE3043" s="68">
        <v>46082.1666666667</v>
      </c>
      <c r="BF3043" s="0" t="b">
        <v>0</v>
      </c>
      <c r="BG3043" s="0" t="b">
        <v>0</v>
      </c>
      <c r="BH3043" s="0">
        <v>28</v>
      </c>
      <c r="BI3043" s="0">
        <v>28</v>
      </c>
      <c r="BJ3043" s="0" t="s">
        <v>230</v>
      </c>
    </row>
    <row r="3044">
      <c r="A3044" s="0" t="s">
        <v>3293</v>
      </c>
      <c r="B3044" s="0" t="s">
        <v>134</v>
      </c>
      <c r="C3044" s="0" t="s">
        <v>134</v>
      </c>
      <c r="D3044" s="0" t="s">
        <v>230</v>
      </c>
      <c r="E3044" s="0" t="s">
        <v>3</v>
      </c>
      <c r="F3044" s="0" t="s">
        <v>12</v>
      </c>
      <c r="G3044" s="0" t="s">
        <v>8</v>
      </c>
      <c r="H3044" s="0">
        <v>322</v>
      </c>
      <c r="I3044" s="0">
        <v>44</v>
      </c>
      <c r="J3044" s="0">
        <v>0</v>
      </c>
      <c r="K3044" s="0">
        <v>1</v>
      </c>
      <c r="L3044" s="0">
        <v>3</v>
      </c>
      <c r="M3044" s="0">
        <v>1</v>
      </c>
      <c r="N3044" s="0">
        <v>0</v>
      </c>
      <c r="O3044" s="0">
        <v>0</v>
      </c>
      <c r="P3044" s="0">
        <v>-44</v>
      </c>
      <c r="R3044" s="0" t="b">
        <v>0</v>
      </c>
      <c r="S3044" s="0" t="b">
        <v>1</v>
      </c>
      <c r="T3044" s="68">
        <v>45731.8818865741</v>
      </c>
      <c r="U3044" s="68">
        <v>45745.3333333333</v>
      </c>
      <c r="V3044" s="68">
        <v>0</v>
      </c>
      <c r="W3044" s="0">
        <f>IF(IF(B3044="none",1,IF(B3044="Trialer",1,0))+IF(C3044="Customer",1,IF(C3044="Lost",1,0))=2,1,0)</f>
      </c>
      <c r="X3044" s="0" t="s">
        <v>166</v>
      </c>
      <c r="Y3044" s="0" t="s">
        <v>1792</v>
      </c>
      <c r="AV3044" s="68"/>
      <c r="AW3044" s="68"/>
      <c r="AY3044" s="27"/>
      <c r="BD3044" s="68">
        <v>46054.1666666667</v>
      </c>
      <c r="BE3044" s="68">
        <v>46082.1666666667</v>
      </c>
      <c r="BF3044" s="0" t="b">
        <v>0</v>
      </c>
      <c r="BG3044" s="0" t="b">
        <v>0</v>
      </c>
      <c r="BH3044" s="0">
        <v>49</v>
      </c>
      <c r="BI3044" s="0">
        <v>49</v>
      </c>
      <c r="BJ3044" s="0" t="s">
        <v>230</v>
      </c>
    </row>
    <row r="3045">
      <c r="A3045" s="0" t="s">
        <v>3294</v>
      </c>
      <c r="B3045" s="0" t="s">
        <v>134</v>
      </c>
      <c r="C3045" s="0" t="s">
        <v>134</v>
      </c>
      <c r="D3045" s="0" t="s">
        <v>135</v>
      </c>
      <c r="E3045" s="0" t="s">
        <v>3</v>
      </c>
      <c r="F3045" s="0" t="s">
        <v>12</v>
      </c>
      <c r="G3045" s="0" t="s">
        <v>8</v>
      </c>
      <c r="H3045" s="0">
        <v>320</v>
      </c>
      <c r="I3045" s="0">
        <v>294</v>
      </c>
      <c r="J3045" s="0">
        <v>0</v>
      </c>
      <c r="K3045" s="0">
        <v>1</v>
      </c>
      <c r="L3045" s="0">
        <v>4</v>
      </c>
      <c r="M3045" s="0">
        <v>6</v>
      </c>
      <c r="N3045" s="0">
        <v>0</v>
      </c>
      <c r="O3045" s="0">
        <v>0</v>
      </c>
      <c r="P3045" s="0">
        <v>0</v>
      </c>
      <c r="R3045" s="0" t="b">
        <v>0</v>
      </c>
      <c r="S3045" s="0" t="b">
        <v>1</v>
      </c>
      <c r="T3045" s="68">
        <v>45733.4309722222</v>
      </c>
      <c r="U3045" s="68">
        <v>45762.3333333333</v>
      </c>
      <c r="V3045" s="68">
        <v>0</v>
      </c>
      <c r="W3045" s="0">
        <f>IF(IF(B3045="none",1,IF(B3045="Trialer",1,0))+IF(C3045="Customer",1,IF(C3045="Lost",1,0))=2,1,0)</f>
      </c>
      <c r="X3045" s="0" t="s">
        <v>148</v>
      </c>
      <c r="Y3045" s="0" t="s">
        <v>243</v>
      </c>
      <c r="AV3045" s="68"/>
      <c r="AW3045" s="68"/>
      <c r="AY3045" s="27"/>
      <c r="BD3045" s="68">
        <v>46054.1666666667</v>
      </c>
      <c r="BE3045" s="68">
        <v>46082.1666666667</v>
      </c>
      <c r="BF3045" s="0" t="b">
        <v>0</v>
      </c>
      <c r="BG3045" s="0" t="b">
        <v>0</v>
      </c>
      <c r="BH3045" s="0">
        <v>294</v>
      </c>
      <c r="BI3045" s="0">
        <v>294</v>
      </c>
      <c r="BJ3045" s="0" t="s">
        <v>135</v>
      </c>
    </row>
    <row r="3046">
      <c r="A3046" s="0" t="s">
        <v>3295</v>
      </c>
      <c r="B3046" s="0" t="s">
        <v>134</v>
      </c>
      <c r="C3046" s="0" t="s">
        <v>134</v>
      </c>
      <c r="D3046" s="0" t="s">
        <v>135</v>
      </c>
      <c r="E3046" s="0" t="s">
        <v>3</v>
      </c>
      <c r="F3046" s="0" t="s">
        <v>12</v>
      </c>
      <c r="G3046" s="0" t="s">
        <v>8</v>
      </c>
      <c r="H3046" s="0">
        <v>320</v>
      </c>
      <c r="I3046" s="0">
        <v>129</v>
      </c>
      <c r="J3046" s="0">
        <v>0</v>
      </c>
      <c r="K3046" s="0">
        <v>1</v>
      </c>
      <c r="L3046" s="0">
        <v>3</v>
      </c>
      <c r="M3046" s="0">
        <v>3</v>
      </c>
      <c r="N3046" s="0">
        <v>0</v>
      </c>
      <c r="O3046" s="0">
        <v>0</v>
      </c>
      <c r="P3046" s="0">
        <v>0</v>
      </c>
      <c r="R3046" s="0" t="b">
        <v>0</v>
      </c>
      <c r="S3046" s="0" t="b">
        <v>1</v>
      </c>
      <c r="T3046" s="68">
        <v>45733.6096990741</v>
      </c>
      <c r="U3046" s="68">
        <v>45747.3333333333</v>
      </c>
      <c r="V3046" s="68">
        <v>0</v>
      </c>
      <c r="W3046" s="0">
        <f>IF(IF(B3046="none",1,IF(B3046="Trialer",1,0))+IF(C3046="Customer",1,IF(C3046="Lost",1,0))=2,1,0)</f>
      </c>
      <c r="X3046" s="0" t="s">
        <v>153</v>
      </c>
      <c r="Y3046" s="0" t="s">
        <v>243</v>
      </c>
      <c r="AV3046" s="68"/>
      <c r="AW3046" s="68"/>
      <c r="AY3046" s="27"/>
      <c r="BD3046" s="68">
        <v>46054.1666666667</v>
      </c>
      <c r="BE3046" s="68">
        <v>46082.1666666667</v>
      </c>
      <c r="BF3046" s="0" t="b">
        <v>0</v>
      </c>
      <c r="BG3046" s="0" t="b">
        <v>0</v>
      </c>
      <c r="BH3046" s="0">
        <v>129</v>
      </c>
      <c r="BI3046" s="0">
        <v>129</v>
      </c>
      <c r="BJ3046" s="0" t="s">
        <v>135</v>
      </c>
    </row>
    <row r="3047">
      <c r="A3047" s="0" t="s">
        <v>3296</v>
      </c>
      <c r="B3047" s="0" t="s">
        <v>134</v>
      </c>
      <c r="C3047" s="0" t="s">
        <v>134</v>
      </c>
      <c r="D3047" s="0" t="s">
        <v>230</v>
      </c>
      <c r="E3047" s="0" t="s">
        <v>3</v>
      </c>
      <c r="F3047" s="0" t="s">
        <v>12</v>
      </c>
      <c r="G3047" s="0" t="s">
        <v>8</v>
      </c>
      <c r="H3047" s="0">
        <v>320</v>
      </c>
      <c r="I3047" s="0">
        <v>36</v>
      </c>
      <c r="J3047" s="0">
        <v>0</v>
      </c>
      <c r="K3047" s="0">
        <v>1</v>
      </c>
      <c r="L3047" s="0">
        <v>2</v>
      </c>
      <c r="M3047" s="0">
        <v>1</v>
      </c>
      <c r="N3047" s="0">
        <v>0</v>
      </c>
      <c r="O3047" s="0">
        <v>0</v>
      </c>
      <c r="P3047" s="0">
        <v>-36</v>
      </c>
      <c r="R3047" s="0" t="b">
        <v>0</v>
      </c>
      <c r="S3047" s="0" t="b">
        <v>1</v>
      </c>
      <c r="T3047" s="68">
        <v>45733.6194907407</v>
      </c>
      <c r="U3047" s="68">
        <v>45750.3333333333</v>
      </c>
      <c r="V3047" s="68">
        <v>0</v>
      </c>
      <c r="W3047" s="0">
        <f>IF(IF(B3047="none",1,IF(B3047="Trialer",1,0))+IF(C3047="Customer",1,IF(C3047="Lost",1,0))=2,1,0)</f>
      </c>
      <c r="X3047" s="0" t="s">
        <v>153</v>
      </c>
      <c r="Y3047" s="0" t="s">
        <v>243</v>
      </c>
      <c r="AV3047" s="68"/>
      <c r="AW3047" s="68"/>
      <c r="AY3047" s="27"/>
      <c r="BD3047" s="68">
        <v>46054.1666666667</v>
      </c>
      <c r="BE3047" s="68">
        <v>46082.1666666667</v>
      </c>
      <c r="BF3047" s="0" t="b">
        <v>0</v>
      </c>
      <c r="BG3047" s="0" t="b">
        <v>0</v>
      </c>
      <c r="BH3047" s="0">
        <v>40</v>
      </c>
      <c r="BI3047" s="0">
        <v>40</v>
      </c>
      <c r="BJ3047" s="0" t="s">
        <v>230</v>
      </c>
    </row>
    <row r="3048">
      <c r="A3048" s="0" t="s">
        <v>3297</v>
      </c>
      <c r="B3048" s="0" t="s">
        <v>134</v>
      </c>
      <c r="C3048" s="0" t="s">
        <v>134</v>
      </c>
      <c r="D3048" s="0" t="s">
        <v>230</v>
      </c>
      <c r="E3048" s="0" t="s">
        <v>2</v>
      </c>
      <c r="F3048" s="0" t="s">
        <v>12</v>
      </c>
      <c r="G3048" s="0" t="s">
        <v>8</v>
      </c>
      <c r="H3048" s="0">
        <v>319</v>
      </c>
      <c r="I3048" s="0">
        <v>390.6</v>
      </c>
      <c r="J3048" s="0">
        <v>0</v>
      </c>
      <c r="K3048" s="0">
        <v>1</v>
      </c>
      <c r="L3048" s="0">
        <v>3</v>
      </c>
      <c r="M3048" s="0">
        <v>11</v>
      </c>
      <c r="N3048" s="0">
        <v>0</v>
      </c>
      <c r="O3048" s="0">
        <v>0</v>
      </c>
      <c r="P3048" s="0">
        <v>-390.6</v>
      </c>
      <c r="R3048" s="0" t="b">
        <v>0</v>
      </c>
      <c r="S3048" s="0" t="b">
        <v>1</v>
      </c>
      <c r="T3048" s="68">
        <v>45734.3519907407</v>
      </c>
      <c r="U3048" s="68">
        <v>45768.3333333333</v>
      </c>
      <c r="V3048" s="68">
        <v>0</v>
      </c>
      <c r="W3048" s="0">
        <f>IF(IF(B3048="none",1,IF(B3048="Trialer",1,0))+IF(C3048="Customer",1,IF(C3048="Lost",1,0))=2,1,0)</f>
      </c>
      <c r="X3048" s="0" t="s">
        <v>882</v>
      </c>
      <c r="Y3048" s="0" t="s">
        <v>499</v>
      </c>
      <c r="AV3048" s="68"/>
      <c r="AW3048" s="68"/>
      <c r="AY3048" s="27"/>
      <c r="BD3048" s="68">
        <v>46054.1666666667</v>
      </c>
      <c r="BE3048" s="68">
        <v>46082.1666666667</v>
      </c>
      <c r="BF3048" s="0" t="b">
        <v>0</v>
      </c>
      <c r="BG3048" s="0" t="b">
        <v>0</v>
      </c>
      <c r="BH3048" s="0">
        <v>462</v>
      </c>
      <c r="BI3048" s="0">
        <v>462</v>
      </c>
      <c r="BJ3048" s="0" t="s">
        <v>230</v>
      </c>
    </row>
    <row r="3049">
      <c r="A3049" s="0" t="s">
        <v>3298</v>
      </c>
      <c r="B3049" s="0" t="s">
        <v>134</v>
      </c>
      <c r="C3049" s="0" t="s">
        <v>134</v>
      </c>
      <c r="D3049" s="0" t="s">
        <v>135</v>
      </c>
      <c r="E3049" s="0" t="s">
        <v>3</v>
      </c>
      <c r="F3049" s="0" t="s">
        <v>12</v>
      </c>
      <c r="G3049" s="0" t="s">
        <v>8</v>
      </c>
      <c r="H3049" s="0">
        <v>319</v>
      </c>
      <c r="I3049" s="0">
        <v>144</v>
      </c>
      <c r="J3049" s="0">
        <v>0</v>
      </c>
      <c r="K3049" s="0">
        <v>1</v>
      </c>
      <c r="L3049" s="0">
        <v>3</v>
      </c>
      <c r="M3049" s="0">
        <v>3</v>
      </c>
      <c r="N3049" s="0">
        <v>0</v>
      </c>
      <c r="O3049" s="0">
        <v>0</v>
      </c>
      <c r="P3049" s="0">
        <v>0</v>
      </c>
      <c r="R3049" s="0" t="b">
        <v>0</v>
      </c>
      <c r="S3049" s="0" t="b">
        <v>1</v>
      </c>
      <c r="T3049" s="68">
        <v>45734.3962037037</v>
      </c>
      <c r="U3049" s="68">
        <v>45754.3333333333</v>
      </c>
      <c r="V3049" s="68">
        <v>0</v>
      </c>
      <c r="W3049" s="0">
        <f>IF(IF(B3049="none",1,IF(B3049="Trialer",1,0))+IF(C3049="Customer",1,IF(C3049="Lost",1,0))=2,1,0)</f>
      </c>
      <c r="X3049" s="0" t="s">
        <v>153</v>
      </c>
      <c r="Y3049" s="0" t="s">
        <v>243</v>
      </c>
      <c r="AV3049" s="68"/>
      <c r="AW3049" s="68"/>
      <c r="AY3049" s="27"/>
      <c r="BD3049" s="68">
        <v>46054.1666666667</v>
      </c>
      <c r="BE3049" s="68">
        <v>46082.1666666667</v>
      </c>
      <c r="BF3049" s="0" t="b">
        <v>0</v>
      </c>
      <c r="BG3049" s="0" t="b">
        <v>0</v>
      </c>
      <c r="BH3049" s="0">
        <v>144</v>
      </c>
      <c r="BI3049" s="0">
        <v>144</v>
      </c>
      <c r="BJ3049" s="0" t="s">
        <v>135</v>
      </c>
    </row>
    <row r="3050">
      <c r="A3050" s="0" t="s">
        <v>3299</v>
      </c>
      <c r="B3050" s="0" t="s">
        <v>134</v>
      </c>
      <c r="C3050" s="0" t="s">
        <v>134</v>
      </c>
      <c r="D3050" s="0" t="s">
        <v>230</v>
      </c>
      <c r="E3050" s="0" t="s">
        <v>3</v>
      </c>
      <c r="F3050" s="0" t="s">
        <v>12</v>
      </c>
      <c r="G3050" s="0" t="s">
        <v>8</v>
      </c>
      <c r="H3050" s="0">
        <v>319</v>
      </c>
      <c r="I3050" s="0">
        <v>54</v>
      </c>
      <c r="J3050" s="0">
        <v>0</v>
      </c>
      <c r="K3050" s="0">
        <v>1</v>
      </c>
      <c r="L3050" s="0">
        <v>4</v>
      </c>
      <c r="M3050" s="0">
        <v>1</v>
      </c>
      <c r="N3050" s="0">
        <v>0</v>
      </c>
      <c r="O3050" s="0">
        <v>0</v>
      </c>
      <c r="P3050" s="0">
        <v>-54</v>
      </c>
      <c r="R3050" s="0" t="b">
        <v>0</v>
      </c>
      <c r="S3050" s="0" t="b">
        <v>1</v>
      </c>
      <c r="T3050" s="68">
        <v>45734.4895833333</v>
      </c>
      <c r="U3050" s="68">
        <v>45726.6534722222</v>
      </c>
      <c r="V3050" s="68">
        <v>0</v>
      </c>
      <c r="W3050" s="0">
        <f>IF(IF(B3050="none",1,IF(B3050="Trialer",1,0))+IF(C3050="Customer",1,IF(C3050="Lost",1,0))=2,1,0)</f>
      </c>
      <c r="X3050" s="0" t="s">
        <v>142</v>
      </c>
      <c r="Y3050" s="0" t="s">
        <v>243</v>
      </c>
      <c r="AV3050" s="68"/>
      <c r="AW3050" s="68"/>
      <c r="AY3050" s="27"/>
      <c r="BD3050" s="68">
        <v>46054.1666666667</v>
      </c>
      <c r="BE3050" s="68">
        <v>46082.1666666667</v>
      </c>
      <c r="BF3050" s="0" t="b">
        <v>0</v>
      </c>
      <c r="BG3050" s="0" t="b">
        <v>0</v>
      </c>
      <c r="BH3050" s="0">
        <v>61</v>
      </c>
      <c r="BI3050" s="0">
        <v>61</v>
      </c>
      <c r="BJ3050" s="0" t="s">
        <v>230</v>
      </c>
    </row>
    <row r="3051">
      <c r="A3051" s="0" t="s">
        <v>3300</v>
      </c>
      <c r="B3051" s="0" t="s">
        <v>134</v>
      </c>
      <c r="C3051" s="0" t="s">
        <v>134</v>
      </c>
      <c r="D3051" s="0" t="s">
        <v>135</v>
      </c>
      <c r="E3051" s="0" t="s">
        <v>3</v>
      </c>
      <c r="F3051" s="0" t="s">
        <v>12</v>
      </c>
      <c r="G3051" s="0" t="s">
        <v>7</v>
      </c>
      <c r="H3051" s="0">
        <v>319</v>
      </c>
      <c r="I3051" s="0">
        <v>120</v>
      </c>
      <c r="J3051" s="0">
        <v>0</v>
      </c>
      <c r="K3051" s="0">
        <v>1</v>
      </c>
      <c r="L3051" s="0">
        <v>1</v>
      </c>
      <c r="M3051" s="0">
        <v>3</v>
      </c>
      <c r="N3051" s="0">
        <v>0</v>
      </c>
      <c r="O3051" s="0">
        <v>0</v>
      </c>
      <c r="P3051" s="0">
        <v>0</v>
      </c>
      <c r="R3051" s="0" t="b">
        <v>0</v>
      </c>
      <c r="S3051" s="0" t="b">
        <v>1</v>
      </c>
      <c r="T3051" s="68">
        <v>45734.5</v>
      </c>
      <c r="U3051" s="68">
        <v>45734.3333333333</v>
      </c>
      <c r="V3051" s="68">
        <v>0</v>
      </c>
      <c r="W3051" s="0">
        <f>IF(IF(B3051="none",1,IF(B3051="Trialer",1,0))+IF(C3051="Customer",1,IF(C3051="Lost",1,0))=2,1,0)</f>
      </c>
      <c r="X3051" s="0" t="s">
        <v>136</v>
      </c>
      <c r="Y3051" s="0" t="s">
        <v>213</v>
      </c>
      <c r="AV3051" s="68"/>
      <c r="AW3051" s="68"/>
      <c r="AY3051" s="27"/>
      <c r="BD3051" s="68">
        <v>46054.1666666667</v>
      </c>
      <c r="BE3051" s="68">
        <v>46082.1666666667</v>
      </c>
      <c r="BF3051" s="0" t="b">
        <v>0</v>
      </c>
      <c r="BG3051" s="0" t="b">
        <v>0</v>
      </c>
      <c r="BH3051" s="0">
        <v>80</v>
      </c>
      <c r="BI3051" s="0">
        <v>80</v>
      </c>
      <c r="BJ3051" s="0" t="s">
        <v>135</v>
      </c>
    </row>
    <row r="3052">
      <c r="A3052" s="0" t="s">
        <v>3301</v>
      </c>
      <c r="B3052" s="0" t="s">
        <v>134</v>
      </c>
      <c r="C3052" s="0" t="s">
        <v>134</v>
      </c>
      <c r="D3052" s="0" t="s">
        <v>135</v>
      </c>
      <c r="E3052" s="0" t="s">
        <v>3</v>
      </c>
      <c r="F3052" s="0" t="s">
        <v>12</v>
      </c>
      <c r="G3052" s="0" t="s">
        <v>8</v>
      </c>
      <c r="H3052" s="0">
        <v>319</v>
      </c>
      <c r="I3052" s="0">
        <v>536</v>
      </c>
      <c r="J3052" s="0">
        <v>0</v>
      </c>
      <c r="K3052" s="0">
        <v>1</v>
      </c>
      <c r="L3052" s="0">
        <v>4</v>
      </c>
      <c r="M3052" s="0">
        <v>4</v>
      </c>
      <c r="N3052" s="0">
        <v>0</v>
      </c>
      <c r="O3052" s="0">
        <v>0</v>
      </c>
      <c r="P3052" s="0">
        <v>0</v>
      </c>
      <c r="R3052" s="0" t="b">
        <v>0</v>
      </c>
      <c r="S3052" s="0" t="b">
        <v>1</v>
      </c>
      <c r="T3052" s="68">
        <v>45734.697650463</v>
      </c>
      <c r="U3052" s="68">
        <v>45755.3333333333</v>
      </c>
      <c r="V3052" s="68">
        <v>0</v>
      </c>
      <c r="W3052" s="0">
        <f>IF(IF(B3052="none",1,IF(B3052="Trialer",1,0))+IF(C3052="Customer",1,IF(C3052="Lost",1,0))=2,1,0)</f>
      </c>
      <c r="X3052" s="0" t="s">
        <v>148</v>
      </c>
      <c r="Y3052" s="0" t="s">
        <v>243</v>
      </c>
      <c r="AV3052" s="68"/>
      <c r="AW3052" s="68"/>
      <c r="AY3052" s="27"/>
      <c r="BD3052" s="68">
        <v>46054.1666666667</v>
      </c>
      <c r="BE3052" s="68">
        <v>46082.1666666667</v>
      </c>
      <c r="BF3052" s="0" t="b">
        <v>0</v>
      </c>
      <c r="BG3052" s="0" t="b">
        <v>0</v>
      </c>
      <c r="BH3052" s="0">
        <v>211</v>
      </c>
      <c r="BI3052" s="0">
        <v>211</v>
      </c>
      <c r="BJ3052" s="0" t="s">
        <v>135</v>
      </c>
    </row>
    <row r="3053">
      <c r="A3053" s="0" t="s">
        <v>3302</v>
      </c>
      <c r="B3053" s="0" t="s">
        <v>134</v>
      </c>
      <c r="C3053" s="0" t="s">
        <v>134</v>
      </c>
      <c r="D3053" s="0" t="s">
        <v>135</v>
      </c>
      <c r="E3053" s="0" t="s">
        <v>2</v>
      </c>
      <c r="F3053" s="0" t="s">
        <v>12</v>
      </c>
      <c r="G3053" s="0" t="s">
        <v>8</v>
      </c>
      <c r="H3053" s="0">
        <v>318</v>
      </c>
      <c r="I3053" s="0">
        <v>245</v>
      </c>
      <c r="J3053" s="0">
        <v>0</v>
      </c>
      <c r="K3053" s="0">
        <v>1</v>
      </c>
      <c r="L3053" s="0">
        <v>3</v>
      </c>
      <c r="M3053" s="0">
        <v>5</v>
      </c>
      <c r="N3053" s="0">
        <v>139.5</v>
      </c>
      <c r="O3053" s="0">
        <v>0</v>
      </c>
      <c r="P3053" s="0">
        <v>0</v>
      </c>
      <c r="R3053" s="0" t="b">
        <v>0</v>
      </c>
      <c r="S3053" s="0" t="b">
        <v>0</v>
      </c>
      <c r="T3053" s="68">
        <v>45735.4701388889</v>
      </c>
      <c r="U3053" s="68">
        <v>45784.3333333333</v>
      </c>
      <c r="V3053" s="68">
        <v>46093.480787037</v>
      </c>
      <c r="W3053" s="0">
        <f>IF(IF(B3053="none",1,IF(B3053="Trialer",1,0))+IF(C3053="Customer",1,IF(C3053="Lost",1,0))=2,1,0)</f>
      </c>
      <c r="X3053" s="0" t="s">
        <v>145</v>
      </c>
      <c r="Y3053" s="0" t="s">
        <v>499</v>
      </c>
      <c r="AV3053" s="68"/>
      <c r="AW3053" s="68"/>
      <c r="AY3053" s="27"/>
      <c r="BD3053" s="68">
        <v>46054.1666666667</v>
      </c>
      <c r="BE3053" s="68">
        <v>46082.1666666667</v>
      </c>
      <c r="BF3053" s="0" t="b">
        <v>1</v>
      </c>
      <c r="BG3053" s="0" t="b">
        <v>1</v>
      </c>
      <c r="BH3053" s="0">
        <v>245</v>
      </c>
      <c r="BI3053" s="0">
        <v>245</v>
      </c>
      <c r="BJ3053" s="0" t="s">
        <v>135</v>
      </c>
    </row>
    <row r="3054">
      <c r="A3054" s="0" t="s">
        <v>3303</v>
      </c>
      <c r="B3054" s="0" t="s">
        <v>134</v>
      </c>
      <c r="C3054" s="0" t="s">
        <v>134</v>
      </c>
      <c r="D3054" s="0" t="s">
        <v>135</v>
      </c>
      <c r="E3054" s="0" t="s">
        <v>3</v>
      </c>
      <c r="F3054" s="0" t="s">
        <v>12</v>
      </c>
      <c r="G3054" s="0" t="s">
        <v>8</v>
      </c>
      <c r="H3054" s="0">
        <v>318</v>
      </c>
      <c r="I3054" s="0">
        <v>73</v>
      </c>
      <c r="J3054" s="0">
        <v>0</v>
      </c>
      <c r="K3054" s="0">
        <v>1</v>
      </c>
      <c r="L3054" s="0">
        <v>5</v>
      </c>
      <c r="M3054" s="0">
        <v>1</v>
      </c>
      <c r="N3054" s="0">
        <v>0</v>
      </c>
      <c r="O3054" s="0">
        <v>0</v>
      </c>
      <c r="P3054" s="0">
        <v>0</v>
      </c>
      <c r="R3054" s="0" t="b">
        <v>0</v>
      </c>
      <c r="S3054" s="0" t="b">
        <v>1</v>
      </c>
      <c r="T3054" s="68">
        <v>45735.6523148148</v>
      </c>
      <c r="U3054" s="68">
        <v>45749.3333333333</v>
      </c>
      <c r="V3054" s="68">
        <v>0</v>
      </c>
      <c r="W3054" s="0">
        <f>IF(IF(B3054="none",1,IF(B3054="Trialer",1,0))+IF(C3054="Customer",1,IF(C3054="Lost",1,0))=2,1,0)</f>
      </c>
      <c r="X3054" s="0" t="s">
        <v>166</v>
      </c>
      <c r="Y3054" s="0" t="s">
        <v>243</v>
      </c>
      <c r="AV3054" s="68"/>
      <c r="AW3054" s="68"/>
      <c r="AY3054" s="27"/>
      <c r="BD3054" s="68">
        <v>46054.1666666667</v>
      </c>
      <c r="BE3054" s="68">
        <v>46082.1666666667</v>
      </c>
      <c r="BF3054" s="0" t="b">
        <v>0</v>
      </c>
      <c r="BG3054" s="0" t="b">
        <v>0</v>
      </c>
      <c r="BH3054" s="0">
        <v>73</v>
      </c>
      <c r="BI3054" s="0">
        <v>73</v>
      </c>
      <c r="BJ3054" s="0" t="s">
        <v>135</v>
      </c>
    </row>
    <row r="3055">
      <c r="A3055" s="0" t="s">
        <v>3304</v>
      </c>
      <c r="B3055" s="0" t="s">
        <v>134</v>
      </c>
      <c r="C3055" s="0" t="s">
        <v>134</v>
      </c>
      <c r="D3055" s="0" t="s">
        <v>230</v>
      </c>
      <c r="E3055" s="0" t="s">
        <v>3</v>
      </c>
      <c r="F3055" s="0" t="s">
        <v>12</v>
      </c>
      <c r="G3055" s="0" t="s">
        <v>8</v>
      </c>
      <c r="H3055" s="0">
        <v>318</v>
      </c>
      <c r="I3055" s="0">
        <v>539.5</v>
      </c>
      <c r="J3055" s="0">
        <v>0</v>
      </c>
      <c r="K3055" s="0">
        <v>1</v>
      </c>
      <c r="L3055" s="0">
        <v>4</v>
      </c>
      <c r="M3055" s="0">
        <v>7</v>
      </c>
      <c r="N3055" s="0">
        <v>0</v>
      </c>
      <c r="O3055" s="0">
        <v>0</v>
      </c>
      <c r="P3055" s="0">
        <v>-214.5</v>
      </c>
      <c r="R3055" s="0" t="b">
        <v>0</v>
      </c>
      <c r="S3055" s="0" t="b">
        <v>1</v>
      </c>
      <c r="T3055" s="68">
        <v>45735.6729166667</v>
      </c>
      <c r="U3055" s="68">
        <v>45748.3333333333</v>
      </c>
      <c r="V3055" s="68">
        <v>0</v>
      </c>
      <c r="W3055" s="0">
        <f>IF(IF(B3055="none",1,IF(B3055="Trialer",1,0))+IF(C3055="Customer",1,IF(C3055="Lost",1,0))=2,1,0)</f>
      </c>
      <c r="X3055" s="0" t="s">
        <v>136</v>
      </c>
      <c r="Y3055" s="0" t="s">
        <v>243</v>
      </c>
      <c r="AV3055" s="68"/>
      <c r="AW3055" s="68"/>
      <c r="AY3055" s="27"/>
      <c r="BD3055" s="68">
        <v>46054.1666666667</v>
      </c>
      <c r="BE3055" s="68">
        <v>46082.1666666667</v>
      </c>
      <c r="BF3055" s="0" t="b">
        <v>0</v>
      </c>
      <c r="BG3055" s="0" t="b">
        <v>0</v>
      </c>
      <c r="BH3055" s="0">
        <v>286</v>
      </c>
      <c r="BI3055" s="0">
        <v>286</v>
      </c>
      <c r="BJ3055" s="0" t="s">
        <v>230</v>
      </c>
    </row>
    <row r="3056">
      <c r="A3056" s="0" t="s">
        <v>3305</v>
      </c>
      <c r="B3056" s="0" t="s">
        <v>134</v>
      </c>
      <c r="C3056" s="0" t="s">
        <v>134</v>
      </c>
      <c r="D3056" s="0" t="s">
        <v>135</v>
      </c>
      <c r="E3056" s="0" t="s">
        <v>3</v>
      </c>
      <c r="F3056" s="0" t="s">
        <v>12</v>
      </c>
      <c r="G3056" s="0" t="s">
        <v>8</v>
      </c>
      <c r="H3056" s="0">
        <v>317</v>
      </c>
      <c r="I3056" s="0">
        <v>49</v>
      </c>
      <c r="J3056" s="0">
        <v>0</v>
      </c>
      <c r="K3056" s="0">
        <v>1</v>
      </c>
      <c r="L3056" s="0">
        <v>3</v>
      </c>
      <c r="M3056" s="0">
        <v>1</v>
      </c>
      <c r="N3056" s="0">
        <v>0</v>
      </c>
      <c r="O3056" s="0">
        <v>0</v>
      </c>
      <c r="P3056" s="0">
        <v>0</v>
      </c>
      <c r="R3056" s="0" t="b">
        <v>0</v>
      </c>
      <c r="S3056" s="0" t="b">
        <v>1</v>
      </c>
      <c r="T3056" s="68">
        <v>45736.0129166667</v>
      </c>
      <c r="U3056" s="68">
        <v>45750.3333333333</v>
      </c>
      <c r="V3056" s="68">
        <v>0</v>
      </c>
      <c r="W3056" s="0">
        <f>IF(IF(B3056="none",1,IF(B3056="Trialer",1,0))+IF(C3056="Customer",1,IF(C3056="Lost",1,0))=2,1,0)</f>
      </c>
      <c r="X3056" s="0" t="s">
        <v>153</v>
      </c>
      <c r="Y3056" s="0" t="s">
        <v>243</v>
      </c>
      <c r="AV3056" s="68"/>
      <c r="AW3056" s="68"/>
      <c r="AY3056" s="27"/>
      <c r="BD3056" s="68">
        <v>46054.1666666667</v>
      </c>
      <c r="BE3056" s="68">
        <v>46082.1666666667</v>
      </c>
      <c r="BF3056" s="0" t="b">
        <v>0</v>
      </c>
      <c r="BG3056" s="0" t="b">
        <v>0</v>
      </c>
      <c r="BH3056" s="0">
        <v>49</v>
      </c>
      <c r="BI3056" s="0">
        <v>49</v>
      </c>
      <c r="BJ3056" s="0" t="s">
        <v>135</v>
      </c>
    </row>
    <row r="3057">
      <c r="A3057" s="0" t="s">
        <v>3306</v>
      </c>
      <c r="B3057" s="0" t="s">
        <v>134</v>
      </c>
      <c r="C3057" s="0" t="s">
        <v>134</v>
      </c>
      <c r="D3057" s="0" t="s">
        <v>230</v>
      </c>
      <c r="E3057" s="0" t="s">
        <v>3</v>
      </c>
      <c r="F3057" s="0" t="s">
        <v>12</v>
      </c>
      <c r="G3057" s="0" t="s">
        <v>8</v>
      </c>
      <c r="H3057" s="0">
        <v>317</v>
      </c>
      <c r="I3057" s="0">
        <v>152</v>
      </c>
      <c r="J3057" s="0">
        <v>0</v>
      </c>
      <c r="K3057" s="0">
        <v>1</v>
      </c>
      <c r="L3057" s="0">
        <v>4</v>
      </c>
      <c r="M3057" s="0">
        <v>3</v>
      </c>
      <c r="N3057" s="0">
        <v>0</v>
      </c>
      <c r="O3057" s="0">
        <v>0</v>
      </c>
      <c r="P3057" s="0">
        <v>-152</v>
      </c>
      <c r="R3057" s="0" t="b">
        <v>0</v>
      </c>
      <c r="S3057" s="0" t="b">
        <v>1</v>
      </c>
      <c r="T3057" s="68">
        <v>45736.5069444444</v>
      </c>
      <c r="U3057" s="68">
        <v>45750.3333333333</v>
      </c>
      <c r="V3057" s="68">
        <v>0</v>
      </c>
      <c r="W3057" s="0">
        <f>IF(IF(B3057="none",1,IF(B3057="Trialer",1,0))+IF(C3057="Customer",1,IF(C3057="Lost",1,0))=2,1,0)</f>
      </c>
      <c r="X3057" s="0" t="s">
        <v>153</v>
      </c>
      <c r="Y3057" s="0" t="s">
        <v>243</v>
      </c>
      <c r="AV3057" s="68"/>
      <c r="AW3057" s="68"/>
      <c r="AY3057" s="27"/>
      <c r="BD3057" s="68">
        <v>46054.1666666667</v>
      </c>
      <c r="BE3057" s="68">
        <v>46082.1666666667</v>
      </c>
      <c r="BF3057" s="0" t="b">
        <v>0</v>
      </c>
      <c r="BG3057" s="0" t="b">
        <v>0</v>
      </c>
      <c r="BH3057" s="0">
        <v>171</v>
      </c>
      <c r="BI3057" s="0">
        <v>171</v>
      </c>
      <c r="BJ3057" s="0" t="s">
        <v>230</v>
      </c>
    </row>
    <row r="3058">
      <c r="A3058" s="0" t="s">
        <v>3307</v>
      </c>
      <c r="B3058" s="0" t="s">
        <v>134</v>
      </c>
      <c r="C3058" s="0" t="s">
        <v>134</v>
      </c>
      <c r="D3058" s="0" t="s">
        <v>230</v>
      </c>
      <c r="E3058" s="0" t="s">
        <v>3</v>
      </c>
      <c r="F3058" s="0" t="s">
        <v>12</v>
      </c>
      <c r="G3058" s="0" t="s">
        <v>8</v>
      </c>
      <c r="H3058" s="0">
        <v>317</v>
      </c>
      <c r="I3058" s="0">
        <v>454</v>
      </c>
      <c r="J3058" s="0">
        <v>0</v>
      </c>
      <c r="K3058" s="0">
        <v>1</v>
      </c>
      <c r="L3058" s="0">
        <v>3</v>
      </c>
      <c r="M3058" s="0">
        <v>4</v>
      </c>
      <c r="N3058" s="0">
        <v>0</v>
      </c>
      <c r="O3058" s="0">
        <v>0</v>
      </c>
      <c r="P3058" s="0">
        <v>-129</v>
      </c>
      <c r="R3058" s="0" t="b">
        <v>0</v>
      </c>
      <c r="S3058" s="0" t="b">
        <v>1</v>
      </c>
      <c r="T3058" s="68">
        <v>45736.7413425926</v>
      </c>
      <c r="U3058" s="68">
        <v>45756.3333333333</v>
      </c>
      <c r="V3058" s="68">
        <v>0</v>
      </c>
      <c r="W3058" s="0">
        <f>IF(IF(B3058="none",1,IF(B3058="Trialer",1,0))+IF(C3058="Customer",1,IF(C3058="Lost",1,0))=2,1,0)</f>
      </c>
      <c r="X3058" s="0" t="s">
        <v>136</v>
      </c>
      <c r="Y3058" s="0" t="s">
        <v>243</v>
      </c>
      <c r="AV3058" s="68"/>
      <c r="AW3058" s="68"/>
      <c r="AY3058" s="27"/>
      <c r="BD3058" s="68">
        <v>46054.1666666667</v>
      </c>
      <c r="BE3058" s="68">
        <v>46082.1666666667</v>
      </c>
      <c r="BF3058" s="0" t="b">
        <v>0</v>
      </c>
      <c r="BG3058" s="0" t="b">
        <v>0</v>
      </c>
      <c r="BH3058" s="0">
        <v>172</v>
      </c>
      <c r="BI3058" s="0">
        <v>172</v>
      </c>
      <c r="BJ3058" s="0" t="s">
        <v>230</v>
      </c>
    </row>
    <row r="3059">
      <c r="A3059" s="0" t="s">
        <v>3308</v>
      </c>
      <c r="B3059" s="0" t="s">
        <v>134</v>
      </c>
      <c r="C3059" s="0" t="s">
        <v>134</v>
      </c>
      <c r="D3059" s="0" t="s">
        <v>230</v>
      </c>
      <c r="E3059" s="0" t="s">
        <v>2</v>
      </c>
      <c r="F3059" s="0" t="s">
        <v>12</v>
      </c>
      <c r="G3059" s="0" t="s">
        <v>8</v>
      </c>
      <c r="H3059" s="0">
        <v>317</v>
      </c>
      <c r="I3059" s="0">
        <v>730.15</v>
      </c>
      <c r="J3059" s="0">
        <v>0</v>
      </c>
      <c r="K3059" s="0">
        <v>1</v>
      </c>
      <c r="L3059" s="0">
        <v>6</v>
      </c>
      <c r="M3059" s="0">
        <v>7</v>
      </c>
      <c r="N3059" s="0">
        <v>0</v>
      </c>
      <c r="O3059" s="0">
        <v>0</v>
      </c>
      <c r="P3059" s="0">
        <v>-405.15</v>
      </c>
      <c r="R3059" s="0" t="b">
        <v>0</v>
      </c>
      <c r="S3059" s="0" t="b">
        <v>1</v>
      </c>
      <c r="T3059" s="68">
        <v>45736.8194560185</v>
      </c>
      <c r="U3059" s="68">
        <v>45742.3333333333</v>
      </c>
      <c r="V3059" s="68">
        <v>0</v>
      </c>
      <c r="W3059" s="0">
        <f>IF(IF(B3059="none",1,IF(B3059="Trialer",1,0))+IF(C3059="Customer",1,IF(C3059="Lost",1,0))=2,1,0)</f>
      </c>
      <c r="X3059" s="0" t="s">
        <v>136</v>
      </c>
      <c r="Y3059" s="0" t="s">
        <v>499</v>
      </c>
      <c r="AV3059" s="68"/>
      <c r="AW3059" s="68"/>
      <c r="AY3059" s="27"/>
      <c r="BD3059" s="68">
        <v>46054.1666666667</v>
      </c>
      <c r="BE3059" s="68">
        <v>46082.1666666667</v>
      </c>
      <c r="BF3059" s="0" t="b">
        <v>0</v>
      </c>
      <c r="BG3059" s="0" t="b">
        <v>0</v>
      </c>
      <c r="BH3059" s="0">
        <v>457</v>
      </c>
      <c r="BI3059" s="0">
        <v>457</v>
      </c>
      <c r="BJ3059" s="0" t="s">
        <v>230</v>
      </c>
    </row>
    <row r="3060">
      <c r="A3060" s="0" t="s">
        <v>3309</v>
      </c>
      <c r="B3060" s="0" t="s">
        <v>134</v>
      </c>
      <c r="C3060" s="0" t="s">
        <v>134</v>
      </c>
      <c r="D3060" s="0" t="s">
        <v>135</v>
      </c>
      <c r="E3060" s="0" t="s">
        <v>3</v>
      </c>
      <c r="F3060" s="0" t="s">
        <v>12</v>
      </c>
      <c r="G3060" s="0" t="s">
        <v>8</v>
      </c>
      <c r="H3060" s="0">
        <v>316</v>
      </c>
      <c r="I3060" s="0">
        <v>508</v>
      </c>
      <c r="J3060" s="0">
        <v>0</v>
      </c>
      <c r="K3060" s="0">
        <v>1</v>
      </c>
      <c r="L3060" s="0">
        <v>4</v>
      </c>
      <c r="M3060" s="0">
        <v>3</v>
      </c>
      <c r="N3060" s="0">
        <v>0</v>
      </c>
      <c r="O3060" s="0">
        <v>0</v>
      </c>
      <c r="P3060" s="0">
        <v>0</v>
      </c>
      <c r="R3060" s="0" t="b">
        <v>0</v>
      </c>
      <c r="S3060" s="0" t="b">
        <v>1</v>
      </c>
      <c r="T3060" s="68">
        <v>45737.4736111111</v>
      </c>
      <c r="U3060" s="68">
        <v>45758.3333333333</v>
      </c>
      <c r="V3060" s="68">
        <v>0</v>
      </c>
      <c r="W3060" s="0">
        <f>IF(IF(B3060="none",1,IF(B3060="Trialer",1,0))+IF(C3060="Customer",1,IF(C3060="Lost",1,0))=2,1,0)</f>
      </c>
      <c r="X3060" s="0" t="s">
        <v>145</v>
      </c>
      <c r="Y3060" s="0" t="s">
        <v>243</v>
      </c>
      <c r="AV3060" s="68"/>
      <c r="AW3060" s="68"/>
      <c r="AY3060" s="27"/>
      <c r="BD3060" s="68">
        <v>46054.1666666667</v>
      </c>
      <c r="BE3060" s="68">
        <v>46082.1666666667</v>
      </c>
      <c r="BF3060" s="0" t="b">
        <v>0</v>
      </c>
      <c r="BG3060" s="0" t="b">
        <v>0</v>
      </c>
      <c r="BH3060" s="0">
        <v>183</v>
      </c>
      <c r="BI3060" s="0">
        <v>183</v>
      </c>
      <c r="BJ3060" s="0" t="s">
        <v>135</v>
      </c>
    </row>
    <row r="3061">
      <c r="A3061" s="0" t="s">
        <v>3310</v>
      </c>
      <c r="B3061" s="0" t="s">
        <v>134</v>
      </c>
      <c r="C3061" s="0" t="s">
        <v>134</v>
      </c>
      <c r="D3061" s="0" t="s">
        <v>135</v>
      </c>
      <c r="E3061" s="0" t="s">
        <v>3</v>
      </c>
      <c r="F3061" s="0" t="s">
        <v>12</v>
      </c>
      <c r="G3061" s="0" t="s">
        <v>8</v>
      </c>
      <c r="H3061" s="0">
        <v>316</v>
      </c>
      <c r="I3061" s="0">
        <v>602</v>
      </c>
      <c r="J3061" s="0">
        <v>0</v>
      </c>
      <c r="K3061" s="0">
        <v>1</v>
      </c>
      <c r="L3061" s="0">
        <v>4</v>
      </c>
      <c r="M3061" s="0">
        <v>11</v>
      </c>
      <c r="N3061" s="0">
        <v>0</v>
      </c>
      <c r="O3061" s="0">
        <v>0</v>
      </c>
      <c r="P3061" s="0">
        <v>0</v>
      </c>
      <c r="R3061" s="0" t="b">
        <v>0</v>
      </c>
      <c r="S3061" s="0" t="b">
        <v>1</v>
      </c>
      <c r="T3061" s="68">
        <v>45737.5191203704</v>
      </c>
      <c r="U3061" s="68">
        <v>45751.3333333333</v>
      </c>
      <c r="V3061" s="68">
        <v>0</v>
      </c>
      <c r="W3061" s="0">
        <f>IF(IF(B3061="none",1,IF(B3061="Trialer",1,0))+IF(C3061="Customer",1,IF(C3061="Lost",1,0))=2,1,0)</f>
      </c>
      <c r="X3061" s="0" t="s">
        <v>148</v>
      </c>
      <c r="Y3061" s="0" t="s">
        <v>243</v>
      </c>
      <c r="AV3061" s="68"/>
      <c r="AW3061" s="68"/>
      <c r="AY3061" s="27"/>
      <c r="BD3061" s="68">
        <v>46054.1666666667</v>
      </c>
      <c r="BE3061" s="68">
        <v>46082.1666666667</v>
      </c>
      <c r="BF3061" s="0" t="b">
        <v>0</v>
      </c>
      <c r="BG3061" s="0" t="b">
        <v>0</v>
      </c>
      <c r="BH3061" s="0">
        <v>663</v>
      </c>
      <c r="BI3061" s="0">
        <v>663</v>
      </c>
      <c r="BJ3061" s="0" t="s">
        <v>135</v>
      </c>
    </row>
    <row r="3062">
      <c r="A3062" s="0" t="s">
        <v>3311</v>
      </c>
      <c r="B3062" s="0" t="s">
        <v>134</v>
      </c>
      <c r="C3062" s="0" t="s">
        <v>134</v>
      </c>
      <c r="D3062" s="0" t="s">
        <v>230</v>
      </c>
      <c r="E3062" s="0" t="s">
        <v>3</v>
      </c>
      <c r="F3062" s="0" t="s">
        <v>12</v>
      </c>
      <c r="G3062" s="0" t="s">
        <v>8</v>
      </c>
      <c r="H3062" s="0">
        <v>315</v>
      </c>
      <c r="I3062" s="0">
        <v>54</v>
      </c>
      <c r="J3062" s="0">
        <v>0</v>
      </c>
      <c r="K3062" s="0">
        <v>1</v>
      </c>
      <c r="L3062" s="0">
        <v>4</v>
      </c>
      <c r="M3062" s="0">
        <v>1</v>
      </c>
      <c r="N3062" s="0">
        <v>0</v>
      </c>
      <c r="O3062" s="0">
        <v>0</v>
      </c>
      <c r="P3062" s="0">
        <v>-54</v>
      </c>
      <c r="R3062" s="0" t="b">
        <v>0</v>
      </c>
      <c r="S3062" s="0" t="b">
        <v>1</v>
      </c>
      <c r="T3062" s="68">
        <v>45738.909849537</v>
      </c>
      <c r="U3062" s="68">
        <v>45769.3333333333</v>
      </c>
      <c r="V3062" s="68">
        <v>0</v>
      </c>
      <c r="W3062" s="0">
        <f>IF(IF(B3062="none",1,IF(B3062="Trialer",1,0))+IF(C3062="Customer",1,IF(C3062="Lost",1,0))=2,1,0)</f>
      </c>
      <c r="X3062" s="0" t="s">
        <v>1461</v>
      </c>
      <c r="Y3062" s="0" t="s">
        <v>243</v>
      </c>
      <c r="AV3062" s="68"/>
      <c r="AW3062" s="68"/>
      <c r="AY3062" s="27"/>
      <c r="BD3062" s="68">
        <v>46054.1666666667</v>
      </c>
      <c r="BE3062" s="68">
        <v>46082.1666666667</v>
      </c>
      <c r="BF3062" s="0" t="b">
        <v>0</v>
      </c>
      <c r="BG3062" s="0" t="b">
        <v>0</v>
      </c>
      <c r="BH3062" s="0">
        <v>61</v>
      </c>
      <c r="BI3062" s="0">
        <v>61</v>
      </c>
      <c r="BJ3062" s="0" t="s">
        <v>230</v>
      </c>
    </row>
    <row r="3063">
      <c r="A3063" s="0" t="s">
        <v>3312</v>
      </c>
      <c r="B3063" s="0" t="s">
        <v>134</v>
      </c>
      <c r="C3063" s="0" t="s">
        <v>134</v>
      </c>
      <c r="D3063" s="0" t="s">
        <v>230</v>
      </c>
      <c r="E3063" s="0" t="s">
        <v>2</v>
      </c>
      <c r="F3063" s="0" t="s">
        <v>12</v>
      </c>
      <c r="G3063" s="0" t="s">
        <v>8</v>
      </c>
      <c r="H3063" s="0">
        <v>314</v>
      </c>
      <c r="I3063" s="0">
        <v>563.5</v>
      </c>
      <c r="J3063" s="0">
        <v>0</v>
      </c>
      <c r="K3063" s="0">
        <v>1</v>
      </c>
      <c r="L3063" s="0">
        <v>5</v>
      </c>
      <c r="M3063" s="0">
        <v>6</v>
      </c>
      <c r="N3063" s="0">
        <v>418.5</v>
      </c>
      <c r="O3063" s="0">
        <v>0</v>
      </c>
      <c r="P3063" s="0">
        <v>-238.5</v>
      </c>
      <c r="R3063" s="0" t="b">
        <v>0</v>
      </c>
      <c r="S3063" s="0" t="b">
        <v>1</v>
      </c>
      <c r="T3063" s="68">
        <v>45739.6909143518</v>
      </c>
      <c r="U3063" s="68">
        <v>45740.3333333333</v>
      </c>
      <c r="V3063" s="68">
        <v>0</v>
      </c>
      <c r="W3063" s="0">
        <f>IF(IF(B3063="none",1,IF(B3063="Trialer",1,0))+IF(C3063="Customer",1,IF(C3063="Lost",1,0))=2,1,0)</f>
      </c>
      <c r="X3063" s="0" t="s">
        <v>136</v>
      </c>
      <c r="Y3063" s="0" t="s">
        <v>499</v>
      </c>
      <c r="AV3063" s="68"/>
      <c r="AW3063" s="68"/>
      <c r="AY3063" s="27"/>
      <c r="BD3063" s="68">
        <v>46054.1666666667</v>
      </c>
      <c r="BE3063" s="68">
        <v>46082.1666666667</v>
      </c>
      <c r="BF3063" s="0" t="b">
        <v>0</v>
      </c>
      <c r="BG3063" s="0" t="b">
        <v>0</v>
      </c>
      <c r="BH3063" s="0">
        <v>367</v>
      </c>
      <c r="BI3063" s="0">
        <v>367</v>
      </c>
      <c r="BJ3063" s="0" t="s">
        <v>230</v>
      </c>
    </row>
    <row r="3064">
      <c r="A3064" s="0" t="s">
        <v>3313</v>
      </c>
      <c r="B3064" s="0" t="s">
        <v>134</v>
      </c>
      <c r="C3064" s="0" t="s">
        <v>134</v>
      </c>
      <c r="D3064" s="0" t="s">
        <v>230</v>
      </c>
      <c r="E3064" s="0" t="s">
        <v>3</v>
      </c>
      <c r="F3064" s="0" t="s">
        <v>12</v>
      </c>
      <c r="G3064" s="0" t="s">
        <v>8</v>
      </c>
      <c r="H3064" s="0">
        <v>313</v>
      </c>
      <c r="I3064" s="0">
        <v>114</v>
      </c>
      <c r="J3064" s="0">
        <v>0</v>
      </c>
      <c r="K3064" s="0">
        <v>1</v>
      </c>
      <c r="L3064" s="0">
        <v>3</v>
      </c>
      <c r="M3064" s="0">
        <v>5</v>
      </c>
      <c r="N3064" s="0">
        <v>0</v>
      </c>
      <c r="O3064" s="0">
        <v>0</v>
      </c>
      <c r="P3064" s="0">
        <v>-114</v>
      </c>
      <c r="R3064" s="0" t="b">
        <v>0</v>
      </c>
      <c r="S3064" s="0" t="b">
        <v>1</v>
      </c>
      <c r="T3064" s="68">
        <v>45740.2005439815</v>
      </c>
      <c r="U3064" s="68">
        <v>45761.3333333333</v>
      </c>
      <c r="V3064" s="68">
        <v>0</v>
      </c>
      <c r="W3064" s="0">
        <f>IF(IF(B3064="none",1,IF(B3064="Trialer",1,0))+IF(C3064="Customer",1,IF(C3064="Lost",1,0))=2,1,0)</f>
      </c>
      <c r="X3064" s="0" t="s">
        <v>136</v>
      </c>
      <c r="Y3064" s="0" t="s">
        <v>243</v>
      </c>
      <c r="AV3064" s="68"/>
      <c r="AW3064" s="68"/>
      <c r="AY3064" s="27"/>
      <c r="BD3064" s="68">
        <v>46054.1666666667</v>
      </c>
      <c r="BE3064" s="68">
        <v>46082.1666666667</v>
      </c>
      <c r="BF3064" s="0" t="b">
        <v>0</v>
      </c>
      <c r="BG3064" s="0" t="b">
        <v>0</v>
      </c>
      <c r="BH3064" s="0">
        <v>152</v>
      </c>
      <c r="BI3064" s="0">
        <v>152</v>
      </c>
      <c r="BJ3064" s="0" t="s">
        <v>230</v>
      </c>
    </row>
    <row r="3065">
      <c r="A3065" s="0" t="s">
        <v>3314</v>
      </c>
      <c r="B3065" s="0" t="s">
        <v>134</v>
      </c>
      <c r="C3065" s="0" t="s">
        <v>134</v>
      </c>
      <c r="D3065" s="0" t="s">
        <v>135</v>
      </c>
      <c r="E3065" s="0" t="s">
        <v>3</v>
      </c>
      <c r="F3065" s="0" t="s">
        <v>12</v>
      </c>
      <c r="G3065" s="0" t="s">
        <v>8</v>
      </c>
      <c r="H3065" s="0">
        <v>313</v>
      </c>
      <c r="I3065" s="0">
        <v>61</v>
      </c>
      <c r="J3065" s="0">
        <v>0</v>
      </c>
      <c r="K3065" s="0">
        <v>1</v>
      </c>
      <c r="L3065" s="0">
        <v>4</v>
      </c>
      <c r="M3065" s="0">
        <v>1</v>
      </c>
      <c r="N3065" s="0">
        <v>0</v>
      </c>
      <c r="O3065" s="0">
        <v>0</v>
      </c>
      <c r="P3065" s="0">
        <v>0</v>
      </c>
      <c r="R3065" s="0" t="b">
        <v>0</v>
      </c>
      <c r="S3065" s="0" t="b">
        <v>1</v>
      </c>
      <c r="T3065" s="68">
        <v>45740.3870717593</v>
      </c>
      <c r="U3065" s="68">
        <v>45761.3333333333</v>
      </c>
      <c r="V3065" s="68">
        <v>0</v>
      </c>
      <c r="W3065" s="0">
        <f>IF(IF(B3065="none",1,IF(B3065="Trialer",1,0))+IF(C3065="Customer",1,IF(C3065="Lost",1,0))=2,1,0)</f>
      </c>
      <c r="X3065" s="0" t="s">
        <v>142</v>
      </c>
      <c r="Y3065" s="0" t="s">
        <v>243</v>
      </c>
      <c r="AV3065" s="68"/>
      <c r="AW3065" s="68"/>
      <c r="AY3065" s="27"/>
      <c r="BD3065" s="68">
        <v>46054.1666666667</v>
      </c>
      <c r="BE3065" s="68">
        <v>46082.1666666667</v>
      </c>
      <c r="BF3065" s="0" t="b">
        <v>0</v>
      </c>
      <c r="BG3065" s="0" t="b">
        <v>0</v>
      </c>
      <c r="BH3065" s="0">
        <v>61</v>
      </c>
      <c r="BI3065" s="0">
        <v>61</v>
      </c>
      <c r="BJ3065" s="0" t="s">
        <v>135</v>
      </c>
    </row>
    <row r="3066">
      <c r="A3066" s="0" t="s">
        <v>3315</v>
      </c>
      <c r="B3066" s="0" t="s">
        <v>134</v>
      </c>
      <c r="C3066" s="0" t="s">
        <v>190</v>
      </c>
      <c r="D3066" s="0" t="s">
        <v>135</v>
      </c>
      <c r="E3066" s="0" t="s">
        <v>2</v>
      </c>
      <c r="F3066" s="0" t="s">
        <v>12</v>
      </c>
      <c r="G3066" s="0" t="s">
        <v>8</v>
      </c>
      <c r="H3066" s="0">
        <v>313</v>
      </c>
      <c r="I3066" s="0">
        <v>373</v>
      </c>
      <c r="J3066" s="0">
        <v>-373</v>
      </c>
      <c r="K3066" s="0">
        <v>1</v>
      </c>
      <c r="L3066" s="0">
        <v>3</v>
      </c>
      <c r="M3066" s="0">
        <v>15</v>
      </c>
      <c r="N3066" s="0">
        <v>155</v>
      </c>
      <c r="O3066" s="0">
        <v>0</v>
      </c>
      <c r="P3066" s="0">
        <v>0</v>
      </c>
      <c r="R3066" s="0" t="b">
        <v>0</v>
      </c>
      <c r="S3066" s="0" t="b">
        <v>0</v>
      </c>
      <c r="T3066" s="68">
        <v>45740.3944675926</v>
      </c>
      <c r="U3066" s="68">
        <v>45755.3333333333</v>
      </c>
      <c r="V3066" s="68">
        <v>46065.3970833333</v>
      </c>
      <c r="W3066" s="0">
        <f>IF(IF(B3066="none",1,IF(B3066="Trialer",1,0))+IF(C3066="Customer",1,IF(C3066="Lost",1,0))=2,1,0)</f>
      </c>
      <c r="X3066" s="0" t="s">
        <v>148</v>
      </c>
      <c r="Y3066" s="0" t="s">
        <v>499</v>
      </c>
      <c r="AV3066" s="68"/>
      <c r="AW3066" s="68"/>
      <c r="AY3066" s="27"/>
      <c r="BD3066" s="68">
        <v>46054.1666666667</v>
      </c>
      <c r="BE3066" s="68">
        <v>46082.1666666667</v>
      </c>
      <c r="BF3066" s="0" t="b">
        <v>0</v>
      </c>
      <c r="BG3066" s="0" t="b">
        <v>0</v>
      </c>
      <c r="BH3066" s="0">
        <v>49</v>
      </c>
      <c r="BI3066" s="0">
        <v>49</v>
      </c>
      <c r="BJ3066" s="0" t="s">
        <v>135</v>
      </c>
    </row>
    <row r="3067">
      <c r="A3067" s="0" t="s">
        <v>3316</v>
      </c>
      <c r="B3067" s="0" t="s">
        <v>134</v>
      </c>
      <c r="C3067" s="0" t="s">
        <v>134</v>
      </c>
      <c r="D3067" s="0" t="s">
        <v>135</v>
      </c>
      <c r="E3067" s="0" t="s">
        <v>3</v>
      </c>
      <c r="F3067" s="0" t="s">
        <v>12</v>
      </c>
      <c r="G3067" s="0" t="s">
        <v>8</v>
      </c>
      <c r="H3067" s="0">
        <v>313</v>
      </c>
      <c r="I3067" s="0">
        <v>171</v>
      </c>
      <c r="J3067" s="0">
        <v>0</v>
      </c>
      <c r="K3067" s="0">
        <v>1</v>
      </c>
      <c r="L3067" s="0">
        <v>5</v>
      </c>
      <c r="M3067" s="0">
        <v>3</v>
      </c>
      <c r="N3067" s="0">
        <v>0</v>
      </c>
      <c r="O3067" s="0">
        <v>0</v>
      </c>
      <c r="P3067" s="0">
        <v>0</v>
      </c>
      <c r="R3067" s="0" t="b">
        <v>0</v>
      </c>
      <c r="S3067" s="0" t="b">
        <v>1</v>
      </c>
      <c r="T3067" s="68">
        <v>45740.4082986111</v>
      </c>
      <c r="U3067" s="68">
        <v>45761.3333333333</v>
      </c>
      <c r="V3067" s="68">
        <v>0</v>
      </c>
      <c r="W3067" s="0">
        <f>IF(IF(B3067="none",1,IF(B3067="Trialer",1,0))+IF(C3067="Customer",1,IF(C3067="Lost",1,0))=2,1,0)</f>
      </c>
      <c r="X3067" s="0" t="s">
        <v>136</v>
      </c>
      <c r="Y3067" s="0" t="s">
        <v>243</v>
      </c>
      <c r="AV3067" s="68"/>
      <c r="AW3067" s="68"/>
      <c r="AY3067" s="27"/>
      <c r="BD3067" s="68">
        <v>46054.1666666667</v>
      </c>
      <c r="BE3067" s="68">
        <v>46082.1666666667</v>
      </c>
      <c r="BF3067" s="0" t="b">
        <v>0</v>
      </c>
      <c r="BG3067" s="0" t="b">
        <v>0</v>
      </c>
      <c r="BH3067" s="0">
        <v>196</v>
      </c>
      <c r="BI3067" s="0">
        <v>196</v>
      </c>
      <c r="BJ3067" s="0" t="s">
        <v>135</v>
      </c>
    </row>
    <row r="3068">
      <c r="A3068" s="0" t="s">
        <v>3317</v>
      </c>
      <c r="B3068" s="0" t="s">
        <v>134</v>
      </c>
      <c r="C3068" s="0" t="s">
        <v>134</v>
      </c>
      <c r="D3068" s="0" t="s">
        <v>135</v>
      </c>
      <c r="E3068" s="0" t="s">
        <v>3</v>
      </c>
      <c r="F3068" s="0" t="s">
        <v>12</v>
      </c>
      <c r="G3068" s="0" t="s">
        <v>8</v>
      </c>
      <c r="H3068" s="0">
        <v>313</v>
      </c>
      <c r="I3068" s="0">
        <v>101</v>
      </c>
      <c r="J3068" s="0">
        <v>0</v>
      </c>
      <c r="K3068" s="0">
        <v>1</v>
      </c>
      <c r="L3068" s="0">
        <v>5</v>
      </c>
      <c r="M3068" s="0">
        <v>2</v>
      </c>
      <c r="N3068" s="0">
        <v>0</v>
      </c>
      <c r="O3068" s="0">
        <v>0</v>
      </c>
      <c r="P3068" s="0">
        <v>0</v>
      </c>
      <c r="R3068" s="0" t="b">
        <v>0</v>
      </c>
      <c r="S3068" s="0" t="b">
        <v>1</v>
      </c>
      <c r="T3068" s="68">
        <v>45740.4307407407</v>
      </c>
      <c r="U3068" s="68">
        <v>45755.3333333333</v>
      </c>
      <c r="V3068" s="68">
        <v>0</v>
      </c>
      <c r="W3068" s="0">
        <f>IF(IF(B3068="none",1,IF(B3068="Trialer",1,0))+IF(C3068="Customer",1,IF(C3068="Lost",1,0))=2,1,0)</f>
      </c>
      <c r="X3068" s="0" t="s">
        <v>153</v>
      </c>
      <c r="Y3068" s="0" t="s">
        <v>243</v>
      </c>
      <c r="AV3068" s="68"/>
      <c r="AW3068" s="68"/>
      <c r="AY3068" s="27"/>
      <c r="BD3068" s="68">
        <v>46054.1666666667</v>
      </c>
      <c r="BE3068" s="68">
        <v>46082.1666666667</v>
      </c>
      <c r="BF3068" s="0" t="b">
        <v>0</v>
      </c>
      <c r="BG3068" s="0" t="b">
        <v>0</v>
      </c>
      <c r="BH3068" s="0">
        <v>101</v>
      </c>
      <c r="BI3068" s="0">
        <v>101</v>
      </c>
      <c r="BJ3068" s="0" t="s">
        <v>135</v>
      </c>
    </row>
    <row r="3069">
      <c r="A3069" s="0" t="s">
        <v>3318</v>
      </c>
      <c r="B3069" s="0" t="s">
        <v>134</v>
      </c>
      <c r="C3069" s="0" t="s">
        <v>134</v>
      </c>
      <c r="D3069" s="0" t="s">
        <v>230</v>
      </c>
      <c r="E3069" s="0" t="s">
        <v>3</v>
      </c>
      <c r="F3069" s="0" t="s">
        <v>10</v>
      </c>
      <c r="G3069" s="0" t="s">
        <v>8</v>
      </c>
      <c r="H3069" s="0">
        <v>313</v>
      </c>
      <c r="I3069" s="0">
        <v>160.97</v>
      </c>
      <c r="J3069" s="0">
        <v>0</v>
      </c>
      <c r="K3069" s="0">
        <v>1</v>
      </c>
      <c r="L3069" s="0">
        <v>2</v>
      </c>
      <c r="M3069" s="0">
        <v>4</v>
      </c>
      <c r="N3069" s="0">
        <v>0</v>
      </c>
      <c r="O3069" s="0">
        <v>0</v>
      </c>
      <c r="P3069" s="0">
        <v>-104.05</v>
      </c>
      <c r="Q3069" s="0" t="s">
        <v>1919</v>
      </c>
      <c r="R3069" s="0" t="b">
        <v>0</v>
      </c>
      <c r="S3069" s="0" t="b">
        <v>1</v>
      </c>
      <c r="T3069" s="68">
        <v>45740.5114583333</v>
      </c>
      <c r="U3069" s="68">
        <v>45757.3333333333</v>
      </c>
      <c r="V3069" s="68">
        <v>0</v>
      </c>
      <c r="W3069" s="0">
        <f>IF(IF(B3069="none",1,IF(B3069="Trialer",1,0))+IF(C3069="Customer",1,IF(C3069="Lost",1,0))=2,1,0)</f>
      </c>
      <c r="X3069" s="0" t="s">
        <v>145</v>
      </c>
      <c r="Y3069" s="0" t="s">
        <v>243</v>
      </c>
      <c r="AV3069" s="68"/>
      <c r="AW3069" s="68"/>
      <c r="AY3069" s="27"/>
      <c r="BD3069" s="68">
        <v>46054.1666666667</v>
      </c>
      <c r="BE3069" s="68">
        <v>46082.1666666667</v>
      </c>
      <c r="BF3069" s="0" t="b">
        <v>0</v>
      </c>
      <c r="BG3069" s="0" t="b">
        <v>0</v>
      </c>
      <c r="BH3069" s="0">
        <v>160</v>
      </c>
      <c r="BI3069" s="0">
        <v>160</v>
      </c>
      <c r="BJ3069" s="0" t="s">
        <v>135</v>
      </c>
    </row>
    <row r="3070">
      <c r="A3070" s="0" t="s">
        <v>3319</v>
      </c>
      <c r="B3070" s="0" t="s">
        <v>134</v>
      </c>
      <c r="C3070" s="0" t="s">
        <v>134</v>
      </c>
      <c r="D3070" s="0" t="s">
        <v>135</v>
      </c>
      <c r="E3070" s="0" t="s">
        <v>3</v>
      </c>
      <c r="F3070" s="0" t="s">
        <v>12</v>
      </c>
      <c r="G3070" s="0" t="s">
        <v>8</v>
      </c>
      <c r="H3070" s="0">
        <v>313</v>
      </c>
      <c r="I3070" s="0">
        <v>0</v>
      </c>
      <c r="J3070" s="0">
        <v>0</v>
      </c>
      <c r="K3070" s="0">
        <v>1</v>
      </c>
      <c r="L3070" s="0">
        <v>4</v>
      </c>
      <c r="M3070" s="0">
        <v>1</v>
      </c>
      <c r="N3070" s="0">
        <v>0</v>
      </c>
      <c r="O3070" s="0">
        <v>0</v>
      </c>
      <c r="P3070" s="0">
        <v>0</v>
      </c>
      <c r="R3070" s="0" t="b">
        <v>0</v>
      </c>
      <c r="S3070" s="0" t="b">
        <v>1</v>
      </c>
      <c r="T3070" s="68">
        <v>45740.5222222222</v>
      </c>
      <c r="U3070" s="68">
        <v>45754.3333333333</v>
      </c>
      <c r="V3070" s="68">
        <v>0</v>
      </c>
      <c r="W3070" s="0">
        <f>IF(IF(B3070="none",1,IF(B3070="Trialer",1,0))+IF(C3070="Customer",1,IF(C3070="Lost",1,0))=2,1,0)</f>
      </c>
      <c r="X3070" s="0" t="s">
        <v>148</v>
      </c>
      <c r="Y3070" s="0" t="s">
        <v>243</v>
      </c>
      <c r="AV3070" s="68"/>
      <c r="AW3070" s="68"/>
      <c r="AY3070" s="27"/>
      <c r="BD3070" s="68">
        <v>46054.1666666667</v>
      </c>
      <c r="BE3070" s="68">
        <v>46082.1666666667</v>
      </c>
      <c r="BF3070" s="0" t="b">
        <v>0</v>
      </c>
      <c r="BG3070" s="0" t="b">
        <v>0</v>
      </c>
      <c r="BH3070" s="0">
        <v>0</v>
      </c>
      <c r="BI3070" s="0">
        <v>0</v>
      </c>
      <c r="BJ3070" s="0" t="s">
        <v>135</v>
      </c>
    </row>
    <row r="3071">
      <c r="A3071" s="0" t="s">
        <v>3320</v>
      </c>
      <c r="B3071" s="0" t="s">
        <v>134</v>
      </c>
      <c r="C3071" s="0" t="s">
        <v>134</v>
      </c>
      <c r="D3071" s="0" t="s">
        <v>135</v>
      </c>
      <c r="E3071" s="0" t="s">
        <v>2</v>
      </c>
      <c r="F3071" s="0" t="s">
        <v>12</v>
      </c>
      <c r="G3071" s="0" t="s">
        <v>8</v>
      </c>
      <c r="H3071" s="0">
        <v>313</v>
      </c>
      <c r="I3071" s="0">
        <v>61</v>
      </c>
      <c r="J3071" s="0">
        <v>0</v>
      </c>
      <c r="K3071" s="0">
        <v>1</v>
      </c>
      <c r="L3071" s="0">
        <v>4</v>
      </c>
      <c r="M3071" s="0">
        <v>1</v>
      </c>
      <c r="N3071" s="0">
        <v>0</v>
      </c>
      <c r="O3071" s="0">
        <v>0</v>
      </c>
      <c r="P3071" s="0">
        <v>0</v>
      </c>
      <c r="R3071" s="0" t="b">
        <v>0</v>
      </c>
      <c r="S3071" s="0" t="b">
        <v>1</v>
      </c>
      <c r="T3071" s="68">
        <v>45740.5513888889</v>
      </c>
      <c r="U3071" s="68">
        <v>45763.3333333333</v>
      </c>
      <c r="V3071" s="68">
        <v>0</v>
      </c>
      <c r="W3071" s="0">
        <f>IF(IF(B3071="none",1,IF(B3071="Trialer",1,0))+IF(C3071="Customer",1,IF(C3071="Lost",1,0))=2,1,0)</f>
      </c>
      <c r="X3071" s="0" t="s">
        <v>153</v>
      </c>
      <c r="Y3071" s="0" t="s">
        <v>499</v>
      </c>
      <c r="AV3071" s="68"/>
      <c r="AW3071" s="68"/>
      <c r="AY3071" s="27"/>
      <c r="BD3071" s="68">
        <v>46054.1666666667</v>
      </c>
      <c r="BE3071" s="68">
        <v>46082.1666666667</v>
      </c>
      <c r="BF3071" s="0" t="b">
        <v>0</v>
      </c>
      <c r="BG3071" s="0" t="b">
        <v>0</v>
      </c>
      <c r="BH3071" s="0">
        <v>61</v>
      </c>
      <c r="BI3071" s="0">
        <v>61</v>
      </c>
      <c r="BJ3071" s="0" t="s">
        <v>135</v>
      </c>
    </row>
    <row r="3072">
      <c r="A3072" s="0" t="s">
        <v>3321</v>
      </c>
      <c r="B3072" s="0" t="s">
        <v>134</v>
      </c>
      <c r="C3072" s="0" t="s">
        <v>134</v>
      </c>
      <c r="D3072" s="0" t="s">
        <v>135</v>
      </c>
      <c r="E3072" s="0" t="s">
        <v>3</v>
      </c>
      <c r="F3072" s="0" t="s">
        <v>12</v>
      </c>
      <c r="G3072" s="0" t="s">
        <v>8</v>
      </c>
      <c r="H3072" s="0">
        <v>312</v>
      </c>
      <c r="I3072" s="0">
        <v>49</v>
      </c>
      <c r="J3072" s="0">
        <v>0</v>
      </c>
      <c r="K3072" s="0">
        <v>1</v>
      </c>
      <c r="L3072" s="0">
        <v>3</v>
      </c>
      <c r="M3072" s="0">
        <v>1</v>
      </c>
      <c r="N3072" s="0">
        <v>0</v>
      </c>
      <c r="O3072" s="0">
        <v>0</v>
      </c>
      <c r="P3072" s="0">
        <v>0</v>
      </c>
      <c r="R3072" s="0" t="b">
        <v>0</v>
      </c>
      <c r="S3072" s="0" t="b">
        <v>1</v>
      </c>
      <c r="T3072" s="68">
        <v>45741.4282060185</v>
      </c>
      <c r="U3072" s="68">
        <v>45755.3333333333</v>
      </c>
      <c r="V3072" s="68">
        <v>0</v>
      </c>
      <c r="W3072" s="0">
        <f>IF(IF(B3072="none",1,IF(B3072="Trialer",1,0))+IF(C3072="Customer",1,IF(C3072="Lost",1,0))=2,1,0)</f>
      </c>
      <c r="X3072" s="0" t="s">
        <v>166</v>
      </c>
      <c r="Y3072" s="0" t="s">
        <v>243</v>
      </c>
      <c r="AV3072" s="68"/>
      <c r="AW3072" s="68"/>
      <c r="AY3072" s="27"/>
      <c r="BD3072" s="68">
        <v>46054.1666666667</v>
      </c>
      <c r="BE3072" s="68">
        <v>46082.1666666667</v>
      </c>
      <c r="BF3072" s="0" t="b">
        <v>0</v>
      </c>
      <c r="BG3072" s="0" t="b">
        <v>0</v>
      </c>
      <c r="BH3072" s="0">
        <v>49</v>
      </c>
      <c r="BI3072" s="0">
        <v>49</v>
      </c>
      <c r="BJ3072" s="0" t="s">
        <v>135</v>
      </c>
    </row>
    <row r="3073">
      <c r="A3073" s="0" t="s">
        <v>3322</v>
      </c>
      <c r="B3073" s="0" t="s">
        <v>134</v>
      </c>
      <c r="C3073" s="0" t="s">
        <v>134</v>
      </c>
      <c r="D3073" s="0" t="s">
        <v>135</v>
      </c>
      <c r="E3073" s="0" t="s">
        <v>2</v>
      </c>
      <c r="F3073" s="0" t="s">
        <v>12</v>
      </c>
      <c r="G3073" s="0" t="s">
        <v>8</v>
      </c>
      <c r="H3073" s="0">
        <v>312</v>
      </c>
      <c r="I3073" s="0">
        <v>570</v>
      </c>
      <c r="J3073" s="0">
        <v>0</v>
      </c>
      <c r="K3073" s="0">
        <v>1</v>
      </c>
      <c r="L3073" s="0">
        <v>3</v>
      </c>
      <c r="M3073" s="0">
        <v>5</v>
      </c>
      <c r="N3073" s="0">
        <v>0</v>
      </c>
      <c r="O3073" s="0">
        <v>0</v>
      </c>
      <c r="P3073" s="0">
        <v>0</v>
      </c>
      <c r="R3073" s="0" t="b">
        <v>0</v>
      </c>
      <c r="S3073" s="0" t="b">
        <v>1</v>
      </c>
      <c r="T3073" s="68">
        <v>45741.4765277778</v>
      </c>
      <c r="U3073" s="68">
        <v>45756.3333333333</v>
      </c>
      <c r="V3073" s="68">
        <v>0</v>
      </c>
      <c r="W3073" s="0">
        <f>IF(IF(B3073="none",1,IF(B3073="Trialer",1,0))+IF(C3073="Customer",1,IF(C3073="Lost",1,0))=2,1,0)</f>
      </c>
      <c r="X3073" s="0" t="s">
        <v>145</v>
      </c>
      <c r="Y3073" s="0" t="s">
        <v>499</v>
      </c>
      <c r="AV3073" s="68"/>
      <c r="AW3073" s="68"/>
      <c r="AY3073" s="27"/>
      <c r="BD3073" s="68">
        <v>46054.1666666667</v>
      </c>
      <c r="BE3073" s="68">
        <v>46082.1666666667</v>
      </c>
      <c r="BF3073" s="0" t="b">
        <v>0</v>
      </c>
      <c r="BG3073" s="0" t="b">
        <v>0</v>
      </c>
      <c r="BH3073" s="0">
        <v>196</v>
      </c>
      <c r="BI3073" s="0">
        <v>196</v>
      </c>
      <c r="BJ3073" s="0" t="s">
        <v>135</v>
      </c>
    </row>
    <row r="3074">
      <c r="A3074" s="0" t="s">
        <v>3323</v>
      </c>
      <c r="B3074" s="0" t="s">
        <v>134</v>
      </c>
      <c r="C3074" s="0" t="s">
        <v>134</v>
      </c>
      <c r="D3074" s="0" t="s">
        <v>230</v>
      </c>
      <c r="E3074" s="0" t="s">
        <v>3</v>
      </c>
      <c r="F3074" s="0" t="s">
        <v>12</v>
      </c>
      <c r="G3074" s="0" t="s">
        <v>8</v>
      </c>
      <c r="H3074" s="0">
        <v>312</v>
      </c>
      <c r="I3074" s="0">
        <v>50</v>
      </c>
      <c r="J3074" s="0">
        <v>0</v>
      </c>
      <c r="K3074" s="0">
        <v>1</v>
      </c>
      <c r="L3074" s="0">
        <v>1</v>
      </c>
      <c r="M3074" s="0">
        <v>2</v>
      </c>
      <c r="N3074" s="0">
        <v>0</v>
      </c>
      <c r="O3074" s="0">
        <v>0</v>
      </c>
      <c r="P3074" s="0">
        <v>-50</v>
      </c>
      <c r="R3074" s="0" t="b">
        <v>0</v>
      </c>
      <c r="S3074" s="0" t="b">
        <v>0</v>
      </c>
      <c r="T3074" s="68">
        <v>45741.5654166667</v>
      </c>
      <c r="U3074" s="68">
        <v>45755.3333333333</v>
      </c>
      <c r="V3074" s="68">
        <v>46098.7121412037</v>
      </c>
      <c r="W3074" s="0">
        <f>IF(IF(B3074="none",1,IF(B3074="Trialer",1,0))+IF(C3074="Customer",1,IF(C3074="Lost",1,0))=2,1,0)</f>
      </c>
      <c r="X3074" s="0" t="s">
        <v>145</v>
      </c>
      <c r="Y3074" s="0" t="s">
        <v>243</v>
      </c>
      <c r="AV3074" s="68"/>
      <c r="AW3074" s="68"/>
      <c r="AY3074" s="27"/>
      <c r="BD3074" s="68">
        <v>46054.1666666667</v>
      </c>
      <c r="BE3074" s="68">
        <v>46082.1666666667</v>
      </c>
      <c r="BF3074" s="0" t="b">
        <v>0</v>
      </c>
      <c r="BG3074" s="0" t="b">
        <v>0</v>
      </c>
      <c r="BH3074" s="0">
        <v>56</v>
      </c>
      <c r="BI3074" s="0">
        <v>56</v>
      </c>
      <c r="BJ3074" s="0" t="s">
        <v>230</v>
      </c>
    </row>
    <row r="3075">
      <c r="A3075" s="0" t="s">
        <v>3324</v>
      </c>
      <c r="B3075" s="0" t="s">
        <v>134</v>
      </c>
      <c r="C3075" s="0" t="s">
        <v>134</v>
      </c>
      <c r="D3075" s="0" t="s">
        <v>230</v>
      </c>
      <c r="E3075" s="0" t="s">
        <v>3</v>
      </c>
      <c r="F3075" s="0" t="s">
        <v>12</v>
      </c>
      <c r="G3075" s="0" t="s">
        <v>8</v>
      </c>
      <c r="H3075" s="0">
        <v>312</v>
      </c>
      <c r="I3075" s="0">
        <v>54.75</v>
      </c>
      <c r="J3075" s="0">
        <v>0</v>
      </c>
      <c r="K3075" s="0">
        <v>1</v>
      </c>
      <c r="L3075" s="0">
        <v>5</v>
      </c>
      <c r="M3075" s="0">
        <v>1</v>
      </c>
      <c r="N3075" s="0">
        <v>0</v>
      </c>
      <c r="O3075" s="0">
        <v>0</v>
      </c>
      <c r="P3075" s="0">
        <v>-54.75</v>
      </c>
      <c r="R3075" s="0" t="b">
        <v>0</v>
      </c>
      <c r="S3075" s="0" t="b">
        <v>1</v>
      </c>
      <c r="T3075" s="68">
        <v>45741.6038773148</v>
      </c>
      <c r="U3075" s="68">
        <v>45758.3333333333</v>
      </c>
      <c r="V3075" s="68">
        <v>0</v>
      </c>
      <c r="W3075" s="0">
        <f>IF(IF(B3075="none",1,IF(B3075="Trialer",1,0))+IF(C3075="Customer",1,IF(C3075="Lost",1,0))=2,1,0)</f>
      </c>
      <c r="X3075" s="0" t="s">
        <v>166</v>
      </c>
      <c r="Y3075" s="0" t="s">
        <v>243</v>
      </c>
      <c r="AV3075" s="68"/>
      <c r="AW3075" s="68"/>
      <c r="AY3075" s="27"/>
      <c r="BD3075" s="68">
        <v>46054.1666666667</v>
      </c>
      <c r="BE3075" s="68">
        <v>46082.1666666667</v>
      </c>
      <c r="BF3075" s="0" t="b">
        <v>0</v>
      </c>
      <c r="BG3075" s="0" t="b">
        <v>0</v>
      </c>
      <c r="BH3075" s="0">
        <v>73</v>
      </c>
      <c r="BI3075" s="0">
        <v>73</v>
      </c>
      <c r="BJ3075" s="0" t="s">
        <v>230</v>
      </c>
    </row>
    <row r="3076">
      <c r="A3076" s="0" t="s">
        <v>3325</v>
      </c>
      <c r="B3076" s="0" t="s">
        <v>134</v>
      </c>
      <c r="C3076" s="0" t="s">
        <v>134</v>
      </c>
      <c r="D3076" s="0" t="s">
        <v>135</v>
      </c>
      <c r="E3076" s="0" t="s">
        <v>3</v>
      </c>
      <c r="F3076" s="0" t="s">
        <v>12</v>
      </c>
      <c r="G3076" s="0" t="s">
        <v>8</v>
      </c>
      <c r="H3076" s="0">
        <v>311</v>
      </c>
      <c r="I3076" s="0">
        <v>365</v>
      </c>
      <c r="J3076" s="0">
        <v>0</v>
      </c>
      <c r="K3076" s="0">
        <v>1</v>
      </c>
      <c r="L3076" s="0">
        <v>4</v>
      </c>
      <c r="M3076" s="0">
        <v>8</v>
      </c>
      <c r="N3076" s="0">
        <v>0</v>
      </c>
      <c r="O3076" s="0">
        <v>0</v>
      </c>
      <c r="P3076" s="0">
        <v>0</v>
      </c>
      <c r="R3076" s="0" t="b">
        <v>0</v>
      </c>
      <c r="S3076" s="0" t="b">
        <v>1</v>
      </c>
      <c r="T3076" s="68">
        <v>45742.3736111111</v>
      </c>
      <c r="U3076" s="68">
        <v>45760.3333333333</v>
      </c>
      <c r="V3076" s="68">
        <v>0</v>
      </c>
      <c r="W3076" s="0">
        <f>IF(IF(B3076="none",1,IF(B3076="Trialer",1,0))+IF(C3076="Customer",1,IF(C3076="Lost",1,0))=2,1,0)</f>
      </c>
      <c r="X3076" s="0" t="s">
        <v>148</v>
      </c>
      <c r="Y3076" s="0" t="s">
        <v>243</v>
      </c>
      <c r="AV3076" s="68"/>
      <c r="AW3076" s="68"/>
      <c r="AY3076" s="27"/>
      <c r="BD3076" s="68">
        <v>46054.1666666667</v>
      </c>
      <c r="BE3076" s="68">
        <v>46082.1666666667</v>
      </c>
      <c r="BF3076" s="0" t="b">
        <v>0</v>
      </c>
      <c r="BG3076" s="0" t="b">
        <v>0</v>
      </c>
      <c r="BH3076" s="0">
        <v>365</v>
      </c>
      <c r="BI3076" s="0">
        <v>365</v>
      </c>
      <c r="BJ3076" s="0" t="s">
        <v>135</v>
      </c>
    </row>
    <row r="3077">
      <c r="A3077" s="0" t="s">
        <v>3326</v>
      </c>
      <c r="B3077" s="0" t="s">
        <v>134</v>
      </c>
      <c r="C3077" s="0" t="s">
        <v>134</v>
      </c>
      <c r="D3077" s="0" t="s">
        <v>135</v>
      </c>
      <c r="E3077" s="0" t="s">
        <v>3</v>
      </c>
      <c r="F3077" s="0" t="s">
        <v>12</v>
      </c>
      <c r="G3077" s="0" t="s">
        <v>8</v>
      </c>
      <c r="H3077" s="0">
        <v>310</v>
      </c>
      <c r="I3077" s="0">
        <v>0</v>
      </c>
      <c r="J3077" s="0">
        <v>0</v>
      </c>
      <c r="K3077" s="0">
        <v>1</v>
      </c>
      <c r="L3077" s="0">
        <v>5</v>
      </c>
      <c r="M3077" s="0">
        <v>1</v>
      </c>
      <c r="N3077" s="0">
        <v>0</v>
      </c>
      <c r="O3077" s="0">
        <v>0</v>
      </c>
      <c r="P3077" s="0">
        <v>0</v>
      </c>
      <c r="R3077" s="0" t="b">
        <v>0</v>
      </c>
      <c r="S3077" s="0" t="b">
        <v>1</v>
      </c>
      <c r="T3077" s="68">
        <v>45743.4395833333</v>
      </c>
      <c r="U3077" s="68">
        <v>45757.3333333333</v>
      </c>
      <c r="V3077" s="68">
        <v>0</v>
      </c>
      <c r="W3077" s="0">
        <f>IF(IF(B3077="none",1,IF(B3077="Trialer",1,0))+IF(C3077="Customer",1,IF(C3077="Lost",1,0))=2,1,0)</f>
      </c>
      <c r="X3077" s="0" t="s">
        <v>136</v>
      </c>
      <c r="Y3077" s="0" t="s">
        <v>243</v>
      </c>
      <c r="AV3077" s="68"/>
      <c r="AW3077" s="68"/>
      <c r="AY3077" s="27"/>
      <c r="BD3077" s="68">
        <v>46054.1666666667</v>
      </c>
      <c r="BE3077" s="68">
        <v>46082.1666666667</v>
      </c>
      <c r="BF3077" s="0" t="b">
        <v>1</v>
      </c>
      <c r="BG3077" s="0" t="b">
        <v>0</v>
      </c>
      <c r="BH3077" s="0">
        <v>0</v>
      </c>
      <c r="BI3077" s="0">
        <v>0</v>
      </c>
      <c r="BJ3077" s="0" t="s">
        <v>135</v>
      </c>
    </row>
    <row r="3078">
      <c r="A3078" s="0" t="s">
        <v>3327</v>
      </c>
      <c r="B3078" s="0" t="s">
        <v>134</v>
      </c>
      <c r="C3078" s="0" t="s">
        <v>134</v>
      </c>
      <c r="D3078" s="0" t="s">
        <v>135</v>
      </c>
      <c r="E3078" s="0" t="s">
        <v>2</v>
      </c>
      <c r="F3078" s="0" t="s">
        <v>10</v>
      </c>
      <c r="G3078" s="0" t="s">
        <v>8</v>
      </c>
      <c r="H3078" s="0">
        <v>309</v>
      </c>
      <c r="I3078" s="0">
        <v>545</v>
      </c>
      <c r="J3078" s="0">
        <v>0</v>
      </c>
      <c r="K3078" s="0">
        <v>1</v>
      </c>
      <c r="L3078" s="0">
        <v>5</v>
      </c>
      <c r="M3078" s="0">
        <v>4</v>
      </c>
      <c r="N3078" s="0">
        <v>0</v>
      </c>
      <c r="O3078" s="0">
        <v>0</v>
      </c>
      <c r="P3078" s="0">
        <v>0</v>
      </c>
      <c r="Q3078" s="0" t="s">
        <v>3013</v>
      </c>
      <c r="R3078" s="0" t="b">
        <v>0</v>
      </c>
      <c r="S3078" s="0" t="b">
        <v>1</v>
      </c>
      <c r="T3078" s="68">
        <v>45744.6289583333</v>
      </c>
      <c r="U3078" s="68">
        <v>45772.3333333333</v>
      </c>
      <c r="V3078" s="68">
        <v>0</v>
      </c>
      <c r="W3078" s="0">
        <f>IF(IF(B3078="none",1,IF(B3078="Trialer",1,0))+IF(C3078="Customer",1,IF(C3078="Lost",1,0))=2,1,0)</f>
      </c>
      <c r="X3078" s="0" t="s">
        <v>136</v>
      </c>
      <c r="Y3078" s="0" t="s">
        <v>499</v>
      </c>
      <c r="AV3078" s="68"/>
      <c r="AW3078" s="68"/>
      <c r="AY3078" s="27"/>
      <c r="BD3078" s="68">
        <v>46054.1666666667</v>
      </c>
      <c r="BE3078" s="68">
        <v>46082.1666666667</v>
      </c>
      <c r="BF3078" s="0" t="b">
        <v>0</v>
      </c>
      <c r="BG3078" s="0" t="b">
        <v>0</v>
      </c>
      <c r="BH3078" s="0">
        <v>220</v>
      </c>
      <c r="BI3078" s="0">
        <v>220</v>
      </c>
      <c r="BJ3078" s="0" t="s">
        <v>135</v>
      </c>
    </row>
    <row r="3079">
      <c r="A3079" s="0" t="s">
        <v>3328</v>
      </c>
      <c r="B3079" s="0" t="s">
        <v>134</v>
      </c>
      <c r="C3079" s="0" t="s">
        <v>134</v>
      </c>
      <c r="D3079" s="0" t="s">
        <v>135</v>
      </c>
      <c r="E3079" s="0" t="s">
        <v>3</v>
      </c>
      <c r="F3079" s="0" t="s">
        <v>12</v>
      </c>
      <c r="G3079" s="0" t="s">
        <v>8</v>
      </c>
      <c r="H3079" s="0">
        <v>309</v>
      </c>
      <c r="I3079" s="0">
        <v>40</v>
      </c>
      <c r="J3079" s="0">
        <v>0</v>
      </c>
      <c r="K3079" s="0">
        <v>1</v>
      </c>
      <c r="L3079" s="0">
        <v>2</v>
      </c>
      <c r="M3079" s="0">
        <v>1</v>
      </c>
      <c r="N3079" s="0">
        <v>0</v>
      </c>
      <c r="O3079" s="0">
        <v>0</v>
      </c>
      <c r="P3079" s="0">
        <v>0</v>
      </c>
      <c r="R3079" s="0" t="b">
        <v>0</v>
      </c>
      <c r="S3079" s="0" t="b">
        <v>1</v>
      </c>
      <c r="T3079" s="68">
        <v>45744.967974537</v>
      </c>
      <c r="U3079" s="68">
        <v>45770.3333333333</v>
      </c>
      <c r="V3079" s="68">
        <v>0</v>
      </c>
      <c r="W3079" s="0">
        <f>IF(IF(B3079="none",1,IF(B3079="Trialer",1,0))+IF(C3079="Customer",1,IF(C3079="Lost",1,0))=2,1,0)</f>
      </c>
      <c r="X3079" s="0" t="s">
        <v>166</v>
      </c>
      <c r="Y3079" s="0" t="s">
        <v>243</v>
      </c>
      <c r="AV3079" s="68"/>
      <c r="AW3079" s="68"/>
      <c r="AY3079" s="27"/>
      <c r="BD3079" s="68">
        <v>46054.1666666667</v>
      </c>
      <c r="BE3079" s="68">
        <v>46082.1666666667</v>
      </c>
      <c r="BF3079" s="0" t="b">
        <v>0</v>
      </c>
      <c r="BG3079" s="0" t="b">
        <v>0</v>
      </c>
      <c r="BH3079" s="0">
        <v>40</v>
      </c>
      <c r="BI3079" s="0">
        <v>40</v>
      </c>
      <c r="BJ3079" s="0" t="s">
        <v>135</v>
      </c>
    </row>
    <row r="3080">
      <c r="A3080" s="0" t="s">
        <v>3329</v>
      </c>
      <c r="B3080" s="0" t="s">
        <v>134</v>
      </c>
      <c r="C3080" s="0" t="s">
        <v>134</v>
      </c>
      <c r="D3080" s="0" t="s">
        <v>135</v>
      </c>
      <c r="E3080" s="0" t="s">
        <v>3</v>
      </c>
      <c r="F3080" s="0" t="s">
        <v>12</v>
      </c>
      <c r="G3080" s="0" t="s">
        <v>8</v>
      </c>
      <c r="H3080" s="0">
        <v>306</v>
      </c>
      <c r="I3080" s="0">
        <v>122</v>
      </c>
      <c r="J3080" s="0">
        <v>0</v>
      </c>
      <c r="K3080" s="0">
        <v>1</v>
      </c>
      <c r="L3080" s="0">
        <v>4</v>
      </c>
      <c r="M3080" s="0">
        <v>2</v>
      </c>
      <c r="N3080" s="0">
        <v>0</v>
      </c>
      <c r="O3080" s="0">
        <v>0</v>
      </c>
      <c r="P3080" s="0">
        <v>0</v>
      </c>
      <c r="R3080" s="0" t="b">
        <v>0</v>
      </c>
      <c r="S3080" s="0" t="b">
        <v>1</v>
      </c>
      <c r="T3080" s="68">
        <v>45747.1612962963</v>
      </c>
      <c r="U3080" s="68">
        <v>45761.3333333333</v>
      </c>
      <c r="V3080" s="68">
        <v>0</v>
      </c>
      <c r="W3080" s="0">
        <f>IF(IF(B3080="none",1,IF(B3080="Trialer",1,0))+IF(C3080="Customer",1,IF(C3080="Lost",1,0))=2,1,0)</f>
      </c>
      <c r="X3080" s="0" t="s">
        <v>153</v>
      </c>
      <c r="Y3080" s="0" t="s">
        <v>243</v>
      </c>
      <c r="AV3080" s="68"/>
      <c r="AW3080" s="68"/>
      <c r="AY3080" s="27"/>
      <c r="BD3080" s="68">
        <v>46054.1666666667</v>
      </c>
      <c r="BE3080" s="68">
        <v>46082.1666666667</v>
      </c>
      <c r="BF3080" s="0" t="b">
        <v>0</v>
      </c>
      <c r="BG3080" s="0" t="b">
        <v>0</v>
      </c>
      <c r="BH3080" s="0">
        <v>122</v>
      </c>
      <c r="BI3080" s="0">
        <v>122</v>
      </c>
      <c r="BJ3080" s="0" t="s">
        <v>135</v>
      </c>
    </row>
    <row r="3081">
      <c r="A3081" s="0" t="s">
        <v>3330</v>
      </c>
      <c r="B3081" s="0" t="s">
        <v>134</v>
      </c>
      <c r="C3081" s="0" t="s">
        <v>134</v>
      </c>
      <c r="D3081" s="0" t="s">
        <v>135</v>
      </c>
      <c r="E3081" s="0" t="s">
        <v>3</v>
      </c>
      <c r="F3081" s="0" t="s">
        <v>12</v>
      </c>
      <c r="G3081" s="0" t="s">
        <v>8</v>
      </c>
      <c r="H3081" s="0">
        <v>306</v>
      </c>
      <c r="I3081" s="0">
        <v>294</v>
      </c>
      <c r="J3081" s="0">
        <v>0</v>
      </c>
      <c r="K3081" s="0">
        <v>1</v>
      </c>
      <c r="L3081" s="0">
        <v>3</v>
      </c>
      <c r="M3081" s="0">
        <v>6</v>
      </c>
      <c r="N3081" s="0">
        <v>0</v>
      </c>
      <c r="O3081" s="0">
        <v>0</v>
      </c>
      <c r="P3081" s="0">
        <v>0</v>
      </c>
      <c r="R3081" s="0" t="b">
        <v>0</v>
      </c>
      <c r="S3081" s="0" t="b">
        <v>1</v>
      </c>
      <c r="T3081" s="68">
        <v>45747.4858333333</v>
      </c>
      <c r="U3081" s="68">
        <v>45758.3333333333</v>
      </c>
      <c r="V3081" s="68">
        <v>0</v>
      </c>
      <c r="W3081" s="0">
        <f>IF(IF(B3081="none",1,IF(B3081="Trialer",1,0))+IF(C3081="Customer",1,IF(C3081="Lost",1,0))=2,1,0)</f>
      </c>
      <c r="X3081" s="0" t="s">
        <v>145</v>
      </c>
      <c r="Y3081" s="0" t="s">
        <v>243</v>
      </c>
      <c r="AV3081" s="68"/>
      <c r="AW3081" s="68"/>
      <c r="AY3081" s="27"/>
      <c r="BD3081" s="68">
        <v>46054.1666666667</v>
      </c>
      <c r="BE3081" s="68">
        <v>46082.1666666667</v>
      </c>
      <c r="BF3081" s="0" t="b">
        <v>0</v>
      </c>
      <c r="BG3081" s="0" t="b">
        <v>0</v>
      </c>
      <c r="BH3081" s="0">
        <v>147</v>
      </c>
      <c r="BI3081" s="0">
        <v>147</v>
      </c>
      <c r="BJ3081" s="0" t="s">
        <v>135</v>
      </c>
    </row>
    <row r="3082">
      <c r="A3082" s="0" t="s">
        <v>3331</v>
      </c>
      <c r="B3082" s="0" t="s">
        <v>134</v>
      </c>
      <c r="C3082" s="0" t="s">
        <v>134</v>
      </c>
      <c r="D3082" s="0" t="s">
        <v>230</v>
      </c>
      <c r="E3082" s="0" t="s">
        <v>3</v>
      </c>
      <c r="F3082" s="0" t="s">
        <v>12</v>
      </c>
      <c r="G3082" s="0" t="s">
        <v>8</v>
      </c>
      <c r="H3082" s="0">
        <v>306</v>
      </c>
      <c r="I3082" s="0">
        <v>360</v>
      </c>
      <c r="J3082" s="0">
        <v>0</v>
      </c>
      <c r="K3082" s="0">
        <v>1</v>
      </c>
      <c r="L3082" s="0">
        <v>2</v>
      </c>
      <c r="M3082" s="0">
        <v>12</v>
      </c>
      <c r="N3082" s="0">
        <v>0</v>
      </c>
      <c r="O3082" s="0">
        <v>0</v>
      </c>
      <c r="P3082" s="0">
        <v>-360</v>
      </c>
      <c r="R3082" s="0" t="b">
        <v>0</v>
      </c>
      <c r="S3082" s="0" t="b">
        <v>1</v>
      </c>
      <c r="T3082" s="68">
        <v>45747.5077662037</v>
      </c>
      <c r="U3082" s="68">
        <v>45762.3333333333</v>
      </c>
      <c r="V3082" s="68">
        <v>0</v>
      </c>
      <c r="W3082" s="0">
        <f>IF(IF(B3082="none",1,IF(B3082="Trialer",1,0))+IF(C3082="Customer",1,IF(C3082="Lost",1,0))=2,1,0)</f>
      </c>
      <c r="X3082" s="0" t="s">
        <v>882</v>
      </c>
      <c r="Y3082" s="0" t="s">
        <v>243</v>
      </c>
      <c r="AV3082" s="68"/>
      <c r="AW3082" s="68"/>
      <c r="AY3082" s="27"/>
      <c r="BD3082" s="68">
        <v>46054.1666666667</v>
      </c>
      <c r="BE3082" s="68">
        <v>46082.1666666667</v>
      </c>
      <c r="BF3082" s="0" t="b">
        <v>0</v>
      </c>
      <c r="BG3082" s="0" t="b">
        <v>0</v>
      </c>
      <c r="BH3082" s="0">
        <v>480</v>
      </c>
      <c r="BI3082" s="0">
        <v>480</v>
      </c>
      <c r="BJ3082" s="0" t="s">
        <v>230</v>
      </c>
    </row>
    <row r="3083">
      <c r="A3083" s="0" t="s">
        <v>3332</v>
      </c>
      <c r="B3083" s="0" t="s">
        <v>134</v>
      </c>
      <c r="C3083" s="0" t="s">
        <v>134</v>
      </c>
      <c r="D3083" s="0" t="s">
        <v>230</v>
      </c>
      <c r="E3083" s="0" t="s">
        <v>2</v>
      </c>
      <c r="F3083" s="0" t="s">
        <v>12</v>
      </c>
      <c r="G3083" s="0" t="s">
        <v>8</v>
      </c>
      <c r="H3083" s="0">
        <v>306</v>
      </c>
      <c r="I3083" s="0">
        <v>220</v>
      </c>
      <c r="J3083" s="0">
        <v>0</v>
      </c>
      <c r="K3083" s="0">
        <v>1</v>
      </c>
      <c r="L3083" s="0">
        <v>3</v>
      </c>
      <c r="M3083" s="0">
        <v>5</v>
      </c>
      <c r="N3083" s="0">
        <v>0</v>
      </c>
      <c r="O3083" s="0">
        <v>0</v>
      </c>
      <c r="P3083" s="0">
        <v>-220</v>
      </c>
      <c r="R3083" s="0" t="b">
        <v>0</v>
      </c>
      <c r="S3083" s="0" t="b">
        <v>1</v>
      </c>
      <c r="T3083" s="68">
        <v>45747.5902893519</v>
      </c>
      <c r="U3083" s="68">
        <v>45761.3333333333</v>
      </c>
      <c r="V3083" s="68">
        <v>0</v>
      </c>
      <c r="W3083" s="0">
        <f>IF(IF(B3083="none",1,IF(B3083="Trialer",1,0))+IF(C3083="Customer",1,IF(C3083="Lost",1,0))=2,1,0)</f>
      </c>
      <c r="X3083" s="0" t="s">
        <v>148</v>
      </c>
      <c r="Y3083" s="0" t="s">
        <v>499</v>
      </c>
      <c r="AV3083" s="68"/>
      <c r="AW3083" s="68"/>
      <c r="AY3083" s="27"/>
      <c r="BD3083" s="68">
        <v>46054.1666666667</v>
      </c>
      <c r="BE3083" s="68">
        <v>46082.1666666667</v>
      </c>
      <c r="BF3083" s="0" t="b">
        <v>0</v>
      </c>
      <c r="BG3083" s="0" t="b">
        <v>0</v>
      </c>
      <c r="BH3083" s="0">
        <v>245</v>
      </c>
      <c r="BI3083" s="0">
        <v>245</v>
      </c>
      <c r="BJ3083" s="0" t="s">
        <v>230</v>
      </c>
    </row>
    <row r="3084">
      <c r="A3084" s="0" t="s">
        <v>3333</v>
      </c>
      <c r="B3084" s="0" t="s">
        <v>134</v>
      </c>
      <c r="C3084" s="0" t="s">
        <v>134</v>
      </c>
      <c r="D3084" s="0" t="s">
        <v>135</v>
      </c>
      <c r="E3084" s="0" t="s">
        <v>3</v>
      </c>
      <c r="F3084" s="0" t="s">
        <v>12</v>
      </c>
      <c r="G3084" s="0" t="s">
        <v>8</v>
      </c>
      <c r="H3084" s="0">
        <v>305</v>
      </c>
      <c r="I3084" s="0">
        <v>49</v>
      </c>
      <c r="J3084" s="0">
        <v>0</v>
      </c>
      <c r="K3084" s="0">
        <v>1</v>
      </c>
      <c r="L3084" s="0">
        <v>3</v>
      </c>
      <c r="M3084" s="0">
        <v>1</v>
      </c>
      <c r="N3084" s="0">
        <v>0</v>
      </c>
      <c r="O3084" s="0">
        <v>0</v>
      </c>
      <c r="P3084" s="0">
        <v>0</v>
      </c>
      <c r="R3084" s="0" t="b">
        <v>0</v>
      </c>
      <c r="S3084" s="0" t="b">
        <v>1</v>
      </c>
      <c r="T3084" s="68">
        <v>45748.314537037</v>
      </c>
      <c r="U3084" s="68">
        <v>45775.3333333333</v>
      </c>
      <c r="V3084" s="68">
        <v>0</v>
      </c>
      <c r="W3084" s="0">
        <f>IF(IF(B3084="none",1,IF(B3084="Trialer",1,0))+IF(C3084="Customer",1,IF(C3084="Lost",1,0))=2,1,0)</f>
      </c>
      <c r="X3084" s="0" t="s">
        <v>142</v>
      </c>
      <c r="Y3084" s="0" t="s">
        <v>243</v>
      </c>
      <c r="AV3084" s="68"/>
      <c r="AW3084" s="68"/>
      <c r="AY3084" s="27"/>
      <c r="BD3084" s="68">
        <v>46054.1666666667</v>
      </c>
      <c r="BE3084" s="68">
        <v>46082.1666666667</v>
      </c>
      <c r="BF3084" s="0" t="b">
        <v>0</v>
      </c>
      <c r="BG3084" s="0" t="b">
        <v>0</v>
      </c>
      <c r="BH3084" s="0">
        <v>49</v>
      </c>
      <c r="BI3084" s="0">
        <v>49</v>
      </c>
      <c r="BJ3084" s="0" t="s">
        <v>135</v>
      </c>
    </row>
    <row r="3085">
      <c r="A3085" s="0" t="s">
        <v>3334</v>
      </c>
      <c r="B3085" s="0" t="s">
        <v>134</v>
      </c>
      <c r="C3085" s="0" t="s">
        <v>134</v>
      </c>
      <c r="D3085" s="0" t="s">
        <v>135</v>
      </c>
      <c r="E3085" s="0" t="s">
        <v>3</v>
      </c>
      <c r="F3085" s="0" t="s">
        <v>12</v>
      </c>
      <c r="G3085" s="0" t="s">
        <v>8</v>
      </c>
      <c r="H3085" s="0">
        <v>305</v>
      </c>
      <c r="I3085" s="0">
        <v>642</v>
      </c>
      <c r="J3085" s="0">
        <v>0</v>
      </c>
      <c r="K3085" s="0">
        <v>1</v>
      </c>
      <c r="L3085" s="0">
        <v>5</v>
      </c>
      <c r="M3085" s="0">
        <v>5</v>
      </c>
      <c r="N3085" s="0">
        <v>0</v>
      </c>
      <c r="O3085" s="0">
        <v>0</v>
      </c>
      <c r="P3085" s="0">
        <v>0</v>
      </c>
      <c r="R3085" s="0" t="b">
        <v>0</v>
      </c>
      <c r="S3085" s="0" t="b">
        <v>1</v>
      </c>
      <c r="T3085" s="68">
        <v>45748.3884143519</v>
      </c>
      <c r="U3085" s="68">
        <v>45762.3333333333</v>
      </c>
      <c r="V3085" s="68">
        <v>0</v>
      </c>
      <c r="W3085" s="0">
        <f>IF(IF(B3085="none",1,IF(B3085="Trialer",1,0))+IF(C3085="Customer",1,IF(C3085="Lost",1,0))=2,1,0)</f>
      </c>
      <c r="X3085" s="0" t="s">
        <v>136</v>
      </c>
      <c r="Y3085" s="0" t="s">
        <v>243</v>
      </c>
      <c r="AV3085" s="68"/>
      <c r="AW3085" s="68"/>
      <c r="AY3085" s="27"/>
      <c r="BD3085" s="68">
        <v>46054.1666666667</v>
      </c>
      <c r="BE3085" s="68">
        <v>46082.1666666667</v>
      </c>
      <c r="BF3085" s="0" t="b">
        <v>0</v>
      </c>
      <c r="BG3085" s="0" t="b">
        <v>0</v>
      </c>
      <c r="BH3085" s="0">
        <v>317</v>
      </c>
      <c r="BI3085" s="0">
        <v>317</v>
      </c>
      <c r="BJ3085" s="0" t="s">
        <v>135</v>
      </c>
    </row>
    <row r="3086">
      <c r="A3086" s="0" t="s">
        <v>3335</v>
      </c>
      <c r="B3086" s="0" t="s">
        <v>134</v>
      </c>
      <c r="C3086" s="0" t="s">
        <v>134</v>
      </c>
      <c r="D3086" s="0" t="s">
        <v>230</v>
      </c>
      <c r="E3086" s="0" t="s">
        <v>3</v>
      </c>
      <c r="F3086" s="0" t="s">
        <v>12</v>
      </c>
      <c r="G3086" s="0" t="s">
        <v>8</v>
      </c>
      <c r="H3086" s="0">
        <v>305</v>
      </c>
      <c r="I3086" s="0">
        <v>123</v>
      </c>
      <c r="J3086" s="0">
        <v>0</v>
      </c>
      <c r="K3086" s="0">
        <v>1</v>
      </c>
      <c r="L3086" s="0">
        <v>4</v>
      </c>
      <c r="M3086" s="0">
        <v>3</v>
      </c>
      <c r="N3086" s="0">
        <v>0</v>
      </c>
      <c r="O3086" s="0">
        <v>0</v>
      </c>
      <c r="P3086" s="0">
        <v>-123</v>
      </c>
      <c r="R3086" s="0" t="b">
        <v>0</v>
      </c>
      <c r="S3086" s="0" t="b">
        <v>1</v>
      </c>
      <c r="T3086" s="68">
        <v>45748.4087847222</v>
      </c>
      <c r="U3086" s="68">
        <v>45762.3333333333</v>
      </c>
      <c r="V3086" s="68">
        <v>0</v>
      </c>
      <c r="W3086" s="0">
        <f>IF(IF(B3086="none",1,IF(B3086="Trialer",1,0))+IF(C3086="Customer",1,IF(C3086="Lost",1,0))=2,1,0)</f>
      </c>
      <c r="X3086" s="0" t="s">
        <v>153</v>
      </c>
      <c r="Y3086" s="0" t="s">
        <v>243</v>
      </c>
      <c r="AV3086" s="68"/>
      <c r="AW3086" s="68"/>
      <c r="AY3086" s="27"/>
      <c r="BD3086" s="68">
        <v>46054.1666666667</v>
      </c>
      <c r="BE3086" s="68">
        <v>46082.1666666667</v>
      </c>
      <c r="BF3086" s="0" t="b">
        <v>0</v>
      </c>
      <c r="BG3086" s="0" t="b">
        <v>0</v>
      </c>
      <c r="BH3086" s="0">
        <v>138</v>
      </c>
      <c r="BI3086" s="0">
        <v>138</v>
      </c>
      <c r="BJ3086" s="0" t="s">
        <v>230</v>
      </c>
    </row>
    <row r="3087">
      <c r="A3087" s="0" t="s">
        <v>3336</v>
      </c>
      <c r="B3087" s="0" t="s">
        <v>134</v>
      </c>
      <c r="C3087" s="0" t="s">
        <v>134</v>
      </c>
      <c r="D3087" s="0" t="s">
        <v>135</v>
      </c>
      <c r="E3087" s="0" t="s">
        <v>3</v>
      </c>
      <c r="F3087" s="0" t="s">
        <v>12</v>
      </c>
      <c r="G3087" s="0" t="s">
        <v>8</v>
      </c>
      <c r="H3087" s="0">
        <v>305</v>
      </c>
      <c r="I3087" s="0">
        <v>40</v>
      </c>
      <c r="J3087" s="0">
        <v>0</v>
      </c>
      <c r="K3087" s="0">
        <v>1</v>
      </c>
      <c r="L3087" s="0">
        <v>2</v>
      </c>
      <c r="M3087" s="0">
        <v>1</v>
      </c>
      <c r="N3087" s="0">
        <v>0</v>
      </c>
      <c r="O3087" s="0">
        <v>0</v>
      </c>
      <c r="P3087" s="0">
        <v>0</v>
      </c>
      <c r="R3087" s="0" t="b">
        <v>0</v>
      </c>
      <c r="S3087" s="0" t="b">
        <v>1</v>
      </c>
      <c r="T3087" s="68">
        <v>45748.5114583333</v>
      </c>
      <c r="U3087" s="68">
        <v>45768.3333333333</v>
      </c>
      <c r="V3087" s="68">
        <v>0</v>
      </c>
      <c r="W3087" s="0">
        <f>IF(IF(B3087="none",1,IF(B3087="Trialer",1,0))+IF(C3087="Customer",1,IF(C3087="Lost",1,0))=2,1,0)</f>
      </c>
      <c r="X3087" s="0" t="s">
        <v>153</v>
      </c>
      <c r="Y3087" s="0" t="s">
        <v>243</v>
      </c>
      <c r="AV3087" s="68"/>
      <c r="AW3087" s="68"/>
      <c r="AY3087" s="27"/>
      <c r="BD3087" s="68">
        <v>46054.1666666667</v>
      </c>
      <c r="BE3087" s="68">
        <v>46082.1666666667</v>
      </c>
      <c r="BF3087" s="0" t="b">
        <v>0</v>
      </c>
      <c r="BG3087" s="0" t="b">
        <v>0</v>
      </c>
      <c r="BH3087" s="0">
        <v>40</v>
      </c>
      <c r="BI3087" s="0">
        <v>40</v>
      </c>
      <c r="BJ3087" s="0" t="s">
        <v>135</v>
      </c>
    </row>
    <row r="3088">
      <c r="A3088" s="0" t="s">
        <v>3337</v>
      </c>
      <c r="B3088" s="0" t="s">
        <v>134</v>
      </c>
      <c r="C3088" s="0" t="s">
        <v>134</v>
      </c>
      <c r="D3088" s="0" t="s">
        <v>230</v>
      </c>
      <c r="E3088" s="0" t="s">
        <v>3</v>
      </c>
      <c r="F3088" s="0" t="s">
        <v>12</v>
      </c>
      <c r="G3088" s="0" t="s">
        <v>8</v>
      </c>
      <c r="H3088" s="0">
        <v>305</v>
      </c>
      <c r="I3088" s="0">
        <v>93.75</v>
      </c>
      <c r="J3088" s="0">
        <v>0</v>
      </c>
      <c r="K3088" s="0">
        <v>1</v>
      </c>
      <c r="L3088" s="0">
        <v>5</v>
      </c>
      <c r="M3088" s="0">
        <v>2</v>
      </c>
      <c r="N3088" s="0">
        <v>0</v>
      </c>
      <c r="O3088" s="0">
        <v>0</v>
      </c>
      <c r="P3088" s="0">
        <v>-93.75</v>
      </c>
      <c r="R3088" s="0" t="b">
        <v>0</v>
      </c>
      <c r="S3088" s="0" t="b">
        <v>1</v>
      </c>
      <c r="T3088" s="68">
        <v>45748.5351157407</v>
      </c>
      <c r="U3088" s="68">
        <v>45768.3333333333</v>
      </c>
      <c r="V3088" s="68">
        <v>0</v>
      </c>
      <c r="W3088" s="0">
        <f>IF(IF(B3088="none",1,IF(B3088="Trialer",1,0))+IF(C3088="Customer",1,IF(C3088="Lost",1,0))=2,1,0)</f>
      </c>
      <c r="X3088" s="0" t="s">
        <v>153</v>
      </c>
      <c r="Y3088" s="0" t="s">
        <v>243</v>
      </c>
      <c r="AV3088" s="68"/>
      <c r="AW3088" s="68"/>
      <c r="AY3088" s="27"/>
      <c r="BD3088" s="68">
        <v>46054.1666666667</v>
      </c>
      <c r="BE3088" s="68">
        <v>46082.1666666667</v>
      </c>
      <c r="BF3088" s="0" t="b">
        <v>0</v>
      </c>
      <c r="BG3088" s="0" t="b">
        <v>0</v>
      </c>
      <c r="BH3088" s="0">
        <v>125</v>
      </c>
      <c r="BI3088" s="0">
        <v>125</v>
      </c>
      <c r="BJ3088" s="0" t="s">
        <v>230</v>
      </c>
    </row>
    <row r="3089">
      <c r="A3089" s="0" t="s">
        <v>3338</v>
      </c>
      <c r="B3089" s="0" t="s">
        <v>134</v>
      </c>
      <c r="C3089" s="0" t="s">
        <v>134</v>
      </c>
      <c r="D3089" s="0" t="s">
        <v>135</v>
      </c>
      <c r="E3089" s="0" t="s">
        <v>2</v>
      </c>
      <c r="F3089" s="0" t="s">
        <v>12</v>
      </c>
      <c r="G3089" s="0" t="s">
        <v>8</v>
      </c>
      <c r="H3089" s="0">
        <v>305</v>
      </c>
      <c r="I3089" s="0">
        <v>184</v>
      </c>
      <c r="J3089" s="0">
        <v>0</v>
      </c>
      <c r="K3089" s="0">
        <v>1</v>
      </c>
      <c r="L3089" s="0">
        <v>3</v>
      </c>
      <c r="M3089" s="0">
        <v>4</v>
      </c>
      <c r="N3089" s="0">
        <v>0</v>
      </c>
      <c r="O3089" s="0">
        <v>0</v>
      </c>
      <c r="P3089" s="0">
        <v>0</v>
      </c>
      <c r="R3089" s="0" t="b">
        <v>0</v>
      </c>
      <c r="S3089" s="0" t="b">
        <v>1</v>
      </c>
      <c r="T3089" s="68">
        <v>45748.5420717593</v>
      </c>
      <c r="U3089" s="68">
        <v>45763.3333333333</v>
      </c>
      <c r="V3089" s="68">
        <v>0</v>
      </c>
      <c r="W3089" s="0">
        <f>IF(IF(B3089="none",1,IF(B3089="Trialer",1,0))+IF(C3089="Customer",1,IF(C3089="Lost",1,0))=2,1,0)</f>
      </c>
      <c r="X3089" s="0" t="s">
        <v>145</v>
      </c>
      <c r="Y3089" s="0" t="s">
        <v>499</v>
      </c>
      <c r="AV3089" s="68"/>
      <c r="AW3089" s="68"/>
      <c r="AY3089" s="27"/>
      <c r="BD3089" s="68">
        <v>46054.1666666667</v>
      </c>
      <c r="BE3089" s="68">
        <v>46082.1666666667</v>
      </c>
      <c r="BF3089" s="0" t="b">
        <v>0</v>
      </c>
      <c r="BG3089" s="0" t="b">
        <v>0</v>
      </c>
      <c r="BH3089" s="0">
        <v>184</v>
      </c>
      <c r="BI3089" s="0">
        <v>184</v>
      </c>
      <c r="BJ3089" s="0" t="s">
        <v>135</v>
      </c>
    </row>
    <row r="3090">
      <c r="A3090" s="0" t="s">
        <v>3339</v>
      </c>
      <c r="B3090" s="0" t="s">
        <v>134</v>
      </c>
      <c r="C3090" s="0" t="s">
        <v>134</v>
      </c>
      <c r="D3090" s="0" t="s">
        <v>135</v>
      </c>
      <c r="E3090" s="0" t="s">
        <v>2</v>
      </c>
      <c r="F3090" s="0" t="s">
        <v>10</v>
      </c>
      <c r="G3090" s="0" t="s">
        <v>8</v>
      </c>
      <c r="H3090" s="0">
        <v>305</v>
      </c>
      <c r="I3090" s="0">
        <v>56</v>
      </c>
      <c r="J3090" s="0">
        <v>0</v>
      </c>
      <c r="K3090" s="0">
        <v>1</v>
      </c>
      <c r="L3090" s="0">
        <v>1</v>
      </c>
      <c r="M3090" s="0">
        <v>2</v>
      </c>
      <c r="N3090" s="0">
        <v>0</v>
      </c>
      <c r="O3090" s="0">
        <v>0</v>
      </c>
      <c r="P3090" s="0">
        <v>0</v>
      </c>
      <c r="Q3090" s="0" t="s">
        <v>3340</v>
      </c>
      <c r="R3090" s="0" t="b">
        <v>0</v>
      </c>
      <c r="S3090" s="0" t="b">
        <v>1</v>
      </c>
      <c r="T3090" s="68">
        <v>45748.6194791667</v>
      </c>
      <c r="U3090" s="68">
        <v>45771.3333333333</v>
      </c>
      <c r="V3090" s="68">
        <v>0</v>
      </c>
      <c r="W3090" s="0">
        <f>IF(IF(B3090="none",1,IF(B3090="Trialer",1,0))+IF(C3090="Customer",1,IF(C3090="Lost",1,0))=2,1,0)</f>
      </c>
      <c r="X3090" s="0" t="s">
        <v>145</v>
      </c>
      <c r="Y3090" s="0" t="s">
        <v>499</v>
      </c>
      <c r="AV3090" s="68"/>
      <c r="AW3090" s="68"/>
      <c r="AY3090" s="27"/>
      <c r="BD3090" s="68">
        <v>46054.1666666667</v>
      </c>
      <c r="BE3090" s="68">
        <v>46082.1666666667</v>
      </c>
      <c r="BF3090" s="0" t="b">
        <v>0</v>
      </c>
      <c r="BG3090" s="0" t="b">
        <v>0</v>
      </c>
      <c r="BH3090" s="0">
        <v>56</v>
      </c>
      <c r="BI3090" s="0">
        <v>56</v>
      </c>
      <c r="BJ3090" s="0" t="s">
        <v>135</v>
      </c>
    </row>
    <row r="3091">
      <c r="A3091" s="0" t="s">
        <v>3341</v>
      </c>
      <c r="B3091" s="0" t="s">
        <v>134</v>
      </c>
      <c r="C3091" s="0" t="s">
        <v>134</v>
      </c>
      <c r="D3091" s="0" t="s">
        <v>230</v>
      </c>
      <c r="E3091" s="0" t="s">
        <v>3</v>
      </c>
      <c r="F3091" s="0" t="s">
        <v>12</v>
      </c>
      <c r="G3091" s="0" t="s">
        <v>8</v>
      </c>
      <c r="H3091" s="0">
        <v>305</v>
      </c>
      <c r="I3091" s="0">
        <v>264</v>
      </c>
      <c r="J3091" s="0">
        <v>0</v>
      </c>
      <c r="K3091" s="0">
        <v>1</v>
      </c>
      <c r="L3091" s="0">
        <v>3</v>
      </c>
      <c r="M3091" s="0">
        <v>6</v>
      </c>
      <c r="N3091" s="0">
        <v>0</v>
      </c>
      <c r="O3091" s="0">
        <v>0</v>
      </c>
      <c r="P3091" s="0">
        <v>-264</v>
      </c>
      <c r="R3091" s="0" t="b">
        <v>0</v>
      </c>
      <c r="S3091" s="0" t="b">
        <v>1</v>
      </c>
      <c r="T3091" s="68">
        <v>45748.6219560185</v>
      </c>
      <c r="U3091" s="68">
        <v>45768.3333333333</v>
      </c>
      <c r="V3091" s="68">
        <v>0</v>
      </c>
      <c r="W3091" s="0">
        <f>IF(IF(B3091="none",1,IF(B3091="Trialer",1,0))+IF(C3091="Customer",1,IF(C3091="Lost",1,0))=2,1,0)</f>
      </c>
      <c r="X3091" s="0" t="s">
        <v>136</v>
      </c>
      <c r="Y3091" s="0" t="s">
        <v>243</v>
      </c>
      <c r="AV3091" s="68"/>
      <c r="AW3091" s="68"/>
      <c r="AY3091" s="27"/>
      <c r="BD3091" s="68">
        <v>46054.1666666667</v>
      </c>
      <c r="BE3091" s="68">
        <v>46082.1666666667</v>
      </c>
      <c r="BF3091" s="0" t="b">
        <v>0</v>
      </c>
      <c r="BG3091" s="0" t="b">
        <v>0</v>
      </c>
      <c r="BH3091" s="0">
        <v>294</v>
      </c>
      <c r="BI3091" s="0">
        <v>294</v>
      </c>
      <c r="BJ3091" s="0" t="s">
        <v>230</v>
      </c>
    </row>
    <row r="3092">
      <c r="A3092" s="0" t="s">
        <v>3342</v>
      </c>
      <c r="B3092" s="0" t="s">
        <v>134</v>
      </c>
      <c r="C3092" s="0" t="s">
        <v>134</v>
      </c>
      <c r="D3092" s="0" t="s">
        <v>135</v>
      </c>
      <c r="E3092" s="0" t="s">
        <v>2</v>
      </c>
      <c r="F3092" s="0" t="s">
        <v>12</v>
      </c>
      <c r="G3092" s="0" t="s">
        <v>8</v>
      </c>
      <c r="H3092" s="0">
        <v>305</v>
      </c>
      <c r="I3092" s="0">
        <v>377</v>
      </c>
      <c r="J3092" s="0">
        <v>0</v>
      </c>
      <c r="K3092" s="0">
        <v>1</v>
      </c>
      <c r="L3092" s="0">
        <v>3</v>
      </c>
      <c r="M3092" s="0">
        <v>1</v>
      </c>
      <c r="N3092" s="0">
        <v>0</v>
      </c>
      <c r="O3092" s="0">
        <v>0</v>
      </c>
      <c r="P3092" s="0">
        <v>0</v>
      </c>
      <c r="R3092" s="0" t="b">
        <v>0</v>
      </c>
      <c r="S3092" s="0" t="b">
        <v>1</v>
      </c>
      <c r="T3092" s="68">
        <v>45748.8293055556</v>
      </c>
      <c r="U3092" s="68">
        <v>45756.3333333333</v>
      </c>
      <c r="V3092" s="68">
        <v>0</v>
      </c>
      <c r="W3092" s="0">
        <f>IF(IF(B3092="none",1,IF(B3092="Trialer",1,0))+IF(C3092="Customer",1,IF(C3092="Lost",1,0))=2,1,0)</f>
      </c>
      <c r="X3092" s="0" t="s">
        <v>145</v>
      </c>
      <c r="Y3092" s="0" t="s">
        <v>499</v>
      </c>
      <c r="AV3092" s="68"/>
      <c r="AW3092" s="68"/>
      <c r="AY3092" s="27"/>
      <c r="BD3092" s="68">
        <v>46054.1666666667</v>
      </c>
      <c r="BE3092" s="68">
        <v>46082.1666666667</v>
      </c>
      <c r="BF3092" s="0" t="b">
        <v>0</v>
      </c>
      <c r="BG3092" s="0" t="b">
        <v>0</v>
      </c>
      <c r="BH3092" s="0">
        <v>52</v>
      </c>
      <c r="BI3092" s="0">
        <v>52</v>
      </c>
      <c r="BJ3092" s="0" t="s">
        <v>135</v>
      </c>
    </row>
    <row r="3093">
      <c r="A3093" s="0" t="s">
        <v>3343</v>
      </c>
      <c r="B3093" s="0" t="s">
        <v>134</v>
      </c>
      <c r="C3093" s="0" t="s">
        <v>134</v>
      </c>
      <c r="D3093" s="0" t="s">
        <v>135</v>
      </c>
      <c r="E3093" s="0" t="s">
        <v>3</v>
      </c>
      <c r="F3093" s="0" t="s">
        <v>12</v>
      </c>
      <c r="G3093" s="0" t="s">
        <v>8</v>
      </c>
      <c r="H3093" s="0">
        <v>304</v>
      </c>
      <c r="I3093" s="0">
        <v>98</v>
      </c>
      <c r="J3093" s="0">
        <v>0</v>
      </c>
      <c r="K3093" s="0">
        <v>1</v>
      </c>
      <c r="L3093" s="0">
        <v>3</v>
      </c>
      <c r="M3093" s="0">
        <v>2</v>
      </c>
      <c r="N3093" s="0">
        <v>0</v>
      </c>
      <c r="O3093" s="0">
        <v>0</v>
      </c>
      <c r="P3093" s="0">
        <v>0</v>
      </c>
      <c r="R3093" s="0" t="b">
        <v>0</v>
      </c>
      <c r="S3093" s="0" t="b">
        <v>1</v>
      </c>
      <c r="T3093" s="68">
        <v>45749.0468055556</v>
      </c>
      <c r="U3093" s="68">
        <v>45763.3333333333</v>
      </c>
      <c r="V3093" s="68">
        <v>0</v>
      </c>
      <c r="W3093" s="0">
        <f>IF(IF(B3093="none",1,IF(B3093="Trialer",1,0))+IF(C3093="Customer",1,IF(C3093="Lost",1,0))=2,1,0)</f>
      </c>
      <c r="X3093" s="0" t="s">
        <v>142</v>
      </c>
      <c r="Y3093" s="0" t="s">
        <v>243</v>
      </c>
      <c r="AV3093" s="68"/>
      <c r="AW3093" s="68"/>
      <c r="AY3093" s="27"/>
      <c r="BD3093" s="68">
        <v>46054.1666666667</v>
      </c>
      <c r="BE3093" s="68">
        <v>46082.1666666667</v>
      </c>
      <c r="BF3093" s="0" t="b">
        <v>0</v>
      </c>
      <c r="BG3093" s="0" t="b">
        <v>0</v>
      </c>
      <c r="BH3093" s="0">
        <v>98</v>
      </c>
      <c r="BI3093" s="0">
        <v>98</v>
      </c>
      <c r="BJ3093" s="0" t="s">
        <v>135</v>
      </c>
    </row>
    <row r="3094">
      <c r="A3094" s="0" t="s">
        <v>3344</v>
      </c>
      <c r="B3094" s="0" t="s">
        <v>134</v>
      </c>
      <c r="C3094" s="0" t="s">
        <v>190</v>
      </c>
      <c r="D3094" s="0" t="s">
        <v>230</v>
      </c>
      <c r="E3094" s="0" t="s">
        <v>3</v>
      </c>
      <c r="F3094" s="0" t="s">
        <v>12</v>
      </c>
      <c r="G3094" s="0" t="s">
        <v>8</v>
      </c>
      <c r="H3094" s="0">
        <v>304</v>
      </c>
      <c r="I3094" s="0">
        <v>73.5</v>
      </c>
      <c r="J3094" s="0">
        <v>0</v>
      </c>
      <c r="K3094" s="0">
        <v>1</v>
      </c>
      <c r="L3094" s="0">
        <v>3</v>
      </c>
      <c r="M3094" s="0">
        <v>2</v>
      </c>
      <c r="N3094" s="0">
        <v>0</v>
      </c>
      <c r="O3094" s="0">
        <v>0</v>
      </c>
      <c r="P3094" s="0">
        <v>-73.5</v>
      </c>
      <c r="R3094" s="0" t="b">
        <v>0</v>
      </c>
      <c r="S3094" s="0" t="b">
        <v>0</v>
      </c>
      <c r="T3094" s="68">
        <v>45749.2793518519</v>
      </c>
      <c r="U3094" s="68">
        <v>45764.3333333333</v>
      </c>
      <c r="V3094" s="68">
        <v>46070.5015740741</v>
      </c>
      <c r="W3094" s="0">
        <f>IF(IF(B3094="none",1,IF(B3094="Trialer",1,0))+IF(C3094="Customer",1,IF(C3094="Lost",1,0))=2,1,0)</f>
      </c>
      <c r="X3094" s="0" t="s">
        <v>166</v>
      </c>
      <c r="Y3094" s="0" t="s">
        <v>243</v>
      </c>
      <c r="AV3094" s="68"/>
      <c r="AW3094" s="68"/>
      <c r="AY3094" s="27"/>
      <c r="BD3094" s="68">
        <v>46054.1666666667</v>
      </c>
      <c r="BE3094" s="68">
        <v>46082.1666666667</v>
      </c>
      <c r="BF3094" s="0" t="b">
        <v>0</v>
      </c>
      <c r="BG3094" s="0" t="b">
        <v>0</v>
      </c>
      <c r="BH3094" s="0">
        <v>98</v>
      </c>
      <c r="BI3094" s="0">
        <v>98</v>
      </c>
      <c r="BJ3094" s="0" t="s">
        <v>135</v>
      </c>
    </row>
    <row r="3095">
      <c r="A3095" s="0" t="s">
        <v>3345</v>
      </c>
      <c r="B3095" s="0" t="s">
        <v>134</v>
      </c>
      <c r="C3095" s="0" t="s">
        <v>134</v>
      </c>
      <c r="D3095" s="0" t="s">
        <v>135</v>
      </c>
      <c r="E3095" s="0" t="s">
        <v>2</v>
      </c>
      <c r="F3095" s="0" t="s">
        <v>12</v>
      </c>
      <c r="G3095" s="0" t="s">
        <v>8</v>
      </c>
      <c r="H3095" s="0">
        <v>304</v>
      </c>
      <c r="I3095" s="0">
        <v>490</v>
      </c>
      <c r="J3095" s="0">
        <v>0</v>
      </c>
      <c r="K3095" s="0">
        <v>1</v>
      </c>
      <c r="L3095" s="0">
        <v>3</v>
      </c>
      <c r="M3095" s="0">
        <v>10</v>
      </c>
      <c r="N3095" s="0">
        <v>0</v>
      </c>
      <c r="O3095" s="0">
        <v>0</v>
      </c>
      <c r="P3095" s="0">
        <v>0</v>
      </c>
      <c r="R3095" s="0" t="b">
        <v>0</v>
      </c>
      <c r="S3095" s="0" t="b">
        <v>1</v>
      </c>
      <c r="T3095" s="68">
        <v>45749.536099537</v>
      </c>
      <c r="U3095" s="68">
        <v>45750.3333333333</v>
      </c>
      <c r="V3095" s="68">
        <v>0</v>
      </c>
      <c r="W3095" s="0">
        <f>IF(IF(B3095="none",1,IF(B3095="Trialer",1,0))+IF(C3095="Customer",1,IF(C3095="Lost",1,0))=2,1,0)</f>
      </c>
      <c r="X3095" s="0" t="s">
        <v>148</v>
      </c>
      <c r="Y3095" s="0" t="s">
        <v>499</v>
      </c>
      <c r="AV3095" s="68"/>
      <c r="AW3095" s="68"/>
      <c r="AY3095" s="27"/>
      <c r="BD3095" s="68">
        <v>46054.1666666667</v>
      </c>
      <c r="BE3095" s="68">
        <v>46082.1666666667</v>
      </c>
      <c r="BF3095" s="0" t="b">
        <v>0</v>
      </c>
      <c r="BG3095" s="0" t="b">
        <v>0</v>
      </c>
      <c r="BH3095" s="0">
        <v>490</v>
      </c>
      <c r="BI3095" s="0">
        <v>490</v>
      </c>
      <c r="BJ3095" s="0" t="s">
        <v>135</v>
      </c>
    </row>
    <row r="3096">
      <c r="A3096" s="0" t="s">
        <v>3346</v>
      </c>
      <c r="B3096" s="0" t="s">
        <v>134</v>
      </c>
      <c r="C3096" s="0" t="s">
        <v>134</v>
      </c>
      <c r="D3096" s="0" t="s">
        <v>230</v>
      </c>
      <c r="E3096" s="0" t="s">
        <v>3</v>
      </c>
      <c r="F3096" s="0" t="s">
        <v>12</v>
      </c>
      <c r="G3096" s="0" t="s">
        <v>8</v>
      </c>
      <c r="H3096" s="0">
        <v>303</v>
      </c>
      <c r="I3096" s="0">
        <v>44</v>
      </c>
      <c r="J3096" s="0">
        <v>0</v>
      </c>
      <c r="K3096" s="0">
        <v>1</v>
      </c>
      <c r="L3096" s="0">
        <v>3</v>
      </c>
      <c r="M3096" s="0">
        <v>1</v>
      </c>
      <c r="N3096" s="0">
        <v>0</v>
      </c>
      <c r="O3096" s="0">
        <v>0</v>
      </c>
      <c r="P3096" s="0">
        <v>-44</v>
      </c>
      <c r="R3096" s="0" t="b">
        <v>0</v>
      </c>
      <c r="S3096" s="0" t="b">
        <v>1</v>
      </c>
      <c r="T3096" s="68">
        <v>45750.0837268519</v>
      </c>
      <c r="U3096" s="68">
        <v>45764.3333333333</v>
      </c>
      <c r="V3096" s="68">
        <v>0</v>
      </c>
      <c r="W3096" s="0">
        <f>IF(IF(B3096="none",1,IF(B3096="Trialer",1,0))+IF(C3096="Customer",1,IF(C3096="Lost",1,0))=2,1,0)</f>
      </c>
      <c r="X3096" s="0" t="s">
        <v>153</v>
      </c>
      <c r="Y3096" s="0" t="s">
        <v>243</v>
      </c>
      <c r="AV3096" s="68"/>
      <c r="AW3096" s="68"/>
      <c r="AY3096" s="27"/>
      <c r="BD3096" s="68">
        <v>46054.1666666667</v>
      </c>
      <c r="BE3096" s="68">
        <v>46082.1666666667</v>
      </c>
      <c r="BF3096" s="0" t="b">
        <v>0</v>
      </c>
      <c r="BG3096" s="0" t="b">
        <v>0</v>
      </c>
      <c r="BH3096" s="0">
        <v>49</v>
      </c>
      <c r="BI3096" s="0">
        <v>49</v>
      </c>
      <c r="BJ3096" s="0" t="s">
        <v>230</v>
      </c>
    </row>
    <row r="3097">
      <c r="A3097" s="0" t="s">
        <v>3347</v>
      </c>
      <c r="B3097" s="0" t="s">
        <v>134</v>
      </c>
      <c r="C3097" s="0" t="s">
        <v>134</v>
      </c>
      <c r="D3097" s="0" t="s">
        <v>135</v>
      </c>
      <c r="E3097" s="0" t="s">
        <v>3</v>
      </c>
      <c r="F3097" s="0" t="s">
        <v>12</v>
      </c>
      <c r="G3097" s="0" t="s">
        <v>8</v>
      </c>
      <c r="H3097" s="0">
        <v>303</v>
      </c>
      <c r="I3097" s="0">
        <v>80</v>
      </c>
      <c r="J3097" s="0">
        <v>0</v>
      </c>
      <c r="K3097" s="0">
        <v>1</v>
      </c>
      <c r="L3097" s="0">
        <v>2</v>
      </c>
      <c r="M3097" s="0">
        <v>2</v>
      </c>
      <c r="N3097" s="0">
        <v>0</v>
      </c>
      <c r="O3097" s="0">
        <v>0</v>
      </c>
      <c r="P3097" s="0">
        <v>0</v>
      </c>
      <c r="R3097" s="0" t="b">
        <v>0</v>
      </c>
      <c r="S3097" s="0" t="b">
        <v>1</v>
      </c>
      <c r="T3097" s="68">
        <v>45750.4672800926</v>
      </c>
      <c r="U3097" s="68">
        <v>45763.3333333333</v>
      </c>
      <c r="V3097" s="68">
        <v>0</v>
      </c>
      <c r="W3097" s="0">
        <f>IF(IF(B3097="none",1,IF(B3097="Trialer",1,0))+IF(C3097="Customer",1,IF(C3097="Lost",1,0))=2,1,0)</f>
      </c>
      <c r="X3097" s="0" t="s">
        <v>166</v>
      </c>
      <c r="Y3097" s="0" t="s">
        <v>243</v>
      </c>
      <c r="AV3097" s="68"/>
      <c r="AW3097" s="68"/>
      <c r="AY3097" s="27"/>
      <c r="BD3097" s="68">
        <v>46054.1666666667</v>
      </c>
      <c r="BE3097" s="68">
        <v>46082.1666666667</v>
      </c>
      <c r="BF3097" s="0" t="b">
        <v>0</v>
      </c>
      <c r="BG3097" s="0" t="b">
        <v>0</v>
      </c>
      <c r="BH3097" s="0">
        <v>80</v>
      </c>
      <c r="BI3097" s="0">
        <v>80</v>
      </c>
      <c r="BJ3097" s="0" t="s">
        <v>135</v>
      </c>
    </row>
    <row r="3098">
      <c r="A3098" s="0" t="s">
        <v>3348</v>
      </c>
      <c r="B3098" s="0" t="s">
        <v>134</v>
      </c>
      <c r="C3098" s="0" t="s">
        <v>134</v>
      </c>
      <c r="D3098" s="0" t="s">
        <v>230</v>
      </c>
      <c r="E3098" s="0" t="s">
        <v>2</v>
      </c>
      <c r="F3098" s="0" t="s">
        <v>12</v>
      </c>
      <c r="G3098" s="0" t="s">
        <v>8</v>
      </c>
      <c r="H3098" s="0">
        <v>303</v>
      </c>
      <c r="I3098" s="0">
        <v>872.5</v>
      </c>
      <c r="J3098" s="0">
        <v>0</v>
      </c>
      <c r="K3098" s="0">
        <v>1</v>
      </c>
      <c r="L3098" s="0">
        <v>4</v>
      </c>
      <c r="M3098" s="0">
        <v>12</v>
      </c>
      <c r="N3098" s="0">
        <v>0</v>
      </c>
      <c r="O3098" s="0">
        <v>0</v>
      </c>
      <c r="P3098" s="0">
        <v>-157.5</v>
      </c>
      <c r="R3098" s="0" t="b">
        <v>0</v>
      </c>
      <c r="S3098" s="0" t="b">
        <v>1</v>
      </c>
      <c r="T3098" s="68">
        <v>45750.4932175926</v>
      </c>
      <c r="U3098" s="68">
        <v>45757.3333333333</v>
      </c>
      <c r="V3098" s="68">
        <v>0</v>
      </c>
      <c r="W3098" s="0">
        <f>IF(IF(B3098="none",1,IF(B3098="Trialer",1,0))+IF(C3098="Customer",1,IF(C3098="Lost",1,0))=2,1,0)</f>
      </c>
      <c r="X3098" s="0" t="s">
        <v>136</v>
      </c>
      <c r="Y3098" s="0" t="s">
        <v>499</v>
      </c>
      <c r="AV3098" s="68"/>
      <c r="AW3098" s="68"/>
      <c r="AY3098" s="27"/>
      <c r="BD3098" s="68">
        <v>46054.1666666667</v>
      </c>
      <c r="BE3098" s="68">
        <v>46082.1666666667</v>
      </c>
      <c r="BF3098" s="0" t="b">
        <v>0</v>
      </c>
      <c r="BG3098" s="0" t="b">
        <v>0</v>
      </c>
      <c r="BH3098" s="0">
        <v>579</v>
      </c>
      <c r="BI3098" s="0">
        <v>579</v>
      </c>
      <c r="BJ3098" s="0" t="s">
        <v>230</v>
      </c>
    </row>
    <row r="3099">
      <c r="A3099" s="0" t="s">
        <v>3349</v>
      </c>
      <c r="B3099" s="0" t="s">
        <v>134</v>
      </c>
      <c r="C3099" s="0" t="s">
        <v>134</v>
      </c>
      <c r="D3099" s="0" t="s">
        <v>135</v>
      </c>
      <c r="E3099" s="0" t="s">
        <v>3</v>
      </c>
      <c r="F3099" s="0" t="s">
        <v>12</v>
      </c>
      <c r="G3099" s="0" t="s">
        <v>8</v>
      </c>
      <c r="H3099" s="0">
        <v>303</v>
      </c>
      <c r="I3099" s="0">
        <v>671</v>
      </c>
      <c r="J3099" s="0">
        <v>0</v>
      </c>
      <c r="K3099" s="0">
        <v>1</v>
      </c>
      <c r="L3099" s="0">
        <v>4</v>
      </c>
      <c r="M3099" s="0">
        <v>11</v>
      </c>
      <c r="N3099" s="0">
        <v>0</v>
      </c>
      <c r="O3099" s="0">
        <v>0</v>
      </c>
      <c r="P3099" s="0">
        <v>0</v>
      </c>
      <c r="R3099" s="0" t="b">
        <v>0</v>
      </c>
      <c r="S3099" s="0" t="b">
        <v>1</v>
      </c>
      <c r="T3099" s="68">
        <v>45750.5535069444</v>
      </c>
      <c r="U3099" s="68">
        <v>45764.3333333333</v>
      </c>
      <c r="V3099" s="68">
        <v>0</v>
      </c>
      <c r="W3099" s="0">
        <f>IF(IF(B3099="none",1,IF(B3099="Trialer",1,0))+IF(C3099="Customer",1,IF(C3099="Lost",1,0))=2,1,0)</f>
      </c>
      <c r="X3099" s="0" t="s">
        <v>148</v>
      </c>
      <c r="Y3099" s="0" t="s">
        <v>243</v>
      </c>
      <c r="AV3099" s="68"/>
      <c r="AW3099" s="68"/>
      <c r="AY3099" s="27"/>
      <c r="BD3099" s="68">
        <v>46054.1666666667</v>
      </c>
      <c r="BE3099" s="68">
        <v>46082.1666666667</v>
      </c>
      <c r="BF3099" s="0" t="b">
        <v>0</v>
      </c>
      <c r="BG3099" s="0" t="b">
        <v>0</v>
      </c>
      <c r="BH3099" s="0">
        <v>671</v>
      </c>
      <c r="BI3099" s="0">
        <v>671</v>
      </c>
      <c r="BJ3099" s="0" t="s">
        <v>135</v>
      </c>
    </row>
    <row r="3100">
      <c r="A3100" s="0" t="s">
        <v>3350</v>
      </c>
      <c r="B3100" s="0" t="s">
        <v>134</v>
      </c>
      <c r="C3100" s="0" t="s">
        <v>134</v>
      </c>
      <c r="D3100" s="0" t="s">
        <v>135</v>
      </c>
      <c r="E3100" s="0" t="s">
        <v>2</v>
      </c>
      <c r="F3100" s="0" t="s">
        <v>12</v>
      </c>
      <c r="G3100" s="0" t="s">
        <v>8</v>
      </c>
      <c r="H3100" s="0">
        <v>303</v>
      </c>
      <c r="I3100" s="0">
        <v>122</v>
      </c>
      <c r="J3100" s="0">
        <v>0</v>
      </c>
      <c r="K3100" s="0">
        <v>1</v>
      </c>
      <c r="L3100" s="0">
        <v>4</v>
      </c>
      <c r="M3100" s="0">
        <v>2</v>
      </c>
      <c r="N3100" s="0">
        <v>0</v>
      </c>
      <c r="O3100" s="0">
        <v>0</v>
      </c>
      <c r="P3100" s="0">
        <v>0</v>
      </c>
      <c r="R3100" s="0" t="b">
        <v>0</v>
      </c>
      <c r="S3100" s="0" t="b">
        <v>1</v>
      </c>
      <c r="T3100" s="68">
        <v>45750.5592476852</v>
      </c>
      <c r="U3100" s="68">
        <v>45764.3333333333</v>
      </c>
      <c r="V3100" s="68">
        <v>0</v>
      </c>
      <c r="W3100" s="0">
        <f>IF(IF(B3100="none",1,IF(B3100="Trialer",1,0))+IF(C3100="Customer",1,IF(C3100="Lost",1,0))=2,1,0)</f>
      </c>
      <c r="X3100" s="0" t="s">
        <v>153</v>
      </c>
      <c r="Y3100" s="0" t="s">
        <v>499</v>
      </c>
      <c r="AV3100" s="68"/>
      <c r="AW3100" s="68"/>
      <c r="AY3100" s="27"/>
      <c r="BD3100" s="68">
        <v>46054.1666666667</v>
      </c>
      <c r="BE3100" s="68">
        <v>46082.1666666667</v>
      </c>
      <c r="BF3100" s="0" t="b">
        <v>0</v>
      </c>
      <c r="BG3100" s="0" t="b">
        <v>0</v>
      </c>
      <c r="BH3100" s="0">
        <v>122</v>
      </c>
      <c r="BI3100" s="0">
        <v>122</v>
      </c>
      <c r="BJ3100" s="0" t="s">
        <v>135</v>
      </c>
    </row>
    <row r="3101">
      <c r="A3101" s="0" t="s">
        <v>3351</v>
      </c>
      <c r="B3101" s="0" t="s">
        <v>134</v>
      </c>
      <c r="C3101" s="0" t="s">
        <v>134</v>
      </c>
      <c r="D3101" s="0" t="s">
        <v>230</v>
      </c>
      <c r="E3101" s="0" t="s">
        <v>3</v>
      </c>
      <c r="F3101" s="0" t="s">
        <v>12</v>
      </c>
      <c r="G3101" s="0" t="s">
        <v>8</v>
      </c>
      <c r="H3101" s="0">
        <v>303</v>
      </c>
      <c r="I3101" s="0">
        <v>198</v>
      </c>
      <c r="J3101" s="0">
        <v>0</v>
      </c>
      <c r="K3101" s="0">
        <v>1</v>
      </c>
      <c r="L3101" s="0">
        <v>3</v>
      </c>
      <c r="M3101" s="0">
        <v>6</v>
      </c>
      <c r="N3101" s="0">
        <v>0</v>
      </c>
      <c r="O3101" s="0">
        <v>0</v>
      </c>
      <c r="P3101" s="0">
        <v>-99</v>
      </c>
      <c r="R3101" s="0" t="b">
        <v>0</v>
      </c>
      <c r="S3101" s="0" t="b">
        <v>1</v>
      </c>
      <c r="T3101" s="68">
        <v>45750.6293981482</v>
      </c>
      <c r="U3101" s="68">
        <v>45762.3333333333</v>
      </c>
      <c r="V3101" s="68">
        <v>0</v>
      </c>
      <c r="W3101" s="0">
        <f>IF(IF(B3101="none",1,IF(B3101="Trialer",1,0))+IF(C3101="Customer",1,IF(C3101="Lost",1,0))=2,1,0)</f>
      </c>
      <c r="X3101" s="0" t="s">
        <v>136</v>
      </c>
      <c r="Y3101" s="0" t="s">
        <v>243</v>
      </c>
      <c r="AV3101" s="68"/>
      <c r="AW3101" s="68"/>
      <c r="AY3101" s="27"/>
      <c r="BD3101" s="68">
        <v>46054.1666666667</v>
      </c>
      <c r="BE3101" s="68">
        <v>46082.1666666667</v>
      </c>
      <c r="BF3101" s="0" t="b">
        <v>0</v>
      </c>
      <c r="BG3101" s="0" t="b">
        <v>0</v>
      </c>
      <c r="BH3101" s="0">
        <v>231</v>
      </c>
      <c r="BI3101" s="0">
        <v>231</v>
      </c>
      <c r="BJ3101" s="0" t="s">
        <v>230</v>
      </c>
    </row>
    <row r="3102">
      <c r="A3102" s="0" t="s">
        <v>3352</v>
      </c>
      <c r="B3102" s="0" t="s">
        <v>134</v>
      </c>
      <c r="C3102" s="0" t="s">
        <v>134</v>
      </c>
      <c r="D3102" s="0" t="s">
        <v>135</v>
      </c>
      <c r="E3102" s="0" t="s">
        <v>2</v>
      </c>
      <c r="F3102" s="0" t="s">
        <v>12</v>
      </c>
      <c r="G3102" s="0" t="s">
        <v>8</v>
      </c>
      <c r="H3102" s="0">
        <v>303</v>
      </c>
      <c r="I3102" s="0">
        <v>355</v>
      </c>
      <c r="J3102" s="0">
        <v>0</v>
      </c>
      <c r="K3102" s="0">
        <v>1</v>
      </c>
      <c r="L3102" s="0">
        <v>4</v>
      </c>
      <c r="M3102" s="0">
        <v>7</v>
      </c>
      <c r="N3102" s="0">
        <v>0</v>
      </c>
      <c r="O3102" s="0">
        <v>0</v>
      </c>
      <c r="P3102" s="0">
        <v>0</v>
      </c>
      <c r="R3102" s="0" t="b">
        <v>0</v>
      </c>
      <c r="S3102" s="0" t="b">
        <v>1</v>
      </c>
      <c r="T3102" s="68">
        <v>45750.9523726852</v>
      </c>
      <c r="U3102" s="68">
        <v>45764.3333333333</v>
      </c>
      <c r="V3102" s="68">
        <v>0</v>
      </c>
      <c r="W3102" s="0">
        <f>IF(IF(B3102="none",1,IF(B3102="Trialer",1,0))+IF(C3102="Customer",1,IF(C3102="Lost",1,0))=2,1,0)</f>
      </c>
      <c r="X3102" s="0" t="s">
        <v>148</v>
      </c>
      <c r="Y3102" s="0" t="s">
        <v>499</v>
      </c>
      <c r="AV3102" s="68"/>
      <c r="AW3102" s="68"/>
      <c r="AY3102" s="27"/>
      <c r="BD3102" s="68">
        <v>46054.1666666667</v>
      </c>
      <c r="BE3102" s="68">
        <v>46082.1666666667</v>
      </c>
      <c r="BF3102" s="0" t="b">
        <v>0</v>
      </c>
      <c r="BG3102" s="0" t="b">
        <v>0</v>
      </c>
      <c r="BH3102" s="0">
        <v>355</v>
      </c>
      <c r="BI3102" s="0">
        <v>355</v>
      </c>
      <c r="BJ3102" s="0" t="s">
        <v>135</v>
      </c>
    </row>
    <row r="3103">
      <c r="A3103" s="0" t="s">
        <v>3353</v>
      </c>
      <c r="B3103" s="0" t="s">
        <v>134</v>
      </c>
      <c r="C3103" s="0" t="s">
        <v>134</v>
      </c>
      <c r="D3103" s="0" t="s">
        <v>135</v>
      </c>
      <c r="E3103" s="0" t="s">
        <v>3</v>
      </c>
      <c r="F3103" s="0" t="s">
        <v>12</v>
      </c>
      <c r="G3103" s="0" t="s">
        <v>8</v>
      </c>
      <c r="H3103" s="0">
        <v>303</v>
      </c>
      <c r="I3103" s="0">
        <v>28</v>
      </c>
      <c r="J3103" s="0">
        <v>0</v>
      </c>
      <c r="K3103" s="0">
        <v>1</v>
      </c>
      <c r="L3103" s="0">
        <v>1</v>
      </c>
      <c r="M3103" s="0">
        <v>1</v>
      </c>
      <c r="N3103" s="0">
        <v>0</v>
      </c>
      <c r="O3103" s="0">
        <v>0</v>
      </c>
      <c r="P3103" s="0">
        <v>0</v>
      </c>
      <c r="R3103" s="0" t="b">
        <v>0</v>
      </c>
      <c r="S3103" s="0" t="b">
        <v>1</v>
      </c>
      <c r="T3103" s="68">
        <v>45750.9842013889</v>
      </c>
      <c r="U3103" s="68">
        <v>45781.3333333333</v>
      </c>
      <c r="V3103" s="68">
        <v>0</v>
      </c>
      <c r="W3103" s="0">
        <f>IF(IF(B3103="none",1,IF(B3103="Trialer",1,0))+IF(C3103="Customer",1,IF(C3103="Lost",1,0))=2,1,0)</f>
      </c>
      <c r="X3103" s="0" t="s">
        <v>142</v>
      </c>
      <c r="Y3103" s="0" t="s">
        <v>243</v>
      </c>
      <c r="AV3103" s="68"/>
      <c r="AW3103" s="68"/>
      <c r="AY3103" s="27"/>
      <c r="BD3103" s="68">
        <v>46054.1666666667</v>
      </c>
      <c r="BE3103" s="68">
        <v>46082.1666666667</v>
      </c>
      <c r="BF3103" s="0" t="b">
        <v>0</v>
      </c>
      <c r="BG3103" s="0" t="b">
        <v>0</v>
      </c>
      <c r="BH3103" s="0">
        <v>28</v>
      </c>
      <c r="BI3103" s="0">
        <v>28</v>
      </c>
      <c r="BJ3103" s="0" t="s">
        <v>135</v>
      </c>
    </row>
    <row r="3104">
      <c r="A3104" s="0" t="s">
        <v>3354</v>
      </c>
      <c r="B3104" s="0" t="s">
        <v>134</v>
      </c>
      <c r="C3104" s="0" t="s">
        <v>134</v>
      </c>
      <c r="D3104" s="0" t="s">
        <v>230</v>
      </c>
      <c r="E3104" s="0" t="s">
        <v>3</v>
      </c>
      <c r="F3104" s="0" t="s">
        <v>12</v>
      </c>
      <c r="G3104" s="0" t="s">
        <v>8</v>
      </c>
      <c r="H3104" s="0">
        <v>302</v>
      </c>
      <c r="I3104" s="0">
        <v>69</v>
      </c>
      <c r="J3104" s="0">
        <v>0</v>
      </c>
      <c r="K3104" s="0">
        <v>1</v>
      </c>
      <c r="L3104" s="0">
        <v>3</v>
      </c>
      <c r="M3104" s="0">
        <v>2</v>
      </c>
      <c r="N3104" s="0">
        <v>0</v>
      </c>
      <c r="O3104" s="0">
        <v>0</v>
      </c>
      <c r="P3104" s="0">
        <v>-69</v>
      </c>
      <c r="R3104" s="0" t="b">
        <v>0</v>
      </c>
      <c r="S3104" s="0" t="b">
        <v>1</v>
      </c>
      <c r="T3104" s="68">
        <v>45751.4519560185</v>
      </c>
      <c r="U3104" s="68">
        <v>45765.3333333333</v>
      </c>
      <c r="V3104" s="68">
        <v>0</v>
      </c>
      <c r="W3104" s="0">
        <f>IF(IF(B3104="none",1,IF(B3104="Trialer",1,0))+IF(C3104="Customer",1,IF(C3104="Lost",1,0))=2,1,0)</f>
      </c>
      <c r="X3104" s="0" t="s">
        <v>166</v>
      </c>
      <c r="Y3104" s="0" t="s">
        <v>243</v>
      </c>
      <c r="AV3104" s="68"/>
      <c r="AW3104" s="68"/>
      <c r="AY3104" s="27"/>
      <c r="BD3104" s="68">
        <v>46054.1666666667</v>
      </c>
      <c r="BE3104" s="68">
        <v>46082.1666666667</v>
      </c>
      <c r="BF3104" s="0" t="b">
        <v>0</v>
      </c>
      <c r="BG3104" s="0" t="b">
        <v>0</v>
      </c>
      <c r="BH3104" s="0">
        <v>77</v>
      </c>
      <c r="BI3104" s="0">
        <v>77</v>
      </c>
      <c r="BJ3104" s="0" t="s">
        <v>230</v>
      </c>
    </row>
    <row r="3105">
      <c r="A3105" s="0" t="s">
        <v>3355</v>
      </c>
      <c r="B3105" s="0" t="s">
        <v>134</v>
      </c>
      <c r="C3105" s="0" t="s">
        <v>134</v>
      </c>
      <c r="D3105" s="0" t="s">
        <v>135</v>
      </c>
      <c r="E3105" s="0" t="s">
        <v>3</v>
      </c>
      <c r="F3105" s="0" t="s">
        <v>12</v>
      </c>
      <c r="G3105" s="0" t="s">
        <v>8</v>
      </c>
      <c r="H3105" s="0">
        <v>301</v>
      </c>
      <c r="I3105" s="0">
        <v>1244</v>
      </c>
      <c r="J3105" s="0">
        <v>0</v>
      </c>
      <c r="K3105" s="0">
        <v>1</v>
      </c>
      <c r="L3105" s="0">
        <v>5</v>
      </c>
      <c r="M3105" s="0">
        <v>19</v>
      </c>
      <c r="N3105" s="0">
        <v>0</v>
      </c>
      <c r="O3105" s="0">
        <v>0</v>
      </c>
      <c r="P3105" s="0">
        <v>0</v>
      </c>
      <c r="R3105" s="0" t="b">
        <v>0</v>
      </c>
      <c r="S3105" s="0" t="b">
        <v>1</v>
      </c>
      <c r="T3105" s="68">
        <v>45752.8390277778</v>
      </c>
      <c r="U3105" s="68">
        <v>45766.3333333333</v>
      </c>
      <c r="V3105" s="68">
        <v>0</v>
      </c>
      <c r="W3105" s="0">
        <f>IF(IF(B3105="none",1,IF(B3105="Trialer",1,0))+IF(C3105="Customer",1,IF(C3105="Lost",1,0))=2,1,0)</f>
      </c>
      <c r="X3105" s="0" t="s">
        <v>148</v>
      </c>
      <c r="Y3105" s="0" t="s">
        <v>243</v>
      </c>
      <c r="AV3105" s="68"/>
      <c r="AW3105" s="68"/>
      <c r="AY3105" s="27"/>
      <c r="BD3105" s="68">
        <v>46054.1666666667</v>
      </c>
      <c r="BE3105" s="68">
        <v>46082.1666666667</v>
      </c>
      <c r="BF3105" s="0" t="b">
        <v>0</v>
      </c>
      <c r="BG3105" s="0" t="b">
        <v>0</v>
      </c>
      <c r="BH3105" s="0">
        <v>870</v>
      </c>
      <c r="BI3105" s="0">
        <v>870</v>
      </c>
      <c r="BJ3105" s="0" t="s">
        <v>135</v>
      </c>
    </row>
    <row r="3106">
      <c r="A3106" s="0" t="s">
        <v>3356</v>
      </c>
      <c r="B3106" s="0" t="s">
        <v>134</v>
      </c>
      <c r="C3106" s="0" t="s">
        <v>134</v>
      </c>
      <c r="D3106" s="0" t="s">
        <v>135</v>
      </c>
      <c r="E3106" s="0" t="s">
        <v>3</v>
      </c>
      <c r="F3106" s="0" t="s">
        <v>12</v>
      </c>
      <c r="G3106" s="0" t="s">
        <v>8</v>
      </c>
      <c r="H3106" s="0">
        <v>299</v>
      </c>
      <c r="I3106" s="0">
        <v>147</v>
      </c>
      <c r="J3106" s="0">
        <v>0</v>
      </c>
      <c r="K3106" s="0">
        <v>1</v>
      </c>
      <c r="L3106" s="0">
        <v>3</v>
      </c>
      <c r="M3106" s="0">
        <v>3</v>
      </c>
      <c r="N3106" s="0">
        <v>0</v>
      </c>
      <c r="O3106" s="0">
        <v>0</v>
      </c>
      <c r="P3106" s="0">
        <v>0</v>
      </c>
      <c r="R3106" s="0" t="b">
        <v>0</v>
      </c>
      <c r="S3106" s="0" t="b">
        <v>1</v>
      </c>
      <c r="T3106" s="68">
        <v>45754.4848726852</v>
      </c>
      <c r="U3106" s="68">
        <v>45755.3333333333</v>
      </c>
      <c r="V3106" s="68">
        <v>0</v>
      </c>
      <c r="W3106" s="0">
        <f>IF(IF(B3106="none",1,IF(B3106="Trialer",1,0))+IF(C3106="Customer",1,IF(C3106="Lost",1,0))=2,1,0)</f>
      </c>
      <c r="X3106" s="0" t="s">
        <v>166</v>
      </c>
      <c r="Y3106" s="0" t="s">
        <v>243</v>
      </c>
      <c r="AV3106" s="68"/>
      <c r="AW3106" s="68"/>
      <c r="AY3106" s="27"/>
      <c r="BD3106" s="68">
        <v>46054.1666666667</v>
      </c>
      <c r="BE3106" s="68">
        <v>46082.1666666667</v>
      </c>
      <c r="BF3106" s="0" t="b">
        <v>0</v>
      </c>
      <c r="BG3106" s="0" t="b">
        <v>0</v>
      </c>
      <c r="BH3106" s="0">
        <v>147</v>
      </c>
      <c r="BI3106" s="0">
        <v>147</v>
      </c>
      <c r="BJ3106" s="0" t="s">
        <v>135</v>
      </c>
    </row>
    <row r="3107">
      <c r="A3107" s="0" t="s">
        <v>3357</v>
      </c>
      <c r="B3107" s="0" t="s">
        <v>134</v>
      </c>
      <c r="C3107" s="0" t="s">
        <v>134</v>
      </c>
      <c r="D3107" s="0" t="s">
        <v>135</v>
      </c>
      <c r="E3107" s="0" t="s">
        <v>3</v>
      </c>
      <c r="F3107" s="0" t="s">
        <v>12</v>
      </c>
      <c r="G3107" s="0" t="s">
        <v>8</v>
      </c>
      <c r="H3107" s="0">
        <v>298</v>
      </c>
      <c r="I3107" s="0">
        <v>2804</v>
      </c>
      <c r="J3107" s="0">
        <v>0</v>
      </c>
      <c r="K3107" s="0">
        <v>1</v>
      </c>
      <c r="L3107" s="0">
        <v>5</v>
      </c>
      <c r="M3107" s="0">
        <v>56</v>
      </c>
      <c r="N3107" s="0">
        <v>0</v>
      </c>
      <c r="O3107" s="0">
        <v>0</v>
      </c>
      <c r="P3107" s="0">
        <v>0</v>
      </c>
      <c r="R3107" s="0" t="b">
        <v>0</v>
      </c>
      <c r="S3107" s="0" t="b">
        <v>1</v>
      </c>
      <c r="T3107" s="68">
        <v>45755.4458333333</v>
      </c>
      <c r="U3107" s="68">
        <v>45769.3333333333</v>
      </c>
      <c r="V3107" s="68">
        <v>0</v>
      </c>
      <c r="W3107" s="0">
        <f>IF(IF(B3107="none",1,IF(B3107="Trialer",1,0))+IF(C3107="Customer",1,IF(C3107="Lost",1,0))=2,1,0)</f>
      </c>
      <c r="X3107" s="0" t="s">
        <v>136</v>
      </c>
      <c r="Y3107" s="0" t="s">
        <v>243</v>
      </c>
      <c r="AV3107" s="68"/>
      <c r="AW3107" s="68"/>
      <c r="AY3107" s="27"/>
      <c r="BD3107" s="68">
        <v>46054.1666666667</v>
      </c>
      <c r="BE3107" s="68">
        <v>46082.1666666667</v>
      </c>
      <c r="BF3107" s="0" t="b">
        <v>0</v>
      </c>
      <c r="BG3107" s="0" t="b">
        <v>0</v>
      </c>
      <c r="BH3107" s="0">
        <v>2898</v>
      </c>
      <c r="BI3107" s="0">
        <v>2898</v>
      </c>
      <c r="BJ3107" s="0" t="s">
        <v>135</v>
      </c>
    </row>
    <row r="3108">
      <c r="A3108" s="0" t="s">
        <v>3358</v>
      </c>
      <c r="B3108" s="0" t="s">
        <v>134</v>
      </c>
      <c r="C3108" s="0" t="s">
        <v>134</v>
      </c>
      <c r="D3108" s="0" t="s">
        <v>135</v>
      </c>
      <c r="E3108" s="0" t="s">
        <v>2</v>
      </c>
      <c r="F3108" s="0" t="s">
        <v>12</v>
      </c>
      <c r="G3108" s="0" t="s">
        <v>8</v>
      </c>
      <c r="H3108" s="0">
        <v>298</v>
      </c>
      <c r="I3108" s="0">
        <v>195</v>
      </c>
      <c r="J3108" s="0">
        <v>0</v>
      </c>
      <c r="K3108" s="0">
        <v>1</v>
      </c>
      <c r="L3108" s="0">
        <v>5</v>
      </c>
      <c r="M3108" s="0">
        <v>3</v>
      </c>
      <c r="N3108" s="0">
        <v>0</v>
      </c>
      <c r="O3108" s="0">
        <v>0</v>
      </c>
      <c r="P3108" s="0">
        <v>0</v>
      </c>
      <c r="R3108" s="0" t="b">
        <v>0</v>
      </c>
      <c r="S3108" s="0" t="b">
        <v>1</v>
      </c>
      <c r="T3108" s="68">
        <v>45755.4736574074</v>
      </c>
      <c r="U3108" s="68">
        <v>45768.3333333333</v>
      </c>
      <c r="V3108" s="68">
        <v>0</v>
      </c>
      <c r="W3108" s="0">
        <f>IF(IF(B3108="none",1,IF(B3108="Trialer",1,0))+IF(C3108="Customer",1,IF(C3108="Lost",1,0))=2,1,0)</f>
      </c>
      <c r="X3108" s="0" t="s">
        <v>166</v>
      </c>
      <c r="Y3108" s="0" t="s">
        <v>499</v>
      </c>
      <c r="AV3108" s="68"/>
      <c r="AW3108" s="68"/>
      <c r="AY3108" s="27"/>
      <c r="BD3108" s="68">
        <v>46054.1666666667</v>
      </c>
      <c r="BE3108" s="68">
        <v>46082.1666666667</v>
      </c>
      <c r="BF3108" s="0" t="b">
        <v>0</v>
      </c>
      <c r="BG3108" s="0" t="b">
        <v>0</v>
      </c>
      <c r="BH3108" s="0">
        <v>207</v>
      </c>
      <c r="BI3108" s="0">
        <v>207</v>
      </c>
      <c r="BJ3108" s="0" t="s">
        <v>135</v>
      </c>
    </row>
    <row r="3109">
      <c r="A3109" s="0" t="s">
        <v>3359</v>
      </c>
      <c r="B3109" s="0" t="s">
        <v>134</v>
      </c>
      <c r="C3109" s="0" t="s">
        <v>134</v>
      </c>
      <c r="D3109" s="0" t="s">
        <v>135</v>
      </c>
      <c r="E3109" s="0" t="s">
        <v>2</v>
      </c>
      <c r="F3109" s="0" t="s">
        <v>12</v>
      </c>
      <c r="G3109" s="0" t="s">
        <v>8</v>
      </c>
      <c r="H3109" s="0">
        <v>298</v>
      </c>
      <c r="I3109" s="0">
        <v>178</v>
      </c>
      <c r="J3109" s="0">
        <v>0</v>
      </c>
      <c r="K3109" s="0">
        <v>1</v>
      </c>
      <c r="L3109" s="0">
        <v>4</v>
      </c>
      <c r="M3109" s="0">
        <v>4</v>
      </c>
      <c r="N3109" s="0">
        <v>0</v>
      </c>
      <c r="O3109" s="0">
        <v>0</v>
      </c>
      <c r="P3109" s="0">
        <v>0</v>
      </c>
      <c r="R3109" s="0" t="b">
        <v>0</v>
      </c>
      <c r="S3109" s="0" t="b">
        <v>1</v>
      </c>
      <c r="T3109" s="68">
        <v>45755.7333101852</v>
      </c>
      <c r="U3109" s="68">
        <v>45784.3333333333</v>
      </c>
      <c r="V3109" s="68">
        <v>0</v>
      </c>
      <c r="W3109" s="0">
        <f>IF(IF(B3109="none",1,IF(B3109="Trialer",1,0))+IF(C3109="Customer",1,IF(C3109="Lost",1,0))=2,1,0)</f>
      </c>
      <c r="X3109" s="0" t="s">
        <v>145</v>
      </c>
      <c r="Y3109" s="0" t="s">
        <v>499</v>
      </c>
      <c r="AV3109" s="68"/>
      <c r="AW3109" s="68"/>
      <c r="AY3109" s="27"/>
      <c r="BD3109" s="68">
        <v>46054.1666666667</v>
      </c>
      <c r="BE3109" s="68">
        <v>46082.1666666667</v>
      </c>
      <c r="BF3109" s="0" t="b">
        <v>0</v>
      </c>
      <c r="BG3109" s="0" t="b">
        <v>0</v>
      </c>
      <c r="BH3109" s="0">
        <v>178</v>
      </c>
      <c r="BI3109" s="0">
        <v>178</v>
      </c>
      <c r="BJ3109" s="0" t="s">
        <v>135</v>
      </c>
    </row>
    <row r="3110">
      <c r="A3110" s="0" t="s">
        <v>3360</v>
      </c>
      <c r="B3110" s="0" t="s">
        <v>134</v>
      </c>
      <c r="C3110" s="0" t="s">
        <v>134</v>
      </c>
      <c r="D3110" s="0" t="s">
        <v>135</v>
      </c>
      <c r="E3110" s="0" t="s">
        <v>3</v>
      </c>
      <c r="F3110" s="0" t="s">
        <v>10</v>
      </c>
      <c r="G3110" s="0" t="s">
        <v>8</v>
      </c>
      <c r="H3110" s="0">
        <v>297</v>
      </c>
      <c r="I3110" s="0">
        <v>84</v>
      </c>
      <c r="J3110" s="0">
        <v>0</v>
      </c>
      <c r="K3110" s="0">
        <v>1</v>
      </c>
      <c r="L3110" s="0">
        <v>1</v>
      </c>
      <c r="M3110" s="0">
        <v>3</v>
      </c>
      <c r="N3110" s="0">
        <v>0</v>
      </c>
      <c r="O3110" s="0">
        <v>0</v>
      </c>
      <c r="P3110" s="0">
        <v>0</v>
      </c>
      <c r="Q3110" s="0" t="s">
        <v>618</v>
      </c>
      <c r="R3110" s="0" t="b">
        <v>0</v>
      </c>
      <c r="S3110" s="0" t="b">
        <v>1</v>
      </c>
      <c r="T3110" s="68">
        <v>45756.1659375</v>
      </c>
      <c r="U3110" s="68">
        <v>45770.3333333333</v>
      </c>
      <c r="V3110" s="68">
        <v>0</v>
      </c>
      <c r="W3110" s="0">
        <f>IF(IF(B3110="none",1,IF(B3110="Trialer",1,0))+IF(C3110="Customer",1,IF(C3110="Lost",1,0))=2,1,0)</f>
      </c>
      <c r="X3110" s="0" t="s">
        <v>148</v>
      </c>
      <c r="Y3110" s="0" t="s">
        <v>243</v>
      </c>
      <c r="AV3110" s="68"/>
      <c r="AW3110" s="68"/>
      <c r="AY3110" s="27"/>
      <c r="BD3110" s="68">
        <v>46054.1666666667</v>
      </c>
      <c r="BE3110" s="68">
        <v>46082.1666666667</v>
      </c>
      <c r="BF3110" s="0" t="b">
        <v>0</v>
      </c>
      <c r="BG3110" s="0" t="b">
        <v>0</v>
      </c>
      <c r="BH3110" s="0">
        <v>84</v>
      </c>
      <c r="BI3110" s="0">
        <v>84</v>
      </c>
      <c r="BJ3110" s="0" t="s">
        <v>135</v>
      </c>
    </row>
    <row r="3111">
      <c r="A3111" s="0" t="s">
        <v>3361</v>
      </c>
      <c r="B3111" s="0" t="s">
        <v>134</v>
      </c>
      <c r="C3111" s="0" t="s">
        <v>134</v>
      </c>
      <c r="D3111" s="0" t="s">
        <v>230</v>
      </c>
      <c r="E3111" s="0" t="s">
        <v>3</v>
      </c>
      <c r="F3111" s="0" t="s">
        <v>12</v>
      </c>
      <c r="G3111" s="0" t="s">
        <v>8</v>
      </c>
      <c r="H3111" s="0">
        <v>297</v>
      </c>
      <c r="I3111" s="0">
        <v>64</v>
      </c>
      <c r="J3111" s="0">
        <v>0</v>
      </c>
      <c r="K3111" s="0">
        <v>1</v>
      </c>
      <c r="L3111" s="0">
        <v>5</v>
      </c>
      <c r="M3111" s="0">
        <v>1</v>
      </c>
      <c r="N3111" s="0">
        <v>0</v>
      </c>
      <c r="O3111" s="0">
        <v>0</v>
      </c>
      <c r="P3111" s="0">
        <v>-64</v>
      </c>
      <c r="R3111" s="0" t="b">
        <v>0</v>
      </c>
      <c r="S3111" s="0" t="b">
        <v>1</v>
      </c>
      <c r="T3111" s="68">
        <v>45756.2935532407</v>
      </c>
      <c r="U3111" s="68">
        <v>45771.3333333333</v>
      </c>
      <c r="V3111" s="68">
        <v>0</v>
      </c>
      <c r="W3111" s="0">
        <f>IF(IF(B3111="none",1,IF(B3111="Trialer",1,0))+IF(C3111="Customer",1,IF(C3111="Lost",1,0))=2,1,0)</f>
      </c>
      <c r="X3111" s="0" t="s">
        <v>153</v>
      </c>
      <c r="Y3111" s="0" t="s">
        <v>243</v>
      </c>
      <c r="AV3111" s="68"/>
      <c r="AW3111" s="68"/>
      <c r="AY3111" s="27"/>
      <c r="BD3111" s="68">
        <v>46054.1666666667</v>
      </c>
      <c r="BE3111" s="68">
        <v>46082.1666666667</v>
      </c>
      <c r="BF3111" s="0" t="b">
        <v>0</v>
      </c>
      <c r="BG3111" s="0" t="b">
        <v>0</v>
      </c>
      <c r="BH3111" s="0">
        <v>73</v>
      </c>
      <c r="BI3111" s="0">
        <v>73</v>
      </c>
      <c r="BJ3111" s="0" t="s">
        <v>230</v>
      </c>
    </row>
    <row r="3112">
      <c r="A3112" s="0" t="s">
        <v>3362</v>
      </c>
      <c r="B3112" s="0" t="s">
        <v>134</v>
      </c>
      <c r="C3112" s="0" t="s">
        <v>134</v>
      </c>
      <c r="D3112" s="0" t="s">
        <v>135</v>
      </c>
      <c r="E3112" s="0" t="s">
        <v>2</v>
      </c>
      <c r="F3112" s="0" t="s">
        <v>12</v>
      </c>
      <c r="G3112" s="0" t="s">
        <v>8</v>
      </c>
      <c r="H3112" s="0">
        <v>297</v>
      </c>
      <c r="I3112" s="0">
        <v>49</v>
      </c>
      <c r="J3112" s="0">
        <v>0</v>
      </c>
      <c r="K3112" s="0">
        <v>1</v>
      </c>
      <c r="L3112" s="0">
        <v>3</v>
      </c>
      <c r="M3112" s="0">
        <v>1</v>
      </c>
      <c r="N3112" s="0">
        <v>0</v>
      </c>
      <c r="O3112" s="0">
        <v>0</v>
      </c>
      <c r="P3112" s="0">
        <v>0</v>
      </c>
      <c r="R3112" s="0" t="b">
        <v>0</v>
      </c>
      <c r="S3112" s="0" t="b">
        <v>1</v>
      </c>
      <c r="T3112" s="68">
        <v>45756.6088310185</v>
      </c>
      <c r="U3112" s="68">
        <v>45770.3333333333</v>
      </c>
      <c r="V3112" s="68">
        <v>0</v>
      </c>
      <c r="W3112" s="0">
        <f>IF(IF(B3112="none",1,IF(B3112="Trialer",1,0))+IF(C3112="Customer",1,IF(C3112="Lost",1,0))=2,1,0)</f>
      </c>
      <c r="X3112" s="0" t="s">
        <v>142</v>
      </c>
      <c r="Y3112" s="0" t="s">
        <v>499</v>
      </c>
      <c r="AV3112" s="68"/>
      <c r="AW3112" s="68"/>
      <c r="AY3112" s="27"/>
      <c r="BD3112" s="68">
        <v>46054.1666666667</v>
      </c>
      <c r="BE3112" s="68">
        <v>46082.1666666667</v>
      </c>
      <c r="BF3112" s="0" t="b">
        <v>0</v>
      </c>
      <c r="BG3112" s="0" t="b">
        <v>0</v>
      </c>
      <c r="BH3112" s="0">
        <v>49</v>
      </c>
      <c r="BI3112" s="0">
        <v>49</v>
      </c>
      <c r="BJ3112" s="0" t="s">
        <v>135</v>
      </c>
    </row>
    <row r="3113">
      <c r="A3113" s="0" t="s">
        <v>3363</v>
      </c>
      <c r="B3113" s="0" t="s">
        <v>134</v>
      </c>
      <c r="C3113" s="0" t="s">
        <v>134</v>
      </c>
      <c r="D3113" s="0" t="s">
        <v>230</v>
      </c>
      <c r="E3113" s="0" t="s">
        <v>3</v>
      </c>
      <c r="F3113" s="0" t="s">
        <v>12</v>
      </c>
      <c r="G3113" s="0" t="s">
        <v>8</v>
      </c>
      <c r="H3113" s="0">
        <v>297</v>
      </c>
      <c r="I3113" s="0">
        <v>73.5</v>
      </c>
      <c r="J3113" s="0">
        <v>0</v>
      </c>
      <c r="K3113" s="0">
        <v>1</v>
      </c>
      <c r="L3113" s="0">
        <v>3</v>
      </c>
      <c r="M3113" s="0">
        <v>2</v>
      </c>
      <c r="N3113" s="0">
        <v>0</v>
      </c>
      <c r="O3113" s="0">
        <v>0</v>
      </c>
      <c r="P3113" s="0">
        <v>-73.5</v>
      </c>
      <c r="R3113" s="0" t="b">
        <v>0</v>
      </c>
      <c r="S3113" s="0" t="b">
        <v>1</v>
      </c>
      <c r="T3113" s="68">
        <v>45756.71125</v>
      </c>
      <c r="U3113" s="68">
        <v>45763.3333333333</v>
      </c>
      <c r="V3113" s="68">
        <v>0</v>
      </c>
      <c r="W3113" s="0">
        <f>IF(IF(B3113="none",1,IF(B3113="Trialer",1,0))+IF(C3113="Customer",1,IF(C3113="Lost",1,0))=2,1,0)</f>
      </c>
      <c r="X3113" s="0" t="s">
        <v>142</v>
      </c>
      <c r="Y3113" s="0" t="s">
        <v>243</v>
      </c>
      <c r="AV3113" s="68"/>
      <c r="AW3113" s="68"/>
      <c r="AY3113" s="27"/>
      <c r="BD3113" s="68">
        <v>46054.1666666667</v>
      </c>
      <c r="BE3113" s="68">
        <v>46082.1666666667</v>
      </c>
      <c r="BF3113" s="0" t="b">
        <v>0</v>
      </c>
      <c r="BG3113" s="0" t="b">
        <v>0</v>
      </c>
      <c r="BH3113" s="0">
        <v>98</v>
      </c>
      <c r="BI3113" s="0">
        <v>98</v>
      </c>
      <c r="BJ3113" s="0" t="s">
        <v>230</v>
      </c>
    </row>
    <row r="3114">
      <c r="A3114" s="0" t="s">
        <v>3364</v>
      </c>
      <c r="B3114" s="0" t="s">
        <v>134</v>
      </c>
      <c r="C3114" s="0" t="s">
        <v>134</v>
      </c>
      <c r="D3114" s="0" t="s">
        <v>230</v>
      </c>
      <c r="E3114" s="0" t="s">
        <v>2</v>
      </c>
      <c r="F3114" s="0" t="s">
        <v>12</v>
      </c>
      <c r="G3114" s="0" t="s">
        <v>8</v>
      </c>
      <c r="H3114" s="0">
        <v>297</v>
      </c>
      <c r="I3114" s="0">
        <v>259.5</v>
      </c>
      <c r="J3114" s="0">
        <v>0</v>
      </c>
      <c r="K3114" s="0">
        <v>1</v>
      </c>
      <c r="L3114" s="0">
        <v>4</v>
      </c>
      <c r="M3114" s="0">
        <v>7</v>
      </c>
      <c r="N3114" s="0">
        <v>0</v>
      </c>
      <c r="O3114" s="0">
        <v>0</v>
      </c>
      <c r="P3114" s="0">
        <v>-259.5</v>
      </c>
      <c r="R3114" s="0" t="b">
        <v>0</v>
      </c>
      <c r="S3114" s="0" t="b">
        <v>1</v>
      </c>
      <c r="T3114" s="68">
        <v>45756.7609027778</v>
      </c>
      <c r="U3114" s="68">
        <v>45770.3333333333</v>
      </c>
      <c r="V3114" s="68">
        <v>0</v>
      </c>
      <c r="W3114" s="0">
        <f>IF(IF(B3114="none",1,IF(B3114="Trialer",1,0))+IF(C3114="Customer",1,IF(C3114="Lost",1,0))=2,1,0)</f>
      </c>
      <c r="X3114" s="0" t="s">
        <v>136</v>
      </c>
      <c r="Y3114" s="0" t="s">
        <v>499</v>
      </c>
      <c r="AV3114" s="68"/>
      <c r="AW3114" s="68"/>
      <c r="AY3114" s="27"/>
      <c r="BD3114" s="68">
        <v>46054.1666666667</v>
      </c>
      <c r="BE3114" s="68">
        <v>46082.1666666667</v>
      </c>
      <c r="BF3114" s="0" t="b">
        <v>0</v>
      </c>
      <c r="BG3114" s="0" t="b">
        <v>0</v>
      </c>
      <c r="BH3114" s="0">
        <v>346</v>
      </c>
      <c r="BI3114" s="0">
        <v>346</v>
      </c>
      <c r="BJ3114" s="0" t="s">
        <v>230</v>
      </c>
    </row>
    <row r="3115">
      <c r="A3115" s="0" t="s">
        <v>3365</v>
      </c>
      <c r="B3115" s="0" t="s">
        <v>134</v>
      </c>
      <c r="C3115" s="0" t="s">
        <v>134</v>
      </c>
      <c r="D3115" s="0" t="s">
        <v>135</v>
      </c>
      <c r="E3115" s="0" t="s">
        <v>4</v>
      </c>
      <c r="F3115" s="0" t="s">
        <v>12</v>
      </c>
      <c r="G3115" s="0" t="s">
        <v>8</v>
      </c>
      <c r="H3115" s="0">
        <v>296</v>
      </c>
      <c r="I3115" s="0">
        <v>0</v>
      </c>
      <c r="J3115" s="0">
        <v>0</v>
      </c>
      <c r="K3115" s="0">
        <v>1</v>
      </c>
      <c r="L3115" s="0">
        <v>4</v>
      </c>
      <c r="M3115" s="0">
        <v>1</v>
      </c>
      <c r="N3115" s="0">
        <v>0</v>
      </c>
      <c r="O3115" s="0">
        <v>0</v>
      </c>
      <c r="P3115" s="0">
        <v>0</v>
      </c>
      <c r="R3115" s="0" t="b">
        <v>0</v>
      </c>
      <c r="S3115" s="0" t="b">
        <v>1</v>
      </c>
      <c r="T3115" s="68">
        <v>45757.6828935185</v>
      </c>
      <c r="U3115" s="68">
        <v>45792.3333333333</v>
      </c>
      <c r="V3115" s="68">
        <v>0</v>
      </c>
      <c r="W3115" s="0">
        <f>IF(IF(B3115="none",1,IF(B3115="Trialer",1,0))+IF(C3115="Customer",1,IF(C3115="Lost",1,0))=2,1,0)</f>
      </c>
      <c r="X3115" s="0" t="s">
        <v>148</v>
      </c>
      <c r="Y3115" s="0" t="s">
        <v>3366</v>
      </c>
      <c r="AV3115" s="68"/>
      <c r="AW3115" s="68"/>
      <c r="AY3115" s="27"/>
      <c r="BD3115" s="68">
        <v>46054.1666666667</v>
      </c>
      <c r="BE3115" s="68">
        <v>46082.1666666667</v>
      </c>
      <c r="BF3115" s="0" t="b">
        <v>0</v>
      </c>
      <c r="BG3115" s="0" t="b">
        <v>0</v>
      </c>
      <c r="BH3115" s="0">
        <v>0</v>
      </c>
      <c r="BI3115" s="0">
        <v>0</v>
      </c>
      <c r="BJ3115" s="0" t="s">
        <v>135</v>
      </c>
    </row>
    <row r="3116">
      <c r="A3116" s="0" t="s">
        <v>3367</v>
      </c>
      <c r="B3116" s="0" t="s">
        <v>134</v>
      </c>
      <c r="C3116" s="0" t="s">
        <v>134</v>
      </c>
      <c r="D3116" s="0" t="s">
        <v>230</v>
      </c>
      <c r="E3116" s="0" t="s">
        <v>3</v>
      </c>
      <c r="F3116" s="0" t="s">
        <v>12</v>
      </c>
      <c r="G3116" s="0" t="s">
        <v>8</v>
      </c>
      <c r="H3116" s="0">
        <v>296</v>
      </c>
      <c r="I3116" s="0">
        <v>99.75</v>
      </c>
      <c r="J3116" s="0">
        <v>0</v>
      </c>
      <c r="K3116" s="0">
        <v>1</v>
      </c>
      <c r="L3116" s="0">
        <v>3</v>
      </c>
      <c r="M3116" s="0">
        <v>3</v>
      </c>
      <c r="N3116" s="0">
        <v>0</v>
      </c>
      <c r="O3116" s="0">
        <v>0</v>
      </c>
      <c r="P3116" s="0">
        <v>-99.75</v>
      </c>
      <c r="R3116" s="0" t="b">
        <v>0</v>
      </c>
      <c r="S3116" s="0" t="b">
        <v>1</v>
      </c>
      <c r="T3116" s="68">
        <v>45757.7978703704</v>
      </c>
      <c r="U3116" s="68">
        <v>45776.3333333333</v>
      </c>
      <c r="V3116" s="68">
        <v>0</v>
      </c>
      <c r="W3116" s="0">
        <f>IF(IF(B3116="none",1,IF(B3116="Trialer",1,0))+IF(C3116="Customer",1,IF(C3116="Lost",1,0))=2,1,0)</f>
      </c>
      <c r="X3116" s="0" t="s">
        <v>136</v>
      </c>
      <c r="Y3116" s="0" t="s">
        <v>243</v>
      </c>
      <c r="AV3116" s="68"/>
      <c r="AW3116" s="68"/>
      <c r="AY3116" s="27"/>
      <c r="BD3116" s="68">
        <v>46054.1666666667</v>
      </c>
      <c r="BE3116" s="68">
        <v>46082.1666666667</v>
      </c>
      <c r="BF3116" s="0" t="b">
        <v>0</v>
      </c>
      <c r="BG3116" s="0" t="b">
        <v>0</v>
      </c>
      <c r="BH3116" s="0">
        <v>133</v>
      </c>
      <c r="BI3116" s="0">
        <v>133</v>
      </c>
      <c r="BJ3116" s="0" t="s">
        <v>230</v>
      </c>
    </row>
    <row r="3117">
      <c r="A3117" s="0" t="s">
        <v>3368</v>
      </c>
      <c r="B3117" s="0" t="s">
        <v>134</v>
      </c>
      <c r="C3117" s="0" t="s">
        <v>134</v>
      </c>
      <c r="D3117" s="0" t="s">
        <v>135</v>
      </c>
      <c r="E3117" s="0" t="s">
        <v>3</v>
      </c>
      <c r="F3117" s="0" t="s">
        <v>10</v>
      </c>
      <c r="G3117" s="0" t="s">
        <v>8</v>
      </c>
      <c r="H3117" s="0">
        <v>295</v>
      </c>
      <c r="I3117" s="0">
        <v>28</v>
      </c>
      <c r="J3117" s="0">
        <v>0</v>
      </c>
      <c r="K3117" s="0">
        <v>1</v>
      </c>
      <c r="L3117" s="0">
        <v>1</v>
      </c>
      <c r="M3117" s="0">
        <v>1</v>
      </c>
      <c r="N3117" s="0">
        <v>0</v>
      </c>
      <c r="O3117" s="0">
        <v>0</v>
      </c>
      <c r="P3117" s="0">
        <v>0</v>
      </c>
      <c r="Q3117" s="0" t="s">
        <v>618</v>
      </c>
      <c r="R3117" s="0" t="b">
        <v>0</v>
      </c>
      <c r="S3117" s="0" t="b">
        <v>1</v>
      </c>
      <c r="T3117" s="68">
        <v>45758.2154050926</v>
      </c>
      <c r="U3117" s="68">
        <v>45772.3333333333</v>
      </c>
      <c r="V3117" s="68">
        <v>0</v>
      </c>
      <c r="W3117" s="0">
        <f>IF(IF(B3117="none",1,IF(B3117="Trialer",1,0))+IF(C3117="Customer",1,IF(C3117="Lost",1,0))=2,1,0)</f>
      </c>
      <c r="X3117" s="0" t="s">
        <v>148</v>
      </c>
      <c r="Y3117" s="0" t="s">
        <v>243</v>
      </c>
      <c r="AV3117" s="68"/>
      <c r="AW3117" s="68"/>
      <c r="AY3117" s="27"/>
      <c r="BD3117" s="68">
        <v>46054.1666666667</v>
      </c>
      <c r="BE3117" s="68">
        <v>46082.1666666667</v>
      </c>
      <c r="BF3117" s="0" t="b">
        <v>0</v>
      </c>
      <c r="BG3117" s="0" t="b">
        <v>0</v>
      </c>
      <c r="BH3117" s="0">
        <v>28</v>
      </c>
      <c r="BI3117" s="0">
        <v>28</v>
      </c>
      <c r="BJ3117" s="0" t="s">
        <v>135</v>
      </c>
    </row>
    <row r="3118">
      <c r="A3118" s="0" t="s">
        <v>3369</v>
      </c>
      <c r="B3118" s="0" t="s">
        <v>134</v>
      </c>
      <c r="C3118" s="0" t="s">
        <v>134</v>
      </c>
      <c r="D3118" s="0" t="s">
        <v>230</v>
      </c>
      <c r="E3118" s="0" t="s">
        <v>2</v>
      </c>
      <c r="F3118" s="0" t="s">
        <v>12</v>
      </c>
      <c r="G3118" s="0" t="s">
        <v>8</v>
      </c>
      <c r="H3118" s="0">
        <v>295</v>
      </c>
      <c r="I3118" s="0">
        <v>128.25</v>
      </c>
      <c r="J3118" s="0">
        <v>0</v>
      </c>
      <c r="K3118" s="0">
        <v>1</v>
      </c>
      <c r="L3118" s="0">
        <v>5</v>
      </c>
      <c r="M3118" s="0">
        <v>3</v>
      </c>
      <c r="N3118" s="0">
        <v>0</v>
      </c>
      <c r="O3118" s="0">
        <v>0</v>
      </c>
      <c r="P3118" s="0">
        <v>-128.25</v>
      </c>
      <c r="R3118" s="0" t="b">
        <v>0</v>
      </c>
      <c r="S3118" s="0" t="b">
        <v>1</v>
      </c>
      <c r="T3118" s="68">
        <v>45758.6194791667</v>
      </c>
      <c r="U3118" s="68">
        <v>45772.3333333333</v>
      </c>
      <c r="V3118" s="68">
        <v>0</v>
      </c>
      <c r="W3118" s="0">
        <f>IF(IF(B3118="none",1,IF(B3118="Trialer",1,0))+IF(C3118="Customer",1,IF(C3118="Lost",1,0))=2,1,0)</f>
      </c>
      <c r="X3118" s="0" t="s">
        <v>153</v>
      </c>
      <c r="Y3118" s="0" t="s">
        <v>499</v>
      </c>
      <c r="AV3118" s="68"/>
      <c r="AW3118" s="68"/>
      <c r="AY3118" s="27"/>
      <c r="BD3118" s="68">
        <v>46054.1666666667</v>
      </c>
      <c r="BE3118" s="68">
        <v>46082.1666666667</v>
      </c>
      <c r="BF3118" s="0" t="b">
        <v>0</v>
      </c>
      <c r="BG3118" s="0" t="b">
        <v>0</v>
      </c>
      <c r="BH3118" s="0">
        <v>171</v>
      </c>
      <c r="BI3118" s="0">
        <v>171</v>
      </c>
      <c r="BJ3118" s="0" t="s">
        <v>230</v>
      </c>
    </row>
    <row r="3119">
      <c r="A3119" s="0" t="s">
        <v>3370</v>
      </c>
      <c r="B3119" s="0" t="s">
        <v>134</v>
      </c>
      <c r="C3119" s="0" t="s">
        <v>134</v>
      </c>
      <c r="D3119" s="0" t="s">
        <v>135</v>
      </c>
      <c r="E3119" s="0" t="s">
        <v>2</v>
      </c>
      <c r="F3119" s="0" t="s">
        <v>12</v>
      </c>
      <c r="G3119" s="0" t="s">
        <v>8</v>
      </c>
      <c r="H3119" s="0">
        <v>295</v>
      </c>
      <c r="I3119" s="0">
        <v>28</v>
      </c>
      <c r="J3119" s="0">
        <v>0</v>
      </c>
      <c r="K3119" s="0">
        <v>1</v>
      </c>
      <c r="L3119" s="0">
        <v>1</v>
      </c>
      <c r="M3119" s="0">
        <v>1</v>
      </c>
      <c r="N3119" s="0">
        <v>0</v>
      </c>
      <c r="O3119" s="0">
        <v>0</v>
      </c>
      <c r="P3119" s="0">
        <v>0</v>
      </c>
      <c r="R3119" s="0" t="b">
        <v>0</v>
      </c>
      <c r="S3119" s="0" t="b">
        <v>1</v>
      </c>
      <c r="T3119" s="68">
        <v>45758.7414699074</v>
      </c>
      <c r="U3119" s="68">
        <v>45772.3333333333</v>
      </c>
      <c r="V3119" s="68">
        <v>0</v>
      </c>
      <c r="W3119" s="0">
        <f>IF(IF(B3119="none",1,IF(B3119="Trialer",1,0))+IF(C3119="Customer",1,IF(C3119="Lost",1,0))=2,1,0)</f>
      </c>
      <c r="X3119" s="0" t="s">
        <v>136</v>
      </c>
      <c r="Y3119" s="0" t="s">
        <v>499</v>
      </c>
      <c r="AV3119" s="68"/>
      <c r="AW3119" s="68"/>
      <c r="AY3119" s="27"/>
      <c r="BD3119" s="68">
        <v>46054.1666666667</v>
      </c>
      <c r="BE3119" s="68">
        <v>46082.1666666667</v>
      </c>
      <c r="BF3119" s="0" t="b">
        <v>0</v>
      </c>
      <c r="BG3119" s="0" t="b">
        <v>0</v>
      </c>
      <c r="BH3119" s="0">
        <v>28</v>
      </c>
      <c r="BI3119" s="0">
        <v>28</v>
      </c>
      <c r="BJ3119" s="0" t="s">
        <v>135</v>
      </c>
    </row>
    <row r="3120">
      <c r="A3120" s="0" t="s">
        <v>3371</v>
      </c>
      <c r="B3120" s="0" t="s">
        <v>134</v>
      </c>
      <c r="C3120" s="0" t="s">
        <v>134</v>
      </c>
      <c r="D3120" s="0" t="s">
        <v>230</v>
      </c>
      <c r="E3120" s="0" t="s">
        <v>3</v>
      </c>
      <c r="F3120" s="0" t="s">
        <v>12</v>
      </c>
      <c r="G3120" s="0" t="s">
        <v>8</v>
      </c>
      <c r="H3120" s="0">
        <v>293</v>
      </c>
      <c r="I3120" s="0">
        <v>44</v>
      </c>
      <c r="J3120" s="0">
        <v>0</v>
      </c>
      <c r="K3120" s="0">
        <v>1</v>
      </c>
      <c r="L3120" s="0">
        <v>3</v>
      </c>
      <c r="M3120" s="0">
        <v>1</v>
      </c>
      <c r="N3120" s="0">
        <v>0</v>
      </c>
      <c r="O3120" s="0">
        <v>0</v>
      </c>
      <c r="P3120" s="0">
        <v>-44</v>
      </c>
      <c r="R3120" s="0" t="b">
        <v>0</v>
      </c>
      <c r="S3120" s="0" t="b">
        <v>0</v>
      </c>
      <c r="T3120" s="68">
        <v>45760.5030555556</v>
      </c>
      <c r="U3120" s="68">
        <v>45777.3333333333</v>
      </c>
      <c r="V3120" s="68">
        <v>46098.8335185185</v>
      </c>
      <c r="W3120" s="0">
        <f>IF(IF(B3120="none",1,IF(B3120="Trialer",1,0))+IF(C3120="Customer",1,IF(C3120="Lost",1,0))=2,1,0)</f>
      </c>
      <c r="X3120" s="0" t="s">
        <v>166</v>
      </c>
      <c r="Y3120" s="0" t="s">
        <v>243</v>
      </c>
      <c r="AV3120" s="68"/>
      <c r="AW3120" s="68"/>
      <c r="AY3120" s="27"/>
      <c r="BD3120" s="68">
        <v>46054.1666666667</v>
      </c>
      <c r="BE3120" s="68">
        <v>46082.1666666667</v>
      </c>
      <c r="BF3120" s="0" t="b">
        <v>0</v>
      </c>
      <c r="BG3120" s="0" t="b">
        <v>0</v>
      </c>
      <c r="BH3120" s="0">
        <v>49</v>
      </c>
      <c r="BI3120" s="0">
        <v>49</v>
      </c>
      <c r="BJ3120" s="0" t="s">
        <v>230</v>
      </c>
    </row>
    <row r="3121">
      <c r="A3121" s="0" t="s">
        <v>3372</v>
      </c>
      <c r="B3121" s="0" t="s">
        <v>134</v>
      </c>
      <c r="C3121" s="0" t="s">
        <v>134</v>
      </c>
      <c r="D3121" s="0" t="s">
        <v>135</v>
      </c>
      <c r="E3121" s="0" t="s">
        <v>3</v>
      </c>
      <c r="F3121" s="0" t="s">
        <v>12</v>
      </c>
      <c r="G3121" s="0" t="s">
        <v>8</v>
      </c>
      <c r="H3121" s="0">
        <v>292</v>
      </c>
      <c r="I3121" s="0">
        <v>254</v>
      </c>
      <c r="J3121" s="0">
        <v>0</v>
      </c>
      <c r="K3121" s="0">
        <v>1</v>
      </c>
      <c r="L3121" s="0">
        <v>3</v>
      </c>
      <c r="M3121" s="0">
        <v>6</v>
      </c>
      <c r="N3121" s="0">
        <v>697.5</v>
      </c>
      <c r="O3121" s="0">
        <v>0</v>
      </c>
      <c r="P3121" s="0">
        <v>0</v>
      </c>
      <c r="R3121" s="0" t="b">
        <v>0</v>
      </c>
      <c r="S3121" s="0" t="b">
        <v>1</v>
      </c>
      <c r="T3121" s="68">
        <v>45761.4417592593</v>
      </c>
      <c r="U3121" s="68">
        <v>45775.3333333333</v>
      </c>
      <c r="V3121" s="68">
        <v>0</v>
      </c>
      <c r="W3121" s="0">
        <f>IF(IF(B3121="none",1,IF(B3121="Trialer",1,0))+IF(C3121="Customer",1,IF(C3121="Lost",1,0))=2,1,0)</f>
      </c>
      <c r="X3121" s="0" t="s">
        <v>148</v>
      </c>
      <c r="Y3121" s="0" t="s">
        <v>243</v>
      </c>
      <c r="AV3121" s="68"/>
      <c r="AW3121" s="68"/>
      <c r="AY3121" s="27"/>
      <c r="BD3121" s="68">
        <v>46054.1666666667</v>
      </c>
      <c r="BE3121" s="68">
        <v>46082.1666666667</v>
      </c>
      <c r="BF3121" s="0" t="b">
        <v>0</v>
      </c>
      <c r="BG3121" s="0" t="b">
        <v>0</v>
      </c>
      <c r="BH3121" s="0">
        <v>254</v>
      </c>
      <c r="BI3121" s="0">
        <v>254</v>
      </c>
      <c r="BJ3121" s="0" t="s">
        <v>135</v>
      </c>
    </row>
    <row r="3122">
      <c r="A3122" s="0" t="s">
        <v>3373</v>
      </c>
      <c r="B3122" s="0" t="s">
        <v>134</v>
      </c>
      <c r="C3122" s="0" t="s">
        <v>134</v>
      </c>
      <c r="D3122" s="0" t="s">
        <v>230</v>
      </c>
      <c r="E3122" s="0" t="s">
        <v>3</v>
      </c>
      <c r="F3122" s="0" t="s">
        <v>12</v>
      </c>
      <c r="G3122" s="0" t="s">
        <v>8</v>
      </c>
      <c r="H3122" s="0">
        <v>292</v>
      </c>
      <c r="I3122" s="0">
        <v>64</v>
      </c>
      <c r="J3122" s="0">
        <v>0</v>
      </c>
      <c r="K3122" s="0">
        <v>1</v>
      </c>
      <c r="L3122" s="0">
        <v>5</v>
      </c>
      <c r="M3122" s="0">
        <v>1</v>
      </c>
      <c r="N3122" s="0">
        <v>0</v>
      </c>
      <c r="O3122" s="0">
        <v>0</v>
      </c>
      <c r="P3122" s="0">
        <v>-64</v>
      </c>
      <c r="R3122" s="0" t="b">
        <v>0</v>
      </c>
      <c r="S3122" s="0" t="b">
        <v>1</v>
      </c>
      <c r="T3122" s="68">
        <v>45761.6792592593</v>
      </c>
      <c r="U3122" s="68">
        <v>45775.3333333333</v>
      </c>
      <c r="V3122" s="68">
        <v>0</v>
      </c>
      <c r="W3122" s="0">
        <f>IF(IF(B3122="none",1,IF(B3122="Trialer",1,0))+IF(C3122="Customer",1,IF(C3122="Lost",1,0))=2,1,0)</f>
      </c>
      <c r="X3122" s="0" t="s">
        <v>153</v>
      </c>
      <c r="Y3122" s="0" t="s">
        <v>243</v>
      </c>
      <c r="AV3122" s="68"/>
      <c r="AW3122" s="68"/>
      <c r="AY3122" s="27"/>
      <c r="BD3122" s="68">
        <v>46054.1666666667</v>
      </c>
      <c r="BE3122" s="68">
        <v>46082.1666666667</v>
      </c>
      <c r="BF3122" s="0" t="b">
        <v>0</v>
      </c>
      <c r="BG3122" s="0" t="b">
        <v>0</v>
      </c>
      <c r="BH3122" s="0">
        <v>73</v>
      </c>
      <c r="BI3122" s="0">
        <v>73</v>
      </c>
      <c r="BJ3122" s="0" t="s">
        <v>230</v>
      </c>
    </row>
    <row r="3123">
      <c r="A3123" s="0" t="s">
        <v>3374</v>
      </c>
      <c r="B3123" s="0" t="s">
        <v>134</v>
      </c>
      <c r="C3123" s="0" t="s">
        <v>134</v>
      </c>
      <c r="D3123" s="0" t="s">
        <v>230</v>
      </c>
      <c r="E3123" s="0" t="s">
        <v>2</v>
      </c>
      <c r="F3123" s="0" t="s">
        <v>10</v>
      </c>
      <c r="G3123" s="0" t="s">
        <v>8</v>
      </c>
      <c r="H3123" s="0">
        <v>291</v>
      </c>
      <c r="I3123" s="0">
        <v>369</v>
      </c>
      <c r="J3123" s="0">
        <v>0</v>
      </c>
      <c r="K3123" s="0">
        <v>1</v>
      </c>
      <c r="L3123" s="0">
        <v>4</v>
      </c>
      <c r="M3123" s="0">
        <v>9</v>
      </c>
      <c r="N3123" s="0">
        <v>0</v>
      </c>
      <c r="O3123" s="0">
        <v>0</v>
      </c>
      <c r="P3123" s="0">
        <v>-369</v>
      </c>
      <c r="Q3123" s="0" t="s">
        <v>3375</v>
      </c>
      <c r="R3123" s="0" t="b">
        <v>0</v>
      </c>
      <c r="S3123" s="0" t="b">
        <v>1</v>
      </c>
      <c r="T3123" s="68">
        <v>45762.2983564815</v>
      </c>
      <c r="U3123" s="68">
        <v>45776.3333333333</v>
      </c>
      <c r="V3123" s="68">
        <v>0</v>
      </c>
      <c r="W3123" s="0">
        <f>IF(IF(B3123="none",1,IF(B3123="Trialer",1,0))+IF(C3123="Customer",1,IF(C3123="Lost",1,0))=2,1,0)</f>
      </c>
      <c r="X3123" s="0" t="s">
        <v>148</v>
      </c>
      <c r="Y3123" s="0" t="s">
        <v>499</v>
      </c>
      <c r="AV3123" s="68"/>
      <c r="AW3123" s="68"/>
      <c r="AY3123" s="27"/>
      <c r="BD3123" s="68">
        <v>46054.1666666667</v>
      </c>
      <c r="BE3123" s="68">
        <v>46082.1666666667</v>
      </c>
      <c r="BF3123" s="0" t="b">
        <v>0</v>
      </c>
      <c r="BG3123" s="0" t="b">
        <v>0</v>
      </c>
      <c r="BH3123" s="0">
        <v>447</v>
      </c>
      <c r="BI3123" s="0">
        <v>447</v>
      </c>
      <c r="BJ3123" s="0" t="s">
        <v>230</v>
      </c>
    </row>
    <row r="3124">
      <c r="A3124" s="0" t="s">
        <v>3376</v>
      </c>
      <c r="B3124" s="0" t="s">
        <v>134</v>
      </c>
      <c r="C3124" s="0" t="s">
        <v>134</v>
      </c>
      <c r="D3124" s="0" t="s">
        <v>135</v>
      </c>
      <c r="E3124" s="0" t="s">
        <v>2</v>
      </c>
      <c r="F3124" s="0" t="s">
        <v>12</v>
      </c>
      <c r="G3124" s="0" t="s">
        <v>8</v>
      </c>
      <c r="H3124" s="0">
        <v>291</v>
      </c>
      <c r="I3124" s="0">
        <v>570</v>
      </c>
      <c r="J3124" s="0">
        <v>0</v>
      </c>
      <c r="K3124" s="0">
        <v>1</v>
      </c>
      <c r="L3124" s="0">
        <v>3</v>
      </c>
      <c r="M3124" s="0">
        <v>5</v>
      </c>
      <c r="N3124" s="0">
        <v>0</v>
      </c>
      <c r="O3124" s="0">
        <v>0</v>
      </c>
      <c r="P3124" s="0">
        <v>0</v>
      </c>
      <c r="R3124" s="0" t="b">
        <v>0</v>
      </c>
      <c r="S3124" s="0" t="b">
        <v>1</v>
      </c>
      <c r="T3124" s="68">
        <v>45762.419537037</v>
      </c>
      <c r="U3124" s="68">
        <v>45783.3333333333</v>
      </c>
      <c r="V3124" s="68">
        <v>0</v>
      </c>
      <c r="W3124" s="0">
        <f>IF(IF(B3124="none",1,IF(B3124="Trialer",1,0))+IF(C3124="Customer",1,IF(C3124="Lost",1,0))=2,1,0)</f>
      </c>
      <c r="X3124" s="0" t="s">
        <v>145</v>
      </c>
      <c r="Y3124" s="0" t="s">
        <v>499</v>
      </c>
      <c r="AV3124" s="68"/>
      <c r="AW3124" s="68"/>
      <c r="AY3124" s="27"/>
      <c r="BD3124" s="68">
        <v>46054.1666666667</v>
      </c>
      <c r="BE3124" s="68">
        <v>46082.1666666667</v>
      </c>
      <c r="BF3124" s="0" t="b">
        <v>0</v>
      </c>
      <c r="BG3124" s="0" t="b">
        <v>0</v>
      </c>
      <c r="BH3124" s="0">
        <v>245</v>
      </c>
      <c r="BI3124" s="0">
        <v>245</v>
      </c>
      <c r="BJ3124" s="0" t="s">
        <v>135</v>
      </c>
    </row>
    <row r="3125">
      <c r="A3125" s="0" t="s">
        <v>3377</v>
      </c>
      <c r="B3125" s="0" t="s">
        <v>134</v>
      </c>
      <c r="C3125" s="0" t="s">
        <v>134</v>
      </c>
      <c r="D3125" s="0" t="s">
        <v>135</v>
      </c>
      <c r="E3125" s="0" t="s">
        <v>3</v>
      </c>
      <c r="F3125" s="0" t="s">
        <v>12</v>
      </c>
      <c r="G3125" s="0" t="s">
        <v>8</v>
      </c>
      <c r="H3125" s="0">
        <v>291</v>
      </c>
      <c r="I3125" s="0">
        <v>80</v>
      </c>
      <c r="J3125" s="0">
        <v>0</v>
      </c>
      <c r="K3125" s="0">
        <v>1</v>
      </c>
      <c r="L3125" s="0">
        <v>2</v>
      </c>
      <c r="M3125" s="0">
        <v>2</v>
      </c>
      <c r="N3125" s="0">
        <v>0</v>
      </c>
      <c r="O3125" s="0">
        <v>0</v>
      </c>
      <c r="P3125" s="0">
        <v>0</v>
      </c>
      <c r="R3125" s="0" t="b">
        <v>0</v>
      </c>
      <c r="S3125" s="0" t="b">
        <v>1</v>
      </c>
      <c r="T3125" s="68">
        <v>45762.5204282407</v>
      </c>
      <c r="U3125" s="68">
        <v>45779.3333333333</v>
      </c>
      <c r="V3125" s="68">
        <v>0</v>
      </c>
      <c r="W3125" s="0">
        <f>IF(IF(B3125="none",1,IF(B3125="Trialer",1,0))+IF(C3125="Customer",1,IF(C3125="Lost",1,0))=2,1,0)</f>
      </c>
      <c r="X3125" s="0" t="s">
        <v>142</v>
      </c>
      <c r="Y3125" s="0" t="s">
        <v>243</v>
      </c>
      <c r="AV3125" s="68"/>
      <c r="AW3125" s="68"/>
      <c r="AY3125" s="27"/>
      <c r="BD3125" s="68">
        <v>46054.1666666667</v>
      </c>
      <c r="BE3125" s="68">
        <v>46082.1666666667</v>
      </c>
      <c r="BF3125" s="0" t="b">
        <v>0</v>
      </c>
      <c r="BG3125" s="0" t="b">
        <v>0</v>
      </c>
      <c r="BH3125" s="0">
        <v>80</v>
      </c>
      <c r="BI3125" s="0">
        <v>80</v>
      </c>
      <c r="BJ3125" s="0" t="s">
        <v>135</v>
      </c>
    </row>
    <row r="3126">
      <c r="A3126" s="0" t="s">
        <v>3378</v>
      </c>
      <c r="B3126" s="0" t="s">
        <v>134</v>
      </c>
      <c r="C3126" s="0" t="s">
        <v>134</v>
      </c>
      <c r="D3126" s="0" t="s">
        <v>135</v>
      </c>
      <c r="E3126" s="0" t="s">
        <v>3</v>
      </c>
      <c r="F3126" s="0" t="s">
        <v>12</v>
      </c>
      <c r="G3126" s="0" t="s">
        <v>8</v>
      </c>
      <c r="H3126" s="0">
        <v>291</v>
      </c>
      <c r="I3126" s="0">
        <v>85</v>
      </c>
      <c r="J3126" s="0">
        <v>0</v>
      </c>
      <c r="K3126" s="0">
        <v>1</v>
      </c>
      <c r="L3126" s="0">
        <v>6</v>
      </c>
      <c r="M3126" s="0">
        <v>1</v>
      </c>
      <c r="N3126" s="0">
        <v>0</v>
      </c>
      <c r="O3126" s="0">
        <v>0</v>
      </c>
      <c r="P3126" s="0">
        <v>0</v>
      </c>
      <c r="R3126" s="0" t="b">
        <v>0</v>
      </c>
      <c r="S3126" s="0" t="b">
        <v>1</v>
      </c>
      <c r="T3126" s="68">
        <v>45762.5430555556</v>
      </c>
      <c r="U3126" s="68">
        <v>45776.3333333333</v>
      </c>
      <c r="V3126" s="68">
        <v>0</v>
      </c>
      <c r="W3126" s="0">
        <f>IF(IF(B3126="none",1,IF(B3126="Trialer",1,0))+IF(C3126="Customer",1,IF(C3126="Lost",1,0))=2,1,0)</f>
      </c>
      <c r="X3126" s="0" t="s">
        <v>153</v>
      </c>
      <c r="Y3126" s="0" t="s">
        <v>243</v>
      </c>
      <c r="AV3126" s="68"/>
      <c r="AW3126" s="68"/>
      <c r="AY3126" s="27"/>
      <c r="BD3126" s="68">
        <v>46054.1666666667</v>
      </c>
      <c r="BE3126" s="68">
        <v>46082.1666666667</v>
      </c>
      <c r="BF3126" s="0" t="b">
        <v>0</v>
      </c>
      <c r="BG3126" s="0" t="b">
        <v>0</v>
      </c>
      <c r="BH3126" s="0">
        <v>85</v>
      </c>
      <c r="BI3126" s="0">
        <v>85</v>
      </c>
      <c r="BJ3126" s="0" t="s">
        <v>135</v>
      </c>
    </row>
    <row r="3127">
      <c r="A3127" s="0" t="s">
        <v>3379</v>
      </c>
      <c r="B3127" s="0" t="s">
        <v>134</v>
      </c>
      <c r="C3127" s="0" t="s">
        <v>134</v>
      </c>
      <c r="D3127" s="0" t="s">
        <v>135</v>
      </c>
      <c r="E3127" s="0" t="s">
        <v>2</v>
      </c>
      <c r="F3127" s="0" t="s">
        <v>12</v>
      </c>
      <c r="G3127" s="0" t="s">
        <v>8</v>
      </c>
      <c r="H3127" s="0">
        <v>291</v>
      </c>
      <c r="I3127" s="0">
        <v>290</v>
      </c>
      <c r="J3127" s="0">
        <v>0</v>
      </c>
      <c r="K3127" s="0">
        <v>1</v>
      </c>
      <c r="L3127" s="0">
        <v>6</v>
      </c>
      <c r="M3127" s="0">
        <v>5</v>
      </c>
      <c r="N3127" s="0">
        <v>0</v>
      </c>
      <c r="O3127" s="0">
        <v>0</v>
      </c>
      <c r="P3127" s="0">
        <v>0</v>
      </c>
      <c r="R3127" s="0" t="b">
        <v>0</v>
      </c>
      <c r="S3127" s="0" t="b">
        <v>1</v>
      </c>
      <c r="T3127" s="68">
        <v>45762.6191666667</v>
      </c>
      <c r="U3127" s="68">
        <v>45770.3333333333</v>
      </c>
      <c r="V3127" s="68">
        <v>0</v>
      </c>
      <c r="W3127" s="0">
        <f>IF(IF(B3127="none",1,IF(B3127="Trialer",1,0))+IF(C3127="Customer",1,IF(C3127="Lost",1,0))=2,1,0)</f>
      </c>
      <c r="X3127" s="0" t="s">
        <v>145</v>
      </c>
      <c r="Y3127" s="0" t="s">
        <v>499</v>
      </c>
      <c r="AV3127" s="68"/>
      <c r="AW3127" s="68"/>
      <c r="AY3127" s="27"/>
      <c r="BD3127" s="68">
        <v>46054.1666666667</v>
      </c>
      <c r="BE3127" s="68">
        <v>46082.1666666667</v>
      </c>
      <c r="BF3127" s="0" t="b">
        <v>0</v>
      </c>
      <c r="BG3127" s="0" t="b">
        <v>0</v>
      </c>
      <c r="BH3127" s="0">
        <v>290</v>
      </c>
      <c r="BI3127" s="0">
        <v>290</v>
      </c>
      <c r="BJ3127" s="0" t="s">
        <v>135</v>
      </c>
    </row>
    <row r="3128">
      <c r="A3128" s="0" t="s">
        <v>3380</v>
      </c>
      <c r="B3128" s="0" t="s">
        <v>134</v>
      </c>
      <c r="C3128" s="0" t="s">
        <v>134</v>
      </c>
      <c r="D3128" s="0" t="s">
        <v>230</v>
      </c>
      <c r="E3128" s="0" t="s">
        <v>3</v>
      </c>
      <c r="F3128" s="0" t="s">
        <v>12</v>
      </c>
      <c r="G3128" s="0" t="s">
        <v>8</v>
      </c>
      <c r="H3128" s="0">
        <v>291</v>
      </c>
      <c r="I3128" s="0">
        <v>192</v>
      </c>
      <c r="J3128" s="0">
        <v>0</v>
      </c>
      <c r="K3128" s="0">
        <v>1</v>
      </c>
      <c r="L3128" s="0">
        <v>5</v>
      </c>
      <c r="M3128" s="0">
        <v>3</v>
      </c>
      <c r="N3128" s="0">
        <v>0</v>
      </c>
      <c r="O3128" s="0">
        <v>0</v>
      </c>
      <c r="P3128" s="0">
        <v>-192</v>
      </c>
      <c r="R3128" s="0" t="b">
        <v>0</v>
      </c>
      <c r="S3128" s="0" t="b">
        <v>1</v>
      </c>
      <c r="T3128" s="68">
        <v>45762.6962268519</v>
      </c>
      <c r="U3128" s="68">
        <v>45770.3333333333</v>
      </c>
      <c r="V3128" s="68">
        <v>0</v>
      </c>
      <c r="W3128" s="0">
        <f>IF(IF(B3128="none",1,IF(B3128="Trialer",1,0))+IF(C3128="Customer",1,IF(C3128="Lost",1,0))=2,1,0)</f>
      </c>
      <c r="X3128" s="0" t="s">
        <v>166</v>
      </c>
      <c r="Y3128" s="0" t="s">
        <v>243</v>
      </c>
      <c r="AV3128" s="68"/>
      <c r="AW3128" s="68"/>
      <c r="AY3128" s="27"/>
      <c r="BD3128" s="68">
        <v>46054.1666666667</v>
      </c>
      <c r="BE3128" s="68">
        <v>46082.1666666667</v>
      </c>
      <c r="BF3128" s="0" t="b">
        <v>0</v>
      </c>
      <c r="BG3128" s="0" t="b">
        <v>0</v>
      </c>
      <c r="BH3128" s="0">
        <v>219</v>
      </c>
      <c r="BI3128" s="0">
        <v>219</v>
      </c>
      <c r="BJ3128" s="0" t="s">
        <v>230</v>
      </c>
    </row>
    <row r="3129">
      <c r="A3129" s="0" t="s">
        <v>3381</v>
      </c>
      <c r="B3129" s="0" t="s">
        <v>134</v>
      </c>
      <c r="C3129" s="0" t="s">
        <v>134</v>
      </c>
      <c r="D3129" s="0" t="s">
        <v>135</v>
      </c>
      <c r="E3129" s="0" t="s">
        <v>2</v>
      </c>
      <c r="F3129" s="0" t="s">
        <v>12</v>
      </c>
      <c r="G3129" s="0" t="s">
        <v>8</v>
      </c>
      <c r="H3129" s="0">
        <v>291</v>
      </c>
      <c r="I3129" s="0">
        <v>294</v>
      </c>
      <c r="J3129" s="0">
        <v>0</v>
      </c>
      <c r="K3129" s="0">
        <v>1</v>
      </c>
      <c r="L3129" s="0">
        <v>3</v>
      </c>
      <c r="M3129" s="0">
        <v>6</v>
      </c>
      <c r="N3129" s="0">
        <v>0</v>
      </c>
      <c r="O3129" s="0">
        <v>0</v>
      </c>
      <c r="P3129" s="0">
        <v>0</v>
      </c>
      <c r="R3129" s="0" t="b">
        <v>0</v>
      </c>
      <c r="S3129" s="0" t="b">
        <v>1</v>
      </c>
      <c r="T3129" s="68">
        <v>45762.8121412037</v>
      </c>
      <c r="U3129" s="68">
        <v>45776.3333333333</v>
      </c>
      <c r="V3129" s="68">
        <v>0</v>
      </c>
      <c r="W3129" s="0">
        <f>IF(IF(B3129="none",1,IF(B3129="Trialer",1,0))+IF(C3129="Customer",1,IF(C3129="Lost",1,0))=2,1,0)</f>
      </c>
      <c r="X3129" s="0" t="s">
        <v>148</v>
      </c>
      <c r="Y3129" s="0" t="s">
        <v>499</v>
      </c>
      <c r="AV3129" s="68"/>
      <c r="AW3129" s="68"/>
      <c r="AY3129" s="27"/>
      <c r="BD3129" s="68">
        <v>46054.1666666667</v>
      </c>
      <c r="BE3129" s="68">
        <v>46082.1666666667</v>
      </c>
      <c r="BF3129" s="0" t="b">
        <v>0</v>
      </c>
      <c r="BG3129" s="0" t="b">
        <v>0</v>
      </c>
      <c r="BH3129" s="0">
        <v>294</v>
      </c>
      <c r="BI3129" s="0">
        <v>294</v>
      </c>
      <c r="BJ3129" s="0" t="s">
        <v>135</v>
      </c>
    </row>
    <row r="3130">
      <c r="A3130" s="0" t="s">
        <v>3382</v>
      </c>
      <c r="B3130" s="0" t="s">
        <v>134</v>
      </c>
      <c r="C3130" s="0" t="s">
        <v>134</v>
      </c>
      <c r="D3130" s="0" t="s">
        <v>135</v>
      </c>
      <c r="E3130" s="0" t="s">
        <v>3</v>
      </c>
      <c r="F3130" s="0" t="s">
        <v>10</v>
      </c>
      <c r="G3130" s="0" t="s">
        <v>8</v>
      </c>
      <c r="H3130" s="0">
        <v>290</v>
      </c>
      <c r="I3130" s="0">
        <v>112</v>
      </c>
      <c r="J3130" s="0">
        <v>0</v>
      </c>
      <c r="K3130" s="0">
        <v>1</v>
      </c>
      <c r="L3130" s="0">
        <v>1</v>
      </c>
      <c r="M3130" s="0">
        <v>4</v>
      </c>
      <c r="N3130" s="0">
        <v>0</v>
      </c>
      <c r="O3130" s="0">
        <v>0</v>
      </c>
      <c r="P3130" s="0">
        <v>0</v>
      </c>
      <c r="Q3130" s="0" t="s">
        <v>618</v>
      </c>
      <c r="R3130" s="0" t="b">
        <v>0</v>
      </c>
      <c r="S3130" s="0" t="b">
        <v>1</v>
      </c>
      <c r="T3130" s="68">
        <v>45763.1151273148</v>
      </c>
      <c r="U3130" s="68">
        <v>45777.3333333333</v>
      </c>
      <c r="V3130" s="68">
        <v>0</v>
      </c>
      <c r="W3130" s="0">
        <f>IF(IF(B3130="none",1,IF(B3130="Trialer",1,0))+IF(C3130="Customer",1,IF(C3130="Lost",1,0))=2,1,0)</f>
      </c>
      <c r="X3130" s="0" t="s">
        <v>148</v>
      </c>
      <c r="Y3130" s="0" t="s">
        <v>243</v>
      </c>
      <c r="AV3130" s="68"/>
      <c r="AW3130" s="68"/>
      <c r="AY3130" s="27"/>
      <c r="BD3130" s="68">
        <v>46054.1666666667</v>
      </c>
      <c r="BE3130" s="68">
        <v>46082.1666666667</v>
      </c>
      <c r="BF3130" s="0" t="b">
        <v>0</v>
      </c>
      <c r="BG3130" s="0" t="b">
        <v>0</v>
      </c>
      <c r="BH3130" s="0">
        <v>112</v>
      </c>
      <c r="BI3130" s="0">
        <v>112</v>
      </c>
      <c r="BJ3130" s="0" t="s">
        <v>135</v>
      </c>
    </row>
    <row r="3131">
      <c r="A3131" s="0" t="s">
        <v>3383</v>
      </c>
      <c r="B3131" s="0" t="s">
        <v>134</v>
      </c>
      <c r="C3131" s="0" t="s">
        <v>134</v>
      </c>
      <c r="D3131" s="0" t="s">
        <v>230</v>
      </c>
      <c r="E3131" s="0" t="s">
        <v>3</v>
      </c>
      <c r="F3131" s="0" t="s">
        <v>12</v>
      </c>
      <c r="G3131" s="0" t="s">
        <v>8</v>
      </c>
      <c r="H3131" s="0">
        <v>290</v>
      </c>
      <c r="I3131" s="0">
        <v>781.45</v>
      </c>
      <c r="J3131" s="0">
        <v>0</v>
      </c>
      <c r="K3131" s="0">
        <v>1</v>
      </c>
      <c r="L3131" s="0">
        <v>3</v>
      </c>
      <c r="M3131" s="0">
        <v>13</v>
      </c>
      <c r="N3131" s="0">
        <v>1116</v>
      </c>
      <c r="O3131" s="0">
        <v>0</v>
      </c>
      <c r="P3131" s="0">
        <v>-456.45</v>
      </c>
      <c r="R3131" s="0" t="b">
        <v>0</v>
      </c>
      <c r="S3131" s="0" t="b">
        <v>1</v>
      </c>
      <c r="T3131" s="68">
        <v>45763.5373263889</v>
      </c>
      <c r="U3131" s="68">
        <v>45777.3333333333</v>
      </c>
      <c r="V3131" s="68">
        <v>0</v>
      </c>
      <c r="W3131" s="0">
        <f>IF(IF(B3131="none",1,IF(B3131="Trialer",1,0))+IF(C3131="Customer",1,IF(C3131="Lost",1,0))=2,1,0)</f>
      </c>
      <c r="X3131" s="0" t="s">
        <v>136</v>
      </c>
      <c r="Y3131" s="0" t="s">
        <v>243</v>
      </c>
      <c r="AV3131" s="68"/>
      <c r="AW3131" s="68"/>
      <c r="AY3131" s="27"/>
      <c r="BD3131" s="68">
        <v>46054.1666666667</v>
      </c>
      <c r="BE3131" s="68">
        <v>46082.1666666667</v>
      </c>
      <c r="BF3131" s="0" t="b">
        <v>0</v>
      </c>
      <c r="BG3131" s="0" t="b">
        <v>0</v>
      </c>
      <c r="BH3131" s="0">
        <v>483</v>
      </c>
      <c r="BI3131" s="0">
        <v>483</v>
      </c>
      <c r="BJ3131" s="0" t="s">
        <v>230</v>
      </c>
    </row>
    <row r="3132">
      <c r="A3132" s="0" t="s">
        <v>3384</v>
      </c>
      <c r="B3132" s="0" t="s">
        <v>134</v>
      </c>
      <c r="C3132" s="0" t="s">
        <v>190</v>
      </c>
      <c r="D3132" s="0" t="s">
        <v>135</v>
      </c>
      <c r="E3132" s="0" t="s">
        <v>3</v>
      </c>
      <c r="F3132" s="0" t="s">
        <v>12</v>
      </c>
      <c r="G3132" s="0" t="s">
        <v>8</v>
      </c>
      <c r="H3132" s="0">
        <v>289</v>
      </c>
      <c r="I3132" s="0">
        <v>0</v>
      </c>
      <c r="J3132" s="0">
        <v>0</v>
      </c>
      <c r="K3132" s="0">
        <v>0</v>
      </c>
      <c r="L3132" s="0">
        <v>0</v>
      </c>
      <c r="M3132" s="0">
        <v>0</v>
      </c>
      <c r="N3132" s="0">
        <v>0</v>
      </c>
      <c r="O3132" s="0">
        <v>0</v>
      </c>
      <c r="P3132" s="0">
        <v>0</v>
      </c>
      <c r="R3132" s="0" t="b">
        <v>0</v>
      </c>
      <c r="S3132" s="0" t="b">
        <v>0</v>
      </c>
      <c r="T3132" s="68">
        <v>45764.1220023148</v>
      </c>
      <c r="U3132" s="68">
        <v>45799.3333333333</v>
      </c>
      <c r="V3132" s="68">
        <v>46070.2707175926</v>
      </c>
      <c r="W3132" s="0">
        <f>IF(IF(B3132="none",1,IF(B3132="Trialer",1,0))+IF(C3132="Customer",1,IF(C3132="Lost",1,0))=2,1,0)</f>
      </c>
      <c r="X3132" s="0" t="s">
        <v>148</v>
      </c>
      <c r="Y3132" s="0" t="s">
        <v>243</v>
      </c>
      <c r="AV3132" s="68"/>
      <c r="AW3132" s="68"/>
      <c r="AY3132" s="27"/>
      <c r="BD3132" s="68">
        <v>46054.1666666667</v>
      </c>
      <c r="BE3132" s="68">
        <v>46082.1666666667</v>
      </c>
      <c r="BF3132" s="0" t="b">
        <v>0</v>
      </c>
      <c r="BG3132" s="0" t="b">
        <v>0</v>
      </c>
      <c r="BH3132" s="0">
        <v>507</v>
      </c>
      <c r="BI3132" s="0">
        <v>507</v>
      </c>
      <c r="BJ3132" s="0" t="s">
        <v>135</v>
      </c>
    </row>
    <row r="3133">
      <c r="A3133" s="0" t="s">
        <v>3385</v>
      </c>
      <c r="B3133" s="0" t="s">
        <v>134</v>
      </c>
      <c r="C3133" s="0" t="s">
        <v>134</v>
      </c>
      <c r="D3133" s="0" t="s">
        <v>230</v>
      </c>
      <c r="E3133" s="0" t="s">
        <v>3</v>
      </c>
      <c r="F3133" s="0" t="s">
        <v>12</v>
      </c>
      <c r="G3133" s="0" t="s">
        <v>8</v>
      </c>
      <c r="H3133" s="0">
        <v>289</v>
      </c>
      <c r="I3133" s="0">
        <v>425.5</v>
      </c>
      <c r="J3133" s="0">
        <v>0</v>
      </c>
      <c r="K3133" s="0">
        <v>1</v>
      </c>
      <c r="L3133" s="0">
        <v>5</v>
      </c>
      <c r="M3133" s="0">
        <v>2</v>
      </c>
      <c r="N3133" s="0">
        <v>0</v>
      </c>
      <c r="O3133" s="0">
        <v>0</v>
      </c>
      <c r="P3133" s="0">
        <v>-100.5</v>
      </c>
      <c r="R3133" s="0" t="b">
        <v>0</v>
      </c>
      <c r="S3133" s="0" t="b">
        <v>1</v>
      </c>
      <c r="T3133" s="68">
        <v>45764.3046412037</v>
      </c>
      <c r="U3133" s="68">
        <v>45778.3333333333</v>
      </c>
      <c r="V3133" s="68">
        <v>0</v>
      </c>
      <c r="W3133" s="0">
        <f>IF(IF(B3133="none",1,IF(B3133="Trialer",1,0))+IF(C3133="Customer",1,IF(C3133="Lost",1,0))=2,1,0)</f>
      </c>
      <c r="X3133" s="0" t="s">
        <v>136</v>
      </c>
      <c r="Y3133" s="0" t="s">
        <v>243</v>
      </c>
      <c r="AV3133" s="68"/>
      <c r="AW3133" s="68"/>
      <c r="AY3133" s="27"/>
      <c r="BD3133" s="68">
        <v>46054.1666666667</v>
      </c>
      <c r="BE3133" s="68">
        <v>46082.1666666667</v>
      </c>
      <c r="BF3133" s="0" t="b">
        <v>0</v>
      </c>
      <c r="BG3133" s="0" t="b">
        <v>0</v>
      </c>
      <c r="BH3133" s="0">
        <v>134</v>
      </c>
      <c r="BI3133" s="0">
        <v>134</v>
      </c>
      <c r="BJ3133" s="0" t="s">
        <v>230</v>
      </c>
    </row>
    <row r="3134">
      <c r="A3134" s="0" t="s">
        <v>3386</v>
      </c>
      <c r="B3134" s="0" t="s">
        <v>134</v>
      </c>
      <c r="C3134" s="0" t="s">
        <v>190</v>
      </c>
      <c r="D3134" s="0" t="s">
        <v>135</v>
      </c>
      <c r="E3134" s="0" t="s">
        <v>3</v>
      </c>
      <c r="F3134" s="0" t="s">
        <v>12</v>
      </c>
      <c r="G3134" s="0" t="s">
        <v>8</v>
      </c>
      <c r="H3134" s="0">
        <v>289</v>
      </c>
      <c r="I3134" s="0">
        <v>52</v>
      </c>
      <c r="J3134" s="0">
        <v>0</v>
      </c>
      <c r="K3134" s="0">
        <v>1</v>
      </c>
      <c r="L3134" s="0">
        <v>3</v>
      </c>
      <c r="M3134" s="0">
        <v>1</v>
      </c>
      <c r="N3134" s="0">
        <v>0</v>
      </c>
      <c r="O3134" s="0">
        <v>0</v>
      </c>
      <c r="P3134" s="0">
        <v>0</v>
      </c>
      <c r="R3134" s="0" t="b">
        <v>0</v>
      </c>
      <c r="S3134" s="0" t="b">
        <v>0</v>
      </c>
      <c r="T3134" s="68">
        <v>45764.446724537</v>
      </c>
      <c r="U3134" s="68">
        <v>45778.3333333333</v>
      </c>
      <c r="V3134" s="68">
        <v>46057.3002662037</v>
      </c>
      <c r="W3134" s="0">
        <f>IF(IF(B3134="none",1,IF(B3134="Trialer",1,0))+IF(C3134="Customer",1,IF(C3134="Lost",1,0))=2,1,0)</f>
      </c>
      <c r="X3134" s="0" t="s">
        <v>153</v>
      </c>
      <c r="Y3134" s="0" t="s">
        <v>243</v>
      </c>
      <c r="AV3134" s="68"/>
      <c r="AW3134" s="68"/>
      <c r="AY3134" s="27"/>
      <c r="BD3134" s="68">
        <v>46054.1666666667</v>
      </c>
      <c r="BE3134" s="68">
        <v>46082.1666666667</v>
      </c>
      <c r="BF3134" s="0" t="b">
        <v>0</v>
      </c>
      <c r="BG3134" s="0" t="b">
        <v>0</v>
      </c>
      <c r="BH3134" s="0">
        <v>52</v>
      </c>
      <c r="BI3134" s="0">
        <v>52</v>
      </c>
      <c r="BJ3134" s="0" t="s">
        <v>135</v>
      </c>
    </row>
    <row r="3135">
      <c r="A3135" s="0" t="s">
        <v>3387</v>
      </c>
      <c r="B3135" s="0" t="s">
        <v>134</v>
      </c>
      <c r="C3135" s="0" t="s">
        <v>134</v>
      </c>
      <c r="D3135" s="0" t="s">
        <v>135</v>
      </c>
      <c r="E3135" s="0" t="s">
        <v>2</v>
      </c>
      <c r="F3135" s="0" t="s">
        <v>10</v>
      </c>
      <c r="G3135" s="0" t="s">
        <v>8</v>
      </c>
      <c r="H3135" s="0">
        <v>289</v>
      </c>
      <c r="I3135" s="0">
        <v>244</v>
      </c>
      <c r="J3135" s="0">
        <v>0</v>
      </c>
      <c r="K3135" s="0">
        <v>1</v>
      </c>
      <c r="L3135" s="0">
        <v>4</v>
      </c>
      <c r="M3135" s="0">
        <v>4</v>
      </c>
      <c r="N3135" s="0">
        <v>0</v>
      </c>
      <c r="O3135" s="0">
        <v>0</v>
      </c>
      <c r="P3135" s="0">
        <v>0</v>
      </c>
      <c r="Q3135" s="0" t="s">
        <v>1919</v>
      </c>
      <c r="R3135" s="0" t="b">
        <v>0</v>
      </c>
      <c r="S3135" s="0" t="b">
        <v>1</v>
      </c>
      <c r="T3135" s="68">
        <v>45764.4717708333</v>
      </c>
      <c r="U3135" s="68">
        <v>45791.3333333333</v>
      </c>
      <c r="V3135" s="68">
        <v>0</v>
      </c>
      <c r="W3135" s="0">
        <f>IF(IF(B3135="none",1,IF(B3135="Trialer",1,0))+IF(C3135="Customer",1,IF(C3135="Lost",1,0))=2,1,0)</f>
      </c>
      <c r="X3135" s="0" t="s">
        <v>145</v>
      </c>
      <c r="Y3135" s="0" t="s">
        <v>1587</v>
      </c>
      <c r="AV3135" s="68"/>
      <c r="AW3135" s="68"/>
      <c r="AY3135" s="27"/>
      <c r="BD3135" s="68">
        <v>46054.1666666667</v>
      </c>
      <c r="BE3135" s="68">
        <v>46082.1666666667</v>
      </c>
      <c r="BF3135" s="0" t="b">
        <v>0</v>
      </c>
      <c r="BG3135" s="0" t="b">
        <v>0</v>
      </c>
      <c r="BH3135" s="0">
        <v>244</v>
      </c>
      <c r="BI3135" s="0">
        <v>244</v>
      </c>
      <c r="BJ3135" s="0" t="s">
        <v>135</v>
      </c>
    </row>
    <row r="3136">
      <c r="A3136" s="0" t="s">
        <v>3388</v>
      </c>
      <c r="B3136" s="0" t="s">
        <v>134</v>
      </c>
      <c r="C3136" s="0" t="s">
        <v>134</v>
      </c>
      <c r="D3136" s="0" t="s">
        <v>230</v>
      </c>
      <c r="E3136" s="0" t="s">
        <v>3</v>
      </c>
      <c r="F3136" s="0" t="s">
        <v>12</v>
      </c>
      <c r="G3136" s="0" t="s">
        <v>8</v>
      </c>
      <c r="H3136" s="0">
        <v>289</v>
      </c>
      <c r="I3136" s="0">
        <v>873</v>
      </c>
      <c r="J3136" s="0">
        <v>0</v>
      </c>
      <c r="K3136" s="0">
        <v>1</v>
      </c>
      <c r="L3136" s="0">
        <v>4</v>
      </c>
      <c r="M3136" s="0">
        <v>12</v>
      </c>
      <c r="N3136" s="0">
        <v>697.5</v>
      </c>
      <c r="O3136" s="0">
        <v>0</v>
      </c>
      <c r="P3136" s="0">
        <v>-548</v>
      </c>
      <c r="R3136" s="0" t="b">
        <v>0</v>
      </c>
      <c r="S3136" s="0" t="b">
        <v>1</v>
      </c>
      <c r="T3136" s="68">
        <v>45764.4991203704</v>
      </c>
      <c r="U3136" s="68">
        <v>45764.3333333333</v>
      </c>
      <c r="V3136" s="68">
        <v>0</v>
      </c>
      <c r="W3136" s="0">
        <f>IF(IF(B3136="none",1,IF(B3136="Trialer",1,0))+IF(C3136="Customer",1,IF(C3136="Lost",1,0))=2,1,0)</f>
      </c>
      <c r="X3136" s="0" t="s">
        <v>145</v>
      </c>
      <c r="Y3136" s="0" t="s">
        <v>243</v>
      </c>
      <c r="AV3136" s="68"/>
      <c r="AW3136" s="68"/>
      <c r="AY3136" s="27"/>
      <c r="BD3136" s="68">
        <v>46054.1666666667</v>
      </c>
      <c r="BE3136" s="68">
        <v>46082.1666666667</v>
      </c>
      <c r="BF3136" s="0" t="b">
        <v>0</v>
      </c>
      <c r="BG3136" s="0" t="b">
        <v>0</v>
      </c>
      <c r="BH3136" s="0">
        <v>612</v>
      </c>
      <c r="BI3136" s="0">
        <v>612</v>
      </c>
      <c r="BJ3136" s="0" t="s">
        <v>230</v>
      </c>
    </row>
    <row r="3137">
      <c r="A3137" s="0" t="s">
        <v>3389</v>
      </c>
      <c r="B3137" s="0" t="s">
        <v>134</v>
      </c>
      <c r="C3137" s="0" t="s">
        <v>134</v>
      </c>
      <c r="D3137" s="0" t="s">
        <v>230</v>
      </c>
      <c r="E3137" s="0" t="s">
        <v>3</v>
      </c>
      <c r="F3137" s="0" t="s">
        <v>12</v>
      </c>
      <c r="G3137" s="0" t="s">
        <v>8</v>
      </c>
      <c r="H3137" s="0">
        <v>289</v>
      </c>
      <c r="I3137" s="0">
        <v>44</v>
      </c>
      <c r="J3137" s="0">
        <v>0</v>
      </c>
      <c r="K3137" s="0">
        <v>1</v>
      </c>
      <c r="L3137" s="0">
        <v>3</v>
      </c>
      <c r="M3137" s="0">
        <v>1</v>
      </c>
      <c r="N3137" s="0">
        <v>0</v>
      </c>
      <c r="O3137" s="0">
        <v>0</v>
      </c>
      <c r="P3137" s="0">
        <v>-44</v>
      </c>
      <c r="R3137" s="0" t="b">
        <v>0</v>
      </c>
      <c r="S3137" s="0" t="b">
        <v>1</v>
      </c>
      <c r="T3137" s="68">
        <v>45764.5190162037</v>
      </c>
      <c r="U3137" s="68">
        <v>45778.3333333333</v>
      </c>
      <c r="V3137" s="68">
        <v>0</v>
      </c>
      <c r="W3137" s="0">
        <f>IF(IF(B3137="none",1,IF(B3137="Trialer",1,0))+IF(C3137="Customer",1,IF(C3137="Lost",1,0))=2,1,0)</f>
      </c>
      <c r="X3137" s="0" t="s">
        <v>142</v>
      </c>
      <c r="Y3137" s="0" t="s">
        <v>243</v>
      </c>
      <c r="AV3137" s="68"/>
      <c r="AW3137" s="68"/>
      <c r="AY3137" s="27"/>
      <c r="BD3137" s="68">
        <v>46054.1666666667</v>
      </c>
      <c r="BE3137" s="68">
        <v>46082.1666666667</v>
      </c>
      <c r="BF3137" s="0" t="b">
        <v>0</v>
      </c>
      <c r="BG3137" s="0" t="b">
        <v>0</v>
      </c>
      <c r="BH3137" s="0">
        <v>49</v>
      </c>
      <c r="BI3137" s="0">
        <v>49</v>
      </c>
      <c r="BJ3137" s="0" t="s">
        <v>230</v>
      </c>
    </row>
    <row r="3138">
      <c r="A3138" s="0" t="s">
        <v>3390</v>
      </c>
      <c r="B3138" s="0" t="s">
        <v>134</v>
      </c>
      <c r="C3138" s="0" t="s">
        <v>134</v>
      </c>
      <c r="D3138" s="0" t="s">
        <v>135</v>
      </c>
      <c r="E3138" s="0" t="s">
        <v>3</v>
      </c>
      <c r="F3138" s="0" t="s">
        <v>10</v>
      </c>
      <c r="G3138" s="0" t="s">
        <v>8</v>
      </c>
      <c r="H3138" s="0">
        <v>289</v>
      </c>
      <c r="I3138" s="0">
        <v>28</v>
      </c>
      <c r="J3138" s="0">
        <v>0</v>
      </c>
      <c r="K3138" s="0">
        <v>1</v>
      </c>
      <c r="L3138" s="0">
        <v>1</v>
      </c>
      <c r="M3138" s="0">
        <v>1</v>
      </c>
      <c r="N3138" s="0">
        <v>0</v>
      </c>
      <c r="O3138" s="0">
        <v>0</v>
      </c>
      <c r="P3138" s="0">
        <v>0</v>
      </c>
      <c r="Q3138" s="0" t="s">
        <v>618</v>
      </c>
      <c r="R3138" s="0" t="b">
        <v>0</v>
      </c>
      <c r="S3138" s="0" t="b">
        <v>1</v>
      </c>
      <c r="T3138" s="68">
        <v>45764.5535763889</v>
      </c>
      <c r="U3138" s="68">
        <v>45778.3333333333</v>
      </c>
      <c r="V3138" s="68">
        <v>0</v>
      </c>
      <c r="W3138" s="0">
        <f>IF(IF(B3138="none",1,IF(B3138="Trialer",1,0))+IF(C3138="Customer",1,IF(C3138="Lost",1,0))=2,1,0)</f>
      </c>
      <c r="X3138" s="0" t="s">
        <v>148</v>
      </c>
      <c r="Y3138" s="0" t="s">
        <v>243</v>
      </c>
      <c r="AV3138" s="68"/>
      <c r="AW3138" s="68"/>
      <c r="AY3138" s="27"/>
      <c r="BD3138" s="68">
        <v>46054.1666666667</v>
      </c>
      <c r="BE3138" s="68">
        <v>46082.1666666667</v>
      </c>
      <c r="BF3138" s="0" t="b">
        <v>0</v>
      </c>
      <c r="BG3138" s="0" t="b">
        <v>0</v>
      </c>
      <c r="BH3138" s="0">
        <v>28</v>
      </c>
      <c r="BI3138" s="0">
        <v>28</v>
      </c>
      <c r="BJ3138" s="0" t="s">
        <v>135</v>
      </c>
    </row>
    <row r="3139">
      <c r="A3139" s="0" t="s">
        <v>3391</v>
      </c>
      <c r="B3139" s="0" t="s">
        <v>134</v>
      </c>
      <c r="C3139" s="0" t="s">
        <v>134</v>
      </c>
      <c r="D3139" s="0" t="s">
        <v>135</v>
      </c>
      <c r="E3139" s="0" t="s">
        <v>3</v>
      </c>
      <c r="F3139" s="0" t="s">
        <v>10</v>
      </c>
      <c r="G3139" s="0" t="s">
        <v>8</v>
      </c>
      <c r="H3139" s="0">
        <v>288</v>
      </c>
      <c r="I3139" s="0">
        <v>28</v>
      </c>
      <c r="J3139" s="0">
        <v>0</v>
      </c>
      <c r="K3139" s="0">
        <v>1</v>
      </c>
      <c r="L3139" s="0">
        <v>1</v>
      </c>
      <c r="M3139" s="0">
        <v>1</v>
      </c>
      <c r="N3139" s="0">
        <v>0</v>
      </c>
      <c r="O3139" s="0">
        <v>0</v>
      </c>
      <c r="P3139" s="0">
        <v>0</v>
      </c>
      <c r="Q3139" s="0" t="s">
        <v>618</v>
      </c>
      <c r="R3139" s="0" t="b">
        <v>0</v>
      </c>
      <c r="S3139" s="0" t="b">
        <v>1</v>
      </c>
      <c r="T3139" s="68">
        <v>45765.2340509259</v>
      </c>
      <c r="U3139" s="68">
        <v>45779.3333333333</v>
      </c>
      <c r="V3139" s="68">
        <v>0</v>
      </c>
      <c r="W3139" s="0">
        <f>IF(IF(B3139="none",1,IF(B3139="Trialer",1,0))+IF(C3139="Customer",1,IF(C3139="Lost",1,0))=2,1,0)</f>
      </c>
      <c r="X3139" s="0" t="s">
        <v>148</v>
      </c>
      <c r="Y3139" s="0" t="s">
        <v>243</v>
      </c>
      <c r="AV3139" s="68"/>
      <c r="AW3139" s="68"/>
      <c r="AY3139" s="27"/>
      <c r="BD3139" s="68">
        <v>46054.1666666667</v>
      </c>
      <c r="BE3139" s="68">
        <v>46082.1666666667</v>
      </c>
      <c r="BF3139" s="0" t="b">
        <v>0</v>
      </c>
      <c r="BG3139" s="0" t="b">
        <v>0</v>
      </c>
      <c r="BH3139" s="0">
        <v>28</v>
      </c>
      <c r="BI3139" s="0">
        <v>28</v>
      </c>
      <c r="BJ3139" s="0" t="s">
        <v>135</v>
      </c>
    </row>
    <row r="3140">
      <c r="A3140" s="0" t="s">
        <v>3392</v>
      </c>
      <c r="B3140" s="0" t="s">
        <v>134</v>
      </c>
      <c r="C3140" s="0" t="s">
        <v>134</v>
      </c>
      <c r="D3140" s="0" t="s">
        <v>135</v>
      </c>
      <c r="E3140" s="0" t="s">
        <v>3</v>
      </c>
      <c r="F3140" s="0" t="s">
        <v>12</v>
      </c>
      <c r="G3140" s="0" t="s">
        <v>8</v>
      </c>
      <c r="H3140" s="0">
        <v>288</v>
      </c>
      <c r="I3140" s="0">
        <v>49</v>
      </c>
      <c r="J3140" s="0">
        <v>0</v>
      </c>
      <c r="K3140" s="0">
        <v>1</v>
      </c>
      <c r="L3140" s="0">
        <v>3</v>
      </c>
      <c r="M3140" s="0">
        <v>1</v>
      </c>
      <c r="N3140" s="0">
        <v>0</v>
      </c>
      <c r="O3140" s="0">
        <v>0</v>
      </c>
      <c r="P3140" s="0">
        <v>0</v>
      </c>
      <c r="R3140" s="0" t="b">
        <v>0</v>
      </c>
      <c r="S3140" s="0" t="b">
        <v>1</v>
      </c>
      <c r="T3140" s="68">
        <v>45765.3602893519</v>
      </c>
      <c r="U3140" s="68">
        <v>45779.3333333333</v>
      </c>
      <c r="V3140" s="68">
        <v>0</v>
      </c>
      <c r="W3140" s="0">
        <f>IF(IF(B3140="none",1,IF(B3140="Trialer",1,0))+IF(C3140="Customer",1,IF(C3140="Lost",1,0))=2,1,0)</f>
      </c>
      <c r="X3140" s="0" t="s">
        <v>145</v>
      </c>
      <c r="Y3140" s="0" t="s">
        <v>243</v>
      </c>
      <c r="AV3140" s="68"/>
      <c r="AW3140" s="68"/>
      <c r="AY3140" s="27"/>
      <c r="BD3140" s="68">
        <v>46054.1666666667</v>
      </c>
      <c r="BE3140" s="68">
        <v>46082.1666666667</v>
      </c>
      <c r="BF3140" s="0" t="b">
        <v>0</v>
      </c>
      <c r="BG3140" s="0" t="b">
        <v>0</v>
      </c>
      <c r="BH3140" s="0">
        <v>49</v>
      </c>
      <c r="BI3140" s="0">
        <v>49</v>
      </c>
      <c r="BJ3140" s="0" t="s">
        <v>135</v>
      </c>
    </row>
    <row r="3141">
      <c r="A3141" s="0" t="s">
        <v>3393</v>
      </c>
      <c r="B3141" s="0" t="s">
        <v>134</v>
      </c>
      <c r="C3141" s="0" t="s">
        <v>134</v>
      </c>
      <c r="D3141" s="0" t="s">
        <v>230</v>
      </c>
      <c r="E3141" s="0" t="s">
        <v>3</v>
      </c>
      <c r="F3141" s="0" t="s">
        <v>12</v>
      </c>
      <c r="G3141" s="0" t="s">
        <v>8</v>
      </c>
      <c r="H3141" s="0">
        <v>288</v>
      </c>
      <c r="I3141" s="0">
        <v>25</v>
      </c>
      <c r="J3141" s="0">
        <v>0</v>
      </c>
      <c r="K3141" s="0">
        <v>1</v>
      </c>
      <c r="L3141" s="0">
        <v>1</v>
      </c>
      <c r="M3141" s="0">
        <v>1</v>
      </c>
      <c r="N3141" s="0">
        <v>0</v>
      </c>
      <c r="O3141" s="0">
        <v>0</v>
      </c>
      <c r="P3141" s="0">
        <v>-25</v>
      </c>
      <c r="R3141" s="0" t="b">
        <v>0</v>
      </c>
      <c r="S3141" s="0" t="b">
        <v>0</v>
      </c>
      <c r="T3141" s="68">
        <v>45765.4614930556</v>
      </c>
      <c r="U3141" s="68">
        <v>45792.3333333333</v>
      </c>
      <c r="V3141" s="68">
        <v>46089.7458912037</v>
      </c>
      <c r="W3141" s="0">
        <f>IF(IF(B3141="none",1,IF(B3141="Trialer",1,0))+IF(C3141="Customer",1,IF(C3141="Lost",1,0))=2,1,0)</f>
      </c>
      <c r="X3141" s="0" t="s">
        <v>142</v>
      </c>
      <c r="Y3141" s="0" t="s">
        <v>243</v>
      </c>
      <c r="AV3141" s="68"/>
      <c r="AW3141" s="68"/>
      <c r="AY3141" s="27"/>
      <c r="BD3141" s="68">
        <v>46054.1666666667</v>
      </c>
      <c r="BE3141" s="68">
        <v>46082.1666666667</v>
      </c>
      <c r="BF3141" s="0" t="b">
        <v>0</v>
      </c>
      <c r="BG3141" s="0" t="b">
        <v>0</v>
      </c>
      <c r="BH3141" s="0">
        <v>28</v>
      </c>
      <c r="BI3141" s="0">
        <v>28</v>
      </c>
      <c r="BJ3141" s="0" t="s">
        <v>230</v>
      </c>
    </row>
    <row r="3142">
      <c r="A3142" s="0" t="s">
        <v>3394</v>
      </c>
      <c r="B3142" s="0" t="s">
        <v>134</v>
      </c>
      <c r="C3142" s="0" t="s">
        <v>134</v>
      </c>
      <c r="D3142" s="0" t="s">
        <v>135</v>
      </c>
      <c r="E3142" s="0" t="s">
        <v>3</v>
      </c>
      <c r="F3142" s="0" t="s">
        <v>12</v>
      </c>
      <c r="G3142" s="0" t="s">
        <v>8</v>
      </c>
      <c r="H3142" s="0">
        <v>288</v>
      </c>
      <c r="I3142" s="0">
        <v>196</v>
      </c>
      <c r="J3142" s="0">
        <v>0</v>
      </c>
      <c r="K3142" s="0">
        <v>1</v>
      </c>
      <c r="L3142" s="0">
        <v>3</v>
      </c>
      <c r="M3142" s="0">
        <v>4</v>
      </c>
      <c r="N3142" s="0">
        <v>1550</v>
      </c>
      <c r="O3142" s="0">
        <v>0</v>
      </c>
      <c r="P3142" s="0">
        <v>0</v>
      </c>
      <c r="R3142" s="0" t="b">
        <v>0</v>
      </c>
      <c r="S3142" s="0" t="b">
        <v>1</v>
      </c>
      <c r="T3142" s="68">
        <v>45765.5979166667</v>
      </c>
      <c r="U3142" s="68">
        <v>45779.3333333333</v>
      </c>
      <c r="V3142" s="68">
        <v>0</v>
      </c>
      <c r="W3142" s="0">
        <f>IF(IF(B3142="none",1,IF(B3142="Trialer",1,0))+IF(C3142="Customer",1,IF(C3142="Lost",1,0))=2,1,0)</f>
      </c>
      <c r="X3142" s="0" t="s">
        <v>145</v>
      </c>
      <c r="Y3142" s="0" t="s">
        <v>243</v>
      </c>
      <c r="AV3142" s="68"/>
      <c r="AW3142" s="68"/>
      <c r="AY3142" s="27"/>
      <c r="BD3142" s="68">
        <v>46054.1666666667</v>
      </c>
      <c r="BE3142" s="68">
        <v>46082.1666666667</v>
      </c>
      <c r="BF3142" s="0" t="b">
        <v>0</v>
      </c>
      <c r="BG3142" s="0" t="b">
        <v>0</v>
      </c>
      <c r="BH3142" s="0">
        <v>147</v>
      </c>
      <c r="BI3142" s="0">
        <v>147</v>
      </c>
      <c r="BJ3142" s="0" t="s">
        <v>135</v>
      </c>
    </row>
    <row r="3143">
      <c r="A3143" s="0" t="s">
        <v>3395</v>
      </c>
      <c r="B3143" s="0" t="s">
        <v>134</v>
      </c>
      <c r="C3143" s="0" t="s">
        <v>134</v>
      </c>
      <c r="D3143" s="0" t="s">
        <v>230</v>
      </c>
      <c r="E3143" s="0" t="s">
        <v>2</v>
      </c>
      <c r="F3143" s="0" t="s">
        <v>12</v>
      </c>
      <c r="G3143" s="0" t="s">
        <v>8</v>
      </c>
      <c r="H3143" s="0">
        <v>285</v>
      </c>
      <c r="I3143" s="0">
        <v>220.5</v>
      </c>
      <c r="J3143" s="0">
        <v>0</v>
      </c>
      <c r="K3143" s="0">
        <v>1</v>
      </c>
      <c r="L3143" s="0">
        <v>3</v>
      </c>
      <c r="M3143" s="0">
        <v>6</v>
      </c>
      <c r="N3143" s="0">
        <v>0</v>
      </c>
      <c r="O3143" s="0">
        <v>0</v>
      </c>
      <c r="P3143" s="0">
        <v>-220.5</v>
      </c>
      <c r="R3143" s="0" t="b">
        <v>0</v>
      </c>
      <c r="S3143" s="0" t="b">
        <v>0</v>
      </c>
      <c r="T3143" s="68">
        <v>45768.4571180556</v>
      </c>
      <c r="U3143" s="68">
        <v>45782.3333333333</v>
      </c>
      <c r="V3143" s="68">
        <v>46087.5751157407</v>
      </c>
      <c r="W3143" s="0">
        <f>IF(IF(B3143="none",1,IF(B3143="Trialer",1,0))+IF(C3143="Customer",1,IF(C3143="Lost",1,0))=2,1,0)</f>
      </c>
      <c r="X3143" s="0" t="s">
        <v>148</v>
      </c>
      <c r="Y3143" s="0" t="s">
        <v>499</v>
      </c>
      <c r="AV3143" s="68"/>
      <c r="AW3143" s="68"/>
      <c r="AY3143" s="27"/>
      <c r="BD3143" s="68">
        <v>46054.1666666667</v>
      </c>
      <c r="BE3143" s="68">
        <v>46082.1666666667</v>
      </c>
      <c r="BF3143" s="0" t="b">
        <v>0</v>
      </c>
      <c r="BG3143" s="0" t="b">
        <v>0</v>
      </c>
      <c r="BH3143" s="0">
        <v>294</v>
      </c>
      <c r="BI3143" s="0">
        <v>294</v>
      </c>
      <c r="BJ3143" s="0" t="s">
        <v>135</v>
      </c>
    </row>
    <row r="3144">
      <c r="A3144" s="0" t="s">
        <v>3396</v>
      </c>
      <c r="B3144" s="0" t="s">
        <v>134</v>
      </c>
      <c r="C3144" s="0" t="s">
        <v>134</v>
      </c>
      <c r="D3144" s="0" t="s">
        <v>135</v>
      </c>
      <c r="E3144" s="0" t="s">
        <v>3</v>
      </c>
      <c r="F3144" s="0" t="s">
        <v>11</v>
      </c>
      <c r="G3144" s="0" t="s">
        <v>8</v>
      </c>
      <c r="H3144" s="0">
        <v>285</v>
      </c>
      <c r="I3144" s="0">
        <v>235.2</v>
      </c>
      <c r="J3144" s="0">
        <v>0</v>
      </c>
      <c r="K3144" s="0">
        <v>1</v>
      </c>
      <c r="L3144" s="0">
        <v>3</v>
      </c>
      <c r="M3144" s="0">
        <v>6</v>
      </c>
      <c r="N3144" s="0">
        <v>0</v>
      </c>
      <c r="O3144" s="0">
        <v>0</v>
      </c>
      <c r="P3144" s="0">
        <v>0</v>
      </c>
      <c r="Q3144" s="0" t="s">
        <v>1743</v>
      </c>
      <c r="R3144" s="0" t="b">
        <v>1</v>
      </c>
      <c r="S3144" s="0" t="b">
        <v>1</v>
      </c>
      <c r="T3144" s="68">
        <v>45768.5017361111</v>
      </c>
      <c r="U3144" s="68">
        <v>45768.3333333333</v>
      </c>
      <c r="V3144" s="68">
        <v>0</v>
      </c>
      <c r="W3144" s="0">
        <f>IF(IF(B3144="none",1,IF(B3144="Trialer",1,0))+IF(C3144="Customer",1,IF(C3144="Lost",1,0))=2,1,0)</f>
      </c>
      <c r="X3144" s="0" t="s">
        <v>145</v>
      </c>
      <c r="Y3144" s="0" t="s">
        <v>243</v>
      </c>
      <c r="AV3144" s="68"/>
      <c r="AW3144" s="68"/>
      <c r="AY3144" s="27"/>
      <c r="BD3144" s="68">
        <v>46054.1666666667</v>
      </c>
      <c r="BE3144" s="68">
        <v>46082.1666666667</v>
      </c>
      <c r="BF3144" s="0" t="b">
        <v>0</v>
      </c>
      <c r="BG3144" s="0" t="b">
        <v>0</v>
      </c>
      <c r="BH3144" s="0">
        <v>235.2</v>
      </c>
      <c r="BI3144" s="0">
        <v>235.2</v>
      </c>
      <c r="BJ3144" s="0" t="s">
        <v>135</v>
      </c>
    </row>
    <row r="3145">
      <c r="A3145" s="0" t="s">
        <v>3397</v>
      </c>
      <c r="B3145" s="0" t="s">
        <v>134</v>
      </c>
      <c r="C3145" s="0" t="s">
        <v>134</v>
      </c>
      <c r="D3145" s="0" t="s">
        <v>230</v>
      </c>
      <c r="E3145" s="0" t="s">
        <v>3</v>
      </c>
      <c r="F3145" s="0" t="s">
        <v>12</v>
      </c>
      <c r="G3145" s="0" t="s">
        <v>8</v>
      </c>
      <c r="H3145" s="0">
        <v>285</v>
      </c>
      <c r="I3145" s="0">
        <v>56</v>
      </c>
      <c r="J3145" s="0">
        <v>0</v>
      </c>
      <c r="K3145" s="0">
        <v>1</v>
      </c>
      <c r="L3145" s="0">
        <v>4</v>
      </c>
      <c r="M3145" s="0">
        <v>1</v>
      </c>
      <c r="N3145" s="0">
        <v>852.5</v>
      </c>
      <c r="O3145" s="0">
        <v>0</v>
      </c>
      <c r="P3145" s="0">
        <v>-56</v>
      </c>
      <c r="R3145" s="0" t="b">
        <v>0</v>
      </c>
      <c r="S3145" s="0" t="b">
        <v>1</v>
      </c>
      <c r="T3145" s="68">
        <v>45768.5868518519</v>
      </c>
      <c r="U3145" s="68">
        <v>45782.3333333333</v>
      </c>
      <c r="V3145" s="68">
        <v>0</v>
      </c>
      <c r="W3145" s="0">
        <f>IF(IF(B3145="none",1,IF(B3145="Trialer",1,0))+IF(C3145="Customer",1,IF(C3145="Lost",1,0))=2,1,0)</f>
      </c>
      <c r="X3145" s="0" t="s">
        <v>153</v>
      </c>
      <c r="Y3145" s="0" t="s">
        <v>243</v>
      </c>
      <c r="AV3145" s="68"/>
      <c r="AW3145" s="68"/>
      <c r="AY3145" s="27"/>
      <c r="BD3145" s="68">
        <v>46054.1666666667</v>
      </c>
      <c r="BE3145" s="68">
        <v>46082.1666666667</v>
      </c>
      <c r="BF3145" s="0" t="b">
        <v>0</v>
      </c>
      <c r="BG3145" s="0" t="b">
        <v>0</v>
      </c>
      <c r="BH3145" s="0">
        <v>64</v>
      </c>
      <c r="BI3145" s="0">
        <v>64</v>
      </c>
      <c r="BJ3145" s="0" t="s">
        <v>230</v>
      </c>
    </row>
    <row r="3146">
      <c r="A3146" s="0" t="s">
        <v>3398</v>
      </c>
      <c r="B3146" s="0" t="s">
        <v>134</v>
      </c>
      <c r="C3146" s="0" t="s">
        <v>134</v>
      </c>
      <c r="D3146" s="0" t="s">
        <v>135</v>
      </c>
      <c r="E3146" s="0" t="s">
        <v>2</v>
      </c>
      <c r="F3146" s="0" t="s">
        <v>12</v>
      </c>
      <c r="G3146" s="0" t="s">
        <v>8</v>
      </c>
      <c r="H3146" s="0">
        <v>284</v>
      </c>
      <c r="I3146" s="0">
        <v>80</v>
      </c>
      <c r="J3146" s="0">
        <v>0</v>
      </c>
      <c r="K3146" s="0">
        <v>1</v>
      </c>
      <c r="L3146" s="0">
        <v>2</v>
      </c>
      <c r="M3146" s="0">
        <v>2</v>
      </c>
      <c r="N3146" s="0">
        <v>0</v>
      </c>
      <c r="O3146" s="0">
        <v>0</v>
      </c>
      <c r="P3146" s="0">
        <v>0</v>
      </c>
      <c r="R3146" s="0" t="b">
        <v>0</v>
      </c>
      <c r="S3146" s="0" t="b">
        <v>1</v>
      </c>
      <c r="T3146" s="68">
        <v>45769.4912152778</v>
      </c>
      <c r="U3146" s="68">
        <v>45783.3333333333</v>
      </c>
      <c r="V3146" s="68">
        <v>0</v>
      </c>
      <c r="W3146" s="0">
        <f>IF(IF(B3146="none",1,IF(B3146="Trialer",1,0))+IF(C3146="Customer",1,IF(C3146="Lost",1,0))=2,1,0)</f>
      </c>
      <c r="X3146" s="0" t="s">
        <v>142</v>
      </c>
      <c r="Y3146" s="0" t="s">
        <v>499</v>
      </c>
      <c r="AV3146" s="68"/>
      <c r="AW3146" s="68"/>
      <c r="AY3146" s="27"/>
      <c r="BD3146" s="68">
        <v>46054.1666666667</v>
      </c>
      <c r="BE3146" s="68">
        <v>46082.1666666667</v>
      </c>
      <c r="BF3146" s="0" t="b">
        <v>0</v>
      </c>
      <c r="BG3146" s="0" t="b">
        <v>0</v>
      </c>
      <c r="BH3146" s="0">
        <v>80</v>
      </c>
      <c r="BI3146" s="0">
        <v>80</v>
      </c>
      <c r="BJ3146" s="0" t="s">
        <v>135</v>
      </c>
    </row>
    <row r="3147">
      <c r="A3147" s="0" t="s">
        <v>3399</v>
      </c>
      <c r="B3147" s="0" t="s">
        <v>134</v>
      </c>
      <c r="C3147" s="0" t="s">
        <v>134</v>
      </c>
      <c r="D3147" s="0" t="s">
        <v>135</v>
      </c>
      <c r="E3147" s="0" t="s">
        <v>3</v>
      </c>
      <c r="F3147" s="0" t="s">
        <v>12</v>
      </c>
      <c r="G3147" s="0" t="s">
        <v>8</v>
      </c>
      <c r="H3147" s="0">
        <v>284</v>
      </c>
      <c r="I3147" s="0">
        <v>196</v>
      </c>
      <c r="J3147" s="0">
        <v>0</v>
      </c>
      <c r="K3147" s="0">
        <v>1</v>
      </c>
      <c r="L3147" s="0">
        <v>3</v>
      </c>
      <c r="M3147" s="0">
        <v>4</v>
      </c>
      <c r="N3147" s="0">
        <v>0</v>
      </c>
      <c r="O3147" s="0">
        <v>0</v>
      </c>
      <c r="P3147" s="0">
        <v>0</v>
      </c>
      <c r="R3147" s="0" t="b">
        <v>0</v>
      </c>
      <c r="S3147" s="0" t="b">
        <v>1</v>
      </c>
      <c r="T3147" s="68">
        <v>45769.5674305556</v>
      </c>
      <c r="U3147" s="68">
        <v>45783.3333333333</v>
      </c>
      <c r="V3147" s="68">
        <v>0</v>
      </c>
      <c r="W3147" s="0">
        <f>IF(IF(B3147="none",1,IF(B3147="Trialer",1,0))+IF(C3147="Customer",1,IF(C3147="Lost",1,0))=2,1,0)</f>
      </c>
      <c r="X3147" s="0" t="s">
        <v>882</v>
      </c>
      <c r="Y3147" s="0" t="s">
        <v>243</v>
      </c>
      <c r="AV3147" s="68"/>
      <c r="AW3147" s="68"/>
      <c r="AY3147" s="27"/>
      <c r="BD3147" s="68">
        <v>46054.1666666667</v>
      </c>
      <c r="BE3147" s="68">
        <v>46082.1666666667</v>
      </c>
      <c r="BF3147" s="0" t="b">
        <v>0</v>
      </c>
      <c r="BG3147" s="0" t="b">
        <v>0</v>
      </c>
      <c r="BH3147" s="0">
        <v>196</v>
      </c>
      <c r="BI3147" s="0">
        <v>196</v>
      </c>
      <c r="BJ3147" s="0" t="s">
        <v>135</v>
      </c>
    </row>
    <row r="3148">
      <c r="A3148" s="0" t="s">
        <v>3400</v>
      </c>
      <c r="B3148" s="0" t="s">
        <v>134</v>
      </c>
      <c r="C3148" s="0" t="s">
        <v>134</v>
      </c>
      <c r="D3148" s="0" t="s">
        <v>230</v>
      </c>
      <c r="E3148" s="0" t="s">
        <v>3</v>
      </c>
      <c r="F3148" s="0" t="s">
        <v>12</v>
      </c>
      <c r="G3148" s="0" t="s">
        <v>8</v>
      </c>
      <c r="H3148" s="0">
        <v>284</v>
      </c>
      <c r="I3148" s="0">
        <v>81.45</v>
      </c>
      <c r="J3148" s="0">
        <v>0</v>
      </c>
      <c r="K3148" s="0">
        <v>1</v>
      </c>
      <c r="L3148" s="0">
        <v>4</v>
      </c>
      <c r="M3148" s="0">
        <v>2</v>
      </c>
      <c r="N3148" s="0">
        <v>0</v>
      </c>
      <c r="O3148" s="0">
        <v>0</v>
      </c>
      <c r="P3148" s="0">
        <v>1009.35</v>
      </c>
      <c r="R3148" s="0" t="b">
        <v>0</v>
      </c>
      <c r="S3148" s="0" t="b">
        <v>1</v>
      </c>
      <c r="T3148" s="68">
        <v>45769.5761458333</v>
      </c>
      <c r="U3148" s="68">
        <v>45790.3333333333</v>
      </c>
      <c r="V3148" s="68">
        <v>0</v>
      </c>
      <c r="W3148" s="0">
        <f>IF(IF(B3148="none",1,IF(B3148="Trialer",1,0))+IF(C3148="Customer",1,IF(C3148="Lost",1,0))=2,1,0)</f>
      </c>
      <c r="X3148" s="0" t="s">
        <v>142</v>
      </c>
      <c r="Y3148" s="0" t="s">
        <v>243</v>
      </c>
      <c r="AV3148" s="68"/>
      <c r="AW3148" s="68"/>
      <c r="AY3148" s="27"/>
      <c r="BD3148" s="68">
        <v>46054.1666666667</v>
      </c>
      <c r="BE3148" s="68">
        <v>46082.1666666667</v>
      </c>
      <c r="BF3148" s="0" t="b">
        <v>0</v>
      </c>
      <c r="BG3148" s="0" t="b">
        <v>0</v>
      </c>
      <c r="BH3148" s="0">
        <v>101</v>
      </c>
      <c r="BI3148" s="0">
        <v>101</v>
      </c>
      <c r="BJ3148" s="0" t="s">
        <v>230</v>
      </c>
    </row>
    <row r="3149">
      <c r="A3149" s="0" t="s">
        <v>3401</v>
      </c>
      <c r="B3149" s="0" t="s">
        <v>134</v>
      </c>
      <c r="C3149" s="0" t="s">
        <v>134</v>
      </c>
      <c r="D3149" s="0" t="s">
        <v>230</v>
      </c>
      <c r="E3149" s="0" t="s">
        <v>3</v>
      </c>
      <c r="F3149" s="0" t="s">
        <v>12</v>
      </c>
      <c r="G3149" s="0" t="s">
        <v>8</v>
      </c>
      <c r="H3149" s="0">
        <v>284</v>
      </c>
      <c r="I3149" s="0">
        <v>274.5</v>
      </c>
      <c r="J3149" s="0">
        <v>0</v>
      </c>
      <c r="K3149" s="0">
        <v>1</v>
      </c>
      <c r="L3149" s="0">
        <v>4</v>
      </c>
      <c r="M3149" s="0">
        <v>6</v>
      </c>
      <c r="N3149" s="0">
        <v>0</v>
      </c>
      <c r="O3149" s="0">
        <v>0</v>
      </c>
      <c r="P3149" s="0">
        <v>-274.5</v>
      </c>
      <c r="R3149" s="0" t="b">
        <v>0</v>
      </c>
      <c r="S3149" s="0" t="b">
        <v>1</v>
      </c>
      <c r="T3149" s="68">
        <v>45769.6029976852</v>
      </c>
      <c r="U3149" s="68">
        <v>45783.3333333333</v>
      </c>
      <c r="V3149" s="68">
        <v>0</v>
      </c>
      <c r="W3149" s="0">
        <f>IF(IF(B3149="none",1,IF(B3149="Trialer",1,0))+IF(C3149="Customer",1,IF(C3149="Lost",1,0))=2,1,0)</f>
      </c>
      <c r="X3149" s="0" t="s">
        <v>136</v>
      </c>
      <c r="Y3149" s="0" t="s">
        <v>243</v>
      </c>
      <c r="AV3149" s="68"/>
      <c r="AW3149" s="68"/>
      <c r="AY3149" s="27"/>
      <c r="BD3149" s="68">
        <v>46054.1666666667</v>
      </c>
      <c r="BE3149" s="68">
        <v>46082.1666666667</v>
      </c>
      <c r="BF3149" s="0" t="b">
        <v>0</v>
      </c>
      <c r="BG3149" s="0" t="b">
        <v>0</v>
      </c>
      <c r="BH3149" s="0">
        <v>366</v>
      </c>
      <c r="BI3149" s="0">
        <v>366</v>
      </c>
      <c r="BJ3149" s="0" t="s">
        <v>230</v>
      </c>
    </row>
    <row r="3150">
      <c r="A3150" s="0" t="s">
        <v>3402</v>
      </c>
      <c r="B3150" s="0" t="s">
        <v>134</v>
      </c>
      <c r="C3150" s="0" t="s">
        <v>134</v>
      </c>
      <c r="D3150" s="0" t="s">
        <v>230</v>
      </c>
      <c r="E3150" s="0" t="s">
        <v>3</v>
      </c>
      <c r="F3150" s="0" t="s">
        <v>12</v>
      </c>
      <c r="G3150" s="0" t="s">
        <v>8</v>
      </c>
      <c r="H3150" s="0">
        <v>284</v>
      </c>
      <c r="I3150" s="0">
        <v>74</v>
      </c>
      <c r="J3150" s="0">
        <v>0</v>
      </c>
      <c r="K3150" s="0">
        <v>1</v>
      </c>
      <c r="L3150" s="0">
        <v>6</v>
      </c>
      <c r="M3150" s="0">
        <v>1</v>
      </c>
      <c r="N3150" s="0">
        <v>0</v>
      </c>
      <c r="O3150" s="0">
        <v>0</v>
      </c>
      <c r="P3150" s="0">
        <v>-74</v>
      </c>
      <c r="R3150" s="0" t="b">
        <v>0</v>
      </c>
      <c r="S3150" s="0" t="b">
        <v>1</v>
      </c>
      <c r="T3150" s="68">
        <v>45769.7398611111</v>
      </c>
      <c r="U3150" s="68">
        <v>45798.3333333333</v>
      </c>
      <c r="V3150" s="68">
        <v>0</v>
      </c>
      <c r="W3150" s="0">
        <f>IF(IF(B3150="none",1,IF(B3150="Trialer",1,0))+IF(C3150="Customer",1,IF(C3150="Lost",1,0))=2,1,0)</f>
      </c>
      <c r="X3150" s="0" t="s">
        <v>153</v>
      </c>
      <c r="Y3150" s="0" t="s">
        <v>243</v>
      </c>
      <c r="AV3150" s="68"/>
      <c r="AW3150" s="68"/>
      <c r="AY3150" s="27"/>
      <c r="BD3150" s="68">
        <v>46054.1666666667</v>
      </c>
      <c r="BE3150" s="68">
        <v>46082.1666666667</v>
      </c>
      <c r="BF3150" s="0" t="b">
        <v>0</v>
      </c>
      <c r="BG3150" s="0" t="b">
        <v>0</v>
      </c>
      <c r="BH3150" s="0">
        <v>85</v>
      </c>
      <c r="BI3150" s="0">
        <v>85</v>
      </c>
      <c r="BJ3150" s="0" t="s">
        <v>230</v>
      </c>
    </row>
    <row r="3151">
      <c r="A3151" s="0" t="s">
        <v>3403</v>
      </c>
      <c r="B3151" s="0" t="s">
        <v>134</v>
      </c>
      <c r="C3151" s="0" t="s">
        <v>190</v>
      </c>
      <c r="D3151" s="0" t="s">
        <v>135</v>
      </c>
      <c r="E3151" s="0" t="s">
        <v>3</v>
      </c>
      <c r="F3151" s="0" t="s">
        <v>12</v>
      </c>
      <c r="G3151" s="0" t="s">
        <v>8</v>
      </c>
      <c r="H3151" s="0">
        <v>284</v>
      </c>
      <c r="I3151" s="0">
        <v>0</v>
      </c>
      <c r="J3151" s="0">
        <v>0</v>
      </c>
      <c r="K3151" s="0">
        <v>0</v>
      </c>
      <c r="L3151" s="0">
        <v>0</v>
      </c>
      <c r="M3151" s="0">
        <v>0</v>
      </c>
      <c r="N3151" s="0">
        <v>0</v>
      </c>
      <c r="O3151" s="0">
        <v>0</v>
      </c>
      <c r="P3151" s="0">
        <v>0</v>
      </c>
      <c r="R3151" s="0" t="b">
        <v>0</v>
      </c>
      <c r="S3151" s="0" t="b">
        <v>0</v>
      </c>
      <c r="T3151" s="68">
        <v>45769.8000578704</v>
      </c>
      <c r="U3151" s="68">
        <v>45789.3333333333</v>
      </c>
      <c r="V3151" s="68">
        <v>46055.0235185185</v>
      </c>
      <c r="W3151" s="0">
        <f>IF(IF(B3151="none",1,IF(B3151="Trialer",1,0))+IF(C3151="Customer",1,IF(C3151="Lost",1,0))=2,1,0)</f>
      </c>
      <c r="X3151" s="0" t="s">
        <v>145</v>
      </c>
      <c r="Y3151" s="0" t="s">
        <v>243</v>
      </c>
      <c r="AV3151" s="68"/>
      <c r="AW3151" s="68"/>
      <c r="AY3151" s="27"/>
      <c r="BD3151" s="68">
        <v>46054.1666666667</v>
      </c>
      <c r="BE3151" s="68">
        <v>46082.1666666667</v>
      </c>
      <c r="BF3151" s="0" t="b">
        <v>0</v>
      </c>
      <c r="BG3151" s="0" t="b">
        <v>0</v>
      </c>
      <c r="BH3151" s="0">
        <v>49</v>
      </c>
      <c r="BI3151" s="0">
        <v>49</v>
      </c>
      <c r="BJ3151" s="0" t="s">
        <v>135</v>
      </c>
    </row>
    <row r="3152">
      <c r="A3152" s="0" t="s">
        <v>3404</v>
      </c>
      <c r="B3152" s="0" t="s">
        <v>134</v>
      </c>
      <c r="C3152" s="0" t="s">
        <v>134</v>
      </c>
      <c r="D3152" s="0" t="s">
        <v>135</v>
      </c>
      <c r="E3152" s="0" t="s">
        <v>3</v>
      </c>
      <c r="F3152" s="0" t="s">
        <v>12</v>
      </c>
      <c r="G3152" s="0" t="s">
        <v>8</v>
      </c>
      <c r="H3152" s="0">
        <v>283</v>
      </c>
      <c r="I3152" s="0">
        <v>199</v>
      </c>
      <c r="J3152" s="0">
        <v>0</v>
      </c>
      <c r="K3152" s="0">
        <v>1</v>
      </c>
      <c r="L3152" s="0">
        <v>4</v>
      </c>
      <c r="M3152" s="0">
        <v>4</v>
      </c>
      <c r="N3152" s="0">
        <v>0</v>
      </c>
      <c r="O3152" s="0">
        <v>0</v>
      </c>
      <c r="P3152" s="0">
        <v>0</v>
      </c>
      <c r="R3152" s="0" t="b">
        <v>0</v>
      </c>
      <c r="S3152" s="0" t="b">
        <v>1</v>
      </c>
      <c r="T3152" s="68">
        <v>45770.3629976852</v>
      </c>
      <c r="U3152" s="68">
        <v>45800.3333333333</v>
      </c>
      <c r="V3152" s="68">
        <v>0</v>
      </c>
      <c r="W3152" s="0">
        <f>IF(IF(B3152="none",1,IF(B3152="Trialer",1,0))+IF(C3152="Customer",1,IF(C3152="Lost",1,0))=2,1,0)</f>
      </c>
      <c r="X3152" s="0" t="s">
        <v>145</v>
      </c>
      <c r="Y3152" s="0" t="s">
        <v>243</v>
      </c>
      <c r="AV3152" s="68"/>
      <c r="AW3152" s="68"/>
      <c r="AY3152" s="27"/>
      <c r="BD3152" s="68">
        <v>46054.1666666667</v>
      </c>
      <c r="BE3152" s="68">
        <v>46082.1666666667</v>
      </c>
      <c r="BF3152" s="0" t="b">
        <v>0</v>
      </c>
      <c r="BG3152" s="0" t="b">
        <v>0</v>
      </c>
      <c r="BH3152" s="0">
        <v>239</v>
      </c>
      <c r="BI3152" s="0">
        <v>239</v>
      </c>
      <c r="BJ3152" s="0" t="s">
        <v>135</v>
      </c>
    </row>
    <row r="3153">
      <c r="A3153" s="0" t="s">
        <v>3405</v>
      </c>
      <c r="B3153" s="0" t="s">
        <v>134</v>
      </c>
      <c r="C3153" s="0" t="s">
        <v>134</v>
      </c>
      <c r="D3153" s="0" t="s">
        <v>135</v>
      </c>
      <c r="E3153" s="0" t="s">
        <v>2</v>
      </c>
      <c r="F3153" s="0" t="s">
        <v>12</v>
      </c>
      <c r="G3153" s="0" t="s">
        <v>8</v>
      </c>
      <c r="H3153" s="0">
        <v>283</v>
      </c>
      <c r="I3153" s="0">
        <v>105</v>
      </c>
      <c r="J3153" s="0">
        <v>0</v>
      </c>
      <c r="K3153" s="0">
        <v>1</v>
      </c>
      <c r="L3153" s="0">
        <v>3</v>
      </c>
      <c r="M3153" s="0">
        <v>3</v>
      </c>
      <c r="N3153" s="0">
        <v>0</v>
      </c>
      <c r="O3153" s="0">
        <v>0</v>
      </c>
      <c r="P3153" s="0">
        <v>0</v>
      </c>
      <c r="R3153" s="0" t="b">
        <v>0</v>
      </c>
      <c r="S3153" s="0" t="b">
        <v>1</v>
      </c>
      <c r="T3153" s="68">
        <v>45770.6349189815</v>
      </c>
      <c r="U3153" s="68">
        <v>45784.3333333333</v>
      </c>
      <c r="V3153" s="68">
        <v>0</v>
      </c>
      <c r="W3153" s="0">
        <f>IF(IF(B3153="none",1,IF(B3153="Trialer",1,0))+IF(C3153="Customer",1,IF(C3153="Lost",1,0))=2,1,0)</f>
      </c>
      <c r="X3153" s="0" t="s">
        <v>153</v>
      </c>
      <c r="Y3153" s="0" t="s">
        <v>499</v>
      </c>
      <c r="AV3153" s="68"/>
      <c r="AW3153" s="68"/>
      <c r="AY3153" s="27"/>
      <c r="BD3153" s="68">
        <v>46054.1666666667</v>
      </c>
      <c r="BE3153" s="68">
        <v>46082.1666666667</v>
      </c>
      <c r="BF3153" s="0" t="b">
        <v>0</v>
      </c>
      <c r="BG3153" s="0" t="b">
        <v>0</v>
      </c>
      <c r="BH3153" s="0">
        <v>105</v>
      </c>
      <c r="BI3153" s="0">
        <v>105</v>
      </c>
      <c r="BJ3153" s="0" t="s">
        <v>135</v>
      </c>
    </row>
    <row r="3154">
      <c r="A3154" s="0" t="s">
        <v>3406</v>
      </c>
      <c r="B3154" s="0" t="s">
        <v>134</v>
      </c>
      <c r="C3154" s="0" t="s">
        <v>134</v>
      </c>
      <c r="D3154" s="0" t="s">
        <v>135</v>
      </c>
      <c r="E3154" s="0" t="s">
        <v>3</v>
      </c>
      <c r="F3154" s="0" t="s">
        <v>12</v>
      </c>
      <c r="G3154" s="0" t="s">
        <v>8</v>
      </c>
      <c r="H3154" s="0">
        <v>283</v>
      </c>
      <c r="I3154" s="0">
        <v>245</v>
      </c>
      <c r="J3154" s="0">
        <v>0</v>
      </c>
      <c r="K3154" s="0">
        <v>1</v>
      </c>
      <c r="L3154" s="0">
        <v>3</v>
      </c>
      <c r="M3154" s="0">
        <v>5</v>
      </c>
      <c r="N3154" s="0">
        <v>0</v>
      </c>
      <c r="O3154" s="0">
        <v>0</v>
      </c>
      <c r="P3154" s="0">
        <v>0</v>
      </c>
      <c r="R3154" s="0" t="b">
        <v>0</v>
      </c>
      <c r="S3154" s="0" t="b">
        <v>1</v>
      </c>
      <c r="T3154" s="68">
        <v>45770.7505439815</v>
      </c>
      <c r="U3154" s="68">
        <v>45785.3333333333</v>
      </c>
      <c r="V3154" s="68">
        <v>0</v>
      </c>
      <c r="W3154" s="0">
        <f>IF(IF(B3154="none",1,IF(B3154="Trialer",1,0))+IF(C3154="Customer",1,IF(C3154="Lost",1,0))=2,1,0)</f>
      </c>
      <c r="X3154" s="0" t="s">
        <v>145</v>
      </c>
      <c r="Y3154" s="0" t="s">
        <v>243</v>
      </c>
      <c r="AV3154" s="68"/>
      <c r="AW3154" s="68"/>
      <c r="AY3154" s="27"/>
      <c r="BD3154" s="68">
        <v>46054.1666666667</v>
      </c>
      <c r="BE3154" s="68">
        <v>46082.1666666667</v>
      </c>
      <c r="BF3154" s="0" t="b">
        <v>0</v>
      </c>
      <c r="BG3154" s="0" t="b">
        <v>0</v>
      </c>
      <c r="BH3154" s="0">
        <v>245</v>
      </c>
      <c r="BI3154" s="0">
        <v>245</v>
      </c>
      <c r="BJ3154" s="0" t="s">
        <v>135</v>
      </c>
    </row>
    <row r="3155">
      <c r="A3155" s="0" t="s">
        <v>3407</v>
      </c>
      <c r="B3155" s="0" t="s">
        <v>134</v>
      </c>
      <c r="C3155" s="0" t="s">
        <v>134</v>
      </c>
      <c r="D3155" s="0" t="s">
        <v>230</v>
      </c>
      <c r="E3155" s="0" t="s">
        <v>3</v>
      </c>
      <c r="F3155" s="0" t="s">
        <v>12</v>
      </c>
      <c r="G3155" s="0" t="s">
        <v>8</v>
      </c>
      <c r="H3155" s="0">
        <v>283</v>
      </c>
      <c r="I3155" s="0">
        <v>44</v>
      </c>
      <c r="J3155" s="0">
        <v>0</v>
      </c>
      <c r="K3155" s="0">
        <v>1</v>
      </c>
      <c r="L3155" s="0">
        <v>3</v>
      </c>
      <c r="M3155" s="0">
        <v>1</v>
      </c>
      <c r="N3155" s="0">
        <v>0</v>
      </c>
      <c r="O3155" s="0">
        <v>0</v>
      </c>
      <c r="P3155" s="0">
        <v>-44</v>
      </c>
      <c r="R3155" s="0" t="b">
        <v>0</v>
      </c>
      <c r="S3155" s="0" t="b">
        <v>0</v>
      </c>
      <c r="T3155" s="68">
        <v>45770.7804398148</v>
      </c>
      <c r="U3155" s="68">
        <v>45784.3333333333</v>
      </c>
      <c r="V3155" s="68">
        <v>46093.4317013889</v>
      </c>
      <c r="W3155" s="0">
        <f>IF(IF(B3155="none",1,IF(B3155="Trialer",1,0))+IF(C3155="Customer",1,IF(C3155="Lost",1,0))=2,1,0)</f>
      </c>
      <c r="X3155" s="0" t="s">
        <v>166</v>
      </c>
      <c r="Y3155" s="0" t="s">
        <v>243</v>
      </c>
      <c r="AV3155" s="68"/>
      <c r="AW3155" s="68"/>
      <c r="AY3155" s="27"/>
      <c r="BD3155" s="68">
        <v>46054.1666666667</v>
      </c>
      <c r="BE3155" s="68">
        <v>46082.1666666667</v>
      </c>
      <c r="BF3155" s="0" t="b">
        <v>0</v>
      </c>
      <c r="BG3155" s="0" t="b">
        <v>0</v>
      </c>
      <c r="BH3155" s="0">
        <v>49</v>
      </c>
      <c r="BI3155" s="0">
        <v>49</v>
      </c>
      <c r="BJ3155" s="0" t="s">
        <v>230</v>
      </c>
    </row>
    <row r="3156">
      <c r="A3156" s="0" t="s">
        <v>3408</v>
      </c>
      <c r="B3156" s="0" t="s">
        <v>134</v>
      </c>
      <c r="C3156" s="0" t="s">
        <v>134</v>
      </c>
      <c r="D3156" s="0" t="s">
        <v>230</v>
      </c>
      <c r="E3156" s="0" t="s">
        <v>3</v>
      </c>
      <c r="F3156" s="0" t="s">
        <v>12</v>
      </c>
      <c r="G3156" s="0" t="s">
        <v>8</v>
      </c>
      <c r="H3156" s="0">
        <v>282</v>
      </c>
      <c r="I3156" s="0">
        <v>44</v>
      </c>
      <c r="J3156" s="0">
        <v>0</v>
      </c>
      <c r="K3156" s="0">
        <v>1</v>
      </c>
      <c r="L3156" s="0">
        <v>3</v>
      </c>
      <c r="M3156" s="0">
        <v>1</v>
      </c>
      <c r="N3156" s="0">
        <v>0</v>
      </c>
      <c r="O3156" s="0">
        <v>0</v>
      </c>
      <c r="P3156" s="0">
        <v>-44</v>
      </c>
      <c r="R3156" s="0" t="b">
        <v>0</v>
      </c>
      <c r="S3156" s="0" t="b">
        <v>1</v>
      </c>
      <c r="T3156" s="68">
        <v>45771.3326041667</v>
      </c>
      <c r="U3156" s="68">
        <v>45785.3333333333</v>
      </c>
      <c r="V3156" s="68">
        <v>0</v>
      </c>
      <c r="W3156" s="0">
        <f>IF(IF(B3156="none",1,IF(B3156="Trialer",1,0))+IF(C3156="Customer",1,IF(C3156="Lost",1,0))=2,1,0)</f>
      </c>
      <c r="X3156" s="0" t="s">
        <v>153</v>
      </c>
      <c r="Y3156" s="0" t="s">
        <v>243</v>
      </c>
      <c r="AV3156" s="68"/>
      <c r="AW3156" s="68"/>
      <c r="AY3156" s="27"/>
      <c r="BD3156" s="68">
        <v>46054.1666666667</v>
      </c>
      <c r="BE3156" s="68">
        <v>46082.1666666667</v>
      </c>
      <c r="BF3156" s="0" t="b">
        <v>0</v>
      </c>
      <c r="BG3156" s="0" t="b">
        <v>0</v>
      </c>
      <c r="BH3156" s="0">
        <v>49</v>
      </c>
      <c r="BI3156" s="0">
        <v>49</v>
      </c>
      <c r="BJ3156" s="0" t="s">
        <v>230</v>
      </c>
    </row>
    <row r="3157">
      <c r="A3157" s="0" t="s">
        <v>3409</v>
      </c>
      <c r="B3157" s="0" t="s">
        <v>134</v>
      </c>
      <c r="C3157" s="0" t="s">
        <v>134</v>
      </c>
      <c r="D3157" s="0" t="s">
        <v>135</v>
      </c>
      <c r="E3157" s="0" t="s">
        <v>2</v>
      </c>
      <c r="F3157" s="0" t="s">
        <v>12</v>
      </c>
      <c r="G3157" s="0" t="s">
        <v>8</v>
      </c>
      <c r="H3157" s="0">
        <v>282</v>
      </c>
      <c r="I3157" s="0">
        <v>791</v>
      </c>
      <c r="J3157" s="0">
        <v>0</v>
      </c>
      <c r="K3157" s="0">
        <v>1</v>
      </c>
      <c r="L3157" s="0">
        <v>4</v>
      </c>
      <c r="M3157" s="0">
        <v>10</v>
      </c>
      <c r="N3157" s="0">
        <v>0</v>
      </c>
      <c r="O3157" s="0">
        <v>0</v>
      </c>
      <c r="P3157" s="0">
        <v>0</v>
      </c>
      <c r="R3157" s="0" t="b">
        <v>0</v>
      </c>
      <c r="S3157" s="0" t="b">
        <v>1</v>
      </c>
      <c r="T3157" s="68">
        <v>45771.4125694444</v>
      </c>
      <c r="U3157" s="68">
        <v>45783.3333333333</v>
      </c>
      <c r="V3157" s="68">
        <v>0</v>
      </c>
      <c r="W3157" s="0">
        <f>IF(IF(B3157="none",1,IF(B3157="Trialer",1,0))+IF(C3157="Customer",1,IF(C3157="Lost",1,0))=2,1,0)</f>
      </c>
      <c r="X3157" s="0" t="s">
        <v>136</v>
      </c>
      <c r="Y3157" s="0" t="s">
        <v>499</v>
      </c>
      <c r="AV3157" s="68"/>
      <c r="AW3157" s="68"/>
      <c r="AY3157" s="27"/>
      <c r="BD3157" s="68">
        <v>46054.1666666667</v>
      </c>
      <c r="BE3157" s="68">
        <v>46082.1666666667</v>
      </c>
      <c r="BF3157" s="0" t="b">
        <v>0</v>
      </c>
      <c r="BG3157" s="0" t="b">
        <v>0</v>
      </c>
      <c r="BH3157" s="0">
        <v>506</v>
      </c>
      <c r="BI3157" s="0">
        <v>506</v>
      </c>
      <c r="BJ3157" s="0" t="s">
        <v>135</v>
      </c>
    </row>
    <row r="3158">
      <c r="A3158" s="0" t="s">
        <v>3410</v>
      </c>
      <c r="B3158" s="0" t="s">
        <v>134</v>
      </c>
      <c r="C3158" s="0" t="s">
        <v>134</v>
      </c>
      <c r="D3158" s="0" t="s">
        <v>135</v>
      </c>
      <c r="E3158" s="0" t="s">
        <v>3</v>
      </c>
      <c r="F3158" s="0" t="s">
        <v>12</v>
      </c>
      <c r="G3158" s="0" t="s">
        <v>8</v>
      </c>
      <c r="H3158" s="0">
        <v>282</v>
      </c>
      <c r="I3158" s="0">
        <v>67</v>
      </c>
      <c r="J3158" s="0">
        <v>0</v>
      </c>
      <c r="K3158" s="0">
        <v>1</v>
      </c>
      <c r="L3158" s="0">
        <v>3</v>
      </c>
      <c r="M3158" s="0">
        <v>2</v>
      </c>
      <c r="N3158" s="0">
        <v>0</v>
      </c>
      <c r="O3158" s="0">
        <v>0</v>
      </c>
      <c r="P3158" s="0">
        <v>0</v>
      </c>
      <c r="R3158" s="0" t="b">
        <v>0</v>
      </c>
      <c r="S3158" s="0" t="b">
        <v>1</v>
      </c>
      <c r="T3158" s="68">
        <v>45771.4739814815</v>
      </c>
      <c r="U3158" s="68">
        <v>45785.3333333333</v>
      </c>
      <c r="V3158" s="68">
        <v>0</v>
      </c>
      <c r="W3158" s="0">
        <f>IF(IF(B3158="none",1,IF(B3158="Trialer",1,0))+IF(C3158="Customer",1,IF(C3158="Lost",1,0))=2,1,0)</f>
      </c>
      <c r="X3158" s="0" t="s">
        <v>142</v>
      </c>
      <c r="Y3158" s="0" t="s">
        <v>243</v>
      </c>
      <c r="AV3158" s="68"/>
      <c r="AW3158" s="68"/>
      <c r="AY3158" s="27"/>
      <c r="BD3158" s="68">
        <v>46054.1666666667</v>
      </c>
      <c r="BE3158" s="68">
        <v>46082.1666666667</v>
      </c>
      <c r="BF3158" s="0" t="b">
        <v>0</v>
      </c>
      <c r="BG3158" s="0" t="b">
        <v>0</v>
      </c>
      <c r="BH3158" s="0">
        <v>67</v>
      </c>
      <c r="BI3158" s="0">
        <v>67</v>
      </c>
      <c r="BJ3158" s="0" t="s">
        <v>135</v>
      </c>
    </row>
    <row r="3159">
      <c r="A3159" s="0" t="s">
        <v>3411</v>
      </c>
      <c r="B3159" s="0" t="s">
        <v>134</v>
      </c>
      <c r="C3159" s="0" t="s">
        <v>134</v>
      </c>
      <c r="D3159" s="0" t="s">
        <v>135</v>
      </c>
      <c r="E3159" s="0" t="s">
        <v>2</v>
      </c>
      <c r="F3159" s="0" t="s">
        <v>12</v>
      </c>
      <c r="G3159" s="0" t="s">
        <v>8</v>
      </c>
      <c r="H3159" s="0">
        <v>282</v>
      </c>
      <c r="I3159" s="0">
        <v>499</v>
      </c>
      <c r="J3159" s="0">
        <v>0</v>
      </c>
      <c r="K3159" s="0">
        <v>1</v>
      </c>
      <c r="L3159" s="0">
        <v>5</v>
      </c>
      <c r="M3159" s="0">
        <v>7</v>
      </c>
      <c r="N3159" s="0">
        <v>0</v>
      </c>
      <c r="O3159" s="0">
        <v>0</v>
      </c>
      <c r="P3159" s="0">
        <v>0</v>
      </c>
      <c r="R3159" s="0" t="b">
        <v>0</v>
      </c>
      <c r="S3159" s="0" t="b">
        <v>1</v>
      </c>
      <c r="T3159" s="68">
        <v>45771.5756944444</v>
      </c>
      <c r="U3159" s="68">
        <v>45786.3333333333</v>
      </c>
      <c r="V3159" s="68">
        <v>0</v>
      </c>
      <c r="W3159" s="0">
        <f>IF(IF(B3159="none",1,IF(B3159="Trialer",1,0))+IF(C3159="Customer",1,IF(C3159="Lost",1,0))=2,1,0)</f>
      </c>
      <c r="X3159" s="0" t="s">
        <v>145</v>
      </c>
      <c r="Y3159" s="0" t="s">
        <v>499</v>
      </c>
      <c r="AV3159" s="68"/>
      <c r="AW3159" s="68"/>
      <c r="AY3159" s="27"/>
      <c r="BD3159" s="68">
        <v>46054.1666666667</v>
      </c>
      <c r="BE3159" s="68">
        <v>46082.1666666667</v>
      </c>
      <c r="BF3159" s="0" t="b">
        <v>1</v>
      </c>
      <c r="BG3159" s="0" t="b">
        <v>0</v>
      </c>
      <c r="BH3159" s="0">
        <v>499</v>
      </c>
      <c r="BI3159" s="0">
        <v>499</v>
      </c>
      <c r="BJ3159" s="0" t="s">
        <v>135</v>
      </c>
    </row>
    <row r="3160">
      <c r="A3160" s="0" t="s">
        <v>3412</v>
      </c>
      <c r="B3160" s="0" t="s">
        <v>134</v>
      </c>
      <c r="C3160" s="0" t="s">
        <v>134</v>
      </c>
      <c r="D3160" s="0" t="s">
        <v>230</v>
      </c>
      <c r="E3160" s="0" t="s">
        <v>3</v>
      </c>
      <c r="F3160" s="0" t="s">
        <v>12</v>
      </c>
      <c r="G3160" s="0" t="s">
        <v>8</v>
      </c>
      <c r="H3160" s="0">
        <v>282</v>
      </c>
      <c r="I3160" s="0">
        <v>560</v>
      </c>
      <c r="J3160" s="0">
        <v>0</v>
      </c>
      <c r="K3160" s="0">
        <v>1</v>
      </c>
      <c r="L3160" s="0">
        <v>3</v>
      </c>
      <c r="M3160" s="0">
        <v>6</v>
      </c>
      <c r="N3160" s="0">
        <v>0</v>
      </c>
      <c r="O3160" s="0">
        <v>0</v>
      </c>
      <c r="P3160" s="0">
        <v>-235</v>
      </c>
      <c r="R3160" s="0" t="b">
        <v>0</v>
      </c>
      <c r="S3160" s="0" t="b">
        <v>1</v>
      </c>
      <c r="T3160" s="68">
        <v>45771.6348611111</v>
      </c>
      <c r="U3160" s="68">
        <v>45806.3333333333</v>
      </c>
      <c r="V3160" s="68">
        <v>0</v>
      </c>
      <c r="W3160" s="0">
        <f>IF(IF(B3160="none",1,IF(B3160="Trialer",1,0))+IF(C3160="Customer",1,IF(C3160="Lost",1,0))=2,1,0)</f>
      </c>
      <c r="X3160" s="0" t="s">
        <v>148</v>
      </c>
      <c r="Y3160" s="0" t="s">
        <v>243</v>
      </c>
      <c r="AV3160" s="68"/>
      <c r="AW3160" s="68"/>
      <c r="AY3160" s="27"/>
      <c r="BD3160" s="68">
        <v>46054.1666666667</v>
      </c>
      <c r="BE3160" s="68">
        <v>46082.1666666667</v>
      </c>
      <c r="BF3160" s="0" t="b">
        <v>0</v>
      </c>
      <c r="BG3160" s="0" t="b">
        <v>0</v>
      </c>
      <c r="BH3160" s="0">
        <v>263</v>
      </c>
      <c r="BI3160" s="0">
        <v>263</v>
      </c>
      <c r="BJ3160" s="0" t="s">
        <v>230</v>
      </c>
    </row>
    <row r="3161">
      <c r="A3161" s="0" t="s">
        <v>3413</v>
      </c>
      <c r="B3161" s="0" t="s">
        <v>134</v>
      </c>
      <c r="C3161" s="0" t="s">
        <v>134</v>
      </c>
      <c r="D3161" s="0" t="s">
        <v>230</v>
      </c>
      <c r="E3161" s="0" t="s">
        <v>3</v>
      </c>
      <c r="F3161" s="0" t="s">
        <v>12</v>
      </c>
      <c r="G3161" s="0" t="s">
        <v>8</v>
      </c>
      <c r="H3161" s="0">
        <v>282</v>
      </c>
      <c r="I3161" s="0">
        <v>36</v>
      </c>
      <c r="J3161" s="0">
        <v>0</v>
      </c>
      <c r="K3161" s="0">
        <v>1</v>
      </c>
      <c r="L3161" s="0">
        <v>2</v>
      </c>
      <c r="M3161" s="0">
        <v>1</v>
      </c>
      <c r="N3161" s="0">
        <v>0</v>
      </c>
      <c r="O3161" s="0">
        <v>0</v>
      </c>
      <c r="P3161" s="0">
        <v>-36</v>
      </c>
      <c r="R3161" s="0" t="b">
        <v>0</v>
      </c>
      <c r="S3161" s="0" t="b">
        <v>1</v>
      </c>
      <c r="T3161" s="68">
        <v>45771.8975578704</v>
      </c>
      <c r="U3161" s="68">
        <v>45785.3333333333</v>
      </c>
      <c r="V3161" s="68">
        <v>0</v>
      </c>
      <c r="W3161" s="0">
        <f>IF(IF(B3161="none",1,IF(B3161="Trialer",1,0))+IF(C3161="Customer",1,IF(C3161="Lost",1,0))=2,1,0)</f>
      </c>
      <c r="X3161" s="0" t="s">
        <v>153</v>
      </c>
      <c r="Y3161" s="0" t="s">
        <v>243</v>
      </c>
      <c r="AV3161" s="68"/>
      <c r="AW3161" s="68"/>
      <c r="AY3161" s="27"/>
      <c r="BD3161" s="68">
        <v>46054.1666666667</v>
      </c>
      <c r="BE3161" s="68">
        <v>46082.1666666667</v>
      </c>
      <c r="BF3161" s="0" t="b">
        <v>0</v>
      </c>
      <c r="BG3161" s="0" t="b">
        <v>0</v>
      </c>
      <c r="BH3161" s="0">
        <v>40</v>
      </c>
      <c r="BI3161" s="0">
        <v>40</v>
      </c>
      <c r="BJ3161" s="0" t="s">
        <v>230</v>
      </c>
    </row>
    <row r="3162">
      <c r="A3162" s="0" t="s">
        <v>3414</v>
      </c>
      <c r="B3162" s="0" t="s">
        <v>134</v>
      </c>
      <c r="C3162" s="0" t="s">
        <v>134</v>
      </c>
      <c r="D3162" s="0" t="s">
        <v>135</v>
      </c>
      <c r="E3162" s="0" t="s">
        <v>3</v>
      </c>
      <c r="F3162" s="0" t="s">
        <v>12</v>
      </c>
      <c r="G3162" s="0" t="s">
        <v>8</v>
      </c>
      <c r="H3162" s="0">
        <v>282</v>
      </c>
      <c r="I3162" s="0">
        <v>0</v>
      </c>
      <c r="J3162" s="0">
        <v>0</v>
      </c>
      <c r="K3162" s="0">
        <v>0</v>
      </c>
      <c r="L3162" s="0">
        <v>0</v>
      </c>
      <c r="M3162" s="0">
        <v>0</v>
      </c>
      <c r="N3162" s="0">
        <v>0</v>
      </c>
      <c r="O3162" s="0">
        <v>0</v>
      </c>
      <c r="P3162" s="0">
        <v>0</v>
      </c>
      <c r="R3162" s="0" t="b">
        <v>0</v>
      </c>
      <c r="S3162" s="0" t="b">
        <v>1</v>
      </c>
      <c r="T3162" s="68">
        <v>45771.9616319444</v>
      </c>
      <c r="U3162" s="68">
        <v>45785.3333333333</v>
      </c>
      <c r="V3162" s="68">
        <v>0</v>
      </c>
      <c r="W3162" s="0">
        <f>IF(IF(B3162="none",1,IF(B3162="Trialer",1,0))+IF(C3162="Customer",1,IF(C3162="Lost",1,0))=2,1,0)</f>
      </c>
      <c r="X3162" s="0" t="s">
        <v>882</v>
      </c>
      <c r="Y3162" s="0" t="s">
        <v>243</v>
      </c>
      <c r="AV3162" s="68"/>
      <c r="AW3162" s="68"/>
      <c r="AY3162" s="27"/>
      <c r="BD3162" s="68">
        <v>46054.1666666667</v>
      </c>
      <c r="BE3162" s="68">
        <v>46082.1666666667</v>
      </c>
      <c r="BF3162" s="0" t="b">
        <v>0</v>
      </c>
      <c r="BG3162" s="0" t="b">
        <v>0</v>
      </c>
      <c r="BH3162" s="0">
        <v>122</v>
      </c>
      <c r="BI3162" s="0">
        <v>122</v>
      </c>
      <c r="BJ3162" s="0" t="s">
        <v>135</v>
      </c>
    </row>
    <row r="3163">
      <c r="A3163" s="0" t="s">
        <v>3415</v>
      </c>
      <c r="B3163" s="0" t="s">
        <v>134</v>
      </c>
      <c r="C3163" s="0" t="s">
        <v>134</v>
      </c>
      <c r="D3163" s="0" t="s">
        <v>135</v>
      </c>
      <c r="E3163" s="0" t="s">
        <v>3</v>
      </c>
      <c r="F3163" s="0" t="s">
        <v>10</v>
      </c>
      <c r="G3163" s="0" t="s">
        <v>8</v>
      </c>
      <c r="H3163" s="0">
        <v>281</v>
      </c>
      <c r="I3163" s="0">
        <v>28</v>
      </c>
      <c r="J3163" s="0">
        <v>0</v>
      </c>
      <c r="K3163" s="0">
        <v>1</v>
      </c>
      <c r="L3163" s="0">
        <v>1</v>
      </c>
      <c r="M3163" s="0">
        <v>1</v>
      </c>
      <c r="N3163" s="0">
        <v>0</v>
      </c>
      <c r="O3163" s="0">
        <v>0</v>
      </c>
      <c r="P3163" s="0">
        <v>0</v>
      </c>
      <c r="Q3163" s="0" t="s">
        <v>618</v>
      </c>
      <c r="R3163" s="0" t="b">
        <v>0</v>
      </c>
      <c r="S3163" s="0" t="b">
        <v>1</v>
      </c>
      <c r="T3163" s="68">
        <v>45772.1640509259</v>
      </c>
      <c r="U3163" s="68">
        <v>45786.3333333333</v>
      </c>
      <c r="V3163" s="68">
        <v>0</v>
      </c>
      <c r="W3163" s="0">
        <f>IF(IF(B3163="none",1,IF(B3163="Trialer",1,0))+IF(C3163="Customer",1,IF(C3163="Lost",1,0))=2,1,0)</f>
      </c>
      <c r="X3163" s="0" t="s">
        <v>148</v>
      </c>
      <c r="Y3163" s="0" t="s">
        <v>243</v>
      </c>
      <c r="AV3163" s="68"/>
      <c r="AW3163" s="68"/>
      <c r="AY3163" s="27"/>
      <c r="BD3163" s="68">
        <v>46054.1666666667</v>
      </c>
      <c r="BE3163" s="68">
        <v>46082.1666666667</v>
      </c>
      <c r="BF3163" s="0" t="b">
        <v>0</v>
      </c>
      <c r="BG3163" s="0" t="b">
        <v>0</v>
      </c>
      <c r="BH3163" s="0">
        <v>28</v>
      </c>
      <c r="BI3163" s="0">
        <v>28</v>
      </c>
      <c r="BJ3163" s="0" t="s">
        <v>135</v>
      </c>
    </row>
    <row r="3164">
      <c r="A3164" s="0" t="s">
        <v>3416</v>
      </c>
      <c r="B3164" s="0" t="s">
        <v>134</v>
      </c>
      <c r="C3164" s="0" t="s">
        <v>134</v>
      </c>
      <c r="D3164" s="0" t="s">
        <v>135</v>
      </c>
      <c r="E3164" s="0" t="s">
        <v>2</v>
      </c>
      <c r="F3164" s="0" t="s">
        <v>12</v>
      </c>
      <c r="G3164" s="0" t="s">
        <v>8</v>
      </c>
      <c r="H3164" s="0">
        <v>281</v>
      </c>
      <c r="I3164" s="0">
        <v>80</v>
      </c>
      <c r="J3164" s="0">
        <v>0</v>
      </c>
      <c r="K3164" s="0">
        <v>1</v>
      </c>
      <c r="L3164" s="0">
        <v>2</v>
      </c>
      <c r="M3164" s="0">
        <v>2</v>
      </c>
      <c r="N3164" s="0">
        <v>0</v>
      </c>
      <c r="O3164" s="0">
        <v>0</v>
      </c>
      <c r="P3164" s="0">
        <v>0</v>
      </c>
      <c r="R3164" s="0" t="b">
        <v>0</v>
      </c>
      <c r="S3164" s="0" t="b">
        <v>1</v>
      </c>
      <c r="T3164" s="68">
        <v>45772.7666898148</v>
      </c>
      <c r="U3164" s="68">
        <v>45797.3333333333</v>
      </c>
      <c r="V3164" s="68">
        <v>0</v>
      </c>
      <c r="W3164" s="0">
        <f>IF(IF(B3164="none",1,IF(B3164="Trialer",1,0))+IF(C3164="Customer",1,IF(C3164="Lost",1,0))=2,1,0)</f>
      </c>
      <c r="X3164" s="0" t="s">
        <v>153</v>
      </c>
      <c r="Y3164" s="0" t="s">
        <v>499</v>
      </c>
      <c r="AV3164" s="68"/>
      <c r="AW3164" s="68"/>
      <c r="AY3164" s="27"/>
      <c r="BD3164" s="68">
        <v>46054.1666666667</v>
      </c>
      <c r="BE3164" s="68">
        <v>46082.1666666667</v>
      </c>
      <c r="BF3164" s="0" t="b">
        <v>0</v>
      </c>
      <c r="BG3164" s="0" t="b">
        <v>0</v>
      </c>
      <c r="BH3164" s="0">
        <v>80</v>
      </c>
      <c r="BI3164" s="0">
        <v>80</v>
      </c>
      <c r="BJ3164" s="0" t="s">
        <v>135</v>
      </c>
    </row>
    <row r="3165">
      <c r="A3165" s="0" t="s">
        <v>3417</v>
      </c>
      <c r="B3165" s="0" t="s">
        <v>134</v>
      </c>
      <c r="C3165" s="0" t="s">
        <v>134</v>
      </c>
      <c r="D3165" s="0" t="s">
        <v>230</v>
      </c>
      <c r="E3165" s="0" t="s">
        <v>3</v>
      </c>
      <c r="F3165" s="0" t="s">
        <v>12</v>
      </c>
      <c r="G3165" s="0" t="s">
        <v>8</v>
      </c>
      <c r="H3165" s="0">
        <v>281</v>
      </c>
      <c r="I3165" s="0">
        <v>84</v>
      </c>
      <c r="J3165" s="0">
        <v>0</v>
      </c>
      <c r="K3165" s="0">
        <v>1</v>
      </c>
      <c r="L3165" s="0">
        <v>1</v>
      </c>
      <c r="M3165" s="0">
        <v>4</v>
      </c>
      <c r="N3165" s="0">
        <v>0</v>
      </c>
      <c r="O3165" s="0">
        <v>0</v>
      </c>
      <c r="P3165" s="0">
        <v>-84</v>
      </c>
      <c r="R3165" s="0" t="b">
        <v>0</v>
      </c>
      <c r="S3165" s="0" t="b">
        <v>1</v>
      </c>
      <c r="T3165" s="68">
        <v>45772.8957407407</v>
      </c>
      <c r="U3165" s="68">
        <v>45820.3333333333</v>
      </c>
      <c r="V3165" s="68">
        <v>0</v>
      </c>
      <c r="W3165" s="0">
        <f>IF(IF(B3165="none",1,IF(B3165="Trialer",1,0))+IF(C3165="Customer",1,IF(C3165="Lost",1,0))=2,1,0)</f>
      </c>
      <c r="X3165" s="0" t="s">
        <v>136</v>
      </c>
      <c r="Y3165" s="0" t="s">
        <v>487</v>
      </c>
      <c r="AV3165" s="68"/>
      <c r="AW3165" s="68"/>
      <c r="AY3165" s="27"/>
      <c r="BD3165" s="68">
        <v>46054.1666666667</v>
      </c>
      <c r="BE3165" s="68">
        <v>46082.1666666667</v>
      </c>
      <c r="BF3165" s="0" t="b">
        <v>0</v>
      </c>
      <c r="BG3165" s="0" t="b">
        <v>0</v>
      </c>
      <c r="BH3165" s="0">
        <v>140</v>
      </c>
      <c r="BI3165" s="0">
        <v>140</v>
      </c>
      <c r="BJ3165" s="0" t="s">
        <v>230</v>
      </c>
    </row>
    <row r="3166">
      <c r="A3166" s="0" t="s">
        <v>3418</v>
      </c>
      <c r="B3166" s="0" t="s">
        <v>134</v>
      </c>
      <c r="C3166" s="0" t="s">
        <v>134</v>
      </c>
      <c r="D3166" s="0" t="s">
        <v>230</v>
      </c>
      <c r="E3166" s="0" t="s">
        <v>3</v>
      </c>
      <c r="F3166" s="0" t="s">
        <v>12</v>
      </c>
      <c r="G3166" s="0" t="s">
        <v>8</v>
      </c>
      <c r="H3166" s="0">
        <v>279</v>
      </c>
      <c r="I3166" s="0">
        <v>54</v>
      </c>
      <c r="J3166" s="0">
        <v>0</v>
      </c>
      <c r="K3166" s="0">
        <v>1</v>
      </c>
      <c r="L3166" s="0">
        <v>4</v>
      </c>
      <c r="M3166" s="0">
        <v>1</v>
      </c>
      <c r="N3166" s="0">
        <v>0</v>
      </c>
      <c r="O3166" s="0">
        <v>0</v>
      </c>
      <c r="P3166" s="0">
        <v>-54</v>
      </c>
      <c r="R3166" s="0" t="b">
        <v>0</v>
      </c>
      <c r="S3166" s="0" t="b">
        <v>1</v>
      </c>
      <c r="T3166" s="68">
        <v>45774.7092592593</v>
      </c>
      <c r="U3166" s="68">
        <v>45790.3333333333</v>
      </c>
      <c r="V3166" s="68">
        <v>0</v>
      </c>
      <c r="W3166" s="0">
        <f>IF(IF(B3166="none",1,IF(B3166="Trialer",1,0))+IF(C3166="Customer",1,IF(C3166="Lost",1,0))=2,1,0)</f>
      </c>
      <c r="X3166" s="0" t="s">
        <v>153</v>
      </c>
      <c r="Y3166" s="0" t="s">
        <v>243</v>
      </c>
      <c r="AV3166" s="68"/>
      <c r="AW3166" s="68"/>
      <c r="AY3166" s="27"/>
      <c r="BD3166" s="68">
        <v>46054.1666666667</v>
      </c>
      <c r="BE3166" s="68">
        <v>46082.1666666667</v>
      </c>
      <c r="BF3166" s="0" t="b">
        <v>0</v>
      </c>
      <c r="BG3166" s="0" t="b">
        <v>0</v>
      </c>
      <c r="BH3166" s="0">
        <v>61</v>
      </c>
      <c r="BI3166" s="0">
        <v>61</v>
      </c>
      <c r="BJ3166" s="0" t="s">
        <v>230</v>
      </c>
    </row>
    <row r="3167">
      <c r="A3167" s="0" t="s">
        <v>3419</v>
      </c>
      <c r="B3167" s="0" t="s">
        <v>134</v>
      </c>
      <c r="C3167" s="0" t="s">
        <v>134</v>
      </c>
      <c r="D3167" s="0" t="s">
        <v>135</v>
      </c>
      <c r="E3167" s="0" t="s">
        <v>3</v>
      </c>
      <c r="F3167" s="0" t="s">
        <v>10</v>
      </c>
      <c r="G3167" s="0" t="s">
        <v>8</v>
      </c>
      <c r="H3167" s="0">
        <v>278</v>
      </c>
      <c r="I3167" s="0">
        <v>28</v>
      </c>
      <c r="J3167" s="0">
        <v>0</v>
      </c>
      <c r="K3167" s="0">
        <v>1</v>
      </c>
      <c r="L3167" s="0">
        <v>1</v>
      </c>
      <c r="M3167" s="0">
        <v>1</v>
      </c>
      <c r="N3167" s="0">
        <v>0</v>
      </c>
      <c r="O3167" s="0">
        <v>0</v>
      </c>
      <c r="P3167" s="0">
        <v>0</v>
      </c>
      <c r="Q3167" s="0" t="s">
        <v>618</v>
      </c>
      <c r="R3167" s="0" t="b">
        <v>0</v>
      </c>
      <c r="S3167" s="0" t="b">
        <v>1</v>
      </c>
      <c r="T3167" s="68">
        <v>45775.4784143519</v>
      </c>
      <c r="U3167" s="68">
        <v>45789.3333333333</v>
      </c>
      <c r="V3167" s="68">
        <v>0</v>
      </c>
      <c r="W3167" s="0">
        <f>IF(IF(B3167="none",1,IF(B3167="Trialer",1,0))+IF(C3167="Customer",1,IF(C3167="Lost",1,0))=2,1,0)</f>
      </c>
      <c r="X3167" s="0" t="s">
        <v>148</v>
      </c>
      <c r="Y3167" s="0" t="s">
        <v>243</v>
      </c>
      <c r="AV3167" s="68"/>
      <c r="AW3167" s="68"/>
      <c r="AY3167" s="27"/>
      <c r="BD3167" s="68">
        <v>46054.1666666667</v>
      </c>
      <c r="BE3167" s="68">
        <v>46082.1666666667</v>
      </c>
      <c r="BF3167" s="0" t="b">
        <v>0</v>
      </c>
      <c r="BG3167" s="0" t="b">
        <v>0</v>
      </c>
      <c r="BH3167" s="0">
        <v>28</v>
      </c>
      <c r="BI3167" s="0">
        <v>28</v>
      </c>
      <c r="BJ3167" s="0" t="s">
        <v>135</v>
      </c>
    </row>
    <row r="3168">
      <c r="A3168" s="0" t="s">
        <v>3420</v>
      </c>
      <c r="B3168" s="0" t="s">
        <v>134</v>
      </c>
      <c r="C3168" s="0" t="s">
        <v>134</v>
      </c>
      <c r="D3168" s="0" t="s">
        <v>135</v>
      </c>
      <c r="E3168" s="0" t="s">
        <v>3</v>
      </c>
      <c r="F3168" s="0" t="s">
        <v>12</v>
      </c>
      <c r="G3168" s="0" t="s">
        <v>8</v>
      </c>
      <c r="H3168" s="0">
        <v>278</v>
      </c>
      <c r="I3168" s="0">
        <v>216</v>
      </c>
      <c r="J3168" s="0">
        <v>0</v>
      </c>
      <c r="K3168" s="0">
        <v>1</v>
      </c>
      <c r="L3168" s="0">
        <v>2</v>
      </c>
      <c r="M3168" s="0">
        <v>6</v>
      </c>
      <c r="N3168" s="0">
        <v>0</v>
      </c>
      <c r="O3168" s="0">
        <v>0</v>
      </c>
      <c r="P3168" s="0">
        <v>0</v>
      </c>
      <c r="R3168" s="0" t="b">
        <v>0</v>
      </c>
      <c r="S3168" s="0" t="b">
        <v>1</v>
      </c>
      <c r="T3168" s="68">
        <v>45775.6696875</v>
      </c>
      <c r="U3168" s="68">
        <v>45775.3333333333</v>
      </c>
      <c r="V3168" s="68">
        <v>0</v>
      </c>
      <c r="W3168" s="0">
        <f>IF(IF(B3168="none",1,IF(B3168="Trialer",1,0))+IF(C3168="Customer",1,IF(C3168="Lost",1,0))=2,1,0)</f>
      </c>
      <c r="X3168" s="0" t="s">
        <v>148</v>
      </c>
      <c r="Y3168" s="0" t="s">
        <v>243</v>
      </c>
      <c r="AV3168" s="68"/>
      <c r="AW3168" s="68"/>
      <c r="AY3168" s="27"/>
      <c r="BD3168" s="68">
        <v>46054.1666666667</v>
      </c>
      <c r="BE3168" s="68">
        <v>46082.1666666667</v>
      </c>
      <c r="BF3168" s="0" t="b">
        <v>0</v>
      </c>
      <c r="BG3168" s="0" t="b">
        <v>0</v>
      </c>
      <c r="BH3168" s="0">
        <v>216</v>
      </c>
      <c r="BI3168" s="0">
        <v>216</v>
      </c>
      <c r="BJ3168" s="0" t="s">
        <v>135</v>
      </c>
    </row>
    <row r="3169">
      <c r="A3169" s="0" t="s">
        <v>3421</v>
      </c>
      <c r="B3169" s="0" t="s">
        <v>134</v>
      </c>
      <c r="C3169" s="0" t="s">
        <v>134</v>
      </c>
      <c r="D3169" s="0" t="s">
        <v>135</v>
      </c>
      <c r="E3169" s="0" t="s">
        <v>3</v>
      </c>
      <c r="F3169" s="0" t="s">
        <v>12</v>
      </c>
      <c r="G3169" s="0" t="s">
        <v>8</v>
      </c>
      <c r="H3169" s="0">
        <v>278</v>
      </c>
      <c r="I3169" s="0">
        <v>122</v>
      </c>
      <c r="J3169" s="0">
        <v>0</v>
      </c>
      <c r="K3169" s="0">
        <v>1</v>
      </c>
      <c r="L3169" s="0">
        <v>5</v>
      </c>
      <c r="M3169" s="0">
        <v>2</v>
      </c>
      <c r="N3169" s="0">
        <v>0</v>
      </c>
      <c r="O3169" s="0">
        <v>0</v>
      </c>
      <c r="P3169" s="0">
        <v>0</v>
      </c>
      <c r="R3169" s="0" t="b">
        <v>0</v>
      </c>
      <c r="S3169" s="0" t="b">
        <v>1</v>
      </c>
      <c r="T3169" s="68">
        <v>45775.6758449074</v>
      </c>
      <c r="U3169" s="68">
        <v>45790.3333333333</v>
      </c>
      <c r="V3169" s="68">
        <v>0</v>
      </c>
      <c r="W3169" s="0">
        <f>IF(IF(B3169="none",1,IF(B3169="Trialer",1,0))+IF(C3169="Customer",1,IF(C3169="Lost",1,0))=2,1,0)</f>
      </c>
      <c r="X3169" s="0" t="s">
        <v>1461</v>
      </c>
      <c r="Y3169" s="0" t="s">
        <v>243</v>
      </c>
      <c r="AV3169" s="68"/>
      <c r="AW3169" s="68"/>
      <c r="AY3169" s="27"/>
      <c r="BD3169" s="68">
        <v>46054.1666666667</v>
      </c>
      <c r="BE3169" s="68">
        <v>46082.1666666667</v>
      </c>
      <c r="BF3169" s="0" t="b">
        <v>0</v>
      </c>
      <c r="BG3169" s="0" t="b">
        <v>0</v>
      </c>
      <c r="BH3169" s="0">
        <v>122</v>
      </c>
      <c r="BI3169" s="0">
        <v>122</v>
      </c>
      <c r="BJ3169" s="0" t="s">
        <v>135</v>
      </c>
    </row>
    <row r="3170">
      <c r="A3170" s="0" t="s">
        <v>3422</v>
      </c>
      <c r="B3170" s="0" t="s">
        <v>134</v>
      </c>
      <c r="C3170" s="0" t="s">
        <v>134</v>
      </c>
      <c r="D3170" s="0" t="s">
        <v>135</v>
      </c>
      <c r="E3170" s="0" t="s">
        <v>3</v>
      </c>
      <c r="F3170" s="0" t="s">
        <v>12</v>
      </c>
      <c r="G3170" s="0" t="s">
        <v>8</v>
      </c>
      <c r="H3170" s="0">
        <v>278</v>
      </c>
      <c r="I3170" s="0">
        <v>89</v>
      </c>
      <c r="J3170" s="0">
        <v>0</v>
      </c>
      <c r="K3170" s="0">
        <v>1</v>
      </c>
      <c r="L3170" s="0">
        <v>3</v>
      </c>
      <c r="M3170" s="0">
        <v>2</v>
      </c>
      <c r="N3170" s="0">
        <v>0</v>
      </c>
      <c r="O3170" s="0">
        <v>0</v>
      </c>
      <c r="P3170" s="0">
        <v>0</v>
      </c>
      <c r="R3170" s="0" t="b">
        <v>0</v>
      </c>
      <c r="S3170" s="0" t="b">
        <v>1</v>
      </c>
      <c r="T3170" s="68">
        <v>45775.8692476852</v>
      </c>
      <c r="U3170" s="68">
        <v>45790.3333333333</v>
      </c>
      <c r="V3170" s="68">
        <v>0</v>
      </c>
      <c r="W3170" s="0">
        <f>IF(IF(B3170="none",1,IF(B3170="Trialer",1,0))+IF(C3170="Customer",1,IF(C3170="Lost",1,0))=2,1,0)</f>
      </c>
      <c r="X3170" s="0" t="s">
        <v>153</v>
      </c>
      <c r="Y3170" s="0" t="s">
        <v>243</v>
      </c>
      <c r="AV3170" s="68"/>
      <c r="AW3170" s="68"/>
      <c r="AY3170" s="27"/>
      <c r="BD3170" s="68">
        <v>46054.1666666667</v>
      </c>
      <c r="BE3170" s="68">
        <v>46082.1666666667</v>
      </c>
      <c r="BF3170" s="0" t="b">
        <v>0</v>
      </c>
      <c r="BG3170" s="0" t="b">
        <v>0</v>
      </c>
      <c r="BH3170" s="0">
        <v>89</v>
      </c>
      <c r="BI3170" s="0">
        <v>89</v>
      </c>
      <c r="BJ3170" s="0" t="s">
        <v>135</v>
      </c>
    </row>
    <row r="3171">
      <c r="A3171" s="0" t="s">
        <v>3423</v>
      </c>
      <c r="B3171" s="0" t="s">
        <v>134</v>
      </c>
      <c r="C3171" s="0" t="s">
        <v>134</v>
      </c>
      <c r="D3171" s="0" t="s">
        <v>230</v>
      </c>
      <c r="E3171" s="0" t="s">
        <v>2</v>
      </c>
      <c r="F3171" s="0" t="s">
        <v>12</v>
      </c>
      <c r="G3171" s="0" t="s">
        <v>8</v>
      </c>
      <c r="H3171" s="0">
        <v>278</v>
      </c>
      <c r="I3171" s="0">
        <v>205.05</v>
      </c>
      <c r="J3171" s="0">
        <v>0</v>
      </c>
      <c r="K3171" s="0">
        <v>1</v>
      </c>
      <c r="L3171" s="0">
        <v>4</v>
      </c>
      <c r="M3171" s="0">
        <v>4</v>
      </c>
      <c r="N3171" s="0">
        <v>0</v>
      </c>
      <c r="O3171" s="0">
        <v>0</v>
      </c>
      <c r="P3171" s="0">
        <v>-205.05</v>
      </c>
      <c r="R3171" s="0" t="b">
        <v>0</v>
      </c>
      <c r="S3171" s="0" t="b">
        <v>1</v>
      </c>
      <c r="T3171" s="68">
        <v>45775.9915277778</v>
      </c>
      <c r="U3171" s="68">
        <v>45789.3333333333</v>
      </c>
      <c r="V3171" s="68">
        <v>0</v>
      </c>
      <c r="W3171" s="0">
        <f>IF(IF(B3171="none",1,IF(B3171="Trialer",1,0))+IF(C3171="Customer",1,IF(C3171="Lost",1,0))=2,1,0)</f>
      </c>
      <c r="X3171" s="0" t="s">
        <v>145</v>
      </c>
      <c r="Y3171" s="0" t="s">
        <v>499</v>
      </c>
      <c r="AV3171" s="68"/>
      <c r="AW3171" s="68"/>
      <c r="AY3171" s="27"/>
      <c r="BD3171" s="68">
        <v>46054.1666666667</v>
      </c>
      <c r="BE3171" s="68">
        <v>46082.1666666667</v>
      </c>
      <c r="BF3171" s="0" t="b">
        <v>0</v>
      </c>
      <c r="BG3171" s="0" t="b">
        <v>0</v>
      </c>
      <c r="BH3171" s="0">
        <v>232</v>
      </c>
      <c r="BI3171" s="0">
        <v>232</v>
      </c>
      <c r="BJ3171" s="0" t="s">
        <v>230</v>
      </c>
    </row>
    <row r="3172">
      <c r="A3172" s="0" t="s">
        <v>3424</v>
      </c>
      <c r="B3172" s="0" t="s">
        <v>134</v>
      </c>
      <c r="C3172" s="0" t="s">
        <v>134</v>
      </c>
      <c r="D3172" s="0" t="s">
        <v>135</v>
      </c>
      <c r="E3172" s="0" t="s">
        <v>2</v>
      </c>
      <c r="F3172" s="0" t="s">
        <v>12</v>
      </c>
      <c r="G3172" s="0" t="s">
        <v>8</v>
      </c>
      <c r="H3172" s="0">
        <v>277</v>
      </c>
      <c r="I3172" s="0">
        <v>171</v>
      </c>
      <c r="J3172" s="0">
        <v>0</v>
      </c>
      <c r="K3172" s="0">
        <v>1</v>
      </c>
      <c r="L3172" s="0">
        <v>4</v>
      </c>
      <c r="M3172" s="0">
        <v>3</v>
      </c>
      <c r="N3172" s="0">
        <v>0</v>
      </c>
      <c r="O3172" s="0">
        <v>0</v>
      </c>
      <c r="P3172" s="0">
        <v>0</v>
      </c>
      <c r="R3172" s="0" t="b">
        <v>0</v>
      </c>
      <c r="S3172" s="0" t="b">
        <v>1</v>
      </c>
      <c r="T3172" s="68">
        <v>45776.568587963</v>
      </c>
      <c r="U3172" s="68">
        <v>45791.3333333333</v>
      </c>
      <c r="V3172" s="68">
        <v>0</v>
      </c>
      <c r="W3172" s="0">
        <f>IF(IF(B3172="none",1,IF(B3172="Trialer",1,0))+IF(C3172="Customer",1,IF(C3172="Lost",1,0))=2,1,0)</f>
      </c>
      <c r="X3172" s="0" t="s">
        <v>142</v>
      </c>
      <c r="Y3172" s="0" t="s">
        <v>499</v>
      </c>
      <c r="AV3172" s="68"/>
      <c r="AW3172" s="68"/>
      <c r="AY3172" s="27"/>
      <c r="BD3172" s="68">
        <v>46054.1666666667</v>
      </c>
      <c r="BE3172" s="68">
        <v>46082.1666666667</v>
      </c>
      <c r="BF3172" s="0" t="b">
        <v>0</v>
      </c>
      <c r="BG3172" s="0" t="b">
        <v>0</v>
      </c>
      <c r="BH3172" s="0">
        <v>171</v>
      </c>
      <c r="BI3172" s="0">
        <v>171</v>
      </c>
      <c r="BJ3172" s="0" t="s">
        <v>135</v>
      </c>
    </row>
    <row r="3173">
      <c r="A3173" s="0" t="s">
        <v>3425</v>
      </c>
      <c r="B3173" s="0" t="s">
        <v>134</v>
      </c>
      <c r="C3173" s="0" t="s">
        <v>134</v>
      </c>
      <c r="D3173" s="0" t="s">
        <v>135</v>
      </c>
      <c r="E3173" s="0" t="s">
        <v>2</v>
      </c>
      <c r="F3173" s="0" t="s">
        <v>12</v>
      </c>
      <c r="G3173" s="0" t="s">
        <v>8</v>
      </c>
      <c r="H3173" s="0">
        <v>277</v>
      </c>
      <c r="I3173" s="0">
        <v>1109</v>
      </c>
      <c r="J3173" s="0">
        <v>0</v>
      </c>
      <c r="K3173" s="0">
        <v>1</v>
      </c>
      <c r="L3173" s="0">
        <v>3</v>
      </c>
      <c r="M3173" s="0">
        <v>16</v>
      </c>
      <c r="N3173" s="0">
        <v>418.5</v>
      </c>
      <c r="O3173" s="0">
        <v>0</v>
      </c>
      <c r="P3173" s="0">
        <v>0</v>
      </c>
      <c r="R3173" s="0" t="b">
        <v>0</v>
      </c>
      <c r="S3173" s="0" t="b">
        <v>1</v>
      </c>
      <c r="T3173" s="68">
        <v>45776.6895833333</v>
      </c>
      <c r="U3173" s="68">
        <v>45790.3333333333</v>
      </c>
      <c r="V3173" s="68">
        <v>0</v>
      </c>
      <c r="W3173" s="0">
        <f>IF(IF(B3173="none",1,IF(B3173="Trialer",1,0))+IF(C3173="Customer",1,IF(C3173="Lost",1,0))=2,1,0)</f>
      </c>
      <c r="X3173" s="0" t="s">
        <v>148</v>
      </c>
      <c r="Y3173" s="0" t="s">
        <v>499</v>
      </c>
      <c r="AV3173" s="68"/>
      <c r="AW3173" s="68"/>
      <c r="AY3173" s="27"/>
      <c r="BD3173" s="68">
        <v>46054.1666666667</v>
      </c>
      <c r="BE3173" s="68">
        <v>46082.1666666667</v>
      </c>
      <c r="BF3173" s="0" t="b">
        <v>0</v>
      </c>
      <c r="BG3173" s="0" t="b">
        <v>0</v>
      </c>
      <c r="BH3173" s="0">
        <v>735</v>
      </c>
      <c r="BI3173" s="0">
        <v>735</v>
      </c>
      <c r="BJ3173" s="0" t="s">
        <v>135</v>
      </c>
    </row>
    <row r="3174">
      <c r="A3174" s="0" t="s">
        <v>3426</v>
      </c>
      <c r="B3174" s="0" t="s">
        <v>134</v>
      </c>
      <c r="C3174" s="0" t="s">
        <v>134</v>
      </c>
      <c r="D3174" s="0" t="s">
        <v>135</v>
      </c>
      <c r="E3174" s="0" t="s">
        <v>3</v>
      </c>
      <c r="F3174" s="0" t="s">
        <v>12</v>
      </c>
      <c r="G3174" s="0" t="s">
        <v>8</v>
      </c>
      <c r="H3174" s="0">
        <v>277</v>
      </c>
      <c r="I3174" s="0">
        <v>185</v>
      </c>
      <c r="J3174" s="0">
        <v>0</v>
      </c>
      <c r="K3174" s="0">
        <v>1</v>
      </c>
      <c r="L3174" s="0">
        <v>2</v>
      </c>
      <c r="M3174" s="0">
        <v>5</v>
      </c>
      <c r="N3174" s="0">
        <v>0</v>
      </c>
      <c r="O3174" s="0">
        <v>0</v>
      </c>
      <c r="P3174" s="0">
        <v>0</v>
      </c>
      <c r="R3174" s="0" t="b">
        <v>0</v>
      </c>
      <c r="S3174" s="0" t="b">
        <v>1</v>
      </c>
      <c r="T3174" s="68">
        <v>45776.8522569444</v>
      </c>
      <c r="U3174" s="68">
        <v>45790.3333333333</v>
      </c>
      <c r="V3174" s="68">
        <v>0</v>
      </c>
      <c r="W3174" s="0">
        <f>IF(IF(B3174="none",1,IF(B3174="Trialer",1,0))+IF(C3174="Customer",1,IF(C3174="Lost",1,0))=2,1,0)</f>
      </c>
      <c r="X3174" s="0" t="s">
        <v>148</v>
      </c>
      <c r="Y3174" s="0" t="s">
        <v>243</v>
      </c>
      <c r="AV3174" s="68"/>
      <c r="AW3174" s="68"/>
      <c r="AY3174" s="27"/>
      <c r="BD3174" s="68">
        <v>46054.1666666667</v>
      </c>
      <c r="BE3174" s="68">
        <v>46082.1666666667</v>
      </c>
      <c r="BF3174" s="0" t="b">
        <v>0</v>
      </c>
      <c r="BG3174" s="0" t="b">
        <v>0</v>
      </c>
      <c r="BH3174" s="0">
        <v>185</v>
      </c>
      <c r="BI3174" s="0">
        <v>185</v>
      </c>
      <c r="BJ3174" s="0" t="s">
        <v>135</v>
      </c>
    </row>
    <row r="3175">
      <c r="A3175" s="0" t="s">
        <v>3427</v>
      </c>
      <c r="B3175" s="0" t="s">
        <v>134</v>
      </c>
      <c r="C3175" s="0" t="s">
        <v>134</v>
      </c>
      <c r="D3175" s="0" t="s">
        <v>135</v>
      </c>
      <c r="E3175" s="0" t="s">
        <v>3</v>
      </c>
      <c r="F3175" s="0" t="s">
        <v>12</v>
      </c>
      <c r="G3175" s="0" t="s">
        <v>8</v>
      </c>
      <c r="H3175" s="0">
        <v>277</v>
      </c>
      <c r="I3175" s="0">
        <v>160</v>
      </c>
      <c r="J3175" s="0">
        <v>0</v>
      </c>
      <c r="K3175" s="0">
        <v>1</v>
      </c>
      <c r="L3175" s="0">
        <v>3</v>
      </c>
      <c r="M3175" s="0">
        <v>4</v>
      </c>
      <c r="N3175" s="0">
        <v>0</v>
      </c>
      <c r="O3175" s="0">
        <v>0</v>
      </c>
      <c r="P3175" s="0">
        <v>0</v>
      </c>
      <c r="R3175" s="0" t="b">
        <v>0</v>
      </c>
      <c r="S3175" s="0" t="b">
        <v>1</v>
      </c>
      <c r="T3175" s="68">
        <v>45776.9721296296</v>
      </c>
      <c r="U3175" s="68">
        <v>45790.3333333333</v>
      </c>
      <c r="V3175" s="68">
        <v>0</v>
      </c>
      <c r="W3175" s="0">
        <f>IF(IF(B3175="none",1,IF(B3175="Trialer",1,0))+IF(C3175="Customer",1,IF(C3175="Lost",1,0))=2,1,0)</f>
      </c>
      <c r="X3175" s="0" t="s">
        <v>153</v>
      </c>
      <c r="Y3175" s="0" t="s">
        <v>243</v>
      </c>
      <c r="AV3175" s="68"/>
      <c r="AW3175" s="68"/>
      <c r="AY3175" s="27"/>
      <c r="BD3175" s="68">
        <v>46054.1666666667</v>
      </c>
      <c r="BE3175" s="68">
        <v>46082.1666666667</v>
      </c>
      <c r="BF3175" s="0" t="b">
        <v>0</v>
      </c>
      <c r="BG3175" s="0" t="b">
        <v>0</v>
      </c>
      <c r="BH3175" s="0">
        <v>123</v>
      </c>
      <c r="BI3175" s="0">
        <v>123</v>
      </c>
      <c r="BJ3175" s="0" t="s">
        <v>135</v>
      </c>
    </row>
    <row r="3176">
      <c r="A3176" s="0" t="s">
        <v>3428</v>
      </c>
      <c r="B3176" s="0" t="s">
        <v>134</v>
      </c>
      <c r="C3176" s="0" t="s">
        <v>134</v>
      </c>
      <c r="D3176" s="0" t="s">
        <v>135</v>
      </c>
      <c r="E3176" s="0" t="s">
        <v>3</v>
      </c>
      <c r="F3176" s="0" t="s">
        <v>11</v>
      </c>
      <c r="G3176" s="0" t="s">
        <v>8</v>
      </c>
      <c r="H3176" s="0">
        <v>276</v>
      </c>
      <c r="I3176" s="0">
        <v>0</v>
      </c>
      <c r="J3176" s="0">
        <v>0</v>
      </c>
      <c r="K3176" s="0">
        <v>0</v>
      </c>
      <c r="L3176" s="0">
        <v>0</v>
      </c>
      <c r="M3176" s="0">
        <v>0</v>
      </c>
      <c r="N3176" s="0">
        <v>0</v>
      </c>
      <c r="O3176" s="0">
        <v>0</v>
      </c>
      <c r="P3176" s="0">
        <v>0</v>
      </c>
      <c r="Q3176" s="0" t="s">
        <v>3429</v>
      </c>
      <c r="R3176" s="0" t="b">
        <v>1</v>
      </c>
      <c r="S3176" s="0" t="b">
        <v>1</v>
      </c>
      <c r="T3176" s="68">
        <v>45777.3972222222</v>
      </c>
      <c r="U3176" s="68">
        <v>45791.3333333333</v>
      </c>
      <c r="V3176" s="68">
        <v>0</v>
      </c>
      <c r="W3176" s="0">
        <f>IF(IF(B3176="none",1,IF(B3176="Trialer",1,0))+IF(C3176="Customer",1,IF(C3176="Lost",1,0))=2,1,0)</f>
      </c>
      <c r="X3176" s="0" t="s">
        <v>653</v>
      </c>
      <c r="Y3176" s="0" t="s">
        <v>243</v>
      </c>
      <c r="AV3176" s="68"/>
      <c r="AW3176" s="68"/>
      <c r="AY3176" s="27"/>
      <c r="BD3176" s="68">
        <v>46054.1666666667</v>
      </c>
      <c r="BE3176" s="68">
        <v>46082.1666666667</v>
      </c>
      <c r="BF3176" s="0" t="b">
        <v>1</v>
      </c>
      <c r="BG3176" s="0" t="b">
        <v>0</v>
      </c>
      <c r="BH3176" s="0">
        <v>39.2</v>
      </c>
      <c r="BI3176" s="0">
        <v>39.2</v>
      </c>
      <c r="BJ3176" s="0" t="s">
        <v>135</v>
      </c>
    </row>
    <row r="3177">
      <c r="A3177" s="0" t="s">
        <v>3430</v>
      </c>
      <c r="B3177" s="0" t="s">
        <v>134</v>
      </c>
      <c r="C3177" s="0" t="s">
        <v>134</v>
      </c>
      <c r="D3177" s="0" t="s">
        <v>135</v>
      </c>
      <c r="E3177" s="0" t="s">
        <v>3</v>
      </c>
      <c r="F3177" s="0" t="s">
        <v>12</v>
      </c>
      <c r="G3177" s="0" t="s">
        <v>8</v>
      </c>
      <c r="H3177" s="0">
        <v>276</v>
      </c>
      <c r="I3177" s="0">
        <v>0</v>
      </c>
      <c r="J3177" s="0">
        <v>0</v>
      </c>
      <c r="K3177" s="0">
        <v>1</v>
      </c>
      <c r="L3177" s="0">
        <v>4</v>
      </c>
      <c r="M3177" s="0">
        <v>1</v>
      </c>
      <c r="N3177" s="0">
        <v>0</v>
      </c>
      <c r="O3177" s="0">
        <v>0</v>
      </c>
      <c r="P3177" s="0">
        <v>0</v>
      </c>
      <c r="R3177" s="0" t="b">
        <v>0</v>
      </c>
      <c r="S3177" s="0" t="b">
        <v>1</v>
      </c>
      <c r="T3177" s="68">
        <v>45777.4302662037</v>
      </c>
      <c r="U3177" s="68">
        <v>45791.3333333333</v>
      </c>
      <c r="V3177" s="68">
        <v>0</v>
      </c>
      <c r="W3177" s="0">
        <f>IF(IF(B3177="none",1,IF(B3177="Trialer",1,0))+IF(C3177="Customer",1,IF(C3177="Lost",1,0))=2,1,0)</f>
      </c>
      <c r="X3177" s="0" t="s">
        <v>148</v>
      </c>
      <c r="Y3177" s="0" t="s">
        <v>243</v>
      </c>
      <c r="AV3177" s="68"/>
      <c r="AW3177" s="68"/>
      <c r="AY3177" s="27"/>
      <c r="BD3177" s="68">
        <v>46054.1666666667</v>
      </c>
      <c r="BE3177" s="68">
        <v>46082.1666666667</v>
      </c>
      <c r="BF3177" s="0" t="b">
        <v>0</v>
      </c>
      <c r="BG3177" s="0" t="b">
        <v>0</v>
      </c>
      <c r="BH3177" s="0">
        <v>0</v>
      </c>
      <c r="BI3177" s="0">
        <v>0</v>
      </c>
      <c r="BJ3177" s="0" t="s">
        <v>135</v>
      </c>
    </row>
    <row r="3178">
      <c r="A3178" s="0" t="s">
        <v>3431</v>
      </c>
      <c r="B3178" s="0" t="s">
        <v>134</v>
      </c>
      <c r="C3178" s="0" t="s">
        <v>134</v>
      </c>
      <c r="D3178" s="0" t="s">
        <v>135</v>
      </c>
      <c r="E3178" s="0" t="s">
        <v>3</v>
      </c>
      <c r="F3178" s="0" t="s">
        <v>12</v>
      </c>
      <c r="G3178" s="0" t="s">
        <v>8</v>
      </c>
      <c r="H3178" s="0">
        <v>276</v>
      </c>
      <c r="I3178" s="0">
        <v>638</v>
      </c>
      <c r="J3178" s="0">
        <v>0</v>
      </c>
      <c r="K3178" s="0">
        <v>1</v>
      </c>
      <c r="L3178" s="0">
        <v>3</v>
      </c>
      <c r="M3178" s="0">
        <v>7</v>
      </c>
      <c r="N3178" s="0">
        <v>0</v>
      </c>
      <c r="O3178" s="0">
        <v>0</v>
      </c>
      <c r="P3178" s="0">
        <v>0</v>
      </c>
      <c r="R3178" s="0" t="b">
        <v>0</v>
      </c>
      <c r="S3178" s="0" t="b">
        <v>1</v>
      </c>
      <c r="T3178" s="68">
        <v>45777.489525463</v>
      </c>
      <c r="U3178" s="68">
        <v>45791.3333333333</v>
      </c>
      <c r="V3178" s="68">
        <v>0</v>
      </c>
      <c r="W3178" s="0">
        <f>IF(IF(B3178="none",1,IF(B3178="Trialer",1,0))+IF(C3178="Customer",1,IF(C3178="Lost",1,0))=2,1,0)</f>
      </c>
      <c r="X3178" s="0" t="s">
        <v>148</v>
      </c>
      <c r="Y3178" s="0" t="s">
        <v>243</v>
      </c>
      <c r="AV3178" s="68"/>
      <c r="AW3178" s="68"/>
      <c r="AY3178" s="27"/>
      <c r="BD3178" s="68">
        <v>46054.1666666667</v>
      </c>
      <c r="BE3178" s="68">
        <v>46082.1666666667</v>
      </c>
      <c r="BF3178" s="0" t="b">
        <v>0</v>
      </c>
      <c r="BG3178" s="0" t="b">
        <v>0</v>
      </c>
      <c r="BH3178" s="0">
        <v>313</v>
      </c>
      <c r="BI3178" s="0">
        <v>313</v>
      </c>
      <c r="BJ3178" s="0" t="s">
        <v>135</v>
      </c>
    </row>
    <row r="3179">
      <c r="A3179" s="0" t="s">
        <v>3432</v>
      </c>
      <c r="B3179" s="0" t="s">
        <v>134</v>
      </c>
      <c r="C3179" s="0" t="s">
        <v>134</v>
      </c>
      <c r="D3179" s="0" t="s">
        <v>230</v>
      </c>
      <c r="E3179" s="0" t="s">
        <v>3</v>
      </c>
      <c r="F3179" s="0" t="s">
        <v>12</v>
      </c>
      <c r="G3179" s="0" t="s">
        <v>8</v>
      </c>
      <c r="H3179" s="0">
        <v>276</v>
      </c>
      <c r="I3179" s="0">
        <v>110.25</v>
      </c>
      <c r="J3179" s="0">
        <v>0</v>
      </c>
      <c r="K3179" s="0">
        <v>1</v>
      </c>
      <c r="L3179" s="0">
        <v>3</v>
      </c>
      <c r="M3179" s="0">
        <v>3</v>
      </c>
      <c r="N3179" s="0">
        <v>0</v>
      </c>
      <c r="O3179" s="0">
        <v>0</v>
      </c>
      <c r="P3179" s="0">
        <v>-110.25</v>
      </c>
      <c r="R3179" s="0" t="b">
        <v>0</v>
      </c>
      <c r="S3179" s="0" t="b">
        <v>1</v>
      </c>
      <c r="T3179" s="68">
        <v>45777.6196875</v>
      </c>
      <c r="U3179" s="68">
        <v>45792.3333333333</v>
      </c>
      <c r="V3179" s="68">
        <v>0</v>
      </c>
      <c r="W3179" s="0">
        <f>IF(IF(B3179="none",1,IF(B3179="Trialer",1,0))+IF(C3179="Customer",1,IF(C3179="Lost",1,0))=2,1,0)</f>
      </c>
      <c r="X3179" s="0" t="s">
        <v>166</v>
      </c>
      <c r="Y3179" s="0" t="s">
        <v>243</v>
      </c>
      <c r="AV3179" s="68"/>
      <c r="AW3179" s="68"/>
      <c r="AY3179" s="27"/>
      <c r="BD3179" s="68">
        <v>46054.1666666667</v>
      </c>
      <c r="BE3179" s="68">
        <v>46082.1666666667</v>
      </c>
      <c r="BF3179" s="0" t="b">
        <v>0</v>
      </c>
      <c r="BG3179" s="0" t="b">
        <v>0</v>
      </c>
      <c r="BH3179" s="0">
        <v>147</v>
      </c>
      <c r="BI3179" s="0">
        <v>147</v>
      </c>
      <c r="BJ3179" s="0" t="s">
        <v>230</v>
      </c>
    </row>
    <row r="3180">
      <c r="A3180" s="0" t="s">
        <v>3433</v>
      </c>
      <c r="B3180" s="0" t="s">
        <v>134</v>
      </c>
      <c r="C3180" s="0" t="s">
        <v>134</v>
      </c>
      <c r="D3180" s="0" t="s">
        <v>230</v>
      </c>
      <c r="E3180" s="0" t="s">
        <v>3</v>
      </c>
      <c r="F3180" s="0" t="s">
        <v>12</v>
      </c>
      <c r="G3180" s="0" t="s">
        <v>8</v>
      </c>
      <c r="H3180" s="0">
        <v>276</v>
      </c>
      <c r="I3180" s="0">
        <v>120</v>
      </c>
      <c r="J3180" s="0">
        <v>0</v>
      </c>
      <c r="K3180" s="0">
        <v>1</v>
      </c>
      <c r="L3180" s="0">
        <v>2</v>
      </c>
      <c r="M3180" s="0">
        <v>4</v>
      </c>
      <c r="N3180" s="0">
        <v>0</v>
      </c>
      <c r="O3180" s="0">
        <v>0</v>
      </c>
      <c r="P3180" s="0">
        <v>-120</v>
      </c>
      <c r="R3180" s="0" t="b">
        <v>0</v>
      </c>
      <c r="S3180" s="0" t="b">
        <v>1</v>
      </c>
      <c r="T3180" s="68">
        <v>45777.816724537</v>
      </c>
      <c r="U3180" s="68">
        <v>45797.3333333333</v>
      </c>
      <c r="V3180" s="68">
        <v>0</v>
      </c>
      <c r="W3180" s="0">
        <f>IF(IF(B3180="none",1,IF(B3180="Trialer",1,0))+IF(C3180="Customer",1,IF(C3180="Lost",1,0))=2,1,0)</f>
      </c>
      <c r="X3180" s="0" t="s">
        <v>136</v>
      </c>
      <c r="Y3180" s="0" t="s">
        <v>243</v>
      </c>
      <c r="AV3180" s="68"/>
      <c r="AW3180" s="68"/>
      <c r="AY3180" s="27"/>
      <c r="BD3180" s="68">
        <v>46054.1666666667</v>
      </c>
      <c r="BE3180" s="68">
        <v>46082.1666666667</v>
      </c>
      <c r="BF3180" s="0" t="b">
        <v>0</v>
      </c>
      <c r="BG3180" s="0" t="b">
        <v>0</v>
      </c>
      <c r="BH3180" s="0">
        <v>160</v>
      </c>
      <c r="BI3180" s="0">
        <v>160</v>
      </c>
      <c r="BJ3180" s="0" t="s">
        <v>230</v>
      </c>
    </row>
    <row r="3181">
      <c r="A3181" s="0" t="s">
        <v>3434</v>
      </c>
      <c r="B3181" s="0" t="s">
        <v>134</v>
      </c>
      <c r="C3181" s="0" t="s">
        <v>134</v>
      </c>
      <c r="D3181" s="0" t="s">
        <v>230</v>
      </c>
      <c r="E3181" s="0" t="s">
        <v>3</v>
      </c>
      <c r="F3181" s="0" t="s">
        <v>12</v>
      </c>
      <c r="G3181" s="0" t="s">
        <v>8</v>
      </c>
      <c r="H3181" s="0">
        <v>275</v>
      </c>
      <c r="I3181" s="0">
        <v>147</v>
      </c>
      <c r="J3181" s="0">
        <v>0</v>
      </c>
      <c r="K3181" s="0">
        <v>1</v>
      </c>
      <c r="L3181" s="0">
        <v>3</v>
      </c>
      <c r="M3181" s="0">
        <v>4</v>
      </c>
      <c r="N3181" s="0">
        <v>0</v>
      </c>
      <c r="O3181" s="0">
        <v>0</v>
      </c>
      <c r="P3181" s="0">
        <v>-147</v>
      </c>
      <c r="R3181" s="0" t="b">
        <v>0</v>
      </c>
      <c r="S3181" s="0" t="b">
        <v>1</v>
      </c>
      <c r="T3181" s="68">
        <v>45778.4252430556</v>
      </c>
      <c r="U3181" s="68">
        <v>45792.3333333333</v>
      </c>
      <c r="V3181" s="68">
        <v>0</v>
      </c>
      <c r="W3181" s="0">
        <f>IF(IF(B3181="none",1,IF(B3181="Trialer",1,0))+IF(C3181="Customer",1,IF(C3181="Lost",1,0))=2,1,0)</f>
      </c>
      <c r="X3181" s="0" t="s">
        <v>136</v>
      </c>
      <c r="Y3181" s="0" t="s">
        <v>243</v>
      </c>
      <c r="AV3181" s="68"/>
      <c r="AW3181" s="68"/>
      <c r="AY3181" s="27"/>
      <c r="BD3181" s="68">
        <v>46054.1666666667</v>
      </c>
      <c r="BE3181" s="68">
        <v>46082.1666666667</v>
      </c>
      <c r="BF3181" s="0" t="b">
        <v>0</v>
      </c>
      <c r="BG3181" s="0" t="b">
        <v>0</v>
      </c>
      <c r="BH3181" s="0">
        <v>196</v>
      </c>
      <c r="BI3181" s="0">
        <v>196</v>
      </c>
      <c r="BJ3181" s="0" t="s">
        <v>230</v>
      </c>
    </row>
    <row r="3182">
      <c r="A3182" s="0" t="s">
        <v>3435</v>
      </c>
      <c r="B3182" s="0" t="s">
        <v>134</v>
      </c>
      <c r="C3182" s="0" t="s">
        <v>134</v>
      </c>
      <c r="D3182" s="0" t="s">
        <v>135</v>
      </c>
      <c r="E3182" s="0" t="s">
        <v>3</v>
      </c>
      <c r="F3182" s="0" t="s">
        <v>12</v>
      </c>
      <c r="G3182" s="0" t="s">
        <v>8</v>
      </c>
      <c r="H3182" s="0">
        <v>275</v>
      </c>
      <c r="I3182" s="0">
        <v>508</v>
      </c>
      <c r="J3182" s="0">
        <v>0</v>
      </c>
      <c r="K3182" s="0">
        <v>1</v>
      </c>
      <c r="L3182" s="0">
        <v>3</v>
      </c>
      <c r="M3182" s="0">
        <v>5</v>
      </c>
      <c r="N3182" s="0">
        <v>0</v>
      </c>
      <c r="O3182" s="0">
        <v>0</v>
      </c>
      <c r="P3182" s="0">
        <v>0</v>
      </c>
      <c r="R3182" s="0" t="b">
        <v>0</v>
      </c>
      <c r="S3182" s="0" t="b">
        <v>1</v>
      </c>
      <c r="T3182" s="68">
        <v>45778.4626273148</v>
      </c>
      <c r="U3182" s="68">
        <v>45778.3333333333</v>
      </c>
      <c r="V3182" s="68">
        <v>0</v>
      </c>
      <c r="W3182" s="0">
        <f>IF(IF(B3182="none",1,IF(B3182="Trialer",1,0))+IF(C3182="Customer",1,IF(C3182="Lost",1,0))=2,1,0)</f>
      </c>
      <c r="X3182" s="0" t="s">
        <v>145</v>
      </c>
      <c r="Y3182" s="0" t="s">
        <v>243</v>
      </c>
      <c r="AV3182" s="68"/>
      <c r="AW3182" s="68"/>
      <c r="AY3182" s="27"/>
      <c r="BD3182" s="68">
        <v>46054.1666666667</v>
      </c>
      <c r="BE3182" s="68">
        <v>46082.1666666667</v>
      </c>
      <c r="BF3182" s="0" t="b">
        <v>0</v>
      </c>
      <c r="BG3182" s="0" t="b">
        <v>0</v>
      </c>
      <c r="BH3182" s="0">
        <v>183</v>
      </c>
      <c r="BI3182" s="0">
        <v>183</v>
      </c>
      <c r="BJ3182" s="0" t="s">
        <v>135</v>
      </c>
    </row>
    <row r="3183">
      <c r="A3183" s="0" t="s">
        <v>3436</v>
      </c>
      <c r="B3183" s="0" t="s">
        <v>134</v>
      </c>
      <c r="C3183" s="0" t="s">
        <v>134</v>
      </c>
      <c r="D3183" s="0" t="s">
        <v>135</v>
      </c>
      <c r="E3183" s="0" t="s">
        <v>3</v>
      </c>
      <c r="F3183" s="0" t="s">
        <v>12</v>
      </c>
      <c r="G3183" s="0" t="s">
        <v>8</v>
      </c>
      <c r="H3183" s="0">
        <v>275</v>
      </c>
      <c r="I3183" s="0">
        <v>264</v>
      </c>
      <c r="J3183" s="0">
        <v>0</v>
      </c>
      <c r="K3183" s="0">
        <v>1</v>
      </c>
      <c r="L3183" s="0">
        <v>3</v>
      </c>
      <c r="M3183" s="0">
        <v>6</v>
      </c>
      <c r="N3183" s="0">
        <v>0</v>
      </c>
      <c r="O3183" s="0">
        <v>0</v>
      </c>
      <c r="P3183" s="0">
        <v>0</v>
      </c>
      <c r="R3183" s="0" t="b">
        <v>0</v>
      </c>
      <c r="S3183" s="0" t="b">
        <v>1</v>
      </c>
      <c r="T3183" s="68">
        <v>45778.5832638889</v>
      </c>
      <c r="U3183" s="68">
        <v>45792.3333333333</v>
      </c>
      <c r="V3183" s="68">
        <v>0</v>
      </c>
      <c r="W3183" s="0">
        <f>IF(IF(B3183="none",1,IF(B3183="Trialer",1,0))+IF(C3183="Customer",1,IF(C3183="Lost",1,0))=2,1,0)</f>
      </c>
      <c r="X3183" s="0" t="s">
        <v>136</v>
      </c>
      <c r="Y3183" s="0" t="s">
        <v>243</v>
      </c>
      <c r="AV3183" s="68"/>
      <c r="AW3183" s="68"/>
      <c r="AY3183" s="27"/>
      <c r="BD3183" s="68">
        <v>46054.1666666667</v>
      </c>
      <c r="BE3183" s="68">
        <v>46082.1666666667</v>
      </c>
      <c r="BF3183" s="0" t="b">
        <v>0</v>
      </c>
      <c r="BG3183" s="0" t="b">
        <v>0</v>
      </c>
      <c r="BH3183" s="0">
        <v>402</v>
      </c>
      <c r="BI3183" s="0">
        <v>402</v>
      </c>
      <c r="BJ3183" s="0" t="s">
        <v>135</v>
      </c>
    </row>
    <row r="3184">
      <c r="A3184" s="0" t="s">
        <v>3437</v>
      </c>
      <c r="B3184" s="0" t="s">
        <v>134</v>
      </c>
      <c r="C3184" s="0" t="s">
        <v>134</v>
      </c>
      <c r="D3184" s="0" t="s">
        <v>230</v>
      </c>
      <c r="E3184" s="0" t="s">
        <v>2</v>
      </c>
      <c r="F3184" s="0" t="s">
        <v>12</v>
      </c>
      <c r="G3184" s="0" t="s">
        <v>8</v>
      </c>
      <c r="H3184" s="0">
        <v>275</v>
      </c>
      <c r="I3184" s="0">
        <v>441</v>
      </c>
      <c r="J3184" s="0">
        <v>0</v>
      </c>
      <c r="K3184" s="0">
        <v>1</v>
      </c>
      <c r="L3184" s="0">
        <v>3</v>
      </c>
      <c r="M3184" s="0">
        <v>12</v>
      </c>
      <c r="N3184" s="0">
        <v>0</v>
      </c>
      <c r="O3184" s="0">
        <v>0</v>
      </c>
      <c r="P3184" s="0">
        <v>-441</v>
      </c>
      <c r="R3184" s="0" t="b">
        <v>0</v>
      </c>
      <c r="S3184" s="0" t="b">
        <v>1</v>
      </c>
      <c r="T3184" s="68">
        <v>45778.5862152778</v>
      </c>
      <c r="U3184" s="68">
        <v>45792.3333333333</v>
      </c>
      <c r="V3184" s="68">
        <v>0</v>
      </c>
      <c r="W3184" s="0">
        <f>IF(IF(B3184="none",1,IF(B3184="Trialer",1,0))+IF(C3184="Customer",1,IF(C3184="Lost",1,0))=2,1,0)</f>
      </c>
      <c r="X3184" s="0" t="s">
        <v>136</v>
      </c>
      <c r="Y3184" s="0" t="s">
        <v>499</v>
      </c>
      <c r="AV3184" s="68"/>
      <c r="AW3184" s="68"/>
      <c r="AY3184" s="27"/>
      <c r="BD3184" s="68">
        <v>46054.1666666667</v>
      </c>
      <c r="BE3184" s="68">
        <v>46082.1666666667</v>
      </c>
      <c r="BF3184" s="0" t="b">
        <v>0</v>
      </c>
      <c r="BG3184" s="0" t="b">
        <v>0</v>
      </c>
      <c r="BH3184" s="0">
        <v>588</v>
      </c>
      <c r="BI3184" s="0">
        <v>588</v>
      </c>
      <c r="BJ3184" s="0" t="s">
        <v>230</v>
      </c>
    </row>
    <row r="3185">
      <c r="A3185" s="0" t="s">
        <v>3438</v>
      </c>
      <c r="B3185" s="0" t="s">
        <v>652</v>
      </c>
      <c r="C3185" s="0" t="s">
        <v>652</v>
      </c>
      <c r="D3185" s="0" t="s">
        <v>135</v>
      </c>
      <c r="E3185" s="0" t="s">
        <v>3</v>
      </c>
      <c r="F3185" s="0" t="s">
        <v>12</v>
      </c>
      <c r="G3185" s="0" t="s">
        <v>8</v>
      </c>
      <c r="H3185" s="0">
        <v>275</v>
      </c>
      <c r="I3185" s="0">
        <v>0</v>
      </c>
      <c r="J3185" s="0">
        <v>0</v>
      </c>
      <c r="K3185" s="0">
        <v>0</v>
      </c>
      <c r="L3185" s="0">
        <v>0</v>
      </c>
      <c r="M3185" s="0">
        <v>0</v>
      </c>
      <c r="N3185" s="0">
        <v>0</v>
      </c>
      <c r="O3185" s="0">
        <v>0</v>
      </c>
      <c r="P3185" s="0">
        <v>0</v>
      </c>
      <c r="R3185" s="0" t="b">
        <v>0</v>
      </c>
      <c r="S3185" s="0" t="b">
        <v>1</v>
      </c>
      <c r="T3185" s="68">
        <v>45778.7910763889</v>
      </c>
      <c r="U3185" s="68">
        <v>0</v>
      </c>
      <c r="V3185" s="68">
        <v>0</v>
      </c>
      <c r="W3185" s="0">
        <f>IF(IF(B3185="none",1,IF(B3185="Trialer",1,0))+IF(C3185="Customer",1,IF(C3185="Lost",1,0))=2,1,0)</f>
      </c>
      <c r="X3185" s="0" t="s">
        <v>882</v>
      </c>
      <c r="Y3185" s="0" t="s">
        <v>243</v>
      </c>
      <c r="AV3185" s="68"/>
      <c r="AW3185" s="68"/>
      <c r="AY3185" s="27"/>
      <c r="BD3185" s="68">
        <v>46054.1666666667</v>
      </c>
      <c r="BE3185" s="68">
        <v>46082.1666666667</v>
      </c>
      <c r="BF3185" s="0" t="b">
        <v>1</v>
      </c>
      <c r="BG3185" s="0" t="b">
        <v>0</v>
      </c>
      <c r="BH3185" s="0">
        <v>122</v>
      </c>
      <c r="BI3185" s="0">
        <v>122</v>
      </c>
      <c r="BJ3185" s="0" t="s">
        <v>135</v>
      </c>
    </row>
    <row r="3186">
      <c r="A3186" s="0" t="s">
        <v>3439</v>
      </c>
      <c r="B3186" s="0" t="s">
        <v>134</v>
      </c>
      <c r="C3186" s="0" t="s">
        <v>134</v>
      </c>
      <c r="D3186" s="0" t="s">
        <v>230</v>
      </c>
      <c r="E3186" s="0" t="s">
        <v>3</v>
      </c>
      <c r="F3186" s="0" t="s">
        <v>12</v>
      </c>
      <c r="G3186" s="0" t="s">
        <v>8</v>
      </c>
      <c r="H3186" s="0">
        <v>273</v>
      </c>
      <c r="I3186" s="0">
        <v>156</v>
      </c>
      <c r="J3186" s="0">
        <v>0</v>
      </c>
      <c r="K3186" s="0">
        <v>1</v>
      </c>
      <c r="L3186" s="0">
        <v>4</v>
      </c>
      <c r="M3186" s="0">
        <v>4</v>
      </c>
      <c r="N3186" s="0">
        <v>0</v>
      </c>
      <c r="O3186" s="0">
        <v>0</v>
      </c>
      <c r="P3186" s="0">
        <v>-156</v>
      </c>
      <c r="R3186" s="0" t="b">
        <v>0</v>
      </c>
      <c r="S3186" s="0" t="b">
        <v>1</v>
      </c>
      <c r="T3186" s="68">
        <v>45780.4529398148</v>
      </c>
      <c r="U3186" s="68">
        <v>45796.3333333333</v>
      </c>
      <c r="V3186" s="68">
        <v>0</v>
      </c>
      <c r="W3186" s="0">
        <f>IF(IF(B3186="none",1,IF(B3186="Trialer",1,0))+IF(C3186="Customer",1,IF(C3186="Lost",1,0))=2,1,0)</f>
      </c>
      <c r="X3186" s="0" t="s">
        <v>145</v>
      </c>
      <c r="Y3186" s="0" t="s">
        <v>243</v>
      </c>
      <c r="AV3186" s="68"/>
      <c r="AW3186" s="68"/>
      <c r="AY3186" s="27"/>
      <c r="BD3186" s="68">
        <v>46054.1666666667</v>
      </c>
      <c r="BE3186" s="68">
        <v>46082.1666666667</v>
      </c>
      <c r="BF3186" s="0" t="b">
        <v>0</v>
      </c>
      <c r="BG3186" s="0" t="b">
        <v>0</v>
      </c>
      <c r="BH3186" s="0">
        <v>208</v>
      </c>
      <c r="BI3186" s="0">
        <v>208</v>
      </c>
      <c r="BJ3186" s="0" t="s">
        <v>230</v>
      </c>
    </row>
    <row r="3187">
      <c r="A3187" s="0" t="s">
        <v>3440</v>
      </c>
      <c r="B3187" s="0" t="s">
        <v>134</v>
      </c>
      <c r="C3187" s="0" t="s">
        <v>134</v>
      </c>
      <c r="D3187" s="0" t="s">
        <v>135</v>
      </c>
      <c r="E3187" s="0" t="s">
        <v>3</v>
      </c>
      <c r="F3187" s="0" t="s">
        <v>10</v>
      </c>
      <c r="G3187" s="0" t="s">
        <v>8</v>
      </c>
      <c r="H3187" s="0">
        <v>271</v>
      </c>
      <c r="I3187" s="0">
        <v>28</v>
      </c>
      <c r="J3187" s="0">
        <v>0</v>
      </c>
      <c r="K3187" s="0">
        <v>1</v>
      </c>
      <c r="L3187" s="0">
        <v>1</v>
      </c>
      <c r="M3187" s="0">
        <v>1</v>
      </c>
      <c r="N3187" s="0">
        <v>0</v>
      </c>
      <c r="O3187" s="0">
        <v>0</v>
      </c>
      <c r="P3187" s="0">
        <v>0</v>
      </c>
      <c r="Q3187" s="0" t="s">
        <v>618</v>
      </c>
      <c r="R3187" s="0" t="b">
        <v>0</v>
      </c>
      <c r="S3187" s="0" t="b">
        <v>1</v>
      </c>
      <c r="T3187" s="68">
        <v>45782.274849537</v>
      </c>
      <c r="U3187" s="68">
        <v>45796.3333333333</v>
      </c>
      <c r="V3187" s="68">
        <v>0</v>
      </c>
      <c r="W3187" s="0">
        <f>IF(IF(B3187="none",1,IF(B3187="Trialer",1,0))+IF(C3187="Customer",1,IF(C3187="Lost",1,0))=2,1,0)</f>
      </c>
      <c r="X3187" s="0" t="s">
        <v>148</v>
      </c>
      <c r="Y3187" s="0" t="s">
        <v>243</v>
      </c>
      <c r="AV3187" s="68"/>
      <c r="AW3187" s="68"/>
      <c r="AY3187" s="27"/>
      <c r="BD3187" s="68">
        <v>46054.1666666667</v>
      </c>
      <c r="BE3187" s="68">
        <v>46082.1666666667</v>
      </c>
      <c r="BF3187" s="0" t="b">
        <v>0</v>
      </c>
      <c r="BG3187" s="0" t="b">
        <v>0</v>
      </c>
      <c r="BH3187" s="0">
        <v>28</v>
      </c>
      <c r="BI3187" s="0">
        <v>28</v>
      </c>
      <c r="BJ3187" s="0" t="s">
        <v>135</v>
      </c>
    </row>
    <row r="3188">
      <c r="A3188" s="0" t="s">
        <v>3441</v>
      </c>
      <c r="B3188" s="0" t="s">
        <v>134</v>
      </c>
      <c r="C3188" s="0" t="s">
        <v>134</v>
      </c>
      <c r="D3188" s="0" t="s">
        <v>135</v>
      </c>
      <c r="E3188" s="0" t="s">
        <v>3</v>
      </c>
      <c r="F3188" s="0" t="s">
        <v>11</v>
      </c>
      <c r="G3188" s="0" t="s">
        <v>8</v>
      </c>
      <c r="H3188" s="0">
        <v>271</v>
      </c>
      <c r="I3188" s="0">
        <v>78.4</v>
      </c>
      <c r="J3188" s="0">
        <v>0</v>
      </c>
      <c r="K3188" s="0">
        <v>1</v>
      </c>
      <c r="L3188" s="0">
        <v>3</v>
      </c>
      <c r="M3188" s="0">
        <v>2</v>
      </c>
      <c r="N3188" s="0">
        <v>0</v>
      </c>
      <c r="O3188" s="0">
        <v>0</v>
      </c>
      <c r="P3188" s="0">
        <v>0</v>
      </c>
      <c r="Q3188" s="0" t="s">
        <v>1743</v>
      </c>
      <c r="R3188" s="0" t="b">
        <v>1</v>
      </c>
      <c r="S3188" s="0" t="b">
        <v>1</v>
      </c>
      <c r="T3188" s="68">
        <v>45782.3968634259</v>
      </c>
      <c r="U3188" s="68">
        <v>45782.3333333333</v>
      </c>
      <c r="V3188" s="68">
        <v>0</v>
      </c>
      <c r="W3188" s="0">
        <f>IF(IF(B3188="none",1,IF(B3188="Trialer",1,0))+IF(C3188="Customer",1,IF(C3188="Lost",1,0))=2,1,0)</f>
      </c>
      <c r="X3188" s="0" t="s">
        <v>145</v>
      </c>
      <c r="Y3188" s="0" t="s">
        <v>243</v>
      </c>
      <c r="AV3188" s="68"/>
      <c r="AW3188" s="68"/>
      <c r="AY3188" s="27"/>
      <c r="BD3188" s="68">
        <v>46054.1666666667</v>
      </c>
      <c r="BE3188" s="68">
        <v>46082.1666666667</v>
      </c>
      <c r="BF3188" s="0" t="b">
        <v>0</v>
      </c>
      <c r="BG3188" s="0" t="b">
        <v>0</v>
      </c>
      <c r="BH3188" s="0">
        <v>78.4</v>
      </c>
      <c r="BI3188" s="0">
        <v>78.4</v>
      </c>
      <c r="BJ3188" s="0" t="s">
        <v>135</v>
      </c>
    </row>
    <row r="3189">
      <c r="A3189" s="0" t="s">
        <v>3442</v>
      </c>
      <c r="B3189" s="0" t="s">
        <v>134</v>
      </c>
      <c r="C3189" s="0" t="s">
        <v>134</v>
      </c>
      <c r="D3189" s="0" t="s">
        <v>135</v>
      </c>
      <c r="E3189" s="0" t="s">
        <v>3</v>
      </c>
      <c r="F3189" s="0" t="s">
        <v>11</v>
      </c>
      <c r="G3189" s="0" t="s">
        <v>8</v>
      </c>
      <c r="H3189" s="0">
        <v>271</v>
      </c>
      <c r="I3189" s="0">
        <v>78.4</v>
      </c>
      <c r="J3189" s="0">
        <v>0</v>
      </c>
      <c r="K3189" s="0">
        <v>1</v>
      </c>
      <c r="L3189" s="0">
        <v>3</v>
      </c>
      <c r="M3189" s="0">
        <v>2</v>
      </c>
      <c r="N3189" s="0">
        <v>0</v>
      </c>
      <c r="O3189" s="0">
        <v>0</v>
      </c>
      <c r="P3189" s="0">
        <v>0</v>
      </c>
      <c r="Q3189" s="0" t="s">
        <v>1743</v>
      </c>
      <c r="R3189" s="0" t="b">
        <v>1</v>
      </c>
      <c r="S3189" s="0" t="b">
        <v>1</v>
      </c>
      <c r="T3189" s="68">
        <v>45782.4978240741</v>
      </c>
      <c r="U3189" s="68">
        <v>45782.3333333333</v>
      </c>
      <c r="V3189" s="68">
        <v>0</v>
      </c>
      <c r="W3189" s="0">
        <f>IF(IF(B3189="none",1,IF(B3189="Trialer",1,0))+IF(C3189="Customer",1,IF(C3189="Lost",1,0))=2,1,0)</f>
      </c>
      <c r="X3189" s="0" t="s">
        <v>145</v>
      </c>
      <c r="Y3189" s="0" t="s">
        <v>243</v>
      </c>
      <c r="AV3189" s="68"/>
      <c r="AW3189" s="68"/>
      <c r="AY3189" s="27"/>
      <c r="BD3189" s="68">
        <v>46054.1666666667</v>
      </c>
      <c r="BE3189" s="68">
        <v>46082.1666666667</v>
      </c>
      <c r="BF3189" s="0" t="b">
        <v>0</v>
      </c>
      <c r="BG3189" s="0" t="b">
        <v>0</v>
      </c>
      <c r="BH3189" s="0">
        <v>78.4</v>
      </c>
      <c r="BI3189" s="0">
        <v>78.4</v>
      </c>
      <c r="BJ3189" s="0" t="s">
        <v>135</v>
      </c>
    </row>
    <row r="3190">
      <c r="A3190" s="0" t="s">
        <v>3443</v>
      </c>
      <c r="B3190" s="0" t="s">
        <v>134</v>
      </c>
      <c r="C3190" s="0" t="s">
        <v>134</v>
      </c>
      <c r="D3190" s="0" t="s">
        <v>230</v>
      </c>
      <c r="E3190" s="0" t="s">
        <v>3</v>
      </c>
      <c r="F3190" s="0" t="s">
        <v>12</v>
      </c>
      <c r="G3190" s="0" t="s">
        <v>8</v>
      </c>
      <c r="H3190" s="0">
        <v>271</v>
      </c>
      <c r="I3190" s="0">
        <v>64</v>
      </c>
      <c r="J3190" s="0">
        <v>0</v>
      </c>
      <c r="K3190" s="0">
        <v>1</v>
      </c>
      <c r="L3190" s="0">
        <v>5</v>
      </c>
      <c r="M3190" s="0">
        <v>1</v>
      </c>
      <c r="N3190" s="0">
        <v>0</v>
      </c>
      <c r="O3190" s="0">
        <v>0</v>
      </c>
      <c r="P3190" s="0">
        <v>-64</v>
      </c>
      <c r="R3190" s="0" t="b">
        <v>0</v>
      </c>
      <c r="S3190" s="0" t="b">
        <v>0</v>
      </c>
      <c r="T3190" s="68">
        <v>45782.6828472222</v>
      </c>
      <c r="U3190" s="68">
        <v>45796.3333333333</v>
      </c>
      <c r="V3190" s="68">
        <v>46085.6351041667</v>
      </c>
      <c r="W3190" s="0">
        <f>IF(IF(B3190="none",1,IF(B3190="Trialer",1,0))+IF(C3190="Customer",1,IF(C3190="Lost",1,0))=2,1,0)</f>
      </c>
      <c r="X3190" s="0" t="s">
        <v>166</v>
      </c>
      <c r="Y3190" s="0" t="s">
        <v>243</v>
      </c>
      <c r="AV3190" s="68"/>
      <c r="AW3190" s="68"/>
      <c r="AY3190" s="27"/>
      <c r="BD3190" s="68">
        <v>46054.1666666667</v>
      </c>
      <c r="BE3190" s="68">
        <v>46082.1666666667</v>
      </c>
      <c r="BF3190" s="0" t="b">
        <v>0</v>
      </c>
      <c r="BG3190" s="0" t="b">
        <v>0</v>
      </c>
      <c r="BH3190" s="0">
        <v>73</v>
      </c>
      <c r="BI3190" s="0">
        <v>73</v>
      </c>
      <c r="BJ3190" s="0" t="s">
        <v>230</v>
      </c>
    </row>
    <row r="3191">
      <c r="A3191" s="0" t="s">
        <v>3444</v>
      </c>
      <c r="B3191" s="0" t="s">
        <v>134</v>
      </c>
      <c r="C3191" s="0" t="s">
        <v>134</v>
      </c>
      <c r="D3191" s="0" t="s">
        <v>230</v>
      </c>
      <c r="E3191" s="0" t="s">
        <v>3</v>
      </c>
      <c r="F3191" s="0" t="s">
        <v>12</v>
      </c>
      <c r="G3191" s="0" t="s">
        <v>8</v>
      </c>
      <c r="H3191" s="0">
        <v>270</v>
      </c>
      <c r="I3191" s="0">
        <v>44</v>
      </c>
      <c r="J3191" s="0">
        <v>0</v>
      </c>
      <c r="K3191" s="0">
        <v>1</v>
      </c>
      <c r="L3191" s="0">
        <v>3</v>
      </c>
      <c r="M3191" s="0">
        <v>1</v>
      </c>
      <c r="N3191" s="0">
        <v>0</v>
      </c>
      <c r="O3191" s="0">
        <v>0</v>
      </c>
      <c r="P3191" s="0">
        <v>-44</v>
      </c>
      <c r="R3191" s="0" t="b">
        <v>0</v>
      </c>
      <c r="S3191" s="0" t="b">
        <v>1</v>
      </c>
      <c r="T3191" s="68">
        <v>45783.4751851852</v>
      </c>
      <c r="U3191" s="68">
        <v>45797.3333333333</v>
      </c>
      <c r="V3191" s="68">
        <v>0</v>
      </c>
      <c r="W3191" s="0">
        <f>IF(IF(B3191="none",1,IF(B3191="Trialer",1,0))+IF(C3191="Customer",1,IF(C3191="Lost",1,0))=2,1,0)</f>
      </c>
      <c r="X3191" s="0" t="s">
        <v>153</v>
      </c>
      <c r="Y3191" s="0" t="s">
        <v>243</v>
      </c>
      <c r="AV3191" s="68"/>
      <c r="AW3191" s="68"/>
      <c r="AY3191" s="27"/>
      <c r="BD3191" s="68">
        <v>46054.1666666667</v>
      </c>
      <c r="BE3191" s="68">
        <v>46082.1666666667</v>
      </c>
      <c r="BF3191" s="0" t="b">
        <v>0</v>
      </c>
      <c r="BG3191" s="0" t="b">
        <v>0</v>
      </c>
      <c r="BH3191" s="0">
        <v>49</v>
      </c>
      <c r="BI3191" s="0">
        <v>49</v>
      </c>
      <c r="BJ3191" s="0" t="s">
        <v>230</v>
      </c>
    </row>
    <row r="3192">
      <c r="A3192" s="0" t="s">
        <v>3445</v>
      </c>
      <c r="B3192" s="0" t="s">
        <v>134</v>
      </c>
      <c r="C3192" s="0" t="s">
        <v>134</v>
      </c>
      <c r="D3192" s="0" t="s">
        <v>230</v>
      </c>
      <c r="E3192" s="0" t="s">
        <v>3</v>
      </c>
      <c r="F3192" s="0" t="s">
        <v>12</v>
      </c>
      <c r="G3192" s="0" t="s">
        <v>8</v>
      </c>
      <c r="H3192" s="0">
        <v>270</v>
      </c>
      <c r="I3192" s="0">
        <v>44</v>
      </c>
      <c r="J3192" s="0">
        <v>0</v>
      </c>
      <c r="K3192" s="0">
        <v>1</v>
      </c>
      <c r="L3192" s="0">
        <v>3</v>
      </c>
      <c r="M3192" s="0">
        <v>1</v>
      </c>
      <c r="N3192" s="0">
        <v>0</v>
      </c>
      <c r="O3192" s="0">
        <v>0</v>
      </c>
      <c r="P3192" s="0">
        <v>-44</v>
      </c>
      <c r="R3192" s="0" t="b">
        <v>0</v>
      </c>
      <c r="S3192" s="0" t="b">
        <v>1</v>
      </c>
      <c r="T3192" s="68">
        <v>45783.6575231481</v>
      </c>
      <c r="U3192" s="68">
        <v>45826.3333333333</v>
      </c>
      <c r="V3192" s="68">
        <v>0</v>
      </c>
      <c r="W3192" s="0">
        <f>IF(IF(B3192="none",1,IF(B3192="Trialer",1,0))+IF(C3192="Customer",1,IF(C3192="Lost",1,0))=2,1,0)</f>
      </c>
      <c r="X3192" s="0" t="s">
        <v>166</v>
      </c>
      <c r="Y3192" s="0" t="s">
        <v>243</v>
      </c>
      <c r="AV3192" s="68"/>
      <c r="AW3192" s="68"/>
      <c r="AY3192" s="27"/>
      <c r="BD3192" s="68">
        <v>46054.1666666667</v>
      </c>
      <c r="BE3192" s="68">
        <v>46082.1666666667</v>
      </c>
      <c r="BF3192" s="0" t="b">
        <v>0</v>
      </c>
      <c r="BG3192" s="0" t="b">
        <v>0</v>
      </c>
      <c r="BH3192" s="0">
        <v>49</v>
      </c>
      <c r="BI3192" s="0">
        <v>49</v>
      </c>
      <c r="BJ3192" s="0" t="s">
        <v>230</v>
      </c>
    </row>
    <row r="3193">
      <c r="A3193" s="0" t="s">
        <v>3446</v>
      </c>
      <c r="B3193" s="0" t="s">
        <v>134</v>
      </c>
      <c r="C3193" s="0" t="s">
        <v>134</v>
      </c>
      <c r="D3193" s="0" t="s">
        <v>230</v>
      </c>
      <c r="E3193" s="0" t="s">
        <v>3</v>
      </c>
      <c r="F3193" s="0" t="s">
        <v>12</v>
      </c>
      <c r="G3193" s="0" t="s">
        <v>8</v>
      </c>
      <c r="H3193" s="0">
        <v>269</v>
      </c>
      <c r="I3193" s="0">
        <v>372</v>
      </c>
      <c r="J3193" s="0">
        <v>0</v>
      </c>
      <c r="K3193" s="0">
        <v>1</v>
      </c>
      <c r="L3193" s="0">
        <v>4</v>
      </c>
      <c r="M3193" s="0">
        <v>8</v>
      </c>
      <c r="N3193" s="0">
        <v>0</v>
      </c>
      <c r="O3193" s="0">
        <v>0</v>
      </c>
      <c r="P3193" s="0">
        <v>4092</v>
      </c>
      <c r="R3193" s="0" t="b">
        <v>0</v>
      </c>
      <c r="S3193" s="0" t="b">
        <v>1</v>
      </c>
      <c r="T3193" s="68">
        <v>45784.4208912037</v>
      </c>
      <c r="U3193" s="68">
        <v>45784.3333333333</v>
      </c>
      <c r="V3193" s="68">
        <v>0</v>
      </c>
      <c r="W3193" s="0">
        <f>IF(IF(B3193="none",1,IF(B3193="Trialer",1,0))+IF(C3193="Customer",1,IF(C3193="Lost",1,0))=2,1,0)</f>
      </c>
      <c r="X3193" s="0" t="s">
        <v>145</v>
      </c>
      <c r="Y3193" s="0" t="s">
        <v>243</v>
      </c>
      <c r="AV3193" s="68"/>
      <c r="AW3193" s="68"/>
      <c r="AY3193" s="27"/>
      <c r="BD3193" s="68">
        <v>46054.1666666667</v>
      </c>
      <c r="BE3193" s="68">
        <v>46082.1666666667</v>
      </c>
      <c r="BF3193" s="0" t="b">
        <v>0</v>
      </c>
      <c r="BG3193" s="0" t="b">
        <v>0</v>
      </c>
      <c r="BH3193" s="0">
        <v>416</v>
      </c>
      <c r="BI3193" s="0">
        <v>416</v>
      </c>
      <c r="BJ3193" s="0" t="s">
        <v>230</v>
      </c>
    </row>
    <row r="3194">
      <c r="A3194" s="0" t="s">
        <v>3447</v>
      </c>
      <c r="B3194" s="0" t="s">
        <v>134</v>
      </c>
      <c r="C3194" s="0" t="s">
        <v>134</v>
      </c>
      <c r="D3194" s="0" t="s">
        <v>135</v>
      </c>
      <c r="E3194" s="0" t="s">
        <v>2</v>
      </c>
      <c r="F3194" s="0" t="s">
        <v>12</v>
      </c>
      <c r="G3194" s="0" t="s">
        <v>8</v>
      </c>
      <c r="H3194" s="0">
        <v>269</v>
      </c>
      <c r="I3194" s="0">
        <v>80</v>
      </c>
      <c r="J3194" s="0">
        <v>0</v>
      </c>
      <c r="K3194" s="0">
        <v>1</v>
      </c>
      <c r="L3194" s="0">
        <v>2</v>
      </c>
      <c r="M3194" s="0">
        <v>2</v>
      </c>
      <c r="N3194" s="0">
        <v>0</v>
      </c>
      <c r="O3194" s="0">
        <v>0</v>
      </c>
      <c r="P3194" s="0">
        <v>0</v>
      </c>
      <c r="R3194" s="0" t="b">
        <v>0</v>
      </c>
      <c r="S3194" s="0" t="b">
        <v>1</v>
      </c>
      <c r="T3194" s="68">
        <v>45784.6053356481</v>
      </c>
      <c r="U3194" s="68">
        <v>45803.3333333333</v>
      </c>
      <c r="V3194" s="68">
        <v>0</v>
      </c>
      <c r="W3194" s="0">
        <f>IF(IF(B3194="none",1,IF(B3194="Trialer",1,0))+IF(C3194="Customer",1,IF(C3194="Lost",1,0))=2,1,0)</f>
      </c>
      <c r="X3194" s="0" t="s">
        <v>145</v>
      </c>
      <c r="Y3194" s="0" t="s">
        <v>499</v>
      </c>
      <c r="AV3194" s="68"/>
      <c r="AW3194" s="68"/>
      <c r="AY3194" s="27"/>
      <c r="BD3194" s="68">
        <v>46054.1666666667</v>
      </c>
      <c r="BE3194" s="68">
        <v>46082.1666666667</v>
      </c>
      <c r="BF3194" s="0" t="b">
        <v>0</v>
      </c>
      <c r="BG3194" s="0" t="b">
        <v>0</v>
      </c>
      <c r="BH3194" s="0">
        <v>80</v>
      </c>
      <c r="BI3194" s="0">
        <v>80</v>
      </c>
      <c r="BJ3194" s="0" t="s">
        <v>135</v>
      </c>
    </row>
    <row r="3195">
      <c r="A3195" s="0" t="s">
        <v>3448</v>
      </c>
      <c r="B3195" s="0" t="s">
        <v>134</v>
      </c>
      <c r="C3195" s="0" t="s">
        <v>134</v>
      </c>
      <c r="D3195" s="0" t="s">
        <v>230</v>
      </c>
      <c r="E3195" s="0" t="s">
        <v>2</v>
      </c>
      <c r="F3195" s="0" t="s">
        <v>12</v>
      </c>
      <c r="G3195" s="0" t="s">
        <v>8</v>
      </c>
      <c r="H3195" s="0">
        <v>269</v>
      </c>
      <c r="I3195" s="0">
        <v>91.5</v>
      </c>
      <c r="J3195" s="0">
        <v>0</v>
      </c>
      <c r="K3195" s="0">
        <v>1</v>
      </c>
      <c r="L3195" s="0">
        <v>4</v>
      </c>
      <c r="M3195" s="0">
        <v>2</v>
      </c>
      <c r="N3195" s="0">
        <v>0</v>
      </c>
      <c r="O3195" s="0">
        <v>0</v>
      </c>
      <c r="P3195" s="0">
        <v>-91.5</v>
      </c>
      <c r="R3195" s="0" t="b">
        <v>0</v>
      </c>
      <c r="S3195" s="0" t="b">
        <v>1</v>
      </c>
      <c r="T3195" s="68">
        <v>45784.8286689815</v>
      </c>
      <c r="U3195" s="68">
        <v>45798.3333333333</v>
      </c>
      <c r="V3195" s="68">
        <v>0</v>
      </c>
      <c r="W3195" s="0">
        <f>IF(IF(B3195="none",1,IF(B3195="Trialer",1,0))+IF(C3195="Customer",1,IF(C3195="Lost",1,0))=2,1,0)</f>
      </c>
      <c r="X3195" s="0" t="s">
        <v>142</v>
      </c>
      <c r="Y3195" s="0" t="s">
        <v>499</v>
      </c>
      <c r="AV3195" s="68"/>
      <c r="AW3195" s="68"/>
      <c r="AY3195" s="27"/>
      <c r="BD3195" s="68">
        <v>46054.1666666667</v>
      </c>
      <c r="BE3195" s="68">
        <v>46082.1666666667</v>
      </c>
      <c r="BF3195" s="0" t="b">
        <v>0</v>
      </c>
      <c r="BG3195" s="0" t="b">
        <v>0</v>
      </c>
      <c r="BH3195" s="0">
        <v>122</v>
      </c>
      <c r="BI3195" s="0">
        <v>122</v>
      </c>
      <c r="BJ3195" s="0" t="s">
        <v>230</v>
      </c>
    </row>
    <row r="3196">
      <c r="A3196" s="0" t="s">
        <v>3449</v>
      </c>
      <c r="B3196" s="0" t="s">
        <v>134</v>
      </c>
      <c r="C3196" s="0" t="s">
        <v>134</v>
      </c>
      <c r="D3196" s="0" t="s">
        <v>135</v>
      </c>
      <c r="E3196" s="0" t="s">
        <v>3</v>
      </c>
      <c r="F3196" s="0" t="s">
        <v>12</v>
      </c>
      <c r="G3196" s="0" t="s">
        <v>8</v>
      </c>
      <c r="H3196" s="0">
        <v>268</v>
      </c>
      <c r="I3196" s="0">
        <v>61</v>
      </c>
      <c r="J3196" s="0">
        <v>-101</v>
      </c>
      <c r="K3196" s="0">
        <v>1</v>
      </c>
      <c r="L3196" s="0">
        <v>4</v>
      </c>
      <c r="M3196" s="0">
        <v>1</v>
      </c>
      <c r="N3196" s="0">
        <v>0</v>
      </c>
      <c r="O3196" s="0">
        <v>0</v>
      </c>
      <c r="P3196" s="0">
        <v>0</v>
      </c>
      <c r="R3196" s="0" t="b">
        <v>0</v>
      </c>
      <c r="S3196" s="0" t="b">
        <v>1</v>
      </c>
      <c r="T3196" s="68">
        <v>45785.13125</v>
      </c>
      <c r="U3196" s="68">
        <v>45800.3333333333</v>
      </c>
      <c r="V3196" s="68">
        <v>0</v>
      </c>
      <c r="W3196" s="0">
        <f>IF(IF(B3196="none",1,IF(B3196="Trialer",1,0))+IF(C3196="Customer",1,IF(C3196="Lost",1,0))=2,1,0)</f>
      </c>
      <c r="X3196" s="0" t="s">
        <v>153</v>
      </c>
      <c r="Y3196" s="0" t="s">
        <v>243</v>
      </c>
      <c r="AV3196" s="68"/>
      <c r="AW3196" s="68"/>
      <c r="AY3196" s="27"/>
      <c r="BD3196" s="68">
        <v>46054.1666666667</v>
      </c>
      <c r="BE3196" s="68">
        <v>46082.1666666667</v>
      </c>
      <c r="BF3196" s="0" t="b">
        <v>0</v>
      </c>
      <c r="BG3196" s="0" t="b">
        <v>0</v>
      </c>
      <c r="BH3196" s="0">
        <v>61</v>
      </c>
      <c r="BI3196" s="0">
        <v>61</v>
      </c>
      <c r="BJ3196" s="0" t="s">
        <v>230</v>
      </c>
    </row>
    <row r="3197">
      <c r="A3197" s="0" t="s">
        <v>3450</v>
      </c>
      <c r="B3197" s="0" t="s">
        <v>134</v>
      </c>
      <c r="C3197" s="0" t="s">
        <v>134</v>
      </c>
      <c r="D3197" s="0" t="s">
        <v>230</v>
      </c>
      <c r="E3197" s="0" t="s">
        <v>2</v>
      </c>
      <c r="F3197" s="0" t="s">
        <v>12</v>
      </c>
      <c r="G3197" s="0" t="s">
        <v>8</v>
      </c>
      <c r="H3197" s="0">
        <v>268</v>
      </c>
      <c r="I3197" s="0">
        <v>153.9</v>
      </c>
      <c r="J3197" s="0">
        <v>0</v>
      </c>
      <c r="K3197" s="0">
        <v>1</v>
      </c>
      <c r="L3197" s="0">
        <v>4</v>
      </c>
      <c r="M3197" s="0">
        <v>3</v>
      </c>
      <c r="N3197" s="0">
        <v>0</v>
      </c>
      <c r="O3197" s="0">
        <v>0</v>
      </c>
      <c r="P3197" s="0">
        <v>-153.9</v>
      </c>
      <c r="R3197" s="0" t="b">
        <v>0</v>
      </c>
      <c r="S3197" s="0" t="b">
        <v>1</v>
      </c>
      <c r="T3197" s="68">
        <v>45785.3424537037</v>
      </c>
      <c r="U3197" s="68">
        <v>45817.3333333333</v>
      </c>
      <c r="V3197" s="68">
        <v>0</v>
      </c>
      <c r="W3197" s="0">
        <f>IF(IF(B3197="none",1,IF(B3197="Trialer",1,0))+IF(C3197="Customer",1,IF(C3197="Lost",1,0))=2,1,0)</f>
      </c>
      <c r="X3197" s="0" t="s">
        <v>142</v>
      </c>
      <c r="Y3197" s="0" t="s">
        <v>499</v>
      </c>
      <c r="AV3197" s="68"/>
      <c r="AW3197" s="68"/>
      <c r="AY3197" s="27"/>
      <c r="BD3197" s="68">
        <v>46054.1666666667</v>
      </c>
      <c r="BE3197" s="68">
        <v>46082.1666666667</v>
      </c>
      <c r="BF3197" s="0" t="b">
        <v>0</v>
      </c>
      <c r="BG3197" s="0" t="b">
        <v>0</v>
      </c>
      <c r="BH3197" s="0">
        <v>171</v>
      </c>
      <c r="BI3197" s="0">
        <v>171</v>
      </c>
      <c r="BJ3197" s="0" t="s">
        <v>230</v>
      </c>
    </row>
    <row r="3198">
      <c r="A3198" s="0" t="s">
        <v>3451</v>
      </c>
      <c r="B3198" s="0" t="s">
        <v>134</v>
      </c>
      <c r="C3198" s="0" t="s">
        <v>134</v>
      </c>
      <c r="D3198" s="0" t="s">
        <v>135</v>
      </c>
      <c r="E3198" s="0" t="s">
        <v>3</v>
      </c>
      <c r="F3198" s="0" t="s">
        <v>12</v>
      </c>
      <c r="G3198" s="0" t="s">
        <v>8</v>
      </c>
      <c r="H3198" s="0">
        <v>268</v>
      </c>
      <c r="I3198" s="0">
        <v>289</v>
      </c>
      <c r="J3198" s="0">
        <v>0</v>
      </c>
      <c r="K3198" s="0">
        <v>1</v>
      </c>
      <c r="L3198" s="0">
        <v>3</v>
      </c>
      <c r="M3198" s="0">
        <v>7</v>
      </c>
      <c r="N3198" s="0">
        <v>77.5</v>
      </c>
      <c r="O3198" s="0">
        <v>0</v>
      </c>
      <c r="P3198" s="0">
        <v>0</v>
      </c>
      <c r="R3198" s="0" t="b">
        <v>0</v>
      </c>
      <c r="S3198" s="0" t="b">
        <v>1</v>
      </c>
      <c r="T3198" s="68">
        <v>45785.58125</v>
      </c>
      <c r="U3198" s="68">
        <v>45799.3333333333</v>
      </c>
      <c r="V3198" s="68">
        <v>0</v>
      </c>
      <c r="W3198" s="0">
        <f>IF(IF(B3198="none",1,IF(B3198="Trialer",1,0))+IF(C3198="Customer",1,IF(C3198="Lost",1,0))=2,1,0)</f>
      </c>
      <c r="X3198" s="0" t="s">
        <v>148</v>
      </c>
      <c r="Y3198" s="0" t="s">
        <v>243</v>
      </c>
      <c r="AV3198" s="68"/>
      <c r="AW3198" s="68"/>
      <c r="AY3198" s="27"/>
      <c r="BD3198" s="68">
        <v>46054.1666666667</v>
      </c>
      <c r="BE3198" s="68">
        <v>46082.1666666667</v>
      </c>
      <c r="BF3198" s="0" t="b">
        <v>0</v>
      </c>
      <c r="BG3198" s="0" t="b">
        <v>0</v>
      </c>
      <c r="BH3198" s="0">
        <v>329</v>
      </c>
      <c r="BI3198" s="0">
        <v>329</v>
      </c>
      <c r="BJ3198" s="0" t="s">
        <v>135</v>
      </c>
    </row>
    <row r="3199">
      <c r="A3199" s="0" t="s">
        <v>3452</v>
      </c>
      <c r="B3199" s="0" t="s">
        <v>134</v>
      </c>
      <c r="C3199" s="0" t="s">
        <v>134</v>
      </c>
      <c r="D3199" s="0" t="s">
        <v>230</v>
      </c>
      <c r="E3199" s="0" t="s">
        <v>3</v>
      </c>
      <c r="F3199" s="0" t="s">
        <v>12</v>
      </c>
      <c r="G3199" s="0" t="s">
        <v>8</v>
      </c>
      <c r="H3199" s="0">
        <v>268</v>
      </c>
      <c r="I3199" s="0">
        <v>281.4</v>
      </c>
      <c r="J3199" s="0">
        <v>0</v>
      </c>
      <c r="K3199" s="0">
        <v>1</v>
      </c>
      <c r="L3199" s="0">
        <v>3</v>
      </c>
      <c r="M3199" s="0">
        <v>8</v>
      </c>
      <c r="N3199" s="0">
        <v>232.5</v>
      </c>
      <c r="O3199" s="0">
        <v>0</v>
      </c>
      <c r="P3199" s="0">
        <v>3693</v>
      </c>
      <c r="R3199" s="0" t="b">
        <v>0</v>
      </c>
      <c r="S3199" s="0" t="b">
        <v>1</v>
      </c>
      <c r="T3199" s="68">
        <v>45785.6080324074</v>
      </c>
      <c r="U3199" s="68">
        <v>45812.3333333333</v>
      </c>
      <c r="V3199" s="68">
        <v>0</v>
      </c>
      <c r="W3199" s="0">
        <f>IF(IF(B3199="none",1,IF(B3199="Trialer",1,0))+IF(C3199="Customer",1,IF(C3199="Lost",1,0))=2,1,0)</f>
      </c>
      <c r="X3199" s="0" t="s">
        <v>136</v>
      </c>
      <c r="Y3199" s="0" t="s">
        <v>243</v>
      </c>
      <c r="AV3199" s="68"/>
      <c r="AW3199" s="68"/>
      <c r="AY3199" s="27"/>
      <c r="BD3199" s="68">
        <v>46054.1666666667</v>
      </c>
      <c r="BE3199" s="68">
        <v>46082.1666666667</v>
      </c>
      <c r="BF3199" s="0" t="b">
        <v>0</v>
      </c>
      <c r="BG3199" s="0" t="b">
        <v>0</v>
      </c>
      <c r="BH3199" s="0">
        <v>368</v>
      </c>
      <c r="BI3199" s="0">
        <v>368</v>
      </c>
      <c r="BJ3199" s="0" t="s">
        <v>230</v>
      </c>
    </row>
    <row r="3200">
      <c r="A3200" s="0" t="s">
        <v>3453</v>
      </c>
      <c r="B3200" s="0" t="s">
        <v>134</v>
      </c>
      <c r="C3200" s="0" t="s">
        <v>190</v>
      </c>
      <c r="D3200" s="0" t="s">
        <v>135</v>
      </c>
      <c r="E3200" s="0" t="s">
        <v>3</v>
      </c>
      <c r="F3200" s="0" t="s">
        <v>12</v>
      </c>
      <c r="G3200" s="0" t="s">
        <v>8</v>
      </c>
      <c r="H3200" s="0">
        <v>268</v>
      </c>
      <c r="I3200" s="0">
        <v>147</v>
      </c>
      <c r="J3200" s="0">
        <v>0</v>
      </c>
      <c r="K3200" s="0">
        <v>1</v>
      </c>
      <c r="L3200" s="0">
        <v>3</v>
      </c>
      <c r="M3200" s="0">
        <v>3</v>
      </c>
      <c r="N3200" s="0">
        <v>0</v>
      </c>
      <c r="O3200" s="0">
        <v>0</v>
      </c>
      <c r="P3200" s="0">
        <v>0</v>
      </c>
      <c r="R3200" s="0" t="b">
        <v>0</v>
      </c>
      <c r="S3200" s="0" t="b">
        <v>0</v>
      </c>
      <c r="T3200" s="68">
        <v>45785.6601851852</v>
      </c>
      <c r="U3200" s="68">
        <v>45799.3333333333</v>
      </c>
      <c r="V3200" s="68">
        <v>46077.6714236111</v>
      </c>
      <c r="W3200" s="0">
        <f>IF(IF(B3200="none",1,IF(B3200="Trialer",1,0))+IF(C3200="Customer",1,IF(C3200="Lost",1,0))=2,1,0)</f>
      </c>
      <c r="X3200" s="0" t="s">
        <v>153</v>
      </c>
      <c r="Y3200" s="0" t="s">
        <v>243</v>
      </c>
      <c r="AV3200" s="68"/>
      <c r="AW3200" s="68"/>
      <c r="AY3200" s="27"/>
      <c r="BD3200" s="68">
        <v>46054.1666666667</v>
      </c>
      <c r="BE3200" s="68">
        <v>46082.1666666667</v>
      </c>
      <c r="BF3200" s="0" t="b">
        <v>0</v>
      </c>
      <c r="BG3200" s="0" t="b">
        <v>0</v>
      </c>
      <c r="BH3200" s="0">
        <v>147</v>
      </c>
      <c r="BI3200" s="0">
        <v>147</v>
      </c>
      <c r="BJ3200" s="0" t="s">
        <v>135</v>
      </c>
    </row>
    <row r="3201">
      <c r="A3201" s="0" t="s">
        <v>3454</v>
      </c>
      <c r="B3201" s="0" t="s">
        <v>134</v>
      </c>
      <c r="C3201" s="0" t="s">
        <v>134</v>
      </c>
      <c r="D3201" s="0" t="s">
        <v>135</v>
      </c>
      <c r="E3201" s="0" t="s">
        <v>2</v>
      </c>
      <c r="F3201" s="0" t="s">
        <v>12</v>
      </c>
      <c r="G3201" s="0" t="s">
        <v>8</v>
      </c>
      <c r="H3201" s="0">
        <v>267</v>
      </c>
      <c r="I3201" s="0">
        <v>122</v>
      </c>
      <c r="J3201" s="0">
        <v>0</v>
      </c>
      <c r="K3201" s="0">
        <v>1</v>
      </c>
      <c r="L3201" s="0">
        <v>4</v>
      </c>
      <c r="M3201" s="0">
        <v>2</v>
      </c>
      <c r="N3201" s="0">
        <v>0</v>
      </c>
      <c r="O3201" s="0">
        <v>0</v>
      </c>
      <c r="P3201" s="0">
        <v>0</v>
      </c>
      <c r="R3201" s="0" t="b">
        <v>0</v>
      </c>
      <c r="S3201" s="0" t="b">
        <v>1</v>
      </c>
      <c r="T3201" s="68">
        <v>45786.5883796296</v>
      </c>
      <c r="U3201" s="68">
        <v>45786.3333333333</v>
      </c>
      <c r="V3201" s="68">
        <v>0</v>
      </c>
      <c r="W3201" s="0">
        <f>IF(IF(B3201="none",1,IF(B3201="Trialer",1,0))+IF(C3201="Customer",1,IF(C3201="Lost",1,0))=2,1,0)</f>
      </c>
      <c r="X3201" s="0" t="s">
        <v>145</v>
      </c>
      <c r="Y3201" s="0" t="s">
        <v>499</v>
      </c>
      <c r="AV3201" s="68"/>
      <c r="AW3201" s="68"/>
      <c r="AY3201" s="27"/>
      <c r="BD3201" s="68">
        <v>46054.1666666667</v>
      </c>
      <c r="BE3201" s="68">
        <v>46082.1666666667</v>
      </c>
      <c r="BF3201" s="0" t="b">
        <v>1</v>
      </c>
      <c r="BG3201" s="0" t="b">
        <v>1</v>
      </c>
      <c r="BH3201" s="0">
        <v>122</v>
      </c>
      <c r="BI3201" s="0">
        <v>122</v>
      </c>
      <c r="BJ3201" s="0" t="s">
        <v>135</v>
      </c>
    </row>
    <row r="3202">
      <c r="A3202" s="0" t="s">
        <v>3455</v>
      </c>
      <c r="B3202" s="0" t="s">
        <v>134</v>
      </c>
      <c r="C3202" s="0" t="s">
        <v>134</v>
      </c>
      <c r="D3202" s="0" t="s">
        <v>135</v>
      </c>
      <c r="E3202" s="0" t="s">
        <v>2</v>
      </c>
      <c r="F3202" s="0" t="s">
        <v>12</v>
      </c>
      <c r="G3202" s="0" t="s">
        <v>8</v>
      </c>
      <c r="H3202" s="0">
        <v>267</v>
      </c>
      <c r="I3202" s="0">
        <v>61</v>
      </c>
      <c r="J3202" s="0">
        <v>0</v>
      </c>
      <c r="K3202" s="0">
        <v>1</v>
      </c>
      <c r="L3202" s="0">
        <v>4</v>
      </c>
      <c r="M3202" s="0">
        <v>1</v>
      </c>
      <c r="N3202" s="0">
        <v>0</v>
      </c>
      <c r="O3202" s="0">
        <v>0</v>
      </c>
      <c r="P3202" s="0">
        <v>0</v>
      </c>
      <c r="R3202" s="0" t="b">
        <v>0</v>
      </c>
      <c r="S3202" s="0" t="b">
        <v>1</v>
      </c>
      <c r="T3202" s="68">
        <v>45786.5905324074</v>
      </c>
      <c r="U3202" s="68">
        <v>45800.3333333333</v>
      </c>
      <c r="V3202" s="68">
        <v>0</v>
      </c>
      <c r="W3202" s="0">
        <f>IF(IF(B3202="none",1,IF(B3202="Trialer",1,0))+IF(C3202="Customer",1,IF(C3202="Lost",1,0))=2,1,0)</f>
      </c>
      <c r="X3202" s="0" t="s">
        <v>153</v>
      </c>
      <c r="Y3202" s="0" t="s">
        <v>499</v>
      </c>
      <c r="AV3202" s="68"/>
      <c r="AW3202" s="68"/>
      <c r="AY3202" s="27"/>
      <c r="BD3202" s="68">
        <v>46054.1666666667</v>
      </c>
      <c r="BE3202" s="68">
        <v>46082.1666666667</v>
      </c>
      <c r="BF3202" s="0" t="b">
        <v>0</v>
      </c>
      <c r="BG3202" s="0" t="b">
        <v>0</v>
      </c>
      <c r="BH3202" s="0">
        <v>61</v>
      </c>
      <c r="BI3202" s="0">
        <v>61</v>
      </c>
      <c r="BJ3202" s="0" t="s">
        <v>135</v>
      </c>
    </row>
    <row r="3203">
      <c r="A3203" s="0" t="s">
        <v>3456</v>
      </c>
      <c r="B3203" s="0" t="s">
        <v>134</v>
      </c>
      <c r="C3203" s="0" t="s">
        <v>134</v>
      </c>
      <c r="D3203" s="0" t="s">
        <v>230</v>
      </c>
      <c r="E3203" s="0" t="s">
        <v>2</v>
      </c>
      <c r="F3203" s="0" t="s">
        <v>12</v>
      </c>
      <c r="G3203" s="0" t="s">
        <v>8</v>
      </c>
      <c r="H3203" s="0">
        <v>267</v>
      </c>
      <c r="I3203" s="0">
        <v>36</v>
      </c>
      <c r="J3203" s="0">
        <v>0</v>
      </c>
      <c r="K3203" s="0">
        <v>1</v>
      </c>
      <c r="L3203" s="0">
        <v>2</v>
      </c>
      <c r="M3203" s="0">
        <v>1</v>
      </c>
      <c r="N3203" s="0">
        <v>0</v>
      </c>
      <c r="O3203" s="0">
        <v>0</v>
      </c>
      <c r="P3203" s="0">
        <v>-36</v>
      </c>
      <c r="R3203" s="0" t="b">
        <v>0</v>
      </c>
      <c r="S3203" s="0" t="b">
        <v>1</v>
      </c>
      <c r="T3203" s="68">
        <v>45786.7852893519</v>
      </c>
      <c r="U3203" s="68">
        <v>45800.3333333333</v>
      </c>
      <c r="V3203" s="68">
        <v>0</v>
      </c>
      <c r="W3203" s="0">
        <f>IF(IF(B3203="none",1,IF(B3203="Trialer",1,0))+IF(C3203="Customer",1,IF(C3203="Lost",1,0))=2,1,0)</f>
      </c>
      <c r="X3203" s="0" t="s">
        <v>166</v>
      </c>
      <c r="Y3203" s="0" t="s">
        <v>499</v>
      </c>
      <c r="AV3203" s="68"/>
      <c r="AW3203" s="68"/>
      <c r="AY3203" s="27"/>
      <c r="BD3203" s="68">
        <v>46054.1666666667</v>
      </c>
      <c r="BE3203" s="68">
        <v>46082.1666666667</v>
      </c>
      <c r="BF3203" s="0" t="b">
        <v>0</v>
      </c>
      <c r="BG3203" s="0" t="b">
        <v>0</v>
      </c>
      <c r="BH3203" s="0">
        <v>40</v>
      </c>
      <c r="BI3203" s="0">
        <v>40</v>
      </c>
      <c r="BJ3203" s="0" t="s">
        <v>230</v>
      </c>
    </row>
    <row r="3204">
      <c r="A3204" s="0" t="s">
        <v>3457</v>
      </c>
      <c r="B3204" s="0" t="s">
        <v>134</v>
      </c>
      <c r="C3204" s="0" t="s">
        <v>134</v>
      </c>
      <c r="D3204" s="0" t="s">
        <v>135</v>
      </c>
      <c r="E3204" s="0" t="s">
        <v>2</v>
      </c>
      <c r="F3204" s="0" t="s">
        <v>12</v>
      </c>
      <c r="G3204" s="0" t="s">
        <v>8</v>
      </c>
      <c r="H3204" s="0">
        <v>266</v>
      </c>
      <c r="I3204" s="0">
        <v>101</v>
      </c>
      <c r="J3204" s="0">
        <v>0</v>
      </c>
      <c r="K3204" s="0">
        <v>1</v>
      </c>
      <c r="L3204" s="0">
        <v>4</v>
      </c>
      <c r="M3204" s="0">
        <v>2</v>
      </c>
      <c r="N3204" s="0">
        <v>0</v>
      </c>
      <c r="O3204" s="0">
        <v>0</v>
      </c>
      <c r="P3204" s="0">
        <v>0</v>
      </c>
      <c r="R3204" s="0" t="b">
        <v>0</v>
      </c>
      <c r="S3204" s="0" t="b">
        <v>1</v>
      </c>
      <c r="T3204" s="68">
        <v>45787.6968055556</v>
      </c>
      <c r="U3204" s="68">
        <v>45803.3333333333</v>
      </c>
      <c r="V3204" s="68">
        <v>0</v>
      </c>
      <c r="W3204" s="0">
        <f>IF(IF(B3204="none",1,IF(B3204="Trialer",1,0))+IF(C3204="Customer",1,IF(C3204="Lost",1,0))=2,1,0)</f>
      </c>
      <c r="X3204" s="0" t="s">
        <v>166</v>
      </c>
      <c r="Y3204" s="0" t="s">
        <v>499</v>
      </c>
      <c r="AV3204" s="68"/>
      <c r="AW3204" s="68"/>
      <c r="AY3204" s="27"/>
      <c r="BD3204" s="68">
        <v>46054.1666666667</v>
      </c>
      <c r="BE3204" s="68">
        <v>46082.1666666667</v>
      </c>
      <c r="BF3204" s="0" t="b">
        <v>0</v>
      </c>
      <c r="BG3204" s="0" t="b">
        <v>0</v>
      </c>
      <c r="BH3204" s="0">
        <v>101</v>
      </c>
      <c r="BI3204" s="0">
        <v>101</v>
      </c>
      <c r="BJ3204" s="0" t="s">
        <v>135</v>
      </c>
    </row>
    <row r="3205">
      <c r="A3205" s="0" t="s">
        <v>3458</v>
      </c>
      <c r="B3205" s="0" t="s">
        <v>134</v>
      </c>
      <c r="C3205" s="0" t="s">
        <v>134</v>
      </c>
      <c r="D3205" s="0" t="s">
        <v>135</v>
      </c>
      <c r="E3205" s="0" t="s">
        <v>3</v>
      </c>
      <c r="F3205" s="0" t="s">
        <v>12</v>
      </c>
      <c r="G3205" s="0" t="s">
        <v>8</v>
      </c>
      <c r="H3205" s="0">
        <v>266</v>
      </c>
      <c r="I3205" s="0">
        <v>556</v>
      </c>
      <c r="J3205" s="0">
        <v>0</v>
      </c>
      <c r="K3205" s="0">
        <v>1</v>
      </c>
      <c r="L3205" s="0">
        <v>3</v>
      </c>
      <c r="M3205" s="0">
        <v>6</v>
      </c>
      <c r="N3205" s="0">
        <v>0</v>
      </c>
      <c r="O3205" s="0">
        <v>0</v>
      </c>
      <c r="P3205" s="0">
        <v>0</v>
      </c>
      <c r="R3205" s="0" t="b">
        <v>0</v>
      </c>
      <c r="S3205" s="0" t="b">
        <v>1</v>
      </c>
      <c r="T3205" s="68">
        <v>45787.8609259259</v>
      </c>
      <c r="U3205" s="68">
        <v>45819.3333333333</v>
      </c>
      <c r="V3205" s="68">
        <v>0</v>
      </c>
      <c r="W3205" s="0">
        <f>IF(IF(B3205="none",1,IF(B3205="Trialer",1,0))+IF(C3205="Customer",1,IF(C3205="Lost",1,0))=2,1,0)</f>
      </c>
      <c r="X3205" s="0" t="s">
        <v>148</v>
      </c>
      <c r="Y3205" s="0" t="s">
        <v>243</v>
      </c>
      <c r="AV3205" s="68"/>
      <c r="AW3205" s="68"/>
      <c r="AY3205" s="27"/>
      <c r="BD3205" s="68">
        <v>46054.1666666667</v>
      </c>
      <c r="BE3205" s="68">
        <v>46082.1666666667</v>
      </c>
      <c r="BF3205" s="0" t="b">
        <v>0</v>
      </c>
      <c r="BG3205" s="0" t="b">
        <v>0</v>
      </c>
      <c r="BH3205" s="0">
        <v>231</v>
      </c>
      <c r="BI3205" s="0">
        <v>231</v>
      </c>
      <c r="BJ3205" s="0" t="s">
        <v>135</v>
      </c>
    </row>
    <row r="3206">
      <c r="A3206" s="0" t="s">
        <v>3459</v>
      </c>
      <c r="B3206" s="0" t="s">
        <v>134</v>
      </c>
      <c r="C3206" s="0" t="s">
        <v>134</v>
      </c>
      <c r="D3206" s="0" t="s">
        <v>230</v>
      </c>
      <c r="E3206" s="0" t="s">
        <v>3</v>
      </c>
      <c r="F3206" s="0" t="s">
        <v>12</v>
      </c>
      <c r="G3206" s="0" t="s">
        <v>8</v>
      </c>
      <c r="H3206" s="0">
        <v>266</v>
      </c>
      <c r="I3206" s="0">
        <v>187</v>
      </c>
      <c r="J3206" s="0">
        <v>0</v>
      </c>
      <c r="K3206" s="0">
        <v>1</v>
      </c>
      <c r="L3206" s="0">
        <v>5</v>
      </c>
      <c r="M3206" s="0">
        <v>4</v>
      </c>
      <c r="N3206" s="0">
        <v>0</v>
      </c>
      <c r="O3206" s="0">
        <v>0</v>
      </c>
      <c r="P3206" s="0">
        <v>2057</v>
      </c>
      <c r="R3206" s="0" t="b">
        <v>0</v>
      </c>
      <c r="S3206" s="0" t="b">
        <v>1</v>
      </c>
      <c r="T3206" s="68">
        <v>45787.951087963</v>
      </c>
      <c r="U3206" s="68">
        <v>45801.3333333333</v>
      </c>
      <c r="V3206" s="68">
        <v>0</v>
      </c>
      <c r="W3206" s="0">
        <f>IF(IF(B3206="none",1,IF(B3206="Trialer",1,0))+IF(C3206="Customer",1,IF(C3206="Lost",1,0))=2,1,0)</f>
      </c>
      <c r="X3206" s="0" t="s">
        <v>148</v>
      </c>
      <c r="Y3206" s="0" t="s">
        <v>243</v>
      </c>
      <c r="AV3206" s="68"/>
      <c r="AW3206" s="68"/>
      <c r="AY3206" s="27"/>
      <c r="BD3206" s="68">
        <v>46054.1666666667</v>
      </c>
      <c r="BE3206" s="68">
        <v>46082.1666666667</v>
      </c>
      <c r="BF3206" s="0" t="b">
        <v>0</v>
      </c>
      <c r="BG3206" s="0" t="b">
        <v>0</v>
      </c>
      <c r="BH3206" s="0">
        <v>213</v>
      </c>
      <c r="BI3206" s="0">
        <v>213</v>
      </c>
      <c r="BJ3206" s="0" t="s">
        <v>230</v>
      </c>
    </row>
    <row r="3207">
      <c r="A3207" s="0" t="s">
        <v>3460</v>
      </c>
      <c r="B3207" s="0" t="s">
        <v>134</v>
      </c>
      <c r="C3207" s="0" t="s">
        <v>134</v>
      </c>
      <c r="D3207" s="0" t="s">
        <v>135</v>
      </c>
      <c r="E3207" s="0" t="s">
        <v>3</v>
      </c>
      <c r="F3207" s="0" t="s">
        <v>12</v>
      </c>
      <c r="G3207" s="0" t="s">
        <v>8</v>
      </c>
      <c r="H3207" s="0">
        <v>264</v>
      </c>
      <c r="I3207" s="0">
        <v>89</v>
      </c>
      <c r="J3207" s="0">
        <v>0</v>
      </c>
      <c r="K3207" s="0">
        <v>1</v>
      </c>
      <c r="L3207" s="0">
        <v>3</v>
      </c>
      <c r="M3207" s="0">
        <v>2</v>
      </c>
      <c r="N3207" s="0">
        <v>0</v>
      </c>
      <c r="O3207" s="0">
        <v>0</v>
      </c>
      <c r="P3207" s="0">
        <v>0</v>
      </c>
      <c r="R3207" s="0" t="b">
        <v>0</v>
      </c>
      <c r="S3207" s="0" t="b">
        <v>1</v>
      </c>
      <c r="T3207" s="68">
        <v>45789.4075925926</v>
      </c>
      <c r="U3207" s="68">
        <v>45824.3333333333</v>
      </c>
      <c r="V3207" s="68">
        <v>0</v>
      </c>
      <c r="W3207" s="0">
        <f>IF(IF(B3207="none",1,IF(B3207="Trialer",1,0))+IF(C3207="Customer",1,IF(C3207="Lost",1,0))=2,1,0)</f>
      </c>
      <c r="X3207" s="0" t="s">
        <v>166</v>
      </c>
      <c r="Y3207" s="0" t="s">
        <v>243</v>
      </c>
      <c r="AV3207" s="68"/>
      <c r="AW3207" s="68"/>
      <c r="AY3207" s="27"/>
      <c r="BD3207" s="68">
        <v>46054.1666666667</v>
      </c>
      <c r="BE3207" s="68">
        <v>46082.1666666667</v>
      </c>
      <c r="BF3207" s="0" t="b">
        <v>0</v>
      </c>
      <c r="BG3207" s="0" t="b">
        <v>0</v>
      </c>
      <c r="BH3207" s="0">
        <v>89</v>
      </c>
      <c r="BI3207" s="0">
        <v>89</v>
      </c>
      <c r="BJ3207" s="0" t="s">
        <v>135</v>
      </c>
    </row>
    <row r="3208">
      <c r="A3208" s="0" t="s">
        <v>3461</v>
      </c>
      <c r="B3208" s="0" t="s">
        <v>134</v>
      </c>
      <c r="C3208" s="0" t="s">
        <v>134</v>
      </c>
      <c r="D3208" s="0" t="s">
        <v>135</v>
      </c>
      <c r="E3208" s="0" t="s">
        <v>3</v>
      </c>
      <c r="F3208" s="0" t="s">
        <v>12</v>
      </c>
      <c r="G3208" s="0" t="s">
        <v>8</v>
      </c>
      <c r="H3208" s="0">
        <v>264</v>
      </c>
      <c r="I3208" s="0">
        <v>257</v>
      </c>
      <c r="J3208" s="0">
        <v>0</v>
      </c>
      <c r="K3208" s="0">
        <v>1</v>
      </c>
      <c r="L3208" s="0">
        <v>4</v>
      </c>
      <c r="M3208" s="0">
        <v>5</v>
      </c>
      <c r="N3208" s="0">
        <v>0</v>
      </c>
      <c r="O3208" s="0">
        <v>0</v>
      </c>
      <c r="P3208" s="0">
        <v>0</v>
      </c>
      <c r="R3208" s="0" t="b">
        <v>0</v>
      </c>
      <c r="S3208" s="0" t="b">
        <v>1</v>
      </c>
      <c r="T3208" s="68">
        <v>45789.5785648148</v>
      </c>
      <c r="U3208" s="68">
        <v>45810.3333333333</v>
      </c>
      <c r="V3208" s="68">
        <v>0</v>
      </c>
      <c r="W3208" s="0">
        <f>IF(IF(B3208="none",1,IF(B3208="Trialer",1,0))+IF(C3208="Customer",1,IF(C3208="Lost",1,0))=2,1,0)</f>
      </c>
      <c r="X3208" s="0" t="s">
        <v>145</v>
      </c>
      <c r="Y3208" s="0" t="s">
        <v>243</v>
      </c>
      <c r="AV3208" s="68"/>
      <c r="AW3208" s="68"/>
      <c r="AY3208" s="27"/>
      <c r="BD3208" s="68">
        <v>46054.1666666667</v>
      </c>
      <c r="BE3208" s="68">
        <v>46082.1666666667</v>
      </c>
      <c r="BF3208" s="0" t="b">
        <v>0</v>
      </c>
      <c r="BG3208" s="0" t="b">
        <v>0</v>
      </c>
      <c r="BH3208" s="0">
        <v>257</v>
      </c>
      <c r="BI3208" s="0">
        <v>257</v>
      </c>
      <c r="BJ3208" s="0" t="s">
        <v>135</v>
      </c>
    </row>
    <row r="3209">
      <c r="A3209" s="0" t="s">
        <v>3462</v>
      </c>
      <c r="B3209" s="0" t="s">
        <v>134</v>
      </c>
      <c r="C3209" s="0" t="s">
        <v>134</v>
      </c>
      <c r="D3209" s="0" t="s">
        <v>135</v>
      </c>
      <c r="E3209" s="0" t="s">
        <v>3</v>
      </c>
      <c r="F3209" s="0" t="s">
        <v>12</v>
      </c>
      <c r="G3209" s="0" t="s">
        <v>8</v>
      </c>
      <c r="H3209" s="0">
        <v>264</v>
      </c>
      <c r="I3209" s="0">
        <v>49</v>
      </c>
      <c r="J3209" s="0">
        <v>0</v>
      </c>
      <c r="K3209" s="0">
        <v>1</v>
      </c>
      <c r="L3209" s="0">
        <v>3</v>
      </c>
      <c r="M3209" s="0">
        <v>1</v>
      </c>
      <c r="N3209" s="0">
        <v>0</v>
      </c>
      <c r="O3209" s="0">
        <v>0</v>
      </c>
      <c r="P3209" s="0">
        <v>0</v>
      </c>
      <c r="R3209" s="0" t="b">
        <v>0</v>
      </c>
      <c r="S3209" s="0" t="b">
        <v>1</v>
      </c>
      <c r="T3209" s="68">
        <v>45789.6903125</v>
      </c>
      <c r="U3209" s="68">
        <v>45804.3333333333</v>
      </c>
      <c r="V3209" s="68">
        <v>0</v>
      </c>
      <c r="W3209" s="0">
        <f>IF(IF(B3209="none",1,IF(B3209="Trialer",1,0))+IF(C3209="Customer",1,IF(C3209="Lost",1,0))=2,1,0)</f>
      </c>
      <c r="X3209" s="0" t="s">
        <v>153</v>
      </c>
      <c r="Y3209" s="0" t="s">
        <v>2664</v>
      </c>
      <c r="AV3209" s="68"/>
      <c r="AW3209" s="68"/>
      <c r="AY3209" s="27"/>
      <c r="BD3209" s="68">
        <v>46054.1666666667</v>
      </c>
      <c r="BE3209" s="68">
        <v>46082.1666666667</v>
      </c>
      <c r="BF3209" s="0" t="b">
        <v>0</v>
      </c>
      <c r="BG3209" s="0" t="b">
        <v>0</v>
      </c>
      <c r="BH3209" s="0">
        <v>49</v>
      </c>
      <c r="BI3209" s="0">
        <v>49</v>
      </c>
      <c r="BJ3209" s="0" t="s">
        <v>135</v>
      </c>
    </row>
    <row r="3210">
      <c r="A3210" s="0" t="s">
        <v>3463</v>
      </c>
      <c r="B3210" s="0" t="s">
        <v>134</v>
      </c>
      <c r="C3210" s="0" t="s">
        <v>134</v>
      </c>
      <c r="D3210" s="0" t="s">
        <v>230</v>
      </c>
      <c r="E3210" s="0" t="s">
        <v>3</v>
      </c>
      <c r="F3210" s="0" t="s">
        <v>12</v>
      </c>
      <c r="G3210" s="0" t="s">
        <v>8</v>
      </c>
      <c r="H3210" s="0">
        <v>263</v>
      </c>
      <c r="I3210" s="0">
        <v>90</v>
      </c>
      <c r="J3210" s="0">
        <v>0</v>
      </c>
      <c r="K3210" s="0">
        <v>1</v>
      </c>
      <c r="L3210" s="0">
        <v>2</v>
      </c>
      <c r="M3210" s="0">
        <v>3</v>
      </c>
      <c r="N3210" s="0">
        <v>0</v>
      </c>
      <c r="O3210" s="0">
        <v>0</v>
      </c>
      <c r="P3210" s="0">
        <v>-90</v>
      </c>
      <c r="R3210" s="0" t="b">
        <v>0</v>
      </c>
      <c r="S3210" s="0" t="b">
        <v>1</v>
      </c>
      <c r="T3210" s="68">
        <v>45790.5783912037</v>
      </c>
      <c r="U3210" s="68">
        <v>45810.3333333333</v>
      </c>
      <c r="V3210" s="68">
        <v>0</v>
      </c>
      <c r="W3210" s="0">
        <f>IF(IF(B3210="none",1,IF(B3210="Trialer",1,0))+IF(C3210="Customer",1,IF(C3210="Lost",1,0))=2,1,0)</f>
      </c>
      <c r="X3210" s="0" t="s">
        <v>166</v>
      </c>
      <c r="Y3210" s="0" t="s">
        <v>243</v>
      </c>
      <c r="AV3210" s="68"/>
      <c r="AW3210" s="68"/>
      <c r="AY3210" s="27"/>
      <c r="BD3210" s="68">
        <v>46054.1666666667</v>
      </c>
      <c r="BE3210" s="68">
        <v>46082.1666666667</v>
      </c>
      <c r="BF3210" s="0" t="b">
        <v>0</v>
      </c>
      <c r="BG3210" s="0" t="b">
        <v>0</v>
      </c>
      <c r="BH3210" s="0">
        <v>120</v>
      </c>
      <c r="BI3210" s="0">
        <v>120</v>
      </c>
      <c r="BJ3210" s="0" t="s">
        <v>230</v>
      </c>
    </row>
    <row r="3211">
      <c r="A3211" s="0" t="s">
        <v>3464</v>
      </c>
      <c r="B3211" s="0" t="s">
        <v>134</v>
      </c>
      <c r="C3211" s="0" t="s">
        <v>134</v>
      </c>
      <c r="D3211" s="0" t="s">
        <v>230</v>
      </c>
      <c r="E3211" s="0" t="s">
        <v>3</v>
      </c>
      <c r="F3211" s="0" t="s">
        <v>12</v>
      </c>
      <c r="G3211" s="0" t="s">
        <v>8</v>
      </c>
      <c r="H3211" s="0">
        <v>263</v>
      </c>
      <c r="I3211" s="0">
        <v>169</v>
      </c>
      <c r="J3211" s="0">
        <v>0</v>
      </c>
      <c r="K3211" s="0">
        <v>1</v>
      </c>
      <c r="L3211" s="0">
        <v>2</v>
      </c>
      <c r="M3211" s="0">
        <v>5</v>
      </c>
      <c r="N3211" s="0">
        <v>852.5</v>
      </c>
      <c r="O3211" s="0">
        <v>0</v>
      </c>
      <c r="P3211" s="0">
        <v>-169</v>
      </c>
      <c r="R3211" s="0" t="b">
        <v>0</v>
      </c>
      <c r="S3211" s="0" t="b">
        <v>1</v>
      </c>
      <c r="T3211" s="68">
        <v>45790.6152777778</v>
      </c>
      <c r="U3211" s="68">
        <v>45814.3333333333</v>
      </c>
      <c r="V3211" s="68">
        <v>0</v>
      </c>
      <c r="W3211" s="0">
        <f>IF(IF(B3211="none",1,IF(B3211="Trialer",1,0))+IF(C3211="Customer",1,IF(C3211="Lost",1,0))=2,1,0)</f>
      </c>
      <c r="X3211" s="0" t="s">
        <v>148</v>
      </c>
      <c r="Y3211" s="0" t="s">
        <v>243</v>
      </c>
      <c r="AV3211" s="68"/>
      <c r="AW3211" s="68"/>
      <c r="AY3211" s="27"/>
      <c r="BD3211" s="68">
        <v>46054.1666666667</v>
      </c>
      <c r="BE3211" s="68">
        <v>46082.1666666667</v>
      </c>
      <c r="BF3211" s="0" t="b">
        <v>0</v>
      </c>
      <c r="BG3211" s="0" t="b">
        <v>0</v>
      </c>
      <c r="BH3211" s="0">
        <v>188</v>
      </c>
      <c r="BI3211" s="0">
        <v>188</v>
      </c>
      <c r="BJ3211" s="0" t="s">
        <v>230</v>
      </c>
    </row>
    <row r="3212">
      <c r="A3212" s="0" t="s">
        <v>3465</v>
      </c>
      <c r="B3212" s="0" t="s">
        <v>134</v>
      </c>
      <c r="C3212" s="0" t="s">
        <v>134</v>
      </c>
      <c r="D3212" s="0" t="s">
        <v>230</v>
      </c>
      <c r="E3212" s="0" t="s">
        <v>3</v>
      </c>
      <c r="F3212" s="0" t="s">
        <v>12</v>
      </c>
      <c r="G3212" s="0" t="s">
        <v>8</v>
      </c>
      <c r="H3212" s="0">
        <v>263</v>
      </c>
      <c r="I3212" s="0">
        <v>54.9</v>
      </c>
      <c r="J3212" s="0">
        <v>0</v>
      </c>
      <c r="K3212" s="0">
        <v>1</v>
      </c>
      <c r="L3212" s="0">
        <v>4</v>
      </c>
      <c r="M3212" s="0">
        <v>1</v>
      </c>
      <c r="N3212" s="0">
        <v>0</v>
      </c>
      <c r="O3212" s="0">
        <v>0</v>
      </c>
      <c r="P3212" s="0">
        <v>-54.9</v>
      </c>
      <c r="R3212" s="0" t="b">
        <v>0</v>
      </c>
      <c r="S3212" s="0" t="b">
        <v>1</v>
      </c>
      <c r="T3212" s="68">
        <v>45790.6842824074</v>
      </c>
      <c r="U3212" s="68">
        <v>45804.3333333333</v>
      </c>
      <c r="V3212" s="68">
        <v>0</v>
      </c>
      <c r="W3212" s="0">
        <f>IF(IF(B3212="none",1,IF(B3212="Trialer",1,0))+IF(C3212="Customer",1,IF(C3212="Lost",1,0))=2,1,0)</f>
      </c>
      <c r="X3212" s="0" t="s">
        <v>166</v>
      </c>
      <c r="Y3212" s="0" t="s">
        <v>1792</v>
      </c>
      <c r="AV3212" s="68"/>
      <c r="AW3212" s="68"/>
      <c r="AY3212" s="27"/>
      <c r="BD3212" s="68">
        <v>46054.1666666667</v>
      </c>
      <c r="BE3212" s="68">
        <v>46082.1666666667</v>
      </c>
      <c r="BF3212" s="0" t="b">
        <v>0</v>
      </c>
      <c r="BG3212" s="0" t="b">
        <v>0</v>
      </c>
      <c r="BH3212" s="0">
        <v>61</v>
      </c>
      <c r="BI3212" s="0">
        <v>61</v>
      </c>
      <c r="BJ3212" s="0" t="s">
        <v>230</v>
      </c>
    </row>
    <row r="3213">
      <c r="A3213" s="0" t="s">
        <v>3466</v>
      </c>
      <c r="B3213" s="0" t="s">
        <v>134</v>
      </c>
      <c r="C3213" s="0" t="s">
        <v>134</v>
      </c>
      <c r="D3213" s="0" t="s">
        <v>230</v>
      </c>
      <c r="E3213" s="0" t="s">
        <v>3</v>
      </c>
      <c r="F3213" s="0" t="s">
        <v>12</v>
      </c>
      <c r="G3213" s="0" t="s">
        <v>8</v>
      </c>
      <c r="H3213" s="0">
        <v>263</v>
      </c>
      <c r="I3213" s="0">
        <v>36</v>
      </c>
      <c r="J3213" s="0">
        <v>0</v>
      </c>
      <c r="K3213" s="0">
        <v>1</v>
      </c>
      <c r="L3213" s="0">
        <v>2</v>
      </c>
      <c r="M3213" s="0">
        <v>1</v>
      </c>
      <c r="N3213" s="0">
        <v>0</v>
      </c>
      <c r="O3213" s="0">
        <v>0</v>
      </c>
      <c r="P3213" s="0">
        <v>-36</v>
      </c>
      <c r="R3213" s="0" t="b">
        <v>0</v>
      </c>
      <c r="S3213" s="0" t="b">
        <v>1</v>
      </c>
      <c r="T3213" s="68">
        <v>45790.701712963</v>
      </c>
      <c r="U3213" s="68">
        <v>45810.3333333333</v>
      </c>
      <c r="V3213" s="68">
        <v>0</v>
      </c>
      <c r="W3213" s="0">
        <f>IF(IF(B3213="none",1,IF(B3213="Trialer",1,0))+IF(C3213="Customer",1,IF(C3213="Lost",1,0))=2,1,0)</f>
      </c>
      <c r="X3213" s="0" t="s">
        <v>166</v>
      </c>
      <c r="Y3213" s="0" t="s">
        <v>243</v>
      </c>
      <c r="AV3213" s="68"/>
      <c r="AW3213" s="68"/>
      <c r="AY3213" s="27"/>
      <c r="BD3213" s="68">
        <v>46054.1666666667</v>
      </c>
      <c r="BE3213" s="68">
        <v>46082.1666666667</v>
      </c>
      <c r="BF3213" s="0" t="b">
        <v>0</v>
      </c>
      <c r="BG3213" s="0" t="b">
        <v>0</v>
      </c>
      <c r="BH3213" s="0">
        <v>40</v>
      </c>
      <c r="BI3213" s="0">
        <v>40</v>
      </c>
      <c r="BJ3213" s="0" t="s">
        <v>230</v>
      </c>
    </row>
    <row r="3214">
      <c r="A3214" s="0" t="s">
        <v>3467</v>
      </c>
      <c r="B3214" s="0" t="s">
        <v>134</v>
      </c>
      <c r="C3214" s="0" t="s">
        <v>134</v>
      </c>
      <c r="D3214" s="0" t="s">
        <v>230</v>
      </c>
      <c r="E3214" s="0" t="s">
        <v>3</v>
      </c>
      <c r="F3214" s="0" t="s">
        <v>12</v>
      </c>
      <c r="G3214" s="0" t="s">
        <v>8</v>
      </c>
      <c r="H3214" s="0">
        <v>262</v>
      </c>
      <c r="I3214" s="0">
        <v>379</v>
      </c>
      <c r="J3214" s="0">
        <v>0</v>
      </c>
      <c r="K3214" s="0">
        <v>1</v>
      </c>
      <c r="L3214" s="0">
        <v>4</v>
      </c>
      <c r="M3214" s="0">
        <v>1</v>
      </c>
      <c r="N3214" s="0">
        <v>0</v>
      </c>
      <c r="O3214" s="0">
        <v>0</v>
      </c>
      <c r="P3214" s="0">
        <v>-54</v>
      </c>
      <c r="R3214" s="0" t="b">
        <v>0</v>
      </c>
      <c r="S3214" s="0" t="b">
        <v>1</v>
      </c>
      <c r="T3214" s="68">
        <v>45791.4397222222</v>
      </c>
      <c r="U3214" s="68">
        <v>45805.3333333333</v>
      </c>
      <c r="V3214" s="68">
        <v>0</v>
      </c>
      <c r="W3214" s="0">
        <f>IF(IF(B3214="none",1,IF(B3214="Trialer",1,0))+IF(C3214="Customer",1,IF(C3214="Lost",1,0))=2,1,0)</f>
      </c>
      <c r="X3214" s="0" t="s">
        <v>145</v>
      </c>
      <c r="Y3214" s="0" t="s">
        <v>243</v>
      </c>
      <c r="AV3214" s="68"/>
      <c r="AW3214" s="68"/>
      <c r="AY3214" s="27"/>
      <c r="BD3214" s="68">
        <v>46054.1666666667</v>
      </c>
      <c r="BE3214" s="68">
        <v>46082.1666666667</v>
      </c>
      <c r="BF3214" s="0" t="b">
        <v>0</v>
      </c>
      <c r="BG3214" s="0" t="b">
        <v>0</v>
      </c>
      <c r="BH3214" s="0">
        <v>61</v>
      </c>
      <c r="BI3214" s="0">
        <v>61</v>
      </c>
      <c r="BJ3214" s="0" t="s">
        <v>230</v>
      </c>
    </row>
    <row r="3215">
      <c r="A3215" s="0" t="s">
        <v>3468</v>
      </c>
      <c r="B3215" s="0" t="s">
        <v>134</v>
      </c>
      <c r="C3215" s="0" t="s">
        <v>134</v>
      </c>
      <c r="D3215" s="0" t="s">
        <v>135</v>
      </c>
      <c r="E3215" s="0" t="s">
        <v>3</v>
      </c>
      <c r="F3215" s="0" t="s">
        <v>12</v>
      </c>
      <c r="G3215" s="0" t="s">
        <v>8</v>
      </c>
      <c r="H3215" s="0">
        <v>261</v>
      </c>
      <c r="I3215" s="0">
        <v>534</v>
      </c>
      <c r="J3215" s="0">
        <v>0</v>
      </c>
      <c r="K3215" s="0">
        <v>1</v>
      </c>
      <c r="L3215" s="0">
        <v>4</v>
      </c>
      <c r="M3215" s="0">
        <v>5</v>
      </c>
      <c r="N3215" s="0">
        <v>0</v>
      </c>
      <c r="O3215" s="0">
        <v>0</v>
      </c>
      <c r="P3215" s="0">
        <v>0</v>
      </c>
      <c r="R3215" s="0" t="b">
        <v>0</v>
      </c>
      <c r="S3215" s="0" t="b">
        <v>1</v>
      </c>
      <c r="T3215" s="68">
        <v>45792.48125</v>
      </c>
      <c r="U3215" s="68">
        <v>45810.3333333333</v>
      </c>
      <c r="V3215" s="68">
        <v>0</v>
      </c>
      <c r="W3215" s="0">
        <f>IF(IF(B3215="none",1,IF(B3215="Trialer",1,0))+IF(C3215="Customer",1,IF(C3215="Lost",1,0))=2,1,0)</f>
      </c>
      <c r="X3215" s="0" t="s">
        <v>145</v>
      </c>
      <c r="Y3215" s="0" t="s">
        <v>243</v>
      </c>
      <c r="AV3215" s="68"/>
      <c r="AW3215" s="68"/>
      <c r="AY3215" s="27"/>
      <c r="BD3215" s="68">
        <v>46054.1666666667</v>
      </c>
      <c r="BE3215" s="68">
        <v>46082.1666666667</v>
      </c>
      <c r="BF3215" s="0" t="b">
        <v>0</v>
      </c>
      <c r="BG3215" s="0" t="b">
        <v>0</v>
      </c>
      <c r="BH3215" s="0">
        <v>169</v>
      </c>
      <c r="BI3215" s="0">
        <v>169</v>
      </c>
      <c r="BJ3215" s="0" t="s">
        <v>135</v>
      </c>
    </row>
    <row r="3216">
      <c r="A3216" s="0" t="s">
        <v>3469</v>
      </c>
      <c r="B3216" s="0" t="s">
        <v>134</v>
      </c>
      <c r="C3216" s="0" t="s">
        <v>134</v>
      </c>
      <c r="D3216" s="0" t="s">
        <v>230</v>
      </c>
      <c r="E3216" s="0" t="s">
        <v>3</v>
      </c>
      <c r="F3216" s="0" t="s">
        <v>12</v>
      </c>
      <c r="G3216" s="0" t="s">
        <v>8</v>
      </c>
      <c r="H3216" s="0">
        <v>261</v>
      </c>
      <c r="I3216" s="0">
        <v>118</v>
      </c>
      <c r="J3216" s="0">
        <v>0</v>
      </c>
      <c r="K3216" s="0">
        <v>1</v>
      </c>
      <c r="L3216" s="0">
        <v>5</v>
      </c>
      <c r="M3216" s="0">
        <v>2</v>
      </c>
      <c r="N3216" s="0">
        <v>0</v>
      </c>
      <c r="O3216" s="0">
        <v>0</v>
      </c>
      <c r="P3216" s="0">
        <v>-118</v>
      </c>
      <c r="R3216" s="0" t="b">
        <v>0</v>
      </c>
      <c r="S3216" s="0" t="b">
        <v>1</v>
      </c>
      <c r="T3216" s="68">
        <v>45792.5489236111</v>
      </c>
      <c r="U3216" s="68">
        <v>45807.3333333333</v>
      </c>
      <c r="V3216" s="68">
        <v>0</v>
      </c>
      <c r="W3216" s="0">
        <f>IF(IF(B3216="none",1,IF(B3216="Trialer",1,0))+IF(C3216="Customer",1,IF(C3216="Lost",1,0))=2,1,0)</f>
      </c>
      <c r="X3216" s="0" t="s">
        <v>153</v>
      </c>
      <c r="Y3216" s="0" t="s">
        <v>243</v>
      </c>
      <c r="AV3216" s="68"/>
      <c r="AW3216" s="68"/>
      <c r="AY3216" s="27"/>
      <c r="BD3216" s="68">
        <v>46054.1666666667</v>
      </c>
      <c r="BE3216" s="68">
        <v>46082.1666666667</v>
      </c>
      <c r="BF3216" s="0" t="b">
        <v>0</v>
      </c>
      <c r="BG3216" s="0" t="b">
        <v>0</v>
      </c>
      <c r="BH3216" s="0">
        <v>134</v>
      </c>
      <c r="BI3216" s="0">
        <v>134</v>
      </c>
      <c r="BJ3216" s="0" t="s">
        <v>230</v>
      </c>
    </row>
    <row r="3217">
      <c r="A3217" s="0" t="s">
        <v>3470</v>
      </c>
      <c r="B3217" s="0" t="s">
        <v>134</v>
      </c>
      <c r="C3217" s="0" t="s">
        <v>134</v>
      </c>
      <c r="D3217" s="0" t="s">
        <v>135</v>
      </c>
      <c r="E3217" s="0" t="s">
        <v>3</v>
      </c>
      <c r="F3217" s="0" t="s">
        <v>12</v>
      </c>
      <c r="G3217" s="0" t="s">
        <v>8</v>
      </c>
      <c r="H3217" s="0">
        <v>261</v>
      </c>
      <c r="I3217" s="0">
        <v>147</v>
      </c>
      <c r="J3217" s="0">
        <v>0</v>
      </c>
      <c r="K3217" s="0">
        <v>1</v>
      </c>
      <c r="L3217" s="0">
        <v>3</v>
      </c>
      <c r="M3217" s="0">
        <v>3</v>
      </c>
      <c r="N3217" s="0">
        <v>0</v>
      </c>
      <c r="O3217" s="0">
        <v>0</v>
      </c>
      <c r="P3217" s="0">
        <v>0</v>
      </c>
      <c r="R3217" s="0" t="b">
        <v>0</v>
      </c>
      <c r="S3217" s="0" t="b">
        <v>1</v>
      </c>
      <c r="T3217" s="68">
        <v>45792.6177662037</v>
      </c>
      <c r="U3217" s="68">
        <v>45806.3333333333</v>
      </c>
      <c r="V3217" s="68">
        <v>0</v>
      </c>
      <c r="W3217" s="0">
        <f>IF(IF(B3217="none",1,IF(B3217="Trialer",1,0))+IF(C3217="Customer",1,IF(C3217="Lost",1,0))=2,1,0)</f>
      </c>
      <c r="X3217" s="0" t="s">
        <v>166</v>
      </c>
      <c r="Y3217" s="0" t="s">
        <v>243</v>
      </c>
      <c r="AV3217" s="68"/>
      <c r="AW3217" s="68"/>
      <c r="AY3217" s="27"/>
      <c r="BD3217" s="68">
        <v>46054.1666666667</v>
      </c>
      <c r="BE3217" s="68">
        <v>46082.1666666667</v>
      </c>
      <c r="BF3217" s="0" t="b">
        <v>0</v>
      </c>
      <c r="BG3217" s="0" t="b">
        <v>0</v>
      </c>
      <c r="BH3217" s="0">
        <v>147</v>
      </c>
      <c r="BI3217" s="0">
        <v>147</v>
      </c>
      <c r="BJ3217" s="0" t="s">
        <v>135</v>
      </c>
    </row>
    <row r="3218">
      <c r="A3218" s="0" t="s">
        <v>3471</v>
      </c>
      <c r="B3218" s="0" t="s">
        <v>134</v>
      </c>
      <c r="C3218" s="0" t="s">
        <v>134</v>
      </c>
      <c r="D3218" s="0" t="s">
        <v>135</v>
      </c>
      <c r="E3218" s="0" t="s">
        <v>3</v>
      </c>
      <c r="F3218" s="0" t="s">
        <v>12</v>
      </c>
      <c r="G3218" s="0" t="s">
        <v>8</v>
      </c>
      <c r="H3218" s="0">
        <v>261</v>
      </c>
      <c r="I3218" s="0">
        <v>306</v>
      </c>
      <c r="J3218" s="0">
        <v>0</v>
      </c>
      <c r="K3218" s="0">
        <v>1</v>
      </c>
      <c r="L3218" s="0">
        <v>4</v>
      </c>
      <c r="M3218" s="0">
        <v>6</v>
      </c>
      <c r="N3218" s="0">
        <v>0</v>
      </c>
      <c r="O3218" s="0">
        <v>0</v>
      </c>
      <c r="P3218" s="0">
        <v>0</v>
      </c>
      <c r="R3218" s="0" t="b">
        <v>0</v>
      </c>
      <c r="S3218" s="0" t="b">
        <v>1</v>
      </c>
      <c r="T3218" s="68">
        <v>45792.6229166667</v>
      </c>
      <c r="U3218" s="68">
        <v>45806.3333333333</v>
      </c>
      <c r="V3218" s="68">
        <v>0</v>
      </c>
      <c r="W3218" s="0">
        <f>IF(IF(B3218="none",1,IF(B3218="Trialer",1,0))+IF(C3218="Customer",1,IF(C3218="Lost",1,0))=2,1,0)</f>
      </c>
      <c r="X3218" s="0" t="s">
        <v>145</v>
      </c>
      <c r="Y3218" s="0" t="s">
        <v>243</v>
      </c>
      <c r="AV3218" s="68"/>
      <c r="AW3218" s="68"/>
      <c r="AY3218" s="27"/>
      <c r="BD3218" s="68">
        <v>46054.1666666667</v>
      </c>
      <c r="BE3218" s="68">
        <v>46082.1666666667</v>
      </c>
      <c r="BF3218" s="0" t="b">
        <v>0</v>
      </c>
      <c r="BG3218" s="0" t="b">
        <v>0</v>
      </c>
      <c r="BH3218" s="0">
        <v>306</v>
      </c>
      <c r="BI3218" s="0">
        <v>306</v>
      </c>
      <c r="BJ3218" s="0" t="s">
        <v>135</v>
      </c>
    </row>
    <row r="3219">
      <c r="A3219" s="0" t="s">
        <v>3472</v>
      </c>
      <c r="B3219" s="0" t="s">
        <v>134</v>
      </c>
      <c r="C3219" s="0" t="s">
        <v>134</v>
      </c>
      <c r="D3219" s="0" t="s">
        <v>135</v>
      </c>
      <c r="E3219" s="0" t="s">
        <v>3</v>
      </c>
      <c r="F3219" s="0" t="s">
        <v>12</v>
      </c>
      <c r="G3219" s="0" t="s">
        <v>8</v>
      </c>
      <c r="H3219" s="0">
        <v>261</v>
      </c>
      <c r="I3219" s="0">
        <v>159</v>
      </c>
      <c r="J3219" s="0">
        <v>0</v>
      </c>
      <c r="K3219" s="0">
        <v>1</v>
      </c>
      <c r="L3219" s="0">
        <v>5</v>
      </c>
      <c r="M3219" s="0">
        <v>3</v>
      </c>
      <c r="N3219" s="0">
        <v>0</v>
      </c>
      <c r="O3219" s="0">
        <v>0</v>
      </c>
      <c r="P3219" s="0">
        <v>0</v>
      </c>
      <c r="R3219" s="0" t="b">
        <v>0</v>
      </c>
      <c r="S3219" s="0" t="b">
        <v>1</v>
      </c>
      <c r="T3219" s="68">
        <v>45792.6769907407</v>
      </c>
      <c r="U3219" s="68">
        <v>45811.3333333333</v>
      </c>
      <c r="V3219" s="68">
        <v>0</v>
      </c>
      <c r="W3219" s="0">
        <f>IF(IF(B3219="none",1,IF(B3219="Trialer",1,0))+IF(C3219="Customer",1,IF(C3219="Lost",1,0))=2,1,0)</f>
      </c>
      <c r="X3219" s="0" t="s">
        <v>142</v>
      </c>
      <c r="Y3219" s="0" t="s">
        <v>243</v>
      </c>
      <c r="AV3219" s="68"/>
      <c r="AW3219" s="68"/>
      <c r="AY3219" s="27"/>
      <c r="BD3219" s="68">
        <v>46054.1666666667</v>
      </c>
      <c r="BE3219" s="68">
        <v>46082.1666666667</v>
      </c>
      <c r="BF3219" s="0" t="b">
        <v>0</v>
      </c>
      <c r="BG3219" s="0" t="b">
        <v>0</v>
      </c>
      <c r="BH3219" s="0">
        <v>159</v>
      </c>
      <c r="BI3219" s="0">
        <v>159</v>
      </c>
      <c r="BJ3219" s="0" t="s">
        <v>135</v>
      </c>
    </row>
    <row r="3220">
      <c r="A3220" s="0" t="s">
        <v>3473</v>
      </c>
      <c r="B3220" s="0" t="s">
        <v>134</v>
      </c>
      <c r="C3220" s="0" t="s">
        <v>134</v>
      </c>
      <c r="D3220" s="0" t="s">
        <v>135</v>
      </c>
      <c r="E3220" s="0" t="s">
        <v>3</v>
      </c>
      <c r="F3220" s="0" t="s">
        <v>12</v>
      </c>
      <c r="G3220" s="0" t="s">
        <v>8</v>
      </c>
      <c r="H3220" s="0">
        <v>260</v>
      </c>
      <c r="I3220" s="0">
        <v>49</v>
      </c>
      <c r="J3220" s="0">
        <v>0</v>
      </c>
      <c r="K3220" s="0">
        <v>1</v>
      </c>
      <c r="L3220" s="0">
        <v>3</v>
      </c>
      <c r="M3220" s="0">
        <v>1</v>
      </c>
      <c r="N3220" s="0">
        <v>0</v>
      </c>
      <c r="O3220" s="0">
        <v>0</v>
      </c>
      <c r="P3220" s="0">
        <v>0</v>
      </c>
      <c r="R3220" s="0" t="b">
        <v>0</v>
      </c>
      <c r="S3220" s="0" t="b">
        <v>0</v>
      </c>
      <c r="T3220" s="68">
        <v>45793.4805555556</v>
      </c>
      <c r="U3220" s="68">
        <v>45807.3333333333</v>
      </c>
      <c r="V3220" s="68">
        <v>46083.4990046296</v>
      </c>
      <c r="W3220" s="0">
        <f>IF(IF(B3220="none",1,IF(B3220="Trialer",1,0))+IF(C3220="Customer",1,IF(C3220="Lost",1,0))=2,1,0)</f>
      </c>
      <c r="X3220" s="0" t="s">
        <v>148</v>
      </c>
      <c r="Y3220" s="0" t="s">
        <v>243</v>
      </c>
      <c r="AV3220" s="68"/>
      <c r="AW3220" s="68"/>
      <c r="AY3220" s="27"/>
      <c r="BD3220" s="68">
        <v>46054.1666666667</v>
      </c>
      <c r="BE3220" s="68">
        <v>46082.1666666667</v>
      </c>
      <c r="BF3220" s="0" t="b">
        <v>0</v>
      </c>
      <c r="BG3220" s="0" t="b">
        <v>0</v>
      </c>
      <c r="BH3220" s="0">
        <v>49</v>
      </c>
      <c r="BI3220" s="0">
        <v>49</v>
      </c>
      <c r="BJ3220" s="0" t="s">
        <v>135</v>
      </c>
    </row>
    <row r="3221">
      <c r="A3221" s="0" t="s">
        <v>3474</v>
      </c>
      <c r="B3221" s="0" t="s">
        <v>134</v>
      </c>
      <c r="C3221" s="0" t="s">
        <v>134</v>
      </c>
      <c r="D3221" s="0" t="s">
        <v>135</v>
      </c>
      <c r="E3221" s="0" t="s">
        <v>3</v>
      </c>
      <c r="F3221" s="0" t="s">
        <v>12</v>
      </c>
      <c r="G3221" s="0" t="s">
        <v>8</v>
      </c>
      <c r="H3221" s="0">
        <v>260</v>
      </c>
      <c r="I3221" s="0">
        <v>356</v>
      </c>
      <c r="J3221" s="0">
        <v>0</v>
      </c>
      <c r="K3221" s="0">
        <v>1</v>
      </c>
      <c r="L3221" s="0">
        <v>3</v>
      </c>
      <c r="M3221" s="0">
        <v>8</v>
      </c>
      <c r="N3221" s="0">
        <v>0</v>
      </c>
      <c r="O3221" s="0">
        <v>0</v>
      </c>
      <c r="P3221" s="0">
        <v>0</v>
      </c>
      <c r="R3221" s="0" t="b">
        <v>0</v>
      </c>
      <c r="S3221" s="0" t="b">
        <v>1</v>
      </c>
      <c r="T3221" s="68">
        <v>45793.5169907407</v>
      </c>
      <c r="U3221" s="68">
        <v>45807.3333333333</v>
      </c>
      <c r="V3221" s="68">
        <v>0</v>
      </c>
      <c r="W3221" s="0">
        <f>IF(IF(B3221="none",1,IF(B3221="Trialer",1,0))+IF(C3221="Customer",1,IF(C3221="Lost",1,0))=2,1,0)</f>
      </c>
      <c r="X3221" s="0" t="s">
        <v>148</v>
      </c>
      <c r="Y3221" s="0" t="s">
        <v>243</v>
      </c>
      <c r="AV3221" s="68"/>
      <c r="AW3221" s="68"/>
      <c r="AY3221" s="27"/>
      <c r="BD3221" s="68">
        <v>46054.1666666667</v>
      </c>
      <c r="BE3221" s="68">
        <v>46082.1666666667</v>
      </c>
      <c r="BF3221" s="0" t="b">
        <v>0</v>
      </c>
      <c r="BG3221" s="0" t="b">
        <v>0</v>
      </c>
      <c r="BH3221" s="0">
        <v>356</v>
      </c>
      <c r="BI3221" s="0">
        <v>356</v>
      </c>
      <c r="BJ3221" s="0" t="s">
        <v>135</v>
      </c>
    </row>
    <row r="3222">
      <c r="A3222" s="0" t="s">
        <v>3475</v>
      </c>
      <c r="B3222" s="0" t="s">
        <v>134</v>
      </c>
      <c r="C3222" s="0" t="s">
        <v>190</v>
      </c>
      <c r="D3222" s="0" t="s">
        <v>135</v>
      </c>
      <c r="E3222" s="0" t="s">
        <v>2</v>
      </c>
      <c r="F3222" s="0" t="s">
        <v>12</v>
      </c>
      <c r="G3222" s="0" t="s">
        <v>8</v>
      </c>
      <c r="H3222" s="0">
        <v>260</v>
      </c>
      <c r="I3222" s="0">
        <v>0</v>
      </c>
      <c r="J3222" s="0">
        <v>0</v>
      </c>
      <c r="K3222" s="0">
        <v>0</v>
      </c>
      <c r="L3222" s="0">
        <v>0</v>
      </c>
      <c r="M3222" s="0">
        <v>0</v>
      </c>
      <c r="N3222" s="0">
        <v>0</v>
      </c>
      <c r="O3222" s="0">
        <v>0</v>
      </c>
      <c r="P3222" s="0">
        <v>0</v>
      </c>
      <c r="R3222" s="0" t="b">
        <v>0</v>
      </c>
      <c r="S3222" s="0" t="b">
        <v>0</v>
      </c>
      <c r="T3222" s="68">
        <v>45793.6207175926</v>
      </c>
      <c r="U3222" s="68">
        <v>45821.3333333333</v>
      </c>
      <c r="V3222" s="68">
        <v>46071.6321180556</v>
      </c>
      <c r="W3222" s="0">
        <f>IF(IF(B3222="none",1,IF(B3222="Trialer",1,0))+IF(C3222="Customer",1,IF(C3222="Lost",1,0))=2,1,0)</f>
      </c>
      <c r="X3222" s="0" t="s">
        <v>136</v>
      </c>
      <c r="Y3222" s="0" t="s">
        <v>499</v>
      </c>
      <c r="AV3222" s="68"/>
      <c r="AW3222" s="68"/>
      <c r="AY3222" s="27"/>
      <c r="BD3222" s="68">
        <v>46054.1666666667</v>
      </c>
      <c r="BE3222" s="68">
        <v>46082.1666666667</v>
      </c>
      <c r="BF3222" s="0" t="b">
        <v>0</v>
      </c>
      <c r="BG3222" s="0" t="b">
        <v>0</v>
      </c>
      <c r="BH3222" s="0">
        <v>73</v>
      </c>
      <c r="BI3222" s="0">
        <v>73</v>
      </c>
      <c r="BJ3222" s="0" t="s">
        <v>135</v>
      </c>
    </row>
    <row r="3223">
      <c r="A3223" s="0" t="s">
        <v>3476</v>
      </c>
      <c r="B3223" s="0" t="s">
        <v>134</v>
      </c>
      <c r="C3223" s="0" t="s">
        <v>134</v>
      </c>
      <c r="D3223" s="0" t="s">
        <v>135</v>
      </c>
      <c r="E3223" s="0" t="s">
        <v>3</v>
      </c>
      <c r="F3223" s="0" t="s">
        <v>12</v>
      </c>
      <c r="G3223" s="0" t="s">
        <v>8</v>
      </c>
      <c r="H3223" s="0">
        <v>260</v>
      </c>
      <c r="I3223" s="0">
        <v>349</v>
      </c>
      <c r="J3223" s="0">
        <v>0</v>
      </c>
      <c r="K3223" s="0">
        <v>1</v>
      </c>
      <c r="L3223" s="0">
        <v>4</v>
      </c>
      <c r="M3223" s="0">
        <v>7</v>
      </c>
      <c r="N3223" s="0">
        <v>0</v>
      </c>
      <c r="O3223" s="0">
        <v>0</v>
      </c>
      <c r="P3223" s="0">
        <v>0</v>
      </c>
      <c r="R3223" s="0" t="b">
        <v>0</v>
      </c>
      <c r="S3223" s="0" t="b">
        <v>1</v>
      </c>
      <c r="T3223" s="68">
        <v>45793.6469675926</v>
      </c>
      <c r="U3223" s="68">
        <v>45807.3333333333</v>
      </c>
      <c r="V3223" s="68">
        <v>0</v>
      </c>
      <c r="W3223" s="0">
        <f>IF(IF(B3223="none",1,IF(B3223="Trialer",1,0))+IF(C3223="Customer",1,IF(C3223="Lost",1,0))=2,1,0)</f>
      </c>
      <c r="X3223" s="0" t="s">
        <v>145</v>
      </c>
      <c r="Y3223" s="0" t="s">
        <v>243</v>
      </c>
      <c r="AV3223" s="68"/>
      <c r="AW3223" s="68"/>
      <c r="AY3223" s="27"/>
      <c r="BD3223" s="68">
        <v>46054.1666666667</v>
      </c>
      <c r="BE3223" s="68">
        <v>46082.1666666667</v>
      </c>
      <c r="BF3223" s="0" t="b">
        <v>0</v>
      </c>
      <c r="BG3223" s="0" t="b">
        <v>0</v>
      </c>
      <c r="BH3223" s="0">
        <v>300</v>
      </c>
      <c r="BI3223" s="0">
        <v>300</v>
      </c>
      <c r="BJ3223" s="0" t="s">
        <v>135</v>
      </c>
    </row>
    <row r="3224">
      <c r="A3224" s="0" t="s">
        <v>3477</v>
      </c>
      <c r="B3224" s="0" t="s">
        <v>134</v>
      </c>
      <c r="C3224" s="0" t="s">
        <v>134</v>
      </c>
      <c r="D3224" s="0" t="s">
        <v>135</v>
      </c>
      <c r="E3224" s="0" t="s">
        <v>3</v>
      </c>
      <c r="F3224" s="0" t="s">
        <v>12</v>
      </c>
      <c r="G3224" s="0" t="s">
        <v>8</v>
      </c>
      <c r="H3224" s="0">
        <v>258</v>
      </c>
      <c r="I3224" s="0">
        <v>79</v>
      </c>
      <c r="J3224" s="0">
        <v>0</v>
      </c>
      <c r="K3224" s="0">
        <v>1</v>
      </c>
      <c r="L3224" s="0">
        <v>4</v>
      </c>
      <c r="M3224" s="0">
        <v>2</v>
      </c>
      <c r="N3224" s="0">
        <v>0</v>
      </c>
      <c r="O3224" s="0">
        <v>0</v>
      </c>
      <c r="P3224" s="0">
        <v>0</v>
      </c>
      <c r="R3224" s="0" t="b">
        <v>0</v>
      </c>
      <c r="S3224" s="0" t="b">
        <v>1</v>
      </c>
      <c r="T3224" s="68">
        <v>45795.057025463</v>
      </c>
      <c r="U3224" s="68">
        <v>45809.3333333333</v>
      </c>
      <c r="V3224" s="68">
        <v>0</v>
      </c>
      <c r="W3224" s="0">
        <f>IF(IF(B3224="none",1,IF(B3224="Trialer",1,0))+IF(C3224="Customer",1,IF(C3224="Lost",1,0))=2,1,0)</f>
      </c>
      <c r="X3224" s="0" t="s">
        <v>142</v>
      </c>
      <c r="Y3224" s="0" t="s">
        <v>243</v>
      </c>
      <c r="AV3224" s="68"/>
      <c r="AW3224" s="68"/>
      <c r="AY3224" s="27"/>
      <c r="BD3224" s="68">
        <v>46054.1666666667</v>
      </c>
      <c r="BE3224" s="68">
        <v>46082.1666666667</v>
      </c>
      <c r="BF3224" s="0" t="b">
        <v>0</v>
      </c>
      <c r="BG3224" s="0" t="b">
        <v>0</v>
      </c>
      <c r="BH3224" s="0">
        <v>79</v>
      </c>
      <c r="BI3224" s="0">
        <v>79</v>
      </c>
      <c r="BJ3224" s="0" t="s">
        <v>135</v>
      </c>
    </row>
    <row r="3225">
      <c r="A3225" s="0" t="s">
        <v>3478</v>
      </c>
      <c r="B3225" s="0" t="s">
        <v>134</v>
      </c>
      <c r="C3225" s="0" t="s">
        <v>134</v>
      </c>
      <c r="D3225" s="0" t="s">
        <v>135</v>
      </c>
      <c r="E3225" s="0" t="s">
        <v>2</v>
      </c>
      <c r="F3225" s="0" t="s">
        <v>12</v>
      </c>
      <c r="G3225" s="0" t="s">
        <v>8</v>
      </c>
      <c r="H3225" s="0">
        <v>258</v>
      </c>
      <c r="I3225" s="0">
        <v>202</v>
      </c>
      <c r="J3225" s="0">
        <v>0</v>
      </c>
      <c r="K3225" s="0">
        <v>1</v>
      </c>
      <c r="L3225" s="0">
        <v>4</v>
      </c>
      <c r="M3225" s="0">
        <v>4</v>
      </c>
      <c r="N3225" s="0">
        <v>0</v>
      </c>
      <c r="O3225" s="0">
        <v>0</v>
      </c>
      <c r="P3225" s="0">
        <v>0</v>
      </c>
      <c r="R3225" s="0" t="b">
        <v>0</v>
      </c>
      <c r="S3225" s="0" t="b">
        <v>1</v>
      </c>
      <c r="T3225" s="68">
        <v>45795.6947916667</v>
      </c>
      <c r="U3225" s="68">
        <v>45809.3333333333</v>
      </c>
      <c r="V3225" s="68">
        <v>0</v>
      </c>
      <c r="W3225" s="0">
        <f>IF(IF(B3225="none",1,IF(B3225="Trialer",1,0))+IF(C3225="Customer",1,IF(C3225="Lost",1,0))=2,1,0)</f>
      </c>
      <c r="X3225" s="0" t="s">
        <v>148</v>
      </c>
      <c r="Y3225" s="0" t="s">
        <v>499</v>
      </c>
      <c r="AV3225" s="68"/>
      <c r="AW3225" s="68"/>
      <c r="AY3225" s="27"/>
      <c r="BD3225" s="68">
        <v>46054.1666666667</v>
      </c>
      <c r="BE3225" s="68">
        <v>46082.1666666667</v>
      </c>
      <c r="BF3225" s="0" t="b">
        <v>0</v>
      </c>
      <c r="BG3225" s="0" t="b">
        <v>0</v>
      </c>
      <c r="BH3225" s="0">
        <v>214</v>
      </c>
      <c r="BI3225" s="0">
        <v>214</v>
      </c>
      <c r="BJ3225" s="0" t="s">
        <v>135</v>
      </c>
    </row>
    <row r="3226">
      <c r="A3226" s="0" t="s">
        <v>3479</v>
      </c>
      <c r="B3226" s="0" t="s">
        <v>134</v>
      </c>
      <c r="C3226" s="0" t="s">
        <v>134</v>
      </c>
      <c r="D3226" s="0" t="s">
        <v>230</v>
      </c>
      <c r="E3226" s="0" t="s">
        <v>3</v>
      </c>
      <c r="F3226" s="0" t="s">
        <v>12</v>
      </c>
      <c r="G3226" s="0" t="s">
        <v>8</v>
      </c>
      <c r="H3226" s="0">
        <v>257</v>
      </c>
      <c r="I3226" s="0">
        <v>54</v>
      </c>
      <c r="J3226" s="0">
        <v>0</v>
      </c>
      <c r="K3226" s="0">
        <v>1</v>
      </c>
      <c r="L3226" s="0">
        <v>4</v>
      </c>
      <c r="M3226" s="0">
        <v>1</v>
      </c>
      <c r="N3226" s="0">
        <v>0</v>
      </c>
      <c r="O3226" s="0">
        <v>0</v>
      </c>
      <c r="P3226" s="0">
        <v>-54</v>
      </c>
      <c r="R3226" s="0" t="b">
        <v>0</v>
      </c>
      <c r="S3226" s="0" t="b">
        <v>1</v>
      </c>
      <c r="T3226" s="68">
        <v>45796.4654050926</v>
      </c>
      <c r="U3226" s="68">
        <v>45810.3333333333</v>
      </c>
      <c r="V3226" s="68">
        <v>0</v>
      </c>
      <c r="W3226" s="0">
        <f>IF(IF(B3226="none",1,IF(B3226="Trialer",1,0))+IF(C3226="Customer",1,IF(C3226="Lost",1,0))=2,1,0)</f>
      </c>
      <c r="X3226" s="0" t="s">
        <v>153</v>
      </c>
      <c r="Y3226" s="0" t="s">
        <v>243</v>
      </c>
      <c r="AV3226" s="68"/>
      <c r="AW3226" s="68"/>
      <c r="AY3226" s="27"/>
      <c r="BD3226" s="68">
        <v>46054.1666666667</v>
      </c>
      <c r="BE3226" s="68">
        <v>46082.1666666667</v>
      </c>
      <c r="BF3226" s="0" t="b">
        <v>0</v>
      </c>
      <c r="BG3226" s="0" t="b">
        <v>0</v>
      </c>
      <c r="BH3226" s="0">
        <v>61</v>
      </c>
      <c r="BI3226" s="0">
        <v>61</v>
      </c>
      <c r="BJ3226" s="0" t="s">
        <v>230</v>
      </c>
    </row>
    <row r="3227">
      <c r="A3227" s="0" t="s">
        <v>3480</v>
      </c>
      <c r="B3227" s="0" t="s">
        <v>134</v>
      </c>
      <c r="C3227" s="0" t="s">
        <v>134</v>
      </c>
      <c r="D3227" s="0" t="s">
        <v>135</v>
      </c>
      <c r="E3227" s="0" t="s">
        <v>3</v>
      </c>
      <c r="F3227" s="0" t="s">
        <v>12</v>
      </c>
      <c r="G3227" s="0" t="s">
        <v>8</v>
      </c>
      <c r="H3227" s="0">
        <v>257</v>
      </c>
      <c r="I3227" s="0">
        <v>202</v>
      </c>
      <c r="J3227" s="0">
        <v>0</v>
      </c>
      <c r="K3227" s="0">
        <v>1</v>
      </c>
      <c r="L3227" s="0">
        <v>4</v>
      </c>
      <c r="M3227" s="0">
        <v>4</v>
      </c>
      <c r="N3227" s="0">
        <v>0</v>
      </c>
      <c r="O3227" s="0">
        <v>0</v>
      </c>
      <c r="P3227" s="0">
        <v>0</v>
      </c>
      <c r="R3227" s="0" t="b">
        <v>0</v>
      </c>
      <c r="S3227" s="0" t="b">
        <v>1</v>
      </c>
      <c r="T3227" s="68">
        <v>45796.5413194444</v>
      </c>
      <c r="U3227" s="68">
        <v>45821.3333333333</v>
      </c>
      <c r="V3227" s="68">
        <v>0</v>
      </c>
      <c r="W3227" s="0">
        <f>IF(IF(B3227="none",1,IF(B3227="Trialer",1,0))+IF(C3227="Customer",1,IF(C3227="Lost",1,0))=2,1,0)</f>
      </c>
      <c r="X3227" s="0" t="s">
        <v>145</v>
      </c>
      <c r="Y3227" s="0" t="s">
        <v>243</v>
      </c>
      <c r="AV3227" s="68"/>
      <c r="AW3227" s="68"/>
      <c r="AY3227" s="27"/>
      <c r="BD3227" s="68">
        <v>46054.1666666667</v>
      </c>
      <c r="BE3227" s="68">
        <v>46082.1666666667</v>
      </c>
      <c r="BF3227" s="0" t="b">
        <v>0</v>
      </c>
      <c r="BG3227" s="0" t="b">
        <v>0</v>
      </c>
      <c r="BH3227" s="0">
        <v>202</v>
      </c>
      <c r="BI3227" s="0">
        <v>202</v>
      </c>
      <c r="BJ3227" s="0" t="s">
        <v>135</v>
      </c>
    </row>
    <row r="3228">
      <c r="A3228" s="0" t="s">
        <v>3481</v>
      </c>
      <c r="B3228" s="0" t="s">
        <v>134</v>
      </c>
      <c r="C3228" s="0" t="s">
        <v>134</v>
      </c>
      <c r="D3228" s="0" t="s">
        <v>135</v>
      </c>
      <c r="E3228" s="0" t="s">
        <v>2</v>
      </c>
      <c r="F3228" s="0" t="s">
        <v>12</v>
      </c>
      <c r="G3228" s="0" t="s">
        <v>8</v>
      </c>
      <c r="H3228" s="0">
        <v>257</v>
      </c>
      <c r="I3228" s="0">
        <v>61</v>
      </c>
      <c r="J3228" s="0">
        <v>0</v>
      </c>
      <c r="K3228" s="0">
        <v>1</v>
      </c>
      <c r="L3228" s="0">
        <v>4</v>
      </c>
      <c r="M3228" s="0">
        <v>1</v>
      </c>
      <c r="N3228" s="0">
        <v>0</v>
      </c>
      <c r="O3228" s="0">
        <v>0</v>
      </c>
      <c r="P3228" s="0">
        <v>0</v>
      </c>
      <c r="R3228" s="0" t="b">
        <v>0</v>
      </c>
      <c r="S3228" s="0" t="b">
        <v>1</v>
      </c>
      <c r="T3228" s="68">
        <v>45796.6545023148</v>
      </c>
      <c r="U3228" s="68">
        <v>45812.3333333333</v>
      </c>
      <c r="V3228" s="68">
        <v>0</v>
      </c>
      <c r="W3228" s="0">
        <f>IF(IF(B3228="none",1,IF(B3228="Trialer",1,0))+IF(C3228="Customer",1,IF(C3228="Lost",1,0))=2,1,0)</f>
      </c>
      <c r="X3228" s="0" t="s">
        <v>1461</v>
      </c>
      <c r="Y3228" s="0" t="s">
        <v>499</v>
      </c>
      <c r="AV3228" s="68"/>
      <c r="AW3228" s="68"/>
      <c r="AY3228" s="27"/>
      <c r="BD3228" s="68">
        <v>46054.1666666667</v>
      </c>
      <c r="BE3228" s="68">
        <v>46082.1666666667</v>
      </c>
      <c r="BF3228" s="0" t="b">
        <v>0</v>
      </c>
      <c r="BG3228" s="0" t="b">
        <v>0</v>
      </c>
      <c r="BH3228" s="0">
        <v>61</v>
      </c>
      <c r="BI3228" s="0">
        <v>61</v>
      </c>
      <c r="BJ3228" s="0" t="s">
        <v>135</v>
      </c>
    </row>
    <row r="3229">
      <c r="A3229" s="0" t="s">
        <v>3482</v>
      </c>
      <c r="B3229" s="0" t="s">
        <v>134</v>
      </c>
      <c r="C3229" s="0" t="s">
        <v>134</v>
      </c>
      <c r="D3229" s="0" t="s">
        <v>135</v>
      </c>
      <c r="E3229" s="0" t="s">
        <v>3</v>
      </c>
      <c r="F3229" s="0" t="s">
        <v>12</v>
      </c>
      <c r="G3229" s="0" t="s">
        <v>8</v>
      </c>
      <c r="H3229" s="0">
        <v>257</v>
      </c>
      <c r="I3229" s="0">
        <v>321</v>
      </c>
      <c r="J3229" s="0">
        <v>0</v>
      </c>
      <c r="K3229" s="0">
        <v>1</v>
      </c>
      <c r="L3229" s="0">
        <v>4</v>
      </c>
      <c r="M3229" s="0">
        <v>6</v>
      </c>
      <c r="N3229" s="0">
        <v>0</v>
      </c>
      <c r="O3229" s="0">
        <v>0</v>
      </c>
      <c r="P3229" s="0">
        <v>0</v>
      </c>
      <c r="R3229" s="0" t="b">
        <v>0</v>
      </c>
      <c r="S3229" s="0" t="b">
        <v>1</v>
      </c>
      <c r="T3229" s="68">
        <v>45796.7292708333</v>
      </c>
      <c r="U3229" s="68">
        <v>45810.3333333333</v>
      </c>
      <c r="V3229" s="68">
        <v>0</v>
      </c>
      <c r="W3229" s="0">
        <f>IF(IF(B3229="none",1,IF(B3229="Trialer",1,0))+IF(C3229="Customer",1,IF(C3229="Lost",1,0))=2,1,0)</f>
      </c>
      <c r="X3229" s="0" t="s">
        <v>148</v>
      </c>
      <c r="Y3229" s="0" t="s">
        <v>243</v>
      </c>
      <c r="AV3229" s="68"/>
      <c r="AW3229" s="68"/>
      <c r="AY3229" s="27"/>
      <c r="BD3229" s="68">
        <v>46054.1666666667</v>
      </c>
      <c r="BE3229" s="68">
        <v>46082.1666666667</v>
      </c>
      <c r="BF3229" s="0" t="b">
        <v>0</v>
      </c>
      <c r="BG3229" s="0" t="b">
        <v>0</v>
      </c>
      <c r="BH3229" s="0">
        <v>321</v>
      </c>
      <c r="BI3229" s="0">
        <v>321</v>
      </c>
      <c r="BJ3229" s="0" t="s">
        <v>135</v>
      </c>
    </row>
    <row r="3230">
      <c r="A3230" s="0" t="s">
        <v>3483</v>
      </c>
      <c r="B3230" s="0" t="s">
        <v>134</v>
      </c>
      <c r="C3230" s="0" t="s">
        <v>134</v>
      </c>
      <c r="D3230" s="0" t="s">
        <v>135</v>
      </c>
      <c r="E3230" s="0" t="s">
        <v>2</v>
      </c>
      <c r="F3230" s="0" t="s">
        <v>10</v>
      </c>
      <c r="G3230" s="0" t="s">
        <v>8</v>
      </c>
      <c r="H3230" s="0">
        <v>256</v>
      </c>
      <c r="I3230" s="0">
        <v>485</v>
      </c>
      <c r="J3230" s="0">
        <v>0</v>
      </c>
      <c r="K3230" s="0">
        <v>1</v>
      </c>
      <c r="L3230" s="0">
        <v>2</v>
      </c>
      <c r="M3230" s="0">
        <v>4</v>
      </c>
      <c r="N3230" s="0">
        <v>0</v>
      </c>
      <c r="O3230" s="0">
        <v>0</v>
      </c>
      <c r="P3230" s="0">
        <v>0</v>
      </c>
      <c r="Q3230" s="0" t="s">
        <v>756</v>
      </c>
      <c r="R3230" s="0" t="b">
        <v>0</v>
      </c>
      <c r="S3230" s="0" t="b">
        <v>1</v>
      </c>
      <c r="T3230" s="68">
        <v>45797.5684375</v>
      </c>
      <c r="U3230" s="68">
        <v>45804.3333333333</v>
      </c>
      <c r="V3230" s="68">
        <v>0</v>
      </c>
      <c r="W3230" s="0">
        <f>IF(IF(B3230="none",1,IF(B3230="Trialer",1,0))+IF(C3230="Customer",1,IF(C3230="Lost",1,0))=2,1,0)</f>
      </c>
      <c r="X3230" s="0" t="s">
        <v>136</v>
      </c>
      <c r="Y3230" s="0" t="s">
        <v>499</v>
      </c>
      <c r="AV3230" s="68"/>
      <c r="AW3230" s="68"/>
      <c r="AY3230" s="27"/>
      <c r="BD3230" s="68">
        <v>46054.1666666667</v>
      </c>
      <c r="BE3230" s="68">
        <v>46082.1666666667</v>
      </c>
      <c r="BF3230" s="0" t="b">
        <v>0</v>
      </c>
      <c r="BG3230" s="0" t="b">
        <v>0</v>
      </c>
      <c r="BH3230" s="0">
        <v>160</v>
      </c>
      <c r="BI3230" s="0">
        <v>160</v>
      </c>
      <c r="BJ3230" s="0" t="s">
        <v>135</v>
      </c>
    </row>
    <row r="3231">
      <c r="A3231" s="0" t="s">
        <v>3484</v>
      </c>
      <c r="B3231" s="0" t="s">
        <v>134</v>
      </c>
      <c r="C3231" s="0" t="s">
        <v>134</v>
      </c>
      <c r="D3231" s="0" t="s">
        <v>135</v>
      </c>
      <c r="E3231" s="0" t="s">
        <v>3</v>
      </c>
      <c r="F3231" s="0" t="s">
        <v>12</v>
      </c>
      <c r="G3231" s="0" t="s">
        <v>8</v>
      </c>
      <c r="H3231" s="0">
        <v>256</v>
      </c>
      <c r="I3231" s="0">
        <v>134</v>
      </c>
      <c r="J3231" s="0">
        <v>0</v>
      </c>
      <c r="K3231" s="0">
        <v>1</v>
      </c>
      <c r="L3231" s="0">
        <v>5</v>
      </c>
      <c r="M3231" s="0">
        <v>2</v>
      </c>
      <c r="N3231" s="0">
        <v>0</v>
      </c>
      <c r="O3231" s="0">
        <v>0</v>
      </c>
      <c r="P3231" s="0">
        <v>0</v>
      </c>
      <c r="R3231" s="0" t="b">
        <v>0</v>
      </c>
      <c r="S3231" s="0" t="b">
        <v>1</v>
      </c>
      <c r="T3231" s="68">
        <v>45797.6008449074</v>
      </c>
      <c r="U3231" s="68">
        <v>45811.3333333333</v>
      </c>
      <c r="V3231" s="68">
        <v>0</v>
      </c>
      <c r="W3231" s="0">
        <f>IF(IF(B3231="none",1,IF(B3231="Trialer",1,0))+IF(C3231="Customer",1,IF(C3231="Lost",1,0))=2,1,0)</f>
      </c>
      <c r="X3231" s="0" t="s">
        <v>153</v>
      </c>
      <c r="Y3231" s="0" t="s">
        <v>243</v>
      </c>
      <c r="AV3231" s="68"/>
      <c r="AW3231" s="68"/>
      <c r="AY3231" s="27"/>
      <c r="BD3231" s="68">
        <v>46054.1666666667</v>
      </c>
      <c r="BE3231" s="68">
        <v>46082.1666666667</v>
      </c>
      <c r="BF3231" s="0" t="b">
        <v>0</v>
      </c>
      <c r="BG3231" s="0" t="b">
        <v>0</v>
      </c>
      <c r="BH3231" s="0">
        <v>134</v>
      </c>
      <c r="BI3231" s="0">
        <v>134</v>
      </c>
      <c r="BJ3231" s="0" t="s">
        <v>135</v>
      </c>
    </row>
    <row r="3232">
      <c r="A3232" s="0" t="s">
        <v>3485</v>
      </c>
      <c r="B3232" s="0" t="s">
        <v>134</v>
      </c>
      <c r="C3232" s="0" t="s">
        <v>134</v>
      </c>
      <c r="D3232" s="0" t="s">
        <v>230</v>
      </c>
      <c r="E3232" s="0" t="s">
        <v>2</v>
      </c>
      <c r="F3232" s="0" t="s">
        <v>12</v>
      </c>
      <c r="G3232" s="0" t="s">
        <v>8</v>
      </c>
      <c r="H3232" s="0">
        <v>256</v>
      </c>
      <c r="I3232" s="0">
        <v>306.75</v>
      </c>
      <c r="J3232" s="0">
        <v>0</v>
      </c>
      <c r="K3232" s="0">
        <v>1</v>
      </c>
      <c r="L3232" s="0">
        <v>3</v>
      </c>
      <c r="M3232" s="0">
        <v>10</v>
      </c>
      <c r="N3232" s="0">
        <v>0</v>
      </c>
      <c r="O3232" s="0">
        <v>0</v>
      </c>
      <c r="P3232" s="0">
        <v>-306.75</v>
      </c>
      <c r="R3232" s="0" t="b">
        <v>0</v>
      </c>
      <c r="S3232" s="0" t="b">
        <v>1</v>
      </c>
      <c r="T3232" s="68">
        <v>45797.6767824074</v>
      </c>
      <c r="U3232" s="68">
        <v>45811.3333333333</v>
      </c>
      <c r="V3232" s="68">
        <v>0</v>
      </c>
      <c r="W3232" s="0">
        <f>IF(IF(B3232="none",1,IF(B3232="Trialer",1,0))+IF(C3232="Customer",1,IF(C3232="Lost",1,0))=2,1,0)</f>
      </c>
      <c r="X3232" s="0" t="s">
        <v>136</v>
      </c>
      <c r="Y3232" s="0" t="s">
        <v>499</v>
      </c>
      <c r="AV3232" s="68"/>
      <c r="AW3232" s="68"/>
      <c r="AY3232" s="27"/>
      <c r="BD3232" s="68">
        <v>46054.1666666667</v>
      </c>
      <c r="BE3232" s="68">
        <v>46082.1666666667</v>
      </c>
      <c r="BF3232" s="0" t="b">
        <v>0</v>
      </c>
      <c r="BG3232" s="0" t="b">
        <v>0</v>
      </c>
      <c r="BH3232" s="0">
        <v>409</v>
      </c>
      <c r="BI3232" s="0">
        <v>409</v>
      </c>
      <c r="BJ3232" s="0" t="s">
        <v>230</v>
      </c>
    </row>
    <row r="3233">
      <c r="A3233" s="0" t="s">
        <v>3486</v>
      </c>
      <c r="B3233" s="0" t="s">
        <v>134</v>
      </c>
      <c r="C3233" s="0" t="s">
        <v>134</v>
      </c>
      <c r="D3233" s="0" t="s">
        <v>230</v>
      </c>
      <c r="E3233" s="0" t="s">
        <v>2</v>
      </c>
      <c r="F3233" s="0" t="s">
        <v>12</v>
      </c>
      <c r="G3233" s="0" t="s">
        <v>8</v>
      </c>
      <c r="H3233" s="0">
        <v>256</v>
      </c>
      <c r="I3233" s="0">
        <v>35</v>
      </c>
      <c r="J3233" s="0">
        <v>0</v>
      </c>
      <c r="K3233" s="0">
        <v>1</v>
      </c>
      <c r="L3233" s="0">
        <v>2</v>
      </c>
      <c r="M3233" s="0">
        <v>1</v>
      </c>
      <c r="N3233" s="0">
        <v>0</v>
      </c>
      <c r="O3233" s="0">
        <v>0</v>
      </c>
      <c r="P3233" s="0">
        <v>-35</v>
      </c>
      <c r="R3233" s="0" t="b">
        <v>0</v>
      </c>
      <c r="S3233" s="0" t="b">
        <v>1</v>
      </c>
      <c r="T3233" s="68">
        <v>45797.7014814815</v>
      </c>
      <c r="U3233" s="68">
        <v>45813.3333333333</v>
      </c>
      <c r="V3233" s="68">
        <v>0</v>
      </c>
      <c r="W3233" s="0">
        <f>IF(IF(B3233="none",1,IF(B3233="Trialer",1,0))+IF(C3233="Customer",1,IF(C3233="Lost",1,0))=2,1,0)</f>
      </c>
      <c r="X3233" s="0" t="s">
        <v>166</v>
      </c>
      <c r="Y3233" s="0" t="s">
        <v>499</v>
      </c>
      <c r="AV3233" s="68"/>
      <c r="AW3233" s="68"/>
      <c r="AY3233" s="27"/>
      <c r="BD3233" s="68">
        <v>46054.1666666667</v>
      </c>
      <c r="BE3233" s="68">
        <v>46082.1666666667</v>
      </c>
      <c r="BF3233" s="0" t="b">
        <v>0</v>
      </c>
      <c r="BG3233" s="0" t="b">
        <v>0</v>
      </c>
      <c r="BH3233" s="0">
        <v>40</v>
      </c>
      <c r="BI3233" s="0">
        <v>40</v>
      </c>
      <c r="BJ3233" s="0" t="s">
        <v>230</v>
      </c>
    </row>
    <row r="3234">
      <c r="A3234" s="0" t="s">
        <v>3487</v>
      </c>
      <c r="B3234" s="0" t="s">
        <v>134</v>
      </c>
      <c r="C3234" s="0" t="s">
        <v>134</v>
      </c>
      <c r="D3234" s="0" t="s">
        <v>135</v>
      </c>
      <c r="E3234" s="0" t="s">
        <v>3</v>
      </c>
      <c r="F3234" s="0" t="s">
        <v>12</v>
      </c>
      <c r="G3234" s="0" t="s">
        <v>8</v>
      </c>
      <c r="H3234" s="0">
        <v>256</v>
      </c>
      <c r="I3234" s="0">
        <v>61</v>
      </c>
      <c r="J3234" s="0">
        <v>0</v>
      </c>
      <c r="K3234" s="0">
        <v>1</v>
      </c>
      <c r="L3234" s="0">
        <v>4</v>
      </c>
      <c r="M3234" s="0">
        <v>1</v>
      </c>
      <c r="N3234" s="0">
        <v>0</v>
      </c>
      <c r="O3234" s="0">
        <v>0</v>
      </c>
      <c r="P3234" s="0">
        <v>0</v>
      </c>
      <c r="R3234" s="0" t="b">
        <v>0</v>
      </c>
      <c r="S3234" s="0" t="b">
        <v>1</v>
      </c>
      <c r="T3234" s="68">
        <v>45797.715474537</v>
      </c>
      <c r="U3234" s="68">
        <v>45815.3333333333</v>
      </c>
      <c r="V3234" s="68">
        <v>0</v>
      </c>
      <c r="W3234" s="0">
        <f>IF(IF(B3234="none",1,IF(B3234="Trialer",1,0))+IF(C3234="Customer",1,IF(C3234="Lost",1,0))=2,1,0)</f>
      </c>
      <c r="X3234" s="0" t="s">
        <v>1461</v>
      </c>
      <c r="Y3234" s="0" t="s">
        <v>243</v>
      </c>
      <c r="AV3234" s="68"/>
      <c r="AW3234" s="68"/>
      <c r="AY3234" s="27"/>
      <c r="BD3234" s="68">
        <v>46054.1666666667</v>
      </c>
      <c r="BE3234" s="68">
        <v>46082.1666666667</v>
      </c>
      <c r="BF3234" s="0" t="b">
        <v>0</v>
      </c>
      <c r="BG3234" s="0" t="b">
        <v>0</v>
      </c>
      <c r="BH3234" s="0">
        <v>61</v>
      </c>
      <c r="BI3234" s="0">
        <v>61</v>
      </c>
      <c r="BJ3234" s="0" t="s">
        <v>135</v>
      </c>
    </row>
    <row r="3235">
      <c r="A3235" s="0" t="s">
        <v>3488</v>
      </c>
      <c r="B3235" s="0" t="s">
        <v>134</v>
      </c>
      <c r="C3235" s="0" t="s">
        <v>134</v>
      </c>
      <c r="D3235" s="0" t="s">
        <v>135</v>
      </c>
      <c r="E3235" s="0" t="s">
        <v>3</v>
      </c>
      <c r="F3235" s="0" t="s">
        <v>12</v>
      </c>
      <c r="G3235" s="0" t="s">
        <v>8</v>
      </c>
      <c r="H3235" s="0">
        <v>255</v>
      </c>
      <c r="I3235" s="0">
        <v>61</v>
      </c>
      <c r="J3235" s="0">
        <v>0</v>
      </c>
      <c r="K3235" s="0">
        <v>1</v>
      </c>
      <c r="L3235" s="0">
        <v>4</v>
      </c>
      <c r="M3235" s="0">
        <v>1</v>
      </c>
      <c r="N3235" s="0">
        <v>0</v>
      </c>
      <c r="O3235" s="0">
        <v>0</v>
      </c>
      <c r="P3235" s="0">
        <v>0</v>
      </c>
      <c r="R3235" s="0" t="b">
        <v>0</v>
      </c>
      <c r="S3235" s="0" t="b">
        <v>1</v>
      </c>
      <c r="T3235" s="68">
        <v>45798.4486689815</v>
      </c>
      <c r="U3235" s="68">
        <v>45812.3333333333</v>
      </c>
      <c r="V3235" s="68">
        <v>0</v>
      </c>
      <c r="W3235" s="0">
        <f>IF(IF(B3235="none",1,IF(B3235="Trialer",1,0))+IF(C3235="Customer",1,IF(C3235="Lost",1,0))=2,1,0)</f>
      </c>
      <c r="X3235" s="0" t="s">
        <v>142</v>
      </c>
      <c r="Y3235" s="0" t="s">
        <v>243</v>
      </c>
      <c r="AV3235" s="68"/>
      <c r="AW3235" s="68"/>
      <c r="AY3235" s="27"/>
      <c r="BD3235" s="68">
        <v>46054.1666666667</v>
      </c>
      <c r="BE3235" s="68">
        <v>46082.1666666667</v>
      </c>
      <c r="BF3235" s="0" t="b">
        <v>0</v>
      </c>
      <c r="BG3235" s="0" t="b">
        <v>0</v>
      </c>
      <c r="BH3235" s="0">
        <v>61</v>
      </c>
      <c r="BI3235" s="0">
        <v>61</v>
      </c>
      <c r="BJ3235" s="0" t="s">
        <v>135</v>
      </c>
    </row>
    <row r="3236">
      <c r="A3236" s="0" t="s">
        <v>3489</v>
      </c>
      <c r="B3236" s="0" t="s">
        <v>134</v>
      </c>
      <c r="C3236" s="0" t="s">
        <v>134</v>
      </c>
      <c r="D3236" s="0" t="s">
        <v>135</v>
      </c>
      <c r="E3236" s="0" t="s">
        <v>3</v>
      </c>
      <c r="F3236" s="0" t="s">
        <v>12</v>
      </c>
      <c r="G3236" s="0" t="s">
        <v>8</v>
      </c>
      <c r="H3236" s="0">
        <v>255</v>
      </c>
      <c r="I3236" s="0">
        <v>108</v>
      </c>
      <c r="J3236" s="0">
        <v>0</v>
      </c>
      <c r="K3236" s="0">
        <v>1</v>
      </c>
      <c r="L3236" s="0">
        <v>2</v>
      </c>
      <c r="M3236" s="0">
        <v>3</v>
      </c>
      <c r="N3236" s="0">
        <v>0</v>
      </c>
      <c r="O3236" s="0">
        <v>0</v>
      </c>
      <c r="P3236" s="0">
        <v>0</v>
      </c>
      <c r="R3236" s="0" t="b">
        <v>0</v>
      </c>
      <c r="S3236" s="0" t="b">
        <v>1</v>
      </c>
      <c r="T3236" s="68">
        <v>45798.5378935185</v>
      </c>
      <c r="U3236" s="68">
        <v>45820.3333333333</v>
      </c>
      <c r="V3236" s="68">
        <v>0</v>
      </c>
      <c r="W3236" s="0">
        <f>IF(IF(B3236="none",1,IF(B3236="Trialer",1,0))+IF(C3236="Customer",1,IF(C3236="Lost",1,0))=2,1,0)</f>
      </c>
      <c r="X3236" s="0" t="s">
        <v>142</v>
      </c>
      <c r="Y3236" s="0" t="s">
        <v>243</v>
      </c>
      <c r="AV3236" s="68"/>
      <c r="AW3236" s="68"/>
      <c r="AY3236" s="27"/>
      <c r="BD3236" s="68">
        <v>46054.1666666667</v>
      </c>
      <c r="BE3236" s="68">
        <v>46082.1666666667</v>
      </c>
      <c r="BF3236" s="0" t="b">
        <v>0</v>
      </c>
      <c r="BG3236" s="0" t="b">
        <v>0</v>
      </c>
      <c r="BH3236" s="0">
        <v>108</v>
      </c>
      <c r="BI3236" s="0">
        <v>108</v>
      </c>
      <c r="BJ3236" s="0" t="s">
        <v>135</v>
      </c>
    </row>
    <row r="3237">
      <c r="A3237" s="0" t="s">
        <v>3490</v>
      </c>
      <c r="B3237" s="0" t="s">
        <v>134</v>
      </c>
      <c r="C3237" s="0" t="s">
        <v>134</v>
      </c>
      <c r="D3237" s="0" t="s">
        <v>230</v>
      </c>
      <c r="E3237" s="0" t="s">
        <v>3</v>
      </c>
      <c r="F3237" s="0" t="s">
        <v>12</v>
      </c>
      <c r="G3237" s="0" t="s">
        <v>8</v>
      </c>
      <c r="H3237" s="0">
        <v>254</v>
      </c>
      <c r="I3237" s="0">
        <v>99</v>
      </c>
      <c r="J3237" s="0">
        <v>0</v>
      </c>
      <c r="K3237" s="0">
        <v>1</v>
      </c>
      <c r="L3237" s="0">
        <v>4</v>
      </c>
      <c r="M3237" s="0">
        <v>2</v>
      </c>
      <c r="N3237" s="0">
        <v>0</v>
      </c>
      <c r="O3237" s="0">
        <v>0</v>
      </c>
      <c r="P3237" s="0">
        <v>-99</v>
      </c>
      <c r="R3237" s="0" t="b">
        <v>0</v>
      </c>
      <c r="S3237" s="0" t="b">
        <v>1</v>
      </c>
      <c r="T3237" s="68">
        <v>45799.0565046296</v>
      </c>
      <c r="U3237" s="68">
        <v>45813.3333333333</v>
      </c>
      <c r="V3237" s="68">
        <v>0</v>
      </c>
      <c r="W3237" s="0">
        <f>IF(IF(B3237="none",1,IF(B3237="Trialer",1,0))+IF(C3237="Customer",1,IF(C3237="Lost",1,0))=2,1,0)</f>
      </c>
      <c r="X3237" s="0" t="s">
        <v>142</v>
      </c>
      <c r="Y3237" s="0" t="s">
        <v>243</v>
      </c>
      <c r="AV3237" s="68"/>
      <c r="AW3237" s="68"/>
      <c r="AY3237" s="27"/>
      <c r="BD3237" s="68">
        <v>46054.1666666667</v>
      </c>
      <c r="BE3237" s="68">
        <v>46082.1666666667</v>
      </c>
      <c r="BF3237" s="0" t="b">
        <v>0</v>
      </c>
      <c r="BG3237" s="0" t="b">
        <v>0</v>
      </c>
      <c r="BH3237" s="0">
        <v>110</v>
      </c>
      <c r="BI3237" s="0">
        <v>110</v>
      </c>
      <c r="BJ3237" s="0" t="s">
        <v>230</v>
      </c>
    </row>
    <row r="3238">
      <c r="A3238" s="0" t="s">
        <v>3491</v>
      </c>
      <c r="B3238" s="0" t="s">
        <v>134</v>
      </c>
      <c r="C3238" s="0" t="s">
        <v>134</v>
      </c>
      <c r="D3238" s="0" t="s">
        <v>230</v>
      </c>
      <c r="E3238" s="0" t="s">
        <v>2</v>
      </c>
      <c r="F3238" s="0" t="s">
        <v>12</v>
      </c>
      <c r="G3238" s="0" t="s">
        <v>8</v>
      </c>
      <c r="H3238" s="0">
        <v>254</v>
      </c>
      <c r="I3238" s="0">
        <v>44</v>
      </c>
      <c r="J3238" s="0">
        <v>0</v>
      </c>
      <c r="K3238" s="0">
        <v>1</v>
      </c>
      <c r="L3238" s="0">
        <v>3</v>
      </c>
      <c r="M3238" s="0">
        <v>1</v>
      </c>
      <c r="N3238" s="0">
        <v>0</v>
      </c>
      <c r="O3238" s="0">
        <v>0</v>
      </c>
      <c r="P3238" s="0">
        <v>-44</v>
      </c>
      <c r="R3238" s="0" t="b">
        <v>0</v>
      </c>
      <c r="S3238" s="0" t="b">
        <v>1</v>
      </c>
      <c r="T3238" s="68">
        <v>45799.7104166667</v>
      </c>
      <c r="U3238" s="68">
        <v>45813.3333333333</v>
      </c>
      <c r="V3238" s="68">
        <v>0</v>
      </c>
      <c r="W3238" s="0">
        <f>IF(IF(B3238="none",1,IF(B3238="Trialer",1,0))+IF(C3238="Customer",1,IF(C3238="Lost",1,0))=2,1,0)</f>
      </c>
      <c r="X3238" s="0" t="s">
        <v>153</v>
      </c>
      <c r="Y3238" s="0" t="s">
        <v>499</v>
      </c>
      <c r="AV3238" s="68"/>
      <c r="AW3238" s="68"/>
      <c r="AY3238" s="27"/>
      <c r="BD3238" s="68">
        <v>46054.1666666667</v>
      </c>
      <c r="BE3238" s="68">
        <v>46082.1666666667</v>
      </c>
      <c r="BF3238" s="0" t="b">
        <v>0</v>
      </c>
      <c r="BG3238" s="0" t="b">
        <v>0</v>
      </c>
      <c r="BH3238" s="0">
        <v>49</v>
      </c>
      <c r="BI3238" s="0">
        <v>49</v>
      </c>
      <c r="BJ3238" s="0" t="s">
        <v>230</v>
      </c>
    </row>
    <row r="3239">
      <c r="A3239" s="0" t="s">
        <v>3492</v>
      </c>
      <c r="B3239" s="0" t="s">
        <v>134</v>
      </c>
      <c r="C3239" s="0" t="s">
        <v>134</v>
      </c>
      <c r="D3239" s="0" t="s">
        <v>230</v>
      </c>
      <c r="E3239" s="0" t="s">
        <v>3</v>
      </c>
      <c r="F3239" s="0" t="s">
        <v>12</v>
      </c>
      <c r="G3239" s="0" t="s">
        <v>8</v>
      </c>
      <c r="H3239" s="0">
        <v>252</v>
      </c>
      <c r="I3239" s="0">
        <v>59.25</v>
      </c>
      <c r="J3239" s="0">
        <v>0</v>
      </c>
      <c r="K3239" s="0">
        <v>1</v>
      </c>
      <c r="L3239" s="0">
        <v>4</v>
      </c>
      <c r="M3239" s="0">
        <v>2</v>
      </c>
      <c r="N3239" s="0">
        <v>0</v>
      </c>
      <c r="O3239" s="0">
        <v>0</v>
      </c>
      <c r="P3239" s="0">
        <v>-59.25</v>
      </c>
      <c r="R3239" s="0" t="b">
        <v>0</v>
      </c>
      <c r="S3239" s="0" t="b">
        <v>1</v>
      </c>
      <c r="T3239" s="68">
        <v>45801.7769097222</v>
      </c>
      <c r="U3239" s="68">
        <v>45811.3333333333</v>
      </c>
      <c r="V3239" s="68">
        <v>0</v>
      </c>
      <c r="W3239" s="0">
        <f>IF(IF(B3239="none",1,IF(B3239="Trialer",1,0))+IF(C3239="Customer",1,IF(C3239="Lost",1,0))=2,1,0)</f>
      </c>
      <c r="X3239" s="0" t="s">
        <v>142</v>
      </c>
      <c r="Y3239" s="0" t="s">
        <v>243</v>
      </c>
      <c r="AV3239" s="68"/>
      <c r="AW3239" s="68"/>
      <c r="AY3239" s="27"/>
      <c r="BD3239" s="68">
        <v>46054.1666666667</v>
      </c>
      <c r="BE3239" s="68">
        <v>46082.1666666667</v>
      </c>
      <c r="BF3239" s="0" t="b">
        <v>0</v>
      </c>
      <c r="BG3239" s="0" t="b">
        <v>0</v>
      </c>
      <c r="BH3239" s="0">
        <v>79</v>
      </c>
      <c r="BI3239" s="0">
        <v>79</v>
      </c>
      <c r="BJ3239" s="0" t="s">
        <v>230</v>
      </c>
    </row>
    <row r="3240">
      <c r="A3240" s="0" t="s">
        <v>3493</v>
      </c>
      <c r="B3240" s="0" t="s">
        <v>134</v>
      </c>
      <c r="C3240" s="0" t="s">
        <v>190</v>
      </c>
      <c r="D3240" s="0" t="s">
        <v>135</v>
      </c>
      <c r="E3240" s="0" t="s">
        <v>3</v>
      </c>
      <c r="F3240" s="0" t="s">
        <v>12</v>
      </c>
      <c r="G3240" s="0" t="s">
        <v>8</v>
      </c>
      <c r="H3240" s="0">
        <v>252</v>
      </c>
      <c r="I3240" s="0">
        <v>49</v>
      </c>
      <c r="J3240" s="0">
        <v>0</v>
      </c>
      <c r="K3240" s="0">
        <v>1</v>
      </c>
      <c r="L3240" s="0">
        <v>3</v>
      </c>
      <c r="M3240" s="0">
        <v>1</v>
      </c>
      <c r="N3240" s="0">
        <v>0</v>
      </c>
      <c r="O3240" s="0">
        <v>0</v>
      </c>
      <c r="P3240" s="0">
        <v>0</v>
      </c>
      <c r="R3240" s="0" t="b">
        <v>0</v>
      </c>
      <c r="S3240" s="0" t="b">
        <v>0</v>
      </c>
      <c r="T3240" s="68">
        <v>45801.806087963</v>
      </c>
      <c r="U3240" s="68">
        <v>45820.3333333333</v>
      </c>
      <c r="V3240" s="68">
        <v>46060.3969907407</v>
      </c>
      <c r="W3240" s="0">
        <f>IF(IF(B3240="none",1,IF(B3240="Trialer",1,0))+IF(C3240="Customer",1,IF(C3240="Lost",1,0))=2,1,0)</f>
      </c>
      <c r="X3240" s="0" t="s">
        <v>153</v>
      </c>
      <c r="Y3240" s="0" t="s">
        <v>243</v>
      </c>
      <c r="AV3240" s="68"/>
      <c r="AW3240" s="68"/>
      <c r="AY3240" s="27"/>
      <c r="BD3240" s="68">
        <v>46054.1666666667</v>
      </c>
      <c r="BE3240" s="68">
        <v>46082.1666666667</v>
      </c>
      <c r="BF3240" s="0" t="b">
        <v>0</v>
      </c>
      <c r="BG3240" s="0" t="b">
        <v>0</v>
      </c>
      <c r="BH3240" s="0">
        <v>49</v>
      </c>
      <c r="BI3240" s="0">
        <v>49</v>
      </c>
      <c r="BJ3240" s="0" t="s">
        <v>135</v>
      </c>
    </row>
    <row r="3241">
      <c r="A3241" s="0" t="s">
        <v>3494</v>
      </c>
      <c r="B3241" s="0" t="s">
        <v>134</v>
      </c>
      <c r="C3241" s="0" t="s">
        <v>134</v>
      </c>
      <c r="D3241" s="0" t="s">
        <v>135</v>
      </c>
      <c r="E3241" s="0" t="s">
        <v>2</v>
      </c>
      <c r="F3241" s="0" t="s">
        <v>12</v>
      </c>
      <c r="G3241" s="0" t="s">
        <v>8</v>
      </c>
      <c r="H3241" s="0">
        <v>250</v>
      </c>
      <c r="I3241" s="0">
        <v>40</v>
      </c>
      <c r="J3241" s="0">
        <v>0</v>
      </c>
      <c r="K3241" s="0">
        <v>1</v>
      </c>
      <c r="L3241" s="0">
        <v>2</v>
      </c>
      <c r="M3241" s="0">
        <v>1</v>
      </c>
      <c r="N3241" s="0">
        <v>0</v>
      </c>
      <c r="O3241" s="0">
        <v>0</v>
      </c>
      <c r="P3241" s="0">
        <v>0</v>
      </c>
      <c r="R3241" s="0" t="b">
        <v>0</v>
      </c>
      <c r="S3241" s="0" t="b">
        <v>1</v>
      </c>
      <c r="T3241" s="68">
        <v>45803.6131944444</v>
      </c>
      <c r="U3241" s="68">
        <v>45818.3333333333</v>
      </c>
      <c r="V3241" s="68">
        <v>0</v>
      </c>
      <c r="W3241" s="0">
        <f>IF(IF(B3241="none",1,IF(B3241="Trialer",1,0))+IF(C3241="Customer",1,IF(C3241="Lost",1,0))=2,1,0)</f>
      </c>
      <c r="X3241" s="0" t="s">
        <v>142</v>
      </c>
      <c r="Y3241" s="0" t="s">
        <v>499</v>
      </c>
      <c r="AV3241" s="68"/>
      <c r="AW3241" s="68"/>
      <c r="AY3241" s="27"/>
      <c r="BD3241" s="68">
        <v>46054.1666666667</v>
      </c>
      <c r="BE3241" s="68">
        <v>46082.1666666667</v>
      </c>
      <c r="BF3241" s="0" t="b">
        <v>0</v>
      </c>
      <c r="BG3241" s="0" t="b">
        <v>0</v>
      </c>
      <c r="BH3241" s="0">
        <v>40</v>
      </c>
      <c r="BI3241" s="0">
        <v>40</v>
      </c>
      <c r="BJ3241" s="0" t="s">
        <v>135</v>
      </c>
    </row>
    <row r="3242">
      <c r="A3242" s="0" t="s">
        <v>3495</v>
      </c>
      <c r="B3242" s="0" t="s">
        <v>134</v>
      </c>
      <c r="C3242" s="0" t="s">
        <v>134</v>
      </c>
      <c r="D3242" s="0" t="s">
        <v>230</v>
      </c>
      <c r="E3242" s="0" t="s">
        <v>3</v>
      </c>
      <c r="F3242" s="0" t="s">
        <v>12</v>
      </c>
      <c r="G3242" s="0" t="s">
        <v>8</v>
      </c>
      <c r="H3242" s="0">
        <v>249</v>
      </c>
      <c r="I3242" s="0">
        <v>73.5</v>
      </c>
      <c r="J3242" s="0">
        <v>0</v>
      </c>
      <c r="K3242" s="0">
        <v>1</v>
      </c>
      <c r="L3242" s="0">
        <v>3</v>
      </c>
      <c r="M3242" s="0">
        <v>2</v>
      </c>
      <c r="N3242" s="0">
        <v>0</v>
      </c>
      <c r="O3242" s="0">
        <v>0</v>
      </c>
      <c r="P3242" s="0">
        <v>-73.5</v>
      </c>
      <c r="R3242" s="0" t="b">
        <v>0</v>
      </c>
      <c r="S3242" s="0" t="b">
        <v>1</v>
      </c>
      <c r="T3242" s="68">
        <v>45804.4416319444</v>
      </c>
      <c r="U3242" s="68">
        <v>45818.3333333333</v>
      </c>
      <c r="V3242" s="68">
        <v>0</v>
      </c>
      <c r="W3242" s="0">
        <f>IF(IF(B3242="none",1,IF(B3242="Trialer",1,0))+IF(C3242="Customer",1,IF(C3242="Lost",1,0))=2,1,0)</f>
      </c>
      <c r="X3242" s="0" t="s">
        <v>142</v>
      </c>
      <c r="Y3242" s="0" t="s">
        <v>243</v>
      </c>
      <c r="AV3242" s="68"/>
      <c r="AW3242" s="68"/>
      <c r="AY3242" s="27"/>
      <c r="BD3242" s="68">
        <v>46054.1666666667</v>
      </c>
      <c r="BE3242" s="68">
        <v>46082.1666666667</v>
      </c>
      <c r="BF3242" s="0" t="b">
        <v>0</v>
      </c>
      <c r="BG3242" s="0" t="b">
        <v>0</v>
      </c>
      <c r="BH3242" s="0">
        <v>98</v>
      </c>
      <c r="BI3242" s="0">
        <v>98</v>
      </c>
      <c r="BJ3242" s="0" t="s">
        <v>230</v>
      </c>
    </row>
    <row r="3243">
      <c r="A3243" s="0" t="s">
        <v>3496</v>
      </c>
      <c r="B3243" s="0" t="s">
        <v>134</v>
      </c>
      <c r="C3243" s="0" t="s">
        <v>134</v>
      </c>
      <c r="D3243" s="0" t="s">
        <v>135</v>
      </c>
      <c r="E3243" s="0" t="s">
        <v>3</v>
      </c>
      <c r="F3243" s="0" t="s">
        <v>12</v>
      </c>
      <c r="G3243" s="0" t="s">
        <v>8</v>
      </c>
      <c r="H3243" s="0">
        <v>249</v>
      </c>
      <c r="I3243" s="0">
        <v>49</v>
      </c>
      <c r="J3243" s="0">
        <v>0</v>
      </c>
      <c r="K3243" s="0">
        <v>1</v>
      </c>
      <c r="L3243" s="0">
        <v>3</v>
      </c>
      <c r="M3243" s="0">
        <v>1</v>
      </c>
      <c r="N3243" s="0">
        <v>0</v>
      </c>
      <c r="O3243" s="0">
        <v>0</v>
      </c>
      <c r="P3243" s="0">
        <v>0</v>
      </c>
      <c r="R3243" s="0" t="b">
        <v>0</v>
      </c>
      <c r="S3243" s="0" t="b">
        <v>1</v>
      </c>
      <c r="T3243" s="68">
        <v>45804.4564236111</v>
      </c>
      <c r="U3243" s="68">
        <v>45835.3333333333</v>
      </c>
      <c r="V3243" s="68">
        <v>0</v>
      </c>
      <c r="W3243" s="0">
        <f>IF(IF(B3243="none",1,IF(B3243="Trialer",1,0))+IF(C3243="Customer",1,IF(C3243="Lost",1,0))=2,1,0)</f>
      </c>
      <c r="X3243" s="0" t="s">
        <v>166</v>
      </c>
      <c r="Y3243" s="0" t="s">
        <v>243</v>
      </c>
      <c r="AV3243" s="68"/>
      <c r="AW3243" s="68"/>
      <c r="AY3243" s="27"/>
      <c r="BD3243" s="68">
        <v>46054.1666666667</v>
      </c>
      <c r="BE3243" s="68">
        <v>46082.1666666667</v>
      </c>
      <c r="BF3243" s="0" t="b">
        <v>0</v>
      </c>
      <c r="BG3243" s="0" t="b">
        <v>0</v>
      </c>
      <c r="BH3243" s="0">
        <v>49</v>
      </c>
      <c r="BI3243" s="0">
        <v>49</v>
      </c>
      <c r="BJ3243" s="0" t="s">
        <v>135</v>
      </c>
    </row>
    <row r="3244">
      <c r="A3244" s="0" t="s">
        <v>3497</v>
      </c>
      <c r="B3244" s="0" t="s">
        <v>134</v>
      </c>
      <c r="C3244" s="0" t="s">
        <v>134</v>
      </c>
      <c r="D3244" s="0" t="s">
        <v>135</v>
      </c>
      <c r="E3244" s="0" t="s">
        <v>3</v>
      </c>
      <c r="F3244" s="0" t="s">
        <v>10</v>
      </c>
      <c r="G3244" s="0" t="s">
        <v>8</v>
      </c>
      <c r="H3244" s="0">
        <v>249</v>
      </c>
      <c r="I3244" s="0">
        <v>84</v>
      </c>
      <c r="J3244" s="0">
        <v>0</v>
      </c>
      <c r="K3244" s="0">
        <v>1</v>
      </c>
      <c r="L3244" s="0">
        <v>1</v>
      </c>
      <c r="M3244" s="0">
        <v>3</v>
      </c>
      <c r="N3244" s="0">
        <v>0</v>
      </c>
      <c r="O3244" s="0">
        <v>0</v>
      </c>
      <c r="P3244" s="0">
        <v>0</v>
      </c>
      <c r="Q3244" s="0" t="s">
        <v>618</v>
      </c>
      <c r="R3244" s="0" t="b">
        <v>0</v>
      </c>
      <c r="S3244" s="0" t="b">
        <v>1</v>
      </c>
      <c r="T3244" s="68">
        <v>45804.4904166667</v>
      </c>
      <c r="U3244" s="68">
        <v>45818.3333333333</v>
      </c>
      <c r="V3244" s="68">
        <v>0</v>
      </c>
      <c r="W3244" s="0">
        <f>IF(IF(B3244="none",1,IF(B3244="Trialer",1,0))+IF(C3244="Customer",1,IF(C3244="Lost",1,0))=2,1,0)</f>
      </c>
      <c r="X3244" s="0" t="s">
        <v>148</v>
      </c>
      <c r="Y3244" s="0" t="s">
        <v>243</v>
      </c>
      <c r="AV3244" s="68"/>
      <c r="AW3244" s="68"/>
      <c r="AY3244" s="27"/>
      <c r="BD3244" s="68">
        <v>46054.1666666667</v>
      </c>
      <c r="BE3244" s="68">
        <v>46082.1666666667</v>
      </c>
      <c r="BF3244" s="0" t="b">
        <v>0</v>
      </c>
      <c r="BG3244" s="0" t="b">
        <v>0</v>
      </c>
      <c r="BH3244" s="0">
        <v>84</v>
      </c>
      <c r="BI3244" s="0">
        <v>84</v>
      </c>
      <c r="BJ3244" s="0" t="s">
        <v>135</v>
      </c>
    </row>
    <row r="3245">
      <c r="A3245" s="0" t="s">
        <v>3498</v>
      </c>
      <c r="B3245" s="0" t="s">
        <v>134</v>
      </c>
      <c r="C3245" s="0" t="s">
        <v>134</v>
      </c>
      <c r="D3245" s="0" t="s">
        <v>135</v>
      </c>
      <c r="E3245" s="0" t="s">
        <v>3</v>
      </c>
      <c r="F3245" s="0" t="s">
        <v>12</v>
      </c>
      <c r="G3245" s="0" t="s">
        <v>8</v>
      </c>
      <c r="H3245" s="0">
        <v>249</v>
      </c>
      <c r="I3245" s="0">
        <v>98</v>
      </c>
      <c r="J3245" s="0">
        <v>0</v>
      </c>
      <c r="K3245" s="0">
        <v>1</v>
      </c>
      <c r="L3245" s="0">
        <v>3</v>
      </c>
      <c r="M3245" s="0">
        <v>2</v>
      </c>
      <c r="N3245" s="0">
        <v>77.5</v>
      </c>
      <c r="O3245" s="0">
        <v>0</v>
      </c>
      <c r="P3245" s="0">
        <v>0</v>
      </c>
      <c r="R3245" s="0" t="b">
        <v>0</v>
      </c>
      <c r="S3245" s="0" t="b">
        <v>1</v>
      </c>
      <c r="T3245" s="68">
        <v>45804.6736111111</v>
      </c>
      <c r="U3245" s="68">
        <v>45818.3333333333</v>
      </c>
      <c r="V3245" s="68">
        <v>0</v>
      </c>
      <c r="W3245" s="0">
        <f>IF(IF(B3245="none",1,IF(B3245="Trialer",1,0))+IF(C3245="Customer",1,IF(C3245="Lost",1,0))=2,1,0)</f>
      </c>
      <c r="X3245" s="0" t="s">
        <v>1461</v>
      </c>
      <c r="Y3245" s="0" t="s">
        <v>243</v>
      </c>
      <c r="AV3245" s="68"/>
      <c r="AW3245" s="68"/>
      <c r="AY3245" s="27"/>
      <c r="BD3245" s="68">
        <v>46054.1666666667</v>
      </c>
      <c r="BE3245" s="68">
        <v>46082.1666666667</v>
      </c>
      <c r="BF3245" s="0" t="b">
        <v>0</v>
      </c>
      <c r="BG3245" s="0" t="b">
        <v>0</v>
      </c>
      <c r="BH3245" s="0">
        <v>98</v>
      </c>
      <c r="BI3245" s="0">
        <v>98</v>
      </c>
      <c r="BJ3245" s="0" t="s">
        <v>135</v>
      </c>
    </row>
    <row r="3246">
      <c r="A3246" s="0" t="s">
        <v>3499</v>
      </c>
      <c r="B3246" s="0" t="s">
        <v>134</v>
      </c>
      <c r="C3246" s="0" t="s">
        <v>134</v>
      </c>
      <c r="D3246" s="0" t="s">
        <v>135</v>
      </c>
      <c r="E3246" s="0" t="s">
        <v>3</v>
      </c>
      <c r="F3246" s="0" t="s">
        <v>12</v>
      </c>
      <c r="G3246" s="0" t="s">
        <v>8</v>
      </c>
      <c r="H3246" s="0">
        <v>249</v>
      </c>
      <c r="I3246" s="0">
        <v>49</v>
      </c>
      <c r="J3246" s="0">
        <v>0</v>
      </c>
      <c r="K3246" s="0">
        <v>1</v>
      </c>
      <c r="L3246" s="0">
        <v>3</v>
      </c>
      <c r="M3246" s="0">
        <v>1</v>
      </c>
      <c r="N3246" s="0">
        <v>0</v>
      </c>
      <c r="O3246" s="0">
        <v>0</v>
      </c>
      <c r="P3246" s="0">
        <v>0</v>
      </c>
      <c r="R3246" s="0" t="b">
        <v>0</v>
      </c>
      <c r="S3246" s="0" t="b">
        <v>1</v>
      </c>
      <c r="T3246" s="68">
        <v>45804.8173611111</v>
      </c>
      <c r="U3246" s="68">
        <v>45824.3333333333</v>
      </c>
      <c r="V3246" s="68">
        <v>0</v>
      </c>
      <c r="W3246" s="0">
        <f>IF(IF(B3246="none",1,IF(B3246="Trialer",1,0))+IF(C3246="Customer",1,IF(C3246="Lost",1,0))=2,1,0)</f>
      </c>
      <c r="X3246" s="0" t="s">
        <v>166</v>
      </c>
      <c r="Y3246" s="0" t="s">
        <v>243</v>
      </c>
      <c r="AV3246" s="68"/>
      <c r="AW3246" s="68"/>
      <c r="AY3246" s="27"/>
      <c r="BD3246" s="68">
        <v>46054.1666666667</v>
      </c>
      <c r="BE3246" s="68">
        <v>46082.1666666667</v>
      </c>
      <c r="BF3246" s="0" t="b">
        <v>0</v>
      </c>
      <c r="BG3246" s="0" t="b">
        <v>0</v>
      </c>
      <c r="BH3246" s="0">
        <v>49</v>
      </c>
      <c r="BI3246" s="0">
        <v>49</v>
      </c>
      <c r="BJ3246" s="0" t="s">
        <v>135</v>
      </c>
    </row>
    <row r="3247">
      <c r="A3247" s="0" t="s">
        <v>3500</v>
      </c>
      <c r="B3247" s="0" t="s">
        <v>134</v>
      </c>
      <c r="C3247" s="0" t="s">
        <v>134</v>
      </c>
      <c r="D3247" s="0" t="s">
        <v>135</v>
      </c>
      <c r="E3247" s="0" t="s">
        <v>3</v>
      </c>
      <c r="F3247" s="0" t="s">
        <v>10</v>
      </c>
      <c r="G3247" s="0" t="s">
        <v>8</v>
      </c>
      <c r="H3247" s="0">
        <v>248</v>
      </c>
      <c r="I3247" s="0">
        <v>84</v>
      </c>
      <c r="J3247" s="0">
        <v>0</v>
      </c>
      <c r="K3247" s="0">
        <v>1</v>
      </c>
      <c r="L3247" s="0">
        <v>1</v>
      </c>
      <c r="M3247" s="0">
        <v>3</v>
      </c>
      <c r="N3247" s="0">
        <v>0</v>
      </c>
      <c r="O3247" s="0">
        <v>0</v>
      </c>
      <c r="P3247" s="0">
        <v>0</v>
      </c>
      <c r="Q3247" s="0" t="s">
        <v>618</v>
      </c>
      <c r="R3247" s="0" t="b">
        <v>0</v>
      </c>
      <c r="S3247" s="0" t="b">
        <v>1</v>
      </c>
      <c r="T3247" s="68">
        <v>45805.4147453704</v>
      </c>
      <c r="U3247" s="68">
        <v>45849.3333333333</v>
      </c>
      <c r="V3247" s="68">
        <v>0</v>
      </c>
      <c r="W3247" s="0">
        <f>IF(IF(B3247="none",1,IF(B3247="Trialer",1,0))+IF(C3247="Customer",1,IF(C3247="Lost",1,0))=2,1,0)</f>
      </c>
      <c r="X3247" s="0" t="s">
        <v>148</v>
      </c>
      <c r="Y3247" s="0" t="s">
        <v>243</v>
      </c>
      <c r="AV3247" s="68"/>
      <c r="AW3247" s="68"/>
      <c r="AY3247" s="27"/>
      <c r="BD3247" s="68">
        <v>46054.1666666667</v>
      </c>
      <c r="BE3247" s="68">
        <v>46082.1666666667</v>
      </c>
      <c r="BF3247" s="0" t="b">
        <v>0</v>
      </c>
      <c r="BG3247" s="0" t="b">
        <v>0</v>
      </c>
      <c r="BH3247" s="0">
        <v>84</v>
      </c>
      <c r="BI3247" s="0">
        <v>84</v>
      </c>
      <c r="BJ3247" s="0" t="s">
        <v>135</v>
      </c>
    </row>
    <row r="3248">
      <c r="A3248" s="0" t="s">
        <v>3501</v>
      </c>
      <c r="B3248" s="0" t="s">
        <v>134</v>
      </c>
      <c r="C3248" s="0" t="s">
        <v>134</v>
      </c>
      <c r="D3248" s="0" t="s">
        <v>135</v>
      </c>
      <c r="E3248" s="0" t="s">
        <v>3</v>
      </c>
      <c r="F3248" s="0" t="s">
        <v>12</v>
      </c>
      <c r="G3248" s="0" t="s">
        <v>8</v>
      </c>
      <c r="H3248" s="0">
        <v>248</v>
      </c>
      <c r="I3248" s="0">
        <v>196</v>
      </c>
      <c r="J3248" s="0">
        <v>0</v>
      </c>
      <c r="K3248" s="0">
        <v>1</v>
      </c>
      <c r="L3248" s="0">
        <v>1</v>
      </c>
      <c r="M3248" s="0">
        <v>7</v>
      </c>
      <c r="N3248" s="0">
        <v>0</v>
      </c>
      <c r="O3248" s="0">
        <v>0</v>
      </c>
      <c r="P3248" s="0">
        <v>0</v>
      </c>
      <c r="R3248" s="0" t="b">
        <v>0</v>
      </c>
      <c r="S3248" s="0" t="b">
        <v>1</v>
      </c>
      <c r="T3248" s="68">
        <v>45805.6274305556</v>
      </c>
      <c r="U3248" s="68">
        <v>45807.3333333333</v>
      </c>
      <c r="V3248" s="68">
        <v>0</v>
      </c>
      <c r="W3248" s="0">
        <f>IF(IF(B3248="none",1,IF(B3248="Trialer",1,0))+IF(C3248="Customer",1,IF(C3248="Lost",1,0))=2,1,0)</f>
      </c>
      <c r="X3248" s="0" t="s">
        <v>136</v>
      </c>
      <c r="Y3248" s="0" t="s">
        <v>243</v>
      </c>
      <c r="AV3248" s="68"/>
      <c r="AW3248" s="68"/>
      <c r="AY3248" s="27"/>
      <c r="BD3248" s="68">
        <v>46054.1666666667</v>
      </c>
      <c r="BE3248" s="68">
        <v>46082.1666666667</v>
      </c>
      <c r="BF3248" s="0" t="b">
        <v>0</v>
      </c>
      <c r="BG3248" s="0" t="b">
        <v>0</v>
      </c>
      <c r="BH3248" s="0">
        <v>196</v>
      </c>
      <c r="BI3248" s="0">
        <v>196</v>
      </c>
      <c r="BJ3248" s="0" t="s">
        <v>135</v>
      </c>
    </row>
    <row r="3249">
      <c r="A3249" s="0" t="s">
        <v>3502</v>
      </c>
      <c r="B3249" s="0" t="s">
        <v>134</v>
      </c>
      <c r="C3249" s="0" t="s">
        <v>134</v>
      </c>
      <c r="D3249" s="0" t="s">
        <v>135</v>
      </c>
      <c r="E3249" s="0" t="s">
        <v>2</v>
      </c>
      <c r="F3249" s="0" t="s">
        <v>12</v>
      </c>
      <c r="G3249" s="0" t="s">
        <v>8</v>
      </c>
      <c r="H3249" s="0">
        <v>248</v>
      </c>
      <c r="I3249" s="0">
        <v>269</v>
      </c>
      <c r="J3249" s="0">
        <v>0</v>
      </c>
      <c r="K3249" s="0">
        <v>1</v>
      </c>
      <c r="L3249" s="0">
        <v>4</v>
      </c>
      <c r="M3249" s="0">
        <v>5</v>
      </c>
      <c r="N3249" s="0">
        <v>0</v>
      </c>
      <c r="O3249" s="0">
        <v>0</v>
      </c>
      <c r="P3249" s="0">
        <v>0</v>
      </c>
      <c r="R3249" s="0" t="b">
        <v>0</v>
      </c>
      <c r="S3249" s="0" t="b">
        <v>1</v>
      </c>
      <c r="T3249" s="68">
        <v>45805.6790972222</v>
      </c>
      <c r="U3249" s="68">
        <v>45819.3333333333</v>
      </c>
      <c r="V3249" s="68">
        <v>0</v>
      </c>
      <c r="W3249" s="0">
        <f>IF(IF(B3249="none",1,IF(B3249="Trialer",1,0))+IF(C3249="Customer",1,IF(C3249="Lost",1,0))=2,1,0)</f>
      </c>
      <c r="X3249" s="0" t="s">
        <v>136</v>
      </c>
      <c r="Y3249" s="0" t="s">
        <v>499</v>
      </c>
      <c r="AV3249" s="68"/>
      <c r="AW3249" s="68"/>
      <c r="AY3249" s="27"/>
      <c r="BD3249" s="68">
        <v>46054.1666666667</v>
      </c>
      <c r="BE3249" s="68">
        <v>46082.1666666667</v>
      </c>
      <c r="BF3249" s="0" t="b">
        <v>0</v>
      </c>
      <c r="BG3249" s="0" t="b">
        <v>0</v>
      </c>
      <c r="BH3249" s="0">
        <v>269</v>
      </c>
      <c r="BI3249" s="0">
        <v>269</v>
      </c>
      <c r="BJ3249" s="0" t="s">
        <v>135</v>
      </c>
    </row>
    <row r="3250">
      <c r="A3250" s="0" t="s">
        <v>3503</v>
      </c>
      <c r="B3250" s="0" t="s">
        <v>134</v>
      </c>
      <c r="C3250" s="0" t="s">
        <v>134</v>
      </c>
      <c r="D3250" s="0" t="s">
        <v>135</v>
      </c>
      <c r="E3250" s="0" t="s">
        <v>3</v>
      </c>
      <c r="F3250" s="0" t="s">
        <v>12</v>
      </c>
      <c r="G3250" s="0" t="s">
        <v>8</v>
      </c>
      <c r="H3250" s="0">
        <v>247</v>
      </c>
      <c r="I3250" s="0">
        <v>129</v>
      </c>
      <c r="J3250" s="0">
        <v>0</v>
      </c>
      <c r="K3250" s="0">
        <v>1</v>
      </c>
      <c r="L3250" s="0">
        <v>3</v>
      </c>
      <c r="M3250" s="0">
        <v>3</v>
      </c>
      <c r="N3250" s="0">
        <v>0</v>
      </c>
      <c r="O3250" s="0">
        <v>0</v>
      </c>
      <c r="P3250" s="0">
        <v>0</v>
      </c>
      <c r="R3250" s="0" t="b">
        <v>0</v>
      </c>
      <c r="S3250" s="0" t="b">
        <v>1</v>
      </c>
      <c r="T3250" s="68">
        <v>45806.6658796296</v>
      </c>
      <c r="U3250" s="68">
        <v>45820.3333333333</v>
      </c>
      <c r="V3250" s="68">
        <v>0</v>
      </c>
      <c r="W3250" s="0">
        <f>IF(IF(B3250="none",1,IF(B3250="Trialer",1,0))+IF(C3250="Customer",1,IF(C3250="Lost",1,0))=2,1,0)</f>
      </c>
      <c r="X3250" s="0" t="s">
        <v>166</v>
      </c>
      <c r="Y3250" s="0" t="s">
        <v>243</v>
      </c>
      <c r="AV3250" s="68"/>
      <c r="AW3250" s="68"/>
      <c r="AY3250" s="27"/>
      <c r="BD3250" s="68">
        <v>46054.1666666667</v>
      </c>
      <c r="BE3250" s="68">
        <v>46082.1666666667</v>
      </c>
      <c r="BF3250" s="0" t="b">
        <v>0</v>
      </c>
      <c r="BG3250" s="0" t="b">
        <v>0</v>
      </c>
      <c r="BH3250" s="0">
        <v>129</v>
      </c>
      <c r="BI3250" s="0">
        <v>129</v>
      </c>
      <c r="BJ3250" s="0" t="s">
        <v>135</v>
      </c>
    </row>
    <row r="3251">
      <c r="A3251" s="0" t="s">
        <v>3504</v>
      </c>
      <c r="B3251" s="0" t="s">
        <v>134</v>
      </c>
      <c r="C3251" s="0" t="s">
        <v>134</v>
      </c>
      <c r="D3251" s="0" t="s">
        <v>230</v>
      </c>
      <c r="E3251" s="0" t="s">
        <v>2</v>
      </c>
      <c r="F3251" s="0" t="s">
        <v>12</v>
      </c>
      <c r="G3251" s="0" t="s">
        <v>8</v>
      </c>
      <c r="H3251" s="0">
        <v>243</v>
      </c>
      <c r="I3251" s="0">
        <v>216</v>
      </c>
      <c r="J3251" s="0">
        <v>0</v>
      </c>
      <c r="K3251" s="0">
        <v>1</v>
      </c>
      <c r="L3251" s="0">
        <v>4</v>
      </c>
      <c r="M3251" s="0">
        <v>4</v>
      </c>
      <c r="N3251" s="0">
        <v>0</v>
      </c>
      <c r="O3251" s="0">
        <v>0</v>
      </c>
      <c r="P3251" s="0">
        <v>2376</v>
      </c>
      <c r="R3251" s="0" t="b">
        <v>0</v>
      </c>
      <c r="S3251" s="0" t="b">
        <v>1</v>
      </c>
      <c r="T3251" s="68">
        <v>45810.5368055556</v>
      </c>
      <c r="U3251" s="68">
        <v>45814.3333333333</v>
      </c>
      <c r="V3251" s="68">
        <v>0</v>
      </c>
      <c r="W3251" s="0">
        <f>IF(IF(B3251="none",1,IF(B3251="Trialer",1,0))+IF(C3251="Customer",1,IF(C3251="Lost",1,0))=2,1,0)</f>
      </c>
      <c r="X3251" s="0" t="s">
        <v>148</v>
      </c>
      <c r="Y3251" s="0" t="s">
        <v>499</v>
      </c>
      <c r="AV3251" s="68"/>
      <c r="AW3251" s="68"/>
      <c r="AY3251" s="27"/>
      <c r="BD3251" s="68">
        <v>46054.1666666667</v>
      </c>
      <c r="BE3251" s="68">
        <v>46082.1666666667</v>
      </c>
      <c r="BF3251" s="0" t="b">
        <v>0</v>
      </c>
      <c r="BG3251" s="0" t="b">
        <v>0</v>
      </c>
      <c r="BH3251" s="0">
        <v>244</v>
      </c>
      <c r="BI3251" s="0">
        <v>244</v>
      </c>
      <c r="BJ3251" s="0" t="s">
        <v>230</v>
      </c>
    </row>
    <row r="3252">
      <c r="A3252" s="0" t="s">
        <v>3505</v>
      </c>
      <c r="B3252" s="0" t="s">
        <v>134</v>
      </c>
      <c r="C3252" s="0" t="s">
        <v>134</v>
      </c>
      <c r="D3252" s="0" t="s">
        <v>135</v>
      </c>
      <c r="E3252" s="0" t="s">
        <v>3</v>
      </c>
      <c r="F3252" s="0" t="s">
        <v>12</v>
      </c>
      <c r="G3252" s="0" t="s">
        <v>8</v>
      </c>
      <c r="H3252" s="0">
        <v>242</v>
      </c>
      <c r="I3252" s="0">
        <v>40</v>
      </c>
      <c r="J3252" s="0">
        <v>0</v>
      </c>
      <c r="K3252" s="0">
        <v>1</v>
      </c>
      <c r="L3252" s="0">
        <v>1</v>
      </c>
      <c r="M3252" s="0">
        <v>0</v>
      </c>
      <c r="N3252" s="0">
        <v>0</v>
      </c>
      <c r="O3252" s="0">
        <v>0</v>
      </c>
      <c r="P3252" s="0">
        <v>0</v>
      </c>
      <c r="R3252" s="0" t="b">
        <v>0</v>
      </c>
      <c r="S3252" s="0" t="b">
        <v>1</v>
      </c>
      <c r="T3252" s="68">
        <v>45811.4434490741</v>
      </c>
      <c r="U3252" s="68">
        <v>45811.3333333333</v>
      </c>
      <c r="V3252" s="68">
        <v>0</v>
      </c>
      <c r="W3252" s="0">
        <f>IF(IF(B3252="none",1,IF(B3252="Trialer",1,0))+IF(C3252="Customer",1,IF(C3252="Lost",1,0))=2,1,0)</f>
      </c>
      <c r="X3252" s="0" t="s">
        <v>142</v>
      </c>
      <c r="Y3252" s="0" t="s">
        <v>243</v>
      </c>
      <c r="AV3252" s="68"/>
      <c r="AW3252" s="68"/>
      <c r="AY3252" s="27"/>
      <c r="BD3252" s="68">
        <v>46054.1666666667</v>
      </c>
      <c r="BE3252" s="68">
        <v>46082.1666666667</v>
      </c>
      <c r="BF3252" s="0" t="b">
        <v>0</v>
      </c>
      <c r="BG3252" s="0" t="b">
        <v>0</v>
      </c>
      <c r="BH3252" s="0">
        <v>40</v>
      </c>
      <c r="BI3252" s="0">
        <v>40</v>
      </c>
      <c r="BJ3252" s="0" t="s">
        <v>135</v>
      </c>
    </row>
    <row r="3253">
      <c r="A3253" s="0" t="s">
        <v>3506</v>
      </c>
      <c r="B3253" s="0" t="s">
        <v>134</v>
      </c>
      <c r="C3253" s="0" t="s">
        <v>134</v>
      </c>
      <c r="D3253" s="0" t="s">
        <v>135</v>
      </c>
      <c r="E3253" s="0" t="s">
        <v>3</v>
      </c>
      <c r="F3253" s="0" t="s">
        <v>12</v>
      </c>
      <c r="G3253" s="0" t="s">
        <v>8</v>
      </c>
      <c r="H3253" s="0">
        <v>242</v>
      </c>
      <c r="I3253" s="0">
        <v>122</v>
      </c>
      <c r="J3253" s="0">
        <v>0</v>
      </c>
      <c r="K3253" s="0">
        <v>1</v>
      </c>
      <c r="L3253" s="0">
        <v>4</v>
      </c>
      <c r="M3253" s="0">
        <v>2</v>
      </c>
      <c r="N3253" s="0">
        <v>0</v>
      </c>
      <c r="O3253" s="0">
        <v>0</v>
      </c>
      <c r="P3253" s="0">
        <v>0</v>
      </c>
      <c r="R3253" s="0" t="b">
        <v>0</v>
      </c>
      <c r="S3253" s="0" t="b">
        <v>1</v>
      </c>
      <c r="T3253" s="68">
        <v>45811.4776157407</v>
      </c>
      <c r="U3253" s="68">
        <v>45825.3333333333</v>
      </c>
      <c r="V3253" s="68">
        <v>0</v>
      </c>
      <c r="W3253" s="0">
        <f>IF(IF(B3253="none",1,IF(B3253="Trialer",1,0))+IF(C3253="Customer",1,IF(C3253="Lost",1,0))=2,1,0)</f>
      </c>
      <c r="X3253" s="0" t="s">
        <v>1461</v>
      </c>
      <c r="Y3253" s="0" t="s">
        <v>243</v>
      </c>
      <c r="AV3253" s="68"/>
      <c r="AW3253" s="68"/>
      <c r="AY3253" s="27"/>
      <c r="BD3253" s="68">
        <v>46054.1666666667</v>
      </c>
      <c r="BE3253" s="68">
        <v>46082.1666666667</v>
      </c>
      <c r="BF3253" s="0" t="b">
        <v>0</v>
      </c>
      <c r="BG3253" s="0" t="b">
        <v>0</v>
      </c>
      <c r="BH3253" s="0">
        <v>122</v>
      </c>
      <c r="BI3253" s="0">
        <v>122</v>
      </c>
      <c r="BJ3253" s="0" t="s">
        <v>135</v>
      </c>
    </row>
    <row r="3254">
      <c r="A3254" s="0" t="s">
        <v>3507</v>
      </c>
      <c r="B3254" s="0" t="s">
        <v>134</v>
      </c>
      <c r="C3254" s="0" t="s">
        <v>134</v>
      </c>
      <c r="D3254" s="0" t="s">
        <v>230</v>
      </c>
      <c r="E3254" s="0" t="s">
        <v>3</v>
      </c>
      <c r="F3254" s="0" t="s">
        <v>12</v>
      </c>
      <c r="G3254" s="0" t="s">
        <v>8</v>
      </c>
      <c r="H3254" s="0">
        <v>242</v>
      </c>
      <c r="I3254" s="0">
        <v>256</v>
      </c>
      <c r="J3254" s="0">
        <v>0</v>
      </c>
      <c r="K3254" s="0">
        <v>1</v>
      </c>
      <c r="L3254" s="0">
        <v>5</v>
      </c>
      <c r="M3254" s="0">
        <v>4</v>
      </c>
      <c r="N3254" s="0">
        <v>0</v>
      </c>
      <c r="O3254" s="0">
        <v>0</v>
      </c>
      <c r="P3254" s="0">
        <v>-256</v>
      </c>
      <c r="R3254" s="0" t="b">
        <v>0</v>
      </c>
      <c r="S3254" s="0" t="b">
        <v>1</v>
      </c>
      <c r="T3254" s="68">
        <v>45811.4958680556</v>
      </c>
      <c r="U3254" s="68">
        <v>45839.3333333333</v>
      </c>
      <c r="V3254" s="68">
        <v>0</v>
      </c>
      <c r="W3254" s="0">
        <f>IF(IF(B3254="none",1,IF(B3254="Trialer",1,0))+IF(C3254="Customer",1,IF(C3254="Lost",1,0))=2,1,0)</f>
      </c>
      <c r="X3254" s="0" t="s">
        <v>1461</v>
      </c>
      <c r="Y3254" s="0" t="s">
        <v>243</v>
      </c>
      <c r="AV3254" s="68"/>
      <c r="AW3254" s="68"/>
      <c r="AY3254" s="27"/>
      <c r="BD3254" s="68">
        <v>46054.1666666667</v>
      </c>
      <c r="BE3254" s="68">
        <v>46082.1666666667</v>
      </c>
      <c r="BF3254" s="0" t="b">
        <v>0</v>
      </c>
      <c r="BG3254" s="0" t="b">
        <v>0</v>
      </c>
      <c r="BH3254" s="0">
        <v>292</v>
      </c>
      <c r="BI3254" s="0">
        <v>292</v>
      </c>
      <c r="BJ3254" s="0" t="s">
        <v>230</v>
      </c>
    </row>
    <row r="3255">
      <c r="A3255" s="0" t="s">
        <v>3508</v>
      </c>
      <c r="B3255" s="0" t="s">
        <v>134</v>
      </c>
      <c r="C3255" s="0" t="s">
        <v>134</v>
      </c>
      <c r="D3255" s="0" t="s">
        <v>230</v>
      </c>
      <c r="E3255" s="0" t="s">
        <v>2</v>
      </c>
      <c r="F3255" s="0" t="s">
        <v>10</v>
      </c>
      <c r="G3255" s="0" t="s">
        <v>8</v>
      </c>
      <c r="H3255" s="0">
        <v>242</v>
      </c>
      <c r="I3255" s="0">
        <v>175</v>
      </c>
      <c r="J3255" s="0">
        <v>0</v>
      </c>
      <c r="K3255" s="0">
        <v>1</v>
      </c>
      <c r="L3255" s="0">
        <v>1</v>
      </c>
      <c r="M3255" s="0">
        <v>7</v>
      </c>
      <c r="N3255" s="0">
        <v>0</v>
      </c>
      <c r="O3255" s="0">
        <v>0</v>
      </c>
      <c r="P3255" s="0">
        <v>-175</v>
      </c>
      <c r="Q3255" s="0" t="s">
        <v>498</v>
      </c>
      <c r="R3255" s="0" t="b">
        <v>0</v>
      </c>
      <c r="S3255" s="0" t="b">
        <v>1</v>
      </c>
      <c r="T3255" s="68">
        <v>45811.5620717593</v>
      </c>
      <c r="U3255" s="68">
        <v>45828.3333333333</v>
      </c>
      <c r="V3255" s="68">
        <v>0</v>
      </c>
      <c r="W3255" s="0">
        <f>IF(IF(B3255="none",1,IF(B3255="Trialer",1,0))+IF(C3255="Customer",1,IF(C3255="Lost",1,0))=2,1,0)</f>
      </c>
      <c r="X3255" s="0" t="s">
        <v>136</v>
      </c>
      <c r="Y3255" s="0" t="s">
        <v>499</v>
      </c>
      <c r="AV3255" s="68"/>
      <c r="AW3255" s="68"/>
      <c r="AY3255" s="27"/>
      <c r="BD3255" s="68">
        <v>46054.1666666667</v>
      </c>
      <c r="BE3255" s="68">
        <v>46082.1666666667</v>
      </c>
      <c r="BF3255" s="0" t="b">
        <v>0</v>
      </c>
      <c r="BG3255" s="0" t="b">
        <v>0</v>
      </c>
      <c r="BH3255" s="0">
        <v>224</v>
      </c>
      <c r="BI3255" s="0">
        <v>224</v>
      </c>
      <c r="BJ3255" s="0" t="s">
        <v>230</v>
      </c>
    </row>
    <row r="3256">
      <c r="A3256" s="0" t="s">
        <v>3509</v>
      </c>
      <c r="B3256" s="0" t="s">
        <v>134</v>
      </c>
      <c r="C3256" s="0" t="s">
        <v>134</v>
      </c>
      <c r="D3256" s="0" t="s">
        <v>230</v>
      </c>
      <c r="E3256" s="0" t="s">
        <v>3</v>
      </c>
      <c r="F3256" s="0" t="s">
        <v>12</v>
      </c>
      <c r="G3256" s="0" t="s">
        <v>8</v>
      </c>
      <c r="H3256" s="0">
        <v>242</v>
      </c>
      <c r="I3256" s="0">
        <v>44</v>
      </c>
      <c r="J3256" s="0">
        <v>0</v>
      </c>
      <c r="K3256" s="0">
        <v>1</v>
      </c>
      <c r="L3256" s="0">
        <v>3</v>
      </c>
      <c r="M3256" s="0">
        <v>1</v>
      </c>
      <c r="N3256" s="0">
        <v>0</v>
      </c>
      <c r="O3256" s="0">
        <v>0</v>
      </c>
      <c r="P3256" s="0">
        <v>-44</v>
      </c>
      <c r="R3256" s="0" t="b">
        <v>0</v>
      </c>
      <c r="S3256" s="0" t="b">
        <v>1</v>
      </c>
      <c r="T3256" s="68">
        <v>45811.5849652778</v>
      </c>
      <c r="U3256" s="68">
        <v>45814.3333333333</v>
      </c>
      <c r="V3256" s="68">
        <v>0</v>
      </c>
      <c r="W3256" s="0">
        <f>IF(IF(B3256="none",1,IF(B3256="Trialer",1,0))+IF(C3256="Customer",1,IF(C3256="Lost",1,0))=2,1,0)</f>
      </c>
      <c r="X3256" s="0" t="s">
        <v>142</v>
      </c>
      <c r="Y3256" s="0" t="s">
        <v>243</v>
      </c>
      <c r="AV3256" s="68"/>
      <c r="AW3256" s="68"/>
      <c r="AY3256" s="27"/>
      <c r="BD3256" s="68">
        <v>46054.1666666667</v>
      </c>
      <c r="BE3256" s="68">
        <v>46082.1666666667</v>
      </c>
      <c r="BF3256" s="0" t="b">
        <v>0</v>
      </c>
      <c r="BG3256" s="0" t="b">
        <v>0</v>
      </c>
      <c r="BH3256" s="0">
        <v>49</v>
      </c>
      <c r="BI3256" s="0">
        <v>49</v>
      </c>
      <c r="BJ3256" s="0" t="s">
        <v>230</v>
      </c>
    </row>
    <row r="3257">
      <c r="A3257" s="0" t="s">
        <v>3510</v>
      </c>
      <c r="B3257" s="0" t="s">
        <v>134</v>
      </c>
      <c r="C3257" s="0" t="s">
        <v>134</v>
      </c>
      <c r="D3257" s="0" t="s">
        <v>230</v>
      </c>
      <c r="E3257" s="0" t="s">
        <v>3</v>
      </c>
      <c r="F3257" s="0" t="s">
        <v>12</v>
      </c>
      <c r="G3257" s="0" t="s">
        <v>8</v>
      </c>
      <c r="H3257" s="0">
        <v>241</v>
      </c>
      <c r="I3257" s="0">
        <v>128.25</v>
      </c>
      <c r="J3257" s="0">
        <v>0</v>
      </c>
      <c r="K3257" s="0">
        <v>1</v>
      </c>
      <c r="L3257" s="0">
        <v>5</v>
      </c>
      <c r="M3257" s="0">
        <v>3</v>
      </c>
      <c r="N3257" s="0">
        <v>0</v>
      </c>
      <c r="O3257" s="0">
        <v>0</v>
      </c>
      <c r="P3257" s="0">
        <v>-128.25</v>
      </c>
      <c r="R3257" s="0" t="b">
        <v>0</v>
      </c>
      <c r="S3257" s="0" t="b">
        <v>1</v>
      </c>
      <c r="T3257" s="68">
        <v>45812.6302546296</v>
      </c>
      <c r="U3257" s="68">
        <v>45826.3333333333</v>
      </c>
      <c r="V3257" s="68">
        <v>0</v>
      </c>
      <c r="W3257" s="0">
        <f>IF(IF(B3257="none",1,IF(B3257="Trialer",1,0))+IF(C3257="Customer",1,IF(C3257="Lost",1,0))=2,1,0)</f>
      </c>
      <c r="X3257" s="0" t="s">
        <v>1461</v>
      </c>
      <c r="Y3257" s="0" t="s">
        <v>243</v>
      </c>
      <c r="AV3257" s="68"/>
      <c r="AW3257" s="68"/>
      <c r="AY3257" s="27"/>
      <c r="BD3257" s="68">
        <v>46054.1666666667</v>
      </c>
      <c r="BE3257" s="68">
        <v>46082.1666666667</v>
      </c>
      <c r="BF3257" s="0" t="b">
        <v>0</v>
      </c>
      <c r="BG3257" s="0" t="b">
        <v>0</v>
      </c>
      <c r="BH3257" s="0">
        <v>171</v>
      </c>
      <c r="BI3257" s="0">
        <v>171</v>
      </c>
      <c r="BJ3257" s="0" t="s">
        <v>230</v>
      </c>
    </row>
    <row r="3258">
      <c r="A3258" s="0" t="s">
        <v>3511</v>
      </c>
      <c r="B3258" s="0" t="s">
        <v>134</v>
      </c>
      <c r="C3258" s="0" t="s">
        <v>134</v>
      </c>
      <c r="D3258" s="0" t="s">
        <v>135</v>
      </c>
      <c r="E3258" s="0" t="s">
        <v>3</v>
      </c>
      <c r="F3258" s="0" t="s">
        <v>12</v>
      </c>
      <c r="G3258" s="0" t="s">
        <v>8</v>
      </c>
      <c r="H3258" s="0">
        <v>241</v>
      </c>
      <c r="I3258" s="0">
        <v>61</v>
      </c>
      <c r="J3258" s="0">
        <v>0</v>
      </c>
      <c r="K3258" s="0">
        <v>1</v>
      </c>
      <c r="L3258" s="0">
        <v>4</v>
      </c>
      <c r="M3258" s="0">
        <v>1</v>
      </c>
      <c r="N3258" s="0">
        <v>0</v>
      </c>
      <c r="O3258" s="0">
        <v>0</v>
      </c>
      <c r="P3258" s="0">
        <v>0</v>
      </c>
      <c r="R3258" s="0" t="b">
        <v>0</v>
      </c>
      <c r="S3258" s="0" t="b">
        <v>1</v>
      </c>
      <c r="T3258" s="68">
        <v>45812.7359375</v>
      </c>
      <c r="U3258" s="68">
        <v>45826.3333333333</v>
      </c>
      <c r="V3258" s="68">
        <v>0</v>
      </c>
      <c r="W3258" s="0">
        <f>IF(IF(B3258="none",1,IF(B3258="Trialer",1,0))+IF(C3258="Customer",1,IF(C3258="Lost",1,0))=2,1,0)</f>
      </c>
      <c r="X3258" s="0" t="s">
        <v>166</v>
      </c>
      <c r="Y3258" s="0" t="s">
        <v>243</v>
      </c>
      <c r="AV3258" s="68"/>
      <c r="AW3258" s="68"/>
      <c r="AY3258" s="27"/>
      <c r="BD3258" s="68">
        <v>46054.1666666667</v>
      </c>
      <c r="BE3258" s="68">
        <v>46082.1666666667</v>
      </c>
      <c r="BF3258" s="0" t="b">
        <v>0</v>
      </c>
      <c r="BG3258" s="0" t="b">
        <v>0</v>
      </c>
      <c r="BH3258" s="0">
        <v>61</v>
      </c>
      <c r="BI3258" s="0">
        <v>61</v>
      </c>
      <c r="BJ3258" s="0" t="s">
        <v>135</v>
      </c>
    </row>
    <row r="3259">
      <c r="A3259" s="0" t="s">
        <v>3512</v>
      </c>
      <c r="B3259" s="0" t="s">
        <v>134</v>
      </c>
      <c r="C3259" s="0" t="s">
        <v>134</v>
      </c>
      <c r="D3259" s="0" t="s">
        <v>230</v>
      </c>
      <c r="E3259" s="0" t="s">
        <v>3</v>
      </c>
      <c r="F3259" s="0" t="s">
        <v>12</v>
      </c>
      <c r="G3259" s="0" t="s">
        <v>8</v>
      </c>
      <c r="H3259" s="0">
        <v>241</v>
      </c>
      <c r="I3259" s="0">
        <v>186.75</v>
      </c>
      <c r="J3259" s="0">
        <v>0</v>
      </c>
      <c r="K3259" s="0">
        <v>1</v>
      </c>
      <c r="L3259" s="0">
        <v>3</v>
      </c>
      <c r="M3259" s="0">
        <v>6</v>
      </c>
      <c r="N3259" s="0">
        <v>0</v>
      </c>
      <c r="O3259" s="0">
        <v>0</v>
      </c>
      <c r="P3259" s="0">
        <v>-186.75</v>
      </c>
      <c r="R3259" s="0" t="b">
        <v>0</v>
      </c>
      <c r="S3259" s="0" t="b">
        <v>1</v>
      </c>
      <c r="T3259" s="68">
        <v>45812.9072222222</v>
      </c>
      <c r="U3259" s="68">
        <v>45831.3333333333</v>
      </c>
      <c r="V3259" s="68">
        <v>0</v>
      </c>
      <c r="W3259" s="0">
        <f>IF(IF(B3259="none",1,IF(B3259="Trialer",1,0))+IF(C3259="Customer",1,IF(C3259="Lost",1,0))=2,1,0)</f>
      </c>
      <c r="X3259" s="0" t="s">
        <v>136</v>
      </c>
      <c r="Y3259" s="0" t="s">
        <v>243</v>
      </c>
      <c r="AV3259" s="68"/>
      <c r="AW3259" s="68"/>
      <c r="AY3259" s="27"/>
      <c r="BD3259" s="68">
        <v>46054.1666666667</v>
      </c>
      <c r="BE3259" s="68">
        <v>46082.1666666667</v>
      </c>
      <c r="BF3259" s="0" t="b">
        <v>0</v>
      </c>
      <c r="BG3259" s="0" t="b">
        <v>0</v>
      </c>
      <c r="BH3259" s="0">
        <v>249</v>
      </c>
      <c r="BI3259" s="0">
        <v>249</v>
      </c>
      <c r="BJ3259" s="0" t="s">
        <v>230</v>
      </c>
    </row>
    <row r="3260">
      <c r="A3260" s="0" t="s">
        <v>3513</v>
      </c>
      <c r="B3260" s="0" t="s">
        <v>134</v>
      </c>
      <c r="C3260" s="0" t="s">
        <v>134</v>
      </c>
      <c r="D3260" s="0" t="s">
        <v>135</v>
      </c>
      <c r="E3260" s="0" t="s">
        <v>3</v>
      </c>
      <c r="F3260" s="0" t="s">
        <v>12</v>
      </c>
      <c r="G3260" s="0" t="s">
        <v>8</v>
      </c>
      <c r="H3260" s="0">
        <v>240</v>
      </c>
      <c r="I3260" s="0">
        <v>0</v>
      </c>
      <c r="J3260" s="0">
        <v>0</v>
      </c>
      <c r="K3260" s="0">
        <v>1</v>
      </c>
      <c r="L3260" s="0">
        <v>3</v>
      </c>
      <c r="M3260" s="0">
        <v>2</v>
      </c>
      <c r="N3260" s="0">
        <v>0</v>
      </c>
      <c r="O3260" s="0">
        <v>0</v>
      </c>
      <c r="P3260" s="0">
        <v>0</v>
      </c>
      <c r="R3260" s="0" t="b">
        <v>0</v>
      </c>
      <c r="S3260" s="0" t="b">
        <v>1</v>
      </c>
      <c r="T3260" s="68">
        <v>45813.4478587963</v>
      </c>
      <c r="U3260" s="68">
        <v>45827.3333333333</v>
      </c>
      <c r="V3260" s="68">
        <v>0</v>
      </c>
      <c r="W3260" s="0">
        <f>IF(IF(B3260="none",1,IF(B3260="Trialer",1,0))+IF(C3260="Customer",1,IF(C3260="Lost",1,0))=2,1,0)</f>
      </c>
      <c r="X3260" s="0" t="s">
        <v>136</v>
      </c>
      <c r="Y3260" s="0" t="s">
        <v>243</v>
      </c>
      <c r="AV3260" s="68"/>
      <c r="AW3260" s="68"/>
      <c r="AY3260" s="27"/>
      <c r="BD3260" s="68">
        <v>46054.1666666667</v>
      </c>
      <c r="BE3260" s="68">
        <v>46082.1666666667</v>
      </c>
      <c r="BF3260" s="0" t="b">
        <v>0</v>
      </c>
      <c r="BG3260" s="0" t="b">
        <v>0</v>
      </c>
      <c r="BH3260" s="0">
        <v>0</v>
      </c>
      <c r="BI3260" s="0">
        <v>0</v>
      </c>
      <c r="BJ3260" s="0" t="s">
        <v>135</v>
      </c>
    </row>
    <row r="3261">
      <c r="A3261" s="0" t="s">
        <v>3514</v>
      </c>
      <c r="B3261" s="0" t="s">
        <v>134</v>
      </c>
      <c r="C3261" s="0" t="s">
        <v>134</v>
      </c>
      <c r="D3261" s="0" t="s">
        <v>230</v>
      </c>
      <c r="E3261" s="0" t="s">
        <v>3</v>
      </c>
      <c r="F3261" s="0" t="s">
        <v>12</v>
      </c>
      <c r="G3261" s="0" t="s">
        <v>8</v>
      </c>
      <c r="H3261" s="0">
        <v>240</v>
      </c>
      <c r="I3261" s="0">
        <v>80</v>
      </c>
      <c r="J3261" s="0">
        <v>0</v>
      </c>
      <c r="K3261" s="0">
        <v>1</v>
      </c>
      <c r="L3261" s="0">
        <v>3</v>
      </c>
      <c r="M3261" s="0">
        <v>2</v>
      </c>
      <c r="N3261" s="0">
        <v>0</v>
      </c>
      <c r="O3261" s="0">
        <v>0</v>
      </c>
      <c r="P3261" s="0">
        <v>-80</v>
      </c>
      <c r="R3261" s="0" t="b">
        <v>0</v>
      </c>
      <c r="S3261" s="0" t="b">
        <v>1</v>
      </c>
      <c r="T3261" s="68">
        <v>45813.6703125</v>
      </c>
      <c r="U3261" s="68">
        <v>45827.3333333333</v>
      </c>
      <c r="V3261" s="68">
        <v>0</v>
      </c>
      <c r="W3261" s="0">
        <f>IF(IF(B3261="none",1,IF(B3261="Trialer",1,0))+IF(C3261="Customer",1,IF(C3261="Lost",1,0))=2,1,0)</f>
      </c>
      <c r="X3261" s="0" t="s">
        <v>166</v>
      </c>
      <c r="Y3261" s="0" t="s">
        <v>243</v>
      </c>
      <c r="AV3261" s="68"/>
      <c r="AW3261" s="68"/>
      <c r="AY3261" s="27"/>
      <c r="BD3261" s="68">
        <v>46054.1666666667</v>
      </c>
      <c r="BE3261" s="68">
        <v>46082.1666666667</v>
      </c>
      <c r="BF3261" s="0" t="b">
        <v>0</v>
      </c>
      <c r="BG3261" s="0" t="b">
        <v>0</v>
      </c>
      <c r="BH3261" s="0">
        <v>89</v>
      </c>
      <c r="BI3261" s="0">
        <v>89</v>
      </c>
      <c r="BJ3261" s="0" t="s">
        <v>230</v>
      </c>
    </row>
    <row r="3262">
      <c r="A3262" s="0" t="s">
        <v>3515</v>
      </c>
      <c r="B3262" s="0" t="s">
        <v>134</v>
      </c>
      <c r="C3262" s="0" t="s">
        <v>134</v>
      </c>
      <c r="D3262" s="0" t="s">
        <v>135</v>
      </c>
      <c r="E3262" s="0" t="s">
        <v>3</v>
      </c>
      <c r="F3262" s="0" t="s">
        <v>12</v>
      </c>
      <c r="G3262" s="0" t="s">
        <v>8</v>
      </c>
      <c r="H3262" s="0">
        <v>239</v>
      </c>
      <c r="I3262" s="0">
        <v>230</v>
      </c>
      <c r="J3262" s="0">
        <v>0</v>
      </c>
      <c r="K3262" s="0">
        <v>1</v>
      </c>
      <c r="L3262" s="0">
        <v>4</v>
      </c>
      <c r="M3262" s="0">
        <v>5</v>
      </c>
      <c r="N3262" s="0">
        <v>0</v>
      </c>
      <c r="O3262" s="0">
        <v>0</v>
      </c>
      <c r="P3262" s="0">
        <v>0</v>
      </c>
      <c r="R3262" s="0" t="b">
        <v>0</v>
      </c>
      <c r="S3262" s="0" t="b">
        <v>1</v>
      </c>
      <c r="T3262" s="68">
        <v>45814.3460416667</v>
      </c>
      <c r="U3262" s="68">
        <v>45828.3333333333</v>
      </c>
      <c r="V3262" s="68">
        <v>0</v>
      </c>
      <c r="W3262" s="0">
        <f>IF(IF(B3262="none",1,IF(B3262="Trialer",1,0))+IF(C3262="Customer",1,IF(C3262="Lost",1,0))=2,1,0)</f>
      </c>
      <c r="X3262" s="0" t="s">
        <v>148</v>
      </c>
      <c r="Y3262" s="0" t="s">
        <v>243</v>
      </c>
      <c r="AV3262" s="68"/>
      <c r="AW3262" s="68"/>
      <c r="AY3262" s="27"/>
      <c r="BD3262" s="68">
        <v>46054.1666666667</v>
      </c>
      <c r="BE3262" s="68">
        <v>46082.1666666667</v>
      </c>
      <c r="BF3262" s="0" t="b">
        <v>0</v>
      </c>
      <c r="BG3262" s="0" t="b">
        <v>0</v>
      </c>
      <c r="BH3262" s="0">
        <v>298</v>
      </c>
      <c r="BI3262" s="0">
        <v>298</v>
      </c>
      <c r="BJ3262" s="0" t="s">
        <v>135</v>
      </c>
    </row>
    <row r="3263">
      <c r="A3263" s="0" t="s">
        <v>3516</v>
      </c>
      <c r="B3263" s="0" t="s">
        <v>134</v>
      </c>
      <c r="C3263" s="0" t="s">
        <v>134</v>
      </c>
      <c r="D3263" s="0" t="s">
        <v>135</v>
      </c>
      <c r="E3263" s="0" t="s">
        <v>2</v>
      </c>
      <c r="F3263" s="0" t="s">
        <v>12</v>
      </c>
      <c r="G3263" s="0" t="s">
        <v>8</v>
      </c>
      <c r="H3263" s="0">
        <v>239</v>
      </c>
      <c r="I3263" s="0">
        <v>110</v>
      </c>
      <c r="J3263" s="0">
        <v>0</v>
      </c>
      <c r="K3263" s="0">
        <v>1</v>
      </c>
      <c r="L3263" s="0">
        <v>4</v>
      </c>
      <c r="M3263" s="0">
        <v>2</v>
      </c>
      <c r="N3263" s="0">
        <v>0</v>
      </c>
      <c r="O3263" s="0">
        <v>0</v>
      </c>
      <c r="P3263" s="0">
        <v>0</v>
      </c>
      <c r="R3263" s="0" t="b">
        <v>0</v>
      </c>
      <c r="S3263" s="0" t="b">
        <v>1</v>
      </c>
      <c r="T3263" s="68">
        <v>45814.56875</v>
      </c>
      <c r="U3263" s="68">
        <v>45825.3333333333</v>
      </c>
      <c r="V3263" s="68">
        <v>0</v>
      </c>
      <c r="W3263" s="0">
        <f>IF(IF(B3263="none",1,IF(B3263="Trialer",1,0))+IF(C3263="Customer",1,IF(C3263="Lost",1,0))=2,1,0)</f>
      </c>
      <c r="X3263" s="0" t="s">
        <v>166</v>
      </c>
      <c r="Y3263" s="0" t="s">
        <v>499</v>
      </c>
      <c r="AV3263" s="68"/>
      <c r="AW3263" s="68"/>
      <c r="AY3263" s="27"/>
      <c r="BD3263" s="68">
        <v>46054.1666666667</v>
      </c>
      <c r="BE3263" s="68">
        <v>46082.1666666667</v>
      </c>
      <c r="BF3263" s="0" t="b">
        <v>0</v>
      </c>
      <c r="BG3263" s="0" t="b">
        <v>0</v>
      </c>
      <c r="BH3263" s="0">
        <v>110</v>
      </c>
      <c r="BI3263" s="0">
        <v>110</v>
      </c>
      <c r="BJ3263" s="0" t="s">
        <v>135</v>
      </c>
    </row>
    <row r="3264">
      <c r="A3264" s="0" t="s">
        <v>3517</v>
      </c>
      <c r="B3264" s="0" t="s">
        <v>134</v>
      </c>
      <c r="C3264" s="0" t="s">
        <v>134</v>
      </c>
      <c r="D3264" s="0" t="s">
        <v>135</v>
      </c>
      <c r="E3264" s="0" t="s">
        <v>3</v>
      </c>
      <c r="F3264" s="0" t="s">
        <v>12</v>
      </c>
      <c r="G3264" s="0" t="s">
        <v>8</v>
      </c>
      <c r="H3264" s="0">
        <v>238</v>
      </c>
      <c r="I3264" s="0">
        <v>256</v>
      </c>
      <c r="J3264" s="0">
        <v>0</v>
      </c>
      <c r="K3264" s="0">
        <v>1</v>
      </c>
      <c r="L3264" s="0">
        <v>5</v>
      </c>
      <c r="M3264" s="0">
        <v>4</v>
      </c>
      <c r="N3264" s="0">
        <v>0</v>
      </c>
      <c r="O3264" s="0">
        <v>0</v>
      </c>
      <c r="P3264" s="0">
        <v>0</v>
      </c>
      <c r="R3264" s="0" t="b">
        <v>0</v>
      </c>
      <c r="S3264" s="0" t="b">
        <v>1</v>
      </c>
      <c r="T3264" s="68">
        <v>45815.8231712963</v>
      </c>
      <c r="U3264" s="68">
        <v>45829.3333333333</v>
      </c>
      <c r="V3264" s="68">
        <v>0</v>
      </c>
      <c r="W3264" s="0">
        <f>IF(IF(B3264="none",1,IF(B3264="Trialer",1,0))+IF(C3264="Customer",1,IF(C3264="Lost",1,0))=2,1,0)</f>
      </c>
      <c r="X3264" s="0" t="s">
        <v>148</v>
      </c>
      <c r="Y3264" s="0" t="s">
        <v>243</v>
      </c>
      <c r="AV3264" s="68"/>
      <c r="AW3264" s="68"/>
      <c r="AY3264" s="27"/>
      <c r="BD3264" s="68">
        <v>46054.1666666667</v>
      </c>
      <c r="BE3264" s="68">
        <v>46082.1666666667</v>
      </c>
      <c r="BF3264" s="0" t="b">
        <v>0</v>
      </c>
      <c r="BG3264" s="0" t="b">
        <v>0</v>
      </c>
      <c r="BH3264" s="0">
        <v>256</v>
      </c>
      <c r="BI3264" s="0">
        <v>256</v>
      </c>
      <c r="BJ3264" s="0" t="s">
        <v>135</v>
      </c>
    </row>
    <row r="3265">
      <c r="A3265" s="0" t="s">
        <v>3518</v>
      </c>
      <c r="B3265" s="0" t="s">
        <v>134</v>
      </c>
      <c r="C3265" s="0" t="s">
        <v>134</v>
      </c>
      <c r="D3265" s="0" t="s">
        <v>135</v>
      </c>
      <c r="E3265" s="0" t="s">
        <v>3</v>
      </c>
      <c r="F3265" s="0" t="s">
        <v>12</v>
      </c>
      <c r="G3265" s="0" t="s">
        <v>8</v>
      </c>
      <c r="H3265" s="0">
        <v>237</v>
      </c>
      <c r="I3265" s="0">
        <v>61</v>
      </c>
      <c r="J3265" s="0">
        <v>0</v>
      </c>
      <c r="K3265" s="0">
        <v>1</v>
      </c>
      <c r="L3265" s="0">
        <v>4</v>
      </c>
      <c r="M3265" s="0">
        <v>1</v>
      </c>
      <c r="N3265" s="0">
        <v>0</v>
      </c>
      <c r="O3265" s="0">
        <v>0</v>
      </c>
      <c r="P3265" s="0">
        <v>0</v>
      </c>
      <c r="R3265" s="0" t="b">
        <v>0</v>
      </c>
      <c r="S3265" s="0" t="b">
        <v>1</v>
      </c>
      <c r="T3265" s="68">
        <v>45816.0126736111</v>
      </c>
      <c r="U3265" s="68">
        <v>45830.3333333333</v>
      </c>
      <c r="V3265" s="68">
        <v>0</v>
      </c>
      <c r="W3265" s="0">
        <f>IF(IF(B3265="none",1,IF(B3265="Trialer",1,0))+IF(C3265="Customer",1,IF(C3265="Lost",1,0))=2,1,0)</f>
      </c>
      <c r="X3265" s="0" t="s">
        <v>142</v>
      </c>
      <c r="Y3265" s="0" t="s">
        <v>243</v>
      </c>
      <c r="AV3265" s="68"/>
      <c r="AW3265" s="68"/>
      <c r="AY3265" s="27"/>
      <c r="BD3265" s="68">
        <v>46054.1666666667</v>
      </c>
      <c r="BE3265" s="68">
        <v>46082.1666666667</v>
      </c>
      <c r="BF3265" s="0" t="b">
        <v>0</v>
      </c>
      <c r="BG3265" s="0" t="b">
        <v>0</v>
      </c>
      <c r="BH3265" s="0">
        <v>61</v>
      </c>
      <c r="BI3265" s="0">
        <v>61</v>
      </c>
      <c r="BJ3265" s="0" t="s">
        <v>135</v>
      </c>
    </row>
    <row r="3266">
      <c r="A3266" s="0" t="s">
        <v>3519</v>
      </c>
      <c r="B3266" s="0" t="s">
        <v>134</v>
      </c>
      <c r="C3266" s="0" t="s">
        <v>134</v>
      </c>
      <c r="D3266" s="0" t="s">
        <v>230</v>
      </c>
      <c r="E3266" s="0" t="s">
        <v>3</v>
      </c>
      <c r="F3266" s="0" t="s">
        <v>12</v>
      </c>
      <c r="G3266" s="0" t="s">
        <v>8</v>
      </c>
      <c r="H3266" s="0">
        <v>237</v>
      </c>
      <c r="I3266" s="0">
        <v>118</v>
      </c>
      <c r="J3266" s="0">
        <v>0</v>
      </c>
      <c r="K3266" s="0">
        <v>1</v>
      </c>
      <c r="L3266" s="0">
        <v>5</v>
      </c>
      <c r="M3266" s="0">
        <v>2</v>
      </c>
      <c r="N3266" s="0">
        <v>0</v>
      </c>
      <c r="O3266" s="0">
        <v>0</v>
      </c>
      <c r="P3266" s="0">
        <v>-118</v>
      </c>
      <c r="R3266" s="0" t="b">
        <v>0</v>
      </c>
      <c r="S3266" s="0" t="b">
        <v>1</v>
      </c>
      <c r="T3266" s="68">
        <v>45816.7157175926</v>
      </c>
      <c r="U3266" s="68">
        <v>45832.3333333333</v>
      </c>
      <c r="V3266" s="68">
        <v>0</v>
      </c>
      <c r="W3266" s="0">
        <f>IF(IF(B3266="none",1,IF(B3266="Trialer",1,0))+IF(C3266="Customer",1,IF(C3266="Lost",1,0))=2,1,0)</f>
      </c>
      <c r="X3266" s="0" t="s">
        <v>142</v>
      </c>
      <c r="Y3266" s="0" t="s">
        <v>243</v>
      </c>
      <c r="AV3266" s="68"/>
      <c r="AW3266" s="68"/>
      <c r="AY3266" s="27"/>
      <c r="BD3266" s="68">
        <v>46054.1666666667</v>
      </c>
      <c r="BE3266" s="68">
        <v>46082.1666666667</v>
      </c>
      <c r="BF3266" s="0" t="b">
        <v>0</v>
      </c>
      <c r="BG3266" s="0" t="b">
        <v>0</v>
      </c>
      <c r="BH3266" s="0">
        <v>134</v>
      </c>
      <c r="BI3266" s="0">
        <v>134</v>
      </c>
      <c r="BJ3266" s="0" t="s">
        <v>230</v>
      </c>
    </row>
    <row r="3267">
      <c r="A3267" s="0" t="s">
        <v>3520</v>
      </c>
      <c r="B3267" s="0" t="s">
        <v>134</v>
      </c>
      <c r="C3267" s="0" t="s">
        <v>134</v>
      </c>
      <c r="D3267" s="0" t="s">
        <v>135</v>
      </c>
      <c r="E3267" s="0" t="s">
        <v>3</v>
      </c>
      <c r="F3267" s="0" t="s">
        <v>12</v>
      </c>
      <c r="G3267" s="0" t="s">
        <v>8</v>
      </c>
      <c r="H3267" s="0">
        <v>237</v>
      </c>
      <c r="I3267" s="0">
        <v>189</v>
      </c>
      <c r="J3267" s="0">
        <v>0</v>
      </c>
      <c r="K3267" s="0">
        <v>1</v>
      </c>
      <c r="L3267" s="0">
        <v>3</v>
      </c>
      <c r="M3267" s="0">
        <v>6</v>
      </c>
      <c r="N3267" s="0">
        <v>0</v>
      </c>
      <c r="O3267" s="0">
        <v>0</v>
      </c>
      <c r="P3267" s="0">
        <v>0</v>
      </c>
      <c r="R3267" s="0" t="b">
        <v>0</v>
      </c>
      <c r="S3267" s="0" t="b">
        <v>1</v>
      </c>
      <c r="T3267" s="68">
        <v>45816.8934722222</v>
      </c>
      <c r="U3267" s="68">
        <v>45830.3333333333</v>
      </c>
      <c r="V3267" s="68">
        <v>0</v>
      </c>
      <c r="W3267" s="0">
        <f>IF(IF(B3267="none",1,IF(B3267="Trialer",1,0))+IF(C3267="Customer",1,IF(C3267="Lost",1,0))=2,1,0)</f>
      </c>
      <c r="X3267" s="0" t="s">
        <v>136</v>
      </c>
      <c r="Y3267" s="0" t="s">
        <v>243</v>
      </c>
      <c r="AV3267" s="68"/>
      <c r="AW3267" s="68"/>
      <c r="AY3267" s="27"/>
      <c r="BD3267" s="68">
        <v>46054.1666666667</v>
      </c>
      <c r="BE3267" s="68">
        <v>46082.1666666667</v>
      </c>
      <c r="BF3267" s="0" t="b">
        <v>0</v>
      </c>
      <c r="BG3267" s="0" t="b">
        <v>0</v>
      </c>
      <c r="BH3267" s="0">
        <v>189</v>
      </c>
      <c r="BI3267" s="0">
        <v>189</v>
      </c>
      <c r="BJ3267" s="0" t="s">
        <v>135</v>
      </c>
    </row>
    <row r="3268">
      <c r="A3268" s="0" t="s">
        <v>3521</v>
      </c>
      <c r="B3268" s="0" t="s">
        <v>134</v>
      </c>
      <c r="C3268" s="0" t="s">
        <v>134</v>
      </c>
      <c r="D3268" s="0" t="s">
        <v>135</v>
      </c>
      <c r="E3268" s="0" t="s">
        <v>3</v>
      </c>
      <c r="F3268" s="0" t="s">
        <v>12</v>
      </c>
      <c r="G3268" s="0" t="s">
        <v>8</v>
      </c>
      <c r="H3268" s="0">
        <v>237</v>
      </c>
      <c r="I3268" s="0">
        <v>245</v>
      </c>
      <c r="J3268" s="0">
        <v>0</v>
      </c>
      <c r="K3268" s="0">
        <v>1</v>
      </c>
      <c r="L3268" s="0">
        <v>3</v>
      </c>
      <c r="M3268" s="0">
        <v>5</v>
      </c>
      <c r="N3268" s="0">
        <v>0</v>
      </c>
      <c r="O3268" s="0">
        <v>0</v>
      </c>
      <c r="P3268" s="0">
        <v>0</v>
      </c>
      <c r="R3268" s="0" t="b">
        <v>0</v>
      </c>
      <c r="S3268" s="0" t="b">
        <v>1</v>
      </c>
      <c r="T3268" s="68">
        <v>45816.9088194444</v>
      </c>
      <c r="U3268" s="68">
        <v>45825.3333333333</v>
      </c>
      <c r="V3268" s="68">
        <v>0</v>
      </c>
      <c r="W3268" s="0">
        <f>IF(IF(B3268="none",1,IF(B3268="Trialer",1,0))+IF(C3268="Customer",1,IF(C3268="Lost",1,0))=2,1,0)</f>
      </c>
      <c r="X3268" s="0" t="s">
        <v>145</v>
      </c>
      <c r="Y3268" s="0" t="s">
        <v>243</v>
      </c>
      <c r="AV3268" s="68"/>
      <c r="AW3268" s="68"/>
      <c r="AY3268" s="27"/>
      <c r="BD3268" s="68">
        <v>46054.1666666667</v>
      </c>
      <c r="BE3268" s="68">
        <v>46082.1666666667</v>
      </c>
      <c r="BF3268" s="0" t="b">
        <v>0</v>
      </c>
      <c r="BG3268" s="0" t="b">
        <v>0</v>
      </c>
      <c r="BH3268" s="0">
        <v>294</v>
      </c>
      <c r="BI3268" s="0">
        <v>294</v>
      </c>
      <c r="BJ3268" s="0" t="s">
        <v>135</v>
      </c>
    </row>
    <row r="3269">
      <c r="A3269" s="0" t="s">
        <v>3522</v>
      </c>
      <c r="B3269" s="0" t="s">
        <v>134</v>
      </c>
      <c r="C3269" s="0" t="s">
        <v>134</v>
      </c>
      <c r="D3269" s="0" t="s">
        <v>230</v>
      </c>
      <c r="E3269" s="0" t="s">
        <v>3</v>
      </c>
      <c r="F3269" s="0" t="s">
        <v>12</v>
      </c>
      <c r="G3269" s="0" t="s">
        <v>8</v>
      </c>
      <c r="H3269" s="0">
        <v>237</v>
      </c>
      <c r="I3269" s="0">
        <v>174.9</v>
      </c>
      <c r="J3269" s="0">
        <v>0</v>
      </c>
      <c r="K3269" s="0">
        <v>1</v>
      </c>
      <c r="L3269" s="0">
        <v>4</v>
      </c>
      <c r="M3269" s="0">
        <v>4</v>
      </c>
      <c r="N3269" s="0">
        <v>0</v>
      </c>
      <c r="O3269" s="0">
        <v>0</v>
      </c>
      <c r="P3269" s="0">
        <v>2071.5</v>
      </c>
      <c r="R3269" s="0" t="b">
        <v>0</v>
      </c>
      <c r="S3269" s="0" t="b">
        <v>1</v>
      </c>
      <c r="T3269" s="68">
        <v>45816.9426388889</v>
      </c>
      <c r="U3269" s="68">
        <v>45831.3333333333</v>
      </c>
      <c r="V3269" s="68">
        <v>0</v>
      </c>
      <c r="W3269" s="0">
        <f>IF(IF(B3269="none",1,IF(B3269="Trialer",1,0))+IF(C3269="Customer",1,IF(C3269="Lost",1,0))=2,1,0)</f>
      </c>
      <c r="X3269" s="0" t="s">
        <v>136</v>
      </c>
      <c r="Y3269" s="0" t="s">
        <v>243</v>
      </c>
      <c r="AV3269" s="68"/>
      <c r="AW3269" s="68"/>
      <c r="AY3269" s="27"/>
      <c r="BD3269" s="68">
        <v>46054.1666666667</v>
      </c>
      <c r="BE3269" s="68">
        <v>46082.1666666667</v>
      </c>
      <c r="BF3269" s="0" t="b">
        <v>0</v>
      </c>
      <c r="BG3269" s="0" t="b">
        <v>0</v>
      </c>
      <c r="BH3269" s="0">
        <v>236</v>
      </c>
      <c r="BI3269" s="0">
        <v>236</v>
      </c>
      <c r="BJ3269" s="0" t="s">
        <v>230</v>
      </c>
    </row>
    <row r="3270">
      <c r="A3270" s="0" t="s">
        <v>3523</v>
      </c>
      <c r="B3270" s="0" t="s">
        <v>134</v>
      </c>
      <c r="C3270" s="0" t="s">
        <v>134</v>
      </c>
      <c r="D3270" s="0" t="s">
        <v>135</v>
      </c>
      <c r="E3270" s="0" t="s">
        <v>3</v>
      </c>
      <c r="F3270" s="0" t="s">
        <v>12</v>
      </c>
      <c r="G3270" s="0" t="s">
        <v>8</v>
      </c>
      <c r="H3270" s="0">
        <v>236</v>
      </c>
      <c r="I3270" s="0">
        <v>134</v>
      </c>
      <c r="J3270" s="0">
        <v>0</v>
      </c>
      <c r="K3270" s="0">
        <v>1</v>
      </c>
      <c r="L3270" s="0">
        <v>5</v>
      </c>
      <c r="M3270" s="0">
        <v>2</v>
      </c>
      <c r="N3270" s="0">
        <v>0</v>
      </c>
      <c r="O3270" s="0">
        <v>0</v>
      </c>
      <c r="P3270" s="0">
        <v>0</v>
      </c>
      <c r="R3270" s="0" t="b">
        <v>0</v>
      </c>
      <c r="S3270" s="0" t="b">
        <v>1</v>
      </c>
      <c r="T3270" s="68">
        <v>45817.4079976852</v>
      </c>
      <c r="U3270" s="68">
        <v>45852.3333333333</v>
      </c>
      <c r="V3270" s="68">
        <v>0</v>
      </c>
      <c r="W3270" s="0">
        <f>IF(IF(B3270="none",1,IF(B3270="Trialer",1,0))+IF(C3270="Customer",1,IF(C3270="Lost",1,0))=2,1,0)</f>
      </c>
      <c r="X3270" s="0" t="s">
        <v>142</v>
      </c>
      <c r="Y3270" s="0" t="s">
        <v>243</v>
      </c>
      <c r="AV3270" s="68"/>
      <c r="AW3270" s="68"/>
      <c r="AY3270" s="27"/>
      <c r="BD3270" s="68">
        <v>46054.1666666667</v>
      </c>
      <c r="BE3270" s="68">
        <v>46082.1666666667</v>
      </c>
      <c r="BF3270" s="0" t="b">
        <v>0</v>
      </c>
      <c r="BG3270" s="0" t="b">
        <v>0</v>
      </c>
      <c r="BH3270" s="0">
        <v>134</v>
      </c>
      <c r="BI3270" s="0">
        <v>134</v>
      </c>
      <c r="BJ3270" s="0" t="s">
        <v>135</v>
      </c>
    </row>
    <row r="3271">
      <c r="A3271" s="0" t="s">
        <v>3524</v>
      </c>
      <c r="B3271" s="0" t="s">
        <v>134</v>
      </c>
      <c r="C3271" s="0" t="s">
        <v>134</v>
      </c>
      <c r="D3271" s="0" t="s">
        <v>135</v>
      </c>
      <c r="E3271" s="0" t="s">
        <v>2</v>
      </c>
      <c r="F3271" s="0" t="s">
        <v>12</v>
      </c>
      <c r="G3271" s="0" t="s">
        <v>8</v>
      </c>
      <c r="H3271" s="0">
        <v>236</v>
      </c>
      <c r="I3271" s="0">
        <v>472</v>
      </c>
      <c r="J3271" s="0">
        <v>0</v>
      </c>
      <c r="K3271" s="0">
        <v>1</v>
      </c>
      <c r="L3271" s="0">
        <v>3</v>
      </c>
      <c r="M3271" s="0">
        <v>3</v>
      </c>
      <c r="N3271" s="0">
        <v>0</v>
      </c>
      <c r="O3271" s="0">
        <v>0</v>
      </c>
      <c r="P3271" s="0">
        <v>0</v>
      </c>
      <c r="R3271" s="0" t="b">
        <v>0</v>
      </c>
      <c r="S3271" s="0" t="b">
        <v>1</v>
      </c>
      <c r="T3271" s="68">
        <v>45817.5918634259</v>
      </c>
      <c r="U3271" s="68">
        <v>45817.3333333333</v>
      </c>
      <c r="V3271" s="68">
        <v>0</v>
      </c>
      <c r="W3271" s="0">
        <f>IF(IF(B3271="none",1,IF(B3271="Trialer",1,0))+IF(C3271="Customer",1,IF(C3271="Lost",1,0))=2,1,0)</f>
      </c>
      <c r="X3271" s="0" t="s">
        <v>145</v>
      </c>
      <c r="Y3271" s="0" t="s">
        <v>499</v>
      </c>
      <c r="AV3271" s="68"/>
      <c r="AW3271" s="68"/>
      <c r="AY3271" s="27"/>
      <c r="BD3271" s="68">
        <v>46054.1666666667</v>
      </c>
      <c r="BE3271" s="68">
        <v>46082.1666666667</v>
      </c>
      <c r="BF3271" s="0" t="b">
        <v>0</v>
      </c>
      <c r="BG3271" s="0" t="b">
        <v>0</v>
      </c>
      <c r="BH3271" s="0">
        <v>147</v>
      </c>
      <c r="BI3271" s="0">
        <v>147</v>
      </c>
      <c r="BJ3271" s="0" t="s">
        <v>135</v>
      </c>
    </row>
    <row r="3272">
      <c r="A3272" s="0" t="s">
        <v>3525</v>
      </c>
      <c r="B3272" s="0" t="s">
        <v>134</v>
      </c>
      <c r="C3272" s="0" t="s">
        <v>134</v>
      </c>
      <c r="D3272" s="0" t="s">
        <v>230</v>
      </c>
      <c r="E3272" s="0" t="s">
        <v>3</v>
      </c>
      <c r="F3272" s="0" t="s">
        <v>12</v>
      </c>
      <c r="G3272" s="0" t="s">
        <v>8</v>
      </c>
      <c r="H3272" s="0">
        <v>236</v>
      </c>
      <c r="I3272" s="0">
        <v>73.5</v>
      </c>
      <c r="J3272" s="0">
        <v>0</v>
      </c>
      <c r="K3272" s="0">
        <v>1</v>
      </c>
      <c r="L3272" s="0">
        <v>3</v>
      </c>
      <c r="M3272" s="0">
        <v>2</v>
      </c>
      <c r="N3272" s="0">
        <v>0</v>
      </c>
      <c r="O3272" s="0">
        <v>0</v>
      </c>
      <c r="P3272" s="0">
        <v>-73.5</v>
      </c>
      <c r="R3272" s="0" t="b">
        <v>0</v>
      </c>
      <c r="S3272" s="0" t="b">
        <v>1</v>
      </c>
      <c r="T3272" s="68">
        <v>45817.6718055556</v>
      </c>
      <c r="U3272" s="68">
        <v>45834.3333333333</v>
      </c>
      <c r="V3272" s="68">
        <v>0</v>
      </c>
      <c r="W3272" s="0">
        <f>IF(IF(B3272="none",1,IF(B3272="Trialer",1,0))+IF(C3272="Customer",1,IF(C3272="Lost",1,0))=2,1,0)</f>
      </c>
      <c r="X3272" s="0" t="s">
        <v>653</v>
      </c>
      <c r="Y3272" s="0" t="s">
        <v>243</v>
      </c>
      <c r="AV3272" s="68"/>
      <c r="AW3272" s="68"/>
      <c r="AY3272" s="27"/>
      <c r="BD3272" s="68">
        <v>46054.1666666667</v>
      </c>
      <c r="BE3272" s="68">
        <v>46082.1666666667</v>
      </c>
      <c r="BF3272" s="0" t="b">
        <v>0</v>
      </c>
      <c r="BG3272" s="0" t="b">
        <v>0</v>
      </c>
      <c r="BH3272" s="0">
        <v>98</v>
      </c>
      <c r="BI3272" s="0">
        <v>98</v>
      </c>
      <c r="BJ3272" s="0" t="s">
        <v>230</v>
      </c>
    </row>
    <row r="3273">
      <c r="A3273" s="0" t="s">
        <v>3526</v>
      </c>
      <c r="B3273" s="0" t="s">
        <v>134</v>
      </c>
      <c r="C3273" s="0" t="s">
        <v>134</v>
      </c>
      <c r="D3273" s="0" t="s">
        <v>230</v>
      </c>
      <c r="E3273" s="0" t="s">
        <v>3</v>
      </c>
      <c r="F3273" s="0" t="s">
        <v>12</v>
      </c>
      <c r="G3273" s="0" t="s">
        <v>8</v>
      </c>
      <c r="H3273" s="0">
        <v>236</v>
      </c>
      <c r="I3273" s="0">
        <v>110.25</v>
      </c>
      <c r="J3273" s="0">
        <v>0</v>
      </c>
      <c r="K3273" s="0">
        <v>1</v>
      </c>
      <c r="L3273" s="0">
        <v>3</v>
      </c>
      <c r="M3273" s="0">
        <v>3</v>
      </c>
      <c r="N3273" s="0">
        <v>0</v>
      </c>
      <c r="O3273" s="0">
        <v>0</v>
      </c>
      <c r="P3273" s="0">
        <v>-110.25</v>
      </c>
      <c r="R3273" s="0" t="b">
        <v>0</v>
      </c>
      <c r="S3273" s="0" t="b">
        <v>1</v>
      </c>
      <c r="T3273" s="68">
        <v>45817.6840277778</v>
      </c>
      <c r="U3273" s="68">
        <v>45834.3333333333</v>
      </c>
      <c r="V3273" s="68">
        <v>0</v>
      </c>
      <c r="W3273" s="0">
        <f>IF(IF(B3273="none",1,IF(B3273="Trialer",1,0))+IF(C3273="Customer",1,IF(C3273="Lost",1,0))=2,1,0)</f>
      </c>
      <c r="X3273" s="0" t="s">
        <v>653</v>
      </c>
      <c r="Y3273" s="0" t="s">
        <v>243</v>
      </c>
      <c r="AV3273" s="68"/>
      <c r="AW3273" s="68"/>
      <c r="AY3273" s="27"/>
      <c r="BD3273" s="68">
        <v>46054.1666666667</v>
      </c>
      <c r="BE3273" s="68">
        <v>46082.1666666667</v>
      </c>
      <c r="BF3273" s="0" t="b">
        <v>0</v>
      </c>
      <c r="BG3273" s="0" t="b">
        <v>0</v>
      </c>
      <c r="BH3273" s="0">
        <v>147</v>
      </c>
      <c r="BI3273" s="0">
        <v>147</v>
      </c>
      <c r="BJ3273" s="0" t="s">
        <v>230</v>
      </c>
    </row>
    <row r="3274">
      <c r="A3274" s="0" t="s">
        <v>3527</v>
      </c>
      <c r="B3274" s="0" t="s">
        <v>134</v>
      </c>
      <c r="C3274" s="0" t="s">
        <v>134</v>
      </c>
      <c r="D3274" s="0" t="s">
        <v>135</v>
      </c>
      <c r="E3274" s="0" t="s">
        <v>3</v>
      </c>
      <c r="F3274" s="0" t="s">
        <v>12</v>
      </c>
      <c r="G3274" s="0" t="s">
        <v>8</v>
      </c>
      <c r="H3274" s="0">
        <v>236</v>
      </c>
      <c r="I3274" s="0">
        <v>221</v>
      </c>
      <c r="J3274" s="0">
        <v>0</v>
      </c>
      <c r="K3274" s="0">
        <v>1</v>
      </c>
      <c r="L3274" s="0">
        <v>4</v>
      </c>
      <c r="M3274" s="0">
        <v>5</v>
      </c>
      <c r="N3274" s="0">
        <v>0</v>
      </c>
      <c r="O3274" s="0">
        <v>0</v>
      </c>
      <c r="P3274" s="0">
        <v>0</v>
      </c>
      <c r="R3274" s="0" t="b">
        <v>0</v>
      </c>
      <c r="S3274" s="0" t="b">
        <v>1</v>
      </c>
      <c r="T3274" s="68">
        <v>45817.7438310185</v>
      </c>
      <c r="U3274" s="68">
        <v>45846.3333333333</v>
      </c>
      <c r="V3274" s="68">
        <v>0</v>
      </c>
      <c r="W3274" s="0">
        <f>IF(IF(B3274="none",1,IF(B3274="Trialer",1,0))+IF(C3274="Customer",1,IF(C3274="Lost",1,0))=2,1,0)</f>
      </c>
      <c r="X3274" s="0" t="s">
        <v>136</v>
      </c>
      <c r="Y3274" s="0" t="s">
        <v>243</v>
      </c>
      <c r="AV3274" s="68"/>
      <c r="AW3274" s="68"/>
      <c r="AY3274" s="27"/>
      <c r="BD3274" s="68">
        <v>46054.1666666667</v>
      </c>
      <c r="BE3274" s="68">
        <v>46082.1666666667</v>
      </c>
      <c r="BF3274" s="0" t="b">
        <v>0</v>
      </c>
      <c r="BG3274" s="0" t="b">
        <v>0</v>
      </c>
      <c r="BH3274" s="0">
        <v>221</v>
      </c>
      <c r="BI3274" s="0">
        <v>221</v>
      </c>
      <c r="BJ3274" s="0" t="s">
        <v>135</v>
      </c>
    </row>
    <row r="3275">
      <c r="A3275" s="0" t="s">
        <v>3528</v>
      </c>
      <c r="B3275" s="0" t="s">
        <v>134</v>
      </c>
      <c r="C3275" s="0" t="s">
        <v>134</v>
      </c>
      <c r="D3275" s="0" t="s">
        <v>230</v>
      </c>
      <c r="E3275" s="0" t="s">
        <v>3</v>
      </c>
      <c r="F3275" s="0" t="s">
        <v>12</v>
      </c>
      <c r="G3275" s="0" t="s">
        <v>8</v>
      </c>
      <c r="H3275" s="0">
        <v>235</v>
      </c>
      <c r="I3275" s="0">
        <v>712.5</v>
      </c>
      <c r="J3275" s="0">
        <v>0</v>
      </c>
      <c r="K3275" s="0">
        <v>1</v>
      </c>
      <c r="L3275" s="0">
        <v>4</v>
      </c>
      <c r="M3275" s="0">
        <v>23</v>
      </c>
      <c r="N3275" s="0">
        <v>0</v>
      </c>
      <c r="O3275" s="0">
        <v>0</v>
      </c>
      <c r="P3275" s="0">
        <v>-712.5</v>
      </c>
      <c r="R3275" s="0" t="b">
        <v>0</v>
      </c>
      <c r="S3275" s="0" t="b">
        <v>1</v>
      </c>
      <c r="T3275" s="68">
        <v>45818.4177430556</v>
      </c>
      <c r="U3275" s="68">
        <v>45832.3333333333</v>
      </c>
      <c r="V3275" s="68">
        <v>0</v>
      </c>
      <c r="W3275" s="0">
        <f>IF(IF(B3275="none",1,IF(B3275="Trialer",1,0))+IF(C3275="Customer",1,IF(C3275="Lost",1,0))=2,1,0)</f>
      </c>
      <c r="X3275" s="0" t="s">
        <v>148</v>
      </c>
      <c r="Y3275" s="0" t="s">
        <v>243</v>
      </c>
      <c r="AV3275" s="68"/>
      <c r="AW3275" s="68"/>
      <c r="AY3275" s="27"/>
      <c r="BD3275" s="68">
        <v>46054.1666666667</v>
      </c>
      <c r="BE3275" s="68">
        <v>46082.1666666667</v>
      </c>
      <c r="BF3275" s="0" t="b">
        <v>0</v>
      </c>
      <c r="BG3275" s="0" t="b">
        <v>0</v>
      </c>
      <c r="BH3275" s="0">
        <v>829</v>
      </c>
      <c r="BI3275" s="0">
        <v>829</v>
      </c>
      <c r="BJ3275" s="0" t="s">
        <v>230</v>
      </c>
    </row>
    <row r="3276">
      <c r="A3276" s="0" t="s">
        <v>3529</v>
      </c>
      <c r="B3276" s="0" t="s">
        <v>134</v>
      </c>
      <c r="C3276" s="0" t="s">
        <v>134</v>
      </c>
      <c r="D3276" s="0" t="s">
        <v>135</v>
      </c>
      <c r="E3276" s="0" t="s">
        <v>3</v>
      </c>
      <c r="F3276" s="0" t="s">
        <v>12</v>
      </c>
      <c r="G3276" s="0" t="s">
        <v>8</v>
      </c>
      <c r="H3276" s="0">
        <v>235</v>
      </c>
      <c r="I3276" s="0">
        <v>159</v>
      </c>
      <c r="J3276" s="0">
        <v>0</v>
      </c>
      <c r="K3276" s="0">
        <v>1</v>
      </c>
      <c r="L3276" s="0">
        <v>4</v>
      </c>
      <c r="M3276" s="0">
        <v>3</v>
      </c>
      <c r="N3276" s="0">
        <v>0</v>
      </c>
      <c r="O3276" s="0">
        <v>0</v>
      </c>
      <c r="P3276" s="0">
        <v>0</v>
      </c>
      <c r="R3276" s="0" t="b">
        <v>0</v>
      </c>
      <c r="S3276" s="0" t="b">
        <v>1</v>
      </c>
      <c r="T3276" s="68">
        <v>45818.4497685185</v>
      </c>
      <c r="U3276" s="68">
        <v>45855.3333333333</v>
      </c>
      <c r="V3276" s="68">
        <v>0</v>
      </c>
      <c r="W3276" s="0">
        <f>IF(IF(B3276="none",1,IF(B3276="Trialer",1,0))+IF(C3276="Customer",1,IF(C3276="Lost",1,0))=2,1,0)</f>
      </c>
      <c r="X3276" s="0" t="s">
        <v>142</v>
      </c>
      <c r="Y3276" s="0" t="s">
        <v>243</v>
      </c>
      <c r="AV3276" s="68"/>
      <c r="AW3276" s="68"/>
      <c r="AY3276" s="27"/>
      <c r="BD3276" s="68">
        <v>46054.1666666667</v>
      </c>
      <c r="BE3276" s="68">
        <v>46082.1666666667</v>
      </c>
      <c r="BF3276" s="0" t="b">
        <v>0</v>
      </c>
      <c r="BG3276" s="0" t="b">
        <v>0</v>
      </c>
      <c r="BH3276" s="0">
        <v>208</v>
      </c>
      <c r="BI3276" s="0">
        <v>208</v>
      </c>
      <c r="BJ3276" s="0" t="s">
        <v>135</v>
      </c>
    </row>
    <row r="3277">
      <c r="A3277" s="0" t="s">
        <v>3530</v>
      </c>
      <c r="B3277" s="0" t="s">
        <v>134</v>
      </c>
      <c r="C3277" s="0" t="s">
        <v>134</v>
      </c>
      <c r="D3277" s="0" t="s">
        <v>135</v>
      </c>
      <c r="E3277" s="0" t="s">
        <v>3</v>
      </c>
      <c r="F3277" s="0" t="s">
        <v>10</v>
      </c>
      <c r="G3277" s="0" t="s">
        <v>8</v>
      </c>
      <c r="H3277" s="0">
        <v>235</v>
      </c>
      <c r="I3277" s="0">
        <v>621</v>
      </c>
      <c r="J3277" s="0">
        <v>0</v>
      </c>
      <c r="K3277" s="0">
        <v>1</v>
      </c>
      <c r="L3277" s="0">
        <v>4</v>
      </c>
      <c r="M3277" s="0">
        <v>17</v>
      </c>
      <c r="N3277" s="0">
        <v>0</v>
      </c>
      <c r="O3277" s="0">
        <v>0</v>
      </c>
      <c r="P3277" s="0">
        <v>0</v>
      </c>
      <c r="Q3277" s="0" t="s">
        <v>1919</v>
      </c>
      <c r="R3277" s="0" t="b">
        <v>0</v>
      </c>
      <c r="S3277" s="0" t="b">
        <v>1</v>
      </c>
      <c r="T3277" s="68">
        <v>45818.5876388889</v>
      </c>
      <c r="U3277" s="68">
        <v>45832.3333333333</v>
      </c>
      <c r="V3277" s="68">
        <v>0</v>
      </c>
      <c r="W3277" s="0">
        <f>IF(IF(B3277="none",1,IF(B3277="Trialer",1,0))+IF(C3277="Customer",1,IF(C3277="Lost",1,0))=2,1,0)</f>
      </c>
      <c r="X3277" s="0" t="s">
        <v>145</v>
      </c>
      <c r="Y3277" s="0" t="s">
        <v>1792</v>
      </c>
      <c r="AV3277" s="68"/>
      <c r="AW3277" s="68"/>
      <c r="AY3277" s="27"/>
      <c r="BD3277" s="68">
        <v>46054.1666666667</v>
      </c>
      <c r="BE3277" s="68">
        <v>46082.1666666667</v>
      </c>
      <c r="BF3277" s="0" t="b">
        <v>0</v>
      </c>
      <c r="BG3277" s="0" t="b">
        <v>0</v>
      </c>
      <c r="BH3277" s="0">
        <v>536</v>
      </c>
      <c r="BI3277" s="0">
        <v>536</v>
      </c>
      <c r="BJ3277" s="0" t="s">
        <v>135</v>
      </c>
    </row>
    <row r="3278">
      <c r="A3278" s="0" t="s">
        <v>3531</v>
      </c>
      <c r="B3278" s="0" t="s">
        <v>134</v>
      </c>
      <c r="C3278" s="0" t="s">
        <v>134</v>
      </c>
      <c r="D3278" s="0" t="s">
        <v>135</v>
      </c>
      <c r="E3278" s="0" t="s">
        <v>3</v>
      </c>
      <c r="F3278" s="0" t="s">
        <v>12</v>
      </c>
      <c r="G3278" s="0" t="s">
        <v>8</v>
      </c>
      <c r="H3278" s="0">
        <v>234</v>
      </c>
      <c r="I3278" s="0">
        <v>98</v>
      </c>
      <c r="J3278" s="0">
        <v>0</v>
      </c>
      <c r="K3278" s="0">
        <v>1</v>
      </c>
      <c r="L3278" s="0">
        <v>3</v>
      </c>
      <c r="M3278" s="0">
        <v>2</v>
      </c>
      <c r="N3278" s="0">
        <v>0</v>
      </c>
      <c r="O3278" s="0">
        <v>0</v>
      </c>
      <c r="P3278" s="0">
        <v>0</v>
      </c>
      <c r="R3278" s="0" t="b">
        <v>0</v>
      </c>
      <c r="S3278" s="0" t="b">
        <v>1</v>
      </c>
      <c r="T3278" s="68">
        <v>45819.5423263889</v>
      </c>
      <c r="U3278" s="68">
        <v>45833.3333333333</v>
      </c>
      <c r="V3278" s="68">
        <v>0</v>
      </c>
      <c r="W3278" s="0">
        <f>IF(IF(B3278="none",1,IF(B3278="Trialer",1,0))+IF(C3278="Customer",1,IF(C3278="Lost",1,0))=2,1,0)</f>
      </c>
      <c r="X3278" s="0" t="s">
        <v>153</v>
      </c>
      <c r="Y3278" s="0" t="s">
        <v>243</v>
      </c>
      <c r="AV3278" s="68"/>
      <c r="AW3278" s="68"/>
      <c r="AY3278" s="27"/>
      <c r="BD3278" s="68">
        <v>46054.1666666667</v>
      </c>
      <c r="BE3278" s="68">
        <v>46082.1666666667</v>
      </c>
      <c r="BF3278" s="0" t="b">
        <v>0</v>
      </c>
      <c r="BG3278" s="0" t="b">
        <v>0</v>
      </c>
      <c r="BH3278" s="0">
        <v>98</v>
      </c>
      <c r="BI3278" s="0">
        <v>98</v>
      </c>
      <c r="BJ3278" s="0" t="s">
        <v>135</v>
      </c>
    </row>
    <row r="3279">
      <c r="A3279" s="0" t="s">
        <v>3532</v>
      </c>
      <c r="B3279" s="0" t="s">
        <v>134</v>
      </c>
      <c r="C3279" s="0" t="s">
        <v>134</v>
      </c>
      <c r="D3279" s="0" t="s">
        <v>230</v>
      </c>
      <c r="E3279" s="0" t="s">
        <v>3</v>
      </c>
      <c r="F3279" s="0" t="s">
        <v>12</v>
      </c>
      <c r="G3279" s="0" t="s">
        <v>8</v>
      </c>
      <c r="H3279" s="0">
        <v>234</v>
      </c>
      <c r="I3279" s="0">
        <v>73.5</v>
      </c>
      <c r="J3279" s="0">
        <v>0</v>
      </c>
      <c r="K3279" s="0">
        <v>1</v>
      </c>
      <c r="L3279" s="0">
        <v>3</v>
      </c>
      <c r="M3279" s="0">
        <v>2</v>
      </c>
      <c r="N3279" s="0">
        <v>0</v>
      </c>
      <c r="O3279" s="0">
        <v>0</v>
      </c>
      <c r="P3279" s="0">
        <v>-73.5</v>
      </c>
      <c r="R3279" s="0" t="b">
        <v>0</v>
      </c>
      <c r="S3279" s="0" t="b">
        <v>1</v>
      </c>
      <c r="T3279" s="68">
        <v>45819.7102083333</v>
      </c>
      <c r="U3279" s="68">
        <v>45845.3333333333</v>
      </c>
      <c r="V3279" s="68">
        <v>0</v>
      </c>
      <c r="W3279" s="0">
        <f>IF(IF(B3279="none",1,IF(B3279="Trialer",1,0))+IF(C3279="Customer",1,IF(C3279="Lost",1,0))=2,1,0)</f>
      </c>
      <c r="X3279" s="0" t="s">
        <v>142</v>
      </c>
      <c r="Y3279" s="0" t="s">
        <v>243</v>
      </c>
      <c r="AV3279" s="68"/>
      <c r="AW3279" s="68"/>
      <c r="AY3279" s="27"/>
      <c r="BD3279" s="68">
        <v>46054.1666666667</v>
      </c>
      <c r="BE3279" s="68">
        <v>46082.1666666667</v>
      </c>
      <c r="BF3279" s="0" t="b">
        <v>0</v>
      </c>
      <c r="BG3279" s="0" t="b">
        <v>0</v>
      </c>
      <c r="BH3279" s="0">
        <v>98</v>
      </c>
      <c r="BI3279" s="0">
        <v>98</v>
      </c>
      <c r="BJ3279" s="0" t="s">
        <v>230</v>
      </c>
    </row>
    <row r="3280">
      <c r="A3280" s="0" t="s">
        <v>3533</v>
      </c>
      <c r="B3280" s="0" t="s">
        <v>134</v>
      </c>
      <c r="C3280" s="0" t="s">
        <v>134</v>
      </c>
      <c r="D3280" s="0" t="s">
        <v>230</v>
      </c>
      <c r="E3280" s="0" t="s">
        <v>3</v>
      </c>
      <c r="F3280" s="0" t="s">
        <v>12</v>
      </c>
      <c r="G3280" s="0" t="s">
        <v>8</v>
      </c>
      <c r="H3280" s="0">
        <v>234</v>
      </c>
      <c r="I3280" s="0">
        <v>63</v>
      </c>
      <c r="J3280" s="0">
        <v>0</v>
      </c>
      <c r="K3280" s="0">
        <v>1</v>
      </c>
      <c r="L3280" s="0">
        <v>1</v>
      </c>
      <c r="M3280" s="0">
        <v>3</v>
      </c>
      <c r="N3280" s="0">
        <v>0</v>
      </c>
      <c r="O3280" s="0">
        <v>0</v>
      </c>
      <c r="P3280" s="0">
        <v>-63</v>
      </c>
      <c r="R3280" s="0" t="b">
        <v>0</v>
      </c>
      <c r="S3280" s="0" t="b">
        <v>1</v>
      </c>
      <c r="T3280" s="68">
        <v>45819.7810416667</v>
      </c>
      <c r="U3280" s="68">
        <v>45832.3333333333</v>
      </c>
      <c r="V3280" s="68">
        <v>0</v>
      </c>
      <c r="W3280" s="0">
        <f>IF(IF(B3280="none",1,IF(B3280="Trialer",1,0))+IF(C3280="Customer",1,IF(C3280="Lost",1,0))=2,1,0)</f>
      </c>
      <c r="X3280" s="0" t="s">
        <v>166</v>
      </c>
      <c r="Y3280" s="0" t="s">
        <v>243</v>
      </c>
      <c r="AV3280" s="68"/>
      <c r="AW3280" s="68"/>
      <c r="AY3280" s="27"/>
      <c r="BD3280" s="68">
        <v>46054.1666666667</v>
      </c>
      <c r="BE3280" s="68">
        <v>46082.1666666667</v>
      </c>
      <c r="BF3280" s="0" t="b">
        <v>0</v>
      </c>
      <c r="BG3280" s="0" t="b">
        <v>0</v>
      </c>
      <c r="BH3280" s="0">
        <v>84</v>
      </c>
      <c r="BI3280" s="0">
        <v>84</v>
      </c>
      <c r="BJ3280" s="0" t="s">
        <v>230</v>
      </c>
    </row>
    <row r="3281">
      <c r="A3281" s="0" t="s">
        <v>3534</v>
      </c>
      <c r="B3281" s="0" t="s">
        <v>134</v>
      </c>
      <c r="C3281" s="0" t="s">
        <v>134</v>
      </c>
      <c r="D3281" s="0" t="s">
        <v>230</v>
      </c>
      <c r="E3281" s="0" t="s">
        <v>3</v>
      </c>
      <c r="F3281" s="0" t="s">
        <v>12</v>
      </c>
      <c r="G3281" s="0" t="s">
        <v>8</v>
      </c>
      <c r="H3281" s="0">
        <v>233</v>
      </c>
      <c r="I3281" s="0">
        <v>304</v>
      </c>
      <c r="J3281" s="0">
        <v>0</v>
      </c>
      <c r="K3281" s="0">
        <v>1</v>
      </c>
      <c r="L3281" s="0">
        <v>4</v>
      </c>
      <c r="M3281" s="0">
        <v>6</v>
      </c>
      <c r="N3281" s="0">
        <v>0</v>
      </c>
      <c r="O3281" s="0">
        <v>0</v>
      </c>
      <c r="P3281" s="0">
        <v>-304</v>
      </c>
      <c r="R3281" s="0" t="b">
        <v>0</v>
      </c>
      <c r="S3281" s="0" t="b">
        <v>1</v>
      </c>
      <c r="T3281" s="68">
        <v>45820.5338425926</v>
      </c>
      <c r="U3281" s="68">
        <v>45846.3333333333</v>
      </c>
      <c r="V3281" s="68">
        <v>0</v>
      </c>
      <c r="W3281" s="0">
        <f>IF(IF(B3281="none",1,IF(B3281="Trialer",1,0))+IF(C3281="Customer",1,IF(C3281="Lost",1,0))=2,1,0)</f>
      </c>
      <c r="X3281" s="0" t="s">
        <v>148</v>
      </c>
      <c r="Y3281" s="0" t="s">
        <v>243</v>
      </c>
      <c r="AV3281" s="68"/>
      <c r="AW3281" s="68"/>
      <c r="AY3281" s="27"/>
      <c r="BD3281" s="68">
        <v>46054.1666666667</v>
      </c>
      <c r="BE3281" s="68">
        <v>46082.1666666667</v>
      </c>
      <c r="BF3281" s="0" t="b">
        <v>0</v>
      </c>
      <c r="BG3281" s="0" t="b">
        <v>0</v>
      </c>
      <c r="BH3281" s="0">
        <v>342</v>
      </c>
      <c r="BI3281" s="0">
        <v>342</v>
      </c>
      <c r="BJ3281" s="0" t="s">
        <v>230</v>
      </c>
    </row>
    <row r="3282">
      <c r="A3282" s="0" t="s">
        <v>3535</v>
      </c>
      <c r="B3282" s="0" t="s">
        <v>134</v>
      </c>
      <c r="C3282" s="0" t="s">
        <v>134</v>
      </c>
      <c r="D3282" s="0" t="s">
        <v>135</v>
      </c>
      <c r="E3282" s="0" t="s">
        <v>3</v>
      </c>
      <c r="F3282" s="0" t="s">
        <v>12</v>
      </c>
      <c r="G3282" s="0" t="s">
        <v>8</v>
      </c>
      <c r="H3282" s="0">
        <v>233</v>
      </c>
      <c r="I3282" s="0">
        <v>134</v>
      </c>
      <c r="J3282" s="0">
        <v>0</v>
      </c>
      <c r="K3282" s="0">
        <v>1</v>
      </c>
      <c r="L3282" s="0">
        <v>3</v>
      </c>
      <c r="M3282" s="0">
        <v>4</v>
      </c>
      <c r="N3282" s="0">
        <v>0</v>
      </c>
      <c r="O3282" s="0">
        <v>0</v>
      </c>
      <c r="P3282" s="0">
        <v>0</v>
      </c>
      <c r="R3282" s="0" t="b">
        <v>0</v>
      </c>
      <c r="S3282" s="0" t="b">
        <v>1</v>
      </c>
      <c r="T3282" s="68">
        <v>45820.7682175926</v>
      </c>
      <c r="U3282" s="68">
        <v>45828.3333333333</v>
      </c>
      <c r="V3282" s="68">
        <v>0</v>
      </c>
      <c r="W3282" s="0">
        <f>IF(IF(B3282="none",1,IF(B3282="Trialer",1,0))+IF(C3282="Customer",1,IF(C3282="Lost",1,0))=2,1,0)</f>
      </c>
      <c r="X3282" s="0" t="s">
        <v>882</v>
      </c>
      <c r="Y3282" s="0" t="s">
        <v>243</v>
      </c>
      <c r="AV3282" s="68"/>
      <c r="AW3282" s="68"/>
      <c r="AY3282" s="27"/>
      <c r="BD3282" s="68">
        <v>46054.1666666667</v>
      </c>
      <c r="BE3282" s="68">
        <v>46082.1666666667</v>
      </c>
      <c r="BF3282" s="0" t="b">
        <v>0</v>
      </c>
      <c r="BG3282" s="0" t="b">
        <v>0</v>
      </c>
      <c r="BH3282" s="0">
        <v>134</v>
      </c>
      <c r="BI3282" s="0">
        <v>134</v>
      </c>
      <c r="BJ3282" s="0" t="s">
        <v>135</v>
      </c>
    </row>
    <row r="3283">
      <c r="A3283" s="0" t="s">
        <v>3536</v>
      </c>
      <c r="B3283" s="0" t="s">
        <v>134</v>
      </c>
      <c r="C3283" s="0" t="s">
        <v>134</v>
      </c>
      <c r="D3283" s="0" t="s">
        <v>230</v>
      </c>
      <c r="E3283" s="0" t="s">
        <v>3</v>
      </c>
      <c r="F3283" s="0" t="s">
        <v>12</v>
      </c>
      <c r="G3283" s="0" t="s">
        <v>8</v>
      </c>
      <c r="H3283" s="0">
        <v>232</v>
      </c>
      <c r="I3283" s="0">
        <v>892.9</v>
      </c>
      <c r="J3283" s="0">
        <v>0</v>
      </c>
      <c r="K3283" s="0">
        <v>1</v>
      </c>
      <c r="L3283" s="0">
        <v>4</v>
      </c>
      <c r="M3283" s="0">
        <v>13</v>
      </c>
      <c r="N3283" s="0">
        <v>0</v>
      </c>
      <c r="O3283" s="0">
        <v>0</v>
      </c>
      <c r="P3283" s="0">
        <v>-567.9</v>
      </c>
      <c r="R3283" s="0" t="b">
        <v>0</v>
      </c>
      <c r="S3283" s="0" t="b">
        <v>1</v>
      </c>
      <c r="T3283" s="68">
        <v>45821.4963773148</v>
      </c>
      <c r="U3283" s="68">
        <v>45832.3333333333</v>
      </c>
      <c r="V3283" s="68">
        <v>0</v>
      </c>
      <c r="W3283" s="0">
        <f>IF(IF(B3283="none",1,IF(B3283="Trialer",1,0))+IF(C3283="Customer",1,IF(C3283="Lost",1,0))=2,1,0)</f>
      </c>
      <c r="X3283" s="0" t="s">
        <v>136</v>
      </c>
      <c r="Y3283" s="0" t="s">
        <v>243</v>
      </c>
      <c r="AV3283" s="68"/>
      <c r="AW3283" s="68"/>
      <c r="AY3283" s="27"/>
      <c r="BD3283" s="68">
        <v>46054.1666666667</v>
      </c>
      <c r="BE3283" s="68">
        <v>46082.1666666667</v>
      </c>
      <c r="BF3283" s="0" t="b">
        <v>0</v>
      </c>
      <c r="BG3283" s="0" t="b">
        <v>0</v>
      </c>
      <c r="BH3283" s="0">
        <v>720</v>
      </c>
      <c r="BI3283" s="0">
        <v>720</v>
      </c>
      <c r="BJ3283" s="0" t="s">
        <v>230</v>
      </c>
    </row>
    <row r="3284">
      <c r="A3284" s="0" t="s">
        <v>3537</v>
      </c>
      <c r="B3284" s="0" t="s">
        <v>134</v>
      </c>
      <c r="C3284" s="0" t="s">
        <v>134</v>
      </c>
      <c r="D3284" s="0" t="s">
        <v>135</v>
      </c>
      <c r="E3284" s="0" t="s">
        <v>2</v>
      </c>
      <c r="F3284" s="0" t="s">
        <v>12</v>
      </c>
      <c r="G3284" s="0" t="s">
        <v>8</v>
      </c>
      <c r="H3284" s="0">
        <v>232</v>
      </c>
      <c r="I3284" s="0">
        <v>73</v>
      </c>
      <c r="J3284" s="0">
        <v>0</v>
      </c>
      <c r="K3284" s="0">
        <v>1</v>
      </c>
      <c r="L3284" s="0">
        <v>5</v>
      </c>
      <c r="M3284" s="0">
        <v>1</v>
      </c>
      <c r="N3284" s="0">
        <v>0</v>
      </c>
      <c r="O3284" s="0">
        <v>0</v>
      </c>
      <c r="P3284" s="0">
        <v>0</v>
      </c>
      <c r="R3284" s="0" t="b">
        <v>0</v>
      </c>
      <c r="S3284" s="0" t="b">
        <v>1</v>
      </c>
      <c r="T3284" s="68">
        <v>45821.61875</v>
      </c>
      <c r="U3284" s="68">
        <v>45835.3333333333</v>
      </c>
      <c r="V3284" s="68">
        <v>0</v>
      </c>
      <c r="W3284" s="0">
        <f>IF(IF(B3284="none",1,IF(B3284="Trialer",1,0))+IF(C3284="Customer",1,IF(C3284="Lost",1,0))=2,1,0)</f>
      </c>
      <c r="X3284" s="0" t="s">
        <v>153</v>
      </c>
      <c r="Y3284" s="0" t="s">
        <v>499</v>
      </c>
      <c r="AV3284" s="68"/>
      <c r="AW3284" s="68"/>
      <c r="AY3284" s="27"/>
      <c r="BD3284" s="68">
        <v>46054.1666666667</v>
      </c>
      <c r="BE3284" s="68">
        <v>46082.1666666667</v>
      </c>
      <c r="BF3284" s="0" t="b">
        <v>0</v>
      </c>
      <c r="BG3284" s="0" t="b">
        <v>0</v>
      </c>
      <c r="BH3284" s="0">
        <v>73</v>
      </c>
      <c r="BI3284" s="0">
        <v>73</v>
      </c>
      <c r="BJ3284" s="0" t="s">
        <v>135</v>
      </c>
    </row>
    <row r="3285">
      <c r="A3285" s="0" t="s">
        <v>3538</v>
      </c>
      <c r="B3285" s="0" t="s">
        <v>134</v>
      </c>
      <c r="C3285" s="0" t="s">
        <v>190</v>
      </c>
      <c r="D3285" s="0" t="s">
        <v>135</v>
      </c>
      <c r="E3285" s="0" t="s">
        <v>3</v>
      </c>
      <c r="F3285" s="0" t="s">
        <v>12</v>
      </c>
      <c r="G3285" s="0" t="s">
        <v>8</v>
      </c>
      <c r="H3285" s="0">
        <v>232</v>
      </c>
      <c r="I3285" s="0">
        <v>73</v>
      </c>
      <c r="J3285" s="0">
        <v>0</v>
      </c>
      <c r="K3285" s="0">
        <v>1</v>
      </c>
      <c r="L3285" s="0">
        <v>5</v>
      </c>
      <c r="M3285" s="0">
        <v>1</v>
      </c>
      <c r="N3285" s="0">
        <v>0</v>
      </c>
      <c r="O3285" s="0">
        <v>0</v>
      </c>
      <c r="P3285" s="0">
        <v>0</v>
      </c>
      <c r="R3285" s="0" t="b">
        <v>0</v>
      </c>
      <c r="S3285" s="0" t="b">
        <v>0</v>
      </c>
      <c r="T3285" s="68">
        <v>45821.6434375</v>
      </c>
      <c r="U3285" s="68">
        <v>45825.3333333333</v>
      </c>
      <c r="V3285" s="68">
        <v>46079.5839930556</v>
      </c>
      <c r="W3285" s="0">
        <f>IF(IF(B3285="none",1,IF(B3285="Trialer",1,0))+IF(C3285="Customer",1,IF(C3285="Lost",1,0))=2,1,0)</f>
      </c>
      <c r="X3285" s="0" t="s">
        <v>166</v>
      </c>
      <c r="Y3285" s="0" t="s">
        <v>243</v>
      </c>
      <c r="AV3285" s="68"/>
      <c r="AW3285" s="68"/>
      <c r="AY3285" s="27"/>
      <c r="BD3285" s="68">
        <v>46054.1666666667</v>
      </c>
      <c r="BE3285" s="68">
        <v>46082.1666666667</v>
      </c>
      <c r="BF3285" s="0" t="b">
        <v>0</v>
      </c>
      <c r="BG3285" s="0" t="b">
        <v>0</v>
      </c>
      <c r="BH3285" s="0">
        <v>73</v>
      </c>
      <c r="BI3285" s="0">
        <v>73</v>
      </c>
      <c r="BJ3285" s="0" t="s">
        <v>135</v>
      </c>
    </row>
    <row r="3286">
      <c r="A3286" s="0" t="s">
        <v>3539</v>
      </c>
      <c r="B3286" s="0" t="s">
        <v>134</v>
      </c>
      <c r="C3286" s="0" t="s">
        <v>134</v>
      </c>
      <c r="D3286" s="0" t="s">
        <v>230</v>
      </c>
      <c r="E3286" s="0" t="s">
        <v>3</v>
      </c>
      <c r="F3286" s="0" t="s">
        <v>12</v>
      </c>
      <c r="G3286" s="0" t="s">
        <v>8</v>
      </c>
      <c r="H3286" s="0">
        <v>232</v>
      </c>
      <c r="I3286" s="0">
        <v>64</v>
      </c>
      <c r="J3286" s="0">
        <v>0</v>
      </c>
      <c r="K3286" s="0">
        <v>1</v>
      </c>
      <c r="L3286" s="0">
        <v>5</v>
      </c>
      <c r="M3286" s="0">
        <v>1</v>
      </c>
      <c r="N3286" s="0">
        <v>0</v>
      </c>
      <c r="O3286" s="0">
        <v>0</v>
      </c>
      <c r="P3286" s="0">
        <v>-64</v>
      </c>
      <c r="R3286" s="0" t="b">
        <v>0</v>
      </c>
      <c r="S3286" s="0" t="b">
        <v>1</v>
      </c>
      <c r="T3286" s="68">
        <v>45821.8263078704</v>
      </c>
      <c r="U3286" s="68">
        <v>45845.3333333333</v>
      </c>
      <c r="V3286" s="68">
        <v>0</v>
      </c>
      <c r="W3286" s="0">
        <f>IF(IF(B3286="none",1,IF(B3286="Trialer",1,0))+IF(C3286="Customer",1,IF(C3286="Lost",1,0))=2,1,0)</f>
      </c>
      <c r="X3286" s="0" t="s">
        <v>1461</v>
      </c>
      <c r="Y3286" s="0" t="s">
        <v>243</v>
      </c>
      <c r="AV3286" s="68"/>
      <c r="AW3286" s="68"/>
      <c r="AY3286" s="27"/>
      <c r="BD3286" s="68">
        <v>46054.1666666667</v>
      </c>
      <c r="BE3286" s="68">
        <v>46082.1666666667</v>
      </c>
      <c r="BF3286" s="0" t="b">
        <v>0</v>
      </c>
      <c r="BG3286" s="0" t="b">
        <v>0</v>
      </c>
      <c r="BH3286" s="0">
        <v>73</v>
      </c>
      <c r="BI3286" s="0">
        <v>73</v>
      </c>
      <c r="BJ3286" s="0" t="s">
        <v>230</v>
      </c>
    </row>
    <row r="3287">
      <c r="A3287" s="0" t="s">
        <v>3540</v>
      </c>
      <c r="B3287" s="0" t="s">
        <v>134</v>
      </c>
      <c r="C3287" s="0" t="s">
        <v>134</v>
      </c>
      <c r="D3287" s="0" t="s">
        <v>230</v>
      </c>
      <c r="E3287" s="0" t="s">
        <v>3</v>
      </c>
      <c r="F3287" s="0" t="s">
        <v>12</v>
      </c>
      <c r="G3287" s="0" t="s">
        <v>8</v>
      </c>
      <c r="H3287" s="0">
        <v>231</v>
      </c>
      <c r="I3287" s="0">
        <v>110.25</v>
      </c>
      <c r="J3287" s="0">
        <v>0</v>
      </c>
      <c r="K3287" s="0">
        <v>1</v>
      </c>
      <c r="L3287" s="0">
        <v>3</v>
      </c>
      <c r="M3287" s="0">
        <v>3</v>
      </c>
      <c r="N3287" s="0">
        <v>0</v>
      </c>
      <c r="O3287" s="0">
        <v>0</v>
      </c>
      <c r="P3287" s="0">
        <v>-110.25</v>
      </c>
      <c r="R3287" s="0" t="b">
        <v>0</v>
      </c>
      <c r="S3287" s="0" t="b">
        <v>1</v>
      </c>
      <c r="T3287" s="68">
        <v>45822.5626157407</v>
      </c>
      <c r="U3287" s="68">
        <v>45834.3333333333</v>
      </c>
      <c r="V3287" s="68">
        <v>0</v>
      </c>
      <c r="W3287" s="0">
        <f>IF(IF(B3287="none",1,IF(B3287="Trialer",1,0))+IF(C3287="Customer",1,IF(C3287="Lost",1,0))=2,1,0)</f>
      </c>
      <c r="X3287" s="0" t="s">
        <v>166</v>
      </c>
      <c r="Y3287" s="0" t="s">
        <v>243</v>
      </c>
      <c r="AV3287" s="68"/>
      <c r="AW3287" s="68"/>
      <c r="AY3287" s="27"/>
      <c r="BD3287" s="68">
        <v>46054.1666666667</v>
      </c>
      <c r="BE3287" s="68">
        <v>46082.1666666667</v>
      </c>
      <c r="BF3287" s="0" t="b">
        <v>0</v>
      </c>
      <c r="BG3287" s="0" t="b">
        <v>0</v>
      </c>
      <c r="BH3287" s="0">
        <v>147</v>
      </c>
      <c r="BI3287" s="0">
        <v>147</v>
      </c>
      <c r="BJ3287" s="0" t="s">
        <v>230</v>
      </c>
    </row>
    <row r="3288">
      <c r="A3288" s="0" t="s">
        <v>3541</v>
      </c>
      <c r="B3288" s="0" t="s">
        <v>134</v>
      </c>
      <c r="C3288" s="0" t="s">
        <v>134</v>
      </c>
      <c r="D3288" s="0" t="s">
        <v>135</v>
      </c>
      <c r="E3288" s="0" t="s">
        <v>3</v>
      </c>
      <c r="F3288" s="0" t="s">
        <v>12</v>
      </c>
      <c r="G3288" s="0" t="s">
        <v>8</v>
      </c>
      <c r="H3288" s="0">
        <v>229</v>
      </c>
      <c r="I3288" s="0">
        <v>122</v>
      </c>
      <c r="J3288" s="0">
        <v>0</v>
      </c>
      <c r="K3288" s="0">
        <v>1</v>
      </c>
      <c r="L3288" s="0">
        <v>4</v>
      </c>
      <c r="M3288" s="0">
        <v>2</v>
      </c>
      <c r="N3288" s="0">
        <v>0</v>
      </c>
      <c r="O3288" s="0">
        <v>0</v>
      </c>
      <c r="P3288" s="0">
        <v>0</v>
      </c>
      <c r="R3288" s="0" t="b">
        <v>0</v>
      </c>
      <c r="S3288" s="0" t="b">
        <v>1</v>
      </c>
      <c r="T3288" s="68">
        <v>45824.5424537037</v>
      </c>
      <c r="U3288" s="68">
        <v>45844.3333333333</v>
      </c>
      <c r="V3288" s="68">
        <v>0</v>
      </c>
      <c r="W3288" s="0">
        <f>IF(IF(B3288="none",1,IF(B3288="Trialer",1,0))+IF(C3288="Customer",1,IF(C3288="Lost",1,0))=2,1,0)</f>
      </c>
      <c r="X3288" s="0" t="s">
        <v>136</v>
      </c>
      <c r="Y3288" s="0" t="s">
        <v>243</v>
      </c>
      <c r="AV3288" s="68"/>
      <c r="AW3288" s="68"/>
      <c r="AY3288" s="27"/>
      <c r="BD3288" s="68">
        <v>46054.1666666667</v>
      </c>
      <c r="BE3288" s="68">
        <v>46082.1666666667</v>
      </c>
      <c r="BF3288" s="0" t="b">
        <v>0</v>
      </c>
      <c r="BG3288" s="0" t="b">
        <v>0</v>
      </c>
      <c r="BH3288" s="0">
        <v>122</v>
      </c>
      <c r="BI3288" s="0">
        <v>122</v>
      </c>
      <c r="BJ3288" s="0" t="s">
        <v>135</v>
      </c>
    </row>
    <row r="3289">
      <c r="A3289" s="0" t="s">
        <v>3542</v>
      </c>
      <c r="B3289" s="0" t="s">
        <v>134</v>
      </c>
      <c r="C3289" s="0" t="s">
        <v>134</v>
      </c>
      <c r="D3289" s="0" t="s">
        <v>135</v>
      </c>
      <c r="E3289" s="0" t="s">
        <v>2</v>
      </c>
      <c r="F3289" s="0" t="s">
        <v>12</v>
      </c>
      <c r="G3289" s="0" t="s">
        <v>8</v>
      </c>
      <c r="H3289" s="0">
        <v>229</v>
      </c>
      <c r="I3289" s="0">
        <v>398</v>
      </c>
      <c r="J3289" s="0">
        <v>0</v>
      </c>
      <c r="K3289" s="0">
        <v>1</v>
      </c>
      <c r="L3289" s="0">
        <v>5</v>
      </c>
      <c r="M3289" s="0">
        <v>1</v>
      </c>
      <c r="N3289" s="0">
        <v>0</v>
      </c>
      <c r="O3289" s="0">
        <v>0</v>
      </c>
      <c r="P3289" s="0">
        <v>0</v>
      </c>
      <c r="R3289" s="0" t="b">
        <v>0</v>
      </c>
      <c r="S3289" s="0" t="b">
        <v>1</v>
      </c>
      <c r="T3289" s="68">
        <v>45824.6743055556</v>
      </c>
      <c r="U3289" s="68">
        <v>45838.5416666667</v>
      </c>
      <c r="V3289" s="68">
        <v>0</v>
      </c>
      <c r="W3289" s="0">
        <f>IF(IF(B3289="none",1,IF(B3289="Trialer",1,0))+IF(C3289="Customer",1,IF(C3289="Lost",1,0))=2,1,0)</f>
      </c>
      <c r="X3289" s="0" t="s">
        <v>136</v>
      </c>
      <c r="Y3289" s="0" t="s">
        <v>499</v>
      </c>
      <c r="AV3289" s="68"/>
      <c r="AW3289" s="68"/>
      <c r="AY3289" s="27"/>
      <c r="BD3289" s="68">
        <v>46054.1666666667</v>
      </c>
      <c r="BE3289" s="68">
        <v>46082.1666666667</v>
      </c>
      <c r="BF3289" s="0" t="b">
        <v>0</v>
      </c>
      <c r="BG3289" s="0" t="b">
        <v>0</v>
      </c>
      <c r="BH3289" s="0">
        <v>171</v>
      </c>
      <c r="BI3289" s="0">
        <v>171</v>
      </c>
      <c r="BJ3289" s="0" t="s">
        <v>135</v>
      </c>
    </row>
    <row r="3290">
      <c r="A3290" s="0" t="s">
        <v>3543</v>
      </c>
      <c r="B3290" s="0" t="s">
        <v>134</v>
      </c>
      <c r="C3290" s="0" t="s">
        <v>134</v>
      </c>
      <c r="D3290" s="0" t="s">
        <v>135</v>
      </c>
      <c r="E3290" s="0" t="s">
        <v>3</v>
      </c>
      <c r="F3290" s="0" t="s">
        <v>12</v>
      </c>
      <c r="G3290" s="0" t="s">
        <v>8</v>
      </c>
      <c r="H3290" s="0">
        <v>228</v>
      </c>
      <c r="I3290" s="0">
        <v>122</v>
      </c>
      <c r="J3290" s="0">
        <v>0</v>
      </c>
      <c r="K3290" s="0">
        <v>1</v>
      </c>
      <c r="L3290" s="0">
        <v>4</v>
      </c>
      <c r="M3290" s="0">
        <v>2</v>
      </c>
      <c r="N3290" s="0">
        <v>0</v>
      </c>
      <c r="O3290" s="0">
        <v>0</v>
      </c>
      <c r="P3290" s="0">
        <v>0</v>
      </c>
      <c r="R3290" s="0" t="b">
        <v>0</v>
      </c>
      <c r="S3290" s="0" t="b">
        <v>1</v>
      </c>
      <c r="T3290" s="68">
        <v>45825.4472222222</v>
      </c>
      <c r="U3290" s="68">
        <v>45833.3333333333</v>
      </c>
      <c r="V3290" s="68">
        <v>0</v>
      </c>
      <c r="W3290" s="0">
        <f>IF(IF(B3290="none",1,IF(B3290="Trialer",1,0))+IF(C3290="Customer",1,IF(C3290="Lost",1,0))=2,1,0)</f>
      </c>
      <c r="X3290" s="0" t="s">
        <v>145</v>
      </c>
      <c r="Y3290" s="0" t="s">
        <v>243</v>
      </c>
      <c r="AV3290" s="68"/>
      <c r="AW3290" s="68"/>
      <c r="AY3290" s="27"/>
      <c r="BD3290" s="68">
        <v>46054.1666666667</v>
      </c>
      <c r="BE3290" s="68">
        <v>46082.1666666667</v>
      </c>
      <c r="BF3290" s="0" t="b">
        <v>0</v>
      </c>
      <c r="BG3290" s="0" t="b">
        <v>0</v>
      </c>
      <c r="BH3290" s="0">
        <v>122</v>
      </c>
      <c r="BI3290" s="0">
        <v>122</v>
      </c>
      <c r="BJ3290" s="0" t="s">
        <v>135</v>
      </c>
    </row>
    <row r="3291">
      <c r="A3291" s="0" t="s">
        <v>3544</v>
      </c>
      <c r="B3291" s="0" t="s">
        <v>134</v>
      </c>
      <c r="C3291" s="0" t="s">
        <v>134</v>
      </c>
      <c r="D3291" s="0" t="s">
        <v>230</v>
      </c>
      <c r="E3291" s="0" t="s">
        <v>3</v>
      </c>
      <c r="F3291" s="0" t="s">
        <v>12</v>
      </c>
      <c r="G3291" s="0" t="s">
        <v>8</v>
      </c>
      <c r="H3291" s="0">
        <v>228</v>
      </c>
      <c r="I3291" s="0">
        <v>90</v>
      </c>
      <c r="J3291" s="0">
        <v>0</v>
      </c>
      <c r="K3291" s="0">
        <v>1</v>
      </c>
      <c r="L3291" s="0">
        <v>2</v>
      </c>
      <c r="M3291" s="0">
        <v>3</v>
      </c>
      <c r="N3291" s="0">
        <v>0</v>
      </c>
      <c r="O3291" s="0">
        <v>0</v>
      </c>
      <c r="P3291" s="0">
        <v>-90</v>
      </c>
      <c r="R3291" s="0" t="b">
        <v>0</v>
      </c>
      <c r="S3291" s="0" t="b">
        <v>1</v>
      </c>
      <c r="T3291" s="68">
        <v>45825.4627314815</v>
      </c>
      <c r="U3291" s="68">
        <v>45860.3333333333</v>
      </c>
      <c r="V3291" s="68">
        <v>0</v>
      </c>
      <c r="W3291" s="0">
        <f>IF(IF(B3291="none",1,IF(B3291="Trialer",1,0))+IF(C3291="Customer",1,IF(C3291="Lost",1,0))=2,1,0)</f>
      </c>
      <c r="X3291" s="0" t="s">
        <v>142</v>
      </c>
      <c r="Y3291" s="0" t="s">
        <v>243</v>
      </c>
      <c r="AV3291" s="68"/>
      <c r="AW3291" s="68"/>
      <c r="AY3291" s="27"/>
      <c r="BD3291" s="68">
        <v>46054.1666666667</v>
      </c>
      <c r="BE3291" s="68">
        <v>46082.1666666667</v>
      </c>
      <c r="BF3291" s="0" t="b">
        <v>0</v>
      </c>
      <c r="BG3291" s="0" t="b">
        <v>0</v>
      </c>
      <c r="BH3291" s="0">
        <v>120</v>
      </c>
      <c r="BI3291" s="0">
        <v>120</v>
      </c>
      <c r="BJ3291" s="0" t="s">
        <v>230</v>
      </c>
    </row>
    <row r="3292">
      <c r="A3292" s="0" t="s">
        <v>3545</v>
      </c>
      <c r="B3292" s="0" t="s">
        <v>134</v>
      </c>
      <c r="C3292" s="0" t="s">
        <v>134</v>
      </c>
      <c r="D3292" s="0" t="s">
        <v>230</v>
      </c>
      <c r="E3292" s="0" t="s">
        <v>3</v>
      </c>
      <c r="F3292" s="0" t="s">
        <v>12</v>
      </c>
      <c r="G3292" s="0" t="s">
        <v>8</v>
      </c>
      <c r="H3292" s="0">
        <v>228</v>
      </c>
      <c r="I3292" s="0">
        <v>91.5</v>
      </c>
      <c r="J3292" s="0">
        <v>0</v>
      </c>
      <c r="K3292" s="0">
        <v>1</v>
      </c>
      <c r="L3292" s="0">
        <v>4</v>
      </c>
      <c r="M3292" s="0">
        <v>2</v>
      </c>
      <c r="N3292" s="0">
        <v>0</v>
      </c>
      <c r="O3292" s="0">
        <v>0</v>
      </c>
      <c r="P3292" s="0">
        <v>-91.5</v>
      </c>
      <c r="R3292" s="0" t="b">
        <v>0</v>
      </c>
      <c r="S3292" s="0" t="b">
        <v>1</v>
      </c>
      <c r="T3292" s="68">
        <v>45825.4844560185</v>
      </c>
      <c r="U3292" s="68">
        <v>45839.3333333333</v>
      </c>
      <c r="V3292" s="68">
        <v>0</v>
      </c>
      <c r="W3292" s="0">
        <f>IF(IF(B3292="none",1,IF(B3292="Trialer",1,0))+IF(C3292="Customer",1,IF(C3292="Lost",1,0))=2,1,0)</f>
      </c>
      <c r="X3292" s="0" t="s">
        <v>142</v>
      </c>
      <c r="Y3292" s="0" t="s">
        <v>243</v>
      </c>
      <c r="AV3292" s="68"/>
      <c r="AW3292" s="68"/>
      <c r="AY3292" s="27"/>
      <c r="BD3292" s="68">
        <v>46054.1666666667</v>
      </c>
      <c r="BE3292" s="68">
        <v>46082.1666666667</v>
      </c>
      <c r="BF3292" s="0" t="b">
        <v>0</v>
      </c>
      <c r="BG3292" s="0" t="b">
        <v>0</v>
      </c>
      <c r="BH3292" s="0">
        <v>122</v>
      </c>
      <c r="BI3292" s="0">
        <v>122</v>
      </c>
      <c r="BJ3292" s="0" t="s">
        <v>230</v>
      </c>
    </row>
    <row r="3293">
      <c r="A3293" s="0" t="s">
        <v>3546</v>
      </c>
      <c r="B3293" s="0" t="s">
        <v>134</v>
      </c>
      <c r="C3293" s="0" t="s">
        <v>134</v>
      </c>
      <c r="D3293" s="0" t="s">
        <v>135</v>
      </c>
      <c r="E3293" s="0" t="s">
        <v>3</v>
      </c>
      <c r="F3293" s="0" t="s">
        <v>12</v>
      </c>
      <c r="G3293" s="0" t="s">
        <v>8</v>
      </c>
      <c r="H3293" s="0">
        <v>228</v>
      </c>
      <c r="I3293" s="0">
        <v>61</v>
      </c>
      <c r="J3293" s="0">
        <v>0</v>
      </c>
      <c r="K3293" s="0">
        <v>1</v>
      </c>
      <c r="L3293" s="0">
        <v>4</v>
      </c>
      <c r="M3293" s="0">
        <v>1</v>
      </c>
      <c r="N3293" s="0">
        <v>0</v>
      </c>
      <c r="O3293" s="0">
        <v>0</v>
      </c>
      <c r="P3293" s="0">
        <v>0</v>
      </c>
      <c r="R3293" s="0" t="b">
        <v>0</v>
      </c>
      <c r="S3293" s="0" t="b">
        <v>1</v>
      </c>
      <c r="T3293" s="68">
        <v>45825.5983217593</v>
      </c>
      <c r="U3293" s="68">
        <v>45839.3333333333</v>
      </c>
      <c r="V3293" s="68">
        <v>0</v>
      </c>
      <c r="W3293" s="0">
        <f>IF(IF(B3293="none",1,IF(B3293="Trialer",1,0))+IF(C3293="Customer",1,IF(C3293="Lost",1,0))=2,1,0)</f>
      </c>
      <c r="X3293" s="0" t="s">
        <v>153</v>
      </c>
      <c r="Y3293" s="0" t="s">
        <v>243</v>
      </c>
      <c r="AV3293" s="68"/>
      <c r="AW3293" s="68"/>
      <c r="AY3293" s="27"/>
      <c r="BD3293" s="68">
        <v>46054.1666666667</v>
      </c>
      <c r="BE3293" s="68">
        <v>46082.1666666667</v>
      </c>
      <c r="BF3293" s="0" t="b">
        <v>0</v>
      </c>
      <c r="BG3293" s="0" t="b">
        <v>0</v>
      </c>
      <c r="BH3293" s="0">
        <v>61</v>
      </c>
      <c r="BI3293" s="0">
        <v>61</v>
      </c>
      <c r="BJ3293" s="0" t="s">
        <v>135</v>
      </c>
    </row>
    <row r="3294">
      <c r="A3294" s="0" t="s">
        <v>3547</v>
      </c>
      <c r="B3294" s="0" t="s">
        <v>134</v>
      </c>
      <c r="C3294" s="0" t="s">
        <v>134</v>
      </c>
      <c r="D3294" s="0" t="s">
        <v>135</v>
      </c>
      <c r="E3294" s="0" t="s">
        <v>3</v>
      </c>
      <c r="F3294" s="0" t="s">
        <v>12</v>
      </c>
      <c r="G3294" s="0" t="s">
        <v>8</v>
      </c>
      <c r="H3294" s="0">
        <v>227</v>
      </c>
      <c r="I3294" s="0">
        <v>37</v>
      </c>
      <c r="J3294" s="0">
        <v>0</v>
      </c>
      <c r="K3294" s="0">
        <v>1</v>
      </c>
      <c r="L3294" s="0">
        <v>2</v>
      </c>
      <c r="M3294" s="0">
        <v>1</v>
      </c>
      <c r="N3294" s="0">
        <v>0</v>
      </c>
      <c r="O3294" s="0">
        <v>0</v>
      </c>
      <c r="P3294" s="0">
        <v>0</v>
      </c>
      <c r="R3294" s="0" t="b">
        <v>0</v>
      </c>
      <c r="S3294" s="0" t="b">
        <v>1</v>
      </c>
      <c r="T3294" s="68">
        <v>45826.1475925926</v>
      </c>
      <c r="U3294" s="68">
        <v>45839.3333333333</v>
      </c>
      <c r="V3294" s="68">
        <v>0</v>
      </c>
      <c r="W3294" s="0">
        <f>IF(IF(B3294="none",1,IF(B3294="Trialer",1,0))+IF(C3294="Customer",1,IF(C3294="Lost",1,0))=2,1,0)</f>
      </c>
      <c r="X3294" s="0" t="s">
        <v>153</v>
      </c>
      <c r="Y3294" s="0" t="s">
        <v>243</v>
      </c>
      <c r="AV3294" s="68"/>
      <c r="AW3294" s="68"/>
      <c r="AY3294" s="27"/>
      <c r="BD3294" s="68">
        <v>46054.1666666667</v>
      </c>
      <c r="BE3294" s="68">
        <v>46082.1666666667</v>
      </c>
      <c r="BF3294" s="0" t="b">
        <v>0</v>
      </c>
      <c r="BG3294" s="0" t="b">
        <v>0</v>
      </c>
      <c r="BH3294" s="0">
        <v>37</v>
      </c>
      <c r="BI3294" s="0">
        <v>37</v>
      </c>
      <c r="BJ3294" s="0" t="s">
        <v>135</v>
      </c>
    </row>
    <row r="3295">
      <c r="A3295" s="0" t="s">
        <v>3548</v>
      </c>
      <c r="B3295" s="0" t="s">
        <v>134</v>
      </c>
      <c r="C3295" s="0" t="s">
        <v>134</v>
      </c>
      <c r="D3295" s="0" t="s">
        <v>230</v>
      </c>
      <c r="E3295" s="0" t="s">
        <v>3</v>
      </c>
      <c r="F3295" s="0" t="s">
        <v>12</v>
      </c>
      <c r="G3295" s="0" t="s">
        <v>8</v>
      </c>
      <c r="H3295" s="0">
        <v>227</v>
      </c>
      <c r="I3295" s="0">
        <v>110.25</v>
      </c>
      <c r="J3295" s="0">
        <v>0</v>
      </c>
      <c r="K3295" s="0">
        <v>1</v>
      </c>
      <c r="L3295" s="0">
        <v>3</v>
      </c>
      <c r="M3295" s="0">
        <v>3</v>
      </c>
      <c r="N3295" s="0">
        <v>1240</v>
      </c>
      <c r="O3295" s="0">
        <v>0</v>
      </c>
      <c r="P3295" s="0">
        <v>-110.25</v>
      </c>
      <c r="R3295" s="0" t="b">
        <v>0</v>
      </c>
      <c r="S3295" s="0" t="b">
        <v>1</v>
      </c>
      <c r="T3295" s="68">
        <v>45826.4463194444</v>
      </c>
      <c r="U3295" s="68">
        <v>45840.3333333333</v>
      </c>
      <c r="V3295" s="68">
        <v>0</v>
      </c>
      <c r="W3295" s="0">
        <f>IF(IF(B3295="none",1,IF(B3295="Trialer",1,0))+IF(C3295="Customer",1,IF(C3295="Lost",1,0))=2,1,0)</f>
      </c>
      <c r="X3295" s="0" t="s">
        <v>153</v>
      </c>
      <c r="Y3295" s="0" t="s">
        <v>243</v>
      </c>
      <c r="AV3295" s="68"/>
      <c r="AW3295" s="68"/>
      <c r="AY3295" s="27"/>
      <c r="BD3295" s="68">
        <v>46054.1666666667</v>
      </c>
      <c r="BE3295" s="68">
        <v>46082.1666666667</v>
      </c>
      <c r="BF3295" s="0" t="b">
        <v>0</v>
      </c>
      <c r="BG3295" s="0" t="b">
        <v>0</v>
      </c>
      <c r="BH3295" s="0">
        <v>147</v>
      </c>
      <c r="BI3295" s="0">
        <v>147</v>
      </c>
      <c r="BJ3295" s="0" t="s">
        <v>230</v>
      </c>
    </row>
    <row r="3296">
      <c r="A3296" s="0" t="s">
        <v>3549</v>
      </c>
      <c r="B3296" s="0" t="s">
        <v>134</v>
      </c>
      <c r="C3296" s="0" t="s">
        <v>134</v>
      </c>
      <c r="D3296" s="0" t="s">
        <v>135</v>
      </c>
      <c r="E3296" s="0" t="s">
        <v>4</v>
      </c>
      <c r="F3296" s="0" t="s">
        <v>12</v>
      </c>
      <c r="G3296" s="0" t="s">
        <v>8</v>
      </c>
      <c r="H3296" s="0">
        <v>226</v>
      </c>
      <c r="I3296" s="0">
        <v>169</v>
      </c>
      <c r="J3296" s="0">
        <v>0</v>
      </c>
      <c r="K3296" s="0">
        <v>1</v>
      </c>
      <c r="L3296" s="0">
        <v>3</v>
      </c>
      <c r="M3296" s="0">
        <v>4</v>
      </c>
      <c r="N3296" s="0">
        <v>0</v>
      </c>
      <c r="O3296" s="0">
        <v>0</v>
      </c>
      <c r="P3296" s="0">
        <v>0</v>
      </c>
      <c r="R3296" s="0" t="b">
        <v>0</v>
      </c>
      <c r="S3296" s="0" t="b">
        <v>1</v>
      </c>
      <c r="T3296" s="68">
        <v>45827.4680208333</v>
      </c>
      <c r="U3296" s="68">
        <v>45841.3333333333</v>
      </c>
      <c r="V3296" s="68">
        <v>0</v>
      </c>
      <c r="W3296" s="0">
        <f>IF(IF(B3296="none",1,IF(B3296="Trialer",1,0))+IF(C3296="Customer",1,IF(C3296="Lost",1,0))=2,1,0)</f>
      </c>
      <c r="X3296" s="0" t="s">
        <v>148</v>
      </c>
      <c r="Y3296" s="0" t="s">
        <v>1772</v>
      </c>
      <c r="AV3296" s="68"/>
      <c r="AW3296" s="68"/>
      <c r="AY3296" s="27"/>
      <c r="BD3296" s="68">
        <v>46054.1666666667</v>
      </c>
      <c r="BE3296" s="68">
        <v>46082.1666666667</v>
      </c>
      <c r="BF3296" s="0" t="b">
        <v>0</v>
      </c>
      <c r="BG3296" s="0" t="b">
        <v>0</v>
      </c>
      <c r="BH3296" s="0">
        <v>169</v>
      </c>
      <c r="BI3296" s="0">
        <v>169</v>
      </c>
      <c r="BJ3296" s="0" t="s">
        <v>135</v>
      </c>
    </row>
    <row r="3297">
      <c r="A3297" s="0" t="s">
        <v>3550</v>
      </c>
      <c r="B3297" s="0" t="s">
        <v>134</v>
      </c>
      <c r="C3297" s="0" t="s">
        <v>134</v>
      </c>
      <c r="D3297" s="0" t="s">
        <v>135</v>
      </c>
      <c r="E3297" s="0" t="s">
        <v>3</v>
      </c>
      <c r="F3297" s="0" t="s">
        <v>12</v>
      </c>
      <c r="G3297" s="0" t="s">
        <v>8</v>
      </c>
      <c r="H3297" s="0">
        <v>226</v>
      </c>
      <c r="I3297" s="0">
        <v>113</v>
      </c>
      <c r="J3297" s="0">
        <v>0</v>
      </c>
      <c r="K3297" s="0">
        <v>1</v>
      </c>
      <c r="L3297" s="0">
        <v>4</v>
      </c>
      <c r="M3297" s="0">
        <v>2</v>
      </c>
      <c r="N3297" s="0">
        <v>0</v>
      </c>
      <c r="O3297" s="0">
        <v>0</v>
      </c>
      <c r="P3297" s="0">
        <v>0</v>
      </c>
      <c r="R3297" s="0" t="b">
        <v>0</v>
      </c>
      <c r="S3297" s="0" t="b">
        <v>1</v>
      </c>
      <c r="T3297" s="68">
        <v>45827.6073032407</v>
      </c>
      <c r="U3297" s="68">
        <v>45845.3333333333</v>
      </c>
      <c r="V3297" s="68">
        <v>0</v>
      </c>
      <c r="W3297" s="0">
        <f>IF(IF(B3297="none",1,IF(B3297="Trialer",1,0))+IF(C3297="Customer",1,IF(C3297="Lost",1,0))=2,1,0)</f>
      </c>
      <c r="X3297" s="0" t="s">
        <v>142</v>
      </c>
      <c r="Y3297" s="0" t="s">
        <v>243</v>
      </c>
      <c r="AV3297" s="68"/>
      <c r="AW3297" s="68"/>
      <c r="AY3297" s="27"/>
      <c r="BD3297" s="68">
        <v>46054.1666666667</v>
      </c>
      <c r="BE3297" s="68">
        <v>46082.1666666667</v>
      </c>
      <c r="BF3297" s="0" t="b">
        <v>0</v>
      </c>
      <c r="BG3297" s="0" t="b">
        <v>0</v>
      </c>
      <c r="BH3297" s="0">
        <v>113</v>
      </c>
      <c r="BI3297" s="0">
        <v>113</v>
      </c>
      <c r="BJ3297" s="0" t="s">
        <v>135</v>
      </c>
    </row>
    <row r="3298">
      <c r="A3298" s="0" t="s">
        <v>3551</v>
      </c>
      <c r="B3298" s="0" t="s">
        <v>134</v>
      </c>
      <c r="C3298" s="0" t="s">
        <v>134</v>
      </c>
      <c r="D3298" s="0" t="s">
        <v>135</v>
      </c>
      <c r="E3298" s="0" t="s">
        <v>3</v>
      </c>
      <c r="F3298" s="0" t="s">
        <v>12</v>
      </c>
      <c r="G3298" s="0" t="s">
        <v>8</v>
      </c>
      <c r="H3298" s="0">
        <v>226</v>
      </c>
      <c r="I3298" s="0">
        <v>80</v>
      </c>
      <c r="J3298" s="0">
        <v>0</v>
      </c>
      <c r="K3298" s="0">
        <v>1</v>
      </c>
      <c r="L3298" s="0">
        <v>2</v>
      </c>
      <c r="M3298" s="0">
        <v>2</v>
      </c>
      <c r="N3298" s="0">
        <v>0</v>
      </c>
      <c r="O3298" s="0">
        <v>0</v>
      </c>
      <c r="P3298" s="0">
        <v>0</v>
      </c>
      <c r="R3298" s="0" t="b">
        <v>0</v>
      </c>
      <c r="S3298" s="0" t="b">
        <v>1</v>
      </c>
      <c r="T3298" s="68">
        <v>45827.8203935185</v>
      </c>
      <c r="U3298" s="68">
        <v>45842.3333333333</v>
      </c>
      <c r="V3298" s="68">
        <v>0</v>
      </c>
      <c r="W3298" s="0">
        <f>IF(IF(B3298="none",1,IF(B3298="Trialer",1,0))+IF(C3298="Customer",1,IF(C3298="Lost",1,0))=2,1,0)</f>
      </c>
      <c r="X3298" s="0" t="s">
        <v>142</v>
      </c>
      <c r="Y3298" s="0" t="s">
        <v>243</v>
      </c>
      <c r="AV3298" s="68"/>
      <c r="AW3298" s="68"/>
      <c r="AY3298" s="27"/>
      <c r="BD3298" s="68">
        <v>46054.1666666667</v>
      </c>
      <c r="BE3298" s="68">
        <v>46082.1666666667</v>
      </c>
      <c r="BF3298" s="0" t="b">
        <v>0</v>
      </c>
      <c r="BG3298" s="0" t="b">
        <v>0</v>
      </c>
      <c r="BH3298" s="0">
        <v>80</v>
      </c>
      <c r="BI3298" s="0">
        <v>80</v>
      </c>
      <c r="BJ3298" s="0" t="s">
        <v>135</v>
      </c>
    </row>
    <row r="3299">
      <c r="A3299" s="0" t="s">
        <v>3552</v>
      </c>
      <c r="B3299" s="0" t="s">
        <v>134</v>
      </c>
      <c r="C3299" s="0" t="s">
        <v>134</v>
      </c>
      <c r="D3299" s="0" t="s">
        <v>230</v>
      </c>
      <c r="E3299" s="0" t="s">
        <v>2</v>
      </c>
      <c r="F3299" s="0" t="s">
        <v>12</v>
      </c>
      <c r="G3299" s="0" t="s">
        <v>8</v>
      </c>
      <c r="H3299" s="0">
        <v>225</v>
      </c>
      <c r="I3299" s="0">
        <v>192.75</v>
      </c>
      <c r="J3299" s="0">
        <v>0</v>
      </c>
      <c r="K3299" s="0">
        <v>1</v>
      </c>
      <c r="L3299" s="0">
        <v>4</v>
      </c>
      <c r="M3299" s="0">
        <v>5</v>
      </c>
      <c r="N3299" s="0">
        <v>0</v>
      </c>
      <c r="O3299" s="0">
        <v>0</v>
      </c>
      <c r="P3299" s="0">
        <v>-192.75</v>
      </c>
      <c r="R3299" s="0" t="b">
        <v>0</v>
      </c>
      <c r="S3299" s="0" t="b">
        <v>0</v>
      </c>
      <c r="T3299" s="68">
        <v>45828.442962963</v>
      </c>
      <c r="U3299" s="68">
        <v>45845.3333333333</v>
      </c>
      <c r="V3299" s="68">
        <v>46091.5310300926</v>
      </c>
      <c r="W3299" s="0">
        <f>IF(IF(B3299="none",1,IF(B3299="Trialer",1,0))+IF(C3299="Customer",1,IF(C3299="Lost",1,0))=2,1,0)</f>
      </c>
      <c r="X3299" s="0" t="s">
        <v>136</v>
      </c>
      <c r="Y3299" s="0" t="s">
        <v>499</v>
      </c>
      <c r="AV3299" s="68"/>
      <c r="AW3299" s="68"/>
      <c r="AY3299" s="27"/>
      <c r="BD3299" s="68">
        <v>46054.1666666667</v>
      </c>
      <c r="BE3299" s="68">
        <v>46082.1666666667</v>
      </c>
      <c r="BF3299" s="0" t="b">
        <v>0</v>
      </c>
      <c r="BG3299" s="0" t="b">
        <v>0</v>
      </c>
      <c r="BH3299" s="0">
        <v>257</v>
      </c>
      <c r="BI3299" s="0">
        <v>257</v>
      </c>
      <c r="BJ3299" s="0" t="s">
        <v>230</v>
      </c>
    </row>
    <row r="3300">
      <c r="A3300" s="0" t="s">
        <v>3553</v>
      </c>
      <c r="B3300" s="0" t="s">
        <v>134</v>
      </c>
      <c r="C3300" s="0" t="s">
        <v>134</v>
      </c>
      <c r="D3300" s="0" t="s">
        <v>230</v>
      </c>
      <c r="E3300" s="0" t="s">
        <v>3</v>
      </c>
      <c r="F3300" s="0" t="s">
        <v>12</v>
      </c>
      <c r="G3300" s="0" t="s">
        <v>8</v>
      </c>
      <c r="H3300" s="0">
        <v>225</v>
      </c>
      <c r="I3300" s="0">
        <v>675.25</v>
      </c>
      <c r="J3300" s="0">
        <v>0</v>
      </c>
      <c r="K3300" s="0">
        <v>1</v>
      </c>
      <c r="L3300" s="0">
        <v>5</v>
      </c>
      <c r="M3300" s="0">
        <v>8</v>
      </c>
      <c r="N3300" s="0">
        <v>558</v>
      </c>
      <c r="O3300" s="0">
        <v>0</v>
      </c>
      <c r="P3300" s="0">
        <v>-350.25</v>
      </c>
      <c r="R3300" s="0" t="b">
        <v>0</v>
      </c>
      <c r="S3300" s="0" t="b">
        <v>1</v>
      </c>
      <c r="T3300" s="68">
        <v>45828.5074421296</v>
      </c>
      <c r="U3300" s="68">
        <v>45842.3333333333</v>
      </c>
      <c r="V3300" s="68">
        <v>0</v>
      </c>
      <c r="W3300" s="0">
        <f>IF(IF(B3300="none",1,IF(B3300="Trialer",1,0))+IF(C3300="Customer",1,IF(C3300="Lost",1,0))=2,1,0)</f>
      </c>
      <c r="X3300" s="0" t="s">
        <v>148</v>
      </c>
      <c r="Y3300" s="0" t="s">
        <v>243</v>
      </c>
      <c r="AV3300" s="68"/>
      <c r="AW3300" s="68"/>
      <c r="AY3300" s="27"/>
      <c r="BD3300" s="68">
        <v>46054.1666666667</v>
      </c>
      <c r="BE3300" s="68">
        <v>46082.1666666667</v>
      </c>
      <c r="BF3300" s="0" t="b">
        <v>0</v>
      </c>
      <c r="BG3300" s="0" t="b">
        <v>0</v>
      </c>
      <c r="BH3300" s="0">
        <v>419</v>
      </c>
      <c r="BI3300" s="0">
        <v>419</v>
      </c>
      <c r="BJ3300" s="0" t="s">
        <v>230</v>
      </c>
    </row>
    <row r="3301">
      <c r="A3301" s="0" t="s">
        <v>3554</v>
      </c>
      <c r="B3301" s="0" t="s">
        <v>134</v>
      </c>
      <c r="C3301" s="0" t="s">
        <v>134</v>
      </c>
      <c r="D3301" s="0" t="s">
        <v>230</v>
      </c>
      <c r="E3301" s="0" t="s">
        <v>2</v>
      </c>
      <c r="F3301" s="0" t="s">
        <v>12</v>
      </c>
      <c r="G3301" s="0" t="s">
        <v>8</v>
      </c>
      <c r="H3301" s="0">
        <v>225</v>
      </c>
      <c r="I3301" s="0">
        <v>128.25</v>
      </c>
      <c r="J3301" s="0">
        <v>0</v>
      </c>
      <c r="K3301" s="0">
        <v>1</v>
      </c>
      <c r="L3301" s="0">
        <v>5</v>
      </c>
      <c r="M3301" s="0">
        <v>3</v>
      </c>
      <c r="N3301" s="0">
        <v>0</v>
      </c>
      <c r="O3301" s="0">
        <v>0</v>
      </c>
      <c r="P3301" s="0">
        <v>-128.25</v>
      </c>
      <c r="R3301" s="0" t="b">
        <v>0</v>
      </c>
      <c r="S3301" s="0" t="b">
        <v>1</v>
      </c>
      <c r="T3301" s="68">
        <v>45828.6193287037</v>
      </c>
      <c r="U3301" s="68">
        <v>45849.3333333333</v>
      </c>
      <c r="V3301" s="68">
        <v>0</v>
      </c>
      <c r="W3301" s="0">
        <f>IF(IF(B3301="none",1,IF(B3301="Trialer",1,0))+IF(C3301="Customer",1,IF(C3301="Lost",1,0))=2,1,0)</f>
      </c>
      <c r="X3301" s="0" t="s">
        <v>136</v>
      </c>
      <c r="Y3301" s="0" t="s">
        <v>499</v>
      </c>
      <c r="AV3301" s="68"/>
      <c r="AW3301" s="68"/>
      <c r="AY3301" s="27"/>
      <c r="BD3301" s="68">
        <v>46054.1666666667</v>
      </c>
      <c r="BE3301" s="68">
        <v>46082.1666666667</v>
      </c>
      <c r="BF3301" s="0" t="b">
        <v>0</v>
      </c>
      <c r="BG3301" s="0" t="b">
        <v>0</v>
      </c>
      <c r="BH3301" s="0">
        <v>171</v>
      </c>
      <c r="BI3301" s="0">
        <v>171</v>
      </c>
      <c r="BJ3301" s="0" t="s">
        <v>230</v>
      </c>
    </row>
    <row r="3302">
      <c r="A3302" s="0" t="s">
        <v>3555</v>
      </c>
      <c r="B3302" s="0" t="s">
        <v>134</v>
      </c>
      <c r="C3302" s="0" t="s">
        <v>134</v>
      </c>
      <c r="D3302" s="0" t="s">
        <v>135</v>
      </c>
      <c r="E3302" s="0" t="s">
        <v>3</v>
      </c>
      <c r="F3302" s="0" t="s">
        <v>12</v>
      </c>
      <c r="G3302" s="0" t="s">
        <v>8</v>
      </c>
      <c r="H3302" s="0">
        <v>222</v>
      </c>
      <c r="I3302" s="0">
        <v>77</v>
      </c>
      <c r="J3302" s="0">
        <v>0</v>
      </c>
      <c r="K3302" s="0">
        <v>1</v>
      </c>
      <c r="L3302" s="0">
        <v>3</v>
      </c>
      <c r="M3302" s="0">
        <v>2</v>
      </c>
      <c r="N3302" s="0">
        <v>0</v>
      </c>
      <c r="O3302" s="0">
        <v>0</v>
      </c>
      <c r="P3302" s="0">
        <v>0</v>
      </c>
      <c r="R3302" s="0" t="b">
        <v>0</v>
      </c>
      <c r="S3302" s="0" t="b">
        <v>1</v>
      </c>
      <c r="T3302" s="68">
        <v>45831.0412847222</v>
      </c>
      <c r="U3302" s="68">
        <v>45845.3333333333</v>
      </c>
      <c r="V3302" s="68">
        <v>0</v>
      </c>
      <c r="W3302" s="0">
        <f>IF(IF(B3302="none",1,IF(B3302="Trialer",1,0))+IF(C3302="Customer",1,IF(C3302="Lost",1,0))=2,1,0)</f>
      </c>
      <c r="X3302" s="0" t="s">
        <v>142</v>
      </c>
      <c r="Y3302" s="0" t="s">
        <v>243</v>
      </c>
      <c r="AV3302" s="68"/>
      <c r="AW3302" s="68"/>
      <c r="AY3302" s="27"/>
      <c r="BD3302" s="68">
        <v>46054.1666666667</v>
      </c>
      <c r="BE3302" s="68">
        <v>46082.1666666667</v>
      </c>
      <c r="BF3302" s="0" t="b">
        <v>0</v>
      </c>
      <c r="BG3302" s="0" t="b">
        <v>0</v>
      </c>
      <c r="BH3302" s="0">
        <v>77</v>
      </c>
      <c r="BI3302" s="0">
        <v>77</v>
      </c>
      <c r="BJ3302" s="0" t="s">
        <v>135</v>
      </c>
    </row>
    <row r="3303">
      <c r="A3303" s="0" t="s">
        <v>3556</v>
      </c>
      <c r="B3303" s="0" t="s">
        <v>134</v>
      </c>
      <c r="C3303" s="0" t="s">
        <v>134</v>
      </c>
      <c r="D3303" s="0" t="s">
        <v>230</v>
      </c>
      <c r="E3303" s="0" t="s">
        <v>2</v>
      </c>
      <c r="F3303" s="0" t="s">
        <v>12</v>
      </c>
      <c r="G3303" s="0" t="s">
        <v>8</v>
      </c>
      <c r="H3303" s="0">
        <v>222</v>
      </c>
      <c r="I3303" s="0">
        <v>672</v>
      </c>
      <c r="J3303" s="0">
        <v>0</v>
      </c>
      <c r="K3303" s="0">
        <v>1</v>
      </c>
      <c r="L3303" s="0">
        <v>5</v>
      </c>
      <c r="M3303" s="0">
        <v>14</v>
      </c>
      <c r="N3303" s="0">
        <v>155</v>
      </c>
      <c r="O3303" s="0">
        <v>0</v>
      </c>
      <c r="P3303" s="0">
        <v>-672</v>
      </c>
      <c r="R3303" s="0" t="b">
        <v>0</v>
      </c>
      <c r="S3303" s="0" t="b">
        <v>1</v>
      </c>
      <c r="T3303" s="68">
        <v>45831.2893981481</v>
      </c>
      <c r="U3303" s="68">
        <v>45897.3333333333</v>
      </c>
      <c r="V3303" s="68">
        <v>0</v>
      </c>
      <c r="W3303" s="0">
        <f>IF(IF(B3303="none",1,IF(B3303="Trialer",1,0))+IF(C3303="Customer",1,IF(C3303="Lost",1,0))=2,1,0)</f>
      </c>
      <c r="X3303" s="0" t="s">
        <v>136</v>
      </c>
      <c r="Y3303" s="0" t="s">
        <v>499</v>
      </c>
      <c r="AV3303" s="68"/>
      <c r="AW3303" s="68"/>
      <c r="AY3303" s="27"/>
      <c r="BD3303" s="68">
        <v>46054.1666666667</v>
      </c>
      <c r="BE3303" s="68">
        <v>46082.1666666667</v>
      </c>
      <c r="BF3303" s="0" t="b">
        <v>0</v>
      </c>
      <c r="BG3303" s="0" t="b">
        <v>0</v>
      </c>
      <c r="BH3303" s="0">
        <v>957</v>
      </c>
      <c r="BI3303" s="0">
        <v>957</v>
      </c>
      <c r="BJ3303" s="0" t="s">
        <v>230</v>
      </c>
    </row>
    <row r="3304">
      <c r="A3304" s="0" t="s">
        <v>3557</v>
      </c>
      <c r="B3304" s="0" t="s">
        <v>134</v>
      </c>
      <c r="C3304" s="0" t="s">
        <v>134</v>
      </c>
      <c r="D3304" s="0" t="s">
        <v>230</v>
      </c>
      <c r="E3304" s="0" t="s">
        <v>3</v>
      </c>
      <c r="F3304" s="0" t="s">
        <v>12</v>
      </c>
      <c r="G3304" s="0" t="s">
        <v>8</v>
      </c>
      <c r="H3304" s="0">
        <v>222</v>
      </c>
      <c r="I3304" s="0">
        <v>585.25</v>
      </c>
      <c r="J3304" s="0">
        <v>0</v>
      </c>
      <c r="K3304" s="0">
        <v>1</v>
      </c>
      <c r="L3304" s="0">
        <v>6</v>
      </c>
      <c r="M3304" s="0">
        <v>9</v>
      </c>
      <c r="N3304" s="0">
        <v>697.5</v>
      </c>
      <c r="O3304" s="0">
        <v>0</v>
      </c>
      <c r="P3304" s="0">
        <v>-260.25</v>
      </c>
      <c r="R3304" s="0" t="b">
        <v>0</v>
      </c>
      <c r="S3304" s="0" t="b">
        <v>1</v>
      </c>
      <c r="T3304" s="68">
        <v>45831.3421064815</v>
      </c>
      <c r="U3304" s="68">
        <v>45846.3333333333</v>
      </c>
      <c r="V3304" s="68">
        <v>0</v>
      </c>
      <c r="W3304" s="0">
        <f>IF(IF(B3304="none",1,IF(B3304="Trialer",1,0))+IF(C3304="Customer",1,IF(C3304="Lost",1,0))=2,1,0)</f>
      </c>
      <c r="X3304" s="0" t="s">
        <v>136</v>
      </c>
      <c r="Y3304" s="0" t="s">
        <v>243</v>
      </c>
      <c r="AV3304" s="68"/>
      <c r="AW3304" s="68"/>
      <c r="AY3304" s="27"/>
      <c r="BD3304" s="68">
        <v>46054.1666666667</v>
      </c>
      <c r="BE3304" s="68">
        <v>46082.1666666667</v>
      </c>
      <c r="BF3304" s="0" t="b">
        <v>0</v>
      </c>
      <c r="BG3304" s="0" t="b">
        <v>0</v>
      </c>
      <c r="BH3304" s="0">
        <v>417</v>
      </c>
      <c r="BI3304" s="0">
        <v>417</v>
      </c>
      <c r="BJ3304" s="0" t="s">
        <v>230</v>
      </c>
    </row>
    <row r="3305">
      <c r="A3305" s="0" t="s">
        <v>3558</v>
      </c>
      <c r="B3305" s="0" t="s">
        <v>134</v>
      </c>
      <c r="C3305" s="0" t="s">
        <v>134</v>
      </c>
      <c r="D3305" s="0" t="s">
        <v>230</v>
      </c>
      <c r="E3305" s="0" t="s">
        <v>2</v>
      </c>
      <c r="F3305" s="0" t="s">
        <v>12</v>
      </c>
      <c r="G3305" s="0" t="s">
        <v>8</v>
      </c>
      <c r="H3305" s="0">
        <v>222</v>
      </c>
      <c r="I3305" s="0">
        <v>44</v>
      </c>
      <c r="J3305" s="0">
        <v>0</v>
      </c>
      <c r="K3305" s="0">
        <v>1</v>
      </c>
      <c r="L3305" s="0">
        <v>3</v>
      </c>
      <c r="M3305" s="0">
        <v>1</v>
      </c>
      <c r="N3305" s="0">
        <v>0</v>
      </c>
      <c r="O3305" s="0">
        <v>0</v>
      </c>
      <c r="P3305" s="0">
        <v>-44</v>
      </c>
      <c r="R3305" s="0" t="b">
        <v>0</v>
      </c>
      <c r="S3305" s="0" t="b">
        <v>1</v>
      </c>
      <c r="T3305" s="68">
        <v>45831.6113425926</v>
      </c>
      <c r="U3305" s="68">
        <v>45852.3333333333</v>
      </c>
      <c r="V3305" s="68">
        <v>0</v>
      </c>
      <c r="W3305" s="0">
        <f>IF(IF(B3305="none",1,IF(B3305="Trialer",1,0))+IF(C3305="Customer",1,IF(C3305="Lost",1,0))=2,1,0)</f>
      </c>
      <c r="X3305" s="0" t="s">
        <v>166</v>
      </c>
      <c r="Y3305" s="0" t="s">
        <v>499</v>
      </c>
      <c r="AV3305" s="68"/>
      <c r="AW3305" s="68"/>
      <c r="AY3305" s="27"/>
      <c r="BD3305" s="68">
        <v>46054.1666666667</v>
      </c>
      <c r="BE3305" s="68">
        <v>46082.1666666667</v>
      </c>
      <c r="BF3305" s="0" t="b">
        <v>0</v>
      </c>
      <c r="BG3305" s="0" t="b">
        <v>0</v>
      </c>
      <c r="BH3305" s="0">
        <v>49</v>
      </c>
      <c r="BI3305" s="0">
        <v>49</v>
      </c>
      <c r="BJ3305" s="0" t="s">
        <v>230</v>
      </c>
    </row>
    <row r="3306">
      <c r="A3306" s="0" t="s">
        <v>3559</v>
      </c>
      <c r="B3306" s="0" t="s">
        <v>134</v>
      </c>
      <c r="C3306" s="0" t="s">
        <v>134</v>
      </c>
      <c r="D3306" s="0" t="s">
        <v>135</v>
      </c>
      <c r="E3306" s="0" t="s">
        <v>3</v>
      </c>
      <c r="F3306" s="0" t="s">
        <v>12</v>
      </c>
      <c r="G3306" s="0" t="s">
        <v>8</v>
      </c>
      <c r="H3306" s="0">
        <v>222</v>
      </c>
      <c r="I3306" s="0">
        <v>98</v>
      </c>
      <c r="J3306" s="0">
        <v>0</v>
      </c>
      <c r="K3306" s="0">
        <v>1</v>
      </c>
      <c r="L3306" s="0">
        <v>3</v>
      </c>
      <c r="M3306" s="0">
        <v>2</v>
      </c>
      <c r="N3306" s="0">
        <v>0</v>
      </c>
      <c r="O3306" s="0">
        <v>0</v>
      </c>
      <c r="P3306" s="0">
        <v>0</v>
      </c>
      <c r="R3306" s="0" t="b">
        <v>0</v>
      </c>
      <c r="S3306" s="0" t="b">
        <v>1</v>
      </c>
      <c r="T3306" s="68">
        <v>45831.6189699074</v>
      </c>
      <c r="U3306" s="68">
        <v>45845.3333333333</v>
      </c>
      <c r="V3306" s="68">
        <v>0</v>
      </c>
      <c r="W3306" s="0">
        <f>IF(IF(B3306="none",1,IF(B3306="Trialer",1,0))+IF(C3306="Customer",1,IF(C3306="Lost",1,0))=2,1,0)</f>
      </c>
      <c r="X3306" s="0" t="s">
        <v>153</v>
      </c>
      <c r="Y3306" s="0" t="s">
        <v>1792</v>
      </c>
      <c r="AV3306" s="68"/>
      <c r="AW3306" s="68"/>
      <c r="AY3306" s="27"/>
      <c r="BD3306" s="68">
        <v>46054.1666666667</v>
      </c>
      <c r="BE3306" s="68">
        <v>46082.1666666667</v>
      </c>
      <c r="BF3306" s="0" t="b">
        <v>0</v>
      </c>
      <c r="BG3306" s="0" t="b">
        <v>0</v>
      </c>
      <c r="BH3306" s="0">
        <v>98</v>
      </c>
      <c r="BI3306" s="0">
        <v>98</v>
      </c>
      <c r="BJ3306" s="0" t="s">
        <v>135</v>
      </c>
    </row>
    <row r="3307">
      <c r="A3307" s="0" t="s">
        <v>3560</v>
      </c>
      <c r="B3307" s="0" t="s">
        <v>134</v>
      </c>
      <c r="C3307" s="0" t="s">
        <v>134</v>
      </c>
      <c r="D3307" s="0" t="s">
        <v>230</v>
      </c>
      <c r="E3307" s="0" t="s">
        <v>3</v>
      </c>
      <c r="F3307" s="0" t="s">
        <v>12</v>
      </c>
      <c r="G3307" s="0" t="s">
        <v>8</v>
      </c>
      <c r="H3307" s="0">
        <v>222</v>
      </c>
      <c r="I3307" s="0">
        <v>388</v>
      </c>
      <c r="J3307" s="0">
        <v>0</v>
      </c>
      <c r="K3307" s="0">
        <v>1</v>
      </c>
      <c r="L3307" s="0">
        <v>1</v>
      </c>
      <c r="M3307" s="0">
        <v>3</v>
      </c>
      <c r="N3307" s="0">
        <v>0</v>
      </c>
      <c r="O3307" s="0">
        <v>0</v>
      </c>
      <c r="P3307" s="0">
        <v>-63</v>
      </c>
      <c r="R3307" s="0" t="b">
        <v>0</v>
      </c>
      <c r="S3307" s="0" t="b">
        <v>1</v>
      </c>
      <c r="T3307" s="68">
        <v>45831.7932986111</v>
      </c>
      <c r="U3307" s="68">
        <v>45868.3333333333</v>
      </c>
      <c r="V3307" s="68">
        <v>0</v>
      </c>
      <c r="W3307" s="0">
        <f>IF(IF(B3307="none",1,IF(B3307="Trialer",1,0))+IF(C3307="Customer",1,IF(C3307="Lost",1,0))=2,1,0)</f>
      </c>
      <c r="X3307" s="0" t="s">
        <v>148</v>
      </c>
      <c r="Y3307" s="0" t="s">
        <v>243</v>
      </c>
      <c r="AV3307" s="68"/>
      <c r="AW3307" s="68"/>
      <c r="AY3307" s="27"/>
      <c r="BD3307" s="68">
        <v>46054.1666666667</v>
      </c>
      <c r="BE3307" s="68">
        <v>46082.1666666667</v>
      </c>
      <c r="BF3307" s="0" t="b">
        <v>0</v>
      </c>
      <c r="BG3307" s="0" t="b">
        <v>0</v>
      </c>
      <c r="BH3307" s="0">
        <v>84</v>
      </c>
      <c r="BI3307" s="0">
        <v>84</v>
      </c>
      <c r="BJ3307" s="0" t="s">
        <v>230</v>
      </c>
    </row>
    <row r="3308">
      <c r="A3308" s="0" t="s">
        <v>3561</v>
      </c>
      <c r="B3308" s="0" t="s">
        <v>134</v>
      </c>
      <c r="C3308" s="0" t="s">
        <v>134</v>
      </c>
      <c r="D3308" s="0" t="s">
        <v>230</v>
      </c>
      <c r="E3308" s="0" t="s">
        <v>3</v>
      </c>
      <c r="F3308" s="0" t="s">
        <v>12</v>
      </c>
      <c r="G3308" s="0" t="s">
        <v>8</v>
      </c>
      <c r="H3308" s="0">
        <v>222</v>
      </c>
      <c r="I3308" s="0">
        <v>44</v>
      </c>
      <c r="J3308" s="0">
        <v>0</v>
      </c>
      <c r="K3308" s="0">
        <v>1</v>
      </c>
      <c r="L3308" s="0">
        <v>3</v>
      </c>
      <c r="M3308" s="0">
        <v>1</v>
      </c>
      <c r="N3308" s="0">
        <v>0</v>
      </c>
      <c r="O3308" s="0">
        <v>0</v>
      </c>
      <c r="P3308" s="0">
        <v>-44</v>
      </c>
      <c r="R3308" s="0" t="b">
        <v>0</v>
      </c>
      <c r="S3308" s="0" t="b">
        <v>1</v>
      </c>
      <c r="T3308" s="68">
        <v>45831.9038078704</v>
      </c>
      <c r="U3308" s="68">
        <v>45845.3333333333</v>
      </c>
      <c r="V3308" s="68">
        <v>0</v>
      </c>
      <c r="W3308" s="0">
        <f>IF(IF(B3308="none",1,IF(B3308="Trialer",1,0))+IF(C3308="Customer",1,IF(C3308="Lost",1,0))=2,1,0)</f>
      </c>
      <c r="X3308" s="0" t="s">
        <v>166</v>
      </c>
      <c r="Y3308" s="0" t="s">
        <v>243</v>
      </c>
      <c r="AV3308" s="68"/>
      <c r="AW3308" s="68"/>
      <c r="AY3308" s="27"/>
      <c r="BD3308" s="68">
        <v>46054.1666666667</v>
      </c>
      <c r="BE3308" s="68">
        <v>46082.1666666667</v>
      </c>
      <c r="BF3308" s="0" t="b">
        <v>0</v>
      </c>
      <c r="BG3308" s="0" t="b">
        <v>0</v>
      </c>
      <c r="BH3308" s="0">
        <v>49</v>
      </c>
      <c r="BI3308" s="0">
        <v>49</v>
      </c>
      <c r="BJ3308" s="0" t="s">
        <v>230</v>
      </c>
    </row>
    <row r="3309">
      <c r="A3309" s="0" t="s">
        <v>3562</v>
      </c>
      <c r="B3309" s="0" t="s">
        <v>134</v>
      </c>
      <c r="C3309" s="0" t="s">
        <v>134</v>
      </c>
      <c r="D3309" s="0" t="s">
        <v>230</v>
      </c>
      <c r="E3309" s="0" t="s">
        <v>2</v>
      </c>
      <c r="F3309" s="0" t="s">
        <v>12</v>
      </c>
      <c r="G3309" s="0" t="s">
        <v>8</v>
      </c>
      <c r="H3309" s="0">
        <v>221</v>
      </c>
      <c r="I3309" s="0">
        <v>378</v>
      </c>
      <c r="J3309" s="0">
        <v>0</v>
      </c>
      <c r="K3309" s="0">
        <v>1</v>
      </c>
      <c r="L3309" s="0">
        <v>4</v>
      </c>
      <c r="M3309" s="0">
        <v>7</v>
      </c>
      <c r="N3309" s="0">
        <v>0</v>
      </c>
      <c r="O3309" s="0">
        <v>0</v>
      </c>
      <c r="P3309" s="0">
        <v>-378</v>
      </c>
      <c r="R3309" s="0" t="b">
        <v>0</v>
      </c>
      <c r="S3309" s="0" t="b">
        <v>1</v>
      </c>
      <c r="T3309" s="68">
        <v>45832.4808680556</v>
      </c>
      <c r="U3309" s="68">
        <v>45846.3333333333</v>
      </c>
      <c r="V3309" s="68">
        <v>0</v>
      </c>
      <c r="W3309" s="0">
        <f>IF(IF(B3309="none",1,IF(B3309="Trialer",1,0))+IF(C3309="Customer",1,IF(C3309="Lost",1,0))=2,1,0)</f>
      </c>
      <c r="X3309" s="0" t="s">
        <v>145</v>
      </c>
      <c r="Y3309" s="0" t="s">
        <v>499</v>
      </c>
      <c r="AV3309" s="68"/>
      <c r="AW3309" s="68"/>
      <c r="AY3309" s="27"/>
      <c r="BD3309" s="68">
        <v>46054.1666666667</v>
      </c>
      <c r="BE3309" s="68">
        <v>46082.1666666667</v>
      </c>
      <c r="BF3309" s="0" t="b">
        <v>0</v>
      </c>
      <c r="BG3309" s="0" t="b">
        <v>0</v>
      </c>
      <c r="BH3309" s="0">
        <v>427</v>
      </c>
      <c r="BI3309" s="0">
        <v>427</v>
      </c>
      <c r="BJ3309" s="0" t="s">
        <v>230</v>
      </c>
    </row>
    <row r="3310">
      <c r="A3310" s="0" t="s">
        <v>3563</v>
      </c>
      <c r="B3310" s="0" t="s">
        <v>134</v>
      </c>
      <c r="C3310" s="0" t="s">
        <v>134</v>
      </c>
      <c r="D3310" s="0" t="s">
        <v>230</v>
      </c>
      <c r="E3310" s="0" t="s">
        <v>3</v>
      </c>
      <c r="F3310" s="0" t="s">
        <v>12</v>
      </c>
      <c r="G3310" s="0" t="s">
        <v>8</v>
      </c>
      <c r="H3310" s="0">
        <v>220</v>
      </c>
      <c r="I3310" s="0">
        <v>44</v>
      </c>
      <c r="J3310" s="0">
        <v>0</v>
      </c>
      <c r="K3310" s="0">
        <v>1</v>
      </c>
      <c r="L3310" s="0">
        <v>3</v>
      </c>
      <c r="M3310" s="0">
        <v>1</v>
      </c>
      <c r="N3310" s="0">
        <v>0</v>
      </c>
      <c r="O3310" s="0">
        <v>0</v>
      </c>
      <c r="P3310" s="0">
        <v>-44</v>
      </c>
      <c r="R3310" s="0" t="b">
        <v>0</v>
      </c>
      <c r="S3310" s="0" t="b">
        <v>1</v>
      </c>
      <c r="T3310" s="68">
        <v>45833.5281712963</v>
      </c>
      <c r="U3310" s="68">
        <v>45847.3333333333</v>
      </c>
      <c r="V3310" s="68">
        <v>0</v>
      </c>
      <c r="W3310" s="0">
        <f>IF(IF(B3310="none",1,IF(B3310="Trialer",1,0))+IF(C3310="Customer",1,IF(C3310="Lost",1,0))=2,1,0)</f>
      </c>
      <c r="X3310" s="0" t="s">
        <v>166</v>
      </c>
      <c r="Y3310" s="0" t="s">
        <v>243</v>
      </c>
      <c r="AV3310" s="68"/>
      <c r="AW3310" s="68"/>
      <c r="AY3310" s="27"/>
      <c r="BD3310" s="68">
        <v>46054.1666666667</v>
      </c>
      <c r="BE3310" s="68">
        <v>46082.1666666667</v>
      </c>
      <c r="BF3310" s="0" t="b">
        <v>0</v>
      </c>
      <c r="BG3310" s="0" t="b">
        <v>0</v>
      </c>
      <c r="BH3310" s="0">
        <v>49</v>
      </c>
      <c r="BI3310" s="0">
        <v>49</v>
      </c>
      <c r="BJ3310" s="0" t="s">
        <v>230</v>
      </c>
    </row>
    <row r="3311">
      <c r="A3311" s="0" t="s">
        <v>3564</v>
      </c>
      <c r="B3311" s="0" t="s">
        <v>134</v>
      </c>
      <c r="C3311" s="0" t="s">
        <v>134</v>
      </c>
      <c r="D3311" s="0" t="s">
        <v>135</v>
      </c>
      <c r="E3311" s="0" t="s">
        <v>2</v>
      </c>
      <c r="F3311" s="0" t="s">
        <v>12</v>
      </c>
      <c r="G3311" s="0" t="s">
        <v>8</v>
      </c>
      <c r="H3311" s="0">
        <v>220</v>
      </c>
      <c r="I3311" s="0">
        <v>126</v>
      </c>
      <c r="J3311" s="0">
        <v>0</v>
      </c>
      <c r="K3311" s="0">
        <v>1</v>
      </c>
      <c r="L3311" s="0">
        <v>3</v>
      </c>
      <c r="M3311" s="0">
        <v>3</v>
      </c>
      <c r="N3311" s="0">
        <v>0</v>
      </c>
      <c r="O3311" s="0">
        <v>0</v>
      </c>
      <c r="P3311" s="0">
        <v>0</v>
      </c>
      <c r="R3311" s="0" t="b">
        <v>0</v>
      </c>
      <c r="S3311" s="0" t="b">
        <v>1</v>
      </c>
      <c r="T3311" s="68">
        <v>45833.6105324074</v>
      </c>
      <c r="U3311" s="68">
        <v>45833.3333333333</v>
      </c>
      <c r="V3311" s="68">
        <v>0</v>
      </c>
      <c r="W3311" s="0">
        <f>IF(IF(B3311="none",1,IF(B3311="Trialer",1,0))+IF(C3311="Customer",1,IF(C3311="Lost",1,0))=2,1,0)</f>
      </c>
      <c r="X3311" s="0" t="s">
        <v>145</v>
      </c>
      <c r="Y3311" s="0" t="s">
        <v>499</v>
      </c>
      <c r="AV3311" s="68"/>
      <c r="AW3311" s="68"/>
      <c r="AY3311" s="27"/>
      <c r="BD3311" s="68">
        <v>46054.1666666667</v>
      </c>
      <c r="BE3311" s="68">
        <v>46082.1666666667</v>
      </c>
      <c r="BF3311" s="0" t="b">
        <v>0</v>
      </c>
      <c r="BG3311" s="0" t="b">
        <v>0</v>
      </c>
      <c r="BH3311" s="0">
        <v>126</v>
      </c>
      <c r="BI3311" s="0">
        <v>126</v>
      </c>
      <c r="BJ3311" s="0" t="s">
        <v>135</v>
      </c>
    </row>
    <row r="3312">
      <c r="A3312" s="0" t="s">
        <v>3565</v>
      </c>
      <c r="B3312" s="0" t="s">
        <v>134</v>
      </c>
      <c r="C3312" s="0" t="s">
        <v>134</v>
      </c>
      <c r="D3312" s="0" t="s">
        <v>135</v>
      </c>
      <c r="E3312" s="0" t="s">
        <v>3</v>
      </c>
      <c r="F3312" s="0" t="s">
        <v>12</v>
      </c>
      <c r="G3312" s="0" t="s">
        <v>8</v>
      </c>
      <c r="H3312" s="0">
        <v>220</v>
      </c>
      <c r="I3312" s="0">
        <v>147</v>
      </c>
      <c r="J3312" s="0">
        <v>0</v>
      </c>
      <c r="K3312" s="0">
        <v>1</v>
      </c>
      <c r="L3312" s="0">
        <v>3</v>
      </c>
      <c r="M3312" s="0">
        <v>3</v>
      </c>
      <c r="N3312" s="0">
        <v>0</v>
      </c>
      <c r="O3312" s="0">
        <v>0</v>
      </c>
      <c r="P3312" s="0">
        <v>0</v>
      </c>
      <c r="R3312" s="0" t="b">
        <v>0</v>
      </c>
      <c r="S3312" s="0" t="b">
        <v>1</v>
      </c>
      <c r="T3312" s="68">
        <v>45833.636875</v>
      </c>
      <c r="U3312" s="68">
        <v>45847.3333333333</v>
      </c>
      <c r="V3312" s="68">
        <v>0</v>
      </c>
      <c r="W3312" s="0">
        <f>IF(IF(B3312="none",1,IF(B3312="Trialer",1,0))+IF(C3312="Customer",1,IF(C3312="Lost",1,0))=2,1,0)</f>
      </c>
      <c r="X3312" s="0" t="s">
        <v>166</v>
      </c>
      <c r="Y3312" s="0" t="s">
        <v>243</v>
      </c>
      <c r="AV3312" s="68"/>
      <c r="AW3312" s="68"/>
      <c r="AY3312" s="27"/>
      <c r="BD3312" s="68">
        <v>46054.1666666667</v>
      </c>
      <c r="BE3312" s="68">
        <v>46082.1666666667</v>
      </c>
      <c r="BF3312" s="0" t="b">
        <v>0</v>
      </c>
      <c r="BG3312" s="0" t="b">
        <v>0</v>
      </c>
      <c r="BH3312" s="0">
        <v>147</v>
      </c>
      <c r="BI3312" s="0">
        <v>147</v>
      </c>
      <c r="BJ3312" s="0" t="s">
        <v>135</v>
      </c>
    </row>
    <row r="3313">
      <c r="A3313" s="0" t="s">
        <v>3566</v>
      </c>
      <c r="B3313" s="0" t="s">
        <v>134</v>
      </c>
      <c r="C3313" s="0" t="s">
        <v>134</v>
      </c>
      <c r="D3313" s="0" t="s">
        <v>135</v>
      </c>
      <c r="E3313" s="0" t="s">
        <v>3</v>
      </c>
      <c r="F3313" s="0" t="s">
        <v>12</v>
      </c>
      <c r="G3313" s="0" t="s">
        <v>8</v>
      </c>
      <c r="H3313" s="0">
        <v>219</v>
      </c>
      <c r="I3313" s="0">
        <v>61</v>
      </c>
      <c r="J3313" s="0">
        <v>0</v>
      </c>
      <c r="K3313" s="0">
        <v>1</v>
      </c>
      <c r="L3313" s="0">
        <v>4</v>
      </c>
      <c r="M3313" s="0">
        <v>1</v>
      </c>
      <c r="N3313" s="0">
        <v>0</v>
      </c>
      <c r="O3313" s="0">
        <v>0</v>
      </c>
      <c r="P3313" s="0">
        <v>0</v>
      </c>
      <c r="R3313" s="0" t="b">
        <v>0</v>
      </c>
      <c r="S3313" s="0" t="b">
        <v>1</v>
      </c>
      <c r="T3313" s="68">
        <v>45834.6759837963</v>
      </c>
      <c r="U3313" s="68">
        <v>45848.3333333333</v>
      </c>
      <c r="V3313" s="68">
        <v>0</v>
      </c>
      <c r="W3313" s="0">
        <f>IF(IF(B3313="none",1,IF(B3313="Trialer",1,0))+IF(C3313="Customer",1,IF(C3313="Lost",1,0))=2,1,0)</f>
      </c>
      <c r="X3313" s="0" t="s">
        <v>1461</v>
      </c>
      <c r="Y3313" s="0" t="s">
        <v>243</v>
      </c>
      <c r="AV3313" s="68"/>
      <c r="AW3313" s="68"/>
      <c r="AY3313" s="27"/>
      <c r="BD3313" s="68">
        <v>46054.1666666667</v>
      </c>
      <c r="BE3313" s="68">
        <v>46082.1666666667</v>
      </c>
      <c r="BF3313" s="0" t="b">
        <v>0</v>
      </c>
      <c r="BG3313" s="0" t="b">
        <v>0</v>
      </c>
      <c r="BH3313" s="0">
        <v>61</v>
      </c>
      <c r="BI3313" s="0">
        <v>61</v>
      </c>
      <c r="BJ3313" s="0" t="s">
        <v>135</v>
      </c>
    </row>
    <row r="3314">
      <c r="A3314" s="0" t="s">
        <v>3567</v>
      </c>
      <c r="B3314" s="0" t="s">
        <v>134</v>
      </c>
      <c r="C3314" s="0" t="s">
        <v>190</v>
      </c>
      <c r="D3314" s="0" t="s">
        <v>230</v>
      </c>
      <c r="E3314" s="0" t="s">
        <v>3</v>
      </c>
      <c r="F3314" s="0" t="s">
        <v>12</v>
      </c>
      <c r="G3314" s="0" t="s">
        <v>8</v>
      </c>
      <c r="H3314" s="0">
        <v>219</v>
      </c>
      <c r="I3314" s="0">
        <v>481</v>
      </c>
      <c r="J3314" s="0">
        <v>0</v>
      </c>
      <c r="K3314" s="0">
        <v>1</v>
      </c>
      <c r="L3314" s="0">
        <v>3</v>
      </c>
      <c r="M3314" s="0">
        <v>4</v>
      </c>
      <c r="N3314" s="0">
        <v>0</v>
      </c>
      <c r="O3314" s="0">
        <v>0</v>
      </c>
      <c r="P3314" s="0">
        <v>-156</v>
      </c>
      <c r="R3314" s="0" t="b">
        <v>0</v>
      </c>
      <c r="S3314" s="0" t="b">
        <v>0</v>
      </c>
      <c r="T3314" s="68">
        <v>45834.6988773148</v>
      </c>
      <c r="U3314" s="68">
        <v>45852.3333333333</v>
      </c>
      <c r="V3314" s="68">
        <v>46078.708125</v>
      </c>
      <c r="W3314" s="0">
        <f>IF(IF(B3314="none",1,IF(B3314="Trialer",1,0))+IF(C3314="Customer",1,IF(C3314="Lost",1,0))=2,1,0)</f>
      </c>
      <c r="X3314" s="0" t="s">
        <v>136</v>
      </c>
      <c r="Y3314" s="0" t="s">
        <v>243</v>
      </c>
      <c r="AV3314" s="68"/>
      <c r="AW3314" s="68"/>
      <c r="AY3314" s="27"/>
      <c r="BD3314" s="68">
        <v>46054.1666666667</v>
      </c>
      <c r="BE3314" s="68">
        <v>46082.1666666667</v>
      </c>
      <c r="BF3314" s="0" t="b">
        <v>0</v>
      </c>
      <c r="BG3314" s="0" t="b">
        <v>0</v>
      </c>
      <c r="BH3314" s="0">
        <v>208</v>
      </c>
      <c r="BI3314" s="0">
        <v>208</v>
      </c>
      <c r="BJ3314" s="0" t="s">
        <v>230</v>
      </c>
    </row>
    <row r="3315">
      <c r="A3315" s="0" t="s">
        <v>3568</v>
      </c>
      <c r="B3315" s="0" t="s">
        <v>134</v>
      </c>
      <c r="C3315" s="0" t="s">
        <v>134</v>
      </c>
      <c r="D3315" s="0" t="s">
        <v>135</v>
      </c>
      <c r="E3315" s="0" t="s">
        <v>3</v>
      </c>
      <c r="F3315" s="0" t="s">
        <v>12</v>
      </c>
      <c r="G3315" s="0" t="s">
        <v>8</v>
      </c>
      <c r="H3315" s="0">
        <v>219</v>
      </c>
      <c r="I3315" s="0">
        <v>98</v>
      </c>
      <c r="J3315" s="0">
        <v>0</v>
      </c>
      <c r="K3315" s="0">
        <v>1</v>
      </c>
      <c r="L3315" s="0">
        <v>3</v>
      </c>
      <c r="M3315" s="0">
        <v>2</v>
      </c>
      <c r="N3315" s="0">
        <v>0</v>
      </c>
      <c r="O3315" s="0">
        <v>0</v>
      </c>
      <c r="P3315" s="0">
        <v>0</v>
      </c>
      <c r="R3315" s="0" t="b">
        <v>0</v>
      </c>
      <c r="S3315" s="0" t="b">
        <v>0</v>
      </c>
      <c r="T3315" s="68">
        <v>45834.8854398148</v>
      </c>
      <c r="U3315" s="68">
        <v>45850.3333333333</v>
      </c>
      <c r="V3315" s="68">
        <v>46087.4269097222</v>
      </c>
      <c r="W3315" s="0">
        <f>IF(IF(B3315="none",1,IF(B3315="Trialer",1,0))+IF(C3315="Customer",1,IF(C3315="Lost",1,0))=2,1,0)</f>
      </c>
      <c r="X3315" s="0" t="s">
        <v>142</v>
      </c>
      <c r="Y3315" s="0" t="s">
        <v>243</v>
      </c>
      <c r="AV3315" s="68"/>
      <c r="AW3315" s="68"/>
      <c r="AY3315" s="27"/>
      <c r="BD3315" s="68">
        <v>46054.1666666667</v>
      </c>
      <c r="BE3315" s="68">
        <v>46082.1666666667</v>
      </c>
      <c r="BF3315" s="0" t="b">
        <v>0</v>
      </c>
      <c r="BG3315" s="0" t="b">
        <v>0</v>
      </c>
      <c r="BH3315" s="0">
        <v>98</v>
      </c>
      <c r="BI3315" s="0">
        <v>98</v>
      </c>
      <c r="BJ3315" s="0" t="s">
        <v>135</v>
      </c>
    </row>
    <row r="3316">
      <c r="A3316" s="0" t="s">
        <v>3569</v>
      </c>
      <c r="B3316" s="0" t="s">
        <v>134</v>
      </c>
      <c r="C3316" s="0" t="s">
        <v>134</v>
      </c>
      <c r="D3316" s="0" t="s">
        <v>230</v>
      </c>
      <c r="E3316" s="0" t="s">
        <v>2</v>
      </c>
      <c r="F3316" s="0" t="s">
        <v>12</v>
      </c>
      <c r="G3316" s="0" t="s">
        <v>8</v>
      </c>
      <c r="H3316" s="0">
        <v>218</v>
      </c>
      <c r="I3316" s="0">
        <v>164.25</v>
      </c>
      <c r="J3316" s="0">
        <v>0</v>
      </c>
      <c r="K3316" s="0">
        <v>1</v>
      </c>
      <c r="L3316" s="0">
        <v>5</v>
      </c>
      <c r="M3316" s="0">
        <v>3</v>
      </c>
      <c r="N3316" s="0">
        <v>0</v>
      </c>
      <c r="O3316" s="0">
        <v>0</v>
      </c>
      <c r="P3316" s="0">
        <v>-164.25</v>
      </c>
      <c r="R3316" s="0" t="b">
        <v>0</v>
      </c>
      <c r="S3316" s="0" t="b">
        <v>1</v>
      </c>
      <c r="T3316" s="68">
        <v>45835.4958796296</v>
      </c>
      <c r="U3316" s="68">
        <v>45845.3333333333</v>
      </c>
      <c r="V3316" s="68">
        <v>0</v>
      </c>
      <c r="W3316" s="0">
        <f>IF(IF(B3316="none",1,IF(B3316="Trialer",1,0))+IF(C3316="Customer",1,IF(C3316="Lost",1,0))=2,1,0)</f>
      </c>
      <c r="X3316" s="0" t="s">
        <v>145</v>
      </c>
      <c r="Y3316" s="0" t="s">
        <v>499</v>
      </c>
      <c r="AV3316" s="68"/>
      <c r="AW3316" s="68"/>
      <c r="AY3316" s="27"/>
      <c r="BD3316" s="68">
        <v>46054.1666666667</v>
      </c>
      <c r="BE3316" s="68">
        <v>46082.1666666667</v>
      </c>
      <c r="BF3316" s="0" t="b">
        <v>0</v>
      </c>
      <c r="BG3316" s="0" t="b">
        <v>0</v>
      </c>
      <c r="BH3316" s="0">
        <v>219</v>
      </c>
      <c r="BI3316" s="0">
        <v>219</v>
      </c>
      <c r="BJ3316" s="0" t="s">
        <v>230</v>
      </c>
    </row>
    <row r="3317">
      <c r="A3317" s="0" t="s">
        <v>3570</v>
      </c>
      <c r="B3317" s="0" t="s">
        <v>134</v>
      </c>
      <c r="C3317" s="0" t="s">
        <v>134</v>
      </c>
      <c r="D3317" s="0" t="s">
        <v>230</v>
      </c>
      <c r="E3317" s="0" t="s">
        <v>3</v>
      </c>
      <c r="F3317" s="0" t="s">
        <v>10</v>
      </c>
      <c r="G3317" s="0" t="s">
        <v>8</v>
      </c>
      <c r="H3317" s="0">
        <v>218</v>
      </c>
      <c r="I3317" s="0">
        <v>45.75</v>
      </c>
      <c r="J3317" s="0">
        <v>0</v>
      </c>
      <c r="K3317" s="0">
        <v>1</v>
      </c>
      <c r="L3317" s="0">
        <v>4</v>
      </c>
      <c r="M3317" s="0">
        <v>1</v>
      </c>
      <c r="N3317" s="0">
        <v>0</v>
      </c>
      <c r="O3317" s="0">
        <v>0</v>
      </c>
      <c r="P3317" s="0">
        <v>-45.75</v>
      </c>
      <c r="Q3317" s="0" t="s">
        <v>357</v>
      </c>
      <c r="R3317" s="0" t="b">
        <v>0</v>
      </c>
      <c r="S3317" s="0" t="b">
        <v>1</v>
      </c>
      <c r="T3317" s="68">
        <v>45835.7484375</v>
      </c>
      <c r="U3317" s="68">
        <v>45849.3333333333</v>
      </c>
      <c r="V3317" s="68">
        <v>0</v>
      </c>
      <c r="W3317" s="0">
        <f>IF(IF(B3317="none",1,IF(B3317="Trialer",1,0))+IF(C3317="Customer",1,IF(C3317="Lost",1,0))=2,1,0)</f>
      </c>
      <c r="X3317" s="0" t="s">
        <v>148</v>
      </c>
      <c r="Y3317" s="0" t="s">
        <v>243</v>
      </c>
      <c r="AV3317" s="68"/>
      <c r="AW3317" s="68"/>
      <c r="AY3317" s="27"/>
      <c r="BD3317" s="68">
        <v>46054.1666666667</v>
      </c>
      <c r="BE3317" s="68">
        <v>46082.1666666667</v>
      </c>
      <c r="BF3317" s="0" t="b">
        <v>0</v>
      </c>
      <c r="BG3317" s="0" t="b">
        <v>0</v>
      </c>
      <c r="BH3317" s="0">
        <v>61</v>
      </c>
      <c r="BI3317" s="0">
        <v>61</v>
      </c>
      <c r="BJ3317" s="0" t="s">
        <v>230</v>
      </c>
    </row>
    <row r="3318">
      <c r="A3318" s="0" t="s">
        <v>3571</v>
      </c>
      <c r="B3318" s="0" t="s">
        <v>134</v>
      </c>
      <c r="C3318" s="0" t="s">
        <v>134</v>
      </c>
      <c r="D3318" s="0" t="s">
        <v>135</v>
      </c>
      <c r="E3318" s="0" t="s">
        <v>3</v>
      </c>
      <c r="F3318" s="0" t="s">
        <v>12</v>
      </c>
      <c r="G3318" s="0" t="s">
        <v>8</v>
      </c>
      <c r="H3318" s="0">
        <v>217</v>
      </c>
      <c r="I3318" s="0">
        <v>147</v>
      </c>
      <c r="J3318" s="0">
        <v>0</v>
      </c>
      <c r="K3318" s="0">
        <v>1</v>
      </c>
      <c r="L3318" s="0">
        <v>3</v>
      </c>
      <c r="M3318" s="0">
        <v>3</v>
      </c>
      <c r="N3318" s="0">
        <v>0</v>
      </c>
      <c r="O3318" s="0">
        <v>0</v>
      </c>
      <c r="P3318" s="0">
        <v>0</v>
      </c>
      <c r="R3318" s="0" t="b">
        <v>0</v>
      </c>
      <c r="S3318" s="0" t="b">
        <v>1</v>
      </c>
      <c r="T3318" s="68">
        <v>45836.6905324074</v>
      </c>
      <c r="U3318" s="68">
        <v>45848.3333333333</v>
      </c>
      <c r="V3318" s="68">
        <v>0</v>
      </c>
      <c r="W3318" s="0">
        <f>IF(IF(B3318="none",1,IF(B3318="Trialer",1,0))+IF(C3318="Customer",1,IF(C3318="Lost",1,0))=2,1,0)</f>
      </c>
      <c r="X3318" s="0" t="s">
        <v>166</v>
      </c>
      <c r="Y3318" s="0" t="s">
        <v>243</v>
      </c>
      <c r="AV3318" s="68"/>
      <c r="AW3318" s="68"/>
      <c r="AY3318" s="27"/>
      <c r="BD3318" s="68">
        <v>46054.1666666667</v>
      </c>
      <c r="BE3318" s="68">
        <v>46082.1666666667</v>
      </c>
      <c r="BF3318" s="0" t="b">
        <v>0</v>
      </c>
      <c r="BG3318" s="0" t="b">
        <v>0</v>
      </c>
      <c r="BH3318" s="0">
        <v>147</v>
      </c>
      <c r="BI3318" s="0">
        <v>147</v>
      </c>
      <c r="BJ3318" s="0" t="s">
        <v>135</v>
      </c>
    </row>
    <row r="3319">
      <c r="A3319" s="0" t="s">
        <v>3572</v>
      </c>
      <c r="B3319" s="0" t="s">
        <v>134</v>
      </c>
      <c r="C3319" s="0" t="s">
        <v>134</v>
      </c>
      <c r="D3319" s="0" t="s">
        <v>135</v>
      </c>
      <c r="E3319" s="0" t="s">
        <v>2</v>
      </c>
      <c r="F3319" s="0" t="s">
        <v>12</v>
      </c>
      <c r="G3319" s="0" t="s">
        <v>8</v>
      </c>
      <c r="H3319" s="0">
        <v>216</v>
      </c>
      <c r="I3319" s="0">
        <v>386</v>
      </c>
      <c r="J3319" s="0">
        <v>0</v>
      </c>
      <c r="K3319" s="0">
        <v>1</v>
      </c>
      <c r="L3319" s="0">
        <v>4</v>
      </c>
      <c r="M3319" s="0">
        <v>1</v>
      </c>
      <c r="N3319" s="0">
        <v>0</v>
      </c>
      <c r="O3319" s="0">
        <v>0</v>
      </c>
      <c r="P3319" s="0">
        <v>0</v>
      </c>
      <c r="R3319" s="0" t="b">
        <v>0</v>
      </c>
      <c r="S3319" s="0" t="b">
        <v>1</v>
      </c>
      <c r="T3319" s="68">
        <v>45837.234375</v>
      </c>
      <c r="U3319" s="68">
        <v>45845.3333333333</v>
      </c>
      <c r="V3319" s="68">
        <v>0</v>
      </c>
      <c r="W3319" s="0">
        <f>IF(IF(B3319="none",1,IF(B3319="Trialer",1,0))+IF(C3319="Customer",1,IF(C3319="Lost",1,0))=2,1,0)</f>
      </c>
      <c r="X3319" s="0" t="s">
        <v>882</v>
      </c>
      <c r="Y3319" s="0" t="s">
        <v>499</v>
      </c>
      <c r="AV3319" s="68"/>
      <c r="AW3319" s="68"/>
      <c r="AY3319" s="27"/>
      <c r="BD3319" s="68">
        <v>46054.1666666667</v>
      </c>
      <c r="BE3319" s="68">
        <v>46082.1666666667</v>
      </c>
      <c r="BF3319" s="0" t="b">
        <v>0</v>
      </c>
      <c r="BG3319" s="0" t="b">
        <v>0</v>
      </c>
      <c r="BH3319" s="0">
        <v>61</v>
      </c>
      <c r="BI3319" s="0">
        <v>61</v>
      </c>
      <c r="BJ3319" s="0" t="s">
        <v>135</v>
      </c>
    </row>
    <row r="3320">
      <c r="A3320" s="0" t="s">
        <v>3573</v>
      </c>
      <c r="B3320" s="0" t="s">
        <v>134</v>
      </c>
      <c r="C3320" s="0" t="s">
        <v>134</v>
      </c>
      <c r="D3320" s="0" t="s">
        <v>135</v>
      </c>
      <c r="E3320" s="0" t="s">
        <v>3</v>
      </c>
      <c r="F3320" s="0" t="s">
        <v>12</v>
      </c>
      <c r="G3320" s="0" t="s">
        <v>8</v>
      </c>
      <c r="H3320" s="0">
        <v>215</v>
      </c>
      <c r="I3320" s="0">
        <v>89</v>
      </c>
      <c r="J3320" s="0">
        <v>0</v>
      </c>
      <c r="K3320" s="0">
        <v>1</v>
      </c>
      <c r="L3320" s="0">
        <v>3</v>
      </c>
      <c r="M3320" s="0">
        <v>2</v>
      </c>
      <c r="N3320" s="0">
        <v>0</v>
      </c>
      <c r="O3320" s="0">
        <v>0</v>
      </c>
      <c r="P3320" s="0">
        <v>0</v>
      </c>
      <c r="R3320" s="0" t="b">
        <v>0</v>
      </c>
      <c r="S3320" s="0" t="b">
        <v>1</v>
      </c>
      <c r="T3320" s="68">
        <v>45838.6749189815</v>
      </c>
      <c r="U3320" s="68">
        <v>45854.3333333333</v>
      </c>
      <c r="V3320" s="68">
        <v>0</v>
      </c>
      <c r="W3320" s="0">
        <f>IF(IF(B3320="none",1,IF(B3320="Trialer",1,0))+IF(C3320="Customer",1,IF(C3320="Lost",1,0))=2,1,0)</f>
      </c>
      <c r="X3320" s="0" t="s">
        <v>166</v>
      </c>
      <c r="Y3320" s="0" t="s">
        <v>243</v>
      </c>
      <c r="AV3320" s="68"/>
      <c r="AW3320" s="68"/>
      <c r="AY3320" s="27"/>
      <c r="BD3320" s="68">
        <v>46054.1666666667</v>
      </c>
      <c r="BE3320" s="68">
        <v>46082.1666666667</v>
      </c>
      <c r="BF3320" s="0" t="b">
        <v>0</v>
      </c>
      <c r="BG3320" s="0" t="b">
        <v>0</v>
      </c>
      <c r="BH3320" s="0">
        <v>89</v>
      </c>
      <c r="BI3320" s="0">
        <v>89</v>
      </c>
      <c r="BJ3320" s="0" t="s">
        <v>135</v>
      </c>
    </row>
    <row r="3321">
      <c r="A3321" s="0" t="s">
        <v>3574</v>
      </c>
      <c r="B3321" s="0" t="s">
        <v>134</v>
      </c>
      <c r="C3321" s="0" t="s">
        <v>134</v>
      </c>
      <c r="D3321" s="0" t="s">
        <v>135</v>
      </c>
      <c r="E3321" s="0" t="s">
        <v>3</v>
      </c>
      <c r="F3321" s="0" t="s">
        <v>12</v>
      </c>
      <c r="G3321" s="0" t="s">
        <v>8</v>
      </c>
      <c r="H3321" s="0">
        <v>215</v>
      </c>
      <c r="I3321" s="0">
        <v>196</v>
      </c>
      <c r="J3321" s="0">
        <v>0</v>
      </c>
      <c r="K3321" s="0">
        <v>1</v>
      </c>
      <c r="L3321" s="0">
        <v>3</v>
      </c>
      <c r="M3321" s="0">
        <v>4</v>
      </c>
      <c r="N3321" s="0">
        <v>0</v>
      </c>
      <c r="O3321" s="0">
        <v>0</v>
      </c>
      <c r="P3321" s="0">
        <v>0</v>
      </c>
      <c r="R3321" s="0" t="b">
        <v>0</v>
      </c>
      <c r="S3321" s="0" t="b">
        <v>1</v>
      </c>
      <c r="T3321" s="68">
        <v>45838.7754513889</v>
      </c>
      <c r="U3321" s="68">
        <v>45852.3333333333</v>
      </c>
      <c r="V3321" s="68">
        <v>0</v>
      </c>
      <c r="W3321" s="0">
        <f>IF(IF(B3321="none",1,IF(B3321="Trialer",1,0))+IF(C3321="Customer",1,IF(C3321="Lost",1,0))=2,1,0)</f>
      </c>
      <c r="X3321" s="0" t="s">
        <v>136</v>
      </c>
      <c r="Y3321" s="0" t="s">
        <v>243</v>
      </c>
      <c r="AV3321" s="68"/>
      <c r="AW3321" s="68"/>
      <c r="AY3321" s="27"/>
      <c r="BD3321" s="68">
        <v>46054.1666666667</v>
      </c>
      <c r="BE3321" s="68">
        <v>46082.1666666667</v>
      </c>
      <c r="BF3321" s="0" t="b">
        <v>0</v>
      </c>
      <c r="BG3321" s="0" t="b">
        <v>0</v>
      </c>
      <c r="BH3321" s="0">
        <v>196</v>
      </c>
      <c r="BI3321" s="0">
        <v>196</v>
      </c>
      <c r="BJ3321" s="0" t="s">
        <v>135</v>
      </c>
    </row>
    <row r="3322">
      <c r="A3322" s="0" t="s">
        <v>3575</v>
      </c>
      <c r="B3322" s="0" t="s">
        <v>134</v>
      </c>
      <c r="C3322" s="0" t="s">
        <v>134</v>
      </c>
      <c r="D3322" s="0" t="s">
        <v>135</v>
      </c>
      <c r="E3322" s="0" t="s">
        <v>3</v>
      </c>
      <c r="F3322" s="0" t="s">
        <v>12</v>
      </c>
      <c r="G3322" s="0" t="s">
        <v>8</v>
      </c>
      <c r="H3322" s="0">
        <v>214</v>
      </c>
      <c r="I3322" s="0">
        <v>40</v>
      </c>
      <c r="J3322" s="0">
        <v>0</v>
      </c>
      <c r="K3322" s="0">
        <v>1</v>
      </c>
      <c r="L3322" s="0">
        <v>2</v>
      </c>
      <c r="M3322" s="0">
        <v>1</v>
      </c>
      <c r="N3322" s="0">
        <v>0</v>
      </c>
      <c r="O3322" s="0">
        <v>0</v>
      </c>
      <c r="P3322" s="0">
        <v>0</v>
      </c>
      <c r="R3322" s="0" t="b">
        <v>0</v>
      </c>
      <c r="S3322" s="0" t="b">
        <v>1</v>
      </c>
      <c r="T3322" s="68">
        <v>45839.3780092593</v>
      </c>
      <c r="U3322" s="68">
        <v>45859.3333333333</v>
      </c>
      <c r="V3322" s="68">
        <v>0</v>
      </c>
      <c r="W3322" s="0">
        <f>IF(IF(B3322="none",1,IF(B3322="Trialer",1,0))+IF(C3322="Customer",1,IF(C3322="Lost",1,0))=2,1,0)</f>
      </c>
      <c r="X3322" s="0" t="s">
        <v>166</v>
      </c>
      <c r="Y3322" s="0" t="s">
        <v>243</v>
      </c>
      <c r="AV3322" s="68"/>
      <c r="AW3322" s="68"/>
      <c r="AY3322" s="27"/>
      <c r="BD3322" s="68">
        <v>46054.1666666667</v>
      </c>
      <c r="BE3322" s="68">
        <v>46082.1666666667</v>
      </c>
      <c r="BF3322" s="0" t="b">
        <v>0</v>
      </c>
      <c r="BG3322" s="0" t="b">
        <v>0</v>
      </c>
      <c r="BH3322" s="0">
        <v>40</v>
      </c>
      <c r="BI3322" s="0">
        <v>40</v>
      </c>
      <c r="BJ3322" s="0" t="s">
        <v>135</v>
      </c>
    </row>
    <row r="3323">
      <c r="A3323" s="0" t="s">
        <v>3576</v>
      </c>
      <c r="B3323" s="0" t="s">
        <v>134</v>
      </c>
      <c r="C3323" s="0" t="s">
        <v>134</v>
      </c>
      <c r="D3323" s="0" t="s">
        <v>230</v>
      </c>
      <c r="E3323" s="0" t="s">
        <v>2</v>
      </c>
      <c r="F3323" s="0" t="s">
        <v>12</v>
      </c>
      <c r="G3323" s="0" t="s">
        <v>8</v>
      </c>
      <c r="H3323" s="0">
        <v>214</v>
      </c>
      <c r="I3323" s="0">
        <v>306</v>
      </c>
      <c r="J3323" s="0">
        <v>0</v>
      </c>
      <c r="K3323" s="0">
        <v>1</v>
      </c>
      <c r="L3323" s="0">
        <v>3</v>
      </c>
      <c r="M3323" s="0">
        <v>9</v>
      </c>
      <c r="N3323" s="0">
        <v>0</v>
      </c>
      <c r="O3323" s="0">
        <v>0</v>
      </c>
      <c r="P3323" s="0">
        <v>-306</v>
      </c>
      <c r="R3323" s="0" t="b">
        <v>0</v>
      </c>
      <c r="S3323" s="0" t="b">
        <v>1</v>
      </c>
      <c r="T3323" s="68">
        <v>45839.5259143518</v>
      </c>
      <c r="U3323" s="68">
        <v>45853.3333333333</v>
      </c>
      <c r="V3323" s="68">
        <v>0</v>
      </c>
      <c r="W3323" s="0">
        <f>IF(IF(B3323="none",1,IF(B3323="Trialer",1,0))+IF(C3323="Customer",1,IF(C3323="Lost",1,0))=2,1,0)</f>
      </c>
      <c r="X3323" s="0" t="s">
        <v>148</v>
      </c>
      <c r="Y3323" s="0" t="s">
        <v>499</v>
      </c>
      <c r="AV3323" s="68"/>
      <c r="AW3323" s="68"/>
      <c r="AY3323" s="27"/>
      <c r="BD3323" s="68">
        <v>46054.1666666667</v>
      </c>
      <c r="BE3323" s="68">
        <v>46082.1666666667</v>
      </c>
      <c r="BF3323" s="0" t="b">
        <v>0</v>
      </c>
      <c r="BG3323" s="0" t="b">
        <v>0</v>
      </c>
      <c r="BH3323" s="0">
        <v>531</v>
      </c>
      <c r="BI3323" s="0">
        <v>531</v>
      </c>
      <c r="BJ3323" s="0" t="s">
        <v>230</v>
      </c>
    </row>
    <row r="3324">
      <c r="A3324" s="0" t="s">
        <v>3577</v>
      </c>
      <c r="B3324" s="0" t="s">
        <v>134</v>
      </c>
      <c r="C3324" s="0" t="s">
        <v>134</v>
      </c>
      <c r="D3324" s="0" t="s">
        <v>230</v>
      </c>
      <c r="E3324" s="0" t="s">
        <v>3</v>
      </c>
      <c r="F3324" s="0" t="s">
        <v>12</v>
      </c>
      <c r="G3324" s="0" t="s">
        <v>8</v>
      </c>
      <c r="H3324" s="0">
        <v>214</v>
      </c>
      <c r="I3324" s="0">
        <v>75.75</v>
      </c>
      <c r="J3324" s="0">
        <v>0</v>
      </c>
      <c r="K3324" s="0">
        <v>1</v>
      </c>
      <c r="L3324" s="0">
        <v>4</v>
      </c>
      <c r="M3324" s="0">
        <v>2</v>
      </c>
      <c r="N3324" s="0">
        <v>0</v>
      </c>
      <c r="O3324" s="0">
        <v>0</v>
      </c>
      <c r="P3324" s="0">
        <v>-75.75</v>
      </c>
      <c r="R3324" s="0" t="b">
        <v>0</v>
      </c>
      <c r="S3324" s="0" t="b">
        <v>1</v>
      </c>
      <c r="T3324" s="68">
        <v>45839.6781712963</v>
      </c>
      <c r="U3324" s="68">
        <v>45846.3333333333</v>
      </c>
      <c r="V3324" s="68">
        <v>0</v>
      </c>
      <c r="W3324" s="0">
        <f>IF(IF(B3324="none",1,IF(B3324="Trialer",1,0))+IF(C3324="Customer",1,IF(C3324="Lost",1,0))=2,1,0)</f>
      </c>
      <c r="X3324" s="0" t="s">
        <v>1461</v>
      </c>
      <c r="Y3324" s="0" t="s">
        <v>243</v>
      </c>
      <c r="AV3324" s="68"/>
      <c r="AW3324" s="68"/>
      <c r="AY3324" s="27"/>
      <c r="BD3324" s="68">
        <v>46054.1666666667</v>
      </c>
      <c r="BE3324" s="68">
        <v>46082.1666666667</v>
      </c>
      <c r="BF3324" s="0" t="b">
        <v>0</v>
      </c>
      <c r="BG3324" s="0" t="b">
        <v>0</v>
      </c>
      <c r="BH3324" s="0">
        <v>101</v>
      </c>
      <c r="BI3324" s="0">
        <v>101</v>
      </c>
      <c r="BJ3324" s="0" t="s">
        <v>230</v>
      </c>
    </row>
    <row r="3325">
      <c r="A3325" s="0" t="s">
        <v>3578</v>
      </c>
      <c r="B3325" s="0" t="s">
        <v>134</v>
      </c>
      <c r="C3325" s="0" t="s">
        <v>134</v>
      </c>
      <c r="D3325" s="0" t="s">
        <v>135</v>
      </c>
      <c r="E3325" s="0" t="s">
        <v>3</v>
      </c>
      <c r="F3325" s="0" t="s">
        <v>12</v>
      </c>
      <c r="G3325" s="0" t="s">
        <v>8</v>
      </c>
      <c r="H3325" s="0">
        <v>214</v>
      </c>
      <c r="I3325" s="0">
        <v>219</v>
      </c>
      <c r="J3325" s="0">
        <v>0</v>
      </c>
      <c r="K3325" s="0">
        <v>1</v>
      </c>
      <c r="L3325" s="0">
        <v>5</v>
      </c>
      <c r="M3325" s="0">
        <v>3</v>
      </c>
      <c r="N3325" s="0">
        <v>0</v>
      </c>
      <c r="O3325" s="0">
        <v>0</v>
      </c>
      <c r="P3325" s="0">
        <v>0</v>
      </c>
      <c r="R3325" s="0" t="b">
        <v>0</v>
      </c>
      <c r="S3325" s="0" t="b">
        <v>1</v>
      </c>
      <c r="T3325" s="68">
        <v>45839.6797916667</v>
      </c>
      <c r="U3325" s="68">
        <v>45839.3333333333</v>
      </c>
      <c r="V3325" s="68">
        <v>0</v>
      </c>
      <c r="W3325" s="0">
        <f>IF(IF(B3325="none",1,IF(B3325="Trialer",1,0))+IF(C3325="Customer",1,IF(C3325="Lost",1,0))=2,1,0)</f>
      </c>
      <c r="X3325" s="0" t="s">
        <v>148</v>
      </c>
      <c r="Y3325" s="0" t="s">
        <v>243</v>
      </c>
      <c r="AV3325" s="68"/>
      <c r="AW3325" s="68"/>
      <c r="AY3325" s="27"/>
      <c r="BD3325" s="68">
        <v>46054.1666666667</v>
      </c>
      <c r="BE3325" s="68">
        <v>46082.1666666667</v>
      </c>
      <c r="BF3325" s="0" t="b">
        <v>0</v>
      </c>
      <c r="BG3325" s="0" t="b">
        <v>0</v>
      </c>
      <c r="BH3325" s="0">
        <v>219</v>
      </c>
      <c r="BI3325" s="0">
        <v>219</v>
      </c>
      <c r="BJ3325" s="0" t="s">
        <v>135</v>
      </c>
    </row>
    <row r="3326">
      <c r="A3326" s="0" t="s">
        <v>3579</v>
      </c>
      <c r="B3326" s="0" t="s">
        <v>134</v>
      </c>
      <c r="C3326" s="0" t="s">
        <v>134</v>
      </c>
      <c r="D3326" s="0" t="s">
        <v>135</v>
      </c>
      <c r="E3326" s="0" t="s">
        <v>2</v>
      </c>
      <c r="F3326" s="0" t="s">
        <v>10</v>
      </c>
      <c r="G3326" s="0" t="s">
        <v>8</v>
      </c>
      <c r="H3326" s="0">
        <v>213</v>
      </c>
      <c r="I3326" s="0">
        <v>833</v>
      </c>
      <c r="J3326" s="0">
        <v>0</v>
      </c>
      <c r="K3326" s="0">
        <v>1</v>
      </c>
      <c r="L3326" s="0">
        <v>3</v>
      </c>
      <c r="M3326" s="0">
        <v>17</v>
      </c>
      <c r="N3326" s="0">
        <v>0</v>
      </c>
      <c r="O3326" s="0">
        <v>0</v>
      </c>
      <c r="P3326" s="0">
        <v>0</v>
      </c>
      <c r="Q3326" s="0" t="s">
        <v>756</v>
      </c>
      <c r="R3326" s="0" t="b">
        <v>0</v>
      </c>
      <c r="S3326" s="0" t="b">
        <v>1</v>
      </c>
      <c r="T3326" s="68">
        <v>45840.4715277778</v>
      </c>
      <c r="U3326" s="68">
        <v>45854.3333333333</v>
      </c>
      <c r="V3326" s="68">
        <v>0</v>
      </c>
      <c r="W3326" s="0">
        <f>IF(IF(B3326="none",1,IF(B3326="Trialer",1,0))+IF(C3326="Customer",1,IF(C3326="Lost",1,0))=2,1,0)</f>
      </c>
      <c r="X3326" s="0" t="s">
        <v>136</v>
      </c>
      <c r="Y3326" s="0" t="s">
        <v>499</v>
      </c>
      <c r="AV3326" s="68"/>
      <c r="AW3326" s="68"/>
      <c r="AY3326" s="27"/>
      <c r="BD3326" s="68">
        <v>46054.1666666667</v>
      </c>
      <c r="BE3326" s="68">
        <v>46082.1666666667</v>
      </c>
      <c r="BF3326" s="0" t="b">
        <v>0</v>
      </c>
      <c r="BG3326" s="0" t="b">
        <v>0</v>
      </c>
      <c r="BH3326" s="0">
        <v>833</v>
      </c>
      <c r="BI3326" s="0">
        <v>833</v>
      </c>
      <c r="BJ3326" s="0" t="s">
        <v>135</v>
      </c>
    </row>
    <row r="3327">
      <c r="A3327" s="0" t="s">
        <v>3580</v>
      </c>
      <c r="B3327" s="0" t="s">
        <v>134</v>
      </c>
      <c r="C3327" s="0" t="s">
        <v>134</v>
      </c>
      <c r="D3327" s="0" t="s">
        <v>135</v>
      </c>
      <c r="E3327" s="0" t="s">
        <v>2</v>
      </c>
      <c r="F3327" s="0" t="s">
        <v>12</v>
      </c>
      <c r="G3327" s="0" t="s">
        <v>8</v>
      </c>
      <c r="H3327" s="0">
        <v>213</v>
      </c>
      <c r="I3327" s="0">
        <v>61</v>
      </c>
      <c r="J3327" s="0">
        <v>0</v>
      </c>
      <c r="K3327" s="0">
        <v>1</v>
      </c>
      <c r="L3327" s="0">
        <v>4</v>
      </c>
      <c r="M3327" s="0">
        <v>1</v>
      </c>
      <c r="N3327" s="0">
        <v>0</v>
      </c>
      <c r="O3327" s="0">
        <v>0</v>
      </c>
      <c r="P3327" s="0">
        <v>0</v>
      </c>
      <c r="R3327" s="0" t="b">
        <v>0</v>
      </c>
      <c r="S3327" s="0" t="b">
        <v>1</v>
      </c>
      <c r="T3327" s="68">
        <v>45840.6024305556</v>
      </c>
      <c r="U3327" s="68">
        <v>45859.3333333333</v>
      </c>
      <c r="V3327" s="68">
        <v>0</v>
      </c>
      <c r="W3327" s="0">
        <f>IF(IF(B3327="none",1,IF(B3327="Trialer",1,0))+IF(C3327="Customer",1,IF(C3327="Lost",1,0))=2,1,0)</f>
      </c>
      <c r="X3327" s="0" t="s">
        <v>142</v>
      </c>
      <c r="Y3327" s="0" t="s">
        <v>499</v>
      </c>
      <c r="AV3327" s="68"/>
      <c r="AW3327" s="68"/>
      <c r="AY3327" s="27"/>
      <c r="BD3327" s="68">
        <v>46054.1666666667</v>
      </c>
      <c r="BE3327" s="68">
        <v>46082.1666666667</v>
      </c>
      <c r="BF3327" s="0" t="b">
        <v>0</v>
      </c>
      <c r="BG3327" s="0" t="b">
        <v>0</v>
      </c>
      <c r="BH3327" s="0">
        <v>61</v>
      </c>
      <c r="BI3327" s="0">
        <v>61</v>
      </c>
      <c r="BJ3327" s="0" t="s">
        <v>135</v>
      </c>
    </row>
    <row r="3328">
      <c r="A3328" s="0" t="s">
        <v>3581</v>
      </c>
      <c r="B3328" s="0" t="s">
        <v>134</v>
      </c>
      <c r="C3328" s="0" t="s">
        <v>134</v>
      </c>
      <c r="D3328" s="0" t="s">
        <v>230</v>
      </c>
      <c r="E3328" s="0" t="s">
        <v>2</v>
      </c>
      <c r="F3328" s="0" t="s">
        <v>12</v>
      </c>
      <c r="G3328" s="0" t="s">
        <v>8</v>
      </c>
      <c r="H3328" s="0">
        <v>213</v>
      </c>
      <c r="I3328" s="0">
        <v>147</v>
      </c>
      <c r="J3328" s="0">
        <v>0</v>
      </c>
      <c r="K3328" s="0">
        <v>1</v>
      </c>
      <c r="L3328" s="0">
        <v>3</v>
      </c>
      <c r="M3328" s="0">
        <v>4</v>
      </c>
      <c r="N3328" s="0">
        <v>0</v>
      </c>
      <c r="O3328" s="0">
        <v>0</v>
      </c>
      <c r="P3328" s="0">
        <v>-147</v>
      </c>
      <c r="R3328" s="0" t="b">
        <v>0</v>
      </c>
      <c r="S3328" s="0" t="b">
        <v>1</v>
      </c>
      <c r="T3328" s="68">
        <v>45840.6432175926</v>
      </c>
      <c r="U3328" s="68">
        <v>45859.3333333333</v>
      </c>
      <c r="V3328" s="68">
        <v>0</v>
      </c>
      <c r="W3328" s="0">
        <f>IF(IF(B3328="none",1,IF(B3328="Trialer",1,0))+IF(C3328="Customer",1,IF(C3328="Lost",1,0))=2,1,0)</f>
      </c>
      <c r="X3328" s="0" t="s">
        <v>145</v>
      </c>
      <c r="Y3328" s="0" t="s">
        <v>499</v>
      </c>
      <c r="AV3328" s="68"/>
      <c r="AW3328" s="68"/>
      <c r="AY3328" s="27"/>
      <c r="BD3328" s="68">
        <v>46054.1666666667</v>
      </c>
      <c r="BE3328" s="68">
        <v>46082.1666666667</v>
      </c>
      <c r="BF3328" s="0" t="b">
        <v>0</v>
      </c>
      <c r="BG3328" s="0" t="b">
        <v>0</v>
      </c>
      <c r="BH3328" s="0">
        <v>196</v>
      </c>
      <c r="BI3328" s="0">
        <v>196</v>
      </c>
      <c r="BJ3328" s="0" t="s">
        <v>230</v>
      </c>
    </row>
    <row r="3329">
      <c r="A3329" s="0" t="s">
        <v>3582</v>
      </c>
      <c r="B3329" s="0" t="s">
        <v>134</v>
      </c>
      <c r="C3329" s="0" t="s">
        <v>134</v>
      </c>
      <c r="D3329" s="0" t="s">
        <v>135</v>
      </c>
      <c r="E3329" s="0" t="s">
        <v>4</v>
      </c>
      <c r="F3329" s="0" t="s">
        <v>12</v>
      </c>
      <c r="G3329" s="0" t="s">
        <v>8</v>
      </c>
      <c r="H3329" s="0">
        <v>213</v>
      </c>
      <c r="I3329" s="0">
        <v>49</v>
      </c>
      <c r="J3329" s="0">
        <v>0</v>
      </c>
      <c r="K3329" s="0">
        <v>1</v>
      </c>
      <c r="L3329" s="0">
        <v>3</v>
      </c>
      <c r="M3329" s="0">
        <v>1</v>
      </c>
      <c r="N3329" s="0">
        <v>0</v>
      </c>
      <c r="O3329" s="0">
        <v>0</v>
      </c>
      <c r="P3329" s="0">
        <v>0</v>
      </c>
      <c r="R3329" s="0" t="b">
        <v>0</v>
      </c>
      <c r="S3329" s="0" t="b">
        <v>0</v>
      </c>
      <c r="T3329" s="68">
        <v>45840.6743518518</v>
      </c>
      <c r="U3329" s="68">
        <v>45856.3333333333</v>
      </c>
      <c r="V3329" s="68">
        <v>46093.6920833333</v>
      </c>
      <c r="W3329" s="0">
        <f>IF(IF(B3329="none",1,IF(B3329="Trialer",1,0))+IF(C3329="Customer",1,IF(C3329="Lost",1,0))=2,1,0)</f>
      </c>
      <c r="X3329" s="0" t="s">
        <v>166</v>
      </c>
      <c r="Y3329" s="0" t="s">
        <v>1772</v>
      </c>
      <c r="AV3329" s="68"/>
      <c r="AW3329" s="68"/>
      <c r="AY3329" s="27"/>
      <c r="BD3329" s="68">
        <v>46054.1666666667</v>
      </c>
      <c r="BE3329" s="68">
        <v>46082.1666666667</v>
      </c>
      <c r="BF3329" s="0" t="b">
        <v>0</v>
      </c>
      <c r="BG3329" s="0" t="b">
        <v>0</v>
      </c>
      <c r="BH3329" s="0">
        <v>49</v>
      </c>
      <c r="BI3329" s="0">
        <v>49</v>
      </c>
      <c r="BJ3329" s="0" t="s">
        <v>135</v>
      </c>
    </row>
    <row r="3330">
      <c r="A3330" s="0" t="s">
        <v>3583</v>
      </c>
      <c r="B3330" s="0" t="s">
        <v>134</v>
      </c>
      <c r="C3330" s="0" t="s">
        <v>134</v>
      </c>
      <c r="D3330" s="0" t="s">
        <v>230</v>
      </c>
      <c r="E3330" s="0" t="s">
        <v>3</v>
      </c>
      <c r="F3330" s="0" t="s">
        <v>12</v>
      </c>
      <c r="G3330" s="0" t="s">
        <v>8</v>
      </c>
      <c r="H3330" s="0">
        <v>213</v>
      </c>
      <c r="I3330" s="0">
        <v>54.75</v>
      </c>
      <c r="J3330" s="0">
        <v>0</v>
      </c>
      <c r="K3330" s="0">
        <v>1</v>
      </c>
      <c r="L3330" s="0">
        <v>5</v>
      </c>
      <c r="M3330" s="0">
        <v>1</v>
      </c>
      <c r="N3330" s="0">
        <v>0</v>
      </c>
      <c r="O3330" s="0">
        <v>0</v>
      </c>
      <c r="P3330" s="0">
        <v>-54.75</v>
      </c>
      <c r="R3330" s="0" t="b">
        <v>0</v>
      </c>
      <c r="S3330" s="0" t="b">
        <v>1</v>
      </c>
      <c r="T3330" s="68">
        <v>45840.8843287037</v>
      </c>
      <c r="U3330" s="68">
        <v>45854.3333333333</v>
      </c>
      <c r="V3330" s="68">
        <v>0</v>
      </c>
      <c r="W3330" s="0">
        <f>IF(IF(B3330="none",1,IF(B3330="Trialer",1,0))+IF(C3330="Customer",1,IF(C3330="Lost",1,0))=2,1,0)</f>
      </c>
      <c r="X3330" s="0" t="s">
        <v>136</v>
      </c>
      <c r="Y3330" s="0" t="s">
        <v>243</v>
      </c>
      <c r="AV3330" s="68"/>
      <c r="AW3330" s="68"/>
      <c r="AY3330" s="27"/>
      <c r="BD3330" s="68">
        <v>46054.1666666667</v>
      </c>
      <c r="BE3330" s="68">
        <v>46082.1666666667</v>
      </c>
      <c r="BF3330" s="0" t="b">
        <v>0</v>
      </c>
      <c r="BG3330" s="0" t="b">
        <v>0</v>
      </c>
      <c r="BH3330" s="0">
        <v>73</v>
      </c>
      <c r="BI3330" s="0">
        <v>73</v>
      </c>
      <c r="BJ3330" s="0" t="s">
        <v>230</v>
      </c>
    </row>
    <row r="3331">
      <c r="A3331" s="0" t="s">
        <v>3584</v>
      </c>
      <c r="B3331" s="0" t="s">
        <v>134</v>
      </c>
      <c r="C3331" s="0" t="s">
        <v>134</v>
      </c>
      <c r="D3331" s="0" t="s">
        <v>135</v>
      </c>
      <c r="E3331" s="0" t="s">
        <v>3</v>
      </c>
      <c r="F3331" s="0" t="s">
        <v>12</v>
      </c>
      <c r="G3331" s="0" t="s">
        <v>8</v>
      </c>
      <c r="H3331" s="0">
        <v>212</v>
      </c>
      <c r="I3331" s="0">
        <v>187</v>
      </c>
      <c r="J3331" s="0">
        <v>0</v>
      </c>
      <c r="K3331" s="0">
        <v>1</v>
      </c>
      <c r="L3331" s="0">
        <v>3</v>
      </c>
      <c r="M3331" s="0">
        <v>4</v>
      </c>
      <c r="N3331" s="0">
        <v>0</v>
      </c>
      <c r="O3331" s="0">
        <v>0</v>
      </c>
      <c r="P3331" s="0">
        <v>0</v>
      </c>
      <c r="R3331" s="0" t="b">
        <v>0</v>
      </c>
      <c r="S3331" s="0" t="b">
        <v>1</v>
      </c>
      <c r="T3331" s="68">
        <v>45841.3381712963</v>
      </c>
      <c r="U3331" s="68">
        <v>45855.3333333333</v>
      </c>
      <c r="V3331" s="68">
        <v>0</v>
      </c>
      <c r="W3331" s="0">
        <f>IF(IF(B3331="none",1,IF(B3331="Trialer",1,0))+IF(C3331="Customer",1,IF(C3331="Lost",1,0))=2,1,0)</f>
      </c>
      <c r="X3331" s="0" t="s">
        <v>145</v>
      </c>
      <c r="Y3331" s="0" t="s">
        <v>243</v>
      </c>
      <c r="AV3331" s="68"/>
      <c r="AW3331" s="68"/>
      <c r="AY3331" s="27"/>
      <c r="BD3331" s="68">
        <v>46054.1666666667</v>
      </c>
      <c r="BE3331" s="68">
        <v>46082.1666666667</v>
      </c>
      <c r="BF3331" s="0" t="b">
        <v>0</v>
      </c>
      <c r="BG3331" s="0" t="b">
        <v>0</v>
      </c>
      <c r="BH3331" s="0">
        <v>187</v>
      </c>
      <c r="BI3331" s="0">
        <v>187</v>
      </c>
      <c r="BJ3331" s="0" t="s">
        <v>135</v>
      </c>
    </row>
    <row r="3332">
      <c r="A3332" s="0" t="s">
        <v>3585</v>
      </c>
      <c r="B3332" s="0" t="s">
        <v>134</v>
      </c>
      <c r="C3332" s="0" t="s">
        <v>134</v>
      </c>
      <c r="D3332" s="0" t="s">
        <v>135</v>
      </c>
      <c r="E3332" s="0" t="s">
        <v>3</v>
      </c>
      <c r="F3332" s="0" t="s">
        <v>12</v>
      </c>
      <c r="G3332" s="0" t="s">
        <v>8</v>
      </c>
      <c r="H3332" s="0">
        <v>212</v>
      </c>
      <c r="I3332" s="0">
        <v>117</v>
      </c>
      <c r="J3332" s="0">
        <v>0</v>
      </c>
      <c r="K3332" s="0">
        <v>1</v>
      </c>
      <c r="L3332" s="0">
        <v>4</v>
      </c>
      <c r="M3332" s="0">
        <v>3</v>
      </c>
      <c r="N3332" s="0">
        <v>0</v>
      </c>
      <c r="O3332" s="0">
        <v>0</v>
      </c>
      <c r="P3332" s="0">
        <v>0</v>
      </c>
      <c r="R3332" s="0" t="b">
        <v>0</v>
      </c>
      <c r="S3332" s="0" t="b">
        <v>1</v>
      </c>
      <c r="T3332" s="68">
        <v>45841.5087037037</v>
      </c>
      <c r="U3332" s="68">
        <v>45859.3333333333</v>
      </c>
      <c r="V3332" s="68">
        <v>0</v>
      </c>
      <c r="W3332" s="0">
        <f>IF(IF(B3332="none",1,IF(B3332="Trialer",1,0))+IF(C3332="Customer",1,IF(C3332="Lost",1,0))=2,1,0)</f>
      </c>
      <c r="X3332" s="0" t="s">
        <v>166</v>
      </c>
      <c r="Y3332" s="0" t="s">
        <v>243</v>
      </c>
      <c r="AV3332" s="68"/>
      <c r="AW3332" s="68"/>
      <c r="AY3332" s="27"/>
      <c r="BD3332" s="68">
        <v>46054.1666666667</v>
      </c>
      <c r="BE3332" s="68">
        <v>46082.1666666667</v>
      </c>
      <c r="BF3332" s="0" t="b">
        <v>0</v>
      </c>
      <c r="BG3332" s="0" t="b">
        <v>0</v>
      </c>
      <c r="BH3332" s="0">
        <v>117</v>
      </c>
      <c r="BI3332" s="0">
        <v>117</v>
      </c>
      <c r="BJ3332" s="0" t="s">
        <v>135</v>
      </c>
    </row>
    <row r="3333">
      <c r="A3333" s="0" t="s">
        <v>3586</v>
      </c>
      <c r="B3333" s="0" t="s">
        <v>134</v>
      </c>
      <c r="C3333" s="0" t="s">
        <v>134</v>
      </c>
      <c r="D3333" s="0" t="s">
        <v>135</v>
      </c>
      <c r="E3333" s="0" t="s">
        <v>3</v>
      </c>
      <c r="F3333" s="0" t="s">
        <v>12</v>
      </c>
      <c r="G3333" s="0" t="s">
        <v>8</v>
      </c>
      <c r="H3333" s="0">
        <v>212</v>
      </c>
      <c r="I3333" s="0">
        <v>40</v>
      </c>
      <c r="J3333" s="0">
        <v>0</v>
      </c>
      <c r="K3333" s="0">
        <v>1</v>
      </c>
      <c r="L3333" s="0">
        <v>2</v>
      </c>
      <c r="M3333" s="0">
        <v>1</v>
      </c>
      <c r="N3333" s="0">
        <v>0</v>
      </c>
      <c r="O3333" s="0">
        <v>0</v>
      </c>
      <c r="P3333" s="0">
        <v>0</v>
      </c>
      <c r="R3333" s="0" t="b">
        <v>0</v>
      </c>
      <c r="S3333" s="0" t="b">
        <v>1</v>
      </c>
      <c r="T3333" s="68">
        <v>45841.5288773148</v>
      </c>
      <c r="U3333" s="68">
        <v>45877.3333333333</v>
      </c>
      <c r="V3333" s="68">
        <v>0</v>
      </c>
      <c r="W3333" s="0">
        <f>IF(IF(B3333="none",1,IF(B3333="Trialer",1,0))+IF(C3333="Customer",1,IF(C3333="Lost",1,0))=2,1,0)</f>
      </c>
      <c r="X3333" s="0" t="s">
        <v>166</v>
      </c>
      <c r="Y3333" s="0" t="s">
        <v>243</v>
      </c>
      <c r="AV3333" s="68"/>
      <c r="AW3333" s="68"/>
      <c r="AY3333" s="27"/>
      <c r="BD3333" s="68">
        <v>46054.1666666667</v>
      </c>
      <c r="BE3333" s="68">
        <v>46082.1666666667</v>
      </c>
      <c r="BF3333" s="0" t="b">
        <v>0</v>
      </c>
      <c r="BG3333" s="0" t="b">
        <v>0</v>
      </c>
      <c r="BH3333" s="0">
        <v>40</v>
      </c>
      <c r="BI3333" s="0">
        <v>40</v>
      </c>
      <c r="BJ3333" s="0" t="s">
        <v>135</v>
      </c>
    </row>
    <row r="3334">
      <c r="A3334" s="0" t="s">
        <v>3587</v>
      </c>
      <c r="B3334" s="0" t="s">
        <v>134</v>
      </c>
      <c r="C3334" s="0" t="s">
        <v>134</v>
      </c>
      <c r="D3334" s="0" t="s">
        <v>135</v>
      </c>
      <c r="E3334" s="0" t="s">
        <v>3</v>
      </c>
      <c r="F3334" s="0" t="s">
        <v>12</v>
      </c>
      <c r="G3334" s="0" t="s">
        <v>8</v>
      </c>
      <c r="H3334" s="0">
        <v>212</v>
      </c>
      <c r="I3334" s="0">
        <v>120</v>
      </c>
      <c r="J3334" s="0">
        <v>0</v>
      </c>
      <c r="K3334" s="0">
        <v>1</v>
      </c>
      <c r="L3334" s="0">
        <v>2</v>
      </c>
      <c r="M3334" s="0">
        <v>3</v>
      </c>
      <c r="N3334" s="0">
        <v>0</v>
      </c>
      <c r="O3334" s="0">
        <v>0</v>
      </c>
      <c r="P3334" s="0">
        <v>0</v>
      </c>
      <c r="R3334" s="0" t="b">
        <v>0</v>
      </c>
      <c r="S3334" s="0" t="b">
        <v>1</v>
      </c>
      <c r="T3334" s="68">
        <v>45841.5358333333</v>
      </c>
      <c r="U3334" s="68">
        <v>45855.3333333333</v>
      </c>
      <c r="V3334" s="68">
        <v>0</v>
      </c>
      <c r="W3334" s="0">
        <f>IF(IF(B3334="none",1,IF(B3334="Trialer",1,0))+IF(C3334="Customer",1,IF(C3334="Lost",1,0))=2,1,0)</f>
      </c>
      <c r="X3334" s="0" t="s">
        <v>142</v>
      </c>
      <c r="Y3334" s="0" t="s">
        <v>243</v>
      </c>
      <c r="AV3334" s="68"/>
      <c r="AW3334" s="68"/>
      <c r="AY3334" s="27"/>
      <c r="BD3334" s="68">
        <v>46054.1666666667</v>
      </c>
      <c r="BE3334" s="68">
        <v>46082.1666666667</v>
      </c>
      <c r="BF3334" s="0" t="b">
        <v>0</v>
      </c>
      <c r="BG3334" s="0" t="b">
        <v>0</v>
      </c>
      <c r="BH3334" s="0">
        <v>120</v>
      </c>
      <c r="BI3334" s="0">
        <v>120</v>
      </c>
      <c r="BJ3334" s="0" t="s">
        <v>135</v>
      </c>
    </row>
    <row r="3335">
      <c r="A3335" s="0" t="s">
        <v>3588</v>
      </c>
      <c r="B3335" s="0" t="s">
        <v>652</v>
      </c>
      <c r="C3335" s="0" t="s">
        <v>652</v>
      </c>
      <c r="D3335" s="0" t="s">
        <v>135</v>
      </c>
      <c r="E3335" s="0" t="s">
        <v>3</v>
      </c>
      <c r="F3335" s="0" t="s">
        <v>12</v>
      </c>
      <c r="G3335" s="0" t="s">
        <v>8</v>
      </c>
      <c r="H3335" s="0">
        <v>212</v>
      </c>
      <c r="I3335" s="0">
        <v>0</v>
      </c>
      <c r="J3335" s="0">
        <v>0</v>
      </c>
      <c r="K3335" s="0">
        <v>0</v>
      </c>
      <c r="L3335" s="0">
        <v>0</v>
      </c>
      <c r="M3335" s="0">
        <v>0</v>
      </c>
      <c r="N3335" s="0">
        <v>0</v>
      </c>
      <c r="O3335" s="0">
        <v>0</v>
      </c>
      <c r="P3335" s="0">
        <v>0</v>
      </c>
      <c r="R3335" s="0" t="b">
        <v>0</v>
      </c>
      <c r="S3335" s="0" t="b">
        <v>0</v>
      </c>
      <c r="T3335" s="68">
        <v>45841.6601041667</v>
      </c>
      <c r="U3335" s="68">
        <v>0</v>
      </c>
      <c r="V3335" s="68">
        <v>46068.1667592593</v>
      </c>
      <c r="W3335" s="0">
        <f>IF(IF(B3335="none",1,IF(B3335="Trialer",1,0))+IF(C3335="Customer",1,IF(C3335="Lost",1,0))=2,1,0)</f>
      </c>
      <c r="X3335" s="0" t="s">
        <v>136</v>
      </c>
      <c r="Y3335" s="0" t="s">
        <v>243</v>
      </c>
      <c r="AV3335" s="68"/>
      <c r="AW3335" s="68"/>
      <c r="AY3335" s="27"/>
      <c r="BD3335" s="68">
        <v>46054.1666666667</v>
      </c>
      <c r="BE3335" s="68">
        <v>46082.1666666667</v>
      </c>
      <c r="BF3335" s="0" t="b">
        <v>0</v>
      </c>
      <c r="BG3335" s="0" t="b">
        <v>0</v>
      </c>
      <c r="BH3335" s="0">
        <v>98</v>
      </c>
      <c r="BI3335" s="0">
        <v>98</v>
      </c>
      <c r="BJ3335" s="0" t="s">
        <v>135</v>
      </c>
    </row>
    <row r="3336">
      <c r="A3336" s="0" t="s">
        <v>3589</v>
      </c>
      <c r="B3336" s="0" t="s">
        <v>134</v>
      </c>
      <c r="C3336" s="0" t="s">
        <v>134</v>
      </c>
      <c r="D3336" s="0" t="s">
        <v>230</v>
      </c>
      <c r="E3336" s="0" t="s">
        <v>3</v>
      </c>
      <c r="F3336" s="0" t="s">
        <v>12</v>
      </c>
      <c r="G3336" s="0" t="s">
        <v>8</v>
      </c>
      <c r="H3336" s="0">
        <v>211</v>
      </c>
      <c r="I3336" s="0">
        <v>44</v>
      </c>
      <c r="J3336" s="0">
        <v>0</v>
      </c>
      <c r="K3336" s="0">
        <v>1</v>
      </c>
      <c r="L3336" s="0">
        <v>3</v>
      </c>
      <c r="M3336" s="0">
        <v>1</v>
      </c>
      <c r="N3336" s="0">
        <v>0</v>
      </c>
      <c r="O3336" s="0">
        <v>0</v>
      </c>
      <c r="P3336" s="0">
        <v>-44</v>
      </c>
      <c r="R3336" s="0" t="b">
        <v>0</v>
      </c>
      <c r="S3336" s="0" t="b">
        <v>1</v>
      </c>
      <c r="T3336" s="68">
        <v>45842.0798611111</v>
      </c>
      <c r="U3336" s="68">
        <v>45856.3333333333</v>
      </c>
      <c r="V3336" s="68">
        <v>0</v>
      </c>
      <c r="W3336" s="0">
        <f>IF(IF(B3336="none",1,IF(B3336="Trialer",1,0))+IF(C3336="Customer",1,IF(C3336="Lost",1,0))=2,1,0)</f>
      </c>
      <c r="X3336" s="0" t="s">
        <v>166</v>
      </c>
      <c r="Y3336" s="0" t="s">
        <v>1792</v>
      </c>
      <c r="AV3336" s="68"/>
      <c r="AW3336" s="68"/>
      <c r="AY3336" s="27"/>
      <c r="BD3336" s="68">
        <v>46054.1666666667</v>
      </c>
      <c r="BE3336" s="68">
        <v>46082.1666666667</v>
      </c>
      <c r="BF3336" s="0" t="b">
        <v>0</v>
      </c>
      <c r="BG3336" s="0" t="b">
        <v>0</v>
      </c>
      <c r="BH3336" s="0">
        <v>49</v>
      </c>
      <c r="BI3336" s="0">
        <v>49</v>
      </c>
      <c r="BJ3336" s="0" t="s">
        <v>230</v>
      </c>
    </row>
    <row r="3337">
      <c r="A3337" s="0" t="s">
        <v>3590</v>
      </c>
      <c r="B3337" s="0" t="s">
        <v>134</v>
      </c>
      <c r="C3337" s="0" t="s">
        <v>134</v>
      </c>
      <c r="D3337" s="0" t="s">
        <v>230</v>
      </c>
      <c r="E3337" s="0" t="s">
        <v>2</v>
      </c>
      <c r="F3337" s="0" t="s">
        <v>12</v>
      </c>
      <c r="G3337" s="0" t="s">
        <v>8</v>
      </c>
      <c r="H3337" s="0">
        <v>208</v>
      </c>
      <c r="I3337" s="0">
        <v>630.25</v>
      </c>
      <c r="J3337" s="0">
        <v>0</v>
      </c>
      <c r="K3337" s="0">
        <v>1</v>
      </c>
      <c r="L3337" s="0">
        <v>5</v>
      </c>
      <c r="M3337" s="0">
        <v>8</v>
      </c>
      <c r="N3337" s="0">
        <v>0</v>
      </c>
      <c r="O3337" s="0">
        <v>0</v>
      </c>
      <c r="P3337" s="0">
        <v>-305.25</v>
      </c>
      <c r="R3337" s="0" t="b">
        <v>0</v>
      </c>
      <c r="S3337" s="0" t="b">
        <v>1</v>
      </c>
      <c r="T3337" s="68">
        <v>45845.4436689815</v>
      </c>
      <c r="U3337" s="68">
        <v>45845.3333333333</v>
      </c>
      <c r="V3337" s="68">
        <v>0</v>
      </c>
      <c r="W3337" s="0">
        <f>IF(IF(B3337="none",1,IF(B3337="Trialer",1,0))+IF(C3337="Customer",1,IF(C3337="Lost",1,0))=2,1,0)</f>
      </c>
      <c r="X3337" s="0" t="s">
        <v>145</v>
      </c>
      <c r="Y3337" s="0" t="s">
        <v>499</v>
      </c>
      <c r="AV3337" s="68"/>
      <c r="AW3337" s="68"/>
      <c r="AY3337" s="27"/>
      <c r="BD3337" s="68">
        <v>46054.1666666667</v>
      </c>
      <c r="BE3337" s="68">
        <v>46082.1666666667</v>
      </c>
      <c r="BF3337" s="0" t="b">
        <v>0</v>
      </c>
      <c r="BG3337" s="0" t="b">
        <v>0</v>
      </c>
      <c r="BH3337" s="0">
        <v>407</v>
      </c>
      <c r="BI3337" s="0">
        <v>407</v>
      </c>
      <c r="BJ3337" s="0" t="s">
        <v>230</v>
      </c>
    </row>
    <row r="3338">
      <c r="A3338" s="0" t="s">
        <v>3591</v>
      </c>
      <c r="B3338" s="0" t="s">
        <v>134</v>
      </c>
      <c r="C3338" s="0" t="s">
        <v>134</v>
      </c>
      <c r="D3338" s="0" t="s">
        <v>135</v>
      </c>
      <c r="E3338" s="0" t="s">
        <v>3</v>
      </c>
      <c r="F3338" s="0" t="s">
        <v>12</v>
      </c>
      <c r="G3338" s="0" t="s">
        <v>8</v>
      </c>
      <c r="H3338" s="0">
        <v>208</v>
      </c>
      <c r="I3338" s="0">
        <v>98</v>
      </c>
      <c r="J3338" s="0">
        <v>0</v>
      </c>
      <c r="K3338" s="0">
        <v>1</v>
      </c>
      <c r="L3338" s="0">
        <v>3</v>
      </c>
      <c r="M3338" s="0">
        <v>2</v>
      </c>
      <c r="N3338" s="0">
        <v>0</v>
      </c>
      <c r="O3338" s="0">
        <v>0</v>
      </c>
      <c r="P3338" s="0">
        <v>0</v>
      </c>
      <c r="R3338" s="0" t="b">
        <v>0</v>
      </c>
      <c r="S3338" s="0" t="b">
        <v>1</v>
      </c>
      <c r="T3338" s="68">
        <v>45845.5454282407</v>
      </c>
      <c r="U3338" s="68">
        <v>45856.3333333333</v>
      </c>
      <c r="V3338" s="68">
        <v>0</v>
      </c>
      <c r="W3338" s="0">
        <f>IF(IF(B3338="none",1,IF(B3338="Trialer",1,0))+IF(C3338="Customer",1,IF(C3338="Lost",1,0))=2,1,0)</f>
      </c>
      <c r="X3338" s="0" t="s">
        <v>1461</v>
      </c>
      <c r="Y3338" s="0" t="s">
        <v>243</v>
      </c>
      <c r="AV3338" s="68"/>
      <c r="AW3338" s="68"/>
      <c r="AY3338" s="27"/>
      <c r="BD3338" s="68">
        <v>46054.1666666667</v>
      </c>
      <c r="BE3338" s="68">
        <v>46082.1666666667</v>
      </c>
      <c r="BF3338" s="0" t="b">
        <v>0</v>
      </c>
      <c r="BG3338" s="0" t="b">
        <v>0</v>
      </c>
      <c r="BH3338" s="0">
        <v>98</v>
      </c>
      <c r="BI3338" s="0">
        <v>98</v>
      </c>
      <c r="BJ3338" s="0" t="s">
        <v>135</v>
      </c>
    </row>
    <row r="3339">
      <c r="A3339" s="0" t="s">
        <v>3592</v>
      </c>
      <c r="B3339" s="0" t="s">
        <v>134</v>
      </c>
      <c r="C3339" s="0" t="s">
        <v>134</v>
      </c>
      <c r="D3339" s="0" t="s">
        <v>135</v>
      </c>
      <c r="E3339" s="0" t="s">
        <v>3</v>
      </c>
      <c r="F3339" s="0" t="s">
        <v>12</v>
      </c>
      <c r="G3339" s="0" t="s">
        <v>8</v>
      </c>
      <c r="H3339" s="0">
        <v>208</v>
      </c>
      <c r="I3339" s="0">
        <v>610</v>
      </c>
      <c r="J3339" s="0">
        <v>0</v>
      </c>
      <c r="K3339" s="0">
        <v>1</v>
      </c>
      <c r="L3339" s="0">
        <v>4</v>
      </c>
      <c r="M3339" s="0">
        <v>10</v>
      </c>
      <c r="N3339" s="0">
        <v>0</v>
      </c>
      <c r="O3339" s="0">
        <v>0</v>
      </c>
      <c r="P3339" s="0">
        <v>0</v>
      </c>
      <c r="R3339" s="0" t="b">
        <v>0</v>
      </c>
      <c r="S3339" s="0" t="b">
        <v>1</v>
      </c>
      <c r="T3339" s="68">
        <v>45845.5705902778</v>
      </c>
      <c r="U3339" s="68">
        <v>45859.3333333333</v>
      </c>
      <c r="V3339" s="68">
        <v>0</v>
      </c>
      <c r="W3339" s="0">
        <f>IF(IF(B3339="none",1,IF(B3339="Trialer",1,0))+IF(C3339="Customer",1,IF(C3339="Lost",1,0))=2,1,0)</f>
      </c>
      <c r="X3339" s="0" t="s">
        <v>882</v>
      </c>
      <c r="Y3339" s="0" t="s">
        <v>243</v>
      </c>
      <c r="AV3339" s="68"/>
      <c r="AW3339" s="68"/>
      <c r="AY3339" s="27"/>
      <c r="BD3339" s="68">
        <v>46054.1666666667</v>
      </c>
      <c r="BE3339" s="68">
        <v>46082.1666666667</v>
      </c>
      <c r="BF3339" s="0" t="b">
        <v>0</v>
      </c>
      <c r="BG3339" s="0" t="b">
        <v>0</v>
      </c>
      <c r="BH3339" s="0">
        <v>577</v>
      </c>
      <c r="BI3339" s="0">
        <v>610</v>
      </c>
      <c r="BJ3339" s="0" t="s">
        <v>135</v>
      </c>
    </row>
    <row r="3340">
      <c r="A3340" s="0" t="s">
        <v>3593</v>
      </c>
      <c r="B3340" s="0" t="s">
        <v>134</v>
      </c>
      <c r="C3340" s="0" t="s">
        <v>134</v>
      </c>
      <c r="D3340" s="0" t="s">
        <v>135</v>
      </c>
      <c r="E3340" s="0" t="s">
        <v>3</v>
      </c>
      <c r="F3340" s="0" t="s">
        <v>12</v>
      </c>
      <c r="G3340" s="0" t="s">
        <v>8</v>
      </c>
      <c r="H3340" s="0">
        <v>207</v>
      </c>
      <c r="I3340" s="0">
        <v>0</v>
      </c>
      <c r="J3340" s="0">
        <v>0</v>
      </c>
      <c r="K3340" s="0">
        <v>1</v>
      </c>
      <c r="L3340" s="0">
        <v>5</v>
      </c>
      <c r="M3340" s="0">
        <v>1</v>
      </c>
      <c r="N3340" s="0">
        <v>0</v>
      </c>
      <c r="O3340" s="0">
        <v>0</v>
      </c>
      <c r="P3340" s="0">
        <v>0</v>
      </c>
      <c r="R3340" s="0" t="b">
        <v>0</v>
      </c>
      <c r="S3340" s="0" t="b">
        <v>1</v>
      </c>
      <c r="T3340" s="68">
        <v>45846.4611111111</v>
      </c>
      <c r="U3340" s="68">
        <v>45940.3333333333</v>
      </c>
      <c r="V3340" s="68">
        <v>0</v>
      </c>
      <c r="W3340" s="0">
        <f>IF(IF(B3340="none",1,IF(B3340="Trialer",1,0))+IF(C3340="Customer",1,IF(C3340="Lost",1,0))=2,1,0)</f>
      </c>
      <c r="X3340" s="0" t="s">
        <v>882</v>
      </c>
      <c r="Y3340" s="0" t="s">
        <v>243</v>
      </c>
      <c r="AV3340" s="68"/>
      <c r="AW3340" s="68"/>
      <c r="AY3340" s="27"/>
      <c r="BD3340" s="68">
        <v>46054.1666666667</v>
      </c>
      <c r="BE3340" s="68">
        <v>46082.1666666667</v>
      </c>
      <c r="BF3340" s="0" t="b">
        <v>0</v>
      </c>
      <c r="BG3340" s="0" t="b">
        <v>0</v>
      </c>
      <c r="BH3340" s="0">
        <v>0</v>
      </c>
      <c r="BI3340" s="0">
        <v>0</v>
      </c>
      <c r="BJ3340" s="0" t="s">
        <v>135</v>
      </c>
    </row>
    <row r="3341">
      <c r="A3341" s="0" t="s">
        <v>3594</v>
      </c>
      <c r="B3341" s="0" t="s">
        <v>134</v>
      </c>
      <c r="C3341" s="0" t="s">
        <v>134</v>
      </c>
      <c r="D3341" s="0" t="s">
        <v>135</v>
      </c>
      <c r="E3341" s="0" t="s">
        <v>3</v>
      </c>
      <c r="F3341" s="0" t="s">
        <v>12</v>
      </c>
      <c r="G3341" s="0" t="s">
        <v>8</v>
      </c>
      <c r="H3341" s="0">
        <v>207</v>
      </c>
      <c r="I3341" s="0">
        <v>0</v>
      </c>
      <c r="J3341" s="0">
        <v>0</v>
      </c>
      <c r="K3341" s="0">
        <v>1</v>
      </c>
      <c r="L3341" s="0">
        <v>6</v>
      </c>
      <c r="M3341" s="0">
        <v>2</v>
      </c>
      <c r="N3341" s="0">
        <v>0</v>
      </c>
      <c r="O3341" s="0">
        <v>0</v>
      </c>
      <c r="P3341" s="0">
        <v>0</v>
      </c>
      <c r="R3341" s="0" t="b">
        <v>0</v>
      </c>
      <c r="S3341" s="0" t="b">
        <v>1</v>
      </c>
      <c r="T3341" s="68">
        <v>45846.6535300926</v>
      </c>
      <c r="U3341" s="68">
        <v>45863.3333333333</v>
      </c>
      <c r="V3341" s="68">
        <v>0</v>
      </c>
      <c r="W3341" s="0">
        <f>IF(IF(B3341="none",1,IF(B3341="Trialer",1,0))+IF(C3341="Customer",1,IF(C3341="Lost",1,0))=2,1,0)</f>
      </c>
      <c r="X3341" s="0" t="s">
        <v>136</v>
      </c>
      <c r="Y3341" s="0" t="s">
        <v>243</v>
      </c>
      <c r="AV3341" s="68"/>
      <c r="AW3341" s="68"/>
      <c r="AY3341" s="27"/>
      <c r="BD3341" s="68">
        <v>46054.1666666667</v>
      </c>
      <c r="BE3341" s="68">
        <v>46082.1666666667</v>
      </c>
      <c r="BF3341" s="0" t="b">
        <v>0</v>
      </c>
      <c r="BG3341" s="0" t="b">
        <v>0</v>
      </c>
      <c r="BH3341" s="0">
        <v>0</v>
      </c>
      <c r="BI3341" s="0">
        <v>0</v>
      </c>
      <c r="BJ3341" s="0" t="s">
        <v>135</v>
      </c>
    </row>
    <row r="3342">
      <c r="A3342" s="0" t="s">
        <v>3595</v>
      </c>
      <c r="B3342" s="0" t="s">
        <v>134</v>
      </c>
      <c r="C3342" s="0" t="s">
        <v>134</v>
      </c>
      <c r="D3342" s="0" t="s">
        <v>135</v>
      </c>
      <c r="E3342" s="0" t="s">
        <v>3</v>
      </c>
      <c r="F3342" s="0" t="s">
        <v>12</v>
      </c>
      <c r="G3342" s="0" t="s">
        <v>8</v>
      </c>
      <c r="H3342" s="0">
        <v>206</v>
      </c>
      <c r="I3342" s="0">
        <v>80</v>
      </c>
      <c r="J3342" s="0">
        <v>0</v>
      </c>
      <c r="K3342" s="0">
        <v>1</v>
      </c>
      <c r="L3342" s="0">
        <v>2</v>
      </c>
      <c r="M3342" s="0">
        <v>2</v>
      </c>
      <c r="N3342" s="0">
        <v>0</v>
      </c>
      <c r="O3342" s="0">
        <v>0</v>
      </c>
      <c r="P3342" s="0">
        <v>0</v>
      </c>
      <c r="R3342" s="0" t="b">
        <v>0</v>
      </c>
      <c r="S3342" s="0" t="b">
        <v>1</v>
      </c>
      <c r="T3342" s="68">
        <v>45847.9038888889</v>
      </c>
      <c r="U3342" s="68">
        <v>45866.3333333333</v>
      </c>
      <c r="V3342" s="68">
        <v>0</v>
      </c>
      <c r="W3342" s="0">
        <f>IF(IF(B3342="none",1,IF(B3342="Trialer",1,0))+IF(C3342="Customer",1,IF(C3342="Lost",1,0))=2,1,0)</f>
      </c>
      <c r="X3342" s="0" t="s">
        <v>166</v>
      </c>
      <c r="Y3342" s="0" t="s">
        <v>243</v>
      </c>
      <c r="AV3342" s="68"/>
      <c r="AW3342" s="68"/>
      <c r="AY3342" s="27"/>
      <c r="BD3342" s="68">
        <v>46054.1666666667</v>
      </c>
      <c r="BE3342" s="68">
        <v>46082.1666666667</v>
      </c>
      <c r="BF3342" s="0" t="b">
        <v>0</v>
      </c>
      <c r="BG3342" s="0" t="b">
        <v>0</v>
      </c>
      <c r="BH3342" s="0">
        <v>80</v>
      </c>
      <c r="BI3342" s="0">
        <v>80</v>
      </c>
      <c r="BJ3342" s="0" t="s">
        <v>135</v>
      </c>
    </row>
    <row r="3343">
      <c r="A3343" s="0" t="s">
        <v>3596</v>
      </c>
      <c r="B3343" s="0" t="s">
        <v>134</v>
      </c>
      <c r="C3343" s="0" t="s">
        <v>134</v>
      </c>
      <c r="D3343" s="0" t="s">
        <v>135</v>
      </c>
      <c r="E3343" s="0" t="s">
        <v>2</v>
      </c>
      <c r="F3343" s="0" t="s">
        <v>12</v>
      </c>
      <c r="G3343" s="0" t="s">
        <v>8</v>
      </c>
      <c r="H3343" s="0">
        <v>205</v>
      </c>
      <c r="I3343" s="0">
        <v>28</v>
      </c>
      <c r="J3343" s="0">
        <v>0</v>
      </c>
      <c r="K3343" s="0">
        <v>1</v>
      </c>
      <c r="L3343" s="0">
        <v>1</v>
      </c>
      <c r="M3343" s="0">
        <v>1</v>
      </c>
      <c r="N3343" s="0">
        <v>0</v>
      </c>
      <c r="O3343" s="0">
        <v>0</v>
      </c>
      <c r="P3343" s="0">
        <v>0</v>
      </c>
      <c r="R3343" s="0" t="b">
        <v>0</v>
      </c>
      <c r="S3343" s="0" t="b">
        <v>1</v>
      </c>
      <c r="T3343" s="68">
        <v>45848.5257291667</v>
      </c>
      <c r="U3343" s="68">
        <v>45867.3333333333</v>
      </c>
      <c r="V3343" s="68">
        <v>0</v>
      </c>
      <c r="W3343" s="0">
        <f>IF(IF(B3343="none",1,IF(B3343="Trialer",1,0))+IF(C3343="Customer",1,IF(C3343="Lost",1,0))=2,1,0)</f>
      </c>
      <c r="X3343" s="0" t="s">
        <v>142</v>
      </c>
      <c r="Y3343" s="0" t="s">
        <v>499</v>
      </c>
      <c r="AV3343" s="68"/>
      <c r="AW3343" s="68"/>
      <c r="AY3343" s="27"/>
      <c r="BD3343" s="68">
        <v>46054.1666666667</v>
      </c>
      <c r="BE3343" s="68">
        <v>46082.1666666667</v>
      </c>
      <c r="BF3343" s="0" t="b">
        <v>0</v>
      </c>
      <c r="BG3343" s="0" t="b">
        <v>0</v>
      </c>
      <c r="BH3343" s="0">
        <v>28</v>
      </c>
      <c r="BI3343" s="0">
        <v>28</v>
      </c>
      <c r="BJ3343" s="0" t="s">
        <v>135</v>
      </c>
    </row>
    <row r="3344">
      <c r="A3344" s="0" t="s">
        <v>3597</v>
      </c>
      <c r="B3344" s="0" t="s">
        <v>134</v>
      </c>
      <c r="C3344" s="0" t="s">
        <v>134</v>
      </c>
      <c r="D3344" s="0" t="s">
        <v>135</v>
      </c>
      <c r="E3344" s="0" t="s">
        <v>3</v>
      </c>
      <c r="F3344" s="0" t="s">
        <v>12</v>
      </c>
      <c r="G3344" s="0" t="s">
        <v>8</v>
      </c>
      <c r="H3344" s="0">
        <v>205</v>
      </c>
      <c r="I3344" s="0">
        <v>147</v>
      </c>
      <c r="J3344" s="0">
        <v>0</v>
      </c>
      <c r="K3344" s="0">
        <v>1</v>
      </c>
      <c r="L3344" s="0">
        <v>3</v>
      </c>
      <c r="M3344" s="0">
        <v>3</v>
      </c>
      <c r="N3344" s="0">
        <v>0</v>
      </c>
      <c r="O3344" s="0">
        <v>0</v>
      </c>
      <c r="P3344" s="0">
        <v>0</v>
      </c>
      <c r="R3344" s="0" t="b">
        <v>0</v>
      </c>
      <c r="S3344" s="0" t="b">
        <v>1</v>
      </c>
      <c r="T3344" s="68">
        <v>45848.5325347222</v>
      </c>
      <c r="U3344" s="68">
        <v>45848.3333333333</v>
      </c>
      <c r="V3344" s="68">
        <v>0</v>
      </c>
      <c r="W3344" s="0">
        <f>IF(IF(B3344="none",1,IF(B3344="Trialer",1,0))+IF(C3344="Customer",1,IF(C3344="Lost",1,0))=2,1,0)</f>
      </c>
      <c r="X3344" s="0" t="s">
        <v>1461</v>
      </c>
      <c r="Y3344" s="0" t="s">
        <v>243</v>
      </c>
      <c r="AV3344" s="68"/>
      <c r="AW3344" s="68"/>
      <c r="AY3344" s="27"/>
      <c r="BD3344" s="68">
        <v>46054.1666666667</v>
      </c>
      <c r="BE3344" s="68">
        <v>46082.1666666667</v>
      </c>
      <c r="BF3344" s="0" t="b">
        <v>0</v>
      </c>
      <c r="BG3344" s="0" t="b">
        <v>0</v>
      </c>
      <c r="BH3344" s="0">
        <v>147</v>
      </c>
      <c r="BI3344" s="0">
        <v>147</v>
      </c>
      <c r="BJ3344" s="0" t="s">
        <v>135</v>
      </c>
    </row>
    <row r="3345">
      <c r="A3345" s="0" t="s">
        <v>3598</v>
      </c>
      <c r="B3345" s="0" t="s">
        <v>134</v>
      </c>
      <c r="C3345" s="0" t="s">
        <v>134</v>
      </c>
      <c r="D3345" s="0" t="s">
        <v>230</v>
      </c>
      <c r="E3345" s="0" t="s">
        <v>2</v>
      </c>
      <c r="F3345" s="0" t="s">
        <v>12</v>
      </c>
      <c r="G3345" s="0" t="s">
        <v>8</v>
      </c>
      <c r="H3345" s="0">
        <v>204</v>
      </c>
      <c r="I3345" s="0">
        <v>237.75</v>
      </c>
      <c r="J3345" s="0">
        <v>0</v>
      </c>
      <c r="K3345" s="0">
        <v>1</v>
      </c>
      <c r="L3345" s="0">
        <v>5</v>
      </c>
      <c r="M3345" s="0">
        <v>5</v>
      </c>
      <c r="N3345" s="0">
        <v>0</v>
      </c>
      <c r="O3345" s="0">
        <v>0</v>
      </c>
      <c r="P3345" s="0">
        <v>-237.75</v>
      </c>
      <c r="R3345" s="0" t="b">
        <v>0</v>
      </c>
      <c r="S3345" s="0" t="b">
        <v>1</v>
      </c>
      <c r="T3345" s="68">
        <v>45849.415625</v>
      </c>
      <c r="U3345" s="68">
        <v>45887.3333333333</v>
      </c>
      <c r="V3345" s="68">
        <v>0</v>
      </c>
      <c r="W3345" s="0">
        <f>IF(IF(B3345="none",1,IF(B3345="Trialer",1,0))+IF(C3345="Customer",1,IF(C3345="Lost",1,0))=2,1,0)</f>
      </c>
      <c r="X3345" s="0" t="s">
        <v>145</v>
      </c>
      <c r="Y3345" s="0" t="s">
        <v>499</v>
      </c>
      <c r="AV3345" s="68"/>
      <c r="AW3345" s="68"/>
      <c r="AY3345" s="27"/>
      <c r="BD3345" s="68">
        <v>46054.1666666667</v>
      </c>
      <c r="BE3345" s="68">
        <v>46082.1666666667</v>
      </c>
      <c r="BF3345" s="0" t="b">
        <v>0</v>
      </c>
      <c r="BG3345" s="0" t="b">
        <v>0</v>
      </c>
      <c r="BH3345" s="0">
        <v>317</v>
      </c>
      <c r="BI3345" s="0">
        <v>317</v>
      </c>
      <c r="BJ3345" s="0" t="s">
        <v>230</v>
      </c>
    </row>
    <row r="3346">
      <c r="A3346" s="0" t="s">
        <v>3599</v>
      </c>
      <c r="B3346" s="0" t="s">
        <v>134</v>
      </c>
      <c r="C3346" s="0" t="s">
        <v>134</v>
      </c>
      <c r="D3346" s="0" t="s">
        <v>230</v>
      </c>
      <c r="E3346" s="0" t="s">
        <v>3</v>
      </c>
      <c r="F3346" s="0" t="s">
        <v>12</v>
      </c>
      <c r="G3346" s="0" t="s">
        <v>8</v>
      </c>
      <c r="H3346" s="0">
        <v>204</v>
      </c>
      <c r="I3346" s="0">
        <v>54.75</v>
      </c>
      <c r="J3346" s="0">
        <v>0</v>
      </c>
      <c r="K3346" s="0">
        <v>1</v>
      </c>
      <c r="L3346" s="0">
        <v>5</v>
      </c>
      <c r="M3346" s="0">
        <v>1</v>
      </c>
      <c r="N3346" s="0">
        <v>0</v>
      </c>
      <c r="O3346" s="0">
        <v>0</v>
      </c>
      <c r="P3346" s="0">
        <v>-54.75</v>
      </c>
      <c r="R3346" s="0" t="b">
        <v>0</v>
      </c>
      <c r="S3346" s="0" t="b">
        <v>1</v>
      </c>
      <c r="T3346" s="68">
        <v>45849.5569444444</v>
      </c>
      <c r="U3346" s="68">
        <v>45870.3333333333</v>
      </c>
      <c r="V3346" s="68">
        <v>0</v>
      </c>
      <c r="W3346" s="0">
        <f>IF(IF(B3346="none",1,IF(B3346="Trialer",1,0))+IF(C3346="Customer",1,IF(C3346="Lost",1,0))=2,1,0)</f>
      </c>
      <c r="X3346" s="0" t="s">
        <v>153</v>
      </c>
      <c r="Y3346" s="0" t="s">
        <v>243</v>
      </c>
      <c r="AV3346" s="68"/>
      <c r="AW3346" s="68"/>
      <c r="AY3346" s="27"/>
      <c r="BD3346" s="68">
        <v>46054.1666666667</v>
      </c>
      <c r="BE3346" s="68">
        <v>46082.1666666667</v>
      </c>
      <c r="BF3346" s="0" t="b">
        <v>0</v>
      </c>
      <c r="BG3346" s="0" t="b">
        <v>0</v>
      </c>
      <c r="BH3346" s="0">
        <v>73</v>
      </c>
      <c r="BI3346" s="0">
        <v>73</v>
      </c>
      <c r="BJ3346" s="0" t="s">
        <v>230</v>
      </c>
    </row>
    <row r="3347">
      <c r="A3347" s="0" t="s">
        <v>3600</v>
      </c>
      <c r="B3347" s="0" t="s">
        <v>134</v>
      </c>
      <c r="C3347" s="0" t="s">
        <v>134</v>
      </c>
      <c r="D3347" s="0" t="s">
        <v>230</v>
      </c>
      <c r="E3347" s="0" t="s">
        <v>3</v>
      </c>
      <c r="F3347" s="0" t="s">
        <v>10</v>
      </c>
      <c r="G3347" s="0" t="s">
        <v>8</v>
      </c>
      <c r="H3347" s="0">
        <v>204</v>
      </c>
      <c r="I3347" s="0">
        <v>90</v>
      </c>
      <c r="J3347" s="0">
        <v>0</v>
      </c>
      <c r="K3347" s="0">
        <v>1</v>
      </c>
      <c r="L3347" s="0">
        <v>2</v>
      </c>
      <c r="M3347" s="0">
        <v>3</v>
      </c>
      <c r="N3347" s="0">
        <v>0</v>
      </c>
      <c r="O3347" s="0">
        <v>0</v>
      </c>
      <c r="P3347" s="0">
        <v>-90</v>
      </c>
      <c r="Q3347" s="0" t="s">
        <v>3013</v>
      </c>
      <c r="R3347" s="0" t="b">
        <v>0</v>
      </c>
      <c r="S3347" s="0" t="b">
        <v>1</v>
      </c>
      <c r="T3347" s="68">
        <v>45849.582974537</v>
      </c>
      <c r="U3347" s="68">
        <v>45863.3333333333</v>
      </c>
      <c r="V3347" s="68">
        <v>0</v>
      </c>
      <c r="W3347" s="0">
        <f>IF(IF(B3347="none",1,IF(B3347="Trialer",1,0))+IF(C3347="Customer",1,IF(C3347="Lost",1,0))=2,1,0)</f>
      </c>
      <c r="X3347" s="0" t="s">
        <v>136</v>
      </c>
      <c r="Y3347" s="0" t="s">
        <v>243</v>
      </c>
      <c r="AV3347" s="68"/>
      <c r="AW3347" s="68"/>
      <c r="AY3347" s="27"/>
      <c r="BD3347" s="68">
        <v>46054.1666666667</v>
      </c>
      <c r="BE3347" s="68">
        <v>46082.1666666667</v>
      </c>
      <c r="BF3347" s="0" t="b">
        <v>0</v>
      </c>
      <c r="BG3347" s="0" t="b">
        <v>0</v>
      </c>
      <c r="BH3347" s="0">
        <v>120</v>
      </c>
      <c r="BI3347" s="0">
        <v>120</v>
      </c>
      <c r="BJ3347" s="0" t="s">
        <v>230</v>
      </c>
    </row>
    <row r="3348">
      <c r="A3348" s="0" t="s">
        <v>3601</v>
      </c>
      <c r="B3348" s="0" t="s">
        <v>134</v>
      </c>
      <c r="C3348" s="0" t="s">
        <v>134</v>
      </c>
      <c r="D3348" s="0" t="s">
        <v>230</v>
      </c>
      <c r="E3348" s="0" t="s">
        <v>3</v>
      </c>
      <c r="F3348" s="0" t="s">
        <v>12</v>
      </c>
      <c r="G3348" s="0" t="s">
        <v>8</v>
      </c>
      <c r="H3348" s="0">
        <v>203</v>
      </c>
      <c r="I3348" s="0">
        <v>46</v>
      </c>
      <c r="J3348" s="0">
        <v>0</v>
      </c>
      <c r="K3348" s="0">
        <v>1</v>
      </c>
      <c r="L3348" s="0">
        <v>3</v>
      </c>
      <c r="M3348" s="0">
        <v>1</v>
      </c>
      <c r="N3348" s="0">
        <v>0</v>
      </c>
      <c r="O3348" s="0">
        <v>0</v>
      </c>
      <c r="P3348" s="0">
        <v>-46</v>
      </c>
      <c r="R3348" s="0" t="b">
        <v>0</v>
      </c>
      <c r="S3348" s="0" t="b">
        <v>1</v>
      </c>
      <c r="T3348" s="68">
        <v>45850.3724884259</v>
      </c>
      <c r="U3348" s="68">
        <v>45856.3333333333</v>
      </c>
      <c r="V3348" s="68">
        <v>0</v>
      </c>
      <c r="W3348" s="0">
        <f>IF(IF(B3348="none",1,IF(B3348="Trialer",1,0))+IF(C3348="Customer",1,IF(C3348="Lost",1,0))=2,1,0)</f>
      </c>
      <c r="X3348" s="0" t="s">
        <v>166</v>
      </c>
      <c r="Y3348" s="0" t="s">
        <v>243</v>
      </c>
      <c r="AV3348" s="68"/>
      <c r="AW3348" s="68"/>
      <c r="AY3348" s="27"/>
      <c r="BD3348" s="68">
        <v>46054.1666666667</v>
      </c>
      <c r="BE3348" s="68">
        <v>46082.1666666667</v>
      </c>
      <c r="BF3348" s="0" t="b">
        <v>0</v>
      </c>
      <c r="BG3348" s="0" t="b">
        <v>0</v>
      </c>
      <c r="BH3348" s="0">
        <v>52</v>
      </c>
      <c r="BI3348" s="0">
        <v>52</v>
      </c>
      <c r="BJ3348" s="0" t="s">
        <v>230</v>
      </c>
    </row>
    <row r="3349">
      <c r="A3349" s="0" t="s">
        <v>3602</v>
      </c>
      <c r="B3349" s="0" t="s">
        <v>134</v>
      </c>
      <c r="C3349" s="0" t="s">
        <v>190</v>
      </c>
      <c r="D3349" s="0" t="s">
        <v>135</v>
      </c>
      <c r="E3349" s="0" t="s">
        <v>3</v>
      </c>
      <c r="F3349" s="0" t="s">
        <v>12</v>
      </c>
      <c r="G3349" s="0" t="s">
        <v>8</v>
      </c>
      <c r="H3349" s="0">
        <v>202</v>
      </c>
      <c r="I3349" s="0">
        <v>353</v>
      </c>
      <c r="J3349" s="0">
        <v>0</v>
      </c>
      <c r="K3349" s="0">
        <v>1</v>
      </c>
      <c r="L3349" s="0">
        <v>5</v>
      </c>
      <c r="M3349" s="0">
        <v>5</v>
      </c>
      <c r="N3349" s="0">
        <v>0</v>
      </c>
      <c r="O3349" s="0">
        <v>0</v>
      </c>
      <c r="P3349" s="0">
        <v>0</v>
      </c>
      <c r="R3349" s="0" t="b">
        <v>0</v>
      </c>
      <c r="S3349" s="0" t="b">
        <v>0</v>
      </c>
      <c r="T3349" s="68">
        <v>45851.4080787037</v>
      </c>
      <c r="U3349" s="68">
        <v>45866.3333333333</v>
      </c>
      <c r="V3349" s="68">
        <v>46080.2768865741</v>
      </c>
      <c r="W3349" s="0">
        <f>IF(IF(B3349="none",1,IF(B3349="Trialer",1,0))+IF(C3349="Customer",1,IF(C3349="Lost",1,0))=2,1,0)</f>
      </c>
      <c r="X3349" s="0" t="s">
        <v>145</v>
      </c>
      <c r="Y3349" s="0" t="s">
        <v>243</v>
      </c>
      <c r="AV3349" s="68"/>
      <c r="AW3349" s="68"/>
      <c r="AY3349" s="27"/>
      <c r="BD3349" s="68">
        <v>46054.1666666667</v>
      </c>
      <c r="BE3349" s="68">
        <v>46082.1666666667</v>
      </c>
      <c r="BF3349" s="0" t="b">
        <v>0</v>
      </c>
      <c r="BG3349" s="0" t="b">
        <v>0</v>
      </c>
      <c r="BH3349" s="0">
        <v>353</v>
      </c>
      <c r="BI3349" s="0">
        <v>353</v>
      </c>
      <c r="BJ3349" s="0" t="s">
        <v>135</v>
      </c>
    </row>
    <row r="3350">
      <c r="A3350" s="0" t="s">
        <v>3603</v>
      </c>
      <c r="B3350" s="0" t="s">
        <v>134</v>
      </c>
      <c r="C3350" s="0" t="s">
        <v>134</v>
      </c>
      <c r="D3350" s="0" t="s">
        <v>135</v>
      </c>
      <c r="E3350" s="0" t="s">
        <v>3</v>
      </c>
      <c r="F3350" s="0" t="s">
        <v>12</v>
      </c>
      <c r="G3350" s="0" t="s">
        <v>8</v>
      </c>
      <c r="H3350" s="0">
        <v>201</v>
      </c>
      <c r="I3350" s="0">
        <v>607</v>
      </c>
      <c r="J3350" s="0">
        <v>0</v>
      </c>
      <c r="K3350" s="0">
        <v>1</v>
      </c>
      <c r="L3350" s="0">
        <v>3</v>
      </c>
      <c r="M3350" s="0">
        <v>6</v>
      </c>
      <c r="N3350" s="0">
        <v>0</v>
      </c>
      <c r="O3350" s="0">
        <v>0</v>
      </c>
      <c r="P3350" s="0">
        <v>0</v>
      </c>
      <c r="R3350" s="0" t="b">
        <v>0</v>
      </c>
      <c r="S3350" s="0" t="b">
        <v>1</v>
      </c>
      <c r="T3350" s="68">
        <v>45852.1452199074</v>
      </c>
      <c r="U3350" s="68">
        <v>45869.3333333333</v>
      </c>
      <c r="V3350" s="68">
        <v>0</v>
      </c>
      <c r="W3350" s="0">
        <f>IF(IF(B3350="none",1,IF(B3350="Trialer",1,0))+IF(C3350="Customer",1,IF(C3350="Lost",1,0))=2,1,0)</f>
      </c>
      <c r="X3350" s="0" t="s">
        <v>136</v>
      </c>
      <c r="Y3350" s="0" t="s">
        <v>243</v>
      </c>
      <c r="AV3350" s="68"/>
      <c r="AW3350" s="68"/>
      <c r="AY3350" s="27"/>
      <c r="BD3350" s="68">
        <v>46054.1666666667</v>
      </c>
      <c r="BE3350" s="68">
        <v>46082.1666666667</v>
      </c>
      <c r="BF3350" s="0" t="b">
        <v>0</v>
      </c>
      <c r="BG3350" s="0" t="b">
        <v>0</v>
      </c>
      <c r="BH3350" s="0">
        <v>282</v>
      </c>
      <c r="BI3350" s="0">
        <v>282</v>
      </c>
      <c r="BJ3350" s="0" t="s">
        <v>135</v>
      </c>
    </row>
    <row r="3351">
      <c r="A3351" s="0" t="s">
        <v>3604</v>
      </c>
      <c r="B3351" s="0" t="s">
        <v>134</v>
      </c>
      <c r="C3351" s="0" t="s">
        <v>134</v>
      </c>
      <c r="D3351" s="0" t="s">
        <v>135</v>
      </c>
      <c r="E3351" s="0" t="s">
        <v>3</v>
      </c>
      <c r="F3351" s="0" t="s">
        <v>12</v>
      </c>
      <c r="G3351" s="0" t="s">
        <v>8</v>
      </c>
      <c r="H3351" s="0">
        <v>201</v>
      </c>
      <c r="I3351" s="0">
        <v>0</v>
      </c>
      <c r="J3351" s="0">
        <v>0</v>
      </c>
      <c r="K3351" s="0">
        <v>1</v>
      </c>
      <c r="L3351" s="0">
        <v>6</v>
      </c>
      <c r="M3351" s="0">
        <v>2</v>
      </c>
      <c r="N3351" s="0">
        <v>0</v>
      </c>
      <c r="O3351" s="0">
        <v>0</v>
      </c>
      <c r="P3351" s="0">
        <v>0</v>
      </c>
      <c r="R3351" s="0" t="b">
        <v>0</v>
      </c>
      <c r="S3351" s="0" t="b">
        <v>1</v>
      </c>
      <c r="T3351" s="68">
        <v>45852.4444444444</v>
      </c>
      <c r="U3351" s="68">
        <v>45866.3333333333</v>
      </c>
      <c r="V3351" s="68">
        <v>0</v>
      </c>
      <c r="W3351" s="0">
        <f>IF(IF(B3351="none",1,IF(B3351="Trialer",1,0))+IF(C3351="Customer",1,IF(C3351="Lost",1,0))=2,1,0)</f>
      </c>
      <c r="X3351" s="0" t="s">
        <v>1461</v>
      </c>
      <c r="Y3351" s="0" t="s">
        <v>243</v>
      </c>
      <c r="AV3351" s="68"/>
      <c r="AW3351" s="68"/>
      <c r="AY3351" s="27"/>
      <c r="BD3351" s="68">
        <v>46054.1666666667</v>
      </c>
      <c r="BE3351" s="68">
        <v>46082.1666666667</v>
      </c>
      <c r="BF3351" s="0" t="b">
        <v>0</v>
      </c>
      <c r="BG3351" s="0" t="b">
        <v>0</v>
      </c>
      <c r="BH3351" s="0">
        <v>0</v>
      </c>
      <c r="BI3351" s="0">
        <v>0</v>
      </c>
      <c r="BJ3351" s="0" t="s">
        <v>135</v>
      </c>
    </row>
    <row r="3352">
      <c r="A3352" s="0" t="s">
        <v>3605</v>
      </c>
      <c r="B3352" s="0" t="s">
        <v>134</v>
      </c>
      <c r="C3352" s="0" t="s">
        <v>134</v>
      </c>
      <c r="D3352" s="0" t="s">
        <v>135</v>
      </c>
      <c r="E3352" s="0" t="s">
        <v>3</v>
      </c>
      <c r="F3352" s="0" t="s">
        <v>12</v>
      </c>
      <c r="G3352" s="0" t="s">
        <v>8</v>
      </c>
      <c r="H3352" s="0">
        <v>201</v>
      </c>
      <c r="I3352" s="0">
        <v>0</v>
      </c>
      <c r="J3352" s="0">
        <v>0</v>
      </c>
      <c r="K3352" s="0">
        <v>1</v>
      </c>
      <c r="L3352" s="0">
        <v>4</v>
      </c>
      <c r="M3352" s="0">
        <v>2</v>
      </c>
      <c r="N3352" s="0">
        <v>0</v>
      </c>
      <c r="O3352" s="0">
        <v>0</v>
      </c>
      <c r="P3352" s="0">
        <v>0</v>
      </c>
      <c r="R3352" s="0" t="b">
        <v>0</v>
      </c>
      <c r="S3352" s="0" t="b">
        <v>1</v>
      </c>
      <c r="T3352" s="68">
        <v>45852.4477893518</v>
      </c>
      <c r="U3352" s="68">
        <v>45903.3333333333</v>
      </c>
      <c r="V3352" s="68">
        <v>0</v>
      </c>
      <c r="W3352" s="0">
        <f>IF(IF(B3352="none",1,IF(B3352="Trialer",1,0))+IF(C3352="Customer",1,IF(C3352="Lost",1,0))=2,1,0)</f>
      </c>
      <c r="X3352" s="0" t="s">
        <v>148</v>
      </c>
      <c r="Y3352" s="0" t="s">
        <v>2664</v>
      </c>
      <c r="AV3352" s="68"/>
      <c r="AW3352" s="68"/>
      <c r="AY3352" s="27"/>
      <c r="BD3352" s="68">
        <v>46054.1666666667</v>
      </c>
      <c r="BE3352" s="68">
        <v>46082.1666666667</v>
      </c>
      <c r="BF3352" s="0" t="b">
        <v>0</v>
      </c>
      <c r="BG3352" s="0" t="b">
        <v>0</v>
      </c>
      <c r="BH3352" s="0">
        <v>0</v>
      </c>
      <c r="BI3352" s="0">
        <v>0</v>
      </c>
      <c r="BJ3352" s="0" t="s">
        <v>135</v>
      </c>
    </row>
    <row r="3353">
      <c r="A3353" s="0" t="s">
        <v>3606</v>
      </c>
      <c r="B3353" s="0" t="s">
        <v>134</v>
      </c>
      <c r="C3353" s="0" t="s">
        <v>134</v>
      </c>
      <c r="D3353" s="0" t="s">
        <v>135</v>
      </c>
      <c r="E3353" s="0" t="s">
        <v>3</v>
      </c>
      <c r="F3353" s="0" t="s">
        <v>12</v>
      </c>
      <c r="G3353" s="0" t="s">
        <v>8</v>
      </c>
      <c r="H3353" s="0">
        <v>201</v>
      </c>
      <c r="I3353" s="0">
        <v>49</v>
      </c>
      <c r="J3353" s="0">
        <v>0</v>
      </c>
      <c r="K3353" s="0">
        <v>1</v>
      </c>
      <c r="L3353" s="0">
        <v>3</v>
      </c>
      <c r="M3353" s="0">
        <v>1</v>
      </c>
      <c r="N3353" s="0">
        <v>0</v>
      </c>
      <c r="O3353" s="0">
        <v>0</v>
      </c>
      <c r="P3353" s="0">
        <v>0</v>
      </c>
      <c r="R3353" s="0" t="b">
        <v>0</v>
      </c>
      <c r="S3353" s="0" t="b">
        <v>1</v>
      </c>
      <c r="T3353" s="68">
        <v>45852.5033333333</v>
      </c>
      <c r="U3353" s="68">
        <v>45875.3333333333</v>
      </c>
      <c r="V3353" s="68">
        <v>0</v>
      </c>
      <c r="W3353" s="0">
        <f>IF(IF(B3353="none",1,IF(B3353="Trialer",1,0))+IF(C3353="Customer",1,IF(C3353="Lost",1,0))=2,1,0)</f>
      </c>
      <c r="X3353" s="0" t="s">
        <v>142</v>
      </c>
      <c r="Y3353" s="0" t="s">
        <v>243</v>
      </c>
      <c r="AV3353" s="68"/>
      <c r="AW3353" s="68"/>
      <c r="AY3353" s="27"/>
      <c r="BD3353" s="68">
        <v>46054.1666666667</v>
      </c>
      <c r="BE3353" s="68">
        <v>46082.1666666667</v>
      </c>
      <c r="BF3353" s="0" t="b">
        <v>0</v>
      </c>
      <c r="BG3353" s="0" t="b">
        <v>0</v>
      </c>
      <c r="BH3353" s="0">
        <v>49</v>
      </c>
      <c r="BI3353" s="0">
        <v>49</v>
      </c>
      <c r="BJ3353" s="0" t="s">
        <v>135</v>
      </c>
    </row>
    <row r="3354">
      <c r="A3354" s="0" t="s">
        <v>3607</v>
      </c>
      <c r="B3354" s="0" t="s">
        <v>134</v>
      </c>
      <c r="C3354" s="0" t="s">
        <v>134</v>
      </c>
      <c r="D3354" s="0" t="s">
        <v>135</v>
      </c>
      <c r="E3354" s="0" t="s">
        <v>2</v>
      </c>
      <c r="F3354" s="0" t="s">
        <v>12</v>
      </c>
      <c r="G3354" s="0" t="s">
        <v>8</v>
      </c>
      <c r="H3354" s="0">
        <v>201</v>
      </c>
      <c r="I3354" s="0">
        <v>183</v>
      </c>
      <c r="J3354" s="0">
        <v>0</v>
      </c>
      <c r="K3354" s="0">
        <v>1</v>
      </c>
      <c r="L3354" s="0">
        <v>5</v>
      </c>
      <c r="M3354" s="0">
        <v>3</v>
      </c>
      <c r="N3354" s="0">
        <v>0</v>
      </c>
      <c r="O3354" s="0">
        <v>0</v>
      </c>
      <c r="P3354" s="0">
        <v>0</v>
      </c>
      <c r="R3354" s="0" t="b">
        <v>0</v>
      </c>
      <c r="S3354" s="0" t="b">
        <v>1</v>
      </c>
      <c r="T3354" s="68">
        <v>45852.7839814815</v>
      </c>
      <c r="U3354" s="68">
        <v>45866.3333333333</v>
      </c>
      <c r="V3354" s="68">
        <v>0</v>
      </c>
      <c r="W3354" s="0">
        <f>IF(IF(B3354="none",1,IF(B3354="Trialer",1,0))+IF(C3354="Customer",1,IF(C3354="Lost",1,0))=2,1,0)</f>
      </c>
      <c r="X3354" s="0" t="s">
        <v>142</v>
      </c>
      <c r="Y3354" s="0" t="s">
        <v>499</v>
      </c>
      <c r="AV3354" s="68"/>
      <c r="AW3354" s="68"/>
      <c r="AY3354" s="27"/>
      <c r="BD3354" s="68">
        <v>46054.1666666667</v>
      </c>
      <c r="BE3354" s="68">
        <v>46082.1666666667</v>
      </c>
      <c r="BF3354" s="0" t="b">
        <v>0</v>
      </c>
      <c r="BG3354" s="0" t="b">
        <v>0</v>
      </c>
      <c r="BH3354" s="0">
        <v>183</v>
      </c>
      <c r="BI3354" s="0">
        <v>183</v>
      </c>
      <c r="BJ3354" s="0" t="s">
        <v>135</v>
      </c>
    </row>
    <row r="3355">
      <c r="A3355" s="0" t="s">
        <v>3608</v>
      </c>
      <c r="B3355" s="0" t="s">
        <v>134</v>
      </c>
      <c r="C3355" s="0" t="s">
        <v>134</v>
      </c>
      <c r="D3355" s="0" t="s">
        <v>230</v>
      </c>
      <c r="E3355" s="0" t="s">
        <v>3</v>
      </c>
      <c r="F3355" s="0" t="s">
        <v>12</v>
      </c>
      <c r="G3355" s="0" t="s">
        <v>8</v>
      </c>
      <c r="H3355" s="0">
        <v>200</v>
      </c>
      <c r="I3355" s="0">
        <v>39</v>
      </c>
      <c r="J3355" s="0">
        <v>0</v>
      </c>
      <c r="K3355" s="0">
        <v>1</v>
      </c>
      <c r="L3355" s="0">
        <v>3</v>
      </c>
      <c r="M3355" s="0">
        <v>1</v>
      </c>
      <c r="N3355" s="0">
        <v>1550</v>
      </c>
      <c r="O3355" s="0">
        <v>0</v>
      </c>
      <c r="P3355" s="0">
        <v>-39</v>
      </c>
      <c r="R3355" s="0" t="b">
        <v>0</v>
      </c>
      <c r="S3355" s="0" t="b">
        <v>1</v>
      </c>
      <c r="T3355" s="68">
        <v>45853.4914351852</v>
      </c>
      <c r="U3355" s="68">
        <v>45867.3333333333</v>
      </c>
      <c r="V3355" s="68">
        <v>0</v>
      </c>
      <c r="W3355" s="0">
        <f>IF(IF(B3355="none",1,IF(B3355="Trialer",1,0))+IF(C3355="Customer",1,IF(C3355="Lost",1,0))=2,1,0)</f>
      </c>
      <c r="X3355" s="0" t="s">
        <v>142</v>
      </c>
      <c r="Y3355" s="0" t="s">
        <v>243</v>
      </c>
      <c r="AV3355" s="68"/>
      <c r="AW3355" s="68"/>
      <c r="AY3355" s="27"/>
      <c r="BD3355" s="68">
        <v>46054.1666666667</v>
      </c>
      <c r="BE3355" s="68">
        <v>46082.1666666667</v>
      </c>
      <c r="BF3355" s="0" t="b">
        <v>0</v>
      </c>
      <c r="BG3355" s="0" t="b">
        <v>0</v>
      </c>
      <c r="BH3355" s="0">
        <v>52</v>
      </c>
      <c r="BI3355" s="0">
        <v>52</v>
      </c>
      <c r="BJ3355" s="0" t="s">
        <v>230</v>
      </c>
    </row>
    <row r="3356">
      <c r="A3356" s="0" t="s">
        <v>3609</v>
      </c>
      <c r="B3356" s="0" t="s">
        <v>134</v>
      </c>
      <c r="C3356" s="0" t="s">
        <v>134</v>
      </c>
      <c r="D3356" s="0" t="s">
        <v>135</v>
      </c>
      <c r="E3356" s="0" t="s">
        <v>3</v>
      </c>
      <c r="F3356" s="0" t="s">
        <v>11</v>
      </c>
      <c r="G3356" s="0" t="s">
        <v>8</v>
      </c>
      <c r="H3356" s="0">
        <v>200</v>
      </c>
      <c r="I3356" s="0">
        <v>40</v>
      </c>
      <c r="J3356" s="0">
        <v>0</v>
      </c>
      <c r="K3356" s="0">
        <v>1</v>
      </c>
      <c r="L3356" s="0">
        <v>1</v>
      </c>
      <c r="M3356" s="0">
        <v>0</v>
      </c>
      <c r="N3356" s="0">
        <v>0</v>
      </c>
      <c r="O3356" s="0">
        <v>0</v>
      </c>
      <c r="P3356" s="0">
        <v>0</v>
      </c>
      <c r="Q3356" s="0" t="s">
        <v>1743</v>
      </c>
      <c r="R3356" s="0" t="b">
        <v>1</v>
      </c>
      <c r="S3356" s="0" t="b">
        <v>1</v>
      </c>
      <c r="T3356" s="68">
        <v>45853.5307523148</v>
      </c>
      <c r="U3356" s="68">
        <v>45853.3333333333</v>
      </c>
      <c r="V3356" s="68">
        <v>0</v>
      </c>
      <c r="W3356" s="0">
        <f>IF(IF(B3356="none",1,IF(B3356="Trialer",1,0))+IF(C3356="Customer",1,IF(C3356="Lost",1,0))=2,1,0)</f>
      </c>
      <c r="X3356" s="0" t="s">
        <v>145</v>
      </c>
      <c r="Y3356" s="0" t="s">
        <v>243</v>
      </c>
      <c r="AV3356" s="68"/>
      <c r="AW3356" s="68"/>
      <c r="AY3356" s="27"/>
      <c r="BD3356" s="68">
        <v>46054.1666666667</v>
      </c>
      <c r="BE3356" s="68">
        <v>46082.1666666667</v>
      </c>
      <c r="BF3356" s="0" t="b">
        <v>0</v>
      </c>
      <c r="BG3356" s="0" t="b">
        <v>0</v>
      </c>
      <c r="BH3356" s="0">
        <v>40</v>
      </c>
      <c r="BI3356" s="0">
        <v>40</v>
      </c>
      <c r="BJ3356" s="0" t="s">
        <v>135</v>
      </c>
    </row>
    <row r="3357">
      <c r="A3357" s="0" t="s">
        <v>3610</v>
      </c>
      <c r="B3357" s="0" t="s">
        <v>134</v>
      </c>
      <c r="C3357" s="0" t="s">
        <v>134</v>
      </c>
      <c r="D3357" s="0" t="s">
        <v>135</v>
      </c>
      <c r="E3357" s="0" t="s">
        <v>2</v>
      </c>
      <c r="F3357" s="0" t="s">
        <v>12</v>
      </c>
      <c r="G3357" s="0" t="s">
        <v>8</v>
      </c>
      <c r="H3357" s="0">
        <v>200</v>
      </c>
      <c r="I3357" s="0">
        <v>183</v>
      </c>
      <c r="J3357" s="0">
        <v>0</v>
      </c>
      <c r="K3357" s="0">
        <v>1</v>
      </c>
      <c r="L3357" s="0">
        <v>4</v>
      </c>
      <c r="M3357" s="0">
        <v>3</v>
      </c>
      <c r="N3357" s="0">
        <v>0</v>
      </c>
      <c r="O3357" s="0">
        <v>0</v>
      </c>
      <c r="P3357" s="0">
        <v>0</v>
      </c>
      <c r="R3357" s="0" t="b">
        <v>0</v>
      </c>
      <c r="S3357" s="0" t="b">
        <v>1</v>
      </c>
      <c r="T3357" s="68">
        <v>45853.56875</v>
      </c>
      <c r="U3357" s="68">
        <v>45881.3333333333</v>
      </c>
      <c r="V3357" s="68">
        <v>0</v>
      </c>
      <c r="W3357" s="0">
        <f>IF(IF(B3357="none",1,IF(B3357="Trialer",1,0))+IF(C3357="Customer",1,IF(C3357="Lost",1,0))=2,1,0)</f>
      </c>
      <c r="X3357" s="0" t="s">
        <v>153</v>
      </c>
      <c r="Y3357" s="0" t="s">
        <v>499</v>
      </c>
      <c r="AV3357" s="68"/>
      <c r="AW3357" s="68"/>
      <c r="AY3357" s="27"/>
      <c r="BD3357" s="68">
        <v>46054.1666666667</v>
      </c>
      <c r="BE3357" s="68">
        <v>46082.1666666667</v>
      </c>
      <c r="BF3357" s="0" t="b">
        <v>0</v>
      </c>
      <c r="BG3357" s="0" t="b">
        <v>0</v>
      </c>
      <c r="BH3357" s="0">
        <v>183</v>
      </c>
      <c r="BI3357" s="0">
        <v>183</v>
      </c>
      <c r="BJ3357" s="0" t="s">
        <v>135</v>
      </c>
    </row>
    <row r="3358">
      <c r="A3358" s="0" t="s">
        <v>3611</v>
      </c>
      <c r="B3358" s="0" t="s">
        <v>134</v>
      </c>
      <c r="C3358" s="0" t="s">
        <v>134</v>
      </c>
      <c r="D3358" s="0" t="s">
        <v>135</v>
      </c>
      <c r="E3358" s="0" t="s">
        <v>3</v>
      </c>
      <c r="F3358" s="0" t="s">
        <v>12</v>
      </c>
      <c r="G3358" s="0" t="s">
        <v>8</v>
      </c>
      <c r="H3358" s="0">
        <v>200</v>
      </c>
      <c r="I3358" s="0">
        <v>73</v>
      </c>
      <c r="J3358" s="0">
        <v>0</v>
      </c>
      <c r="K3358" s="0">
        <v>1</v>
      </c>
      <c r="L3358" s="0">
        <v>5</v>
      </c>
      <c r="M3358" s="0">
        <v>1</v>
      </c>
      <c r="N3358" s="0">
        <v>0</v>
      </c>
      <c r="O3358" s="0">
        <v>0</v>
      </c>
      <c r="P3358" s="0">
        <v>0</v>
      </c>
      <c r="R3358" s="0" t="b">
        <v>0</v>
      </c>
      <c r="S3358" s="0" t="b">
        <v>1</v>
      </c>
      <c r="T3358" s="68">
        <v>45853.7997222222</v>
      </c>
      <c r="U3358" s="68">
        <v>45874.3333333333</v>
      </c>
      <c r="V3358" s="68">
        <v>0</v>
      </c>
      <c r="W3358" s="0">
        <f>IF(IF(B3358="none",1,IF(B3358="Trialer",1,0))+IF(C3358="Customer",1,IF(C3358="Lost",1,0))=2,1,0)</f>
      </c>
      <c r="X3358" s="0" t="s">
        <v>153</v>
      </c>
      <c r="Y3358" s="0" t="s">
        <v>243</v>
      </c>
      <c r="AV3358" s="68"/>
      <c r="AW3358" s="68"/>
      <c r="AY3358" s="27"/>
      <c r="BD3358" s="68">
        <v>46054.1666666667</v>
      </c>
      <c r="BE3358" s="68">
        <v>46082.1666666667</v>
      </c>
      <c r="BF3358" s="0" t="b">
        <v>0</v>
      </c>
      <c r="BG3358" s="0" t="b">
        <v>0</v>
      </c>
      <c r="BH3358" s="0">
        <v>73</v>
      </c>
      <c r="BI3358" s="0">
        <v>73</v>
      </c>
      <c r="BJ3358" s="0" t="s">
        <v>135</v>
      </c>
    </row>
    <row r="3359">
      <c r="A3359" s="0" t="s">
        <v>3612</v>
      </c>
      <c r="B3359" s="0" t="s">
        <v>134</v>
      </c>
      <c r="C3359" s="0" t="s">
        <v>134</v>
      </c>
      <c r="D3359" s="0" t="s">
        <v>135</v>
      </c>
      <c r="E3359" s="0" t="s">
        <v>2</v>
      </c>
      <c r="F3359" s="0" t="s">
        <v>12</v>
      </c>
      <c r="G3359" s="0" t="s">
        <v>8</v>
      </c>
      <c r="H3359" s="0">
        <v>200</v>
      </c>
      <c r="I3359" s="0">
        <v>183</v>
      </c>
      <c r="J3359" s="0">
        <v>0</v>
      </c>
      <c r="K3359" s="0">
        <v>1</v>
      </c>
      <c r="L3359" s="0">
        <v>5</v>
      </c>
      <c r="M3359" s="0">
        <v>3</v>
      </c>
      <c r="N3359" s="0">
        <v>0</v>
      </c>
      <c r="O3359" s="0">
        <v>0</v>
      </c>
      <c r="P3359" s="0">
        <v>0</v>
      </c>
      <c r="R3359" s="0" t="b">
        <v>0</v>
      </c>
      <c r="S3359" s="0" t="b">
        <v>1</v>
      </c>
      <c r="T3359" s="68">
        <v>45853.8849884259</v>
      </c>
      <c r="U3359" s="68">
        <v>45877.3333333333</v>
      </c>
      <c r="V3359" s="68">
        <v>0</v>
      </c>
      <c r="W3359" s="0">
        <f>IF(IF(B3359="none",1,IF(B3359="Trialer",1,0))+IF(C3359="Customer",1,IF(C3359="Lost",1,0))=2,1,0)</f>
      </c>
      <c r="X3359" s="0" t="s">
        <v>142</v>
      </c>
      <c r="Y3359" s="0" t="s">
        <v>499</v>
      </c>
      <c r="AV3359" s="68"/>
      <c r="AW3359" s="68"/>
      <c r="AY3359" s="27"/>
      <c r="BD3359" s="68">
        <v>46054.1666666667</v>
      </c>
      <c r="BE3359" s="68">
        <v>46082.1666666667</v>
      </c>
      <c r="BF3359" s="0" t="b">
        <v>0</v>
      </c>
      <c r="BG3359" s="0" t="b">
        <v>0</v>
      </c>
      <c r="BH3359" s="0">
        <v>183</v>
      </c>
      <c r="BI3359" s="0">
        <v>183</v>
      </c>
      <c r="BJ3359" s="0" t="s">
        <v>135</v>
      </c>
    </row>
    <row r="3360">
      <c r="A3360" s="0" t="s">
        <v>3613</v>
      </c>
      <c r="B3360" s="0" t="s">
        <v>134</v>
      </c>
      <c r="C3360" s="0" t="s">
        <v>134</v>
      </c>
      <c r="D3360" s="0" t="s">
        <v>230</v>
      </c>
      <c r="E3360" s="0" t="s">
        <v>3</v>
      </c>
      <c r="F3360" s="0" t="s">
        <v>12</v>
      </c>
      <c r="G3360" s="0" t="s">
        <v>8</v>
      </c>
      <c r="H3360" s="0">
        <v>199</v>
      </c>
      <c r="I3360" s="0">
        <v>616.75</v>
      </c>
      <c r="J3360" s="0">
        <v>0</v>
      </c>
      <c r="K3360" s="0">
        <v>1</v>
      </c>
      <c r="L3360" s="0">
        <v>6</v>
      </c>
      <c r="M3360" s="0">
        <v>8</v>
      </c>
      <c r="N3360" s="0">
        <v>558</v>
      </c>
      <c r="O3360" s="0">
        <v>0</v>
      </c>
      <c r="P3360" s="0">
        <v>-291.75</v>
      </c>
      <c r="R3360" s="0" t="b">
        <v>0</v>
      </c>
      <c r="S3360" s="0" t="b">
        <v>1</v>
      </c>
      <c r="T3360" s="68">
        <v>45854.392037037</v>
      </c>
      <c r="U3360" s="68">
        <v>45854.3333333333</v>
      </c>
      <c r="V3360" s="68">
        <v>0</v>
      </c>
      <c r="W3360" s="0">
        <f>IF(IF(B3360="none",1,IF(B3360="Trialer",1,0))+IF(C3360="Customer",1,IF(C3360="Lost",1,0))=2,1,0)</f>
      </c>
      <c r="X3360" s="0" t="s">
        <v>136</v>
      </c>
      <c r="Y3360" s="0" t="s">
        <v>243</v>
      </c>
      <c r="AV3360" s="68"/>
      <c r="AW3360" s="68"/>
      <c r="AY3360" s="27"/>
      <c r="BD3360" s="68">
        <v>46054.1666666667</v>
      </c>
      <c r="BE3360" s="68">
        <v>46082.1666666667</v>
      </c>
      <c r="BF3360" s="0" t="b">
        <v>0</v>
      </c>
      <c r="BG3360" s="0" t="b">
        <v>0</v>
      </c>
      <c r="BH3360" s="0">
        <v>340</v>
      </c>
      <c r="BI3360" s="0">
        <v>340</v>
      </c>
      <c r="BJ3360" s="0" t="s">
        <v>230</v>
      </c>
    </row>
    <row r="3361">
      <c r="A3361" s="0" t="s">
        <v>3614</v>
      </c>
      <c r="B3361" s="0" t="s">
        <v>134</v>
      </c>
      <c r="C3361" s="0" t="s">
        <v>134</v>
      </c>
      <c r="D3361" s="0" t="s">
        <v>230</v>
      </c>
      <c r="E3361" s="0" t="s">
        <v>3</v>
      </c>
      <c r="F3361" s="0" t="s">
        <v>12</v>
      </c>
      <c r="G3361" s="0" t="s">
        <v>8</v>
      </c>
      <c r="H3361" s="0">
        <v>199</v>
      </c>
      <c r="I3361" s="0">
        <v>174</v>
      </c>
      <c r="J3361" s="0">
        <v>0</v>
      </c>
      <c r="K3361" s="0">
        <v>1</v>
      </c>
      <c r="L3361" s="0">
        <v>3</v>
      </c>
      <c r="M3361" s="0">
        <v>6</v>
      </c>
      <c r="N3361" s="0">
        <v>0</v>
      </c>
      <c r="O3361" s="0">
        <v>0</v>
      </c>
      <c r="P3361" s="0">
        <v>-174</v>
      </c>
      <c r="R3361" s="0" t="b">
        <v>0</v>
      </c>
      <c r="S3361" s="0" t="b">
        <v>1</v>
      </c>
      <c r="T3361" s="68">
        <v>45854.638587963</v>
      </c>
      <c r="U3361" s="68">
        <v>45868.3333333333</v>
      </c>
      <c r="V3361" s="68">
        <v>0</v>
      </c>
      <c r="W3361" s="0">
        <f>IF(IF(B3361="none",1,IF(B3361="Trialer",1,0))+IF(C3361="Customer",1,IF(C3361="Lost",1,0))=2,1,0)</f>
      </c>
      <c r="X3361" s="0" t="s">
        <v>136</v>
      </c>
      <c r="Y3361" s="0" t="s">
        <v>243</v>
      </c>
      <c r="AV3361" s="68"/>
      <c r="AW3361" s="68"/>
      <c r="AY3361" s="27"/>
      <c r="BD3361" s="68">
        <v>46054.1666666667</v>
      </c>
      <c r="BE3361" s="68">
        <v>46082.1666666667</v>
      </c>
      <c r="BF3361" s="0" t="b">
        <v>0</v>
      </c>
      <c r="BG3361" s="0" t="b">
        <v>0</v>
      </c>
      <c r="BH3361" s="0">
        <v>232</v>
      </c>
      <c r="BI3361" s="0">
        <v>232</v>
      </c>
      <c r="BJ3361" s="0" t="s">
        <v>230</v>
      </c>
    </row>
    <row r="3362">
      <c r="A3362" s="0" t="s">
        <v>3615</v>
      </c>
      <c r="B3362" s="0" t="s">
        <v>134</v>
      </c>
      <c r="C3362" s="0" t="s">
        <v>134</v>
      </c>
      <c r="D3362" s="0" t="s">
        <v>135</v>
      </c>
      <c r="E3362" s="0" t="s">
        <v>3</v>
      </c>
      <c r="F3362" s="0" t="s">
        <v>12</v>
      </c>
      <c r="G3362" s="0" t="s">
        <v>8</v>
      </c>
      <c r="H3362" s="0">
        <v>199</v>
      </c>
      <c r="I3362" s="0">
        <v>61</v>
      </c>
      <c r="J3362" s="0">
        <v>0</v>
      </c>
      <c r="K3362" s="0">
        <v>1</v>
      </c>
      <c r="L3362" s="0">
        <v>4</v>
      </c>
      <c r="M3362" s="0">
        <v>1</v>
      </c>
      <c r="N3362" s="0">
        <v>155</v>
      </c>
      <c r="O3362" s="0">
        <v>0</v>
      </c>
      <c r="P3362" s="0">
        <v>0</v>
      </c>
      <c r="R3362" s="0" t="b">
        <v>0</v>
      </c>
      <c r="S3362" s="0" t="b">
        <v>1</v>
      </c>
      <c r="T3362" s="68">
        <v>45854.7046527778</v>
      </c>
      <c r="U3362" s="68">
        <v>45876.3333333333</v>
      </c>
      <c r="V3362" s="68">
        <v>0</v>
      </c>
      <c r="W3362" s="0">
        <f>IF(IF(B3362="none",1,IF(B3362="Trialer",1,0))+IF(C3362="Customer",1,IF(C3362="Lost",1,0))=2,1,0)</f>
      </c>
      <c r="X3362" s="0" t="s">
        <v>166</v>
      </c>
      <c r="Y3362" s="0" t="s">
        <v>243</v>
      </c>
      <c r="AV3362" s="68"/>
      <c r="AW3362" s="68"/>
      <c r="AY3362" s="27"/>
      <c r="BD3362" s="68">
        <v>46054.1666666667</v>
      </c>
      <c r="BE3362" s="68">
        <v>46082.1666666667</v>
      </c>
      <c r="BF3362" s="0" t="b">
        <v>0</v>
      </c>
      <c r="BG3362" s="0" t="b">
        <v>0</v>
      </c>
      <c r="BH3362" s="0">
        <v>61</v>
      </c>
      <c r="BI3362" s="0">
        <v>61</v>
      </c>
      <c r="BJ3362" s="0" t="s">
        <v>135</v>
      </c>
    </row>
    <row r="3363">
      <c r="A3363" s="0" t="s">
        <v>3616</v>
      </c>
      <c r="B3363" s="0" t="s">
        <v>134</v>
      </c>
      <c r="C3363" s="0" t="s">
        <v>134</v>
      </c>
      <c r="D3363" s="0" t="s">
        <v>135</v>
      </c>
      <c r="E3363" s="0" t="s">
        <v>2</v>
      </c>
      <c r="F3363" s="0" t="s">
        <v>12</v>
      </c>
      <c r="G3363" s="0" t="s">
        <v>8</v>
      </c>
      <c r="H3363" s="0">
        <v>199</v>
      </c>
      <c r="I3363" s="0">
        <v>28</v>
      </c>
      <c r="J3363" s="0">
        <v>0</v>
      </c>
      <c r="K3363" s="0">
        <v>1</v>
      </c>
      <c r="L3363" s="0">
        <v>1</v>
      </c>
      <c r="M3363" s="0">
        <v>1</v>
      </c>
      <c r="N3363" s="0">
        <v>0</v>
      </c>
      <c r="O3363" s="0">
        <v>0</v>
      </c>
      <c r="P3363" s="0">
        <v>0</v>
      </c>
      <c r="R3363" s="0" t="b">
        <v>0</v>
      </c>
      <c r="S3363" s="0" t="b">
        <v>1</v>
      </c>
      <c r="T3363" s="68">
        <v>45854.9465277778</v>
      </c>
      <c r="U3363" s="68">
        <v>45868.3333333333</v>
      </c>
      <c r="V3363" s="68">
        <v>0</v>
      </c>
      <c r="W3363" s="0">
        <f>IF(IF(B3363="none",1,IF(B3363="Trialer",1,0))+IF(C3363="Customer",1,IF(C3363="Lost",1,0))=2,1,0)</f>
      </c>
      <c r="X3363" s="0" t="s">
        <v>166</v>
      </c>
      <c r="Y3363" s="0" t="s">
        <v>499</v>
      </c>
      <c r="AV3363" s="68"/>
      <c r="AW3363" s="68"/>
      <c r="AY3363" s="27"/>
      <c r="BD3363" s="68">
        <v>46054.1666666667</v>
      </c>
      <c r="BE3363" s="68">
        <v>46082.1666666667</v>
      </c>
      <c r="BF3363" s="0" t="b">
        <v>0</v>
      </c>
      <c r="BG3363" s="0" t="b">
        <v>0</v>
      </c>
      <c r="BH3363" s="0">
        <v>28</v>
      </c>
      <c r="BI3363" s="0">
        <v>28</v>
      </c>
      <c r="BJ3363" s="0" t="s">
        <v>135</v>
      </c>
    </row>
    <row r="3364">
      <c r="A3364" s="0" t="s">
        <v>3617</v>
      </c>
      <c r="B3364" s="0" t="s">
        <v>134</v>
      </c>
      <c r="C3364" s="0" t="s">
        <v>134</v>
      </c>
      <c r="D3364" s="0" t="s">
        <v>135</v>
      </c>
      <c r="E3364" s="0" t="s">
        <v>3</v>
      </c>
      <c r="F3364" s="0" t="s">
        <v>12</v>
      </c>
      <c r="G3364" s="0" t="s">
        <v>8</v>
      </c>
      <c r="H3364" s="0">
        <v>198</v>
      </c>
      <c r="I3364" s="0">
        <v>49</v>
      </c>
      <c r="J3364" s="0">
        <v>0</v>
      </c>
      <c r="K3364" s="0">
        <v>1</v>
      </c>
      <c r="L3364" s="0">
        <v>3</v>
      </c>
      <c r="M3364" s="0">
        <v>1</v>
      </c>
      <c r="N3364" s="0">
        <v>0</v>
      </c>
      <c r="O3364" s="0">
        <v>0</v>
      </c>
      <c r="P3364" s="0">
        <v>0</v>
      </c>
      <c r="R3364" s="0" t="b">
        <v>0</v>
      </c>
      <c r="S3364" s="0" t="b">
        <v>0</v>
      </c>
      <c r="T3364" s="68">
        <v>45855.3836342593</v>
      </c>
      <c r="U3364" s="68">
        <v>45869.3333333333</v>
      </c>
      <c r="V3364" s="68">
        <v>46100.5138773148</v>
      </c>
      <c r="W3364" s="0">
        <f>IF(IF(B3364="none",1,IF(B3364="Trialer",1,0))+IF(C3364="Customer",1,IF(C3364="Lost",1,0))=2,1,0)</f>
      </c>
      <c r="X3364" s="0" t="s">
        <v>166</v>
      </c>
      <c r="Y3364" s="0" t="s">
        <v>243</v>
      </c>
      <c r="AV3364" s="68"/>
      <c r="AW3364" s="68"/>
      <c r="AY3364" s="27"/>
      <c r="BD3364" s="68">
        <v>46054.1666666667</v>
      </c>
      <c r="BE3364" s="68">
        <v>46082.1666666667</v>
      </c>
      <c r="BF3364" s="0" t="b">
        <v>0</v>
      </c>
      <c r="BG3364" s="0" t="b">
        <v>0</v>
      </c>
      <c r="BH3364" s="0">
        <v>49</v>
      </c>
      <c r="BI3364" s="0">
        <v>49</v>
      </c>
      <c r="BJ3364" s="0" t="s">
        <v>135</v>
      </c>
    </row>
    <row r="3365">
      <c r="A3365" s="0" t="s">
        <v>3618</v>
      </c>
      <c r="B3365" s="0" t="s">
        <v>134</v>
      </c>
      <c r="C3365" s="0" t="s">
        <v>134</v>
      </c>
      <c r="D3365" s="0" t="s">
        <v>135</v>
      </c>
      <c r="E3365" s="0" t="s">
        <v>3</v>
      </c>
      <c r="F3365" s="0" t="s">
        <v>10</v>
      </c>
      <c r="G3365" s="0" t="s">
        <v>8</v>
      </c>
      <c r="H3365" s="0">
        <v>198</v>
      </c>
      <c r="I3365" s="0">
        <v>0</v>
      </c>
      <c r="J3365" s="0">
        <v>0</v>
      </c>
      <c r="K3365" s="0">
        <v>0</v>
      </c>
      <c r="L3365" s="0">
        <v>0</v>
      </c>
      <c r="M3365" s="0">
        <v>0</v>
      </c>
      <c r="N3365" s="0">
        <v>0</v>
      </c>
      <c r="O3365" s="0">
        <v>0</v>
      </c>
      <c r="P3365" s="0">
        <v>0</v>
      </c>
      <c r="Q3365" s="0" t="s">
        <v>618</v>
      </c>
      <c r="R3365" s="0" t="b">
        <v>0</v>
      </c>
      <c r="S3365" s="0" t="b">
        <v>1</v>
      </c>
      <c r="T3365" s="68">
        <v>45855.3961342593</v>
      </c>
      <c r="U3365" s="68">
        <v>45900.3333333333</v>
      </c>
      <c r="V3365" s="68">
        <v>0</v>
      </c>
      <c r="W3365" s="0">
        <f>IF(IF(B3365="none",1,IF(B3365="Trialer",1,0))+IF(C3365="Customer",1,IF(C3365="Lost",1,0))=2,1,0)</f>
      </c>
      <c r="X3365" s="0" t="s">
        <v>148</v>
      </c>
      <c r="Y3365" s="0" t="s">
        <v>243</v>
      </c>
      <c r="AV3365" s="68"/>
      <c r="AW3365" s="68"/>
      <c r="AY3365" s="27"/>
      <c r="BD3365" s="68">
        <v>46054.1666666667</v>
      </c>
      <c r="BE3365" s="68">
        <v>46082.1666666667</v>
      </c>
      <c r="BF3365" s="0" t="b">
        <v>0</v>
      </c>
      <c r="BG3365" s="0" t="b">
        <v>0</v>
      </c>
      <c r="BH3365" s="0">
        <v>0</v>
      </c>
      <c r="BI3365" s="0">
        <v>0</v>
      </c>
      <c r="BJ3365" s="0" t="s">
        <v>135</v>
      </c>
    </row>
    <row r="3366">
      <c r="A3366" s="0" t="s">
        <v>3619</v>
      </c>
      <c r="B3366" s="0" t="s">
        <v>134</v>
      </c>
      <c r="C3366" s="0" t="s">
        <v>134</v>
      </c>
      <c r="D3366" s="0" t="s">
        <v>135</v>
      </c>
      <c r="E3366" s="0" t="s">
        <v>3</v>
      </c>
      <c r="F3366" s="0" t="s">
        <v>12</v>
      </c>
      <c r="G3366" s="0" t="s">
        <v>8</v>
      </c>
      <c r="H3366" s="0">
        <v>198</v>
      </c>
      <c r="I3366" s="0">
        <v>485</v>
      </c>
      <c r="J3366" s="0">
        <v>0</v>
      </c>
      <c r="K3366" s="0">
        <v>1</v>
      </c>
      <c r="L3366" s="0">
        <v>3</v>
      </c>
      <c r="M3366" s="0">
        <v>4</v>
      </c>
      <c r="N3366" s="0">
        <v>976.5</v>
      </c>
      <c r="O3366" s="0">
        <v>0</v>
      </c>
      <c r="P3366" s="0">
        <v>0</v>
      </c>
      <c r="R3366" s="0" t="b">
        <v>0</v>
      </c>
      <c r="S3366" s="0" t="b">
        <v>1</v>
      </c>
      <c r="T3366" s="68">
        <v>45855.5311574074</v>
      </c>
      <c r="U3366" s="68">
        <v>45862.3333333333</v>
      </c>
      <c r="V3366" s="68">
        <v>0</v>
      </c>
      <c r="W3366" s="0">
        <f>IF(IF(B3366="none",1,IF(B3366="Trialer",1,0))+IF(C3366="Customer",1,IF(C3366="Lost",1,0))=2,1,0)</f>
      </c>
      <c r="X3366" s="0" t="s">
        <v>145</v>
      </c>
      <c r="Y3366" s="0" t="s">
        <v>243</v>
      </c>
      <c r="AV3366" s="68"/>
      <c r="AW3366" s="68"/>
      <c r="AY3366" s="27"/>
      <c r="BD3366" s="68">
        <v>46054.1666666667</v>
      </c>
      <c r="BE3366" s="68">
        <v>46082.1666666667</v>
      </c>
      <c r="BF3366" s="0" t="b">
        <v>0</v>
      </c>
      <c r="BG3366" s="0" t="b">
        <v>0</v>
      </c>
      <c r="BH3366" s="0">
        <v>160</v>
      </c>
      <c r="BI3366" s="0">
        <v>160</v>
      </c>
      <c r="BJ3366" s="0" t="s">
        <v>135</v>
      </c>
    </row>
    <row r="3367">
      <c r="A3367" s="0" t="s">
        <v>3620</v>
      </c>
      <c r="B3367" s="0" t="s">
        <v>134</v>
      </c>
      <c r="C3367" s="0" t="s">
        <v>190</v>
      </c>
      <c r="D3367" s="0" t="s">
        <v>135</v>
      </c>
      <c r="E3367" s="0" t="s">
        <v>3</v>
      </c>
      <c r="F3367" s="0" t="s">
        <v>12</v>
      </c>
      <c r="G3367" s="0" t="s">
        <v>8</v>
      </c>
      <c r="H3367" s="0">
        <v>197</v>
      </c>
      <c r="I3367" s="0">
        <v>86</v>
      </c>
      <c r="J3367" s="0">
        <v>0</v>
      </c>
      <c r="K3367" s="0">
        <v>1</v>
      </c>
      <c r="L3367" s="0">
        <v>3</v>
      </c>
      <c r="M3367" s="0">
        <v>2</v>
      </c>
      <c r="N3367" s="0">
        <v>0</v>
      </c>
      <c r="O3367" s="0">
        <v>0</v>
      </c>
      <c r="P3367" s="0">
        <v>0</v>
      </c>
      <c r="R3367" s="0" t="b">
        <v>0</v>
      </c>
      <c r="S3367" s="0" t="b">
        <v>0</v>
      </c>
      <c r="T3367" s="68">
        <v>45856.4073263889</v>
      </c>
      <c r="U3367" s="68">
        <v>45870.3333333333</v>
      </c>
      <c r="V3367" s="68">
        <v>46080.3915162037</v>
      </c>
      <c r="W3367" s="0">
        <f>IF(IF(B3367="none",1,IF(B3367="Trialer",1,0))+IF(C3367="Customer",1,IF(C3367="Lost",1,0))=2,1,0)</f>
      </c>
      <c r="X3367" s="0" t="s">
        <v>153</v>
      </c>
      <c r="Y3367" s="0" t="s">
        <v>243</v>
      </c>
      <c r="AV3367" s="68"/>
      <c r="AW3367" s="68"/>
      <c r="AY3367" s="27"/>
      <c r="BD3367" s="68">
        <v>46054.1666666667</v>
      </c>
      <c r="BE3367" s="68">
        <v>46082.1666666667</v>
      </c>
      <c r="BF3367" s="0" t="b">
        <v>0</v>
      </c>
      <c r="BG3367" s="0" t="b">
        <v>0</v>
      </c>
      <c r="BH3367" s="0">
        <v>86</v>
      </c>
      <c r="BI3367" s="0">
        <v>86</v>
      </c>
      <c r="BJ3367" s="0" t="s">
        <v>135</v>
      </c>
    </row>
    <row r="3368">
      <c r="A3368" s="0" t="s">
        <v>3621</v>
      </c>
      <c r="B3368" s="0" t="s">
        <v>134</v>
      </c>
      <c r="C3368" s="0" t="s">
        <v>134</v>
      </c>
      <c r="D3368" s="0" t="s">
        <v>135</v>
      </c>
      <c r="E3368" s="0" t="s">
        <v>3</v>
      </c>
      <c r="F3368" s="0" t="s">
        <v>12</v>
      </c>
      <c r="G3368" s="0" t="s">
        <v>8</v>
      </c>
      <c r="H3368" s="0">
        <v>195</v>
      </c>
      <c r="I3368" s="0">
        <v>87.05</v>
      </c>
      <c r="J3368" s="0">
        <v>0</v>
      </c>
      <c r="K3368" s="0">
        <v>1</v>
      </c>
      <c r="L3368" s="0">
        <v>6</v>
      </c>
      <c r="M3368" s="0">
        <v>1</v>
      </c>
      <c r="N3368" s="0">
        <v>0</v>
      </c>
      <c r="O3368" s="0">
        <v>0</v>
      </c>
      <c r="P3368" s="0">
        <v>0</v>
      </c>
      <c r="R3368" s="0" t="b">
        <v>0</v>
      </c>
      <c r="S3368" s="0" t="b">
        <v>0</v>
      </c>
      <c r="T3368" s="68">
        <v>45858.8716666667</v>
      </c>
      <c r="U3368" s="68">
        <v>45872.3333333333</v>
      </c>
      <c r="V3368" s="68">
        <v>46097.6380902778</v>
      </c>
      <c r="W3368" s="0">
        <f>IF(IF(B3368="none",1,IF(B3368="Trialer",1,0))+IF(C3368="Customer",1,IF(C3368="Lost",1,0))=2,1,0)</f>
      </c>
      <c r="X3368" s="0" t="s">
        <v>166</v>
      </c>
      <c r="Y3368" s="0" t="s">
        <v>243</v>
      </c>
      <c r="AV3368" s="68"/>
      <c r="AW3368" s="68"/>
      <c r="AY3368" s="27"/>
      <c r="BD3368" s="68">
        <v>46054.1666666667</v>
      </c>
      <c r="BE3368" s="68">
        <v>46082.1666666667</v>
      </c>
      <c r="BF3368" s="0" t="b">
        <v>0</v>
      </c>
      <c r="BG3368" s="0" t="b">
        <v>0</v>
      </c>
      <c r="BH3368" s="0">
        <v>85</v>
      </c>
      <c r="BI3368" s="0">
        <v>85</v>
      </c>
      <c r="BJ3368" s="0" t="s">
        <v>135</v>
      </c>
    </row>
    <row r="3369">
      <c r="A3369" s="0" t="s">
        <v>3622</v>
      </c>
      <c r="B3369" s="0" t="s">
        <v>134</v>
      </c>
      <c r="C3369" s="0" t="s">
        <v>134</v>
      </c>
      <c r="D3369" s="0" t="s">
        <v>135</v>
      </c>
      <c r="E3369" s="0" t="s">
        <v>4</v>
      </c>
      <c r="F3369" s="0" t="s">
        <v>12</v>
      </c>
      <c r="G3369" s="0" t="s">
        <v>8</v>
      </c>
      <c r="H3369" s="0">
        <v>194</v>
      </c>
      <c r="I3369" s="0">
        <v>49</v>
      </c>
      <c r="J3369" s="0">
        <v>0</v>
      </c>
      <c r="K3369" s="0">
        <v>1</v>
      </c>
      <c r="L3369" s="0">
        <v>3</v>
      </c>
      <c r="M3369" s="0">
        <v>1</v>
      </c>
      <c r="N3369" s="0">
        <v>0</v>
      </c>
      <c r="O3369" s="0">
        <v>0</v>
      </c>
      <c r="P3369" s="0">
        <v>0</v>
      </c>
      <c r="R3369" s="0" t="b">
        <v>0</v>
      </c>
      <c r="S3369" s="0" t="b">
        <v>1</v>
      </c>
      <c r="T3369" s="68">
        <v>45859.4860763889</v>
      </c>
      <c r="U3369" s="68">
        <v>45874.3333333333</v>
      </c>
      <c r="V3369" s="68">
        <v>0</v>
      </c>
      <c r="W3369" s="0">
        <f>IF(IF(B3369="none",1,IF(B3369="Trialer",1,0))+IF(C3369="Customer",1,IF(C3369="Lost",1,0))=2,1,0)</f>
      </c>
      <c r="X3369" s="0" t="s">
        <v>142</v>
      </c>
      <c r="Y3369" s="0" t="s">
        <v>1772</v>
      </c>
      <c r="AV3369" s="68"/>
      <c r="AW3369" s="68"/>
      <c r="AY3369" s="27"/>
      <c r="BD3369" s="68">
        <v>46054.1666666667</v>
      </c>
      <c r="BE3369" s="68">
        <v>46082.1666666667</v>
      </c>
      <c r="BF3369" s="0" t="b">
        <v>0</v>
      </c>
      <c r="BG3369" s="0" t="b">
        <v>0</v>
      </c>
      <c r="BH3369" s="0">
        <v>49</v>
      </c>
      <c r="BI3369" s="0">
        <v>49</v>
      </c>
      <c r="BJ3369" s="0" t="s">
        <v>135</v>
      </c>
    </row>
    <row r="3370">
      <c r="A3370" s="0" t="s">
        <v>3623</v>
      </c>
      <c r="B3370" s="0" t="s">
        <v>134</v>
      </c>
      <c r="C3370" s="0" t="s">
        <v>134</v>
      </c>
      <c r="D3370" s="0" t="s">
        <v>135</v>
      </c>
      <c r="E3370" s="0" t="s">
        <v>3</v>
      </c>
      <c r="F3370" s="0" t="s">
        <v>12</v>
      </c>
      <c r="G3370" s="0" t="s">
        <v>8</v>
      </c>
      <c r="H3370" s="0">
        <v>194</v>
      </c>
      <c r="I3370" s="0">
        <v>61</v>
      </c>
      <c r="J3370" s="0">
        <v>0</v>
      </c>
      <c r="K3370" s="0">
        <v>1</v>
      </c>
      <c r="L3370" s="0">
        <v>4</v>
      </c>
      <c r="M3370" s="0">
        <v>1</v>
      </c>
      <c r="N3370" s="0">
        <v>0</v>
      </c>
      <c r="O3370" s="0">
        <v>0</v>
      </c>
      <c r="P3370" s="0">
        <v>0</v>
      </c>
      <c r="R3370" s="0" t="b">
        <v>0</v>
      </c>
      <c r="S3370" s="0" t="b">
        <v>1</v>
      </c>
      <c r="T3370" s="68">
        <v>45859.5549189815</v>
      </c>
      <c r="U3370" s="68">
        <v>45859.3333333333</v>
      </c>
      <c r="V3370" s="68">
        <v>0</v>
      </c>
      <c r="W3370" s="0">
        <f>IF(IF(B3370="none",1,IF(B3370="Trialer",1,0))+IF(C3370="Customer",1,IF(C3370="Lost",1,0))=2,1,0)</f>
      </c>
      <c r="X3370" s="0" t="s">
        <v>166</v>
      </c>
      <c r="Y3370" s="0" t="s">
        <v>243</v>
      </c>
      <c r="AV3370" s="68"/>
      <c r="AW3370" s="68"/>
      <c r="AY3370" s="27"/>
      <c r="BD3370" s="68">
        <v>46054.1666666667</v>
      </c>
      <c r="BE3370" s="68">
        <v>46082.1666666667</v>
      </c>
      <c r="BF3370" s="0" t="b">
        <v>0</v>
      </c>
      <c r="BG3370" s="0" t="b">
        <v>0</v>
      </c>
      <c r="BH3370" s="0">
        <v>61</v>
      </c>
      <c r="BI3370" s="0">
        <v>61</v>
      </c>
      <c r="BJ3370" s="0" t="s">
        <v>135</v>
      </c>
    </row>
    <row r="3371">
      <c r="A3371" s="0" t="s">
        <v>3624</v>
      </c>
      <c r="B3371" s="0" t="s">
        <v>134</v>
      </c>
      <c r="C3371" s="0" t="s">
        <v>134</v>
      </c>
      <c r="D3371" s="0" t="s">
        <v>135</v>
      </c>
      <c r="E3371" s="0" t="s">
        <v>3</v>
      </c>
      <c r="F3371" s="0" t="s">
        <v>12</v>
      </c>
      <c r="G3371" s="0" t="s">
        <v>8</v>
      </c>
      <c r="H3371" s="0">
        <v>194</v>
      </c>
      <c r="I3371" s="0">
        <v>102</v>
      </c>
      <c r="J3371" s="0">
        <v>0</v>
      </c>
      <c r="K3371" s="0">
        <v>1</v>
      </c>
      <c r="L3371" s="0">
        <v>2</v>
      </c>
      <c r="M3371" s="0">
        <v>3</v>
      </c>
      <c r="N3371" s="0">
        <v>0</v>
      </c>
      <c r="O3371" s="0">
        <v>0</v>
      </c>
      <c r="P3371" s="0">
        <v>0</v>
      </c>
      <c r="R3371" s="0" t="b">
        <v>0</v>
      </c>
      <c r="S3371" s="0" t="b">
        <v>0</v>
      </c>
      <c r="T3371" s="68">
        <v>45859.6609259259</v>
      </c>
      <c r="U3371" s="68">
        <v>45873.3333333333</v>
      </c>
      <c r="V3371" s="68">
        <v>46092.4004282407</v>
      </c>
      <c r="W3371" s="0">
        <f>IF(IF(B3371="none",1,IF(B3371="Trialer",1,0))+IF(C3371="Customer",1,IF(C3371="Lost",1,0))=2,1,0)</f>
      </c>
      <c r="X3371" s="0" t="s">
        <v>153</v>
      </c>
      <c r="Y3371" s="0" t="s">
        <v>243</v>
      </c>
      <c r="AV3371" s="68"/>
      <c r="AW3371" s="68"/>
      <c r="AY3371" s="27"/>
      <c r="BD3371" s="68">
        <v>46054.1666666667</v>
      </c>
      <c r="BE3371" s="68">
        <v>46082.1666666667</v>
      </c>
      <c r="BF3371" s="0" t="b">
        <v>0</v>
      </c>
      <c r="BG3371" s="0" t="b">
        <v>0</v>
      </c>
      <c r="BH3371" s="0">
        <v>102</v>
      </c>
      <c r="BI3371" s="0">
        <v>102</v>
      </c>
      <c r="BJ3371" s="0" t="s">
        <v>135</v>
      </c>
    </row>
    <row r="3372">
      <c r="A3372" s="0" t="s">
        <v>3625</v>
      </c>
      <c r="B3372" s="0" t="s">
        <v>134</v>
      </c>
      <c r="C3372" s="0" t="s">
        <v>134</v>
      </c>
      <c r="D3372" s="0" t="s">
        <v>135</v>
      </c>
      <c r="E3372" s="0" t="s">
        <v>3</v>
      </c>
      <c r="F3372" s="0" t="s">
        <v>12</v>
      </c>
      <c r="G3372" s="0" t="s">
        <v>8</v>
      </c>
      <c r="H3372" s="0">
        <v>194</v>
      </c>
      <c r="I3372" s="0">
        <v>101</v>
      </c>
      <c r="J3372" s="0">
        <v>0</v>
      </c>
      <c r="K3372" s="0">
        <v>1</v>
      </c>
      <c r="L3372" s="0">
        <v>5</v>
      </c>
      <c r="M3372" s="0">
        <v>2</v>
      </c>
      <c r="N3372" s="0">
        <v>0</v>
      </c>
      <c r="O3372" s="0">
        <v>0</v>
      </c>
      <c r="P3372" s="0">
        <v>0</v>
      </c>
      <c r="R3372" s="0" t="b">
        <v>0</v>
      </c>
      <c r="S3372" s="0" t="b">
        <v>1</v>
      </c>
      <c r="T3372" s="68">
        <v>45859.6737731481</v>
      </c>
      <c r="U3372" s="68">
        <v>45873.3333333333</v>
      </c>
      <c r="V3372" s="68">
        <v>0</v>
      </c>
      <c r="W3372" s="0">
        <f>IF(IF(B3372="none",1,IF(B3372="Trialer",1,0))+IF(C3372="Customer",1,IF(C3372="Lost",1,0))=2,1,0)</f>
      </c>
      <c r="X3372" s="0" t="s">
        <v>166</v>
      </c>
      <c r="Y3372" s="0" t="s">
        <v>1792</v>
      </c>
      <c r="AV3372" s="68"/>
      <c r="AW3372" s="68"/>
      <c r="AY3372" s="27"/>
      <c r="BD3372" s="68">
        <v>46054.1666666667</v>
      </c>
      <c r="BE3372" s="68">
        <v>46082.1666666667</v>
      </c>
      <c r="BF3372" s="0" t="b">
        <v>0</v>
      </c>
      <c r="BG3372" s="0" t="b">
        <v>0</v>
      </c>
      <c r="BH3372" s="0">
        <v>101</v>
      </c>
      <c r="BI3372" s="0">
        <v>101</v>
      </c>
      <c r="BJ3372" s="0" t="s">
        <v>135</v>
      </c>
    </row>
    <row r="3373">
      <c r="A3373" s="0" t="s">
        <v>3626</v>
      </c>
      <c r="B3373" s="0" t="s">
        <v>134</v>
      </c>
      <c r="C3373" s="0" t="s">
        <v>134</v>
      </c>
      <c r="D3373" s="0" t="s">
        <v>135</v>
      </c>
      <c r="E3373" s="0" t="s">
        <v>3</v>
      </c>
      <c r="F3373" s="0" t="s">
        <v>12</v>
      </c>
      <c r="G3373" s="0" t="s">
        <v>8</v>
      </c>
      <c r="H3373" s="0">
        <v>194</v>
      </c>
      <c r="I3373" s="0">
        <v>0</v>
      </c>
      <c r="J3373" s="0">
        <v>0</v>
      </c>
      <c r="K3373" s="0">
        <v>1</v>
      </c>
      <c r="L3373" s="0">
        <v>3</v>
      </c>
      <c r="M3373" s="0">
        <v>2</v>
      </c>
      <c r="N3373" s="0">
        <v>0</v>
      </c>
      <c r="O3373" s="0">
        <v>0</v>
      </c>
      <c r="P3373" s="0">
        <v>0</v>
      </c>
      <c r="R3373" s="0" t="b">
        <v>0</v>
      </c>
      <c r="S3373" s="0" t="b">
        <v>1</v>
      </c>
      <c r="T3373" s="68">
        <v>45859.677349537</v>
      </c>
      <c r="U3373" s="68">
        <v>45881.3333333333</v>
      </c>
      <c r="V3373" s="68">
        <v>0</v>
      </c>
      <c r="W3373" s="0">
        <f>IF(IF(B3373="none",1,IF(B3373="Trialer",1,0))+IF(C3373="Customer",1,IF(C3373="Lost",1,0))=2,1,0)</f>
      </c>
      <c r="X3373" s="0" t="s">
        <v>145</v>
      </c>
      <c r="Y3373" s="0" t="s">
        <v>2664</v>
      </c>
      <c r="AV3373" s="68"/>
      <c r="AW3373" s="68"/>
      <c r="AY3373" s="27"/>
      <c r="BD3373" s="68">
        <v>46054.1666666667</v>
      </c>
      <c r="BE3373" s="68">
        <v>46082.1666666667</v>
      </c>
      <c r="BF3373" s="0" t="b">
        <v>0</v>
      </c>
      <c r="BG3373" s="0" t="b">
        <v>0</v>
      </c>
      <c r="BH3373" s="0">
        <v>0</v>
      </c>
      <c r="BI3373" s="0">
        <v>0</v>
      </c>
      <c r="BJ3373" s="0" t="s">
        <v>135</v>
      </c>
    </row>
    <row r="3374">
      <c r="A3374" s="0" t="s">
        <v>3627</v>
      </c>
      <c r="B3374" s="0" t="s">
        <v>134</v>
      </c>
      <c r="C3374" s="0" t="s">
        <v>134</v>
      </c>
      <c r="D3374" s="0" t="s">
        <v>135</v>
      </c>
      <c r="E3374" s="0" t="s">
        <v>2</v>
      </c>
      <c r="F3374" s="0" t="s">
        <v>12</v>
      </c>
      <c r="G3374" s="0" t="s">
        <v>8</v>
      </c>
      <c r="H3374" s="0">
        <v>194</v>
      </c>
      <c r="I3374" s="0">
        <v>391</v>
      </c>
      <c r="J3374" s="0">
        <v>0</v>
      </c>
      <c r="K3374" s="0">
        <v>1</v>
      </c>
      <c r="L3374" s="0">
        <v>5</v>
      </c>
      <c r="M3374" s="0">
        <v>7</v>
      </c>
      <c r="N3374" s="0">
        <v>0</v>
      </c>
      <c r="O3374" s="0">
        <v>0</v>
      </c>
      <c r="P3374" s="0">
        <v>0</v>
      </c>
      <c r="R3374" s="0" t="b">
        <v>0</v>
      </c>
      <c r="S3374" s="0" t="b">
        <v>1</v>
      </c>
      <c r="T3374" s="68">
        <v>45859.7697337963</v>
      </c>
      <c r="U3374" s="68">
        <v>45873.3333333333</v>
      </c>
      <c r="V3374" s="68">
        <v>0</v>
      </c>
      <c r="W3374" s="0">
        <f>IF(IF(B3374="none",1,IF(B3374="Trialer",1,0))+IF(C3374="Customer",1,IF(C3374="Lost",1,0))=2,1,0)</f>
      </c>
      <c r="X3374" s="0" t="s">
        <v>1461</v>
      </c>
      <c r="Y3374" s="0" t="s">
        <v>499</v>
      </c>
      <c r="AV3374" s="68"/>
      <c r="AW3374" s="68"/>
      <c r="AY3374" s="27"/>
      <c r="BD3374" s="68">
        <v>46054.1666666667</v>
      </c>
      <c r="BE3374" s="68">
        <v>46082.1666666667</v>
      </c>
      <c r="BF3374" s="0" t="b">
        <v>0</v>
      </c>
      <c r="BG3374" s="0" t="b">
        <v>0</v>
      </c>
      <c r="BH3374" s="0">
        <v>391</v>
      </c>
      <c r="BI3374" s="0">
        <v>391</v>
      </c>
      <c r="BJ3374" s="0" t="s">
        <v>135</v>
      </c>
    </row>
    <row r="3375">
      <c r="A3375" s="0" t="s">
        <v>3628</v>
      </c>
      <c r="B3375" s="0" t="s">
        <v>134</v>
      </c>
      <c r="C3375" s="0" t="s">
        <v>134</v>
      </c>
      <c r="D3375" s="0" t="s">
        <v>135</v>
      </c>
      <c r="E3375" s="0" t="s">
        <v>3</v>
      </c>
      <c r="F3375" s="0" t="s">
        <v>12</v>
      </c>
      <c r="G3375" s="0" t="s">
        <v>8</v>
      </c>
      <c r="H3375" s="0">
        <v>193</v>
      </c>
      <c r="I3375" s="0">
        <v>40</v>
      </c>
      <c r="J3375" s="0">
        <v>0</v>
      </c>
      <c r="K3375" s="0">
        <v>1</v>
      </c>
      <c r="L3375" s="0">
        <v>2</v>
      </c>
      <c r="M3375" s="0">
        <v>1</v>
      </c>
      <c r="N3375" s="0">
        <v>0</v>
      </c>
      <c r="O3375" s="0">
        <v>0</v>
      </c>
      <c r="P3375" s="0">
        <v>0</v>
      </c>
      <c r="R3375" s="0" t="b">
        <v>0</v>
      </c>
      <c r="S3375" s="0" t="b">
        <v>1</v>
      </c>
      <c r="T3375" s="68">
        <v>45860.3977430556</v>
      </c>
      <c r="U3375" s="68">
        <v>45860.3333333333</v>
      </c>
      <c r="V3375" s="68">
        <v>0</v>
      </c>
      <c r="W3375" s="0">
        <f>IF(IF(B3375="none",1,IF(B3375="Trialer",1,0))+IF(C3375="Customer",1,IF(C3375="Lost",1,0))=2,1,0)</f>
      </c>
      <c r="X3375" s="0" t="s">
        <v>1461</v>
      </c>
      <c r="Y3375" s="0" t="s">
        <v>243</v>
      </c>
      <c r="AV3375" s="68"/>
      <c r="AW3375" s="68"/>
      <c r="AY3375" s="27"/>
      <c r="BD3375" s="68">
        <v>46054.1666666667</v>
      </c>
      <c r="BE3375" s="68">
        <v>46082.1666666667</v>
      </c>
      <c r="BF3375" s="0" t="b">
        <v>0</v>
      </c>
      <c r="BG3375" s="0" t="b">
        <v>0</v>
      </c>
      <c r="BH3375" s="0">
        <v>40</v>
      </c>
      <c r="BI3375" s="0">
        <v>40</v>
      </c>
      <c r="BJ3375" s="0" t="s">
        <v>135</v>
      </c>
    </row>
    <row r="3376">
      <c r="A3376" s="0" t="s">
        <v>3629</v>
      </c>
      <c r="B3376" s="0" t="s">
        <v>134</v>
      </c>
      <c r="C3376" s="0" t="s">
        <v>134</v>
      </c>
      <c r="D3376" s="0" t="s">
        <v>135</v>
      </c>
      <c r="E3376" s="0" t="s">
        <v>3</v>
      </c>
      <c r="F3376" s="0" t="s">
        <v>12</v>
      </c>
      <c r="G3376" s="0" t="s">
        <v>8</v>
      </c>
      <c r="H3376" s="0">
        <v>193</v>
      </c>
      <c r="I3376" s="0">
        <v>49</v>
      </c>
      <c r="J3376" s="0">
        <v>0</v>
      </c>
      <c r="K3376" s="0">
        <v>1</v>
      </c>
      <c r="L3376" s="0">
        <v>3</v>
      </c>
      <c r="M3376" s="0">
        <v>1</v>
      </c>
      <c r="N3376" s="0">
        <v>0</v>
      </c>
      <c r="O3376" s="0">
        <v>0</v>
      </c>
      <c r="P3376" s="0">
        <v>0</v>
      </c>
      <c r="R3376" s="0" t="b">
        <v>0</v>
      </c>
      <c r="S3376" s="0" t="b">
        <v>1</v>
      </c>
      <c r="T3376" s="68">
        <v>45860.9302893519</v>
      </c>
      <c r="U3376" s="68">
        <v>45874.3333333333</v>
      </c>
      <c r="V3376" s="68">
        <v>0</v>
      </c>
      <c r="W3376" s="0">
        <f>IF(IF(B3376="none",1,IF(B3376="Trialer",1,0))+IF(C3376="Customer",1,IF(C3376="Lost",1,0))=2,1,0)</f>
      </c>
      <c r="X3376" s="0" t="s">
        <v>166</v>
      </c>
      <c r="Y3376" s="0" t="s">
        <v>243</v>
      </c>
      <c r="AV3376" s="68"/>
      <c r="AW3376" s="68"/>
      <c r="AY3376" s="27"/>
      <c r="BD3376" s="68">
        <v>46054.1666666667</v>
      </c>
      <c r="BE3376" s="68">
        <v>46082.1666666667</v>
      </c>
      <c r="BF3376" s="0" t="b">
        <v>0</v>
      </c>
      <c r="BG3376" s="0" t="b">
        <v>0</v>
      </c>
      <c r="BH3376" s="0">
        <v>49</v>
      </c>
      <c r="BI3376" s="0">
        <v>49</v>
      </c>
      <c r="BJ3376" s="0" t="s">
        <v>135</v>
      </c>
    </row>
    <row r="3377">
      <c r="A3377" s="0" t="s">
        <v>3630</v>
      </c>
      <c r="B3377" s="0" t="s">
        <v>134</v>
      </c>
      <c r="C3377" s="0" t="s">
        <v>134</v>
      </c>
      <c r="D3377" s="0" t="s">
        <v>230</v>
      </c>
      <c r="E3377" s="0" t="s">
        <v>2</v>
      </c>
      <c r="F3377" s="0" t="s">
        <v>12</v>
      </c>
      <c r="G3377" s="0" t="s">
        <v>8</v>
      </c>
      <c r="H3377" s="0">
        <v>192</v>
      </c>
      <c r="I3377" s="0">
        <v>685</v>
      </c>
      <c r="J3377" s="0">
        <v>0</v>
      </c>
      <c r="K3377" s="0">
        <v>1</v>
      </c>
      <c r="L3377" s="0">
        <v>4</v>
      </c>
      <c r="M3377" s="0">
        <v>13</v>
      </c>
      <c r="N3377" s="0">
        <v>697.5</v>
      </c>
      <c r="O3377" s="0">
        <v>0</v>
      </c>
      <c r="P3377" s="0">
        <v>-360</v>
      </c>
      <c r="R3377" s="0" t="b">
        <v>0</v>
      </c>
      <c r="S3377" s="0" t="b">
        <v>1</v>
      </c>
      <c r="T3377" s="68">
        <v>45861.4589814815</v>
      </c>
      <c r="U3377" s="68">
        <v>45891.3333333333</v>
      </c>
      <c r="V3377" s="68">
        <v>0</v>
      </c>
      <c r="W3377" s="0">
        <f>IF(IF(B3377="none",1,IF(B3377="Trialer",1,0))+IF(C3377="Customer",1,IF(C3377="Lost",1,0))=2,1,0)</f>
      </c>
      <c r="X3377" s="0" t="s">
        <v>136</v>
      </c>
      <c r="Y3377" s="0" t="s">
        <v>499</v>
      </c>
      <c r="AV3377" s="68"/>
      <c r="AW3377" s="68"/>
      <c r="AY3377" s="27"/>
      <c r="BD3377" s="68">
        <v>46054.1666666667</v>
      </c>
      <c r="BE3377" s="68">
        <v>46082.1666666667</v>
      </c>
      <c r="BF3377" s="0" t="b">
        <v>0</v>
      </c>
      <c r="BG3377" s="0" t="b">
        <v>0</v>
      </c>
      <c r="BH3377" s="0">
        <v>480</v>
      </c>
      <c r="BI3377" s="0">
        <v>480</v>
      </c>
      <c r="BJ3377" s="0" t="s">
        <v>230</v>
      </c>
    </row>
    <row r="3378">
      <c r="A3378" s="0" t="s">
        <v>3631</v>
      </c>
      <c r="B3378" s="0" t="s">
        <v>134</v>
      </c>
      <c r="C3378" s="0" t="s">
        <v>134</v>
      </c>
      <c r="D3378" s="0" t="s">
        <v>135</v>
      </c>
      <c r="E3378" s="0" t="s">
        <v>2</v>
      </c>
      <c r="F3378" s="0" t="s">
        <v>12</v>
      </c>
      <c r="G3378" s="0" t="s">
        <v>8</v>
      </c>
      <c r="H3378" s="0">
        <v>192</v>
      </c>
      <c r="I3378" s="0">
        <v>40</v>
      </c>
      <c r="J3378" s="0">
        <v>0</v>
      </c>
      <c r="K3378" s="0">
        <v>1</v>
      </c>
      <c r="L3378" s="0">
        <v>2</v>
      </c>
      <c r="M3378" s="0">
        <v>1</v>
      </c>
      <c r="N3378" s="0">
        <v>0</v>
      </c>
      <c r="O3378" s="0">
        <v>0</v>
      </c>
      <c r="P3378" s="0">
        <v>0</v>
      </c>
      <c r="R3378" s="0" t="b">
        <v>0</v>
      </c>
      <c r="S3378" s="0" t="b">
        <v>1</v>
      </c>
      <c r="T3378" s="68">
        <v>45861.5358217593</v>
      </c>
      <c r="U3378" s="68">
        <v>45876.3333333333</v>
      </c>
      <c r="V3378" s="68">
        <v>0</v>
      </c>
      <c r="W3378" s="0">
        <f>IF(IF(B3378="none",1,IF(B3378="Trialer",1,0))+IF(C3378="Customer",1,IF(C3378="Lost",1,0))=2,1,0)</f>
      </c>
      <c r="X3378" s="0" t="s">
        <v>166</v>
      </c>
      <c r="Y3378" s="0" t="s">
        <v>499</v>
      </c>
      <c r="AV3378" s="68"/>
      <c r="AW3378" s="68"/>
      <c r="AY3378" s="27"/>
      <c r="BD3378" s="68">
        <v>46054.1666666667</v>
      </c>
      <c r="BE3378" s="68">
        <v>46082.1666666667</v>
      </c>
      <c r="BF3378" s="0" t="b">
        <v>0</v>
      </c>
      <c r="BG3378" s="0" t="b">
        <v>0</v>
      </c>
      <c r="BH3378" s="0">
        <v>40</v>
      </c>
      <c r="BI3378" s="0">
        <v>40</v>
      </c>
      <c r="BJ3378" s="0" t="s">
        <v>135</v>
      </c>
    </row>
    <row r="3379">
      <c r="A3379" s="0" t="s">
        <v>3632</v>
      </c>
      <c r="B3379" s="0" t="s">
        <v>134</v>
      </c>
      <c r="C3379" s="0" t="s">
        <v>134</v>
      </c>
      <c r="D3379" s="0" t="s">
        <v>230</v>
      </c>
      <c r="E3379" s="0" t="s">
        <v>3</v>
      </c>
      <c r="F3379" s="0" t="s">
        <v>12</v>
      </c>
      <c r="G3379" s="0" t="s">
        <v>8</v>
      </c>
      <c r="H3379" s="0">
        <v>192</v>
      </c>
      <c r="I3379" s="0">
        <v>90</v>
      </c>
      <c r="J3379" s="0">
        <v>0</v>
      </c>
      <c r="K3379" s="0">
        <v>1</v>
      </c>
      <c r="L3379" s="0">
        <v>2</v>
      </c>
      <c r="M3379" s="0">
        <v>3</v>
      </c>
      <c r="N3379" s="0">
        <v>0</v>
      </c>
      <c r="O3379" s="0">
        <v>0</v>
      </c>
      <c r="P3379" s="0">
        <v>-90</v>
      </c>
      <c r="R3379" s="0" t="b">
        <v>0</v>
      </c>
      <c r="S3379" s="0" t="b">
        <v>1</v>
      </c>
      <c r="T3379" s="68">
        <v>45861.6813194444</v>
      </c>
      <c r="U3379" s="68">
        <v>45875.3333333333</v>
      </c>
      <c r="V3379" s="68">
        <v>0</v>
      </c>
      <c r="W3379" s="0">
        <f>IF(IF(B3379="none",1,IF(B3379="Trialer",1,0))+IF(C3379="Customer",1,IF(C3379="Lost",1,0))=2,1,0)</f>
      </c>
      <c r="X3379" s="0" t="s">
        <v>142</v>
      </c>
      <c r="Y3379" s="0" t="s">
        <v>243</v>
      </c>
      <c r="AV3379" s="68"/>
      <c r="AW3379" s="68"/>
      <c r="AY3379" s="27"/>
      <c r="BD3379" s="68">
        <v>46054.1666666667</v>
      </c>
      <c r="BE3379" s="68">
        <v>46082.1666666667</v>
      </c>
      <c r="BF3379" s="0" t="b">
        <v>0</v>
      </c>
      <c r="BG3379" s="0" t="b">
        <v>0</v>
      </c>
      <c r="BH3379" s="0">
        <v>120</v>
      </c>
      <c r="BI3379" s="0">
        <v>120</v>
      </c>
      <c r="BJ3379" s="0" t="s">
        <v>230</v>
      </c>
    </row>
    <row r="3380">
      <c r="A3380" s="0" t="s">
        <v>3633</v>
      </c>
      <c r="B3380" s="0" t="s">
        <v>134</v>
      </c>
      <c r="C3380" s="0" t="s">
        <v>134</v>
      </c>
      <c r="D3380" s="0" t="s">
        <v>135</v>
      </c>
      <c r="E3380" s="0" t="s">
        <v>3</v>
      </c>
      <c r="F3380" s="0" t="s">
        <v>10</v>
      </c>
      <c r="G3380" s="0" t="s">
        <v>8</v>
      </c>
      <c r="H3380" s="0">
        <v>191</v>
      </c>
      <c r="I3380" s="0">
        <v>211</v>
      </c>
      <c r="J3380" s="0">
        <v>0</v>
      </c>
      <c r="K3380" s="0">
        <v>1</v>
      </c>
      <c r="L3380" s="0">
        <v>4</v>
      </c>
      <c r="M3380" s="0">
        <v>4</v>
      </c>
      <c r="N3380" s="0">
        <v>0</v>
      </c>
      <c r="O3380" s="0">
        <v>0</v>
      </c>
      <c r="P3380" s="0">
        <v>0</v>
      </c>
      <c r="Q3380" s="0" t="s">
        <v>3340</v>
      </c>
      <c r="R3380" s="0" t="b">
        <v>0</v>
      </c>
      <c r="S3380" s="0" t="b">
        <v>1</v>
      </c>
      <c r="T3380" s="68">
        <v>45862.4642824074</v>
      </c>
      <c r="U3380" s="68">
        <v>45877.3333333333</v>
      </c>
      <c r="V3380" s="68">
        <v>0</v>
      </c>
      <c r="W3380" s="0">
        <f>IF(IF(B3380="none",1,IF(B3380="Trialer",1,0))+IF(C3380="Customer",1,IF(C3380="Lost",1,0))=2,1,0)</f>
      </c>
      <c r="X3380" s="0" t="s">
        <v>145</v>
      </c>
      <c r="Y3380" s="0" t="s">
        <v>243</v>
      </c>
      <c r="AV3380" s="68"/>
      <c r="AW3380" s="68"/>
      <c r="AY3380" s="27"/>
      <c r="BD3380" s="68">
        <v>46054.1666666667</v>
      </c>
      <c r="BE3380" s="68">
        <v>46082.1666666667</v>
      </c>
      <c r="BF3380" s="0" t="b">
        <v>0</v>
      </c>
      <c r="BG3380" s="0" t="b">
        <v>0</v>
      </c>
      <c r="BH3380" s="0">
        <v>211</v>
      </c>
      <c r="BI3380" s="0">
        <v>211</v>
      </c>
      <c r="BJ3380" s="0" t="s">
        <v>135</v>
      </c>
    </row>
    <row r="3381">
      <c r="A3381" s="0" t="s">
        <v>3634</v>
      </c>
      <c r="B3381" s="0" t="s">
        <v>134</v>
      </c>
      <c r="C3381" s="0" t="s">
        <v>134</v>
      </c>
      <c r="D3381" s="0" t="s">
        <v>135</v>
      </c>
      <c r="E3381" s="0" t="s">
        <v>3</v>
      </c>
      <c r="F3381" s="0" t="s">
        <v>12</v>
      </c>
      <c r="G3381" s="0" t="s">
        <v>8</v>
      </c>
      <c r="H3381" s="0">
        <v>191</v>
      </c>
      <c r="I3381" s="0">
        <v>245</v>
      </c>
      <c r="J3381" s="0">
        <v>0</v>
      </c>
      <c r="K3381" s="0">
        <v>1</v>
      </c>
      <c r="L3381" s="0">
        <v>3</v>
      </c>
      <c r="M3381" s="0">
        <v>5</v>
      </c>
      <c r="N3381" s="0">
        <v>0</v>
      </c>
      <c r="O3381" s="0">
        <v>0</v>
      </c>
      <c r="P3381" s="0">
        <v>0</v>
      </c>
      <c r="R3381" s="0" t="b">
        <v>0</v>
      </c>
      <c r="S3381" s="0" t="b">
        <v>1</v>
      </c>
      <c r="T3381" s="68">
        <v>45862.6708333333</v>
      </c>
      <c r="U3381" s="68">
        <v>45876.3333333333</v>
      </c>
      <c r="V3381" s="68">
        <v>0</v>
      </c>
      <c r="W3381" s="0">
        <f>IF(IF(B3381="none",1,IF(B3381="Trialer",1,0))+IF(C3381="Customer",1,IF(C3381="Lost",1,0))=2,1,0)</f>
      </c>
      <c r="X3381" s="0" t="s">
        <v>148</v>
      </c>
      <c r="Y3381" s="0" t="s">
        <v>243</v>
      </c>
      <c r="AV3381" s="68"/>
      <c r="AW3381" s="68"/>
      <c r="AY3381" s="27"/>
      <c r="BD3381" s="68">
        <v>46054.1666666667</v>
      </c>
      <c r="BE3381" s="68">
        <v>46082.1666666667</v>
      </c>
      <c r="BF3381" s="0" t="b">
        <v>0</v>
      </c>
      <c r="BG3381" s="0" t="b">
        <v>0</v>
      </c>
      <c r="BH3381" s="0">
        <v>196</v>
      </c>
      <c r="BI3381" s="0">
        <v>196</v>
      </c>
      <c r="BJ3381" s="0" t="s">
        <v>135</v>
      </c>
    </row>
    <row r="3382">
      <c r="A3382" s="0" t="s">
        <v>3635</v>
      </c>
      <c r="B3382" s="0" t="s">
        <v>134</v>
      </c>
      <c r="C3382" s="0" t="s">
        <v>134</v>
      </c>
      <c r="D3382" s="0" t="s">
        <v>135</v>
      </c>
      <c r="E3382" s="0" t="s">
        <v>2</v>
      </c>
      <c r="F3382" s="0" t="s">
        <v>10</v>
      </c>
      <c r="G3382" s="0" t="s">
        <v>8</v>
      </c>
      <c r="H3382" s="0">
        <v>191</v>
      </c>
      <c r="I3382" s="0">
        <v>438</v>
      </c>
      <c r="J3382" s="0">
        <v>0</v>
      </c>
      <c r="K3382" s="0">
        <v>1</v>
      </c>
      <c r="L3382" s="0">
        <v>3</v>
      </c>
      <c r="M3382" s="0">
        <v>12</v>
      </c>
      <c r="N3382" s="0">
        <v>0</v>
      </c>
      <c r="O3382" s="0">
        <v>0</v>
      </c>
      <c r="P3382" s="0">
        <v>0</v>
      </c>
      <c r="Q3382" s="0" t="s">
        <v>498</v>
      </c>
      <c r="R3382" s="0" t="b">
        <v>0</v>
      </c>
      <c r="S3382" s="0" t="b">
        <v>1</v>
      </c>
      <c r="T3382" s="68">
        <v>45862.6875</v>
      </c>
      <c r="U3382" s="68">
        <v>45923.3333333333</v>
      </c>
      <c r="V3382" s="68">
        <v>0</v>
      </c>
      <c r="W3382" s="0">
        <f>IF(IF(B3382="none",1,IF(B3382="Trialer",1,0))+IF(C3382="Customer",1,IF(C3382="Lost",1,0))=2,1,0)</f>
      </c>
      <c r="X3382" s="0" t="s">
        <v>136</v>
      </c>
      <c r="Y3382" s="0" t="s">
        <v>499</v>
      </c>
      <c r="AV3382" s="68"/>
      <c r="AW3382" s="68"/>
      <c r="AY3382" s="27"/>
      <c r="BD3382" s="68">
        <v>46054.1666666667</v>
      </c>
      <c r="BE3382" s="68">
        <v>46082.1666666667</v>
      </c>
      <c r="BF3382" s="0" t="b">
        <v>0</v>
      </c>
      <c r="BG3382" s="0" t="b">
        <v>0</v>
      </c>
      <c r="BH3382" s="0">
        <v>429</v>
      </c>
      <c r="BI3382" s="0">
        <v>429</v>
      </c>
      <c r="BJ3382" s="0" t="s">
        <v>135</v>
      </c>
    </row>
    <row r="3383">
      <c r="A3383" s="0" t="s">
        <v>3636</v>
      </c>
      <c r="B3383" s="0" t="s">
        <v>134</v>
      </c>
      <c r="C3383" s="0" t="s">
        <v>134</v>
      </c>
      <c r="D3383" s="0" t="s">
        <v>135</v>
      </c>
      <c r="E3383" s="0" t="s">
        <v>3</v>
      </c>
      <c r="F3383" s="0" t="s">
        <v>10</v>
      </c>
      <c r="G3383" s="0" t="s">
        <v>8</v>
      </c>
      <c r="H3383" s="0">
        <v>191</v>
      </c>
      <c r="I3383" s="0">
        <v>112</v>
      </c>
      <c r="J3383" s="0">
        <v>0</v>
      </c>
      <c r="K3383" s="0">
        <v>1</v>
      </c>
      <c r="L3383" s="0">
        <v>1</v>
      </c>
      <c r="M3383" s="0">
        <v>4</v>
      </c>
      <c r="N3383" s="0">
        <v>0</v>
      </c>
      <c r="O3383" s="0">
        <v>0</v>
      </c>
      <c r="P3383" s="0">
        <v>0</v>
      </c>
      <c r="Q3383" s="0" t="s">
        <v>618</v>
      </c>
      <c r="R3383" s="0" t="b">
        <v>0</v>
      </c>
      <c r="S3383" s="0" t="b">
        <v>1</v>
      </c>
      <c r="T3383" s="68">
        <v>45862.6926041667</v>
      </c>
      <c r="U3383" s="68">
        <v>45876.3333333333</v>
      </c>
      <c r="V3383" s="68">
        <v>0</v>
      </c>
      <c r="W3383" s="0">
        <f>IF(IF(B3383="none",1,IF(B3383="Trialer",1,0))+IF(C3383="Customer",1,IF(C3383="Lost",1,0))=2,1,0)</f>
      </c>
      <c r="X3383" s="0" t="s">
        <v>148</v>
      </c>
      <c r="Y3383" s="0" t="s">
        <v>243</v>
      </c>
      <c r="AV3383" s="68"/>
      <c r="AW3383" s="68"/>
      <c r="AY3383" s="27"/>
      <c r="BD3383" s="68">
        <v>46054.1666666667</v>
      </c>
      <c r="BE3383" s="68">
        <v>46082.1666666667</v>
      </c>
      <c r="BF3383" s="0" t="b">
        <v>0</v>
      </c>
      <c r="BG3383" s="0" t="b">
        <v>0</v>
      </c>
      <c r="BH3383" s="0">
        <v>112</v>
      </c>
      <c r="BI3383" s="0">
        <v>112</v>
      </c>
      <c r="BJ3383" s="0" t="s">
        <v>135</v>
      </c>
    </row>
    <row r="3384">
      <c r="A3384" s="0" t="s">
        <v>3637</v>
      </c>
      <c r="B3384" s="0" t="s">
        <v>134</v>
      </c>
      <c r="C3384" s="0" t="s">
        <v>134</v>
      </c>
      <c r="D3384" s="0" t="s">
        <v>135</v>
      </c>
      <c r="E3384" s="0" t="s">
        <v>3</v>
      </c>
      <c r="F3384" s="0" t="s">
        <v>12</v>
      </c>
      <c r="G3384" s="0" t="s">
        <v>8</v>
      </c>
      <c r="H3384" s="0">
        <v>190</v>
      </c>
      <c r="I3384" s="0">
        <v>49</v>
      </c>
      <c r="J3384" s="0">
        <v>0</v>
      </c>
      <c r="K3384" s="0">
        <v>1</v>
      </c>
      <c r="L3384" s="0">
        <v>3</v>
      </c>
      <c r="M3384" s="0">
        <v>1</v>
      </c>
      <c r="N3384" s="0">
        <v>0</v>
      </c>
      <c r="O3384" s="0">
        <v>0</v>
      </c>
      <c r="P3384" s="0">
        <v>0</v>
      </c>
      <c r="R3384" s="0" t="b">
        <v>0</v>
      </c>
      <c r="S3384" s="0" t="b">
        <v>1</v>
      </c>
      <c r="T3384" s="68">
        <v>45863.4666666667</v>
      </c>
      <c r="U3384" s="68">
        <v>45893.3333333333</v>
      </c>
      <c r="V3384" s="68">
        <v>0</v>
      </c>
      <c r="W3384" s="0">
        <f>IF(IF(B3384="none",1,IF(B3384="Trialer",1,0))+IF(C3384="Customer",1,IF(C3384="Lost",1,0))=2,1,0)</f>
      </c>
      <c r="X3384" s="0" t="s">
        <v>142</v>
      </c>
      <c r="Y3384" s="0" t="s">
        <v>243</v>
      </c>
      <c r="AV3384" s="68"/>
      <c r="AW3384" s="68"/>
      <c r="AY3384" s="27"/>
      <c r="BD3384" s="68">
        <v>46054.1666666667</v>
      </c>
      <c r="BE3384" s="68">
        <v>46082.1666666667</v>
      </c>
      <c r="BF3384" s="0" t="b">
        <v>0</v>
      </c>
      <c r="BG3384" s="0" t="b">
        <v>0</v>
      </c>
      <c r="BH3384" s="0">
        <v>49</v>
      </c>
      <c r="BI3384" s="0">
        <v>49</v>
      </c>
      <c r="BJ3384" s="0" t="s">
        <v>135</v>
      </c>
    </row>
    <row r="3385">
      <c r="A3385" s="0" t="s">
        <v>3638</v>
      </c>
      <c r="B3385" s="0" t="s">
        <v>134</v>
      </c>
      <c r="C3385" s="0" t="s">
        <v>134</v>
      </c>
      <c r="D3385" s="0" t="s">
        <v>135</v>
      </c>
      <c r="E3385" s="0" t="s">
        <v>3</v>
      </c>
      <c r="F3385" s="0" t="s">
        <v>12</v>
      </c>
      <c r="G3385" s="0" t="s">
        <v>8</v>
      </c>
      <c r="H3385" s="0">
        <v>190</v>
      </c>
      <c r="I3385" s="0">
        <v>28</v>
      </c>
      <c r="J3385" s="0">
        <v>0</v>
      </c>
      <c r="K3385" s="0">
        <v>1</v>
      </c>
      <c r="L3385" s="0">
        <v>1</v>
      </c>
      <c r="M3385" s="0">
        <v>1</v>
      </c>
      <c r="N3385" s="0">
        <v>0</v>
      </c>
      <c r="O3385" s="0">
        <v>0</v>
      </c>
      <c r="P3385" s="0">
        <v>0</v>
      </c>
      <c r="R3385" s="0" t="b">
        <v>0</v>
      </c>
      <c r="S3385" s="0" t="b">
        <v>1</v>
      </c>
      <c r="T3385" s="68">
        <v>45863.8297569444</v>
      </c>
      <c r="U3385" s="68">
        <v>45877.3333333333</v>
      </c>
      <c r="V3385" s="68">
        <v>0</v>
      </c>
      <c r="W3385" s="0">
        <f>IF(IF(B3385="none",1,IF(B3385="Trialer",1,0))+IF(C3385="Customer",1,IF(C3385="Lost",1,0))=2,1,0)</f>
      </c>
      <c r="X3385" s="0" t="s">
        <v>153</v>
      </c>
      <c r="Y3385" s="0" t="s">
        <v>243</v>
      </c>
      <c r="AV3385" s="68"/>
      <c r="AW3385" s="68"/>
      <c r="AY3385" s="27"/>
      <c r="BD3385" s="68">
        <v>46054.1666666667</v>
      </c>
      <c r="BE3385" s="68">
        <v>46082.1666666667</v>
      </c>
      <c r="BF3385" s="0" t="b">
        <v>0</v>
      </c>
      <c r="BG3385" s="0" t="b">
        <v>0</v>
      </c>
      <c r="BH3385" s="0">
        <v>28</v>
      </c>
      <c r="BI3385" s="0">
        <v>28</v>
      </c>
      <c r="BJ3385" s="0" t="s">
        <v>135</v>
      </c>
    </row>
    <row r="3386">
      <c r="A3386" s="0" t="s">
        <v>3639</v>
      </c>
      <c r="B3386" s="0" t="s">
        <v>134</v>
      </c>
      <c r="C3386" s="0" t="s">
        <v>134</v>
      </c>
      <c r="D3386" s="0" t="s">
        <v>230</v>
      </c>
      <c r="E3386" s="0" t="s">
        <v>2</v>
      </c>
      <c r="F3386" s="0" t="s">
        <v>12</v>
      </c>
      <c r="G3386" s="0" t="s">
        <v>8</v>
      </c>
      <c r="H3386" s="0">
        <v>187</v>
      </c>
      <c r="I3386" s="0">
        <v>44</v>
      </c>
      <c r="J3386" s="0">
        <v>0</v>
      </c>
      <c r="K3386" s="0">
        <v>1</v>
      </c>
      <c r="L3386" s="0">
        <v>3</v>
      </c>
      <c r="M3386" s="0">
        <v>1</v>
      </c>
      <c r="N3386" s="0">
        <v>0</v>
      </c>
      <c r="O3386" s="0">
        <v>0</v>
      </c>
      <c r="P3386" s="0">
        <v>-44</v>
      </c>
      <c r="R3386" s="0" t="b">
        <v>0</v>
      </c>
      <c r="S3386" s="0" t="b">
        <v>0</v>
      </c>
      <c r="T3386" s="68">
        <v>45866.5553240741</v>
      </c>
      <c r="U3386" s="68">
        <v>45881.3333333333</v>
      </c>
      <c r="V3386" s="68">
        <v>46094.687337963</v>
      </c>
      <c r="W3386" s="0">
        <f>IF(IF(B3386="none",1,IF(B3386="Trialer",1,0))+IF(C3386="Customer",1,IF(C3386="Lost",1,0))=2,1,0)</f>
      </c>
      <c r="X3386" s="0" t="s">
        <v>166</v>
      </c>
      <c r="Y3386" s="0" t="s">
        <v>499</v>
      </c>
      <c r="AV3386" s="68"/>
      <c r="AW3386" s="68"/>
      <c r="AY3386" s="27"/>
      <c r="BD3386" s="68">
        <v>46054.1666666667</v>
      </c>
      <c r="BE3386" s="68">
        <v>46082.1666666667</v>
      </c>
      <c r="BF3386" s="0" t="b">
        <v>0</v>
      </c>
      <c r="BG3386" s="0" t="b">
        <v>0</v>
      </c>
      <c r="BH3386" s="0">
        <v>49</v>
      </c>
      <c r="BI3386" s="0">
        <v>49</v>
      </c>
      <c r="BJ3386" s="0" t="s">
        <v>230</v>
      </c>
    </row>
    <row r="3387">
      <c r="A3387" s="0" t="s">
        <v>3640</v>
      </c>
      <c r="B3387" s="0" t="s">
        <v>134</v>
      </c>
      <c r="C3387" s="0" t="s">
        <v>134</v>
      </c>
      <c r="D3387" s="0" t="s">
        <v>135</v>
      </c>
      <c r="E3387" s="0" t="s">
        <v>3</v>
      </c>
      <c r="F3387" s="0" t="s">
        <v>12</v>
      </c>
      <c r="G3387" s="0" t="s">
        <v>8</v>
      </c>
      <c r="H3387" s="0">
        <v>187</v>
      </c>
      <c r="I3387" s="0">
        <v>95</v>
      </c>
      <c r="J3387" s="0">
        <v>0</v>
      </c>
      <c r="K3387" s="0">
        <v>1</v>
      </c>
      <c r="L3387" s="0">
        <v>3</v>
      </c>
      <c r="M3387" s="0">
        <v>3</v>
      </c>
      <c r="N3387" s="0">
        <v>0</v>
      </c>
      <c r="O3387" s="0">
        <v>0</v>
      </c>
      <c r="P3387" s="0">
        <v>0</v>
      </c>
      <c r="R3387" s="0" t="b">
        <v>0</v>
      </c>
      <c r="S3387" s="0" t="b">
        <v>1</v>
      </c>
      <c r="T3387" s="68">
        <v>45866.661087963</v>
      </c>
      <c r="U3387" s="68">
        <v>45898.3333333333</v>
      </c>
      <c r="V3387" s="68">
        <v>0</v>
      </c>
      <c r="W3387" s="0">
        <f>IF(IF(B3387="none",1,IF(B3387="Trialer",1,0))+IF(C3387="Customer",1,IF(C3387="Lost",1,0))=2,1,0)</f>
      </c>
      <c r="X3387" s="0" t="s">
        <v>166</v>
      </c>
      <c r="Y3387" s="0" t="s">
        <v>243</v>
      </c>
      <c r="AV3387" s="68"/>
      <c r="AW3387" s="68"/>
      <c r="AY3387" s="27"/>
      <c r="BD3387" s="68">
        <v>46054.1666666667</v>
      </c>
      <c r="BE3387" s="68">
        <v>46082.1666666667</v>
      </c>
      <c r="BF3387" s="0" t="b">
        <v>0</v>
      </c>
      <c r="BG3387" s="0" t="b">
        <v>0</v>
      </c>
      <c r="BH3387" s="0">
        <v>95</v>
      </c>
      <c r="BI3387" s="0">
        <v>95</v>
      </c>
      <c r="BJ3387" s="0" t="s">
        <v>135</v>
      </c>
    </row>
    <row r="3388">
      <c r="A3388" s="0" t="s">
        <v>3641</v>
      </c>
      <c r="B3388" s="0" t="s">
        <v>134</v>
      </c>
      <c r="C3388" s="0" t="s">
        <v>134</v>
      </c>
      <c r="D3388" s="0" t="s">
        <v>230</v>
      </c>
      <c r="E3388" s="0" t="s">
        <v>3</v>
      </c>
      <c r="F3388" s="0" t="s">
        <v>12</v>
      </c>
      <c r="G3388" s="0" t="s">
        <v>8</v>
      </c>
      <c r="H3388" s="0">
        <v>187</v>
      </c>
      <c r="I3388" s="0">
        <v>108</v>
      </c>
      <c r="J3388" s="0">
        <v>0</v>
      </c>
      <c r="K3388" s="0">
        <v>1</v>
      </c>
      <c r="L3388" s="0">
        <v>4</v>
      </c>
      <c r="M3388" s="0">
        <v>2</v>
      </c>
      <c r="N3388" s="0">
        <v>0</v>
      </c>
      <c r="O3388" s="0">
        <v>0</v>
      </c>
      <c r="P3388" s="0">
        <v>-108</v>
      </c>
      <c r="R3388" s="0" t="b">
        <v>0</v>
      </c>
      <c r="S3388" s="0" t="b">
        <v>1</v>
      </c>
      <c r="T3388" s="68">
        <v>45866.8245717593</v>
      </c>
      <c r="U3388" s="68">
        <v>45880.3333333333</v>
      </c>
      <c r="V3388" s="68">
        <v>0</v>
      </c>
      <c r="W3388" s="0">
        <f>IF(IF(B3388="none",1,IF(B3388="Trialer",1,0))+IF(C3388="Customer",1,IF(C3388="Lost",1,0))=2,1,0)</f>
      </c>
      <c r="X3388" s="0" t="s">
        <v>166</v>
      </c>
      <c r="Y3388" s="0" t="s">
        <v>243</v>
      </c>
      <c r="AV3388" s="68"/>
      <c r="AW3388" s="68"/>
      <c r="AY3388" s="27"/>
      <c r="BD3388" s="68">
        <v>46054.1666666667</v>
      </c>
      <c r="BE3388" s="68">
        <v>46082.1666666667</v>
      </c>
      <c r="BF3388" s="0" t="b">
        <v>0</v>
      </c>
      <c r="BG3388" s="0" t="b">
        <v>0</v>
      </c>
      <c r="BH3388" s="0">
        <v>122</v>
      </c>
      <c r="BI3388" s="0">
        <v>122</v>
      </c>
      <c r="BJ3388" s="0" t="s">
        <v>230</v>
      </c>
    </row>
    <row r="3389">
      <c r="A3389" s="0" t="s">
        <v>3642</v>
      </c>
      <c r="B3389" s="0" t="s">
        <v>134</v>
      </c>
      <c r="C3389" s="0" t="s">
        <v>134</v>
      </c>
      <c r="D3389" s="0" t="s">
        <v>135</v>
      </c>
      <c r="E3389" s="0" t="s">
        <v>3</v>
      </c>
      <c r="F3389" s="0" t="s">
        <v>10</v>
      </c>
      <c r="G3389" s="0" t="s">
        <v>8</v>
      </c>
      <c r="H3389" s="0">
        <v>186</v>
      </c>
      <c r="I3389" s="0">
        <v>0</v>
      </c>
      <c r="J3389" s="0">
        <v>0</v>
      </c>
      <c r="K3389" s="0">
        <v>0</v>
      </c>
      <c r="L3389" s="0">
        <v>0</v>
      </c>
      <c r="M3389" s="0">
        <v>0</v>
      </c>
      <c r="N3389" s="0">
        <v>0</v>
      </c>
      <c r="O3389" s="0">
        <v>0</v>
      </c>
      <c r="P3389" s="0">
        <v>0</v>
      </c>
      <c r="Q3389" s="0" t="s">
        <v>618</v>
      </c>
      <c r="R3389" s="0" t="b">
        <v>0</v>
      </c>
      <c r="S3389" s="0" t="b">
        <v>1</v>
      </c>
      <c r="T3389" s="68">
        <v>45867.2415856481</v>
      </c>
      <c r="U3389" s="68">
        <v>45897.3333333333</v>
      </c>
      <c r="V3389" s="68">
        <v>0</v>
      </c>
      <c r="W3389" s="0">
        <f>IF(IF(B3389="none",1,IF(B3389="Trialer",1,0))+IF(C3389="Customer",1,IF(C3389="Lost",1,0))=2,1,0)</f>
      </c>
      <c r="X3389" s="0" t="s">
        <v>148</v>
      </c>
      <c r="Y3389" s="0" t="s">
        <v>243</v>
      </c>
      <c r="AV3389" s="68"/>
      <c r="AW3389" s="68"/>
      <c r="AY3389" s="27"/>
      <c r="BD3389" s="68">
        <v>46054.1666666667</v>
      </c>
      <c r="BE3389" s="68">
        <v>46082.1666666667</v>
      </c>
      <c r="BF3389" s="0" t="b">
        <v>0</v>
      </c>
      <c r="BG3389" s="0" t="b">
        <v>0</v>
      </c>
      <c r="BH3389" s="0">
        <v>0</v>
      </c>
      <c r="BI3389" s="0">
        <v>0</v>
      </c>
      <c r="BJ3389" s="0" t="s">
        <v>135</v>
      </c>
    </row>
    <row r="3390">
      <c r="A3390" s="0" t="s">
        <v>3643</v>
      </c>
      <c r="B3390" s="0" t="s">
        <v>134</v>
      </c>
      <c r="C3390" s="0" t="s">
        <v>134</v>
      </c>
      <c r="D3390" s="0" t="s">
        <v>135</v>
      </c>
      <c r="E3390" s="0" t="s">
        <v>2</v>
      </c>
      <c r="F3390" s="0" t="s">
        <v>10</v>
      </c>
      <c r="G3390" s="0" t="s">
        <v>8</v>
      </c>
      <c r="H3390" s="0">
        <v>186</v>
      </c>
      <c r="I3390" s="0">
        <v>40</v>
      </c>
      <c r="J3390" s="0">
        <v>0</v>
      </c>
      <c r="K3390" s="0">
        <v>1</v>
      </c>
      <c r="L3390" s="0">
        <v>2</v>
      </c>
      <c r="M3390" s="0">
        <v>1</v>
      </c>
      <c r="N3390" s="0">
        <v>0</v>
      </c>
      <c r="O3390" s="0">
        <v>0</v>
      </c>
      <c r="P3390" s="0">
        <v>0</v>
      </c>
      <c r="Q3390" s="0" t="s">
        <v>2040</v>
      </c>
      <c r="R3390" s="0" t="b">
        <v>0</v>
      </c>
      <c r="S3390" s="0" t="b">
        <v>1</v>
      </c>
      <c r="T3390" s="68">
        <v>45867.3961111111</v>
      </c>
      <c r="U3390" s="68">
        <v>45894.3333333333</v>
      </c>
      <c r="V3390" s="68">
        <v>0</v>
      </c>
      <c r="W3390" s="0">
        <f>IF(IF(B3390="none",1,IF(B3390="Trialer",1,0))+IF(C3390="Customer",1,IF(C3390="Lost",1,0))=2,1,0)</f>
      </c>
      <c r="X3390" s="0" t="s">
        <v>148</v>
      </c>
      <c r="Y3390" s="0" t="s">
        <v>499</v>
      </c>
      <c r="AV3390" s="68"/>
      <c r="AW3390" s="68"/>
      <c r="AY3390" s="27"/>
      <c r="BD3390" s="68">
        <v>46054.1666666667</v>
      </c>
      <c r="BE3390" s="68">
        <v>46082.1666666667</v>
      </c>
      <c r="BF3390" s="0" t="b">
        <v>0</v>
      </c>
      <c r="BG3390" s="0" t="b">
        <v>0</v>
      </c>
      <c r="BH3390" s="0">
        <v>40</v>
      </c>
      <c r="BI3390" s="0">
        <v>40</v>
      </c>
      <c r="BJ3390" s="0" t="s">
        <v>135</v>
      </c>
    </row>
    <row r="3391">
      <c r="A3391" s="0" t="s">
        <v>3644</v>
      </c>
      <c r="B3391" s="0" t="s">
        <v>134</v>
      </c>
      <c r="C3391" s="0" t="s">
        <v>134</v>
      </c>
      <c r="D3391" s="0" t="s">
        <v>135</v>
      </c>
      <c r="E3391" s="0" t="s">
        <v>3</v>
      </c>
      <c r="F3391" s="0" t="s">
        <v>12</v>
      </c>
      <c r="G3391" s="0" t="s">
        <v>8</v>
      </c>
      <c r="H3391" s="0">
        <v>186</v>
      </c>
      <c r="I3391" s="0">
        <v>0</v>
      </c>
      <c r="J3391" s="0">
        <v>0</v>
      </c>
      <c r="K3391" s="0">
        <v>1</v>
      </c>
      <c r="L3391" s="0">
        <v>6</v>
      </c>
      <c r="M3391" s="0">
        <v>2</v>
      </c>
      <c r="N3391" s="0">
        <v>0</v>
      </c>
      <c r="O3391" s="0">
        <v>0</v>
      </c>
      <c r="P3391" s="0">
        <v>0</v>
      </c>
      <c r="R3391" s="0" t="b">
        <v>0</v>
      </c>
      <c r="S3391" s="0" t="b">
        <v>1</v>
      </c>
      <c r="T3391" s="68">
        <v>45867.432037037</v>
      </c>
      <c r="U3391" s="68">
        <v>45881.3333333333</v>
      </c>
      <c r="V3391" s="68">
        <v>0</v>
      </c>
      <c r="W3391" s="0">
        <f>IF(IF(B3391="none",1,IF(B3391="Trialer",1,0))+IF(C3391="Customer",1,IF(C3391="Lost",1,0))=2,1,0)</f>
      </c>
      <c r="X3391" s="0" t="s">
        <v>136</v>
      </c>
      <c r="Y3391" s="0" t="s">
        <v>2664</v>
      </c>
      <c r="AV3391" s="68"/>
      <c r="AW3391" s="68"/>
      <c r="AY3391" s="27"/>
      <c r="BD3391" s="68">
        <v>46054.1666666667</v>
      </c>
      <c r="BE3391" s="68">
        <v>46082.1666666667</v>
      </c>
      <c r="BF3391" s="0" t="b">
        <v>0</v>
      </c>
      <c r="BG3391" s="0" t="b">
        <v>0</v>
      </c>
      <c r="BH3391" s="0">
        <v>0</v>
      </c>
      <c r="BI3391" s="0">
        <v>0</v>
      </c>
      <c r="BJ3391" s="0" t="s">
        <v>135</v>
      </c>
    </row>
    <row r="3392">
      <c r="A3392" s="0" t="s">
        <v>3645</v>
      </c>
      <c r="B3392" s="0" t="s">
        <v>134</v>
      </c>
      <c r="C3392" s="0" t="s">
        <v>134</v>
      </c>
      <c r="D3392" s="0" t="s">
        <v>135</v>
      </c>
      <c r="E3392" s="0" t="s">
        <v>3</v>
      </c>
      <c r="F3392" s="0" t="s">
        <v>12</v>
      </c>
      <c r="G3392" s="0" t="s">
        <v>8</v>
      </c>
      <c r="H3392" s="0">
        <v>186</v>
      </c>
      <c r="I3392" s="0">
        <v>49</v>
      </c>
      <c r="J3392" s="0">
        <v>0</v>
      </c>
      <c r="K3392" s="0">
        <v>1</v>
      </c>
      <c r="L3392" s="0">
        <v>3</v>
      </c>
      <c r="M3392" s="0">
        <v>1</v>
      </c>
      <c r="N3392" s="0">
        <v>0</v>
      </c>
      <c r="O3392" s="0">
        <v>0</v>
      </c>
      <c r="P3392" s="0">
        <v>0</v>
      </c>
      <c r="R3392" s="0" t="b">
        <v>0</v>
      </c>
      <c r="S3392" s="0" t="b">
        <v>1</v>
      </c>
      <c r="T3392" s="68">
        <v>45867.4572685185</v>
      </c>
      <c r="U3392" s="68">
        <v>45895.3333333333</v>
      </c>
      <c r="V3392" s="68">
        <v>0</v>
      </c>
      <c r="W3392" s="0">
        <f>IF(IF(B3392="none",1,IF(B3392="Trialer",1,0))+IF(C3392="Customer",1,IF(C3392="Lost",1,0))=2,1,0)</f>
      </c>
      <c r="X3392" s="0" t="s">
        <v>166</v>
      </c>
      <c r="Y3392" s="0" t="s">
        <v>243</v>
      </c>
      <c r="AV3392" s="68"/>
      <c r="AW3392" s="68"/>
      <c r="AY3392" s="27"/>
      <c r="BD3392" s="68">
        <v>46054.1666666667</v>
      </c>
      <c r="BE3392" s="68">
        <v>46082.1666666667</v>
      </c>
      <c r="BF3392" s="0" t="b">
        <v>0</v>
      </c>
      <c r="BG3392" s="0" t="b">
        <v>0</v>
      </c>
      <c r="BH3392" s="0">
        <v>49</v>
      </c>
      <c r="BI3392" s="0">
        <v>49</v>
      </c>
      <c r="BJ3392" s="0" t="s">
        <v>135</v>
      </c>
    </row>
    <row r="3393">
      <c r="A3393" s="0" t="s">
        <v>3646</v>
      </c>
      <c r="B3393" s="0" t="s">
        <v>134</v>
      </c>
      <c r="C3393" s="0" t="s">
        <v>134</v>
      </c>
      <c r="D3393" s="0" t="s">
        <v>135</v>
      </c>
      <c r="E3393" s="0" t="s">
        <v>2</v>
      </c>
      <c r="F3393" s="0" t="s">
        <v>12</v>
      </c>
      <c r="G3393" s="0" t="s">
        <v>8</v>
      </c>
      <c r="H3393" s="0">
        <v>186</v>
      </c>
      <c r="I3393" s="0">
        <v>89</v>
      </c>
      <c r="J3393" s="0">
        <v>0</v>
      </c>
      <c r="K3393" s="0">
        <v>1</v>
      </c>
      <c r="L3393" s="0">
        <v>4</v>
      </c>
      <c r="M3393" s="0">
        <v>2</v>
      </c>
      <c r="N3393" s="0">
        <v>0</v>
      </c>
      <c r="O3393" s="0">
        <v>0</v>
      </c>
      <c r="P3393" s="0">
        <v>0</v>
      </c>
      <c r="R3393" s="0" t="b">
        <v>0</v>
      </c>
      <c r="S3393" s="0" t="b">
        <v>1</v>
      </c>
      <c r="T3393" s="68">
        <v>45867.5088425926</v>
      </c>
      <c r="U3393" s="68">
        <v>45881.3333333333</v>
      </c>
      <c r="V3393" s="68">
        <v>0</v>
      </c>
      <c r="W3393" s="0">
        <f>IF(IF(B3393="none",1,IF(B3393="Trialer",1,0))+IF(C3393="Customer",1,IF(C3393="Lost",1,0))=2,1,0)</f>
      </c>
      <c r="X3393" s="0" t="s">
        <v>153</v>
      </c>
      <c r="Y3393" s="0" t="s">
        <v>499</v>
      </c>
      <c r="AV3393" s="68"/>
      <c r="AW3393" s="68"/>
      <c r="AY3393" s="27"/>
      <c r="BD3393" s="68">
        <v>46054.1666666667</v>
      </c>
      <c r="BE3393" s="68">
        <v>46082.1666666667</v>
      </c>
      <c r="BF3393" s="0" t="b">
        <v>0</v>
      </c>
      <c r="BG3393" s="0" t="b">
        <v>0</v>
      </c>
      <c r="BH3393" s="0">
        <v>89</v>
      </c>
      <c r="BI3393" s="0">
        <v>89</v>
      </c>
      <c r="BJ3393" s="0" t="s">
        <v>135</v>
      </c>
    </row>
    <row r="3394">
      <c r="A3394" s="0" t="s">
        <v>3647</v>
      </c>
      <c r="B3394" s="0" t="s">
        <v>134</v>
      </c>
      <c r="C3394" s="0" t="s">
        <v>134</v>
      </c>
      <c r="D3394" s="0" t="s">
        <v>230</v>
      </c>
      <c r="E3394" s="0" t="s">
        <v>2</v>
      </c>
      <c r="F3394" s="0" t="s">
        <v>12</v>
      </c>
      <c r="G3394" s="0" t="s">
        <v>8</v>
      </c>
      <c r="H3394" s="0">
        <v>186</v>
      </c>
      <c r="I3394" s="0">
        <v>25</v>
      </c>
      <c r="J3394" s="0">
        <v>0</v>
      </c>
      <c r="K3394" s="0">
        <v>1</v>
      </c>
      <c r="L3394" s="0">
        <v>1</v>
      </c>
      <c r="M3394" s="0">
        <v>1</v>
      </c>
      <c r="N3394" s="0">
        <v>0</v>
      </c>
      <c r="O3394" s="0">
        <v>0</v>
      </c>
      <c r="P3394" s="0">
        <v>-25</v>
      </c>
      <c r="R3394" s="0" t="b">
        <v>0</v>
      </c>
      <c r="S3394" s="0" t="b">
        <v>1</v>
      </c>
      <c r="T3394" s="68">
        <v>45867.8241319444</v>
      </c>
      <c r="U3394" s="68">
        <v>45881.3333333333</v>
      </c>
      <c r="V3394" s="68">
        <v>0</v>
      </c>
      <c r="W3394" s="0">
        <f>IF(IF(B3394="none",1,IF(B3394="Trialer",1,0))+IF(C3394="Customer",1,IF(C3394="Lost",1,0))=2,1,0)</f>
      </c>
      <c r="X3394" s="0" t="s">
        <v>166</v>
      </c>
      <c r="Y3394" s="0" t="s">
        <v>499</v>
      </c>
      <c r="AV3394" s="68"/>
      <c r="AW3394" s="68"/>
      <c r="AY3394" s="27"/>
      <c r="BD3394" s="68">
        <v>46054.1666666667</v>
      </c>
      <c r="BE3394" s="68">
        <v>46082.1666666667</v>
      </c>
      <c r="BF3394" s="0" t="b">
        <v>0</v>
      </c>
      <c r="BG3394" s="0" t="b">
        <v>0</v>
      </c>
      <c r="BH3394" s="0">
        <v>28</v>
      </c>
      <c r="BI3394" s="0">
        <v>28</v>
      </c>
      <c r="BJ3394" s="0" t="s">
        <v>230</v>
      </c>
    </row>
    <row r="3395">
      <c r="A3395" s="0" t="s">
        <v>3648</v>
      </c>
      <c r="B3395" s="0" t="s">
        <v>134</v>
      </c>
      <c r="C3395" s="0" t="s">
        <v>134</v>
      </c>
      <c r="D3395" s="0" t="s">
        <v>230</v>
      </c>
      <c r="E3395" s="0" t="s">
        <v>3</v>
      </c>
      <c r="F3395" s="0" t="s">
        <v>12</v>
      </c>
      <c r="G3395" s="0" t="s">
        <v>8</v>
      </c>
      <c r="H3395" s="0">
        <v>185</v>
      </c>
      <c r="I3395" s="0">
        <v>66.75</v>
      </c>
      <c r="J3395" s="0">
        <v>0</v>
      </c>
      <c r="K3395" s="0">
        <v>1</v>
      </c>
      <c r="L3395" s="0">
        <v>3</v>
      </c>
      <c r="M3395" s="0">
        <v>2</v>
      </c>
      <c r="N3395" s="0">
        <v>0</v>
      </c>
      <c r="O3395" s="0">
        <v>0</v>
      </c>
      <c r="P3395" s="0">
        <v>-66.75</v>
      </c>
      <c r="R3395" s="0" t="b">
        <v>0</v>
      </c>
      <c r="S3395" s="0" t="b">
        <v>1</v>
      </c>
      <c r="T3395" s="68">
        <v>45868.5094675926</v>
      </c>
      <c r="U3395" s="68">
        <v>45882.3333333333</v>
      </c>
      <c r="V3395" s="68">
        <v>0</v>
      </c>
      <c r="W3395" s="0">
        <f>IF(IF(B3395="none",1,IF(B3395="Trialer",1,0))+IF(C3395="Customer",1,IF(C3395="Lost",1,0))=2,1,0)</f>
      </c>
      <c r="X3395" s="0" t="s">
        <v>136</v>
      </c>
      <c r="Y3395" s="0" t="s">
        <v>243</v>
      </c>
      <c r="AV3395" s="68"/>
      <c r="AW3395" s="68"/>
      <c r="AY3395" s="27"/>
      <c r="BD3395" s="68">
        <v>46054.1666666667</v>
      </c>
      <c r="BE3395" s="68">
        <v>46082.1666666667</v>
      </c>
      <c r="BF3395" s="0" t="b">
        <v>0</v>
      </c>
      <c r="BG3395" s="0" t="b">
        <v>0</v>
      </c>
      <c r="BH3395" s="0">
        <v>89</v>
      </c>
      <c r="BI3395" s="0">
        <v>89</v>
      </c>
      <c r="BJ3395" s="0" t="s">
        <v>230</v>
      </c>
    </row>
    <row r="3396">
      <c r="A3396" s="0" t="s">
        <v>3649</v>
      </c>
      <c r="B3396" s="0" t="s">
        <v>134</v>
      </c>
      <c r="C3396" s="0" t="s">
        <v>134</v>
      </c>
      <c r="D3396" s="0" t="s">
        <v>135</v>
      </c>
      <c r="E3396" s="0" t="s">
        <v>3</v>
      </c>
      <c r="F3396" s="0" t="s">
        <v>12</v>
      </c>
      <c r="G3396" s="0" t="s">
        <v>8</v>
      </c>
      <c r="H3396" s="0">
        <v>185</v>
      </c>
      <c r="I3396" s="0">
        <v>61</v>
      </c>
      <c r="J3396" s="0">
        <v>0</v>
      </c>
      <c r="K3396" s="0">
        <v>1</v>
      </c>
      <c r="L3396" s="0">
        <v>4</v>
      </c>
      <c r="M3396" s="0">
        <v>1</v>
      </c>
      <c r="N3396" s="0">
        <v>0</v>
      </c>
      <c r="O3396" s="0">
        <v>0</v>
      </c>
      <c r="P3396" s="0">
        <v>0</v>
      </c>
      <c r="R3396" s="0" t="b">
        <v>0</v>
      </c>
      <c r="S3396" s="0" t="b">
        <v>1</v>
      </c>
      <c r="T3396" s="68">
        <v>45868.7584027778</v>
      </c>
      <c r="U3396" s="68">
        <v>45883.3333333333</v>
      </c>
      <c r="V3396" s="68">
        <v>0</v>
      </c>
      <c r="W3396" s="0">
        <f>IF(IF(B3396="none",1,IF(B3396="Trialer",1,0))+IF(C3396="Customer",1,IF(C3396="Lost",1,0))=2,1,0)</f>
      </c>
      <c r="X3396" s="0" t="s">
        <v>166</v>
      </c>
      <c r="Y3396" s="0" t="s">
        <v>243</v>
      </c>
      <c r="AV3396" s="68"/>
      <c r="AW3396" s="68"/>
      <c r="AY3396" s="27"/>
      <c r="BD3396" s="68">
        <v>46054.1666666667</v>
      </c>
      <c r="BE3396" s="68">
        <v>46082.1666666667</v>
      </c>
      <c r="BF3396" s="0" t="b">
        <v>0</v>
      </c>
      <c r="BG3396" s="0" t="b">
        <v>0</v>
      </c>
      <c r="BH3396" s="0">
        <v>61</v>
      </c>
      <c r="BI3396" s="0">
        <v>61</v>
      </c>
      <c r="BJ3396" s="0" t="s">
        <v>135</v>
      </c>
    </row>
    <row r="3397">
      <c r="A3397" s="0" t="s">
        <v>3650</v>
      </c>
      <c r="B3397" s="0" t="s">
        <v>134</v>
      </c>
      <c r="C3397" s="0" t="s">
        <v>134</v>
      </c>
      <c r="D3397" s="0" t="s">
        <v>135</v>
      </c>
      <c r="E3397" s="0" t="s">
        <v>3</v>
      </c>
      <c r="F3397" s="0" t="s">
        <v>12</v>
      </c>
      <c r="G3397" s="0" t="s">
        <v>8</v>
      </c>
      <c r="H3397" s="0">
        <v>184</v>
      </c>
      <c r="I3397" s="0">
        <v>40</v>
      </c>
      <c r="J3397" s="0">
        <v>0</v>
      </c>
      <c r="K3397" s="0">
        <v>1</v>
      </c>
      <c r="L3397" s="0">
        <v>2</v>
      </c>
      <c r="M3397" s="0">
        <v>1</v>
      </c>
      <c r="N3397" s="0">
        <v>0</v>
      </c>
      <c r="O3397" s="0">
        <v>0</v>
      </c>
      <c r="P3397" s="0">
        <v>0</v>
      </c>
      <c r="R3397" s="0" t="b">
        <v>0</v>
      </c>
      <c r="S3397" s="0" t="b">
        <v>1</v>
      </c>
      <c r="T3397" s="68">
        <v>45869.4526736111</v>
      </c>
      <c r="U3397" s="68">
        <v>45883.3333333333</v>
      </c>
      <c r="V3397" s="68">
        <v>0</v>
      </c>
      <c r="W3397" s="0">
        <f>IF(IF(B3397="none",1,IF(B3397="Trialer",1,0))+IF(C3397="Customer",1,IF(C3397="Lost",1,0))=2,1,0)</f>
      </c>
      <c r="X3397" s="0" t="s">
        <v>153</v>
      </c>
      <c r="Y3397" s="0" t="s">
        <v>243</v>
      </c>
      <c r="AV3397" s="68"/>
      <c r="AW3397" s="68"/>
      <c r="AY3397" s="27"/>
      <c r="BD3397" s="68">
        <v>46054.1666666667</v>
      </c>
      <c r="BE3397" s="68">
        <v>46082.1666666667</v>
      </c>
      <c r="BF3397" s="0" t="b">
        <v>0</v>
      </c>
      <c r="BG3397" s="0" t="b">
        <v>0</v>
      </c>
      <c r="BH3397" s="0">
        <v>40</v>
      </c>
      <c r="BI3397" s="0">
        <v>40</v>
      </c>
      <c r="BJ3397" s="0" t="s">
        <v>135</v>
      </c>
    </row>
    <row r="3398">
      <c r="A3398" s="0" t="s">
        <v>3651</v>
      </c>
      <c r="B3398" s="0" t="s">
        <v>134</v>
      </c>
      <c r="C3398" s="0" t="s">
        <v>134</v>
      </c>
      <c r="D3398" s="0" t="s">
        <v>135</v>
      </c>
      <c r="E3398" s="0" t="s">
        <v>3</v>
      </c>
      <c r="F3398" s="0" t="s">
        <v>12</v>
      </c>
      <c r="G3398" s="0" t="s">
        <v>8</v>
      </c>
      <c r="H3398" s="0">
        <v>184</v>
      </c>
      <c r="I3398" s="0">
        <v>49</v>
      </c>
      <c r="J3398" s="0">
        <v>0</v>
      </c>
      <c r="K3398" s="0">
        <v>1</v>
      </c>
      <c r="L3398" s="0">
        <v>3</v>
      </c>
      <c r="M3398" s="0">
        <v>1</v>
      </c>
      <c r="N3398" s="0">
        <v>0</v>
      </c>
      <c r="O3398" s="0">
        <v>0</v>
      </c>
      <c r="P3398" s="0">
        <v>0</v>
      </c>
      <c r="R3398" s="0" t="b">
        <v>0</v>
      </c>
      <c r="S3398" s="0" t="b">
        <v>1</v>
      </c>
      <c r="T3398" s="68">
        <v>45869.7300231481</v>
      </c>
      <c r="U3398" s="68">
        <v>45883.3333333333</v>
      </c>
      <c r="V3398" s="68">
        <v>0</v>
      </c>
      <c r="W3398" s="0">
        <f>IF(IF(B3398="none",1,IF(B3398="Trialer",1,0))+IF(C3398="Customer",1,IF(C3398="Lost",1,0))=2,1,0)</f>
      </c>
      <c r="X3398" s="0" t="s">
        <v>166</v>
      </c>
      <c r="Y3398" s="0" t="s">
        <v>243</v>
      </c>
      <c r="AV3398" s="68"/>
      <c r="AW3398" s="68"/>
      <c r="AY3398" s="27"/>
      <c r="BD3398" s="68">
        <v>46054.1666666667</v>
      </c>
      <c r="BE3398" s="68">
        <v>46082.1666666667</v>
      </c>
      <c r="BF3398" s="0" t="b">
        <v>0</v>
      </c>
      <c r="BG3398" s="0" t="b">
        <v>0</v>
      </c>
      <c r="BH3398" s="0">
        <v>49</v>
      </c>
      <c r="BI3398" s="0">
        <v>49</v>
      </c>
      <c r="BJ3398" s="0" t="s">
        <v>135</v>
      </c>
    </row>
    <row r="3399">
      <c r="A3399" s="0" t="s">
        <v>3652</v>
      </c>
      <c r="B3399" s="0" t="s">
        <v>134</v>
      </c>
      <c r="C3399" s="0" t="s">
        <v>134</v>
      </c>
      <c r="D3399" s="0" t="s">
        <v>135</v>
      </c>
      <c r="E3399" s="0" t="s">
        <v>3</v>
      </c>
      <c r="F3399" s="0" t="s">
        <v>12</v>
      </c>
      <c r="G3399" s="0" t="s">
        <v>8</v>
      </c>
      <c r="H3399" s="0">
        <v>183</v>
      </c>
      <c r="I3399" s="0">
        <v>129</v>
      </c>
      <c r="J3399" s="0">
        <v>0</v>
      </c>
      <c r="K3399" s="0">
        <v>1</v>
      </c>
      <c r="L3399" s="0">
        <v>3</v>
      </c>
      <c r="M3399" s="0">
        <v>3</v>
      </c>
      <c r="N3399" s="0">
        <v>0</v>
      </c>
      <c r="O3399" s="0">
        <v>0</v>
      </c>
      <c r="P3399" s="0">
        <v>0</v>
      </c>
      <c r="R3399" s="0" t="b">
        <v>0</v>
      </c>
      <c r="S3399" s="0" t="b">
        <v>1</v>
      </c>
      <c r="T3399" s="68">
        <v>45870.0180324074</v>
      </c>
      <c r="U3399" s="68">
        <v>45884.3333333333</v>
      </c>
      <c r="V3399" s="68">
        <v>0</v>
      </c>
      <c r="W3399" s="0">
        <f>IF(IF(B3399="none",1,IF(B3399="Trialer",1,0))+IF(C3399="Customer",1,IF(C3399="Lost",1,0))=2,1,0)</f>
      </c>
      <c r="X3399" s="0" t="s">
        <v>153</v>
      </c>
      <c r="Y3399" s="0" t="s">
        <v>243</v>
      </c>
      <c r="AV3399" s="68"/>
      <c r="AW3399" s="68"/>
      <c r="AY3399" s="27"/>
      <c r="BD3399" s="68">
        <v>46054.1666666667</v>
      </c>
      <c r="BE3399" s="68">
        <v>46082.1666666667</v>
      </c>
      <c r="BF3399" s="0" t="b">
        <v>0</v>
      </c>
      <c r="BG3399" s="0" t="b">
        <v>0</v>
      </c>
      <c r="BH3399" s="0">
        <v>117</v>
      </c>
      <c r="BI3399" s="0">
        <v>117</v>
      </c>
      <c r="BJ3399" s="0" t="s">
        <v>135</v>
      </c>
    </row>
    <row r="3400">
      <c r="A3400" s="0" t="s">
        <v>3653</v>
      </c>
      <c r="B3400" s="0" t="s">
        <v>134</v>
      </c>
      <c r="C3400" s="0" t="s">
        <v>134</v>
      </c>
      <c r="D3400" s="0" t="s">
        <v>230</v>
      </c>
      <c r="E3400" s="0" t="s">
        <v>2</v>
      </c>
      <c r="F3400" s="0" t="s">
        <v>10</v>
      </c>
      <c r="G3400" s="0" t="s">
        <v>8</v>
      </c>
      <c r="H3400" s="0">
        <v>183</v>
      </c>
      <c r="I3400" s="0">
        <v>25</v>
      </c>
      <c r="J3400" s="0">
        <v>0</v>
      </c>
      <c r="K3400" s="0">
        <v>1</v>
      </c>
      <c r="L3400" s="0">
        <v>1</v>
      </c>
      <c r="M3400" s="0">
        <v>1</v>
      </c>
      <c r="N3400" s="0">
        <v>0</v>
      </c>
      <c r="O3400" s="0">
        <v>0</v>
      </c>
      <c r="P3400" s="0">
        <v>-25</v>
      </c>
      <c r="Q3400" s="0" t="s">
        <v>3258</v>
      </c>
      <c r="R3400" s="0" t="b">
        <v>0</v>
      </c>
      <c r="S3400" s="0" t="b">
        <v>1</v>
      </c>
      <c r="T3400" s="68">
        <v>45870.3888888889</v>
      </c>
      <c r="U3400" s="68">
        <v>45884.3333333333</v>
      </c>
      <c r="V3400" s="68">
        <v>0</v>
      </c>
      <c r="W3400" s="0">
        <f>IF(IF(B3400="none",1,IF(B3400="Trialer",1,0))+IF(C3400="Customer",1,IF(C3400="Lost",1,0))=2,1,0)</f>
      </c>
      <c r="X3400" s="0" t="s">
        <v>136</v>
      </c>
      <c r="Y3400" s="0" t="s">
        <v>499</v>
      </c>
      <c r="AV3400" s="68"/>
      <c r="AW3400" s="68"/>
      <c r="AY3400" s="27"/>
      <c r="BD3400" s="68">
        <v>46054.1666666667</v>
      </c>
      <c r="BE3400" s="68">
        <v>46082.1666666667</v>
      </c>
      <c r="BF3400" s="0" t="b">
        <v>0</v>
      </c>
      <c r="BG3400" s="0" t="b">
        <v>0</v>
      </c>
      <c r="BH3400" s="0">
        <v>28</v>
      </c>
      <c r="BI3400" s="0">
        <v>28</v>
      </c>
      <c r="BJ3400" s="0" t="s">
        <v>230</v>
      </c>
    </row>
    <row r="3401">
      <c r="A3401" s="0" t="s">
        <v>3654</v>
      </c>
      <c r="B3401" s="0" t="s">
        <v>134</v>
      </c>
      <c r="C3401" s="0" t="s">
        <v>134</v>
      </c>
      <c r="D3401" s="0" t="s">
        <v>230</v>
      </c>
      <c r="E3401" s="0" t="s">
        <v>3</v>
      </c>
      <c r="F3401" s="0" t="s">
        <v>12</v>
      </c>
      <c r="G3401" s="0" t="s">
        <v>8</v>
      </c>
      <c r="H3401" s="0">
        <v>183</v>
      </c>
      <c r="I3401" s="0">
        <v>91.5</v>
      </c>
      <c r="J3401" s="0">
        <v>0</v>
      </c>
      <c r="K3401" s="0">
        <v>1</v>
      </c>
      <c r="L3401" s="0">
        <v>4</v>
      </c>
      <c r="M3401" s="0">
        <v>2</v>
      </c>
      <c r="N3401" s="0">
        <v>0</v>
      </c>
      <c r="O3401" s="0">
        <v>0</v>
      </c>
      <c r="P3401" s="0">
        <v>-91.5</v>
      </c>
      <c r="R3401" s="0" t="b">
        <v>0</v>
      </c>
      <c r="S3401" s="0" t="b">
        <v>1</v>
      </c>
      <c r="T3401" s="68">
        <v>45870.6043518518</v>
      </c>
      <c r="U3401" s="68">
        <v>45888.3333333333</v>
      </c>
      <c r="V3401" s="68">
        <v>0</v>
      </c>
      <c r="W3401" s="0">
        <f>IF(IF(B3401="none",1,IF(B3401="Trialer",1,0))+IF(C3401="Customer",1,IF(C3401="Lost",1,0))=2,1,0)</f>
      </c>
      <c r="X3401" s="0" t="s">
        <v>166</v>
      </c>
      <c r="Y3401" s="0" t="s">
        <v>243</v>
      </c>
      <c r="AV3401" s="68"/>
      <c r="AW3401" s="68"/>
      <c r="AY3401" s="27"/>
      <c r="BD3401" s="68">
        <v>46054.1666666667</v>
      </c>
      <c r="BE3401" s="68">
        <v>46082.1666666667</v>
      </c>
      <c r="BF3401" s="0" t="b">
        <v>0</v>
      </c>
      <c r="BG3401" s="0" t="b">
        <v>0</v>
      </c>
      <c r="BH3401" s="0">
        <v>122</v>
      </c>
      <c r="BI3401" s="0">
        <v>122</v>
      </c>
      <c r="BJ3401" s="0" t="s">
        <v>230</v>
      </c>
    </row>
    <row r="3402">
      <c r="A3402" s="0" t="s">
        <v>3655</v>
      </c>
      <c r="B3402" s="0" t="s">
        <v>134</v>
      </c>
      <c r="C3402" s="0" t="s">
        <v>134</v>
      </c>
      <c r="D3402" s="0" t="s">
        <v>230</v>
      </c>
      <c r="E3402" s="0" t="s">
        <v>2</v>
      </c>
      <c r="F3402" s="0" t="s">
        <v>12</v>
      </c>
      <c r="G3402" s="0" t="s">
        <v>8</v>
      </c>
      <c r="H3402" s="0">
        <v>182</v>
      </c>
      <c r="I3402" s="0">
        <v>319</v>
      </c>
      <c r="J3402" s="0">
        <v>0</v>
      </c>
      <c r="K3402" s="0">
        <v>1</v>
      </c>
      <c r="L3402" s="0">
        <v>5</v>
      </c>
      <c r="M3402" s="0">
        <v>7</v>
      </c>
      <c r="N3402" s="0">
        <v>0</v>
      </c>
      <c r="O3402" s="0">
        <v>0</v>
      </c>
      <c r="P3402" s="0">
        <v>-319</v>
      </c>
      <c r="R3402" s="0" t="b">
        <v>0</v>
      </c>
      <c r="S3402" s="0" t="b">
        <v>1</v>
      </c>
      <c r="T3402" s="68">
        <v>45871.3840046296</v>
      </c>
      <c r="U3402" s="68">
        <v>45887.3333333333</v>
      </c>
      <c r="V3402" s="68">
        <v>0</v>
      </c>
      <c r="W3402" s="0">
        <f>IF(IF(B3402="none",1,IF(B3402="Trialer",1,0))+IF(C3402="Customer",1,IF(C3402="Lost",1,0))=2,1,0)</f>
      </c>
      <c r="X3402" s="0" t="s">
        <v>136</v>
      </c>
      <c r="Y3402" s="0" t="s">
        <v>499</v>
      </c>
      <c r="AV3402" s="68"/>
      <c r="AW3402" s="68"/>
      <c r="AY3402" s="27"/>
      <c r="BD3402" s="68">
        <v>46054.1666666667</v>
      </c>
      <c r="BE3402" s="68">
        <v>46082.1666666667</v>
      </c>
      <c r="BF3402" s="0" t="b">
        <v>0</v>
      </c>
      <c r="BG3402" s="0" t="b">
        <v>0</v>
      </c>
      <c r="BH3402" s="0">
        <v>1253</v>
      </c>
      <c r="BI3402" s="0">
        <v>1253</v>
      </c>
      <c r="BJ3402" s="0" t="s">
        <v>230</v>
      </c>
    </row>
    <row r="3403">
      <c r="A3403" s="0" t="s">
        <v>3656</v>
      </c>
      <c r="B3403" s="0" t="s">
        <v>134</v>
      </c>
      <c r="C3403" s="0" t="s">
        <v>134</v>
      </c>
      <c r="D3403" s="0" t="s">
        <v>135</v>
      </c>
      <c r="E3403" s="0" t="s">
        <v>3</v>
      </c>
      <c r="F3403" s="0" t="s">
        <v>12</v>
      </c>
      <c r="G3403" s="0" t="s">
        <v>8</v>
      </c>
      <c r="H3403" s="0">
        <v>180</v>
      </c>
      <c r="I3403" s="0">
        <v>73</v>
      </c>
      <c r="J3403" s="0">
        <v>0</v>
      </c>
      <c r="K3403" s="0">
        <v>1</v>
      </c>
      <c r="L3403" s="0">
        <v>5</v>
      </c>
      <c r="M3403" s="0">
        <v>1</v>
      </c>
      <c r="N3403" s="0">
        <v>0</v>
      </c>
      <c r="O3403" s="0">
        <v>0</v>
      </c>
      <c r="P3403" s="0">
        <v>0</v>
      </c>
      <c r="R3403" s="0" t="b">
        <v>0</v>
      </c>
      <c r="S3403" s="0" t="b">
        <v>1</v>
      </c>
      <c r="T3403" s="68">
        <v>45873.4440162037</v>
      </c>
      <c r="U3403" s="68">
        <v>45894.3333333333</v>
      </c>
      <c r="V3403" s="68">
        <v>0</v>
      </c>
      <c r="W3403" s="0">
        <f>IF(IF(B3403="none",1,IF(B3403="Trialer",1,0))+IF(C3403="Customer",1,IF(C3403="Lost",1,0))=2,1,0)</f>
      </c>
      <c r="X3403" s="0" t="s">
        <v>166</v>
      </c>
      <c r="Y3403" s="0" t="s">
        <v>243</v>
      </c>
      <c r="AV3403" s="68"/>
      <c r="AW3403" s="68"/>
      <c r="AY3403" s="27"/>
      <c r="BD3403" s="68">
        <v>46054.1666666667</v>
      </c>
      <c r="BE3403" s="68">
        <v>46082.1666666667</v>
      </c>
      <c r="BF3403" s="0" t="b">
        <v>0</v>
      </c>
      <c r="BG3403" s="0" t="b">
        <v>0</v>
      </c>
      <c r="BH3403" s="0">
        <v>73</v>
      </c>
      <c r="BI3403" s="0">
        <v>73</v>
      </c>
      <c r="BJ3403" s="0" t="s">
        <v>135</v>
      </c>
    </row>
    <row r="3404">
      <c r="A3404" s="0" t="s">
        <v>3657</v>
      </c>
      <c r="B3404" s="0" t="s">
        <v>134</v>
      </c>
      <c r="C3404" s="0" t="s">
        <v>134</v>
      </c>
      <c r="D3404" s="0" t="s">
        <v>230</v>
      </c>
      <c r="E3404" s="0" t="s">
        <v>3</v>
      </c>
      <c r="F3404" s="0" t="s">
        <v>12</v>
      </c>
      <c r="G3404" s="0" t="s">
        <v>8</v>
      </c>
      <c r="H3404" s="0">
        <v>179</v>
      </c>
      <c r="I3404" s="0">
        <v>474.25</v>
      </c>
      <c r="J3404" s="0">
        <v>0</v>
      </c>
      <c r="K3404" s="0">
        <v>1</v>
      </c>
      <c r="L3404" s="0">
        <v>4</v>
      </c>
      <c r="M3404" s="0">
        <v>4</v>
      </c>
      <c r="N3404" s="0">
        <v>1953</v>
      </c>
      <c r="O3404" s="0">
        <v>0</v>
      </c>
      <c r="P3404" s="0">
        <v>-149.25</v>
      </c>
      <c r="R3404" s="0" t="b">
        <v>0</v>
      </c>
      <c r="S3404" s="0" t="b">
        <v>1</v>
      </c>
      <c r="T3404" s="68">
        <v>45874.3645833333</v>
      </c>
      <c r="U3404" s="68">
        <v>45888.3333333333</v>
      </c>
      <c r="V3404" s="68">
        <v>0</v>
      </c>
      <c r="W3404" s="0">
        <f>IF(IF(B3404="none",1,IF(B3404="Trialer",1,0))+IF(C3404="Customer",1,IF(C3404="Lost",1,0))=2,1,0)</f>
      </c>
      <c r="X3404" s="0" t="s">
        <v>148</v>
      </c>
      <c r="Y3404" s="0" t="s">
        <v>243</v>
      </c>
      <c r="AV3404" s="68"/>
      <c r="AW3404" s="68"/>
      <c r="AY3404" s="27"/>
      <c r="BD3404" s="68">
        <v>46054.1666666667</v>
      </c>
      <c r="BE3404" s="68">
        <v>46082.1666666667</v>
      </c>
      <c r="BF3404" s="0" t="b">
        <v>0</v>
      </c>
      <c r="BG3404" s="0" t="b">
        <v>0</v>
      </c>
      <c r="BH3404" s="0">
        <v>199</v>
      </c>
      <c r="BI3404" s="0">
        <v>199</v>
      </c>
      <c r="BJ3404" s="0" t="s">
        <v>230</v>
      </c>
    </row>
    <row r="3405">
      <c r="A3405" s="0" t="s">
        <v>3658</v>
      </c>
      <c r="B3405" s="0" t="s">
        <v>134</v>
      </c>
      <c r="C3405" s="0" t="s">
        <v>134</v>
      </c>
      <c r="D3405" s="0" t="s">
        <v>135</v>
      </c>
      <c r="E3405" s="0" t="s">
        <v>3</v>
      </c>
      <c r="F3405" s="0" t="s">
        <v>12</v>
      </c>
      <c r="G3405" s="0" t="s">
        <v>8</v>
      </c>
      <c r="H3405" s="0">
        <v>179</v>
      </c>
      <c r="I3405" s="0">
        <v>584</v>
      </c>
      <c r="J3405" s="0">
        <v>0</v>
      </c>
      <c r="K3405" s="0">
        <v>1</v>
      </c>
      <c r="L3405" s="0">
        <v>3</v>
      </c>
      <c r="M3405" s="0">
        <v>7</v>
      </c>
      <c r="N3405" s="0">
        <v>0</v>
      </c>
      <c r="O3405" s="0">
        <v>0</v>
      </c>
      <c r="P3405" s="0">
        <v>0</v>
      </c>
      <c r="R3405" s="0" t="b">
        <v>0</v>
      </c>
      <c r="S3405" s="0" t="b">
        <v>1</v>
      </c>
      <c r="T3405" s="68">
        <v>45874.5256944444</v>
      </c>
      <c r="U3405" s="68">
        <v>45903.3333333333</v>
      </c>
      <c r="V3405" s="68">
        <v>0</v>
      </c>
      <c r="W3405" s="0">
        <f>IF(IF(B3405="none",1,IF(B3405="Trialer",1,0))+IF(C3405="Customer",1,IF(C3405="Lost",1,0))=2,1,0)</f>
      </c>
      <c r="X3405" s="0" t="s">
        <v>148</v>
      </c>
      <c r="Y3405" s="0" t="s">
        <v>243</v>
      </c>
      <c r="AV3405" s="68"/>
      <c r="AW3405" s="68"/>
      <c r="AY3405" s="27"/>
      <c r="BD3405" s="68">
        <v>46054.1666666667</v>
      </c>
      <c r="BE3405" s="68">
        <v>46082.1666666667</v>
      </c>
      <c r="BF3405" s="0" t="b">
        <v>0</v>
      </c>
      <c r="BG3405" s="0" t="b">
        <v>0</v>
      </c>
      <c r="BH3405" s="0">
        <v>273</v>
      </c>
      <c r="BI3405" s="0">
        <v>273</v>
      </c>
      <c r="BJ3405" s="0" t="s">
        <v>135</v>
      </c>
    </row>
    <row r="3406">
      <c r="A3406" s="0" t="s">
        <v>3659</v>
      </c>
      <c r="B3406" s="0" t="s">
        <v>134</v>
      </c>
      <c r="C3406" s="0" t="s">
        <v>134</v>
      </c>
      <c r="D3406" s="0" t="s">
        <v>230</v>
      </c>
      <c r="E3406" s="0" t="s">
        <v>3</v>
      </c>
      <c r="F3406" s="0" t="s">
        <v>12</v>
      </c>
      <c r="G3406" s="0" t="s">
        <v>8</v>
      </c>
      <c r="H3406" s="0">
        <v>178</v>
      </c>
      <c r="I3406" s="0">
        <v>108</v>
      </c>
      <c r="J3406" s="0">
        <v>0</v>
      </c>
      <c r="K3406" s="0">
        <v>1</v>
      </c>
      <c r="L3406" s="0">
        <v>4</v>
      </c>
      <c r="M3406" s="0">
        <v>2</v>
      </c>
      <c r="N3406" s="0">
        <v>0</v>
      </c>
      <c r="O3406" s="0">
        <v>0</v>
      </c>
      <c r="P3406" s="0">
        <v>-108</v>
      </c>
      <c r="R3406" s="0" t="b">
        <v>0</v>
      </c>
      <c r="S3406" s="0" t="b">
        <v>1</v>
      </c>
      <c r="T3406" s="68">
        <v>45875.402337963</v>
      </c>
      <c r="U3406" s="68">
        <v>45889.3333333333</v>
      </c>
      <c r="V3406" s="68">
        <v>0</v>
      </c>
      <c r="W3406" s="0">
        <f>IF(IF(B3406="none",1,IF(B3406="Trialer",1,0))+IF(C3406="Customer",1,IF(C3406="Lost",1,0))=2,1,0)</f>
      </c>
      <c r="X3406" s="0" t="s">
        <v>153</v>
      </c>
      <c r="Y3406" s="0" t="s">
        <v>243</v>
      </c>
      <c r="AV3406" s="68"/>
      <c r="AW3406" s="68"/>
      <c r="AY3406" s="27"/>
      <c r="BD3406" s="68">
        <v>46054.1666666667</v>
      </c>
      <c r="BE3406" s="68">
        <v>46082.1666666667</v>
      </c>
      <c r="BF3406" s="0" t="b">
        <v>0</v>
      </c>
      <c r="BG3406" s="0" t="b">
        <v>0</v>
      </c>
      <c r="BH3406" s="0">
        <v>122</v>
      </c>
      <c r="BI3406" s="0">
        <v>122</v>
      </c>
      <c r="BJ3406" s="0" t="s">
        <v>230</v>
      </c>
    </row>
    <row r="3407">
      <c r="A3407" s="0" t="s">
        <v>3660</v>
      </c>
      <c r="B3407" s="0" t="s">
        <v>134</v>
      </c>
      <c r="C3407" s="0" t="s">
        <v>134</v>
      </c>
      <c r="D3407" s="0" t="s">
        <v>230</v>
      </c>
      <c r="E3407" s="0" t="s">
        <v>3</v>
      </c>
      <c r="F3407" s="0" t="s">
        <v>10</v>
      </c>
      <c r="G3407" s="0" t="s">
        <v>8</v>
      </c>
      <c r="H3407" s="0">
        <v>178</v>
      </c>
      <c r="I3407" s="0">
        <v>140.25</v>
      </c>
      <c r="J3407" s="0">
        <v>0</v>
      </c>
      <c r="K3407" s="0">
        <v>1</v>
      </c>
      <c r="L3407" s="0">
        <v>3</v>
      </c>
      <c r="M3407" s="0">
        <v>4</v>
      </c>
      <c r="N3407" s="0">
        <v>0</v>
      </c>
      <c r="O3407" s="0">
        <v>0</v>
      </c>
      <c r="P3407" s="0">
        <v>-140.25</v>
      </c>
      <c r="Q3407" s="0" t="s">
        <v>357</v>
      </c>
      <c r="R3407" s="0" t="b">
        <v>0</v>
      </c>
      <c r="S3407" s="0" t="b">
        <v>1</v>
      </c>
      <c r="T3407" s="68">
        <v>45875.45</v>
      </c>
      <c r="U3407" s="68">
        <v>45889.3333333333</v>
      </c>
      <c r="V3407" s="68">
        <v>0</v>
      </c>
      <c r="W3407" s="0">
        <f>IF(IF(B3407="none",1,IF(B3407="Trialer",1,0))+IF(C3407="Customer",1,IF(C3407="Lost",1,0))=2,1,0)</f>
      </c>
      <c r="X3407" s="0" t="s">
        <v>148</v>
      </c>
      <c r="Y3407" s="0" t="s">
        <v>243</v>
      </c>
      <c r="AV3407" s="68"/>
      <c r="AW3407" s="68"/>
      <c r="AY3407" s="27"/>
      <c r="BD3407" s="68">
        <v>46054.1666666667</v>
      </c>
      <c r="BE3407" s="68">
        <v>46082.1666666667</v>
      </c>
      <c r="BF3407" s="0" t="b">
        <v>0</v>
      </c>
      <c r="BG3407" s="0" t="b">
        <v>0</v>
      </c>
      <c r="BH3407" s="0">
        <v>187</v>
      </c>
      <c r="BI3407" s="0">
        <v>187</v>
      </c>
      <c r="BJ3407" s="0" t="s">
        <v>230</v>
      </c>
    </row>
    <row r="3408">
      <c r="A3408" s="0" t="s">
        <v>3661</v>
      </c>
      <c r="B3408" s="0" t="s">
        <v>134</v>
      </c>
      <c r="C3408" s="0" t="s">
        <v>134</v>
      </c>
      <c r="D3408" s="0" t="s">
        <v>230</v>
      </c>
      <c r="E3408" s="0" t="s">
        <v>3</v>
      </c>
      <c r="F3408" s="0" t="s">
        <v>12</v>
      </c>
      <c r="G3408" s="0" t="s">
        <v>8</v>
      </c>
      <c r="H3408" s="0">
        <v>178</v>
      </c>
      <c r="I3408" s="0">
        <v>156</v>
      </c>
      <c r="J3408" s="0">
        <v>0</v>
      </c>
      <c r="K3408" s="0">
        <v>1</v>
      </c>
      <c r="L3408" s="0">
        <v>4</v>
      </c>
      <c r="M3408" s="0">
        <v>4</v>
      </c>
      <c r="N3408" s="0">
        <v>0</v>
      </c>
      <c r="O3408" s="0">
        <v>0</v>
      </c>
      <c r="P3408" s="0">
        <v>-156</v>
      </c>
      <c r="R3408" s="0" t="b">
        <v>0</v>
      </c>
      <c r="S3408" s="0" t="b">
        <v>1</v>
      </c>
      <c r="T3408" s="68">
        <v>45875.5845717593</v>
      </c>
      <c r="U3408" s="68">
        <v>45889.3333333333</v>
      </c>
      <c r="V3408" s="68">
        <v>0</v>
      </c>
      <c r="W3408" s="0">
        <f>IF(IF(B3408="none",1,IF(B3408="Trialer",1,0))+IF(C3408="Customer",1,IF(C3408="Lost",1,0))=2,1,0)</f>
      </c>
      <c r="X3408" s="0" t="s">
        <v>148</v>
      </c>
      <c r="Y3408" s="0" t="s">
        <v>243</v>
      </c>
      <c r="AV3408" s="68"/>
      <c r="AW3408" s="68"/>
      <c r="AY3408" s="27"/>
      <c r="BD3408" s="68">
        <v>46054.1666666667</v>
      </c>
      <c r="BE3408" s="68">
        <v>46082.1666666667</v>
      </c>
      <c r="BF3408" s="0" t="b">
        <v>0</v>
      </c>
      <c r="BG3408" s="0" t="b">
        <v>0</v>
      </c>
      <c r="BH3408" s="0">
        <v>208</v>
      </c>
      <c r="BI3408" s="0">
        <v>208</v>
      </c>
      <c r="BJ3408" s="0" t="s">
        <v>230</v>
      </c>
    </row>
    <row r="3409">
      <c r="A3409" s="0" t="s">
        <v>3662</v>
      </c>
      <c r="B3409" s="0" t="s">
        <v>134</v>
      </c>
      <c r="C3409" s="0" t="s">
        <v>134</v>
      </c>
      <c r="D3409" s="0" t="s">
        <v>230</v>
      </c>
      <c r="E3409" s="0" t="s">
        <v>2</v>
      </c>
      <c r="F3409" s="0" t="s">
        <v>12</v>
      </c>
      <c r="G3409" s="0" t="s">
        <v>8</v>
      </c>
      <c r="H3409" s="0">
        <v>178</v>
      </c>
      <c r="I3409" s="0">
        <v>44</v>
      </c>
      <c r="J3409" s="0">
        <v>0</v>
      </c>
      <c r="K3409" s="0">
        <v>1</v>
      </c>
      <c r="L3409" s="0">
        <v>3</v>
      </c>
      <c r="M3409" s="0">
        <v>1</v>
      </c>
      <c r="N3409" s="0">
        <v>0</v>
      </c>
      <c r="O3409" s="0">
        <v>0</v>
      </c>
      <c r="P3409" s="0">
        <v>-44</v>
      </c>
      <c r="R3409" s="0" t="b">
        <v>0</v>
      </c>
      <c r="S3409" s="0" t="b">
        <v>1</v>
      </c>
      <c r="T3409" s="68">
        <v>45875.5857060185</v>
      </c>
      <c r="U3409" s="68">
        <v>45889.3333333333</v>
      </c>
      <c r="V3409" s="68">
        <v>0</v>
      </c>
      <c r="W3409" s="0">
        <f>IF(IF(B3409="none",1,IF(B3409="Trialer",1,0))+IF(C3409="Customer",1,IF(C3409="Lost",1,0))=2,1,0)</f>
      </c>
      <c r="X3409" s="0" t="s">
        <v>166</v>
      </c>
      <c r="Y3409" s="0" t="s">
        <v>499</v>
      </c>
      <c r="AV3409" s="68"/>
      <c r="AW3409" s="68"/>
      <c r="AY3409" s="27"/>
      <c r="BD3409" s="68">
        <v>46054.1666666667</v>
      </c>
      <c r="BE3409" s="68">
        <v>46082.1666666667</v>
      </c>
      <c r="BF3409" s="0" t="b">
        <v>0</v>
      </c>
      <c r="BG3409" s="0" t="b">
        <v>0</v>
      </c>
      <c r="BH3409" s="0">
        <v>49</v>
      </c>
      <c r="BI3409" s="0">
        <v>49</v>
      </c>
      <c r="BJ3409" s="0" t="s">
        <v>230</v>
      </c>
    </row>
    <row r="3410">
      <c r="A3410" s="0" t="s">
        <v>3663</v>
      </c>
      <c r="B3410" s="0" t="s">
        <v>134</v>
      </c>
      <c r="C3410" s="0" t="s">
        <v>134</v>
      </c>
      <c r="D3410" s="0" t="s">
        <v>230</v>
      </c>
      <c r="E3410" s="0" t="s">
        <v>3</v>
      </c>
      <c r="F3410" s="0" t="s">
        <v>12</v>
      </c>
      <c r="G3410" s="0" t="s">
        <v>8</v>
      </c>
      <c r="H3410" s="0">
        <v>178</v>
      </c>
      <c r="I3410" s="0">
        <v>25</v>
      </c>
      <c r="J3410" s="0">
        <v>0</v>
      </c>
      <c r="K3410" s="0">
        <v>1</v>
      </c>
      <c r="L3410" s="0">
        <v>1</v>
      </c>
      <c r="M3410" s="0">
        <v>1</v>
      </c>
      <c r="N3410" s="0">
        <v>0</v>
      </c>
      <c r="O3410" s="0">
        <v>0</v>
      </c>
      <c r="P3410" s="0">
        <v>-25</v>
      </c>
      <c r="R3410" s="0" t="b">
        <v>0</v>
      </c>
      <c r="S3410" s="0" t="b">
        <v>1</v>
      </c>
      <c r="T3410" s="68">
        <v>45875.585775463</v>
      </c>
      <c r="U3410" s="68">
        <v>45889.3333333333</v>
      </c>
      <c r="V3410" s="68">
        <v>0</v>
      </c>
      <c r="W3410" s="0">
        <f>IF(IF(B3410="none",1,IF(B3410="Trialer",1,0))+IF(C3410="Customer",1,IF(C3410="Lost",1,0))=2,1,0)</f>
      </c>
      <c r="X3410" s="0" t="s">
        <v>142</v>
      </c>
      <c r="Y3410" s="0" t="s">
        <v>487</v>
      </c>
      <c r="AV3410" s="68"/>
      <c r="AW3410" s="68"/>
      <c r="AY3410" s="27"/>
      <c r="BD3410" s="68">
        <v>46054.1666666667</v>
      </c>
      <c r="BE3410" s="68">
        <v>46082.1666666667</v>
      </c>
      <c r="BF3410" s="0" t="b">
        <v>0</v>
      </c>
      <c r="BG3410" s="0" t="b">
        <v>0</v>
      </c>
      <c r="BH3410" s="0">
        <v>28</v>
      </c>
      <c r="BI3410" s="0">
        <v>28</v>
      </c>
      <c r="BJ3410" s="0" t="s">
        <v>230</v>
      </c>
    </row>
    <row r="3411">
      <c r="A3411" s="0" t="s">
        <v>3664</v>
      </c>
      <c r="B3411" s="0" t="s">
        <v>134</v>
      </c>
      <c r="C3411" s="0" t="s">
        <v>134</v>
      </c>
      <c r="D3411" s="0" t="s">
        <v>230</v>
      </c>
      <c r="E3411" s="0" t="s">
        <v>2</v>
      </c>
      <c r="F3411" s="0" t="s">
        <v>12</v>
      </c>
      <c r="G3411" s="0" t="s">
        <v>8</v>
      </c>
      <c r="H3411" s="0">
        <v>178</v>
      </c>
      <c r="I3411" s="0">
        <v>477.75</v>
      </c>
      <c r="J3411" s="0">
        <v>0</v>
      </c>
      <c r="K3411" s="0">
        <v>1</v>
      </c>
      <c r="L3411" s="0">
        <v>3</v>
      </c>
      <c r="M3411" s="0">
        <v>13</v>
      </c>
      <c r="N3411" s="0">
        <v>0</v>
      </c>
      <c r="O3411" s="0">
        <v>0</v>
      </c>
      <c r="P3411" s="0">
        <v>-477.75</v>
      </c>
      <c r="R3411" s="0" t="b">
        <v>0</v>
      </c>
      <c r="S3411" s="0" t="b">
        <v>1</v>
      </c>
      <c r="T3411" s="68">
        <v>45875.6914583333</v>
      </c>
      <c r="U3411" s="68">
        <v>45888.3333333333</v>
      </c>
      <c r="V3411" s="68">
        <v>0</v>
      </c>
      <c r="W3411" s="0">
        <f>IF(IF(B3411="none",1,IF(B3411="Trialer",1,0))+IF(C3411="Customer",1,IF(C3411="Lost",1,0))=2,1,0)</f>
      </c>
      <c r="X3411" s="0" t="s">
        <v>148</v>
      </c>
      <c r="Y3411" s="0" t="s">
        <v>499</v>
      </c>
      <c r="AV3411" s="68"/>
      <c r="AW3411" s="68"/>
      <c r="AY3411" s="27"/>
      <c r="BD3411" s="68">
        <v>46054.1666666667</v>
      </c>
      <c r="BE3411" s="68">
        <v>46082.1666666667</v>
      </c>
      <c r="BF3411" s="0" t="b">
        <v>0</v>
      </c>
      <c r="BG3411" s="0" t="b">
        <v>0</v>
      </c>
      <c r="BH3411" s="0">
        <v>637</v>
      </c>
      <c r="BI3411" s="0">
        <v>637</v>
      </c>
      <c r="BJ3411" s="0" t="s">
        <v>230</v>
      </c>
    </row>
    <row r="3412">
      <c r="A3412" s="0" t="s">
        <v>3665</v>
      </c>
      <c r="B3412" s="0" t="s">
        <v>134</v>
      </c>
      <c r="C3412" s="0" t="s">
        <v>134</v>
      </c>
      <c r="D3412" s="0" t="s">
        <v>135</v>
      </c>
      <c r="E3412" s="0" t="s">
        <v>3</v>
      </c>
      <c r="F3412" s="0" t="s">
        <v>12</v>
      </c>
      <c r="G3412" s="0" t="s">
        <v>8</v>
      </c>
      <c r="H3412" s="0">
        <v>177</v>
      </c>
      <c r="I3412" s="0">
        <v>336</v>
      </c>
      <c r="J3412" s="0">
        <v>0</v>
      </c>
      <c r="K3412" s="0">
        <v>1</v>
      </c>
      <c r="L3412" s="0">
        <v>4</v>
      </c>
      <c r="M3412" s="0">
        <v>6</v>
      </c>
      <c r="N3412" s="0">
        <v>0</v>
      </c>
      <c r="O3412" s="0">
        <v>0</v>
      </c>
      <c r="P3412" s="0">
        <v>0</v>
      </c>
      <c r="R3412" s="0" t="b">
        <v>0</v>
      </c>
      <c r="S3412" s="0" t="b">
        <v>1</v>
      </c>
      <c r="T3412" s="68">
        <v>45876.5662615741</v>
      </c>
      <c r="U3412" s="68">
        <v>45916.3333333333</v>
      </c>
      <c r="V3412" s="68">
        <v>0</v>
      </c>
      <c r="W3412" s="0">
        <f>IF(IF(B3412="none",1,IF(B3412="Trialer",1,0))+IF(C3412="Customer",1,IF(C3412="Lost",1,0))=2,1,0)</f>
      </c>
      <c r="X3412" s="0" t="s">
        <v>882</v>
      </c>
      <c r="Y3412" s="0" t="s">
        <v>243</v>
      </c>
      <c r="AV3412" s="68"/>
      <c r="AW3412" s="68"/>
      <c r="AY3412" s="27"/>
      <c r="BD3412" s="68">
        <v>46054.1666666667</v>
      </c>
      <c r="BE3412" s="68">
        <v>46082.1666666667</v>
      </c>
      <c r="BF3412" s="0" t="b">
        <v>0</v>
      </c>
      <c r="BG3412" s="0" t="b">
        <v>0</v>
      </c>
      <c r="BH3412" s="0">
        <v>336</v>
      </c>
      <c r="BI3412" s="0">
        <v>336</v>
      </c>
      <c r="BJ3412" s="0" t="s">
        <v>135</v>
      </c>
    </row>
    <row r="3413">
      <c r="A3413" s="0" t="s">
        <v>3666</v>
      </c>
      <c r="B3413" s="0" t="s">
        <v>134</v>
      </c>
      <c r="C3413" s="0" t="s">
        <v>134</v>
      </c>
      <c r="D3413" s="0" t="s">
        <v>230</v>
      </c>
      <c r="E3413" s="0" t="s">
        <v>3</v>
      </c>
      <c r="F3413" s="0" t="s">
        <v>12</v>
      </c>
      <c r="G3413" s="0" t="s">
        <v>8</v>
      </c>
      <c r="H3413" s="0">
        <v>176</v>
      </c>
      <c r="I3413" s="0">
        <v>400.75</v>
      </c>
      <c r="J3413" s="0">
        <v>0</v>
      </c>
      <c r="K3413" s="0">
        <v>1</v>
      </c>
      <c r="L3413" s="0">
        <v>4</v>
      </c>
      <c r="M3413" s="0">
        <v>2</v>
      </c>
      <c r="N3413" s="0">
        <v>0</v>
      </c>
      <c r="O3413" s="0">
        <v>0</v>
      </c>
      <c r="P3413" s="0">
        <v>-75.75</v>
      </c>
      <c r="R3413" s="0" t="b">
        <v>0</v>
      </c>
      <c r="S3413" s="0" t="b">
        <v>1</v>
      </c>
      <c r="T3413" s="68">
        <v>45877.6555555556</v>
      </c>
      <c r="U3413" s="68">
        <v>45891.3333333333</v>
      </c>
      <c r="V3413" s="68">
        <v>0</v>
      </c>
      <c r="W3413" s="0">
        <f>IF(IF(B3413="none",1,IF(B3413="Trialer",1,0))+IF(C3413="Customer",1,IF(C3413="Lost",1,0))=2,1,0)</f>
      </c>
      <c r="X3413" s="0" t="s">
        <v>145</v>
      </c>
      <c r="Y3413" s="0" t="s">
        <v>243</v>
      </c>
      <c r="AV3413" s="68"/>
      <c r="AW3413" s="68"/>
      <c r="AY3413" s="27"/>
      <c r="BD3413" s="68">
        <v>46054.1666666667</v>
      </c>
      <c r="BE3413" s="68">
        <v>46082.1666666667</v>
      </c>
      <c r="BF3413" s="0" t="b">
        <v>0</v>
      </c>
      <c r="BG3413" s="0" t="b">
        <v>0</v>
      </c>
      <c r="BH3413" s="0">
        <v>113</v>
      </c>
      <c r="BI3413" s="0">
        <v>113</v>
      </c>
      <c r="BJ3413" s="0" t="s">
        <v>230</v>
      </c>
    </row>
    <row r="3414">
      <c r="A3414" s="0" t="s">
        <v>3667</v>
      </c>
      <c r="B3414" s="0" t="s">
        <v>134</v>
      </c>
      <c r="C3414" s="0" t="s">
        <v>134</v>
      </c>
      <c r="D3414" s="0" t="s">
        <v>135</v>
      </c>
      <c r="E3414" s="0" t="s">
        <v>2</v>
      </c>
      <c r="F3414" s="0" t="s">
        <v>12</v>
      </c>
      <c r="G3414" s="0" t="s">
        <v>8</v>
      </c>
      <c r="H3414" s="0">
        <v>175</v>
      </c>
      <c r="I3414" s="0">
        <v>61</v>
      </c>
      <c r="J3414" s="0">
        <v>0</v>
      </c>
      <c r="K3414" s="0">
        <v>1</v>
      </c>
      <c r="L3414" s="0">
        <v>4</v>
      </c>
      <c r="M3414" s="0">
        <v>1</v>
      </c>
      <c r="N3414" s="0">
        <v>0</v>
      </c>
      <c r="O3414" s="0">
        <v>0</v>
      </c>
      <c r="P3414" s="0">
        <v>0</v>
      </c>
      <c r="R3414" s="0" t="b">
        <v>0</v>
      </c>
      <c r="S3414" s="0" t="b">
        <v>1</v>
      </c>
      <c r="T3414" s="68">
        <v>45878.5877546296</v>
      </c>
      <c r="U3414" s="68">
        <v>45908.3333333333</v>
      </c>
      <c r="V3414" s="68">
        <v>0</v>
      </c>
      <c r="W3414" s="0">
        <f>IF(IF(B3414="none",1,IF(B3414="Trialer",1,0))+IF(C3414="Customer",1,IF(C3414="Lost",1,0))=2,1,0)</f>
      </c>
      <c r="X3414" s="0" t="s">
        <v>142</v>
      </c>
      <c r="Y3414" s="0" t="s">
        <v>499</v>
      </c>
      <c r="AV3414" s="68"/>
      <c r="AW3414" s="68"/>
      <c r="AY3414" s="27"/>
      <c r="BD3414" s="68">
        <v>46054.1666666667</v>
      </c>
      <c r="BE3414" s="68">
        <v>46082.1666666667</v>
      </c>
      <c r="BF3414" s="0" t="b">
        <v>0</v>
      </c>
      <c r="BG3414" s="0" t="b">
        <v>0</v>
      </c>
      <c r="BH3414" s="0">
        <v>61</v>
      </c>
      <c r="BI3414" s="0">
        <v>61</v>
      </c>
      <c r="BJ3414" s="0" t="s">
        <v>135</v>
      </c>
    </row>
    <row r="3415">
      <c r="A3415" s="0" t="s">
        <v>3668</v>
      </c>
      <c r="B3415" s="0" t="s">
        <v>134</v>
      </c>
      <c r="C3415" s="0" t="s">
        <v>134</v>
      </c>
      <c r="D3415" s="0" t="s">
        <v>230</v>
      </c>
      <c r="E3415" s="0" t="s">
        <v>3</v>
      </c>
      <c r="F3415" s="0" t="s">
        <v>12</v>
      </c>
      <c r="G3415" s="0" t="s">
        <v>8</v>
      </c>
      <c r="H3415" s="0">
        <v>173</v>
      </c>
      <c r="I3415" s="0">
        <v>125</v>
      </c>
      <c r="J3415" s="0">
        <v>0</v>
      </c>
      <c r="K3415" s="0">
        <v>1</v>
      </c>
      <c r="L3415" s="0">
        <v>4</v>
      </c>
      <c r="M3415" s="0">
        <v>3</v>
      </c>
      <c r="N3415" s="0">
        <v>0</v>
      </c>
      <c r="O3415" s="0">
        <v>0</v>
      </c>
      <c r="P3415" s="0">
        <v>-125</v>
      </c>
      <c r="R3415" s="0" t="b">
        <v>0</v>
      </c>
      <c r="S3415" s="0" t="b">
        <v>1</v>
      </c>
      <c r="T3415" s="68">
        <v>45880.4652546296</v>
      </c>
      <c r="U3415" s="68">
        <v>45916.3333333333</v>
      </c>
      <c r="V3415" s="68">
        <v>0</v>
      </c>
      <c r="W3415" s="0">
        <f>IF(IF(B3415="none",1,IF(B3415="Trialer",1,0))+IF(C3415="Customer",1,IF(C3415="Lost",1,0))=2,1,0)</f>
      </c>
      <c r="X3415" s="0" t="s">
        <v>153</v>
      </c>
      <c r="Y3415" s="0" t="s">
        <v>243</v>
      </c>
      <c r="AV3415" s="68"/>
      <c r="AW3415" s="68"/>
      <c r="AY3415" s="27"/>
      <c r="BD3415" s="68">
        <v>46054.1666666667</v>
      </c>
      <c r="BE3415" s="68">
        <v>46082.1666666667</v>
      </c>
      <c r="BF3415" s="0" t="b">
        <v>0</v>
      </c>
      <c r="BG3415" s="0" t="b">
        <v>0</v>
      </c>
      <c r="BH3415" s="0">
        <v>141</v>
      </c>
      <c r="BI3415" s="0">
        <v>141</v>
      </c>
      <c r="BJ3415" s="0" t="s">
        <v>230</v>
      </c>
    </row>
    <row r="3416">
      <c r="A3416" s="0" t="s">
        <v>3669</v>
      </c>
      <c r="B3416" s="0" t="s">
        <v>134</v>
      </c>
      <c r="C3416" s="0" t="s">
        <v>134</v>
      </c>
      <c r="D3416" s="0" t="s">
        <v>135</v>
      </c>
      <c r="E3416" s="0" t="s">
        <v>3</v>
      </c>
      <c r="F3416" s="0" t="s">
        <v>10</v>
      </c>
      <c r="G3416" s="0" t="s">
        <v>8</v>
      </c>
      <c r="H3416" s="0">
        <v>173</v>
      </c>
      <c r="I3416" s="0">
        <v>98</v>
      </c>
      <c r="J3416" s="0">
        <v>0</v>
      </c>
      <c r="K3416" s="0">
        <v>1</v>
      </c>
      <c r="L3416" s="0">
        <v>3</v>
      </c>
      <c r="M3416" s="0">
        <v>2</v>
      </c>
      <c r="N3416" s="0">
        <v>0</v>
      </c>
      <c r="O3416" s="0">
        <v>0</v>
      </c>
      <c r="P3416" s="0">
        <v>0</v>
      </c>
      <c r="Q3416" s="0" t="s">
        <v>756</v>
      </c>
      <c r="R3416" s="0" t="b">
        <v>0</v>
      </c>
      <c r="S3416" s="0" t="b">
        <v>1</v>
      </c>
      <c r="T3416" s="68">
        <v>45880.5090277778</v>
      </c>
      <c r="U3416" s="68">
        <v>45894.3333333333</v>
      </c>
      <c r="V3416" s="68">
        <v>0</v>
      </c>
      <c r="W3416" s="0">
        <f>IF(IF(B3416="none",1,IF(B3416="Trialer",1,0))+IF(C3416="Customer",1,IF(C3416="Lost",1,0))=2,1,0)</f>
      </c>
      <c r="X3416" s="0" t="s">
        <v>136</v>
      </c>
      <c r="Y3416" s="0" t="s">
        <v>243</v>
      </c>
      <c r="AV3416" s="68"/>
      <c r="AW3416" s="68"/>
      <c r="AY3416" s="27"/>
      <c r="BD3416" s="68">
        <v>46054.1666666667</v>
      </c>
      <c r="BE3416" s="68">
        <v>46082.1666666667</v>
      </c>
      <c r="BF3416" s="0" t="b">
        <v>0</v>
      </c>
      <c r="BG3416" s="0" t="b">
        <v>0</v>
      </c>
      <c r="BH3416" s="0">
        <v>98</v>
      </c>
      <c r="BI3416" s="0">
        <v>98</v>
      </c>
      <c r="BJ3416" s="0" t="s">
        <v>135</v>
      </c>
    </row>
    <row r="3417">
      <c r="A3417" s="0" t="s">
        <v>3670</v>
      </c>
      <c r="B3417" s="0" t="s">
        <v>134</v>
      </c>
      <c r="C3417" s="0" t="s">
        <v>134</v>
      </c>
      <c r="D3417" s="0" t="s">
        <v>230</v>
      </c>
      <c r="E3417" s="0" t="s">
        <v>3</v>
      </c>
      <c r="F3417" s="0" t="s">
        <v>12</v>
      </c>
      <c r="G3417" s="0" t="s">
        <v>8</v>
      </c>
      <c r="H3417" s="0">
        <v>173</v>
      </c>
      <c r="I3417" s="0">
        <v>348.75</v>
      </c>
      <c r="J3417" s="0">
        <v>0</v>
      </c>
      <c r="K3417" s="0">
        <v>1</v>
      </c>
      <c r="L3417" s="0">
        <v>4</v>
      </c>
      <c r="M3417" s="0">
        <v>9</v>
      </c>
      <c r="N3417" s="0">
        <v>465</v>
      </c>
      <c r="O3417" s="0">
        <v>0</v>
      </c>
      <c r="P3417" s="0">
        <v>-348.75</v>
      </c>
      <c r="R3417" s="0" t="b">
        <v>0</v>
      </c>
      <c r="S3417" s="0" t="b">
        <v>1</v>
      </c>
      <c r="T3417" s="68">
        <v>45880.5455671296</v>
      </c>
      <c r="U3417" s="68">
        <v>45895.3333333333</v>
      </c>
      <c r="V3417" s="68">
        <v>0</v>
      </c>
      <c r="W3417" s="0">
        <f>IF(IF(B3417="none",1,IF(B3417="Trialer",1,0))+IF(C3417="Customer",1,IF(C3417="Lost",1,0))=2,1,0)</f>
      </c>
      <c r="X3417" s="0" t="s">
        <v>882</v>
      </c>
      <c r="Y3417" s="0" t="s">
        <v>243</v>
      </c>
      <c r="AV3417" s="68"/>
      <c r="AW3417" s="68"/>
      <c r="AY3417" s="27"/>
      <c r="BD3417" s="68">
        <v>46054.1666666667</v>
      </c>
      <c r="BE3417" s="68">
        <v>46082.1666666667</v>
      </c>
      <c r="BF3417" s="0" t="b">
        <v>0</v>
      </c>
      <c r="BG3417" s="0" t="b">
        <v>0</v>
      </c>
      <c r="BH3417" s="0">
        <v>465</v>
      </c>
      <c r="BI3417" s="0">
        <v>465</v>
      </c>
      <c r="BJ3417" s="0" t="s">
        <v>230</v>
      </c>
    </row>
    <row r="3418">
      <c r="A3418" s="0" t="s">
        <v>3671</v>
      </c>
      <c r="B3418" s="0" t="s">
        <v>134</v>
      </c>
      <c r="C3418" s="0" t="s">
        <v>134</v>
      </c>
      <c r="D3418" s="0" t="s">
        <v>135</v>
      </c>
      <c r="E3418" s="0" t="s">
        <v>3</v>
      </c>
      <c r="F3418" s="0" t="s">
        <v>10</v>
      </c>
      <c r="G3418" s="0" t="s">
        <v>8</v>
      </c>
      <c r="H3418" s="0">
        <v>172</v>
      </c>
      <c r="I3418" s="0">
        <v>28</v>
      </c>
      <c r="J3418" s="0">
        <v>0</v>
      </c>
      <c r="K3418" s="0">
        <v>1</v>
      </c>
      <c r="L3418" s="0">
        <v>1</v>
      </c>
      <c r="M3418" s="0">
        <v>1</v>
      </c>
      <c r="N3418" s="0">
        <v>0</v>
      </c>
      <c r="O3418" s="0">
        <v>0</v>
      </c>
      <c r="P3418" s="0">
        <v>0</v>
      </c>
      <c r="Q3418" s="0" t="s">
        <v>618</v>
      </c>
      <c r="R3418" s="0" t="b">
        <v>0</v>
      </c>
      <c r="S3418" s="0" t="b">
        <v>1</v>
      </c>
      <c r="T3418" s="68">
        <v>45881.2901157407</v>
      </c>
      <c r="U3418" s="68">
        <v>45895.3333333333</v>
      </c>
      <c r="V3418" s="68">
        <v>0</v>
      </c>
      <c r="W3418" s="0">
        <f>IF(IF(B3418="none",1,IF(B3418="Trialer",1,0))+IF(C3418="Customer",1,IF(C3418="Lost",1,0))=2,1,0)</f>
      </c>
      <c r="X3418" s="0" t="s">
        <v>148</v>
      </c>
      <c r="Y3418" s="0" t="s">
        <v>243</v>
      </c>
      <c r="AV3418" s="68"/>
      <c r="AW3418" s="68"/>
      <c r="AY3418" s="27"/>
      <c r="BD3418" s="68">
        <v>46054.1666666667</v>
      </c>
      <c r="BE3418" s="68">
        <v>46082.1666666667</v>
      </c>
      <c r="BF3418" s="0" t="b">
        <v>0</v>
      </c>
      <c r="BG3418" s="0" t="b">
        <v>0</v>
      </c>
      <c r="BH3418" s="0">
        <v>28</v>
      </c>
      <c r="BI3418" s="0">
        <v>28</v>
      </c>
      <c r="BJ3418" s="0" t="s">
        <v>135</v>
      </c>
    </row>
    <row r="3419">
      <c r="A3419" s="0" t="s">
        <v>3672</v>
      </c>
      <c r="B3419" s="0" t="s">
        <v>134</v>
      </c>
      <c r="C3419" s="0" t="s">
        <v>134</v>
      </c>
      <c r="D3419" s="0" t="s">
        <v>135</v>
      </c>
      <c r="E3419" s="0" t="s">
        <v>3</v>
      </c>
      <c r="F3419" s="0" t="s">
        <v>12</v>
      </c>
      <c r="G3419" s="0" t="s">
        <v>8</v>
      </c>
      <c r="H3419" s="0">
        <v>172</v>
      </c>
      <c r="I3419" s="0">
        <v>183</v>
      </c>
      <c r="J3419" s="0">
        <v>0</v>
      </c>
      <c r="K3419" s="0">
        <v>1</v>
      </c>
      <c r="L3419" s="0">
        <v>4</v>
      </c>
      <c r="M3419" s="0">
        <v>3</v>
      </c>
      <c r="N3419" s="0">
        <v>0</v>
      </c>
      <c r="O3419" s="0">
        <v>0</v>
      </c>
      <c r="P3419" s="0">
        <v>0</v>
      </c>
      <c r="R3419" s="0" t="b">
        <v>0</v>
      </c>
      <c r="S3419" s="0" t="b">
        <v>1</v>
      </c>
      <c r="T3419" s="68">
        <v>45881.6190509259</v>
      </c>
      <c r="U3419" s="68">
        <v>45895.3333333333</v>
      </c>
      <c r="V3419" s="68">
        <v>0</v>
      </c>
      <c r="W3419" s="0">
        <f>IF(IF(B3419="none",1,IF(B3419="Trialer",1,0))+IF(C3419="Customer",1,IF(C3419="Lost",1,0))=2,1,0)</f>
      </c>
      <c r="X3419" s="0" t="s">
        <v>142</v>
      </c>
      <c r="Y3419" s="0" t="s">
        <v>243</v>
      </c>
      <c r="AV3419" s="68"/>
      <c r="AW3419" s="68"/>
      <c r="AY3419" s="27"/>
      <c r="BD3419" s="68">
        <v>46054.1666666667</v>
      </c>
      <c r="BE3419" s="68">
        <v>46082.1666666667</v>
      </c>
      <c r="BF3419" s="0" t="b">
        <v>0</v>
      </c>
      <c r="BG3419" s="0" t="b">
        <v>0</v>
      </c>
      <c r="BH3419" s="0">
        <v>183</v>
      </c>
      <c r="BI3419" s="0">
        <v>183</v>
      </c>
      <c r="BJ3419" s="0" t="s">
        <v>135</v>
      </c>
    </row>
    <row r="3420">
      <c r="A3420" s="0" t="s">
        <v>3673</v>
      </c>
      <c r="B3420" s="0" t="s">
        <v>134</v>
      </c>
      <c r="C3420" s="0" t="s">
        <v>134</v>
      </c>
      <c r="D3420" s="0" t="s">
        <v>135</v>
      </c>
      <c r="E3420" s="0" t="s">
        <v>3</v>
      </c>
      <c r="F3420" s="0" t="s">
        <v>12</v>
      </c>
      <c r="G3420" s="0" t="s">
        <v>8</v>
      </c>
      <c r="H3420" s="0">
        <v>171</v>
      </c>
      <c r="I3420" s="0">
        <v>663</v>
      </c>
      <c r="J3420" s="0">
        <v>0</v>
      </c>
      <c r="K3420" s="0">
        <v>1</v>
      </c>
      <c r="L3420" s="0">
        <v>3</v>
      </c>
      <c r="M3420" s="0">
        <v>8</v>
      </c>
      <c r="N3420" s="0">
        <v>0</v>
      </c>
      <c r="O3420" s="0">
        <v>0</v>
      </c>
      <c r="P3420" s="0">
        <v>0</v>
      </c>
      <c r="R3420" s="0" t="b">
        <v>0</v>
      </c>
      <c r="S3420" s="0" t="b">
        <v>1</v>
      </c>
      <c r="T3420" s="68">
        <v>45882.3651041667</v>
      </c>
      <c r="U3420" s="68">
        <v>45882.3333333333</v>
      </c>
      <c r="V3420" s="68">
        <v>0</v>
      </c>
      <c r="W3420" s="0">
        <f>IF(IF(B3420="none",1,IF(B3420="Trialer",1,0))+IF(C3420="Customer",1,IF(C3420="Lost",1,0))=2,1,0)</f>
      </c>
      <c r="X3420" s="0" t="s">
        <v>145</v>
      </c>
      <c r="Y3420" s="0" t="s">
        <v>243</v>
      </c>
      <c r="AV3420" s="68"/>
      <c r="AW3420" s="68"/>
      <c r="AY3420" s="27"/>
      <c r="BD3420" s="68">
        <v>46054.1666666667</v>
      </c>
      <c r="BE3420" s="68">
        <v>46082.1666666667</v>
      </c>
      <c r="BF3420" s="0" t="b">
        <v>0</v>
      </c>
      <c r="BG3420" s="0" t="b">
        <v>0</v>
      </c>
      <c r="BH3420" s="0">
        <v>378</v>
      </c>
      <c r="BI3420" s="0">
        <v>378</v>
      </c>
      <c r="BJ3420" s="0" t="s">
        <v>135</v>
      </c>
    </row>
    <row r="3421">
      <c r="A3421" s="0" t="s">
        <v>3674</v>
      </c>
      <c r="B3421" s="0" t="s">
        <v>134</v>
      </c>
      <c r="C3421" s="0" t="s">
        <v>134</v>
      </c>
      <c r="D3421" s="0" t="s">
        <v>230</v>
      </c>
      <c r="E3421" s="0" t="s">
        <v>3</v>
      </c>
      <c r="F3421" s="0" t="s">
        <v>12</v>
      </c>
      <c r="G3421" s="0" t="s">
        <v>8</v>
      </c>
      <c r="H3421" s="0">
        <v>171</v>
      </c>
      <c r="I3421" s="0">
        <v>529.75</v>
      </c>
      <c r="J3421" s="0">
        <v>0</v>
      </c>
      <c r="K3421" s="0">
        <v>1</v>
      </c>
      <c r="L3421" s="0">
        <v>3</v>
      </c>
      <c r="M3421" s="0">
        <v>6</v>
      </c>
      <c r="N3421" s="0">
        <v>0</v>
      </c>
      <c r="O3421" s="0">
        <v>0</v>
      </c>
      <c r="P3421" s="0">
        <v>-204.75</v>
      </c>
      <c r="R3421" s="0" t="b">
        <v>0</v>
      </c>
      <c r="S3421" s="0" t="b">
        <v>1</v>
      </c>
      <c r="T3421" s="68">
        <v>45882.4206134259</v>
      </c>
      <c r="U3421" s="68">
        <v>45896.3333333333</v>
      </c>
      <c r="V3421" s="68">
        <v>0</v>
      </c>
      <c r="W3421" s="0">
        <f>IF(IF(B3421="none",1,IF(B3421="Trialer",1,0))+IF(C3421="Customer",1,IF(C3421="Lost",1,0))=2,1,0)</f>
      </c>
      <c r="X3421" s="0" t="s">
        <v>148</v>
      </c>
      <c r="Y3421" s="0" t="s">
        <v>243</v>
      </c>
      <c r="AV3421" s="68"/>
      <c r="AW3421" s="68"/>
      <c r="AY3421" s="27"/>
      <c r="BD3421" s="68">
        <v>46054.1666666667</v>
      </c>
      <c r="BE3421" s="68">
        <v>46082.1666666667</v>
      </c>
      <c r="BF3421" s="0" t="b">
        <v>0</v>
      </c>
      <c r="BG3421" s="0" t="b">
        <v>0</v>
      </c>
      <c r="BH3421" s="0">
        <v>273</v>
      </c>
      <c r="BI3421" s="0">
        <v>273</v>
      </c>
      <c r="BJ3421" s="0" t="s">
        <v>230</v>
      </c>
    </row>
    <row r="3422">
      <c r="A3422" s="0" t="s">
        <v>3675</v>
      </c>
      <c r="B3422" s="0" t="s">
        <v>134</v>
      </c>
      <c r="C3422" s="0" t="s">
        <v>134</v>
      </c>
      <c r="D3422" s="0" t="s">
        <v>230</v>
      </c>
      <c r="E3422" s="0" t="s">
        <v>2</v>
      </c>
      <c r="F3422" s="0" t="s">
        <v>12</v>
      </c>
      <c r="G3422" s="0" t="s">
        <v>8</v>
      </c>
      <c r="H3422" s="0">
        <v>171</v>
      </c>
      <c r="I3422" s="0">
        <v>71</v>
      </c>
      <c r="J3422" s="0">
        <v>0</v>
      </c>
      <c r="K3422" s="0">
        <v>1</v>
      </c>
      <c r="L3422" s="0">
        <v>3</v>
      </c>
      <c r="M3422" s="0">
        <v>2</v>
      </c>
      <c r="N3422" s="0">
        <v>0</v>
      </c>
      <c r="O3422" s="0">
        <v>0</v>
      </c>
      <c r="P3422" s="0">
        <v>-71</v>
      </c>
      <c r="R3422" s="0" t="b">
        <v>0</v>
      </c>
      <c r="S3422" s="0" t="b">
        <v>1</v>
      </c>
      <c r="T3422" s="68">
        <v>45882.4424189815</v>
      </c>
      <c r="U3422" s="68">
        <v>45924.3333333333</v>
      </c>
      <c r="V3422" s="68">
        <v>0</v>
      </c>
      <c r="W3422" s="0">
        <f>IF(IF(B3422="none",1,IF(B3422="Trialer",1,0))+IF(C3422="Customer",1,IF(C3422="Lost",1,0))=2,1,0)</f>
      </c>
      <c r="X3422" s="0" t="s">
        <v>142</v>
      </c>
      <c r="Y3422" s="0" t="s">
        <v>499</v>
      </c>
      <c r="AV3422" s="68"/>
      <c r="AW3422" s="68"/>
      <c r="AY3422" s="27"/>
      <c r="BD3422" s="68">
        <v>46054.1666666667</v>
      </c>
      <c r="BE3422" s="68">
        <v>46082.1666666667</v>
      </c>
      <c r="BF3422" s="0" t="b">
        <v>0</v>
      </c>
      <c r="BG3422" s="0" t="b">
        <v>0</v>
      </c>
      <c r="BH3422" s="0">
        <v>80</v>
      </c>
      <c r="BI3422" s="0">
        <v>80</v>
      </c>
      <c r="BJ3422" s="0" t="s">
        <v>230</v>
      </c>
    </row>
    <row r="3423">
      <c r="A3423" s="0" t="s">
        <v>3676</v>
      </c>
      <c r="B3423" s="0" t="s">
        <v>134</v>
      </c>
      <c r="C3423" s="0" t="s">
        <v>134</v>
      </c>
      <c r="D3423" s="0" t="s">
        <v>135</v>
      </c>
      <c r="E3423" s="0" t="s">
        <v>3</v>
      </c>
      <c r="F3423" s="0" t="s">
        <v>12</v>
      </c>
      <c r="G3423" s="0" t="s">
        <v>8</v>
      </c>
      <c r="H3423" s="0">
        <v>171</v>
      </c>
      <c r="I3423" s="0">
        <v>347</v>
      </c>
      <c r="J3423" s="0">
        <v>0</v>
      </c>
      <c r="K3423" s="0">
        <v>1</v>
      </c>
      <c r="L3423" s="0">
        <v>5</v>
      </c>
      <c r="M3423" s="0">
        <v>8</v>
      </c>
      <c r="N3423" s="0">
        <v>0</v>
      </c>
      <c r="O3423" s="0">
        <v>0</v>
      </c>
      <c r="P3423" s="0">
        <v>0</v>
      </c>
      <c r="R3423" s="0" t="b">
        <v>0</v>
      </c>
      <c r="S3423" s="0" t="b">
        <v>1</v>
      </c>
      <c r="T3423" s="68">
        <v>45882.6874537037</v>
      </c>
      <c r="U3423" s="68">
        <v>45888.3333333333</v>
      </c>
      <c r="V3423" s="68">
        <v>0</v>
      </c>
      <c r="W3423" s="0">
        <f>IF(IF(B3423="none",1,IF(B3423="Trialer",1,0))+IF(C3423="Customer",1,IF(C3423="Lost",1,0))=2,1,0)</f>
      </c>
      <c r="X3423" s="0" t="s">
        <v>145</v>
      </c>
      <c r="Y3423" s="0" t="s">
        <v>243</v>
      </c>
      <c r="AV3423" s="68"/>
      <c r="AW3423" s="68"/>
      <c r="AY3423" s="27"/>
      <c r="BD3423" s="68">
        <v>46054.1666666667</v>
      </c>
      <c r="BE3423" s="68">
        <v>46082.1666666667</v>
      </c>
      <c r="BF3423" s="0" t="b">
        <v>0</v>
      </c>
      <c r="BG3423" s="0" t="b">
        <v>0</v>
      </c>
      <c r="BH3423" s="0">
        <v>347</v>
      </c>
      <c r="BI3423" s="0">
        <v>347</v>
      </c>
      <c r="BJ3423" s="0" t="s">
        <v>135</v>
      </c>
    </row>
    <row r="3424">
      <c r="A3424" s="0" t="s">
        <v>3677</v>
      </c>
      <c r="B3424" s="0" t="s">
        <v>134</v>
      </c>
      <c r="C3424" s="0" t="s">
        <v>134</v>
      </c>
      <c r="D3424" s="0" t="s">
        <v>135</v>
      </c>
      <c r="E3424" s="0" t="s">
        <v>4</v>
      </c>
      <c r="F3424" s="0" t="s">
        <v>12</v>
      </c>
      <c r="G3424" s="0" t="s">
        <v>8</v>
      </c>
      <c r="H3424" s="0">
        <v>170</v>
      </c>
      <c r="I3424" s="0">
        <v>188</v>
      </c>
      <c r="J3424" s="0">
        <v>0</v>
      </c>
      <c r="K3424" s="0">
        <v>1</v>
      </c>
      <c r="L3424" s="0">
        <v>3</v>
      </c>
      <c r="M3424" s="0">
        <v>5</v>
      </c>
      <c r="N3424" s="0">
        <v>0</v>
      </c>
      <c r="O3424" s="0">
        <v>0</v>
      </c>
      <c r="P3424" s="0">
        <v>0</v>
      </c>
      <c r="R3424" s="0" t="b">
        <v>0</v>
      </c>
      <c r="S3424" s="0" t="b">
        <v>1</v>
      </c>
      <c r="T3424" s="68">
        <v>45883.3790046296</v>
      </c>
      <c r="U3424" s="68">
        <v>45932.3333333333</v>
      </c>
      <c r="V3424" s="68">
        <v>0</v>
      </c>
      <c r="W3424" s="0">
        <f>IF(IF(B3424="none",1,IF(B3424="Trialer",1,0))+IF(C3424="Customer",1,IF(C3424="Lost",1,0))=2,1,0)</f>
      </c>
      <c r="X3424" s="0" t="s">
        <v>148</v>
      </c>
      <c r="Y3424" s="0" t="s">
        <v>1772</v>
      </c>
      <c r="AV3424" s="68"/>
      <c r="AW3424" s="68"/>
      <c r="AY3424" s="27"/>
      <c r="BD3424" s="68">
        <v>46054.1666666667</v>
      </c>
      <c r="BE3424" s="68">
        <v>46082.1666666667</v>
      </c>
      <c r="BF3424" s="0" t="b">
        <v>0</v>
      </c>
      <c r="BG3424" s="0" t="b">
        <v>0</v>
      </c>
      <c r="BH3424" s="0">
        <v>188</v>
      </c>
      <c r="BI3424" s="0">
        <v>188</v>
      </c>
      <c r="BJ3424" s="0" t="s">
        <v>135</v>
      </c>
    </row>
    <row r="3425">
      <c r="A3425" s="0" t="s">
        <v>3678</v>
      </c>
      <c r="B3425" s="0" t="s">
        <v>134</v>
      </c>
      <c r="C3425" s="0" t="s">
        <v>134</v>
      </c>
      <c r="D3425" s="0" t="s">
        <v>135</v>
      </c>
      <c r="E3425" s="0" t="s">
        <v>3</v>
      </c>
      <c r="F3425" s="0" t="s">
        <v>12</v>
      </c>
      <c r="G3425" s="0" t="s">
        <v>8</v>
      </c>
      <c r="H3425" s="0">
        <v>167</v>
      </c>
      <c r="I3425" s="0">
        <v>134</v>
      </c>
      <c r="J3425" s="0">
        <v>0</v>
      </c>
      <c r="K3425" s="0">
        <v>1</v>
      </c>
      <c r="L3425" s="0">
        <v>5</v>
      </c>
      <c r="M3425" s="0">
        <v>2</v>
      </c>
      <c r="N3425" s="0">
        <v>0</v>
      </c>
      <c r="O3425" s="0">
        <v>0</v>
      </c>
      <c r="P3425" s="0">
        <v>0</v>
      </c>
      <c r="R3425" s="0" t="b">
        <v>0</v>
      </c>
      <c r="S3425" s="0" t="b">
        <v>0</v>
      </c>
      <c r="T3425" s="68">
        <v>45886.2154050926</v>
      </c>
      <c r="U3425" s="68">
        <v>45906.3333333333</v>
      </c>
      <c r="V3425" s="68">
        <v>46091.212962963</v>
      </c>
      <c r="W3425" s="0">
        <f>IF(IF(B3425="none",1,IF(B3425="Trialer",1,0))+IF(C3425="Customer",1,IF(C3425="Lost",1,0))=2,1,0)</f>
      </c>
      <c r="X3425" s="0" t="s">
        <v>166</v>
      </c>
      <c r="Y3425" s="0" t="s">
        <v>243</v>
      </c>
      <c r="AV3425" s="68"/>
      <c r="AW3425" s="68"/>
      <c r="AY3425" s="27"/>
      <c r="BD3425" s="68">
        <v>46054.1666666667</v>
      </c>
      <c r="BE3425" s="68">
        <v>46082.1666666667</v>
      </c>
      <c r="BF3425" s="0" t="b">
        <v>0</v>
      </c>
      <c r="BG3425" s="0" t="b">
        <v>0</v>
      </c>
      <c r="BH3425" s="0">
        <v>134</v>
      </c>
      <c r="BI3425" s="0">
        <v>134</v>
      </c>
      <c r="BJ3425" s="0" t="s">
        <v>135</v>
      </c>
    </row>
    <row r="3426">
      <c r="A3426" s="0" t="s">
        <v>3679</v>
      </c>
      <c r="B3426" s="0" t="s">
        <v>134</v>
      </c>
      <c r="C3426" s="0" t="s">
        <v>134</v>
      </c>
      <c r="D3426" s="0" t="s">
        <v>135</v>
      </c>
      <c r="E3426" s="0" t="s">
        <v>2</v>
      </c>
      <c r="F3426" s="0" t="s">
        <v>12</v>
      </c>
      <c r="G3426" s="0" t="s">
        <v>8</v>
      </c>
      <c r="H3426" s="0">
        <v>167</v>
      </c>
      <c r="I3426" s="0">
        <v>357</v>
      </c>
      <c r="J3426" s="0">
        <v>0</v>
      </c>
      <c r="K3426" s="0">
        <v>1</v>
      </c>
      <c r="L3426" s="0">
        <v>4</v>
      </c>
      <c r="M3426" s="0">
        <v>6</v>
      </c>
      <c r="N3426" s="0">
        <v>0</v>
      </c>
      <c r="O3426" s="0">
        <v>0</v>
      </c>
      <c r="P3426" s="0">
        <v>0</v>
      </c>
      <c r="R3426" s="0" t="b">
        <v>0</v>
      </c>
      <c r="S3426" s="0" t="b">
        <v>1</v>
      </c>
      <c r="T3426" s="68">
        <v>45886.3772106481</v>
      </c>
      <c r="U3426" s="68">
        <v>45900.3333333333</v>
      </c>
      <c r="V3426" s="68">
        <v>0</v>
      </c>
      <c r="W3426" s="0">
        <f>IF(IF(B3426="none",1,IF(B3426="Trialer",1,0))+IF(C3426="Customer",1,IF(C3426="Lost",1,0))=2,1,0)</f>
      </c>
      <c r="X3426" s="0" t="s">
        <v>136</v>
      </c>
      <c r="Y3426" s="0" t="s">
        <v>499</v>
      </c>
      <c r="AV3426" s="68"/>
      <c r="AW3426" s="68"/>
      <c r="AY3426" s="27"/>
      <c r="BD3426" s="68">
        <v>46054.1666666667</v>
      </c>
      <c r="BE3426" s="68">
        <v>46082.1666666667</v>
      </c>
      <c r="BF3426" s="0" t="b">
        <v>0</v>
      </c>
      <c r="BG3426" s="0" t="b">
        <v>0</v>
      </c>
      <c r="BH3426" s="0">
        <v>357</v>
      </c>
      <c r="BI3426" s="0">
        <v>357</v>
      </c>
      <c r="BJ3426" s="0" t="s">
        <v>135</v>
      </c>
    </row>
    <row r="3427">
      <c r="A3427" s="0" t="s">
        <v>3680</v>
      </c>
      <c r="B3427" s="0" t="s">
        <v>134</v>
      </c>
      <c r="C3427" s="0" t="s">
        <v>134</v>
      </c>
      <c r="D3427" s="0" t="s">
        <v>135</v>
      </c>
      <c r="E3427" s="0" t="s">
        <v>3</v>
      </c>
      <c r="F3427" s="0" t="s">
        <v>12</v>
      </c>
      <c r="G3427" s="0" t="s">
        <v>8</v>
      </c>
      <c r="H3427" s="0">
        <v>167</v>
      </c>
      <c r="I3427" s="0">
        <v>49</v>
      </c>
      <c r="J3427" s="0">
        <v>0</v>
      </c>
      <c r="K3427" s="0">
        <v>1</v>
      </c>
      <c r="L3427" s="0">
        <v>3</v>
      </c>
      <c r="M3427" s="0">
        <v>1</v>
      </c>
      <c r="N3427" s="0">
        <v>0</v>
      </c>
      <c r="O3427" s="0">
        <v>0</v>
      </c>
      <c r="P3427" s="0">
        <v>0</v>
      </c>
      <c r="R3427" s="0" t="b">
        <v>0</v>
      </c>
      <c r="S3427" s="0" t="b">
        <v>1</v>
      </c>
      <c r="T3427" s="68">
        <v>45886.4358449074</v>
      </c>
      <c r="U3427" s="68">
        <v>45916.3333333333</v>
      </c>
      <c r="V3427" s="68">
        <v>0</v>
      </c>
      <c r="W3427" s="0">
        <f>IF(IF(B3427="none",1,IF(B3427="Trialer",1,0))+IF(C3427="Customer",1,IF(C3427="Lost",1,0))=2,1,0)</f>
      </c>
      <c r="X3427" s="0" t="s">
        <v>153</v>
      </c>
      <c r="Y3427" s="0" t="s">
        <v>243</v>
      </c>
      <c r="AV3427" s="68"/>
      <c r="AW3427" s="68"/>
      <c r="AY3427" s="27"/>
      <c r="BD3427" s="68">
        <v>46054.1666666667</v>
      </c>
      <c r="BE3427" s="68">
        <v>46082.1666666667</v>
      </c>
      <c r="BF3427" s="0" t="b">
        <v>0</v>
      </c>
      <c r="BG3427" s="0" t="b">
        <v>0</v>
      </c>
      <c r="BH3427" s="0">
        <v>49</v>
      </c>
      <c r="BI3427" s="0">
        <v>49</v>
      </c>
      <c r="BJ3427" s="0" t="s">
        <v>135</v>
      </c>
    </row>
    <row r="3428">
      <c r="A3428" s="0" t="s">
        <v>3681</v>
      </c>
      <c r="B3428" s="0" t="s">
        <v>134</v>
      </c>
      <c r="C3428" s="0" t="s">
        <v>134</v>
      </c>
      <c r="D3428" s="0" t="s">
        <v>230</v>
      </c>
      <c r="E3428" s="0" t="s">
        <v>3</v>
      </c>
      <c r="F3428" s="0" t="s">
        <v>12</v>
      </c>
      <c r="G3428" s="0" t="s">
        <v>8</v>
      </c>
      <c r="H3428" s="0">
        <v>167</v>
      </c>
      <c r="I3428" s="0">
        <v>398.5</v>
      </c>
      <c r="J3428" s="0">
        <v>0</v>
      </c>
      <c r="K3428" s="0">
        <v>1</v>
      </c>
      <c r="L3428" s="0">
        <v>3</v>
      </c>
      <c r="M3428" s="0">
        <v>2</v>
      </c>
      <c r="N3428" s="0">
        <v>0</v>
      </c>
      <c r="O3428" s="0">
        <v>0</v>
      </c>
      <c r="P3428" s="0">
        <v>-73.5</v>
      </c>
      <c r="R3428" s="0" t="b">
        <v>0</v>
      </c>
      <c r="S3428" s="0" t="b">
        <v>1</v>
      </c>
      <c r="T3428" s="68">
        <v>45886.572962963</v>
      </c>
      <c r="U3428" s="68">
        <v>45891.3333333333</v>
      </c>
      <c r="V3428" s="68">
        <v>0</v>
      </c>
      <c r="W3428" s="0">
        <f>IF(IF(B3428="none",1,IF(B3428="Trialer",1,0))+IF(C3428="Customer",1,IF(C3428="Lost",1,0))=2,1,0)</f>
      </c>
      <c r="X3428" s="0" t="s">
        <v>145</v>
      </c>
      <c r="Y3428" s="0" t="s">
        <v>243</v>
      </c>
      <c r="AV3428" s="68"/>
      <c r="AW3428" s="68"/>
      <c r="AY3428" s="27"/>
      <c r="BD3428" s="68">
        <v>46054.1666666667</v>
      </c>
      <c r="BE3428" s="68">
        <v>46082.1666666667</v>
      </c>
      <c r="BF3428" s="0" t="b">
        <v>0</v>
      </c>
      <c r="BG3428" s="0" t="b">
        <v>0</v>
      </c>
      <c r="BH3428" s="0">
        <v>98</v>
      </c>
      <c r="BI3428" s="0">
        <v>98</v>
      </c>
      <c r="BJ3428" s="0" t="s">
        <v>230</v>
      </c>
    </row>
    <row r="3429">
      <c r="A3429" s="0" t="s">
        <v>3682</v>
      </c>
      <c r="B3429" s="0" t="s">
        <v>134</v>
      </c>
      <c r="C3429" s="0" t="s">
        <v>134</v>
      </c>
      <c r="D3429" s="0" t="s">
        <v>135</v>
      </c>
      <c r="E3429" s="0" t="s">
        <v>3</v>
      </c>
      <c r="F3429" s="0" t="s">
        <v>12</v>
      </c>
      <c r="G3429" s="0" t="s">
        <v>8</v>
      </c>
      <c r="H3429" s="0">
        <v>167</v>
      </c>
      <c r="I3429" s="0">
        <v>28</v>
      </c>
      <c r="J3429" s="0">
        <v>0</v>
      </c>
      <c r="K3429" s="0">
        <v>1</v>
      </c>
      <c r="L3429" s="0">
        <v>1</v>
      </c>
      <c r="M3429" s="0">
        <v>1</v>
      </c>
      <c r="N3429" s="0">
        <v>620</v>
      </c>
      <c r="O3429" s="0">
        <v>0</v>
      </c>
      <c r="P3429" s="0">
        <v>0</v>
      </c>
      <c r="R3429" s="0" t="b">
        <v>0</v>
      </c>
      <c r="S3429" s="0" t="b">
        <v>1</v>
      </c>
      <c r="T3429" s="68">
        <v>45886.9719328704</v>
      </c>
      <c r="U3429" s="68">
        <v>45902.3333333333</v>
      </c>
      <c r="V3429" s="68">
        <v>0</v>
      </c>
      <c r="W3429" s="0">
        <f>IF(IF(B3429="none",1,IF(B3429="Trialer",1,0))+IF(C3429="Customer",1,IF(C3429="Lost",1,0))=2,1,0)</f>
      </c>
      <c r="X3429" s="0" t="s">
        <v>153</v>
      </c>
      <c r="Y3429" s="0" t="s">
        <v>243</v>
      </c>
      <c r="AV3429" s="68"/>
      <c r="AW3429" s="68"/>
      <c r="AY3429" s="27"/>
      <c r="BD3429" s="68">
        <v>46054.1666666667</v>
      </c>
      <c r="BE3429" s="68">
        <v>46082.1666666667</v>
      </c>
      <c r="BF3429" s="0" t="b">
        <v>0</v>
      </c>
      <c r="BG3429" s="0" t="b">
        <v>0</v>
      </c>
      <c r="BH3429" s="0">
        <v>28</v>
      </c>
      <c r="BI3429" s="0">
        <v>28</v>
      </c>
      <c r="BJ3429" s="0" t="s">
        <v>135</v>
      </c>
    </row>
    <row r="3430">
      <c r="A3430" s="0" t="s">
        <v>3683</v>
      </c>
      <c r="B3430" s="0" t="s">
        <v>134</v>
      </c>
      <c r="C3430" s="0" t="s">
        <v>134</v>
      </c>
      <c r="D3430" s="0" t="s">
        <v>135</v>
      </c>
      <c r="E3430" s="0" t="s">
        <v>3</v>
      </c>
      <c r="F3430" s="0" t="s">
        <v>12</v>
      </c>
      <c r="G3430" s="0" t="s">
        <v>8</v>
      </c>
      <c r="H3430" s="0">
        <v>166</v>
      </c>
      <c r="I3430" s="0">
        <v>0</v>
      </c>
      <c r="J3430" s="0">
        <v>0</v>
      </c>
      <c r="K3430" s="0">
        <v>1</v>
      </c>
      <c r="L3430" s="0">
        <v>3</v>
      </c>
      <c r="M3430" s="0">
        <v>1</v>
      </c>
      <c r="N3430" s="0">
        <v>0</v>
      </c>
      <c r="O3430" s="0">
        <v>0</v>
      </c>
      <c r="P3430" s="0">
        <v>0</v>
      </c>
      <c r="R3430" s="0" t="b">
        <v>0</v>
      </c>
      <c r="S3430" s="0" t="b">
        <v>1</v>
      </c>
      <c r="T3430" s="68">
        <v>45887.4545717593</v>
      </c>
      <c r="U3430" s="68">
        <v>45901.3333333333</v>
      </c>
      <c r="V3430" s="68">
        <v>0</v>
      </c>
      <c r="W3430" s="0">
        <f>IF(IF(B3430="none",1,IF(B3430="Trialer",1,0))+IF(C3430="Customer",1,IF(C3430="Lost",1,0))=2,1,0)</f>
      </c>
      <c r="X3430" s="0" t="s">
        <v>148</v>
      </c>
      <c r="Y3430" s="0" t="s">
        <v>243</v>
      </c>
      <c r="AV3430" s="68"/>
      <c r="AW3430" s="68"/>
      <c r="AY3430" s="27"/>
      <c r="BD3430" s="68">
        <v>46054.1666666667</v>
      </c>
      <c r="BE3430" s="68">
        <v>46082.1666666667</v>
      </c>
      <c r="BF3430" s="0" t="b">
        <v>0</v>
      </c>
      <c r="BG3430" s="0" t="b">
        <v>0</v>
      </c>
      <c r="BH3430" s="0">
        <v>0</v>
      </c>
      <c r="BI3430" s="0">
        <v>0</v>
      </c>
      <c r="BJ3430" s="0" t="s">
        <v>135</v>
      </c>
    </row>
    <row r="3431">
      <c r="A3431" s="0" t="s">
        <v>3684</v>
      </c>
      <c r="B3431" s="0" t="s">
        <v>134</v>
      </c>
      <c r="C3431" s="0" t="s">
        <v>134</v>
      </c>
      <c r="D3431" s="0" t="s">
        <v>135</v>
      </c>
      <c r="E3431" s="0" t="s">
        <v>3</v>
      </c>
      <c r="F3431" s="0" t="s">
        <v>10</v>
      </c>
      <c r="G3431" s="0" t="s">
        <v>8</v>
      </c>
      <c r="H3431" s="0">
        <v>166</v>
      </c>
      <c r="I3431" s="0">
        <v>28</v>
      </c>
      <c r="J3431" s="0">
        <v>0</v>
      </c>
      <c r="K3431" s="0">
        <v>1</v>
      </c>
      <c r="L3431" s="0">
        <v>1</v>
      </c>
      <c r="M3431" s="0">
        <v>1</v>
      </c>
      <c r="N3431" s="0">
        <v>0</v>
      </c>
      <c r="O3431" s="0">
        <v>0</v>
      </c>
      <c r="P3431" s="0">
        <v>0</v>
      </c>
      <c r="Q3431" s="0" t="s">
        <v>618</v>
      </c>
      <c r="R3431" s="0" t="b">
        <v>0</v>
      </c>
      <c r="S3431" s="0" t="b">
        <v>1</v>
      </c>
      <c r="T3431" s="68">
        <v>45887.4934143519</v>
      </c>
      <c r="U3431" s="68">
        <v>45901.3333333333</v>
      </c>
      <c r="V3431" s="68">
        <v>0</v>
      </c>
      <c r="W3431" s="0">
        <f>IF(IF(B3431="none",1,IF(B3431="Trialer",1,0))+IF(C3431="Customer",1,IF(C3431="Lost",1,0))=2,1,0)</f>
      </c>
      <c r="X3431" s="0" t="s">
        <v>148</v>
      </c>
      <c r="Y3431" s="0" t="s">
        <v>243</v>
      </c>
      <c r="AV3431" s="68"/>
      <c r="AW3431" s="68"/>
      <c r="AY3431" s="27"/>
      <c r="BD3431" s="68">
        <v>46054.1666666667</v>
      </c>
      <c r="BE3431" s="68">
        <v>46082.1666666667</v>
      </c>
      <c r="BF3431" s="0" t="b">
        <v>0</v>
      </c>
      <c r="BG3431" s="0" t="b">
        <v>0</v>
      </c>
      <c r="BH3431" s="0">
        <v>28</v>
      </c>
      <c r="BI3431" s="0">
        <v>28</v>
      </c>
      <c r="BJ3431" s="0" t="s">
        <v>135</v>
      </c>
    </row>
    <row r="3432">
      <c r="A3432" s="0" t="s">
        <v>3685</v>
      </c>
      <c r="B3432" s="0" t="s">
        <v>134</v>
      </c>
      <c r="C3432" s="0" t="s">
        <v>134</v>
      </c>
      <c r="D3432" s="0" t="s">
        <v>230</v>
      </c>
      <c r="E3432" s="0" t="s">
        <v>2</v>
      </c>
      <c r="F3432" s="0" t="s">
        <v>12</v>
      </c>
      <c r="G3432" s="0" t="s">
        <v>8</v>
      </c>
      <c r="H3432" s="0">
        <v>166</v>
      </c>
      <c r="I3432" s="0">
        <v>110.25</v>
      </c>
      <c r="J3432" s="0">
        <v>0</v>
      </c>
      <c r="K3432" s="0">
        <v>1</v>
      </c>
      <c r="L3432" s="0">
        <v>3</v>
      </c>
      <c r="M3432" s="0">
        <v>3</v>
      </c>
      <c r="N3432" s="0">
        <v>0</v>
      </c>
      <c r="O3432" s="0">
        <v>0</v>
      </c>
      <c r="P3432" s="0">
        <v>-110.25</v>
      </c>
      <c r="R3432" s="0" t="b">
        <v>0</v>
      </c>
      <c r="S3432" s="0" t="b">
        <v>1</v>
      </c>
      <c r="T3432" s="68">
        <v>45887.6127662037</v>
      </c>
      <c r="U3432" s="68">
        <v>45908.3333333333</v>
      </c>
      <c r="V3432" s="68">
        <v>0</v>
      </c>
      <c r="W3432" s="0">
        <f>IF(IF(B3432="none",1,IF(B3432="Trialer",1,0))+IF(C3432="Customer",1,IF(C3432="Lost",1,0))=2,1,0)</f>
      </c>
      <c r="X3432" s="0" t="s">
        <v>142</v>
      </c>
      <c r="Y3432" s="0" t="s">
        <v>499</v>
      </c>
      <c r="AV3432" s="68"/>
      <c r="AW3432" s="68"/>
      <c r="AY3432" s="27"/>
      <c r="BD3432" s="68">
        <v>46054.1666666667</v>
      </c>
      <c r="BE3432" s="68">
        <v>46082.1666666667</v>
      </c>
      <c r="BF3432" s="0" t="b">
        <v>0</v>
      </c>
      <c r="BG3432" s="0" t="b">
        <v>0</v>
      </c>
      <c r="BH3432" s="0">
        <v>147</v>
      </c>
      <c r="BI3432" s="0">
        <v>147</v>
      </c>
      <c r="BJ3432" s="0" t="s">
        <v>230</v>
      </c>
    </row>
    <row r="3433">
      <c r="A3433" s="0" t="s">
        <v>3686</v>
      </c>
      <c r="B3433" s="0" t="s">
        <v>134</v>
      </c>
      <c r="C3433" s="0" t="s">
        <v>134</v>
      </c>
      <c r="D3433" s="0" t="s">
        <v>230</v>
      </c>
      <c r="E3433" s="0" t="s">
        <v>2</v>
      </c>
      <c r="F3433" s="0" t="s">
        <v>12</v>
      </c>
      <c r="G3433" s="0" t="s">
        <v>8</v>
      </c>
      <c r="H3433" s="0">
        <v>166</v>
      </c>
      <c r="I3433" s="0">
        <v>216</v>
      </c>
      <c r="J3433" s="0">
        <v>0</v>
      </c>
      <c r="K3433" s="0">
        <v>1</v>
      </c>
      <c r="L3433" s="0">
        <v>4</v>
      </c>
      <c r="M3433" s="0">
        <v>4</v>
      </c>
      <c r="N3433" s="0">
        <v>0</v>
      </c>
      <c r="O3433" s="0">
        <v>0</v>
      </c>
      <c r="P3433" s="0">
        <v>-216</v>
      </c>
      <c r="R3433" s="0" t="b">
        <v>0</v>
      </c>
      <c r="S3433" s="0" t="b">
        <v>1</v>
      </c>
      <c r="T3433" s="68">
        <v>45887.65625</v>
      </c>
      <c r="U3433" s="68">
        <v>45889.3333333333</v>
      </c>
      <c r="V3433" s="68">
        <v>0</v>
      </c>
      <c r="W3433" s="0">
        <f>IF(IF(B3433="none",1,IF(B3433="Trialer",1,0))+IF(C3433="Customer",1,IF(C3433="Lost",1,0))=2,1,0)</f>
      </c>
      <c r="X3433" s="0" t="s">
        <v>136</v>
      </c>
      <c r="Y3433" s="0" t="s">
        <v>499</v>
      </c>
      <c r="AV3433" s="68"/>
      <c r="AW3433" s="68"/>
      <c r="AY3433" s="27"/>
      <c r="BD3433" s="68">
        <v>46054.1666666667</v>
      </c>
      <c r="BE3433" s="68">
        <v>46082.1666666667</v>
      </c>
      <c r="BF3433" s="0" t="b">
        <v>0</v>
      </c>
      <c r="BG3433" s="0" t="b">
        <v>0</v>
      </c>
      <c r="BH3433" s="0">
        <v>293</v>
      </c>
      <c r="BI3433" s="0">
        <v>293</v>
      </c>
      <c r="BJ3433" s="0" t="s">
        <v>230</v>
      </c>
    </row>
    <row r="3434">
      <c r="A3434" s="0" t="s">
        <v>3687</v>
      </c>
      <c r="B3434" s="0" t="s">
        <v>134</v>
      </c>
      <c r="C3434" s="0" t="s">
        <v>134</v>
      </c>
      <c r="D3434" s="0" t="s">
        <v>135</v>
      </c>
      <c r="E3434" s="0" t="s">
        <v>3</v>
      </c>
      <c r="F3434" s="0" t="s">
        <v>12</v>
      </c>
      <c r="G3434" s="0" t="s">
        <v>8</v>
      </c>
      <c r="H3434" s="0">
        <v>165</v>
      </c>
      <c r="I3434" s="0">
        <v>147</v>
      </c>
      <c r="J3434" s="0">
        <v>0</v>
      </c>
      <c r="K3434" s="0">
        <v>1</v>
      </c>
      <c r="L3434" s="0">
        <v>3</v>
      </c>
      <c r="M3434" s="0">
        <v>3</v>
      </c>
      <c r="N3434" s="0">
        <v>1395</v>
      </c>
      <c r="O3434" s="0">
        <v>0</v>
      </c>
      <c r="P3434" s="0">
        <v>0</v>
      </c>
      <c r="R3434" s="0" t="b">
        <v>0</v>
      </c>
      <c r="S3434" s="0" t="b">
        <v>1</v>
      </c>
      <c r="T3434" s="68">
        <v>45888.4489236111</v>
      </c>
      <c r="U3434" s="68">
        <v>45910.3333333333</v>
      </c>
      <c r="V3434" s="68">
        <v>0</v>
      </c>
      <c r="W3434" s="0">
        <f>IF(IF(B3434="none",1,IF(B3434="Trialer",1,0))+IF(C3434="Customer",1,IF(C3434="Lost",1,0))=2,1,0)</f>
      </c>
      <c r="X3434" s="0" t="s">
        <v>166</v>
      </c>
      <c r="Y3434" s="0" t="s">
        <v>243</v>
      </c>
      <c r="AV3434" s="68"/>
      <c r="AW3434" s="68"/>
      <c r="AY3434" s="27"/>
      <c r="BD3434" s="68">
        <v>46054.1666666667</v>
      </c>
      <c r="BE3434" s="68">
        <v>46082.1666666667</v>
      </c>
      <c r="BF3434" s="0" t="b">
        <v>0</v>
      </c>
      <c r="BG3434" s="0" t="b">
        <v>0</v>
      </c>
      <c r="BH3434" s="0">
        <v>98</v>
      </c>
      <c r="BI3434" s="0">
        <v>98</v>
      </c>
      <c r="BJ3434" s="0" t="s">
        <v>135</v>
      </c>
    </row>
    <row r="3435">
      <c r="A3435" s="0" t="s">
        <v>3688</v>
      </c>
      <c r="B3435" s="0" t="s">
        <v>134</v>
      </c>
      <c r="C3435" s="0" t="s">
        <v>134</v>
      </c>
      <c r="D3435" s="0" t="s">
        <v>230</v>
      </c>
      <c r="E3435" s="0" t="s">
        <v>3</v>
      </c>
      <c r="F3435" s="0" t="s">
        <v>12</v>
      </c>
      <c r="G3435" s="0" t="s">
        <v>8</v>
      </c>
      <c r="H3435" s="0">
        <v>165</v>
      </c>
      <c r="I3435" s="0">
        <v>103.5</v>
      </c>
      <c r="J3435" s="0">
        <v>0</v>
      </c>
      <c r="K3435" s="0">
        <v>1</v>
      </c>
      <c r="L3435" s="0">
        <v>4</v>
      </c>
      <c r="M3435" s="0">
        <v>3</v>
      </c>
      <c r="N3435" s="0">
        <v>0</v>
      </c>
      <c r="O3435" s="0">
        <v>0</v>
      </c>
      <c r="P3435" s="0">
        <v>-103.5</v>
      </c>
      <c r="R3435" s="0" t="b">
        <v>0</v>
      </c>
      <c r="S3435" s="0" t="b">
        <v>1</v>
      </c>
      <c r="T3435" s="68">
        <v>45888.5171296296</v>
      </c>
      <c r="U3435" s="68">
        <v>45904.3333333333</v>
      </c>
      <c r="V3435" s="68">
        <v>0</v>
      </c>
      <c r="W3435" s="0">
        <f>IF(IF(B3435="none",1,IF(B3435="Trialer",1,0))+IF(C3435="Customer",1,IF(C3435="Lost",1,0))=2,1,0)</f>
      </c>
      <c r="X3435" s="0" t="s">
        <v>153</v>
      </c>
      <c r="Y3435" s="0" t="s">
        <v>243</v>
      </c>
      <c r="AV3435" s="68"/>
      <c r="AW3435" s="68"/>
      <c r="AY3435" s="27"/>
      <c r="BD3435" s="68">
        <v>46054.1666666667</v>
      </c>
      <c r="BE3435" s="68">
        <v>46082.1666666667</v>
      </c>
      <c r="BF3435" s="0" t="b">
        <v>0</v>
      </c>
      <c r="BG3435" s="0" t="b">
        <v>0</v>
      </c>
      <c r="BH3435" s="0">
        <v>138</v>
      </c>
      <c r="BI3435" s="0">
        <v>138</v>
      </c>
      <c r="BJ3435" s="0" t="s">
        <v>230</v>
      </c>
    </row>
    <row r="3436">
      <c r="A3436" s="0" t="s">
        <v>3689</v>
      </c>
      <c r="B3436" s="0" t="s">
        <v>134</v>
      </c>
      <c r="C3436" s="0" t="s">
        <v>134</v>
      </c>
      <c r="D3436" s="0" t="s">
        <v>135</v>
      </c>
      <c r="E3436" s="0" t="s">
        <v>3</v>
      </c>
      <c r="F3436" s="0" t="s">
        <v>12</v>
      </c>
      <c r="G3436" s="0" t="s">
        <v>8</v>
      </c>
      <c r="H3436" s="0">
        <v>165</v>
      </c>
      <c r="I3436" s="0">
        <v>207</v>
      </c>
      <c r="J3436" s="0">
        <v>0</v>
      </c>
      <c r="K3436" s="0">
        <v>1</v>
      </c>
      <c r="L3436" s="0">
        <v>5</v>
      </c>
      <c r="M3436" s="0">
        <v>3</v>
      </c>
      <c r="N3436" s="0">
        <v>0</v>
      </c>
      <c r="O3436" s="0">
        <v>0</v>
      </c>
      <c r="P3436" s="0">
        <v>0</v>
      </c>
      <c r="R3436" s="0" t="b">
        <v>0</v>
      </c>
      <c r="S3436" s="0" t="b">
        <v>1</v>
      </c>
      <c r="T3436" s="68">
        <v>45888.5577083333</v>
      </c>
      <c r="U3436" s="68">
        <v>45903.3333333333</v>
      </c>
      <c r="V3436" s="68">
        <v>0</v>
      </c>
      <c r="W3436" s="0">
        <f>IF(IF(B3436="none",1,IF(B3436="Trialer",1,0))+IF(C3436="Customer",1,IF(C3436="Lost",1,0))=2,1,0)</f>
      </c>
      <c r="X3436" s="0" t="s">
        <v>166</v>
      </c>
      <c r="Y3436" s="0" t="s">
        <v>243</v>
      </c>
      <c r="AV3436" s="68"/>
      <c r="AW3436" s="68"/>
      <c r="AY3436" s="27"/>
      <c r="BD3436" s="68">
        <v>46054.1666666667</v>
      </c>
      <c r="BE3436" s="68">
        <v>46082.1666666667</v>
      </c>
      <c r="BF3436" s="0" t="b">
        <v>0</v>
      </c>
      <c r="BG3436" s="0" t="b">
        <v>0</v>
      </c>
      <c r="BH3436" s="0">
        <v>207</v>
      </c>
      <c r="BI3436" s="0">
        <v>207</v>
      </c>
      <c r="BJ3436" s="0" t="s">
        <v>135</v>
      </c>
    </row>
    <row r="3437">
      <c r="A3437" s="0" t="s">
        <v>3690</v>
      </c>
      <c r="B3437" s="0" t="s">
        <v>134</v>
      </c>
      <c r="C3437" s="0" t="s">
        <v>134</v>
      </c>
      <c r="D3437" s="0" t="s">
        <v>135</v>
      </c>
      <c r="E3437" s="0" t="s">
        <v>3</v>
      </c>
      <c r="F3437" s="0" t="s">
        <v>12</v>
      </c>
      <c r="G3437" s="0" t="s">
        <v>8</v>
      </c>
      <c r="H3437" s="0">
        <v>165</v>
      </c>
      <c r="I3437" s="0">
        <v>0</v>
      </c>
      <c r="J3437" s="0">
        <v>0</v>
      </c>
      <c r="K3437" s="0">
        <v>1</v>
      </c>
      <c r="L3437" s="0">
        <v>5</v>
      </c>
      <c r="M3437" s="0">
        <v>1</v>
      </c>
      <c r="N3437" s="0">
        <v>0</v>
      </c>
      <c r="O3437" s="0">
        <v>0</v>
      </c>
      <c r="P3437" s="0">
        <v>0</v>
      </c>
      <c r="R3437" s="0" t="b">
        <v>0</v>
      </c>
      <c r="S3437" s="0" t="b">
        <v>1</v>
      </c>
      <c r="T3437" s="68">
        <v>45888.602650463</v>
      </c>
      <c r="U3437" s="68">
        <v>45895.3333333333</v>
      </c>
      <c r="V3437" s="68">
        <v>0</v>
      </c>
      <c r="W3437" s="0">
        <f>IF(IF(B3437="none",1,IF(B3437="Trialer",1,0))+IF(C3437="Customer",1,IF(C3437="Lost",1,0))=2,1,0)</f>
      </c>
      <c r="X3437" s="0" t="s">
        <v>136</v>
      </c>
      <c r="Y3437" s="0" t="s">
        <v>243</v>
      </c>
      <c r="AV3437" s="68"/>
      <c r="AW3437" s="68"/>
      <c r="AY3437" s="27"/>
      <c r="BD3437" s="68">
        <v>46054.1666666667</v>
      </c>
      <c r="BE3437" s="68">
        <v>46082.1666666667</v>
      </c>
      <c r="BF3437" s="0" t="b">
        <v>0</v>
      </c>
      <c r="BG3437" s="0" t="b">
        <v>0</v>
      </c>
      <c r="BH3437" s="0">
        <v>0</v>
      </c>
      <c r="BI3437" s="0">
        <v>0</v>
      </c>
      <c r="BJ3437" s="0" t="s">
        <v>135</v>
      </c>
    </row>
    <row r="3438">
      <c r="A3438" s="0" t="s">
        <v>3691</v>
      </c>
      <c r="B3438" s="0" t="s">
        <v>134</v>
      </c>
      <c r="C3438" s="0" t="s">
        <v>134</v>
      </c>
      <c r="D3438" s="0" t="s">
        <v>230</v>
      </c>
      <c r="E3438" s="0" t="s">
        <v>3</v>
      </c>
      <c r="F3438" s="0" t="s">
        <v>12</v>
      </c>
      <c r="G3438" s="0" t="s">
        <v>8</v>
      </c>
      <c r="H3438" s="0">
        <v>164</v>
      </c>
      <c r="I3438" s="0">
        <v>25</v>
      </c>
      <c r="J3438" s="0">
        <v>0</v>
      </c>
      <c r="K3438" s="0">
        <v>1</v>
      </c>
      <c r="L3438" s="0">
        <v>1</v>
      </c>
      <c r="M3438" s="0">
        <v>1</v>
      </c>
      <c r="N3438" s="0">
        <v>0</v>
      </c>
      <c r="O3438" s="0">
        <v>0</v>
      </c>
      <c r="P3438" s="0">
        <v>-25</v>
      </c>
      <c r="R3438" s="0" t="b">
        <v>0</v>
      </c>
      <c r="S3438" s="0" t="b">
        <v>1</v>
      </c>
      <c r="T3438" s="68">
        <v>45889.8181944444</v>
      </c>
      <c r="U3438" s="68">
        <v>45903.3333333333</v>
      </c>
      <c r="V3438" s="68">
        <v>0</v>
      </c>
      <c r="W3438" s="0">
        <f>IF(IF(B3438="none",1,IF(B3438="Trialer",1,0))+IF(C3438="Customer",1,IF(C3438="Lost",1,0))=2,1,0)</f>
      </c>
      <c r="X3438" s="0" t="s">
        <v>142</v>
      </c>
      <c r="Y3438" s="0" t="s">
        <v>243</v>
      </c>
      <c r="AV3438" s="68"/>
      <c r="AW3438" s="68"/>
      <c r="AY3438" s="27"/>
      <c r="BD3438" s="68">
        <v>46054.1666666667</v>
      </c>
      <c r="BE3438" s="68">
        <v>46082.1666666667</v>
      </c>
      <c r="BF3438" s="0" t="b">
        <v>0</v>
      </c>
      <c r="BG3438" s="0" t="b">
        <v>0</v>
      </c>
      <c r="BH3438" s="0">
        <v>28</v>
      </c>
      <c r="BI3438" s="0">
        <v>28</v>
      </c>
      <c r="BJ3438" s="0" t="s">
        <v>230</v>
      </c>
    </row>
    <row r="3439">
      <c r="A3439" s="0" t="s">
        <v>3692</v>
      </c>
      <c r="B3439" s="0" t="s">
        <v>134</v>
      </c>
      <c r="C3439" s="0" t="s">
        <v>134</v>
      </c>
      <c r="D3439" s="0" t="s">
        <v>135</v>
      </c>
      <c r="E3439" s="0" t="s">
        <v>3</v>
      </c>
      <c r="F3439" s="0" t="s">
        <v>12</v>
      </c>
      <c r="G3439" s="0" t="s">
        <v>8</v>
      </c>
      <c r="H3439" s="0">
        <v>163</v>
      </c>
      <c r="I3439" s="0">
        <v>209</v>
      </c>
      <c r="J3439" s="0">
        <v>0</v>
      </c>
      <c r="K3439" s="0">
        <v>1</v>
      </c>
      <c r="L3439" s="0">
        <v>3</v>
      </c>
      <c r="M3439" s="0">
        <v>5</v>
      </c>
      <c r="N3439" s="0">
        <v>0</v>
      </c>
      <c r="O3439" s="0">
        <v>0</v>
      </c>
      <c r="P3439" s="0">
        <v>0</v>
      </c>
      <c r="R3439" s="0" t="b">
        <v>0</v>
      </c>
      <c r="S3439" s="0" t="b">
        <v>1</v>
      </c>
      <c r="T3439" s="68">
        <v>45890.3867013889</v>
      </c>
      <c r="U3439" s="68">
        <v>45904.3333333333</v>
      </c>
      <c r="V3439" s="68">
        <v>0</v>
      </c>
      <c r="W3439" s="0">
        <f>IF(IF(B3439="none",1,IF(B3439="Trialer",1,0))+IF(C3439="Customer",1,IF(C3439="Lost",1,0))=2,1,0)</f>
      </c>
      <c r="X3439" s="0" t="s">
        <v>148</v>
      </c>
      <c r="Y3439" s="0" t="s">
        <v>243</v>
      </c>
      <c r="AV3439" s="68"/>
      <c r="AW3439" s="68"/>
      <c r="AY3439" s="27"/>
      <c r="BD3439" s="68">
        <v>46054.1666666667</v>
      </c>
      <c r="BE3439" s="68">
        <v>46082.1666666667</v>
      </c>
      <c r="BF3439" s="0" t="b">
        <v>0</v>
      </c>
      <c r="BG3439" s="0" t="b">
        <v>0</v>
      </c>
      <c r="BH3439" s="0">
        <v>209</v>
      </c>
      <c r="BI3439" s="0">
        <v>209</v>
      </c>
      <c r="BJ3439" s="0" t="s">
        <v>135</v>
      </c>
    </row>
    <row r="3440">
      <c r="A3440" s="0" t="s">
        <v>3693</v>
      </c>
      <c r="B3440" s="0" t="s">
        <v>134</v>
      </c>
      <c r="C3440" s="0" t="s">
        <v>134</v>
      </c>
      <c r="D3440" s="0" t="s">
        <v>135</v>
      </c>
      <c r="E3440" s="0" t="s">
        <v>2</v>
      </c>
      <c r="F3440" s="0" t="s">
        <v>12</v>
      </c>
      <c r="G3440" s="0" t="s">
        <v>8</v>
      </c>
      <c r="H3440" s="0">
        <v>163</v>
      </c>
      <c r="I3440" s="0">
        <v>185</v>
      </c>
      <c r="J3440" s="0">
        <v>0</v>
      </c>
      <c r="K3440" s="0">
        <v>1</v>
      </c>
      <c r="L3440" s="0">
        <v>2</v>
      </c>
      <c r="M3440" s="0">
        <v>5</v>
      </c>
      <c r="N3440" s="0">
        <v>0</v>
      </c>
      <c r="O3440" s="0">
        <v>0</v>
      </c>
      <c r="P3440" s="0">
        <v>0</v>
      </c>
      <c r="R3440" s="0" t="b">
        <v>0</v>
      </c>
      <c r="S3440" s="0" t="b">
        <v>1</v>
      </c>
      <c r="T3440" s="68">
        <v>45890.432025463</v>
      </c>
      <c r="U3440" s="68">
        <v>45929.3333333333</v>
      </c>
      <c r="V3440" s="68">
        <v>0</v>
      </c>
      <c r="W3440" s="0">
        <f>IF(IF(B3440="none",1,IF(B3440="Trialer",1,0))+IF(C3440="Customer",1,IF(C3440="Lost",1,0))=2,1,0)</f>
      </c>
      <c r="X3440" s="0" t="s">
        <v>145</v>
      </c>
      <c r="Y3440" s="0" t="s">
        <v>499</v>
      </c>
      <c r="AV3440" s="68"/>
      <c r="AW3440" s="68"/>
      <c r="AY3440" s="27"/>
      <c r="BD3440" s="68">
        <v>46054.1666666667</v>
      </c>
      <c r="BE3440" s="68">
        <v>46082.1666666667</v>
      </c>
      <c r="BF3440" s="0" t="b">
        <v>0</v>
      </c>
      <c r="BG3440" s="0" t="b">
        <v>0</v>
      </c>
      <c r="BH3440" s="0">
        <v>185</v>
      </c>
      <c r="BI3440" s="0">
        <v>185</v>
      </c>
      <c r="BJ3440" s="0" t="s">
        <v>135</v>
      </c>
    </row>
    <row r="3441">
      <c r="A3441" s="0" t="s">
        <v>3694</v>
      </c>
      <c r="B3441" s="0" t="s">
        <v>134</v>
      </c>
      <c r="C3441" s="0" t="s">
        <v>134</v>
      </c>
      <c r="D3441" s="0" t="s">
        <v>135</v>
      </c>
      <c r="E3441" s="0" t="s">
        <v>3</v>
      </c>
      <c r="F3441" s="0" t="s">
        <v>12</v>
      </c>
      <c r="G3441" s="0" t="s">
        <v>8</v>
      </c>
      <c r="H3441" s="0">
        <v>163</v>
      </c>
      <c r="I3441" s="0">
        <v>77</v>
      </c>
      <c r="J3441" s="0">
        <v>0</v>
      </c>
      <c r="K3441" s="0">
        <v>1</v>
      </c>
      <c r="L3441" s="0">
        <v>3</v>
      </c>
      <c r="M3441" s="0">
        <v>2</v>
      </c>
      <c r="N3441" s="0">
        <v>0</v>
      </c>
      <c r="O3441" s="0">
        <v>0</v>
      </c>
      <c r="P3441" s="0">
        <v>0</v>
      </c>
      <c r="R3441" s="0" t="b">
        <v>0</v>
      </c>
      <c r="S3441" s="0" t="b">
        <v>1</v>
      </c>
      <c r="T3441" s="68">
        <v>45890.492337963</v>
      </c>
      <c r="U3441" s="68">
        <v>45904.3333333333</v>
      </c>
      <c r="V3441" s="68">
        <v>0</v>
      </c>
      <c r="W3441" s="0">
        <f>IF(IF(B3441="none",1,IF(B3441="Trialer",1,0))+IF(C3441="Customer",1,IF(C3441="Lost",1,0))=2,1,0)</f>
      </c>
      <c r="X3441" s="0" t="s">
        <v>153</v>
      </c>
      <c r="Y3441" s="0" t="s">
        <v>243</v>
      </c>
      <c r="AV3441" s="68"/>
      <c r="AW3441" s="68"/>
      <c r="AY3441" s="27"/>
      <c r="BD3441" s="68">
        <v>46054.1666666667</v>
      </c>
      <c r="BE3441" s="68">
        <v>46082.1666666667</v>
      </c>
      <c r="BF3441" s="0" t="b">
        <v>0</v>
      </c>
      <c r="BG3441" s="0" t="b">
        <v>0</v>
      </c>
      <c r="BH3441" s="0">
        <v>77</v>
      </c>
      <c r="BI3441" s="0">
        <v>77</v>
      </c>
      <c r="BJ3441" s="0" t="s">
        <v>135</v>
      </c>
    </row>
    <row r="3442">
      <c r="A3442" s="0" t="s">
        <v>3695</v>
      </c>
      <c r="B3442" s="0" t="s">
        <v>134</v>
      </c>
      <c r="C3442" s="0" t="s">
        <v>134</v>
      </c>
      <c r="D3442" s="0" t="s">
        <v>135</v>
      </c>
      <c r="E3442" s="0" t="s">
        <v>3</v>
      </c>
      <c r="F3442" s="0" t="s">
        <v>11</v>
      </c>
      <c r="G3442" s="0" t="s">
        <v>8</v>
      </c>
      <c r="H3442" s="0">
        <v>163</v>
      </c>
      <c r="I3442" s="0">
        <v>117.6</v>
      </c>
      <c r="J3442" s="0">
        <v>0</v>
      </c>
      <c r="K3442" s="0">
        <v>1</v>
      </c>
      <c r="L3442" s="0">
        <v>3</v>
      </c>
      <c r="M3442" s="0">
        <v>3</v>
      </c>
      <c r="N3442" s="0">
        <v>0</v>
      </c>
      <c r="O3442" s="0">
        <v>0</v>
      </c>
      <c r="P3442" s="0">
        <v>0</v>
      </c>
      <c r="Q3442" s="0" t="s">
        <v>1743</v>
      </c>
      <c r="R3442" s="0" t="b">
        <v>1</v>
      </c>
      <c r="S3442" s="0" t="b">
        <v>1</v>
      </c>
      <c r="T3442" s="68">
        <v>45890.493912037</v>
      </c>
      <c r="U3442" s="68">
        <v>45890.3333333333</v>
      </c>
      <c r="V3442" s="68">
        <v>0</v>
      </c>
      <c r="W3442" s="0">
        <f>IF(IF(B3442="none",1,IF(B3442="Trialer",1,0))+IF(C3442="Customer",1,IF(C3442="Lost",1,0))=2,1,0)</f>
      </c>
      <c r="X3442" s="0" t="s">
        <v>145</v>
      </c>
      <c r="Y3442" s="0" t="s">
        <v>243</v>
      </c>
      <c r="AV3442" s="68"/>
      <c r="AW3442" s="68"/>
      <c r="AY3442" s="27"/>
      <c r="BD3442" s="68">
        <v>46054.1666666667</v>
      </c>
      <c r="BE3442" s="68">
        <v>46082.1666666667</v>
      </c>
      <c r="BF3442" s="0" t="b">
        <v>0</v>
      </c>
      <c r="BG3442" s="0" t="b">
        <v>0</v>
      </c>
      <c r="BH3442" s="0">
        <v>117.6</v>
      </c>
      <c r="BI3442" s="0">
        <v>117.6</v>
      </c>
      <c r="BJ3442" s="0" t="s">
        <v>135</v>
      </c>
    </row>
    <row r="3443">
      <c r="A3443" s="0" t="s">
        <v>3696</v>
      </c>
      <c r="B3443" s="0" t="s">
        <v>134</v>
      </c>
      <c r="C3443" s="0" t="s">
        <v>134</v>
      </c>
      <c r="D3443" s="0" t="s">
        <v>135</v>
      </c>
      <c r="E3443" s="0" t="s">
        <v>3</v>
      </c>
      <c r="F3443" s="0" t="s">
        <v>12</v>
      </c>
      <c r="G3443" s="0" t="s">
        <v>8</v>
      </c>
      <c r="H3443" s="0">
        <v>163</v>
      </c>
      <c r="I3443" s="0">
        <v>680</v>
      </c>
      <c r="J3443" s="0">
        <v>0</v>
      </c>
      <c r="K3443" s="0">
        <v>1</v>
      </c>
      <c r="L3443" s="0">
        <v>2</v>
      </c>
      <c r="M3443" s="0">
        <v>17</v>
      </c>
      <c r="N3443" s="0">
        <v>0</v>
      </c>
      <c r="O3443" s="0">
        <v>0</v>
      </c>
      <c r="P3443" s="0">
        <v>0</v>
      </c>
      <c r="R3443" s="0" t="b">
        <v>0</v>
      </c>
      <c r="S3443" s="0" t="b">
        <v>1</v>
      </c>
      <c r="T3443" s="68">
        <v>45890.5750694444</v>
      </c>
      <c r="U3443" s="68">
        <v>45895.3333333333</v>
      </c>
      <c r="V3443" s="68">
        <v>0</v>
      </c>
      <c r="W3443" s="0">
        <f>IF(IF(B3443="none",1,IF(B3443="Trialer",1,0))+IF(C3443="Customer",1,IF(C3443="Lost",1,0))=2,1,0)</f>
      </c>
      <c r="X3443" s="0" t="s">
        <v>145</v>
      </c>
      <c r="Y3443" s="0" t="s">
        <v>243</v>
      </c>
      <c r="AV3443" s="68"/>
      <c r="AW3443" s="68"/>
      <c r="AY3443" s="27"/>
      <c r="BD3443" s="68">
        <v>46054.1666666667</v>
      </c>
      <c r="BE3443" s="68">
        <v>46082.1666666667</v>
      </c>
      <c r="BF3443" s="0" t="b">
        <v>0</v>
      </c>
      <c r="BG3443" s="0" t="b">
        <v>0</v>
      </c>
      <c r="BH3443" s="0">
        <v>680</v>
      </c>
      <c r="BI3443" s="0">
        <v>680</v>
      </c>
      <c r="BJ3443" s="0" t="s">
        <v>135</v>
      </c>
    </row>
    <row r="3444">
      <c r="A3444" s="0" t="s">
        <v>3697</v>
      </c>
      <c r="B3444" s="0" t="s">
        <v>134</v>
      </c>
      <c r="C3444" s="0" t="s">
        <v>134</v>
      </c>
      <c r="D3444" s="0" t="s">
        <v>135</v>
      </c>
      <c r="E3444" s="0" t="s">
        <v>3</v>
      </c>
      <c r="F3444" s="0" t="s">
        <v>12</v>
      </c>
      <c r="G3444" s="0" t="s">
        <v>8</v>
      </c>
      <c r="H3444" s="0">
        <v>163</v>
      </c>
      <c r="I3444" s="0">
        <v>56</v>
      </c>
      <c r="J3444" s="0">
        <v>0</v>
      </c>
      <c r="K3444" s="0">
        <v>1</v>
      </c>
      <c r="L3444" s="0">
        <v>1</v>
      </c>
      <c r="M3444" s="0">
        <v>2</v>
      </c>
      <c r="N3444" s="0">
        <v>0</v>
      </c>
      <c r="O3444" s="0">
        <v>0</v>
      </c>
      <c r="P3444" s="0">
        <v>0</v>
      </c>
      <c r="R3444" s="0" t="b">
        <v>0</v>
      </c>
      <c r="S3444" s="0" t="b">
        <v>1</v>
      </c>
      <c r="T3444" s="68">
        <v>45890.6231365741</v>
      </c>
      <c r="U3444" s="68">
        <v>45904.3333333333</v>
      </c>
      <c r="V3444" s="68">
        <v>0</v>
      </c>
      <c r="W3444" s="0">
        <f>IF(IF(B3444="none",1,IF(B3444="Trialer",1,0))+IF(C3444="Customer",1,IF(C3444="Lost",1,0))=2,1,0)</f>
      </c>
      <c r="X3444" s="0" t="s">
        <v>153</v>
      </c>
      <c r="Y3444" s="0" t="s">
        <v>243</v>
      </c>
      <c r="AV3444" s="68"/>
      <c r="AW3444" s="68"/>
      <c r="AY3444" s="27"/>
      <c r="BD3444" s="68">
        <v>46054.1666666667</v>
      </c>
      <c r="BE3444" s="68">
        <v>46082.1666666667</v>
      </c>
      <c r="BF3444" s="0" t="b">
        <v>0</v>
      </c>
      <c r="BG3444" s="0" t="b">
        <v>0</v>
      </c>
      <c r="BH3444" s="0">
        <v>56</v>
      </c>
      <c r="BI3444" s="0">
        <v>56</v>
      </c>
      <c r="BJ3444" s="0" t="s">
        <v>135</v>
      </c>
    </row>
    <row r="3445">
      <c r="A3445" s="0" t="s">
        <v>3698</v>
      </c>
      <c r="B3445" s="0" t="s">
        <v>134</v>
      </c>
      <c r="C3445" s="0" t="s">
        <v>134</v>
      </c>
      <c r="D3445" s="0" t="s">
        <v>230</v>
      </c>
      <c r="E3445" s="0" t="s">
        <v>3</v>
      </c>
      <c r="F3445" s="0" t="s">
        <v>12</v>
      </c>
      <c r="G3445" s="0" t="s">
        <v>8</v>
      </c>
      <c r="H3445" s="0">
        <v>163</v>
      </c>
      <c r="I3445" s="0">
        <v>210</v>
      </c>
      <c r="J3445" s="0">
        <v>0</v>
      </c>
      <c r="K3445" s="0">
        <v>1</v>
      </c>
      <c r="L3445" s="0">
        <v>2</v>
      </c>
      <c r="M3445" s="0">
        <v>6</v>
      </c>
      <c r="N3445" s="0">
        <v>0</v>
      </c>
      <c r="O3445" s="0">
        <v>0</v>
      </c>
      <c r="P3445" s="0">
        <v>-210</v>
      </c>
      <c r="R3445" s="0" t="b">
        <v>0</v>
      </c>
      <c r="S3445" s="0" t="b">
        <v>1</v>
      </c>
      <c r="T3445" s="68">
        <v>45890.6976388889</v>
      </c>
      <c r="U3445" s="68">
        <v>45909.3333333333</v>
      </c>
      <c r="V3445" s="68">
        <v>0</v>
      </c>
      <c r="W3445" s="0">
        <f>IF(IF(B3445="none",1,IF(B3445="Trialer",1,0))+IF(C3445="Customer",1,IF(C3445="Lost",1,0))=2,1,0)</f>
      </c>
      <c r="X3445" s="0" t="s">
        <v>148</v>
      </c>
      <c r="Y3445" s="0" t="s">
        <v>243</v>
      </c>
      <c r="AV3445" s="68"/>
      <c r="AW3445" s="68"/>
      <c r="AY3445" s="27"/>
      <c r="BD3445" s="68">
        <v>46054.1666666667</v>
      </c>
      <c r="BE3445" s="68">
        <v>46082.1666666667</v>
      </c>
      <c r="BF3445" s="0" t="b">
        <v>0</v>
      </c>
      <c r="BG3445" s="0" t="b">
        <v>0</v>
      </c>
      <c r="BH3445" s="0">
        <v>240</v>
      </c>
      <c r="BI3445" s="0">
        <v>240</v>
      </c>
      <c r="BJ3445" s="0" t="s">
        <v>230</v>
      </c>
    </row>
    <row r="3446">
      <c r="A3446" s="0" t="s">
        <v>3699</v>
      </c>
      <c r="B3446" s="0" t="s">
        <v>134</v>
      </c>
      <c r="C3446" s="0" t="s">
        <v>134</v>
      </c>
      <c r="D3446" s="0" t="s">
        <v>230</v>
      </c>
      <c r="E3446" s="0" t="s">
        <v>3</v>
      </c>
      <c r="F3446" s="0" t="s">
        <v>12</v>
      </c>
      <c r="G3446" s="0" t="s">
        <v>8</v>
      </c>
      <c r="H3446" s="0">
        <v>163</v>
      </c>
      <c r="I3446" s="0">
        <v>121</v>
      </c>
      <c r="J3446" s="0">
        <v>0</v>
      </c>
      <c r="K3446" s="0">
        <v>1</v>
      </c>
      <c r="L3446" s="0">
        <v>3</v>
      </c>
      <c r="M3446" s="0">
        <v>3</v>
      </c>
      <c r="N3446" s="0">
        <v>0</v>
      </c>
      <c r="O3446" s="0">
        <v>0</v>
      </c>
      <c r="P3446" s="0">
        <v>-121</v>
      </c>
      <c r="R3446" s="0" t="b">
        <v>0</v>
      </c>
      <c r="S3446" s="0" t="b">
        <v>1</v>
      </c>
      <c r="T3446" s="68">
        <v>45890.7722222222</v>
      </c>
      <c r="U3446" s="68">
        <v>45904.3333333333</v>
      </c>
      <c r="V3446" s="68">
        <v>0</v>
      </c>
      <c r="W3446" s="0">
        <f>IF(IF(B3446="none",1,IF(B3446="Trialer",1,0))+IF(C3446="Customer",1,IF(C3446="Lost",1,0))=2,1,0)</f>
      </c>
      <c r="X3446" s="0" t="s">
        <v>142</v>
      </c>
      <c r="Y3446" s="0" t="s">
        <v>243</v>
      </c>
      <c r="AV3446" s="68"/>
      <c r="AW3446" s="68"/>
      <c r="AY3446" s="27"/>
      <c r="BD3446" s="68">
        <v>46054.1666666667</v>
      </c>
      <c r="BE3446" s="68">
        <v>46082.1666666667</v>
      </c>
      <c r="BF3446" s="0" t="b">
        <v>0</v>
      </c>
      <c r="BG3446" s="0" t="b">
        <v>0</v>
      </c>
      <c r="BH3446" s="0">
        <v>135</v>
      </c>
      <c r="BI3446" s="0">
        <v>135</v>
      </c>
      <c r="BJ3446" s="0" t="s">
        <v>230</v>
      </c>
    </row>
    <row r="3447">
      <c r="A3447" s="0" t="s">
        <v>3700</v>
      </c>
      <c r="B3447" s="0" t="s">
        <v>134</v>
      </c>
      <c r="C3447" s="0" t="s">
        <v>134</v>
      </c>
      <c r="D3447" s="0" t="s">
        <v>135</v>
      </c>
      <c r="E3447" s="0" t="s">
        <v>3</v>
      </c>
      <c r="F3447" s="0" t="s">
        <v>12</v>
      </c>
      <c r="G3447" s="0" t="s">
        <v>8</v>
      </c>
      <c r="H3447" s="0">
        <v>162</v>
      </c>
      <c r="I3447" s="0">
        <v>195</v>
      </c>
      <c r="J3447" s="0">
        <v>0</v>
      </c>
      <c r="K3447" s="0">
        <v>1</v>
      </c>
      <c r="L3447" s="0">
        <v>5</v>
      </c>
      <c r="M3447" s="0">
        <v>3</v>
      </c>
      <c r="N3447" s="0">
        <v>0</v>
      </c>
      <c r="O3447" s="0">
        <v>0</v>
      </c>
      <c r="P3447" s="0">
        <v>0</v>
      </c>
      <c r="R3447" s="0" t="b">
        <v>0</v>
      </c>
      <c r="S3447" s="0" t="b">
        <v>0</v>
      </c>
      <c r="T3447" s="68">
        <v>45891.0644907407</v>
      </c>
      <c r="U3447" s="68">
        <v>45905.3333333333</v>
      </c>
      <c r="V3447" s="68">
        <v>46098.7624537037</v>
      </c>
      <c r="W3447" s="0">
        <f>IF(IF(B3447="none",1,IF(B3447="Trialer",1,0))+IF(C3447="Customer",1,IF(C3447="Lost",1,0))=2,1,0)</f>
      </c>
      <c r="X3447" s="0" t="s">
        <v>166</v>
      </c>
      <c r="Y3447" s="0" t="s">
        <v>243</v>
      </c>
      <c r="AV3447" s="68"/>
      <c r="AW3447" s="68"/>
      <c r="AY3447" s="27"/>
      <c r="BD3447" s="68">
        <v>46054.1666666667</v>
      </c>
      <c r="BE3447" s="68">
        <v>46082.1666666667</v>
      </c>
      <c r="BF3447" s="0" t="b">
        <v>0</v>
      </c>
      <c r="BG3447" s="0" t="b">
        <v>0</v>
      </c>
      <c r="BH3447" s="0">
        <v>195</v>
      </c>
      <c r="BI3447" s="0">
        <v>195</v>
      </c>
      <c r="BJ3447" s="0" t="s">
        <v>135</v>
      </c>
    </row>
    <row r="3448">
      <c r="A3448" s="0" t="s">
        <v>3701</v>
      </c>
      <c r="B3448" s="0" t="s">
        <v>134</v>
      </c>
      <c r="C3448" s="0" t="s">
        <v>134</v>
      </c>
      <c r="D3448" s="0" t="s">
        <v>135</v>
      </c>
      <c r="E3448" s="0" t="s">
        <v>3</v>
      </c>
      <c r="F3448" s="0" t="s">
        <v>12</v>
      </c>
      <c r="G3448" s="0" t="s">
        <v>8</v>
      </c>
      <c r="H3448" s="0">
        <v>160</v>
      </c>
      <c r="I3448" s="0">
        <v>98</v>
      </c>
      <c r="J3448" s="0">
        <v>0</v>
      </c>
      <c r="K3448" s="0">
        <v>1</v>
      </c>
      <c r="L3448" s="0">
        <v>3</v>
      </c>
      <c r="M3448" s="0">
        <v>2</v>
      </c>
      <c r="N3448" s="0">
        <v>0</v>
      </c>
      <c r="O3448" s="0">
        <v>0</v>
      </c>
      <c r="P3448" s="0">
        <v>0</v>
      </c>
      <c r="R3448" s="0" t="b">
        <v>0</v>
      </c>
      <c r="S3448" s="0" t="b">
        <v>1</v>
      </c>
      <c r="T3448" s="68">
        <v>45893.536099537</v>
      </c>
      <c r="U3448" s="68">
        <v>45907.3333333333</v>
      </c>
      <c r="V3448" s="68">
        <v>0</v>
      </c>
      <c r="W3448" s="0">
        <f>IF(IF(B3448="none",1,IF(B3448="Trialer",1,0))+IF(C3448="Customer",1,IF(C3448="Lost",1,0))=2,1,0)</f>
      </c>
      <c r="X3448" s="0" t="s">
        <v>166</v>
      </c>
      <c r="Y3448" s="0" t="s">
        <v>243</v>
      </c>
      <c r="AV3448" s="68"/>
      <c r="AW3448" s="68"/>
      <c r="AY3448" s="27"/>
      <c r="BD3448" s="68">
        <v>46054.1666666667</v>
      </c>
      <c r="BE3448" s="68">
        <v>46082.1666666667</v>
      </c>
      <c r="BF3448" s="0" t="b">
        <v>0</v>
      </c>
      <c r="BG3448" s="0" t="b">
        <v>0</v>
      </c>
      <c r="BH3448" s="0">
        <v>98</v>
      </c>
      <c r="BI3448" s="0">
        <v>98</v>
      </c>
      <c r="BJ3448" s="0" t="s">
        <v>135</v>
      </c>
    </row>
    <row r="3449">
      <c r="A3449" s="0" t="s">
        <v>3702</v>
      </c>
      <c r="B3449" s="0" t="s">
        <v>134</v>
      </c>
      <c r="C3449" s="0" t="s">
        <v>134</v>
      </c>
      <c r="D3449" s="0" t="s">
        <v>230</v>
      </c>
      <c r="E3449" s="0" t="s">
        <v>3</v>
      </c>
      <c r="F3449" s="0" t="s">
        <v>12</v>
      </c>
      <c r="G3449" s="0" t="s">
        <v>8</v>
      </c>
      <c r="H3449" s="0">
        <v>159</v>
      </c>
      <c r="I3449" s="0">
        <v>582.25</v>
      </c>
      <c r="J3449" s="0">
        <v>0</v>
      </c>
      <c r="K3449" s="0">
        <v>1</v>
      </c>
      <c r="L3449" s="0">
        <v>3</v>
      </c>
      <c r="M3449" s="0">
        <v>7</v>
      </c>
      <c r="N3449" s="0">
        <v>837</v>
      </c>
      <c r="O3449" s="0">
        <v>0</v>
      </c>
      <c r="P3449" s="0">
        <v>-257.25</v>
      </c>
      <c r="R3449" s="0" t="b">
        <v>0</v>
      </c>
      <c r="S3449" s="0" t="b">
        <v>1</v>
      </c>
      <c r="T3449" s="68">
        <v>45894.5201041667</v>
      </c>
      <c r="U3449" s="68">
        <v>45914.3333333333</v>
      </c>
      <c r="V3449" s="68">
        <v>0</v>
      </c>
      <c r="W3449" s="0">
        <f>IF(IF(B3449="none",1,IF(B3449="Trialer",1,0))+IF(C3449="Customer",1,IF(C3449="Lost",1,0))=2,1,0)</f>
      </c>
      <c r="X3449" s="0" t="s">
        <v>136</v>
      </c>
      <c r="Y3449" s="0" t="s">
        <v>243</v>
      </c>
      <c r="AV3449" s="68"/>
      <c r="AW3449" s="68"/>
      <c r="AY3449" s="27"/>
      <c r="BD3449" s="68">
        <v>46054.1666666667</v>
      </c>
      <c r="BE3449" s="68">
        <v>46082.1666666667</v>
      </c>
      <c r="BF3449" s="0" t="b">
        <v>0</v>
      </c>
      <c r="BG3449" s="0" t="b">
        <v>0</v>
      </c>
      <c r="BH3449" s="0">
        <v>343</v>
      </c>
      <c r="BI3449" s="0">
        <v>343</v>
      </c>
      <c r="BJ3449" s="0" t="s">
        <v>230</v>
      </c>
    </row>
    <row r="3450">
      <c r="A3450" s="0" t="s">
        <v>3703</v>
      </c>
      <c r="B3450" s="0" t="s">
        <v>134</v>
      </c>
      <c r="C3450" s="0" t="s">
        <v>190</v>
      </c>
      <c r="D3450" s="0" t="s">
        <v>230</v>
      </c>
      <c r="E3450" s="0" t="s">
        <v>3</v>
      </c>
      <c r="F3450" s="0" t="s">
        <v>12</v>
      </c>
      <c r="G3450" s="0" t="s">
        <v>8</v>
      </c>
      <c r="H3450" s="0">
        <v>159</v>
      </c>
      <c r="I3450" s="0">
        <v>413</v>
      </c>
      <c r="J3450" s="0">
        <v>0</v>
      </c>
      <c r="K3450" s="0">
        <v>1</v>
      </c>
      <c r="L3450" s="0">
        <v>3</v>
      </c>
      <c r="M3450" s="0">
        <v>2</v>
      </c>
      <c r="N3450" s="0">
        <v>0</v>
      </c>
      <c r="O3450" s="0">
        <v>0</v>
      </c>
      <c r="P3450" s="0">
        <v>-88</v>
      </c>
      <c r="R3450" s="0" t="b">
        <v>0</v>
      </c>
      <c r="S3450" s="0" t="b">
        <v>0</v>
      </c>
      <c r="T3450" s="68">
        <v>45894.7034259259</v>
      </c>
      <c r="U3450" s="68">
        <v>45909.3333333333</v>
      </c>
      <c r="V3450" s="68">
        <v>46077.4946064815</v>
      </c>
      <c r="W3450" s="0">
        <f>IF(IF(B3450="none",1,IF(B3450="Trialer",1,0))+IF(C3450="Customer",1,IF(C3450="Lost",1,0))=2,1,0)</f>
      </c>
      <c r="X3450" s="0" t="s">
        <v>145</v>
      </c>
      <c r="Y3450" s="0" t="s">
        <v>243</v>
      </c>
      <c r="AV3450" s="68"/>
      <c r="AW3450" s="68"/>
      <c r="AY3450" s="27"/>
      <c r="BD3450" s="68">
        <v>46054.1666666667</v>
      </c>
      <c r="BE3450" s="68">
        <v>46082.1666666667</v>
      </c>
      <c r="BF3450" s="0" t="b">
        <v>0</v>
      </c>
      <c r="BG3450" s="0" t="b">
        <v>0</v>
      </c>
      <c r="BH3450" s="0">
        <v>98</v>
      </c>
      <c r="BI3450" s="0">
        <v>98</v>
      </c>
      <c r="BJ3450" s="0" t="s">
        <v>230</v>
      </c>
    </row>
    <row r="3451">
      <c r="A3451" s="0" t="s">
        <v>3704</v>
      </c>
      <c r="B3451" s="0" t="s">
        <v>134</v>
      </c>
      <c r="C3451" s="0" t="s">
        <v>134</v>
      </c>
      <c r="D3451" s="0" t="s">
        <v>230</v>
      </c>
      <c r="E3451" s="0" t="s">
        <v>2</v>
      </c>
      <c r="F3451" s="0" t="s">
        <v>10</v>
      </c>
      <c r="G3451" s="0" t="s">
        <v>8</v>
      </c>
      <c r="H3451" s="0">
        <v>159</v>
      </c>
      <c r="I3451" s="0">
        <v>465</v>
      </c>
      <c r="J3451" s="0">
        <v>0</v>
      </c>
      <c r="K3451" s="0">
        <v>1</v>
      </c>
      <c r="L3451" s="0">
        <v>3</v>
      </c>
      <c r="M3451" s="0">
        <v>11</v>
      </c>
      <c r="N3451" s="0">
        <v>0</v>
      </c>
      <c r="O3451" s="0">
        <v>0</v>
      </c>
      <c r="P3451" s="0">
        <v>-465</v>
      </c>
      <c r="Q3451" s="0" t="s">
        <v>2442</v>
      </c>
      <c r="R3451" s="0" t="b">
        <v>0</v>
      </c>
      <c r="S3451" s="0" t="b">
        <v>1</v>
      </c>
      <c r="T3451" s="68">
        <v>45894.7410532407</v>
      </c>
      <c r="U3451" s="68">
        <v>45916.3333333333</v>
      </c>
      <c r="V3451" s="68">
        <v>0</v>
      </c>
      <c r="W3451" s="0">
        <f>IF(IF(B3451="none",1,IF(B3451="Trialer",1,0))+IF(C3451="Customer",1,IF(C3451="Lost",1,0))=2,1,0)</f>
      </c>
      <c r="X3451" s="0" t="s">
        <v>136</v>
      </c>
      <c r="Y3451" s="0" t="s">
        <v>499</v>
      </c>
      <c r="AV3451" s="68"/>
      <c r="AW3451" s="68"/>
      <c r="AY3451" s="27"/>
      <c r="BD3451" s="68">
        <v>46054.1666666667</v>
      </c>
      <c r="BE3451" s="68">
        <v>46082.1666666667</v>
      </c>
      <c r="BF3451" s="0" t="b">
        <v>0</v>
      </c>
      <c r="BG3451" s="0" t="b">
        <v>0</v>
      </c>
      <c r="BH3451" s="0">
        <v>518</v>
      </c>
      <c r="BI3451" s="0">
        <v>518</v>
      </c>
      <c r="BJ3451" s="0" t="s">
        <v>230</v>
      </c>
    </row>
    <row r="3452">
      <c r="A3452" s="0" t="s">
        <v>3705</v>
      </c>
      <c r="B3452" s="0" t="s">
        <v>134</v>
      </c>
      <c r="C3452" s="0" t="s">
        <v>134</v>
      </c>
      <c r="D3452" s="0" t="s">
        <v>135</v>
      </c>
      <c r="E3452" s="0" t="s">
        <v>3</v>
      </c>
      <c r="F3452" s="0" t="s">
        <v>12</v>
      </c>
      <c r="G3452" s="0" t="s">
        <v>8</v>
      </c>
      <c r="H3452" s="0">
        <v>159</v>
      </c>
      <c r="I3452" s="0">
        <v>49</v>
      </c>
      <c r="J3452" s="0">
        <v>0</v>
      </c>
      <c r="K3452" s="0">
        <v>1</v>
      </c>
      <c r="L3452" s="0">
        <v>3</v>
      </c>
      <c r="M3452" s="0">
        <v>1</v>
      </c>
      <c r="N3452" s="0">
        <v>0</v>
      </c>
      <c r="O3452" s="0">
        <v>0</v>
      </c>
      <c r="P3452" s="0">
        <v>0</v>
      </c>
      <c r="R3452" s="0" t="b">
        <v>0</v>
      </c>
      <c r="S3452" s="0" t="b">
        <v>0</v>
      </c>
      <c r="T3452" s="68">
        <v>45894.8377199074</v>
      </c>
      <c r="U3452" s="68">
        <v>45908.3333333333</v>
      </c>
      <c r="V3452" s="68">
        <v>46089.5853819444</v>
      </c>
      <c r="W3452" s="0">
        <f>IF(IF(B3452="none",1,IF(B3452="Trialer",1,0))+IF(C3452="Customer",1,IF(C3452="Lost",1,0))=2,1,0)</f>
      </c>
      <c r="X3452" s="0" t="s">
        <v>153</v>
      </c>
      <c r="Y3452" s="0" t="s">
        <v>243</v>
      </c>
      <c r="AV3452" s="68"/>
      <c r="AW3452" s="68"/>
      <c r="AY3452" s="27"/>
      <c r="BD3452" s="68">
        <v>46054.1666666667</v>
      </c>
      <c r="BE3452" s="68">
        <v>46082.1666666667</v>
      </c>
      <c r="BF3452" s="0" t="b">
        <v>0</v>
      </c>
      <c r="BG3452" s="0" t="b">
        <v>0</v>
      </c>
      <c r="BH3452" s="0">
        <v>49</v>
      </c>
      <c r="BI3452" s="0">
        <v>49</v>
      </c>
      <c r="BJ3452" s="0" t="s">
        <v>135</v>
      </c>
    </row>
    <row r="3453">
      <c r="A3453" s="0" t="s">
        <v>3706</v>
      </c>
      <c r="B3453" s="0" t="s">
        <v>134</v>
      </c>
      <c r="C3453" s="0" t="s">
        <v>134</v>
      </c>
      <c r="D3453" s="0" t="s">
        <v>135</v>
      </c>
      <c r="E3453" s="0" t="s">
        <v>3</v>
      </c>
      <c r="F3453" s="0" t="s">
        <v>12</v>
      </c>
      <c r="G3453" s="0" t="s">
        <v>8</v>
      </c>
      <c r="H3453" s="0">
        <v>158</v>
      </c>
      <c r="I3453" s="0">
        <v>61</v>
      </c>
      <c r="J3453" s="0">
        <v>0</v>
      </c>
      <c r="K3453" s="0">
        <v>1</v>
      </c>
      <c r="L3453" s="0">
        <v>4</v>
      </c>
      <c r="M3453" s="0">
        <v>1</v>
      </c>
      <c r="N3453" s="0">
        <v>0</v>
      </c>
      <c r="O3453" s="0">
        <v>0</v>
      </c>
      <c r="P3453" s="0">
        <v>0</v>
      </c>
      <c r="R3453" s="0" t="b">
        <v>0</v>
      </c>
      <c r="S3453" s="0" t="b">
        <v>1</v>
      </c>
      <c r="T3453" s="68">
        <v>45895.5013425926</v>
      </c>
      <c r="U3453" s="68">
        <v>45909.3333333333</v>
      </c>
      <c r="V3453" s="68">
        <v>0</v>
      </c>
      <c r="W3453" s="0">
        <f>IF(IF(B3453="none",1,IF(B3453="Trialer",1,0))+IF(C3453="Customer",1,IF(C3453="Lost",1,0))=2,1,0)</f>
      </c>
      <c r="X3453" s="0" t="s">
        <v>1461</v>
      </c>
      <c r="Y3453" s="0" t="s">
        <v>243</v>
      </c>
      <c r="AV3453" s="68"/>
      <c r="AW3453" s="68"/>
      <c r="AY3453" s="27"/>
      <c r="BD3453" s="68">
        <v>46054.1666666667</v>
      </c>
      <c r="BE3453" s="68">
        <v>46082.1666666667</v>
      </c>
      <c r="BF3453" s="0" t="b">
        <v>0</v>
      </c>
      <c r="BG3453" s="0" t="b">
        <v>0</v>
      </c>
      <c r="BH3453" s="0">
        <v>61</v>
      </c>
      <c r="BI3453" s="0">
        <v>61</v>
      </c>
      <c r="BJ3453" s="0" t="s">
        <v>135</v>
      </c>
    </row>
    <row r="3454">
      <c r="A3454" s="0" t="s">
        <v>3707</v>
      </c>
      <c r="B3454" s="0" t="s">
        <v>134</v>
      </c>
      <c r="C3454" s="0" t="s">
        <v>134</v>
      </c>
      <c r="D3454" s="0" t="s">
        <v>135</v>
      </c>
      <c r="E3454" s="0" t="s">
        <v>3</v>
      </c>
      <c r="F3454" s="0" t="s">
        <v>12</v>
      </c>
      <c r="G3454" s="0" t="s">
        <v>8</v>
      </c>
      <c r="H3454" s="0">
        <v>158</v>
      </c>
      <c r="I3454" s="0">
        <v>77</v>
      </c>
      <c r="J3454" s="0">
        <v>0</v>
      </c>
      <c r="K3454" s="0">
        <v>1</v>
      </c>
      <c r="L3454" s="0">
        <v>3</v>
      </c>
      <c r="M3454" s="0">
        <v>2</v>
      </c>
      <c r="N3454" s="0">
        <v>0</v>
      </c>
      <c r="O3454" s="0">
        <v>0</v>
      </c>
      <c r="P3454" s="0">
        <v>0</v>
      </c>
      <c r="R3454" s="0" t="b">
        <v>0</v>
      </c>
      <c r="S3454" s="0" t="b">
        <v>1</v>
      </c>
      <c r="T3454" s="68">
        <v>45895.5217708333</v>
      </c>
      <c r="U3454" s="68">
        <v>45909.3333333333</v>
      </c>
      <c r="V3454" s="68">
        <v>0</v>
      </c>
      <c r="W3454" s="0">
        <f>IF(IF(B3454="none",1,IF(B3454="Trialer",1,0))+IF(C3454="Customer",1,IF(C3454="Lost",1,0))=2,1,0)</f>
      </c>
      <c r="X3454" s="0" t="s">
        <v>166</v>
      </c>
      <c r="Y3454" s="0" t="s">
        <v>243</v>
      </c>
      <c r="AV3454" s="68"/>
      <c r="AW3454" s="68"/>
      <c r="AY3454" s="27"/>
      <c r="BD3454" s="68">
        <v>46054.1666666667</v>
      </c>
      <c r="BE3454" s="68">
        <v>46082.1666666667</v>
      </c>
      <c r="BF3454" s="0" t="b">
        <v>0</v>
      </c>
      <c r="BG3454" s="0" t="b">
        <v>0</v>
      </c>
      <c r="BH3454" s="0">
        <v>77</v>
      </c>
      <c r="BI3454" s="0">
        <v>77</v>
      </c>
      <c r="BJ3454" s="0" t="s">
        <v>135</v>
      </c>
    </row>
    <row r="3455">
      <c r="A3455" s="0" t="s">
        <v>3708</v>
      </c>
      <c r="B3455" s="0" t="s">
        <v>134</v>
      </c>
      <c r="C3455" s="0" t="s">
        <v>134</v>
      </c>
      <c r="D3455" s="0" t="s">
        <v>135</v>
      </c>
      <c r="E3455" s="0" t="s">
        <v>2</v>
      </c>
      <c r="F3455" s="0" t="s">
        <v>12</v>
      </c>
      <c r="G3455" s="0" t="s">
        <v>8</v>
      </c>
      <c r="H3455" s="0">
        <v>158</v>
      </c>
      <c r="I3455" s="0">
        <v>1145</v>
      </c>
      <c r="J3455" s="0">
        <v>0</v>
      </c>
      <c r="K3455" s="0">
        <v>1</v>
      </c>
      <c r="L3455" s="0">
        <v>4</v>
      </c>
      <c r="M3455" s="0">
        <v>16</v>
      </c>
      <c r="N3455" s="0">
        <v>0</v>
      </c>
      <c r="O3455" s="0">
        <v>0</v>
      </c>
      <c r="P3455" s="0">
        <v>0</v>
      </c>
      <c r="R3455" s="0" t="b">
        <v>0</v>
      </c>
      <c r="S3455" s="0" t="b">
        <v>1</v>
      </c>
      <c r="T3455" s="68">
        <v>45895.5300810185</v>
      </c>
      <c r="U3455" s="68">
        <v>45895.3333333333</v>
      </c>
      <c r="V3455" s="68">
        <v>0</v>
      </c>
      <c r="W3455" s="0">
        <f>IF(IF(B3455="none",1,IF(B3455="Trialer",1,0))+IF(C3455="Customer",1,IF(C3455="Lost",1,0))=2,1,0)</f>
      </c>
      <c r="X3455" s="0" t="s">
        <v>145</v>
      </c>
      <c r="Y3455" s="0" t="s">
        <v>499</v>
      </c>
      <c r="AV3455" s="68"/>
      <c r="AW3455" s="68"/>
      <c r="AY3455" s="27"/>
      <c r="BD3455" s="68">
        <v>46054.1666666667</v>
      </c>
      <c r="BE3455" s="68">
        <v>46082.1666666667</v>
      </c>
      <c r="BF3455" s="0" t="b">
        <v>0</v>
      </c>
      <c r="BG3455" s="0" t="b">
        <v>0</v>
      </c>
      <c r="BH3455" s="0">
        <v>869</v>
      </c>
      <c r="BI3455" s="0">
        <v>869</v>
      </c>
      <c r="BJ3455" s="0" t="s">
        <v>135</v>
      </c>
    </row>
    <row r="3456">
      <c r="A3456" s="0" t="s">
        <v>3709</v>
      </c>
      <c r="B3456" s="0" t="s">
        <v>134</v>
      </c>
      <c r="C3456" s="0" t="s">
        <v>134</v>
      </c>
      <c r="D3456" s="0" t="s">
        <v>135</v>
      </c>
      <c r="E3456" s="0" t="s">
        <v>3</v>
      </c>
      <c r="F3456" s="0" t="s">
        <v>10</v>
      </c>
      <c r="G3456" s="0" t="s">
        <v>8</v>
      </c>
      <c r="H3456" s="0">
        <v>157</v>
      </c>
      <c r="I3456" s="0">
        <v>28</v>
      </c>
      <c r="J3456" s="0">
        <v>0</v>
      </c>
      <c r="K3456" s="0">
        <v>1</v>
      </c>
      <c r="L3456" s="0">
        <v>1</v>
      </c>
      <c r="M3456" s="0">
        <v>1</v>
      </c>
      <c r="N3456" s="0">
        <v>0</v>
      </c>
      <c r="O3456" s="0">
        <v>0</v>
      </c>
      <c r="P3456" s="0">
        <v>0</v>
      </c>
      <c r="Q3456" s="0" t="s">
        <v>618</v>
      </c>
      <c r="R3456" s="0" t="b">
        <v>0</v>
      </c>
      <c r="S3456" s="0" t="b">
        <v>1</v>
      </c>
      <c r="T3456" s="68">
        <v>45896.5069675926</v>
      </c>
      <c r="U3456" s="68">
        <v>45910.3333333333</v>
      </c>
      <c r="V3456" s="68">
        <v>0</v>
      </c>
      <c r="W3456" s="0">
        <f>IF(IF(B3456="none",1,IF(B3456="Trialer",1,0))+IF(C3456="Customer",1,IF(C3456="Lost",1,0))=2,1,0)</f>
      </c>
      <c r="X3456" s="0" t="s">
        <v>148</v>
      </c>
      <c r="Y3456" s="0" t="s">
        <v>243</v>
      </c>
      <c r="AV3456" s="68"/>
      <c r="AW3456" s="68"/>
      <c r="AY3456" s="27"/>
      <c r="BD3456" s="68">
        <v>46054.1666666667</v>
      </c>
      <c r="BE3456" s="68">
        <v>46082.1666666667</v>
      </c>
      <c r="BF3456" s="0" t="b">
        <v>0</v>
      </c>
      <c r="BG3456" s="0" t="b">
        <v>0</v>
      </c>
      <c r="BH3456" s="0">
        <v>28</v>
      </c>
      <c r="BI3456" s="0">
        <v>28</v>
      </c>
      <c r="BJ3456" s="0" t="s">
        <v>135</v>
      </c>
    </row>
    <row r="3457">
      <c r="A3457" s="0" t="s">
        <v>3710</v>
      </c>
      <c r="B3457" s="0" t="s">
        <v>134</v>
      </c>
      <c r="C3457" s="0" t="s">
        <v>134</v>
      </c>
      <c r="D3457" s="0" t="s">
        <v>230</v>
      </c>
      <c r="E3457" s="0" t="s">
        <v>3</v>
      </c>
      <c r="F3457" s="0" t="s">
        <v>12</v>
      </c>
      <c r="G3457" s="0" t="s">
        <v>8</v>
      </c>
      <c r="H3457" s="0">
        <v>157</v>
      </c>
      <c r="I3457" s="0">
        <v>75.75</v>
      </c>
      <c r="J3457" s="0">
        <v>0</v>
      </c>
      <c r="K3457" s="0">
        <v>1</v>
      </c>
      <c r="L3457" s="0">
        <v>4</v>
      </c>
      <c r="M3457" s="0">
        <v>2</v>
      </c>
      <c r="N3457" s="0">
        <v>155</v>
      </c>
      <c r="O3457" s="0">
        <v>0</v>
      </c>
      <c r="P3457" s="0">
        <v>-75.75</v>
      </c>
      <c r="R3457" s="0" t="b">
        <v>0</v>
      </c>
      <c r="S3457" s="0" t="b">
        <v>1</v>
      </c>
      <c r="T3457" s="68">
        <v>45896.5349884259</v>
      </c>
      <c r="U3457" s="68">
        <v>45915.3333333333</v>
      </c>
      <c r="V3457" s="68">
        <v>0</v>
      </c>
      <c r="W3457" s="0">
        <f>IF(IF(B3457="none",1,IF(B3457="Trialer",1,0))+IF(C3457="Customer",1,IF(C3457="Lost",1,0))=2,1,0)</f>
      </c>
      <c r="X3457" s="0" t="s">
        <v>142</v>
      </c>
      <c r="Y3457" s="0" t="s">
        <v>243</v>
      </c>
      <c r="AV3457" s="68"/>
      <c r="AW3457" s="68"/>
      <c r="AY3457" s="27"/>
      <c r="BD3457" s="68">
        <v>46054.1666666667</v>
      </c>
      <c r="BE3457" s="68">
        <v>46082.1666666667</v>
      </c>
      <c r="BF3457" s="0" t="b">
        <v>0</v>
      </c>
      <c r="BG3457" s="0" t="b">
        <v>0</v>
      </c>
      <c r="BH3457" s="0">
        <v>101</v>
      </c>
      <c r="BI3457" s="0">
        <v>101</v>
      </c>
      <c r="BJ3457" s="0" t="s">
        <v>230</v>
      </c>
    </row>
    <row r="3458">
      <c r="A3458" s="0" t="s">
        <v>3711</v>
      </c>
      <c r="B3458" s="0" t="s">
        <v>134</v>
      </c>
      <c r="C3458" s="0" t="s">
        <v>134</v>
      </c>
      <c r="D3458" s="0" t="s">
        <v>135</v>
      </c>
      <c r="E3458" s="0" t="s">
        <v>3</v>
      </c>
      <c r="F3458" s="0" t="s">
        <v>12</v>
      </c>
      <c r="G3458" s="0" t="s">
        <v>8</v>
      </c>
      <c r="H3458" s="0">
        <v>157</v>
      </c>
      <c r="I3458" s="0">
        <v>123</v>
      </c>
      <c r="J3458" s="0">
        <v>0</v>
      </c>
      <c r="K3458" s="0">
        <v>1</v>
      </c>
      <c r="L3458" s="0">
        <v>3</v>
      </c>
      <c r="M3458" s="0">
        <v>3</v>
      </c>
      <c r="N3458" s="0">
        <v>0</v>
      </c>
      <c r="O3458" s="0">
        <v>0</v>
      </c>
      <c r="P3458" s="0">
        <v>0</v>
      </c>
      <c r="R3458" s="0" t="b">
        <v>0</v>
      </c>
      <c r="S3458" s="0" t="b">
        <v>1</v>
      </c>
      <c r="T3458" s="68">
        <v>45896.5939467593</v>
      </c>
      <c r="U3458" s="68">
        <v>45930.3333333333</v>
      </c>
      <c r="V3458" s="68">
        <v>0</v>
      </c>
      <c r="W3458" s="0">
        <f>IF(IF(B3458="none",1,IF(B3458="Trialer",1,0))+IF(C3458="Customer",1,IF(C3458="Lost",1,0))=2,1,0)</f>
      </c>
      <c r="X3458" s="0" t="s">
        <v>142</v>
      </c>
      <c r="Y3458" s="0" t="s">
        <v>243</v>
      </c>
      <c r="AV3458" s="68"/>
      <c r="AW3458" s="68"/>
      <c r="AY3458" s="27"/>
      <c r="BD3458" s="68">
        <v>46054.1666666667</v>
      </c>
      <c r="BE3458" s="68">
        <v>46082.1666666667</v>
      </c>
      <c r="BF3458" s="0" t="b">
        <v>0</v>
      </c>
      <c r="BG3458" s="0" t="b">
        <v>0</v>
      </c>
      <c r="BH3458" s="0">
        <v>123</v>
      </c>
      <c r="BI3458" s="0">
        <v>123</v>
      </c>
      <c r="BJ3458" s="0" t="s">
        <v>135</v>
      </c>
    </row>
    <row r="3459">
      <c r="A3459" s="0" t="s">
        <v>3712</v>
      </c>
      <c r="B3459" s="0" t="s">
        <v>134</v>
      </c>
      <c r="C3459" s="0" t="s">
        <v>134</v>
      </c>
      <c r="D3459" s="0" t="s">
        <v>135</v>
      </c>
      <c r="E3459" s="0" t="s">
        <v>2</v>
      </c>
      <c r="F3459" s="0" t="s">
        <v>12</v>
      </c>
      <c r="G3459" s="0" t="s">
        <v>8</v>
      </c>
      <c r="H3459" s="0">
        <v>157</v>
      </c>
      <c r="I3459" s="0">
        <v>49</v>
      </c>
      <c r="J3459" s="0">
        <v>0</v>
      </c>
      <c r="K3459" s="0">
        <v>1</v>
      </c>
      <c r="L3459" s="0">
        <v>3</v>
      </c>
      <c r="M3459" s="0">
        <v>1</v>
      </c>
      <c r="N3459" s="0">
        <v>0</v>
      </c>
      <c r="O3459" s="0">
        <v>0</v>
      </c>
      <c r="P3459" s="0">
        <v>0</v>
      </c>
      <c r="R3459" s="0" t="b">
        <v>0</v>
      </c>
      <c r="S3459" s="0" t="b">
        <v>1</v>
      </c>
      <c r="T3459" s="68">
        <v>45896.714537037</v>
      </c>
      <c r="U3459" s="68">
        <v>45910.3333333333</v>
      </c>
      <c r="V3459" s="68">
        <v>0</v>
      </c>
      <c r="W3459" s="0">
        <f>IF(IF(B3459="none",1,IF(B3459="Trialer",1,0))+IF(C3459="Customer",1,IF(C3459="Lost",1,0))=2,1,0)</f>
      </c>
      <c r="X3459" s="0" t="s">
        <v>153</v>
      </c>
      <c r="Y3459" s="0" t="s">
        <v>499</v>
      </c>
      <c r="AV3459" s="68"/>
      <c r="AW3459" s="68"/>
      <c r="AY3459" s="27"/>
      <c r="BD3459" s="68">
        <v>46054.1666666667</v>
      </c>
      <c r="BE3459" s="68">
        <v>46082.1666666667</v>
      </c>
      <c r="BF3459" s="0" t="b">
        <v>0</v>
      </c>
      <c r="BG3459" s="0" t="b">
        <v>0</v>
      </c>
      <c r="BH3459" s="0">
        <v>49</v>
      </c>
      <c r="BI3459" s="0">
        <v>49</v>
      </c>
      <c r="BJ3459" s="0" t="s">
        <v>135</v>
      </c>
    </row>
    <row r="3460">
      <c r="A3460" s="0" t="s">
        <v>3713</v>
      </c>
      <c r="B3460" s="0" t="s">
        <v>134</v>
      </c>
      <c r="C3460" s="0" t="s">
        <v>134</v>
      </c>
      <c r="D3460" s="0" t="s">
        <v>135</v>
      </c>
      <c r="E3460" s="0" t="s">
        <v>3</v>
      </c>
      <c r="F3460" s="0" t="s">
        <v>12</v>
      </c>
      <c r="G3460" s="0" t="s">
        <v>8</v>
      </c>
      <c r="H3460" s="0">
        <v>156</v>
      </c>
      <c r="I3460" s="0">
        <v>521</v>
      </c>
      <c r="J3460" s="0">
        <v>0</v>
      </c>
      <c r="K3460" s="0">
        <v>1</v>
      </c>
      <c r="L3460" s="0">
        <v>3</v>
      </c>
      <c r="M3460" s="0">
        <v>4</v>
      </c>
      <c r="N3460" s="0">
        <v>0</v>
      </c>
      <c r="O3460" s="0">
        <v>0</v>
      </c>
      <c r="P3460" s="0">
        <v>0</v>
      </c>
      <c r="R3460" s="0" t="b">
        <v>0</v>
      </c>
      <c r="S3460" s="0" t="b">
        <v>1</v>
      </c>
      <c r="T3460" s="68">
        <v>45897.0709837963</v>
      </c>
      <c r="U3460" s="68">
        <v>45911.3333333333</v>
      </c>
      <c r="V3460" s="68">
        <v>0</v>
      </c>
      <c r="W3460" s="0">
        <f>IF(IF(B3460="none",1,IF(B3460="Trialer",1,0))+IF(C3460="Customer",1,IF(C3460="Lost",1,0))=2,1,0)</f>
      </c>
      <c r="X3460" s="0" t="s">
        <v>148</v>
      </c>
      <c r="Y3460" s="0" t="s">
        <v>243</v>
      </c>
      <c r="AV3460" s="68"/>
      <c r="AW3460" s="68"/>
      <c r="AY3460" s="27"/>
      <c r="BD3460" s="68">
        <v>46054.1666666667</v>
      </c>
      <c r="BE3460" s="68">
        <v>46082.1666666667</v>
      </c>
      <c r="BF3460" s="0" t="b">
        <v>0</v>
      </c>
      <c r="BG3460" s="0" t="b">
        <v>0</v>
      </c>
      <c r="BH3460" s="0">
        <v>196</v>
      </c>
      <c r="BI3460" s="0">
        <v>196</v>
      </c>
      <c r="BJ3460" s="0" t="s">
        <v>135</v>
      </c>
    </row>
    <row r="3461">
      <c r="A3461" s="0" t="s">
        <v>3714</v>
      </c>
      <c r="B3461" s="0" t="s">
        <v>134</v>
      </c>
      <c r="C3461" s="0" t="s">
        <v>134</v>
      </c>
      <c r="D3461" s="0" t="s">
        <v>135</v>
      </c>
      <c r="E3461" s="0" t="s">
        <v>3</v>
      </c>
      <c r="F3461" s="0" t="s">
        <v>12</v>
      </c>
      <c r="G3461" s="0" t="s">
        <v>8</v>
      </c>
      <c r="H3461" s="0">
        <v>156</v>
      </c>
      <c r="I3461" s="0">
        <v>685</v>
      </c>
      <c r="J3461" s="0">
        <v>0</v>
      </c>
      <c r="K3461" s="0">
        <v>1</v>
      </c>
      <c r="L3461" s="0">
        <v>5</v>
      </c>
      <c r="M3461" s="0">
        <v>7</v>
      </c>
      <c r="N3461" s="0">
        <v>0</v>
      </c>
      <c r="O3461" s="0">
        <v>0</v>
      </c>
      <c r="P3461" s="0">
        <v>0</v>
      </c>
      <c r="R3461" s="0" t="b">
        <v>0</v>
      </c>
      <c r="S3461" s="0" t="b">
        <v>1</v>
      </c>
      <c r="T3461" s="68">
        <v>45897.4951388889</v>
      </c>
      <c r="U3461" s="68">
        <v>45918.3333333333</v>
      </c>
      <c r="V3461" s="68">
        <v>0</v>
      </c>
      <c r="W3461" s="0">
        <f>IF(IF(B3461="none",1,IF(B3461="Trialer",1,0))+IF(C3461="Customer",1,IF(C3461="Lost",1,0))=2,1,0)</f>
      </c>
      <c r="X3461" s="0" t="s">
        <v>145</v>
      </c>
      <c r="Y3461" s="0" t="s">
        <v>243</v>
      </c>
      <c r="AV3461" s="68"/>
      <c r="AW3461" s="68"/>
      <c r="AY3461" s="27"/>
      <c r="BD3461" s="68">
        <v>46054.1666666667</v>
      </c>
      <c r="BE3461" s="68">
        <v>46082.1666666667</v>
      </c>
      <c r="BF3461" s="0" t="b">
        <v>0</v>
      </c>
      <c r="BG3461" s="0" t="b">
        <v>0</v>
      </c>
      <c r="BH3461" s="0">
        <v>360</v>
      </c>
      <c r="BI3461" s="0">
        <v>360</v>
      </c>
      <c r="BJ3461" s="0" t="s">
        <v>135</v>
      </c>
    </row>
    <row r="3462">
      <c r="A3462" s="0" t="s">
        <v>3715</v>
      </c>
      <c r="B3462" s="0" t="s">
        <v>134</v>
      </c>
      <c r="C3462" s="0" t="s">
        <v>134</v>
      </c>
      <c r="D3462" s="0" t="s">
        <v>230</v>
      </c>
      <c r="E3462" s="0" t="s">
        <v>3</v>
      </c>
      <c r="F3462" s="0" t="s">
        <v>12</v>
      </c>
      <c r="G3462" s="0" t="s">
        <v>8</v>
      </c>
      <c r="H3462" s="0">
        <v>156</v>
      </c>
      <c r="I3462" s="0">
        <v>-9</v>
      </c>
      <c r="J3462" s="0">
        <v>0</v>
      </c>
      <c r="K3462" s="0">
        <v>1</v>
      </c>
      <c r="L3462" s="0">
        <v>5</v>
      </c>
      <c r="M3462" s="0">
        <v>1</v>
      </c>
      <c r="N3462" s="0">
        <v>0</v>
      </c>
      <c r="O3462" s="0">
        <v>0</v>
      </c>
      <c r="P3462" s="0">
        <v>9</v>
      </c>
      <c r="R3462" s="0" t="b">
        <v>0</v>
      </c>
      <c r="S3462" s="0" t="b">
        <v>1</v>
      </c>
      <c r="T3462" s="68">
        <v>45897.5597222222</v>
      </c>
      <c r="U3462" s="68">
        <v>45929.3333333333</v>
      </c>
      <c r="V3462" s="68">
        <v>0</v>
      </c>
      <c r="W3462" s="0">
        <f>IF(IF(B3462="none",1,IF(B3462="Trialer",1,0))+IF(C3462="Customer",1,IF(C3462="Lost",1,0))=2,1,0)</f>
      </c>
      <c r="X3462" s="0" t="s">
        <v>153</v>
      </c>
      <c r="Y3462" s="0" t="s">
        <v>243</v>
      </c>
      <c r="AV3462" s="68"/>
      <c r="AW3462" s="68"/>
      <c r="AY3462" s="27"/>
      <c r="BD3462" s="68">
        <v>46054.1666666667</v>
      </c>
      <c r="BE3462" s="68">
        <v>46082.1666666667</v>
      </c>
      <c r="BF3462" s="0" t="b">
        <v>0</v>
      </c>
      <c r="BG3462" s="0" t="b">
        <v>0</v>
      </c>
      <c r="BH3462" s="0">
        <v>0</v>
      </c>
      <c r="BI3462" s="0">
        <v>0</v>
      </c>
      <c r="BJ3462" s="0" t="s">
        <v>230</v>
      </c>
    </row>
    <row r="3463">
      <c r="A3463" s="0" t="s">
        <v>3716</v>
      </c>
      <c r="B3463" s="0" t="s">
        <v>134</v>
      </c>
      <c r="C3463" s="0" t="s">
        <v>134</v>
      </c>
      <c r="D3463" s="0" t="s">
        <v>135</v>
      </c>
      <c r="E3463" s="0" t="s">
        <v>3</v>
      </c>
      <c r="F3463" s="0" t="s">
        <v>12</v>
      </c>
      <c r="G3463" s="0" t="s">
        <v>8</v>
      </c>
      <c r="H3463" s="0">
        <v>156</v>
      </c>
      <c r="I3463" s="0">
        <v>374</v>
      </c>
      <c r="J3463" s="0">
        <v>0</v>
      </c>
      <c r="K3463" s="0">
        <v>1</v>
      </c>
      <c r="L3463" s="0">
        <v>3</v>
      </c>
      <c r="M3463" s="0">
        <v>1</v>
      </c>
      <c r="N3463" s="0">
        <v>0</v>
      </c>
      <c r="O3463" s="0">
        <v>0</v>
      </c>
      <c r="P3463" s="0">
        <v>0</v>
      </c>
      <c r="R3463" s="0" t="b">
        <v>0</v>
      </c>
      <c r="S3463" s="0" t="b">
        <v>1</v>
      </c>
      <c r="T3463" s="68">
        <v>45897.6035300926</v>
      </c>
      <c r="U3463" s="68">
        <v>45915.3333333333</v>
      </c>
      <c r="V3463" s="68">
        <v>0</v>
      </c>
      <c r="W3463" s="0">
        <f>IF(IF(B3463="none",1,IF(B3463="Trialer",1,0))+IF(C3463="Customer",1,IF(C3463="Lost",1,0))=2,1,0)</f>
      </c>
      <c r="X3463" s="0" t="s">
        <v>136</v>
      </c>
      <c r="Y3463" s="0" t="s">
        <v>243</v>
      </c>
      <c r="AV3463" s="68"/>
      <c r="AW3463" s="68"/>
      <c r="AY3463" s="27"/>
      <c r="BD3463" s="68">
        <v>46054.1666666667</v>
      </c>
      <c r="BE3463" s="68">
        <v>46082.1666666667</v>
      </c>
      <c r="BF3463" s="0" t="b">
        <v>0</v>
      </c>
      <c r="BG3463" s="0" t="b">
        <v>0</v>
      </c>
      <c r="BH3463" s="0">
        <v>49</v>
      </c>
      <c r="BI3463" s="0">
        <v>49</v>
      </c>
      <c r="BJ3463" s="0" t="s">
        <v>135</v>
      </c>
    </row>
    <row r="3464">
      <c r="A3464" s="0" t="s">
        <v>3717</v>
      </c>
      <c r="B3464" s="0" t="s">
        <v>134</v>
      </c>
      <c r="C3464" s="0" t="s">
        <v>134</v>
      </c>
      <c r="D3464" s="0" t="s">
        <v>230</v>
      </c>
      <c r="E3464" s="0" t="s">
        <v>2</v>
      </c>
      <c r="F3464" s="0" t="s">
        <v>12</v>
      </c>
      <c r="G3464" s="0" t="s">
        <v>8</v>
      </c>
      <c r="H3464" s="0">
        <v>156</v>
      </c>
      <c r="I3464" s="0">
        <v>330.75</v>
      </c>
      <c r="J3464" s="0">
        <v>0</v>
      </c>
      <c r="K3464" s="0">
        <v>1</v>
      </c>
      <c r="L3464" s="0">
        <v>3</v>
      </c>
      <c r="M3464" s="0">
        <v>9</v>
      </c>
      <c r="N3464" s="0">
        <v>0</v>
      </c>
      <c r="O3464" s="0">
        <v>0</v>
      </c>
      <c r="P3464" s="0">
        <v>-330.75</v>
      </c>
      <c r="R3464" s="0" t="b">
        <v>0</v>
      </c>
      <c r="S3464" s="0" t="b">
        <v>1</v>
      </c>
      <c r="T3464" s="68">
        <v>45897.6657638889</v>
      </c>
      <c r="U3464" s="68">
        <v>45911.3333333333</v>
      </c>
      <c r="V3464" s="68">
        <v>0</v>
      </c>
      <c r="W3464" s="0">
        <f>IF(IF(B3464="none",1,IF(B3464="Trialer",1,0))+IF(C3464="Customer",1,IF(C3464="Lost",1,0))=2,1,0)</f>
      </c>
      <c r="X3464" s="0" t="s">
        <v>148</v>
      </c>
      <c r="Y3464" s="0" t="s">
        <v>499</v>
      </c>
      <c r="AV3464" s="68"/>
      <c r="AW3464" s="68"/>
      <c r="AY3464" s="27"/>
      <c r="BD3464" s="68">
        <v>46054.1666666667</v>
      </c>
      <c r="BE3464" s="68">
        <v>46082.1666666667</v>
      </c>
      <c r="BF3464" s="0" t="b">
        <v>0</v>
      </c>
      <c r="BG3464" s="0" t="b">
        <v>0</v>
      </c>
      <c r="BH3464" s="0">
        <v>490</v>
      </c>
      <c r="BI3464" s="0">
        <v>490</v>
      </c>
      <c r="BJ3464" s="0" t="s">
        <v>230</v>
      </c>
    </row>
    <row r="3465">
      <c r="A3465" s="0" t="s">
        <v>3718</v>
      </c>
      <c r="B3465" s="0" t="s">
        <v>134</v>
      </c>
      <c r="C3465" s="0" t="s">
        <v>134</v>
      </c>
      <c r="D3465" s="0" t="s">
        <v>135</v>
      </c>
      <c r="E3465" s="0" t="s">
        <v>2</v>
      </c>
      <c r="F3465" s="0" t="s">
        <v>12</v>
      </c>
      <c r="G3465" s="0" t="s">
        <v>8</v>
      </c>
      <c r="H3465" s="0">
        <v>155</v>
      </c>
      <c r="I3465" s="0">
        <v>147</v>
      </c>
      <c r="J3465" s="0">
        <v>0</v>
      </c>
      <c r="K3465" s="0">
        <v>1</v>
      </c>
      <c r="L3465" s="0">
        <v>3</v>
      </c>
      <c r="M3465" s="0">
        <v>3</v>
      </c>
      <c r="N3465" s="0">
        <v>0</v>
      </c>
      <c r="O3465" s="0">
        <v>0</v>
      </c>
      <c r="P3465" s="0">
        <v>0</v>
      </c>
      <c r="R3465" s="0" t="b">
        <v>0</v>
      </c>
      <c r="S3465" s="0" t="b">
        <v>1</v>
      </c>
      <c r="T3465" s="68">
        <v>45898.4422685185</v>
      </c>
      <c r="U3465" s="68">
        <v>45923.3333333333</v>
      </c>
      <c r="V3465" s="68">
        <v>0</v>
      </c>
      <c r="W3465" s="0">
        <f>IF(IF(B3465="none",1,IF(B3465="Trialer",1,0))+IF(C3465="Customer",1,IF(C3465="Lost",1,0))=2,1,0)</f>
      </c>
      <c r="X3465" s="0" t="s">
        <v>166</v>
      </c>
      <c r="Y3465" s="0" t="s">
        <v>499</v>
      </c>
      <c r="AV3465" s="68"/>
      <c r="AW3465" s="68"/>
      <c r="AY3465" s="27"/>
      <c r="BD3465" s="68">
        <v>46054.1666666667</v>
      </c>
      <c r="BE3465" s="68">
        <v>46082.1666666667</v>
      </c>
      <c r="BF3465" s="0" t="b">
        <v>0</v>
      </c>
      <c r="BG3465" s="0" t="b">
        <v>0</v>
      </c>
      <c r="BH3465" s="0">
        <v>147</v>
      </c>
      <c r="BI3465" s="0">
        <v>147</v>
      </c>
      <c r="BJ3465" s="0" t="s">
        <v>135</v>
      </c>
    </row>
    <row r="3466">
      <c r="A3466" s="0" t="s">
        <v>3719</v>
      </c>
      <c r="B3466" s="0" t="s">
        <v>134</v>
      </c>
      <c r="C3466" s="0" t="s">
        <v>134</v>
      </c>
      <c r="D3466" s="0" t="s">
        <v>230</v>
      </c>
      <c r="E3466" s="0" t="s">
        <v>3</v>
      </c>
      <c r="F3466" s="0" t="s">
        <v>12</v>
      </c>
      <c r="G3466" s="0" t="s">
        <v>8</v>
      </c>
      <c r="H3466" s="0">
        <v>155</v>
      </c>
      <c r="I3466" s="0">
        <v>91.5</v>
      </c>
      <c r="J3466" s="0">
        <v>0</v>
      </c>
      <c r="K3466" s="0">
        <v>1</v>
      </c>
      <c r="L3466" s="0">
        <v>5</v>
      </c>
      <c r="M3466" s="0">
        <v>2</v>
      </c>
      <c r="N3466" s="0">
        <v>0</v>
      </c>
      <c r="O3466" s="0">
        <v>0</v>
      </c>
      <c r="P3466" s="0">
        <v>-91.5</v>
      </c>
      <c r="R3466" s="0" t="b">
        <v>0</v>
      </c>
      <c r="S3466" s="0" t="b">
        <v>1</v>
      </c>
      <c r="T3466" s="68">
        <v>45898.5030208333</v>
      </c>
      <c r="U3466" s="68">
        <v>45912.3333333333</v>
      </c>
      <c r="V3466" s="68">
        <v>0</v>
      </c>
      <c r="W3466" s="0">
        <f>IF(IF(B3466="none",1,IF(B3466="Trialer",1,0))+IF(C3466="Customer",1,IF(C3466="Lost",1,0))=2,1,0)</f>
      </c>
      <c r="X3466" s="0" t="s">
        <v>166</v>
      </c>
      <c r="Y3466" s="0" t="s">
        <v>243</v>
      </c>
      <c r="AV3466" s="68"/>
      <c r="AW3466" s="68"/>
      <c r="AY3466" s="27"/>
      <c r="BD3466" s="68">
        <v>46054.1666666667</v>
      </c>
      <c r="BE3466" s="68">
        <v>46082.1666666667</v>
      </c>
      <c r="BF3466" s="0" t="b">
        <v>0</v>
      </c>
      <c r="BG3466" s="0" t="b">
        <v>0</v>
      </c>
      <c r="BH3466" s="0">
        <v>122</v>
      </c>
      <c r="BI3466" s="0">
        <v>122</v>
      </c>
      <c r="BJ3466" s="0" t="s">
        <v>230</v>
      </c>
    </row>
    <row r="3467">
      <c r="A3467" s="0" t="s">
        <v>3720</v>
      </c>
      <c r="B3467" s="0" t="s">
        <v>134</v>
      </c>
      <c r="C3467" s="0" t="s">
        <v>134</v>
      </c>
      <c r="D3467" s="0" t="s">
        <v>230</v>
      </c>
      <c r="E3467" s="0" t="s">
        <v>2</v>
      </c>
      <c r="F3467" s="0" t="s">
        <v>10</v>
      </c>
      <c r="G3467" s="0" t="s">
        <v>8</v>
      </c>
      <c r="H3467" s="0">
        <v>155</v>
      </c>
      <c r="I3467" s="0">
        <v>982</v>
      </c>
      <c r="J3467" s="0">
        <v>0</v>
      </c>
      <c r="K3467" s="0">
        <v>1</v>
      </c>
      <c r="L3467" s="0">
        <v>4</v>
      </c>
      <c r="M3467" s="0">
        <v>18</v>
      </c>
      <c r="N3467" s="0">
        <v>1395</v>
      </c>
      <c r="O3467" s="0">
        <v>0</v>
      </c>
      <c r="P3467" s="0">
        <v>-657</v>
      </c>
      <c r="Q3467" s="0" t="s">
        <v>756</v>
      </c>
      <c r="R3467" s="0" t="b">
        <v>0</v>
      </c>
      <c r="S3467" s="0" t="b">
        <v>1</v>
      </c>
      <c r="T3467" s="68">
        <v>45898.5450810185</v>
      </c>
      <c r="U3467" s="68">
        <v>45898.3333333333</v>
      </c>
      <c r="V3467" s="68">
        <v>0</v>
      </c>
      <c r="W3467" s="0">
        <f>IF(IF(B3467="none",1,IF(B3467="Trialer",1,0))+IF(C3467="Customer",1,IF(C3467="Lost",1,0))=2,1,0)</f>
      </c>
      <c r="X3467" s="0" t="s">
        <v>136</v>
      </c>
      <c r="Y3467" s="0" t="s">
        <v>499</v>
      </c>
      <c r="AV3467" s="68"/>
      <c r="AW3467" s="68"/>
      <c r="AY3467" s="27"/>
      <c r="BD3467" s="68">
        <v>46054.1666666667</v>
      </c>
      <c r="BE3467" s="68">
        <v>46082.1666666667</v>
      </c>
      <c r="BF3467" s="0" t="b">
        <v>0</v>
      </c>
      <c r="BG3467" s="0" t="b">
        <v>0</v>
      </c>
      <c r="BH3467" s="0">
        <v>916</v>
      </c>
      <c r="BI3467" s="0">
        <v>916</v>
      </c>
      <c r="BJ3467" s="0" t="s">
        <v>230</v>
      </c>
    </row>
    <row r="3468">
      <c r="A3468" s="0" t="s">
        <v>3721</v>
      </c>
      <c r="B3468" s="0" t="s">
        <v>134</v>
      </c>
      <c r="C3468" s="0" t="s">
        <v>134</v>
      </c>
      <c r="D3468" s="0" t="s">
        <v>230</v>
      </c>
      <c r="E3468" s="0" t="s">
        <v>3</v>
      </c>
      <c r="F3468" s="0" t="s">
        <v>12</v>
      </c>
      <c r="G3468" s="0" t="s">
        <v>8</v>
      </c>
      <c r="H3468" s="0">
        <v>154</v>
      </c>
      <c r="I3468" s="0">
        <v>129</v>
      </c>
      <c r="J3468" s="0">
        <v>0</v>
      </c>
      <c r="K3468" s="0">
        <v>1</v>
      </c>
      <c r="L3468" s="0">
        <v>3</v>
      </c>
      <c r="M3468" s="0">
        <v>5</v>
      </c>
      <c r="N3468" s="0">
        <v>0</v>
      </c>
      <c r="O3468" s="0">
        <v>0</v>
      </c>
      <c r="P3468" s="0">
        <v>-129</v>
      </c>
      <c r="R3468" s="0" t="b">
        <v>0</v>
      </c>
      <c r="S3468" s="0" t="b">
        <v>1</v>
      </c>
      <c r="T3468" s="68">
        <v>45899.5490509259</v>
      </c>
      <c r="U3468" s="68">
        <v>45909.3333333333</v>
      </c>
      <c r="V3468" s="68">
        <v>0</v>
      </c>
      <c r="W3468" s="0">
        <f>IF(IF(B3468="none",1,IF(B3468="Trialer",1,0))+IF(C3468="Customer",1,IF(C3468="Lost",1,0))=2,1,0)</f>
      </c>
      <c r="X3468" s="0" t="s">
        <v>145</v>
      </c>
      <c r="Y3468" s="0" t="s">
        <v>243</v>
      </c>
      <c r="AV3468" s="68"/>
      <c r="AW3468" s="68"/>
      <c r="AY3468" s="27"/>
      <c r="BD3468" s="68">
        <v>46054.1666666667</v>
      </c>
      <c r="BE3468" s="68">
        <v>46082.1666666667</v>
      </c>
      <c r="BF3468" s="0" t="b">
        <v>0</v>
      </c>
      <c r="BG3468" s="0" t="b">
        <v>0</v>
      </c>
      <c r="BH3468" s="0">
        <v>172</v>
      </c>
      <c r="BI3468" s="0">
        <v>172</v>
      </c>
      <c r="BJ3468" s="0" t="s">
        <v>230</v>
      </c>
    </row>
    <row r="3469">
      <c r="A3469" s="0" t="s">
        <v>3722</v>
      </c>
      <c r="B3469" s="0" t="s">
        <v>134</v>
      </c>
      <c r="C3469" s="0" t="s">
        <v>134</v>
      </c>
      <c r="D3469" s="0" t="s">
        <v>230</v>
      </c>
      <c r="E3469" s="0" t="s">
        <v>2</v>
      </c>
      <c r="F3469" s="0" t="s">
        <v>12</v>
      </c>
      <c r="G3469" s="0" t="s">
        <v>8</v>
      </c>
      <c r="H3469" s="0">
        <v>154</v>
      </c>
      <c r="I3469" s="0">
        <v>121.5</v>
      </c>
      <c r="J3469" s="0">
        <v>0</v>
      </c>
      <c r="K3469" s="0">
        <v>1</v>
      </c>
      <c r="L3469" s="0">
        <v>5</v>
      </c>
      <c r="M3469" s="0">
        <v>3</v>
      </c>
      <c r="N3469" s="0">
        <v>0</v>
      </c>
      <c r="O3469" s="0">
        <v>0</v>
      </c>
      <c r="P3469" s="0">
        <v>-121.5</v>
      </c>
      <c r="R3469" s="0" t="b">
        <v>0</v>
      </c>
      <c r="S3469" s="0" t="b">
        <v>1</v>
      </c>
      <c r="T3469" s="68">
        <v>45899.7782638889</v>
      </c>
      <c r="U3469" s="68">
        <v>45913.3333333333</v>
      </c>
      <c r="V3469" s="68">
        <v>0</v>
      </c>
      <c r="W3469" s="0">
        <f>IF(IF(B3469="none",1,IF(B3469="Trialer",1,0))+IF(C3469="Customer",1,IF(C3469="Lost",1,0))=2,1,0)</f>
      </c>
      <c r="X3469" s="0" t="s">
        <v>153</v>
      </c>
      <c r="Y3469" s="0" t="s">
        <v>499</v>
      </c>
      <c r="AV3469" s="68"/>
      <c r="AW3469" s="68"/>
      <c r="AY3469" s="27"/>
      <c r="BD3469" s="68">
        <v>46054.1666666667</v>
      </c>
      <c r="BE3469" s="68">
        <v>46082.1666666667</v>
      </c>
      <c r="BF3469" s="0" t="b">
        <v>0</v>
      </c>
      <c r="BG3469" s="0" t="b">
        <v>0</v>
      </c>
      <c r="BH3469" s="0">
        <v>162</v>
      </c>
      <c r="BI3469" s="0">
        <v>162</v>
      </c>
      <c r="BJ3469" s="0" t="s">
        <v>230</v>
      </c>
    </row>
    <row r="3470">
      <c r="A3470" s="0" t="s">
        <v>3723</v>
      </c>
      <c r="B3470" s="0" t="s">
        <v>134</v>
      </c>
      <c r="C3470" s="0" t="s">
        <v>134</v>
      </c>
      <c r="D3470" s="0" t="s">
        <v>135</v>
      </c>
      <c r="E3470" s="0" t="s">
        <v>3</v>
      </c>
      <c r="F3470" s="0" t="s">
        <v>12</v>
      </c>
      <c r="G3470" s="0" t="s">
        <v>8</v>
      </c>
      <c r="H3470" s="0">
        <v>152</v>
      </c>
      <c r="I3470" s="0">
        <v>73</v>
      </c>
      <c r="J3470" s="0">
        <v>0</v>
      </c>
      <c r="K3470" s="0">
        <v>1</v>
      </c>
      <c r="L3470" s="0">
        <v>5</v>
      </c>
      <c r="M3470" s="0">
        <v>1</v>
      </c>
      <c r="N3470" s="0">
        <v>0</v>
      </c>
      <c r="O3470" s="0">
        <v>0</v>
      </c>
      <c r="P3470" s="0">
        <v>0</v>
      </c>
      <c r="R3470" s="0" t="b">
        <v>0</v>
      </c>
      <c r="S3470" s="0" t="b">
        <v>1</v>
      </c>
      <c r="T3470" s="68">
        <v>45901.0201041667</v>
      </c>
      <c r="U3470" s="68">
        <v>45915.3333333333</v>
      </c>
      <c r="V3470" s="68">
        <v>0</v>
      </c>
      <c r="W3470" s="0">
        <f>IF(IF(B3470="none",1,IF(B3470="Trialer",1,0))+IF(C3470="Customer",1,IF(C3470="Lost",1,0))=2,1,0)</f>
      </c>
      <c r="X3470" s="0" t="s">
        <v>142</v>
      </c>
      <c r="Y3470" s="0" t="s">
        <v>243</v>
      </c>
      <c r="AV3470" s="68"/>
      <c r="AW3470" s="68"/>
      <c r="AY3470" s="27"/>
      <c r="BD3470" s="68">
        <v>46054.1666666667</v>
      </c>
      <c r="BE3470" s="68">
        <v>46082.1666666667</v>
      </c>
      <c r="BF3470" s="0" t="b">
        <v>0</v>
      </c>
      <c r="BG3470" s="0" t="b">
        <v>0</v>
      </c>
      <c r="BH3470" s="0">
        <v>73</v>
      </c>
      <c r="BI3470" s="0">
        <v>73</v>
      </c>
      <c r="BJ3470" s="0" t="s">
        <v>135</v>
      </c>
    </row>
    <row r="3471">
      <c r="A3471" s="0" t="s">
        <v>3724</v>
      </c>
      <c r="B3471" s="0" t="s">
        <v>134</v>
      </c>
      <c r="C3471" s="0" t="s">
        <v>134</v>
      </c>
      <c r="D3471" s="0" t="s">
        <v>230</v>
      </c>
      <c r="E3471" s="0" t="s">
        <v>3</v>
      </c>
      <c r="F3471" s="0" t="s">
        <v>12</v>
      </c>
      <c r="G3471" s="0" t="s">
        <v>8</v>
      </c>
      <c r="H3471" s="0">
        <v>151</v>
      </c>
      <c r="I3471" s="0">
        <v>123</v>
      </c>
      <c r="J3471" s="0">
        <v>0</v>
      </c>
      <c r="K3471" s="0">
        <v>1</v>
      </c>
      <c r="L3471" s="0">
        <v>2</v>
      </c>
      <c r="M3471" s="0">
        <v>5</v>
      </c>
      <c r="N3471" s="0">
        <v>0</v>
      </c>
      <c r="O3471" s="0">
        <v>0</v>
      </c>
      <c r="P3471" s="0">
        <v>-123</v>
      </c>
      <c r="R3471" s="0" t="b">
        <v>0</v>
      </c>
      <c r="S3471" s="0" t="b">
        <v>1</v>
      </c>
      <c r="T3471" s="68">
        <v>45902.4775115741</v>
      </c>
      <c r="U3471" s="68">
        <v>45916.3333333333</v>
      </c>
      <c r="V3471" s="68">
        <v>0</v>
      </c>
      <c r="W3471" s="0">
        <f>IF(IF(B3471="none",1,IF(B3471="Trialer",1,0))+IF(C3471="Customer",1,IF(C3471="Lost",1,0))=2,1,0)</f>
      </c>
      <c r="X3471" s="0" t="s">
        <v>148</v>
      </c>
      <c r="Y3471" s="0" t="s">
        <v>243</v>
      </c>
      <c r="AV3471" s="68"/>
      <c r="AW3471" s="68"/>
      <c r="AY3471" s="27"/>
      <c r="BD3471" s="68">
        <v>46054.1666666667</v>
      </c>
      <c r="BE3471" s="68">
        <v>46082.1666666667</v>
      </c>
      <c r="BF3471" s="0" t="b">
        <v>0</v>
      </c>
      <c r="BG3471" s="0" t="b">
        <v>0</v>
      </c>
      <c r="BH3471" s="0">
        <v>164</v>
      </c>
      <c r="BI3471" s="0">
        <v>164</v>
      </c>
      <c r="BJ3471" s="0" t="s">
        <v>230</v>
      </c>
    </row>
    <row r="3472">
      <c r="A3472" s="0" t="s">
        <v>3725</v>
      </c>
      <c r="B3472" s="0" t="s">
        <v>134</v>
      </c>
      <c r="C3472" s="0" t="s">
        <v>134</v>
      </c>
      <c r="D3472" s="0" t="s">
        <v>230</v>
      </c>
      <c r="E3472" s="0" t="s">
        <v>3</v>
      </c>
      <c r="F3472" s="0" t="s">
        <v>12</v>
      </c>
      <c r="G3472" s="0" t="s">
        <v>8</v>
      </c>
      <c r="H3472" s="0">
        <v>151</v>
      </c>
      <c r="I3472" s="0">
        <v>141</v>
      </c>
      <c r="J3472" s="0">
        <v>0</v>
      </c>
      <c r="K3472" s="0">
        <v>1</v>
      </c>
      <c r="L3472" s="0">
        <v>3</v>
      </c>
      <c r="M3472" s="0">
        <v>7</v>
      </c>
      <c r="N3472" s="0">
        <v>0</v>
      </c>
      <c r="O3472" s="0">
        <v>0</v>
      </c>
      <c r="P3472" s="0">
        <v>-141</v>
      </c>
      <c r="R3472" s="0" t="b">
        <v>0</v>
      </c>
      <c r="S3472" s="0" t="b">
        <v>1</v>
      </c>
      <c r="T3472" s="68">
        <v>45902.5408101852</v>
      </c>
      <c r="U3472" s="68">
        <v>45917.3333333333</v>
      </c>
      <c r="V3472" s="68">
        <v>0</v>
      </c>
      <c r="W3472" s="0">
        <f>IF(IF(B3472="none",1,IF(B3472="Trialer",1,0))+IF(C3472="Customer",1,IF(C3472="Lost",1,0))=2,1,0)</f>
      </c>
      <c r="X3472" s="0" t="s">
        <v>148</v>
      </c>
      <c r="Y3472" s="0" t="s">
        <v>1792</v>
      </c>
      <c r="AV3472" s="68"/>
      <c r="AW3472" s="68"/>
      <c r="AY3472" s="27"/>
      <c r="BD3472" s="68">
        <v>46054.1666666667</v>
      </c>
      <c r="BE3472" s="68">
        <v>46082.1666666667</v>
      </c>
      <c r="BF3472" s="0" t="b">
        <v>0</v>
      </c>
      <c r="BG3472" s="0" t="b">
        <v>0</v>
      </c>
      <c r="BH3472" s="0">
        <v>188</v>
      </c>
      <c r="BI3472" s="0">
        <v>188</v>
      </c>
      <c r="BJ3472" s="0" t="s">
        <v>230</v>
      </c>
    </row>
    <row r="3473">
      <c r="A3473" s="0" t="s">
        <v>3726</v>
      </c>
      <c r="B3473" s="0" t="s">
        <v>134</v>
      </c>
      <c r="C3473" s="0" t="s">
        <v>134</v>
      </c>
      <c r="D3473" s="0" t="s">
        <v>230</v>
      </c>
      <c r="E3473" s="0" t="s">
        <v>3</v>
      </c>
      <c r="F3473" s="0" t="s">
        <v>12</v>
      </c>
      <c r="G3473" s="0" t="s">
        <v>8</v>
      </c>
      <c r="H3473" s="0">
        <v>151</v>
      </c>
      <c r="I3473" s="0">
        <v>25</v>
      </c>
      <c r="J3473" s="0">
        <v>0</v>
      </c>
      <c r="K3473" s="0">
        <v>1</v>
      </c>
      <c r="L3473" s="0">
        <v>1</v>
      </c>
      <c r="M3473" s="0">
        <v>1</v>
      </c>
      <c r="N3473" s="0">
        <v>0</v>
      </c>
      <c r="O3473" s="0">
        <v>0</v>
      </c>
      <c r="P3473" s="0">
        <v>-25</v>
      </c>
      <c r="R3473" s="0" t="b">
        <v>0</v>
      </c>
      <c r="S3473" s="0" t="b">
        <v>1</v>
      </c>
      <c r="T3473" s="68">
        <v>45902.647662037</v>
      </c>
      <c r="U3473" s="68">
        <v>45916.3333333333</v>
      </c>
      <c r="V3473" s="68">
        <v>0</v>
      </c>
      <c r="W3473" s="0">
        <f>IF(IF(B3473="none",1,IF(B3473="Trialer",1,0))+IF(C3473="Customer",1,IF(C3473="Lost",1,0))=2,1,0)</f>
      </c>
      <c r="X3473" s="0" t="s">
        <v>142</v>
      </c>
      <c r="Y3473" s="0" t="s">
        <v>243</v>
      </c>
      <c r="AV3473" s="68"/>
      <c r="AW3473" s="68"/>
      <c r="AY3473" s="27"/>
      <c r="BD3473" s="68">
        <v>46054.1666666667</v>
      </c>
      <c r="BE3473" s="68">
        <v>46082.1666666667</v>
      </c>
      <c r="BF3473" s="0" t="b">
        <v>0</v>
      </c>
      <c r="BG3473" s="0" t="b">
        <v>0</v>
      </c>
      <c r="BH3473" s="0">
        <v>28</v>
      </c>
      <c r="BI3473" s="0">
        <v>28</v>
      </c>
      <c r="BJ3473" s="0" t="s">
        <v>230</v>
      </c>
    </row>
    <row r="3474">
      <c r="A3474" s="0" t="s">
        <v>3727</v>
      </c>
      <c r="B3474" s="0" t="s">
        <v>134</v>
      </c>
      <c r="C3474" s="0" t="s">
        <v>134</v>
      </c>
      <c r="D3474" s="0" t="s">
        <v>230</v>
      </c>
      <c r="E3474" s="0" t="s">
        <v>3</v>
      </c>
      <c r="F3474" s="0" t="s">
        <v>12</v>
      </c>
      <c r="G3474" s="0" t="s">
        <v>8</v>
      </c>
      <c r="H3474" s="0">
        <v>150</v>
      </c>
      <c r="I3474" s="0">
        <v>78.75</v>
      </c>
      <c r="J3474" s="0">
        <v>0</v>
      </c>
      <c r="K3474" s="0">
        <v>1</v>
      </c>
      <c r="L3474" s="0">
        <v>3</v>
      </c>
      <c r="M3474" s="0">
        <v>3</v>
      </c>
      <c r="N3474" s="0">
        <v>0</v>
      </c>
      <c r="O3474" s="0">
        <v>0</v>
      </c>
      <c r="P3474" s="0">
        <v>-78.75</v>
      </c>
      <c r="R3474" s="0" t="b">
        <v>0</v>
      </c>
      <c r="S3474" s="0" t="b">
        <v>0</v>
      </c>
      <c r="T3474" s="68">
        <v>45903.4232060185</v>
      </c>
      <c r="U3474" s="68">
        <v>45917.3333333333</v>
      </c>
      <c r="V3474" s="68">
        <v>46100.5363078704</v>
      </c>
      <c r="W3474" s="0">
        <f>IF(IF(B3474="none",1,IF(B3474="Trialer",1,0))+IF(C3474="Customer",1,IF(C3474="Lost",1,0))=2,1,0)</f>
      </c>
      <c r="X3474" s="0" t="s">
        <v>142</v>
      </c>
      <c r="Y3474" s="0" t="s">
        <v>243</v>
      </c>
      <c r="AV3474" s="68"/>
      <c r="AW3474" s="68"/>
      <c r="AY3474" s="27"/>
      <c r="BD3474" s="68">
        <v>46054.1666666667</v>
      </c>
      <c r="BE3474" s="68">
        <v>46082.1666666667</v>
      </c>
      <c r="BF3474" s="0" t="b">
        <v>0</v>
      </c>
      <c r="BG3474" s="0" t="b">
        <v>0</v>
      </c>
      <c r="BH3474" s="0">
        <v>105</v>
      </c>
      <c r="BI3474" s="0">
        <v>105</v>
      </c>
      <c r="BJ3474" s="0" t="s">
        <v>230</v>
      </c>
    </row>
    <row r="3475">
      <c r="A3475" s="0" t="s">
        <v>3728</v>
      </c>
      <c r="B3475" s="0" t="s">
        <v>134</v>
      </c>
      <c r="C3475" s="0" t="s">
        <v>134</v>
      </c>
      <c r="D3475" s="0" t="s">
        <v>135</v>
      </c>
      <c r="E3475" s="0" t="s">
        <v>2</v>
      </c>
      <c r="F3475" s="0" t="s">
        <v>12</v>
      </c>
      <c r="G3475" s="0" t="s">
        <v>8</v>
      </c>
      <c r="H3475" s="0">
        <v>150</v>
      </c>
      <c r="I3475" s="0">
        <v>61</v>
      </c>
      <c r="J3475" s="0">
        <v>0</v>
      </c>
      <c r="K3475" s="0">
        <v>1</v>
      </c>
      <c r="L3475" s="0">
        <v>4</v>
      </c>
      <c r="M3475" s="0">
        <v>1</v>
      </c>
      <c r="N3475" s="0">
        <v>0</v>
      </c>
      <c r="O3475" s="0">
        <v>0</v>
      </c>
      <c r="P3475" s="0">
        <v>0</v>
      </c>
      <c r="R3475" s="0" t="b">
        <v>0</v>
      </c>
      <c r="S3475" s="0" t="b">
        <v>0</v>
      </c>
      <c r="T3475" s="68">
        <v>45903.7214699074</v>
      </c>
      <c r="U3475" s="68">
        <v>45939.3333333333</v>
      </c>
      <c r="V3475" s="68">
        <v>46098.5094444444</v>
      </c>
      <c r="W3475" s="0">
        <f>IF(IF(B3475="none",1,IF(B3475="Trialer",1,0))+IF(C3475="Customer",1,IF(C3475="Lost",1,0))=2,1,0)</f>
      </c>
      <c r="X3475" s="0" t="s">
        <v>153</v>
      </c>
      <c r="Y3475" s="0" t="s">
        <v>499</v>
      </c>
      <c r="AV3475" s="68"/>
      <c r="AW3475" s="68"/>
      <c r="AY3475" s="27"/>
      <c r="BD3475" s="68">
        <v>46054.1666666667</v>
      </c>
      <c r="BE3475" s="68">
        <v>46082.1666666667</v>
      </c>
      <c r="BF3475" s="0" t="b">
        <v>0</v>
      </c>
      <c r="BG3475" s="0" t="b">
        <v>0</v>
      </c>
      <c r="BH3475" s="0">
        <v>61</v>
      </c>
      <c r="BI3475" s="0">
        <v>61</v>
      </c>
      <c r="BJ3475" s="0" t="s">
        <v>135</v>
      </c>
    </row>
    <row r="3476">
      <c r="A3476" s="0" t="s">
        <v>3729</v>
      </c>
      <c r="B3476" s="0" t="s">
        <v>134</v>
      </c>
      <c r="C3476" s="0" t="s">
        <v>134</v>
      </c>
      <c r="D3476" s="0" t="s">
        <v>135</v>
      </c>
      <c r="E3476" s="0" t="s">
        <v>3</v>
      </c>
      <c r="F3476" s="0" t="s">
        <v>12</v>
      </c>
      <c r="G3476" s="0" t="s">
        <v>8</v>
      </c>
      <c r="H3476" s="0">
        <v>150</v>
      </c>
      <c r="I3476" s="0">
        <v>65</v>
      </c>
      <c r="J3476" s="0">
        <v>0</v>
      </c>
      <c r="K3476" s="0">
        <v>1</v>
      </c>
      <c r="L3476" s="0">
        <v>2</v>
      </c>
      <c r="M3476" s="0">
        <v>2</v>
      </c>
      <c r="N3476" s="0">
        <v>0</v>
      </c>
      <c r="O3476" s="0">
        <v>0</v>
      </c>
      <c r="P3476" s="0">
        <v>0</v>
      </c>
      <c r="R3476" s="0" t="b">
        <v>0</v>
      </c>
      <c r="S3476" s="0" t="b">
        <v>1</v>
      </c>
      <c r="T3476" s="68">
        <v>45903.7915509259</v>
      </c>
      <c r="U3476" s="68">
        <v>45904.3333333333</v>
      </c>
      <c r="V3476" s="68">
        <v>0</v>
      </c>
      <c r="W3476" s="0">
        <f>IF(IF(B3476="none",1,IF(B3476="Trialer",1,0))+IF(C3476="Customer",1,IF(C3476="Lost",1,0))=2,1,0)</f>
      </c>
      <c r="X3476" s="0" t="s">
        <v>166</v>
      </c>
      <c r="Y3476" s="0" t="s">
        <v>243</v>
      </c>
      <c r="AV3476" s="68"/>
      <c r="AW3476" s="68"/>
      <c r="AY3476" s="27"/>
      <c r="BD3476" s="68">
        <v>46054.1666666667</v>
      </c>
      <c r="BE3476" s="68">
        <v>46082.1666666667</v>
      </c>
      <c r="BF3476" s="0" t="b">
        <v>0</v>
      </c>
      <c r="BG3476" s="0" t="b">
        <v>0</v>
      </c>
      <c r="BH3476" s="0">
        <v>28</v>
      </c>
      <c r="BI3476" s="0">
        <v>28</v>
      </c>
      <c r="BJ3476" s="0" t="s">
        <v>135</v>
      </c>
    </row>
    <row r="3477">
      <c r="A3477" s="0" t="s">
        <v>3730</v>
      </c>
      <c r="B3477" s="0" t="s">
        <v>134</v>
      </c>
      <c r="C3477" s="0" t="s">
        <v>134</v>
      </c>
      <c r="D3477" s="0" t="s">
        <v>135</v>
      </c>
      <c r="E3477" s="0" t="s">
        <v>3</v>
      </c>
      <c r="F3477" s="0" t="s">
        <v>12</v>
      </c>
      <c r="G3477" s="0" t="s">
        <v>8</v>
      </c>
      <c r="H3477" s="0">
        <v>149</v>
      </c>
      <c r="I3477" s="0">
        <v>49</v>
      </c>
      <c r="J3477" s="0">
        <v>0</v>
      </c>
      <c r="K3477" s="0">
        <v>1</v>
      </c>
      <c r="L3477" s="0">
        <v>3</v>
      </c>
      <c r="M3477" s="0">
        <v>1</v>
      </c>
      <c r="N3477" s="0">
        <v>0</v>
      </c>
      <c r="O3477" s="0">
        <v>0</v>
      </c>
      <c r="P3477" s="0">
        <v>0</v>
      </c>
      <c r="R3477" s="0" t="b">
        <v>0</v>
      </c>
      <c r="S3477" s="0" t="b">
        <v>1</v>
      </c>
      <c r="T3477" s="68">
        <v>45904.297650463</v>
      </c>
      <c r="U3477" s="68">
        <v>45918.3333333333</v>
      </c>
      <c r="V3477" s="68">
        <v>0</v>
      </c>
      <c r="W3477" s="0">
        <f>IF(IF(B3477="none",1,IF(B3477="Trialer",1,0))+IF(C3477="Customer",1,IF(C3477="Lost",1,0))=2,1,0)</f>
      </c>
      <c r="X3477" s="0" t="s">
        <v>142</v>
      </c>
      <c r="Y3477" s="0" t="s">
        <v>1792</v>
      </c>
      <c r="AV3477" s="68"/>
      <c r="AW3477" s="68"/>
      <c r="AY3477" s="27"/>
      <c r="BD3477" s="68">
        <v>46054.1666666667</v>
      </c>
      <c r="BE3477" s="68">
        <v>46082.1666666667</v>
      </c>
      <c r="BF3477" s="0" t="b">
        <v>0</v>
      </c>
      <c r="BG3477" s="0" t="b">
        <v>0</v>
      </c>
      <c r="BH3477" s="0">
        <v>49</v>
      </c>
      <c r="BI3477" s="0">
        <v>49</v>
      </c>
      <c r="BJ3477" s="0" t="s">
        <v>135</v>
      </c>
    </row>
    <row r="3478">
      <c r="A3478" s="0" t="s">
        <v>3731</v>
      </c>
      <c r="B3478" s="0" t="s">
        <v>134</v>
      </c>
      <c r="C3478" s="0" t="s">
        <v>134</v>
      </c>
      <c r="D3478" s="0" t="s">
        <v>230</v>
      </c>
      <c r="E3478" s="0" t="s">
        <v>3</v>
      </c>
      <c r="F3478" s="0" t="s">
        <v>12</v>
      </c>
      <c r="G3478" s="0" t="s">
        <v>8</v>
      </c>
      <c r="H3478" s="0">
        <v>149</v>
      </c>
      <c r="I3478" s="0">
        <v>88</v>
      </c>
      <c r="J3478" s="0">
        <v>0</v>
      </c>
      <c r="K3478" s="0">
        <v>1</v>
      </c>
      <c r="L3478" s="0">
        <v>3</v>
      </c>
      <c r="M3478" s="0">
        <v>2</v>
      </c>
      <c r="N3478" s="0">
        <v>0</v>
      </c>
      <c r="O3478" s="0">
        <v>0</v>
      </c>
      <c r="P3478" s="0">
        <v>-88</v>
      </c>
      <c r="R3478" s="0" t="b">
        <v>0</v>
      </c>
      <c r="S3478" s="0" t="b">
        <v>1</v>
      </c>
      <c r="T3478" s="68">
        <v>45904.4911111111</v>
      </c>
      <c r="U3478" s="68">
        <v>45918.3333333333</v>
      </c>
      <c r="V3478" s="68">
        <v>0</v>
      </c>
      <c r="W3478" s="0">
        <f>IF(IF(B3478="none",1,IF(B3478="Trialer",1,0))+IF(C3478="Customer",1,IF(C3478="Lost",1,0))=2,1,0)</f>
      </c>
      <c r="X3478" s="0" t="s">
        <v>153</v>
      </c>
      <c r="Y3478" s="0" t="s">
        <v>243</v>
      </c>
      <c r="AV3478" s="68"/>
      <c r="AW3478" s="68"/>
      <c r="AY3478" s="27"/>
      <c r="BD3478" s="68">
        <v>46054.1666666667</v>
      </c>
      <c r="BE3478" s="68">
        <v>46082.1666666667</v>
      </c>
      <c r="BF3478" s="0" t="b">
        <v>0</v>
      </c>
      <c r="BG3478" s="0" t="b">
        <v>0</v>
      </c>
      <c r="BH3478" s="0">
        <v>98</v>
      </c>
      <c r="BI3478" s="0">
        <v>98</v>
      </c>
      <c r="BJ3478" s="0" t="s">
        <v>230</v>
      </c>
    </row>
    <row r="3479">
      <c r="A3479" s="0" t="s">
        <v>3732</v>
      </c>
      <c r="B3479" s="0" t="s">
        <v>134</v>
      </c>
      <c r="C3479" s="0" t="s">
        <v>134</v>
      </c>
      <c r="D3479" s="0" t="s">
        <v>135</v>
      </c>
      <c r="E3479" s="0" t="s">
        <v>3</v>
      </c>
      <c r="F3479" s="0" t="s">
        <v>12</v>
      </c>
      <c r="G3479" s="0" t="s">
        <v>8</v>
      </c>
      <c r="H3479" s="0">
        <v>149</v>
      </c>
      <c r="I3479" s="0">
        <v>417</v>
      </c>
      <c r="J3479" s="0">
        <v>0</v>
      </c>
      <c r="K3479" s="0">
        <v>1</v>
      </c>
      <c r="L3479" s="0">
        <v>3</v>
      </c>
      <c r="M3479" s="0">
        <v>2</v>
      </c>
      <c r="N3479" s="0">
        <v>418.5</v>
      </c>
      <c r="O3479" s="0">
        <v>0</v>
      </c>
      <c r="P3479" s="0">
        <v>0</v>
      </c>
      <c r="R3479" s="0" t="b">
        <v>0</v>
      </c>
      <c r="S3479" s="0" t="b">
        <v>1</v>
      </c>
      <c r="T3479" s="68">
        <v>45904.734837963</v>
      </c>
      <c r="U3479" s="68">
        <v>45923.3333333333</v>
      </c>
      <c r="V3479" s="68">
        <v>0</v>
      </c>
      <c r="W3479" s="0">
        <f>IF(IF(B3479="none",1,IF(B3479="Trialer",1,0))+IF(C3479="Customer",1,IF(C3479="Lost",1,0))=2,1,0)</f>
      </c>
      <c r="X3479" s="0" t="s">
        <v>1461</v>
      </c>
      <c r="Y3479" s="0" t="s">
        <v>243</v>
      </c>
      <c r="AV3479" s="68"/>
      <c r="AW3479" s="68"/>
      <c r="AY3479" s="27"/>
      <c r="BD3479" s="68">
        <v>46054.1666666667</v>
      </c>
      <c r="BE3479" s="68">
        <v>46082.1666666667</v>
      </c>
      <c r="BF3479" s="0" t="b">
        <v>0</v>
      </c>
      <c r="BG3479" s="0" t="b">
        <v>0</v>
      </c>
      <c r="BH3479" s="0">
        <v>92</v>
      </c>
      <c r="BI3479" s="0">
        <v>92</v>
      </c>
      <c r="BJ3479" s="0" t="s">
        <v>135</v>
      </c>
    </row>
    <row r="3480">
      <c r="A3480" s="0" t="s">
        <v>3733</v>
      </c>
      <c r="B3480" s="0" t="s">
        <v>134</v>
      </c>
      <c r="C3480" s="0" t="s">
        <v>134</v>
      </c>
      <c r="D3480" s="0" t="s">
        <v>230</v>
      </c>
      <c r="E3480" s="0" t="s">
        <v>3</v>
      </c>
      <c r="F3480" s="0" t="s">
        <v>10</v>
      </c>
      <c r="G3480" s="0" t="s">
        <v>8</v>
      </c>
      <c r="H3480" s="0">
        <v>148</v>
      </c>
      <c r="I3480" s="0">
        <v>198</v>
      </c>
      <c r="J3480" s="0">
        <v>0</v>
      </c>
      <c r="K3480" s="0">
        <v>1</v>
      </c>
      <c r="L3480" s="0">
        <v>5</v>
      </c>
      <c r="M3480" s="0">
        <v>4</v>
      </c>
      <c r="N3480" s="0">
        <v>0</v>
      </c>
      <c r="O3480" s="0">
        <v>0</v>
      </c>
      <c r="P3480" s="0">
        <v>-198</v>
      </c>
      <c r="Q3480" s="0" t="s">
        <v>555</v>
      </c>
      <c r="R3480" s="0" t="b">
        <v>0</v>
      </c>
      <c r="S3480" s="0" t="b">
        <v>1</v>
      </c>
      <c r="T3480" s="68">
        <v>45905.3749305556</v>
      </c>
      <c r="U3480" s="68">
        <v>45919.3333333333</v>
      </c>
      <c r="V3480" s="68">
        <v>0</v>
      </c>
      <c r="W3480" s="0">
        <f>IF(IF(B3480="none",1,IF(B3480="Trialer",1,0))+IF(C3480="Customer",1,IF(C3480="Lost",1,0))=2,1,0)</f>
      </c>
      <c r="X3480" s="0" t="s">
        <v>148</v>
      </c>
      <c r="Y3480" s="0" t="s">
        <v>243</v>
      </c>
      <c r="AV3480" s="68"/>
      <c r="AW3480" s="68"/>
      <c r="AY3480" s="27"/>
      <c r="BD3480" s="68">
        <v>46054.1666666667</v>
      </c>
      <c r="BE3480" s="68">
        <v>46082.1666666667</v>
      </c>
      <c r="BF3480" s="0" t="b">
        <v>0</v>
      </c>
      <c r="BG3480" s="0" t="b">
        <v>0</v>
      </c>
      <c r="BH3480" s="0">
        <v>226</v>
      </c>
      <c r="BI3480" s="0">
        <v>226</v>
      </c>
      <c r="BJ3480" s="0" t="s">
        <v>230</v>
      </c>
    </row>
    <row r="3481">
      <c r="A3481" s="0" t="s">
        <v>3734</v>
      </c>
      <c r="B3481" s="0" t="s">
        <v>134</v>
      </c>
      <c r="C3481" s="0" t="s">
        <v>134</v>
      </c>
      <c r="D3481" s="0" t="s">
        <v>135</v>
      </c>
      <c r="E3481" s="0" t="s">
        <v>3</v>
      </c>
      <c r="F3481" s="0" t="s">
        <v>12</v>
      </c>
      <c r="G3481" s="0" t="s">
        <v>8</v>
      </c>
      <c r="H3481" s="0">
        <v>148</v>
      </c>
      <c r="I3481" s="0">
        <v>146</v>
      </c>
      <c r="J3481" s="0">
        <v>0</v>
      </c>
      <c r="K3481" s="0">
        <v>1</v>
      </c>
      <c r="L3481" s="0">
        <v>5</v>
      </c>
      <c r="M3481" s="0">
        <v>2</v>
      </c>
      <c r="N3481" s="0">
        <v>0</v>
      </c>
      <c r="O3481" s="0">
        <v>0</v>
      </c>
      <c r="P3481" s="0">
        <v>0</v>
      </c>
      <c r="R3481" s="0" t="b">
        <v>0</v>
      </c>
      <c r="S3481" s="0" t="b">
        <v>1</v>
      </c>
      <c r="T3481" s="68">
        <v>45905.624537037</v>
      </c>
      <c r="U3481" s="68">
        <v>45926.3333333333</v>
      </c>
      <c r="V3481" s="68">
        <v>0</v>
      </c>
      <c r="W3481" s="0">
        <f>IF(IF(B3481="none",1,IF(B3481="Trialer",1,0))+IF(C3481="Customer",1,IF(C3481="Lost",1,0))=2,1,0)</f>
      </c>
      <c r="X3481" s="0" t="s">
        <v>153</v>
      </c>
      <c r="Y3481" s="0" t="s">
        <v>243</v>
      </c>
      <c r="AV3481" s="68"/>
      <c r="AW3481" s="68"/>
      <c r="AY3481" s="27"/>
      <c r="BD3481" s="68">
        <v>46054.1666666667</v>
      </c>
      <c r="BE3481" s="68">
        <v>46082.1666666667</v>
      </c>
      <c r="BF3481" s="0" t="b">
        <v>0</v>
      </c>
      <c r="BG3481" s="0" t="b">
        <v>0</v>
      </c>
      <c r="BH3481" s="0">
        <v>146</v>
      </c>
      <c r="BI3481" s="0">
        <v>146</v>
      </c>
      <c r="BJ3481" s="0" t="s">
        <v>135</v>
      </c>
    </row>
    <row r="3482">
      <c r="A3482" s="0" t="s">
        <v>3735</v>
      </c>
      <c r="B3482" s="0" t="s">
        <v>134</v>
      </c>
      <c r="C3482" s="0" t="s">
        <v>134</v>
      </c>
      <c r="D3482" s="0" t="s">
        <v>135</v>
      </c>
      <c r="E3482" s="0" t="s">
        <v>3</v>
      </c>
      <c r="F3482" s="0" t="s">
        <v>12</v>
      </c>
      <c r="G3482" s="0" t="s">
        <v>8</v>
      </c>
      <c r="H3482" s="0">
        <v>148</v>
      </c>
      <c r="I3482" s="0">
        <v>98</v>
      </c>
      <c r="J3482" s="0">
        <v>0</v>
      </c>
      <c r="K3482" s="0">
        <v>1</v>
      </c>
      <c r="L3482" s="0">
        <v>3</v>
      </c>
      <c r="M3482" s="0">
        <v>2</v>
      </c>
      <c r="N3482" s="0">
        <v>0</v>
      </c>
      <c r="O3482" s="0">
        <v>0</v>
      </c>
      <c r="P3482" s="0">
        <v>0</v>
      </c>
      <c r="R3482" s="0" t="b">
        <v>0</v>
      </c>
      <c r="S3482" s="0" t="b">
        <v>1</v>
      </c>
      <c r="T3482" s="68">
        <v>45905.6374884259</v>
      </c>
      <c r="U3482" s="68">
        <v>45919.3333333333</v>
      </c>
      <c r="V3482" s="68">
        <v>0</v>
      </c>
      <c r="W3482" s="0">
        <f>IF(IF(B3482="none",1,IF(B3482="Trialer",1,0))+IF(C3482="Customer",1,IF(C3482="Lost",1,0))=2,1,0)</f>
      </c>
      <c r="X3482" s="0" t="s">
        <v>153</v>
      </c>
      <c r="Y3482" s="0" t="s">
        <v>243</v>
      </c>
      <c r="AV3482" s="68"/>
      <c r="AW3482" s="68"/>
      <c r="AY3482" s="27"/>
      <c r="BD3482" s="68">
        <v>46054.1666666667</v>
      </c>
      <c r="BE3482" s="68">
        <v>46082.1666666667</v>
      </c>
      <c r="BF3482" s="0" t="b">
        <v>0</v>
      </c>
      <c r="BG3482" s="0" t="b">
        <v>0</v>
      </c>
      <c r="BH3482" s="0">
        <v>98</v>
      </c>
      <c r="BI3482" s="0">
        <v>98</v>
      </c>
      <c r="BJ3482" s="0" t="s">
        <v>135</v>
      </c>
    </row>
    <row r="3483">
      <c r="A3483" s="0" t="s">
        <v>3736</v>
      </c>
      <c r="B3483" s="0" t="s">
        <v>134</v>
      </c>
      <c r="C3483" s="0" t="s">
        <v>134</v>
      </c>
      <c r="D3483" s="0" t="s">
        <v>135</v>
      </c>
      <c r="E3483" s="0" t="s">
        <v>3</v>
      </c>
      <c r="F3483" s="0" t="s">
        <v>12</v>
      </c>
      <c r="G3483" s="0" t="s">
        <v>8</v>
      </c>
      <c r="H3483" s="0">
        <v>147</v>
      </c>
      <c r="I3483" s="0">
        <v>122</v>
      </c>
      <c r="J3483" s="0">
        <v>0</v>
      </c>
      <c r="K3483" s="0">
        <v>1</v>
      </c>
      <c r="L3483" s="0">
        <v>4</v>
      </c>
      <c r="M3483" s="0">
        <v>2</v>
      </c>
      <c r="N3483" s="0">
        <v>0</v>
      </c>
      <c r="O3483" s="0">
        <v>0</v>
      </c>
      <c r="P3483" s="0">
        <v>0</v>
      </c>
      <c r="R3483" s="0" t="b">
        <v>0</v>
      </c>
      <c r="S3483" s="0" t="b">
        <v>1</v>
      </c>
      <c r="T3483" s="68">
        <v>45906.4657291667</v>
      </c>
      <c r="U3483" s="68">
        <v>45919.3333333333</v>
      </c>
      <c r="V3483" s="68">
        <v>0</v>
      </c>
      <c r="W3483" s="0">
        <f>IF(IF(B3483="none",1,IF(B3483="Trialer",1,0))+IF(C3483="Customer",1,IF(C3483="Lost",1,0))=2,1,0)</f>
      </c>
      <c r="X3483" s="0" t="s">
        <v>166</v>
      </c>
      <c r="Y3483" s="0" t="s">
        <v>243</v>
      </c>
      <c r="AV3483" s="68"/>
      <c r="AW3483" s="68"/>
      <c r="AY3483" s="27"/>
      <c r="BD3483" s="68">
        <v>46054.1666666667</v>
      </c>
      <c r="BE3483" s="68">
        <v>46082.1666666667</v>
      </c>
      <c r="BF3483" s="0" t="b">
        <v>0</v>
      </c>
      <c r="BG3483" s="0" t="b">
        <v>0</v>
      </c>
      <c r="BH3483" s="0">
        <v>122</v>
      </c>
      <c r="BI3483" s="0">
        <v>122</v>
      </c>
      <c r="BJ3483" s="0" t="s">
        <v>135</v>
      </c>
    </row>
    <row r="3484">
      <c r="A3484" s="0" t="s">
        <v>3737</v>
      </c>
      <c r="B3484" s="0" t="s">
        <v>134</v>
      </c>
      <c r="C3484" s="0" t="s">
        <v>134</v>
      </c>
      <c r="D3484" s="0" t="s">
        <v>230</v>
      </c>
      <c r="E3484" s="0" t="s">
        <v>3</v>
      </c>
      <c r="F3484" s="0" t="s">
        <v>12</v>
      </c>
      <c r="G3484" s="0" t="s">
        <v>8</v>
      </c>
      <c r="H3484" s="0">
        <v>145</v>
      </c>
      <c r="I3484" s="0">
        <v>60</v>
      </c>
      <c r="J3484" s="0">
        <v>0</v>
      </c>
      <c r="K3484" s="0">
        <v>1</v>
      </c>
      <c r="L3484" s="0">
        <v>2</v>
      </c>
      <c r="M3484" s="0">
        <v>2</v>
      </c>
      <c r="N3484" s="0">
        <v>0</v>
      </c>
      <c r="O3484" s="0">
        <v>0</v>
      </c>
      <c r="P3484" s="0">
        <v>-60</v>
      </c>
      <c r="R3484" s="0" t="b">
        <v>0</v>
      </c>
      <c r="S3484" s="0" t="b">
        <v>1</v>
      </c>
      <c r="T3484" s="68">
        <v>45908.2306828704</v>
      </c>
      <c r="U3484" s="68">
        <v>45922.3333333333</v>
      </c>
      <c r="V3484" s="68">
        <v>0</v>
      </c>
      <c r="W3484" s="0">
        <f>IF(IF(B3484="none",1,IF(B3484="Trialer",1,0))+IF(C3484="Customer",1,IF(C3484="Lost",1,0))=2,1,0)</f>
      </c>
      <c r="X3484" s="0" t="s">
        <v>153</v>
      </c>
      <c r="Y3484" s="0" t="s">
        <v>243</v>
      </c>
      <c r="AV3484" s="68"/>
      <c r="AW3484" s="68"/>
      <c r="AY3484" s="27"/>
      <c r="BD3484" s="68">
        <v>46054.1666666667</v>
      </c>
      <c r="BE3484" s="68">
        <v>46082.1666666667</v>
      </c>
      <c r="BF3484" s="0" t="b">
        <v>0</v>
      </c>
      <c r="BG3484" s="0" t="b">
        <v>0</v>
      </c>
      <c r="BH3484" s="0">
        <v>80</v>
      </c>
      <c r="BI3484" s="0">
        <v>80</v>
      </c>
      <c r="BJ3484" s="0" t="s">
        <v>230</v>
      </c>
    </row>
    <row r="3485">
      <c r="A3485" s="0" t="s">
        <v>3738</v>
      </c>
      <c r="B3485" s="0" t="s">
        <v>134</v>
      </c>
      <c r="C3485" s="0" t="s">
        <v>134</v>
      </c>
      <c r="D3485" s="0" t="s">
        <v>135</v>
      </c>
      <c r="E3485" s="0" t="s">
        <v>3</v>
      </c>
      <c r="F3485" s="0" t="s">
        <v>12</v>
      </c>
      <c r="G3485" s="0" t="s">
        <v>8</v>
      </c>
      <c r="H3485" s="0">
        <v>145</v>
      </c>
      <c r="I3485" s="0">
        <v>668</v>
      </c>
      <c r="J3485" s="0">
        <v>0</v>
      </c>
      <c r="K3485" s="0">
        <v>1</v>
      </c>
      <c r="L3485" s="0">
        <v>4</v>
      </c>
      <c r="M3485" s="0">
        <v>7</v>
      </c>
      <c r="N3485" s="0">
        <v>837</v>
      </c>
      <c r="O3485" s="0">
        <v>0</v>
      </c>
      <c r="P3485" s="0">
        <v>0</v>
      </c>
      <c r="R3485" s="0" t="b">
        <v>0</v>
      </c>
      <c r="S3485" s="0" t="b">
        <v>1</v>
      </c>
      <c r="T3485" s="68">
        <v>45908.3839351852</v>
      </c>
      <c r="U3485" s="68">
        <v>45916.3333333333</v>
      </c>
      <c r="V3485" s="68">
        <v>0</v>
      </c>
      <c r="W3485" s="0">
        <f>IF(IF(B3485="none",1,IF(B3485="Trialer",1,0))+IF(C3485="Customer",1,IF(C3485="Lost",1,0))=2,1,0)</f>
      </c>
      <c r="X3485" s="0" t="s">
        <v>136</v>
      </c>
      <c r="Y3485" s="0" t="s">
        <v>243</v>
      </c>
      <c r="AV3485" s="68"/>
      <c r="AW3485" s="68"/>
      <c r="AY3485" s="27"/>
      <c r="BD3485" s="68">
        <v>46054.1666666667</v>
      </c>
      <c r="BE3485" s="68">
        <v>46082.1666666667</v>
      </c>
      <c r="BF3485" s="0" t="b">
        <v>0</v>
      </c>
      <c r="BG3485" s="0" t="b">
        <v>0</v>
      </c>
      <c r="BH3485" s="0">
        <v>343</v>
      </c>
      <c r="BI3485" s="0">
        <v>343</v>
      </c>
      <c r="BJ3485" s="0" t="s">
        <v>135</v>
      </c>
    </row>
    <row r="3486">
      <c r="A3486" s="0" t="s">
        <v>3739</v>
      </c>
      <c r="B3486" s="0" t="s">
        <v>134</v>
      </c>
      <c r="C3486" s="0" t="s">
        <v>134</v>
      </c>
      <c r="D3486" s="0" t="s">
        <v>230</v>
      </c>
      <c r="E3486" s="0" t="s">
        <v>3</v>
      </c>
      <c r="F3486" s="0" t="s">
        <v>12</v>
      </c>
      <c r="G3486" s="0" t="s">
        <v>8</v>
      </c>
      <c r="H3486" s="0">
        <v>145</v>
      </c>
      <c r="I3486" s="0">
        <v>44</v>
      </c>
      <c r="J3486" s="0">
        <v>0</v>
      </c>
      <c r="K3486" s="0">
        <v>1</v>
      </c>
      <c r="L3486" s="0">
        <v>3</v>
      </c>
      <c r="M3486" s="0">
        <v>1</v>
      </c>
      <c r="N3486" s="0">
        <v>0</v>
      </c>
      <c r="O3486" s="0">
        <v>0</v>
      </c>
      <c r="P3486" s="0">
        <v>-44</v>
      </c>
      <c r="R3486" s="0" t="b">
        <v>0</v>
      </c>
      <c r="S3486" s="0" t="b">
        <v>1</v>
      </c>
      <c r="T3486" s="68">
        <v>45908.42125</v>
      </c>
      <c r="U3486" s="68">
        <v>45922.3333333333</v>
      </c>
      <c r="V3486" s="68">
        <v>0</v>
      </c>
      <c r="W3486" s="0">
        <f>IF(IF(B3486="none",1,IF(B3486="Trialer",1,0))+IF(C3486="Customer",1,IF(C3486="Lost",1,0))=2,1,0)</f>
      </c>
      <c r="X3486" s="0" t="s">
        <v>142</v>
      </c>
      <c r="Y3486" s="0" t="s">
        <v>243</v>
      </c>
      <c r="AV3486" s="68"/>
      <c r="AW3486" s="68"/>
      <c r="AY3486" s="27"/>
      <c r="BD3486" s="68">
        <v>46054.1666666667</v>
      </c>
      <c r="BE3486" s="68">
        <v>46082.1666666667</v>
      </c>
      <c r="BF3486" s="0" t="b">
        <v>0</v>
      </c>
      <c r="BG3486" s="0" t="b">
        <v>0</v>
      </c>
      <c r="BH3486" s="0">
        <v>49</v>
      </c>
      <c r="BI3486" s="0">
        <v>49</v>
      </c>
      <c r="BJ3486" s="0" t="s">
        <v>230</v>
      </c>
    </row>
    <row r="3487">
      <c r="A3487" s="0" t="s">
        <v>3740</v>
      </c>
      <c r="B3487" s="0" t="s">
        <v>134</v>
      </c>
      <c r="C3487" s="0" t="s">
        <v>190</v>
      </c>
      <c r="D3487" s="0" t="s">
        <v>135</v>
      </c>
      <c r="E3487" s="0" t="s">
        <v>3</v>
      </c>
      <c r="F3487" s="0" t="s">
        <v>12</v>
      </c>
      <c r="G3487" s="0" t="s">
        <v>8</v>
      </c>
      <c r="H3487" s="0">
        <v>145</v>
      </c>
      <c r="I3487" s="0">
        <v>0</v>
      </c>
      <c r="J3487" s="0">
        <v>0</v>
      </c>
      <c r="K3487" s="0">
        <v>0</v>
      </c>
      <c r="L3487" s="0">
        <v>0</v>
      </c>
      <c r="M3487" s="0">
        <v>0</v>
      </c>
      <c r="N3487" s="0">
        <v>0</v>
      </c>
      <c r="O3487" s="0">
        <v>0</v>
      </c>
      <c r="P3487" s="0">
        <v>0</v>
      </c>
      <c r="R3487" s="0" t="b">
        <v>0</v>
      </c>
      <c r="S3487" s="0" t="b">
        <v>0</v>
      </c>
      <c r="T3487" s="68">
        <v>45908.4853472222</v>
      </c>
      <c r="U3487" s="68">
        <v>45946.3333333333</v>
      </c>
      <c r="V3487" s="68">
        <v>46059.7449074074</v>
      </c>
      <c r="W3487" s="0">
        <f>IF(IF(B3487="none",1,IF(B3487="Trialer",1,0))+IF(C3487="Customer",1,IF(C3487="Lost",1,0))=2,1,0)</f>
      </c>
      <c r="X3487" s="0" t="s">
        <v>148</v>
      </c>
      <c r="Y3487" s="0" t="s">
        <v>1792</v>
      </c>
      <c r="AV3487" s="68"/>
      <c r="AW3487" s="68"/>
      <c r="AY3487" s="27"/>
      <c r="BD3487" s="68">
        <v>46054.1666666667</v>
      </c>
      <c r="BE3487" s="68">
        <v>46082.1666666667</v>
      </c>
      <c r="BF3487" s="0" t="b">
        <v>0</v>
      </c>
      <c r="BG3487" s="0" t="b">
        <v>0</v>
      </c>
      <c r="BH3487" s="0">
        <v>661</v>
      </c>
      <c r="BI3487" s="0">
        <v>661</v>
      </c>
      <c r="BJ3487" s="0" t="s">
        <v>230</v>
      </c>
    </row>
    <row r="3488">
      <c r="A3488" s="0" t="s">
        <v>3741</v>
      </c>
      <c r="B3488" s="0" t="s">
        <v>134</v>
      </c>
      <c r="C3488" s="0" t="s">
        <v>134</v>
      </c>
      <c r="D3488" s="0" t="s">
        <v>135</v>
      </c>
      <c r="E3488" s="0" t="s">
        <v>3</v>
      </c>
      <c r="F3488" s="0" t="s">
        <v>12</v>
      </c>
      <c r="G3488" s="0" t="s">
        <v>8</v>
      </c>
      <c r="H3488" s="0">
        <v>145</v>
      </c>
      <c r="I3488" s="0">
        <v>691</v>
      </c>
      <c r="J3488" s="0">
        <v>0</v>
      </c>
      <c r="K3488" s="0">
        <v>1</v>
      </c>
      <c r="L3488" s="0">
        <v>6</v>
      </c>
      <c r="M3488" s="0">
        <v>6</v>
      </c>
      <c r="N3488" s="0">
        <v>0</v>
      </c>
      <c r="O3488" s="0">
        <v>0</v>
      </c>
      <c r="P3488" s="0">
        <v>0</v>
      </c>
      <c r="R3488" s="0" t="b">
        <v>0</v>
      </c>
      <c r="S3488" s="0" t="b">
        <v>1</v>
      </c>
      <c r="T3488" s="68">
        <v>45908.5923032407</v>
      </c>
      <c r="U3488" s="68">
        <v>45908.3333333333</v>
      </c>
      <c r="V3488" s="68">
        <v>0</v>
      </c>
      <c r="W3488" s="0">
        <f>IF(IF(B3488="none",1,IF(B3488="Trialer",1,0))+IF(C3488="Customer",1,IF(C3488="Lost",1,0))=2,1,0)</f>
      </c>
      <c r="X3488" s="0" t="s">
        <v>145</v>
      </c>
      <c r="Y3488" s="0" t="s">
        <v>243</v>
      </c>
      <c r="AV3488" s="68"/>
      <c r="AW3488" s="68"/>
      <c r="AY3488" s="27"/>
      <c r="BD3488" s="68">
        <v>46054.1666666667</v>
      </c>
      <c r="BE3488" s="68">
        <v>46082.1666666667</v>
      </c>
      <c r="BF3488" s="0" t="b">
        <v>0</v>
      </c>
      <c r="BG3488" s="0" t="b">
        <v>0</v>
      </c>
      <c r="BH3488" s="0">
        <v>366</v>
      </c>
      <c r="BI3488" s="0">
        <v>366</v>
      </c>
      <c r="BJ3488" s="0" t="s">
        <v>135</v>
      </c>
    </row>
    <row r="3489">
      <c r="A3489" s="0" t="s">
        <v>3742</v>
      </c>
      <c r="B3489" s="0" t="s">
        <v>134</v>
      </c>
      <c r="C3489" s="0" t="s">
        <v>134</v>
      </c>
      <c r="D3489" s="0" t="s">
        <v>135</v>
      </c>
      <c r="E3489" s="0" t="s">
        <v>2</v>
      </c>
      <c r="F3489" s="0" t="s">
        <v>12</v>
      </c>
      <c r="G3489" s="0" t="s">
        <v>8</v>
      </c>
      <c r="H3489" s="0">
        <v>145</v>
      </c>
      <c r="I3489" s="0">
        <v>134</v>
      </c>
      <c r="J3489" s="0">
        <v>0</v>
      </c>
      <c r="K3489" s="0">
        <v>1</v>
      </c>
      <c r="L3489" s="0">
        <v>5</v>
      </c>
      <c r="M3489" s="0">
        <v>2</v>
      </c>
      <c r="N3489" s="0">
        <v>0</v>
      </c>
      <c r="O3489" s="0">
        <v>0</v>
      </c>
      <c r="P3489" s="0">
        <v>0</v>
      </c>
      <c r="R3489" s="0" t="b">
        <v>0</v>
      </c>
      <c r="S3489" s="0" t="b">
        <v>1</v>
      </c>
      <c r="T3489" s="68">
        <v>45908.5930671296</v>
      </c>
      <c r="U3489" s="68">
        <v>45923.3333333333</v>
      </c>
      <c r="V3489" s="68">
        <v>0</v>
      </c>
      <c r="W3489" s="0">
        <f>IF(IF(B3489="none",1,IF(B3489="Trialer",1,0))+IF(C3489="Customer",1,IF(C3489="Lost",1,0))=2,1,0)</f>
      </c>
      <c r="X3489" s="0" t="s">
        <v>142</v>
      </c>
      <c r="Y3489" s="0" t="s">
        <v>499</v>
      </c>
      <c r="AV3489" s="68"/>
      <c r="AW3489" s="68"/>
      <c r="AY3489" s="27"/>
      <c r="BD3489" s="68">
        <v>46054.1666666667</v>
      </c>
      <c r="BE3489" s="68">
        <v>46082.1666666667</v>
      </c>
      <c r="BF3489" s="0" t="b">
        <v>0</v>
      </c>
      <c r="BG3489" s="0" t="b">
        <v>0</v>
      </c>
      <c r="BH3489" s="0">
        <v>134</v>
      </c>
      <c r="BI3489" s="0">
        <v>134</v>
      </c>
      <c r="BJ3489" s="0" t="s">
        <v>135</v>
      </c>
    </row>
    <row r="3490">
      <c r="A3490" s="0" t="s">
        <v>3743</v>
      </c>
      <c r="B3490" s="0" t="s">
        <v>134</v>
      </c>
      <c r="C3490" s="0" t="s">
        <v>134</v>
      </c>
      <c r="D3490" s="0" t="s">
        <v>230</v>
      </c>
      <c r="E3490" s="0" t="s">
        <v>3</v>
      </c>
      <c r="F3490" s="0" t="s">
        <v>12</v>
      </c>
      <c r="G3490" s="0" t="s">
        <v>8</v>
      </c>
      <c r="H3490" s="0">
        <v>144</v>
      </c>
      <c r="I3490" s="0">
        <v>137.25</v>
      </c>
      <c r="J3490" s="0">
        <v>0</v>
      </c>
      <c r="K3490" s="0">
        <v>1</v>
      </c>
      <c r="L3490" s="0">
        <v>4</v>
      </c>
      <c r="M3490" s="0">
        <v>3</v>
      </c>
      <c r="N3490" s="0">
        <v>0</v>
      </c>
      <c r="O3490" s="0">
        <v>0</v>
      </c>
      <c r="P3490" s="0">
        <v>-137.25</v>
      </c>
      <c r="R3490" s="0" t="b">
        <v>0</v>
      </c>
      <c r="S3490" s="0" t="b">
        <v>1</v>
      </c>
      <c r="T3490" s="68">
        <v>45909.6915046296</v>
      </c>
      <c r="U3490" s="68">
        <v>45923.3333333333</v>
      </c>
      <c r="V3490" s="68">
        <v>0</v>
      </c>
      <c r="W3490" s="0">
        <f>IF(IF(B3490="none",1,IF(B3490="Trialer",1,0))+IF(C3490="Customer",1,IF(C3490="Lost",1,0))=2,1,0)</f>
      </c>
      <c r="X3490" s="0" t="s">
        <v>166</v>
      </c>
      <c r="Y3490" s="0" t="s">
        <v>243</v>
      </c>
      <c r="AV3490" s="68"/>
      <c r="AW3490" s="68"/>
      <c r="AY3490" s="27"/>
      <c r="BD3490" s="68">
        <v>46054.1666666667</v>
      </c>
      <c r="BE3490" s="68">
        <v>46082.1666666667</v>
      </c>
      <c r="BF3490" s="0" t="b">
        <v>0</v>
      </c>
      <c r="BG3490" s="0" t="b">
        <v>0</v>
      </c>
      <c r="BH3490" s="0">
        <v>183</v>
      </c>
      <c r="BI3490" s="0">
        <v>183</v>
      </c>
      <c r="BJ3490" s="0" t="s">
        <v>230</v>
      </c>
    </row>
    <row r="3491">
      <c r="A3491" s="0" t="s">
        <v>3744</v>
      </c>
      <c r="B3491" s="0" t="s">
        <v>134</v>
      </c>
      <c r="C3491" s="0" t="s">
        <v>134</v>
      </c>
      <c r="D3491" s="0" t="s">
        <v>230</v>
      </c>
      <c r="E3491" s="0" t="s">
        <v>3</v>
      </c>
      <c r="F3491" s="0" t="s">
        <v>12</v>
      </c>
      <c r="G3491" s="0" t="s">
        <v>8</v>
      </c>
      <c r="H3491" s="0">
        <v>143</v>
      </c>
      <c r="I3491" s="0">
        <v>162</v>
      </c>
      <c r="J3491" s="0">
        <v>0</v>
      </c>
      <c r="K3491" s="0">
        <v>1</v>
      </c>
      <c r="L3491" s="0">
        <v>4</v>
      </c>
      <c r="M3491" s="0">
        <v>3</v>
      </c>
      <c r="N3491" s="0">
        <v>0</v>
      </c>
      <c r="O3491" s="0">
        <v>0</v>
      </c>
      <c r="P3491" s="0">
        <v>-162</v>
      </c>
      <c r="R3491" s="0" t="b">
        <v>0</v>
      </c>
      <c r="S3491" s="0" t="b">
        <v>1</v>
      </c>
      <c r="T3491" s="68">
        <v>45910.5638773148</v>
      </c>
      <c r="U3491" s="68">
        <v>45936.3333333333</v>
      </c>
      <c r="V3491" s="68">
        <v>0</v>
      </c>
      <c r="W3491" s="0">
        <f>IF(IF(B3491="none",1,IF(B3491="Trialer",1,0))+IF(C3491="Customer",1,IF(C3491="Lost",1,0))=2,1,0)</f>
      </c>
      <c r="X3491" s="0" t="s">
        <v>166</v>
      </c>
      <c r="Y3491" s="0" t="s">
        <v>243</v>
      </c>
      <c r="AV3491" s="68"/>
      <c r="AW3491" s="68"/>
      <c r="AY3491" s="27"/>
      <c r="BD3491" s="68">
        <v>46054.1666666667</v>
      </c>
      <c r="BE3491" s="68">
        <v>46082.1666666667</v>
      </c>
      <c r="BF3491" s="0" t="b">
        <v>0</v>
      </c>
      <c r="BG3491" s="0" t="b">
        <v>0</v>
      </c>
      <c r="BH3491" s="0">
        <v>183</v>
      </c>
      <c r="BI3491" s="0">
        <v>183</v>
      </c>
      <c r="BJ3491" s="0" t="s">
        <v>230</v>
      </c>
    </row>
    <row r="3492">
      <c r="A3492" s="0" t="s">
        <v>3745</v>
      </c>
      <c r="B3492" s="0" t="s">
        <v>134</v>
      </c>
      <c r="C3492" s="0" t="s">
        <v>134</v>
      </c>
      <c r="D3492" s="0" t="s">
        <v>135</v>
      </c>
      <c r="E3492" s="0" t="s">
        <v>3</v>
      </c>
      <c r="F3492" s="0" t="s">
        <v>12</v>
      </c>
      <c r="G3492" s="0" t="s">
        <v>8</v>
      </c>
      <c r="H3492" s="0">
        <v>143</v>
      </c>
      <c r="I3492" s="0">
        <v>40</v>
      </c>
      <c r="J3492" s="0">
        <v>0</v>
      </c>
      <c r="K3492" s="0">
        <v>1</v>
      </c>
      <c r="L3492" s="0">
        <v>1</v>
      </c>
      <c r="M3492" s="0">
        <v>0</v>
      </c>
      <c r="N3492" s="0">
        <v>0</v>
      </c>
      <c r="O3492" s="0">
        <v>0</v>
      </c>
      <c r="P3492" s="0">
        <v>0</v>
      </c>
      <c r="R3492" s="0" t="b">
        <v>0</v>
      </c>
      <c r="S3492" s="0" t="b">
        <v>1</v>
      </c>
      <c r="T3492" s="68">
        <v>45910.5754513889</v>
      </c>
      <c r="U3492" s="68">
        <v>45910.3333333333</v>
      </c>
      <c r="V3492" s="68">
        <v>0</v>
      </c>
      <c r="W3492" s="0">
        <f>IF(IF(B3492="none",1,IF(B3492="Trialer",1,0))+IF(C3492="Customer",1,IF(C3492="Lost",1,0))=2,1,0)</f>
      </c>
      <c r="X3492" s="0" t="s">
        <v>136</v>
      </c>
      <c r="Y3492" s="0" t="s">
        <v>243</v>
      </c>
      <c r="AV3492" s="68"/>
      <c r="AW3492" s="68"/>
      <c r="AY3492" s="27"/>
      <c r="BD3492" s="68">
        <v>46054.1666666667</v>
      </c>
      <c r="BE3492" s="68">
        <v>46082.1666666667</v>
      </c>
      <c r="BF3492" s="0" t="b">
        <v>0</v>
      </c>
      <c r="BG3492" s="0" t="b">
        <v>0</v>
      </c>
      <c r="BH3492" s="0">
        <v>40</v>
      </c>
      <c r="BI3492" s="0">
        <v>40</v>
      </c>
      <c r="BJ3492" s="0" t="s">
        <v>135</v>
      </c>
    </row>
    <row r="3493">
      <c r="A3493" s="0" t="s">
        <v>3746</v>
      </c>
      <c r="B3493" s="0" t="s">
        <v>134</v>
      </c>
      <c r="C3493" s="0" t="s">
        <v>134</v>
      </c>
      <c r="D3493" s="0" t="s">
        <v>135</v>
      </c>
      <c r="E3493" s="0" t="s">
        <v>3</v>
      </c>
      <c r="F3493" s="0" t="s">
        <v>12</v>
      </c>
      <c r="G3493" s="0" t="s">
        <v>8</v>
      </c>
      <c r="H3493" s="0">
        <v>143</v>
      </c>
      <c r="I3493" s="0">
        <v>170</v>
      </c>
      <c r="J3493" s="0">
        <v>0</v>
      </c>
      <c r="K3493" s="0">
        <v>1</v>
      </c>
      <c r="L3493" s="0">
        <v>6</v>
      </c>
      <c r="M3493" s="0">
        <v>2</v>
      </c>
      <c r="N3493" s="0">
        <v>0</v>
      </c>
      <c r="O3493" s="0">
        <v>0</v>
      </c>
      <c r="P3493" s="0">
        <v>0</v>
      </c>
      <c r="R3493" s="0" t="b">
        <v>0</v>
      </c>
      <c r="S3493" s="0" t="b">
        <v>1</v>
      </c>
      <c r="T3493" s="68">
        <v>45910.6055555556</v>
      </c>
      <c r="U3493" s="68">
        <v>45924.3333333333</v>
      </c>
      <c r="V3493" s="68">
        <v>0</v>
      </c>
      <c r="W3493" s="0">
        <f>IF(IF(B3493="none",1,IF(B3493="Trialer",1,0))+IF(C3493="Customer",1,IF(C3493="Lost",1,0))=2,1,0)</f>
      </c>
      <c r="X3493" s="0" t="s">
        <v>148</v>
      </c>
      <c r="Y3493" s="0" t="s">
        <v>243</v>
      </c>
      <c r="AV3493" s="68"/>
      <c r="AW3493" s="68"/>
      <c r="AY3493" s="27"/>
      <c r="BD3493" s="68">
        <v>46054.1666666667</v>
      </c>
      <c r="BE3493" s="68">
        <v>46082.1666666667</v>
      </c>
      <c r="BF3493" s="0" t="b">
        <v>1</v>
      </c>
      <c r="BG3493" s="0" t="b">
        <v>0</v>
      </c>
      <c r="BH3493" s="0">
        <v>170</v>
      </c>
      <c r="BI3493" s="0">
        <v>170</v>
      </c>
      <c r="BJ3493" s="0" t="s">
        <v>135</v>
      </c>
    </row>
    <row r="3494">
      <c r="A3494" s="0" t="s">
        <v>3747</v>
      </c>
      <c r="B3494" s="0" t="s">
        <v>134</v>
      </c>
      <c r="C3494" s="0" t="s">
        <v>134</v>
      </c>
      <c r="D3494" s="0" t="s">
        <v>135</v>
      </c>
      <c r="E3494" s="0" t="s">
        <v>3</v>
      </c>
      <c r="F3494" s="0" t="s">
        <v>12</v>
      </c>
      <c r="G3494" s="0" t="s">
        <v>8</v>
      </c>
      <c r="H3494" s="0">
        <v>143</v>
      </c>
      <c r="I3494" s="0">
        <v>28</v>
      </c>
      <c r="J3494" s="0">
        <v>0</v>
      </c>
      <c r="K3494" s="0">
        <v>1</v>
      </c>
      <c r="L3494" s="0">
        <v>1</v>
      </c>
      <c r="M3494" s="0">
        <v>1</v>
      </c>
      <c r="N3494" s="0">
        <v>0</v>
      </c>
      <c r="O3494" s="0">
        <v>0</v>
      </c>
      <c r="P3494" s="0">
        <v>0</v>
      </c>
      <c r="R3494" s="0" t="b">
        <v>0</v>
      </c>
      <c r="S3494" s="0" t="b">
        <v>1</v>
      </c>
      <c r="T3494" s="68">
        <v>45910.7324421296</v>
      </c>
      <c r="U3494" s="68">
        <v>45924.3333333333</v>
      </c>
      <c r="V3494" s="68">
        <v>0</v>
      </c>
      <c r="W3494" s="0">
        <f>IF(IF(B3494="none",1,IF(B3494="Trialer",1,0))+IF(C3494="Customer",1,IF(C3494="Lost",1,0))=2,1,0)</f>
      </c>
      <c r="X3494" s="0" t="s">
        <v>153</v>
      </c>
      <c r="Y3494" s="0" t="s">
        <v>487</v>
      </c>
      <c r="AV3494" s="68"/>
      <c r="AW3494" s="68"/>
      <c r="AY3494" s="27"/>
      <c r="BD3494" s="68">
        <v>46054.1666666667</v>
      </c>
      <c r="BE3494" s="68">
        <v>46082.1666666667</v>
      </c>
      <c r="BF3494" s="0" t="b">
        <v>0</v>
      </c>
      <c r="BG3494" s="0" t="b">
        <v>0</v>
      </c>
      <c r="BH3494" s="0">
        <v>28</v>
      </c>
      <c r="BI3494" s="0">
        <v>28</v>
      </c>
      <c r="BJ3494" s="0" t="s">
        <v>135</v>
      </c>
    </row>
    <row r="3495">
      <c r="A3495" s="0" t="s">
        <v>3748</v>
      </c>
      <c r="B3495" s="0" t="s">
        <v>134</v>
      </c>
      <c r="C3495" s="0" t="s">
        <v>134</v>
      </c>
      <c r="D3495" s="0" t="s">
        <v>135</v>
      </c>
      <c r="E3495" s="0" t="s">
        <v>2</v>
      </c>
      <c r="F3495" s="0" t="s">
        <v>12</v>
      </c>
      <c r="G3495" s="0" t="s">
        <v>8</v>
      </c>
      <c r="H3495" s="0">
        <v>143</v>
      </c>
      <c r="I3495" s="0">
        <v>0</v>
      </c>
      <c r="J3495" s="0">
        <v>0</v>
      </c>
      <c r="K3495" s="0">
        <v>1</v>
      </c>
      <c r="L3495" s="0">
        <v>3</v>
      </c>
      <c r="M3495" s="0">
        <v>1</v>
      </c>
      <c r="N3495" s="0">
        <v>0</v>
      </c>
      <c r="O3495" s="0">
        <v>0</v>
      </c>
      <c r="P3495" s="0">
        <v>0</v>
      </c>
      <c r="R3495" s="0" t="b">
        <v>0</v>
      </c>
      <c r="S3495" s="0" t="b">
        <v>1</v>
      </c>
      <c r="T3495" s="68">
        <v>45910.7541666667</v>
      </c>
      <c r="U3495" s="68">
        <v>45924.3333333333</v>
      </c>
      <c r="V3495" s="68">
        <v>0</v>
      </c>
      <c r="W3495" s="0">
        <f>IF(IF(B3495="none",1,IF(B3495="Trialer",1,0))+IF(C3495="Customer",1,IF(C3495="Lost",1,0))=2,1,0)</f>
      </c>
      <c r="X3495" s="0" t="s">
        <v>148</v>
      </c>
      <c r="Y3495" s="0" t="s">
        <v>499</v>
      </c>
      <c r="AV3495" s="68"/>
      <c r="AW3495" s="68"/>
      <c r="AY3495" s="27"/>
      <c r="BD3495" s="68">
        <v>46054.1666666667</v>
      </c>
      <c r="BE3495" s="68">
        <v>46082.1666666667</v>
      </c>
      <c r="BF3495" s="0" t="b">
        <v>0</v>
      </c>
      <c r="BG3495" s="0" t="b">
        <v>0</v>
      </c>
      <c r="BH3495" s="0">
        <v>0</v>
      </c>
      <c r="BI3495" s="0">
        <v>0</v>
      </c>
      <c r="BJ3495" s="0" t="s">
        <v>135</v>
      </c>
    </row>
    <row r="3496">
      <c r="A3496" s="0" t="s">
        <v>3749</v>
      </c>
      <c r="B3496" s="0" t="s">
        <v>134</v>
      </c>
      <c r="C3496" s="0" t="s">
        <v>134</v>
      </c>
      <c r="D3496" s="0" t="s">
        <v>230</v>
      </c>
      <c r="E3496" s="0" t="s">
        <v>2</v>
      </c>
      <c r="F3496" s="0" t="s">
        <v>12</v>
      </c>
      <c r="G3496" s="0" t="s">
        <v>8</v>
      </c>
      <c r="H3496" s="0">
        <v>143</v>
      </c>
      <c r="I3496" s="0">
        <v>374</v>
      </c>
      <c r="J3496" s="0">
        <v>0</v>
      </c>
      <c r="K3496" s="0">
        <v>1</v>
      </c>
      <c r="L3496" s="0">
        <v>4</v>
      </c>
      <c r="M3496" s="0">
        <v>8</v>
      </c>
      <c r="N3496" s="0">
        <v>465</v>
      </c>
      <c r="O3496" s="0">
        <v>0</v>
      </c>
      <c r="P3496" s="0">
        <v>-374</v>
      </c>
      <c r="R3496" s="0" t="b">
        <v>0</v>
      </c>
      <c r="S3496" s="0" t="b">
        <v>1</v>
      </c>
      <c r="T3496" s="68">
        <v>45910.754837963</v>
      </c>
      <c r="U3496" s="68">
        <v>45936.3333333333</v>
      </c>
      <c r="V3496" s="68">
        <v>0</v>
      </c>
      <c r="W3496" s="0">
        <f>IF(IF(B3496="none",1,IF(B3496="Trialer",1,0))+IF(C3496="Customer",1,IF(C3496="Lost",1,0))=2,1,0)</f>
      </c>
      <c r="X3496" s="0" t="s">
        <v>148</v>
      </c>
      <c r="Y3496" s="0" t="s">
        <v>499</v>
      </c>
      <c r="AV3496" s="68"/>
      <c r="AW3496" s="68"/>
      <c r="AY3496" s="27"/>
      <c r="BD3496" s="68">
        <v>46054.1666666667</v>
      </c>
      <c r="BE3496" s="68">
        <v>46082.1666666667</v>
      </c>
      <c r="BF3496" s="0" t="b">
        <v>0</v>
      </c>
      <c r="BG3496" s="0" t="b">
        <v>0</v>
      </c>
      <c r="BH3496" s="0">
        <v>422</v>
      </c>
      <c r="BI3496" s="0">
        <v>422</v>
      </c>
      <c r="BJ3496" s="0" t="s">
        <v>230</v>
      </c>
    </row>
    <row r="3497">
      <c r="A3497" s="0" t="s">
        <v>3750</v>
      </c>
      <c r="B3497" s="0" t="s">
        <v>134</v>
      </c>
      <c r="C3497" s="0" t="s">
        <v>134</v>
      </c>
      <c r="D3497" s="0" t="s">
        <v>230</v>
      </c>
      <c r="E3497" s="0" t="s">
        <v>3</v>
      </c>
      <c r="F3497" s="0" t="s">
        <v>12</v>
      </c>
      <c r="G3497" s="0" t="s">
        <v>8</v>
      </c>
      <c r="H3497" s="0">
        <v>142</v>
      </c>
      <c r="I3497" s="0">
        <v>250</v>
      </c>
      <c r="J3497" s="0">
        <v>0</v>
      </c>
      <c r="K3497" s="0">
        <v>1</v>
      </c>
      <c r="L3497" s="0">
        <v>3</v>
      </c>
      <c r="M3497" s="0">
        <v>7</v>
      </c>
      <c r="N3497" s="0">
        <v>852.5</v>
      </c>
      <c r="O3497" s="0">
        <v>0</v>
      </c>
      <c r="P3497" s="0">
        <v>-250</v>
      </c>
      <c r="R3497" s="0" t="b">
        <v>0</v>
      </c>
      <c r="S3497" s="0" t="b">
        <v>1</v>
      </c>
      <c r="T3497" s="68">
        <v>45911.3675</v>
      </c>
      <c r="U3497" s="68">
        <v>45925.3333333333</v>
      </c>
      <c r="V3497" s="68">
        <v>0</v>
      </c>
      <c r="W3497" s="0">
        <f>IF(IF(B3497="none",1,IF(B3497="Trialer",1,0))+IF(C3497="Customer",1,IF(C3497="Lost",1,0))=2,1,0)</f>
      </c>
      <c r="X3497" s="0" t="s">
        <v>148</v>
      </c>
      <c r="Y3497" s="0" t="s">
        <v>243</v>
      </c>
      <c r="AV3497" s="68"/>
      <c r="AW3497" s="68"/>
      <c r="AY3497" s="27"/>
      <c r="BD3497" s="68">
        <v>46054.1666666667</v>
      </c>
      <c r="BE3497" s="68">
        <v>46082.1666666667</v>
      </c>
      <c r="BF3497" s="0" t="b">
        <v>0</v>
      </c>
      <c r="BG3497" s="0" t="b">
        <v>0</v>
      </c>
      <c r="BH3497" s="0">
        <v>378</v>
      </c>
      <c r="BI3497" s="0">
        <v>378</v>
      </c>
      <c r="BJ3497" s="0" t="s">
        <v>230</v>
      </c>
    </row>
    <row r="3498">
      <c r="A3498" s="0" t="s">
        <v>3751</v>
      </c>
      <c r="B3498" s="0" t="s">
        <v>134</v>
      </c>
      <c r="C3498" s="0" t="s">
        <v>134</v>
      </c>
      <c r="D3498" s="0" t="s">
        <v>230</v>
      </c>
      <c r="E3498" s="0" t="s">
        <v>3</v>
      </c>
      <c r="F3498" s="0" t="s">
        <v>12</v>
      </c>
      <c r="G3498" s="0" t="s">
        <v>8</v>
      </c>
      <c r="H3498" s="0">
        <v>142</v>
      </c>
      <c r="I3498" s="0">
        <v>901</v>
      </c>
      <c r="J3498" s="0">
        <v>0</v>
      </c>
      <c r="K3498" s="0">
        <v>1</v>
      </c>
      <c r="L3498" s="0">
        <v>4</v>
      </c>
      <c r="M3498" s="0">
        <v>13</v>
      </c>
      <c r="N3498" s="0">
        <v>1116</v>
      </c>
      <c r="O3498" s="0">
        <v>0</v>
      </c>
      <c r="P3498" s="0">
        <v>6336</v>
      </c>
      <c r="R3498" s="0" t="b">
        <v>0</v>
      </c>
      <c r="S3498" s="0" t="b">
        <v>1</v>
      </c>
      <c r="T3498" s="68">
        <v>45911.5804976852</v>
      </c>
      <c r="U3498" s="68">
        <v>45951.3333333333</v>
      </c>
      <c r="V3498" s="68">
        <v>0</v>
      </c>
      <c r="W3498" s="0">
        <f>IF(IF(B3498="none",1,IF(B3498="Trialer",1,0))+IF(C3498="Customer",1,IF(C3498="Lost",1,0))=2,1,0)</f>
      </c>
      <c r="X3498" s="0" t="s">
        <v>145</v>
      </c>
      <c r="Y3498" s="0" t="s">
        <v>243</v>
      </c>
      <c r="AV3498" s="68"/>
      <c r="AW3498" s="68"/>
      <c r="AY3498" s="27"/>
      <c r="BD3498" s="68">
        <v>46054.1666666667</v>
      </c>
      <c r="BE3498" s="68">
        <v>46082.1666666667</v>
      </c>
      <c r="BF3498" s="0" t="b">
        <v>0</v>
      </c>
      <c r="BG3498" s="0" t="b">
        <v>0</v>
      </c>
      <c r="BH3498" s="0">
        <v>649</v>
      </c>
      <c r="BI3498" s="0">
        <v>649</v>
      </c>
      <c r="BJ3498" s="0" t="s">
        <v>230</v>
      </c>
    </row>
    <row r="3499">
      <c r="A3499" s="0" t="s">
        <v>3752</v>
      </c>
      <c r="B3499" s="0" t="s">
        <v>134</v>
      </c>
      <c r="C3499" s="0" t="s">
        <v>134</v>
      </c>
      <c r="D3499" s="0" t="s">
        <v>135</v>
      </c>
      <c r="E3499" s="0" t="s">
        <v>2</v>
      </c>
      <c r="F3499" s="0" t="s">
        <v>10</v>
      </c>
      <c r="G3499" s="0" t="s">
        <v>8</v>
      </c>
      <c r="H3499" s="0">
        <v>141</v>
      </c>
      <c r="I3499" s="0">
        <v>40</v>
      </c>
      <c r="J3499" s="0">
        <v>0</v>
      </c>
      <c r="K3499" s="0">
        <v>1</v>
      </c>
      <c r="L3499" s="0">
        <v>1</v>
      </c>
      <c r="M3499" s="0">
        <v>0</v>
      </c>
      <c r="N3499" s="0">
        <v>0</v>
      </c>
      <c r="O3499" s="0">
        <v>0</v>
      </c>
      <c r="P3499" s="0">
        <v>0</v>
      </c>
      <c r="Q3499" s="0" t="s">
        <v>756</v>
      </c>
      <c r="R3499" s="0" t="b">
        <v>0</v>
      </c>
      <c r="S3499" s="0" t="b">
        <v>1</v>
      </c>
      <c r="T3499" s="68">
        <v>45912.4974537037</v>
      </c>
      <c r="U3499" s="68">
        <v>45912.3333333333</v>
      </c>
      <c r="V3499" s="68">
        <v>0</v>
      </c>
      <c r="W3499" s="0">
        <f>IF(IF(B3499="none",1,IF(B3499="Trialer",1,0))+IF(C3499="Customer",1,IF(C3499="Lost",1,0))=2,1,0)</f>
      </c>
      <c r="X3499" s="0" t="s">
        <v>136</v>
      </c>
      <c r="Y3499" s="0" t="s">
        <v>499</v>
      </c>
      <c r="AV3499" s="68"/>
      <c r="AW3499" s="68"/>
      <c r="AY3499" s="27"/>
      <c r="BD3499" s="68">
        <v>46054.1666666667</v>
      </c>
      <c r="BE3499" s="68">
        <v>46082.1666666667</v>
      </c>
      <c r="BF3499" s="0" t="b">
        <v>0</v>
      </c>
      <c r="BG3499" s="0" t="b">
        <v>0</v>
      </c>
      <c r="BH3499" s="0">
        <v>40</v>
      </c>
      <c r="BI3499" s="0">
        <v>40</v>
      </c>
      <c r="BJ3499" s="0" t="s">
        <v>135</v>
      </c>
    </row>
    <row r="3500">
      <c r="A3500" s="0" t="s">
        <v>3753</v>
      </c>
      <c r="B3500" s="0" t="s">
        <v>134</v>
      </c>
      <c r="C3500" s="0" t="s">
        <v>190</v>
      </c>
      <c r="D3500" s="0" t="s">
        <v>135</v>
      </c>
      <c r="E3500" s="0" t="s">
        <v>4</v>
      </c>
      <c r="F3500" s="0" t="s">
        <v>12</v>
      </c>
      <c r="G3500" s="0" t="s">
        <v>8</v>
      </c>
      <c r="H3500" s="0">
        <v>139</v>
      </c>
      <c r="I3500" s="0">
        <v>0</v>
      </c>
      <c r="J3500" s="0">
        <v>0</v>
      </c>
      <c r="K3500" s="0">
        <v>0</v>
      </c>
      <c r="L3500" s="0">
        <v>0</v>
      </c>
      <c r="M3500" s="0">
        <v>0</v>
      </c>
      <c r="N3500" s="0">
        <v>0</v>
      </c>
      <c r="O3500" s="0">
        <v>0</v>
      </c>
      <c r="P3500" s="0">
        <v>0</v>
      </c>
      <c r="R3500" s="0" t="b">
        <v>0</v>
      </c>
      <c r="S3500" s="0" t="b">
        <v>0</v>
      </c>
      <c r="T3500" s="68">
        <v>45914.4632291667</v>
      </c>
      <c r="U3500" s="68">
        <v>45946.3333333333</v>
      </c>
      <c r="V3500" s="68">
        <v>46063.1835763889</v>
      </c>
      <c r="W3500" s="0">
        <f>IF(IF(B3500="none",1,IF(B3500="Trialer",1,0))+IF(C3500="Customer",1,IF(C3500="Lost",1,0))=2,1,0)</f>
      </c>
      <c r="X3500" s="0" t="s">
        <v>1461</v>
      </c>
      <c r="Y3500" s="0" t="s">
        <v>1772</v>
      </c>
      <c r="AV3500" s="68"/>
      <c r="AW3500" s="68"/>
      <c r="AY3500" s="27"/>
      <c r="BD3500" s="68">
        <v>46054.1666666667</v>
      </c>
      <c r="BE3500" s="68">
        <v>46082.1666666667</v>
      </c>
      <c r="BF3500" s="0" t="b">
        <v>0</v>
      </c>
      <c r="BG3500" s="0" t="b">
        <v>0</v>
      </c>
      <c r="BH3500" s="0">
        <v>122</v>
      </c>
      <c r="BI3500" s="0">
        <v>122</v>
      </c>
      <c r="BJ3500" s="0" t="s">
        <v>135</v>
      </c>
    </row>
    <row r="3501">
      <c r="A3501" s="0" t="s">
        <v>3754</v>
      </c>
      <c r="B3501" s="0" t="s">
        <v>134</v>
      </c>
      <c r="C3501" s="0" t="s">
        <v>134</v>
      </c>
      <c r="D3501" s="0" t="s">
        <v>230</v>
      </c>
      <c r="E3501" s="0" t="s">
        <v>3</v>
      </c>
      <c r="F3501" s="0" t="s">
        <v>12</v>
      </c>
      <c r="G3501" s="0" t="s">
        <v>8</v>
      </c>
      <c r="H3501" s="0">
        <v>139</v>
      </c>
      <c r="I3501" s="0">
        <v>137.25</v>
      </c>
      <c r="J3501" s="0">
        <v>0</v>
      </c>
      <c r="K3501" s="0">
        <v>1</v>
      </c>
      <c r="L3501" s="0">
        <v>3</v>
      </c>
      <c r="M3501" s="0">
        <v>5</v>
      </c>
      <c r="N3501" s="0">
        <v>0</v>
      </c>
      <c r="O3501" s="0">
        <v>0</v>
      </c>
      <c r="P3501" s="0">
        <v>-137.25</v>
      </c>
      <c r="R3501" s="0" t="b">
        <v>0</v>
      </c>
      <c r="S3501" s="0" t="b">
        <v>1</v>
      </c>
      <c r="T3501" s="68">
        <v>45914.4958333333</v>
      </c>
      <c r="U3501" s="68">
        <v>45933.3333333333</v>
      </c>
      <c r="V3501" s="68">
        <v>0</v>
      </c>
      <c r="W3501" s="0">
        <f>IF(IF(B3501="none",1,IF(B3501="Trialer",1,0))+IF(C3501="Customer",1,IF(C3501="Lost",1,0))=2,1,0)</f>
      </c>
      <c r="X3501" s="0" t="s">
        <v>136</v>
      </c>
      <c r="Y3501" s="0" t="s">
        <v>243</v>
      </c>
      <c r="AV3501" s="68"/>
      <c r="AW3501" s="68"/>
      <c r="AY3501" s="27"/>
      <c r="BD3501" s="68">
        <v>46054.1666666667</v>
      </c>
      <c r="BE3501" s="68">
        <v>46082.1666666667</v>
      </c>
      <c r="BF3501" s="0" t="b">
        <v>0</v>
      </c>
      <c r="BG3501" s="0" t="b">
        <v>0</v>
      </c>
      <c r="BH3501" s="0">
        <v>183</v>
      </c>
      <c r="BI3501" s="0">
        <v>183</v>
      </c>
      <c r="BJ3501" s="0" t="s">
        <v>230</v>
      </c>
    </row>
    <row r="3502">
      <c r="A3502" s="0" t="s">
        <v>3755</v>
      </c>
      <c r="B3502" s="0" t="s">
        <v>134</v>
      </c>
      <c r="C3502" s="0" t="s">
        <v>190</v>
      </c>
      <c r="D3502" s="0" t="s">
        <v>135</v>
      </c>
      <c r="E3502" s="0" t="s">
        <v>2</v>
      </c>
      <c r="F3502" s="0" t="s">
        <v>12</v>
      </c>
      <c r="G3502" s="0" t="s">
        <v>8</v>
      </c>
      <c r="H3502" s="0">
        <v>138</v>
      </c>
      <c r="I3502" s="0">
        <v>0</v>
      </c>
      <c r="J3502" s="0">
        <v>0</v>
      </c>
      <c r="K3502" s="0">
        <v>0</v>
      </c>
      <c r="L3502" s="0">
        <v>0</v>
      </c>
      <c r="M3502" s="0">
        <v>0</v>
      </c>
      <c r="N3502" s="0">
        <v>0</v>
      </c>
      <c r="O3502" s="0">
        <v>0</v>
      </c>
      <c r="P3502" s="0">
        <v>0</v>
      </c>
      <c r="R3502" s="0" t="b">
        <v>0</v>
      </c>
      <c r="S3502" s="0" t="b">
        <v>0</v>
      </c>
      <c r="T3502" s="68">
        <v>45915.4884606482</v>
      </c>
      <c r="U3502" s="68">
        <v>45953.3333333333</v>
      </c>
      <c r="V3502" s="68">
        <v>46056.7631597222</v>
      </c>
      <c r="W3502" s="0">
        <f>IF(IF(B3502="none",1,IF(B3502="Trialer",1,0))+IF(C3502="Customer",1,IF(C3502="Lost",1,0))=2,1,0)</f>
      </c>
      <c r="X3502" s="0" t="s">
        <v>1461</v>
      </c>
      <c r="Y3502" s="0" t="s">
        <v>499</v>
      </c>
      <c r="AV3502" s="68"/>
      <c r="AW3502" s="68"/>
      <c r="AY3502" s="27"/>
      <c r="BD3502" s="68">
        <v>46054.1666666667</v>
      </c>
      <c r="BE3502" s="68">
        <v>46082.1666666667</v>
      </c>
      <c r="BF3502" s="0" t="b">
        <v>0</v>
      </c>
      <c r="BG3502" s="0" t="b">
        <v>0</v>
      </c>
      <c r="BH3502" s="0">
        <v>61</v>
      </c>
      <c r="BI3502" s="0">
        <v>61</v>
      </c>
      <c r="BJ3502" s="0" t="s">
        <v>135</v>
      </c>
    </row>
    <row r="3503">
      <c r="A3503" s="0" t="s">
        <v>3756</v>
      </c>
      <c r="B3503" s="0" t="s">
        <v>134</v>
      </c>
      <c r="C3503" s="0" t="s">
        <v>134</v>
      </c>
      <c r="D3503" s="0" t="s">
        <v>230</v>
      </c>
      <c r="E3503" s="0" t="s">
        <v>2</v>
      </c>
      <c r="F3503" s="0" t="s">
        <v>12</v>
      </c>
      <c r="G3503" s="0" t="s">
        <v>8</v>
      </c>
      <c r="H3503" s="0">
        <v>138</v>
      </c>
      <c r="I3503" s="0">
        <v>152</v>
      </c>
      <c r="J3503" s="0">
        <v>0</v>
      </c>
      <c r="K3503" s="0">
        <v>1</v>
      </c>
      <c r="L3503" s="0">
        <v>4</v>
      </c>
      <c r="M3503" s="0">
        <v>3</v>
      </c>
      <c r="N3503" s="0">
        <v>0</v>
      </c>
      <c r="O3503" s="0">
        <v>0</v>
      </c>
      <c r="P3503" s="0">
        <v>-152</v>
      </c>
      <c r="R3503" s="0" t="b">
        <v>0</v>
      </c>
      <c r="S3503" s="0" t="b">
        <v>1</v>
      </c>
      <c r="T3503" s="68">
        <v>45915.5828009259</v>
      </c>
      <c r="U3503" s="68">
        <v>45929.3333333333</v>
      </c>
      <c r="V3503" s="68">
        <v>0</v>
      </c>
      <c r="W3503" s="0">
        <f>IF(IF(B3503="none",1,IF(B3503="Trialer",1,0))+IF(C3503="Customer",1,IF(C3503="Lost",1,0))=2,1,0)</f>
      </c>
      <c r="X3503" s="0" t="s">
        <v>153</v>
      </c>
      <c r="Y3503" s="0" t="s">
        <v>499</v>
      </c>
      <c r="AV3503" s="68"/>
      <c r="AW3503" s="68"/>
      <c r="AY3503" s="27"/>
      <c r="BD3503" s="68">
        <v>46054.1666666667</v>
      </c>
      <c r="BE3503" s="68">
        <v>46082.1666666667</v>
      </c>
      <c r="BF3503" s="0" t="b">
        <v>0</v>
      </c>
      <c r="BG3503" s="0" t="b">
        <v>0</v>
      </c>
      <c r="BH3503" s="0">
        <v>171</v>
      </c>
      <c r="BI3503" s="0">
        <v>171</v>
      </c>
      <c r="BJ3503" s="0" t="s">
        <v>230</v>
      </c>
    </row>
    <row r="3504">
      <c r="A3504" s="0" t="s">
        <v>3757</v>
      </c>
      <c r="B3504" s="0" t="s">
        <v>134</v>
      </c>
      <c r="C3504" s="0" t="s">
        <v>134</v>
      </c>
      <c r="D3504" s="0" t="s">
        <v>135</v>
      </c>
      <c r="E3504" s="0" t="s">
        <v>3</v>
      </c>
      <c r="F3504" s="0" t="s">
        <v>12</v>
      </c>
      <c r="G3504" s="0" t="s">
        <v>8</v>
      </c>
      <c r="H3504" s="0">
        <v>138</v>
      </c>
      <c r="I3504" s="0">
        <v>0</v>
      </c>
      <c r="J3504" s="0">
        <v>0</v>
      </c>
      <c r="K3504" s="0">
        <v>1</v>
      </c>
      <c r="L3504" s="0">
        <v>5</v>
      </c>
      <c r="M3504" s="0">
        <v>1</v>
      </c>
      <c r="N3504" s="0">
        <v>0</v>
      </c>
      <c r="O3504" s="0">
        <v>0</v>
      </c>
      <c r="P3504" s="0">
        <v>0</v>
      </c>
      <c r="R3504" s="0" t="b">
        <v>0</v>
      </c>
      <c r="S3504" s="0" t="b">
        <v>1</v>
      </c>
      <c r="T3504" s="68">
        <v>45915.7115277778</v>
      </c>
      <c r="U3504" s="68">
        <v>45929.3333333333</v>
      </c>
      <c r="V3504" s="68">
        <v>0</v>
      </c>
      <c r="W3504" s="0">
        <f>IF(IF(B3504="none",1,IF(B3504="Trialer",1,0))+IF(C3504="Customer",1,IF(C3504="Lost",1,0))=2,1,0)</f>
      </c>
      <c r="X3504" s="0" t="s">
        <v>148</v>
      </c>
      <c r="Y3504" s="0" t="s">
        <v>243</v>
      </c>
      <c r="AV3504" s="68"/>
      <c r="AW3504" s="68"/>
      <c r="AY3504" s="27"/>
      <c r="BD3504" s="68">
        <v>46054.1666666667</v>
      </c>
      <c r="BE3504" s="68">
        <v>46082.1666666667</v>
      </c>
      <c r="BF3504" s="0" t="b">
        <v>0</v>
      </c>
      <c r="BG3504" s="0" t="b">
        <v>0</v>
      </c>
      <c r="BH3504" s="0">
        <v>0</v>
      </c>
      <c r="BI3504" s="0">
        <v>0</v>
      </c>
      <c r="BJ3504" s="0" t="s">
        <v>135</v>
      </c>
    </row>
    <row r="3505">
      <c r="A3505" s="0" t="s">
        <v>3758</v>
      </c>
      <c r="B3505" s="0" t="s">
        <v>134</v>
      </c>
      <c r="C3505" s="0" t="s">
        <v>134</v>
      </c>
      <c r="D3505" s="0" t="s">
        <v>135</v>
      </c>
      <c r="E3505" s="0" t="s">
        <v>3</v>
      </c>
      <c r="F3505" s="0" t="s">
        <v>12</v>
      </c>
      <c r="G3505" s="0" t="s">
        <v>8</v>
      </c>
      <c r="H3505" s="0">
        <v>138</v>
      </c>
      <c r="I3505" s="0">
        <v>162</v>
      </c>
      <c r="J3505" s="0">
        <v>0</v>
      </c>
      <c r="K3505" s="0">
        <v>1</v>
      </c>
      <c r="L3505" s="0">
        <v>5</v>
      </c>
      <c r="M3505" s="0">
        <v>3</v>
      </c>
      <c r="N3505" s="0">
        <v>0</v>
      </c>
      <c r="O3505" s="0">
        <v>0</v>
      </c>
      <c r="P3505" s="0">
        <v>0</v>
      </c>
      <c r="R3505" s="0" t="b">
        <v>0</v>
      </c>
      <c r="S3505" s="0" t="b">
        <v>1</v>
      </c>
      <c r="T3505" s="68">
        <v>45915.9164351852</v>
      </c>
      <c r="U3505" s="68">
        <v>45926.3333333333</v>
      </c>
      <c r="V3505" s="68">
        <v>0</v>
      </c>
      <c r="W3505" s="0">
        <f>IF(IF(B3505="none",1,IF(B3505="Trialer",1,0))+IF(C3505="Customer",1,IF(C3505="Lost",1,0))=2,1,0)</f>
      </c>
      <c r="X3505" s="0" t="s">
        <v>153</v>
      </c>
      <c r="Y3505" s="0" t="s">
        <v>243</v>
      </c>
      <c r="AV3505" s="68"/>
      <c r="AW3505" s="68"/>
      <c r="AY3505" s="27"/>
      <c r="BD3505" s="68">
        <v>46054.1666666667</v>
      </c>
      <c r="BE3505" s="68">
        <v>46082.1666666667</v>
      </c>
      <c r="BF3505" s="0" t="b">
        <v>0</v>
      </c>
      <c r="BG3505" s="0" t="b">
        <v>0</v>
      </c>
      <c r="BH3505" s="0">
        <v>162</v>
      </c>
      <c r="BI3505" s="0">
        <v>162</v>
      </c>
      <c r="BJ3505" s="0" t="s">
        <v>135</v>
      </c>
    </row>
    <row r="3506">
      <c r="A3506" s="0" t="s">
        <v>3759</v>
      </c>
      <c r="B3506" s="0" t="s">
        <v>134</v>
      </c>
      <c r="C3506" s="0" t="s">
        <v>134</v>
      </c>
      <c r="D3506" s="0" t="s">
        <v>135</v>
      </c>
      <c r="E3506" s="0" t="s">
        <v>2</v>
      </c>
      <c r="F3506" s="0" t="s">
        <v>12</v>
      </c>
      <c r="G3506" s="0" t="s">
        <v>8</v>
      </c>
      <c r="H3506" s="0">
        <v>137</v>
      </c>
      <c r="I3506" s="0">
        <v>280</v>
      </c>
      <c r="J3506" s="0">
        <v>0</v>
      </c>
      <c r="K3506" s="0">
        <v>1</v>
      </c>
      <c r="L3506" s="0">
        <v>5</v>
      </c>
      <c r="M3506" s="0">
        <v>4</v>
      </c>
      <c r="N3506" s="0">
        <v>542.5</v>
      </c>
      <c r="O3506" s="0">
        <v>0</v>
      </c>
      <c r="P3506" s="0">
        <v>0</v>
      </c>
      <c r="R3506" s="0" t="b">
        <v>0</v>
      </c>
      <c r="S3506" s="0" t="b">
        <v>1</v>
      </c>
      <c r="T3506" s="68">
        <v>45916.4048958333</v>
      </c>
      <c r="U3506" s="68">
        <v>45947.3333333333</v>
      </c>
      <c r="V3506" s="68">
        <v>0</v>
      </c>
      <c r="W3506" s="0">
        <f>IF(IF(B3506="none",1,IF(B3506="Trialer",1,0))+IF(C3506="Customer",1,IF(C3506="Lost",1,0))=2,1,0)</f>
      </c>
      <c r="X3506" s="0" t="s">
        <v>882</v>
      </c>
      <c r="Y3506" s="0" t="s">
        <v>499</v>
      </c>
      <c r="AV3506" s="68"/>
      <c r="AW3506" s="68"/>
      <c r="AY3506" s="27"/>
      <c r="BD3506" s="68">
        <v>46054.1666666667</v>
      </c>
      <c r="BE3506" s="68">
        <v>46082.1666666667</v>
      </c>
      <c r="BF3506" s="0" t="b">
        <v>0</v>
      </c>
      <c r="BG3506" s="0" t="b">
        <v>0</v>
      </c>
      <c r="BH3506" s="0">
        <v>320</v>
      </c>
      <c r="BI3506" s="0">
        <v>320</v>
      </c>
      <c r="BJ3506" s="0" t="s">
        <v>135</v>
      </c>
    </row>
    <row r="3507">
      <c r="A3507" s="0" t="s">
        <v>3760</v>
      </c>
      <c r="B3507" s="0" t="s">
        <v>134</v>
      </c>
      <c r="C3507" s="0" t="s">
        <v>134</v>
      </c>
      <c r="D3507" s="0" t="s">
        <v>135</v>
      </c>
      <c r="E3507" s="0" t="s">
        <v>3</v>
      </c>
      <c r="F3507" s="0" t="s">
        <v>12</v>
      </c>
      <c r="G3507" s="0" t="s">
        <v>8</v>
      </c>
      <c r="H3507" s="0">
        <v>137</v>
      </c>
      <c r="I3507" s="0">
        <v>159</v>
      </c>
      <c r="J3507" s="0">
        <v>0</v>
      </c>
      <c r="K3507" s="0">
        <v>1</v>
      </c>
      <c r="L3507" s="0">
        <v>6</v>
      </c>
      <c r="M3507" s="0">
        <v>3</v>
      </c>
      <c r="N3507" s="0">
        <v>0</v>
      </c>
      <c r="O3507" s="0">
        <v>0</v>
      </c>
      <c r="P3507" s="0">
        <v>0</v>
      </c>
      <c r="R3507" s="0" t="b">
        <v>0</v>
      </c>
      <c r="S3507" s="0" t="b">
        <v>1</v>
      </c>
      <c r="T3507" s="68">
        <v>45916.5052777778</v>
      </c>
      <c r="U3507" s="68">
        <v>45931.3333333333</v>
      </c>
      <c r="V3507" s="68">
        <v>0</v>
      </c>
      <c r="W3507" s="0">
        <f>IF(IF(B3507="none",1,IF(B3507="Trialer",1,0))+IF(C3507="Customer",1,IF(C3507="Lost",1,0))=2,1,0)</f>
      </c>
      <c r="X3507" s="0" t="s">
        <v>153</v>
      </c>
      <c r="Y3507" s="0" t="s">
        <v>243</v>
      </c>
      <c r="AV3507" s="68"/>
      <c r="AW3507" s="68"/>
      <c r="AY3507" s="27"/>
      <c r="BD3507" s="68">
        <v>46054.1666666667</v>
      </c>
      <c r="BE3507" s="68">
        <v>46082.1666666667</v>
      </c>
      <c r="BF3507" s="0" t="b">
        <v>0</v>
      </c>
      <c r="BG3507" s="0" t="b">
        <v>0</v>
      </c>
      <c r="BH3507" s="0">
        <v>159</v>
      </c>
      <c r="BI3507" s="0">
        <v>159</v>
      </c>
      <c r="BJ3507" s="0" t="s">
        <v>135</v>
      </c>
    </row>
    <row r="3508">
      <c r="A3508" s="0" t="s">
        <v>3761</v>
      </c>
      <c r="B3508" s="0" t="s">
        <v>134</v>
      </c>
      <c r="C3508" s="0" t="s">
        <v>134</v>
      </c>
      <c r="D3508" s="0" t="s">
        <v>135</v>
      </c>
      <c r="E3508" s="0" t="s">
        <v>3</v>
      </c>
      <c r="F3508" s="0" t="s">
        <v>12</v>
      </c>
      <c r="G3508" s="0" t="s">
        <v>8</v>
      </c>
      <c r="H3508" s="0">
        <v>137</v>
      </c>
      <c r="I3508" s="0">
        <v>80</v>
      </c>
      <c r="J3508" s="0">
        <v>0</v>
      </c>
      <c r="K3508" s="0">
        <v>1</v>
      </c>
      <c r="L3508" s="0">
        <v>2</v>
      </c>
      <c r="M3508" s="0">
        <v>2</v>
      </c>
      <c r="N3508" s="0">
        <v>0</v>
      </c>
      <c r="O3508" s="0">
        <v>0</v>
      </c>
      <c r="P3508" s="0">
        <v>0</v>
      </c>
      <c r="R3508" s="0" t="b">
        <v>0</v>
      </c>
      <c r="S3508" s="0" t="b">
        <v>1</v>
      </c>
      <c r="T3508" s="68">
        <v>45916.6681365741</v>
      </c>
      <c r="U3508" s="68">
        <v>45930.3333333333</v>
      </c>
      <c r="V3508" s="68">
        <v>0</v>
      </c>
      <c r="W3508" s="0">
        <f>IF(IF(B3508="none",1,IF(B3508="Trialer",1,0))+IF(C3508="Customer",1,IF(C3508="Lost",1,0))=2,1,0)</f>
      </c>
      <c r="X3508" s="0" t="s">
        <v>166</v>
      </c>
      <c r="Y3508" s="0" t="s">
        <v>243</v>
      </c>
      <c r="AV3508" s="68"/>
      <c r="AW3508" s="68"/>
      <c r="AY3508" s="27"/>
      <c r="BD3508" s="68">
        <v>46054.1666666667</v>
      </c>
      <c r="BE3508" s="68">
        <v>46082.1666666667</v>
      </c>
      <c r="BF3508" s="0" t="b">
        <v>0</v>
      </c>
      <c r="BG3508" s="0" t="b">
        <v>0</v>
      </c>
      <c r="BH3508" s="0">
        <v>80</v>
      </c>
      <c r="BI3508" s="0">
        <v>80</v>
      </c>
      <c r="BJ3508" s="0" t="s">
        <v>135</v>
      </c>
    </row>
    <row r="3509">
      <c r="A3509" s="0" t="s">
        <v>3762</v>
      </c>
      <c r="B3509" s="0" t="s">
        <v>134</v>
      </c>
      <c r="C3509" s="0" t="s">
        <v>134</v>
      </c>
      <c r="D3509" s="0" t="s">
        <v>135</v>
      </c>
      <c r="E3509" s="0" t="s">
        <v>3</v>
      </c>
      <c r="F3509" s="0" t="s">
        <v>12</v>
      </c>
      <c r="G3509" s="0" t="s">
        <v>8</v>
      </c>
      <c r="H3509" s="0">
        <v>137</v>
      </c>
      <c r="I3509" s="0">
        <v>61</v>
      </c>
      <c r="J3509" s="0">
        <v>0</v>
      </c>
      <c r="K3509" s="0">
        <v>1</v>
      </c>
      <c r="L3509" s="0">
        <v>4</v>
      </c>
      <c r="M3509" s="0">
        <v>1</v>
      </c>
      <c r="N3509" s="0">
        <v>0</v>
      </c>
      <c r="O3509" s="0">
        <v>0</v>
      </c>
      <c r="P3509" s="0">
        <v>0</v>
      </c>
      <c r="R3509" s="0" t="b">
        <v>0</v>
      </c>
      <c r="S3509" s="0" t="b">
        <v>0</v>
      </c>
      <c r="T3509" s="68">
        <v>45916.8354398148</v>
      </c>
      <c r="U3509" s="68">
        <v>45930.3333333333</v>
      </c>
      <c r="V3509" s="68">
        <v>46090.6009606481</v>
      </c>
      <c r="W3509" s="0">
        <f>IF(IF(B3509="none",1,IF(B3509="Trialer",1,0))+IF(C3509="Customer",1,IF(C3509="Lost",1,0))=2,1,0)</f>
      </c>
      <c r="X3509" s="0" t="s">
        <v>166</v>
      </c>
      <c r="Y3509" s="0" t="s">
        <v>243</v>
      </c>
      <c r="AV3509" s="68"/>
      <c r="AW3509" s="68"/>
      <c r="AY3509" s="27"/>
      <c r="BD3509" s="68">
        <v>46054.1666666667</v>
      </c>
      <c r="BE3509" s="68">
        <v>46082.1666666667</v>
      </c>
      <c r="BF3509" s="0" t="b">
        <v>0</v>
      </c>
      <c r="BG3509" s="0" t="b">
        <v>0</v>
      </c>
      <c r="BH3509" s="0">
        <v>61</v>
      </c>
      <c r="BI3509" s="0">
        <v>61</v>
      </c>
      <c r="BJ3509" s="0" t="s">
        <v>135</v>
      </c>
    </row>
    <row r="3510">
      <c r="A3510" s="0" t="s">
        <v>3763</v>
      </c>
      <c r="B3510" s="0" t="s">
        <v>134</v>
      </c>
      <c r="C3510" s="0" t="s">
        <v>134</v>
      </c>
      <c r="D3510" s="0" t="s">
        <v>135</v>
      </c>
      <c r="E3510" s="0" t="s">
        <v>3</v>
      </c>
      <c r="F3510" s="0" t="s">
        <v>12</v>
      </c>
      <c r="G3510" s="0" t="s">
        <v>8</v>
      </c>
      <c r="H3510" s="0">
        <v>136</v>
      </c>
      <c r="I3510" s="0">
        <v>285</v>
      </c>
      <c r="J3510" s="0">
        <v>0</v>
      </c>
      <c r="K3510" s="0">
        <v>1</v>
      </c>
      <c r="L3510" s="0">
        <v>3</v>
      </c>
      <c r="M3510" s="0">
        <v>6</v>
      </c>
      <c r="N3510" s="0">
        <v>0</v>
      </c>
      <c r="O3510" s="0">
        <v>0</v>
      </c>
      <c r="P3510" s="0">
        <v>0</v>
      </c>
      <c r="R3510" s="0" t="b">
        <v>0</v>
      </c>
      <c r="S3510" s="0" t="b">
        <v>1</v>
      </c>
      <c r="T3510" s="68">
        <v>45917.2627662037</v>
      </c>
      <c r="U3510" s="68">
        <v>45931.3333333333</v>
      </c>
      <c r="V3510" s="68">
        <v>0</v>
      </c>
      <c r="W3510" s="0">
        <f>IF(IF(B3510="none",1,IF(B3510="Trialer",1,0))+IF(C3510="Customer",1,IF(C3510="Lost",1,0))=2,1,0)</f>
      </c>
      <c r="X3510" s="0" t="s">
        <v>148</v>
      </c>
      <c r="Y3510" s="0" t="s">
        <v>243</v>
      </c>
      <c r="AV3510" s="68"/>
      <c r="AW3510" s="68"/>
      <c r="AY3510" s="27"/>
      <c r="BD3510" s="68">
        <v>46054.1666666667</v>
      </c>
      <c r="BE3510" s="68">
        <v>46082.1666666667</v>
      </c>
      <c r="BF3510" s="0" t="b">
        <v>0</v>
      </c>
      <c r="BG3510" s="0" t="b">
        <v>0</v>
      </c>
      <c r="BH3510" s="0">
        <v>236</v>
      </c>
      <c r="BI3510" s="0">
        <v>236</v>
      </c>
      <c r="BJ3510" s="0" t="s">
        <v>135</v>
      </c>
    </row>
    <row r="3511">
      <c r="A3511" s="0" t="s">
        <v>3764</v>
      </c>
      <c r="B3511" s="0" t="s">
        <v>134</v>
      </c>
      <c r="C3511" s="0" t="s">
        <v>134</v>
      </c>
      <c r="D3511" s="0" t="s">
        <v>135</v>
      </c>
      <c r="E3511" s="0" t="s">
        <v>2</v>
      </c>
      <c r="F3511" s="0" t="s">
        <v>10</v>
      </c>
      <c r="G3511" s="0" t="s">
        <v>8</v>
      </c>
      <c r="H3511" s="0">
        <v>136</v>
      </c>
      <c r="I3511" s="0">
        <v>154</v>
      </c>
      <c r="J3511" s="0">
        <v>0</v>
      </c>
      <c r="K3511" s="0">
        <v>1</v>
      </c>
      <c r="L3511" s="0">
        <v>3</v>
      </c>
      <c r="M3511" s="0">
        <v>4</v>
      </c>
      <c r="N3511" s="0">
        <v>0</v>
      </c>
      <c r="O3511" s="0">
        <v>0</v>
      </c>
      <c r="P3511" s="0">
        <v>0</v>
      </c>
      <c r="Q3511" s="0" t="s">
        <v>2203</v>
      </c>
      <c r="R3511" s="0" t="b">
        <v>0</v>
      </c>
      <c r="S3511" s="0" t="b">
        <v>1</v>
      </c>
      <c r="T3511" s="68">
        <v>45917.4629861111</v>
      </c>
      <c r="U3511" s="68">
        <v>45947.3333333333</v>
      </c>
      <c r="V3511" s="68">
        <v>0</v>
      </c>
      <c r="W3511" s="0">
        <f>IF(IF(B3511="none",1,IF(B3511="Trialer",1,0))+IF(C3511="Customer",1,IF(C3511="Lost",1,0))=2,1,0)</f>
      </c>
      <c r="X3511" s="0" t="s">
        <v>148</v>
      </c>
      <c r="Y3511" s="0" t="s">
        <v>499</v>
      </c>
      <c r="AV3511" s="68"/>
      <c r="AW3511" s="68"/>
      <c r="AY3511" s="27"/>
      <c r="BD3511" s="68">
        <v>46054.1666666667</v>
      </c>
      <c r="BE3511" s="68">
        <v>46082.1666666667</v>
      </c>
      <c r="BF3511" s="0" t="b">
        <v>0</v>
      </c>
      <c r="BG3511" s="0" t="b">
        <v>0</v>
      </c>
      <c r="BH3511" s="0">
        <v>154</v>
      </c>
      <c r="BI3511" s="0">
        <v>154</v>
      </c>
      <c r="BJ3511" s="0" t="s">
        <v>135</v>
      </c>
    </row>
    <row r="3512">
      <c r="A3512" s="0" t="s">
        <v>3765</v>
      </c>
      <c r="B3512" s="0" t="s">
        <v>134</v>
      </c>
      <c r="C3512" s="0" t="s">
        <v>190</v>
      </c>
      <c r="D3512" s="0" t="s">
        <v>135</v>
      </c>
      <c r="E3512" s="0" t="s">
        <v>2</v>
      </c>
      <c r="F3512" s="0" t="s">
        <v>12</v>
      </c>
      <c r="G3512" s="0" t="s">
        <v>8</v>
      </c>
      <c r="H3512" s="0">
        <v>136</v>
      </c>
      <c r="I3512" s="0">
        <v>0</v>
      </c>
      <c r="J3512" s="0">
        <v>0</v>
      </c>
      <c r="K3512" s="0">
        <v>0</v>
      </c>
      <c r="L3512" s="0">
        <v>0</v>
      </c>
      <c r="M3512" s="0">
        <v>0</v>
      </c>
      <c r="N3512" s="0">
        <v>0</v>
      </c>
      <c r="O3512" s="0">
        <v>0</v>
      </c>
      <c r="P3512" s="0">
        <v>0</v>
      </c>
      <c r="R3512" s="0" t="b">
        <v>0</v>
      </c>
      <c r="S3512" s="0" t="b">
        <v>0</v>
      </c>
      <c r="T3512" s="68">
        <v>45917.5090740741</v>
      </c>
      <c r="U3512" s="68">
        <v>45930.3333333333</v>
      </c>
      <c r="V3512" s="68">
        <v>46057.5653819444</v>
      </c>
      <c r="W3512" s="0">
        <f>IF(IF(B3512="none",1,IF(B3512="Trialer",1,0))+IF(C3512="Customer",1,IF(C3512="Lost",1,0))=2,1,0)</f>
      </c>
      <c r="X3512" s="0" t="s">
        <v>136</v>
      </c>
      <c r="Y3512" s="0" t="s">
        <v>499</v>
      </c>
      <c r="AV3512" s="68"/>
      <c r="AW3512" s="68"/>
      <c r="AY3512" s="27"/>
      <c r="BD3512" s="68">
        <v>46054.1666666667</v>
      </c>
      <c r="BE3512" s="68">
        <v>46082.1666666667</v>
      </c>
      <c r="BF3512" s="0" t="b">
        <v>0</v>
      </c>
      <c r="BG3512" s="0" t="b">
        <v>0</v>
      </c>
      <c r="BH3512" s="0">
        <v>293</v>
      </c>
      <c r="BI3512" s="0">
        <v>293</v>
      </c>
      <c r="BJ3512" s="0" t="s">
        <v>230</v>
      </c>
    </row>
    <row r="3513">
      <c r="A3513" s="0" t="s">
        <v>3766</v>
      </c>
      <c r="B3513" s="0" t="s">
        <v>134</v>
      </c>
      <c r="C3513" s="0" t="s">
        <v>134</v>
      </c>
      <c r="D3513" s="0" t="s">
        <v>135</v>
      </c>
      <c r="E3513" s="0" t="s">
        <v>3</v>
      </c>
      <c r="F3513" s="0" t="s">
        <v>12</v>
      </c>
      <c r="G3513" s="0" t="s">
        <v>8</v>
      </c>
      <c r="H3513" s="0">
        <v>136</v>
      </c>
      <c r="I3513" s="0">
        <v>74</v>
      </c>
      <c r="J3513" s="0">
        <v>0</v>
      </c>
      <c r="K3513" s="0">
        <v>1</v>
      </c>
      <c r="L3513" s="0">
        <v>2</v>
      </c>
      <c r="M3513" s="0">
        <v>2</v>
      </c>
      <c r="N3513" s="0">
        <v>0</v>
      </c>
      <c r="O3513" s="0">
        <v>0</v>
      </c>
      <c r="P3513" s="0">
        <v>0</v>
      </c>
      <c r="R3513" s="0" t="b">
        <v>0</v>
      </c>
      <c r="S3513" s="0" t="b">
        <v>1</v>
      </c>
      <c r="T3513" s="68">
        <v>45917.5270833333</v>
      </c>
      <c r="U3513" s="68">
        <v>45931.3333333333</v>
      </c>
      <c r="V3513" s="68">
        <v>0</v>
      </c>
      <c r="W3513" s="0">
        <f>IF(IF(B3513="none",1,IF(B3513="Trialer",1,0))+IF(C3513="Customer",1,IF(C3513="Lost",1,0))=2,1,0)</f>
      </c>
      <c r="X3513" s="0" t="s">
        <v>153</v>
      </c>
      <c r="Y3513" s="0" t="s">
        <v>243</v>
      </c>
      <c r="AV3513" s="68"/>
      <c r="AW3513" s="68"/>
      <c r="AY3513" s="27"/>
      <c r="BD3513" s="68">
        <v>46054.1666666667</v>
      </c>
      <c r="BE3513" s="68">
        <v>46082.1666666667</v>
      </c>
      <c r="BF3513" s="0" t="b">
        <v>0</v>
      </c>
      <c r="BG3513" s="0" t="b">
        <v>0</v>
      </c>
      <c r="BH3513" s="0">
        <v>74</v>
      </c>
      <c r="BI3513" s="0">
        <v>74</v>
      </c>
      <c r="BJ3513" s="0" t="s">
        <v>135</v>
      </c>
    </row>
    <row r="3514">
      <c r="A3514" s="0" t="s">
        <v>3767</v>
      </c>
      <c r="B3514" s="0" t="s">
        <v>134</v>
      </c>
      <c r="C3514" s="0" t="s">
        <v>134</v>
      </c>
      <c r="D3514" s="0" t="s">
        <v>230</v>
      </c>
      <c r="E3514" s="0" t="s">
        <v>2</v>
      </c>
      <c r="F3514" s="0" t="s">
        <v>12</v>
      </c>
      <c r="G3514" s="0" t="s">
        <v>8</v>
      </c>
      <c r="H3514" s="0">
        <v>136</v>
      </c>
      <c r="I3514" s="0">
        <v>44</v>
      </c>
      <c r="J3514" s="0">
        <v>0</v>
      </c>
      <c r="K3514" s="0">
        <v>1</v>
      </c>
      <c r="L3514" s="0">
        <v>3</v>
      </c>
      <c r="M3514" s="0">
        <v>1</v>
      </c>
      <c r="N3514" s="0">
        <v>0</v>
      </c>
      <c r="O3514" s="0">
        <v>0</v>
      </c>
      <c r="P3514" s="0">
        <v>-44</v>
      </c>
      <c r="R3514" s="0" t="b">
        <v>0</v>
      </c>
      <c r="S3514" s="0" t="b">
        <v>1</v>
      </c>
      <c r="T3514" s="68">
        <v>45917.5837615741</v>
      </c>
      <c r="U3514" s="68">
        <v>45931.3333333333</v>
      </c>
      <c r="V3514" s="68">
        <v>0</v>
      </c>
      <c r="W3514" s="0">
        <f>IF(IF(B3514="none",1,IF(B3514="Trialer",1,0))+IF(C3514="Customer",1,IF(C3514="Lost",1,0))=2,1,0)</f>
      </c>
      <c r="X3514" s="0" t="s">
        <v>142</v>
      </c>
      <c r="Y3514" s="0" t="s">
        <v>499</v>
      </c>
      <c r="AV3514" s="68"/>
      <c r="AW3514" s="68"/>
      <c r="AY3514" s="27"/>
      <c r="BD3514" s="68">
        <v>46054.1666666667</v>
      </c>
      <c r="BE3514" s="68">
        <v>46082.1666666667</v>
      </c>
      <c r="BF3514" s="0" t="b">
        <v>0</v>
      </c>
      <c r="BG3514" s="0" t="b">
        <v>0</v>
      </c>
      <c r="BH3514" s="0">
        <v>49</v>
      </c>
      <c r="BI3514" s="0">
        <v>49</v>
      </c>
      <c r="BJ3514" s="0" t="s">
        <v>230</v>
      </c>
    </row>
    <row r="3515">
      <c r="A3515" s="0" t="s">
        <v>3768</v>
      </c>
      <c r="B3515" s="0" t="s">
        <v>134</v>
      </c>
      <c r="C3515" s="0" t="s">
        <v>190</v>
      </c>
      <c r="D3515" s="0" t="s">
        <v>135</v>
      </c>
      <c r="E3515" s="0" t="s">
        <v>3</v>
      </c>
      <c r="F3515" s="0" t="s">
        <v>12</v>
      </c>
      <c r="G3515" s="0" t="s">
        <v>8</v>
      </c>
      <c r="H3515" s="0">
        <v>136</v>
      </c>
      <c r="I3515" s="0">
        <v>349</v>
      </c>
      <c r="J3515" s="0">
        <v>0</v>
      </c>
      <c r="K3515" s="0">
        <v>1</v>
      </c>
      <c r="L3515" s="0">
        <v>5</v>
      </c>
      <c r="M3515" s="0">
        <v>7</v>
      </c>
      <c r="N3515" s="0">
        <v>0</v>
      </c>
      <c r="O3515" s="0">
        <v>0</v>
      </c>
      <c r="P3515" s="0">
        <v>0</v>
      </c>
      <c r="R3515" s="0" t="b">
        <v>0</v>
      </c>
      <c r="S3515" s="0" t="b">
        <v>0</v>
      </c>
      <c r="T3515" s="68">
        <v>45917.6106828704</v>
      </c>
      <c r="U3515" s="68">
        <v>45936.3333333333</v>
      </c>
      <c r="V3515" s="68">
        <v>46059.4217939815</v>
      </c>
      <c r="W3515" s="0">
        <f>IF(IF(B3515="none",1,IF(B3515="Trialer",1,0))+IF(C3515="Customer",1,IF(C3515="Lost",1,0))=2,1,0)</f>
      </c>
      <c r="X3515" s="0" t="s">
        <v>148</v>
      </c>
      <c r="Y3515" s="0" t="s">
        <v>243</v>
      </c>
      <c r="AV3515" s="68"/>
      <c r="AW3515" s="68"/>
      <c r="AY3515" s="27"/>
      <c r="BD3515" s="68">
        <v>46054.1666666667</v>
      </c>
      <c r="BE3515" s="68">
        <v>46082.1666666667</v>
      </c>
      <c r="BF3515" s="0" t="b">
        <v>0</v>
      </c>
      <c r="BG3515" s="0" t="b">
        <v>0</v>
      </c>
      <c r="BH3515" s="0">
        <v>349</v>
      </c>
      <c r="BI3515" s="0">
        <v>349</v>
      </c>
      <c r="BJ3515" s="0" t="s">
        <v>135</v>
      </c>
    </row>
    <row r="3516">
      <c r="A3516" s="0" t="s">
        <v>3769</v>
      </c>
      <c r="B3516" s="0" t="s">
        <v>134</v>
      </c>
      <c r="C3516" s="0" t="s">
        <v>134</v>
      </c>
      <c r="D3516" s="0" t="s">
        <v>135</v>
      </c>
      <c r="E3516" s="0" t="s">
        <v>3</v>
      </c>
      <c r="F3516" s="0" t="s">
        <v>12</v>
      </c>
      <c r="G3516" s="0" t="s">
        <v>8</v>
      </c>
      <c r="H3516" s="0">
        <v>135</v>
      </c>
      <c r="I3516" s="0">
        <v>98</v>
      </c>
      <c r="J3516" s="0">
        <v>0</v>
      </c>
      <c r="K3516" s="0">
        <v>1</v>
      </c>
      <c r="L3516" s="0">
        <v>3</v>
      </c>
      <c r="M3516" s="0">
        <v>2</v>
      </c>
      <c r="N3516" s="0">
        <v>0</v>
      </c>
      <c r="O3516" s="0">
        <v>0</v>
      </c>
      <c r="P3516" s="0">
        <v>0</v>
      </c>
      <c r="R3516" s="0" t="b">
        <v>0</v>
      </c>
      <c r="S3516" s="0" t="b">
        <v>1</v>
      </c>
      <c r="T3516" s="68">
        <v>45918.2994097222</v>
      </c>
      <c r="U3516" s="68">
        <v>45932.3333333333</v>
      </c>
      <c r="V3516" s="68">
        <v>0</v>
      </c>
      <c r="W3516" s="0">
        <f>IF(IF(B3516="none",1,IF(B3516="Trialer",1,0))+IF(C3516="Customer",1,IF(C3516="Lost",1,0))=2,1,0)</f>
      </c>
      <c r="X3516" s="0" t="s">
        <v>153</v>
      </c>
      <c r="Y3516" s="0" t="s">
        <v>243</v>
      </c>
      <c r="AV3516" s="68"/>
      <c r="AW3516" s="68"/>
      <c r="AY3516" s="27"/>
      <c r="BD3516" s="68">
        <v>46054.1666666667</v>
      </c>
      <c r="BE3516" s="68">
        <v>46082.1666666667</v>
      </c>
      <c r="BF3516" s="0" t="b">
        <v>0</v>
      </c>
      <c r="BG3516" s="0" t="b">
        <v>0</v>
      </c>
      <c r="BH3516" s="0">
        <v>98</v>
      </c>
      <c r="BI3516" s="0">
        <v>98</v>
      </c>
      <c r="BJ3516" s="0" t="s">
        <v>135</v>
      </c>
    </row>
    <row r="3517">
      <c r="A3517" s="0" t="s">
        <v>3770</v>
      </c>
      <c r="B3517" s="0" t="s">
        <v>134</v>
      </c>
      <c r="C3517" s="0" t="s">
        <v>134</v>
      </c>
      <c r="D3517" s="0" t="s">
        <v>135</v>
      </c>
      <c r="E3517" s="0" t="s">
        <v>3</v>
      </c>
      <c r="F3517" s="0" t="s">
        <v>12</v>
      </c>
      <c r="G3517" s="0" t="s">
        <v>8</v>
      </c>
      <c r="H3517" s="0">
        <v>135</v>
      </c>
      <c r="I3517" s="0">
        <v>80</v>
      </c>
      <c r="J3517" s="0">
        <v>0</v>
      </c>
      <c r="K3517" s="0">
        <v>1</v>
      </c>
      <c r="L3517" s="0">
        <v>2</v>
      </c>
      <c r="M3517" s="0">
        <v>2</v>
      </c>
      <c r="N3517" s="0">
        <v>0</v>
      </c>
      <c r="O3517" s="0">
        <v>0</v>
      </c>
      <c r="P3517" s="0">
        <v>0</v>
      </c>
      <c r="R3517" s="0" t="b">
        <v>0</v>
      </c>
      <c r="S3517" s="0" t="b">
        <v>1</v>
      </c>
      <c r="T3517" s="68">
        <v>45918.9252314815</v>
      </c>
      <c r="U3517" s="68">
        <v>45938.3333333333</v>
      </c>
      <c r="V3517" s="68">
        <v>0</v>
      </c>
      <c r="W3517" s="0">
        <f>IF(IF(B3517="none",1,IF(B3517="Trialer",1,0))+IF(C3517="Customer",1,IF(C3517="Lost",1,0))=2,1,0)</f>
      </c>
      <c r="X3517" s="0" t="s">
        <v>166</v>
      </c>
      <c r="Y3517" s="0" t="s">
        <v>243</v>
      </c>
      <c r="AV3517" s="68"/>
      <c r="AW3517" s="68"/>
      <c r="AY3517" s="27"/>
      <c r="BD3517" s="68">
        <v>46054.1666666667</v>
      </c>
      <c r="BE3517" s="68">
        <v>46082.1666666667</v>
      </c>
      <c r="BF3517" s="0" t="b">
        <v>0</v>
      </c>
      <c r="BG3517" s="0" t="b">
        <v>0</v>
      </c>
      <c r="BH3517" s="0">
        <v>80</v>
      </c>
      <c r="BI3517" s="0">
        <v>80</v>
      </c>
      <c r="BJ3517" s="0" t="s">
        <v>135</v>
      </c>
    </row>
    <row r="3518">
      <c r="A3518" s="0" t="s">
        <v>3771</v>
      </c>
      <c r="B3518" s="0" t="s">
        <v>134</v>
      </c>
      <c r="C3518" s="0" t="s">
        <v>134</v>
      </c>
      <c r="D3518" s="0" t="s">
        <v>230</v>
      </c>
      <c r="E3518" s="0" t="s">
        <v>3</v>
      </c>
      <c r="F3518" s="0" t="s">
        <v>12</v>
      </c>
      <c r="G3518" s="0" t="s">
        <v>8</v>
      </c>
      <c r="H3518" s="0">
        <v>134</v>
      </c>
      <c r="I3518" s="0">
        <v>246.75</v>
      </c>
      <c r="J3518" s="0">
        <v>0</v>
      </c>
      <c r="K3518" s="0">
        <v>1</v>
      </c>
      <c r="L3518" s="0">
        <v>3</v>
      </c>
      <c r="M3518" s="0">
        <v>8</v>
      </c>
      <c r="N3518" s="0">
        <v>0</v>
      </c>
      <c r="O3518" s="0">
        <v>0</v>
      </c>
      <c r="P3518" s="0">
        <v>-246.75</v>
      </c>
      <c r="R3518" s="0" t="b">
        <v>0</v>
      </c>
      <c r="S3518" s="0" t="b">
        <v>1</v>
      </c>
      <c r="T3518" s="68">
        <v>45919.4934606481</v>
      </c>
      <c r="U3518" s="68">
        <v>45933.3333333333</v>
      </c>
      <c r="V3518" s="68">
        <v>0</v>
      </c>
      <c r="W3518" s="0">
        <f>IF(IF(B3518="none",1,IF(B3518="Trialer",1,0))+IF(C3518="Customer",1,IF(C3518="Lost",1,0))=2,1,0)</f>
      </c>
      <c r="X3518" s="0" t="s">
        <v>882</v>
      </c>
      <c r="Y3518" s="0" t="s">
        <v>243</v>
      </c>
      <c r="AV3518" s="68"/>
      <c r="AW3518" s="68"/>
      <c r="AY3518" s="27"/>
      <c r="BD3518" s="68">
        <v>46054.1666666667</v>
      </c>
      <c r="BE3518" s="68">
        <v>46082.1666666667</v>
      </c>
      <c r="BF3518" s="0" t="b">
        <v>0</v>
      </c>
      <c r="BG3518" s="0" t="b">
        <v>0</v>
      </c>
      <c r="BH3518" s="0">
        <v>329</v>
      </c>
      <c r="BI3518" s="0">
        <v>329</v>
      </c>
      <c r="BJ3518" s="0" t="s">
        <v>230</v>
      </c>
    </row>
    <row r="3519">
      <c r="A3519" s="0" t="s">
        <v>3772</v>
      </c>
      <c r="B3519" s="0" t="s">
        <v>134</v>
      </c>
      <c r="C3519" s="0" t="s">
        <v>134</v>
      </c>
      <c r="D3519" s="0" t="s">
        <v>135</v>
      </c>
      <c r="E3519" s="0" t="s">
        <v>3</v>
      </c>
      <c r="F3519" s="0" t="s">
        <v>12</v>
      </c>
      <c r="G3519" s="0" t="s">
        <v>8</v>
      </c>
      <c r="H3519" s="0">
        <v>134</v>
      </c>
      <c r="I3519" s="0">
        <v>98</v>
      </c>
      <c r="J3519" s="0">
        <v>0</v>
      </c>
      <c r="K3519" s="0">
        <v>1</v>
      </c>
      <c r="L3519" s="0">
        <v>3</v>
      </c>
      <c r="M3519" s="0">
        <v>2</v>
      </c>
      <c r="N3519" s="0">
        <v>0</v>
      </c>
      <c r="O3519" s="0">
        <v>0</v>
      </c>
      <c r="P3519" s="0">
        <v>0</v>
      </c>
      <c r="R3519" s="0" t="b">
        <v>0</v>
      </c>
      <c r="S3519" s="0" t="b">
        <v>1</v>
      </c>
      <c r="T3519" s="68">
        <v>45919.5140625</v>
      </c>
      <c r="U3519" s="68">
        <v>45936.3333333333</v>
      </c>
      <c r="V3519" s="68">
        <v>0</v>
      </c>
      <c r="W3519" s="0">
        <f>IF(IF(B3519="none",1,IF(B3519="Trialer",1,0))+IF(C3519="Customer",1,IF(C3519="Lost",1,0))=2,1,0)</f>
      </c>
      <c r="X3519" s="0" t="s">
        <v>166</v>
      </c>
      <c r="Y3519" s="0" t="s">
        <v>2664</v>
      </c>
      <c r="AV3519" s="68"/>
      <c r="AW3519" s="68"/>
      <c r="AY3519" s="27"/>
      <c r="BD3519" s="68">
        <v>46054.1666666667</v>
      </c>
      <c r="BE3519" s="68">
        <v>46082.1666666667</v>
      </c>
      <c r="BF3519" s="0" t="b">
        <v>0</v>
      </c>
      <c r="BG3519" s="0" t="b">
        <v>0</v>
      </c>
      <c r="BH3519" s="0">
        <v>98</v>
      </c>
      <c r="BI3519" s="0">
        <v>98</v>
      </c>
      <c r="BJ3519" s="0" t="s">
        <v>135</v>
      </c>
    </row>
    <row r="3520">
      <c r="A3520" s="0" t="s">
        <v>3773</v>
      </c>
      <c r="B3520" s="0" t="s">
        <v>134</v>
      </c>
      <c r="C3520" s="0" t="s">
        <v>134</v>
      </c>
      <c r="D3520" s="0" t="s">
        <v>230</v>
      </c>
      <c r="E3520" s="0" t="s">
        <v>3</v>
      </c>
      <c r="F3520" s="0" t="s">
        <v>12</v>
      </c>
      <c r="G3520" s="0" t="s">
        <v>8</v>
      </c>
      <c r="H3520" s="0">
        <v>134</v>
      </c>
      <c r="I3520" s="0">
        <v>54</v>
      </c>
      <c r="J3520" s="0">
        <v>0</v>
      </c>
      <c r="K3520" s="0">
        <v>1</v>
      </c>
      <c r="L3520" s="0">
        <v>4</v>
      </c>
      <c r="M3520" s="0">
        <v>1</v>
      </c>
      <c r="N3520" s="0">
        <v>0</v>
      </c>
      <c r="O3520" s="0">
        <v>0</v>
      </c>
      <c r="P3520" s="0">
        <v>-54</v>
      </c>
      <c r="R3520" s="0" t="b">
        <v>0</v>
      </c>
      <c r="S3520" s="0" t="b">
        <v>1</v>
      </c>
      <c r="T3520" s="68">
        <v>45919.5543518519</v>
      </c>
      <c r="U3520" s="68">
        <v>45933.3333333333</v>
      </c>
      <c r="V3520" s="68">
        <v>0</v>
      </c>
      <c r="W3520" s="0">
        <f>IF(IF(B3520="none",1,IF(B3520="Trialer",1,0))+IF(C3520="Customer",1,IF(C3520="Lost",1,0))=2,1,0)</f>
      </c>
      <c r="X3520" s="0" t="s">
        <v>153</v>
      </c>
      <c r="Y3520" s="0" t="s">
        <v>243</v>
      </c>
      <c r="AV3520" s="68"/>
      <c r="AW3520" s="68"/>
      <c r="AY3520" s="27"/>
      <c r="BD3520" s="68">
        <v>46054.1666666667</v>
      </c>
      <c r="BE3520" s="68">
        <v>46082.1666666667</v>
      </c>
      <c r="BF3520" s="0" t="b">
        <v>0</v>
      </c>
      <c r="BG3520" s="0" t="b">
        <v>0</v>
      </c>
      <c r="BH3520" s="0">
        <v>61</v>
      </c>
      <c r="BI3520" s="0">
        <v>61</v>
      </c>
      <c r="BJ3520" s="0" t="s">
        <v>230</v>
      </c>
    </row>
    <row r="3521">
      <c r="A3521" s="0" t="s">
        <v>3774</v>
      </c>
      <c r="B3521" s="0" t="s">
        <v>134</v>
      </c>
      <c r="C3521" s="0" t="s">
        <v>134</v>
      </c>
      <c r="D3521" s="0" t="s">
        <v>135</v>
      </c>
      <c r="E3521" s="0" t="s">
        <v>3</v>
      </c>
      <c r="F3521" s="0" t="s">
        <v>12</v>
      </c>
      <c r="G3521" s="0" t="s">
        <v>8</v>
      </c>
      <c r="H3521" s="0">
        <v>134</v>
      </c>
      <c r="I3521" s="0">
        <v>202</v>
      </c>
      <c r="J3521" s="0">
        <v>0</v>
      </c>
      <c r="K3521" s="0">
        <v>1</v>
      </c>
      <c r="L3521" s="0">
        <v>4</v>
      </c>
      <c r="M3521" s="0">
        <v>4</v>
      </c>
      <c r="N3521" s="0">
        <v>0</v>
      </c>
      <c r="O3521" s="0">
        <v>0</v>
      </c>
      <c r="P3521" s="0">
        <v>0</v>
      </c>
      <c r="R3521" s="0" t="b">
        <v>0</v>
      </c>
      <c r="S3521" s="0" t="b">
        <v>1</v>
      </c>
      <c r="T3521" s="68">
        <v>45919.6729976852</v>
      </c>
      <c r="U3521" s="68">
        <v>45933.3333333333</v>
      </c>
      <c r="V3521" s="68">
        <v>0</v>
      </c>
      <c r="W3521" s="0">
        <f>IF(IF(B3521="none",1,IF(B3521="Trialer",1,0))+IF(C3521="Customer",1,IF(C3521="Lost",1,0))=2,1,0)</f>
      </c>
      <c r="X3521" s="0" t="s">
        <v>145</v>
      </c>
      <c r="Y3521" s="0" t="s">
        <v>243</v>
      </c>
      <c r="AV3521" s="68"/>
      <c r="AW3521" s="68"/>
      <c r="AY3521" s="27"/>
      <c r="BD3521" s="68">
        <v>46054.1666666667</v>
      </c>
      <c r="BE3521" s="68">
        <v>46082.1666666667</v>
      </c>
      <c r="BF3521" s="0" t="b">
        <v>0</v>
      </c>
      <c r="BG3521" s="0" t="b">
        <v>0</v>
      </c>
      <c r="BH3521" s="0">
        <v>202</v>
      </c>
      <c r="BI3521" s="0">
        <v>202</v>
      </c>
      <c r="BJ3521" s="0" t="s">
        <v>135</v>
      </c>
    </row>
    <row r="3522">
      <c r="A3522" s="0" t="s">
        <v>3775</v>
      </c>
      <c r="B3522" s="0" t="s">
        <v>134</v>
      </c>
      <c r="C3522" s="0" t="s">
        <v>134</v>
      </c>
      <c r="D3522" s="0" t="s">
        <v>230</v>
      </c>
      <c r="E3522" s="0" t="s">
        <v>3</v>
      </c>
      <c r="F3522" s="0" t="s">
        <v>12</v>
      </c>
      <c r="G3522" s="0" t="s">
        <v>8</v>
      </c>
      <c r="H3522" s="0">
        <v>134</v>
      </c>
      <c r="I3522" s="0">
        <v>162.75</v>
      </c>
      <c r="J3522" s="0">
        <v>0</v>
      </c>
      <c r="K3522" s="0">
        <v>1</v>
      </c>
      <c r="L3522" s="0">
        <v>4</v>
      </c>
      <c r="M3522" s="0">
        <v>4</v>
      </c>
      <c r="N3522" s="0">
        <v>0</v>
      </c>
      <c r="O3522" s="0">
        <v>0</v>
      </c>
      <c r="P3522" s="0">
        <v>-162.75</v>
      </c>
      <c r="R3522" s="0" t="b">
        <v>0</v>
      </c>
      <c r="S3522" s="0" t="b">
        <v>1</v>
      </c>
      <c r="T3522" s="68">
        <v>45919.7330324074</v>
      </c>
      <c r="U3522" s="68">
        <v>45933.3333333333</v>
      </c>
      <c r="V3522" s="68">
        <v>0</v>
      </c>
      <c r="W3522" s="0">
        <f>IF(IF(B3522="none",1,IF(B3522="Trialer",1,0))+IF(C3522="Customer",1,IF(C3522="Lost",1,0))=2,1,0)</f>
      </c>
      <c r="X3522" s="0" t="s">
        <v>136</v>
      </c>
      <c r="Y3522" s="0" t="s">
        <v>243</v>
      </c>
      <c r="AV3522" s="68"/>
      <c r="AW3522" s="68"/>
      <c r="AY3522" s="27"/>
      <c r="BD3522" s="68">
        <v>46054.1666666667</v>
      </c>
      <c r="BE3522" s="68">
        <v>46082.1666666667</v>
      </c>
      <c r="BF3522" s="0" t="b">
        <v>0</v>
      </c>
      <c r="BG3522" s="0" t="b">
        <v>0</v>
      </c>
      <c r="BH3522" s="0">
        <v>217</v>
      </c>
      <c r="BI3522" s="0">
        <v>217</v>
      </c>
      <c r="BJ3522" s="0" t="s">
        <v>230</v>
      </c>
    </row>
    <row r="3523">
      <c r="A3523" s="0" t="s">
        <v>3776</v>
      </c>
      <c r="B3523" s="0" t="s">
        <v>134</v>
      </c>
      <c r="C3523" s="0" t="s">
        <v>134</v>
      </c>
      <c r="D3523" s="0" t="s">
        <v>135</v>
      </c>
      <c r="E3523" s="0" t="s">
        <v>2</v>
      </c>
      <c r="F3523" s="0" t="s">
        <v>12</v>
      </c>
      <c r="G3523" s="0" t="s">
        <v>8</v>
      </c>
      <c r="H3523" s="0">
        <v>134</v>
      </c>
      <c r="I3523" s="0">
        <v>49</v>
      </c>
      <c r="J3523" s="0">
        <v>0</v>
      </c>
      <c r="K3523" s="0">
        <v>1</v>
      </c>
      <c r="L3523" s="0">
        <v>3</v>
      </c>
      <c r="M3523" s="0">
        <v>1</v>
      </c>
      <c r="N3523" s="0">
        <v>0</v>
      </c>
      <c r="O3523" s="0">
        <v>0</v>
      </c>
      <c r="P3523" s="0">
        <v>0</v>
      </c>
      <c r="R3523" s="0" t="b">
        <v>0</v>
      </c>
      <c r="S3523" s="0" t="b">
        <v>1</v>
      </c>
      <c r="T3523" s="68">
        <v>45919.9079398148</v>
      </c>
      <c r="U3523" s="68">
        <v>45933.3333333333</v>
      </c>
      <c r="V3523" s="68">
        <v>0</v>
      </c>
      <c r="W3523" s="0">
        <f>IF(IF(B3523="none",1,IF(B3523="Trialer",1,0))+IF(C3523="Customer",1,IF(C3523="Lost",1,0))=2,1,0)</f>
      </c>
      <c r="X3523" s="0" t="s">
        <v>166</v>
      </c>
      <c r="Y3523" s="0" t="s">
        <v>499</v>
      </c>
      <c r="AV3523" s="68"/>
      <c r="AW3523" s="68"/>
      <c r="AY3523" s="27"/>
      <c r="BD3523" s="68">
        <v>46054.1666666667</v>
      </c>
      <c r="BE3523" s="68">
        <v>46082.1666666667</v>
      </c>
      <c r="BF3523" s="0" t="b">
        <v>0</v>
      </c>
      <c r="BG3523" s="0" t="b">
        <v>0</v>
      </c>
      <c r="BH3523" s="0">
        <v>49</v>
      </c>
      <c r="BI3523" s="0">
        <v>49</v>
      </c>
      <c r="BJ3523" s="0" t="s">
        <v>135</v>
      </c>
    </row>
    <row r="3524">
      <c r="A3524" s="0" t="s">
        <v>3777</v>
      </c>
      <c r="B3524" s="0" t="s">
        <v>134</v>
      </c>
      <c r="C3524" s="0" t="s">
        <v>134</v>
      </c>
      <c r="D3524" s="0" t="s">
        <v>135</v>
      </c>
      <c r="E3524" s="0" t="s">
        <v>3</v>
      </c>
      <c r="F3524" s="0" t="s">
        <v>12</v>
      </c>
      <c r="G3524" s="0" t="s">
        <v>8</v>
      </c>
      <c r="H3524" s="0">
        <v>132</v>
      </c>
      <c r="I3524" s="0">
        <v>268</v>
      </c>
      <c r="J3524" s="0">
        <v>0</v>
      </c>
      <c r="K3524" s="0">
        <v>1</v>
      </c>
      <c r="L3524" s="0">
        <v>5</v>
      </c>
      <c r="M3524" s="0">
        <v>4</v>
      </c>
      <c r="N3524" s="0">
        <v>0</v>
      </c>
      <c r="O3524" s="0">
        <v>0</v>
      </c>
      <c r="P3524" s="0">
        <v>0</v>
      </c>
      <c r="R3524" s="0" t="b">
        <v>0</v>
      </c>
      <c r="S3524" s="0" t="b">
        <v>0</v>
      </c>
      <c r="T3524" s="68">
        <v>45921.7097222222</v>
      </c>
      <c r="U3524" s="68">
        <v>45950.3333333333</v>
      </c>
      <c r="V3524" s="68">
        <v>46094.6595023148</v>
      </c>
      <c r="W3524" s="0">
        <f>IF(IF(B3524="none",1,IF(B3524="Trialer",1,0))+IF(C3524="Customer",1,IF(C3524="Lost",1,0))=2,1,0)</f>
      </c>
      <c r="X3524" s="0" t="s">
        <v>145</v>
      </c>
      <c r="Y3524" s="0" t="s">
        <v>243</v>
      </c>
      <c r="AV3524" s="68"/>
      <c r="AW3524" s="68"/>
      <c r="AY3524" s="27"/>
      <c r="BD3524" s="68">
        <v>46054.1666666667</v>
      </c>
      <c r="BE3524" s="68">
        <v>46082.1666666667</v>
      </c>
      <c r="BF3524" s="0" t="b">
        <v>0</v>
      </c>
      <c r="BG3524" s="0" t="b">
        <v>0</v>
      </c>
      <c r="BH3524" s="0">
        <v>268</v>
      </c>
      <c r="BI3524" s="0">
        <v>268</v>
      </c>
      <c r="BJ3524" s="0" t="s">
        <v>135</v>
      </c>
    </row>
    <row r="3525">
      <c r="A3525" s="0" t="s">
        <v>3778</v>
      </c>
      <c r="B3525" s="0" t="s">
        <v>134</v>
      </c>
      <c r="C3525" s="0" t="s">
        <v>134</v>
      </c>
      <c r="D3525" s="0" t="s">
        <v>135</v>
      </c>
      <c r="E3525" s="0" t="s">
        <v>3</v>
      </c>
      <c r="F3525" s="0" t="s">
        <v>12</v>
      </c>
      <c r="G3525" s="0" t="s">
        <v>8</v>
      </c>
      <c r="H3525" s="0">
        <v>132</v>
      </c>
      <c r="I3525" s="0">
        <v>98</v>
      </c>
      <c r="J3525" s="0">
        <v>0</v>
      </c>
      <c r="K3525" s="0">
        <v>1</v>
      </c>
      <c r="L3525" s="0">
        <v>3</v>
      </c>
      <c r="M3525" s="0">
        <v>2</v>
      </c>
      <c r="N3525" s="0">
        <v>0</v>
      </c>
      <c r="O3525" s="0">
        <v>0</v>
      </c>
      <c r="P3525" s="0">
        <v>0</v>
      </c>
      <c r="R3525" s="0" t="b">
        <v>0</v>
      </c>
      <c r="S3525" s="0" t="b">
        <v>1</v>
      </c>
      <c r="T3525" s="68">
        <v>45921.7464236111</v>
      </c>
      <c r="U3525" s="68">
        <v>45935.3333333333</v>
      </c>
      <c r="V3525" s="68">
        <v>0</v>
      </c>
      <c r="W3525" s="0">
        <f>IF(IF(B3525="none",1,IF(B3525="Trialer",1,0))+IF(C3525="Customer",1,IF(C3525="Lost",1,0))=2,1,0)</f>
      </c>
      <c r="X3525" s="0" t="s">
        <v>142</v>
      </c>
      <c r="Y3525" s="0" t="s">
        <v>243</v>
      </c>
      <c r="AV3525" s="68"/>
      <c r="AW3525" s="68"/>
      <c r="AY3525" s="27"/>
      <c r="BD3525" s="68">
        <v>46054.1666666667</v>
      </c>
      <c r="BE3525" s="68">
        <v>46082.1666666667</v>
      </c>
      <c r="BF3525" s="0" t="b">
        <v>0</v>
      </c>
      <c r="BG3525" s="0" t="b">
        <v>0</v>
      </c>
      <c r="BH3525" s="0">
        <v>98</v>
      </c>
      <c r="BI3525" s="0">
        <v>98</v>
      </c>
      <c r="BJ3525" s="0" t="s">
        <v>135</v>
      </c>
    </row>
    <row r="3526">
      <c r="A3526" s="0" t="s">
        <v>3779</v>
      </c>
      <c r="B3526" s="0" t="s">
        <v>134</v>
      </c>
      <c r="C3526" s="0" t="s">
        <v>134</v>
      </c>
      <c r="D3526" s="0" t="s">
        <v>135</v>
      </c>
      <c r="E3526" s="0" t="s">
        <v>3</v>
      </c>
      <c r="F3526" s="0" t="s">
        <v>12</v>
      </c>
      <c r="G3526" s="0" t="s">
        <v>8</v>
      </c>
      <c r="H3526" s="0">
        <v>131</v>
      </c>
      <c r="I3526" s="0">
        <v>28</v>
      </c>
      <c r="J3526" s="0">
        <v>0</v>
      </c>
      <c r="K3526" s="0">
        <v>1</v>
      </c>
      <c r="L3526" s="0">
        <v>1</v>
      </c>
      <c r="M3526" s="0">
        <v>1</v>
      </c>
      <c r="N3526" s="0">
        <v>0</v>
      </c>
      <c r="O3526" s="0">
        <v>0</v>
      </c>
      <c r="P3526" s="0">
        <v>0</v>
      </c>
      <c r="R3526" s="0" t="b">
        <v>0</v>
      </c>
      <c r="S3526" s="0" t="b">
        <v>1</v>
      </c>
      <c r="T3526" s="68">
        <v>45922.4168055556</v>
      </c>
      <c r="U3526" s="68">
        <v>45936.3333333333</v>
      </c>
      <c r="V3526" s="68">
        <v>0</v>
      </c>
      <c r="W3526" s="0">
        <f>IF(IF(B3526="none",1,IF(B3526="Trialer",1,0))+IF(C3526="Customer",1,IF(C3526="Lost",1,0))=2,1,0)</f>
      </c>
      <c r="X3526" s="0" t="s">
        <v>142</v>
      </c>
      <c r="Y3526" s="0" t="s">
        <v>243</v>
      </c>
      <c r="AV3526" s="68"/>
      <c r="AW3526" s="68"/>
      <c r="AY3526" s="27"/>
      <c r="BD3526" s="68">
        <v>46054.1666666667</v>
      </c>
      <c r="BE3526" s="68">
        <v>46082.1666666667</v>
      </c>
      <c r="BF3526" s="0" t="b">
        <v>0</v>
      </c>
      <c r="BG3526" s="0" t="b">
        <v>0</v>
      </c>
      <c r="BH3526" s="0">
        <v>28</v>
      </c>
      <c r="BI3526" s="0">
        <v>28</v>
      </c>
      <c r="BJ3526" s="0" t="s">
        <v>135</v>
      </c>
    </row>
    <row r="3527">
      <c r="A3527" s="0" t="s">
        <v>3780</v>
      </c>
      <c r="B3527" s="0" t="s">
        <v>134</v>
      </c>
      <c r="C3527" s="0" t="s">
        <v>134</v>
      </c>
      <c r="D3527" s="0" t="s">
        <v>135</v>
      </c>
      <c r="E3527" s="0" t="s">
        <v>3</v>
      </c>
      <c r="F3527" s="0" t="s">
        <v>12</v>
      </c>
      <c r="G3527" s="0" t="s">
        <v>8</v>
      </c>
      <c r="H3527" s="0">
        <v>131</v>
      </c>
      <c r="I3527" s="0">
        <v>61</v>
      </c>
      <c r="J3527" s="0">
        <v>0</v>
      </c>
      <c r="K3527" s="0">
        <v>1</v>
      </c>
      <c r="L3527" s="0">
        <v>4</v>
      </c>
      <c r="M3527" s="0">
        <v>1</v>
      </c>
      <c r="N3527" s="0">
        <v>0</v>
      </c>
      <c r="O3527" s="0">
        <v>0</v>
      </c>
      <c r="P3527" s="0">
        <v>0</v>
      </c>
      <c r="R3527" s="0" t="b">
        <v>0</v>
      </c>
      <c r="S3527" s="0" t="b">
        <v>1</v>
      </c>
      <c r="T3527" s="68">
        <v>45922.432349537</v>
      </c>
      <c r="U3527" s="68">
        <v>45936.3333333333</v>
      </c>
      <c r="V3527" s="68">
        <v>0</v>
      </c>
      <c r="W3527" s="0">
        <f>IF(IF(B3527="none",1,IF(B3527="Trialer",1,0))+IF(C3527="Customer",1,IF(C3527="Lost",1,0))=2,1,0)</f>
      </c>
      <c r="X3527" s="0" t="s">
        <v>142</v>
      </c>
      <c r="Y3527" s="0" t="s">
        <v>243</v>
      </c>
      <c r="AV3527" s="68"/>
      <c r="AW3527" s="68"/>
      <c r="AY3527" s="27"/>
      <c r="BD3527" s="68">
        <v>46054.1666666667</v>
      </c>
      <c r="BE3527" s="68">
        <v>46082.1666666667</v>
      </c>
      <c r="BF3527" s="0" t="b">
        <v>0</v>
      </c>
      <c r="BG3527" s="0" t="b">
        <v>0</v>
      </c>
      <c r="BH3527" s="0">
        <v>61</v>
      </c>
      <c r="BI3527" s="0">
        <v>61</v>
      </c>
      <c r="BJ3527" s="0" t="s">
        <v>135</v>
      </c>
    </row>
    <row r="3528">
      <c r="A3528" s="0" t="s">
        <v>3781</v>
      </c>
      <c r="B3528" s="0" t="s">
        <v>134</v>
      </c>
      <c r="C3528" s="0" t="s">
        <v>134</v>
      </c>
      <c r="D3528" s="0" t="s">
        <v>230</v>
      </c>
      <c r="E3528" s="0" t="s">
        <v>3</v>
      </c>
      <c r="F3528" s="0" t="s">
        <v>12</v>
      </c>
      <c r="G3528" s="0" t="s">
        <v>8</v>
      </c>
      <c r="H3528" s="0">
        <v>131</v>
      </c>
      <c r="I3528" s="0">
        <v>96.75</v>
      </c>
      <c r="J3528" s="0">
        <v>0</v>
      </c>
      <c r="K3528" s="0">
        <v>1</v>
      </c>
      <c r="L3528" s="0">
        <v>3</v>
      </c>
      <c r="M3528" s="0">
        <v>3</v>
      </c>
      <c r="N3528" s="0">
        <v>0</v>
      </c>
      <c r="O3528" s="0">
        <v>0</v>
      </c>
      <c r="P3528" s="0">
        <v>-96.75</v>
      </c>
      <c r="R3528" s="0" t="b">
        <v>0</v>
      </c>
      <c r="S3528" s="0" t="b">
        <v>1</v>
      </c>
      <c r="T3528" s="68">
        <v>45922.5521875</v>
      </c>
      <c r="U3528" s="68">
        <v>45936.3333333333</v>
      </c>
      <c r="V3528" s="68">
        <v>0</v>
      </c>
      <c r="W3528" s="0">
        <f>IF(IF(B3528="none",1,IF(B3528="Trialer",1,0))+IF(C3528="Customer",1,IF(C3528="Lost",1,0))=2,1,0)</f>
      </c>
      <c r="X3528" s="0" t="s">
        <v>153</v>
      </c>
      <c r="Y3528" s="0" t="s">
        <v>243</v>
      </c>
      <c r="AV3528" s="68"/>
      <c r="AW3528" s="68"/>
      <c r="AY3528" s="27"/>
      <c r="BD3528" s="68">
        <v>46054.1666666667</v>
      </c>
      <c r="BE3528" s="68">
        <v>46082.1666666667</v>
      </c>
      <c r="BF3528" s="0" t="b">
        <v>0</v>
      </c>
      <c r="BG3528" s="0" t="b">
        <v>0</v>
      </c>
      <c r="BH3528" s="0">
        <v>129</v>
      </c>
      <c r="BI3528" s="0">
        <v>129</v>
      </c>
      <c r="BJ3528" s="0" t="s">
        <v>230</v>
      </c>
    </row>
    <row r="3529">
      <c r="A3529" s="0" t="s">
        <v>3782</v>
      </c>
      <c r="B3529" s="0" t="s">
        <v>134</v>
      </c>
      <c r="C3529" s="0" t="s">
        <v>134</v>
      </c>
      <c r="D3529" s="0" t="s">
        <v>135</v>
      </c>
      <c r="E3529" s="0" t="s">
        <v>3</v>
      </c>
      <c r="F3529" s="0" t="s">
        <v>12</v>
      </c>
      <c r="G3529" s="0" t="s">
        <v>8</v>
      </c>
      <c r="H3529" s="0">
        <v>131</v>
      </c>
      <c r="I3529" s="0">
        <v>98</v>
      </c>
      <c r="J3529" s="0">
        <v>0</v>
      </c>
      <c r="K3529" s="0">
        <v>1</v>
      </c>
      <c r="L3529" s="0">
        <v>3</v>
      </c>
      <c r="M3529" s="0">
        <v>2</v>
      </c>
      <c r="N3529" s="0">
        <v>0</v>
      </c>
      <c r="O3529" s="0">
        <v>0</v>
      </c>
      <c r="P3529" s="0">
        <v>0</v>
      </c>
      <c r="R3529" s="0" t="b">
        <v>0</v>
      </c>
      <c r="S3529" s="0" t="b">
        <v>1</v>
      </c>
      <c r="T3529" s="68">
        <v>45922.625462963</v>
      </c>
      <c r="U3529" s="68">
        <v>45922.3333333333</v>
      </c>
      <c r="V3529" s="68">
        <v>0</v>
      </c>
      <c r="W3529" s="0">
        <f>IF(IF(B3529="none",1,IF(B3529="Trialer",1,0))+IF(C3529="Customer",1,IF(C3529="Lost",1,0))=2,1,0)</f>
      </c>
      <c r="X3529" s="0" t="s">
        <v>136</v>
      </c>
      <c r="Y3529" s="0" t="s">
        <v>243</v>
      </c>
      <c r="AV3529" s="68"/>
      <c r="AW3529" s="68"/>
      <c r="AY3529" s="27"/>
      <c r="BD3529" s="68">
        <v>46054.1666666667</v>
      </c>
      <c r="BE3529" s="68">
        <v>46082.1666666667</v>
      </c>
      <c r="BF3529" s="0" t="b">
        <v>0</v>
      </c>
      <c r="BG3529" s="0" t="b">
        <v>0</v>
      </c>
      <c r="BH3529" s="0">
        <v>98</v>
      </c>
      <c r="BI3529" s="0">
        <v>98</v>
      </c>
      <c r="BJ3529" s="0" t="s">
        <v>135</v>
      </c>
    </row>
    <row r="3530">
      <c r="A3530" s="0" t="s">
        <v>3783</v>
      </c>
      <c r="B3530" s="0" t="s">
        <v>134</v>
      </c>
      <c r="C3530" s="0" t="s">
        <v>134</v>
      </c>
      <c r="D3530" s="0" t="s">
        <v>230</v>
      </c>
      <c r="E3530" s="0" t="s">
        <v>3</v>
      </c>
      <c r="F3530" s="0" t="s">
        <v>12</v>
      </c>
      <c r="G3530" s="0" t="s">
        <v>8</v>
      </c>
      <c r="H3530" s="0">
        <v>130</v>
      </c>
      <c r="I3530" s="0">
        <v>367.5</v>
      </c>
      <c r="J3530" s="0">
        <v>0</v>
      </c>
      <c r="K3530" s="0">
        <v>1</v>
      </c>
      <c r="L3530" s="0">
        <v>3</v>
      </c>
      <c r="M3530" s="0">
        <v>10</v>
      </c>
      <c r="N3530" s="0">
        <v>0</v>
      </c>
      <c r="O3530" s="0">
        <v>0</v>
      </c>
      <c r="P3530" s="0">
        <v>-367.5</v>
      </c>
      <c r="R3530" s="0" t="b">
        <v>0</v>
      </c>
      <c r="S3530" s="0" t="b">
        <v>1</v>
      </c>
      <c r="T3530" s="68">
        <v>45923.3635416667</v>
      </c>
      <c r="U3530" s="68">
        <v>45940.3333333333</v>
      </c>
      <c r="V3530" s="68">
        <v>0</v>
      </c>
      <c r="W3530" s="0">
        <f>IF(IF(B3530="none",1,IF(B3530="Trialer",1,0))+IF(C3530="Customer",1,IF(C3530="Lost",1,0))=2,1,0)</f>
      </c>
      <c r="X3530" s="0" t="s">
        <v>136</v>
      </c>
      <c r="Y3530" s="0" t="s">
        <v>243</v>
      </c>
      <c r="AV3530" s="68"/>
      <c r="AW3530" s="68"/>
      <c r="AY3530" s="27"/>
      <c r="BD3530" s="68">
        <v>46054.1666666667</v>
      </c>
      <c r="BE3530" s="68">
        <v>46082.1666666667</v>
      </c>
      <c r="BF3530" s="0" t="b">
        <v>0</v>
      </c>
      <c r="BG3530" s="0" t="b">
        <v>0</v>
      </c>
      <c r="BH3530" s="0">
        <v>490</v>
      </c>
      <c r="BI3530" s="0">
        <v>490</v>
      </c>
      <c r="BJ3530" s="0" t="s">
        <v>230</v>
      </c>
    </row>
    <row r="3531">
      <c r="A3531" s="0" t="s">
        <v>3784</v>
      </c>
      <c r="B3531" s="0" t="s">
        <v>134</v>
      </c>
      <c r="C3531" s="0" t="s">
        <v>134</v>
      </c>
      <c r="D3531" s="0" t="s">
        <v>135</v>
      </c>
      <c r="E3531" s="0" t="s">
        <v>3</v>
      </c>
      <c r="F3531" s="0" t="s">
        <v>12</v>
      </c>
      <c r="G3531" s="0" t="s">
        <v>8</v>
      </c>
      <c r="H3531" s="0">
        <v>130</v>
      </c>
      <c r="I3531" s="0">
        <v>28</v>
      </c>
      <c r="J3531" s="0">
        <v>0</v>
      </c>
      <c r="K3531" s="0">
        <v>1</v>
      </c>
      <c r="L3531" s="0">
        <v>1</v>
      </c>
      <c r="M3531" s="0">
        <v>1</v>
      </c>
      <c r="N3531" s="0">
        <v>0</v>
      </c>
      <c r="O3531" s="0">
        <v>0</v>
      </c>
      <c r="P3531" s="0">
        <v>0</v>
      </c>
      <c r="R3531" s="0" t="b">
        <v>0</v>
      </c>
      <c r="S3531" s="0" t="b">
        <v>1</v>
      </c>
      <c r="T3531" s="68">
        <v>45923.3880092593</v>
      </c>
      <c r="U3531" s="68">
        <v>45943.3333333333</v>
      </c>
      <c r="V3531" s="68">
        <v>0</v>
      </c>
      <c r="W3531" s="0">
        <f>IF(IF(B3531="none",1,IF(B3531="Trialer",1,0))+IF(C3531="Customer",1,IF(C3531="Lost",1,0))=2,1,0)</f>
      </c>
      <c r="X3531" s="0" t="s">
        <v>136</v>
      </c>
      <c r="Y3531" s="0" t="s">
        <v>243</v>
      </c>
      <c r="AV3531" s="68"/>
      <c r="AW3531" s="68"/>
      <c r="AY3531" s="27"/>
      <c r="BD3531" s="68">
        <v>46054.1666666667</v>
      </c>
      <c r="BE3531" s="68">
        <v>46082.1666666667</v>
      </c>
      <c r="BF3531" s="0" t="b">
        <v>0</v>
      </c>
      <c r="BG3531" s="0" t="b">
        <v>0</v>
      </c>
      <c r="BH3531" s="0">
        <v>28</v>
      </c>
      <c r="BI3531" s="0">
        <v>28</v>
      </c>
      <c r="BJ3531" s="0" t="s">
        <v>135</v>
      </c>
    </row>
    <row r="3532">
      <c r="A3532" s="0" t="s">
        <v>3785</v>
      </c>
      <c r="B3532" s="0" t="s">
        <v>134</v>
      </c>
      <c r="C3532" s="0" t="s">
        <v>134</v>
      </c>
      <c r="D3532" s="0" t="s">
        <v>135</v>
      </c>
      <c r="E3532" s="0" t="s">
        <v>3</v>
      </c>
      <c r="F3532" s="0" t="s">
        <v>12</v>
      </c>
      <c r="G3532" s="0" t="s">
        <v>8</v>
      </c>
      <c r="H3532" s="0">
        <v>130</v>
      </c>
      <c r="I3532" s="0">
        <v>799</v>
      </c>
      <c r="J3532" s="0">
        <v>0</v>
      </c>
      <c r="K3532" s="0">
        <v>1</v>
      </c>
      <c r="L3532" s="0">
        <v>4</v>
      </c>
      <c r="M3532" s="0">
        <v>12</v>
      </c>
      <c r="N3532" s="0">
        <v>0</v>
      </c>
      <c r="O3532" s="0">
        <v>0</v>
      </c>
      <c r="P3532" s="0">
        <v>0</v>
      </c>
      <c r="R3532" s="0" t="b">
        <v>0</v>
      </c>
      <c r="S3532" s="0" t="b">
        <v>1</v>
      </c>
      <c r="T3532" s="68">
        <v>45923.4485416667</v>
      </c>
      <c r="U3532" s="68">
        <v>45940.3333333333</v>
      </c>
      <c r="V3532" s="68">
        <v>0</v>
      </c>
      <c r="W3532" s="0">
        <f>IF(IF(B3532="none",1,IF(B3532="Trialer",1,0))+IF(C3532="Customer",1,IF(C3532="Lost",1,0))=2,1,0)</f>
      </c>
      <c r="X3532" s="0" t="s">
        <v>136</v>
      </c>
      <c r="Y3532" s="0" t="s">
        <v>243</v>
      </c>
      <c r="AV3532" s="68"/>
      <c r="AW3532" s="68"/>
      <c r="AY3532" s="27"/>
      <c r="BD3532" s="68">
        <v>46054.1666666667</v>
      </c>
      <c r="BE3532" s="68">
        <v>46082.1666666667</v>
      </c>
      <c r="BF3532" s="0" t="b">
        <v>0</v>
      </c>
      <c r="BG3532" s="0" t="b">
        <v>0</v>
      </c>
      <c r="BH3532" s="0">
        <v>474</v>
      </c>
      <c r="BI3532" s="0">
        <v>474</v>
      </c>
      <c r="BJ3532" s="0" t="s">
        <v>135</v>
      </c>
    </row>
    <row r="3533">
      <c r="A3533" s="0" t="s">
        <v>3786</v>
      </c>
      <c r="B3533" s="0" t="s">
        <v>134</v>
      </c>
      <c r="C3533" s="0" t="s">
        <v>134</v>
      </c>
      <c r="D3533" s="0" t="s">
        <v>135</v>
      </c>
      <c r="E3533" s="0" t="s">
        <v>3</v>
      </c>
      <c r="F3533" s="0" t="s">
        <v>10</v>
      </c>
      <c r="G3533" s="0" t="s">
        <v>8</v>
      </c>
      <c r="H3533" s="0">
        <v>130</v>
      </c>
      <c r="I3533" s="0">
        <v>28</v>
      </c>
      <c r="J3533" s="0">
        <v>0</v>
      </c>
      <c r="K3533" s="0">
        <v>1</v>
      </c>
      <c r="L3533" s="0">
        <v>1</v>
      </c>
      <c r="M3533" s="0">
        <v>1</v>
      </c>
      <c r="N3533" s="0">
        <v>0</v>
      </c>
      <c r="O3533" s="0">
        <v>0</v>
      </c>
      <c r="P3533" s="0">
        <v>0</v>
      </c>
      <c r="Q3533" s="0" t="s">
        <v>618</v>
      </c>
      <c r="R3533" s="0" t="b">
        <v>0</v>
      </c>
      <c r="S3533" s="0" t="b">
        <v>1</v>
      </c>
      <c r="T3533" s="68">
        <v>45923.5788541667</v>
      </c>
      <c r="U3533" s="68">
        <v>45937.3333333333</v>
      </c>
      <c r="V3533" s="68">
        <v>0</v>
      </c>
      <c r="W3533" s="0">
        <f>IF(IF(B3533="none",1,IF(B3533="Trialer",1,0))+IF(C3533="Customer",1,IF(C3533="Lost",1,0))=2,1,0)</f>
      </c>
      <c r="X3533" s="0" t="s">
        <v>148</v>
      </c>
      <c r="Y3533" s="0" t="s">
        <v>243</v>
      </c>
      <c r="AV3533" s="68"/>
      <c r="AW3533" s="68"/>
      <c r="AY3533" s="27"/>
      <c r="BD3533" s="68">
        <v>46054.1666666667</v>
      </c>
      <c r="BE3533" s="68">
        <v>46082.1666666667</v>
      </c>
      <c r="BF3533" s="0" t="b">
        <v>0</v>
      </c>
      <c r="BG3533" s="0" t="b">
        <v>0</v>
      </c>
      <c r="BH3533" s="0">
        <v>28</v>
      </c>
      <c r="BI3533" s="0">
        <v>28</v>
      </c>
      <c r="BJ3533" s="0" t="s">
        <v>135</v>
      </c>
    </row>
    <row r="3534">
      <c r="A3534" s="0" t="s">
        <v>3787</v>
      </c>
      <c r="B3534" s="0" t="s">
        <v>134</v>
      </c>
      <c r="C3534" s="0" t="s">
        <v>134</v>
      </c>
      <c r="D3534" s="0" t="s">
        <v>135</v>
      </c>
      <c r="E3534" s="0" t="s">
        <v>2</v>
      </c>
      <c r="F3534" s="0" t="s">
        <v>12</v>
      </c>
      <c r="G3534" s="0" t="s">
        <v>8</v>
      </c>
      <c r="H3534" s="0">
        <v>130</v>
      </c>
      <c r="I3534" s="0">
        <v>49</v>
      </c>
      <c r="J3534" s="0">
        <v>0</v>
      </c>
      <c r="K3534" s="0">
        <v>1</v>
      </c>
      <c r="L3534" s="0">
        <v>3</v>
      </c>
      <c r="M3534" s="0">
        <v>1</v>
      </c>
      <c r="N3534" s="0">
        <v>0</v>
      </c>
      <c r="O3534" s="0">
        <v>0</v>
      </c>
      <c r="P3534" s="0">
        <v>0</v>
      </c>
      <c r="R3534" s="0" t="b">
        <v>0</v>
      </c>
      <c r="S3534" s="0" t="b">
        <v>1</v>
      </c>
      <c r="T3534" s="68">
        <v>45923.6250347222</v>
      </c>
      <c r="U3534" s="68">
        <v>45937.3333333333</v>
      </c>
      <c r="V3534" s="68">
        <v>0</v>
      </c>
      <c r="W3534" s="0">
        <f>IF(IF(B3534="none",1,IF(B3534="Trialer",1,0))+IF(C3534="Customer",1,IF(C3534="Lost",1,0))=2,1,0)</f>
      </c>
      <c r="X3534" s="0" t="s">
        <v>153</v>
      </c>
      <c r="Y3534" s="0" t="s">
        <v>499</v>
      </c>
      <c r="AV3534" s="68"/>
      <c r="AW3534" s="68"/>
      <c r="AY3534" s="27"/>
      <c r="BD3534" s="68">
        <v>46054.1666666667</v>
      </c>
      <c r="BE3534" s="68">
        <v>46082.1666666667</v>
      </c>
      <c r="BF3534" s="0" t="b">
        <v>0</v>
      </c>
      <c r="BG3534" s="0" t="b">
        <v>0</v>
      </c>
      <c r="BH3534" s="0">
        <v>49</v>
      </c>
      <c r="BI3534" s="0">
        <v>49</v>
      </c>
      <c r="BJ3534" s="0" t="s">
        <v>135</v>
      </c>
    </row>
    <row r="3535">
      <c r="A3535" s="0" t="s">
        <v>3788</v>
      </c>
      <c r="B3535" s="0" t="s">
        <v>134</v>
      </c>
      <c r="C3535" s="0" t="s">
        <v>134</v>
      </c>
      <c r="D3535" s="0" t="s">
        <v>135</v>
      </c>
      <c r="E3535" s="0" t="s">
        <v>3</v>
      </c>
      <c r="F3535" s="0" t="s">
        <v>12</v>
      </c>
      <c r="G3535" s="0" t="s">
        <v>8</v>
      </c>
      <c r="H3535" s="0">
        <v>130</v>
      </c>
      <c r="I3535" s="0">
        <v>98</v>
      </c>
      <c r="J3535" s="0">
        <v>0</v>
      </c>
      <c r="K3535" s="0">
        <v>1</v>
      </c>
      <c r="L3535" s="0">
        <v>3</v>
      </c>
      <c r="M3535" s="0">
        <v>2</v>
      </c>
      <c r="N3535" s="0">
        <v>0</v>
      </c>
      <c r="O3535" s="0">
        <v>0</v>
      </c>
      <c r="P3535" s="0">
        <v>0</v>
      </c>
      <c r="R3535" s="0" t="b">
        <v>0</v>
      </c>
      <c r="S3535" s="0" t="b">
        <v>1</v>
      </c>
      <c r="T3535" s="68">
        <v>45923.6515277778</v>
      </c>
      <c r="U3535" s="68">
        <v>45923.3333333333</v>
      </c>
      <c r="V3535" s="68">
        <v>0</v>
      </c>
      <c r="W3535" s="0">
        <f>IF(IF(B3535="none",1,IF(B3535="Trialer",1,0))+IF(C3535="Customer",1,IF(C3535="Lost",1,0))=2,1,0)</f>
      </c>
      <c r="X3535" s="0" t="s">
        <v>148</v>
      </c>
      <c r="Y3535" s="0" t="s">
        <v>243</v>
      </c>
      <c r="AV3535" s="68"/>
      <c r="AW3535" s="68"/>
      <c r="AY3535" s="27"/>
      <c r="BD3535" s="68">
        <v>46054.1666666667</v>
      </c>
      <c r="BE3535" s="68">
        <v>46082.1666666667</v>
      </c>
      <c r="BF3535" s="0" t="b">
        <v>0</v>
      </c>
      <c r="BG3535" s="0" t="b">
        <v>0</v>
      </c>
      <c r="BH3535" s="0">
        <v>98</v>
      </c>
      <c r="BI3535" s="0">
        <v>98</v>
      </c>
      <c r="BJ3535" s="0" t="s">
        <v>135</v>
      </c>
    </row>
    <row r="3536">
      <c r="A3536" s="0" t="s">
        <v>3789</v>
      </c>
      <c r="B3536" s="0" t="s">
        <v>134</v>
      </c>
      <c r="C3536" s="0" t="s">
        <v>134</v>
      </c>
      <c r="D3536" s="0" t="s">
        <v>135</v>
      </c>
      <c r="E3536" s="0" t="s">
        <v>3</v>
      </c>
      <c r="F3536" s="0" t="s">
        <v>12</v>
      </c>
      <c r="G3536" s="0" t="s">
        <v>8</v>
      </c>
      <c r="H3536" s="0">
        <v>130</v>
      </c>
      <c r="I3536" s="0">
        <v>268</v>
      </c>
      <c r="J3536" s="0">
        <v>0</v>
      </c>
      <c r="K3536" s="0">
        <v>1</v>
      </c>
      <c r="L3536" s="0">
        <v>6</v>
      </c>
      <c r="M3536" s="0">
        <v>4</v>
      </c>
      <c r="N3536" s="0">
        <v>0</v>
      </c>
      <c r="O3536" s="0">
        <v>0</v>
      </c>
      <c r="P3536" s="0">
        <v>0</v>
      </c>
      <c r="R3536" s="0" t="b">
        <v>0</v>
      </c>
      <c r="S3536" s="0" t="b">
        <v>1</v>
      </c>
      <c r="T3536" s="68">
        <v>45923.7691087963</v>
      </c>
      <c r="U3536" s="68">
        <v>45937.3333333333</v>
      </c>
      <c r="V3536" s="68">
        <v>0</v>
      </c>
      <c r="W3536" s="0">
        <f>IF(IF(B3536="none",1,IF(B3536="Trialer",1,0))+IF(C3536="Customer",1,IF(C3536="Lost",1,0))=2,1,0)</f>
      </c>
      <c r="X3536" s="0" t="s">
        <v>148</v>
      </c>
      <c r="Y3536" s="0" t="s">
        <v>243</v>
      </c>
      <c r="AV3536" s="68"/>
      <c r="AW3536" s="68"/>
      <c r="AY3536" s="27"/>
      <c r="BD3536" s="68">
        <v>46054.1666666667</v>
      </c>
      <c r="BE3536" s="68">
        <v>46082.1666666667</v>
      </c>
      <c r="BF3536" s="0" t="b">
        <v>0</v>
      </c>
      <c r="BG3536" s="0" t="b">
        <v>0</v>
      </c>
      <c r="BH3536" s="0">
        <v>268</v>
      </c>
      <c r="BI3536" s="0">
        <v>268</v>
      </c>
      <c r="BJ3536" s="0" t="s">
        <v>135</v>
      </c>
    </row>
    <row r="3537">
      <c r="A3537" s="0" t="s">
        <v>3790</v>
      </c>
      <c r="B3537" s="0" t="s">
        <v>134</v>
      </c>
      <c r="C3537" s="0" t="s">
        <v>134</v>
      </c>
      <c r="D3537" s="0" t="s">
        <v>135</v>
      </c>
      <c r="E3537" s="0" t="s">
        <v>3</v>
      </c>
      <c r="F3537" s="0" t="s">
        <v>12</v>
      </c>
      <c r="G3537" s="0" t="s">
        <v>8</v>
      </c>
      <c r="H3537" s="0">
        <v>129</v>
      </c>
      <c r="I3537" s="0">
        <v>40</v>
      </c>
      <c r="J3537" s="0">
        <v>0</v>
      </c>
      <c r="K3537" s="0">
        <v>1</v>
      </c>
      <c r="L3537" s="0">
        <v>2</v>
      </c>
      <c r="M3537" s="0">
        <v>1</v>
      </c>
      <c r="N3537" s="0">
        <v>0</v>
      </c>
      <c r="O3537" s="0">
        <v>0</v>
      </c>
      <c r="P3537" s="0">
        <v>0</v>
      </c>
      <c r="R3537" s="0" t="b">
        <v>0</v>
      </c>
      <c r="S3537" s="0" t="b">
        <v>1</v>
      </c>
      <c r="T3537" s="68">
        <v>45924.4630555556</v>
      </c>
      <c r="U3537" s="68">
        <v>45938.3333333333</v>
      </c>
      <c r="V3537" s="68">
        <v>0</v>
      </c>
      <c r="W3537" s="0">
        <f>IF(IF(B3537="none",1,IF(B3537="Trialer",1,0))+IF(C3537="Customer",1,IF(C3537="Lost",1,0))=2,1,0)</f>
      </c>
      <c r="X3537" s="0" t="s">
        <v>153</v>
      </c>
      <c r="Y3537" s="0" t="s">
        <v>243</v>
      </c>
      <c r="AV3537" s="68"/>
      <c r="AW3537" s="68"/>
      <c r="AY3537" s="27"/>
      <c r="BD3537" s="68">
        <v>46054.1666666667</v>
      </c>
      <c r="BE3537" s="68">
        <v>46082.1666666667</v>
      </c>
      <c r="BF3537" s="0" t="b">
        <v>0</v>
      </c>
      <c r="BG3537" s="0" t="b">
        <v>0</v>
      </c>
      <c r="BH3537" s="0">
        <v>40</v>
      </c>
      <c r="BI3537" s="0">
        <v>40</v>
      </c>
      <c r="BJ3537" s="0" t="s">
        <v>135</v>
      </c>
    </row>
    <row r="3538">
      <c r="A3538" s="0" t="s">
        <v>3791</v>
      </c>
      <c r="B3538" s="0" t="s">
        <v>134</v>
      </c>
      <c r="C3538" s="0" t="s">
        <v>134</v>
      </c>
      <c r="D3538" s="0" t="s">
        <v>230</v>
      </c>
      <c r="E3538" s="0" t="s">
        <v>3</v>
      </c>
      <c r="F3538" s="0" t="s">
        <v>12</v>
      </c>
      <c r="G3538" s="0" t="s">
        <v>8</v>
      </c>
      <c r="H3538" s="0">
        <v>129</v>
      </c>
      <c r="I3538" s="0">
        <v>553.75</v>
      </c>
      <c r="J3538" s="0">
        <v>0</v>
      </c>
      <c r="K3538" s="0">
        <v>1</v>
      </c>
      <c r="L3538" s="0">
        <v>6</v>
      </c>
      <c r="M3538" s="0">
        <v>5</v>
      </c>
      <c r="N3538" s="0">
        <v>0</v>
      </c>
      <c r="O3538" s="0">
        <v>0</v>
      </c>
      <c r="P3538" s="0">
        <v>-228.75</v>
      </c>
      <c r="R3538" s="0" t="b">
        <v>0</v>
      </c>
      <c r="S3538" s="0" t="b">
        <v>1</v>
      </c>
      <c r="T3538" s="68">
        <v>45924.5952546296</v>
      </c>
      <c r="U3538" s="68">
        <v>45924.3333333333</v>
      </c>
      <c r="V3538" s="68">
        <v>0</v>
      </c>
      <c r="W3538" s="0">
        <f>IF(IF(B3538="none",1,IF(B3538="Trialer",1,0))+IF(C3538="Customer",1,IF(C3538="Lost",1,0))=2,1,0)</f>
      </c>
      <c r="X3538" s="0" t="s">
        <v>145</v>
      </c>
      <c r="Y3538" s="0" t="s">
        <v>243</v>
      </c>
      <c r="AV3538" s="68"/>
      <c r="AW3538" s="68"/>
      <c r="AY3538" s="27"/>
      <c r="BD3538" s="68">
        <v>46054.1666666667</v>
      </c>
      <c r="BE3538" s="68">
        <v>46082.1666666667</v>
      </c>
      <c r="BF3538" s="0" t="b">
        <v>0</v>
      </c>
      <c r="BG3538" s="0" t="b">
        <v>0</v>
      </c>
      <c r="BH3538" s="0">
        <v>305</v>
      </c>
      <c r="BI3538" s="0">
        <v>305</v>
      </c>
      <c r="BJ3538" s="0" t="s">
        <v>230</v>
      </c>
    </row>
    <row r="3539">
      <c r="A3539" s="0" t="s">
        <v>3792</v>
      </c>
      <c r="B3539" s="0" t="s">
        <v>134</v>
      </c>
      <c r="C3539" s="0" t="s">
        <v>134</v>
      </c>
      <c r="D3539" s="0" t="s">
        <v>135</v>
      </c>
      <c r="E3539" s="0" t="s">
        <v>3</v>
      </c>
      <c r="F3539" s="0" t="s">
        <v>12</v>
      </c>
      <c r="G3539" s="0" t="s">
        <v>8</v>
      </c>
      <c r="H3539" s="0">
        <v>128</v>
      </c>
      <c r="I3539" s="0">
        <v>294</v>
      </c>
      <c r="J3539" s="0">
        <v>0</v>
      </c>
      <c r="K3539" s="0">
        <v>1</v>
      </c>
      <c r="L3539" s="0">
        <v>3</v>
      </c>
      <c r="M3539" s="0">
        <v>6</v>
      </c>
      <c r="N3539" s="0">
        <v>0</v>
      </c>
      <c r="O3539" s="0">
        <v>0</v>
      </c>
      <c r="P3539" s="0">
        <v>0</v>
      </c>
      <c r="R3539" s="0" t="b">
        <v>0</v>
      </c>
      <c r="S3539" s="0" t="b">
        <v>1</v>
      </c>
      <c r="T3539" s="68">
        <v>45925.4152314815</v>
      </c>
      <c r="U3539" s="68">
        <v>45939.3333333333</v>
      </c>
      <c r="V3539" s="68">
        <v>0</v>
      </c>
      <c r="W3539" s="0">
        <f>IF(IF(B3539="none",1,IF(B3539="Trialer",1,0))+IF(C3539="Customer",1,IF(C3539="Lost",1,0))=2,1,0)</f>
      </c>
      <c r="X3539" s="0" t="s">
        <v>136</v>
      </c>
      <c r="Y3539" s="0" t="s">
        <v>243</v>
      </c>
      <c r="AV3539" s="68"/>
      <c r="AW3539" s="68"/>
      <c r="AY3539" s="27"/>
      <c r="BD3539" s="68">
        <v>46054.1666666667</v>
      </c>
      <c r="BE3539" s="68">
        <v>46082.1666666667</v>
      </c>
      <c r="BF3539" s="0" t="b">
        <v>0</v>
      </c>
      <c r="BG3539" s="0" t="b">
        <v>0</v>
      </c>
      <c r="BH3539" s="0">
        <v>294</v>
      </c>
      <c r="BI3539" s="0">
        <v>294</v>
      </c>
      <c r="BJ3539" s="0" t="s">
        <v>135</v>
      </c>
    </row>
    <row r="3540">
      <c r="A3540" s="0" t="s">
        <v>3793</v>
      </c>
      <c r="B3540" s="0" t="s">
        <v>134</v>
      </c>
      <c r="C3540" s="0" t="s">
        <v>134</v>
      </c>
      <c r="D3540" s="0" t="s">
        <v>135</v>
      </c>
      <c r="E3540" s="0" t="s">
        <v>3</v>
      </c>
      <c r="F3540" s="0" t="s">
        <v>12</v>
      </c>
      <c r="G3540" s="0" t="s">
        <v>8</v>
      </c>
      <c r="H3540" s="0">
        <v>128</v>
      </c>
      <c r="I3540" s="0">
        <v>73</v>
      </c>
      <c r="J3540" s="0">
        <v>0</v>
      </c>
      <c r="K3540" s="0">
        <v>1</v>
      </c>
      <c r="L3540" s="0">
        <v>5</v>
      </c>
      <c r="M3540" s="0">
        <v>1</v>
      </c>
      <c r="N3540" s="0">
        <v>0</v>
      </c>
      <c r="O3540" s="0">
        <v>0</v>
      </c>
      <c r="P3540" s="0">
        <v>0</v>
      </c>
      <c r="R3540" s="0" t="b">
        <v>0</v>
      </c>
      <c r="S3540" s="0" t="b">
        <v>1</v>
      </c>
      <c r="T3540" s="68">
        <v>45925.5991087963</v>
      </c>
      <c r="U3540" s="68">
        <v>45945.3333333333</v>
      </c>
      <c r="V3540" s="68">
        <v>0</v>
      </c>
      <c r="W3540" s="0">
        <f>IF(IF(B3540="none",1,IF(B3540="Trialer",1,0))+IF(C3540="Customer",1,IF(C3540="Lost",1,0))=2,1,0)</f>
      </c>
      <c r="X3540" s="0" t="s">
        <v>142</v>
      </c>
      <c r="Y3540" s="0" t="s">
        <v>243</v>
      </c>
      <c r="AV3540" s="68"/>
      <c r="AW3540" s="68"/>
      <c r="AY3540" s="27"/>
      <c r="BD3540" s="68">
        <v>46054.1666666667</v>
      </c>
      <c r="BE3540" s="68">
        <v>46082.1666666667</v>
      </c>
      <c r="BF3540" s="0" t="b">
        <v>0</v>
      </c>
      <c r="BG3540" s="0" t="b">
        <v>0</v>
      </c>
      <c r="BH3540" s="0">
        <v>73</v>
      </c>
      <c r="BI3540" s="0">
        <v>73</v>
      </c>
      <c r="BJ3540" s="0" t="s">
        <v>135</v>
      </c>
    </row>
    <row r="3541">
      <c r="A3541" s="0" t="s">
        <v>3794</v>
      </c>
      <c r="B3541" s="0" t="s">
        <v>134</v>
      </c>
      <c r="C3541" s="0" t="s">
        <v>134</v>
      </c>
      <c r="D3541" s="0" t="s">
        <v>135</v>
      </c>
      <c r="E3541" s="0" t="s">
        <v>3</v>
      </c>
      <c r="F3541" s="0" t="s">
        <v>12</v>
      </c>
      <c r="G3541" s="0" t="s">
        <v>8</v>
      </c>
      <c r="H3541" s="0">
        <v>128</v>
      </c>
      <c r="I3541" s="0">
        <v>0</v>
      </c>
      <c r="J3541" s="0">
        <v>0</v>
      </c>
      <c r="K3541" s="0">
        <v>1</v>
      </c>
      <c r="L3541" s="0">
        <v>4</v>
      </c>
      <c r="M3541" s="0">
        <v>1</v>
      </c>
      <c r="N3541" s="0">
        <v>0</v>
      </c>
      <c r="O3541" s="0">
        <v>0</v>
      </c>
      <c r="P3541" s="0">
        <v>0</v>
      </c>
      <c r="R3541" s="0" t="b">
        <v>0</v>
      </c>
      <c r="S3541" s="0" t="b">
        <v>1</v>
      </c>
      <c r="T3541" s="68">
        <v>45925.8097222222</v>
      </c>
      <c r="U3541" s="68">
        <v>45939.3333333333</v>
      </c>
      <c r="V3541" s="68">
        <v>0</v>
      </c>
      <c r="W3541" s="0">
        <f>IF(IF(B3541="none",1,IF(B3541="Trialer",1,0))+IF(C3541="Customer",1,IF(C3541="Lost",1,0))=2,1,0)</f>
      </c>
      <c r="X3541" s="0" t="s">
        <v>136</v>
      </c>
      <c r="Y3541" s="0" t="s">
        <v>243</v>
      </c>
      <c r="AV3541" s="68"/>
      <c r="AW3541" s="68"/>
      <c r="AY3541" s="27"/>
      <c r="BD3541" s="68">
        <v>46054.1666666667</v>
      </c>
      <c r="BE3541" s="68">
        <v>46082.1666666667</v>
      </c>
      <c r="BF3541" s="0" t="b">
        <v>0</v>
      </c>
      <c r="BG3541" s="0" t="b">
        <v>0</v>
      </c>
      <c r="BH3541" s="0">
        <v>0</v>
      </c>
      <c r="BI3541" s="0">
        <v>0</v>
      </c>
      <c r="BJ3541" s="0" t="s">
        <v>135</v>
      </c>
    </row>
    <row r="3542">
      <c r="A3542" s="0" t="s">
        <v>3795</v>
      </c>
      <c r="B3542" s="0" t="s">
        <v>134</v>
      </c>
      <c r="C3542" s="0" t="s">
        <v>134</v>
      </c>
      <c r="D3542" s="0" t="s">
        <v>230</v>
      </c>
      <c r="E3542" s="0" t="s">
        <v>3</v>
      </c>
      <c r="F3542" s="0" t="s">
        <v>12</v>
      </c>
      <c r="G3542" s="0" t="s">
        <v>8</v>
      </c>
      <c r="H3542" s="0">
        <v>127</v>
      </c>
      <c r="I3542" s="0">
        <v>147</v>
      </c>
      <c r="J3542" s="0">
        <v>0</v>
      </c>
      <c r="K3542" s="0">
        <v>1</v>
      </c>
      <c r="L3542" s="0">
        <v>3</v>
      </c>
      <c r="M3542" s="0">
        <v>4</v>
      </c>
      <c r="N3542" s="0">
        <v>0</v>
      </c>
      <c r="O3542" s="0">
        <v>0</v>
      </c>
      <c r="P3542" s="0">
        <v>-147</v>
      </c>
      <c r="R3542" s="0" t="b">
        <v>0</v>
      </c>
      <c r="S3542" s="0" t="b">
        <v>1</v>
      </c>
      <c r="T3542" s="68">
        <v>45926.5246990741</v>
      </c>
      <c r="U3542" s="68">
        <v>45953.3333333333</v>
      </c>
      <c r="V3542" s="68">
        <v>0</v>
      </c>
      <c r="W3542" s="0">
        <f>IF(IF(B3542="none",1,IF(B3542="Trialer",1,0))+IF(C3542="Customer",1,IF(C3542="Lost",1,0))=2,1,0)</f>
      </c>
      <c r="X3542" s="0" t="s">
        <v>136</v>
      </c>
      <c r="Y3542" s="0" t="s">
        <v>243</v>
      </c>
      <c r="AV3542" s="68"/>
      <c r="AW3542" s="68"/>
      <c r="AY3542" s="27"/>
      <c r="BD3542" s="68">
        <v>46054.1666666667</v>
      </c>
      <c r="BE3542" s="68">
        <v>46082.1666666667</v>
      </c>
      <c r="BF3542" s="0" t="b">
        <v>0</v>
      </c>
      <c r="BG3542" s="0" t="b">
        <v>0</v>
      </c>
      <c r="BH3542" s="0">
        <v>196</v>
      </c>
      <c r="BI3542" s="0">
        <v>196</v>
      </c>
      <c r="BJ3542" s="0" t="s">
        <v>230</v>
      </c>
    </row>
    <row r="3543">
      <c r="A3543" s="0" t="s">
        <v>3796</v>
      </c>
      <c r="B3543" s="0" t="s">
        <v>134</v>
      </c>
      <c r="C3543" s="0" t="s">
        <v>190</v>
      </c>
      <c r="D3543" s="0" t="s">
        <v>135</v>
      </c>
      <c r="E3543" s="0" t="s">
        <v>3</v>
      </c>
      <c r="F3543" s="0" t="s">
        <v>10</v>
      </c>
      <c r="G3543" s="0" t="s">
        <v>8</v>
      </c>
      <c r="H3543" s="0">
        <v>127</v>
      </c>
      <c r="I3543" s="0">
        <v>28</v>
      </c>
      <c r="J3543" s="0">
        <v>0</v>
      </c>
      <c r="K3543" s="0">
        <v>1</v>
      </c>
      <c r="L3543" s="0">
        <v>1</v>
      </c>
      <c r="M3543" s="0">
        <v>1</v>
      </c>
      <c r="N3543" s="0">
        <v>0</v>
      </c>
      <c r="O3543" s="0">
        <v>0</v>
      </c>
      <c r="P3543" s="0">
        <v>0</v>
      </c>
      <c r="Q3543" s="0" t="s">
        <v>618</v>
      </c>
      <c r="R3543" s="0" t="b">
        <v>0</v>
      </c>
      <c r="S3543" s="0" t="b">
        <v>0</v>
      </c>
      <c r="T3543" s="68">
        <v>45926.5834953704</v>
      </c>
      <c r="U3543" s="68">
        <v>45940.3333333333</v>
      </c>
      <c r="V3543" s="68">
        <v>46078.275</v>
      </c>
      <c r="W3543" s="0">
        <f>IF(IF(B3543="none",1,IF(B3543="Trialer",1,0))+IF(C3543="Customer",1,IF(C3543="Lost",1,0))=2,1,0)</f>
      </c>
      <c r="X3543" s="0" t="s">
        <v>148</v>
      </c>
      <c r="Y3543" s="0" t="s">
        <v>243</v>
      </c>
      <c r="AV3543" s="68"/>
      <c r="AW3543" s="68"/>
      <c r="AY3543" s="27"/>
      <c r="BD3543" s="68">
        <v>46054.1666666667</v>
      </c>
      <c r="BE3543" s="68">
        <v>46082.1666666667</v>
      </c>
      <c r="BF3543" s="0" t="b">
        <v>0</v>
      </c>
      <c r="BG3543" s="0" t="b">
        <v>0</v>
      </c>
      <c r="BH3543" s="0">
        <v>0</v>
      </c>
      <c r="BI3543" s="0">
        <v>28</v>
      </c>
      <c r="BJ3543" s="0" t="s">
        <v>135</v>
      </c>
    </row>
    <row r="3544">
      <c r="A3544" s="0" t="s">
        <v>3797</v>
      </c>
      <c r="B3544" s="0" t="s">
        <v>134</v>
      </c>
      <c r="C3544" s="0" t="s">
        <v>134</v>
      </c>
      <c r="D3544" s="0" t="s">
        <v>230</v>
      </c>
      <c r="E3544" s="0" t="s">
        <v>2</v>
      </c>
      <c r="F3544" s="0" t="s">
        <v>12</v>
      </c>
      <c r="G3544" s="0" t="s">
        <v>8</v>
      </c>
      <c r="H3544" s="0">
        <v>127</v>
      </c>
      <c r="I3544" s="0">
        <v>294</v>
      </c>
      <c r="J3544" s="0">
        <v>0</v>
      </c>
      <c r="K3544" s="0">
        <v>1</v>
      </c>
      <c r="L3544" s="0">
        <v>3</v>
      </c>
      <c r="M3544" s="0">
        <v>8</v>
      </c>
      <c r="N3544" s="0">
        <v>0</v>
      </c>
      <c r="O3544" s="0">
        <v>0</v>
      </c>
      <c r="P3544" s="0">
        <v>-294</v>
      </c>
      <c r="R3544" s="0" t="b">
        <v>0</v>
      </c>
      <c r="S3544" s="0" t="b">
        <v>1</v>
      </c>
      <c r="T3544" s="68">
        <v>45926.6013888889</v>
      </c>
      <c r="U3544" s="68">
        <v>45940.3333333333</v>
      </c>
      <c r="V3544" s="68">
        <v>0</v>
      </c>
      <c r="W3544" s="0">
        <f>IF(IF(B3544="none",1,IF(B3544="Trialer",1,0))+IF(C3544="Customer",1,IF(C3544="Lost",1,0))=2,1,0)</f>
      </c>
      <c r="X3544" s="0" t="s">
        <v>148</v>
      </c>
      <c r="Y3544" s="0" t="s">
        <v>499</v>
      </c>
      <c r="AV3544" s="68"/>
      <c r="AW3544" s="68"/>
      <c r="AY3544" s="27"/>
      <c r="BD3544" s="68">
        <v>46054.1666666667</v>
      </c>
      <c r="BE3544" s="68">
        <v>46082.1666666667</v>
      </c>
      <c r="BF3544" s="0" t="b">
        <v>0</v>
      </c>
      <c r="BG3544" s="0" t="b">
        <v>0</v>
      </c>
      <c r="BH3544" s="0">
        <v>392</v>
      </c>
      <c r="BI3544" s="0">
        <v>392</v>
      </c>
      <c r="BJ3544" s="0" t="s">
        <v>230</v>
      </c>
    </row>
    <row r="3545">
      <c r="A3545" s="0" t="s">
        <v>3798</v>
      </c>
      <c r="B3545" s="0" t="s">
        <v>134</v>
      </c>
      <c r="C3545" s="0" t="s">
        <v>134</v>
      </c>
      <c r="D3545" s="0" t="s">
        <v>135</v>
      </c>
      <c r="E3545" s="0" t="s">
        <v>3</v>
      </c>
      <c r="F3545" s="0" t="s">
        <v>12</v>
      </c>
      <c r="G3545" s="0" t="s">
        <v>8</v>
      </c>
      <c r="H3545" s="0">
        <v>127</v>
      </c>
      <c r="I3545" s="0">
        <v>146</v>
      </c>
      <c r="J3545" s="0">
        <v>0</v>
      </c>
      <c r="K3545" s="0">
        <v>1</v>
      </c>
      <c r="L3545" s="0">
        <v>5</v>
      </c>
      <c r="M3545" s="0">
        <v>2</v>
      </c>
      <c r="N3545" s="0">
        <v>0</v>
      </c>
      <c r="O3545" s="0">
        <v>0</v>
      </c>
      <c r="P3545" s="0">
        <v>0</v>
      </c>
      <c r="R3545" s="0" t="b">
        <v>0</v>
      </c>
      <c r="S3545" s="0" t="b">
        <v>1</v>
      </c>
      <c r="T3545" s="68">
        <v>45926.6338425926</v>
      </c>
      <c r="U3545" s="68">
        <v>45959.3333333333</v>
      </c>
      <c r="V3545" s="68">
        <v>0</v>
      </c>
      <c r="W3545" s="0">
        <f>IF(IF(B3545="none",1,IF(B3545="Trialer",1,0))+IF(C3545="Customer",1,IF(C3545="Lost",1,0))=2,1,0)</f>
      </c>
      <c r="X3545" s="0" t="s">
        <v>166</v>
      </c>
      <c r="Y3545" s="0" t="s">
        <v>243</v>
      </c>
      <c r="AV3545" s="68"/>
      <c r="AW3545" s="68"/>
      <c r="AY3545" s="27"/>
      <c r="BD3545" s="68">
        <v>46054.1666666667</v>
      </c>
      <c r="BE3545" s="68">
        <v>46082.1666666667</v>
      </c>
      <c r="BF3545" s="0" t="b">
        <v>0</v>
      </c>
      <c r="BG3545" s="0" t="b">
        <v>0</v>
      </c>
      <c r="BH3545" s="0">
        <v>146</v>
      </c>
      <c r="BI3545" s="0">
        <v>146</v>
      </c>
      <c r="BJ3545" s="0" t="s">
        <v>135</v>
      </c>
    </row>
    <row r="3546">
      <c r="A3546" s="0" t="s">
        <v>3799</v>
      </c>
      <c r="B3546" s="0" t="s">
        <v>134</v>
      </c>
      <c r="C3546" s="0" t="s">
        <v>134</v>
      </c>
      <c r="D3546" s="0" t="s">
        <v>135</v>
      </c>
      <c r="E3546" s="0" t="s">
        <v>3</v>
      </c>
      <c r="F3546" s="0" t="s">
        <v>12</v>
      </c>
      <c r="G3546" s="0" t="s">
        <v>8</v>
      </c>
      <c r="H3546" s="0">
        <v>127</v>
      </c>
      <c r="I3546" s="0">
        <v>122</v>
      </c>
      <c r="J3546" s="0">
        <v>0</v>
      </c>
      <c r="K3546" s="0">
        <v>1</v>
      </c>
      <c r="L3546" s="0">
        <v>4</v>
      </c>
      <c r="M3546" s="0">
        <v>2</v>
      </c>
      <c r="N3546" s="0">
        <v>0</v>
      </c>
      <c r="O3546" s="0">
        <v>0</v>
      </c>
      <c r="P3546" s="0">
        <v>0</v>
      </c>
      <c r="R3546" s="0" t="b">
        <v>0</v>
      </c>
      <c r="S3546" s="0" t="b">
        <v>1</v>
      </c>
      <c r="T3546" s="68">
        <v>45926.682025463</v>
      </c>
      <c r="U3546" s="68">
        <v>45944.3333333333</v>
      </c>
      <c r="V3546" s="68">
        <v>0</v>
      </c>
      <c r="W3546" s="0">
        <f>IF(IF(B3546="none",1,IF(B3546="Trialer",1,0))+IF(C3546="Customer",1,IF(C3546="Lost",1,0))=2,1,0)</f>
      </c>
      <c r="X3546" s="0" t="s">
        <v>142</v>
      </c>
      <c r="Y3546" s="0" t="s">
        <v>243</v>
      </c>
      <c r="AV3546" s="68"/>
      <c r="AW3546" s="68"/>
      <c r="AY3546" s="27"/>
      <c r="BD3546" s="68">
        <v>46054.1666666667</v>
      </c>
      <c r="BE3546" s="68">
        <v>46082.1666666667</v>
      </c>
      <c r="BF3546" s="0" t="b">
        <v>0</v>
      </c>
      <c r="BG3546" s="0" t="b">
        <v>0</v>
      </c>
      <c r="BH3546" s="0">
        <v>122</v>
      </c>
      <c r="BI3546" s="0">
        <v>122</v>
      </c>
      <c r="BJ3546" s="0" t="s">
        <v>135</v>
      </c>
    </row>
    <row r="3547">
      <c r="A3547" s="0" t="s">
        <v>3800</v>
      </c>
      <c r="B3547" s="0" t="s">
        <v>134</v>
      </c>
      <c r="C3547" s="0" t="s">
        <v>134</v>
      </c>
      <c r="D3547" s="0" t="s">
        <v>230</v>
      </c>
      <c r="E3547" s="0" t="s">
        <v>3</v>
      </c>
      <c r="F3547" s="0" t="s">
        <v>12</v>
      </c>
      <c r="G3547" s="0" t="s">
        <v>8</v>
      </c>
      <c r="H3547" s="0">
        <v>127</v>
      </c>
      <c r="I3547" s="0">
        <v>108</v>
      </c>
      <c r="J3547" s="0">
        <v>0</v>
      </c>
      <c r="K3547" s="0">
        <v>1</v>
      </c>
      <c r="L3547" s="0">
        <v>4</v>
      </c>
      <c r="M3547" s="0">
        <v>2</v>
      </c>
      <c r="N3547" s="0">
        <v>0</v>
      </c>
      <c r="O3547" s="0">
        <v>0</v>
      </c>
      <c r="P3547" s="0">
        <v>-108</v>
      </c>
      <c r="R3547" s="0" t="b">
        <v>0</v>
      </c>
      <c r="S3547" s="0" t="b">
        <v>1</v>
      </c>
      <c r="T3547" s="68">
        <v>45926.684837963</v>
      </c>
      <c r="U3547" s="68">
        <v>45940.3333333333</v>
      </c>
      <c r="V3547" s="68">
        <v>0</v>
      </c>
      <c r="W3547" s="0">
        <f>IF(IF(B3547="none",1,IF(B3547="Trialer",1,0))+IF(C3547="Customer",1,IF(C3547="Lost",1,0))=2,1,0)</f>
      </c>
      <c r="X3547" s="0" t="s">
        <v>142</v>
      </c>
      <c r="Y3547" s="0" t="s">
        <v>243</v>
      </c>
      <c r="AV3547" s="68"/>
      <c r="AW3547" s="68"/>
      <c r="AY3547" s="27"/>
      <c r="BD3547" s="68">
        <v>46054.1666666667</v>
      </c>
      <c r="BE3547" s="68">
        <v>46082.1666666667</v>
      </c>
      <c r="BF3547" s="0" t="b">
        <v>0</v>
      </c>
      <c r="BG3547" s="0" t="b">
        <v>0</v>
      </c>
      <c r="BH3547" s="0">
        <v>122</v>
      </c>
      <c r="BI3547" s="0">
        <v>122</v>
      </c>
      <c r="BJ3547" s="0" t="s">
        <v>230</v>
      </c>
    </row>
    <row r="3548">
      <c r="A3548" s="0" t="s">
        <v>3801</v>
      </c>
      <c r="B3548" s="0" t="s">
        <v>134</v>
      </c>
      <c r="C3548" s="0" t="s">
        <v>134</v>
      </c>
      <c r="D3548" s="0" t="s">
        <v>135</v>
      </c>
      <c r="E3548" s="0" t="s">
        <v>3</v>
      </c>
      <c r="F3548" s="0" t="s">
        <v>12</v>
      </c>
      <c r="G3548" s="0" t="s">
        <v>8</v>
      </c>
      <c r="H3548" s="0">
        <v>126</v>
      </c>
      <c r="I3548" s="0">
        <v>98</v>
      </c>
      <c r="J3548" s="0">
        <v>0</v>
      </c>
      <c r="K3548" s="0">
        <v>1</v>
      </c>
      <c r="L3548" s="0">
        <v>3</v>
      </c>
      <c r="M3548" s="0">
        <v>2</v>
      </c>
      <c r="N3548" s="0">
        <v>0</v>
      </c>
      <c r="O3548" s="0">
        <v>0</v>
      </c>
      <c r="P3548" s="0">
        <v>0</v>
      </c>
      <c r="R3548" s="0" t="b">
        <v>0</v>
      </c>
      <c r="S3548" s="0" t="b">
        <v>1</v>
      </c>
      <c r="T3548" s="68">
        <v>45927.58125</v>
      </c>
      <c r="U3548" s="68">
        <v>45951.3333333333</v>
      </c>
      <c r="V3548" s="68">
        <v>0</v>
      </c>
      <c r="W3548" s="0">
        <f>IF(IF(B3548="none",1,IF(B3548="Trialer",1,0))+IF(C3548="Customer",1,IF(C3548="Lost",1,0))=2,1,0)</f>
      </c>
      <c r="X3548" s="0" t="s">
        <v>142</v>
      </c>
      <c r="Y3548" s="0" t="s">
        <v>243</v>
      </c>
      <c r="AV3548" s="68"/>
      <c r="AW3548" s="68"/>
      <c r="AY3548" s="27"/>
      <c r="BD3548" s="68">
        <v>46054.1666666667</v>
      </c>
      <c r="BE3548" s="68">
        <v>46082.1666666667</v>
      </c>
      <c r="BF3548" s="0" t="b">
        <v>0</v>
      </c>
      <c r="BG3548" s="0" t="b">
        <v>0</v>
      </c>
      <c r="BH3548" s="0">
        <v>98</v>
      </c>
      <c r="BI3548" s="0">
        <v>98</v>
      </c>
      <c r="BJ3548" s="0" t="s">
        <v>135</v>
      </c>
    </row>
    <row r="3549">
      <c r="A3549" s="0" t="s">
        <v>3802</v>
      </c>
      <c r="B3549" s="0" t="s">
        <v>134</v>
      </c>
      <c r="C3549" s="0" t="s">
        <v>134</v>
      </c>
      <c r="D3549" s="0" t="s">
        <v>230</v>
      </c>
      <c r="E3549" s="0" t="s">
        <v>3</v>
      </c>
      <c r="F3549" s="0" t="s">
        <v>12</v>
      </c>
      <c r="G3549" s="0" t="s">
        <v>8</v>
      </c>
      <c r="H3549" s="0">
        <v>125</v>
      </c>
      <c r="I3549" s="0">
        <v>118</v>
      </c>
      <c r="J3549" s="0">
        <v>0</v>
      </c>
      <c r="K3549" s="0">
        <v>1</v>
      </c>
      <c r="L3549" s="0">
        <v>6</v>
      </c>
      <c r="M3549" s="0">
        <v>2</v>
      </c>
      <c r="N3549" s="0">
        <v>0</v>
      </c>
      <c r="O3549" s="0">
        <v>0</v>
      </c>
      <c r="P3549" s="0">
        <v>-118</v>
      </c>
      <c r="R3549" s="0" t="b">
        <v>0</v>
      </c>
      <c r="S3549" s="0" t="b">
        <v>1</v>
      </c>
      <c r="T3549" s="68">
        <v>45928.8140046296</v>
      </c>
      <c r="U3549" s="68">
        <v>45950.3333333333</v>
      </c>
      <c r="V3549" s="68">
        <v>0</v>
      </c>
      <c r="W3549" s="0">
        <f>IF(IF(B3549="none",1,IF(B3549="Trialer",1,0))+IF(C3549="Customer",1,IF(C3549="Lost",1,0))=2,1,0)</f>
      </c>
      <c r="X3549" s="0" t="s">
        <v>1461</v>
      </c>
      <c r="Y3549" s="0" t="s">
        <v>243</v>
      </c>
      <c r="AV3549" s="68"/>
      <c r="AW3549" s="68"/>
      <c r="AY3549" s="27"/>
      <c r="BD3549" s="68">
        <v>46054.1666666667</v>
      </c>
      <c r="BE3549" s="68">
        <v>46082.1666666667</v>
      </c>
      <c r="BF3549" s="0" t="b">
        <v>0</v>
      </c>
      <c r="BG3549" s="0" t="b">
        <v>0</v>
      </c>
      <c r="BH3549" s="0">
        <v>134</v>
      </c>
      <c r="BI3549" s="0">
        <v>134</v>
      </c>
      <c r="BJ3549" s="0" t="s">
        <v>230</v>
      </c>
    </row>
    <row r="3550">
      <c r="A3550" s="0" t="s">
        <v>3803</v>
      </c>
      <c r="B3550" s="0" t="s">
        <v>134</v>
      </c>
      <c r="C3550" s="0" t="s">
        <v>134</v>
      </c>
      <c r="D3550" s="0" t="s">
        <v>135</v>
      </c>
      <c r="E3550" s="0" t="s">
        <v>3</v>
      </c>
      <c r="F3550" s="0" t="s">
        <v>12</v>
      </c>
      <c r="G3550" s="0" t="s">
        <v>8</v>
      </c>
      <c r="H3550" s="0">
        <v>125</v>
      </c>
      <c r="I3550" s="0">
        <v>176</v>
      </c>
      <c r="J3550" s="0">
        <v>0</v>
      </c>
      <c r="K3550" s="0">
        <v>1</v>
      </c>
      <c r="L3550" s="0">
        <v>4</v>
      </c>
      <c r="M3550" s="0">
        <v>5</v>
      </c>
      <c r="N3550" s="0">
        <v>0</v>
      </c>
      <c r="O3550" s="0">
        <v>0</v>
      </c>
      <c r="P3550" s="0">
        <v>0</v>
      </c>
      <c r="R3550" s="0" t="b">
        <v>0</v>
      </c>
      <c r="S3550" s="0" t="b">
        <v>1</v>
      </c>
      <c r="T3550" s="68">
        <v>45928.8852662037</v>
      </c>
      <c r="U3550" s="68">
        <v>45945.3333333333</v>
      </c>
      <c r="V3550" s="68">
        <v>0</v>
      </c>
      <c r="W3550" s="0">
        <f>IF(IF(B3550="none",1,IF(B3550="Trialer",1,0))+IF(C3550="Customer",1,IF(C3550="Lost",1,0))=2,1,0)</f>
      </c>
      <c r="X3550" s="0" t="s">
        <v>136</v>
      </c>
      <c r="Y3550" s="0" t="s">
        <v>243</v>
      </c>
      <c r="AV3550" s="68"/>
      <c r="AW3550" s="68"/>
      <c r="AY3550" s="27"/>
      <c r="BD3550" s="68">
        <v>46054.1666666667</v>
      </c>
      <c r="BE3550" s="68">
        <v>46082.1666666667</v>
      </c>
      <c r="BF3550" s="0" t="b">
        <v>0</v>
      </c>
      <c r="BG3550" s="0" t="b">
        <v>0</v>
      </c>
      <c r="BH3550" s="0">
        <v>158</v>
      </c>
      <c r="BI3550" s="0">
        <v>158</v>
      </c>
      <c r="BJ3550" s="0" t="s">
        <v>135</v>
      </c>
    </row>
    <row r="3551">
      <c r="A3551" s="0" t="s">
        <v>3804</v>
      </c>
      <c r="B3551" s="0" t="s">
        <v>134</v>
      </c>
      <c r="C3551" s="0" t="s">
        <v>134</v>
      </c>
      <c r="D3551" s="0" t="s">
        <v>230</v>
      </c>
      <c r="E3551" s="0" t="s">
        <v>2</v>
      </c>
      <c r="F3551" s="0" t="s">
        <v>12</v>
      </c>
      <c r="G3551" s="0" t="s">
        <v>8</v>
      </c>
      <c r="H3551" s="0">
        <v>124</v>
      </c>
      <c r="I3551" s="0">
        <v>234</v>
      </c>
      <c r="J3551" s="0">
        <v>0</v>
      </c>
      <c r="K3551" s="0">
        <v>1</v>
      </c>
      <c r="L3551" s="0">
        <v>3</v>
      </c>
      <c r="M3551" s="0">
        <v>6</v>
      </c>
      <c r="N3551" s="0">
        <v>0</v>
      </c>
      <c r="O3551" s="0">
        <v>0</v>
      </c>
      <c r="P3551" s="0">
        <v>-234</v>
      </c>
      <c r="R3551" s="0" t="b">
        <v>0</v>
      </c>
      <c r="S3551" s="0" t="b">
        <v>1</v>
      </c>
      <c r="T3551" s="68">
        <v>45929.4163194444</v>
      </c>
      <c r="U3551" s="68">
        <v>45931.3333333333</v>
      </c>
      <c r="V3551" s="68">
        <v>0</v>
      </c>
      <c r="W3551" s="0">
        <f>IF(IF(B3551="none",1,IF(B3551="Trialer",1,0))+IF(C3551="Customer",1,IF(C3551="Lost",1,0))=2,1,0)</f>
      </c>
      <c r="X3551" s="0" t="s">
        <v>145</v>
      </c>
      <c r="Y3551" s="0" t="s">
        <v>499</v>
      </c>
      <c r="AV3551" s="68"/>
      <c r="AW3551" s="68"/>
      <c r="AY3551" s="27"/>
      <c r="BD3551" s="68">
        <v>46054.1666666667</v>
      </c>
      <c r="BE3551" s="68">
        <v>46082.1666666667</v>
      </c>
      <c r="BF3551" s="0" t="b">
        <v>0</v>
      </c>
      <c r="BG3551" s="0" t="b">
        <v>0</v>
      </c>
      <c r="BH3551" s="0">
        <v>312</v>
      </c>
      <c r="BI3551" s="0">
        <v>312</v>
      </c>
      <c r="BJ3551" s="0" t="s">
        <v>230</v>
      </c>
    </row>
    <row r="3552">
      <c r="A3552" s="0" t="s">
        <v>3805</v>
      </c>
      <c r="B3552" s="0" t="s">
        <v>134</v>
      </c>
      <c r="C3552" s="0" t="s">
        <v>134</v>
      </c>
      <c r="D3552" s="0" t="s">
        <v>230</v>
      </c>
      <c r="E3552" s="0" t="s">
        <v>2</v>
      </c>
      <c r="F3552" s="0" t="s">
        <v>12</v>
      </c>
      <c r="G3552" s="0" t="s">
        <v>8</v>
      </c>
      <c r="H3552" s="0">
        <v>124</v>
      </c>
      <c r="I3552" s="0">
        <v>1020.25</v>
      </c>
      <c r="J3552" s="0">
        <v>0</v>
      </c>
      <c r="K3552" s="0">
        <v>1</v>
      </c>
      <c r="L3552" s="0">
        <v>5</v>
      </c>
      <c r="M3552" s="0">
        <v>15</v>
      </c>
      <c r="N3552" s="0">
        <v>279</v>
      </c>
      <c r="O3552" s="0">
        <v>0</v>
      </c>
      <c r="P3552" s="0">
        <v>-695.25</v>
      </c>
      <c r="R3552" s="0" t="b">
        <v>0</v>
      </c>
      <c r="S3552" s="0" t="b">
        <v>1</v>
      </c>
      <c r="T3552" s="68">
        <v>45929.4736921296</v>
      </c>
      <c r="U3552" s="68">
        <v>45929.3333333333</v>
      </c>
      <c r="V3552" s="68">
        <v>0</v>
      </c>
      <c r="W3552" s="0">
        <f>IF(IF(B3552="none",1,IF(B3552="Trialer",1,0))+IF(C3552="Customer",1,IF(C3552="Lost",1,0))=2,1,0)</f>
      </c>
      <c r="X3552" s="0" t="s">
        <v>145</v>
      </c>
      <c r="Y3552" s="0" t="s">
        <v>499</v>
      </c>
      <c r="AV3552" s="68"/>
      <c r="AW3552" s="68"/>
      <c r="AY3552" s="27"/>
      <c r="BD3552" s="68">
        <v>46054.1666666667</v>
      </c>
      <c r="BE3552" s="68">
        <v>46082.1666666667</v>
      </c>
      <c r="BF3552" s="0" t="b">
        <v>0</v>
      </c>
      <c r="BG3552" s="0" t="b">
        <v>0</v>
      </c>
      <c r="BH3552" s="0">
        <v>927</v>
      </c>
      <c r="BI3552" s="0">
        <v>927</v>
      </c>
      <c r="BJ3552" s="0" t="s">
        <v>230</v>
      </c>
    </row>
    <row r="3553">
      <c r="A3553" s="0" t="s">
        <v>3806</v>
      </c>
      <c r="B3553" s="0" t="s">
        <v>134</v>
      </c>
      <c r="C3553" s="0" t="s">
        <v>134</v>
      </c>
      <c r="D3553" s="0" t="s">
        <v>135</v>
      </c>
      <c r="E3553" s="0" t="s">
        <v>2</v>
      </c>
      <c r="F3553" s="0" t="s">
        <v>12</v>
      </c>
      <c r="G3553" s="0" t="s">
        <v>8</v>
      </c>
      <c r="H3553" s="0">
        <v>124</v>
      </c>
      <c r="I3553" s="0">
        <v>122</v>
      </c>
      <c r="J3553" s="0">
        <v>0</v>
      </c>
      <c r="K3553" s="0">
        <v>1</v>
      </c>
      <c r="L3553" s="0">
        <v>4</v>
      </c>
      <c r="M3553" s="0">
        <v>2</v>
      </c>
      <c r="N3553" s="0">
        <v>0</v>
      </c>
      <c r="O3553" s="0">
        <v>0</v>
      </c>
      <c r="P3553" s="0">
        <v>0</v>
      </c>
      <c r="R3553" s="0" t="b">
        <v>0</v>
      </c>
      <c r="S3553" s="0" t="b">
        <v>1</v>
      </c>
      <c r="T3553" s="68">
        <v>45929.4950115741</v>
      </c>
      <c r="U3553" s="68">
        <v>45929.3333333333</v>
      </c>
      <c r="V3553" s="68">
        <v>0</v>
      </c>
      <c r="W3553" s="0">
        <f>IF(IF(B3553="none",1,IF(B3553="Trialer",1,0))+IF(C3553="Customer",1,IF(C3553="Lost",1,0))=2,1,0)</f>
      </c>
      <c r="X3553" s="0" t="s">
        <v>145</v>
      </c>
      <c r="Y3553" s="0" t="s">
        <v>499</v>
      </c>
      <c r="AV3553" s="68"/>
      <c r="AW3553" s="68"/>
      <c r="AY3553" s="27"/>
      <c r="BD3553" s="68">
        <v>46054.1666666667</v>
      </c>
      <c r="BE3553" s="68">
        <v>46082.1666666667</v>
      </c>
      <c r="BF3553" s="0" t="b">
        <v>0</v>
      </c>
      <c r="BG3553" s="0" t="b">
        <v>0</v>
      </c>
      <c r="BH3553" s="0">
        <v>122</v>
      </c>
      <c r="BI3553" s="0">
        <v>122</v>
      </c>
      <c r="BJ3553" s="0" t="s">
        <v>135</v>
      </c>
    </row>
    <row r="3554">
      <c r="A3554" s="0" t="s">
        <v>3807</v>
      </c>
      <c r="B3554" s="0" t="s">
        <v>134</v>
      </c>
      <c r="C3554" s="0" t="s">
        <v>134</v>
      </c>
      <c r="D3554" s="0" t="s">
        <v>135</v>
      </c>
      <c r="E3554" s="0" t="s">
        <v>3</v>
      </c>
      <c r="F3554" s="0" t="s">
        <v>12</v>
      </c>
      <c r="G3554" s="0" t="s">
        <v>8</v>
      </c>
      <c r="H3554" s="0">
        <v>124</v>
      </c>
      <c r="I3554" s="0">
        <v>61</v>
      </c>
      <c r="J3554" s="0">
        <v>0</v>
      </c>
      <c r="K3554" s="0">
        <v>1</v>
      </c>
      <c r="L3554" s="0">
        <v>4</v>
      </c>
      <c r="M3554" s="0">
        <v>1</v>
      </c>
      <c r="N3554" s="0">
        <v>0</v>
      </c>
      <c r="O3554" s="0">
        <v>0</v>
      </c>
      <c r="P3554" s="0">
        <v>0</v>
      </c>
      <c r="R3554" s="0" t="b">
        <v>0</v>
      </c>
      <c r="S3554" s="0" t="b">
        <v>1</v>
      </c>
      <c r="T3554" s="68">
        <v>45929.6971296296</v>
      </c>
      <c r="U3554" s="68">
        <v>45954.3333333333</v>
      </c>
      <c r="V3554" s="68">
        <v>0</v>
      </c>
      <c r="W3554" s="0">
        <f>IF(IF(B3554="none",1,IF(B3554="Trialer",1,0))+IF(C3554="Customer",1,IF(C3554="Lost",1,0))=2,1,0)</f>
      </c>
      <c r="X3554" s="0" t="s">
        <v>166</v>
      </c>
      <c r="Y3554" s="0" t="s">
        <v>243</v>
      </c>
      <c r="AV3554" s="68"/>
      <c r="AW3554" s="68"/>
      <c r="AY3554" s="27"/>
      <c r="BD3554" s="68">
        <v>46054.1666666667</v>
      </c>
      <c r="BE3554" s="68">
        <v>46082.1666666667</v>
      </c>
      <c r="BF3554" s="0" t="b">
        <v>0</v>
      </c>
      <c r="BG3554" s="0" t="b">
        <v>0</v>
      </c>
      <c r="BH3554" s="0">
        <v>61</v>
      </c>
      <c r="BI3554" s="0">
        <v>61</v>
      </c>
      <c r="BJ3554" s="0" t="s">
        <v>135</v>
      </c>
    </row>
    <row r="3555">
      <c r="A3555" s="0" t="s">
        <v>3808</v>
      </c>
      <c r="B3555" s="0" t="s">
        <v>134</v>
      </c>
      <c r="C3555" s="0" t="s">
        <v>190</v>
      </c>
      <c r="D3555" s="0" t="s">
        <v>135</v>
      </c>
      <c r="E3555" s="0" t="s">
        <v>3</v>
      </c>
      <c r="F3555" s="0" t="s">
        <v>12</v>
      </c>
      <c r="G3555" s="0" t="s">
        <v>8</v>
      </c>
      <c r="H3555" s="0">
        <v>123</v>
      </c>
      <c r="I3555" s="0">
        <v>28</v>
      </c>
      <c r="J3555" s="0">
        <v>0</v>
      </c>
      <c r="K3555" s="0">
        <v>1</v>
      </c>
      <c r="L3555" s="0">
        <v>1</v>
      </c>
      <c r="M3555" s="0">
        <v>1</v>
      </c>
      <c r="N3555" s="0">
        <v>0</v>
      </c>
      <c r="O3555" s="0">
        <v>0</v>
      </c>
      <c r="P3555" s="0">
        <v>0</v>
      </c>
      <c r="R3555" s="0" t="b">
        <v>0</v>
      </c>
      <c r="S3555" s="0" t="b">
        <v>0</v>
      </c>
      <c r="T3555" s="68">
        <v>45930.5913888889</v>
      </c>
      <c r="U3555" s="68">
        <v>45944.3333333333</v>
      </c>
      <c r="V3555" s="68">
        <v>46077.6675694444</v>
      </c>
      <c r="W3555" s="0">
        <f>IF(IF(B3555="none",1,IF(B3555="Trialer",1,0))+IF(C3555="Customer",1,IF(C3555="Lost",1,0))=2,1,0)</f>
      </c>
      <c r="X3555" s="0" t="s">
        <v>153</v>
      </c>
      <c r="Y3555" s="0" t="s">
        <v>243</v>
      </c>
      <c r="AV3555" s="68"/>
      <c r="AW3555" s="68"/>
      <c r="AY3555" s="27"/>
      <c r="BD3555" s="68">
        <v>46054.1666666667</v>
      </c>
      <c r="BE3555" s="68">
        <v>46082.1666666667</v>
      </c>
      <c r="BF3555" s="0" t="b">
        <v>0</v>
      </c>
      <c r="BG3555" s="0" t="b">
        <v>0</v>
      </c>
      <c r="BH3555" s="0">
        <v>28</v>
      </c>
      <c r="BI3555" s="0">
        <v>28</v>
      </c>
      <c r="BJ3555" s="0" t="s">
        <v>135</v>
      </c>
    </row>
    <row r="3556">
      <c r="A3556" s="0" t="s">
        <v>3809</v>
      </c>
      <c r="B3556" s="0" t="s">
        <v>134</v>
      </c>
      <c r="C3556" s="0" t="s">
        <v>134</v>
      </c>
      <c r="D3556" s="0" t="s">
        <v>135</v>
      </c>
      <c r="E3556" s="0" t="s">
        <v>3</v>
      </c>
      <c r="F3556" s="0" t="s">
        <v>12</v>
      </c>
      <c r="G3556" s="0" t="s">
        <v>8</v>
      </c>
      <c r="H3556" s="0">
        <v>123</v>
      </c>
      <c r="I3556" s="0">
        <v>208</v>
      </c>
      <c r="J3556" s="0">
        <v>0</v>
      </c>
      <c r="K3556" s="0">
        <v>1</v>
      </c>
      <c r="L3556" s="0">
        <v>4</v>
      </c>
      <c r="M3556" s="0">
        <v>4</v>
      </c>
      <c r="N3556" s="0">
        <v>0</v>
      </c>
      <c r="O3556" s="0">
        <v>0</v>
      </c>
      <c r="P3556" s="0">
        <v>0</v>
      </c>
      <c r="R3556" s="0" t="b">
        <v>0</v>
      </c>
      <c r="S3556" s="0" t="b">
        <v>1</v>
      </c>
      <c r="T3556" s="68">
        <v>45930.6122569444</v>
      </c>
      <c r="U3556" s="68">
        <v>45951.3333333333</v>
      </c>
      <c r="V3556" s="68">
        <v>0</v>
      </c>
      <c r="W3556" s="0">
        <f>IF(IF(B3556="none",1,IF(B3556="Trialer",1,0))+IF(C3556="Customer",1,IF(C3556="Lost",1,0))=2,1,0)</f>
      </c>
      <c r="X3556" s="0" t="s">
        <v>136</v>
      </c>
      <c r="Y3556" s="0" t="s">
        <v>243</v>
      </c>
      <c r="AV3556" s="68"/>
      <c r="AW3556" s="68"/>
      <c r="AY3556" s="27"/>
      <c r="BD3556" s="68">
        <v>46054.1666666667</v>
      </c>
      <c r="BE3556" s="68">
        <v>46082.1666666667</v>
      </c>
      <c r="BF3556" s="0" t="b">
        <v>0</v>
      </c>
      <c r="BG3556" s="0" t="b">
        <v>0</v>
      </c>
      <c r="BH3556" s="0">
        <v>236</v>
      </c>
      <c r="BI3556" s="0">
        <v>236</v>
      </c>
      <c r="BJ3556" s="0" t="s">
        <v>135</v>
      </c>
    </row>
    <row r="3557">
      <c r="A3557" s="0" t="s">
        <v>3810</v>
      </c>
      <c r="B3557" s="0" t="s">
        <v>134</v>
      </c>
      <c r="C3557" s="0" t="s">
        <v>134</v>
      </c>
      <c r="D3557" s="0" t="s">
        <v>230</v>
      </c>
      <c r="E3557" s="0" t="s">
        <v>2</v>
      </c>
      <c r="F3557" s="0" t="s">
        <v>12</v>
      </c>
      <c r="G3557" s="0" t="s">
        <v>8</v>
      </c>
      <c r="H3557" s="0">
        <v>123</v>
      </c>
      <c r="I3557" s="0">
        <v>595.75</v>
      </c>
      <c r="J3557" s="0">
        <v>0</v>
      </c>
      <c r="K3557" s="0">
        <v>1</v>
      </c>
      <c r="L3557" s="0">
        <v>5</v>
      </c>
      <c r="M3557" s="0">
        <v>7</v>
      </c>
      <c r="N3557" s="0">
        <v>697.5</v>
      </c>
      <c r="O3557" s="0">
        <v>0</v>
      </c>
      <c r="P3557" s="0">
        <v>-270.75</v>
      </c>
      <c r="R3557" s="0" t="b">
        <v>0</v>
      </c>
      <c r="S3557" s="0" t="b">
        <v>1</v>
      </c>
      <c r="T3557" s="68">
        <v>45930.6478009259</v>
      </c>
      <c r="U3557" s="68">
        <v>45939.3333333333</v>
      </c>
      <c r="V3557" s="68">
        <v>0</v>
      </c>
      <c r="W3557" s="0">
        <f>IF(IF(B3557="none",1,IF(B3557="Trialer",1,0))+IF(C3557="Customer",1,IF(C3557="Lost",1,0))=2,1,0)</f>
      </c>
      <c r="X3557" s="0" t="s">
        <v>136</v>
      </c>
      <c r="Y3557" s="0" t="s">
        <v>499</v>
      </c>
      <c r="AV3557" s="68"/>
      <c r="AW3557" s="68"/>
      <c r="AY3557" s="27"/>
      <c r="BD3557" s="68">
        <v>46054.1666666667</v>
      </c>
      <c r="BE3557" s="68">
        <v>46082.1666666667</v>
      </c>
      <c r="BF3557" s="0" t="b">
        <v>0</v>
      </c>
      <c r="BG3557" s="0" t="b">
        <v>0</v>
      </c>
      <c r="BH3557" s="0">
        <v>361</v>
      </c>
      <c r="BI3557" s="0">
        <v>361</v>
      </c>
      <c r="BJ3557" s="0" t="s">
        <v>230</v>
      </c>
    </row>
    <row r="3558">
      <c r="A3558" s="0" t="s">
        <v>3811</v>
      </c>
      <c r="B3558" s="0" t="s">
        <v>134</v>
      </c>
      <c r="C3558" s="0" t="s">
        <v>134</v>
      </c>
      <c r="D3558" s="0" t="s">
        <v>135</v>
      </c>
      <c r="E3558" s="0" t="s">
        <v>3</v>
      </c>
      <c r="F3558" s="0" t="s">
        <v>12</v>
      </c>
      <c r="G3558" s="0" t="s">
        <v>8</v>
      </c>
      <c r="H3558" s="0">
        <v>123</v>
      </c>
      <c r="I3558" s="0">
        <v>200</v>
      </c>
      <c r="J3558" s="0">
        <v>0</v>
      </c>
      <c r="K3558" s="0">
        <v>1</v>
      </c>
      <c r="L3558" s="0">
        <v>2</v>
      </c>
      <c r="M3558" s="0">
        <v>5</v>
      </c>
      <c r="N3558" s="0">
        <v>0</v>
      </c>
      <c r="O3558" s="0">
        <v>0</v>
      </c>
      <c r="P3558" s="0">
        <v>0</v>
      </c>
      <c r="R3558" s="0" t="b">
        <v>0</v>
      </c>
      <c r="S3558" s="0" t="b">
        <v>1</v>
      </c>
      <c r="T3558" s="68">
        <v>45930.6663078704</v>
      </c>
      <c r="U3558" s="68">
        <v>45944.3333333333</v>
      </c>
      <c r="V3558" s="68">
        <v>0</v>
      </c>
      <c r="W3558" s="0">
        <f>IF(IF(B3558="none",1,IF(B3558="Trialer",1,0))+IF(C3558="Customer",1,IF(C3558="Lost",1,0))=2,1,0)</f>
      </c>
      <c r="X3558" s="0" t="s">
        <v>136</v>
      </c>
      <c r="Y3558" s="0" t="s">
        <v>243</v>
      </c>
      <c r="AV3558" s="68"/>
      <c r="AW3558" s="68"/>
      <c r="AY3558" s="27"/>
      <c r="BD3558" s="68">
        <v>46054.1666666667</v>
      </c>
      <c r="BE3558" s="68">
        <v>46082.1666666667</v>
      </c>
      <c r="BF3558" s="0" t="b">
        <v>0</v>
      </c>
      <c r="BG3558" s="0" t="b">
        <v>0</v>
      </c>
      <c r="BH3558" s="0">
        <v>200</v>
      </c>
      <c r="BI3558" s="0">
        <v>200</v>
      </c>
      <c r="BJ3558" s="0" t="s">
        <v>135</v>
      </c>
    </row>
    <row r="3559">
      <c r="A3559" s="0" t="s">
        <v>3812</v>
      </c>
      <c r="B3559" s="0" t="s">
        <v>134</v>
      </c>
      <c r="C3559" s="0" t="s">
        <v>134</v>
      </c>
      <c r="D3559" s="0" t="s">
        <v>135</v>
      </c>
      <c r="E3559" s="0" t="s">
        <v>2</v>
      </c>
      <c r="F3559" s="0" t="s">
        <v>12</v>
      </c>
      <c r="G3559" s="0" t="s">
        <v>8</v>
      </c>
      <c r="H3559" s="0">
        <v>123</v>
      </c>
      <c r="I3559" s="0">
        <v>49</v>
      </c>
      <c r="J3559" s="0">
        <v>0</v>
      </c>
      <c r="K3559" s="0">
        <v>1</v>
      </c>
      <c r="L3559" s="0">
        <v>3</v>
      </c>
      <c r="M3559" s="0">
        <v>1</v>
      </c>
      <c r="N3559" s="0">
        <v>0</v>
      </c>
      <c r="O3559" s="0">
        <v>0</v>
      </c>
      <c r="P3559" s="0">
        <v>0</v>
      </c>
      <c r="R3559" s="0" t="b">
        <v>0</v>
      </c>
      <c r="S3559" s="0" t="b">
        <v>1</v>
      </c>
      <c r="T3559" s="68">
        <v>45930.7302430556</v>
      </c>
      <c r="U3559" s="68">
        <v>45959.3333333333</v>
      </c>
      <c r="V3559" s="68">
        <v>0</v>
      </c>
      <c r="W3559" s="0">
        <f>IF(IF(B3559="none",1,IF(B3559="Trialer",1,0))+IF(C3559="Customer",1,IF(C3559="Lost",1,0))=2,1,0)</f>
      </c>
      <c r="X3559" s="0" t="s">
        <v>153</v>
      </c>
      <c r="Y3559" s="0" t="s">
        <v>499</v>
      </c>
      <c r="AV3559" s="68"/>
      <c r="AW3559" s="68"/>
      <c r="AY3559" s="27"/>
      <c r="BD3559" s="68">
        <v>46054.1666666667</v>
      </c>
      <c r="BE3559" s="68">
        <v>46082.1666666667</v>
      </c>
      <c r="BF3559" s="0" t="b">
        <v>0</v>
      </c>
      <c r="BG3559" s="0" t="b">
        <v>0</v>
      </c>
      <c r="BH3559" s="0">
        <v>49</v>
      </c>
      <c r="BI3559" s="0">
        <v>49</v>
      </c>
      <c r="BJ3559" s="0" t="s">
        <v>135</v>
      </c>
    </row>
    <row r="3560">
      <c r="A3560" s="0" t="s">
        <v>3813</v>
      </c>
      <c r="B3560" s="0" t="s">
        <v>134</v>
      </c>
      <c r="C3560" s="0" t="s">
        <v>134</v>
      </c>
      <c r="D3560" s="0" t="s">
        <v>230</v>
      </c>
      <c r="E3560" s="0" t="s">
        <v>3</v>
      </c>
      <c r="F3560" s="0" t="s">
        <v>12</v>
      </c>
      <c r="G3560" s="0" t="s">
        <v>8</v>
      </c>
      <c r="H3560" s="0">
        <v>123</v>
      </c>
      <c r="I3560" s="0">
        <v>182</v>
      </c>
      <c r="J3560" s="0">
        <v>0</v>
      </c>
      <c r="K3560" s="0">
        <v>1</v>
      </c>
      <c r="L3560" s="0">
        <v>5</v>
      </c>
      <c r="M3560" s="0">
        <v>3</v>
      </c>
      <c r="N3560" s="0">
        <v>0</v>
      </c>
      <c r="O3560" s="0">
        <v>0</v>
      </c>
      <c r="P3560" s="0">
        <v>-182</v>
      </c>
      <c r="R3560" s="0" t="b">
        <v>0</v>
      </c>
      <c r="S3560" s="0" t="b">
        <v>1</v>
      </c>
      <c r="T3560" s="68">
        <v>45930.8488194444</v>
      </c>
      <c r="U3560" s="68">
        <v>45944.3333333333</v>
      </c>
      <c r="V3560" s="68">
        <v>0</v>
      </c>
      <c r="W3560" s="0">
        <f>IF(IF(B3560="none",1,IF(B3560="Trialer",1,0))+IF(C3560="Customer",1,IF(C3560="Lost",1,0))=2,1,0)</f>
      </c>
      <c r="X3560" s="0" t="s">
        <v>153</v>
      </c>
      <c r="Y3560" s="0" t="s">
        <v>243</v>
      </c>
      <c r="AV3560" s="68"/>
      <c r="AW3560" s="68"/>
      <c r="AY3560" s="27"/>
      <c r="BD3560" s="68">
        <v>46054.1666666667</v>
      </c>
      <c r="BE3560" s="68">
        <v>46082.1666666667</v>
      </c>
      <c r="BF3560" s="0" t="b">
        <v>0</v>
      </c>
      <c r="BG3560" s="0" t="b">
        <v>0</v>
      </c>
      <c r="BH3560" s="0">
        <v>207</v>
      </c>
      <c r="BI3560" s="0">
        <v>207</v>
      </c>
      <c r="BJ3560" s="0" t="s">
        <v>230</v>
      </c>
    </row>
    <row r="3561">
      <c r="A3561" s="0" t="s">
        <v>3814</v>
      </c>
      <c r="B3561" s="0" t="s">
        <v>134</v>
      </c>
      <c r="C3561" s="0" t="s">
        <v>134</v>
      </c>
      <c r="D3561" s="0" t="s">
        <v>135</v>
      </c>
      <c r="E3561" s="0" t="s">
        <v>3</v>
      </c>
      <c r="F3561" s="0" t="s">
        <v>12</v>
      </c>
      <c r="G3561" s="0" t="s">
        <v>8</v>
      </c>
      <c r="H3561" s="0">
        <v>122</v>
      </c>
      <c r="I3561" s="0">
        <v>49</v>
      </c>
      <c r="J3561" s="0">
        <v>0</v>
      </c>
      <c r="K3561" s="0">
        <v>1</v>
      </c>
      <c r="L3561" s="0">
        <v>3</v>
      </c>
      <c r="M3561" s="0">
        <v>1</v>
      </c>
      <c r="N3561" s="0">
        <v>0</v>
      </c>
      <c r="O3561" s="0">
        <v>0</v>
      </c>
      <c r="P3561" s="0">
        <v>0</v>
      </c>
      <c r="R3561" s="0" t="b">
        <v>0</v>
      </c>
      <c r="S3561" s="0" t="b">
        <v>1</v>
      </c>
      <c r="T3561" s="68">
        <v>45931.2993402778</v>
      </c>
      <c r="U3561" s="68">
        <v>45951.3333333333</v>
      </c>
      <c r="V3561" s="68">
        <v>0</v>
      </c>
      <c r="W3561" s="0">
        <f>IF(IF(B3561="none",1,IF(B3561="Trialer",1,0))+IF(C3561="Customer",1,IF(C3561="Lost",1,0))=2,1,0)</f>
      </c>
      <c r="X3561" s="0" t="s">
        <v>153</v>
      </c>
      <c r="Y3561" s="0" t="s">
        <v>243</v>
      </c>
      <c r="AV3561" s="68"/>
      <c r="AW3561" s="68"/>
      <c r="AY3561" s="27"/>
      <c r="BD3561" s="68">
        <v>46054.1666666667</v>
      </c>
      <c r="BE3561" s="68">
        <v>46082.1666666667</v>
      </c>
      <c r="BF3561" s="0" t="b">
        <v>0</v>
      </c>
      <c r="BG3561" s="0" t="b">
        <v>0</v>
      </c>
      <c r="BH3561" s="0">
        <v>49</v>
      </c>
      <c r="BI3561" s="0">
        <v>49</v>
      </c>
      <c r="BJ3561" s="0" t="s">
        <v>135</v>
      </c>
    </row>
    <row r="3562">
      <c r="A3562" s="0" t="s">
        <v>3815</v>
      </c>
      <c r="B3562" s="0" t="s">
        <v>134</v>
      </c>
      <c r="C3562" s="0" t="s">
        <v>134</v>
      </c>
      <c r="D3562" s="0" t="s">
        <v>230</v>
      </c>
      <c r="E3562" s="0" t="s">
        <v>3</v>
      </c>
      <c r="F3562" s="0" t="s">
        <v>12</v>
      </c>
      <c r="G3562" s="0" t="s">
        <v>8</v>
      </c>
      <c r="H3562" s="0">
        <v>122</v>
      </c>
      <c r="I3562" s="0">
        <v>118</v>
      </c>
      <c r="J3562" s="0">
        <v>0</v>
      </c>
      <c r="K3562" s="0">
        <v>1</v>
      </c>
      <c r="L3562" s="0">
        <v>5</v>
      </c>
      <c r="M3562" s="0">
        <v>2</v>
      </c>
      <c r="N3562" s="0">
        <v>0</v>
      </c>
      <c r="O3562" s="0">
        <v>0</v>
      </c>
      <c r="P3562" s="0">
        <v>-118</v>
      </c>
      <c r="R3562" s="0" t="b">
        <v>0</v>
      </c>
      <c r="S3562" s="0" t="b">
        <v>1</v>
      </c>
      <c r="T3562" s="68">
        <v>45931.4025578704</v>
      </c>
      <c r="U3562" s="68">
        <v>45946.3333333333</v>
      </c>
      <c r="V3562" s="68">
        <v>0</v>
      </c>
      <c r="W3562" s="0">
        <f>IF(IF(B3562="none",1,IF(B3562="Trialer",1,0))+IF(C3562="Customer",1,IF(C3562="Lost",1,0))=2,1,0)</f>
      </c>
      <c r="X3562" s="0" t="s">
        <v>142</v>
      </c>
      <c r="Y3562" s="0" t="s">
        <v>243</v>
      </c>
      <c r="AV3562" s="68"/>
      <c r="AW3562" s="68"/>
      <c r="AY3562" s="27"/>
      <c r="BD3562" s="68">
        <v>46054.1666666667</v>
      </c>
      <c r="BE3562" s="68">
        <v>46082.1666666667</v>
      </c>
      <c r="BF3562" s="0" t="b">
        <v>0</v>
      </c>
      <c r="BG3562" s="0" t="b">
        <v>0</v>
      </c>
      <c r="BH3562" s="0">
        <v>134</v>
      </c>
      <c r="BI3562" s="0">
        <v>134</v>
      </c>
      <c r="BJ3562" s="0" t="s">
        <v>230</v>
      </c>
    </row>
    <row r="3563">
      <c r="A3563" s="0" t="s">
        <v>3816</v>
      </c>
      <c r="B3563" s="0" t="s">
        <v>134</v>
      </c>
      <c r="C3563" s="0" t="s">
        <v>134</v>
      </c>
      <c r="D3563" s="0" t="s">
        <v>135</v>
      </c>
      <c r="E3563" s="0" t="s">
        <v>3</v>
      </c>
      <c r="F3563" s="0" t="s">
        <v>12</v>
      </c>
      <c r="G3563" s="0" t="s">
        <v>8</v>
      </c>
      <c r="H3563" s="0">
        <v>122</v>
      </c>
      <c r="I3563" s="0">
        <v>49</v>
      </c>
      <c r="J3563" s="0">
        <v>0</v>
      </c>
      <c r="K3563" s="0">
        <v>1</v>
      </c>
      <c r="L3563" s="0">
        <v>3</v>
      </c>
      <c r="M3563" s="0">
        <v>1</v>
      </c>
      <c r="N3563" s="0">
        <v>0</v>
      </c>
      <c r="O3563" s="0">
        <v>0</v>
      </c>
      <c r="P3563" s="0">
        <v>0</v>
      </c>
      <c r="R3563" s="0" t="b">
        <v>0</v>
      </c>
      <c r="S3563" s="0" t="b">
        <v>1</v>
      </c>
      <c r="T3563" s="68">
        <v>45931.6715277778</v>
      </c>
      <c r="U3563" s="68">
        <v>45945.3333333333</v>
      </c>
      <c r="V3563" s="68">
        <v>0</v>
      </c>
      <c r="W3563" s="0">
        <f>IF(IF(B3563="none",1,IF(B3563="Trialer",1,0))+IF(C3563="Customer",1,IF(C3563="Lost",1,0))=2,1,0)</f>
      </c>
      <c r="X3563" s="0" t="s">
        <v>166</v>
      </c>
      <c r="Y3563" s="0" t="s">
        <v>243</v>
      </c>
      <c r="AV3563" s="68"/>
      <c r="AW3563" s="68"/>
      <c r="AY3563" s="27"/>
      <c r="BD3563" s="68">
        <v>46054.1666666667</v>
      </c>
      <c r="BE3563" s="68">
        <v>46082.1666666667</v>
      </c>
      <c r="BF3563" s="0" t="b">
        <v>0</v>
      </c>
      <c r="BG3563" s="0" t="b">
        <v>0</v>
      </c>
      <c r="BH3563" s="0">
        <v>49</v>
      </c>
      <c r="BI3563" s="0">
        <v>49</v>
      </c>
      <c r="BJ3563" s="0" t="s">
        <v>135</v>
      </c>
    </row>
    <row r="3564">
      <c r="A3564" s="0" t="s">
        <v>3817</v>
      </c>
      <c r="B3564" s="0" t="s">
        <v>134</v>
      </c>
      <c r="C3564" s="0" t="s">
        <v>134</v>
      </c>
      <c r="D3564" s="0" t="s">
        <v>135</v>
      </c>
      <c r="E3564" s="0" t="s">
        <v>3</v>
      </c>
      <c r="F3564" s="0" t="s">
        <v>12</v>
      </c>
      <c r="G3564" s="0" t="s">
        <v>8</v>
      </c>
      <c r="H3564" s="0">
        <v>122</v>
      </c>
      <c r="I3564" s="0">
        <v>115</v>
      </c>
      <c r="J3564" s="0">
        <v>0</v>
      </c>
      <c r="K3564" s="0">
        <v>1</v>
      </c>
      <c r="L3564" s="0">
        <v>4</v>
      </c>
      <c r="M3564" s="0">
        <v>4</v>
      </c>
      <c r="N3564" s="0">
        <v>0</v>
      </c>
      <c r="O3564" s="0">
        <v>0</v>
      </c>
      <c r="P3564" s="0">
        <v>0</v>
      </c>
      <c r="R3564" s="0" t="b">
        <v>0</v>
      </c>
      <c r="S3564" s="0" t="b">
        <v>1</v>
      </c>
      <c r="T3564" s="68">
        <v>45931.7197685185</v>
      </c>
      <c r="U3564" s="68">
        <v>46000.2916666667</v>
      </c>
      <c r="V3564" s="68">
        <v>0</v>
      </c>
      <c r="W3564" s="0">
        <f>IF(IF(B3564="none",1,IF(B3564="Trialer",1,0))+IF(C3564="Customer",1,IF(C3564="Lost",1,0))=2,1,0)</f>
      </c>
      <c r="X3564" s="0" t="s">
        <v>882</v>
      </c>
      <c r="Y3564" s="0" t="s">
        <v>243</v>
      </c>
      <c r="AV3564" s="68"/>
      <c r="AW3564" s="68"/>
      <c r="AY3564" s="27"/>
      <c r="BD3564" s="68">
        <v>46054.1666666667</v>
      </c>
      <c r="BE3564" s="68">
        <v>46082.1666666667</v>
      </c>
      <c r="BF3564" s="0" t="b">
        <v>0</v>
      </c>
      <c r="BG3564" s="0" t="b">
        <v>0</v>
      </c>
      <c r="BH3564" s="0">
        <v>164</v>
      </c>
      <c r="BI3564" s="0">
        <v>164</v>
      </c>
      <c r="BJ3564" s="0" t="s">
        <v>135</v>
      </c>
    </row>
    <row r="3565">
      <c r="A3565" s="0" t="s">
        <v>3818</v>
      </c>
      <c r="B3565" s="0" t="s">
        <v>134</v>
      </c>
      <c r="C3565" s="0" t="s">
        <v>134</v>
      </c>
      <c r="D3565" s="0" t="s">
        <v>230</v>
      </c>
      <c r="E3565" s="0" t="s">
        <v>3</v>
      </c>
      <c r="F3565" s="0" t="s">
        <v>12</v>
      </c>
      <c r="G3565" s="0" t="s">
        <v>8</v>
      </c>
      <c r="H3565" s="0">
        <v>122</v>
      </c>
      <c r="I3565" s="0">
        <v>54</v>
      </c>
      <c r="J3565" s="0">
        <v>0</v>
      </c>
      <c r="K3565" s="0">
        <v>1</v>
      </c>
      <c r="L3565" s="0">
        <v>4</v>
      </c>
      <c r="M3565" s="0">
        <v>1</v>
      </c>
      <c r="N3565" s="0">
        <v>0</v>
      </c>
      <c r="O3565" s="0">
        <v>0</v>
      </c>
      <c r="P3565" s="0">
        <v>-54</v>
      </c>
      <c r="R3565" s="0" t="b">
        <v>0</v>
      </c>
      <c r="S3565" s="0" t="b">
        <v>1</v>
      </c>
      <c r="T3565" s="68">
        <v>45931.7833217593</v>
      </c>
      <c r="U3565" s="68">
        <v>45974.2916666667</v>
      </c>
      <c r="V3565" s="68">
        <v>0</v>
      </c>
      <c r="W3565" s="0">
        <f>IF(IF(B3565="none",1,IF(B3565="Trialer",1,0))+IF(C3565="Customer",1,IF(C3565="Lost",1,0))=2,1,0)</f>
      </c>
      <c r="X3565" s="0" t="s">
        <v>142</v>
      </c>
      <c r="Y3565" s="0" t="s">
        <v>243</v>
      </c>
      <c r="AV3565" s="68"/>
      <c r="AW3565" s="68"/>
      <c r="AY3565" s="27"/>
      <c r="BD3565" s="68">
        <v>46054.1666666667</v>
      </c>
      <c r="BE3565" s="68">
        <v>46082.1666666667</v>
      </c>
      <c r="BF3565" s="0" t="b">
        <v>0</v>
      </c>
      <c r="BG3565" s="0" t="b">
        <v>0</v>
      </c>
      <c r="BH3565" s="0">
        <v>61</v>
      </c>
      <c r="BI3565" s="0">
        <v>61</v>
      </c>
      <c r="BJ3565" s="0" t="s">
        <v>230</v>
      </c>
    </row>
    <row r="3566">
      <c r="A3566" s="0" t="s">
        <v>3819</v>
      </c>
      <c r="B3566" s="0" t="s">
        <v>134</v>
      </c>
      <c r="C3566" s="0" t="s">
        <v>134</v>
      </c>
      <c r="D3566" s="0" t="s">
        <v>135</v>
      </c>
      <c r="E3566" s="0" t="s">
        <v>2</v>
      </c>
      <c r="F3566" s="0" t="s">
        <v>12</v>
      </c>
      <c r="G3566" s="0" t="s">
        <v>8</v>
      </c>
      <c r="H3566" s="0">
        <v>121</v>
      </c>
      <c r="I3566" s="0">
        <v>864</v>
      </c>
      <c r="J3566" s="0">
        <v>0</v>
      </c>
      <c r="K3566" s="0">
        <v>1</v>
      </c>
      <c r="L3566" s="0">
        <v>3</v>
      </c>
      <c r="M3566" s="0">
        <v>11</v>
      </c>
      <c r="N3566" s="0">
        <v>558</v>
      </c>
      <c r="O3566" s="0">
        <v>0</v>
      </c>
      <c r="P3566" s="0">
        <v>0</v>
      </c>
      <c r="R3566" s="0" t="b">
        <v>0</v>
      </c>
      <c r="S3566" s="0" t="b">
        <v>1</v>
      </c>
      <c r="T3566" s="68">
        <v>45932.5136689815</v>
      </c>
      <c r="U3566" s="68">
        <v>45933.3333333333</v>
      </c>
      <c r="V3566" s="68">
        <v>0</v>
      </c>
      <c r="W3566" s="0">
        <f>IF(IF(B3566="none",1,IF(B3566="Trialer",1,0))+IF(C3566="Customer",1,IF(C3566="Lost",1,0))=2,1,0)</f>
      </c>
      <c r="X3566" s="0" t="s">
        <v>148</v>
      </c>
      <c r="Y3566" s="0" t="s">
        <v>499</v>
      </c>
      <c r="AV3566" s="68"/>
      <c r="AW3566" s="68"/>
      <c r="AY3566" s="27"/>
      <c r="BD3566" s="68">
        <v>46054.1666666667</v>
      </c>
      <c r="BE3566" s="68">
        <v>46082.1666666667</v>
      </c>
      <c r="BF3566" s="0" t="b">
        <v>0</v>
      </c>
      <c r="BG3566" s="0" t="b">
        <v>0</v>
      </c>
      <c r="BH3566" s="0">
        <v>539</v>
      </c>
      <c r="BI3566" s="0">
        <v>539</v>
      </c>
      <c r="BJ3566" s="0" t="s">
        <v>135</v>
      </c>
    </row>
    <row r="3567">
      <c r="A3567" s="0" t="s">
        <v>3820</v>
      </c>
      <c r="B3567" s="0" t="s">
        <v>134</v>
      </c>
      <c r="C3567" s="0" t="s">
        <v>134</v>
      </c>
      <c r="D3567" s="0" t="s">
        <v>135</v>
      </c>
      <c r="E3567" s="0" t="s">
        <v>3</v>
      </c>
      <c r="F3567" s="0" t="s">
        <v>12</v>
      </c>
      <c r="G3567" s="0" t="s">
        <v>8</v>
      </c>
      <c r="H3567" s="0">
        <v>121</v>
      </c>
      <c r="I3567" s="0">
        <v>49</v>
      </c>
      <c r="J3567" s="0">
        <v>0</v>
      </c>
      <c r="K3567" s="0">
        <v>1</v>
      </c>
      <c r="L3567" s="0">
        <v>3</v>
      </c>
      <c r="M3567" s="0">
        <v>1</v>
      </c>
      <c r="N3567" s="0">
        <v>0</v>
      </c>
      <c r="O3567" s="0">
        <v>0</v>
      </c>
      <c r="P3567" s="0">
        <v>0</v>
      </c>
      <c r="R3567" s="0" t="b">
        <v>0</v>
      </c>
      <c r="S3567" s="0" t="b">
        <v>0</v>
      </c>
      <c r="T3567" s="68">
        <v>45932.6908912037</v>
      </c>
      <c r="U3567" s="68">
        <v>45954.3333333333</v>
      </c>
      <c r="V3567" s="68">
        <v>46090.4957060185</v>
      </c>
      <c r="W3567" s="0">
        <f>IF(IF(B3567="none",1,IF(B3567="Trialer",1,0))+IF(C3567="Customer",1,IF(C3567="Lost",1,0))=2,1,0)</f>
      </c>
      <c r="X3567" s="0" t="s">
        <v>153</v>
      </c>
      <c r="Y3567" s="0" t="s">
        <v>243</v>
      </c>
      <c r="AV3567" s="68"/>
      <c r="AW3567" s="68"/>
      <c r="AY3567" s="27"/>
      <c r="BD3567" s="68">
        <v>46054.1666666667</v>
      </c>
      <c r="BE3567" s="68">
        <v>46082.1666666667</v>
      </c>
      <c r="BF3567" s="0" t="b">
        <v>0</v>
      </c>
      <c r="BG3567" s="0" t="b">
        <v>0</v>
      </c>
      <c r="BH3567" s="0">
        <v>49</v>
      </c>
      <c r="BI3567" s="0">
        <v>49</v>
      </c>
      <c r="BJ3567" s="0" t="s">
        <v>135</v>
      </c>
    </row>
    <row r="3568">
      <c r="A3568" s="0" t="s">
        <v>3821</v>
      </c>
      <c r="B3568" s="0" t="s">
        <v>134</v>
      </c>
      <c r="C3568" s="0" t="s">
        <v>134</v>
      </c>
      <c r="D3568" s="0" t="s">
        <v>230</v>
      </c>
      <c r="E3568" s="0" t="s">
        <v>3</v>
      </c>
      <c r="F3568" s="0" t="s">
        <v>12</v>
      </c>
      <c r="G3568" s="0" t="s">
        <v>8</v>
      </c>
      <c r="H3568" s="0">
        <v>121</v>
      </c>
      <c r="I3568" s="0">
        <v>216</v>
      </c>
      <c r="J3568" s="0">
        <v>0</v>
      </c>
      <c r="K3568" s="0">
        <v>1</v>
      </c>
      <c r="L3568" s="0">
        <v>4</v>
      </c>
      <c r="M3568" s="0">
        <v>4</v>
      </c>
      <c r="N3568" s="0">
        <v>0</v>
      </c>
      <c r="O3568" s="0">
        <v>0</v>
      </c>
      <c r="P3568" s="0">
        <v>-216</v>
      </c>
      <c r="R3568" s="0" t="b">
        <v>0</v>
      </c>
      <c r="S3568" s="0" t="b">
        <v>1</v>
      </c>
      <c r="T3568" s="68">
        <v>45932.7237962963</v>
      </c>
      <c r="U3568" s="68">
        <v>45957.3333333333</v>
      </c>
      <c r="V3568" s="68">
        <v>0</v>
      </c>
      <c r="W3568" s="0">
        <f>IF(IF(B3568="none",1,IF(B3568="Trialer",1,0))+IF(C3568="Customer",1,IF(C3568="Lost",1,0))=2,1,0)</f>
      </c>
      <c r="X3568" s="0" t="s">
        <v>136</v>
      </c>
      <c r="Y3568" s="0" t="s">
        <v>243</v>
      </c>
      <c r="AV3568" s="68"/>
      <c r="AW3568" s="68"/>
      <c r="AY3568" s="27"/>
      <c r="BD3568" s="68">
        <v>46054.1666666667</v>
      </c>
      <c r="BE3568" s="68">
        <v>46082.1666666667</v>
      </c>
      <c r="BF3568" s="0" t="b">
        <v>0</v>
      </c>
      <c r="BG3568" s="0" t="b">
        <v>0</v>
      </c>
      <c r="BH3568" s="0">
        <v>244</v>
      </c>
      <c r="BI3568" s="0">
        <v>244</v>
      </c>
      <c r="BJ3568" s="0" t="s">
        <v>230</v>
      </c>
    </row>
    <row r="3569">
      <c r="A3569" s="0" t="s">
        <v>3822</v>
      </c>
      <c r="B3569" s="0" t="s">
        <v>134</v>
      </c>
      <c r="C3569" s="0" t="s">
        <v>134</v>
      </c>
      <c r="D3569" s="0" t="s">
        <v>135</v>
      </c>
      <c r="E3569" s="0" t="s">
        <v>2</v>
      </c>
      <c r="F3569" s="0" t="s">
        <v>12</v>
      </c>
      <c r="G3569" s="0" t="s">
        <v>8</v>
      </c>
      <c r="H3569" s="0">
        <v>120</v>
      </c>
      <c r="I3569" s="0">
        <v>61</v>
      </c>
      <c r="J3569" s="0">
        <v>0</v>
      </c>
      <c r="K3569" s="0">
        <v>1</v>
      </c>
      <c r="L3569" s="0">
        <v>4</v>
      </c>
      <c r="M3569" s="0">
        <v>1</v>
      </c>
      <c r="N3569" s="0">
        <v>0</v>
      </c>
      <c r="O3569" s="0">
        <v>0</v>
      </c>
      <c r="P3569" s="0">
        <v>0</v>
      </c>
      <c r="R3569" s="0" t="b">
        <v>0</v>
      </c>
      <c r="S3569" s="0" t="b">
        <v>1</v>
      </c>
      <c r="T3569" s="68">
        <v>45933.5284953704</v>
      </c>
      <c r="U3569" s="68">
        <v>45947.3333333333</v>
      </c>
      <c r="V3569" s="68">
        <v>0</v>
      </c>
      <c r="W3569" s="0">
        <f>IF(IF(B3569="none",1,IF(B3569="Trialer",1,0))+IF(C3569="Customer",1,IF(C3569="Lost",1,0))=2,1,0)</f>
      </c>
      <c r="X3569" s="0" t="s">
        <v>166</v>
      </c>
      <c r="Y3569" s="0" t="s">
        <v>499</v>
      </c>
      <c r="AV3569" s="68"/>
      <c r="AW3569" s="68"/>
      <c r="AY3569" s="27"/>
      <c r="BD3569" s="68">
        <v>46054.1666666667</v>
      </c>
      <c r="BE3569" s="68">
        <v>46082.1666666667</v>
      </c>
      <c r="BF3569" s="0" t="b">
        <v>0</v>
      </c>
      <c r="BG3569" s="0" t="b">
        <v>0</v>
      </c>
      <c r="BH3569" s="0">
        <v>61</v>
      </c>
      <c r="BI3569" s="0">
        <v>61</v>
      </c>
      <c r="BJ3569" s="0" t="s">
        <v>135</v>
      </c>
    </row>
    <row r="3570">
      <c r="A3570" s="0" t="s">
        <v>3823</v>
      </c>
      <c r="B3570" s="0" t="s">
        <v>134</v>
      </c>
      <c r="C3570" s="0" t="s">
        <v>134</v>
      </c>
      <c r="D3570" s="0" t="s">
        <v>230</v>
      </c>
      <c r="E3570" s="0" t="s">
        <v>2</v>
      </c>
      <c r="F3570" s="0" t="s">
        <v>12</v>
      </c>
      <c r="G3570" s="0" t="s">
        <v>8</v>
      </c>
      <c r="H3570" s="0">
        <v>120</v>
      </c>
      <c r="I3570" s="0">
        <v>226</v>
      </c>
      <c r="J3570" s="0">
        <v>0</v>
      </c>
      <c r="K3570" s="0">
        <v>1</v>
      </c>
      <c r="L3570" s="0">
        <v>5</v>
      </c>
      <c r="M3570" s="0">
        <v>5</v>
      </c>
      <c r="N3570" s="0">
        <v>0</v>
      </c>
      <c r="O3570" s="0">
        <v>0</v>
      </c>
      <c r="P3570" s="0">
        <v>2486</v>
      </c>
      <c r="R3570" s="0" t="b">
        <v>0</v>
      </c>
      <c r="S3570" s="0" t="b">
        <v>1</v>
      </c>
      <c r="T3570" s="68">
        <v>45933.551412037</v>
      </c>
      <c r="U3570" s="68">
        <v>45960.3333333333</v>
      </c>
      <c r="V3570" s="68">
        <v>0</v>
      </c>
      <c r="W3570" s="0">
        <f>IF(IF(B3570="none",1,IF(B3570="Trialer",1,0))+IF(C3570="Customer",1,IF(C3570="Lost",1,0))=2,1,0)</f>
      </c>
      <c r="X3570" s="0" t="s">
        <v>1461</v>
      </c>
      <c r="Y3570" s="0" t="s">
        <v>499</v>
      </c>
      <c r="AV3570" s="68"/>
      <c r="AW3570" s="68"/>
      <c r="AY3570" s="27"/>
      <c r="BD3570" s="68">
        <v>46054.1666666667</v>
      </c>
      <c r="BE3570" s="68">
        <v>46082.1666666667</v>
      </c>
      <c r="BF3570" s="0" t="b">
        <v>0</v>
      </c>
      <c r="BG3570" s="0" t="b">
        <v>0</v>
      </c>
      <c r="BH3570" s="0">
        <v>254</v>
      </c>
      <c r="BI3570" s="0">
        <v>254</v>
      </c>
      <c r="BJ3570" s="0" t="s">
        <v>230</v>
      </c>
    </row>
    <row r="3571">
      <c r="A3571" s="0" t="s">
        <v>3824</v>
      </c>
      <c r="B3571" s="0" t="s">
        <v>134</v>
      </c>
      <c r="C3571" s="0" t="s">
        <v>134</v>
      </c>
      <c r="D3571" s="0" t="s">
        <v>135</v>
      </c>
      <c r="E3571" s="0" t="s">
        <v>3</v>
      </c>
      <c r="F3571" s="0" t="s">
        <v>12</v>
      </c>
      <c r="G3571" s="0" t="s">
        <v>8</v>
      </c>
      <c r="H3571" s="0">
        <v>119</v>
      </c>
      <c r="I3571" s="0">
        <v>160</v>
      </c>
      <c r="J3571" s="0">
        <v>0</v>
      </c>
      <c r="K3571" s="0">
        <v>1</v>
      </c>
      <c r="L3571" s="0">
        <v>3</v>
      </c>
      <c r="M3571" s="0">
        <v>4</v>
      </c>
      <c r="N3571" s="0">
        <v>0</v>
      </c>
      <c r="O3571" s="0">
        <v>0</v>
      </c>
      <c r="P3571" s="0">
        <v>0</v>
      </c>
      <c r="R3571" s="0" t="b">
        <v>0</v>
      </c>
      <c r="S3571" s="0" t="b">
        <v>1</v>
      </c>
      <c r="T3571" s="68">
        <v>45934.4879282407</v>
      </c>
      <c r="U3571" s="68">
        <v>45949.3333333333</v>
      </c>
      <c r="V3571" s="68">
        <v>0</v>
      </c>
      <c r="W3571" s="0">
        <f>IF(IF(B3571="none",1,IF(B3571="Trialer",1,0))+IF(C3571="Customer",1,IF(C3571="Lost",1,0))=2,1,0)</f>
      </c>
      <c r="X3571" s="0" t="s">
        <v>136</v>
      </c>
      <c r="Y3571" s="0" t="s">
        <v>243</v>
      </c>
      <c r="AV3571" s="68"/>
      <c r="AW3571" s="68"/>
      <c r="AY3571" s="27"/>
      <c r="BD3571" s="68">
        <v>46054.1666666667</v>
      </c>
      <c r="BE3571" s="68">
        <v>46082.1666666667</v>
      </c>
      <c r="BF3571" s="0" t="b">
        <v>0</v>
      </c>
      <c r="BG3571" s="0" t="b">
        <v>0</v>
      </c>
      <c r="BH3571" s="0">
        <v>160</v>
      </c>
      <c r="BI3571" s="0">
        <v>160</v>
      </c>
      <c r="BJ3571" s="0" t="s">
        <v>135</v>
      </c>
    </row>
    <row r="3572">
      <c r="A3572" s="0" t="s">
        <v>3825</v>
      </c>
      <c r="B3572" s="0" t="s">
        <v>134</v>
      </c>
      <c r="C3572" s="0" t="s">
        <v>134</v>
      </c>
      <c r="D3572" s="0" t="s">
        <v>230</v>
      </c>
      <c r="E3572" s="0" t="s">
        <v>3</v>
      </c>
      <c r="F3572" s="0" t="s">
        <v>12</v>
      </c>
      <c r="G3572" s="0" t="s">
        <v>8</v>
      </c>
      <c r="H3572" s="0">
        <v>118</v>
      </c>
      <c r="I3572" s="0">
        <v>64</v>
      </c>
      <c r="J3572" s="0">
        <v>0</v>
      </c>
      <c r="K3572" s="0">
        <v>1</v>
      </c>
      <c r="L3572" s="0">
        <v>5</v>
      </c>
      <c r="M3572" s="0">
        <v>1</v>
      </c>
      <c r="N3572" s="0">
        <v>0</v>
      </c>
      <c r="O3572" s="0">
        <v>0</v>
      </c>
      <c r="P3572" s="0">
        <v>-64</v>
      </c>
      <c r="R3572" s="0" t="b">
        <v>0</v>
      </c>
      <c r="S3572" s="0" t="b">
        <v>1</v>
      </c>
      <c r="T3572" s="68">
        <v>45935.9062268519</v>
      </c>
      <c r="U3572" s="68">
        <v>45950.3333333333</v>
      </c>
      <c r="V3572" s="68">
        <v>0</v>
      </c>
      <c r="W3572" s="0">
        <f>IF(IF(B3572="none",1,IF(B3572="Trialer",1,0))+IF(C3572="Customer",1,IF(C3572="Lost",1,0))=2,1,0)</f>
      </c>
      <c r="X3572" s="0" t="s">
        <v>166</v>
      </c>
      <c r="Y3572" s="0" t="s">
        <v>243</v>
      </c>
      <c r="AV3572" s="68"/>
      <c r="AW3572" s="68"/>
      <c r="AY3572" s="27"/>
      <c r="BD3572" s="68">
        <v>46054.1666666667</v>
      </c>
      <c r="BE3572" s="68">
        <v>46082.1666666667</v>
      </c>
      <c r="BF3572" s="0" t="b">
        <v>0</v>
      </c>
      <c r="BG3572" s="0" t="b">
        <v>0</v>
      </c>
      <c r="BH3572" s="0">
        <v>73</v>
      </c>
      <c r="BI3572" s="0">
        <v>73</v>
      </c>
      <c r="BJ3572" s="0" t="s">
        <v>230</v>
      </c>
    </row>
    <row r="3573">
      <c r="A3573" s="0" t="s">
        <v>3826</v>
      </c>
      <c r="B3573" s="0" t="s">
        <v>134</v>
      </c>
      <c r="C3573" s="0" t="s">
        <v>134</v>
      </c>
      <c r="D3573" s="0" t="s">
        <v>135</v>
      </c>
      <c r="E3573" s="0" t="s">
        <v>2</v>
      </c>
      <c r="F3573" s="0" t="s">
        <v>12</v>
      </c>
      <c r="G3573" s="0" t="s">
        <v>8</v>
      </c>
      <c r="H3573" s="0">
        <v>117</v>
      </c>
      <c r="I3573" s="0">
        <v>1452</v>
      </c>
      <c r="J3573" s="0">
        <v>0</v>
      </c>
      <c r="K3573" s="0">
        <v>1</v>
      </c>
      <c r="L3573" s="0">
        <v>3</v>
      </c>
      <c r="M3573" s="0">
        <v>23</v>
      </c>
      <c r="N3573" s="0">
        <v>697.5</v>
      </c>
      <c r="O3573" s="0">
        <v>0</v>
      </c>
      <c r="P3573" s="0">
        <v>0</v>
      </c>
      <c r="R3573" s="0" t="b">
        <v>0</v>
      </c>
      <c r="S3573" s="0" t="b">
        <v>1</v>
      </c>
      <c r="T3573" s="68">
        <v>45936.473900463</v>
      </c>
      <c r="U3573" s="68">
        <v>45953.3333333333</v>
      </c>
      <c r="V3573" s="68">
        <v>0</v>
      </c>
      <c r="W3573" s="0">
        <f>IF(IF(B3573="none",1,IF(B3573="Trialer",1,0))+IF(C3573="Customer",1,IF(C3573="Lost",1,0))=2,1,0)</f>
      </c>
      <c r="X3573" s="0" t="s">
        <v>145</v>
      </c>
      <c r="Y3573" s="0" t="s">
        <v>499</v>
      </c>
      <c r="AV3573" s="68"/>
      <c r="AW3573" s="68"/>
      <c r="AY3573" s="27"/>
      <c r="BD3573" s="68">
        <v>46054.1666666667</v>
      </c>
      <c r="BE3573" s="68">
        <v>46082.1666666667</v>
      </c>
      <c r="BF3573" s="0" t="b">
        <v>0</v>
      </c>
      <c r="BG3573" s="0" t="b">
        <v>0</v>
      </c>
      <c r="BH3573" s="0">
        <v>1127</v>
      </c>
      <c r="BI3573" s="0">
        <v>1127</v>
      </c>
      <c r="BJ3573" s="0" t="s">
        <v>135</v>
      </c>
    </row>
    <row r="3574">
      <c r="A3574" s="0" t="s">
        <v>3827</v>
      </c>
      <c r="B3574" s="0" t="s">
        <v>134</v>
      </c>
      <c r="C3574" s="0" t="s">
        <v>134</v>
      </c>
      <c r="D3574" s="0" t="s">
        <v>135</v>
      </c>
      <c r="E3574" s="0" t="s">
        <v>3</v>
      </c>
      <c r="F3574" s="0" t="s">
        <v>10</v>
      </c>
      <c r="G3574" s="0" t="s">
        <v>8</v>
      </c>
      <c r="H3574" s="0">
        <v>117</v>
      </c>
      <c r="I3574" s="0">
        <v>28</v>
      </c>
      <c r="J3574" s="0">
        <v>0</v>
      </c>
      <c r="K3574" s="0">
        <v>1</v>
      </c>
      <c r="L3574" s="0">
        <v>1</v>
      </c>
      <c r="M3574" s="0">
        <v>1</v>
      </c>
      <c r="N3574" s="0">
        <v>0</v>
      </c>
      <c r="O3574" s="0">
        <v>0</v>
      </c>
      <c r="P3574" s="0">
        <v>0</v>
      </c>
      <c r="Q3574" s="0" t="s">
        <v>2203</v>
      </c>
      <c r="R3574" s="0" t="b">
        <v>0</v>
      </c>
      <c r="S3574" s="0" t="b">
        <v>1</v>
      </c>
      <c r="T3574" s="68">
        <v>45936.5021759259</v>
      </c>
      <c r="U3574" s="68">
        <v>45954.3333333333</v>
      </c>
      <c r="V3574" s="68">
        <v>0</v>
      </c>
      <c r="W3574" s="0">
        <f>IF(IF(B3574="none",1,IF(B3574="Trialer",1,0))+IF(C3574="Customer",1,IF(C3574="Lost",1,0))=2,1,0)</f>
      </c>
      <c r="X3574" s="0" t="s">
        <v>148</v>
      </c>
      <c r="Y3574" s="0" t="s">
        <v>243</v>
      </c>
      <c r="AV3574" s="68"/>
      <c r="AW3574" s="68"/>
      <c r="AY3574" s="27"/>
      <c r="BD3574" s="68">
        <v>46054.1666666667</v>
      </c>
      <c r="BE3574" s="68">
        <v>46082.1666666667</v>
      </c>
      <c r="BF3574" s="0" t="b">
        <v>0</v>
      </c>
      <c r="BG3574" s="0" t="b">
        <v>0</v>
      </c>
      <c r="BH3574" s="0">
        <v>28</v>
      </c>
      <c r="BI3574" s="0">
        <v>28</v>
      </c>
      <c r="BJ3574" s="0" t="s">
        <v>135</v>
      </c>
    </row>
    <row r="3575">
      <c r="A3575" s="0" t="s">
        <v>3828</v>
      </c>
      <c r="B3575" s="0" t="s">
        <v>134</v>
      </c>
      <c r="C3575" s="0" t="s">
        <v>134</v>
      </c>
      <c r="D3575" s="0" t="s">
        <v>230</v>
      </c>
      <c r="E3575" s="0" t="s">
        <v>3</v>
      </c>
      <c r="F3575" s="0" t="s">
        <v>12</v>
      </c>
      <c r="G3575" s="0" t="s">
        <v>8</v>
      </c>
      <c r="H3575" s="0">
        <v>117</v>
      </c>
      <c r="I3575" s="0">
        <v>190</v>
      </c>
      <c r="J3575" s="0">
        <v>0</v>
      </c>
      <c r="K3575" s="0">
        <v>1</v>
      </c>
      <c r="L3575" s="0">
        <v>3</v>
      </c>
      <c r="M3575" s="0">
        <v>5</v>
      </c>
      <c r="N3575" s="0">
        <v>0</v>
      </c>
      <c r="O3575" s="0">
        <v>0</v>
      </c>
      <c r="P3575" s="0">
        <v>-190</v>
      </c>
      <c r="R3575" s="0" t="b">
        <v>0</v>
      </c>
      <c r="S3575" s="0" t="b">
        <v>1</v>
      </c>
      <c r="T3575" s="68">
        <v>45936.5407291667</v>
      </c>
      <c r="U3575" s="68">
        <v>45950.3333333333</v>
      </c>
      <c r="V3575" s="68">
        <v>0</v>
      </c>
      <c r="W3575" s="0">
        <f>IF(IF(B3575="none",1,IF(B3575="Trialer",1,0))+IF(C3575="Customer",1,IF(C3575="Lost",1,0))=2,1,0)</f>
      </c>
      <c r="X3575" s="0" t="s">
        <v>145</v>
      </c>
      <c r="Y3575" s="0" t="s">
        <v>243</v>
      </c>
      <c r="AV3575" s="68"/>
      <c r="AW3575" s="68"/>
      <c r="AY3575" s="27"/>
      <c r="BD3575" s="68">
        <v>46054.1666666667</v>
      </c>
      <c r="BE3575" s="68">
        <v>46082.1666666667</v>
      </c>
      <c r="BF3575" s="0" t="b">
        <v>0</v>
      </c>
      <c r="BG3575" s="0" t="b">
        <v>0</v>
      </c>
      <c r="BH3575" s="0">
        <v>212</v>
      </c>
      <c r="BI3575" s="0">
        <v>212</v>
      </c>
      <c r="BJ3575" s="0" t="s">
        <v>230</v>
      </c>
    </row>
    <row r="3576">
      <c r="A3576" s="0" t="s">
        <v>3829</v>
      </c>
      <c r="B3576" s="0" t="s">
        <v>134</v>
      </c>
      <c r="C3576" s="0" t="s">
        <v>134</v>
      </c>
      <c r="D3576" s="0" t="s">
        <v>135</v>
      </c>
      <c r="E3576" s="0" t="s">
        <v>3</v>
      </c>
      <c r="F3576" s="0" t="s">
        <v>12</v>
      </c>
      <c r="G3576" s="0" t="s">
        <v>8</v>
      </c>
      <c r="H3576" s="0">
        <v>117</v>
      </c>
      <c r="I3576" s="0">
        <v>98</v>
      </c>
      <c r="J3576" s="0">
        <v>0</v>
      </c>
      <c r="K3576" s="0">
        <v>1</v>
      </c>
      <c r="L3576" s="0">
        <v>3</v>
      </c>
      <c r="M3576" s="0">
        <v>2</v>
      </c>
      <c r="N3576" s="0">
        <v>0</v>
      </c>
      <c r="O3576" s="0">
        <v>0</v>
      </c>
      <c r="P3576" s="0">
        <v>0</v>
      </c>
      <c r="R3576" s="0" t="b">
        <v>0</v>
      </c>
      <c r="S3576" s="0" t="b">
        <v>1</v>
      </c>
      <c r="T3576" s="68">
        <v>45936.932962963</v>
      </c>
      <c r="U3576" s="68">
        <v>45950.3333333333</v>
      </c>
      <c r="V3576" s="68">
        <v>0</v>
      </c>
      <c r="W3576" s="0">
        <f>IF(IF(B3576="none",1,IF(B3576="Trialer",1,0))+IF(C3576="Customer",1,IF(C3576="Lost",1,0))=2,1,0)</f>
      </c>
      <c r="X3576" s="0" t="s">
        <v>166</v>
      </c>
      <c r="Y3576" s="0" t="s">
        <v>243</v>
      </c>
      <c r="AV3576" s="68"/>
      <c r="AW3576" s="68"/>
      <c r="AY3576" s="27"/>
      <c r="BD3576" s="68">
        <v>46054.1666666667</v>
      </c>
      <c r="BE3576" s="68">
        <v>46082.1666666667</v>
      </c>
      <c r="BF3576" s="0" t="b">
        <v>0</v>
      </c>
      <c r="BG3576" s="0" t="b">
        <v>0</v>
      </c>
      <c r="BH3576" s="0">
        <v>98</v>
      </c>
      <c r="BI3576" s="0">
        <v>98</v>
      </c>
      <c r="BJ3576" s="0" t="s">
        <v>135</v>
      </c>
    </row>
    <row r="3577">
      <c r="A3577" s="0" t="s">
        <v>3830</v>
      </c>
      <c r="B3577" s="0" t="s">
        <v>134</v>
      </c>
      <c r="C3577" s="0" t="s">
        <v>134</v>
      </c>
      <c r="D3577" s="0" t="s">
        <v>230</v>
      </c>
      <c r="E3577" s="0" t="s">
        <v>3</v>
      </c>
      <c r="F3577" s="0" t="s">
        <v>12</v>
      </c>
      <c r="G3577" s="0" t="s">
        <v>8</v>
      </c>
      <c r="H3577" s="0">
        <v>116</v>
      </c>
      <c r="I3577" s="0">
        <v>492</v>
      </c>
      <c r="J3577" s="0">
        <v>0</v>
      </c>
      <c r="K3577" s="0">
        <v>1</v>
      </c>
      <c r="L3577" s="0">
        <v>4</v>
      </c>
      <c r="M3577" s="0">
        <v>4</v>
      </c>
      <c r="N3577" s="0">
        <v>1395</v>
      </c>
      <c r="O3577" s="0">
        <v>0</v>
      </c>
      <c r="P3577" s="0">
        <v>-167</v>
      </c>
      <c r="R3577" s="0" t="b">
        <v>0</v>
      </c>
      <c r="S3577" s="0" t="b">
        <v>1</v>
      </c>
      <c r="T3577" s="68">
        <v>45937.5185300926</v>
      </c>
      <c r="U3577" s="68">
        <v>45951.3333333333</v>
      </c>
      <c r="V3577" s="68">
        <v>0</v>
      </c>
      <c r="W3577" s="0">
        <f>IF(IF(B3577="none",1,IF(B3577="Trialer",1,0))+IF(C3577="Customer",1,IF(C3577="Lost",1,0))=2,1,0)</f>
      </c>
      <c r="X3577" s="0" t="s">
        <v>136</v>
      </c>
      <c r="Y3577" s="0" t="s">
        <v>243</v>
      </c>
      <c r="AV3577" s="68"/>
      <c r="AW3577" s="68"/>
      <c r="AY3577" s="27"/>
      <c r="BD3577" s="68">
        <v>46054.1666666667</v>
      </c>
      <c r="BE3577" s="68">
        <v>46082.1666666667</v>
      </c>
      <c r="BF3577" s="0" t="b">
        <v>0</v>
      </c>
      <c r="BG3577" s="0" t="b">
        <v>0</v>
      </c>
      <c r="BH3577" s="0">
        <v>187</v>
      </c>
      <c r="BI3577" s="0">
        <v>187</v>
      </c>
      <c r="BJ3577" s="0" t="s">
        <v>230</v>
      </c>
    </row>
    <row r="3578">
      <c r="A3578" s="0" t="s">
        <v>3831</v>
      </c>
      <c r="B3578" s="0" t="s">
        <v>134</v>
      </c>
      <c r="C3578" s="0" t="s">
        <v>134</v>
      </c>
      <c r="D3578" s="0" t="s">
        <v>135</v>
      </c>
      <c r="E3578" s="0" t="s">
        <v>3</v>
      </c>
      <c r="F3578" s="0" t="s">
        <v>12</v>
      </c>
      <c r="G3578" s="0" t="s">
        <v>8</v>
      </c>
      <c r="H3578" s="0">
        <v>116</v>
      </c>
      <c r="I3578" s="0">
        <v>122</v>
      </c>
      <c r="J3578" s="0">
        <v>0</v>
      </c>
      <c r="K3578" s="0">
        <v>1</v>
      </c>
      <c r="L3578" s="0">
        <v>4</v>
      </c>
      <c r="M3578" s="0">
        <v>2</v>
      </c>
      <c r="N3578" s="0">
        <v>0</v>
      </c>
      <c r="O3578" s="0">
        <v>0</v>
      </c>
      <c r="P3578" s="0">
        <v>0</v>
      </c>
      <c r="R3578" s="0" t="b">
        <v>0</v>
      </c>
      <c r="S3578" s="0" t="b">
        <v>1</v>
      </c>
      <c r="T3578" s="68">
        <v>45937.5535532407</v>
      </c>
      <c r="U3578" s="68">
        <v>45951.3333333333</v>
      </c>
      <c r="V3578" s="68">
        <v>0</v>
      </c>
      <c r="W3578" s="0">
        <f>IF(IF(B3578="none",1,IF(B3578="Trialer",1,0))+IF(C3578="Customer",1,IF(C3578="Lost",1,0))=2,1,0)</f>
      </c>
      <c r="X3578" s="0" t="s">
        <v>153</v>
      </c>
      <c r="Y3578" s="0" t="s">
        <v>243</v>
      </c>
      <c r="AV3578" s="68"/>
      <c r="AW3578" s="68"/>
      <c r="AY3578" s="27"/>
      <c r="BD3578" s="68">
        <v>46054.1666666667</v>
      </c>
      <c r="BE3578" s="68">
        <v>46082.1666666667</v>
      </c>
      <c r="BF3578" s="0" t="b">
        <v>0</v>
      </c>
      <c r="BG3578" s="0" t="b">
        <v>0</v>
      </c>
      <c r="BH3578" s="0">
        <v>122</v>
      </c>
      <c r="BI3578" s="0">
        <v>122</v>
      </c>
      <c r="BJ3578" s="0" t="s">
        <v>135</v>
      </c>
    </row>
    <row r="3579">
      <c r="A3579" s="0" t="s">
        <v>3832</v>
      </c>
      <c r="B3579" s="0" t="s">
        <v>134</v>
      </c>
      <c r="C3579" s="0" t="s">
        <v>134</v>
      </c>
      <c r="D3579" s="0" t="s">
        <v>230</v>
      </c>
      <c r="E3579" s="0" t="s">
        <v>3</v>
      </c>
      <c r="F3579" s="0" t="s">
        <v>12</v>
      </c>
      <c r="G3579" s="0" t="s">
        <v>8</v>
      </c>
      <c r="H3579" s="0">
        <v>116</v>
      </c>
      <c r="I3579" s="0">
        <v>223.2</v>
      </c>
      <c r="J3579" s="0">
        <v>0</v>
      </c>
      <c r="K3579" s="0">
        <v>1</v>
      </c>
      <c r="L3579" s="0">
        <v>4</v>
      </c>
      <c r="M3579" s="0">
        <v>5</v>
      </c>
      <c r="N3579" s="0">
        <v>0</v>
      </c>
      <c r="O3579" s="0">
        <v>0</v>
      </c>
      <c r="P3579" s="0">
        <v>-223.2</v>
      </c>
      <c r="R3579" s="0" t="b">
        <v>0</v>
      </c>
      <c r="S3579" s="0" t="b">
        <v>1</v>
      </c>
      <c r="T3579" s="68">
        <v>45937.6699074074</v>
      </c>
      <c r="U3579" s="68">
        <v>45951.3333333333</v>
      </c>
      <c r="V3579" s="68">
        <v>0</v>
      </c>
      <c r="W3579" s="0">
        <f>IF(IF(B3579="none",1,IF(B3579="Trialer",1,0))+IF(C3579="Customer",1,IF(C3579="Lost",1,0))=2,1,0)</f>
      </c>
      <c r="X3579" s="0" t="s">
        <v>148</v>
      </c>
      <c r="Y3579" s="0" t="s">
        <v>243</v>
      </c>
      <c r="AV3579" s="68"/>
      <c r="AW3579" s="68"/>
      <c r="AY3579" s="27"/>
      <c r="BD3579" s="68">
        <v>46054.1666666667</v>
      </c>
      <c r="BE3579" s="68">
        <v>46082.1666666667</v>
      </c>
      <c r="BF3579" s="0" t="b">
        <v>0</v>
      </c>
      <c r="BG3579" s="0" t="b">
        <v>0</v>
      </c>
      <c r="BH3579" s="0">
        <v>248</v>
      </c>
      <c r="BI3579" s="0">
        <v>248</v>
      </c>
      <c r="BJ3579" s="0" t="s">
        <v>230</v>
      </c>
    </row>
    <row r="3580">
      <c r="A3580" s="0" t="s">
        <v>3833</v>
      </c>
      <c r="B3580" s="0" t="s">
        <v>134</v>
      </c>
      <c r="C3580" s="0" t="s">
        <v>134</v>
      </c>
      <c r="D3580" s="0" t="s">
        <v>135</v>
      </c>
      <c r="E3580" s="0" t="s">
        <v>3</v>
      </c>
      <c r="F3580" s="0" t="s">
        <v>12</v>
      </c>
      <c r="G3580" s="0" t="s">
        <v>8</v>
      </c>
      <c r="H3580" s="0">
        <v>116</v>
      </c>
      <c r="I3580" s="0">
        <v>49</v>
      </c>
      <c r="J3580" s="0">
        <v>0</v>
      </c>
      <c r="K3580" s="0">
        <v>1</v>
      </c>
      <c r="L3580" s="0">
        <v>3</v>
      </c>
      <c r="M3580" s="0">
        <v>1</v>
      </c>
      <c r="N3580" s="0">
        <v>0</v>
      </c>
      <c r="O3580" s="0">
        <v>0</v>
      </c>
      <c r="P3580" s="0">
        <v>0</v>
      </c>
      <c r="R3580" s="0" t="b">
        <v>0</v>
      </c>
      <c r="S3580" s="0" t="b">
        <v>1</v>
      </c>
      <c r="T3580" s="68">
        <v>45937.6706828704</v>
      </c>
      <c r="U3580" s="68">
        <v>45957.3333333333</v>
      </c>
      <c r="V3580" s="68">
        <v>0</v>
      </c>
      <c r="W3580" s="0">
        <f>IF(IF(B3580="none",1,IF(B3580="Trialer",1,0))+IF(C3580="Customer",1,IF(C3580="Lost",1,0))=2,1,0)</f>
      </c>
      <c r="X3580" s="0" t="s">
        <v>166</v>
      </c>
      <c r="Y3580" s="0" t="s">
        <v>243</v>
      </c>
      <c r="AV3580" s="68"/>
      <c r="AW3580" s="68"/>
      <c r="AY3580" s="27"/>
      <c r="BD3580" s="68">
        <v>46054.1666666667</v>
      </c>
      <c r="BE3580" s="68">
        <v>46082.1666666667</v>
      </c>
      <c r="BF3580" s="0" t="b">
        <v>0</v>
      </c>
      <c r="BG3580" s="0" t="b">
        <v>0</v>
      </c>
      <c r="BH3580" s="0">
        <v>49</v>
      </c>
      <c r="BI3580" s="0">
        <v>49</v>
      </c>
      <c r="BJ3580" s="0" t="s">
        <v>135</v>
      </c>
    </row>
    <row r="3581">
      <c r="A3581" s="0" t="s">
        <v>3834</v>
      </c>
      <c r="B3581" s="0" t="s">
        <v>134</v>
      </c>
      <c r="C3581" s="0" t="s">
        <v>134</v>
      </c>
      <c r="D3581" s="0" t="s">
        <v>135</v>
      </c>
      <c r="E3581" s="0" t="s">
        <v>3</v>
      </c>
      <c r="F3581" s="0" t="s">
        <v>12</v>
      </c>
      <c r="G3581" s="0" t="s">
        <v>8</v>
      </c>
      <c r="H3581" s="0">
        <v>116</v>
      </c>
      <c r="I3581" s="0">
        <v>120</v>
      </c>
      <c r="J3581" s="0">
        <v>0</v>
      </c>
      <c r="K3581" s="0">
        <v>1</v>
      </c>
      <c r="L3581" s="0">
        <v>2</v>
      </c>
      <c r="M3581" s="0">
        <v>3</v>
      </c>
      <c r="N3581" s="0">
        <v>0</v>
      </c>
      <c r="O3581" s="0">
        <v>0</v>
      </c>
      <c r="P3581" s="0">
        <v>0</v>
      </c>
      <c r="R3581" s="0" t="b">
        <v>0</v>
      </c>
      <c r="S3581" s="0" t="b">
        <v>1</v>
      </c>
      <c r="T3581" s="68">
        <v>45937.6764351852</v>
      </c>
      <c r="U3581" s="68">
        <v>45951.3333333333</v>
      </c>
      <c r="V3581" s="68">
        <v>0</v>
      </c>
      <c r="W3581" s="0">
        <f>IF(IF(B3581="none",1,IF(B3581="Trialer",1,0))+IF(C3581="Customer",1,IF(C3581="Lost",1,0))=2,1,0)</f>
      </c>
      <c r="X3581" s="0" t="s">
        <v>166</v>
      </c>
      <c r="Y3581" s="0" t="s">
        <v>243</v>
      </c>
      <c r="AV3581" s="68"/>
      <c r="AW3581" s="68"/>
      <c r="AY3581" s="27"/>
      <c r="BD3581" s="68">
        <v>46054.1666666667</v>
      </c>
      <c r="BE3581" s="68">
        <v>46082.1666666667</v>
      </c>
      <c r="BF3581" s="0" t="b">
        <v>0</v>
      </c>
      <c r="BG3581" s="0" t="b">
        <v>0</v>
      </c>
      <c r="BH3581" s="0">
        <v>120</v>
      </c>
      <c r="BI3581" s="0">
        <v>120</v>
      </c>
      <c r="BJ3581" s="0" t="s">
        <v>135</v>
      </c>
    </row>
    <row r="3582">
      <c r="A3582" s="0" t="s">
        <v>3835</v>
      </c>
      <c r="B3582" s="0" t="s">
        <v>134</v>
      </c>
      <c r="C3582" s="0" t="s">
        <v>134</v>
      </c>
      <c r="D3582" s="0" t="s">
        <v>135</v>
      </c>
      <c r="E3582" s="0" t="s">
        <v>2</v>
      </c>
      <c r="F3582" s="0" t="s">
        <v>12</v>
      </c>
      <c r="G3582" s="0" t="s">
        <v>8</v>
      </c>
      <c r="H3582" s="0">
        <v>116</v>
      </c>
      <c r="I3582" s="0">
        <v>49</v>
      </c>
      <c r="J3582" s="0">
        <v>0</v>
      </c>
      <c r="K3582" s="0">
        <v>1</v>
      </c>
      <c r="L3582" s="0">
        <v>3</v>
      </c>
      <c r="M3582" s="0">
        <v>1</v>
      </c>
      <c r="N3582" s="0">
        <v>0</v>
      </c>
      <c r="O3582" s="0">
        <v>0</v>
      </c>
      <c r="P3582" s="0">
        <v>0</v>
      </c>
      <c r="R3582" s="0" t="b">
        <v>0</v>
      </c>
      <c r="S3582" s="0" t="b">
        <v>1</v>
      </c>
      <c r="T3582" s="68">
        <v>45937.7101967593</v>
      </c>
      <c r="U3582" s="68">
        <v>45951.3333333333</v>
      </c>
      <c r="V3582" s="68">
        <v>0</v>
      </c>
      <c r="W3582" s="0">
        <f>IF(IF(B3582="none",1,IF(B3582="Trialer",1,0))+IF(C3582="Customer",1,IF(C3582="Lost",1,0))=2,1,0)</f>
      </c>
      <c r="X3582" s="0" t="s">
        <v>166</v>
      </c>
      <c r="Y3582" s="0" t="s">
        <v>499</v>
      </c>
      <c r="AV3582" s="68"/>
      <c r="AW3582" s="68"/>
      <c r="AY3582" s="27"/>
      <c r="BD3582" s="68">
        <v>46054.1666666667</v>
      </c>
      <c r="BE3582" s="68">
        <v>46082.1666666667</v>
      </c>
      <c r="BF3582" s="0" t="b">
        <v>0</v>
      </c>
      <c r="BG3582" s="0" t="b">
        <v>0</v>
      </c>
      <c r="BH3582" s="0">
        <v>49</v>
      </c>
      <c r="BI3582" s="0">
        <v>49</v>
      </c>
      <c r="BJ3582" s="0" t="s">
        <v>135</v>
      </c>
    </row>
    <row r="3583">
      <c r="A3583" s="0" t="s">
        <v>3836</v>
      </c>
      <c r="B3583" s="0" t="s">
        <v>134</v>
      </c>
      <c r="C3583" s="0" t="s">
        <v>190</v>
      </c>
      <c r="D3583" s="0" t="s">
        <v>135</v>
      </c>
      <c r="E3583" s="0" t="s">
        <v>3</v>
      </c>
      <c r="F3583" s="0" t="s">
        <v>12</v>
      </c>
      <c r="G3583" s="0" t="s">
        <v>8</v>
      </c>
      <c r="H3583" s="0">
        <v>116</v>
      </c>
      <c r="I3583" s="0">
        <v>0</v>
      </c>
      <c r="J3583" s="0">
        <v>0</v>
      </c>
      <c r="K3583" s="0">
        <v>0</v>
      </c>
      <c r="L3583" s="0">
        <v>0</v>
      </c>
      <c r="M3583" s="0">
        <v>0</v>
      </c>
      <c r="N3583" s="0">
        <v>0</v>
      </c>
      <c r="O3583" s="0">
        <v>0</v>
      </c>
      <c r="P3583" s="0">
        <v>0</v>
      </c>
      <c r="R3583" s="0" t="b">
        <v>0</v>
      </c>
      <c r="S3583" s="0" t="b">
        <v>0</v>
      </c>
      <c r="T3583" s="68">
        <v>45937.9966203704</v>
      </c>
      <c r="U3583" s="68">
        <v>45971.2916666667</v>
      </c>
      <c r="V3583" s="68">
        <v>46057.6418402778</v>
      </c>
      <c r="W3583" s="0">
        <f>IF(IF(B3583="none",1,IF(B3583="Trialer",1,0))+IF(C3583="Customer",1,IF(C3583="Lost",1,0))=2,1,0)</f>
      </c>
      <c r="X3583" s="0" t="s">
        <v>1461</v>
      </c>
      <c r="Y3583" s="0" t="s">
        <v>243</v>
      </c>
      <c r="AV3583" s="68"/>
      <c r="AW3583" s="68"/>
      <c r="AY3583" s="27"/>
      <c r="BD3583" s="68">
        <v>46054.1666666667</v>
      </c>
      <c r="BE3583" s="68">
        <v>46082.1666666667</v>
      </c>
      <c r="BF3583" s="0" t="b">
        <v>0</v>
      </c>
      <c r="BG3583" s="0" t="b">
        <v>0</v>
      </c>
      <c r="BH3583" s="0">
        <v>61</v>
      </c>
      <c r="BI3583" s="0">
        <v>61</v>
      </c>
      <c r="BJ3583" s="0" t="s">
        <v>135</v>
      </c>
    </row>
    <row r="3584">
      <c r="A3584" s="0" t="s">
        <v>3837</v>
      </c>
      <c r="B3584" s="0" t="s">
        <v>134</v>
      </c>
      <c r="C3584" s="0" t="s">
        <v>134</v>
      </c>
      <c r="D3584" s="0" t="s">
        <v>135</v>
      </c>
      <c r="E3584" s="0" t="s">
        <v>3</v>
      </c>
      <c r="F3584" s="0" t="s">
        <v>11</v>
      </c>
      <c r="G3584" s="0" t="s">
        <v>8</v>
      </c>
      <c r="H3584" s="0">
        <v>115</v>
      </c>
      <c r="I3584" s="0">
        <v>40</v>
      </c>
      <c r="J3584" s="0">
        <v>0</v>
      </c>
      <c r="K3584" s="0">
        <v>1</v>
      </c>
      <c r="L3584" s="0">
        <v>4</v>
      </c>
      <c r="M3584" s="0">
        <v>1</v>
      </c>
      <c r="N3584" s="0">
        <v>0</v>
      </c>
      <c r="O3584" s="0">
        <v>0</v>
      </c>
      <c r="P3584" s="0">
        <v>0</v>
      </c>
      <c r="Q3584" s="0" t="s">
        <v>1743</v>
      </c>
      <c r="R3584" s="0" t="b">
        <v>1</v>
      </c>
      <c r="S3584" s="0" t="b">
        <v>1</v>
      </c>
      <c r="T3584" s="68">
        <v>45938.2011805556</v>
      </c>
      <c r="U3584" s="68">
        <v>45938.3333333333</v>
      </c>
      <c r="V3584" s="68">
        <v>0</v>
      </c>
      <c r="W3584" s="0">
        <f>IF(IF(B3584="none",1,IF(B3584="Trialer",1,0))+IF(C3584="Customer",1,IF(C3584="Lost",1,0))=2,1,0)</f>
      </c>
      <c r="X3584" s="0" t="s">
        <v>145</v>
      </c>
      <c r="Y3584" s="0" t="s">
        <v>243</v>
      </c>
      <c r="AV3584" s="68"/>
      <c r="AW3584" s="68"/>
      <c r="AY3584" s="27"/>
      <c r="BD3584" s="68">
        <v>46054.1666666667</v>
      </c>
      <c r="BE3584" s="68">
        <v>46082.1666666667</v>
      </c>
      <c r="BF3584" s="0" t="b">
        <v>0</v>
      </c>
      <c r="BG3584" s="0" t="b">
        <v>0</v>
      </c>
      <c r="BH3584" s="0">
        <v>40</v>
      </c>
      <c r="BI3584" s="0">
        <v>40</v>
      </c>
      <c r="BJ3584" s="0" t="s">
        <v>135</v>
      </c>
    </row>
    <row r="3585">
      <c r="A3585" s="0" t="s">
        <v>3838</v>
      </c>
      <c r="B3585" s="0" t="s">
        <v>134</v>
      </c>
      <c r="C3585" s="0" t="s">
        <v>134</v>
      </c>
      <c r="D3585" s="0" t="s">
        <v>135</v>
      </c>
      <c r="E3585" s="0" t="s">
        <v>3</v>
      </c>
      <c r="F3585" s="0" t="s">
        <v>12</v>
      </c>
      <c r="G3585" s="0" t="s">
        <v>8</v>
      </c>
      <c r="H3585" s="0">
        <v>115</v>
      </c>
      <c r="I3585" s="0">
        <v>98</v>
      </c>
      <c r="J3585" s="0">
        <v>0</v>
      </c>
      <c r="K3585" s="0">
        <v>1</v>
      </c>
      <c r="L3585" s="0">
        <v>3</v>
      </c>
      <c r="M3585" s="0">
        <v>2</v>
      </c>
      <c r="N3585" s="0">
        <v>0</v>
      </c>
      <c r="O3585" s="0">
        <v>0</v>
      </c>
      <c r="P3585" s="0">
        <v>0</v>
      </c>
      <c r="R3585" s="0" t="b">
        <v>0</v>
      </c>
      <c r="S3585" s="0" t="b">
        <v>1</v>
      </c>
      <c r="T3585" s="68">
        <v>45938.4489699074</v>
      </c>
      <c r="U3585" s="68">
        <v>45952.3333333333</v>
      </c>
      <c r="V3585" s="68">
        <v>0</v>
      </c>
      <c r="W3585" s="0">
        <f>IF(IF(B3585="none",1,IF(B3585="Trialer",1,0))+IF(C3585="Customer",1,IF(C3585="Lost",1,0))=2,1,0)</f>
      </c>
      <c r="X3585" s="0" t="s">
        <v>153</v>
      </c>
      <c r="Y3585" s="0" t="s">
        <v>243</v>
      </c>
      <c r="AV3585" s="68"/>
      <c r="AW3585" s="68"/>
      <c r="AY3585" s="27"/>
      <c r="BD3585" s="68">
        <v>46054.1666666667</v>
      </c>
      <c r="BE3585" s="68">
        <v>46082.1666666667</v>
      </c>
      <c r="BF3585" s="0" t="b">
        <v>0</v>
      </c>
      <c r="BG3585" s="0" t="b">
        <v>0</v>
      </c>
      <c r="BH3585" s="0">
        <v>98</v>
      </c>
      <c r="BI3585" s="0">
        <v>98</v>
      </c>
      <c r="BJ3585" s="0" t="s">
        <v>135</v>
      </c>
    </row>
    <row r="3586">
      <c r="A3586" s="0" t="s">
        <v>3839</v>
      </c>
      <c r="B3586" s="0" t="s">
        <v>134</v>
      </c>
      <c r="C3586" s="0" t="s">
        <v>134</v>
      </c>
      <c r="D3586" s="0" t="s">
        <v>230</v>
      </c>
      <c r="E3586" s="0" t="s">
        <v>3</v>
      </c>
      <c r="F3586" s="0" t="s">
        <v>12</v>
      </c>
      <c r="G3586" s="0" t="s">
        <v>8</v>
      </c>
      <c r="H3586" s="0">
        <v>115</v>
      </c>
      <c r="I3586" s="0">
        <v>168</v>
      </c>
      <c r="J3586" s="0">
        <v>0</v>
      </c>
      <c r="K3586" s="0">
        <v>1</v>
      </c>
      <c r="L3586" s="0">
        <v>3</v>
      </c>
      <c r="M3586" s="0">
        <v>4</v>
      </c>
      <c r="N3586" s="0">
        <v>0</v>
      </c>
      <c r="O3586" s="0">
        <v>0</v>
      </c>
      <c r="P3586" s="0">
        <v>-168</v>
      </c>
      <c r="R3586" s="0" t="b">
        <v>0</v>
      </c>
      <c r="S3586" s="0" t="b">
        <v>1</v>
      </c>
      <c r="T3586" s="68">
        <v>45938.6152314815</v>
      </c>
      <c r="U3586" s="68">
        <v>45952.3333333333</v>
      </c>
      <c r="V3586" s="68">
        <v>0</v>
      </c>
      <c r="W3586" s="0">
        <f>IF(IF(B3586="none",1,IF(B3586="Trialer",1,0))+IF(C3586="Customer",1,IF(C3586="Lost",1,0))=2,1,0)</f>
      </c>
      <c r="X3586" s="0" t="s">
        <v>145</v>
      </c>
      <c r="Y3586" s="0" t="s">
        <v>243</v>
      </c>
      <c r="AV3586" s="68"/>
      <c r="AW3586" s="68"/>
      <c r="AY3586" s="27"/>
      <c r="BD3586" s="68">
        <v>46054.1666666667</v>
      </c>
      <c r="BE3586" s="68">
        <v>46082.1666666667</v>
      </c>
      <c r="BF3586" s="0" t="b">
        <v>0</v>
      </c>
      <c r="BG3586" s="0" t="b">
        <v>0</v>
      </c>
      <c r="BH3586" s="0">
        <v>187</v>
      </c>
      <c r="BI3586" s="0">
        <v>187</v>
      </c>
      <c r="BJ3586" s="0" t="s">
        <v>230</v>
      </c>
    </row>
    <row r="3587">
      <c r="A3587" s="0" t="s">
        <v>3840</v>
      </c>
      <c r="B3587" s="0" t="s">
        <v>134</v>
      </c>
      <c r="C3587" s="0" t="s">
        <v>134</v>
      </c>
      <c r="D3587" s="0" t="s">
        <v>135</v>
      </c>
      <c r="E3587" s="0" t="s">
        <v>3</v>
      </c>
      <c r="F3587" s="0" t="s">
        <v>12</v>
      </c>
      <c r="G3587" s="0" t="s">
        <v>8</v>
      </c>
      <c r="H3587" s="0">
        <v>114</v>
      </c>
      <c r="I3587" s="0">
        <v>49</v>
      </c>
      <c r="J3587" s="0">
        <v>0</v>
      </c>
      <c r="K3587" s="0">
        <v>1</v>
      </c>
      <c r="L3587" s="0">
        <v>3</v>
      </c>
      <c r="M3587" s="0">
        <v>1</v>
      </c>
      <c r="N3587" s="0">
        <v>0</v>
      </c>
      <c r="O3587" s="0">
        <v>0</v>
      </c>
      <c r="P3587" s="0">
        <v>0</v>
      </c>
      <c r="R3587" s="0" t="b">
        <v>0</v>
      </c>
      <c r="S3587" s="0" t="b">
        <v>1</v>
      </c>
      <c r="T3587" s="68">
        <v>45939.5453009259</v>
      </c>
      <c r="U3587" s="68">
        <v>45957.3333333333</v>
      </c>
      <c r="V3587" s="68">
        <v>0</v>
      </c>
      <c r="W3587" s="0">
        <f>IF(IF(B3587="none",1,IF(B3587="Trialer",1,0))+IF(C3587="Customer",1,IF(C3587="Lost",1,0))=2,1,0)</f>
      </c>
      <c r="X3587" s="0" t="s">
        <v>142</v>
      </c>
      <c r="Y3587" s="0" t="s">
        <v>243</v>
      </c>
      <c r="AV3587" s="68"/>
      <c r="AW3587" s="68"/>
      <c r="AY3587" s="27"/>
      <c r="BD3587" s="68">
        <v>46054.1666666667</v>
      </c>
      <c r="BE3587" s="68">
        <v>46082.1666666667</v>
      </c>
      <c r="BF3587" s="0" t="b">
        <v>0</v>
      </c>
      <c r="BG3587" s="0" t="b">
        <v>0</v>
      </c>
      <c r="BH3587" s="0">
        <v>49</v>
      </c>
      <c r="BI3587" s="0">
        <v>49</v>
      </c>
      <c r="BJ3587" s="0" t="s">
        <v>135</v>
      </c>
    </row>
    <row r="3588">
      <c r="A3588" s="0" t="s">
        <v>3841</v>
      </c>
      <c r="B3588" s="0" t="s">
        <v>134</v>
      </c>
      <c r="C3588" s="0" t="s">
        <v>134</v>
      </c>
      <c r="D3588" s="0" t="s">
        <v>135</v>
      </c>
      <c r="E3588" s="0" t="s">
        <v>3</v>
      </c>
      <c r="F3588" s="0" t="s">
        <v>12</v>
      </c>
      <c r="G3588" s="0" t="s">
        <v>8</v>
      </c>
      <c r="H3588" s="0">
        <v>114</v>
      </c>
      <c r="I3588" s="0">
        <v>49</v>
      </c>
      <c r="J3588" s="0">
        <v>0</v>
      </c>
      <c r="K3588" s="0">
        <v>1</v>
      </c>
      <c r="L3588" s="0">
        <v>3</v>
      </c>
      <c r="M3588" s="0">
        <v>1</v>
      </c>
      <c r="N3588" s="0">
        <v>0</v>
      </c>
      <c r="O3588" s="0">
        <v>0</v>
      </c>
      <c r="P3588" s="0">
        <v>0</v>
      </c>
      <c r="R3588" s="0" t="b">
        <v>0</v>
      </c>
      <c r="S3588" s="0" t="b">
        <v>1</v>
      </c>
      <c r="T3588" s="68">
        <v>45939.6655324074</v>
      </c>
      <c r="U3588" s="68">
        <v>45953.3333333333</v>
      </c>
      <c r="V3588" s="68">
        <v>0</v>
      </c>
      <c r="W3588" s="0">
        <f>IF(IF(B3588="none",1,IF(B3588="Trialer",1,0))+IF(C3588="Customer",1,IF(C3588="Lost",1,0))=2,1,0)</f>
      </c>
      <c r="X3588" s="0" t="s">
        <v>153</v>
      </c>
      <c r="Y3588" s="0" t="s">
        <v>243</v>
      </c>
      <c r="AV3588" s="68"/>
      <c r="AW3588" s="68"/>
      <c r="AY3588" s="27"/>
      <c r="BD3588" s="68">
        <v>46054.1666666667</v>
      </c>
      <c r="BE3588" s="68">
        <v>46082.1666666667</v>
      </c>
      <c r="BF3588" s="0" t="b">
        <v>0</v>
      </c>
      <c r="BG3588" s="0" t="b">
        <v>0</v>
      </c>
      <c r="BH3588" s="0">
        <v>49</v>
      </c>
      <c r="BI3588" s="0">
        <v>49</v>
      </c>
      <c r="BJ3588" s="0" t="s">
        <v>135</v>
      </c>
    </row>
    <row r="3589">
      <c r="A3589" s="0" t="s">
        <v>3842</v>
      </c>
      <c r="B3589" s="0" t="s">
        <v>134</v>
      </c>
      <c r="C3589" s="0" t="s">
        <v>134</v>
      </c>
      <c r="D3589" s="0" t="s">
        <v>135</v>
      </c>
      <c r="E3589" s="0" t="s">
        <v>3</v>
      </c>
      <c r="F3589" s="0" t="s">
        <v>12</v>
      </c>
      <c r="G3589" s="0" t="s">
        <v>8</v>
      </c>
      <c r="H3589" s="0">
        <v>114</v>
      </c>
      <c r="I3589" s="0">
        <v>49</v>
      </c>
      <c r="J3589" s="0">
        <v>0</v>
      </c>
      <c r="K3589" s="0">
        <v>1</v>
      </c>
      <c r="L3589" s="0">
        <v>3</v>
      </c>
      <c r="M3589" s="0">
        <v>1</v>
      </c>
      <c r="N3589" s="0">
        <v>0</v>
      </c>
      <c r="O3589" s="0">
        <v>0</v>
      </c>
      <c r="P3589" s="0">
        <v>0</v>
      </c>
      <c r="R3589" s="0" t="b">
        <v>0</v>
      </c>
      <c r="S3589" s="0" t="b">
        <v>1</v>
      </c>
      <c r="T3589" s="68">
        <v>45939.7405439815</v>
      </c>
      <c r="U3589" s="68">
        <v>45973.2916666667</v>
      </c>
      <c r="V3589" s="68">
        <v>0</v>
      </c>
      <c r="W3589" s="0">
        <f>IF(IF(B3589="none",1,IF(B3589="Trialer",1,0))+IF(C3589="Customer",1,IF(C3589="Lost",1,0))=2,1,0)</f>
      </c>
      <c r="X3589" s="0" t="s">
        <v>142</v>
      </c>
      <c r="Y3589" s="0" t="s">
        <v>243</v>
      </c>
      <c r="AV3589" s="68"/>
      <c r="AW3589" s="68"/>
      <c r="AY3589" s="27"/>
      <c r="BD3589" s="68">
        <v>46054.1666666667</v>
      </c>
      <c r="BE3589" s="68">
        <v>46082.1666666667</v>
      </c>
      <c r="BF3589" s="0" t="b">
        <v>0</v>
      </c>
      <c r="BG3589" s="0" t="b">
        <v>0</v>
      </c>
      <c r="BH3589" s="0">
        <v>49</v>
      </c>
      <c r="BI3589" s="0">
        <v>49</v>
      </c>
      <c r="BJ3589" s="0" t="s">
        <v>135</v>
      </c>
    </row>
    <row r="3590">
      <c r="A3590" s="0" t="s">
        <v>3843</v>
      </c>
      <c r="B3590" s="0" t="s">
        <v>134</v>
      </c>
      <c r="C3590" s="0" t="s">
        <v>134</v>
      </c>
      <c r="D3590" s="0" t="s">
        <v>135</v>
      </c>
      <c r="E3590" s="0" t="s">
        <v>3</v>
      </c>
      <c r="F3590" s="0" t="s">
        <v>12</v>
      </c>
      <c r="G3590" s="0" t="s">
        <v>8</v>
      </c>
      <c r="H3590" s="0">
        <v>113</v>
      </c>
      <c r="I3590" s="0">
        <v>68</v>
      </c>
      <c r="J3590" s="0">
        <v>0</v>
      </c>
      <c r="K3590" s="0">
        <v>1</v>
      </c>
      <c r="L3590" s="0">
        <v>2</v>
      </c>
      <c r="M3590" s="0">
        <v>2</v>
      </c>
      <c r="N3590" s="0">
        <v>0</v>
      </c>
      <c r="O3590" s="0">
        <v>0</v>
      </c>
      <c r="P3590" s="0">
        <v>0</v>
      </c>
      <c r="R3590" s="0" t="b">
        <v>0</v>
      </c>
      <c r="S3590" s="0" t="b">
        <v>0</v>
      </c>
      <c r="T3590" s="68">
        <v>45940.4087962963</v>
      </c>
      <c r="U3590" s="68">
        <v>45954.3333333333</v>
      </c>
      <c r="V3590" s="68">
        <v>46091.5559490741</v>
      </c>
      <c r="W3590" s="0">
        <f>IF(IF(B3590="none",1,IF(B3590="Trialer",1,0))+IF(C3590="Customer",1,IF(C3590="Lost",1,0))=2,1,0)</f>
      </c>
      <c r="X3590" s="0" t="s">
        <v>153</v>
      </c>
      <c r="Y3590" s="0" t="s">
        <v>487</v>
      </c>
      <c r="AV3590" s="68"/>
      <c r="AW3590" s="68"/>
      <c r="AY3590" s="27"/>
      <c r="BD3590" s="68">
        <v>46054.1666666667</v>
      </c>
      <c r="BE3590" s="68">
        <v>46082.1666666667</v>
      </c>
      <c r="BF3590" s="0" t="b">
        <v>0</v>
      </c>
      <c r="BG3590" s="0" t="b">
        <v>0</v>
      </c>
      <c r="BH3590" s="0">
        <v>68</v>
      </c>
      <c r="BI3590" s="0">
        <v>68</v>
      </c>
      <c r="BJ3590" s="0" t="s">
        <v>135</v>
      </c>
    </row>
    <row r="3591">
      <c r="A3591" s="0" t="s">
        <v>3844</v>
      </c>
      <c r="B3591" s="0" t="s">
        <v>134</v>
      </c>
      <c r="C3591" s="0" t="s">
        <v>134</v>
      </c>
      <c r="D3591" s="0" t="s">
        <v>135</v>
      </c>
      <c r="E3591" s="0" t="s">
        <v>3</v>
      </c>
      <c r="F3591" s="0" t="s">
        <v>12</v>
      </c>
      <c r="G3591" s="0" t="s">
        <v>8</v>
      </c>
      <c r="H3591" s="0">
        <v>113</v>
      </c>
      <c r="I3591" s="0">
        <v>245</v>
      </c>
      <c r="J3591" s="0">
        <v>0</v>
      </c>
      <c r="K3591" s="0">
        <v>1</v>
      </c>
      <c r="L3591" s="0">
        <v>3</v>
      </c>
      <c r="M3591" s="0">
        <v>5</v>
      </c>
      <c r="N3591" s="0">
        <v>0</v>
      </c>
      <c r="O3591" s="0">
        <v>0</v>
      </c>
      <c r="P3591" s="0">
        <v>0</v>
      </c>
      <c r="R3591" s="0" t="b">
        <v>0</v>
      </c>
      <c r="S3591" s="0" t="b">
        <v>1</v>
      </c>
      <c r="T3591" s="68">
        <v>45940.5015625</v>
      </c>
      <c r="U3591" s="68">
        <v>45954.3333333333</v>
      </c>
      <c r="V3591" s="68">
        <v>0</v>
      </c>
      <c r="W3591" s="0">
        <f>IF(IF(B3591="none",1,IF(B3591="Trialer",1,0))+IF(C3591="Customer",1,IF(C3591="Lost",1,0))=2,1,0)</f>
      </c>
      <c r="X3591" s="0" t="s">
        <v>882</v>
      </c>
      <c r="Y3591" s="0" t="s">
        <v>243</v>
      </c>
      <c r="AV3591" s="68"/>
      <c r="AW3591" s="68"/>
      <c r="AY3591" s="27"/>
      <c r="BD3591" s="68">
        <v>46054.1666666667</v>
      </c>
      <c r="BE3591" s="68">
        <v>46082.1666666667</v>
      </c>
      <c r="BF3591" s="0" t="b">
        <v>0</v>
      </c>
      <c r="BG3591" s="0" t="b">
        <v>0</v>
      </c>
      <c r="BH3591" s="0">
        <v>245</v>
      </c>
      <c r="BI3591" s="0">
        <v>245</v>
      </c>
      <c r="BJ3591" s="0" t="s">
        <v>135</v>
      </c>
    </row>
    <row r="3592">
      <c r="A3592" s="0" t="s">
        <v>3845</v>
      </c>
      <c r="B3592" s="0" t="s">
        <v>134</v>
      </c>
      <c r="C3592" s="0" t="s">
        <v>134</v>
      </c>
      <c r="D3592" s="0" t="s">
        <v>230</v>
      </c>
      <c r="E3592" s="0" t="s">
        <v>2</v>
      </c>
      <c r="F3592" s="0" t="s">
        <v>12</v>
      </c>
      <c r="G3592" s="0" t="s">
        <v>8</v>
      </c>
      <c r="H3592" s="0">
        <v>113</v>
      </c>
      <c r="I3592" s="0">
        <v>50</v>
      </c>
      <c r="J3592" s="0">
        <v>0</v>
      </c>
      <c r="K3592" s="0">
        <v>1</v>
      </c>
      <c r="L3592" s="0">
        <v>1</v>
      </c>
      <c r="M3592" s="0">
        <v>2</v>
      </c>
      <c r="N3592" s="0">
        <v>0</v>
      </c>
      <c r="O3592" s="0">
        <v>0</v>
      </c>
      <c r="P3592" s="0">
        <v>-50</v>
      </c>
      <c r="R3592" s="0" t="b">
        <v>0</v>
      </c>
      <c r="S3592" s="0" t="b">
        <v>1</v>
      </c>
      <c r="T3592" s="68">
        <v>45940.5152083333</v>
      </c>
      <c r="U3592" s="68">
        <v>45944.3333333333</v>
      </c>
      <c r="V3592" s="68">
        <v>0</v>
      </c>
      <c r="W3592" s="0">
        <f>IF(IF(B3592="none",1,IF(B3592="Trialer",1,0))+IF(C3592="Customer",1,IF(C3592="Lost",1,0))=2,1,0)</f>
      </c>
      <c r="X3592" s="0" t="s">
        <v>166</v>
      </c>
      <c r="Y3592" s="0" t="s">
        <v>499</v>
      </c>
      <c r="AV3592" s="68"/>
      <c r="AW3592" s="68"/>
      <c r="AY3592" s="27"/>
      <c r="BD3592" s="68">
        <v>46054.1666666667</v>
      </c>
      <c r="BE3592" s="68">
        <v>46082.1666666667</v>
      </c>
      <c r="BF3592" s="0" t="b">
        <v>0</v>
      </c>
      <c r="BG3592" s="0" t="b">
        <v>0</v>
      </c>
      <c r="BH3592" s="0">
        <v>56</v>
      </c>
      <c r="BI3592" s="0">
        <v>56</v>
      </c>
      <c r="BJ3592" s="0" t="s">
        <v>230</v>
      </c>
    </row>
    <row r="3593">
      <c r="A3593" s="0" t="s">
        <v>3846</v>
      </c>
      <c r="B3593" s="0" t="s">
        <v>134</v>
      </c>
      <c r="C3593" s="0" t="s">
        <v>134</v>
      </c>
      <c r="D3593" s="0" t="s">
        <v>230</v>
      </c>
      <c r="E3593" s="0" t="s">
        <v>2</v>
      </c>
      <c r="F3593" s="0" t="s">
        <v>10</v>
      </c>
      <c r="G3593" s="0" t="s">
        <v>8</v>
      </c>
      <c r="H3593" s="0">
        <v>113</v>
      </c>
      <c r="I3593" s="0">
        <v>284</v>
      </c>
      <c r="J3593" s="0">
        <v>0</v>
      </c>
      <c r="K3593" s="0">
        <v>1</v>
      </c>
      <c r="L3593" s="0">
        <v>4</v>
      </c>
      <c r="M3593" s="0">
        <v>6</v>
      </c>
      <c r="N3593" s="0">
        <v>0</v>
      </c>
      <c r="O3593" s="0">
        <v>0</v>
      </c>
      <c r="P3593" s="0">
        <v>-284</v>
      </c>
      <c r="Q3593" s="0" t="s">
        <v>3847</v>
      </c>
      <c r="R3593" s="0" t="b">
        <v>0</v>
      </c>
      <c r="S3593" s="0" t="b">
        <v>1</v>
      </c>
      <c r="T3593" s="68">
        <v>45940.6570486111</v>
      </c>
      <c r="U3593" s="68">
        <v>45960.3333333333</v>
      </c>
      <c r="V3593" s="68">
        <v>0</v>
      </c>
      <c r="W3593" s="0">
        <f>IF(IF(B3593="none",1,IF(B3593="Trialer",1,0))+IF(C3593="Customer",1,IF(C3593="Lost",1,0))=2,1,0)</f>
      </c>
      <c r="X3593" s="0" t="s">
        <v>136</v>
      </c>
      <c r="Y3593" s="0" t="s">
        <v>499</v>
      </c>
      <c r="AV3593" s="68"/>
      <c r="AW3593" s="68"/>
      <c r="AY3593" s="27"/>
      <c r="BD3593" s="68">
        <v>46054.1666666667</v>
      </c>
      <c r="BE3593" s="68">
        <v>46082.1666666667</v>
      </c>
      <c r="BF3593" s="0" t="b">
        <v>0</v>
      </c>
      <c r="BG3593" s="0" t="b">
        <v>0</v>
      </c>
      <c r="BH3593" s="0">
        <v>318</v>
      </c>
      <c r="BI3593" s="0">
        <v>318</v>
      </c>
      <c r="BJ3593" s="0" t="s">
        <v>230</v>
      </c>
    </row>
    <row r="3594">
      <c r="A3594" s="0" t="s">
        <v>3848</v>
      </c>
      <c r="B3594" s="0" t="s">
        <v>134</v>
      </c>
      <c r="C3594" s="0" t="s">
        <v>134</v>
      </c>
      <c r="D3594" s="0" t="s">
        <v>135</v>
      </c>
      <c r="E3594" s="0" t="s">
        <v>3</v>
      </c>
      <c r="F3594" s="0" t="s">
        <v>12</v>
      </c>
      <c r="G3594" s="0" t="s">
        <v>8</v>
      </c>
      <c r="H3594" s="0">
        <v>113</v>
      </c>
      <c r="I3594" s="0">
        <v>40</v>
      </c>
      <c r="J3594" s="0">
        <v>0</v>
      </c>
      <c r="K3594" s="0">
        <v>1</v>
      </c>
      <c r="L3594" s="0">
        <v>2</v>
      </c>
      <c r="M3594" s="0">
        <v>1</v>
      </c>
      <c r="N3594" s="0">
        <v>0</v>
      </c>
      <c r="O3594" s="0">
        <v>0</v>
      </c>
      <c r="P3594" s="0">
        <v>0</v>
      </c>
      <c r="R3594" s="0" t="b">
        <v>0</v>
      </c>
      <c r="S3594" s="0" t="b">
        <v>1</v>
      </c>
      <c r="T3594" s="68">
        <v>45940.8856134259</v>
      </c>
      <c r="U3594" s="68">
        <v>45954.3333333333</v>
      </c>
      <c r="V3594" s="68">
        <v>0</v>
      </c>
      <c r="W3594" s="0">
        <f>IF(IF(B3594="none",1,IF(B3594="Trialer",1,0))+IF(C3594="Customer",1,IF(C3594="Lost",1,0))=2,1,0)</f>
      </c>
      <c r="X3594" s="0" t="s">
        <v>153</v>
      </c>
      <c r="Y3594" s="0" t="s">
        <v>243</v>
      </c>
      <c r="AV3594" s="68"/>
      <c r="AW3594" s="68"/>
      <c r="AY3594" s="27"/>
      <c r="BD3594" s="68">
        <v>46054.1666666667</v>
      </c>
      <c r="BE3594" s="68">
        <v>46082.1666666667</v>
      </c>
      <c r="BF3594" s="0" t="b">
        <v>0</v>
      </c>
      <c r="BG3594" s="0" t="b">
        <v>0</v>
      </c>
      <c r="BH3594" s="0">
        <v>28</v>
      </c>
      <c r="BI3594" s="0">
        <v>28</v>
      </c>
      <c r="BJ3594" s="0" t="s">
        <v>135</v>
      </c>
    </row>
    <row r="3595">
      <c r="A3595" s="0" t="s">
        <v>3849</v>
      </c>
      <c r="B3595" s="0" t="s">
        <v>134</v>
      </c>
      <c r="C3595" s="0" t="s">
        <v>190</v>
      </c>
      <c r="D3595" s="0" t="s">
        <v>135</v>
      </c>
      <c r="E3595" s="0" t="s">
        <v>3</v>
      </c>
      <c r="F3595" s="0" t="s">
        <v>12</v>
      </c>
      <c r="G3595" s="0" t="s">
        <v>8</v>
      </c>
      <c r="H3595" s="0">
        <v>112</v>
      </c>
      <c r="I3595" s="0">
        <v>28</v>
      </c>
      <c r="J3595" s="0">
        <v>0</v>
      </c>
      <c r="K3595" s="0">
        <v>1</v>
      </c>
      <c r="L3595" s="0">
        <v>1</v>
      </c>
      <c r="M3595" s="0">
        <v>1</v>
      </c>
      <c r="N3595" s="0">
        <v>0</v>
      </c>
      <c r="O3595" s="0">
        <v>0</v>
      </c>
      <c r="P3595" s="0">
        <v>0</v>
      </c>
      <c r="R3595" s="0" t="b">
        <v>0</v>
      </c>
      <c r="S3595" s="0" t="b">
        <v>0</v>
      </c>
      <c r="T3595" s="68">
        <v>45941.8350231481</v>
      </c>
      <c r="U3595" s="68">
        <v>45956.3333333333</v>
      </c>
      <c r="V3595" s="68">
        <v>46078.4254050926</v>
      </c>
      <c r="W3595" s="0">
        <f>IF(IF(B3595="none",1,IF(B3595="Trialer",1,0))+IF(C3595="Customer",1,IF(C3595="Lost",1,0))=2,1,0)</f>
      </c>
      <c r="X3595" s="0" t="s">
        <v>142</v>
      </c>
      <c r="Y3595" s="0" t="s">
        <v>243</v>
      </c>
      <c r="AV3595" s="68"/>
      <c r="AW3595" s="68"/>
      <c r="AY3595" s="27"/>
      <c r="BD3595" s="68">
        <v>46054.1666666667</v>
      </c>
      <c r="BE3595" s="68">
        <v>46082.1666666667</v>
      </c>
      <c r="BF3595" s="0" t="b">
        <v>0</v>
      </c>
      <c r="BG3595" s="0" t="b">
        <v>0</v>
      </c>
      <c r="BH3595" s="0">
        <v>28</v>
      </c>
      <c r="BI3595" s="0">
        <v>28</v>
      </c>
      <c r="BJ3595" s="0" t="s">
        <v>135</v>
      </c>
    </row>
    <row r="3596">
      <c r="A3596" s="0" t="s">
        <v>3850</v>
      </c>
      <c r="B3596" s="0" t="s">
        <v>134</v>
      </c>
      <c r="C3596" s="0" t="s">
        <v>134</v>
      </c>
      <c r="D3596" s="0" t="s">
        <v>135</v>
      </c>
      <c r="E3596" s="0" t="s">
        <v>3</v>
      </c>
      <c r="F3596" s="0" t="s">
        <v>12</v>
      </c>
      <c r="G3596" s="0" t="s">
        <v>8</v>
      </c>
      <c r="H3596" s="0">
        <v>112</v>
      </c>
      <c r="I3596" s="0">
        <v>61</v>
      </c>
      <c r="J3596" s="0">
        <v>0</v>
      </c>
      <c r="K3596" s="0">
        <v>1</v>
      </c>
      <c r="L3596" s="0">
        <v>4</v>
      </c>
      <c r="M3596" s="0">
        <v>1</v>
      </c>
      <c r="N3596" s="0">
        <v>0</v>
      </c>
      <c r="O3596" s="0">
        <v>0</v>
      </c>
      <c r="P3596" s="0">
        <v>0</v>
      </c>
      <c r="R3596" s="0" t="b">
        <v>0</v>
      </c>
      <c r="S3596" s="0" t="b">
        <v>1</v>
      </c>
      <c r="T3596" s="68">
        <v>45941.9243171296</v>
      </c>
      <c r="U3596" s="68">
        <v>45955.3333333333</v>
      </c>
      <c r="V3596" s="68">
        <v>0</v>
      </c>
      <c r="W3596" s="0">
        <f>IF(IF(B3596="none",1,IF(B3596="Trialer",1,0))+IF(C3596="Customer",1,IF(C3596="Lost",1,0))=2,1,0)</f>
      </c>
      <c r="X3596" s="0" t="s">
        <v>166</v>
      </c>
      <c r="Y3596" s="0" t="s">
        <v>243</v>
      </c>
      <c r="AV3596" s="68"/>
      <c r="AW3596" s="68"/>
      <c r="AY3596" s="27"/>
      <c r="BD3596" s="68">
        <v>46054.1666666667</v>
      </c>
      <c r="BE3596" s="68">
        <v>46082.1666666667</v>
      </c>
      <c r="BF3596" s="0" t="b">
        <v>0</v>
      </c>
      <c r="BG3596" s="0" t="b">
        <v>0</v>
      </c>
      <c r="BH3596" s="0">
        <v>61</v>
      </c>
      <c r="BI3596" s="0">
        <v>61</v>
      </c>
      <c r="BJ3596" s="0" t="s">
        <v>135</v>
      </c>
    </row>
    <row r="3597">
      <c r="A3597" s="0" t="s">
        <v>3851</v>
      </c>
      <c r="B3597" s="0" t="s">
        <v>134</v>
      </c>
      <c r="C3597" s="0" t="s">
        <v>134</v>
      </c>
      <c r="D3597" s="0" t="s">
        <v>135</v>
      </c>
      <c r="E3597" s="0" t="s">
        <v>3</v>
      </c>
      <c r="F3597" s="0" t="s">
        <v>10</v>
      </c>
      <c r="G3597" s="0" t="s">
        <v>8</v>
      </c>
      <c r="H3597" s="0">
        <v>111</v>
      </c>
      <c r="I3597" s="0">
        <v>56</v>
      </c>
      <c r="J3597" s="0">
        <v>0</v>
      </c>
      <c r="K3597" s="0">
        <v>1</v>
      </c>
      <c r="L3597" s="0">
        <v>1</v>
      </c>
      <c r="M3597" s="0">
        <v>2</v>
      </c>
      <c r="N3597" s="0">
        <v>0</v>
      </c>
      <c r="O3597" s="0">
        <v>0</v>
      </c>
      <c r="P3597" s="0">
        <v>0</v>
      </c>
      <c r="Q3597" s="0" t="s">
        <v>618</v>
      </c>
      <c r="R3597" s="0" t="b">
        <v>0</v>
      </c>
      <c r="S3597" s="0" t="b">
        <v>1</v>
      </c>
      <c r="T3597" s="68">
        <v>45942.4182523148</v>
      </c>
      <c r="U3597" s="68">
        <v>45956.3333333333</v>
      </c>
      <c r="V3597" s="68">
        <v>0</v>
      </c>
      <c r="W3597" s="0">
        <f>IF(IF(B3597="none",1,IF(B3597="Trialer",1,0))+IF(C3597="Customer",1,IF(C3597="Lost",1,0))=2,1,0)</f>
      </c>
      <c r="X3597" s="0" t="s">
        <v>148</v>
      </c>
      <c r="Y3597" s="0" t="s">
        <v>243</v>
      </c>
      <c r="AV3597" s="68"/>
      <c r="AW3597" s="68"/>
      <c r="AY3597" s="27"/>
      <c r="BD3597" s="68">
        <v>46054.1666666667</v>
      </c>
      <c r="BE3597" s="68">
        <v>46082.1666666667</v>
      </c>
      <c r="BF3597" s="0" t="b">
        <v>0</v>
      </c>
      <c r="BG3597" s="0" t="b">
        <v>0</v>
      </c>
      <c r="BH3597" s="0">
        <v>56</v>
      </c>
      <c r="BI3597" s="0">
        <v>56</v>
      </c>
      <c r="BJ3597" s="0" t="s">
        <v>135</v>
      </c>
    </row>
    <row r="3598">
      <c r="A3598" s="0" t="s">
        <v>3852</v>
      </c>
      <c r="B3598" s="0" t="s">
        <v>134</v>
      </c>
      <c r="C3598" s="0" t="s">
        <v>134</v>
      </c>
      <c r="D3598" s="0" t="s">
        <v>135</v>
      </c>
      <c r="E3598" s="0" t="s">
        <v>2</v>
      </c>
      <c r="F3598" s="0" t="s">
        <v>12</v>
      </c>
      <c r="G3598" s="0" t="s">
        <v>8</v>
      </c>
      <c r="H3598" s="0">
        <v>111</v>
      </c>
      <c r="I3598" s="0">
        <v>150</v>
      </c>
      <c r="J3598" s="0">
        <v>0</v>
      </c>
      <c r="K3598" s="0">
        <v>1</v>
      </c>
      <c r="L3598" s="0">
        <v>4</v>
      </c>
      <c r="M3598" s="0">
        <v>3</v>
      </c>
      <c r="N3598" s="0">
        <v>0</v>
      </c>
      <c r="O3598" s="0">
        <v>0</v>
      </c>
      <c r="P3598" s="0">
        <v>0</v>
      </c>
      <c r="R3598" s="0" t="b">
        <v>0</v>
      </c>
      <c r="S3598" s="0" t="b">
        <v>0</v>
      </c>
      <c r="T3598" s="68">
        <v>45942.5819212963</v>
      </c>
      <c r="U3598" s="68">
        <v>45961.3333333333</v>
      </c>
      <c r="V3598" s="68">
        <v>46097.6595486111</v>
      </c>
      <c r="W3598" s="0">
        <f>IF(IF(B3598="none",1,IF(B3598="Trialer",1,0))+IF(C3598="Customer",1,IF(C3598="Lost",1,0))=2,1,0)</f>
      </c>
      <c r="X3598" s="0" t="s">
        <v>142</v>
      </c>
      <c r="Y3598" s="0" t="s">
        <v>499</v>
      </c>
      <c r="AV3598" s="68"/>
      <c r="AW3598" s="68"/>
      <c r="AY3598" s="27"/>
      <c r="BD3598" s="68">
        <v>46054.1666666667</v>
      </c>
      <c r="BE3598" s="68">
        <v>46082.1666666667</v>
      </c>
      <c r="BF3598" s="0" t="b">
        <v>0</v>
      </c>
      <c r="BG3598" s="0" t="b">
        <v>0</v>
      </c>
      <c r="BH3598" s="0">
        <v>150</v>
      </c>
      <c r="BI3598" s="0">
        <v>150</v>
      </c>
      <c r="BJ3598" s="0" t="s">
        <v>135</v>
      </c>
    </row>
    <row r="3599">
      <c r="A3599" s="0" t="s">
        <v>3853</v>
      </c>
      <c r="B3599" s="0" t="s">
        <v>134</v>
      </c>
      <c r="C3599" s="0" t="s">
        <v>134</v>
      </c>
      <c r="D3599" s="0" t="s">
        <v>230</v>
      </c>
      <c r="E3599" s="0" t="s">
        <v>3</v>
      </c>
      <c r="F3599" s="0" t="s">
        <v>12</v>
      </c>
      <c r="G3599" s="0" t="s">
        <v>8</v>
      </c>
      <c r="H3599" s="0">
        <v>110</v>
      </c>
      <c r="I3599" s="0">
        <v>128</v>
      </c>
      <c r="J3599" s="0">
        <v>0</v>
      </c>
      <c r="K3599" s="0">
        <v>1</v>
      </c>
      <c r="L3599" s="0">
        <v>5</v>
      </c>
      <c r="M3599" s="0">
        <v>2</v>
      </c>
      <c r="N3599" s="0">
        <v>0</v>
      </c>
      <c r="O3599" s="0">
        <v>0</v>
      </c>
      <c r="P3599" s="0">
        <v>-128</v>
      </c>
      <c r="R3599" s="0" t="b">
        <v>0</v>
      </c>
      <c r="S3599" s="0" t="b">
        <v>1</v>
      </c>
      <c r="T3599" s="68">
        <v>45943.4560763889</v>
      </c>
      <c r="U3599" s="68">
        <v>45964.2916666667</v>
      </c>
      <c r="V3599" s="68">
        <v>0</v>
      </c>
      <c r="W3599" s="0">
        <f>IF(IF(B3599="none",1,IF(B3599="Trialer",1,0))+IF(C3599="Customer",1,IF(C3599="Lost",1,0))=2,1,0)</f>
      </c>
      <c r="X3599" s="0" t="s">
        <v>153</v>
      </c>
      <c r="Y3599" s="0" t="s">
        <v>243</v>
      </c>
      <c r="AV3599" s="68"/>
      <c r="AW3599" s="68"/>
      <c r="AY3599" s="27"/>
      <c r="BD3599" s="68">
        <v>46054.1666666667</v>
      </c>
      <c r="BE3599" s="68">
        <v>46082.1666666667</v>
      </c>
      <c r="BF3599" s="0" t="b">
        <v>0</v>
      </c>
      <c r="BG3599" s="0" t="b">
        <v>0</v>
      </c>
      <c r="BH3599" s="0">
        <v>146</v>
      </c>
      <c r="BI3599" s="0">
        <v>146</v>
      </c>
      <c r="BJ3599" s="0" t="s">
        <v>230</v>
      </c>
    </row>
    <row r="3600">
      <c r="A3600" s="0" t="s">
        <v>3854</v>
      </c>
      <c r="B3600" s="0" t="s">
        <v>134</v>
      </c>
      <c r="C3600" s="0" t="s">
        <v>134</v>
      </c>
      <c r="D3600" s="0" t="s">
        <v>230</v>
      </c>
      <c r="E3600" s="0" t="s">
        <v>2</v>
      </c>
      <c r="F3600" s="0" t="s">
        <v>12</v>
      </c>
      <c r="G3600" s="0" t="s">
        <v>8</v>
      </c>
      <c r="H3600" s="0">
        <v>110</v>
      </c>
      <c r="I3600" s="0">
        <v>176</v>
      </c>
      <c r="J3600" s="0">
        <v>0</v>
      </c>
      <c r="K3600" s="0">
        <v>1</v>
      </c>
      <c r="L3600" s="0">
        <v>3</v>
      </c>
      <c r="M3600" s="0">
        <v>4</v>
      </c>
      <c r="N3600" s="0">
        <v>0</v>
      </c>
      <c r="O3600" s="0">
        <v>0</v>
      </c>
      <c r="P3600" s="0">
        <v>-176</v>
      </c>
      <c r="R3600" s="0" t="b">
        <v>0</v>
      </c>
      <c r="S3600" s="0" t="b">
        <v>1</v>
      </c>
      <c r="T3600" s="68">
        <v>45943.6006828704</v>
      </c>
      <c r="U3600" s="68">
        <v>45957.3333333333</v>
      </c>
      <c r="V3600" s="68">
        <v>0</v>
      </c>
      <c r="W3600" s="0">
        <f>IF(IF(B3600="none",1,IF(B3600="Trialer",1,0))+IF(C3600="Customer",1,IF(C3600="Lost",1,0))=2,1,0)</f>
      </c>
      <c r="X3600" s="0" t="s">
        <v>136</v>
      </c>
      <c r="Y3600" s="0" t="s">
        <v>499</v>
      </c>
      <c r="AV3600" s="68"/>
      <c r="AW3600" s="68"/>
      <c r="AY3600" s="27"/>
      <c r="BD3600" s="68">
        <v>46054.1666666667</v>
      </c>
      <c r="BE3600" s="68">
        <v>46082.1666666667</v>
      </c>
      <c r="BF3600" s="0" t="b">
        <v>0</v>
      </c>
      <c r="BG3600" s="0" t="b">
        <v>0</v>
      </c>
      <c r="BH3600" s="0">
        <v>245</v>
      </c>
      <c r="BI3600" s="0">
        <v>245</v>
      </c>
      <c r="BJ3600" s="0" t="s">
        <v>230</v>
      </c>
    </row>
    <row r="3601">
      <c r="A3601" s="0" t="s">
        <v>3855</v>
      </c>
      <c r="B3601" s="0" t="s">
        <v>134</v>
      </c>
      <c r="C3601" s="0" t="s">
        <v>134</v>
      </c>
      <c r="D3601" s="0" t="s">
        <v>135</v>
      </c>
      <c r="E3601" s="0" t="s">
        <v>3</v>
      </c>
      <c r="F3601" s="0" t="s">
        <v>12</v>
      </c>
      <c r="G3601" s="0" t="s">
        <v>8</v>
      </c>
      <c r="H3601" s="0">
        <v>110</v>
      </c>
      <c r="I3601" s="0">
        <v>49</v>
      </c>
      <c r="J3601" s="0">
        <v>0</v>
      </c>
      <c r="K3601" s="0">
        <v>1</v>
      </c>
      <c r="L3601" s="0">
        <v>3</v>
      </c>
      <c r="M3601" s="0">
        <v>1</v>
      </c>
      <c r="N3601" s="0">
        <v>310</v>
      </c>
      <c r="O3601" s="0">
        <v>0</v>
      </c>
      <c r="P3601" s="0">
        <v>0</v>
      </c>
      <c r="R3601" s="0" t="b">
        <v>0</v>
      </c>
      <c r="S3601" s="0" t="b">
        <v>1</v>
      </c>
      <c r="T3601" s="68">
        <v>45943.6089930556</v>
      </c>
      <c r="U3601" s="68">
        <v>45957.3333333333</v>
      </c>
      <c r="V3601" s="68">
        <v>0</v>
      </c>
      <c r="W3601" s="0">
        <f>IF(IF(B3601="none",1,IF(B3601="Trialer",1,0))+IF(C3601="Customer",1,IF(C3601="Lost",1,0))=2,1,0)</f>
      </c>
      <c r="X3601" s="0" t="s">
        <v>153</v>
      </c>
      <c r="Y3601" s="0" t="s">
        <v>243</v>
      </c>
      <c r="AV3601" s="68"/>
      <c r="AW3601" s="68"/>
      <c r="AY3601" s="27"/>
      <c r="BD3601" s="68">
        <v>46054.1666666667</v>
      </c>
      <c r="BE3601" s="68">
        <v>46082.1666666667</v>
      </c>
      <c r="BF3601" s="0" t="b">
        <v>0</v>
      </c>
      <c r="BG3601" s="0" t="b">
        <v>0</v>
      </c>
      <c r="BH3601" s="0">
        <v>49</v>
      </c>
      <c r="BI3601" s="0">
        <v>49</v>
      </c>
      <c r="BJ3601" s="0" t="s">
        <v>135</v>
      </c>
    </row>
    <row r="3602">
      <c r="A3602" s="0" t="s">
        <v>3856</v>
      </c>
      <c r="B3602" s="0" t="s">
        <v>134</v>
      </c>
      <c r="C3602" s="0" t="s">
        <v>134</v>
      </c>
      <c r="D3602" s="0" t="s">
        <v>135</v>
      </c>
      <c r="E3602" s="0" t="s">
        <v>2</v>
      </c>
      <c r="F3602" s="0" t="s">
        <v>12</v>
      </c>
      <c r="G3602" s="0" t="s">
        <v>8</v>
      </c>
      <c r="H3602" s="0">
        <v>110</v>
      </c>
      <c r="I3602" s="0">
        <v>1083</v>
      </c>
      <c r="J3602" s="0">
        <v>0</v>
      </c>
      <c r="K3602" s="0">
        <v>1</v>
      </c>
      <c r="L3602" s="0">
        <v>6</v>
      </c>
      <c r="M3602" s="0">
        <v>11</v>
      </c>
      <c r="N3602" s="0">
        <v>0</v>
      </c>
      <c r="O3602" s="0">
        <v>0</v>
      </c>
      <c r="P3602" s="0">
        <v>0</v>
      </c>
      <c r="R3602" s="0" t="b">
        <v>0</v>
      </c>
      <c r="S3602" s="0" t="b">
        <v>1</v>
      </c>
      <c r="T3602" s="68">
        <v>45943.7207638889</v>
      </c>
      <c r="U3602" s="68">
        <v>45957.3333333333</v>
      </c>
      <c r="V3602" s="68">
        <v>0</v>
      </c>
      <c r="W3602" s="0">
        <f>IF(IF(B3602="none",1,IF(B3602="Trialer",1,0))+IF(C3602="Customer",1,IF(C3602="Lost",1,0))=2,1,0)</f>
      </c>
      <c r="X3602" s="0" t="s">
        <v>145</v>
      </c>
      <c r="Y3602" s="0" t="s">
        <v>499</v>
      </c>
      <c r="AV3602" s="68"/>
      <c r="AW3602" s="68"/>
      <c r="AY3602" s="27"/>
      <c r="BD3602" s="68">
        <v>46054.1666666667</v>
      </c>
      <c r="BE3602" s="68">
        <v>46082.1666666667</v>
      </c>
      <c r="BF3602" s="0" t="b">
        <v>0</v>
      </c>
      <c r="BG3602" s="0" t="b">
        <v>0</v>
      </c>
      <c r="BH3602" s="0">
        <v>758</v>
      </c>
      <c r="BI3602" s="0">
        <v>758</v>
      </c>
      <c r="BJ3602" s="0" t="s">
        <v>135</v>
      </c>
    </row>
    <row r="3603">
      <c r="A3603" s="0" t="s">
        <v>3857</v>
      </c>
      <c r="B3603" s="0" t="s">
        <v>134</v>
      </c>
      <c r="C3603" s="0" t="s">
        <v>134</v>
      </c>
      <c r="D3603" s="0" t="s">
        <v>135</v>
      </c>
      <c r="E3603" s="0" t="s">
        <v>2</v>
      </c>
      <c r="F3603" s="0" t="s">
        <v>12</v>
      </c>
      <c r="G3603" s="0" t="s">
        <v>8</v>
      </c>
      <c r="H3603" s="0">
        <v>110</v>
      </c>
      <c r="I3603" s="0">
        <v>61</v>
      </c>
      <c r="J3603" s="0">
        <v>0</v>
      </c>
      <c r="K3603" s="0">
        <v>1</v>
      </c>
      <c r="L3603" s="0">
        <v>4</v>
      </c>
      <c r="M3603" s="0">
        <v>1</v>
      </c>
      <c r="N3603" s="0">
        <v>0</v>
      </c>
      <c r="O3603" s="0">
        <v>0</v>
      </c>
      <c r="P3603" s="0">
        <v>0</v>
      </c>
      <c r="R3603" s="0" t="b">
        <v>0</v>
      </c>
      <c r="S3603" s="0" t="b">
        <v>1</v>
      </c>
      <c r="T3603" s="68">
        <v>45943.728125</v>
      </c>
      <c r="U3603" s="68">
        <v>45968.2916666667</v>
      </c>
      <c r="V3603" s="68">
        <v>0</v>
      </c>
      <c r="W3603" s="0">
        <f>IF(IF(B3603="none",1,IF(B3603="Trialer",1,0))+IF(C3603="Customer",1,IF(C3603="Lost",1,0))=2,1,0)</f>
      </c>
      <c r="X3603" s="0" t="s">
        <v>1461</v>
      </c>
      <c r="Y3603" s="0" t="s">
        <v>499</v>
      </c>
      <c r="AV3603" s="68"/>
      <c r="AW3603" s="68"/>
      <c r="AY3603" s="27"/>
      <c r="BD3603" s="68">
        <v>46054.1666666667</v>
      </c>
      <c r="BE3603" s="68">
        <v>46082.1666666667</v>
      </c>
      <c r="BF3603" s="0" t="b">
        <v>0</v>
      </c>
      <c r="BG3603" s="0" t="b">
        <v>0</v>
      </c>
      <c r="BH3603" s="0">
        <v>61</v>
      </c>
      <c r="BI3603" s="0">
        <v>61</v>
      </c>
      <c r="BJ3603" s="0" t="s">
        <v>135</v>
      </c>
    </row>
    <row r="3604">
      <c r="A3604" s="0" t="s">
        <v>3858</v>
      </c>
      <c r="B3604" s="0" t="s">
        <v>134</v>
      </c>
      <c r="C3604" s="0" t="s">
        <v>134</v>
      </c>
      <c r="D3604" s="0" t="s">
        <v>230</v>
      </c>
      <c r="E3604" s="0" t="s">
        <v>3</v>
      </c>
      <c r="F3604" s="0" t="s">
        <v>12</v>
      </c>
      <c r="G3604" s="0" t="s">
        <v>8</v>
      </c>
      <c r="H3604" s="0">
        <v>109</v>
      </c>
      <c r="I3604" s="0">
        <v>369</v>
      </c>
      <c r="J3604" s="0">
        <v>0</v>
      </c>
      <c r="K3604" s="0">
        <v>1</v>
      </c>
      <c r="L3604" s="0">
        <v>3</v>
      </c>
      <c r="M3604" s="0">
        <v>1</v>
      </c>
      <c r="N3604" s="0">
        <v>558</v>
      </c>
      <c r="O3604" s="0">
        <v>0</v>
      </c>
      <c r="P3604" s="0">
        <v>-44</v>
      </c>
      <c r="R3604" s="0" t="b">
        <v>0</v>
      </c>
      <c r="S3604" s="0" t="b">
        <v>1</v>
      </c>
      <c r="T3604" s="68">
        <v>45944.4663888889</v>
      </c>
      <c r="U3604" s="68">
        <v>45968.2916666667</v>
      </c>
      <c r="V3604" s="68">
        <v>0</v>
      </c>
      <c r="W3604" s="0">
        <f>IF(IF(B3604="none",1,IF(B3604="Trialer",1,0))+IF(C3604="Customer",1,IF(C3604="Lost",1,0))=2,1,0)</f>
      </c>
      <c r="X3604" s="0" t="s">
        <v>136</v>
      </c>
      <c r="Y3604" s="0" t="s">
        <v>243</v>
      </c>
      <c r="AV3604" s="68"/>
      <c r="AW3604" s="68"/>
      <c r="AY3604" s="27"/>
      <c r="BD3604" s="68">
        <v>46054.1666666667</v>
      </c>
      <c r="BE3604" s="68">
        <v>46082.1666666667</v>
      </c>
      <c r="BF3604" s="0" t="b">
        <v>0</v>
      </c>
      <c r="BG3604" s="0" t="b">
        <v>0</v>
      </c>
      <c r="BH3604" s="0">
        <v>98</v>
      </c>
      <c r="BI3604" s="0">
        <v>49</v>
      </c>
      <c r="BJ3604" s="0" t="s">
        <v>230</v>
      </c>
    </row>
    <row r="3605">
      <c r="A3605" s="0" t="s">
        <v>3859</v>
      </c>
      <c r="B3605" s="0" t="s">
        <v>134</v>
      </c>
      <c r="C3605" s="0" t="s">
        <v>134</v>
      </c>
      <c r="D3605" s="0" t="s">
        <v>230</v>
      </c>
      <c r="E3605" s="0" t="s">
        <v>2</v>
      </c>
      <c r="F3605" s="0" t="s">
        <v>12</v>
      </c>
      <c r="G3605" s="0" t="s">
        <v>8</v>
      </c>
      <c r="H3605" s="0">
        <v>109</v>
      </c>
      <c r="I3605" s="0">
        <v>610</v>
      </c>
      <c r="J3605" s="0">
        <v>0</v>
      </c>
      <c r="K3605" s="0">
        <v>1</v>
      </c>
      <c r="L3605" s="0">
        <v>5</v>
      </c>
      <c r="M3605" s="0">
        <v>6</v>
      </c>
      <c r="N3605" s="0">
        <v>2092.5</v>
      </c>
      <c r="O3605" s="0">
        <v>0</v>
      </c>
      <c r="P3605" s="0">
        <v>-285</v>
      </c>
      <c r="R3605" s="0" t="b">
        <v>0</v>
      </c>
      <c r="S3605" s="0" t="b">
        <v>1</v>
      </c>
      <c r="T3605" s="68">
        <v>45944.6317824074</v>
      </c>
      <c r="U3605" s="68">
        <v>45944.3333333333</v>
      </c>
      <c r="V3605" s="68">
        <v>0</v>
      </c>
      <c r="W3605" s="0">
        <f>IF(IF(B3605="none",1,IF(B3605="Trialer",1,0))+IF(C3605="Customer",1,IF(C3605="Lost",1,0))=2,1,0)</f>
      </c>
      <c r="X3605" s="0" t="s">
        <v>145</v>
      </c>
      <c r="Y3605" s="0" t="s">
        <v>499</v>
      </c>
      <c r="AV3605" s="68"/>
      <c r="AW3605" s="68"/>
      <c r="AY3605" s="27"/>
      <c r="BD3605" s="68">
        <v>46054.1666666667</v>
      </c>
      <c r="BE3605" s="68">
        <v>46082.1666666667</v>
      </c>
      <c r="BF3605" s="0" t="b">
        <v>0</v>
      </c>
      <c r="BG3605" s="0" t="b">
        <v>0</v>
      </c>
      <c r="BH3605" s="0">
        <v>330</v>
      </c>
      <c r="BI3605" s="0">
        <v>330</v>
      </c>
      <c r="BJ3605" s="0" t="s">
        <v>230</v>
      </c>
    </row>
    <row r="3606">
      <c r="A3606" s="0" t="s">
        <v>3860</v>
      </c>
      <c r="B3606" s="0" t="s">
        <v>134</v>
      </c>
      <c r="C3606" s="0" t="s">
        <v>134</v>
      </c>
      <c r="D3606" s="0" t="s">
        <v>135</v>
      </c>
      <c r="E3606" s="0" t="s">
        <v>3</v>
      </c>
      <c r="F3606" s="0" t="s">
        <v>12</v>
      </c>
      <c r="G3606" s="0" t="s">
        <v>8</v>
      </c>
      <c r="H3606" s="0">
        <v>109</v>
      </c>
      <c r="I3606" s="0">
        <v>147</v>
      </c>
      <c r="J3606" s="0">
        <v>0</v>
      </c>
      <c r="K3606" s="0">
        <v>1</v>
      </c>
      <c r="L3606" s="0">
        <v>3</v>
      </c>
      <c r="M3606" s="0">
        <v>3</v>
      </c>
      <c r="N3606" s="0">
        <v>0</v>
      </c>
      <c r="O3606" s="0">
        <v>0</v>
      </c>
      <c r="P3606" s="0">
        <v>0</v>
      </c>
      <c r="R3606" s="0" t="b">
        <v>0</v>
      </c>
      <c r="S3606" s="0" t="b">
        <v>1</v>
      </c>
      <c r="T3606" s="68">
        <v>45944.7156712963</v>
      </c>
      <c r="U3606" s="68">
        <v>45959.3333333333</v>
      </c>
      <c r="V3606" s="68">
        <v>0</v>
      </c>
      <c r="W3606" s="0">
        <f>IF(IF(B3606="none",1,IF(B3606="Trialer",1,0))+IF(C3606="Customer",1,IF(C3606="Lost",1,0))=2,1,0)</f>
      </c>
      <c r="X3606" s="0" t="s">
        <v>3861</v>
      </c>
      <c r="Y3606" s="0" t="s">
        <v>243</v>
      </c>
      <c r="AV3606" s="68"/>
      <c r="AW3606" s="68"/>
      <c r="AY3606" s="27"/>
      <c r="BD3606" s="68">
        <v>46054.1666666667</v>
      </c>
      <c r="BE3606" s="68">
        <v>46082.1666666667</v>
      </c>
      <c r="BF3606" s="0" t="b">
        <v>0</v>
      </c>
      <c r="BG3606" s="0" t="b">
        <v>0</v>
      </c>
      <c r="BH3606" s="0">
        <v>147</v>
      </c>
      <c r="BI3606" s="0">
        <v>147</v>
      </c>
      <c r="BJ3606" s="0" t="s">
        <v>135</v>
      </c>
    </row>
    <row r="3607">
      <c r="A3607" s="0" t="s">
        <v>3862</v>
      </c>
      <c r="B3607" s="0" t="s">
        <v>134</v>
      </c>
      <c r="C3607" s="0" t="s">
        <v>134</v>
      </c>
      <c r="D3607" s="0" t="s">
        <v>135</v>
      </c>
      <c r="E3607" s="0" t="s">
        <v>3</v>
      </c>
      <c r="F3607" s="0" t="s">
        <v>12</v>
      </c>
      <c r="G3607" s="0" t="s">
        <v>8</v>
      </c>
      <c r="H3607" s="0">
        <v>109</v>
      </c>
      <c r="I3607" s="0">
        <v>40</v>
      </c>
      <c r="J3607" s="0">
        <v>0</v>
      </c>
      <c r="K3607" s="0">
        <v>1</v>
      </c>
      <c r="L3607" s="0">
        <v>2</v>
      </c>
      <c r="M3607" s="0">
        <v>1</v>
      </c>
      <c r="N3607" s="0">
        <v>0</v>
      </c>
      <c r="O3607" s="0">
        <v>0</v>
      </c>
      <c r="P3607" s="0">
        <v>0</v>
      </c>
      <c r="R3607" s="0" t="b">
        <v>0</v>
      </c>
      <c r="S3607" s="0" t="b">
        <v>1</v>
      </c>
      <c r="T3607" s="68">
        <v>45944.9805787037</v>
      </c>
      <c r="U3607" s="68">
        <v>45960.3333333333</v>
      </c>
      <c r="V3607" s="68">
        <v>0</v>
      </c>
      <c r="W3607" s="0">
        <f>IF(IF(B3607="none",1,IF(B3607="Trialer",1,0))+IF(C3607="Customer",1,IF(C3607="Lost",1,0))=2,1,0)</f>
      </c>
      <c r="X3607" s="0" t="s">
        <v>142</v>
      </c>
      <c r="Y3607" s="0" t="s">
        <v>243</v>
      </c>
      <c r="AV3607" s="68"/>
      <c r="AW3607" s="68"/>
      <c r="AY3607" s="27"/>
      <c r="BD3607" s="68">
        <v>46054.1666666667</v>
      </c>
      <c r="BE3607" s="68">
        <v>46082.1666666667</v>
      </c>
      <c r="BF3607" s="0" t="b">
        <v>0</v>
      </c>
      <c r="BG3607" s="0" t="b">
        <v>0</v>
      </c>
      <c r="BH3607" s="0">
        <v>40</v>
      </c>
      <c r="BI3607" s="0">
        <v>40</v>
      </c>
      <c r="BJ3607" s="0" t="s">
        <v>135</v>
      </c>
    </row>
    <row r="3608">
      <c r="A3608" s="0" t="s">
        <v>3863</v>
      </c>
      <c r="B3608" s="0" t="s">
        <v>134</v>
      </c>
      <c r="C3608" s="0" t="s">
        <v>134</v>
      </c>
      <c r="D3608" s="0" t="s">
        <v>230</v>
      </c>
      <c r="E3608" s="0" t="s">
        <v>2</v>
      </c>
      <c r="F3608" s="0" t="s">
        <v>12</v>
      </c>
      <c r="G3608" s="0" t="s">
        <v>8</v>
      </c>
      <c r="H3608" s="0">
        <v>108</v>
      </c>
      <c r="I3608" s="0">
        <v>196</v>
      </c>
      <c r="J3608" s="0">
        <v>0</v>
      </c>
      <c r="K3608" s="0">
        <v>1</v>
      </c>
      <c r="L3608" s="0">
        <v>5</v>
      </c>
      <c r="M3608" s="0">
        <v>4</v>
      </c>
      <c r="N3608" s="0">
        <v>0</v>
      </c>
      <c r="O3608" s="0">
        <v>0</v>
      </c>
      <c r="P3608" s="0">
        <v>-196</v>
      </c>
      <c r="R3608" s="0" t="b">
        <v>0</v>
      </c>
      <c r="S3608" s="0" t="b">
        <v>1</v>
      </c>
      <c r="T3608" s="68">
        <v>45945.4214236111</v>
      </c>
      <c r="U3608" s="68">
        <v>45959.3333333333</v>
      </c>
      <c r="V3608" s="68">
        <v>0</v>
      </c>
      <c r="W3608" s="0">
        <f>IF(IF(B3608="none",1,IF(B3608="Trialer",1,0))+IF(C3608="Customer",1,IF(C3608="Lost",1,0))=2,1,0)</f>
      </c>
      <c r="X3608" s="0" t="s">
        <v>148</v>
      </c>
      <c r="Y3608" s="0" t="s">
        <v>499</v>
      </c>
      <c r="AV3608" s="68"/>
      <c r="AW3608" s="68"/>
      <c r="AY3608" s="27"/>
      <c r="BD3608" s="68">
        <v>46054.1666666667</v>
      </c>
      <c r="BE3608" s="68">
        <v>46082.1666666667</v>
      </c>
      <c r="BF3608" s="0" t="b">
        <v>0</v>
      </c>
      <c r="BG3608" s="0" t="b">
        <v>0</v>
      </c>
      <c r="BH3608" s="0">
        <v>220</v>
      </c>
      <c r="BI3608" s="0">
        <v>220</v>
      </c>
      <c r="BJ3608" s="0" t="s">
        <v>230</v>
      </c>
    </row>
    <row r="3609">
      <c r="A3609" s="0" t="s">
        <v>3864</v>
      </c>
      <c r="B3609" s="0" t="s">
        <v>134</v>
      </c>
      <c r="C3609" s="0" t="s">
        <v>190</v>
      </c>
      <c r="D3609" s="0" t="s">
        <v>230</v>
      </c>
      <c r="E3609" s="0" t="s">
        <v>3</v>
      </c>
      <c r="F3609" s="0" t="s">
        <v>12</v>
      </c>
      <c r="G3609" s="0" t="s">
        <v>8</v>
      </c>
      <c r="H3609" s="0">
        <v>108</v>
      </c>
      <c r="I3609" s="0">
        <v>285</v>
      </c>
      <c r="J3609" s="0">
        <v>0</v>
      </c>
      <c r="K3609" s="0">
        <v>2</v>
      </c>
      <c r="L3609" s="0">
        <v>0</v>
      </c>
      <c r="M3609" s="0">
        <v>0</v>
      </c>
      <c r="N3609" s="0">
        <v>0</v>
      </c>
      <c r="O3609" s="0">
        <v>0</v>
      </c>
      <c r="P3609" s="0">
        <v>-112</v>
      </c>
      <c r="R3609" s="0" t="b">
        <v>0</v>
      </c>
      <c r="S3609" s="0" t="b">
        <v>0</v>
      </c>
      <c r="T3609" s="68">
        <v>45945.5354166667</v>
      </c>
      <c r="U3609" s="68">
        <v>45954.3333333333</v>
      </c>
      <c r="V3609" s="68">
        <v>46077.493912037</v>
      </c>
      <c r="W3609" s="0">
        <f>IF(IF(B3609="none",1,IF(B3609="Trialer",1,0))+IF(C3609="Customer",1,IF(C3609="Lost",1,0))=2,1,0)</f>
      </c>
      <c r="X3609" s="0" t="s">
        <v>145</v>
      </c>
      <c r="Y3609" s="0" t="s">
        <v>243</v>
      </c>
      <c r="AV3609" s="68"/>
      <c r="AW3609" s="68"/>
      <c r="AY3609" s="27"/>
      <c r="BD3609" s="68">
        <v>46054.1666666667</v>
      </c>
      <c r="BE3609" s="68">
        <v>46082.1666666667</v>
      </c>
      <c r="BF3609" s="0" t="b">
        <v>0</v>
      </c>
      <c r="BG3609" s="0" t="b">
        <v>0</v>
      </c>
      <c r="BH3609" s="0">
        <v>285</v>
      </c>
      <c r="BI3609" s="0">
        <v>285</v>
      </c>
      <c r="BJ3609" s="0" t="s">
        <v>135</v>
      </c>
    </row>
    <row r="3610">
      <c r="A3610" s="0" t="s">
        <v>3865</v>
      </c>
      <c r="B3610" s="0" t="s">
        <v>134</v>
      </c>
      <c r="C3610" s="0" t="s">
        <v>134</v>
      </c>
      <c r="D3610" s="0" t="s">
        <v>230</v>
      </c>
      <c r="E3610" s="0" t="s">
        <v>3</v>
      </c>
      <c r="F3610" s="0" t="s">
        <v>12</v>
      </c>
      <c r="G3610" s="0" t="s">
        <v>8</v>
      </c>
      <c r="H3610" s="0">
        <v>108</v>
      </c>
      <c r="I3610" s="0">
        <v>240</v>
      </c>
      <c r="J3610" s="0">
        <v>0</v>
      </c>
      <c r="K3610" s="0">
        <v>1</v>
      </c>
      <c r="L3610" s="0">
        <v>4</v>
      </c>
      <c r="M3610" s="0">
        <v>5</v>
      </c>
      <c r="N3610" s="0">
        <v>0</v>
      </c>
      <c r="O3610" s="0">
        <v>0</v>
      </c>
      <c r="P3610" s="0">
        <v>-240</v>
      </c>
      <c r="R3610" s="0" t="b">
        <v>0</v>
      </c>
      <c r="S3610" s="0" t="b">
        <v>1</v>
      </c>
      <c r="T3610" s="68">
        <v>45945.6924884259</v>
      </c>
      <c r="U3610" s="68">
        <v>45959.3333333333</v>
      </c>
      <c r="V3610" s="68">
        <v>0</v>
      </c>
      <c r="W3610" s="0">
        <f>IF(IF(B3610="none",1,IF(B3610="Trialer",1,0))+IF(C3610="Customer",1,IF(C3610="Lost",1,0))=2,1,0)</f>
      </c>
      <c r="X3610" s="0" t="s">
        <v>148</v>
      </c>
      <c r="Y3610" s="0" t="s">
        <v>243</v>
      </c>
      <c r="AV3610" s="68"/>
      <c r="AW3610" s="68"/>
      <c r="AY3610" s="27"/>
      <c r="BD3610" s="68">
        <v>46054.1666666667</v>
      </c>
      <c r="BE3610" s="68">
        <v>46082.1666666667</v>
      </c>
      <c r="BF3610" s="0" t="b">
        <v>0</v>
      </c>
      <c r="BG3610" s="0" t="b">
        <v>0</v>
      </c>
      <c r="BH3610" s="0">
        <v>269</v>
      </c>
      <c r="BI3610" s="0">
        <v>269</v>
      </c>
      <c r="BJ3610" s="0" t="s">
        <v>230</v>
      </c>
    </row>
    <row r="3611">
      <c r="A3611" s="0" t="s">
        <v>3866</v>
      </c>
      <c r="B3611" s="0" t="s">
        <v>134</v>
      </c>
      <c r="C3611" s="0" t="s">
        <v>134</v>
      </c>
      <c r="D3611" s="0" t="s">
        <v>230</v>
      </c>
      <c r="E3611" s="0" t="s">
        <v>2</v>
      </c>
      <c r="F3611" s="0" t="s">
        <v>12</v>
      </c>
      <c r="G3611" s="0" t="s">
        <v>8</v>
      </c>
      <c r="H3611" s="0">
        <v>107</v>
      </c>
      <c r="I3611" s="0">
        <v>870.25</v>
      </c>
      <c r="J3611" s="0">
        <v>0</v>
      </c>
      <c r="K3611" s="0">
        <v>1</v>
      </c>
      <c r="L3611" s="0">
        <v>5</v>
      </c>
      <c r="M3611" s="0">
        <v>15</v>
      </c>
      <c r="N3611" s="0">
        <v>2371.5</v>
      </c>
      <c r="O3611" s="0">
        <v>0</v>
      </c>
      <c r="P3611" s="0">
        <v>-545.25</v>
      </c>
      <c r="R3611" s="0" t="b">
        <v>0</v>
      </c>
      <c r="S3611" s="0" t="b">
        <v>1</v>
      </c>
      <c r="T3611" s="68">
        <v>45946.4922106481</v>
      </c>
      <c r="U3611" s="68">
        <v>45959.3333333333</v>
      </c>
      <c r="V3611" s="68">
        <v>0</v>
      </c>
      <c r="W3611" s="0">
        <f>IF(IF(B3611="none",1,IF(B3611="Trialer",1,0))+IF(C3611="Customer",1,IF(C3611="Lost",1,0))=2,1,0)</f>
      </c>
      <c r="X3611" s="0" t="s">
        <v>136</v>
      </c>
      <c r="Y3611" s="0" t="s">
        <v>499</v>
      </c>
      <c r="AV3611" s="68"/>
      <c r="AW3611" s="68"/>
      <c r="AY3611" s="27"/>
      <c r="BD3611" s="68">
        <v>46054.1666666667</v>
      </c>
      <c r="BE3611" s="68">
        <v>46082.1666666667</v>
      </c>
      <c r="BF3611" s="0" t="b">
        <v>0</v>
      </c>
      <c r="BG3611" s="0" t="b">
        <v>0</v>
      </c>
      <c r="BH3611" s="0">
        <v>745</v>
      </c>
      <c r="BI3611" s="0">
        <v>745</v>
      </c>
      <c r="BJ3611" s="0" t="s">
        <v>230</v>
      </c>
    </row>
    <row r="3612">
      <c r="A3612" s="0" t="s">
        <v>3867</v>
      </c>
      <c r="B3612" s="0" t="s">
        <v>134</v>
      </c>
      <c r="C3612" s="0" t="s">
        <v>134</v>
      </c>
      <c r="D3612" s="0" t="s">
        <v>230</v>
      </c>
      <c r="E3612" s="0" t="s">
        <v>2</v>
      </c>
      <c r="F3612" s="0" t="s">
        <v>12</v>
      </c>
      <c r="G3612" s="0" t="s">
        <v>8</v>
      </c>
      <c r="H3612" s="0">
        <v>107</v>
      </c>
      <c r="I3612" s="0">
        <v>176</v>
      </c>
      <c r="J3612" s="0">
        <v>0</v>
      </c>
      <c r="K3612" s="0">
        <v>1</v>
      </c>
      <c r="L3612" s="0">
        <v>3</v>
      </c>
      <c r="M3612" s="0">
        <v>4</v>
      </c>
      <c r="N3612" s="0">
        <v>0</v>
      </c>
      <c r="O3612" s="0">
        <v>0</v>
      </c>
      <c r="P3612" s="0">
        <v>-176</v>
      </c>
      <c r="R3612" s="0" t="b">
        <v>0</v>
      </c>
      <c r="S3612" s="0" t="b">
        <v>1</v>
      </c>
      <c r="T3612" s="68">
        <v>45946.7096875</v>
      </c>
      <c r="U3612" s="68">
        <v>45980.2916666667</v>
      </c>
      <c r="V3612" s="68">
        <v>0</v>
      </c>
      <c r="W3612" s="0">
        <f>IF(IF(B3612="none",1,IF(B3612="Trialer",1,0))+IF(C3612="Customer",1,IF(C3612="Lost",1,0))=2,1,0)</f>
      </c>
      <c r="X3612" s="0" t="s">
        <v>1461</v>
      </c>
      <c r="Y3612" s="0" t="s">
        <v>499</v>
      </c>
      <c r="AV3612" s="68"/>
      <c r="AW3612" s="68"/>
      <c r="AY3612" s="27"/>
      <c r="BD3612" s="68">
        <v>46054.1666666667</v>
      </c>
      <c r="BE3612" s="68">
        <v>46082.1666666667</v>
      </c>
      <c r="BF3612" s="0" t="b">
        <v>0</v>
      </c>
      <c r="BG3612" s="0" t="b">
        <v>0</v>
      </c>
      <c r="BH3612" s="0">
        <v>196</v>
      </c>
      <c r="BI3612" s="0">
        <v>196</v>
      </c>
      <c r="BJ3612" s="0" t="s">
        <v>230</v>
      </c>
    </row>
    <row r="3613">
      <c r="A3613" s="0" t="s">
        <v>3868</v>
      </c>
      <c r="B3613" s="0" t="s">
        <v>134</v>
      </c>
      <c r="C3613" s="0" t="s">
        <v>134</v>
      </c>
      <c r="D3613" s="0" t="s">
        <v>135</v>
      </c>
      <c r="E3613" s="0" t="s">
        <v>3</v>
      </c>
      <c r="F3613" s="0" t="s">
        <v>12</v>
      </c>
      <c r="G3613" s="0" t="s">
        <v>8</v>
      </c>
      <c r="H3613" s="0">
        <v>106</v>
      </c>
      <c r="I3613" s="0">
        <v>40</v>
      </c>
      <c r="J3613" s="0">
        <v>0</v>
      </c>
      <c r="K3613" s="0">
        <v>1</v>
      </c>
      <c r="L3613" s="0">
        <v>1</v>
      </c>
      <c r="M3613" s="0">
        <v>0</v>
      </c>
      <c r="N3613" s="0">
        <v>0</v>
      </c>
      <c r="O3613" s="0">
        <v>0</v>
      </c>
      <c r="P3613" s="0">
        <v>0</v>
      </c>
      <c r="R3613" s="0" t="b">
        <v>0</v>
      </c>
      <c r="S3613" s="0" t="b">
        <v>1</v>
      </c>
      <c r="T3613" s="68">
        <v>45947.4010648148</v>
      </c>
      <c r="U3613" s="68">
        <v>45947.3333333333</v>
      </c>
      <c r="V3613" s="68">
        <v>0</v>
      </c>
      <c r="W3613" s="0">
        <f>IF(IF(B3613="none",1,IF(B3613="Trialer",1,0))+IF(C3613="Customer",1,IF(C3613="Lost",1,0))=2,1,0)</f>
      </c>
      <c r="X3613" s="0" t="s">
        <v>148</v>
      </c>
      <c r="Y3613" s="0" t="s">
        <v>243</v>
      </c>
      <c r="AV3613" s="68"/>
      <c r="AW3613" s="68"/>
      <c r="AY3613" s="27"/>
      <c r="BD3613" s="68">
        <v>46054.1666666667</v>
      </c>
      <c r="BE3613" s="68">
        <v>46082.1666666667</v>
      </c>
      <c r="BF3613" s="0" t="b">
        <v>0</v>
      </c>
      <c r="BG3613" s="0" t="b">
        <v>0</v>
      </c>
      <c r="BH3613" s="0">
        <v>40</v>
      </c>
      <c r="BI3613" s="0">
        <v>40</v>
      </c>
      <c r="BJ3613" s="0" t="s">
        <v>135</v>
      </c>
    </row>
    <row r="3614">
      <c r="A3614" s="0" t="s">
        <v>3869</v>
      </c>
      <c r="B3614" s="0" t="s">
        <v>134</v>
      </c>
      <c r="C3614" s="0" t="s">
        <v>134</v>
      </c>
      <c r="D3614" s="0" t="s">
        <v>230</v>
      </c>
      <c r="E3614" s="0" t="s">
        <v>3</v>
      </c>
      <c r="F3614" s="0" t="s">
        <v>12</v>
      </c>
      <c r="G3614" s="0" t="s">
        <v>8</v>
      </c>
      <c r="H3614" s="0">
        <v>106</v>
      </c>
      <c r="I3614" s="0">
        <v>64</v>
      </c>
      <c r="J3614" s="0">
        <v>0</v>
      </c>
      <c r="K3614" s="0">
        <v>1</v>
      </c>
      <c r="L3614" s="0">
        <v>5</v>
      </c>
      <c r="M3614" s="0">
        <v>1</v>
      </c>
      <c r="N3614" s="0">
        <v>0</v>
      </c>
      <c r="O3614" s="0">
        <v>0</v>
      </c>
      <c r="P3614" s="0">
        <v>-64</v>
      </c>
      <c r="R3614" s="0" t="b">
        <v>0</v>
      </c>
      <c r="S3614" s="0" t="b">
        <v>0</v>
      </c>
      <c r="T3614" s="68">
        <v>45947.6292592593</v>
      </c>
      <c r="U3614" s="68">
        <v>45968.2916666667</v>
      </c>
      <c r="V3614" s="68">
        <v>46083.7200347222</v>
      </c>
      <c r="W3614" s="0">
        <f>IF(IF(B3614="none",1,IF(B3614="Trialer",1,0))+IF(C3614="Customer",1,IF(C3614="Lost",1,0))=2,1,0)</f>
      </c>
      <c r="X3614" s="0" t="s">
        <v>1461</v>
      </c>
      <c r="Y3614" s="0" t="s">
        <v>243</v>
      </c>
      <c r="AV3614" s="68"/>
      <c r="AW3614" s="68"/>
      <c r="AY3614" s="27"/>
      <c r="BD3614" s="68">
        <v>46054.1666666667</v>
      </c>
      <c r="BE3614" s="68">
        <v>46082.1666666667</v>
      </c>
      <c r="BF3614" s="0" t="b">
        <v>0</v>
      </c>
      <c r="BG3614" s="0" t="b">
        <v>0</v>
      </c>
      <c r="BH3614" s="0">
        <v>73</v>
      </c>
      <c r="BI3614" s="0">
        <v>73</v>
      </c>
      <c r="BJ3614" s="0" t="s">
        <v>230</v>
      </c>
    </row>
    <row r="3615">
      <c r="A3615" s="0" t="s">
        <v>3870</v>
      </c>
      <c r="B3615" s="0" t="s">
        <v>134</v>
      </c>
      <c r="C3615" s="0" t="s">
        <v>134</v>
      </c>
      <c r="D3615" s="0" t="s">
        <v>230</v>
      </c>
      <c r="E3615" s="0" t="s">
        <v>3</v>
      </c>
      <c r="F3615" s="0" t="s">
        <v>12</v>
      </c>
      <c r="G3615" s="0" t="s">
        <v>8</v>
      </c>
      <c r="H3615" s="0">
        <v>105</v>
      </c>
      <c r="I3615" s="0">
        <v>64</v>
      </c>
      <c r="J3615" s="0">
        <v>0</v>
      </c>
      <c r="K3615" s="0">
        <v>1</v>
      </c>
      <c r="L3615" s="0">
        <v>5</v>
      </c>
      <c r="M3615" s="0">
        <v>1</v>
      </c>
      <c r="N3615" s="0">
        <v>0</v>
      </c>
      <c r="O3615" s="0">
        <v>0</v>
      </c>
      <c r="P3615" s="0">
        <v>-64</v>
      </c>
      <c r="R3615" s="0" t="b">
        <v>0</v>
      </c>
      <c r="S3615" s="0" t="b">
        <v>1</v>
      </c>
      <c r="T3615" s="68">
        <v>45948.5936689815</v>
      </c>
      <c r="U3615" s="68">
        <v>45982.2916666667</v>
      </c>
      <c r="V3615" s="68">
        <v>0</v>
      </c>
      <c r="W3615" s="0">
        <f>IF(IF(B3615="none",1,IF(B3615="Trialer",1,0))+IF(C3615="Customer",1,IF(C3615="Lost",1,0))=2,1,0)</f>
      </c>
      <c r="X3615" s="0" t="s">
        <v>1461</v>
      </c>
      <c r="Y3615" s="0" t="s">
        <v>243</v>
      </c>
      <c r="AV3615" s="68"/>
      <c r="AW3615" s="68"/>
      <c r="AY3615" s="27"/>
      <c r="BD3615" s="68">
        <v>46054.1666666667</v>
      </c>
      <c r="BE3615" s="68">
        <v>46082.1666666667</v>
      </c>
      <c r="BF3615" s="0" t="b">
        <v>0</v>
      </c>
      <c r="BG3615" s="0" t="b">
        <v>0</v>
      </c>
      <c r="BH3615" s="0">
        <v>73</v>
      </c>
      <c r="BI3615" s="0">
        <v>73</v>
      </c>
      <c r="BJ3615" s="0" t="s">
        <v>230</v>
      </c>
    </row>
    <row r="3616">
      <c r="A3616" s="0" t="s">
        <v>3871</v>
      </c>
      <c r="B3616" s="0" t="s">
        <v>134</v>
      </c>
      <c r="C3616" s="0" t="s">
        <v>190</v>
      </c>
      <c r="D3616" s="0" t="s">
        <v>135</v>
      </c>
      <c r="E3616" s="0" t="s">
        <v>3</v>
      </c>
      <c r="F3616" s="0" t="s">
        <v>12</v>
      </c>
      <c r="G3616" s="0" t="s">
        <v>8</v>
      </c>
      <c r="H3616" s="0">
        <v>103</v>
      </c>
      <c r="I3616" s="0">
        <v>110</v>
      </c>
      <c r="J3616" s="0">
        <v>0</v>
      </c>
      <c r="K3616" s="0">
        <v>1</v>
      </c>
      <c r="L3616" s="0">
        <v>4</v>
      </c>
      <c r="M3616" s="0">
        <v>2</v>
      </c>
      <c r="N3616" s="0">
        <v>0</v>
      </c>
      <c r="O3616" s="0">
        <v>0</v>
      </c>
      <c r="P3616" s="0">
        <v>0</v>
      </c>
      <c r="R3616" s="0" t="b">
        <v>0</v>
      </c>
      <c r="S3616" s="0" t="b">
        <v>0</v>
      </c>
      <c r="T3616" s="68">
        <v>45950.4182175926</v>
      </c>
      <c r="U3616" s="68">
        <v>45964.2916666667</v>
      </c>
      <c r="V3616" s="68">
        <v>46071.6089699074</v>
      </c>
      <c r="W3616" s="0">
        <f>IF(IF(B3616="none",1,IF(B3616="Trialer",1,0))+IF(C3616="Customer",1,IF(C3616="Lost",1,0))=2,1,0)</f>
      </c>
      <c r="X3616" s="0" t="s">
        <v>1461</v>
      </c>
      <c r="Y3616" s="0" t="s">
        <v>243</v>
      </c>
      <c r="AV3616" s="68"/>
      <c r="AW3616" s="68"/>
      <c r="AY3616" s="27"/>
      <c r="BD3616" s="68">
        <v>46054.1666666667</v>
      </c>
      <c r="BE3616" s="68">
        <v>46082.1666666667</v>
      </c>
      <c r="BF3616" s="0" t="b">
        <v>0</v>
      </c>
      <c r="BG3616" s="0" t="b">
        <v>0</v>
      </c>
      <c r="BH3616" s="0">
        <v>110</v>
      </c>
      <c r="BI3616" s="0">
        <v>110</v>
      </c>
      <c r="BJ3616" s="0" t="s">
        <v>135</v>
      </c>
    </row>
    <row r="3617">
      <c r="A3617" s="0" t="s">
        <v>3872</v>
      </c>
      <c r="B3617" s="0" t="s">
        <v>134</v>
      </c>
      <c r="C3617" s="0" t="s">
        <v>134</v>
      </c>
      <c r="D3617" s="0" t="s">
        <v>135</v>
      </c>
      <c r="E3617" s="0" t="s">
        <v>2</v>
      </c>
      <c r="F3617" s="0" t="s">
        <v>12</v>
      </c>
      <c r="G3617" s="0" t="s">
        <v>8</v>
      </c>
      <c r="H3617" s="0">
        <v>103</v>
      </c>
      <c r="I3617" s="0">
        <v>342</v>
      </c>
      <c r="J3617" s="0">
        <v>0</v>
      </c>
      <c r="K3617" s="0">
        <v>1</v>
      </c>
      <c r="L3617" s="0">
        <v>5</v>
      </c>
      <c r="M3617" s="0">
        <v>6</v>
      </c>
      <c r="N3617" s="0">
        <v>0</v>
      </c>
      <c r="O3617" s="0">
        <v>0</v>
      </c>
      <c r="P3617" s="0">
        <v>0</v>
      </c>
      <c r="R3617" s="0" t="b">
        <v>0</v>
      </c>
      <c r="S3617" s="0" t="b">
        <v>1</v>
      </c>
      <c r="T3617" s="68">
        <v>45950.4337847222</v>
      </c>
      <c r="U3617" s="68">
        <v>45978.2916666667</v>
      </c>
      <c r="V3617" s="68">
        <v>0</v>
      </c>
      <c r="W3617" s="0">
        <f>IF(IF(B3617="none",1,IF(B3617="Trialer",1,0))+IF(C3617="Customer",1,IF(C3617="Lost",1,0))=2,1,0)</f>
      </c>
      <c r="X3617" s="0" t="s">
        <v>136</v>
      </c>
      <c r="Y3617" s="0" t="s">
        <v>499</v>
      </c>
      <c r="AV3617" s="68"/>
      <c r="AW3617" s="68"/>
      <c r="AY3617" s="27"/>
      <c r="BD3617" s="68">
        <v>46054.1666666667</v>
      </c>
      <c r="BE3617" s="68">
        <v>46082.1666666667</v>
      </c>
      <c r="BF3617" s="0" t="b">
        <v>0</v>
      </c>
      <c r="BG3617" s="0" t="b">
        <v>0</v>
      </c>
      <c r="BH3617" s="0">
        <v>342</v>
      </c>
      <c r="BI3617" s="0">
        <v>342</v>
      </c>
      <c r="BJ3617" s="0" t="s">
        <v>135</v>
      </c>
    </row>
    <row r="3618">
      <c r="A3618" s="0" t="s">
        <v>3873</v>
      </c>
      <c r="B3618" s="0" t="s">
        <v>134</v>
      </c>
      <c r="C3618" s="0" t="s">
        <v>134</v>
      </c>
      <c r="D3618" s="0" t="s">
        <v>135</v>
      </c>
      <c r="E3618" s="0" t="s">
        <v>3</v>
      </c>
      <c r="F3618" s="0" t="s">
        <v>12</v>
      </c>
      <c r="G3618" s="0" t="s">
        <v>8</v>
      </c>
      <c r="H3618" s="0">
        <v>103</v>
      </c>
      <c r="I3618" s="0">
        <v>73</v>
      </c>
      <c r="J3618" s="0">
        <v>0</v>
      </c>
      <c r="K3618" s="0">
        <v>1</v>
      </c>
      <c r="L3618" s="0">
        <v>5</v>
      </c>
      <c r="M3618" s="0">
        <v>1</v>
      </c>
      <c r="N3618" s="0">
        <v>0</v>
      </c>
      <c r="O3618" s="0">
        <v>0</v>
      </c>
      <c r="P3618" s="0">
        <v>0</v>
      </c>
      <c r="R3618" s="0" t="b">
        <v>0</v>
      </c>
      <c r="S3618" s="0" t="b">
        <v>1</v>
      </c>
      <c r="T3618" s="68">
        <v>45950.4455555556</v>
      </c>
      <c r="U3618" s="68">
        <v>45976.2916666667</v>
      </c>
      <c r="V3618" s="68">
        <v>0</v>
      </c>
      <c r="W3618" s="0">
        <f>IF(IF(B3618="none",1,IF(B3618="Trialer",1,0))+IF(C3618="Customer",1,IF(C3618="Lost",1,0))=2,1,0)</f>
      </c>
      <c r="X3618" s="0" t="s">
        <v>145</v>
      </c>
      <c r="Y3618" s="0" t="s">
        <v>243</v>
      </c>
      <c r="AV3618" s="68"/>
      <c r="AW3618" s="68"/>
      <c r="AY3618" s="27"/>
      <c r="BD3618" s="68">
        <v>46054.1666666667</v>
      </c>
      <c r="BE3618" s="68">
        <v>46082.1666666667</v>
      </c>
      <c r="BF3618" s="0" t="b">
        <v>0</v>
      </c>
      <c r="BG3618" s="0" t="b">
        <v>0</v>
      </c>
      <c r="BH3618" s="0">
        <v>73</v>
      </c>
      <c r="BI3618" s="0">
        <v>73</v>
      </c>
      <c r="BJ3618" s="0" t="s">
        <v>135</v>
      </c>
    </row>
    <row r="3619">
      <c r="A3619" s="0" t="s">
        <v>3874</v>
      </c>
      <c r="B3619" s="0" t="s">
        <v>134</v>
      </c>
      <c r="C3619" s="0" t="s">
        <v>134</v>
      </c>
      <c r="D3619" s="0" t="s">
        <v>230</v>
      </c>
      <c r="E3619" s="0" t="s">
        <v>2</v>
      </c>
      <c r="F3619" s="0" t="s">
        <v>12</v>
      </c>
      <c r="G3619" s="0" t="s">
        <v>8</v>
      </c>
      <c r="H3619" s="0">
        <v>103</v>
      </c>
      <c r="I3619" s="0">
        <v>63</v>
      </c>
      <c r="J3619" s="0">
        <v>0</v>
      </c>
      <c r="K3619" s="0">
        <v>1</v>
      </c>
      <c r="L3619" s="0">
        <v>1</v>
      </c>
      <c r="M3619" s="0">
        <v>3</v>
      </c>
      <c r="N3619" s="0">
        <v>0</v>
      </c>
      <c r="O3619" s="0">
        <v>0</v>
      </c>
      <c r="P3619" s="0">
        <v>-63</v>
      </c>
      <c r="R3619" s="0" t="b">
        <v>0</v>
      </c>
      <c r="S3619" s="0" t="b">
        <v>1</v>
      </c>
      <c r="T3619" s="68">
        <v>45950.7297106481</v>
      </c>
      <c r="U3619" s="68">
        <v>45981.2916666667</v>
      </c>
      <c r="V3619" s="68">
        <v>0</v>
      </c>
      <c r="W3619" s="0">
        <f>IF(IF(B3619="none",1,IF(B3619="Trialer",1,0))+IF(C3619="Customer",1,IF(C3619="Lost",1,0))=2,1,0)</f>
      </c>
      <c r="X3619" s="0" t="s">
        <v>1461</v>
      </c>
      <c r="Y3619" s="0" t="s">
        <v>499</v>
      </c>
      <c r="AV3619" s="68"/>
      <c r="AW3619" s="68"/>
      <c r="AY3619" s="27"/>
      <c r="BD3619" s="68">
        <v>46054.1666666667</v>
      </c>
      <c r="BE3619" s="68">
        <v>46082.1666666667</v>
      </c>
      <c r="BF3619" s="0" t="b">
        <v>0</v>
      </c>
      <c r="BG3619" s="0" t="b">
        <v>0</v>
      </c>
      <c r="BH3619" s="0">
        <v>84</v>
      </c>
      <c r="BI3619" s="0">
        <v>84</v>
      </c>
      <c r="BJ3619" s="0" t="s">
        <v>230</v>
      </c>
    </row>
    <row r="3620">
      <c r="A3620" s="0" t="s">
        <v>3875</v>
      </c>
      <c r="B3620" s="0" t="s">
        <v>134</v>
      </c>
      <c r="C3620" s="0" t="s">
        <v>134</v>
      </c>
      <c r="D3620" s="0" t="s">
        <v>135</v>
      </c>
      <c r="E3620" s="0" t="s">
        <v>3</v>
      </c>
      <c r="F3620" s="0" t="s">
        <v>12</v>
      </c>
      <c r="G3620" s="0" t="s">
        <v>8</v>
      </c>
      <c r="H3620" s="0">
        <v>103</v>
      </c>
      <c r="I3620" s="0">
        <v>147</v>
      </c>
      <c r="J3620" s="0">
        <v>0</v>
      </c>
      <c r="K3620" s="0">
        <v>1</v>
      </c>
      <c r="L3620" s="0">
        <v>3</v>
      </c>
      <c r="M3620" s="0">
        <v>3</v>
      </c>
      <c r="N3620" s="0">
        <v>0</v>
      </c>
      <c r="O3620" s="0">
        <v>0</v>
      </c>
      <c r="P3620" s="0">
        <v>0</v>
      </c>
      <c r="R3620" s="0" t="b">
        <v>0</v>
      </c>
      <c r="S3620" s="0" t="b">
        <v>1</v>
      </c>
      <c r="T3620" s="68">
        <v>45950.875625</v>
      </c>
      <c r="U3620" s="68">
        <v>45964.2916666667</v>
      </c>
      <c r="V3620" s="68">
        <v>0</v>
      </c>
      <c r="W3620" s="0">
        <f>IF(IF(B3620="none",1,IF(B3620="Trialer",1,0))+IF(C3620="Customer",1,IF(C3620="Lost",1,0))=2,1,0)</f>
      </c>
      <c r="X3620" s="0" t="s">
        <v>153</v>
      </c>
      <c r="Y3620" s="0" t="s">
        <v>243</v>
      </c>
      <c r="AV3620" s="68"/>
      <c r="AW3620" s="68"/>
      <c r="AY3620" s="27"/>
      <c r="BD3620" s="68">
        <v>46054.1666666667</v>
      </c>
      <c r="BE3620" s="68">
        <v>46082.1666666667</v>
      </c>
      <c r="BF3620" s="0" t="b">
        <v>0</v>
      </c>
      <c r="BG3620" s="0" t="b">
        <v>0</v>
      </c>
      <c r="BH3620" s="0">
        <v>147</v>
      </c>
      <c r="BI3620" s="0">
        <v>147</v>
      </c>
      <c r="BJ3620" s="0" t="s">
        <v>135</v>
      </c>
    </row>
    <row r="3621">
      <c r="A3621" s="0" t="s">
        <v>3876</v>
      </c>
      <c r="B3621" s="0" t="s">
        <v>134</v>
      </c>
      <c r="C3621" s="0" t="s">
        <v>134</v>
      </c>
      <c r="D3621" s="0" t="s">
        <v>230</v>
      </c>
      <c r="E3621" s="0" t="s">
        <v>3</v>
      </c>
      <c r="F3621" s="0" t="s">
        <v>12</v>
      </c>
      <c r="G3621" s="0" t="s">
        <v>8</v>
      </c>
      <c r="H3621" s="0">
        <v>103</v>
      </c>
      <c r="I3621" s="0">
        <v>88</v>
      </c>
      <c r="J3621" s="0">
        <v>0</v>
      </c>
      <c r="K3621" s="0">
        <v>1</v>
      </c>
      <c r="L3621" s="0">
        <v>3</v>
      </c>
      <c r="M3621" s="0">
        <v>2</v>
      </c>
      <c r="N3621" s="0">
        <v>0</v>
      </c>
      <c r="O3621" s="0">
        <v>0</v>
      </c>
      <c r="P3621" s="0">
        <v>-88</v>
      </c>
      <c r="R3621" s="0" t="b">
        <v>0</v>
      </c>
      <c r="S3621" s="0" t="b">
        <v>1</v>
      </c>
      <c r="T3621" s="68">
        <v>45950.8912152778</v>
      </c>
      <c r="U3621" s="68">
        <v>45952.3333333333</v>
      </c>
      <c r="V3621" s="68">
        <v>0</v>
      </c>
      <c r="W3621" s="0">
        <f>IF(IF(B3621="none",1,IF(B3621="Trialer",1,0))+IF(C3621="Customer",1,IF(C3621="Lost",1,0))=2,1,0)</f>
      </c>
      <c r="X3621" s="0" t="s">
        <v>166</v>
      </c>
      <c r="Y3621" s="0" t="s">
        <v>243</v>
      </c>
      <c r="AV3621" s="68"/>
      <c r="AW3621" s="68"/>
      <c r="AY3621" s="27"/>
      <c r="BD3621" s="68">
        <v>46054.1666666667</v>
      </c>
      <c r="BE3621" s="68">
        <v>46082.1666666667</v>
      </c>
      <c r="BF3621" s="0" t="b">
        <v>0</v>
      </c>
      <c r="BG3621" s="0" t="b">
        <v>0</v>
      </c>
      <c r="BH3621" s="0">
        <v>126</v>
      </c>
      <c r="BI3621" s="0">
        <v>126</v>
      </c>
      <c r="BJ3621" s="0" t="s">
        <v>230</v>
      </c>
    </row>
    <row r="3622">
      <c r="A3622" s="0" t="s">
        <v>3877</v>
      </c>
      <c r="B3622" s="0" t="s">
        <v>134</v>
      </c>
      <c r="C3622" s="0" t="s">
        <v>134</v>
      </c>
      <c r="D3622" s="0" t="s">
        <v>230</v>
      </c>
      <c r="E3622" s="0" t="s">
        <v>2</v>
      </c>
      <c r="F3622" s="0" t="s">
        <v>12</v>
      </c>
      <c r="G3622" s="0" t="s">
        <v>8</v>
      </c>
      <c r="H3622" s="0">
        <v>103</v>
      </c>
      <c r="I3622" s="0">
        <v>144</v>
      </c>
      <c r="J3622" s="0">
        <v>0</v>
      </c>
      <c r="K3622" s="0">
        <v>1</v>
      </c>
      <c r="L3622" s="0">
        <v>2</v>
      </c>
      <c r="M3622" s="0">
        <v>4</v>
      </c>
      <c r="N3622" s="0">
        <v>0</v>
      </c>
      <c r="O3622" s="0">
        <v>0</v>
      </c>
      <c r="P3622" s="0">
        <v>-144</v>
      </c>
      <c r="R3622" s="0" t="b">
        <v>0</v>
      </c>
      <c r="S3622" s="0" t="b">
        <v>1</v>
      </c>
      <c r="T3622" s="68">
        <v>45950.9568402778</v>
      </c>
      <c r="U3622" s="68">
        <v>45979.2916666667</v>
      </c>
      <c r="V3622" s="68">
        <v>0</v>
      </c>
      <c r="W3622" s="0">
        <f>IF(IF(B3622="none",1,IF(B3622="Trialer",1,0))+IF(C3622="Customer",1,IF(C3622="Lost",1,0))=2,1,0)</f>
      </c>
      <c r="X3622" s="0" t="s">
        <v>136</v>
      </c>
      <c r="Y3622" s="0" t="s">
        <v>499</v>
      </c>
      <c r="AV3622" s="68"/>
      <c r="AW3622" s="68"/>
      <c r="AY3622" s="27"/>
      <c r="BD3622" s="68">
        <v>46054.1666666667</v>
      </c>
      <c r="BE3622" s="68">
        <v>46082.1666666667</v>
      </c>
      <c r="BF3622" s="0" t="b">
        <v>0</v>
      </c>
      <c r="BG3622" s="0" t="b">
        <v>0</v>
      </c>
      <c r="BH3622" s="0">
        <v>160</v>
      </c>
      <c r="BI3622" s="0">
        <v>160</v>
      </c>
      <c r="BJ3622" s="0" t="s">
        <v>230</v>
      </c>
    </row>
    <row r="3623">
      <c r="A3623" s="0" t="s">
        <v>3878</v>
      </c>
      <c r="B3623" s="0" t="s">
        <v>134</v>
      </c>
      <c r="C3623" s="0" t="s">
        <v>134</v>
      </c>
      <c r="D3623" s="0" t="s">
        <v>135</v>
      </c>
      <c r="E3623" s="0" t="s">
        <v>3</v>
      </c>
      <c r="F3623" s="0" t="s">
        <v>12</v>
      </c>
      <c r="G3623" s="0" t="s">
        <v>8</v>
      </c>
      <c r="H3623" s="0">
        <v>102</v>
      </c>
      <c r="I3623" s="0">
        <v>98</v>
      </c>
      <c r="J3623" s="0">
        <v>0</v>
      </c>
      <c r="K3623" s="0">
        <v>1</v>
      </c>
      <c r="L3623" s="0">
        <v>3</v>
      </c>
      <c r="M3623" s="0">
        <v>2</v>
      </c>
      <c r="N3623" s="0">
        <v>0</v>
      </c>
      <c r="O3623" s="0">
        <v>0</v>
      </c>
      <c r="P3623" s="0">
        <v>0</v>
      </c>
      <c r="R3623" s="0" t="b">
        <v>0</v>
      </c>
      <c r="S3623" s="0" t="b">
        <v>1</v>
      </c>
      <c r="T3623" s="68">
        <v>45951.5479166667</v>
      </c>
      <c r="U3623" s="68">
        <v>45965.2916666667</v>
      </c>
      <c r="V3623" s="68">
        <v>0</v>
      </c>
      <c r="W3623" s="0">
        <f>IF(IF(B3623="none",1,IF(B3623="Trialer",1,0))+IF(C3623="Customer",1,IF(C3623="Lost",1,0))=2,1,0)</f>
      </c>
      <c r="X3623" s="0" t="s">
        <v>166</v>
      </c>
      <c r="Y3623" s="0" t="s">
        <v>243</v>
      </c>
      <c r="AV3623" s="68"/>
      <c r="AW3623" s="68"/>
      <c r="AY3623" s="27"/>
      <c r="BD3623" s="68">
        <v>46054.1666666667</v>
      </c>
      <c r="BE3623" s="68">
        <v>46082.1666666667</v>
      </c>
      <c r="BF3623" s="0" t="b">
        <v>0</v>
      </c>
      <c r="BG3623" s="0" t="b">
        <v>0</v>
      </c>
      <c r="BH3623" s="0">
        <v>98</v>
      </c>
      <c r="BI3623" s="0">
        <v>98</v>
      </c>
      <c r="BJ3623" s="0" t="s">
        <v>135</v>
      </c>
    </row>
    <row r="3624">
      <c r="A3624" s="0" t="s">
        <v>3879</v>
      </c>
      <c r="B3624" s="0" t="s">
        <v>134</v>
      </c>
      <c r="C3624" s="0" t="s">
        <v>134</v>
      </c>
      <c r="D3624" s="0" t="s">
        <v>135</v>
      </c>
      <c r="E3624" s="0" t="s">
        <v>2</v>
      </c>
      <c r="F3624" s="0" t="s">
        <v>12</v>
      </c>
      <c r="G3624" s="0" t="s">
        <v>8</v>
      </c>
      <c r="H3624" s="0">
        <v>102</v>
      </c>
      <c r="I3624" s="0">
        <v>305</v>
      </c>
      <c r="J3624" s="0">
        <v>0</v>
      </c>
      <c r="K3624" s="0">
        <v>1</v>
      </c>
      <c r="L3624" s="0">
        <v>6</v>
      </c>
      <c r="M3624" s="0">
        <v>5</v>
      </c>
      <c r="N3624" s="0">
        <v>697.5</v>
      </c>
      <c r="O3624" s="0">
        <v>0</v>
      </c>
      <c r="P3624" s="0">
        <v>0</v>
      </c>
      <c r="R3624" s="0" t="b">
        <v>0</v>
      </c>
      <c r="S3624" s="0" t="b">
        <v>1</v>
      </c>
      <c r="T3624" s="68">
        <v>45951.5993055556</v>
      </c>
      <c r="U3624" s="68">
        <v>45964.2916666667</v>
      </c>
      <c r="V3624" s="68">
        <v>0</v>
      </c>
      <c r="W3624" s="0">
        <f>IF(IF(B3624="none",1,IF(B3624="Trialer",1,0))+IF(C3624="Customer",1,IF(C3624="Lost",1,0))=2,1,0)</f>
      </c>
      <c r="X3624" s="0" t="s">
        <v>136</v>
      </c>
      <c r="Y3624" s="0" t="s">
        <v>499</v>
      </c>
      <c r="AV3624" s="68"/>
      <c r="AW3624" s="68"/>
      <c r="AY3624" s="27"/>
      <c r="BD3624" s="68">
        <v>46054.1666666667</v>
      </c>
      <c r="BE3624" s="68">
        <v>46082.1666666667</v>
      </c>
      <c r="BF3624" s="0" t="b">
        <v>0</v>
      </c>
      <c r="BG3624" s="0" t="b">
        <v>0</v>
      </c>
      <c r="BH3624" s="0">
        <v>354</v>
      </c>
      <c r="BI3624" s="0">
        <v>354</v>
      </c>
      <c r="BJ3624" s="0" t="s">
        <v>135</v>
      </c>
    </row>
    <row r="3625">
      <c r="A3625" s="0" t="s">
        <v>3880</v>
      </c>
      <c r="B3625" s="0" t="s">
        <v>134</v>
      </c>
      <c r="C3625" s="0" t="s">
        <v>134</v>
      </c>
      <c r="D3625" s="0" t="s">
        <v>230</v>
      </c>
      <c r="E3625" s="0" t="s">
        <v>3</v>
      </c>
      <c r="F3625" s="0" t="s">
        <v>12</v>
      </c>
      <c r="G3625" s="0" t="s">
        <v>8</v>
      </c>
      <c r="H3625" s="0">
        <v>102</v>
      </c>
      <c r="I3625" s="0">
        <v>475</v>
      </c>
      <c r="J3625" s="0">
        <v>0</v>
      </c>
      <c r="K3625" s="0">
        <v>1</v>
      </c>
      <c r="L3625" s="0">
        <v>1</v>
      </c>
      <c r="M3625" s="0">
        <v>6</v>
      </c>
      <c r="N3625" s="0">
        <v>0</v>
      </c>
      <c r="O3625" s="0">
        <v>0</v>
      </c>
      <c r="P3625" s="0">
        <v>-150</v>
      </c>
      <c r="R3625" s="0" t="b">
        <v>0</v>
      </c>
      <c r="S3625" s="0" t="b">
        <v>1</v>
      </c>
      <c r="T3625" s="68">
        <v>45951.6276157407</v>
      </c>
      <c r="U3625" s="68">
        <v>45951.3333333333</v>
      </c>
      <c r="V3625" s="68">
        <v>0</v>
      </c>
      <c r="W3625" s="0">
        <f>IF(IF(B3625="none",1,IF(B3625="Trialer",1,0))+IF(C3625="Customer",1,IF(C3625="Lost",1,0))=2,1,0)</f>
      </c>
      <c r="X3625" s="0" t="s">
        <v>136</v>
      </c>
      <c r="Y3625" s="0" t="s">
        <v>243</v>
      </c>
      <c r="AV3625" s="68"/>
      <c r="AW3625" s="68"/>
      <c r="AY3625" s="27"/>
      <c r="BD3625" s="68">
        <v>46054.1666666667</v>
      </c>
      <c r="BE3625" s="68">
        <v>46082.1666666667</v>
      </c>
      <c r="BF3625" s="0" t="b">
        <v>0</v>
      </c>
      <c r="BG3625" s="0" t="b">
        <v>0</v>
      </c>
      <c r="BH3625" s="0">
        <v>196</v>
      </c>
      <c r="BI3625" s="0">
        <v>196</v>
      </c>
      <c r="BJ3625" s="0" t="s">
        <v>230</v>
      </c>
    </row>
    <row r="3626">
      <c r="A3626" s="0" t="s">
        <v>3881</v>
      </c>
      <c r="B3626" s="0" t="s">
        <v>134</v>
      </c>
      <c r="C3626" s="0" t="s">
        <v>134</v>
      </c>
      <c r="D3626" s="0" t="s">
        <v>135</v>
      </c>
      <c r="E3626" s="0" t="s">
        <v>3</v>
      </c>
      <c r="F3626" s="0" t="s">
        <v>12</v>
      </c>
      <c r="G3626" s="0" t="s">
        <v>8</v>
      </c>
      <c r="H3626" s="0">
        <v>102</v>
      </c>
      <c r="I3626" s="0">
        <v>98</v>
      </c>
      <c r="J3626" s="0">
        <v>0</v>
      </c>
      <c r="K3626" s="0">
        <v>1</v>
      </c>
      <c r="L3626" s="0">
        <v>3</v>
      </c>
      <c r="M3626" s="0">
        <v>2</v>
      </c>
      <c r="N3626" s="0">
        <v>0</v>
      </c>
      <c r="O3626" s="0">
        <v>0</v>
      </c>
      <c r="P3626" s="0">
        <v>0</v>
      </c>
      <c r="R3626" s="0" t="b">
        <v>0</v>
      </c>
      <c r="S3626" s="0" t="b">
        <v>1</v>
      </c>
      <c r="T3626" s="68">
        <v>45951.6867013889</v>
      </c>
      <c r="U3626" s="68">
        <v>45965.2916666667</v>
      </c>
      <c r="V3626" s="68">
        <v>0</v>
      </c>
      <c r="W3626" s="0">
        <f>IF(IF(B3626="none",1,IF(B3626="Trialer",1,0))+IF(C3626="Customer",1,IF(C3626="Lost",1,0))=2,1,0)</f>
      </c>
      <c r="X3626" s="0" t="s">
        <v>153</v>
      </c>
      <c r="Y3626" s="0" t="s">
        <v>243</v>
      </c>
      <c r="AV3626" s="68"/>
      <c r="AW3626" s="68"/>
      <c r="AY3626" s="27"/>
      <c r="BD3626" s="68">
        <v>46054.1666666667</v>
      </c>
      <c r="BE3626" s="68">
        <v>46082.1666666667</v>
      </c>
      <c r="BF3626" s="0" t="b">
        <v>0</v>
      </c>
      <c r="BG3626" s="0" t="b">
        <v>0</v>
      </c>
      <c r="BH3626" s="0">
        <v>98</v>
      </c>
      <c r="BI3626" s="0">
        <v>98</v>
      </c>
      <c r="BJ3626" s="0" t="s">
        <v>135</v>
      </c>
    </row>
    <row r="3627">
      <c r="A3627" s="0" t="s">
        <v>3882</v>
      </c>
      <c r="B3627" s="0" t="s">
        <v>134</v>
      </c>
      <c r="C3627" s="0" t="s">
        <v>134</v>
      </c>
      <c r="D3627" s="0" t="s">
        <v>230</v>
      </c>
      <c r="E3627" s="0" t="s">
        <v>3</v>
      </c>
      <c r="F3627" s="0" t="s">
        <v>12</v>
      </c>
      <c r="G3627" s="0" t="s">
        <v>8</v>
      </c>
      <c r="H3627" s="0">
        <v>101</v>
      </c>
      <c r="I3627" s="0">
        <v>240</v>
      </c>
      <c r="J3627" s="0">
        <v>0</v>
      </c>
      <c r="K3627" s="0">
        <v>1</v>
      </c>
      <c r="L3627" s="0">
        <v>4</v>
      </c>
      <c r="M3627" s="0">
        <v>5</v>
      </c>
      <c r="N3627" s="0">
        <v>0</v>
      </c>
      <c r="O3627" s="0">
        <v>0</v>
      </c>
      <c r="P3627" s="0">
        <v>-240</v>
      </c>
      <c r="R3627" s="0" t="b">
        <v>0</v>
      </c>
      <c r="S3627" s="0" t="b">
        <v>1</v>
      </c>
      <c r="T3627" s="68">
        <v>45952.3902314815</v>
      </c>
      <c r="U3627" s="68">
        <v>45972.2916666667</v>
      </c>
      <c r="V3627" s="68">
        <v>0</v>
      </c>
      <c r="W3627" s="0">
        <f>IF(IF(B3627="none",1,IF(B3627="Trialer",1,0))+IF(C3627="Customer",1,IF(C3627="Lost",1,0))=2,1,0)</f>
      </c>
      <c r="X3627" s="0" t="s">
        <v>1461</v>
      </c>
      <c r="Y3627" s="0" t="s">
        <v>243</v>
      </c>
      <c r="AV3627" s="68"/>
      <c r="AW3627" s="68"/>
      <c r="AY3627" s="27"/>
      <c r="BD3627" s="68">
        <v>46054.1666666667</v>
      </c>
      <c r="BE3627" s="68">
        <v>46082.1666666667</v>
      </c>
      <c r="BF3627" s="0" t="b">
        <v>0</v>
      </c>
      <c r="BG3627" s="0" t="b">
        <v>0</v>
      </c>
      <c r="BH3627" s="0">
        <v>269</v>
      </c>
      <c r="BI3627" s="0">
        <v>269</v>
      </c>
      <c r="BJ3627" s="0" t="s">
        <v>230</v>
      </c>
    </row>
    <row r="3628">
      <c r="A3628" s="0" t="s">
        <v>3883</v>
      </c>
      <c r="B3628" s="0" t="s">
        <v>134</v>
      </c>
      <c r="C3628" s="0" t="s">
        <v>134</v>
      </c>
      <c r="D3628" s="0" t="s">
        <v>230</v>
      </c>
      <c r="E3628" s="0" t="s">
        <v>3</v>
      </c>
      <c r="F3628" s="0" t="s">
        <v>12</v>
      </c>
      <c r="G3628" s="0" t="s">
        <v>8</v>
      </c>
      <c r="H3628" s="0">
        <v>101</v>
      </c>
      <c r="I3628" s="0">
        <v>92.6</v>
      </c>
      <c r="J3628" s="0">
        <v>0</v>
      </c>
      <c r="K3628" s="0">
        <v>1</v>
      </c>
      <c r="L3628" s="0">
        <v>4</v>
      </c>
      <c r="M3628" s="0">
        <v>2</v>
      </c>
      <c r="N3628" s="0">
        <v>1085</v>
      </c>
      <c r="O3628" s="0">
        <v>0</v>
      </c>
      <c r="P3628" s="0">
        <v>-92.6</v>
      </c>
      <c r="R3628" s="0" t="b">
        <v>0</v>
      </c>
      <c r="S3628" s="0" t="b">
        <v>1</v>
      </c>
      <c r="T3628" s="68">
        <v>45952.4099884259</v>
      </c>
      <c r="U3628" s="68">
        <v>45966.2916666667</v>
      </c>
      <c r="V3628" s="68">
        <v>0</v>
      </c>
      <c r="W3628" s="0">
        <f>IF(IF(B3628="none",1,IF(B3628="Trialer",1,0))+IF(C3628="Customer",1,IF(C3628="Lost",1,0))=2,1,0)</f>
      </c>
      <c r="X3628" s="0" t="s">
        <v>1461</v>
      </c>
      <c r="Y3628" s="0" t="s">
        <v>243</v>
      </c>
      <c r="AV3628" s="68"/>
      <c r="AW3628" s="68"/>
      <c r="AY3628" s="27"/>
      <c r="BD3628" s="68">
        <v>46054.1666666667</v>
      </c>
      <c r="BE3628" s="68">
        <v>46082.1666666667</v>
      </c>
      <c r="BF3628" s="0" t="b">
        <v>0</v>
      </c>
      <c r="BG3628" s="0" t="b">
        <v>0</v>
      </c>
      <c r="BH3628" s="0">
        <v>103</v>
      </c>
      <c r="BI3628" s="0">
        <v>103</v>
      </c>
      <c r="BJ3628" s="0" t="s">
        <v>230</v>
      </c>
    </row>
    <row r="3629">
      <c r="A3629" s="0" t="s">
        <v>3884</v>
      </c>
      <c r="B3629" s="0" t="s">
        <v>134</v>
      </c>
      <c r="C3629" s="0" t="s">
        <v>134</v>
      </c>
      <c r="D3629" s="0" t="s">
        <v>135</v>
      </c>
      <c r="E3629" s="0" t="s">
        <v>3</v>
      </c>
      <c r="F3629" s="0" t="s">
        <v>12</v>
      </c>
      <c r="G3629" s="0" t="s">
        <v>8</v>
      </c>
      <c r="H3629" s="0">
        <v>101</v>
      </c>
      <c r="I3629" s="0">
        <v>195</v>
      </c>
      <c r="J3629" s="0">
        <v>0</v>
      </c>
      <c r="K3629" s="0">
        <v>1</v>
      </c>
      <c r="L3629" s="0">
        <v>5</v>
      </c>
      <c r="M3629" s="0">
        <v>3</v>
      </c>
      <c r="N3629" s="0">
        <v>0</v>
      </c>
      <c r="O3629" s="0">
        <v>0</v>
      </c>
      <c r="P3629" s="0">
        <v>0</v>
      </c>
      <c r="R3629" s="0" t="b">
        <v>0</v>
      </c>
      <c r="S3629" s="0" t="b">
        <v>1</v>
      </c>
      <c r="T3629" s="68">
        <v>45952.4322800926</v>
      </c>
      <c r="U3629" s="68">
        <v>45966.2916666667</v>
      </c>
      <c r="V3629" s="68">
        <v>0</v>
      </c>
      <c r="W3629" s="0">
        <f>IF(IF(B3629="none",1,IF(B3629="Trialer",1,0))+IF(C3629="Customer",1,IF(C3629="Lost",1,0))=2,1,0)</f>
      </c>
      <c r="X3629" s="0" t="s">
        <v>145</v>
      </c>
      <c r="Y3629" s="0" t="s">
        <v>243</v>
      </c>
      <c r="AV3629" s="68"/>
      <c r="AW3629" s="68"/>
      <c r="AY3629" s="27"/>
      <c r="BD3629" s="68">
        <v>46054.1666666667</v>
      </c>
      <c r="BE3629" s="68">
        <v>46082.1666666667</v>
      </c>
      <c r="BF3629" s="0" t="b">
        <v>0</v>
      </c>
      <c r="BG3629" s="0" t="b">
        <v>0</v>
      </c>
      <c r="BH3629" s="0">
        <v>195</v>
      </c>
      <c r="BI3629" s="0">
        <v>195</v>
      </c>
      <c r="BJ3629" s="0" t="s">
        <v>135</v>
      </c>
    </row>
    <row r="3630">
      <c r="A3630" s="0" t="s">
        <v>3885</v>
      </c>
      <c r="B3630" s="0" t="s">
        <v>134</v>
      </c>
      <c r="C3630" s="0" t="s">
        <v>134</v>
      </c>
      <c r="D3630" s="0" t="s">
        <v>135</v>
      </c>
      <c r="E3630" s="0" t="s">
        <v>3</v>
      </c>
      <c r="F3630" s="0" t="s">
        <v>12</v>
      </c>
      <c r="G3630" s="0" t="s">
        <v>8</v>
      </c>
      <c r="H3630" s="0">
        <v>101</v>
      </c>
      <c r="I3630" s="0">
        <v>122</v>
      </c>
      <c r="J3630" s="0">
        <v>0</v>
      </c>
      <c r="K3630" s="0">
        <v>1</v>
      </c>
      <c r="L3630" s="0">
        <v>4</v>
      </c>
      <c r="M3630" s="0">
        <v>2</v>
      </c>
      <c r="N3630" s="0">
        <v>0</v>
      </c>
      <c r="O3630" s="0">
        <v>0</v>
      </c>
      <c r="P3630" s="0">
        <v>0</v>
      </c>
      <c r="R3630" s="0" t="b">
        <v>0</v>
      </c>
      <c r="S3630" s="0" t="b">
        <v>1</v>
      </c>
      <c r="T3630" s="68">
        <v>45952.8277662037</v>
      </c>
      <c r="U3630" s="68">
        <v>45992.2916666667</v>
      </c>
      <c r="V3630" s="68">
        <v>0</v>
      </c>
      <c r="W3630" s="0">
        <f>IF(IF(B3630="none",1,IF(B3630="Trialer",1,0))+IF(C3630="Customer",1,IF(C3630="Lost",1,0))=2,1,0)</f>
      </c>
      <c r="X3630" s="0" t="s">
        <v>1461</v>
      </c>
      <c r="Y3630" s="0" t="s">
        <v>243</v>
      </c>
      <c r="AV3630" s="68"/>
      <c r="AW3630" s="68"/>
      <c r="AY3630" s="27"/>
      <c r="BD3630" s="68">
        <v>46054.1666666667</v>
      </c>
      <c r="BE3630" s="68">
        <v>46082.1666666667</v>
      </c>
      <c r="BF3630" s="0" t="b">
        <v>0</v>
      </c>
      <c r="BG3630" s="0" t="b">
        <v>0</v>
      </c>
      <c r="BH3630" s="0">
        <v>122</v>
      </c>
      <c r="BI3630" s="0">
        <v>122</v>
      </c>
      <c r="BJ3630" s="0" t="s">
        <v>135</v>
      </c>
    </row>
    <row r="3631">
      <c r="A3631" s="0" t="s">
        <v>3886</v>
      </c>
      <c r="B3631" s="0" t="s">
        <v>134</v>
      </c>
      <c r="C3631" s="0" t="s">
        <v>134</v>
      </c>
      <c r="D3631" s="0" t="s">
        <v>135</v>
      </c>
      <c r="E3631" s="0" t="s">
        <v>2</v>
      </c>
      <c r="F3631" s="0" t="s">
        <v>12</v>
      </c>
      <c r="G3631" s="0" t="s">
        <v>8</v>
      </c>
      <c r="H3631" s="0">
        <v>100</v>
      </c>
      <c r="I3631" s="0">
        <v>184</v>
      </c>
      <c r="J3631" s="0">
        <v>0</v>
      </c>
      <c r="K3631" s="0">
        <v>1</v>
      </c>
      <c r="L3631" s="0">
        <v>4</v>
      </c>
      <c r="M3631" s="0">
        <v>4</v>
      </c>
      <c r="N3631" s="0">
        <v>0</v>
      </c>
      <c r="O3631" s="0">
        <v>0</v>
      </c>
      <c r="P3631" s="0">
        <v>0</v>
      </c>
      <c r="R3631" s="0" t="b">
        <v>0</v>
      </c>
      <c r="S3631" s="0" t="b">
        <v>1</v>
      </c>
      <c r="T3631" s="68">
        <v>45953.4878819444</v>
      </c>
      <c r="U3631" s="68">
        <v>45967.2916666667</v>
      </c>
      <c r="V3631" s="68">
        <v>0</v>
      </c>
      <c r="W3631" s="0">
        <f>IF(IF(B3631="none",1,IF(B3631="Trialer",1,0))+IF(C3631="Customer",1,IF(C3631="Lost",1,0))=2,1,0)</f>
      </c>
      <c r="X3631" s="0" t="s">
        <v>145</v>
      </c>
      <c r="Y3631" s="0" t="s">
        <v>499</v>
      </c>
      <c r="AV3631" s="68"/>
      <c r="AW3631" s="68"/>
      <c r="AY3631" s="27"/>
      <c r="BD3631" s="68">
        <v>46054.1666666667</v>
      </c>
      <c r="BE3631" s="68">
        <v>46082.1666666667</v>
      </c>
      <c r="BF3631" s="0" t="b">
        <v>0</v>
      </c>
      <c r="BG3631" s="0" t="b">
        <v>0</v>
      </c>
      <c r="BH3631" s="0">
        <v>184</v>
      </c>
      <c r="BI3631" s="0">
        <v>184</v>
      </c>
      <c r="BJ3631" s="0" t="s">
        <v>135</v>
      </c>
    </row>
    <row r="3632">
      <c r="A3632" s="0" t="s">
        <v>3887</v>
      </c>
      <c r="B3632" s="0" t="s">
        <v>134</v>
      </c>
      <c r="C3632" s="0" t="s">
        <v>134</v>
      </c>
      <c r="D3632" s="0" t="s">
        <v>135</v>
      </c>
      <c r="E3632" s="0" t="s">
        <v>3</v>
      </c>
      <c r="F3632" s="0" t="s">
        <v>12</v>
      </c>
      <c r="G3632" s="0" t="s">
        <v>8</v>
      </c>
      <c r="H3632" s="0">
        <v>100</v>
      </c>
      <c r="I3632" s="0">
        <v>73</v>
      </c>
      <c r="J3632" s="0">
        <v>0</v>
      </c>
      <c r="K3632" s="0">
        <v>1</v>
      </c>
      <c r="L3632" s="0">
        <v>5</v>
      </c>
      <c r="M3632" s="0">
        <v>1</v>
      </c>
      <c r="N3632" s="0">
        <v>0</v>
      </c>
      <c r="O3632" s="0">
        <v>0</v>
      </c>
      <c r="P3632" s="0">
        <v>0</v>
      </c>
      <c r="R3632" s="0" t="b">
        <v>0</v>
      </c>
      <c r="S3632" s="0" t="b">
        <v>1</v>
      </c>
      <c r="T3632" s="68">
        <v>45953.5495486111</v>
      </c>
      <c r="U3632" s="68">
        <v>45967.2916666667</v>
      </c>
      <c r="V3632" s="68">
        <v>0</v>
      </c>
      <c r="W3632" s="0">
        <f>IF(IF(B3632="none",1,IF(B3632="Trialer",1,0))+IF(C3632="Customer",1,IF(C3632="Lost",1,0))=2,1,0)</f>
      </c>
      <c r="X3632" s="0" t="s">
        <v>145</v>
      </c>
      <c r="Y3632" s="0" t="s">
        <v>243</v>
      </c>
      <c r="AV3632" s="68"/>
      <c r="AW3632" s="68"/>
      <c r="AY3632" s="27"/>
      <c r="BD3632" s="68">
        <v>46054.1666666667</v>
      </c>
      <c r="BE3632" s="68">
        <v>46082.1666666667</v>
      </c>
      <c r="BF3632" s="0" t="b">
        <v>0</v>
      </c>
      <c r="BG3632" s="0" t="b">
        <v>0</v>
      </c>
      <c r="BH3632" s="0">
        <v>134</v>
      </c>
      <c r="BI3632" s="0">
        <v>134</v>
      </c>
      <c r="BJ3632" s="0" t="s">
        <v>135</v>
      </c>
    </row>
    <row r="3633">
      <c r="A3633" s="0" t="s">
        <v>3888</v>
      </c>
      <c r="B3633" s="0" t="s">
        <v>134</v>
      </c>
      <c r="C3633" s="0" t="s">
        <v>134</v>
      </c>
      <c r="D3633" s="0" t="s">
        <v>230</v>
      </c>
      <c r="E3633" s="0" t="s">
        <v>2</v>
      </c>
      <c r="F3633" s="0" t="s">
        <v>12</v>
      </c>
      <c r="G3633" s="0" t="s">
        <v>8</v>
      </c>
      <c r="H3633" s="0">
        <v>100</v>
      </c>
      <c r="I3633" s="0">
        <v>649</v>
      </c>
      <c r="J3633" s="0">
        <v>0</v>
      </c>
      <c r="K3633" s="0">
        <v>1</v>
      </c>
      <c r="L3633" s="0">
        <v>4</v>
      </c>
      <c r="M3633" s="0">
        <v>6</v>
      </c>
      <c r="N3633" s="0">
        <v>0</v>
      </c>
      <c r="O3633" s="0">
        <v>0</v>
      </c>
      <c r="P3633" s="0">
        <v>-324</v>
      </c>
      <c r="R3633" s="0" t="b">
        <v>0</v>
      </c>
      <c r="S3633" s="0" t="b">
        <v>1</v>
      </c>
      <c r="T3633" s="68">
        <v>45953.6083333333</v>
      </c>
      <c r="U3633" s="68">
        <v>45968.2916666667</v>
      </c>
      <c r="V3633" s="68">
        <v>0</v>
      </c>
      <c r="W3633" s="0">
        <f>IF(IF(B3633="none",1,IF(B3633="Trialer",1,0))+IF(C3633="Customer",1,IF(C3633="Lost",1,0))=2,1,0)</f>
      </c>
      <c r="X3633" s="0" t="s">
        <v>145</v>
      </c>
      <c r="Y3633" s="0" t="s">
        <v>499</v>
      </c>
      <c r="AV3633" s="68"/>
      <c r="AW3633" s="68"/>
      <c r="AY3633" s="27"/>
      <c r="BD3633" s="68">
        <v>46054.1666666667</v>
      </c>
      <c r="BE3633" s="68">
        <v>46082.1666666667</v>
      </c>
      <c r="BF3633" s="0" t="b">
        <v>0</v>
      </c>
      <c r="BG3633" s="0" t="b">
        <v>0</v>
      </c>
      <c r="BH3633" s="0">
        <v>488</v>
      </c>
      <c r="BI3633" s="0">
        <v>488</v>
      </c>
      <c r="BJ3633" s="0" t="s">
        <v>230</v>
      </c>
    </row>
    <row r="3634">
      <c r="A3634" s="0" t="s">
        <v>3889</v>
      </c>
      <c r="B3634" s="0" t="s">
        <v>134</v>
      </c>
      <c r="C3634" s="0" t="s">
        <v>134</v>
      </c>
      <c r="D3634" s="0" t="s">
        <v>230</v>
      </c>
      <c r="E3634" s="0" t="s">
        <v>3</v>
      </c>
      <c r="F3634" s="0" t="s">
        <v>12</v>
      </c>
      <c r="G3634" s="0" t="s">
        <v>8</v>
      </c>
      <c r="H3634" s="0">
        <v>100</v>
      </c>
      <c r="I3634" s="0">
        <v>36.75</v>
      </c>
      <c r="J3634" s="0">
        <v>0</v>
      </c>
      <c r="K3634" s="0">
        <v>1</v>
      </c>
      <c r="L3634" s="0">
        <v>3</v>
      </c>
      <c r="M3634" s="0">
        <v>1</v>
      </c>
      <c r="N3634" s="0">
        <v>0</v>
      </c>
      <c r="O3634" s="0">
        <v>0</v>
      </c>
      <c r="P3634" s="0">
        <v>-36.75</v>
      </c>
      <c r="R3634" s="0" t="b">
        <v>0</v>
      </c>
      <c r="S3634" s="0" t="b">
        <v>1</v>
      </c>
      <c r="T3634" s="68">
        <v>45953.6486111111</v>
      </c>
      <c r="U3634" s="68">
        <v>45967.2916666667</v>
      </c>
      <c r="V3634" s="68">
        <v>0</v>
      </c>
      <c r="W3634" s="0">
        <f>IF(IF(B3634="none",1,IF(B3634="Trialer",1,0))+IF(C3634="Customer",1,IF(C3634="Lost",1,0))=2,1,0)</f>
      </c>
      <c r="X3634" s="0" t="s">
        <v>142</v>
      </c>
      <c r="Y3634" s="0" t="s">
        <v>243</v>
      </c>
      <c r="AV3634" s="68"/>
      <c r="AW3634" s="68"/>
      <c r="AY3634" s="27"/>
      <c r="BD3634" s="68">
        <v>46054.1666666667</v>
      </c>
      <c r="BE3634" s="68">
        <v>46082.1666666667</v>
      </c>
      <c r="BF3634" s="0" t="b">
        <v>0</v>
      </c>
      <c r="BG3634" s="0" t="b">
        <v>0</v>
      </c>
      <c r="BH3634" s="0">
        <v>49</v>
      </c>
      <c r="BI3634" s="0">
        <v>49</v>
      </c>
      <c r="BJ3634" s="0" t="s">
        <v>230</v>
      </c>
    </row>
    <row r="3635">
      <c r="A3635" s="0" t="s">
        <v>3890</v>
      </c>
      <c r="B3635" s="0" t="s">
        <v>134</v>
      </c>
      <c r="C3635" s="0" t="s">
        <v>134</v>
      </c>
      <c r="D3635" s="0" t="s">
        <v>135</v>
      </c>
      <c r="E3635" s="0" t="s">
        <v>3</v>
      </c>
      <c r="F3635" s="0" t="s">
        <v>12</v>
      </c>
      <c r="G3635" s="0" t="s">
        <v>8</v>
      </c>
      <c r="H3635" s="0">
        <v>100</v>
      </c>
      <c r="I3635" s="0">
        <v>489</v>
      </c>
      <c r="J3635" s="0">
        <v>0</v>
      </c>
      <c r="K3635" s="0">
        <v>1</v>
      </c>
      <c r="L3635" s="0">
        <v>6</v>
      </c>
      <c r="M3635" s="0">
        <v>9</v>
      </c>
      <c r="N3635" s="0">
        <v>0</v>
      </c>
      <c r="O3635" s="0">
        <v>0</v>
      </c>
      <c r="P3635" s="0">
        <v>0</v>
      </c>
      <c r="R3635" s="0" t="b">
        <v>0</v>
      </c>
      <c r="S3635" s="0" t="b">
        <v>1</v>
      </c>
      <c r="T3635" s="68">
        <v>45953.6500578704</v>
      </c>
      <c r="U3635" s="68">
        <v>45953.3333333333</v>
      </c>
      <c r="V3635" s="68">
        <v>0</v>
      </c>
      <c r="W3635" s="0">
        <f>IF(IF(B3635="none",1,IF(B3635="Trialer",1,0))+IF(C3635="Customer",1,IF(C3635="Lost",1,0))=2,1,0)</f>
      </c>
      <c r="X3635" s="0" t="s">
        <v>145</v>
      </c>
      <c r="Y3635" s="0" t="s">
        <v>243</v>
      </c>
      <c r="AV3635" s="68"/>
      <c r="AW3635" s="68"/>
      <c r="AY3635" s="27"/>
      <c r="BD3635" s="68">
        <v>46054.1666666667</v>
      </c>
      <c r="BE3635" s="68">
        <v>46082.1666666667</v>
      </c>
      <c r="BF3635" s="0" t="b">
        <v>0</v>
      </c>
      <c r="BG3635" s="0" t="b">
        <v>0</v>
      </c>
      <c r="BH3635" s="0">
        <v>477</v>
      </c>
      <c r="BI3635" s="0">
        <v>477</v>
      </c>
      <c r="BJ3635" s="0" t="s">
        <v>135</v>
      </c>
    </row>
    <row r="3636">
      <c r="A3636" s="0" t="s">
        <v>3891</v>
      </c>
      <c r="B3636" s="0" t="s">
        <v>134</v>
      </c>
      <c r="C3636" s="0" t="s">
        <v>134</v>
      </c>
      <c r="D3636" s="0" t="s">
        <v>230</v>
      </c>
      <c r="E3636" s="0" t="s">
        <v>3</v>
      </c>
      <c r="F3636" s="0" t="s">
        <v>10</v>
      </c>
      <c r="G3636" s="0" t="s">
        <v>8</v>
      </c>
      <c r="H3636" s="0">
        <v>99</v>
      </c>
      <c r="I3636" s="0">
        <v>25</v>
      </c>
      <c r="J3636" s="0">
        <v>0</v>
      </c>
      <c r="K3636" s="0">
        <v>1</v>
      </c>
      <c r="L3636" s="0">
        <v>1</v>
      </c>
      <c r="M3636" s="0">
        <v>1</v>
      </c>
      <c r="N3636" s="0">
        <v>0</v>
      </c>
      <c r="O3636" s="0">
        <v>0</v>
      </c>
      <c r="P3636" s="0">
        <v>-25</v>
      </c>
      <c r="Q3636" s="0" t="s">
        <v>618</v>
      </c>
      <c r="R3636" s="0" t="b">
        <v>0</v>
      </c>
      <c r="S3636" s="0" t="b">
        <v>1</v>
      </c>
      <c r="T3636" s="68">
        <v>45954.3750925926</v>
      </c>
      <c r="U3636" s="68">
        <v>45968.2916666667</v>
      </c>
      <c r="V3636" s="68">
        <v>0</v>
      </c>
      <c r="W3636" s="0">
        <f>IF(IF(B3636="none",1,IF(B3636="Trialer",1,0))+IF(C3636="Customer",1,IF(C3636="Lost",1,0))=2,1,0)</f>
      </c>
      <c r="X3636" s="0" t="s">
        <v>148</v>
      </c>
      <c r="Y3636" s="0" t="s">
        <v>243</v>
      </c>
      <c r="AV3636" s="68"/>
      <c r="AW3636" s="68"/>
      <c r="AY3636" s="27"/>
      <c r="BD3636" s="68">
        <v>46054.1666666667</v>
      </c>
      <c r="BE3636" s="68">
        <v>46082.1666666667</v>
      </c>
      <c r="BF3636" s="0" t="b">
        <v>0</v>
      </c>
      <c r="BG3636" s="0" t="b">
        <v>0</v>
      </c>
      <c r="BH3636" s="0">
        <v>28</v>
      </c>
      <c r="BI3636" s="0">
        <v>28</v>
      </c>
      <c r="BJ3636" s="0" t="s">
        <v>230</v>
      </c>
    </row>
    <row r="3637">
      <c r="A3637" s="0" t="s">
        <v>3892</v>
      </c>
      <c r="B3637" s="0" t="s">
        <v>134</v>
      </c>
      <c r="C3637" s="0" t="s">
        <v>134</v>
      </c>
      <c r="D3637" s="0" t="s">
        <v>135</v>
      </c>
      <c r="E3637" s="0" t="s">
        <v>3</v>
      </c>
      <c r="F3637" s="0" t="s">
        <v>12</v>
      </c>
      <c r="G3637" s="0" t="s">
        <v>8</v>
      </c>
      <c r="H3637" s="0">
        <v>99</v>
      </c>
      <c r="I3637" s="0">
        <v>183</v>
      </c>
      <c r="J3637" s="0">
        <v>0</v>
      </c>
      <c r="K3637" s="0">
        <v>1</v>
      </c>
      <c r="L3637" s="0">
        <v>4</v>
      </c>
      <c r="M3637" s="0">
        <v>3</v>
      </c>
      <c r="N3637" s="0">
        <v>0</v>
      </c>
      <c r="O3637" s="0">
        <v>0</v>
      </c>
      <c r="P3637" s="0">
        <v>0</v>
      </c>
      <c r="R3637" s="0" t="b">
        <v>0</v>
      </c>
      <c r="S3637" s="0" t="b">
        <v>1</v>
      </c>
      <c r="T3637" s="68">
        <v>45954.5543287037</v>
      </c>
      <c r="U3637" s="68">
        <v>45972.2916666667</v>
      </c>
      <c r="V3637" s="68">
        <v>0</v>
      </c>
      <c r="W3637" s="0">
        <f>IF(IF(B3637="none",1,IF(B3637="Trialer",1,0))+IF(C3637="Customer",1,IF(C3637="Lost",1,0))=2,1,0)</f>
      </c>
      <c r="X3637" s="0" t="s">
        <v>166</v>
      </c>
      <c r="Y3637" s="0" t="s">
        <v>243</v>
      </c>
      <c r="AV3637" s="68"/>
      <c r="AW3637" s="68"/>
      <c r="AY3637" s="27"/>
      <c r="BD3637" s="68">
        <v>46054.1666666667</v>
      </c>
      <c r="BE3637" s="68">
        <v>46082.1666666667</v>
      </c>
      <c r="BF3637" s="0" t="b">
        <v>0</v>
      </c>
      <c r="BG3637" s="0" t="b">
        <v>0</v>
      </c>
      <c r="BH3637" s="0">
        <v>183</v>
      </c>
      <c r="BI3637" s="0">
        <v>183</v>
      </c>
      <c r="BJ3637" s="0" t="s">
        <v>135</v>
      </c>
    </row>
    <row r="3638">
      <c r="A3638" s="0" t="s">
        <v>3893</v>
      </c>
      <c r="B3638" s="0" t="s">
        <v>134</v>
      </c>
      <c r="C3638" s="0" t="s">
        <v>134</v>
      </c>
      <c r="D3638" s="0" t="s">
        <v>135</v>
      </c>
      <c r="E3638" s="0" t="s">
        <v>3</v>
      </c>
      <c r="F3638" s="0" t="s">
        <v>12</v>
      </c>
      <c r="G3638" s="0" t="s">
        <v>8</v>
      </c>
      <c r="H3638" s="0">
        <v>99</v>
      </c>
      <c r="I3638" s="0">
        <v>154</v>
      </c>
      <c r="J3638" s="0">
        <v>0</v>
      </c>
      <c r="K3638" s="0">
        <v>1</v>
      </c>
      <c r="L3638" s="0">
        <v>3</v>
      </c>
      <c r="M3638" s="0">
        <v>4</v>
      </c>
      <c r="N3638" s="0">
        <v>0</v>
      </c>
      <c r="O3638" s="0">
        <v>0</v>
      </c>
      <c r="P3638" s="0">
        <v>0</v>
      </c>
      <c r="R3638" s="0" t="b">
        <v>0</v>
      </c>
      <c r="S3638" s="0" t="b">
        <v>1</v>
      </c>
      <c r="T3638" s="68">
        <v>45954.6135300926</v>
      </c>
      <c r="U3638" s="68">
        <v>45968.2916666667</v>
      </c>
      <c r="V3638" s="68">
        <v>0</v>
      </c>
      <c r="W3638" s="0">
        <f>IF(IF(B3638="none",1,IF(B3638="Trialer",1,0))+IF(C3638="Customer",1,IF(C3638="Lost",1,0))=2,1,0)</f>
      </c>
      <c r="X3638" s="0" t="s">
        <v>882</v>
      </c>
      <c r="Y3638" s="0" t="s">
        <v>243</v>
      </c>
      <c r="AV3638" s="68"/>
      <c r="AW3638" s="68"/>
      <c r="AY3638" s="27"/>
      <c r="BD3638" s="68">
        <v>46054.1666666667</v>
      </c>
      <c r="BE3638" s="68">
        <v>46082.1666666667</v>
      </c>
      <c r="BF3638" s="0" t="b">
        <v>0</v>
      </c>
      <c r="BG3638" s="0" t="b">
        <v>0</v>
      </c>
      <c r="BH3638" s="0">
        <v>154</v>
      </c>
      <c r="BI3638" s="0">
        <v>154</v>
      </c>
      <c r="BJ3638" s="0" t="s">
        <v>135</v>
      </c>
    </row>
    <row r="3639">
      <c r="A3639" s="0" t="s">
        <v>3894</v>
      </c>
      <c r="B3639" s="0" t="s">
        <v>134</v>
      </c>
      <c r="C3639" s="0" t="s">
        <v>134</v>
      </c>
      <c r="D3639" s="0" t="s">
        <v>135</v>
      </c>
      <c r="E3639" s="0" t="s">
        <v>3</v>
      </c>
      <c r="F3639" s="0" t="s">
        <v>12</v>
      </c>
      <c r="G3639" s="0" t="s">
        <v>8</v>
      </c>
      <c r="H3639" s="0">
        <v>99</v>
      </c>
      <c r="I3639" s="0">
        <v>49</v>
      </c>
      <c r="J3639" s="0">
        <v>0</v>
      </c>
      <c r="K3639" s="0">
        <v>1</v>
      </c>
      <c r="L3639" s="0">
        <v>3</v>
      </c>
      <c r="M3639" s="0">
        <v>1</v>
      </c>
      <c r="N3639" s="0">
        <v>0</v>
      </c>
      <c r="O3639" s="0">
        <v>0</v>
      </c>
      <c r="P3639" s="0">
        <v>0</v>
      </c>
      <c r="R3639" s="0" t="b">
        <v>0</v>
      </c>
      <c r="S3639" s="0" t="b">
        <v>1</v>
      </c>
      <c r="T3639" s="68">
        <v>45954.7011921296</v>
      </c>
      <c r="U3639" s="68">
        <v>45967.2916666667</v>
      </c>
      <c r="V3639" s="68">
        <v>0</v>
      </c>
      <c r="W3639" s="0">
        <f>IF(IF(B3639="none",1,IF(B3639="Trialer",1,0))+IF(C3639="Customer",1,IF(C3639="Lost",1,0))=2,1,0)</f>
      </c>
      <c r="X3639" s="0" t="s">
        <v>166</v>
      </c>
      <c r="Y3639" s="0" t="s">
        <v>243</v>
      </c>
      <c r="AV3639" s="68"/>
      <c r="AW3639" s="68"/>
      <c r="AY3639" s="27"/>
      <c r="BD3639" s="68">
        <v>46054.1666666667</v>
      </c>
      <c r="BE3639" s="68">
        <v>46082.1666666667</v>
      </c>
      <c r="BF3639" s="0" t="b">
        <v>0</v>
      </c>
      <c r="BG3639" s="0" t="b">
        <v>0</v>
      </c>
      <c r="BH3639" s="0">
        <v>49</v>
      </c>
      <c r="BI3639" s="0">
        <v>49</v>
      </c>
      <c r="BJ3639" s="0" t="s">
        <v>135</v>
      </c>
    </row>
    <row r="3640">
      <c r="A3640" s="0" t="s">
        <v>3895</v>
      </c>
      <c r="B3640" s="0" t="s">
        <v>134</v>
      </c>
      <c r="C3640" s="0" t="s">
        <v>134</v>
      </c>
      <c r="D3640" s="0" t="s">
        <v>230</v>
      </c>
      <c r="E3640" s="0" t="s">
        <v>3</v>
      </c>
      <c r="F3640" s="0" t="s">
        <v>12</v>
      </c>
      <c r="G3640" s="0" t="s">
        <v>8</v>
      </c>
      <c r="H3640" s="0">
        <v>98</v>
      </c>
      <c r="I3640" s="0">
        <v>101.25</v>
      </c>
      <c r="J3640" s="0">
        <v>0</v>
      </c>
      <c r="K3640" s="0">
        <v>1</v>
      </c>
      <c r="L3640" s="0">
        <v>3</v>
      </c>
      <c r="M3640" s="0">
        <v>3</v>
      </c>
      <c r="N3640" s="0">
        <v>0</v>
      </c>
      <c r="O3640" s="0">
        <v>0</v>
      </c>
      <c r="P3640" s="0">
        <v>-101.25</v>
      </c>
      <c r="R3640" s="0" t="b">
        <v>0</v>
      </c>
      <c r="S3640" s="0" t="b">
        <v>1</v>
      </c>
      <c r="T3640" s="68">
        <v>45955.688125</v>
      </c>
      <c r="U3640" s="68">
        <v>46000.2916666667</v>
      </c>
      <c r="V3640" s="68">
        <v>0</v>
      </c>
      <c r="W3640" s="0">
        <f>IF(IF(B3640="none",1,IF(B3640="Trialer",1,0))+IF(C3640="Customer",1,IF(C3640="Lost",1,0))=2,1,0)</f>
      </c>
      <c r="X3640" s="0" t="s">
        <v>1461</v>
      </c>
      <c r="Y3640" s="0" t="s">
        <v>243</v>
      </c>
      <c r="AV3640" s="68"/>
      <c r="AW3640" s="68"/>
      <c r="AY3640" s="27"/>
      <c r="BD3640" s="68">
        <v>46054.1666666667</v>
      </c>
      <c r="BE3640" s="68">
        <v>46082.1666666667</v>
      </c>
      <c r="BF3640" s="0" t="b">
        <v>0</v>
      </c>
      <c r="BG3640" s="0" t="b">
        <v>0</v>
      </c>
      <c r="BH3640" s="0">
        <v>135</v>
      </c>
      <c r="BI3640" s="0">
        <v>135</v>
      </c>
      <c r="BJ3640" s="0" t="s">
        <v>230</v>
      </c>
    </row>
    <row r="3641">
      <c r="A3641" s="0" t="s">
        <v>3896</v>
      </c>
      <c r="B3641" s="0" t="s">
        <v>134</v>
      </c>
      <c r="C3641" s="0" t="s">
        <v>134</v>
      </c>
      <c r="D3641" s="0" t="s">
        <v>230</v>
      </c>
      <c r="E3641" s="0" t="s">
        <v>3</v>
      </c>
      <c r="F3641" s="0" t="s">
        <v>12</v>
      </c>
      <c r="G3641" s="0" t="s">
        <v>8</v>
      </c>
      <c r="H3641" s="0">
        <v>96</v>
      </c>
      <c r="I3641" s="0">
        <v>338</v>
      </c>
      <c r="J3641" s="0">
        <v>0</v>
      </c>
      <c r="K3641" s="0">
        <v>1</v>
      </c>
      <c r="L3641" s="0">
        <v>3</v>
      </c>
      <c r="M3641" s="0">
        <v>9</v>
      </c>
      <c r="N3641" s="0">
        <v>852.5</v>
      </c>
      <c r="O3641" s="0">
        <v>0</v>
      </c>
      <c r="P3641" s="0">
        <v>-338</v>
      </c>
      <c r="R3641" s="0" t="b">
        <v>0</v>
      </c>
      <c r="S3641" s="0" t="b">
        <v>1</v>
      </c>
      <c r="T3641" s="68">
        <v>45957.3919560185</v>
      </c>
      <c r="U3641" s="68">
        <v>45971.2916666667</v>
      </c>
      <c r="V3641" s="68">
        <v>0</v>
      </c>
      <c r="W3641" s="0">
        <f>IF(IF(B3641="none",1,IF(B3641="Trialer",1,0))+IF(C3641="Customer",1,IF(C3641="Lost",1,0))=2,1,0)</f>
      </c>
      <c r="X3641" s="0" t="s">
        <v>882</v>
      </c>
      <c r="Y3641" s="0" t="s">
        <v>243</v>
      </c>
      <c r="AV3641" s="68"/>
      <c r="AW3641" s="68"/>
      <c r="AY3641" s="27"/>
      <c r="BD3641" s="68">
        <v>46054.1666666667</v>
      </c>
      <c r="BE3641" s="68">
        <v>46082.1666666667</v>
      </c>
      <c r="BF3641" s="0" t="b">
        <v>0</v>
      </c>
      <c r="BG3641" s="0" t="b">
        <v>0</v>
      </c>
      <c r="BH3641" s="0">
        <v>433</v>
      </c>
      <c r="BI3641" s="0">
        <v>433</v>
      </c>
      <c r="BJ3641" s="0" t="s">
        <v>230</v>
      </c>
    </row>
    <row r="3642">
      <c r="A3642" s="0" t="s">
        <v>3897</v>
      </c>
      <c r="B3642" s="0" t="s">
        <v>134</v>
      </c>
      <c r="C3642" s="0" t="s">
        <v>134</v>
      </c>
      <c r="D3642" s="0" t="s">
        <v>135</v>
      </c>
      <c r="E3642" s="0" t="s">
        <v>3</v>
      </c>
      <c r="F3642" s="0" t="s">
        <v>12</v>
      </c>
      <c r="G3642" s="0" t="s">
        <v>8</v>
      </c>
      <c r="H3642" s="0">
        <v>96</v>
      </c>
      <c r="I3642" s="0">
        <v>49</v>
      </c>
      <c r="J3642" s="0">
        <v>0</v>
      </c>
      <c r="K3642" s="0">
        <v>1</v>
      </c>
      <c r="L3642" s="0">
        <v>3</v>
      </c>
      <c r="M3642" s="0">
        <v>1</v>
      </c>
      <c r="N3642" s="0">
        <v>0</v>
      </c>
      <c r="O3642" s="0">
        <v>0</v>
      </c>
      <c r="P3642" s="0">
        <v>0</v>
      </c>
      <c r="R3642" s="0" t="b">
        <v>0</v>
      </c>
      <c r="S3642" s="0" t="b">
        <v>1</v>
      </c>
      <c r="T3642" s="68">
        <v>45957.4073032407</v>
      </c>
      <c r="U3642" s="68">
        <v>45971.2916666667</v>
      </c>
      <c r="V3642" s="68">
        <v>0</v>
      </c>
      <c r="W3642" s="0">
        <f>IF(IF(B3642="none",1,IF(B3642="Trialer",1,0))+IF(C3642="Customer",1,IF(C3642="Lost",1,0))=2,1,0)</f>
      </c>
      <c r="X3642" s="0" t="s">
        <v>142</v>
      </c>
      <c r="Y3642" s="0" t="s">
        <v>243</v>
      </c>
      <c r="AV3642" s="68"/>
      <c r="AW3642" s="68"/>
      <c r="AY3642" s="27"/>
      <c r="BD3642" s="68">
        <v>46054.1666666667</v>
      </c>
      <c r="BE3642" s="68">
        <v>46082.1666666667</v>
      </c>
      <c r="BF3642" s="0" t="b">
        <v>0</v>
      </c>
      <c r="BG3642" s="0" t="b">
        <v>0</v>
      </c>
      <c r="BH3642" s="0">
        <v>49</v>
      </c>
      <c r="BI3642" s="0">
        <v>49</v>
      </c>
      <c r="BJ3642" s="0" t="s">
        <v>135</v>
      </c>
    </row>
    <row r="3643">
      <c r="A3643" s="0" t="s">
        <v>3898</v>
      </c>
      <c r="B3643" s="0" t="s">
        <v>134</v>
      </c>
      <c r="C3643" s="0" t="s">
        <v>134</v>
      </c>
      <c r="D3643" s="0" t="s">
        <v>135</v>
      </c>
      <c r="E3643" s="0" t="s">
        <v>3</v>
      </c>
      <c r="F3643" s="0" t="s">
        <v>12</v>
      </c>
      <c r="G3643" s="0" t="s">
        <v>8</v>
      </c>
      <c r="H3643" s="0">
        <v>96</v>
      </c>
      <c r="I3643" s="0">
        <v>40</v>
      </c>
      <c r="J3643" s="0">
        <v>0</v>
      </c>
      <c r="K3643" s="0">
        <v>1</v>
      </c>
      <c r="L3643" s="0">
        <v>1</v>
      </c>
      <c r="M3643" s="0">
        <v>0</v>
      </c>
      <c r="N3643" s="0">
        <v>0</v>
      </c>
      <c r="O3643" s="0">
        <v>0</v>
      </c>
      <c r="P3643" s="0">
        <v>0</v>
      </c>
      <c r="R3643" s="0" t="b">
        <v>0</v>
      </c>
      <c r="S3643" s="0" t="b">
        <v>1</v>
      </c>
      <c r="T3643" s="68">
        <v>45957.5028819444</v>
      </c>
      <c r="U3643" s="68">
        <v>45957.3333333333</v>
      </c>
      <c r="V3643" s="68">
        <v>0</v>
      </c>
      <c r="W3643" s="0">
        <f>IF(IF(B3643="none",1,IF(B3643="Trialer",1,0))+IF(C3643="Customer",1,IF(C3643="Lost",1,0))=2,1,0)</f>
      </c>
      <c r="X3643" s="0" t="s">
        <v>148</v>
      </c>
      <c r="Y3643" s="0" t="s">
        <v>243</v>
      </c>
      <c r="AV3643" s="68"/>
      <c r="AW3643" s="68"/>
      <c r="AY3643" s="27"/>
      <c r="BD3643" s="68">
        <v>46054.1666666667</v>
      </c>
      <c r="BE3643" s="68">
        <v>46082.1666666667</v>
      </c>
      <c r="BF3643" s="0" t="b">
        <v>0</v>
      </c>
      <c r="BG3643" s="0" t="b">
        <v>0</v>
      </c>
      <c r="BH3643" s="0">
        <v>40</v>
      </c>
      <c r="BI3643" s="0">
        <v>40</v>
      </c>
      <c r="BJ3643" s="0" t="s">
        <v>135</v>
      </c>
    </row>
    <row r="3644">
      <c r="A3644" s="0" t="s">
        <v>3899</v>
      </c>
      <c r="B3644" s="0" t="s">
        <v>134</v>
      </c>
      <c r="C3644" s="0" t="s">
        <v>134</v>
      </c>
      <c r="D3644" s="0" t="s">
        <v>135</v>
      </c>
      <c r="E3644" s="0" t="s">
        <v>3</v>
      </c>
      <c r="F3644" s="0" t="s">
        <v>12</v>
      </c>
      <c r="G3644" s="0" t="s">
        <v>8</v>
      </c>
      <c r="H3644" s="0">
        <v>96</v>
      </c>
      <c r="I3644" s="0">
        <v>105</v>
      </c>
      <c r="J3644" s="0">
        <v>0</v>
      </c>
      <c r="K3644" s="0">
        <v>1</v>
      </c>
      <c r="L3644" s="0">
        <v>3</v>
      </c>
      <c r="M3644" s="0">
        <v>3</v>
      </c>
      <c r="N3644" s="0">
        <v>0</v>
      </c>
      <c r="O3644" s="0">
        <v>0</v>
      </c>
      <c r="P3644" s="0">
        <v>0</v>
      </c>
      <c r="R3644" s="0" t="b">
        <v>0</v>
      </c>
      <c r="S3644" s="0" t="b">
        <v>1</v>
      </c>
      <c r="T3644" s="68">
        <v>45957.6514699074</v>
      </c>
      <c r="U3644" s="68">
        <v>45981.2916666667</v>
      </c>
      <c r="V3644" s="68">
        <v>0</v>
      </c>
      <c r="W3644" s="0">
        <f>IF(IF(B3644="none",1,IF(B3644="Trialer",1,0))+IF(C3644="Customer",1,IF(C3644="Lost",1,0))=2,1,0)</f>
      </c>
      <c r="X3644" s="0" t="s">
        <v>1461</v>
      </c>
      <c r="Y3644" s="0" t="s">
        <v>243</v>
      </c>
      <c r="AV3644" s="68"/>
      <c r="AW3644" s="68"/>
      <c r="AY3644" s="27"/>
      <c r="BD3644" s="68">
        <v>46054.1666666667</v>
      </c>
      <c r="BE3644" s="68">
        <v>46082.1666666667</v>
      </c>
      <c r="BF3644" s="0" t="b">
        <v>0</v>
      </c>
      <c r="BG3644" s="0" t="b">
        <v>0</v>
      </c>
      <c r="BH3644" s="0">
        <v>147</v>
      </c>
      <c r="BI3644" s="0">
        <v>147</v>
      </c>
      <c r="BJ3644" s="0" t="s">
        <v>135</v>
      </c>
    </row>
    <row r="3645">
      <c r="A3645" s="0" t="s">
        <v>3900</v>
      </c>
      <c r="B3645" s="0" t="s">
        <v>134</v>
      </c>
      <c r="C3645" s="0" t="s">
        <v>134</v>
      </c>
      <c r="D3645" s="0" t="s">
        <v>135</v>
      </c>
      <c r="E3645" s="0" t="s">
        <v>3</v>
      </c>
      <c r="F3645" s="0" t="s">
        <v>12</v>
      </c>
      <c r="G3645" s="0" t="s">
        <v>8</v>
      </c>
      <c r="H3645" s="0">
        <v>96</v>
      </c>
      <c r="I3645" s="0">
        <v>386</v>
      </c>
      <c r="J3645" s="0">
        <v>0</v>
      </c>
      <c r="K3645" s="0">
        <v>1</v>
      </c>
      <c r="L3645" s="0">
        <v>4</v>
      </c>
      <c r="M3645" s="0">
        <v>1</v>
      </c>
      <c r="N3645" s="0">
        <v>1534.5</v>
      </c>
      <c r="O3645" s="0">
        <v>0</v>
      </c>
      <c r="P3645" s="0">
        <v>0</v>
      </c>
      <c r="R3645" s="0" t="b">
        <v>0</v>
      </c>
      <c r="S3645" s="0" t="b">
        <v>1</v>
      </c>
      <c r="T3645" s="68">
        <v>45957.7416666667</v>
      </c>
      <c r="U3645" s="68">
        <v>45962.3333333333</v>
      </c>
      <c r="V3645" s="68">
        <v>0</v>
      </c>
      <c r="W3645" s="0">
        <f>IF(IF(B3645="none",1,IF(B3645="Trialer",1,0))+IF(C3645="Customer",1,IF(C3645="Lost",1,0))=2,1,0)</f>
      </c>
      <c r="X3645" s="0" t="s">
        <v>882</v>
      </c>
      <c r="Y3645" s="0" t="s">
        <v>243</v>
      </c>
      <c r="AV3645" s="68"/>
      <c r="AW3645" s="68"/>
      <c r="AY3645" s="27"/>
      <c r="BD3645" s="68">
        <v>46054.1666666667</v>
      </c>
      <c r="BE3645" s="68">
        <v>46082.1666666667</v>
      </c>
      <c r="BF3645" s="0" t="b">
        <v>0</v>
      </c>
      <c r="BG3645" s="0" t="b">
        <v>0</v>
      </c>
      <c r="BH3645" s="0">
        <v>61</v>
      </c>
      <c r="BI3645" s="0">
        <v>61</v>
      </c>
      <c r="BJ3645" s="0" t="s">
        <v>135</v>
      </c>
    </row>
    <row r="3646">
      <c r="A3646" s="0" t="s">
        <v>3901</v>
      </c>
      <c r="B3646" s="0" t="s">
        <v>134</v>
      </c>
      <c r="C3646" s="0" t="s">
        <v>134</v>
      </c>
      <c r="D3646" s="0" t="s">
        <v>230</v>
      </c>
      <c r="E3646" s="0" t="s">
        <v>3</v>
      </c>
      <c r="F3646" s="0" t="s">
        <v>12</v>
      </c>
      <c r="G3646" s="0" t="s">
        <v>8</v>
      </c>
      <c r="H3646" s="0">
        <v>96</v>
      </c>
      <c r="I3646" s="0">
        <v>25</v>
      </c>
      <c r="J3646" s="0">
        <v>0</v>
      </c>
      <c r="K3646" s="0">
        <v>1</v>
      </c>
      <c r="L3646" s="0">
        <v>1</v>
      </c>
      <c r="M3646" s="0">
        <v>1</v>
      </c>
      <c r="N3646" s="0">
        <v>0</v>
      </c>
      <c r="O3646" s="0">
        <v>0</v>
      </c>
      <c r="P3646" s="0">
        <v>-25</v>
      </c>
      <c r="R3646" s="0" t="b">
        <v>0</v>
      </c>
      <c r="S3646" s="0" t="b">
        <v>1</v>
      </c>
      <c r="T3646" s="68">
        <v>45957.8212731481</v>
      </c>
      <c r="U3646" s="68">
        <v>45971.2916666667</v>
      </c>
      <c r="V3646" s="68">
        <v>0</v>
      </c>
      <c r="W3646" s="0">
        <f>IF(IF(B3646="none",1,IF(B3646="Trialer",1,0))+IF(C3646="Customer",1,IF(C3646="Lost",1,0))=2,1,0)</f>
      </c>
      <c r="X3646" s="0" t="s">
        <v>153</v>
      </c>
      <c r="Y3646" s="0" t="s">
        <v>243</v>
      </c>
      <c r="AV3646" s="68"/>
      <c r="AW3646" s="68"/>
      <c r="AY3646" s="27"/>
      <c r="BD3646" s="68">
        <v>46054.1666666667</v>
      </c>
      <c r="BE3646" s="68">
        <v>46082.1666666667</v>
      </c>
      <c r="BF3646" s="0" t="b">
        <v>0</v>
      </c>
      <c r="BG3646" s="0" t="b">
        <v>0</v>
      </c>
      <c r="BH3646" s="0">
        <v>28</v>
      </c>
      <c r="BI3646" s="0">
        <v>28</v>
      </c>
      <c r="BJ3646" s="0" t="s">
        <v>230</v>
      </c>
    </row>
    <row r="3647">
      <c r="A3647" s="0" t="s">
        <v>3902</v>
      </c>
      <c r="B3647" s="0" t="s">
        <v>134</v>
      </c>
      <c r="C3647" s="0" t="s">
        <v>134</v>
      </c>
      <c r="D3647" s="0" t="s">
        <v>135</v>
      </c>
      <c r="E3647" s="0" t="s">
        <v>2</v>
      </c>
      <c r="F3647" s="0" t="s">
        <v>12</v>
      </c>
      <c r="G3647" s="0" t="s">
        <v>8</v>
      </c>
      <c r="H3647" s="0">
        <v>95</v>
      </c>
      <c r="I3647" s="0">
        <v>992</v>
      </c>
      <c r="J3647" s="0">
        <v>0</v>
      </c>
      <c r="K3647" s="0">
        <v>1</v>
      </c>
      <c r="L3647" s="0">
        <v>3</v>
      </c>
      <c r="M3647" s="0">
        <v>25</v>
      </c>
      <c r="N3647" s="0">
        <v>976.5</v>
      </c>
      <c r="O3647" s="0">
        <v>0</v>
      </c>
      <c r="P3647" s="0">
        <v>0</v>
      </c>
      <c r="R3647" s="0" t="b">
        <v>0</v>
      </c>
      <c r="S3647" s="0" t="b">
        <v>1</v>
      </c>
      <c r="T3647" s="68">
        <v>45958.5682407407</v>
      </c>
      <c r="U3647" s="68">
        <v>45972.2916666667</v>
      </c>
      <c r="V3647" s="68">
        <v>0</v>
      </c>
      <c r="W3647" s="0">
        <f>IF(IF(B3647="none",1,IF(B3647="Trialer",1,0))+IF(C3647="Customer",1,IF(C3647="Lost",1,0))=2,1,0)</f>
      </c>
      <c r="X3647" s="0" t="s">
        <v>882</v>
      </c>
      <c r="Y3647" s="0" t="s">
        <v>499</v>
      </c>
      <c r="AV3647" s="68"/>
      <c r="AW3647" s="68"/>
      <c r="AY3647" s="27"/>
      <c r="BD3647" s="68">
        <v>46054.1666666667</v>
      </c>
      <c r="BE3647" s="68">
        <v>46082.1666666667</v>
      </c>
      <c r="BF3647" s="0" t="b">
        <v>0</v>
      </c>
      <c r="BG3647" s="0" t="b">
        <v>0</v>
      </c>
      <c r="BH3647" s="0">
        <v>661</v>
      </c>
      <c r="BI3647" s="0">
        <v>661</v>
      </c>
      <c r="BJ3647" s="0" t="s">
        <v>135</v>
      </c>
    </row>
    <row r="3648">
      <c r="A3648" s="0" t="s">
        <v>3903</v>
      </c>
      <c r="B3648" s="0" t="s">
        <v>134</v>
      </c>
      <c r="C3648" s="0" t="s">
        <v>134</v>
      </c>
      <c r="D3648" s="0" t="s">
        <v>230</v>
      </c>
      <c r="E3648" s="0" t="s">
        <v>3</v>
      </c>
      <c r="F3648" s="0" t="s">
        <v>12</v>
      </c>
      <c r="G3648" s="0" t="s">
        <v>8</v>
      </c>
      <c r="H3648" s="0">
        <v>95</v>
      </c>
      <c r="I3648" s="0">
        <v>433</v>
      </c>
      <c r="J3648" s="0">
        <v>0</v>
      </c>
      <c r="K3648" s="0">
        <v>1</v>
      </c>
      <c r="L3648" s="0">
        <v>2</v>
      </c>
      <c r="M3648" s="0">
        <v>3</v>
      </c>
      <c r="N3648" s="0">
        <v>0</v>
      </c>
      <c r="O3648" s="0">
        <v>0</v>
      </c>
      <c r="P3648" s="0">
        <v>-108</v>
      </c>
      <c r="R3648" s="0" t="b">
        <v>0</v>
      </c>
      <c r="S3648" s="0" t="b">
        <v>1</v>
      </c>
      <c r="T3648" s="68">
        <v>45958.7779861111</v>
      </c>
      <c r="U3648" s="68">
        <v>45972.2916666667</v>
      </c>
      <c r="V3648" s="68">
        <v>0</v>
      </c>
      <c r="W3648" s="0">
        <f>IF(IF(B3648="none",1,IF(B3648="Trialer",1,0))+IF(C3648="Customer",1,IF(C3648="Lost",1,0))=2,1,0)</f>
      </c>
      <c r="X3648" s="0" t="s">
        <v>148</v>
      </c>
      <c r="Y3648" s="0" t="s">
        <v>243</v>
      </c>
      <c r="AV3648" s="68"/>
      <c r="AW3648" s="68"/>
      <c r="AY3648" s="27"/>
      <c r="BD3648" s="68">
        <v>46054.1666666667</v>
      </c>
      <c r="BE3648" s="68">
        <v>46082.1666666667</v>
      </c>
      <c r="BF3648" s="0" t="b">
        <v>0</v>
      </c>
      <c r="BG3648" s="0" t="b">
        <v>0</v>
      </c>
      <c r="BH3648" s="0">
        <v>120</v>
      </c>
      <c r="BI3648" s="0">
        <v>120</v>
      </c>
      <c r="BJ3648" s="0" t="s">
        <v>230</v>
      </c>
    </row>
    <row r="3649">
      <c r="A3649" s="0" t="s">
        <v>3904</v>
      </c>
      <c r="B3649" s="0" t="s">
        <v>134</v>
      </c>
      <c r="C3649" s="0" t="s">
        <v>134</v>
      </c>
      <c r="D3649" s="0" t="s">
        <v>135</v>
      </c>
      <c r="E3649" s="0" t="s">
        <v>3</v>
      </c>
      <c r="F3649" s="0" t="s">
        <v>12</v>
      </c>
      <c r="G3649" s="0" t="s">
        <v>8</v>
      </c>
      <c r="H3649" s="0">
        <v>94</v>
      </c>
      <c r="I3649" s="0">
        <v>1233</v>
      </c>
      <c r="J3649" s="0">
        <v>0</v>
      </c>
      <c r="K3649" s="0">
        <v>1</v>
      </c>
      <c r="L3649" s="0">
        <v>4</v>
      </c>
      <c r="M3649" s="0">
        <v>17</v>
      </c>
      <c r="N3649" s="0">
        <v>930</v>
      </c>
      <c r="O3649" s="0">
        <v>0</v>
      </c>
      <c r="P3649" s="0">
        <v>0</v>
      </c>
      <c r="R3649" s="0" t="b">
        <v>0</v>
      </c>
      <c r="S3649" s="0" t="b">
        <v>1</v>
      </c>
      <c r="T3649" s="68">
        <v>45959.313125</v>
      </c>
      <c r="U3649" s="68">
        <v>45986.2916666667</v>
      </c>
      <c r="V3649" s="68">
        <v>0</v>
      </c>
      <c r="W3649" s="0">
        <f>IF(IF(B3649="none",1,IF(B3649="Trialer",1,0))+IF(C3649="Customer",1,IF(C3649="Lost",1,0))=2,1,0)</f>
      </c>
      <c r="X3649" s="0" t="s">
        <v>882</v>
      </c>
      <c r="Y3649" s="0" t="s">
        <v>243</v>
      </c>
      <c r="AV3649" s="68"/>
      <c r="AW3649" s="68"/>
      <c r="AY3649" s="27"/>
      <c r="BD3649" s="68">
        <v>46054.1666666667</v>
      </c>
      <c r="BE3649" s="68">
        <v>46082.1666666667</v>
      </c>
      <c r="BF3649" s="0" t="b">
        <v>0</v>
      </c>
      <c r="BG3649" s="0" t="b">
        <v>0</v>
      </c>
      <c r="BH3649" s="0">
        <v>917</v>
      </c>
      <c r="BI3649" s="0">
        <v>917</v>
      </c>
      <c r="BJ3649" s="0" t="s">
        <v>135</v>
      </c>
    </row>
    <row r="3650">
      <c r="A3650" s="0" t="s">
        <v>3905</v>
      </c>
      <c r="B3650" s="0" t="s">
        <v>134</v>
      </c>
      <c r="C3650" s="0" t="s">
        <v>134</v>
      </c>
      <c r="D3650" s="0" t="s">
        <v>230</v>
      </c>
      <c r="E3650" s="0" t="s">
        <v>3</v>
      </c>
      <c r="F3650" s="0" t="s">
        <v>12</v>
      </c>
      <c r="G3650" s="0" t="s">
        <v>8</v>
      </c>
      <c r="H3650" s="0">
        <v>94</v>
      </c>
      <c r="I3650" s="0">
        <v>50</v>
      </c>
      <c r="J3650" s="0">
        <v>0</v>
      </c>
      <c r="K3650" s="0">
        <v>1</v>
      </c>
      <c r="L3650" s="0">
        <v>1</v>
      </c>
      <c r="M3650" s="0">
        <v>2</v>
      </c>
      <c r="N3650" s="0">
        <v>0</v>
      </c>
      <c r="O3650" s="0">
        <v>0</v>
      </c>
      <c r="P3650" s="0">
        <v>-50</v>
      </c>
      <c r="R3650" s="0" t="b">
        <v>0</v>
      </c>
      <c r="S3650" s="0" t="b">
        <v>1</v>
      </c>
      <c r="T3650" s="68">
        <v>45959.4554398148</v>
      </c>
      <c r="U3650" s="68">
        <v>45973.2916666667</v>
      </c>
      <c r="V3650" s="68">
        <v>0</v>
      </c>
      <c r="W3650" s="0">
        <f>IF(IF(B3650="none",1,IF(B3650="Trialer",1,0))+IF(C3650="Customer",1,IF(C3650="Lost",1,0))=2,1,0)</f>
      </c>
      <c r="X3650" s="0" t="s">
        <v>142</v>
      </c>
      <c r="Y3650" s="0" t="s">
        <v>243</v>
      </c>
      <c r="AV3650" s="68"/>
      <c r="AW3650" s="68"/>
      <c r="AY3650" s="27"/>
      <c r="BD3650" s="68">
        <v>46054.1666666667</v>
      </c>
      <c r="BE3650" s="68">
        <v>46082.1666666667</v>
      </c>
      <c r="BF3650" s="0" t="b">
        <v>0</v>
      </c>
      <c r="BG3650" s="0" t="b">
        <v>0</v>
      </c>
      <c r="BH3650" s="0">
        <v>56</v>
      </c>
      <c r="BI3650" s="0">
        <v>56</v>
      </c>
      <c r="BJ3650" s="0" t="s">
        <v>230</v>
      </c>
    </row>
    <row r="3651">
      <c r="A3651" s="0" t="s">
        <v>3906</v>
      </c>
      <c r="B3651" s="0" t="s">
        <v>134</v>
      </c>
      <c r="C3651" s="0" t="s">
        <v>134</v>
      </c>
      <c r="D3651" s="0" t="s">
        <v>230</v>
      </c>
      <c r="E3651" s="0" t="s">
        <v>2</v>
      </c>
      <c r="F3651" s="0" t="s">
        <v>12</v>
      </c>
      <c r="G3651" s="0" t="s">
        <v>8</v>
      </c>
      <c r="H3651" s="0">
        <v>94</v>
      </c>
      <c r="I3651" s="0">
        <v>824</v>
      </c>
      <c r="J3651" s="0">
        <v>0</v>
      </c>
      <c r="K3651" s="0">
        <v>1</v>
      </c>
      <c r="L3651" s="0">
        <v>4</v>
      </c>
      <c r="M3651" s="0">
        <v>11</v>
      </c>
      <c r="N3651" s="0">
        <v>1054</v>
      </c>
      <c r="O3651" s="0">
        <v>-77.5</v>
      </c>
      <c r="P3651" s="0">
        <v>-499</v>
      </c>
      <c r="R3651" s="0" t="b">
        <v>0</v>
      </c>
      <c r="S3651" s="0" t="b">
        <v>1</v>
      </c>
      <c r="T3651" s="68">
        <v>45959.5602083333</v>
      </c>
      <c r="U3651" s="68">
        <v>45967.2916666667</v>
      </c>
      <c r="V3651" s="68">
        <v>0</v>
      </c>
      <c r="W3651" s="0">
        <f>IF(IF(B3651="none",1,IF(B3651="Trialer",1,0))+IF(C3651="Customer",1,IF(C3651="Lost",1,0))=2,1,0)</f>
      </c>
      <c r="X3651" s="0" t="s">
        <v>145</v>
      </c>
      <c r="Y3651" s="0" t="s">
        <v>499</v>
      </c>
      <c r="AV3651" s="68"/>
      <c r="AW3651" s="68"/>
      <c r="AY3651" s="27"/>
      <c r="BD3651" s="68">
        <v>46054.1666666667</v>
      </c>
      <c r="BE3651" s="68">
        <v>46082.1666666667</v>
      </c>
      <c r="BF3651" s="0" t="b">
        <v>0</v>
      </c>
      <c r="BG3651" s="0" t="b">
        <v>0</v>
      </c>
      <c r="BH3651" s="0">
        <v>560</v>
      </c>
      <c r="BI3651" s="0">
        <v>560</v>
      </c>
      <c r="BJ3651" s="0" t="s">
        <v>230</v>
      </c>
    </row>
    <row r="3652">
      <c r="A3652" s="0" t="s">
        <v>3907</v>
      </c>
      <c r="B3652" s="0" t="s">
        <v>134</v>
      </c>
      <c r="C3652" s="0" t="s">
        <v>134</v>
      </c>
      <c r="D3652" s="0" t="s">
        <v>135</v>
      </c>
      <c r="E3652" s="0" t="s">
        <v>3</v>
      </c>
      <c r="F3652" s="0" t="s">
        <v>12</v>
      </c>
      <c r="G3652" s="0" t="s">
        <v>8</v>
      </c>
      <c r="H3652" s="0">
        <v>94</v>
      </c>
      <c r="I3652" s="0">
        <v>147</v>
      </c>
      <c r="J3652" s="0">
        <v>0</v>
      </c>
      <c r="K3652" s="0">
        <v>1</v>
      </c>
      <c r="L3652" s="0">
        <v>3</v>
      </c>
      <c r="M3652" s="0">
        <v>3</v>
      </c>
      <c r="N3652" s="0">
        <v>0</v>
      </c>
      <c r="O3652" s="0">
        <v>0</v>
      </c>
      <c r="P3652" s="0">
        <v>0</v>
      </c>
      <c r="R3652" s="0" t="b">
        <v>0</v>
      </c>
      <c r="S3652" s="0" t="b">
        <v>1</v>
      </c>
      <c r="T3652" s="68">
        <v>45959.614224537</v>
      </c>
      <c r="U3652" s="68">
        <v>45973.2916666667</v>
      </c>
      <c r="V3652" s="68">
        <v>0</v>
      </c>
      <c r="W3652" s="0">
        <f>IF(IF(B3652="none",1,IF(B3652="Trialer",1,0))+IF(C3652="Customer",1,IF(C3652="Lost",1,0))=2,1,0)</f>
      </c>
      <c r="X3652" s="0" t="s">
        <v>136</v>
      </c>
      <c r="Y3652" s="0" t="s">
        <v>243</v>
      </c>
      <c r="AV3652" s="68"/>
      <c r="AW3652" s="68"/>
      <c r="AY3652" s="27"/>
      <c r="BD3652" s="68">
        <v>46054.1666666667</v>
      </c>
      <c r="BE3652" s="68">
        <v>46082.1666666667</v>
      </c>
      <c r="BF3652" s="0" t="b">
        <v>0</v>
      </c>
      <c r="BG3652" s="0" t="b">
        <v>0</v>
      </c>
      <c r="BH3652" s="0">
        <v>159</v>
      </c>
      <c r="BI3652" s="0">
        <v>159</v>
      </c>
      <c r="BJ3652" s="0" t="s">
        <v>135</v>
      </c>
    </row>
    <row r="3653">
      <c r="A3653" s="0" t="s">
        <v>3908</v>
      </c>
      <c r="B3653" s="0" t="s">
        <v>134</v>
      </c>
      <c r="C3653" s="0" t="s">
        <v>134</v>
      </c>
      <c r="D3653" s="0" t="s">
        <v>135</v>
      </c>
      <c r="E3653" s="0" t="s">
        <v>3</v>
      </c>
      <c r="F3653" s="0" t="s">
        <v>12</v>
      </c>
      <c r="G3653" s="0" t="s">
        <v>8</v>
      </c>
      <c r="H3653" s="0">
        <v>94</v>
      </c>
      <c r="I3653" s="0">
        <v>98</v>
      </c>
      <c r="J3653" s="0">
        <v>0</v>
      </c>
      <c r="K3653" s="0">
        <v>1</v>
      </c>
      <c r="L3653" s="0">
        <v>3</v>
      </c>
      <c r="M3653" s="0">
        <v>2</v>
      </c>
      <c r="N3653" s="0">
        <v>465</v>
      </c>
      <c r="O3653" s="0">
        <v>0</v>
      </c>
      <c r="P3653" s="0">
        <v>0</v>
      </c>
      <c r="R3653" s="0" t="b">
        <v>0</v>
      </c>
      <c r="S3653" s="0" t="b">
        <v>1</v>
      </c>
      <c r="T3653" s="68">
        <v>45959.6617013889</v>
      </c>
      <c r="U3653" s="68">
        <v>45973.2916666667</v>
      </c>
      <c r="V3653" s="68">
        <v>0</v>
      </c>
      <c r="W3653" s="0">
        <f>IF(IF(B3653="none",1,IF(B3653="Trialer",1,0))+IF(C3653="Customer",1,IF(C3653="Lost",1,0))=2,1,0)</f>
      </c>
      <c r="X3653" s="0" t="s">
        <v>153</v>
      </c>
      <c r="Y3653" s="0" t="s">
        <v>243</v>
      </c>
      <c r="AV3653" s="68"/>
      <c r="AW3653" s="68"/>
      <c r="AY3653" s="27"/>
      <c r="BD3653" s="68">
        <v>46054.1666666667</v>
      </c>
      <c r="BE3653" s="68">
        <v>46082.1666666667</v>
      </c>
      <c r="BF3653" s="0" t="b">
        <v>0</v>
      </c>
      <c r="BG3653" s="0" t="b">
        <v>0</v>
      </c>
      <c r="BH3653" s="0">
        <v>98</v>
      </c>
      <c r="BI3653" s="0">
        <v>98</v>
      </c>
      <c r="BJ3653" s="0" t="s">
        <v>135</v>
      </c>
    </row>
    <row r="3654">
      <c r="A3654" s="0" t="s">
        <v>3909</v>
      </c>
      <c r="B3654" s="0" t="s">
        <v>134</v>
      </c>
      <c r="C3654" s="0" t="s">
        <v>134</v>
      </c>
      <c r="D3654" s="0" t="s">
        <v>135</v>
      </c>
      <c r="E3654" s="0" t="s">
        <v>3</v>
      </c>
      <c r="F3654" s="0" t="s">
        <v>12</v>
      </c>
      <c r="G3654" s="0" t="s">
        <v>8</v>
      </c>
      <c r="H3654" s="0">
        <v>94</v>
      </c>
      <c r="I3654" s="0">
        <v>49</v>
      </c>
      <c r="J3654" s="0">
        <v>0</v>
      </c>
      <c r="K3654" s="0">
        <v>1</v>
      </c>
      <c r="L3654" s="0">
        <v>3</v>
      </c>
      <c r="M3654" s="0">
        <v>1</v>
      </c>
      <c r="N3654" s="0">
        <v>0</v>
      </c>
      <c r="O3654" s="0">
        <v>0</v>
      </c>
      <c r="P3654" s="0">
        <v>0</v>
      </c>
      <c r="R3654" s="0" t="b">
        <v>0</v>
      </c>
      <c r="S3654" s="0" t="b">
        <v>1</v>
      </c>
      <c r="T3654" s="68">
        <v>45959.7334837963</v>
      </c>
      <c r="U3654" s="68">
        <v>45973.2916666667</v>
      </c>
      <c r="V3654" s="68">
        <v>0</v>
      </c>
      <c r="W3654" s="0">
        <f>IF(IF(B3654="none",1,IF(B3654="Trialer",1,0))+IF(C3654="Customer",1,IF(C3654="Lost",1,0))=2,1,0)</f>
      </c>
      <c r="X3654" s="0" t="s">
        <v>166</v>
      </c>
      <c r="Y3654" s="0" t="s">
        <v>243</v>
      </c>
      <c r="AV3654" s="68"/>
      <c r="AW3654" s="68"/>
      <c r="AY3654" s="27"/>
      <c r="BD3654" s="68">
        <v>46054.1666666667</v>
      </c>
      <c r="BE3654" s="68">
        <v>46082.1666666667</v>
      </c>
      <c r="BF3654" s="0" t="b">
        <v>0</v>
      </c>
      <c r="BG3654" s="0" t="b">
        <v>0</v>
      </c>
      <c r="BH3654" s="0">
        <v>49</v>
      </c>
      <c r="BI3654" s="0">
        <v>49</v>
      </c>
      <c r="BJ3654" s="0" t="s">
        <v>135</v>
      </c>
    </row>
    <row r="3655">
      <c r="A3655" s="0" t="s">
        <v>3910</v>
      </c>
      <c r="B3655" s="0" t="s">
        <v>134</v>
      </c>
      <c r="C3655" s="0" t="s">
        <v>134</v>
      </c>
      <c r="D3655" s="0" t="s">
        <v>230</v>
      </c>
      <c r="E3655" s="0" t="s">
        <v>3</v>
      </c>
      <c r="F3655" s="0" t="s">
        <v>12</v>
      </c>
      <c r="G3655" s="0" t="s">
        <v>8</v>
      </c>
      <c r="H3655" s="0">
        <v>93</v>
      </c>
      <c r="I3655" s="0">
        <v>54</v>
      </c>
      <c r="J3655" s="0">
        <v>0</v>
      </c>
      <c r="K3655" s="0">
        <v>1</v>
      </c>
      <c r="L3655" s="0">
        <v>4</v>
      </c>
      <c r="M3655" s="0">
        <v>1</v>
      </c>
      <c r="N3655" s="0">
        <v>0</v>
      </c>
      <c r="O3655" s="0">
        <v>0</v>
      </c>
      <c r="P3655" s="0">
        <v>-54</v>
      </c>
      <c r="R3655" s="0" t="b">
        <v>0</v>
      </c>
      <c r="S3655" s="0" t="b">
        <v>1</v>
      </c>
      <c r="T3655" s="68">
        <v>45960.5197569444</v>
      </c>
      <c r="U3655" s="68">
        <v>45974.2916666667</v>
      </c>
      <c r="V3655" s="68">
        <v>0</v>
      </c>
      <c r="W3655" s="0">
        <f>IF(IF(B3655="none",1,IF(B3655="Trialer",1,0))+IF(C3655="Customer",1,IF(C3655="Lost",1,0))=2,1,0)</f>
      </c>
      <c r="X3655" s="0" t="s">
        <v>166</v>
      </c>
      <c r="Y3655" s="0" t="s">
        <v>243</v>
      </c>
      <c r="AV3655" s="68"/>
      <c r="AW3655" s="68"/>
      <c r="AY3655" s="27"/>
      <c r="BD3655" s="68">
        <v>46054.1666666667</v>
      </c>
      <c r="BE3655" s="68">
        <v>46082.1666666667</v>
      </c>
      <c r="BF3655" s="0" t="b">
        <v>0</v>
      </c>
      <c r="BG3655" s="0" t="b">
        <v>0</v>
      </c>
      <c r="BH3655" s="0">
        <v>61</v>
      </c>
      <c r="BI3655" s="0">
        <v>61</v>
      </c>
      <c r="BJ3655" s="0" t="s">
        <v>230</v>
      </c>
    </row>
    <row r="3656">
      <c r="A3656" s="0" t="s">
        <v>3911</v>
      </c>
      <c r="B3656" s="0" t="s">
        <v>134</v>
      </c>
      <c r="C3656" s="0" t="s">
        <v>134</v>
      </c>
      <c r="D3656" s="0" t="s">
        <v>230</v>
      </c>
      <c r="E3656" s="0" t="s">
        <v>3</v>
      </c>
      <c r="F3656" s="0" t="s">
        <v>12</v>
      </c>
      <c r="G3656" s="0" t="s">
        <v>8</v>
      </c>
      <c r="H3656" s="0">
        <v>93</v>
      </c>
      <c r="I3656" s="0">
        <v>723</v>
      </c>
      <c r="J3656" s="0">
        <v>0</v>
      </c>
      <c r="K3656" s="0">
        <v>1</v>
      </c>
      <c r="L3656" s="0">
        <v>5</v>
      </c>
      <c r="M3656" s="0">
        <v>7</v>
      </c>
      <c r="N3656" s="0">
        <v>2511</v>
      </c>
      <c r="O3656" s="0">
        <v>0</v>
      </c>
      <c r="P3656" s="0">
        <v>-398</v>
      </c>
      <c r="R3656" s="0" t="b">
        <v>0</v>
      </c>
      <c r="S3656" s="0" t="b">
        <v>1</v>
      </c>
      <c r="T3656" s="68">
        <v>45960.5984490741</v>
      </c>
      <c r="U3656" s="68">
        <v>45964.2916666667</v>
      </c>
      <c r="V3656" s="68">
        <v>0</v>
      </c>
      <c r="W3656" s="0">
        <f>IF(IF(B3656="none",1,IF(B3656="Trialer",1,0))+IF(C3656="Customer",1,IF(C3656="Lost",1,0))=2,1,0)</f>
      </c>
      <c r="X3656" s="0" t="s">
        <v>136</v>
      </c>
      <c r="Y3656" s="0" t="s">
        <v>243</v>
      </c>
      <c r="AV3656" s="68"/>
      <c r="AW3656" s="68"/>
      <c r="AY3656" s="27"/>
      <c r="BD3656" s="68">
        <v>46054.1666666667</v>
      </c>
      <c r="BE3656" s="68">
        <v>46082.1666666667</v>
      </c>
      <c r="BF3656" s="0" t="b">
        <v>0</v>
      </c>
      <c r="BG3656" s="0" t="b">
        <v>0</v>
      </c>
      <c r="BH3656" s="0">
        <v>552</v>
      </c>
      <c r="BI3656" s="0">
        <v>552</v>
      </c>
      <c r="BJ3656" s="0" t="s">
        <v>230</v>
      </c>
    </row>
    <row r="3657">
      <c r="A3657" s="0" t="s">
        <v>3912</v>
      </c>
      <c r="B3657" s="0" t="s">
        <v>134</v>
      </c>
      <c r="C3657" s="0" t="s">
        <v>134</v>
      </c>
      <c r="D3657" s="0" t="s">
        <v>230</v>
      </c>
      <c r="E3657" s="0" t="s">
        <v>3</v>
      </c>
      <c r="F3657" s="0" t="s">
        <v>12</v>
      </c>
      <c r="G3657" s="0" t="s">
        <v>8</v>
      </c>
      <c r="H3657" s="0">
        <v>93</v>
      </c>
      <c r="I3657" s="0">
        <v>44</v>
      </c>
      <c r="J3657" s="0">
        <v>0</v>
      </c>
      <c r="K3657" s="0">
        <v>1</v>
      </c>
      <c r="L3657" s="0">
        <v>3</v>
      </c>
      <c r="M3657" s="0">
        <v>1</v>
      </c>
      <c r="N3657" s="0">
        <v>0</v>
      </c>
      <c r="O3657" s="0">
        <v>0</v>
      </c>
      <c r="P3657" s="0">
        <v>-44</v>
      </c>
      <c r="R3657" s="0" t="b">
        <v>0</v>
      </c>
      <c r="S3657" s="0" t="b">
        <v>1</v>
      </c>
      <c r="T3657" s="68">
        <v>45960.6284722222</v>
      </c>
      <c r="U3657" s="68">
        <v>45974.2916666667</v>
      </c>
      <c r="V3657" s="68">
        <v>0</v>
      </c>
      <c r="W3657" s="0">
        <f>IF(IF(B3657="none",1,IF(B3657="Trialer",1,0))+IF(C3657="Customer",1,IF(C3657="Lost",1,0))=2,1,0)</f>
      </c>
      <c r="X3657" s="0" t="s">
        <v>153</v>
      </c>
      <c r="Y3657" s="0" t="s">
        <v>243</v>
      </c>
      <c r="AV3657" s="68"/>
      <c r="AW3657" s="68"/>
      <c r="AY3657" s="27"/>
      <c r="BD3657" s="68">
        <v>46054.1666666667</v>
      </c>
      <c r="BE3657" s="68">
        <v>46082.1666666667</v>
      </c>
      <c r="BF3657" s="0" t="b">
        <v>1</v>
      </c>
      <c r="BG3657" s="0" t="b">
        <v>0</v>
      </c>
      <c r="BH3657" s="0">
        <v>49</v>
      </c>
      <c r="BI3657" s="0">
        <v>49</v>
      </c>
      <c r="BJ3657" s="0" t="s">
        <v>230</v>
      </c>
    </row>
    <row r="3658">
      <c r="A3658" s="0" t="s">
        <v>3913</v>
      </c>
      <c r="B3658" s="0" t="s">
        <v>134</v>
      </c>
      <c r="C3658" s="0" t="s">
        <v>134</v>
      </c>
      <c r="D3658" s="0" t="s">
        <v>135</v>
      </c>
      <c r="E3658" s="0" t="s">
        <v>3</v>
      </c>
      <c r="F3658" s="0" t="s">
        <v>12</v>
      </c>
      <c r="G3658" s="0" t="s">
        <v>8</v>
      </c>
      <c r="H3658" s="0">
        <v>93</v>
      </c>
      <c r="I3658" s="0">
        <v>67</v>
      </c>
      <c r="J3658" s="0">
        <v>0</v>
      </c>
      <c r="K3658" s="0">
        <v>1</v>
      </c>
      <c r="L3658" s="0">
        <v>3</v>
      </c>
      <c r="M3658" s="0">
        <v>2</v>
      </c>
      <c r="N3658" s="0">
        <v>0</v>
      </c>
      <c r="O3658" s="0">
        <v>0</v>
      </c>
      <c r="P3658" s="0">
        <v>0</v>
      </c>
      <c r="R3658" s="0" t="b">
        <v>0</v>
      </c>
      <c r="S3658" s="0" t="b">
        <v>1</v>
      </c>
      <c r="T3658" s="68">
        <v>45960.7628472222</v>
      </c>
      <c r="U3658" s="68">
        <v>45974.2916666667</v>
      </c>
      <c r="V3658" s="68">
        <v>0</v>
      </c>
      <c r="W3658" s="0">
        <f>IF(IF(B3658="none",1,IF(B3658="Trialer",1,0))+IF(C3658="Customer",1,IF(C3658="Lost",1,0))=2,1,0)</f>
      </c>
      <c r="X3658" s="0" t="s">
        <v>142</v>
      </c>
      <c r="Y3658" s="0" t="s">
        <v>243</v>
      </c>
      <c r="AV3658" s="68"/>
      <c r="AW3658" s="68"/>
      <c r="AY3658" s="27"/>
      <c r="BD3658" s="68">
        <v>46054.1666666667</v>
      </c>
      <c r="BE3658" s="68">
        <v>46082.1666666667</v>
      </c>
      <c r="BF3658" s="0" t="b">
        <v>0</v>
      </c>
      <c r="BG3658" s="0" t="b">
        <v>0</v>
      </c>
      <c r="BH3658" s="0">
        <v>67</v>
      </c>
      <c r="BI3658" s="0">
        <v>67</v>
      </c>
      <c r="BJ3658" s="0" t="s">
        <v>135</v>
      </c>
    </row>
    <row r="3659">
      <c r="A3659" s="0" t="s">
        <v>3914</v>
      </c>
      <c r="B3659" s="0" t="s">
        <v>134</v>
      </c>
      <c r="C3659" s="0" t="s">
        <v>134</v>
      </c>
      <c r="D3659" s="0" t="s">
        <v>230</v>
      </c>
      <c r="E3659" s="0" t="s">
        <v>3</v>
      </c>
      <c r="F3659" s="0" t="s">
        <v>12</v>
      </c>
      <c r="G3659" s="0" t="s">
        <v>8</v>
      </c>
      <c r="H3659" s="0">
        <v>92</v>
      </c>
      <c r="I3659" s="0">
        <v>89</v>
      </c>
      <c r="J3659" s="0">
        <v>0</v>
      </c>
      <c r="K3659" s="0">
        <v>1</v>
      </c>
      <c r="L3659" s="0">
        <v>4</v>
      </c>
      <c r="M3659" s="0">
        <v>2</v>
      </c>
      <c r="N3659" s="0">
        <v>0</v>
      </c>
      <c r="O3659" s="0">
        <v>0</v>
      </c>
      <c r="P3659" s="0">
        <v>-89</v>
      </c>
      <c r="R3659" s="0" t="b">
        <v>0</v>
      </c>
      <c r="S3659" s="0" t="b">
        <v>0</v>
      </c>
      <c r="T3659" s="68">
        <v>45961.5090625</v>
      </c>
      <c r="U3659" s="68">
        <v>45975.2916666667</v>
      </c>
      <c r="V3659" s="68">
        <v>46087.5932986111</v>
      </c>
      <c r="W3659" s="0">
        <f>IF(IF(B3659="none",1,IF(B3659="Trialer",1,0))+IF(C3659="Customer",1,IF(C3659="Lost",1,0))=2,1,0)</f>
      </c>
      <c r="X3659" s="0" t="s">
        <v>1461</v>
      </c>
      <c r="Y3659" s="0" t="s">
        <v>243</v>
      </c>
      <c r="AV3659" s="68"/>
      <c r="AW3659" s="68"/>
      <c r="AY3659" s="27"/>
      <c r="BD3659" s="68">
        <v>46054.1666666667</v>
      </c>
      <c r="BE3659" s="68">
        <v>46082.1666666667</v>
      </c>
      <c r="BF3659" s="0" t="b">
        <v>0</v>
      </c>
      <c r="BG3659" s="0" t="b">
        <v>0</v>
      </c>
      <c r="BH3659" s="0">
        <v>101</v>
      </c>
      <c r="BI3659" s="0">
        <v>101</v>
      </c>
      <c r="BJ3659" s="0" t="s">
        <v>230</v>
      </c>
    </row>
    <row r="3660">
      <c r="A3660" s="0" t="s">
        <v>3915</v>
      </c>
      <c r="B3660" s="0" t="s">
        <v>134</v>
      </c>
      <c r="C3660" s="0" t="s">
        <v>134</v>
      </c>
      <c r="D3660" s="0" t="s">
        <v>135</v>
      </c>
      <c r="E3660" s="0" t="s">
        <v>3</v>
      </c>
      <c r="F3660" s="0" t="s">
        <v>12</v>
      </c>
      <c r="G3660" s="0" t="s">
        <v>8</v>
      </c>
      <c r="H3660" s="0">
        <v>92</v>
      </c>
      <c r="I3660" s="0">
        <v>221</v>
      </c>
      <c r="J3660" s="0">
        <v>0</v>
      </c>
      <c r="K3660" s="0">
        <v>1</v>
      </c>
      <c r="L3660" s="0">
        <v>4</v>
      </c>
      <c r="M3660" s="0">
        <v>5</v>
      </c>
      <c r="N3660" s="0">
        <v>0</v>
      </c>
      <c r="O3660" s="0">
        <v>0</v>
      </c>
      <c r="P3660" s="0">
        <v>0</v>
      </c>
      <c r="R3660" s="0" t="b">
        <v>0</v>
      </c>
      <c r="S3660" s="0" t="b">
        <v>1</v>
      </c>
      <c r="T3660" s="68">
        <v>45961.5428819444</v>
      </c>
      <c r="U3660" s="68">
        <v>45975.2916666667</v>
      </c>
      <c r="V3660" s="68">
        <v>0</v>
      </c>
      <c r="W3660" s="0">
        <f>IF(IF(B3660="none",1,IF(B3660="Trialer",1,0))+IF(C3660="Customer",1,IF(C3660="Lost",1,0))=2,1,0)</f>
      </c>
      <c r="X3660" s="0" t="s">
        <v>148</v>
      </c>
      <c r="Y3660" s="0" t="s">
        <v>243</v>
      </c>
      <c r="AV3660" s="68"/>
      <c r="AW3660" s="68"/>
      <c r="AY3660" s="27"/>
      <c r="BD3660" s="68">
        <v>46054.1666666667</v>
      </c>
      <c r="BE3660" s="68">
        <v>46082.1666666667</v>
      </c>
      <c r="BF3660" s="0" t="b">
        <v>0</v>
      </c>
      <c r="BG3660" s="0" t="b">
        <v>0</v>
      </c>
      <c r="BH3660" s="0">
        <v>209</v>
      </c>
      <c r="BI3660" s="0">
        <v>209</v>
      </c>
      <c r="BJ3660" s="0" t="s">
        <v>135</v>
      </c>
    </row>
    <row r="3661">
      <c r="A3661" s="0" t="s">
        <v>3916</v>
      </c>
      <c r="B3661" s="0" t="s">
        <v>134</v>
      </c>
      <c r="C3661" s="0" t="s">
        <v>134</v>
      </c>
      <c r="D3661" s="0" t="s">
        <v>135</v>
      </c>
      <c r="E3661" s="0" t="s">
        <v>3</v>
      </c>
      <c r="F3661" s="0" t="s">
        <v>12</v>
      </c>
      <c r="G3661" s="0" t="s">
        <v>8</v>
      </c>
      <c r="H3661" s="0">
        <v>90</v>
      </c>
      <c r="I3661" s="0">
        <v>80</v>
      </c>
      <c r="J3661" s="0">
        <v>0</v>
      </c>
      <c r="K3661" s="0">
        <v>1</v>
      </c>
      <c r="L3661" s="0">
        <v>2</v>
      </c>
      <c r="M3661" s="0">
        <v>2</v>
      </c>
      <c r="N3661" s="0">
        <v>0</v>
      </c>
      <c r="O3661" s="0">
        <v>0</v>
      </c>
      <c r="P3661" s="0">
        <v>0</v>
      </c>
      <c r="R3661" s="0" t="b">
        <v>0</v>
      </c>
      <c r="S3661" s="0" t="b">
        <v>1</v>
      </c>
      <c r="T3661" s="68">
        <v>45963.9047453704</v>
      </c>
      <c r="U3661" s="68">
        <v>45989.2916666667</v>
      </c>
      <c r="V3661" s="68">
        <v>0</v>
      </c>
      <c r="W3661" s="0">
        <f>IF(IF(B3661="none",1,IF(B3661="Trialer",1,0))+IF(C3661="Customer",1,IF(C3661="Lost",1,0))=2,1,0)</f>
      </c>
      <c r="X3661" s="0" t="s">
        <v>1461</v>
      </c>
      <c r="Y3661" s="0" t="s">
        <v>243</v>
      </c>
      <c r="AV3661" s="68"/>
      <c r="AW3661" s="68"/>
      <c r="AY3661" s="27"/>
      <c r="BD3661" s="68">
        <v>46054.1666666667</v>
      </c>
      <c r="BE3661" s="68">
        <v>46082.1666666667</v>
      </c>
      <c r="BF3661" s="0" t="b">
        <v>0</v>
      </c>
      <c r="BG3661" s="0" t="b">
        <v>0</v>
      </c>
      <c r="BH3661" s="0">
        <v>80</v>
      </c>
      <c r="BI3661" s="0">
        <v>80</v>
      </c>
      <c r="BJ3661" s="0" t="s">
        <v>135</v>
      </c>
    </row>
    <row r="3662">
      <c r="A3662" s="0" t="s">
        <v>3917</v>
      </c>
      <c r="B3662" s="0" t="s">
        <v>134</v>
      </c>
      <c r="C3662" s="0" t="s">
        <v>134</v>
      </c>
      <c r="D3662" s="0" t="s">
        <v>135</v>
      </c>
      <c r="E3662" s="0" t="s">
        <v>3</v>
      </c>
      <c r="F3662" s="0" t="s">
        <v>12</v>
      </c>
      <c r="G3662" s="0" t="s">
        <v>8</v>
      </c>
      <c r="H3662" s="0">
        <v>89</v>
      </c>
      <c r="I3662" s="0">
        <v>182</v>
      </c>
      <c r="J3662" s="0">
        <v>0</v>
      </c>
      <c r="K3662" s="0">
        <v>1</v>
      </c>
      <c r="L3662" s="0">
        <v>4</v>
      </c>
      <c r="M3662" s="0">
        <v>6</v>
      </c>
      <c r="N3662" s="0">
        <v>0</v>
      </c>
      <c r="O3662" s="0">
        <v>0</v>
      </c>
      <c r="P3662" s="0">
        <v>0</v>
      </c>
      <c r="R3662" s="0" t="b">
        <v>0</v>
      </c>
      <c r="S3662" s="0" t="b">
        <v>1</v>
      </c>
      <c r="T3662" s="68">
        <v>45964.4856944444</v>
      </c>
      <c r="U3662" s="68">
        <v>45994.2916666667</v>
      </c>
      <c r="V3662" s="68">
        <v>0</v>
      </c>
      <c r="W3662" s="0">
        <f>IF(IF(B3662="none",1,IF(B3662="Trialer",1,0))+IF(C3662="Customer",1,IF(C3662="Lost",1,0))=2,1,0)</f>
      </c>
      <c r="X3662" s="0" t="s">
        <v>882</v>
      </c>
      <c r="Y3662" s="0" t="s">
        <v>243</v>
      </c>
      <c r="AV3662" s="68"/>
      <c r="AW3662" s="68"/>
      <c r="AY3662" s="27"/>
      <c r="BD3662" s="68">
        <v>46054.1666666667</v>
      </c>
      <c r="BE3662" s="68">
        <v>46082.1666666667</v>
      </c>
      <c r="BF3662" s="0" t="b">
        <v>0</v>
      </c>
      <c r="BG3662" s="0" t="b">
        <v>0</v>
      </c>
      <c r="BH3662" s="0">
        <v>182</v>
      </c>
      <c r="BI3662" s="0">
        <v>182</v>
      </c>
      <c r="BJ3662" s="0" t="s">
        <v>135</v>
      </c>
    </row>
    <row r="3663">
      <c r="A3663" s="0" t="s">
        <v>3918</v>
      </c>
      <c r="B3663" s="0" t="s">
        <v>134</v>
      </c>
      <c r="C3663" s="0" t="s">
        <v>134</v>
      </c>
      <c r="D3663" s="0" t="s">
        <v>135</v>
      </c>
      <c r="E3663" s="0" t="s">
        <v>2</v>
      </c>
      <c r="F3663" s="0" t="s">
        <v>12</v>
      </c>
      <c r="G3663" s="0" t="s">
        <v>8</v>
      </c>
      <c r="H3663" s="0">
        <v>89</v>
      </c>
      <c r="I3663" s="0">
        <v>150</v>
      </c>
      <c r="J3663" s="0">
        <v>0</v>
      </c>
      <c r="K3663" s="0">
        <v>1</v>
      </c>
      <c r="L3663" s="0">
        <v>4</v>
      </c>
      <c r="M3663" s="0">
        <v>3</v>
      </c>
      <c r="N3663" s="0">
        <v>0</v>
      </c>
      <c r="O3663" s="0">
        <v>0</v>
      </c>
      <c r="P3663" s="0">
        <v>0</v>
      </c>
      <c r="R3663" s="0" t="b">
        <v>0</v>
      </c>
      <c r="S3663" s="0" t="b">
        <v>1</v>
      </c>
      <c r="T3663" s="68">
        <v>45964.4859490741</v>
      </c>
      <c r="U3663" s="68">
        <v>45981.2916666667</v>
      </c>
      <c r="V3663" s="68">
        <v>0</v>
      </c>
      <c r="W3663" s="0">
        <f>IF(IF(B3663="none",1,IF(B3663="Trialer",1,0))+IF(C3663="Customer",1,IF(C3663="Lost",1,0))=2,1,0)</f>
      </c>
      <c r="X3663" s="0" t="s">
        <v>1461</v>
      </c>
      <c r="Y3663" s="0" t="s">
        <v>499</v>
      </c>
      <c r="AV3663" s="68"/>
      <c r="AW3663" s="68"/>
      <c r="AY3663" s="27"/>
      <c r="BD3663" s="68">
        <v>46054.1666666667</v>
      </c>
      <c r="BE3663" s="68">
        <v>46082.1666666667</v>
      </c>
      <c r="BF3663" s="0" t="b">
        <v>0</v>
      </c>
      <c r="BG3663" s="0" t="b">
        <v>0</v>
      </c>
      <c r="BH3663" s="0">
        <v>150</v>
      </c>
      <c r="BI3663" s="0">
        <v>150</v>
      </c>
      <c r="BJ3663" s="0" t="s">
        <v>135</v>
      </c>
    </row>
    <row r="3664">
      <c r="A3664" s="0" t="s">
        <v>3919</v>
      </c>
      <c r="B3664" s="0" t="s">
        <v>652</v>
      </c>
      <c r="C3664" s="0" t="s">
        <v>652</v>
      </c>
      <c r="D3664" s="0" t="s">
        <v>135</v>
      </c>
      <c r="E3664" s="0" t="s">
        <v>3</v>
      </c>
      <c r="F3664" s="0" t="s">
        <v>10</v>
      </c>
      <c r="G3664" s="0" t="s">
        <v>8</v>
      </c>
      <c r="H3664" s="0">
        <v>89</v>
      </c>
      <c r="I3664" s="0">
        <v>0</v>
      </c>
      <c r="J3664" s="0">
        <v>0</v>
      </c>
      <c r="K3664" s="0">
        <v>0</v>
      </c>
      <c r="L3664" s="0">
        <v>0</v>
      </c>
      <c r="M3664" s="0">
        <v>0</v>
      </c>
      <c r="N3664" s="0">
        <v>0</v>
      </c>
      <c r="O3664" s="0">
        <v>0</v>
      </c>
      <c r="P3664" s="0">
        <v>0</v>
      </c>
      <c r="Q3664" s="0" t="s">
        <v>3013</v>
      </c>
      <c r="R3664" s="0" t="b">
        <v>0</v>
      </c>
      <c r="S3664" s="0" t="b">
        <v>0</v>
      </c>
      <c r="T3664" s="68">
        <v>45964.6079513889</v>
      </c>
      <c r="U3664" s="68">
        <v>0</v>
      </c>
      <c r="V3664" s="68">
        <v>46056.1667013889</v>
      </c>
      <c r="W3664" s="0">
        <f>IF(IF(B3664="none",1,IF(B3664="Trialer",1,0))+IF(C3664="Customer",1,IF(C3664="Lost",1,0))=2,1,0)</f>
      </c>
      <c r="X3664" s="0" t="s">
        <v>136</v>
      </c>
      <c r="Y3664" s="0" t="s">
        <v>243</v>
      </c>
      <c r="AV3664" s="68"/>
      <c r="AW3664" s="68"/>
      <c r="AY3664" s="27"/>
      <c r="BD3664" s="68">
        <v>46054.1666666667</v>
      </c>
      <c r="BE3664" s="68">
        <v>46082.1666666667</v>
      </c>
      <c r="BF3664" s="0" t="b">
        <v>0</v>
      </c>
      <c r="BG3664" s="0" t="b">
        <v>0</v>
      </c>
      <c r="BH3664" s="0">
        <v>77</v>
      </c>
      <c r="BI3664" s="0">
        <v>77</v>
      </c>
      <c r="BJ3664" s="0" t="s">
        <v>135</v>
      </c>
    </row>
    <row r="3665">
      <c r="A3665" s="0" t="s">
        <v>3920</v>
      </c>
      <c r="B3665" s="0" t="s">
        <v>134</v>
      </c>
      <c r="C3665" s="0" t="s">
        <v>134</v>
      </c>
      <c r="D3665" s="0" t="s">
        <v>135</v>
      </c>
      <c r="E3665" s="0" t="s">
        <v>2</v>
      </c>
      <c r="F3665" s="0" t="s">
        <v>12</v>
      </c>
      <c r="G3665" s="0" t="s">
        <v>8</v>
      </c>
      <c r="H3665" s="0">
        <v>89</v>
      </c>
      <c r="I3665" s="0">
        <v>98</v>
      </c>
      <c r="J3665" s="0">
        <v>0</v>
      </c>
      <c r="K3665" s="0">
        <v>1</v>
      </c>
      <c r="L3665" s="0">
        <v>4</v>
      </c>
      <c r="M3665" s="0">
        <v>2</v>
      </c>
      <c r="N3665" s="0">
        <v>465</v>
      </c>
      <c r="O3665" s="0">
        <v>0</v>
      </c>
      <c r="P3665" s="0">
        <v>0</v>
      </c>
      <c r="R3665" s="0" t="b">
        <v>0</v>
      </c>
      <c r="S3665" s="0" t="b">
        <v>1</v>
      </c>
      <c r="T3665" s="68">
        <v>45964.6558449074</v>
      </c>
      <c r="U3665" s="68">
        <v>45981.2916666667</v>
      </c>
      <c r="V3665" s="68">
        <v>0</v>
      </c>
      <c r="W3665" s="0">
        <f>IF(IF(B3665="none",1,IF(B3665="Trialer",1,0))+IF(C3665="Customer",1,IF(C3665="Lost",1,0))=2,1,0)</f>
      </c>
      <c r="X3665" s="0" t="s">
        <v>136</v>
      </c>
      <c r="Y3665" s="0" t="s">
        <v>499</v>
      </c>
      <c r="AV3665" s="68"/>
      <c r="AW3665" s="68"/>
      <c r="AY3665" s="27"/>
      <c r="BD3665" s="68">
        <v>46054.1666666667</v>
      </c>
      <c r="BE3665" s="68">
        <v>46082.1666666667</v>
      </c>
      <c r="BF3665" s="0" t="b">
        <v>0</v>
      </c>
      <c r="BG3665" s="0" t="b">
        <v>0</v>
      </c>
      <c r="BH3665" s="0">
        <v>98</v>
      </c>
      <c r="BI3665" s="0">
        <v>98</v>
      </c>
      <c r="BJ3665" s="0" t="s">
        <v>135</v>
      </c>
    </row>
    <row r="3666">
      <c r="A3666" s="0" t="s">
        <v>3921</v>
      </c>
      <c r="B3666" s="0" t="s">
        <v>134</v>
      </c>
      <c r="C3666" s="0" t="s">
        <v>134</v>
      </c>
      <c r="D3666" s="0" t="s">
        <v>135</v>
      </c>
      <c r="E3666" s="0" t="s">
        <v>3</v>
      </c>
      <c r="F3666" s="0" t="s">
        <v>12</v>
      </c>
      <c r="G3666" s="0" t="s">
        <v>8</v>
      </c>
      <c r="H3666" s="0">
        <v>89</v>
      </c>
      <c r="I3666" s="0">
        <v>49</v>
      </c>
      <c r="J3666" s="0">
        <v>0</v>
      </c>
      <c r="K3666" s="0">
        <v>1</v>
      </c>
      <c r="L3666" s="0">
        <v>3</v>
      </c>
      <c r="M3666" s="0">
        <v>1</v>
      </c>
      <c r="N3666" s="0">
        <v>0</v>
      </c>
      <c r="O3666" s="0">
        <v>0</v>
      </c>
      <c r="P3666" s="0">
        <v>0</v>
      </c>
      <c r="R3666" s="0" t="b">
        <v>0</v>
      </c>
      <c r="S3666" s="0" t="b">
        <v>1</v>
      </c>
      <c r="T3666" s="68">
        <v>45964.6902199074</v>
      </c>
      <c r="U3666" s="68">
        <v>45978.2916666667</v>
      </c>
      <c r="V3666" s="68">
        <v>0</v>
      </c>
      <c r="W3666" s="0">
        <f>IF(IF(B3666="none",1,IF(B3666="Trialer",1,0))+IF(C3666="Customer",1,IF(C3666="Lost",1,0))=2,1,0)</f>
      </c>
      <c r="X3666" s="0" t="s">
        <v>153</v>
      </c>
      <c r="Y3666" s="0" t="s">
        <v>243</v>
      </c>
      <c r="AV3666" s="68"/>
      <c r="AW3666" s="68"/>
      <c r="AY3666" s="27"/>
      <c r="BD3666" s="68">
        <v>46054.1666666667</v>
      </c>
      <c r="BE3666" s="68">
        <v>46082.1666666667</v>
      </c>
      <c r="BF3666" s="0" t="b">
        <v>0</v>
      </c>
      <c r="BG3666" s="0" t="b">
        <v>0</v>
      </c>
      <c r="BH3666" s="0">
        <v>49</v>
      </c>
      <c r="BI3666" s="0">
        <v>49</v>
      </c>
      <c r="BJ3666" s="0" t="s">
        <v>135</v>
      </c>
    </row>
    <row r="3667">
      <c r="A3667" s="0" t="s">
        <v>3922</v>
      </c>
      <c r="B3667" s="0" t="s">
        <v>134</v>
      </c>
      <c r="C3667" s="0" t="s">
        <v>134</v>
      </c>
      <c r="D3667" s="0" t="s">
        <v>135</v>
      </c>
      <c r="E3667" s="0" t="s">
        <v>3</v>
      </c>
      <c r="F3667" s="0" t="s">
        <v>12</v>
      </c>
      <c r="G3667" s="0" t="s">
        <v>8</v>
      </c>
      <c r="H3667" s="0">
        <v>89</v>
      </c>
      <c r="I3667" s="0">
        <v>49</v>
      </c>
      <c r="J3667" s="0">
        <v>0</v>
      </c>
      <c r="K3667" s="0">
        <v>1</v>
      </c>
      <c r="L3667" s="0">
        <v>3</v>
      </c>
      <c r="M3667" s="0">
        <v>1</v>
      </c>
      <c r="N3667" s="0">
        <v>0</v>
      </c>
      <c r="O3667" s="0">
        <v>0</v>
      </c>
      <c r="P3667" s="0">
        <v>0</v>
      </c>
      <c r="R3667" s="0" t="b">
        <v>0</v>
      </c>
      <c r="S3667" s="0" t="b">
        <v>1</v>
      </c>
      <c r="T3667" s="68">
        <v>45964.7168865741</v>
      </c>
      <c r="U3667" s="68">
        <v>45978.2916666667</v>
      </c>
      <c r="V3667" s="68">
        <v>0</v>
      </c>
      <c r="W3667" s="0">
        <f>IF(IF(B3667="none",1,IF(B3667="Trialer",1,0))+IF(C3667="Customer",1,IF(C3667="Lost",1,0))=2,1,0)</f>
      </c>
      <c r="X3667" s="0" t="s">
        <v>166</v>
      </c>
      <c r="Y3667" s="0" t="s">
        <v>243</v>
      </c>
      <c r="AV3667" s="68"/>
      <c r="AW3667" s="68"/>
      <c r="AY3667" s="27"/>
      <c r="BD3667" s="68">
        <v>46054.1666666667</v>
      </c>
      <c r="BE3667" s="68">
        <v>46082.1666666667</v>
      </c>
      <c r="BF3667" s="0" t="b">
        <v>0</v>
      </c>
      <c r="BG3667" s="0" t="b">
        <v>0</v>
      </c>
      <c r="BH3667" s="0">
        <v>49</v>
      </c>
      <c r="BI3667" s="0">
        <v>49</v>
      </c>
      <c r="BJ3667" s="0" t="s">
        <v>135</v>
      </c>
    </row>
    <row r="3668">
      <c r="A3668" s="0" t="s">
        <v>3923</v>
      </c>
      <c r="B3668" s="0" t="s">
        <v>134</v>
      </c>
      <c r="C3668" s="0" t="s">
        <v>134</v>
      </c>
      <c r="D3668" s="0" t="s">
        <v>135</v>
      </c>
      <c r="E3668" s="0" t="s">
        <v>3</v>
      </c>
      <c r="F3668" s="0" t="s">
        <v>12</v>
      </c>
      <c r="G3668" s="0" t="s">
        <v>8</v>
      </c>
      <c r="H3668" s="0">
        <v>88</v>
      </c>
      <c r="I3668" s="0">
        <v>37</v>
      </c>
      <c r="J3668" s="0">
        <v>0</v>
      </c>
      <c r="K3668" s="0">
        <v>1</v>
      </c>
      <c r="L3668" s="0">
        <v>2</v>
      </c>
      <c r="M3668" s="0">
        <v>1</v>
      </c>
      <c r="N3668" s="0">
        <v>0</v>
      </c>
      <c r="O3668" s="0">
        <v>0</v>
      </c>
      <c r="P3668" s="0">
        <v>0</v>
      </c>
      <c r="R3668" s="0" t="b">
        <v>0</v>
      </c>
      <c r="S3668" s="0" t="b">
        <v>1</v>
      </c>
      <c r="T3668" s="68">
        <v>45965.3906134259</v>
      </c>
      <c r="U3668" s="68">
        <v>45998.2916666667</v>
      </c>
      <c r="V3668" s="68">
        <v>0</v>
      </c>
      <c r="W3668" s="0">
        <f>IF(IF(B3668="none",1,IF(B3668="Trialer",1,0))+IF(C3668="Customer",1,IF(C3668="Lost",1,0))=2,1,0)</f>
      </c>
      <c r="X3668" s="0" t="s">
        <v>1461</v>
      </c>
      <c r="Y3668" s="0" t="s">
        <v>243</v>
      </c>
      <c r="AV3668" s="68"/>
      <c r="AW3668" s="68"/>
      <c r="AY3668" s="27"/>
      <c r="BD3668" s="68">
        <v>46054.1666666667</v>
      </c>
      <c r="BE3668" s="68">
        <v>46082.1666666667</v>
      </c>
      <c r="BF3668" s="0" t="b">
        <v>0</v>
      </c>
      <c r="BG3668" s="0" t="b">
        <v>0</v>
      </c>
      <c r="BH3668" s="0">
        <v>37</v>
      </c>
      <c r="BI3668" s="0">
        <v>37</v>
      </c>
      <c r="BJ3668" s="0" t="s">
        <v>135</v>
      </c>
    </row>
    <row r="3669">
      <c r="A3669" s="0" t="s">
        <v>3924</v>
      </c>
      <c r="B3669" s="0" t="s">
        <v>134</v>
      </c>
      <c r="C3669" s="0" t="s">
        <v>134</v>
      </c>
      <c r="D3669" s="0" t="s">
        <v>135</v>
      </c>
      <c r="E3669" s="0" t="s">
        <v>3</v>
      </c>
      <c r="F3669" s="0" t="s">
        <v>11</v>
      </c>
      <c r="G3669" s="0" t="s">
        <v>8</v>
      </c>
      <c r="H3669" s="0">
        <v>88</v>
      </c>
      <c r="I3669" s="0">
        <v>78.4</v>
      </c>
      <c r="J3669" s="0">
        <v>0</v>
      </c>
      <c r="K3669" s="0">
        <v>1</v>
      </c>
      <c r="L3669" s="0">
        <v>3</v>
      </c>
      <c r="M3669" s="0">
        <v>2</v>
      </c>
      <c r="N3669" s="0">
        <v>0</v>
      </c>
      <c r="O3669" s="0">
        <v>0</v>
      </c>
      <c r="P3669" s="0">
        <v>0</v>
      </c>
      <c r="Q3669" s="0" t="s">
        <v>1743</v>
      </c>
      <c r="R3669" s="0" t="b">
        <v>1</v>
      </c>
      <c r="S3669" s="0" t="b">
        <v>1</v>
      </c>
      <c r="T3669" s="68">
        <v>45965.4772916667</v>
      </c>
      <c r="U3669" s="68">
        <v>45965.2916666667</v>
      </c>
      <c r="V3669" s="68">
        <v>0</v>
      </c>
      <c r="W3669" s="0">
        <f>IF(IF(B3669="none",1,IF(B3669="Trialer",1,0))+IF(C3669="Customer",1,IF(C3669="Lost",1,0))=2,1,0)</f>
      </c>
      <c r="X3669" s="0" t="s">
        <v>145</v>
      </c>
      <c r="Y3669" s="0" t="s">
        <v>243</v>
      </c>
      <c r="AV3669" s="68"/>
      <c r="AW3669" s="68"/>
      <c r="AY3669" s="27"/>
      <c r="BD3669" s="68">
        <v>46054.1666666667</v>
      </c>
      <c r="BE3669" s="68">
        <v>46082.1666666667</v>
      </c>
      <c r="BF3669" s="0" t="b">
        <v>0</v>
      </c>
      <c r="BG3669" s="0" t="b">
        <v>0</v>
      </c>
      <c r="BH3669" s="0">
        <v>78.4</v>
      </c>
      <c r="BI3669" s="0">
        <v>78.4</v>
      </c>
      <c r="BJ3669" s="0" t="s">
        <v>135</v>
      </c>
    </row>
    <row r="3670">
      <c r="A3670" s="0" t="s">
        <v>3925</v>
      </c>
      <c r="B3670" s="0" t="s">
        <v>134</v>
      </c>
      <c r="C3670" s="0" t="s">
        <v>134</v>
      </c>
      <c r="D3670" s="0" t="s">
        <v>230</v>
      </c>
      <c r="E3670" s="0" t="s">
        <v>2</v>
      </c>
      <c r="F3670" s="0" t="s">
        <v>12</v>
      </c>
      <c r="G3670" s="0" t="s">
        <v>8</v>
      </c>
      <c r="H3670" s="0">
        <v>87</v>
      </c>
      <c r="I3670" s="0">
        <v>132</v>
      </c>
      <c r="J3670" s="0">
        <v>0</v>
      </c>
      <c r="K3670" s="0">
        <v>1</v>
      </c>
      <c r="L3670" s="0">
        <v>3</v>
      </c>
      <c r="M3670" s="0">
        <v>3</v>
      </c>
      <c r="N3670" s="0">
        <v>0</v>
      </c>
      <c r="O3670" s="0">
        <v>0</v>
      </c>
      <c r="P3670" s="0">
        <v>-132</v>
      </c>
      <c r="R3670" s="0" t="b">
        <v>0</v>
      </c>
      <c r="S3670" s="0" t="b">
        <v>1</v>
      </c>
      <c r="T3670" s="68">
        <v>45966.6254050926</v>
      </c>
      <c r="U3670" s="68">
        <v>45981.2916666667</v>
      </c>
      <c r="V3670" s="68">
        <v>0</v>
      </c>
      <c r="W3670" s="0">
        <f>IF(IF(B3670="none",1,IF(B3670="Trialer",1,0))+IF(C3670="Customer",1,IF(C3670="Lost",1,0))=2,1,0)</f>
      </c>
      <c r="X3670" s="0" t="s">
        <v>1461</v>
      </c>
      <c r="Y3670" s="0" t="s">
        <v>499</v>
      </c>
      <c r="AV3670" s="68"/>
      <c r="AW3670" s="68"/>
      <c r="AY3670" s="27"/>
      <c r="BD3670" s="68">
        <v>46054.1666666667</v>
      </c>
      <c r="BE3670" s="68">
        <v>46082.1666666667</v>
      </c>
      <c r="BF3670" s="0" t="b">
        <v>0</v>
      </c>
      <c r="BG3670" s="0" t="b">
        <v>0</v>
      </c>
      <c r="BH3670" s="0">
        <v>147</v>
      </c>
      <c r="BI3670" s="0">
        <v>147</v>
      </c>
      <c r="BJ3670" s="0" t="s">
        <v>230</v>
      </c>
    </row>
    <row r="3671">
      <c r="A3671" s="0" t="s">
        <v>3926</v>
      </c>
      <c r="B3671" s="0" t="s">
        <v>134</v>
      </c>
      <c r="C3671" s="0" t="s">
        <v>134</v>
      </c>
      <c r="D3671" s="0" t="s">
        <v>135</v>
      </c>
      <c r="E3671" s="0" t="s">
        <v>3</v>
      </c>
      <c r="F3671" s="0" t="s">
        <v>12</v>
      </c>
      <c r="G3671" s="0" t="s">
        <v>8</v>
      </c>
      <c r="H3671" s="0">
        <v>87</v>
      </c>
      <c r="I3671" s="0">
        <v>116</v>
      </c>
      <c r="J3671" s="0">
        <v>0</v>
      </c>
      <c r="K3671" s="0">
        <v>1</v>
      </c>
      <c r="L3671" s="0">
        <v>3</v>
      </c>
      <c r="M3671" s="0">
        <v>3</v>
      </c>
      <c r="N3671" s="0">
        <v>0</v>
      </c>
      <c r="O3671" s="0">
        <v>0</v>
      </c>
      <c r="P3671" s="0">
        <v>0</v>
      </c>
      <c r="R3671" s="0" t="b">
        <v>0</v>
      </c>
      <c r="S3671" s="0" t="b">
        <v>1</v>
      </c>
      <c r="T3671" s="68">
        <v>45966.8947800926</v>
      </c>
      <c r="U3671" s="68">
        <v>45980.2916666667</v>
      </c>
      <c r="V3671" s="68">
        <v>0</v>
      </c>
      <c r="W3671" s="0">
        <f>IF(IF(B3671="none",1,IF(B3671="Trialer",1,0))+IF(C3671="Customer",1,IF(C3671="Lost",1,0))=2,1,0)</f>
      </c>
      <c r="X3671" s="0" t="s">
        <v>1461</v>
      </c>
      <c r="Y3671" s="0" t="s">
        <v>243</v>
      </c>
      <c r="AV3671" s="68"/>
      <c r="AW3671" s="68"/>
      <c r="AY3671" s="27"/>
      <c r="BD3671" s="68">
        <v>46054.1666666667</v>
      </c>
      <c r="BE3671" s="68">
        <v>46082.1666666667</v>
      </c>
      <c r="BF3671" s="0" t="b">
        <v>0</v>
      </c>
      <c r="BG3671" s="0" t="b">
        <v>0</v>
      </c>
      <c r="BH3671" s="0">
        <v>116</v>
      </c>
      <c r="BI3671" s="0">
        <v>116</v>
      </c>
      <c r="BJ3671" s="0" t="s">
        <v>135</v>
      </c>
    </row>
    <row r="3672">
      <c r="A3672" s="0" t="s">
        <v>3927</v>
      </c>
      <c r="B3672" s="0" t="s">
        <v>134</v>
      </c>
      <c r="C3672" s="0" t="s">
        <v>134</v>
      </c>
      <c r="D3672" s="0" t="s">
        <v>230</v>
      </c>
      <c r="E3672" s="0" t="s">
        <v>3</v>
      </c>
      <c r="F3672" s="0" t="s">
        <v>12</v>
      </c>
      <c r="G3672" s="0" t="s">
        <v>8</v>
      </c>
      <c r="H3672" s="0">
        <v>86</v>
      </c>
      <c r="I3672" s="0">
        <v>44</v>
      </c>
      <c r="J3672" s="0">
        <v>0</v>
      </c>
      <c r="K3672" s="0">
        <v>1</v>
      </c>
      <c r="L3672" s="0">
        <v>3</v>
      </c>
      <c r="M3672" s="0">
        <v>1</v>
      </c>
      <c r="N3672" s="0">
        <v>0</v>
      </c>
      <c r="O3672" s="0">
        <v>0</v>
      </c>
      <c r="P3672" s="0">
        <v>-44</v>
      </c>
      <c r="R3672" s="0" t="b">
        <v>0</v>
      </c>
      <c r="S3672" s="0" t="b">
        <v>1</v>
      </c>
      <c r="T3672" s="68">
        <v>45967.4547106481</v>
      </c>
      <c r="U3672" s="68">
        <v>45981.2916666667</v>
      </c>
      <c r="V3672" s="68">
        <v>0</v>
      </c>
      <c r="W3672" s="0">
        <f>IF(IF(B3672="none",1,IF(B3672="Trialer",1,0))+IF(C3672="Customer",1,IF(C3672="Lost",1,0))=2,1,0)</f>
      </c>
      <c r="X3672" s="0" t="s">
        <v>1461</v>
      </c>
      <c r="Y3672" s="0" t="s">
        <v>243</v>
      </c>
      <c r="AV3672" s="68"/>
      <c r="AW3672" s="68"/>
      <c r="AY3672" s="27"/>
      <c r="BD3672" s="68">
        <v>46054.1666666667</v>
      </c>
      <c r="BE3672" s="68">
        <v>46082.1666666667</v>
      </c>
      <c r="BF3672" s="0" t="b">
        <v>0</v>
      </c>
      <c r="BG3672" s="0" t="b">
        <v>0</v>
      </c>
      <c r="BH3672" s="0">
        <v>49</v>
      </c>
      <c r="BI3672" s="0">
        <v>49</v>
      </c>
      <c r="BJ3672" s="0" t="s">
        <v>230</v>
      </c>
    </row>
    <row r="3673">
      <c r="A3673" s="0" t="s">
        <v>3928</v>
      </c>
      <c r="B3673" s="0" t="s">
        <v>134</v>
      </c>
      <c r="C3673" s="0" t="s">
        <v>190</v>
      </c>
      <c r="D3673" s="0" t="s">
        <v>135</v>
      </c>
      <c r="E3673" s="0" t="s">
        <v>2</v>
      </c>
      <c r="F3673" s="0" t="s">
        <v>12</v>
      </c>
      <c r="G3673" s="0" t="s">
        <v>8</v>
      </c>
      <c r="H3673" s="0">
        <v>86</v>
      </c>
      <c r="I3673" s="0">
        <v>0</v>
      </c>
      <c r="J3673" s="0">
        <v>-40</v>
      </c>
      <c r="K3673" s="0">
        <v>0</v>
      </c>
      <c r="L3673" s="0">
        <v>0</v>
      </c>
      <c r="M3673" s="0">
        <v>0</v>
      </c>
      <c r="N3673" s="0">
        <v>0</v>
      </c>
      <c r="O3673" s="0">
        <v>0</v>
      </c>
      <c r="P3673" s="0">
        <v>0</v>
      </c>
      <c r="R3673" s="0" t="b">
        <v>0</v>
      </c>
      <c r="S3673" s="0" t="b">
        <v>0</v>
      </c>
      <c r="T3673" s="68">
        <v>45967.6972453704</v>
      </c>
      <c r="U3673" s="68">
        <v>45986.2916666667</v>
      </c>
      <c r="V3673" s="68">
        <v>46073.1684490741</v>
      </c>
      <c r="W3673" s="0">
        <f>IF(IF(B3673="none",1,IF(B3673="Trialer",1,0))+IF(C3673="Customer",1,IF(C3673="Lost",1,0))=2,1,0)</f>
      </c>
      <c r="X3673" s="0" t="s">
        <v>1461</v>
      </c>
      <c r="Y3673" s="0" t="s">
        <v>499</v>
      </c>
      <c r="AV3673" s="68"/>
      <c r="AW3673" s="68"/>
      <c r="AY3673" s="27"/>
      <c r="BD3673" s="68">
        <v>46054.1666666667</v>
      </c>
      <c r="BE3673" s="68">
        <v>46082.1666666667</v>
      </c>
      <c r="BF3673" s="0" t="b">
        <v>0</v>
      </c>
      <c r="BG3673" s="0" t="b">
        <v>0</v>
      </c>
      <c r="BH3673" s="0">
        <v>40</v>
      </c>
      <c r="BI3673" s="0">
        <v>40</v>
      </c>
      <c r="BJ3673" s="0" t="s">
        <v>135</v>
      </c>
    </row>
    <row r="3674">
      <c r="A3674" s="0" t="s">
        <v>3929</v>
      </c>
      <c r="B3674" s="0" t="s">
        <v>134</v>
      </c>
      <c r="C3674" s="0" t="s">
        <v>190</v>
      </c>
      <c r="D3674" s="0" t="s">
        <v>135</v>
      </c>
      <c r="E3674" s="0" t="s">
        <v>3</v>
      </c>
      <c r="F3674" s="0" t="s">
        <v>12</v>
      </c>
      <c r="G3674" s="0" t="s">
        <v>8</v>
      </c>
      <c r="H3674" s="0">
        <v>85</v>
      </c>
      <c r="I3674" s="0">
        <v>0</v>
      </c>
      <c r="J3674" s="0">
        <v>0</v>
      </c>
      <c r="K3674" s="0">
        <v>0</v>
      </c>
      <c r="L3674" s="0">
        <v>0</v>
      </c>
      <c r="M3674" s="0">
        <v>0</v>
      </c>
      <c r="N3674" s="0">
        <v>0</v>
      </c>
      <c r="O3674" s="0">
        <v>0</v>
      </c>
      <c r="P3674" s="0">
        <v>0</v>
      </c>
      <c r="R3674" s="0" t="b">
        <v>0</v>
      </c>
      <c r="S3674" s="0" t="b">
        <v>0</v>
      </c>
      <c r="T3674" s="68">
        <v>45968.5336342593</v>
      </c>
      <c r="U3674" s="68">
        <v>45982.2916666667</v>
      </c>
      <c r="V3674" s="68">
        <v>46055.4671759259</v>
      </c>
      <c r="W3674" s="0">
        <f>IF(IF(B3674="none",1,IF(B3674="Trialer",1,0))+IF(C3674="Customer",1,IF(C3674="Lost",1,0))=2,1,0)</f>
      </c>
      <c r="X3674" s="0" t="s">
        <v>1461</v>
      </c>
      <c r="Y3674" s="0" t="s">
        <v>243</v>
      </c>
      <c r="AV3674" s="68"/>
      <c r="AW3674" s="68"/>
      <c r="AY3674" s="27"/>
      <c r="BD3674" s="68">
        <v>46054.1666666667</v>
      </c>
      <c r="BE3674" s="68">
        <v>46082.1666666667</v>
      </c>
      <c r="BF3674" s="0" t="b">
        <v>0</v>
      </c>
      <c r="BG3674" s="0" t="b">
        <v>0</v>
      </c>
      <c r="BH3674" s="0">
        <v>73</v>
      </c>
      <c r="BI3674" s="0">
        <v>73</v>
      </c>
      <c r="BJ3674" s="0" t="s">
        <v>135</v>
      </c>
    </row>
    <row r="3675">
      <c r="A3675" s="0" t="s">
        <v>3930</v>
      </c>
      <c r="B3675" s="0" t="s">
        <v>134</v>
      </c>
      <c r="C3675" s="0" t="s">
        <v>134</v>
      </c>
      <c r="D3675" s="0" t="s">
        <v>135</v>
      </c>
      <c r="E3675" s="0" t="s">
        <v>3</v>
      </c>
      <c r="F3675" s="0" t="s">
        <v>12</v>
      </c>
      <c r="G3675" s="0" t="s">
        <v>8</v>
      </c>
      <c r="H3675" s="0">
        <v>85</v>
      </c>
      <c r="I3675" s="0">
        <v>214</v>
      </c>
      <c r="J3675" s="0">
        <v>0</v>
      </c>
      <c r="K3675" s="0">
        <v>1</v>
      </c>
      <c r="L3675" s="0">
        <v>3</v>
      </c>
      <c r="M3675" s="0">
        <v>5</v>
      </c>
      <c r="N3675" s="0">
        <v>0</v>
      </c>
      <c r="O3675" s="0">
        <v>0</v>
      </c>
      <c r="P3675" s="0">
        <v>0</v>
      </c>
      <c r="R3675" s="0" t="b">
        <v>0</v>
      </c>
      <c r="S3675" s="0" t="b">
        <v>1</v>
      </c>
      <c r="T3675" s="68">
        <v>45968.5671643519</v>
      </c>
      <c r="U3675" s="68">
        <v>45968.2916666667</v>
      </c>
      <c r="V3675" s="68">
        <v>0</v>
      </c>
      <c r="W3675" s="0">
        <f>IF(IF(B3675="none",1,IF(B3675="Trialer",1,0))+IF(C3675="Customer",1,IF(C3675="Lost",1,0))=2,1,0)</f>
      </c>
      <c r="X3675" s="0" t="s">
        <v>145</v>
      </c>
      <c r="Y3675" s="0" t="s">
        <v>243</v>
      </c>
      <c r="AV3675" s="68"/>
      <c r="AW3675" s="68"/>
      <c r="AY3675" s="27"/>
      <c r="BD3675" s="68">
        <v>46054.1666666667</v>
      </c>
      <c r="BE3675" s="68">
        <v>46082.1666666667</v>
      </c>
      <c r="BF3675" s="0" t="b">
        <v>0</v>
      </c>
      <c r="BG3675" s="0" t="b">
        <v>0</v>
      </c>
      <c r="BH3675" s="0">
        <v>214</v>
      </c>
      <c r="BI3675" s="0">
        <v>214</v>
      </c>
      <c r="BJ3675" s="0" t="s">
        <v>135</v>
      </c>
    </row>
    <row r="3676">
      <c r="A3676" s="0" t="s">
        <v>3931</v>
      </c>
      <c r="B3676" s="0" t="s">
        <v>134</v>
      </c>
      <c r="C3676" s="0" t="s">
        <v>134</v>
      </c>
      <c r="D3676" s="0" t="s">
        <v>135</v>
      </c>
      <c r="E3676" s="0" t="s">
        <v>2</v>
      </c>
      <c r="F3676" s="0" t="s">
        <v>12</v>
      </c>
      <c r="G3676" s="0" t="s">
        <v>8</v>
      </c>
      <c r="H3676" s="0">
        <v>85</v>
      </c>
      <c r="I3676" s="0">
        <v>61</v>
      </c>
      <c r="J3676" s="0">
        <v>0</v>
      </c>
      <c r="K3676" s="0">
        <v>1</v>
      </c>
      <c r="L3676" s="0">
        <v>4</v>
      </c>
      <c r="M3676" s="0">
        <v>1</v>
      </c>
      <c r="N3676" s="0">
        <v>0</v>
      </c>
      <c r="O3676" s="0">
        <v>0</v>
      </c>
      <c r="P3676" s="0">
        <v>0</v>
      </c>
      <c r="R3676" s="0" t="b">
        <v>0</v>
      </c>
      <c r="S3676" s="0" t="b">
        <v>1</v>
      </c>
      <c r="T3676" s="68">
        <v>45968.5828819444</v>
      </c>
      <c r="U3676" s="68">
        <v>46006.2916666667</v>
      </c>
      <c r="V3676" s="68">
        <v>0</v>
      </c>
      <c r="W3676" s="0">
        <f>IF(IF(B3676="none",1,IF(B3676="Trialer",1,0))+IF(C3676="Customer",1,IF(C3676="Lost",1,0))=2,1,0)</f>
      </c>
      <c r="X3676" s="0" t="s">
        <v>1461</v>
      </c>
      <c r="Y3676" s="0" t="s">
        <v>499</v>
      </c>
      <c r="AV3676" s="68"/>
      <c r="AW3676" s="68"/>
      <c r="AY3676" s="27"/>
      <c r="BD3676" s="68">
        <v>46054.1666666667</v>
      </c>
      <c r="BE3676" s="68">
        <v>46082.1666666667</v>
      </c>
      <c r="BF3676" s="0" t="b">
        <v>0</v>
      </c>
      <c r="BG3676" s="0" t="b">
        <v>0</v>
      </c>
      <c r="BH3676" s="0">
        <v>61</v>
      </c>
      <c r="BI3676" s="0">
        <v>61</v>
      </c>
      <c r="BJ3676" s="0" t="s">
        <v>135</v>
      </c>
    </row>
    <row r="3677">
      <c r="A3677" s="0" t="s">
        <v>3932</v>
      </c>
      <c r="B3677" s="0" t="s">
        <v>134</v>
      </c>
      <c r="C3677" s="0" t="s">
        <v>190</v>
      </c>
      <c r="D3677" s="0" t="s">
        <v>135</v>
      </c>
      <c r="E3677" s="0" t="s">
        <v>3</v>
      </c>
      <c r="F3677" s="0" t="s">
        <v>12</v>
      </c>
      <c r="G3677" s="0" t="s">
        <v>8</v>
      </c>
      <c r="H3677" s="0">
        <v>82</v>
      </c>
      <c r="I3677" s="0">
        <v>0</v>
      </c>
      <c r="J3677" s="0">
        <v>0</v>
      </c>
      <c r="K3677" s="0">
        <v>0</v>
      </c>
      <c r="L3677" s="0">
        <v>0</v>
      </c>
      <c r="M3677" s="0">
        <v>0</v>
      </c>
      <c r="N3677" s="0">
        <v>0</v>
      </c>
      <c r="O3677" s="0">
        <v>0</v>
      </c>
      <c r="P3677" s="0">
        <v>0</v>
      </c>
      <c r="R3677" s="0" t="b">
        <v>0</v>
      </c>
      <c r="S3677" s="0" t="b">
        <v>0</v>
      </c>
      <c r="T3677" s="68">
        <v>45971.3325347222</v>
      </c>
      <c r="U3677" s="68">
        <v>45985.2916666667</v>
      </c>
      <c r="V3677" s="68">
        <v>46055.4433101852</v>
      </c>
      <c r="W3677" s="0">
        <f>IF(IF(B3677="none",1,IF(B3677="Trialer",1,0))+IF(C3677="Customer",1,IF(C3677="Lost",1,0))=2,1,0)</f>
      </c>
      <c r="X3677" s="0" t="s">
        <v>1461</v>
      </c>
      <c r="Y3677" s="0" t="s">
        <v>243</v>
      </c>
      <c r="AV3677" s="68"/>
      <c r="AW3677" s="68"/>
      <c r="AY3677" s="27"/>
      <c r="BD3677" s="68">
        <v>46054.1666666667</v>
      </c>
      <c r="BE3677" s="68">
        <v>46082.1666666667</v>
      </c>
      <c r="BF3677" s="0" t="b">
        <v>0</v>
      </c>
      <c r="BG3677" s="0" t="b">
        <v>0</v>
      </c>
      <c r="BH3677" s="0">
        <v>144</v>
      </c>
      <c r="BI3677" s="0">
        <v>144</v>
      </c>
      <c r="BJ3677" s="0" t="s">
        <v>135</v>
      </c>
    </row>
    <row r="3678">
      <c r="A3678" s="0" t="s">
        <v>3933</v>
      </c>
      <c r="B3678" s="0" t="s">
        <v>134</v>
      </c>
      <c r="C3678" s="0" t="s">
        <v>134</v>
      </c>
      <c r="D3678" s="0" t="s">
        <v>135</v>
      </c>
      <c r="E3678" s="0" t="s">
        <v>3</v>
      </c>
      <c r="F3678" s="0" t="s">
        <v>12</v>
      </c>
      <c r="G3678" s="0" t="s">
        <v>8</v>
      </c>
      <c r="H3678" s="0">
        <v>82</v>
      </c>
      <c r="I3678" s="0">
        <v>77</v>
      </c>
      <c r="J3678" s="0">
        <v>0</v>
      </c>
      <c r="K3678" s="0">
        <v>1</v>
      </c>
      <c r="L3678" s="0">
        <v>3</v>
      </c>
      <c r="M3678" s="0">
        <v>2</v>
      </c>
      <c r="N3678" s="0">
        <v>0</v>
      </c>
      <c r="O3678" s="0">
        <v>0</v>
      </c>
      <c r="P3678" s="0">
        <v>0</v>
      </c>
      <c r="R3678" s="0" t="b">
        <v>0</v>
      </c>
      <c r="S3678" s="0" t="b">
        <v>1</v>
      </c>
      <c r="T3678" s="68">
        <v>45971.4573958333</v>
      </c>
      <c r="U3678" s="68">
        <v>45992.2916666667</v>
      </c>
      <c r="V3678" s="68">
        <v>0</v>
      </c>
      <c r="W3678" s="0">
        <f>IF(IF(B3678="none",1,IF(B3678="Trialer",1,0))+IF(C3678="Customer",1,IF(C3678="Lost",1,0))=2,1,0)</f>
      </c>
      <c r="X3678" s="0" t="s">
        <v>1461</v>
      </c>
      <c r="Y3678" s="0" t="s">
        <v>243</v>
      </c>
      <c r="AV3678" s="68"/>
      <c r="AW3678" s="68"/>
      <c r="AY3678" s="27"/>
      <c r="BD3678" s="68">
        <v>46054.1666666667</v>
      </c>
      <c r="BE3678" s="68">
        <v>46082.1666666667</v>
      </c>
      <c r="BF3678" s="0" t="b">
        <v>0</v>
      </c>
      <c r="BG3678" s="0" t="b">
        <v>0</v>
      </c>
      <c r="BH3678" s="0">
        <v>49</v>
      </c>
      <c r="BI3678" s="0">
        <v>49</v>
      </c>
      <c r="BJ3678" s="0" t="s">
        <v>135</v>
      </c>
    </row>
    <row r="3679">
      <c r="A3679" s="0" t="s">
        <v>3934</v>
      </c>
      <c r="B3679" s="0" t="s">
        <v>134</v>
      </c>
      <c r="C3679" s="0" t="s">
        <v>134</v>
      </c>
      <c r="D3679" s="0" t="s">
        <v>135</v>
      </c>
      <c r="E3679" s="0" t="s">
        <v>2</v>
      </c>
      <c r="F3679" s="0" t="s">
        <v>12</v>
      </c>
      <c r="G3679" s="0" t="s">
        <v>8</v>
      </c>
      <c r="H3679" s="0">
        <v>82</v>
      </c>
      <c r="I3679" s="0">
        <v>40</v>
      </c>
      <c r="J3679" s="0">
        <v>0</v>
      </c>
      <c r="K3679" s="0">
        <v>1</v>
      </c>
      <c r="L3679" s="0">
        <v>1</v>
      </c>
      <c r="M3679" s="0">
        <v>0</v>
      </c>
      <c r="N3679" s="0">
        <v>0</v>
      </c>
      <c r="O3679" s="0">
        <v>0</v>
      </c>
      <c r="P3679" s="0">
        <v>0</v>
      </c>
      <c r="R3679" s="0" t="b">
        <v>0</v>
      </c>
      <c r="S3679" s="0" t="b">
        <v>1</v>
      </c>
      <c r="T3679" s="68">
        <v>45971.4965046296</v>
      </c>
      <c r="U3679" s="68">
        <v>45971.2916666667</v>
      </c>
      <c r="V3679" s="68">
        <v>0</v>
      </c>
      <c r="W3679" s="0">
        <f>IF(IF(B3679="none",1,IF(B3679="Trialer",1,0))+IF(C3679="Customer",1,IF(C3679="Lost",1,0))=2,1,0)</f>
      </c>
      <c r="X3679" s="0" t="s">
        <v>145</v>
      </c>
      <c r="Y3679" s="0" t="s">
        <v>499</v>
      </c>
      <c r="AV3679" s="68"/>
      <c r="AW3679" s="68"/>
      <c r="AY3679" s="27"/>
      <c r="BD3679" s="68">
        <v>46054.1666666667</v>
      </c>
      <c r="BE3679" s="68">
        <v>46082.1666666667</v>
      </c>
      <c r="BF3679" s="0" t="b">
        <v>0</v>
      </c>
      <c r="BG3679" s="0" t="b">
        <v>0</v>
      </c>
      <c r="BH3679" s="0">
        <v>40</v>
      </c>
      <c r="BI3679" s="0">
        <v>40</v>
      </c>
      <c r="BJ3679" s="0" t="s">
        <v>135</v>
      </c>
    </row>
    <row r="3680">
      <c r="A3680" s="0" t="s">
        <v>3935</v>
      </c>
      <c r="B3680" s="0" t="s">
        <v>134</v>
      </c>
      <c r="C3680" s="0" t="s">
        <v>134</v>
      </c>
      <c r="D3680" s="0" t="s">
        <v>230</v>
      </c>
      <c r="E3680" s="0" t="s">
        <v>3</v>
      </c>
      <c r="F3680" s="0" t="s">
        <v>12</v>
      </c>
      <c r="G3680" s="0" t="s">
        <v>8</v>
      </c>
      <c r="H3680" s="0">
        <v>82</v>
      </c>
      <c r="I3680" s="0">
        <v>25</v>
      </c>
      <c r="J3680" s="0">
        <v>0</v>
      </c>
      <c r="K3680" s="0">
        <v>1</v>
      </c>
      <c r="L3680" s="0">
        <v>1</v>
      </c>
      <c r="M3680" s="0">
        <v>1</v>
      </c>
      <c r="N3680" s="0">
        <v>0</v>
      </c>
      <c r="O3680" s="0">
        <v>0</v>
      </c>
      <c r="P3680" s="0">
        <v>-25</v>
      </c>
      <c r="R3680" s="0" t="b">
        <v>0</v>
      </c>
      <c r="S3680" s="0" t="b">
        <v>1</v>
      </c>
      <c r="T3680" s="68">
        <v>45971.5220949074</v>
      </c>
      <c r="U3680" s="68">
        <v>45985.2916666667</v>
      </c>
      <c r="V3680" s="68">
        <v>0</v>
      </c>
      <c r="W3680" s="0">
        <f>IF(IF(B3680="none",1,IF(B3680="Trialer",1,0))+IF(C3680="Customer",1,IF(C3680="Lost",1,0))=2,1,0)</f>
      </c>
      <c r="X3680" s="0" t="s">
        <v>1461</v>
      </c>
      <c r="Y3680" s="0" t="s">
        <v>243</v>
      </c>
      <c r="AV3680" s="68"/>
      <c r="AW3680" s="68"/>
      <c r="AY3680" s="27"/>
      <c r="BD3680" s="68">
        <v>46054.1666666667</v>
      </c>
      <c r="BE3680" s="68">
        <v>46082.1666666667</v>
      </c>
      <c r="BF3680" s="0" t="b">
        <v>0</v>
      </c>
      <c r="BG3680" s="0" t="b">
        <v>0</v>
      </c>
      <c r="BH3680" s="0">
        <v>28</v>
      </c>
      <c r="BI3680" s="0">
        <v>28</v>
      </c>
      <c r="BJ3680" s="0" t="s">
        <v>230</v>
      </c>
    </row>
    <row r="3681">
      <c r="A3681" s="0" t="s">
        <v>3936</v>
      </c>
      <c r="B3681" s="0" t="s">
        <v>134</v>
      </c>
      <c r="C3681" s="0" t="s">
        <v>134</v>
      </c>
      <c r="D3681" s="0" t="s">
        <v>135</v>
      </c>
      <c r="E3681" s="0" t="s">
        <v>3</v>
      </c>
      <c r="F3681" s="0" t="s">
        <v>12</v>
      </c>
      <c r="G3681" s="0" t="s">
        <v>8</v>
      </c>
      <c r="H3681" s="0">
        <v>82</v>
      </c>
      <c r="I3681" s="0">
        <v>374</v>
      </c>
      <c r="J3681" s="0">
        <v>0</v>
      </c>
      <c r="K3681" s="0">
        <v>1</v>
      </c>
      <c r="L3681" s="0">
        <v>3</v>
      </c>
      <c r="M3681" s="0">
        <v>1</v>
      </c>
      <c r="N3681" s="0">
        <v>0</v>
      </c>
      <c r="O3681" s="0">
        <v>0</v>
      </c>
      <c r="P3681" s="0">
        <v>0</v>
      </c>
      <c r="R3681" s="0" t="b">
        <v>0</v>
      </c>
      <c r="S3681" s="0" t="b">
        <v>1</v>
      </c>
      <c r="T3681" s="68">
        <v>45971.5888541667</v>
      </c>
      <c r="U3681" s="68">
        <v>45996.2916666667</v>
      </c>
      <c r="V3681" s="68">
        <v>0</v>
      </c>
      <c r="W3681" s="0">
        <f>IF(IF(B3681="none",1,IF(B3681="Trialer",1,0))+IF(C3681="Customer",1,IF(C3681="Lost",1,0))=2,1,0)</f>
      </c>
      <c r="X3681" s="0" t="s">
        <v>148</v>
      </c>
      <c r="Y3681" s="0" t="s">
        <v>243</v>
      </c>
      <c r="AV3681" s="68"/>
      <c r="AW3681" s="68"/>
      <c r="AY3681" s="27"/>
      <c r="BD3681" s="68">
        <v>46054.1666666667</v>
      </c>
      <c r="BE3681" s="68">
        <v>46082.1666666667</v>
      </c>
      <c r="BF3681" s="0" t="b">
        <v>0</v>
      </c>
      <c r="BG3681" s="0" t="b">
        <v>0</v>
      </c>
      <c r="BH3681" s="0">
        <v>49</v>
      </c>
      <c r="BI3681" s="0">
        <v>49</v>
      </c>
      <c r="BJ3681" s="0" t="s">
        <v>135</v>
      </c>
    </row>
    <row r="3682">
      <c r="A3682" s="0" t="s">
        <v>3937</v>
      </c>
      <c r="B3682" s="0" t="s">
        <v>134</v>
      </c>
      <c r="C3682" s="0" t="s">
        <v>134</v>
      </c>
      <c r="D3682" s="0" t="s">
        <v>135</v>
      </c>
      <c r="E3682" s="0" t="s">
        <v>2</v>
      </c>
      <c r="F3682" s="0" t="s">
        <v>12</v>
      </c>
      <c r="G3682" s="0" t="s">
        <v>8</v>
      </c>
      <c r="H3682" s="0">
        <v>82</v>
      </c>
      <c r="I3682" s="0">
        <v>40</v>
      </c>
      <c r="J3682" s="0">
        <v>0</v>
      </c>
      <c r="K3682" s="0">
        <v>1</v>
      </c>
      <c r="L3682" s="0">
        <v>2</v>
      </c>
      <c r="M3682" s="0">
        <v>1</v>
      </c>
      <c r="N3682" s="0">
        <v>0</v>
      </c>
      <c r="O3682" s="0">
        <v>0</v>
      </c>
      <c r="P3682" s="0">
        <v>0</v>
      </c>
      <c r="R3682" s="0" t="b">
        <v>0</v>
      </c>
      <c r="S3682" s="0" t="b">
        <v>1</v>
      </c>
      <c r="T3682" s="68">
        <v>45971.6615046296</v>
      </c>
      <c r="U3682" s="68">
        <v>45982.2916666667</v>
      </c>
      <c r="V3682" s="68">
        <v>0</v>
      </c>
      <c r="W3682" s="0">
        <f>IF(IF(B3682="none",1,IF(B3682="Trialer",1,0))+IF(C3682="Customer",1,IF(C3682="Lost",1,0))=2,1,0)</f>
      </c>
      <c r="X3682" s="0" t="s">
        <v>145</v>
      </c>
      <c r="Y3682" s="0" t="s">
        <v>499</v>
      </c>
      <c r="AV3682" s="68"/>
      <c r="AW3682" s="68"/>
      <c r="AY3682" s="27"/>
      <c r="BD3682" s="68">
        <v>46054.1666666667</v>
      </c>
      <c r="BE3682" s="68">
        <v>46082.1666666667</v>
      </c>
      <c r="BF3682" s="0" t="b">
        <v>0</v>
      </c>
      <c r="BG3682" s="0" t="b">
        <v>0</v>
      </c>
      <c r="BH3682" s="0">
        <v>40</v>
      </c>
      <c r="BI3682" s="0">
        <v>40</v>
      </c>
      <c r="BJ3682" s="0" t="s">
        <v>135</v>
      </c>
    </row>
    <row r="3683">
      <c r="A3683" s="0" t="s">
        <v>3938</v>
      </c>
      <c r="B3683" s="0" t="s">
        <v>134</v>
      </c>
      <c r="C3683" s="0" t="s">
        <v>134</v>
      </c>
      <c r="D3683" s="0" t="s">
        <v>135</v>
      </c>
      <c r="E3683" s="0" t="s">
        <v>3</v>
      </c>
      <c r="F3683" s="0" t="s">
        <v>12</v>
      </c>
      <c r="G3683" s="0" t="s">
        <v>8</v>
      </c>
      <c r="H3683" s="0">
        <v>82</v>
      </c>
      <c r="I3683" s="0">
        <v>244</v>
      </c>
      <c r="J3683" s="0">
        <v>0</v>
      </c>
      <c r="K3683" s="0">
        <v>1</v>
      </c>
      <c r="L3683" s="0">
        <v>4</v>
      </c>
      <c r="M3683" s="0">
        <v>4</v>
      </c>
      <c r="N3683" s="0">
        <v>155</v>
      </c>
      <c r="O3683" s="0">
        <v>0</v>
      </c>
      <c r="P3683" s="0">
        <v>0</v>
      </c>
      <c r="R3683" s="0" t="b">
        <v>0</v>
      </c>
      <c r="S3683" s="0" t="b">
        <v>1</v>
      </c>
      <c r="T3683" s="68">
        <v>45971.6920717593</v>
      </c>
      <c r="U3683" s="68">
        <v>45985.2916666667</v>
      </c>
      <c r="V3683" s="68">
        <v>0</v>
      </c>
      <c r="W3683" s="0">
        <f>IF(IF(B3683="none",1,IF(B3683="Trialer",1,0))+IF(C3683="Customer",1,IF(C3683="Lost",1,0))=2,1,0)</f>
      </c>
      <c r="X3683" s="0" t="s">
        <v>136</v>
      </c>
      <c r="Y3683" s="0" t="s">
        <v>243</v>
      </c>
      <c r="AV3683" s="68"/>
      <c r="AW3683" s="68"/>
      <c r="AY3683" s="27"/>
      <c r="BD3683" s="68">
        <v>46054.1666666667</v>
      </c>
      <c r="BE3683" s="68">
        <v>46082.1666666667</v>
      </c>
      <c r="BF3683" s="0" t="b">
        <v>0</v>
      </c>
      <c r="BG3683" s="0" t="b">
        <v>0</v>
      </c>
      <c r="BH3683" s="0">
        <v>183</v>
      </c>
      <c r="BI3683" s="0">
        <v>183</v>
      </c>
      <c r="BJ3683" s="0" t="s">
        <v>135</v>
      </c>
    </row>
    <row r="3684">
      <c r="A3684" s="0" t="s">
        <v>3939</v>
      </c>
      <c r="B3684" s="0" t="s">
        <v>134</v>
      </c>
      <c r="C3684" s="0" t="s">
        <v>134</v>
      </c>
      <c r="D3684" s="0" t="s">
        <v>135</v>
      </c>
      <c r="E3684" s="0" t="s">
        <v>3</v>
      </c>
      <c r="F3684" s="0" t="s">
        <v>12</v>
      </c>
      <c r="G3684" s="0" t="s">
        <v>8</v>
      </c>
      <c r="H3684" s="0">
        <v>82</v>
      </c>
      <c r="I3684" s="0">
        <v>447</v>
      </c>
      <c r="J3684" s="0">
        <v>0</v>
      </c>
      <c r="K3684" s="0">
        <v>1</v>
      </c>
      <c r="L3684" s="0">
        <v>4</v>
      </c>
      <c r="M3684" s="0">
        <v>2</v>
      </c>
      <c r="N3684" s="0">
        <v>976.5</v>
      </c>
      <c r="O3684" s="0">
        <v>0</v>
      </c>
      <c r="P3684" s="0">
        <v>0</v>
      </c>
      <c r="R3684" s="0" t="b">
        <v>0</v>
      </c>
      <c r="S3684" s="0" t="b">
        <v>1</v>
      </c>
      <c r="T3684" s="68">
        <v>45971.8819444444</v>
      </c>
      <c r="U3684" s="68">
        <v>45982.2916666667</v>
      </c>
      <c r="V3684" s="68">
        <v>0</v>
      </c>
      <c r="W3684" s="0">
        <f>IF(IF(B3684="none",1,IF(B3684="Trialer",1,0))+IF(C3684="Customer",1,IF(C3684="Lost",1,0))=2,1,0)</f>
      </c>
      <c r="X3684" s="0" t="s">
        <v>148</v>
      </c>
      <c r="Y3684" s="0" t="s">
        <v>243</v>
      </c>
      <c r="AV3684" s="68"/>
      <c r="AW3684" s="68"/>
      <c r="AY3684" s="27"/>
      <c r="BD3684" s="68">
        <v>46054.1666666667</v>
      </c>
      <c r="BE3684" s="68">
        <v>46082.1666666667</v>
      </c>
      <c r="BF3684" s="0" t="b">
        <v>0</v>
      </c>
      <c r="BG3684" s="0" t="b">
        <v>0</v>
      </c>
      <c r="BH3684" s="0">
        <v>122</v>
      </c>
      <c r="BI3684" s="0">
        <v>122</v>
      </c>
      <c r="BJ3684" s="0" t="s">
        <v>135</v>
      </c>
    </row>
    <row r="3685">
      <c r="A3685" s="0" t="s">
        <v>3940</v>
      </c>
      <c r="B3685" s="0" t="s">
        <v>134</v>
      </c>
      <c r="C3685" s="0" t="s">
        <v>134</v>
      </c>
      <c r="D3685" s="0" t="s">
        <v>230</v>
      </c>
      <c r="E3685" s="0" t="s">
        <v>3</v>
      </c>
      <c r="F3685" s="0" t="s">
        <v>12</v>
      </c>
      <c r="G3685" s="0" t="s">
        <v>8</v>
      </c>
      <c r="H3685" s="0">
        <v>81</v>
      </c>
      <c r="I3685" s="0">
        <v>240</v>
      </c>
      <c r="J3685" s="0">
        <v>0</v>
      </c>
      <c r="K3685" s="0">
        <v>1</v>
      </c>
      <c r="L3685" s="0">
        <v>5</v>
      </c>
      <c r="M3685" s="0">
        <v>5</v>
      </c>
      <c r="N3685" s="0">
        <v>0</v>
      </c>
      <c r="O3685" s="0">
        <v>0</v>
      </c>
      <c r="P3685" s="0">
        <v>-240</v>
      </c>
      <c r="R3685" s="0" t="b">
        <v>0</v>
      </c>
      <c r="S3685" s="0" t="b">
        <v>1</v>
      </c>
      <c r="T3685" s="68">
        <v>45972.4825347222</v>
      </c>
      <c r="U3685" s="68">
        <v>45986.2916666667</v>
      </c>
      <c r="V3685" s="68">
        <v>0</v>
      </c>
      <c r="W3685" s="0">
        <f>IF(IF(B3685="none",1,IF(B3685="Trialer",1,0))+IF(C3685="Customer",1,IF(C3685="Lost",1,0))=2,1,0)</f>
      </c>
      <c r="X3685" s="0" t="s">
        <v>882</v>
      </c>
      <c r="Y3685" s="0" t="s">
        <v>243</v>
      </c>
      <c r="AV3685" s="68"/>
      <c r="AW3685" s="68"/>
      <c r="AY3685" s="27"/>
      <c r="BD3685" s="68">
        <v>46054.1666666667</v>
      </c>
      <c r="BE3685" s="68">
        <v>46082.1666666667</v>
      </c>
      <c r="BF3685" s="0" t="b">
        <v>0</v>
      </c>
      <c r="BG3685" s="0" t="b">
        <v>0</v>
      </c>
      <c r="BH3685" s="0">
        <v>367</v>
      </c>
      <c r="BI3685" s="0">
        <v>367</v>
      </c>
      <c r="BJ3685" s="0" t="s">
        <v>230</v>
      </c>
    </row>
    <row r="3686">
      <c r="A3686" s="0" t="s">
        <v>3941</v>
      </c>
      <c r="B3686" s="0" t="s">
        <v>134</v>
      </c>
      <c r="C3686" s="0" t="s">
        <v>134</v>
      </c>
      <c r="D3686" s="0" t="s">
        <v>230</v>
      </c>
      <c r="E3686" s="0" t="s">
        <v>3</v>
      </c>
      <c r="F3686" s="0" t="s">
        <v>12</v>
      </c>
      <c r="G3686" s="0" t="s">
        <v>8</v>
      </c>
      <c r="H3686" s="0">
        <v>81</v>
      </c>
      <c r="I3686" s="0">
        <v>507.2</v>
      </c>
      <c r="J3686" s="0">
        <v>0</v>
      </c>
      <c r="K3686" s="0">
        <v>1</v>
      </c>
      <c r="L3686" s="0">
        <v>4</v>
      </c>
      <c r="M3686" s="0">
        <v>4</v>
      </c>
      <c r="N3686" s="0">
        <v>1116</v>
      </c>
      <c r="O3686" s="0">
        <v>0</v>
      </c>
      <c r="P3686" s="0">
        <v>-182.2</v>
      </c>
      <c r="R3686" s="0" t="b">
        <v>0</v>
      </c>
      <c r="S3686" s="0" t="b">
        <v>1</v>
      </c>
      <c r="T3686" s="68">
        <v>45972.5903472222</v>
      </c>
      <c r="U3686" s="68">
        <v>45986.2916666667</v>
      </c>
      <c r="V3686" s="68">
        <v>0</v>
      </c>
      <c r="W3686" s="0">
        <f>IF(IF(B3686="none",1,IF(B3686="Trialer",1,0))+IF(C3686="Customer",1,IF(C3686="Lost",1,0))=2,1,0)</f>
      </c>
      <c r="X3686" s="0" t="s">
        <v>136</v>
      </c>
      <c r="Y3686" s="0" t="s">
        <v>243</v>
      </c>
      <c r="AV3686" s="68"/>
      <c r="AW3686" s="68"/>
      <c r="AY3686" s="27"/>
      <c r="BD3686" s="68">
        <v>46054.1666666667</v>
      </c>
      <c r="BE3686" s="68">
        <v>46082.1666666667</v>
      </c>
      <c r="BF3686" s="0" t="b">
        <v>0</v>
      </c>
      <c r="BG3686" s="0" t="b">
        <v>0</v>
      </c>
      <c r="BH3686" s="0">
        <v>224</v>
      </c>
      <c r="BI3686" s="0">
        <v>224</v>
      </c>
      <c r="BJ3686" s="0" t="s">
        <v>230</v>
      </c>
    </row>
    <row r="3687">
      <c r="A3687" s="0" t="s">
        <v>3942</v>
      </c>
      <c r="B3687" s="0" t="s">
        <v>134</v>
      </c>
      <c r="C3687" s="0" t="s">
        <v>134</v>
      </c>
      <c r="D3687" s="0" t="s">
        <v>135</v>
      </c>
      <c r="E3687" s="0" t="s">
        <v>3</v>
      </c>
      <c r="F3687" s="0" t="s">
        <v>12</v>
      </c>
      <c r="G3687" s="0" t="s">
        <v>8</v>
      </c>
      <c r="H3687" s="0">
        <v>81</v>
      </c>
      <c r="I3687" s="0">
        <v>80</v>
      </c>
      <c r="J3687" s="0">
        <v>0</v>
      </c>
      <c r="K3687" s="0">
        <v>1</v>
      </c>
      <c r="L3687" s="0">
        <v>2</v>
      </c>
      <c r="M3687" s="0">
        <v>2</v>
      </c>
      <c r="N3687" s="0">
        <v>0</v>
      </c>
      <c r="O3687" s="0">
        <v>0</v>
      </c>
      <c r="P3687" s="0">
        <v>0</v>
      </c>
      <c r="R3687" s="0" t="b">
        <v>0</v>
      </c>
      <c r="S3687" s="0" t="b">
        <v>1</v>
      </c>
      <c r="T3687" s="68">
        <v>45972.6866550926</v>
      </c>
      <c r="U3687" s="68">
        <v>45986.2916666667</v>
      </c>
      <c r="V3687" s="68">
        <v>0</v>
      </c>
      <c r="W3687" s="0">
        <f>IF(IF(B3687="none",1,IF(B3687="Trialer",1,0))+IF(C3687="Customer",1,IF(C3687="Lost",1,0))=2,1,0)</f>
      </c>
      <c r="X3687" s="0" t="s">
        <v>1461</v>
      </c>
      <c r="Y3687" s="0" t="s">
        <v>243</v>
      </c>
      <c r="AV3687" s="68"/>
      <c r="AW3687" s="68"/>
      <c r="AY3687" s="27"/>
      <c r="BD3687" s="68">
        <v>46054.1666666667</v>
      </c>
      <c r="BE3687" s="68">
        <v>46082.1666666667</v>
      </c>
      <c r="BF3687" s="0" t="b">
        <v>0</v>
      </c>
      <c r="BG3687" s="0" t="b">
        <v>0</v>
      </c>
      <c r="BH3687" s="0">
        <v>80</v>
      </c>
      <c r="BI3687" s="0">
        <v>80</v>
      </c>
      <c r="BJ3687" s="0" t="s">
        <v>135</v>
      </c>
    </row>
    <row r="3688">
      <c r="A3688" s="0" t="s">
        <v>3943</v>
      </c>
      <c r="B3688" s="0" t="s">
        <v>134</v>
      </c>
      <c r="C3688" s="0" t="s">
        <v>190</v>
      </c>
      <c r="D3688" s="0" t="s">
        <v>135</v>
      </c>
      <c r="E3688" s="0" t="s">
        <v>3</v>
      </c>
      <c r="F3688" s="0" t="s">
        <v>12</v>
      </c>
      <c r="G3688" s="0" t="s">
        <v>8</v>
      </c>
      <c r="H3688" s="0">
        <v>81</v>
      </c>
      <c r="I3688" s="0">
        <v>63</v>
      </c>
      <c r="J3688" s="0">
        <v>0</v>
      </c>
      <c r="K3688" s="0">
        <v>1</v>
      </c>
      <c r="L3688" s="0">
        <v>2</v>
      </c>
      <c r="M3688" s="0">
        <v>2</v>
      </c>
      <c r="N3688" s="0">
        <v>0</v>
      </c>
      <c r="O3688" s="0">
        <v>0</v>
      </c>
      <c r="P3688" s="0">
        <v>0</v>
      </c>
      <c r="R3688" s="0" t="b">
        <v>0</v>
      </c>
      <c r="S3688" s="0" t="b">
        <v>0</v>
      </c>
      <c r="T3688" s="68">
        <v>45972.8006944444</v>
      </c>
      <c r="U3688" s="68">
        <v>45987.2916666667</v>
      </c>
      <c r="V3688" s="68">
        <v>46078.3282638889</v>
      </c>
      <c r="W3688" s="0">
        <f>IF(IF(B3688="none",1,IF(B3688="Trialer",1,0))+IF(C3688="Customer",1,IF(C3688="Lost",1,0))=2,1,0)</f>
      </c>
      <c r="X3688" s="0" t="s">
        <v>1461</v>
      </c>
      <c r="Y3688" s="0" t="s">
        <v>243</v>
      </c>
      <c r="AV3688" s="68"/>
      <c r="AW3688" s="68"/>
      <c r="AY3688" s="27"/>
      <c r="BD3688" s="68">
        <v>46054.1666666667</v>
      </c>
      <c r="BE3688" s="68">
        <v>46082.1666666667</v>
      </c>
      <c r="BF3688" s="0" t="b">
        <v>0</v>
      </c>
      <c r="BG3688" s="0" t="b">
        <v>0</v>
      </c>
      <c r="BH3688" s="0">
        <v>63</v>
      </c>
      <c r="BI3688" s="0">
        <v>63</v>
      </c>
      <c r="BJ3688" s="0" t="s">
        <v>135</v>
      </c>
    </row>
    <row r="3689">
      <c r="A3689" s="0" t="s">
        <v>3944</v>
      </c>
      <c r="B3689" s="0" t="s">
        <v>134</v>
      </c>
      <c r="C3689" s="0" t="s">
        <v>134</v>
      </c>
      <c r="D3689" s="0" t="s">
        <v>135</v>
      </c>
      <c r="E3689" s="0" t="s">
        <v>3</v>
      </c>
      <c r="F3689" s="0" t="s">
        <v>12</v>
      </c>
      <c r="G3689" s="0" t="s">
        <v>8</v>
      </c>
      <c r="H3689" s="0">
        <v>80</v>
      </c>
      <c r="I3689" s="0">
        <v>284.5</v>
      </c>
      <c r="J3689" s="0">
        <v>0</v>
      </c>
      <c r="K3689" s="0">
        <v>1</v>
      </c>
      <c r="L3689" s="0">
        <v>3</v>
      </c>
      <c r="M3689" s="0">
        <v>10</v>
      </c>
      <c r="N3689" s="0">
        <v>0</v>
      </c>
      <c r="O3689" s="0">
        <v>0</v>
      </c>
      <c r="P3689" s="0">
        <v>0</v>
      </c>
      <c r="R3689" s="0" t="b">
        <v>0</v>
      </c>
      <c r="S3689" s="0" t="b">
        <v>1</v>
      </c>
      <c r="T3689" s="68">
        <v>45973.3135763889</v>
      </c>
      <c r="U3689" s="68">
        <v>45978.2916666667</v>
      </c>
      <c r="V3689" s="68">
        <v>0</v>
      </c>
      <c r="W3689" s="0">
        <f>IF(IF(B3689="none",1,IF(B3689="Trialer",1,0))+IF(C3689="Customer",1,IF(C3689="Lost",1,0))=2,1,0)</f>
      </c>
      <c r="X3689" s="0" t="s">
        <v>145</v>
      </c>
      <c r="Y3689" s="0" t="s">
        <v>243</v>
      </c>
      <c r="AV3689" s="68"/>
      <c r="AW3689" s="68"/>
      <c r="AY3689" s="27"/>
      <c r="BD3689" s="68">
        <v>46054.1666666667</v>
      </c>
      <c r="BE3689" s="68">
        <v>46082.1666666667</v>
      </c>
      <c r="BF3689" s="0" t="b">
        <v>0</v>
      </c>
      <c r="BG3689" s="0" t="b">
        <v>0</v>
      </c>
      <c r="BH3689" s="0">
        <v>520</v>
      </c>
      <c r="BI3689" s="0">
        <v>520</v>
      </c>
      <c r="BJ3689" s="0" t="s">
        <v>135</v>
      </c>
    </row>
    <row r="3690">
      <c r="A3690" s="0" t="s">
        <v>3945</v>
      </c>
      <c r="B3690" s="0" t="s">
        <v>134</v>
      </c>
      <c r="C3690" s="0" t="s">
        <v>134</v>
      </c>
      <c r="D3690" s="0" t="s">
        <v>135</v>
      </c>
      <c r="E3690" s="0" t="s">
        <v>3</v>
      </c>
      <c r="F3690" s="0" t="s">
        <v>12</v>
      </c>
      <c r="G3690" s="0" t="s">
        <v>8</v>
      </c>
      <c r="H3690" s="0">
        <v>80</v>
      </c>
      <c r="I3690" s="0">
        <v>127.5</v>
      </c>
      <c r="J3690" s="0">
        <v>0</v>
      </c>
      <c r="K3690" s="0">
        <v>1</v>
      </c>
      <c r="L3690" s="0">
        <v>5</v>
      </c>
      <c r="M3690" s="0">
        <v>2</v>
      </c>
      <c r="N3690" s="0">
        <v>0</v>
      </c>
      <c r="O3690" s="0">
        <v>0</v>
      </c>
      <c r="P3690" s="0">
        <v>0</v>
      </c>
      <c r="R3690" s="0" t="b">
        <v>0</v>
      </c>
      <c r="S3690" s="0" t="b">
        <v>1</v>
      </c>
      <c r="T3690" s="68">
        <v>45973.397025463</v>
      </c>
      <c r="U3690" s="68">
        <v>45987.2916666667</v>
      </c>
      <c r="V3690" s="68">
        <v>0</v>
      </c>
      <c r="W3690" s="0">
        <f>IF(IF(B3690="none",1,IF(B3690="Trialer",1,0))+IF(C3690="Customer",1,IF(C3690="Lost",1,0))=2,1,0)</f>
      </c>
      <c r="X3690" s="0" t="s">
        <v>1461</v>
      </c>
      <c r="Y3690" s="0" t="s">
        <v>243</v>
      </c>
      <c r="AV3690" s="68"/>
      <c r="AW3690" s="68"/>
      <c r="AY3690" s="27"/>
      <c r="BD3690" s="68">
        <v>46054.1666666667</v>
      </c>
      <c r="BE3690" s="68">
        <v>46082.1666666667</v>
      </c>
      <c r="BF3690" s="0" t="b">
        <v>0</v>
      </c>
      <c r="BG3690" s="0" t="b">
        <v>0</v>
      </c>
      <c r="BH3690" s="0">
        <v>170</v>
      </c>
      <c r="BI3690" s="0">
        <v>170</v>
      </c>
      <c r="BJ3690" s="0" t="s">
        <v>135</v>
      </c>
    </row>
    <row r="3691">
      <c r="A3691" s="0" t="s">
        <v>3946</v>
      </c>
      <c r="B3691" s="0" t="s">
        <v>134</v>
      </c>
      <c r="C3691" s="0" t="s">
        <v>134</v>
      </c>
      <c r="D3691" s="0" t="s">
        <v>135</v>
      </c>
      <c r="E3691" s="0" t="s">
        <v>3</v>
      </c>
      <c r="F3691" s="0" t="s">
        <v>12</v>
      </c>
      <c r="G3691" s="0" t="s">
        <v>8</v>
      </c>
      <c r="H3691" s="0">
        <v>80</v>
      </c>
      <c r="I3691" s="0">
        <v>36.75</v>
      </c>
      <c r="J3691" s="0">
        <v>0</v>
      </c>
      <c r="K3691" s="0">
        <v>1</v>
      </c>
      <c r="L3691" s="0">
        <v>2</v>
      </c>
      <c r="M3691" s="0">
        <v>1</v>
      </c>
      <c r="N3691" s="0">
        <v>77.5</v>
      </c>
      <c r="O3691" s="0">
        <v>0</v>
      </c>
      <c r="P3691" s="0">
        <v>0</v>
      </c>
      <c r="R3691" s="0" t="b">
        <v>0</v>
      </c>
      <c r="S3691" s="0" t="b">
        <v>1</v>
      </c>
      <c r="T3691" s="68">
        <v>45973.4183217593</v>
      </c>
      <c r="U3691" s="68">
        <v>46000.2916666667</v>
      </c>
      <c r="V3691" s="68">
        <v>0</v>
      </c>
      <c r="W3691" s="0">
        <f>IF(IF(B3691="none",1,IF(B3691="Trialer",1,0))+IF(C3691="Customer",1,IF(C3691="Lost",1,0))=2,1,0)</f>
      </c>
      <c r="X3691" s="0" t="s">
        <v>1461</v>
      </c>
      <c r="Y3691" s="0" t="s">
        <v>243</v>
      </c>
      <c r="AV3691" s="68"/>
      <c r="AW3691" s="68"/>
      <c r="AY3691" s="27"/>
      <c r="BD3691" s="68">
        <v>46054.1666666667</v>
      </c>
      <c r="BE3691" s="68">
        <v>46082.1666666667</v>
      </c>
      <c r="BF3691" s="0" t="b">
        <v>0</v>
      </c>
      <c r="BG3691" s="0" t="b">
        <v>0</v>
      </c>
      <c r="BH3691" s="0">
        <v>49</v>
      </c>
      <c r="BI3691" s="0">
        <v>49</v>
      </c>
      <c r="BJ3691" s="0" t="s">
        <v>135</v>
      </c>
    </row>
    <row r="3692">
      <c r="A3692" s="0" t="s">
        <v>3947</v>
      </c>
      <c r="B3692" s="0" t="s">
        <v>134</v>
      </c>
      <c r="C3692" s="0" t="s">
        <v>134</v>
      </c>
      <c r="D3692" s="0" t="s">
        <v>230</v>
      </c>
      <c r="E3692" s="0" t="s">
        <v>3</v>
      </c>
      <c r="F3692" s="0" t="s">
        <v>12</v>
      </c>
      <c r="G3692" s="0" t="s">
        <v>8</v>
      </c>
      <c r="H3692" s="0">
        <v>80</v>
      </c>
      <c r="I3692" s="0">
        <v>243</v>
      </c>
      <c r="J3692" s="0">
        <v>0</v>
      </c>
      <c r="K3692" s="0">
        <v>1</v>
      </c>
      <c r="L3692" s="0">
        <v>2</v>
      </c>
      <c r="M3692" s="0">
        <v>6</v>
      </c>
      <c r="N3692" s="0">
        <v>155</v>
      </c>
      <c r="O3692" s="0">
        <v>0</v>
      </c>
      <c r="P3692" s="0">
        <v>-243</v>
      </c>
      <c r="R3692" s="0" t="b">
        <v>0</v>
      </c>
      <c r="S3692" s="0" t="b">
        <v>1</v>
      </c>
      <c r="T3692" s="68">
        <v>45973.543912037</v>
      </c>
      <c r="U3692" s="68">
        <v>45987.2916666667</v>
      </c>
      <c r="V3692" s="68">
        <v>0</v>
      </c>
      <c r="W3692" s="0">
        <f>IF(IF(B3692="none",1,IF(B3692="Trialer",1,0))+IF(C3692="Customer",1,IF(C3692="Lost",1,0))=2,1,0)</f>
      </c>
      <c r="X3692" s="0" t="s">
        <v>136</v>
      </c>
      <c r="Y3692" s="0" t="s">
        <v>243</v>
      </c>
      <c r="AV3692" s="68"/>
      <c r="AW3692" s="68"/>
      <c r="AY3692" s="27"/>
      <c r="BD3692" s="68">
        <v>46054.1666666667</v>
      </c>
      <c r="BE3692" s="68">
        <v>46082.1666666667</v>
      </c>
      <c r="BF3692" s="0" t="b">
        <v>0</v>
      </c>
      <c r="BG3692" s="0" t="b">
        <v>0</v>
      </c>
      <c r="BH3692" s="0">
        <v>270</v>
      </c>
      <c r="BI3692" s="0">
        <v>270</v>
      </c>
      <c r="BJ3692" s="0" t="s">
        <v>230</v>
      </c>
    </row>
    <row r="3693">
      <c r="A3693" s="0" t="s">
        <v>3948</v>
      </c>
      <c r="B3693" s="0" t="s">
        <v>134</v>
      </c>
      <c r="C3693" s="0" t="s">
        <v>134</v>
      </c>
      <c r="D3693" s="0" t="s">
        <v>230</v>
      </c>
      <c r="E3693" s="0" t="s">
        <v>3</v>
      </c>
      <c r="F3693" s="0" t="s">
        <v>12</v>
      </c>
      <c r="G3693" s="0" t="s">
        <v>8</v>
      </c>
      <c r="H3693" s="0">
        <v>80</v>
      </c>
      <c r="I3693" s="0">
        <v>159.3</v>
      </c>
      <c r="J3693" s="0">
        <v>0</v>
      </c>
      <c r="K3693" s="0">
        <v>1</v>
      </c>
      <c r="L3693" s="0">
        <v>3</v>
      </c>
      <c r="M3693" s="0">
        <v>3</v>
      </c>
      <c r="N3693" s="0">
        <v>0</v>
      </c>
      <c r="O3693" s="0">
        <v>0</v>
      </c>
      <c r="P3693" s="0">
        <v>-159.3</v>
      </c>
      <c r="R3693" s="0" t="b">
        <v>0</v>
      </c>
      <c r="S3693" s="0" t="b">
        <v>1</v>
      </c>
      <c r="T3693" s="68">
        <v>45973.5778356481</v>
      </c>
      <c r="U3693" s="68">
        <v>45987.2916666667</v>
      </c>
      <c r="V3693" s="68">
        <v>0</v>
      </c>
      <c r="W3693" s="0">
        <f>IF(IF(B3693="none",1,IF(B3693="Trialer",1,0))+IF(C3693="Customer",1,IF(C3693="Lost",1,0))=2,1,0)</f>
      </c>
      <c r="X3693" s="0" t="s">
        <v>1461</v>
      </c>
      <c r="Y3693" s="0" t="s">
        <v>243</v>
      </c>
      <c r="AV3693" s="68"/>
      <c r="AW3693" s="68"/>
      <c r="AY3693" s="27"/>
      <c r="BD3693" s="68">
        <v>46054.1666666667</v>
      </c>
      <c r="BE3693" s="68">
        <v>46082.1666666667</v>
      </c>
      <c r="BF3693" s="0" t="b">
        <v>0</v>
      </c>
      <c r="BG3693" s="0" t="b">
        <v>0</v>
      </c>
      <c r="BH3693" s="0">
        <v>177</v>
      </c>
      <c r="BI3693" s="0">
        <v>177</v>
      </c>
      <c r="BJ3693" s="0" t="s">
        <v>230</v>
      </c>
    </row>
    <row r="3694">
      <c r="A3694" s="0" t="s">
        <v>3949</v>
      </c>
      <c r="B3694" s="0" t="s">
        <v>134</v>
      </c>
      <c r="C3694" s="0" t="s">
        <v>190</v>
      </c>
      <c r="D3694" s="0" t="s">
        <v>135</v>
      </c>
      <c r="E3694" s="0" t="s">
        <v>3</v>
      </c>
      <c r="F3694" s="0" t="s">
        <v>12</v>
      </c>
      <c r="G3694" s="0" t="s">
        <v>8</v>
      </c>
      <c r="H3694" s="0">
        <v>79</v>
      </c>
      <c r="I3694" s="0">
        <v>0</v>
      </c>
      <c r="J3694" s="0">
        <v>-88.5</v>
      </c>
      <c r="K3694" s="0">
        <v>0</v>
      </c>
      <c r="L3694" s="0">
        <v>0</v>
      </c>
      <c r="M3694" s="0">
        <v>0</v>
      </c>
      <c r="N3694" s="0">
        <v>0</v>
      </c>
      <c r="O3694" s="0">
        <v>0</v>
      </c>
      <c r="P3694" s="0">
        <v>0</v>
      </c>
      <c r="R3694" s="0" t="b">
        <v>0</v>
      </c>
      <c r="S3694" s="0" t="b">
        <v>0</v>
      </c>
      <c r="T3694" s="68">
        <v>45973.9880439815</v>
      </c>
      <c r="U3694" s="68">
        <v>45987.2916666667</v>
      </c>
      <c r="V3694" s="68">
        <v>46055.5379050926</v>
      </c>
      <c r="W3694" s="0">
        <f>IF(IF(B3694="none",1,IF(B3694="Trialer",1,0))+IF(C3694="Customer",1,IF(C3694="Lost",1,0))=2,1,0)</f>
      </c>
      <c r="X3694" s="0" t="s">
        <v>1461</v>
      </c>
      <c r="Y3694" s="0" t="s">
        <v>243</v>
      </c>
      <c r="AV3694" s="68"/>
      <c r="AW3694" s="68"/>
      <c r="AY3694" s="27"/>
      <c r="BD3694" s="68">
        <v>46054.1666666667</v>
      </c>
      <c r="BE3694" s="68">
        <v>46082.1666666667</v>
      </c>
      <c r="BF3694" s="0" t="b">
        <v>0</v>
      </c>
      <c r="BG3694" s="0" t="b">
        <v>0</v>
      </c>
      <c r="BH3694" s="0">
        <v>88.5</v>
      </c>
      <c r="BI3694" s="0">
        <v>88.5</v>
      </c>
      <c r="BJ3694" s="0" t="s">
        <v>135</v>
      </c>
    </row>
    <row r="3695">
      <c r="A3695" s="0" t="s">
        <v>3950</v>
      </c>
      <c r="B3695" s="0" t="s">
        <v>134</v>
      </c>
      <c r="C3695" s="0" t="s">
        <v>134</v>
      </c>
      <c r="D3695" s="0" t="s">
        <v>135</v>
      </c>
      <c r="E3695" s="0" t="s">
        <v>2</v>
      </c>
      <c r="F3695" s="0" t="s">
        <v>12</v>
      </c>
      <c r="G3695" s="0" t="s">
        <v>8</v>
      </c>
      <c r="H3695" s="0">
        <v>79</v>
      </c>
      <c r="I3695" s="0">
        <v>40</v>
      </c>
      <c r="J3695" s="0">
        <v>0</v>
      </c>
      <c r="K3695" s="0">
        <v>1</v>
      </c>
      <c r="L3695" s="0">
        <v>1</v>
      </c>
      <c r="M3695" s="0">
        <v>0</v>
      </c>
      <c r="N3695" s="0">
        <v>0</v>
      </c>
      <c r="O3695" s="0">
        <v>0</v>
      </c>
      <c r="P3695" s="0">
        <v>0</v>
      </c>
      <c r="R3695" s="0" t="b">
        <v>0</v>
      </c>
      <c r="S3695" s="0" t="b">
        <v>1</v>
      </c>
      <c r="T3695" s="68">
        <v>45974.5790972222</v>
      </c>
      <c r="U3695" s="68">
        <v>45974.2916666667</v>
      </c>
      <c r="V3695" s="68">
        <v>0</v>
      </c>
      <c r="W3695" s="0">
        <f>IF(IF(B3695="none",1,IF(B3695="Trialer",1,0))+IF(C3695="Customer",1,IF(C3695="Lost",1,0))=2,1,0)</f>
      </c>
      <c r="X3695" s="0" t="s">
        <v>145</v>
      </c>
      <c r="Y3695" s="0" t="s">
        <v>499</v>
      </c>
      <c r="AV3695" s="68"/>
      <c r="AW3695" s="68"/>
      <c r="AY3695" s="27"/>
      <c r="BD3695" s="68">
        <v>46054.1666666667</v>
      </c>
      <c r="BE3695" s="68">
        <v>46082.1666666667</v>
      </c>
      <c r="BF3695" s="0" t="b">
        <v>0</v>
      </c>
      <c r="BG3695" s="0" t="b">
        <v>0</v>
      </c>
      <c r="BH3695" s="0">
        <v>40</v>
      </c>
      <c r="BI3695" s="0">
        <v>40</v>
      </c>
      <c r="BJ3695" s="0" t="s">
        <v>135</v>
      </c>
    </row>
    <row r="3696">
      <c r="A3696" s="0" t="s">
        <v>3951</v>
      </c>
      <c r="B3696" s="0" t="s">
        <v>134</v>
      </c>
      <c r="C3696" s="0" t="s">
        <v>134</v>
      </c>
      <c r="D3696" s="0" t="s">
        <v>230</v>
      </c>
      <c r="E3696" s="0" t="s">
        <v>3</v>
      </c>
      <c r="F3696" s="0" t="s">
        <v>12</v>
      </c>
      <c r="G3696" s="0" t="s">
        <v>8</v>
      </c>
      <c r="H3696" s="0">
        <v>79</v>
      </c>
      <c r="I3696" s="0">
        <v>121.5</v>
      </c>
      <c r="J3696" s="0">
        <v>0</v>
      </c>
      <c r="K3696" s="0">
        <v>1</v>
      </c>
      <c r="L3696" s="0">
        <v>2</v>
      </c>
      <c r="M3696" s="0">
        <v>3</v>
      </c>
      <c r="N3696" s="0">
        <v>465</v>
      </c>
      <c r="O3696" s="0">
        <v>0</v>
      </c>
      <c r="P3696" s="0">
        <v>-121.5</v>
      </c>
      <c r="R3696" s="0" t="b">
        <v>0</v>
      </c>
      <c r="S3696" s="0" t="b">
        <v>1</v>
      </c>
      <c r="T3696" s="68">
        <v>45974.6262152778</v>
      </c>
      <c r="U3696" s="68">
        <v>45988.2916666667</v>
      </c>
      <c r="V3696" s="68">
        <v>0</v>
      </c>
      <c r="W3696" s="0">
        <f>IF(IF(B3696="none",1,IF(B3696="Trialer",1,0))+IF(C3696="Customer",1,IF(C3696="Lost",1,0))=2,1,0)</f>
      </c>
      <c r="X3696" s="0" t="s">
        <v>145</v>
      </c>
      <c r="Y3696" s="0" t="s">
        <v>243</v>
      </c>
      <c r="AV3696" s="68"/>
      <c r="AW3696" s="68"/>
      <c r="AY3696" s="27"/>
      <c r="BD3696" s="68">
        <v>46054.1666666667</v>
      </c>
      <c r="BE3696" s="68">
        <v>46082.1666666667</v>
      </c>
      <c r="BF3696" s="0" t="b">
        <v>0</v>
      </c>
      <c r="BG3696" s="0" t="b">
        <v>0</v>
      </c>
      <c r="BH3696" s="0">
        <v>135</v>
      </c>
      <c r="BI3696" s="0">
        <v>135</v>
      </c>
      <c r="BJ3696" s="0" t="s">
        <v>230</v>
      </c>
    </row>
    <row r="3697">
      <c r="A3697" s="0" t="s">
        <v>3952</v>
      </c>
      <c r="B3697" s="0" t="s">
        <v>134</v>
      </c>
      <c r="C3697" s="0" t="s">
        <v>134</v>
      </c>
      <c r="D3697" s="0" t="s">
        <v>135</v>
      </c>
      <c r="E3697" s="0" t="s">
        <v>2</v>
      </c>
      <c r="F3697" s="0" t="s">
        <v>12</v>
      </c>
      <c r="G3697" s="0" t="s">
        <v>8</v>
      </c>
      <c r="H3697" s="0">
        <v>78</v>
      </c>
      <c r="I3697" s="0">
        <v>45.75</v>
      </c>
      <c r="J3697" s="0">
        <v>0</v>
      </c>
      <c r="K3697" s="0">
        <v>1</v>
      </c>
      <c r="L3697" s="0">
        <v>4</v>
      </c>
      <c r="M3697" s="0">
        <v>1</v>
      </c>
      <c r="N3697" s="0">
        <v>77.5</v>
      </c>
      <c r="O3697" s="0">
        <v>0</v>
      </c>
      <c r="P3697" s="0">
        <v>0</v>
      </c>
      <c r="R3697" s="0" t="b">
        <v>0</v>
      </c>
      <c r="S3697" s="0" t="b">
        <v>1</v>
      </c>
      <c r="T3697" s="68">
        <v>45975.6308333333</v>
      </c>
      <c r="U3697" s="68">
        <v>45991.2916666667</v>
      </c>
      <c r="V3697" s="68">
        <v>0</v>
      </c>
      <c r="W3697" s="0">
        <f>IF(IF(B3697="none",1,IF(B3697="Trialer",1,0))+IF(C3697="Customer",1,IF(C3697="Lost",1,0))=2,1,0)</f>
      </c>
      <c r="X3697" s="0" t="s">
        <v>1461</v>
      </c>
      <c r="Y3697" s="0" t="s">
        <v>499</v>
      </c>
      <c r="AV3697" s="68"/>
      <c r="AW3697" s="68"/>
      <c r="AY3697" s="27"/>
      <c r="BD3697" s="68">
        <v>46054.1666666667</v>
      </c>
      <c r="BE3697" s="68">
        <v>46082.1666666667</v>
      </c>
      <c r="BF3697" s="0" t="b">
        <v>0</v>
      </c>
      <c r="BG3697" s="0" t="b">
        <v>0</v>
      </c>
      <c r="BH3697" s="0">
        <v>61</v>
      </c>
      <c r="BI3697" s="0">
        <v>61</v>
      </c>
      <c r="BJ3697" s="0" t="s">
        <v>135</v>
      </c>
    </row>
    <row r="3698">
      <c r="A3698" s="0" t="s">
        <v>3953</v>
      </c>
      <c r="B3698" s="0" t="s">
        <v>134</v>
      </c>
      <c r="C3698" s="0" t="s">
        <v>134</v>
      </c>
      <c r="D3698" s="0" t="s">
        <v>135</v>
      </c>
      <c r="E3698" s="0" t="s">
        <v>3</v>
      </c>
      <c r="F3698" s="0" t="s">
        <v>12</v>
      </c>
      <c r="G3698" s="0" t="s">
        <v>8</v>
      </c>
      <c r="H3698" s="0">
        <v>78</v>
      </c>
      <c r="I3698" s="0">
        <v>88.5</v>
      </c>
      <c r="J3698" s="0">
        <v>0</v>
      </c>
      <c r="K3698" s="0">
        <v>1</v>
      </c>
      <c r="L3698" s="0">
        <v>3</v>
      </c>
      <c r="M3698" s="0">
        <v>2</v>
      </c>
      <c r="N3698" s="0">
        <v>0</v>
      </c>
      <c r="O3698" s="0">
        <v>0</v>
      </c>
      <c r="P3698" s="0">
        <v>0</v>
      </c>
      <c r="R3698" s="0" t="b">
        <v>0</v>
      </c>
      <c r="S3698" s="0" t="b">
        <v>1</v>
      </c>
      <c r="T3698" s="68">
        <v>45975.6610763889</v>
      </c>
      <c r="U3698" s="68">
        <v>46048.2916666667</v>
      </c>
      <c r="V3698" s="68">
        <v>0</v>
      </c>
      <c r="W3698" s="0">
        <f>IF(IF(B3698="none",1,IF(B3698="Trialer",1,0))+IF(C3698="Customer",1,IF(C3698="Lost",1,0))=2,1,0)</f>
      </c>
      <c r="X3698" s="0" t="s">
        <v>1461</v>
      </c>
      <c r="Y3698" s="0" t="s">
        <v>243</v>
      </c>
      <c r="AV3698" s="68"/>
      <c r="AW3698" s="68"/>
      <c r="AY3698" s="27"/>
      <c r="BD3698" s="68">
        <v>46054.1666666667</v>
      </c>
      <c r="BE3698" s="68">
        <v>46082.1666666667</v>
      </c>
      <c r="BF3698" s="0" t="b">
        <v>0</v>
      </c>
      <c r="BG3698" s="0" t="b">
        <v>0</v>
      </c>
      <c r="BH3698" s="0">
        <v>118</v>
      </c>
      <c r="BI3698" s="0">
        <v>118</v>
      </c>
      <c r="BJ3698" s="0" t="s">
        <v>135</v>
      </c>
    </row>
    <row r="3699">
      <c r="A3699" s="0" t="s">
        <v>3954</v>
      </c>
      <c r="B3699" s="0" t="s">
        <v>134</v>
      </c>
      <c r="C3699" s="0" t="s">
        <v>134</v>
      </c>
      <c r="D3699" s="0" t="s">
        <v>135</v>
      </c>
      <c r="E3699" s="0" t="s">
        <v>3</v>
      </c>
      <c r="F3699" s="0" t="s">
        <v>12</v>
      </c>
      <c r="G3699" s="0" t="s">
        <v>8</v>
      </c>
      <c r="H3699" s="0">
        <v>77</v>
      </c>
      <c r="I3699" s="0">
        <v>73</v>
      </c>
      <c r="J3699" s="0">
        <v>0</v>
      </c>
      <c r="K3699" s="0">
        <v>1</v>
      </c>
      <c r="L3699" s="0">
        <v>4</v>
      </c>
      <c r="M3699" s="0">
        <v>1</v>
      </c>
      <c r="N3699" s="0">
        <v>0</v>
      </c>
      <c r="O3699" s="0">
        <v>0</v>
      </c>
      <c r="P3699" s="0">
        <v>0</v>
      </c>
      <c r="R3699" s="0" t="b">
        <v>0</v>
      </c>
      <c r="S3699" s="0" t="b">
        <v>1</v>
      </c>
      <c r="T3699" s="68">
        <v>45976.0293518519</v>
      </c>
      <c r="U3699" s="68">
        <v>46010.2916666667</v>
      </c>
      <c r="V3699" s="68">
        <v>0</v>
      </c>
      <c r="W3699" s="0">
        <f>IF(IF(B3699="none",1,IF(B3699="Trialer",1,0))+IF(C3699="Customer",1,IF(C3699="Lost",1,0))=2,1,0)</f>
      </c>
      <c r="X3699" s="0" t="s">
        <v>1461</v>
      </c>
      <c r="Y3699" s="0" t="s">
        <v>243</v>
      </c>
      <c r="AV3699" s="68"/>
      <c r="AW3699" s="68"/>
      <c r="AY3699" s="27"/>
      <c r="BD3699" s="68">
        <v>46054.1666666667</v>
      </c>
      <c r="BE3699" s="68">
        <v>46082.1666666667</v>
      </c>
      <c r="BF3699" s="0" t="b">
        <v>0</v>
      </c>
      <c r="BG3699" s="0" t="b">
        <v>0</v>
      </c>
      <c r="BH3699" s="0">
        <v>122</v>
      </c>
      <c r="BI3699" s="0">
        <v>122</v>
      </c>
      <c r="BJ3699" s="0" t="s">
        <v>135</v>
      </c>
    </row>
    <row r="3700">
      <c r="A3700" s="0" t="s">
        <v>3955</v>
      </c>
      <c r="B3700" s="0" t="s">
        <v>134</v>
      </c>
      <c r="C3700" s="0" t="s">
        <v>134</v>
      </c>
      <c r="D3700" s="0" t="s">
        <v>230</v>
      </c>
      <c r="E3700" s="0" t="s">
        <v>3</v>
      </c>
      <c r="F3700" s="0" t="s">
        <v>12</v>
      </c>
      <c r="G3700" s="0" t="s">
        <v>8</v>
      </c>
      <c r="H3700" s="0">
        <v>77</v>
      </c>
      <c r="I3700" s="0">
        <v>63.1</v>
      </c>
      <c r="J3700" s="0">
        <v>0</v>
      </c>
      <c r="K3700" s="0">
        <v>1</v>
      </c>
      <c r="L3700" s="0">
        <v>4</v>
      </c>
      <c r="M3700" s="0">
        <v>1</v>
      </c>
      <c r="N3700" s="0">
        <v>0</v>
      </c>
      <c r="O3700" s="0">
        <v>0</v>
      </c>
      <c r="P3700" s="0">
        <v>-63.1</v>
      </c>
      <c r="R3700" s="0" t="b">
        <v>0</v>
      </c>
      <c r="S3700" s="0" t="b">
        <v>1</v>
      </c>
      <c r="T3700" s="68">
        <v>45976.4194791667</v>
      </c>
      <c r="U3700" s="68">
        <v>45994.2916666667</v>
      </c>
      <c r="V3700" s="68">
        <v>0</v>
      </c>
      <c r="W3700" s="0">
        <f>IF(IF(B3700="none",1,IF(B3700="Trialer",1,0))+IF(C3700="Customer",1,IF(C3700="Lost",1,0))=2,1,0)</f>
      </c>
      <c r="X3700" s="0" t="s">
        <v>1461</v>
      </c>
      <c r="Y3700" s="0" t="s">
        <v>1792</v>
      </c>
      <c r="AV3700" s="68"/>
      <c r="AW3700" s="68"/>
      <c r="AY3700" s="27"/>
      <c r="BD3700" s="68">
        <v>46054.1666666667</v>
      </c>
      <c r="BE3700" s="68">
        <v>46082.1666666667</v>
      </c>
      <c r="BF3700" s="0" t="b">
        <v>0</v>
      </c>
      <c r="BG3700" s="0" t="b">
        <v>0</v>
      </c>
      <c r="BH3700" s="0">
        <v>71</v>
      </c>
      <c r="BI3700" s="0">
        <v>71</v>
      </c>
      <c r="BJ3700" s="0" t="s">
        <v>230</v>
      </c>
    </row>
    <row r="3701">
      <c r="A3701" s="0" t="s">
        <v>3956</v>
      </c>
      <c r="B3701" s="0" t="s">
        <v>134</v>
      </c>
      <c r="C3701" s="0" t="s">
        <v>134</v>
      </c>
      <c r="D3701" s="0" t="s">
        <v>135</v>
      </c>
      <c r="E3701" s="0" t="s">
        <v>3</v>
      </c>
      <c r="F3701" s="0" t="s">
        <v>12</v>
      </c>
      <c r="G3701" s="0" t="s">
        <v>8</v>
      </c>
      <c r="H3701" s="0">
        <v>76</v>
      </c>
      <c r="I3701" s="0">
        <v>97.5</v>
      </c>
      <c r="J3701" s="0">
        <v>0</v>
      </c>
      <c r="K3701" s="0">
        <v>1</v>
      </c>
      <c r="L3701" s="0">
        <v>5</v>
      </c>
      <c r="M3701" s="0">
        <v>2</v>
      </c>
      <c r="N3701" s="0">
        <v>0</v>
      </c>
      <c r="O3701" s="0">
        <v>0</v>
      </c>
      <c r="P3701" s="0">
        <v>0</v>
      </c>
      <c r="R3701" s="0" t="b">
        <v>0</v>
      </c>
      <c r="S3701" s="0" t="b">
        <v>1</v>
      </c>
      <c r="T3701" s="68">
        <v>45977.490462963</v>
      </c>
      <c r="U3701" s="68">
        <v>45991.2916666667</v>
      </c>
      <c r="V3701" s="68">
        <v>0</v>
      </c>
      <c r="W3701" s="0">
        <f>IF(IF(B3701="none",1,IF(B3701="Trialer",1,0))+IF(C3701="Customer",1,IF(C3701="Lost",1,0))=2,1,0)</f>
      </c>
      <c r="X3701" s="0" t="s">
        <v>1461</v>
      </c>
      <c r="Y3701" s="0" t="s">
        <v>243</v>
      </c>
      <c r="AV3701" s="68"/>
      <c r="AW3701" s="68"/>
      <c r="AY3701" s="27"/>
      <c r="BD3701" s="68">
        <v>46054.1666666667</v>
      </c>
      <c r="BE3701" s="68">
        <v>46082.1666666667</v>
      </c>
      <c r="BF3701" s="0" t="b">
        <v>0</v>
      </c>
      <c r="BG3701" s="0" t="b">
        <v>0</v>
      </c>
      <c r="BH3701" s="0">
        <v>130</v>
      </c>
      <c r="BI3701" s="0">
        <v>130</v>
      </c>
      <c r="BJ3701" s="0" t="s">
        <v>135</v>
      </c>
    </row>
    <row r="3702">
      <c r="A3702" s="0" t="s">
        <v>3957</v>
      </c>
      <c r="B3702" s="0" t="s">
        <v>134</v>
      </c>
      <c r="C3702" s="0" t="s">
        <v>134</v>
      </c>
      <c r="D3702" s="0" t="s">
        <v>135</v>
      </c>
      <c r="E3702" s="0" t="s">
        <v>3</v>
      </c>
      <c r="F3702" s="0" t="s">
        <v>12</v>
      </c>
      <c r="G3702" s="0" t="s">
        <v>8</v>
      </c>
      <c r="H3702" s="0">
        <v>75</v>
      </c>
      <c r="I3702" s="0">
        <v>63.75</v>
      </c>
      <c r="J3702" s="0">
        <v>0</v>
      </c>
      <c r="K3702" s="0">
        <v>1</v>
      </c>
      <c r="L3702" s="0">
        <v>5</v>
      </c>
      <c r="M3702" s="0">
        <v>1</v>
      </c>
      <c r="N3702" s="0">
        <v>0</v>
      </c>
      <c r="O3702" s="0">
        <v>0</v>
      </c>
      <c r="P3702" s="0">
        <v>0</v>
      </c>
      <c r="R3702" s="0" t="b">
        <v>0</v>
      </c>
      <c r="S3702" s="0" t="b">
        <v>1</v>
      </c>
      <c r="T3702" s="68">
        <v>45978.0644328704</v>
      </c>
      <c r="U3702" s="68">
        <v>46005.2916666667</v>
      </c>
      <c r="V3702" s="68">
        <v>0</v>
      </c>
      <c r="W3702" s="0">
        <f>IF(IF(B3702="none",1,IF(B3702="Trialer",1,0))+IF(C3702="Customer",1,IF(C3702="Lost",1,0))=2,1,0)</f>
      </c>
      <c r="X3702" s="0" t="s">
        <v>1461</v>
      </c>
      <c r="Y3702" s="0" t="s">
        <v>243</v>
      </c>
      <c r="AV3702" s="68"/>
      <c r="AW3702" s="68"/>
      <c r="AY3702" s="27"/>
      <c r="BD3702" s="68">
        <v>46054.1666666667</v>
      </c>
      <c r="BE3702" s="68">
        <v>46082.1666666667</v>
      </c>
      <c r="BF3702" s="0" t="b">
        <v>0</v>
      </c>
      <c r="BG3702" s="0" t="b">
        <v>0</v>
      </c>
      <c r="BH3702" s="0">
        <v>85</v>
      </c>
      <c r="BI3702" s="0">
        <v>85</v>
      </c>
      <c r="BJ3702" s="0" t="s">
        <v>135</v>
      </c>
    </row>
    <row r="3703">
      <c r="A3703" s="0" t="s">
        <v>3958</v>
      </c>
      <c r="B3703" s="0" t="s">
        <v>134</v>
      </c>
      <c r="C3703" s="0" t="s">
        <v>134</v>
      </c>
      <c r="D3703" s="0" t="s">
        <v>230</v>
      </c>
      <c r="E3703" s="0" t="s">
        <v>3</v>
      </c>
      <c r="F3703" s="0" t="s">
        <v>12</v>
      </c>
      <c r="G3703" s="0" t="s">
        <v>8</v>
      </c>
      <c r="H3703" s="0">
        <v>74</v>
      </c>
      <c r="I3703" s="0">
        <v>159.3</v>
      </c>
      <c r="J3703" s="0">
        <v>0</v>
      </c>
      <c r="K3703" s="0">
        <v>1</v>
      </c>
      <c r="L3703" s="0">
        <v>3</v>
      </c>
      <c r="M3703" s="0">
        <v>3</v>
      </c>
      <c r="N3703" s="0">
        <v>0</v>
      </c>
      <c r="O3703" s="0">
        <v>0</v>
      </c>
      <c r="P3703" s="0">
        <v>-159.3</v>
      </c>
      <c r="R3703" s="0" t="b">
        <v>0</v>
      </c>
      <c r="S3703" s="0" t="b">
        <v>1</v>
      </c>
      <c r="T3703" s="68">
        <v>45979.2728356481</v>
      </c>
      <c r="U3703" s="68">
        <v>45993.2916666667</v>
      </c>
      <c r="V3703" s="68">
        <v>0</v>
      </c>
      <c r="W3703" s="0">
        <f>IF(IF(B3703="none",1,IF(B3703="Trialer",1,0))+IF(C3703="Customer",1,IF(C3703="Lost",1,0))=2,1,0)</f>
      </c>
      <c r="X3703" s="0" t="s">
        <v>1461</v>
      </c>
      <c r="Y3703" s="0" t="s">
        <v>243</v>
      </c>
      <c r="AV3703" s="68"/>
      <c r="AW3703" s="68"/>
      <c r="AY3703" s="27"/>
      <c r="BD3703" s="68">
        <v>46054.1666666667</v>
      </c>
      <c r="BE3703" s="68">
        <v>46082.1666666667</v>
      </c>
      <c r="BF3703" s="0" t="b">
        <v>0</v>
      </c>
      <c r="BG3703" s="0" t="b">
        <v>0</v>
      </c>
      <c r="BH3703" s="0">
        <v>177</v>
      </c>
      <c r="BI3703" s="0">
        <v>177</v>
      </c>
      <c r="BJ3703" s="0" t="s">
        <v>230</v>
      </c>
    </row>
    <row r="3704">
      <c r="A3704" s="0" t="s">
        <v>3959</v>
      </c>
      <c r="B3704" s="0" t="s">
        <v>134</v>
      </c>
      <c r="C3704" s="0" t="s">
        <v>134</v>
      </c>
      <c r="D3704" s="0" t="s">
        <v>135</v>
      </c>
      <c r="E3704" s="0" t="s">
        <v>3</v>
      </c>
      <c r="F3704" s="0" t="s">
        <v>12</v>
      </c>
      <c r="G3704" s="0" t="s">
        <v>8</v>
      </c>
      <c r="H3704" s="0">
        <v>74</v>
      </c>
      <c r="I3704" s="0">
        <v>53.25</v>
      </c>
      <c r="J3704" s="0">
        <v>0</v>
      </c>
      <c r="K3704" s="0">
        <v>1</v>
      </c>
      <c r="L3704" s="0">
        <v>4</v>
      </c>
      <c r="M3704" s="0">
        <v>1</v>
      </c>
      <c r="N3704" s="0">
        <v>0</v>
      </c>
      <c r="O3704" s="0">
        <v>0</v>
      </c>
      <c r="P3704" s="0">
        <v>0</v>
      </c>
      <c r="R3704" s="0" t="b">
        <v>0</v>
      </c>
      <c r="S3704" s="0" t="b">
        <v>0</v>
      </c>
      <c r="T3704" s="68">
        <v>45979.4222453704</v>
      </c>
      <c r="U3704" s="68">
        <v>45995.2916666667</v>
      </c>
      <c r="V3704" s="68">
        <v>46083.511412037</v>
      </c>
      <c r="W3704" s="0">
        <f>IF(IF(B3704="none",1,IF(B3704="Trialer",1,0))+IF(C3704="Customer",1,IF(C3704="Lost",1,0))=2,1,0)</f>
      </c>
      <c r="X3704" s="0" t="s">
        <v>1461</v>
      </c>
      <c r="Y3704" s="0" t="s">
        <v>243</v>
      </c>
      <c r="AV3704" s="68"/>
      <c r="AW3704" s="68"/>
      <c r="AY3704" s="27"/>
      <c r="BD3704" s="68">
        <v>46054.1666666667</v>
      </c>
      <c r="BE3704" s="68">
        <v>46082.1666666667</v>
      </c>
      <c r="BF3704" s="0" t="b">
        <v>0</v>
      </c>
      <c r="BG3704" s="0" t="b">
        <v>0</v>
      </c>
      <c r="BH3704" s="0">
        <v>79.5</v>
      </c>
      <c r="BI3704" s="0">
        <v>79.5</v>
      </c>
      <c r="BJ3704" s="0" t="s">
        <v>135</v>
      </c>
    </row>
    <row r="3705">
      <c r="A3705" s="0" t="s">
        <v>3960</v>
      </c>
      <c r="B3705" s="0" t="s">
        <v>134</v>
      </c>
      <c r="C3705" s="0" t="s">
        <v>134</v>
      </c>
      <c r="D3705" s="0" t="s">
        <v>135</v>
      </c>
      <c r="E3705" s="0" t="s">
        <v>2</v>
      </c>
      <c r="F3705" s="0" t="s">
        <v>12</v>
      </c>
      <c r="G3705" s="0" t="s">
        <v>8</v>
      </c>
      <c r="H3705" s="0">
        <v>74</v>
      </c>
      <c r="I3705" s="0">
        <v>324</v>
      </c>
      <c r="J3705" s="0">
        <v>0</v>
      </c>
      <c r="K3705" s="0">
        <v>1</v>
      </c>
      <c r="L3705" s="0">
        <v>3</v>
      </c>
      <c r="M3705" s="0">
        <v>8</v>
      </c>
      <c r="N3705" s="0">
        <v>0</v>
      </c>
      <c r="O3705" s="0">
        <v>0</v>
      </c>
      <c r="P3705" s="0">
        <v>0</v>
      </c>
      <c r="R3705" s="0" t="b">
        <v>0</v>
      </c>
      <c r="S3705" s="0" t="b">
        <v>1</v>
      </c>
      <c r="T3705" s="68">
        <v>45979.6046412037</v>
      </c>
      <c r="U3705" s="68">
        <v>45993.2916666667</v>
      </c>
      <c r="V3705" s="68">
        <v>0</v>
      </c>
      <c r="W3705" s="0">
        <f>IF(IF(B3705="none",1,IF(B3705="Trialer",1,0))+IF(C3705="Customer",1,IF(C3705="Lost",1,0))=2,1,0)</f>
      </c>
      <c r="X3705" s="0" t="s">
        <v>136</v>
      </c>
      <c r="Y3705" s="0" t="s">
        <v>499</v>
      </c>
      <c r="AV3705" s="68"/>
      <c r="AW3705" s="68"/>
      <c r="AY3705" s="27"/>
      <c r="BD3705" s="68">
        <v>46054.1666666667</v>
      </c>
      <c r="BE3705" s="68">
        <v>46082.1666666667</v>
      </c>
      <c r="BF3705" s="0" t="b">
        <v>0</v>
      </c>
      <c r="BG3705" s="0" t="b">
        <v>0</v>
      </c>
      <c r="BH3705" s="0">
        <v>373</v>
      </c>
      <c r="BI3705" s="0">
        <v>373</v>
      </c>
      <c r="BJ3705" s="0" t="s">
        <v>135</v>
      </c>
    </row>
    <row r="3706">
      <c r="A3706" s="0" t="s">
        <v>3961</v>
      </c>
      <c r="B3706" s="0" t="s">
        <v>134</v>
      </c>
      <c r="C3706" s="0" t="s">
        <v>134</v>
      </c>
      <c r="D3706" s="0" t="s">
        <v>135</v>
      </c>
      <c r="E3706" s="0" t="s">
        <v>3</v>
      </c>
      <c r="F3706" s="0" t="s">
        <v>12</v>
      </c>
      <c r="G3706" s="0" t="s">
        <v>8</v>
      </c>
      <c r="H3706" s="0">
        <v>73</v>
      </c>
      <c r="I3706" s="0">
        <v>88.5</v>
      </c>
      <c r="J3706" s="0">
        <v>0</v>
      </c>
      <c r="K3706" s="0">
        <v>1</v>
      </c>
      <c r="L3706" s="0">
        <v>3</v>
      </c>
      <c r="M3706" s="0">
        <v>2</v>
      </c>
      <c r="N3706" s="0">
        <v>0</v>
      </c>
      <c r="O3706" s="0">
        <v>0</v>
      </c>
      <c r="P3706" s="0">
        <v>0</v>
      </c>
      <c r="R3706" s="0" t="b">
        <v>0</v>
      </c>
      <c r="S3706" s="0" t="b">
        <v>1</v>
      </c>
      <c r="T3706" s="68">
        <v>45980.4226157407</v>
      </c>
      <c r="U3706" s="68">
        <v>46001.2916666667</v>
      </c>
      <c r="V3706" s="68">
        <v>0</v>
      </c>
      <c r="W3706" s="0">
        <f>IF(IF(B3706="none",1,IF(B3706="Trialer",1,0))+IF(C3706="Customer",1,IF(C3706="Lost",1,0))=2,1,0)</f>
      </c>
      <c r="X3706" s="0" t="s">
        <v>1461</v>
      </c>
      <c r="Y3706" s="0" t="s">
        <v>243</v>
      </c>
      <c r="AV3706" s="68"/>
      <c r="AW3706" s="68"/>
      <c r="AY3706" s="27"/>
      <c r="BD3706" s="68">
        <v>46054.1666666667</v>
      </c>
      <c r="BE3706" s="68">
        <v>46082.1666666667</v>
      </c>
      <c r="BF3706" s="0" t="b">
        <v>0</v>
      </c>
      <c r="BG3706" s="0" t="b">
        <v>0</v>
      </c>
      <c r="BH3706" s="0">
        <v>118</v>
      </c>
      <c r="BI3706" s="0">
        <v>118</v>
      </c>
      <c r="BJ3706" s="0" t="s">
        <v>135</v>
      </c>
    </row>
    <row r="3707">
      <c r="A3707" s="0" t="s">
        <v>3962</v>
      </c>
      <c r="B3707" s="0" t="s">
        <v>134</v>
      </c>
      <c r="C3707" s="0" t="s">
        <v>134</v>
      </c>
      <c r="D3707" s="0" t="s">
        <v>135</v>
      </c>
      <c r="E3707" s="0" t="s">
        <v>3</v>
      </c>
      <c r="F3707" s="0" t="s">
        <v>12</v>
      </c>
      <c r="G3707" s="0" t="s">
        <v>8</v>
      </c>
      <c r="H3707" s="0">
        <v>73</v>
      </c>
      <c r="I3707" s="0">
        <v>82.5</v>
      </c>
      <c r="J3707" s="0">
        <v>0</v>
      </c>
      <c r="K3707" s="0">
        <v>1</v>
      </c>
      <c r="L3707" s="0">
        <v>3</v>
      </c>
      <c r="M3707" s="0">
        <v>2</v>
      </c>
      <c r="N3707" s="0">
        <v>0</v>
      </c>
      <c r="O3707" s="0">
        <v>0</v>
      </c>
      <c r="P3707" s="0">
        <v>0</v>
      </c>
      <c r="R3707" s="0" t="b">
        <v>0</v>
      </c>
      <c r="S3707" s="0" t="b">
        <v>1</v>
      </c>
      <c r="T3707" s="68">
        <v>45980.4664583333</v>
      </c>
      <c r="U3707" s="68">
        <v>46001.2916666667</v>
      </c>
      <c r="V3707" s="68">
        <v>0</v>
      </c>
      <c r="W3707" s="0">
        <f>IF(IF(B3707="none",1,IF(B3707="Trialer",1,0))+IF(C3707="Customer",1,IF(C3707="Lost",1,0))=2,1,0)</f>
      </c>
      <c r="X3707" s="0" t="s">
        <v>1461</v>
      </c>
      <c r="Y3707" s="0" t="s">
        <v>243</v>
      </c>
      <c r="AV3707" s="68"/>
      <c r="AW3707" s="68"/>
      <c r="AY3707" s="27"/>
      <c r="BD3707" s="68">
        <v>46054.1666666667</v>
      </c>
      <c r="BE3707" s="68">
        <v>46082.1666666667</v>
      </c>
      <c r="BF3707" s="0" t="b">
        <v>0</v>
      </c>
      <c r="BG3707" s="0" t="b">
        <v>0</v>
      </c>
      <c r="BH3707" s="0">
        <v>61</v>
      </c>
      <c r="BI3707" s="0">
        <v>61</v>
      </c>
      <c r="BJ3707" s="0" t="s">
        <v>135</v>
      </c>
    </row>
    <row r="3708">
      <c r="A3708" s="0" t="s">
        <v>3963</v>
      </c>
      <c r="B3708" s="0" t="s">
        <v>134</v>
      </c>
      <c r="C3708" s="0" t="s">
        <v>190</v>
      </c>
      <c r="D3708" s="0" t="s">
        <v>135</v>
      </c>
      <c r="E3708" s="0" t="s">
        <v>2</v>
      </c>
      <c r="F3708" s="0" t="s">
        <v>12</v>
      </c>
      <c r="G3708" s="0" t="s">
        <v>8</v>
      </c>
      <c r="H3708" s="0">
        <v>73</v>
      </c>
      <c r="I3708" s="0">
        <v>0</v>
      </c>
      <c r="J3708" s="0">
        <v>-36.75</v>
      </c>
      <c r="K3708" s="0">
        <v>0</v>
      </c>
      <c r="L3708" s="0">
        <v>0</v>
      </c>
      <c r="M3708" s="0">
        <v>0</v>
      </c>
      <c r="N3708" s="0">
        <v>0</v>
      </c>
      <c r="O3708" s="0">
        <v>0</v>
      </c>
      <c r="P3708" s="0">
        <v>0</v>
      </c>
      <c r="R3708" s="0" t="b">
        <v>0</v>
      </c>
      <c r="S3708" s="0" t="b">
        <v>0</v>
      </c>
      <c r="T3708" s="68">
        <v>45980.4786342593</v>
      </c>
      <c r="U3708" s="68">
        <v>45995.2916666667</v>
      </c>
      <c r="V3708" s="68">
        <v>46056.1683564815</v>
      </c>
      <c r="W3708" s="0">
        <f>IF(IF(B3708="none",1,IF(B3708="Trialer",1,0))+IF(C3708="Customer",1,IF(C3708="Lost",1,0))=2,1,0)</f>
      </c>
      <c r="X3708" s="0" t="s">
        <v>1461</v>
      </c>
      <c r="Y3708" s="0" t="s">
        <v>499</v>
      </c>
      <c r="AV3708" s="68"/>
      <c r="AW3708" s="68"/>
      <c r="AY3708" s="27"/>
      <c r="BD3708" s="68">
        <v>46054.1666666667</v>
      </c>
      <c r="BE3708" s="68">
        <v>46082.1666666667</v>
      </c>
      <c r="BF3708" s="0" t="b">
        <v>0</v>
      </c>
      <c r="BG3708" s="0" t="b">
        <v>0</v>
      </c>
      <c r="BH3708" s="0">
        <v>36.75</v>
      </c>
      <c r="BI3708" s="0">
        <v>36.75</v>
      </c>
      <c r="BJ3708" s="0" t="s">
        <v>135</v>
      </c>
    </row>
    <row r="3709">
      <c r="A3709" s="0" t="s">
        <v>3964</v>
      </c>
      <c r="B3709" s="0" t="s">
        <v>134</v>
      </c>
      <c r="C3709" s="0" t="s">
        <v>134</v>
      </c>
      <c r="D3709" s="0" t="s">
        <v>135</v>
      </c>
      <c r="E3709" s="0" t="s">
        <v>3</v>
      </c>
      <c r="F3709" s="0" t="s">
        <v>12</v>
      </c>
      <c r="G3709" s="0" t="s">
        <v>8</v>
      </c>
      <c r="H3709" s="0">
        <v>73</v>
      </c>
      <c r="I3709" s="0">
        <v>72.75</v>
      </c>
      <c r="J3709" s="0">
        <v>0</v>
      </c>
      <c r="K3709" s="0">
        <v>1</v>
      </c>
      <c r="L3709" s="0">
        <v>6</v>
      </c>
      <c r="M3709" s="0">
        <v>1</v>
      </c>
      <c r="N3709" s="0">
        <v>0</v>
      </c>
      <c r="O3709" s="0">
        <v>0</v>
      </c>
      <c r="P3709" s="0">
        <v>0</v>
      </c>
      <c r="R3709" s="0" t="b">
        <v>0</v>
      </c>
      <c r="S3709" s="0" t="b">
        <v>1</v>
      </c>
      <c r="T3709" s="68">
        <v>45980.5916666667</v>
      </c>
      <c r="U3709" s="68">
        <v>46021.2916666667</v>
      </c>
      <c r="V3709" s="68">
        <v>0</v>
      </c>
      <c r="W3709" s="0">
        <f>IF(IF(B3709="none",1,IF(B3709="Trialer",1,0))+IF(C3709="Customer",1,IF(C3709="Lost",1,0))=2,1,0)</f>
      </c>
      <c r="X3709" s="0" t="s">
        <v>1461</v>
      </c>
      <c r="Y3709" s="0" t="s">
        <v>243</v>
      </c>
      <c r="AV3709" s="68"/>
      <c r="AW3709" s="68"/>
      <c r="AY3709" s="27"/>
      <c r="BD3709" s="68">
        <v>46054.1666666667</v>
      </c>
      <c r="BE3709" s="68">
        <v>46082.1666666667</v>
      </c>
      <c r="BF3709" s="0" t="b">
        <v>0</v>
      </c>
      <c r="BG3709" s="0" t="b">
        <v>0</v>
      </c>
      <c r="BH3709" s="0">
        <v>97</v>
      </c>
      <c r="BI3709" s="0">
        <v>97</v>
      </c>
      <c r="BJ3709" s="0" t="s">
        <v>135</v>
      </c>
    </row>
    <row r="3710">
      <c r="A3710" s="0" t="s">
        <v>3965</v>
      </c>
      <c r="B3710" s="0" t="s">
        <v>134</v>
      </c>
      <c r="C3710" s="0" t="s">
        <v>134</v>
      </c>
      <c r="D3710" s="0" t="s">
        <v>135</v>
      </c>
      <c r="E3710" s="0" t="s">
        <v>2</v>
      </c>
      <c r="F3710" s="0" t="s">
        <v>12</v>
      </c>
      <c r="G3710" s="0" t="s">
        <v>8</v>
      </c>
      <c r="H3710" s="0">
        <v>73</v>
      </c>
      <c r="I3710" s="0">
        <v>191.25</v>
      </c>
      <c r="J3710" s="0">
        <v>0</v>
      </c>
      <c r="K3710" s="0">
        <v>1</v>
      </c>
      <c r="L3710" s="0">
        <v>6</v>
      </c>
      <c r="M3710" s="0">
        <v>3</v>
      </c>
      <c r="N3710" s="0">
        <v>1162.5</v>
      </c>
      <c r="O3710" s="0">
        <v>0</v>
      </c>
      <c r="P3710" s="0">
        <v>0</v>
      </c>
      <c r="R3710" s="0" t="b">
        <v>0</v>
      </c>
      <c r="S3710" s="0" t="b">
        <v>1</v>
      </c>
      <c r="T3710" s="68">
        <v>45980.7075578704</v>
      </c>
      <c r="U3710" s="68">
        <v>45995.2916666667</v>
      </c>
      <c r="V3710" s="68">
        <v>0</v>
      </c>
      <c r="W3710" s="0">
        <f>IF(IF(B3710="none",1,IF(B3710="Trialer",1,0))+IF(C3710="Customer",1,IF(C3710="Lost",1,0))=2,1,0)</f>
      </c>
      <c r="X3710" s="0" t="s">
        <v>1461</v>
      </c>
      <c r="Y3710" s="0" t="s">
        <v>499</v>
      </c>
      <c r="AV3710" s="68"/>
      <c r="AW3710" s="68"/>
      <c r="AY3710" s="27"/>
      <c r="BD3710" s="68">
        <v>46054.1666666667</v>
      </c>
      <c r="BE3710" s="68">
        <v>46082.1666666667</v>
      </c>
      <c r="BF3710" s="0" t="b">
        <v>0</v>
      </c>
      <c r="BG3710" s="0" t="b">
        <v>0</v>
      </c>
      <c r="BH3710" s="0">
        <v>217</v>
      </c>
      <c r="BI3710" s="0">
        <v>217</v>
      </c>
      <c r="BJ3710" s="0" t="s">
        <v>135</v>
      </c>
    </row>
    <row r="3711">
      <c r="A3711" s="0" t="s">
        <v>3966</v>
      </c>
      <c r="B3711" s="0" t="s">
        <v>134</v>
      </c>
      <c r="C3711" s="0" t="s">
        <v>134</v>
      </c>
      <c r="D3711" s="0" t="s">
        <v>135</v>
      </c>
      <c r="E3711" s="0" t="s">
        <v>3</v>
      </c>
      <c r="F3711" s="0" t="s">
        <v>12</v>
      </c>
      <c r="G3711" s="0" t="s">
        <v>8</v>
      </c>
      <c r="H3711" s="0">
        <v>72</v>
      </c>
      <c r="I3711" s="0">
        <v>62.25</v>
      </c>
      <c r="J3711" s="0">
        <v>0</v>
      </c>
      <c r="K3711" s="0">
        <v>1</v>
      </c>
      <c r="L3711" s="0">
        <v>5</v>
      </c>
      <c r="M3711" s="0">
        <v>1</v>
      </c>
      <c r="N3711" s="0">
        <v>0</v>
      </c>
      <c r="O3711" s="0">
        <v>0</v>
      </c>
      <c r="P3711" s="0">
        <v>0</v>
      </c>
      <c r="R3711" s="0" t="b">
        <v>0</v>
      </c>
      <c r="S3711" s="0" t="b">
        <v>1</v>
      </c>
      <c r="T3711" s="68">
        <v>45980.9939351852</v>
      </c>
      <c r="U3711" s="68">
        <v>45993.2916666667</v>
      </c>
      <c r="V3711" s="68">
        <v>0</v>
      </c>
      <c r="W3711" s="0">
        <f>IF(IF(B3711="none",1,IF(B3711="Trialer",1,0))+IF(C3711="Customer",1,IF(C3711="Lost",1,0))=2,1,0)</f>
      </c>
      <c r="X3711" s="0" t="s">
        <v>1461</v>
      </c>
      <c r="Y3711" s="0" t="s">
        <v>243</v>
      </c>
      <c r="AV3711" s="68"/>
      <c r="AW3711" s="68"/>
      <c r="AY3711" s="27"/>
      <c r="BD3711" s="68">
        <v>46054.1666666667</v>
      </c>
      <c r="BE3711" s="68">
        <v>46082.1666666667</v>
      </c>
      <c r="BF3711" s="0" t="b">
        <v>0</v>
      </c>
      <c r="BG3711" s="0" t="b">
        <v>0</v>
      </c>
      <c r="BH3711" s="0">
        <v>83</v>
      </c>
      <c r="BI3711" s="0">
        <v>83</v>
      </c>
      <c r="BJ3711" s="0" t="s">
        <v>135</v>
      </c>
    </row>
    <row r="3712">
      <c r="A3712" s="0" t="s">
        <v>3967</v>
      </c>
      <c r="B3712" s="0" t="s">
        <v>134</v>
      </c>
      <c r="C3712" s="0" t="s">
        <v>134</v>
      </c>
      <c r="D3712" s="0" t="s">
        <v>135</v>
      </c>
      <c r="E3712" s="0" t="s">
        <v>3</v>
      </c>
      <c r="F3712" s="0" t="s">
        <v>12</v>
      </c>
      <c r="G3712" s="0" t="s">
        <v>8</v>
      </c>
      <c r="H3712" s="0">
        <v>72</v>
      </c>
      <c r="I3712" s="0">
        <v>44.25</v>
      </c>
      <c r="J3712" s="0">
        <v>0</v>
      </c>
      <c r="K3712" s="0">
        <v>1</v>
      </c>
      <c r="L3712" s="0">
        <v>3</v>
      </c>
      <c r="M3712" s="0">
        <v>1</v>
      </c>
      <c r="N3712" s="0">
        <v>0</v>
      </c>
      <c r="O3712" s="0">
        <v>0</v>
      </c>
      <c r="P3712" s="0">
        <v>0</v>
      </c>
      <c r="R3712" s="0" t="b">
        <v>0</v>
      </c>
      <c r="S3712" s="0" t="b">
        <v>1</v>
      </c>
      <c r="T3712" s="68">
        <v>45981.7395949074</v>
      </c>
      <c r="U3712" s="68">
        <v>45995.2916666667</v>
      </c>
      <c r="V3712" s="68">
        <v>0</v>
      </c>
      <c r="W3712" s="0">
        <f>IF(IF(B3712="none",1,IF(B3712="Trialer",1,0))+IF(C3712="Customer",1,IF(C3712="Lost",1,0))=2,1,0)</f>
      </c>
      <c r="X3712" s="0" t="s">
        <v>1461</v>
      </c>
      <c r="Y3712" s="0" t="s">
        <v>243</v>
      </c>
      <c r="AV3712" s="68"/>
      <c r="AW3712" s="68"/>
      <c r="AY3712" s="27"/>
      <c r="BD3712" s="68">
        <v>46054.1666666667</v>
      </c>
      <c r="BE3712" s="68">
        <v>46082.1666666667</v>
      </c>
      <c r="BF3712" s="0" t="b">
        <v>0</v>
      </c>
      <c r="BG3712" s="0" t="b">
        <v>0</v>
      </c>
      <c r="BH3712" s="0">
        <v>59</v>
      </c>
      <c r="BI3712" s="0">
        <v>59</v>
      </c>
      <c r="BJ3712" s="0" t="s">
        <v>135</v>
      </c>
    </row>
    <row r="3713">
      <c r="A3713" s="0" t="s">
        <v>3968</v>
      </c>
      <c r="B3713" s="0" t="s">
        <v>134</v>
      </c>
      <c r="C3713" s="0" t="s">
        <v>134</v>
      </c>
      <c r="D3713" s="0" t="s">
        <v>230</v>
      </c>
      <c r="E3713" s="0" t="s">
        <v>2</v>
      </c>
      <c r="F3713" s="0" t="s">
        <v>12</v>
      </c>
      <c r="G3713" s="0" t="s">
        <v>8</v>
      </c>
      <c r="H3713" s="0">
        <v>71</v>
      </c>
      <c r="I3713" s="0">
        <v>660.25</v>
      </c>
      <c r="J3713" s="0">
        <v>0</v>
      </c>
      <c r="K3713" s="0">
        <v>1</v>
      </c>
      <c r="L3713" s="0">
        <v>5</v>
      </c>
      <c r="M3713" s="0">
        <v>8</v>
      </c>
      <c r="N3713" s="0">
        <v>0</v>
      </c>
      <c r="O3713" s="0">
        <v>0</v>
      </c>
      <c r="P3713" s="0">
        <v>-335.25</v>
      </c>
      <c r="R3713" s="0" t="b">
        <v>0</v>
      </c>
      <c r="S3713" s="0" t="b">
        <v>1</v>
      </c>
      <c r="T3713" s="68">
        <v>45982.675</v>
      </c>
      <c r="U3713" s="68">
        <v>45996.2916666667</v>
      </c>
      <c r="V3713" s="68">
        <v>0</v>
      </c>
      <c r="W3713" s="0">
        <f>IF(IF(B3713="none",1,IF(B3713="Trialer",1,0))+IF(C3713="Customer",1,IF(C3713="Lost",1,0))=2,1,0)</f>
      </c>
      <c r="X3713" s="0" t="s">
        <v>145</v>
      </c>
      <c r="Y3713" s="0" t="s">
        <v>499</v>
      </c>
      <c r="AV3713" s="68"/>
      <c r="AW3713" s="68"/>
      <c r="AY3713" s="27"/>
      <c r="BD3713" s="68">
        <v>46054.1666666667</v>
      </c>
      <c r="BE3713" s="68">
        <v>46082.1666666667</v>
      </c>
      <c r="BF3713" s="0" t="b">
        <v>0</v>
      </c>
      <c r="BG3713" s="0" t="b">
        <v>0</v>
      </c>
      <c r="BH3713" s="0">
        <v>596</v>
      </c>
      <c r="BI3713" s="0">
        <v>596</v>
      </c>
      <c r="BJ3713" s="0" t="s">
        <v>230</v>
      </c>
    </row>
    <row r="3714">
      <c r="A3714" s="0" t="s">
        <v>3969</v>
      </c>
      <c r="B3714" s="0" t="s">
        <v>134</v>
      </c>
      <c r="C3714" s="0" t="s">
        <v>134</v>
      </c>
      <c r="D3714" s="0" t="s">
        <v>135</v>
      </c>
      <c r="E3714" s="0" t="s">
        <v>3</v>
      </c>
      <c r="F3714" s="0" t="s">
        <v>12</v>
      </c>
      <c r="G3714" s="0" t="s">
        <v>8</v>
      </c>
      <c r="H3714" s="0">
        <v>71</v>
      </c>
      <c r="I3714" s="0">
        <v>88.5</v>
      </c>
      <c r="J3714" s="0">
        <v>0</v>
      </c>
      <c r="K3714" s="0">
        <v>1</v>
      </c>
      <c r="L3714" s="0">
        <v>3</v>
      </c>
      <c r="M3714" s="0">
        <v>2</v>
      </c>
      <c r="N3714" s="0">
        <v>0</v>
      </c>
      <c r="O3714" s="0">
        <v>0</v>
      </c>
      <c r="P3714" s="0">
        <v>0</v>
      </c>
      <c r="R3714" s="0" t="b">
        <v>0</v>
      </c>
      <c r="S3714" s="0" t="b">
        <v>1</v>
      </c>
      <c r="T3714" s="68">
        <v>45982.7389699074</v>
      </c>
      <c r="U3714" s="68">
        <v>45999.2916666667</v>
      </c>
      <c r="V3714" s="68">
        <v>0</v>
      </c>
      <c r="W3714" s="0">
        <f>IF(IF(B3714="none",1,IF(B3714="Trialer",1,0))+IF(C3714="Customer",1,IF(C3714="Lost",1,0))=2,1,0)</f>
      </c>
      <c r="X3714" s="0" t="s">
        <v>1461</v>
      </c>
      <c r="Y3714" s="0" t="s">
        <v>243</v>
      </c>
      <c r="AV3714" s="68"/>
      <c r="AW3714" s="68"/>
      <c r="AY3714" s="27"/>
      <c r="BD3714" s="68">
        <v>46054.1666666667</v>
      </c>
      <c r="BE3714" s="68">
        <v>46082.1666666667</v>
      </c>
      <c r="BF3714" s="0" t="b">
        <v>0</v>
      </c>
      <c r="BG3714" s="0" t="b">
        <v>0</v>
      </c>
      <c r="BH3714" s="0">
        <v>118</v>
      </c>
      <c r="BI3714" s="0">
        <v>118</v>
      </c>
      <c r="BJ3714" s="0" t="s">
        <v>135</v>
      </c>
    </row>
    <row r="3715">
      <c r="A3715" s="0" t="s">
        <v>3970</v>
      </c>
      <c r="B3715" s="0" t="s">
        <v>134</v>
      </c>
      <c r="C3715" s="0" t="s">
        <v>134</v>
      </c>
      <c r="D3715" s="0" t="s">
        <v>135</v>
      </c>
      <c r="E3715" s="0" t="s">
        <v>3</v>
      </c>
      <c r="F3715" s="0" t="s">
        <v>12</v>
      </c>
      <c r="G3715" s="0" t="s">
        <v>8</v>
      </c>
      <c r="H3715" s="0">
        <v>70</v>
      </c>
      <c r="I3715" s="0">
        <v>44.25</v>
      </c>
      <c r="J3715" s="0">
        <v>0</v>
      </c>
      <c r="K3715" s="0">
        <v>1</v>
      </c>
      <c r="L3715" s="0">
        <v>3</v>
      </c>
      <c r="M3715" s="0">
        <v>1</v>
      </c>
      <c r="N3715" s="0">
        <v>0</v>
      </c>
      <c r="O3715" s="0">
        <v>0</v>
      </c>
      <c r="P3715" s="0">
        <v>0</v>
      </c>
      <c r="R3715" s="0" t="b">
        <v>0</v>
      </c>
      <c r="S3715" s="0" t="b">
        <v>1</v>
      </c>
      <c r="T3715" s="68">
        <v>45983.6485648148</v>
      </c>
      <c r="U3715" s="68">
        <v>46022.2916666667</v>
      </c>
      <c r="V3715" s="68">
        <v>0</v>
      </c>
      <c r="W3715" s="0">
        <f>IF(IF(B3715="none",1,IF(B3715="Trialer",1,0))+IF(C3715="Customer",1,IF(C3715="Lost",1,0))=2,1,0)</f>
      </c>
      <c r="X3715" s="0" t="s">
        <v>1461</v>
      </c>
      <c r="Y3715" s="0" t="s">
        <v>243</v>
      </c>
      <c r="AV3715" s="68"/>
      <c r="AW3715" s="68"/>
      <c r="AY3715" s="27"/>
      <c r="BD3715" s="68">
        <v>46054.1666666667</v>
      </c>
      <c r="BE3715" s="68">
        <v>46082.1666666667</v>
      </c>
      <c r="BF3715" s="0" t="b">
        <v>0</v>
      </c>
      <c r="BG3715" s="0" t="b">
        <v>0</v>
      </c>
      <c r="BH3715" s="0">
        <v>44.25</v>
      </c>
      <c r="BI3715" s="0">
        <v>44.25</v>
      </c>
      <c r="BJ3715" s="0" t="s">
        <v>135</v>
      </c>
    </row>
    <row r="3716">
      <c r="A3716" s="0" t="s">
        <v>3971</v>
      </c>
      <c r="B3716" s="0" t="s">
        <v>134</v>
      </c>
      <c r="C3716" s="0" t="s">
        <v>134</v>
      </c>
      <c r="D3716" s="0" t="s">
        <v>135</v>
      </c>
      <c r="E3716" s="0" t="s">
        <v>3</v>
      </c>
      <c r="F3716" s="0" t="s">
        <v>12</v>
      </c>
      <c r="G3716" s="0" t="s">
        <v>8</v>
      </c>
      <c r="H3716" s="0">
        <v>70</v>
      </c>
      <c r="I3716" s="0">
        <v>97.5</v>
      </c>
      <c r="J3716" s="0">
        <v>0</v>
      </c>
      <c r="K3716" s="0">
        <v>1</v>
      </c>
      <c r="L3716" s="0">
        <v>5</v>
      </c>
      <c r="M3716" s="0">
        <v>2</v>
      </c>
      <c r="N3716" s="0">
        <v>0</v>
      </c>
      <c r="O3716" s="0">
        <v>0</v>
      </c>
      <c r="P3716" s="0">
        <v>0</v>
      </c>
      <c r="R3716" s="0" t="b">
        <v>0</v>
      </c>
      <c r="S3716" s="0" t="b">
        <v>1</v>
      </c>
      <c r="T3716" s="68">
        <v>45983.7463194444</v>
      </c>
      <c r="U3716" s="68">
        <v>45997.2916666667</v>
      </c>
      <c r="V3716" s="68">
        <v>0</v>
      </c>
      <c r="W3716" s="0">
        <f>IF(IF(B3716="none",1,IF(B3716="Trialer",1,0))+IF(C3716="Customer",1,IF(C3716="Lost",1,0))=2,1,0)</f>
      </c>
      <c r="X3716" s="0" t="s">
        <v>1461</v>
      </c>
      <c r="Y3716" s="0" t="s">
        <v>243</v>
      </c>
      <c r="AV3716" s="68"/>
      <c r="AW3716" s="68"/>
      <c r="AY3716" s="27"/>
      <c r="BD3716" s="68">
        <v>46054.1666666667</v>
      </c>
      <c r="BE3716" s="68">
        <v>46082.1666666667</v>
      </c>
      <c r="BF3716" s="0" t="b">
        <v>0</v>
      </c>
      <c r="BG3716" s="0" t="b">
        <v>0</v>
      </c>
      <c r="BH3716" s="0">
        <v>175</v>
      </c>
      <c r="BI3716" s="0">
        <v>175</v>
      </c>
      <c r="BJ3716" s="0" t="s">
        <v>135</v>
      </c>
    </row>
    <row r="3717">
      <c r="A3717" s="0" t="s">
        <v>3972</v>
      </c>
      <c r="B3717" s="0" t="s">
        <v>652</v>
      </c>
      <c r="C3717" s="0" t="s">
        <v>134</v>
      </c>
      <c r="D3717" s="0" t="s">
        <v>230</v>
      </c>
      <c r="E3717" s="0" t="s">
        <v>3</v>
      </c>
      <c r="F3717" s="0" t="s">
        <v>12</v>
      </c>
      <c r="G3717" s="0" t="s">
        <v>8</v>
      </c>
      <c r="H3717" s="0">
        <v>68</v>
      </c>
      <c r="I3717" s="0">
        <v>236</v>
      </c>
      <c r="J3717" s="0">
        <v>0</v>
      </c>
      <c r="K3717" s="0">
        <v>3</v>
      </c>
      <c r="L3717" s="0">
        <v>0</v>
      </c>
      <c r="M3717" s="0">
        <v>0</v>
      </c>
      <c r="N3717" s="0">
        <v>0</v>
      </c>
      <c r="O3717" s="0">
        <v>0</v>
      </c>
      <c r="P3717" s="0">
        <v>0</v>
      </c>
      <c r="R3717" s="0" t="b">
        <v>0</v>
      </c>
      <c r="S3717" s="0" t="b">
        <v>1</v>
      </c>
      <c r="T3717" s="68">
        <v>45985.3839699074</v>
      </c>
      <c r="U3717" s="68">
        <v>46055.2916666667</v>
      </c>
      <c r="V3717" s="68">
        <v>0</v>
      </c>
      <c r="W3717" s="0">
        <f>IF(IF(B3717="none",1,IF(B3717="Trialer",1,0))+IF(C3717="Customer",1,IF(C3717="Lost",1,0))=2,1,0)</f>
      </c>
      <c r="X3717" s="0" t="s">
        <v>136</v>
      </c>
      <c r="Y3717" s="0" t="s">
        <v>243</v>
      </c>
      <c r="AV3717" s="68"/>
      <c r="AW3717" s="68"/>
      <c r="AY3717" s="27"/>
      <c r="BD3717" s="68">
        <v>46054.1666666667</v>
      </c>
      <c r="BE3717" s="68">
        <v>46082.1666666667</v>
      </c>
      <c r="BF3717" s="0" t="b">
        <v>0</v>
      </c>
      <c r="BG3717" s="0" t="b">
        <v>0</v>
      </c>
      <c r="BH3717" s="0">
        <v>118</v>
      </c>
      <c r="BI3717" s="0">
        <v>118</v>
      </c>
      <c r="BJ3717" s="0" t="s">
        <v>135</v>
      </c>
    </row>
    <row r="3718">
      <c r="A3718" s="0" t="s">
        <v>3973</v>
      </c>
      <c r="B3718" s="0" t="s">
        <v>134</v>
      </c>
      <c r="C3718" s="0" t="s">
        <v>134</v>
      </c>
      <c r="D3718" s="0" t="s">
        <v>230</v>
      </c>
      <c r="E3718" s="0" t="s">
        <v>3</v>
      </c>
      <c r="F3718" s="0" t="s">
        <v>10</v>
      </c>
      <c r="G3718" s="0" t="s">
        <v>8</v>
      </c>
      <c r="H3718" s="0">
        <v>68</v>
      </c>
      <c r="I3718" s="0">
        <v>1462.5</v>
      </c>
      <c r="J3718" s="0">
        <v>0</v>
      </c>
      <c r="K3718" s="0">
        <v>1</v>
      </c>
      <c r="L3718" s="0">
        <v>4</v>
      </c>
      <c r="M3718" s="0">
        <v>32</v>
      </c>
      <c r="N3718" s="0">
        <v>0</v>
      </c>
      <c r="O3718" s="0">
        <v>0</v>
      </c>
      <c r="P3718" s="0">
        <v>-1462.5</v>
      </c>
      <c r="Q3718" s="0" t="s">
        <v>357</v>
      </c>
      <c r="R3718" s="0" t="b">
        <v>0</v>
      </c>
      <c r="S3718" s="0" t="b">
        <v>1</v>
      </c>
      <c r="T3718" s="68">
        <v>45985.4181944444</v>
      </c>
      <c r="U3718" s="68">
        <v>45999.2916666667</v>
      </c>
      <c r="V3718" s="68">
        <v>0</v>
      </c>
      <c r="W3718" s="0">
        <f>IF(IF(B3718="none",1,IF(B3718="Trialer",1,0))+IF(C3718="Customer",1,IF(C3718="Lost",1,0))=2,1,0)</f>
      </c>
      <c r="X3718" s="0" t="s">
        <v>148</v>
      </c>
      <c r="Y3718" s="0" t="s">
        <v>243</v>
      </c>
      <c r="AV3718" s="68"/>
      <c r="AW3718" s="68"/>
      <c r="AY3718" s="27"/>
      <c r="BD3718" s="68">
        <v>46054.1666666667</v>
      </c>
      <c r="BE3718" s="68">
        <v>46082.1666666667</v>
      </c>
      <c r="BF3718" s="0" t="b">
        <v>0</v>
      </c>
      <c r="BG3718" s="0" t="b">
        <v>0</v>
      </c>
      <c r="BH3718" s="0">
        <v>1331</v>
      </c>
      <c r="BI3718" s="0">
        <v>1331</v>
      </c>
      <c r="BJ3718" s="0" t="s">
        <v>230</v>
      </c>
    </row>
    <row r="3719">
      <c r="A3719" s="0" t="s">
        <v>3974</v>
      </c>
      <c r="B3719" s="0" t="s">
        <v>134</v>
      </c>
      <c r="C3719" s="0" t="s">
        <v>134</v>
      </c>
      <c r="D3719" s="0" t="s">
        <v>230</v>
      </c>
      <c r="E3719" s="0" t="s">
        <v>2</v>
      </c>
      <c r="F3719" s="0" t="s">
        <v>10</v>
      </c>
      <c r="G3719" s="0" t="s">
        <v>8</v>
      </c>
      <c r="H3719" s="0">
        <v>68</v>
      </c>
      <c r="I3719" s="0">
        <v>75.7</v>
      </c>
      <c r="J3719" s="0">
        <v>0</v>
      </c>
      <c r="K3719" s="0">
        <v>1</v>
      </c>
      <c r="L3719" s="0">
        <v>5</v>
      </c>
      <c r="M3719" s="0">
        <v>1</v>
      </c>
      <c r="N3719" s="0">
        <v>0</v>
      </c>
      <c r="O3719" s="0">
        <v>0</v>
      </c>
      <c r="P3719" s="0">
        <v>-75.7</v>
      </c>
      <c r="Q3719" s="0" t="s">
        <v>3975</v>
      </c>
      <c r="R3719" s="0" t="b">
        <v>0</v>
      </c>
      <c r="S3719" s="0" t="b">
        <v>1</v>
      </c>
      <c r="T3719" s="68">
        <v>45985.5295833333</v>
      </c>
      <c r="U3719" s="68">
        <v>46013.2916666667</v>
      </c>
      <c r="V3719" s="68">
        <v>0</v>
      </c>
      <c r="W3719" s="0">
        <f>IF(IF(B3719="none",1,IF(B3719="Trialer",1,0))+IF(C3719="Customer",1,IF(C3719="Lost",1,0))=2,1,0)</f>
      </c>
      <c r="X3719" s="0" t="s">
        <v>136</v>
      </c>
      <c r="Y3719" s="0" t="s">
        <v>499</v>
      </c>
      <c r="AV3719" s="68"/>
      <c r="AW3719" s="68"/>
      <c r="AY3719" s="27"/>
      <c r="BD3719" s="68">
        <v>46054.1666666667</v>
      </c>
      <c r="BE3719" s="68">
        <v>46082.1666666667</v>
      </c>
      <c r="BF3719" s="0" t="b">
        <v>1</v>
      </c>
      <c r="BG3719" s="0" t="b">
        <v>0</v>
      </c>
      <c r="BH3719" s="0">
        <v>132</v>
      </c>
      <c r="BI3719" s="0">
        <v>132</v>
      </c>
      <c r="BJ3719" s="0" t="s">
        <v>230</v>
      </c>
    </row>
    <row r="3720">
      <c r="A3720" s="0" t="s">
        <v>3976</v>
      </c>
      <c r="B3720" s="0" t="s">
        <v>134</v>
      </c>
      <c r="C3720" s="0" t="s">
        <v>134</v>
      </c>
      <c r="D3720" s="0" t="s">
        <v>135</v>
      </c>
      <c r="E3720" s="0" t="s">
        <v>3</v>
      </c>
      <c r="F3720" s="0" t="s">
        <v>12</v>
      </c>
      <c r="G3720" s="0" t="s">
        <v>8</v>
      </c>
      <c r="H3720" s="0">
        <v>68</v>
      </c>
      <c r="I3720" s="0">
        <v>481.75</v>
      </c>
      <c r="J3720" s="0">
        <v>0</v>
      </c>
      <c r="K3720" s="0">
        <v>1</v>
      </c>
      <c r="L3720" s="0">
        <v>4</v>
      </c>
      <c r="M3720" s="0">
        <v>3</v>
      </c>
      <c r="N3720" s="0">
        <v>976.5</v>
      </c>
      <c r="O3720" s="0">
        <v>0</v>
      </c>
      <c r="P3720" s="0">
        <v>0</v>
      </c>
      <c r="R3720" s="0" t="b">
        <v>0</v>
      </c>
      <c r="S3720" s="0" t="b">
        <v>1</v>
      </c>
      <c r="T3720" s="68">
        <v>45985.6348148148</v>
      </c>
      <c r="U3720" s="68">
        <v>45999.2916666667</v>
      </c>
      <c r="V3720" s="68">
        <v>0</v>
      </c>
      <c r="W3720" s="0">
        <f>IF(IF(B3720="none",1,IF(B3720="Trialer",1,0))+IF(C3720="Customer",1,IF(C3720="Lost",1,0))=2,1,0)</f>
      </c>
      <c r="X3720" s="0" t="s">
        <v>1461</v>
      </c>
      <c r="Y3720" s="0" t="s">
        <v>243</v>
      </c>
      <c r="AV3720" s="68"/>
      <c r="AW3720" s="68"/>
      <c r="AY3720" s="27"/>
      <c r="BD3720" s="68">
        <v>46054.1666666667</v>
      </c>
      <c r="BE3720" s="68">
        <v>46082.1666666667</v>
      </c>
      <c r="BF3720" s="0" t="b">
        <v>0</v>
      </c>
      <c r="BG3720" s="0" t="b">
        <v>0</v>
      </c>
      <c r="BH3720" s="0">
        <v>205</v>
      </c>
      <c r="BI3720" s="0">
        <v>205</v>
      </c>
      <c r="BJ3720" s="0" t="s">
        <v>135</v>
      </c>
    </row>
    <row r="3721">
      <c r="A3721" s="0" t="s">
        <v>3977</v>
      </c>
      <c r="B3721" s="0" t="s">
        <v>134</v>
      </c>
      <c r="C3721" s="0" t="s">
        <v>134</v>
      </c>
      <c r="D3721" s="0" t="s">
        <v>135</v>
      </c>
      <c r="E3721" s="0" t="s">
        <v>2</v>
      </c>
      <c r="F3721" s="0" t="s">
        <v>12</v>
      </c>
      <c r="G3721" s="0" t="s">
        <v>8</v>
      </c>
      <c r="H3721" s="0">
        <v>68</v>
      </c>
      <c r="I3721" s="0">
        <v>177</v>
      </c>
      <c r="J3721" s="0">
        <v>0</v>
      </c>
      <c r="K3721" s="0">
        <v>1</v>
      </c>
      <c r="L3721" s="0">
        <v>3</v>
      </c>
      <c r="M3721" s="0">
        <v>4</v>
      </c>
      <c r="N3721" s="0">
        <v>620</v>
      </c>
      <c r="O3721" s="0">
        <v>0</v>
      </c>
      <c r="P3721" s="0">
        <v>0</v>
      </c>
      <c r="R3721" s="0" t="b">
        <v>0</v>
      </c>
      <c r="S3721" s="0" t="b">
        <v>1</v>
      </c>
      <c r="T3721" s="68">
        <v>45985.6515393518</v>
      </c>
      <c r="U3721" s="68">
        <v>45999.2916666667</v>
      </c>
      <c r="V3721" s="68">
        <v>0</v>
      </c>
      <c r="W3721" s="0">
        <f>IF(IF(B3721="none",1,IF(B3721="Trialer",1,0))+IF(C3721="Customer",1,IF(C3721="Lost",1,0))=2,1,0)</f>
      </c>
      <c r="X3721" s="0" t="s">
        <v>136</v>
      </c>
      <c r="Y3721" s="0" t="s">
        <v>499</v>
      </c>
      <c r="AV3721" s="68"/>
      <c r="AW3721" s="68"/>
      <c r="AY3721" s="27"/>
      <c r="BD3721" s="68">
        <v>46054.1666666667</v>
      </c>
      <c r="BE3721" s="68">
        <v>46082.1666666667</v>
      </c>
      <c r="BF3721" s="0" t="b">
        <v>0</v>
      </c>
      <c r="BG3721" s="0" t="b">
        <v>0</v>
      </c>
      <c r="BH3721" s="0">
        <v>236</v>
      </c>
      <c r="BI3721" s="0">
        <v>236</v>
      </c>
      <c r="BJ3721" s="0" t="s">
        <v>135</v>
      </c>
    </row>
    <row r="3722">
      <c r="A3722" s="0" t="s">
        <v>3978</v>
      </c>
      <c r="B3722" s="0" t="s">
        <v>134</v>
      </c>
      <c r="C3722" s="0" t="s">
        <v>134</v>
      </c>
      <c r="D3722" s="0" t="s">
        <v>135</v>
      </c>
      <c r="E3722" s="0" t="s">
        <v>3</v>
      </c>
      <c r="F3722" s="0" t="s">
        <v>12</v>
      </c>
      <c r="G3722" s="0" t="s">
        <v>8</v>
      </c>
      <c r="H3722" s="0">
        <v>68</v>
      </c>
      <c r="I3722" s="0">
        <v>44.25</v>
      </c>
      <c r="J3722" s="0">
        <v>0</v>
      </c>
      <c r="K3722" s="0">
        <v>1</v>
      </c>
      <c r="L3722" s="0">
        <v>3</v>
      </c>
      <c r="M3722" s="0">
        <v>1</v>
      </c>
      <c r="N3722" s="0">
        <v>0</v>
      </c>
      <c r="O3722" s="0">
        <v>0</v>
      </c>
      <c r="P3722" s="0">
        <v>0</v>
      </c>
      <c r="R3722" s="0" t="b">
        <v>0</v>
      </c>
      <c r="S3722" s="0" t="b">
        <v>1</v>
      </c>
      <c r="T3722" s="68">
        <v>45985.6828009259</v>
      </c>
      <c r="U3722" s="68">
        <v>45996.2916666667</v>
      </c>
      <c r="V3722" s="68">
        <v>0</v>
      </c>
      <c r="W3722" s="0">
        <f>IF(IF(B3722="none",1,IF(B3722="Trialer",1,0))+IF(C3722="Customer",1,IF(C3722="Lost",1,0))=2,1,0)</f>
      </c>
      <c r="X3722" s="0" t="s">
        <v>1461</v>
      </c>
      <c r="Y3722" s="0" t="s">
        <v>243</v>
      </c>
      <c r="AV3722" s="68"/>
      <c r="AW3722" s="68"/>
      <c r="AY3722" s="27"/>
      <c r="BD3722" s="68">
        <v>46054.1666666667</v>
      </c>
      <c r="BE3722" s="68">
        <v>46082.1666666667</v>
      </c>
      <c r="BF3722" s="0" t="b">
        <v>0</v>
      </c>
      <c r="BG3722" s="0" t="b">
        <v>0</v>
      </c>
      <c r="BH3722" s="0">
        <v>59</v>
      </c>
      <c r="BI3722" s="0">
        <v>59</v>
      </c>
      <c r="BJ3722" s="0" t="s">
        <v>135</v>
      </c>
    </row>
    <row r="3723">
      <c r="A3723" s="0" t="s">
        <v>3979</v>
      </c>
      <c r="B3723" s="0" t="s">
        <v>134</v>
      </c>
      <c r="C3723" s="0" t="s">
        <v>134</v>
      </c>
      <c r="D3723" s="0" t="s">
        <v>135</v>
      </c>
      <c r="E3723" s="0" t="s">
        <v>2</v>
      </c>
      <c r="F3723" s="0" t="s">
        <v>12</v>
      </c>
      <c r="G3723" s="0" t="s">
        <v>8</v>
      </c>
      <c r="H3723" s="0">
        <v>68</v>
      </c>
      <c r="I3723" s="0">
        <v>168.75</v>
      </c>
      <c r="J3723" s="0">
        <v>0</v>
      </c>
      <c r="K3723" s="0">
        <v>1</v>
      </c>
      <c r="L3723" s="0">
        <v>5</v>
      </c>
      <c r="M3723" s="0">
        <v>5</v>
      </c>
      <c r="N3723" s="0">
        <v>0</v>
      </c>
      <c r="O3723" s="0">
        <v>0</v>
      </c>
      <c r="P3723" s="0">
        <v>0</v>
      </c>
      <c r="R3723" s="0" t="b">
        <v>0</v>
      </c>
      <c r="S3723" s="0" t="b">
        <v>1</v>
      </c>
      <c r="T3723" s="68">
        <v>45985.7907291667</v>
      </c>
      <c r="U3723" s="68">
        <v>46009.2916666667</v>
      </c>
      <c r="V3723" s="68">
        <v>0</v>
      </c>
      <c r="W3723" s="0">
        <f>IF(IF(B3723="none",1,IF(B3723="Trialer",1,0))+IF(C3723="Customer",1,IF(C3723="Lost",1,0))=2,1,0)</f>
      </c>
      <c r="X3723" s="0" t="s">
        <v>1461</v>
      </c>
      <c r="Y3723" s="0" t="s">
        <v>499</v>
      </c>
      <c r="AV3723" s="68"/>
      <c r="AW3723" s="68"/>
      <c r="AY3723" s="27"/>
      <c r="BD3723" s="68">
        <v>46054.1666666667</v>
      </c>
      <c r="BE3723" s="68">
        <v>46082.1666666667</v>
      </c>
      <c r="BF3723" s="0" t="b">
        <v>0</v>
      </c>
      <c r="BG3723" s="0" t="b">
        <v>0</v>
      </c>
      <c r="BH3723" s="0">
        <v>349</v>
      </c>
      <c r="BI3723" s="0">
        <v>349</v>
      </c>
      <c r="BJ3723" s="0" t="s">
        <v>135</v>
      </c>
    </row>
    <row r="3724">
      <c r="A3724" s="0" t="s">
        <v>3980</v>
      </c>
      <c r="B3724" s="0" t="s">
        <v>652</v>
      </c>
      <c r="C3724" s="0" t="s">
        <v>652</v>
      </c>
      <c r="D3724" s="0" t="s">
        <v>135</v>
      </c>
      <c r="E3724" s="0" t="s">
        <v>2</v>
      </c>
      <c r="F3724" s="0" t="s">
        <v>12</v>
      </c>
      <c r="G3724" s="0" t="s">
        <v>8</v>
      </c>
      <c r="H3724" s="0">
        <v>67</v>
      </c>
      <c r="I3724" s="0">
        <v>0</v>
      </c>
      <c r="J3724" s="0">
        <v>0</v>
      </c>
      <c r="K3724" s="0">
        <v>0</v>
      </c>
      <c r="L3724" s="0">
        <v>0</v>
      </c>
      <c r="M3724" s="0">
        <v>0</v>
      </c>
      <c r="N3724" s="0">
        <v>0</v>
      </c>
      <c r="O3724" s="0">
        <v>0</v>
      </c>
      <c r="P3724" s="0">
        <v>0</v>
      </c>
      <c r="R3724" s="0" t="b">
        <v>0</v>
      </c>
      <c r="S3724" s="0" t="b">
        <v>0</v>
      </c>
      <c r="T3724" s="68">
        <v>45986.4069444444</v>
      </c>
      <c r="U3724" s="68">
        <v>0</v>
      </c>
      <c r="V3724" s="68">
        <v>46058.718125</v>
      </c>
      <c r="W3724" s="0">
        <f>IF(IF(B3724="none",1,IF(B3724="Trialer",1,0))+IF(C3724="Customer",1,IF(C3724="Lost",1,0))=2,1,0)</f>
      </c>
      <c r="X3724" s="0" t="s">
        <v>882</v>
      </c>
      <c r="Y3724" s="0" t="s">
        <v>499</v>
      </c>
      <c r="AV3724" s="68"/>
      <c r="AW3724" s="68"/>
      <c r="AY3724" s="27"/>
      <c r="BD3724" s="68">
        <v>46054.1666666667</v>
      </c>
      <c r="BE3724" s="68">
        <v>46082.1666666667</v>
      </c>
      <c r="BF3724" s="0" t="b">
        <v>1</v>
      </c>
      <c r="BG3724" s="0" t="b">
        <v>0</v>
      </c>
      <c r="BH3724" s="0">
        <v>285</v>
      </c>
      <c r="BI3724" s="0">
        <v>285</v>
      </c>
      <c r="BJ3724" s="0" t="s">
        <v>135</v>
      </c>
    </row>
    <row r="3725">
      <c r="A3725" s="0" t="s">
        <v>3981</v>
      </c>
      <c r="B3725" s="0" t="s">
        <v>134</v>
      </c>
      <c r="C3725" s="0" t="s">
        <v>134</v>
      </c>
      <c r="D3725" s="0" t="s">
        <v>135</v>
      </c>
      <c r="E3725" s="0" t="s">
        <v>3</v>
      </c>
      <c r="F3725" s="0" t="s">
        <v>12</v>
      </c>
      <c r="G3725" s="0" t="s">
        <v>8</v>
      </c>
      <c r="H3725" s="0">
        <v>67</v>
      </c>
      <c r="I3725" s="0">
        <v>44.25</v>
      </c>
      <c r="J3725" s="0">
        <v>0</v>
      </c>
      <c r="K3725" s="0">
        <v>1</v>
      </c>
      <c r="L3725" s="0">
        <v>3</v>
      </c>
      <c r="M3725" s="0">
        <v>1</v>
      </c>
      <c r="N3725" s="0">
        <v>0</v>
      </c>
      <c r="O3725" s="0">
        <v>0</v>
      </c>
      <c r="P3725" s="0">
        <v>0</v>
      </c>
      <c r="R3725" s="0" t="b">
        <v>0</v>
      </c>
      <c r="S3725" s="0" t="b">
        <v>1</v>
      </c>
      <c r="T3725" s="68">
        <v>45986.5196412037</v>
      </c>
      <c r="U3725" s="68">
        <v>46008.2916666667</v>
      </c>
      <c r="V3725" s="68">
        <v>0</v>
      </c>
      <c r="W3725" s="0">
        <f>IF(IF(B3725="none",1,IF(B3725="Trialer",1,0))+IF(C3725="Customer",1,IF(C3725="Lost",1,0))=2,1,0)</f>
      </c>
      <c r="X3725" s="0" t="s">
        <v>1461</v>
      </c>
      <c r="Y3725" s="0" t="s">
        <v>243</v>
      </c>
      <c r="AV3725" s="68"/>
      <c r="AW3725" s="68"/>
      <c r="AY3725" s="27"/>
      <c r="BD3725" s="68">
        <v>46054.1666666667</v>
      </c>
      <c r="BE3725" s="68">
        <v>46082.1666666667</v>
      </c>
      <c r="BF3725" s="0" t="b">
        <v>0</v>
      </c>
      <c r="BG3725" s="0" t="b">
        <v>0</v>
      </c>
      <c r="BH3725" s="0">
        <v>118</v>
      </c>
      <c r="BI3725" s="0">
        <v>118</v>
      </c>
      <c r="BJ3725" s="0" t="s">
        <v>135</v>
      </c>
    </row>
    <row r="3726">
      <c r="A3726" s="0" t="s">
        <v>3982</v>
      </c>
      <c r="B3726" s="0" t="s">
        <v>134</v>
      </c>
      <c r="C3726" s="0" t="s">
        <v>134</v>
      </c>
      <c r="D3726" s="0" t="s">
        <v>230</v>
      </c>
      <c r="E3726" s="0" t="s">
        <v>3</v>
      </c>
      <c r="F3726" s="0" t="s">
        <v>12</v>
      </c>
      <c r="G3726" s="0" t="s">
        <v>8</v>
      </c>
      <c r="H3726" s="0">
        <v>67</v>
      </c>
      <c r="I3726" s="0">
        <v>63</v>
      </c>
      <c r="J3726" s="0">
        <v>0</v>
      </c>
      <c r="K3726" s="0">
        <v>1</v>
      </c>
      <c r="L3726" s="0">
        <v>1</v>
      </c>
      <c r="M3726" s="0">
        <v>2</v>
      </c>
      <c r="N3726" s="0">
        <v>0</v>
      </c>
      <c r="O3726" s="0">
        <v>0</v>
      </c>
      <c r="P3726" s="0">
        <v>-63</v>
      </c>
      <c r="R3726" s="0" t="b">
        <v>0</v>
      </c>
      <c r="S3726" s="0" t="b">
        <v>1</v>
      </c>
      <c r="T3726" s="68">
        <v>45986.5439814815</v>
      </c>
      <c r="U3726" s="68">
        <v>45986.2916666667</v>
      </c>
      <c r="V3726" s="68">
        <v>0</v>
      </c>
      <c r="W3726" s="0">
        <f>IF(IF(B3726="none",1,IF(B3726="Trialer",1,0))+IF(C3726="Customer",1,IF(C3726="Lost",1,0))=2,1,0)</f>
      </c>
      <c r="X3726" s="0" t="s">
        <v>1461</v>
      </c>
      <c r="Y3726" s="0" t="s">
        <v>487</v>
      </c>
      <c r="AV3726" s="68"/>
      <c r="AW3726" s="68"/>
      <c r="AY3726" s="27"/>
      <c r="BD3726" s="68">
        <v>46054.1666666667</v>
      </c>
      <c r="BE3726" s="68">
        <v>46082.1666666667</v>
      </c>
      <c r="BF3726" s="0" t="b">
        <v>0</v>
      </c>
      <c r="BG3726" s="0" t="b">
        <v>0</v>
      </c>
      <c r="BH3726" s="0">
        <v>70</v>
      </c>
      <c r="BI3726" s="0">
        <v>70</v>
      </c>
      <c r="BJ3726" s="0" t="s">
        <v>230</v>
      </c>
    </row>
    <row r="3727">
      <c r="A3727" s="0" t="s">
        <v>3983</v>
      </c>
      <c r="B3727" s="0" t="s">
        <v>134</v>
      </c>
      <c r="C3727" s="0" t="s">
        <v>134</v>
      </c>
      <c r="D3727" s="0" t="s">
        <v>135</v>
      </c>
      <c r="E3727" s="0" t="s">
        <v>3</v>
      </c>
      <c r="F3727" s="0" t="s">
        <v>12</v>
      </c>
      <c r="G3727" s="0" t="s">
        <v>8</v>
      </c>
      <c r="H3727" s="0">
        <v>67</v>
      </c>
      <c r="I3727" s="0">
        <v>36.75</v>
      </c>
      <c r="J3727" s="0">
        <v>0</v>
      </c>
      <c r="K3727" s="0">
        <v>1</v>
      </c>
      <c r="L3727" s="0">
        <v>2</v>
      </c>
      <c r="M3727" s="0">
        <v>1</v>
      </c>
      <c r="N3727" s="0">
        <v>0</v>
      </c>
      <c r="O3727" s="0">
        <v>0</v>
      </c>
      <c r="P3727" s="0">
        <v>0</v>
      </c>
      <c r="R3727" s="0" t="b">
        <v>0</v>
      </c>
      <c r="S3727" s="0" t="b">
        <v>1</v>
      </c>
      <c r="T3727" s="68">
        <v>45986.6177199074</v>
      </c>
      <c r="U3727" s="68">
        <v>46001.2916666667</v>
      </c>
      <c r="V3727" s="68">
        <v>0</v>
      </c>
      <c r="W3727" s="0">
        <f>IF(IF(B3727="none",1,IF(B3727="Trialer",1,0))+IF(C3727="Customer",1,IF(C3727="Lost",1,0))=2,1,0)</f>
      </c>
      <c r="X3727" s="0" t="s">
        <v>1461</v>
      </c>
      <c r="Y3727" s="0" t="s">
        <v>243</v>
      </c>
      <c r="AV3727" s="68"/>
      <c r="AW3727" s="68"/>
      <c r="AY3727" s="27"/>
      <c r="BD3727" s="68">
        <v>46054.1666666667</v>
      </c>
      <c r="BE3727" s="68">
        <v>46082.1666666667</v>
      </c>
      <c r="BF3727" s="0" t="b">
        <v>0</v>
      </c>
      <c r="BG3727" s="0" t="b">
        <v>0</v>
      </c>
      <c r="BH3727" s="0">
        <v>49</v>
      </c>
      <c r="BI3727" s="0">
        <v>49</v>
      </c>
      <c r="BJ3727" s="0" t="s">
        <v>135</v>
      </c>
    </row>
    <row r="3728">
      <c r="A3728" s="0" t="s">
        <v>3984</v>
      </c>
      <c r="B3728" s="0" t="s">
        <v>134</v>
      </c>
      <c r="C3728" s="0" t="s">
        <v>134</v>
      </c>
      <c r="D3728" s="0" t="s">
        <v>135</v>
      </c>
      <c r="E3728" s="0" t="s">
        <v>2</v>
      </c>
      <c r="F3728" s="0" t="s">
        <v>12</v>
      </c>
      <c r="G3728" s="0" t="s">
        <v>8</v>
      </c>
      <c r="H3728" s="0">
        <v>67</v>
      </c>
      <c r="I3728" s="0">
        <v>676</v>
      </c>
      <c r="J3728" s="0">
        <v>0</v>
      </c>
      <c r="K3728" s="0">
        <v>1</v>
      </c>
      <c r="L3728" s="0">
        <v>6</v>
      </c>
      <c r="M3728" s="0">
        <v>6</v>
      </c>
      <c r="N3728" s="0">
        <v>837</v>
      </c>
      <c r="O3728" s="0">
        <v>0</v>
      </c>
      <c r="P3728" s="0">
        <v>0</v>
      </c>
      <c r="R3728" s="0" t="b">
        <v>0</v>
      </c>
      <c r="S3728" s="0" t="b">
        <v>1</v>
      </c>
      <c r="T3728" s="68">
        <v>45986.7229398148</v>
      </c>
      <c r="U3728" s="68">
        <v>46001.2916666667</v>
      </c>
      <c r="V3728" s="68">
        <v>0</v>
      </c>
      <c r="W3728" s="0">
        <f>IF(IF(B3728="none",1,IF(B3728="Trialer",1,0))+IF(C3728="Customer",1,IF(C3728="Lost",1,0))=2,1,0)</f>
      </c>
      <c r="X3728" s="0" t="s">
        <v>136</v>
      </c>
      <c r="Y3728" s="0" t="s">
        <v>499</v>
      </c>
      <c r="AV3728" s="68"/>
      <c r="AW3728" s="68"/>
      <c r="AY3728" s="27"/>
      <c r="BD3728" s="68">
        <v>46054.1666666667</v>
      </c>
      <c r="BE3728" s="68">
        <v>46082.1666666667</v>
      </c>
      <c r="BF3728" s="0" t="b">
        <v>0</v>
      </c>
      <c r="BG3728" s="0" t="b">
        <v>0</v>
      </c>
      <c r="BH3728" s="0">
        <v>565</v>
      </c>
      <c r="BI3728" s="0">
        <v>565</v>
      </c>
      <c r="BJ3728" s="0" t="s">
        <v>135</v>
      </c>
    </row>
    <row r="3729">
      <c r="A3729" s="0" t="s">
        <v>3985</v>
      </c>
      <c r="B3729" s="0" t="s">
        <v>134</v>
      </c>
      <c r="C3729" s="0" t="s">
        <v>134</v>
      </c>
      <c r="D3729" s="0" t="s">
        <v>135</v>
      </c>
      <c r="E3729" s="0" t="s">
        <v>3</v>
      </c>
      <c r="F3729" s="0" t="s">
        <v>10</v>
      </c>
      <c r="G3729" s="0" t="s">
        <v>8</v>
      </c>
      <c r="H3729" s="0">
        <v>66</v>
      </c>
      <c r="I3729" s="0">
        <v>61.5</v>
      </c>
      <c r="J3729" s="0">
        <v>0</v>
      </c>
      <c r="K3729" s="0">
        <v>1</v>
      </c>
      <c r="L3729" s="0">
        <v>2</v>
      </c>
      <c r="M3729" s="0">
        <v>2</v>
      </c>
      <c r="N3729" s="0">
        <v>0</v>
      </c>
      <c r="O3729" s="0">
        <v>0</v>
      </c>
      <c r="P3729" s="0">
        <v>0</v>
      </c>
      <c r="Q3729" s="0" t="s">
        <v>618</v>
      </c>
      <c r="R3729" s="0" t="b">
        <v>0</v>
      </c>
      <c r="S3729" s="0" t="b">
        <v>1</v>
      </c>
      <c r="T3729" s="68">
        <v>45987.1352893518</v>
      </c>
      <c r="U3729" s="68">
        <v>45995.2916666667</v>
      </c>
      <c r="V3729" s="68">
        <v>0</v>
      </c>
      <c r="W3729" s="0">
        <f>IF(IF(B3729="none",1,IF(B3729="Trialer",1,0))+IF(C3729="Customer",1,IF(C3729="Lost",1,0))=2,1,0)</f>
      </c>
      <c r="X3729" s="0" t="s">
        <v>148</v>
      </c>
      <c r="Y3729" s="0" t="s">
        <v>243</v>
      </c>
      <c r="AV3729" s="68"/>
      <c r="AW3729" s="68"/>
      <c r="AY3729" s="27"/>
      <c r="BD3729" s="68">
        <v>46054.1666666667</v>
      </c>
      <c r="BE3729" s="68">
        <v>46082.1666666667</v>
      </c>
      <c r="BF3729" s="0" t="b">
        <v>0</v>
      </c>
      <c r="BG3729" s="0" t="b">
        <v>0</v>
      </c>
      <c r="BH3729" s="0">
        <v>82</v>
      </c>
      <c r="BI3729" s="0">
        <v>82</v>
      </c>
      <c r="BJ3729" s="0" t="s">
        <v>135</v>
      </c>
    </row>
    <row r="3730">
      <c r="A3730" s="0" t="s">
        <v>3986</v>
      </c>
      <c r="B3730" s="0" t="s">
        <v>134</v>
      </c>
      <c r="C3730" s="0" t="s">
        <v>134</v>
      </c>
      <c r="D3730" s="0" t="s">
        <v>230</v>
      </c>
      <c r="E3730" s="0" t="s">
        <v>3</v>
      </c>
      <c r="F3730" s="0" t="s">
        <v>12</v>
      </c>
      <c r="G3730" s="0" t="s">
        <v>8</v>
      </c>
      <c r="H3730" s="0">
        <v>66</v>
      </c>
      <c r="I3730" s="0">
        <v>63.1</v>
      </c>
      <c r="J3730" s="0">
        <v>0</v>
      </c>
      <c r="K3730" s="0">
        <v>1</v>
      </c>
      <c r="L3730" s="0">
        <v>4</v>
      </c>
      <c r="M3730" s="0">
        <v>1</v>
      </c>
      <c r="N3730" s="0">
        <v>0</v>
      </c>
      <c r="O3730" s="0">
        <v>0</v>
      </c>
      <c r="P3730" s="0">
        <v>-63.1</v>
      </c>
      <c r="R3730" s="0" t="b">
        <v>0</v>
      </c>
      <c r="S3730" s="0" t="b">
        <v>1</v>
      </c>
      <c r="T3730" s="68">
        <v>45987.5039467593</v>
      </c>
      <c r="U3730" s="68">
        <v>46004.2916666667</v>
      </c>
      <c r="V3730" s="68">
        <v>0</v>
      </c>
      <c r="W3730" s="0">
        <f>IF(IF(B3730="none",1,IF(B3730="Trialer",1,0))+IF(C3730="Customer",1,IF(C3730="Lost",1,0))=2,1,0)</f>
      </c>
      <c r="X3730" s="0" t="s">
        <v>1461</v>
      </c>
      <c r="Y3730" s="0" t="s">
        <v>243</v>
      </c>
      <c r="AV3730" s="68"/>
      <c r="AW3730" s="68"/>
      <c r="AY3730" s="27"/>
      <c r="BD3730" s="68">
        <v>46054.1666666667</v>
      </c>
      <c r="BE3730" s="68">
        <v>46082.1666666667</v>
      </c>
      <c r="BF3730" s="0" t="b">
        <v>0</v>
      </c>
      <c r="BG3730" s="0" t="b">
        <v>0</v>
      </c>
      <c r="BH3730" s="0">
        <v>71</v>
      </c>
      <c r="BI3730" s="0">
        <v>71</v>
      </c>
      <c r="BJ3730" s="0" t="s">
        <v>230</v>
      </c>
    </row>
    <row r="3731">
      <c r="A3731" s="0" t="s">
        <v>3987</v>
      </c>
      <c r="B3731" s="0" t="s">
        <v>134</v>
      </c>
      <c r="C3731" s="0" t="s">
        <v>134</v>
      </c>
      <c r="D3731" s="0" t="s">
        <v>135</v>
      </c>
      <c r="E3731" s="0" t="s">
        <v>3</v>
      </c>
      <c r="F3731" s="0" t="s">
        <v>12</v>
      </c>
      <c r="G3731" s="0" t="s">
        <v>8</v>
      </c>
      <c r="H3731" s="0">
        <v>66</v>
      </c>
      <c r="I3731" s="0">
        <v>44.25</v>
      </c>
      <c r="J3731" s="0">
        <v>0</v>
      </c>
      <c r="K3731" s="0">
        <v>1</v>
      </c>
      <c r="L3731" s="0">
        <v>3</v>
      </c>
      <c r="M3731" s="0">
        <v>1</v>
      </c>
      <c r="N3731" s="0">
        <v>0</v>
      </c>
      <c r="O3731" s="0">
        <v>0</v>
      </c>
      <c r="P3731" s="0">
        <v>0</v>
      </c>
      <c r="R3731" s="0" t="b">
        <v>0</v>
      </c>
      <c r="S3731" s="0" t="b">
        <v>1</v>
      </c>
      <c r="T3731" s="68">
        <v>45987.508587963</v>
      </c>
      <c r="U3731" s="68">
        <v>46020.2916666667</v>
      </c>
      <c r="V3731" s="68">
        <v>0</v>
      </c>
      <c r="W3731" s="0">
        <f>IF(IF(B3731="none",1,IF(B3731="Trialer",1,0))+IF(C3731="Customer",1,IF(C3731="Lost",1,0))=2,1,0)</f>
      </c>
      <c r="X3731" s="0" t="s">
        <v>1461</v>
      </c>
      <c r="Y3731" s="0" t="s">
        <v>243</v>
      </c>
      <c r="AV3731" s="68"/>
      <c r="AW3731" s="68"/>
      <c r="AY3731" s="27"/>
      <c r="BD3731" s="68">
        <v>46054.1666666667</v>
      </c>
      <c r="BE3731" s="68">
        <v>46082.1666666667</v>
      </c>
      <c r="BF3731" s="0" t="b">
        <v>0</v>
      </c>
      <c r="BG3731" s="0" t="b">
        <v>0</v>
      </c>
      <c r="BH3731" s="0">
        <v>44.25</v>
      </c>
      <c r="BI3731" s="0">
        <v>44.25</v>
      </c>
      <c r="BJ3731" s="0" t="s">
        <v>135</v>
      </c>
    </row>
    <row r="3732">
      <c r="A3732" s="0" t="s">
        <v>3988</v>
      </c>
      <c r="B3732" s="0" t="s">
        <v>134</v>
      </c>
      <c r="C3732" s="0" t="s">
        <v>134</v>
      </c>
      <c r="D3732" s="0" t="s">
        <v>135</v>
      </c>
      <c r="E3732" s="0" t="s">
        <v>3</v>
      </c>
      <c r="F3732" s="0" t="s">
        <v>12</v>
      </c>
      <c r="G3732" s="0" t="s">
        <v>8</v>
      </c>
      <c r="H3732" s="0">
        <v>65</v>
      </c>
      <c r="I3732" s="0">
        <v>584.5</v>
      </c>
      <c r="J3732" s="0">
        <v>0</v>
      </c>
      <c r="K3732" s="0">
        <v>1</v>
      </c>
      <c r="L3732" s="0">
        <v>5</v>
      </c>
      <c r="M3732" s="0">
        <v>6</v>
      </c>
      <c r="N3732" s="0">
        <v>418.5</v>
      </c>
      <c r="O3732" s="0">
        <v>0</v>
      </c>
      <c r="P3732" s="0">
        <v>0</v>
      </c>
      <c r="R3732" s="0" t="b">
        <v>0</v>
      </c>
      <c r="S3732" s="0" t="b">
        <v>1</v>
      </c>
      <c r="T3732" s="68">
        <v>45988.2930902778</v>
      </c>
      <c r="U3732" s="68">
        <v>46002.2916666667</v>
      </c>
      <c r="V3732" s="68">
        <v>0</v>
      </c>
      <c r="W3732" s="0">
        <f>IF(IF(B3732="none",1,IF(B3732="Trialer",1,0))+IF(C3732="Customer",1,IF(C3732="Lost",1,0))=2,1,0)</f>
      </c>
      <c r="X3732" s="0" t="s">
        <v>148</v>
      </c>
      <c r="Y3732" s="0" t="s">
        <v>243</v>
      </c>
      <c r="AV3732" s="68"/>
      <c r="AW3732" s="68"/>
      <c r="AY3732" s="27"/>
      <c r="BD3732" s="68">
        <v>46054.1666666667</v>
      </c>
      <c r="BE3732" s="68">
        <v>46082.1666666667</v>
      </c>
      <c r="BF3732" s="0" t="b">
        <v>0</v>
      </c>
      <c r="BG3732" s="0" t="b">
        <v>0</v>
      </c>
      <c r="BH3732" s="0">
        <v>358</v>
      </c>
      <c r="BI3732" s="0">
        <v>358</v>
      </c>
      <c r="BJ3732" s="0" t="s">
        <v>135</v>
      </c>
    </row>
    <row r="3733">
      <c r="A3733" s="0" t="s">
        <v>3989</v>
      </c>
      <c r="B3733" s="0" t="s">
        <v>134</v>
      </c>
      <c r="C3733" s="0" t="s">
        <v>134</v>
      </c>
      <c r="D3733" s="0" t="s">
        <v>230</v>
      </c>
      <c r="E3733" s="0" t="s">
        <v>2</v>
      </c>
      <c r="F3733" s="0" t="s">
        <v>10</v>
      </c>
      <c r="G3733" s="0" t="s">
        <v>8</v>
      </c>
      <c r="H3733" s="0">
        <v>65</v>
      </c>
      <c r="I3733" s="0">
        <v>141.3</v>
      </c>
      <c r="J3733" s="0">
        <v>0</v>
      </c>
      <c r="K3733" s="0">
        <v>1</v>
      </c>
      <c r="L3733" s="0">
        <v>3</v>
      </c>
      <c r="M3733" s="0">
        <v>3</v>
      </c>
      <c r="N3733" s="0">
        <v>0</v>
      </c>
      <c r="O3733" s="0">
        <v>0</v>
      </c>
      <c r="P3733" s="0">
        <v>-141.3</v>
      </c>
      <c r="Q3733" s="0" t="s">
        <v>411</v>
      </c>
      <c r="R3733" s="0" t="b">
        <v>0</v>
      </c>
      <c r="S3733" s="0" t="b">
        <v>1</v>
      </c>
      <c r="T3733" s="68">
        <v>45988.5270717593</v>
      </c>
      <c r="U3733" s="68">
        <v>46002.2916666667</v>
      </c>
      <c r="V3733" s="68">
        <v>0</v>
      </c>
      <c r="W3733" s="0">
        <f>IF(IF(B3733="none",1,IF(B3733="Trialer",1,0))+IF(C3733="Customer",1,IF(C3733="Lost",1,0))=2,1,0)</f>
      </c>
      <c r="X3733" s="0" t="s">
        <v>148</v>
      </c>
      <c r="Y3733" s="0" t="s">
        <v>499</v>
      </c>
      <c r="AV3733" s="68"/>
      <c r="AW3733" s="68"/>
      <c r="AY3733" s="27"/>
      <c r="BD3733" s="68">
        <v>46054.1666666667</v>
      </c>
      <c r="BE3733" s="68">
        <v>46082.1666666667</v>
      </c>
      <c r="BF3733" s="0" t="b">
        <v>0</v>
      </c>
      <c r="BG3733" s="0" t="b">
        <v>0</v>
      </c>
      <c r="BH3733" s="0">
        <v>157</v>
      </c>
      <c r="BI3733" s="0">
        <v>157</v>
      </c>
      <c r="BJ3733" s="0" t="s">
        <v>230</v>
      </c>
    </row>
    <row r="3734">
      <c r="A3734" s="0" t="s">
        <v>3990</v>
      </c>
      <c r="B3734" s="0" t="s">
        <v>134</v>
      </c>
      <c r="C3734" s="0" t="s">
        <v>134</v>
      </c>
      <c r="D3734" s="0" t="s">
        <v>135</v>
      </c>
      <c r="E3734" s="0" t="s">
        <v>3</v>
      </c>
      <c r="F3734" s="0" t="s">
        <v>12</v>
      </c>
      <c r="G3734" s="0" t="s">
        <v>8</v>
      </c>
      <c r="H3734" s="0">
        <v>65</v>
      </c>
      <c r="I3734" s="0">
        <v>352.5</v>
      </c>
      <c r="J3734" s="0">
        <v>0</v>
      </c>
      <c r="K3734" s="0">
        <v>1</v>
      </c>
      <c r="L3734" s="0">
        <v>5</v>
      </c>
      <c r="M3734" s="0">
        <v>6</v>
      </c>
      <c r="N3734" s="0">
        <v>0</v>
      </c>
      <c r="O3734" s="0">
        <v>0</v>
      </c>
      <c r="P3734" s="0">
        <v>0</v>
      </c>
      <c r="R3734" s="0" t="b">
        <v>0</v>
      </c>
      <c r="S3734" s="0" t="b">
        <v>1</v>
      </c>
      <c r="T3734" s="68">
        <v>45988.6570023148</v>
      </c>
      <c r="U3734" s="68">
        <v>46008.2916666667</v>
      </c>
      <c r="V3734" s="68">
        <v>0</v>
      </c>
      <c r="W3734" s="0">
        <f>IF(IF(B3734="none",1,IF(B3734="Trialer",1,0))+IF(C3734="Customer",1,IF(C3734="Lost",1,0))=2,1,0)</f>
      </c>
      <c r="X3734" s="0" t="s">
        <v>136</v>
      </c>
      <c r="Y3734" s="0" t="s">
        <v>243</v>
      </c>
      <c r="AV3734" s="68"/>
      <c r="AW3734" s="68"/>
      <c r="AY3734" s="27"/>
      <c r="BD3734" s="68">
        <v>46054.1666666667</v>
      </c>
      <c r="BE3734" s="68">
        <v>46082.1666666667</v>
      </c>
      <c r="BF3734" s="0" t="b">
        <v>0</v>
      </c>
      <c r="BG3734" s="0" t="b">
        <v>0</v>
      </c>
      <c r="BH3734" s="0">
        <v>470</v>
      </c>
      <c r="BI3734" s="0">
        <v>470</v>
      </c>
      <c r="BJ3734" s="0" t="s">
        <v>135</v>
      </c>
    </row>
    <row r="3735">
      <c r="A3735" s="0" t="s">
        <v>3991</v>
      </c>
      <c r="B3735" s="0" t="s">
        <v>134</v>
      </c>
      <c r="C3735" s="0" t="s">
        <v>134</v>
      </c>
      <c r="D3735" s="0" t="s">
        <v>135</v>
      </c>
      <c r="E3735" s="0" t="s">
        <v>2</v>
      </c>
      <c r="F3735" s="0" t="s">
        <v>12</v>
      </c>
      <c r="G3735" s="0" t="s">
        <v>8</v>
      </c>
      <c r="H3735" s="0">
        <v>65</v>
      </c>
      <c r="I3735" s="0">
        <v>44.25</v>
      </c>
      <c r="J3735" s="0">
        <v>0</v>
      </c>
      <c r="K3735" s="0">
        <v>1</v>
      </c>
      <c r="L3735" s="0">
        <v>3</v>
      </c>
      <c r="M3735" s="0">
        <v>1</v>
      </c>
      <c r="N3735" s="0">
        <v>0</v>
      </c>
      <c r="O3735" s="0">
        <v>0</v>
      </c>
      <c r="P3735" s="0">
        <v>0</v>
      </c>
      <c r="R3735" s="0" t="b">
        <v>0</v>
      </c>
      <c r="S3735" s="0" t="b">
        <v>1</v>
      </c>
      <c r="T3735" s="68">
        <v>45988.8537847222</v>
      </c>
      <c r="U3735" s="68">
        <v>46002.2916666667</v>
      </c>
      <c r="V3735" s="68">
        <v>0</v>
      </c>
      <c r="W3735" s="0">
        <f>IF(IF(B3735="none",1,IF(B3735="Trialer",1,0))+IF(C3735="Customer",1,IF(C3735="Lost",1,0))=2,1,0)</f>
      </c>
      <c r="X3735" s="0" t="s">
        <v>1461</v>
      </c>
      <c r="Y3735" s="0" t="s">
        <v>499</v>
      </c>
      <c r="AV3735" s="68"/>
      <c r="AW3735" s="68"/>
      <c r="AY3735" s="27"/>
      <c r="BD3735" s="68">
        <v>46054.1666666667</v>
      </c>
      <c r="BE3735" s="68">
        <v>46082.1666666667</v>
      </c>
      <c r="BF3735" s="0" t="b">
        <v>0</v>
      </c>
      <c r="BG3735" s="0" t="b">
        <v>0</v>
      </c>
      <c r="BH3735" s="0">
        <v>59</v>
      </c>
      <c r="BI3735" s="0">
        <v>59</v>
      </c>
      <c r="BJ3735" s="0" t="s">
        <v>135</v>
      </c>
    </row>
    <row r="3736">
      <c r="A3736" s="0" t="s">
        <v>3992</v>
      </c>
      <c r="B3736" s="0" t="s">
        <v>134</v>
      </c>
      <c r="C3736" s="0" t="s">
        <v>190</v>
      </c>
      <c r="D3736" s="0" t="s">
        <v>135</v>
      </c>
      <c r="E3736" s="0" t="s">
        <v>3</v>
      </c>
      <c r="F3736" s="0" t="s">
        <v>12</v>
      </c>
      <c r="G3736" s="0" t="s">
        <v>8</v>
      </c>
      <c r="H3736" s="0">
        <v>64</v>
      </c>
      <c r="I3736" s="0">
        <v>0</v>
      </c>
      <c r="J3736" s="0">
        <v>-145.5</v>
      </c>
      <c r="K3736" s="0">
        <v>0</v>
      </c>
      <c r="L3736" s="0">
        <v>0</v>
      </c>
      <c r="M3736" s="0">
        <v>0</v>
      </c>
      <c r="N3736" s="0">
        <v>0</v>
      </c>
      <c r="O3736" s="0">
        <v>0</v>
      </c>
      <c r="P3736" s="0">
        <v>0</v>
      </c>
      <c r="R3736" s="0" t="b">
        <v>0</v>
      </c>
      <c r="S3736" s="0" t="b">
        <v>0</v>
      </c>
      <c r="T3736" s="68">
        <v>45989.0152777778</v>
      </c>
      <c r="U3736" s="68">
        <v>46014.2916666667</v>
      </c>
      <c r="V3736" s="68">
        <v>46065.167974537</v>
      </c>
      <c r="W3736" s="0">
        <f>IF(IF(B3736="none",1,IF(B3736="Trialer",1,0))+IF(C3736="Customer",1,IF(C3736="Lost",1,0))=2,1,0)</f>
      </c>
      <c r="X3736" s="0" t="s">
        <v>1461</v>
      </c>
      <c r="Y3736" s="0" t="s">
        <v>243</v>
      </c>
      <c r="AV3736" s="68"/>
      <c r="AW3736" s="68"/>
      <c r="AY3736" s="27"/>
      <c r="BD3736" s="68">
        <v>46054.1666666667</v>
      </c>
      <c r="BE3736" s="68">
        <v>46082.1666666667</v>
      </c>
      <c r="BF3736" s="0" t="b">
        <v>0</v>
      </c>
      <c r="BG3736" s="0" t="b">
        <v>0</v>
      </c>
      <c r="BH3736" s="0">
        <v>72.75</v>
      </c>
      <c r="BI3736" s="0">
        <v>72.75</v>
      </c>
      <c r="BJ3736" s="0" t="s">
        <v>135</v>
      </c>
    </row>
    <row r="3737">
      <c r="A3737" s="0" t="s">
        <v>3993</v>
      </c>
      <c r="B3737" s="0" t="s">
        <v>134</v>
      </c>
      <c r="C3737" s="0" t="s">
        <v>134</v>
      </c>
      <c r="D3737" s="0" t="s">
        <v>135</v>
      </c>
      <c r="E3737" s="0" t="s">
        <v>3</v>
      </c>
      <c r="F3737" s="0" t="s">
        <v>12</v>
      </c>
      <c r="G3737" s="0" t="s">
        <v>8</v>
      </c>
      <c r="H3737" s="0">
        <v>64</v>
      </c>
      <c r="I3737" s="0">
        <v>88.5</v>
      </c>
      <c r="J3737" s="0">
        <v>0</v>
      </c>
      <c r="K3737" s="0">
        <v>1</v>
      </c>
      <c r="L3737" s="0">
        <v>3</v>
      </c>
      <c r="M3737" s="0">
        <v>2</v>
      </c>
      <c r="N3737" s="0">
        <v>0</v>
      </c>
      <c r="O3737" s="0">
        <v>0</v>
      </c>
      <c r="P3737" s="0">
        <v>0</v>
      </c>
      <c r="R3737" s="0" t="b">
        <v>0</v>
      </c>
      <c r="S3737" s="0" t="b">
        <v>1</v>
      </c>
      <c r="T3737" s="68">
        <v>45989.5562384259</v>
      </c>
      <c r="U3737" s="68">
        <v>46011.2916666667</v>
      </c>
      <c r="V3737" s="68">
        <v>0</v>
      </c>
      <c r="W3737" s="0">
        <f>IF(IF(B3737="none",1,IF(B3737="Trialer",1,0))+IF(C3737="Customer",1,IF(C3737="Lost",1,0))=2,1,0)</f>
      </c>
      <c r="X3737" s="0" t="s">
        <v>145</v>
      </c>
      <c r="Y3737" s="0" t="s">
        <v>243</v>
      </c>
      <c r="AV3737" s="68"/>
      <c r="AW3737" s="68"/>
      <c r="AY3737" s="27"/>
      <c r="BD3737" s="68">
        <v>46054.1666666667</v>
      </c>
      <c r="BE3737" s="68">
        <v>46082.1666666667</v>
      </c>
      <c r="BF3737" s="0" t="b">
        <v>0</v>
      </c>
      <c r="BG3737" s="0" t="b">
        <v>0</v>
      </c>
      <c r="BH3737" s="0">
        <v>118</v>
      </c>
      <c r="BI3737" s="0">
        <v>118</v>
      </c>
      <c r="BJ3737" s="0" t="s">
        <v>135</v>
      </c>
    </row>
    <row r="3738">
      <c r="A3738" s="0" t="s">
        <v>3994</v>
      </c>
      <c r="B3738" s="0" t="s">
        <v>134</v>
      </c>
      <c r="C3738" s="0" t="s">
        <v>134</v>
      </c>
      <c r="D3738" s="0" t="s">
        <v>135</v>
      </c>
      <c r="E3738" s="0" t="s">
        <v>2</v>
      </c>
      <c r="F3738" s="0" t="s">
        <v>12</v>
      </c>
      <c r="G3738" s="0" t="s">
        <v>8</v>
      </c>
      <c r="H3738" s="0">
        <v>64</v>
      </c>
      <c r="I3738" s="0">
        <v>192.75</v>
      </c>
      <c r="J3738" s="0">
        <v>0</v>
      </c>
      <c r="K3738" s="0">
        <v>1</v>
      </c>
      <c r="L3738" s="0">
        <v>3</v>
      </c>
      <c r="M3738" s="0">
        <v>5</v>
      </c>
      <c r="N3738" s="0">
        <v>0</v>
      </c>
      <c r="O3738" s="0">
        <v>0</v>
      </c>
      <c r="P3738" s="0">
        <v>0</v>
      </c>
      <c r="R3738" s="0" t="b">
        <v>0</v>
      </c>
      <c r="S3738" s="0" t="b">
        <v>1</v>
      </c>
      <c r="T3738" s="68">
        <v>45989.827025463</v>
      </c>
      <c r="U3738" s="68">
        <v>45992.2916666667</v>
      </c>
      <c r="V3738" s="68">
        <v>0</v>
      </c>
      <c r="W3738" s="0">
        <f>IF(IF(B3738="none",1,IF(B3738="Trialer",1,0))+IF(C3738="Customer",1,IF(C3738="Lost",1,0))=2,1,0)</f>
      </c>
      <c r="X3738" s="0" t="s">
        <v>145</v>
      </c>
      <c r="Y3738" s="0" t="s">
        <v>499</v>
      </c>
      <c r="AV3738" s="68"/>
      <c r="AW3738" s="68"/>
      <c r="AY3738" s="27"/>
      <c r="BD3738" s="68">
        <v>46054.1666666667</v>
      </c>
      <c r="BE3738" s="68">
        <v>46082.1666666667</v>
      </c>
      <c r="BF3738" s="0" t="b">
        <v>0</v>
      </c>
      <c r="BG3738" s="0" t="b">
        <v>0</v>
      </c>
      <c r="BH3738" s="0">
        <v>257</v>
      </c>
      <c r="BI3738" s="0">
        <v>257</v>
      </c>
      <c r="BJ3738" s="0" t="s">
        <v>135</v>
      </c>
    </row>
    <row r="3739">
      <c r="A3739" s="0" t="s">
        <v>3995</v>
      </c>
      <c r="B3739" s="0" t="s">
        <v>134</v>
      </c>
      <c r="C3739" s="0" t="s">
        <v>190</v>
      </c>
      <c r="D3739" s="0" t="s">
        <v>135</v>
      </c>
      <c r="E3739" s="0" t="s">
        <v>3</v>
      </c>
      <c r="F3739" s="0" t="s">
        <v>12</v>
      </c>
      <c r="G3739" s="0" t="s">
        <v>8</v>
      </c>
      <c r="H3739" s="0">
        <v>61</v>
      </c>
      <c r="I3739" s="0">
        <v>70.5</v>
      </c>
      <c r="J3739" s="0">
        <v>0</v>
      </c>
      <c r="K3739" s="0">
        <v>1</v>
      </c>
      <c r="L3739" s="0">
        <v>3</v>
      </c>
      <c r="M3739" s="0">
        <v>2</v>
      </c>
      <c r="N3739" s="0">
        <v>0</v>
      </c>
      <c r="O3739" s="0">
        <v>0</v>
      </c>
      <c r="P3739" s="0">
        <v>0</v>
      </c>
      <c r="R3739" s="0" t="b">
        <v>0</v>
      </c>
      <c r="S3739" s="0" t="b">
        <v>0</v>
      </c>
      <c r="T3739" s="68">
        <v>45992.3261342593</v>
      </c>
      <c r="U3739" s="68">
        <v>46006.2916666667</v>
      </c>
      <c r="V3739" s="68">
        <v>46077.6131134259</v>
      </c>
      <c r="W3739" s="0">
        <f>IF(IF(B3739="none",1,IF(B3739="Trialer",1,0))+IF(C3739="Customer",1,IF(C3739="Lost",1,0))=2,1,0)</f>
      </c>
      <c r="X3739" s="0" t="s">
        <v>1461</v>
      </c>
      <c r="Y3739" s="0" t="s">
        <v>243</v>
      </c>
      <c r="AV3739" s="68"/>
      <c r="AW3739" s="68"/>
      <c r="AY3739" s="27"/>
      <c r="BD3739" s="68">
        <v>46054.1666666667</v>
      </c>
      <c r="BE3739" s="68">
        <v>46082.1666666667</v>
      </c>
      <c r="BF3739" s="0" t="b">
        <v>0</v>
      </c>
      <c r="BG3739" s="0" t="b">
        <v>0</v>
      </c>
      <c r="BH3739" s="0">
        <v>70.5</v>
      </c>
      <c r="BI3739" s="0">
        <v>70.5</v>
      </c>
      <c r="BJ3739" s="0" t="s">
        <v>135</v>
      </c>
    </row>
    <row r="3740">
      <c r="A3740" s="0" t="s">
        <v>3996</v>
      </c>
      <c r="B3740" s="0" t="s">
        <v>134</v>
      </c>
      <c r="C3740" s="0" t="s">
        <v>134</v>
      </c>
      <c r="D3740" s="0" t="s">
        <v>135</v>
      </c>
      <c r="E3740" s="0" t="s">
        <v>3</v>
      </c>
      <c r="F3740" s="0" t="s">
        <v>12</v>
      </c>
      <c r="G3740" s="0" t="s">
        <v>8</v>
      </c>
      <c r="H3740" s="0">
        <v>61</v>
      </c>
      <c r="I3740" s="0">
        <v>452.5</v>
      </c>
      <c r="J3740" s="0">
        <v>0</v>
      </c>
      <c r="K3740" s="0">
        <v>1</v>
      </c>
      <c r="L3740" s="0">
        <v>5</v>
      </c>
      <c r="M3740" s="0">
        <v>2</v>
      </c>
      <c r="N3740" s="0">
        <v>1395</v>
      </c>
      <c r="O3740" s="0">
        <v>0</v>
      </c>
      <c r="P3740" s="0">
        <v>0</v>
      </c>
      <c r="R3740" s="0" t="b">
        <v>0</v>
      </c>
      <c r="S3740" s="0" t="b">
        <v>1</v>
      </c>
      <c r="T3740" s="68">
        <v>45992.4613425926</v>
      </c>
      <c r="U3740" s="68">
        <v>46006.2916666667</v>
      </c>
      <c r="V3740" s="68">
        <v>0</v>
      </c>
      <c r="W3740" s="0">
        <f>IF(IF(B3740="none",1,IF(B3740="Trialer",1,0))+IF(C3740="Customer",1,IF(C3740="Lost",1,0))=2,1,0)</f>
      </c>
      <c r="X3740" s="0" t="s">
        <v>148</v>
      </c>
      <c r="Y3740" s="0" t="s">
        <v>243</v>
      </c>
      <c r="AV3740" s="68"/>
      <c r="AW3740" s="68"/>
      <c r="AY3740" s="27"/>
      <c r="BD3740" s="68">
        <v>46054.1666666667</v>
      </c>
      <c r="BE3740" s="68">
        <v>46082.1666666667</v>
      </c>
      <c r="BF3740" s="0" t="b">
        <v>0</v>
      </c>
      <c r="BG3740" s="0" t="b">
        <v>0</v>
      </c>
      <c r="BH3740" s="0">
        <v>255</v>
      </c>
      <c r="BI3740" s="0">
        <v>255</v>
      </c>
      <c r="BJ3740" s="0" t="s">
        <v>135</v>
      </c>
    </row>
    <row r="3741">
      <c r="A3741" s="0" t="s">
        <v>3997</v>
      </c>
      <c r="B3741" s="0" t="s">
        <v>134</v>
      </c>
      <c r="C3741" s="0" t="s">
        <v>134</v>
      </c>
      <c r="D3741" s="0" t="s">
        <v>135</v>
      </c>
      <c r="E3741" s="0" t="s">
        <v>3</v>
      </c>
      <c r="F3741" s="0" t="s">
        <v>12</v>
      </c>
      <c r="G3741" s="0" t="s">
        <v>8</v>
      </c>
      <c r="H3741" s="0">
        <v>61</v>
      </c>
      <c r="I3741" s="0">
        <v>151</v>
      </c>
      <c r="J3741" s="0">
        <v>0</v>
      </c>
      <c r="K3741" s="0">
        <v>1</v>
      </c>
      <c r="L3741" s="0">
        <v>4</v>
      </c>
      <c r="M3741" s="0">
        <v>4</v>
      </c>
      <c r="N3741" s="0">
        <v>0</v>
      </c>
      <c r="O3741" s="0">
        <v>0</v>
      </c>
      <c r="P3741" s="0">
        <v>0</v>
      </c>
      <c r="R3741" s="0" t="b">
        <v>0</v>
      </c>
      <c r="S3741" s="0" t="b">
        <v>1</v>
      </c>
      <c r="T3741" s="68">
        <v>45992.4769791667</v>
      </c>
      <c r="U3741" s="68">
        <v>46006.2916666667</v>
      </c>
      <c r="V3741" s="68">
        <v>0</v>
      </c>
      <c r="W3741" s="0">
        <f>IF(IF(B3741="none",1,IF(B3741="Trialer",1,0))+IF(C3741="Customer",1,IF(C3741="Lost",1,0))=2,1,0)</f>
      </c>
      <c r="X3741" s="0" t="s">
        <v>148</v>
      </c>
      <c r="Y3741" s="0" t="s">
        <v>243</v>
      </c>
      <c r="AV3741" s="68"/>
      <c r="AW3741" s="68"/>
      <c r="AY3741" s="27"/>
      <c r="BD3741" s="68">
        <v>46054.1666666667</v>
      </c>
      <c r="BE3741" s="68">
        <v>46082.1666666667</v>
      </c>
      <c r="BF3741" s="0" t="b">
        <v>0</v>
      </c>
      <c r="BG3741" s="0" t="b">
        <v>0</v>
      </c>
      <c r="BH3741" s="0">
        <v>207</v>
      </c>
      <c r="BI3741" s="0">
        <v>207</v>
      </c>
      <c r="BJ3741" s="0" t="s">
        <v>135</v>
      </c>
    </row>
    <row r="3742">
      <c r="A3742" s="0" t="s">
        <v>3998</v>
      </c>
      <c r="B3742" s="0" t="s">
        <v>134</v>
      </c>
      <c r="C3742" s="0" t="s">
        <v>134</v>
      </c>
      <c r="D3742" s="0" t="s">
        <v>135</v>
      </c>
      <c r="E3742" s="0" t="s">
        <v>3</v>
      </c>
      <c r="F3742" s="0" t="s">
        <v>12</v>
      </c>
      <c r="G3742" s="0" t="s">
        <v>8</v>
      </c>
      <c r="H3742" s="0">
        <v>61</v>
      </c>
      <c r="I3742" s="0">
        <v>186</v>
      </c>
      <c r="J3742" s="0">
        <v>0</v>
      </c>
      <c r="K3742" s="0">
        <v>1</v>
      </c>
      <c r="L3742" s="0">
        <v>4</v>
      </c>
      <c r="M3742" s="0">
        <v>4</v>
      </c>
      <c r="N3742" s="0">
        <v>0</v>
      </c>
      <c r="O3742" s="0">
        <v>0</v>
      </c>
      <c r="P3742" s="0">
        <v>0</v>
      </c>
      <c r="R3742" s="0" t="b">
        <v>0</v>
      </c>
      <c r="S3742" s="0" t="b">
        <v>1</v>
      </c>
      <c r="T3742" s="68">
        <v>45992.5179166667</v>
      </c>
      <c r="U3742" s="68">
        <v>46007.2916666667</v>
      </c>
      <c r="V3742" s="68">
        <v>0</v>
      </c>
      <c r="W3742" s="0">
        <f>IF(IF(B3742="none",1,IF(B3742="Trialer",1,0))+IF(C3742="Customer",1,IF(C3742="Lost",1,0))=2,1,0)</f>
      </c>
      <c r="X3742" s="0" t="s">
        <v>136</v>
      </c>
      <c r="Y3742" s="0" t="s">
        <v>243</v>
      </c>
      <c r="AV3742" s="68"/>
      <c r="AW3742" s="68"/>
      <c r="AY3742" s="27"/>
      <c r="BD3742" s="68">
        <v>46054.1666666667</v>
      </c>
      <c r="BE3742" s="68">
        <v>46082.1666666667</v>
      </c>
      <c r="BF3742" s="0" t="b">
        <v>0</v>
      </c>
      <c r="BG3742" s="0" t="b">
        <v>0</v>
      </c>
      <c r="BH3742" s="0">
        <v>248</v>
      </c>
      <c r="BI3742" s="0">
        <v>248</v>
      </c>
      <c r="BJ3742" s="0" t="s">
        <v>135</v>
      </c>
    </row>
    <row r="3743">
      <c r="A3743" s="0" t="s">
        <v>3999</v>
      </c>
      <c r="B3743" s="0" t="s">
        <v>134</v>
      </c>
      <c r="C3743" s="0" t="s">
        <v>134</v>
      </c>
      <c r="D3743" s="0" t="s">
        <v>135</v>
      </c>
      <c r="E3743" s="0" t="s">
        <v>3</v>
      </c>
      <c r="F3743" s="0" t="s">
        <v>12</v>
      </c>
      <c r="G3743" s="0" t="s">
        <v>8</v>
      </c>
      <c r="H3743" s="0">
        <v>61</v>
      </c>
      <c r="I3743" s="0">
        <v>59</v>
      </c>
      <c r="J3743" s="0">
        <v>0</v>
      </c>
      <c r="K3743" s="0">
        <v>1</v>
      </c>
      <c r="L3743" s="0">
        <v>3</v>
      </c>
      <c r="M3743" s="0">
        <v>1</v>
      </c>
      <c r="N3743" s="0">
        <v>0</v>
      </c>
      <c r="O3743" s="0">
        <v>0</v>
      </c>
      <c r="P3743" s="0">
        <v>0</v>
      </c>
      <c r="R3743" s="0" t="b">
        <v>0</v>
      </c>
      <c r="S3743" s="0" t="b">
        <v>1</v>
      </c>
      <c r="T3743" s="68">
        <v>45992.5840856481</v>
      </c>
      <c r="U3743" s="68">
        <v>46006.2916666667</v>
      </c>
      <c r="V3743" s="68">
        <v>0</v>
      </c>
      <c r="W3743" s="0">
        <f>IF(IF(B3743="none",1,IF(B3743="Trialer",1,0))+IF(C3743="Customer",1,IF(C3743="Lost",1,0))=2,1,0)</f>
      </c>
      <c r="X3743" s="0" t="s">
        <v>1461</v>
      </c>
      <c r="Y3743" s="0" t="s">
        <v>243</v>
      </c>
      <c r="AV3743" s="68"/>
      <c r="AW3743" s="68"/>
      <c r="AY3743" s="27"/>
      <c r="BD3743" s="68">
        <v>46054.1666666667</v>
      </c>
      <c r="BE3743" s="68">
        <v>46082.1666666667</v>
      </c>
      <c r="BF3743" s="0" t="b">
        <v>0</v>
      </c>
      <c r="BG3743" s="0" t="b">
        <v>0</v>
      </c>
      <c r="BH3743" s="0">
        <v>59</v>
      </c>
      <c r="BI3743" s="0">
        <v>59</v>
      </c>
      <c r="BJ3743" s="0" t="s">
        <v>135</v>
      </c>
    </row>
    <row r="3744">
      <c r="A3744" s="0" t="s">
        <v>4000</v>
      </c>
      <c r="B3744" s="0" t="s">
        <v>134</v>
      </c>
      <c r="C3744" s="0" t="s">
        <v>134</v>
      </c>
      <c r="D3744" s="0" t="s">
        <v>135</v>
      </c>
      <c r="E3744" s="0" t="s">
        <v>3</v>
      </c>
      <c r="F3744" s="0" t="s">
        <v>12</v>
      </c>
      <c r="G3744" s="0" t="s">
        <v>8</v>
      </c>
      <c r="H3744" s="0">
        <v>61</v>
      </c>
      <c r="I3744" s="0">
        <v>70.5</v>
      </c>
      <c r="J3744" s="0">
        <v>0</v>
      </c>
      <c r="K3744" s="0">
        <v>1</v>
      </c>
      <c r="L3744" s="0">
        <v>3</v>
      </c>
      <c r="M3744" s="0">
        <v>2</v>
      </c>
      <c r="N3744" s="0">
        <v>0</v>
      </c>
      <c r="O3744" s="0">
        <v>0</v>
      </c>
      <c r="P3744" s="0">
        <v>0</v>
      </c>
      <c r="R3744" s="0" t="b">
        <v>0</v>
      </c>
      <c r="S3744" s="0" t="b">
        <v>1</v>
      </c>
      <c r="T3744" s="68">
        <v>45992.6874768519</v>
      </c>
      <c r="U3744" s="68">
        <v>46007.2916666667</v>
      </c>
      <c r="V3744" s="68">
        <v>0</v>
      </c>
      <c r="W3744" s="0">
        <f>IF(IF(B3744="none",1,IF(B3744="Trialer",1,0))+IF(C3744="Customer",1,IF(C3744="Lost",1,0))=2,1,0)</f>
      </c>
      <c r="X3744" s="0" t="s">
        <v>1461</v>
      </c>
      <c r="Y3744" s="0" t="s">
        <v>243</v>
      </c>
      <c r="AV3744" s="68"/>
      <c r="AW3744" s="68"/>
      <c r="AY3744" s="27"/>
      <c r="BD3744" s="68">
        <v>46054.1666666667</v>
      </c>
      <c r="BE3744" s="68">
        <v>46082.1666666667</v>
      </c>
      <c r="BF3744" s="0" t="b">
        <v>0</v>
      </c>
      <c r="BG3744" s="0" t="b">
        <v>0</v>
      </c>
      <c r="BH3744" s="0">
        <v>70</v>
      </c>
      <c r="BI3744" s="0">
        <v>94</v>
      </c>
      <c r="BJ3744" s="0" t="s">
        <v>135</v>
      </c>
    </row>
    <row r="3745">
      <c r="A3745" s="0" t="s">
        <v>4001</v>
      </c>
      <c r="B3745" s="0" t="s">
        <v>134</v>
      </c>
      <c r="C3745" s="0" t="s">
        <v>134</v>
      </c>
      <c r="D3745" s="0" t="s">
        <v>230</v>
      </c>
      <c r="E3745" s="0" t="s">
        <v>3</v>
      </c>
      <c r="F3745" s="0" t="s">
        <v>12</v>
      </c>
      <c r="G3745" s="0" t="s">
        <v>8</v>
      </c>
      <c r="H3745" s="0">
        <v>60</v>
      </c>
      <c r="I3745" s="0">
        <v>53.1</v>
      </c>
      <c r="J3745" s="0">
        <v>0</v>
      </c>
      <c r="K3745" s="0">
        <v>1</v>
      </c>
      <c r="L3745" s="0">
        <v>3</v>
      </c>
      <c r="M3745" s="0">
        <v>1</v>
      </c>
      <c r="N3745" s="0">
        <v>0</v>
      </c>
      <c r="O3745" s="0">
        <v>0</v>
      </c>
      <c r="P3745" s="0">
        <v>-53.1</v>
      </c>
      <c r="R3745" s="0" t="b">
        <v>0</v>
      </c>
      <c r="S3745" s="0" t="b">
        <v>1</v>
      </c>
      <c r="T3745" s="68">
        <v>45992.9724768518</v>
      </c>
      <c r="U3745" s="68">
        <v>46006.2916666667</v>
      </c>
      <c r="V3745" s="68">
        <v>0</v>
      </c>
      <c r="W3745" s="0">
        <f>IF(IF(B3745="none",1,IF(B3745="Trialer",1,0))+IF(C3745="Customer",1,IF(C3745="Lost",1,0))=2,1,0)</f>
      </c>
      <c r="X3745" s="0" t="s">
        <v>1461</v>
      </c>
      <c r="Y3745" s="0" t="s">
        <v>243</v>
      </c>
      <c r="AV3745" s="68"/>
      <c r="AW3745" s="68"/>
      <c r="AY3745" s="27"/>
      <c r="BD3745" s="68">
        <v>46054.1666666667</v>
      </c>
      <c r="BE3745" s="68">
        <v>46082.1666666667</v>
      </c>
      <c r="BF3745" s="0" t="b">
        <v>0</v>
      </c>
      <c r="BG3745" s="0" t="b">
        <v>0</v>
      </c>
      <c r="BH3745" s="0">
        <v>59</v>
      </c>
      <c r="BI3745" s="0">
        <v>59</v>
      </c>
      <c r="BJ3745" s="0" t="s">
        <v>230</v>
      </c>
    </row>
    <row r="3746">
      <c r="A3746" s="0" t="s">
        <v>4002</v>
      </c>
      <c r="B3746" s="0" t="s">
        <v>134</v>
      </c>
      <c r="C3746" s="0" t="s">
        <v>134</v>
      </c>
      <c r="D3746" s="0" t="s">
        <v>135</v>
      </c>
      <c r="E3746" s="0" t="s">
        <v>2</v>
      </c>
      <c r="F3746" s="0" t="s">
        <v>12</v>
      </c>
      <c r="G3746" s="0" t="s">
        <v>8</v>
      </c>
      <c r="H3746" s="0">
        <v>60</v>
      </c>
      <c r="I3746" s="0">
        <v>318.75</v>
      </c>
      <c r="J3746" s="0">
        <v>0</v>
      </c>
      <c r="K3746" s="0">
        <v>1</v>
      </c>
      <c r="L3746" s="0">
        <v>5</v>
      </c>
      <c r="M3746" s="0">
        <v>5</v>
      </c>
      <c r="N3746" s="0">
        <v>0</v>
      </c>
      <c r="O3746" s="0">
        <v>0</v>
      </c>
      <c r="P3746" s="0">
        <v>0</v>
      </c>
      <c r="R3746" s="0" t="b">
        <v>0</v>
      </c>
      <c r="S3746" s="0" t="b">
        <v>1</v>
      </c>
      <c r="T3746" s="68">
        <v>45993.4688888889</v>
      </c>
      <c r="U3746" s="68">
        <v>46010.2916666667</v>
      </c>
      <c r="V3746" s="68">
        <v>0</v>
      </c>
      <c r="W3746" s="0">
        <f>IF(IF(B3746="none",1,IF(B3746="Trialer",1,0))+IF(C3746="Customer",1,IF(C3746="Lost",1,0))=2,1,0)</f>
      </c>
      <c r="X3746" s="0" t="s">
        <v>145</v>
      </c>
      <c r="Y3746" s="0" t="s">
        <v>499</v>
      </c>
      <c r="AV3746" s="68"/>
      <c r="AW3746" s="68"/>
      <c r="AY3746" s="27"/>
      <c r="BD3746" s="68">
        <v>46054.1666666667</v>
      </c>
      <c r="BE3746" s="68">
        <v>46082.1666666667</v>
      </c>
      <c r="BF3746" s="0" t="b">
        <v>0</v>
      </c>
      <c r="BG3746" s="0" t="b">
        <v>0</v>
      </c>
      <c r="BH3746" s="0">
        <v>425</v>
      </c>
      <c r="BI3746" s="0">
        <v>425</v>
      </c>
      <c r="BJ3746" s="0" t="s">
        <v>135</v>
      </c>
    </row>
    <row r="3747">
      <c r="A3747" s="0" t="s">
        <v>4003</v>
      </c>
      <c r="B3747" s="0" t="s">
        <v>134</v>
      </c>
      <c r="C3747" s="0" t="s">
        <v>134</v>
      </c>
      <c r="D3747" s="0" t="s">
        <v>135</v>
      </c>
      <c r="E3747" s="0" t="s">
        <v>3</v>
      </c>
      <c r="F3747" s="0" t="s">
        <v>12</v>
      </c>
      <c r="G3747" s="0" t="s">
        <v>8</v>
      </c>
      <c r="H3747" s="0">
        <v>60</v>
      </c>
      <c r="I3747" s="0">
        <v>114.75</v>
      </c>
      <c r="J3747" s="0">
        <v>0</v>
      </c>
      <c r="K3747" s="0">
        <v>1</v>
      </c>
      <c r="L3747" s="0">
        <v>3</v>
      </c>
      <c r="M3747" s="0">
        <v>3</v>
      </c>
      <c r="N3747" s="0">
        <v>0</v>
      </c>
      <c r="O3747" s="0">
        <v>0</v>
      </c>
      <c r="P3747" s="0">
        <v>0</v>
      </c>
      <c r="R3747" s="0" t="b">
        <v>0</v>
      </c>
      <c r="S3747" s="0" t="b">
        <v>1</v>
      </c>
      <c r="T3747" s="68">
        <v>45993.5280902778</v>
      </c>
      <c r="U3747" s="68">
        <v>46027.2916666667</v>
      </c>
      <c r="V3747" s="68">
        <v>0</v>
      </c>
      <c r="W3747" s="0">
        <f>IF(IF(B3747="none",1,IF(B3747="Trialer",1,0))+IF(C3747="Customer",1,IF(C3747="Lost",1,0))=2,1,0)</f>
      </c>
      <c r="X3747" s="0" t="s">
        <v>1461</v>
      </c>
      <c r="Y3747" s="0" t="s">
        <v>243</v>
      </c>
      <c r="AV3747" s="68"/>
      <c r="AW3747" s="68"/>
      <c r="AY3747" s="27"/>
      <c r="BD3747" s="68">
        <v>46054.1666666667</v>
      </c>
      <c r="BE3747" s="68">
        <v>46082.1666666667</v>
      </c>
      <c r="BF3747" s="0" t="b">
        <v>0</v>
      </c>
      <c r="BG3747" s="0" t="b">
        <v>0</v>
      </c>
      <c r="BH3747" s="0">
        <v>114.75</v>
      </c>
      <c r="BI3747" s="0">
        <v>114.75</v>
      </c>
      <c r="BJ3747" s="0" t="s">
        <v>135</v>
      </c>
    </row>
    <row r="3748">
      <c r="A3748" s="0" t="s">
        <v>4004</v>
      </c>
      <c r="B3748" s="0" t="s">
        <v>134</v>
      </c>
      <c r="C3748" s="0" t="s">
        <v>134</v>
      </c>
      <c r="D3748" s="0" t="s">
        <v>230</v>
      </c>
      <c r="E3748" s="0" t="s">
        <v>3</v>
      </c>
      <c r="F3748" s="0" t="s">
        <v>12</v>
      </c>
      <c r="G3748" s="0" t="s">
        <v>8</v>
      </c>
      <c r="H3748" s="0">
        <v>60</v>
      </c>
      <c r="I3748" s="0">
        <v>108.9</v>
      </c>
      <c r="J3748" s="0">
        <v>0</v>
      </c>
      <c r="K3748" s="0">
        <v>1</v>
      </c>
      <c r="L3748" s="0">
        <v>5</v>
      </c>
      <c r="M3748" s="0">
        <v>2</v>
      </c>
      <c r="N3748" s="0">
        <v>0</v>
      </c>
      <c r="O3748" s="0">
        <v>0</v>
      </c>
      <c r="P3748" s="0">
        <v>-108.9</v>
      </c>
      <c r="R3748" s="0" t="b">
        <v>0</v>
      </c>
      <c r="S3748" s="0" t="b">
        <v>1</v>
      </c>
      <c r="T3748" s="68">
        <v>45993.5375</v>
      </c>
      <c r="U3748" s="68">
        <v>45994.2916666667</v>
      </c>
      <c r="V3748" s="68">
        <v>0</v>
      </c>
      <c r="W3748" s="0">
        <f>IF(IF(B3748="none",1,IF(B3748="Trialer",1,0))+IF(C3748="Customer",1,IF(C3748="Lost",1,0))=2,1,0)</f>
      </c>
      <c r="X3748" s="0" t="s">
        <v>1461</v>
      </c>
      <c r="Y3748" s="0" t="s">
        <v>243</v>
      </c>
      <c r="AV3748" s="68"/>
      <c r="AW3748" s="68"/>
      <c r="AY3748" s="27"/>
      <c r="BD3748" s="68">
        <v>46054.1666666667</v>
      </c>
      <c r="BE3748" s="68">
        <v>46082.1666666667</v>
      </c>
      <c r="BF3748" s="0" t="b">
        <v>0</v>
      </c>
      <c r="BG3748" s="0" t="b">
        <v>0</v>
      </c>
      <c r="BH3748" s="0">
        <v>170</v>
      </c>
      <c r="BI3748" s="0">
        <v>170</v>
      </c>
      <c r="BJ3748" s="0" t="s">
        <v>230</v>
      </c>
    </row>
    <row r="3749">
      <c r="A3749" s="0" t="s">
        <v>4005</v>
      </c>
      <c r="B3749" s="0" t="s">
        <v>134</v>
      </c>
      <c r="C3749" s="0" t="s">
        <v>134</v>
      </c>
      <c r="D3749" s="0" t="s">
        <v>135</v>
      </c>
      <c r="E3749" s="0" t="s">
        <v>3</v>
      </c>
      <c r="F3749" s="0" t="s">
        <v>12</v>
      </c>
      <c r="G3749" s="0" t="s">
        <v>8</v>
      </c>
      <c r="H3749" s="0">
        <v>60</v>
      </c>
      <c r="I3749" s="0">
        <v>709</v>
      </c>
      <c r="J3749" s="0">
        <v>0</v>
      </c>
      <c r="K3749" s="0">
        <v>1</v>
      </c>
      <c r="L3749" s="0">
        <v>6</v>
      </c>
      <c r="M3749" s="0">
        <v>8</v>
      </c>
      <c r="N3749" s="0">
        <v>0</v>
      </c>
      <c r="O3749" s="0">
        <v>0</v>
      </c>
      <c r="P3749" s="0">
        <v>0</v>
      </c>
      <c r="R3749" s="0" t="b">
        <v>0</v>
      </c>
      <c r="S3749" s="0" t="b">
        <v>1</v>
      </c>
      <c r="T3749" s="68">
        <v>45993.618125</v>
      </c>
      <c r="U3749" s="68">
        <v>45995.2916666667</v>
      </c>
      <c r="V3749" s="68">
        <v>0</v>
      </c>
      <c r="W3749" s="0">
        <f>IF(IF(B3749="none",1,IF(B3749="Trialer",1,0))+IF(C3749="Customer",1,IF(C3749="Lost",1,0))=2,1,0)</f>
      </c>
      <c r="X3749" s="0" t="s">
        <v>1461</v>
      </c>
      <c r="Y3749" s="0" t="s">
        <v>243</v>
      </c>
      <c r="AV3749" s="68"/>
      <c r="AW3749" s="68"/>
      <c r="AY3749" s="27"/>
      <c r="BD3749" s="68">
        <v>46054.1666666667</v>
      </c>
      <c r="BE3749" s="68">
        <v>46082.1666666667</v>
      </c>
      <c r="BF3749" s="0" t="b">
        <v>0</v>
      </c>
      <c r="BG3749" s="0" t="b">
        <v>0</v>
      </c>
      <c r="BH3749" s="0">
        <v>502</v>
      </c>
      <c r="BI3749" s="0">
        <v>502</v>
      </c>
      <c r="BJ3749" s="0" t="s">
        <v>135</v>
      </c>
    </row>
    <row r="3750">
      <c r="A3750" s="0" t="s">
        <v>4006</v>
      </c>
      <c r="B3750" s="0" t="s">
        <v>134</v>
      </c>
      <c r="C3750" s="0" t="s">
        <v>134</v>
      </c>
      <c r="D3750" s="0" t="s">
        <v>135</v>
      </c>
      <c r="E3750" s="0" t="s">
        <v>2</v>
      </c>
      <c r="F3750" s="0" t="s">
        <v>12</v>
      </c>
      <c r="G3750" s="0" t="s">
        <v>8</v>
      </c>
      <c r="H3750" s="0">
        <v>60</v>
      </c>
      <c r="I3750" s="0">
        <v>132.75</v>
      </c>
      <c r="J3750" s="0">
        <v>0</v>
      </c>
      <c r="K3750" s="0">
        <v>1</v>
      </c>
      <c r="L3750" s="0">
        <v>3</v>
      </c>
      <c r="M3750" s="0">
        <v>3</v>
      </c>
      <c r="N3750" s="0">
        <v>0</v>
      </c>
      <c r="O3750" s="0">
        <v>0</v>
      </c>
      <c r="P3750" s="0">
        <v>0</v>
      </c>
      <c r="R3750" s="0" t="b">
        <v>0</v>
      </c>
      <c r="S3750" s="0" t="b">
        <v>1</v>
      </c>
      <c r="T3750" s="68">
        <v>45993.691412037</v>
      </c>
      <c r="U3750" s="68">
        <v>46031.2916666667</v>
      </c>
      <c r="V3750" s="68">
        <v>0</v>
      </c>
      <c r="W3750" s="0">
        <f>IF(IF(B3750="none",1,IF(B3750="Trialer",1,0))+IF(C3750="Customer",1,IF(C3750="Lost",1,0))=2,1,0)</f>
      </c>
      <c r="X3750" s="0" t="s">
        <v>1461</v>
      </c>
      <c r="Y3750" s="0" t="s">
        <v>499</v>
      </c>
      <c r="AV3750" s="68"/>
      <c r="AW3750" s="68"/>
      <c r="AY3750" s="27"/>
      <c r="BD3750" s="68">
        <v>46054.1666666667</v>
      </c>
      <c r="BE3750" s="68">
        <v>46082.1666666667</v>
      </c>
      <c r="BF3750" s="0" t="b">
        <v>0</v>
      </c>
      <c r="BG3750" s="0" t="b">
        <v>0</v>
      </c>
      <c r="BH3750" s="0">
        <v>132.75</v>
      </c>
      <c r="BI3750" s="0">
        <v>132.75</v>
      </c>
      <c r="BJ3750" s="0" t="s">
        <v>135</v>
      </c>
    </row>
    <row r="3751">
      <c r="A3751" s="0" t="s">
        <v>4007</v>
      </c>
      <c r="B3751" s="0" t="s">
        <v>134</v>
      </c>
      <c r="C3751" s="0" t="s">
        <v>134</v>
      </c>
      <c r="D3751" s="0" t="s">
        <v>135</v>
      </c>
      <c r="E3751" s="0" t="s">
        <v>3</v>
      </c>
      <c r="F3751" s="0" t="s">
        <v>12</v>
      </c>
      <c r="G3751" s="0" t="s">
        <v>8</v>
      </c>
      <c r="H3751" s="0">
        <v>60</v>
      </c>
      <c r="I3751" s="0">
        <v>44.25</v>
      </c>
      <c r="J3751" s="0">
        <v>0</v>
      </c>
      <c r="K3751" s="0">
        <v>1</v>
      </c>
      <c r="L3751" s="0">
        <v>3</v>
      </c>
      <c r="M3751" s="0">
        <v>1</v>
      </c>
      <c r="N3751" s="0">
        <v>0</v>
      </c>
      <c r="O3751" s="0">
        <v>0</v>
      </c>
      <c r="P3751" s="0">
        <v>0</v>
      </c>
      <c r="R3751" s="0" t="b">
        <v>0</v>
      </c>
      <c r="S3751" s="0" t="b">
        <v>1</v>
      </c>
      <c r="T3751" s="68">
        <v>45993.735474537</v>
      </c>
      <c r="U3751" s="68">
        <v>45995.2916666667</v>
      </c>
      <c r="V3751" s="68">
        <v>0</v>
      </c>
      <c r="W3751" s="0">
        <f>IF(IF(B3751="none",1,IF(B3751="Trialer",1,0))+IF(C3751="Customer",1,IF(C3751="Lost",1,0))=2,1,0)</f>
      </c>
      <c r="X3751" s="0" t="s">
        <v>1461</v>
      </c>
      <c r="Y3751" s="0" t="s">
        <v>243</v>
      </c>
      <c r="AV3751" s="68"/>
      <c r="AW3751" s="68"/>
      <c r="AY3751" s="27"/>
      <c r="BD3751" s="68">
        <v>46054.1666666667</v>
      </c>
      <c r="BE3751" s="68">
        <v>46082.1666666667</v>
      </c>
      <c r="BF3751" s="0" t="b">
        <v>0</v>
      </c>
      <c r="BG3751" s="0" t="b">
        <v>0</v>
      </c>
      <c r="BH3751" s="0">
        <v>59</v>
      </c>
      <c r="BI3751" s="0">
        <v>59</v>
      </c>
      <c r="BJ3751" s="0" t="s">
        <v>135</v>
      </c>
    </row>
    <row r="3752">
      <c r="A3752" s="0" t="s">
        <v>4008</v>
      </c>
      <c r="B3752" s="0" t="s">
        <v>134</v>
      </c>
      <c r="C3752" s="0" t="s">
        <v>134</v>
      </c>
      <c r="D3752" s="0" t="s">
        <v>135</v>
      </c>
      <c r="E3752" s="0" t="s">
        <v>3</v>
      </c>
      <c r="F3752" s="0" t="s">
        <v>12</v>
      </c>
      <c r="G3752" s="0" t="s">
        <v>8</v>
      </c>
      <c r="H3752" s="0">
        <v>59</v>
      </c>
      <c r="I3752" s="0">
        <v>132.75</v>
      </c>
      <c r="J3752" s="0">
        <v>0</v>
      </c>
      <c r="K3752" s="0">
        <v>1</v>
      </c>
      <c r="L3752" s="0">
        <v>3</v>
      </c>
      <c r="M3752" s="0">
        <v>3</v>
      </c>
      <c r="N3752" s="0">
        <v>0</v>
      </c>
      <c r="O3752" s="0">
        <v>0</v>
      </c>
      <c r="P3752" s="0">
        <v>0</v>
      </c>
      <c r="R3752" s="0" t="b">
        <v>0</v>
      </c>
      <c r="S3752" s="0" t="b">
        <v>1</v>
      </c>
      <c r="T3752" s="68">
        <v>45994.3107175926</v>
      </c>
      <c r="U3752" s="68">
        <v>46001.2916666667</v>
      </c>
      <c r="V3752" s="68">
        <v>0</v>
      </c>
      <c r="W3752" s="0">
        <f>IF(IF(B3752="none",1,IF(B3752="Trialer",1,0))+IF(C3752="Customer",1,IF(C3752="Lost",1,0))=2,1,0)</f>
      </c>
      <c r="X3752" s="0" t="s">
        <v>1461</v>
      </c>
      <c r="Y3752" s="0" t="s">
        <v>243</v>
      </c>
      <c r="AV3752" s="68"/>
      <c r="AW3752" s="68"/>
      <c r="AY3752" s="27"/>
      <c r="BD3752" s="68">
        <v>46054.1666666667</v>
      </c>
      <c r="BE3752" s="68">
        <v>46082.1666666667</v>
      </c>
      <c r="BF3752" s="0" t="b">
        <v>0</v>
      </c>
      <c r="BG3752" s="0" t="b">
        <v>0</v>
      </c>
      <c r="BH3752" s="0">
        <v>177</v>
      </c>
      <c r="BI3752" s="0">
        <v>177</v>
      </c>
      <c r="BJ3752" s="0" t="s">
        <v>135</v>
      </c>
    </row>
    <row r="3753">
      <c r="A3753" s="0" t="s">
        <v>4009</v>
      </c>
      <c r="B3753" s="0" t="s">
        <v>134</v>
      </c>
      <c r="C3753" s="0" t="s">
        <v>134</v>
      </c>
      <c r="D3753" s="0" t="s">
        <v>135</v>
      </c>
      <c r="E3753" s="0" t="s">
        <v>3</v>
      </c>
      <c r="F3753" s="0" t="s">
        <v>12</v>
      </c>
      <c r="G3753" s="0" t="s">
        <v>8</v>
      </c>
      <c r="H3753" s="0">
        <v>59</v>
      </c>
      <c r="I3753" s="0">
        <v>63.75</v>
      </c>
      <c r="J3753" s="0">
        <v>0</v>
      </c>
      <c r="K3753" s="0">
        <v>1</v>
      </c>
      <c r="L3753" s="0">
        <v>5</v>
      </c>
      <c r="M3753" s="0">
        <v>1</v>
      </c>
      <c r="N3753" s="0">
        <v>0</v>
      </c>
      <c r="O3753" s="0">
        <v>0</v>
      </c>
      <c r="P3753" s="0">
        <v>0</v>
      </c>
      <c r="R3753" s="0" t="b">
        <v>0</v>
      </c>
      <c r="S3753" s="0" t="b">
        <v>1</v>
      </c>
      <c r="T3753" s="68">
        <v>45994.4638541667</v>
      </c>
      <c r="U3753" s="68">
        <v>46021.2916666667</v>
      </c>
      <c r="V3753" s="68">
        <v>0</v>
      </c>
      <c r="W3753" s="0">
        <f>IF(IF(B3753="none",1,IF(B3753="Trialer",1,0))+IF(C3753="Customer",1,IF(C3753="Lost",1,0))=2,1,0)</f>
      </c>
      <c r="X3753" s="0" t="s">
        <v>1461</v>
      </c>
      <c r="Y3753" s="0" t="s">
        <v>243</v>
      </c>
      <c r="AV3753" s="68"/>
      <c r="AW3753" s="68"/>
      <c r="AY3753" s="27"/>
      <c r="BD3753" s="68">
        <v>46054.1666666667</v>
      </c>
      <c r="BE3753" s="68">
        <v>46082.1666666667</v>
      </c>
      <c r="BF3753" s="0" t="b">
        <v>0</v>
      </c>
      <c r="BG3753" s="0" t="b">
        <v>0</v>
      </c>
      <c r="BH3753" s="0">
        <v>63.75</v>
      </c>
      <c r="BI3753" s="0">
        <v>63.75</v>
      </c>
      <c r="BJ3753" s="0" t="s">
        <v>135</v>
      </c>
    </row>
    <row r="3754">
      <c r="A3754" s="0" t="s">
        <v>4010</v>
      </c>
      <c r="B3754" s="0" t="s">
        <v>134</v>
      </c>
      <c r="C3754" s="0" t="s">
        <v>134</v>
      </c>
      <c r="D3754" s="0" t="s">
        <v>135</v>
      </c>
      <c r="E3754" s="0" t="s">
        <v>3</v>
      </c>
      <c r="F3754" s="0" t="s">
        <v>12</v>
      </c>
      <c r="G3754" s="0" t="s">
        <v>8</v>
      </c>
      <c r="H3754" s="0">
        <v>59</v>
      </c>
      <c r="I3754" s="0">
        <v>44.25</v>
      </c>
      <c r="J3754" s="0">
        <v>0</v>
      </c>
      <c r="K3754" s="0">
        <v>1</v>
      </c>
      <c r="L3754" s="0">
        <v>3</v>
      </c>
      <c r="M3754" s="0">
        <v>1</v>
      </c>
      <c r="N3754" s="0">
        <v>77.5</v>
      </c>
      <c r="O3754" s="0">
        <v>0</v>
      </c>
      <c r="P3754" s="0">
        <v>0</v>
      </c>
      <c r="R3754" s="0" t="b">
        <v>0</v>
      </c>
      <c r="S3754" s="0" t="b">
        <v>1</v>
      </c>
      <c r="T3754" s="68">
        <v>45994.4708101852</v>
      </c>
      <c r="U3754" s="68">
        <v>46008.2916666667</v>
      </c>
      <c r="V3754" s="68">
        <v>0</v>
      </c>
      <c r="W3754" s="0">
        <f>IF(IF(B3754="none",1,IF(B3754="Trialer",1,0))+IF(C3754="Customer",1,IF(C3754="Lost",1,0))=2,1,0)</f>
      </c>
      <c r="X3754" s="0" t="s">
        <v>1461</v>
      </c>
      <c r="Y3754" s="0" t="s">
        <v>243</v>
      </c>
      <c r="AV3754" s="68"/>
      <c r="AW3754" s="68"/>
      <c r="AY3754" s="27"/>
      <c r="BD3754" s="68">
        <v>46054.1666666667</v>
      </c>
      <c r="BE3754" s="68">
        <v>46082.1666666667</v>
      </c>
      <c r="BF3754" s="0" t="b">
        <v>0</v>
      </c>
      <c r="BG3754" s="0" t="b">
        <v>0</v>
      </c>
      <c r="BH3754" s="0">
        <v>59</v>
      </c>
      <c r="BI3754" s="0">
        <v>59</v>
      </c>
      <c r="BJ3754" s="0" t="s">
        <v>135</v>
      </c>
    </row>
    <row r="3755">
      <c r="A3755" s="0" t="s">
        <v>4011</v>
      </c>
      <c r="B3755" s="0" t="s">
        <v>134</v>
      </c>
      <c r="C3755" s="0" t="s">
        <v>134</v>
      </c>
      <c r="D3755" s="0" t="s">
        <v>135</v>
      </c>
      <c r="E3755" s="0" t="s">
        <v>3</v>
      </c>
      <c r="F3755" s="0" t="s">
        <v>12</v>
      </c>
      <c r="G3755" s="0" t="s">
        <v>8</v>
      </c>
      <c r="H3755" s="0">
        <v>59</v>
      </c>
      <c r="I3755" s="0">
        <v>73.5</v>
      </c>
      <c r="J3755" s="0">
        <v>0</v>
      </c>
      <c r="K3755" s="0">
        <v>1</v>
      </c>
      <c r="L3755" s="0">
        <v>2</v>
      </c>
      <c r="M3755" s="0">
        <v>2</v>
      </c>
      <c r="N3755" s="0">
        <v>0</v>
      </c>
      <c r="O3755" s="0">
        <v>0</v>
      </c>
      <c r="P3755" s="0">
        <v>0</v>
      </c>
      <c r="R3755" s="0" t="b">
        <v>0</v>
      </c>
      <c r="S3755" s="0" t="b">
        <v>1</v>
      </c>
      <c r="T3755" s="68">
        <v>45994.4986111111</v>
      </c>
      <c r="U3755" s="68">
        <v>46014.2916666667</v>
      </c>
      <c r="V3755" s="68">
        <v>0</v>
      </c>
      <c r="W3755" s="0">
        <f>IF(IF(B3755="none",1,IF(B3755="Trialer",1,0))+IF(C3755="Customer",1,IF(C3755="Lost",1,0))=2,1,0)</f>
      </c>
      <c r="X3755" s="0" t="s">
        <v>1461</v>
      </c>
      <c r="Y3755" s="0" t="s">
        <v>243</v>
      </c>
      <c r="AV3755" s="68"/>
      <c r="AW3755" s="68"/>
      <c r="AY3755" s="27"/>
      <c r="BD3755" s="68">
        <v>46054.1666666667</v>
      </c>
      <c r="BE3755" s="68">
        <v>46082.1666666667</v>
      </c>
      <c r="BF3755" s="0" t="b">
        <v>0</v>
      </c>
      <c r="BG3755" s="0" t="b">
        <v>0</v>
      </c>
      <c r="BH3755" s="0">
        <v>98</v>
      </c>
      <c r="BI3755" s="0">
        <v>73.5</v>
      </c>
      <c r="BJ3755" s="0" t="s">
        <v>135</v>
      </c>
    </row>
    <row r="3756">
      <c r="A3756" s="0" t="s">
        <v>4012</v>
      </c>
      <c r="B3756" s="0" t="s">
        <v>134</v>
      </c>
      <c r="C3756" s="0" t="s">
        <v>134</v>
      </c>
      <c r="D3756" s="0" t="s">
        <v>135</v>
      </c>
      <c r="E3756" s="0" t="s">
        <v>3</v>
      </c>
      <c r="F3756" s="0" t="s">
        <v>12</v>
      </c>
      <c r="G3756" s="0" t="s">
        <v>8</v>
      </c>
      <c r="H3756" s="0">
        <v>59</v>
      </c>
      <c r="I3756" s="0">
        <v>388.75</v>
      </c>
      <c r="J3756" s="0">
        <v>0</v>
      </c>
      <c r="K3756" s="0">
        <v>1</v>
      </c>
      <c r="L3756" s="0">
        <v>5</v>
      </c>
      <c r="M3756" s="0">
        <v>1</v>
      </c>
      <c r="N3756" s="0">
        <v>387.5</v>
      </c>
      <c r="O3756" s="0">
        <v>0</v>
      </c>
      <c r="P3756" s="0">
        <v>0</v>
      </c>
      <c r="R3756" s="0" t="b">
        <v>0</v>
      </c>
      <c r="S3756" s="0" t="b">
        <v>1</v>
      </c>
      <c r="T3756" s="68">
        <v>45994.5199768519</v>
      </c>
      <c r="U3756" s="68">
        <v>46001.2916666667</v>
      </c>
      <c r="V3756" s="68">
        <v>0</v>
      </c>
      <c r="W3756" s="0">
        <f>IF(IF(B3756="none",1,IF(B3756="Trialer",1,0))+IF(C3756="Customer",1,IF(C3756="Lost",1,0))=2,1,0)</f>
      </c>
      <c r="X3756" s="0" t="s">
        <v>145</v>
      </c>
      <c r="Y3756" s="0" t="s">
        <v>243</v>
      </c>
      <c r="AV3756" s="68"/>
      <c r="AW3756" s="68"/>
      <c r="AY3756" s="27"/>
      <c r="BD3756" s="68">
        <v>46054.1666666667</v>
      </c>
      <c r="BE3756" s="68">
        <v>46082.1666666667</v>
      </c>
      <c r="BF3756" s="0" t="b">
        <v>0</v>
      </c>
      <c r="BG3756" s="0" t="b">
        <v>0</v>
      </c>
      <c r="BH3756" s="0">
        <v>85</v>
      </c>
      <c r="BI3756" s="0">
        <v>85</v>
      </c>
      <c r="BJ3756" s="0" t="s">
        <v>135</v>
      </c>
    </row>
    <row r="3757">
      <c r="A3757" s="0" t="s">
        <v>4013</v>
      </c>
      <c r="B3757" s="0" t="s">
        <v>134</v>
      </c>
      <c r="C3757" s="0" t="s">
        <v>134</v>
      </c>
      <c r="D3757" s="0" t="s">
        <v>135</v>
      </c>
      <c r="E3757" s="0" t="s">
        <v>3</v>
      </c>
      <c r="F3757" s="0" t="s">
        <v>12</v>
      </c>
      <c r="G3757" s="0" t="s">
        <v>8</v>
      </c>
      <c r="H3757" s="0">
        <v>59</v>
      </c>
      <c r="I3757" s="0">
        <v>88.5</v>
      </c>
      <c r="J3757" s="0">
        <v>0</v>
      </c>
      <c r="K3757" s="0">
        <v>1</v>
      </c>
      <c r="L3757" s="0">
        <v>3</v>
      </c>
      <c r="M3757" s="0">
        <v>2</v>
      </c>
      <c r="N3757" s="0">
        <v>0</v>
      </c>
      <c r="O3757" s="0">
        <v>0</v>
      </c>
      <c r="P3757" s="0">
        <v>0</v>
      </c>
      <c r="R3757" s="0" t="b">
        <v>0</v>
      </c>
      <c r="S3757" s="0" t="b">
        <v>1</v>
      </c>
      <c r="T3757" s="68">
        <v>45994.5629282407</v>
      </c>
      <c r="U3757" s="68">
        <v>46008.2916666667</v>
      </c>
      <c r="V3757" s="68">
        <v>0</v>
      </c>
      <c r="W3757" s="0">
        <f>IF(IF(B3757="none",1,IF(B3757="Trialer",1,0))+IF(C3757="Customer",1,IF(C3757="Lost",1,0))=2,1,0)</f>
      </c>
      <c r="X3757" s="0" t="s">
        <v>1461</v>
      </c>
      <c r="Y3757" s="0" t="s">
        <v>243</v>
      </c>
      <c r="AV3757" s="68"/>
      <c r="AW3757" s="68"/>
      <c r="AY3757" s="27"/>
      <c r="BD3757" s="68">
        <v>46054.1666666667</v>
      </c>
      <c r="BE3757" s="68">
        <v>46082.1666666667</v>
      </c>
      <c r="BF3757" s="0" t="b">
        <v>0</v>
      </c>
      <c r="BG3757" s="0" t="b">
        <v>0</v>
      </c>
      <c r="BH3757" s="0">
        <v>118</v>
      </c>
      <c r="BI3757" s="0">
        <v>118</v>
      </c>
      <c r="BJ3757" s="0" t="s">
        <v>135</v>
      </c>
    </row>
    <row r="3758">
      <c r="A3758" s="0" t="s">
        <v>4014</v>
      </c>
      <c r="B3758" s="0" t="s">
        <v>134</v>
      </c>
      <c r="C3758" s="0" t="s">
        <v>134</v>
      </c>
      <c r="D3758" s="0" t="s">
        <v>135</v>
      </c>
      <c r="E3758" s="0" t="s">
        <v>3</v>
      </c>
      <c r="F3758" s="0" t="s">
        <v>12</v>
      </c>
      <c r="G3758" s="0" t="s">
        <v>8</v>
      </c>
      <c r="H3758" s="0">
        <v>59</v>
      </c>
      <c r="I3758" s="0">
        <v>44.25</v>
      </c>
      <c r="J3758" s="0">
        <v>0</v>
      </c>
      <c r="K3758" s="0">
        <v>1</v>
      </c>
      <c r="L3758" s="0">
        <v>3</v>
      </c>
      <c r="M3758" s="0">
        <v>1</v>
      </c>
      <c r="N3758" s="0">
        <v>0</v>
      </c>
      <c r="O3758" s="0">
        <v>0</v>
      </c>
      <c r="P3758" s="0">
        <v>0</v>
      </c>
      <c r="R3758" s="0" t="b">
        <v>0</v>
      </c>
      <c r="S3758" s="0" t="b">
        <v>1</v>
      </c>
      <c r="T3758" s="68">
        <v>45994.5654861111</v>
      </c>
      <c r="U3758" s="68">
        <v>46008.2916666667</v>
      </c>
      <c r="V3758" s="68">
        <v>0</v>
      </c>
      <c r="W3758" s="0">
        <f>IF(IF(B3758="none",1,IF(B3758="Trialer",1,0))+IF(C3758="Customer",1,IF(C3758="Lost",1,0))=2,1,0)</f>
      </c>
      <c r="X3758" s="0" t="s">
        <v>1461</v>
      </c>
      <c r="Y3758" s="0" t="s">
        <v>243</v>
      </c>
      <c r="AV3758" s="68"/>
      <c r="AW3758" s="68"/>
      <c r="AY3758" s="27"/>
      <c r="BD3758" s="68">
        <v>46054.1666666667</v>
      </c>
      <c r="BE3758" s="68">
        <v>46082.1666666667</v>
      </c>
      <c r="BF3758" s="0" t="b">
        <v>0</v>
      </c>
      <c r="BG3758" s="0" t="b">
        <v>0</v>
      </c>
      <c r="BH3758" s="0">
        <v>59</v>
      </c>
      <c r="BI3758" s="0">
        <v>59</v>
      </c>
      <c r="BJ3758" s="0" t="s">
        <v>135</v>
      </c>
    </row>
    <row r="3759">
      <c r="A3759" s="0" t="s">
        <v>4015</v>
      </c>
      <c r="B3759" s="0" t="s">
        <v>134</v>
      </c>
      <c r="C3759" s="0" t="s">
        <v>134</v>
      </c>
      <c r="D3759" s="0" t="s">
        <v>135</v>
      </c>
      <c r="E3759" s="0" t="s">
        <v>2</v>
      </c>
      <c r="F3759" s="0" t="s">
        <v>12</v>
      </c>
      <c r="G3759" s="0" t="s">
        <v>8</v>
      </c>
      <c r="H3759" s="0">
        <v>59</v>
      </c>
      <c r="I3759" s="0">
        <v>206.25</v>
      </c>
      <c r="J3759" s="0">
        <v>0</v>
      </c>
      <c r="K3759" s="0">
        <v>1</v>
      </c>
      <c r="L3759" s="0">
        <v>4</v>
      </c>
      <c r="M3759" s="0">
        <v>5</v>
      </c>
      <c r="N3759" s="0">
        <v>1472.5</v>
      </c>
      <c r="O3759" s="0">
        <v>0</v>
      </c>
      <c r="P3759" s="0">
        <v>0</v>
      </c>
      <c r="R3759" s="0" t="b">
        <v>0</v>
      </c>
      <c r="S3759" s="0" t="b">
        <v>1</v>
      </c>
      <c r="T3759" s="68">
        <v>45994.6384259259</v>
      </c>
      <c r="U3759" s="68">
        <v>46013.2916666667</v>
      </c>
      <c r="V3759" s="68">
        <v>0</v>
      </c>
      <c r="W3759" s="0">
        <f>IF(IF(B3759="none",1,IF(B3759="Trialer",1,0))+IF(C3759="Customer",1,IF(C3759="Lost",1,0))=2,1,0)</f>
      </c>
      <c r="X3759" s="0" t="s">
        <v>1461</v>
      </c>
      <c r="Y3759" s="0" t="s">
        <v>499</v>
      </c>
      <c r="AV3759" s="68"/>
      <c r="AW3759" s="68"/>
      <c r="AY3759" s="27"/>
      <c r="BD3759" s="68">
        <v>46054.1666666667</v>
      </c>
      <c r="BE3759" s="68">
        <v>46082.1666666667</v>
      </c>
      <c r="BF3759" s="0" t="b">
        <v>0</v>
      </c>
      <c r="BG3759" s="0" t="b">
        <v>0</v>
      </c>
      <c r="BH3759" s="0">
        <v>324</v>
      </c>
      <c r="BI3759" s="0">
        <v>310</v>
      </c>
      <c r="BJ3759" s="0" t="s">
        <v>135</v>
      </c>
    </row>
    <row r="3760">
      <c r="A3760" s="0" t="s">
        <v>4016</v>
      </c>
      <c r="B3760" s="0" t="s">
        <v>134</v>
      </c>
      <c r="C3760" s="0" t="s">
        <v>134</v>
      </c>
      <c r="D3760" s="0" t="s">
        <v>135</v>
      </c>
      <c r="E3760" s="0" t="s">
        <v>3</v>
      </c>
      <c r="F3760" s="0" t="s">
        <v>12</v>
      </c>
      <c r="G3760" s="0" t="s">
        <v>8</v>
      </c>
      <c r="H3760" s="0">
        <v>58</v>
      </c>
      <c r="I3760" s="0">
        <v>53.25</v>
      </c>
      <c r="J3760" s="0">
        <v>0</v>
      </c>
      <c r="K3760" s="0">
        <v>1</v>
      </c>
      <c r="L3760" s="0">
        <v>4</v>
      </c>
      <c r="M3760" s="0">
        <v>1</v>
      </c>
      <c r="N3760" s="0">
        <v>0</v>
      </c>
      <c r="O3760" s="0">
        <v>0</v>
      </c>
      <c r="P3760" s="0">
        <v>0</v>
      </c>
      <c r="R3760" s="0" t="b">
        <v>0</v>
      </c>
      <c r="S3760" s="0" t="b">
        <v>1</v>
      </c>
      <c r="T3760" s="68">
        <v>45995.0294675926</v>
      </c>
      <c r="U3760" s="68">
        <v>46034.2916666667</v>
      </c>
      <c r="V3760" s="68">
        <v>0</v>
      </c>
      <c r="W3760" s="0">
        <f>IF(IF(B3760="none",1,IF(B3760="Trialer",1,0))+IF(C3760="Customer",1,IF(C3760="Lost",1,0))=2,1,0)</f>
      </c>
      <c r="X3760" s="0" t="s">
        <v>1461</v>
      </c>
      <c r="Y3760" s="0" t="s">
        <v>1792</v>
      </c>
      <c r="AV3760" s="68"/>
      <c r="AW3760" s="68"/>
      <c r="AY3760" s="27"/>
      <c r="BD3760" s="68">
        <v>46054.1666666667</v>
      </c>
      <c r="BE3760" s="68">
        <v>46082.1666666667</v>
      </c>
      <c r="BF3760" s="0" t="b">
        <v>0</v>
      </c>
      <c r="BG3760" s="0" t="b">
        <v>0</v>
      </c>
      <c r="BH3760" s="0">
        <v>53.25</v>
      </c>
      <c r="BI3760" s="0">
        <v>53.25</v>
      </c>
      <c r="BJ3760" s="0" t="s">
        <v>135</v>
      </c>
    </row>
    <row r="3761">
      <c r="A3761" s="0" t="s">
        <v>4017</v>
      </c>
      <c r="B3761" s="0" t="s">
        <v>134</v>
      </c>
      <c r="C3761" s="0" t="s">
        <v>134</v>
      </c>
      <c r="D3761" s="0" t="s">
        <v>135</v>
      </c>
      <c r="E3761" s="0" t="s">
        <v>3</v>
      </c>
      <c r="F3761" s="0" t="s">
        <v>12</v>
      </c>
      <c r="G3761" s="0" t="s">
        <v>8</v>
      </c>
      <c r="H3761" s="0">
        <v>58</v>
      </c>
      <c r="I3761" s="0">
        <v>97.5</v>
      </c>
      <c r="J3761" s="0">
        <v>0</v>
      </c>
      <c r="K3761" s="0">
        <v>1</v>
      </c>
      <c r="L3761" s="0">
        <v>5</v>
      </c>
      <c r="M3761" s="0">
        <v>2</v>
      </c>
      <c r="N3761" s="0">
        <v>852.5</v>
      </c>
      <c r="O3761" s="0">
        <v>0</v>
      </c>
      <c r="P3761" s="0">
        <v>0</v>
      </c>
      <c r="R3761" s="0" t="b">
        <v>0</v>
      </c>
      <c r="S3761" s="0" t="b">
        <v>1</v>
      </c>
      <c r="T3761" s="68">
        <v>45995.5627199074</v>
      </c>
      <c r="U3761" s="68">
        <v>46015.2916666667</v>
      </c>
      <c r="V3761" s="68">
        <v>0</v>
      </c>
      <c r="W3761" s="0">
        <f>IF(IF(B3761="none",1,IF(B3761="Trialer",1,0))+IF(C3761="Customer",1,IF(C3761="Lost",1,0))=2,1,0)</f>
      </c>
      <c r="X3761" s="0" t="s">
        <v>1461</v>
      </c>
      <c r="Y3761" s="0" t="s">
        <v>243</v>
      </c>
      <c r="AV3761" s="68"/>
      <c r="AW3761" s="68"/>
      <c r="AY3761" s="27"/>
      <c r="BD3761" s="68">
        <v>46054.1666666667</v>
      </c>
      <c r="BE3761" s="68">
        <v>46082.1666666667</v>
      </c>
      <c r="BF3761" s="0" t="b">
        <v>0</v>
      </c>
      <c r="BG3761" s="0" t="b">
        <v>0</v>
      </c>
      <c r="BH3761" s="0">
        <v>97.5</v>
      </c>
      <c r="BI3761" s="0">
        <v>97.5</v>
      </c>
      <c r="BJ3761" s="0" t="s">
        <v>135</v>
      </c>
    </row>
    <row r="3762">
      <c r="A3762" s="0" t="s">
        <v>4018</v>
      </c>
      <c r="B3762" s="0" t="s">
        <v>134</v>
      </c>
      <c r="C3762" s="0" t="s">
        <v>134</v>
      </c>
      <c r="D3762" s="0" t="s">
        <v>135</v>
      </c>
      <c r="E3762" s="0" t="s">
        <v>3</v>
      </c>
      <c r="F3762" s="0" t="s">
        <v>12</v>
      </c>
      <c r="G3762" s="0" t="s">
        <v>8</v>
      </c>
      <c r="H3762" s="0">
        <v>57</v>
      </c>
      <c r="I3762" s="0">
        <v>88.5</v>
      </c>
      <c r="J3762" s="0">
        <v>0</v>
      </c>
      <c r="K3762" s="0">
        <v>1</v>
      </c>
      <c r="L3762" s="0">
        <v>3</v>
      </c>
      <c r="M3762" s="0">
        <v>2</v>
      </c>
      <c r="N3762" s="0">
        <v>0</v>
      </c>
      <c r="O3762" s="0">
        <v>0</v>
      </c>
      <c r="P3762" s="0">
        <v>0</v>
      </c>
      <c r="R3762" s="0" t="b">
        <v>0</v>
      </c>
      <c r="S3762" s="0" t="b">
        <v>1</v>
      </c>
      <c r="T3762" s="68">
        <v>45996.3261226852</v>
      </c>
      <c r="U3762" s="68">
        <v>46017.2916666667</v>
      </c>
      <c r="V3762" s="68">
        <v>0</v>
      </c>
      <c r="W3762" s="0">
        <f>IF(IF(B3762="none",1,IF(B3762="Trialer",1,0))+IF(C3762="Customer",1,IF(C3762="Lost",1,0))=2,1,0)</f>
      </c>
      <c r="X3762" s="0" t="s">
        <v>1461</v>
      </c>
      <c r="Y3762" s="0" t="s">
        <v>243</v>
      </c>
      <c r="AV3762" s="68"/>
      <c r="AW3762" s="68"/>
      <c r="AY3762" s="27"/>
      <c r="BD3762" s="68">
        <v>46054.1666666667</v>
      </c>
      <c r="BE3762" s="68">
        <v>46082.1666666667</v>
      </c>
      <c r="BF3762" s="0" t="b">
        <v>0</v>
      </c>
      <c r="BG3762" s="0" t="b">
        <v>0</v>
      </c>
      <c r="BH3762" s="0">
        <v>88.5</v>
      </c>
      <c r="BI3762" s="0">
        <v>88.5</v>
      </c>
      <c r="BJ3762" s="0" t="s">
        <v>135</v>
      </c>
    </row>
    <row r="3763">
      <c r="A3763" s="0" t="s">
        <v>4019</v>
      </c>
      <c r="B3763" s="0" t="s">
        <v>134</v>
      </c>
      <c r="C3763" s="0" t="s">
        <v>134</v>
      </c>
      <c r="D3763" s="0" t="s">
        <v>230</v>
      </c>
      <c r="E3763" s="0" t="s">
        <v>3</v>
      </c>
      <c r="F3763" s="0" t="s">
        <v>12</v>
      </c>
      <c r="G3763" s="0" t="s">
        <v>8</v>
      </c>
      <c r="H3763" s="0">
        <v>57</v>
      </c>
      <c r="I3763" s="0">
        <v>431.2</v>
      </c>
      <c r="J3763" s="0">
        <v>0</v>
      </c>
      <c r="K3763" s="0">
        <v>1</v>
      </c>
      <c r="L3763" s="0">
        <v>3</v>
      </c>
      <c r="M3763" s="0">
        <v>2</v>
      </c>
      <c r="N3763" s="0">
        <v>0</v>
      </c>
      <c r="O3763" s="0">
        <v>0</v>
      </c>
      <c r="P3763" s="0">
        <v>-106.2</v>
      </c>
      <c r="R3763" s="0" t="b">
        <v>0</v>
      </c>
      <c r="S3763" s="0" t="b">
        <v>1</v>
      </c>
      <c r="T3763" s="68">
        <v>45996.5031712963</v>
      </c>
      <c r="U3763" s="68">
        <v>46010.2916666667</v>
      </c>
      <c r="V3763" s="68">
        <v>0</v>
      </c>
      <c r="W3763" s="0">
        <f>IF(IF(B3763="none",1,IF(B3763="Trialer",1,0))+IF(C3763="Customer",1,IF(C3763="Lost",1,0))=2,1,0)</f>
      </c>
      <c r="X3763" s="0" t="s">
        <v>148</v>
      </c>
      <c r="Y3763" s="0" t="s">
        <v>243</v>
      </c>
      <c r="AV3763" s="68"/>
      <c r="AW3763" s="68"/>
      <c r="AY3763" s="27"/>
      <c r="BD3763" s="68">
        <v>46054.1666666667</v>
      </c>
      <c r="BE3763" s="68">
        <v>46082.1666666667</v>
      </c>
      <c r="BF3763" s="0" t="b">
        <v>0</v>
      </c>
      <c r="BG3763" s="0" t="b">
        <v>0</v>
      </c>
      <c r="BH3763" s="0">
        <v>118</v>
      </c>
      <c r="BI3763" s="0">
        <v>118</v>
      </c>
      <c r="BJ3763" s="0" t="s">
        <v>230</v>
      </c>
    </row>
    <row r="3764">
      <c r="A3764" s="0" t="s">
        <v>4020</v>
      </c>
      <c r="B3764" s="0" t="s">
        <v>134</v>
      </c>
      <c r="C3764" s="0" t="s">
        <v>134</v>
      </c>
      <c r="D3764" s="0" t="s">
        <v>135</v>
      </c>
      <c r="E3764" s="0" t="s">
        <v>3</v>
      </c>
      <c r="F3764" s="0" t="s">
        <v>12</v>
      </c>
      <c r="G3764" s="0" t="s">
        <v>8</v>
      </c>
      <c r="H3764" s="0">
        <v>56</v>
      </c>
      <c r="I3764" s="0">
        <v>164.25</v>
      </c>
      <c r="J3764" s="0">
        <v>0</v>
      </c>
      <c r="K3764" s="0">
        <v>1</v>
      </c>
      <c r="L3764" s="0">
        <v>4</v>
      </c>
      <c r="M3764" s="0">
        <v>3</v>
      </c>
      <c r="N3764" s="0">
        <v>0</v>
      </c>
      <c r="O3764" s="0">
        <v>0</v>
      </c>
      <c r="P3764" s="0">
        <v>0</v>
      </c>
      <c r="R3764" s="0" t="b">
        <v>0</v>
      </c>
      <c r="S3764" s="0" t="b">
        <v>1</v>
      </c>
      <c r="T3764" s="68">
        <v>45997.789212963</v>
      </c>
      <c r="U3764" s="68">
        <v>46011.2916666667</v>
      </c>
      <c r="V3764" s="68">
        <v>0</v>
      </c>
      <c r="W3764" s="0">
        <f>IF(IF(B3764="none",1,IF(B3764="Trialer",1,0))+IF(C3764="Customer",1,IF(C3764="Lost",1,0))=2,1,0)</f>
      </c>
      <c r="X3764" s="0" t="s">
        <v>1461</v>
      </c>
      <c r="Y3764" s="0" t="s">
        <v>243</v>
      </c>
      <c r="AV3764" s="68"/>
      <c r="AW3764" s="68"/>
      <c r="AY3764" s="27"/>
      <c r="BD3764" s="68">
        <v>46054.1666666667</v>
      </c>
      <c r="BE3764" s="68">
        <v>46082.1666666667</v>
      </c>
      <c r="BF3764" s="0" t="b">
        <v>0</v>
      </c>
      <c r="BG3764" s="0" t="b">
        <v>0</v>
      </c>
      <c r="BH3764" s="0">
        <v>219</v>
      </c>
      <c r="BI3764" s="0">
        <v>219</v>
      </c>
      <c r="BJ3764" s="0" t="s">
        <v>135</v>
      </c>
    </row>
    <row r="3765">
      <c r="A3765" s="0" t="s">
        <v>4021</v>
      </c>
      <c r="B3765" s="0" t="s">
        <v>134</v>
      </c>
      <c r="C3765" s="0" t="s">
        <v>190</v>
      </c>
      <c r="D3765" s="0" t="s">
        <v>135</v>
      </c>
      <c r="E3765" s="0" t="s">
        <v>3</v>
      </c>
      <c r="F3765" s="0" t="s">
        <v>12</v>
      </c>
      <c r="G3765" s="0" t="s">
        <v>8</v>
      </c>
      <c r="H3765" s="0">
        <v>56</v>
      </c>
      <c r="I3765" s="0">
        <v>0</v>
      </c>
      <c r="J3765" s="0">
        <v>0</v>
      </c>
      <c r="K3765" s="0">
        <v>0</v>
      </c>
      <c r="L3765" s="0">
        <v>0</v>
      </c>
      <c r="M3765" s="0">
        <v>0</v>
      </c>
      <c r="N3765" s="0">
        <v>0</v>
      </c>
      <c r="O3765" s="0">
        <v>0</v>
      </c>
      <c r="P3765" s="0">
        <v>0</v>
      </c>
      <c r="R3765" s="0" t="b">
        <v>0</v>
      </c>
      <c r="S3765" s="0" t="b">
        <v>0</v>
      </c>
      <c r="T3765" s="68">
        <v>45997.9210416667</v>
      </c>
      <c r="U3765" s="68">
        <v>46018.2916666667</v>
      </c>
      <c r="V3765" s="68">
        <v>46061.6821875</v>
      </c>
      <c r="W3765" s="0">
        <f>IF(IF(B3765="none",1,IF(B3765="Trialer",1,0))+IF(C3765="Customer",1,IF(C3765="Lost",1,0))=2,1,0)</f>
      </c>
      <c r="X3765" s="0" t="s">
        <v>1461</v>
      </c>
      <c r="Y3765" s="0" t="s">
        <v>243</v>
      </c>
      <c r="AV3765" s="68"/>
      <c r="AW3765" s="68"/>
      <c r="AY3765" s="27"/>
      <c r="BD3765" s="68">
        <v>46054.1666666667</v>
      </c>
      <c r="BE3765" s="68">
        <v>46082.1666666667</v>
      </c>
      <c r="BF3765" s="0" t="b">
        <v>0</v>
      </c>
      <c r="BG3765" s="0" t="b">
        <v>0</v>
      </c>
      <c r="BH3765" s="0">
        <v>88.5</v>
      </c>
      <c r="BI3765" s="0">
        <v>88.5</v>
      </c>
      <c r="BJ3765" s="0" t="s">
        <v>135</v>
      </c>
    </row>
    <row r="3766">
      <c r="A3766" s="0" t="s">
        <v>4022</v>
      </c>
      <c r="B3766" s="0" t="s">
        <v>134</v>
      </c>
      <c r="C3766" s="0" t="s">
        <v>134</v>
      </c>
      <c r="D3766" s="0" t="s">
        <v>135</v>
      </c>
      <c r="E3766" s="0" t="s">
        <v>3</v>
      </c>
      <c r="F3766" s="0" t="s">
        <v>12</v>
      </c>
      <c r="G3766" s="0" t="s">
        <v>8</v>
      </c>
      <c r="H3766" s="0">
        <v>55</v>
      </c>
      <c r="I3766" s="0">
        <v>107</v>
      </c>
      <c r="J3766" s="0">
        <v>0</v>
      </c>
      <c r="K3766" s="0">
        <v>1</v>
      </c>
      <c r="L3766" s="0">
        <v>3</v>
      </c>
      <c r="M3766" s="0">
        <v>4</v>
      </c>
      <c r="N3766" s="0">
        <v>0</v>
      </c>
      <c r="O3766" s="0">
        <v>0</v>
      </c>
      <c r="P3766" s="0">
        <v>0</v>
      </c>
      <c r="R3766" s="0" t="b">
        <v>0</v>
      </c>
      <c r="S3766" s="0" t="b">
        <v>1</v>
      </c>
      <c r="T3766" s="68">
        <v>45998.2546296296</v>
      </c>
      <c r="U3766" s="68">
        <v>46003.2916666667</v>
      </c>
      <c r="V3766" s="68">
        <v>0</v>
      </c>
      <c r="W3766" s="0">
        <f>IF(IF(B3766="none",1,IF(B3766="Trialer",1,0))+IF(C3766="Customer",1,IF(C3766="Lost",1,0))=2,1,0)</f>
      </c>
      <c r="X3766" s="0" t="s">
        <v>145</v>
      </c>
      <c r="Y3766" s="0" t="s">
        <v>243</v>
      </c>
      <c r="AV3766" s="68"/>
      <c r="AW3766" s="68"/>
      <c r="AY3766" s="27"/>
      <c r="BD3766" s="68">
        <v>46054.1666666667</v>
      </c>
      <c r="BE3766" s="68">
        <v>46082.1666666667</v>
      </c>
      <c r="BF3766" s="0" t="b">
        <v>0</v>
      </c>
      <c r="BG3766" s="0" t="b">
        <v>0</v>
      </c>
      <c r="BH3766" s="0">
        <v>118</v>
      </c>
      <c r="BI3766" s="0">
        <v>118</v>
      </c>
      <c r="BJ3766" s="0" t="s">
        <v>135</v>
      </c>
    </row>
    <row r="3767">
      <c r="A3767" s="0" t="s">
        <v>4023</v>
      </c>
      <c r="B3767" s="0" t="s">
        <v>134</v>
      </c>
      <c r="C3767" s="0" t="s">
        <v>134</v>
      </c>
      <c r="D3767" s="0" t="s">
        <v>135</v>
      </c>
      <c r="E3767" s="0" t="s">
        <v>3</v>
      </c>
      <c r="F3767" s="0" t="s">
        <v>12</v>
      </c>
      <c r="G3767" s="0" t="s">
        <v>8</v>
      </c>
      <c r="H3767" s="0">
        <v>54</v>
      </c>
      <c r="I3767" s="0">
        <v>170</v>
      </c>
      <c r="J3767" s="0">
        <v>0</v>
      </c>
      <c r="K3767" s="0">
        <v>1</v>
      </c>
      <c r="L3767" s="0">
        <v>5</v>
      </c>
      <c r="M3767" s="0">
        <v>2</v>
      </c>
      <c r="N3767" s="0">
        <v>0</v>
      </c>
      <c r="O3767" s="0">
        <v>0</v>
      </c>
      <c r="P3767" s="0">
        <v>0</v>
      </c>
      <c r="R3767" s="0" t="b">
        <v>0</v>
      </c>
      <c r="S3767" s="0" t="b">
        <v>1</v>
      </c>
      <c r="T3767" s="68">
        <v>45999.024525463</v>
      </c>
      <c r="U3767" s="68">
        <v>46018.2916666667</v>
      </c>
      <c r="V3767" s="68">
        <v>0</v>
      </c>
      <c r="W3767" s="0">
        <f>IF(IF(B3767="none",1,IF(B3767="Trialer",1,0))+IF(C3767="Customer",1,IF(C3767="Lost",1,0))=2,1,0)</f>
      </c>
      <c r="X3767" s="0" t="s">
        <v>1461</v>
      </c>
      <c r="Y3767" s="0" t="s">
        <v>243</v>
      </c>
      <c r="AV3767" s="68"/>
      <c r="AW3767" s="68"/>
      <c r="AY3767" s="27"/>
      <c r="BD3767" s="68">
        <v>46054.1666666667</v>
      </c>
      <c r="BE3767" s="68">
        <v>46082.1666666667</v>
      </c>
      <c r="BF3767" s="0" t="b">
        <v>0</v>
      </c>
      <c r="BG3767" s="0" t="b">
        <v>0</v>
      </c>
      <c r="BH3767" s="0">
        <v>170</v>
      </c>
      <c r="BI3767" s="0">
        <v>170</v>
      </c>
      <c r="BJ3767" s="0" t="s">
        <v>135</v>
      </c>
    </row>
    <row r="3768">
      <c r="A3768" s="0" t="s">
        <v>4024</v>
      </c>
      <c r="B3768" s="0" t="s">
        <v>134</v>
      </c>
      <c r="C3768" s="0" t="s">
        <v>134</v>
      </c>
      <c r="D3768" s="0" t="s">
        <v>230</v>
      </c>
      <c r="E3768" s="0" t="s">
        <v>3</v>
      </c>
      <c r="F3768" s="0" t="s">
        <v>10</v>
      </c>
      <c r="G3768" s="0" t="s">
        <v>8</v>
      </c>
      <c r="H3768" s="0">
        <v>54</v>
      </c>
      <c r="I3768" s="0">
        <v>126</v>
      </c>
      <c r="J3768" s="0">
        <v>0</v>
      </c>
      <c r="K3768" s="0">
        <v>1</v>
      </c>
      <c r="L3768" s="0">
        <v>1</v>
      </c>
      <c r="M3768" s="0">
        <v>4</v>
      </c>
      <c r="N3768" s="0">
        <v>0</v>
      </c>
      <c r="O3768" s="0">
        <v>0</v>
      </c>
      <c r="P3768" s="0">
        <v>-126</v>
      </c>
      <c r="Q3768" s="0" t="s">
        <v>498</v>
      </c>
      <c r="R3768" s="0" t="b">
        <v>0</v>
      </c>
      <c r="S3768" s="0" t="b">
        <v>1</v>
      </c>
      <c r="T3768" s="68">
        <v>45999.8187268519</v>
      </c>
      <c r="U3768" s="68">
        <v>46013.2916666667</v>
      </c>
      <c r="V3768" s="68">
        <v>0</v>
      </c>
      <c r="W3768" s="0">
        <f>IF(IF(B3768="none",1,IF(B3768="Trialer",1,0))+IF(C3768="Customer",1,IF(C3768="Lost",1,0))=2,1,0)</f>
      </c>
      <c r="X3768" s="0" t="s">
        <v>136</v>
      </c>
      <c r="Y3768" s="0" t="s">
        <v>243</v>
      </c>
      <c r="AV3768" s="68"/>
      <c r="AW3768" s="68"/>
      <c r="AY3768" s="27"/>
      <c r="BD3768" s="68">
        <v>46054.1666666667</v>
      </c>
      <c r="BE3768" s="68">
        <v>46082.1666666667</v>
      </c>
      <c r="BF3768" s="0" t="b">
        <v>0</v>
      </c>
      <c r="BG3768" s="0" t="b">
        <v>0</v>
      </c>
      <c r="BH3768" s="0">
        <v>245</v>
      </c>
      <c r="BI3768" s="0">
        <v>210</v>
      </c>
      <c r="BJ3768" s="0" t="s">
        <v>230</v>
      </c>
    </row>
    <row r="3769">
      <c r="A3769" s="0" t="s">
        <v>4025</v>
      </c>
      <c r="B3769" s="0" t="s">
        <v>134</v>
      </c>
      <c r="C3769" s="0" t="s">
        <v>134</v>
      </c>
      <c r="D3769" s="0" t="s">
        <v>135</v>
      </c>
      <c r="E3769" s="0" t="s">
        <v>3</v>
      </c>
      <c r="F3769" s="0" t="s">
        <v>10</v>
      </c>
      <c r="G3769" s="0" t="s">
        <v>8</v>
      </c>
      <c r="H3769" s="0">
        <v>54</v>
      </c>
      <c r="I3769" s="0">
        <v>52.5</v>
      </c>
      <c r="J3769" s="0">
        <v>0</v>
      </c>
      <c r="K3769" s="0">
        <v>1</v>
      </c>
      <c r="L3769" s="0">
        <v>1</v>
      </c>
      <c r="M3769" s="0">
        <v>2</v>
      </c>
      <c r="N3769" s="0">
        <v>0</v>
      </c>
      <c r="O3769" s="0">
        <v>0</v>
      </c>
      <c r="P3769" s="0">
        <v>0</v>
      </c>
      <c r="Q3769" s="0" t="s">
        <v>498</v>
      </c>
      <c r="R3769" s="0" t="b">
        <v>0</v>
      </c>
      <c r="S3769" s="0" t="b">
        <v>1</v>
      </c>
      <c r="T3769" s="68">
        <v>45999.8203472222</v>
      </c>
      <c r="U3769" s="68">
        <v>46013.2916666667</v>
      </c>
      <c r="V3769" s="68">
        <v>0</v>
      </c>
      <c r="W3769" s="0">
        <f>IF(IF(B3769="none",1,IF(B3769="Trialer",1,0))+IF(C3769="Customer",1,IF(C3769="Lost",1,0))=2,1,0)</f>
      </c>
      <c r="X3769" s="0" t="s">
        <v>136</v>
      </c>
      <c r="Y3769" s="0" t="s">
        <v>243</v>
      </c>
      <c r="AV3769" s="68"/>
      <c r="AW3769" s="68"/>
      <c r="AY3769" s="27"/>
      <c r="BD3769" s="68">
        <v>46054.1666666667</v>
      </c>
      <c r="BE3769" s="68">
        <v>46082.1666666667</v>
      </c>
      <c r="BF3769" s="0" t="b">
        <v>0</v>
      </c>
      <c r="BG3769" s="0" t="b">
        <v>0</v>
      </c>
      <c r="BH3769" s="0">
        <v>70</v>
      </c>
      <c r="BI3769" s="0">
        <v>70</v>
      </c>
      <c r="BJ3769" s="0" t="s">
        <v>135</v>
      </c>
    </row>
    <row r="3770">
      <c r="A3770" s="0" t="s">
        <v>4026</v>
      </c>
      <c r="B3770" s="0" t="s">
        <v>134</v>
      </c>
      <c r="C3770" s="0" t="s">
        <v>134</v>
      </c>
      <c r="D3770" s="0" t="s">
        <v>135</v>
      </c>
      <c r="E3770" s="0" t="s">
        <v>3</v>
      </c>
      <c r="F3770" s="0" t="s">
        <v>10</v>
      </c>
      <c r="G3770" s="0" t="s">
        <v>8</v>
      </c>
      <c r="H3770" s="0">
        <v>54</v>
      </c>
      <c r="I3770" s="0">
        <v>40</v>
      </c>
      <c r="J3770" s="0">
        <v>0</v>
      </c>
      <c r="K3770" s="0">
        <v>1</v>
      </c>
      <c r="L3770" s="0">
        <v>1</v>
      </c>
      <c r="M3770" s="0">
        <v>0</v>
      </c>
      <c r="N3770" s="0">
        <v>0</v>
      </c>
      <c r="O3770" s="0">
        <v>0</v>
      </c>
      <c r="P3770" s="0">
        <v>0</v>
      </c>
      <c r="Q3770" s="0" t="s">
        <v>498</v>
      </c>
      <c r="R3770" s="0" t="b">
        <v>0</v>
      </c>
      <c r="S3770" s="0" t="b">
        <v>1</v>
      </c>
      <c r="T3770" s="68">
        <v>45999.8233101852</v>
      </c>
      <c r="U3770" s="68">
        <v>46013.2916666667</v>
      </c>
      <c r="V3770" s="68">
        <v>0</v>
      </c>
      <c r="W3770" s="0">
        <f>IF(IF(B3770="none",1,IF(B3770="Trialer",1,0))+IF(C3770="Customer",1,IF(C3770="Lost",1,0))=2,1,0)</f>
      </c>
      <c r="X3770" s="0" t="s">
        <v>136</v>
      </c>
      <c r="Y3770" s="0" t="s">
        <v>243</v>
      </c>
      <c r="AV3770" s="68"/>
      <c r="AW3770" s="68"/>
      <c r="AY3770" s="27"/>
      <c r="BD3770" s="68">
        <v>46054.1666666667</v>
      </c>
      <c r="BE3770" s="68">
        <v>46082.1666666667</v>
      </c>
      <c r="BF3770" s="0" t="b">
        <v>0</v>
      </c>
      <c r="BG3770" s="0" t="b">
        <v>0</v>
      </c>
      <c r="BH3770" s="0">
        <v>40</v>
      </c>
      <c r="BI3770" s="0">
        <v>40</v>
      </c>
      <c r="BJ3770" s="0" t="s">
        <v>135</v>
      </c>
    </row>
    <row r="3771">
      <c r="A3771" s="0" t="s">
        <v>4027</v>
      </c>
      <c r="B3771" s="0" t="s">
        <v>134</v>
      </c>
      <c r="C3771" s="0" t="s">
        <v>134</v>
      </c>
      <c r="D3771" s="0" t="s">
        <v>135</v>
      </c>
      <c r="E3771" s="0" t="s">
        <v>3</v>
      </c>
      <c r="F3771" s="0" t="s">
        <v>10</v>
      </c>
      <c r="G3771" s="0" t="s">
        <v>8</v>
      </c>
      <c r="H3771" s="0">
        <v>54</v>
      </c>
      <c r="I3771" s="0">
        <v>40</v>
      </c>
      <c r="J3771" s="0">
        <v>0</v>
      </c>
      <c r="K3771" s="0">
        <v>1</v>
      </c>
      <c r="L3771" s="0">
        <v>2</v>
      </c>
      <c r="M3771" s="0">
        <v>1</v>
      </c>
      <c r="N3771" s="0">
        <v>0</v>
      </c>
      <c r="O3771" s="0">
        <v>0</v>
      </c>
      <c r="P3771" s="0">
        <v>0</v>
      </c>
      <c r="Q3771" s="0" t="s">
        <v>498</v>
      </c>
      <c r="R3771" s="0" t="b">
        <v>0</v>
      </c>
      <c r="S3771" s="0" t="b">
        <v>1</v>
      </c>
      <c r="T3771" s="68">
        <v>45999.8314699074</v>
      </c>
      <c r="U3771" s="68">
        <v>46013.2916666667</v>
      </c>
      <c r="V3771" s="68">
        <v>0</v>
      </c>
      <c r="W3771" s="0">
        <f>IF(IF(B3771="none",1,IF(B3771="Trialer",1,0))+IF(C3771="Customer",1,IF(C3771="Lost",1,0))=2,1,0)</f>
      </c>
      <c r="X3771" s="0" t="s">
        <v>136</v>
      </c>
      <c r="Y3771" s="0" t="s">
        <v>243</v>
      </c>
      <c r="AV3771" s="68"/>
      <c r="AW3771" s="68"/>
      <c r="AY3771" s="27"/>
      <c r="BD3771" s="68">
        <v>46054.1666666667</v>
      </c>
      <c r="BE3771" s="68">
        <v>46082.1666666667</v>
      </c>
      <c r="BF3771" s="0" t="b">
        <v>0</v>
      </c>
      <c r="BG3771" s="0" t="b">
        <v>0</v>
      </c>
      <c r="BH3771" s="0">
        <v>40</v>
      </c>
      <c r="BI3771" s="0">
        <v>40</v>
      </c>
      <c r="BJ3771" s="0" t="s">
        <v>135</v>
      </c>
    </row>
    <row r="3772">
      <c r="A3772" s="0" t="s">
        <v>4028</v>
      </c>
      <c r="B3772" s="0" t="s">
        <v>134</v>
      </c>
      <c r="C3772" s="0" t="s">
        <v>134</v>
      </c>
      <c r="D3772" s="0" t="s">
        <v>135</v>
      </c>
      <c r="E3772" s="0" t="s">
        <v>2</v>
      </c>
      <c r="F3772" s="0" t="s">
        <v>12</v>
      </c>
      <c r="G3772" s="0" t="s">
        <v>8</v>
      </c>
      <c r="H3772" s="0">
        <v>53</v>
      </c>
      <c r="I3772" s="0">
        <v>553</v>
      </c>
      <c r="J3772" s="0">
        <v>0</v>
      </c>
      <c r="K3772" s="0">
        <v>1</v>
      </c>
      <c r="L3772" s="0">
        <v>5</v>
      </c>
      <c r="M3772" s="0">
        <v>4</v>
      </c>
      <c r="N3772" s="0">
        <v>0</v>
      </c>
      <c r="O3772" s="0">
        <v>0</v>
      </c>
      <c r="P3772" s="0">
        <v>0</v>
      </c>
      <c r="R3772" s="0" t="b">
        <v>0</v>
      </c>
      <c r="S3772" s="0" t="b">
        <v>1</v>
      </c>
      <c r="T3772" s="68">
        <v>46000.3362384259</v>
      </c>
      <c r="U3772" s="68">
        <v>46000.2916666667</v>
      </c>
      <c r="V3772" s="68">
        <v>0</v>
      </c>
      <c r="W3772" s="0">
        <f>IF(IF(B3772="none",1,IF(B3772="Trialer",1,0))+IF(C3772="Customer",1,IF(C3772="Lost",1,0))=2,1,0)</f>
      </c>
      <c r="X3772" s="0" t="s">
        <v>148</v>
      </c>
      <c r="Y3772" s="0" t="s">
        <v>499</v>
      </c>
      <c r="AV3772" s="68"/>
      <c r="AW3772" s="68"/>
      <c r="AY3772" s="27"/>
      <c r="BD3772" s="68">
        <v>46054.1666666667</v>
      </c>
      <c r="BE3772" s="68">
        <v>46082.1666666667</v>
      </c>
      <c r="BF3772" s="0" t="b">
        <v>0</v>
      </c>
      <c r="BG3772" s="0" t="b">
        <v>0</v>
      </c>
      <c r="BH3772" s="0">
        <v>304</v>
      </c>
      <c r="BI3772" s="0">
        <v>304</v>
      </c>
      <c r="BJ3772" s="0" t="s">
        <v>135</v>
      </c>
    </row>
    <row r="3773">
      <c r="A3773" s="0" t="s">
        <v>4029</v>
      </c>
      <c r="B3773" s="0" t="s">
        <v>652</v>
      </c>
      <c r="C3773" s="0" t="s">
        <v>652</v>
      </c>
      <c r="D3773" s="0" t="s">
        <v>135</v>
      </c>
      <c r="E3773" s="0" t="s">
        <v>3</v>
      </c>
      <c r="F3773" s="0" t="s">
        <v>12</v>
      </c>
      <c r="G3773" s="0" t="s">
        <v>8</v>
      </c>
      <c r="H3773" s="0">
        <v>53</v>
      </c>
      <c r="I3773" s="0">
        <v>0</v>
      </c>
      <c r="J3773" s="0">
        <v>0</v>
      </c>
      <c r="K3773" s="0">
        <v>0</v>
      </c>
      <c r="L3773" s="0">
        <v>0</v>
      </c>
      <c r="M3773" s="0">
        <v>0</v>
      </c>
      <c r="N3773" s="0">
        <v>0</v>
      </c>
      <c r="O3773" s="0">
        <v>0</v>
      </c>
      <c r="P3773" s="0">
        <v>0</v>
      </c>
      <c r="R3773" s="0" t="b">
        <v>0</v>
      </c>
      <c r="S3773" s="0" t="b">
        <v>0</v>
      </c>
      <c r="T3773" s="68">
        <v>46000.3851736111</v>
      </c>
      <c r="U3773" s="68">
        <v>0</v>
      </c>
      <c r="V3773" s="68">
        <v>46073.166712963</v>
      </c>
      <c r="W3773" s="0">
        <f>IF(IF(B3773="none",1,IF(B3773="Trialer",1,0))+IF(C3773="Customer",1,IF(C3773="Lost",1,0))=2,1,0)</f>
      </c>
      <c r="X3773" s="0" t="s">
        <v>145</v>
      </c>
      <c r="Y3773" s="0" t="s">
        <v>243</v>
      </c>
      <c r="AV3773" s="68"/>
      <c r="AW3773" s="68"/>
      <c r="AY3773" s="27"/>
      <c r="BD3773" s="68">
        <v>46054.1666666667</v>
      </c>
      <c r="BE3773" s="68">
        <v>46082.1666666667</v>
      </c>
      <c r="BF3773" s="0" t="b">
        <v>0</v>
      </c>
      <c r="BG3773" s="0" t="b">
        <v>0</v>
      </c>
      <c r="BH3773" s="0">
        <v>135.75</v>
      </c>
      <c r="BI3773" s="0">
        <v>135.75</v>
      </c>
      <c r="BJ3773" s="0" t="s">
        <v>135</v>
      </c>
    </row>
    <row r="3774">
      <c r="A3774" s="0" t="s">
        <v>4030</v>
      </c>
      <c r="B3774" s="0" t="s">
        <v>134</v>
      </c>
      <c r="C3774" s="0" t="s">
        <v>134</v>
      </c>
      <c r="D3774" s="0" t="s">
        <v>135</v>
      </c>
      <c r="E3774" s="0" t="s">
        <v>2</v>
      </c>
      <c r="F3774" s="0" t="s">
        <v>12</v>
      </c>
      <c r="G3774" s="0" t="s">
        <v>8</v>
      </c>
      <c r="H3774" s="0">
        <v>53</v>
      </c>
      <c r="I3774" s="0">
        <v>99</v>
      </c>
      <c r="J3774" s="0">
        <v>0</v>
      </c>
      <c r="K3774" s="0">
        <v>1</v>
      </c>
      <c r="L3774" s="0">
        <v>4</v>
      </c>
      <c r="M3774" s="0">
        <v>2</v>
      </c>
      <c r="N3774" s="0">
        <v>0</v>
      </c>
      <c r="O3774" s="0">
        <v>0</v>
      </c>
      <c r="P3774" s="0">
        <v>0</v>
      </c>
      <c r="R3774" s="0" t="b">
        <v>0</v>
      </c>
      <c r="S3774" s="0" t="b">
        <v>1</v>
      </c>
      <c r="T3774" s="68">
        <v>46000.5230902778</v>
      </c>
      <c r="U3774" s="68">
        <v>46002.2916666667</v>
      </c>
      <c r="V3774" s="68">
        <v>0</v>
      </c>
      <c r="W3774" s="0">
        <f>IF(IF(B3774="none",1,IF(B3774="Trialer",1,0))+IF(C3774="Customer",1,IF(C3774="Lost",1,0))=2,1,0)</f>
      </c>
      <c r="X3774" s="0" t="s">
        <v>1461</v>
      </c>
      <c r="Y3774" s="0" t="s">
        <v>499</v>
      </c>
      <c r="AV3774" s="68"/>
      <c r="AW3774" s="68"/>
      <c r="AY3774" s="27"/>
      <c r="BD3774" s="68">
        <v>46054.1666666667</v>
      </c>
      <c r="BE3774" s="68">
        <v>46082.1666666667</v>
      </c>
      <c r="BF3774" s="0" t="b">
        <v>0</v>
      </c>
      <c r="BG3774" s="0" t="b">
        <v>0</v>
      </c>
      <c r="BH3774" s="0">
        <v>132</v>
      </c>
      <c r="BI3774" s="0">
        <v>132</v>
      </c>
      <c r="BJ3774" s="0" t="s">
        <v>135</v>
      </c>
    </row>
    <row r="3775">
      <c r="A3775" s="0" t="s">
        <v>4031</v>
      </c>
      <c r="B3775" s="0" t="s">
        <v>134</v>
      </c>
      <c r="C3775" s="0" t="s">
        <v>134</v>
      </c>
      <c r="D3775" s="0" t="s">
        <v>135</v>
      </c>
      <c r="E3775" s="0" t="s">
        <v>3</v>
      </c>
      <c r="F3775" s="0" t="s">
        <v>12</v>
      </c>
      <c r="G3775" s="0" t="s">
        <v>8</v>
      </c>
      <c r="H3775" s="0">
        <v>53</v>
      </c>
      <c r="I3775" s="0">
        <v>88.5</v>
      </c>
      <c r="J3775" s="0">
        <v>0</v>
      </c>
      <c r="K3775" s="0">
        <v>1</v>
      </c>
      <c r="L3775" s="0">
        <v>3</v>
      </c>
      <c r="M3775" s="0">
        <v>2</v>
      </c>
      <c r="N3775" s="0">
        <v>0</v>
      </c>
      <c r="O3775" s="0">
        <v>0</v>
      </c>
      <c r="P3775" s="0">
        <v>0</v>
      </c>
      <c r="R3775" s="0" t="b">
        <v>0</v>
      </c>
      <c r="S3775" s="0" t="b">
        <v>1</v>
      </c>
      <c r="T3775" s="68">
        <v>46000.826099537</v>
      </c>
      <c r="U3775" s="68">
        <v>46014.2916666667</v>
      </c>
      <c r="V3775" s="68">
        <v>0</v>
      </c>
      <c r="W3775" s="0">
        <f>IF(IF(B3775="none",1,IF(B3775="Trialer",1,0))+IF(C3775="Customer",1,IF(C3775="Lost",1,0))=2,1,0)</f>
      </c>
      <c r="X3775" s="0" t="s">
        <v>1461</v>
      </c>
      <c r="Y3775" s="0" t="s">
        <v>243</v>
      </c>
      <c r="AV3775" s="68"/>
      <c r="AW3775" s="68"/>
      <c r="AY3775" s="27"/>
      <c r="BD3775" s="68">
        <v>46054.1666666667</v>
      </c>
      <c r="BE3775" s="68">
        <v>46082.1666666667</v>
      </c>
      <c r="BF3775" s="0" t="b">
        <v>0</v>
      </c>
      <c r="BG3775" s="0" t="b">
        <v>0</v>
      </c>
      <c r="BH3775" s="0">
        <v>118</v>
      </c>
      <c r="BI3775" s="0">
        <v>88.5</v>
      </c>
      <c r="BJ3775" s="0" t="s">
        <v>135</v>
      </c>
    </row>
    <row r="3776">
      <c r="A3776" s="0" t="s">
        <v>4032</v>
      </c>
      <c r="B3776" s="0" t="s">
        <v>134</v>
      </c>
      <c r="C3776" s="0" t="s">
        <v>190</v>
      </c>
      <c r="D3776" s="0" t="s">
        <v>135</v>
      </c>
      <c r="E3776" s="0" t="s">
        <v>3</v>
      </c>
      <c r="F3776" s="0" t="s">
        <v>12</v>
      </c>
      <c r="G3776" s="0" t="s">
        <v>8</v>
      </c>
      <c r="H3776" s="0">
        <v>53</v>
      </c>
      <c r="I3776" s="0">
        <v>0</v>
      </c>
      <c r="J3776" s="0">
        <v>0</v>
      </c>
      <c r="K3776" s="0">
        <v>0</v>
      </c>
      <c r="L3776" s="0">
        <v>0</v>
      </c>
      <c r="M3776" s="0">
        <v>0</v>
      </c>
      <c r="N3776" s="0">
        <v>0</v>
      </c>
      <c r="O3776" s="0">
        <v>0</v>
      </c>
      <c r="P3776" s="0">
        <v>0</v>
      </c>
      <c r="R3776" s="0" t="b">
        <v>0</v>
      </c>
      <c r="S3776" s="0" t="b">
        <v>0</v>
      </c>
      <c r="T3776" s="68">
        <v>46000.8656481481</v>
      </c>
      <c r="U3776" s="68">
        <v>46034.2916666667</v>
      </c>
      <c r="V3776" s="68">
        <v>46064.7061805556</v>
      </c>
      <c r="W3776" s="0">
        <f>IF(IF(B3776="none",1,IF(B3776="Trialer",1,0))+IF(C3776="Customer",1,IF(C3776="Lost",1,0))=2,1,0)</f>
      </c>
      <c r="X3776" s="0" t="s">
        <v>1461</v>
      </c>
      <c r="Y3776" s="0" t="s">
        <v>243</v>
      </c>
      <c r="AV3776" s="68"/>
      <c r="AW3776" s="68"/>
      <c r="AY3776" s="27"/>
      <c r="BD3776" s="68">
        <v>46054.1666666667</v>
      </c>
      <c r="BE3776" s="68">
        <v>46082.1666666667</v>
      </c>
      <c r="BF3776" s="0" t="b">
        <v>0</v>
      </c>
      <c r="BG3776" s="0" t="b">
        <v>0</v>
      </c>
      <c r="BH3776" s="0">
        <v>73.5</v>
      </c>
      <c r="BI3776" s="0">
        <v>73.5</v>
      </c>
      <c r="BJ3776" s="0" t="s">
        <v>135</v>
      </c>
    </row>
    <row r="3777">
      <c r="A3777" s="0" t="s">
        <v>4033</v>
      </c>
      <c r="B3777" s="0" t="s">
        <v>134</v>
      </c>
      <c r="C3777" s="0" t="s">
        <v>134</v>
      </c>
      <c r="D3777" s="0" t="s">
        <v>135</v>
      </c>
      <c r="E3777" s="0" t="s">
        <v>3</v>
      </c>
      <c r="F3777" s="0" t="s">
        <v>12</v>
      </c>
      <c r="G3777" s="0" t="s">
        <v>8</v>
      </c>
      <c r="H3777" s="0">
        <v>52</v>
      </c>
      <c r="I3777" s="0">
        <v>132.75</v>
      </c>
      <c r="J3777" s="0">
        <v>0</v>
      </c>
      <c r="K3777" s="0">
        <v>1</v>
      </c>
      <c r="L3777" s="0">
        <v>3</v>
      </c>
      <c r="M3777" s="0">
        <v>3</v>
      </c>
      <c r="N3777" s="0">
        <v>0</v>
      </c>
      <c r="O3777" s="0">
        <v>0</v>
      </c>
      <c r="P3777" s="0">
        <v>0</v>
      </c>
      <c r="R3777" s="0" t="b">
        <v>0</v>
      </c>
      <c r="S3777" s="0" t="b">
        <v>1</v>
      </c>
      <c r="T3777" s="68">
        <v>46000.9584143519</v>
      </c>
      <c r="U3777" s="68">
        <v>46015.2916666667</v>
      </c>
      <c r="V3777" s="68">
        <v>0</v>
      </c>
      <c r="W3777" s="0">
        <f>IF(IF(B3777="none",1,IF(B3777="Trialer",1,0))+IF(C3777="Customer",1,IF(C3777="Lost",1,0))=2,1,0)</f>
      </c>
      <c r="X3777" s="0" t="s">
        <v>1461</v>
      </c>
      <c r="Y3777" s="0" t="s">
        <v>243</v>
      </c>
      <c r="AV3777" s="68"/>
      <c r="AW3777" s="68"/>
      <c r="AY3777" s="27"/>
      <c r="BD3777" s="68">
        <v>46054.1666666667</v>
      </c>
      <c r="BE3777" s="68">
        <v>46082.1666666667</v>
      </c>
      <c r="BF3777" s="0" t="b">
        <v>0</v>
      </c>
      <c r="BG3777" s="0" t="b">
        <v>0</v>
      </c>
      <c r="BH3777" s="0">
        <v>132.75</v>
      </c>
      <c r="BI3777" s="0">
        <v>132.75</v>
      </c>
      <c r="BJ3777" s="0" t="s">
        <v>135</v>
      </c>
    </row>
    <row r="3778">
      <c r="A3778" s="0" t="s">
        <v>4034</v>
      </c>
      <c r="B3778" s="0" t="s">
        <v>652</v>
      </c>
      <c r="C3778" s="0" t="s">
        <v>652</v>
      </c>
      <c r="D3778" s="0" t="s">
        <v>135</v>
      </c>
      <c r="E3778" s="0" t="s">
        <v>3</v>
      </c>
      <c r="F3778" s="0" t="s">
        <v>12</v>
      </c>
      <c r="G3778" s="0" t="s">
        <v>8</v>
      </c>
      <c r="H3778" s="0">
        <v>52</v>
      </c>
      <c r="I3778" s="0">
        <v>0</v>
      </c>
      <c r="J3778" s="0">
        <v>0</v>
      </c>
      <c r="K3778" s="0">
        <v>0</v>
      </c>
      <c r="L3778" s="0">
        <v>0</v>
      </c>
      <c r="M3778" s="0">
        <v>0</v>
      </c>
      <c r="N3778" s="0">
        <v>0</v>
      </c>
      <c r="O3778" s="0">
        <v>0</v>
      </c>
      <c r="P3778" s="0">
        <v>0</v>
      </c>
      <c r="R3778" s="0" t="b">
        <v>0</v>
      </c>
      <c r="S3778" s="0" t="b">
        <v>0</v>
      </c>
      <c r="T3778" s="68">
        <v>46001.0416782407</v>
      </c>
      <c r="U3778" s="68">
        <v>0</v>
      </c>
      <c r="V3778" s="68">
        <v>46065.1668287037</v>
      </c>
      <c r="W3778" s="0">
        <f>IF(IF(B3778="none",1,IF(B3778="Trialer",1,0))+IF(C3778="Customer",1,IF(C3778="Lost",1,0))=2,1,0)</f>
      </c>
      <c r="X3778" s="0" t="s">
        <v>882</v>
      </c>
      <c r="Y3778" s="0" t="s">
        <v>243</v>
      </c>
      <c r="AV3778" s="68"/>
      <c r="AW3778" s="68"/>
      <c r="AY3778" s="27"/>
      <c r="BD3778" s="68">
        <v>46054.1666666667</v>
      </c>
      <c r="BE3778" s="68">
        <v>46082.1666666667</v>
      </c>
      <c r="BF3778" s="0" t="b">
        <v>0</v>
      </c>
      <c r="BG3778" s="0" t="b">
        <v>0</v>
      </c>
      <c r="BH3778" s="0">
        <v>44.25</v>
      </c>
      <c r="BI3778" s="0">
        <v>44.25</v>
      </c>
      <c r="BJ3778" s="0" t="s">
        <v>135</v>
      </c>
    </row>
    <row r="3779">
      <c r="A3779" s="0" t="s">
        <v>4035</v>
      </c>
      <c r="B3779" s="0" t="s">
        <v>134</v>
      </c>
      <c r="C3779" s="0" t="s">
        <v>134</v>
      </c>
      <c r="D3779" s="0" t="s">
        <v>135</v>
      </c>
      <c r="E3779" s="0" t="s">
        <v>3</v>
      </c>
      <c r="F3779" s="0" t="s">
        <v>12</v>
      </c>
      <c r="G3779" s="0" t="s">
        <v>8</v>
      </c>
      <c r="H3779" s="0">
        <v>52</v>
      </c>
      <c r="I3779" s="0">
        <v>127.5</v>
      </c>
      <c r="J3779" s="0">
        <v>0</v>
      </c>
      <c r="K3779" s="0">
        <v>1</v>
      </c>
      <c r="L3779" s="0">
        <v>5</v>
      </c>
      <c r="M3779" s="0">
        <v>2</v>
      </c>
      <c r="N3779" s="0">
        <v>0</v>
      </c>
      <c r="O3779" s="0">
        <v>0</v>
      </c>
      <c r="P3779" s="0">
        <v>0</v>
      </c>
      <c r="R3779" s="0" t="b">
        <v>0</v>
      </c>
      <c r="S3779" s="0" t="b">
        <v>1</v>
      </c>
      <c r="T3779" s="68">
        <v>46001.3491087963</v>
      </c>
      <c r="U3779" s="68">
        <v>46028.2916666667</v>
      </c>
      <c r="V3779" s="68">
        <v>0</v>
      </c>
      <c r="W3779" s="0">
        <f>IF(IF(B3779="none",1,IF(B3779="Trialer",1,0))+IF(C3779="Customer",1,IF(C3779="Lost",1,0))=2,1,0)</f>
      </c>
      <c r="X3779" s="0" t="s">
        <v>1461</v>
      </c>
      <c r="Y3779" s="0" t="s">
        <v>243</v>
      </c>
      <c r="AV3779" s="68"/>
      <c r="AW3779" s="68"/>
      <c r="AY3779" s="27"/>
      <c r="BD3779" s="68">
        <v>46054.1666666667</v>
      </c>
      <c r="BE3779" s="68">
        <v>46082.1666666667</v>
      </c>
      <c r="BF3779" s="0" t="b">
        <v>0</v>
      </c>
      <c r="BG3779" s="0" t="b">
        <v>0</v>
      </c>
      <c r="BH3779" s="0">
        <v>127.5</v>
      </c>
      <c r="BI3779" s="0">
        <v>127.5</v>
      </c>
      <c r="BJ3779" s="0" t="s">
        <v>135</v>
      </c>
    </row>
    <row r="3780">
      <c r="A3780" s="0" t="s">
        <v>4036</v>
      </c>
      <c r="B3780" s="0" t="s">
        <v>134</v>
      </c>
      <c r="C3780" s="0" t="s">
        <v>134</v>
      </c>
      <c r="D3780" s="0" t="s">
        <v>135</v>
      </c>
      <c r="E3780" s="0" t="s">
        <v>2</v>
      </c>
      <c r="F3780" s="0" t="s">
        <v>12</v>
      </c>
      <c r="G3780" s="0" t="s">
        <v>8</v>
      </c>
      <c r="H3780" s="0">
        <v>52</v>
      </c>
      <c r="I3780" s="0">
        <v>40</v>
      </c>
      <c r="J3780" s="0">
        <v>0</v>
      </c>
      <c r="K3780" s="0">
        <v>1</v>
      </c>
      <c r="L3780" s="0">
        <v>1</v>
      </c>
      <c r="M3780" s="0">
        <v>0</v>
      </c>
      <c r="N3780" s="0">
        <v>0</v>
      </c>
      <c r="O3780" s="0">
        <v>0</v>
      </c>
      <c r="P3780" s="0">
        <v>0</v>
      </c>
      <c r="R3780" s="0" t="b">
        <v>0</v>
      </c>
      <c r="S3780" s="0" t="b">
        <v>1</v>
      </c>
      <c r="T3780" s="68">
        <v>46001.3511805556</v>
      </c>
      <c r="U3780" s="68">
        <v>46001.2916666667</v>
      </c>
      <c r="V3780" s="68">
        <v>0</v>
      </c>
      <c r="W3780" s="0">
        <f>IF(IF(B3780="none",1,IF(B3780="Trialer",1,0))+IF(C3780="Customer",1,IF(C3780="Lost",1,0))=2,1,0)</f>
      </c>
      <c r="X3780" s="0" t="s">
        <v>148</v>
      </c>
      <c r="Y3780" s="0" t="s">
        <v>499</v>
      </c>
      <c r="AV3780" s="68"/>
      <c r="AW3780" s="68"/>
      <c r="AY3780" s="27"/>
      <c r="BD3780" s="68">
        <v>46054.1666666667</v>
      </c>
      <c r="BE3780" s="68">
        <v>46082.1666666667</v>
      </c>
      <c r="BF3780" s="0" t="b">
        <v>0</v>
      </c>
      <c r="BG3780" s="0" t="b">
        <v>0</v>
      </c>
      <c r="BH3780" s="0">
        <v>40</v>
      </c>
      <c r="BI3780" s="0">
        <v>40</v>
      </c>
      <c r="BJ3780" s="0" t="s">
        <v>135</v>
      </c>
    </row>
    <row r="3781">
      <c r="A3781" s="0" t="s">
        <v>4037</v>
      </c>
      <c r="B3781" s="0" t="s">
        <v>134</v>
      </c>
      <c r="C3781" s="0" t="s">
        <v>134</v>
      </c>
      <c r="D3781" s="0" t="s">
        <v>135</v>
      </c>
      <c r="E3781" s="0" t="s">
        <v>3</v>
      </c>
      <c r="F3781" s="0" t="s">
        <v>12</v>
      </c>
      <c r="G3781" s="0" t="s">
        <v>8</v>
      </c>
      <c r="H3781" s="0">
        <v>52</v>
      </c>
      <c r="I3781" s="0">
        <v>88.5</v>
      </c>
      <c r="J3781" s="0">
        <v>0</v>
      </c>
      <c r="K3781" s="0">
        <v>1</v>
      </c>
      <c r="L3781" s="0">
        <v>3</v>
      </c>
      <c r="M3781" s="0">
        <v>2</v>
      </c>
      <c r="N3781" s="0">
        <v>0</v>
      </c>
      <c r="O3781" s="0">
        <v>0</v>
      </c>
      <c r="P3781" s="0">
        <v>0</v>
      </c>
      <c r="R3781" s="0" t="b">
        <v>0</v>
      </c>
      <c r="S3781" s="0" t="b">
        <v>1</v>
      </c>
      <c r="T3781" s="68">
        <v>46001.3705439815</v>
      </c>
      <c r="U3781" s="68">
        <v>46015.2916666667</v>
      </c>
      <c r="V3781" s="68">
        <v>0</v>
      </c>
      <c r="W3781" s="0">
        <f>IF(IF(B3781="none",1,IF(B3781="Trialer",1,0))+IF(C3781="Customer",1,IF(C3781="Lost",1,0))=2,1,0)</f>
      </c>
      <c r="X3781" s="0" t="s">
        <v>1461</v>
      </c>
      <c r="Y3781" s="0" t="s">
        <v>243</v>
      </c>
      <c r="AV3781" s="68"/>
      <c r="AW3781" s="68"/>
      <c r="AY3781" s="27"/>
      <c r="BD3781" s="68">
        <v>46054.1666666667</v>
      </c>
      <c r="BE3781" s="68">
        <v>46082.1666666667</v>
      </c>
      <c r="BF3781" s="0" t="b">
        <v>0</v>
      </c>
      <c r="BG3781" s="0" t="b">
        <v>0</v>
      </c>
      <c r="BH3781" s="0">
        <v>88.5</v>
      </c>
      <c r="BI3781" s="0">
        <v>88.5</v>
      </c>
      <c r="BJ3781" s="0" t="s">
        <v>135</v>
      </c>
    </row>
    <row r="3782">
      <c r="A3782" s="0" t="s">
        <v>4038</v>
      </c>
      <c r="B3782" s="0" t="s">
        <v>134</v>
      </c>
      <c r="C3782" s="0" t="s">
        <v>134</v>
      </c>
      <c r="D3782" s="0" t="s">
        <v>135</v>
      </c>
      <c r="E3782" s="0" t="s">
        <v>3</v>
      </c>
      <c r="F3782" s="0" t="s">
        <v>12</v>
      </c>
      <c r="G3782" s="0" t="s">
        <v>8</v>
      </c>
      <c r="H3782" s="0">
        <v>52</v>
      </c>
      <c r="I3782" s="0">
        <v>54.75</v>
      </c>
      <c r="J3782" s="0">
        <v>0</v>
      </c>
      <c r="K3782" s="0">
        <v>1</v>
      </c>
      <c r="L3782" s="0">
        <v>4</v>
      </c>
      <c r="M3782" s="0">
        <v>1</v>
      </c>
      <c r="N3782" s="0">
        <v>0</v>
      </c>
      <c r="O3782" s="0">
        <v>0</v>
      </c>
      <c r="P3782" s="0">
        <v>0</v>
      </c>
      <c r="R3782" s="0" t="b">
        <v>0</v>
      </c>
      <c r="S3782" s="0" t="b">
        <v>1</v>
      </c>
      <c r="T3782" s="68">
        <v>46001.712037037</v>
      </c>
      <c r="U3782" s="68">
        <v>46019.2916666667</v>
      </c>
      <c r="V3782" s="68">
        <v>0</v>
      </c>
      <c r="W3782" s="0">
        <f>IF(IF(B3782="none",1,IF(B3782="Trialer",1,0))+IF(C3782="Customer",1,IF(C3782="Lost",1,0))=2,1,0)</f>
      </c>
      <c r="X3782" s="0" t="s">
        <v>1461</v>
      </c>
      <c r="Y3782" s="0" t="s">
        <v>243</v>
      </c>
      <c r="AV3782" s="68"/>
      <c r="AW3782" s="68"/>
      <c r="AY3782" s="27"/>
      <c r="BD3782" s="68">
        <v>46054.1666666667</v>
      </c>
      <c r="BE3782" s="68">
        <v>46082.1666666667</v>
      </c>
      <c r="BF3782" s="0" t="b">
        <v>0</v>
      </c>
      <c r="BG3782" s="0" t="b">
        <v>0</v>
      </c>
      <c r="BH3782" s="0">
        <v>54.75</v>
      </c>
      <c r="BI3782" s="0">
        <v>54.75</v>
      </c>
      <c r="BJ3782" s="0" t="s">
        <v>135</v>
      </c>
    </row>
    <row r="3783">
      <c r="A3783" s="0" t="s">
        <v>4039</v>
      </c>
      <c r="B3783" s="0" t="s">
        <v>134</v>
      </c>
      <c r="C3783" s="0" t="s">
        <v>134</v>
      </c>
      <c r="D3783" s="0" t="s">
        <v>135</v>
      </c>
      <c r="E3783" s="0" t="s">
        <v>2</v>
      </c>
      <c r="F3783" s="0" t="s">
        <v>12</v>
      </c>
      <c r="G3783" s="0" t="s">
        <v>8</v>
      </c>
      <c r="H3783" s="0">
        <v>51</v>
      </c>
      <c r="I3783" s="0">
        <v>40</v>
      </c>
      <c r="J3783" s="0">
        <v>0</v>
      </c>
      <c r="K3783" s="0">
        <v>1</v>
      </c>
      <c r="L3783" s="0">
        <v>1</v>
      </c>
      <c r="M3783" s="0">
        <v>0</v>
      </c>
      <c r="N3783" s="0">
        <v>0</v>
      </c>
      <c r="O3783" s="0">
        <v>0</v>
      </c>
      <c r="P3783" s="0">
        <v>0</v>
      </c>
      <c r="R3783" s="0" t="b">
        <v>0</v>
      </c>
      <c r="S3783" s="0" t="b">
        <v>1</v>
      </c>
      <c r="T3783" s="68">
        <v>46002.3528472222</v>
      </c>
      <c r="U3783" s="68">
        <v>46002.2916666667</v>
      </c>
      <c r="V3783" s="68">
        <v>0</v>
      </c>
      <c r="W3783" s="0">
        <f>IF(IF(B3783="none",1,IF(B3783="Trialer",1,0))+IF(C3783="Customer",1,IF(C3783="Lost",1,0))=2,1,0)</f>
      </c>
      <c r="X3783" s="0" t="s">
        <v>148</v>
      </c>
      <c r="Y3783" s="0" t="s">
        <v>499</v>
      </c>
      <c r="AV3783" s="68"/>
      <c r="AW3783" s="68"/>
      <c r="AY3783" s="27"/>
      <c r="BD3783" s="68">
        <v>46054.1666666667</v>
      </c>
      <c r="BE3783" s="68">
        <v>46082.1666666667</v>
      </c>
      <c r="BF3783" s="0" t="b">
        <v>0</v>
      </c>
      <c r="BG3783" s="0" t="b">
        <v>0</v>
      </c>
      <c r="BH3783" s="0">
        <v>40</v>
      </c>
      <c r="BI3783" s="0">
        <v>40</v>
      </c>
      <c r="BJ3783" s="0" t="s">
        <v>135</v>
      </c>
    </row>
    <row r="3784">
      <c r="A3784" s="0" t="s">
        <v>4040</v>
      </c>
      <c r="B3784" s="0" t="s">
        <v>134</v>
      </c>
      <c r="C3784" s="0" t="s">
        <v>134</v>
      </c>
      <c r="D3784" s="0" t="s">
        <v>135</v>
      </c>
      <c r="E3784" s="0" t="s">
        <v>3</v>
      </c>
      <c r="F3784" s="0" t="s">
        <v>12</v>
      </c>
      <c r="G3784" s="0" t="s">
        <v>8</v>
      </c>
      <c r="H3784" s="0">
        <v>50</v>
      </c>
      <c r="I3784" s="0">
        <v>141.75</v>
      </c>
      <c r="J3784" s="0">
        <v>0</v>
      </c>
      <c r="K3784" s="0">
        <v>1</v>
      </c>
      <c r="L3784" s="0">
        <v>4</v>
      </c>
      <c r="M3784" s="0">
        <v>3</v>
      </c>
      <c r="N3784" s="0">
        <v>0</v>
      </c>
      <c r="O3784" s="0">
        <v>0</v>
      </c>
      <c r="P3784" s="0">
        <v>0</v>
      </c>
      <c r="R3784" s="0" t="b">
        <v>0</v>
      </c>
      <c r="S3784" s="0" t="b">
        <v>1</v>
      </c>
      <c r="T3784" s="68">
        <v>46003.0994907407</v>
      </c>
      <c r="U3784" s="68">
        <v>46017.2916666667</v>
      </c>
      <c r="V3784" s="68">
        <v>0</v>
      </c>
      <c r="W3784" s="0">
        <f>IF(IF(B3784="none",1,IF(B3784="Trialer",1,0))+IF(C3784="Customer",1,IF(C3784="Lost",1,0))=2,1,0)</f>
      </c>
      <c r="X3784" s="0" t="s">
        <v>1461</v>
      </c>
      <c r="Y3784" s="0" t="s">
        <v>243</v>
      </c>
      <c r="AV3784" s="68"/>
      <c r="AW3784" s="68"/>
      <c r="AY3784" s="27"/>
      <c r="BD3784" s="68">
        <v>46054.1666666667</v>
      </c>
      <c r="BE3784" s="68">
        <v>46082.1666666667</v>
      </c>
      <c r="BF3784" s="0" t="b">
        <v>0</v>
      </c>
      <c r="BG3784" s="0" t="b">
        <v>0</v>
      </c>
      <c r="BH3784" s="0">
        <v>141.75</v>
      </c>
      <c r="BI3784" s="0">
        <v>141.75</v>
      </c>
      <c r="BJ3784" s="0" t="s">
        <v>135</v>
      </c>
    </row>
    <row r="3785">
      <c r="A3785" s="0" t="s">
        <v>4041</v>
      </c>
      <c r="B3785" s="0" t="s">
        <v>134</v>
      </c>
      <c r="C3785" s="0" t="s">
        <v>134</v>
      </c>
      <c r="D3785" s="0" t="s">
        <v>135</v>
      </c>
      <c r="E3785" s="0" t="s">
        <v>3</v>
      </c>
      <c r="F3785" s="0" t="s">
        <v>12</v>
      </c>
      <c r="G3785" s="0" t="s">
        <v>8</v>
      </c>
      <c r="H3785" s="0">
        <v>50</v>
      </c>
      <c r="I3785" s="0">
        <v>72.75</v>
      </c>
      <c r="J3785" s="0">
        <v>0</v>
      </c>
      <c r="K3785" s="0">
        <v>1</v>
      </c>
      <c r="L3785" s="0">
        <v>6</v>
      </c>
      <c r="M3785" s="0">
        <v>1</v>
      </c>
      <c r="N3785" s="0">
        <v>0</v>
      </c>
      <c r="O3785" s="0">
        <v>0</v>
      </c>
      <c r="P3785" s="0">
        <v>0</v>
      </c>
      <c r="R3785" s="0" t="b">
        <v>0</v>
      </c>
      <c r="S3785" s="0" t="b">
        <v>1</v>
      </c>
      <c r="T3785" s="68">
        <v>46003.4565046296</v>
      </c>
      <c r="U3785" s="68">
        <v>46044.2916666667</v>
      </c>
      <c r="V3785" s="68">
        <v>0</v>
      </c>
      <c r="W3785" s="0">
        <f>IF(IF(B3785="none",1,IF(B3785="Trialer",1,0))+IF(C3785="Customer",1,IF(C3785="Lost",1,0))=2,1,0)</f>
      </c>
      <c r="X3785" s="0" t="s">
        <v>1461</v>
      </c>
      <c r="Y3785" s="0" t="s">
        <v>243</v>
      </c>
      <c r="AV3785" s="68"/>
      <c r="AW3785" s="68"/>
      <c r="AY3785" s="27"/>
      <c r="BD3785" s="68">
        <v>46054.1666666667</v>
      </c>
      <c r="BE3785" s="68">
        <v>46082.1666666667</v>
      </c>
      <c r="BF3785" s="0" t="b">
        <v>0</v>
      </c>
      <c r="BG3785" s="0" t="b">
        <v>0</v>
      </c>
      <c r="BH3785" s="0">
        <v>72.75</v>
      </c>
      <c r="BI3785" s="0">
        <v>72.75</v>
      </c>
      <c r="BJ3785" s="0" t="s">
        <v>135</v>
      </c>
    </row>
    <row r="3786">
      <c r="A3786" s="0" t="s">
        <v>4042</v>
      </c>
      <c r="B3786" s="0" t="s">
        <v>134</v>
      </c>
      <c r="C3786" s="0" t="s">
        <v>134</v>
      </c>
      <c r="D3786" s="0" t="s">
        <v>135</v>
      </c>
      <c r="E3786" s="0" t="s">
        <v>2</v>
      </c>
      <c r="F3786" s="0" t="s">
        <v>12</v>
      </c>
      <c r="G3786" s="0" t="s">
        <v>8</v>
      </c>
      <c r="H3786" s="0">
        <v>50</v>
      </c>
      <c r="I3786" s="0">
        <v>132.75</v>
      </c>
      <c r="J3786" s="0">
        <v>0</v>
      </c>
      <c r="K3786" s="0">
        <v>1</v>
      </c>
      <c r="L3786" s="0">
        <v>3</v>
      </c>
      <c r="M3786" s="0">
        <v>3</v>
      </c>
      <c r="N3786" s="0">
        <v>0</v>
      </c>
      <c r="O3786" s="0">
        <v>0</v>
      </c>
      <c r="P3786" s="0">
        <v>0</v>
      </c>
      <c r="R3786" s="0" t="b">
        <v>0</v>
      </c>
      <c r="S3786" s="0" t="b">
        <v>1</v>
      </c>
      <c r="T3786" s="68">
        <v>46003.5011111111</v>
      </c>
      <c r="U3786" s="68">
        <v>46020.2916666667</v>
      </c>
      <c r="V3786" s="68">
        <v>0</v>
      </c>
      <c r="W3786" s="0">
        <f>IF(IF(B3786="none",1,IF(B3786="Trialer",1,0))+IF(C3786="Customer",1,IF(C3786="Lost",1,0))=2,1,0)</f>
      </c>
      <c r="X3786" s="0" t="s">
        <v>1461</v>
      </c>
      <c r="Y3786" s="0" t="s">
        <v>499</v>
      </c>
      <c r="AV3786" s="68"/>
      <c r="AW3786" s="68"/>
      <c r="AY3786" s="27"/>
      <c r="BD3786" s="68">
        <v>46054.1666666667</v>
      </c>
      <c r="BE3786" s="68">
        <v>46082.1666666667</v>
      </c>
      <c r="BF3786" s="0" t="b">
        <v>0</v>
      </c>
      <c r="BG3786" s="0" t="b">
        <v>0</v>
      </c>
      <c r="BH3786" s="0">
        <v>132.75</v>
      </c>
      <c r="BI3786" s="0">
        <v>132.75</v>
      </c>
      <c r="BJ3786" s="0" t="s">
        <v>135</v>
      </c>
    </row>
    <row r="3787">
      <c r="A3787" s="0" t="s">
        <v>4043</v>
      </c>
      <c r="B3787" s="0" t="s">
        <v>134</v>
      </c>
      <c r="C3787" s="0" t="s">
        <v>134</v>
      </c>
      <c r="D3787" s="0" t="s">
        <v>135</v>
      </c>
      <c r="E3787" s="0" t="s">
        <v>3</v>
      </c>
      <c r="F3787" s="0" t="s">
        <v>12</v>
      </c>
      <c r="G3787" s="0" t="s">
        <v>8</v>
      </c>
      <c r="H3787" s="0">
        <v>50</v>
      </c>
      <c r="I3787" s="0">
        <v>709</v>
      </c>
      <c r="J3787" s="0">
        <v>0</v>
      </c>
      <c r="K3787" s="0">
        <v>1</v>
      </c>
      <c r="L3787" s="0">
        <v>5</v>
      </c>
      <c r="M3787" s="0">
        <v>8</v>
      </c>
      <c r="N3787" s="0">
        <v>0</v>
      </c>
      <c r="O3787" s="0">
        <v>0</v>
      </c>
      <c r="P3787" s="0">
        <v>0</v>
      </c>
      <c r="R3787" s="0" t="b">
        <v>0</v>
      </c>
      <c r="S3787" s="0" t="b">
        <v>1</v>
      </c>
      <c r="T3787" s="68">
        <v>46003.558587963</v>
      </c>
      <c r="U3787" s="68">
        <v>46008.2916666667</v>
      </c>
      <c r="V3787" s="68">
        <v>0</v>
      </c>
      <c r="W3787" s="0">
        <f>IF(IF(B3787="none",1,IF(B3787="Trialer",1,0))+IF(C3787="Customer",1,IF(C3787="Lost",1,0))=2,1,0)</f>
      </c>
      <c r="X3787" s="0" t="s">
        <v>136</v>
      </c>
      <c r="Y3787" s="0" t="s">
        <v>243</v>
      </c>
      <c r="AV3787" s="68"/>
      <c r="AW3787" s="68"/>
      <c r="AY3787" s="27"/>
      <c r="BD3787" s="68">
        <v>46054.1666666667</v>
      </c>
      <c r="BE3787" s="68">
        <v>46082.1666666667</v>
      </c>
      <c r="BF3787" s="0" t="b">
        <v>0</v>
      </c>
      <c r="BG3787" s="0" t="b">
        <v>0</v>
      </c>
      <c r="BH3787" s="0">
        <v>512</v>
      </c>
      <c r="BI3787" s="0">
        <v>512</v>
      </c>
      <c r="BJ3787" s="0" t="s">
        <v>135</v>
      </c>
    </row>
    <row r="3788">
      <c r="A3788" s="0" t="s">
        <v>4044</v>
      </c>
      <c r="B3788" s="0" t="s">
        <v>134</v>
      </c>
      <c r="C3788" s="0" t="s">
        <v>134</v>
      </c>
      <c r="D3788" s="0" t="s">
        <v>230</v>
      </c>
      <c r="E3788" s="0" t="s">
        <v>3</v>
      </c>
      <c r="F3788" s="0" t="s">
        <v>12</v>
      </c>
      <c r="G3788" s="0" t="s">
        <v>8</v>
      </c>
      <c r="H3788" s="0">
        <v>50</v>
      </c>
      <c r="I3788" s="0">
        <v>72.6</v>
      </c>
      <c r="J3788" s="0">
        <v>0</v>
      </c>
      <c r="K3788" s="0">
        <v>1</v>
      </c>
      <c r="L3788" s="0">
        <v>3</v>
      </c>
      <c r="M3788" s="0">
        <v>4</v>
      </c>
      <c r="N3788" s="0">
        <v>0</v>
      </c>
      <c r="O3788" s="0">
        <v>0</v>
      </c>
      <c r="P3788" s="0">
        <v>-72.6</v>
      </c>
      <c r="R3788" s="0" t="b">
        <v>0</v>
      </c>
      <c r="S3788" s="0" t="b">
        <v>1</v>
      </c>
      <c r="T3788" s="68">
        <v>46003.7118055556</v>
      </c>
      <c r="U3788" s="68">
        <v>46013.2916666667</v>
      </c>
      <c r="V3788" s="68">
        <v>0</v>
      </c>
      <c r="W3788" s="0">
        <f>IF(IF(B3788="none",1,IF(B3788="Trialer",1,0))+IF(C3788="Customer",1,IF(C3788="Lost",1,0))=2,1,0)</f>
      </c>
      <c r="X3788" s="0" t="s">
        <v>1461</v>
      </c>
      <c r="Y3788" s="0" t="s">
        <v>243</v>
      </c>
      <c r="AV3788" s="68"/>
      <c r="AW3788" s="68"/>
      <c r="AY3788" s="27"/>
      <c r="BD3788" s="68">
        <v>46054.1666666667</v>
      </c>
      <c r="BE3788" s="68">
        <v>46082.1666666667</v>
      </c>
      <c r="BF3788" s="0" t="b">
        <v>0</v>
      </c>
      <c r="BG3788" s="0" t="b">
        <v>0</v>
      </c>
      <c r="BH3788" s="0">
        <v>171</v>
      </c>
      <c r="BI3788" s="0">
        <v>171</v>
      </c>
      <c r="BJ3788" s="0" t="s">
        <v>230</v>
      </c>
    </row>
    <row r="3789">
      <c r="A3789" s="0" t="s">
        <v>4045</v>
      </c>
      <c r="B3789" s="0" t="s">
        <v>134</v>
      </c>
      <c r="C3789" s="0" t="s">
        <v>134</v>
      </c>
      <c r="D3789" s="0" t="s">
        <v>135</v>
      </c>
      <c r="E3789" s="0" t="s">
        <v>3</v>
      </c>
      <c r="F3789" s="0" t="s">
        <v>12</v>
      </c>
      <c r="G3789" s="0" t="s">
        <v>8</v>
      </c>
      <c r="H3789" s="0">
        <v>50</v>
      </c>
      <c r="I3789" s="0">
        <v>44.25</v>
      </c>
      <c r="J3789" s="0">
        <v>0</v>
      </c>
      <c r="K3789" s="0">
        <v>1</v>
      </c>
      <c r="L3789" s="0">
        <v>3</v>
      </c>
      <c r="M3789" s="0">
        <v>1</v>
      </c>
      <c r="N3789" s="0">
        <v>0</v>
      </c>
      <c r="O3789" s="0">
        <v>0</v>
      </c>
      <c r="P3789" s="0">
        <v>0</v>
      </c>
      <c r="R3789" s="0" t="b">
        <v>0</v>
      </c>
      <c r="S3789" s="0" t="b">
        <v>1</v>
      </c>
      <c r="T3789" s="68">
        <v>46003.9417592593</v>
      </c>
      <c r="U3789" s="68">
        <v>46017.2916666667</v>
      </c>
      <c r="V3789" s="68">
        <v>0</v>
      </c>
      <c r="W3789" s="0">
        <f>IF(IF(B3789="none",1,IF(B3789="Trialer",1,0))+IF(C3789="Customer",1,IF(C3789="Lost",1,0))=2,1,0)</f>
      </c>
      <c r="X3789" s="0" t="s">
        <v>1461</v>
      </c>
      <c r="Y3789" s="0" t="s">
        <v>243</v>
      </c>
      <c r="AV3789" s="68"/>
      <c r="AW3789" s="68"/>
      <c r="AY3789" s="27"/>
      <c r="BD3789" s="68">
        <v>46054.1666666667</v>
      </c>
      <c r="BE3789" s="68">
        <v>46082.1666666667</v>
      </c>
      <c r="BF3789" s="0" t="b">
        <v>0</v>
      </c>
      <c r="BG3789" s="0" t="b">
        <v>0</v>
      </c>
      <c r="BH3789" s="0">
        <v>44.25</v>
      </c>
      <c r="BI3789" s="0">
        <v>44.25</v>
      </c>
      <c r="BJ3789" s="0" t="s">
        <v>135</v>
      </c>
    </row>
    <row r="3790">
      <c r="A3790" s="0" t="s">
        <v>4046</v>
      </c>
      <c r="B3790" s="0" t="s">
        <v>134</v>
      </c>
      <c r="C3790" s="0" t="s">
        <v>134</v>
      </c>
      <c r="D3790" s="0" t="s">
        <v>135</v>
      </c>
      <c r="E3790" s="0" t="s">
        <v>3</v>
      </c>
      <c r="F3790" s="0" t="s">
        <v>12</v>
      </c>
      <c r="G3790" s="0" t="s">
        <v>8</v>
      </c>
      <c r="H3790" s="0">
        <v>49</v>
      </c>
      <c r="I3790" s="0">
        <v>97.5</v>
      </c>
      <c r="J3790" s="0">
        <v>0</v>
      </c>
      <c r="K3790" s="0">
        <v>1</v>
      </c>
      <c r="L3790" s="0">
        <v>4</v>
      </c>
      <c r="M3790" s="0">
        <v>2</v>
      </c>
      <c r="N3790" s="0">
        <v>0</v>
      </c>
      <c r="O3790" s="0">
        <v>0</v>
      </c>
      <c r="P3790" s="0">
        <v>0</v>
      </c>
      <c r="R3790" s="0" t="b">
        <v>0</v>
      </c>
      <c r="S3790" s="0" t="b">
        <v>1</v>
      </c>
      <c r="T3790" s="68">
        <v>46004.059849537</v>
      </c>
      <c r="U3790" s="68">
        <v>46018.2916666667</v>
      </c>
      <c r="V3790" s="68">
        <v>0</v>
      </c>
      <c r="W3790" s="0">
        <f>IF(IF(B3790="none",1,IF(B3790="Trialer",1,0))+IF(C3790="Customer",1,IF(C3790="Lost",1,0))=2,1,0)</f>
      </c>
      <c r="X3790" s="0" t="s">
        <v>148</v>
      </c>
      <c r="Y3790" s="0" t="s">
        <v>243</v>
      </c>
      <c r="AV3790" s="68"/>
      <c r="AW3790" s="68"/>
      <c r="AY3790" s="27"/>
      <c r="BD3790" s="68">
        <v>46054.1666666667</v>
      </c>
      <c r="BE3790" s="68">
        <v>46082.1666666667</v>
      </c>
      <c r="BF3790" s="0" t="b">
        <v>0</v>
      </c>
      <c r="BG3790" s="0" t="b">
        <v>0</v>
      </c>
      <c r="BH3790" s="0">
        <v>97.5</v>
      </c>
      <c r="BI3790" s="0">
        <v>97.5</v>
      </c>
      <c r="BJ3790" s="0" t="s">
        <v>135</v>
      </c>
    </row>
    <row r="3791">
      <c r="A3791" s="0" t="s">
        <v>4047</v>
      </c>
      <c r="B3791" s="0" t="s">
        <v>652</v>
      </c>
      <c r="C3791" s="0" t="s">
        <v>652</v>
      </c>
      <c r="D3791" s="0" t="s">
        <v>135</v>
      </c>
      <c r="E3791" s="0" t="s">
        <v>3</v>
      </c>
      <c r="F3791" s="0" t="s">
        <v>12</v>
      </c>
      <c r="G3791" s="0" t="s">
        <v>8</v>
      </c>
      <c r="H3791" s="0">
        <v>49</v>
      </c>
      <c r="I3791" s="0">
        <v>0</v>
      </c>
      <c r="J3791" s="0">
        <v>0</v>
      </c>
      <c r="K3791" s="0">
        <v>0</v>
      </c>
      <c r="L3791" s="0">
        <v>0</v>
      </c>
      <c r="M3791" s="0">
        <v>0</v>
      </c>
      <c r="N3791" s="0">
        <v>0</v>
      </c>
      <c r="O3791" s="0">
        <v>0</v>
      </c>
      <c r="P3791" s="0">
        <v>0</v>
      </c>
      <c r="R3791" s="0" t="b">
        <v>0</v>
      </c>
      <c r="S3791" s="0" t="b">
        <v>0</v>
      </c>
      <c r="T3791" s="68">
        <v>46004.3944560185</v>
      </c>
      <c r="U3791" s="68">
        <v>0</v>
      </c>
      <c r="V3791" s="68">
        <v>46078.1669097222</v>
      </c>
      <c r="W3791" s="0">
        <f>IF(IF(B3791="none",1,IF(B3791="Trialer",1,0))+IF(C3791="Customer",1,IF(C3791="Lost",1,0))=2,1,0)</f>
      </c>
      <c r="X3791" s="0" t="s">
        <v>145</v>
      </c>
      <c r="Y3791" s="0" t="s">
        <v>243</v>
      </c>
      <c r="AV3791" s="68"/>
      <c r="AW3791" s="68"/>
      <c r="AY3791" s="27"/>
      <c r="BD3791" s="68">
        <v>46054.1666666667</v>
      </c>
      <c r="BE3791" s="68">
        <v>46082.1666666667</v>
      </c>
      <c r="BF3791" s="0" t="b">
        <v>0</v>
      </c>
      <c r="BG3791" s="0" t="b">
        <v>0</v>
      </c>
      <c r="BH3791" s="0">
        <v>63.75</v>
      </c>
      <c r="BI3791" s="0">
        <v>63.75</v>
      </c>
      <c r="BJ3791" s="0" t="s">
        <v>135</v>
      </c>
    </row>
    <row r="3792">
      <c r="A3792" s="0" t="s">
        <v>4048</v>
      </c>
      <c r="B3792" s="0" t="s">
        <v>134</v>
      </c>
      <c r="C3792" s="0" t="s">
        <v>134</v>
      </c>
      <c r="D3792" s="0" t="s">
        <v>135</v>
      </c>
      <c r="E3792" s="0" t="s">
        <v>3</v>
      </c>
      <c r="F3792" s="0" t="s">
        <v>12</v>
      </c>
      <c r="G3792" s="0" t="s">
        <v>8</v>
      </c>
      <c r="H3792" s="0">
        <v>49</v>
      </c>
      <c r="I3792" s="0">
        <v>96.75</v>
      </c>
      <c r="J3792" s="0">
        <v>0</v>
      </c>
      <c r="K3792" s="0">
        <v>1</v>
      </c>
      <c r="L3792" s="0">
        <v>3</v>
      </c>
      <c r="M3792" s="0">
        <v>3</v>
      </c>
      <c r="N3792" s="0">
        <v>0</v>
      </c>
      <c r="O3792" s="0">
        <v>0</v>
      </c>
      <c r="P3792" s="0">
        <v>0</v>
      </c>
      <c r="R3792" s="0" t="b">
        <v>0</v>
      </c>
      <c r="S3792" s="0" t="b">
        <v>1</v>
      </c>
      <c r="T3792" s="68">
        <v>46004.7658217593</v>
      </c>
      <c r="U3792" s="68">
        <v>46018.2916666667</v>
      </c>
      <c r="V3792" s="68">
        <v>0</v>
      </c>
      <c r="W3792" s="0">
        <f>IF(IF(B3792="none",1,IF(B3792="Trialer",1,0))+IF(C3792="Customer",1,IF(C3792="Lost",1,0))=2,1,0)</f>
      </c>
      <c r="X3792" s="0" t="s">
        <v>1461</v>
      </c>
      <c r="Y3792" s="0" t="s">
        <v>243</v>
      </c>
      <c r="AV3792" s="68"/>
      <c r="AW3792" s="68"/>
      <c r="AY3792" s="27"/>
      <c r="BD3792" s="68">
        <v>46054.1666666667</v>
      </c>
      <c r="BE3792" s="68">
        <v>46082.1666666667</v>
      </c>
      <c r="BF3792" s="0" t="b">
        <v>0</v>
      </c>
      <c r="BG3792" s="0" t="b">
        <v>0</v>
      </c>
      <c r="BH3792" s="0">
        <v>96.75</v>
      </c>
      <c r="BI3792" s="0">
        <v>96.75</v>
      </c>
      <c r="BJ3792" s="0" t="s">
        <v>135</v>
      </c>
    </row>
    <row r="3793">
      <c r="A3793" s="0" t="s">
        <v>4049</v>
      </c>
      <c r="B3793" s="0" t="s">
        <v>134</v>
      </c>
      <c r="C3793" s="0" t="s">
        <v>190</v>
      </c>
      <c r="D3793" s="0" t="s">
        <v>135</v>
      </c>
      <c r="E3793" s="0" t="s">
        <v>2</v>
      </c>
      <c r="F3793" s="0" t="s">
        <v>12</v>
      </c>
      <c r="G3793" s="0" t="s">
        <v>8</v>
      </c>
      <c r="H3793" s="0">
        <v>49</v>
      </c>
      <c r="I3793" s="0">
        <v>0</v>
      </c>
      <c r="J3793" s="0">
        <v>0</v>
      </c>
      <c r="K3793" s="0">
        <v>0</v>
      </c>
      <c r="L3793" s="0">
        <v>0</v>
      </c>
      <c r="M3793" s="0">
        <v>0</v>
      </c>
      <c r="N3793" s="0">
        <v>0</v>
      </c>
      <c r="O3793" s="0">
        <v>0</v>
      </c>
      <c r="P3793" s="0">
        <v>0</v>
      </c>
      <c r="R3793" s="0" t="b">
        <v>0</v>
      </c>
      <c r="S3793" s="0" t="b">
        <v>0</v>
      </c>
      <c r="T3793" s="68">
        <v>46004.8912037037</v>
      </c>
      <c r="U3793" s="68">
        <v>46020.2916666667</v>
      </c>
      <c r="V3793" s="68">
        <v>46058.5409722222</v>
      </c>
      <c r="W3793" s="0">
        <f>IF(IF(B3793="none",1,IF(B3793="Trialer",1,0))+IF(C3793="Customer",1,IF(C3793="Lost",1,0))=2,1,0)</f>
      </c>
      <c r="X3793" s="0" t="s">
        <v>1461</v>
      </c>
      <c r="Y3793" s="0" t="s">
        <v>499</v>
      </c>
      <c r="AV3793" s="68"/>
      <c r="AW3793" s="68"/>
      <c r="AY3793" s="27"/>
      <c r="BD3793" s="68">
        <v>46054.1666666667</v>
      </c>
      <c r="BE3793" s="68">
        <v>46082.1666666667</v>
      </c>
      <c r="BF3793" s="0" t="b">
        <v>0</v>
      </c>
      <c r="BG3793" s="0" t="b">
        <v>0</v>
      </c>
      <c r="BH3793" s="0">
        <v>44.25</v>
      </c>
      <c r="BI3793" s="0">
        <v>44.25</v>
      </c>
      <c r="BJ3793" s="0" t="s">
        <v>135</v>
      </c>
    </row>
    <row r="3794">
      <c r="A3794" s="0" t="s">
        <v>4050</v>
      </c>
      <c r="B3794" s="0" t="s">
        <v>134</v>
      </c>
      <c r="C3794" s="0" t="s">
        <v>134</v>
      </c>
      <c r="D3794" s="0" t="s">
        <v>230</v>
      </c>
      <c r="E3794" s="0" t="s">
        <v>3</v>
      </c>
      <c r="F3794" s="0" t="s">
        <v>12</v>
      </c>
      <c r="G3794" s="0" t="s">
        <v>8</v>
      </c>
      <c r="H3794" s="0">
        <v>47</v>
      </c>
      <c r="I3794" s="0">
        <v>53.1</v>
      </c>
      <c r="J3794" s="0">
        <v>0</v>
      </c>
      <c r="K3794" s="0">
        <v>1</v>
      </c>
      <c r="L3794" s="0">
        <v>3</v>
      </c>
      <c r="M3794" s="0">
        <v>1</v>
      </c>
      <c r="N3794" s="0">
        <v>0</v>
      </c>
      <c r="O3794" s="0">
        <v>0</v>
      </c>
      <c r="P3794" s="0">
        <v>-53.1</v>
      </c>
      <c r="R3794" s="0" t="b">
        <v>0</v>
      </c>
      <c r="S3794" s="0" t="b">
        <v>1</v>
      </c>
      <c r="T3794" s="68">
        <v>46006.4641898148</v>
      </c>
      <c r="U3794" s="68">
        <v>46014.2916666667</v>
      </c>
      <c r="V3794" s="68">
        <v>0</v>
      </c>
      <c r="W3794" s="0">
        <f>IF(IF(B3794="none",1,IF(B3794="Trialer",1,0))+IF(C3794="Customer",1,IF(C3794="Lost",1,0))=2,1,0)</f>
      </c>
      <c r="X3794" s="0" t="s">
        <v>1461</v>
      </c>
      <c r="Y3794" s="0" t="s">
        <v>243</v>
      </c>
      <c r="AV3794" s="68"/>
      <c r="AW3794" s="68"/>
      <c r="AY3794" s="27"/>
      <c r="BD3794" s="68">
        <v>46054.1666666667</v>
      </c>
      <c r="BE3794" s="68">
        <v>46082.1666666667</v>
      </c>
      <c r="BF3794" s="0" t="b">
        <v>0</v>
      </c>
      <c r="BG3794" s="0" t="b">
        <v>0</v>
      </c>
      <c r="BH3794" s="0">
        <v>59</v>
      </c>
      <c r="BI3794" s="0">
        <v>59</v>
      </c>
      <c r="BJ3794" s="0" t="s">
        <v>230</v>
      </c>
    </row>
    <row r="3795">
      <c r="A3795" s="0" t="s">
        <v>4051</v>
      </c>
      <c r="B3795" s="0" t="s">
        <v>652</v>
      </c>
      <c r="C3795" s="0" t="s">
        <v>652</v>
      </c>
      <c r="D3795" s="0" t="s">
        <v>135</v>
      </c>
      <c r="E3795" s="0" t="s">
        <v>2</v>
      </c>
      <c r="F3795" s="0" t="s">
        <v>12</v>
      </c>
      <c r="G3795" s="0" t="s">
        <v>8</v>
      </c>
      <c r="H3795" s="0">
        <v>47</v>
      </c>
      <c r="I3795" s="0">
        <v>0</v>
      </c>
      <c r="J3795" s="0">
        <v>0</v>
      </c>
      <c r="K3795" s="0">
        <v>0</v>
      </c>
      <c r="L3795" s="0">
        <v>0</v>
      </c>
      <c r="M3795" s="0">
        <v>0</v>
      </c>
      <c r="N3795" s="0">
        <v>0</v>
      </c>
      <c r="O3795" s="0">
        <v>0</v>
      </c>
      <c r="P3795" s="0">
        <v>0</v>
      </c>
      <c r="R3795" s="0" t="b">
        <v>0</v>
      </c>
      <c r="S3795" s="0" t="b">
        <v>0</v>
      </c>
      <c r="T3795" s="68">
        <v>46006.5683796296</v>
      </c>
      <c r="U3795" s="68">
        <v>0</v>
      </c>
      <c r="V3795" s="68">
        <v>46071.1668402778</v>
      </c>
      <c r="W3795" s="0">
        <f>IF(IF(B3795="none",1,IF(B3795="Trialer",1,0))+IF(C3795="Customer",1,IF(C3795="Lost",1,0))=2,1,0)</f>
      </c>
      <c r="X3795" s="0" t="s">
        <v>882</v>
      </c>
      <c r="Y3795" s="0" t="s">
        <v>499</v>
      </c>
      <c r="AV3795" s="68"/>
      <c r="AW3795" s="68"/>
      <c r="AY3795" s="27"/>
      <c r="BD3795" s="68">
        <v>46054.1666666667</v>
      </c>
      <c r="BE3795" s="68">
        <v>46082.1666666667</v>
      </c>
      <c r="BF3795" s="0" t="b">
        <v>1</v>
      </c>
      <c r="BG3795" s="0" t="b">
        <v>1</v>
      </c>
      <c r="BH3795" s="0">
        <v>53.25</v>
      </c>
      <c r="BI3795" s="0">
        <v>53.25</v>
      </c>
      <c r="BJ3795" s="0" t="s">
        <v>135</v>
      </c>
    </row>
    <row r="3796">
      <c r="A3796" s="0" t="s">
        <v>4052</v>
      </c>
      <c r="B3796" s="0" t="s">
        <v>134</v>
      </c>
      <c r="C3796" s="0" t="s">
        <v>134</v>
      </c>
      <c r="D3796" s="0" t="s">
        <v>135</v>
      </c>
      <c r="E3796" s="0" t="s">
        <v>3</v>
      </c>
      <c r="F3796" s="0" t="s">
        <v>12</v>
      </c>
      <c r="G3796" s="0" t="s">
        <v>8</v>
      </c>
      <c r="H3796" s="0">
        <v>47</v>
      </c>
      <c r="I3796" s="0">
        <v>182.25</v>
      </c>
      <c r="J3796" s="0">
        <v>0</v>
      </c>
      <c r="K3796" s="0">
        <v>1</v>
      </c>
      <c r="L3796" s="0">
        <v>5</v>
      </c>
      <c r="M3796" s="0">
        <v>3</v>
      </c>
      <c r="N3796" s="0">
        <v>0</v>
      </c>
      <c r="O3796" s="0">
        <v>0</v>
      </c>
      <c r="P3796" s="0">
        <v>0</v>
      </c>
      <c r="R3796" s="0" t="b">
        <v>0</v>
      </c>
      <c r="S3796" s="0" t="b">
        <v>1</v>
      </c>
      <c r="T3796" s="68">
        <v>46006.7052546296</v>
      </c>
      <c r="U3796" s="68">
        <v>46020.2916666667</v>
      </c>
      <c r="V3796" s="68">
        <v>0</v>
      </c>
      <c r="W3796" s="0">
        <f>IF(IF(B3796="none",1,IF(B3796="Trialer",1,0))+IF(C3796="Customer",1,IF(C3796="Lost",1,0))=2,1,0)</f>
      </c>
      <c r="X3796" s="0" t="s">
        <v>1461</v>
      </c>
      <c r="Y3796" s="0" t="s">
        <v>243</v>
      </c>
      <c r="AV3796" s="68"/>
      <c r="AW3796" s="68"/>
      <c r="AY3796" s="27"/>
      <c r="BD3796" s="68">
        <v>46054.1666666667</v>
      </c>
      <c r="BE3796" s="68">
        <v>46082.1666666667</v>
      </c>
      <c r="BF3796" s="0" t="b">
        <v>0</v>
      </c>
      <c r="BG3796" s="0" t="b">
        <v>0</v>
      </c>
      <c r="BH3796" s="0">
        <v>182.25</v>
      </c>
      <c r="BI3796" s="0">
        <v>182.25</v>
      </c>
      <c r="BJ3796" s="0" t="s">
        <v>135</v>
      </c>
    </row>
    <row r="3797">
      <c r="A3797" s="0" t="s">
        <v>4053</v>
      </c>
      <c r="B3797" s="0" t="s">
        <v>134</v>
      </c>
      <c r="C3797" s="0" t="s">
        <v>134</v>
      </c>
      <c r="D3797" s="0" t="s">
        <v>135</v>
      </c>
      <c r="E3797" s="0" t="s">
        <v>3</v>
      </c>
      <c r="F3797" s="0" t="s">
        <v>12</v>
      </c>
      <c r="G3797" s="0" t="s">
        <v>8</v>
      </c>
      <c r="H3797" s="0">
        <v>47</v>
      </c>
      <c r="I3797" s="0">
        <v>88.5</v>
      </c>
      <c r="J3797" s="0">
        <v>0</v>
      </c>
      <c r="K3797" s="0">
        <v>1</v>
      </c>
      <c r="L3797" s="0">
        <v>3</v>
      </c>
      <c r="M3797" s="0">
        <v>2</v>
      </c>
      <c r="N3797" s="0">
        <v>0</v>
      </c>
      <c r="O3797" s="0">
        <v>0</v>
      </c>
      <c r="P3797" s="0">
        <v>0</v>
      </c>
      <c r="R3797" s="0" t="b">
        <v>0</v>
      </c>
      <c r="S3797" s="0" t="b">
        <v>1</v>
      </c>
      <c r="T3797" s="68">
        <v>46006.7435763889</v>
      </c>
      <c r="U3797" s="68">
        <v>46020.2916666667</v>
      </c>
      <c r="V3797" s="68">
        <v>0</v>
      </c>
      <c r="W3797" s="0">
        <f>IF(IF(B3797="none",1,IF(B3797="Trialer",1,0))+IF(C3797="Customer",1,IF(C3797="Lost",1,0))=2,1,0)</f>
      </c>
      <c r="X3797" s="0" t="s">
        <v>1461</v>
      </c>
      <c r="Y3797" s="0" t="s">
        <v>243</v>
      </c>
      <c r="AV3797" s="68"/>
      <c r="AW3797" s="68"/>
      <c r="AY3797" s="27"/>
      <c r="BD3797" s="68">
        <v>46054.1666666667</v>
      </c>
      <c r="BE3797" s="68">
        <v>46082.1666666667</v>
      </c>
      <c r="BF3797" s="0" t="b">
        <v>0</v>
      </c>
      <c r="BG3797" s="0" t="b">
        <v>0</v>
      </c>
      <c r="BH3797" s="0">
        <v>88.5</v>
      </c>
      <c r="BI3797" s="0">
        <v>88.5</v>
      </c>
      <c r="BJ3797" s="0" t="s">
        <v>135</v>
      </c>
    </row>
    <row r="3798">
      <c r="A3798" s="0" t="s">
        <v>4054</v>
      </c>
      <c r="B3798" s="0" t="s">
        <v>134</v>
      </c>
      <c r="C3798" s="0" t="s">
        <v>134</v>
      </c>
      <c r="D3798" s="0" t="s">
        <v>135</v>
      </c>
      <c r="E3798" s="0" t="s">
        <v>2</v>
      </c>
      <c r="F3798" s="0" t="s">
        <v>12</v>
      </c>
      <c r="G3798" s="0" t="s">
        <v>8</v>
      </c>
      <c r="H3798" s="0">
        <v>46</v>
      </c>
      <c r="I3798" s="0">
        <v>127.5</v>
      </c>
      <c r="J3798" s="0">
        <v>0</v>
      </c>
      <c r="K3798" s="0">
        <v>1</v>
      </c>
      <c r="L3798" s="0">
        <v>5</v>
      </c>
      <c r="M3798" s="0">
        <v>2</v>
      </c>
      <c r="N3798" s="0">
        <v>0</v>
      </c>
      <c r="O3798" s="0">
        <v>0</v>
      </c>
      <c r="P3798" s="0">
        <v>0</v>
      </c>
      <c r="R3798" s="0" t="b">
        <v>0</v>
      </c>
      <c r="S3798" s="0" t="b">
        <v>1</v>
      </c>
      <c r="T3798" s="68">
        <v>46007.4420138889</v>
      </c>
      <c r="U3798" s="68">
        <v>46021.2916666667</v>
      </c>
      <c r="V3798" s="68">
        <v>0</v>
      </c>
      <c r="W3798" s="0">
        <f>IF(IF(B3798="none",1,IF(B3798="Trialer",1,0))+IF(C3798="Customer",1,IF(C3798="Lost",1,0))=2,1,0)</f>
      </c>
      <c r="X3798" s="0" t="s">
        <v>1461</v>
      </c>
      <c r="Y3798" s="0" t="s">
        <v>499</v>
      </c>
      <c r="AV3798" s="68"/>
      <c r="AW3798" s="68"/>
      <c r="AY3798" s="27"/>
      <c r="BD3798" s="68">
        <v>46054.1666666667</v>
      </c>
      <c r="BE3798" s="68">
        <v>46082.1666666667</v>
      </c>
      <c r="BF3798" s="0" t="b">
        <v>0</v>
      </c>
      <c r="BG3798" s="0" t="b">
        <v>0</v>
      </c>
      <c r="BH3798" s="0">
        <v>127.5</v>
      </c>
      <c r="BI3798" s="0">
        <v>127.5</v>
      </c>
      <c r="BJ3798" s="0" t="s">
        <v>135</v>
      </c>
    </row>
    <row r="3799">
      <c r="A3799" s="0" t="s">
        <v>4055</v>
      </c>
      <c r="B3799" s="0" t="s">
        <v>652</v>
      </c>
      <c r="C3799" s="0" t="s">
        <v>652</v>
      </c>
      <c r="D3799" s="0" t="s">
        <v>135</v>
      </c>
      <c r="E3799" s="0" t="s">
        <v>3</v>
      </c>
      <c r="F3799" s="0" t="s">
        <v>12</v>
      </c>
      <c r="G3799" s="0" t="s">
        <v>8</v>
      </c>
      <c r="H3799" s="0">
        <v>46</v>
      </c>
      <c r="I3799" s="0">
        <v>0</v>
      </c>
      <c r="J3799" s="0">
        <v>0</v>
      </c>
      <c r="K3799" s="0">
        <v>0</v>
      </c>
      <c r="L3799" s="0">
        <v>0</v>
      </c>
      <c r="M3799" s="0">
        <v>0</v>
      </c>
      <c r="N3799" s="0">
        <v>0</v>
      </c>
      <c r="O3799" s="0">
        <v>0</v>
      </c>
      <c r="P3799" s="0">
        <v>0</v>
      </c>
      <c r="R3799" s="0" t="b">
        <v>0</v>
      </c>
      <c r="S3799" s="0" t="b">
        <v>0</v>
      </c>
      <c r="T3799" s="68">
        <v>46007.5879166667</v>
      </c>
      <c r="U3799" s="68">
        <v>0</v>
      </c>
      <c r="V3799" s="68">
        <v>46067.1668402778</v>
      </c>
      <c r="W3799" s="0">
        <f>IF(IF(B3799="none",1,IF(B3799="Trialer",1,0))+IF(C3799="Customer",1,IF(C3799="Lost",1,0))=2,1,0)</f>
      </c>
      <c r="X3799" s="0" t="s">
        <v>882</v>
      </c>
      <c r="Y3799" s="0" t="s">
        <v>243</v>
      </c>
      <c r="AV3799" s="68"/>
      <c r="AW3799" s="68"/>
      <c r="AY3799" s="27"/>
      <c r="BD3799" s="68">
        <v>46054.1666666667</v>
      </c>
      <c r="BE3799" s="68">
        <v>46082.1666666667</v>
      </c>
      <c r="BF3799" s="0" t="b">
        <v>0</v>
      </c>
      <c r="BG3799" s="0" t="b">
        <v>0</v>
      </c>
      <c r="BH3799" s="0">
        <v>0</v>
      </c>
      <c r="BI3799" s="0">
        <v>0</v>
      </c>
      <c r="BJ3799" s="0" t="s">
        <v>135</v>
      </c>
    </row>
    <row r="3800">
      <c r="A3800" s="0" t="s">
        <v>4056</v>
      </c>
      <c r="B3800" s="0" t="s">
        <v>134</v>
      </c>
      <c r="C3800" s="0" t="s">
        <v>134</v>
      </c>
      <c r="D3800" s="0" t="s">
        <v>135</v>
      </c>
      <c r="E3800" s="0" t="s">
        <v>3</v>
      </c>
      <c r="F3800" s="0" t="s">
        <v>12</v>
      </c>
      <c r="G3800" s="0" t="s">
        <v>8</v>
      </c>
      <c r="H3800" s="0">
        <v>46</v>
      </c>
      <c r="I3800" s="0">
        <v>88.5</v>
      </c>
      <c r="J3800" s="0">
        <v>0</v>
      </c>
      <c r="K3800" s="0">
        <v>1</v>
      </c>
      <c r="L3800" s="0">
        <v>4</v>
      </c>
      <c r="M3800" s="0">
        <v>2</v>
      </c>
      <c r="N3800" s="0">
        <v>0</v>
      </c>
      <c r="O3800" s="0">
        <v>0</v>
      </c>
      <c r="P3800" s="0">
        <v>0</v>
      </c>
      <c r="R3800" s="0" t="b">
        <v>0</v>
      </c>
      <c r="S3800" s="0" t="b">
        <v>0</v>
      </c>
      <c r="T3800" s="68">
        <v>46007.6740046296</v>
      </c>
      <c r="U3800" s="68">
        <v>46020.2916666667</v>
      </c>
      <c r="V3800" s="68">
        <v>46090.5018634259</v>
      </c>
      <c r="W3800" s="0">
        <f>IF(IF(B3800="none",1,IF(B3800="Trialer",1,0))+IF(C3800="Customer",1,IF(C3800="Lost",1,0))=2,1,0)</f>
      </c>
      <c r="X3800" s="0" t="s">
        <v>1461</v>
      </c>
      <c r="Y3800" s="0" t="s">
        <v>243</v>
      </c>
      <c r="AV3800" s="68"/>
      <c r="AW3800" s="68"/>
      <c r="AY3800" s="27"/>
      <c r="BD3800" s="68">
        <v>46054.1666666667</v>
      </c>
      <c r="BE3800" s="68">
        <v>46082.1666666667</v>
      </c>
      <c r="BF3800" s="0" t="b">
        <v>0</v>
      </c>
      <c r="BG3800" s="0" t="b">
        <v>0</v>
      </c>
      <c r="BH3800" s="0">
        <v>88.5</v>
      </c>
      <c r="BI3800" s="0">
        <v>88.5</v>
      </c>
      <c r="BJ3800" s="0" t="s">
        <v>135</v>
      </c>
    </row>
    <row r="3801">
      <c r="A3801" s="0" t="s">
        <v>4057</v>
      </c>
      <c r="B3801" s="0" t="s">
        <v>134</v>
      </c>
      <c r="C3801" s="0" t="s">
        <v>134</v>
      </c>
      <c r="D3801" s="0" t="s">
        <v>135</v>
      </c>
      <c r="E3801" s="0" t="s">
        <v>2</v>
      </c>
      <c r="F3801" s="0" t="s">
        <v>10</v>
      </c>
      <c r="G3801" s="0" t="s">
        <v>8</v>
      </c>
      <c r="H3801" s="0">
        <v>46</v>
      </c>
      <c r="I3801" s="0">
        <v>221.25</v>
      </c>
      <c r="J3801" s="0">
        <v>0</v>
      </c>
      <c r="K3801" s="0">
        <v>1</v>
      </c>
      <c r="L3801" s="0">
        <v>3</v>
      </c>
      <c r="M3801" s="0">
        <v>5</v>
      </c>
      <c r="N3801" s="0">
        <v>0</v>
      </c>
      <c r="O3801" s="0">
        <v>0</v>
      </c>
      <c r="P3801" s="0">
        <v>0</v>
      </c>
      <c r="Q3801" s="0" t="s">
        <v>4051</v>
      </c>
      <c r="R3801" s="0" t="b">
        <v>0</v>
      </c>
      <c r="S3801" s="0" t="b">
        <v>1</v>
      </c>
      <c r="T3801" s="68">
        <v>46007.703125</v>
      </c>
      <c r="U3801" s="68">
        <v>46008.2916666667</v>
      </c>
      <c r="V3801" s="68">
        <v>0</v>
      </c>
      <c r="W3801" s="0">
        <f>IF(IF(B3801="none",1,IF(B3801="Trialer",1,0))+IF(C3801="Customer",1,IF(C3801="Lost",1,0))=2,1,0)</f>
      </c>
      <c r="X3801" s="0" t="s">
        <v>882</v>
      </c>
      <c r="Y3801" s="0" t="s">
        <v>499</v>
      </c>
      <c r="AV3801" s="68"/>
      <c r="AW3801" s="68"/>
      <c r="AY3801" s="27"/>
      <c r="BD3801" s="68">
        <v>46054.1666666667</v>
      </c>
      <c r="BE3801" s="68">
        <v>46082.1666666667</v>
      </c>
      <c r="BF3801" s="0" t="b">
        <v>0</v>
      </c>
      <c r="BG3801" s="0" t="b">
        <v>0</v>
      </c>
      <c r="BH3801" s="0">
        <v>295</v>
      </c>
      <c r="BI3801" s="0">
        <v>295</v>
      </c>
      <c r="BJ3801" s="0" t="s">
        <v>135</v>
      </c>
    </row>
    <row r="3802">
      <c r="A3802" s="0" t="s">
        <v>4058</v>
      </c>
      <c r="B3802" s="0" t="s">
        <v>134</v>
      </c>
      <c r="C3802" s="0" t="s">
        <v>134</v>
      </c>
      <c r="D3802" s="0" t="s">
        <v>135</v>
      </c>
      <c r="E3802" s="0" t="s">
        <v>3</v>
      </c>
      <c r="F3802" s="0" t="s">
        <v>12</v>
      </c>
      <c r="G3802" s="0" t="s">
        <v>8</v>
      </c>
      <c r="H3802" s="0">
        <v>46</v>
      </c>
      <c r="I3802" s="0">
        <v>53.25</v>
      </c>
      <c r="J3802" s="0">
        <v>0</v>
      </c>
      <c r="K3802" s="0">
        <v>1</v>
      </c>
      <c r="L3802" s="0">
        <v>4</v>
      </c>
      <c r="M3802" s="0">
        <v>1</v>
      </c>
      <c r="N3802" s="0">
        <v>0</v>
      </c>
      <c r="O3802" s="0">
        <v>0</v>
      </c>
      <c r="P3802" s="0">
        <v>0</v>
      </c>
      <c r="R3802" s="0" t="b">
        <v>0</v>
      </c>
      <c r="S3802" s="0" t="b">
        <v>1</v>
      </c>
      <c r="T3802" s="68">
        <v>46007.8055787037</v>
      </c>
      <c r="U3802" s="68">
        <v>46022.2916666667</v>
      </c>
      <c r="V3802" s="68">
        <v>0</v>
      </c>
      <c r="W3802" s="0">
        <f>IF(IF(B3802="none",1,IF(B3802="Trialer",1,0))+IF(C3802="Customer",1,IF(C3802="Lost",1,0))=2,1,0)</f>
      </c>
      <c r="X3802" s="0" t="s">
        <v>1461</v>
      </c>
      <c r="Y3802" s="0" t="s">
        <v>243</v>
      </c>
      <c r="AV3802" s="68"/>
      <c r="AW3802" s="68"/>
      <c r="AY3802" s="27"/>
      <c r="BD3802" s="68">
        <v>46054.1666666667</v>
      </c>
      <c r="BE3802" s="68">
        <v>46082.1666666667</v>
      </c>
      <c r="BF3802" s="0" t="b">
        <v>0</v>
      </c>
      <c r="BG3802" s="0" t="b">
        <v>0</v>
      </c>
      <c r="BH3802" s="0">
        <v>53.25</v>
      </c>
      <c r="BI3802" s="0">
        <v>53.25</v>
      </c>
      <c r="BJ3802" s="0" t="s">
        <v>135</v>
      </c>
    </row>
    <row r="3803">
      <c r="A3803" s="0" t="s">
        <v>4059</v>
      </c>
      <c r="B3803" s="0" t="s">
        <v>134</v>
      </c>
      <c r="C3803" s="0" t="s">
        <v>134</v>
      </c>
      <c r="D3803" s="0" t="s">
        <v>135</v>
      </c>
      <c r="E3803" s="0" t="s">
        <v>3</v>
      </c>
      <c r="F3803" s="0" t="s">
        <v>12</v>
      </c>
      <c r="G3803" s="0" t="s">
        <v>8</v>
      </c>
      <c r="H3803" s="0">
        <v>45</v>
      </c>
      <c r="I3803" s="0">
        <v>88.5</v>
      </c>
      <c r="J3803" s="0">
        <v>0</v>
      </c>
      <c r="K3803" s="0">
        <v>1</v>
      </c>
      <c r="L3803" s="0">
        <v>3</v>
      </c>
      <c r="M3803" s="0">
        <v>2</v>
      </c>
      <c r="N3803" s="0">
        <v>0</v>
      </c>
      <c r="O3803" s="0">
        <v>0</v>
      </c>
      <c r="P3803" s="0">
        <v>0</v>
      </c>
      <c r="R3803" s="0" t="b">
        <v>0</v>
      </c>
      <c r="S3803" s="0" t="b">
        <v>1</v>
      </c>
      <c r="T3803" s="68">
        <v>46008.4234837963</v>
      </c>
      <c r="U3803" s="68">
        <v>46022.2916666667</v>
      </c>
      <c r="V3803" s="68">
        <v>0</v>
      </c>
      <c r="W3803" s="0">
        <f>IF(IF(B3803="none",1,IF(B3803="Trialer",1,0))+IF(C3803="Customer",1,IF(C3803="Lost",1,0))=2,1,0)</f>
      </c>
      <c r="X3803" s="0" t="s">
        <v>1461</v>
      </c>
      <c r="Y3803" s="0" t="s">
        <v>243</v>
      </c>
      <c r="AV3803" s="68"/>
      <c r="AW3803" s="68"/>
      <c r="AY3803" s="27"/>
      <c r="BD3803" s="68">
        <v>46054.1666666667</v>
      </c>
      <c r="BE3803" s="68">
        <v>46082.1666666667</v>
      </c>
      <c r="BF3803" s="0" t="b">
        <v>0</v>
      </c>
      <c r="BG3803" s="0" t="b">
        <v>0</v>
      </c>
      <c r="BH3803" s="0">
        <v>88.5</v>
      </c>
      <c r="BI3803" s="0">
        <v>88.5</v>
      </c>
      <c r="BJ3803" s="0" t="s">
        <v>135</v>
      </c>
    </row>
    <row r="3804">
      <c r="A3804" s="0" t="s">
        <v>4060</v>
      </c>
      <c r="B3804" s="0" t="s">
        <v>134</v>
      </c>
      <c r="C3804" s="0" t="s">
        <v>134</v>
      </c>
      <c r="D3804" s="0" t="s">
        <v>230</v>
      </c>
      <c r="E3804" s="0" t="s">
        <v>3</v>
      </c>
      <c r="F3804" s="0" t="s">
        <v>12</v>
      </c>
      <c r="G3804" s="0" t="s">
        <v>8</v>
      </c>
      <c r="H3804" s="0">
        <v>45</v>
      </c>
      <c r="I3804" s="0">
        <v>1169.2</v>
      </c>
      <c r="J3804" s="0">
        <v>0</v>
      </c>
      <c r="K3804" s="0">
        <v>1</v>
      </c>
      <c r="L3804" s="0">
        <v>3</v>
      </c>
      <c r="M3804" s="0">
        <v>22</v>
      </c>
      <c r="N3804" s="0">
        <v>0</v>
      </c>
      <c r="O3804" s="0">
        <v>0</v>
      </c>
      <c r="P3804" s="0">
        <v>-844.2</v>
      </c>
      <c r="R3804" s="0" t="b">
        <v>0</v>
      </c>
      <c r="S3804" s="0" t="b">
        <v>1</v>
      </c>
      <c r="T3804" s="68">
        <v>46008.4616435185</v>
      </c>
      <c r="U3804" s="68">
        <v>46022.2916666667</v>
      </c>
      <c r="V3804" s="68">
        <v>0</v>
      </c>
      <c r="W3804" s="0">
        <f>IF(IF(B3804="none",1,IF(B3804="Trialer",1,0))+IF(C3804="Customer",1,IF(C3804="Lost",1,0))=2,1,0)</f>
      </c>
      <c r="X3804" s="0" t="s">
        <v>148</v>
      </c>
      <c r="Y3804" s="0" t="s">
        <v>243</v>
      </c>
      <c r="AV3804" s="68"/>
      <c r="AW3804" s="68"/>
      <c r="AY3804" s="27"/>
      <c r="BD3804" s="68">
        <v>46054.1666666667</v>
      </c>
      <c r="BE3804" s="68">
        <v>46082.1666666667</v>
      </c>
      <c r="BF3804" s="0" t="b">
        <v>0</v>
      </c>
      <c r="BG3804" s="0" t="b">
        <v>0</v>
      </c>
      <c r="BH3804" s="0">
        <v>938</v>
      </c>
      <c r="BI3804" s="0">
        <v>938</v>
      </c>
      <c r="BJ3804" s="0" t="s">
        <v>230</v>
      </c>
    </row>
    <row r="3805">
      <c r="A3805" s="0" t="s">
        <v>4061</v>
      </c>
      <c r="B3805" s="0" t="s">
        <v>134</v>
      </c>
      <c r="C3805" s="0" t="s">
        <v>134</v>
      </c>
      <c r="D3805" s="0" t="s">
        <v>135</v>
      </c>
      <c r="E3805" s="0" t="s">
        <v>3</v>
      </c>
      <c r="F3805" s="0" t="s">
        <v>12</v>
      </c>
      <c r="G3805" s="0" t="s">
        <v>8</v>
      </c>
      <c r="H3805" s="0">
        <v>45</v>
      </c>
      <c r="I3805" s="0">
        <v>0</v>
      </c>
      <c r="J3805" s="0">
        <v>0</v>
      </c>
      <c r="K3805" s="0">
        <v>1</v>
      </c>
      <c r="L3805" s="0">
        <v>3</v>
      </c>
      <c r="M3805" s="0">
        <v>1</v>
      </c>
      <c r="N3805" s="0">
        <v>0</v>
      </c>
      <c r="O3805" s="0">
        <v>0</v>
      </c>
      <c r="P3805" s="0">
        <v>0</v>
      </c>
      <c r="R3805" s="0" t="b">
        <v>0</v>
      </c>
      <c r="S3805" s="0" t="b">
        <v>1</v>
      </c>
      <c r="T3805" s="68">
        <v>46008.5151041667</v>
      </c>
      <c r="U3805" s="68">
        <v>46022.2916666667</v>
      </c>
      <c r="V3805" s="68">
        <v>0</v>
      </c>
      <c r="W3805" s="0">
        <f>IF(IF(B3805="none",1,IF(B3805="Trialer",1,0))+IF(C3805="Customer",1,IF(C3805="Lost",1,0))=2,1,0)</f>
      </c>
      <c r="X3805" s="0" t="s">
        <v>148</v>
      </c>
      <c r="Y3805" s="0" t="s">
        <v>2664</v>
      </c>
      <c r="AV3805" s="68"/>
      <c r="AW3805" s="68"/>
      <c r="AY3805" s="27"/>
      <c r="BD3805" s="68">
        <v>46054.1666666667</v>
      </c>
      <c r="BE3805" s="68">
        <v>46082.1666666667</v>
      </c>
      <c r="BF3805" s="0" t="b">
        <v>0</v>
      </c>
      <c r="BG3805" s="0" t="b">
        <v>0</v>
      </c>
      <c r="BH3805" s="0">
        <v>0</v>
      </c>
      <c r="BI3805" s="0">
        <v>0</v>
      </c>
      <c r="BJ3805" s="0" t="s">
        <v>135</v>
      </c>
    </row>
    <row r="3806">
      <c r="A3806" s="0" t="s">
        <v>4062</v>
      </c>
      <c r="B3806" s="0" t="s">
        <v>134</v>
      </c>
      <c r="C3806" s="0" t="s">
        <v>134</v>
      </c>
      <c r="D3806" s="0" t="s">
        <v>135</v>
      </c>
      <c r="E3806" s="0" t="s">
        <v>3</v>
      </c>
      <c r="F3806" s="0" t="s">
        <v>12</v>
      </c>
      <c r="G3806" s="0" t="s">
        <v>8</v>
      </c>
      <c r="H3806" s="0">
        <v>45</v>
      </c>
      <c r="I3806" s="0">
        <v>63.75</v>
      </c>
      <c r="J3806" s="0">
        <v>0</v>
      </c>
      <c r="K3806" s="0">
        <v>1</v>
      </c>
      <c r="L3806" s="0">
        <v>5</v>
      </c>
      <c r="M3806" s="0">
        <v>1</v>
      </c>
      <c r="N3806" s="0">
        <v>0</v>
      </c>
      <c r="O3806" s="0">
        <v>0</v>
      </c>
      <c r="P3806" s="0">
        <v>0</v>
      </c>
      <c r="R3806" s="0" t="b">
        <v>0</v>
      </c>
      <c r="S3806" s="0" t="b">
        <v>1</v>
      </c>
      <c r="T3806" s="68">
        <v>46008.7397222222</v>
      </c>
      <c r="U3806" s="68">
        <v>46028.2916666667</v>
      </c>
      <c r="V3806" s="68">
        <v>0</v>
      </c>
      <c r="W3806" s="0">
        <f>IF(IF(B3806="none",1,IF(B3806="Trialer",1,0))+IF(C3806="Customer",1,IF(C3806="Lost",1,0))=2,1,0)</f>
      </c>
      <c r="X3806" s="0" t="s">
        <v>1461</v>
      </c>
      <c r="Y3806" s="0" t="s">
        <v>243</v>
      </c>
      <c r="AV3806" s="68"/>
      <c r="AW3806" s="68"/>
      <c r="AY3806" s="27"/>
      <c r="BD3806" s="68">
        <v>46054.1666666667</v>
      </c>
      <c r="BE3806" s="68">
        <v>46082.1666666667</v>
      </c>
      <c r="BF3806" s="0" t="b">
        <v>0</v>
      </c>
      <c r="BG3806" s="0" t="b">
        <v>0</v>
      </c>
      <c r="BH3806" s="0">
        <v>63.75</v>
      </c>
      <c r="BI3806" s="0">
        <v>63.75</v>
      </c>
      <c r="BJ3806" s="0" t="s">
        <v>135</v>
      </c>
    </row>
    <row r="3807">
      <c r="A3807" s="0" t="s">
        <v>4063</v>
      </c>
      <c r="B3807" s="0" t="s">
        <v>134</v>
      </c>
      <c r="C3807" s="0" t="s">
        <v>134</v>
      </c>
      <c r="D3807" s="0" t="s">
        <v>135</v>
      </c>
      <c r="E3807" s="0" t="s">
        <v>3</v>
      </c>
      <c r="F3807" s="0" t="s">
        <v>12</v>
      </c>
      <c r="G3807" s="0" t="s">
        <v>8</v>
      </c>
      <c r="H3807" s="0">
        <v>45</v>
      </c>
      <c r="I3807" s="0">
        <v>117.75</v>
      </c>
      <c r="J3807" s="0">
        <v>0</v>
      </c>
      <c r="K3807" s="0">
        <v>1</v>
      </c>
      <c r="L3807" s="0">
        <v>3</v>
      </c>
      <c r="M3807" s="0">
        <v>3</v>
      </c>
      <c r="N3807" s="0">
        <v>0</v>
      </c>
      <c r="O3807" s="0">
        <v>0</v>
      </c>
      <c r="P3807" s="0">
        <v>0</v>
      </c>
      <c r="R3807" s="0" t="b">
        <v>0</v>
      </c>
      <c r="S3807" s="0" t="b">
        <v>1</v>
      </c>
      <c r="T3807" s="68">
        <v>46008.9235069444</v>
      </c>
      <c r="U3807" s="68">
        <v>46027.2916666667</v>
      </c>
      <c r="V3807" s="68">
        <v>0</v>
      </c>
      <c r="W3807" s="0">
        <f>IF(IF(B3807="none",1,IF(B3807="Trialer",1,0))+IF(C3807="Customer",1,IF(C3807="Lost",1,0))=2,1,0)</f>
      </c>
      <c r="X3807" s="0" t="s">
        <v>1461</v>
      </c>
      <c r="Y3807" s="0" t="s">
        <v>243</v>
      </c>
      <c r="AV3807" s="68"/>
      <c r="AW3807" s="68"/>
      <c r="AY3807" s="27"/>
      <c r="BD3807" s="68">
        <v>46054.1666666667</v>
      </c>
      <c r="BE3807" s="68">
        <v>46082.1666666667</v>
      </c>
      <c r="BF3807" s="0" t="b">
        <v>0</v>
      </c>
      <c r="BG3807" s="0" t="b">
        <v>0</v>
      </c>
      <c r="BH3807" s="0">
        <v>117.75</v>
      </c>
      <c r="BI3807" s="0">
        <v>117.75</v>
      </c>
      <c r="BJ3807" s="0" t="s">
        <v>135</v>
      </c>
    </row>
    <row r="3808">
      <c r="A3808" s="0" t="s">
        <v>4064</v>
      </c>
      <c r="B3808" s="0" t="s">
        <v>134</v>
      </c>
      <c r="C3808" s="0" t="s">
        <v>134</v>
      </c>
      <c r="D3808" s="0" t="s">
        <v>135</v>
      </c>
      <c r="E3808" s="0" t="s">
        <v>3</v>
      </c>
      <c r="F3808" s="0" t="s">
        <v>10</v>
      </c>
      <c r="G3808" s="0" t="s">
        <v>8</v>
      </c>
      <c r="H3808" s="0">
        <v>44</v>
      </c>
      <c r="I3808" s="0">
        <v>147</v>
      </c>
      <c r="J3808" s="0">
        <v>0</v>
      </c>
      <c r="K3808" s="0">
        <v>1</v>
      </c>
      <c r="L3808" s="0">
        <v>2</v>
      </c>
      <c r="M3808" s="0">
        <v>4</v>
      </c>
      <c r="N3808" s="0">
        <v>232.5</v>
      </c>
      <c r="O3808" s="0">
        <v>0</v>
      </c>
      <c r="P3808" s="0">
        <v>0</v>
      </c>
      <c r="Q3808" s="0" t="s">
        <v>4065</v>
      </c>
      <c r="R3808" s="0" t="b">
        <v>0</v>
      </c>
      <c r="S3808" s="0" t="b">
        <v>1</v>
      </c>
      <c r="T3808" s="68">
        <v>46009.2919560185</v>
      </c>
      <c r="U3808" s="68">
        <v>46023.2916666667</v>
      </c>
      <c r="V3808" s="68">
        <v>0</v>
      </c>
      <c r="W3808" s="0">
        <f>IF(IF(B3808="none",1,IF(B3808="Trialer",1,0))+IF(C3808="Customer",1,IF(C3808="Lost",1,0))=2,1,0)</f>
      </c>
      <c r="X3808" s="0" t="s">
        <v>148</v>
      </c>
      <c r="Y3808" s="0" t="s">
        <v>243</v>
      </c>
      <c r="AV3808" s="68"/>
      <c r="AW3808" s="68"/>
      <c r="AY3808" s="27"/>
      <c r="BD3808" s="68">
        <v>46054.1666666667</v>
      </c>
      <c r="BE3808" s="68">
        <v>46082.1666666667</v>
      </c>
      <c r="BF3808" s="0" t="b">
        <v>0</v>
      </c>
      <c r="BG3808" s="0" t="b">
        <v>0</v>
      </c>
      <c r="BH3808" s="0">
        <v>147</v>
      </c>
      <c r="BI3808" s="0">
        <v>147</v>
      </c>
      <c r="BJ3808" s="0" t="s">
        <v>135</v>
      </c>
    </row>
    <row r="3809">
      <c r="A3809" s="0" t="s">
        <v>4066</v>
      </c>
      <c r="B3809" s="0" t="s">
        <v>134</v>
      </c>
      <c r="C3809" s="0" t="s">
        <v>190</v>
      </c>
      <c r="D3809" s="0" t="s">
        <v>135</v>
      </c>
      <c r="E3809" s="0" t="s">
        <v>3</v>
      </c>
      <c r="F3809" s="0" t="s">
        <v>12</v>
      </c>
      <c r="G3809" s="0" t="s">
        <v>8</v>
      </c>
      <c r="H3809" s="0">
        <v>44</v>
      </c>
      <c r="I3809" s="0">
        <v>54.75</v>
      </c>
      <c r="J3809" s="0">
        <v>0</v>
      </c>
      <c r="K3809" s="0">
        <v>1</v>
      </c>
      <c r="L3809" s="0">
        <v>4</v>
      </c>
      <c r="M3809" s="0">
        <v>1</v>
      </c>
      <c r="N3809" s="0">
        <v>0</v>
      </c>
      <c r="O3809" s="0">
        <v>0</v>
      </c>
      <c r="P3809" s="0">
        <v>0</v>
      </c>
      <c r="R3809" s="0" t="b">
        <v>0</v>
      </c>
      <c r="S3809" s="0" t="b">
        <v>0</v>
      </c>
      <c r="T3809" s="68">
        <v>46009.4194444444</v>
      </c>
      <c r="U3809" s="68">
        <v>46024.2916666667</v>
      </c>
      <c r="V3809" s="68">
        <v>46079.4520023148</v>
      </c>
      <c r="W3809" s="0">
        <f>IF(IF(B3809="none",1,IF(B3809="Trialer",1,0))+IF(C3809="Customer",1,IF(C3809="Lost",1,0))=2,1,0)</f>
      </c>
      <c r="X3809" s="0" t="s">
        <v>145</v>
      </c>
      <c r="Y3809" s="0" t="s">
        <v>243</v>
      </c>
      <c r="AV3809" s="68"/>
      <c r="AW3809" s="68"/>
      <c r="AY3809" s="27"/>
      <c r="BD3809" s="68">
        <v>46054.1666666667</v>
      </c>
      <c r="BE3809" s="68">
        <v>46082.1666666667</v>
      </c>
      <c r="BF3809" s="0" t="b">
        <v>0</v>
      </c>
      <c r="BG3809" s="0" t="b">
        <v>1</v>
      </c>
      <c r="BH3809" s="0">
        <v>54.75</v>
      </c>
      <c r="BI3809" s="0">
        <v>54.75</v>
      </c>
      <c r="BJ3809" s="0" t="s">
        <v>135</v>
      </c>
    </row>
    <row r="3810">
      <c r="A3810" s="0" t="s">
        <v>4067</v>
      </c>
      <c r="B3810" s="0" t="s">
        <v>134</v>
      </c>
      <c r="C3810" s="0" t="s">
        <v>134</v>
      </c>
      <c r="D3810" s="0" t="s">
        <v>135</v>
      </c>
      <c r="E3810" s="0" t="s">
        <v>3</v>
      </c>
      <c r="F3810" s="0" t="s">
        <v>12</v>
      </c>
      <c r="G3810" s="0" t="s">
        <v>8</v>
      </c>
      <c r="H3810" s="0">
        <v>44</v>
      </c>
      <c r="I3810" s="0">
        <v>44.25</v>
      </c>
      <c r="J3810" s="0">
        <v>0</v>
      </c>
      <c r="K3810" s="0">
        <v>1</v>
      </c>
      <c r="L3810" s="0">
        <v>3</v>
      </c>
      <c r="M3810" s="0">
        <v>1</v>
      </c>
      <c r="N3810" s="0">
        <v>0</v>
      </c>
      <c r="O3810" s="0">
        <v>0</v>
      </c>
      <c r="P3810" s="0">
        <v>0</v>
      </c>
      <c r="R3810" s="0" t="b">
        <v>0</v>
      </c>
      <c r="S3810" s="0" t="b">
        <v>1</v>
      </c>
      <c r="T3810" s="68">
        <v>46009.4730439815</v>
      </c>
      <c r="U3810" s="68">
        <v>46051.2916666667</v>
      </c>
      <c r="V3810" s="68">
        <v>0</v>
      </c>
      <c r="W3810" s="0">
        <f>IF(IF(B3810="none",1,IF(B3810="Trialer",1,0))+IF(C3810="Customer",1,IF(C3810="Lost",1,0))=2,1,0)</f>
      </c>
      <c r="X3810" s="0" t="s">
        <v>1461</v>
      </c>
      <c r="Y3810" s="0" t="s">
        <v>243</v>
      </c>
      <c r="AV3810" s="68"/>
      <c r="AW3810" s="68"/>
      <c r="AY3810" s="27"/>
      <c r="BD3810" s="68">
        <v>46054.1666666667</v>
      </c>
      <c r="BE3810" s="68">
        <v>46082.1666666667</v>
      </c>
      <c r="BF3810" s="0" t="b">
        <v>0</v>
      </c>
      <c r="BG3810" s="0" t="b">
        <v>0</v>
      </c>
      <c r="BH3810" s="0">
        <v>44.25</v>
      </c>
      <c r="BI3810" s="0">
        <v>44.25</v>
      </c>
      <c r="BJ3810" s="0" t="s">
        <v>135</v>
      </c>
    </row>
    <row r="3811">
      <c r="A3811" s="0" t="s">
        <v>4068</v>
      </c>
      <c r="B3811" s="0" t="s">
        <v>134</v>
      </c>
      <c r="C3811" s="0" t="s">
        <v>134</v>
      </c>
      <c r="D3811" s="0" t="s">
        <v>135</v>
      </c>
      <c r="E3811" s="0" t="s">
        <v>3</v>
      </c>
      <c r="F3811" s="0" t="s">
        <v>12</v>
      </c>
      <c r="G3811" s="0" t="s">
        <v>8</v>
      </c>
      <c r="H3811" s="0">
        <v>44</v>
      </c>
      <c r="I3811" s="0">
        <v>88.5</v>
      </c>
      <c r="J3811" s="0">
        <v>0</v>
      </c>
      <c r="K3811" s="0">
        <v>1</v>
      </c>
      <c r="L3811" s="0">
        <v>3</v>
      </c>
      <c r="M3811" s="0">
        <v>2</v>
      </c>
      <c r="N3811" s="0">
        <v>0</v>
      </c>
      <c r="O3811" s="0">
        <v>0</v>
      </c>
      <c r="P3811" s="0">
        <v>0</v>
      </c>
      <c r="R3811" s="0" t="b">
        <v>0</v>
      </c>
      <c r="S3811" s="0" t="b">
        <v>1</v>
      </c>
      <c r="T3811" s="68">
        <v>46009.4733101852</v>
      </c>
      <c r="U3811" s="68">
        <v>46031.2916666667</v>
      </c>
      <c r="V3811" s="68">
        <v>0</v>
      </c>
      <c r="W3811" s="0">
        <f>IF(IF(B3811="none",1,IF(B3811="Trialer",1,0))+IF(C3811="Customer",1,IF(C3811="Lost",1,0))=2,1,0)</f>
      </c>
      <c r="X3811" s="0" t="s">
        <v>1461</v>
      </c>
      <c r="Y3811" s="0" t="s">
        <v>243</v>
      </c>
      <c r="AV3811" s="68"/>
      <c r="AW3811" s="68"/>
      <c r="AY3811" s="27"/>
      <c r="BD3811" s="68">
        <v>46054.1666666667</v>
      </c>
      <c r="BE3811" s="68">
        <v>46082.1666666667</v>
      </c>
      <c r="BF3811" s="0" t="b">
        <v>0</v>
      </c>
      <c r="BG3811" s="0" t="b">
        <v>0</v>
      </c>
      <c r="BH3811" s="0">
        <v>88.5</v>
      </c>
      <c r="BI3811" s="0">
        <v>88.5</v>
      </c>
      <c r="BJ3811" s="0" t="s">
        <v>135</v>
      </c>
    </row>
    <row r="3812">
      <c r="A3812" s="0" t="s">
        <v>4069</v>
      </c>
      <c r="B3812" s="0" t="s">
        <v>134</v>
      </c>
      <c r="C3812" s="0" t="s">
        <v>134</v>
      </c>
      <c r="D3812" s="0" t="s">
        <v>230</v>
      </c>
      <c r="E3812" s="0" t="s">
        <v>2</v>
      </c>
      <c r="F3812" s="0" t="s">
        <v>12</v>
      </c>
      <c r="G3812" s="0" t="s">
        <v>8</v>
      </c>
      <c r="H3812" s="0">
        <v>44</v>
      </c>
      <c r="I3812" s="0">
        <v>63</v>
      </c>
      <c r="J3812" s="0">
        <v>0</v>
      </c>
      <c r="K3812" s="0">
        <v>1</v>
      </c>
      <c r="L3812" s="0">
        <v>1</v>
      </c>
      <c r="M3812" s="0">
        <v>2</v>
      </c>
      <c r="N3812" s="0">
        <v>0</v>
      </c>
      <c r="O3812" s="0">
        <v>0</v>
      </c>
      <c r="P3812" s="0">
        <v>-63</v>
      </c>
      <c r="R3812" s="0" t="b">
        <v>0</v>
      </c>
      <c r="S3812" s="0" t="b">
        <v>1</v>
      </c>
      <c r="T3812" s="68">
        <v>46009.5421527778</v>
      </c>
      <c r="U3812" s="68">
        <v>46014.2916666667</v>
      </c>
      <c r="V3812" s="68">
        <v>0</v>
      </c>
      <c r="W3812" s="0">
        <f>IF(IF(B3812="none",1,IF(B3812="Trialer",1,0))+IF(C3812="Customer",1,IF(C3812="Lost",1,0))=2,1,0)</f>
      </c>
      <c r="X3812" s="0" t="s">
        <v>1461</v>
      </c>
      <c r="Y3812" s="0" t="s">
        <v>499</v>
      </c>
      <c r="AV3812" s="68"/>
      <c r="AW3812" s="68"/>
      <c r="AY3812" s="27"/>
      <c r="BD3812" s="68">
        <v>46054.1666666667</v>
      </c>
      <c r="BE3812" s="68">
        <v>46082.1666666667</v>
      </c>
      <c r="BF3812" s="0" t="b">
        <v>0</v>
      </c>
      <c r="BG3812" s="0" t="b">
        <v>0</v>
      </c>
      <c r="BH3812" s="0">
        <v>70</v>
      </c>
      <c r="BI3812" s="0">
        <v>70</v>
      </c>
      <c r="BJ3812" s="0" t="s">
        <v>230</v>
      </c>
    </row>
    <row r="3813">
      <c r="A3813" s="0" t="s">
        <v>4070</v>
      </c>
      <c r="B3813" s="0" t="s">
        <v>652</v>
      </c>
      <c r="C3813" s="0" t="s">
        <v>652</v>
      </c>
      <c r="D3813" s="0" t="s">
        <v>135</v>
      </c>
      <c r="E3813" s="0" t="s">
        <v>2</v>
      </c>
      <c r="F3813" s="0" t="s">
        <v>12</v>
      </c>
      <c r="G3813" s="0" t="s">
        <v>8</v>
      </c>
      <c r="H3813" s="0">
        <v>44</v>
      </c>
      <c r="I3813" s="0">
        <v>0</v>
      </c>
      <c r="J3813" s="0">
        <v>0</v>
      </c>
      <c r="K3813" s="0">
        <v>0</v>
      </c>
      <c r="L3813" s="0">
        <v>0</v>
      </c>
      <c r="M3813" s="0">
        <v>0</v>
      </c>
      <c r="N3813" s="0">
        <v>0</v>
      </c>
      <c r="O3813" s="0">
        <v>0</v>
      </c>
      <c r="P3813" s="0">
        <v>0</v>
      </c>
      <c r="R3813" s="0" t="b">
        <v>0</v>
      </c>
      <c r="S3813" s="0" t="b">
        <v>0</v>
      </c>
      <c r="T3813" s="68">
        <v>46009.587662037</v>
      </c>
      <c r="U3813" s="68">
        <v>0</v>
      </c>
      <c r="V3813" s="68">
        <v>46073.1668055556</v>
      </c>
      <c r="W3813" s="0">
        <f>IF(IF(B3813="none",1,IF(B3813="Trialer",1,0))+IF(C3813="Customer",1,IF(C3813="Lost",1,0))=2,1,0)</f>
      </c>
      <c r="X3813" s="0" t="s">
        <v>145</v>
      </c>
      <c r="Y3813" s="0" t="s">
        <v>499</v>
      </c>
      <c r="AV3813" s="68"/>
      <c r="AW3813" s="68"/>
      <c r="AY3813" s="27"/>
      <c r="BD3813" s="68">
        <v>46054.1666666667</v>
      </c>
      <c r="BE3813" s="68">
        <v>46082.1666666667</v>
      </c>
      <c r="BF3813" s="0" t="b">
        <v>0</v>
      </c>
      <c r="BG3813" s="0" t="b">
        <v>0</v>
      </c>
      <c r="BH3813" s="0">
        <v>251.5</v>
      </c>
      <c r="BI3813" s="0">
        <v>251.5</v>
      </c>
      <c r="BJ3813" s="0" t="s">
        <v>135</v>
      </c>
    </row>
    <row r="3814">
      <c r="A3814" s="0" t="s">
        <v>4071</v>
      </c>
      <c r="B3814" s="0" t="s">
        <v>134</v>
      </c>
      <c r="C3814" s="0" t="s">
        <v>134</v>
      </c>
      <c r="D3814" s="0" t="s">
        <v>135</v>
      </c>
      <c r="E3814" s="0" t="s">
        <v>3</v>
      </c>
      <c r="F3814" s="0" t="s">
        <v>12</v>
      </c>
      <c r="G3814" s="0" t="s">
        <v>8</v>
      </c>
      <c r="H3814" s="0">
        <v>44</v>
      </c>
      <c r="I3814" s="0">
        <v>986</v>
      </c>
      <c r="J3814" s="0">
        <v>0</v>
      </c>
      <c r="K3814" s="0">
        <v>1</v>
      </c>
      <c r="L3814" s="0">
        <v>3</v>
      </c>
      <c r="M3814" s="0">
        <v>28</v>
      </c>
      <c r="N3814" s="0">
        <v>418.5</v>
      </c>
      <c r="O3814" s="0">
        <v>0</v>
      </c>
      <c r="P3814" s="0">
        <v>0</v>
      </c>
      <c r="R3814" s="0" t="b">
        <v>0</v>
      </c>
      <c r="S3814" s="0" t="b">
        <v>1</v>
      </c>
      <c r="T3814" s="68">
        <v>46009.6322106481</v>
      </c>
      <c r="U3814" s="68">
        <v>46009.2916666667</v>
      </c>
      <c r="V3814" s="68">
        <v>0</v>
      </c>
      <c r="W3814" s="0">
        <f>IF(IF(B3814="none",1,IF(B3814="Trialer",1,0))+IF(C3814="Customer",1,IF(C3814="Lost",1,0))=2,1,0)</f>
      </c>
      <c r="X3814" s="0" t="s">
        <v>145</v>
      </c>
      <c r="Y3814" s="0" t="s">
        <v>243</v>
      </c>
      <c r="AV3814" s="68"/>
      <c r="AW3814" s="68"/>
      <c r="AY3814" s="27"/>
      <c r="BD3814" s="68">
        <v>46054.1666666667</v>
      </c>
      <c r="BE3814" s="68">
        <v>46082.1666666667</v>
      </c>
      <c r="BF3814" s="0" t="b">
        <v>0</v>
      </c>
      <c r="BG3814" s="0" t="b">
        <v>0</v>
      </c>
      <c r="BH3814" s="0">
        <v>1069</v>
      </c>
      <c r="BI3814" s="0">
        <v>1069</v>
      </c>
      <c r="BJ3814" s="0" t="s">
        <v>135</v>
      </c>
    </row>
    <row r="3815">
      <c r="A3815" s="0" t="s">
        <v>4072</v>
      </c>
      <c r="B3815" s="0" t="s">
        <v>134</v>
      </c>
      <c r="C3815" s="0" t="s">
        <v>134</v>
      </c>
      <c r="D3815" s="0" t="s">
        <v>230</v>
      </c>
      <c r="E3815" s="0" t="s">
        <v>3</v>
      </c>
      <c r="F3815" s="0" t="s">
        <v>12</v>
      </c>
      <c r="G3815" s="0" t="s">
        <v>8</v>
      </c>
      <c r="H3815" s="0">
        <v>44</v>
      </c>
      <c r="I3815" s="0">
        <v>128.8</v>
      </c>
      <c r="J3815" s="0">
        <v>0</v>
      </c>
      <c r="K3815" s="0">
        <v>1</v>
      </c>
      <c r="L3815" s="0">
        <v>5</v>
      </c>
      <c r="M3815" s="0">
        <v>2</v>
      </c>
      <c r="N3815" s="0">
        <v>0</v>
      </c>
      <c r="O3815" s="0">
        <v>0</v>
      </c>
      <c r="P3815" s="0">
        <v>-128.8</v>
      </c>
      <c r="R3815" s="0" t="b">
        <v>0</v>
      </c>
      <c r="S3815" s="0" t="b">
        <v>1</v>
      </c>
      <c r="T3815" s="68">
        <v>46009.7391203704</v>
      </c>
      <c r="U3815" s="68">
        <v>46023.2916666667</v>
      </c>
      <c r="V3815" s="68">
        <v>0</v>
      </c>
      <c r="W3815" s="0">
        <f>IF(IF(B3815="none",1,IF(B3815="Trialer",1,0))+IF(C3815="Customer",1,IF(C3815="Lost",1,0))=2,1,0)</f>
      </c>
      <c r="X3815" s="0" t="s">
        <v>1461</v>
      </c>
      <c r="Y3815" s="0" t="s">
        <v>243</v>
      </c>
      <c r="AV3815" s="68"/>
      <c r="AW3815" s="68"/>
      <c r="AY3815" s="27"/>
      <c r="BD3815" s="68">
        <v>46054.1666666667</v>
      </c>
      <c r="BE3815" s="68">
        <v>46082.1666666667</v>
      </c>
      <c r="BF3815" s="0" t="b">
        <v>0</v>
      </c>
      <c r="BG3815" s="0" t="b">
        <v>0</v>
      </c>
      <c r="BH3815" s="0">
        <v>144</v>
      </c>
      <c r="BI3815" s="0">
        <v>144</v>
      </c>
      <c r="BJ3815" s="0" t="s">
        <v>230</v>
      </c>
    </row>
    <row r="3816">
      <c r="A3816" s="0" t="s">
        <v>4073</v>
      </c>
      <c r="B3816" s="0" t="s">
        <v>652</v>
      </c>
      <c r="C3816" s="0" t="s">
        <v>652</v>
      </c>
      <c r="D3816" s="0" t="s">
        <v>135</v>
      </c>
      <c r="E3816" s="0" t="s">
        <v>2414</v>
      </c>
      <c r="F3816" s="0" t="s">
        <v>12</v>
      </c>
      <c r="G3816" s="0" t="s">
        <v>8</v>
      </c>
      <c r="H3816" s="0">
        <v>43</v>
      </c>
      <c r="I3816" s="0">
        <v>0</v>
      </c>
      <c r="J3816" s="0">
        <v>0</v>
      </c>
      <c r="K3816" s="0">
        <v>0</v>
      </c>
      <c r="L3816" s="0">
        <v>0</v>
      </c>
      <c r="M3816" s="0">
        <v>0</v>
      </c>
      <c r="N3816" s="0">
        <v>0</v>
      </c>
      <c r="O3816" s="0">
        <v>0</v>
      </c>
      <c r="P3816" s="0">
        <v>0</v>
      </c>
      <c r="R3816" s="0" t="b">
        <v>0</v>
      </c>
      <c r="S3816" s="0" t="b">
        <v>0</v>
      </c>
      <c r="T3816" s="68">
        <v>46010.4513078704</v>
      </c>
      <c r="U3816" s="68">
        <v>0</v>
      </c>
      <c r="V3816" s="68">
        <v>46056.1667939815</v>
      </c>
      <c r="W3816" s="0">
        <f>IF(IF(B3816="none",1,IF(B3816="Trialer",1,0))+IF(C3816="Customer",1,IF(C3816="Lost",1,0))=2,1,0)</f>
      </c>
      <c r="X3816" s="0" t="s">
        <v>148</v>
      </c>
      <c r="Y3816" s="0" t="s">
        <v>1516</v>
      </c>
      <c r="AV3816" s="68"/>
      <c r="AW3816" s="68"/>
      <c r="AY3816" s="27"/>
      <c r="BD3816" s="68">
        <v>46054.1666666667</v>
      </c>
      <c r="BE3816" s="68">
        <v>46082.1666666667</v>
      </c>
      <c r="BF3816" s="0" t="b">
        <v>0</v>
      </c>
      <c r="BG3816" s="0" t="b">
        <v>0</v>
      </c>
      <c r="BH3816" s="0">
        <v>44.25</v>
      </c>
      <c r="BI3816" s="0">
        <v>44.25</v>
      </c>
      <c r="BJ3816" s="0" t="s">
        <v>135</v>
      </c>
    </row>
    <row r="3817">
      <c r="A3817" s="0" t="s">
        <v>4074</v>
      </c>
      <c r="B3817" s="0" t="s">
        <v>652</v>
      </c>
      <c r="C3817" s="0" t="s">
        <v>652</v>
      </c>
      <c r="D3817" s="0" t="s">
        <v>135</v>
      </c>
      <c r="E3817" s="0" t="s">
        <v>2</v>
      </c>
      <c r="F3817" s="0" t="s">
        <v>12</v>
      </c>
      <c r="G3817" s="0" t="s">
        <v>8</v>
      </c>
      <c r="H3817" s="0">
        <v>43</v>
      </c>
      <c r="I3817" s="0">
        <v>0</v>
      </c>
      <c r="J3817" s="0">
        <v>0</v>
      </c>
      <c r="K3817" s="0">
        <v>0</v>
      </c>
      <c r="L3817" s="0">
        <v>0</v>
      </c>
      <c r="M3817" s="0">
        <v>0</v>
      </c>
      <c r="N3817" s="0">
        <v>0</v>
      </c>
      <c r="O3817" s="0">
        <v>0</v>
      </c>
      <c r="P3817" s="0">
        <v>0</v>
      </c>
      <c r="R3817" s="0" t="b">
        <v>0</v>
      </c>
      <c r="S3817" s="0" t="b">
        <v>0</v>
      </c>
      <c r="T3817" s="68">
        <v>46010.5516435185</v>
      </c>
      <c r="U3817" s="68">
        <v>0</v>
      </c>
      <c r="V3817" s="68">
        <v>46056.1668402778</v>
      </c>
      <c r="W3817" s="0">
        <f>IF(IF(B3817="none",1,IF(B3817="Trialer",1,0))+IF(C3817="Customer",1,IF(C3817="Lost",1,0))=2,1,0)</f>
      </c>
      <c r="X3817" s="0" t="s">
        <v>145</v>
      </c>
      <c r="Y3817" s="0" t="s">
        <v>499</v>
      </c>
      <c r="AV3817" s="68"/>
      <c r="AW3817" s="68"/>
      <c r="AY3817" s="27"/>
      <c r="BD3817" s="68">
        <v>46054.1666666667</v>
      </c>
      <c r="BE3817" s="68">
        <v>46082.1666666667</v>
      </c>
      <c r="BF3817" s="0" t="b">
        <v>0</v>
      </c>
      <c r="BG3817" s="0" t="b">
        <v>0</v>
      </c>
      <c r="BH3817" s="0">
        <v>63.75</v>
      </c>
      <c r="BI3817" s="0">
        <v>63.75</v>
      </c>
      <c r="BJ3817" s="0" t="s">
        <v>135</v>
      </c>
    </row>
    <row r="3818">
      <c r="A3818" s="0" t="s">
        <v>4075</v>
      </c>
      <c r="B3818" s="0" t="s">
        <v>134</v>
      </c>
      <c r="C3818" s="0" t="s">
        <v>134</v>
      </c>
      <c r="D3818" s="0" t="s">
        <v>230</v>
      </c>
      <c r="E3818" s="0" t="s">
        <v>3</v>
      </c>
      <c r="F3818" s="0" t="s">
        <v>12</v>
      </c>
      <c r="G3818" s="0" t="s">
        <v>8</v>
      </c>
      <c r="H3818" s="0">
        <v>43</v>
      </c>
      <c r="I3818" s="0">
        <v>84.6</v>
      </c>
      <c r="J3818" s="0">
        <v>0</v>
      </c>
      <c r="K3818" s="0">
        <v>1</v>
      </c>
      <c r="L3818" s="0">
        <v>3</v>
      </c>
      <c r="M3818" s="0">
        <v>2</v>
      </c>
      <c r="N3818" s="0">
        <v>0</v>
      </c>
      <c r="O3818" s="0">
        <v>0</v>
      </c>
      <c r="P3818" s="0">
        <v>-84.6</v>
      </c>
      <c r="R3818" s="0" t="b">
        <v>0</v>
      </c>
      <c r="S3818" s="0" t="b">
        <v>1</v>
      </c>
      <c r="T3818" s="68">
        <v>46010.6593287037</v>
      </c>
      <c r="U3818" s="68">
        <v>46049.2916666667</v>
      </c>
      <c r="V3818" s="68">
        <v>0</v>
      </c>
      <c r="W3818" s="0">
        <f>IF(IF(B3818="none",1,IF(B3818="Trialer",1,0))+IF(C3818="Customer",1,IF(C3818="Lost",1,0))=2,1,0)</f>
      </c>
      <c r="X3818" s="0" t="s">
        <v>1461</v>
      </c>
      <c r="Y3818" s="0" t="s">
        <v>243</v>
      </c>
      <c r="AV3818" s="68"/>
      <c r="AW3818" s="68"/>
      <c r="AY3818" s="27"/>
      <c r="BD3818" s="68">
        <v>46054.1666666667</v>
      </c>
      <c r="BE3818" s="68">
        <v>46082.1666666667</v>
      </c>
      <c r="BF3818" s="0" t="b">
        <v>0</v>
      </c>
      <c r="BG3818" s="0" t="b">
        <v>0</v>
      </c>
      <c r="BH3818" s="0">
        <v>94</v>
      </c>
      <c r="BI3818" s="0">
        <v>94</v>
      </c>
      <c r="BJ3818" s="0" t="s">
        <v>230</v>
      </c>
    </row>
    <row r="3819">
      <c r="A3819" s="0" t="s">
        <v>4076</v>
      </c>
      <c r="B3819" s="0" t="s">
        <v>134</v>
      </c>
      <c r="C3819" s="0" t="s">
        <v>134</v>
      </c>
      <c r="D3819" s="0" t="s">
        <v>135</v>
      </c>
      <c r="E3819" s="0" t="s">
        <v>3</v>
      </c>
      <c r="F3819" s="0" t="s">
        <v>12</v>
      </c>
      <c r="G3819" s="0" t="s">
        <v>8</v>
      </c>
      <c r="H3819" s="0">
        <v>43</v>
      </c>
      <c r="I3819" s="0">
        <v>36.75</v>
      </c>
      <c r="J3819" s="0">
        <v>0</v>
      </c>
      <c r="K3819" s="0">
        <v>1</v>
      </c>
      <c r="L3819" s="0">
        <v>2</v>
      </c>
      <c r="M3819" s="0">
        <v>1</v>
      </c>
      <c r="N3819" s="0">
        <v>0</v>
      </c>
      <c r="O3819" s="0">
        <v>0</v>
      </c>
      <c r="P3819" s="0">
        <v>0</v>
      </c>
      <c r="R3819" s="0" t="b">
        <v>0</v>
      </c>
      <c r="S3819" s="0" t="b">
        <v>1</v>
      </c>
      <c r="T3819" s="68">
        <v>46010.7555555556</v>
      </c>
      <c r="U3819" s="68">
        <v>46024.2916666667</v>
      </c>
      <c r="V3819" s="68">
        <v>0</v>
      </c>
      <c r="W3819" s="0">
        <f>IF(IF(B3819="none",1,IF(B3819="Trialer",1,0))+IF(C3819="Customer",1,IF(C3819="Lost",1,0))=2,1,0)</f>
      </c>
      <c r="X3819" s="0" t="s">
        <v>1461</v>
      </c>
      <c r="Y3819" s="0" t="s">
        <v>243</v>
      </c>
      <c r="AV3819" s="68"/>
      <c r="AW3819" s="68"/>
      <c r="AY3819" s="27"/>
      <c r="BD3819" s="68">
        <v>46054.1666666667</v>
      </c>
      <c r="BE3819" s="68">
        <v>46082.1666666667</v>
      </c>
      <c r="BF3819" s="0" t="b">
        <v>0</v>
      </c>
      <c r="BG3819" s="0" t="b">
        <v>0</v>
      </c>
      <c r="BH3819" s="0">
        <v>36.75</v>
      </c>
      <c r="BI3819" s="0">
        <v>36.75</v>
      </c>
      <c r="BJ3819" s="0" t="s">
        <v>135</v>
      </c>
    </row>
    <row r="3820">
      <c r="A3820" s="0" t="s">
        <v>4077</v>
      </c>
      <c r="B3820" s="0" t="s">
        <v>652</v>
      </c>
      <c r="C3820" s="0" t="s">
        <v>652</v>
      </c>
      <c r="D3820" s="0" t="s">
        <v>135</v>
      </c>
      <c r="E3820" s="0" t="s">
        <v>3</v>
      </c>
      <c r="F3820" s="0" t="s">
        <v>12</v>
      </c>
      <c r="G3820" s="0" t="s">
        <v>8</v>
      </c>
      <c r="H3820" s="0">
        <v>42</v>
      </c>
      <c r="I3820" s="0">
        <v>0</v>
      </c>
      <c r="J3820" s="0">
        <v>0</v>
      </c>
      <c r="K3820" s="0">
        <v>0</v>
      </c>
      <c r="L3820" s="0">
        <v>0</v>
      </c>
      <c r="M3820" s="0">
        <v>0</v>
      </c>
      <c r="N3820" s="0">
        <v>0</v>
      </c>
      <c r="O3820" s="0">
        <v>0</v>
      </c>
      <c r="P3820" s="0">
        <v>0</v>
      </c>
      <c r="R3820" s="0" t="b">
        <v>0</v>
      </c>
      <c r="S3820" s="0" t="b">
        <v>0</v>
      </c>
      <c r="T3820" s="68">
        <v>46011.3478356482</v>
      </c>
      <c r="U3820" s="68">
        <v>0</v>
      </c>
      <c r="V3820" s="68">
        <v>46054.1668055556</v>
      </c>
      <c r="W3820" s="0">
        <f>IF(IF(B3820="none",1,IF(B3820="Trialer",1,0))+IF(C3820="Customer",1,IF(C3820="Lost",1,0))=2,1,0)</f>
      </c>
      <c r="X3820" s="0" t="s">
        <v>136</v>
      </c>
      <c r="Y3820" s="0" t="s">
        <v>243</v>
      </c>
      <c r="AV3820" s="68"/>
      <c r="AW3820" s="68"/>
      <c r="AY3820" s="27"/>
      <c r="BD3820" s="68">
        <v>46054.1666666667</v>
      </c>
      <c r="BE3820" s="68">
        <v>46082.1666666667</v>
      </c>
      <c r="BF3820" s="0" t="b">
        <v>0</v>
      </c>
      <c r="BG3820" s="0" t="b">
        <v>0</v>
      </c>
      <c r="BH3820" s="0">
        <v>53.25</v>
      </c>
      <c r="BI3820" s="0">
        <v>53.25</v>
      </c>
      <c r="BJ3820" s="0" t="s">
        <v>135</v>
      </c>
    </row>
    <row r="3821">
      <c r="A3821" s="0" t="s">
        <v>4078</v>
      </c>
      <c r="B3821" s="0" t="s">
        <v>652</v>
      </c>
      <c r="C3821" s="0" t="s">
        <v>652</v>
      </c>
      <c r="D3821" s="0" t="s">
        <v>135</v>
      </c>
      <c r="E3821" s="0" t="s">
        <v>3</v>
      </c>
      <c r="F3821" s="0" t="s">
        <v>12</v>
      </c>
      <c r="G3821" s="0" t="s">
        <v>8</v>
      </c>
      <c r="H3821" s="0">
        <v>42</v>
      </c>
      <c r="I3821" s="0">
        <v>0</v>
      </c>
      <c r="J3821" s="0">
        <v>0</v>
      </c>
      <c r="K3821" s="0">
        <v>0</v>
      </c>
      <c r="L3821" s="0">
        <v>0</v>
      </c>
      <c r="M3821" s="0">
        <v>0</v>
      </c>
      <c r="N3821" s="0">
        <v>0</v>
      </c>
      <c r="O3821" s="0">
        <v>0</v>
      </c>
      <c r="P3821" s="0">
        <v>0</v>
      </c>
      <c r="R3821" s="0" t="b">
        <v>0</v>
      </c>
      <c r="S3821" s="0" t="b">
        <v>0</v>
      </c>
      <c r="T3821" s="68">
        <v>46011.3548032407</v>
      </c>
      <c r="U3821" s="68">
        <v>0</v>
      </c>
      <c r="V3821" s="68">
        <v>46054.166712963</v>
      </c>
      <c r="W3821" s="0">
        <f>IF(IF(B3821="none",1,IF(B3821="Trialer",1,0))+IF(C3821="Customer",1,IF(C3821="Lost",1,0))=2,1,0)</f>
      </c>
      <c r="X3821" s="0" t="s">
        <v>148</v>
      </c>
      <c r="Y3821" s="0" t="s">
        <v>243</v>
      </c>
      <c r="AV3821" s="68"/>
      <c r="AW3821" s="68"/>
      <c r="AY3821" s="27"/>
      <c r="BD3821" s="68">
        <v>46054.1666666667</v>
      </c>
      <c r="BE3821" s="68">
        <v>46082.1666666667</v>
      </c>
      <c r="BF3821" s="0" t="b">
        <v>0</v>
      </c>
      <c r="BG3821" s="0" t="b">
        <v>0</v>
      </c>
      <c r="BH3821" s="0">
        <v>53.25</v>
      </c>
      <c r="BI3821" s="0">
        <v>53.25</v>
      </c>
      <c r="BJ3821" s="0" t="s">
        <v>135</v>
      </c>
    </row>
    <row r="3822">
      <c r="A3822" s="0" t="s">
        <v>4079</v>
      </c>
      <c r="B3822" s="0" t="s">
        <v>652</v>
      </c>
      <c r="C3822" s="0" t="s">
        <v>652</v>
      </c>
      <c r="D3822" s="0" t="s">
        <v>135</v>
      </c>
      <c r="E3822" s="0" t="s">
        <v>3</v>
      </c>
      <c r="F3822" s="0" t="s">
        <v>12</v>
      </c>
      <c r="G3822" s="0" t="s">
        <v>8</v>
      </c>
      <c r="H3822" s="0">
        <v>42</v>
      </c>
      <c r="I3822" s="0">
        <v>0</v>
      </c>
      <c r="J3822" s="0">
        <v>0</v>
      </c>
      <c r="K3822" s="0">
        <v>0</v>
      </c>
      <c r="L3822" s="0">
        <v>0</v>
      </c>
      <c r="M3822" s="0">
        <v>0</v>
      </c>
      <c r="N3822" s="0">
        <v>0</v>
      </c>
      <c r="O3822" s="0">
        <v>0</v>
      </c>
      <c r="P3822" s="0">
        <v>0</v>
      </c>
      <c r="R3822" s="0" t="b">
        <v>0</v>
      </c>
      <c r="S3822" s="0" t="b">
        <v>0</v>
      </c>
      <c r="T3822" s="68">
        <v>46011.4556365741</v>
      </c>
      <c r="U3822" s="68">
        <v>0</v>
      </c>
      <c r="V3822" s="68">
        <v>46054.1667361111</v>
      </c>
      <c r="W3822" s="0">
        <f>IF(IF(B3822="none",1,IF(B3822="Trialer",1,0))+IF(C3822="Customer",1,IF(C3822="Lost",1,0))=2,1,0)</f>
      </c>
      <c r="X3822" s="0" t="s">
        <v>145</v>
      </c>
      <c r="Y3822" s="0" t="s">
        <v>243</v>
      </c>
      <c r="AV3822" s="68"/>
      <c r="AW3822" s="68"/>
      <c r="AY3822" s="27"/>
      <c r="BD3822" s="68">
        <v>46054.1666666667</v>
      </c>
      <c r="BE3822" s="68">
        <v>46082.1666666667</v>
      </c>
      <c r="BF3822" s="0" t="b">
        <v>0</v>
      </c>
      <c r="BG3822" s="0" t="b">
        <v>0</v>
      </c>
      <c r="BH3822" s="0">
        <v>44.25</v>
      </c>
      <c r="BI3822" s="0">
        <v>44.25</v>
      </c>
      <c r="BJ3822" s="0" t="s">
        <v>135</v>
      </c>
    </row>
    <row r="3823">
      <c r="A3823" s="0" t="s">
        <v>4080</v>
      </c>
      <c r="B3823" s="0" t="s">
        <v>652</v>
      </c>
      <c r="C3823" s="0" t="s">
        <v>652</v>
      </c>
      <c r="D3823" s="0" t="s">
        <v>135</v>
      </c>
      <c r="E3823" s="0" t="s">
        <v>3</v>
      </c>
      <c r="F3823" s="0" t="s">
        <v>12</v>
      </c>
      <c r="G3823" s="0" t="s">
        <v>8</v>
      </c>
      <c r="H3823" s="0">
        <v>42</v>
      </c>
      <c r="I3823" s="0">
        <v>0</v>
      </c>
      <c r="J3823" s="0">
        <v>0</v>
      </c>
      <c r="K3823" s="0">
        <v>0</v>
      </c>
      <c r="L3823" s="0">
        <v>0</v>
      </c>
      <c r="M3823" s="0">
        <v>0</v>
      </c>
      <c r="N3823" s="0">
        <v>0</v>
      </c>
      <c r="O3823" s="0">
        <v>0</v>
      </c>
      <c r="P3823" s="0">
        <v>0</v>
      </c>
      <c r="R3823" s="0" t="b">
        <v>0</v>
      </c>
      <c r="S3823" s="0" t="b">
        <v>0</v>
      </c>
      <c r="T3823" s="68">
        <v>46011.5030902778</v>
      </c>
      <c r="U3823" s="68">
        <v>0</v>
      </c>
      <c r="V3823" s="68">
        <v>46054.1668055556</v>
      </c>
      <c r="W3823" s="0">
        <f>IF(IF(B3823="none",1,IF(B3823="Trialer",1,0))+IF(C3823="Customer",1,IF(C3823="Lost",1,0))=2,1,0)</f>
      </c>
      <c r="X3823" s="0" t="s">
        <v>148</v>
      </c>
      <c r="Y3823" s="0" t="s">
        <v>243</v>
      </c>
      <c r="AV3823" s="68"/>
      <c r="AW3823" s="68"/>
      <c r="AY3823" s="27"/>
      <c r="BD3823" s="68">
        <v>46054.1666666667</v>
      </c>
      <c r="BE3823" s="68">
        <v>46082.1666666667</v>
      </c>
      <c r="BF3823" s="0" t="b">
        <v>0</v>
      </c>
      <c r="BG3823" s="0" t="b">
        <v>0</v>
      </c>
      <c r="BH3823" s="0">
        <v>63.75</v>
      </c>
      <c r="BI3823" s="0">
        <v>63.75</v>
      </c>
      <c r="BJ3823" s="0" t="s">
        <v>135</v>
      </c>
    </row>
    <row r="3824">
      <c r="A3824" s="0" t="s">
        <v>4081</v>
      </c>
      <c r="B3824" s="0" t="s">
        <v>652</v>
      </c>
      <c r="C3824" s="0" t="s">
        <v>652</v>
      </c>
      <c r="D3824" s="0" t="s">
        <v>135</v>
      </c>
      <c r="E3824" s="0" t="s">
        <v>1515</v>
      </c>
      <c r="F3824" s="0" t="s">
        <v>12</v>
      </c>
      <c r="G3824" s="0" t="s">
        <v>8</v>
      </c>
      <c r="H3824" s="0">
        <v>42</v>
      </c>
      <c r="I3824" s="0">
        <v>0</v>
      </c>
      <c r="J3824" s="0">
        <v>0</v>
      </c>
      <c r="K3824" s="0">
        <v>0</v>
      </c>
      <c r="L3824" s="0">
        <v>0</v>
      </c>
      <c r="M3824" s="0">
        <v>0</v>
      </c>
      <c r="N3824" s="0">
        <v>0</v>
      </c>
      <c r="O3824" s="0">
        <v>0</v>
      </c>
      <c r="P3824" s="0">
        <v>0</v>
      </c>
      <c r="R3824" s="0" t="b">
        <v>0</v>
      </c>
      <c r="S3824" s="0" t="b">
        <v>0</v>
      </c>
      <c r="T3824" s="68">
        <v>46011.5163541667</v>
      </c>
      <c r="U3824" s="68">
        <v>0</v>
      </c>
      <c r="V3824" s="68">
        <v>46054.1667361111</v>
      </c>
      <c r="W3824" s="0">
        <f>IF(IF(B3824="none",1,IF(B3824="Trialer",1,0))+IF(C3824="Customer",1,IF(C3824="Lost",1,0))=2,1,0)</f>
      </c>
      <c r="X3824" s="0" t="s">
        <v>148</v>
      </c>
      <c r="Y3824" s="0" t="s">
        <v>1516</v>
      </c>
      <c r="AV3824" s="68"/>
      <c r="AW3824" s="68"/>
      <c r="AY3824" s="27"/>
      <c r="BD3824" s="68">
        <v>46054.1666666667</v>
      </c>
      <c r="BE3824" s="68">
        <v>46082.1666666667</v>
      </c>
      <c r="BF3824" s="0" t="b">
        <v>0</v>
      </c>
      <c r="BG3824" s="0" t="b">
        <v>0</v>
      </c>
      <c r="BH3824" s="0">
        <v>44.25</v>
      </c>
      <c r="BI3824" s="0">
        <v>44.25</v>
      </c>
      <c r="BJ3824" s="0" t="s">
        <v>135</v>
      </c>
    </row>
    <row r="3825">
      <c r="A3825" s="0" t="s">
        <v>4082</v>
      </c>
      <c r="B3825" s="0" t="s">
        <v>652</v>
      </c>
      <c r="C3825" s="0" t="s">
        <v>652</v>
      </c>
      <c r="D3825" s="0" t="s">
        <v>135</v>
      </c>
      <c r="E3825" s="0" t="s">
        <v>2</v>
      </c>
      <c r="F3825" s="0" t="s">
        <v>12</v>
      </c>
      <c r="G3825" s="0" t="s">
        <v>8</v>
      </c>
      <c r="H3825" s="0">
        <v>42</v>
      </c>
      <c r="I3825" s="0">
        <v>0</v>
      </c>
      <c r="J3825" s="0">
        <v>0</v>
      </c>
      <c r="K3825" s="0">
        <v>0</v>
      </c>
      <c r="L3825" s="0">
        <v>0</v>
      </c>
      <c r="M3825" s="0">
        <v>0</v>
      </c>
      <c r="N3825" s="0">
        <v>0</v>
      </c>
      <c r="O3825" s="0">
        <v>0</v>
      </c>
      <c r="P3825" s="0">
        <v>0</v>
      </c>
      <c r="R3825" s="0" t="b">
        <v>0</v>
      </c>
      <c r="S3825" s="0" t="b">
        <v>0</v>
      </c>
      <c r="T3825" s="68">
        <v>46011.669537037</v>
      </c>
      <c r="U3825" s="68">
        <v>0</v>
      </c>
      <c r="V3825" s="68">
        <v>46054.1667476852</v>
      </c>
      <c r="W3825" s="0">
        <f>IF(IF(B3825="none",1,IF(B3825="Trialer",1,0))+IF(C3825="Customer",1,IF(C3825="Lost",1,0))=2,1,0)</f>
      </c>
      <c r="X3825" s="0" t="s">
        <v>145</v>
      </c>
      <c r="Y3825" s="0" t="s">
        <v>499</v>
      </c>
      <c r="AV3825" s="68"/>
      <c r="AW3825" s="68"/>
      <c r="AY3825" s="27"/>
      <c r="BD3825" s="68">
        <v>46054.1666666667</v>
      </c>
      <c r="BE3825" s="68">
        <v>46082.1666666667</v>
      </c>
      <c r="BF3825" s="0" t="b">
        <v>0</v>
      </c>
      <c r="BG3825" s="0" t="b">
        <v>0</v>
      </c>
      <c r="BH3825" s="0">
        <v>44.25</v>
      </c>
      <c r="BI3825" s="0">
        <v>44.25</v>
      </c>
      <c r="BJ3825" s="0" t="s">
        <v>135</v>
      </c>
    </row>
    <row r="3826">
      <c r="A3826" s="0" t="s">
        <v>4083</v>
      </c>
      <c r="B3826" s="0" t="s">
        <v>652</v>
      </c>
      <c r="C3826" s="0" t="s">
        <v>652</v>
      </c>
      <c r="D3826" s="0" t="s">
        <v>135</v>
      </c>
      <c r="E3826" s="0" t="s">
        <v>2</v>
      </c>
      <c r="F3826" s="0" t="s">
        <v>12</v>
      </c>
      <c r="G3826" s="0" t="s">
        <v>8</v>
      </c>
      <c r="H3826" s="0">
        <v>42</v>
      </c>
      <c r="I3826" s="0">
        <v>0</v>
      </c>
      <c r="J3826" s="0">
        <v>0</v>
      </c>
      <c r="K3826" s="0">
        <v>0</v>
      </c>
      <c r="L3826" s="0">
        <v>0</v>
      </c>
      <c r="M3826" s="0">
        <v>0</v>
      </c>
      <c r="N3826" s="0">
        <v>0</v>
      </c>
      <c r="O3826" s="0">
        <v>0</v>
      </c>
      <c r="P3826" s="0">
        <v>0</v>
      </c>
      <c r="R3826" s="0" t="b">
        <v>0</v>
      </c>
      <c r="S3826" s="0" t="b">
        <v>0</v>
      </c>
      <c r="T3826" s="68">
        <v>46011.6704976852</v>
      </c>
      <c r="U3826" s="68">
        <v>0</v>
      </c>
      <c r="V3826" s="68">
        <v>46054.1667592593</v>
      </c>
      <c r="W3826" s="0">
        <f>IF(IF(B3826="none",1,IF(B3826="Trialer",1,0))+IF(C3826="Customer",1,IF(C3826="Lost",1,0))=2,1,0)</f>
      </c>
      <c r="X3826" s="0" t="s">
        <v>136</v>
      </c>
      <c r="Y3826" s="0" t="s">
        <v>499</v>
      </c>
      <c r="AV3826" s="68"/>
      <c r="AW3826" s="68"/>
      <c r="AY3826" s="27"/>
      <c r="BD3826" s="68">
        <v>46054.1666666667</v>
      </c>
      <c r="BE3826" s="68">
        <v>46082.1666666667</v>
      </c>
      <c r="BF3826" s="0" t="b">
        <v>0</v>
      </c>
      <c r="BG3826" s="0" t="b">
        <v>0</v>
      </c>
      <c r="BH3826" s="0">
        <v>44.25</v>
      </c>
      <c r="BI3826" s="0">
        <v>44.25</v>
      </c>
      <c r="BJ3826" s="0" t="s">
        <v>135</v>
      </c>
    </row>
    <row r="3827">
      <c r="A3827" s="0" t="s">
        <v>4084</v>
      </c>
      <c r="B3827" s="0" t="s">
        <v>652</v>
      </c>
      <c r="C3827" s="0" t="s">
        <v>652</v>
      </c>
      <c r="D3827" s="0" t="s">
        <v>135</v>
      </c>
      <c r="E3827" s="0" t="s">
        <v>3</v>
      </c>
      <c r="F3827" s="0" t="s">
        <v>12</v>
      </c>
      <c r="G3827" s="0" t="s">
        <v>8</v>
      </c>
      <c r="H3827" s="0">
        <v>42</v>
      </c>
      <c r="I3827" s="0">
        <v>0</v>
      </c>
      <c r="J3827" s="0">
        <v>0</v>
      </c>
      <c r="K3827" s="0">
        <v>0</v>
      </c>
      <c r="L3827" s="0">
        <v>0</v>
      </c>
      <c r="M3827" s="0">
        <v>0</v>
      </c>
      <c r="N3827" s="0">
        <v>0</v>
      </c>
      <c r="O3827" s="0">
        <v>0</v>
      </c>
      <c r="P3827" s="0">
        <v>0</v>
      </c>
      <c r="R3827" s="0" t="b">
        <v>0</v>
      </c>
      <c r="S3827" s="0" t="b">
        <v>0</v>
      </c>
      <c r="T3827" s="68">
        <v>46011.6745717593</v>
      </c>
      <c r="U3827" s="68">
        <v>0</v>
      </c>
      <c r="V3827" s="68">
        <v>46054.1667592593</v>
      </c>
      <c r="W3827" s="0">
        <f>IF(IF(B3827="none",1,IF(B3827="Trialer",1,0))+IF(C3827="Customer",1,IF(C3827="Lost",1,0))=2,1,0)</f>
      </c>
      <c r="X3827" s="0" t="s">
        <v>148</v>
      </c>
      <c r="Y3827" s="0" t="s">
        <v>243</v>
      </c>
      <c r="AV3827" s="68"/>
      <c r="AW3827" s="68"/>
      <c r="AY3827" s="27"/>
      <c r="BD3827" s="68">
        <v>46054.1666666667</v>
      </c>
      <c r="BE3827" s="68">
        <v>46082.1666666667</v>
      </c>
      <c r="BF3827" s="0" t="b">
        <v>0</v>
      </c>
      <c r="BG3827" s="0" t="b">
        <v>0</v>
      </c>
      <c r="BH3827" s="0">
        <v>44.25</v>
      </c>
      <c r="BI3827" s="0">
        <v>44.25</v>
      </c>
      <c r="BJ3827" s="0" t="s">
        <v>135</v>
      </c>
    </row>
    <row r="3828">
      <c r="A3828" s="0" t="s">
        <v>4085</v>
      </c>
      <c r="B3828" s="0" t="s">
        <v>652</v>
      </c>
      <c r="C3828" s="0" t="s">
        <v>652</v>
      </c>
      <c r="D3828" s="0" t="s">
        <v>135</v>
      </c>
      <c r="E3828" s="0" t="s">
        <v>2</v>
      </c>
      <c r="F3828" s="0" t="s">
        <v>12</v>
      </c>
      <c r="G3828" s="0" t="s">
        <v>8</v>
      </c>
      <c r="H3828" s="0">
        <v>42</v>
      </c>
      <c r="I3828" s="0">
        <v>0</v>
      </c>
      <c r="J3828" s="0">
        <v>0</v>
      </c>
      <c r="K3828" s="0">
        <v>0</v>
      </c>
      <c r="L3828" s="0">
        <v>0</v>
      </c>
      <c r="M3828" s="0">
        <v>0</v>
      </c>
      <c r="N3828" s="0">
        <v>0</v>
      </c>
      <c r="O3828" s="0">
        <v>0</v>
      </c>
      <c r="P3828" s="0">
        <v>0</v>
      </c>
      <c r="R3828" s="0" t="b">
        <v>0</v>
      </c>
      <c r="S3828" s="0" t="b">
        <v>0</v>
      </c>
      <c r="T3828" s="68">
        <v>46011.6849074074</v>
      </c>
      <c r="U3828" s="68">
        <v>0</v>
      </c>
      <c r="V3828" s="68">
        <v>46054.1668171296</v>
      </c>
      <c r="W3828" s="0">
        <f>IF(IF(B3828="none",1,IF(B3828="Trialer",1,0))+IF(C3828="Customer",1,IF(C3828="Lost",1,0))=2,1,0)</f>
      </c>
      <c r="X3828" s="0" t="s">
        <v>148</v>
      </c>
      <c r="Y3828" s="0" t="s">
        <v>499</v>
      </c>
      <c r="AV3828" s="68"/>
      <c r="AW3828" s="68"/>
      <c r="AY3828" s="27"/>
      <c r="BD3828" s="68">
        <v>46054.1666666667</v>
      </c>
      <c r="BE3828" s="68">
        <v>46082.1666666667</v>
      </c>
      <c r="BF3828" s="0" t="b">
        <v>0</v>
      </c>
      <c r="BG3828" s="0" t="b">
        <v>0</v>
      </c>
      <c r="BH3828" s="0">
        <v>44.25</v>
      </c>
      <c r="BI3828" s="0">
        <v>44.25</v>
      </c>
      <c r="BJ3828" s="0" t="s">
        <v>135</v>
      </c>
    </row>
    <row r="3829">
      <c r="A3829" s="0" t="s">
        <v>4086</v>
      </c>
      <c r="B3829" s="0" t="s">
        <v>134</v>
      </c>
      <c r="C3829" s="0" t="s">
        <v>134</v>
      </c>
      <c r="D3829" s="0" t="s">
        <v>230</v>
      </c>
      <c r="E3829" s="0" t="s">
        <v>2</v>
      </c>
      <c r="F3829" s="0" t="s">
        <v>10</v>
      </c>
      <c r="G3829" s="0" t="s">
        <v>8</v>
      </c>
      <c r="H3829" s="0">
        <v>42</v>
      </c>
      <c r="I3829" s="0">
        <v>324</v>
      </c>
      <c r="J3829" s="0">
        <v>0</v>
      </c>
      <c r="K3829" s="0">
        <v>1</v>
      </c>
      <c r="L3829" s="0">
        <v>3</v>
      </c>
      <c r="M3829" s="0">
        <v>8</v>
      </c>
      <c r="N3829" s="0">
        <v>0</v>
      </c>
      <c r="O3829" s="0">
        <v>0</v>
      </c>
      <c r="P3829" s="0">
        <v>-324</v>
      </c>
      <c r="Q3829" s="0" t="s">
        <v>498</v>
      </c>
      <c r="R3829" s="0" t="b">
        <v>0</v>
      </c>
      <c r="S3829" s="0" t="b">
        <v>1</v>
      </c>
      <c r="T3829" s="68">
        <v>46011.6873726852</v>
      </c>
      <c r="U3829" s="68">
        <v>46029.2916666667</v>
      </c>
      <c r="V3829" s="68">
        <v>0</v>
      </c>
      <c r="W3829" s="0">
        <f>IF(IF(B3829="none",1,IF(B3829="Trialer",1,0))+IF(C3829="Customer",1,IF(C3829="Lost",1,0))=2,1,0)</f>
      </c>
      <c r="X3829" s="0" t="s">
        <v>136</v>
      </c>
      <c r="Y3829" s="0" t="s">
        <v>499</v>
      </c>
      <c r="AV3829" s="68"/>
      <c r="AW3829" s="68"/>
      <c r="AY3829" s="27"/>
      <c r="BD3829" s="68">
        <v>46054.1666666667</v>
      </c>
      <c r="BE3829" s="68">
        <v>46082.1666666667</v>
      </c>
      <c r="BF3829" s="0" t="b">
        <v>0</v>
      </c>
      <c r="BG3829" s="0" t="b">
        <v>0</v>
      </c>
      <c r="BH3829" s="0">
        <v>360</v>
      </c>
      <c r="BI3829" s="0">
        <v>360</v>
      </c>
      <c r="BJ3829" s="0" t="s">
        <v>230</v>
      </c>
    </row>
    <row r="3830">
      <c r="A3830" s="0" t="s">
        <v>4087</v>
      </c>
      <c r="B3830" s="0" t="s">
        <v>652</v>
      </c>
      <c r="C3830" s="0" t="s">
        <v>652</v>
      </c>
      <c r="D3830" s="0" t="s">
        <v>135</v>
      </c>
      <c r="E3830" s="0" t="s">
        <v>1515</v>
      </c>
      <c r="F3830" s="0" t="s">
        <v>12</v>
      </c>
      <c r="G3830" s="0" t="s">
        <v>8</v>
      </c>
      <c r="H3830" s="0">
        <v>42</v>
      </c>
      <c r="I3830" s="0">
        <v>0</v>
      </c>
      <c r="J3830" s="0">
        <v>0</v>
      </c>
      <c r="K3830" s="0">
        <v>0</v>
      </c>
      <c r="L3830" s="0">
        <v>0</v>
      </c>
      <c r="M3830" s="0">
        <v>0</v>
      </c>
      <c r="N3830" s="0">
        <v>0</v>
      </c>
      <c r="O3830" s="0">
        <v>0</v>
      </c>
      <c r="P3830" s="0">
        <v>0</v>
      </c>
      <c r="R3830" s="0" t="b">
        <v>0</v>
      </c>
      <c r="S3830" s="0" t="b">
        <v>0</v>
      </c>
      <c r="T3830" s="68">
        <v>46011.7818634259</v>
      </c>
      <c r="U3830" s="68">
        <v>0</v>
      </c>
      <c r="V3830" s="68">
        <v>46054.1667824074</v>
      </c>
      <c r="W3830" s="0">
        <f>IF(IF(B3830="none",1,IF(B3830="Trialer",1,0))+IF(C3830="Customer",1,IF(C3830="Lost",1,0))=2,1,0)</f>
      </c>
      <c r="X3830" s="0" t="s">
        <v>145</v>
      </c>
      <c r="Y3830" s="0" t="s">
        <v>1516</v>
      </c>
      <c r="AV3830" s="68"/>
      <c r="AW3830" s="68"/>
      <c r="AY3830" s="27"/>
      <c r="BD3830" s="68">
        <v>46054.1666666667</v>
      </c>
      <c r="BE3830" s="68">
        <v>46082.1666666667</v>
      </c>
      <c r="BF3830" s="0" t="b">
        <v>0</v>
      </c>
      <c r="BG3830" s="0" t="b">
        <v>0</v>
      </c>
      <c r="BH3830" s="0">
        <v>44.25</v>
      </c>
      <c r="BI3830" s="0">
        <v>44.25</v>
      </c>
      <c r="BJ3830" s="0" t="s">
        <v>135</v>
      </c>
    </row>
    <row r="3831">
      <c r="A3831" s="0" t="s">
        <v>4088</v>
      </c>
      <c r="B3831" s="0" t="s">
        <v>652</v>
      </c>
      <c r="C3831" s="0" t="s">
        <v>652</v>
      </c>
      <c r="D3831" s="0" t="s">
        <v>135</v>
      </c>
      <c r="E3831" s="0" t="s">
        <v>3</v>
      </c>
      <c r="F3831" s="0" t="s">
        <v>12</v>
      </c>
      <c r="G3831" s="0" t="s">
        <v>8</v>
      </c>
      <c r="H3831" s="0">
        <v>42</v>
      </c>
      <c r="I3831" s="0">
        <v>0</v>
      </c>
      <c r="J3831" s="0">
        <v>0</v>
      </c>
      <c r="K3831" s="0">
        <v>0</v>
      </c>
      <c r="L3831" s="0">
        <v>0</v>
      </c>
      <c r="M3831" s="0">
        <v>0</v>
      </c>
      <c r="N3831" s="0">
        <v>0</v>
      </c>
      <c r="O3831" s="0">
        <v>0</v>
      </c>
      <c r="P3831" s="0">
        <v>0</v>
      </c>
      <c r="R3831" s="0" t="b">
        <v>0</v>
      </c>
      <c r="S3831" s="0" t="b">
        <v>0</v>
      </c>
      <c r="T3831" s="68">
        <v>46011.8029050926</v>
      </c>
      <c r="U3831" s="68">
        <v>0</v>
      </c>
      <c r="V3831" s="68">
        <v>46054.1667939815</v>
      </c>
      <c r="W3831" s="0">
        <f>IF(IF(B3831="none",1,IF(B3831="Trialer",1,0))+IF(C3831="Customer",1,IF(C3831="Lost",1,0))=2,1,0)</f>
      </c>
      <c r="X3831" s="0" t="s">
        <v>136</v>
      </c>
      <c r="Y3831" s="0" t="s">
        <v>243</v>
      </c>
      <c r="AV3831" s="68"/>
      <c r="AW3831" s="68"/>
      <c r="AY3831" s="27"/>
      <c r="BD3831" s="68">
        <v>46054.1666666667</v>
      </c>
      <c r="BE3831" s="68">
        <v>46082.1666666667</v>
      </c>
      <c r="BF3831" s="0" t="b">
        <v>0</v>
      </c>
      <c r="BG3831" s="0" t="b">
        <v>0</v>
      </c>
      <c r="BH3831" s="0">
        <v>44.25</v>
      </c>
      <c r="BI3831" s="0">
        <v>44.25</v>
      </c>
      <c r="BJ3831" s="0" t="s">
        <v>135</v>
      </c>
    </row>
    <row r="3832">
      <c r="A3832" s="0" t="s">
        <v>4089</v>
      </c>
      <c r="B3832" s="0" t="s">
        <v>652</v>
      </c>
      <c r="C3832" s="0" t="s">
        <v>652</v>
      </c>
      <c r="D3832" s="0" t="s">
        <v>135</v>
      </c>
      <c r="E3832" s="0" t="s">
        <v>3</v>
      </c>
      <c r="F3832" s="0" t="s">
        <v>12</v>
      </c>
      <c r="G3832" s="0" t="s">
        <v>8</v>
      </c>
      <c r="H3832" s="0">
        <v>41</v>
      </c>
      <c r="I3832" s="0">
        <v>0</v>
      </c>
      <c r="J3832" s="0">
        <v>0</v>
      </c>
      <c r="K3832" s="0">
        <v>0</v>
      </c>
      <c r="L3832" s="0">
        <v>0</v>
      </c>
      <c r="M3832" s="0">
        <v>0</v>
      </c>
      <c r="N3832" s="0">
        <v>0</v>
      </c>
      <c r="O3832" s="0">
        <v>0</v>
      </c>
      <c r="P3832" s="0">
        <v>0</v>
      </c>
      <c r="R3832" s="0" t="b">
        <v>0</v>
      </c>
      <c r="S3832" s="0" t="b">
        <v>0</v>
      </c>
      <c r="T3832" s="68">
        <v>46012.0528472222</v>
      </c>
      <c r="U3832" s="68">
        <v>0</v>
      </c>
      <c r="V3832" s="68">
        <v>46054.1667939815</v>
      </c>
      <c r="W3832" s="0">
        <f>IF(IF(B3832="none",1,IF(B3832="Trialer",1,0))+IF(C3832="Customer",1,IF(C3832="Lost",1,0))=2,1,0)</f>
      </c>
      <c r="X3832" s="0" t="s">
        <v>145</v>
      </c>
      <c r="Y3832" s="0" t="s">
        <v>243</v>
      </c>
      <c r="AV3832" s="68"/>
      <c r="AW3832" s="68"/>
      <c r="AY3832" s="27"/>
      <c r="BD3832" s="68">
        <v>46054.1666666667</v>
      </c>
      <c r="BE3832" s="68">
        <v>46082.1666666667</v>
      </c>
      <c r="BF3832" s="0" t="b">
        <v>0</v>
      </c>
      <c r="BG3832" s="0" t="b">
        <v>0</v>
      </c>
      <c r="BH3832" s="0">
        <v>72.75</v>
      </c>
      <c r="BI3832" s="0">
        <v>72.75</v>
      </c>
      <c r="BJ3832" s="0" t="s">
        <v>135</v>
      </c>
    </row>
    <row r="3833">
      <c r="A3833" s="0" t="s">
        <v>4090</v>
      </c>
      <c r="B3833" s="0" t="s">
        <v>134</v>
      </c>
      <c r="C3833" s="0" t="s">
        <v>134</v>
      </c>
      <c r="D3833" s="0" t="s">
        <v>135</v>
      </c>
      <c r="E3833" s="0" t="s">
        <v>3</v>
      </c>
      <c r="F3833" s="0" t="s">
        <v>12</v>
      </c>
      <c r="G3833" s="0" t="s">
        <v>8</v>
      </c>
      <c r="H3833" s="0">
        <v>41</v>
      </c>
      <c r="I3833" s="0">
        <v>63.75</v>
      </c>
      <c r="J3833" s="0">
        <v>0</v>
      </c>
      <c r="K3833" s="0">
        <v>1</v>
      </c>
      <c r="L3833" s="0">
        <v>5</v>
      </c>
      <c r="M3833" s="0">
        <v>1</v>
      </c>
      <c r="N3833" s="0">
        <v>0</v>
      </c>
      <c r="O3833" s="0">
        <v>0</v>
      </c>
      <c r="P3833" s="0">
        <v>0</v>
      </c>
      <c r="R3833" s="0" t="b">
        <v>0</v>
      </c>
      <c r="S3833" s="0" t="b">
        <v>1</v>
      </c>
      <c r="T3833" s="68">
        <v>46012.1865162037</v>
      </c>
      <c r="U3833" s="68">
        <v>46026.2916666667</v>
      </c>
      <c r="V3833" s="68">
        <v>0</v>
      </c>
      <c r="W3833" s="0">
        <f>IF(IF(B3833="none",1,IF(B3833="Trialer",1,0))+IF(C3833="Customer",1,IF(C3833="Lost",1,0))=2,1,0)</f>
      </c>
      <c r="X3833" s="0" t="s">
        <v>1461</v>
      </c>
      <c r="Y3833" s="0" t="s">
        <v>243</v>
      </c>
      <c r="AV3833" s="68"/>
      <c r="AW3833" s="68"/>
      <c r="AY3833" s="27"/>
      <c r="BD3833" s="68">
        <v>46054.1666666667</v>
      </c>
      <c r="BE3833" s="68">
        <v>46082.1666666667</v>
      </c>
      <c r="BF3833" s="0" t="b">
        <v>0</v>
      </c>
      <c r="BG3833" s="0" t="b">
        <v>0</v>
      </c>
      <c r="BH3833" s="0">
        <v>63.75</v>
      </c>
      <c r="BI3833" s="0">
        <v>63.75</v>
      </c>
      <c r="BJ3833" s="0" t="s">
        <v>135</v>
      </c>
    </row>
    <row r="3834">
      <c r="A3834" s="0" t="s">
        <v>4091</v>
      </c>
      <c r="B3834" s="0" t="s">
        <v>652</v>
      </c>
      <c r="C3834" s="0" t="s">
        <v>652</v>
      </c>
      <c r="D3834" s="0" t="s">
        <v>135</v>
      </c>
      <c r="E3834" s="0" t="s">
        <v>4</v>
      </c>
      <c r="F3834" s="0" t="s">
        <v>12</v>
      </c>
      <c r="G3834" s="0" t="s">
        <v>8</v>
      </c>
      <c r="H3834" s="0">
        <v>41</v>
      </c>
      <c r="I3834" s="0">
        <v>0</v>
      </c>
      <c r="J3834" s="0">
        <v>0</v>
      </c>
      <c r="K3834" s="0">
        <v>0</v>
      </c>
      <c r="L3834" s="0">
        <v>0</v>
      </c>
      <c r="M3834" s="0">
        <v>0</v>
      </c>
      <c r="N3834" s="0">
        <v>0</v>
      </c>
      <c r="O3834" s="0">
        <v>0</v>
      </c>
      <c r="P3834" s="0">
        <v>0</v>
      </c>
      <c r="R3834" s="0" t="b">
        <v>0</v>
      </c>
      <c r="S3834" s="0" t="b">
        <v>0</v>
      </c>
      <c r="T3834" s="68">
        <v>46012.6631481481</v>
      </c>
      <c r="U3834" s="68">
        <v>0</v>
      </c>
      <c r="V3834" s="68">
        <v>46055.1666898148</v>
      </c>
      <c r="W3834" s="0">
        <f>IF(IF(B3834="none",1,IF(B3834="Trialer",1,0))+IF(C3834="Customer",1,IF(C3834="Lost",1,0))=2,1,0)</f>
      </c>
      <c r="X3834" s="0" t="s">
        <v>136</v>
      </c>
      <c r="Y3834" s="0" t="s">
        <v>4092</v>
      </c>
      <c r="AV3834" s="68"/>
      <c r="AW3834" s="68"/>
      <c r="AY3834" s="27"/>
      <c r="BD3834" s="68">
        <v>46054.1666666667</v>
      </c>
      <c r="BE3834" s="68">
        <v>46082.1666666667</v>
      </c>
      <c r="BF3834" s="0" t="b">
        <v>0</v>
      </c>
      <c r="BG3834" s="0" t="b">
        <v>0</v>
      </c>
      <c r="BH3834" s="0">
        <v>44.25</v>
      </c>
      <c r="BI3834" s="0">
        <v>44.25</v>
      </c>
      <c r="BJ3834" s="0" t="s">
        <v>135</v>
      </c>
    </row>
    <row r="3835">
      <c r="A3835" s="0" t="s">
        <v>4093</v>
      </c>
      <c r="B3835" s="0" t="s">
        <v>652</v>
      </c>
      <c r="C3835" s="0" t="s">
        <v>652</v>
      </c>
      <c r="D3835" s="0" t="s">
        <v>135</v>
      </c>
      <c r="E3835" s="0" t="s">
        <v>3</v>
      </c>
      <c r="F3835" s="0" t="s">
        <v>12</v>
      </c>
      <c r="G3835" s="0" t="s">
        <v>8</v>
      </c>
      <c r="H3835" s="0">
        <v>40</v>
      </c>
      <c r="I3835" s="0">
        <v>0</v>
      </c>
      <c r="J3835" s="0">
        <v>0</v>
      </c>
      <c r="K3835" s="0">
        <v>0</v>
      </c>
      <c r="L3835" s="0">
        <v>0</v>
      </c>
      <c r="M3835" s="0">
        <v>0</v>
      </c>
      <c r="N3835" s="0">
        <v>0</v>
      </c>
      <c r="O3835" s="0">
        <v>0</v>
      </c>
      <c r="P3835" s="0">
        <v>0</v>
      </c>
      <c r="R3835" s="0" t="b">
        <v>0</v>
      </c>
      <c r="S3835" s="0" t="b">
        <v>0</v>
      </c>
      <c r="T3835" s="68">
        <v>46012.964375</v>
      </c>
      <c r="U3835" s="68">
        <v>0</v>
      </c>
      <c r="V3835" s="68">
        <v>46055.166712963</v>
      </c>
      <c r="W3835" s="0">
        <f>IF(IF(B3835="none",1,IF(B3835="Trialer",1,0))+IF(C3835="Customer",1,IF(C3835="Lost",1,0))=2,1,0)</f>
      </c>
      <c r="X3835" s="0" t="s">
        <v>148</v>
      </c>
      <c r="Y3835" s="0" t="s">
        <v>243</v>
      </c>
      <c r="AV3835" s="68"/>
      <c r="AW3835" s="68"/>
      <c r="AY3835" s="27"/>
      <c r="BD3835" s="68">
        <v>46054.1666666667</v>
      </c>
      <c r="BE3835" s="68">
        <v>46082.1666666667</v>
      </c>
      <c r="BF3835" s="0" t="b">
        <v>0</v>
      </c>
      <c r="BG3835" s="0" t="b">
        <v>0</v>
      </c>
      <c r="BH3835" s="0">
        <v>218.25</v>
      </c>
      <c r="BI3835" s="0">
        <v>218.25</v>
      </c>
      <c r="BJ3835" s="0" t="s">
        <v>135</v>
      </c>
    </row>
    <row r="3836">
      <c r="A3836" s="0" t="s">
        <v>4094</v>
      </c>
      <c r="B3836" s="0" t="s">
        <v>652</v>
      </c>
      <c r="C3836" s="0" t="s">
        <v>652</v>
      </c>
      <c r="D3836" s="0" t="s">
        <v>135</v>
      </c>
      <c r="E3836" s="0" t="s">
        <v>3</v>
      </c>
      <c r="F3836" s="0" t="s">
        <v>12</v>
      </c>
      <c r="G3836" s="0" t="s">
        <v>8</v>
      </c>
      <c r="H3836" s="0">
        <v>40</v>
      </c>
      <c r="I3836" s="0">
        <v>0</v>
      </c>
      <c r="J3836" s="0">
        <v>0</v>
      </c>
      <c r="K3836" s="0">
        <v>0</v>
      </c>
      <c r="L3836" s="0">
        <v>0</v>
      </c>
      <c r="M3836" s="0">
        <v>0</v>
      </c>
      <c r="N3836" s="0">
        <v>0</v>
      </c>
      <c r="O3836" s="0">
        <v>0</v>
      </c>
      <c r="P3836" s="0">
        <v>0</v>
      </c>
      <c r="R3836" s="0" t="b">
        <v>0</v>
      </c>
      <c r="S3836" s="0" t="b">
        <v>0</v>
      </c>
      <c r="T3836" s="68">
        <v>46013.0779513889</v>
      </c>
      <c r="U3836" s="68">
        <v>0</v>
      </c>
      <c r="V3836" s="68">
        <v>46055.166712963</v>
      </c>
      <c r="W3836" s="0">
        <f>IF(IF(B3836="none",1,IF(B3836="Trialer",1,0))+IF(C3836="Customer",1,IF(C3836="Lost",1,0))=2,1,0)</f>
      </c>
      <c r="X3836" s="0" t="s">
        <v>145</v>
      </c>
      <c r="Y3836" s="0" t="s">
        <v>243</v>
      </c>
      <c r="AV3836" s="68"/>
      <c r="AW3836" s="68"/>
      <c r="AY3836" s="27"/>
      <c r="BD3836" s="68">
        <v>46054.1666666667</v>
      </c>
      <c r="BE3836" s="68">
        <v>46082.1666666667</v>
      </c>
      <c r="BF3836" s="0" t="b">
        <v>0</v>
      </c>
      <c r="BG3836" s="0" t="b">
        <v>0</v>
      </c>
      <c r="BH3836" s="0">
        <v>106.5</v>
      </c>
      <c r="BI3836" s="0">
        <v>106.5</v>
      </c>
      <c r="BJ3836" s="0" t="s">
        <v>135</v>
      </c>
    </row>
    <row r="3837">
      <c r="A3837" s="0" t="s">
        <v>4095</v>
      </c>
      <c r="B3837" s="0" t="s">
        <v>652</v>
      </c>
      <c r="C3837" s="0" t="s">
        <v>652</v>
      </c>
      <c r="D3837" s="0" t="s">
        <v>135</v>
      </c>
      <c r="E3837" s="0" t="s">
        <v>2</v>
      </c>
      <c r="F3837" s="0" t="s">
        <v>12</v>
      </c>
      <c r="G3837" s="0" t="s">
        <v>8</v>
      </c>
      <c r="H3837" s="0">
        <v>40</v>
      </c>
      <c r="I3837" s="0">
        <v>0</v>
      </c>
      <c r="J3837" s="0">
        <v>0</v>
      </c>
      <c r="K3837" s="0">
        <v>0</v>
      </c>
      <c r="L3837" s="0">
        <v>0</v>
      </c>
      <c r="M3837" s="0">
        <v>0</v>
      </c>
      <c r="N3837" s="0">
        <v>0</v>
      </c>
      <c r="O3837" s="0">
        <v>0</v>
      </c>
      <c r="P3837" s="0">
        <v>0</v>
      </c>
      <c r="R3837" s="0" t="b">
        <v>0</v>
      </c>
      <c r="S3837" s="0" t="b">
        <v>0</v>
      </c>
      <c r="T3837" s="68">
        <v>46013.3417361111</v>
      </c>
      <c r="U3837" s="68">
        <v>0</v>
      </c>
      <c r="V3837" s="68">
        <v>46056.166724537</v>
      </c>
      <c r="W3837" s="0">
        <f>IF(IF(B3837="none",1,IF(B3837="Trialer",1,0))+IF(C3837="Customer",1,IF(C3837="Lost",1,0))=2,1,0)</f>
      </c>
      <c r="X3837" s="0" t="s">
        <v>136</v>
      </c>
      <c r="Y3837" s="0" t="s">
        <v>499</v>
      </c>
      <c r="AV3837" s="68"/>
      <c r="AW3837" s="68"/>
      <c r="AY3837" s="27"/>
      <c r="BD3837" s="68">
        <v>46054.1666666667</v>
      </c>
      <c r="BE3837" s="68">
        <v>46082.1666666667</v>
      </c>
      <c r="BF3837" s="0" t="b">
        <v>0</v>
      </c>
      <c r="BG3837" s="0" t="b">
        <v>0</v>
      </c>
      <c r="BH3837" s="0">
        <v>44.25</v>
      </c>
      <c r="BI3837" s="0">
        <v>44.25</v>
      </c>
      <c r="BJ3837" s="0" t="s">
        <v>135</v>
      </c>
    </row>
    <row r="3838">
      <c r="A3838" s="0" t="s">
        <v>4096</v>
      </c>
      <c r="B3838" s="0" t="s">
        <v>652</v>
      </c>
      <c r="C3838" s="0" t="s">
        <v>652</v>
      </c>
      <c r="D3838" s="0" t="s">
        <v>135</v>
      </c>
      <c r="E3838" s="0" t="s">
        <v>2414</v>
      </c>
      <c r="F3838" s="0" t="s">
        <v>12</v>
      </c>
      <c r="G3838" s="0" t="s">
        <v>8</v>
      </c>
      <c r="H3838" s="0">
        <v>40</v>
      </c>
      <c r="I3838" s="0">
        <v>0</v>
      </c>
      <c r="J3838" s="0">
        <v>0</v>
      </c>
      <c r="K3838" s="0">
        <v>0</v>
      </c>
      <c r="L3838" s="0">
        <v>0</v>
      </c>
      <c r="M3838" s="0">
        <v>0</v>
      </c>
      <c r="N3838" s="0">
        <v>0</v>
      </c>
      <c r="O3838" s="0">
        <v>0</v>
      </c>
      <c r="P3838" s="0">
        <v>0</v>
      </c>
      <c r="R3838" s="0" t="b">
        <v>0</v>
      </c>
      <c r="S3838" s="0" t="b">
        <v>0</v>
      </c>
      <c r="T3838" s="68">
        <v>46013.4394791667</v>
      </c>
      <c r="U3838" s="68">
        <v>0</v>
      </c>
      <c r="V3838" s="68">
        <v>46056.1667476852</v>
      </c>
      <c r="W3838" s="0">
        <f>IF(IF(B3838="none",1,IF(B3838="Trialer",1,0))+IF(C3838="Customer",1,IF(C3838="Lost",1,0))=2,1,0)</f>
      </c>
      <c r="X3838" s="0" t="s">
        <v>148</v>
      </c>
      <c r="Y3838" s="0" t="s">
        <v>1516</v>
      </c>
      <c r="AV3838" s="68"/>
      <c r="AW3838" s="68"/>
      <c r="AY3838" s="27"/>
      <c r="BD3838" s="68">
        <v>46054.1666666667</v>
      </c>
      <c r="BE3838" s="68">
        <v>46082.1666666667</v>
      </c>
      <c r="BF3838" s="0" t="b">
        <v>0</v>
      </c>
      <c r="BG3838" s="0" t="b">
        <v>0</v>
      </c>
      <c r="BH3838" s="0">
        <v>44.25</v>
      </c>
      <c r="BI3838" s="0">
        <v>44.25</v>
      </c>
      <c r="BJ3838" s="0" t="s">
        <v>135</v>
      </c>
    </row>
    <row r="3839">
      <c r="A3839" s="0" t="s">
        <v>4097</v>
      </c>
      <c r="B3839" s="0" t="s">
        <v>134</v>
      </c>
      <c r="C3839" s="0" t="s">
        <v>134</v>
      </c>
      <c r="D3839" s="0" t="s">
        <v>135</v>
      </c>
      <c r="E3839" s="0" t="s">
        <v>3</v>
      </c>
      <c r="F3839" s="0" t="s">
        <v>12</v>
      </c>
      <c r="G3839" s="0" t="s">
        <v>8</v>
      </c>
      <c r="H3839" s="0">
        <v>40</v>
      </c>
      <c r="I3839" s="0">
        <v>278.25</v>
      </c>
      <c r="J3839" s="0">
        <v>0</v>
      </c>
      <c r="K3839" s="0">
        <v>1</v>
      </c>
      <c r="L3839" s="0">
        <v>5</v>
      </c>
      <c r="M3839" s="0">
        <v>5</v>
      </c>
      <c r="N3839" s="0">
        <v>155</v>
      </c>
      <c r="O3839" s="0">
        <v>0</v>
      </c>
      <c r="P3839" s="0">
        <v>0</v>
      </c>
      <c r="R3839" s="0" t="b">
        <v>0</v>
      </c>
      <c r="S3839" s="0" t="b">
        <v>1</v>
      </c>
      <c r="T3839" s="68">
        <v>46013.4730324074</v>
      </c>
      <c r="U3839" s="68">
        <v>46031.2916666667</v>
      </c>
      <c r="V3839" s="68">
        <v>0</v>
      </c>
      <c r="W3839" s="0">
        <f>IF(IF(B3839="none",1,IF(B3839="Trialer",1,0))+IF(C3839="Customer",1,IF(C3839="Lost",1,0))=2,1,0)</f>
      </c>
      <c r="X3839" s="0" t="s">
        <v>148</v>
      </c>
      <c r="Y3839" s="0" t="s">
        <v>243</v>
      </c>
      <c r="AV3839" s="68"/>
      <c r="AW3839" s="68"/>
      <c r="AY3839" s="27"/>
      <c r="BD3839" s="68">
        <v>46054.1666666667</v>
      </c>
      <c r="BE3839" s="68">
        <v>46082.1666666667</v>
      </c>
      <c r="BF3839" s="0" t="b">
        <v>0</v>
      </c>
      <c r="BG3839" s="0" t="b">
        <v>0</v>
      </c>
      <c r="BH3839" s="0">
        <v>258.75</v>
      </c>
      <c r="BI3839" s="0">
        <v>258.75</v>
      </c>
      <c r="BJ3839" s="0" t="s">
        <v>135</v>
      </c>
    </row>
    <row r="3840">
      <c r="A3840" s="0" t="s">
        <v>4098</v>
      </c>
      <c r="B3840" s="0" t="s">
        <v>652</v>
      </c>
      <c r="C3840" s="0" t="s">
        <v>652</v>
      </c>
      <c r="D3840" s="0" t="s">
        <v>135</v>
      </c>
      <c r="E3840" s="0" t="s">
        <v>2414</v>
      </c>
      <c r="F3840" s="0" t="s">
        <v>12</v>
      </c>
      <c r="G3840" s="0" t="s">
        <v>8</v>
      </c>
      <c r="H3840" s="0">
        <v>40</v>
      </c>
      <c r="I3840" s="0">
        <v>0</v>
      </c>
      <c r="J3840" s="0">
        <v>0</v>
      </c>
      <c r="K3840" s="0">
        <v>0</v>
      </c>
      <c r="L3840" s="0">
        <v>0</v>
      </c>
      <c r="M3840" s="0">
        <v>0</v>
      </c>
      <c r="N3840" s="0">
        <v>0</v>
      </c>
      <c r="O3840" s="0">
        <v>0</v>
      </c>
      <c r="P3840" s="0">
        <v>0</v>
      </c>
      <c r="R3840" s="0" t="b">
        <v>0</v>
      </c>
      <c r="S3840" s="0" t="b">
        <v>0</v>
      </c>
      <c r="T3840" s="68">
        <v>46013.4850115741</v>
      </c>
      <c r="U3840" s="68">
        <v>0</v>
      </c>
      <c r="V3840" s="68">
        <v>46056.1667476852</v>
      </c>
      <c r="W3840" s="0">
        <f>IF(IF(B3840="none",1,IF(B3840="Trialer",1,0))+IF(C3840="Customer",1,IF(C3840="Lost",1,0))=2,1,0)</f>
      </c>
      <c r="X3840" s="0" t="s">
        <v>145</v>
      </c>
      <c r="Y3840" s="0" t="s">
        <v>1516</v>
      </c>
      <c r="AV3840" s="68"/>
      <c r="AW3840" s="68"/>
      <c r="AY3840" s="27"/>
      <c r="BD3840" s="68">
        <v>46054.1666666667</v>
      </c>
      <c r="BE3840" s="68">
        <v>46082.1666666667</v>
      </c>
      <c r="BF3840" s="0" t="b">
        <v>0</v>
      </c>
      <c r="BG3840" s="0" t="b">
        <v>0</v>
      </c>
      <c r="BH3840" s="0">
        <v>44.25</v>
      </c>
      <c r="BI3840" s="0">
        <v>44.25</v>
      </c>
      <c r="BJ3840" s="0" t="s">
        <v>135</v>
      </c>
    </row>
    <row r="3841">
      <c r="A3841" s="0" t="s">
        <v>4099</v>
      </c>
      <c r="B3841" s="0" t="s">
        <v>134</v>
      </c>
      <c r="C3841" s="0" t="s">
        <v>134</v>
      </c>
      <c r="D3841" s="0" t="s">
        <v>135</v>
      </c>
      <c r="E3841" s="0" t="s">
        <v>2</v>
      </c>
      <c r="F3841" s="0" t="s">
        <v>10</v>
      </c>
      <c r="G3841" s="0" t="s">
        <v>8</v>
      </c>
      <c r="H3841" s="0">
        <v>40</v>
      </c>
      <c r="I3841" s="0">
        <v>88.5</v>
      </c>
      <c r="J3841" s="0">
        <v>0</v>
      </c>
      <c r="K3841" s="0">
        <v>1</v>
      </c>
      <c r="L3841" s="0">
        <v>3</v>
      </c>
      <c r="M3841" s="0">
        <v>2</v>
      </c>
      <c r="N3841" s="0">
        <v>0</v>
      </c>
      <c r="O3841" s="0">
        <v>0</v>
      </c>
      <c r="P3841" s="0">
        <v>0</v>
      </c>
      <c r="Q3841" s="0" t="s">
        <v>1919</v>
      </c>
      <c r="R3841" s="0" t="b">
        <v>0</v>
      </c>
      <c r="S3841" s="0" t="b">
        <v>1</v>
      </c>
      <c r="T3841" s="68">
        <v>46013.5053819444</v>
      </c>
      <c r="U3841" s="68">
        <v>46035.2916666667</v>
      </c>
      <c r="V3841" s="68">
        <v>0</v>
      </c>
      <c r="W3841" s="0">
        <f>IF(IF(B3841="none",1,IF(B3841="Trialer",1,0))+IF(C3841="Customer",1,IF(C3841="Lost",1,0))=2,1,0)</f>
      </c>
      <c r="X3841" s="0" t="s">
        <v>145</v>
      </c>
      <c r="Y3841" s="0" t="s">
        <v>1587</v>
      </c>
      <c r="AV3841" s="68"/>
      <c r="AW3841" s="68"/>
      <c r="AY3841" s="27"/>
      <c r="BD3841" s="68">
        <v>46054.1666666667</v>
      </c>
      <c r="BE3841" s="68">
        <v>46082.1666666667</v>
      </c>
      <c r="BF3841" s="0" t="b">
        <v>0</v>
      </c>
      <c r="BG3841" s="0" t="b">
        <v>0</v>
      </c>
      <c r="BH3841" s="0">
        <v>177</v>
      </c>
      <c r="BI3841" s="0">
        <v>177</v>
      </c>
      <c r="BJ3841" s="0" t="s">
        <v>135</v>
      </c>
    </row>
    <row r="3842">
      <c r="A3842" s="0" t="s">
        <v>4100</v>
      </c>
      <c r="B3842" s="0" t="s">
        <v>652</v>
      </c>
      <c r="C3842" s="0" t="s">
        <v>652</v>
      </c>
      <c r="D3842" s="0" t="s">
        <v>135</v>
      </c>
      <c r="E3842" s="0" t="s">
        <v>2414</v>
      </c>
      <c r="F3842" s="0" t="s">
        <v>12</v>
      </c>
      <c r="G3842" s="0" t="s">
        <v>8</v>
      </c>
      <c r="H3842" s="0">
        <v>40</v>
      </c>
      <c r="I3842" s="0">
        <v>0</v>
      </c>
      <c r="J3842" s="0">
        <v>0</v>
      </c>
      <c r="K3842" s="0">
        <v>0</v>
      </c>
      <c r="L3842" s="0">
        <v>0</v>
      </c>
      <c r="M3842" s="0">
        <v>0</v>
      </c>
      <c r="N3842" s="0">
        <v>0</v>
      </c>
      <c r="O3842" s="0">
        <v>0</v>
      </c>
      <c r="P3842" s="0">
        <v>0</v>
      </c>
      <c r="R3842" s="0" t="b">
        <v>0</v>
      </c>
      <c r="S3842" s="0" t="b">
        <v>0</v>
      </c>
      <c r="T3842" s="68">
        <v>46013.5155208333</v>
      </c>
      <c r="U3842" s="68">
        <v>0</v>
      </c>
      <c r="V3842" s="68">
        <v>46056.1667592593</v>
      </c>
      <c r="W3842" s="0">
        <f>IF(IF(B3842="none",1,IF(B3842="Trialer",1,0))+IF(C3842="Customer",1,IF(C3842="Lost",1,0))=2,1,0)</f>
      </c>
      <c r="X3842" s="0" t="s">
        <v>148</v>
      </c>
      <c r="Y3842" s="0" t="s">
        <v>1516</v>
      </c>
      <c r="AV3842" s="68"/>
      <c r="AW3842" s="68"/>
      <c r="AY3842" s="27"/>
      <c r="BD3842" s="68">
        <v>46054.1666666667</v>
      </c>
      <c r="BE3842" s="68">
        <v>46082.1666666667</v>
      </c>
      <c r="BF3842" s="0" t="b">
        <v>0</v>
      </c>
      <c r="BG3842" s="0" t="b">
        <v>0</v>
      </c>
      <c r="BH3842" s="0">
        <v>44.25</v>
      </c>
      <c r="BI3842" s="0">
        <v>44.25</v>
      </c>
      <c r="BJ3842" s="0" t="s">
        <v>135</v>
      </c>
    </row>
    <row r="3843">
      <c r="A3843" s="0" t="s">
        <v>4101</v>
      </c>
      <c r="B3843" s="0" t="s">
        <v>652</v>
      </c>
      <c r="C3843" s="0" t="s">
        <v>652</v>
      </c>
      <c r="D3843" s="0" t="s">
        <v>135</v>
      </c>
      <c r="E3843" s="0" t="s">
        <v>3</v>
      </c>
      <c r="F3843" s="0" t="s">
        <v>12</v>
      </c>
      <c r="G3843" s="0" t="s">
        <v>8</v>
      </c>
      <c r="H3843" s="0">
        <v>40</v>
      </c>
      <c r="I3843" s="0">
        <v>0</v>
      </c>
      <c r="J3843" s="0">
        <v>0</v>
      </c>
      <c r="K3843" s="0">
        <v>0</v>
      </c>
      <c r="L3843" s="0">
        <v>0</v>
      </c>
      <c r="M3843" s="0">
        <v>0</v>
      </c>
      <c r="N3843" s="0">
        <v>0</v>
      </c>
      <c r="O3843" s="0">
        <v>0</v>
      </c>
      <c r="P3843" s="0">
        <v>0</v>
      </c>
      <c r="R3843" s="0" t="b">
        <v>0</v>
      </c>
      <c r="S3843" s="0" t="b">
        <v>0</v>
      </c>
      <c r="T3843" s="68">
        <v>46013.5320833333</v>
      </c>
      <c r="U3843" s="68">
        <v>0</v>
      </c>
      <c r="V3843" s="68">
        <v>46056.1667708333</v>
      </c>
      <c r="W3843" s="0">
        <f>IF(IF(B3843="none",1,IF(B3843="Trialer",1,0))+IF(C3843="Customer",1,IF(C3843="Lost",1,0))=2,1,0)</f>
      </c>
      <c r="X3843" s="0" t="s">
        <v>145</v>
      </c>
      <c r="Y3843" s="0" t="s">
        <v>243</v>
      </c>
      <c r="AV3843" s="68"/>
      <c r="AW3843" s="68"/>
      <c r="AY3843" s="27"/>
      <c r="BD3843" s="68">
        <v>46054.1666666667</v>
      </c>
      <c r="BE3843" s="68">
        <v>46082.1666666667</v>
      </c>
      <c r="BF3843" s="0" t="b">
        <v>0</v>
      </c>
      <c r="BG3843" s="0" t="b">
        <v>0</v>
      </c>
      <c r="BH3843" s="0">
        <v>44.25</v>
      </c>
      <c r="BI3843" s="0">
        <v>44.25</v>
      </c>
      <c r="BJ3843" s="0" t="s">
        <v>135</v>
      </c>
    </row>
    <row r="3844">
      <c r="A3844" s="0" t="s">
        <v>4102</v>
      </c>
      <c r="B3844" s="0" t="s">
        <v>652</v>
      </c>
      <c r="C3844" s="0" t="s">
        <v>652</v>
      </c>
      <c r="D3844" s="0" t="s">
        <v>135</v>
      </c>
      <c r="E3844" s="0" t="s">
        <v>3</v>
      </c>
      <c r="F3844" s="0" t="s">
        <v>12</v>
      </c>
      <c r="G3844" s="0" t="s">
        <v>8</v>
      </c>
      <c r="H3844" s="0">
        <v>40</v>
      </c>
      <c r="I3844" s="0">
        <v>0</v>
      </c>
      <c r="J3844" s="0">
        <v>0</v>
      </c>
      <c r="K3844" s="0">
        <v>0</v>
      </c>
      <c r="L3844" s="0">
        <v>0</v>
      </c>
      <c r="M3844" s="0">
        <v>0</v>
      </c>
      <c r="N3844" s="0">
        <v>0</v>
      </c>
      <c r="O3844" s="0">
        <v>0</v>
      </c>
      <c r="P3844" s="0">
        <v>0</v>
      </c>
      <c r="R3844" s="0" t="b">
        <v>0</v>
      </c>
      <c r="S3844" s="0" t="b">
        <v>0</v>
      </c>
      <c r="T3844" s="68">
        <v>46013.7295949074</v>
      </c>
      <c r="U3844" s="68">
        <v>0</v>
      </c>
      <c r="V3844" s="68">
        <v>46056.1667824074</v>
      </c>
      <c r="W3844" s="0">
        <f>IF(IF(B3844="none",1,IF(B3844="Trialer",1,0))+IF(C3844="Customer",1,IF(C3844="Lost",1,0))=2,1,0)</f>
      </c>
      <c r="X3844" s="0" t="s">
        <v>136</v>
      </c>
      <c r="Y3844" s="0" t="s">
        <v>243</v>
      </c>
      <c r="AV3844" s="68"/>
      <c r="AW3844" s="68"/>
      <c r="AY3844" s="27"/>
      <c r="BD3844" s="68">
        <v>46054.1666666667</v>
      </c>
      <c r="BE3844" s="68">
        <v>46082.1666666667</v>
      </c>
      <c r="BF3844" s="0" t="b">
        <v>0</v>
      </c>
      <c r="BG3844" s="0" t="b">
        <v>0</v>
      </c>
      <c r="BH3844" s="0">
        <v>44.25</v>
      </c>
      <c r="BI3844" s="0">
        <v>44.25</v>
      </c>
      <c r="BJ3844" s="0" t="s">
        <v>135</v>
      </c>
    </row>
    <row r="3845">
      <c r="A3845" s="0" t="s">
        <v>4103</v>
      </c>
      <c r="B3845" s="0" t="s">
        <v>652</v>
      </c>
      <c r="C3845" s="0" t="s">
        <v>652</v>
      </c>
      <c r="D3845" s="0" t="s">
        <v>135</v>
      </c>
      <c r="E3845" s="0" t="s">
        <v>2</v>
      </c>
      <c r="F3845" s="0" t="s">
        <v>12</v>
      </c>
      <c r="G3845" s="0" t="s">
        <v>8</v>
      </c>
      <c r="H3845" s="0">
        <v>40</v>
      </c>
      <c r="I3845" s="0">
        <v>0</v>
      </c>
      <c r="J3845" s="0">
        <v>0</v>
      </c>
      <c r="K3845" s="0">
        <v>0</v>
      </c>
      <c r="L3845" s="0">
        <v>0</v>
      </c>
      <c r="M3845" s="0">
        <v>0</v>
      </c>
      <c r="N3845" s="0">
        <v>0</v>
      </c>
      <c r="O3845" s="0">
        <v>0</v>
      </c>
      <c r="P3845" s="0">
        <v>0</v>
      </c>
      <c r="R3845" s="0" t="b">
        <v>0</v>
      </c>
      <c r="S3845" s="0" t="b">
        <v>0</v>
      </c>
      <c r="T3845" s="68">
        <v>46013.7407291667</v>
      </c>
      <c r="U3845" s="68">
        <v>0</v>
      </c>
      <c r="V3845" s="68">
        <v>46056.1668518518</v>
      </c>
      <c r="W3845" s="0">
        <f>IF(IF(B3845="none",1,IF(B3845="Trialer",1,0))+IF(C3845="Customer",1,IF(C3845="Lost",1,0))=2,1,0)</f>
      </c>
      <c r="X3845" s="0" t="s">
        <v>148</v>
      </c>
      <c r="Y3845" s="0" t="s">
        <v>499</v>
      </c>
      <c r="AV3845" s="68"/>
      <c r="AW3845" s="68"/>
      <c r="AY3845" s="27"/>
      <c r="BD3845" s="68">
        <v>46054.1666666667</v>
      </c>
      <c r="BE3845" s="68">
        <v>46082.1666666667</v>
      </c>
      <c r="BF3845" s="0" t="b">
        <v>0</v>
      </c>
      <c r="BG3845" s="0" t="b">
        <v>0</v>
      </c>
      <c r="BH3845" s="0">
        <v>63.75</v>
      </c>
      <c r="BI3845" s="0">
        <v>63.75</v>
      </c>
      <c r="BJ3845" s="0" t="s">
        <v>135</v>
      </c>
    </row>
    <row r="3846">
      <c r="A3846" s="0" t="s">
        <v>4104</v>
      </c>
      <c r="B3846" s="0" t="s">
        <v>652</v>
      </c>
      <c r="C3846" s="0" t="s">
        <v>652</v>
      </c>
      <c r="D3846" s="0" t="s">
        <v>135</v>
      </c>
      <c r="E3846" s="0" t="s">
        <v>2414</v>
      </c>
      <c r="F3846" s="0" t="s">
        <v>12</v>
      </c>
      <c r="G3846" s="0" t="s">
        <v>8</v>
      </c>
      <c r="H3846" s="0">
        <v>40</v>
      </c>
      <c r="I3846" s="0">
        <v>0</v>
      </c>
      <c r="J3846" s="0">
        <v>0</v>
      </c>
      <c r="K3846" s="0">
        <v>0</v>
      </c>
      <c r="L3846" s="0">
        <v>0</v>
      </c>
      <c r="M3846" s="0">
        <v>0</v>
      </c>
      <c r="N3846" s="0">
        <v>0</v>
      </c>
      <c r="O3846" s="0">
        <v>0</v>
      </c>
      <c r="P3846" s="0">
        <v>0</v>
      </c>
      <c r="R3846" s="0" t="b">
        <v>0</v>
      </c>
      <c r="S3846" s="0" t="b">
        <v>0</v>
      </c>
      <c r="T3846" s="68">
        <v>46013.7438194444</v>
      </c>
      <c r="U3846" s="68">
        <v>0</v>
      </c>
      <c r="V3846" s="68">
        <v>46056.1667939815</v>
      </c>
      <c r="W3846" s="0">
        <f>IF(IF(B3846="none",1,IF(B3846="Trialer",1,0))+IF(C3846="Customer",1,IF(C3846="Lost",1,0))=2,1,0)</f>
      </c>
      <c r="X3846" s="0" t="s">
        <v>145</v>
      </c>
      <c r="Y3846" s="0" t="s">
        <v>1516</v>
      </c>
      <c r="AV3846" s="68"/>
      <c r="AW3846" s="68"/>
      <c r="AY3846" s="27"/>
      <c r="BD3846" s="68">
        <v>46054.1666666667</v>
      </c>
      <c r="BE3846" s="68">
        <v>46082.1666666667</v>
      </c>
      <c r="BF3846" s="0" t="b">
        <v>0</v>
      </c>
      <c r="BG3846" s="0" t="b">
        <v>0</v>
      </c>
      <c r="BH3846" s="0">
        <v>44.25</v>
      </c>
      <c r="BI3846" s="0">
        <v>44.25</v>
      </c>
      <c r="BJ3846" s="0" t="s">
        <v>135</v>
      </c>
    </row>
    <row r="3847">
      <c r="A3847" s="0" t="s">
        <v>4105</v>
      </c>
      <c r="B3847" s="0" t="s">
        <v>652</v>
      </c>
      <c r="C3847" s="0" t="s">
        <v>652</v>
      </c>
      <c r="D3847" s="0" t="s">
        <v>135</v>
      </c>
      <c r="E3847" s="0" t="s">
        <v>2414</v>
      </c>
      <c r="F3847" s="0" t="s">
        <v>12</v>
      </c>
      <c r="G3847" s="0" t="s">
        <v>8</v>
      </c>
      <c r="H3847" s="0">
        <v>40</v>
      </c>
      <c r="I3847" s="0">
        <v>0</v>
      </c>
      <c r="J3847" s="0">
        <v>0</v>
      </c>
      <c r="K3847" s="0">
        <v>0</v>
      </c>
      <c r="L3847" s="0">
        <v>0</v>
      </c>
      <c r="M3847" s="0">
        <v>0</v>
      </c>
      <c r="N3847" s="0">
        <v>0</v>
      </c>
      <c r="O3847" s="0">
        <v>0</v>
      </c>
      <c r="P3847" s="0">
        <v>0</v>
      </c>
      <c r="R3847" s="0" t="b">
        <v>0</v>
      </c>
      <c r="S3847" s="0" t="b">
        <v>0</v>
      </c>
      <c r="T3847" s="68">
        <v>46013.8026157407</v>
      </c>
      <c r="U3847" s="68">
        <v>0</v>
      </c>
      <c r="V3847" s="68">
        <v>46056.1668055556</v>
      </c>
      <c r="W3847" s="0">
        <f>IF(IF(B3847="none",1,IF(B3847="Trialer",1,0))+IF(C3847="Customer",1,IF(C3847="Lost",1,0))=2,1,0)</f>
      </c>
      <c r="X3847" s="0" t="s">
        <v>136</v>
      </c>
      <c r="Y3847" s="0" t="s">
        <v>1516</v>
      </c>
      <c r="AV3847" s="68"/>
      <c r="AW3847" s="68"/>
      <c r="AY3847" s="27"/>
      <c r="BD3847" s="68">
        <v>46054.1666666667</v>
      </c>
      <c r="BE3847" s="68">
        <v>46082.1666666667</v>
      </c>
      <c r="BF3847" s="0" t="b">
        <v>0</v>
      </c>
      <c r="BG3847" s="0" t="b">
        <v>0</v>
      </c>
      <c r="BH3847" s="0">
        <v>44.25</v>
      </c>
      <c r="BI3847" s="0">
        <v>44.25</v>
      </c>
      <c r="BJ3847" s="0" t="s">
        <v>135</v>
      </c>
    </row>
    <row r="3848">
      <c r="A3848" s="0" t="s">
        <v>4106</v>
      </c>
      <c r="B3848" s="0" t="s">
        <v>134</v>
      </c>
      <c r="C3848" s="0" t="s">
        <v>190</v>
      </c>
      <c r="D3848" s="0" t="s">
        <v>135</v>
      </c>
      <c r="E3848" s="0" t="s">
        <v>3</v>
      </c>
      <c r="F3848" s="0" t="s">
        <v>12</v>
      </c>
      <c r="G3848" s="0" t="s">
        <v>8</v>
      </c>
      <c r="H3848" s="0">
        <v>40</v>
      </c>
      <c r="I3848" s="0">
        <v>88.5</v>
      </c>
      <c r="J3848" s="0">
        <v>0</v>
      </c>
      <c r="K3848" s="0">
        <v>1</v>
      </c>
      <c r="L3848" s="0">
        <v>3</v>
      </c>
      <c r="M3848" s="0">
        <v>2</v>
      </c>
      <c r="N3848" s="0">
        <v>0</v>
      </c>
      <c r="O3848" s="0">
        <v>0</v>
      </c>
      <c r="P3848" s="0">
        <v>0</v>
      </c>
      <c r="R3848" s="0" t="b">
        <v>0</v>
      </c>
      <c r="S3848" s="0" t="b">
        <v>0</v>
      </c>
      <c r="T3848" s="68">
        <v>46013.8693402778</v>
      </c>
      <c r="U3848" s="68">
        <v>46027.2916666667</v>
      </c>
      <c r="V3848" s="68">
        <v>46058.3783796296</v>
      </c>
      <c r="W3848" s="0">
        <f>IF(IF(B3848="none",1,IF(B3848="Trialer",1,0))+IF(C3848="Customer",1,IF(C3848="Lost",1,0))=2,1,0)</f>
      </c>
      <c r="X3848" s="0" t="s">
        <v>1461</v>
      </c>
      <c r="Y3848" s="0" t="s">
        <v>243</v>
      </c>
      <c r="AV3848" s="68"/>
      <c r="AW3848" s="68"/>
      <c r="AY3848" s="27"/>
      <c r="BD3848" s="68">
        <v>46054.1666666667</v>
      </c>
      <c r="BE3848" s="68">
        <v>46082.1666666667</v>
      </c>
      <c r="BF3848" s="0" t="b">
        <v>0</v>
      </c>
      <c r="BG3848" s="0" t="b">
        <v>0</v>
      </c>
      <c r="BH3848" s="0">
        <v>88.5</v>
      </c>
      <c r="BI3848" s="0">
        <v>88.5</v>
      </c>
      <c r="BJ3848" s="0" t="s">
        <v>135</v>
      </c>
    </row>
    <row r="3849">
      <c r="A3849" s="0" t="s">
        <v>4107</v>
      </c>
      <c r="B3849" s="0" t="s">
        <v>652</v>
      </c>
      <c r="C3849" s="0" t="s">
        <v>652</v>
      </c>
      <c r="D3849" s="0" t="s">
        <v>135</v>
      </c>
      <c r="E3849" s="0" t="s">
        <v>3</v>
      </c>
      <c r="F3849" s="0" t="s">
        <v>12</v>
      </c>
      <c r="G3849" s="0" t="s">
        <v>8</v>
      </c>
      <c r="H3849" s="0">
        <v>39</v>
      </c>
      <c r="I3849" s="0">
        <v>0</v>
      </c>
      <c r="J3849" s="0">
        <v>0</v>
      </c>
      <c r="K3849" s="0">
        <v>0</v>
      </c>
      <c r="L3849" s="0">
        <v>0</v>
      </c>
      <c r="M3849" s="0">
        <v>0</v>
      </c>
      <c r="N3849" s="0">
        <v>0</v>
      </c>
      <c r="O3849" s="0">
        <v>0</v>
      </c>
      <c r="P3849" s="0">
        <v>0</v>
      </c>
      <c r="R3849" s="0" t="b">
        <v>0</v>
      </c>
      <c r="S3849" s="0" t="b">
        <v>0</v>
      </c>
      <c r="T3849" s="68">
        <v>46013.9668865741</v>
      </c>
      <c r="U3849" s="68">
        <v>0</v>
      </c>
      <c r="V3849" s="68">
        <v>46056.1668287037</v>
      </c>
      <c r="W3849" s="0">
        <f>IF(IF(B3849="none",1,IF(B3849="Trialer",1,0))+IF(C3849="Customer",1,IF(C3849="Lost",1,0))=2,1,0)</f>
      </c>
      <c r="X3849" s="0" t="s">
        <v>145</v>
      </c>
      <c r="Y3849" s="0" t="s">
        <v>1792</v>
      </c>
      <c r="AV3849" s="68"/>
      <c r="AW3849" s="68"/>
      <c r="AY3849" s="27"/>
      <c r="BD3849" s="68">
        <v>46054.1666666667</v>
      </c>
      <c r="BE3849" s="68">
        <v>46082.1666666667</v>
      </c>
      <c r="BF3849" s="0" t="b">
        <v>0</v>
      </c>
      <c r="BG3849" s="0" t="b">
        <v>0</v>
      </c>
      <c r="BH3849" s="0">
        <v>53.25</v>
      </c>
      <c r="BI3849" s="0">
        <v>53.25</v>
      </c>
      <c r="BJ3849" s="0" t="s">
        <v>135</v>
      </c>
    </row>
    <row r="3850">
      <c r="A3850" s="0" t="s">
        <v>4108</v>
      </c>
      <c r="B3850" s="0" t="s">
        <v>134</v>
      </c>
      <c r="C3850" s="0" t="s">
        <v>134</v>
      </c>
      <c r="D3850" s="0" t="s">
        <v>135</v>
      </c>
      <c r="E3850" s="0" t="s">
        <v>3</v>
      </c>
      <c r="F3850" s="0" t="s">
        <v>12</v>
      </c>
      <c r="G3850" s="0" t="s">
        <v>8</v>
      </c>
      <c r="H3850" s="0">
        <v>39</v>
      </c>
      <c r="I3850" s="0">
        <v>44.25</v>
      </c>
      <c r="J3850" s="0">
        <v>0</v>
      </c>
      <c r="K3850" s="0">
        <v>1</v>
      </c>
      <c r="L3850" s="0">
        <v>3</v>
      </c>
      <c r="M3850" s="0">
        <v>1</v>
      </c>
      <c r="N3850" s="0">
        <v>0</v>
      </c>
      <c r="O3850" s="0">
        <v>0</v>
      </c>
      <c r="P3850" s="0">
        <v>0</v>
      </c>
      <c r="R3850" s="0" t="b">
        <v>0</v>
      </c>
      <c r="S3850" s="0" t="b">
        <v>1</v>
      </c>
      <c r="T3850" s="68">
        <v>46014.0118171296</v>
      </c>
      <c r="U3850" s="68">
        <v>46028.2916666667</v>
      </c>
      <c r="V3850" s="68">
        <v>0</v>
      </c>
      <c r="W3850" s="0">
        <f>IF(IF(B3850="none",1,IF(B3850="Trialer",1,0))+IF(C3850="Customer",1,IF(C3850="Lost",1,0))=2,1,0)</f>
      </c>
      <c r="X3850" s="0" t="s">
        <v>1461</v>
      </c>
      <c r="Y3850" s="0" t="s">
        <v>243</v>
      </c>
      <c r="AV3850" s="68"/>
      <c r="AW3850" s="68"/>
      <c r="AY3850" s="27"/>
      <c r="BD3850" s="68">
        <v>46054.1666666667</v>
      </c>
      <c r="BE3850" s="68">
        <v>46082.1666666667</v>
      </c>
      <c r="BF3850" s="0" t="b">
        <v>0</v>
      </c>
      <c r="BG3850" s="0" t="b">
        <v>0</v>
      </c>
      <c r="BH3850" s="0">
        <v>44.25</v>
      </c>
      <c r="BI3850" s="0">
        <v>44.25</v>
      </c>
      <c r="BJ3850" s="0" t="s">
        <v>135</v>
      </c>
    </row>
    <row r="3851">
      <c r="A3851" s="0" t="s">
        <v>4109</v>
      </c>
      <c r="B3851" s="0" t="s">
        <v>652</v>
      </c>
      <c r="C3851" s="0" t="s">
        <v>652</v>
      </c>
      <c r="D3851" s="0" t="s">
        <v>135</v>
      </c>
      <c r="E3851" s="0" t="s">
        <v>3</v>
      </c>
      <c r="F3851" s="0" t="s">
        <v>12</v>
      </c>
      <c r="G3851" s="0" t="s">
        <v>8</v>
      </c>
      <c r="H3851" s="0">
        <v>39</v>
      </c>
      <c r="I3851" s="0">
        <v>0</v>
      </c>
      <c r="J3851" s="0">
        <v>0</v>
      </c>
      <c r="K3851" s="0">
        <v>0</v>
      </c>
      <c r="L3851" s="0">
        <v>0</v>
      </c>
      <c r="M3851" s="0">
        <v>0</v>
      </c>
      <c r="N3851" s="0">
        <v>0</v>
      </c>
      <c r="O3851" s="0">
        <v>0</v>
      </c>
      <c r="P3851" s="0">
        <v>0</v>
      </c>
      <c r="R3851" s="0" t="b">
        <v>0</v>
      </c>
      <c r="S3851" s="0" t="b">
        <v>0</v>
      </c>
      <c r="T3851" s="68">
        <v>46014.0499189815</v>
      </c>
      <c r="U3851" s="68">
        <v>0</v>
      </c>
      <c r="V3851" s="68">
        <v>46056.1668402778</v>
      </c>
      <c r="W3851" s="0">
        <f>IF(IF(B3851="none",1,IF(B3851="Trialer",1,0))+IF(C3851="Customer",1,IF(C3851="Lost",1,0))=2,1,0)</f>
      </c>
      <c r="X3851" s="0" t="s">
        <v>148</v>
      </c>
      <c r="Y3851" s="0" t="s">
        <v>243</v>
      </c>
      <c r="AV3851" s="68"/>
      <c r="AW3851" s="68"/>
      <c r="AY3851" s="27"/>
      <c r="BD3851" s="68">
        <v>46054.1666666667</v>
      </c>
      <c r="BE3851" s="68">
        <v>46082.1666666667</v>
      </c>
      <c r="BF3851" s="0" t="b">
        <v>0</v>
      </c>
      <c r="BG3851" s="0" t="b">
        <v>0</v>
      </c>
      <c r="BH3851" s="0">
        <v>44.25</v>
      </c>
      <c r="BI3851" s="0">
        <v>44.25</v>
      </c>
      <c r="BJ3851" s="0" t="s">
        <v>135</v>
      </c>
    </row>
    <row r="3852">
      <c r="A3852" s="0" t="s">
        <v>4110</v>
      </c>
      <c r="B3852" s="0" t="s">
        <v>652</v>
      </c>
      <c r="C3852" s="0" t="s">
        <v>652</v>
      </c>
      <c r="D3852" s="0" t="s">
        <v>135</v>
      </c>
      <c r="E3852" s="0" t="s">
        <v>4</v>
      </c>
      <c r="F3852" s="0" t="s">
        <v>12</v>
      </c>
      <c r="G3852" s="0" t="s">
        <v>8</v>
      </c>
      <c r="H3852" s="0">
        <v>39</v>
      </c>
      <c r="I3852" s="0">
        <v>0</v>
      </c>
      <c r="J3852" s="0">
        <v>0</v>
      </c>
      <c r="K3852" s="0">
        <v>0</v>
      </c>
      <c r="L3852" s="0">
        <v>0</v>
      </c>
      <c r="M3852" s="0">
        <v>0</v>
      </c>
      <c r="N3852" s="0">
        <v>0</v>
      </c>
      <c r="O3852" s="0">
        <v>0</v>
      </c>
      <c r="P3852" s="0">
        <v>0</v>
      </c>
      <c r="R3852" s="0" t="b">
        <v>0</v>
      </c>
      <c r="S3852" s="0" t="b">
        <v>0</v>
      </c>
      <c r="T3852" s="68">
        <v>46014.2409143519</v>
      </c>
      <c r="U3852" s="68">
        <v>0</v>
      </c>
      <c r="V3852" s="68">
        <v>46057.1667013889</v>
      </c>
      <c r="W3852" s="0">
        <f>IF(IF(B3852="none",1,IF(B3852="Trialer",1,0))+IF(C3852="Customer",1,IF(C3852="Lost",1,0))=2,1,0)</f>
      </c>
      <c r="X3852" s="0" t="s">
        <v>136</v>
      </c>
      <c r="Y3852" s="0" t="s">
        <v>1772</v>
      </c>
      <c r="AV3852" s="68"/>
      <c r="AW3852" s="68"/>
      <c r="AY3852" s="27"/>
      <c r="BD3852" s="68">
        <v>46054.1666666667</v>
      </c>
      <c r="BE3852" s="68">
        <v>46082.1666666667</v>
      </c>
      <c r="BF3852" s="0" t="b">
        <v>0</v>
      </c>
      <c r="BG3852" s="0" t="b">
        <v>0</v>
      </c>
      <c r="BH3852" s="0">
        <v>44.25</v>
      </c>
      <c r="BI3852" s="0">
        <v>44.25</v>
      </c>
      <c r="BJ3852" s="0" t="s">
        <v>135</v>
      </c>
    </row>
    <row r="3853">
      <c r="A3853" s="0" t="s">
        <v>4111</v>
      </c>
      <c r="B3853" s="0" t="s">
        <v>652</v>
      </c>
      <c r="C3853" s="0" t="s">
        <v>652</v>
      </c>
      <c r="D3853" s="0" t="s">
        <v>135</v>
      </c>
      <c r="E3853" s="0" t="s">
        <v>3</v>
      </c>
      <c r="F3853" s="0" t="s">
        <v>12</v>
      </c>
      <c r="G3853" s="0" t="s">
        <v>8</v>
      </c>
      <c r="H3853" s="0">
        <v>39</v>
      </c>
      <c r="I3853" s="0">
        <v>0</v>
      </c>
      <c r="J3853" s="0">
        <v>0</v>
      </c>
      <c r="K3853" s="0">
        <v>0</v>
      </c>
      <c r="L3853" s="0">
        <v>0</v>
      </c>
      <c r="M3853" s="0">
        <v>0</v>
      </c>
      <c r="N3853" s="0">
        <v>0</v>
      </c>
      <c r="O3853" s="0">
        <v>0</v>
      </c>
      <c r="P3853" s="0">
        <v>0</v>
      </c>
      <c r="R3853" s="0" t="b">
        <v>0</v>
      </c>
      <c r="S3853" s="0" t="b">
        <v>0</v>
      </c>
      <c r="T3853" s="68">
        <v>46014.3321527778</v>
      </c>
      <c r="U3853" s="68">
        <v>0</v>
      </c>
      <c r="V3853" s="68">
        <v>46057.1668171296</v>
      </c>
      <c r="W3853" s="0">
        <f>IF(IF(B3853="none",1,IF(B3853="Trialer",1,0))+IF(C3853="Customer",1,IF(C3853="Lost",1,0))=2,1,0)</f>
      </c>
      <c r="X3853" s="0" t="s">
        <v>145</v>
      </c>
      <c r="Y3853" s="0" t="s">
        <v>243</v>
      </c>
      <c r="AV3853" s="68"/>
      <c r="AW3853" s="68"/>
      <c r="AY3853" s="27"/>
      <c r="BD3853" s="68">
        <v>46054.1666666667</v>
      </c>
      <c r="BE3853" s="68">
        <v>46082.1666666667</v>
      </c>
      <c r="BF3853" s="0" t="b">
        <v>0</v>
      </c>
      <c r="BG3853" s="0" t="b">
        <v>0</v>
      </c>
      <c r="BH3853" s="0">
        <v>63.75</v>
      </c>
      <c r="BI3853" s="0">
        <v>63.75</v>
      </c>
      <c r="BJ3853" s="0" t="s">
        <v>135</v>
      </c>
    </row>
    <row r="3854">
      <c r="A3854" s="0" t="s">
        <v>4112</v>
      </c>
      <c r="B3854" s="0" t="s">
        <v>652</v>
      </c>
      <c r="C3854" s="0" t="s">
        <v>652</v>
      </c>
      <c r="D3854" s="0" t="s">
        <v>135</v>
      </c>
      <c r="E3854" s="0" t="s">
        <v>3</v>
      </c>
      <c r="F3854" s="0" t="s">
        <v>12</v>
      </c>
      <c r="G3854" s="0" t="s">
        <v>8</v>
      </c>
      <c r="H3854" s="0">
        <v>39</v>
      </c>
      <c r="I3854" s="0">
        <v>0</v>
      </c>
      <c r="J3854" s="0">
        <v>0</v>
      </c>
      <c r="K3854" s="0">
        <v>0</v>
      </c>
      <c r="L3854" s="0">
        <v>0</v>
      </c>
      <c r="M3854" s="0">
        <v>0</v>
      </c>
      <c r="N3854" s="0">
        <v>0</v>
      </c>
      <c r="O3854" s="0">
        <v>0</v>
      </c>
      <c r="P3854" s="0">
        <v>0</v>
      </c>
      <c r="R3854" s="0" t="b">
        <v>0</v>
      </c>
      <c r="S3854" s="0" t="b">
        <v>0</v>
      </c>
      <c r="T3854" s="68">
        <v>46014.3544444444</v>
      </c>
      <c r="U3854" s="68">
        <v>0</v>
      </c>
      <c r="V3854" s="68">
        <v>46057.166724537</v>
      </c>
      <c r="W3854" s="0">
        <f>IF(IF(B3854="none",1,IF(B3854="Trialer",1,0))+IF(C3854="Customer",1,IF(C3854="Lost",1,0))=2,1,0)</f>
      </c>
      <c r="X3854" s="0" t="s">
        <v>145</v>
      </c>
      <c r="Y3854" s="0" t="s">
        <v>243</v>
      </c>
      <c r="AV3854" s="68"/>
      <c r="AW3854" s="68"/>
      <c r="AY3854" s="27"/>
      <c r="BD3854" s="68">
        <v>46054.1666666667</v>
      </c>
      <c r="BE3854" s="68">
        <v>46082.1666666667</v>
      </c>
      <c r="BF3854" s="0" t="b">
        <v>0</v>
      </c>
      <c r="BG3854" s="0" t="b">
        <v>0</v>
      </c>
      <c r="BH3854" s="0">
        <v>72.75</v>
      </c>
      <c r="BI3854" s="0">
        <v>72.75</v>
      </c>
      <c r="BJ3854" s="0" t="s">
        <v>135</v>
      </c>
    </row>
    <row r="3855">
      <c r="A3855" s="0" t="s">
        <v>4113</v>
      </c>
      <c r="B3855" s="0" t="s">
        <v>134</v>
      </c>
      <c r="C3855" s="0" t="s">
        <v>134</v>
      </c>
      <c r="D3855" s="0" t="s">
        <v>135</v>
      </c>
      <c r="E3855" s="0" t="s">
        <v>3</v>
      </c>
      <c r="F3855" s="0" t="s">
        <v>12</v>
      </c>
      <c r="G3855" s="0" t="s">
        <v>8</v>
      </c>
      <c r="H3855" s="0">
        <v>39</v>
      </c>
      <c r="I3855" s="0">
        <v>33.75</v>
      </c>
      <c r="J3855" s="0">
        <v>0</v>
      </c>
      <c r="K3855" s="0">
        <v>1</v>
      </c>
      <c r="L3855" s="0">
        <v>2</v>
      </c>
      <c r="M3855" s="0">
        <v>1</v>
      </c>
      <c r="N3855" s="0">
        <v>0</v>
      </c>
      <c r="O3855" s="0">
        <v>0</v>
      </c>
      <c r="P3855" s="0">
        <v>0</v>
      </c>
      <c r="R3855" s="0" t="b">
        <v>0</v>
      </c>
      <c r="S3855" s="0" t="b">
        <v>1</v>
      </c>
      <c r="T3855" s="68">
        <v>46014.3844097222</v>
      </c>
      <c r="U3855" s="68">
        <v>46042.2916666667</v>
      </c>
      <c r="V3855" s="68">
        <v>0</v>
      </c>
      <c r="W3855" s="0">
        <f>IF(IF(B3855="none",1,IF(B3855="Trialer",1,0))+IF(C3855="Customer",1,IF(C3855="Lost",1,0))=2,1,0)</f>
      </c>
      <c r="X3855" s="0" t="s">
        <v>1461</v>
      </c>
      <c r="Y3855" s="0" t="s">
        <v>243</v>
      </c>
      <c r="AV3855" s="68"/>
      <c r="AW3855" s="68"/>
      <c r="AY3855" s="27"/>
      <c r="BD3855" s="68">
        <v>46054.1666666667</v>
      </c>
      <c r="BE3855" s="68">
        <v>46082.1666666667</v>
      </c>
      <c r="BF3855" s="0" t="b">
        <v>0</v>
      </c>
      <c r="BG3855" s="0" t="b">
        <v>0</v>
      </c>
      <c r="BH3855" s="0">
        <v>33.75</v>
      </c>
      <c r="BI3855" s="0">
        <v>33.75</v>
      </c>
      <c r="BJ3855" s="0" t="s">
        <v>135</v>
      </c>
    </row>
    <row r="3856">
      <c r="A3856" s="0" t="s">
        <v>4114</v>
      </c>
      <c r="B3856" s="0" t="s">
        <v>652</v>
      </c>
      <c r="C3856" s="0" t="s">
        <v>652</v>
      </c>
      <c r="D3856" s="0" t="s">
        <v>135</v>
      </c>
      <c r="E3856" s="0" t="s">
        <v>3</v>
      </c>
      <c r="F3856" s="0" t="s">
        <v>12</v>
      </c>
      <c r="G3856" s="0" t="s">
        <v>8</v>
      </c>
      <c r="H3856" s="0">
        <v>39</v>
      </c>
      <c r="I3856" s="0">
        <v>0</v>
      </c>
      <c r="J3856" s="0">
        <v>0</v>
      </c>
      <c r="K3856" s="0">
        <v>0</v>
      </c>
      <c r="L3856" s="0">
        <v>0</v>
      </c>
      <c r="M3856" s="0">
        <v>0</v>
      </c>
      <c r="N3856" s="0">
        <v>0</v>
      </c>
      <c r="O3856" s="0">
        <v>0</v>
      </c>
      <c r="P3856" s="0">
        <v>0</v>
      </c>
      <c r="R3856" s="0" t="b">
        <v>0</v>
      </c>
      <c r="S3856" s="0" t="b">
        <v>0</v>
      </c>
      <c r="T3856" s="68">
        <v>46014.4407175926</v>
      </c>
      <c r="U3856" s="68">
        <v>0</v>
      </c>
      <c r="V3856" s="68">
        <v>46057.1667361111</v>
      </c>
      <c r="W3856" s="0">
        <f>IF(IF(B3856="none",1,IF(B3856="Trialer",1,0))+IF(C3856="Customer",1,IF(C3856="Lost",1,0))=2,1,0)</f>
      </c>
      <c r="X3856" s="0" t="s">
        <v>148</v>
      </c>
      <c r="Y3856" s="0" t="s">
        <v>243</v>
      </c>
      <c r="AV3856" s="68"/>
      <c r="AW3856" s="68"/>
      <c r="AY3856" s="27"/>
      <c r="BD3856" s="68">
        <v>46054.1666666667</v>
      </c>
      <c r="BE3856" s="68">
        <v>46082.1666666667</v>
      </c>
      <c r="BF3856" s="0" t="b">
        <v>0</v>
      </c>
      <c r="BG3856" s="0" t="b">
        <v>0</v>
      </c>
      <c r="BH3856" s="0">
        <v>44.25</v>
      </c>
      <c r="BI3856" s="0">
        <v>44.25</v>
      </c>
      <c r="BJ3856" s="0" t="s">
        <v>135</v>
      </c>
    </row>
    <row r="3857">
      <c r="A3857" s="0" t="s">
        <v>4115</v>
      </c>
      <c r="B3857" s="0" t="s">
        <v>652</v>
      </c>
      <c r="C3857" s="0" t="s">
        <v>652</v>
      </c>
      <c r="D3857" s="0" t="s">
        <v>135</v>
      </c>
      <c r="E3857" s="0" t="s">
        <v>2414</v>
      </c>
      <c r="F3857" s="0" t="s">
        <v>12</v>
      </c>
      <c r="G3857" s="0" t="s">
        <v>8</v>
      </c>
      <c r="H3857" s="0">
        <v>39</v>
      </c>
      <c r="I3857" s="0">
        <v>0</v>
      </c>
      <c r="J3857" s="0">
        <v>0</v>
      </c>
      <c r="K3857" s="0">
        <v>0</v>
      </c>
      <c r="L3857" s="0">
        <v>0</v>
      </c>
      <c r="M3857" s="0">
        <v>0</v>
      </c>
      <c r="N3857" s="0">
        <v>0</v>
      </c>
      <c r="O3857" s="0">
        <v>0</v>
      </c>
      <c r="P3857" s="0">
        <v>0</v>
      </c>
      <c r="R3857" s="0" t="b">
        <v>0</v>
      </c>
      <c r="S3857" s="0" t="b">
        <v>0</v>
      </c>
      <c r="T3857" s="68">
        <v>46014.4421759259</v>
      </c>
      <c r="U3857" s="68">
        <v>0</v>
      </c>
      <c r="V3857" s="68">
        <v>46057.1667361111</v>
      </c>
      <c r="W3857" s="0">
        <f>IF(IF(B3857="none",1,IF(B3857="Trialer",1,0))+IF(C3857="Customer",1,IF(C3857="Lost",1,0))=2,1,0)</f>
      </c>
      <c r="X3857" s="0" t="s">
        <v>145</v>
      </c>
      <c r="Y3857" s="0" t="s">
        <v>1516</v>
      </c>
      <c r="AV3857" s="68"/>
      <c r="AW3857" s="68"/>
      <c r="AY3857" s="27"/>
      <c r="BD3857" s="68">
        <v>46054.1666666667</v>
      </c>
      <c r="BE3857" s="68">
        <v>46082.1666666667</v>
      </c>
      <c r="BF3857" s="0" t="b">
        <v>0</v>
      </c>
      <c r="BG3857" s="0" t="b">
        <v>0</v>
      </c>
      <c r="BH3857" s="0">
        <v>44.25</v>
      </c>
      <c r="BI3857" s="0">
        <v>44.25</v>
      </c>
      <c r="BJ3857" s="0" t="s">
        <v>135</v>
      </c>
    </row>
    <row r="3858">
      <c r="A3858" s="0" t="s">
        <v>4116</v>
      </c>
      <c r="B3858" s="0" t="s">
        <v>652</v>
      </c>
      <c r="C3858" s="0" t="s">
        <v>652</v>
      </c>
      <c r="D3858" s="0" t="s">
        <v>135</v>
      </c>
      <c r="E3858" s="0" t="s">
        <v>3</v>
      </c>
      <c r="F3858" s="0" t="s">
        <v>12</v>
      </c>
      <c r="G3858" s="0" t="s">
        <v>8</v>
      </c>
      <c r="H3858" s="0">
        <v>39</v>
      </c>
      <c r="I3858" s="0">
        <v>0</v>
      </c>
      <c r="J3858" s="0">
        <v>0</v>
      </c>
      <c r="K3858" s="0">
        <v>0</v>
      </c>
      <c r="L3858" s="0">
        <v>0</v>
      </c>
      <c r="M3858" s="0">
        <v>0</v>
      </c>
      <c r="N3858" s="0">
        <v>0</v>
      </c>
      <c r="O3858" s="0">
        <v>0</v>
      </c>
      <c r="P3858" s="0">
        <v>0</v>
      </c>
      <c r="R3858" s="0" t="b">
        <v>0</v>
      </c>
      <c r="S3858" s="0" t="b">
        <v>0</v>
      </c>
      <c r="T3858" s="68">
        <v>46014.450474537</v>
      </c>
      <c r="U3858" s="68">
        <v>0</v>
      </c>
      <c r="V3858" s="68">
        <v>46057.1667592593</v>
      </c>
      <c r="W3858" s="0">
        <f>IF(IF(B3858="none",1,IF(B3858="Trialer",1,0))+IF(C3858="Customer",1,IF(C3858="Lost",1,0))=2,1,0)</f>
      </c>
      <c r="X3858" s="0" t="s">
        <v>136</v>
      </c>
      <c r="Y3858" s="0" t="s">
        <v>243</v>
      </c>
      <c r="AV3858" s="68"/>
      <c r="AW3858" s="68"/>
      <c r="AY3858" s="27"/>
      <c r="BD3858" s="68">
        <v>46054.1666666667</v>
      </c>
      <c r="BE3858" s="68">
        <v>46082.1666666667</v>
      </c>
      <c r="BF3858" s="0" t="b">
        <v>0</v>
      </c>
      <c r="BG3858" s="0" t="b">
        <v>0</v>
      </c>
      <c r="BH3858" s="0">
        <v>54.75</v>
      </c>
      <c r="BI3858" s="0">
        <v>54.75</v>
      </c>
      <c r="BJ3858" s="0" t="s">
        <v>135</v>
      </c>
    </row>
    <row r="3859">
      <c r="A3859" s="0" t="s">
        <v>4117</v>
      </c>
      <c r="B3859" s="0" t="s">
        <v>652</v>
      </c>
      <c r="C3859" s="0" t="s">
        <v>652</v>
      </c>
      <c r="D3859" s="0" t="s">
        <v>135</v>
      </c>
      <c r="E3859" s="0" t="s">
        <v>3</v>
      </c>
      <c r="F3859" s="0" t="s">
        <v>12</v>
      </c>
      <c r="G3859" s="0" t="s">
        <v>8</v>
      </c>
      <c r="H3859" s="0">
        <v>39</v>
      </c>
      <c r="I3859" s="0">
        <v>0</v>
      </c>
      <c r="J3859" s="0">
        <v>0</v>
      </c>
      <c r="K3859" s="0">
        <v>0</v>
      </c>
      <c r="L3859" s="0">
        <v>0</v>
      </c>
      <c r="M3859" s="0">
        <v>0</v>
      </c>
      <c r="N3859" s="0">
        <v>0</v>
      </c>
      <c r="O3859" s="0">
        <v>0</v>
      </c>
      <c r="P3859" s="0">
        <v>0</v>
      </c>
      <c r="R3859" s="0" t="b">
        <v>0</v>
      </c>
      <c r="S3859" s="0" t="b">
        <v>0</v>
      </c>
      <c r="T3859" s="68">
        <v>46014.5183796296</v>
      </c>
      <c r="U3859" s="68">
        <v>0</v>
      </c>
      <c r="V3859" s="68">
        <v>46057.1667708333</v>
      </c>
      <c r="W3859" s="0">
        <f>IF(IF(B3859="none",1,IF(B3859="Trialer",1,0))+IF(C3859="Customer",1,IF(C3859="Lost",1,0))=2,1,0)</f>
      </c>
      <c r="X3859" s="0" t="s">
        <v>145</v>
      </c>
      <c r="Y3859" s="0" t="s">
        <v>243</v>
      </c>
      <c r="AV3859" s="68"/>
      <c r="AW3859" s="68"/>
      <c r="AY3859" s="27"/>
      <c r="BD3859" s="68">
        <v>46054.1666666667</v>
      </c>
      <c r="BE3859" s="68">
        <v>46082.1666666667</v>
      </c>
      <c r="BF3859" s="0" t="b">
        <v>0</v>
      </c>
      <c r="BG3859" s="0" t="b">
        <v>0</v>
      </c>
      <c r="BH3859" s="0">
        <v>44.25</v>
      </c>
      <c r="BI3859" s="0">
        <v>44.25</v>
      </c>
      <c r="BJ3859" s="0" t="s">
        <v>135</v>
      </c>
    </row>
    <row r="3860">
      <c r="A3860" s="0" t="s">
        <v>4118</v>
      </c>
      <c r="B3860" s="0" t="s">
        <v>652</v>
      </c>
      <c r="C3860" s="0" t="s">
        <v>652</v>
      </c>
      <c r="D3860" s="0" t="s">
        <v>135</v>
      </c>
      <c r="E3860" s="0" t="s">
        <v>3</v>
      </c>
      <c r="F3860" s="0" t="s">
        <v>12</v>
      </c>
      <c r="G3860" s="0" t="s">
        <v>8</v>
      </c>
      <c r="H3860" s="0">
        <v>39</v>
      </c>
      <c r="I3860" s="0">
        <v>0</v>
      </c>
      <c r="J3860" s="0">
        <v>0</v>
      </c>
      <c r="K3860" s="0">
        <v>0</v>
      </c>
      <c r="L3860" s="0">
        <v>0</v>
      </c>
      <c r="M3860" s="0">
        <v>0</v>
      </c>
      <c r="N3860" s="0">
        <v>0</v>
      </c>
      <c r="O3860" s="0">
        <v>0</v>
      </c>
      <c r="P3860" s="0">
        <v>0</v>
      </c>
      <c r="R3860" s="0" t="b">
        <v>0</v>
      </c>
      <c r="S3860" s="0" t="b">
        <v>0</v>
      </c>
      <c r="T3860" s="68">
        <v>46014.5369328704</v>
      </c>
      <c r="U3860" s="68">
        <v>0</v>
      </c>
      <c r="V3860" s="68">
        <v>46067.1668402778</v>
      </c>
      <c r="W3860" s="0">
        <f>IF(IF(B3860="none",1,IF(B3860="Trialer",1,0))+IF(C3860="Customer",1,IF(C3860="Lost",1,0))=2,1,0)</f>
      </c>
      <c r="X3860" s="0" t="s">
        <v>136</v>
      </c>
      <c r="Y3860" s="0" t="s">
        <v>243</v>
      </c>
      <c r="AV3860" s="68"/>
      <c r="AW3860" s="68"/>
      <c r="AY3860" s="27"/>
      <c r="BD3860" s="68">
        <v>46054.1666666667</v>
      </c>
      <c r="BE3860" s="68">
        <v>46082.1666666667</v>
      </c>
      <c r="BF3860" s="0" t="b">
        <v>0</v>
      </c>
      <c r="BG3860" s="0" t="b">
        <v>0</v>
      </c>
      <c r="BH3860" s="0">
        <v>0</v>
      </c>
      <c r="BI3860" s="0">
        <v>0</v>
      </c>
      <c r="BJ3860" s="0" t="s">
        <v>135</v>
      </c>
    </row>
    <row r="3861">
      <c r="A3861" s="0" t="s">
        <v>4119</v>
      </c>
      <c r="B3861" s="0" t="s">
        <v>652</v>
      </c>
      <c r="C3861" s="0" t="s">
        <v>652</v>
      </c>
      <c r="D3861" s="0" t="s">
        <v>135</v>
      </c>
      <c r="E3861" s="0" t="s">
        <v>2</v>
      </c>
      <c r="F3861" s="0" t="s">
        <v>12</v>
      </c>
      <c r="G3861" s="0" t="s">
        <v>8</v>
      </c>
      <c r="H3861" s="0">
        <v>39</v>
      </c>
      <c r="I3861" s="0">
        <v>0</v>
      </c>
      <c r="J3861" s="0">
        <v>0</v>
      </c>
      <c r="K3861" s="0">
        <v>0</v>
      </c>
      <c r="L3861" s="0">
        <v>0</v>
      </c>
      <c r="M3861" s="0">
        <v>0</v>
      </c>
      <c r="N3861" s="0">
        <v>0</v>
      </c>
      <c r="O3861" s="0">
        <v>0</v>
      </c>
      <c r="P3861" s="0">
        <v>0</v>
      </c>
      <c r="R3861" s="0" t="b">
        <v>0</v>
      </c>
      <c r="S3861" s="0" t="b">
        <v>0</v>
      </c>
      <c r="T3861" s="68">
        <v>46014.5550925926</v>
      </c>
      <c r="U3861" s="68">
        <v>0</v>
      </c>
      <c r="V3861" s="68">
        <v>46057.1667939815</v>
      </c>
      <c r="W3861" s="0">
        <f>IF(IF(B3861="none",1,IF(B3861="Trialer",1,0))+IF(C3861="Customer",1,IF(C3861="Lost",1,0))=2,1,0)</f>
      </c>
      <c r="X3861" s="0" t="s">
        <v>148</v>
      </c>
      <c r="Y3861" s="0" t="s">
        <v>499</v>
      </c>
      <c r="AV3861" s="68"/>
      <c r="AW3861" s="68"/>
      <c r="AY3861" s="27"/>
      <c r="BD3861" s="68">
        <v>46054.1666666667</v>
      </c>
      <c r="BE3861" s="68">
        <v>46082.1666666667</v>
      </c>
      <c r="BF3861" s="0" t="b">
        <v>0</v>
      </c>
      <c r="BG3861" s="0" t="b">
        <v>0</v>
      </c>
      <c r="BH3861" s="0">
        <v>44.25</v>
      </c>
      <c r="BI3861" s="0">
        <v>44.25</v>
      </c>
      <c r="BJ3861" s="0" t="s">
        <v>135</v>
      </c>
    </row>
    <row r="3862">
      <c r="A3862" s="0" t="s">
        <v>4120</v>
      </c>
      <c r="B3862" s="0" t="s">
        <v>652</v>
      </c>
      <c r="C3862" s="0" t="s">
        <v>652</v>
      </c>
      <c r="D3862" s="0" t="s">
        <v>135</v>
      </c>
      <c r="E3862" s="0" t="s">
        <v>3</v>
      </c>
      <c r="F3862" s="0" t="s">
        <v>12</v>
      </c>
      <c r="G3862" s="0" t="s">
        <v>8</v>
      </c>
      <c r="H3862" s="0">
        <v>39</v>
      </c>
      <c r="I3862" s="0">
        <v>0</v>
      </c>
      <c r="J3862" s="0">
        <v>0</v>
      </c>
      <c r="K3862" s="0">
        <v>0</v>
      </c>
      <c r="L3862" s="0">
        <v>0</v>
      </c>
      <c r="M3862" s="0">
        <v>0</v>
      </c>
      <c r="N3862" s="0">
        <v>0</v>
      </c>
      <c r="O3862" s="0">
        <v>0</v>
      </c>
      <c r="P3862" s="0">
        <v>0</v>
      </c>
      <c r="R3862" s="0" t="b">
        <v>0</v>
      </c>
      <c r="S3862" s="0" t="b">
        <v>0</v>
      </c>
      <c r="T3862" s="68">
        <v>46014.7222800926</v>
      </c>
      <c r="U3862" s="68">
        <v>0</v>
      </c>
      <c r="V3862" s="68">
        <v>46057.1667939815</v>
      </c>
      <c r="W3862" s="0">
        <f>IF(IF(B3862="none",1,IF(B3862="Trialer",1,0))+IF(C3862="Customer",1,IF(C3862="Lost",1,0))=2,1,0)</f>
      </c>
      <c r="X3862" s="0" t="s">
        <v>145</v>
      </c>
      <c r="Y3862" s="0" t="s">
        <v>243</v>
      </c>
      <c r="AV3862" s="68"/>
      <c r="AW3862" s="68"/>
      <c r="AY3862" s="27"/>
      <c r="BD3862" s="68">
        <v>46054.1666666667</v>
      </c>
      <c r="BE3862" s="68">
        <v>46082.1666666667</v>
      </c>
      <c r="BF3862" s="0" t="b">
        <v>0</v>
      </c>
      <c r="BG3862" s="0" t="b">
        <v>0</v>
      </c>
      <c r="BH3862" s="0">
        <v>72.75</v>
      </c>
      <c r="BI3862" s="0">
        <v>72.75</v>
      </c>
      <c r="BJ3862" s="0" t="s">
        <v>135</v>
      </c>
    </row>
    <row r="3863">
      <c r="A3863" s="0" t="s">
        <v>4121</v>
      </c>
      <c r="B3863" s="0" t="s">
        <v>652</v>
      </c>
      <c r="C3863" s="0" t="s">
        <v>652</v>
      </c>
      <c r="D3863" s="0" t="s">
        <v>135</v>
      </c>
      <c r="E3863" s="0" t="s">
        <v>3</v>
      </c>
      <c r="F3863" s="0" t="s">
        <v>12</v>
      </c>
      <c r="G3863" s="0" t="s">
        <v>8</v>
      </c>
      <c r="H3863" s="0">
        <v>39</v>
      </c>
      <c r="I3863" s="0">
        <v>0</v>
      </c>
      <c r="J3863" s="0">
        <v>0</v>
      </c>
      <c r="K3863" s="0">
        <v>0</v>
      </c>
      <c r="L3863" s="0">
        <v>0</v>
      </c>
      <c r="M3863" s="0">
        <v>0</v>
      </c>
      <c r="N3863" s="0">
        <v>0</v>
      </c>
      <c r="O3863" s="0">
        <v>0</v>
      </c>
      <c r="P3863" s="0">
        <v>0</v>
      </c>
      <c r="R3863" s="0" t="b">
        <v>0</v>
      </c>
      <c r="S3863" s="0" t="b">
        <v>0</v>
      </c>
      <c r="T3863" s="68">
        <v>46014.837974537</v>
      </c>
      <c r="U3863" s="68">
        <v>0</v>
      </c>
      <c r="V3863" s="68">
        <v>46057.1668055556</v>
      </c>
      <c r="W3863" s="0">
        <f>IF(IF(B3863="none",1,IF(B3863="Trialer",1,0))+IF(C3863="Customer",1,IF(C3863="Lost",1,0))=2,1,0)</f>
      </c>
      <c r="X3863" s="0" t="s">
        <v>136</v>
      </c>
      <c r="Y3863" s="0" t="s">
        <v>243</v>
      </c>
      <c r="AV3863" s="68"/>
      <c r="AW3863" s="68"/>
      <c r="AY3863" s="27"/>
      <c r="BD3863" s="68">
        <v>46054.1666666667</v>
      </c>
      <c r="BE3863" s="68">
        <v>46082.1666666667</v>
      </c>
      <c r="BF3863" s="0" t="b">
        <v>0</v>
      </c>
      <c r="BG3863" s="0" t="b">
        <v>0</v>
      </c>
      <c r="BH3863" s="0">
        <v>62.25</v>
      </c>
      <c r="BI3863" s="0">
        <v>62.25</v>
      </c>
      <c r="BJ3863" s="0" t="s">
        <v>135</v>
      </c>
    </row>
    <row r="3864">
      <c r="A3864" s="0" t="s">
        <v>4122</v>
      </c>
      <c r="B3864" s="0" t="s">
        <v>652</v>
      </c>
      <c r="C3864" s="0" t="s">
        <v>652</v>
      </c>
      <c r="D3864" s="0" t="s">
        <v>135</v>
      </c>
      <c r="E3864" s="0" t="s">
        <v>3</v>
      </c>
      <c r="F3864" s="0" t="s">
        <v>12</v>
      </c>
      <c r="G3864" s="0" t="s">
        <v>8</v>
      </c>
      <c r="H3864" s="0">
        <v>38</v>
      </c>
      <c r="I3864" s="0">
        <v>0</v>
      </c>
      <c r="J3864" s="0">
        <v>0</v>
      </c>
      <c r="K3864" s="0">
        <v>0</v>
      </c>
      <c r="L3864" s="0">
        <v>0</v>
      </c>
      <c r="M3864" s="0">
        <v>0</v>
      </c>
      <c r="N3864" s="0">
        <v>0</v>
      </c>
      <c r="O3864" s="0">
        <v>0</v>
      </c>
      <c r="P3864" s="0">
        <v>0</v>
      </c>
      <c r="R3864" s="0" t="b">
        <v>0</v>
      </c>
      <c r="S3864" s="0" t="b">
        <v>0</v>
      </c>
      <c r="T3864" s="68">
        <v>46015.0149421296</v>
      </c>
      <c r="U3864" s="68">
        <v>0</v>
      </c>
      <c r="V3864" s="68">
        <v>46057.1668171296</v>
      </c>
      <c r="W3864" s="0">
        <f>IF(IF(B3864="none",1,IF(B3864="Trialer",1,0))+IF(C3864="Customer",1,IF(C3864="Lost",1,0))=2,1,0)</f>
      </c>
      <c r="X3864" s="0" t="s">
        <v>148</v>
      </c>
      <c r="Y3864" s="0" t="s">
        <v>243</v>
      </c>
      <c r="AV3864" s="68"/>
      <c r="AW3864" s="68"/>
      <c r="AY3864" s="27"/>
      <c r="BD3864" s="68">
        <v>46054.1666666667</v>
      </c>
      <c r="BE3864" s="68">
        <v>46082.1666666667</v>
      </c>
      <c r="BF3864" s="0" t="b">
        <v>0</v>
      </c>
      <c r="BG3864" s="0" t="b">
        <v>0</v>
      </c>
      <c r="BH3864" s="0">
        <v>44.25</v>
      </c>
      <c r="BI3864" s="0">
        <v>44.25</v>
      </c>
      <c r="BJ3864" s="0" t="s">
        <v>135</v>
      </c>
    </row>
    <row r="3865">
      <c r="A3865" s="0" t="s">
        <v>4123</v>
      </c>
      <c r="B3865" s="0" t="s">
        <v>652</v>
      </c>
      <c r="C3865" s="0" t="s">
        <v>652</v>
      </c>
      <c r="D3865" s="0" t="s">
        <v>135</v>
      </c>
      <c r="E3865" s="0" t="s">
        <v>2414</v>
      </c>
      <c r="F3865" s="0" t="s">
        <v>12</v>
      </c>
      <c r="G3865" s="0" t="s">
        <v>8</v>
      </c>
      <c r="H3865" s="0">
        <v>38</v>
      </c>
      <c r="I3865" s="0">
        <v>0</v>
      </c>
      <c r="J3865" s="0">
        <v>0</v>
      </c>
      <c r="K3865" s="0">
        <v>0</v>
      </c>
      <c r="L3865" s="0">
        <v>0</v>
      </c>
      <c r="M3865" s="0">
        <v>0</v>
      </c>
      <c r="N3865" s="0">
        <v>0</v>
      </c>
      <c r="O3865" s="0">
        <v>0</v>
      </c>
      <c r="P3865" s="0">
        <v>0</v>
      </c>
      <c r="R3865" s="0" t="b">
        <v>0</v>
      </c>
      <c r="S3865" s="0" t="b">
        <v>0</v>
      </c>
      <c r="T3865" s="68">
        <v>46015.2398032407</v>
      </c>
      <c r="U3865" s="68">
        <v>0</v>
      </c>
      <c r="V3865" s="68">
        <v>46058.1667013889</v>
      </c>
      <c r="W3865" s="0">
        <f>IF(IF(B3865="none",1,IF(B3865="Trialer",1,0))+IF(C3865="Customer",1,IF(C3865="Lost",1,0))=2,1,0)</f>
      </c>
      <c r="X3865" s="0" t="s">
        <v>145</v>
      </c>
      <c r="Y3865" s="0" t="s">
        <v>1516</v>
      </c>
      <c r="AV3865" s="68"/>
      <c r="AW3865" s="68"/>
      <c r="AY3865" s="27"/>
      <c r="BD3865" s="68">
        <v>46054.1666666667</v>
      </c>
      <c r="BE3865" s="68">
        <v>46082.1666666667</v>
      </c>
      <c r="BF3865" s="0" t="b">
        <v>0</v>
      </c>
      <c r="BG3865" s="0" t="b">
        <v>0</v>
      </c>
      <c r="BH3865" s="0">
        <v>44.25</v>
      </c>
      <c r="BI3865" s="0">
        <v>44.25</v>
      </c>
      <c r="BJ3865" s="0" t="s">
        <v>135</v>
      </c>
    </row>
    <row r="3866">
      <c r="A3866" s="0" t="s">
        <v>4124</v>
      </c>
      <c r="B3866" s="0" t="s">
        <v>652</v>
      </c>
      <c r="C3866" s="0" t="s">
        <v>652</v>
      </c>
      <c r="D3866" s="0" t="s">
        <v>135</v>
      </c>
      <c r="E3866" s="0" t="s">
        <v>2414</v>
      </c>
      <c r="F3866" s="0" t="s">
        <v>12</v>
      </c>
      <c r="G3866" s="0" t="s">
        <v>8</v>
      </c>
      <c r="H3866" s="0">
        <v>38</v>
      </c>
      <c r="I3866" s="0">
        <v>0</v>
      </c>
      <c r="J3866" s="0">
        <v>0</v>
      </c>
      <c r="K3866" s="0">
        <v>0</v>
      </c>
      <c r="L3866" s="0">
        <v>0</v>
      </c>
      <c r="M3866" s="0">
        <v>0</v>
      </c>
      <c r="N3866" s="0">
        <v>0</v>
      </c>
      <c r="O3866" s="0">
        <v>0</v>
      </c>
      <c r="P3866" s="0">
        <v>0</v>
      </c>
      <c r="R3866" s="0" t="b">
        <v>0</v>
      </c>
      <c r="S3866" s="0" t="b">
        <v>0</v>
      </c>
      <c r="T3866" s="68">
        <v>46015.2827199074</v>
      </c>
      <c r="U3866" s="68">
        <v>0</v>
      </c>
      <c r="V3866" s="68">
        <v>46058.1667361111</v>
      </c>
      <c r="W3866" s="0">
        <f>IF(IF(B3866="none",1,IF(B3866="Trialer",1,0))+IF(C3866="Customer",1,IF(C3866="Lost",1,0))=2,1,0)</f>
      </c>
      <c r="X3866" s="0" t="s">
        <v>136</v>
      </c>
      <c r="Y3866" s="0" t="s">
        <v>1516</v>
      </c>
      <c r="AV3866" s="68"/>
      <c r="AW3866" s="68"/>
      <c r="AY3866" s="27"/>
      <c r="BD3866" s="68">
        <v>46054.1666666667</v>
      </c>
      <c r="BE3866" s="68">
        <v>46082.1666666667</v>
      </c>
      <c r="BF3866" s="0" t="b">
        <v>0</v>
      </c>
      <c r="BG3866" s="0" t="b">
        <v>0</v>
      </c>
      <c r="BH3866" s="0">
        <v>44.25</v>
      </c>
      <c r="BI3866" s="0">
        <v>44.25</v>
      </c>
      <c r="BJ3866" s="0" t="s">
        <v>135</v>
      </c>
    </row>
    <row r="3867">
      <c r="A3867" s="0" t="s">
        <v>4125</v>
      </c>
      <c r="B3867" s="0" t="s">
        <v>652</v>
      </c>
      <c r="C3867" s="0" t="s">
        <v>652</v>
      </c>
      <c r="D3867" s="0" t="s">
        <v>135</v>
      </c>
      <c r="E3867" s="0" t="s">
        <v>3</v>
      </c>
      <c r="F3867" s="0" t="s">
        <v>12</v>
      </c>
      <c r="G3867" s="0" t="s">
        <v>8</v>
      </c>
      <c r="H3867" s="0">
        <v>38</v>
      </c>
      <c r="I3867" s="0">
        <v>0</v>
      </c>
      <c r="J3867" s="0">
        <v>0</v>
      </c>
      <c r="K3867" s="0">
        <v>0</v>
      </c>
      <c r="L3867" s="0">
        <v>0</v>
      </c>
      <c r="M3867" s="0">
        <v>0</v>
      </c>
      <c r="N3867" s="0">
        <v>0</v>
      </c>
      <c r="O3867" s="0">
        <v>0</v>
      </c>
      <c r="P3867" s="0">
        <v>0</v>
      </c>
      <c r="R3867" s="0" t="b">
        <v>0</v>
      </c>
      <c r="S3867" s="0" t="b">
        <v>0</v>
      </c>
      <c r="T3867" s="68">
        <v>46015.3990509259</v>
      </c>
      <c r="U3867" s="68">
        <v>0</v>
      </c>
      <c r="V3867" s="68">
        <v>46058.1667476852</v>
      </c>
      <c r="W3867" s="0">
        <f>IF(IF(B3867="none",1,IF(B3867="Trialer",1,0))+IF(C3867="Customer",1,IF(C3867="Lost",1,0))=2,1,0)</f>
      </c>
      <c r="X3867" s="0" t="s">
        <v>148</v>
      </c>
      <c r="Y3867" s="0" t="s">
        <v>1792</v>
      </c>
      <c r="AV3867" s="68"/>
      <c r="AW3867" s="68"/>
      <c r="AY3867" s="27"/>
      <c r="BD3867" s="68">
        <v>46054.1666666667</v>
      </c>
      <c r="BE3867" s="68">
        <v>46082.1666666667</v>
      </c>
      <c r="BF3867" s="0" t="b">
        <v>0</v>
      </c>
      <c r="BG3867" s="0" t="b">
        <v>0</v>
      </c>
      <c r="BH3867" s="0">
        <v>72.75</v>
      </c>
      <c r="BI3867" s="0">
        <v>72.75</v>
      </c>
      <c r="BJ3867" s="0" t="s">
        <v>135</v>
      </c>
    </row>
    <row r="3868">
      <c r="A3868" s="0" t="s">
        <v>4126</v>
      </c>
      <c r="B3868" s="0" t="s">
        <v>134</v>
      </c>
      <c r="C3868" s="0" t="s">
        <v>134</v>
      </c>
      <c r="D3868" s="0" t="s">
        <v>135</v>
      </c>
      <c r="E3868" s="0" t="s">
        <v>3</v>
      </c>
      <c r="F3868" s="0" t="s">
        <v>12</v>
      </c>
      <c r="G3868" s="0" t="s">
        <v>8</v>
      </c>
      <c r="H3868" s="0">
        <v>38</v>
      </c>
      <c r="I3868" s="0">
        <v>257.25</v>
      </c>
      <c r="J3868" s="0">
        <v>0</v>
      </c>
      <c r="K3868" s="0">
        <v>1</v>
      </c>
      <c r="L3868" s="0">
        <v>4</v>
      </c>
      <c r="M3868" s="0">
        <v>5</v>
      </c>
      <c r="N3868" s="0">
        <v>0</v>
      </c>
      <c r="O3868" s="0">
        <v>0</v>
      </c>
      <c r="P3868" s="0">
        <v>0</v>
      </c>
      <c r="R3868" s="0" t="b">
        <v>0</v>
      </c>
      <c r="S3868" s="0" t="b">
        <v>1</v>
      </c>
      <c r="T3868" s="68">
        <v>46015.4256944444</v>
      </c>
      <c r="U3868" s="68">
        <v>46029.2916666667</v>
      </c>
      <c r="V3868" s="68">
        <v>0</v>
      </c>
      <c r="W3868" s="0">
        <f>IF(IF(B3868="none",1,IF(B3868="Trialer",1,0))+IF(C3868="Customer",1,IF(C3868="Lost",1,0))=2,1,0)</f>
      </c>
      <c r="X3868" s="0" t="s">
        <v>882</v>
      </c>
      <c r="Y3868" s="0" t="s">
        <v>243</v>
      </c>
      <c r="AV3868" s="68"/>
      <c r="AW3868" s="68"/>
      <c r="AY3868" s="27"/>
      <c r="BD3868" s="68">
        <v>46054.1666666667</v>
      </c>
      <c r="BE3868" s="68">
        <v>46082.1666666667</v>
      </c>
      <c r="BF3868" s="0" t="b">
        <v>0</v>
      </c>
      <c r="BG3868" s="0" t="b">
        <v>0</v>
      </c>
      <c r="BH3868" s="0">
        <v>257.25</v>
      </c>
      <c r="BI3868" s="0">
        <v>257.25</v>
      </c>
      <c r="BJ3868" s="0" t="s">
        <v>135</v>
      </c>
    </row>
    <row r="3869">
      <c r="A3869" s="0" t="s">
        <v>4127</v>
      </c>
      <c r="B3869" s="0" t="s">
        <v>652</v>
      </c>
      <c r="C3869" s="0" t="s">
        <v>652</v>
      </c>
      <c r="D3869" s="0" t="s">
        <v>135</v>
      </c>
      <c r="E3869" s="0" t="s">
        <v>3</v>
      </c>
      <c r="F3869" s="0" t="s">
        <v>12</v>
      </c>
      <c r="G3869" s="0" t="s">
        <v>8</v>
      </c>
      <c r="H3869" s="0">
        <v>38</v>
      </c>
      <c r="I3869" s="0">
        <v>0</v>
      </c>
      <c r="J3869" s="0">
        <v>0</v>
      </c>
      <c r="K3869" s="0">
        <v>0</v>
      </c>
      <c r="L3869" s="0">
        <v>0</v>
      </c>
      <c r="M3869" s="0">
        <v>0</v>
      </c>
      <c r="N3869" s="0">
        <v>0</v>
      </c>
      <c r="O3869" s="0">
        <v>0</v>
      </c>
      <c r="P3869" s="0">
        <v>0</v>
      </c>
      <c r="R3869" s="0" t="b">
        <v>0</v>
      </c>
      <c r="S3869" s="0" t="b">
        <v>0</v>
      </c>
      <c r="T3869" s="68">
        <v>46015.4872916667</v>
      </c>
      <c r="U3869" s="68">
        <v>0</v>
      </c>
      <c r="V3869" s="68">
        <v>46058.1667592593</v>
      </c>
      <c r="W3869" s="0">
        <f>IF(IF(B3869="none",1,IF(B3869="Trialer",1,0))+IF(C3869="Customer",1,IF(C3869="Lost",1,0))=2,1,0)</f>
      </c>
      <c r="X3869" s="0" t="s">
        <v>136</v>
      </c>
      <c r="Y3869" s="0" t="s">
        <v>243</v>
      </c>
      <c r="AV3869" s="68"/>
      <c r="AW3869" s="68"/>
      <c r="AY3869" s="27"/>
      <c r="BD3869" s="68">
        <v>46054.1666666667</v>
      </c>
      <c r="BE3869" s="68">
        <v>46082.1666666667</v>
      </c>
      <c r="BF3869" s="0" t="b">
        <v>0</v>
      </c>
      <c r="BG3869" s="0" t="b">
        <v>0</v>
      </c>
      <c r="BH3869" s="0">
        <v>44.25</v>
      </c>
      <c r="BI3869" s="0">
        <v>44.25</v>
      </c>
      <c r="BJ3869" s="0" t="s">
        <v>135</v>
      </c>
    </row>
    <row r="3870">
      <c r="A3870" s="0" t="s">
        <v>4128</v>
      </c>
      <c r="B3870" s="0" t="s">
        <v>134</v>
      </c>
      <c r="C3870" s="0" t="s">
        <v>134</v>
      </c>
      <c r="D3870" s="0" t="s">
        <v>230</v>
      </c>
      <c r="E3870" s="0" t="s">
        <v>3</v>
      </c>
      <c r="F3870" s="0" t="s">
        <v>10</v>
      </c>
      <c r="G3870" s="0" t="s">
        <v>8</v>
      </c>
      <c r="H3870" s="0">
        <v>38</v>
      </c>
      <c r="I3870" s="0">
        <v>176.4</v>
      </c>
      <c r="J3870" s="0">
        <v>0</v>
      </c>
      <c r="K3870" s="0">
        <v>1</v>
      </c>
      <c r="L3870" s="0">
        <v>2</v>
      </c>
      <c r="M3870" s="0">
        <v>4</v>
      </c>
      <c r="N3870" s="0">
        <v>0</v>
      </c>
      <c r="O3870" s="0">
        <v>0</v>
      </c>
      <c r="P3870" s="0">
        <v>-176.4</v>
      </c>
      <c r="Q3870" s="0" t="s">
        <v>1345</v>
      </c>
      <c r="R3870" s="0" t="b">
        <v>0</v>
      </c>
      <c r="S3870" s="0" t="b">
        <v>1</v>
      </c>
      <c r="T3870" s="68">
        <v>46015.4957060185</v>
      </c>
      <c r="U3870" s="68">
        <v>46030.2916666667</v>
      </c>
      <c r="V3870" s="68">
        <v>0</v>
      </c>
      <c r="W3870" s="0">
        <f>IF(IF(B3870="none",1,IF(B3870="Trialer",1,0))+IF(C3870="Customer",1,IF(C3870="Lost",1,0))=2,1,0)</f>
      </c>
      <c r="X3870" s="0" t="s">
        <v>148</v>
      </c>
      <c r="Y3870" s="0" t="s">
        <v>243</v>
      </c>
      <c r="AV3870" s="68"/>
      <c r="AW3870" s="68"/>
      <c r="AY3870" s="27"/>
      <c r="BD3870" s="68">
        <v>46054.1666666667</v>
      </c>
      <c r="BE3870" s="68">
        <v>46082.1666666667</v>
      </c>
      <c r="BF3870" s="0" t="b">
        <v>0</v>
      </c>
      <c r="BG3870" s="0" t="b">
        <v>0</v>
      </c>
      <c r="BH3870" s="0">
        <v>196</v>
      </c>
      <c r="BI3870" s="0">
        <v>196</v>
      </c>
      <c r="BJ3870" s="0" t="s">
        <v>230</v>
      </c>
    </row>
    <row r="3871">
      <c r="A3871" s="0" t="s">
        <v>4129</v>
      </c>
      <c r="B3871" s="0" t="s">
        <v>652</v>
      </c>
      <c r="C3871" s="0" t="s">
        <v>652</v>
      </c>
      <c r="D3871" s="0" t="s">
        <v>135</v>
      </c>
      <c r="E3871" s="0" t="s">
        <v>2</v>
      </c>
      <c r="F3871" s="0" t="s">
        <v>12</v>
      </c>
      <c r="G3871" s="0" t="s">
        <v>8</v>
      </c>
      <c r="H3871" s="0">
        <v>38</v>
      </c>
      <c r="I3871" s="0">
        <v>0</v>
      </c>
      <c r="J3871" s="0">
        <v>0</v>
      </c>
      <c r="K3871" s="0">
        <v>0</v>
      </c>
      <c r="L3871" s="0">
        <v>0</v>
      </c>
      <c r="M3871" s="0">
        <v>0</v>
      </c>
      <c r="N3871" s="0">
        <v>0</v>
      </c>
      <c r="O3871" s="0">
        <v>0</v>
      </c>
      <c r="P3871" s="0">
        <v>0</v>
      </c>
      <c r="R3871" s="0" t="b">
        <v>0</v>
      </c>
      <c r="S3871" s="0" t="b">
        <v>0</v>
      </c>
      <c r="T3871" s="68">
        <v>46015.5272453704</v>
      </c>
      <c r="U3871" s="68">
        <v>0</v>
      </c>
      <c r="V3871" s="68">
        <v>46058.1667708333</v>
      </c>
      <c r="W3871" s="0">
        <f>IF(IF(B3871="none",1,IF(B3871="Trialer",1,0))+IF(C3871="Customer",1,IF(C3871="Lost",1,0))=2,1,0)</f>
      </c>
      <c r="X3871" s="0" t="s">
        <v>148</v>
      </c>
      <c r="Y3871" s="0" t="s">
        <v>499</v>
      </c>
      <c r="AV3871" s="68"/>
      <c r="AW3871" s="68"/>
      <c r="AY3871" s="27"/>
      <c r="BD3871" s="68">
        <v>46054.1666666667</v>
      </c>
      <c r="BE3871" s="68">
        <v>46082.1666666667</v>
      </c>
      <c r="BF3871" s="0" t="b">
        <v>0</v>
      </c>
      <c r="BG3871" s="0" t="b">
        <v>0</v>
      </c>
      <c r="BH3871" s="0">
        <v>44.25</v>
      </c>
      <c r="BI3871" s="0">
        <v>44.25</v>
      </c>
      <c r="BJ3871" s="0" t="s">
        <v>135</v>
      </c>
    </row>
    <row r="3872">
      <c r="A3872" s="0" t="s">
        <v>4130</v>
      </c>
      <c r="B3872" s="0" t="s">
        <v>652</v>
      </c>
      <c r="C3872" s="0" t="s">
        <v>652</v>
      </c>
      <c r="D3872" s="0" t="s">
        <v>135</v>
      </c>
      <c r="E3872" s="0" t="s">
        <v>2414</v>
      </c>
      <c r="F3872" s="0" t="s">
        <v>12</v>
      </c>
      <c r="G3872" s="0" t="s">
        <v>8</v>
      </c>
      <c r="H3872" s="0">
        <v>38</v>
      </c>
      <c r="I3872" s="0">
        <v>0</v>
      </c>
      <c r="J3872" s="0">
        <v>0</v>
      </c>
      <c r="K3872" s="0">
        <v>0</v>
      </c>
      <c r="L3872" s="0">
        <v>0</v>
      </c>
      <c r="M3872" s="0">
        <v>0</v>
      </c>
      <c r="N3872" s="0">
        <v>0</v>
      </c>
      <c r="O3872" s="0">
        <v>0</v>
      </c>
      <c r="P3872" s="0">
        <v>0</v>
      </c>
      <c r="R3872" s="0" t="b">
        <v>0</v>
      </c>
      <c r="S3872" s="0" t="b">
        <v>0</v>
      </c>
      <c r="T3872" s="68">
        <v>46015.6097685185</v>
      </c>
      <c r="U3872" s="68">
        <v>0</v>
      </c>
      <c r="V3872" s="68">
        <v>46058.1667708333</v>
      </c>
      <c r="W3872" s="0">
        <f>IF(IF(B3872="none",1,IF(B3872="Trialer",1,0))+IF(C3872="Customer",1,IF(C3872="Lost",1,0))=2,1,0)</f>
      </c>
      <c r="X3872" s="0" t="s">
        <v>145</v>
      </c>
      <c r="Y3872" s="0" t="s">
        <v>1516</v>
      </c>
      <c r="AV3872" s="68"/>
      <c r="AW3872" s="68"/>
      <c r="AY3872" s="27"/>
      <c r="BD3872" s="68">
        <v>46054.1666666667</v>
      </c>
      <c r="BE3872" s="68">
        <v>46082.1666666667</v>
      </c>
      <c r="BF3872" s="0" t="b">
        <v>0</v>
      </c>
      <c r="BG3872" s="0" t="b">
        <v>0</v>
      </c>
      <c r="BH3872" s="0">
        <v>44.25</v>
      </c>
      <c r="BI3872" s="0">
        <v>44.25</v>
      </c>
      <c r="BJ3872" s="0" t="s">
        <v>135</v>
      </c>
    </row>
    <row r="3873">
      <c r="A3873" s="0" t="s">
        <v>4131</v>
      </c>
      <c r="B3873" s="0" t="s">
        <v>652</v>
      </c>
      <c r="C3873" s="0" t="s">
        <v>652</v>
      </c>
      <c r="D3873" s="0" t="s">
        <v>135</v>
      </c>
      <c r="E3873" s="0" t="s">
        <v>3</v>
      </c>
      <c r="F3873" s="0" t="s">
        <v>12</v>
      </c>
      <c r="G3873" s="0" t="s">
        <v>8</v>
      </c>
      <c r="H3873" s="0">
        <v>38</v>
      </c>
      <c r="I3873" s="0">
        <v>0</v>
      </c>
      <c r="J3873" s="0">
        <v>0</v>
      </c>
      <c r="K3873" s="0">
        <v>0</v>
      </c>
      <c r="L3873" s="0">
        <v>0</v>
      </c>
      <c r="M3873" s="0">
        <v>0</v>
      </c>
      <c r="N3873" s="0">
        <v>0</v>
      </c>
      <c r="O3873" s="0">
        <v>0</v>
      </c>
      <c r="P3873" s="0">
        <v>0</v>
      </c>
      <c r="R3873" s="0" t="b">
        <v>0</v>
      </c>
      <c r="S3873" s="0" t="b">
        <v>0</v>
      </c>
      <c r="T3873" s="68">
        <v>46015.6837037037</v>
      </c>
      <c r="U3873" s="68">
        <v>0</v>
      </c>
      <c r="V3873" s="68">
        <v>46058.1667939815</v>
      </c>
      <c r="W3873" s="0">
        <f>IF(IF(B3873="none",1,IF(B3873="Trialer",1,0))+IF(C3873="Customer",1,IF(C3873="Lost",1,0))=2,1,0)</f>
      </c>
      <c r="X3873" s="0" t="s">
        <v>145</v>
      </c>
      <c r="Y3873" s="0" t="s">
        <v>243</v>
      </c>
      <c r="AV3873" s="68"/>
      <c r="AW3873" s="68"/>
      <c r="AY3873" s="27"/>
      <c r="BD3873" s="68">
        <v>46054.1666666667</v>
      </c>
      <c r="BE3873" s="68">
        <v>46082.1666666667</v>
      </c>
      <c r="BF3873" s="0" t="b">
        <v>0</v>
      </c>
      <c r="BG3873" s="0" t="b">
        <v>0</v>
      </c>
      <c r="BH3873" s="0">
        <v>191.25</v>
      </c>
      <c r="BI3873" s="0">
        <v>191.25</v>
      </c>
      <c r="BJ3873" s="0" t="s">
        <v>135</v>
      </c>
    </row>
    <row r="3874">
      <c r="A3874" s="0" t="s">
        <v>4132</v>
      </c>
      <c r="B3874" s="0" t="s">
        <v>652</v>
      </c>
      <c r="C3874" s="0" t="s">
        <v>652</v>
      </c>
      <c r="D3874" s="0" t="s">
        <v>135</v>
      </c>
      <c r="E3874" s="0" t="s">
        <v>3</v>
      </c>
      <c r="F3874" s="0" t="s">
        <v>12</v>
      </c>
      <c r="G3874" s="0" t="s">
        <v>8</v>
      </c>
      <c r="H3874" s="0">
        <v>38</v>
      </c>
      <c r="I3874" s="0">
        <v>0</v>
      </c>
      <c r="J3874" s="0">
        <v>0</v>
      </c>
      <c r="K3874" s="0">
        <v>0</v>
      </c>
      <c r="L3874" s="0">
        <v>0</v>
      </c>
      <c r="M3874" s="0">
        <v>0</v>
      </c>
      <c r="N3874" s="0">
        <v>0</v>
      </c>
      <c r="O3874" s="0">
        <v>0</v>
      </c>
      <c r="P3874" s="0">
        <v>0</v>
      </c>
      <c r="R3874" s="0" t="b">
        <v>0</v>
      </c>
      <c r="S3874" s="0" t="b">
        <v>0</v>
      </c>
      <c r="T3874" s="68">
        <v>46015.7449537037</v>
      </c>
      <c r="U3874" s="68">
        <v>0</v>
      </c>
      <c r="V3874" s="68">
        <v>46058.1667824074</v>
      </c>
      <c r="W3874" s="0">
        <f>IF(IF(B3874="none",1,IF(B3874="Trialer",1,0))+IF(C3874="Customer",1,IF(C3874="Lost",1,0))=2,1,0)</f>
      </c>
      <c r="X3874" s="0" t="s">
        <v>136</v>
      </c>
      <c r="Y3874" s="0" t="s">
        <v>243</v>
      </c>
      <c r="AV3874" s="68"/>
      <c r="AW3874" s="68"/>
      <c r="AY3874" s="27"/>
      <c r="BD3874" s="68">
        <v>46054.1666666667</v>
      </c>
      <c r="BE3874" s="68">
        <v>46082.1666666667</v>
      </c>
      <c r="BF3874" s="0" t="b">
        <v>0</v>
      </c>
      <c r="BG3874" s="0" t="b">
        <v>0</v>
      </c>
      <c r="BH3874" s="0">
        <v>44.25</v>
      </c>
      <c r="BI3874" s="0">
        <v>44.25</v>
      </c>
      <c r="BJ3874" s="0" t="s">
        <v>135</v>
      </c>
    </row>
    <row r="3875">
      <c r="A3875" s="0" t="s">
        <v>4133</v>
      </c>
      <c r="B3875" s="0" t="s">
        <v>652</v>
      </c>
      <c r="C3875" s="0" t="s">
        <v>652</v>
      </c>
      <c r="D3875" s="0" t="s">
        <v>135</v>
      </c>
      <c r="E3875" s="0" t="s">
        <v>3</v>
      </c>
      <c r="F3875" s="0" t="s">
        <v>12</v>
      </c>
      <c r="G3875" s="0" t="s">
        <v>8</v>
      </c>
      <c r="H3875" s="0">
        <v>38</v>
      </c>
      <c r="I3875" s="0">
        <v>0</v>
      </c>
      <c r="J3875" s="0">
        <v>0</v>
      </c>
      <c r="K3875" s="0">
        <v>0</v>
      </c>
      <c r="L3875" s="0">
        <v>0</v>
      </c>
      <c r="M3875" s="0">
        <v>0</v>
      </c>
      <c r="N3875" s="0">
        <v>0</v>
      </c>
      <c r="O3875" s="0">
        <v>0</v>
      </c>
      <c r="P3875" s="0">
        <v>0</v>
      </c>
      <c r="R3875" s="0" t="b">
        <v>0</v>
      </c>
      <c r="S3875" s="0" t="b">
        <v>0</v>
      </c>
      <c r="T3875" s="68">
        <v>46015.8720601852</v>
      </c>
      <c r="U3875" s="68">
        <v>0</v>
      </c>
      <c r="V3875" s="68">
        <v>46058.1667939815</v>
      </c>
      <c r="W3875" s="0">
        <f>IF(IF(B3875="none",1,IF(B3875="Trialer",1,0))+IF(C3875="Customer",1,IF(C3875="Lost",1,0))=2,1,0)</f>
      </c>
      <c r="X3875" s="0" t="s">
        <v>148</v>
      </c>
      <c r="Y3875" s="0" t="s">
        <v>243</v>
      </c>
      <c r="AV3875" s="68"/>
      <c r="AW3875" s="68"/>
      <c r="AY3875" s="27"/>
      <c r="BD3875" s="68">
        <v>46054.1666666667</v>
      </c>
      <c r="BE3875" s="68">
        <v>46082.1666666667</v>
      </c>
      <c r="BF3875" s="0" t="b">
        <v>0</v>
      </c>
      <c r="BG3875" s="0" t="b">
        <v>0</v>
      </c>
      <c r="BH3875" s="0">
        <v>44.25</v>
      </c>
      <c r="BI3875" s="0">
        <v>44.25</v>
      </c>
      <c r="BJ3875" s="0" t="s">
        <v>135</v>
      </c>
    </row>
    <row r="3876">
      <c r="A3876" s="0" t="s">
        <v>4134</v>
      </c>
      <c r="B3876" s="0" t="s">
        <v>652</v>
      </c>
      <c r="C3876" s="0" t="s">
        <v>652</v>
      </c>
      <c r="D3876" s="0" t="s">
        <v>135</v>
      </c>
      <c r="E3876" s="0" t="s">
        <v>3</v>
      </c>
      <c r="F3876" s="0" t="s">
        <v>12</v>
      </c>
      <c r="G3876" s="0" t="s">
        <v>8</v>
      </c>
      <c r="H3876" s="0">
        <v>37</v>
      </c>
      <c r="I3876" s="0">
        <v>0</v>
      </c>
      <c r="J3876" s="0">
        <v>0</v>
      </c>
      <c r="K3876" s="0">
        <v>0</v>
      </c>
      <c r="L3876" s="0">
        <v>0</v>
      </c>
      <c r="M3876" s="0">
        <v>0</v>
      </c>
      <c r="N3876" s="0">
        <v>0</v>
      </c>
      <c r="O3876" s="0">
        <v>0</v>
      </c>
      <c r="P3876" s="0">
        <v>0</v>
      </c>
      <c r="R3876" s="0" t="b">
        <v>0</v>
      </c>
      <c r="S3876" s="0" t="b">
        <v>0</v>
      </c>
      <c r="T3876" s="68">
        <v>46016.1815509259</v>
      </c>
      <c r="U3876" s="68">
        <v>0</v>
      </c>
      <c r="V3876" s="68">
        <v>46059.166712963</v>
      </c>
      <c r="W3876" s="0">
        <f>IF(IF(B3876="none",1,IF(B3876="Trialer",1,0))+IF(C3876="Customer",1,IF(C3876="Lost",1,0))=2,1,0)</f>
      </c>
      <c r="X3876" s="0" t="s">
        <v>145</v>
      </c>
      <c r="Y3876" s="0" t="s">
        <v>243</v>
      </c>
      <c r="AV3876" s="68"/>
      <c r="AW3876" s="68"/>
      <c r="AY3876" s="27"/>
      <c r="BD3876" s="68">
        <v>46054.1666666667</v>
      </c>
      <c r="BE3876" s="68">
        <v>46082.1666666667</v>
      </c>
      <c r="BF3876" s="0" t="b">
        <v>0</v>
      </c>
      <c r="BG3876" s="0" t="b">
        <v>0</v>
      </c>
      <c r="BH3876" s="0">
        <v>54.75</v>
      </c>
      <c r="BI3876" s="0">
        <v>54.75</v>
      </c>
      <c r="BJ3876" s="0" t="s">
        <v>135</v>
      </c>
    </row>
    <row r="3877">
      <c r="A3877" s="0" t="s">
        <v>4135</v>
      </c>
      <c r="B3877" s="0" t="s">
        <v>652</v>
      </c>
      <c r="C3877" s="0" t="s">
        <v>652</v>
      </c>
      <c r="D3877" s="0" t="s">
        <v>135</v>
      </c>
      <c r="E3877" s="0" t="s">
        <v>2414</v>
      </c>
      <c r="F3877" s="0" t="s">
        <v>12</v>
      </c>
      <c r="G3877" s="0" t="s">
        <v>8</v>
      </c>
      <c r="H3877" s="0">
        <v>37</v>
      </c>
      <c r="I3877" s="0">
        <v>0</v>
      </c>
      <c r="J3877" s="0">
        <v>0</v>
      </c>
      <c r="K3877" s="0">
        <v>0</v>
      </c>
      <c r="L3877" s="0">
        <v>0</v>
      </c>
      <c r="M3877" s="0">
        <v>0</v>
      </c>
      <c r="N3877" s="0">
        <v>0</v>
      </c>
      <c r="O3877" s="0">
        <v>0</v>
      </c>
      <c r="P3877" s="0">
        <v>0</v>
      </c>
      <c r="R3877" s="0" t="b">
        <v>0</v>
      </c>
      <c r="S3877" s="0" t="b">
        <v>0</v>
      </c>
      <c r="T3877" s="68">
        <v>46016.1916087963</v>
      </c>
      <c r="U3877" s="68">
        <v>0</v>
      </c>
      <c r="V3877" s="68">
        <v>46059.1667361111</v>
      </c>
      <c r="W3877" s="0">
        <f>IF(IF(B3877="none",1,IF(B3877="Trialer",1,0))+IF(C3877="Customer",1,IF(C3877="Lost",1,0))=2,1,0)</f>
      </c>
      <c r="X3877" s="0" t="s">
        <v>136</v>
      </c>
      <c r="Y3877" s="0" t="s">
        <v>1516</v>
      </c>
      <c r="AV3877" s="68"/>
      <c r="AW3877" s="68"/>
      <c r="AY3877" s="27"/>
      <c r="BD3877" s="68">
        <v>46054.1666666667</v>
      </c>
      <c r="BE3877" s="68">
        <v>46082.1666666667</v>
      </c>
      <c r="BF3877" s="0" t="b">
        <v>0</v>
      </c>
      <c r="BG3877" s="0" t="b">
        <v>0</v>
      </c>
      <c r="BH3877" s="0">
        <v>44.25</v>
      </c>
      <c r="BI3877" s="0">
        <v>44.25</v>
      </c>
      <c r="BJ3877" s="0" t="s">
        <v>135</v>
      </c>
    </row>
    <row r="3878">
      <c r="A3878" s="0" t="s">
        <v>4136</v>
      </c>
      <c r="B3878" s="0" t="s">
        <v>652</v>
      </c>
      <c r="C3878" s="0" t="s">
        <v>652</v>
      </c>
      <c r="D3878" s="0" t="s">
        <v>135</v>
      </c>
      <c r="E3878" s="0" t="s">
        <v>3</v>
      </c>
      <c r="F3878" s="0" t="s">
        <v>12</v>
      </c>
      <c r="G3878" s="0" t="s">
        <v>8</v>
      </c>
      <c r="H3878" s="0">
        <v>37</v>
      </c>
      <c r="I3878" s="0">
        <v>0</v>
      </c>
      <c r="J3878" s="0">
        <v>0</v>
      </c>
      <c r="K3878" s="0">
        <v>0</v>
      </c>
      <c r="L3878" s="0">
        <v>0</v>
      </c>
      <c r="M3878" s="0">
        <v>0</v>
      </c>
      <c r="N3878" s="0">
        <v>0</v>
      </c>
      <c r="O3878" s="0">
        <v>0</v>
      </c>
      <c r="P3878" s="0">
        <v>0</v>
      </c>
      <c r="R3878" s="0" t="b">
        <v>0</v>
      </c>
      <c r="S3878" s="0" t="b">
        <v>0</v>
      </c>
      <c r="T3878" s="68">
        <v>46016.215775463</v>
      </c>
      <c r="U3878" s="68">
        <v>0</v>
      </c>
      <c r="V3878" s="68">
        <v>46059.1667361111</v>
      </c>
      <c r="W3878" s="0">
        <f>IF(IF(B3878="none",1,IF(B3878="Trialer",1,0))+IF(C3878="Customer",1,IF(C3878="Lost",1,0))=2,1,0)</f>
      </c>
      <c r="X3878" s="0" t="s">
        <v>148</v>
      </c>
      <c r="Y3878" s="0" t="s">
        <v>243</v>
      </c>
      <c r="AV3878" s="68"/>
      <c r="AW3878" s="68"/>
      <c r="AY3878" s="27"/>
      <c r="BD3878" s="68">
        <v>46054.1666666667</v>
      </c>
      <c r="BE3878" s="68">
        <v>46082.1666666667</v>
      </c>
      <c r="BF3878" s="0" t="b">
        <v>0</v>
      </c>
      <c r="BG3878" s="0" t="b">
        <v>0</v>
      </c>
      <c r="BH3878" s="0">
        <v>53.25</v>
      </c>
      <c r="BI3878" s="0">
        <v>53.25</v>
      </c>
      <c r="BJ3878" s="0" t="s">
        <v>135</v>
      </c>
    </row>
    <row r="3879">
      <c r="A3879" s="0" t="s">
        <v>4137</v>
      </c>
      <c r="B3879" s="0" t="s">
        <v>652</v>
      </c>
      <c r="C3879" s="0" t="s">
        <v>652</v>
      </c>
      <c r="D3879" s="0" t="s">
        <v>135</v>
      </c>
      <c r="E3879" s="0" t="s">
        <v>1515</v>
      </c>
      <c r="F3879" s="0" t="s">
        <v>12</v>
      </c>
      <c r="G3879" s="0" t="s">
        <v>8</v>
      </c>
      <c r="H3879" s="0">
        <v>37</v>
      </c>
      <c r="I3879" s="0">
        <v>0</v>
      </c>
      <c r="J3879" s="0">
        <v>0</v>
      </c>
      <c r="K3879" s="0">
        <v>0</v>
      </c>
      <c r="L3879" s="0">
        <v>0</v>
      </c>
      <c r="M3879" s="0">
        <v>0</v>
      </c>
      <c r="N3879" s="0">
        <v>0</v>
      </c>
      <c r="O3879" s="0">
        <v>0</v>
      </c>
      <c r="P3879" s="0">
        <v>0</v>
      </c>
      <c r="R3879" s="0" t="b">
        <v>0</v>
      </c>
      <c r="S3879" s="0" t="b">
        <v>0</v>
      </c>
      <c r="T3879" s="68">
        <v>46016.4125694444</v>
      </c>
      <c r="U3879" s="68">
        <v>0</v>
      </c>
      <c r="V3879" s="68">
        <v>46059.1667476852</v>
      </c>
      <c r="W3879" s="0">
        <f>IF(IF(B3879="none",1,IF(B3879="Trialer",1,0))+IF(C3879="Customer",1,IF(C3879="Lost",1,0))=2,1,0)</f>
      </c>
      <c r="X3879" s="0" t="s">
        <v>145</v>
      </c>
      <c r="Y3879" s="0" t="s">
        <v>1516</v>
      </c>
      <c r="AV3879" s="68"/>
      <c r="AW3879" s="68"/>
      <c r="AY3879" s="27"/>
      <c r="BD3879" s="68">
        <v>46054.1666666667</v>
      </c>
      <c r="BE3879" s="68">
        <v>46082.1666666667</v>
      </c>
      <c r="BF3879" s="0" t="b">
        <v>0</v>
      </c>
      <c r="BG3879" s="0" t="b">
        <v>0</v>
      </c>
      <c r="BH3879" s="0">
        <v>44.25</v>
      </c>
      <c r="BI3879" s="0">
        <v>44.25</v>
      </c>
      <c r="BJ3879" s="0" t="s">
        <v>135</v>
      </c>
    </row>
    <row r="3880">
      <c r="A3880" s="0" t="s">
        <v>4138</v>
      </c>
      <c r="B3880" s="0" t="s">
        <v>652</v>
      </c>
      <c r="C3880" s="0" t="s">
        <v>652</v>
      </c>
      <c r="D3880" s="0" t="s">
        <v>135</v>
      </c>
      <c r="E3880" s="0" t="s">
        <v>3</v>
      </c>
      <c r="F3880" s="0" t="s">
        <v>12</v>
      </c>
      <c r="G3880" s="0" t="s">
        <v>8</v>
      </c>
      <c r="H3880" s="0">
        <v>37</v>
      </c>
      <c r="I3880" s="0">
        <v>0</v>
      </c>
      <c r="J3880" s="0">
        <v>0</v>
      </c>
      <c r="K3880" s="0">
        <v>0</v>
      </c>
      <c r="L3880" s="0">
        <v>0</v>
      </c>
      <c r="M3880" s="0">
        <v>0</v>
      </c>
      <c r="N3880" s="0">
        <v>0</v>
      </c>
      <c r="O3880" s="0">
        <v>0</v>
      </c>
      <c r="P3880" s="0">
        <v>0</v>
      </c>
      <c r="R3880" s="0" t="b">
        <v>0</v>
      </c>
      <c r="S3880" s="0" t="b">
        <v>0</v>
      </c>
      <c r="T3880" s="68">
        <v>46016.4374074074</v>
      </c>
      <c r="U3880" s="68">
        <v>0</v>
      </c>
      <c r="V3880" s="68">
        <v>46059.4023611111</v>
      </c>
      <c r="W3880" s="0">
        <f>IF(IF(B3880="none",1,IF(B3880="Trialer",1,0))+IF(C3880="Customer",1,IF(C3880="Lost",1,0))=2,1,0)</f>
      </c>
      <c r="X3880" s="0" t="s">
        <v>136</v>
      </c>
      <c r="Y3880" s="0" t="s">
        <v>487</v>
      </c>
      <c r="AV3880" s="68"/>
      <c r="AW3880" s="68"/>
      <c r="AY3880" s="27"/>
      <c r="BD3880" s="68">
        <v>46054.1666666667</v>
      </c>
      <c r="BE3880" s="68">
        <v>46082.1666666667</v>
      </c>
      <c r="BF3880" s="0" t="b">
        <v>0</v>
      </c>
      <c r="BG3880" s="0" t="b">
        <v>0</v>
      </c>
      <c r="BH3880" s="0">
        <v>35.25</v>
      </c>
      <c r="BI3880" s="0">
        <v>35.25</v>
      </c>
      <c r="BJ3880" s="0" t="s">
        <v>135</v>
      </c>
    </row>
    <row r="3881">
      <c r="A3881" s="0" t="s">
        <v>4139</v>
      </c>
      <c r="B3881" s="0" t="s">
        <v>652</v>
      </c>
      <c r="C3881" s="0" t="s">
        <v>652</v>
      </c>
      <c r="D3881" s="0" t="s">
        <v>135</v>
      </c>
      <c r="E3881" s="0" t="s">
        <v>3</v>
      </c>
      <c r="F3881" s="0" t="s">
        <v>12</v>
      </c>
      <c r="G3881" s="0" t="s">
        <v>8</v>
      </c>
      <c r="H3881" s="0">
        <v>37</v>
      </c>
      <c r="I3881" s="0">
        <v>0</v>
      </c>
      <c r="J3881" s="0">
        <v>0</v>
      </c>
      <c r="K3881" s="0">
        <v>0</v>
      </c>
      <c r="L3881" s="0">
        <v>0</v>
      </c>
      <c r="M3881" s="0">
        <v>0</v>
      </c>
      <c r="N3881" s="0">
        <v>0</v>
      </c>
      <c r="O3881" s="0">
        <v>0</v>
      </c>
      <c r="P3881" s="0">
        <v>0</v>
      </c>
      <c r="R3881" s="0" t="b">
        <v>0</v>
      </c>
      <c r="S3881" s="0" t="b">
        <v>0</v>
      </c>
      <c r="T3881" s="68">
        <v>46016.7404861111</v>
      </c>
      <c r="U3881" s="68">
        <v>0</v>
      </c>
      <c r="V3881" s="68">
        <v>46059.1667592593</v>
      </c>
      <c r="W3881" s="0">
        <f>IF(IF(B3881="none",1,IF(B3881="Trialer",1,0))+IF(C3881="Customer",1,IF(C3881="Lost",1,0))=2,1,0)</f>
      </c>
      <c r="X3881" s="0" t="s">
        <v>148</v>
      </c>
      <c r="Y3881" s="0" t="s">
        <v>243</v>
      </c>
      <c r="AV3881" s="68"/>
      <c r="AW3881" s="68"/>
      <c r="AY3881" s="27"/>
      <c r="BD3881" s="68">
        <v>46054.1666666667</v>
      </c>
      <c r="BE3881" s="68">
        <v>46082.1666666667</v>
      </c>
      <c r="BF3881" s="0" t="b">
        <v>0</v>
      </c>
      <c r="BG3881" s="0" t="b">
        <v>0</v>
      </c>
      <c r="BH3881" s="0">
        <v>44.25</v>
      </c>
      <c r="BI3881" s="0">
        <v>44.25</v>
      </c>
      <c r="BJ3881" s="0" t="s">
        <v>135</v>
      </c>
    </row>
    <row r="3882">
      <c r="A3882" s="0" t="s">
        <v>4140</v>
      </c>
      <c r="B3882" s="0" t="s">
        <v>652</v>
      </c>
      <c r="C3882" s="0" t="s">
        <v>652</v>
      </c>
      <c r="D3882" s="0" t="s">
        <v>135</v>
      </c>
      <c r="E3882" s="0" t="s">
        <v>2414</v>
      </c>
      <c r="F3882" s="0" t="s">
        <v>12</v>
      </c>
      <c r="G3882" s="0" t="s">
        <v>8</v>
      </c>
      <c r="H3882" s="0">
        <v>37</v>
      </c>
      <c r="I3882" s="0">
        <v>0</v>
      </c>
      <c r="J3882" s="0">
        <v>0</v>
      </c>
      <c r="K3882" s="0">
        <v>0</v>
      </c>
      <c r="L3882" s="0">
        <v>0</v>
      </c>
      <c r="M3882" s="0">
        <v>0</v>
      </c>
      <c r="N3882" s="0">
        <v>0</v>
      </c>
      <c r="O3882" s="0">
        <v>0</v>
      </c>
      <c r="P3882" s="0">
        <v>0</v>
      </c>
      <c r="R3882" s="0" t="b">
        <v>0</v>
      </c>
      <c r="S3882" s="0" t="b">
        <v>0</v>
      </c>
      <c r="T3882" s="68">
        <v>46016.8066435185</v>
      </c>
      <c r="U3882" s="68">
        <v>0</v>
      </c>
      <c r="V3882" s="68">
        <v>46059.1667708333</v>
      </c>
      <c r="W3882" s="0">
        <f>IF(IF(B3882="none",1,IF(B3882="Trialer",1,0))+IF(C3882="Customer",1,IF(C3882="Lost",1,0))=2,1,0)</f>
      </c>
      <c r="X3882" s="0" t="s">
        <v>136</v>
      </c>
      <c r="Y3882" s="0" t="s">
        <v>1516</v>
      </c>
      <c r="AV3882" s="68"/>
      <c r="AW3882" s="68"/>
      <c r="AY3882" s="27"/>
      <c r="BD3882" s="68">
        <v>46054.1666666667</v>
      </c>
      <c r="BE3882" s="68">
        <v>46082.1666666667</v>
      </c>
      <c r="BF3882" s="0" t="b">
        <v>0</v>
      </c>
      <c r="BG3882" s="0" t="b">
        <v>0</v>
      </c>
      <c r="BH3882" s="0">
        <v>44.25</v>
      </c>
      <c r="BI3882" s="0">
        <v>44.25</v>
      </c>
      <c r="BJ3882" s="0" t="s">
        <v>135</v>
      </c>
    </row>
    <row r="3883">
      <c r="A3883" s="0" t="s">
        <v>4141</v>
      </c>
      <c r="B3883" s="0" t="s">
        <v>652</v>
      </c>
      <c r="C3883" s="0" t="s">
        <v>652</v>
      </c>
      <c r="D3883" s="0" t="s">
        <v>135</v>
      </c>
      <c r="E3883" s="0" t="s">
        <v>3</v>
      </c>
      <c r="F3883" s="0" t="s">
        <v>12</v>
      </c>
      <c r="G3883" s="0" t="s">
        <v>8</v>
      </c>
      <c r="H3883" s="0">
        <v>36</v>
      </c>
      <c r="I3883" s="0">
        <v>0</v>
      </c>
      <c r="J3883" s="0">
        <v>0</v>
      </c>
      <c r="K3883" s="0">
        <v>0</v>
      </c>
      <c r="L3883" s="0">
        <v>0</v>
      </c>
      <c r="M3883" s="0">
        <v>0</v>
      </c>
      <c r="N3883" s="0">
        <v>0</v>
      </c>
      <c r="O3883" s="0">
        <v>0</v>
      </c>
      <c r="P3883" s="0">
        <v>0</v>
      </c>
      <c r="R3883" s="0" t="b">
        <v>0</v>
      </c>
      <c r="S3883" s="0" t="b">
        <v>0</v>
      </c>
      <c r="T3883" s="68">
        <v>46017.0384837963</v>
      </c>
      <c r="U3883" s="68">
        <v>0</v>
      </c>
      <c r="V3883" s="68">
        <v>46059.1667824074</v>
      </c>
      <c r="W3883" s="0">
        <f>IF(IF(B3883="none",1,IF(B3883="Trialer",1,0))+IF(C3883="Customer",1,IF(C3883="Lost",1,0))=2,1,0)</f>
      </c>
      <c r="X3883" s="0" t="s">
        <v>145</v>
      </c>
      <c r="Y3883" s="0" t="s">
        <v>243</v>
      </c>
      <c r="AV3883" s="68"/>
      <c r="AW3883" s="68"/>
      <c r="AY3883" s="27"/>
      <c r="BD3883" s="68">
        <v>46054.1666666667</v>
      </c>
      <c r="BE3883" s="68">
        <v>46082.1666666667</v>
      </c>
      <c r="BF3883" s="0" t="b">
        <v>0</v>
      </c>
      <c r="BG3883" s="0" t="b">
        <v>0</v>
      </c>
      <c r="BH3883" s="0">
        <v>54.75</v>
      </c>
      <c r="BI3883" s="0">
        <v>54.75</v>
      </c>
      <c r="BJ3883" s="0" t="s">
        <v>135</v>
      </c>
    </row>
    <row r="3884">
      <c r="A3884" s="0" t="s">
        <v>4142</v>
      </c>
      <c r="B3884" s="0" t="s">
        <v>652</v>
      </c>
      <c r="C3884" s="0" t="s">
        <v>652</v>
      </c>
      <c r="D3884" s="0" t="s">
        <v>135</v>
      </c>
      <c r="E3884" s="0" t="s">
        <v>3</v>
      </c>
      <c r="F3884" s="0" t="s">
        <v>12</v>
      </c>
      <c r="G3884" s="0" t="s">
        <v>8</v>
      </c>
      <c r="H3884" s="0">
        <v>36</v>
      </c>
      <c r="I3884" s="0">
        <v>0</v>
      </c>
      <c r="J3884" s="0">
        <v>0</v>
      </c>
      <c r="K3884" s="0">
        <v>0</v>
      </c>
      <c r="L3884" s="0">
        <v>0</v>
      </c>
      <c r="M3884" s="0">
        <v>0</v>
      </c>
      <c r="N3884" s="0">
        <v>0</v>
      </c>
      <c r="O3884" s="0">
        <v>0</v>
      </c>
      <c r="P3884" s="0">
        <v>0</v>
      </c>
      <c r="R3884" s="0" t="b">
        <v>0</v>
      </c>
      <c r="S3884" s="0" t="b">
        <v>0</v>
      </c>
      <c r="T3884" s="68">
        <v>46017.130462963</v>
      </c>
      <c r="U3884" s="68">
        <v>0</v>
      </c>
      <c r="V3884" s="68">
        <v>46059.4013657407</v>
      </c>
      <c r="W3884" s="0">
        <f>IF(IF(B3884="none",1,IF(B3884="Trialer",1,0))+IF(C3884="Customer",1,IF(C3884="Lost",1,0))=2,1,0)</f>
      </c>
      <c r="X3884" s="0" t="s">
        <v>136</v>
      </c>
      <c r="Y3884" s="0" t="s">
        <v>487</v>
      </c>
      <c r="AV3884" s="68"/>
      <c r="AW3884" s="68"/>
      <c r="AY3884" s="27"/>
      <c r="BD3884" s="68">
        <v>46054.1666666667</v>
      </c>
      <c r="BE3884" s="68">
        <v>46082.1666666667</v>
      </c>
      <c r="BF3884" s="0" t="b">
        <v>0</v>
      </c>
      <c r="BG3884" s="0" t="b">
        <v>0</v>
      </c>
      <c r="BH3884" s="0">
        <v>40</v>
      </c>
      <c r="BI3884" s="0">
        <v>40</v>
      </c>
      <c r="BJ3884" s="0" t="s">
        <v>135</v>
      </c>
    </row>
    <row r="3885">
      <c r="A3885" s="0" t="s">
        <v>4143</v>
      </c>
      <c r="B3885" s="0" t="s">
        <v>652</v>
      </c>
      <c r="C3885" s="0" t="s">
        <v>652</v>
      </c>
      <c r="D3885" s="0" t="s">
        <v>135</v>
      </c>
      <c r="E3885" s="0" t="s">
        <v>3</v>
      </c>
      <c r="F3885" s="0" t="s">
        <v>12</v>
      </c>
      <c r="G3885" s="0" t="s">
        <v>8</v>
      </c>
      <c r="H3885" s="0">
        <v>36</v>
      </c>
      <c r="I3885" s="0">
        <v>0</v>
      </c>
      <c r="J3885" s="0">
        <v>0</v>
      </c>
      <c r="K3885" s="0">
        <v>0</v>
      </c>
      <c r="L3885" s="0">
        <v>0</v>
      </c>
      <c r="M3885" s="0">
        <v>0</v>
      </c>
      <c r="N3885" s="0">
        <v>0</v>
      </c>
      <c r="O3885" s="0">
        <v>0</v>
      </c>
      <c r="P3885" s="0">
        <v>0</v>
      </c>
      <c r="R3885" s="0" t="b">
        <v>0</v>
      </c>
      <c r="S3885" s="0" t="b">
        <v>0</v>
      </c>
      <c r="T3885" s="68">
        <v>46017.1309375</v>
      </c>
      <c r="U3885" s="68">
        <v>0</v>
      </c>
      <c r="V3885" s="68">
        <v>46059.4020023148</v>
      </c>
      <c r="W3885" s="0">
        <f>IF(IF(B3885="none",1,IF(B3885="Trialer",1,0))+IF(C3885="Customer",1,IF(C3885="Lost",1,0))=2,1,0)</f>
      </c>
      <c r="X3885" s="0" t="s">
        <v>136</v>
      </c>
      <c r="Y3885" s="0" t="s">
        <v>487</v>
      </c>
      <c r="AV3885" s="68"/>
      <c r="AW3885" s="68"/>
      <c r="AY3885" s="27"/>
      <c r="BD3885" s="68">
        <v>46054.1666666667</v>
      </c>
      <c r="BE3885" s="68">
        <v>46082.1666666667</v>
      </c>
      <c r="BF3885" s="0" t="b">
        <v>1</v>
      </c>
      <c r="BG3885" s="0" t="b">
        <v>0</v>
      </c>
      <c r="BH3885" s="0">
        <v>40</v>
      </c>
      <c r="BI3885" s="0">
        <v>40</v>
      </c>
      <c r="BJ3885" s="0" t="s">
        <v>135</v>
      </c>
    </row>
    <row r="3886">
      <c r="A3886" s="0" t="s">
        <v>4144</v>
      </c>
      <c r="B3886" s="0" t="s">
        <v>652</v>
      </c>
      <c r="C3886" s="0" t="s">
        <v>652</v>
      </c>
      <c r="D3886" s="0" t="s">
        <v>135</v>
      </c>
      <c r="E3886" s="0" t="s">
        <v>4</v>
      </c>
      <c r="F3886" s="0" t="s">
        <v>12</v>
      </c>
      <c r="G3886" s="0" t="s">
        <v>8</v>
      </c>
      <c r="H3886" s="0">
        <v>36</v>
      </c>
      <c r="I3886" s="0">
        <v>0</v>
      </c>
      <c r="J3886" s="0">
        <v>0</v>
      </c>
      <c r="K3886" s="0">
        <v>0</v>
      </c>
      <c r="L3886" s="0">
        <v>0</v>
      </c>
      <c r="M3886" s="0">
        <v>0</v>
      </c>
      <c r="N3886" s="0">
        <v>0</v>
      </c>
      <c r="O3886" s="0">
        <v>0</v>
      </c>
      <c r="P3886" s="0">
        <v>0</v>
      </c>
      <c r="R3886" s="0" t="b">
        <v>0</v>
      </c>
      <c r="S3886" s="0" t="b">
        <v>0</v>
      </c>
      <c r="T3886" s="68">
        <v>46017.3178472222</v>
      </c>
      <c r="U3886" s="68">
        <v>0</v>
      </c>
      <c r="V3886" s="68">
        <v>46059.4071527778</v>
      </c>
      <c r="W3886" s="0">
        <f>IF(IF(B3886="none",1,IF(B3886="Trialer",1,0))+IF(C3886="Customer",1,IF(C3886="Lost",1,0))=2,1,0)</f>
      </c>
      <c r="X3886" s="0" t="s">
        <v>148</v>
      </c>
      <c r="Y3886" s="0" t="s">
        <v>1772</v>
      </c>
      <c r="AV3886" s="68"/>
      <c r="AW3886" s="68"/>
      <c r="AY3886" s="27"/>
      <c r="BD3886" s="68">
        <v>46054.1666666667</v>
      </c>
      <c r="BE3886" s="68">
        <v>46082.1666666667</v>
      </c>
      <c r="BF3886" s="0" t="b">
        <v>0</v>
      </c>
      <c r="BG3886" s="0" t="b">
        <v>0</v>
      </c>
      <c r="BH3886" s="0">
        <v>53.25</v>
      </c>
      <c r="BI3886" s="0">
        <v>53.25</v>
      </c>
      <c r="BJ3886" s="0" t="s">
        <v>135</v>
      </c>
    </row>
    <row r="3887">
      <c r="A3887" s="0" t="s">
        <v>4145</v>
      </c>
      <c r="B3887" s="0" t="s">
        <v>652</v>
      </c>
      <c r="C3887" s="0" t="s">
        <v>652</v>
      </c>
      <c r="D3887" s="0" t="s">
        <v>135</v>
      </c>
      <c r="E3887" s="0" t="s">
        <v>3</v>
      </c>
      <c r="F3887" s="0" t="s">
        <v>12</v>
      </c>
      <c r="G3887" s="0" t="s">
        <v>8</v>
      </c>
      <c r="H3887" s="0">
        <v>36</v>
      </c>
      <c r="I3887" s="0">
        <v>0</v>
      </c>
      <c r="J3887" s="0">
        <v>0</v>
      </c>
      <c r="K3887" s="0">
        <v>0</v>
      </c>
      <c r="L3887" s="0">
        <v>0</v>
      </c>
      <c r="M3887" s="0">
        <v>0</v>
      </c>
      <c r="N3887" s="0">
        <v>0</v>
      </c>
      <c r="O3887" s="0">
        <v>0</v>
      </c>
      <c r="P3887" s="0">
        <v>0</v>
      </c>
      <c r="R3887" s="0" t="b">
        <v>0</v>
      </c>
      <c r="S3887" s="0" t="b">
        <v>1</v>
      </c>
      <c r="T3887" s="68">
        <v>46017.5023726852</v>
      </c>
      <c r="U3887" s="68">
        <v>46084.2916666667</v>
      </c>
      <c r="V3887" s="68">
        <v>0</v>
      </c>
      <c r="W3887" s="0">
        <f>IF(IF(B3887="none",1,IF(B3887="Trialer",1,0))+IF(C3887="Customer",1,IF(C3887="Lost",1,0))=2,1,0)</f>
      </c>
      <c r="X3887" s="0" t="s">
        <v>1461</v>
      </c>
      <c r="Y3887" s="0" t="s">
        <v>243</v>
      </c>
      <c r="AV3887" s="68"/>
      <c r="AW3887" s="68"/>
      <c r="AY3887" s="27"/>
      <c r="BD3887" s="68">
        <v>46054.1666666667</v>
      </c>
      <c r="BE3887" s="68">
        <v>46082.1666666667</v>
      </c>
      <c r="BF3887" s="0" t="b">
        <v>0</v>
      </c>
      <c r="BG3887" s="0" t="b">
        <v>0</v>
      </c>
      <c r="BH3887" s="0">
        <v>44.25</v>
      </c>
      <c r="BI3887" s="0">
        <v>44.25</v>
      </c>
      <c r="BJ3887" s="0" t="s">
        <v>135</v>
      </c>
    </row>
    <row r="3888">
      <c r="A3888" s="0" t="s">
        <v>4146</v>
      </c>
      <c r="B3888" s="0" t="s">
        <v>652</v>
      </c>
      <c r="C3888" s="0" t="s">
        <v>652</v>
      </c>
      <c r="D3888" s="0" t="s">
        <v>135</v>
      </c>
      <c r="E3888" s="0" t="s">
        <v>3</v>
      </c>
      <c r="F3888" s="0" t="s">
        <v>12</v>
      </c>
      <c r="G3888" s="0" t="s">
        <v>8</v>
      </c>
      <c r="H3888" s="0">
        <v>36</v>
      </c>
      <c r="I3888" s="0">
        <v>0</v>
      </c>
      <c r="J3888" s="0">
        <v>0</v>
      </c>
      <c r="K3888" s="0">
        <v>0</v>
      </c>
      <c r="L3888" s="0">
        <v>0</v>
      </c>
      <c r="M3888" s="0">
        <v>0</v>
      </c>
      <c r="N3888" s="0">
        <v>0</v>
      </c>
      <c r="O3888" s="0">
        <v>0</v>
      </c>
      <c r="P3888" s="0">
        <v>0</v>
      </c>
      <c r="R3888" s="0" t="b">
        <v>0</v>
      </c>
      <c r="S3888" s="0" t="b">
        <v>0</v>
      </c>
      <c r="T3888" s="68">
        <v>46017.5375231481</v>
      </c>
      <c r="U3888" s="68">
        <v>0</v>
      </c>
      <c r="V3888" s="68">
        <v>46060.166724537</v>
      </c>
      <c r="W3888" s="0">
        <f>IF(IF(B3888="none",1,IF(B3888="Trialer",1,0))+IF(C3888="Customer",1,IF(C3888="Lost",1,0))=2,1,0)</f>
      </c>
      <c r="X3888" s="0" t="s">
        <v>136</v>
      </c>
      <c r="Y3888" s="0" t="s">
        <v>243</v>
      </c>
      <c r="AV3888" s="68"/>
      <c r="AW3888" s="68"/>
      <c r="AY3888" s="27"/>
      <c r="BD3888" s="68">
        <v>46054.1666666667</v>
      </c>
      <c r="BE3888" s="68">
        <v>46082.1666666667</v>
      </c>
      <c r="BF3888" s="0" t="b">
        <v>0</v>
      </c>
      <c r="BG3888" s="0" t="b">
        <v>0</v>
      </c>
      <c r="BH3888" s="0">
        <v>70.5</v>
      </c>
      <c r="BI3888" s="0">
        <v>70.5</v>
      </c>
      <c r="BJ3888" s="0" t="s">
        <v>135</v>
      </c>
    </row>
    <row r="3889">
      <c r="A3889" s="0" t="s">
        <v>4147</v>
      </c>
      <c r="B3889" s="0" t="s">
        <v>134</v>
      </c>
      <c r="C3889" s="0" t="s">
        <v>134</v>
      </c>
      <c r="D3889" s="0" t="s">
        <v>135</v>
      </c>
      <c r="E3889" s="0" t="s">
        <v>3</v>
      </c>
      <c r="F3889" s="0" t="s">
        <v>12</v>
      </c>
      <c r="G3889" s="0" t="s">
        <v>8</v>
      </c>
      <c r="H3889" s="0">
        <v>36</v>
      </c>
      <c r="I3889" s="0">
        <v>53.25</v>
      </c>
      <c r="J3889" s="0">
        <v>0</v>
      </c>
      <c r="K3889" s="0">
        <v>1</v>
      </c>
      <c r="L3889" s="0">
        <v>4</v>
      </c>
      <c r="M3889" s="0">
        <v>1</v>
      </c>
      <c r="N3889" s="0">
        <v>0</v>
      </c>
      <c r="O3889" s="0">
        <v>0</v>
      </c>
      <c r="P3889" s="0">
        <v>0</v>
      </c>
      <c r="R3889" s="0" t="b">
        <v>0</v>
      </c>
      <c r="S3889" s="0" t="b">
        <v>1</v>
      </c>
      <c r="T3889" s="68">
        <v>46017.7539236111</v>
      </c>
      <c r="U3889" s="68">
        <v>46027.2916666667</v>
      </c>
      <c r="V3889" s="68">
        <v>0</v>
      </c>
      <c r="W3889" s="0">
        <f>IF(IF(B3889="none",1,IF(B3889="Trialer",1,0))+IF(C3889="Customer",1,IF(C3889="Lost",1,0))=2,1,0)</f>
      </c>
      <c r="X3889" s="0" t="s">
        <v>1461</v>
      </c>
      <c r="Y3889" s="0" t="s">
        <v>243</v>
      </c>
      <c r="AV3889" s="68"/>
      <c r="AW3889" s="68"/>
      <c r="AY3889" s="27"/>
      <c r="BD3889" s="68">
        <v>46054.1666666667</v>
      </c>
      <c r="BE3889" s="68">
        <v>46082.1666666667</v>
      </c>
      <c r="BF3889" s="0" t="b">
        <v>0</v>
      </c>
      <c r="BG3889" s="0" t="b">
        <v>0</v>
      </c>
      <c r="BH3889" s="0">
        <v>53.25</v>
      </c>
      <c r="BI3889" s="0">
        <v>53.25</v>
      </c>
      <c r="BJ3889" s="0" t="s">
        <v>135</v>
      </c>
    </row>
    <row r="3890">
      <c r="A3890" s="0" t="s">
        <v>4148</v>
      </c>
      <c r="B3890" s="0" t="s">
        <v>652</v>
      </c>
      <c r="C3890" s="0" t="s">
        <v>652</v>
      </c>
      <c r="D3890" s="0" t="s">
        <v>135</v>
      </c>
      <c r="E3890" s="0" t="s">
        <v>2414</v>
      </c>
      <c r="F3890" s="0" t="s">
        <v>12</v>
      </c>
      <c r="G3890" s="0" t="s">
        <v>8</v>
      </c>
      <c r="H3890" s="0">
        <v>36</v>
      </c>
      <c r="I3890" s="0">
        <v>0</v>
      </c>
      <c r="J3890" s="0">
        <v>0</v>
      </c>
      <c r="K3890" s="0">
        <v>0</v>
      </c>
      <c r="L3890" s="0">
        <v>0</v>
      </c>
      <c r="M3890" s="0">
        <v>0</v>
      </c>
      <c r="N3890" s="0">
        <v>0</v>
      </c>
      <c r="O3890" s="0">
        <v>0</v>
      </c>
      <c r="P3890" s="0">
        <v>0</v>
      </c>
      <c r="R3890" s="0" t="b">
        <v>0</v>
      </c>
      <c r="S3890" s="0" t="b">
        <v>0</v>
      </c>
      <c r="T3890" s="68">
        <v>46017.885625</v>
      </c>
      <c r="U3890" s="68">
        <v>0</v>
      </c>
      <c r="V3890" s="68">
        <v>46060.1667361111</v>
      </c>
      <c r="W3890" s="0">
        <f>IF(IF(B3890="none",1,IF(B3890="Trialer",1,0))+IF(C3890="Customer",1,IF(C3890="Lost",1,0))=2,1,0)</f>
      </c>
      <c r="X3890" s="0" t="s">
        <v>882</v>
      </c>
      <c r="Y3890" s="0" t="s">
        <v>1516</v>
      </c>
      <c r="AV3890" s="68"/>
      <c r="AW3890" s="68"/>
      <c r="AY3890" s="27"/>
      <c r="BD3890" s="68">
        <v>46054.1666666667</v>
      </c>
      <c r="BE3890" s="68">
        <v>46082.1666666667</v>
      </c>
      <c r="BF3890" s="0" t="b">
        <v>0</v>
      </c>
      <c r="BG3890" s="0" t="b">
        <v>0</v>
      </c>
      <c r="BH3890" s="0">
        <v>44.25</v>
      </c>
      <c r="BI3890" s="0">
        <v>44.25</v>
      </c>
      <c r="BJ3890" s="0" t="s">
        <v>135</v>
      </c>
    </row>
    <row r="3891">
      <c r="A3891" s="0" t="s">
        <v>4149</v>
      </c>
      <c r="B3891" s="0" t="s">
        <v>134</v>
      </c>
      <c r="C3891" s="0" t="s">
        <v>134</v>
      </c>
      <c r="D3891" s="0" t="s">
        <v>135</v>
      </c>
      <c r="E3891" s="0" t="s">
        <v>3</v>
      </c>
      <c r="F3891" s="0" t="s">
        <v>12</v>
      </c>
      <c r="G3891" s="0" t="s">
        <v>8</v>
      </c>
      <c r="H3891" s="0">
        <v>35</v>
      </c>
      <c r="I3891" s="0">
        <v>291</v>
      </c>
      <c r="J3891" s="0">
        <v>0</v>
      </c>
      <c r="K3891" s="0">
        <v>1</v>
      </c>
      <c r="L3891" s="0">
        <v>6</v>
      </c>
      <c r="M3891" s="0">
        <v>3</v>
      </c>
      <c r="N3891" s="0">
        <v>465</v>
      </c>
      <c r="O3891" s="0">
        <v>0</v>
      </c>
      <c r="P3891" s="0">
        <v>0</v>
      </c>
      <c r="R3891" s="0" t="b">
        <v>0</v>
      </c>
      <c r="S3891" s="0" t="b">
        <v>1</v>
      </c>
      <c r="T3891" s="68">
        <v>46018.5277546296</v>
      </c>
      <c r="U3891" s="68">
        <v>46044.2916666667</v>
      </c>
      <c r="V3891" s="68">
        <v>0</v>
      </c>
      <c r="W3891" s="0">
        <f>IF(IF(B3891="none",1,IF(B3891="Trialer",1,0))+IF(C3891="Customer",1,IF(C3891="Lost",1,0))=2,1,0)</f>
      </c>
      <c r="X3891" s="0" t="s">
        <v>1461</v>
      </c>
      <c r="Y3891" s="0" t="s">
        <v>243</v>
      </c>
      <c r="AV3891" s="68"/>
      <c r="AW3891" s="68"/>
      <c r="AY3891" s="27"/>
      <c r="BD3891" s="68">
        <v>46054.1666666667</v>
      </c>
      <c r="BE3891" s="68">
        <v>46082.1666666667</v>
      </c>
      <c r="BF3891" s="0" t="b">
        <v>0</v>
      </c>
      <c r="BG3891" s="0" t="b">
        <v>0</v>
      </c>
      <c r="BH3891" s="0">
        <v>291</v>
      </c>
      <c r="BI3891" s="0">
        <v>291</v>
      </c>
      <c r="BJ3891" s="0" t="s">
        <v>135</v>
      </c>
    </row>
    <row r="3892">
      <c r="A3892" s="0" t="s">
        <v>4150</v>
      </c>
      <c r="B3892" s="0" t="s">
        <v>652</v>
      </c>
      <c r="C3892" s="0" t="s">
        <v>652</v>
      </c>
      <c r="D3892" s="0" t="s">
        <v>135</v>
      </c>
      <c r="E3892" s="0" t="s">
        <v>3</v>
      </c>
      <c r="F3892" s="0" t="s">
        <v>12</v>
      </c>
      <c r="G3892" s="0" t="s">
        <v>8</v>
      </c>
      <c r="H3892" s="0">
        <v>35</v>
      </c>
      <c r="I3892" s="0">
        <v>0</v>
      </c>
      <c r="J3892" s="0">
        <v>0</v>
      </c>
      <c r="K3892" s="0">
        <v>0</v>
      </c>
      <c r="L3892" s="0">
        <v>0</v>
      </c>
      <c r="M3892" s="0">
        <v>0</v>
      </c>
      <c r="N3892" s="0">
        <v>0</v>
      </c>
      <c r="O3892" s="0">
        <v>0</v>
      </c>
      <c r="P3892" s="0">
        <v>0</v>
      </c>
      <c r="R3892" s="0" t="b">
        <v>0</v>
      </c>
      <c r="S3892" s="0" t="b">
        <v>0</v>
      </c>
      <c r="T3892" s="68">
        <v>46018.6161689815</v>
      </c>
      <c r="U3892" s="68">
        <v>0</v>
      </c>
      <c r="V3892" s="68">
        <v>46061.166712963</v>
      </c>
      <c r="W3892" s="0">
        <f>IF(IF(B3892="none",1,IF(B3892="Trialer",1,0))+IF(C3892="Customer",1,IF(C3892="Lost",1,0))=2,1,0)</f>
      </c>
      <c r="X3892" s="0" t="s">
        <v>136</v>
      </c>
      <c r="Y3892" s="0" t="s">
        <v>243</v>
      </c>
      <c r="AV3892" s="68"/>
      <c r="AW3892" s="68"/>
      <c r="AY3892" s="27"/>
      <c r="BD3892" s="68">
        <v>46054.1666666667</v>
      </c>
      <c r="BE3892" s="68">
        <v>46082.1666666667</v>
      </c>
      <c r="BF3892" s="0" t="b">
        <v>0</v>
      </c>
      <c r="BG3892" s="0" t="b">
        <v>0</v>
      </c>
      <c r="BH3892" s="0">
        <v>44.25</v>
      </c>
      <c r="BI3892" s="0">
        <v>44.25</v>
      </c>
      <c r="BJ3892" s="0" t="s">
        <v>135</v>
      </c>
    </row>
    <row r="3893">
      <c r="A3893" s="0" t="s">
        <v>4151</v>
      </c>
      <c r="B3893" s="0" t="s">
        <v>134</v>
      </c>
      <c r="C3893" s="0" t="s">
        <v>134</v>
      </c>
      <c r="D3893" s="0" t="s">
        <v>135</v>
      </c>
      <c r="E3893" s="0" t="s">
        <v>3</v>
      </c>
      <c r="F3893" s="0" t="s">
        <v>12</v>
      </c>
      <c r="G3893" s="0" t="s">
        <v>8</v>
      </c>
      <c r="H3893" s="0">
        <v>35</v>
      </c>
      <c r="I3893" s="0">
        <v>191.25</v>
      </c>
      <c r="J3893" s="0">
        <v>0</v>
      </c>
      <c r="K3893" s="0">
        <v>1</v>
      </c>
      <c r="L3893" s="0">
        <v>5</v>
      </c>
      <c r="M3893" s="0">
        <v>3</v>
      </c>
      <c r="N3893" s="0">
        <v>0</v>
      </c>
      <c r="O3893" s="0">
        <v>0</v>
      </c>
      <c r="P3893" s="0">
        <v>0</v>
      </c>
      <c r="R3893" s="0" t="b">
        <v>0</v>
      </c>
      <c r="S3893" s="0" t="b">
        <v>1</v>
      </c>
      <c r="T3893" s="68">
        <v>46018.7123611111</v>
      </c>
      <c r="U3893" s="68">
        <v>46044.2916666667</v>
      </c>
      <c r="V3893" s="68">
        <v>0</v>
      </c>
      <c r="W3893" s="0">
        <f>IF(IF(B3893="none",1,IF(B3893="Trialer",1,0))+IF(C3893="Customer",1,IF(C3893="Lost",1,0))=2,1,0)</f>
      </c>
      <c r="X3893" s="0" t="s">
        <v>1461</v>
      </c>
      <c r="Y3893" s="0" t="s">
        <v>243</v>
      </c>
      <c r="AV3893" s="68"/>
      <c r="AW3893" s="68"/>
      <c r="AY3893" s="27"/>
      <c r="BD3893" s="68">
        <v>46054.1666666667</v>
      </c>
      <c r="BE3893" s="68">
        <v>46082.1666666667</v>
      </c>
      <c r="BF3893" s="0" t="b">
        <v>0</v>
      </c>
      <c r="BG3893" s="0" t="b">
        <v>0</v>
      </c>
      <c r="BH3893" s="0">
        <v>191.25</v>
      </c>
      <c r="BI3893" s="0">
        <v>191.25</v>
      </c>
      <c r="BJ3893" s="0" t="s">
        <v>135</v>
      </c>
    </row>
    <row r="3894">
      <c r="A3894" s="0" t="s">
        <v>4152</v>
      </c>
      <c r="B3894" s="0" t="s">
        <v>652</v>
      </c>
      <c r="C3894" s="0" t="s">
        <v>652</v>
      </c>
      <c r="D3894" s="0" t="s">
        <v>135</v>
      </c>
      <c r="E3894" s="0" t="s">
        <v>2414</v>
      </c>
      <c r="F3894" s="0" t="s">
        <v>12</v>
      </c>
      <c r="G3894" s="0" t="s">
        <v>8</v>
      </c>
      <c r="H3894" s="0">
        <v>34</v>
      </c>
      <c r="I3894" s="0">
        <v>0</v>
      </c>
      <c r="J3894" s="0">
        <v>0</v>
      </c>
      <c r="K3894" s="0">
        <v>0</v>
      </c>
      <c r="L3894" s="0">
        <v>0</v>
      </c>
      <c r="M3894" s="0">
        <v>0</v>
      </c>
      <c r="N3894" s="0">
        <v>0</v>
      </c>
      <c r="O3894" s="0">
        <v>0</v>
      </c>
      <c r="P3894" s="0">
        <v>0</v>
      </c>
      <c r="R3894" s="0" t="b">
        <v>0</v>
      </c>
      <c r="S3894" s="0" t="b">
        <v>0</v>
      </c>
      <c r="T3894" s="68">
        <v>46019.2279398148</v>
      </c>
      <c r="U3894" s="68">
        <v>0</v>
      </c>
      <c r="V3894" s="68">
        <v>46062.1666898148</v>
      </c>
      <c r="W3894" s="0">
        <f>IF(IF(B3894="none",1,IF(B3894="Trialer",1,0))+IF(C3894="Customer",1,IF(C3894="Lost",1,0))=2,1,0)</f>
      </c>
      <c r="X3894" s="0" t="s">
        <v>136</v>
      </c>
      <c r="Y3894" s="0" t="s">
        <v>1516</v>
      </c>
      <c r="AV3894" s="68"/>
      <c r="AW3894" s="68"/>
      <c r="AY3894" s="27"/>
      <c r="BD3894" s="68">
        <v>46054.1666666667</v>
      </c>
      <c r="BE3894" s="68">
        <v>46082.1666666667</v>
      </c>
      <c r="BF3894" s="0" t="b">
        <v>0</v>
      </c>
      <c r="BG3894" s="0" t="b">
        <v>0</v>
      </c>
      <c r="BH3894" s="0">
        <v>44.25</v>
      </c>
      <c r="BI3894" s="0">
        <v>44.25</v>
      </c>
      <c r="BJ3894" s="0" t="s">
        <v>135</v>
      </c>
    </row>
    <row r="3895">
      <c r="A3895" s="0" t="s">
        <v>4153</v>
      </c>
      <c r="B3895" s="0" t="s">
        <v>652</v>
      </c>
      <c r="C3895" s="0" t="s">
        <v>652</v>
      </c>
      <c r="D3895" s="0" t="s">
        <v>135</v>
      </c>
      <c r="E3895" s="0" t="s">
        <v>3</v>
      </c>
      <c r="F3895" s="0" t="s">
        <v>12</v>
      </c>
      <c r="G3895" s="0" t="s">
        <v>8</v>
      </c>
      <c r="H3895" s="0">
        <v>34</v>
      </c>
      <c r="I3895" s="0">
        <v>0</v>
      </c>
      <c r="J3895" s="0">
        <v>0</v>
      </c>
      <c r="K3895" s="0">
        <v>0</v>
      </c>
      <c r="L3895" s="0">
        <v>0</v>
      </c>
      <c r="M3895" s="0">
        <v>0</v>
      </c>
      <c r="N3895" s="0">
        <v>0</v>
      </c>
      <c r="O3895" s="0">
        <v>0</v>
      </c>
      <c r="P3895" s="0">
        <v>0</v>
      </c>
      <c r="R3895" s="0" t="b">
        <v>0</v>
      </c>
      <c r="S3895" s="0" t="b">
        <v>0</v>
      </c>
      <c r="T3895" s="68">
        <v>46019.8148611111</v>
      </c>
      <c r="U3895" s="68">
        <v>0</v>
      </c>
      <c r="V3895" s="68">
        <v>46062.1667708333</v>
      </c>
      <c r="W3895" s="0">
        <f>IF(IF(B3895="none",1,IF(B3895="Trialer",1,0))+IF(C3895="Customer",1,IF(C3895="Lost",1,0))=2,1,0)</f>
      </c>
      <c r="X3895" s="0" t="s">
        <v>145</v>
      </c>
      <c r="Y3895" s="0" t="s">
        <v>243</v>
      </c>
      <c r="AV3895" s="68"/>
      <c r="AW3895" s="68"/>
      <c r="AY3895" s="27"/>
      <c r="BD3895" s="68">
        <v>46054.1666666667</v>
      </c>
      <c r="BE3895" s="68">
        <v>46082.1666666667</v>
      </c>
      <c r="BF3895" s="0" t="b">
        <v>0</v>
      </c>
      <c r="BG3895" s="0" t="b">
        <v>0</v>
      </c>
      <c r="BH3895" s="0">
        <v>63.75</v>
      </c>
      <c r="BI3895" s="0">
        <v>63.75</v>
      </c>
      <c r="BJ3895" s="0" t="s">
        <v>135</v>
      </c>
    </row>
    <row r="3896">
      <c r="A3896" s="0" t="s">
        <v>4154</v>
      </c>
      <c r="B3896" s="0" t="s">
        <v>652</v>
      </c>
      <c r="C3896" s="0" t="s">
        <v>652</v>
      </c>
      <c r="D3896" s="0" t="s">
        <v>135</v>
      </c>
      <c r="E3896" s="0" t="s">
        <v>2414</v>
      </c>
      <c r="F3896" s="0" t="s">
        <v>12</v>
      </c>
      <c r="G3896" s="0" t="s">
        <v>8</v>
      </c>
      <c r="H3896" s="0">
        <v>34</v>
      </c>
      <c r="I3896" s="0">
        <v>0</v>
      </c>
      <c r="J3896" s="0">
        <v>0</v>
      </c>
      <c r="K3896" s="0">
        <v>0</v>
      </c>
      <c r="L3896" s="0">
        <v>0</v>
      </c>
      <c r="M3896" s="0">
        <v>0</v>
      </c>
      <c r="N3896" s="0">
        <v>0</v>
      </c>
      <c r="O3896" s="0">
        <v>0</v>
      </c>
      <c r="P3896" s="0">
        <v>0</v>
      </c>
      <c r="R3896" s="0" t="b">
        <v>0</v>
      </c>
      <c r="S3896" s="0" t="b">
        <v>0</v>
      </c>
      <c r="T3896" s="68">
        <v>46019.9049884259</v>
      </c>
      <c r="U3896" s="68">
        <v>0</v>
      </c>
      <c r="V3896" s="68">
        <v>46062.1667592593</v>
      </c>
      <c r="W3896" s="0">
        <f>IF(IF(B3896="none",1,IF(B3896="Trialer",1,0))+IF(C3896="Customer",1,IF(C3896="Lost",1,0))=2,1,0)</f>
      </c>
      <c r="X3896" s="0" t="s">
        <v>148</v>
      </c>
      <c r="Y3896" s="0" t="s">
        <v>1516</v>
      </c>
      <c r="AV3896" s="68"/>
      <c r="AW3896" s="68"/>
      <c r="AY3896" s="27"/>
      <c r="BD3896" s="68">
        <v>46054.1666666667</v>
      </c>
      <c r="BE3896" s="68">
        <v>46082.1666666667</v>
      </c>
      <c r="BF3896" s="0" t="b">
        <v>0</v>
      </c>
      <c r="BG3896" s="0" t="b">
        <v>0</v>
      </c>
      <c r="BH3896" s="0">
        <v>44.25</v>
      </c>
      <c r="BI3896" s="0">
        <v>44.25</v>
      </c>
      <c r="BJ3896" s="0" t="s">
        <v>135</v>
      </c>
    </row>
    <row r="3897">
      <c r="A3897" s="0" t="s">
        <v>4155</v>
      </c>
      <c r="B3897" s="0" t="s">
        <v>652</v>
      </c>
      <c r="C3897" s="0" t="s">
        <v>652</v>
      </c>
      <c r="D3897" s="0" t="s">
        <v>135</v>
      </c>
      <c r="E3897" s="0" t="s">
        <v>2</v>
      </c>
      <c r="F3897" s="0" t="s">
        <v>12</v>
      </c>
      <c r="G3897" s="0" t="s">
        <v>8</v>
      </c>
      <c r="H3897" s="0">
        <v>33</v>
      </c>
      <c r="I3897" s="0">
        <v>0</v>
      </c>
      <c r="J3897" s="0">
        <v>0</v>
      </c>
      <c r="K3897" s="0">
        <v>0</v>
      </c>
      <c r="L3897" s="0">
        <v>0</v>
      </c>
      <c r="M3897" s="0">
        <v>0</v>
      </c>
      <c r="N3897" s="0">
        <v>0</v>
      </c>
      <c r="O3897" s="0">
        <v>0</v>
      </c>
      <c r="P3897" s="0">
        <v>0</v>
      </c>
      <c r="R3897" s="0" t="b">
        <v>0</v>
      </c>
      <c r="S3897" s="0" t="b">
        <v>0</v>
      </c>
      <c r="T3897" s="68">
        <v>46020.0717708333</v>
      </c>
      <c r="U3897" s="68">
        <v>0</v>
      </c>
      <c r="V3897" s="68">
        <v>46062.1667361111</v>
      </c>
      <c r="W3897" s="0">
        <f>IF(IF(B3897="none",1,IF(B3897="Trialer",1,0))+IF(C3897="Customer",1,IF(C3897="Lost",1,0))=2,1,0)</f>
      </c>
      <c r="X3897" s="0" t="s">
        <v>145</v>
      </c>
      <c r="Y3897" s="0" t="s">
        <v>499</v>
      </c>
      <c r="AV3897" s="68"/>
      <c r="AW3897" s="68"/>
      <c r="AY3897" s="27"/>
      <c r="BD3897" s="68">
        <v>46054.1666666667</v>
      </c>
      <c r="BE3897" s="68">
        <v>46082.1666666667</v>
      </c>
      <c r="BF3897" s="0" t="b">
        <v>0</v>
      </c>
      <c r="BG3897" s="0" t="b">
        <v>0</v>
      </c>
      <c r="BH3897" s="0">
        <v>54.75</v>
      </c>
      <c r="BI3897" s="0">
        <v>54.75</v>
      </c>
      <c r="BJ3897" s="0" t="s">
        <v>135</v>
      </c>
    </row>
    <row r="3898">
      <c r="A3898" s="0" t="s">
        <v>4156</v>
      </c>
      <c r="B3898" s="0" t="s">
        <v>652</v>
      </c>
      <c r="C3898" s="0" t="s">
        <v>652</v>
      </c>
      <c r="D3898" s="0" t="s">
        <v>135</v>
      </c>
      <c r="E3898" s="0" t="s">
        <v>3</v>
      </c>
      <c r="F3898" s="0" t="s">
        <v>12</v>
      </c>
      <c r="G3898" s="0" t="s">
        <v>8</v>
      </c>
      <c r="H3898" s="0">
        <v>33</v>
      </c>
      <c r="I3898" s="0">
        <v>0</v>
      </c>
      <c r="J3898" s="0">
        <v>0</v>
      </c>
      <c r="K3898" s="0">
        <v>0</v>
      </c>
      <c r="L3898" s="0">
        <v>0</v>
      </c>
      <c r="M3898" s="0">
        <v>0</v>
      </c>
      <c r="N3898" s="0">
        <v>0</v>
      </c>
      <c r="O3898" s="0">
        <v>0</v>
      </c>
      <c r="P3898" s="0">
        <v>0</v>
      </c>
      <c r="R3898" s="0" t="b">
        <v>0</v>
      </c>
      <c r="S3898" s="0" t="b">
        <v>0</v>
      </c>
      <c r="T3898" s="68">
        <v>46020.2274652778</v>
      </c>
      <c r="U3898" s="68">
        <v>0</v>
      </c>
      <c r="V3898" s="68">
        <v>46063.166712963</v>
      </c>
      <c r="W3898" s="0">
        <f>IF(IF(B3898="none",1,IF(B3898="Trialer",1,0))+IF(C3898="Customer",1,IF(C3898="Lost",1,0))=2,1,0)</f>
      </c>
      <c r="X3898" s="0" t="s">
        <v>148</v>
      </c>
      <c r="Y3898" s="0" t="s">
        <v>243</v>
      </c>
      <c r="AV3898" s="68"/>
      <c r="AW3898" s="68"/>
      <c r="AY3898" s="27"/>
      <c r="BD3898" s="68">
        <v>46054.1666666667</v>
      </c>
      <c r="BE3898" s="68">
        <v>46082.1666666667</v>
      </c>
      <c r="BF3898" s="0" t="b">
        <v>0</v>
      </c>
      <c r="BG3898" s="0" t="b">
        <v>0</v>
      </c>
      <c r="BH3898" s="0">
        <v>44.25</v>
      </c>
      <c r="BI3898" s="0">
        <v>44.25</v>
      </c>
      <c r="BJ3898" s="0" t="s">
        <v>135</v>
      </c>
    </row>
    <row r="3899">
      <c r="A3899" s="0" t="s">
        <v>4157</v>
      </c>
      <c r="B3899" s="0" t="s">
        <v>134</v>
      </c>
      <c r="C3899" s="0" t="s">
        <v>134</v>
      </c>
      <c r="D3899" s="0" t="s">
        <v>135</v>
      </c>
      <c r="E3899" s="0" t="s">
        <v>3</v>
      </c>
      <c r="F3899" s="0" t="s">
        <v>12</v>
      </c>
      <c r="G3899" s="0" t="s">
        <v>8</v>
      </c>
      <c r="H3899" s="0">
        <v>33</v>
      </c>
      <c r="I3899" s="0">
        <v>164.25</v>
      </c>
      <c r="J3899" s="0">
        <v>0</v>
      </c>
      <c r="K3899" s="0">
        <v>1</v>
      </c>
      <c r="L3899" s="0">
        <v>4</v>
      </c>
      <c r="M3899" s="0">
        <v>3</v>
      </c>
      <c r="N3899" s="0">
        <v>0</v>
      </c>
      <c r="O3899" s="0">
        <v>0</v>
      </c>
      <c r="P3899" s="0">
        <v>0</v>
      </c>
      <c r="R3899" s="0" t="b">
        <v>0</v>
      </c>
      <c r="S3899" s="0" t="b">
        <v>1</v>
      </c>
      <c r="T3899" s="68">
        <v>46020.2548263889</v>
      </c>
      <c r="U3899" s="68">
        <v>46031.2916666667</v>
      </c>
      <c r="V3899" s="68">
        <v>0</v>
      </c>
      <c r="W3899" s="0">
        <f>IF(IF(B3899="none",1,IF(B3899="Trialer",1,0))+IF(C3899="Customer",1,IF(C3899="Lost",1,0))=2,1,0)</f>
      </c>
      <c r="X3899" s="0" t="s">
        <v>1461</v>
      </c>
      <c r="Y3899" s="0" t="s">
        <v>243</v>
      </c>
      <c r="AV3899" s="68"/>
      <c r="AW3899" s="68"/>
      <c r="AY3899" s="27"/>
      <c r="BD3899" s="68">
        <v>46054.1666666667</v>
      </c>
      <c r="BE3899" s="68">
        <v>46082.1666666667</v>
      </c>
      <c r="BF3899" s="0" t="b">
        <v>0</v>
      </c>
      <c r="BG3899" s="0" t="b">
        <v>0</v>
      </c>
      <c r="BH3899" s="0">
        <v>164.25</v>
      </c>
      <c r="BI3899" s="0">
        <v>164.25</v>
      </c>
      <c r="BJ3899" s="0" t="s">
        <v>135</v>
      </c>
    </row>
    <row r="3900">
      <c r="A3900" s="0" t="s">
        <v>4158</v>
      </c>
      <c r="B3900" s="0" t="s">
        <v>652</v>
      </c>
      <c r="C3900" s="0" t="s">
        <v>652</v>
      </c>
      <c r="D3900" s="0" t="s">
        <v>135</v>
      </c>
      <c r="E3900" s="0" t="s">
        <v>3</v>
      </c>
      <c r="F3900" s="0" t="s">
        <v>12</v>
      </c>
      <c r="G3900" s="0" t="s">
        <v>8</v>
      </c>
      <c r="H3900" s="0">
        <v>33</v>
      </c>
      <c r="I3900" s="0">
        <v>0</v>
      </c>
      <c r="J3900" s="0">
        <v>0</v>
      </c>
      <c r="K3900" s="0">
        <v>0</v>
      </c>
      <c r="L3900" s="0">
        <v>0</v>
      </c>
      <c r="M3900" s="0">
        <v>0</v>
      </c>
      <c r="N3900" s="0">
        <v>0</v>
      </c>
      <c r="O3900" s="0">
        <v>0</v>
      </c>
      <c r="P3900" s="0">
        <v>0</v>
      </c>
      <c r="R3900" s="0" t="b">
        <v>0</v>
      </c>
      <c r="S3900" s="0" t="b">
        <v>0</v>
      </c>
      <c r="T3900" s="68">
        <v>46020.403587963</v>
      </c>
      <c r="U3900" s="68">
        <v>0</v>
      </c>
      <c r="V3900" s="68">
        <v>46063.1667361111</v>
      </c>
      <c r="W3900" s="0">
        <f>IF(IF(B3900="none",1,IF(B3900="Trialer",1,0))+IF(C3900="Customer",1,IF(C3900="Lost",1,0))=2,1,0)</f>
      </c>
      <c r="X3900" s="0" t="s">
        <v>136</v>
      </c>
      <c r="Y3900" s="0" t="s">
        <v>243</v>
      </c>
      <c r="AV3900" s="68"/>
      <c r="AW3900" s="68"/>
      <c r="AY3900" s="27"/>
      <c r="BD3900" s="68">
        <v>46054.1666666667</v>
      </c>
      <c r="BE3900" s="68">
        <v>46082.1666666667</v>
      </c>
      <c r="BF3900" s="0" t="b">
        <v>0</v>
      </c>
      <c r="BG3900" s="0" t="b">
        <v>0</v>
      </c>
      <c r="BH3900" s="0">
        <v>53.25</v>
      </c>
      <c r="BI3900" s="0">
        <v>53.25</v>
      </c>
      <c r="BJ3900" s="0" t="s">
        <v>135</v>
      </c>
    </row>
    <row r="3901">
      <c r="A3901" s="0" t="s">
        <v>4159</v>
      </c>
      <c r="B3901" s="0" t="s">
        <v>652</v>
      </c>
      <c r="C3901" s="0" t="s">
        <v>652</v>
      </c>
      <c r="D3901" s="0" t="s">
        <v>135</v>
      </c>
      <c r="E3901" s="0" t="s">
        <v>2</v>
      </c>
      <c r="F3901" s="0" t="s">
        <v>12</v>
      </c>
      <c r="G3901" s="0" t="s">
        <v>8</v>
      </c>
      <c r="H3901" s="0">
        <v>33</v>
      </c>
      <c r="I3901" s="0">
        <v>0</v>
      </c>
      <c r="J3901" s="0">
        <v>0</v>
      </c>
      <c r="K3901" s="0">
        <v>0</v>
      </c>
      <c r="L3901" s="0">
        <v>0</v>
      </c>
      <c r="M3901" s="0">
        <v>0</v>
      </c>
      <c r="N3901" s="0">
        <v>0</v>
      </c>
      <c r="O3901" s="0">
        <v>0</v>
      </c>
      <c r="P3901" s="0">
        <v>0</v>
      </c>
      <c r="R3901" s="0" t="b">
        <v>0</v>
      </c>
      <c r="S3901" s="0" t="b">
        <v>0</v>
      </c>
      <c r="T3901" s="68">
        <v>46020.4122916667</v>
      </c>
      <c r="U3901" s="68">
        <v>0</v>
      </c>
      <c r="V3901" s="68">
        <v>46063.1667476852</v>
      </c>
      <c r="W3901" s="0">
        <f>IF(IF(B3901="none",1,IF(B3901="Trialer",1,0))+IF(C3901="Customer",1,IF(C3901="Lost",1,0))=2,1,0)</f>
      </c>
      <c r="X3901" s="0" t="s">
        <v>145</v>
      </c>
      <c r="Y3901" s="0" t="s">
        <v>499</v>
      </c>
      <c r="AV3901" s="68"/>
      <c r="AW3901" s="68"/>
      <c r="AY3901" s="27"/>
      <c r="BD3901" s="68">
        <v>46054.1666666667</v>
      </c>
      <c r="BE3901" s="68">
        <v>46082.1666666667</v>
      </c>
      <c r="BF3901" s="0" t="b">
        <v>0</v>
      </c>
      <c r="BG3901" s="0" t="b">
        <v>0</v>
      </c>
      <c r="BH3901" s="0">
        <v>44.25</v>
      </c>
      <c r="BI3901" s="0">
        <v>44.25</v>
      </c>
      <c r="BJ3901" s="0" t="s">
        <v>135</v>
      </c>
    </row>
    <row r="3902">
      <c r="A3902" s="0" t="s">
        <v>4160</v>
      </c>
      <c r="B3902" s="0" t="s">
        <v>652</v>
      </c>
      <c r="C3902" s="0" t="s">
        <v>652</v>
      </c>
      <c r="D3902" s="0" t="s">
        <v>135</v>
      </c>
      <c r="E3902" s="0" t="s">
        <v>3</v>
      </c>
      <c r="F3902" s="0" t="s">
        <v>12</v>
      </c>
      <c r="G3902" s="0" t="s">
        <v>8</v>
      </c>
      <c r="H3902" s="0">
        <v>33</v>
      </c>
      <c r="I3902" s="0">
        <v>0</v>
      </c>
      <c r="J3902" s="0">
        <v>0</v>
      </c>
      <c r="K3902" s="0">
        <v>0</v>
      </c>
      <c r="L3902" s="0">
        <v>0</v>
      </c>
      <c r="M3902" s="0">
        <v>0</v>
      </c>
      <c r="N3902" s="0">
        <v>0</v>
      </c>
      <c r="O3902" s="0">
        <v>0</v>
      </c>
      <c r="P3902" s="0">
        <v>0</v>
      </c>
      <c r="R3902" s="0" t="b">
        <v>0</v>
      </c>
      <c r="S3902" s="0" t="b">
        <v>0</v>
      </c>
      <c r="T3902" s="68">
        <v>46020.455162037</v>
      </c>
      <c r="U3902" s="68">
        <v>0</v>
      </c>
      <c r="V3902" s="68">
        <v>46063.1667708333</v>
      </c>
      <c r="W3902" s="0">
        <f>IF(IF(B3902="none",1,IF(B3902="Trialer",1,0))+IF(C3902="Customer",1,IF(C3902="Lost",1,0))=2,1,0)</f>
      </c>
      <c r="X3902" s="0" t="s">
        <v>148</v>
      </c>
      <c r="Y3902" s="0" t="s">
        <v>243</v>
      </c>
      <c r="AV3902" s="68"/>
      <c r="AW3902" s="68"/>
      <c r="AY3902" s="27"/>
      <c r="BD3902" s="68">
        <v>46054.1666666667</v>
      </c>
      <c r="BE3902" s="68">
        <v>46082.1666666667</v>
      </c>
      <c r="BF3902" s="0" t="b">
        <v>0</v>
      </c>
      <c r="BG3902" s="0" t="b">
        <v>0</v>
      </c>
      <c r="BH3902" s="0">
        <v>44.25</v>
      </c>
      <c r="BI3902" s="0">
        <v>44.25</v>
      </c>
      <c r="BJ3902" s="0" t="s">
        <v>135</v>
      </c>
    </row>
    <row r="3903">
      <c r="A3903" s="0" t="s">
        <v>4161</v>
      </c>
      <c r="B3903" s="0" t="s">
        <v>652</v>
      </c>
      <c r="C3903" s="0" t="s">
        <v>652</v>
      </c>
      <c r="D3903" s="0" t="s">
        <v>135</v>
      </c>
      <c r="E3903" s="0" t="s">
        <v>2414</v>
      </c>
      <c r="F3903" s="0" t="s">
        <v>12</v>
      </c>
      <c r="G3903" s="0" t="s">
        <v>8</v>
      </c>
      <c r="H3903" s="0">
        <v>33</v>
      </c>
      <c r="I3903" s="0">
        <v>0</v>
      </c>
      <c r="J3903" s="0">
        <v>0</v>
      </c>
      <c r="K3903" s="0">
        <v>0</v>
      </c>
      <c r="L3903" s="0">
        <v>0</v>
      </c>
      <c r="M3903" s="0">
        <v>0</v>
      </c>
      <c r="N3903" s="0">
        <v>0</v>
      </c>
      <c r="O3903" s="0">
        <v>0</v>
      </c>
      <c r="P3903" s="0">
        <v>0</v>
      </c>
      <c r="R3903" s="0" t="b">
        <v>0</v>
      </c>
      <c r="S3903" s="0" t="b">
        <v>0</v>
      </c>
      <c r="T3903" s="68">
        <v>46020.4772569444</v>
      </c>
      <c r="U3903" s="68">
        <v>0</v>
      </c>
      <c r="V3903" s="68">
        <v>46063.1667824074</v>
      </c>
      <c r="W3903" s="0">
        <f>IF(IF(B3903="none",1,IF(B3903="Trialer",1,0))+IF(C3903="Customer",1,IF(C3903="Lost",1,0))=2,1,0)</f>
      </c>
      <c r="X3903" s="0" t="s">
        <v>145</v>
      </c>
      <c r="Y3903" s="0" t="s">
        <v>1516</v>
      </c>
      <c r="AV3903" s="68"/>
      <c r="AW3903" s="68"/>
      <c r="AY3903" s="27"/>
      <c r="BD3903" s="68">
        <v>46054.1666666667</v>
      </c>
      <c r="BE3903" s="68">
        <v>46082.1666666667</v>
      </c>
      <c r="BF3903" s="0" t="b">
        <v>0</v>
      </c>
      <c r="BG3903" s="0" t="b">
        <v>0</v>
      </c>
      <c r="BH3903" s="0">
        <v>44.25</v>
      </c>
      <c r="BI3903" s="0">
        <v>44.25</v>
      </c>
      <c r="BJ3903" s="0" t="s">
        <v>135</v>
      </c>
    </row>
    <row r="3904">
      <c r="A3904" s="0" t="s">
        <v>4162</v>
      </c>
      <c r="B3904" s="0" t="s">
        <v>652</v>
      </c>
      <c r="C3904" s="0" t="s">
        <v>652</v>
      </c>
      <c r="D3904" s="0" t="s">
        <v>135</v>
      </c>
      <c r="E3904" s="0" t="s">
        <v>3</v>
      </c>
      <c r="F3904" s="0" t="s">
        <v>12</v>
      </c>
      <c r="G3904" s="0" t="s">
        <v>8</v>
      </c>
      <c r="H3904" s="0">
        <v>33</v>
      </c>
      <c r="I3904" s="0">
        <v>0</v>
      </c>
      <c r="J3904" s="0">
        <v>0</v>
      </c>
      <c r="K3904" s="0">
        <v>0</v>
      </c>
      <c r="L3904" s="0">
        <v>0</v>
      </c>
      <c r="M3904" s="0">
        <v>0</v>
      </c>
      <c r="N3904" s="0">
        <v>0</v>
      </c>
      <c r="O3904" s="0">
        <v>0</v>
      </c>
      <c r="P3904" s="0">
        <v>0</v>
      </c>
      <c r="R3904" s="0" t="b">
        <v>0</v>
      </c>
      <c r="S3904" s="0" t="b">
        <v>0</v>
      </c>
      <c r="T3904" s="68">
        <v>46020.5122685185</v>
      </c>
      <c r="U3904" s="68">
        <v>0</v>
      </c>
      <c r="V3904" s="68">
        <v>46063.1668171296</v>
      </c>
      <c r="W3904" s="0">
        <f>IF(IF(B3904="none",1,IF(B3904="Trialer",1,0))+IF(C3904="Customer",1,IF(C3904="Lost",1,0))=2,1,0)</f>
      </c>
      <c r="X3904" s="0" t="s">
        <v>145</v>
      </c>
      <c r="Y3904" s="0" t="s">
        <v>243</v>
      </c>
      <c r="AV3904" s="68"/>
      <c r="AW3904" s="68"/>
      <c r="AY3904" s="27"/>
      <c r="BD3904" s="68">
        <v>46054.1666666667</v>
      </c>
      <c r="BE3904" s="68">
        <v>46082.1666666667</v>
      </c>
      <c r="BF3904" s="0" t="b">
        <v>0</v>
      </c>
      <c r="BG3904" s="0" t="b">
        <v>0</v>
      </c>
      <c r="BH3904" s="0">
        <v>159.75</v>
      </c>
      <c r="BI3904" s="0">
        <v>159.75</v>
      </c>
      <c r="BJ3904" s="0" t="s">
        <v>135</v>
      </c>
    </row>
    <row r="3905">
      <c r="A3905" s="0" t="s">
        <v>4163</v>
      </c>
      <c r="B3905" s="0" t="s">
        <v>134</v>
      </c>
      <c r="C3905" s="0" t="s">
        <v>134</v>
      </c>
      <c r="D3905" s="0" t="s">
        <v>135</v>
      </c>
      <c r="E3905" s="0" t="s">
        <v>3</v>
      </c>
      <c r="F3905" s="0" t="s">
        <v>12</v>
      </c>
      <c r="G3905" s="0" t="s">
        <v>8</v>
      </c>
      <c r="H3905" s="0">
        <v>33</v>
      </c>
      <c r="I3905" s="0">
        <v>354</v>
      </c>
      <c r="J3905" s="0">
        <v>0</v>
      </c>
      <c r="K3905" s="0">
        <v>1</v>
      </c>
      <c r="L3905" s="0">
        <v>3</v>
      </c>
      <c r="M3905" s="0">
        <v>8</v>
      </c>
      <c r="N3905" s="0">
        <v>0</v>
      </c>
      <c r="O3905" s="0">
        <v>0</v>
      </c>
      <c r="P3905" s="0">
        <v>0</v>
      </c>
      <c r="R3905" s="0" t="b">
        <v>0</v>
      </c>
      <c r="S3905" s="0" t="b">
        <v>0</v>
      </c>
      <c r="T3905" s="68">
        <v>46020.5836111111</v>
      </c>
      <c r="U3905" s="68">
        <v>46031.2916666667</v>
      </c>
      <c r="V3905" s="68">
        <v>46083.5196875</v>
      </c>
      <c r="W3905" s="0">
        <f>IF(IF(B3905="none",1,IF(B3905="Trialer",1,0))+IF(C3905="Customer",1,IF(C3905="Lost",1,0))=2,1,0)</f>
      </c>
      <c r="X3905" s="0" t="s">
        <v>145</v>
      </c>
      <c r="Y3905" s="0" t="s">
        <v>243</v>
      </c>
      <c r="AV3905" s="68"/>
      <c r="AW3905" s="68"/>
      <c r="AY3905" s="27"/>
      <c r="BD3905" s="68">
        <v>46054.1666666667</v>
      </c>
      <c r="BE3905" s="68">
        <v>46082.1666666667</v>
      </c>
      <c r="BF3905" s="0" t="b">
        <v>0</v>
      </c>
      <c r="BG3905" s="0" t="b">
        <v>0</v>
      </c>
      <c r="BH3905" s="0">
        <v>354</v>
      </c>
      <c r="BI3905" s="0">
        <v>354</v>
      </c>
      <c r="BJ3905" s="0" t="s">
        <v>135</v>
      </c>
    </row>
    <row r="3906">
      <c r="A3906" s="0" t="s">
        <v>4164</v>
      </c>
      <c r="B3906" s="0" t="s">
        <v>134</v>
      </c>
      <c r="C3906" s="0" t="s">
        <v>134</v>
      </c>
      <c r="D3906" s="0" t="s">
        <v>135</v>
      </c>
      <c r="E3906" s="0" t="s">
        <v>3</v>
      </c>
      <c r="F3906" s="0" t="s">
        <v>12</v>
      </c>
      <c r="G3906" s="0" t="s">
        <v>8</v>
      </c>
      <c r="H3906" s="0">
        <v>33</v>
      </c>
      <c r="I3906" s="0">
        <v>94.5</v>
      </c>
      <c r="J3906" s="0">
        <v>0</v>
      </c>
      <c r="K3906" s="0">
        <v>1</v>
      </c>
      <c r="L3906" s="0">
        <v>3</v>
      </c>
      <c r="M3906" s="0">
        <v>2</v>
      </c>
      <c r="N3906" s="0">
        <v>0</v>
      </c>
      <c r="O3906" s="0">
        <v>0</v>
      </c>
      <c r="P3906" s="0">
        <v>0</v>
      </c>
      <c r="R3906" s="0" t="b">
        <v>0</v>
      </c>
      <c r="S3906" s="0" t="b">
        <v>1</v>
      </c>
      <c r="T3906" s="68">
        <v>46020.631087963</v>
      </c>
      <c r="U3906" s="68">
        <v>46034.2916666667</v>
      </c>
      <c r="V3906" s="68">
        <v>0</v>
      </c>
      <c r="W3906" s="0">
        <f>IF(IF(B3906="none",1,IF(B3906="Trialer",1,0))+IF(C3906="Customer",1,IF(C3906="Lost",1,0))=2,1,0)</f>
      </c>
      <c r="X3906" s="0" t="s">
        <v>1461</v>
      </c>
      <c r="Y3906" s="0" t="s">
        <v>243</v>
      </c>
      <c r="AV3906" s="68"/>
      <c r="AW3906" s="68"/>
      <c r="AY3906" s="27"/>
      <c r="BD3906" s="68">
        <v>46054.1666666667</v>
      </c>
      <c r="BE3906" s="68">
        <v>46082.1666666667</v>
      </c>
      <c r="BF3906" s="0" t="b">
        <v>0</v>
      </c>
      <c r="BG3906" s="0" t="b">
        <v>0</v>
      </c>
      <c r="BH3906" s="0">
        <v>94.5</v>
      </c>
      <c r="BI3906" s="0">
        <v>94.5</v>
      </c>
      <c r="BJ3906" s="0" t="s">
        <v>135</v>
      </c>
    </row>
    <row r="3907">
      <c r="A3907" s="0" t="s">
        <v>4165</v>
      </c>
      <c r="B3907" s="0" t="s">
        <v>652</v>
      </c>
      <c r="C3907" s="0" t="s">
        <v>652</v>
      </c>
      <c r="D3907" s="0" t="s">
        <v>135</v>
      </c>
      <c r="E3907" s="0" t="s">
        <v>3</v>
      </c>
      <c r="F3907" s="0" t="s">
        <v>12</v>
      </c>
      <c r="G3907" s="0" t="s">
        <v>8</v>
      </c>
      <c r="H3907" s="0">
        <v>33</v>
      </c>
      <c r="I3907" s="0">
        <v>0</v>
      </c>
      <c r="J3907" s="0">
        <v>0</v>
      </c>
      <c r="K3907" s="0">
        <v>0</v>
      </c>
      <c r="L3907" s="0">
        <v>0</v>
      </c>
      <c r="M3907" s="0">
        <v>0</v>
      </c>
      <c r="N3907" s="0">
        <v>0</v>
      </c>
      <c r="O3907" s="0">
        <v>0</v>
      </c>
      <c r="P3907" s="0">
        <v>0</v>
      </c>
      <c r="R3907" s="0" t="b">
        <v>0</v>
      </c>
      <c r="S3907" s="0" t="b">
        <v>0</v>
      </c>
      <c r="T3907" s="68">
        <v>46020.7847916667</v>
      </c>
      <c r="U3907" s="68">
        <v>0</v>
      </c>
      <c r="V3907" s="68">
        <v>46063.1667939815</v>
      </c>
      <c r="W3907" s="0">
        <f>IF(IF(B3907="none",1,IF(B3907="Trialer",1,0))+IF(C3907="Customer",1,IF(C3907="Lost",1,0))=2,1,0)</f>
      </c>
      <c r="X3907" s="0" t="s">
        <v>145</v>
      </c>
      <c r="Y3907" s="0" t="s">
        <v>243</v>
      </c>
      <c r="AV3907" s="68"/>
      <c r="AW3907" s="68"/>
      <c r="AY3907" s="27"/>
      <c r="BD3907" s="68">
        <v>46054.1666666667</v>
      </c>
      <c r="BE3907" s="68">
        <v>46082.1666666667</v>
      </c>
      <c r="BF3907" s="0" t="b">
        <v>0</v>
      </c>
      <c r="BG3907" s="0" t="b">
        <v>0</v>
      </c>
      <c r="BH3907" s="0">
        <v>88.5</v>
      </c>
      <c r="BI3907" s="0">
        <v>88.5</v>
      </c>
      <c r="BJ3907" s="0" t="s">
        <v>135</v>
      </c>
    </row>
    <row r="3908">
      <c r="A3908" s="0" t="s">
        <v>4166</v>
      </c>
      <c r="B3908" s="0" t="s">
        <v>134</v>
      </c>
      <c r="C3908" s="0" t="s">
        <v>134</v>
      </c>
      <c r="D3908" s="0" t="s">
        <v>135</v>
      </c>
      <c r="E3908" s="0" t="s">
        <v>3</v>
      </c>
      <c r="F3908" s="0" t="s">
        <v>12</v>
      </c>
      <c r="G3908" s="0" t="s">
        <v>8</v>
      </c>
      <c r="H3908" s="0">
        <v>33</v>
      </c>
      <c r="I3908" s="0">
        <v>88.5</v>
      </c>
      <c r="J3908" s="0">
        <v>0</v>
      </c>
      <c r="K3908" s="0">
        <v>1</v>
      </c>
      <c r="L3908" s="0">
        <v>3</v>
      </c>
      <c r="M3908" s="0">
        <v>2</v>
      </c>
      <c r="N3908" s="0">
        <v>0</v>
      </c>
      <c r="O3908" s="0">
        <v>0</v>
      </c>
      <c r="P3908" s="0">
        <v>0</v>
      </c>
      <c r="R3908" s="0" t="b">
        <v>0</v>
      </c>
      <c r="S3908" s="0" t="b">
        <v>1</v>
      </c>
      <c r="T3908" s="68">
        <v>46020.8191203704</v>
      </c>
      <c r="U3908" s="68">
        <v>46035.2916666667</v>
      </c>
      <c r="V3908" s="68">
        <v>0</v>
      </c>
      <c r="W3908" s="0">
        <f>IF(IF(B3908="none",1,IF(B3908="Trialer",1,0))+IF(C3908="Customer",1,IF(C3908="Lost",1,0))=2,1,0)</f>
      </c>
      <c r="X3908" s="0" t="s">
        <v>1461</v>
      </c>
      <c r="Y3908" s="0" t="s">
        <v>243</v>
      </c>
      <c r="AV3908" s="68"/>
      <c r="AW3908" s="68"/>
      <c r="AY3908" s="27"/>
      <c r="BD3908" s="68">
        <v>46054.1666666667</v>
      </c>
      <c r="BE3908" s="68">
        <v>46082.1666666667</v>
      </c>
      <c r="BF3908" s="0" t="b">
        <v>0</v>
      </c>
      <c r="BG3908" s="0" t="b">
        <v>0</v>
      </c>
      <c r="BH3908" s="0">
        <v>88.5</v>
      </c>
      <c r="BI3908" s="0">
        <v>88.5</v>
      </c>
      <c r="BJ3908" s="0" t="s">
        <v>135</v>
      </c>
    </row>
    <row r="3909">
      <c r="A3909" s="0" t="s">
        <v>4167</v>
      </c>
      <c r="B3909" s="0" t="s">
        <v>652</v>
      </c>
      <c r="C3909" s="0" t="s">
        <v>652</v>
      </c>
      <c r="D3909" s="0" t="s">
        <v>135</v>
      </c>
      <c r="E3909" s="0" t="s">
        <v>3</v>
      </c>
      <c r="F3909" s="0" t="s">
        <v>12</v>
      </c>
      <c r="G3909" s="0" t="s">
        <v>8</v>
      </c>
      <c r="H3909" s="0">
        <v>33</v>
      </c>
      <c r="I3909" s="0">
        <v>0</v>
      </c>
      <c r="J3909" s="0">
        <v>0</v>
      </c>
      <c r="K3909" s="0">
        <v>0</v>
      </c>
      <c r="L3909" s="0">
        <v>0</v>
      </c>
      <c r="M3909" s="0">
        <v>0</v>
      </c>
      <c r="N3909" s="0">
        <v>0</v>
      </c>
      <c r="O3909" s="0">
        <v>0</v>
      </c>
      <c r="P3909" s="0">
        <v>0</v>
      </c>
      <c r="R3909" s="0" t="b">
        <v>0</v>
      </c>
      <c r="S3909" s="0" t="b">
        <v>0</v>
      </c>
      <c r="T3909" s="68">
        <v>46020.918125</v>
      </c>
      <c r="U3909" s="68">
        <v>0</v>
      </c>
      <c r="V3909" s="68">
        <v>46063.1668055556</v>
      </c>
      <c r="W3909" s="0">
        <f>IF(IF(B3909="none",1,IF(B3909="Trialer",1,0))+IF(C3909="Customer",1,IF(C3909="Lost",1,0))=2,1,0)</f>
      </c>
      <c r="X3909" s="0" t="s">
        <v>148</v>
      </c>
      <c r="Y3909" s="0" t="s">
        <v>243</v>
      </c>
      <c r="AV3909" s="68"/>
      <c r="AW3909" s="68"/>
      <c r="AY3909" s="27"/>
      <c r="BD3909" s="68">
        <v>46054.1666666667</v>
      </c>
      <c r="BE3909" s="68">
        <v>46082.1666666667</v>
      </c>
      <c r="BF3909" s="0" t="b">
        <v>0</v>
      </c>
      <c r="BG3909" s="0" t="b">
        <v>0</v>
      </c>
      <c r="BH3909" s="0">
        <v>53.25</v>
      </c>
      <c r="BI3909" s="0">
        <v>53.25</v>
      </c>
      <c r="BJ3909" s="0" t="s">
        <v>135</v>
      </c>
    </row>
    <row r="3910">
      <c r="A3910" s="0" t="s">
        <v>4168</v>
      </c>
      <c r="B3910" s="0" t="s">
        <v>652</v>
      </c>
      <c r="C3910" s="0" t="s">
        <v>652</v>
      </c>
      <c r="D3910" s="0" t="s">
        <v>135</v>
      </c>
      <c r="E3910" s="0" t="s">
        <v>3</v>
      </c>
      <c r="F3910" s="0" t="s">
        <v>12</v>
      </c>
      <c r="G3910" s="0" t="s">
        <v>8</v>
      </c>
      <c r="H3910" s="0">
        <v>32</v>
      </c>
      <c r="I3910" s="0">
        <v>0</v>
      </c>
      <c r="J3910" s="0">
        <v>0</v>
      </c>
      <c r="K3910" s="0">
        <v>0</v>
      </c>
      <c r="L3910" s="0">
        <v>0</v>
      </c>
      <c r="M3910" s="0">
        <v>0</v>
      </c>
      <c r="N3910" s="0">
        <v>0</v>
      </c>
      <c r="O3910" s="0">
        <v>0</v>
      </c>
      <c r="P3910" s="0">
        <v>0</v>
      </c>
      <c r="R3910" s="0" t="b">
        <v>0</v>
      </c>
      <c r="S3910" s="0" t="b">
        <v>0</v>
      </c>
      <c r="T3910" s="68">
        <v>46021.3551273148</v>
      </c>
      <c r="U3910" s="68">
        <v>0</v>
      </c>
      <c r="V3910" s="68">
        <v>46064.1667361111</v>
      </c>
      <c r="W3910" s="0">
        <f>IF(IF(B3910="none",1,IF(B3910="Trialer",1,0))+IF(C3910="Customer",1,IF(C3910="Lost",1,0))=2,1,0)</f>
      </c>
      <c r="X3910" s="0" t="s">
        <v>136</v>
      </c>
      <c r="Y3910" s="0" t="s">
        <v>243</v>
      </c>
      <c r="AV3910" s="68"/>
      <c r="AW3910" s="68"/>
      <c r="AY3910" s="27"/>
      <c r="BD3910" s="68">
        <v>46054.1666666667</v>
      </c>
      <c r="BE3910" s="68">
        <v>46082.1666666667</v>
      </c>
      <c r="BF3910" s="0" t="b">
        <v>0</v>
      </c>
      <c r="BG3910" s="0" t="b">
        <v>0</v>
      </c>
      <c r="BH3910" s="0">
        <v>44.25</v>
      </c>
      <c r="BI3910" s="0">
        <v>44.25</v>
      </c>
      <c r="BJ3910" s="0" t="s">
        <v>135</v>
      </c>
    </row>
    <row r="3911">
      <c r="A3911" s="0" t="s">
        <v>4169</v>
      </c>
      <c r="B3911" s="0" t="s">
        <v>134</v>
      </c>
      <c r="C3911" s="0" t="s">
        <v>134</v>
      </c>
      <c r="D3911" s="0" t="s">
        <v>135</v>
      </c>
      <c r="E3911" s="0" t="s">
        <v>3</v>
      </c>
      <c r="F3911" s="0" t="s">
        <v>10</v>
      </c>
      <c r="G3911" s="0" t="s">
        <v>8</v>
      </c>
      <c r="H3911" s="0">
        <v>32</v>
      </c>
      <c r="I3911" s="0">
        <v>26.25</v>
      </c>
      <c r="J3911" s="0">
        <v>0</v>
      </c>
      <c r="K3911" s="0">
        <v>1</v>
      </c>
      <c r="L3911" s="0">
        <v>1</v>
      </c>
      <c r="M3911" s="0">
        <v>1</v>
      </c>
      <c r="N3911" s="0">
        <v>0</v>
      </c>
      <c r="O3911" s="0">
        <v>0</v>
      </c>
      <c r="P3911" s="0">
        <v>0</v>
      </c>
      <c r="Q3911" s="0" t="s">
        <v>618</v>
      </c>
      <c r="R3911" s="0" t="b">
        <v>0</v>
      </c>
      <c r="S3911" s="0" t="b">
        <v>1</v>
      </c>
      <c r="T3911" s="68">
        <v>46021.3982638889</v>
      </c>
      <c r="U3911" s="68">
        <v>46035.2916666667</v>
      </c>
      <c r="V3911" s="68">
        <v>0</v>
      </c>
      <c r="W3911" s="0">
        <f>IF(IF(B3911="none",1,IF(B3911="Trialer",1,0))+IF(C3911="Customer",1,IF(C3911="Lost",1,0))=2,1,0)</f>
      </c>
      <c r="X3911" s="0" t="s">
        <v>148</v>
      </c>
      <c r="Y3911" s="0" t="s">
        <v>243</v>
      </c>
      <c r="AV3911" s="68"/>
      <c r="AW3911" s="68"/>
      <c r="AY3911" s="27"/>
      <c r="BD3911" s="68">
        <v>46054.1666666667</v>
      </c>
      <c r="BE3911" s="68">
        <v>46082.1666666667</v>
      </c>
      <c r="BF3911" s="0" t="b">
        <v>0</v>
      </c>
      <c r="BG3911" s="0" t="b">
        <v>0</v>
      </c>
      <c r="BH3911" s="0">
        <v>26.25</v>
      </c>
      <c r="BI3911" s="0">
        <v>26.25</v>
      </c>
      <c r="BJ3911" s="0" t="s">
        <v>135</v>
      </c>
    </row>
    <row r="3912">
      <c r="A3912" s="0" t="s">
        <v>4170</v>
      </c>
      <c r="B3912" s="0" t="s">
        <v>652</v>
      </c>
      <c r="C3912" s="0" t="s">
        <v>652</v>
      </c>
      <c r="D3912" s="0" t="s">
        <v>135</v>
      </c>
      <c r="E3912" s="0" t="s">
        <v>3</v>
      </c>
      <c r="F3912" s="0" t="s">
        <v>12</v>
      </c>
      <c r="G3912" s="0" t="s">
        <v>8</v>
      </c>
      <c r="H3912" s="0">
        <v>32</v>
      </c>
      <c r="I3912" s="0">
        <v>0</v>
      </c>
      <c r="J3912" s="0">
        <v>0</v>
      </c>
      <c r="K3912" s="0">
        <v>0</v>
      </c>
      <c r="L3912" s="0">
        <v>0</v>
      </c>
      <c r="M3912" s="0">
        <v>0</v>
      </c>
      <c r="N3912" s="0">
        <v>0</v>
      </c>
      <c r="O3912" s="0">
        <v>0</v>
      </c>
      <c r="P3912" s="0">
        <v>0</v>
      </c>
      <c r="R3912" s="0" t="b">
        <v>0</v>
      </c>
      <c r="S3912" s="0" t="b">
        <v>0</v>
      </c>
      <c r="T3912" s="68">
        <v>46021.4394097222</v>
      </c>
      <c r="U3912" s="68">
        <v>0</v>
      </c>
      <c r="V3912" s="68">
        <v>46064.1667476852</v>
      </c>
      <c r="W3912" s="0">
        <f>IF(IF(B3912="none",1,IF(B3912="Trialer",1,0))+IF(C3912="Customer",1,IF(C3912="Lost",1,0))=2,1,0)</f>
      </c>
      <c r="X3912" s="0" t="s">
        <v>145</v>
      </c>
      <c r="Y3912" s="0" t="s">
        <v>243</v>
      </c>
      <c r="AV3912" s="68"/>
      <c r="AW3912" s="68"/>
      <c r="AY3912" s="27"/>
      <c r="BD3912" s="68">
        <v>46054.1666666667</v>
      </c>
      <c r="BE3912" s="68">
        <v>46082.1666666667</v>
      </c>
      <c r="BF3912" s="0" t="b">
        <v>0</v>
      </c>
      <c r="BG3912" s="0" t="b">
        <v>0</v>
      </c>
      <c r="BH3912" s="0">
        <v>44.25</v>
      </c>
      <c r="BI3912" s="0">
        <v>44.25</v>
      </c>
      <c r="BJ3912" s="0" t="s">
        <v>135</v>
      </c>
    </row>
    <row r="3913">
      <c r="A3913" s="0" t="s">
        <v>4171</v>
      </c>
      <c r="B3913" s="0" t="s">
        <v>134</v>
      </c>
      <c r="C3913" s="0" t="s">
        <v>134</v>
      </c>
      <c r="D3913" s="0" t="s">
        <v>135</v>
      </c>
      <c r="E3913" s="0" t="s">
        <v>3</v>
      </c>
      <c r="F3913" s="0" t="s">
        <v>12</v>
      </c>
      <c r="G3913" s="0" t="s">
        <v>8</v>
      </c>
      <c r="H3913" s="0">
        <v>32</v>
      </c>
      <c r="I3913" s="0">
        <v>105</v>
      </c>
      <c r="J3913" s="0">
        <v>0</v>
      </c>
      <c r="K3913" s="0">
        <v>1</v>
      </c>
      <c r="L3913" s="0">
        <v>1</v>
      </c>
      <c r="M3913" s="0">
        <v>4</v>
      </c>
      <c r="N3913" s="0">
        <v>0</v>
      </c>
      <c r="O3913" s="0">
        <v>0</v>
      </c>
      <c r="P3913" s="0">
        <v>0</v>
      </c>
      <c r="R3913" s="0" t="b">
        <v>0</v>
      </c>
      <c r="S3913" s="0" t="b">
        <v>1</v>
      </c>
      <c r="T3913" s="68">
        <v>46021.4704398148</v>
      </c>
      <c r="U3913" s="68">
        <v>46021.2916666667</v>
      </c>
      <c r="V3913" s="68">
        <v>0</v>
      </c>
      <c r="W3913" s="0">
        <f>IF(IF(B3913="none",1,IF(B3913="Trialer",1,0))+IF(C3913="Customer",1,IF(C3913="Lost",1,0))=2,1,0)</f>
      </c>
      <c r="X3913" s="0" t="s">
        <v>653</v>
      </c>
      <c r="Y3913" s="0" t="s">
        <v>243</v>
      </c>
      <c r="AV3913" s="68"/>
      <c r="AW3913" s="68"/>
      <c r="AY3913" s="27"/>
      <c r="BD3913" s="68">
        <v>46054.1666666667</v>
      </c>
      <c r="BE3913" s="68">
        <v>46082.1666666667</v>
      </c>
      <c r="BF3913" s="0" t="b">
        <v>0</v>
      </c>
      <c r="BG3913" s="0" t="b">
        <v>0</v>
      </c>
      <c r="BH3913" s="0">
        <v>78.75</v>
      </c>
      <c r="BI3913" s="0">
        <v>78.75</v>
      </c>
      <c r="BJ3913" s="0" t="s">
        <v>135</v>
      </c>
    </row>
    <row r="3914">
      <c r="A3914" s="0" t="s">
        <v>4172</v>
      </c>
      <c r="B3914" s="0" t="s">
        <v>134</v>
      </c>
      <c r="C3914" s="0" t="s">
        <v>134</v>
      </c>
      <c r="D3914" s="0" t="s">
        <v>135</v>
      </c>
      <c r="E3914" s="0" t="s">
        <v>3</v>
      </c>
      <c r="F3914" s="0" t="s">
        <v>12</v>
      </c>
      <c r="G3914" s="0" t="s">
        <v>8</v>
      </c>
      <c r="H3914" s="0">
        <v>32</v>
      </c>
      <c r="I3914" s="0">
        <v>44.25</v>
      </c>
      <c r="J3914" s="0">
        <v>0</v>
      </c>
      <c r="K3914" s="0">
        <v>1</v>
      </c>
      <c r="L3914" s="0">
        <v>3</v>
      </c>
      <c r="M3914" s="0">
        <v>1</v>
      </c>
      <c r="N3914" s="0">
        <v>0</v>
      </c>
      <c r="O3914" s="0">
        <v>0</v>
      </c>
      <c r="P3914" s="0">
        <v>0</v>
      </c>
      <c r="R3914" s="0" t="b">
        <v>0</v>
      </c>
      <c r="S3914" s="0" t="b">
        <v>1</v>
      </c>
      <c r="T3914" s="68">
        <v>46021.4797685185</v>
      </c>
      <c r="U3914" s="68">
        <v>46035.2916666667</v>
      </c>
      <c r="V3914" s="68">
        <v>0</v>
      </c>
      <c r="W3914" s="0">
        <f>IF(IF(B3914="none",1,IF(B3914="Trialer",1,0))+IF(C3914="Customer",1,IF(C3914="Lost",1,0))=2,1,0)</f>
      </c>
      <c r="X3914" s="0" t="s">
        <v>1461</v>
      </c>
      <c r="Y3914" s="0" t="s">
        <v>243</v>
      </c>
      <c r="AV3914" s="68"/>
      <c r="AW3914" s="68"/>
      <c r="AY3914" s="27"/>
      <c r="BD3914" s="68">
        <v>46054.1666666667</v>
      </c>
      <c r="BE3914" s="68">
        <v>46082.1666666667</v>
      </c>
      <c r="BF3914" s="0" t="b">
        <v>0</v>
      </c>
      <c r="BG3914" s="0" t="b">
        <v>0</v>
      </c>
      <c r="BH3914" s="0">
        <v>44.25</v>
      </c>
      <c r="BI3914" s="0">
        <v>44.25</v>
      </c>
      <c r="BJ3914" s="0" t="s">
        <v>135</v>
      </c>
    </row>
    <row r="3915">
      <c r="A3915" s="0" t="s">
        <v>4173</v>
      </c>
      <c r="B3915" s="0" t="s">
        <v>652</v>
      </c>
      <c r="C3915" s="0" t="s">
        <v>652</v>
      </c>
      <c r="D3915" s="0" t="s">
        <v>135</v>
      </c>
      <c r="E3915" s="0" t="s">
        <v>3</v>
      </c>
      <c r="F3915" s="0" t="s">
        <v>12</v>
      </c>
      <c r="G3915" s="0" t="s">
        <v>8</v>
      </c>
      <c r="H3915" s="0">
        <v>32</v>
      </c>
      <c r="I3915" s="0">
        <v>0</v>
      </c>
      <c r="J3915" s="0">
        <v>0</v>
      </c>
      <c r="K3915" s="0">
        <v>0</v>
      </c>
      <c r="L3915" s="0">
        <v>0</v>
      </c>
      <c r="M3915" s="0">
        <v>0</v>
      </c>
      <c r="N3915" s="0">
        <v>0</v>
      </c>
      <c r="O3915" s="0">
        <v>0</v>
      </c>
      <c r="P3915" s="0">
        <v>0</v>
      </c>
      <c r="R3915" s="0" t="b">
        <v>0</v>
      </c>
      <c r="S3915" s="0" t="b">
        <v>0</v>
      </c>
      <c r="T3915" s="68">
        <v>46021.5828125</v>
      </c>
      <c r="U3915" s="68">
        <v>0</v>
      </c>
      <c r="V3915" s="68">
        <v>46064.1667708333</v>
      </c>
      <c r="W3915" s="0">
        <f>IF(IF(B3915="none",1,IF(B3915="Trialer",1,0))+IF(C3915="Customer",1,IF(C3915="Lost",1,0))=2,1,0)</f>
      </c>
      <c r="X3915" s="0" t="s">
        <v>145</v>
      </c>
      <c r="Y3915" s="0" t="s">
        <v>243</v>
      </c>
      <c r="AV3915" s="68"/>
      <c r="AW3915" s="68"/>
      <c r="AY3915" s="27"/>
      <c r="BD3915" s="68">
        <v>46054.1666666667</v>
      </c>
      <c r="BE3915" s="68">
        <v>46082.1666666667</v>
      </c>
      <c r="BF3915" s="0" t="b">
        <v>0</v>
      </c>
      <c r="BG3915" s="0" t="b">
        <v>0</v>
      </c>
      <c r="BH3915" s="0">
        <v>72.75</v>
      </c>
      <c r="BI3915" s="0">
        <v>72.75</v>
      </c>
      <c r="BJ3915" s="0" t="s">
        <v>135</v>
      </c>
    </row>
    <row r="3916">
      <c r="A3916" s="0" t="s">
        <v>4174</v>
      </c>
      <c r="B3916" s="0" t="s">
        <v>652</v>
      </c>
      <c r="C3916" s="0" t="s">
        <v>652</v>
      </c>
      <c r="D3916" s="0" t="s">
        <v>135</v>
      </c>
      <c r="E3916" s="0" t="s">
        <v>2</v>
      </c>
      <c r="F3916" s="0" t="s">
        <v>12</v>
      </c>
      <c r="G3916" s="0" t="s">
        <v>8</v>
      </c>
      <c r="H3916" s="0">
        <v>32</v>
      </c>
      <c r="I3916" s="0">
        <v>0</v>
      </c>
      <c r="J3916" s="0">
        <v>0</v>
      </c>
      <c r="K3916" s="0">
        <v>0</v>
      </c>
      <c r="L3916" s="0">
        <v>0</v>
      </c>
      <c r="M3916" s="0">
        <v>0</v>
      </c>
      <c r="N3916" s="0">
        <v>0</v>
      </c>
      <c r="O3916" s="0">
        <v>0</v>
      </c>
      <c r="P3916" s="0">
        <v>0</v>
      </c>
      <c r="R3916" s="0" t="b">
        <v>0</v>
      </c>
      <c r="S3916" s="0" t="b">
        <v>0</v>
      </c>
      <c r="T3916" s="68">
        <v>46021.6198032407</v>
      </c>
      <c r="U3916" s="68">
        <v>0</v>
      </c>
      <c r="V3916" s="68">
        <v>46063.3796875</v>
      </c>
      <c r="W3916" s="0">
        <f>IF(IF(B3916="none",1,IF(B3916="Trialer",1,0))+IF(C3916="Customer",1,IF(C3916="Lost",1,0))=2,1,0)</f>
      </c>
      <c r="X3916" s="0" t="s">
        <v>136</v>
      </c>
      <c r="Y3916" s="0" t="s">
        <v>499</v>
      </c>
      <c r="AV3916" s="68"/>
      <c r="AW3916" s="68"/>
      <c r="AY3916" s="27"/>
      <c r="BD3916" s="68">
        <v>46054.1666666667</v>
      </c>
      <c r="BE3916" s="68">
        <v>46082.1666666667</v>
      </c>
      <c r="BF3916" s="0" t="b">
        <v>0</v>
      </c>
      <c r="BG3916" s="0" t="b">
        <v>0</v>
      </c>
      <c r="BH3916" s="0">
        <v>53.25</v>
      </c>
      <c r="BI3916" s="0">
        <v>53.25</v>
      </c>
      <c r="BJ3916" s="0" t="s">
        <v>135</v>
      </c>
    </row>
    <row r="3917">
      <c r="A3917" s="0" t="s">
        <v>4175</v>
      </c>
      <c r="B3917" s="0" t="s">
        <v>652</v>
      </c>
      <c r="C3917" s="0" t="s">
        <v>652</v>
      </c>
      <c r="D3917" s="0" t="s">
        <v>135</v>
      </c>
      <c r="E3917" s="0" t="s">
        <v>3</v>
      </c>
      <c r="F3917" s="0" t="s">
        <v>12</v>
      </c>
      <c r="G3917" s="0" t="s">
        <v>8</v>
      </c>
      <c r="H3917" s="0">
        <v>32</v>
      </c>
      <c r="I3917" s="0">
        <v>0</v>
      </c>
      <c r="J3917" s="0">
        <v>0</v>
      </c>
      <c r="K3917" s="0">
        <v>0</v>
      </c>
      <c r="L3917" s="0">
        <v>0</v>
      </c>
      <c r="M3917" s="0">
        <v>0</v>
      </c>
      <c r="N3917" s="0">
        <v>0</v>
      </c>
      <c r="O3917" s="0">
        <v>0</v>
      </c>
      <c r="P3917" s="0">
        <v>0</v>
      </c>
      <c r="R3917" s="0" t="b">
        <v>0</v>
      </c>
      <c r="S3917" s="0" t="b">
        <v>0</v>
      </c>
      <c r="T3917" s="68">
        <v>46021.6429513889</v>
      </c>
      <c r="U3917" s="68">
        <v>0</v>
      </c>
      <c r="V3917" s="68">
        <v>46082.1668634259</v>
      </c>
      <c r="W3917" s="0">
        <f>IF(IF(B3917="none",1,IF(B3917="Trialer",1,0))+IF(C3917="Customer",1,IF(C3917="Lost",1,0))=2,1,0)</f>
      </c>
      <c r="X3917" s="0" t="s">
        <v>136</v>
      </c>
      <c r="Y3917" s="0" t="s">
        <v>243</v>
      </c>
      <c r="AV3917" s="68"/>
      <c r="AW3917" s="68"/>
      <c r="AY3917" s="27"/>
      <c r="BD3917" s="68">
        <v>46054.1666666667</v>
      </c>
      <c r="BE3917" s="68">
        <v>46082.1666666667</v>
      </c>
      <c r="BF3917" s="0" t="b">
        <v>0</v>
      </c>
      <c r="BG3917" s="0" t="b">
        <v>0</v>
      </c>
      <c r="BH3917" s="0">
        <v>393</v>
      </c>
      <c r="BI3917" s="0">
        <v>393</v>
      </c>
      <c r="BJ3917" s="0" t="s">
        <v>135</v>
      </c>
    </row>
    <row r="3918">
      <c r="A3918" s="0" t="s">
        <v>4176</v>
      </c>
      <c r="B3918" s="0" t="s">
        <v>652</v>
      </c>
      <c r="C3918" s="0" t="s">
        <v>652</v>
      </c>
      <c r="D3918" s="0" t="s">
        <v>135</v>
      </c>
      <c r="E3918" s="0" t="s">
        <v>2</v>
      </c>
      <c r="F3918" s="0" t="s">
        <v>12</v>
      </c>
      <c r="G3918" s="0" t="s">
        <v>8</v>
      </c>
      <c r="H3918" s="0">
        <v>32</v>
      </c>
      <c r="I3918" s="0">
        <v>0</v>
      </c>
      <c r="J3918" s="0">
        <v>0</v>
      </c>
      <c r="K3918" s="0">
        <v>0</v>
      </c>
      <c r="L3918" s="0">
        <v>0</v>
      </c>
      <c r="M3918" s="0">
        <v>0</v>
      </c>
      <c r="N3918" s="0">
        <v>0</v>
      </c>
      <c r="O3918" s="0">
        <v>0</v>
      </c>
      <c r="P3918" s="0">
        <v>0</v>
      </c>
      <c r="R3918" s="0" t="b">
        <v>0</v>
      </c>
      <c r="S3918" s="0" t="b">
        <v>0</v>
      </c>
      <c r="T3918" s="68">
        <v>46021.6615972222</v>
      </c>
      <c r="U3918" s="68">
        <v>0</v>
      </c>
      <c r="V3918" s="68">
        <v>46064.1667939815</v>
      </c>
      <c r="W3918" s="0">
        <f>IF(IF(B3918="none",1,IF(B3918="Trialer",1,0))+IF(C3918="Customer",1,IF(C3918="Lost",1,0))=2,1,0)</f>
      </c>
      <c r="X3918" s="0" t="s">
        <v>145</v>
      </c>
      <c r="Y3918" s="0" t="s">
        <v>499</v>
      </c>
      <c r="AV3918" s="68"/>
      <c r="AW3918" s="68"/>
      <c r="AY3918" s="27"/>
      <c r="BD3918" s="68">
        <v>46054.1666666667</v>
      </c>
      <c r="BE3918" s="68">
        <v>46082.1666666667</v>
      </c>
      <c r="BF3918" s="0" t="b">
        <v>0</v>
      </c>
      <c r="BG3918" s="0" t="b">
        <v>0</v>
      </c>
      <c r="BH3918" s="0">
        <v>44.25</v>
      </c>
      <c r="BI3918" s="0">
        <v>44.25</v>
      </c>
      <c r="BJ3918" s="0" t="s">
        <v>135</v>
      </c>
    </row>
    <row r="3919">
      <c r="A3919" s="0" t="s">
        <v>4177</v>
      </c>
      <c r="B3919" s="0" t="s">
        <v>652</v>
      </c>
      <c r="C3919" s="0" t="s">
        <v>652</v>
      </c>
      <c r="D3919" s="0" t="s">
        <v>135</v>
      </c>
      <c r="E3919" s="0" t="s">
        <v>3</v>
      </c>
      <c r="F3919" s="0" t="s">
        <v>12</v>
      </c>
      <c r="G3919" s="0" t="s">
        <v>8</v>
      </c>
      <c r="H3919" s="0">
        <v>32</v>
      </c>
      <c r="I3919" s="0">
        <v>0</v>
      </c>
      <c r="J3919" s="0">
        <v>0</v>
      </c>
      <c r="K3919" s="0">
        <v>0</v>
      </c>
      <c r="L3919" s="0">
        <v>0</v>
      </c>
      <c r="M3919" s="0">
        <v>0</v>
      </c>
      <c r="N3919" s="0">
        <v>0</v>
      </c>
      <c r="O3919" s="0">
        <v>0</v>
      </c>
      <c r="P3919" s="0">
        <v>0</v>
      </c>
      <c r="R3919" s="0" t="b">
        <v>0</v>
      </c>
      <c r="S3919" s="0" t="b">
        <v>0</v>
      </c>
      <c r="T3919" s="68">
        <v>46021.6832638889</v>
      </c>
      <c r="U3919" s="68">
        <v>0</v>
      </c>
      <c r="V3919" s="68">
        <v>46064.1667708333</v>
      </c>
      <c r="W3919" s="0">
        <f>IF(IF(B3919="none",1,IF(B3919="Trialer",1,0))+IF(C3919="Customer",1,IF(C3919="Lost",1,0))=2,1,0)</f>
      </c>
      <c r="X3919" s="0" t="s">
        <v>136</v>
      </c>
      <c r="Y3919" s="0" t="s">
        <v>243</v>
      </c>
      <c r="AV3919" s="68"/>
      <c r="AW3919" s="68"/>
      <c r="AY3919" s="27"/>
      <c r="BD3919" s="68">
        <v>46054.1666666667</v>
      </c>
      <c r="BE3919" s="68">
        <v>46082.1666666667</v>
      </c>
      <c r="BF3919" s="0" t="b">
        <v>0</v>
      </c>
      <c r="BG3919" s="0" t="b">
        <v>0</v>
      </c>
      <c r="BH3919" s="0">
        <v>44.25</v>
      </c>
      <c r="BI3919" s="0">
        <v>44.25</v>
      </c>
      <c r="BJ3919" s="0" t="s">
        <v>135</v>
      </c>
    </row>
    <row r="3920">
      <c r="A3920" s="0" t="s">
        <v>4178</v>
      </c>
      <c r="B3920" s="0" t="s">
        <v>134</v>
      </c>
      <c r="C3920" s="0" t="s">
        <v>134</v>
      </c>
      <c r="D3920" s="0" t="s">
        <v>135</v>
      </c>
      <c r="E3920" s="0" t="s">
        <v>3</v>
      </c>
      <c r="F3920" s="0" t="s">
        <v>11</v>
      </c>
      <c r="G3920" s="0" t="s">
        <v>8</v>
      </c>
      <c r="H3920" s="0">
        <v>32</v>
      </c>
      <c r="I3920" s="0">
        <v>117.6</v>
      </c>
      <c r="J3920" s="0">
        <v>0</v>
      </c>
      <c r="K3920" s="0">
        <v>1</v>
      </c>
      <c r="L3920" s="0">
        <v>3</v>
      </c>
      <c r="M3920" s="0">
        <v>3</v>
      </c>
      <c r="N3920" s="0">
        <v>0</v>
      </c>
      <c r="O3920" s="0">
        <v>0</v>
      </c>
      <c r="P3920" s="0">
        <v>0</v>
      </c>
      <c r="Q3920" s="0" t="s">
        <v>1743</v>
      </c>
      <c r="R3920" s="0" t="b">
        <v>1</v>
      </c>
      <c r="S3920" s="0" t="b">
        <v>1</v>
      </c>
      <c r="T3920" s="68">
        <v>46021.7321412037</v>
      </c>
      <c r="U3920" s="68">
        <v>46021.2916666667</v>
      </c>
      <c r="V3920" s="68">
        <v>0</v>
      </c>
      <c r="W3920" s="0">
        <f>IF(IF(B3920="none",1,IF(B3920="Trialer",1,0))+IF(C3920="Customer",1,IF(C3920="Lost",1,0))=2,1,0)</f>
      </c>
      <c r="X3920" s="0" t="s">
        <v>145</v>
      </c>
      <c r="Y3920" s="0" t="s">
        <v>243</v>
      </c>
      <c r="AV3920" s="68"/>
      <c r="AW3920" s="68"/>
      <c r="AY3920" s="27"/>
      <c r="BD3920" s="68">
        <v>46054.1666666667</v>
      </c>
      <c r="BE3920" s="68">
        <v>46082.1666666667</v>
      </c>
      <c r="BF3920" s="0" t="b">
        <v>0</v>
      </c>
      <c r="BG3920" s="0" t="b">
        <v>0</v>
      </c>
      <c r="BH3920" s="0">
        <v>156.8</v>
      </c>
      <c r="BI3920" s="0">
        <v>156.8</v>
      </c>
      <c r="BJ3920" s="0" t="s">
        <v>135</v>
      </c>
    </row>
    <row r="3921">
      <c r="A3921" s="0" t="s">
        <v>4179</v>
      </c>
      <c r="B3921" s="0" t="s">
        <v>652</v>
      </c>
      <c r="C3921" s="0" t="s">
        <v>652</v>
      </c>
      <c r="D3921" s="0" t="s">
        <v>135</v>
      </c>
      <c r="E3921" s="0" t="s">
        <v>3</v>
      </c>
      <c r="F3921" s="0" t="s">
        <v>12</v>
      </c>
      <c r="G3921" s="0" t="s">
        <v>8</v>
      </c>
      <c r="H3921" s="0">
        <v>32</v>
      </c>
      <c r="I3921" s="0">
        <v>0</v>
      </c>
      <c r="J3921" s="0">
        <v>0</v>
      </c>
      <c r="K3921" s="0">
        <v>0</v>
      </c>
      <c r="L3921" s="0">
        <v>0</v>
      </c>
      <c r="M3921" s="0">
        <v>0</v>
      </c>
      <c r="N3921" s="0">
        <v>0</v>
      </c>
      <c r="O3921" s="0">
        <v>0</v>
      </c>
      <c r="P3921" s="0">
        <v>0</v>
      </c>
      <c r="R3921" s="0" t="b">
        <v>0</v>
      </c>
      <c r="S3921" s="0" t="b">
        <v>0</v>
      </c>
      <c r="T3921" s="68">
        <v>46021.785474537</v>
      </c>
      <c r="U3921" s="68">
        <v>0</v>
      </c>
      <c r="V3921" s="68">
        <v>46064.1667824074</v>
      </c>
      <c r="W3921" s="0">
        <f>IF(IF(B3921="none",1,IF(B3921="Trialer",1,0))+IF(C3921="Customer",1,IF(C3921="Lost",1,0))=2,1,0)</f>
      </c>
      <c r="X3921" s="0" t="s">
        <v>148</v>
      </c>
      <c r="Y3921" s="0" t="s">
        <v>243</v>
      </c>
      <c r="AV3921" s="68"/>
      <c r="AW3921" s="68"/>
      <c r="AY3921" s="27"/>
      <c r="BD3921" s="68">
        <v>46054.1666666667</v>
      </c>
      <c r="BE3921" s="68">
        <v>46082.1666666667</v>
      </c>
      <c r="BF3921" s="0" t="b">
        <v>0</v>
      </c>
      <c r="BG3921" s="0" t="b">
        <v>0</v>
      </c>
      <c r="BH3921" s="0">
        <v>53.25</v>
      </c>
      <c r="BI3921" s="0">
        <v>53.25</v>
      </c>
      <c r="BJ3921" s="0" t="s">
        <v>135</v>
      </c>
    </row>
    <row r="3922">
      <c r="A3922" s="0" t="s">
        <v>4180</v>
      </c>
      <c r="B3922" s="0" t="s">
        <v>134</v>
      </c>
      <c r="C3922" s="0" t="s">
        <v>134</v>
      </c>
      <c r="D3922" s="0" t="s">
        <v>135</v>
      </c>
      <c r="E3922" s="0" t="s">
        <v>3</v>
      </c>
      <c r="F3922" s="0" t="s">
        <v>12</v>
      </c>
      <c r="G3922" s="0" t="s">
        <v>8</v>
      </c>
      <c r="H3922" s="0">
        <v>32</v>
      </c>
      <c r="I3922" s="0">
        <v>143.25</v>
      </c>
      <c r="J3922" s="0">
        <v>0</v>
      </c>
      <c r="K3922" s="0">
        <v>1</v>
      </c>
      <c r="L3922" s="0">
        <v>4</v>
      </c>
      <c r="M3922" s="0">
        <v>3</v>
      </c>
      <c r="N3922" s="0">
        <v>0</v>
      </c>
      <c r="O3922" s="0">
        <v>0</v>
      </c>
      <c r="P3922" s="0">
        <v>0</v>
      </c>
      <c r="R3922" s="0" t="b">
        <v>0</v>
      </c>
      <c r="S3922" s="0" t="b">
        <v>1</v>
      </c>
      <c r="T3922" s="68">
        <v>46021.8780092593</v>
      </c>
      <c r="U3922" s="68">
        <v>46035.2916666667</v>
      </c>
      <c r="V3922" s="68">
        <v>0</v>
      </c>
      <c r="W3922" s="0">
        <f>IF(IF(B3922="none",1,IF(B3922="Trialer",1,0))+IF(C3922="Customer",1,IF(C3922="Lost",1,0))=2,1,0)</f>
      </c>
      <c r="X3922" s="0" t="s">
        <v>1461</v>
      </c>
      <c r="Y3922" s="0" t="s">
        <v>243</v>
      </c>
      <c r="AV3922" s="68"/>
      <c r="AW3922" s="68"/>
      <c r="AY3922" s="27"/>
      <c r="BD3922" s="68">
        <v>46054.1666666667</v>
      </c>
      <c r="BE3922" s="68">
        <v>46082.1666666667</v>
      </c>
      <c r="BF3922" s="0" t="b">
        <v>0</v>
      </c>
      <c r="BG3922" s="0" t="b">
        <v>0</v>
      </c>
      <c r="BH3922" s="0">
        <v>219</v>
      </c>
      <c r="BI3922" s="0">
        <v>219</v>
      </c>
      <c r="BJ3922" s="0" t="s">
        <v>135</v>
      </c>
    </row>
    <row r="3923">
      <c r="A3923" s="0" t="s">
        <v>4181</v>
      </c>
      <c r="B3923" s="0" t="s">
        <v>652</v>
      </c>
      <c r="C3923" s="0" t="s">
        <v>652</v>
      </c>
      <c r="D3923" s="0" t="s">
        <v>135</v>
      </c>
      <c r="E3923" s="0" t="s">
        <v>1515</v>
      </c>
      <c r="F3923" s="0" t="s">
        <v>12</v>
      </c>
      <c r="G3923" s="0" t="s">
        <v>8</v>
      </c>
      <c r="H3923" s="0">
        <v>31</v>
      </c>
      <c r="I3923" s="0">
        <v>0</v>
      </c>
      <c r="J3923" s="0">
        <v>0</v>
      </c>
      <c r="K3923" s="0">
        <v>0</v>
      </c>
      <c r="L3923" s="0">
        <v>0</v>
      </c>
      <c r="M3923" s="0">
        <v>0</v>
      </c>
      <c r="N3923" s="0">
        <v>0</v>
      </c>
      <c r="O3923" s="0">
        <v>0</v>
      </c>
      <c r="P3923" s="0">
        <v>0</v>
      </c>
      <c r="R3923" s="0" t="b">
        <v>0</v>
      </c>
      <c r="S3923" s="0" t="b">
        <v>0</v>
      </c>
      <c r="T3923" s="68">
        <v>46022.0062037037</v>
      </c>
      <c r="U3923" s="68">
        <v>0</v>
      </c>
      <c r="V3923" s="68">
        <v>46064.1667939815</v>
      </c>
      <c r="W3923" s="0">
        <f>IF(IF(B3923="none",1,IF(B3923="Trialer",1,0))+IF(C3923="Customer",1,IF(C3923="Lost",1,0))=2,1,0)</f>
      </c>
      <c r="X3923" s="0" t="s">
        <v>136</v>
      </c>
      <c r="Y3923" s="0" t="s">
        <v>1516</v>
      </c>
      <c r="AV3923" s="68"/>
      <c r="AW3923" s="68"/>
      <c r="AY3923" s="27"/>
      <c r="BD3923" s="68">
        <v>46054.1666666667</v>
      </c>
      <c r="BE3923" s="68">
        <v>46082.1666666667</v>
      </c>
      <c r="BF3923" s="0" t="b">
        <v>0</v>
      </c>
      <c r="BG3923" s="0" t="b">
        <v>0</v>
      </c>
      <c r="BH3923" s="0">
        <v>44.25</v>
      </c>
      <c r="BI3923" s="0">
        <v>44.25</v>
      </c>
      <c r="BJ3923" s="0" t="s">
        <v>135</v>
      </c>
    </row>
    <row r="3924">
      <c r="A3924" s="0" t="s">
        <v>4182</v>
      </c>
      <c r="B3924" s="0" t="s">
        <v>652</v>
      </c>
      <c r="C3924" s="0" t="s">
        <v>652</v>
      </c>
      <c r="D3924" s="0" t="s">
        <v>135</v>
      </c>
      <c r="E3924" s="0" t="s">
        <v>2</v>
      </c>
      <c r="F3924" s="0" t="s">
        <v>12</v>
      </c>
      <c r="G3924" s="0" t="s">
        <v>8</v>
      </c>
      <c r="H3924" s="0">
        <v>31</v>
      </c>
      <c r="I3924" s="0">
        <v>0</v>
      </c>
      <c r="J3924" s="0">
        <v>0</v>
      </c>
      <c r="K3924" s="0">
        <v>0</v>
      </c>
      <c r="L3924" s="0">
        <v>0</v>
      </c>
      <c r="M3924" s="0">
        <v>0</v>
      </c>
      <c r="N3924" s="0">
        <v>0</v>
      </c>
      <c r="O3924" s="0">
        <v>0</v>
      </c>
      <c r="P3924" s="0">
        <v>0</v>
      </c>
      <c r="R3924" s="0" t="b">
        <v>0</v>
      </c>
      <c r="S3924" s="0" t="b">
        <v>0</v>
      </c>
      <c r="T3924" s="68">
        <v>46022.3385069444</v>
      </c>
      <c r="U3924" s="68">
        <v>0</v>
      </c>
      <c r="V3924" s="68">
        <v>46065.1666898148</v>
      </c>
      <c r="W3924" s="0">
        <f>IF(IF(B3924="none",1,IF(B3924="Trialer",1,0))+IF(C3924="Customer",1,IF(C3924="Lost",1,0))=2,1,0)</f>
      </c>
      <c r="X3924" s="0" t="s">
        <v>145</v>
      </c>
      <c r="Y3924" s="0" t="s">
        <v>499</v>
      </c>
      <c r="AV3924" s="68"/>
      <c r="AW3924" s="68"/>
      <c r="AY3924" s="27"/>
      <c r="BD3924" s="68">
        <v>46054.1666666667</v>
      </c>
      <c r="BE3924" s="68">
        <v>46082.1666666667</v>
      </c>
      <c r="BF3924" s="0" t="b">
        <v>0</v>
      </c>
      <c r="BG3924" s="0" t="b">
        <v>0</v>
      </c>
      <c r="BH3924" s="0">
        <v>44.25</v>
      </c>
      <c r="BI3924" s="0">
        <v>44.25</v>
      </c>
      <c r="BJ3924" s="0" t="s">
        <v>135</v>
      </c>
    </row>
    <row r="3925">
      <c r="A3925" s="0" t="s">
        <v>4183</v>
      </c>
      <c r="B3925" s="0" t="s">
        <v>652</v>
      </c>
      <c r="C3925" s="0" t="s">
        <v>652</v>
      </c>
      <c r="D3925" s="0" t="s">
        <v>135</v>
      </c>
      <c r="E3925" s="0" t="s">
        <v>3</v>
      </c>
      <c r="F3925" s="0" t="s">
        <v>12</v>
      </c>
      <c r="G3925" s="0" t="s">
        <v>8</v>
      </c>
      <c r="H3925" s="0">
        <v>31</v>
      </c>
      <c r="I3925" s="0">
        <v>0</v>
      </c>
      <c r="J3925" s="0">
        <v>0</v>
      </c>
      <c r="K3925" s="0">
        <v>0</v>
      </c>
      <c r="L3925" s="0">
        <v>0</v>
      </c>
      <c r="M3925" s="0">
        <v>0</v>
      </c>
      <c r="N3925" s="0">
        <v>0</v>
      </c>
      <c r="O3925" s="0">
        <v>0</v>
      </c>
      <c r="P3925" s="0">
        <v>0</v>
      </c>
      <c r="R3925" s="0" t="b">
        <v>0</v>
      </c>
      <c r="S3925" s="0" t="b">
        <v>0</v>
      </c>
      <c r="T3925" s="68">
        <v>46022.3909143519</v>
      </c>
      <c r="U3925" s="68">
        <v>0</v>
      </c>
      <c r="V3925" s="68">
        <v>46065.166724537</v>
      </c>
      <c r="W3925" s="0">
        <f>IF(IF(B3925="none",1,IF(B3925="Trialer",1,0))+IF(C3925="Customer",1,IF(C3925="Lost",1,0))=2,1,0)</f>
      </c>
      <c r="X3925" s="0" t="s">
        <v>136</v>
      </c>
      <c r="Y3925" s="0" t="s">
        <v>243</v>
      </c>
      <c r="AV3925" s="68"/>
      <c r="AW3925" s="68"/>
      <c r="AY3925" s="27"/>
      <c r="BD3925" s="68">
        <v>46054.1666666667</v>
      </c>
      <c r="BE3925" s="68">
        <v>46082.1666666667</v>
      </c>
      <c r="BF3925" s="0" t="b">
        <v>0</v>
      </c>
      <c r="BG3925" s="0" t="b">
        <v>0</v>
      </c>
      <c r="BH3925" s="0">
        <v>191.25</v>
      </c>
      <c r="BI3925" s="0">
        <v>191.25</v>
      </c>
      <c r="BJ3925" s="0" t="s">
        <v>135</v>
      </c>
    </row>
    <row r="3926">
      <c r="A3926" s="0" t="s">
        <v>4184</v>
      </c>
      <c r="B3926" s="0" t="s">
        <v>652</v>
      </c>
      <c r="C3926" s="0" t="s">
        <v>652</v>
      </c>
      <c r="D3926" s="0" t="s">
        <v>135</v>
      </c>
      <c r="E3926" s="0" t="s">
        <v>3</v>
      </c>
      <c r="F3926" s="0" t="s">
        <v>12</v>
      </c>
      <c r="G3926" s="0" t="s">
        <v>8</v>
      </c>
      <c r="H3926" s="0">
        <v>31</v>
      </c>
      <c r="I3926" s="0">
        <v>0</v>
      </c>
      <c r="J3926" s="0">
        <v>0</v>
      </c>
      <c r="K3926" s="0">
        <v>0</v>
      </c>
      <c r="L3926" s="0">
        <v>0</v>
      </c>
      <c r="M3926" s="0">
        <v>0</v>
      </c>
      <c r="N3926" s="0">
        <v>0</v>
      </c>
      <c r="O3926" s="0">
        <v>0</v>
      </c>
      <c r="P3926" s="0">
        <v>0</v>
      </c>
      <c r="R3926" s="0" t="b">
        <v>0</v>
      </c>
      <c r="S3926" s="0" t="b">
        <v>0</v>
      </c>
      <c r="T3926" s="68">
        <v>46022.4173611111</v>
      </c>
      <c r="U3926" s="68">
        <v>0</v>
      </c>
      <c r="V3926" s="68">
        <v>46065.1667592593</v>
      </c>
      <c r="W3926" s="0">
        <f>IF(IF(B3926="none",1,IF(B3926="Trialer",1,0))+IF(C3926="Customer",1,IF(C3926="Lost",1,0))=2,1,0)</f>
      </c>
      <c r="X3926" s="0" t="s">
        <v>148</v>
      </c>
      <c r="Y3926" s="0" t="s">
        <v>243</v>
      </c>
      <c r="AV3926" s="68"/>
      <c r="AW3926" s="68"/>
      <c r="AY3926" s="27"/>
      <c r="BD3926" s="68">
        <v>46054.1666666667</v>
      </c>
      <c r="BE3926" s="68">
        <v>46082.1666666667</v>
      </c>
      <c r="BF3926" s="0" t="b">
        <v>0</v>
      </c>
      <c r="BG3926" s="0" t="b">
        <v>0</v>
      </c>
      <c r="BH3926" s="0">
        <v>54.75</v>
      </c>
      <c r="BI3926" s="0">
        <v>54.75</v>
      </c>
      <c r="BJ3926" s="0" t="s">
        <v>135</v>
      </c>
    </row>
    <row r="3927">
      <c r="A3927" s="0" t="s">
        <v>4185</v>
      </c>
      <c r="B3927" s="0" t="s">
        <v>652</v>
      </c>
      <c r="C3927" s="0" t="s">
        <v>652</v>
      </c>
      <c r="D3927" s="0" t="s">
        <v>135</v>
      </c>
      <c r="E3927" s="0" t="s">
        <v>2</v>
      </c>
      <c r="F3927" s="0" t="s">
        <v>12</v>
      </c>
      <c r="G3927" s="0" t="s">
        <v>8</v>
      </c>
      <c r="H3927" s="0">
        <v>31</v>
      </c>
      <c r="I3927" s="0">
        <v>0</v>
      </c>
      <c r="J3927" s="0">
        <v>0</v>
      </c>
      <c r="K3927" s="0">
        <v>0</v>
      </c>
      <c r="L3927" s="0">
        <v>0</v>
      </c>
      <c r="M3927" s="0">
        <v>0</v>
      </c>
      <c r="N3927" s="0">
        <v>0</v>
      </c>
      <c r="O3927" s="0">
        <v>0</v>
      </c>
      <c r="P3927" s="0">
        <v>0</v>
      </c>
      <c r="R3927" s="0" t="b">
        <v>0</v>
      </c>
      <c r="S3927" s="0" t="b">
        <v>0</v>
      </c>
      <c r="T3927" s="68">
        <v>46022.4422337963</v>
      </c>
      <c r="U3927" s="68">
        <v>0</v>
      </c>
      <c r="V3927" s="68">
        <v>46065.1667708333</v>
      </c>
      <c r="W3927" s="0">
        <f>IF(IF(B3927="none",1,IF(B3927="Trialer",1,0))+IF(C3927="Customer",1,IF(C3927="Lost",1,0))=2,1,0)</f>
      </c>
      <c r="X3927" s="0" t="s">
        <v>145</v>
      </c>
      <c r="Y3927" s="0" t="s">
        <v>499</v>
      </c>
      <c r="AV3927" s="68"/>
      <c r="AW3927" s="68"/>
      <c r="AY3927" s="27"/>
      <c r="BD3927" s="68">
        <v>46054.1666666667</v>
      </c>
      <c r="BE3927" s="68">
        <v>46082.1666666667</v>
      </c>
      <c r="BF3927" s="0" t="b">
        <v>0</v>
      </c>
      <c r="BG3927" s="0" t="b">
        <v>0</v>
      </c>
      <c r="BH3927" s="0">
        <v>72.75</v>
      </c>
      <c r="BI3927" s="0">
        <v>72.75</v>
      </c>
      <c r="BJ3927" s="0" t="s">
        <v>135</v>
      </c>
    </row>
    <row r="3928">
      <c r="A3928" s="0" t="s">
        <v>4186</v>
      </c>
      <c r="B3928" s="0" t="s">
        <v>134</v>
      </c>
      <c r="C3928" s="0" t="s">
        <v>134</v>
      </c>
      <c r="D3928" s="0" t="s">
        <v>135</v>
      </c>
      <c r="E3928" s="0" t="s">
        <v>3</v>
      </c>
      <c r="F3928" s="0" t="s">
        <v>12</v>
      </c>
      <c r="G3928" s="0" t="s">
        <v>8</v>
      </c>
      <c r="H3928" s="0">
        <v>31</v>
      </c>
      <c r="I3928" s="0">
        <v>35.25</v>
      </c>
      <c r="J3928" s="0">
        <v>0</v>
      </c>
      <c r="K3928" s="0">
        <v>1</v>
      </c>
      <c r="L3928" s="0">
        <v>2</v>
      </c>
      <c r="M3928" s="0">
        <v>1</v>
      </c>
      <c r="N3928" s="0">
        <v>0</v>
      </c>
      <c r="O3928" s="0">
        <v>0</v>
      </c>
      <c r="P3928" s="0">
        <v>0</v>
      </c>
      <c r="R3928" s="0" t="b">
        <v>0</v>
      </c>
      <c r="S3928" s="0" t="b">
        <v>1</v>
      </c>
      <c r="T3928" s="68">
        <v>46022.4987152778</v>
      </c>
      <c r="U3928" s="68">
        <v>46036.2916666667</v>
      </c>
      <c r="V3928" s="68">
        <v>0</v>
      </c>
      <c r="W3928" s="0">
        <f>IF(IF(B3928="none",1,IF(B3928="Trialer",1,0))+IF(C3928="Customer",1,IF(C3928="Lost",1,0))=2,1,0)</f>
      </c>
      <c r="X3928" s="0" t="s">
        <v>1461</v>
      </c>
      <c r="Y3928" s="0" t="s">
        <v>243</v>
      </c>
      <c r="AV3928" s="68"/>
      <c r="AW3928" s="68"/>
      <c r="AY3928" s="27"/>
      <c r="BD3928" s="68">
        <v>46054.1666666667</v>
      </c>
      <c r="BE3928" s="68">
        <v>46082.1666666667</v>
      </c>
      <c r="BF3928" s="0" t="b">
        <v>0</v>
      </c>
      <c r="BG3928" s="0" t="b">
        <v>0</v>
      </c>
      <c r="BH3928" s="0">
        <v>35.25</v>
      </c>
      <c r="BI3928" s="0">
        <v>35.25</v>
      </c>
      <c r="BJ3928" s="0" t="s">
        <v>135</v>
      </c>
    </row>
    <row r="3929">
      <c r="A3929" s="0" t="s">
        <v>4187</v>
      </c>
      <c r="B3929" s="0" t="s">
        <v>652</v>
      </c>
      <c r="C3929" s="0" t="s">
        <v>652</v>
      </c>
      <c r="D3929" s="0" t="s">
        <v>135</v>
      </c>
      <c r="E3929" s="0" t="s">
        <v>4</v>
      </c>
      <c r="F3929" s="0" t="s">
        <v>12</v>
      </c>
      <c r="G3929" s="0" t="s">
        <v>8</v>
      </c>
      <c r="H3929" s="0">
        <v>31</v>
      </c>
      <c r="I3929" s="0">
        <v>0</v>
      </c>
      <c r="J3929" s="0">
        <v>0</v>
      </c>
      <c r="K3929" s="0">
        <v>0</v>
      </c>
      <c r="L3929" s="0">
        <v>0</v>
      </c>
      <c r="M3929" s="0">
        <v>0</v>
      </c>
      <c r="N3929" s="0">
        <v>0</v>
      </c>
      <c r="O3929" s="0">
        <v>0</v>
      </c>
      <c r="P3929" s="0">
        <v>0</v>
      </c>
      <c r="R3929" s="0" t="b">
        <v>0</v>
      </c>
      <c r="S3929" s="0" t="b">
        <v>0</v>
      </c>
      <c r="T3929" s="68">
        <v>46022.9032638889</v>
      </c>
      <c r="U3929" s="68">
        <v>0</v>
      </c>
      <c r="V3929" s="68">
        <v>46065.1667708333</v>
      </c>
      <c r="W3929" s="0">
        <f>IF(IF(B3929="none",1,IF(B3929="Trialer",1,0))+IF(C3929="Customer",1,IF(C3929="Lost",1,0))=2,1,0)</f>
      </c>
      <c r="X3929" s="0" t="s">
        <v>145</v>
      </c>
      <c r="Y3929" s="0" t="s">
        <v>1772</v>
      </c>
      <c r="AV3929" s="68"/>
      <c r="AW3929" s="68"/>
      <c r="AY3929" s="27"/>
      <c r="BD3929" s="68">
        <v>46054.1666666667</v>
      </c>
      <c r="BE3929" s="68">
        <v>46082.1666666667</v>
      </c>
      <c r="BF3929" s="0" t="b">
        <v>0</v>
      </c>
      <c r="BG3929" s="0" t="b">
        <v>0</v>
      </c>
      <c r="BH3929" s="0">
        <v>53.25</v>
      </c>
      <c r="BI3929" s="0">
        <v>53.25</v>
      </c>
      <c r="BJ3929" s="0" t="s">
        <v>135</v>
      </c>
    </row>
    <row r="3930">
      <c r="A3930" s="0" t="s">
        <v>4188</v>
      </c>
      <c r="B3930" s="0" t="s">
        <v>652</v>
      </c>
      <c r="C3930" s="0" t="s">
        <v>652</v>
      </c>
      <c r="D3930" s="0" t="s">
        <v>135</v>
      </c>
      <c r="E3930" s="0" t="s">
        <v>3</v>
      </c>
      <c r="F3930" s="0" t="s">
        <v>12</v>
      </c>
      <c r="G3930" s="0" t="s">
        <v>8</v>
      </c>
      <c r="H3930" s="0">
        <v>30</v>
      </c>
      <c r="I3930" s="0">
        <v>0</v>
      </c>
      <c r="J3930" s="0">
        <v>0</v>
      </c>
      <c r="K3930" s="0">
        <v>0</v>
      </c>
      <c r="L3930" s="0">
        <v>0</v>
      </c>
      <c r="M3930" s="0">
        <v>0</v>
      </c>
      <c r="N3930" s="0">
        <v>0</v>
      </c>
      <c r="O3930" s="0">
        <v>0</v>
      </c>
      <c r="P3930" s="0">
        <v>0</v>
      </c>
      <c r="R3930" s="0" t="b">
        <v>0</v>
      </c>
      <c r="S3930" s="0" t="b">
        <v>0</v>
      </c>
      <c r="T3930" s="68">
        <v>46022.9958333333</v>
      </c>
      <c r="U3930" s="68">
        <v>0</v>
      </c>
      <c r="V3930" s="68">
        <v>46065.1667824074</v>
      </c>
      <c r="W3930" s="0">
        <f>IF(IF(B3930="none",1,IF(B3930="Trialer",1,0))+IF(C3930="Customer",1,IF(C3930="Lost",1,0))=2,1,0)</f>
      </c>
      <c r="X3930" s="0" t="s">
        <v>148</v>
      </c>
      <c r="Y3930" s="0" t="s">
        <v>243</v>
      </c>
      <c r="AV3930" s="68"/>
      <c r="AW3930" s="68"/>
      <c r="AY3930" s="27"/>
      <c r="BD3930" s="68">
        <v>46054.1666666667</v>
      </c>
      <c r="BE3930" s="68">
        <v>46082.1666666667</v>
      </c>
      <c r="BF3930" s="0" t="b">
        <v>0</v>
      </c>
      <c r="BG3930" s="0" t="b">
        <v>0</v>
      </c>
      <c r="BH3930" s="0">
        <v>44.25</v>
      </c>
      <c r="BI3930" s="0">
        <v>44.25</v>
      </c>
      <c r="BJ3930" s="0" t="s">
        <v>135</v>
      </c>
    </row>
    <row r="3931">
      <c r="A3931" s="0" t="s">
        <v>4189</v>
      </c>
      <c r="B3931" s="0" t="s">
        <v>652</v>
      </c>
      <c r="C3931" s="0" t="s">
        <v>652</v>
      </c>
      <c r="D3931" s="0" t="s">
        <v>135</v>
      </c>
      <c r="E3931" s="0" t="s">
        <v>3</v>
      </c>
      <c r="F3931" s="0" t="s">
        <v>12</v>
      </c>
      <c r="G3931" s="0" t="s">
        <v>8</v>
      </c>
      <c r="H3931" s="0">
        <v>30</v>
      </c>
      <c r="I3931" s="0">
        <v>0</v>
      </c>
      <c r="J3931" s="0">
        <v>0</v>
      </c>
      <c r="K3931" s="0">
        <v>0</v>
      </c>
      <c r="L3931" s="0">
        <v>0</v>
      </c>
      <c r="M3931" s="0">
        <v>0</v>
      </c>
      <c r="N3931" s="0">
        <v>0</v>
      </c>
      <c r="O3931" s="0">
        <v>0</v>
      </c>
      <c r="P3931" s="0">
        <v>0</v>
      </c>
      <c r="R3931" s="0" t="b">
        <v>0</v>
      </c>
      <c r="S3931" s="0" t="b">
        <v>0</v>
      </c>
      <c r="T3931" s="68">
        <v>46023.0914236111</v>
      </c>
      <c r="U3931" s="68">
        <v>0</v>
      </c>
      <c r="V3931" s="68">
        <v>46065.1668055556</v>
      </c>
      <c r="W3931" s="0">
        <f>IF(IF(B3931="none",1,IF(B3931="Trialer",1,0))+IF(C3931="Customer",1,IF(C3931="Lost",1,0))=2,1,0)</f>
      </c>
      <c r="X3931" s="0" t="s">
        <v>136</v>
      </c>
      <c r="Y3931" s="0" t="s">
        <v>243</v>
      </c>
      <c r="AV3931" s="68"/>
      <c r="AW3931" s="68"/>
      <c r="AY3931" s="27"/>
      <c r="BD3931" s="68">
        <v>46054.1666666667</v>
      </c>
      <c r="BE3931" s="68">
        <v>46082.1666666667</v>
      </c>
      <c r="BF3931" s="0" t="b">
        <v>0</v>
      </c>
      <c r="BG3931" s="0" t="b">
        <v>0</v>
      </c>
      <c r="BH3931" s="0">
        <v>72.75</v>
      </c>
      <c r="BI3931" s="0">
        <v>72.75</v>
      </c>
      <c r="BJ3931" s="0" t="s">
        <v>135</v>
      </c>
    </row>
    <row r="3932">
      <c r="A3932" s="0" t="s">
        <v>4190</v>
      </c>
      <c r="B3932" s="0" t="s">
        <v>652</v>
      </c>
      <c r="C3932" s="0" t="s">
        <v>652</v>
      </c>
      <c r="D3932" s="0" t="s">
        <v>135</v>
      </c>
      <c r="E3932" s="0" t="s">
        <v>2</v>
      </c>
      <c r="F3932" s="0" t="s">
        <v>12</v>
      </c>
      <c r="G3932" s="0" t="s">
        <v>8</v>
      </c>
      <c r="H3932" s="0">
        <v>30</v>
      </c>
      <c r="I3932" s="0">
        <v>0</v>
      </c>
      <c r="J3932" s="0">
        <v>0</v>
      </c>
      <c r="K3932" s="0">
        <v>0</v>
      </c>
      <c r="L3932" s="0">
        <v>0</v>
      </c>
      <c r="M3932" s="0">
        <v>0</v>
      </c>
      <c r="N3932" s="0">
        <v>0</v>
      </c>
      <c r="O3932" s="0">
        <v>0</v>
      </c>
      <c r="P3932" s="0">
        <v>0</v>
      </c>
      <c r="R3932" s="0" t="b">
        <v>0</v>
      </c>
      <c r="S3932" s="0" t="b">
        <v>0</v>
      </c>
      <c r="T3932" s="68">
        <v>46023.5106134259</v>
      </c>
      <c r="U3932" s="68">
        <v>0</v>
      </c>
      <c r="V3932" s="68">
        <v>46066.1666898148</v>
      </c>
      <c r="W3932" s="0">
        <f>IF(IF(B3932="none",1,IF(B3932="Trialer",1,0))+IF(C3932="Customer",1,IF(C3932="Lost",1,0))=2,1,0)</f>
      </c>
      <c r="X3932" s="0" t="s">
        <v>136</v>
      </c>
      <c r="Y3932" s="0" t="s">
        <v>499</v>
      </c>
      <c r="AV3932" s="68"/>
      <c r="AW3932" s="68"/>
      <c r="AY3932" s="27"/>
      <c r="BD3932" s="68">
        <v>46054.1666666667</v>
      </c>
      <c r="BE3932" s="68">
        <v>46082.1666666667</v>
      </c>
      <c r="BF3932" s="0" t="b">
        <v>0</v>
      </c>
      <c r="BG3932" s="0" t="b">
        <v>0</v>
      </c>
      <c r="BH3932" s="0">
        <v>44.25</v>
      </c>
      <c r="BI3932" s="0">
        <v>44.25</v>
      </c>
      <c r="BJ3932" s="0" t="s">
        <v>135</v>
      </c>
    </row>
    <row r="3933">
      <c r="A3933" s="0" t="s">
        <v>4191</v>
      </c>
      <c r="B3933" s="0" t="s">
        <v>652</v>
      </c>
      <c r="C3933" s="0" t="s">
        <v>652</v>
      </c>
      <c r="D3933" s="0" t="s">
        <v>135</v>
      </c>
      <c r="E3933" s="0" t="s">
        <v>3</v>
      </c>
      <c r="F3933" s="0" t="s">
        <v>12</v>
      </c>
      <c r="G3933" s="0" t="s">
        <v>8</v>
      </c>
      <c r="H3933" s="0">
        <v>30</v>
      </c>
      <c r="I3933" s="0">
        <v>0</v>
      </c>
      <c r="J3933" s="0">
        <v>0</v>
      </c>
      <c r="K3933" s="0">
        <v>0</v>
      </c>
      <c r="L3933" s="0">
        <v>0</v>
      </c>
      <c r="M3933" s="0">
        <v>0</v>
      </c>
      <c r="N3933" s="0">
        <v>0</v>
      </c>
      <c r="O3933" s="0">
        <v>0</v>
      </c>
      <c r="P3933" s="0">
        <v>0</v>
      </c>
      <c r="R3933" s="0" t="b">
        <v>0</v>
      </c>
      <c r="S3933" s="0" t="b">
        <v>0</v>
      </c>
      <c r="T3933" s="68">
        <v>46023.6560532407</v>
      </c>
      <c r="U3933" s="68">
        <v>0</v>
      </c>
      <c r="V3933" s="68">
        <v>46066.166712963</v>
      </c>
      <c r="W3933" s="0">
        <f>IF(IF(B3933="none",1,IF(B3933="Trialer",1,0))+IF(C3933="Customer",1,IF(C3933="Lost",1,0))=2,1,0)</f>
      </c>
      <c r="X3933" s="0" t="s">
        <v>145</v>
      </c>
      <c r="Y3933" s="0" t="s">
        <v>243</v>
      </c>
      <c r="AV3933" s="68"/>
      <c r="AW3933" s="68"/>
      <c r="AY3933" s="27"/>
      <c r="BD3933" s="68">
        <v>46054.1666666667</v>
      </c>
      <c r="BE3933" s="68">
        <v>46082.1666666667</v>
      </c>
      <c r="BF3933" s="0" t="b">
        <v>0</v>
      </c>
      <c r="BG3933" s="0" t="b">
        <v>0</v>
      </c>
      <c r="BH3933" s="0">
        <v>44.25</v>
      </c>
      <c r="BI3933" s="0">
        <v>44.25</v>
      </c>
      <c r="BJ3933" s="0" t="s">
        <v>135</v>
      </c>
    </row>
    <row r="3934">
      <c r="A3934" s="0" t="s">
        <v>4192</v>
      </c>
      <c r="B3934" s="0" t="s">
        <v>652</v>
      </c>
      <c r="C3934" s="0" t="s">
        <v>652</v>
      </c>
      <c r="D3934" s="0" t="s">
        <v>135</v>
      </c>
      <c r="E3934" s="0" t="s">
        <v>3</v>
      </c>
      <c r="F3934" s="0" t="s">
        <v>12</v>
      </c>
      <c r="G3934" s="0" t="s">
        <v>8</v>
      </c>
      <c r="H3934" s="0">
        <v>30</v>
      </c>
      <c r="I3934" s="0">
        <v>0</v>
      </c>
      <c r="J3934" s="0">
        <v>0</v>
      </c>
      <c r="K3934" s="0">
        <v>0</v>
      </c>
      <c r="L3934" s="0">
        <v>0</v>
      </c>
      <c r="M3934" s="0">
        <v>0</v>
      </c>
      <c r="N3934" s="0">
        <v>0</v>
      </c>
      <c r="O3934" s="0">
        <v>0</v>
      </c>
      <c r="P3934" s="0">
        <v>0</v>
      </c>
      <c r="R3934" s="0" t="b">
        <v>0</v>
      </c>
      <c r="S3934" s="0" t="b">
        <v>0</v>
      </c>
      <c r="T3934" s="68">
        <v>46023.8938425926</v>
      </c>
      <c r="U3934" s="68">
        <v>0</v>
      </c>
      <c r="V3934" s="68">
        <v>46066.1667361111</v>
      </c>
      <c r="W3934" s="0">
        <f>IF(IF(B3934="none",1,IF(B3934="Trialer",1,0))+IF(C3934="Customer",1,IF(C3934="Lost",1,0))=2,1,0)</f>
      </c>
      <c r="X3934" s="0" t="s">
        <v>145</v>
      </c>
      <c r="Y3934" s="0" t="s">
        <v>243</v>
      </c>
      <c r="AV3934" s="68"/>
      <c r="AW3934" s="68"/>
      <c r="AY3934" s="27"/>
      <c r="BD3934" s="68">
        <v>46054.1666666667</v>
      </c>
      <c r="BE3934" s="68">
        <v>46082.1666666667</v>
      </c>
      <c r="BF3934" s="0" t="b">
        <v>0</v>
      </c>
      <c r="BG3934" s="0" t="b">
        <v>0</v>
      </c>
      <c r="BH3934" s="0">
        <v>63.75</v>
      </c>
      <c r="BI3934" s="0">
        <v>63.75</v>
      </c>
      <c r="BJ3934" s="0" t="s">
        <v>135</v>
      </c>
    </row>
    <row r="3935">
      <c r="A3935" s="0" t="s">
        <v>4193</v>
      </c>
      <c r="B3935" s="0" t="s">
        <v>652</v>
      </c>
      <c r="C3935" s="0" t="s">
        <v>652</v>
      </c>
      <c r="D3935" s="0" t="s">
        <v>135</v>
      </c>
      <c r="E3935" s="0" t="s">
        <v>2</v>
      </c>
      <c r="F3935" s="0" t="s">
        <v>12</v>
      </c>
      <c r="G3935" s="0" t="s">
        <v>8</v>
      </c>
      <c r="H3935" s="0">
        <v>29</v>
      </c>
      <c r="I3935" s="0">
        <v>0</v>
      </c>
      <c r="J3935" s="0">
        <v>0</v>
      </c>
      <c r="K3935" s="0">
        <v>0</v>
      </c>
      <c r="L3935" s="0">
        <v>0</v>
      </c>
      <c r="M3935" s="0">
        <v>0</v>
      </c>
      <c r="N3935" s="0">
        <v>0</v>
      </c>
      <c r="O3935" s="0">
        <v>0</v>
      </c>
      <c r="P3935" s="0">
        <v>0</v>
      </c>
      <c r="R3935" s="0" t="b">
        <v>0</v>
      </c>
      <c r="S3935" s="0" t="b">
        <v>0</v>
      </c>
      <c r="T3935" s="68">
        <v>46024.0154050926</v>
      </c>
      <c r="U3935" s="68">
        <v>0</v>
      </c>
      <c r="V3935" s="68">
        <v>46066.1667476852</v>
      </c>
      <c r="W3935" s="0">
        <f>IF(IF(B3935="none",1,IF(B3935="Trialer",1,0))+IF(C3935="Customer",1,IF(C3935="Lost",1,0))=2,1,0)</f>
      </c>
      <c r="X3935" s="0" t="s">
        <v>136</v>
      </c>
      <c r="Y3935" s="0" t="s">
        <v>499</v>
      </c>
      <c r="AV3935" s="68"/>
      <c r="AW3935" s="68"/>
      <c r="AY3935" s="27"/>
      <c r="BD3935" s="68">
        <v>46054.1666666667</v>
      </c>
      <c r="BE3935" s="68">
        <v>46082.1666666667</v>
      </c>
      <c r="BF3935" s="0" t="b">
        <v>0</v>
      </c>
      <c r="BG3935" s="0" t="b">
        <v>0</v>
      </c>
      <c r="BH3935" s="0">
        <v>44.25</v>
      </c>
      <c r="BI3935" s="0">
        <v>44.25</v>
      </c>
      <c r="BJ3935" s="0" t="s">
        <v>135</v>
      </c>
    </row>
    <row r="3936">
      <c r="A3936" s="0" t="s">
        <v>4194</v>
      </c>
      <c r="B3936" s="0" t="s">
        <v>652</v>
      </c>
      <c r="C3936" s="0" t="s">
        <v>652</v>
      </c>
      <c r="D3936" s="0" t="s">
        <v>135</v>
      </c>
      <c r="E3936" s="0" t="s">
        <v>2</v>
      </c>
      <c r="F3936" s="0" t="s">
        <v>12</v>
      </c>
      <c r="G3936" s="0" t="s">
        <v>8</v>
      </c>
      <c r="H3936" s="0">
        <v>29</v>
      </c>
      <c r="I3936" s="0">
        <v>0</v>
      </c>
      <c r="J3936" s="0">
        <v>0</v>
      </c>
      <c r="K3936" s="0">
        <v>0</v>
      </c>
      <c r="L3936" s="0">
        <v>0</v>
      </c>
      <c r="M3936" s="0">
        <v>0</v>
      </c>
      <c r="N3936" s="0">
        <v>0</v>
      </c>
      <c r="O3936" s="0">
        <v>0</v>
      </c>
      <c r="P3936" s="0">
        <v>0</v>
      </c>
      <c r="R3936" s="0" t="b">
        <v>0</v>
      </c>
      <c r="S3936" s="0" t="b">
        <v>0</v>
      </c>
      <c r="T3936" s="68">
        <v>46024.5651736111</v>
      </c>
      <c r="U3936" s="68">
        <v>0</v>
      </c>
      <c r="V3936" s="68">
        <v>46067.1667013889</v>
      </c>
      <c r="W3936" s="0">
        <f>IF(IF(B3936="none",1,IF(B3936="Trialer",1,0))+IF(C3936="Customer",1,IF(C3936="Lost",1,0))=2,1,0)</f>
      </c>
      <c r="X3936" s="0" t="s">
        <v>145</v>
      </c>
      <c r="Y3936" s="0" t="s">
        <v>499</v>
      </c>
      <c r="AV3936" s="68"/>
      <c r="AW3936" s="68"/>
      <c r="AY3936" s="27"/>
      <c r="BD3936" s="68">
        <v>46054.1666666667</v>
      </c>
      <c r="BE3936" s="68">
        <v>46082.1666666667</v>
      </c>
      <c r="BF3936" s="0" t="b">
        <v>0</v>
      </c>
      <c r="BG3936" s="0" t="b">
        <v>0</v>
      </c>
      <c r="BH3936" s="0">
        <v>44.25</v>
      </c>
      <c r="BI3936" s="0">
        <v>44.25</v>
      </c>
      <c r="BJ3936" s="0" t="s">
        <v>135</v>
      </c>
    </row>
    <row r="3937">
      <c r="A3937" s="0" t="s">
        <v>4195</v>
      </c>
      <c r="B3937" s="0" t="s">
        <v>652</v>
      </c>
      <c r="C3937" s="0" t="s">
        <v>652</v>
      </c>
      <c r="D3937" s="0" t="s">
        <v>135</v>
      </c>
      <c r="E3937" s="0" t="s">
        <v>3</v>
      </c>
      <c r="F3937" s="0" t="s">
        <v>12</v>
      </c>
      <c r="G3937" s="0" t="s">
        <v>8</v>
      </c>
      <c r="H3937" s="0">
        <v>29</v>
      </c>
      <c r="I3937" s="0">
        <v>0</v>
      </c>
      <c r="J3937" s="0">
        <v>0</v>
      </c>
      <c r="K3937" s="0">
        <v>0</v>
      </c>
      <c r="L3937" s="0">
        <v>0</v>
      </c>
      <c r="M3937" s="0">
        <v>0</v>
      </c>
      <c r="N3937" s="0">
        <v>0</v>
      </c>
      <c r="O3937" s="0">
        <v>0</v>
      </c>
      <c r="P3937" s="0">
        <v>0</v>
      </c>
      <c r="R3937" s="0" t="b">
        <v>0</v>
      </c>
      <c r="S3937" s="0" t="b">
        <v>0</v>
      </c>
      <c r="T3937" s="68">
        <v>46024.6089467593</v>
      </c>
      <c r="U3937" s="68">
        <v>0</v>
      </c>
      <c r="V3937" s="68">
        <v>46059.5467013889</v>
      </c>
      <c r="W3937" s="0">
        <f>IF(IF(B3937="none",1,IF(B3937="Trialer",1,0))+IF(C3937="Customer",1,IF(C3937="Lost",1,0))=2,1,0)</f>
      </c>
      <c r="X3937" s="0" t="s">
        <v>148</v>
      </c>
      <c r="Y3937" s="0" t="s">
        <v>243</v>
      </c>
      <c r="AV3937" s="68"/>
      <c r="AW3937" s="68"/>
      <c r="AY3937" s="27"/>
      <c r="BD3937" s="68">
        <v>46054.1666666667</v>
      </c>
      <c r="BE3937" s="68">
        <v>46082.1666666667</v>
      </c>
      <c r="BF3937" s="0" t="b">
        <v>1</v>
      </c>
      <c r="BG3937" s="0" t="b">
        <v>0</v>
      </c>
      <c r="BH3937" s="0">
        <v>63.75</v>
      </c>
      <c r="BI3937" s="0">
        <v>63.75</v>
      </c>
      <c r="BJ3937" s="0" t="s">
        <v>135</v>
      </c>
    </row>
    <row r="3938">
      <c r="A3938" s="0" t="s">
        <v>4196</v>
      </c>
      <c r="B3938" s="0" t="s">
        <v>652</v>
      </c>
      <c r="C3938" s="0" t="s">
        <v>652</v>
      </c>
      <c r="D3938" s="0" t="s">
        <v>135</v>
      </c>
      <c r="E3938" s="0" t="s">
        <v>3</v>
      </c>
      <c r="F3938" s="0" t="s">
        <v>12</v>
      </c>
      <c r="G3938" s="0" t="s">
        <v>8</v>
      </c>
      <c r="H3938" s="0">
        <v>29</v>
      </c>
      <c r="I3938" s="0">
        <v>0</v>
      </c>
      <c r="J3938" s="0">
        <v>0</v>
      </c>
      <c r="K3938" s="0">
        <v>0</v>
      </c>
      <c r="L3938" s="0">
        <v>0</v>
      </c>
      <c r="M3938" s="0">
        <v>0</v>
      </c>
      <c r="N3938" s="0">
        <v>0</v>
      </c>
      <c r="O3938" s="0">
        <v>0</v>
      </c>
      <c r="P3938" s="0">
        <v>0</v>
      </c>
      <c r="R3938" s="0" t="b">
        <v>0</v>
      </c>
      <c r="S3938" s="0" t="b">
        <v>0</v>
      </c>
      <c r="T3938" s="68">
        <v>46024.6926736111</v>
      </c>
      <c r="U3938" s="68">
        <v>0</v>
      </c>
      <c r="V3938" s="68">
        <v>46067.166712963</v>
      </c>
      <c r="W3938" s="0">
        <f>IF(IF(B3938="none",1,IF(B3938="Trialer",1,0))+IF(C3938="Customer",1,IF(C3938="Lost",1,0))=2,1,0)</f>
      </c>
      <c r="X3938" s="0" t="s">
        <v>148</v>
      </c>
      <c r="Y3938" s="0" t="s">
        <v>243</v>
      </c>
      <c r="AV3938" s="68"/>
      <c r="AW3938" s="68"/>
      <c r="AY3938" s="27"/>
      <c r="BD3938" s="68">
        <v>46054.1666666667</v>
      </c>
      <c r="BE3938" s="68">
        <v>46082.1666666667</v>
      </c>
      <c r="BF3938" s="0" t="b">
        <v>0</v>
      </c>
      <c r="BG3938" s="0" t="b">
        <v>0</v>
      </c>
      <c r="BH3938" s="0">
        <v>44.25</v>
      </c>
      <c r="BI3938" s="0">
        <v>44.25</v>
      </c>
      <c r="BJ3938" s="0" t="s">
        <v>135</v>
      </c>
    </row>
    <row r="3939">
      <c r="A3939" s="0" t="s">
        <v>4197</v>
      </c>
      <c r="B3939" s="0" t="s">
        <v>652</v>
      </c>
      <c r="C3939" s="0" t="s">
        <v>652</v>
      </c>
      <c r="D3939" s="0" t="s">
        <v>135</v>
      </c>
      <c r="E3939" s="0" t="s">
        <v>3</v>
      </c>
      <c r="F3939" s="0" t="s">
        <v>12</v>
      </c>
      <c r="G3939" s="0" t="s">
        <v>8</v>
      </c>
      <c r="H3939" s="0">
        <v>29</v>
      </c>
      <c r="I3939" s="0">
        <v>0</v>
      </c>
      <c r="J3939" s="0">
        <v>0</v>
      </c>
      <c r="K3939" s="0">
        <v>0</v>
      </c>
      <c r="L3939" s="0">
        <v>0</v>
      </c>
      <c r="M3939" s="0">
        <v>0</v>
      </c>
      <c r="N3939" s="0">
        <v>0</v>
      </c>
      <c r="O3939" s="0">
        <v>0</v>
      </c>
      <c r="P3939" s="0">
        <v>0</v>
      </c>
      <c r="R3939" s="0" t="b">
        <v>0</v>
      </c>
      <c r="S3939" s="0" t="b">
        <v>0</v>
      </c>
      <c r="T3939" s="68">
        <v>46024.7943055556</v>
      </c>
      <c r="U3939" s="68">
        <v>0</v>
      </c>
      <c r="V3939" s="68">
        <v>46067.1668055556</v>
      </c>
      <c r="W3939" s="0">
        <f>IF(IF(B3939="none",1,IF(B3939="Trialer",1,0))+IF(C3939="Customer",1,IF(C3939="Lost",1,0))=2,1,0)</f>
      </c>
      <c r="X3939" s="0" t="s">
        <v>145</v>
      </c>
      <c r="Y3939" s="0" t="s">
        <v>487</v>
      </c>
      <c r="AV3939" s="68"/>
      <c r="AW3939" s="68"/>
      <c r="AY3939" s="27"/>
      <c r="BD3939" s="68">
        <v>46054.1666666667</v>
      </c>
      <c r="BE3939" s="68">
        <v>46082.1666666667</v>
      </c>
      <c r="BF3939" s="0" t="b">
        <v>0</v>
      </c>
      <c r="BG3939" s="0" t="b">
        <v>0</v>
      </c>
      <c r="BH3939" s="0">
        <v>78.75</v>
      </c>
      <c r="BI3939" s="0">
        <v>78.75</v>
      </c>
      <c r="BJ3939" s="0" t="s">
        <v>135</v>
      </c>
    </row>
    <row r="3940">
      <c r="A3940" s="0" t="s">
        <v>4198</v>
      </c>
      <c r="B3940" s="0" t="s">
        <v>652</v>
      </c>
      <c r="C3940" s="0" t="s">
        <v>652</v>
      </c>
      <c r="D3940" s="0" t="s">
        <v>135</v>
      </c>
      <c r="E3940" s="0" t="s">
        <v>2</v>
      </c>
      <c r="F3940" s="0" t="s">
        <v>12</v>
      </c>
      <c r="G3940" s="0" t="s">
        <v>8</v>
      </c>
      <c r="H3940" s="0">
        <v>29</v>
      </c>
      <c r="I3940" s="0">
        <v>0</v>
      </c>
      <c r="J3940" s="0">
        <v>0</v>
      </c>
      <c r="K3940" s="0">
        <v>0</v>
      </c>
      <c r="L3940" s="0">
        <v>0</v>
      </c>
      <c r="M3940" s="0">
        <v>0</v>
      </c>
      <c r="N3940" s="0">
        <v>0</v>
      </c>
      <c r="O3940" s="0">
        <v>0</v>
      </c>
      <c r="P3940" s="0">
        <v>0</v>
      </c>
      <c r="R3940" s="0" t="b">
        <v>0</v>
      </c>
      <c r="S3940" s="0" t="b">
        <v>0</v>
      </c>
      <c r="T3940" s="68">
        <v>46024.804375</v>
      </c>
      <c r="U3940" s="68">
        <v>0</v>
      </c>
      <c r="V3940" s="68">
        <v>46067.1667361111</v>
      </c>
      <c r="W3940" s="0">
        <f>IF(IF(B3940="none",1,IF(B3940="Trialer",1,0))+IF(C3940="Customer",1,IF(C3940="Lost",1,0))=2,1,0)</f>
      </c>
      <c r="X3940" s="0" t="s">
        <v>136</v>
      </c>
      <c r="Y3940" s="0" t="s">
        <v>499</v>
      </c>
      <c r="AV3940" s="68"/>
      <c r="AW3940" s="68"/>
      <c r="AY3940" s="27"/>
      <c r="BD3940" s="68">
        <v>46054.1666666667</v>
      </c>
      <c r="BE3940" s="68">
        <v>46082.1666666667</v>
      </c>
      <c r="BF3940" s="0" t="b">
        <v>0</v>
      </c>
      <c r="BG3940" s="0" t="b">
        <v>0</v>
      </c>
      <c r="BH3940" s="0">
        <v>63.75</v>
      </c>
      <c r="BI3940" s="0">
        <v>63.75</v>
      </c>
      <c r="BJ3940" s="0" t="s">
        <v>135</v>
      </c>
    </row>
    <row r="3941">
      <c r="A3941" s="0" t="s">
        <v>4199</v>
      </c>
      <c r="B3941" s="0" t="s">
        <v>652</v>
      </c>
      <c r="C3941" s="0" t="s">
        <v>652</v>
      </c>
      <c r="D3941" s="0" t="s">
        <v>135</v>
      </c>
      <c r="E3941" s="0" t="s">
        <v>3</v>
      </c>
      <c r="F3941" s="0" t="s">
        <v>12</v>
      </c>
      <c r="G3941" s="0" t="s">
        <v>8</v>
      </c>
      <c r="H3941" s="0">
        <v>29</v>
      </c>
      <c r="I3941" s="0">
        <v>0</v>
      </c>
      <c r="J3941" s="0">
        <v>0</v>
      </c>
      <c r="K3941" s="0">
        <v>0</v>
      </c>
      <c r="L3941" s="0">
        <v>0</v>
      </c>
      <c r="M3941" s="0">
        <v>0</v>
      </c>
      <c r="N3941" s="0">
        <v>0</v>
      </c>
      <c r="O3941" s="0">
        <v>0</v>
      </c>
      <c r="P3941" s="0">
        <v>0</v>
      </c>
      <c r="R3941" s="0" t="b">
        <v>0</v>
      </c>
      <c r="S3941" s="0" t="b">
        <v>0</v>
      </c>
      <c r="T3941" s="68">
        <v>46024.8181712963</v>
      </c>
      <c r="U3941" s="68">
        <v>0</v>
      </c>
      <c r="V3941" s="68">
        <v>46067.1667592593</v>
      </c>
      <c r="W3941" s="0">
        <f>IF(IF(B3941="none",1,IF(B3941="Trialer",1,0))+IF(C3941="Customer",1,IF(C3941="Lost",1,0))=2,1,0)</f>
      </c>
      <c r="X3941" s="0" t="s">
        <v>148</v>
      </c>
      <c r="Y3941" s="0" t="s">
        <v>243</v>
      </c>
      <c r="AV3941" s="68"/>
      <c r="AW3941" s="68"/>
      <c r="AY3941" s="27"/>
      <c r="BD3941" s="68">
        <v>46054.1666666667</v>
      </c>
      <c r="BE3941" s="68">
        <v>46082.1666666667</v>
      </c>
      <c r="BF3941" s="0" t="b">
        <v>0</v>
      </c>
      <c r="BG3941" s="0" t="b">
        <v>0</v>
      </c>
      <c r="BH3941" s="0">
        <v>53.25</v>
      </c>
      <c r="BI3941" s="0">
        <v>53.25</v>
      </c>
      <c r="BJ3941" s="0" t="s">
        <v>135</v>
      </c>
    </row>
    <row r="3942">
      <c r="A3942" s="0" t="s">
        <v>4200</v>
      </c>
      <c r="B3942" s="0" t="s">
        <v>652</v>
      </c>
      <c r="C3942" s="0" t="s">
        <v>652</v>
      </c>
      <c r="D3942" s="0" t="s">
        <v>135</v>
      </c>
      <c r="E3942" s="0" t="s">
        <v>2414</v>
      </c>
      <c r="F3942" s="0" t="s">
        <v>12</v>
      </c>
      <c r="G3942" s="0" t="s">
        <v>8</v>
      </c>
      <c r="H3942" s="0">
        <v>29</v>
      </c>
      <c r="I3942" s="0">
        <v>0</v>
      </c>
      <c r="J3942" s="0">
        <v>0</v>
      </c>
      <c r="K3942" s="0">
        <v>0</v>
      </c>
      <c r="L3942" s="0">
        <v>0</v>
      </c>
      <c r="M3942" s="0">
        <v>0</v>
      </c>
      <c r="N3942" s="0">
        <v>0</v>
      </c>
      <c r="O3942" s="0">
        <v>0</v>
      </c>
      <c r="P3942" s="0">
        <v>0</v>
      </c>
      <c r="R3942" s="0" t="b">
        <v>0</v>
      </c>
      <c r="S3942" s="0" t="b">
        <v>0</v>
      </c>
      <c r="T3942" s="68">
        <v>46024.8988888889</v>
      </c>
      <c r="U3942" s="68">
        <v>0</v>
      </c>
      <c r="V3942" s="68">
        <v>46067.1667708333</v>
      </c>
      <c r="W3942" s="0">
        <f>IF(IF(B3942="none",1,IF(B3942="Trialer",1,0))+IF(C3942="Customer",1,IF(C3942="Lost",1,0))=2,1,0)</f>
      </c>
      <c r="X3942" s="0" t="s">
        <v>148</v>
      </c>
      <c r="Y3942" s="0" t="s">
        <v>1516</v>
      </c>
      <c r="AV3942" s="68"/>
      <c r="AW3942" s="68"/>
      <c r="AY3942" s="27"/>
      <c r="BD3942" s="68">
        <v>46054.1666666667</v>
      </c>
      <c r="BE3942" s="68">
        <v>46082.1666666667</v>
      </c>
      <c r="BF3942" s="0" t="b">
        <v>0</v>
      </c>
      <c r="BG3942" s="0" t="b">
        <v>0</v>
      </c>
      <c r="BH3942" s="0">
        <v>44.25</v>
      </c>
      <c r="BI3942" s="0">
        <v>44.25</v>
      </c>
      <c r="BJ3942" s="0" t="s">
        <v>135</v>
      </c>
    </row>
    <row r="3943">
      <c r="A3943" s="0" t="s">
        <v>4201</v>
      </c>
      <c r="B3943" s="0" t="s">
        <v>652</v>
      </c>
      <c r="C3943" s="0" t="s">
        <v>652</v>
      </c>
      <c r="D3943" s="0" t="s">
        <v>135</v>
      </c>
      <c r="E3943" s="0" t="s">
        <v>4</v>
      </c>
      <c r="F3943" s="0" t="s">
        <v>12</v>
      </c>
      <c r="G3943" s="0" t="s">
        <v>8</v>
      </c>
      <c r="H3943" s="0">
        <v>28</v>
      </c>
      <c r="I3943" s="0">
        <v>0</v>
      </c>
      <c r="J3943" s="0">
        <v>0</v>
      </c>
      <c r="K3943" s="0">
        <v>0</v>
      </c>
      <c r="L3943" s="0">
        <v>0</v>
      </c>
      <c r="M3943" s="0">
        <v>0</v>
      </c>
      <c r="N3943" s="0">
        <v>0</v>
      </c>
      <c r="O3943" s="0">
        <v>0</v>
      </c>
      <c r="P3943" s="0">
        <v>0</v>
      </c>
      <c r="R3943" s="0" t="b">
        <v>0</v>
      </c>
      <c r="S3943" s="0" t="b">
        <v>0</v>
      </c>
      <c r="T3943" s="68">
        <v>46025.1177199074</v>
      </c>
      <c r="U3943" s="68">
        <v>0</v>
      </c>
      <c r="V3943" s="68">
        <v>46067.1667708333</v>
      </c>
      <c r="W3943" s="0">
        <f>IF(IF(B3943="none",1,IF(B3943="Trialer",1,0))+IF(C3943="Customer",1,IF(C3943="Lost",1,0))=2,1,0)</f>
      </c>
      <c r="X3943" s="0" t="s">
        <v>136</v>
      </c>
      <c r="Y3943" s="0" t="s">
        <v>1772</v>
      </c>
      <c r="AV3943" s="68"/>
      <c r="AW3943" s="68"/>
      <c r="AY3943" s="27"/>
      <c r="BD3943" s="68">
        <v>46054.1666666667</v>
      </c>
      <c r="BE3943" s="68">
        <v>46082.1666666667</v>
      </c>
      <c r="BF3943" s="0" t="b">
        <v>0</v>
      </c>
      <c r="BG3943" s="0" t="b">
        <v>0</v>
      </c>
      <c r="BH3943" s="0">
        <v>44.25</v>
      </c>
      <c r="BI3943" s="0">
        <v>44.25</v>
      </c>
      <c r="BJ3943" s="0" t="s">
        <v>135</v>
      </c>
    </row>
    <row r="3944">
      <c r="A3944" s="0" t="s">
        <v>4202</v>
      </c>
      <c r="B3944" s="0" t="s">
        <v>652</v>
      </c>
      <c r="C3944" s="0" t="s">
        <v>652</v>
      </c>
      <c r="D3944" s="0" t="s">
        <v>135</v>
      </c>
      <c r="E3944" s="0" t="s">
        <v>3</v>
      </c>
      <c r="F3944" s="0" t="s">
        <v>12</v>
      </c>
      <c r="G3944" s="0" t="s">
        <v>8</v>
      </c>
      <c r="H3944" s="0">
        <v>28</v>
      </c>
      <c r="I3944" s="0">
        <v>0</v>
      </c>
      <c r="J3944" s="0">
        <v>0</v>
      </c>
      <c r="K3944" s="0">
        <v>0</v>
      </c>
      <c r="L3944" s="0">
        <v>0</v>
      </c>
      <c r="M3944" s="0">
        <v>0</v>
      </c>
      <c r="N3944" s="0">
        <v>0</v>
      </c>
      <c r="O3944" s="0">
        <v>0</v>
      </c>
      <c r="P3944" s="0">
        <v>0</v>
      </c>
      <c r="R3944" s="0" t="b">
        <v>0</v>
      </c>
      <c r="S3944" s="0" t="b">
        <v>0</v>
      </c>
      <c r="T3944" s="68">
        <v>46025.1222453704</v>
      </c>
      <c r="U3944" s="68">
        <v>0</v>
      </c>
      <c r="V3944" s="68">
        <v>46067.1667939815</v>
      </c>
      <c r="W3944" s="0">
        <f>IF(IF(B3944="none",1,IF(B3944="Trialer",1,0))+IF(C3944="Customer",1,IF(C3944="Lost",1,0))=2,1,0)</f>
      </c>
      <c r="X3944" s="0" t="s">
        <v>136</v>
      </c>
      <c r="Y3944" s="0" t="s">
        <v>243</v>
      </c>
      <c r="AV3944" s="68"/>
      <c r="AW3944" s="68"/>
      <c r="AY3944" s="27"/>
      <c r="BD3944" s="68">
        <v>46054.1666666667</v>
      </c>
      <c r="BE3944" s="68">
        <v>46082.1666666667</v>
      </c>
      <c r="BF3944" s="0" t="b">
        <v>0</v>
      </c>
      <c r="BG3944" s="0" t="b">
        <v>0</v>
      </c>
      <c r="BH3944" s="0">
        <v>88.5</v>
      </c>
      <c r="BI3944" s="0">
        <v>88.5</v>
      </c>
      <c r="BJ3944" s="0" t="s">
        <v>135</v>
      </c>
    </row>
    <row r="3945">
      <c r="A3945" s="0" t="s">
        <v>4203</v>
      </c>
      <c r="B3945" s="0" t="s">
        <v>652</v>
      </c>
      <c r="C3945" s="0" t="s">
        <v>652</v>
      </c>
      <c r="D3945" s="0" t="s">
        <v>135</v>
      </c>
      <c r="E3945" s="0" t="s">
        <v>2414</v>
      </c>
      <c r="F3945" s="0" t="s">
        <v>12</v>
      </c>
      <c r="G3945" s="0" t="s">
        <v>8</v>
      </c>
      <c r="H3945" s="0">
        <v>28</v>
      </c>
      <c r="I3945" s="0">
        <v>0</v>
      </c>
      <c r="J3945" s="0">
        <v>0</v>
      </c>
      <c r="K3945" s="0">
        <v>0</v>
      </c>
      <c r="L3945" s="0">
        <v>0</v>
      </c>
      <c r="M3945" s="0">
        <v>0</v>
      </c>
      <c r="N3945" s="0">
        <v>0</v>
      </c>
      <c r="O3945" s="0">
        <v>0</v>
      </c>
      <c r="P3945" s="0">
        <v>0</v>
      </c>
      <c r="R3945" s="0" t="b">
        <v>0</v>
      </c>
      <c r="S3945" s="0" t="b">
        <v>0</v>
      </c>
      <c r="T3945" s="68">
        <v>46025.3959259259</v>
      </c>
      <c r="U3945" s="68">
        <v>0</v>
      </c>
      <c r="V3945" s="68">
        <v>46068.1667013889</v>
      </c>
      <c r="W3945" s="0">
        <f>IF(IF(B3945="none",1,IF(B3945="Trialer",1,0))+IF(C3945="Customer",1,IF(C3945="Lost",1,0))=2,1,0)</f>
      </c>
      <c r="X3945" s="0" t="s">
        <v>148</v>
      </c>
      <c r="Y3945" s="0" t="s">
        <v>1516</v>
      </c>
      <c r="AV3945" s="68"/>
      <c r="AW3945" s="68"/>
      <c r="AY3945" s="27"/>
      <c r="BD3945" s="68">
        <v>46054.1666666667</v>
      </c>
      <c r="BE3945" s="68">
        <v>46082.1666666667</v>
      </c>
      <c r="BF3945" s="0" t="b">
        <v>0</v>
      </c>
      <c r="BG3945" s="0" t="b">
        <v>0</v>
      </c>
      <c r="BH3945" s="0">
        <v>44.25</v>
      </c>
      <c r="BI3945" s="0">
        <v>44.25</v>
      </c>
      <c r="BJ3945" s="0" t="s">
        <v>135</v>
      </c>
    </row>
    <row r="3946">
      <c r="A3946" s="0" t="s">
        <v>4204</v>
      </c>
      <c r="B3946" s="0" t="s">
        <v>134</v>
      </c>
      <c r="C3946" s="0" t="s">
        <v>134</v>
      </c>
      <c r="D3946" s="0" t="s">
        <v>135</v>
      </c>
      <c r="E3946" s="0" t="s">
        <v>3</v>
      </c>
      <c r="F3946" s="0" t="s">
        <v>11</v>
      </c>
      <c r="G3946" s="0" t="s">
        <v>8</v>
      </c>
      <c r="H3946" s="0">
        <v>28</v>
      </c>
      <c r="I3946" s="0">
        <v>40</v>
      </c>
      <c r="J3946" s="0">
        <v>0</v>
      </c>
      <c r="K3946" s="0">
        <v>1</v>
      </c>
      <c r="L3946" s="0">
        <v>4</v>
      </c>
      <c r="M3946" s="0">
        <v>1</v>
      </c>
      <c r="N3946" s="0">
        <v>0</v>
      </c>
      <c r="O3946" s="0">
        <v>0</v>
      </c>
      <c r="P3946" s="0">
        <v>0</v>
      </c>
      <c r="Q3946" s="0" t="s">
        <v>1743</v>
      </c>
      <c r="R3946" s="0" t="b">
        <v>1</v>
      </c>
      <c r="S3946" s="0" t="b">
        <v>1</v>
      </c>
      <c r="T3946" s="68">
        <v>46025.4465046296</v>
      </c>
      <c r="U3946" s="68">
        <v>46025.2916666667</v>
      </c>
      <c r="V3946" s="68">
        <v>0</v>
      </c>
      <c r="W3946" s="0">
        <f>IF(IF(B3946="none",1,IF(B3946="Trialer",1,0))+IF(C3946="Customer",1,IF(C3946="Lost",1,0))=2,1,0)</f>
      </c>
      <c r="X3946" s="0" t="s">
        <v>145</v>
      </c>
      <c r="Y3946" s="0" t="s">
        <v>243</v>
      </c>
      <c r="AV3946" s="68"/>
      <c r="AW3946" s="68"/>
      <c r="AY3946" s="27"/>
      <c r="BD3946" s="68">
        <v>46054.1666666667</v>
      </c>
      <c r="BE3946" s="68">
        <v>46082.1666666667</v>
      </c>
      <c r="BF3946" s="0" t="b">
        <v>0</v>
      </c>
      <c r="BG3946" s="0" t="b">
        <v>0</v>
      </c>
      <c r="BH3946" s="0">
        <v>40</v>
      </c>
      <c r="BI3946" s="0">
        <v>40</v>
      </c>
      <c r="BJ3946" s="0" t="s">
        <v>135</v>
      </c>
    </row>
    <row r="3947">
      <c r="A3947" s="0" t="s">
        <v>4205</v>
      </c>
      <c r="B3947" s="0" t="s">
        <v>652</v>
      </c>
      <c r="C3947" s="0" t="s">
        <v>652</v>
      </c>
      <c r="D3947" s="0" t="s">
        <v>135</v>
      </c>
      <c r="E3947" s="0" t="s">
        <v>2</v>
      </c>
      <c r="F3947" s="0" t="s">
        <v>12</v>
      </c>
      <c r="G3947" s="0" t="s">
        <v>8</v>
      </c>
      <c r="H3947" s="0">
        <v>28</v>
      </c>
      <c r="I3947" s="0">
        <v>0</v>
      </c>
      <c r="J3947" s="0">
        <v>0</v>
      </c>
      <c r="K3947" s="0">
        <v>0</v>
      </c>
      <c r="L3947" s="0">
        <v>0</v>
      </c>
      <c r="M3947" s="0">
        <v>0</v>
      </c>
      <c r="N3947" s="0">
        <v>0</v>
      </c>
      <c r="O3947" s="0">
        <v>0</v>
      </c>
      <c r="P3947" s="0">
        <v>0</v>
      </c>
      <c r="R3947" s="0" t="b">
        <v>0</v>
      </c>
      <c r="S3947" s="0" t="b">
        <v>0</v>
      </c>
      <c r="T3947" s="68">
        <v>46025.5997800926</v>
      </c>
      <c r="U3947" s="68">
        <v>0</v>
      </c>
      <c r="V3947" s="68">
        <v>46068.166724537</v>
      </c>
      <c r="W3947" s="0">
        <f>IF(IF(B3947="none",1,IF(B3947="Trialer",1,0))+IF(C3947="Customer",1,IF(C3947="Lost",1,0))=2,1,0)</f>
      </c>
      <c r="X3947" s="0" t="s">
        <v>145</v>
      </c>
      <c r="Y3947" s="0" t="s">
        <v>499</v>
      </c>
      <c r="AV3947" s="68"/>
      <c r="AW3947" s="68"/>
      <c r="AY3947" s="27"/>
      <c r="BD3947" s="68">
        <v>46054.1666666667</v>
      </c>
      <c r="BE3947" s="68">
        <v>46082.1666666667</v>
      </c>
      <c r="BF3947" s="0" t="b">
        <v>0</v>
      </c>
      <c r="BG3947" s="0" t="b">
        <v>0</v>
      </c>
      <c r="BH3947" s="0">
        <v>44.25</v>
      </c>
      <c r="BI3947" s="0">
        <v>44.25</v>
      </c>
      <c r="BJ3947" s="0" t="s">
        <v>135</v>
      </c>
    </row>
    <row r="3948">
      <c r="A3948" s="0" t="s">
        <v>4206</v>
      </c>
      <c r="B3948" s="0" t="s">
        <v>652</v>
      </c>
      <c r="C3948" s="0" t="s">
        <v>652</v>
      </c>
      <c r="D3948" s="0" t="s">
        <v>135</v>
      </c>
      <c r="E3948" s="0" t="s">
        <v>3</v>
      </c>
      <c r="F3948" s="0" t="s">
        <v>12</v>
      </c>
      <c r="G3948" s="0" t="s">
        <v>8</v>
      </c>
      <c r="H3948" s="0">
        <v>28</v>
      </c>
      <c r="I3948" s="0">
        <v>0</v>
      </c>
      <c r="J3948" s="0">
        <v>0</v>
      </c>
      <c r="K3948" s="0">
        <v>0</v>
      </c>
      <c r="L3948" s="0">
        <v>0</v>
      </c>
      <c r="M3948" s="0">
        <v>0</v>
      </c>
      <c r="N3948" s="0">
        <v>0</v>
      </c>
      <c r="O3948" s="0">
        <v>0</v>
      </c>
      <c r="P3948" s="0">
        <v>0</v>
      </c>
      <c r="R3948" s="0" t="b">
        <v>0</v>
      </c>
      <c r="S3948" s="0" t="b">
        <v>0</v>
      </c>
      <c r="T3948" s="68">
        <v>46025.6480902778</v>
      </c>
      <c r="U3948" s="68">
        <v>0</v>
      </c>
      <c r="V3948" s="68">
        <v>46068.1667361111</v>
      </c>
      <c r="W3948" s="0">
        <f>IF(IF(B3948="none",1,IF(B3948="Trialer",1,0))+IF(C3948="Customer",1,IF(C3948="Lost",1,0))=2,1,0)</f>
      </c>
      <c r="X3948" s="0" t="s">
        <v>148</v>
      </c>
      <c r="Y3948" s="0" t="s">
        <v>243</v>
      </c>
      <c r="AV3948" s="68"/>
      <c r="AW3948" s="68"/>
      <c r="AY3948" s="27"/>
      <c r="BD3948" s="68">
        <v>46054.1666666667</v>
      </c>
      <c r="BE3948" s="68">
        <v>46082.1666666667</v>
      </c>
      <c r="BF3948" s="0" t="b">
        <v>0</v>
      </c>
      <c r="BG3948" s="0" t="b">
        <v>0</v>
      </c>
      <c r="BH3948" s="0">
        <v>44.25</v>
      </c>
      <c r="BI3948" s="0">
        <v>44.25</v>
      </c>
      <c r="BJ3948" s="0" t="s">
        <v>135</v>
      </c>
    </row>
    <row r="3949">
      <c r="A3949" s="0" t="s">
        <v>4207</v>
      </c>
      <c r="B3949" s="0" t="s">
        <v>652</v>
      </c>
      <c r="C3949" s="0" t="s">
        <v>652</v>
      </c>
      <c r="D3949" s="0" t="s">
        <v>135</v>
      </c>
      <c r="E3949" s="0" t="s">
        <v>3</v>
      </c>
      <c r="F3949" s="0" t="s">
        <v>12</v>
      </c>
      <c r="G3949" s="0" t="s">
        <v>8</v>
      </c>
      <c r="H3949" s="0">
        <v>28</v>
      </c>
      <c r="I3949" s="0">
        <v>0</v>
      </c>
      <c r="J3949" s="0">
        <v>0</v>
      </c>
      <c r="K3949" s="0">
        <v>0</v>
      </c>
      <c r="L3949" s="0">
        <v>0</v>
      </c>
      <c r="M3949" s="0">
        <v>0</v>
      </c>
      <c r="N3949" s="0">
        <v>0</v>
      </c>
      <c r="O3949" s="0">
        <v>0</v>
      </c>
      <c r="P3949" s="0">
        <v>0</v>
      </c>
      <c r="R3949" s="0" t="b">
        <v>0</v>
      </c>
      <c r="S3949" s="0" t="b">
        <v>0</v>
      </c>
      <c r="T3949" s="68">
        <v>46025.9061458333</v>
      </c>
      <c r="U3949" s="68">
        <v>0</v>
      </c>
      <c r="V3949" s="68">
        <v>46068.1667476852</v>
      </c>
      <c r="W3949" s="0">
        <f>IF(IF(B3949="none",1,IF(B3949="Trialer",1,0))+IF(C3949="Customer",1,IF(C3949="Lost",1,0))=2,1,0)</f>
      </c>
      <c r="X3949" s="0" t="s">
        <v>136</v>
      </c>
      <c r="Y3949" s="0" t="s">
        <v>243</v>
      </c>
      <c r="AV3949" s="68"/>
      <c r="AW3949" s="68"/>
      <c r="AY3949" s="27"/>
      <c r="BD3949" s="68">
        <v>46054.1666666667</v>
      </c>
      <c r="BE3949" s="68">
        <v>46082.1666666667</v>
      </c>
      <c r="BF3949" s="0" t="b">
        <v>0</v>
      </c>
      <c r="BG3949" s="0" t="b">
        <v>0</v>
      </c>
      <c r="BH3949" s="0">
        <v>63.75</v>
      </c>
      <c r="BI3949" s="0">
        <v>63.75</v>
      </c>
      <c r="BJ3949" s="0" t="s">
        <v>135</v>
      </c>
    </row>
    <row r="3950">
      <c r="A3950" s="0" t="s">
        <v>4208</v>
      </c>
      <c r="B3950" s="0" t="s">
        <v>134</v>
      </c>
      <c r="C3950" s="0" t="s">
        <v>134</v>
      </c>
      <c r="D3950" s="0" t="s">
        <v>135</v>
      </c>
      <c r="E3950" s="0" t="s">
        <v>3</v>
      </c>
      <c r="F3950" s="0" t="s">
        <v>12</v>
      </c>
      <c r="G3950" s="0" t="s">
        <v>8</v>
      </c>
      <c r="H3950" s="0">
        <v>28</v>
      </c>
      <c r="I3950" s="0">
        <v>63.75</v>
      </c>
      <c r="J3950" s="0">
        <v>0</v>
      </c>
      <c r="K3950" s="0">
        <v>1</v>
      </c>
      <c r="L3950" s="0">
        <v>5</v>
      </c>
      <c r="M3950" s="0">
        <v>1</v>
      </c>
      <c r="N3950" s="0">
        <v>0</v>
      </c>
      <c r="O3950" s="0">
        <v>0</v>
      </c>
      <c r="P3950" s="0">
        <v>0</v>
      </c>
      <c r="R3950" s="0" t="b">
        <v>0</v>
      </c>
      <c r="S3950" s="0" t="b">
        <v>1</v>
      </c>
      <c r="T3950" s="68">
        <v>46025.9256944444</v>
      </c>
      <c r="U3950" s="68">
        <v>46028.2916666667</v>
      </c>
      <c r="V3950" s="68">
        <v>0</v>
      </c>
      <c r="W3950" s="0">
        <f>IF(IF(B3950="none",1,IF(B3950="Trialer",1,0))+IF(C3950="Customer",1,IF(C3950="Lost",1,0))=2,1,0)</f>
      </c>
      <c r="X3950" s="0" t="s">
        <v>1461</v>
      </c>
      <c r="Y3950" s="0" t="s">
        <v>243</v>
      </c>
      <c r="AV3950" s="68"/>
      <c r="AW3950" s="68"/>
      <c r="AY3950" s="27"/>
      <c r="BD3950" s="68">
        <v>46054.1666666667</v>
      </c>
      <c r="BE3950" s="68">
        <v>46082.1666666667</v>
      </c>
      <c r="BF3950" s="0" t="b">
        <v>0</v>
      </c>
      <c r="BG3950" s="0" t="b">
        <v>0</v>
      </c>
      <c r="BH3950" s="0">
        <v>63.75</v>
      </c>
      <c r="BI3950" s="0">
        <v>63.75</v>
      </c>
      <c r="BJ3950" s="0" t="s">
        <v>135</v>
      </c>
    </row>
    <row r="3951">
      <c r="A3951" s="0" t="s">
        <v>4209</v>
      </c>
      <c r="B3951" s="0" t="s">
        <v>652</v>
      </c>
      <c r="C3951" s="0" t="s">
        <v>652</v>
      </c>
      <c r="D3951" s="0" t="s">
        <v>135</v>
      </c>
      <c r="E3951" s="0" t="s">
        <v>3</v>
      </c>
      <c r="F3951" s="0" t="s">
        <v>12</v>
      </c>
      <c r="G3951" s="0" t="s">
        <v>8</v>
      </c>
      <c r="H3951" s="0">
        <v>27</v>
      </c>
      <c r="I3951" s="0">
        <v>0</v>
      </c>
      <c r="J3951" s="0">
        <v>0</v>
      </c>
      <c r="K3951" s="0">
        <v>0</v>
      </c>
      <c r="L3951" s="0">
        <v>0</v>
      </c>
      <c r="M3951" s="0">
        <v>0</v>
      </c>
      <c r="N3951" s="0">
        <v>0</v>
      </c>
      <c r="O3951" s="0">
        <v>0</v>
      </c>
      <c r="P3951" s="0">
        <v>0</v>
      </c>
      <c r="R3951" s="0" t="b">
        <v>0</v>
      </c>
      <c r="S3951" s="0" t="b">
        <v>0</v>
      </c>
      <c r="T3951" s="68">
        <v>46026.360775463</v>
      </c>
      <c r="U3951" s="68">
        <v>0</v>
      </c>
      <c r="V3951" s="68">
        <v>46069.1667013889</v>
      </c>
      <c r="W3951" s="0">
        <f>IF(IF(B3951="none",1,IF(B3951="Trialer",1,0))+IF(C3951="Customer",1,IF(C3951="Lost",1,0))=2,1,0)</f>
      </c>
      <c r="X3951" s="0" t="s">
        <v>145</v>
      </c>
      <c r="Y3951" s="0" t="s">
        <v>243</v>
      </c>
      <c r="AV3951" s="68"/>
      <c r="AW3951" s="68"/>
      <c r="AY3951" s="27"/>
      <c r="BD3951" s="68">
        <v>46054.1666666667</v>
      </c>
      <c r="BE3951" s="68">
        <v>46082.1666666667</v>
      </c>
      <c r="BF3951" s="0" t="b">
        <v>0</v>
      </c>
      <c r="BG3951" s="0" t="b">
        <v>0</v>
      </c>
      <c r="BH3951" s="0">
        <v>44.25</v>
      </c>
      <c r="BI3951" s="0">
        <v>44.25</v>
      </c>
      <c r="BJ3951" s="0" t="s">
        <v>135</v>
      </c>
    </row>
    <row r="3952">
      <c r="A3952" s="0" t="s">
        <v>4210</v>
      </c>
      <c r="B3952" s="0" t="s">
        <v>652</v>
      </c>
      <c r="C3952" s="0" t="s">
        <v>652</v>
      </c>
      <c r="D3952" s="0" t="s">
        <v>135</v>
      </c>
      <c r="E3952" s="0" t="s">
        <v>3</v>
      </c>
      <c r="F3952" s="0" t="s">
        <v>12</v>
      </c>
      <c r="G3952" s="0" t="s">
        <v>8</v>
      </c>
      <c r="H3952" s="0">
        <v>27</v>
      </c>
      <c r="I3952" s="0">
        <v>0</v>
      </c>
      <c r="J3952" s="0">
        <v>0</v>
      </c>
      <c r="K3952" s="0">
        <v>0</v>
      </c>
      <c r="L3952" s="0">
        <v>0</v>
      </c>
      <c r="M3952" s="0">
        <v>0</v>
      </c>
      <c r="N3952" s="0">
        <v>0</v>
      </c>
      <c r="O3952" s="0">
        <v>0</v>
      </c>
      <c r="P3952" s="0">
        <v>0</v>
      </c>
      <c r="R3952" s="0" t="b">
        <v>0</v>
      </c>
      <c r="S3952" s="0" t="b">
        <v>0</v>
      </c>
      <c r="T3952" s="68">
        <v>46026.4445486111</v>
      </c>
      <c r="U3952" s="68">
        <v>0</v>
      </c>
      <c r="V3952" s="68">
        <v>46056.3894212963</v>
      </c>
      <c r="W3952" s="0">
        <f>IF(IF(B3952="none",1,IF(B3952="Trialer",1,0))+IF(C3952="Customer",1,IF(C3952="Lost",1,0))=2,1,0)</f>
      </c>
      <c r="X3952" s="0" t="s">
        <v>136</v>
      </c>
      <c r="Y3952" s="0" t="s">
        <v>243</v>
      </c>
      <c r="AV3952" s="68"/>
      <c r="AW3952" s="68"/>
      <c r="AY3952" s="27"/>
      <c r="BD3952" s="68">
        <v>46054.1666666667</v>
      </c>
      <c r="BE3952" s="68">
        <v>46082.1666666667</v>
      </c>
      <c r="BF3952" s="0" t="b">
        <v>0</v>
      </c>
      <c r="BG3952" s="0" t="b">
        <v>0</v>
      </c>
      <c r="BH3952" s="0">
        <v>63.75</v>
      </c>
      <c r="BI3952" s="0">
        <v>63.75</v>
      </c>
      <c r="BJ3952" s="0" t="s">
        <v>135</v>
      </c>
    </row>
    <row r="3953">
      <c r="A3953" s="0" t="s">
        <v>4211</v>
      </c>
      <c r="B3953" s="0" t="s">
        <v>652</v>
      </c>
      <c r="C3953" s="0" t="s">
        <v>652</v>
      </c>
      <c r="D3953" s="0" t="s">
        <v>135</v>
      </c>
      <c r="E3953" s="0" t="s">
        <v>3</v>
      </c>
      <c r="F3953" s="0" t="s">
        <v>12</v>
      </c>
      <c r="G3953" s="0" t="s">
        <v>8</v>
      </c>
      <c r="H3953" s="0">
        <v>27</v>
      </c>
      <c r="I3953" s="0">
        <v>0</v>
      </c>
      <c r="J3953" s="0">
        <v>0</v>
      </c>
      <c r="K3953" s="0">
        <v>0</v>
      </c>
      <c r="L3953" s="0">
        <v>0</v>
      </c>
      <c r="M3953" s="0">
        <v>0</v>
      </c>
      <c r="N3953" s="0">
        <v>0</v>
      </c>
      <c r="O3953" s="0">
        <v>0</v>
      </c>
      <c r="P3953" s="0">
        <v>0</v>
      </c>
      <c r="R3953" s="0" t="b">
        <v>0</v>
      </c>
      <c r="S3953" s="0" t="b">
        <v>0</v>
      </c>
      <c r="T3953" s="68">
        <v>46026.5834953704</v>
      </c>
      <c r="U3953" s="68">
        <v>0</v>
      </c>
      <c r="V3953" s="68">
        <v>46069.166724537</v>
      </c>
      <c r="W3953" s="0">
        <f>IF(IF(B3953="none",1,IF(B3953="Trialer",1,0))+IF(C3953="Customer",1,IF(C3953="Lost",1,0))=2,1,0)</f>
      </c>
      <c r="X3953" s="0" t="s">
        <v>148</v>
      </c>
      <c r="Y3953" s="0" t="s">
        <v>243</v>
      </c>
      <c r="AV3953" s="68"/>
      <c r="AW3953" s="68"/>
      <c r="AY3953" s="27"/>
      <c r="BD3953" s="68">
        <v>46054.1666666667</v>
      </c>
      <c r="BE3953" s="68">
        <v>46082.1666666667</v>
      </c>
      <c r="BF3953" s="0" t="b">
        <v>0</v>
      </c>
      <c r="BG3953" s="0" t="b">
        <v>0</v>
      </c>
      <c r="BH3953" s="0">
        <v>186.75</v>
      </c>
      <c r="BI3953" s="0">
        <v>186.75</v>
      </c>
      <c r="BJ3953" s="0" t="s">
        <v>135</v>
      </c>
    </row>
    <row r="3954">
      <c r="A3954" s="0" t="s">
        <v>4212</v>
      </c>
      <c r="B3954" s="0" t="s">
        <v>652</v>
      </c>
      <c r="C3954" s="0" t="s">
        <v>652</v>
      </c>
      <c r="D3954" s="0" t="s">
        <v>135</v>
      </c>
      <c r="E3954" s="0" t="s">
        <v>3</v>
      </c>
      <c r="F3954" s="0" t="s">
        <v>12</v>
      </c>
      <c r="G3954" s="0" t="s">
        <v>8</v>
      </c>
      <c r="H3954" s="0">
        <v>27</v>
      </c>
      <c r="I3954" s="0">
        <v>0</v>
      </c>
      <c r="J3954" s="0">
        <v>0</v>
      </c>
      <c r="K3954" s="0">
        <v>0</v>
      </c>
      <c r="L3954" s="0">
        <v>0</v>
      </c>
      <c r="M3954" s="0">
        <v>0</v>
      </c>
      <c r="N3954" s="0">
        <v>0</v>
      </c>
      <c r="O3954" s="0">
        <v>0</v>
      </c>
      <c r="P3954" s="0">
        <v>0</v>
      </c>
      <c r="R3954" s="0" t="b">
        <v>0</v>
      </c>
      <c r="S3954" s="0" t="b">
        <v>0</v>
      </c>
      <c r="T3954" s="68">
        <v>46026.5841435185</v>
      </c>
      <c r="U3954" s="68">
        <v>0</v>
      </c>
      <c r="V3954" s="68">
        <v>46069.1667361111</v>
      </c>
      <c r="W3954" s="0">
        <f>IF(IF(B3954="none",1,IF(B3954="Trialer",1,0))+IF(C3954="Customer",1,IF(C3954="Lost",1,0))=2,1,0)</f>
      </c>
      <c r="X3954" s="0" t="s">
        <v>145</v>
      </c>
      <c r="Y3954" s="0" t="s">
        <v>243</v>
      </c>
      <c r="AV3954" s="68"/>
      <c r="AW3954" s="68"/>
      <c r="AY3954" s="27"/>
      <c r="BD3954" s="68">
        <v>46054.1666666667</v>
      </c>
      <c r="BE3954" s="68">
        <v>46082.1666666667</v>
      </c>
      <c r="BF3954" s="0" t="b">
        <v>0</v>
      </c>
      <c r="BG3954" s="0" t="b">
        <v>0</v>
      </c>
      <c r="BH3954" s="0">
        <v>44.25</v>
      </c>
      <c r="BI3954" s="0">
        <v>44.25</v>
      </c>
      <c r="BJ3954" s="0" t="s">
        <v>135</v>
      </c>
    </row>
    <row r="3955">
      <c r="A3955" s="0" t="s">
        <v>4213</v>
      </c>
      <c r="B3955" s="0" t="s">
        <v>652</v>
      </c>
      <c r="C3955" s="0" t="s">
        <v>652</v>
      </c>
      <c r="D3955" s="0" t="s">
        <v>135</v>
      </c>
      <c r="E3955" s="0" t="s">
        <v>3</v>
      </c>
      <c r="F3955" s="0" t="s">
        <v>12</v>
      </c>
      <c r="G3955" s="0" t="s">
        <v>8</v>
      </c>
      <c r="H3955" s="0">
        <v>27</v>
      </c>
      <c r="I3955" s="0">
        <v>0</v>
      </c>
      <c r="J3955" s="0">
        <v>0</v>
      </c>
      <c r="K3955" s="0">
        <v>0</v>
      </c>
      <c r="L3955" s="0">
        <v>0</v>
      </c>
      <c r="M3955" s="0">
        <v>0</v>
      </c>
      <c r="N3955" s="0">
        <v>0</v>
      </c>
      <c r="O3955" s="0">
        <v>0</v>
      </c>
      <c r="P3955" s="0">
        <v>0</v>
      </c>
      <c r="R3955" s="0" t="b">
        <v>0</v>
      </c>
      <c r="S3955" s="0" t="b">
        <v>0</v>
      </c>
      <c r="T3955" s="68">
        <v>46026.5925925926</v>
      </c>
      <c r="U3955" s="68">
        <v>0</v>
      </c>
      <c r="V3955" s="68">
        <v>46069.1667708333</v>
      </c>
      <c r="W3955" s="0">
        <f>IF(IF(B3955="none",1,IF(B3955="Trialer",1,0))+IF(C3955="Customer",1,IF(C3955="Lost",1,0))=2,1,0)</f>
      </c>
      <c r="X3955" s="0" t="s">
        <v>136</v>
      </c>
      <c r="Y3955" s="0" t="s">
        <v>243</v>
      </c>
      <c r="AV3955" s="68"/>
      <c r="AW3955" s="68"/>
      <c r="AY3955" s="27"/>
      <c r="BD3955" s="68">
        <v>46054.1666666667</v>
      </c>
      <c r="BE3955" s="68">
        <v>46082.1666666667</v>
      </c>
      <c r="BF3955" s="0" t="b">
        <v>0</v>
      </c>
      <c r="BG3955" s="0" t="b">
        <v>0</v>
      </c>
      <c r="BH3955" s="0">
        <v>44.25</v>
      </c>
      <c r="BI3955" s="0">
        <v>44.25</v>
      </c>
      <c r="BJ3955" s="0" t="s">
        <v>135</v>
      </c>
    </row>
    <row r="3956">
      <c r="A3956" s="0" t="s">
        <v>4214</v>
      </c>
      <c r="B3956" s="0" t="s">
        <v>652</v>
      </c>
      <c r="C3956" s="0" t="s">
        <v>652</v>
      </c>
      <c r="D3956" s="0" t="s">
        <v>135</v>
      </c>
      <c r="E3956" s="0" t="s">
        <v>3</v>
      </c>
      <c r="F3956" s="0" t="s">
        <v>12</v>
      </c>
      <c r="G3956" s="0" t="s">
        <v>8</v>
      </c>
      <c r="H3956" s="0">
        <v>27</v>
      </c>
      <c r="I3956" s="0">
        <v>0</v>
      </c>
      <c r="J3956" s="0">
        <v>0</v>
      </c>
      <c r="K3956" s="0">
        <v>0</v>
      </c>
      <c r="L3956" s="0">
        <v>0</v>
      </c>
      <c r="M3956" s="0">
        <v>0</v>
      </c>
      <c r="N3956" s="0">
        <v>0</v>
      </c>
      <c r="O3956" s="0">
        <v>0</v>
      </c>
      <c r="P3956" s="0">
        <v>0</v>
      </c>
      <c r="R3956" s="0" t="b">
        <v>0</v>
      </c>
      <c r="S3956" s="0" t="b">
        <v>0</v>
      </c>
      <c r="T3956" s="68">
        <v>46026.6485416667</v>
      </c>
      <c r="U3956" s="68">
        <v>0</v>
      </c>
      <c r="V3956" s="68">
        <v>46069.1667476852</v>
      </c>
      <c r="W3956" s="0">
        <f>IF(IF(B3956="none",1,IF(B3956="Trialer",1,0))+IF(C3956="Customer",1,IF(C3956="Lost",1,0))=2,1,0)</f>
      </c>
      <c r="X3956" s="0" t="s">
        <v>148</v>
      </c>
      <c r="Y3956" s="0" t="s">
        <v>243</v>
      </c>
      <c r="AV3956" s="68"/>
      <c r="AW3956" s="68"/>
      <c r="AY3956" s="27"/>
      <c r="BD3956" s="68">
        <v>46054.1666666667</v>
      </c>
      <c r="BE3956" s="68">
        <v>46082.1666666667</v>
      </c>
      <c r="BF3956" s="0" t="b">
        <v>0</v>
      </c>
      <c r="BG3956" s="0" t="b">
        <v>0</v>
      </c>
      <c r="BH3956" s="0">
        <v>72.75</v>
      </c>
      <c r="BI3956" s="0">
        <v>72.75</v>
      </c>
      <c r="BJ3956" s="0" t="s">
        <v>135</v>
      </c>
    </row>
    <row r="3957">
      <c r="A3957" s="0" t="s">
        <v>4215</v>
      </c>
      <c r="B3957" s="0" t="s">
        <v>652</v>
      </c>
      <c r="C3957" s="0" t="s">
        <v>652</v>
      </c>
      <c r="D3957" s="0" t="s">
        <v>135</v>
      </c>
      <c r="E3957" s="0" t="s">
        <v>3</v>
      </c>
      <c r="F3957" s="0" t="s">
        <v>12</v>
      </c>
      <c r="G3957" s="0" t="s">
        <v>8</v>
      </c>
      <c r="H3957" s="0">
        <v>27</v>
      </c>
      <c r="I3957" s="0">
        <v>0</v>
      </c>
      <c r="J3957" s="0">
        <v>0</v>
      </c>
      <c r="K3957" s="0">
        <v>0</v>
      </c>
      <c r="L3957" s="0">
        <v>0</v>
      </c>
      <c r="M3957" s="0">
        <v>0</v>
      </c>
      <c r="N3957" s="0">
        <v>0</v>
      </c>
      <c r="O3957" s="0">
        <v>0</v>
      </c>
      <c r="P3957" s="0">
        <v>0</v>
      </c>
      <c r="R3957" s="0" t="b">
        <v>0</v>
      </c>
      <c r="S3957" s="0" t="b">
        <v>0</v>
      </c>
      <c r="T3957" s="68">
        <v>46026.6971296296</v>
      </c>
      <c r="U3957" s="68">
        <v>0</v>
      </c>
      <c r="V3957" s="68">
        <v>46069.1667476852</v>
      </c>
      <c r="W3957" s="0">
        <f>IF(IF(B3957="none",1,IF(B3957="Trialer",1,0))+IF(C3957="Customer",1,IF(C3957="Lost",1,0))=2,1,0)</f>
      </c>
      <c r="X3957" s="0" t="s">
        <v>145</v>
      </c>
      <c r="Y3957" s="0" t="s">
        <v>243</v>
      </c>
      <c r="AV3957" s="68"/>
      <c r="AW3957" s="68"/>
      <c r="AY3957" s="27"/>
      <c r="BD3957" s="68">
        <v>46054.1666666667</v>
      </c>
      <c r="BE3957" s="68">
        <v>46082.1666666667</v>
      </c>
      <c r="BF3957" s="0" t="b">
        <v>0</v>
      </c>
      <c r="BG3957" s="0" t="b">
        <v>0</v>
      </c>
      <c r="BH3957" s="0">
        <v>44.25</v>
      </c>
      <c r="BI3957" s="0">
        <v>44.25</v>
      </c>
      <c r="BJ3957" s="0" t="s">
        <v>135</v>
      </c>
    </row>
    <row r="3958">
      <c r="A3958" s="0" t="s">
        <v>4216</v>
      </c>
      <c r="B3958" s="0" t="s">
        <v>134</v>
      </c>
      <c r="C3958" s="0" t="s">
        <v>134</v>
      </c>
      <c r="D3958" s="0" t="s">
        <v>230</v>
      </c>
      <c r="E3958" s="0" t="s">
        <v>3</v>
      </c>
      <c r="F3958" s="0" t="s">
        <v>12</v>
      </c>
      <c r="G3958" s="0" t="s">
        <v>8</v>
      </c>
      <c r="H3958" s="0">
        <v>27</v>
      </c>
      <c r="I3958" s="0">
        <v>81</v>
      </c>
      <c r="J3958" s="0">
        <v>0</v>
      </c>
      <c r="K3958" s="0">
        <v>1</v>
      </c>
      <c r="L3958" s="0">
        <v>2</v>
      </c>
      <c r="M3958" s="0">
        <v>2</v>
      </c>
      <c r="N3958" s="0">
        <v>0</v>
      </c>
      <c r="O3958" s="0">
        <v>0</v>
      </c>
      <c r="P3958" s="0">
        <v>-81</v>
      </c>
      <c r="R3958" s="0" t="b">
        <v>0</v>
      </c>
      <c r="S3958" s="0" t="b">
        <v>1</v>
      </c>
      <c r="T3958" s="68">
        <v>46026.6976273148</v>
      </c>
      <c r="U3958" s="68">
        <v>46043.2916666667</v>
      </c>
      <c r="V3958" s="68">
        <v>0</v>
      </c>
      <c r="W3958" s="0">
        <f>IF(IF(B3958="none",1,IF(B3958="Trialer",1,0))+IF(C3958="Customer",1,IF(C3958="Lost",1,0))=2,1,0)</f>
      </c>
      <c r="X3958" s="0" t="s">
        <v>1461</v>
      </c>
      <c r="Y3958" s="0" t="s">
        <v>243</v>
      </c>
      <c r="AV3958" s="68"/>
      <c r="AW3958" s="68"/>
      <c r="AY3958" s="27"/>
      <c r="BD3958" s="68">
        <v>46054.1666666667</v>
      </c>
      <c r="BE3958" s="68">
        <v>46082.1666666667</v>
      </c>
      <c r="BF3958" s="0" t="b">
        <v>0</v>
      </c>
      <c r="BG3958" s="0" t="b">
        <v>0</v>
      </c>
      <c r="BH3958" s="0">
        <v>90</v>
      </c>
      <c r="BI3958" s="0">
        <v>90</v>
      </c>
      <c r="BJ3958" s="0" t="s">
        <v>230</v>
      </c>
    </row>
    <row r="3959">
      <c r="A3959" s="0" t="s">
        <v>4217</v>
      </c>
      <c r="B3959" s="0" t="s">
        <v>652</v>
      </c>
      <c r="C3959" s="0" t="s">
        <v>652</v>
      </c>
      <c r="D3959" s="0" t="s">
        <v>135</v>
      </c>
      <c r="E3959" s="0" t="s">
        <v>3</v>
      </c>
      <c r="F3959" s="0" t="s">
        <v>12</v>
      </c>
      <c r="G3959" s="0" t="s">
        <v>8</v>
      </c>
      <c r="H3959" s="0">
        <v>27</v>
      </c>
      <c r="I3959" s="0">
        <v>0</v>
      </c>
      <c r="J3959" s="0">
        <v>0</v>
      </c>
      <c r="K3959" s="0">
        <v>0</v>
      </c>
      <c r="L3959" s="0">
        <v>0</v>
      </c>
      <c r="M3959" s="0">
        <v>0</v>
      </c>
      <c r="N3959" s="0">
        <v>0</v>
      </c>
      <c r="O3959" s="0">
        <v>0</v>
      </c>
      <c r="P3959" s="0">
        <v>0</v>
      </c>
      <c r="R3959" s="0" t="b">
        <v>0</v>
      </c>
      <c r="S3959" s="0" t="b">
        <v>0</v>
      </c>
      <c r="T3959" s="68">
        <v>46026.8542361111</v>
      </c>
      <c r="U3959" s="68">
        <v>0</v>
      </c>
      <c r="V3959" s="68">
        <v>46069.1667592593</v>
      </c>
      <c r="W3959" s="0">
        <f>IF(IF(B3959="none",1,IF(B3959="Trialer",1,0))+IF(C3959="Customer",1,IF(C3959="Lost",1,0))=2,1,0)</f>
      </c>
      <c r="X3959" s="0" t="s">
        <v>148</v>
      </c>
      <c r="Y3959" s="0" t="s">
        <v>243</v>
      </c>
      <c r="AV3959" s="68"/>
      <c r="AW3959" s="68"/>
      <c r="AY3959" s="27"/>
      <c r="BD3959" s="68">
        <v>46054.1666666667</v>
      </c>
      <c r="BE3959" s="68">
        <v>46082.1666666667</v>
      </c>
      <c r="BF3959" s="0" t="b">
        <v>0</v>
      </c>
      <c r="BG3959" s="0" t="b">
        <v>0</v>
      </c>
      <c r="BH3959" s="0">
        <v>44.25</v>
      </c>
      <c r="BI3959" s="0">
        <v>44.25</v>
      </c>
      <c r="BJ3959" s="0" t="s">
        <v>135</v>
      </c>
    </row>
    <row r="3960">
      <c r="A3960" s="0" t="s">
        <v>4218</v>
      </c>
      <c r="B3960" s="0" t="s">
        <v>652</v>
      </c>
      <c r="C3960" s="0" t="s">
        <v>134</v>
      </c>
      <c r="D3960" s="0" t="s">
        <v>135</v>
      </c>
      <c r="E3960" s="0" t="s">
        <v>3</v>
      </c>
      <c r="F3960" s="0" t="s">
        <v>12</v>
      </c>
      <c r="G3960" s="0" t="s">
        <v>8</v>
      </c>
      <c r="H3960" s="0">
        <v>27</v>
      </c>
      <c r="I3960" s="0">
        <v>88.5</v>
      </c>
      <c r="J3960" s="0">
        <v>0</v>
      </c>
      <c r="K3960" s="0">
        <v>2</v>
      </c>
      <c r="L3960" s="0">
        <v>3</v>
      </c>
      <c r="M3960" s="0">
        <v>1</v>
      </c>
      <c r="N3960" s="0">
        <v>0</v>
      </c>
      <c r="O3960" s="0">
        <v>0</v>
      </c>
      <c r="P3960" s="0">
        <v>0</v>
      </c>
      <c r="R3960" s="0" t="b">
        <v>0</v>
      </c>
      <c r="S3960" s="0" t="b">
        <v>1</v>
      </c>
      <c r="T3960" s="68">
        <v>46026.9147222222</v>
      </c>
      <c r="U3960" s="68">
        <v>46065.2916666667</v>
      </c>
      <c r="V3960" s="68">
        <v>0</v>
      </c>
      <c r="W3960" s="0">
        <f>IF(IF(B3960="none",1,IF(B3960="Trialer",1,0))+IF(C3960="Customer",1,IF(C3960="Lost",1,0))=2,1,0)</f>
      </c>
      <c r="X3960" s="0" t="s">
        <v>1461</v>
      </c>
      <c r="Y3960" s="0" t="s">
        <v>243</v>
      </c>
      <c r="AV3960" s="68"/>
      <c r="AW3960" s="68"/>
      <c r="AY3960" s="27"/>
      <c r="BD3960" s="68">
        <v>46054.1666666667</v>
      </c>
      <c r="BE3960" s="68">
        <v>46082.1666666667</v>
      </c>
      <c r="BF3960" s="0" t="b">
        <v>0</v>
      </c>
      <c r="BG3960" s="0" t="b">
        <v>0</v>
      </c>
      <c r="BH3960" s="0">
        <v>44.25</v>
      </c>
      <c r="BI3960" s="0">
        <v>44.25</v>
      </c>
      <c r="BJ3960" s="0" t="s">
        <v>135</v>
      </c>
    </row>
    <row r="3961">
      <c r="A3961" s="0" t="s">
        <v>4219</v>
      </c>
      <c r="B3961" s="0" t="s">
        <v>652</v>
      </c>
      <c r="C3961" s="0" t="s">
        <v>652</v>
      </c>
      <c r="D3961" s="0" t="s">
        <v>135</v>
      </c>
      <c r="E3961" s="0" t="s">
        <v>1515</v>
      </c>
      <c r="F3961" s="0" t="s">
        <v>12</v>
      </c>
      <c r="G3961" s="0" t="s">
        <v>8</v>
      </c>
      <c r="H3961" s="0">
        <v>26</v>
      </c>
      <c r="I3961" s="0">
        <v>0</v>
      </c>
      <c r="J3961" s="0">
        <v>0</v>
      </c>
      <c r="K3961" s="0">
        <v>0</v>
      </c>
      <c r="L3961" s="0">
        <v>0</v>
      </c>
      <c r="M3961" s="0">
        <v>0</v>
      </c>
      <c r="N3961" s="0">
        <v>0</v>
      </c>
      <c r="O3961" s="0">
        <v>0</v>
      </c>
      <c r="P3961" s="0">
        <v>0</v>
      </c>
      <c r="R3961" s="0" t="b">
        <v>0</v>
      </c>
      <c r="S3961" s="0" t="b">
        <v>0</v>
      </c>
      <c r="T3961" s="68">
        <v>46027.0176851852</v>
      </c>
      <c r="U3961" s="68">
        <v>0</v>
      </c>
      <c r="V3961" s="68">
        <v>46069.1667708333</v>
      </c>
      <c r="W3961" s="0">
        <f>IF(IF(B3961="none",1,IF(B3961="Trialer",1,0))+IF(C3961="Customer",1,IF(C3961="Lost",1,0))=2,1,0)</f>
      </c>
      <c r="X3961" s="0" t="s">
        <v>145</v>
      </c>
      <c r="Y3961" s="0" t="s">
        <v>1516</v>
      </c>
      <c r="AV3961" s="68"/>
      <c r="AW3961" s="68"/>
      <c r="AY3961" s="27"/>
      <c r="BD3961" s="68">
        <v>46054.1666666667</v>
      </c>
      <c r="BE3961" s="68">
        <v>46082.1666666667</v>
      </c>
      <c r="BF3961" s="0" t="b">
        <v>0</v>
      </c>
      <c r="BG3961" s="0" t="b">
        <v>0</v>
      </c>
      <c r="BH3961" s="0">
        <v>44.25</v>
      </c>
      <c r="BI3961" s="0">
        <v>44.25</v>
      </c>
      <c r="BJ3961" s="0" t="s">
        <v>135</v>
      </c>
    </row>
    <row r="3962">
      <c r="A3962" s="0" t="s">
        <v>4220</v>
      </c>
      <c r="B3962" s="0" t="s">
        <v>652</v>
      </c>
      <c r="C3962" s="0" t="s">
        <v>652</v>
      </c>
      <c r="D3962" s="0" t="s">
        <v>135</v>
      </c>
      <c r="E3962" s="0" t="s">
        <v>3</v>
      </c>
      <c r="F3962" s="0" t="s">
        <v>12</v>
      </c>
      <c r="G3962" s="0" t="s">
        <v>8</v>
      </c>
      <c r="H3962" s="0">
        <v>26</v>
      </c>
      <c r="I3962" s="0">
        <v>0</v>
      </c>
      <c r="J3962" s="0">
        <v>0</v>
      </c>
      <c r="K3962" s="0">
        <v>0</v>
      </c>
      <c r="L3962" s="0">
        <v>0</v>
      </c>
      <c r="M3962" s="0">
        <v>0</v>
      </c>
      <c r="N3962" s="0">
        <v>0</v>
      </c>
      <c r="O3962" s="0">
        <v>0</v>
      </c>
      <c r="P3962" s="0">
        <v>0</v>
      </c>
      <c r="R3962" s="0" t="b">
        <v>0</v>
      </c>
      <c r="S3962" s="0" t="b">
        <v>0</v>
      </c>
      <c r="T3962" s="68">
        <v>46027.0288657407</v>
      </c>
      <c r="U3962" s="68">
        <v>0</v>
      </c>
      <c r="V3962" s="68">
        <v>46069.1667939815</v>
      </c>
      <c r="W3962" s="0">
        <f>IF(IF(B3962="none",1,IF(B3962="Trialer",1,0))+IF(C3962="Customer",1,IF(C3962="Lost",1,0))=2,1,0)</f>
      </c>
      <c r="X3962" s="0" t="s">
        <v>136</v>
      </c>
      <c r="Y3962" s="0" t="s">
        <v>243</v>
      </c>
      <c r="AV3962" s="68"/>
      <c r="AW3962" s="68"/>
      <c r="AY3962" s="27"/>
      <c r="BD3962" s="68">
        <v>46054.1666666667</v>
      </c>
      <c r="BE3962" s="68">
        <v>46082.1666666667</v>
      </c>
      <c r="BF3962" s="0" t="b">
        <v>0</v>
      </c>
      <c r="BG3962" s="0" t="b">
        <v>0</v>
      </c>
      <c r="BH3962" s="0">
        <v>63.75</v>
      </c>
      <c r="BI3962" s="0">
        <v>63.75</v>
      </c>
      <c r="BJ3962" s="0" t="s">
        <v>135</v>
      </c>
    </row>
    <row r="3963">
      <c r="A3963" s="0" t="s">
        <v>4221</v>
      </c>
      <c r="B3963" s="0" t="s">
        <v>652</v>
      </c>
      <c r="C3963" s="0" t="s">
        <v>652</v>
      </c>
      <c r="D3963" s="0" t="s">
        <v>135</v>
      </c>
      <c r="E3963" s="0" t="s">
        <v>3</v>
      </c>
      <c r="F3963" s="0" t="s">
        <v>12</v>
      </c>
      <c r="G3963" s="0" t="s">
        <v>8</v>
      </c>
      <c r="H3963" s="0">
        <v>26</v>
      </c>
      <c r="I3963" s="0">
        <v>0</v>
      </c>
      <c r="J3963" s="0">
        <v>0</v>
      </c>
      <c r="K3963" s="0">
        <v>0</v>
      </c>
      <c r="L3963" s="0">
        <v>0</v>
      </c>
      <c r="M3963" s="0">
        <v>0</v>
      </c>
      <c r="N3963" s="0">
        <v>0</v>
      </c>
      <c r="O3963" s="0">
        <v>0</v>
      </c>
      <c r="P3963" s="0">
        <v>0</v>
      </c>
      <c r="R3963" s="0" t="b">
        <v>0</v>
      </c>
      <c r="S3963" s="0" t="b">
        <v>0</v>
      </c>
      <c r="T3963" s="68">
        <v>46027.3976157407</v>
      </c>
      <c r="U3963" s="68">
        <v>0</v>
      </c>
      <c r="V3963" s="68">
        <v>46070.166712963</v>
      </c>
      <c r="W3963" s="0">
        <f>IF(IF(B3963="none",1,IF(B3963="Trialer",1,0))+IF(C3963="Customer",1,IF(C3963="Lost",1,0))=2,1,0)</f>
      </c>
      <c r="X3963" s="0" t="s">
        <v>136</v>
      </c>
      <c r="Y3963" s="0" t="s">
        <v>243</v>
      </c>
      <c r="AV3963" s="68"/>
      <c r="AW3963" s="68"/>
      <c r="AY3963" s="27"/>
      <c r="BD3963" s="68">
        <v>46054.1666666667</v>
      </c>
      <c r="BE3963" s="68">
        <v>46082.1666666667</v>
      </c>
      <c r="BF3963" s="0" t="b">
        <v>0</v>
      </c>
      <c r="BG3963" s="0" t="b">
        <v>0</v>
      </c>
      <c r="BH3963" s="0">
        <v>72.75</v>
      </c>
      <c r="BI3963" s="0">
        <v>72.75</v>
      </c>
      <c r="BJ3963" s="0" t="s">
        <v>135</v>
      </c>
    </row>
    <row r="3964">
      <c r="A3964" s="0" t="s">
        <v>4222</v>
      </c>
      <c r="B3964" s="0" t="s">
        <v>652</v>
      </c>
      <c r="C3964" s="0" t="s">
        <v>652</v>
      </c>
      <c r="D3964" s="0" t="s">
        <v>135</v>
      </c>
      <c r="E3964" s="0" t="s">
        <v>2</v>
      </c>
      <c r="F3964" s="0" t="s">
        <v>12</v>
      </c>
      <c r="G3964" s="0" t="s">
        <v>8</v>
      </c>
      <c r="H3964" s="0">
        <v>26</v>
      </c>
      <c r="I3964" s="0">
        <v>0</v>
      </c>
      <c r="J3964" s="0">
        <v>0</v>
      </c>
      <c r="K3964" s="0">
        <v>0</v>
      </c>
      <c r="L3964" s="0">
        <v>0</v>
      </c>
      <c r="M3964" s="0">
        <v>0</v>
      </c>
      <c r="N3964" s="0">
        <v>0</v>
      </c>
      <c r="O3964" s="0">
        <v>0</v>
      </c>
      <c r="P3964" s="0">
        <v>0</v>
      </c>
      <c r="R3964" s="0" t="b">
        <v>0</v>
      </c>
      <c r="S3964" s="0" t="b">
        <v>0</v>
      </c>
      <c r="T3964" s="68">
        <v>46027.4175231481</v>
      </c>
      <c r="U3964" s="68">
        <v>0</v>
      </c>
      <c r="V3964" s="68">
        <v>46070.1667361111</v>
      </c>
      <c r="W3964" s="0">
        <f>IF(IF(B3964="none",1,IF(B3964="Trialer",1,0))+IF(C3964="Customer",1,IF(C3964="Lost",1,0))=2,1,0)</f>
      </c>
      <c r="X3964" s="0" t="s">
        <v>148</v>
      </c>
      <c r="Y3964" s="0" t="s">
        <v>499</v>
      </c>
      <c r="AV3964" s="68"/>
      <c r="AW3964" s="68"/>
      <c r="AY3964" s="27"/>
      <c r="BD3964" s="68">
        <v>46054.1666666667</v>
      </c>
      <c r="BE3964" s="68">
        <v>46082.1666666667</v>
      </c>
      <c r="BF3964" s="0" t="b">
        <v>0</v>
      </c>
      <c r="BG3964" s="0" t="b">
        <v>0</v>
      </c>
      <c r="BH3964" s="0">
        <v>44.25</v>
      </c>
      <c r="BI3964" s="0">
        <v>44.25</v>
      </c>
      <c r="BJ3964" s="0" t="s">
        <v>135</v>
      </c>
    </row>
    <row r="3965">
      <c r="A3965" s="0" t="s">
        <v>4223</v>
      </c>
      <c r="B3965" s="0" t="s">
        <v>652</v>
      </c>
      <c r="C3965" s="0" t="s">
        <v>134</v>
      </c>
      <c r="D3965" s="0" t="s">
        <v>230</v>
      </c>
      <c r="E3965" s="0" t="s">
        <v>2</v>
      </c>
      <c r="F3965" s="0" t="s">
        <v>12</v>
      </c>
      <c r="G3965" s="0" t="s">
        <v>8</v>
      </c>
      <c r="H3965" s="0">
        <v>26</v>
      </c>
      <c r="I3965" s="0">
        <v>683.5</v>
      </c>
      <c r="J3965" s="0">
        <v>0</v>
      </c>
      <c r="K3965" s="0">
        <v>1</v>
      </c>
      <c r="L3965" s="0">
        <v>5</v>
      </c>
      <c r="M3965" s="0">
        <v>5</v>
      </c>
      <c r="N3965" s="0">
        <v>0</v>
      </c>
      <c r="O3965" s="0">
        <v>0</v>
      </c>
      <c r="P3965" s="0">
        <v>5760.3</v>
      </c>
      <c r="R3965" s="0" t="b">
        <v>0</v>
      </c>
      <c r="S3965" s="0" t="b">
        <v>1</v>
      </c>
      <c r="T3965" s="68">
        <v>46027.4229976852</v>
      </c>
      <c r="U3965" s="68">
        <v>46055.2916666667</v>
      </c>
      <c r="V3965" s="68">
        <v>0</v>
      </c>
      <c r="W3965" s="0">
        <f>IF(IF(B3965="none",1,IF(B3965="Trialer",1,0))+IF(C3965="Customer",1,IF(C3965="Lost",1,0))=2,1,0)</f>
      </c>
      <c r="X3965" s="0" t="s">
        <v>145</v>
      </c>
      <c r="Y3965" s="0" t="s">
        <v>499</v>
      </c>
      <c r="AV3965" s="68"/>
      <c r="AW3965" s="68"/>
      <c r="AY3965" s="27"/>
      <c r="BD3965" s="68">
        <v>46054.1666666667</v>
      </c>
      <c r="BE3965" s="68">
        <v>46082.1666666667</v>
      </c>
      <c r="BF3965" s="0" t="b">
        <v>0</v>
      </c>
      <c r="BG3965" s="0" t="b">
        <v>0</v>
      </c>
      <c r="BH3965" s="0">
        <v>401</v>
      </c>
      <c r="BI3965" s="0">
        <v>401</v>
      </c>
      <c r="BJ3965" s="0" t="s">
        <v>230</v>
      </c>
    </row>
    <row r="3966">
      <c r="A3966" s="0" t="s">
        <v>4224</v>
      </c>
      <c r="B3966" s="0" t="s">
        <v>652</v>
      </c>
      <c r="C3966" s="0" t="s">
        <v>652</v>
      </c>
      <c r="D3966" s="0" t="s">
        <v>135</v>
      </c>
      <c r="E3966" s="0" t="s">
        <v>1515</v>
      </c>
      <c r="F3966" s="0" t="s">
        <v>12</v>
      </c>
      <c r="G3966" s="0" t="s">
        <v>8</v>
      </c>
      <c r="H3966" s="0">
        <v>26</v>
      </c>
      <c r="I3966" s="0">
        <v>0</v>
      </c>
      <c r="J3966" s="0">
        <v>0</v>
      </c>
      <c r="K3966" s="0">
        <v>0</v>
      </c>
      <c r="L3966" s="0">
        <v>0</v>
      </c>
      <c r="M3966" s="0">
        <v>0</v>
      </c>
      <c r="N3966" s="0">
        <v>0</v>
      </c>
      <c r="O3966" s="0">
        <v>0</v>
      </c>
      <c r="P3966" s="0">
        <v>0</v>
      </c>
      <c r="R3966" s="0" t="b">
        <v>0</v>
      </c>
      <c r="S3966" s="0" t="b">
        <v>0</v>
      </c>
      <c r="T3966" s="68">
        <v>46027.4474884259</v>
      </c>
      <c r="U3966" s="68">
        <v>0</v>
      </c>
      <c r="V3966" s="68">
        <v>46070.1667592593</v>
      </c>
      <c r="W3966" s="0">
        <f>IF(IF(B3966="none",1,IF(B3966="Trialer",1,0))+IF(C3966="Customer",1,IF(C3966="Lost",1,0))=2,1,0)</f>
      </c>
      <c r="X3966" s="0" t="s">
        <v>145</v>
      </c>
      <c r="Y3966" s="0" t="s">
        <v>1516</v>
      </c>
      <c r="AV3966" s="68"/>
      <c r="AW3966" s="68"/>
      <c r="AY3966" s="27"/>
      <c r="BD3966" s="68">
        <v>46054.1666666667</v>
      </c>
      <c r="BE3966" s="68">
        <v>46082.1666666667</v>
      </c>
      <c r="BF3966" s="0" t="b">
        <v>0</v>
      </c>
      <c r="BG3966" s="0" t="b">
        <v>0</v>
      </c>
      <c r="BH3966" s="0">
        <v>44.25</v>
      </c>
      <c r="BI3966" s="0">
        <v>44.25</v>
      </c>
      <c r="BJ3966" s="0" t="s">
        <v>135</v>
      </c>
    </row>
    <row r="3967">
      <c r="A3967" s="0" t="s">
        <v>4225</v>
      </c>
      <c r="B3967" s="0" t="s">
        <v>652</v>
      </c>
      <c r="C3967" s="0" t="s">
        <v>652</v>
      </c>
      <c r="D3967" s="0" t="s">
        <v>135</v>
      </c>
      <c r="E3967" s="0" t="s">
        <v>3</v>
      </c>
      <c r="F3967" s="0" t="s">
        <v>12</v>
      </c>
      <c r="G3967" s="0" t="s">
        <v>8</v>
      </c>
      <c r="H3967" s="0">
        <v>26</v>
      </c>
      <c r="I3967" s="0">
        <v>0</v>
      </c>
      <c r="J3967" s="0">
        <v>0</v>
      </c>
      <c r="K3967" s="0">
        <v>0</v>
      </c>
      <c r="L3967" s="0">
        <v>0</v>
      </c>
      <c r="M3967" s="0">
        <v>0</v>
      </c>
      <c r="N3967" s="0">
        <v>0</v>
      </c>
      <c r="O3967" s="0">
        <v>0</v>
      </c>
      <c r="P3967" s="0">
        <v>0</v>
      </c>
      <c r="R3967" s="0" t="b">
        <v>0</v>
      </c>
      <c r="S3967" s="0" t="b">
        <v>0</v>
      </c>
      <c r="T3967" s="68">
        <v>46027.4627546296</v>
      </c>
      <c r="U3967" s="68">
        <v>0</v>
      </c>
      <c r="V3967" s="68">
        <v>46070.1668402778</v>
      </c>
      <c r="W3967" s="0">
        <f>IF(IF(B3967="none",1,IF(B3967="Trialer",1,0))+IF(C3967="Customer",1,IF(C3967="Lost",1,0))=2,1,0)</f>
      </c>
      <c r="X3967" s="0" t="s">
        <v>136</v>
      </c>
      <c r="Y3967" s="0" t="s">
        <v>243</v>
      </c>
      <c r="AV3967" s="68"/>
      <c r="AW3967" s="68"/>
      <c r="AY3967" s="27"/>
      <c r="BD3967" s="68">
        <v>46054.1666666667</v>
      </c>
      <c r="BE3967" s="68">
        <v>46082.1666666667</v>
      </c>
      <c r="BF3967" s="0" t="b">
        <v>0</v>
      </c>
      <c r="BG3967" s="0" t="b">
        <v>0</v>
      </c>
      <c r="BH3967" s="0">
        <v>44.25</v>
      </c>
      <c r="BI3967" s="0">
        <v>44.25</v>
      </c>
      <c r="BJ3967" s="0" t="s">
        <v>135</v>
      </c>
    </row>
    <row r="3968">
      <c r="A3968" s="0" t="s">
        <v>4226</v>
      </c>
      <c r="B3968" s="0" t="s">
        <v>134</v>
      </c>
      <c r="C3968" s="0" t="s">
        <v>134</v>
      </c>
      <c r="D3968" s="0" t="s">
        <v>135</v>
      </c>
      <c r="E3968" s="0" t="s">
        <v>2</v>
      </c>
      <c r="F3968" s="0" t="s">
        <v>12</v>
      </c>
      <c r="G3968" s="0" t="s">
        <v>8</v>
      </c>
      <c r="H3968" s="0">
        <v>26</v>
      </c>
      <c r="I3968" s="0">
        <v>1014</v>
      </c>
      <c r="J3968" s="0">
        <v>0</v>
      </c>
      <c r="K3968" s="0">
        <v>1</v>
      </c>
      <c r="L3968" s="0">
        <v>4</v>
      </c>
      <c r="M3968" s="0">
        <v>22</v>
      </c>
      <c r="N3968" s="0">
        <v>0</v>
      </c>
      <c r="O3968" s="0">
        <v>0</v>
      </c>
      <c r="P3968" s="0">
        <v>0</v>
      </c>
      <c r="R3968" s="0" t="b">
        <v>0</v>
      </c>
      <c r="S3968" s="0" t="b">
        <v>1</v>
      </c>
      <c r="T3968" s="68">
        <v>46027.4697337963</v>
      </c>
      <c r="U3968" s="68">
        <v>46042.2916666667</v>
      </c>
      <c r="V3968" s="68">
        <v>0</v>
      </c>
      <c r="W3968" s="0">
        <f>IF(IF(B3968="none",1,IF(B3968="Trialer",1,0))+IF(C3968="Customer",1,IF(C3968="Lost",1,0))=2,1,0)</f>
      </c>
      <c r="X3968" s="0" t="s">
        <v>136</v>
      </c>
      <c r="Y3968" s="0" t="s">
        <v>499</v>
      </c>
      <c r="AV3968" s="68"/>
      <c r="AW3968" s="68"/>
      <c r="AY3968" s="27"/>
      <c r="BD3968" s="68">
        <v>46054.1666666667</v>
      </c>
      <c r="BE3968" s="68">
        <v>46082.1666666667</v>
      </c>
      <c r="BF3968" s="0" t="b">
        <v>0</v>
      </c>
      <c r="BG3968" s="0" t="b">
        <v>0</v>
      </c>
      <c r="BH3968" s="0">
        <v>998</v>
      </c>
      <c r="BI3968" s="0">
        <v>998</v>
      </c>
      <c r="BJ3968" s="0" t="s">
        <v>135</v>
      </c>
    </row>
    <row r="3969">
      <c r="A3969" s="0" t="s">
        <v>4227</v>
      </c>
      <c r="B3969" s="0" t="s">
        <v>652</v>
      </c>
      <c r="C3969" s="0" t="s">
        <v>652</v>
      </c>
      <c r="D3969" s="0" t="s">
        <v>135</v>
      </c>
      <c r="E3969" s="0" t="s">
        <v>3</v>
      </c>
      <c r="F3969" s="0" t="s">
        <v>12</v>
      </c>
      <c r="G3969" s="0" t="s">
        <v>8</v>
      </c>
      <c r="H3969" s="0">
        <v>26</v>
      </c>
      <c r="I3969" s="0">
        <v>0</v>
      </c>
      <c r="J3969" s="0">
        <v>0</v>
      </c>
      <c r="K3969" s="0">
        <v>0</v>
      </c>
      <c r="L3969" s="0">
        <v>0</v>
      </c>
      <c r="M3969" s="0">
        <v>0</v>
      </c>
      <c r="N3969" s="0">
        <v>0</v>
      </c>
      <c r="O3969" s="0">
        <v>0</v>
      </c>
      <c r="P3969" s="0">
        <v>0</v>
      </c>
      <c r="R3969" s="0" t="b">
        <v>0</v>
      </c>
      <c r="S3969" s="0" t="b">
        <v>0</v>
      </c>
      <c r="T3969" s="68">
        <v>46027.4908912037</v>
      </c>
      <c r="U3969" s="68">
        <v>0</v>
      </c>
      <c r="V3969" s="68">
        <v>46078.1668402778</v>
      </c>
      <c r="W3969" s="0">
        <f>IF(IF(B3969="none",1,IF(B3969="Trialer",1,0))+IF(C3969="Customer",1,IF(C3969="Lost",1,0))=2,1,0)</f>
      </c>
      <c r="X3969" s="0" t="s">
        <v>145</v>
      </c>
      <c r="Y3969" s="0" t="s">
        <v>243</v>
      </c>
      <c r="AV3969" s="68"/>
      <c r="AW3969" s="68"/>
      <c r="AY3969" s="27"/>
      <c r="BD3969" s="68">
        <v>46054.1666666667</v>
      </c>
      <c r="BE3969" s="68">
        <v>46082.1666666667</v>
      </c>
      <c r="BF3969" s="0" t="b">
        <v>0</v>
      </c>
      <c r="BG3969" s="0" t="b">
        <v>0</v>
      </c>
      <c r="BH3969" s="0">
        <v>187.5</v>
      </c>
      <c r="BI3969" s="0">
        <v>187.5</v>
      </c>
      <c r="BJ3969" s="0" t="s">
        <v>135</v>
      </c>
    </row>
    <row r="3970">
      <c r="A3970" s="0" t="s">
        <v>4228</v>
      </c>
      <c r="B3970" s="0" t="s">
        <v>134</v>
      </c>
      <c r="C3970" s="0" t="s">
        <v>134</v>
      </c>
      <c r="D3970" s="0" t="s">
        <v>230</v>
      </c>
      <c r="E3970" s="0" t="s">
        <v>2</v>
      </c>
      <c r="F3970" s="0" t="s">
        <v>12</v>
      </c>
      <c r="G3970" s="0" t="s">
        <v>8</v>
      </c>
      <c r="H3970" s="0">
        <v>26</v>
      </c>
      <c r="I3970" s="0">
        <v>925.3</v>
      </c>
      <c r="J3970" s="0">
        <v>0</v>
      </c>
      <c r="K3970" s="0">
        <v>1</v>
      </c>
      <c r="L3970" s="0">
        <v>3</v>
      </c>
      <c r="M3970" s="0">
        <v>13</v>
      </c>
      <c r="N3970" s="0">
        <v>2309.5</v>
      </c>
      <c r="O3970" s="0">
        <v>-77.5</v>
      </c>
      <c r="P3970" s="0">
        <v>-600.3</v>
      </c>
      <c r="R3970" s="0" t="b">
        <v>0</v>
      </c>
      <c r="S3970" s="0" t="b">
        <v>1</v>
      </c>
      <c r="T3970" s="68">
        <v>46027.511412037</v>
      </c>
      <c r="U3970" s="68">
        <v>46036.2916666667</v>
      </c>
      <c r="V3970" s="68">
        <v>0</v>
      </c>
      <c r="W3970" s="0">
        <f>IF(IF(B3970="none",1,IF(B3970="Trialer",1,0))+IF(C3970="Customer",1,IF(C3970="Lost",1,0))=2,1,0)</f>
      </c>
      <c r="X3970" s="0" t="s">
        <v>136</v>
      </c>
      <c r="Y3970" s="0" t="s">
        <v>499</v>
      </c>
      <c r="AV3970" s="68"/>
      <c r="AW3970" s="68"/>
      <c r="AY3970" s="27"/>
      <c r="BD3970" s="68">
        <v>46054.1666666667</v>
      </c>
      <c r="BE3970" s="68">
        <v>46082.1666666667</v>
      </c>
      <c r="BF3970" s="0" t="b">
        <v>0</v>
      </c>
      <c r="BG3970" s="0" t="b">
        <v>0</v>
      </c>
      <c r="BH3970" s="0">
        <v>708</v>
      </c>
      <c r="BI3970" s="0">
        <v>708</v>
      </c>
      <c r="BJ3970" s="0" t="s">
        <v>230</v>
      </c>
    </row>
    <row r="3971">
      <c r="A3971" s="0" t="s">
        <v>4229</v>
      </c>
      <c r="B3971" s="0" t="s">
        <v>134</v>
      </c>
      <c r="C3971" s="0" t="s">
        <v>134</v>
      </c>
      <c r="D3971" s="0" t="s">
        <v>135</v>
      </c>
      <c r="E3971" s="0" t="s">
        <v>2</v>
      </c>
      <c r="F3971" s="0" t="s">
        <v>12</v>
      </c>
      <c r="G3971" s="0" t="s">
        <v>8</v>
      </c>
      <c r="H3971" s="0">
        <v>26</v>
      </c>
      <c r="I3971" s="0">
        <v>105</v>
      </c>
      <c r="J3971" s="0">
        <v>0</v>
      </c>
      <c r="K3971" s="0">
        <v>1</v>
      </c>
      <c r="L3971" s="0">
        <v>1</v>
      </c>
      <c r="M3971" s="0">
        <v>4</v>
      </c>
      <c r="N3971" s="0">
        <v>0</v>
      </c>
      <c r="O3971" s="0">
        <v>0</v>
      </c>
      <c r="P3971" s="0">
        <v>0</v>
      </c>
      <c r="R3971" s="0" t="b">
        <v>0</v>
      </c>
      <c r="S3971" s="0" t="b">
        <v>1</v>
      </c>
      <c r="T3971" s="68">
        <v>46027.5246064815</v>
      </c>
      <c r="U3971" s="68">
        <v>46041.2916666667</v>
      </c>
      <c r="V3971" s="68">
        <v>0</v>
      </c>
      <c r="W3971" s="0">
        <f>IF(IF(B3971="none",1,IF(B3971="Trialer",1,0))+IF(C3971="Customer",1,IF(C3971="Lost",1,0))=2,1,0)</f>
      </c>
      <c r="X3971" s="0" t="s">
        <v>148</v>
      </c>
      <c r="Y3971" s="0" t="s">
        <v>499</v>
      </c>
      <c r="AV3971" s="68"/>
      <c r="AW3971" s="68"/>
      <c r="AY3971" s="27"/>
      <c r="BD3971" s="68">
        <v>46054.1666666667</v>
      </c>
      <c r="BE3971" s="68">
        <v>46082.1666666667</v>
      </c>
      <c r="BF3971" s="0" t="b">
        <v>0</v>
      </c>
      <c r="BG3971" s="0" t="b">
        <v>0</v>
      </c>
      <c r="BH3971" s="0">
        <v>105</v>
      </c>
      <c r="BI3971" s="0">
        <v>105</v>
      </c>
      <c r="BJ3971" s="0" t="s">
        <v>135</v>
      </c>
    </row>
    <row r="3972">
      <c r="A3972" s="0" t="s">
        <v>4230</v>
      </c>
      <c r="B3972" s="0" t="s">
        <v>134</v>
      </c>
      <c r="C3972" s="0" t="s">
        <v>134</v>
      </c>
      <c r="D3972" s="0" t="s">
        <v>135</v>
      </c>
      <c r="E3972" s="0" t="s">
        <v>3</v>
      </c>
      <c r="F3972" s="0" t="s">
        <v>12</v>
      </c>
      <c r="G3972" s="0" t="s">
        <v>8</v>
      </c>
      <c r="H3972" s="0">
        <v>26</v>
      </c>
      <c r="I3972" s="0">
        <v>128.25</v>
      </c>
      <c r="J3972" s="0">
        <v>0</v>
      </c>
      <c r="K3972" s="0">
        <v>1</v>
      </c>
      <c r="L3972" s="0">
        <v>4</v>
      </c>
      <c r="M3972" s="0">
        <v>3</v>
      </c>
      <c r="N3972" s="0">
        <v>310</v>
      </c>
      <c r="O3972" s="0">
        <v>0</v>
      </c>
      <c r="P3972" s="0">
        <v>0</v>
      </c>
      <c r="R3972" s="0" t="b">
        <v>0</v>
      </c>
      <c r="S3972" s="0" t="b">
        <v>1</v>
      </c>
      <c r="T3972" s="68">
        <v>46027.5270833333</v>
      </c>
      <c r="U3972" s="68">
        <v>46041.2916666667</v>
      </c>
      <c r="V3972" s="68">
        <v>0</v>
      </c>
      <c r="W3972" s="0">
        <f>IF(IF(B3972="none",1,IF(B3972="Trialer",1,0))+IF(C3972="Customer",1,IF(C3972="Lost",1,0))=2,1,0)</f>
      </c>
      <c r="X3972" s="0" t="s">
        <v>145</v>
      </c>
      <c r="Y3972" s="0" t="s">
        <v>243</v>
      </c>
      <c r="AV3972" s="68"/>
      <c r="AW3972" s="68"/>
      <c r="AY3972" s="27"/>
      <c r="BD3972" s="68">
        <v>46054.1666666667</v>
      </c>
      <c r="BE3972" s="68">
        <v>46082.1666666667</v>
      </c>
      <c r="BF3972" s="0" t="b">
        <v>0</v>
      </c>
      <c r="BG3972" s="0" t="b">
        <v>0</v>
      </c>
      <c r="BH3972" s="0">
        <v>128.25</v>
      </c>
      <c r="BI3972" s="0">
        <v>128.25</v>
      </c>
      <c r="BJ3972" s="0" t="s">
        <v>135</v>
      </c>
    </row>
    <row r="3973">
      <c r="A3973" s="0" t="s">
        <v>4231</v>
      </c>
      <c r="B3973" s="0" t="s">
        <v>652</v>
      </c>
      <c r="C3973" s="0" t="s">
        <v>652</v>
      </c>
      <c r="D3973" s="0" t="s">
        <v>135</v>
      </c>
      <c r="E3973" s="0" t="s">
        <v>3</v>
      </c>
      <c r="F3973" s="0" t="s">
        <v>12</v>
      </c>
      <c r="G3973" s="0" t="s">
        <v>8</v>
      </c>
      <c r="H3973" s="0">
        <v>26</v>
      </c>
      <c r="I3973" s="0">
        <v>0</v>
      </c>
      <c r="J3973" s="0">
        <v>0</v>
      </c>
      <c r="K3973" s="0">
        <v>0</v>
      </c>
      <c r="L3973" s="0">
        <v>0</v>
      </c>
      <c r="M3973" s="0">
        <v>0</v>
      </c>
      <c r="N3973" s="0">
        <v>0</v>
      </c>
      <c r="O3973" s="0">
        <v>0</v>
      </c>
      <c r="P3973" s="0">
        <v>0</v>
      </c>
      <c r="R3973" s="0" t="b">
        <v>0</v>
      </c>
      <c r="S3973" s="0" t="b">
        <v>0</v>
      </c>
      <c r="T3973" s="68">
        <v>46027.5446875</v>
      </c>
      <c r="U3973" s="68">
        <v>0</v>
      </c>
      <c r="V3973" s="68">
        <v>46070.1668055556</v>
      </c>
      <c r="W3973" s="0">
        <f>IF(IF(B3973="none",1,IF(B3973="Trialer",1,0))+IF(C3973="Customer",1,IF(C3973="Lost",1,0))=2,1,0)</f>
      </c>
      <c r="X3973" s="0" t="s">
        <v>145</v>
      </c>
      <c r="Y3973" s="0" t="s">
        <v>243</v>
      </c>
      <c r="AV3973" s="68"/>
      <c r="AW3973" s="68"/>
      <c r="AY3973" s="27"/>
      <c r="BD3973" s="68">
        <v>46054.1666666667</v>
      </c>
      <c r="BE3973" s="68">
        <v>46082.1666666667</v>
      </c>
      <c r="BF3973" s="0" t="b">
        <v>0</v>
      </c>
      <c r="BG3973" s="0" t="b">
        <v>0</v>
      </c>
      <c r="BH3973" s="0">
        <v>54.75</v>
      </c>
      <c r="BI3973" s="0">
        <v>54.75</v>
      </c>
      <c r="BJ3973" s="0" t="s">
        <v>135</v>
      </c>
    </row>
    <row r="3974">
      <c r="A3974" s="0" t="s">
        <v>4232</v>
      </c>
      <c r="B3974" s="0" t="s">
        <v>652</v>
      </c>
      <c r="C3974" s="0" t="s">
        <v>652</v>
      </c>
      <c r="D3974" s="0" t="s">
        <v>135</v>
      </c>
      <c r="E3974" s="0" t="s">
        <v>3</v>
      </c>
      <c r="F3974" s="0" t="s">
        <v>12</v>
      </c>
      <c r="G3974" s="0" t="s">
        <v>8</v>
      </c>
      <c r="H3974" s="0">
        <v>26</v>
      </c>
      <c r="I3974" s="0">
        <v>0</v>
      </c>
      <c r="J3974" s="0">
        <v>0</v>
      </c>
      <c r="K3974" s="0">
        <v>0</v>
      </c>
      <c r="L3974" s="0">
        <v>0</v>
      </c>
      <c r="M3974" s="0">
        <v>0</v>
      </c>
      <c r="N3974" s="0">
        <v>0</v>
      </c>
      <c r="O3974" s="0">
        <v>0</v>
      </c>
      <c r="P3974" s="0">
        <v>0</v>
      </c>
      <c r="R3974" s="0" t="b">
        <v>0</v>
      </c>
      <c r="S3974" s="0" t="b">
        <v>0</v>
      </c>
      <c r="T3974" s="68">
        <v>46027.5447222222</v>
      </c>
      <c r="U3974" s="68">
        <v>0</v>
      </c>
      <c r="V3974" s="68">
        <v>46070.1667708333</v>
      </c>
      <c r="W3974" s="0">
        <f>IF(IF(B3974="none",1,IF(B3974="Trialer",1,0))+IF(C3974="Customer",1,IF(C3974="Lost",1,0))=2,1,0)</f>
      </c>
      <c r="X3974" s="0" t="s">
        <v>145</v>
      </c>
      <c r="Y3974" s="0" t="s">
        <v>243</v>
      </c>
      <c r="AV3974" s="68"/>
      <c r="AW3974" s="68"/>
      <c r="AY3974" s="27"/>
      <c r="BD3974" s="68">
        <v>46054.1666666667</v>
      </c>
      <c r="BE3974" s="68">
        <v>46082.1666666667</v>
      </c>
      <c r="BF3974" s="0" t="b">
        <v>0</v>
      </c>
      <c r="BG3974" s="0" t="b">
        <v>0</v>
      </c>
      <c r="BH3974" s="0">
        <v>44.25</v>
      </c>
      <c r="BI3974" s="0">
        <v>44.25</v>
      </c>
      <c r="BJ3974" s="0" t="s">
        <v>135</v>
      </c>
    </row>
    <row r="3975">
      <c r="A3975" s="0" t="s">
        <v>4233</v>
      </c>
      <c r="B3975" s="0" t="s">
        <v>652</v>
      </c>
      <c r="C3975" s="0" t="s">
        <v>652</v>
      </c>
      <c r="D3975" s="0" t="s">
        <v>135</v>
      </c>
      <c r="E3975" s="0" t="s">
        <v>3</v>
      </c>
      <c r="F3975" s="0" t="s">
        <v>12</v>
      </c>
      <c r="G3975" s="0" t="s">
        <v>8</v>
      </c>
      <c r="H3975" s="0">
        <v>26</v>
      </c>
      <c r="I3975" s="0">
        <v>0</v>
      </c>
      <c r="J3975" s="0">
        <v>0</v>
      </c>
      <c r="K3975" s="0">
        <v>0</v>
      </c>
      <c r="L3975" s="0">
        <v>0</v>
      </c>
      <c r="M3975" s="0">
        <v>0</v>
      </c>
      <c r="N3975" s="0">
        <v>0</v>
      </c>
      <c r="O3975" s="0">
        <v>0</v>
      </c>
      <c r="P3975" s="0">
        <v>0</v>
      </c>
      <c r="R3975" s="0" t="b">
        <v>0</v>
      </c>
      <c r="S3975" s="0" t="b">
        <v>0</v>
      </c>
      <c r="T3975" s="68">
        <v>46027.5571990741</v>
      </c>
      <c r="U3975" s="68">
        <v>0</v>
      </c>
      <c r="V3975" s="68">
        <v>46070.1667824074</v>
      </c>
      <c r="W3975" s="0">
        <f>IF(IF(B3975="none",1,IF(B3975="Trialer",1,0))+IF(C3975="Customer",1,IF(C3975="Lost",1,0))=2,1,0)</f>
      </c>
      <c r="X3975" s="0" t="s">
        <v>136</v>
      </c>
      <c r="Y3975" s="0" t="s">
        <v>243</v>
      </c>
      <c r="AV3975" s="68"/>
      <c r="AW3975" s="68"/>
      <c r="AY3975" s="27"/>
      <c r="BD3975" s="68">
        <v>46054.1666666667</v>
      </c>
      <c r="BE3975" s="68">
        <v>46082.1666666667</v>
      </c>
      <c r="BF3975" s="0" t="b">
        <v>0</v>
      </c>
      <c r="BG3975" s="0" t="b">
        <v>0</v>
      </c>
      <c r="BH3975" s="0">
        <v>53.25</v>
      </c>
      <c r="BI3975" s="0">
        <v>53.25</v>
      </c>
      <c r="BJ3975" s="0" t="s">
        <v>135</v>
      </c>
    </row>
    <row r="3976">
      <c r="A3976" s="0" t="s">
        <v>4234</v>
      </c>
      <c r="B3976" s="0" t="s">
        <v>652</v>
      </c>
      <c r="C3976" s="0" t="s">
        <v>652</v>
      </c>
      <c r="D3976" s="0" t="s">
        <v>135</v>
      </c>
      <c r="E3976" s="0" t="s">
        <v>4</v>
      </c>
      <c r="F3976" s="0" t="s">
        <v>12</v>
      </c>
      <c r="G3976" s="0" t="s">
        <v>8</v>
      </c>
      <c r="H3976" s="0">
        <v>26</v>
      </c>
      <c r="I3976" s="0">
        <v>0</v>
      </c>
      <c r="J3976" s="0">
        <v>0</v>
      </c>
      <c r="K3976" s="0">
        <v>0</v>
      </c>
      <c r="L3976" s="0">
        <v>0</v>
      </c>
      <c r="M3976" s="0">
        <v>0</v>
      </c>
      <c r="N3976" s="0">
        <v>0</v>
      </c>
      <c r="O3976" s="0">
        <v>0</v>
      </c>
      <c r="P3976" s="0">
        <v>0</v>
      </c>
      <c r="R3976" s="0" t="b">
        <v>0</v>
      </c>
      <c r="S3976" s="0" t="b">
        <v>0</v>
      </c>
      <c r="T3976" s="68">
        <v>46027.5627546296</v>
      </c>
      <c r="U3976" s="68">
        <v>0</v>
      </c>
      <c r="V3976" s="68">
        <v>46070.1667939815</v>
      </c>
      <c r="W3976" s="0">
        <f>IF(IF(B3976="none",1,IF(B3976="Trialer",1,0))+IF(C3976="Customer",1,IF(C3976="Lost",1,0))=2,1,0)</f>
      </c>
      <c r="X3976" s="0" t="s">
        <v>148</v>
      </c>
      <c r="Y3976" s="0" t="s">
        <v>1772</v>
      </c>
      <c r="AV3976" s="68"/>
      <c r="AW3976" s="68"/>
      <c r="AY3976" s="27"/>
      <c r="BD3976" s="68">
        <v>46054.1666666667</v>
      </c>
      <c r="BE3976" s="68">
        <v>46082.1666666667</v>
      </c>
      <c r="BF3976" s="0" t="b">
        <v>0</v>
      </c>
      <c r="BG3976" s="0" t="b">
        <v>0</v>
      </c>
      <c r="BH3976" s="0">
        <v>44.25</v>
      </c>
      <c r="BI3976" s="0">
        <v>44.25</v>
      </c>
      <c r="BJ3976" s="0" t="s">
        <v>135</v>
      </c>
    </row>
    <row r="3977">
      <c r="A3977" s="0" t="s">
        <v>4235</v>
      </c>
      <c r="B3977" s="0" t="s">
        <v>652</v>
      </c>
      <c r="C3977" s="0" t="s">
        <v>652</v>
      </c>
      <c r="D3977" s="0" t="s">
        <v>135</v>
      </c>
      <c r="E3977" s="0" t="s">
        <v>3</v>
      </c>
      <c r="F3977" s="0" t="s">
        <v>12</v>
      </c>
      <c r="G3977" s="0" t="s">
        <v>8</v>
      </c>
      <c r="H3977" s="0">
        <v>26</v>
      </c>
      <c r="I3977" s="0">
        <v>0</v>
      </c>
      <c r="J3977" s="0">
        <v>0</v>
      </c>
      <c r="K3977" s="0">
        <v>0</v>
      </c>
      <c r="L3977" s="0">
        <v>0</v>
      </c>
      <c r="M3977" s="0">
        <v>0</v>
      </c>
      <c r="N3977" s="0">
        <v>0</v>
      </c>
      <c r="O3977" s="0">
        <v>0</v>
      </c>
      <c r="P3977" s="0">
        <v>0</v>
      </c>
      <c r="R3977" s="0" t="b">
        <v>0</v>
      </c>
      <c r="S3977" s="0" t="b">
        <v>0</v>
      </c>
      <c r="T3977" s="68">
        <v>46027.6229976852</v>
      </c>
      <c r="U3977" s="68">
        <v>0</v>
      </c>
      <c r="V3977" s="68">
        <v>46070.1668402778</v>
      </c>
      <c r="W3977" s="0">
        <f>IF(IF(B3977="none",1,IF(B3977="Trialer",1,0))+IF(C3977="Customer",1,IF(C3977="Lost",1,0))=2,1,0)</f>
      </c>
      <c r="X3977" s="0" t="s">
        <v>136</v>
      </c>
      <c r="Y3977" s="0" t="s">
        <v>243</v>
      </c>
      <c r="AV3977" s="68"/>
      <c r="AW3977" s="68"/>
      <c r="AY3977" s="27"/>
      <c r="BD3977" s="68">
        <v>46054.1666666667</v>
      </c>
      <c r="BE3977" s="68">
        <v>46082.1666666667</v>
      </c>
      <c r="BF3977" s="0" t="b">
        <v>0</v>
      </c>
      <c r="BG3977" s="0" t="b">
        <v>0</v>
      </c>
      <c r="BH3977" s="0">
        <v>53.25</v>
      </c>
      <c r="BI3977" s="0">
        <v>53.25</v>
      </c>
      <c r="BJ3977" s="0" t="s">
        <v>135</v>
      </c>
    </row>
    <row r="3978">
      <c r="A3978" s="0" t="s">
        <v>4236</v>
      </c>
      <c r="B3978" s="0" t="s">
        <v>652</v>
      </c>
      <c r="C3978" s="0" t="s">
        <v>652</v>
      </c>
      <c r="D3978" s="0" t="s">
        <v>135</v>
      </c>
      <c r="E3978" s="0" t="s">
        <v>3</v>
      </c>
      <c r="F3978" s="0" t="s">
        <v>12</v>
      </c>
      <c r="G3978" s="0" t="s">
        <v>8</v>
      </c>
      <c r="H3978" s="0">
        <v>26</v>
      </c>
      <c r="I3978" s="0">
        <v>0</v>
      </c>
      <c r="J3978" s="0">
        <v>0</v>
      </c>
      <c r="K3978" s="0">
        <v>0</v>
      </c>
      <c r="L3978" s="0">
        <v>0</v>
      </c>
      <c r="M3978" s="0">
        <v>0</v>
      </c>
      <c r="N3978" s="0">
        <v>0</v>
      </c>
      <c r="O3978" s="0">
        <v>0</v>
      </c>
      <c r="P3978" s="0">
        <v>0</v>
      </c>
      <c r="R3978" s="0" t="b">
        <v>0</v>
      </c>
      <c r="S3978" s="0" t="b">
        <v>0</v>
      </c>
      <c r="T3978" s="68">
        <v>46027.6367361111</v>
      </c>
      <c r="U3978" s="68">
        <v>0</v>
      </c>
      <c r="V3978" s="68">
        <v>46070.1668634259</v>
      </c>
      <c r="W3978" s="0">
        <f>IF(IF(B3978="none",1,IF(B3978="Trialer",1,0))+IF(C3978="Customer",1,IF(C3978="Lost",1,0))=2,1,0)</f>
      </c>
      <c r="X3978" s="0" t="s">
        <v>136</v>
      </c>
      <c r="Y3978" s="0" t="s">
        <v>243</v>
      </c>
      <c r="AV3978" s="68"/>
      <c r="AW3978" s="68"/>
      <c r="AY3978" s="27"/>
      <c r="BD3978" s="68">
        <v>46054.1666666667</v>
      </c>
      <c r="BE3978" s="68">
        <v>46082.1666666667</v>
      </c>
      <c r="BF3978" s="0" t="b">
        <v>0</v>
      </c>
      <c r="BG3978" s="0" t="b">
        <v>0</v>
      </c>
      <c r="BH3978" s="0">
        <v>54.75</v>
      </c>
      <c r="BI3978" s="0">
        <v>54.75</v>
      </c>
      <c r="BJ3978" s="0" t="s">
        <v>135</v>
      </c>
    </row>
    <row r="3979">
      <c r="A3979" s="0" t="s">
        <v>4237</v>
      </c>
      <c r="B3979" s="0" t="s">
        <v>134</v>
      </c>
      <c r="C3979" s="0" t="s">
        <v>134</v>
      </c>
      <c r="D3979" s="0" t="s">
        <v>135</v>
      </c>
      <c r="E3979" s="0" t="s">
        <v>3</v>
      </c>
      <c r="F3979" s="0" t="s">
        <v>10</v>
      </c>
      <c r="G3979" s="0" t="s">
        <v>8</v>
      </c>
      <c r="H3979" s="0">
        <v>26</v>
      </c>
      <c r="I3979" s="0">
        <v>204</v>
      </c>
      <c r="J3979" s="0">
        <v>0</v>
      </c>
      <c r="K3979" s="0">
        <v>1</v>
      </c>
      <c r="L3979" s="0">
        <v>4</v>
      </c>
      <c r="M3979" s="0">
        <v>4</v>
      </c>
      <c r="N3979" s="0">
        <v>0</v>
      </c>
      <c r="O3979" s="0">
        <v>0</v>
      </c>
      <c r="P3979" s="0">
        <v>0</v>
      </c>
      <c r="Q3979" s="0" t="s">
        <v>3975</v>
      </c>
      <c r="R3979" s="0" t="b">
        <v>0</v>
      </c>
      <c r="S3979" s="0" t="b">
        <v>1</v>
      </c>
      <c r="T3979" s="68">
        <v>46027.6742939815</v>
      </c>
      <c r="U3979" s="68">
        <v>46041.2916666667</v>
      </c>
      <c r="V3979" s="68">
        <v>0</v>
      </c>
      <c r="W3979" s="0">
        <f>IF(IF(B3979="none",1,IF(B3979="Trialer",1,0))+IF(C3979="Customer",1,IF(C3979="Lost",1,0))=2,1,0)</f>
      </c>
      <c r="X3979" s="0" t="s">
        <v>136</v>
      </c>
      <c r="Y3979" s="0" t="s">
        <v>243</v>
      </c>
      <c r="AV3979" s="68"/>
      <c r="AW3979" s="68"/>
      <c r="AY3979" s="27"/>
      <c r="BD3979" s="68">
        <v>46054.1666666667</v>
      </c>
      <c r="BE3979" s="68">
        <v>46082.1666666667</v>
      </c>
      <c r="BF3979" s="0" t="b">
        <v>0</v>
      </c>
      <c r="BG3979" s="0" t="b">
        <v>0</v>
      </c>
      <c r="BH3979" s="0">
        <v>204</v>
      </c>
      <c r="BI3979" s="0">
        <v>204</v>
      </c>
      <c r="BJ3979" s="0" t="s">
        <v>135</v>
      </c>
    </row>
    <row r="3980">
      <c r="A3980" s="0" t="s">
        <v>4238</v>
      </c>
      <c r="B3980" s="0" t="s">
        <v>652</v>
      </c>
      <c r="C3980" s="0" t="s">
        <v>652</v>
      </c>
      <c r="D3980" s="0" t="s">
        <v>135</v>
      </c>
      <c r="E3980" s="0" t="s">
        <v>3</v>
      </c>
      <c r="F3980" s="0" t="s">
        <v>12</v>
      </c>
      <c r="G3980" s="0" t="s">
        <v>8</v>
      </c>
      <c r="H3980" s="0">
        <v>26</v>
      </c>
      <c r="I3980" s="0">
        <v>0</v>
      </c>
      <c r="J3980" s="0">
        <v>0</v>
      </c>
      <c r="K3980" s="0">
        <v>0</v>
      </c>
      <c r="L3980" s="0">
        <v>0</v>
      </c>
      <c r="M3980" s="0">
        <v>0</v>
      </c>
      <c r="N3980" s="0">
        <v>0</v>
      </c>
      <c r="O3980" s="0">
        <v>0</v>
      </c>
      <c r="P3980" s="0">
        <v>0</v>
      </c>
      <c r="R3980" s="0" t="b">
        <v>0</v>
      </c>
      <c r="S3980" s="0" t="b">
        <v>0</v>
      </c>
      <c r="T3980" s="68">
        <v>46027.6744328704</v>
      </c>
      <c r="U3980" s="68">
        <v>0</v>
      </c>
      <c r="V3980" s="68">
        <v>46070.166875</v>
      </c>
      <c r="W3980" s="0">
        <f>IF(IF(B3980="none",1,IF(B3980="Trialer",1,0))+IF(C3980="Customer",1,IF(C3980="Lost",1,0))=2,1,0)</f>
      </c>
      <c r="X3980" s="0" t="s">
        <v>148</v>
      </c>
      <c r="Y3980" s="0" t="s">
        <v>243</v>
      </c>
      <c r="AV3980" s="68"/>
      <c r="AW3980" s="68"/>
      <c r="AY3980" s="27"/>
      <c r="BD3980" s="68">
        <v>46054.1666666667</v>
      </c>
      <c r="BE3980" s="68">
        <v>46082.1666666667</v>
      </c>
      <c r="BF3980" s="0" t="b">
        <v>0</v>
      </c>
      <c r="BG3980" s="0" t="b">
        <v>0</v>
      </c>
      <c r="BH3980" s="0">
        <v>44.25</v>
      </c>
      <c r="BI3980" s="0">
        <v>44.25</v>
      </c>
      <c r="BJ3980" s="0" t="s">
        <v>135</v>
      </c>
    </row>
    <row r="3981">
      <c r="A3981" s="0" t="s">
        <v>4239</v>
      </c>
      <c r="B3981" s="0" t="s">
        <v>652</v>
      </c>
      <c r="C3981" s="0" t="s">
        <v>652</v>
      </c>
      <c r="D3981" s="0" t="s">
        <v>135</v>
      </c>
      <c r="E3981" s="0" t="s">
        <v>3</v>
      </c>
      <c r="F3981" s="0" t="s">
        <v>12</v>
      </c>
      <c r="G3981" s="0" t="s">
        <v>8</v>
      </c>
      <c r="H3981" s="0">
        <v>26</v>
      </c>
      <c r="I3981" s="0">
        <v>0</v>
      </c>
      <c r="J3981" s="0">
        <v>0</v>
      </c>
      <c r="K3981" s="0">
        <v>0</v>
      </c>
      <c r="L3981" s="0">
        <v>0</v>
      </c>
      <c r="M3981" s="0">
        <v>0</v>
      </c>
      <c r="N3981" s="0">
        <v>0</v>
      </c>
      <c r="O3981" s="0">
        <v>0</v>
      </c>
      <c r="P3981" s="0">
        <v>0</v>
      </c>
      <c r="R3981" s="0" t="b">
        <v>0</v>
      </c>
      <c r="S3981" s="0" t="b">
        <v>0</v>
      </c>
      <c r="T3981" s="68">
        <v>46027.6845601852</v>
      </c>
      <c r="U3981" s="68">
        <v>0</v>
      </c>
      <c r="V3981" s="68">
        <v>46070.1668865741</v>
      </c>
      <c r="W3981" s="0">
        <f>IF(IF(B3981="none",1,IF(B3981="Trialer",1,0))+IF(C3981="Customer",1,IF(C3981="Lost",1,0))=2,1,0)</f>
      </c>
      <c r="X3981" s="0" t="s">
        <v>145</v>
      </c>
      <c r="Y3981" s="0" t="s">
        <v>243</v>
      </c>
      <c r="AV3981" s="68"/>
      <c r="AW3981" s="68"/>
      <c r="AY3981" s="27"/>
      <c r="BD3981" s="68">
        <v>46054.1666666667</v>
      </c>
      <c r="BE3981" s="68">
        <v>46082.1666666667</v>
      </c>
      <c r="BF3981" s="0" t="b">
        <v>0</v>
      </c>
      <c r="BG3981" s="0" t="b">
        <v>0</v>
      </c>
      <c r="BH3981" s="0">
        <v>53.25</v>
      </c>
      <c r="BI3981" s="0">
        <v>53.25</v>
      </c>
      <c r="BJ3981" s="0" t="s">
        <v>135</v>
      </c>
    </row>
    <row r="3982">
      <c r="A3982" s="0" t="s">
        <v>4240</v>
      </c>
      <c r="B3982" s="0" t="s">
        <v>652</v>
      </c>
      <c r="C3982" s="0" t="s">
        <v>652</v>
      </c>
      <c r="D3982" s="0" t="s">
        <v>135</v>
      </c>
      <c r="E3982" s="0" t="s">
        <v>3</v>
      </c>
      <c r="F3982" s="0" t="s">
        <v>12</v>
      </c>
      <c r="G3982" s="0" t="s">
        <v>8</v>
      </c>
      <c r="H3982" s="0">
        <v>26</v>
      </c>
      <c r="I3982" s="0">
        <v>0</v>
      </c>
      <c r="J3982" s="0">
        <v>0</v>
      </c>
      <c r="K3982" s="0">
        <v>0</v>
      </c>
      <c r="L3982" s="0">
        <v>0</v>
      </c>
      <c r="M3982" s="0">
        <v>0</v>
      </c>
      <c r="N3982" s="0">
        <v>0</v>
      </c>
      <c r="O3982" s="0">
        <v>0</v>
      </c>
      <c r="P3982" s="0">
        <v>0</v>
      </c>
      <c r="R3982" s="0" t="b">
        <v>0</v>
      </c>
      <c r="S3982" s="0" t="b">
        <v>0</v>
      </c>
      <c r="T3982" s="68">
        <v>46027.8425347222</v>
      </c>
      <c r="U3982" s="68">
        <v>0</v>
      </c>
      <c r="V3982" s="68">
        <v>46070.1668981481</v>
      </c>
      <c r="W3982" s="0">
        <f>IF(IF(B3982="none",1,IF(B3982="Trialer",1,0))+IF(C3982="Customer",1,IF(C3982="Lost",1,0))=2,1,0)</f>
      </c>
      <c r="X3982" s="0" t="s">
        <v>148</v>
      </c>
      <c r="Y3982" s="0" t="s">
        <v>243</v>
      </c>
      <c r="AV3982" s="68"/>
      <c r="AW3982" s="68"/>
      <c r="AY3982" s="27"/>
      <c r="BD3982" s="68">
        <v>46054.1666666667</v>
      </c>
      <c r="BE3982" s="68">
        <v>46082.1666666667</v>
      </c>
      <c r="BF3982" s="0" t="b">
        <v>0</v>
      </c>
      <c r="BG3982" s="0" t="b">
        <v>0</v>
      </c>
      <c r="BH3982" s="0">
        <v>44.25</v>
      </c>
      <c r="BI3982" s="0">
        <v>44.25</v>
      </c>
      <c r="BJ3982" s="0" t="s">
        <v>135</v>
      </c>
    </row>
    <row r="3983">
      <c r="A3983" s="0" t="s">
        <v>4241</v>
      </c>
      <c r="B3983" s="0" t="s">
        <v>652</v>
      </c>
      <c r="C3983" s="0" t="s">
        <v>652</v>
      </c>
      <c r="D3983" s="0" t="s">
        <v>135</v>
      </c>
      <c r="E3983" s="0" t="s">
        <v>3</v>
      </c>
      <c r="F3983" s="0" t="s">
        <v>12</v>
      </c>
      <c r="G3983" s="0" t="s">
        <v>8</v>
      </c>
      <c r="H3983" s="0">
        <v>26</v>
      </c>
      <c r="I3983" s="0">
        <v>0</v>
      </c>
      <c r="J3983" s="0">
        <v>0</v>
      </c>
      <c r="K3983" s="0">
        <v>0</v>
      </c>
      <c r="L3983" s="0">
        <v>0</v>
      </c>
      <c r="M3983" s="0">
        <v>0</v>
      </c>
      <c r="N3983" s="0">
        <v>0</v>
      </c>
      <c r="O3983" s="0">
        <v>0</v>
      </c>
      <c r="P3983" s="0">
        <v>0</v>
      </c>
      <c r="R3983" s="0" t="b">
        <v>0</v>
      </c>
      <c r="S3983" s="0" t="b">
        <v>0</v>
      </c>
      <c r="T3983" s="68">
        <v>46027.8965740741</v>
      </c>
      <c r="U3983" s="68">
        <v>0</v>
      </c>
      <c r="V3983" s="68">
        <v>46070.1669444444</v>
      </c>
      <c r="W3983" s="0">
        <f>IF(IF(B3983="none",1,IF(B3983="Trialer",1,0))+IF(C3983="Customer",1,IF(C3983="Lost",1,0))=2,1,0)</f>
      </c>
      <c r="X3983" s="0" t="s">
        <v>136</v>
      </c>
      <c r="Y3983" s="0" t="s">
        <v>243</v>
      </c>
      <c r="AV3983" s="68"/>
      <c r="AW3983" s="68"/>
      <c r="AY3983" s="27"/>
      <c r="BD3983" s="68">
        <v>46054.1666666667</v>
      </c>
      <c r="BE3983" s="68">
        <v>46082.1666666667</v>
      </c>
      <c r="BF3983" s="0" t="b">
        <v>0</v>
      </c>
      <c r="BG3983" s="0" t="b">
        <v>0</v>
      </c>
      <c r="BH3983" s="0">
        <v>44.25</v>
      </c>
      <c r="BI3983" s="0">
        <v>44.25</v>
      </c>
      <c r="BJ3983" s="0" t="s">
        <v>135</v>
      </c>
    </row>
    <row r="3984">
      <c r="A3984" s="0" t="s">
        <v>4242</v>
      </c>
      <c r="B3984" s="0" t="s">
        <v>652</v>
      </c>
      <c r="C3984" s="0" t="s">
        <v>652</v>
      </c>
      <c r="D3984" s="0" t="s">
        <v>135</v>
      </c>
      <c r="E3984" s="0" t="s">
        <v>3</v>
      </c>
      <c r="F3984" s="0" t="s">
        <v>12</v>
      </c>
      <c r="G3984" s="0" t="s">
        <v>8</v>
      </c>
      <c r="H3984" s="0">
        <v>26</v>
      </c>
      <c r="I3984" s="0">
        <v>0</v>
      </c>
      <c r="J3984" s="0">
        <v>0</v>
      </c>
      <c r="K3984" s="0">
        <v>0</v>
      </c>
      <c r="L3984" s="0">
        <v>0</v>
      </c>
      <c r="M3984" s="0">
        <v>0</v>
      </c>
      <c r="N3984" s="0">
        <v>0</v>
      </c>
      <c r="O3984" s="0">
        <v>0</v>
      </c>
      <c r="P3984" s="0">
        <v>0</v>
      </c>
      <c r="R3984" s="0" t="b">
        <v>0</v>
      </c>
      <c r="S3984" s="0" t="b">
        <v>0</v>
      </c>
      <c r="T3984" s="68">
        <v>46027.902662037</v>
      </c>
      <c r="U3984" s="68">
        <v>0</v>
      </c>
      <c r="V3984" s="68">
        <v>46057.4220138889</v>
      </c>
      <c r="W3984" s="0">
        <f>IF(IF(B3984="none",1,IF(B3984="Trialer",1,0))+IF(C3984="Customer",1,IF(C3984="Lost",1,0))=2,1,0)</f>
      </c>
      <c r="X3984" s="0" t="s">
        <v>148</v>
      </c>
      <c r="Y3984" s="0" t="s">
        <v>243</v>
      </c>
      <c r="AV3984" s="68"/>
      <c r="AW3984" s="68"/>
      <c r="AY3984" s="27"/>
      <c r="BD3984" s="68">
        <v>46054.1666666667</v>
      </c>
      <c r="BE3984" s="68">
        <v>46082.1666666667</v>
      </c>
      <c r="BF3984" s="0" t="b">
        <v>0</v>
      </c>
      <c r="BG3984" s="0" t="b">
        <v>0</v>
      </c>
      <c r="BH3984" s="0">
        <v>85</v>
      </c>
      <c r="BI3984" s="0">
        <v>85</v>
      </c>
      <c r="BJ3984" s="0" t="s">
        <v>230</v>
      </c>
    </row>
    <row r="3985">
      <c r="A3985" s="0" t="s">
        <v>4243</v>
      </c>
      <c r="B3985" s="0" t="s">
        <v>652</v>
      </c>
      <c r="C3985" s="0" t="s">
        <v>652</v>
      </c>
      <c r="D3985" s="0" t="s">
        <v>135</v>
      </c>
      <c r="E3985" s="0" t="s">
        <v>2414</v>
      </c>
      <c r="F3985" s="0" t="s">
        <v>12</v>
      </c>
      <c r="G3985" s="0" t="s">
        <v>8</v>
      </c>
      <c r="H3985" s="0">
        <v>25</v>
      </c>
      <c r="I3985" s="0">
        <v>0</v>
      </c>
      <c r="J3985" s="0">
        <v>0</v>
      </c>
      <c r="K3985" s="0">
        <v>0</v>
      </c>
      <c r="L3985" s="0">
        <v>0</v>
      </c>
      <c r="M3985" s="0">
        <v>0</v>
      </c>
      <c r="N3985" s="0">
        <v>0</v>
      </c>
      <c r="O3985" s="0">
        <v>0</v>
      </c>
      <c r="P3985" s="0">
        <v>0</v>
      </c>
      <c r="R3985" s="0" t="b">
        <v>0</v>
      </c>
      <c r="S3985" s="0" t="b">
        <v>0</v>
      </c>
      <c r="T3985" s="68">
        <v>46027.9831597222</v>
      </c>
      <c r="U3985" s="68">
        <v>0</v>
      </c>
      <c r="V3985" s="68">
        <v>46070.1669675926</v>
      </c>
      <c r="W3985" s="0">
        <f>IF(IF(B3985="none",1,IF(B3985="Trialer",1,0))+IF(C3985="Customer",1,IF(C3985="Lost",1,0))=2,1,0)</f>
      </c>
      <c r="X3985" s="0" t="s">
        <v>148</v>
      </c>
      <c r="Y3985" s="0" t="s">
        <v>1516</v>
      </c>
      <c r="AV3985" s="68"/>
      <c r="AW3985" s="68"/>
      <c r="AY3985" s="27"/>
      <c r="BD3985" s="68">
        <v>46054.1666666667</v>
      </c>
      <c r="BE3985" s="68">
        <v>46082.1666666667</v>
      </c>
      <c r="BF3985" s="0" t="b">
        <v>0</v>
      </c>
      <c r="BG3985" s="0" t="b">
        <v>0</v>
      </c>
      <c r="BH3985" s="0">
        <v>44.25</v>
      </c>
      <c r="BI3985" s="0">
        <v>44.25</v>
      </c>
      <c r="BJ3985" s="0" t="s">
        <v>135</v>
      </c>
    </row>
    <row r="3986">
      <c r="A3986" s="0" t="s">
        <v>4244</v>
      </c>
      <c r="B3986" s="0" t="s">
        <v>652</v>
      </c>
      <c r="C3986" s="0" t="s">
        <v>652</v>
      </c>
      <c r="D3986" s="0" t="s">
        <v>135</v>
      </c>
      <c r="E3986" s="0" t="s">
        <v>3</v>
      </c>
      <c r="F3986" s="0" t="s">
        <v>12</v>
      </c>
      <c r="G3986" s="0" t="s">
        <v>8</v>
      </c>
      <c r="H3986" s="0">
        <v>25</v>
      </c>
      <c r="I3986" s="0">
        <v>0</v>
      </c>
      <c r="J3986" s="0">
        <v>0</v>
      </c>
      <c r="K3986" s="0">
        <v>0</v>
      </c>
      <c r="L3986" s="0">
        <v>0</v>
      </c>
      <c r="M3986" s="0">
        <v>0</v>
      </c>
      <c r="N3986" s="0">
        <v>0</v>
      </c>
      <c r="O3986" s="0">
        <v>0</v>
      </c>
      <c r="P3986" s="0">
        <v>0</v>
      </c>
      <c r="R3986" s="0" t="b">
        <v>0</v>
      </c>
      <c r="S3986" s="0" t="b">
        <v>0</v>
      </c>
      <c r="T3986" s="68">
        <v>46027.9914236111</v>
      </c>
      <c r="U3986" s="68">
        <v>0</v>
      </c>
      <c r="V3986" s="68">
        <v>46070.1667939815</v>
      </c>
      <c r="W3986" s="0">
        <f>IF(IF(B3986="none",1,IF(B3986="Trialer",1,0))+IF(C3986="Customer",1,IF(C3986="Lost",1,0))=2,1,0)</f>
      </c>
      <c r="X3986" s="0" t="s">
        <v>148</v>
      </c>
      <c r="Y3986" s="0" t="s">
        <v>243</v>
      </c>
      <c r="AV3986" s="68"/>
      <c r="AW3986" s="68"/>
      <c r="AY3986" s="27"/>
      <c r="BD3986" s="68">
        <v>46054.1666666667</v>
      </c>
      <c r="BE3986" s="68">
        <v>46082.1666666667</v>
      </c>
      <c r="BF3986" s="0" t="b">
        <v>0</v>
      </c>
      <c r="BG3986" s="0" t="b">
        <v>0</v>
      </c>
      <c r="BH3986" s="0">
        <v>132.75</v>
      </c>
      <c r="BI3986" s="0">
        <v>132.75</v>
      </c>
      <c r="BJ3986" s="0" t="s">
        <v>135</v>
      </c>
    </row>
    <row r="3987">
      <c r="A3987" s="0" t="s">
        <v>4245</v>
      </c>
      <c r="B3987" s="0" t="s">
        <v>652</v>
      </c>
      <c r="C3987" s="0" t="s">
        <v>652</v>
      </c>
      <c r="D3987" s="0" t="s">
        <v>135</v>
      </c>
      <c r="E3987" s="0" t="s">
        <v>3</v>
      </c>
      <c r="F3987" s="0" t="s">
        <v>12</v>
      </c>
      <c r="G3987" s="0" t="s">
        <v>8</v>
      </c>
      <c r="H3987" s="0">
        <v>25</v>
      </c>
      <c r="I3987" s="0">
        <v>0</v>
      </c>
      <c r="J3987" s="0">
        <v>0</v>
      </c>
      <c r="K3987" s="0">
        <v>0</v>
      </c>
      <c r="L3987" s="0">
        <v>0</v>
      </c>
      <c r="M3987" s="0">
        <v>0</v>
      </c>
      <c r="N3987" s="0">
        <v>0</v>
      </c>
      <c r="O3987" s="0">
        <v>0</v>
      </c>
      <c r="P3987" s="0">
        <v>0</v>
      </c>
      <c r="R3987" s="0" t="b">
        <v>0</v>
      </c>
      <c r="S3987" s="0" t="b">
        <v>0</v>
      </c>
      <c r="T3987" s="68">
        <v>46028.0293402778</v>
      </c>
      <c r="U3987" s="68">
        <v>0</v>
      </c>
      <c r="V3987" s="68">
        <v>46070.1668055556</v>
      </c>
      <c r="W3987" s="0">
        <f>IF(IF(B3987="none",1,IF(B3987="Trialer",1,0))+IF(C3987="Customer",1,IF(C3987="Lost",1,0))=2,1,0)</f>
      </c>
      <c r="X3987" s="0" t="s">
        <v>148</v>
      </c>
      <c r="Y3987" s="0" t="s">
        <v>243</v>
      </c>
      <c r="AV3987" s="68"/>
      <c r="AW3987" s="68"/>
      <c r="AY3987" s="27"/>
      <c r="BD3987" s="68">
        <v>46054.1666666667</v>
      </c>
      <c r="BE3987" s="68">
        <v>46082.1666666667</v>
      </c>
      <c r="BF3987" s="0" t="b">
        <v>0</v>
      </c>
      <c r="BG3987" s="0" t="b">
        <v>0</v>
      </c>
      <c r="BH3987" s="0">
        <v>54.75</v>
      </c>
      <c r="BI3987" s="0">
        <v>54.75</v>
      </c>
      <c r="BJ3987" s="0" t="s">
        <v>135</v>
      </c>
    </row>
    <row r="3988">
      <c r="A3988" s="0" t="s">
        <v>4246</v>
      </c>
      <c r="B3988" s="0" t="s">
        <v>134</v>
      </c>
      <c r="C3988" s="0" t="s">
        <v>134</v>
      </c>
      <c r="D3988" s="0" t="s">
        <v>135</v>
      </c>
      <c r="E3988" s="0" t="s">
        <v>3</v>
      </c>
      <c r="F3988" s="0" t="s">
        <v>12</v>
      </c>
      <c r="G3988" s="0" t="s">
        <v>8</v>
      </c>
      <c r="H3988" s="0">
        <v>25</v>
      </c>
      <c r="I3988" s="0">
        <v>106.5</v>
      </c>
      <c r="J3988" s="0">
        <v>0</v>
      </c>
      <c r="K3988" s="0">
        <v>1</v>
      </c>
      <c r="L3988" s="0">
        <v>4</v>
      </c>
      <c r="M3988" s="0">
        <v>2</v>
      </c>
      <c r="N3988" s="0">
        <v>0</v>
      </c>
      <c r="O3988" s="0">
        <v>0</v>
      </c>
      <c r="P3988" s="0">
        <v>0</v>
      </c>
      <c r="R3988" s="0" t="b">
        <v>0</v>
      </c>
      <c r="S3988" s="0" t="b">
        <v>1</v>
      </c>
      <c r="T3988" s="68">
        <v>46028.1249537037</v>
      </c>
      <c r="U3988" s="68">
        <v>46050.2916666667</v>
      </c>
      <c r="V3988" s="68">
        <v>0</v>
      </c>
      <c r="W3988" s="0">
        <f>IF(IF(B3988="none",1,IF(B3988="Trialer",1,0))+IF(C3988="Customer",1,IF(C3988="Lost",1,0))=2,1,0)</f>
      </c>
      <c r="X3988" s="0" t="s">
        <v>1461</v>
      </c>
      <c r="Y3988" s="0" t="s">
        <v>243</v>
      </c>
      <c r="AV3988" s="68"/>
      <c r="AW3988" s="68"/>
      <c r="AY3988" s="27"/>
      <c r="BD3988" s="68">
        <v>46054.1666666667</v>
      </c>
      <c r="BE3988" s="68">
        <v>46082.1666666667</v>
      </c>
      <c r="BF3988" s="0" t="b">
        <v>0</v>
      </c>
      <c r="BG3988" s="0" t="b">
        <v>0</v>
      </c>
      <c r="BH3988" s="0">
        <v>106.5</v>
      </c>
      <c r="BI3988" s="0">
        <v>106.5</v>
      </c>
      <c r="BJ3988" s="0" t="s">
        <v>135</v>
      </c>
    </row>
    <row r="3989">
      <c r="A3989" s="0" t="s">
        <v>4247</v>
      </c>
      <c r="B3989" s="0" t="s">
        <v>652</v>
      </c>
      <c r="C3989" s="0" t="s">
        <v>652</v>
      </c>
      <c r="D3989" s="0" t="s">
        <v>135</v>
      </c>
      <c r="E3989" s="0" t="s">
        <v>3</v>
      </c>
      <c r="F3989" s="0" t="s">
        <v>12</v>
      </c>
      <c r="G3989" s="0" t="s">
        <v>8</v>
      </c>
      <c r="H3989" s="0">
        <v>25</v>
      </c>
      <c r="I3989" s="0">
        <v>0</v>
      </c>
      <c r="J3989" s="0">
        <v>0</v>
      </c>
      <c r="K3989" s="0">
        <v>0</v>
      </c>
      <c r="L3989" s="0">
        <v>0</v>
      </c>
      <c r="M3989" s="0">
        <v>0</v>
      </c>
      <c r="N3989" s="0">
        <v>0</v>
      </c>
      <c r="O3989" s="0">
        <v>0</v>
      </c>
      <c r="P3989" s="0">
        <v>0</v>
      </c>
      <c r="R3989" s="0" t="b">
        <v>0</v>
      </c>
      <c r="S3989" s="0" t="b">
        <v>0</v>
      </c>
      <c r="T3989" s="68">
        <v>46028.2937615741</v>
      </c>
      <c r="U3989" s="68">
        <v>0</v>
      </c>
      <c r="V3989" s="68">
        <v>46071.1667361111</v>
      </c>
      <c r="W3989" s="0">
        <f>IF(IF(B3989="none",1,IF(B3989="Trialer",1,0))+IF(C3989="Customer",1,IF(C3989="Lost",1,0))=2,1,0)</f>
      </c>
      <c r="X3989" s="0" t="s">
        <v>136</v>
      </c>
      <c r="Y3989" s="0" t="s">
        <v>243</v>
      </c>
      <c r="AV3989" s="68"/>
      <c r="AW3989" s="68"/>
      <c r="AY3989" s="27"/>
      <c r="BD3989" s="68">
        <v>46054.1666666667</v>
      </c>
      <c r="BE3989" s="68">
        <v>46082.1666666667</v>
      </c>
      <c r="BF3989" s="0" t="b">
        <v>0</v>
      </c>
      <c r="BG3989" s="0" t="b">
        <v>0</v>
      </c>
      <c r="BH3989" s="0">
        <v>63.75</v>
      </c>
      <c r="BI3989" s="0">
        <v>63.75</v>
      </c>
      <c r="BJ3989" s="0" t="s">
        <v>135</v>
      </c>
    </row>
    <row r="3990">
      <c r="A3990" s="0" t="s">
        <v>4248</v>
      </c>
      <c r="B3990" s="0" t="s">
        <v>652</v>
      </c>
      <c r="C3990" s="0" t="s">
        <v>652</v>
      </c>
      <c r="D3990" s="0" t="s">
        <v>135</v>
      </c>
      <c r="E3990" s="0" t="s">
        <v>2</v>
      </c>
      <c r="F3990" s="0" t="s">
        <v>12</v>
      </c>
      <c r="G3990" s="0" t="s">
        <v>8</v>
      </c>
      <c r="H3990" s="0">
        <v>25</v>
      </c>
      <c r="I3990" s="0">
        <v>0</v>
      </c>
      <c r="J3990" s="0">
        <v>0</v>
      </c>
      <c r="K3990" s="0">
        <v>0</v>
      </c>
      <c r="L3990" s="0">
        <v>0</v>
      </c>
      <c r="M3990" s="0">
        <v>0</v>
      </c>
      <c r="N3990" s="0">
        <v>0</v>
      </c>
      <c r="O3990" s="0">
        <v>0</v>
      </c>
      <c r="P3990" s="0">
        <v>0</v>
      </c>
      <c r="R3990" s="0" t="b">
        <v>0</v>
      </c>
      <c r="S3990" s="0" t="b">
        <v>0</v>
      </c>
      <c r="T3990" s="68">
        <v>46028.3138541667</v>
      </c>
      <c r="U3990" s="68">
        <v>0</v>
      </c>
      <c r="V3990" s="68">
        <v>46071.1667592593</v>
      </c>
      <c r="W3990" s="0">
        <f>IF(IF(B3990="none",1,IF(B3990="Trialer",1,0))+IF(C3990="Customer",1,IF(C3990="Lost",1,0))=2,1,0)</f>
      </c>
      <c r="X3990" s="0" t="s">
        <v>148</v>
      </c>
      <c r="Y3990" s="0" t="s">
        <v>499</v>
      </c>
      <c r="AV3990" s="68"/>
      <c r="AW3990" s="68"/>
      <c r="AY3990" s="27"/>
      <c r="BD3990" s="68">
        <v>46054.1666666667</v>
      </c>
      <c r="BE3990" s="68">
        <v>46082.1666666667</v>
      </c>
      <c r="BF3990" s="0" t="b">
        <v>0</v>
      </c>
      <c r="BG3990" s="0" t="b">
        <v>0</v>
      </c>
      <c r="BH3990" s="0">
        <v>44.25</v>
      </c>
      <c r="BI3990" s="0">
        <v>44.25</v>
      </c>
      <c r="BJ3990" s="0" t="s">
        <v>135</v>
      </c>
    </row>
    <row r="3991">
      <c r="A3991" s="0" t="s">
        <v>4249</v>
      </c>
      <c r="B3991" s="0" t="s">
        <v>652</v>
      </c>
      <c r="C3991" s="0" t="s">
        <v>652</v>
      </c>
      <c r="D3991" s="0" t="s">
        <v>135</v>
      </c>
      <c r="E3991" s="0" t="s">
        <v>3</v>
      </c>
      <c r="F3991" s="0" t="s">
        <v>12</v>
      </c>
      <c r="G3991" s="0" t="s">
        <v>8</v>
      </c>
      <c r="H3991" s="0">
        <v>25</v>
      </c>
      <c r="I3991" s="0">
        <v>0</v>
      </c>
      <c r="J3991" s="0">
        <v>0</v>
      </c>
      <c r="K3991" s="0">
        <v>0</v>
      </c>
      <c r="L3991" s="0">
        <v>0</v>
      </c>
      <c r="M3991" s="0">
        <v>0</v>
      </c>
      <c r="N3991" s="0">
        <v>0</v>
      </c>
      <c r="O3991" s="0">
        <v>0</v>
      </c>
      <c r="P3991" s="0">
        <v>0</v>
      </c>
      <c r="R3991" s="0" t="b">
        <v>0</v>
      </c>
      <c r="S3991" s="0" t="b">
        <v>0</v>
      </c>
      <c r="T3991" s="68">
        <v>46028.3850347222</v>
      </c>
      <c r="U3991" s="68">
        <v>0</v>
      </c>
      <c r="V3991" s="68">
        <v>46071.1667708333</v>
      </c>
      <c r="W3991" s="0">
        <f>IF(IF(B3991="none",1,IF(B3991="Trialer",1,0))+IF(C3991="Customer",1,IF(C3991="Lost",1,0))=2,1,0)</f>
      </c>
      <c r="X3991" s="0" t="s">
        <v>145</v>
      </c>
      <c r="Y3991" s="0" t="s">
        <v>243</v>
      </c>
      <c r="AV3991" s="68"/>
      <c r="AW3991" s="68"/>
      <c r="AY3991" s="27"/>
      <c r="BD3991" s="68">
        <v>46054.1666666667</v>
      </c>
      <c r="BE3991" s="68">
        <v>46082.1666666667</v>
      </c>
      <c r="BF3991" s="0" t="b">
        <v>0</v>
      </c>
      <c r="BG3991" s="0" t="b">
        <v>0</v>
      </c>
      <c r="BH3991" s="0">
        <v>44.25</v>
      </c>
      <c r="BI3991" s="0">
        <v>44.25</v>
      </c>
      <c r="BJ3991" s="0" t="s">
        <v>135</v>
      </c>
    </row>
    <row r="3992">
      <c r="A3992" s="0" t="s">
        <v>4250</v>
      </c>
      <c r="B3992" s="0" t="s">
        <v>134</v>
      </c>
      <c r="C3992" s="0" t="s">
        <v>134</v>
      </c>
      <c r="D3992" s="0" t="s">
        <v>230</v>
      </c>
      <c r="E3992" s="0" t="s">
        <v>2</v>
      </c>
      <c r="F3992" s="0" t="s">
        <v>10</v>
      </c>
      <c r="G3992" s="0" t="s">
        <v>8</v>
      </c>
      <c r="H3992" s="0">
        <v>25</v>
      </c>
      <c r="I3992" s="0">
        <v>47.45</v>
      </c>
      <c r="J3992" s="0">
        <v>0</v>
      </c>
      <c r="K3992" s="0">
        <v>1</v>
      </c>
      <c r="L3992" s="0">
        <v>4</v>
      </c>
      <c r="M3992" s="0">
        <v>1</v>
      </c>
      <c r="N3992" s="0">
        <v>0</v>
      </c>
      <c r="O3992" s="0">
        <v>0</v>
      </c>
      <c r="P3992" s="0">
        <v>-47.45</v>
      </c>
      <c r="Q3992" s="0" t="s">
        <v>1898</v>
      </c>
      <c r="R3992" s="0" t="b">
        <v>0</v>
      </c>
      <c r="S3992" s="0" t="b">
        <v>1</v>
      </c>
      <c r="T3992" s="68">
        <v>46028.4236111111</v>
      </c>
      <c r="U3992" s="68">
        <v>46049.2916666667</v>
      </c>
      <c r="V3992" s="68">
        <v>0</v>
      </c>
      <c r="W3992" s="0">
        <f>IF(IF(B3992="none",1,IF(B3992="Trialer",1,0))+IF(C3992="Customer",1,IF(C3992="Lost",1,0))=2,1,0)</f>
      </c>
      <c r="X3992" s="0" t="s">
        <v>145</v>
      </c>
      <c r="Y3992" s="0" t="s">
        <v>499</v>
      </c>
      <c r="AV3992" s="68"/>
      <c r="AW3992" s="68"/>
      <c r="AY3992" s="27"/>
      <c r="BD3992" s="68">
        <v>46054.1666666667</v>
      </c>
      <c r="BE3992" s="68">
        <v>46082.1666666667</v>
      </c>
      <c r="BF3992" s="0" t="b">
        <v>0</v>
      </c>
      <c r="BG3992" s="0" t="b">
        <v>0</v>
      </c>
      <c r="BH3992" s="0">
        <v>91.5</v>
      </c>
      <c r="BI3992" s="0">
        <v>91.5</v>
      </c>
      <c r="BJ3992" s="0" t="s">
        <v>230</v>
      </c>
    </row>
    <row r="3993">
      <c r="A3993" s="0" t="s">
        <v>4251</v>
      </c>
      <c r="B3993" s="0" t="s">
        <v>134</v>
      </c>
      <c r="C3993" s="0" t="s">
        <v>190</v>
      </c>
      <c r="D3993" s="0" t="s">
        <v>135</v>
      </c>
      <c r="E3993" s="0" t="s">
        <v>2</v>
      </c>
      <c r="F3993" s="0" t="s">
        <v>12</v>
      </c>
      <c r="G3993" s="0" t="s">
        <v>8</v>
      </c>
      <c r="H3993" s="0">
        <v>25</v>
      </c>
      <c r="I3993" s="0">
        <v>0</v>
      </c>
      <c r="J3993" s="0">
        <v>0</v>
      </c>
      <c r="K3993" s="0">
        <v>0</v>
      </c>
      <c r="L3993" s="0">
        <v>0</v>
      </c>
      <c r="M3993" s="0">
        <v>0</v>
      </c>
      <c r="N3993" s="0">
        <v>0</v>
      </c>
      <c r="O3993" s="0">
        <v>0</v>
      </c>
      <c r="P3993" s="0">
        <v>0</v>
      </c>
      <c r="R3993" s="0" t="b">
        <v>0</v>
      </c>
      <c r="S3993" s="0" t="b">
        <v>0</v>
      </c>
      <c r="T3993" s="68">
        <v>46028.4413888889</v>
      </c>
      <c r="U3993" s="68">
        <v>46044.2916666667</v>
      </c>
      <c r="V3993" s="68">
        <v>46062.6777893519</v>
      </c>
      <c r="W3993" s="0">
        <f>IF(IF(B3993="none",1,IF(B3993="Trialer",1,0))+IF(C3993="Customer",1,IF(C3993="Lost",1,0))=2,1,0)</f>
      </c>
      <c r="X3993" s="0" t="s">
        <v>136</v>
      </c>
      <c r="Y3993" s="0" t="s">
        <v>499</v>
      </c>
      <c r="AV3993" s="68"/>
      <c r="AW3993" s="68"/>
      <c r="AY3993" s="27"/>
      <c r="BD3993" s="68">
        <v>46054.1666666667</v>
      </c>
      <c r="BE3993" s="68">
        <v>46082.1666666667</v>
      </c>
      <c r="BF3993" s="0" t="b">
        <v>0</v>
      </c>
      <c r="BG3993" s="0" t="b">
        <v>0</v>
      </c>
      <c r="BH3993" s="0">
        <v>106.5</v>
      </c>
      <c r="BI3993" s="0">
        <v>106.5</v>
      </c>
      <c r="BJ3993" s="0" t="s">
        <v>135</v>
      </c>
    </row>
    <row r="3994">
      <c r="A3994" s="0" t="s">
        <v>4252</v>
      </c>
      <c r="B3994" s="0" t="s">
        <v>652</v>
      </c>
      <c r="C3994" s="0" t="s">
        <v>652</v>
      </c>
      <c r="D3994" s="0" t="s">
        <v>135</v>
      </c>
      <c r="E3994" s="0" t="s">
        <v>3</v>
      </c>
      <c r="F3994" s="0" t="s">
        <v>12</v>
      </c>
      <c r="G3994" s="0" t="s">
        <v>8</v>
      </c>
      <c r="H3994" s="0">
        <v>25</v>
      </c>
      <c r="I3994" s="0">
        <v>0</v>
      </c>
      <c r="J3994" s="0">
        <v>0</v>
      </c>
      <c r="K3994" s="0">
        <v>0</v>
      </c>
      <c r="L3994" s="0">
        <v>0</v>
      </c>
      <c r="M3994" s="0">
        <v>0</v>
      </c>
      <c r="N3994" s="0">
        <v>0</v>
      </c>
      <c r="O3994" s="0">
        <v>0</v>
      </c>
      <c r="P3994" s="0">
        <v>0</v>
      </c>
      <c r="R3994" s="0" t="b">
        <v>0</v>
      </c>
      <c r="S3994" s="0" t="b">
        <v>0</v>
      </c>
      <c r="T3994" s="68">
        <v>46028.4669444444</v>
      </c>
      <c r="U3994" s="68">
        <v>0</v>
      </c>
      <c r="V3994" s="68">
        <v>46071.1667824074</v>
      </c>
      <c r="W3994" s="0">
        <f>IF(IF(B3994="none",1,IF(B3994="Trialer",1,0))+IF(C3994="Customer",1,IF(C3994="Lost",1,0))=2,1,0)</f>
      </c>
      <c r="X3994" s="0" t="s">
        <v>136</v>
      </c>
      <c r="Y3994" s="0" t="s">
        <v>243</v>
      </c>
      <c r="AV3994" s="68"/>
      <c r="AW3994" s="68"/>
      <c r="AY3994" s="27"/>
      <c r="BD3994" s="68">
        <v>46054.1666666667</v>
      </c>
      <c r="BE3994" s="68">
        <v>46082.1666666667</v>
      </c>
      <c r="BF3994" s="0" t="b">
        <v>0</v>
      </c>
      <c r="BG3994" s="0" t="b">
        <v>0</v>
      </c>
      <c r="BH3994" s="0">
        <v>88.5</v>
      </c>
      <c r="BI3994" s="0">
        <v>88.5</v>
      </c>
      <c r="BJ3994" s="0" t="s">
        <v>135</v>
      </c>
    </row>
    <row r="3995">
      <c r="A3995" s="0" t="s">
        <v>4253</v>
      </c>
      <c r="B3995" s="0" t="s">
        <v>652</v>
      </c>
      <c r="C3995" s="0" t="s">
        <v>652</v>
      </c>
      <c r="D3995" s="0" t="s">
        <v>135</v>
      </c>
      <c r="E3995" s="0" t="s">
        <v>3</v>
      </c>
      <c r="F3995" s="0" t="s">
        <v>12</v>
      </c>
      <c r="G3995" s="0" t="s">
        <v>8</v>
      </c>
      <c r="H3995" s="0">
        <v>25</v>
      </c>
      <c r="I3995" s="0">
        <v>0</v>
      </c>
      <c r="J3995" s="0">
        <v>0</v>
      </c>
      <c r="K3995" s="0">
        <v>0</v>
      </c>
      <c r="L3995" s="0">
        <v>0</v>
      </c>
      <c r="M3995" s="0">
        <v>0</v>
      </c>
      <c r="N3995" s="0">
        <v>0</v>
      </c>
      <c r="O3995" s="0">
        <v>0</v>
      </c>
      <c r="P3995" s="0">
        <v>0</v>
      </c>
      <c r="R3995" s="0" t="b">
        <v>0</v>
      </c>
      <c r="S3995" s="0" t="b">
        <v>0</v>
      </c>
      <c r="T3995" s="68">
        <v>46028.4788425926</v>
      </c>
      <c r="U3995" s="68">
        <v>0</v>
      </c>
      <c r="V3995" s="68">
        <v>46071.1667939815</v>
      </c>
      <c r="W3995" s="0">
        <f>IF(IF(B3995="none",1,IF(B3995="Trialer",1,0))+IF(C3995="Customer",1,IF(C3995="Lost",1,0))=2,1,0)</f>
      </c>
      <c r="X3995" s="0" t="s">
        <v>148</v>
      </c>
      <c r="Y3995" s="0" t="s">
        <v>243</v>
      </c>
      <c r="AV3995" s="68"/>
      <c r="AW3995" s="68"/>
      <c r="AY3995" s="27"/>
      <c r="BD3995" s="68">
        <v>46054.1666666667</v>
      </c>
      <c r="BE3995" s="68">
        <v>46082.1666666667</v>
      </c>
      <c r="BF3995" s="0" t="b">
        <v>0</v>
      </c>
      <c r="BG3995" s="0" t="b">
        <v>0</v>
      </c>
      <c r="BH3995" s="0">
        <v>72.75</v>
      </c>
      <c r="BI3995" s="0">
        <v>72.75</v>
      </c>
      <c r="BJ3995" s="0" t="s">
        <v>135</v>
      </c>
    </row>
    <row r="3996">
      <c r="A3996" s="0" t="s">
        <v>4254</v>
      </c>
      <c r="B3996" s="0" t="s">
        <v>134</v>
      </c>
      <c r="C3996" s="0" t="s">
        <v>134</v>
      </c>
      <c r="D3996" s="0" t="s">
        <v>135</v>
      </c>
      <c r="E3996" s="0" t="s">
        <v>3</v>
      </c>
      <c r="F3996" s="0" t="s">
        <v>12</v>
      </c>
      <c r="G3996" s="0" t="s">
        <v>8</v>
      </c>
      <c r="H3996" s="0">
        <v>25</v>
      </c>
      <c r="I3996" s="0">
        <v>110.25</v>
      </c>
      <c r="J3996" s="0">
        <v>0</v>
      </c>
      <c r="K3996" s="0">
        <v>1</v>
      </c>
      <c r="L3996" s="0">
        <v>2</v>
      </c>
      <c r="M3996" s="0">
        <v>3</v>
      </c>
      <c r="N3996" s="0">
        <v>0</v>
      </c>
      <c r="O3996" s="0">
        <v>0</v>
      </c>
      <c r="P3996" s="0">
        <v>0</v>
      </c>
      <c r="R3996" s="0" t="b">
        <v>0</v>
      </c>
      <c r="S3996" s="0" t="b">
        <v>1</v>
      </c>
      <c r="T3996" s="68">
        <v>46028.4791319444</v>
      </c>
      <c r="U3996" s="68">
        <v>46043.2916666667</v>
      </c>
      <c r="V3996" s="68">
        <v>0</v>
      </c>
      <c r="W3996" s="0">
        <f>IF(IF(B3996="none",1,IF(B3996="Trialer",1,0))+IF(C3996="Customer",1,IF(C3996="Lost",1,0))=2,1,0)</f>
      </c>
      <c r="X3996" s="0" t="s">
        <v>1461</v>
      </c>
      <c r="Y3996" s="0" t="s">
        <v>243</v>
      </c>
      <c r="AV3996" s="68"/>
      <c r="AW3996" s="68"/>
      <c r="AY3996" s="27"/>
      <c r="BD3996" s="68">
        <v>46054.1666666667</v>
      </c>
      <c r="BE3996" s="68">
        <v>46082.1666666667</v>
      </c>
      <c r="BF3996" s="0" t="b">
        <v>0</v>
      </c>
      <c r="BG3996" s="0" t="b">
        <v>0</v>
      </c>
      <c r="BH3996" s="0">
        <v>110.25</v>
      </c>
      <c r="BI3996" s="0">
        <v>110.25</v>
      </c>
      <c r="BJ3996" s="0" t="s">
        <v>135</v>
      </c>
    </row>
    <row r="3997">
      <c r="A3997" s="0" t="s">
        <v>4255</v>
      </c>
      <c r="B3997" s="0" t="s">
        <v>134</v>
      </c>
      <c r="C3997" s="0" t="s">
        <v>134</v>
      </c>
      <c r="D3997" s="0" t="s">
        <v>135</v>
      </c>
      <c r="E3997" s="0" t="s">
        <v>3</v>
      </c>
      <c r="F3997" s="0" t="s">
        <v>12</v>
      </c>
      <c r="G3997" s="0" t="s">
        <v>8</v>
      </c>
      <c r="H3997" s="0">
        <v>25</v>
      </c>
      <c r="I3997" s="0">
        <v>54.75</v>
      </c>
      <c r="J3997" s="0">
        <v>0</v>
      </c>
      <c r="K3997" s="0">
        <v>1</v>
      </c>
      <c r="L3997" s="0">
        <v>4</v>
      </c>
      <c r="M3997" s="0">
        <v>1</v>
      </c>
      <c r="N3997" s="0">
        <v>0</v>
      </c>
      <c r="O3997" s="0">
        <v>0</v>
      </c>
      <c r="P3997" s="0">
        <v>0</v>
      </c>
      <c r="R3997" s="0" t="b">
        <v>0</v>
      </c>
      <c r="S3997" s="0" t="b">
        <v>1</v>
      </c>
      <c r="T3997" s="68">
        <v>46028.5129050926</v>
      </c>
      <c r="U3997" s="68">
        <v>46044.2916666667</v>
      </c>
      <c r="V3997" s="68">
        <v>0</v>
      </c>
      <c r="W3997" s="0">
        <f>IF(IF(B3997="none",1,IF(B3997="Trialer",1,0))+IF(C3997="Customer",1,IF(C3997="Lost",1,0))=2,1,0)</f>
      </c>
      <c r="X3997" s="0" t="s">
        <v>1461</v>
      </c>
      <c r="Y3997" s="0" t="s">
        <v>243</v>
      </c>
      <c r="AV3997" s="68"/>
      <c r="AW3997" s="68"/>
      <c r="AY3997" s="27"/>
      <c r="BD3997" s="68">
        <v>46054.1666666667</v>
      </c>
      <c r="BE3997" s="68">
        <v>46082.1666666667</v>
      </c>
      <c r="BF3997" s="0" t="b">
        <v>0</v>
      </c>
      <c r="BG3997" s="0" t="b">
        <v>0</v>
      </c>
      <c r="BH3997" s="0">
        <v>54.75</v>
      </c>
      <c r="BI3997" s="0">
        <v>54.75</v>
      </c>
      <c r="BJ3997" s="0" t="s">
        <v>135</v>
      </c>
    </row>
    <row r="3998">
      <c r="A3998" s="0" t="s">
        <v>4256</v>
      </c>
      <c r="B3998" s="0" t="s">
        <v>652</v>
      </c>
      <c r="C3998" s="0" t="s">
        <v>652</v>
      </c>
      <c r="D3998" s="0" t="s">
        <v>135</v>
      </c>
      <c r="E3998" s="0" t="s">
        <v>3</v>
      </c>
      <c r="F3998" s="0" t="s">
        <v>12</v>
      </c>
      <c r="G3998" s="0" t="s">
        <v>8</v>
      </c>
      <c r="H3998" s="0">
        <v>25</v>
      </c>
      <c r="I3998" s="0">
        <v>0</v>
      </c>
      <c r="J3998" s="0">
        <v>0</v>
      </c>
      <c r="K3998" s="0">
        <v>0</v>
      </c>
      <c r="L3998" s="0">
        <v>0</v>
      </c>
      <c r="M3998" s="0">
        <v>0</v>
      </c>
      <c r="N3998" s="0">
        <v>0</v>
      </c>
      <c r="O3998" s="0">
        <v>0</v>
      </c>
      <c r="P3998" s="0">
        <v>0</v>
      </c>
      <c r="R3998" s="0" t="b">
        <v>0</v>
      </c>
      <c r="S3998" s="0" t="b">
        <v>0</v>
      </c>
      <c r="T3998" s="68">
        <v>46028.5469791667</v>
      </c>
      <c r="U3998" s="68">
        <v>0</v>
      </c>
      <c r="V3998" s="68">
        <v>46071.1668171296</v>
      </c>
      <c r="W3998" s="0">
        <f>IF(IF(B3998="none",1,IF(B3998="Trialer",1,0))+IF(C3998="Customer",1,IF(C3998="Lost",1,0))=2,1,0)</f>
      </c>
      <c r="X3998" s="0" t="s">
        <v>136</v>
      </c>
      <c r="Y3998" s="0" t="s">
        <v>243</v>
      </c>
      <c r="AV3998" s="68"/>
      <c r="AW3998" s="68"/>
      <c r="AY3998" s="27"/>
      <c r="BD3998" s="68">
        <v>46054.1666666667</v>
      </c>
      <c r="BE3998" s="68">
        <v>46082.1666666667</v>
      </c>
      <c r="BF3998" s="0" t="b">
        <v>0</v>
      </c>
      <c r="BG3998" s="0" t="b">
        <v>0</v>
      </c>
      <c r="BH3998" s="0">
        <v>124.5</v>
      </c>
      <c r="BI3998" s="0">
        <v>124.5</v>
      </c>
      <c r="BJ3998" s="0" t="s">
        <v>135</v>
      </c>
    </row>
    <row r="3999">
      <c r="A3999" s="0" t="s">
        <v>4257</v>
      </c>
      <c r="B3999" s="0" t="s">
        <v>652</v>
      </c>
      <c r="C3999" s="0" t="s">
        <v>652</v>
      </c>
      <c r="D3999" s="0" t="s">
        <v>135</v>
      </c>
      <c r="E3999" s="0" t="s">
        <v>4</v>
      </c>
      <c r="F3999" s="0" t="s">
        <v>12</v>
      </c>
      <c r="G3999" s="0" t="s">
        <v>8</v>
      </c>
      <c r="H3999" s="0">
        <v>25</v>
      </c>
      <c r="I3999" s="0">
        <v>0</v>
      </c>
      <c r="J3999" s="0">
        <v>0</v>
      </c>
      <c r="K3999" s="0">
        <v>0</v>
      </c>
      <c r="L3999" s="0">
        <v>0</v>
      </c>
      <c r="M3999" s="0">
        <v>0</v>
      </c>
      <c r="N3999" s="0">
        <v>0</v>
      </c>
      <c r="O3999" s="0">
        <v>0</v>
      </c>
      <c r="P3999" s="0">
        <v>0</v>
      </c>
      <c r="R3999" s="0" t="b">
        <v>0</v>
      </c>
      <c r="S3999" s="0" t="b">
        <v>0</v>
      </c>
      <c r="T3999" s="68">
        <v>46028.5574884259</v>
      </c>
      <c r="U3999" s="68">
        <v>0</v>
      </c>
      <c r="V3999" s="68">
        <v>46071.1668402778</v>
      </c>
      <c r="W3999" s="0">
        <f>IF(IF(B3999="none",1,IF(B3999="Trialer",1,0))+IF(C3999="Customer",1,IF(C3999="Lost",1,0))=2,1,0)</f>
      </c>
      <c r="X3999" s="0" t="s">
        <v>148</v>
      </c>
      <c r="Y3999" s="0" t="s">
        <v>1772</v>
      </c>
      <c r="AV3999" s="68"/>
      <c r="AW3999" s="68"/>
      <c r="AY3999" s="27"/>
      <c r="BD3999" s="68">
        <v>46054.1666666667</v>
      </c>
      <c r="BE3999" s="68">
        <v>46082.1666666667</v>
      </c>
      <c r="BF3999" s="0" t="b">
        <v>0</v>
      </c>
      <c r="BG3999" s="0" t="b">
        <v>0</v>
      </c>
      <c r="BH3999" s="0">
        <v>44.25</v>
      </c>
      <c r="BI3999" s="0">
        <v>44.25</v>
      </c>
      <c r="BJ3999" s="0" t="s">
        <v>135</v>
      </c>
    </row>
    <row r="4000">
      <c r="A4000" s="0" t="s">
        <v>4258</v>
      </c>
      <c r="B4000" s="0" t="s">
        <v>134</v>
      </c>
      <c r="C4000" s="0" t="s">
        <v>134</v>
      </c>
      <c r="D4000" s="0" t="s">
        <v>135</v>
      </c>
      <c r="E4000" s="0" t="s">
        <v>2</v>
      </c>
      <c r="F4000" s="0" t="s">
        <v>12</v>
      </c>
      <c r="G4000" s="0" t="s">
        <v>8</v>
      </c>
      <c r="H4000" s="0">
        <v>25</v>
      </c>
      <c r="I4000" s="0">
        <v>40</v>
      </c>
      <c r="J4000" s="0">
        <v>0</v>
      </c>
      <c r="K4000" s="0">
        <v>1</v>
      </c>
      <c r="L4000" s="0">
        <v>2</v>
      </c>
      <c r="M4000" s="0">
        <v>1</v>
      </c>
      <c r="N4000" s="0">
        <v>0</v>
      </c>
      <c r="O4000" s="0">
        <v>0</v>
      </c>
      <c r="P4000" s="0">
        <v>0</v>
      </c>
      <c r="R4000" s="0" t="b">
        <v>0</v>
      </c>
      <c r="S4000" s="0" t="b">
        <v>1</v>
      </c>
      <c r="T4000" s="68">
        <v>46028.6172222222</v>
      </c>
      <c r="U4000" s="68">
        <v>46041.2916666667</v>
      </c>
      <c r="V4000" s="68">
        <v>0</v>
      </c>
      <c r="W4000" s="0">
        <f>IF(IF(B4000="none",1,IF(B4000="Trialer",1,0))+IF(C4000="Customer",1,IF(C4000="Lost",1,0))=2,1,0)</f>
      </c>
      <c r="X4000" s="0" t="s">
        <v>136</v>
      </c>
      <c r="Y4000" s="0" t="s">
        <v>499</v>
      </c>
      <c r="AV4000" s="68"/>
      <c r="AW4000" s="68"/>
      <c r="AY4000" s="27"/>
      <c r="BD4000" s="68">
        <v>46054.1666666667</v>
      </c>
      <c r="BE4000" s="68">
        <v>46082.1666666667</v>
      </c>
      <c r="BF4000" s="0" t="b">
        <v>0</v>
      </c>
      <c r="BG4000" s="0" t="b">
        <v>0</v>
      </c>
      <c r="BH4000" s="0">
        <v>40</v>
      </c>
      <c r="BI4000" s="0">
        <v>40</v>
      </c>
      <c r="BJ4000" s="0" t="s">
        <v>135</v>
      </c>
    </row>
    <row r="4001">
      <c r="A4001" s="0" t="s">
        <v>4259</v>
      </c>
      <c r="B4001" s="0" t="s">
        <v>652</v>
      </c>
      <c r="C4001" s="0" t="s">
        <v>652</v>
      </c>
      <c r="D4001" s="0" t="s">
        <v>135</v>
      </c>
      <c r="E4001" s="0" t="s">
        <v>3</v>
      </c>
      <c r="F4001" s="0" t="s">
        <v>12</v>
      </c>
      <c r="G4001" s="0" t="s">
        <v>8</v>
      </c>
      <c r="H4001" s="0">
        <v>25</v>
      </c>
      <c r="I4001" s="0">
        <v>0</v>
      </c>
      <c r="J4001" s="0">
        <v>0</v>
      </c>
      <c r="K4001" s="0">
        <v>0</v>
      </c>
      <c r="L4001" s="0">
        <v>0</v>
      </c>
      <c r="M4001" s="0">
        <v>0</v>
      </c>
      <c r="N4001" s="0">
        <v>0</v>
      </c>
      <c r="O4001" s="0">
        <v>0</v>
      </c>
      <c r="P4001" s="0">
        <v>0</v>
      </c>
      <c r="R4001" s="0" t="b">
        <v>0</v>
      </c>
      <c r="S4001" s="0" t="b">
        <v>0</v>
      </c>
      <c r="T4001" s="68">
        <v>46028.6268402778</v>
      </c>
      <c r="U4001" s="68">
        <v>0</v>
      </c>
      <c r="V4001" s="68">
        <v>46071.1668634259</v>
      </c>
      <c r="W4001" s="0">
        <f>IF(IF(B4001="none",1,IF(B4001="Trialer",1,0))+IF(C4001="Customer",1,IF(C4001="Lost",1,0))=2,1,0)</f>
      </c>
      <c r="X4001" s="0" t="s">
        <v>136</v>
      </c>
      <c r="Y4001" s="0" t="s">
        <v>243</v>
      </c>
      <c r="AV4001" s="68"/>
      <c r="AW4001" s="68"/>
      <c r="AY4001" s="27"/>
      <c r="BD4001" s="68">
        <v>46054.1666666667</v>
      </c>
      <c r="BE4001" s="68">
        <v>46082.1666666667</v>
      </c>
      <c r="BF4001" s="0" t="b">
        <v>0</v>
      </c>
      <c r="BG4001" s="0" t="b">
        <v>0</v>
      </c>
      <c r="BH4001" s="0">
        <v>44.25</v>
      </c>
      <c r="BI4001" s="0">
        <v>44.25</v>
      </c>
      <c r="BJ4001" s="0" t="s">
        <v>135</v>
      </c>
    </row>
    <row r="4002">
      <c r="A4002" s="0" t="s">
        <v>4260</v>
      </c>
      <c r="B4002" s="0" t="s">
        <v>134</v>
      </c>
      <c r="C4002" s="0" t="s">
        <v>134</v>
      </c>
      <c r="D4002" s="0" t="s">
        <v>135</v>
      </c>
      <c r="E4002" s="0" t="s">
        <v>3</v>
      </c>
      <c r="F4002" s="0" t="s">
        <v>11</v>
      </c>
      <c r="G4002" s="0" t="s">
        <v>8</v>
      </c>
      <c r="H4002" s="0">
        <v>25</v>
      </c>
      <c r="I4002" s="0">
        <v>40</v>
      </c>
      <c r="J4002" s="0">
        <v>0</v>
      </c>
      <c r="K4002" s="0">
        <v>1</v>
      </c>
      <c r="L4002" s="0">
        <v>1</v>
      </c>
      <c r="M4002" s="0">
        <v>0</v>
      </c>
      <c r="N4002" s="0">
        <v>0</v>
      </c>
      <c r="O4002" s="0">
        <v>0</v>
      </c>
      <c r="P4002" s="0">
        <v>0</v>
      </c>
      <c r="Q4002" s="0" t="s">
        <v>1743</v>
      </c>
      <c r="R4002" s="0" t="b">
        <v>1</v>
      </c>
      <c r="S4002" s="0" t="b">
        <v>1</v>
      </c>
      <c r="T4002" s="68">
        <v>46028.6894097222</v>
      </c>
      <c r="U4002" s="68">
        <v>46028.2916666667</v>
      </c>
      <c r="V4002" s="68">
        <v>0</v>
      </c>
      <c r="W4002" s="0">
        <f>IF(IF(B4002="none",1,IF(B4002="Trialer",1,0))+IF(C4002="Customer",1,IF(C4002="Lost",1,0))=2,1,0)</f>
      </c>
      <c r="X4002" s="0" t="s">
        <v>145</v>
      </c>
      <c r="Y4002" s="0" t="s">
        <v>243</v>
      </c>
      <c r="AV4002" s="68"/>
      <c r="AW4002" s="68"/>
      <c r="AY4002" s="27"/>
      <c r="BD4002" s="68">
        <v>46054.1666666667</v>
      </c>
      <c r="BE4002" s="68">
        <v>46082.1666666667</v>
      </c>
      <c r="BF4002" s="0" t="b">
        <v>0</v>
      </c>
      <c r="BG4002" s="0" t="b">
        <v>0</v>
      </c>
      <c r="BH4002" s="0">
        <v>78.4</v>
      </c>
      <c r="BI4002" s="0">
        <v>78.4</v>
      </c>
      <c r="BJ4002" s="0" t="s">
        <v>135</v>
      </c>
    </row>
    <row r="4003">
      <c r="A4003" s="0" t="s">
        <v>4261</v>
      </c>
      <c r="B4003" s="0" t="s">
        <v>134</v>
      </c>
      <c r="C4003" s="0" t="s">
        <v>134</v>
      </c>
      <c r="D4003" s="0" t="s">
        <v>135</v>
      </c>
      <c r="E4003" s="0" t="s">
        <v>2</v>
      </c>
      <c r="F4003" s="0" t="s">
        <v>12</v>
      </c>
      <c r="G4003" s="0" t="s">
        <v>8</v>
      </c>
      <c r="H4003" s="0">
        <v>25</v>
      </c>
      <c r="I4003" s="0">
        <v>670</v>
      </c>
      <c r="J4003" s="0">
        <v>0</v>
      </c>
      <c r="K4003" s="0">
        <v>1</v>
      </c>
      <c r="L4003" s="0">
        <v>5</v>
      </c>
      <c r="M4003" s="0">
        <v>10</v>
      </c>
      <c r="N4003" s="0">
        <v>0</v>
      </c>
      <c r="O4003" s="0">
        <v>0</v>
      </c>
      <c r="P4003" s="0">
        <v>0</v>
      </c>
      <c r="R4003" s="0" t="b">
        <v>0</v>
      </c>
      <c r="S4003" s="0" t="b">
        <v>1</v>
      </c>
      <c r="T4003" s="68">
        <v>46028.6980208333</v>
      </c>
      <c r="U4003" s="68">
        <v>46041.2916666667</v>
      </c>
      <c r="V4003" s="68">
        <v>0</v>
      </c>
      <c r="W4003" s="0">
        <f>IF(IF(B4003="none",1,IF(B4003="Trialer",1,0))+IF(C4003="Customer",1,IF(C4003="Lost",1,0))=2,1,0)</f>
      </c>
      <c r="X4003" s="0" t="s">
        <v>145</v>
      </c>
      <c r="Y4003" s="0" t="s">
        <v>499</v>
      </c>
      <c r="AV4003" s="68"/>
      <c r="AW4003" s="68"/>
      <c r="AY4003" s="27"/>
      <c r="BD4003" s="68">
        <v>46054.1666666667</v>
      </c>
      <c r="BE4003" s="68">
        <v>46082.1666666667</v>
      </c>
      <c r="BF4003" s="0" t="b">
        <v>0</v>
      </c>
      <c r="BG4003" s="0" t="b">
        <v>0</v>
      </c>
      <c r="BH4003" s="0">
        <v>398.25</v>
      </c>
      <c r="BI4003" s="0">
        <v>398.25</v>
      </c>
      <c r="BJ4003" s="0" t="s">
        <v>135</v>
      </c>
    </row>
    <row r="4004">
      <c r="A4004" s="0" t="s">
        <v>4262</v>
      </c>
      <c r="B4004" s="0" t="s">
        <v>134</v>
      </c>
      <c r="C4004" s="0" t="s">
        <v>134</v>
      </c>
      <c r="D4004" s="0" t="s">
        <v>135</v>
      </c>
      <c r="E4004" s="0" t="s">
        <v>2</v>
      </c>
      <c r="F4004" s="0" t="s">
        <v>12</v>
      </c>
      <c r="G4004" s="0" t="s">
        <v>8</v>
      </c>
      <c r="H4004" s="0">
        <v>25</v>
      </c>
      <c r="I4004" s="0">
        <v>54.75</v>
      </c>
      <c r="J4004" s="0">
        <v>0</v>
      </c>
      <c r="K4004" s="0">
        <v>1</v>
      </c>
      <c r="L4004" s="0">
        <v>4</v>
      </c>
      <c r="M4004" s="0">
        <v>1</v>
      </c>
      <c r="N4004" s="0">
        <v>0</v>
      </c>
      <c r="O4004" s="0">
        <v>0</v>
      </c>
      <c r="P4004" s="0">
        <v>0</v>
      </c>
      <c r="R4004" s="0" t="b">
        <v>0</v>
      </c>
      <c r="S4004" s="0" t="b">
        <v>1</v>
      </c>
      <c r="T4004" s="68">
        <v>46028.715787037</v>
      </c>
      <c r="U4004" s="68">
        <v>46042.2916666667</v>
      </c>
      <c r="V4004" s="68">
        <v>0</v>
      </c>
      <c r="W4004" s="0">
        <f>IF(IF(B4004="none",1,IF(B4004="Trialer",1,0))+IF(C4004="Customer",1,IF(C4004="Lost",1,0))=2,1,0)</f>
      </c>
      <c r="X4004" s="0" t="s">
        <v>1461</v>
      </c>
      <c r="Y4004" s="0" t="s">
        <v>499</v>
      </c>
      <c r="AV4004" s="68"/>
      <c r="AW4004" s="68"/>
      <c r="AY4004" s="27"/>
      <c r="BD4004" s="68">
        <v>46054.1666666667</v>
      </c>
      <c r="BE4004" s="68">
        <v>46082.1666666667</v>
      </c>
      <c r="BF4004" s="0" t="b">
        <v>0</v>
      </c>
      <c r="BG4004" s="0" t="b">
        <v>0</v>
      </c>
      <c r="BH4004" s="0">
        <v>54.75</v>
      </c>
      <c r="BI4004" s="0">
        <v>54.75</v>
      </c>
      <c r="BJ4004" s="0" t="s">
        <v>135</v>
      </c>
    </row>
    <row r="4005">
      <c r="A4005" s="0" t="s">
        <v>4263</v>
      </c>
      <c r="B4005" s="0" t="s">
        <v>652</v>
      </c>
      <c r="C4005" s="0" t="s">
        <v>652</v>
      </c>
      <c r="D4005" s="0" t="s">
        <v>135</v>
      </c>
      <c r="E4005" s="0" t="s">
        <v>3</v>
      </c>
      <c r="F4005" s="0" t="s">
        <v>12</v>
      </c>
      <c r="G4005" s="0" t="s">
        <v>8</v>
      </c>
      <c r="H4005" s="0">
        <v>25</v>
      </c>
      <c r="I4005" s="0">
        <v>0</v>
      </c>
      <c r="J4005" s="0">
        <v>0</v>
      </c>
      <c r="K4005" s="0">
        <v>0</v>
      </c>
      <c r="L4005" s="0">
        <v>0</v>
      </c>
      <c r="M4005" s="0">
        <v>0</v>
      </c>
      <c r="N4005" s="0">
        <v>0</v>
      </c>
      <c r="O4005" s="0">
        <v>0</v>
      </c>
      <c r="P4005" s="0">
        <v>0</v>
      </c>
      <c r="R4005" s="0" t="b">
        <v>0</v>
      </c>
      <c r="S4005" s="0" t="b">
        <v>0</v>
      </c>
      <c r="T4005" s="68">
        <v>46028.727349537</v>
      </c>
      <c r="U4005" s="68">
        <v>0</v>
      </c>
      <c r="V4005" s="68">
        <v>46071.1668865741</v>
      </c>
      <c r="W4005" s="0">
        <f>IF(IF(B4005="none",1,IF(B4005="Trialer",1,0))+IF(C4005="Customer",1,IF(C4005="Lost",1,0))=2,1,0)</f>
      </c>
      <c r="X4005" s="0" t="s">
        <v>148</v>
      </c>
      <c r="Y4005" s="0" t="s">
        <v>243</v>
      </c>
      <c r="AV4005" s="68"/>
      <c r="AW4005" s="68"/>
      <c r="AY4005" s="27"/>
      <c r="BD4005" s="68">
        <v>46054.1666666667</v>
      </c>
      <c r="BE4005" s="68">
        <v>46082.1666666667</v>
      </c>
      <c r="BF4005" s="0" t="b">
        <v>0</v>
      </c>
      <c r="BG4005" s="0" t="b">
        <v>0</v>
      </c>
      <c r="BH4005" s="0">
        <v>149.25</v>
      </c>
      <c r="BI4005" s="0">
        <v>149.25</v>
      </c>
      <c r="BJ4005" s="0" t="s">
        <v>135</v>
      </c>
    </row>
    <row r="4006">
      <c r="A4006" s="0" t="s">
        <v>4264</v>
      </c>
      <c r="B4006" s="0" t="s">
        <v>652</v>
      </c>
      <c r="C4006" s="0" t="s">
        <v>652</v>
      </c>
      <c r="D4006" s="0" t="s">
        <v>135</v>
      </c>
      <c r="E4006" s="0" t="s">
        <v>3</v>
      </c>
      <c r="F4006" s="0" t="s">
        <v>12</v>
      </c>
      <c r="G4006" s="0" t="s">
        <v>8</v>
      </c>
      <c r="H4006" s="0">
        <v>25</v>
      </c>
      <c r="I4006" s="0">
        <v>0</v>
      </c>
      <c r="J4006" s="0">
        <v>0</v>
      </c>
      <c r="K4006" s="0">
        <v>0</v>
      </c>
      <c r="L4006" s="0">
        <v>0</v>
      </c>
      <c r="M4006" s="0">
        <v>0</v>
      </c>
      <c r="N4006" s="0">
        <v>0</v>
      </c>
      <c r="O4006" s="0">
        <v>0</v>
      </c>
      <c r="P4006" s="0">
        <v>0</v>
      </c>
      <c r="R4006" s="0" t="b">
        <v>0</v>
      </c>
      <c r="S4006" s="0" t="b">
        <v>0</v>
      </c>
      <c r="T4006" s="68">
        <v>46028.756712963</v>
      </c>
      <c r="U4006" s="68">
        <v>0</v>
      </c>
      <c r="V4006" s="68">
        <v>46071.1668981481</v>
      </c>
      <c r="W4006" s="0">
        <f>IF(IF(B4006="none",1,IF(B4006="Trialer",1,0))+IF(C4006="Customer",1,IF(C4006="Lost",1,0))=2,1,0)</f>
      </c>
      <c r="X4006" s="0" t="s">
        <v>136</v>
      </c>
      <c r="Y4006" s="0" t="s">
        <v>243</v>
      </c>
      <c r="AV4006" s="68"/>
      <c r="AW4006" s="68"/>
      <c r="AY4006" s="27"/>
      <c r="BD4006" s="68">
        <v>46054.1666666667</v>
      </c>
      <c r="BE4006" s="68">
        <v>46082.1666666667</v>
      </c>
      <c r="BF4006" s="0" t="b">
        <v>0</v>
      </c>
      <c r="BG4006" s="0" t="b">
        <v>0</v>
      </c>
      <c r="BH4006" s="0">
        <v>127.5</v>
      </c>
      <c r="BI4006" s="0">
        <v>127.5</v>
      </c>
      <c r="BJ4006" s="0" t="s">
        <v>135</v>
      </c>
    </row>
    <row r="4007">
      <c r="A4007" s="0" t="s">
        <v>4265</v>
      </c>
      <c r="B4007" s="0" t="s">
        <v>652</v>
      </c>
      <c r="C4007" s="0" t="s">
        <v>652</v>
      </c>
      <c r="D4007" s="0" t="s">
        <v>135</v>
      </c>
      <c r="E4007" s="0" t="s">
        <v>3</v>
      </c>
      <c r="F4007" s="0" t="s">
        <v>12</v>
      </c>
      <c r="G4007" s="0" t="s">
        <v>8</v>
      </c>
      <c r="H4007" s="0">
        <v>25</v>
      </c>
      <c r="I4007" s="0">
        <v>0</v>
      </c>
      <c r="J4007" s="0">
        <v>0</v>
      </c>
      <c r="K4007" s="0">
        <v>0</v>
      </c>
      <c r="L4007" s="0">
        <v>0</v>
      </c>
      <c r="M4007" s="0">
        <v>0</v>
      </c>
      <c r="N4007" s="0">
        <v>0</v>
      </c>
      <c r="O4007" s="0">
        <v>0</v>
      </c>
      <c r="P4007" s="0">
        <v>0</v>
      </c>
      <c r="R4007" s="0" t="b">
        <v>0</v>
      </c>
      <c r="S4007" s="0" t="b">
        <v>0</v>
      </c>
      <c r="T4007" s="68">
        <v>46028.8813541667</v>
      </c>
      <c r="U4007" s="68">
        <v>0</v>
      </c>
      <c r="V4007" s="68">
        <v>46071.1669212963</v>
      </c>
      <c r="W4007" s="0">
        <f>IF(IF(B4007="none",1,IF(B4007="Trialer",1,0))+IF(C4007="Customer",1,IF(C4007="Lost",1,0))=2,1,0)</f>
      </c>
      <c r="X4007" s="0" t="s">
        <v>148</v>
      </c>
      <c r="Y4007" s="0" t="s">
        <v>243</v>
      </c>
      <c r="AV4007" s="68"/>
      <c r="AW4007" s="68"/>
      <c r="AY4007" s="27"/>
      <c r="BD4007" s="68">
        <v>46054.1666666667</v>
      </c>
      <c r="BE4007" s="68">
        <v>46082.1666666667</v>
      </c>
      <c r="BF4007" s="0" t="b">
        <v>0</v>
      </c>
      <c r="BG4007" s="0" t="b">
        <v>0</v>
      </c>
      <c r="BH4007" s="0">
        <v>54.75</v>
      </c>
      <c r="BI4007" s="0">
        <v>54.75</v>
      </c>
      <c r="BJ4007" s="0" t="s">
        <v>135</v>
      </c>
    </row>
    <row r="4008">
      <c r="A4008" s="0" t="s">
        <v>4266</v>
      </c>
      <c r="B4008" s="0" t="s">
        <v>652</v>
      </c>
      <c r="C4008" s="0" t="s">
        <v>652</v>
      </c>
      <c r="D4008" s="0" t="s">
        <v>135</v>
      </c>
      <c r="E4008" s="0" t="s">
        <v>3</v>
      </c>
      <c r="F4008" s="0" t="s">
        <v>12</v>
      </c>
      <c r="G4008" s="0" t="s">
        <v>8</v>
      </c>
      <c r="H4008" s="0">
        <v>25</v>
      </c>
      <c r="I4008" s="0">
        <v>0</v>
      </c>
      <c r="J4008" s="0">
        <v>0</v>
      </c>
      <c r="K4008" s="0">
        <v>0</v>
      </c>
      <c r="L4008" s="0">
        <v>0</v>
      </c>
      <c r="M4008" s="0">
        <v>0</v>
      </c>
      <c r="N4008" s="0">
        <v>0</v>
      </c>
      <c r="O4008" s="0">
        <v>0</v>
      </c>
      <c r="P4008" s="0">
        <v>0</v>
      </c>
      <c r="R4008" s="0" t="b">
        <v>0</v>
      </c>
      <c r="S4008" s="0" t="b">
        <v>0</v>
      </c>
      <c r="T4008" s="68">
        <v>46028.9568634259</v>
      </c>
      <c r="U4008" s="68">
        <v>0</v>
      </c>
      <c r="V4008" s="68">
        <v>46071.1669212963</v>
      </c>
      <c r="W4008" s="0">
        <f>IF(IF(B4008="none",1,IF(B4008="Trialer",1,0))+IF(C4008="Customer",1,IF(C4008="Lost",1,0))=2,1,0)</f>
      </c>
      <c r="X4008" s="0" t="s">
        <v>145</v>
      </c>
      <c r="Y4008" s="0" t="s">
        <v>1792</v>
      </c>
      <c r="AV4008" s="68"/>
      <c r="AW4008" s="68"/>
      <c r="AY4008" s="27"/>
      <c r="BD4008" s="68">
        <v>46054.1666666667</v>
      </c>
      <c r="BE4008" s="68">
        <v>46082.1666666667</v>
      </c>
      <c r="BF4008" s="0" t="b">
        <v>0</v>
      </c>
      <c r="BG4008" s="0" t="b">
        <v>0</v>
      </c>
      <c r="BH4008" s="0">
        <v>72.75</v>
      </c>
      <c r="BI4008" s="0">
        <v>72.75</v>
      </c>
      <c r="BJ4008" s="0" t="s">
        <v>135</v>
      </c>
    </row>
    <row r="4009">
      <c r="A4009" s="0" t="s">
        <v>4267</v>
      </c>
      <c r="B4009" s="0" t="s">
        <v>652</v>
      </c>
      <c r="C4009" s="0" t="s">
        <v>652</v>
      </c>
      <c r="D4009" s="0" t="s">
        <v>135</v>
      </c>
      <c r="E4009" s="0" t="s">
        <v>3</v>
      </c>
      <c r="F4009" s="0" t="s">
        <v>12</v>
      </c>
      <c r="G4009" s="0" t="s">
        <v>8</v>
      </c>
      <c r="H4009" s="0">
        <v>24</v>
      </c>
      <c r="I4009" s="0">
        <v>0</v>
      </c>
      <c r="J4009" s="0">
        <v>0</v>
      </c>
      <c r="K4009" s="0">
        <v>0</v>
      </c>
      <c r="L4009" s="0">
        <v>0</v>
      </c>
      <c r="M4009" s="0">
        <v>0</v>
      </c>
      <c r="N4009" s="0">
        <v>0</v>
      </c>
      <c r="O4009" s="0">
        <v>0</v>
      </c>
      <c r="P4009" s="0">
        <v>0</v>
      </c>
      <c r="R4009" s="0" t="b">
        <v>0</v>
      </c>
      <c r="S4009" s="0" t="b">
        <v>0</v>
      </c>
      <c r="T4009" s="68">
        <v>46028.9709837963</v>
      </c>
      <c r="U4009" s="68">
        <v>0</v>
      </c>
      <c r="V4009" s="68">
        <v>46071.1668171296</v>
      </c>
      <c r="W4009" s="0">
        <f>IF(IF(B4009="none",1,IF(B4009="Trialer",1,0))+IF(C4009="Customer",1,IF(C4009="Lost",1,0))=2,1,0)</f>
      </c>
      <c r="X4009" s="0" t="s">
        <v>882</v>
      </c>
      <c r="Y4009" s="0" t="s">
        <v>243</v>
      </c>
      <c r="AV4009" s="68"/>
      <c r="AW4009" s="68"/>
      <c r="AY4009" s="27"/>
      <c r="BD4009" s="68">
        <v>46054.1666666667</v>
      </c>
      <c r="BE4009" s="68">
        <v>46082.1666666667</v>
      </c>
      <c r="BF4009" s="0" t="b">
        <v>0</v>
      </c>
      <c r="BG4009" s="0" t="b">
        <v>0</v>
      </c>
      <c r="BH4009" s="0">
        <v>44.25</v>
      </c>
      <c r="BI4009" s="0">
        <v>44.25</v>
      </c>
      <c r="BJ4009" s="0" t="s">
        <v>135</v>
      </c>
    </row>
    <row r="4010">
      <c r="A4010" s="0" t="s">
        <v>4268</v>
      </c>
      <c r="B4010" s="0" t="s">
        <v>652</v>
      </c>
      <c r="C4010" s="0" t="s">
        <v>652</v>
      </c>
      <c r="D4010" s="0" t="s">
        <v>135</v>
      </c>
      <c r="E4010" s="0" t="s">
        <v>3</v>
      </c>
      <c r="F4010" s="0" t="s">
        <v>12</v>
      </c>
      <c r="G4010" s="0" t="s">
        <v>8</v>
      </c>
      <c r="H4010" s="0">
        <v>24</v>
      </c>
      <c r="I4010" s="0">
        <v>0</v>
      </c>
      <c r="J4010" s="0">
        <v>0</v>
      </c>
      <c r="K4010" s="0">
        <v>0</v>
      </c>
      <c r="L4010" s="0">
        <v>0</v>
      </c>
      <c r="M4010" s="0">
        <v>0</v>
      </c>
      <c r="N4010" s="0">
        <v>0</v>
      </c>
      <c r="O4010" s="0">
        <v>0</v>
      </c>
      <c r="P4010" s="0">
        <v>0</v>
      </c>
      <c r="R4010" s="0" t="b">
        <v>0</v>
      </c>
      <c r="S4010" s="0" t="b">
        <v>0</v>
      </c>
      <c r="T4010" s="68">
        <v>46029.0833564815</v>
      </c>
      <c r="U4010" s="68">
        <v>0</v>
      </c>
      <c r="V4010" s="68">
        <v>46071.1668287037</v>
      </c>
      <c r="W4010" s="0">
        <f>IF(IF(B4010="none",1,IF(B4010="Trialer",1,0))+IF(C4010="Customer",1,IF(C4010="Lost",1,0))=2,1,0)</f>
      </c>
      <c r="X4010" s="0" t="s">
        <v>145</v>
      </c>
      <c r="Y4010" s="0" t="s">
        <v>243</v>
      </c>
      <c r="AV4010" s="68"/>
      <c r="AW4010" s="68"/>
      <c r="AY4010" s="27"/>
      <c r="BD4010" s="68">
        <v>46054.1666666667</v>
      </c>
      <c r="BE4010" s="68">
        <v>46082.1666666667</v>
      </c>
      <c r="BF4010" s="0" t="b">
        <v>0</v>
      </c>
      <c r="BG4010" s="0" t="b">
        <v>0</v>
      </c>
      <c r="BH4010" s="0">
        <v>44.25</v>
      </c>
      <c r="BI4010" s="0">
        <v>44.25</v>
      </c>
      <c r="BJ4010" s="0" t="s">
        <v>135</v>
      </c>
    </row>
    <row r="4011">
      <c r="A4011" s="0" t="s">
        <v>4269</v>
      </c>
      <c r="B4011" s="0" t="s">
        <v>134</v>
      </c>
      <c r="C4011" s="0" t="s">
        <v>134</v>
      </c>
      <c r="D4011" s="0" t="s">
        <v>135</v>
      </c>
      <c r="E4011" s="0" t="s">
        <v>3</v>
      </c>
      <c r="F4011" s="0" t="s">
        <v>12</v>
      </c>
      <c r="G4011" s="0" t="s">
        <v>8</v>
      </c>
      <c r="H4011" s="0">
        <v>24</v>
      </c>
      <c r="I4011" s="0">
        <v>134.25</v>
      </c>
      <c r="J4011" s="0">
        <v>0</v>
      </c>
      <c r="K4011" s="0">
        <v>1</v>
      </c>
      <c r="L4011" s="0">
        <v>5</v>
      </c>
      <c r="M4011" s="0">
        <v>3</v>
      </c>
      <c r="N4011" s="0">
        <v>0</v>
      </c>
      <c r="O4011" s="0">
        <v>0</v>
      </c>
      <c r="P4011" s="0">
        <v>0</v>
      </c>
      <c r="R4011" s="0" t="b">
        <v>0</v>
      </c>
      <c r="S4011" s="0" t="b">
        <v>1</v>
      </c>
      <c r="T4011" s="68">
        <v>46029.3662615741</v>
      </c>
      <c r="U4011" s="68">
        <v>46043.2916666667</v>
      </c>
      <c r="V4011" s="68">
        <v>0</v>
      </c>
      <c r="W4011" s="0">
        <f>IF(IF(B4011="none",1,IF(B4011="Trialer",1,0))+IF(C4011="Customer",1,IF(C4011="Lost",1,0))=2,1,0)</f>
      </c>
      <c r="X4011" s="0" t="s">
        <v>142</v>
      </c>
      <c r="Y4011" s="0" t="s">
        <v>243</v>
      </c>
      <c r="AV4011" s="68"/>
      <c r="AW4011" s="68"/>
      <c r="AY4011" s="27"/>
      <c r="BD4011" s="68">
        <v>46054.1666666667</v>
      </c>
      <c r="BE4011" s="68">
        <v>46082.1666666667</v>
      </c>
      <c r="BF4011" s="0" t="b">
        <v>0</v>
      </c>
      <c r="BG4011" s="0" t="b">
        <v>0</v>
      </c>
      <c r="BH4011" s="0">
        <v>134.25</v>
      </c>
      <c r="BI4011" s="0">
        <v>134.25</v>
      </c>
      <c r="BJ4011" s="0" t="s">
        <v>135</v>
      </c>
    </row>
    <row r="4012">
      <c r="A4012" s="0" t="s">
        <v>4270</v>
      </c>
      <c r="B4012" s="0" t="s">
        <v>652</v>
      </c>
      <c r="C4012" s="0" t="s">
        <v>652</v>
      </c>
      <c r="D4012" s="0" t="s">
        <v>135</v>
      </c>
      <c r="E4012" s="0" t="s">
        <v>2414</v>
      </c>
      <c r="F4012" s="0" t="s">
        <v>12</v>
      </c>
      <c r="G4012" s="0" t="s">
        <v>8</v>
      </c>
      <c r="H4012" s="0">
        <v>24</v>
      </c>
      <c r="I4012" s="0">
        <v>0</v>
      </c>
      <c r="J4012" s="0">
        <v>0</v>
      </c>
      <c r="K4012" s="0">
        <v>0</v>
      </c>
      <c r="L4012" s="0">
        <v>0</v>
      </c>
      <c r="M4012" s="0">
        <v>0</v>
      </c>
      <c r="N4012" s="0">
        <v>0</v>
      </c>
      <c r="O4012" s="0">
        <v>0</v>
      </c>
      <c r="P4012" s="0">
        <v>0</v>
      </c>
      <c r="R4012" s="0" t="b">
        <v>0</v>
      </c>
      <c r="S4012" s="0" t="b">
        <v>0</v>
      </c>
      <c r="T4012" s="68">
        <v>46029.3853703704</v>
      </c>
      <c r="U4012" s="68">
        <v>0</v>
      </c>
      <c r="V4012" s="68">
        <v>46072.166724537</v>
      </c>
      <c r="W4012" s="0">
        <f>IF(IF(B4012="none",1,IF(B4012="Trialer",1,0))+IF(C4012="Customer",1,IF(C4012="Lost",1,0))=2,1,0)</f>
      </c>
      <c r="X4012" s="0" t="s">
        <v>145</v>
      </c>
      <c r="Y4012" s="0" t="s">
        <v>1516</v>
      </c>
      <c r="AV4012" s="68"/>
      <c r="AW4012" s="68"/>
      <c r="AY4012" s="27"/>
      <c r="BD4012" s="68">
        <v>46054.1666666667</v>
      </c>
      <c r="BE4012" s="68">
        <v>46082.1666666667</v>
      </c>
      <c r="BF4012" s="0" t="b">
        <v>0</v>
      </c>
      <c r="BG4012" s="0" t="b">
        <v>0</v>
      </c>
      <c r="BH4012" s="0">
        <v>44.25</v>
      </c>
      <c r="BI4012" s="0">
        <v>44.25</v>
      </c>
      <c r="BJ4012" s="0" t="s">
        <v>135</v>
      </c>
    </row>
    <row r="4013">
      <c r="A4013" s="0" t="s">
        <v>4271</v>
      </c>
      <c r="B4013" s="0" t="s">
        <v>134</v>
      </c>
      <c r="C4013" s="0" t="s">
        <v>134</v>
      </c>
      <c r="D4013" s="0" t="s">
        <v>135</v>
      </c>
      <c r="E4013" s="0" t="s">
        <v>3</v>
      </c>
      <c r="F4013" s="0" t="s">
        <v>12</v>
      </c>
      <c r="G4013" s="0" t="s">
        <v>8</v>
      </c>
      <c r="H4013" s="0">
        <v>24</v>
      </c>
      <c r="I4013" s="0">
        <v>88.5</v>
      </c>
      <c r="J4013" s="0">
        <v>0</v>
      </c>
      <c r="K4013" s="0">
        <v>1</v>
      </c>
      <c r="L4013" s="0">
        <v>3</v>
      </c>
      <c r="M4013" s="0">
        <v>2</v>
      </c>
      <c r="N4013" s="0">
        <v>0</v>
      </c>
      <c r="O4013" s="0">
        <v>0</v>
      </c>
      <c r="P4013" s="0">
        <v>0</v>
      </c>
      <c r="R4013" s="0" t="b">
        <v>0</v>
      </c>
      <c r="S4013" s="0" t="b">
        <v>1</v>
      </c>
      <c r="T4013" s="68">
        <v>46029.4236111111</v>
      </c>
      <c r="U4013" s="68">
        <v>46043.2916666667</v>
      </c>
      <c r="V4013" s="68">
        <v>0</v>
      </c>
      <c r="W4013" s="0">
        <f>IF(IF(B4013="none",1,IF(B4013="Trialer",1,0))+IF(C4013="Customer",1,IF(C4013="Lost",1,0))=2,1,0)</f>
      </c>
      <c r="X4013" s="0" t="s">
        <v>1461</v>
      </c>
      <c r="Y4013" s="0" t="s">
        <v>243</v>
      </c>
      <c r="AV4013" s="68"/>
      <c r="AW4013" s="68"/>
      <c r="AY4013" s="27"/>
      <c r="BD4013" s="68">
        <v>46054.1666666667</v>
      </c>
      <c r="BE4013" s="68">
        <v>46082.1666666667</v>
      </c>
      <c r="BF4013" s="0" t="b">
        <v>0</v>
      </c>
      <c r="BG4013" s="0" t="b">
        <v>0</v>
      </c>
      <c r="BH4013" s="0">
        <v>88.5</v>
      </c>
      <c r="BI4013" s="0">
        <v>88.5</v>
      </c>
      <c r="BJ4013" s="0" t="s">
        <v>135</v>
      </c>
    </row>
    <row r="4014">
      <c r="A4014" s="0" t="s">
        <v>4272</v>
      </c>
      <c r="B4014" s="0" t="s">
        <v>652</v>
      </c>
      <c r="C4014" s="0" t="s">
        <v>652</v>
      </c>
      <c r="D4014" s="0" t="s">
        <v>135</v>
      </c>
      <c r="E4014" s="0" t="s">
        <v>3</v>
      </c>
      <c r="F4014" s="0" t="s">
        <v>12</v>
      </c>
      <c r="G4014" s="0" t="s">
        <v>8</v>
      </c>
      <c r="H4014" s="0">
        <v>24</v>
      </c>
      <c r="I4014" s="0">
        <v>0</v>
      </c>
      <c r="J4014" s="0">
        <v>0</v>
      </c>
      <c r="K4014" s="0">
        <v>0</v>
      </c>
      <c r="L4014" s="0">
        <v>0</v>
      </c>
      <c r="M4014" s="0">
        <v>0</v>
      </c>
      <c r="N4014" s="0">
        <v>0</v>
      </c>
      <c r="O4014" s="0">
        <v>0</v>
      </c>
      <c r="P4014" s="0">
        <v>0</v>
      </c>
      <c r="R4014" s="0" t="b">
        <v>0</v>
      </c>
      <c r="S4014" s="0" t="b">
        <v>0</v>
      </c>
      <c r="T4014" s="68">
        <v>46029.4313888889</v>
      </c>
      <c r="U4014" s="68">
        <v>0</v>
      </c>
      <c r="V4014" s="68">
        <v>46062.3616782407</v>
      </c>
      <c r="W4014" s="0">
        <f>IF(IF(B4014="none",1,IF(B4014="Trialer",1,0))+IF(C4014="Customer",1,IF(C4014="Lost",1,0))=2,1,0)</f>
      </c>
      <c r="X4014" s="0" t="s">
        <v>136</v>
      </c>
      <c r="Y4014" s="0" t="s">
        <v>243</v>
      </c>
      <c r="AV4014" s="68"/>
      <c r="AW4014" s="68"/>
      <c r="AY4014" s="27"/>
      <c r="BD4014" s="68">
        <v>46054.1666666667</v>
      </c>
      <c r="BE4014" s="68">
        <v>46082.1666666667</v>
      </c>
      <c r="BF4014" s="0" t="b">
        <v>0</v>
      </c>
      <c r="BG4014" s="0" t="b">
        <v>0</v>
      </c>
      <c r="BH4014" s="0">
        <v>145.5</v>
      </c>
      <c r="BI4014" s="0">
        <v>145.5</v>
      </c>
      <c r="BJ4014" s="0" t="s">
        <v>135</v>
      </c>
    </row>
    <row r="4015">
      <c r="A4015" s="0" t="s">
        <v>4273</v>
      </c>
      <c r="B4015" s="0" t="s">
        <v>652</v>
      </c>
      <c r="C4015" s="0" t="s">
        <v>652</v>
      </c>
      <c r="D4015" s="0" t="s">
        <v>135</v>
      </c>
      <c r="E4015" s="0" t="s">
        <v>3</v>
      </c>
      <c r="F4015" s="0" t="s">
        <v>12</v>
      </c>
      <c r="G4015" s="0" t="s">
        <v>8</v>
      </c>
      <c r="H4015" s="0">
        <v>24</v>
      </c>
      <c r="I4015" s="0">
        <v>0</v>
      </c>
      <c r="J4015" s="0">
        <v>0</v>
      </c>
      <c r="K4015" s="0">
        <v>0</v>
      </c>
      <c r="L4015" s="0">
        <v>0</v>
      </c>
      <c r="M4015" s="0">
        <v>0</v>
      </c>
      <c r="N4015" s="0">
        <v>0</v>
      </c>
      <c r="O4015" s="0">
        <v>0</v>
      </c>
      <c r="P4015" s="0">
        <v>0</v>
      </c>
      <c r="R4015" s="0" t="b">
        <v>0</v>
      </c>
      <c r="S4015" s="0" t="b">
        <v>0</v>
      </c>
      <c r="T4015" s="68">
        <v>46029.4450925926</v>
      </c>
      <c r="U4015" s="68">
        <v>0</v>
      </c>
      <c r="V4015" s="68">
        <v>46072.1667824074</v>
      </c>
      <c r="W4015" s="0">
        <f>IF(IF(B4015="none",1,IF(B4015="Trialer",1,0))+IF(C4015="Customer",1,IF(C4015="Lost",1,0))=2,1,0)</f>
      </c>
      <c r="X4015" s="0" t="s">
        <v>148</v>
      </c>
      <c r="Y4015" s="0" t="s">
        <v>243</v>
      </c>
      <c r="AV4015" s="68"/>
      <c r="AW4015" s="68"/>
      <c r="AY4015" s="27"/>
      <c r="BD4015" s="68">
        <v>46054.1666666667</v>
      </c>
      <c r="BE4015" s="68">
        <v>46082.1666666667</v>
      </c>
      <c r="BF4015" s="0" t="b">
        <v>0</v>
      </c>
      <c r="BG4015" s="0" t="b">
        <v>0</v>
      </c>
      <c r="BH4015" s="0">
        <v>44.25</v>
      </c>
      <c r="BI4015" s="0">
        <v>44.25</v>
      </c>
      <c r="BJ4015" s="0" t="s">
        <v>135</v>
      </c>
    </row>
    <row r="4016">
      <c r="A4016" s="0" t="s">
        <v>4274</v>
      </c>
      <c r="B4016" s="0" t="s">
        <v>652</v>
      </c>
      <c r="C4016" s="0" t="s">
        <v>652</v>
      </c>
      <c r="D4016" s="0" t="s">
        <v>135</v>
      </c>
      <c r="E4016" s="0" t="s">
        <v>2</v>
      </c>
      <c r="F4016" s="0" t="s">
        <v>12</v>
      </c>
      <c r="G4016" s="0" t="s">
        <v>8</v>
      </c>
      <c r="H4016" s="0">
        <v>24</v>
      </c>
      <c r="I4016" s="0">
        <v>0</v>
      </c>
      <c r="J4016" s="0">
        <v>0</v>
      </c>
      <c r="K4016" s="0">
        <v>0</v>
      </c>
      <c r="L4016" s="0">
        <v>0</v>
      </c>
      <c r="M4016" s="0">
        <v>0</v>
      </c>
      <c r="N4016" s="0">
        <v>0</v>
      </c>
      <c r="O4016" s="0">
        <v>0</v>
      </c>
      <c r="P4016" s="0">
        <v>0</v>
      </c>
      <c r="R4016" s="0" t="b">
        <v>0</v>
      </c>
      <c r="S4016" s="0" t="b">
        <v>0</v>
      </c>
      <c r="T4016" s="68">
        <v>46029.4922453704</v>
      </c>
      <c r="U4016" s="68">
        <v>0</v>
      </c>
      <c r="V4016" s="68">
        <v>46072.1667361111</v>
      </c>
      <c r="W4016" s="0">
        <f>IF(IF(B4016="none",1,IF(B4016="Trialer",1,0))+IF(C4016="Customer",1,IF(C4016="Lost",1,0))=2,1,0)</f>
      </c>
      <c r="X4016" s="0" t="s">
        <v>136</v>
      </c>
      <c r="Y4016" s="0" t="s">
        <v>499</v>
      </c>
      <c r="AV4016" s="68"/>
      <c r="AW4016" s="68"/>
      <c r="AY4016" s="27"/>
      <c r="BD4016" s="68">
        <v>46054.1666666667</v>
      </c>
      <c r="BE4016" s="68">
        <v>46082.1666666667</v>
      </c>
      <c r="BF4016" s="0" t="b">
        <v>0</v>
      </c>
      <c r="BG4016" s="0" t="b">
        <v>0</v>
      </c>
      <c r="BH4016" s="0">
        <v>54.75</v>
      </c>
      <c r="BI4016" s="0">
        <v>54.75</v>
      </c>
      <c r="BJ4016" s="0" t="s">
        <v>135</v>
      </c>
    </row>
    <row r="4017">
      <c r="A4017" s="0" t="s">
        <v>4275</v>
      </c>
      <c r="B4017" s="0" t="s">
        <v>652</v>
      </c>
      <c r="C4017" s="0" t="s">
        <v>652</v>
      </c>
      <c r="D4017" s="0" t="s">
        <v>135</v>
      </c>
      <c r="E4017" s="0" t="s">
        <v>3</v>
      </c>
      <c r="F4017" s="0" t="s">
        <v>12</v>
      </c>
      <c r="G4017" s="0" t="s">
        <v>8</v>
      </c>
      <c r="H4017" s="0">
        <v>24</v>
      </c>
      <c r="I4017" s="0">
        <v>0</v>
      </c>
      <c r="J4017" s="0">
        <v>0</v>
      </c>
      <c r="K4017" s="0">
        <v>0</v>
      </c>
      <c r="L4017" s="0">
        <v>0</v>
      </c>
      <c r="M4017" s="0">
        <v>0</v>
      </c>
      <c r="N4017" s="0">
        <v>0</v>
      </c>
      <c r="O4017" s="0">
        <v>0</v>
      </c>
      <c r="P4017" s="0">
        <v>0</v>
      </c>
      <c r="R4017" s="0" t="b">
        <v>0</v>
      </c>
      <c r="S4017" s="0" t="b">
        <v>0</v>
      </c>
      <c r="T4017" s="68">
        <v>46029.4970486111</v>
      </c>
      <c r="U4017" s="68">
        <v>0</v>
      </c>
      <c r="V4017" s="68">
        <v>46072.1667476852</v>
      </c>
      <c r="W4017" s="0">
        <f>IF(IF(B4017="none",1,IF(B4017="Trialer",1,0))+IF(C4017="Customer",1,IF(C4017="Lost",1,0))=2,1,0)</f>
      </c>
      <c r="X4017" s="0" t="s">
        <v>148</v>
      </c>
      <c r="Y4017" s="0" t="s">
        <v>243</v>
      </c>
      <c r="AV4017" s="68"/>
      <c r="AW4017" s="68"/>
      <c r="AY4017" s="27"/>
      <c r="BD4017" s="68">
        <v>46054.1666666667</v>
      </c>
      <c r="BE4017" s="68">
        <v>46082.1666666667</v>
      </c>
      <c r="BF4017" s="0" t="b">
        <v>0</v>
      </c>
      <c r="BG4017" s="0" t="b">
        <v>0</v>
      </c>
      <c r="BH4017" s="0">
        <v>54.75</v>
      </c>
      <c r="BI4017" s="0">
        <v>54.75</v>
      </c>
      <c r="BJ4017" s="0" t="s">
        <v>135</v>
      </c>
    </row>
    <row r="4018">
      <c r="A4018" s="0" t="s">
        <v>4276</v>
      </c>
      <c r="B4018" s="0" t="s">
        <v>134</v>
      </c>
      <c r="C4018" s="0" t="s">
        <v>134</v>
      </c>
      <c r="D4018" s="0" t="s">
        <v>135</v>
      </c>
      <c r="E4018" s="0" t="s">
        <v>3</v>
      </c>
      <c r="F4018" s="0" t="s">
        <v>12</v>
      </c>
      <c r="G4018" s="0" t="s">
        <v>8</v>
      </c>
      <c r="H4018" s="0">
        <v>24</v>
      </c>
      <c r="I4018" s="0">
        <v>143.25</v>
      </c>
      <c r="J4018" s="0">
        <v>0</v>
      </c>
      <c r="K4018" s="0">
        <v>1</v>
      </c>
      <c r="L4018" s="0">
        <v>4</v>
      </c>
      <c r="M4018" s="0">
        <v>3</v>
      </c>
      <c r="N4018" s="0">
        <v>0</v>
      </c>
      <c r="O4018" s="0">
        <v>0</v>
      </c>
      <c r="P4018" s="0">
        <v>0</v>
      </c>
      <c r="R4018" s="0" t="b">
        <v>0</v>
      </c>
      <c r="S4018" s="0" t="b">
        <v>1</v>
      </c>
      <c r="T4018" s="68">
        <v>46029.5183101852</v>
      </c>
      <c r="U4018" s="68">
        <v>46044.2916666667</v>
      </c>
      <c r="V4018" s="68">
        <v>0</v>
      </c>
      <c r="W4018" s="0">
        <f>IF(IF(B4018="none",1,IF(B4018="Trialer",1,0))+IF(C4018="Customer",1,IF(C4018="Lost",1,0))=2,1,0)</f>
      </c>
      <c r="X4018" s="0" t="s">
        <v>1461</v>
      </c>
      <c r="Y4018" s="0" t="s">
        <v>243</v>
      </c>
      <c r="AV4018" s="68"/>
      <c r="AW4018" s="68"/>
      <c r="AY4018" s="27"/>
      <c r="BD4018" s="68">
        <v>46054.1666666667</v>
      </c>
      <c r="BE4018" s="68">
        <v>46082.1666666667</v>
      </c>
      <c r="BF4018" s="0" t="b">
        <v>0</v>
      </c>
      <c r="BG4018" s="0" t="b">
        <v>0</v>
      </c>
      <c r="BH4018" s="0">
        <v>143.25</v>
      </c>
      <c r="BI4018" s="0">
        <v>143.25</v>
      </c>
      <c r="BJ4018" s="0" t="s">
        <v>135</v>
      </c>
    </row>
    <row r="4019">
      <c r="A4019" s="0" t="s">
        <v>4277</v>
      </c>
      <c r="B4019" s="0" t="s">
        <v>134</v>
      </c>
      <c r="C4019" s="0" t="s">
        <v>134</v>
      </c>
      <c r="D4019" s="0" t="s">
        <v>135</v>
      </c>
      <c r="E4019" s="0" t="s">
        <v>3</v>
      </c>
      <c r="F4019" s="0" t="s">
        <v>12</v>
      </c>
      <c r="G4019" s="0" t="s">
        <v>8</v>
      </c>
      <c r="H4019" s="0">
        <v>24</v>
      </c>
      <c r="I4019" s="0">
        <v>252.75</v>
      </c>
      <c r="J4019" s="0">
        <v>0</v>
      </c>
      <c r="K4019" s="0">
        <v>1</v>
      </c>
      <c r="L4019" s="0">
        <v>4</v>
      </c>
      <c r="M4019" s="0">
        <v>5</v>
      </c>
      <c r="N4019" s="0">
        <v>0</v>
      </c>
      <c r="O4019" s="0">
        <v>0</v>
      </c>
      <c r="P4019" s="0">
        <v>0</v>
      </c>
      <c r="R4019" s="0" t="b">
        <v>0</v>
      </c>
      <c r="S4019" s="0" t="b">
        <v>1</v>
      </c>
      <c r="T4019" s="68">
        <v>46029.5183796296</v>
      </c>
      <c r="U4019" s="68">
        <v>46043.2916666667</v>
      </c>
      <c r="V4019" s="68">
        <v>0</v>
      </c>
      <c r="W4019" s="0">
        <f>IF(IF(B4019="none",1,IF(B4019="Trialer",1,0))+IF(C4019="Customer",1,IF(C4019="Lost",1,0))=2,1,0)</f>
      </c>
      <c r="X4019" s="0" t="s">
        <v>882</v>
      </c>
      <c r="Y4019" s="0" t="s">
        <v>243</v>
      </c>
      <c r="AV4019" s="68"/>
      <c r="AW4019" s="68"/>
      <c r="AY4019" s="27"/>
      <c r="BD4019" s="68">
        <v>46054.1666666667</v>
      </c>
      <c r="BE4019" s="68">
        <v>46082.1666666667</v>
      </c>
      <c r="BF4019" s="0" t="b">
        <v>0</v>
      </c>
      <c r="BG4019" s="0" t="b">
        <v>0</v>
      </c>
      <c r="BH4019" s="0">
        <v>252.75</v>
      </c>
      <c r="BI4019" s="0">
        <v>252.75</v>
      </c>
      <c r="BJ4019" s="0" t="s">
        <v>135</v>
      </c>
    </row>
    <row r="4020">
      <c r="A4020" s="0" t="s">
        <v>4278</v>
      </c>
      <c r="B4020" s="0" t="s">
        <v>652</v>
      </c>
      <c r="C4020" s="0" t="s">
        <v>652</v>
      </c>
      <c r="D4020" s="0" t="s">
        <v>135</v>
      </c>
      <c r="E4020" s="0" t="s">
        <v>3</v>
      </c>
      <c r="F4020" s="0" t="s">
        <v>12</v>
      </c>
      <c r="G4020" s="0" t="s">
        <v>8</v>
      </c>
      <c r="H4020" s="0">
        <v>24</v>
      </c>
      <c r="I4020" s="0">
        <v>0</v>
      </c>
      <c r="J4020" s="0">
        <v>0</v>
      </c>
      <c r="K4020" s="0">
        <v>0</v>
      </c>
      <c r="L4020" s="0">
        <v>0</v>
      </c>
      <c r="M4020" s="0">
        <v>0</v>
      </c>
      <c r="N4020" s="0">
        <v>0</v>
      </c>
      <c r="O4020" s="0">
        <v>0</v>
      </c>
      <c r="P4020" s="0">
        <v>0</v>
      </c>
      <c r="R4020" s="0" t="b">
        <v>0</v>
      </c>
      <c r="S4020" s="0" t="b">
        <v>0</v>
      </c>
      <c r="T4020" s="68">
        <v>46029.5942708333</v>
      </c>
      <c r="U4020" s="68">
        <v>0</v>
      </c>
      <c r="V4020" s="68">
        <v>46072.1667592593</v>
      </c>
      <c r="W4020" s="0">
        <f>IF(IF(B4020="none",1,IF(B4020="Trialer",1,0))+IF(C4020="Customer",1,IF(C4020="Lost",1,0))=2,1,0)</f>
      </c>
      <c r="X4020" s="0" t="s">
        <v>136</v>
      </c>
      <c r="Y4020" s="0" t="s">
        <v>243</v>
      </c>
      <c r="AV4020" s="68"/>
      <c r="AW4020" s="68"/>
      <c r="AY4020" s="27"/>
      <c r="BD4020" s="68">
        <v>46054.1666666667</v>
      </c>
      <c r="BE4020" s="68">
        <v>46082.1666666667</v>
      </c>
      <c r="BF4020" s="0" t="b">
        <v>0</v>
      </c>
      <c r="BG4020" s="0" t="b">
        <v>0</v>
      </c>
      <c r="BH4020" s="0">
        <v>63.75</v>
      </c>
      <c r="BI4020" s="0">
        <v>63.75</v>
      </c>
      <c r="BJ4020" s="0" t="s">
        <v>135</v>
      </c>
    </row>
    <row r="4021">
      <c r="A4021" s="0" t="s">
        <v>4279</v>
      </c>
      <c r="B4021" s="0" t="s">
        <v>652</v>
      </c>
      <c r="C4021" s="0" t="s">
        <v>652</v>
      </c>
      <c r="D4021" s="0" t="s">
        <v>135</v>
      </c>
      <c r="E4021" s="0" t="s">
        <v>3</v>
      </c>
      <c r="F4021" s="0" t="s">
        <v>12</v>
      </c>
      <c r="G4021" s="0" t="s">
        <v>8</v>
      </c>
      <c r="H4021" s="0">
        <v>24</v>
      </c>
      <c r="I4021" s="0">
        <v>0</v>
      </c>
      <c r="J4021" s="0">
        <v>0</v>
      </c>
      <c r="K4021" s="0">
        <v>0</v>
      </c>
      <c r="L4021" s="0">
        <v>0</v>
      </c>
      <c r="M4021" s="0">
        <v>0</v>
      </c>
      <c r="N4021" s="0">
        <v>0</v>
      </c>
      <c r="O4021" s="0">
        <v>0</v>
      </c>
      <c r="P4021" s="0">
        <v>0</v>
      </c>
      <c r="R4021" s="0" t="b">
        <v>0</v>
      </c>
      <c r="S4021" s="0" t="b">
        <v>0</v>
      </c>
      <c r="T4021" s="68">
        <v>46029.6536111111</v>
      </c>
      <c r="U4021" s="68">
        <v>0</v>
      </c>
      <c r="V4021" s="68">
        <v>46072.1667939815</v>
      </c>
      <c r="W4021" s="0">
        <f>IF(IF(B4021="none",1,IF(B4021="Trialer",1,0))+IF(C4021="Customer",1,IF(C4021="Lost",1,0))=2,1,0)</f>
      </c>
      <c r="X4021" s="0" t="s">
        <v>145</v>
      </c>
      <c r="Y4021" s="0" t="s">
        <v>243</v>
      </c>
      <c r="AV4021" s="68"/>
      <c r="AW4021" s="68"/>
      <c r="AY4021" s="27"/>
      <c r="BD4021" s="68">
        <v>46054.1666666667</v>
      </c>
      <c r="BE4021" s="68">
        <v>46082.1666666667</v>
      </c>
      <c r="BF4021" s="0" t="b">
        <v>0</v>
      </c>
      <c r="BG4021" s="0" t="b">
        <v>0</v>
      </c>
      <c r="BH4021" s="0">
        <v>44.25</v>
      </c>
      <c r="BI4021" s="0">
        <v>44.25</v>
      </c>
      <c r="BJ4021" s="0" t="s">
        <v>135</v>
      </c>
    </row>
    <row r="4022">
      <c r="A4022" s="0" t="s">
        <v>4280</v>
      </c>
      <c r="B4022" s="0" t="s">
        <v>652</v>
      </c>
      <c r="C4022" s="0" t="s">
        <v>652</v>
      </c>
      <c r="D4022" s="0" t="s">
        <v>135</v>
      </c>
      <c r="E4022" s="0" t="s">
        <v>2</v>
      </c>
      <c r="F4022" s="0" t="s">
        <v>12</v>
      </c>
      <c r="G4022" s="0" t="s">
        <v>8</v>
      </c>
      <c r="H4022" s="0">
        <v>24</v>
      </c>
      <c r="I4022" s="0">
        <v>0</v>
      </c>
      <c r="J4022" s="0">
        <v>0</v>
      </c>
      <c r="K4022" s="0">
        <v>0</v>
      </c>
      <c r="L4022" s="0">
        <v>0</v>
      </c>
      <c r="M4022" s="0">
        <v>0</v>
      </c>
      <c r="N4022" s="0">
        <v>0</v>
      </c>
      <c r="O4022" s="0">
        <v>0</v>
      </c>
      <c r="P4022" s="0">
        <v>0</v>
      </c>
      <c r="R4022" s="0" t="b">
        <v>0</v>
      </c>
      <c r="S4022" s="0" t="b">
        <v>0</v>
      </c>
      <c r="T4022" s="68">
        <v>46029.6699074074</v>
      </c>
      <c r="U4022" s="68">
        <v>0</v>
      </c>
      <c r="V4022" s="68">
        <v>46072.1667592593</v>
      </c>
      <c r="W4022" s="0">
        <f>IF(IF(B4022="none",1,IF(B4022="Trialer",1,0))+IF(C4022="Customer",1,IF(C4022="Lost",1,0))=2,1,0)</f>
      </c>
      <c r="X4022" s="0" t="s">
        <v>145</v>
      </c>
      <c r="Y4022" s="0" t="s">
        <v>499</v>
      </c>
      <c r="AV4022" s="68"/>
      <c r="AW4022" s="68"/>
      <c r="AY4022" s="27"/>
      <c r="BD4022" s="68">
        <v>46054.1666666667</v>
      </c>
      <c r="BE4022" s="68">
        <v>46082.1666666667</v>
      </c>
      <c r="BF4022" s="0" t="b">
        <v>0</v>
      </c>
      <c r="BG4022" s="0" t="b">
        <v>0</v>
      </c>
      <c r="BH4022" s="0">
        <v>44.25</v>
      </c>
      <c r="BI4022" s="0">
        <v>44.25</v>
      </c>
      <c r="BJ4022" s="0" t="s">
        <v>135</v>
      </c>
    </row>
    <row r="4023">
      <c r="A4023" s="0" t="s">
        <v>4281</v>
      </c>
      <c r="B4023" s="0" t="s">
        <v>134</v>
      </c>
      <c r="C4023" s="0" t="s">
        <v>190</v>
      </c>
      <c r="D4023" s="0" t="s">
        <v>135</v>
      </c>
      <c r="E4023" s="0" t="s">
        <v>3</v>
      </c>
      <c r="F4023" s="0" t="s">
        <v>12</v>
      </c>
      <c r="G4023" s="0" t="s">
        <v>8</v>
      </c>
      <c r="H4023" s="0">
        <v>24</v>
      </c>
      <c r="I4023" s="0">
        <v>44.25</v>
      </c>
      <c r="J4023" s="0">
        <v>0</v>
      </c>
      <c r="K4023" s="0">
        <v>1</v>
      </c>
      <c r="L4023" s="0">
        <v>3</v>
      </c>
      <c r="M4023" s="0">
        <v>1</v>
      </c>
      <c r="N4023" s="0">
        <v>0</v>
      </c>
      <c r="O4023" s="0">
        <v>0</v>
      </c>
      <c r="P4023" s="0">
        <v>0</v>
      </c>
      <c r="R4023" s="0" t="b">
        <v>0</v>
      </c>
      <c r="S4023" s="0" t="b">
        <v>0</v>
      </c>
      <c r="T4023" s="68">
        <v>46029.7153935185</v>
      </c>
      <c r="U4023" s="68">
        <v>46031.2916666667</v>
      </c>
      <c r="V4023" s="68">
        <v>46062.2111574074</v>
      </c>
      <c r="W4023" s="0">
        <f>IF(IF(B4023="none",1,IF(B4023="Trialer",1,0))+IF(C4023="Customer",1,IF(C4023="Lost",1,0))=2,1,0)</f>
      </c>
      <c r="X4023" s="0" t="s">
        <v>1461</v>
      </c>
      <c r="Y4023" s="0" t="s">
        <v>243</v>
      </c>
      <c r="AV4023" s="68"/>
      <c r="AW4023" s="68"/>
      <c r="AY4023" s="27"/>
      <c r="BD4023" s="68">
        <v>46054.1666666667</v>
      </c>
      <c r="BE4023" s="68">
        <v>46082.1666666667</v>
      </c>
      <c r="BF4023" s="0" t="b">
        <v>0</v>
      </c>
      <c r="BG4023" s="0" t="b">
        <v>0</v>
      </c>
      <c r="BH4023" s="0">
        <v>44.25</v>
      </c>
      <c r="BI4023" s="0">
        <v>44.25</v>
      </c>
      <c r="BJ4023" s="0" t="s">
        <v>135</v>
      </c>
    </row>
    <row r="4024">
      <c r="A4024" s="0" t="s">
        <v>4282</v>
      </c>
      <c r="B4024" s="0" t="s">
        <v>134</v>
      </c>
      <c r="C4024" s="0" t="s">
        <v>134</v>
      </c>
      <c r="D4024" s="0" t="s">
        <v>230</v>
      </c>
      <c r="E4024" s="0" t="s">
        <v>3</v>
      </c>
      <c r="F4024" s="0" t="s">
        <v>10</v>
      </c>
      <c r="G4024" s="0" t="s">
        <v>8</v>
      </c>
      <c r="H4024" s="0">
        <v>24</v>
      </c>
      <c r="I4024" s="0">
        <v>31.5</v>
      </c>
      <c r="J4024" s="0">
        <v>0</v>
      </c>
      <c r="K4024" s="0">
        <v>1</v>
      </c>
      <c r="L4024" s="0">
        <v>1</v>
      </c>
      <c r="M4024" s="0">
        <v>1</v>
      </c>
      <c r="N4024" s="0">
        <v>0</v>
      </c>
      <c r="O4024" s="0">
        <v>0</v>
      </c>
      <c r="P4024" s="0">
        <v>-31.5</v>
      </c>
      <c r="Q4024" s="0" t="s">
        <v>3013</v>
      </c>
      <c r="R4024" s="0" t="b">
        <v>0</v>
      </c>
      <c r="S4024" s="0" t="b">
        <v>1</v>
      </c>
      <c r="T4024" s="68">
        <v>46029.730625</v>
      </c>
      <c r="U4024" s="68">
        <v>46043.2916666667</v>
      </c>
      <c r="V4024" s="68">
        <v>0</v>
      </c>
      <c r="W4024" s="0">
        <f>IF(IF(B4024="none",1,IF(B4024="Trialer",1,0))+IF(C4024="Customer",1,IF(C4024="Lost",1,0))=2,1,0)</f>
      </c>
      <c r="X4024" s="0" t="s">
        <v>136</v>
      </c>
      <c r="Y4024" s="0" t="s">
        <v>243</v>
      </c>
      <c r="AV4024" s="68"/>
      <c r="AW4024" s="68"/>
      <c r="AY4024" s="27"/>
      <c r="BD4024" s="68">
        <v>46054.1666666667</v>
      </c>
      <c r="BE4024" s="68">
        <v>46082.1666666667</v>
      </c>
      <c r="BF4024" s="0" t="b">
        <v>0</v>
      </c>
      <c r="BG4024" s="0" t="b">
        <v>0</v>
      </c>
      <c r="BH4024" s="0">
        <v>35</v>
      </c>
      <c r="BI4024" s="0">
        <v>35</v>
      </c>
      <c r="BJ4024" s="0" t="s">
        <v>230</v>
      </c>
    </row>
    <row r="4025">
      <c r="A4025" s="0" t="s">
        <v>4283</v>
      </c>
      <c r="B4025" s="0" t="s">
        <v>652</v>
      </c>
      <c r="C4025" s="0" t="s">
        <v>652</v>
      </c>
      <c r="D4025" s="0" t="s">
        <v>135</v>
      </c>
      <c r="E4025" s="0" t="s">
        <v>3</v>
      </c>
      <c r="F4025" s="0" t="s">
        <v>12</v>
      </c>
      <c r="G4025" s="0" t="s">
        <v>8</v>
      </c>
      <c r="H4025" s="0">
        <v>24</v>
      </c>
      <c r="I4025" s="0">
        <v>0</v>
      </c>
      <c r="J4025" s="0">
        <v>0</v>
      </c>
      <c r="K4025" s="0">
        <v>0</v>
      </c>
      <c r="L4025" s="0">
        <v>0</v>
      </c>
      <c r="M4025" s="0">
        <v>0</v>
      </c>
      <c r="N4025" s="0">
        <v>0</v>
      </c>
      <c r="O4025" s="0">
        <v>0</v>
      </c>
      <c r="P4025" s="0">
        <v>0</v>
      </c>
      <c r="R4025" s="0" t="b">
        <v>0</v>
      </c>
      <c r="S4025" s="0" t="b">
        <v>0</v>
      </c>
      <c r="T4025" s="68">
        <v>46029.804849537</v>
      </c>
      <c r="U4025" s="68">
        <v>0</v>
      </c>
      <c r="V4025" s="68">
        <v>46072.1667013889</v>
      </c>
      <c r="W4025" s="0">
        <f>IF(IF(B4025="none",1,IF(B4025="Trialer",1,0))+IF(C4025="Customer",1,IF(C4025="Lost",1,0))=2,1,0)</f>
      </c>
      <c r="X4025" s="0" t="s">
        <v>136</v>
      </c>
      <c r="Y4025" s="0" t="s">
        <v>243</v>
      </c>
      <c r="AV4025" s="68"/>
      <c r="AW4025" s="68"/>
      <c r="AY4025" s="27"/>
      <c r="BD4025" s="68">
        <v>46054.1666666667</v>
      </c>
      <c r="BE4025" s="68">
        <v>46082.1666666667</v>
      </c>
      <c r="BF4025" s="0" t="b">
        <v>0</v>
      </c>
      <c r="BG4025" s="0" t="b">
        <v>0</v>
      </c>
      <c r="BH4025" s="0">
        <v>53.25</v>
      </c>
      <c r="BI4025" s="0">
        <v>53.25</v>
      </c>
      <c r="BJ4025" s="0" t="s">
        <v>135</v>
      </c>
    </row>
    <row r="4026">
      <c r="A4026" s="0" t="s">
        <v>4284</v>
      </c>
      <c r="B4026" s="0" t="s">
        <v>134</v>
      </c>
      <c r="C4026" s="0" t="s">
        <v>134</v>
      </c>
      <c r="D4026" s="0" t="s">
        <v>230</v>
      </c>
      <c r="E4026" s="0" t="s">
        <v>3</v>
      </c>
      <c r="F4026" s="0" t="s">
        <v>12</v>
      </c>
      <c r="G4026" s="0" t="s">
        <v>8</v>
      </c>
      <c r="H4026" s="0">
        <v>24</v>
      </c>
      <c r="I4026" s="0">
        <v>53.1</v>
      </c>
      <c r="J4026" s="0">
        <v>0</v>
      </c>
      <c r="K4026" s="0">
        <v>1</v>
      </c>
      <c r="L4026" s="0">
        <v>3</v>
      </c>
      <c r="M4026" s="0">
        <v>1</v>
      </c>
      <c r="N4026" s="0">
        <v>0</v>
      </c>
      <c r="O4026" s="0">
        <v>0</v>
      </c>
      <c r="P4026" s="0">
        <v>-53.1</v>
      </c>
      <c r="R4026" s="0" t="b">
        <v>0</v>
      </c>
      <c r="S4026" s="0" t="b">
        <v>1</v>
      </c>
      <c r="T4026" s="68">
        <v>46029.9041666667</v>
      </c>
      <c r="U4026" s="68">
        <v>46043.2916666667</v>
      </c>
      <c r="V4026" s="68">
        <v>0</v>
      </c>
      <c r="W4026" s="0">
        <f>IF(IF(B4026="none",1,IF(B4026="Trialer",1,0))+IF(C4026="Customer",1,IF(C4026="Lost",1,0))=2,1,0)</f>
      </c>
      <c r="X4026" s="0" t="s">
        <v>1461</v>
      </c>
      <c r="Y4026" s="0" t="s">
        <v>243</v>
      </c>
      <c r="AV4026" s="68"/>
      <c r="AW4026" s="68"/>
      <c r="AY4026" s="27"/>
      <c r="BD4026" s="68">
        <v>46054.1666666667</v>
      </c>
      <c r="BE4026" s="68">
        <v>46082.1666666667</v>
      </c>
      <c r="BF4026" s="0" t="b">
        <v>0</v>
      </c>
      <c r="BG4026" s="0" t="b">
        <v>0</v>
      </c>
      <c r="BH4026" s="0">
        <v>59</v>
      </c>
      <c r="BI4026" s="0">
        <v>59</v>
      </c>
      <c r="BJ4026" s="0" t="s">
        <v>230</v>
      </c>
    </row>
    <row r="4027">
      <c r="A4027" s="0" t="s">
        <v>4285</v>
      </c>
      <c r="B4027" s="0" t="s">
        <v>652</v>
      </c>
      <c r="C4027" s="0" t="s">
        <v>652</v>
      </c>
      <c r="D4027" s="0" t="s">
        <v>135</v>
      </c>
      <c r="E4027" s="0" t="s">
        <v>2414</v>
      </c>
      <c r="F4027" s="0" t="s">
        <v>12</v>
      </c>
      <c r="G4027" s="0" t="s">
        <v>8</v>
      </c>
      <c r="H4027" s="0">
        <v>23</v>
      </c>
      <c r="I4027" s="0">
        <v>0</v>
      </c>
      <c r="J4027" s="0">
        <v>0</v>
      </c>
      <c r="K4027" s="0">
        <v>0</v>
      </c>
      <c r="L4027" s="0">
        <v>0</v>
      </c>
      <c r="M4027" s="0">
        <v>0</v>
      </c>
      <c r="N4027" s="0">
        <v>0</v>
      </c>
      <c r="O4027" s="0">
        <v>0</v>
      </c>
      <c r="P4027" s="0">
        <v>0</v>
      </c>
      <c r="R4027" s="0" t="b">
        <v>0</v>
      </c>
      <c r="S4027" s="0" t="b">
        <v>0</v>
      </c>
      <c r="T4027" s="68">
        <v>46030.0433912037</v>
      </c>
      <c r="U4027" s="68">
        <v>0</v>
      </c>
      <c r="V4027" s="68">
        <v>46072.1667361111</v>
      </c>
      <c r="W4027" s="0">
        <f>IF(IF(B4027="none",1,IF(B4027="Trialer",1,0))+IF(C4027="Customer",1,IF(C4027="Lost",1,0))=2,1,0)</f>
      </c>
      <c r="X4027" s="0" t="s">
        <v>136</v>
      </c>
      <c r="Y4027" s="0" t="s">
        <v>1516</v>
      </c>
      <c r="AV4027" s="68"/>
      <c r="AW4027" s="68"/>
      <c r="AY4027" s="27"/>
      <c r="BD4027" s="68">
        <v>46054.1666666667</v>
      </c>
      <c r="BE4027" s="68">
        <v>46082.1666666667</v>
      </c>
      <c r="BF4027" s="0" t="b">
        <v>0</v>
      </c>
      <c r="BG4027" s="0" t="b">
        <v>0</v>
      </c>
      <c r="BH4027" s="0">
        <v>44.25</v>
      </c>
      <c r="BI4027" s="0">
        <v>44.25</v>
      </c>
      <c r="BJ4027" s="0" t="s">
        <v>135</v>
      </c>
    </row>
    <row r="4028">
      <c r="A4028" s="0" t="s">
        <v>4286</v>
      </c>
      <c r="B4028" s="0" t="s">
        <v>652</v>
      </c>
      <c r="C4028" s="0" t="s">
        <v>652</v>
      </c>
      <c r="D4028" s="0" t="s">
        <v>135</v>
      </c>
      <c r="E4028" s="0" t="s">
        <v>3</v>
      </c>
      <c r="F4028" s="0" t="s">
        <v>12</v>
      </c>
      <c r="G4028" s="0" t="s">
        <v>8</v>
      </c>
      <c r="H4028" s="0">
        <v>23</v>
      </c>
      <c r="I4028" s="0">
        <v>0</v>
      </c>
      <c r="J4028" s="0">
        <v>0</v>
      </c>
      <c r="K4028" s="0">
        <v>0</v>
      </c>
      <c r="L4028" s="0">
        <v>0</v>
      </c>
      <c r="M4028" s="0">
        <v>0</v>
      </c>
      <c r="N4028" s="0">
        <v>0</v>
      </c>
      <c r="O4028" s="0">
        <v>0</v>
      </c>
      <c r="P4028" s="0">
        <v>0</v>
      </c>
      <c r="R4028" s="0" t="b">
        <v>0</v>
      </c>
      <c r="S4028" s="0" t="b">
        <v>0</v>
      </c>
      <c r="T4028" s="68">
        <v>46030.0603587963</v>
      </c>
      <c r="U4028" s="68">
        <v>0</v>
      </c>
      <c r="V4028" s="68">
        <v>46072.1667708333</v>
      </c>
      <c r="W4028" s="0">
        <f>IF(IF(B4028="none",1,IF(B4028="Trialer",1,0))+IF(C4028="Customer",1,IF(C4028="Lost",1,0))=2,1,0)</f>
      </c>
      <c r="X4028" s="0" t="s">
        <v>148</v>
      </c>
      <c r="Y4028" s="0" t="s">
        <v>243</v>
      </c>
      <c r="AV4028" s="68"/>
      <c r="AW4028" s="68"/>
      <c r="AY4028" s="27"/>
      <c r="BD4028" s="68">
        <v>46054.1666666667</v>
      </c>
      <c r="BE4028" s="68">
        <v>46082.1666666667</v>
      </c>
      <c r="BF4028" s="0" t="b">
        <v>0</v>
      </c>
      <c r="BG4028" s="0" t="b">
        <v>0</v>
      </c>
      <c r="BH4028" s="0">
        <v>63.75</v>
      </c>
      <c r="BI4028" s="0">
        <v>63.75</v>
      </c>
      <c r="BJ4028" s="0" t="s">
        <v>135</v>
      </c>
    </row>
    <row r="4029">
      <c r="A4029" s="0" t="s">
        <v>4287</v>
      </c>
      <c r="B4029" s="0" t="s">
        <v>652</v>
      </c>
      <c r="C4029" s="0" t="s">
        <v>652</v>
      </c>
      <c r="D4029" s="0" t="s">
        <v>135</v>
      </c>
      <c r="E4029" s="0" t="s">
        <v>2414</v>
      </c>
      <c r="F4029" s="0" t="s">
        <v>12</v>
      </c>
      <c r="G4029" s="0" t="s">
        <v>8</v>
      </c>
      <c r="H4029" s="0">
        <v>23</v>
      </c>
      <c r="I4029" s="0">
        <v>0</v>
      </c>
      <c r="J4029" s="0">
        <v>0</v>
      </c>
      <c r="K4029" s="0">
        <v>0</v>
      </c>
      <c r="L4029" s="0">
        <v>0</v>
      </c>
      <c r="M4029" s="0">
        <v>0</v>
      </c>
      <c r="N4029" s="0">
        <v>0</v>
      </c>
      <c r="O4029" s="0">
        <v>0</v>
      </c>
      <c r="P4029" s="0">
        <v>0</v>
      </c>
      <c r="R4029" s="0" t="b">
        <v>0</v>
      </c>
      <c r="S4029" s="0" t="b">
        <v>0</v>
      </c>
      <c r="T4029" s="68">
        <v>46030.161412037</v>
      </c>
      <c r="U4029" s="68">
        <v>0</v>
      </c>
      <c r="V4029" s="68">
        <v>46072.166724537</v>
      </c>
      <c r="W4029" s="0">
        <f>IF(IF(B4029="none",1,IF(B4029="Trialer",1,0))+IF(C4029="Customer",1,IF(C4029="Lost",1,0))=2,1,0)</f>
      </c>
      <c r="X4029" s="0" t="s">
        <v>145</v>
      </c>
      <c r="Y4029" s="0" t="s">
        <v>1516</v>
      </c>
      <c r="AV4029" s="68"/>
      <c r="AW4029" s="68"/>
      <c r="AY4029" s="27"/>
      <c r="BD4029" s="68">
        <v>46054.1666666667</v>
      </c>
      <c r="BE4029" s="68">
        <v>46082.1666666667</v>
      </c>
      <c r="BF4029" s="0" t="b">
        <v>0</v>
      </c>
      <c r="BG4029" s="0" t="b">
        <v>0</v>
      </c>
      <c r="BH4029" s="0">
        <v>44.25</v>
      </c>
      <c r="BI4029" s="0">
        <v>44.25</v>
      </c>
      <c r="BJ4029" s="0" t="s">
        <v>135</v>
      </c>
    </row>
    <row r="4030">
      <c r="A4030" s="0" t="s">
        <v>4288</v>
      </c>
      <c r="B4030" s="0" t="s">
        <v>652</v>
      </c>
      <c r="C4030" s="0" t="s">
        <v>652</v>
      </c>
      <c r="D4030" s="0" t="s">
        <v>135</v>
      </c>
      <c r="E4030" s="0" t="s">
        <v>2414</v>
      </c>
      <c r="F4030" s="0" t="s">
        <v>12</v>
      </c>
      <c r="G4030" s="0" t="s">
        <v>8</v>
      </c>
      <c r="H4030" s="0">
        <v>23</v>
      </c>
      <c r="I4030" s="0">
        <v>0</v>
      </c>
      <c r="J4030" s="0">
        <v>0</v>
      </c>
      <c r="K4030" s="0">
        <v>0</v>
      </c>
      <c r="L4030" s="0">
        <v>0</v>
      </c>
      <c r="M4030" s="0">
        <v>0</v>
      </c>
      <c r="N4030" s="0">
        <v>0</v>
      </c>
      <c r="O4030" s="0">
        <v>0</v>
      </c>
      <c r="P4030" s="0">
        <v>0</v>
      </c>
      <c r="R4030" s="0" t="b">
        <v>0</v>
      </c>
      <c r="S4030" s="0" t="b">
        <v>0</v>
      </c>
      <c r="T4030" s="68">
        <v>46030.2121990741</v>
      </c>
      <c r="U4030" s="68">
        <v>0</v>
      </c>
      <c r="V4030" s="68">
        <v>46073.1667476852</v>
      </c>
      <c r="W4030" s="0">
        <f>IF(IF(B4030="none",1,IF(B4030="Trialer",1,0))+IF(C4030="Customer",1,IF(C4030="Lost",1,0))=2,1,0)</f>
      </c>
      <c r="X4030" s="0" t="s">
        <v>136</v>
      </c>
      <c r="Y4030" s="0" t="s">
        <v>1516</v>
      </c>
      <c r="AV4030" s="68"/>
      <c r="AW4030" s="68"/>
      <c r="AY4030" s="27"/>
      <c r="BD4030" s="68">
        <v>46054.1666666667</v>
      </c>
      <c r="BE4030" s="68">
        <v>46082.1666666667</v>
      </c>
      <c r="BF4030" s="0" t="b">
        <v>0</v>
      </c>
      <c r="BG4030" s="0" t="b">
        <v>0</v>
      </c>
      <c r="BH4030" s="0">
        <v>44.25</v>
      </c>
      <c r="BI4030" s="0">
        <v>44.25</v>
      </c>
      <c r="BJ4030" s="0" t="s">
        <v>135</v>
      </c>
    </row>
    <row r="4031">
      <c r="A4031" s="0" t="s">
        <v>4289</v>
      </c>
      <c r="B4031" s="0" t="s">
        <v>652</v>
      </c>
      <c r="C4031" s="0" t="s">
        <v>652</v>
      </c>
      <c r="D4031" s="0" t="s">
        <v>135</v>
      </c>
      <c r="E4031" s="0" t="s">
        <v>3</v>
      </c>
      <c r="F4031" s="0" t="s">
        <v>12</v>
      </c>
      <c r="G4031" s="0" t="s">
        <v>8</v>
      </c>
      <c r="H4031" s="0">
        <v>23</v>
      </c>
      <c r="I4031" s="0">
        <v>0</v>
      </c>
      <c r="J4031" s="0">
        <v>0</v>
      </c>
      <c r="K4031" s="0">
        <v>0</v>
      </c>
      <c r="L4031" s="0">
        <v>0</v>
      </c>
      <c r="M4031" s="0">
        <v>0</v>
      </c>
      <c r="N4031" s="0">
        <v>0</v>
      </c>
      <c r="O4031" s="0">
        <v>0</v>
      </c>
      <c r="P4031" s="0">
        <v>0</v>
      </c>
      <c r="R4031" s="0" t="b">
        <v>0</v>
      </c>
      <c r="S4031" s="0" t="b">
        <v>0</v>
      </c>
      <c r="T4031" s="68">
        <v>46030.326087963</v>
      </c>
      <c r="U4031" s="68">
        <v>0</v>
      </c>
      <c r="V4031" s="68">
        <v>46073.1668171296</v>
      </c>
      <c r="W4031" s="0">
        <f>IF(IF(B4031="none",1,IF(B4031="Trialer",1,0))+IF(C4031="Customer",1,IF(C4031="Lost",1,0))=2,1,0)</f>
      </c>
      <c r="X4031" s="0" t="s">
        <v>148</v>
      </c>
      <c r="Y4031" s="0" t="s">
        <v>243</v>
      </c>
      <c r="AV4031" s="68"/>
      <c r="AW4031" s="68"/>
      <c r="AY4031" s="27"/>
      <c r="BD4031" s="68">
        <v>46054.1666666667</v>
      </c>
      <c r="BE4031" s="68">
        <v>46082.1666666667</v>
      </c>
      <c r="BF4031" s="0" t="b">
        <v>0</v>
      </c>
      <c r="BG4031" s="0" t="b">
        <v>0</v>
      </c>
      <c r="BH4031" s="0">
        <v>164.25</v>
      </c>
      <c r="BI4031" s="0">
        <v>164.25</v>
      </c>
      <c r="BJ4031" s="0" t="s">
        <v>135</v>
      </c>
    </row>
    <row r="4032">
      <c r="A4032" s="0" t="s">
        <v>4290</v>
      </c>
      <c r="B4032" s="0" t="s">
        <v>652</v>
      </c>
      <c r="C4032" s="0" t="s">
        <v>652</v>
      </c>
      <c r="D4032" s="0" t="s">
        <v>135</v>
      </c>
      <c r="E4032" s="0" t="s">
        <v>1515</v>
      </c>
      <c r="F4032" s="0" t="s">
        <v>12</v>
      </c>
      <c r="G4032" s="0" t="s">
        <v>8</v>
      </c>
      <c r="H4032" s="0">
        <v>23</v>
      </c>
      <c r="I4032" s="0">
        <v>0</v>
      </c>
      <c r="J4032" s="0">
        <v>0</v>
      </c>
      <c r="K4032" s="0">
        <v>0</v>
      </c>
      <c r="L4032" s="0">
        <v>0</v>
      </c>
      <c r="M4032" s="0">
        <v>0</v>
      </c>
      <c r="N4032" s="0">
        <v>0</v>
      </c>
      <c r="O4032" s="0">
        <v>0</v>
      </c>
      <c r="P4032" s="0">
        <v>0</v>
      </c>
      <c r="R4032" s="0" t="b">
        <v>0</v>
      </c>
      <c r="S4032" s="0" t="b">
        <v>0</v>
      </c>
      <c r="T4032" s="68">
        <v>46030.3628125</v>
      </c>
      <c r="U4032" s="68">
        <v>0</v>
      </c>
      <c r="V4032" s="68">
        <v>46064.4482060185</v>
      </c>
      <c r="W4032" s="0">
        <f>IF(IF(B4032="none",1,IF(B4032="Trialer",1,0))+IF(C4032="Customer",1,IF(C4032="Lost",1,0))=2,1,0)</f>
      </c>
      <c r="X4032" s="0" t="s">
        <v>1461</v>
      </c>
      <c r="Y4032" s="0" t="s">
        <v>1516</v>
      </c>
      <c r="AV4032" s="68"/>
      <c r="AW4032" s="68"/>
      <c r="AY4032" s="27"/>
      <c r="BD4032" s="68">
        <v>46054.1666666667</v>
      </c>
      <c r="BE4032" s="68">
        <v>46082.1666666667</v>
      </c>
      <c r="BF4032" s="0" t="b">
        <v>1</v>
      </c>
      <c r="BG4032" s="0" t="b">
        <v>0</v>
      </c>
      <c r="BH4032" s="0">
        <v>44.25</v>
      </c>
      <c r="BI4032" s="0">
        <v>44.25</v>
      </c>
      <c r="BJ4032" s="0" t="s">
        <v>135</v>
      </c>
    </row>
    <row r="4033">
      <c r="A4033" s="0" t="s">
        <v>4291</v>
      </c>
      <c r="B4033" s="0" t="s">
        <v>652</v>
      </c>
      <c r="C4033" s="0" t="s">
        <v>652</v>
      </c>
      <c r="D4033" s="0" t="s">
        <v>135</v>
      </c>
      <c r="E4033" s="0" t="s">
        <v>3</v>
      </c>
      <c r="F4033" s="0" t="s">
        <v>12</v>
      </c>
      <c r="G4033" s="0" t="s">
        <v>8</v>
      </c>
      <c r="H4033" s="0">
        <v>23</v>
      </c>
      <c r="I4033" s="0">
        <v>0</v>
      </c>
      <c r="J4033" s="0">
        <v>0</v>
      </c>
      <c r="K4033" s="0">
        <v>0</v>
      </c>
      <c r="L4033" s="0">
        <v>0</v>
      </c>
      <c r="M4033" s="0">
        <v>0</v>
      </c>
      <c r="N4033" s="0">
        <v>0</v>
      </c>
      <c r="O4033" s="0">
        <v>0</v>
      </c>
      <c r="P4033" s="0">
        <v>0</v>
      </c>
      <c r="R4033" s="0" t="b">
        <v>0</v>
      </c>
      <c r="S4033" s="0" t="b">
        <v>0</v>
      </c>
      <c r="T4033" s="68">
        <v>46030.3828125</v>
      </c>
      <c r="U4033" s="68">
        <v>0</v>
      </c>
      <c r="V4033" s="68">
        <v>46073.1667708333</v>
      </c>
      <c r="W4033" s="0">
        <f>IF(IF(B4033="none",1,IF(B4033="Trialer",1,0))+IF(C4033="Customer",1,IF(C4033="Lost",1,0))=2,1,0)</f>
      </c>
      <c r="X4033" s="0" t="s">
        <v>145</v>
      </c>
      <c r="Y4033" s="0" t="s">
        <v>243</v>
      </c>
      <c r="AV4033" s="68"/>
      <c r="AW4033" s="68"/>
      <c r="AY4033" s="27"/>
      <c r="BD4033" s="68">
        <v>46054.1666666667</v>
      </c>
      <c r="BE4033" s="68">
        <v>46082.1666666667</v>
      </c>
      <c r="BF4033" s="0" t="b">
        <v>0</v>
      </c>
      <c r="BG4033" s="0" t="b">
        <v>0</v>
      </c>
      <c r="BH4033" s="0">
        <v>44.25</v>
      </c>
      <c r="BI4033" s="0">
        <v>44.25</v>
      </c>
      <c r="BJ4033" s="0" t="s">
        <v>135</v>
      </c>
    </row>
    <row r="4034">
      <c r="A4034" s="0" t="s">
        <v>4292</v>
      </c>
      <c r="B4034" s="0" t="s">
        <v>652</v>
      </c>
      <c r="C4034" s="0" t="s">
        <v>652</v>
      </c>
      <c r="D4034" s="0" t="s">
        <v>135</v>
      </c>
      <c r="E4034" s="0" t="s">
        <v>3</v>
      </c>
      <c r="F4034" s="0" t="s">
        <v>12</v>
      </c>
      <c r="G4034" s="0" t="s">
        <v>8</v>
      </c>
      <c r="H4034" s="0">
        <v>23</v>
      </c>
      <c r="I4034" s="0">
        <v>0</v>
      </c>
      <c r="J4034" s="0">
        <v>0</v>
      </c>
      <c r="K4034" s="0">
        <v>0</v>
      </c>
      <c r="L4034" s="0">
        <v>0</v>
      </c>
      <c r="M4034" s="0">
        <v>0</v>
      </c>
      <c r="N4034" s="0">
        <v>0</v>
      </c>
      <c r="O4034" s="0">
        <v>0</v>
      </c>
      <c r="P4034" s="0">
        <v>0</v>
      </c>
      <c r="R4034" s="0" t="b">
        <v>0</v>
      </c>
      <c r="S4034" s="0" t="b">
        <v>0</v>
      </c>
      <c r="T4034" s="68">
        <v>46030.4409837963</v>
      </c>
      <c r="U4034" s="68">
        <v>0</v>
      </c>
      <c r="V4034" s="68">
        <v>46073.1668634259</v>
      </c>
      <c r="W4034" s="0">
        <f>IF(IF(B4034="none",1,IF(B4034="Trialer",1,0))+IF(C4034="Customer",1,IF(C4034="Lost",1,0))=2,1,0)</f>
      </c>
      <c r="X4034" s="0" t="s">
        <v>148</v>
      </c>
      <c r="Y4034" s="0" t="s">
        <v>243</v>
      </c>
      <c r="AV4034" s="68"/>
      <c r="AW4034" s="68"/>
      <c r="AY4034" s="27"/>
      <c r="BD4034" s="68">
        <v>46054.1666666667</v>
      </c>
      <c r="BE4034" s="68">
        <v>46082.1666666667</v>
      </c>
      <c r="BF4034" s="0" t="b">
        <v>0</v>
      </c>
      <c r="BG4034" s="0" t="b">
        <v>0</v>
      </c>
      <c r="BH4034" s="0">
        <v>53.25</v>
      </c>
      <c r="BI4034" s="0">
        <v>53.25</v>
      </c>
      <c r="BJ4034" s="0" t="s">
        <v>135</v>
      </c>
    </row>
    <row r="4035">
      <c r="A4035" s="0" t="s">
        <v>4293</v>
      </c>
      <c r="B4035" s="0" t="s">
        <v>652</v>
      </c>
      <c r="C4035" s="0" t="s">
        <v>652</v>
      </c>
      <c r="D4035" s="0" t="s">
        <v>135</v>
      </c>
      <c r="E4035" s="0" t="s">
        <v>4</v>
      </c>
      <c r="F4035" s="0" t="s">
        <v>12</v>
      </c>
      <c r="G4035" s="0" t="s">
        <v>8</v>
      </c>
      <c r="H4035" s="0">
        <v>23</v>
      </c>
      <c r="I4035" s="0">
        <v>0</v>
      </c>
      <c r="J4035" s="0">
        <v>0</v>
      </c>
      <c r="K4035" s="0">
        <v>0</v>
      </c>
      <c r="L4035" s="0">
        <v>0</v>
      </c>
      <c r="M4035" s="0">
        <v>0</v>
      </c>
      <c r="N4035" s="0">
        <v>0</v>
      </c>
      <c r="O4035" s="0">
        <v>0</v>
      </c>
      <c r="P4035" s="0">
        <v>0</v>
      </c>
      <c r="R4035" s="0" t="b">
        <v>0</v>
      </c>
      <c r="S4035" s="0" t="b">
        <v>0</v>
      </c>
      <c r="T4035" s="68">
        <v>46030.4445138889</v>
      </c>
      <c r="U4035" s="68">
        <v>0</v>
      </c>
      <c r="V4035" s="68">
        <v>46073.1669212963</v>
      </c>
      <c r="W4035" s="0">
        <f>IF(IF(B4035="none",1,IF(B4035="Trialer",1,0))+IF(C4035="Customer",1,IF(C4035="Lost",1,0))=2,1,0)</f>
      </c>
      <c r="X4035" s="0" t="s">
        <v>145</v>
      </c>
      <c r="Y4035" s="0" t="s">
        <v>1772</v>
      </c>
      <c r="AV4035" s="68"/>
      <c r="AW4035" s="68"/>
      <c r="AY4035" s="27"/>
      <c r="BD4035" s="68">
        <v>46054.1666666667</v>
      </c>
      <c r="BE4035" s="68">
        <v>46082.1666666667</v>
      </c>
      <c r="BF4035" s="0" t="b">
        <v>0</v>
      </c>
      <c r="BG4035" s="0" t="b">
        <v>0</v>
      </c>
      <c r="BH4035" s="0">
        <v>44.25</v>
      </c>
      <c r="BI4035" s="0">
        <v>44.25</v>
      </c>
      <c r="BJ4035" s="0" t="s">
        <v>135</v>
      </c>
    </row>
    <row r="4036">
      <c r="A4036" s="0" t="s">
        <v>4294</v>
      </c>
      <c r="B4036" s="0" t="s">
        <v>134</v>
      </c>
      <c r="C4036" s="0" t="s">
        <v>134</v>
      </c>
      <c r="D4036" s="0" t="s">
        <v>135</v>
      </c>
      <c r="E4036" s="0" t="s">
        <v>3</v>
      </c>
      <c r="F4036" s="0" t="s">
        <v>12</v>
      </c>
      <c r="G4036" s="0" t="s">
        <v>8</v>
      </c>
      <c r="H4036" s="0">
        <v>23</v>
      </c>
      <c r="I4036" s="0">
        <v>231</v>
      </c>
      <c r="J4036" s="0">
        <v>0</v>
      </c>
      <c r="K4036" s="0">
        <v>1</v>
      </c>
      <c r="L4036" s="0">
        <v>5</v>
      </c>
      <c r="M4036" s="0">
        <v>4</v>
      </c>
      <c r="N4036" s="0">
        <v>0</v>
      </c>
      <c r="O4036" s="0">
        <v>0</v>
      </c>
      <c r="P4036" s="0">
        <v>0</v>
      </c>
      <c r="R4036" s="0" t="b">
        <v>0</v>
      </c>
      <c r="S4036" s="0" t="b">
        <v>1</v>
      </c>
      <c r="T4036" s="68">
        <v>46030.4993171296</v>
      </c>
      <c r="U4036" s="68">
        <v>46044.2916666667</v>
      </c>
      <c r="V4036" s="68">
        <v>0</v>
      </c>
      <c r="W4036" s="0">
        <f>IF(IF(B4036="none",1,IF(B4036="Trialer",1,0))+IF(C4036="Customer",1,IF(C4036="Lost",1,0))=2,1,0)</f>
      </c>
      <c r="X4036" s="0" t="s">
        <v>148</v>
      </c>
      <c r="Y4036" s="0" t="s">
        <v>243</v>
      </c>
      <c r="AV4036" s="68"/>
      <c r="AW4036" s="68"/>
      <c r="AY4036" s="27"/>
      <c r="BD4036" s="68">
        <v>46054.1666666667</v>
      </c>
      <c r="BE4036" s="68">
        <v>46082.1666666667</v>
      </c>
      <c r="BF4036" s="0" t="b">
        <v>0</v>
      </c>
      <c r="BG4036" s="0" t="b">
        <v>0</v>
      </c>
      <c r="BH4036" s="0">
        <v>231</v>
      </c>
      <c r="BI4036" s="0">
        <v>231</v>
      </c>
      <c r="BJ4036" s="0" t="s">
        <v>135</v>
      </c>
    </row>
    <row r="4037">
      <c r="A4037" s="0" t="s">
        <v>4295</v>
      </c>
      <c r="B4037" s="0" t="s">
        <v>134</v>
      </c>
      <c r="C4037" s="0" t="s">
        <v>134</v>
      </c>
      <c r="D4037" s="0" t="s">
        <v>135</v>
      </c>
      <c r="E4037" s="0" t="s">
        <v>2</v>
      </c>
      <c r="F4037" s="0" t="s">
        <v>12</v>
      </c>
      <c r="G4037" s="0" t="s">
        <v>8</v>
      </c>
      <c r="H4037" s="0">
        <v>23</v>
      </c>
      <c r="I4037" s="0">
        <v>106.5</v>
      </c>
      <c r="J4037" s="0">
        <v>0</v>
      </c>
      <c r="K4037" s="0">
        <v>1</v>
      </c>
      <c r="L4037" s="0">
        <v>4</v>
      </c>
      <c r="M4037" s="0">
        <v>2</v>
      </c>
      <c r="N4037" s="0">
        <v>1317.5</v>
      </c>
      <c r="O4037" s="0">
        <v>0</v>
      </c>
      <c r="P4037" s="0">
        <v>0</v>
      </c>
      <c r="R4037" s="0" t="b">
        <v>0</v>
      </c>
      <c r="S4037" s="0" t="b">
        <v>1</v>
      </c>
      <c r="T4037" s="68">
        <v>46030.5059375</v>
      </c>
      <c r="U4037" s="68">
        <v>46049.2916666667</v>
      </c>
      <c r="V4037" s="68">
        <v>0</v>
      </c>
      <c r="W4037" s="0">
        <f>IF(IF(B4037="none",1,IF(B4037="Trialer",1,0))+IF(C4037="Customer",1,IF(C4037="Lost",1,0))=2,1,0)</f>
      </c>
      <c r="X4037" s="0" t="s">
        <v>1461</v>
      </c>
      <c r="Y4037" s="0" t="s">
        <v>499</v>
      </c>
      <c r="AV4037" s="68"/>
      <c r="AW4037" s="68"/>
      <c r="AY4037" s="27"/>
      <c r="BD4037" s="68">
        <v>46054.1666666667</v>
      </c>
      <c r="BE4037" s="68">
        <v>46082.1666666667</v>
      </c>
      <c r="BF4037" s="0" t="b">
        <v>0</v>
      </c>
      <c r="BG4037" s="0" t="b">
        <v>0</v>
      </c>
      <c r="BH4037" s="0">
        <v>106.5</v>
      </c>
      <c r="BI4037" s="0">
        <v>106.5</v>
      </c>
      <c r="BJ4037" s="0" t="s">
        <v>135</v>
      </c>
    </row>
    <row r="4038">
      <c r="A4038" s="0" t="s">
        <v>4296</v>
      </c>
      <c r="B4038" s="0" t="s">
        <v>134</v>
      </c>
      <c r="C4038" s="0" t="s">
        <v>134</v>
      </c>
      <c r="D4038" s="0" t="s">
        <v>135</v>
      </c>
      <c r="E4038" s="0" t="s">
        <v>3</v>
      </c>
      <c r="F4038" s="0" t="s">
        <v>12</v>
      </c>
      <c r="G4038" s="0" t="s">
        <v>8</v>
      </c>
      <c r="H4038" s="0">
        <v>23</v>
      </c>
      <c r="I4038" s="0">
        <v>177</v>
      </c>
      <c r="J4038" s="0">
        <v>0</v>
      </c>
      <c r="K4038" s="0">
        <v>1</v>
      </c>
      <c r="L4038" s="0">
        <v>3</v>
      </c>
      <c r="M4038" s="0">
        <v>4</v>
      </c>
      <c r="N4038" s="0">
        <v>0</v>
      </c>
      <c r="O4038" s="0">
        <v>0</v>
      </c>
      <c r="P4038" s="0">
        <v>0</v>
      </c>
      <c r="R4038" s="0" t="b">
        <v>0</v>
      </c>
      <c r="S4038" s="0" t="b">
        <v>1</v>
      </c>
      <c r="T4038" s="68">
        <v>46030.532662037</v>
      </c>
      <c r="U4038" s="68">
        <v>46048.2916666667</v>
      </c>
      <c r="V4038" s="68">
        <v>0</v>
      </c>
      <c r="W4038" s="0">
        <f>IF(IF(B4038="none",1,IF(B4038="Trialer",1,0))+IF(C4038="Customer",1,IF(C4038="Lost",1,0))=2,1,0)</f>
      </c>
      <c r="X4038" s="0" t="s">
        <v>145</v>
      </c>
      <c r="Y4038" s="0" t="s">
        <v>243</v>
      </c>
      <c r="AV4038" s="68"/>
      <c r="AW4038" s="68"/>
      <c r="AY4038" s="27"/>
      <c r="BD4038" s="68">
        <v>46054.1666666667</v>
      </c>
      <c r="BE4038" s="68">
        <v>46082.1666666667</v>
      </c>
      <c r="BF4038" s="0" t="b">
        <v>0</v>
      </c>
      <c r="BG4038" s="0" t="b">
        <v>0</v>
      </c>
      <c r="BH4038" s="0">
        <v>177</v>
      </c>
      <c r="BI4038" s="0">
        <v>177</v>
      </c>
      <c r="BJ4038" s="0" t="s">
        <v>135</v>
      </c>
    </row>
    <row r="4039">
      <c r="A4039" s="0" t="s">
        <v>4297</v>
      </c>
      <c r="B4039" s="0" t="s">
        <v>134</v>
      </c>
      <c r="C4039" s="0" t="s">
        <v>190</v>
      </c>
      <c r="D4039" s="0" t="s">
        <v>135</v>
      </c>
      <c r="E4039" s="0" t="s">
        <v>3</v>
      </c>
      <c r="F4039" s="0" t="s">
        <v>12</v>
      </c>
      <c r="G4039" s="0" t="s">
        <v>8</v>
      </c>
      <c r="H4039" s="0">
        <v>23</v>
      </c>
      <c r="I4039" s="0">
        <v>53.25</v>
      </c>
      <c r="J4039" s="0">
        <v>0</v>
      </c>
      <c r="K4039" s="0">
        <v>1</v>
      </c>
      <c r="L4039" s="0">
        <v>4</v>
      </c>
      <c r="M4039" s="0">
        <v>1</v>
      </c>
      <c r="N4039" s="0">
        <v>0</v>
      </c>
      <c r="O4039" s="0">
        <v>0</v>
      </c>
      <c r="P4039" s="0">
        <v>0</v>
      </c>
      <c r="R4039" s="0" t="b">
        <v>0</v>
      </c>
      <c r="S4039" s="0" t="b">
        <v>0</v>
      </c>
      <c r="T4039" s="68">
        <v>46030.5528240741</v>
      </c>
      <c r="U4039" s="68">
        <v>46052.2916666667</v>
      </c>
      <c r="V4039" s="68">
        <v>46076.6401157407</v>
      </c>
      <c r="W4039" s="0">
        <f>IF(IF(B4039="none",1,IF(B4039="Trialer",1,0))+IF(C4039="Customer",1,IF(C4039="Lost",1,0))=2,1,0)</f>
      </c>
      <c r="X4039" s="0" t="s">
        <v>1461</v>
      </c>
      <c r="Y4039" s="0" t="s">
        <v>243</v>
      </c>
      <c r="AV4039" s="68"/>
      <c r="AW4039" s="68"/>
      <c r="AY4039" s="27"/>
      <c r="BD4039" s="68">
        <v>46054.1666666667</v>
      </c>
      <c r="BE4039" s="68">
        <v>46082.1666666667</v>
      </c>
      <c r="BF4039" s="0" t="b">
        <v>0</v>
      </c>
      <c r="BG4039" s="0" t="b">
        <v>0</v>
      </c>
      <c r="BH4039" s="0">
        <v>53.25</v>
      </c>
      <c r="BI4039" s="0">
        <v>53.25</v>
      </c>
      <c r="BJ4039" s="0" t="s">
        <v>135</v>
      </c>
    </row>
    <row r="4040">
      <c r="A4040" s="0" t="s">
        <v>4298</v>
      </c>
      <c r="B4040" s="0" t="s">
        <v>652</v>
      </c>
      <c r="C4040" s="0" t="s">
        <v>652</v>
      </c>
      <c r="D4040" s="0" t="s">
        <v>135</v>
      </c>
      <c r="E4040" s="0" t="s">
        <v>3</v>
      </c>
      <c r="F4040" s="0" t="s">
        <v>12</v>
      </c>
      <c r="G4040" s="0" t="s">
        <v>8</v>
      </c>
      <c r="H4040" s="0">
        <v>23</v>
      </c>
      <c r="I4040" s="0">
        <v>0</v>
      </c>
      <c r="J4040" s="0">
        <v>0</v>
      </c>
      <c r="K4040" s="0">
        <v>0</v>
      </c>
      <c r="L4040" s="0">
        <v>0</v>
      </c>
      <c r="M4040" s="0">
        <v>0</v>
      </c>
      <c r="N4040" s="0">
        <v>0</v>
      </c>
      <c r="O4040" s="0">
        <v>0</v>
      </c>
      <c r="P4040" s="0">
        <v>0</v>
      </c>
      <c r="R4040" s="0" t="b">
        <v>0</v>
      </c>
      <c r="S4040" s="0" t="b">
        <v>0</v>
      </c>
      <c r="T4040" s="68">
        <v>46030.5701273148</v>
      </c>
      <c r="U4040" s="68">
        <v>0</v>
      </c>
      <c r="V4040" s="68">
        <v>46073.166875</v>
      </c>
      <c r="W4040" s="0">
        <f>IF(IF(B4040="none",1,IF(B4040="Trialer",1,0))+IF(C4040="Customer",1,IF(C4040="Lost",1,0))=2,1,0)</f>
      </c>
      <c r="X4040" s="0" t="s">
        <v>148</v>
      </c>
      <c r="Y4040" s="0" t="s">
        <v>243</v>
      </c>
      <c r="AV4040" s="68"/>
      <c r="AW4040" s="68"/>
      <c r="AY4040" s="27"/>
      <c r="BD4040" s="68">
        <v>46054.1666666667</v>
      </c>
      <c r="BE4040" s="68">
        <v>46082.1666666667</v>
      </c>
      <c r="BF4040" s="0" t="b">
        <v>0</v>
      </c>
      <c r="BG4040" s="0" t="b">
        <v>0</v>
      </c>
      <c r="BH4040" s="0">
        <v>44.25</v>
      </c>
      <c r="BI4040" s="0">
        <v>44.25</v>
      </c>
      <c r="BJ4040" s="0" t="s">
        <v>135</v>
      </c>
    </row>
    <row r="4041">
      <c r="A4041" s="0" t="s">
        <v>4299</v>
      </c>
      <c r="B4041" s="0" t="s">
        <v>652</v>
      </c>
      <c r="C4041" s="0" t="s">
        <v>652</v>
      </c>
      <c r="D4041" s="0" t="s">
        <v>135</v>
      </c>
      <c r="E4041" s="0" t="s">
        <v>3</v>
      </c>
      <c r="F4041" s="0" t="s">
        <v>12</v>
      </c>
      <c r="G4041" s="0" t="s">
        <v>8</v>
      </c>
      <c r="H4041" s="0">
        <v>23</v>
      </c>
      <c r="I4041" s="0">
        <v>0</v>
      </c>
      <c r="J4041" s="0">
        <v>0</v>
      </c>
      <c r="K4041" s="0">
        <v>0</v>
      </c>
      <c r="L4041" s="0">
        <v>0</v>
      </c>
      <c r="M4041" s="0">
        <v>0</v>
      </c>
      <c r="N4041" s="0">
        <v>0</v>
      </c>
      <c r="O4041" s="0">
        <v>0</v>
      </c>
      <c r="P4041" s="0">
        <v>0</v>
      </c>
      <c r="R4041" s="0" t="b">
        <v>0</v>
      </c>
      <c r="S4041" s="0" t="b">
        <v>0</v>
      </c>
      <c r="T4041" s="68">
        <v>46030.5806018518</v>
      </c>
      <c r="U4041" s="68">
        <v>0</v>
      </c>
      <c r="V4041" s="68">
        <v>46057.4871527778</v>
      </c>
      <c r="W4041" s="0">
        <f>IF(IF(B4041="none",1,IF(B4041="Trialer",1,0))+IF(C4041="Customer",1,IF(C4041="Lost",1,0))=2,1,0)</f>
      </c>
      <c r="X4041" s="0" t="s">
        <v>1461</v>
      </c>
      <c r="Y4041" s="0" t="s">
        <v>243</v>
      </c>
      <c r="AV4041" s="68"/>
      <c r="AW4041" s="68"/>
      <c r="AY4041" s="27"/>
      <c r="BD4041" s="68">
        <v>46054.1666666667</v>
      </c>
      <c r="BE4041" s="68">
        <v>46082.1666666667</v>
      </c>
      <c r="BF4041" s="0" t="b">
        <v>0</v>
      </c>
      <c r="BG4041" s="0" t="b">
        <v>0</v>
      </c>
      <c r="BH4041" s="0">
        <v>53.25</v>
      </c>
      <c r="BI4041" s="0">
        <v>53.25</v>
      </c>
      <c r="BJ4041" s="0" t="s">
        <v>135</v>
      </c>
    </row>
    <row r="4042">
      <c r="A4042" s="0" t="s">
        <v>4300</v>
      </c>
      <c r="B4042" s="0" t="s">
        <v>134</v>
      </c>
      <c r="C4042" s="0" t="s">
        <v>134</v>
      </c>
      <c r="D4042" s="0" t="s">
        <v>135</v>
      </c>
      <c r="E4042" s="0" t="s">
        <v>3</v>
      </c>
      <c r="F4042" s="0" t="s">
        <v>12</v>
      </c>
      <c r="G4042" s="0" t="s">
        <v>8</v>
      </c>
      <c r="H4042" s="0">
        <v>23</v>
      </c>
      <c r="I4042" s="0">
        <v>116.25</v>
      </c>
      <c r="J4042" s="0">
        <v>0</v>
      </c>
      <c r="K4042" s="0">
        <v>1</v>
      </c>
      <c r="L4042" s="0">
        <v>3</v>
      </c>
      <c r="M4042" s="0">
        <v>5</v>
      </c>
      <c r="N4042" s="0">
        <v>310</v>
      </c>
      <c r="O4042" s="0">
        <v>0</v>
      </c>
      <c r="P4042" s="0">
        <v>0</v>
      </c>
      <c r="R4042" s="0" t="b">
        <v>0</v>
      </c>
      <c r="S4042" s="0" t="b">
        <v>1</v>
      </c>
      <c r="T4042" s="68">
        <v>46030.5849884259</v>
      </c>
      <c r="U4042" s="68">
        <v>46044.2916666667</v>
      </c>
      <c r="V4042" s="68">
        <v>0</v>
      </c>
      <c r="W4042" s="0">
        <f>IF(IF(B4042="none",1,IF(B4042="Trialer",1,0))+IF(C4042="Customer",1,IF(C4042="Lost",1,0))=2,1,0)</f>
      </c>
      <c r="X4042" s="0" t="s">
        <v>136</v>
      </c>
      <c r="Y4042" s="0" t="s">
        <v>243</v>
      </c>
      <c r="AV4042" s="68"/>
      <c r="AW4042" s="68"/>
      <c r="AY4042" s="27"/>
      <c r="BD4042" s="68">
        <v>46054.1666666667</v>
      </c>
      <c r="BE4042" s="68">
        <v>46082.1666666667</v>
      </c>
      <c r="BF4042" s="0" t="b">
        <v>0</v>
      </c>
      <c r="BG4042" s="0" t="b">
        <v>0</v>
      </c>
      <c r="BH4042" s="0">
        <v>116.25</v>
      </c>
      <c r="BI4042" s="0">
        <v>116.25</v>
      </c>
      <c r="BJ4042" s="0" t="s">
        <v>135</v>
      </c>
    </row>
    <row r="4043">
      <c r="A4043" s="0" t="s">
        <v>4301</v>
      </c>
      <c r="B4043" s="0" t="s">
        <v>134</v>
      </c>
      <c r="C4043" s="0" t="s">
        <v>134</v>
      </c>
      <c r="D4043" s="0" t="s">
        <v>135</v>
      </c>
      <c r="E4043" s="0" t="s">
        <v>3</v>
      </c>
      <c r="F4043" s="0" t="s">
        <v>12</v>
      </c>
      <c r="G4043" s="0" t="s">
        <v>8</v>
      </c>
      <c r="H4043" s="0">
        <v>23</v>
      </c>
      <c r="I4043" s="0">
        <v>72.75</v>
      </c>
      <c r="J4043" s="0">
        <v>0</v>
      </c>
      <c r="K4043" s="0">
        <v>1</v>
      </c>
      <c r="L4043" s="0">
        <v>6</v>
      </c>
      <c r="M4043" s="0">
        <v>1</v>
      </c>
      <c r="N4043" s="0">
        <v>0</v>
      </c>
      <c r="O4043" s="0">
        <v>0</v>
      </c>
      <c r="P4043" s="0">
        <v>0</v>
      </c>
      <c r="R4043" s="0" t="b">
        <v>0</v>
      </c>
      <c r="S4043" s="0" t="b">
        <v>1</v>
      </c>
      <c r="T4043" s="68">
        <v>46030.5873842593</v>
      </c>
      <c r="U4043" s="68">
        <v>46051.2916666667</v>
      </c>
      <c r="V4043" s="68">
        <v>0</v>
      </c>
      <c r="W4043" s="0">
        <f>IF(IF(B4043="none",1,IF(B4043="Trialer",1,0))+IF(C4043="Customer",1,IF(C4043="Lost",1,0))=2,1,0)</f>
      </c>
      <c r="X4043" s="0" t="s">
        <v>1461</v>
      </c>
      <c r="Y4043" s="0" t="s">
        <v>243</v>
      </c>
      <c r="AV4043" s="68"/>
      <c r="AW4043" s="68"/>
      <c r="AY4043" s="27"/>
      <c r="BD4043" s="68">
        <v>46054.1666666667</v>
      </c>
      <c r="BE4043" s="68">
        <v>46082.1666666667</v>
      </c>
      <c r="BF4043" s="0" t="b">
        <v>0</v>
      </c>
      <c r="BG4043" s="0" t="b">
        <v>0</v>
      </c>
      <c r="BH4043" s="0">
        <v>72.75</v>
      </c>
      <c r="BI4043" s="0">
        <v>72.75</v>
      </c>
      <c r="BJ4043" s="0" t="s">
        <v>135</v>
      </c>
    </row>
    <row r="4044">
      <c r="A4044" s="0" t="s">
        <v>4302</v>
      </c>
      <c r="B4044" s="0" t="s">
        <v>652</v>
      </c>
      <c r="C4044" s="0" t="s">
        <v>652</v>
      </c>
      <c r="D4044" s="0" t="s">
        <v>135</v>
      </c>
      <c r="E4044" s="0" t="s">
        <v>2</v>
      </c>
      <c r="F4044" s="0" t="s">
        <v>12</v>
      </c>
      <c r="G4044" s="0" t="s">
        <v>8</v>
      </c>
      <c r="H4044" s="0">
        <v>23</v>
      </c>
      <c r="I4044" s="0">
        <v>0</v>
      </c>
      <c r="J4044" s="0">
        <v>0</v>
      </c>
      <c r="K4044" s="0">
        <v>0</v>
      </c>
      <c r="L4044" s="0">
        <v>0</v>
      </c>
      <c r="M4044" s="0">
        <v>0</v>
      </c>
      <c r="N4044" s="0">
        <v>0</v>
      </c>
      <c r="O4044" s="0">
        <v>0</v>
      </c>
      <c r="P4044" s="0">
        <v>0</v>
      </c>
      <c r="R4044" s="0" t="b">
        <v>0</v>
      </c>
      <c r="S4044" s="0" t="b">
        <v>0</v>
      </c>
      <c r="T4044" s="68">
        <v>46030.5914236111</v>
      </c>
      <c r="U4044" s="68">
        <v>0</v>
      </c>
      <c r="V4044" s="68">
        <v>46073.1668981481</v>
      </c>
      <c r="W4044" s="0">
        <f>IF(IF(B4044="none",1,IF(B4044="Trialer",1,0))+IF(C4044="Customer",1,IF(C4044="Lost",1,0))=2,1,0)</f>
      </c>
      <c r="X4044" s="0" t="s">
        <v>145</v>
      </c>
      <c r="Y4044" s="0" t="s">
        <v>499</v>
      </c>
      <c r="AV4044" s="68"/>
      <c r="AW4044" s="68"/>
      <c r="AY4044" s="27"/>
      <c r="BD4044" s="68">
        <v>46054.1666666667</v>
      </c>
      <c r="BE4044" s="68">
        <v>46082.1666666667</v>
      </c>
      <c r="BF4044" s="0" t="b">
        <v>0</v>
      </c>
      <c r="BG4044" s="0" t="b">
        <v>0</v>
      </c>
      <c r="BH4044" s="0">
        <v>44.25</v>
      </c>
      <c r="BI4044" s="0">
        <v>44.25</v>
      </c>
      <c r="BJ4044" s="0" t="s">
        <v>135</v>
      </c>
    </row>
    <row r="4045">
      <c r="A4045" s="0" t="s">
        <v>4303</v>
      </c>
      <c r="B4045" s="0" t="s">
        <v>652</v>
      </c>
      <c r="C4045" s="0" t="s">
        <v>652</v>
      </c>
      <c r="D4045" s="0" t="s">
        <v>135</v>
      </c>
      <c r="E4045" s="0" t="s">
        <v>3</v>
      </c>
      <c r="F4045" s="0" t="s">
        <v>12</v>
      </c>
      <c r="G4045" s="0" t="s">
        <v>8</v>
      </c>
      <c r="H4045" s="0">
        <v>23</v>
      </c>
      <c r="I4045" s="0">
        <v>0</v>
      </c>
      <c r="J4045" s="0">
        <v>0</v>
      </c>
      <c r="K4045" s="0">
        <v>0</v>
      </c>
      <c r="L4045" s="0">
        <v>0</v>
      </c>
      <c r="M4045" s="0">
        <v>0</v>
      </c>
      <c r="N4045" s="0">
        <v>0</v>
      </c>
      <c r="O4045" s="0">
        <v>0</v>
      </c>
      <c r="P4045" s="0">
        <v>0</v>
      </c>
      <c r="R4045" s="0" t="b">
        <v>0</v>
      </c>
      <c r="S4045" s="0" t="b">
        <v>0</v>
      </c>
      <c r="T4045" s="68">
        <v>46030.6258449074</v>
      </c>
      <c r="U4045" s="68">
        <v>0</v>
      </c>
      <c r="V4045" s="68">
        <v>46073.166875</v>
      </c>
      <c r="W4045" s="0">
        <f>IF(IF(B4045="none",1,IF(B4045="Trialer",1,0))+IF(C4045="Customer",1,IF(C4045="Lost",1,0))=2,1,0)</f>
      </c>
      <c r="X4045" s="0" t="s">
        <v>148</v>
      </c>
      <c r="Y4045" s="0" t="s">
        <v>243</v>
      </c>
      <c r="AV4045" s="68"/>
      <c r="AW4045" s="68"/>
      <c r="AY4045" s="27"/>
      <c r="BD4045" s="68">
        <v>46054.1666666667</v>
      </c>
      <c r="BE4045" s="68">
        <v>46082.1666666667</v>
      </c>
      <c r="BF4045" s="0" t="b">
        <v>0</v>
      </c>
      <c r="BG4045" s="0" t="b">
        <v>0</v>
      </c>
      <c r="BH4045" s="0">
        <v>54.75</v>
      </c>
      <c r="BI4045" s="0">
        <v>54.75</v>
      </c>
      <c r="BJ4045" s="0" t="s">
        <v>135</v>
      </c>
    </row>
    <row r="4046">
      <c r="A4046" s="0" t="s">
        <v>4304</v>
      </c>
      <c r="B4046" s="0" t="s">
        <v>652</v>
      </c>
      <c r="C4046" s="0" t="s">
        <v>652</v>
      </c>
      <c r="D4046" s="0" t="s">
        <v>135</v>
      </c>
      <c r="E4046" s="0" t="s">
        <v>3</v>
      </c>
      <c r="F4046" s="0" t="s">
        <v>12</v>
      </c>
      <c r="G4046" s="0" t="s">
        <v>8</v>
      </c>
      <c r="H4046" s="0">
        <v>23</v>
      </c>
      <c r="I4046" s="0">
        <v>0</v>
      </c>
      <c r="J4046" s="0">
        <v>0</v>
      </c>
      <c r="K4046" s="0">
        <v>0</v>
      </c>
      <c r="L4046" s="0">
        <v>0</v>
      </c>
      <c r="M4046" s="0">
        <v>0</v>
      </c>
      <c r="N4046" s="0">
        <v>0</v>
      </c>
      <c r="O4046" s="0">
        <v>0</v>
      </c>
      <c r="P4046" s="0">
        <v>0</v>
      </c>
      <c r="R4046" s="0" t="b">
        <v>0</v>
      </c>
      <c r="S4046" s="0" t="b">
        <v>0</v>
      </c>
      <c r="T4046" s="68">
        <v>46030.6574537037</v>
      </c>
      <c r="U4046" s="68">
        <v>0</v>
      </c>
      <c r="V4046" s="68">
        <v>46073.1668402778</v>
      </c>
      <c r="W4046" s="0">
        <f>IF(IF(B4046="none",1,IF(B4046="Trialer",1,0))+IF(C4046="Customer",1,IF(C4046="Lost",1,0))=2,1,0)</f>
      </c>
      <c r="X4046" s="0" t="s">
        <v>148</v>
      </c>
      <c r="Y4046" s="0" t="s">
        <v>243</v>
      </c>
      <c r="AV4046" s="68"/>
      <c r="AW4046" s="68"/>
      <c r="AY4046" s="27"/>
      <c r="BD4046" s="68">
        <v>46054.1666666667</v>
      </c>
      <c r="BE4046" s="68">
        <v>46082.1666666667</v>
      </c>
      <c r="BF4046" s="0" t="b">
        <v>0</v>
      </c>
      <c r="BG4046" s="0" t="b">
        <v>0</v>
      </c>
      <c r="BH4046" s="0">
        <v>44.25</v>
      </c>
      <c r="BI4046" s="0">
        <v>44.25</v>
      </c>
      <c r="BJ4046" s="0" t="s">
        <v>135</v>
      </c>
    </row>
    <row r="4047">
      <c r="A4047" s="0" t="s">
        <v>4305</v>
      </c>
      <c r="B4047" s="0" t="s">
        <v>652</v>
      </c>
      <c r="C4047" s="0" t="s">
        <v>652</v>
      </c>
      <c r="D4047" s="0" t="s">
        <v>135</v>
      </c>
      <c r="E4047" s="0" t="s">
        <v>4</v>
      </c>
      <c r="F4047" s="0" t="s">
        <v>12</v>
      </c>
      <c r="G4047" s="0" t="s">
        <v>8</v>
      </c>
      <c r="H4047" s="0">
        <v>23</v>
      </c>
      <c r="I4047" s="0">
        <v>0</v>
      </c>
      <c r="J4047" s="0">
        <v>0</v>
      </c>
      <c r="K4047" s="0">
        <v>0</v>
      </c>
      <c r="L4047" s="0">
        <v>0</v>
      </c>
      <c r="M4047" s="0">
        <v>0</v>
      </c>
      <c r="N4047" s="0">
        <v>0</v>
      </c>
      <c r="O4047" s="0">
        <v>0</v>
      </c>
      <c r="P4047" s="0">
        <v>0</v>
      </c>
      <c r="R4047" s="0" t="b">
        <v>0</v>
      </c>
      <c r="S4047" s="0" t="b">
        <v>0</v>
      </c>
      <c r="T4047" s="68">
        <v>46030.689849537</v>
      </c>
      <c r="U4047" s="68">
        <v>0</v>
      </c>
      <c r="V4047" s="68">
        <v>46073.1668981481</v>
      </c>
      <c r="W4047" s="0">
        <f>IF(IF(B4047="none",1,IF(B4047="Trialer",1,0))+IF(C4047="Customer",1,IF(C4047="Lost",1,0))=2,1,0)</f>
      </c>
      <c r="X4047" s="0" t="s">
        <v>145</v>
      </c>
      <c r="Y4047" s="0" t="s">
        <v>1772</v>
      </c>
      <c r="AV4047" s="68"/>
      <c r="AW4047" s="68"/>
      <c r="AY4047" s="27"/>
      <c r="BD4047" s="68">
        <v>46054.1666666667</v>
      </c>
      <c r="BE4047" s="68">
        <v>46082.1666666667</v>
      </c>
      <c r="BF4047" s="0" t="b">
        <v>0</v>
      </c>
      <c r="BG4047" s="0" t="b">
        <v>0</v>
      </c>
      <c r="BH4047" s="0">
        <v>53.25</v>
      </c>
      <c r="BI4047" s="0">
        <v>53.25</v>
      </c>
      <c r="BJ4047" s="0" t="s">
        <v>135</v>
      </c>
    </row>
    <row r="4048">
      <c r="A4048" s="0" t="s">
        <v>4306</v>
      </c>
      <c r="B4048" s="0" t="s">
        <v>652</v>
      </c>
      <c r="C4048" s="0" t="s">
        <v>652</v>
      </c>
      <c r="D4048" s="0" t="s">
        <v>135</v>
      </c>
      <c r="E4048" s="0" t="s">
        <v>3</v>
      </c>
      <c r="F4048" s="0" t="s">
        <v>12</v>
      </c>
      <c r="G4048" s="0" t="s">
        <v>8</v>
      </c>
      <c r="H4048" s="0">
        <v>23</v>
      </c>
      <c r="I4048" s="0">
        <v>0</v>
      </c>
      <c r="J4048" s="0">
        <v>0</v>
      </c>
      <c r="K4048" s="0">
        <v>0</v>
      </c>
      <c r="L4048" s="0">
        <v>0</v>
      </c>
      <c r="M4048" s="0">
        <v>0</v>
      </c>
      <c r="N4048" s="0">
        <v>0</v>
      </c>
      <c r="O4048" s="0">
        <v>0</v>
      </c>
      <c r="P4048" s="0">
        <v>0</v>
      </c>
      <c r="R4048" s="0" t="b">
        <v>0</v>
      </c>
      <c r="S4048" s="0" t="b">
        <v>0</v>
      </c>
      <c r="T4048" s="68">
        <v>46030.6954398148</v>
      </c>
      <c r="U4048" s="68">
        <v>0</v>
      </c>
      <c r="V4048" s="68">
        <v>46073.1668518518</v>
      </c>
      <c r="W4048" s="0">
        <f>IF(IF(B4048="none",1,IF(B4048="Trialer",1,0))+IF(C4048="Customer",1,IF(C4048="Lost",1,0))=2,1,0)</f>
      </c>
      <c r="X4048" s="0" t="s">
        <v>145</v>
      </c>
      <c r="Y4048" s="0" t="s">
        <v>243</v>
      </c>
      <c r="AV4048" s="68"/>
      <c r="AW4048" s="68"/>
      <c r="AY4048" s="27"/>
      <c r="BD4048" s="68">
        <v>46054.1666666667</v>
      </c>
      <c r="BE4048" s="68">
        <v>46082.1666666667</v>
      </c>
      <c r="BF4048" s="0" t="b">
        <v>0</v>
      </c>
      <c r="BG4048" s="0" t="b">
        <v>0</v>
      </c>
      <c r="BH4048" s="0">
        <v>53.25</v>
      </c>
      <c r="BI4048" s="0">
        <v>53.25</v>
      </c>
      <c r="BJ4048" s="0" t="s">
        <v>135</v>
      </c>
    </row>
    <row r="4049">
      <c r="A4049" s="0" t="s">
        <v>4307</v>
      </c>
      <c r="B4049" s="0" t="s">
        <v>134</v>
      </c>
      <c r="C4049" s="0" t="s">
        <v>134</v>
      </c>
      <c r="D4049" s="0" t="s">
        <v>230</v>
      </c>
      <c r="E4049" s="0" t="s">
        <v>3</v>
      </c>
      <c r="F4049" s="0" t="s">
        <v>12</v>
      </c>
      <c r="G4049" s="0" t="s">
        <v>8</v>
      </c>
      <c r="H4049" s="0">
        <v>23</v>
      </c>
      <c r="I4049" s="0">
        <v>205.88</v>
      </c>
      <c r="J4049" s="0">
        <v>0</v>
      </c>
      <c r="K4049" s="0">
        <v>1</v>
      </c>
      <c r="L4049" s="0">
        <v>4</v>
      </c>
      <c r="M4049" s="0">
        <v>6</v>
      </c>
      <c r="N4049" s="0">
        <v>0</v>
      </c>
      <c r="O4049" s="0">
        <v>0</v>
      </c>
      <c r="P4049" s="0">
        <v>-205.88</v>
      </c>
      <c r="R4049" s="0" t="b">
        <v>0</v>
      </c>
      <c r="S4049" s="0" t="b">
        <v>1</v>
      </c>
      <c r="T4049" s="68">
        <v>46030.7111111111</v>
      </c>
      <c r="U4049" s="68">
        <v>46048.2916666667</v>
      </c>
      <c r="V4049" s="68">
        <v>0</v>
      </c>
      <c r="W4049" s="0">
        <f>IF(IF(B4049="none",1,IF(B4049="Trialer",1,0))+IF(C4049="Customer",1,IF(C4049="Lost",1,0))=2,1,0)</f>
      </c>
      <c r="X4049" s="0" t="s">
        <v>882</v>
      </c>
      <c r="Y4049" s="0" t="s">
        <v>243</v>
      </c>
      <c r="AV4049" s="68"/>
      <c r="AW4049" s="68"/>
      <c r="AY4049" s="27"/>
      <c r="BD4049" s="68">
        <v>46054.1666666667</v>
      </c>
      <c r="BE4049" s="68">
        <v>46082.1666666667</v>
      </c>
      <c r="BF4049" s="0" t="b">
        <v>0</v>
      </c>
      <c r="BG4049" s="0" t="b">
        <v>0</v>
      </c>
      <c r="BH4049" s="0">
        <v>274.5</v>
      </c>
      <c r="BI4049" s="0">
        <v>274.5</v>
      </c>
      <c r="BJ4049" s="0" t="s">
        <v>230</v>
      </c>
    </row>
    <row r="4050">
      <c r="A4050" s="0" t="s">
        <v>4308</v>
      </c>
      <c r="B4050" s="0" t="s">
        <v>652</v>
      </c>
      <c r="C4050" s="0" t="s">
        <v>652</v>
      </c>
      <c r="D4050" s="0" t="s">
        <v>135</v>
      </c>
      <c r="E4050" s="0" t="s">
        <v>3</v>
      </c>
      <c r="F4050" s="0" t="s">
        <v>12</v>
      </c>
      <c r="G4050" s="0" t="s">
        <v>8</v>
      </c>
      <c r="H4050" s="0">
        <v>23</v>
      </c>
      <c r="I4050" s="0">
        <v>0</v>
      </c>
      <c r="J4050" s="0">
        <v>0</v>
      </c>
      <c r="K4050" s="0">
        <v>0</v>
      </c>
      <c r="L4050" s="0">
        <v>0</v>
      </c>
      <c r="M4050" s="0">
        <v>0</v>
      </c>
      <c r="N4050" s="0">
        <v>0</v>
      </c>
      <c r="O4050" s="0">
        <v>0</v>
      </c>
      <c r="P4050" s="0">
        <v>0</v>
      </c>
      <c r="R4050" s="0" t="b">
        <v>0</v>
      </c>
      <c r="S4050" s="0" t="b">
        <v>0</v>
      </c>
      <c r="T4050" s="68">
        <v>46030.7208217593</v>
      </c>
      <c r="U4050" s="68">
        <v>0</v>
      </c>
      <c r="V4050" s="68">
        <v>46079.1670717593</v>
      </c>
      <c r="W4050" s="0">
        <f>IF(IF(B4050="none",1,IF(B4050="Trialer",1,0))+IF(C4050="Customer",1,IF(C4050="Lost",1,0))=2,1,0)</f>
      </c>
      <c r="X4050" s="0" t="s">
        <v>145</v>
      </c>
      <c r="Y4050" s="0" t="s">
        <v>487</v>
      </c>
      <c r="AV4050" s="68"/>
      <c r="AW4050" s="68"/>
      <c r="AY4050" s="27"/>
      <c r="BD4050" s="68">
        <v>46054.1666666667</v>
      </c>
      <c r="BE4050" s="68">
        <v>46082.1666666667</v>
      </c>
      <c r="BF4050" s="0" t="b">
        <v>0</v>
      </c>
      <c r="BG4050" s="0" t="b">
        <v>0</v>
      </c>
      <c r="BH4050" s="0">
        <v>105</v>
      </c>
      <c r="BI4050" s="0">
        <v>105</v>
      </c>
      <c r="BJ4050" s="0" t="s">
        <v>135</v>
      </c>
    </row>
    <row r="4051">
      <c r="A4051" s="0" t="s">
        <v>4309</v>
      </c>
      <c r="B4051" s="0" t="s">
        <v>652</v>
      </c>
      <c r="C4051" s="0" t="s">
        <v>652</v>
      </c>
      <c r="D4051" s="0" t="s">
        <v>135</v>
      </c>
      <c r="E4051" s="0" t="s">
        <v>3</v>
      </c>
      <c r="F4051" s="0" t="s">
        <v>12</v>
      </c>
      <c r="G4051" s="0" t="s">
        <v>8</v>
      </c>
      <c r="H4051" s="0">
        <v>23</v>
      </c>
      <c r="I4051" s="0">
        <v>0</v>
      </c>
      <c r="J4051" s="0">
        <v>0</v>
      </c>
      <c r="K4051" s="0">
        <v>0</v>
      </c>
      <c r="L4051" s="0">
        <v>0</v>
      </c>
      <c r="M4051" s="0">
        <v>0</v>
      </c>
      <c r="N4051" s="0">
        <v>0</v>
      </c>
      <c r="O4051" s="0">
        <v>0</v>
      </c>
      <c r="P4051" s="0">
        <v>0</v>
      </c>
      <c r="R4051" s="0" t="b">
        <v>0</v>
      </c>
      <c r="S4051" s="0" t="b">
        <v>0</v>
      </c>
      <c r="T4051" s="68">
        <v>46030.7504398148</v>
      </c>
      <c r="U4051" s="68">
        <v>0</v>
      </c>
      <c r="V4051" s="68">
        <v>46073.1669097222</v>
      </c>
      <c r="W4051" s="0">
        <f>IF(IF(B4051="none",1,IF(B4051="Trialer",1,0))+IF(C4051="Customer",1,IF(C4051="Lost",1,0))=2,1,0)</f>
      </c>
      <c r="X4051" s="0" t="s">
        <v>136</v>
      </c>
      <c r="Y4051" s="0" t="s">
        <v>243</v>
      </c>
      <c r="AV4051" s="68"/>
      <c r="AW4051" s="68"/>
      <c r="AY4051" s="27"/>
      <c r="BD4051" s="68">
        <v>46054.1666666667</v>
      </c>
      <c r="BE4051" s="68">
        <v>46082.1666666667</v>
      </c>
      <c r="BF4051" s="0" t="b">
        <v>0</v>
      </c>
      <c r="BG4051" s="0" t="b">
        <v>0</v>
      </c>
      <c r="BH4051" s="0">
        <v>63.75</v>
      </c>
      <c r="BI4051" s="0">
        <v>63.75</v>
      </c>
      <c r="BJ4051" s="0" t="s">
        <v>135</v>
      </c>
    </row>
    <row r="4052">
      <c r="A4052" s="0" t="s">
        <v>4310</v>
      </c>
      <c r="B4052" s="0" t="s">
        <v>652</v>
      </c>
      <c r="C4052" s="0" t="s">
        <v>652</v>
      </c>
      <c r="D4052" s="0" t="s">
        <v>135</v>
      </c>
      <c r="E4052" s="0" t="s">
        <v>3</v>
      </c>
      <c r="F4052" s="0" t="s">
        <v>12</v>
      </c>
      <c r="G4052" s="0" t="s">
        <v>8</v>
      </c>
      <c r="H4052" s="0">
        <v>23</v>
      </c>
      <c r="I4052" s="0">
        <v>0</v>
      </c>
      <c r="J4052" s="0">
        <v>0</v>
      </c>
      <c r="K4052" s="0">
        <v>0</v>
      </c>
      <c r="L4052" s="0">
        <v>0</v>
      </c>
      <c r="M4052" s="0">
        <v>0</v>
      </c>
      <c r="N4052" s="0">
        <v>0</v>
      </c>
      <c r="O4052" s="0">
        <v>0</v>
      </c>
      <c r="P4052" s="0">
        <v>0</v>
      </c>
      <c r="R4052" s="0" t="b">
        <v>0</v>
      </c>
      <c r="S4052" s="0" t="b">
        <v>0</v>
      </c>
      <c r="T4052" s="68">
        <v>46030.8063078704</v>
      </c>
      <c r="U4052" s="68">
        <v>0</v>
      </c>
      <c r="V4052" s="68">
        <v>46073.1668518518</v>
      </c>
      <c r="W4052" s="0">
        <f>IF(IF(B4052="none",1,IF(B4052="Trialer",1,0))+IF(C4052="Customer",1,IF(C4052="Lost",1,0))=2,1,0)</f>
      </c>
      <c r="X4052" s="0" t="s">
        <v>148</v>
      </c>
      <c r="Y4052" s="0" t="s">
        <v>243</v>
      </c>
      <c r="AV4052" s="68"/>
      <c r="AW4052" s="68"/>
      <c r="AY4052" s="27"/>
      <c r="BD4052" s="68">
        <v>46054.1666666667</v>
      </c>
      <c r="BE4052" s="68">
        <v>46082.1666666667</v>
      </c>
      <c r="BF4052" s="0" t="b">
        <v>0</v>
      </c>
      <c r="BG4052" s="0" t="b">
        <v>0</v>
      </c>
      <c r="BH4052" s="0">
        <v>44.25</v>
      </c>
      <c r="BI4052" s="0">
        <v>44.25</v>
      </c>
      <c r="BJ4052" s="0" t="s">
        <v>135</v>
      </c>
    </row>
    <row r="4053">
      <c r="A4053" s="0" t="s">
        <v>4311</v>
      </c>
      <c r="B4053" s="0" t="s">
        <v>652</v>
      </c>
      <c r="C4053" s="0" t="s">
        <v>652</v>
      </c>
      <c r="D4053" s="0" t="s">
        <v>135</v>
      </c>
      <c r="E4053" s="0" t="s">
        <v>4</v>
      </c>
      <c r="F4053" s="0" t="s">
        <v>12</v>
      </c>
      <c r="G4053" s="0" t="s">
        <v>8</v>
      </c>
      <c r="H4053" s="0">
        <v>23</v>
      </c>
      <c r="I4053" s="0">
        <v>0</v>
      </c>
      <c r="J4053" s="0">
        <v>0</v>
      </c>
      <c r="K4053" s="0">
        <v>0</v>
      </c>
      <c r="L4053" s="0">
        <v>0</v>
      </c>
      <c r="M4053" s="0">
        <v>0</v>
      </c>
      <c r="N4053" s="0">
        <v>0</v>
      </c>
      <c r="O4053" s="0">
        <v>0</v>
      </c>
      <c r="P4053" s="0">
        <v>0</v>
      </c>
      <c r="R4053" s="0" t="b">
        <v>0</v>
      </c>
      <c r="S4053" s="0" t="b">
        <v>0</v>
      </c>
      <c r="T4053" s="68">
        <v>46030.8412268519</v>
      </c>
      <c r="U4053" s="68">
        <v>0</v>
      </c>
      <c r="V4053" s="68">
        <v>46073.1667708333</v>
      </c>
      <c r="W4053" s="0">
        <f>IF(IF(B4053="none",1,IF(B4053="Trialer",1,0))+IF(C4053="Customer",1,IF(C4053="Lost",1,0))=2,1,0)</f>
      </c>
      <c r="X4053" s="0" t="s">
        <v>145</v>
      </c>
      <c r="Y4053" s="0" t="s">
        <v>1772</v>
      </c>
      <c r="AV4053" s="68"/>
      <c r="AW4053" s="68"/>
      <c r="AY4053" s="27"/>
      <c r="BD4053" s="68">
        <v>46054.1666666667</v>
      </c>
      <c r="BE4053" s="68">
        <v>46082.1666666667</v>
      </c>
      <c r="BF4053" s="0" t="b">
        <v>0</v>
      </c>
      <c r="BG4053" s="0" t="b">
        <v>0</v>
      </c>
      <c r="BH4053" s="0">
        <v>44.25</v>
      </c>
      <c r="BI4053" s="0">
        <v>44.25</v>
      </c>
      <c r="BJ4053" s="0" t="s">
        <v>135</v>
      </c>
    </row>
    <row r="4054">
      <c r="A4054" s="0" t="s">
        <v>4312</v>
      </c>
      <c r="B4054" s="0" t="s">
        <v>134</v>
      </c>
      <c r="C4054" s="0" t="s">
        <v>134</v>
      </c>
      <c r="D4054" s="0" t="s">
        <v>230</v>
      </c>
      <c r="E4054" s="0" t="s">
        <v>3</v>
      </c>
      <c r="F4054" s="0" t="s">
        <v>12</v>
      </c>
      <c r="G4054" s="0" t="s">
        <v>8</v>
      </c>
      <c r="H4054" s="0">
        <v>23</v>
      </c>
      <c r="I4054" s="0">
        <v>41.5</v>
      </c>
      <c r="J4054" s="0">
        <v>0</v>
      </c>
      <c r="K4054" s="0">
        <v>1</v>
      </c>
      <c r="L4054" s="0">
        <v>2</v>
      </c>
      <c r="M4054" s="0">
        <v>1</v>
      </c>
      <c r="N4054" s="0">
        <v>0</v>
      </c>
      <c r="O4054" s="0">
        <v>0</v>
      </c>
      <c r="P4054" s="0">
        <v>456.5</v>
      </c>
      <c r="R4054" s="0" t="b">
        <v>0</v>
      </c>
      <c r="S4054" s="0" t="b">
        <v>1</v>
      </c>
      <c r="T4054" s="68">
        <v>46030.8868518519</v>
      </c>
      <c r="U4054" s="68">
        <v>46044.2916666667</v>
      </c>
      <c r="V4054" s="68">
        <v>0</v>
      </c>
      <c r="W4054" s="0">
        <f>IF(IF(B4054="none",1,IF(B4054="Trialer",1,0))+IF(C4054="Customer",1,IF(C4054="Lost",1,0))=2,1,0)</f>
      </c>
      <c r="X4054" s="0" t="s">
        <v>1461</v>
      </c>
      <c r="Y4054" s="0" t="s">
        <v>243</v>
      </c>
      <c r="AV4054" s="68"/>
      <c r="AW4054" s="68"/>
      <c r="AY4054" s="27"/>
      <c r="BD4054" s="68">
        <v>46054.1666666667</v>
      </c>
      <c r="BE4054" s="68">
        <v>46082.1666666667</v>
      </c>
      <c r="BF4054" s="0" t="b">
        <v>0</v>
      </c>
      <c r="BG4054" s="0" t="b">
        <v>0</v>
      </c>
      <c r="BH4054" s="0">
        <v>47</v>
      </c>
      <c r="BI4054" s="0">
        <v>47</v>
      </c>
      <c r="BJ4054" s="0" t="s">
        <v>230</v>
      </c>
    </row>
    <row r="4055">
      <c r="A4055" s="0" t="s">
        <v>4313</v>
      </c>
      <c r="B4055" s="0" t="s">
        <v>652</v>
      </c>
      <c r="C4055" s="0" t="s">
        <v>652</v>
      </c>
      <c r="D4055" s="0" t="s">
        <v>135</v>
      </c>
      <c r="E4055" s="0" t="s">
        <v>3</v>
      </c>
      <c r="F4055" s="0" t="s">
        <v>12</v>
      </c>
      <c r="G4055" s="0" t="s">
        <v>8</v>
      </c>
      <c r="H4055" s="0">
        <v>23</v>
      </c>
      <c r="I4055" s="0">
        <v>0</v>
      </c>
      <c r="J4055" s="0">
        <v>0</v>
      </c>
      <c r="K4055" s="0">
        <v>0</v>
      </c>
      <c r="L4055" s="0">
        <v>0</v>
      </c>
      <c r="M4055" s="0">
        <v>0</v>
      </c>
      <c r="N4055" s="0">
        <v>0</v>
      </c>
      <c r="O4055" s="0">
        <v>0</v>
      </c>
      <c r="P4055" s="0">
        <v>0</v>
      </c>
      <c r="R4055" s="0" t="b">
        <v>0</v>
      </c>
      <c r="S4055" s="0" t="b">
        <v>0</v>
      </c>
      <c r="T4055" s="68">
        <v>46030.9099189815</v>
      </c>
      <c r="U4055" s="68">
        <v>0</v>
      </c>
      <c r="V4055" s="68">
        <v>46073.1667824074</v>
      </c>
      <c r="W4055" s="0">
        <f>IF(IF(B4055="none",1,IF(B4055="Trialer",1,0))+IF(C4055="Customer",1,IF(C4055="Lost",1,0))=2,1,0)</f>
      </c>
      <c r="X4055" s="0" t="s">
        <v>148</v>
      </c>
      <c r="Y4055" s="0" t="s">
        <v>243</v>
      </c>
      <c r="AV4055" s="68"/>
      <c r="AW4055" s="68"/>
      <c r="AY4055" s="27"/>
      <c r="BD4055" s="68">
        <v>46054.1666666667</v>
      </c>
      <c r="BE4055" s="68">
        <v>46082.1666666667</v>
      </c>
      <c r="BF4055" s="0" t="b">
        <v>0</v>
      </c>
      <c r="BG4055" s="0" t="b">
        <v>0</v>
      </c>
      <c r="BH4055" s="0">
        <v>44.25</v>
      </c>
      <c r="BI4055" s="0">
        <v>44.25</v>
      </c>
      <c r="BJ4055" s="0" t="s">
        <v>135</v>
      </c>
    </row>
    <row r="4056">
      <c r="A4056" s="0" t="s">
        <v>4314</v>
      </c>
      <c r="B4056" s="0" t="s">
        <v>652</v>
      </c>
      <c r="C4056" s="0" t="s">
        <v>652</v>
      </c>
      <c r="D4056" s="0" t="s">
        <v>135</v>
      </c>
      <c r="E4056" s="0" t="s">
        <v>3</v>
      </c>
      <c r="F4056" s="0" t="s">
        <v>12</v>
      </c>
      <c r="G4056" s="0" t="s">
        <v>8</v>
      </c>
      <c r="H4056" s="0">
        <v>23</v>
      </c>
      <c r="I4056" s="0">
        <v>0</v>
      </c>
      <c r="J4056" s="0">
        <v>0</v>
      </c>
      <c r="K4056" s="0">
        <v>0</v>
      </c>
      <c r="L4056" s="0">
        <v>0</v>
      </c>
      <c r="M4056" s="0">
        <v>0</v>
      </c>
      <c r="N4056" s="0">
        <v>0</v>
      </c>
      <c r="O4056" s="0">
        <v>0</v>
      </c>
      <c r="P4056" s="0">
        <v>0</v>
      </c>
      <c r="R4056" s="0" t="b">
        <v>0</v>
      </c>
      <c r="S4056" s="0" t="b">
        <v>0</v>
      </c>
      <c r="T4056" s="68">
        <v>46030.9330555556</v>
      </c>
      <c r="U4056" s="68">
        <v>0</v>
      </c>
      <c r="V4056" s="68">
        <v>46073.1668287037</v>
      </c>
      <c r="W4056" s="0">
        <f>IF(IF(B4056="none",1,IF(B4056="Trialer",1,0))+IF(C4056="Customer",1,IF(C4056="Lost",1,0))=2,1,0)</f>
      </c>
      <c r="X4056" s="0" t="s">
        <v>145</v>
      </c>
      <c r="Y4056" s="0" t="s">
        <v>243</v>
      </c>
      <c r="AV4056" s="68"/>
      <c r="AW4056" s="68"/>
      <c r="AY4056" s="27"/>
      <c r="BD4056" s="68">
        <v>46054.1666666667</v>
      </c>
      <c r="BE4056" s="68">
        <v>46082.1666666667</v>
      </c>
      <c r="BF4056" s="0" t="b">
        <v>0</v>
      </c>
      <c r="BG4056" s="0" t="b">
        <v>0</v>
      </c>
      <c r="BH4056" s="0">
        <v>53.25</v>
      </c>
      <c r="BI4056" s="0">
        <v>53.25</v>
      </c>
      <c r="BJ4056" s="0" t="s">
        <v>135</v>
      </c>
    </row>
    <row r="4057">
      <c r="A4057" s="0" t="s">
        <v>4315</v>
      </c>
      <c r="B4057" s="0" t="s">
        <v>652</v>
      </c>
      <c r="C4057" s="0" t="s">
        <v>652</v>
      </c>
      <c r="D4057" s="0" t="s">
        <v>135</v>
      </c>
      <c r="E4057" s="0" t="s">
        <v>2414</v>
      </c>
      <c r="F4057" s="0" t="s">
        <v>12</v>
      </c>
      <c r="G4057" s="0" t="s">
        <v>8</v>
      </c>
      <c r="H4057" s="0">
        <v>22</v>
      </c>
      <c r="I4057" s="0">
        <v>0</v>
      </c>
      <c r="J4057" s="0">
        <v>0</v>
      </c>
      <c r="K4057" s="0">
        <v>0</v>
      </c>
      <c r="L4057" s="0">
        <v>0</v>
      </c>
      <c r="M4057" s="0">
        <v>0</v>
      </c>
      <c r="N4057" s="0">
        <v>0</v>
      </c>
      <c r="O4057" s="0">
        <v>0</v>
      </c>
      <c r="P4057" s="0">
        <v>0</v>
      </c>
      <c r="R4057" s="0" t="b">
        <v>0</v>
      </c>
      <c r="S4057" s="0" t="b">
        <v>0</v>
      </c>
      <c r="T4057" s="68">
        <v>46030.982349537</v>
      </c>
      <c r="U4057" s="68">
        <v>0</v>
      </c>
      <c r="V4057" s="68">
        <v>46073.1667939815</v>
      </c>
      <c r="W4057" s="0">
        <f>IF(IF(B4057="none",1,IF(B4057="Trialer",1,0))+IF(C4057="Customer",1,IF(C4057="Lost",1,0))=2,1,0)</f>
      </c>
      <c r="X4057" s="0" t="s">
        <v>136</v>
      </c>
      <c r="Y4057" s="0" t="s">
        <v>1516</v>
      </c>
      <c r="AV4057" s="68"/>
      <c r="AW4057" s="68"/>
      <c r="AY4057" s="27"/>
      <c r="BD4057" s="68">
        <v>46054.1666666667</v>
      </c>
      <c r="BE4057" s="68">
        <v>46082.1666666667</v>
      </c>
      <c r="BF4057" s="0" t="b">
        <v>0</v>
      </c>
      <c r="BG4057" s="0" t="b">
        <v>0</v>
      </c>
      <c r="BH4057" s="0">
        <v>44.25</v>
      </c>
      <c r="BI4057" s="0">
        <v>44.25</v>
      </c>
      <c r="BJ4057" s="0" t="s">
        <v>135</v>
      </c>
    </row>
    <row r="4058">
      <c r="A4058" s="0" t="s">
        <v>4316</v>
      </c>
      <c r="B4058" s="0" t="s">
        <v>652</v>
      </c>
      <c r="C4058" s="0" t="s">
        <v>652</v>
      </c>
      <c r="D4058" s="0" t="s">
        <v>135</v>
      </c>
      <c r="E4058" s="0" t="s">
        <v>3</v>
      </c>
      <c r="F4058" s="0" t="s">
        <v>12</v>
      </c>
      <c r="G4058" s="0" t="s">
        <v>8</v>
      </c>
      <c r="H4058" s="0">
        <v>22</v>
      </c>
      <c r="I4058" s="0">
        <v>0</v>
      </c>
      <c r="J4058" s="0">
        <v>0</v>
      </c>
      <c r="K4058" s="0">
        <v>0</v>
      </c>
      <c r="L4058" s="0">
        <v>0</v>
      </c>
      <c r="M4058" s="0">
        <v>0</v>
      </c>
      <c r="N4058" s="0">
        <v>0</v>
      </c>
      <c r="O4058" s="0">
        <v>0</v>
      </c>
      <c r="P4058" s="0">
        <v>0</v>
      </c>
      <c r="R4058" s="0" t="b">
        <v>0</v>
      </c>
      <c r="S4058" s="0" t="b">
        <v>0</v>
      </c>
      <c r="T4058" s="68">
        <v>46031.0002546296</v>
      </c>
      <c r="U4058" s="68">
        <v>0</v>
      </c>
      <c r="V4058" s="68">
        <v>46073.1669097222</v>
      </c>
      <c r="W4058" s="0">
        <f>IF(IF(B4058="none",1,IF(B4058="Trialer",1,0))+IF(C4058="Customer",1,IF(C4058="Lost",1,0))=2,1,0)</f>
      </c>
      <c r="X4058" s="0" t="s">
        <v>148</v>
      </c>
      <c r="Y4058" s="0" t="s">
        <v>243</v>
      </c>
      <c r="AV4058" s="68"/>
      <c r="AW4058" s="68"/>
      <c r="AY4058" s="27"/>
      <c r="BD4058" s="68">
        <v>46054.1666666667</v>
      </c>
      <c r="BE4058" s="68">
        <v>46082.1666666667</v>
      </c>
      <c r="BF4058" s="0" t="b">
        <v>0</v>
      </c>
      <c r="BG4058" s="0" t="b">
        <v>0</v>
      </c>
      <c r="BH4058" s="0">
        <v>54.75</v>
      </c>
      <c r="BI4058" s="0">
        <v>54.75</v>
      </c>
      <c r="BJ4058" s="0" t="s">
        <v>135</v>
      </c>
    </row>
    <row r="4059">
      <c r="A4059" s="0" t="s">
        <v>4317</v>
      </c>
      <c r="B4059" s="0" t="s">
        <v>652</v>
      </c>
      <c r="C4059" s="0" t="s">
        <v>652</v>
      </c>
      <c r="D4059" s="0" t="s">
        <v>135</v>
      </c>
      <c r="E4059" s="0" t="s">
        <v>3</v>
      </c>
      <c r="F4059" s="0" t="s">
        <v>12</v>
      </c>
      <c r="G4059" s="0" t="s">
        <v>8</v>
      </c>
      <c r="H4059" s="0">
        <v>22</v>
      </c>
      <c r="I4059" s="0">
        <v>0</v>
      </c>
      <c r="J4059" s="0">
        <v>0</v>
      </c>
      <c r="K4059" s="0">
        <v>0</v>
      </c>
      <c r="L4059" s="0">
        <v>0</v>
      </c>
      <c r="M4059" s="0">
        <v>0</v>
      </c>
      <c r="N4059" s="0">
        <v>0</v>
      </c>
      <c r="O4059" s="0">
        <v>0</v>
      </c>
      <c r="P4059" s="0">
        <v>0</v>
      </c>
      <c r="R4059" s="0" t="b">
        <v>0</v>
      </c>
      <c r="S4059" s="0" t="b">
        <v>0</v>
      </c>
      <c r="T4059" s="68">
        <v>46031.022974537</v>
      </c>
      <c r="U4059" s="68">
        <v>0</v>
      </c>
      <c r="V4059" s="68">
        <v>46073.1667361111</v>
      </c>
      <c r="W4059" s="0">
        <f>IF(IF(B4059="none",1,IF(B4059="Trialer",1,0))+IF(C4059="Customer",1,IF(C4059="Lost",1,0))=2,1,0)</f>
      </c>
      <c r="X4059" s="0" t="s">
        <v>145</v>
      </c>
      <c r="Y4059" s="0" t="s">
        <v>243</v>
      </c>
      <c r="AV4059" s="68"/>
      <c r="AW4059" s="68"/>
      <c r="AY4059" s="27"/>
      <c r="BD4059" s="68">
        <v>46054.1666666667</v>
      </c>
      <c r="BE4059" s="68">
        <v>46082.1666666667</v>
      </c>
      <c r="BF4059" s="0" t="b">
        <v>0</v>
      </c>
      <c r="BG4059" s="0" t="b">
        <v>0</v>
      </c>
      <c r="BH4059" s="0">
        <v>44.25</v>
      </c>
      <c r="BI4059" s="0">
        <v>44.25</v>
      </c>
      <c r="BJ4059" s="0" t="s">
        <v>135</v>
      </c>
    </row>
    <row r="4060">
      <c r="A4060" s="0" t="s">
        <v>4318</v>
      </c>
      <c r="B4060" s="0" t="s">
        <v>652</v>
      </c>
      <c r="C4060" s="0" t="s">
        <v>652</v>
      </c>
      <c r="D4060" s="0" t="s">
        <v>135</v>
      </c>
      <c r="E4060" s="0" t="s">
        <v>3</v>
      </c>
      <c r="F4060" s="0" t="s">
        <v>12</v>
      </c>
      <c r="G4060" s="0" t="s">
        <v>8</v>
      </c>
      <c r="H4060" s="0">
        <v>22</v>
      </c>
      <c r="I4060" s="0">
        <v>0</v>
      </c>
      <c r="J4060" s="0">
        <v>0</v>
      </c>
      <c r="K4060" s="0">
        <v>0</v>
      </c>
      <c r="L4060" s="0">
        <v>0</v>
      </c>
      <c r="M4060" s="0">
        <v>0</v>
      </c>
      <c r="N4060" s="0">
        <v>0</v>
      </c>
      <c r="O4060" s="0">
        <v>0</v>
      </c>
      <c r="P4060" s="0">
        <v>0</v>
      </c>
      <c r="R4060" s="0" t="b">
        <v>0</v>
      </c>
      <c r="S4060" s="0" t="b">
        <v>0</v>
      </c>
      <c r="T4060" s="68">
        <v>46031.0926736111</v>
      </c>
      <c r="U4060" s="68">
        <v>0</v>
      </c>
      <c r="V4060" s="68">
        <v>46073.1667824074</v>
      </c>
      <c r="W4060" s="0">
        <f>IF(IF(B4060="none",1,IF(B4060="Trialer",1,0))+IF(C4060="Customer",1,IF(C4060="Lost",1,0))=2,1,0)</f>
      </c>
      <c r="X4060" s="0" t="s">
        <v>882</v>
      </c>
      <c r="Y4060" s="0" t="s">
        <v>243</v>
      </c>
      <c r="AV4060" s="68"/>
      <c r="AW4060" s="68"/>
      <c r="AY4060" s="27"/>
      <c r="BD4060" s="68">
        <v>46054.1666666667</v>
      </c>
      <c r="BE4060" s="68">
        <v>46082.1666666667</v>
      </c>
      <c r="BF4060" s="0" t="b">
        <v>0</v>
      </c>
      <c r="BG4060" s="0" t="b">
        <v>0</v>
      </c>
      <c r="BH4060" s="0">
        <v>44.25</v>
      </c>
      <c r="BI4060" s="0">
        <v>44.25</v>
      </c>
      <c r="BJ4060" s="0" t="s">
        <v>135</v>
      </c>
    </row>
    <row r="4061">
      <c r="A4061" s="0" t="s">
        <v>4319</v>
      </c>
      <c r="B4061" s="0" t="s">
        <v>652</v>
      </c>
      <c r="C4061" s="0" t="s">
        <v>652</v>
      </c>
      <c r="D4061" s="0" t="s">
        <v>135</v>
      </c>
      <c r="E4061" s="0" t="s">
        <v>3</v>
      </c>
      <c r="F4061" s="0" t="s">
        <v>12</v>
      </c>
      <c r="G4061" s="0" t="s">
        <v>8</v>
      </c>
      <c r="H4061" s="0">
        <v>22</v>
      </c>
      <c r="I4061" s="0">
        <v>0</v>
      </c>
      <c r="J4061" s="0">
        <v>0</v>
      </c>
      <c r="K4061" s="0">
        <v>0</v>
      </c>
      <c r="L4061" s="0">
        <v>0</v>
      </c>
      <c r="M4061" s="0">
        <v>0</v>
      </c>
      <c r="N4061" s="0">
        <v>0</v>
      </c>
      <c r="O4061" s="0">
        <v>0</v>
      </c>
      <c r="P4061" s="0">
        <v>0</v>
      </c>
      <c r="R4061" s="0" t="b">
        <v>0</v>
      </c>
      <c r="S4061" s="0" t="b">
        <v>0</v>
      </c>
      <c r="T4061" s="68">
        <v>46031.1911342593</v>
      </c>
      <c r="U4061" s="68">
        <v>0</v>
      </c>
      <c r="V4061" s="68">
        <v>46075.1667013889</v>
      </c>
      <c r="W4061" s="0">
        <f>IF(IF(B4061="none",1,IF(B4061="Trialer",1,0))+IF(C4061="Customer",1,IF(C4061="Lost",1,0))=2,1,0)</f>
      </c>
      <c r="X4061" s="0" t="s">
        <v>136</v>
      </c>
      <c r="Y4061" s="0" t="s">
        <v>243</v>
      </c>
      <c r="AV4061" s="68"/>
      <c r="AW4061" s="68"/>
      <c r="AY4061" s="27"/>
      <c r="BD4061" s="68">
        <v>46054.1666666667</v>
      </c>
      <c r="BE4061" s="68">
        <v>46082.1666666667</v>
      </c>
      <c r="BF4061" s="0" t="b">
        <v>0</v>
      </c>
      <c r="BG4061" s="0" t="b">
        <v>0</v>
      </c>
      <c r="BH4061" s="0">
        <v>44.25</v>
      </c>
      <c r="BI4061" s="0">
        <v>44.25</v>
      </c>
      <c r="BJ4061" s="0" t="s">
        <v>135</v>
      </c>
    </row>
    <row r="4062">
      <c r="A4062" s="0" t="s">
        <v>4320</v>
      </c>
      <c r="B4062" s="0" t="s">
        <v>652</v>
      </c>
      <c r="C4062" s="0" t="s">
        <v>652</v>
      </c>
      <c r="D4062" s="0" t="s">
        <v>135</v>
      </c>
      <c r="E4062" s="0" t="s">
        <v>3</v>
      </c>
      <c r="F4062" s="0" t="s">
        <v>12</v>
      </c>
      <c r="G4062" s="0" t="s">
        <v>8</v>
      </c>
      <c r="H4062" s="0">
        <v>22</v>
      </c>
      <c r="I4062" s="0">
        <v>0</v>
      </c>
      <c r="J4062" s="0">
        <v>0</v>
      </c>
      <c r="K4062" s="0">
        <v>0</v>
      </c>
      <c r="L4062" s="0">
        <v>0</v>
      </c>
      <c r="M4062" s="0">
        <v>0</v>
      </c>
      <c r="N4062" s="0">
        <v>0</v>
      </c>
      <c r="O4062" s="0">
        <v>0</v>
      </c>
      <c r="P4062" s="0">
        <v>0</v>
      </c>
      <c r="R4062" s="0" t="b">
        <v>0</v>
      </c>
      <c r="S4062" s="0" t="b">
        <v>0</v>
      </c>
      <c r="T4062" s="68">
        <v>46031.3143865741</v>
      </c>
      <c r="U4062" s="68">
        <v>0</v>
      </c>
      <c r="V4062" s="68">
        <v>46075.1667476852</v>
      </c>
      <c r="W4062" s="0">
        <f>IF(IF(B4062="none",1,IF(B4062="Trialer",1,0))+IF(C4062="Customer",1,IF(C4062="Lost",1,0))=2,1,0)</f>
      </c>
      <c r="X4062" s="0" t="s">
        <v>148</v>
      </c>
      <c r="Y4062" s="0" t="s">
        <v>243</v>
      </c>
      <c r="AV4062" s="68"/>
      <c r="AW4062" s="68"/>
      <c r="AY4062" s="27"/>
      <c r="BD4062" s="68">
        <v>46054.1666666667</v>
      </c>
      <c r="BE4062" s="68">
        <v>46082.1666666667</v>
      </c>
      <c r="BF4062" s="0" t="b">
        <v>0</v>
      </c>
      <c r="BG4062" s="0" t="b">
        <v>0</v>
      </c>
      <c r="BH4062" s="0">
        <v>195.75</v>
      </c>
      <c r="BI4062" s="0">
        <v>195.75</v>
      </c>
      <c r="BJ4062" s="0" t="s">
        <v>135</v>
      </c>
    </row>
    <row r="4063">
      <c r="A4063" s="0" t="s">
        <v>4321</v>
      </c>
      <c r="B4063" s="0" t="s">
        <v>652</v>
      </c>
      <c r="C4063" s="0" t="s">
        <v>652</v>
      </c>
      <c r="D4063" s="0" t="s">
        <v>135</v>
      </c>
      <c r="E4063" s="0" t="s">
        <v>3</v>
      </c>
      <c r="F4063" s="0" t="s">
        <v>12</v>
      </c>
      <c r="G4063" s="0" t="s">
        <v>8</v>
      </c>
      <c r="H4063" s="0">
        <v>22</v>
      </c>
      <c r="I4063" s="0">
        <v>0</v>
      </c>
      <c r="J4063" s="0">
        <v>0</v>
      </c>
      <c r="K4063" s="0">
        <v>0</v>
      </c>
      <c r="L4063" s="0">
        <v>0</v>
      </c>
      <c r="M4063" s="0">
        <v>0</v>
      </c>
      <c r="N4063" s="0">
        <v>0</v>
      </c>
      <c r="O4063" s="0">
        <v>0</v>
      </c>
      <c r="P4063" s="0">
        <v>0</v>
      </c>
      <c r="R4063" s="0" t="b">
        <v>0</v>
      </c>
      <c r="S4063" s="0" t="b">
        <v>0</v>
      </c>
      <c r="T4063" s="68">
        <v>46031.384525463</v>
      </c>
      <c r="U4063" s="68">
        <v>0</v>
      </c>
      <c r="V4063" s="68">
        <v>46075.1667939815</v>
      </c>
      <c r="W4063" s="0">
        <f>IF(IF(B4063="none",1,IF(B4063="Trialer",1,0))+IF(C4063="Customer",1,IF(C4063="Lost",1,0))=2,1,0)</f>
      </c>
      <c r="X4063" s="0" t="s">
        <v>136</v>
      </c>
      <c r="Y4063" s="0" t="s">
        <v>243</v>
      </c>
      <c r="AV4063" s="68"/>
      <c r="AW4063" s="68"/>
      <c r="AY4063" s="27"/>
      <c r="BD4063" s="68">
        <v>46054.1666666667</v>
      </c>
      <c r="BE4063" s="68">
        <v>46082.1666666667</v>
      </c>
      <c r="BF4063" s="0" t="b">
        <v>0</v>
      </c>
      <c r="BG4063" s="0" t="b">
        <v>0</v>
      </c>
      <c r="BH4063" s="0">
        <v>44.25</v>
      </c>
      <c r="BI4063" s="0">
        <v>44.25</v>
      </c>
      <c r="BJ4063" s="0" t="s">
        <v>135</v>
      </c>
    </row>
    <row r="4064">
      <c r="A4064" s="0" t="s">
        <v>4322</v>
      </c>
      <c r="B4064" s="0" t="s">
        <v>134</v>
      </c>
      <c r="C4064" s="0" t="s">
        <v>134</v>
      </c>
      <c r="D4064" s="0" t="s">
        <v>135</v>
      </c>
      <c r="E4064" s="0" t="s">
        <v>3</v>
      </c>
      <c r="F4064" s="0" t="s">
        <v>12</v>
      </c>
      <c r="G4064" s="0" t="s">
        <v>8</v>
      </c>
      <c r="H4064" s="0">
        <v>22</v>
      </c>
      <c r="I4064" s="0">
        <v>682.25</v>
      </c>
      <c r="J4064" s="0">
        <v>0</v>
      </c>
      <c r="K4064" s="0">
        <v>1</v>
      </c>
      <c r="L4064" s="0">
        <v>5</v>
      </c>
      <c r="M4064" s="0">
        <v>7</v>
      </c>
      <c r="N4064" s="0">
        <v>418.5</v>
      </c>
      <c r="O4064" s="0">
        <v>0</v>
      </c>
      <c r="P4064" s="0">
        <v>0</v>
      </c>
      <c r="R4064" s="0" t="b">
        <v>0</v>
      </c>
      <c r="S4064" s="0" t="b">
        <v>1</v>
      </c>
      <c r="T4064" s="68">
        <v>46031.3997685185</v>
      </c>
      <c r="U4064" s="68">
        <v>46044.2916666667</v>
      </c>
      <c r="V4064" s="68">
        <v>0</v>
      </c>
      <c r="W4064" s="0">
        <f>IF(IF(B4064="none",1,IF(B4064="Trialer",1,0))+IF(C4064="Customer",1,IF(C4064="Lost",1,0))=2,1,0)</f>
      </c>
      <c r="X4064" s="0" t="s">
        <v>145</v>
      </c>
      <c r="Y4064" s="0" t="s">
        <v>243</v>
      </c>
      <c r="AV4064" s="68"/>
      <c r="AW4064" s="68"/>
      <c r="AY4064" s="27"/>
      <c r="BD4064" s="68">
        <v>46054.1666666667</v>
      </c>
      <c r="BE4064" s="68">
        <v>46082.1666666667</v>
      </c>
      <c r="BF4064" s="0" t="b">
        <v>0</v>
      </c>
      <c r="BG4064" s="0" t="b">
        <v>0</v>
      </c>
      <c r="BH4064" s="0">
        <v>357.25</v>
      </c>
      <c r="BI4064" s="0">
        <v>357.25</v>
      </c>
      <c r="BJ4064" s="0" t="s">
        <v>135</v>
      </c>
    </row>
    <row r="4065">
      <c r="A4065" s="0" t="s">
        <v>4323</v>
      </c>
      <c r="B4065" s="0" t="s">
        <v>652</v>
      </c>
      <c r="C4065" s="0" t="s">
        <v>652</v>
      </c>
      <c r="D4065" s="0" t="s">
        <v>135</v>
      </c>
      <c r="E4065" s="0" t="s">
        <v>3</v>
      </c>
      <c r="F4065" s="0" t="s">
        <v>12</v>
      </c>
      <c r="G4065" s="0" t="s">
        <v>8</v>
      </c>
      <c r="H4065" s="0">
        <v>22</v>
      </c>
      <c r="I4065" s="0">
        <v>0</v>
      </c>
      <c r="J4065" s="0">
        <v>0</v>
      </c>
      <c r="K4065" s="0">
        <v>0</v>
      </c>
      <c r="L4065" s="0">
        <v>0</v>
      </c>
      <c r="M4065" s="0">
        <v>0</v>
      </c>
      <c r="N4065" s="0">
        <v>0</v>
      </c>
      <c r="O4065" s="0">
        <v>0</v>
      </c>
      <c r="P4065" s="0">
        <v>0</v>
      </c>
      <c r="R4065" s="0" t="b">
        <v>0</v>
      </c>
      <c r="S4065" s="0" t="b">
        <v>0</v>
      </c>
      <c r="T4065" s="68">
        <v>46031.4563310185</v>
      </c>
      <c r="U4065" s="68">
        <v>0</v>
      </c>
      <c r="V4065" s="68">
        <v>46075.1668055556</v>
      </c>
      <c r="W4065" s="0">
        <f>IF(IF(B4065="none",1,IF(B4065="Trialer",1,0))+IF(C4065="Customer",1,IF(C4065="Lost",1,0))=2,1,0)</f>
      </c>
      <c r="X4065" s="0" t="s">
        <v>136</v>
      </c>
      <c r="Y4065" s="0" t="s">
        <v>243</v>
      </c>
      <c r="AV4065" s="68"/>
      <c r="AW4065" s="68"/>
      <c r="AY4065" s="27"/>
      <c r="BD4065" s="68">
        <v>46054.1666666667</v>
      </c>
      <c r="BE4065" s="68">
        <v>46082.1666666667</v>
      </c>
      <c r="BF4065" s="0" t="b">
        <v>0</v>
      </c>
      <c r="BG4065" s="0" t="b">
        <v>0</v>
      </c>
      <c r="BH4065" s="0">
        <v>62.25</v>
      </c>
      <c r="BI4065" s="0">
        <v>62.25</v>
      </c>
      <c r="BJ4065" s="0" t="s">
        <v>135</v>
      </c>
    </row>
    <row r="4066">
      <c r="A4066" s="0" t="s">
        <v>4324</v>
      </c>
      <c r="B4066" s="0" t="s">
        <v>652</v>
      </c>
      <c r="C4066" s="0" t="s">
        <v>652</v>
      </c>
      <c r="D4066" s="0" t="s">
        <v>135</v>
      </c>
      <c r="E4066" s="0" t="s">
        <v>2414</v>
      </c>
      <c r="F4066" s="0" t="s">
        <v>12</v>
      </c>
      <c r="G4066" s="0" t="s">
        <v>8</v>
      </c>
      <c r="H4066" s="0">
        <v>22</v>
      </c>
      <c r="I4066" s="0">
        <v>0</v>
      </c>
      <c r="J4066" s="0">
        <v>0</v>
      </c>
      <c r="K4066" s="0">
        <v>0</v>
      </c>
      <c r="L4066" s="0">
        <v>0</v>
      </c>
      <c r="M4066" s="0">
        <v>0</v>
      </c>
      <c r="N4066" s="0">
        <v>0</v>
      </c>
      <c r="O4066" s="0">
        <v>0</v>
      </c>
      <c r="P4066" s="0">
        <v>0</v>
      </c>
      <c r="R4066" s="0" t="b">
        <v>0</v>
      </c>
      <c r="S4066" s="0" t="b">
        <v>0</v>
      </c>
      <c r="T4066" s="68">
        <v>46031.4831828704</v>
      </c>
      <c r="U4066" s="68">
        <v>0</v>
      </c>
      <c r="V4066" s="68">
        <v>46075.1668402778</v>
      </c>
      <c r="W4066" s="0">
        <f>IF(IF(B4066="none",1,IF(B4066="Trialer",1,0))+IF(C4066="Customer",1,IF(C4066="Lost",1,0))=2,1,0)</f>
      </c>
      <c r="X4066" s="0" t="s">
        <v>148</v>
      </c>
      <c r="Y4066" s="0" t="s">
        <v>1516</v>
      </c>
      <c r="AV4066" s="68"/>
      <c r="AW4066" s="68"/>
      <c r="AY4066" s="27"/>
      <c r="BD4066" s="68">
        <v>46054.1666666667</v>
      </c>
      <c r="BE4066" s="68">
        <v>46082.1666666667</v>
      </c>
      <c r="BF4066" s="0" t="b">
        <v>0</v>
      </c>
      <c r="BG4066" s="0" t="b">
        <v>0</v>
      </c>
      <c r="BH4066" s="0">
        <v>44.25</v>
      </c>
      <c r="BI4066" s="0">
        <v>44.25</v>
      </c>
      <c r="BJ4066" s="0" t="s">
        <v>135</v>
      </c>
    </row>
    <row r="4067">
      <c r="A4067" s="0" t="s">
        <v>4325</v>
      </c>
      <c r="B4067" s="0" t="s">
        <v>134</v>
      </c>
      <c r="C4067" s="0" t="s">
        <v>134</v>
      </c>
      <c r="D4067" s="0" t="s">
        <v>230</v>
      </c>
      <c r="E4067" s="0" t="s">
        <v>3</v>
      </c>
      <c r="F4067" s="0" t="s">
        <v>12</v>
      </c>
      <c r="G4067" s="0" t="s">
        <v>8</v>
      </c>
      <c r="H4067" s="0">
        <v>22</v>
      </c>
      <c r="I4067" s="0">
        <v>97.2</v>
      </c>
      <c r="J4067" s="0">
        <v>0</v>
      </c>
      <c r="K4067" s="0">
        <v>1</v>
      </c>
      <c r="L4067" s="0">
        <v>3</v>
      </c>
      <c r="M4067" s="0">
        <v>2</v>
      </c>
      <c r="N4067" s="0">
        <v>0</v>
      </c>
      <c r="O4067" s="0">
        <v>0</v>
      </c>
      <c r="P4067" s="0">
        <v>-97.2</v>
      </c>
      <c r="R4067" s="0" t="b">
        <v>0</v>
      </c>
      <c r="S4067" s="0" t="b">
        <v>1</v>
      </c>
      <c r="T4067" s="68">
        <v>46031.4938425926</v>
      </c>
      <c r="U4067" s="68">
        <v>46046.2916666667</v>
      </c>
      <c r="V4067" s="68">
        <v>0</v>
      </c>
      <c r="W4067" s="0">
        <f>IF(IF(B4067="none",1,IF(B4067="Trialer",1,0))+IF(C4067="Customer",1,IF(C4067="Lost",1,0))=2,1,0)</f>
      </c>
      <c r="X4067" s="0" t="s">
        <v>1461</v>
      </c>
      <c r="Y4067" s="0" t="s">
        <v>243</v>
      </c>
      <c r="AV4067" s="68"/>
      <c r="AW4067" s="68"/>
      <c r="AY4067" s="27"/>
      <c r="BD4067" s="68">
        <v>46054.1666666667</v>
      </c>
      <c r="BE4067" s="68">
        <v>46082.1666666667</v>
      </c>
      <c r="BF4067" s="0" t="b">
        <v>0</v>
      </c>
      <c r="BG4067" s="0" t="b">
        <v>0</v>
      </c>
      <c r="BH4067" s="0">
        <v>108</v>
      </c>
      <c r="BI4067" s="0">
        <v>108</v>
      </c>
      <c r="BJ4067" s="0" t="s">
        <v>230</v>
      </c>
    </row>
    <row r="4068">
      <c r="A4068" s="0" t="s">
        <v>4326</v>
      </c>
      <c r="B4068" s="0" t="s">
        <v>652</v>
      </c>
      <c r="C4068" s="0" t="s">
        <v>652</v>
      </c>
      <c r="D4068" s="0" t="s">
        <v>135</v>
      </c>
      <c r="E4068" s="0" t="s">
        <v>1515</v>
      </c>
      <c r="F4068" s="0" t="s">
        <v>12</v>
      </c>
      <c r="G4068" s="0" t="s">
        <v>8</v>
      </c>
      <c r="H4068" s="0">
        <v>22</v>
      </c>
      <c r="I4068" s="0">
        <v>0</v>
      </c>
      <c r="J4068" s="0">
        <v>0</v>
      </c>
      <c r="K4068" s="0">
        <v>0</v>
      </c>
      <c r="L4068" s="0">
        <v>0</v>
      </c>
      <c r="M4068" s="0">
        <v>0</v>
      </c>
      <c r="N4068" s="0">
        <v>0</v>
      </c>
      <c r="O4068" s="0">
        <v>0</v>
      </c>
      <c r="P4068" s="0">
        <v>0</v>
      </c>
      <c r="R4068" s="0" t="b">
        <v>0</v>
      </c>
      <c r="S4068" s="0" t="b">
        <v>0</v>
      </c>
      <c r="T4068" s="68">
        <v>46031.4968287037</v>
      </c>
      <c r="U4068" s="68">
        <v>0</v>
      </c>
      <c r="V4068" s="68">
        <v>46075.1667592593</v>
      </c>
      <c r="W4068" s="0">
        <f>IF(IF(B4068="none",1,IF(B4068="Trialer",1,0))+IF(C4068="Customer",1,IF(C4068="Lost",1,0))=2,1,0)</f>
      </c>
      <c r="X4068" s="0" t="s">
        <v>136</v>
      </c>
      <c r="Y4068" s="0" t="s">
        <v>1516</v>
      </c>
      <c r="AV4068" s="68"/>
      <c r="AW4068" s="68"/>
      <c r="AY4068" s="27"/>
      <c r="BD4068" s="68">
        <v>46054.1666666667</v>
      </c>
      <c r="BE4068" s="68">
        <v>46082.1666666667</v>
      </c>
      <c r="BF4068" s="0" t="b">
        <v>0</v>
      </c>
      <c r="BG4068" s="0" t="b">
        <v>0</v>
      </c>
      <c r="BH4068" s="0">
        <v>44.25</v>
      </c>
      <c r="BI4068" s="0">
        <v>44.25</v>
      </c>
      <c r="BJ4068" s="0" t="s">
        <v>135</v>
      </c>
    </row>
    <row r="4069">
      <c r="A4069" s="0" t="s">
        <v>4327</v>
      </c>
      <c r="B4069" s="0" t="s">
        <v>652</v>
      </c>
      <c r="C4069" s="0" t="s">
        <v>652</v>
      </c>
      <c r="D4069" s="0" t="s">
        <v>135</v>
      </c>
      <c r="E4069" s="0" t="s">
        <v>3</v>
      </c>
      <c r="F4069" s="0" t="s">
        <v>12</v>
      </c>
      <c r="G4069" s="0" t="s">
        <v>8</v>
      </c>
      <c r="H4069" s="0">
        <v>22</v>
      </c>
      <c r="I4069" s="0">
        <v>0</v>
      </c>
      <c r="J4069" s="0">
        <v>0</v>
      </c>
      <c r="K4069" s="0">
        <v>0</v>
      </c>
      <c r="L4069" s="0">
        <v>0</v>
      </c>
      <c r="M4069" s="0">
        <v>0</v>
      </c>
      <c r="N4069" s="0">
        <v>0</v>
      </c>
      <c r="O4069" s="0">
        <v>0</v>
      </c>
      <c r="P4069" s="0">
        <v>0</v>
      </c>
      <c r="R4069" s="0" t="b">
        <v>0</v>
      </c>
      <c r="S4069" s="0" t="b">
        <v>0</v>
      </c>
      <c r="T4069" s="68">
        <v>46031.5972222222</v>
      </c>
      <c r="U4069" s="68">
        <v>0</v>
      </c>
      <c r="V4069" s="68">
        <v>46075.1668981481</v>
      </c>
      <c r="W4069" s="0">
        <f>IF(IF(B4069="none",1,IF(B4069="Trialer",1,0))+IF(C4069="Customer",1,IF(C4069="Lost",1,0))=2,1,0)</f>
      </c>
      <c r="X4069" s="0" t="s">
        <v>145</v>
      </c>
      <c r="Y4069" s="0" t="s">
        <v>243</v>
      </c>
      <c r="AV4069" s="68"/>
      <c r="AW4069" s="68"/>
      <c r="AY4069" s="27"/>
      <c r="BD4069" s="68">
        <v>46054.1666666667</v>
      </c>
      <c r="BE4069" s="68">
        <v>46082.1666666667</v>
      </c>
      <c r="BF4069" s="0" t="b">
        <v>0</v>
      </c>
      <c r="BG4069" s="0" t="b">
        <v>0</v>
      </c>
      <c r="BH4069" s="0">
        <v>53.25</v>
      </c>
      <c r="BI4069" s="0">
        <v>53.25</v>
      </c>
      <c r="BJ4069" s="0" t="s">
        <v>135</v>
      </c>
    </row>
    <row r="4070">
      <c r="A4070" s="0" t="s">
        <v>4328</v>
      </c>
      <c r="B4070" s="0" t="s">
        <v>134</v>
      </c>
      <c r="C4070" s="0" t="s">
        <v>134</v>
      </c>
      <c r="D4070" s="0" t="s">
        <v>135</v>
      </c>
      <c r="E4070" s="0" t="s">
        <v>3</v>
      </c>
      <c r="F4070" s="0" t="s">
        <v>12</v>
      </c>
      <c r="G4070" s="0" t="s">
        <v>8</v>
      </c>
      <c r="H4070" s="0">
        <v>22</v>
      </c>
      <c r="I4070" s="0">
        <v>177</v>
      </c>
      <c r="J4070" s="0">
        <v>0</v>
      </c>
      <c r="K4070" s="0">
        <v>1</v>
      </c>
      <c r="L4070" s="0">
        <v>3</v>
      </c>
      <c r="M4070" s="0">
        <v>4</v>
      </c>
      <c r="N4070" s="0">
        <v>0</v>
      </c>
      <c r="O4070" s="0">
        <v>0</v>
      </c>
      <c r="P4070" s="0">
        <v>0</v>
      </c>
      <c r="R4070" s="0" t="b">
        <v>0</v>
      </c>
      <c r="S4070" s="0" t="b">
        <v>1</v>
      </c>
      <c r="T4070" s="68">
        <v>46031.6035648148</v>
      </c>
      <c r="U4070" s="68">
        <v>46045.2916666667</v>
      </c>
      <c r="V4070" s="68">
        <v>0</v>
      </c>
      <c r="W4070" s="0">
        <f>IF(IF(B4070="none",1,IF(B4070="Trialer",1,0))+IF(C4070="Customer",1,IF(C4070="Lost",1,0))=2,1,0)</f>
      </c>
      <c r="X4070" s="0" t="s">
        <v>136</v>
      </c>
      <c r="Y4070" s="0" t="s">
        <v>243</v>
      </c>
      <c r="AV4070" s="68"/>
      <c r="AW4070" s="68"/>
      <c r="AY4070" s="27"/>
      <c r="BD4070" s="68">
        <v>46054.1666666667</v>
      </c>
      <c r="BE4070" s="68">
        <v>46082.1666666667</v>
      </c>
      <c r="BF4070" s="0" t="b">
        <v>0</v>
      </c>
      <c r="BG4070" s="0" t="b">
        <v>0</v>
      </c>
      <c r="BH4070" s="0">
        <v>213.75</v>
      </c>
      <c r="BI4070" s="0">
        <v>213.75</v>
      </c>
      <c r="BJ4070" s="0" t="s">
        <v>135</v>
      </c>
    </row>
    <row r="4071">
      <c r="A4071" s="0" t="s">
        <v>4329</v>
      </c>
      <c r="B4071" s="0" t="s">
        <v>134</v>
      </c>
      <c r="C4071" s="0" t="s">
        <v>134</v>
      </c>
      <c r="D4071" s="0" t="s">
        <v>135</v>
      </c>
      <c r="E4071" s="0" t="s">
        <v>3</v>
      </c>
      <c r="F4071" s="0" t="s">
        <v>12</v>
      </c>
      <c r="G4071" s="0" t="s">
        <v>8</v>
      </c>
      <c r="H4071" s="0">
        <v>22</v>
      </c>
      <c r="I4071" s="0">
        <v>281.25</v>
      </c>
      <c r="J4071" s="0">
        <v>0</v>
      </c>
      <c r="K4071" s="0">
        <v>1</v>
      </c>
      <c r="L4071" s="0">
        <v>5</v>
      </c>
      <c r="M4071" s="0">
        <v>5</v>
      </c>
      <c r="N4071" s="0">
        <v>1240</v>
      </c>
      <c r="O4071" s="0">
        <v>0</v>
      </c>
      <c r="P4071" s="0">
        <v>0</v>
      </c>
      <c r="R4071" s="0" t="b">
        <v>0</v>
      </c>
      <c r="S4071" s="0" t="b">
        <v>1</v>
      </c>
      <c r="T4071" s="68">
        <v>46031.6084837963</v>
      </c>
      <c r="U4071" s="68">
        <v>46048.2916666667</v>
      </c>
      <c r="V4071" s="68">
        <v>0</v>
      </c>
      <c r="W4071" s="0">
        <f>IF(IF(B4071="none",1,IF(B4071="Trialer",1,0))+IF(C4071="Customer",1,IF(C4071="Lost",1,0))=2,1,0)</f>
      </c>
      <c r="X4071" s="0" t="s">
        <v>1461</v>
      </c>
      <c r="Y4071" s="0" t="s">
        <v>243</v>
      </c>
      <c r="AV4071" s="68"/>
      <c r="AW4071" s="68"/>
      <c r="AY4071" s="27"/>
      <c r="BD4071" s="68">
        <v>46054.1666666667</v>
      </c>
      <c r="BE4071" s="68">
        <v>46082.1666666667</v>
      </c>
      <c r="BF4071" s="0" t="b">
        <v>0</v>
      </c>
      <c r="BG4071" s="0" t="b">
        <v>0</v>
      </c>
      <c r="BH4071" s="0">
        <v>344.25</v>
      </c>
      <c r="BI4071" s="0">
        <v>344.25</v>
      </c>
      <c r="BJ4071" s="0" t="s">
        <v>135</v>
      </c>
    </row>
    <row r="4072">
      <c r="A4072" s="0" t="s">
        <v>4330</v>
      </c>
      <c r="B4072" s="0" t="s">
        <v>134</v>
      </c>
      <c r="C4072" s="0" t="s">
        <v>134</v>
      </c>
      <c r="D4072" s="0" t="s">
        <v>135</v>
      </c>
      <c r="E4072" s="0" t="s">
        <v>3</v>
      </c>
      <c r="F4072" s="0" t="s">
        <v>12</v>
      </c>
      <c r="G4072" s="0" t="s">
        <v>8</v>
      </c>
      <c r="H4072" s="0">
        <v>22</v>
      </c>
      <c r="I4072" s="0">
        <v>546.25</v>
      </c>
      <c r="J4072" s="0">
        <v>0</v>
      </c>
      <c r="K4072" s="0">
        <v>1</v>
      </c>
      <c r="L4072" s="0">
        <v>3</v>
      </c>
      <c r="M4072" s="0">
        <v>5</v>
      </c>
      <c r="N4072" s="0">
        <v>139.5</v>
      </c>
      <c r="O4072" s="0">
        <v>0</v>
      </c>
      <c r="P4072" s="0">
        <v>0</v>
      </c>
      <c r="R4072" s="0" t="b">
        <v>0</v>
      </c>
      <c r="S4072" s="0" t="b">
        <v>1</v>
      </c>
      <c r="T4072" s="68">
        <v>46031.6090277778</v>
      </c>
      <c r="U4072" s="68">
        <v>46034.2916666667</v>
      </c>
      <c r="V4072" s="68">
        <v>0</v>
      </c>
      <c r="W4072" s="0">
        <f>IF(IF(B4072="none",1,IF(B4072="Trialer",1,0))+IF(C4072="Customer",1,IF(C4072="Lost",1,0))=2,1,0)</f>
      </c>
      <c r="X4072" s="0" t="s">
        <v>145</v>
      </c>
      <c r="Y4072" s="0" t="s">
        <v>243</v>
      </c>
      <c r="AV4072" s="68"/>
      <c r="AW4072" s="68"/>
      <c r="AY4072" s="27"/>
      <c r="BD4072" s="68">
        <v>46054.1666666667</v>
      </c>
      <c r="BE4072" s="68">
        <v>46082.1666666667</v>
      </c>
      <c r="BF4072" s="0" t="b">
        <v>0</v>
      </c>
      <c r="BG4072" s="0" t="b">
        <v>0</v>
      </c>
      <c r="BH4072" s="0">
        <v>221.25</v>
      </c>
      <c r="BI4072" s="0">
        <v>221.25</v>
      </c>
      <c r="BJ4072" s="0" t="s">
        <v>135</v>
      </c>
    </row>
    <row r="4073">
      <c r="A4073" s="0" t="s">
        <v>4331</v>
      </c>
      <c r="B4073" s="0" t="s">
        <v>652</v>
      </c>
      <c r="C4073" s="0" t="s">
        <v>652</v>
      </c>
      <c r="D4073" s="0" t="s">
        <v>135</v>
      </c>
      <c r="E4073" s="0" t="s">
        <v>3</v>
      </c>
      <c r="F4073" s="0" t="s">
        <v>12</v>
      </c>
      <c r="G4073" s="0" t="s">
        <v>8</v>
      </c>
      <c r="H4073" s="0">
        <v>22</v>
      </c>
      <c r="I4073" s="0">
        <v>0</v>
      </c>
      <c r="J4073" s="0">
        <v>0</v>
      </c>
      <c r="K4073" s="0">
        <v>0</v>
      </c>
      <c r="L4073" s="0">
        <v>0</v>
      </c>
      <c r="M4073" s="0">
        <v>0</v>
      </c>
      <c r="N4073" s="0">
        <v>0</v>
      </c>
      <c r="O4073" s="0">
        <v>0</v>
      </c>
      <c r="P4073" s="0">
        <v>0</v>
      </c>
      <c r="R4073" s="0" t="b">
        <v>0</v>
      </c>
      <c r="S4073" s="0" t="b">
        <v>0</v>
      </c>
      <c r="T4073" s="68">
        <v>46031.613599537</v>
      </c>
      <c r="U4073" s="68">
        <v>0</v>
      </c>
      <c r="V4073" s="68">
        <v>46074.5745717593</v>
      </c>
      <c r="W4073" s="0">
        <f>IF(IF(B4073="none",1,IF(B4073="Trialer",1,0))+IF(C4073="Customer",1,IF(C4073="Lost",1,0))=2,1,0)</f>
      </c>
      <c r="X4073" s="0" t="s">
        <v>145</v>
      </c>
      <c r="Y4073" s="0" t="s">
        <v>243</v>
      </c>
      <c r="AV4073" s="68"/>
      <c r="AW4073" s="68"/>
      <c r="AY4073" s="27"/>
      <c r="BD4073" s="68">
        <v>46054.1666666667</v>
      </c>
      <c r="BE4073" s="68">
        <v>46082.1666666667</v>
      </c>
      <c r="BF4073" s="0" t="b">
        <v>1</v>
      </c>
      <c r="BG4073" s="0" t="b">
        <v>0</v>
      </c>
      <c r="BH4073" s="0">
        <v>40</v>
      </c>
      <c r="BI4073" s="0">
        <v>40</v>
      </c>
      <c r="BJ4073" s="0" t="s">
        <v>135</v>
      </c>
    </row>
    <row r="4074">
      <c r="A4074" s="0" t="s">
        <v>4332</v>
      </c>
      <c r="B4074" s="0" t="s">
        <v>652</v>
      </c>
      <c r="C4074" s="0" t="s">
        <v>652</v>
      </c>
      <c r="D4074" s="0" t="s">
        <v>135</v>
      </c>
      <c r="E4074" s="0" t="s">
        <v>2</v>
      </c>
      <c r="F4074" s="0" t="s">
        <v>12</v>
      </c>
      <c r="G4074" s="0" t="s">
        <v>8</v>
      </c>
      <c r="H4074" s="0">
        <v>22</v>
      </c>
      <c r="I4074" s="0">
        <v>0</v>
      </c>
      <c r="J4074" s="0">
        <v>0</v>
      </c>
      <c r="K4074" s="0">
        <v>0</v>
      </c>
      <c r="L4074" s="0">
        <v>0</v>
      </c>
      <c r="M4074" s="0">
        <v>0</v>
      </c>
      <c r="N4074" s="0">
        <v>0</v>
      </c>
      <c r="O4074" s="0">
        <v>0</v>
      </c>
      <c r="P4074" s="0">
        <v>0</v>
      </c>
      <c r="R4074" s="0" t="b">
        <v>0</v>
      </c>
      <c r="S4074" s="0" t="b">
        <v>0</v>
      </c>
      <c r="T4074" s="68">
        <v>46031.6167361111</v>
      </c>
      <c r="U4074" s="68">
        <v>0</v>
      </c>
      <c r="V4074" s="68">
        <v>46075.1669097222</v>
      </c>
      <c r="W4074" s="0">
        <f>IF(IF(B4074="none",1,IF(B4074="Trialer",1,0))+IF(C4074="Customer",1,IF(C4074="Lost",1,0))=2,1,0)</f>
      </c>
      <c r="X4074" s="0" t="s">
        <v>145</v>
      </c>
      <c r="Y4074" s="0" t="s">
        <v>499</v>
      </c>
      <c r="AV4074" s="68"/>
      <c r="AW4074" s="68"/>
      <c r="AY4074" s="27"/>
      <c r="BD4074" s="68">
        <v>46054.1666666667</v>
      </c>
      <c r="BE4074" s="68">
        <v>46082.1666666667</v>
      </c>
      <c r="BF4074" s="0" t="b">
        <v>0</v>
      </c>
      <c r="BG4074" s="0" t="b">
        <v>0</v>
      </c>
      <c r="BH4074" s="0">
        <v>54.75</v>
      </c>
      <c r="BI4074" s="0">
        <v>54.75</v>
      </c>
      <c r="BJ4074" s="0" t="s">
        <v>135</v>
      </c>
    </row>
    <row r="4075">
      <c r="A4075" s="0" t="s">
        <v>4333</v>
      </c>
      <c r="B4075" s="0" t="s">
        <v>134</v>
      </c>
      <c r="C4075" s="0" t="s">
        <v>134</v>
      </c>
      <c r="D4075" s="0" t="s">
        <v>135</v>
      </c>
      <c r="E4075" s="0" t="s">
        <v>3</v>
      </c>
      <c r="F4075" s="0" t="s">
        <v>10</v>
      </c>
      <c r="G4075" s="0" t="s">
        <v>8</v>
      </c>
      <c r="H4075" s="0">
        <v>22</v>
      </c>
      <c r="I4075" s="0">
        <v>52.5</v>
      </c>
      <c r="J4075" s="0">
        <v>0</v>
      </c>
      <c r="K4075" s="0">
        <v>1</v>
      </c>
      <c r="L4075" s="0">
        <v>1</v>
      </c>
      <c r="M4075" s="0">
        <v>2</v>
      </c>
      <c r="N4075" s="0">
        <v>0</v>
      </c>
      <c r="O4075" s="0">
        <v>0</v>
      </c>
      <c r="P4075" s="0">
        <v>0</v>
      </c>
      <c r="Q4075" s="0" t="s">
        <v>618</v>
      </c>
      <c r="R4075" s="0" t="b">
        <v>0</v>
      </c>
      <c r="S4075" s="0" t="b">
        <v>1</v>
      </c>
      <c r="T4075" s="68">
        <v>46031.638125</v>
      </c>
      <c r="U4075" s="68">
        <v>46045.2916666667</v>
      </c>
      <c r="V4075" s="68">
        <v>0</v>
      </c>
      <c r="W4075" s="0">
        <f>IF(IF(B4075="none",1,IF(B4075="Trialer",1,0))+IF(C4075="Customer",1,IF(C4075="Lost",1,0))=2,1,0)</f>
      </c>
      <c r="X4075" s="0" t="s">
        <v>148</v>
      </c>
      <c r="Y4075" s="0" t="s">
        <v>243</v>
      </c>
      <c r="AV4075" s="68"/>
      <c r="AW4075" s="68"/>
      <c r="AY4075" s="27"/>
      <c r="BD4075" s="68">
        <v>46054.1666666667</v>
      </c>
      <c r="BE4075" s="68">
        <v>46082.1666666667</v>
      </c>
      <c r="BF4075" s="0" t="b">
        <v>0</v>
      </c>
      <c r="BG4075" s="0" t="b">
        <v>0</v>
      </c>
      <c r="BH4075" s="0">
        <v>52.5</v>
      </c>
      <c r="BI4075" s="0">
        <v>52.5</v>
      </c>
      <c r="BJ4075" s="0" t="s">
        <v>135</v>
      </c>
    </row>
    <row r="4076">
      <c r="A4076" s="0" t="s">
        <v>4334</v>
      </c>
      <c r="B4076" s="0" t="s">
        <v>134</v>
      </c>
      <c r="C4076" s="0" t="s">
        <v>134</v>
      </c>
      <c r="D4076" s="0" t="s">
        <v>135</v>
      </c>
      <c r="E4076" s="0" t="s">
        <v>3</v>
      </c>
      <c r="F4076" s="0" t="s">
        <v>12</v>
      </c>
      <c r="G4076" s="0" t="s">
        <v>8</v>
      </c>
      <c r="H4076" s="0">
        <v>22</v>
      </c>
      <c r="I4076" s="0">
        <v>44.25</v>
      </c>
      <c r="J4076" s="0">
        <v>0</v>
      </c>
      <c r="K4076" s="0">
        <v>1</v>
      </c>
      <c r="L4076" s="0">
        <v>3</v>
      </c>
      <c r="M4076" s="0">
        <v>1</v>
      </c>
      <c r="N4076" s="0">
        <v>0</v>
      </c>
      <c r="O4076" s="0">
        <v>0</v>
      </c>
      <c r="P4076" s="0">
        <v>0</v>
      </c>
      <c r="R4076" s="0" t="b">
        <v>0</v>
      </c>
      <c r="S4076" s="0" t="b">
        <v>1</v>
      </c>
      <c r="T4076" s="68">
        <v>46031.7169791667</v>
      </c>
      <c r="U4076" s="68">
        <v>46045.2916666667</v>
      </c>
      <c r="V4076" s="68">
        <v>0</v>
      </c>
      <c r="W4076" s="0">
        <f>IF(IF(B4076="none",1,IF(B4076="Trialer",1,0))+IF(C4076="Customer",1,IF(C4076="Lost",1,0))=2,1,0)</f>
      </c>
      <c r="X4076" s="0" t="s">
        <v>1461</v>
      </c>
      <c r="Y4076" s="0" t="s">
        <v>1792</v>
      </c>
      <c r="AV4076" s="68"/>
      <c r="AW4076" s="68"/>
      <c r="AY4076" s="27"/>
      <c r="BD4076" s="68">
        <v>46054.1666666667</v>
      </c>
      <c r="BE4076" s="68">
        <v>46082.1666666667</v>
      </c>
      <c r="BF4076" s="0" t="b">
        <v>0</v>
      </c>
      <c r="BG4076" s="0" t="b">
        <v>0</v>
      </c>
      <c r="BH4076" s="0">
        <v>44.25</v>
      </c>
      <c r="BI4076" s="0">
        <v>44.25</v>
      </c>
      <c r="BJ4076" s="0" t="s">
        <v>135</v>
      </c>
    </row>
    <row r="4077">
      <c r="A4077" s="0" t="s">
        <v>4335</v>
      </c>
      <c r="B4077" s="0" t="s">
        <v>652</v>
      </c>
      <c r="C4077" s="0" t="s">
        <v>652</v>
      </c>
      <c r="D4077" s="0" t="s">
        <v>135</v>
      </c>
      <c r="E4077" s="0" t="s">
        <v>4</v>
      </c>
      <c r="F4077" s="0" t="s">
        <v>12</v>
      </c>
      <c r="G4077" s="0" t="s">
        <v>8</v>
      </c>
      <c r="H4077" s="0">
        <v>21</v>
      </c>
      <c r="I4077" s="0">
        <v>0</v>
      </c>
      <c r="J4077" s="0">
        <v>0</v>
      </c>
      <c r="K4077" s="0">
        <v>0</v>
      </c>
      <c r="L4077" s="0">
        <v>0</v>
      </c>
      <c r="M4077" s="0">
        <v>0</v>
      </c>
      <c r="N4077" s="0">
        <v>0</v>
      </c>
      <c r="O4077" s="0">
        <v>0</v>
      </c>
      <c r="P4077" s="0">
        <v>0</v>
      </c>
      <c r="R4077" s="0" t="b">
        <v>0</v>
      </c>
      <c r="S4077" s="0" t="b">
        <v>0</v>
      </c>
      <c r="T4077" s="68">
        <v>46032.1674074074</v>
      </c>
      <c r="U4077" s="68">
        <v>0</v>
      </c>
      <c r="V4077" s="68">
        <v>46075.1667361111</v>
      </c>
      <c r="W4077" s="0">
        <f>IF(IF(B4077="none",1,IF(B4077="Trialer",1,0))+IF(C4077="Customer",1,IF(C4077="Lost",1,0))=2,1,0)</f>
      </c>
      <c r="X4077" s="0" t="s">
        <v>136</v>
      </c>
      <c r="Y4077" s="0" t="s">
        <v>1772</v>
      </c>
      <c r="AV4077" s="68"/>
      <c r="AW4077" s="68"/>
      <c r="AY4077" s="27"/>
      <c r="BD4077" s="68">
        <v>46054.1666666667</v>
      </c>
      <c r="BE4077" s="68">
        <v>46082.1666666667</v>
      </c>
      <c r="BF4077" s="0" t="b">
        <v>0</v>
      </c>
      <c r="BG4077" s="0" t="b">
        <v>0</v>
      </c>
      <c r="BH4077" s="0">
        <v>62.25</v>
      </c>
      <c r="BI4077" s="0">
        <v>62.25</v>
      </c>
      <c r="BJ4077" s="0" t="s">
        <v>135</v>
      </c>
    </row>
    <row r="4078">
      <c r="A4078" s="0" t="s">
        <v>4336</v>
      </c>
      <c r="B4078" s="0" t="s">
        <v>652</v>
      </c>
      <c r="C4078" s="0" t="s">
        <v>652</v>
      </c>
      <c r="D4078" s="0" t="s">
        <v>135</v>
      </c>
      <c r="E4078" s="0" t="s">
        <v>3</v>
      </c>
      <c r="F4078" s="0" t="s">
        <v>12</v>
      </c>
      <c r="G4078" s="0" t="s">
        <v>8</v>
      </c>
      <c r="H4078" s="0">
        <v>21</v>
      </c>
      <c r="I4078" s="0">
        <v>0</v>
      </c>
      <c r="J4078" s="0">
        <v>0</v>
      </c>
      <c r="K4078" s="0">
        <v>0</v>
      </c>
      <c r="L4078" s="0">
        <v>0</v>
      </c>
      <c r="M4078" s="0">
        <v>0</v>
      </c>
      <c r="N4078" s="0">
        <v>0</v>
      </c>
      <c r="O4078" s="0">
        <v>0</v>
      </c>
      <c r="P4078" s="0">
        <v>0</v>
      </c>
      <c r="R4078" s="0" t="b">
        <v>0</v>
      </c>
      <c r="S4078" s="0" t="b">
        <v>0</v>
      </c>
      <c r="T4078" s="68">
        <v>46032.189224537</v>
      </c>
      <c r="U4078" s="68">
        <v>0</v>
      </c>
      <c r="V4078" s="68">
        <v>46075.1668634259</v>
      </c>
      <c r="W4078" s="0">
        <f>IF(IF(B4078="none",1,IF(B4078="Trialer",1,0))+IF(C4078="Customer",1,IF(C4078="Lost",1,0))=2,1,0)</f>
      </c>
      <c r="X4078" s="0" t="s">
        <v>145</v>
      </c>
      <c r="Y4078" s="0" t="s">
        <v>243</v>
      </c>
      <c r="AV4078" s="68"/>
      <c r="AW4078" s="68"/>
      <c r="AY4078" s="27"/>
      <c r="BD4078" s="68">
        <v>46054.1666666667</v>
      </c>
      <c r="BE4078" s="68">
        <v>46082.1666666667</v>
      </c>
      <c r="BF4078" s="0" t="b">
        <v>0</v>
      </c>
      <c r="BG4078" s="0" t="b">
        <v>0</v>
      </c>
      <c r="BH4078" s="0">
        <v>44.25</v>
      </c>
      <c r="BI4078" s="0">
        <v>44.25</v>
      </c>
      <c r="BJ4078" s="0" t="s">
        <v>135</v>
      </c>
    </row>
    <row r="4079">
      <c r="A4079" s="0" t="s">
        <v>4337</v>
      </c>
      <c r="B4079" s="0" t="s">
        <v>652</v>
      </c>
      <c r="C4079" s="0" t="s">
        <v>652</v>
      </c>
      <c r="D4079" s="0" t="s">
        <v>135</v>
      </c>
      <c r="E4079" s="0" t="s">
        <v>2414</v>
      </c>
      <c r="F4079" s="0" t="s">
        <v>12</v>
      </c>
      <c r="G4079" s="0" t="s">
        <v>8</v>
      </c>
      <c r="H4079" s="0">
        <v>21</v>
      </c>
      <c r="I4079" s="0">
        <v>0</v>
      </c>
      <c r="J4079" s="0">
        <v>0</v>
      </c>
      <c r="K4079" s="0">
        <v>0</v>
      </c>
      <c r="L4079" s="0">
        <v>0</v>
      </c>
      <c r="M4079" s="0">
        <v>0</v>
      </c>
      <c r="N4079" s="0">
        <v>0</v>
      </c>
      <c r="O4079" s="0">
        <v>0</v>
      </c>
      <c r="P4079" s="0">
        <v>0</v>
      </c>
      <c r="R4079" s="0" t="b">
        <v>0</v>
      </c>
      <c r="S4079" s="0" t="b">
        <v>0</v>
      </c>
      <c r="T4079" s="68">
        <v>46032.3353935185</v>
      </c>
      <c r="U4079" s="68">
        <v>0</v>
      </c>
      <c r="V4079" s="68">
        <v>46075.1669328704</v>
      </c>
      <c r="W4079" s="0">
        <f>IF(IF(B4079="none",1,IF(B4079="Trialer",1,0))+IF(C4079="Customer",1,IF(C4079="Lost",1,0))=2,1,0)</f>
      </c>
      <c r="X4079" s="0" t="s">
        <v>136</v>
      </c>
      <c r="Y4079" s="0" t="s">
        <v>1516</v>
      </c>
      <c r="AV4079" s="68"/>
      <c r="AW4079" s="68"/>
      <c r="AY4079" s="27"/>
      <c r="BD4079" s="68">
        <v>46054.1666666667</v>
      </c>
      <c r="BE4079" s="68">
        <v>46082.1666666667</v>
      </c>
      <c r="BF4079" s="0" t="b">
        <v>0</v>
      </c>
      <c r="BG4079" s="0" t="b">
        <v>0</v>
      </c>
      <c r="BH4079" s="0">
        <v>44.25</v>
      </c>
      <c r="BI4079" s="0">
        <v>44.25</v>
      </c>
      <c r="BJ4079" s="0" t="s">
        <v>135</v>
      </c>
    </row>
    <row r="4080">
      <c r="A4080" s="0" t="s">
        <v>4338</v>
      </c>
      <c r="B4080" s="0" t="s">
        <v>134</v>
      </c>
      <c r="C4080" s="0" t="s">
        <v>134</v>
      </c>
      <c r="D4080" s="0" t="s">
        <v>135</v>
      </c>
      <c r="E4080" s="0" t="s">
        <v>3</v>
      </c>
      <c r="F4080" s="0" t="s">
        <v>12</v>
      </c>
      <c r="G4080" s="0" t="s">
        <v>8</v>
      </c>
      <c r="H4080" s="0">
        <v>21</v>
      </c>
      <c r="I4080" s="0">
        <v>76.5</v>
      </c>
      <c r="J4080" s="0">
        <v>0</v>
      </c>
      <c r="K4080" s="0">
        <v>1</v>
      </c>
      <c r="L4080" s="0">
        <v>3</v>
      </c>
      <c r="M4080" s="0">
        <v>2</v>
      </c>
      <c r="N4080" s="0">
        <v>0</v>
      </c>
      <c r="O4080" s="0">
        <v>0</v>
      </c>
      <c r="P4080" s="0">
        <v>0</v>
      </c>
      <c r="R4080" s="0" t="b">
        <v>0</v>
      </c>
      <c r="S4080" s="0" t="b">
        <v>1</v>
      </c>
      <c r="T4080" s="68">
        <v>46032.3588888889</v>
      </c>
      <c r="U4080" s="68">
        <v>46049.2916666667</v>
      </c>
      <c r="V4080" s="68">
        <v>0</v>
      </c>
      <c r="W4080" s="0">
        <f>IF(IF(B4080="none",1,IF(B4080="Trialer",1,0))+IF(C4080="Customer",1,IF(C4080="Lost",1,0))=2,1,0)</f>
      </c>
      <c r="X4080" s="0" t="s">
        <v>1461</v>
      </c>
      <c r="Y4080" s="0" t="s">
        <v>243</v>
      </c>
      <c r="AV4080" s="68"/>
      <c r="AW4080" s="68"/>
      <c r="AY4080" s="27"/>
      <c r="BD4080" s="68">
        <v>46054.1666666667</v>
      </c>
      <c r="BE4080" s="68">
        <v>46082.1666666667</v>
      </c>
      <c r="BF4080" s="0" t="b">
        <v>0</v>
      </c>
      <c r="BG4080" s="0" t="b">
        <v>0</v>
      </c>
      <c r="BH4080" s="0">
        <v>76.5</v>
      </c>
      <c r="BI4080" s="0">
        <v>76.5</v>
      </c>
      <c r="BJ4080" s="0" t="s">
        <v>135</v>
      </c>
    </row>
    <row r="4081">
      <c r="A4081" s="0" t="s">
        <v>4339</v>
      </c>
      <c r="B4081" s="0" t="s">
        <v>652</v>
      </c>
      <c r="C4081" s="0" t="s">
        <v>652</v>
      </c>
      <c r="D4081" s="0" t="s">
        <v>135</v>
      </c>
      <c r="E4081" s="0" t="s">
        <v>1515</v>
      </c>
      <c r="F4081" s="0" t="s">
        <v>12</v>
      </c>
      <c r="G4081" s="0" t="s">
        <v>8</v>
      </c>
      <c r="H4081" s="0">
        <v>21</v>
      </c>
      <c r="I4081" s="0">
        <v>0</v>
      </c>
      <c r="J4081" s="0">
        <v>0</v>
      </c>
      <c r="K4081" s="0">
        <v>0</v>
      </c>
      <c r="L4081" s="0">
        <v>0</v>
      </c>
      <c r="M4081" s="0">
        <v>0</v>
      </c>
      <c r="N4081" s="0">
        <v>0</v>
      </c>
      <c r="O4081" s="0">
        <v>0</v>
      </c>
      <c r="P4081" s="0">
        <v>0</v>
      </c>
      <c r="R4081" s="0" t="b">
        <v>0</v>
      </c>
      <c r="S4081" s="0" t="b">
        <v>0</v>
      </c>
      <c r="T4081" s="68">
        <v>46032.3590509259</v>
      </c>
      <c r="U4081" s="68">
        <v>0</v>
      </c>
      <c r="V4081" s="68">
        <v>46075.166875</v>
      </c>
      <c r="W4081" s="0">
        <f>IF(IF(B4081="none",1,IF(B4081="Trialer",1,0))+IF(C4081="Customer",1,IF(C4081="Lost",1,0))=2,1,0)</f>
      </c>
      <c r="X4081" s="0" t="s">
        <v>145</v>
      </c>
      <c r="Y4081" s="0" t="s">
        <v>1516</v>
      </c>
      <c r="AV4081" s="68"/>
      <c r="AW4081" s="68"/>
      <c r="AY4081" s="27"/>
      <c r="BD4081" s="68">
        <v>46054.1666666667</v>
      </c>
      <c r="BE4081" s="68">
        <v>46082.1666666667</v>
      </c>
      <c r="BF4081" s="0" t="b">
        <v>0</v>
      </c>
      <c r="BG4081" s="0" t="b">
        <v>0</v>
      </c>
      <c r="BH4081" s="0">
        <v>44.25</v>
      </c>
      <c r="BI4081" s="0">
        <v>44.25</v>
      </c>
      <c r="BJ4081" s="0" t="s">
        <v>135</v>
      </c>
    </row>
    <row r="4082">
      <c r="A4082" s="0" t="s">
        <v>4340</v>
      </c>
      <c r="B4082" s="0" t="s">
        <v>652</v>
      </c>
      <c r="C4082" s="0" t="s">
        <v>652</v>
      </c>
      <c r="D4082" s="0" t="s">
        <v>135</v>
      </c>
      <c r="E4082" s="0" t="s">
        <v>2414</v>
      </c>
      <c r="F4082" s="0" t="s">
        <v>12</v>
      </c>
      <c r="G4082" s="0" t="s">
        <v>8</v>
      </c>
      <c r="H4082" s="0">
        <v>21</v>
      </c>
      <c r="I4082" s="0">
        <v>0</v>
      </c>
      <c r="J4082" s="0">
        <v>0</v>
      </c>
      <c r="K4082" s="0">
        <v>0</v>
      </c>
      <c r="L4082" s="0">
        <v>0</v>
      </c>
      <c r="M4082" s="0">
        <v>0</v>
      </c>
      <c r="N4082" s="0">
        <v>0</v>
      </c>
      <c r="O4082" s="0">
        <v>0</v>
      </c>
      <c r="P4082" s="0">
        <v>0</v>
      </c>
      <c r="R4082" s="0" t="b">
        <v>0</v>
      </c>
      <c r="S4082" s="0" t="b">
        <v>0</v>
      </c>
      <c r="T4082" s="68">
        <v>46032.394837963</v>
      </c>
      <c r="U4082" s="68">
        <v>0</v>
      </c>
      <c r="V4082" s="68">
        <v>46075.1667708333</v>
      </c>
      <c r="W4082" s="0">
        <f>IF(IF(B4082="none",1,IF(B4082="Trialer",1,0))+IF(C4082="Customer",1,IF(C4082="Lost",1,0))=2,1,0)</f>
      </c>
      <c r="X4082" s="0" t="s">
        <v>136</v>
      </c>
      <c r="Y4082" s="0" t="s">
        <v>1516</v>
      </c>
      <c r="AV4082" s="68"/>
      <c r="AW4082" s="68"/>
      <c r="AY4082" s="27"/>
      <c r="BD4082" s="68">
        <v>46054.1666666667</v>
      </c>
      <c r="BE4082" s="68">
        <v>46082.1666666667</v>
      </c>
      <c r="BF4082" s="0" t="b">
        <v>0</v>
      </c>
      <c r="BG4082" s="0" t="b">
        <v>0</v>
      </c>
      <c r="BH4082" s="0">
        <v>44.25</v>
      </c>
      <c r="BI4082" s="0">
        <v>44.25</v>
      </c>
      <c r="BJ4082" s="0" t="s">
        <v>135</v>
      </c>
    </row>
    <row r="4083">
      <c r="A4083" s="0" t="s">
        <v>4341</v>
      </c>
      <c r="B4083" s="0" t="s">
        <v>652</v>
      </c>
      <c r="C4083" s="0" t="s">
        <v>652</v>
      </c>
      <c r="D4083" s="0" t="s">
        <v>135</v>
      </c>
      <c r="E4083" s="0" t="s">
        <v>2</v>
      </c>
      <c r="F4083" s="0" t="s">
        <v>12</v>
      </c>
      <c r="G4083" s="0" t="s">
        <v>8</v>
      </c>
      <c r="H4083" s="0">
        <v>21</v>
      </c>
      <c r="I4083" s="0">
        <v>0</v>
      </c>
      <c r="J4083" s="0">
        <v>0</v>
      </c>
      <c r="K4083" s="0">
        <v>0</v>
      </c>
      <c r="L4083" s="0">
        <v>0</v>
      </c>
      <c r="M4083" s="0">
        <v>0</v>
      </c>
      <c r="N4083" s="0">
        <v>0</v>
      </c>
      <c r="O4083" s="0">
        <v>0</v>
      </c>
      <c r="P4083" s="0">
        <v>0</v>
      </c>
      <c r="R4083" s="0" t="b">
        <v>0</v>
      </c>
      <c r="S4083" s="0" t="b">
        <v>0</v>
      </c>
      <c r="T4083" s="68">
        <v>46032.4084259259</v>
      </c>
      <c r="U4083" s="68">
        <v>0</v>
      </c>
      <c r="V4083" s="68">
        <v>46059.3825578704</v>
      </c>
      <c r="W4083" s="0">
        <f>IF(IF(B4083="none",1,IF(B4083="Trialer",1,0))+IF(C4083="Customer",1,IF(C4083="Lost",1,0))=2,1,0)</f>
      </c>
      <c r="X4083" s="0" t="s">
        <v>148</v>
      </c>
      <c r="Y4083" s="0" t="s">
        <v>499</v>
      </c>
      <c r="AV4083" s="68"/>
      <c r="AW4083" s="68"/>
      <c r="AY4083" s="27"/>
      <c r="BD4083" s="68">
        <v>46054.1666666667</v>
      </c>
      <c r="BE4083" s="68">
        <v>46082.1666666667</v>
      </c>
      <c r="BF4083" s="0" t="b">
        <v>0</v>
      </c>
      <c r="BG4083" s="0" t="b">
        <v>0</v>
      </c>
      <c r="BH4083" s="0">
        <v>72.75</v>
      </c>
      <c r="BI4083" s="0">
        <v>72.75</v>
      </c>
      <c r="BJ4083" s="0" t="s">
        <v>135</v>
      </c>
    </row>
    <row r="4084">
      <c r="A4084" s="0" t="s">
        <v>4342</v>
      </c>
      <c r="B4084" s="0" t="s">
        <v>652</v>
      </c>
      <c r="C4084" s="0" t="s">
        <v>652</v>
      </c>
      <c r="D4084" s="0" t="s">
        <v>135</v>
      </c>
      <c r="E4084" s="0" t="s">
        <v>1515</v>
      </c>
      <c r="F4084" s="0" t="s">
        <v>12</v>
      </c>
      <c r="G4084" s="0" t="s">
        <v>8</v>
      </c>
      <c r="H4084" s="0">
        <v>21</v>
      </c>
      <c r="I4084" s="0">
        <v>0</v>
      </c>
      <c r="J4084" s="0">
        <v>0</v>
      </c>
      <c r="K4084" s="0">
        <v>0</v>
      </c>
      <c r="L4084" s="0">
        <v>0</v>
      </c>
      <c r="M4084" s="0">
        <v>0</v>
      </c>
      <c r="N4084" s="0">
        <v>0</v>
      </c>
      <c r="O4084" s="0">
        <v>0</v>
      </c>
      <c r="P4084" s="0">
        <v>0</v>
      </c>
      <c r="R4084" s="0" t="b">
        <v>0</v>
      </c>
      <c r="S4084" s="0" t="b">
        <v>0</v>
      </c>
      <c r="T4084" s="68">
        <v>46032.4106365741</v>
      </c>
      <c r="U4084" s="68">
        <v>0</v>
      </c>
      <c r="V4084" s="68">
        <v>46075.1669097222</v>
      </c>
      <c r="W4084" s="0">
        <f>IF(IF(B4084="none",1,IF(B4084="Trialer",1,0))+IF(C4084="Customer",1,IF(C4084="Lost",1,0))=2,1,0)</f>
      </c>
      <c r="X4084" s="0" t="s">
        <v>148</v>
      </c>
      <c r="Y4084" s="0" t="s">
        <v>1516</v>
      </c>
      <c r="AV4084" s="68"/>
      <c r="AW4084" s="68"/>
      <c r="AY4084" s="27"/>
      <c r="BD4084" s="68">
        <v>46054.1666666667</v>
      </c>
      <c r="BE4084" s="68">
        <v>46082.1666666667</v>
      </c>
      <c r="BF4084" s="0" t="b">
        <v>0</v>
      </c>
      <c r="BG4084" s="0" t="b">
        <v>0</v>
      </c>
      <c r="BH4084" s="0">
        <v>44.25</v>
      </c>
      <c r="BI4084" s="0">
        <v>44.25</v>
      </c>
      <c r="BJ4084" s="0" t="s">
        <v>135</v>
      </c>
    </row>
    <row r="4085">
      <c r="A4085" s="0" t="s">
        <v>4343</v>
      </c>
      <c r="B4085" s="0" t="s">
        <v>652</v>
      </c>
      <c r="C4085" s="0" t="s">
        <v>652</v>
      </c>
      <c r="D4085" s="0" t="s">
        <v>135</v>
      </c>
      <c r="E4085" s="0" t="s">
        <v>2</v>
      </c>
      <c r="F4085" s="0" t="s">
        <v>12</v>
      </c>
      <c r="G4085" s="0" t="s">
        <v>8</v>
      </c>
      <c r="H4085" s="0">
        <v>21</v>
      </c>
      <c r="I4085" s="0">
        <v>0</v>
      </c>
      <c r="J4085" s="0">
        <v>0</v>
      </c>
      <c r="K4085" s="0">
        <v>0</v>
      </c>
      <c r="L4085" s="0">
        <v>0</v>
      </c>
      <c r="M4085" s="0">
        <v>0</v>
      </c>
      <c r="N4085" s="0">
        <v>0</v>
      </c>
      <c r="O4085" s="0">
        <v>0</v>
      </c>
      <c r="P4085" s="0">
        <v>0</v>
      </c>
      <c r="R4085" s="0" t="b">
        <v>0</v>
      </c>
      <c r="S4085" s="0" t="b">
        <v>0</v>
      </c>
      <c r="T4085" s="68">
        <v>46032.4321296296</v>
      </c>
      <c r="U4085" s="68">
        <v>0</v>
      </c>
      <c r="V4085" s="68">
        <v>46075.1668518518</v>
      </c>
      <c r="W4085" s="0">
        <f>IF(IF(B4085="none",1,IF(B4085="Trialer",1,0))+IF(C4085="Customer",1,IF(C4085="Lost",1,0))=2,1,0)</f>
      </c>
      <c r="X4085" s="0" t="s">
        <v>145</v>
      </c>
      <c r="Y4085" s="0" t="s">
        <v>499</v>
      </c>
      <c r="AV4085" s="68"/>
      <c r="AW4085" s="68"/>
      <c r="AY4085" s="27"/>
      <c r="BD4085" s="68">
        <v>46054.1666666667</v>
      </c>
      <c r="BE4085" s="68">
        <v>46082.1666666667</v>
      </c>
      <c r="BF4085" s="0" t="b">
        <v>0</v>
      </c>
      <c r="BG4085" s="0" t="b">
        <v>0</v>
      </c>
      <c r="BH4085" s="0">
        <v>44.25</v>
      </c>
      <c r="BI4085" s="0">
        <v>44.25</v>
      </c>
      <c r="BJ4085" s="0" t="s">
        <v>135</v>
      </c>
    </row>
    <row r="4086">
      <c r="A4086" s="0" t="s">
        <v>4344</v>
      </c>
      <c r="B4086" s="0" t="s">
        <v>652</v>
      </c>
      <c r="C4086" s="0" t="s">
        <v>652</v>
      </c>
      <c r="D4086" s="0" t="s">
        <v>135</v>
      </c>
      <c r="E4086" s="0" t="s">
        <v>3</v>
      </c>
      <c r="F4086" s="0" t="s">
        <v>12</v>
      </c>
      <c r="G4086" s="0" t="s">
        <v>8</v>
      </c>
      <c r="H4086" s="0">
        <v>21</v>
      </c>
      <c r="I4086" s="0">
        <v>0</v>
      </c>
      <c r="J4086" s="0">
        <v>0</v>
      </c>
      <c r="K4086" s="0">
        <v>0</v>
      </c>
      <c r="L4086" s="0">
        <v>0</v>
      </c>
      <c r="M4086" s="0">
        <v>0</v>
      </c>
      <c r="N4086" s="0">
        <v>0</v>
      </c>
      <c r="O4086" s="0">
        <v>0</v>
      </c>
      <c r="P4086" s="0">
        <v>0</v>
      </c>
      <c r="R4086" s="0" t="b">
        <v>0</v>
      </c>
      <c r="S4086" s="0" t="b">
        <v>0</v>
      </c>
      <c r="T4086" s="68">
        <v>46032.4771527778</v>
      </c>
      <c r="U4086" s="68">
        <v>0</v>
      </c>
      <c r="V4086" s="68">
        <v>46075.1668171296</v>
      </c>
      <c r="W4086" s="0">
        <f>IF(IF(B4086="none",1,IF(B4086="Trialer",1,0))+IF(C4086="Customer",1,IF(C4086="Lost",1,0))=2,1,0)</f>
      </c>
      <c r="X4086" s="0" t="s">
        <v>136</v>
      </c>
      <c r="Y4086" s="0" t="s">
        <v>243</v>
      </c>
      <c r="AV4086" s="68"/>
      <c r="AW4086" s="68"/>
      <c r="AY4086" s="27"/>
      <c r="BD4086" s="68">
        <v>46054.1666666667</v>
      </c>
      <c r="BE4086" s="68">
        <v>46082.1666666667</v>
      </c>
      <c r="BF4086" s="0" t="b">
        <v>0</v>
      </c>
      <c r="BG4086" s="0" t="b">
        <v>0</v>
      </c>
      <c r="BH4086" s="0">
        <v>63.75</v>
      </c>
      <c r="BI4086" s="0">
        <v>63.75</v>
      </c>
      <c r="BJ4086" s="0" t="s">
        <v>135</v>
      </c>
    </row>
    <row r="4087">
      <c r="A4087" s="0" t="s">
        <v>4345</v>
      </c>
      <c r="B4087" s="0" t="s">
        <v>652</v>
      </c>
      <c r="C4087" s="0" t="s">
        <v>652</v>
      </c>
      <c r="D4087" s="0" t="s">
        <v>135</v>
      </c>
      <c r="E4087" s="0" t="s">
        <v>3</v>
      </c>
      <c r="F4087" s="0" t="s">
        <v>12</v>
      </c>
      <c r="G4087" s="0" t="s">
        <v>8</v>
      </c>
      <c r="H4087" s="0">
        <v>21</v>
      </c>
      <c r="I4087" s="0">
        <v>0</v>
      </c>
      <c r="J4087" s="0">
        <v>0</v>
      </c>
      <c r="K4087" s="0">
        <v>0</v>
      </c>
      <c r="L4087" s="0">
        <v>0</v>
      </c>
      <c r="M4087" s="0">
        <v>0</v>
      </c>
      <c r="N4087" s="0">
        <v>0</v>
      </c>
      <c r="O4087" s="0">
        <v>0</v>
      </c>
      <c r="P4087" s="0">
        <v>0</v>
      </c>
      <c r="R4087" s="0" t="b">
        <v>0</v>
      </c>
      <c r="S4087" s="0" t="b">
        <v>0</v>
      </c>
      <c r="T4087" s="68">
        <v>46032.4809490741</v>
      </c>
      <c r="U4087" s="68">
        <v>0</v>
      </c>
      <c r="V4087" s="68">
        <v>46075.1668518518</v>
      </c>
      <c r="W4087" s="0">
        <f>IF(IF(B4087="none",1,IF(B4087="Trialer",1,0))+IF(C4087="Customer",1,IF(C4087="Lost",1,0))=2,1,0)</f>
      </c>
      <c r="X4087" s="0" t="s">
        <v>148</v>
      </c>
      <c r="Y4087" s="0" t="s">
        <v>243</v>
      </c>
      <c r="AV4087" s="68"/>
      <c r="AW4087" s="68"/>
      <c r="AY4087" s="27"/>
      <c r="BD4087" s="68">
        <v>46054.1666666667</v>
      </c>
      <c r="BE4087" s="68">
        <v>46082.1666666667</v>
      </c>
      <c r="BF4087" s="0" t="b">
        <v>0</v>
      </c>
      <c r="BG4087" s="0" t="b">
        <v>0</v>
      </c>
      <c r="BH4087" s="0">
        <v>182.25</v>
      </c>
      <c r="BI4087" s="0">
        <v>182.25</v>
      </c>
      <c r="BJ4087" s="0" t="s">
        <v>135</v>
      </c>
    </row>
    <row r="4088">
      <c r="A4088" s="0" t="s">
        <v>4346</v>
      </c>
      <c r="B4088" s="0" t="s">
        <v>652</v>
      </c>
      <c r="C4088" s="0" t="s">
        <v>652</v>
      </c>
      <c r="D4088" s="0" t="s">
        <v>135</v>
      </c>
      <c r="E4088" s="0" t="s">
        <v>3</v>
      </c>
      <c r="F4088" s="0" t="s">
        <v>12</v>
      </c>
      <c r="G4088" s="0" t="s">
        <v>8</v>
      </c>
      <c r="H4088" s="0">
        <v>21</v>
      </c>
      <c r="I4088" s="0">
        <v>0</v>
      </c>
      <c r="J4088" s="0">
        <v>0</v>
      </c>
      <c r="K4088" s="0">
        <v>0</v>
      </c>
      <c r="L4088" s="0">
        <v>0</v>
      </c>
      <c r="M4088" s="0">
        <v>0</v>
      </c>
      <c r="N4088" s="0">
        <v>0</v>
      </c>
      <c r="O4088" s="0">
        <v>0</v>
      </c>
      <c r="P4088" s="0">
        <v>0</v>
      </c>
      <c r="R4088" s="0" t="b">
        <v>0</v>
      </c>
      <c r="S4088" s="0" t="b">
        <v>0</v>
      </c>
      <c r="T4088" s="68">
        <v>46032.4911458333</v>
      </c>
      <c r="U4088" s="68">
        <v>0</v>
      </c>
      <c r="V4088" s="68">
        <v>46075.1668287037</v>
      </c>
      <c r="W4088" s="0">
        <f>IF(IF(B4088="none",1,IF(B4088="Trialer",1,0))+IF(C4088="Customer",1,IF(C4088="Lost",1,0))=2,1,0)</f>
      </c>
      <c r="X4088" s="0" t="s">
        <v>145</v>
      </c>
      <c r="Y4088" s="0" t="s">
        <v>1792</v>
      </c>
      <c r="AV4088" s="68"/>
      <c r="AW4088" s="68"/>
      <c r="AY4088" s="27"/>
      <c r="BD4088" s="68">
        <v>46054.1666666667</v>
      </c>
      <c r="BE4088" s="68">
        <v>46082.1666666667</v>
      </c>
      <c r="BF4088" s="0" t="b">
        <v>0</v>
      </c>
      <c r="BG4088" s="0" t="b">
        <v>0</v>
      </c>
      <c r="BH4088" s="0">
        <v>127.5</v>
      </c>
      <c r="BI4088" s="0">
        <v>127.5</v>
      </c>
      <c r="BJ4088" s="0" t="s">
        <v>135</v>
      </c>
    </row>
    <row r="4089">
      <c r="A4089" s="0" t="s">
        <v>4347</v>
      </c>
      <c r="B4089" s="0" t="s">
        <v>134</v>
      </c>
      <c r="C4089" s="0" t="s">
        <v>190</v>
      </c>
      <c r="D4089" s="0" t="s">
        <v>135</v>
      </c>
      <c r="E4089" s="0" t="s">
        <v>4</v>
      </c>
      <c r="F4089" s="0" t="s">
        <v>12</v>
      </c>
      <c r="G4089" s="0" t="s">
        <v>8</v>
      </c>
      <c r="H4089" s="0">
        <v>21</v>
      </c>
      <c r="I4089" s="0">
        <v>0</v>
      </c>
      <c r="J4089" s="0">
        <v>-126.2</v>
      </c>
      <c r="K4089" s="0">
        <v>0</v>
      </c>
      <c r="L4089" s="0">
        <v>0</v>
      </c>
      <c r="M4089" s="0">
        <v>0</v>
      </c>
      <c r="N4089" s="0">
        <v>0</v>
      </c>
      <c r="O4089" s="0">
        <v>0</v>
      </c>
      <c r="P4089" s="0">
        <v>-1514.4</v>
      </c>
      <c r="R4089" s="0" t="b">
        <v>0</v>
      </c>
      <c r="S4089" s="0" t="b">
        <v>0</v>
      </c>
      <c r="T4089" s="68">
        <v>46032.5772916667</v>
      </c>
      <c r="U4089" s="68">
        <v>46050.2916666667</v>
      </c>
      <c r="V4089" s="68">
        <v>46073.4676967593</v>
      </c>
      <c r="W4089" s="0">
        <f>IF(IF(B4089="none",1,IF(B4089="Trialer",1,0))+IF(C4089="Customer",1,IF(C4089="Lost",1,0))=2,1,0)</f>
      </c>
      <c r="X4089" s="0" t="s">
        <v>1461</v>
      </c>
      <c r="Y4089" s="0" t="s">
        <v>1772</v>
      </c>
      <c r="AV4089" s="68"/>
      <c r="AW4089" s="68"/>
      <c r="AY4089" s="27"/>
      <c r="BD4089" s="68">
        <v>46054.1666666667</v>
      </c>
      <c r="BE4089" s="68">
        <v>46082.1666666667</v>
      </c>
      <c r="BF4089" s="0" t="b">
        <v>0</v>
      </c>
      <c r="BG4089" s="0" t="b">
        <v>0</v>
      </c>
      <c r="BH4089" s="0">
        <v>178</v>
      </c>
      <c r="BI4089" s="0">
        <v>178</v>
      </c>
      <c r="BJ4089" s="0" t="s">
        <v>135</v>
      </c>
    </row>
    <row r="4090">
      <c r="A4090" s="0" t="s">
        <v>4348</v>
      </c>
      <c r="B4090" s="0" t="s">
        <v>652</v>
      </c>
      <c r="C4090" s="0" t="s">
        <v>652</v>
      </c>
      <c r="D4090" s="0" t="s">
        <v>135</v>
      </c>
      <c r="E4090" s="0" t="s">
        <v>2414</v>
      </c>
      <c r="F4090" s="0" t="s">
        <v>12</v>
      </c>
      <c r="G4090" s="0" t="s">
        <v>8</v>
      </c>
      <c r="H4090" s="0">
        <v>21</v>
      </c>
      <c r="I4090" s="0">
        <v>0</v>
      </c>
      <c r="J4090" s="0">
        <v>0</v>
      </c>
      <c r="K4090" s="0">
        <v>0</v>
      </c>
      <c r="L4090" s="0">
        <v>0</v>
      </c>
      <c r="M4090" s="0">
        <v>0</v>
      </c>
      <c r="N4090" s="0">
        <v>0</v>
      </c>
      <c r="O4090" s="0">
        <v>0</v>
      </c>
      <c r="P4090" s="0">
        <v>0</v>
      </c>
      <c r="R4090" s="0" t="b">
        <v>0</v>
      </c>
      <c r="S4090" s="0" t="b">
        <v>0</v>
      </c>
      <c r="T4090" s="68">
        <v>46032.5972800926</v>
      </c>
      <c r="U4090" s="68">
        <v>0</v>
      </c>
      <c r="V4090" s="68">
        <v>46075.1669212963</v>
      </c>
      <c r="W4090" s="0">
        <f>IF(IF(B4090="none",1,IF(B4090="Trialer",1,0))+IF(C4090="Customer",1,IF(C4090="Lost",1,0))=2,1,0)</f>
      </c>
      <c r="X4090" s="0" t="s">
        <v>148</v>
      </c>
      <c r="Y4090" s="0" t="s">
        <v>1516</v>
      </c>
      <c r="AV4090" s="68"/>
      <c r="AW4090" s="68"/>
      <c r="AY4090" s="27"/>
      <c r="BD4090" s="68">
        <v>46054.1666666667</v>
      </c>
      <c r="BE4090" s="68">
        <v>46082.1666666667</v>
      </c>
      <c r="BF4090" s="0" t="b">
        <v>0</v>
      </c>
      <c r="BG4090" s="0" t="b">
        <v>0</v>
      </c>
      <c r="BH4090" s="0">
        <v>44.25</v>
      </c>
      <c r="BI4090" s="0">
        <v>44.25</v>
      </c>
      <c r="BJ4090" s="0" t="s">
        <v>135</v>
      </c>
    </row>
    <row r="4091">
      <c r="A4091" s="0" t="s">
        <v>4349</v>
      </c>
      <c r="B4091" s="0" t="s">
        <v>134</v>
      </c>
      <c r="C4091" s="0" t="s">
        <v>134</v>
      </c>
      <c r="D4091" s="0" t="s">
        <v>230</v>
      </c>
      <c r="E4091" s="0" t="s">
        <v>3</v>
      </c>
      <c r="F4091" s="0" t="s">
        <v>12</v>
      </c>
      <c r="G4091" s="0" t="s">
        <v>8</v>
      </c>
      <c r="H4091" s="0">
        <v>21</v>
      </c>
      <c r="I4091" s="0">
        <v>177.7</v>
      </c>
      <c r="J4091" s="0">
        <v>0</v>
      </c>
      <c r="K4091" s="0">
        <v>1</v>
      </c>
      <c r="L4091" s="0">
        <v>5</v>
      </c>
      <c r="M4091" s="0">
        <v>3</v>
      </c>
      <c r="N4091" s="0">
        <v>0</v>
      </c>
      <c r="O4091" s="0">
        <v>0</v>
      </c>
      <c r="P4091" s="0">
        <v>-177.7</v>
      </c>
      <c r="R4091" s="0" t="b">
        <v>0</v>
      </c>
      <c r="S4091" s="0" t="b">
        <v>1</v>
      </c>
      <c r="T4091" s="68">
        <v>46032.9535185185</v>
      </c>
      <c r="U4091" s="68">
        <v>46046.2916666667</v>
      </c>
      <c r="V4091" s="68">
        <v>0</v>
      </c>
      <c r="W4091" s="0">
        <f>IF(IF(B4091="none",1,IF(B4091="Trialer",1,0))+IF(C4091="Customer",1,IF(C4091="Lost",1,0))=2,1,0)</f>
      </c>
      <c r="X4091" s="0" t="s">
        <v>1461</v>
      </c>
      <c r="Y4091" s="0" t="s">
        <v>243</v>
      </c>
      <c r="AV4091" s="68"/>
      <c r="AW4091" s="68"/>
      <c r="AY4091" s="27"/>
      <c r="BD4091" s="68">
        <v>46054.1666666667</v>
      </c>
      <c r="BE4091" s="68">
        <v>46082.1666666667</v>
      </c>
      <c r="BF4091" s="0" t="b">
        <v>0</v>
      </c>
      <c r="BG4091" s="0" t="b">
        <v>0</v>
      </c>
      <c r="BH4091" s="0">
        <v>201</v>
      </c>
      <c r="BI4091" s="0">
        <v>201</v>
      </c>
      <c r="BJ4091" s="0" t="s">
        <v>230</v>
      </c>
    </row>
    <row r="4092">
      <c r="A4092" s="0" t="s">
        <v>4350</v>
      </c>
      <c r="B4092" s="0" t="s">
        <v>652</v>
      </c>
      <c r="C4092" s="0" t="s">
        <v>652</v>
      </c>
      <c r="D4092" s="0" t="s">
        <v>135</v>
      </c>
      <c r="E4092" s="0" t="s">
        <v>3</v>
      </c>
      <c r="F4092" s="0" t="s">
        <v>12</v>
      </c>
      <c r="G4092" s="0" t="s">
        <v>8</v>
      </c>
      <c r="H4092" s="0">
        <v>20</v>
      </c>
      <c r="I4092" s="0">
        <v>0</v>
      </c>
      <c r="J4092" s="0">
        <v>0</v>
      </c>
      <c r="K4092" s="0">
        <v>0</v>
      </c>
      <c r="L4092" s="0">
        <v>0</v>
      </c>
      <c r="M4092" s="0">
        <v>0</v>
      </c>
      <c r="N4092" s="0">
        <v>0</v>
      </c>
      <c r="O4092" s="0">
        <v>0</v>
      </c>
      <c r="P4092" s="0">
        <v>0</v>
      </c>
      <c r="R4092" s="0" t="b">
        <v>0</v>
      </c>
      <c r="S4092" s="0" t="b">
        <v>0</v>
      </c>
      <c r="T4092" s="68">
        <v>46033.0097685185</v>
      </c>
      <c r="U4092" s="68">
        <v>0</v>
      </c>
      <c r="V4092" s="68">
        <v>46075.166875</v>
      </c>
      <c r="W4092" s="0">
        <f>IF(IF(B4092="none",1,IF(B4092="Trialer",1,0))+IF(C4092="Customer",1,IF(C4092="Lost",1,0))=2,1,0)</f>
      </c>
      <c r="X4092" s="0" t="s">
        <v>145</v>
      </c>
      <c r="Y4092" s="0" t="s">
        <v>243</v>
      </c>
      <c r="AV4092" s="68"/>
      <c r="AW4092" s="68"/>
      <c r="AY4092" s="27"/>
      <c r="BD4092" s="68">
        <v>46054.1666666667</v>
      </c>
      <c r="BE4092" s="68">
        <v>46082.1666666667</v>
      </c>
      <c r="BF4092" s="0" t="b">
        <v>0</v>
      </c>
      <c r="BG4092" s="0" t="b">
        <v>0</v>
      </c>
      <c r="BH4092" s="0">
        <v>53.25</v>
      </c>
      <c r="BI4092" s="0">
        <v>53.25</v>
      </c>
      <c r="BJ4092" s="0" t="s">
        <v>135</v>
      </c>
    </row>
    <row r="4093">
      <c r="A4093" s="0" t="s">
        <v>4351</v>
      </c>
      <c r="B4093" s="0" t="s">
        <v>652</v>
      </c>
      <c r="C4093" s="0" t="s">
        <v>652</v>
      </c>
      <c r="D4093" s="0" t="s">
        <v>135</v>
      </c>
      <c r="E4093" s="0" t="s">
        <v>3</v>
      </c>
      <c r="F4093" s="0" t="s">
        <v>12</v>
      </c>
      <c r="G4093" s="0" t="s">
        <v>8</v>
      </c>
      <c r="H4093" s="0">
        <v>20</v>
      </c>
      <c r="I4093" s="0">
        <v>0</v>
      </c>
      <c r="J4093" s="0">
        <v>0</v>
      </c>
      <c r="K4093" s="0">
        <v>0</v>
      </c>
      <c r="L4093" s="0">
        <v>0</v>
      </c>
      <c r="M4093" s="0">
        <v>0</v>
      </c>
      <c r="N4093" s="0">
        <v>0</v>
      </c>
      <c r="O4093" s="0">
        <v>0</v>
      </c>
      <c r="P4093" s="0">
        <v>0</v>
      </c>
      <c r="R4093" s="0" t="b">
        <v>0</v>
      </c>
      <c r="S4093" s="0" t="b">
        <v>0</v>
      </c>
      <c r="T4093" s="68">
        <v>46033.0166666667</v>
      </c>
      <c r="U4093" s="68">
        <v>0</v>
      </c>
      <c r="V4093" s="68">
        <v>46075.1668055556</v>
      </c>
      <c r="W4093" s="0">
        <f>IF(IF(B4093="none",1,IF(B4093="Trialer",1,0))+IF(C4093="Customer",1,IF(C4093="Lost",1,0))=2,1,0)</f>
      </c>
      <c r="X4093" s="0" t="s">
        <v>136</v>
      </c>
      <c r="Y4093" s="0" t="s">
        <v>243</v>
      </c>
      <c r="AV4093" s="68"/>
      <c r="AW4093" s="68"/>
      <c r="AY4093" s="27"/>
      <c r="BD4093" s="68">
        <v>46054.1666666667</v>
      </c>
      <c r="BE4093" s="68">
        <v>46082.1666666667</v>
      </c>
      <c r="BF4093" s="0" t="b">
        <v>0</v>
      </c>
      <c r="BG4093" s="0" t="b">
        <v>0</v>
      </c>
      <c r="BH4093" s="0">
        <v>44.25</v>
      </c>
      <c r="BI4093" s="0">
        <v>44.25</v>
      </c>
      <c r="BJ4093" s="0" t="s">
        <v>135</v>
      </c>
    </row>
    <row r="4094">
      <c r="A4094" s="0" t="s">
        <v>4352</v>
      </c>
      <c r="B4094" s="0" t="s">
        <v>652</v>
      </c>
      <c r="C4094" s="0" t="s">
        <v>652</v>
      </c>
      <c r="D4094" s="0" t="s">
        <v>135</v>
      </c>
      <c r="E4094" s="0" t="s">
        <v>2414</v>
      </c>
      <c r="F4094" s="0" t="s">
        <v>12</v>
      </c>
      <c r="G4094" s="0" t="s">
        <v>8</v>
      </c>
      <c r="H4094" s="0">
        <v>20</v>
      </c>
      <c r="I4094" s="0">
        <v>0</v>
      </c>
      <c r="J4094" s="0">
        <v>0</v>
      </c>
      <c r="K4094" s="0">
        <v>0</v>
      </c>
      <c r="L4094" s="0">
        <v>0</v>
      </c>
      <c r="M4094" s="0">
        <v>0</v>
      </c>
      <c r="N4094" s="0">
        <v>0</v>
      </c>
      <c r="O4094" s="0">
        <v>0</v>
      </c>
      <c r="P4094" s="0">
        <v>0</v>
      </c>
      <c r="R4094" s="0" t="b">
        <v>0</v>
      </c>
      <c r="S4094" s="0" t="b">
        <v>0</v>
      </c>
      <c r="T4094" s="68">
        <v>46033.0753935185</v>
      </c>
      <c r="U4094" s="68">
        <v>0</v>
      </c>
      <c r="V4094" s="68">
        <v>46075.1669444444</v>
      </c>
      <c r="W4094" s="0">
        <f>IF(IF(B4094="none",1,IF(B4094="Trialer",1,0))+IF(C4094="Customer",1,IF(C4094="Lost",1,0))=2,1,0)</f>
      </c>
      <c r="X4094" s="0" t="s">
        <v>148</v>
      </c>
      <c r="Y4094" s="0" t="s">
        <v>1516</v>
      </c>
      <c r="AV4094" s="68"/>
      <c r="AW4094" s="68"/>
      <c r="AY4094" s="27"/>
      <c r="BD4094" s="68">
        <v>46054.1666666667</v>
      </c>
      <c r="BE4094" s="68">
        <v>46082.1666666667</v>
      </c>
      <c r="BF4094" s="0" t="b">
        <v>0</v>
      </c>
      <c r="BG4094" s="0" t="b">
        <v>0</v>
      </c>
      <c r="BH4094" s="0">
        <v>44.25</v>
      </c>
      <c r="BI4094" s="0">
        <v>44.25</v>
      </c>
      <c r="BJ4094" s="0" t="s">
        <v>135</v>
      </c>
    </row>
    <row r="4095">
      <c r="A4095" s="0" t="s">
        <v>4353</v>
      </c>
      <c r="B4095" s="0" t="s">
        <v>652</v>
      </c>
      <c r="C4095" s="0" t="s">
        <v>652</v>
      </c>
      <c r="D4095" s="0" t="s">
        <v>135</v>
      </c>
      <c r="E4095" s="0" t="s">
        <v>3</v>
      </c>
      <c r="F4095" s="0" t="s">
        <v>12</v>
      </c>
      <c r="G4095" s="0" t="s">
        <v>8</v>
      </c>
      <c r="H4095" s="0">
        <v>20</v>
      </c>
      <c r="I4095" s="0">
        <v>0</v>
      </c>
      <c r="J4095" s="0">
        <v>0</v>
      </c>
      <c r="K4095" s="0">
        <v>0</v>
      </c>
      <c r="L4095" s="0">
        <v>0</v>
      </c>
      <c r="M4095" s="0">
        <v>0</v>
      </c>
      <c r="N4095" s="0">
        <v>0</v>
      </c>
      <c r="O4095" s="0">
        <v>0</v>
      </c>
      <c r="P4095" s="0">
        <v>0</v>
      </c>
      <c r="R4095" s="0" t="b">
        <v>0</v>
      </c>
      <c r="S4095" s="0" t="b">
        <v>0</v>
      </c>
      <c r="T4095" s="68">
        <v>46033.3115856481</v>
      </c>
      <c r="U4095" s="68">
        <v>0</v>
      </c>
      <c r="V4095" s="68">
        <v>46076.1668055556</v>
      </c>
      <c r="W4095" s="0">
        <f>IF(IF(B4095="none",1,IF(B4095="Trialer",1,0))+IF(C4095="Customer",1,IF(C4095="Lost",1,0))=2,1,0)</f>
      </c>
      <c r="X4095" s="0" t="s">
        <v>145</v>
      </c>
      <c r="Y4095" s="0" t="s">
        <v>243</v>
      </c>
      <c r="AV4095" s="68"/>
      <c r="AW4095" s="68"/>
      <c r="AY4095" s="27"/>
      <c r="BD4095" s="68">
        <v>46054.1666666667</v>
      </c>
      <c r="BE4095" s="68">
        <v>46082.1666666667</v>
      </c>
      <c r="BF4095" s="0" t="b">
        <v>0</v>
      </c>
      <c r="BG4095" s="0" t="b">
        <v>0</v>
      </c>
      <c r="BH4095" s="0">
        <v>63.75</v>
      </c>
      <c r="BI4095" s="0">
        <v>63.75</v>
      </c>
      <c r="BJ4095" s="0" t="s">
        <v>135</v>
      </c>
    </row>
    <row r="4096">
      <c r="A4096" s="0" t="s">
        <v>4354</v>
      </c>
      <c r="B4096" s="0" t="s">
        <v>652</v>
      </c>
      <c r="C4096" s="0" t="s">
        <v>652</v>
      </c>
      <c r="D4096" s="0" t="s">
        <v>135</v>
      </c>
      <c r="E4096" s="0" t="s">
        <v>4</v>
      </c>
      <c r="F4096" s="0" t="s">
        <v>12</v>
      </c>
      <c r="G4096" s="0" t="s">
        <v>8</v>
      </c>
      <c r="H4096" s="0">
        <v>20</v>
      </c>
      <c r="I4096" s="0">
        <v>0</v>
      </c>
      <c r="J4096" s="0">
        <v>0</v>
      </c>
      <c r="K4096" s="0">
        <v>0</v>
      </c>
      <c r="L4096" s="0">
        <v>0</v>
      </c>
      <c r="M4096" s="0">
        <v>0</v>
      </c>
      <c r="N4096" s="0">
        <v>0</v>
      </c>
      <c r="O4096" s="0">
        <v>0</v>
      </c>
      <c r="P4096" s="0">
        <v>0</v>
      </c>
      <c r="R4096" s="0" t="b">
        <v>0</v>
      </c>
      <c r="S4096" s="0" t="b">
        <v>0</v>
      </c>
      <c r="T4096" s="68">
        <v>46033.4640740741</v>
      </c>
      <c r="U4096" s="68">
        <v>0</v>
      </c>
      <c r="V4096" s="68">
        <v>46076.1667708333</v>
      </c>
      <c r="W4096" s="0">
        <f>IF(IF(B4096="none",1,IF(B4096="Trialer",1,0))+IF(C4096="Customer",1,IF(C4096="Lost",1,0))=2,1,0)</f>
      </c>
      <c r="X4096" s="0" t="s">
        <v>136</v>
      </c>
      <c r="Y4096" s="0" t="s">
        <v>1772</v>
      </c>
      <c r="AV4096" s="68"/>
      <c r="AW4096" s="68"/>
      <c r="AY4096" s="27"/>
      <c r="BD4096" s="68">
        <v>46054.1666666667</v>
      </c>
      <c r="BE4096" s="68">
        <v>46082.1666666667</v>
      </c>
      <c r="BF4096" s="0" t="b">
        <v>0</v>
      </c>
      <c r="BG4096" s="0" t="b">
        <v>0</v>
      </c>
      <c r="BH4096" s="0">
        <v>53.25</v>
      </c>
      <c r="BI4096" s="0">
        <v>53.25</v>
      </c>
      <c r="BJ4096" s="0" t="s">
        <v>135</v>
      </c>
    </row>
    <row r="4097">
      <c r="A4097" s="0" t="s">
        <v>4355</v>
      </c>
      <c r="B4097" s="0" t="s">
        <v>652</v>
      </c>
      <c r="C4097" s="0" t="s">
        <v>652</v>
      </c>
      <c r="D4097" s="0" t="s">
        <v>135</v>
      </c>
      <c r="E4097" s="0" t="s">
        <v>3</v>
      </c>
      <c r="F4097" s="0" t="s">
        <v>12</v>
      </c>
      <c r="G4097" s="0" t="s">
        <v>8</v>
      </c>
      <c r="H4097" s="0">
        <v>20</v>
      </c>
      <c r="I4097" s="0">
        <v>0</v>
      </c>
      <c r="J4097" s="0">
        <v>0</v>
      </c>
      <c r="K4097" s="0">
        <v>0</v>
      </c>
      <c r="L4097" s="0">
        <v>0</v>
      </c>
      <c r="M4097" s="0">
        <v>0</v>
      </c>
      <c r="N4097" s="0">
        <v>0</v>
      </c>
      <c r="O4097" s="0">
        <v>0</v>
      </c>
      <c r="P4097" s="0">
        <v>0</v>
      </c>
      <c r="R4097" s="0" t="b">
        <v>0</v>
      </c>
      <c r="S4097" s="0" t="b">
        <v>0</v>
      </c>
      <c r="T4097" s="68">
        <v>46033.4783101852</v>
      </c>
      <c r="U4097" s="68">
        <v>0</v>
      </c>
      <c r="V4097" s="68">
        <v>46076.1667592593</v>
      </c>
      <c r="W4097" s="0">
        <f>IF(IF(B4097="none",1,IF(B4097="Trialer",1,0))+IF(C4097="Customer",1,IF(C4097="Lost",1,0))=2,1,0)</f>
      </c>
      <c r="X4097" s="0" t="s">
        <v>148</v>
      </c>
      <c r="Y4097" s="0" t="s">
        <v>243</v>
      </c>
      <c r="AV4097" s="68"/>
      <c r="AW4097" s="68"/>
      <c r="AY4097" s="27"/>
      <c r="BD4097" s="68">
        <v>46054.1666666667</v>
      </c>
      <c r="BE4097" s="68">
        <v>46082.1666666667</v>
      </c>
      <c r="BF4097" s="0" t="b">
        <v>0</v>
      </c>
      <c r="BG4097" s="0" t="b">
        <v>0</v>
      </c>
      <c r="BH4097" s="0">
        <v>159.75</v>
      </c>
      <c r="BI4097" s="0">
        <v>159.75</v>
      </c>
      <c r="BJ4097" s="0" t="s">
        <v>135</v>
      </c>
    </row>
    <row r="4098">
      <c r="A4098" s="0" t="s">
        <v>4356</v>
      </c>
      <c r="B4098" s="0" t="s">
        <v>652</v>
      </c>
      <c r="C4098" s="0" t="s">
        <v>652</v>
      </c>
      <c r="D4098" s="0" t="s">
        <v>135</v>
      </c>
      <c r="E4098" s="0" t="s">
        <v>2</v>
      </c>
      <c r="F4098" s="0" t="s">
        <v>12</v>
      </c>
      <c r="G4098" s="0" t="s">
        <v>8</v>
      </c>
      <c r="H4098" s="0">
        <v>20</v>
      </c>
      <c r="I4098" s="0">
        <v>0</v>
      </c>
      <c r="J4098" s="0">
        <v>0</v>
      </c>
      <c r="K4098" s="0">
        <v>0</v>
      </c>
      <c r="L4098" s="0">
        <v>0</v>
      </c>
      <c r="M4098" s="0">
        <v>0</v>
      </c>
      <c r="N4098" s="0">
        <v>0</v>
      </c>
      <c r="O4098" s="0">
        <v>0</v>
      </c>
      <c r="P4098" s="0">
        <v>0</v>
      </c>
      <c r="R4098" s="0" t="b">
        <v>0</v>
      </c>
      <c r="S4098" s="0" t="b">
        <v>0</v>
      </c>
      <c r="T4098" s="68">
        <v>46033.5264467593</v>
      </c>
      <c r="U4098" s="68">
        <v>0</v>
      </c>
      <c r="V4098" s="68">
        <v>46076.1667708333</v>
      </c>
      <c r="W4098" s="0">
        <f>IF(IF(B4098="none",1,IF(B4098="Trialer",1,0))+IF(C4098="Customer",1,IF(C4098="Lost",1,0))=2,1,0)</f>
      </c>
      <c r="X4098" s="0" t="s">
        <v>145</v>
      </c>
      <c r="Y4098" s="0" t="s">
        <v>499</v>
      </c>
      <c r="AV4098" s="68"/>
      <c r="AW4098" s="68"/>
      <c r="AY4098" s="27"/>
      <c r="BD4098" s="68">
        <v>46054.1666666667</v>
      </c>
      <c r="BE4098" s="68">
        <v>46082.1666666667</v>
      </c>
      <c r="BF4098" s="0" t="b">
        <v>0</v>
      </c>
      <c r="BG4098" s="0" t="b">
        <v>0</v>
      </c>
      <c r="BH4098" s="0">
        <v>44.25</v>
      </c>
      <c r="BI4098" s="0">
        <v>44.25</v>
      </c>
      <c r="BJ4098" s="0" t="s">
        <v>135</v>
      </c>
    </row>
    <row r="4099">
      <c r="A4099" s="0" t="s">
        <v>4357</v>
      </c>
      <c r="B4099" s="0" t="s">
        <v>652</v>
      </c>
      <c r="C4099" s="0" t="s">
        <v>652</v>
      </c>
      <c r="D4099" s="0" t="s">
        <v>135</v>
      </c>
      <c r="E4099" s="0" t="s">
        <v>1515</v>
      </c>
      <c r="F4099" s="0" t="s">
        <v>12</v>
      </c>
      <c r="G4099" s="0" t="s">
        <v>8</v>
      </c>
      <c r="H4099" s="0">
        <v>20</v>
      </c>
      <c r="I4099" s="0">
        <v>0</v>
      </c>
      <c r="J4099" s="0">
        <v>0</v>
      </c>
      <c r="K4099" s="0">
        <v>0</v>
      </c>
      <c r="L4099" s="0">
        <v>0</v>
      </c>
      <c r="M4099" s="0">
        <v>0</v>
      </c>
      <c r="N4099" s="0">
        <v>0</v>
      </c>
      <c r="O4099" s="0">
        <v>0</v>
      </c>
      <c r="P4099" s="0">
        <v>0</v>
      </c>
      <c r="R4099" s="0" t="b">
        <v>0</v>
      </c>
      <c r="S4099" s="0" t="b">
        <v>0</v>
      </c>
      <c r="T4099" s="68">
        <v>46033.5326157407</v>
      </c>
      <c r="U4099" s="68">
        <v>0</v>
      </c>
      <c r="V4099" s="68">
        <v>46076.1667939815</v>
      </c>
      <c r="W4099" s="0">
        <f>IF(IF(B4099="none",1,IF(B4099="Trialer",1,0))+IF(C4099="Customer",1,IF(C4099="Lost",1,0))=2,1,0)</f>
      </c>
      <c r="X4099" s="0" t="s">
        <v>136</v>
      </c>
      <c r="Y4099" s="0" t="s">
        <v>1516</v>
      </c>
      <c r="AV4099" s="68"/>
      <c r="AW4099" s="68"/>
      <c r="AY4099" s="27"/>
      <c r="BD4099" s="68">
        <v>46054.1666666667</v>
      </c>
      <c r="BE4099" s="68">
        <v>46082.1666666667</v>
      </c>
      <c r="BF4099" s="0" t="b">
        <v>0</v>
      </c>
      <c r="BG4099" s="0" t="b">
        <v>0</v>
      </c>
      <c r="BH4099" s="0">
        <v>44.25</v>
      </c>
      <c r="BI4099" s="0">
        <v>44.25</v>
      </c>
      <c r="BJ4099" s="0" t="s">
        <v>135</v>
      </c>
    </row>
    <row r="4100">
      <c r="A4100" s="0" t="s">
        <v>4358</v>
      </c>
      <c r="B4100" s="0" t="s">
        <v>652</v>
      </c>
      <c r="C4100" s="0" t="s">
        <v>652</v>
      </c>
      <c r="D4100" s="0" t="s">
        <v>135</v>
      </c>
      <c r="E4100" s="0" t="s">
        <v>3</v>
      </c>
      <c r="F4100" s="0" t="s">
        <v>12</v>
      </c>
      <c r="G4100" s="0" t="s">
        <v>8</v>
      </c>
      <c r="H4100" s="0">
        <v>20</v>
      </c>
      <c r="I4100" s="0">
        <v>0</v>
      </c>
      <c r="J4100" s="0">
        <v>0</v>
      </c>
      <c r="K4100" s="0">
        <v>0</v>
      </c>
      <c r="L4100" s="0">
        <v>0</v>
      </c>
      <c r="M4100" s="0">
        <v>0</v>
      </c>
      <c r="N4100" s="0">
        <v>0</v>
      </c>
      <c r="O4100" s="0">
        <v>0</v>
      </c>
      <c r="P4100" s="0">
        <v>0</v>
      </c>
      <c r="R4100" s="0" t="b">
        <v>0</v>
      </c>
      <c r="S4100" s="0" t="b">
        <v>0</v>
      </c>
      <c r="T4100" s="68">
        <v>46033.6060763889</v>
      </c>
      <c r="U4100" s="68">
        <v>0</v>
      </c>
      <c r="V4100" s="68">
        <v>46076.1667939815</v>
      </c>
      <c r="W4100" s="0">
        <f>IF(IF(B4100="none",1,IF(B4100="Trialer",1,0))+IF(C4100="Customer",1,IF(C4100="Lost",1,0))=2,1,0)</f>
      </c>
      <c r="X4100" s="0" t="s">
        <v>148</v>
      </c>
      <c r="Y4100" s="0" t="s">
        <v>243</v>
      </c>
      <c r="AV4100" s="68"/>
      <c r="AW4100" s="68"/>
      <c r="AY4100" s="27"/>
      <c r="BD4100" s="68">
        <v>46054.1666666667</v>
      </c>
      <c r="BE4100" s="68">
        <v>46082.1666666667</v>
      </c>
      <c r="BF4100" s="0" t="b">
        <v>0</v>
      </c>
      <c r="BG4100" s="0" t="b">
        <v>0</v>
      </c>
      <c r="BH4100" s="0">
        <v>44.25</v>
      </c>
      <c r="BI4100" s="0">
        <v>44.25</v>
      </c>
      <c r="BJ4100" s="0" t="s">
        <v>135</v>
      </c>
    </row>
    <row r="4101">
      <c r="A4101" s="0" t="s">
        <v>4359</v>
      </c>
      <c r="B4101" s="0" t="s">
        <v>652</v>
      </c>
      <c r="C4101" s="0" t="s">
        <v>652</v>
      </c>
      <c r="D4101" s="0" t="s">
        <v>135</v>
      </c>
      <c r="E4101" s="0" t="s">
        <v>3</v>
      </c>
      <c r="F4101" s="0" t="s">
        <v>12</v>
      </c>
      <c r="G4101" s="0" t="s">
        <v>8</v>
      </c>
      <c r="H4101" s="0">
        <v>20</v>
      </c>
      <c r="I4101" s="0">
        <v>0</v>
      </c>
      <c r="J4101" s="0">
        <v>0</v>
      </c>
      <c r="K4101" s="0">
        <v>0</v>
      </c>
      <c r="L4101" s="0">
        <v>0</v>
      </c>
      <c r="M4101" s="0">
        <v>0</v>
      </c>
      <c r="N4101" s="0">
        <v>0</v>
      </c>
      <c r="O4101" s="0">
        <v>0</v>
      </c>
      <c r="P4101" s="0">
        <v>0</v>
      </c>
      <c r="R4101" s="0" t="b">
        <v>0</v>
      </c>
      <c r="S4101" s="0" t="b">
        <v>0</v>
      </c>
      <c r="T4101" s="68">
        <v>46033.6924537037</v>
      </c>
      <c r="U4101" s="68">
        <v>0</v>
      </c>
      <c r="V4101" s="68">
        <v>46072.4783217593</v>
      </c>
      <c r="W4101" s="0">
        <f>IF(IF(B4101="none",1,IF(B4101="Trialer",1,0))+IF(C4101="Customer",1,IF(C4101="Lost",1,0))=2,1,0)</f>
      </c>
      <c r="X4101" s="0" t="s">
        <v>145</v>
      </c>
      <c r="Y4101" s="0" t="s">
        <v>243</v>
      </c>
      <c r="AV4101" s="68"/>
      <c r="AW4101" s="68"/>
      <c r="AY4101" s="27"/>
      <c r="BD4101" s="68">
        <v>46054.1666666667</v>
      </c>
      <c r="BE4101" s="68">
        <v>46082.1666666667</v>
      </c>
      <c r="BF4101" s="0" t="b">
        <v>0</v>
      </c>
      <c r="BG4101" s="0" t="b">
        <v>0</v>
      </c>
      <c r="BH4101" s="0">
        <v>63.75</v>
      </c>
      <c r="BI4101" s="0">
        <v>63.75</v>
      </c>
      <c r="BJ4101" s="0" t="s">
        <v>135</v>
      </c>
    </row>
    <row r="4102">
      <c r="A4102" s="0" t="s">
        <v>4360</v>
      </c>
      <c r="B4102" s="0" t="s">
        <v>652</v>
      </c>
      <c r="C4102" s="0" t="s">
        <v>652</v>
      </c>
      <c r="D4102" s="0" t="s">
        <v>135</v>
      </c>
      <c r="E4102" s="0" t="s">
        <v>3</v>
      </c>
      <c r="F4102" s="0" t="s">
        <v>12</v>
      </c>
      <c r="G4102" s="0" t="s">
        <v>8</v>
      </c>
      <c r="H4102" s="0">
        <v>20</v>
      </c>
      <c r="I4102" s="0">
        <v>0</v>
      </c>
      <c r="J4102" s="0">
        <v>0</v>
      </c>
      <c r="K4102" s="0">
        <v>0</v>
      </c>
      <c r="L4102" s="0">
        <v>0</v>
      </c>
      <c r="M4102" s="0">
        <v>0</v>
      </c>
      <c r="N4102" s="0">
        <v>0</v>
      </c>
      <c r="O4102" s="0">
        <v>0</v>
      </c>
      <c r="P4102" s="0">
        <v>0</v>
      </c>
      <c r="R4102" s="0" t="b">
        <v>0</v>
      </c>
      <c r="S4102" s="0" t="b">
        <v>0</v>
      </c>
      <c r="T4102" s="68">
        <v>46033.7317939815</v>
      </c>
      <c r="U4102" s="68">
        <v>0</v>
      </c>
      <c r="V4102" s="68">
        <v>46076.1667013889</v>
      </c>
      <c r="W4102" s="0">
        <f>IF(IF(B4102="none",1,IF(B4102="Trialer",1,0))+IF(C4102="Customer",1,IF(C4102="Lost",1,0))=2,1,0)</f>
      </c>
      <c r="X4102" s="0" t="s">
        <v>148</v>
      </c>
      <c r="Y4102" s="0" t="s">
        <v>243</v>
      </c>
      <c r="AV4102" s="68"/>
      <c r="AW4102" s="68"/>
      <c r="AY4102" s="27"/>
      <c r="BD4102" s="68">
        <v>46054.1666666667</v>
      </c>
      <c r="BE4102" s="68">
        <v>46082.1666666667</v>
      </c>
      <c r="BF4102" s="0" t="b">
        <v>0</v>
      </c>
      <c r="BG4102" s="0" t="b">
        <v>0</v>
      </c>
      <c r="BH4102" s="0">
        <v>44.25</v>
      </c>
      <c r="BI4102" s="0">
        <v>44.25</v>
      </c>
      <c r="BJ4102" s="0" t="s">
        <v>135</v>
      </c>
    </row>
    <row r="4103">
      <c r="A4103" s="0" t="s">
        <v>4361</v>
      </c>
      <c r="B4103" s="0" t="s">
        <v>652</v>
      </c>
      <c r="C4103" s="0" t="s">
        <v>652</v>
      </c>
      <c r="D4103" s="0" t="s">
        <v>135</v>
      </c>
      <c r="E4103" s="0" t="s">
        <v>3</v>
      </c>
      <c r="F4103" s="0" t="s">
        <v>12</v>
      </c>
      <c r="G4103" s="0" t="s">
        <v>8</v>
      </c>
      <c r="H4103" s="0">
        <v>20</v>
      </c>
      <c r="I4103" s="0">
        <v>0</v>
      </c>
      <c r="J4103" s="0">
        <v>0</v>
      </c>
      <c r="K4103" s="0">
        <v>0</v>
      </c>
      <c r="L4103" s="0">
        <v>0</v>
      </c>
      <c r="M4103" s="0">
        <v>0</v>
      </c>
      <c r="N4103" s="0">
        <v>0</v>
      </c>
      <c r="O4103" s="0">
        <v>0</v>
      </c>
      <c r="P4103" s="0">
        <v>0</v>
      </c>
      <c r="R4103" s="0" t="b">
        <v>0</v>
      </c>
      <c r="S4103" s="0" t="b">
        <v>0</v>
      </c>
      <c r="T4103" s="68">
        <v>46033.8382175926</v>
      </c>
      <c r="U4103" s="68">
        <v>0</v>
      </c>
      <c r="V4103" s="68">
        <v>46076.166724537</v>
      </c>
      <c r="W4103" s="0">
        <f>IF(IF(B4103="none",1,IF(B4103="Trialer",1,0))+IF(C4103="Customer",1,IF(C4103="Lost",1,0))=2,1,0)</f>
      </c>
      <c r="X4103" s="0" t="s">
        <v>136</v>
      </c>
      <c r="Y4103" s="0" t="s">
        <v>243</v>
      </c>
      <c r="AV4103" s="68"/>
      <c r="AW4103" s="68"/>
      <c r="AY4103" s="27"/>
      <c r="BD4103" s="68">
        <v>46054.1666666667</v>
      </c>
      <c r="BE4103" s="68">
        <v>46082.1666666667</v>
      </c>
      <c r="BF4103" s="0" t="b">
        <v>0</v>
      </c>
      <c r="BG4103" s="0" t="b">
        <v>0</v>
      </c>
      <c r="BH4103" s="0">
        <v>44.25</v>
      </c>
      <c r="BI4103" s="0">
        <v>44.25</v>
      </c>
      <c r="BJ4103" s="0" t="s">
        <v>135</v>
      </c>
    </row>
    <row r="4104">
      <c r="A4104" s="0" t="s">
        <v>4362</v>
      </c>
      <c r="B4104" s="0" t="s">
        <v>652</v>
      </c>
      <c r="C4104" s="0" t="s">
        <v>652</v>
      </c>
      <c r="D4104" s="0" t="s">
        <v>135</v>
      </c>
      <c r="E4104" s="0" t="s">
        <v>2</v>
      </c>
      <c r="F4104" s="0" t="s">
        <v>12</v>
      </c>
      <c r="G4104" s="0" t="s">
        <v>8</v>
      </c>
      <c r="H4104" s="0">
        <v>20</v>
      </c>
      <c r="I4104" s="0">
        <v>0</v>
      </c>
      <c r="J4104" s="0">
        <v>0</v>
      </c>
      <c r="K4104" s="0">
        <v>0</v>
      </c>
      <c r="L4104" s="0">
        <v>0</v>
      </c>
      <c r="M4104" s="0">
        <v>0</v>
      </c>
      <c r="N4104" s="0">
        <v>0</v>
      </c>
      <c r="O4104" s="0">
        <v>0</v>
      </c>
      <c r="P4104" s="0">
        <v>0</v>
      </c>
      <c r="R4104" s="0" t="b">
        <v>0</v>
      </c>
      <c r="S4104" s="0" t="b">
        <v>0</v>
      </c>
      <c r="T4104" s="68">
        <v>46033.8921527778</v>
      </c>
      <c r="U4104" s="68">
        <v>0</v>
      </c>
      <c r="V4104" s="68">
        <v>46076.1667361111</v>
      </c>
      <c r="W4104" s="0">
        <f>IF(IF(B4104="none",1,IF(B4104="Trialer",1,0))+IF(C4104="Customer",1,IF(C4104="Lost",1,0))=2,1,0)</f>
      </c>
      <c r="X4104" s="0" t="s">
        <v>148</v>
      </c>
      <c r="Y4104" s="0" t="s">
        <v>499</v>
      </c>
      <c r="AV4104" s="68"/>
      <c r="AW4104" s="68"/>
      <c r="AY4104" s="27"/>
      <c r="BD4104" s="68">
        <v>46054.1666666667</v>
      </c>
      <c r="BE4104" s="68">
        <v>46082.1666666667</v>
      </c>
      <c r="BF4104" s="0" t="b">
        <v>0</v>
      </c>
      <c r="BG4104" s="0" t="b">
        <v>0</v>
      </c>
      <c r="BH4104" s="0">
        <v>54.75</v>
      </c>
      <c r="BI4104" s="0">
        <v>54.75</v>
      </c>
      <c r="BJ4104" s="0" t="s">
        <v>135</v>
      </c>
    </row>
    <row r="4105">
      <c r="A4105" s="0" t="s">
        <v>4363</v>
      </c>
      <c r="B4105" s="0" t="s">
        <v>652</v>
      </c>
      <c r="C4105" s="0" t="s">
        <v>652</v>
      </c>
      <c r="D4105" s="0" t="s">
        <v>135</v>
      </c>
      <c r="E4105" s="0" t="s">
        <v>2414</v>
      </c>
      <c r="F4105" s="0" t="s">
        <v>12</v>
      </c>
      <c r="G4105" s="0" t="s">
        <v>8</v>
      </c>
      <c r="H4105" s="0">
        <v>19</v>
      </c>
      <c r="I4105" s="0">
        <v>0</v>
      </c>
      <c r="J4105" s="0">
        <v>0</v>
      </c>
      <c r="K4105" s="0">
        <v>0</v>
      </c>
      <c r="L4105" s="0">
        <v>0</v>
      </c>
      <c r="M4105" s="0">
        <v>0</v>
      </c>
      <c r="N4105" s="0">
        <v>0</v>
      </c>
      <c r="O4105" s="0">
        <v>0</v>
      </c>
      <c r="P4105" s="0">
        <v>0</v>
      </c>
      <c r="R4105" s="0" t="b">
        <v>0</v>
      </c>
      <c r="S4105" s="0" t="b">
        <v>0</v>
      </c>
      <c r="T4105" s="68">
        <v>46034.3453935185</v>
      </c>
      <c r="U4105" s="68">
        <v>0</v>
      </c>
      <c r="V4105" s="68">
        <v>46077.1668402778</v>
      </c>
      <c r="W4105" s="0">
        <f>IF(IF(B4105="none",1,IF(B4105="Trialer",1,0))+IF(C4105="Customer",1,IF(C4105="Lost",1,0))=2,1,0)</f>
      </c>
      <c r="X4105" s="0" t="s">
        <v>145</v>
      </c>
      <c r="Y4105" s="0" t="s">
        <v>1516</v>
      </c>
      <c r="AV4105" s="68"/>
      <c r="AW4105" s="68"/>
      <c r="AY4105" s="27"/>
      <c r="BD4105" s="68">
        <v>46054.1666666667</v>
      </c>
      <c r="BE4105" s="68">
        <v>46082.1666666667</v>
      </c>
      <c r="BF4105" s="0" t="b">
        <v>0</v>
      </c>
      <c r="BG4105" s="0" t="b">
        <v>0</v>
      </c>
      <c r="BH4105" s="0">
        <v>44.25</v>
      </c>
      <c r="BI4105" s="0">
        <v>44.25</v>
      </c>
      <c r="BJ4105" s="0" t="s">
        <v>135</v>
      </c>
    </row>
    <row r="4106">
      <c r="A4106" s="0" t="s">
        <v>4364</v>
      </c>
      <c r="B4106" s="0" t="s">
        <v>652</v>
      </c>
      <c r="C4106" s="0" t="s">
        <v>652</v>
      </c>
      <c r="D4106" s="0" t="s">
        <v>135</v>
      </c>
      <c r="E4106" s="0" t="s">
        <v>1515</v>
      </c>
      <c r="F4106" s="0" t="s">
        <v>12</v>
      </c>
      <c r="G4106" s="0" t="s">
        <v>8</v>
      </c>
      <c r="H4106" s="0">
        <v>19</v>
      </c>
      <c r="I4106" s="0">
        <v>0</v>
      </c>
      <c r="J4106" s="0">
        <v>0</v>
      </c>
      <c r="K4106" s="0">
        <v>0</v>
      </c>
      <c r="L4106" s="0">
        <v>0</v>
      </c>
      <c r="M4106" s="0">
        <v>0</v>
      </c>
      <c r="N4106" s="0">
        <v>0</v>
      </c>
      <c r="O4106" s="0">
        <v>0</v>
      </c>
      <c r="P4106" s="0">
        <v>0</v>
      </c>
      <c r="R4106" s="0" t="b">
        <v>0</v>
      </c>
      <c r="S4106" s="0" t="b">
        <v>0</v>
      </c>
      <c r="T4106" s="68">
        <v>46034.3804166667</v>
      </c>
      <c r="U4106" s="68">
        <v>0</v>
      </c>
      <c r="V4106" s="68">
        <v>46077.1667361111</v>
      </c>
      <c r="W4106" s="0">
        <f>IF(IF(B4106="none",1,IF(B4106="Trialer",1,0))+IF(C4106="Customer",1,IF(C4106="Lost",1,0))=2,1,0)</f>
      </c>
      <c r="X4106" s="0" t="s">
        <v>136</v>
      </c>
      <c r="Y4106" s="0" t="s">
        <v>1516</v>
      </c>
      <c r="AV4106" s="68"/>
      <c r="AW4106" s="68"/>
      <c r="AY4106" s="27"/>
      <c r="BD4106" s="68">
        <v>46054.1666666667</v>
      </c>
      <c r="BE4106" s="68">
        <v>46082.1666666667</v>
      </c>
      <c r="BF4106" s="0" t="b">
        <v>0</v>
      </c>
      <c r="BG4106" s="0" t="b">
        <v>0</v>
      </c>
      <c r="BH4106" s="0">
        <v>44.25</v>
      </c>
      <c r="BI4106" s="0">
        <v>44.25</v>
      </c>
      <c r="BJ4106" s="0" t="s">
        <v>135</v>
      </c>
    </row>
    <row r="4107">
      <c r="A4107" s="0" t="s">
        <v>4365</v>
      </c>
      <c r="B4107" s="0" t="s">
        <v>652</v>
      </c>
      <c r="C4107" s="0" t="s">
        <v>652</v>
      </c>
      <c r="D4107" s="0" t="s">
        <v>135</v>
      </c>
      <c r="E4107" s="0" t="s">
        <v>2414</v>
      </c>
      <c r="F4107" s="0" t="s">
        <v>12</v>
      </c>
      <c r="G4107" s="0" t="s">
        <v>8</v>
      </c>
      <c r="H4107" s="0">
        <v>19</v>
      </c>
      <c r="I4107" s="0">
        <v>0</v>
      </c>
      <c r="J4107" s="0">
        <v>0</v>
      </c>
      <c r="K4107" s="0">
        <v>0</v>
      </c>
      <c r="L4107" s="0">
        <v>0</v>
      </c>
      <c r="M4107" s="0">
        <v>0</v>
      </c>
      <c r="N4107" s="0">
        <v>0</v>
      </c>
      <c r="O4107" s="0">
        <v>0</v>
      </c>
      <c r="P4107" s="0">
        <v>0</v>
      </c>
      <c r="R4107" s="0" t="b">
        <v>0</v>
      </c>
      <c r="S4107" s="0" t="b">
        <v>0</v>
      </c>
      <c r="T4107" s="68">
        <v>46034.4313078704</v>
      </c>
      <c r="U4107" s="68">
        <v>0</v>
      </c>
      <c r="V4107" s="68">
        <v>46077.1667013889</v>
      </c>
      <c r="W4107" s="0">
        <f>IF(IF(B4107="none",1,IF(B4107="Trialer",1,0))+IF(C4107="Customer",1,IF(C4107="Lost",1,0))=2,1,0)</f>
      </c>
      <c r="X4107" s="0" t="s">
        <v>145</v>
      </c>
      <c r="Y4107" s="0" t="s">
        <v>1516</v>
      </c>
      <c r="AV4107" s="68"/>
      <c r="AW4107" s="68"/>
      <c r="AY4107" s="27"/>
      <c r="BD4107" s="68">
        <v>46054.1666666667</v>
      </c>
      <c r="BE4107" s="68">
        <v>46082.1666666667</v>
      </c>
      <c r="BF4107" s="0" t="b">
        <v>0</v>
      </c>
      <c r="BG4107" s="0" t="b">
        <v>0</v>
      </c>
      <c r="BH4107" s="0">
        <v>44.25</v>
      </c>
      <c r="BI4107" s="0">
        <v>44.25</v>
      </c>
      <c r="BJ4107" s="0" t="s">
        <v>135</v>
      </c>
    </row>
    <row r="4108">
      <c r="A4108" s="0" t="s">
        <v>4366</v>
      </c>
      <c r="B4108" s="0" t="s">
        <v>134</v>
      </c>
      <c r="C4108" s="0" t="s">
        <v>134</v>
      </c>
      <c r="D4108" s="0" t="s">
        <v>135</v>
      </c>
      <c r="E4108" s="0" t="s">
        <v>3</v>
      </c>
      <c r="F4108" s="0" t="s">
        <v>12</v>
      </c>
      <c r="G4108" s="0" t="s">
        <v>8</v>
      </c>
      <c r="H4108" s="0">
        <v>19</v>
      </c>
      <c r="I4108" s="0">
        <v>44.25</v>
      </c>
      <c r="J4108" s="0">
        <v>0</v>
      </c>
      <c r="K4108" s="0">
        <v>1</v>
      </c>
      <c r="L4108" s="0">
        <v>3</v>
      </c>
      <c r="M4108" s="0">
        <v>1</v>
      </c>
      <c r="N4108" s="0">
        <v>0</v>
      </c>
      <c r="O4108" s="0">
        <v>0</v>
      </c>
      <c r="P4108" s="0">
        <v>0</v>
      </c>
      <c r="R4108" s="0" t="b">
        <v>0</v>
      </c>
      <c r="S4108" s="0" t="b">
        <v>1</v>
      </c>
      <c r="T4108" s="68">
        <v>46034.436875</v>
      </c>
      <c r="U4108" s="68">
        <v>46050.2916666667</v>
      </c>
      <c r="V4108" s="68">
        <v>0</v>
      </c>
      <c r="W4108" s="0">
        <f>IF(IF(B4108="none",1,IF(B4108="Trialer",1,0))+IF(C4108="Customer",1,IF(C4108="Lost",1,0))=2,1,0)</f>
      </c>
      <c r="X4108" s="0" t="s">
        <v>1461</v>
      </c>
      <c r="Y4108" s="0" t="s">
        <v>243</v>
      </c>
      <c r="AV4108" s="68"/>
      <c r="AW4108" s="68"/>
      <c r="AY4108" s="27"/>
      <c r="BD4108" s="68">
        <v>46054.1666666667</v>
      </c>
      <c r="BE4108" s="68">
        <v>46082.1666666667</v>
      </c>
      <c r="BF4108" s="0" t="b">
        <v>0</v>
      </c>
      <c r="BG4108" s="0" t="b">
        <v>0</v>
      </c>
      <c r="BH4108" s="0">
        <v>44.25</v>
      </c>
      <c r="BI4108" s="0">
        <v>44.25</v>
      </c>
      <c r="BJ4108" s="0" t="s">
        <v>135</v>
      </c>
    </row>
    <row r="4109">
      <c r="A4109" s="0" t="s">
        <v>4367</v>
      </c>
      <c r="B4109" s="0" t="s">
        <v>134</v>
      </c>
      <c r="C4109" s="0" t="s">
        <v>134</v>
      </c>
      <c r="D4109" s="0" t="s">
        <v>135</v>
      </c>
      <c r="E4109" s="0" t="s">
        <v>3</v>
      </c>
      <c r="F4109" s="0" t="s">
        <v>12</v>
      </c>
      <c r="G4109" s="0" t="s">
        <v>8</v>
      </c>
      <c r="H4109" s="0">
        <v>19</v>
      </c>
      <c r="I4109" s="0">
        <v>132.75</v>
      </c>
      <c r="J4109" s="0">
        <v>0</v>
      </c>
      <c r="K4109" s="0">
        <v>1</v>
      </c>
      <c r="L4109" s="0">
        <v>3</v>
      </c>
      <c r="M4109" s="0">
        <v>3</v>
      </c>
      <c r="N4109" s="0">
        <v>0</v>
      </c>
      <c r="O4109" s="0">
        <v>0</v>
      </c>
      <c r="P4109" s="0">
        <v>0</v>
      </c>
      <c r="R4109" s="0" t="b">
        <v>0</v>
      </c>
      <c r="S4109" s="0" t="b">
        <v>1</v>
      </c>
      <c r="T4109" s="68">
        <v>46034.4479282407</v>
      </c>
      <c r="U4109" s="68">
        <v>46048.2916666667</v>
      </c>
      <c r="V4109" s="68">
        <v>0</v>
      </c>
      <c r="W4109" s="0">
        <f>IF(IF(B4109="none",1,IF(B4109="Trialer",1,0))+IF(C4109="Customer",1,IF(C4109="Lost",1,0))=2,1,0)</f>
      </c>
      <c r="X4109" s="0" t="s">
        <v>882</v>
      </c>
      <c r="Y4109" s="0" t="s">
        <v>243</v>
      </c>
      <c r="AV4109" s="68"/>
      <c r="AW4109" s="68"/>
      <c r="AY4109" s="27"/>
      <c r="BD4109" s="68">
        <v>46054.1666666667</v>
      </c>
      <c r="BE4109" s="68">
        <v>46082.1666666667</v>
      </c>
      <c r="BF4109" s="0" t="b">
        <v>0</v>
      </c>
      <c r="BG4109" s="0" t="b">
        <v>0</v>
      </c>
      <c r="BH4109" s="0">
        <v>132.75</v>
      </c>
      <c r="BI4109" s="0">
        <v>132.75</v>
      </c>
      <c r="BJ4109" s="0" t="s">
        <v>135</v>
      </c>
    </row>
    <row r="4110">
      <c r="A4110" s="0" t="s">
        <v>4368</v>
      </c>
      <c r="B4110" s="0" t="s">
        <v>652</v>
      </c>
      <c r="C4110" s="0" t="s">
        <v>652</v>
      </c>
      <c r="D4110" s="0" t="s">
        <v>135</v>
      </c>
      <c r="E4110" s="0" t="s">
        <v>3</v>
      </c>
      <c r="F4110" s="0" t="s">
        <v>12</v>
      </c>
      <c r="G4110" s="0" t="s">
        <v>8</v>
      </c>
      <c r="H4110" s="0">
        <v>19</v>
      </c>
      <c r="I4110" s="0">
        <v>0</v>
      </c>
      <c r="J4110" s="0">
        <v>0</v>
      </c>
      <c r="K4110" s="0">
        <v>0</v>
      </c>
      <c r="L4110" s="0">
        <v>0</v>
      </c>
      <c r="M4110" s="0">
        <v>0</v>
      </c>
      <c r="N4110" s="0">
        <v>0</v>
      </c>
      <c r="O4110" s="0">
        <v>0</v>
      </c>
      <c r="P4110" s="0">
        <v>0</v>
      </c>
      <c r="R4110" s="0" t="b">
        <v>0</v>
      </c>
      <c r="S4110" s="0" t="b">
        <v>0</v>
      </c>
      <c r="T4110" s="68">
        <v>46034.4837037037</v>
      </c>
      <c r="U4110" s="68">
        <v>0</v>
      </c>
      <c r="V4110" s="68">
        <v>46077.1668171296</v>
      </c>
      <c r="W4110" s="0">
        <f>IF(IF(B4110="none",1,IF(B4110="Trialer",1,0))+IF(C4110="Customer",1,IF(C4110="Lost",1,0))=2,1,0)</f>
      </c>
      <c r="X4110" s="0" t="s">
        <v>148</v>
      </c>
      <c r="Y4110" s="0" t="s">
        <v>243</v>
      </c>
      <c r="AV4110" s="68"/>
      <c r="AW4110" s="68"/>
      <c r="AY4110" s="27"/>
      <c r="BD4110" s="68">
        <v>46054.1666666667</v>
      </c>
      <c r="BE4110" s="68">
        <v>46082.1666666667</v>
      </c>
      <c r="BF4110" s="0" t="b">
        <v>0</v>
      </c>
      <c r="BG4110" s="0" t="b">
        <v>0</v>
      </c>
      <c r="BH4110" s="0">
        <v>63.75</v>
      </c>
      <c r="BI4110" s="0">
        <v>63.75</v>
      </c>
      <c r="BJ4110" s="0" t="s">
        <v>135</v>
      </c>
    </row>
    <row r="4111">
      <c r="A4111" s="0" t="s">
        <v>4369</v>
      </c>
      <c r="B4111" s="0" t="s">
        <v>134</v>
      </c>
      <c r="C4111" s="0" t="s">
        <v>134</v>
      </c>
      <c r="D4111" s="0" t="s">
        <v>135</v>
      </c>
      <c r="E4111" s="0" t="s">
        <v>3</v>
      </c>
      <c r="F4111" s="0" t="s">
        <v>12</v>
      </c>
      <c r="G4111" s="0" t="s">
        <v>8</v>
      </c>
      <c r="H4111" s="0">
        <v>19</v>
      </c>
      <c r="I4111" s="0">
        <v>230.25</v>
      </c>
      <c r="J4111" s="0">
        <v>0</v>
      </c>
      <c r="K4111" s="0">
        <v>1</v>
      </c>
      <c r="L4111" s="0">
        <v>4</v>
      </c>
      <c r="M4111" s="0">
        <v>5</v>
      </c>
      <c r="N4111" s="0">
        <v>0</v>
      </c>
      <c r="O4111" s="0">
        <v>0</v>
      </c>
      <c r="P4111" s="0">
        <v>0</v>
      </c>
      <c r="R4111" s="0" t="b">
        <v>0</v>
      </c>
      <c r="S4111" s="0" t="b">
        <v>1</v>
      </c>
      <c r="T4111" s="68">
        <v>46034.5554050926</v>
      </c>
      <c r="U4111" s="68">
        <v>46048.2916666667</v>
      </c>
      <c r="V4111" s="68">
        <v>0</v>
      </c>
      <c r="W4111" s="0">
        <f>IF(IF(B4111="none",1,IF(B4111="Trialer",1,0))+IF(C4111="Customer",1,IF(C4111="Lost",1,0))=2,1,0)</f>
      </c>
      <c r="X4111" s="0" t="s">
        <v>148</v>
      </c>
      <c r="Y4111" s="0" t="s">
        <v>243</v>
      </c>
      <c r="AV4111" s="68"/>
      <c r="AW4111" s="68"/>
      <c r="AY4111" s="27"/>
      <c r="BD4111" s="68">
        <v>46054.1666666667</v>
      </c>
      <c r="BE4111" s="68">
        <v>46082.1666666667</v>
      </c>
      <c r="BF4111" s="0" t="b">
        <v>0</v>
      </c>
      <c r="BG4111" s="0" t="b">
        <v>0</v>
      </c>
      <c r="BH4111" s="0">
        <v>178.5</v>
      </c>
      <c r="BI4111" s="0">
        <v>178.5</v>
      </c>
      <c r="BJ4111" s="0" t="s">
        <v>135</v>
      </c>
    </row>
    <row r="4112">
      <c r="A4112" s="0" t="s">
        <v>4370</v>
      </c>
      <c r="B4112" s="0" t="s">
        <v>134</v>
      </c>
      <c r="C4112" s="0" t="s">
        <v>134</v>
      </c>
      <c r="D4112" s="0" t="s">
        <v>135</v>
      </c>
      <c r="E4112" s="0" t="s">
        <v>3</v>
      </c>
      <c r="F4112" s="0" t="s">
        <v>10</v>
      </c>
      <c r="G4112" s="0" t="s">
        <v>8</v>
      </c>
      <c r="H4112" s="0">
        <v>19</v>
      </c>
      <c r="I4112" s="0">
        <v>52.5</v>
      </c>
      <c r="J4112" s="0">
        <v>0</v>
      </c>
      <c r="K4112" s="0">
        <v>1</v>
      </c>
      <c r="L4112" s="0">
        <v>1</v>
      </c>
      <c r="M4112" s="0">
        <v>2</v>
      </c>
      <c r="N4112" s="0">
        <v>0</v>
      </c>
      <c r="O4112" s="0">
        <v>0</v>
      </c>
      <c r="P4112" s="0">
        <v>0</v>
      </c>
      <c r="Q4112" s="0" t="s">
        <v>4371</v>
      </c>
      <c r="R4112" s="0" t="b">
        <v>0</v>
      </c>
      <c r="S4112" s="0" t="b">
        <v>1</v>
      </c>
      <c r="T4112" s="68">
        <v>46034.5598842593</v>
      </c>
      <c r="U4112" s="68">
        <v>46048.2916666667</v>
      </c>
      <c r="V4112" s="68">
        <v>0</v>
      </c>
      <c r="W4112" s="0">
        <f>IF(IF(B4112="none",1,IF(B4112="Trialer",1,0))+IF(C4112="Customer",1,IF(C4112="Lost",1,0))=2,1,0)</f>
      </c>
      <c r="X4112" s="0" t="s">
        <v>145</v>
      </c>
      <c r="Y4112" s="0" t="s">
        <v>243</v>
      </c>
      <c r="AV4112" s="68"/>
      <c r="AW4112" s="68"/>
      <c r="AY4112" s="27"/>
      <c r="BD4112" s="68">
        <v>46054.1666666667</v>
      </c>
      <c r="BE4112" s="68">
        <v>46082.1666666667</v>
      </c>
      <c r="BF4112" s="0" t="b">
        <v>0</v>
      </c>
      <c r="BG4112" s="0" t="b">
        <v>0</v>
      </c>
      <c r="BH4112" s="0">
        <v>52.5</v>
      </c>
      <c r="BI4112" s="0">
        <v>52.5</v>
      </c>
      <c r="BJ4112" s="0" t="s">
        <v>135</v>
      </c>
    </row>
    <row r="4113">
      <c r="A4113" s="0" t="s">
        <v>4372</v>
      </c>
      <c r="B4113" s="0" t="s">
        <v>652</v>
      </c>
      <c r="C4113" s="0" t="s">
        <v>652</v>
      </c>
      <c r="D4113" s="0" t="s">
        <v>135</v>
      </c>
      <c r="E4113" s="0" t="s">
        <v>2414</v>
      </c>
      <c r="F4113" s="0" t="s">
        <v>12</v>
      </c>
      <c r="G4113" s="0" t="s">
        <v>8</v>
      </c>
      <c r="H4113" s="0">
        <v>19</v>
      </c>
      <c r="I4113" s="0">
        <v>0</v>
      </c>
      <c r="J4113" s="0">
        <v>0</v>
      </c>
      <c r="K4113" s="0">
        <v>0</v>
      </c>
      <c r="L4113" s="0">
        <v>0</v>
      </c>
      <c r="M4113" s="0">
        <v>0</v>
      </c>
      <c r="N4113" s="0">
        <v>0</v>
      </c>
      <c r="O4113" s="0">
        <v>0</v>
      </c>
      <c r="P4113" s="0">
        <v>0</v>
      </c>
      <c r="R4113" s="0" t="b">
        <v>0</v>
      </c>
      <c r="S4113" s="0" t="b">
        <v>0</v>
      </c>
      <c r="T4113" s="68">
        <v>46034.5627083333</v>
      </c>
      <c r="U4113" s="68">
        <v>0</v>
      </c>
      <c r="V4113" s="68">
        <v>46077.1667592593</v>
      </c>
      <c r="W4113" s="0">
        <f>IF(IF(B4113="none",1,IF(B4113="Trialer",1,0))+IF(C4113="Customer",1,IF(C4113="Lost",1,0))=2,1,0)</f>
      </c>
      <c r="X4113" s="0" t="s">
        <v>145</v>
      </c>
      <c r="Y4113" s="0" t="s">
        <v>1516</v>
      </c>
      <c r="AV4113" s="68"/>
      <c r="AW4113" s="68"/>
      <c r="AY4113" s="27"/>
      <c r="BD4113" s="68">
        <v>46054.1666666667</v>
      </c>
      <c r="BE4113" s="68">
        <v>46082.1666666667</v>
      </c>
      <c r="BF4113" s="0" t="b">
        <v>0</v>
      </c>
      <c r="BG4113" s="0" t="b">
        <v>0</v>
      </c>
      <c r="BH4113" s="0">
        <v>44.25</v>
      </c>
      <c r="BI4113" s="0">
        <v>44.25</v>
      </c>
      <c r="BJ4113" s="0" t="s">
        <v>135</v>
      </c>
    </row>
    <row r="4114">
      <c r="A4114" s="0" t="s">
        <v>4373</v>
      </c>
      <c r="B4114" s="0" t="s">
        <v>652</v>
      </c>
      <c r="C4114" s="0" t="s">
        <v>652</v>
      </c>
      <c r="D4114" s="0" t="s">
        <v>135</v>
      </c>
      <c r="E4114" s="0" t="s">
        <v>3</v>
      </c>
      <c r="F4114" s="0" t="s">
        <v>12</v>
      </c>
      <c r="G4114" s="0" t="s">
        <v>8</v>
      </c>
      <c r="H4114" s="0">
        <v>19</v>
      </c>
      <c r="I4114" s="0">
        <v>0</v>
      </c>
      <c r="J4114" s="0">
        <v>0</v>
      </c>
      <c r="K4114" s="0">
        <v>0</v>
      </c>
      <c r="L4114" s="0">
        <v>0</v>
      </c>
      <c r="M4114" s="0">
        <v>0</v>
      </c>
      <c r="N4114" s="0">
        <v>0</v>
      </c>
      <c r="O4114" s="0">
        <v>0</v>
      </c>
      <c r="P4114" s="0">
        <v>0</v>
      </c>
      <c r="R4114" s="0" t="b">
        <v>0</v>
      </c>
      <c r="S4114" s="0" t="b">
        <v>0</v>
      </c>
      <c r="T4114" s="68">
        <v>46034.5714699074</v>
      </c>
      <c r="U4114" s="68">
        <v>0</v>
      </c>
      <c r="V4114" s="68">
        <v>46070.1668518518</v>
      </c>
      <c r="W4114" s="0">
        <f>IF(IF(B4114="none",1,IF(B4114="Trialer",1,0))+IF(C4114="Customer",1,IF(C4114="Lost",1,0))=2,1,0)</f>
      </c>
      <c r="X4114" s="0" t="s">
        <v>148</v>
      </c>
      <c r="Y4114" s="0" t="s">
        <v>243</v>
      </c>
      <c r="AV4114" s="68"/>
      <c r="AW4114" s="68"/>
      <c r="AY4114" s="27"/>
      <c r="BD4114" s="68">
        <v>46054.1666666667</v>
      </c>
      <c r="BE4114" s="68">
        <v>46082.1666666667</v>
      </c>
      <c r="BF4114" s="0" t="b">
        <v>0</v>
      </c>
      <c r="BG4114" s="0" t="b">
        <v>0</v>
      </c>
      <c r="BH4114" s="0">
        <v>90</v>
      </c>
      <c r="BI4114" s="0">
        <v>90</v>
      </c>
      <c r="BJ4114" s="0" t="s">
        <v>135</v>
      </c>
    </row>
    <row r="4115">
      <c r="A4115" s="0" t="s">
        <v>4374</v>
      </c>
      <c r="B4115" s="0" t="s">
        <v>652</v>
      </c>
      <c r="C4115" s="0" t="s">
        <v>652</v>
      </c>
      <c r="D4115" s="0" t="s">
        <v>135</v>
      </c>
      <c r="E4115" s="0" t="s">
        <v>3</v>
      </c>
      <c r="F4115" s="0" t="s">
        <v>12</v>
      </c>
      <c r="G4115" s="0" t="s">
        <v>8</v>
      </c>
      <c r="H4115" s="0">
        <v>19</v>
      </c>
      <c r="I4115" s="0">
        <v>0</v>
      </c>
      <c r="J4115" s="0">
        <v>0</v>
      </c>
      <c r="K4115" s="0">
        <v>0</v>
      </c>
      <c r="L4115" s="0">
        <v>0</v>
      </c>
      <c r="M4115" s="0">
        <v>0</v>
      </c>
      <c r="N4115" s="0">
        <v>0</v>
      </c>
      <c r="O4115" s="0">
        <v>0</v>
      </c>
      <c r="P4115" s="0">
        <v>0</v>
      </c>
      <c r="R4115" s="0" t="b">
        <v>0</v>
      </c>
      <c r="S4115" s="0" t="b">
        <v>0</v>
      </c>
      <c r="T4115" s="68">
        <v>46034.5787615741</v>
      </c>
      <c r="U4115" s="68">
        <v>0</v>
      </c>
      <c r="V4115" s="68">
        <v>46077.1668402778</v>
      </c>
      <c r="W4115" s="0">
        <f>IF(IF(B4115="none",1,IF(B4115="Trialer",1,0))+IF(C4115="Customer",1,IF(C4115="Lost",1,0))=2,1,0)</f>
      </c>
      <c r="X4115" s="0" t="s">
        <v>136</v>
      </c>
      <c r="Y4115" s="0" t="s">
        <v>243</v>
      </c>
      <c r="AV4115" s="68"/>
      <c r="AW4115" s="68"/>
      <c r="AY4115" s="27"/>
      <c r="BD4115" s="68">
        <v>46054.1666666667</v>
      </c>
      <c r="BE4115" s="68">
        <v>46082.1666666667</v>
      </c>
      <c r="BF4115" s="0" t="b">
        <v>0</v>
      </c>
      <c r="BG4115" s="0" t="b">
        <v>0</v>
      </c>
      <c r="BH4115" s="0">
        <v>219</v>
      </c>
      <c r="BI4115" s="0">
        <v>219</v>
      </c>
      <c r="BJ4115" s="0" t="s">
        <v>135</v>
      </c>
    </row>
    <row r="4116">
      <c r="A4116" s="0" t="s">
        <v>4375</v>
      </c>
      <c r="B4116" s="0" t="s">
        <v>652</v>
      </c>
      <c r="C4116" s="0" t="s">
        <v>652</v>
      </c>
      <c r="D4116" s="0" t="s">
        <v>135</v>
      </c>
      <c r="E4116" s="0" t="s">
        <v>3</v>
      </c>
      <c r="F4116" s="0" t="s">
        <v>12</v>
      </c>
      <c r="G4116" s="0" t="s">
        <v>8</v>
      </c>
      <c r="H4116" s="0">
        <v>19</v>
      </c>
      <c r="I4116" s="0">
        <v>0</v>
      </c>
      <c r="J4116" s="0">
        <v>0</v>
      </c>
      <c r="K4116" s="0">
        <v>0</v>
      </c>
      <c r="L4116" s="0">
        <v>0</v>
      </c>
      <c r="M4116" s="0">
        <v>0</v>
      </c>
      <c r="N4116" s="0">
        <v>0</v>
      </c>
      <c r="O4116" s="0">
        <v>0</v>
      </c>
      <c r="P4116" s="0">
        <v>0</v>
      </c>
      <c r="R4116" s="0" t="b">
        <v>0</v>
      </c>
      <c r="S4116" s="0" t="b">
        <v>0</v>
      </c>
      <c r="T4116" s="68">
        <v>46034.6069097222</v>
      </c>
      <c r="U4116" s="68">
        <v>0</v>
      </c>
      <c r="V4116" s="68">
        <v>46077.1668055556</v>
      </c>
      <c r="W4116" s="0">
        <f>IF(IF(B4116="none",1,IF(B4116="Trialer",1,0))+IF(C4116="Customer",1,IF(C4116="Lost",1,0))=2,1,0)</f>
      </c>
      <c r="X4116" s="0" t="s">
        <v>136</v>
      </c>
      <c r="Y4116" s="0" t="s">
        <v>1792</v>
      </c>
      <c r="AV4116" s="68"/>
      <c r="AW4116" s="68"/>
      <c r="AY4116" s="27"/>
      <c r="BD4116" s="68">
        <v>46054.1666666667</v>
      </c>
      <c r="BE4116" s="68">
        <v>46082.1666666667</v>
      </c>
      <c r="BF4116" s="0" t="b">
        <v>0</v>
      </c>
      <c r="BG4116" s="0" t="b">
        <v>0</v>
      </c>
      <c r="BH4116" s="0">
        <v>177</v>
      </c>
      <c r="BI4116" s="0">
        <v>177</v>
      </c>
      <c r="BJ4116" s="0" t="s">
        <v>135</v>
      </c>
    </row>
    <row r="4117">
      <c r="A4117" s="0" t="s">
        <v>4376</v>
      </c>
      <c r="B4117" s="0" t="s">
        <v>652</v>
      </c>
      <c r="C4117" s="0" t="s">
        <v>652</v>
      </c>
      <c r="D4117" s="0" t="s">
        <v>135</v>
      </c>
      <c r="E4117" s="0" t="s">
        <v>2</v>
      </c>
      <c r="F4117" s="0" t="s">
        <v>12</v>
      </c>
      <c r="G4117" s="0" t="s">
        <v>8</v>
      </c>
      <c r="H4117" s="0">
        <v>19</v>
      </c>
      <c r="I4117" s="0">
        <v>0</v>
      </c>
      <c r="J4117" s="0">
        <v>0</v>
      </c>
      <c r="K4117" s="0">
        <v>0</v>
      </c>
      <c r="L4117" s="0">
        <v>0</v>
      </c>
      <c r="M4117" s="0">
        <v>0</v>
      </c>
      <c r="N4117" s="0">
        <v>0</v>
      </c>
      <c r="O4117" s="0">
        <v>0</v>
      </c>
      <c r="P4117" s="0">
        <v>0</v>
      </c>
      <c r="R4117" s="0" t="b">
        <v>0</v>
      </c>
      <c r="S4117" s="0" t="b">
        <v>0</v>
      </c>
      <c r="T4117" s="68">
        <v>46034.624837963</v>
      </c>
      <c r="U4117" s="68">
        <v>0</v>
      </c>
      <c r="V4117" s="68">
        <v>46077.1668287037</v>
      </c>
      <c r="W4117" s="0">
        <f>IF(IF(B4117="none",1,IF(B4117="Trialer",1,0))+IF(C4117="Customer",1,IF(C4117="Lost",1,0))=2,1,0)</f>
      </c>
      <c r="X4117" s="0" t="s">
        <v>145</v>
      </c>
      <c r="Y4117" s="0" t="s">
        <v>499</v>
      </c>
      <c r="AV4117" s="68"/>
      <c r="AW4117" s="68"/>
      <c r="AY4117" s="27"/>
      <c r="BD4117" s="68">
        <v>46054.1666666667</v>
      </c>
      <c r="BE4117" s="68">
        <v>46082.1666666667</v>
      </c>
      <c r="BF4117" s="0" t="b">
        <v>0</v>
      </c>
      <c r="BG4117" s="0" t="b">
        <v>0</v>
      </c>
      <c r="BH4117" s="0">
        <v>63.75</v>
      </c>
      <c r="BI4117" s="0">
        <v>63.75</v>
      </c>
      <c r="BJ4117" s="0" t="s">
        <v>135</v>
      </c>
    </row>
    <row r="4118">
      <c r="A4118" s="0" t="s">
        <v>4377</v>
      </c>
      <c r="B4118" s="0" t="s">
        <v>652</v>
      </c>
      <c r="C4118" s="0" t="s">
        <v>134</v>
      </c>
      <c r="D4118" s="0" t="s">
        <v>135</v>
      </c>
      <c r="E4118" s="0" t="s">
        <v>3</v>
      </c>
      <c r="F4118" s="0" t="s">
        <v>12</v>
      </c>
      <c r="G4118" s="0" t="s">
        <v>8</v>
      </c>
      <c r="H4118" s="0">
        <v>19</v>
      </c>
      <c r="I4118" s="0">
        <v>132.75</v>
      </c>
      <c r="J4118" s="0">
        <v>0</v>
      </c>
      <c r="K4118" s="0">
        <v>1</v>
      </c>
      <c r="L4118" s="0">
        <v>3</v>
      </c>
      <c r="M4118" s="0">
        <v>3</v>
      </c>
      <c r="N4118" s="0">
        <v>0</v>
      </c>
      <c r="O4118" s="0">
        <v>0</v>
      </c>
      <c r="P4118" s="0">
        <v>0</v>
      </c>
      <c r="R4118" s="0" t="b">
        <v>0</v>
      </c>
      <c r="S4118" s="0" t="b">
        <v>1</v>
      </c>
      <c r="T4118" s="68">
        <v>46034.659837963</v>
      </c>
      <c r="U4118" s="68">
        <v>46064.2916666667</v>
      </c>
      <c r="V4118" s="68">
        <v>0</v>
      </c>
      <c r="W4118" s="0">
        <f>IF(IF(B4118="none",1,IF(B4118="Trialer",1,0))+IF(C4118="Customer",1,IF(C4118="Lost",1,0))=2,1,0)</f>
      </c>
      <c r="X4118" s="0" t="s">
        <v>136</v>
      </c>
      <c r="Y4118" s="0" t="s">
        <v>243</v>
      </c>
      <c r="AV4118" s="68"/>
      <c r="AW4118" s="68"/>
      <c r="AY4118" s="27"/>
      <c r="BD4118" s="68">
        <v>46054.1666666667</v>
      </c>
      <c r="BE4118" s="68">
        <v>46082.1666666667</v>
      </c>
      <c r="BF4118" s="0" t="b">
        <v>0</v>
      </c>
      <c r="BG4118" s="0" t="b">
        <v>0</v>
      </c>
      <c r="BH4118" s="0">
        <v>221.25</v>
      </c>
      <c r="BI4118" s="0">
        <v>221.25</v>
      </c>
      <c r="BJ4118" s="0" t="s">
        <v>135</v>
      </c>
    </row>
    <row r="4119">
      <c r="A4119" s="0" t="s">
        <v>4378</v>
      </c>
      <c r="B4119" s="0" t="s">
        <v>652</v>
      </c>
      <c r="C4119" s="0" t="s">
        <v>652</v>
      </c>
      <c r="D4119" s="0" t="s">
        <v>135</v>
      </c>
      <c r="E4119" s="0" t="s">
        <v>3</v>
      </c>
      <c r="F4119" s="0" t="s">
        <v>12</v>
      </c>
      <c r="G4119" s="0" t="s">
        <v>8</v>
      </c>
      <c r="H4119" s="0">
        <v>19</v>
      </c>
      <c r="I4119" s="0">
        <v>0</v>
      </c>
      <c r="J4119" s="0">
        <v>0</v>
      </c>
      <c r="K4119" s="0">
        <v>0</v>
      </c>
      <c r="L4119" s="0">
        <v>0</v>
      </c>
      <c r="M4119" s="0">
        <v>0</v>
      </c>
      <c r="N4119" s="0">
        <v>0</v>
      </c>
      <c r="O4119" s="0">
        <v>0</v>
      </c>
      <c r="P4119" s="0">
        <v>0</v>
      </c>
      <c r="R4119" s="0" t="b">
        <v>0</v>
      </c>
      <c r="S4119" s="0" t="b">
        <v>0</v>
      </c>
      <c r="T4119" s="68">
        <v>46034.6602893519</v>
      </c>
      <c r="U4119" s="68">
        <v>0</v>
      </c>
      <c r="V4119" s="68">
        <v>46077.1668287037</v>
      </c>
      <c r="W4119" s="0">
        <f>IF(IF(B4119="none",1,IF(B4119="Trialer",1,0))+IF(C4119="Customer",1,IF(C4119="Lost",1,0))=2,1,0)</f>
      </c>
      <c r="X4119" s="0" t="s">
        <v>148</v>
      </c>
      <c r="Y4119" s="0" t="s">
        <v>1792</v>
      </c>
      <c r="AV4119" s="68"/>
      <c r="AW4119" s="68"/>
      <c r="AY4119" s="27"/>
      <c r="BD4119" s="68">
        <v>46054.1666666667</v>
      </c>
      <c r="BE4119" s="68">
        <v>46082.1666666667</v>
      </c>
      <c r="BF4119" s="0" t="b">
        <v>0</v>
      </c>
      <c r="BG4119" s="0" t="b">
        <v>0</v>
      </c>
      <c r="BH4119" s="0">
        <v>44.25</v>
      </c>
      <c r="BI4119" s="0">
        <v>44.25</v>
      </c>
      <c r="BJ4119" s="0" t="s">
        <v>135</v>
      </c>
    </row>
    <row r="4120">
      <c r="A4120" s="0" t="s">
        <v>4379</v>
      </c>
      <c r="B4120" s="0" t="s">
        <v>652</v>
      </c>
      <c r="C4120" s="0" t="s">
        <v>652</v>
      </c>
      <c r="D4120" s="0" t="s">
        <v>135</v>
      </c>
      <c r="E4120" s="0" t="s">
        <v>3</v>
      </c>
      <c r="F4120" s="0" t="s">
        <v>12</v>
      </c>
      <c r="G4120" s="0" t="s">
        <v>8</v>
      </c>
      <c r="H4120" s="0">
        <v>19</v>
      </c>
      <c r="I4120" s="0">
        <v>0</v>
      </c>
      <c r="J4120" s="0">
        <v>0</v>
      </c>
      <c r="K4120" s="0">
        <v>0</v>
      </c>
      <c r="L4120" s="0">
        <v>0</v>
      </c>
      <c r="M4120" s="0">
        <v>0</v>
      </c>
      <c r="N4120" s="0">
        <v>0</v>
      </c>
      <c r="O4120" s="0">
        <v>0</v>
      </c>
      <c r="P4120" s="0">
        <v>0</v>
      </c>
      <c r="R4120" s="0" t="b">
        <v>0</v>
      </c>
      <c r="S4120" s="0" t="b">
        <v>0</v>
      </c>
      <c r="T4120" s="68">
        <v>46034.6687731482</v>
      </c>
      <c r="U4120" s="68">
        <v>0</v>
      </c>
      <c r="V4120" s="68">
        <v>46077.1667824074</v>
      </c>
      <c r="W4120" s="0">
        <f>IF(IF(B4120="none",1,IF(B4120="Trialer",1,0))+IF(C4120="Customer",1,IF(C4120="Lost",1,0))=2,1,0)</f>
      </c>
      <c r="X4120" s="0" t="s">
        <v>145</v>
      </c>
      <c r="Y4120" s="0" t="s">
        <v>243</v>
      </c>
      <c r="AV4120" s="68"/>
      <c r="AW4120" s="68"/>
      <c r="AY4120" s="27"/>
      <c r="BD4120" s="68">
        <v>46054.1666666667</v>
      </c>
      <c r="BE4120" s="68">
        <v>46082.1666666667</v>
      </c>
      <c r="BF4120" s="0" t="b">
        <v>0</v>
      </c>
      <c r="BG4120" s="0" t="b">
        <v>0</v>
      </c>
      <c r="BH4120" s="0">
        <v>63.75</v>
      </c>
      <c r="BI4120" s="0">
        <v>63.75</v>
      </c>
      <c r="BJ4120" s="0" t="s">
        <v>135</v>
      </c>
    </row>
    <row r="4121">
      <c r="A4121" s="0" t="s">
        <v>4380</v>
      </c>
      <c r="B4121" s="0" t="s">
        <v>652</v>
      </c>
      <c r="C4121" s="0" t="s">
        <v>134</v>
      </c>
      <c r="D4121" s="0" t="s">
        <v>135</v>
      </c>
      <c r="E4121" s="0" t="s">
        <v>3</v>
      </c>
      <c r="F4121" s="0" t="s">
        <v>12</v>
      </c>
      <c r="G4121" s="0" t="s">
        <v>8</v>
      </c>
      <c r="H4121" s="0">
        <v>19</v>
      </c>
      <c r="I4121" s="0">
        <v>107</v>
      </c>
      <c r="J4121" s="0">
        <v>0</v>
      </c>
      <c r="K4121" s="0">
        <v>2</v>
      </c>
      <c r="L4121" s="0">
        <v>3</v>
      </c>
      <c r="M4121" s="0">
        <v>2</v>
      </c>
      <c r="N4121" s="0">
        <v>0</v>
      </c>
      <c r="O4121" s="0">
        <v>0</v>
      </c>
      <c r="P4121" s="0">
        <v>0</v>
      </c>
      <c r="R4121" s="0" t="b">
        <v>0</v>
      </c>
      <c r="S4121" s="0" t="b">
        <v>1</v>
      </c>
      <c r="T4121" s="68">
        <v>46034.6757986111</v>
      </c>
      <c r="U4121" s="68">
        <v>46056.2916666667</v>
      </c>
      <c r="V4121" s="68">
        <v>0</v>
      </c>
      <c r="W4121" s="0">
        <f>IF(IF(B4121="none",1,IF(B4121="Trialer",1,0))+IF(C4121="Customer",1,IF(C4121="Lost",1,0))=2,1,0)</f>
      </c>
      <c r="X4121" s="0" t="s">
        <v>1461</v>
      </c>
      <c r="Y4121" s="0" t="s">
        <v>243</v>
      </c>
      <c r="AV4121" s="68"/>
      <c r="AW4121" s="68"/>
      <c r="AY4121" s="27"/>
      <c r="BD4121" s="68">
        <v>46054.1666666667</v>
      </c>
      <c r="BE4121" s="68">
        <v>46082.1666666667</v>
      </c>
      <c r="BF4121" s="0" t="b">
        <v>0</v>
      </c>
      <c r="BG4121" s="0" t="b">
        <v>0</v>
      </c>
      <c r="BH4121" s="0">
        <v>53.5</v>
      </c>
      <c r="BI4121" s="0">
        <v>53.5</v>
      </c>
      <c r="BJ4121" s="0" t="s">
        <v>135</v>
      </c>
    </row>
    <row r="4122">
      <c r="A4122" s="0" t="s">
        <v>4381</v>
      </c>
      <c r="B4122" s="0" t="s">
        <v>652</v>
      </c>
      <c r="C4122" s="0" t="s">
        <v>652</v>
      </c>
      <c r="D4122" s="0" t="s">
        <v>135</v>
      </c>
      <c r="E4122" s="0" t="s">
        <v>3</v>
      </c>
      <c r="F4122" s="0" t="s">
        <v>12</v>
      </c>
      <c r="G4122" s="0" t="s">
        <v>8</v>
      </c>
      <c r="H4122" s="0">
        <v>19</v>
      </c>
      <c r="I4122" s="0">
        <v>0</v>
      </c>
      <c r="J4122" s="0">
        <v>0</v>
      </c>
      <c r="K4122" s="0">
        <v>0</v>
      </c>
      <c r="L4122" s="0">
        <v>0</v>
      </c>
      <c r="M4122" s="0">
        <v>0</v>
      </c>
      <c r="N4122" s="0">
        <v>0</v>
      </c>
      <c r="O4122" s="0">
        <v>0</v>
      </c>
      <c r="P4122" s="0">
        <v>0</v>
      </c>
      <c r="R4122" s="0" t="b">
        <v>0</v>
      </c>
      <c r="S4122" s="0" t="b">
        <v>0</v>
      </c>
      <c r="T4122" s="68">
        <v>46034.6925578704</v>
      </c>
      <c r="U4122" s="68">
        <v>0</v>
      </c>
      <c r="V4122" s="68">
        <v>46065.1966203704</v>
      </c>
      <c r="W4122" s="0">
        <f>IF(IF(B4122="none",1,IF(B4122="Trialer",1,0))+IF(C4122="Customer",1,IF(C4122="Lost",1,0))=2,1,0)</f>
      </c>
      <c r="X4122" s="0" t="s">
        <v>145</v>
      </c>
      <c r="Y4122" s="0" t="s">
        <v>243</v>
      </c>
      <c r="AV4122" s="68"/>
      <c r="AW4122" s="68"/>
      <c r="AY4122" s="27"/>
      <c r="BD4122" s="68">
        <v>46054.1666666667</v>
      </c>
      <c r="BE4122" s="68">
        <v>46082.1666666667</v>
      </c>
      <c r="BF4122" s="0" t="b">
        <v>0</v>
      </c>
      <c r="BG4122" s="0" t="b">
        <v>0</v>
      </c>
      <c r="BH4122" s="0">
        <v>44.25</v>
      </c>
      <c r="BI4122" s="0">
        <v>44.25</v>
      </c>
      <c r="BJ4122" s="0" t="s">
        <v>135</v>
      </c>
    </row>
    <row r="4123">
      <c r="A4123" s="0" t="s">
        <v>4382</v>
      </c>
      <c r="B4123" s="0" t="s">
        <v>134</v>
      </c>
      <c r="C4123" s="0" t="s">
        <v>134</v>
      </c>
      <c r="D4123" s="0" t="s">
        <v>135</v>
      </c>
      <c r="E4123" s="0" t="s">
        <v>3</v>
      </c>
      <c r="F4123" s="0" t="s">
        <v>12</v>
      </c>
      <c r="G4123" s="0" t="s">
        <v>8</v>
      </c>
      <c r="H4123" s="0">
        <v>19</v>
      </c>
      <c r="I4123" s="0">
        <v>97.5</v>
      </c>
      <c r="J4123" s="0">
        <v>0</v>
      </c>
      <c r="K4123" s="0">
        <v>1</v>
      </c>
      <c r="L4123" s="0">
        <v>4</v>
      </c>
      <c r="M4123" s="0">
        <v>2</v>
      </c>
      <c r="N4123" s="0">
        <v>0</v>
      </c>
      <c r="O4123" s="0">
        <v>0</v>
      </c>
      <c r="P4123" s="0">
        <v>0</v>
      </c>
      <c r="R4123" s="0" t="b">
        <v>0</v>
      </c>
      <c r="S4123" s="0" t="b">
        <v>1</v>
      </c>
      <c r="T4123" s="68">
        <v>46034.7440393519</v>
      </c>
      <c r="U4123" s="68">
        <v>46048.2916666667</v>
      </c>
      <c r="V4123" s="68">
        <v>0</v>
      </c>
      <c r="W4123" s="0">
        <f>IF(IF(B4123="none",1,IF(B4123="Trialer",1,0))+IF(C4123="Customer",1,IF(C4123="Lost",1,0))=2,1,0)</f>
      </c>
      <c r="X4123" s="0" t="s">
        <v>1461</v>
      </c>
      <c r="Y4123" s="0" t="s">
        <v>243</v>
      </c>
      <c r="AV4123" s="68"/>
      <c r="AW4123" s="68"/>
      <c r="AY4123" s="27"/>
      <c r="BD4123" s="68">
        <v>46054.1666666667</v>
      </c>
      <c r="BE4123" s="68">
        <v>46082.1666666667</v>
      </c>
      <c r="BF4123" s="0" t="b">
        <v>0</v>
      </c>
      <c r="BG4123" s="0" t="b">
        <v>0</v>
      </c>
      <c r="BH4123" s="0">
        <v>97.5</v>
      </c>
      <c r="BI4123" s="0">
        <v>97.5</v>
      </c>
      <c r="BJ4123" s="0" t="s">
        <v>135</v>
      </c>
    </row>
    <row r="4124">
      <c r="A4124" s="0" t="s">
        <v>4383</v>
      </c>
      <c r="B4124" s="0" t="s">
        <v>652</v>
      </c>
      <c r="C4124" s="0" t="s">
        <v>652</v>
      </c>
      <c r="D4124" s="0" t="s">
        <v>135</v>
      </c>
      <c r="E4124" s="0" t="s">
        <v>4</v>
      </c>
      <c r="F4124" s="0" t="s">
        <v>12</v>
      </c>
      <c r="G4124" s="0" t="s">
        <v>8</v>
      </c>
      <c r="H4124" s="0">
        <v>19</v>
      </c>
      <c r="I4124" s="0">
        <v>0</v>
      </c>
      <c r="J4124" s="0">
        <v>0</v>
      </c>
      <c r="K4124" s="0">
        <v>0</v>
      </c>
      <c r="L4124" s="0">
        <v>0</v>
      </c>
      <c r="M4124" s="0">
        <v>0</v>
      </c>
      <c r="N4124" s="0">
        <v>0</v>
      </c>
      <c r="O4124" s="0">
        <v>0</v>
      </c>
      <c r="P4124" s="0">
        <v>0</v>
      </c>
      <c r="R4124" s="0" t="b">
        <v>0</v>
      </c>
      <c r="S4124" s="0" t="b">
        <v>0</v>
      </c>
      <c r="T4124" s="68">
        <v>46034.7547453704</v>
      </c>
      <c r="U4124" s="68">
        <v>0</v>
      </c>
      <c r="V4124" s="68">
        <v>46077.1667592593</v>
      </c>
      <c r="W4124" s="0">
        <f>IF(IF(B4124="none",1,IF(B4124="Trialer",1,0))+IF(C4124="Customer",1,IF(C4124="Lost",1,0))=2,1,0)</f>
      </c>
      <c r="X4124" s="0" t="s">
        <v>136</v>
      </c>
      <c r="Y4124" s="0" t="s">
        <v>1772</v>
      </c>
      <c r="AV4124" s="68"/>
      <c r="AW4124" s="68"/>
      <c r="AY4124" s="27"/>
      <c r="BD4124" s="68">
        <v>46054.1666666667</v>
      </c>
      <c r="BE4124" s="68">
        <v>46082.1666666667</v>
      </c>
      <c r="BF4124" s="0" t="b">
        <v>0</v>
      </c>
      <c r="BG4124" s="0" t="b">
        <v>0</v>
      </c>
      <c r="BH4124" s="0">
        <v>44.25</v>
      </c>
      <c r="BI4124" s="0">
        <v>44.25</v>
      </c>
      <c r="BJ4124" s="0" t="s">
        <v>135</v>
      </c>
    </row>
    <row r="4125">
      <c r="A4125" s="0" t="s">
        <v>4384</v>
      </c>
      <c r="B4125" s="0" t="s">
        <v>652</v>
      </c>
      <c r="C4125" s="0" t="s">
        <v>652</v>
      </c>
      <c r="D4125" s="0" t="s">
        <v>135</v>
      </c>
      <c r="E4125" s="0" t="s">
        <v>3</v>
      </c>
      <c r="F4125" s="0" t="s">
        <v>12</v>
      </c>
      <c r="G4125" s="0" t="s">
        <v>8</v>
      </c>
      <c r="H4125" s="0">
        <v>19</v>
      </c>
      <c r="I4125" s="0">
        <v>0</v>
      </c>
      <c r="J4125" s="0">
        <v>0</v>
      </c>
      <c r="K4125" s="0">
        <v>0</v>
      </c>
      <c r="L4125" s="0">
        <v>0</v>
      </c>
      <c r="M4125" s="0">
        <v>0</v>
      </c>
      <c r="N4125" s="0">
        <v>0</v>
      </c>
      <c r="O4125" s="0">
        <v>0</v>
      </c>
      <c r="P4125" s="0">
        <v>0</v>
      </c>
      <c r="R4125" s="0" t="b">
        <v>0</v>
      </c>
      <c r="S4125" s="0" t="b">
        <v>0</v>
      </c>
      <c r="T4125" s="68">
        <v>46034.7726041667</v>
      </c>
      <c r="U4125" s="68">
        <v>0</v>
      </c>
      <c r="V4125" s="68">
        <v>46077.1667939815</v>
      </c>
      <c r="W4125" s="0">
        <f>IF(IF(B4125="none",1,IF(B4125="Trialer",1,0))+IF(C4125="Customer",1,IF(C4125="Lost",1,0))=2,1,0)</f>
      </c>
      <c r="X4125" s="0" t="s">
        <v>148</v>
      </c>
      <c r="Y4125" s="0" t="s">
        <v>243</v>
      </c>
      <c r="AV4125" s="68"/>
      <c r="AW4125" s="68"/>
      <c r="AY4125" s="27"/>
      <c r="BD4125" s="68">
        <v>46054.1666666667</v>
      </c>
      <c r="BE4125" s="68">
        <v>46082.1666666667</v>
      </c>
      <c r="BF4125" s="0" t="b">
        <v>0</v>
      </c>
      <c r="BG4125" s="0" t="b">
        <v>0</v>
      </c>
      <c r="BH4125" s="0">
        <v>63.75</v>
      </c>
      <c r="BI4125" s="0">
        <v>63.75</v>
      </c>
      <c r="BJ4125" s="0" t="s">
        <v>135</v>
      </c>
    </row>
    <row r="4126">
      <c r="A4126" s="0" t="s">
        <v>4385</v>
      </c>
      <c r="B4126" s="0" t="s">
        <v>652</v>
      </c>
      <c r="C4126" s="0" t="s">
        <v>652</v>
      </c>
      <c r="D4126" s="0" t="s">
        <v>135</v>
      </c>
      <c r="E4126" s="0" t="s">
        <v>3</v>
      </c>
      <c r="F4126" s="0" t="s">
        <v>12</v>
      </c>
      <c r="G4126" s="0" t="s">
        <v>8</v>
      </c>
      <c r="H4126" s="0">
        <v>19</v>
      </c>
      <c r="I4126" s="0">
        <v>0</v>
      </c>
      <c r="J4126" s="0">
        <v>0</v>
      </c>
      <c r="K4126" s="0">
        <v>0</v>
      </c>
      <c r="L4126" s="0">
        <v>0</v>
      </c>
      <c r="M4126" s="0">
        <v>0</v>
      </c>
      <c r="N4126" s="0">
        <v>0</v>
      </c>
      <c r="O4126" s="0">
        <v>0</v>
      </c>
      <c r="P4126" s="0">
        <v>0</v>
      </c>
      <c r="R4126" s="0" t="b">
        <v>0</v>
      </c>
      <c r="S4126" s="0" t="b">
        <v>0</v>
      </c>
      <c r="T4126" s="68">
        <v>46034.8111226852</v>
      </c>
      <c r="U4126" s="68">
        <v>0</v>
      </c>
      <c r="V4126" s="68">
        <v>46077.1668055556</v>
      </c>
      <c r="W4126" s="0">
        <f>IF(IF(B4126="none",1,IF(B4126="Trialer",1,0))+IF(C4126="Customer",1,IF(C4126="Lost",1,0))=2,1,0)</f>
      </c>
      <c r="X4126" s="0" t="s">
        <v>145</v>
      </c>
      <c r="Y4126" s="0" t="s">
        <v>243</v>
      </c>
      <c r="AV4126" s="68"/>
      <c r="AW4126" s="68"/>
      <c r="AY4126" s="27"/>
      <c r="BD4126" s="68">
        <v>46054.1666666667</v>
      </c>
      <c r="BE4126" s="68">
        <v>46082.1666666667</v>
      </c>
      <c r="BF4126" s="0" t="b">
        <v>0</v>
      </c>
      <c r="BG4126" s="0" t="b">
        <v>0</v>
      </c>
      <c r="BH4126" s="0">
        <v>54.75</v>
      </c>
      <c r="BI4126" s="0">
        <v>54.75</v>
      </c>
      <c r="BJ4126" s="0" t="s">
        <v>135</v>
      </c>
    </row>
    <row r="4127">
      <c r="A4127" s="0" t="s">
        <v>4386</v>
      </c>
      <c r="B4127" s="0" t="s">
        <v>652</v>
      </c>
      <c r="C4127" s="0" t="s">
        <v>134</v>
      </c>
      <c r="D4127" s="0" t="s">
        <v>230</v>
      </c>
      <c r="E4127" s="0" t="s">
        <v>3</v>
      </c>
      <c r="F4127" s="0" t="s">
        <v>12</v>
      </c>
      <c r="G4127" s="0" t="s">
        <v>8</v>
      </c>
      <c r="H4127" s="0">
        <v>19</v>
      </c>
      <c r="I4127" s="0">
        <v>126.2</v>
      </c>
      <c r="J4127" s="0">
        <v>0</v>
      </c>
      <c r="K4127" s="0">
        <v>2</v>
      </c>
      <c r="L4127" s="0">
        <v>4</v>
      </c>
      <c r="M4127" s="0">
        <v>1</v>
      </c>
      <c r="N4127" s="0">
        <v>0</v>
      </c>
      <c r="O4127" s="0">
        <v>0</v>
      </c>
      <c r="P4127" s="0">
        <v>631</v>
      </c>
      <c r="R4127" s="0" t="b">
        <v>0</v>
      </c>
      <c r="S4127" s="0" t="b">
        <v>1</v>
      </c>
      <c r="T4127" s="68">
        <v>46034.8591550926</v>
      </c>
      <c r="U4127" s="68">
        <v>46073.2916666667</v>
      </c>
      <c r="V4127" s="68">
        <v>0</v>
      </c>
      <c r="W4127" s="0">
        <f>IF(IF(B4127="none",1,IF(B4127="Trialer",1,0))+IF(C4127="Customer",1,IF(C4127="Lost",1,0))=2,1,0)</f>
      </c>
      <c r="X4127" s="0" t="s">
        <v>1461</v>
      </c>
      <c r="Y4127" s="0" t="s">
        <v>243</v>
      </c>
      <c r="AV4127" s="68"/>
      <c r="AW4127" s="68"/>
      <c r="AY4127" s="27"/>
      <c r="BD4127" s="68">
        <v>46054.1666666667</v>
      </c>
      <c r="BE4127" s="68">
        <v>46082.1666666667</v>
      </c>
      <c r="BF4127" s="0" t="b">
        <v>0</v>
      </c>
      <c r="BG4127" s="0" t="b">
        <v>0</v>
      </c>
      <c r="BH4127" s="0">
        <v>71</v>
      </c>
      <c r="BI4127" s="0">
        <v>71</v>
      </c>
      <c r="BJ4127" s="0" t="s">
        <v>230</v>
      </c>
    </row>
    <row r="4128">
      <c r="A4128" s="0" t="s">
        <v>4387</v>
      </c>
      <c r="B4128" s="0" t="s">
        <v>652</v>
      </c>
      <c r="C4128" s="0" t="s">
        <v>652</v>
      </c>
      <c r="D4128" s="0" t="s">
        <v>135</v>
      </c>
      <c r="E4128" s="0" t="s">
        <v>3</v>
      </c>
      <c r="F4128" s="0" t="s">
        <v>12</v>
      </c>
      <c r="G4128" s="0" t="s">
        <v>8</v>
      </c>
      <c r="H4128" s="0">
        <v>19</v>
      </c>
      <c r="I4128" s="0">
        <v>0</v>
      </c>
      <c r="J4128" s="0">
        <v>0</v>
      </c>
      <c r="K4128" s="0">
        <v>0</v>
      </c>
      <c r="L4128" s="0">
        <v>0</v>
      </c>
      <c r="M4128" s="0">
        <v>0</v>
      </c>
      <c r="N4128" s="0">
        <v>0</v>
      </c>
      <c r="O4128" s="0">
        <v>0</v>
      </c>
      <c r="P4128" s="0">
        <v>0</v>
      </c>
      <c r="R4128" s="0" t="b">
        <v>0</v>
      </c>
      <c r="S4128" s="0" t="b">
        <v>0</v>
      </c>
      <c r="T4128" s="68">
        <v>46034.9112384259</v>
      </c>
      <c r="U4128" s="68">
        <v>0</v>
      </c>
      <c r="V4128" s="68">
        <v>46077.1667824074</v>
      </c>
      <c r="W4128" s="0">
        <f>IF(IF(B4128="none",1,IF(B4128="Trialer",1,0))+IF(C4128="Customer",1,IF(C4128="Lost",1,0))=2,1,0)</f>
      </c>
      <c r="X4128" s="0" t="s">
        <v>145</v>
      </c>
      <c r="Y4128" s="0" t="s">
        <v>243</v>
      </c>
      <c r="AV4128" s="68"/>
      <c r="AW4128" s="68"/>
      <c r="AY4128" s="27"/>
      <c r="BD4128" s="68">
        <v>46054.1666666667</v>
      </c>
      <c r="BE4128" s="68">
        <v>46082.1666666667</v>
      </c>
      <c r="BF4128" s="0" t="b">
        <v>0</v>
      </c>
      <c r="BG4128" s="0" t="b">
        <v>0</v>
      </c>
      <c r="BH4128" s="0">
        <v>53.25</v>
      </c>
      <c r="BI4128" s="0">
        <v>53.25</v>
      </c>
      <c r="BJ4128" s="0" t="s">
        <v>135</v>
      </c>
    </row>
    <row r="4129">
      <c r="A4129" s="0" t="s">
        <v>4388</v>
      </c>
      <c r="B4129" s="0" t="s">
        <v>652</v>
      </c>
      <c r="C4129" s="0" t="s">
        <v>652</v>
      </c>
      <c r="D4129" s="0" t="s">
        <v>135</v>
      </c>
      <c r="E4129" s="0" t="s">
        <v>3</v>
      </c>
      <c r="F4129" s="0" t="s">
        <v>12</v>
      </c>
      <c r="G4129" s="0" t="s">
        <v>8</v>
      </c>
      <c r="H4129" s="0">
        <v>18</v>
      </c>
      <c r="I4129" s="0">
        <v>0</v>
      </c>
      <c r="J4129" s="0">
        <v>0</v>
      </c>
      <c r="K4129" s="0">
        <v>0</v>
      </c>
      <c r="L4129" s="0">
        <v>0</v>
      </c>
      <c r="M4129" s="0">
        <v>0</v>
      </c>
      <c r="N4129" s="0">
        <v>0</v>
      </c>
      <c r="O4129" s="0">
        <v>0</v>
      </c>
      <c r="P4129" s="0">
        <v>0</v>
      </c>
      <c r="R4129" s="0" t="b">
        <v>0</v>
      </c>
      <c r="S4129" s="0" t="b">
        <v>0</v>
      </c>
      <c r="T4129" s="68">
        <v>46035.3775694444</v>
      </c>
      <c r="U4129" s="68">
        <v>0</v>
      </c>
      <c r="V4129" s="68">
        <v>46078.1667013889</v>
      </c>
      <c r="W4129" s="0">
        <f>IF(IF(B4129="none",1,IF(B4129="Trialer",1,0))+IF(C4129="Customer",1,IF(C4129="Lost",1,0))=2,1,0)</f>
      </c>
      <c r="X4129" s="0" t="s">
        <v>145</v>
      </c>
      <c r="Y4129" s="0" t="s">
        <v>243</v>
      </c>
      <c r="AV4129" s="68"/>
      <c r="AW4129" s="68"/>
      <c r="AY4129" s="27"/>
      <c r="BD4129" s="68">
        <v>46054.1666666667</v>
      </c>
      <c r="BE4129" s="68">
        <v>46082.1666666667</v>
      </c>
      <c r="BF4129" s="0" t="b">
        <v>0</v>
      </c>
      <c r="BG4129" s="0" t="b">
        <v>0</v>
      </c>
      <c r="BH4129" s="0">
        <v>44.25</v>
      </c>
      <c r="BI4129" s="0">
        <v>44.25</v>
      </c>
      <c r="BJ4129" s="0" t="s">
        <v>135</v>
      </c>
    </row>
    <row r="4130">
      <c r="A4130" s="0" t="s">
        <v>4389</v>
      </c>
      <c r="B4130" s="0" t="s">
        <v>652</v>
      </c>
      <c r="C4130" s="0" t="s">
        <v>652</v>
      </c>
      <c r="D4130" s="0" t="s">
        <v>135</v>
      </c>
      <c r="E4130" s="0" t="s">
        <v>4</v>
      </c>
      <c r="F4130" s="0" t="s">
        <v>12</v>
      </c>
      <c r="G4130" s="0" t="s">
        <v>8</v>
      </c>
      <c r="H4130" s="0">
        <v>18</v>
      </c>
      <c r="I4130" s="0">
        <v>0</v>
      </c>
      <c r="J4130" s="0">
        <v>0</v>
      </c>
      <c r="K4130" s="0">
        <v>0</v>
      </c>
      <c r="L4130" s="0">
        <v>0</v>
      </c>
      <c r="M4130" s="0">
        <v>0</v>
      </c>
      <c r="N4130" s="0">
        <v>0</v>
      </c>
      <c r="O4130" s="0">
        <v>0</v>
      </c>
      <c r="P4130" s="0">
        <v>0</v>
      </c>
      <c r="R4130" s="0" t="b">
        <v>0</v>
      </c>
      <c r="S4130" s="0" t="b">
        <v>0</v>
      </c>
      <c r="T4130" s="68">
        <v>46035.4254976852</v>
      </c>
      <c r="U4130" s="68">
        <v>0</v>
      </c>
      <c r="V4130" s="68">
        <v>46078.1669328704</v>
      </c>
      <c r="W4130" s="0">
        <f>IF(IF(B4130="none",1,IF(B4130="Trialer",1,0))+IF(C4130="Customer",1,IF(C4130="Lost",1,0))=2,1,0)</f>
      </c>
      <c r="X4130" s="0" t="s">
        <v>145</v>
      </c>
      <c r="Y4130" s="0" t="s">
        <v>1772</v>
      </c>
      <c r="AV4130" s="68"/>
      <c r="AW4130" s="68"/>
      <c r="AY4130" s="27"/>
      <c r="BD4130" s="68">
        <v>46054.1666666667</v>
      </c>
      <c r="BE4130" s="68">
        <v>46082.1666666667</v>
      </c>
      <c r="BF4130" s="0" t="b">
        <v>0</v>
      </c>
      <c r="BG4130" s="0" t="b">
        <v>0</v>
      </c>
      <c r="BH4130" s="0">
        <v>44.25</v>
      </c>
      <c r="BI4130" s="0">
        <v>44.25</v>
      </c>
      <c r="BJ4130" s="0" t="s">
        <v>135</v>
      </c>
    </row>
    <row r="4131">
      <c r="A4131" s="0" t="s">
        <v>4390</v>
      </c>
      <c r="B4131" s="0" t="s">
        <v>652</v>
      </c>
      <c r="C4131" s="0" t="s">
        <v>652</v>
      </c>
      <c r="D4131" s="0" t="s">
        <v>135</v>
      </c>
      <c r="E4131" s="0" t="s">
        <v>2</v>
      </c>
      <c r="F4131" s="0" t="s">
        <v>12</v>
      </c>
      <c r="G4131" s="0" t="s">
        <v>8</v>
      </c>
      <c r="H4131" s="0">
        <v>18</v>
      </c>
      <c r="I4131" s="0">
        <v>0</v>
      </c>
      <c r="J4131" s="0">
        <v>0</v>
      </c>
      <c r="K4131" s="0">
        <v>0</v>
      </c>
      <c r="L4131" s="0">
        <v>0</v>
      </c>
      <c r="M4131" s="0">
        <v>0</v>
      </c>
      <c r="N4131" s="0">
        <v>0</v>
      </c>
      <c r="O4131" s="0">
        <v>0</v>
      </c>
      <c r="P4131" s="0">
        <v>0</v>
      </c>
      <c r="R4131" s="0" t="b">
        <v>0</v>
      </c>
      <c r="S4131" s="0" t="b">
        <v>0</v>
      </c>
      <c r="T4131" s="68">
        <v>46035.4415162037</v>
      </c>
      <c r="U4131" s="68">
        <v>0</v>
      </c>
      <c r="V4131" s="68">
        <v>46078.1667361111</v>
      </c>
      <c r="W4131" s="0">
        <f>IF(IF(B4131="none",1,IF(B4131="Trialer",1,0))+IF(C4131="Customer",1,IF(C4131="Lost",1,0))=2,1,0)</f>
      </c>
      <c r="X4131" s="0" t="s">
        <v>145</v>
      </c>
      <c r="Y4131" s="0" t="s">
        <v>499</v>
      </c>
      <c r="AV4131" s="68"/>
      <c r="AW4131" s="68"/>
      <c r="AY4131" s="27"/>
      <c r="BD4131" s="68">
        <v>46054.1666666667</v>
      </c>
      <c r="BE4131" s="68">
        <v>46082.1666666667</v>
      </c>
      <c r="BF4131" s="0" t="b">
        <v>0</v>
      </c>
      <c r="BG4131" s="0" t="b">
        <v>0</v>
      </c>
      <c r="BH4131" s="0">
        <v>81</v>
      </c>
      <c r="BI4131" s="0">
        <v>81</v>
      </c>
      <c r="BJ4131" s="0" t="s">
        <v>135</v>
      </c>
    </row>
    <row r="4132">
      <c r="A4132" s="0" t="s">
        <v>4391</v>
      </c>
      <c r="B4132" s="0" t="s">
        <v>652</v>
      </c>
      <c r="C4132" s="0" t="s">
        <v>652</v>
      </c>
      <c r="D4132" s="0" t="s">
        <v>135</v>
      </c>
      <c r="E4132" s="0" t="s">
        <v>3</v>
      </c>
      <c r="F4132" s="0" t="s">
        <v>12</v>
      </c>
      <c r="G4132" s="0" t="s">
        <v>8</v>
      </c>
      <c r="H4132" s="0">
        <v>18</v>
      </c>
      <c r="I4132" s="0">
        <v>0</v>
      </c>
      <c r="J4132" s="0">
        <v>0</v>
      </c>
      <c r="K4132" s="0">
        <v>0</v>
      </c>
      <c r="L4132" s="0">
        <v>0</v>
      </c>
      <c r="M4132" s="0">
        <v>0</v>
      </c>
      <c r="N4132" s="0">
        <v>0</v>
      </c>
      <c r="O4132" s="0">
        <v>0</v>
      </c>
      <c r="P4132" s="0">
        <v>0</v>
      </c>
      <c r="R4132" s="0" t="b">
        <v>0</v>
      </c>
      <c r="S4132" s="0" t="b">
        <v>0</v>
      </c>
      <c r="T4132" s="68">
        <v>46035.4571527778</v>
      </c>
      <c r="U4132" s="68">
        <v>0</v>
      </c>
      <c r="V4132" s="68">
        <v>46078.1667361111</v>
      </c>
      <c r="W4132" s="0">
        <f>IF(IF(B4132="none",1,IF(B4132="Trialer",1,0))+IF(C4132="Customer",1,IF(C4132="Lost",1,0))=2,1,0)</f>
      </c>
      <c r="X4132" s="0" t="s">
        <v>148</v>
      </c>
      <c r="Y4132" s="0" t="s">
        <v>243</v>
      </c>
      <c r="AV4132" s="68"/>
      <c r="AW4132" s="68"/>
      <c r="AY4132" s="27"/>
      <c r="BD4132" s="68">
        <v>46054.1666666667</v>
      </c>
      <c r="BE4132" s="68">
        <v>46082.1666666667</v>
      </c>
      <c r="BF4132" s="0" t="b">
        <v>0</v>
      </c>
      <c r="BG4132" s="0" t="b">
        <v>0</v>
      </c>
      <c r="BH4132" s="0">
        <v>44.25</v>
      </c>
      <c r="BI4132" s="0">
        <v>44.25</v>
      </c>
      <c r="BJ4132" s="0" t="s">
        <v>135</v>
      </c>
    </row>
    <row r="4133">
      <c r="A4133" s="0" t="s">
        <v>4392</v>
      </c>
      <c r="B4133" s="0" t="s">
        <v>652</v>
      </c>
      <c r="C4133" s="0" t="s">
        <v>652</v>
      </c>
      <c r="D4133" s="0" t="s">
        <v>135</v>
      </c>
      <c r="E4133" s="0" t="s">
        <v>2</v>
      </c>
      <c r="F4133" s="0" t="s">
        <v>12</v>
      </c>
      <c r="G4133" s="0" t="s">
        <v>8</v>
      </c>
      <c r="H4133" s="0">
        <v>18</v>
      </c>
      <c r="I4133" s="0">
        <v>0</v>
      </c>
      <c r="J4133" s="0">
        <v>0</v>
      </c>
      <c r="K4133" s="0">
        <v>0</v>
      </c>
      <c r="L4133" s="0">
        <v>0</v>
      </c>
      <c r="M4133" s="0">
        <v>0</v>
      </c>
      <c r="N4133" s="0">
        <v>0</v>
      </c>
      <c r="O4133" s="0">
        <v>0</v>
      </c>
      <c r="P4133" s="0">
        <v>0</v>
      </c>
      <c r="R4133" s="0" t="b">
        <v>0</v>
      </c>
      <c r="S4133" s="0" t="b">
        <v>0</v>
      </c>
      <c r="T4133" s="68">
        <v>46035.4593865741</v>
      </c>
      <c r="U4133" s="68">
        <v>0</v>
      </c>
      <c r="V4133" s="68">
        <v>46078.1669560185</v>
      </c>
      <c r="W4133" s="0">
        <f>IF(IF(B4133="none",1,IF(B4133="Trialer",1,0))+IF(C4133="Customer",1,IF(C4133="Lost",1,0))=2,1,0)</f>
      </c>
      <c r="X4133" s="0" t="s">
        <v>145</v>
      </c>
      <c r="Y4133" s="0" t="s">
        <v>499</v>
      </c>
      <c r="AV4133" s="68"/>
      <c r="AW4133" s="68"/>
      <c r="AY4133" s="27"/>
      <c r="BD4133" s="68">
        <v>46054.1666666667</v>
      </c>
      <c r="BE4133" s="68">
        <v>46082.1666666667</v>
      </c>
      <c r="BF4133" s="0" t="b">
        <v>0</v>
      </c>
      <c r="BG4133" s="0" t="b">
        <v>0</v>
      </c>
      <c r="BH4133" s="0">
        <v>44.25</v>
      </c>
      <c r="BI4133" s="0">
        <v>44.25</v>
      </c>
      <c r="BJ4133" s="0" t="s">
        <v>135</v>
      </c>
    </row>
    <row r="4134">
      <c r="A4134" s="0" t="s">
        <v>4393</v>
      </c>
      <c r="B4134" s="0" t="s">
        <v>652</v>
      </c>
      <c r="C4134" s="0" t="s">
        <v>652</v>
      </c>
      <c r="D4134" s="0" t="s">
        <v>135</v>
      </c>
      <c r="E4134" s="0" t="s">
        <v>2414</v>
      </c>
      <c r="F4134" s="0" t="s">
        <v>12</v>
      </c>
      <c r="G4134" s="0" t="s">
        <v>8</v>
      </c>
      <c r="H4134" s="0">
        <v>18</v>
      </c>
      <c r="I4134" s="0">
        <v>0</v>
      </c>
      <c r="J4134" s="0">
        <v>0</v>
      </c>
      <c r="K4134" s="0">
        <v>0</v>
      </c>
      <c r="L4134" s="0">
        <v>0</v>
      </c>
      <c r="M4134" s="0">
        <v>0</v>
      </c>
      <c r="N4134" s="0">
        <v>0</v>
      </c>
      <c r="O4134" s="0">
        <v>0</v>
      </c>
      <c r="P4134" s="0">
        <v>0</v>
      </c>
      <c r="R4134" s="0" t="b">
        <v>0</v>
      </c>
      <c r="S4134" s="0" t="b">
        <v>0</v>
      </c>
      <c r="T4134" s="68">
        <v>46035.4769212963</v>
      </c>
      <c r="U4134" s="68">
        <v>0</v>
      </c>
      <c r="V4134" s="68">
        <v>46078.1667824074</v>
      </c>
      <c r="W4134" s="0">
        <f>IF(IF(B4134="none",1,IF(B4134="Trialer",1,0))+IF(C4134="Customer",1,IF(C4134="Lost",1,0))=2,1,0)</f>
      </c>
      <c r="X4134" s="0" t="s">
        <v>136</v>
      </c>
      <c r="Y4134" s="0" t="s">
        <v>1516</v>
      </c>
      <c r="AV4134" s="68"/>
      <c r="AW4134" s="68"/>
      <c r="AY4134" s="27"/>
      <c r="BD4134" s="68">
        <v>46054.1666666667</v>
      </c>
      <c r="BE4134" s="68">
        <v>46082.1666666667</v>
      </c>
      <c r="BF4134" s="0" t="b">
        <v>0</v>
      </c>
      <c r="BG4134" s="0" t="b">
        <v>0</v>
      </c>
      <c r="BH4134" s="0">
        <v>44.25</v>
      </c>
      <c r="BI4134" s="0">
        <v>44.25</v>
      </c>
      <c r="BJ4134" s="0" t="s">
        <v>135</v>
      </c>
    </row>
    <row r="4135">
      <c r="A4135" s="0" t="s">
        <v>4394</v>
      </c>
      <c r="B4135" s="0" t="s">
        <v>652</v>
      </c>
      <c r="C4135" s="0" t="s">
        <v>652</v>
      </c>
      <c r="D4135" s="0" t="s">
        <v>135</v>
      </c>
      <c r="E4135" s="0" t="s">
        <v>3</v>
      </c>
      <c r="F4135" s="0" t="s">
        <v>12</v>
      </c>
      <c r="G4135" s="0" t="s">
        <v>8</v>
      </c>
      <c r="H4135" s="0">
        <v>18</v>
      </c>
      <c r="I4135" s="0">
        <v>0</v>
      </c>
      <c r="J4135" s="0">
        <v>0</v>
      </c>
      <c r="K4135" s="0">
        <v>0</v>
      </c>
      <c r="L4135" s="0">
        <v>0</v>
      </c>
      <c r="M4135" s="0">
        <v>0</v>
      </c>
      <c r="N4135" s="0">
        <v>0</v>
      </c>
      <c r="O4135" s="0">
        <v>0</v>
      </c>
      <c r="P4135" s="0">
        <v>0</v>
      </c>
      <c r="R4135" s="0" t="b">
        <v>0</v>
      </c>
      <c r="S4135" s="0" t="b">
        <v>0</v>
      </c>
      <c r="T4135" s="68">
        <v>46035.4876041667</v>
      </c>
      <c r="U4135" s="68">
        <v>0</v>
      </c>
      <c r="V4135" s="68">
        <v>46078.1669097222</v>
      </c>
      <c r="W4135" s="0">
        <f>IF(IF(B4135="none",1,IF(B4135="Trialer",1,0))+IF(C4135="Customer",1,IF(C4135="Lost",1,0))=2,1,0)</f>
      </c>
      <c r="X4135" s="0" t="s">
        <v>148</v>
      </c>
      <c r="Y4135" s="0" t="s">
        <v>243</v>
      </c>
      <c r="AV4135" s="68"/>
      <c r="AW4135" s="68"/>
      <c r="AY4135" s="27"/>
      <c r="BD4135" s="68">
        <v>46054.1666666667</v>
      </c>
      <c r="BE4135" s="68">
        <v>46082.1666666667</v>
      </c>
      <c r="BF4135" s="0" t="b">
        <v>0</v>
      </c>
      <c r="BG4135" s="0" t="b">
        <v>0</v>
      </c>
      <c r="BH4135" s="0">
        <v>72.75</v>
      </c>
      <c r="BI4135" s="0">
        <v>72.75</v>
      </c>
      <c r="BJ4135" s="0" t="s">
        <v>135</v>
      </c>
    </row>
    <row r="4136">
      <c r="A4136" s="0" t="s">
        <v>4395</v>
      </c>
      <c r="B4136" s="0" t="s">
        <v>134</v>
      </c>
      <c r="C4136" s="0" t="s">
        <v>134</v>
      </c>
      <c r="D4136" s="0" t="s">
        <v>135</v>
      </c>
      <c r="E4136" s="0" t="s">
        <v>3</v>
      </c>
      <c r="F4136" s="0" t="s">
        <v>12</v>
      </c>
      <c r="G4136" s="0" t="s">
        <v>8</v>
      </c>
      <c r="H4136" s="0">
        <v>18</v>
      </c>
      <c r="I4136" s="0">
        <v>502</v>
      </c>
      <c r="J4136" s="0">
        <v>0</v>
      </c>
      <c r="K4136" s="0">
        <v>1</v>
      </c>
      <c r="L4136" s="0">
        <v>3</v>
      </c>
      <c r="M4136" s="0">
        <v>4</v>
      </c>
      <c r="N4136" s="0">
        <v>0</v>
      </c>
      <c r="O4136" s="0">
        <v>0</v>
      </c>
      <c r="P4136" s="0">
        <v>0</v>
      </c>
      <c r="R4136" s="0" t="b">
        <v>0</v>
      </c>
      <c r="S4136" s="0" t="b">
        <v>1</v>
      </c>
      <c r="T4136" s="68">
        <v>46035.4981134259</v>
      </c>
      <c r="U4136" s="68">
        <v>46036.2916666667</v>
      </c>
      <c r="V4136" s="68">
        <v>0</v>
      </c>
      <c r="W4136" s="0">
        <f>IF(IF(B4136="none",1,IF(B4136="Trialer",1,0))+IF(C4136="Customer",1,IF(C4136="Lost",1,0))=2,1,0)</f>
      </c>
      <c r="X4136" s="0" t="s">
        <v>145</v>
      </c>
      <c r="Y4136" s="0" t="s">
        <v>243</v>
      </c>
      <c r="AV4136" s="68"/>
      <c r="AW4136" s="68"/>
      <c r="AY4136" s="27"/>
      <c r="BD4136" s="68">
        <v>46054.1666666667</v>
      </c>
      <c r="BE4136" s="68">
        <v>46082.1666666667</v>
      </c>
      <c r="BF4136" s="0" t="b">
        <v>0</v>
      </c>
      <c r="BG4136" s="0" t="b">
        <v>0</v>
      </c>
      <c r="BH4136" s="0">
        <v>220.5</v>
      </c>
      <c r="BI4136" s="0">
        <v>220.5</v>
      </c>
      <c r="BJ4136" s="0" t="s">
        <v>135</v>
      </c>
    </row>
    <row r="4137">
      <c r="A4137" s="0" t="s">
        <v>4396</v>
      </c>
      <c r="B4137" s="0" t="s">
        <v>134</v>
      </c>
      <c r="C4137" s="0" t="s">
        <v>134</v>
      </c>
      <c r="D4137" s="0" t="s">
        <v>230</v>
      </c>
      <c r="E4137" s="0" t="s">
        <v>3</v>
      </c>
      <c r="F4137" s="0" t="s">
        <v>12</v>
      </c>
      <c r="G4137" s="0" t="s">
        <v>8</v>
      </c>
      <c r="H4137" s="0">
        <v>18</v>
      </c>
      <c r="I4137" s="0">
        <v>94.5</v>
      </c>
      <c r="J4137" s="0">
        <v>0</v>
      </c>
      <c r="K4137" s="0">
        <v>1</v>
      </c>
      <c r="L4137" s="0">
        <v>1</v>
      </c>
      <c r="M4137" s="0">
        <v>3</v>
      </c>
      <c r="N4137" s="0">
        <v>0</v>
      </c>
      <c r="O4137" s="0">
        <v>0</v>
      </c>
      <c r="P4137" s="0">
        <v>-94.5</v>
      </c>
      <c r="R4137" s="0" t="b">
        <v>0</v>
      </c>
      <c r="S4137" s="0" t="b">
        <v>1</v>
      </c>
      <c r="T4137" s="68">
        <v>46035.5276388889</v>
      </c>
      <c r="U4137" s="68">
        <v>46049.2916666667</v>
      </c>
      <c r="V4137" s="68">
        <v>0</v>
      </c>
      <c r="W4137" s="0">
        <f>IF(IF(B4137="none",1,IF(B4137="Trialer",1,0))+IF(C4137="Customer",1,IF(C4137="Lost",1,0))=2,1,0)</f>
      </c>
      <c r="X4137" s="0" t="s">
        <v>1461</v>
      </c>
      <c r="Y4137" s="0" t="s">
        <v>243</v>
      </c>
      <c r="AV4137" s="68"/>
      <c r="AW4137" s="68"/>
      <c r="AY4137" s="27"/>
      <c r="BD4137" s="68">
        <v>46054.1666666667</v>
      </c>
      <c r="BE4137" s="68">
        <v>46082.1666666667</v>
      </c>
      <c r="BF4137" s="0" t="b">
        <v>0</v>
      </c>
      <c r="BG4137" s="0" t="b">
        <v>0</v>
      </c>
      <c r="BH4137" s="0">
        <v>133</v>
      </c>
      <c r="BI4137" s="0">
        <v>133</v>
      </c>
      <c r="BJ4137" s="0" t="s">
        <v>230</v>
      </c>
    </row>
    <row r="4138">
      <c r="A4138" s="0" t="s">
        <v>4397</v>
      </c>
      <c r="B4138" s="0" t="s">
        <v>652</v>
      </c>
      <c r="C4138" s="0" t="s">
        <v>652</v>
      </c>
      <c r="D4138" s="0" t="s">
        <v>135</v>
      </c>
      <c r="E4138" s="0" t="s">
        <v>2414</v>
      </c>
      <c r="F4138" s="0" t="s">
        <v>12</v>
      </c>
      <c r="G4138" s="0" t="s">
        <v>8</v>
      </c>
      <c r="H4138" s="0">
        <v>18</v>
      </c>
      <c r="I4138" s="0">
        <v>0</v>
      </c>
      <c r="J4138" s="0">
        <v>0</v>
      </c>
      <c r="K4138" s="0">
        <v>0</v>
      </c>
      <c r="L4138" s="0">
        <v>0</v>
      </c>
      <c r="M4138" s="0">
        <v>0</v>
      </c>
      <c r="N4138" s="0">
        <v>0</v>
      </c>
      <c r="O4138" s="0">
        <v>0</v>
      </c>
      <c r="P4138" s="0">
        <v>0</v>
      </c>
      <c r="R4138" s="0" t="b">
        <v>0</v>
      </c>
      <c r="S4138" s="0" t="b">
        <v>0</v>
      </c>
      <c r="T4138" s="68">
        <v>46035.6232175926</v>
      </c>
      <c r="U4138" s="68">
        <v>0</v>
      </c>
      <c r="V4138" s="68">
        <v>46078.1668634259</v>
      </c>
      <c r="W4138" s="0">
        <f>IF(IF(B4138="none",1,IF(B4138="Trialer",1,0))+IF(C4138="Customer",1,IF(C4138="Lost",1,0))=2,1,0)</f>
      </c>
      <c r="X4138" s="0" t="s">
        <v>148</v>
      </c>
      <c r="Y4138" s="0" t="s">
        <v>1516</v>
      </c>
      <c r="AV4138" s="68"/>
      <c r="AW4138" s="68"/>
      <c r="AY4138" s="27"/>
      <c r="BD4138" s="68">
        <v>46054.1666666667</v>
      </c>
      <c r="BE4138" s="68">
        <v>46082.1666666667</v>
      </c>
      <c r="BF4138" s="0" t="b">
        <v>0</v>
      </c>
      <c r="BG4138" s="0" t="b">
        <v>0</v>
      </c>
      <c r="BH4138" s="0">
        <v>53.25</v>
      </c>
      <c r="BI4138" s="0">
        <v>53.25</v>
      </c>
      <c r="BJ4138" s="0" t="s">
        <v>135</v>
      </c>
    </row>
    <row r="4139">
      <c r="A4139" s="0" t="s">
        <v>4398</v>
      </c>
      <c r="B4139" s="0" t="s">
        <v>134</v>
      </c>
      <c r="C4139" s="0" t="s">
        <v>134</v>
      </c>
      <c r="D4139" s="0" t="s">
        <v>135</v>
      </c>
      <c r="E4139" s="0" t="s">
        <v>3</v>
      </c>
      <c r="F4139" s="0" t="s">
        <v>12</v>
      </c>
      <c r="G4139" s="0" t="s">
        <v>8</v>
      </c>
      <c r="H4139" s="0">
        <v>18</v>
      </c>
      <c r="I4139" s="0">
        <v>117</v>
      </c>
      <c r="J4139" s="0">
        <v>0</v>
      </c>
      <c r="K4139" s="0">
        <v>1</v>
      </c>
      <c r="L4139" s="0">
        <v>3</v>
      </c>
      <c r="M4139" s="0">
        <v>3</v>
      </c>
      <c r="N4139" s="0">
        <v>0</v>
      </c>
      <c r="O4139" s="0">
        <v>0</v>
      </c>
      <c r="P4139" s="0">
        <v>0</v>
      </c>
      <c r="R4139" s="0" t="b">
        <v>0</v>
      </c>
      <c r="S4139" s="0" t="b">
        <v>1</v>
      </c>
      <c r="T4139" s="68">
        <v>46035.6426273148</v>
      </c>
      <c r="U4139" s="68">
        <v>46035.2916666667</v>
      </c>
      <c r="V4139" s="68">
        <v>0</v>
      </c>
      <c r="W4139" s="0">
        <f>IF(IF(B4139="none",1,IF(B4139="Trialer",1,0))+IF(C4139="Customer",1,IF(C4139="Lost",1,0))=2,1,0)</f>
      </c>
      <c r="X4139" s="0" t="s">
        <v>882</v>
      </c>
      <c r="Y4139" s="0" t="s">
        <v>243</v>
      </c>
      <c r="AV4139" s="68"/>
      <c r="AW4139" s="68"/>
      <c r="AY4139" s="27"/>
      <c r="BD4139" s="68">
        <v>46054.1666666667</v>
      </c>
      <c r="BE4139" s="68">
        <v>46082.1666666667</v>
      </c>
      <c r="BF4139" s="0" t="b">
        <v>0</v>
      </c>
      <c r="BG4139" s="0" t="b">
        <v>0</v>
      </c>
      <c r="BH4139" s="0">
        <v>195</v>
      </c>
      <c r="BI4139" s="0">
        <v>195</v>
      </c>
      <c r="BJ4139" s="0" t="s">
        <v>135</v>
      </c>
    </row>
    <row r="4140">
      <c r="A4140" s="0" t="s">
        <v>4399</v>
      </c>
      <c r="B4140" s="0" t="s">
        <v>134</v>
      </c>
      <c r="C4140" s="0" t="s">
        <v>134</v>
      </c>
      <c r="D4140" s="0" t="s">
        <v>135</v>
      </c>
      <c r="E4140" s="0" t="s">
        <v>3</v>
      </c>
      <c r="F4140" s="0" t="s">
        <v>12</v>
      </c>
      <c r="G4140" s="0" t="s">
        <v>8</v>
      </c>
      <c r="H4140" s="0">
        <v>18</v>
      </c>
      <c r="I4140" s="0">
        <v>40</v>
      </c>
      <c r="J4140" s="0">
        <v>0</v>
      </c>
      <c r="K4140" s="0">
        <v>1</v>
      </c>
      <c r="L4140" s="0">
        <v>1</v>
      </c>
      <c r="M4140" s="0">
        <v>0</v>
      </c>
      <c r="N4140" s="0">
        <v>0</v>
      </c>
      <c r="O4140" s="0">
        <v>0</v>
      </c>
      <c r="P4140" s="0">
        <v>0</v>
      </c>
      <c r="R4140" s="0" t="b">
        <v>0</v>
      </c>
      <c r="S4140" s="0" t="b">
        <v>1</v>
      </c>
      <c r="T4140" s="68">
        <v>46035.6445138889</v>
      </c>
      <c r="U4140" s="68">
        <v>46035.2916666667</v>
      </c>
      <c r="V4140" s="68">
        <v>0</v>
      </c>
      <c r="W4140" s="0">
        <f>IF(IF(B4140="none",1,IF(B4140="Trialer",1,0))+IF(C4140="Customer",1,IF(C4140="Lost",1,0))=2,1,0)</f>
      </c>
      <c r="X4140" s="0" t="s">
        <v>882</v>
      </c>
      <c r="Y4140" s="0" t="s">
        <v>243</v>
      </c>
      <c r="AV4140" s="68"/>
      <c r="AW4140" s="68"/>
      <c r="AY4140" s="27"/>
      <c r="BD4140" s="68">
        <v>46054.1666666667</v>
      </c>
      <c r="BE4140" s="68">
        <v>46082.1666666667</v>
      </c>
      <c r="BF4140" s="0" t="b">
        <v>0</v>
      </c>
      <c r="BG4140" s="0" t="b">
        <v>0</v>
      </c>
      <c r="BH4140" s="0">
        <v>40</v>
      </c>
      <c r="BI4140" s="0">
        <v>40</v>
      </c>
      <c r="BJ4140" s="0" t="s">
        <v>135</v>
      </c>
    </row>
    <row r="4141">
      <c r="A4141" s="0" t="s">
        <v>4400</v>
      </c>
      <c r="B4141" s="0" t="s">
        <v>134</v>
      </c>
      <c r="C4141" s="0" t="s">
        <v>134</v>
      </c>
      <c r="D4141" s="0" t="s">
        <v>135</v>
      </c>
      <c r="E4141" s="0" t="s">
        <v>3</v>
      </c>
      <c r="F4141" s="0" t="s">
        <v>12</v>
      </c>
      <c r="G4141" s="0" t="s">
        <v>8</v>
      </c>
      <c r="H4141" s="0">
        <v>18</v>
      </c>
      <c r="I4141" s="0">
        <v>40</v>
      </c>
      <c r="J4141" s="0">
        <v>0</v>
      </c>
      <c r="K4141" s="0">
        <v>1</v>
      </c>
      <c r="L4141" s="0">
        <v>1</v>
      </c>
      <c r="M4141" s="0">
        <v>0</v>
      </c>
      <c r="N4141" s="0">
        <v>0</v>
      </c>
      <c r="O4141" s="0">
        <v>0</v>
      </c>
      <c r="P4141" s="0">
        <v>0</v>
      </c>
      <c r="R4141" s="0" t="b">
        <v>0</v>
      </c>
      <c r="S4141" s="0" t="b">
        <v>1</v>
      </c>
      <c r="T4141" s="68">
        <v>46035.6456365741</v>
      </c>
      <c r="U4141" s="68">
        <v>46035.2916666667</v>
      </c>
      <c r="V4141" s="68">
        <v>0</v>
      </c>
      <c r="W4141" s="0">
        <f>IF(IF(B4141="none",1,IF(B4141="Trialer",1,0))+IF(C4141="Customer",1,IF(C4141="Lost",1,0))=2,1,0)</f>
      </c>
      <c r="X4141" s="0" t="s">
        <v>882</v>
      </c>
      <c r="Y4141" s="0" t="s">
        <v>243</v>
      </c>
      <c r="AV4141" s="68"/>
      <c r="AW4141" s="68"/>
      <c r="AY4141" s="27"/>
      <c r="BD4141" s="68">
        <v>46054.1666666667</v>
      </c>
      <c r="BE4141" s="68">
        <v>46082.1666666667</v>
      </c>
      <c r="BF4141" s="0" t="b">
        <v>0</v>
      </c>
      <c r="BG4141" s="0" t="b">
        <v>0</v>
      </c>
      <c r="BH4141" s="0">
        <v>40</v>
      </c>
      <c r="BI4141" s="0">
        <v>40</v>
      </c>
      <c r="BJ4141" s="0" t="s">
        <v>135</v>
      </c>
    </row>
    <row r="4142">
      <c r="A4142" s="0" t="s">
        <v>4401</v>
      </c>
      <c r="B4142" s="0" t="s">
        <v>652</v>
      </c>
      <c r="C4142" s="0" t="s">
        <v>652</v>
      </c>
      <c r="D4142" s="0" t="s">
        <v>135</v>
      </c>
      <c r="E4142" s="0" t="s">
        <v>4</v>
      </c>
      <c r="F4142" s="0" t="s">
        <v>12</v>
      </c>
      <c r="G4142" s="0" t="s">
        <v>8</v>
      </c>
      <c r="H4142" s="0">
        <v>18</v>
      </c>
      <c r="I4142" s="0">
        <v>0</v>
      </c>
      <c r="J4142" s="0">
        <v>0</v>
      </c>
      <c r="K4142" s="0">
        <v>0</v>
      </c>
      <c r="L4142" s="0">
        <v>0</v>
      </c>
      <c r="M4142" s="0">
        <v>0</v>
      </c>
      <c r="N4142" s="0">
        <v>0</v>
      </c>
      <c r="O4142" s="0">
        <v>0</v>
      </c>
      <c r="P4142" s="0">
        <v>0</v>
      </c>
      <c r="R4142" s="0" t="b">
        <v>0</v>
      </c>
      <c r="S4142" s="0" t="b">
        <v>0</v>
      </c>
      <c r="T4142" s="68">
        <v>46035.6664930556</v>
      </c>
      <c r="U4142" s="68">
        <v>0</v>
      </c>
      <c r="V4142" s="68">
        <v>46078.1668171296</v>
      </c>
      <c r="W4142" s="0">
        <f>IF(IF(B4142="none",1,IF(B4142="Trialer",1,0))+IF(C4142="Customer",1,IF(C4142="Lost",1,0))=2,1,0)</f>
      </c>
      <c r="X4142" s="0" t="s">
        <v>148</v>
      </c>
      <c r="Y4142" s="0" t="s">
        <v>1772</v>
      </c>
      <c r="AV4142" s="68"/>
      <c r="AW4142" s="68"/>
      <c r="AY4142" s="27"/>
      <c r="BD4142" s="68">
        <v>46054.1666666667</v>
      </c>
      <c r="BE4142" s="68">
        <v>46082.1666666667</v>
      </c>
      <c r="BF4142" s="0" t="b">
        <v>0</v>
      </c>
      <c r="BG4142" s="0" t="b">
        <v>0</v>
      </c>
      <c r="BH4142" s="0">
        <v>44.25</v>
      </c>
      <c r="BI4142" s="0">
        <v>44.25</v>
      </c>
      <c r="BJ4142" s="0" t="s">
        <v>135</v>
      </c>
    </row>
    <row r="4143">
      <c r="A4143" s="0" t="s">
        <v>4402</v>
      </c>
      <c r="B4143" s="0" t="s">
        <v>652</v>
      </c>
      <c r="C4143" s="0" t="s">
        <v>652</v>
      </c>
      <c r="D4143" s="0" t="s">
        <v>135</v>
      </c>
      <c r="E4143" s="0" t="s">
        <v>3</v>
      </c>
      <c r="F4143" s="0" t="s">
        <v>12</v>
      </c>
      <c r="G4143" s="0" t="s">
        <v>8</v>
      </c>
      <c r="H4143" s="0">
        <v>18</v>
      </c>
      <c r="I4143" s="0">
        <v>0</v>
      </c>
      <c r="J4143" s="0">
        <v>0</v>
      </c>
      <c r="K4143" s="0">
        <v>0</v>
      </c>
      <c r="L4143" s="0">
        <v>0</v>
      </c>
      <c r="M4143" s="0">
        <v>0</v>
      </c>
      <c r="N4143" s="0">
        <v>0</v>
      </c>
      <c r="O4143" s="0">
        <v>0</v>
      </c>
      <c r="P4143" s="0">
        <v>0</v>
      </c>
      <c r="R4143" s="0" t="b">
        <v>0</v>
      </c>
      <c r="S4143" s="0" t="b">
        <v>0</v>
      </c>
      <c r="T4143" s="68">
        <v>46035.6718055556</v>
      </c>
      <c r="U4143" s="68">
        <v>0</v>
      </c>
      <c r="V4143" s="68">
        <v>46078.1668518518</v>
      </c>
      <c r="W4143" s="0">
        <f>IF(IF(B4143="none",1,IF(B4143="Trialer",1,0))+IF(C4143="Customer",1,IF(C4143="Lost",1,0))=2,1,0)</f>
      </c>
      <c r="X4143" s="0" t="s">
        <v>145</v>
      </c>
      <c r="Y4143" s="0" t="s">
        <v>243</v>
      </c>
      <c r="AV4143" s="68"/>
      <c r="AW4143" s="68"/>
      <c r="AY4143" s="27"/>
      <c r="BD4143" s="68">
        <v>46054.1666666667</v>
      </c>
      <c r="BE4143" s="68">
        <v>46082.1666666667</v>
      </c>
      <c r="BF4143" s="0" t="b">
        <v>0</v>
      </c>
      <c r="BG4143" s="0" t="b">
        <v>0</v>
      </c>
      <c r="BH4143" s="0">
        <v>44.25</v>
      </c>
      <c r="BI4143" s="0">
        <v>44.25</v>
      </c>
      <c r="BJ4143" s="0" t="s">
        <v>135</v>
      </c>
    </row>
    <row r="4144">
      <c r="A4144" s="0" t="s">
        <v>4403</v>
      </c>
      <c r="B4144" s="0" t="s">
        <v>134</v>
      </c>
      <c r="C4144" s="0" t="s">
        <v>134</v>
      </c>
      <c r="D4144" s="0" t="s">
        <v>135</v>
      </c>
      <c r="E4144" s="0" t="s">
        <v>2</v>
      </c>
      <c r="F4144" s="0" t="s">
        <v>12</v>
      </c>
      <c r="G4144" s="0" t="s">
        <v>8</v>
      </c>
      <c r="H4144" s="0">
        <v>18</v>
      </c>
      <c r="I4144" s="0">
        <v>117</v>
      </c>
      <c r="J4144" s="0">
        <v>0</v>
      </c>
      <c r="K4144" s="0">
        <v>1</v>
      </c>
      <c r="L4144" s="0">
        <v>5</v>
      </c>
      <c r="M4144" s="0">
        <v>2</v>
      </c>
      <c r="N4144" s="0">
        <v>0</v>
      </c>
      <c r="O4144" s="0">
        <v>0</v>
      </c>
      <c r="P4144" s="0">
        <v>0</v>
      </c>
      <c r="R4144" s="0" t="b">
        <v>0</v>
      </c>
      <c r="S4144" s="0" t="b">
        <v>1</v>
      </c>
      <c r="T4144" s="68">
        <v>46035.7234375</v>
      </c>
      <c r="U4144" s="68">
        <v>46049.2916666667</v>
      </c>
      <c r="V4144" s="68">
        <v>0</v>
      </c>
      <c r="W4144" s="0">
        <f>IF(IF(B4144="none",1,IF(B4144="Trialer",1,0))+IF(C4144="Customer",1,IF(C4144="Lost",1,0))=2,1,0)</f>
      </c>
      <c r="X4144" s="0" t="s">
        <v>1461</v>
      </c>
      <c r="Y4144" s="0" t="s">
        <v>499</v>
      </c>
      <c r="AV4144" s="68"/>
      <c r="AW4144" s="68"/>
      <c r="AY4144" s="27"/>
      <c r="BD4144" s="68">
        <v>46054.1666666667</v>
      </c>
      <c r="BE4144" s="68">
        <v>46082.1666666667</v>
      </c>
      <c r="BF4144" s="0" t="b">
        <v>0</v>
      </c>
      <c r="BG4144" s="0" t="b">
        <v>0</v>
      </c>
      <c r="BH4144" s="0">
        <v>117</v>
      </c>
      <c r="BI4144" s="0">
        <v>117</v>
      </c>
      <c r="BJ4144" s="0" t="s">
        <v>135</v>
      </c>
    </row>
    <row r="4145">
      <c r="A4145" s="0" t="s">
        <v>4404</v>
      </c>
      <c r="B4145" s="0" t="s">
        <v>652</v>
      </c>
      <c r="C4145" s="0" t="s">
        <v>652</v>
      </c>
      <c r="D4145" s="0" t="s">
        <v>135</v>
      </c>
      <c r="E4145" s="0" t="s">
        <v>3</v>
      </c>
      <c r="F4145" s="0" t="s">
        <v>12</v>
      </c>
      <c r="G4145" s="0" t="s">
        <v>8</v>
      </c>
      <c r="H4145" s="0">
        <v>18</v>
      </c>
      <c r="I4145" s="0">
        <v>0</v>
      </c>
      <c r="J4145" s="0">
        <v>0</v>
      </c>
      <c r="K4145" s="0">
        <v>0</v>
      </c>
      <c r="L4145" s="0">
        <v>0</v>
      </c>
      <c r="M4145" s="0">
        <v>0</v>
      </c>
      <c r="N4145" s="0">
        <v>0</v>
      </c>
      <c r="O4145" s="0">
        <v>0</v>
      </c>
      <c r="P4145" s="0">
        <v>0</v>
      </c>
      <c r="R4145" s="0" t="b">
        <v>0</v>
      </c>
      <c r="S4145" s="0" t="b">
        <v>0</v>
      </c>
      <c r="T4145" s="68">
        <v>46035.760150463</v>
      </c>
      <c r="U4145" s="68">
        <v>0</v>
      </c>
      <c r="V4145" s="68">
        <v>46078.1669212963</v>
      </c>
      <c r="W4145" s="0">
        <f>IF(IF(B4145="none",1,IF(B4145="Trialer",1,0))+IF(C4145="Customer",1,IF(C4145="Lost",1,0))=2,1,0)</f>
      </c>
      <c r="X4145" s="0" t="s">
        <v>882</v>
      </c>
      <c r="Y4145" s="0" t="s">
        <v>2664</v>
      </c>
      <c r="AV4145" s="68"/>
      <c r="AW4145" s="68"/>
      <c r="AY4145" s="27"/>
      <c r="BD4145" s="68">
        <v>46054.1666666667</v>
      </c>
      <c r="BE4145" s="68">
        <v>46082.1666666667</v>
      </c>
      <c r="BF4145" s="0" t="b">
        <v>0</v>
      </c>
      <c r="BG4145" s="0" t="b">
        <v>0</v>
      </c>
      <c r="BH4145" s="0">
        <v>44.25</v>
      </c>
      <c r="BI4145" s="0">
        <v>44.25</v>
      </c>
      <c r="BJ4145" s="0" t="s">
        <v>135</v>
      </c>
    </row>
    <row r="4146">
      <c r="A4146" s="0" t="s">
        <v>4405</v>
      </c>
      <c r="B4146" s="0" t="s">
        <v>652</v>
      </c>
      <c r="C4146" s="0" t="s">
        <v>652</v>
      </c>
      <c r="D4146" s="0" t="s">
        <v>135</v>
      </c>
      <c r="E4146" s="0" t="s">
        <v>2</v>
      </c>
      <c r="F4146" s="0" t="s">
        <v>12</v>
      </c>
      <c r="G4146" s="0" t="s">
        <v>8</v>
      </c>
      <c r="H4146" s="0">
        <v>18</v>
      </c>
      <c r="I4146" s="0">
        <v>0</v>
      </c>
      <c r="J4146" s="0">
        <v>0</v>
      </c>
      <c r="K4146" s="0">
        <v>0</v>
      </c>
      <c r="L4146" s="0">
        <v>0</v>
      </c>
      <c r="M4146" s="0">
        <v>0</v>
      </c>
      <c r="N4146" s="0">
        <v>0</v>
      </c>
      <c r="O4146" s="0">
        <v>0</v>
      </c>
      <c r="P4146" s="0">
        <v>0</v>
      </c>
      <c r="R4146" s="0" t="b">
        <v>0</v>
      </c>
      <c r="S4146" s="0" t="b">
        <v>0</v>
      </c>
      <c r="T4146" s="68">
        <v>46035.7782638889</v>
      </c>
      <c r="U4146" s="68">
        <v>0</v>
      </c>
      <c r="V4146" s="68">
        <v>46078.1668055556</v>
      </c>
      <c r="W4146" s="0">
        <f>IF(IF(B4146="none",1,IF(B4146="Trialer",1,0))+IF(C4146="Customer",1,IF(C4146="Lost",1,0))=2,1,0)</f>
      </c>
      <c r="X4146" s="0" t="s">
        <v>136</v>
      </c>
      <c r="Y4146" s="0" t="s">
        <v>499</v>
      </c>
      <c r="AV4146" s="68"/>
      <c r="AW4146" s="68"/>
      <c r="AY4146" s="27"/>
      <c r="BD4146" s="68">
        <v>46054.1666666667</v>
      </c>
      <c r="BE4146" s="68">
        <v>46082.1666666667</v>
      </c>
      <c r="BF4146" s="0" t="b">
        <v>0</v>
      </c>
      <c r="BG4146" s="0" t="b">
        <v>0</v>
      </c>
      <c r="BH4146" s="0">
        <v>63.75</v>
      </c>
      <c r="BI4146" s="0">
        <v>63.75</v>
      </c>
      <c r="BJ4146" s="0" t="s">
        <v>135</v>
      </c>
    </row>
    <row r="4147">
      <c r="A4147" s="0" t="s">
        <v>4406</v>
      </c>
      <c r="B4147" s="0" t="s">
        <v>652</v>
      </c>
      <c r="C4147" s="0" t="s">
        <v>652</v>
      </c>
      <c r="D4147" s="0" t="s">
        <v>135</v>
      </c>
      <c r="E4147" s="0" t="s">
        <v>2414</v>
      </c>
      <c r="F4147" s="0" t="s">
        <v>12</v>
      </c>
      <c r="G4147" s="0" t="s">
        <v>8</v>
      </c>
      <c r="H4147" s="0">
        <v>18</v>
      </c>
      <c r="I4147" s="0">
        <v>0</v>
      </c>
      <c r="J4147" s="0">
        <v>0</v>
      </c>
      <c r="K4147" s="0">
        <v>0</v>
      </c>
      <c r="L4147" s="0">
        <v>0</v>
      </c>
      <c r="M4147" s="0">
        <v>0</v>
      </c>
      <c r="N4147" s="0">
        <v>0</v>
      </c>
      <c r="O4147" s="0">
        <v>0</v>
      </c>
      <c r="P4147" s="0">
        <v>0</v>
      </c>
      <c r="R4147" s="0" t="b">
        <v>0</v>
      </c>
      <c r="S4147" s="0" t="b">
        <v>0</v>
      </c>
      <c r="T4147" s="68">
        <v>46035.8165162037</v>
      </c>
      <c r="U4147" s="68">
        <v>0</v>
      </c>
      <c r="V4147" s="68">
        <v>46059.5327314815</v>
      </c>
      <c r="W4147" s="0">
        <f>IF(IF(B4147="none",1,IF(B4147="Trialer",1,0))+IF(C4147="Customer",1,IF(C4147="Lost",1,0))=2,1,0)</f>
      </c>
      <c r="X4147" s="0" t="s">
        <v>1461</v>
      </c>
      <c r="Y4147" s="0" t="s">
        <v>1516</v>
      </c>
      <c r="AV4147" s="68"/>
      <c r="AW4147" s="68"/>
      <c r="AY4147" s="27"/>
      <c r="BD4147" s="68">
        <v>46054.1666666667</v>
      </c>
      <c r="BE4147" s="68">
        <v>46082.1666666667</v>
      </c>
      <c r="BF4147" s="0" t="b">
        <v>1</v>
      </c>
      <c r="BG4147" s="0" t="b">
        <v>0</v>
      </c>
      <c r="BH4147" s="0">
        <v>44.25</v>
      </c>
      <c r="BI4147" s="0">
        <v>44.25</v>
      </c>
      <c r="BJ4147" s="0" t="s">
        <v>135</v>
      </c>
    </row>
    <row r="4148">
      <c r="A4148" s="0" t="s">
        <v>4407</v>
      </c>
      <c r="B4148" s="0" t="s">
        <v>652</v>
      </c>
      <c r="C4148" s="0" t="s">
        <v>652</v>
      </c>
      <c r="D4148" s="0" t="s">
        <v>135</v>
      </c>
      <c r="E4148" s="0" t="s">
        <v>3</v>
      </c>
      <c r="F4148" s="0" t="s">
        <v>12</v>
      </c>
      <c r="G4148" s="0" t="s">
        <v>8</v>
      </c>
      <c r="H4148" s="0">
        <v>18</v>
      </c>
      <c r="I4148" s="0">
        <v>0</v>
      </c>
      <c r="J4148" s="0">
        <v>0</v>
      </c>
      <c r="K4148" s="0">
        <v>0</v>
      </c>
      <c r="L4148" s="0">
        <v>0</v>
      </c>
      <c r="M4148" s="0">
        <v>0</v>
      </c>
      <c r="N4148" s="0">
        <v>0</v>
      </c>
      <c r="O4148" s="0">
        <v>0</v>
      </c>
      <c r="P4148" s="0">
        <v>0</v>
      </c>
      <c r="R4148" s="0" t="b">
        <v>0</v>
      </c>
      <c r="S4148" s="0" t="b">
        <v>0</v>
      </c>
      <c r="T4148" s="68">
        <v>46035.8427430556</v>
      </c>
      <c r="U4148" s="68">
        <v>0</v>
      </c>
      <c r="V4148" s="68">
        <v>46054.9117361111</v>
      </c>
      <c r="W4148" s="0">
        <f>IF(IF(B4148="none",1,IF(B4148="Trialer",1,0))+IF(C4148="Customer",1,IF(C4148="Lost",1,0))=2,1,0)</f>
      </c>
      <c r="X4148" s="0" t="s">
        <v>148</v>
      </c>
      <c r="Y4148" s="0" t="s">
        <v>243</v>
      </c>
      <c r="AV4148" s="68"/>
      <c r="AW4148" s="68"/>
      <c r="AY4148" s="27"/>
      <c r="BD4148" s="68">
        <v>46054.1666666667</v>
      </c>
      <c r="BE4148" s="68">
        <v>46082.1666666667</v>
      </c>
      <c r="BF4148" s="0" t="b">
        <v>0</v>
      </c>
      <c r="BG4148" s="0" t="b">
        <v>0</v>
      </c>
      <c r="BH4148" s="0">
        <v>44.25</v>
      </c>
      <c r="BI4148" s="0">
        <v>44.25</v>
      </c>
      <c r="BJ4148" s="0" t="s">
        <v>135</v>
      </c>
    </row>
    <row r="4149">
      <c r="A4149" s="0" t="s">
        <v>4408</v>
      </c>
      <c r="B4149" s="0" t="s">
        <v>652</v>
      </c>
      <c r="C4149" s="0" t="s">
        <v>652</v>
      </c>
      <c r="D4149" s="0" t="s">
        <v>135</v>
      </c>
      <c r="E4149" s="0" t="s">
        <v>2414</v>
      </c>
      <c r="F4149" s="0" t="s">
        <v>12</v>
      </c>
      <c r="G4149" s="0" t="s">
        <v>8</v>
      </c>
      <c r="H4149" s="0">
        <v>18</v>
      </c>
      <c r="I4149" s="0">
        <v>0</v>
      </c>
      <c r="J4149" s="0">
        <v>0</v>
      </c>
      <c r="K4149" s="0">
        <v>0</v>
      </c>
      <c r="L4149" s="0">
        <v>0</v>
      </c>
      <c r="M4149" s="0">
        <v>0</v>
      </c>
      <c r="N4149" s="0">
        <v>0</v>
      </c>
      <c r="O4149" s="0">
        <v>0</v>
      </c>
      <c r="P4149" s="0">
        <v>0</v>
      </c>
      <c r="R4149" s="0" t="b">
        <v>0</v>
      </c>
      <c r="S4149" s="0" t="b">
        <v>0</v>
      </c>
      <c r="T4149" s="68">
        <v>46035.8443402778</v>
      </c>
      <c r="U4149" s="68">
        <v>0</v>
      </c>
      <c r="V4149" s="68">
        <v>46078.166875</v>
      </c>
      <c r="W4149" s="0">
        <f>IF(IF(B4149="none",1,IF(B4149="Trialer",1,0))+IF(C4149="Customer",1,IF(C4149="Lost",1,0))=2,1,0)</f>
      </c>
      <c r="X4149" s="0" t="s">
        <v>145</v>
      </c>
      <c r="Y4149" s="0" t="s">
        <v>1516</v>
      </c>
      <c r="AV4149" s="68"/>
      <c r="AW4149" s="68"/>
      <c r="AY4149" s="27"/>
      <c r="BD4149" s="68">
        <v>46054.1666666667</v>
      </c>
      <c r="BE4149" s="68">
        <v>46082.1666666667</v>
      </c>
      <c r="BF4149" s="0" t="b">
        <v>0</v>
      </c>
      <c r="BG4149" s="0" t="b">
        <v>0</v>
      </c>
      <c r="BH4149" s="0">
        <v>44.25</v>
      </c>
      <c r="BI4149" s="0">
        <v>44.25</v>
      </c>
      <c r="BJ4149" s="0" t="s">
        <v>135</v>
      </c>
    </row>
    <row r="4150">
      <c r="A4150" s="0" t="s">
        <v>4409</v>
      </c>
      <c r="B4150" s="0" t="s">
        <v>652</v>
      </c>
      <c r="C4150" s="0" t="s">
        <v>652</v>
      </c>
      <c r="D4150" s="0" t="s">
        <v>135</v>
      </c>
      <c r="E4150" s="0" t="s">
        <v>3</v>
      </c>
      <c r="F4150" s="0" t="s">
        <v>12</v>
      </c>
      <c r="G4150" s="0" t="s">
        <v>8</v>
      </c>
      <c r="H4150" s="0">
        <v>17</v>
      </c>
      <c r="I4150" s="0">
        <v>0</v>
      </c>
      <c r="J4150" s="0">
        <v>0</v>
      </c>
      <c r="K4150" s="0">
        <v>0</v>
      </c>
      <c r="L4150" s="0">
        <v>0</v>
      </c>
      <c r="M4150" s="0">
        <v>0</v>
      </c>
      <c r="N4150" s="0">
        <v>0</v>
      </c>
      <c r="O4150" s="0">
        <v>0</v>
      </c>
      <c r="P4150" s="0">
        <v>0</v>
      </c>
      <c r="R4150" s="0" t="b">
        <v>0</v>
      </c>
      <c r="S4150" s="0" t="b">
        <v>0</v>
      </c>
      <c r="T4150" s="68">
        <v>46036.0659143518</v>
      </c>
      <c r="U4150" s="68">
        <v>0</v>
      </c>
      <c r="V4150" s="68">
        <v>46078.1668055556</v>
      </c>
      <c r="W4150" s="0">
        <f>IF(IF(B4150="none",1,IF(B4150="Trialer",1,0))+IF(C4150="Customer",1,IF(C4150="Lost",1,0))=2,1,0)</f>
      </c>
      <c r="X4150" s="0" t="s">
        <v>136</v>
      </c>
      <c r="Y4150" s="0" t="s">
        <v>243</v>
      </c>
      <c r="AV4150" s="68"/>
      <c r="AW4150" s="68"/>
      <c r="AY4150" s="27"/>
      <c r="BD4150" s="68">
        <v>46054.1666666667</v>
      </c>
      <c r="BE4150" s="68">
        <v>46082.1666666667</v>
      </c>
      <c r="BF4150" s="0" t="b">
        <v>0</v>
      </c>
      <c r="BG4150" s="0" t="b">
        <v>0</v>
      </c>
      <c r="BH4150" s="0">
        <v>44.25</v>
      </c>
      <c r="BI4150" s="0">
        <v>44.25</v>
      </c>
      <c r="BJ4150" s="0" t="s">
        <v>135</v>
      </c>
    </row>
    <row r="4151">
      <c r="A4151" s="0" t="s">
        <v>4410</v>
      </c>
      <c r="B4151" s="0" t="s">
        <v>652</v>
      </c>
      <c r="C4151" s="0" t="s">
        <v>652</v>
      </c>
      <c r="D4151" s="0" t="s">
        <v>135</v>
      </c>
      <c r="E4151" s="0" t="s">
        <v>3</v>
      </c>
      <c r="F4151" s="0" t="s">
        <v>12</v>
      </c>
      <c r="G4151" s="0" t="s">
        <v>8</v>
      </c>
      <c r="H4151" s="0">
        <v>17</v>
      </c>
      <c r="I4151" s="0">
        <v>0</v>
      </c>
      <c r="J4151" s="0">
        <v>0</v>
      </c>
      <c r="K4151" s="0">
        <v>0</v>
      </c>
      <c r="L4151" s="0">
        <v>0</v>
      </c>
      <c r="M4151" s="0">
        <v>0</v>
      </c>
      <c r="N4151" s="0">
        <v>0</v>
      </c>
      <c r="O4151" s="0">
        <v>0</v>
      </c>
      <c r="P4151" s="0">
        <v>0</v>
      </c>
      <c r="R4151" s="0" t="b">
        <v>0</v>
      </c>
      <c r="S4151" s="0" t="b">
        <v>0</v>
      </c>
      <c r="T4151" s="68">
        <v>46036.1152199074</v>
      </c>
      <c r="U4151" s="68">
        <v>0</v>
      </c>
      <c r="V4151" s="68">
        <v>46078.1668171296</v>
      </c>
      <c r="W4151" s="0">
        <f>IF(IF(B4151="none",1,IF(B4151="Trialer",1,0))+IF(C4151="Customer",1,IF(C4151="Lost",1,0))=2,1,0)</f>
      </c>
      <c r="X4151" s="0" t="s">
        <v>148</v>
      </c>
      <c r="Y4151" s="0" t="s">
        <v>243</v>
      </c>
      <c r="AV4151" s="68"/>
      <c r="AW4151" s="68"/>
      <c r="AY4151" s="27"/>
      <c r="BD4151" s="68">
        <v>46054.1666666667</v>
      </c>
      <c r="BE4151" s="68">
        <v>46082.1666666667</v>
      </c>
      <c r="BF4151" s="0" t="b">
        <v>0</v>
      </c>
      <c r="BG4151" s="0" t="b">
        <v>0</v>
      </c>
      <c r="BH4151" s="0">
        <v>44.25</v>
      </c>
      <c r="BI4151" s="0">
        <v>44.25</v>
      </c>
      <c r="BJ4151" s="0" t="s">
        <v>135</v>
      </c>
    </row>
    <row r="4152">
      <c r="A4152" s="0" t="s">
        <v>4411</v>
      </c>
      <c r="B4152" s="0" t="s">
        <v>652</v>
      </c>
      <c r="C4152" s="0" t="s">
        <v>652</v>
      </c>
      <c r="D4152" s="0" t="s">
        <v>135</v>
      </c>
      <c r="E4152" s="0" t="s">
        <v>3</v>
      </c>
      <c r="F4152" s="0" t="s">
        <v>12</v>
      </c>
      <c r="G4152" s="0" t="s">
        <v>8</v>
      </c>
      <c r="H4152" s="0">
        <v>17</v>
      </c>
      <c r="I4152" s="0">
        <v>0</v>
      </c>
      <c r="J4152" s="0">
        <v>0</v>
      </c>
      <c r="K4152" s="0">
        <v>0</v>
      </c>
      <c r="L4152" s="0">
        <v>0</v>
      </c>
      <c r="M4152" s="0">
        <v>0</v>
      </c>
      <c r="N4152" s="0">
        <v>0</v>
      </c>
      <c r="O4152" s="0">
        <v>0</v>
      </c>
      <c r="P4152" s="0">
        <v>0</v>
      </c>
      <c r="R4152" s="0" t="b">
        <v>0</v>
      </c>
      <c r="S4152" s="0" t="b">
        <v>0</v>
      </c>
      <c r="T4152" s="68">
        <v>46036.2169097222</v>
      </c>
      <c r="U4152" s="68">
        <v>0</v>
      </c>
      <c r="V4152" s="68">
        <v>46079.1671643518</v>
      </c>
      <c r="W4152" s="0">
        <f>IF(IF(B4152="none",1,IF(B4152="Trialer",1,0))+IF(C4152="Customer",1,IF(C4152="Lost",1,0))=2,1,0)</f>
      </c>
      <c r="X4152" s="0" t="s">
        <v>136</v>
      </c>
      <c r="Y4152" s="0" t="s">
        <v>2664</v>
      </c>
      <c r="AV4152" s="68"/>
      <c r="AW4152" s="68"/>
      <c r="AY4152" s="27"/>
      <c r="BD4152" s="68">
        <v>46054.1666666667</v>
      </c>
      <c r="BE4152" s="68">
        <v>46082.1666666667</v>
      </c>
      <c r="BF4152" s="0" t="b">
        <v>0</v>
      </c>
      <c r="BG4152" s="0" t="b">
        <v>0</v>
      </c>
      <c r="BH4152" s="0">
        <v>132.75</v>
      </c>
      <c r="BI4152" s="0">
        <v>132.75</v>
      </c>
      <c r="BJ4152" s="0" t="s">
        <v>135</v>
      </c>
    </row>
    <row r="4153">
      <c r="A4153" s="0" t="s">
        <v>4412</v>
      </c>
      <c r="B4153" s="0" t="s">
        <v>652</v>
      </c>
      <c r="C4153" s="0" t="s">
        <v>134</v>
      </c>
      <c r="D4153" s="0" t="s">
        <v>135</v>
      </c>
      <c r="E4153" s="0" t="s">
        <v>3</v>
      </c>
      <c r="F4153" s="0" t="s">
        <v>12</v>
      </c>
      <c r="G4153" s="0" t="s">
        <v>8</v>
      </c>
      <c r="H4153" s="0">
        <v>17</v>
      </c>
      <c r="I4153" s="0">
        <v>236.25</v>
      </c>
      <c r="J4153" s="0">
        <v>0</v>
      </c>
      <c r="K4153" s="0">
        <v>2</v>
      </c>
      <c r="L4153" s="0">
        <v>2</v>
      </c>
      <c r="M4153" s="0">
        <v>4</v>
      </c>
      <c r="N4153" s="0">
        <v>0</v>
      </c>
      <c r="O4153" s="0">
        <v>0</v>
      </c>
      <c r="P4153" s="0">
        <v>0</v>
      </c>
      <c r="R4153" s="0" t="b">
        <v>0</v>
      </c>
      <c r="S4153" s="0" t="b">
        <v>1</v>
      </c>
      <c r="T4153" s="68">
        <v>46036.3570949074</v>
      </c>
      <c r="U4153" s="68">
        <v>46057.2916666667</v>
      </c>
      <c r="V4153" s="68">
        <v>0</v>
      </c>
      <c r="W4153" s="0">
        <f>IF(IF(B4153="none",1,IF(B4153="Trialer",1,0))+IF(C4153="Customer",1,IF(C4153="Lost",1,0))=2,1,0)</f>
      </c>
      <c r="X4153" s="0" t="s">
        <v>1461</v>
      </c>
      <c r="Y4153" s="0" t="s">
        <v>243</v>
      </c>
      <c r="AV4153" s="68"/>
      <c r="AW4153" s="68"/>
      <c r="AY4153" s="27"/>
      <c r="BD4153" s="68">
        <v>46054.1666666667</v>
      </c>
      <c r="BE4153" s="68">
        <v>46082.1666666667</v>
      </c>
      <c r="BF4153" s="0" t="b">
        <v>0</v>
      </c>
      <c r="BG4153" s="0" t="b">
        <v>0</v>
      </c>
      <c r="BH4153" s="0">
        <v>135</v>
      </c>
      <c r="BI4153" s="0">
        <v>135</v>
      </c>
      <c r="BJ4153" s="0" t="s">
        <v>135</v>
      </c>
    </row>
    <row r="4154">
      <c r="A4154" s="0" t="s">
        <v>4413</v>
      </c>
      <c r="B4154" s="0" t="s">
        <v>652</v>
      </c>
      <c r="C4154" s="0" t="s">
        <v>652</v>
      </c>
      <c r="D4154" s="0" t="s">
        <v>135</v>
      </c>
      <c r="E4154" s="0" t="s">
        <v>3</v>
      </c>
      <c r="F4154" s="0" t="s">
        <v>12</v>
      </c>
      <c r="G4154" s="0" t="s">
        <v>8</v>
      </c>
      <c r="H4154" s="0">
        <v>17</v>
      </c>
      <c r="I4154" s="0">
        <v>0</v>
      </c>
      <c r="J4154" s="0">
        <v>0</v>
      </c>
      <c r="K4154" s="0">
        <v>0</v>
      </c>
      <c r="L4154" s="0">
        <v>0</v>
      </c>
      <c r="M4154" s="0">
        <v>0</v>
      </c>
      <c r="N4154" s="0">
        <v>0</v>
      </c>
      <c r="O4154" s="0">
        <v>0</v>
      </c>
      <c r="P4154" s="0">
        <v>0</v>
      </c>
      <c r="R4154" s="0" t="b">
        <v>0</v>
      </c>
      <c r="S4154" s="0" t="b">
        <v>0</v>
      </c>
      <c r="T4154" s="68">
        <v>46036.4198611111</v>
      </c>
      <c r="U4154" s="68">
        <v>0</v>
      </c>
      <c r="V4154" s="68">
        <v>46079.1670833333</v>
      </c>
      <c r="W4154" s="0">
        <f>IF(IF(B4154="none",1,IF(B4154="Trialer",1,0))+IF(C4154="Customer",1,IF(C4154="Lost",1,0))=2,1,0)</f>
      </c>
      <c r="X4154" s="0" t="s">
        <v>148</v>
      </c>
      <c r="Y4154" s="0" t="s">
        <v>243</v>
      </c>
      <c r="AV4154" s="68"/>
      <c r="AW4154" s="68"/>
      <c r="AY4154" s="27"/>
      <c r="BD4154" s="68">
        <v>46054.1666666667</v>
      </c>
      <c r="BE4154" s="68">
        <v>46082.1666666667</v>
      </c>
      <c r="BF4154" s="0" t="b">
        <v>0</v>
      </c>
      <c r="BG4154" s="0" t="b">
        <v>0</v>
      </c>
      <c r="BH4154" s="0">
        <v>54.75</v>
      </c>
      <c r="BI4154" s="0">
        <v>54.75</v>
      </c>
      <c r="BJ4154" s="0" t="s">
        <v>135</v>
      </c>
    </row>
    <row r="4155">
      <c r="A4155" s="0" t="s">
        <v>4414</v>
      </c>
      <c r="B4155" s="0" t="s">
        <v>652</v>
      </c>
      <c r="C4155" s="0" t="s">
        <v>652</v>
      </c>
      <c r="D4155" s="0" t="s">
        <v>135</v>
      </c>
      <c r="E4155" s="0" t="s">
        <v>2</v>
      </c>
      <c r="F4155" s="0" t="s">
        <v>12</v>
      </c>
      <c r="G4155" s="0" t="s">
        <v>8</v>
      </c>
      <c r="H4155" s="0">
        <v>17</v>
      </c>
      <c r="I4155" s="0">
        <v>0</v>
      </c>
      <c r="J4155" s="0">
        <v>0</v>
      </c>
      <c r="K4155" s="0">
        <v>0</v>
      </c>
      <c r="L4155" s="0">
        <v>0</v>
      </c>
      <c r="M4155" s="0">
        <v>0</v>
      </c>
      <c r="N4155" s="0">
        <v>0</v>
      </c>
      <c r="O4155" s="0">
        <v>0</v>
      </c>
      <c r="P4155" s="0">
        <v>0</v>
      </c>
      <c r="R4155" s="0" t="b">
        <v>0</v>
      </c>
      <c r="S4155" s="0" t="b">
        <v>1</v>
      </c>
      <c r="T4155" s="68">
        <v>46036.4234490741</v>
      </c>
      <c r="U4155" s="68">
        <v>46098.3333333333</v>
      </c>
      <c r="V4155" s="68">
        <v>0</v>
      </c>
      <c r="W4155" s="0">
        <f>IF(IF(B4155="none",1,IF(B4155="Trialer",1,0))+IF(C4155="Customer",1,IF(C4155="Lost",1,0))=2,1,0)</f>
      </c>
      <c r="X4155" s="0" t="s">
        <v>1461</v>
      </c>
      <c r="Y4155" s="0" t="s">
        <v>499</v>
      </c>
      <c r="AV4155" s="68"/>
      <c r="AW4155" s="68"/>
      <c r="AY4155" s="27"/>
      <c r="BD4155" s="68">
        <v>46054.1666666667</v>
      </c>
      <c r="BE4155" s="68">
        <v>46082.1666666667</v>
      </c>
      <c r="BF4155" s="0" t="b">
        <v>0</v>
      </c>
      <c r="BG4155" s="0" t="b">
        <v>0</v>
      </c>
      <c r="BH4155" s="0">
        <v>88.5</v>
      </c>
      <c r="BI4155" s="0">
        <v>88.5</v>
      </c>
      <c r="BJ4155" s="0" t="s">
        <v>135</v>
      </c>
    </row>
    <row r="4156">
      <c r="A4156" s="0" t="s">
        <v>4415</v>
      </c>
      <c r="B4156" s="0" t="s">
        <v>652</v>
      </c>
      <c r="C4156" s="0" t="s">
        <v>652</v>
      </c>
      <c r="D4156" s="0" t="s">
        <v>135</v>
      </c>
      <c r="E4156" s="0" t="s">
        <v>3</v>
      </c>
      <c r="F4156" s="0" t="s">
        <v>12</v>
      </c>
      <c r="G4156" s="0" t="s">
        <v>8</v>
      </c>
      <c r="H4156" s="0">
        <v>17</v>
      </c>
      <c r="I4156" s="0">
        <v>0</v>
      </c>
      <c r="J4156" s="0">
        <v>0</v>
      </c>
      <c r="K4156" s="0">
        <v>0</v>
      </c>
      <c r="L4156" s="0">
        <v>0</v>
      </c>
      <c r="M4156" s="0">
        <v>0</v>
      </c>
      <c r="N4156" s="0">
        <v>0</v>
      </c>
      <c r="O4156" s="0">
        <v>0</v>
      </c>
      <c r="P4156" s="0">
        <v>0</v>
      </c>
      <c r="R4156" s="0" t="b">
        <v>0</v>
      </c>
      <c r="S4156" s="0" t="b">
        <v>0</v>
      </c>
      <c r="T4156" s="68">
        <v>46036.443912037</v>
      </c>
      <c r="U4156" s="68">
        <v>0</v>
      </c>
      <c r="V4156" s="68">
        <v>46079.1669560185</v>
      </c>
      <c r="W4156" s="0">
        <f>IF(IF(B4156="none",1,IF(B4156="Trialer",1,0))+IF(C4156="Customer",1,IF(C4156="Lost",1,0))=2,1,0)</f>
      </c>
      <c r="X4156" s="0" t="s">
        <v>145</v>
      </c>
      <c r="Y4156" s="0" t="s">
        <v>243</v>
      </c>
      <c r="AV4156" s="68"/>
      <c r="AW4156" s="68"/>
      <c r="AY4156" s="27"/>
      <c r="BD4156" s="68">
        <v>46054.1666666667</v>
      </c>
      <c r="BE4156" s="68">
        <v>46082.1666666667</v>
      </c>
      <c r="BF4156" s="0" t="b">
        <v>0</v>
      </c>
      <c r="BG4156" s="0" t="b">
        <v>0</v>
      </c>
      <c r="BH4156" s="0">
        <v>53.25</v>
      </c>
      <c r="BI4156" s="0">
        <v>53.25</v>
      </c>
      <c r="BJ4156" s="0" t="s">
        <v>135</v>
      </c>
    </row>
    <row r="4157">
      <c r="A4157" s="0" t="s">
        <v>4416</v>
      </c>
      <c r="B4157" s="0" t="s">
        <v>652</v>
      </c>
      <c r="C4157" s="0" t="s">
        <v>652</v>
      </c>
      <c r="D4157" s="0" t="s">
        <v>135</v>
      </c>
      <c r="E4157" s="0" t="s">
        <v>3</v>
      </c>
      <c r="F4157" s="0" t="s">
        <v>12</v>
      </c>
      <c r="G4157" s="0" t="s">
        <v>8</v>
      </c>
      <c r="H4157" s="0">
        <v>17</v>
      </c>
      <c r="I4157" s="0">
        <v>0</v>
      </c>
      <c r="J4157" s="0">
        <v>0</v>
      </c>
      <c r="K4157" s="0">
        <v>0</v>
      </c>
      <c r="L4157" s="0">
        <v>0</v>
      </c>
      <c r="M4157" s="0">
        <v>0</v>
      </c>
      <c r="N4157" s="0">
        <v>0</v>
      </c>
      <c r="O4157" s="0">
        <v>0</v>
      </c>
      <c r="P4157" s="0">
        <v>0</v>
      </c>
      <c r="R4157" s="0" t="b">
        <v>0</v>
      </c>
      <c r="S4157" s="0" t="b">
        <v>0</v>
      </c>
      <c r="T4157" s="68">
        <v>46036.4477893518</v>
      </c>
      <c r="U4157" s="68">
        <v>0</v>
      </c>
      <c r="V4157" s="68">
        <v>46079.1671643518</v>
      </c>
      <c r="W4157" s="0">
        <f>IF(IF(B4157="none",1,IF(B4157="Trialer",1,0))+IF(C4157="Customer",1,IF(C4157="Lost",1,0))=2,1,0)</f>
      </c>
      <c r="X4157" s="0" t="s">
        <v>136</v>
      </c>
      <c r="Y4157" s="0" t="s">
        <v>243</v>
      </c>
      <c r="AV4157" s="68"/>
      <c r="AW4157" s="68"/>
      <c r="AY4157" s="27"/>
      <c r="BD4157" s="68">
        <v>46054.1666666667</v>
      </c>
      <c r="BE4157" s="68">
        <v>46082.1666666667</v>
      </c>
      <c r="BF4157" s="0" t="b">
        <v>0</v>
      </c>
      <c r="BG4157" s="0" t="b">
        <v>0</v>
      </c>
      <c r="BH4157" s="0">
        <v>44.25</v>
      </c>
      <c r="BI4157" s="0">
        <v>44.25</v>
      </c>
      <c r="BJ4157" s="0" t="s">
        <v>135</v>
      </c>
    </row>
    <row r="4158">
      <c r="A4158" s="0" t="s">
        <v>4417</v>
      </c>
      <c r="B4158" s="0" t="s">
        <v>652</v>
      </c>
      <c r="C4158" s="0" t="s">
        <v>652</v>
      </c>
      <c r="D4158" s="0" t="s">
        <v>135</v>
      </c>
      <c r="E4158" s="0" t="s">
        <v>3</v>
      </c>
      <c r="F4158" s="0" t="s">
        <v>12</v>
      </c>
      <c r="G4158" s="0" t="s">
        <v>8</v>
      </c>
      <c r="H4158" s="0">
        <v>17</v>
      </c>
      <c r="I4158" s="0">
        <v>0</v>
      </c>
      <c r="J4158" s="0">
        <v>0</v>
      </c>
      <c r="K4158" s="0">
        <v>0</v>
      </c>
      <c r="L4158" s="0">
        <v>0</v>
      </c>
      <c r="M4158" s="0">
        <v>0</v>
      </c>
      <c r="N4158" s="0">
        <v>0</v>
      </c>
      <c r="O4158" s="0">
        <v>0</v>
      </c>
      <c r="P4158" s="0">
        <v>0</v>
      </c>
      <c r="R4158" s="0" t="b">
        <v>0</v>
      </c>
      <c r="S4158" s="0" t="b">
        <v>0</v>
      </c>
      <c r="T4158" s="68">
        <v>46036.4620601852</v>
      </c>
      <c r="U4158" s="68">
        <v>0</v>
      </c>
      <c r="V4158" s="68">
        <v>46079.1671296296</v>
      </c>
      <c r="W4158" s="0">
        <f>IF(IF(B4158="none",1,IF(B4158="Trialer",1,0))+IF(C4158="Customer",1,IF(C4158="Lost",1,0))=2,1,0)</f>
      </c>
      <c r="X4158" s="0" t="s">
        <v>145</v>
      </c>
      <c r="Y4158" s="0" t="s">
        <v>243</v>
      </c>
      <c r="AV4158" s="68"/>
      <c r="AW4158" s="68"/>
      <c r="AY4158" s="27"/>
      <c r="BD4158" s="68">
        <v>46054.1666666667</v>
      </c>
      <c r="BE4158" s="68">
        <v>46082.1666666667</v>
      </c>
      <c r="BF4158" s="0" t="b">
        <v>0</v>
      </c>
      <c r="BG4158" s="0" t="b">
        <v>0</v>
      </c>
      <c r="BH4158" s="0">
        <v>44.25</v>
      </c>
      <c r="BI4158" s="0">
        <v>44.25</v>
      </c>
      <c r="BJ4158" s="0" t="s">
        <v>135</v>
      </c>
    </row>
    <row r="4159">
      <c r="A4159" s="0" t="s">
        <v>4418</v>
      </c>
      <c r="B4159" s="0" t="s">
        <v>652</v>
      </c>
      <c r="C4159" s="0" t="s">
        <v>652</v>
      </c>
      <c r="D4159" s="0" t="s">
        <v>135</v>
      </c>
      <c r="E4159" s="0" t="s">
        <v>3</v>
      </c>
      <c r="F4159" s="0" t="s">
        <v>12</v>
      </c>
      <c r="G4159" s="0" t="s">
        <v>8</v>
      </c>
      <c r="H4159" s="0">
        <v>17</v>
      </c>
      <c r="I4159" s="0">
        <v>0</v>
      </c>
      <c r="J4159" s="0">
        <v>0</v>
      </c>
      <c r="K4159" s="0">
        <v>0</v>
      </c>
      <c r="L4159" s="0">
        <v>0</v>
      </c>
      <c r="M4159" s="0">
        <v>0</v>
      </c>
      <c r="N4159" s="0">
        <v>0</v>
      </c>
      <c r="O4159" s="0">
        <v>0</v>
      </c>
      <c r="P4159" s="0">
        <v>0</v>
      </c>
      <c r="R4159" s="0" t="b">
        <v>0</v>
      </c>
      <c r="S4159" s="0" t="b">
        <v>0</v>
      </c>
      <c r="T4159" s="68">
        <v>46036.473275463</v>
      </c>
      <c r="U4159" s="68">
        <v>0</v>
      </c>
      <c r="V4159" s="68">
        <v>46079.1669907407</v>
      </c>
      <c r="W4159" s="0">
        <f>IF(IF(B4159="none",1,IF(B4159="Trialer",1,0))+IF(C4159="Customer",1,IF(C4159="Lost",1,0))=2,1,0)</f>
      </c>
      <c r="X4159" s="0" t="s">
        <v>136</v>
      </c>
      <c r="Y4159" s="0" t="s">
        <v>243</v>
      </c>
      <c r="AV4159" s="68"/>
      <c r="AW4159" s="68"/>
      <c r="AY4159" s="27"/>
      <c r="BD4159" s="68">
        <v>46054.1666666667</v>
      </c>
      <c r="BE4159" s="68">
        <v>46082.1666666667</v>
      </c>
      <c r="BF4159" s="0" t="b">
        <v>0</v>
      </c>
      <c r="BG4159" s="0" t="b">
        <v>0</v>
      </c>
      <c r="BH4159" s="0">
        <v>63.75</v>
      </c>
      <c r="BI4159" s="0">
        <v>63.75</v>
      </c>
      <c r="BJ4159" s="0" t="s">
        <v>135</v>
      </c>
    </row>
    <row r="4160">
      <c r="A4160" s="0" t="s">
        <v>4419</v>
      </c>
      <c r="B4160" s="0" t="s">
        <v>134</v>
      </c>
      <c r="C4160" s="0" t="s">
        <v>134</v>
      </c>
      <c r="D4160" s="0" t="s">
        <v>135</v>
      </c>
      <c r="E4160" s="0" t="s">
        <v>3</v>
      </c>
      <c r="F4160" s="0" t="s">
        <v>12</v>
      </c>
      <c r="G4160" s="0" t="s">
        <v>8</v>
      </c>
      <c r="H4160" s="0">
        <v>17</v>
      </c>
      <c r="I4160" s="0">
        <v>0</v>
      </c>
      <c r="J4160" s="0">
        <v>0</v>
      </c>
      <c r="K4160" s="0">
        <v>1</v>
      </c>
      <c r="L4160" s="0">
        <v>4</v>
      </c>
      <c r="M4160" s="0">
        <v>1</v>
      </c>
      <c r="N4160" s="0">
        <v>0</v>
      </c>
      <c r="O4160" s="0">
        <v>0</v>
      </c>
      <c r="P4160" s="0">
        <v>0</v>
      </c>
      <c r="R4160" s="0" t="b">
        <v>0</v>
      </c>
      <c r="S4160" s="0" t="b">
        <v>1</v>
      </c>
      <c r="T4160" s="68">
        <v>46036.4844212963</v>
      </c>
      <c r="U4160" s="68">
        <v>46051.2916666667</v>
      </c>
      <c r="V4160" s="68">
        <v>0</v>
      </c>
      <c r="W4160" s="0">
        <f>IF(IF(B4160="none",1,IF(B4160="Trialer",1,0))+IF(C4160="Customer",1,IF(C4160="Lost",1,0))=2,1,0)</f>
      </c>
      <c r="X4160" s="0" t="s">
        <v>148</v>
      </c>
      <c r="Y4160" s="0" t="s">
        <v>243</v>
      </c>
      <c r="AV4160" s="68"/>
      <c r="AW4160" s="68"/>
      <c r="AY4160" s="27"/>
      <c r="BD4160" s="68">
        <v>46054.1666666667</v>
      </c>
      <c r="BE4160" s="68">
        <v>46082.1666666667</v>
      </c>
      <c r="BF4160" s="0" t="b">
        <v>0</v>
      </c>
      <c r="BG4160" s="0" t="b">
        <v>0</v>
      </c>
      <c r="BH4160" s="0">
        <v>0</v>
      </c>
      <c r="BI4160" s="0">
        <v>0</v>
      </c>
      <c r="BJ4160" s="0" t="s">
        <v>135</v>
      </c>
    </row>
    <row r="4161">
      <c r="A4161" s="0" t="s">
        <v>4420</v>
      </c>
      <c r="B4161" s="0" t="s">
        <v>134</v>
      </c>
      <c r="C4161" s="0" t="s">
        <v>134</v>
      </c>
      <c r="D4161" s="0" t="s">
        <v>135</v>
      </c>
      <c r="E4161" s="0" t="s">
        <v>3</v>
      </c>
      <c r="F4161" s="0" t="s">
        <v>12</v>
      </c>
      <c r="G4161" s="0" t="s">
        <v>8</v>
      </c>
      <c r="H4161" s="0">
        <v>17</v>
      </c>
      <c r="I4161" s="0">
        <v>127.5</v>
      </c>
      <c r="J4161" s="0">
        <v>0</v>
      </c>
      <c r="K4161" s="0">
        <v>1</v>
      </c>
      <c r="L4161" s="0">
        <v>5</v>
      </c>
      <c r="M4161" s="0">
        <v>2</v>
      </c>
      <c r="N4161" s="0">
        <v>0</v>
      </c>
      <c r="O4161" s="0">
        <v>0</v>
      </c>
      <c r="P4161" s="0">
        <v>0</v>
      </c>
      <c r="R4161" s="0" t="b">
        <v>0</v>
      </c>
      <c r="S4161" s="0" t="b">
        <v>1</v>
      </c>
      <c r="T4161" s="68">
        <v>46036.4944097222</v>
      </c>
      <c r="U4161" s="68">
        <v>46050.2916666667</v>
      </c>
      <c r="V4161" s="68">
        <v>0</v>
      </c>
      <c r="W4161" s="0">
        <f>IF(IF(B4161="none",1,IF(B4161="Trialer",1,0))+IF(C4161="Customer",1,IF(C4161="Lost",1,0))=2,1,0)</f>
      </c>
      <c r="X4161" s="0" t="s">
        <v>1461</v>
      </c>
      <c r="Y4161" s="0" t="s">
        <v>243</v>
      </c>
      <c r="AV4161" s="68"/>
      <c r="AW4161" s="68"/>
      <c r="AY4161" s="27"/>
      <c r="BD4161" s="68">
        <v>46054.1666666667</v>
      </c>
      <c r="BE4161" s="68">
        <v>46082.1666666667</v>
      </c>
      <c r="BF4161" s="0" t="b">
        <v>0</v>
      </c>
      <c r="BG4161" s="0" t="b">
        <v>0</v>
      </c>
      <c r="BH4161" s="0">
        <v>127.5</v>
      </c>
      <c r="BI4161" s="0">
        <v>127.5</v>
      </c>
      <c r="BJ4161" s="0" t="s">
        <v>135</v>
      </c>
    </row>
    <row r="4162">
      <c r="A4162" s="0" t="s">
        <v>4421</v>
      </c>
      <c r="B4162" s="0" t="s">
        <v>652</v>
      </c>
      <c r="C4162" s="0" t="s">
        <v>652</v>
      </c>
      <c r="D4162" s="0" t="s">
        <v>135</v>
      </c>
      <c r="E4162" s="0" t="s">
        <v>3</v>
      </c>
      <c r="F4162" s="0" t="s">
        <v>12</v>
      </c>
      <c r="G4162" s="0" t="s">
        <v>8</v>
      </c>
      <c r="H4162" s="0">
        <v>17</v>
      </c>
      <c r="I4162" s="0">
        <v>0</v>
      </c>
      <c r="J4162" s="0">
        <v>0</v>
      </c>
      <c r="K4162" s="0">
        <v>0</v>
      </c>
      <c r="L4162" s="0">
        <v>0</v>
      </c>
      <c r="M4162" s="0">
        <v>0</v>
      </c>
      <c r="N4162" s="0">
        <v>0</v>
      </c>
      <c r="O4162" s="0">
        <v>0</v>
      </c>
      <c r="P4162" s="0">
        <v>0</v>
      </c>
      <c r="R4162" s="0" t="b">
        <v>0</v>
      </c>
      <c r="S4162" s="0" t="b">
        <v>0</v>
      </c>
      <c r="T4162" s="68">
        <v>46036.5031712963</v>
      </c>
      <c r="U4162" s="68">
        <v>0</v>
      </c>
      <c r="V4162" s="68">
        <v>46079.1668055556</v>
      </c>
      <c r="W4162" s="0">
        <f>IF(IF(B4162="none",1,IF(B4162="Trialer",1,0))+IF(C4162="Customer",1,IF(C4162="Lost",1,0))=2,1,0)</f>
      </c>
      <c r="X4162" s="0" t="s">
        <v>145</v>
      </c>
      <c r="Y4162" s="0" t="s">
        <v>243</v>
      </c>
      <c r="AV4162" s="68"/>
      <c r="AW4162" s="68"/>
      <c r="AY4162" s="27"/>
      <c r="BD4162" s="68">
        <v>46054.1666666667</v>
      </c>
      <c r="BE4162" s="68">
        <v>46082.1666666667</v>
      </c>
      <c r="BF4162" s="0" t="b">
        <v>0</v>
      </c>
      <c r="BG4162" s="0" t="b">
        <v>0</v>
      </c>
      <c r="BH4162" s="0">
        <v>44.25</v>
      </c>
      <c r="BI4162" s="0">
        <v>44.25</v>
      </c>
      <c r="BJ4162" s="0" t="s">
        <v>135</v>
      </c>
    </row>
    <row r="4163">
      <c r="A4163" s="0" t="s">
        <v>4422</v>
      </c>
      <c r="B4163" s="0" t="s">
        <v>652</v>
      </c>
      <c r="C4163" s="0" t="s">
        <v>652</v>
      </c>
      <c r="D4163" s="0" t="s">
        <v>135</v>
      </c>
      <c r="E4163" s="0" t="s">
        <v>3</v>
      </c>
      <c r="F4163" s="0" t="s">
        <v>12</v>
      </c>
      <c r="G4163" s="0" t="s">
        <v>8</v>
      </c>
      <c r="H4163" s="0">
        <v>17</v>
      </c>
      <c r="I4163" s="0">
        <v>0</v>
      </c>
      <c r="J4163" s="0">
        <v>0</v>
      </c>
      <c r="K4163" s="0">
        <v>0</v>
      </c>
      <c r="L4163" s="0">
        <v>0</v>
      </c>
      <c r="M4163" s="0">
        <v>0</v>
      </c>
      <c r="N4163" s="0">
        <v>0</v>
      </c>
      <c r="O4163" s="0">
        <v>0</v>
      </c>
      <c r="P4163" s="0">
        <v>0</v>
      </c>
      <c r="R4163" s="0" t="b">
        <v>0</v>
      </c>
      <c r="S4163" s="0" t="b">
        <v>0</v>
      </c>
      <c r="T4163" s="68">
        <v>46036.5167939815</v>
      </c>
      <c r="U4163" s="68">
        <v>0</v>
      </c>
      <c r="V4163" s="68">
        <v>46063.499375</v>
      </c>
      <c r="W4163" s="0">
        <f>IF(IF(B4163="none",1,IF(B4163="Trialer",1,0))+IF(C4163="Customer",1,IF(C4163="Lost",1,0))=2,1,0)</f>
      </c>
      <c r="X4163" s="0" t="s">
        <v>1461</v>
      </c>
      <c r="Y4163" s="0" t="s">
        <v>243</v>
      </c>
      <c r="AV4163" s="68"/>
      <c r="AW4163" s="68"/>
      <c r="AY4163" s="27"/>
      <c r="BD4163" s="68">
        <v>46054.1666666667</v>
      </c>
      <c r="BE4163" s="68">
        <v>46082.1666666667</v>
      </c>
      <c r="BF4163" s="0" t="b">
        <v>1</v>
      </c>
      <c r="BG4163" s="0" t="b">
        <v>1</v>
      </c>
      <c r="BH4163" s="0">
        <v>54.75</v>
      </c>
      <c r="BI4163" s="0">
        <v>54.75</v>
      </c>
      <c r="BJ4163" s="0" t="s">
        <v>135</v>
      </c>
    </row>
    <row r="4164">
      <c r="A4164" s="0" t="s">
        <v>4423</v>
      </c>
      <c r="B4164" s="0" t="s">
        <v>652</v>
      </c>
      <c r="C4164" s="0" t="s">
        <v>652</v>
      </c>
      <c r="D4164" s="0" t="s">
        <v>135</v>
      </c>
      <c r="E4164" s="0" t="s">
        <v>3</v>
      </c>
      <c r="F4164" s="0" t="s">
        <v>12</v>
      </c>
      <c r="G4164" s="0" t="s">
        <v>8</v>
      </c>
      <c r="H4164" s="0">
        <v>17</v>
      </c>
      <c r="I4164" s="0">
        <v>0</v>
      </c>
      <c r="J4164" s="0">
        <v>0</v>
      </c>
      <c r="K4164" s="0">
        <v>0</v>
      </c>
      <c r="L4164" s="0">
        <v>0</v>
      </c>
      <c r="M4164" s="0">
        <v>0</v>
      </c>
      <c r="N4164" s="0">
        <v>0</v>
      </c>
      <c r="O4164" s="0">
        <v>0</v>
      </c>
      <c r="P4164" s="0">
        <v>0</v>
      </c>
      <c r="R4164" s="0" t="b">
        <v>0</v>
      </c>
      <c r="S4164" s="0" t="b">
        <v>0</v>
      </c>
      <c r="T4164" s="68">
        <v>46036.5548032407</v>
      </c>
      <c r="U4164" s="68">
        <v>0</v>
      </c>
      <c r="V4164" s="68">
        <v>46079.1670023148</v>
      </c>
      <c r="W4164" s="0">
        <f>IF(IF(B4164="none",1,IF(B4164="Trialer",1,0))+IF(C4164="Customer",1,IF(C4164="Lost",1,0))=2,1,0)</f>
      </c>
      <c r="X4164" s="0" t="s">
        <v>136</v>
      </c>
      <c r="Y4164" s="0" t="s">
        <v>243</v>
      </c>
      <c r="AV4164" s="68"/>
      <c r="AW4164" s="68"/>
      <c r="AY4164" s="27"/>
      <c r="BD4164" s="68">
        <v>46054.1666666667</v>
      </c>
      <c r="BE4164" s="68">
        <v>46082.1666666667</v>
      </c>
      <c r="BF4164" s="0" t="b">
        <v>0</v>
      </c>
      <c r="BG4164" s="0" t="b">
        <v>0</v>
      </c>
      <c r="BH4164" s="0">
        <v>88.5</v>
      </c>
      <c r="BI4164" s="0">
        <v>88.5</v>
      </c>
      <c r="BJ4164" s="0" t="s">
        <v>135</v>
      </c>
    </row>
    <row r="4165">
      <c r="A4165" s="0" t="s">
        <v>4424</v>
      </c>
      <c r="B4165" s="0" t="s">
        <v>134</v>
      </c>
      <c r="C4165" s="0" t="s">
        <v>134</v>
      </c>
      <c r="D4165" s="0" t="s">
        <v>135</v>
      </c>
      <c r="E4165" s="0" t="s">
        <v>2</v>
      </c>
      <c r="F4165" s="0" t="s">
        <v>12</v>
      </c>
      <c r="G4165" s="0" t="s">
        <v>8</v>
      </c>
      <c r="H4165" s="0">
        <v>17</v>
      </c>
      <c r="I4165" s="0">
        <v>278.25</v>
      </c>
      <c r="J4165" s="0">
        <v>0</v>
      </c>
      <c r="K4165" s="0">
        <v>1</v>
      </c>
      <c r="L4165" s="0">
        <v>4</v>
      </c>
      <c r="M4165" s="0">
        <v>7</v>
      </c>
      <c r="N4165" s="0">
        <v>542.5</v>
      </c>
      <c r="O4165" s="0">
        <v>0</v>
      </c>
      <c r="P4165" s="0">
        <v>0</v>
      </c>
      <c r="R4165" s="0" t="b">
        <v>0</v>
      </c>
      <c r="S4165" s="0" t="b">
        <v>1</v>
      </c>
      <c r="T4165" s="68">
        <v>46036.5793634259</v>
      </c>
      <c r="U4165" s="68">
        <v>46053.2916666667</v>
      </c>
      <c r="V4165" s="68">
        <v>0</v>
      </c>
      <c r="W4165" s="0">
        <f>IF(IF(B4165="none",1,IF(B4165="Trialer",1,0))+IF(C4165="Customer",1,IF(C4165="Lost",1,0))=2,1,0)</f>
      </c>
      <c r="X4165" s="0" t="s">
        <v>882</v>
      </c>
      <c r="Y4165" s="0" t="s">
        <v>499</v>
      </c>
      <c r="AV4165" s="68"/>
      <c r="AW4165" s="68"/>
      <c r="AY4165" s="27"/>
      <c r="BD4165" s="68">
        <v>46054.1666666667</v>
      </c>
      <c r="BE4165" s="68">
        <v>46082.1666666667</v>
      </c>
      <c r="BF4165" s="0" t="b">
        <v>0</v>
      </c>
      <c r="BG4165" s="0" t="b">
        <v>0</v>
      </c>
      <c r="BH4165" s="0">
        <v>304.5</v>
      </c>
      <c r="BI4165" s="0">
        <v>304.5</v>
      </c>
      <c r="BJ4165" s="0" t="s">
        <v>135</v>
      </c>
    </row>
    <row r="4166">
      <c r="A4166" s="0" t="s">
        <v>4425</v>
      </c>
      <c r="B4166" s="0" t="s">
        <v>652</v>
      </c>
      <c r="C4166" s="0" t="s">
        <v>652</v>
      </c>
      <c r="D4166" s="0" t="s">
        <v>135</v>
      </c>
      <c r="E4166" s="0" t="s">
        <v>3</v>
      </c>
      <c r="F4166" s="0" t="s">
        <v>12</v>
      </c>
      <c r="G4166" s="0" t="s">
        <v>8</v>
      </c>
      <c r="H4166" s="0">
        <v>17</v>
      </c>
      <c r="I4166" s="0">
        <v>0</v>
      </c>
      <c r="J4166" s="0">
        <v>0</v>
      </c>
      <c r="K4166" s="0">
        <v>0</v>
      </c>
      <c r="L4166" s="0">
        <v>0</v>
      </c>
      <c r="M4166" s="0">
        <v>0</v>
      </c>
      <c r="N4166" s="0">
        <v>0</v>
      </c>
      <c r="O4166" s="0">
        <v>0</v>
      </c>
      <c r="P4166" s="0">
        <v>0</v>
      </c>
      <c r="R4166" s="0" t="b">
        <v>0</v>
      </c>
      <c r="S4166" s="0" t="b">
        <v>0</v>
      </c>
      <c r="T4166" s="68">
        <v>46036.5992592593</v>
      </c>
      <c r="U4166" s="68">
        <v>0</v>
      </c>
      <c r="V4166" s="68">
        <v>46079.1671759259</v>
      </c>
      <c r="W4166" s="0">
        <f>IF(IF(B4166="none",1,IF(B4166="Trialer",1,0))+IF(C4166="Customer",1,IF(C4166="Lost",1,0))=2,1,0)</f>
      </c>
      <c r="X4166" s="0" t="s">
        <v>136</v>
      </c>
      <c r="Y4166" s="0" t="s">
        <v>243</v>
      </c>
      <c r="AV4166" s="68"/>
      <c r="AW4166" s="68"/>
      <c r="AY4166" s="27"/>
      <c r="BD4166" s="68">
        <v>46054.1666666667</v>
      </c>
      <c r="BE4166" s="68">
        <v>46082.1666666667</v>
      </c>
      <c r="BF4166" s="0" t="b">
        <v>0</v>
      </c>
      <c r="BG4166" s="0" t="b">
        <v>0</v>
      </c>
      <c r="BH4166" s="0">
        <v>106.5</v>
      </c>
      <c r="BI4166" s="0">
        <v>106.5</v>
      </c>
      <c r="BJ4166" s="0" t="s">
        <v>135</v>
      </c>
    </row>
    <row r="4167">
      <c r="A4167" s="0" t="s">
        <v>4426</v>
      </c>
      <c r="B4167" s="0" t="s">
        <v>652</v>
      </c>
      <c r="C4167" s="0" t="s">
        <v>134</v>
      </c>
      <c r="D4167" s="0" t="s">
        <v>135</v>
      </c>
      <c r="E4167" s="0" t="s">
        <v>3</v>
      </c>
      <c r="F4167" s="0" t="s">
        <v>12</v>
      </c>
      <c r="G4167" s="0" t="s">
        <v>8</v>
      </c>
      <c r="H4167" s="0">
        <v>17</v>
      </c>
      <c r="I4167" s="0">
        <v>109.5</v>
      </c>
      <c r="J4167" s="0">
        <v>0</v>
      </c>
      <c r="K4167" s="0">
        <v>2</v>
      </c>
      <c r="L4167" s="0">
        <v>4</v>
      </c>
      <c r="M4167" s="0">
        <v>1</v>
      </c>
      <c r="N4167" s="0">
        <v>0</v>
      </c>
      <c r="O4167" s="0">
        <v>0</v>
      </c>
      <c r="P4167" s="0">
        <v>0</v>
      </c>
      <c r="R4167" s="0" t="b">
        <v>0</v>
      </c>
      <c r="S4167" s="0" t="b">
        <v>1</v>
      </c>
      <c r="T4167" s="68">
        <v>46036.661400463</v>
      </c>
      <c r="U4167" s="68">
        <v>46069.2916666667</v>
      </c>
      <c r="V4167" s="68">
        <v>0</v>
      </c>
      <c r="W4167" s="0">
        <f>IF(IF(B4167="none",1,IF(B4167="Trialer",1,0))+IF(C4167="Customer",1,IF(C4167="Lost",1,0))=2,1,0)</f>
      </c>
      <c r="X4167" s="0" t="s">
        <v>1461</v>
      </c>
      <c r="Y4167" s="0" t="s">
        <v>243</v>
      </c>
      <c r="AV4167" s="68"/>
      <c r="AW4167" s="68"/>
      <c r="AY4167" s="27"/>
      <c r="BD4167" s="68">
        <v>46054.1666666667</v>
      </c>
      <c r="BE4167" s="68">
        <v>46082.1666666667</v>
      </c>
      <c r="BF4167" s="0" t="b">
        <v>0</v>
      </c>
      <c r="BG4167" s="0" t="b">
        <v>0</v>
      </c>
      <c r="BH4167" s="0">
        <v>54.75</v>
      </c>
      <c r="BI4167" s="0">
        <v>54.75</v>
      </c>
      <c r="BJ4167" s="0" t="s">
        <v>135</v>
      </c>
    </row>
    <row r="4168">
      <c r="A4168" s="0" t="s">
        <v>4427</v>
      </c>
      <c r="B4168" s="0" t="s">
        <v>652</v>
      </c>
      <c r="C4168" s="0" t="s">
        <v>652</v>
      </c>
      <c r="D4168" s="0" t="s">
        <v>135</v>
      </c>
      <c r="E4168" s="0" t="s">
        <v>3</v>
      </c>
      <c r="F4168" s="0" t="s">
        <v>12</v>
      </c>
      <c r="G4168" s="0" t="s">
        <v>8</v>
      </c>
      <c r="H4168" s="0">
        <v>17</v>
      </c>
      <c r="I4168" s="0">
        <v>0</v>
      </c>
      <c r="J4168" s="0">
        <v>0</v>
      </c>
      <c r="K4168" s="0">
        <v>0</v>
      </c>
      <c r="L4168" s="0">
        <v>0</v>
      </c>
      <c r="M4168" s="0">
        <v>0</v>
      </c>
      <c r="N4168" s="0">
        <v>0</v>
      </c>
      <c r="O4168" s="0">
        <v>0</v>
      </c>
      <c r="P4168" s="0">
        <v>0</v>
      </c>
      <c r="R4168" s="0" t="b">
        <v>0</v>
      </c>
      <c r="S4168" s="0" t="b">
        <v>0</v>
      </c>
      <c r="T4168" s="68">
        <v>46036.7289930556</v>
      </c>
      <c r="U4168" s="68">
        <v>0</v>
      </c>
      <c r="V4168" s="68">
        <v>46079.1667476852</v>
      </c>
      <c r="W4168" s="0">
        <f>IF(IF(B4168="none",1,IF(B4168="Trialer",1,0))+IF(C4168="Customer",1,IF(C4168="Lost",1,0))=2,1,0)</f>
      </c>
      <c r="X4168" s="0" t="s">
        <v>148</v>
      </c>
      <c r="Y4168" s="0" t="s">
        <v>243</v>
      </c>
      <c r="AV4168" s="68"/>
      <c r="AW4168" s="68"/>
      <c r="AY4168" s="27"/>
      <c r="BD4168" s="68">
        <v>46054.1666666667</v>
      </c>
      <c r="BE4168" s="68">
        <v>46082.1666666667</v>
      </c>
      <c r="BF4168" s="0" t="b">
        <v>0</v>
      </c>
      <c r="BG4168" s="0" t="b">
        <v>0</v>
      </c>
      <c r="BH4168" s="0">
        <v>26.25</v>
      </c>
      <c r="BI4168" s="0">
        <v>26.25</v>
      </c>
      <c r="BJ4168" s="0" t="s">
        <v>135</v>
      </c>
    </row>
    <row r="4169">
      <c r="A4169" s="0" t="s">
        <v>4428</v>
      </c>
      <c r="B4169" s="0" t="s">
        <v>652</v>
      </c>
      <c r="C4169" s="0" t="s">
        <v>652</v>
      </c>
      <c r="D4169" s="0" t="s">
        <v>135</v>
      </c>
      <c r="E4169" s="0" t="s">
        <v>3</v>
      </c>
      <c r="F4169" s="0" t="s">
        <v>12</v>
      </c>
      <c r="G4169" s="0" t="s">
        <v>8</v>
      </c>
      <c r="H4169" s="0">
        <v>17</v>
      </c>
      <c r="I4169" s="0">
        <v>0</v>
      </c>
      <c r="J4169" s="0">
        <v>0</v>
      </c>
      <c r="K4169" s="0">
        <v>0</v>
      </c>
      <c r="L4169" s="0">
        <v>0</v>
      </c>
      <c r="M4169" s="0">
        <v>0</v>
      </c>
      <c r="N4169" s="0">
        <v>0</v>
      </c>
      <c r="O4169" s="0">
        <v>0</v>
      </c>
      <c r="P4169" s="0">
        <v>0</v>
      </c>
      <c r="R4169" s="0" t="b">
        <v>0</v>
      </c>
      <c r="S4169" s="0" t="b">
        <v>0</v>
      </c>
      <c r="T4169" s="68">
        <v>46036.7302546296</v>
      </c>
      <c r="U4169" s="68">
        <v>0</v>
      </c>
      <c r="V4169" s="68">
        <v>46079.1668402778</v>
      </c>
      <c r="W4169" s="0">
        <f>IF(IF(B4169="none",1,IF(B4169="Trialer",1,0))+IF(C4169="Customer",1,IF(C4169="Lost",1,0))=2,1,0)</f>
      </c>
      <c r="X4169" s="0" t="s">
        <v>145</v>
      </c>
      <c r="Y4169" s="0" t="s">
        <v>243</v>
      </c>
      <c r="AV4169" s="68"/>
      <c r="AW4169" s="68"/>
      <c r="AY4169" s="27"/>
      <c r="BD4169" s="68">
        <v>46054.1666666667</v>
      </c>
      <c r="BE4169" s="68">
        <v>46082.1666666667</v>
      </c>
      <c r="BF4169" s="0" t="b">
        <v>0</v>
      </c>
      <c r="BG4169" s="0" t="b">
        <v>0</v>
      </c>
      <c r="BH4169" s="0">
        <v>54.75</v>
      </c>
      <c r="BI4169" s="0">
        <v>54.75</v>
      </c>
      <c r="BJ4169" s="0" t="s">
        <v>135</v>
      </c>
    </row>
    <row r="4170">
      <c r="A4170" s="0" t="s">
        <v>4429</v>
      </c>
      <c r="B4170" s="0" t="s">
        <v>652</v>
      </c>
      <c r="C4170" s="0" t="s">
        <v>652</v>
      </c>
      <c r="D4170" s="0" t="s">
        <v>135</v>
      </c>
      <c r="E4170" s="0" t="s">
        <v>4</v>
      </c>
      <c r="F4170" s="0" t="s">
        <v>12</v>
      </c>
      <c r="G4170" s="0" t="s">
        <v>8</v>
      </c>
      <c r="H4170" s="0">
        <v>17</v>
      </c>
      <c r="I4170" s="0">
        <v>0</v>
      </c>
      <c r="J4170" s="0">
        <v>0</v>
      </c>
      <c r="K4170" s="0">
        <v>0</v>
      </c>
      <c r="L4170" s="0">
        <v>0</v>
      </c>
      <c r="M4170" s="0">
        <v>0</v>
      </c>
      <c r="N4170" s="0">
        <v>0</v>
      </c>
      <c r="O4170" s="0">
        <v>0</v>
      </c>
      <c r="P4170" s="0">
        <v>0</v>
      </c>
      <c r="R4170" s="0" t="b">
        <v>0</v>
      </c>
      <c r="S4170" s="0" t="b">
        <v>0</v>
      </c>
      <c r="T4170" s="68">
        <v>46036.7845833333</v>
      </c>
      <c r="U4170" s="68">
        <v>0</v>
      </c>
      <c r="V4170" s="68">
        <v>46079.1668287037</v>
      </c>
      <c r="W4170" s="0">
        <f>IF(IF(B4170="none",1,IF(B4170="Trialer",1,0))+IF(C4170="Customer",1,IF(C4170="Lost",1,0))=2,1,0)</f>
      </c>
      <c r="X4170" s="0" t="s">
        <v>136</v>
      </c>
      <c r="Y4170" s="0" t="s">
        <v>1772</v>
      </c>
      <c r="AV4170" s="68"/>
      <c r="AW4170" s="68"/>
      <c r="AY4170" s="27"/>
      <c r="BD4170" s="68">
        <v>46054.1666666667</v>
      </c>
      <c r="BE4170" s="68">
        <v>46082.1666666667</v>
      </c>
      <c r="BF4170" s="0" t="b">
        <v>0</v>
      </c>
      <c r="BG4170" s="0" t="b">
        <v>0</v>
      </c>
      <c r="BH4170" s="0">
        <v>44.25</v>
      </c>
      <c r="BI4170" s="0">
        <v>44.25</v>
      </c>
      <c r="BJ4170" s="0" t="s">
        <v>135</v>
      </c>
    </row>
    <row r="4171">
      <c r="A4171" s="0" t="s">
        <v>4430</v>
      </c>
      <c r="B4171" s="0" t="s">
        <v>652</v>
      </c>
      <c r="C4171" s="0" t="s">
        <v>652</v>
      </c>
      <c r="D4171" s="0" t="s">
        <v>135</v>
      </c>
      <c r="E4171" s="0" t="s">
        <v>2</v>
      </c>
      <c r="F4171" s="0" t="s">
        <v>12</v>
      </c>
      <c r="G4171" s="0" t="s">
        <v>8</v>
      </c>
      <c r="H4171" s="0">
        <v>17</v>
      </c>
      <c r="I4171" s="0">
        <v>0</v>
      </c>
      <c r="J4171" s="0">
        <v>0</v>
      </c>
      <c r="K4171" s="0">
        <v>0</v>
      </c>
      <c r="L4171" s="0">
        <v>0</v>
      </c>
      <c r="M4171" s="0">
        <v>0</v>
      </c>
      <c r="N4171" s="0">
        <v>0</v>
      </c>
      <c r="O4171" s="0">
        <v>0</v>
      </c>
      <c r="P4171" s="0">
        <v>0</v>
      </c>
      <c r="R4171" s="0" t="b">
        <v>0</v>
      </c>
      <c r="S4171" s="0" t="b">
        <v>0</v>
      </c>
      <c r="T4171" s="68">
        <v>46036.9100231481</v>
      </c>
      <c r="U4171" s="68">
        <v>0</v>
      </c>
      <c r="V4171" s="68">
        <v>46078.1667476852</v>
      </c>
      <c r="W4171" s="0">
        <f>IF(IF(B4171="none",1,IF(B4171="Trialer",1,0))+IF(C4171="Customer",1,IF(C4171="Lost",1,0))=2,1,0)</f>
      </c>
      <c r="X4171" s="0" t="s">
        <v>148</v>
      </c>
      <c r="Y4171" s="0" t="s">
        <v>4431</v>
      </c>
      <c r="AV4171" s="68"/>
      <c r="AW4171" s="68"/>
      <c r="AY4171" s="27"/>
      <c r="BD4171" s="68">
        <v>46054.1666666667</v>
      </c>
      <c r="BE4171" s="68">
        <v>46082.1666666667</v>
      </c>
      <c r="BF4171" s="0" t="b">
        <v>0</v>
      </c>
      <c r="BG4171" s="0" t="b">
        <v>0</v>
      </c>
      <c r="BH4171" s="0">
        <v>44.25</v>
      </c>
      <c r="BI4171" s="0">
        <v>44.25</v>
      </c>
      <c r="BJ4171" s="0" t="s">
        <v>135</v>
      </c>
    </row>
    <row r="4172">
      <c r="A4172" s="0" t="s">
        <v>4432</v>
      </c>
      <c r="B4172" s="0" t="s">
        <v>652</v>
      </c>
      <c r="C4172" s="0" t="s">
        <v>652</v>
      </c>
      <c r="D4172" s="0" t="s">
        <v>135</v>
      </c>
      <c r="E4172" s="0" t="s">
        <v>3</v>
      </c>
      <c r="F4172" s="0" t="s">
        <v>12</v>
      </c>
      <c r="G4172" s="0" t="s">
        <v>8</v>
      </c>
      <c r="H4172" s="0">
        <v>17</v>
      </c>
      <c r="I4172" s="0">
        <v>0</v>
      </c>
      <c r="J4172" s="0">
        <v>0</v>
      </c>
      <c r="K4172" s="0">
        <v>0</v>
      </c>
      <c r="L4172" s="0">
        <v>0</v>
      </c>
      <c r="M4172" s="0">
        <v>0</v>
      </c>
      <c r="N4172" s="0">
        <v>0</v>
      </c>
      <c r="O4172" s="0">
        <v>0</v>
      </c>
      <c r="P4172" s="0">
        <v>0</v>
      </c>
      <c r="R4172" s="0" t="b">
        <v>0</v>
      </c>
      <c r="S4172" s="0" t="b">
        <v>0</v>
      </c>
      <c r="T4172" s="68">
        <v>46036.9474421296</v>
      </c>
      <c r="U4172" s="68">
        <v>0</v>
      </c>
      <c r="V4172" s="68">
        <v>46078.166875</v>
      </c>
      <c r="W4172" s="0">
        <f>IF(IF(B4172="none",1,IF(B4172="Trialer",1,0))+IF(C4172="Customer",1,IF(C4172="Lost",1,0))=2,1,0)</f>
      </c>
      <c r="X4172" s="0" t="s">
        <v>148</v>
      </c>
      <c r="Y4172" s="0" t="s">
        <v>243</v>
      </c>
      <c r="AV4172" s="68"/>
      <c r="AW4172" s="68"/>
      <c r="AY4172" s="27"/>
      <c r="BD4172" s="68">
        <v>46054.1666666667</v>
      </c>
      <c r="BE4172" s="68">
        <v>46082.1666666667</v>
      </c>
      <c r="BF4172" s="0" t="b">
        <v>0</v>
      </c>
      <c r="BG4172" s="0" t="b">
        <v>0</v>
      </c>
      <c r="BH4172" s="0">
        <v>45.75</v>
      </c>
      <c r="BI4172" s="0">
        <v>45.75</v>
      </c>
      <c r="BJ4172" s="0" t="s">
        <v>135</v>
      </c>
    </row>
    <row r="4173">
      <c r="A4173" s="0" t="s">
        <v>4433</v>
      </c>
      <c r="B4173" s="0" t="s">
        <v>652</v>
      </c>
      <c r="C4173" s="0" t="s">
        <v>652</v>
      </c>
      <c r="D4173" s="0" t="s">
        <v>135</v>
      </c>
      <c r="E4173" s="0" t="s">
        <v>3</v>
      </c>
      <c r="F4173" s="0" t="s">
        <v>12</v>
      </c>
      <c r="G4173" s="0" t="s">
        <v>8</v>
      </c>
      <c r="H4173" s="0">
        <v>17</v>
      </c>
      <c r="I4173" s="0">
        <v>0</v>
      </c>
      <c r="J4173" s="0">
        <v>0</v>
      </c>
      <c r="K4173" s="0">
        <v>0</v>
      </c>
      <c r="L4173" s="0">
        <v>0</v>
      </c>
      <c r="M4173" s="0">
        <v>0</v>
      </c>
      <c r="N4173" s="0">
        <v>0</v>
      </c>
      <c r="O4173" s="0">
        <v>0</v>
      </c>
      <c r="P4173" s="0">
        <v>0</v>
      </c>
      <c r="R4173" s="0" t="b">
        <v>0</v>
      </c>
      <c r="S4173" s="0" t="b">
        <v>0</v>
      </c>
      <c r="T4173" s="68">
        <v>46036.9525925926</v>
      </c>
      <c r="U4173" s="68">
        <v>0</v>
      </c>
      <c r="V4173" s="68">
        <v>46078.1668865741</v>
      </c>
      <c r="W4173" s="0">
        <f>IF(IF(B4173="none",1,IF(B4173="Trialer",1,0))+IF(C4173="Customer",1,IF(C4173="Lost",1,0))=2,1,0)</f>
      </c>
      <c r="X4173" s="0" t="s">
        <v>145</v>
      </c>
      <c r="Y4173" s="0" t="s">
        <v>243</v>
      </c>
      <c r="AV4173" s="68"/>
      <c r="AW4173" s="68"/>
      <c r="AY4173" s="27"/>
      <c r="BD4173" s="68">
        <v>46054.1666666667</v>
      </c>
      <c r="BE4173" s="68">
        <v>46082.1666666667</v>
      </c>
      <c r="BF4173" s="0" t="b">
        <v>0</v>
      </c>
      <c r="BG4173" s="0" t="b">
        <v>0</v>
      </c>
      <c r="BH4173" s="0">
        <v>63.75</v>
      </c>
      <c r="BI4173" s="0">
        <v>63.75</v>
      </c>
      <c r="BJ4173" s="0" t="s">
        <v>135</v>
      </c>
    </row>
    <row r="4174">
      <c r="A4174" s="0" t="s">
        <v>4434</v>
      </c>
      <c r="B4174" s="0" t="s">
        <v>652</v>
      </c>
      <c r="C4174" s="0" t="s">
        <v>652</v>
      </c>
      <c r="D4174" s="0" t="s">
        <v>135</v>
      </c>
      <c r="E4174" s="0" t="s">
        <v>2</v>
      </c>
      <c r="F4174" s="0" t="s">
        <v>12</v>
      </c>
      <c r="G4174" s="0" t="s">
        <v>8</v>
      </c>
      <c r="H4174" s="0">
        <v>16</v>
      </c>
      <c r="I4174" s="0">
        <v>0</v>
      </c>
      <c r="J4174" s="0">
        <v>0</v>
      </c>
      <c r="K4174" s="0">
        <v>0</v>
      </c>
      <c r="L4174" s="0">
        <v>0</v>
      </c>
      <c r="M4174" s="0">
        <v>0</v>
      </c>
      <c r="N4174" s="0">
        <v>0</v>
      </c>
      <c r="O4174" s="0">
        <v>0</v>
      </c>
      <c r="P4174" s="0">
        <v>0</v>
      </c>
      <c r="R4174" s="0" t="b">
        <v>0</v>
      </c>
      <c r="S4174" s="0" t="b">
        <v>0</v>
      </c>
      <c r="T4174" s="68">
        <v>46036.9718402778</v>
      </c>
      <c r="U4174" s="68">
        <v>0</v>
      </c>
      <c r="V4174" s="68">
        <v>46078.1669212963</v>
      </c>
      <c r="W4174" s="0">
        <f>IF(IF(B4174="none",1,IF(B4174="Trialer",1,0))+IF(C4174="Customer",1,IF(C4174="Lost",1,0))=2,1,0)</f>
      </c>
      <c r="X4174" s="0" t="s">
        <v>148</v>
      </c>
      <c r="Y4174" s="0" t="s">
        <v>499</v>
      </c>
      <c r="AV4174" s="68"/>
      <c r="AW4174" s="68"/>
      <c r="AY4174" s="27"/>
      <c r="BD4174" s="68">
        <v>46054.1666666667</v>
      </c>
      <c r="BE4174" s="68">
        <v>46082.1666666667</v>
      </c>
      <c r="BF4174" s="0" t="b">
        <v>0</v>
      </c>
      <c r="BG4174" s="0" t="b">
        <v>0</v>
      </c>
      <c r="BH4174" s="0">
        <v>54.75</v>
      </c>
      <c r="BI4174" s="0">
        <v>54.75</v>
      </c>
      <c r="BJ4174" s="0" t="s">
        <v>135</v>
      </c>
    </row>
    <row r="4175">
      <c r="A4175" s="0" t="s">
        <v>4435</v>
      </c>
      <c r="B4175" s="0" t="s">
        <v>652</v>
      </c>
      <c r="C4175" s="0" t="s">
        <v>652</v>
      </c>
      <c r="D4175" s="0" t="s">
        <v>135</v>
      </c>
      <c r="E4175" s="0" t="s">
        <v>2</v>
      </c>
      <c r="F4175" s="0" t="s">
        <v>12</v>
      </c>
      <c r="G4175" s="0" t="s">
        <v>8</v>
      </c>
      <c r="H4175" s="0">
        <v>16</v>
      </c>
      <c r="I4175" s="0">
        <v>0</v>
      </c>
      <c r="J4175" s="0">
        <v>0</v>
      </c>
      <c r="K4175" s="0">
        <v>0</v>
      </c>
      <c r="L4175" s="0">
        <v>0</v>
      </c>
      <c r="M4175" s="0">
        <v>0</v>
      </c>
      <c r="N4175" s="0">
        <v>0</v>
      </c>
      <c r="O4175" s="0">
        <v>0</v>
      </c>
      <c r="P4175" s="0">
        <v>0</v>
      </c>
      <c r="R4175" s="0" t="b">
        <v>0</v>
      </c>
      <c r="S4175" s="0" t="b">
        <v>0</v>
      </c>
      <c r="T4175" s="68">
        <v>46036.9763194444</v>
      </c>
      <c r="U4175" s="68">
        <v>0</v>
      </c>
      <c r="V4175" s="68">
        <v>46078.1667592593</v>
      </c>
      <c r="W4175" s="0">
        <f>IF(IF(B4175="none",1,IF(B4175="Trialer",1,0))+IF(C4175="Customer",1,IF(C4175="Lost",1,0))=2,1,0)</f>
      </c>
      <c r="X4175" s="0" t="s">
        <v>145</v>
      </c>
      <c r="Y4175" s="0" t="s">
        <v>499</v>
      </c>
      <c r="AV4175" s="68"/>
      <c r="AW4175" s="68"/>
      <c r="AY4175" s="27"/>
      <c r="BD4175" s="68">
        <v>46054.1666666667</v>
      </c>
      <c r="BE4175" s="68">
        <v>46082.1666666667</v>
      </c>
      <c r="BF4175" s="0" t="b">
        <v>0</v>
      </c>
      <c r="BG4175" s="0" t="b">
        <v>0</v>
      </c>
      <c r="BH4175" s="0">
        <v>53.25</v>
      </c>
      <c r="BI4175" s="0">
        <v>53.25</v>
      </c>
      <c r="BJ4175" s="0" t="s">
        <v>135</v>
      </c>
    </row>
    <row r="4176">
      <c r="A4176" s="0" t="s">
        <v>4436</v>
      </c>
      <c r="B4176" s="0" t="s">
        <v>652</v>
      </c>
      <c r="C4176" s="0" t="s">
        <v>652</v>
      </c>
      <c r="D4176" s="0" t="s">
        <v>135</v>
      </c>
      <c r="E4176" s="0" t="s">
        <v>3</v>
      </c>
      <c r="F4176" s="0" t="s">
        <v>12</v>
      </c>
      <c r="G4176" s="0" t="s">
        <v>8</v>
      </c>
      <c r="H4176" s="0">
        <v>16</v>
      </c>
      <c r="I4176" s="0">
        <v>0</v>
      </c>
      <c r="J4176" s="0">
        <v>0</v>
      </c>
      <c r="K4176" s="0">
        <v>0</v>
      </c>
      <c r="L4176" s="0">
        <v>0</v>
      </c>
      <c r="M4176" s="0">
        <v>0</v>
      </c>
      <c r="N4176" s="0">
        <v>0</v>
      </c>
      <c r="O4176" s="0">
        <v>0</v>
      </c>
      <c r="P4176" s="0">
        <v>0</v>
      </c>
      <c r="R4176" s="0" t="b">
        <v>0</v>
      </c>
      <c r="S4176" s="0" t="b">
        <v>0</v>
      </c>
      <c r="T4176" s="68">
        <v>46037.0104513889</v>
      </c>
      <c r="U4176" s="68">
        <v>0</v>
      </c>
      <c r="V4176" s="68">
        <v>46078.1667708333</v>
      </c>
      <c r="W4176" s="0">
        <f>IF(IF(B4176="none",1,IF(B4176="Trialer",1,0))+IF(C4176="Customer",1,IF(C4176="Lost",1,0))=2,1,0)</f>
      </c>
      <c r="X4176" s="0" t="s">
        <v>136</v>
      </c>
      <c r="Y4176" s="0" t="s">
        <v>243</v>
      </c>
      <c r="AV4176" s="68"/>
      <c r="AW4176" s="68"/>
      <c r="AY4176" s="27"/>
      <c r="BD4176" s="68">
        <v>46054.1666666667</v>
      </c>
      <c r="BE4176" s="68">
        <v>46082.1666666667</v>
      </c>
      <c r="BF4176" s="0" t="b">
        <v>0</v>
      </c>
      <c r="BG4176" s="0" t="b">
        <v>0</v>
      </c>
      <c r="BH4176" s="0">
        <v>44.25</v>
      </c>
      <c r="BI4176" s="0">
        <v>44.25</v>
      </c>
      <c r="BJ4176" s="0" t="s">
        <v>135</v>
      </c>
    </row>
    <row r="4177">
      <c r="A4177" s="0" t="s">
        <v>4437</v>
      </c>
      <c r="B4177" s="0" t="s">
        <v>652</v>
      </c>
      <c r="C4177" s="0" t="s">
        <v>652</v>
      </c>
      <c r="D4177" s="0" t="s">
        <v>135</v>
      </c>
      <c r="E4177" s="0" t="s">
        <v>3</v>
      </c>
      <c r="F4177" s="0" t="s">
        <v>12</v>
      </c>
      <c r="G4177" s="0" t="s">
        <v>8</v>
      </c>
      <c r="H4177" s="0">
        <v>16</v>
      </c>
      <c r="I4177" s="0">
        <v>0</v>
      </c>
      <c r="J4177" s="0">
        <v>0</v>
      </c>
      <c r="K4177" s="0">
        <v>0</v>
      </c>
      <c r="L4177" s="0">
        <v>0</v>
      </c>
      <c r="M4177" s="0">
        <v>0</v>
      </c>
      <c r="N4177" s="0">
        <v>0</v>
      </c>
      <c r="O4177" s="0">
        <v>0</v>
      </c>
      <c r="P4177" s="0">
        <v>0</v>
      </c>
      <c r="R4177" s="0" t="b">
        <v>0</v>
      </c>
      <c r="S4177" s="0" t="b">
        <v>0</v>
      </c>
      <c r="T4177" s="68">
        <v>46037.1034027778</v>
      </c>
      <c r="U4177" s="68">
        <v>0</v>
      </c>
      <c r="V4177" s="68">
        <v>46078.1669328704</v>
      </c>
      <c r="W4177" s="0">
        <f>IF(IF(B4177="none",1,IF(B4177="Trialer",1,0))+IF(C4177="Customer",1,IF(C4177="Lost",1,0))=2,1,0)</f>
      </c>
      <c r="X4177" s="0" t="s">
        <v>148</v>
      </c>
      <c r="Y4177" s="0" t="s">
        <v>243</v>
      </c>
      <c r="AV4177" s="68"/>
      <c r="AW4177" s="68"/>
      <c r="AY4177" s="27"/>
      <c r="BD4177" s="68">
        <v>46054.1666666667</v>
      </c>
      <c r="BE4177" s="68">
        <v>46082.1666666667</v>
      </c>
      <c r="BF4177" s="0" t="b">
        <v>0</v>
      </c>
      <c r="BG4177" s="0" t="b">
        <v>0</v>
      </c>
      <c r="BH4177" s="0">
        <v>72.75</v>
      </c>
      <c r="BI4177" s="0">
        <v>72.75</v>
      </c>
      <c r="BJ4177" s="0" t="s">
        <v>135</v>
      </c>
    </row>
    <row r="4178">
      <c r="A4178" s="0" t="s">
        <v>4438</v>
      </c>
      <c r="B4178" s="0" t="s">
        <v>652</v>
      </c>
      <c r="C4178" s="0" t="s">
        <v>652</v>
      </c>
      <c r="D4178" s="0" t="s">
        <v>135</v>
      </c>
      <c r="E4178" s="0" t="s">
        <v>3</v>
      </c>
      <c r="F4178" s="0" t="s">
        <v>12</v>
      </c>
      <c r="G4178" s="0" t="s">
        <v>8</v>
      </c>
      <c r="H4178" s="0">
        <v>16</v>
      </c>
      <c r="I4178" s="0">
        <v>0</v>
      </c>
      <c r="J4178" s="0">
        <v>0</v>
      </c>
      <c r="K4178" s="0">
        <v>0</v>
      </c>
      <c r="L4178" s="0">
        <v>0</v>
      </c>
      <c r="M4178" s="0">
        <v>0</v>
      </c>
      <c r="N4178" s="0">
        <v>0</v>
      </c>
      <c r="O4178" s="0">
        <v>0</v>
      </c>
      <c r="P4178" s="0">
        <v>0</v>
      </c>
      <c r="R4178" s="0" t="b">
        <v>0</v>
      </c>
      <c r="S4178" s="0" t="b">
        <v>0</v>
      </c>
      <c r="T4178" s="68">
        <v>46037.2517476852</v>
      </c>
      <c r="U4178" s="68">
        <v>0</v>
      </c>
      <c r="V4178" s="68">
        <v>46079.1671064815</v>
      </c>
      <c r="W4178" s="0">
        <f>IF(IF(B4178="none",1,IF(B4178="Trialer",1,0))+IF(C4178="Customer",1,IF(C4178="Lost",1,0))=2,1,0)</f>
      </c>
      <c r="X4178" s="0" t="s">
        <v>145</v>
      </c>
      <c r="Y4178" s="0" t="s">
        <v>243</v>
      </c>
      <c r="AV4178" s="68"/>
      <c r="AW4178" s="68"/>
      <c r="AY4178" s="27"/>
      <c r="BD4178" s="68">
        <v>46054.1666666667</v>
      </c>
      <c r="BE4178" s="68">
        <v>46082.1666666667</v>
      </c>
      <c r="BF4178" s="0" t="b">
        <v>0</v>
      </c>
      <c r="BG4178" s="0" t="b">
        <v>0</v>
      </c>
      <c r="BH4178" s="0">
        <v>106.5</v>
      </c>
      <c r="BI4178" s="0">
        <v>106.5</v>
      </c>
      <c r="BJ4178" s="0" t="s">
        <v>135</v>
      </c>
    </row>
    <row r="4179">
      <c r="A4179" s="0" t="s">
        <v>4439</v>
      </c>
      <c r="B4179" s="0" t="s">
        <v>652</v>
      </c>
      <c r="C4179" s="0" t="s">
        <v>652</v>
      </c>
      <c r="D4179" s="0" t="s">
        <v>135</v>
      </c>
      <c r="E4179" s="0" t="s">
        <v>2414</v>
      </c>
      <c r="F4179" s="0" t="s">
        <v>12</v>
      </c>
      <c r="G4179" s="0" t="s">
        <v>8</v>
      </c>
      <c r="H4179" s="0">
        <v>16</v>
      </c>
      <c r="I4179" s="0">
        <v>0</v>
      </c>
      <c r="J4179" s="0">
        <v>0</v>
      </c>
      <c r="K4179" s="0">
        <v>0</v>
      </c>
      <c r="L4179" s="0">
        <v>0</v>
      </c>
      <c r="M4179" s="0">
        <v>0</v>
      </c>
      <c r="N4179" s="0">
        <v>0</v>
      </c>
      <c r="O4179" s="0">
        <v>0</v>
      </c>
      <c r="P4179" s="0">
        <v>0</v>
      </c>
      <c r="R4179" s="0" t="b">
        <v>0</v>
      </c>
      <c r="S4179" s="0" t="b">
        <v>0</v>
      </c>
      <c r="T4179" s="68">
        <v>46037.29125</v>
      </c>
      <c r="U4179" s="68">
        <v>0</v>
      </c>
      <c r="V4179" s="68">
        <v>46059.4263541667</v>
      </c>
      <c r="W4179" s="0">
        <f>IF(IF(B4179="none",1,IF(B4179="Trialer",1,0))+IF(C4179="Customer",1,IF(C4179="Lost",1,0))=2,1,0)</f>
      </c>
      <c r="X4179" s="0" t="s">
        <v>136</v>
      </c>
      <c r="Y4179" s="0" t="s">
        <v>1516</v>
      </c>
      <c r="AV4179" s="68"/>
      <c r="AW4179" s="68"/>
      <c r="AY4179" s="27"/>
      <c r="BD4179" s="68">
        <v>46054.1666666667</v>
      </c>
      <c r="BE4179" s="68">
        <v>46082.1666666667</v>
      </c>
      <c r="BF4179" s="0" t="b">
        <v>0</v>
      </c>
      <c r="BG4179" s="0" t="b">
        <v>0</v>
      </c>
      <c r="BH4179" s="0">
        <v>63.75</v>
      </c>
      <c r="BI4179" s="0">
        <v>63.75</v>
      </c>
      <c r="BJ4179" s="0" t="s">
        <v>135</v>
      </c>
    </row>
    <row r="4180">
      <c r="A4180" s="0" t="s">
        <v>4440</v>
      </c>
      <c r="B4180" s="0" t="s">
        <v>652</v>
      </c>
      <c r="C4180" s="0" t="s">
        <v>652</v>
      </c>
      <c r="D4180" s="0" t="s">
        <v>135</v>
      </c>
      <c r="E4180" s="0" t="s">
        <v>3</v>
      </c>
      <c r="F4180" s="0" t="s">
        <v>12</v>
      </c>
      <c r="G4180" s="0" t="s">
        <v>8</v>
      </c>
      <c r="H4180" s="0">
        <v>16</v>
      </c>
      <c r="I4180" s="0">
        <v>0</v>
      </c>
      <c r="J4180" s="0">
        <v>0</v>
      </c>
      <c r="K4180" s="0">
        <v>0</v>
      </c>
      <c r="L4180" s="0">
        <v>0</v>
      </c>
      <c r="M4180" s="0">
        <v>0</v>
      </c>
      <c r="N4180" s="0">
        <v>0</v>
      </c>
      <c r="O4180" s="0">
        <v>0</v>
      </c>
      <c r="P4180" s="0">
        <v>0</v>
      </c>
      <c r="R4180" s="0" t="b">
        <v>0</v>
      </c>
      <c r="S4180" s="0" t="b">
        <v>0</v>
      </c>
      <c r="T4180" s="68">
        <v>46037.33125</v>
      </c>
      <c r="U4180" s="68">
        <v>0</v>
      </c>
      <c r="V4180" s="68">
        <v>46079.1671064815</v>
      </c>
      <c r="W4180" s="0">
        <f>IF(IF(B4180="none",1,IF(B4180="Trialer",1,0))+IF(C4180="Customer",1,IF(C4180="Lost",1,0))=2,1,0)</f>
      </c>
      <c r="X4180" s="0" t="s">
        <v>145</v>
      </c>
      <c r="Y4180" s="0" t="s">
        <v>243</v>
      </c>
      <c r="AV4180" s="68"/>
      <c r="AW4180" s="68"/>
      <c r="AY4180" s="27"/>
      <c r="BD4180" s="68">
        <v>46054.1666666667</v>
      </c>
      <c r="BE4180" s="68">
        <v>46082.1666666667</v>
      </c>
      <c r="BF4180" s="0" t="b">
        <v>0</v>
      </c>
      <c r="BG4180" s="0" t="b">
        <v>0</v>
      </c>
      <c r="BH4180" s="0">
        <v>88.5</v>
      </c>
      <c r="BI4180" s="0">
        <v>88.5</v>
      </c>
      <c r="BJ4180" s="0" t="s">
        <v>135</v>
      </c>
    </row>
    <row r="4181">
      <c r="A4181" s="0" t="s">
        <v>4441</v>
      </c>
      <c r="B4181" s="0" t="s">
        <v>652</v>
      </c>
      <c r="C4181" s="0" t="s">
        <v>652</v>
      </c>
      <c r="D4181" s="0" t="s">
        <v>135</v>
      </c>
      <c r="E4181" s="0" t="s">
        <v>3</v>
      </c>
      <c r="F4181" s="0" t="s">
        <v>12</v>
      </c>
      <c r="G4181" s="0" t="s">
        <v>8</v>
      </c>
      <c r="H4181" s="0">
        <v>16</v>
      </c>
      <c r="I4181" s="0">
        <v>0</v>
      </c>
      <c r="J4181" s="0">
        <v>0</v>
      </c>
      <c r="K4181" s="0">
        <v>0</v>
      </c>
      <c r="L4181" s="0">
        <v>0</v>
      </c>
      <c r="M4181" s="0">
        <v>0</v>
      </c>
      <c r="N4181" s="0">
        <v>0</v>
      </c>
      <c r="O4181" s="0">
        <v>0</v>
      </c>
      <c r="P4181" s="0">
        <v>0</v>
      </c>
      <c r="R4181" s="0" t="b">
        <v>0</v>
      </c>
      <c r="S4181" s="0" t="b">
        <v>0</v>
      </c>
      <c r="T4181" s="68">
        <v>46037.4434143519</v>
      </c>
      <c r="U4181" s="68">
        <v>0</v>
      </c>
      <c r="V4181" s="68">
        <v>46079.1670023148</v>
      </c>
      <c r="W4181" s="0">
        <f>IF(IF(B4181="none",1,IF(B4181="Trialer",1,0))+IF(C4181="Customer",1,IF(C4181="Lost",1,0))=2,1,0)</f>
      </c>
      <c r="X4181" s="0" t="s">
        <v>148</v>
      </c>
      <c r="Y4181" s="0" t="s">
        <v>243</v>
      </c>
      <c r="AV4181" s="68"/>
      <c r="AW4181" s="68"/>
      <c r="AY4181" s="27"/>
      <c r="BD4181" s="68">
        <v>46054.1666666667</v>
      </c>
      <c r="BE4181" s="68">
        <v>46082.1666666667</v>
      </c>
      <c r="BF4181" s="0" t="b">
        <v>0</v>
      </c>
      <c r="BG4181" s="0" t="b">
        <v>0</v>
      </c>
      <c r="BH4181" s="0">
        <v>44.25</v>
      </c>
      <c r="BI4181" s="0">
        <v>44.25</v>
      </c>
      <c r="BJ4181" s="0" t="s">
        <v>135</v>
      </c>
    </row>
    <row r="4182">
      <c r="A4182" s="0" t="s">
        <v>4442</v>
      </c>
      <c r="B4182" s="0" t="s">
        <v>652</v>
      </c>
      <c r="C4182" s="0" t="s">
        <v>652</v>
      </c>
      <c r="D4182" s="0" t="s">
        <v>135</v>
      </c>
      <c r="E4182" s="0" t="s">
        <v>3</v>
      </c>
      <c r="F4182" s="0" t="s">
        <v>12</v>
      </c>
      <c r="G4182" s="0" t="s">
        <v>8</v>
      </c>
      <c r="H4182" s="0">
        <v>16</v>
      </c>
      <c r="I4182" s="0">
        <v>0</v>
      </c>
      <c r="J4182" s="0">
        <v>0</v>
      </c>
      <c r="K4182" s="0">
        <v>0</v>
      </c>
      <c r="L4182" s="0">
        <v>0</v>
      </c>
      <c r="M4182" s="0">
        <v>0</v>
      </c>
      <c r="N4182" s="0">
        <v>0</v>
      </c>
      <c r="O4182" s="0">
        <v>0</v>
      </c>
      <c r="P4182" s="0">
        <v>0</v>
      </c>
      <c r="R4182" s="0" t="b">
        <v>0</v>
      </c>
      <c r="S4182" s="0" t="b">
        <v>0</v>
      </c>
      <c r="T4182" s="68">
        <v>46037.4929976852</v>
      </c>
      <c r="U4182" s="68">
        <v>0</v>
      </c>
      <c r="V4182" s="68">
        <v>46079.1671412037</v>
      </c>
      <c r="W4182" s="0">
        <f>IF(IF(B4182="none",1,IF(B4182="Trialer",1,0))+IF(C4182="Customer",1,IF(C4182="Lost",1,0))=2,1,0)</f>
      </c>
      <c r="X4182" s="0" t="s">
        <v>136</v>
      </c>
      <c r="Y4182" s="0" t="s">
        <v>243</v>
      </c>
      <c r="AV4182" s="68"/>
      <c r="AW4182" s="68"/>
      <c r="AY4182" s="27"/>
      <c r="BD4182" s="68">
        <v>46054.1666666667</v>
      </c>
      <c r="BE4182" s="68">
        <v>46082.1666666667</v>
      </c>
      <c r="BF4182" s="0" t="b">
        <v>0</v>
      </c>
      <c r="BG4182" s="0" t="b">
        <v>0</v>
      </c>
      <c r="BH4182" s="0">
        <v>44.25</v>
      </c>
      <c r="BI4182" s="0">
        <v>44.25</v>
      </c>
      <c r="BJ4182" s="0" t="s">
        <v>135</v>
      </c>
    </row>
    <row r="4183">
      <c r="A4183" s="0" t="s">
        <v>4443</v>
      </c>
      <c r="B4183" s="0" t="s">
        <v>652</v>
      </c>
      <c r="C4183" s="0" t="s">
        <v>652</v>
      </c>
      <c r="D4183" s="0" t="s">
        <v>135</v>
      </c>
      <c r="E4183" s="0" t="s">
        <v>3</v>
      </c>
      <c r="F4183" s="0" t="s">
        <v>12</v>
      </c>
      <c r="G4183" s="0" t="s">
        <v>8</v>
      </c>
      <c r="H4183" s="0">
        <v>16</v>
      </c>
      <c r="I4183" s="0">
        <v>0</v>
      </c>
      <c r="J4183" s="0">
        <v>0</v>
      </c>
      <c r="K4183" s="0">
        <v>0</v>
      </c>
      <c r="L4183" s="0">
        <v>0</v>
      </c>
      <c r="M4183" s="0">
        <v>0</v>
      </c>
      <c r="N4183" s="0">
        <v>0</v>
      </c>
      <c r="O4183" s="0">
        <v>0</v>
      </c>
      <c r="P4183" s="0">
        <v>0</v>
      </c>
      <c r="R4183" s="0" t="b">
        <v>0</v>
      </c>
      <c r="S4183" s="0" t="b">
        <v>0</v>
      </c>
      <c r="T4183" s="68">
        <v>46037.5094328704</v>
      </c>
      <c r="U4183" s="68">
        <v>0</v>
      </c>
      <c r="V4183" s="68">
        <v>46079.1670833333</v>
      </c>
      <c r="W4183" s="0">
        <f>IF(IF(B4183="none",1,IF(B4183="Trialer",1,0))+IF(C4183="Customer",1,IF(C4183="Lost",1,0))=2,1,0)</f>
      </c>
      <c r="X4183" s="0" t="s">
        <v>148</v>
      </c>
      <c r="Y4183" s="0" t="s">
        <v>487</v>
      </c>
      <c r="AV4183" s="68"/>
      <c r="AW4183" s="68"/>
      <c r="AY4183" s="27"/>
      <c r="BD4183" s="68">
        <v>46054.1666666667</v>
      </c>
      <c r="BE4183" s="68">
        <v>46082.1666666667</v>
      </c>
      <c r="BF4183" s="0" t="b">
        <v>0</v>
      </c>
      <c r="BG4183" s="0" t="b">
        <v>0</v>
      </c>
      <c r="BH4183" s="0">
        <v>26.25</v>
      </c>
      <c r="BI4183" s="0">
        <v>26.25</v>
      </c>
      <c r="BJ4183" s="0" t="s">
        <v>135</v>
      </c>
    </row>
    <row r="4184">
      <c r="A4184" s="0" t="s">
        <v>4444</v>
      </c>
      <c r="B4184" s="0" t="s">
        <v>652</v>
      </c>
      <c r="C4184" s="0" t="s">
        <v>652</v>
      </c>
      <c r="D4184" s="0" t="s">
        <v>135</v>
      </c>
      <c r="E4184" s="0" t="s">
        <v>3</v>
      </c>
      <c r="F4184" s="0" t="s">
        <v>12</v>
      </c>
      <c r="G4184" s="0" t="s">
        <v>8</v>
      </c>
      <c r="H4184" s="0">
        <v>16</v>
      </c>
      <c r="I4184" s="0">
        <v>0</v>
      </c>
      <c r="J4184" s="0">
        <v>0</v>
      </c>
      <c r="K4184" s="0">
        <v>0</v>
      </c>
      <c r="L4184" s="0">
        <v>0</v>
      </c>
      <c r="M4184" s="0">
        <v>0</v>
      </c>
      <c r="N4184" s="0">
        <v>0</v>
      </c>
      <c r="O4184" s="0">
        <v>0</v>
      </c>
      <c r="P4184" s="0">
        <v>0</v>
      </c>
      <c r="R4184" s="0" t="b">
        <v>0</v>
      </c>
      <c r="S4184" s="0" t="b">
        <v>0</v>
      </c>
      <c r="T4184" s="68">
        <v>46037.5124421296</v>
      </c>
      <c r="U4184" s="68">
        <v>0</v>
      </c>
      <c r="V4184" s="68">
        <v>46079.1670138889</v>
      </c>
      <c r="W4184" s="0">
        <f>IF(IF(B4184="none",1,IF(B4184="Trialer",1,0))+IF(C4184="Customer",1,IF(C4184="Lost",1,0))=2,1,0)</f>
      </c>
      <c r="X4184" s="0" t="s">
        <v>148</v>
      </c>
      <c r="Y4184" s="0" t="s">
        <v>243</v>
      </c>
      <c r="AV4184" s="68"/>
      <c r="AW4184" s="68"/>
      <c r="AY4184" s="27"/>
      <c r="BD4184" s="68">
        <v>46054.1666666667</v>
      </c>
      <c r="BE4184" s="68">
        <v>46082.1666666667</v>
      </c>
      <c r="BF4184" s="0" t="b">
        <v>0</v>
      </c>
      <c r="BG4184" s="0" t="b">
        <v>0</v>
      </c>
      <c r="BH4184" s="0">
        <v>62.25</v>
      </c>
      <c r="BI4184" s="0">
        <v>62.25</v>
      </c>
      <c r="BJ4184" s="0" t="s">
        <v>135</v>
      </c>
    </row>
    <row r="4185">
      <c r="A4185" s="0" t="s">
        <v>4445</v>
      </c>
      <c r="B4185" s="0" t="s">
        <v>652</v>
      </c>
      <c r="C4185" s="0" t="s">
        <v>652</v>
      </c>
      <c r="D4185" s="0" t="s">
        <v>135</v>
      </c>
      <c r="E4185" s="0" t="s">
        <v>3</v>
      </c>
      <c r="F4185" s="0" t="s">
        <v>12</v>
      </c>
      <c r="G4185" s="0" t="s">
        <v>8</v>
      </c>
      <c r="H4185" s="0">
        <v>16</v>
      </c>
      <c r="I4185" s="0">
        <v>0</v>
      </c>
      <c r="J4185" s="0">
        <v>0</v>
      </c>
      <c r="K4185" s="0">
        <v>0</v>
      </c>
      <c r="L4185" s="0">
        <v>0</v>
      </c>
      <c r="M4185" s="0">
        <v>0</v>
      </c>
      <c r="N4185" s="0">
        <v>0</v>
      </c>
      <c r="O4185" s="0">
        <v>0</v>
      </c>
      <c r="P4185" s="0">
        <v>0</v>
      </c>
      <c r="R4185" s="0" t="b">
        <v>0</v>
      </c>
      <c r="S4185" s="0" t="b">
        <v>0</v>
      </c>
      <c r="T4185" s="68">
        <v>46037.558287037</v>
      </c>
      <c r="U4185" s="68">
        <v>0</v>
      </c>
      <c r="V4185" s="68">
        <v>46079.1668634259</v>
      </c>
      <c r="W4185" s="0">
        <f>IF(IF(B4185="none",1,IF(B4185="Trialer",1,0))+IF(C4185="Customer",1,IF(C4185="Lost",1,0))=2,1,0)</f>
      </c>
      <c r="X4185" s="0" t="s">
        <v>136</v>
      </c>
      <c r="Y4185" s="0" t="s">
        <v>243</v>
      </c>
      <c r="AV4185" s="68"/>
      <c r="AW4185" s="68"/>
      <c r="AY4185" s="27"/>
      <c r="BD4185" s="68">
        <v>46054.1666666667</v>
      </c>
      <c r="BE4185" s="68">
        <v>46082.1666666667</v>
      </c>
      <c r="BF4185" s="0" t="b">
        <v>0</v>
      </c>
      <c r="BG4185" s="0" t="b">
        <v>0</v>
      </c>
      <c r="BH4185" s="0">
        <v>44.25</v>
      </c>
      <c r="BI4185" s="0">
        <v>44.25</v>
      </c>
      <c r="BJ4185" s="0" t="s">
        <v>135</v>
      </c>
    </row>
    <row r="4186">
      <c r="A4186" s="0" t="s">
        <v>4446</v>
      </c>
      <c r="B4186" s="0" t="s">
        <v>652</v>
      </c>
      <c r="C4186" s="0" t="s">
        <v>652</v>
      </c>
      <c r="D4186" s="0" t="s">
        <v>135</v>
      </c>
      <c r="E4186" s="0" t="s">
        <v>1515</v>
      </c>
      <c r="F4186" s="0" t="s">
        <v>12</v>
      </c>
      <c r="G4186" s="0" t="s">
        <v>8</v>
      </c>
      <c r="H4186" s="0">
        <v>16</v>
      </c>
      <c r="I4186" s="0">
        <v>0</v>
      </c>
      <c r="J4186" s="0">
        <v>0</v>
      </c>
      <c r="K4186" s="0">
        <v>0</v>
      </c>
      <c r="L4186" s="0">
        <v>0</v>
      </c>
      <c r="M4186" s="0">
        <v>0</v>
      </c>
      <c r="N4186" s="0">
        <v>0</v>
      </c>
      <c r="O4186" s="0">
        <v>0</v>
      </c>
      <c r="P4186" s="0">
        <v>0</v>
      </c>
      <c r="R4186" s="0" t="b">
        <v>0</v>
      </c>
      <c r="S4186" s="0" t="b">
        <v>0</v>
      </c>
      <c r="T4186" s="68">
        <v>46037.5601041667</v>
      </c>
      <c r="U4186" s="68">
        <v>0</v>
      </c>
      <c r="V4186" s="68">
        <v>46079.1669560185</v>
      </c>
      <c r="W4186" s="0">
        <f>IF(IF(B4186="none",1,IF(B4186="Trialer",1,0))+IF(C4186="Customer",1,IF(C4186="Lost",1,0))=2,1,0)</f>
      </c>
      <c r="X4186" s="0" t="s">
        <v>148</v>
      </c>
      <c r="Y4186" s="0" t="s">
        <v>1516</v>
      </c>
      <c r="AV4186" s="68"/>
      <c r="AW4186" s="68"/>
      <c r="AY4186" s="27"/>
      <c r="BD4186" s="68">
        <v>46054.1666666667</v>
      </c>
      <c r="BE4186" s="68">
        <v>46082.1666666667</v>
      </c>
      <c r="BF4186" s="0" t="b">
        <v>0</v>
      </c>
      <c r="BG4186" s="0" t="b">
        <v>0</v>
      </c>
      <c r="BH4186" s="0">
        <v>44.25</v>
      </c>
      <c r="BI4186" s="0">
        <v>44.25</v>
      </c>
      <c r="BJ4186" s="0" t="s">
        <v>135</v>
      </c>
    </row>
    <row r="4187">
      <c r="A4187" s="0" t="s">
        <v>4447</v>
      </c>
      <c r="B4187" s="0" t="s">
        <v>652</v>
      </c>
      <c r="C4187" s="0" t="s">
        <v>652</v>
      </c>
      <c r="D4187" s="0" t="s">
        <v>135</v>
      </c>
      <c r="E4187" s="0" t="s">
        <v>3</v>
      </c>
      <c r="F4187" s="0" t="s">
        <v>12</v>
      </c>
      <c r="G4187" s="0" t="s">
        <v>8</v>
      </c>
      <c r="H4187" s="0">
        <v>16</v>
      </c>
      <c r="I4187" s="0">
        <v>0</v>
      </c>
      <c r="J4187" s="0">
        <v>0</v>
      </c>
      <c r="K4187" s="0">
        <v>0</v>
      </c>
      <c r="L4187" s="0">
        <v>0</v>
      </c>
      <c r="M4187" s="0">
        <v>0</v>
      </c>
      <c r="N4187" s="0">
        <v>0</v>
      </c>
      <c r="O4187" s="0">
        <v>0</v>
      </c>
      <c r="P4187" s="0">
        <v>0</v>
      </c>
      <c r="R4187" s="0" t="b">
        <v>0</v>
      </c>
      <c r="S4187" s="0" t="b">
        <v>0</v>
      </c>
      <c r="T4187" s="68">
        <v>46037.6137962963</v>
      </c>
      <c r="U4187" s="68">
        <v>0</v>
      </c>
      <c r="V4187" s="68">
        <v>46079.1669675926</v>
      </c>
      <c r="W4187" s="0">
        <f>IF(IF(B4187="none",1,IF(B4187="Trialer",1,0))+IF(C4187="Customer",1,IF(C4187="Lost",1,0))=2,1,0)</f>
      </c>
      <c r="X4187" s="0" t="s">
        <v>145</v>
      </c>
      <c r="Y4187" s="0" t="s">
        <v>243</v>
      </c>
      <c r="AV4187" s="68"/>
      <c r="AW4187" s="68"/>
      <c r="AY4187" s="27"/>
      <c r="BD4187" s="68">
        <v>46054.1666666667</v>
      </c>
      <c r="BE4187" s="68">
        <v>46082.1666666667</v>
      </c>
      <c r="BF4187" s="0" t="b">
        <v>0</v>
      </c>
      <c r="BG4187" s="0" t="b">
        <v>0</v>
      </c>
      <c r="BH4187" s="0">
        <v>53.25</v>
      </c>
      <c r="BI4187" s="0">
        <v>53.25</v>
      </c>
      <c r="BJ4187" s="0" t="s">
        <v>135</v>
      </c>
    </row>
    <row r="4188">
      <c r="A4188" s="0" t="s">
        <v>4448</v>
      </c>
      <c r="B4188" s="0" t="s">
        <v>652</v>
      </c>
      <c r="C4188" s="0" t="s">
        <v>652</v>
      </c>
      <c r="D4188" s="0" t="s">
        <v>135</v>
      </c>
      <c r="E4188" s="0" t="s">
        <v>3</v>
      </c>
      <c r="F4188" s="0" t="s">
        <v>12</v>
      </c>
      <c r="G4188" s="0" t="s">
        <v>8</v>
      </c>
      <c r="H4188" s="0">
        <v>16</v>
      </c>
      <c r="I4188" s="0">
        <v>0</v>
      </c>
      <c r="J4188" s="0">
        <v>0</v>
      </c>
      <c r="K4188" s="0">
        <v>0</v>
      </c>
      <c r="L4188" s="0">
        <v>0</v>
      </c>
      <c r="M4188" s="0">
        <v>0</v>
      </c>
      <c r="N4188" s="0">
        <v>0</v>
      </c>
      <c r="O4188" s="0">
        <v>0</v>
      </c>
      <c r="P4188" s="0">
        <v>0</v>
      </c>
      <c r="R4188" s="0" t="b">
        <v>0</v>
      </c>
      <c r="S4188" s="0" t="b">
        <v>0</v>
      </c>
      <c r="T4188" s="68">
        <v>46037.6341666667</v>
      </c>
      <c r="U4188" s="68">
        <v>0</v>
      </c>
      <c r="V4188" s="68">
        <v>46079.1667708333</v>
      </c>
      <c r="W4188" s="0">
        <f>IF(IF(B4188="none",1,IF(B4188="Trialer",1,0))+IF(C4188="Customer",1,IF(C4188="Lost",1,0))=2,1,0)</f>
      </c>
      <c r="X4188" s="0" t="s">
        <v>145</v>
      </c>
      <c r="Y4188" s="0" t="s">
        <v>2664</v>
      </c>
      <c r="AV4188" s="68"/>
      <c r="AW4188" s="68"/>
      <c r="AY4188" s="27"/>
      <c r="BD4188" s="68">
        <v>46054.1666666667</v>
      </c>
      <c r="BE4188" s="68">
        <v>46082.1666666667</v>
      </c>
      <c r="BF4188" s="0" t="b">
        <v>0</v>
      </c>
      <c r="BG4188" s="0" t="b">
        <v>0</v>
      </c>
      <c r="BH4188" s="0">
        <v>44.25</v>
      </c>
      <c r="BI4188" s="0">
        <v>44.25</v>
      </c>
      <c r="BJ4188" s="0" t="s">
        <v>135</v>
      </c>
    </row>
    <row r="4189">
      <c r="A4189" s="0" t="s">
        <v>4449</v>
      </c>
      <c r="B4189" s="0" t="s">
        <v>134</v>
      </c>
      <c r="C4189" s="0" t="s">
        <v>134</v>
      </c>
      <c r="D4189" s="0" t="s">
        <v>135</v>
      </c>
      <c r="E4189" s="0" t="s">
        <v>3</v>
      </c>
      <c r="F4189" s="0" t="s">
        <v>12</v>
      </c>
      <c r="G4189" s="0" t="s">
        <v>8</v>
      </c>
      <c r="H4189" s="0">
        <v>16</v>
      </c>
      <c r="I4189" s="0">
        <v>89.25</v>
      </c>
      <c r="J4189" s="0">
        <v>0</v>
      </c>
      <c r="K4189" s="0">
        <v>1</v>
      </c>
      <c r="L4189" s="0">
        <v>2</v>
      </c>
      <c r="M4189" s="0">
        <v>3</v>
      </c>
      <c r="N4189" s="0">
        <v>0</v>
      </c>
      <c r="O4189" s="0">
        <v>0</v>
      </c>
      <c r="P4189" s="0">
        <v>0</v>
      </c>
      <c r="R4189" s="0" t="b">
        <v>0</v>
      </c>
      <c r="S4189" s="0" t="b">
        <v>1</v>
      </c>
      <c r="T4189" s="68">
        <v>46037.6833333333</v>
      </c>
      <c r="U4189" s="68">
        <v>46051.2916666667</v>
      </c>
      <c r="V4189" s="68">
        <v>0</v>
      </c>
      <c r="W4189" s="0">
        <f>IF(IF(B4189="none",1,IF(B4189="Trialer",1,0))+IF(C4189="Customer",1,IF(C4189="Lost",1,0))=2,1,0)</f>
      </c>
      <c r="X4189" s="0" t="s">
        <v>1461</v>
      </c>
      <c r="Y4189" s="0" t="s">
        <v>243</v>
      </c>
      <c r="AV4189" s="68"/>
      <c r="AW4189" s="68"/>
      <c r="AY4189" s="27"/>
      <c r="BD4189" s="68">
        <v>46054.1666666667</v>
      </c>
      <c r="BE4189" s="68">
        <v>46082.1666666667</v>
      </c>
      <c r="BF4189" s="0" t="b">
        <v>0</v>
      </c>
      <c r="BG4189" s="0" t="b">
        <v>0</v>
      </c>
      <c r="BH4189" s="0">
        <v>89.25</v>
      </c>
      <c r="BI4189" s="0">
        <v>89.25</v>
      </c>
      <c r="BJ4189" s="0" t="s">
        <v>135</v>
      </c>
    </row>
    <row r="4190">
      <c r="A4190" s="0" t="s">
        <v>4450</v>
      </c>
      <c r="B4190" s="0" t="s">
        <v>652</v>
      </c>
      <c r="C4190" s="0" t="s">
        <v>652</v>
      </c>
      <c r="D4190" s="0" t="s">
        <v>135</v>
      </c>
      <c r="E4190" s="0" t="s">
        <v>3</v>
      </c>
      <c r="F4190" s="0" t="s">
        <v>12</v>
      </c>
      <c r="G4190" s="0" t="s">
        <v>8</v>
      </c>
      <c r="H4190" s="0">
        <v>16</v>
      </c>
      <c r="I4190" s="0">
        <v>0</v>
      </c>
      <c r="J4190" s="0">
        <v>0</v>
      </c>
      <c r="K4190" s="0">
        <v>0</v>
      </c>
      <c r="L4190" s="0">
        <v>0</v>
      </c>
      <c r="M4190" s="0">
        <v>0</v>
      </c>
      <c r="N4190" s="0">
        <v>0</v>
      </c>
      <c r="O4190" s="0">
        <v>0</v>
      </c>
      <c r="P4190" s="0">
        <v>0</v>
      </c>
      <c r="R4190" s="0" t="b">
        <v>0</v>
      </c>
      <c r="S4190" s="0" t="b">
        <v>0</v>
      </c>
      <c r="T4190" s="68">
        <v>46037.7205208333</v>
      </c>
      <c r="U4190" s="68">
        <v>0</v>
      </c>
      <c r="V4190" s="68">
        <v>46079.1671296296</v>
      </c>
      <c r="W4190" s="0">
        <f>IF(IF(B4190="none",1,IF(B4190="Trialer",1,0))+IF(C4190="Customer",1,IF(C4190="Lost",1,0))=2,1,0)</f>
      </c>
      <c r="X4190" s="0" t="s">
        <v>145</v>
      </c>
      <c r="Y4190" s="0" t="s">
        <v>243</v>
      </c>
      <c r="AV4190" s="68"/>
      <c r="AW4190" s="68"/>
      <c r="AY4190" s="27"/>
      <c r="BD4190" s="68">
        <v>46054.1666666667</v>
      </c>
      <c r="BE4190" s="68">
        <v>46082.1666666667</v>
      </c>
      <c r="BF4190" s="0" t="b">
        <v>0</v>
      </c>
      <c r="BG4190" s="0" t="b">
        <v>0</v>
      </c>
      <c r="BH4190" s="0">
        <v>44.25</v>
      </c>
      <c r="BI4190" s="0">
        <v>44.25</v>
      </c>
      <c r="BJ4190" s="0" t="s">
        <v>135</v>
      </c>
    </row>
    <row r="4191">
      <c r="A4191" s="0" t="s">
        <v>4451</v>
      </c>
      <c r="B4191" s="0" t="s">
        <v>652</v>
      </c>
      <c r="C4191" s="0" t="s">
        <v>652</v>
      </c>
      <c r="D4191" s="0" t="s">
        <v>135</v>
      </c>
      <c r="E4191" s="0" t="s">
        <v>1515</v>
      </c>
      <c r="F4191" s="0" t="s">
        <v>12</v>
      </c>
      <c r="G4191" s="0" t="s">
        <v>8</v>
      </c>
      <c r="H4191" s="0">
        <v>16</v>
      </c>
      <c r="I4191" s="0">
        <v>0</v>
      </c>
      <c r="J4191" s="0">
        <v>0</v>
      </c>
      <c r="K4191" s="0">
        <v>0</v>
      </c>
      <c r="L4191" s="0">
        <v>0</v>
      </c>
      <c r="M4191" s="0">
        <v>0</v>
      </c>
      <c r="N4191" s="0">
        <v>0</v>
      </c>
      <c r="O4191" s="0">
        <v>0</v>
      </c>
      <c r="P4191" s="0">
        <v>0</v>
      </c>
      <c r="R4191" s="0" t="b">
        <v>0</v>
      </c>
      <c r="S4191" s="0" t="b">
        <v>0</v>
      </c>
      <c r="T4191" s="68">
        <v>46037.81375</v>
      </c>
      <c r="U4191" s="68">
        <v>0</v>
      </c>
      <c r="V4191" s="68">
        <v>46078.1668865741</v>
      </c>
      <c r="W4191" s="0">
        <f>IF(IF(B4191="none",1,IF(B4191="Trialer",1,0))+IF(C4191="Customer",1,IF(C4191="Lost",1,0))=2,1,0)</f>
      </c>
      <c r="X4191" s="0" t="s">
        <v>136</v>
      </c>
      <c r="Y4191" s="0" t="s">
        <v>1516</v>
      </c>
      <c r="AV4191" s="68"/>
      <c r="AW4191" s="68"/>
      <c r="AY4191" s="27"/>
      <c r="BD4191" s="68">
        <v>46054.1666666667</v>
      </c>
      <c r="BE4191" s="68">
        <v>46082.1666666667</v>
      </c>
      <c r="BF4191" s="0" t="b">
        <v>0</v>
      </c>
      <c r="BG4191" s="0" t="b">
        <v>0</v>
      </c>
      <c r="BH4191" s="0">
        <v>44.25</v>
      </c>
      <c r="BI4191" s="0">
        <v>44.25</v>
      </c>
      <c r="BJ4191" s="0" t="s">
        <v>135</v>
      </c>
    </row>
    <row r="4192">
      <c r="A4192" s="0" t="s">
        <v>4452</v>
      </c>
      <c r="B4192" s="0" t="s">
        <v>652</v>
      </c>
      <c r="C4192" s="0" t="s">
        <v>134</v>
      </c>
      <c r="D4192" s="0" t="s">
        <v>135</v>
      </c>
      <c r="E4192" s="0" t="s">
        <v>3</v>
      </c>
      <c r="F4192" s="0" t="s">
        <v>12</v>
      </c>
      <c r="G4192" s="0" t="s">
        <v>8</v>
      </c>
      <c r="H4192" s="0">
        <v>16</v>
      </c>
      <c r="I4192" s="0">
        <v>88.5</v>
      </c>
      <c r="J4192" s="0">
        <v>0</v>
      </c>
      <c r="K4192" s="0">
        <v>2</v>
      </c>
      <c r="L4192" s="0">
        <v>3</v>
      </c>
      <c r="M4192" s="0">
        <v>1</v>
      </c>
      <c r="N4192" s="0">
        <v>0</v>
      </c>
      <c r="O4192" s="0">
        <v>0</v>
      </c>
      <c r="P4192" s="0">
        <v>0</v>
      </c>
      <c r="R4192" s="0" t="b">
        <v>0</v>
      </c>
      <c r="S4192" s="0" t="b">
        <v>0</v>
      </c>
      <c r="T4192" s="68">
        <v>46037.8404050926</v>
      </c>
      <c r="U4192" s="68">
        <v>46061.2916666667</v>
      </c>
      <c r="V4192" s="68">
        <v>46085.4108449074</v>
      </c>
      <c r="W4192" s="0">
        <f>IF(IF(B4192="none",1,IF(B4192="Trialer",1,0))+IF(C4192="Customer",1,IF(C4192="Lost",1,0))=2,1,0)</f>
      </c>
      <c r="X4192" s="0" t="s">
        <v>1461</v>
      </c>
      <c r="Y4192" s="0" t="s">
        <v>243</v>
      </c>
      <c r="AV4192" s="68"/>
      <c r="AW4192" s="68"/>
      <c r="AY4192" s="27"/>
      <c r="BD4192" s="68">
        <v>46054.1666666667</v>
      </c>
      <c r="BE4192" s="68">
        <v>46082.1666666667</v>
      </c>
      <c r="BF4192" s="0" t="b">
        <v>0</v>
      </c>
      <c r="BG4192" s="0" t="b">
        <v>1</v>
      </c>
      <c r="BH4192" s="0">
        <v>44.25</v>
      </c>
      <c r="BI4192" s="0">
        <v>44.25</v>
      </c>
      <c r="BJ4192" s="0" t="s">
        <v>135</v>
      </c>
    </row>
    <row r="4193">
      <c r="A4193" s="0" t="s">
        <v>4453</v>
      </c>
      <c r="B4193" s="0" t="s">
        <v>134</v>
      </c>
      <c r="C4193" s="0" t="s">
        <v>134</v>
      </c>
      <c r="D4193" s="0" t="s">
        <v>135</v>
      </c>
      <c r="E4193" s="0" t="s">
        <v>3</v>
      </c>
      <c r="F4193" s="0" t="s">
        <v>12</v>
      </c>
      <c r="G4193" s="0" t="s">
        <v>8</v>
      </c>
      <c r="H4193" s="0">
        <v>15</v>
      </c>
      <c r="I4193" s="0">
        <v>36.75</v>
      </c>
      <c r="J4193" s="0">
        <v>0</v>
      </c>
      <c r="K4193" s="0">
        <v>1</v>
      </c>
      <c r="L4193" s="0">
        <v>2</v>
      </c>
      <c r="M4193" s="0">
        <v>1</v>
      </c>
      <c r="N4193" s="0">
        <v>0</v>
      </c>
      <c r="O4193" s="0">
        <v>0</v>
      </c>
      <c r="P4193" s="0">
        <v>0</v>
      </c>
      <c r="R4193" s="0" t="b">
        <v>0</v>
      </c>
      <c r="S4193" s="0" t="b">
        <v>1</v>
      </c>
      <c r="T4193" s="68">
        <v>46038.0973958333</v>
      </c>
      <c r="U4193" s="68">
        <v>46052.2916666667</v>
      </c>
      <c r="V4193" s="68">
        <v>0</v>
      </c>
      <c r="W4193" s="0">
        <f>IF(IF(B4193="none",1,IF(B4193="Trialer",1,0))+IF(C4193="Customer",1,IF(C4193="Lost",1,0))=2,1,0)</f>
      </c>
      <c r="X4193" s="0" t="s">
        <v>1461</v>
      </c>
      <c r="Y4193" s="0" t="s">
        <v>243</v>
      </c>
      <c r="AV4193" s="68"/>
      <c r="AW4193" s="68"/>
      <c r="AY4193" s="27"/>
      <c r="BD4193" s="68">
        <v>46054.1666666667</v>
      </c>
      <c r="BE4193" s="68">
        <v>46082.1666666667</v>
      </c>
      <c r="BF4193" s="0" t="b">
        <v>0</v>
      </c>
      <c r="BG4193" s="0" t="b">
        <v>0</v>
      </c>
      <c r="BH4193" s="0">
        <v>36.75</v>
      </c>
      <c r="BI4193" s="0">
        <v>36.75</v>
      </c>
      <c r="BJ4193" s="0" t="s">
        <v>135</v>
      </c>
    </row>
    <row r="4194">
      <c r="A4194" s="0" t="s">
        <v>4454</v>
      </c>
      <c r="B4194" s="0" t="s">
        <v>652</v>
      </c>
      <c r="C4194" s="0" t="s">
        <v>652</v>
      </c>
      <c r="D4194" s="0" t="s">
        <v>135</v>
      </c>
      <c r="E4194" s="0" t="s">
        <v>2414</v>
      </c>
      <c r="F4194" s="0" t="s">
        <v>12</v>
      </c>
      <c r="G4194" s="0" t="s">
        <v>8</v>
      </c>
      <c r="H4194" s="0">
        <v>15</v>
      </c>
      <c r="I4194" s="0">
        <v>0</v>
      </c>
      <c r="J4194" s="0">
        <v>0</v>
      </c>
      <c r="K4194" s="0">
        <v>0</v>
      </c>
      <c r="L4194" s="0">
        <v>0</v>
      </c>
      <c r="M4194" s="0">
        <v>0</v>
      </c>
      <c r="N4194" s="0">
        <v>0</v>
      </c>
      <c r="O4194" s="0">
        <v>0</v>
      </c>
      <c r="P4194" s="0">
        <v>0</v>
      </c>
      <c r="R4194" s="0" t="b">
        <v>0</v>
      </c>
      <c r="S4194" s="0" t="b">
        <v>0</v>
      </c>
      <c r="T4194" s="68">
        <v>46038.2714930556</v>
      </c>
      <c r="U4194" s="68">
        <v>0</v>
      </c>
      <c r="V4194" s="68">
        <v>46079.1669675926</v>
      </c>
      <c r="W4194" s="0">
        <f>IF(IF(B4194="none",1,IF(B4194="Trialer",1,0))+IF(C4194="Customer",1,IF(C4194="Lost",1,0))=2,1,0)</f>
      </c>
      <c r="X4194" s="0" t="s">
        <v>148</v>
      </c>
      <c r="Y4194" s="0" t="s">
        <v>1516</v>
      </c>
      <c r="AV4194" s="68"/>
      <c r="AW4194" s="68"/>
      <c r="AY4194" s="27"/>
      <c r="BD4194" s="68">
        <v>46054.1666666667</v>
      </c>
      <c r="BE4194" s="68">
        <v>46082.1666666667</v>
      </c>
      <c r="BF4194" s="0" t="b">
        <v>0</v>
      </c>
      <c r="BG4194" s="0" t="b">
        <v>0</v>
      </c>
      <c r="BH4194" s="0">
        <v>44.25</v>
      </c>
      <c r="BI4194" s="0">
        <v>44.25</v>
      </c>
      <c r="BJ4194" s="0" t="s">
        <v>135</v>
      </c>
    </row>
    <row r="4195">
      <c r="A4195" s="0" t="s">
        <v>4455</v>
      </c>
      <c r="B4195" s="0" t="s">
        <v>652</v>
      </c>
      <c r="C4195" s="0" t="s">
        <v>652</v>
      </c>
      <c r="D4195" s="0" t="s">
        <v>135</v>
      </c>
      <c r="E4195" s="0" t="s">
        <v>3</v>
      </c>
      <c r="F4195" s="0" t="s">
        <v>12</v>
      </c>
      <c r="G4195" s="0" t="s">
        <v>8</v>
      </c>
      <c r="H4195" s="0">
        <v>15</v>
      </c>
      <c r="I4195" s="0">
        <v>0</v>
      </c>
      <c r="J4195" s="0">
        <v>0</v>
      </c>
      <c r="K4195" s="0">
        <v>0</v>
      </c>
      <c r="L4195" s="0">
        <v>0</v>
      </c>
      <c r="M4195" s="0">
        <v>0</v>
      </c>
      <c r="N4195" s="0">
        <v>0</v>
      </c>
      <c r="O4195" s="0">
        <v>0</v>
      </c>
      <c r="P4195" s="0">
        <v>0</v>
      </c>
      <c r="R4195" s="0" t="b">
        <v>0</v>
      </c>
      <c r="S4195" s="0" t="b">
        <v>0</v>
      </c>
      <c r="T4195" s="68">
        <v>46038.3213888889</v>
      </c>
      <c r="U4195" s="68">
        <v>0</v>
      </c>
      <c r="V4195" s="68">
        <v>46079.1671180556</v>
      </c>
      <c r="W4195" s="0">
        <f>IF(IF(B4195="none",1,IF(B4195="Trialer",1,0))+IF(C4195="Customer",1,IF(C4195="Lost",1,0))=2,1,0)</f>
      </c>
      <c r="X4195" s="0" t="s">
        <v>145</v>
      </c>
      <c r="Y4195" s="0" t="s">
        <v>243</v>
      </c>
      <c r="AV4195" s="68"/>
      <c r="AW4195" s="68"/>
      <c r="AY4195" s="27"/>
      <c r="BD4195" s="68">
        <v>46054.1666666667</v>
      </c>
      <c r="BE4195" s="68">
        <v>46082.1666666667</v>
      </c>
      <c r="BF4195" s="0" t="b">
        <v>0</v>
      </c>
      <c r="BG4195" s="0" t="b">
        <v>0</v>
      </c>
      <c r="BH4195" s="0">
        <v>54.75</v>
      </c>
      <c r="BI4195" s="0">
        <v>54.75</v>
      </c>
      <c r="BJ4195" s="0" t="s">
        <v>135</v>
      </c>
    </row>
    <row r="4196">
      <c r="A4196" s="0" t="s">
        <v>4456</v>
      </c>
      <c r="B4196" s="0" t="s">
        <v>652</v>
      </c>
      <c r="C4196" s="0" t="s">
        <v>134</v>
      </c>
      <c r="D4196" s="0" t="s">
        <v>230</v>
      </c>
      <c r="E4196" s="0" t="s">
        <v>3</v>
      </c>
      <c r="F4196" s="0" t="s">
        <v>12</v>
      </c>
      <c r="G4196" s="0" t="s">
        <v>8</v>
      </c>
      <c r="H4196" s="0">
        <v>15</v>
      </c>
      <c r="I4196" s="0">
        <v>106.2</v>
      </c>
      <c r="J4196" s="0">
        <v>0</v>
      </c>
      <c r="K4196" s="0">
        <v>2</v>
      </c>
      <c r="L4196" s="0">
        <v>3</v>
      </c>
      <c r="M4196" s="0">
        <v>1</v>
      </c>
      <c r="N4196" s="0">
        <v>0</v>
      </c>
      <c r="O4196" s="0">
        <v>0</v>
      </c>
      <c r="P4196" s="0">
        <v>531</v>
      </c>
      <c r="R4196" s="0" t="b">
        <v>0</v>
      </c>
      <c r="S4196" s="0" t="b">
        <v>1</v>
      </c>
      <c r="T4196" s="68">
        <v>46038.4840393519</v>
      </c>
      <c r="U4196" s="68">
        <v>46056.2916666667</v>
      </c>
      <c r="V4196" s="68">
        <v>0</v>
      </c>
      <c r="W4196" s="0">
        <f>IF(IF(B4196="none",1,IF(B4196="Trialer",1,0))+IF(C4196="Customer",1,IF(C4196="Lost",1,0))=2,1,0)</f>
      </c>
      <c r="X4196" s="0" t="s">
        <v>1461</v>
      </c>
      <c r="Y4196" s="0" t="s">
        <v>243</v>
      </c>
      <c r="AV4196" s="68"/>
      <c r="AW4196" s="68"/>
      <c r="AY4196" s="27"/>
      <c r="BD4196" s="68">
        <v>46054.1666666667</v>
      </c>
      <c r="BE4196" s="68">
        <v>46082.1666666667</v>
      </c>
      <c r="BF4196" s="0" t="b">
        <v>0</v>
      </c>
      <c r="BG4196" s="0" t="b">
        <v>0</v>
      </c>
      <c r="BH4196" s="0">
        <v>59</v>
      </c>
      <c r="BI4196" s="0">
        <v>59</v>
      </c>
      <c r="BJ4196" s="0" t="s">
        <v>230</v>
      </c>
    </row>
    <row r="4197">
      <c r="A4197" s="0" t="s">
        <v>4457</v>
      </c>
      <c r="B4197" s="0" t="s">
        <v>652</v>
      </c>
      <c r="C4197" s="0" t="s">
        <v>652</v>
      </c>
      <c r="D4197" s="0" t="s">
        <v>135</v>
      </c>
      <c r="E4197" s="0" t="s">
        <v>3</v>
      </c>
      <c r="F4197" s="0" t="s">
        <v>12</v>
      </c>
      <c r="G4197" s="0" t="s">
        <v>8</v>
      </c>
      <c r="H4197" s="0">
        <v>15</v>
      </c>
      <c r="I4197" s="0">
        <v>0</v>
      </c>
      <c r="J4197" s="0">
        <v>0</v>
      </c>
      <c r="K4197" s="0">
        <v>0</v>
      </c>
      <c r="L4197" s="0">
        <v>0</v>
      </c>
      <c r="M4197" s="0">
        <v>0</v>
      </c>
      <c r="N4197" s="0">
        <v>0</v>
      </c>
      <c r="O4197" s="0">
        <v>0</v>
      </c>
      <c r="P4197" s="0">
        <v>0</v>
      </c>
      <c r="R4197" s="0" t="b">
        <v>0</v>
      </c>
      <c r="S4197" s="0" t="b">
        <v>0</v>
      </c>
      <c r="T4197" s="68">
        <v>46038.4861921296</v>
      </c>
      <c r="U4197" s="68">
        <v>0</v>
      </c>
      <c r="V4197" s="68">
        <v>46059.3408564815</v>
      </c>
      <c r="W4197" s="0">
        <f>IF(IF(B4197="none",1,IF(B4197="Trialer",1,0))+IF(C4197="Customer",1,IF(C4197="Lost",1,0))=2,1,0)</f>
      </c>
      <c r="X4197" s="0" t="s">
        <v>148</v>
      </c>
      <c r="Y4197" s="0" t="s">
        <v>243</v>
      </c>
      <c r="AV4197" s="68"/>
      <c r="AW4197" s="68"/>
      <c r="AY4197" s="27"/>
      <c r="BD4197" s="68">
        <v>46054.1666666667</v>
      </c>
      <c r="BE4197" s="68">
        <v>46082.1666666667</v>
      </c>
      <c r="BF4197" s="0" t="b">
        <v>0</v>
      </c>
      <c r="BG4197" s="0" t="b">
        <v>0</v>
      </c>
      <c r="BH4197" s="0">
        <v>132.75</v>
      </c>
      <c r="BI4197" s="0">
        <v>132.75</v>
      </c>
      <c r="BJ4197" s="0" t="s">
        <v>135</v>
      </c>
    </row>
    <row r="4198">
      <c r="A4198" s="0" t="s">
        <v>4458</v>
      </c>
      <c r="B4198" s="0" t="s">
        <v>652</v>
      </c>
      <c r="C4198" s="0" t="s">
        <v>652</v>
      </c>
      <c r="D4198" s="0" t="s">
        <v>135</v>
      </c>
      <c r="E4198" s="0" t="s">
        <v>3</v>
      </c>
      <c r="F4198" s="0" t="s">
        <v>12</v>
      </c>
      <c r="G4198" s="0" t="s">
        <v>8</v>
      </c>
      <c r="H4198" s="0">
        <v>15</v>
      </c>
      <c r="I4198" s="0">
        <v>0</v>
      </c>
      <c r="J4198" s="0">
        <v>0</v>
      </c>
      <c r="K4198" s="0">
        <v>0</v>
      </c>
      <c r="L4198" s="0">
        <v>0</v>
      </c>
      <c r="M4198" s="0">
        <v>0</v>
      </c>
      <c r="N4198" s="0">
        <v>0</v>
      </c>
      <c r="O4198" s="0">
        <v>0</v>
      </c>
      <c r="P4198" s="0">
        <v>0</v>
      </c>
      <c r="R4198" s="0" t="b">
        <v>0</v>
      </c>
      <c r="S4198" s="0" t="b">
        <v>0</v>
      </c>
      <c r="T4198" s="68">
        <v>46038.4877083333</v>
      </c>
      <c r="U4198" s="68">
        <v>0</v>
      </c>
      <c r="V4198" s="68">
        <v>46079.1670138889</v>
      </c>
      <c r="W4198" s="0">
        <f>IF(IF(B4198="none",1,IF(B4198="Trialer",1,0))+IF(C4198="Customer",1,IF(C4198="Lost",1,0))=2,1,0)</f>
      </c>
      <c r="X4198" s="0" t="s">
        <v>145</v>
      </c>
      <c r="Y4198" s="0" t="s">
        <v>243</v>
      </c>
      <c r="AV4198" s="68"/>
      <c r="AW4198" s="68"/>
      <c r="AY4198" s="27"/>
      <c r="BD4198" s="68">
        <v>46054.1666666667</v>
      </c>
      <c r="BE4198" s="68">
        <v>46082.1666666667</v>
      </c>
      <c r="BF4198" s="0" t="b">
        <v>0</v>
      </c>
      <c r="BG4198" s="0" t="b">
        <v>0</v>
      </c>
      <c r="BH4198" s="0">
        <v>53.25</v>
      </c>
      <c r="BI4198" s="0">
        <v>53.25</v>
      </c>
      <c r="BJ4198" s="0" t="s">
        <v>135</v>
      </c>
    </row>
    <row r="4199">
      <c r="A4199" s="0" t="s">
        <v>4459</v>
      </c>
      <c r="B4199" s="0" t="s">
        <v>134</v>
      </c>
      <c r="C4199" s="0" t="s">
        <v>134</v>
      </c>
      <c r="D4199" s="0" t="s">
        <v>135</v>
      </c>
      <c r="E4199" s="0" t="s">
        <v>3</v>
      </c>
      <c r="F4199" s="0" t="s">
        <v>11</v>
      </c>
      <c r="G4199" s="0" t="s">
        <v>8</v>
      </c>
      <c r="H4199" s="0">
        <v>15</v>
      </c>
      <c r="I4199" s="0">
        <v>97.6</v>
      </c>
      <c r="J4199" s="0">
        <v>0</v>
      </c>
      <c r="K4199" s="0">
        <v>1</v>
      </c>
      <c r="L4199" s="0">
        <v>4</v>
      </c>
      <c r="M4199" s="0">
        <v>2</v>
      </c>
      <c r="N4199" s="0">
        <v>0</v>
      </c>
      <c r="O4199" s="0">
        <v>0</v>
      </c>
      <c r="P4199" s="0">
        <v>0</v>
      </c>
      <c r="Q4199" s="0" t="s">
        <v>1743</v>
      </c>
      <c r="R4199" s="0" t="b">
        <v>1</v>
      </c>
      <c r="S4199" s="0" t="b">
        <v>1</v>
      </c>
      <c r="T4199" s="68">
        <v>46038.5058101852</v>
      </c>
      <c r="U4199" s="68">
        <v>46038.2916666667</v>
      </c>
      <c r="V4199" s="68">
        <v>0</v>
      </c>
      <c r="W4199" s="0">
        <f>IF(IF(B4199="none",1,IF(B4199="Trialer",1,0))+IF(C4199="Customer",1,IF(C4199="Lost",1,0))=2,1,0)</f>
      </c>
      <c r="X4199" s="0" t="s">
        <v>145</v>
      </c>
      <c r="Y4199" s="0" t="s">
        <v>243</v>
      </c>
      <c r="AV4199" s="68"/>
      <c r="AW4199" s="68"/>
      <c r="AY4199" s="27"/>
      <c r="BD4199" s="68">
        <v>46054.1666666667</v>
      </c>
      <c r="BE4199" s="68">
        <v>46082.1666666667</v>
      </c>
      <c r="BF4199" s="0" t="b">
        <v>0</v>
      </c>
      <c r="BG4199" s="0" t="b">
        <v>0</v>
      </c>
      <c r="BH4199" s="0">
        <v>97.6</v>
      </c>
      <c r="BI4199" s="0">
        <v>97.6</v>
      </c>
      <c r="BJ4199" s="0" t="s">
        <v>135</v>
      </c>
    </row>
    <row r="4200">
      <c r="A4200" s="0" t="s">
        <v>4460</v>
      </c>
      <c r="B4200" s="0" t="s">
        <v>652</v>
      </c>
      <c r="C4200" s="0" t="s">
        <v>652</v>
      </c>
      <c r="D4200" s="0" t="s">
        <v>135</v>
      </c>
      <c r="E4200" s="0" t="s">
        <v>3</v>
      </c>
      <c r="F4200" s="0" t="s">
        <v>12</v>
      </c>
      <c r="G4200" s="0" t="s">
        <v>8</v>
      </c>
      <c r="H4200" s="0">
        <v>15</v>
      </c>
      <c r="I4200" s="0">
        <v>0</v>
      </c>
      <c r="J4200" s="0">
        <v>0</v>
      </c>
      <c r="K4200" s="0">
        <v>0</v>
      </c>
      <c r="L4200" s="0">
        <v>0</v>
      </c>
      <c r="M4200" s="0">
        <v>0</v>
      </c>
      <c r="N4200" s="0">
        <v>0</v>
      </c>
      <c r="O4200" s="0">
        <v>0</v>
      </c>
      <c r="P4200" s="0">
        <v>0</v>
      </c>
      <c r="R4200" s="0" t="b">
        <v>0</v>
      </c>
      <c r="S4200" s="0" t="b">
        <v>0</v>
      </c>
      <c r="T4200" s="68">
        <v>46038.5267939815</v>
      </c>
      <c r="U4200" s="68">
        <v>0</v>
      </c>
      <c r="V4200" s="68">
        <v>46079.167025463</v>
      </c>
      <c r="W4200" s="0">
        <f>IF(IF(B4200="none",1,IF(B4200="Trialer",1,0))+IF(C4200="Customer",1,IF(C4200="Lost",1,0))=2,1,0)</f>
      </c>
      <c r="X4200" s="0" t="s">
        <v>136</v>
      </c>
      <c r="Y4200" s="0" t="s">
        <v>243</v>
      </c>
      <c r="AV4200" s="68"/>
      <c r="AW4200" s="68"/>
      <c r="AY4200" s="27"/>
      <c r="BD4200" s="68">
        <v>46054.1666666667</v>
      </c>
      <c r="BE4200" s="68">
        <v>46082.1666666667</v>
      </c>
      <c r="BF4200" s="0" t="b">
        <v>0</v>
      </c>
      <c r="BG4200" s="0" t="b">
        <v>0</v>
      </c>
      <c r="BH4200" s="0">
        <v>279</v>
      </c>
      <c r="BI4200" s="0">
        <v>279</v>
      </c>
      <c r="BJ4200" s="0" t="s">
        <v>135</v>
      </c>
    </row>
    <row r="4201">
      <c r="A4201" s="0" t="s">
        <v>4461</v>
      </c>
      <c r="B4201" s="0" t="s">
        <v>134</v>
      </c>
      <c r="C4201" s="0" t="s">
        <v>134</v>
      </c>
      <c r="D4201" s="0" t="s">
        <v>135</v>
      </c>
      <c r="E4201" s="0" t="s">
        <v>3</v>
      </c>
      <c r="F4201" s="0" t="s">
        <v>12</v>
      </c>
      <c r="G4201" s="0" t="s">
        <v>8</v>
      </c>
      <c r="H4201" s="0">
        <v>15</v>
      </c>
      <c r="I4201" s="0">
        <v>62.25</v>
      </c>
      <c r="J4201" s="0">
        <v>0</v>
      </c>
      <c r="K4201" s="0">
        <v>1</v>
      </c>
      <c r="L4201" s="0">
        <v>5</v>
      </c>
      <c r="M4201" s="0">
        <v>1</v>
      </c>
      <c r="N4201" s="0">
        <v>0</v>
      </c>
      <c r="O4201" s="0">
        <v>0</v>
      </c>
      <c r="P4201" s="0">
        <v>0</v>
      </c>
      <c r="R4201" s="0" t="b">
        <v>0</v>
      </c>
      <c r="S4201" s="0" t="b">
        <v>1</v>
      </c>
      <c r="T4201" s="68">
        <v>46038.5472800926</v>
      </c>
      <c r="U4201" s="68">
        <v>46050.2916666667</v>
      </c>
      <c r="V4201" s="68">
        <v>0</v>
      </c>
      <c r="W4201" s="0">
        <f>IF(IF(B4201="none",1,IF(B4201="Trialer",1,0))+IF(C4201="Customer",1,IF(C4201="Lost",1,0))=2,1,0)</f>
      </c>
      <c r="X4201" s="0" t="s">
        <v>1461</v>
      </c>
      <c r="Y4201" s="0" t="s">
        <v>243</v>
      </c>
      <c r="AV4201" s="68"/>
      <c r="AW4201" s="68"/>
      <c r="AY4201" s="27"/>
      <c r="BD4201" s="68">
        <v>46054.1666666667</v>
      </c>
      <c r="BE4201" s="68">
        <v>46082.1666666667</v>
      </c>
      <c r="BF4201" s="0" t="b">
        <v>0</v>
      </c>
      <c r="BG4201" s="0" t="b">
        <v>0</v>
      </c>
      <c r="BH4201" s="0">
        <v>62.25</v>
      </c>
      <c r="BI4201" s="0">
        <v>62.25</v>
      </c>
      <c r="BJ4201" s="0" t="s">
        <v>135</v>
      </c>
    </row>
    <row r="4202">
      <c r="A4202" s="0" t="s">
        <v>4462</v>
      </c>
      <c r="B4202" s="0" t="s">
        <v>652</v>
      </c>
      <c r="C4202" s="0" t="s">
        <v>652</v>
      </c>
      <c r="D4202" s="0" t="s">
        <v>135</v>
      </c>
      <c r="E4202" s="0" t="s">
        <v>3</v>
      </c>
      <c r="F4202" s="0" t="s">
        <v>12</v>
      </c>
      <c r="G4202" s="0" t="s">
        <v>8</v>
      </c>
      <c r="H4202" s="0">
        <v>15</v>
      </c>
      <c r="I4202" s="0">
        <v>0</v>
      </c>
      <c r="J4202" s="0">
        <v>0</v>
      </c>
      <c r="K4202" s="0">
        <v>0</v>
      </c>
      <c r="L4202" s="0">
        <v>0</v>
      </c>
      <c r="M4202" s="0">
        <v>0</v>
      </c>
      <c r="N4202" s="0">
        <v>0</v>
      </c>
      <c r="O4202" s="0">
        <v>0</v>
      </c>
      <c r="P4202" s="0">
        <v>0</v>
      </c>
      <c r="R4202" s="0" t="b">
        <v>0</v>
      </c>
      <c r="S4202" s="0" t="b">
        <v>0</v>
      </c>
      <c r="T4202" s="68">
        <v>46038.5659143518</v>
      </c>
      <c r="U4202" s="68">
        <v>0</v>
      </c>
      <c r="V4202" s="68">
        <v>46079.1671180556</v>
      </c>
      <c r="W4202" s="0">
        <f>IF(IF(B4202="none",1,IF(B4202="Trialer",1,0))+IF(C4202="Customer",1,IF(C4202="Lost",1,0))=2,1,0)</f>
      </c>
      <c r="X4202" s="0" t="s">
        <v>148</v>
      </c>
      <c r="Y4202" s="0" t="s">
        <v>243</v>
      </c>
      <c r="AV4202" s="68"/>
      <c r="AW4202" s="68"/>
      <c r="AY4202" s="27"/>
      <c r="BD4202" s="68">
        <v>46054.1666666667</v>
      </c>
      <c r="BE4202" s="68">
        <v>46082.1666666667</v>
      </c>
      <c r="BF4202" s="0" t="b">
        <v>0</v>
      </c>
      <c r="BG4202" s="0" t="b">
        <v>0</v>
      </c>
      <c r="BH4202" s="0">
        <v>44.25</v>
      </c>
      <c r="BI4202" s="0">
        <v>44.25</v>
      </c>
      <c r="BJ4202" s="0" t="s">
        <v>135</v>
      </c>
    </row>
    <row r="4203">
      <c r="A4203" s="0" t="s">
        <v>4463</v>
      </c>
      <c r="B4203" s="0" t="s">
        <v>652</v>
      </c>
      <c r="C4203" s="0" t="s">
        <v>652</v>
      </c>
      <c r="D4203" s="0" t="s">
        <v>135</v>
      </c>
      <c r="E4203" s="0" t="s">
        <v>2414</v>
      </c>
      <c r="F4203" s="0" t="s">
        <v>12</v>
      </c>
      <c r="G4203" s="0" t="s">
        <v>8</v>
      </c>
      <c r="H4203" s="0">
        <v>15</v>
      </c>
      <c r="I4203" s="0">
        <v>0</v>
      </c>
      <c r="J4203" s="0">
        <v>0</v>
      </c>
      <c r="K4203" s="0">
        <v>0</v>
      </c>
      <c r="L4203" s="0">
        <v>0</v>
      </c>
      <c r="M4203" s="0">
        <v>0</v>
      </c>
      <c r="N4203" s="0">
        <v>0</v>
      </c>
      <c r="O4203" s="0">
        <v>0</v>
      </c>
      <c r="P4203" s="0">
        <v>0</v>
      </c>
      <c r="R4203" s="0" t="b">
        <v>0</v>
      </c>
      <c r="S4203" s="0" t="b">
        <v>0</v>
      </c>
      <c r="T4203" s="68">
        <v>46038.5681828704</v>
      </c>
      <c r="U4203" s="68">
        <v>0</v>
      </c>
      <c r="V4203" s="68">
        <v>46079.1668402778</v>
      </c>
      <c r="W4203" s="0">
        <f>IF(IF(B4203="none",1,IF(B4203="Trialer",1,0))+IF(C4203="Customer",1,IF(C4203="Lost",1,0))=2,1,0)</f>
      </c>
      <c r="X4203" s="0" t="s">
        <v>145</v>
      </c>
      <c r="Y4203" s="0" t="s">
        <v>1516</v>
      </c>
      <c r="AV4203" s="68"/>
      <c r="AW4203" s="68"/>
      <c r="AY4203" s="27"/>
      <c r="BD4203" s="68">
        <v>46054.1666666667</v>
      </c>
      <c r="BE4203" s="68">
        <v>46082.1666666667</v>
      </c>
      <c r="BF4203" s="0" t="b">
        <v>0</v>
      </c>
      <c r="BG4203" s="0" t="b">
        <v>0</v>
      </c>
      <c r="BH4203" s="0">
        <v>44.25</v>
      </c>
      <c r="BI4203" s="0">
        <v>44.25</v>
      </c>
      <c r="BJ4203" s="0" t="s">
        <v>135</v>
      </c>
    </row>
    <row r="4204">
      <c r="A4204" s="0" t="s">
        <v>4464</v>
      </c>
      <c r="B4204" s="0" t="s">
        <v>652</v>
      </c>
      <c r="C4204" s="0" t="s">
        <v>652</v>
      </c>
      <c r="D4204" s="0" t="s">
        <v>135</v>
      </c>
      <c r="E4204" s="0" t="s">
        <v>3</v>
      </c>
      <c r="F4204" s="0" t="s">
        <v>12</v>
      </c>
      <c r="G4204" s="0" t="s">
        <v>8</v>
      </c>
      <c r="H4204" s="0">
        <v>15</v>
      </c>
      <c r="I4204" s="0">
        <v>0</v>
      </c>
      <c r="J4204" s="0">
        <v>0</v>
      </c>
      <c r="K4204" s="0">
        <v>0</v>
      </c>
      <c r="L4204" s="0">
        <v>0</v>
      </c>
      <c r="M4204" s="0">
        <v>0</v>
      </c>
      <c r="N4204" s="0">
        <v>0</v>
      </c>
      <c r="O4204" s="0">
        <v>0</v>
      </c>
      <c r="P4204" s="0">
        <v>0</v>
      </c>
      <c r="R4204" s="0" t="b">
        <v>0</v>
      </c>
      <c r="S4204" s="0" t="b">
        <v>0</v>
      </c>
      <c r="T4204" s="68">
        <v>46038.5728472222</v>
      </c>
      <c r="U4204" s="68">
        <v>0</v>
      </c>
      <c r="V4204" s="68">
        <v>46058.3864583333</v>
      </c>
      <c r="W4204" s="0">
        <f>IF(IF(B4204="none",1,IF(B4204="Trialer",1,0))+IF(C4204="Customer",1,IF(C4204="Lost",1,0))=2,1,0)</f>
      </c>
      <c r="X4204" s="0" t="s">
        <v>882</v>
      </c>
      <c r="Y4204" s="0" t="s">
        <v>243</v>
      </c>
      <c r="AV4204" s="68"/>
      <c r="AW4204" s="68"/>
      <c r="AY4204" s="27"/>
      <c r="BD4204" s="68">
        <v>46054.1666666667</v>
      </c>
      <c r="BE4204" s="68">
        <v>46082.1666666667</v>
      </c>
      <c r="BF4204" s="0" t="b">
        <v>1</v>
      </c>
      <c r="BG4204" s="0" t="b">
        <v>0</v>
      </c>
      <c r="BH4204" s="0">
        <v>44.25</v>
      </c>
      <c r="BI4204" s="0">
        <v>44.25</v>
      </c>
      <c r="BJ4204" s="0" t="s">
        <v>135</v>
      </c>
    </row>
    <row r="4205">
      <c r="A4205" s="0" t="s">
        <v>4465</v>
      </c>
      <c r="B4205" s="0" t="s">
        <v>652</v>
      </c>
      <c r="C4205" s="0" t="s">
        <v>652</v>
      </c>
      <c r="D4205" s="0" t="s">
        <v>135</v>
      </c>
      <c r="E4205" s="0" t="s">
        <v>2</v>
      </c>
      <c r="F4205" s="0" t="s">
        <v>12</v>
      </c>
      <c r="G4205" s="0" t="s">
        <v>8</v>
      </c>
      <c r="H4205" s="0">
        <v>15</v>
      </c>
      <c r="I4205" s="0">
        <v>0</v>
      </c>
      <c r="J4205" s="0">
        <v>0</v>
      </c>
      <c r="K4205" s="0">
        <v>0</v>
      </c>
      <c r="L4205" s="0">
        <v>0</v>
      </c>
      <c r="M4205" s="0">
        <v>0</v>
      </c>
      <c r="N4205" s="0">
        <v>0</v>
      </c>
      <c r="O4205" s="0">
        <v>0</v>
      </c>
      <c r="P4205" s="0">
        <v>0</v>
      </c>
      <c r="R4205" s="0" t="b">
        <v>0</v>
      </c>
      <c r="S4205" s="0" t="b">
        <v>0</v>
      </c>
      <c r="T4205" s="68">
        <v>46038.5816319444</v>
      </c>
      <c r="U4205" s="68">
        <v>0</v>
      </c>
      <c r="V4205" s="68">
        <v>46079.1667708333</v>
      </c>
      <c r="W4205" s="0">
        <f>IF(IF(B4205="none",1,IF(B4205="Trialer",1,0))+IF(C4205="Customer",1,IF(C4205="Lost",1,0))=2,1,0)</f>
      </c>
      <c r="X4205" s="0" t="s">
        <v>148</v>
      </c>
      <c r="Y4205" s="0" t="s">
        <v>499</v>
      </c>
      <c r="AV4205" s="68"/>
      <c r="AW4205" s="68"/>
      <c r="AY4205" s="27"/>
      <c r="BD4205" s="68">
        <v>46054.1666666667</v>
      </c>
      <c r="BE4205" s="68">
        <v>46082.1666666667</v>
      </c>
      <c r="BF4205" s="0" t="b">
        <v>0</v>
      </c>
      <c r="BG4205" s="0" t="b">
        <v>0</v>
      </c>
      <c r="BH4205" s="0">
        <v>44.25</v>
      </c>
      <c r="BI4205" s="0">
        <v>44.25</v>
      </c>
      <c r="BJ4205" s="0" t="s">
        <v>135</v>
      </c>
    </row>
    <row r="4206">
      <c r="A4206" s="0" t="s">
        <v>4466</v>
      </c>
      <c r="B4206" s="0" t="s">
        <v>652</v>
      </c>
      <c r="C4206" s="0" t="s">
        <v>652</v>
      </c>
      <c r="D4206" s="0" t="s">
        <v>135</v>
      </c>
      <c r="E4206" s="0" t="s">
        <v>3</v>
      </c>
      <c r="F4206" s="0" t="s">
        <v>12</v>
      </c>
      <c r="G4206" s="0" t="s">
        <v>8</v>
      </c>
      <c r="H4206" s="0">
        <v>15</v>
      </c>
      <c r="I4206" s="0">
        <v>0</v>
      </c>
      <c r="J4206" s="0">
        <v>0</v>
      </c>
      <c r="K4206" s="0">
        <v>0</v>
      </c>
      <c r="L4206" s="0">
        <v>0</v>
      </c>
      <c r="M4206" s="0">
        <v>0</v>
      </c>
      <c r="N4206" s="0">
        <v>0</v>
      </c>
      <c r="O4206" s="0">
        <v>0</v>
      </c>
      <c r="P4206" s="0">
        <v>0</v>
      </c>
      <c r="R4206" s="0" t="b">
        <v>0</v>
      </c>
      <c r="S4206" s="0" t="b">
        <v>0</v>
      </c>
      <c r="T4206" s="68">
        <v>46038.5829976852</v>
      </c>
      <c r="U4206" s="68">
        <v>0</v>
      </c>
      <c r="V4206" s="68">
        <v>46079.1670486111</v>
      </c>
      <c r="W4206" s="0">
        <f>IF(IF(B4206="none",1,IF(B4206="Trialer",1,0))+IF(C4206="Customer",1,IF(C4206="Lost",1,0))=2,1,0)</f>
      </c>
      <c r="X4206" s="0" t="s">
        <v>145</v>
      </c>
      <c r="Y4206" s="0" t="s">
        <v>243</v>
      </c>
      <c r="AV4206" s="68"/>
      <c r="AW4206" s="68"/>
      <c r="AY4206" s="27"/>
      <c r="BD4206" s="68">
        <v>46054.1666666667</v>
      </c>
      <c r="BE4206" s="68">
        <v>46082.1666666667</v>
      </c>
      <c r="BF4206" s="0" t="b">
        <v>0</v>
      </c>
      <c r="BG4206" s="0" t="b">
        <v>0</v>
      </c>
      <c r="BH4206" s="0">
        <v>44.25</v>
      </c>
      <c r="BI4206" s="0">
        <v>44.25</v>
      </c>
      <c r="BJ4206" s="0" t="s">
        <v>135</v>
      </c>
    </row>
    <row r="4207">
      <c r="A4207" s="0" t="s">
        <v>4467</v>
      </c>
      <c r="B4207" s="0" t="s">
        <v>652</v>
      </c>
      <c r="C4207" s="0" t="s">
        <v>652</v>
      </c>
      <c r="D4207" s="0" t="s">
        <v>135</v>
      </c>
      <c r="E4207" s="0" t="s">
        <v>3</v>
      </c>
      <c r="F4207" s="0" t="s">
        <v>12</v>
      </c>
      <c r="G4207" s="0" t="s">
        <v>8</v>
      </c>
      <c r="H4207" s="0">
        <v>15</v>
      </c>
      <c r="I4207" s="0">
        <v>0</v>
      </c>
      <c r="J4207" s="0">
        <v>0</v>
      </c>
      <c r="K4207" s="0">
        <v>0</v>
      </c>
      <c r="L4207" s="0">
        <v>0</v>
      </c>
      <c r="M4207" s="0">
        <v>0</v>
      </c>
      <c r="N4207" s="0">
        <v>0</v>
      </c>
      <c r="O4207" s="0">
        <v>0</v>
      </c>
      <c r="P4207" s="0">
        <v>0</v>
      </c>
      <c r="R4207" s="0" t="b">
        <v>0</v>
      </c>
      <c r="S4207" s="0" t="b">
        <v>0</v>
      </c>
      <c r="T4207" s="68">
        <v>46038.6220717593</v>
      </c>
      <c r="U4207" s="68">
        <v>0</v>
      </c>
      <c r="V4207" s="68">
        <v>46067.1668171296</v>
      </c>
      <c r="W4207" s="0">
        <f>IF(IF(B4207="none",1,IF(B4207="Trialer",1,0))+IF(C4207="Customer",1,IF(C4207="Lost",1,0))=2,1,0)</f>
      </c>
      <c r="X4207" s="0" t="s">
        <v>136</v>
      </c>
      <c r="Y4207" s="0" t="s">
        <v>243</v>
      </c>
      <c r="AV4207" s="68"/>
      <c r="AW4207" s="68"/>
      <c r="AY4207" s="27"/>
      <c r="BD4207" s="68">
        <v>46054.1666666667</v>
      </c>
      <c r="BE4207" s="68">
        <v>46082.1666666667</v>
      </c>
      <c r="BF4207" s="0" t="b">
        <v>0</v>
      </c>
      <c r="BG4207" s="0" t="b">
        <v>0</v>
      </c>
      <c r="BH4207" s="0">
        <v>88.5</v>
      </c>
      <c r="BI4207" s="0">
        <v>88.5</v>
      </c>
      <c r="BJ4207" s="0" t="s">
        <v>135</v>
      </c>
    </row>
    <row r="4208">
      <c r="A4208" s="0" t="s">
        <v>4468</v>
      </c>
      <c r="B4208" s="0" t="s">
        <v>652</v>
      </c>
      <c r="C4208" s="0" t="s">
        <v>652</v>
      </c>
      <c r="D4208" s="0" t="s">
        <v>135</v>
      </c>
      <c r="E4208" s="0" t="s">
        <v>2</v>
      </c>
      <c r="F4208" s="0" t="s">
        <v>12</v>
      </c>
      <c r="G4208" s="0" t="s">
        <v>8</v>
      </c>
      <c r="H4208" s="0">
        <v>15</v>
      </c>
      <c r="I4208" s="0">
        <v>0</v>
      </c>
      <c r="J4208" s="0">
        <v>0</v>
      </c>
      <c r="K4208" s="0">
        <v>0</v>
      </c>
      <c r="L4208" s="0">
        <v>0</v>
      </c>
      <c r="M4208" s="0">
        <v>0</v>
      </c>
      <c r="N4208" s="0">
        <v>0</v>
      </c>
      <c r="O4208" s="0">
        <v>0</v>
      </c>
      <c r="P4208" s="0">
        <v>0</v>
      </c>
      <c r="R4208" s="0" t="b">
        <v>0</v>
      </c>
      <c r="S4208" s="0" t="b">
        <v>0</v>
      </c>
      <c r="T4208" s="68">
        <v>46038.6291666667</v>
      </c>
      <c r="U4208" s="68">
        <v>0</v>
      </c>
      <c r="V4208" s="68">
        <v>46079.1671527778</v>
      </c>
      <c r="W4208" s="0">
        <f>IF(IF(B4208="none",1,IF(B4208="Trialer",1,0))+IF(C4208="Customer",1,IF(C4208="Lost",1,0))=2,1,0)</f>
      </c>
      <c r="X4208" s="0" t="s">
        <v>148</v>
      </c>
      <c r="Y4208" s="0" t="s">
        <v>499</v>
      </c>
      <c r="AV4208" s="68"/>
      <c r="AW4208" s="68"/>
      <c r="AY4208" s="27"/>
      <c r="BD4208" s="68">
        <v>46054.1666666667</v>
      </c>
      <c r="BE4208" s="68">
        <v>46082.1666666667</v>
      </c>
      <c r="BF4208" s="0" t="b">
        <v>0</v>
      </c>
      <c r="BG4208" s="0" t="b">
        <v>0</v>
      </c>
      <c r="BH4208" s="0">
        <v>44.25</v>
      </c>
      <c r="BI4208" s="0">
        <v>44.25</v>
      </c>
      <c r="BJ4208" s="0" t="s">
        <v>135</v>
      </c>
    </row>
    <row r="4209">
      <c r="A4209" s="0" t="s">
        <v>4469</v>
      </c>
      <c r="B4209" s="0" t="s">
        <v>134</v>
      </c>
      <c r="C4209" s="0" t="s">
        <v>134</v>
      </c>
      <c r="D4209" s="0" t="s">
        <v>135</v>
      </c>
      <c r="E4209" s="0" t="s">
        <v>2</v>
      </c>
      <c r="F4209" s="0" t="s">
        <v>12</v>
      </c>
      <c r="G4209" s="0" t="s">
        <v>8</v>
      </c>
      <c r="H4209" s="0">
        <v>15</v>
      </c>
      <c r="I4209" s="0">
        <v>132.75</v>
      </c>
      <c r="J4209" s="0">
        <v>0</v>
      </c>
      <c r="K4209" s="0">
        <v>1</v>
      </c>
      <c r="L4209" s="0">
        <v>3</v>
      </c>
      <c r="M4209" s="0">
        <v>3</v>
      </c>
      <c r="N4209" s="0">
        <v>542.5</v>
      </c>
      <c r="O4209" s="0">
        <v>0</v>
      </c>
      <c r="P4209" s="0">
        <v>0</v>
      </c>
      <c r="R4209" s="0" t="b">
        <v>0</v>
      </c>
      <c r="S4209" s="0" t="b">
        <v>1</v>
      </c>
      <c r="T4209" s="68">
        <v>46038.6326388889</v>
      </c>
      <c r="U4209" s="68">
        <v>46052.2916666667</v>
      </c>
      <c r="V4209" s="68">
        <v>0</v>
      </c>
      <c r="W4209" s="0">
        <f>IF(IF(B4209="none",1,IF(B4209="Trialer",1,0))+IF(C4209="Customer",1,IF(C4209="Lost",1,0))=2,1,0)</f>
      </c>
      <c r="X4209" s="0" t="s">
        <v>1461</v>
      </c>
      <c r="Y4209" s="0" t="s">
        <v>499</v>
      </c>
      <c r="AV4209" s="68"/>
      <c r="AW4209" s="68"/>
      <c r="AY4209" s="27"/>
      <c r="BD4209" s="68">
        <v>46054.1666666667</v>
      </c>
      <c r="BE4209" s="68">
        <v>46082.1666666667</v>
      </c>
      <c r="BF4209" s="0" t="b">
        <v>0</v>
      </c>
      <c r="BG4209" s="0" t="b">
        <v>0</v>
      </c>
      <c r="BH4209" s="0">
        <v>132.75</v>
      </c>
      <c r="BI4209" s="0">
        <v>132.75</v>
      </c>
      <c r="BJ4209" s="0" t="s">
        <v>135</v>
      </c>
    </row>
    <row r="4210">
      <c r="A4210" s="0" t="s">
        <v>4470</v>
      </c>
      <c r="B4210" s="0" t="s">
        <v>652</v>
      </c>
      <c r="C4210" s="0" t="s">
        <v>652</v>
      </c>
      <c r="D4210" s="0" t="s">
        <v>135</v>
      </c>
      <c r="E4210" s="0" t="s">
        <v>4</v>
      </c>
      <c r="F4210" s="0" t="s">
        <v>12</v>
      </c>
      <c r="G4210" s="0" t="s">
        <v>8</v>
      </c>
      <c r="H4210" s="0">
        <v>15</v>
      </c>
      <c r="I4210" s="0">
        <v>0</v>
      </c>
      <c r="J4210" s="0">
        <v>0</v>
      </c>
      <c r="K4210" s="0">
        <v>0</v>
      </c>
      <c r="L4210" s="0">
        <v>0</v>
      </c>
      <c r="M4210" s="0">
        <v>0</v>
      </c>
      <c r="N4210" s="0">
        <v>0</v>
      </c>
      <c r="O4210" s="0">
        <v>0</v>
      </c>
      <c r="P4210" s="0">
        <v>0</v>
      </c>
      <c r="R4210" s="0" t="b">
        <v>0</v>
      </c>
      <c r="S4210" s="0" t="b">
        <v>0</v>
      </c>
      <c r="T4210" s="68">
        <v>46038.6506365741</v>
      </c>
      <c r="U4210" s="68">
        <v>0</v>
      </c>
      <c r="V4210" s="68">
        <v>46079.1669791667</v>
      </c>
      <c r="W4210" s="0">
        <f>IF(IF(B4210="none",1,IF(B4210="Trialer",1,0))+IF(C4210="Customer",1,IF(C4210="Lost",1,0))=2,1,0)</f>
      </c>
      <c r="X4210" s="0" t="s">
        <v>145</v>
      </c>
      <c r="Y4210" s="0" t="s">
        <v>1772</v>
      </c>
      <c r="AV4210" s="68"/>
      <c r="AW4210" s="68"/>
      <c r="AY4210" s="27"/>
      <c r="BD4210" s="68">
        <v>46054.1666666667</v>
      </c>
      <c r="BE4210" s="68">
        <v>46082.1666666667</v>
      </c>
      <c r="BF4210" s="0" t="b">
        <v>0</v>
      </c>
      <c r="BG4210" s="0" t="b">
        <v>0</v>
      </c>
      <c r="BH4210" s="0">
        <v>44.25</v>
      </c>
      <c r="BI4210" s="0">
        <v>44.25</v>
      </c>
      <c r="BJ4210" s="0" t="s">
        <v>135</v>
      </c>
    </row>
    <row r="4211">
      <c r="A4211" s="0" t="s">
        <v>4471</v>
      </c>
      <c r="B4211" s="0" t="s">
        <v>134</v>
      </c>
      <c r="C4211" s="0" t="s">
        <v>190</v>
      </c>
      <c r="D4211" s="0" t="s">
        <v>135</v>
      </c>
      <c r="E4211" s="0" t="s">
        <v>3</v>
      </c>
      <c r="F4211" s="0" t="s">
        <v>12</v>
      </c>
      <c r="G4211" s="0" t="s">
        <v>8</v>
      </c>
      <c r="H4211" s="0">
        <v>15</v>
      </c>
      <c r="I4211" s="0">
        <v>0</v>
      </c>
      <c r="J4211" s="0">
        <v>-90</v>
      </c>
      <c r="K4211" s="0">
        <v>0</v>
      </c>
      <c r="L4211" s="0">
        <v>0</v>
      </c>
      <c r="M4211" s="0">
        <v>0</v>
      </c>
      <c r="N4211" s="0">
        <v>0</v>
      </c>
      <c r="O4211" s="0">
        <v>0</v>
      </c>
      <c r="P4211" s="0">
        <v>0</v>
      </c>
      <c r="R4211" s="0" t="b">
        <v>0</v>
      </c>
      <c r="S4211" s="0" t="b">
        <v>0</v>
      </c>
      <c r="T4211" s="68">
        <v>46038.6506944444</v>
      </c>
      <c r="U4211" s="68">
        <v>46052.2916666667</v>
      </c>
      <c r="V4211" s="68">
        <v>46064.4215972222</v>
      </c>
      <c r="W4211" s="0">
        <f>IF(IF(B4211="none",1,IF(B4211="Trialer",1,0))+IF(C4211="Customer",1,IF(C4211="Lost",1,0))=2,1,0)</f>
      </c>
      <c r="X4211" s="0" t="s">
        <v>1461</v>
      </c>
      <c r="Y4211" s="0" t="s">
        <v>243</v>
      </c>
      <c r="AV4211" s="68"/>
      <c r="AW4211" s="68"/>
      <c r="AY4211" s="27"/>
      <c r="BD4211" s="68">
        <v>46054.1666666667</v>
      </c>
      <c r="BE4211" s="68">
        <v>46082.1666666667</v>
      </c>
      <c r="BF4211" s="0" t="b">
        <v>0</v>
      </c>
      <c r="BG4211" s="0" t="b">
        <v>0</v>
      </c>
      <c r="BH4211" s="0">
        <v>90</v>
      </c>
      <c r="BI4211" s="0">
        <v>90</v>
      </c>
      <c r="BJ4211" s="0" t="s">
        <v>135</v>
      </c>
    </row>
    <row r="4212">
      <c r="A4212" s="0" t="s">
        <v>4472</v>
      </c>
      <c r="B4212" s="0" t="s">
        <v>652</v>
      </c>
      <c r="C4212" s="0" t="s">
        <v>652</v>
      </c>
      <c r="D4212" s="0" t="s">
        <v>135</v>
      </c>
      <c r="E4212" s="0" t="s">
        <v>2</v>
      </c>
      <c r="F4212" s="0" t="s">
        <v>12</v>
      </c>
      <c r="G4212" s="0" t="s">
        <v>8</v>
      </c>
      <c r="H4212" s="0">
        <v>15</v>
      </c>
      <c r="I4212" s="0">
        <v>0</v>
      </c>
      <c r="J4212" s="0">
        <v>0</v>
      </c>
      <c r="K4212" s="0">
        <v>0</v>
      </c>
      <c r="L4212" s="0">
        <v>0</v>
      </c>
      <c r="M4212" s="0">
        <v>0</v>
      </c>
      <c r="N4212" s="0">
        <v>0</v>
      </c>
      <c r="O4212" s="0">
        <v>0</v>
      </c>
      <c r="P4212" s="0">
        <v>0</v>
      </c>
      <c r="R4212" s="0" t="b">
        <v>0</v>
      </c>
      <c r="S4212" s="0" t="b">
        <v>0</v>
      </c>
      <c r="T4212" s="68">
        <v>46038.7149768519</v>
      </c>
      <c r="U4212" s="68">
        <v>0</v>
      </c>
      <c r="V4212" s="68">
        <v>46079.1667824074</v>
      </c>
      <c r="W4212" s="0">
        <f>IF(IF(B4212="none",1,IF(B4212="Trialer",1,0))+IF(C4212="Customer",1,IF(C4212="Lost",1,0))=2,1,0)</f>
      </c>
      <c r="X4212" s="0" t="s">
        <v>882</v>
      </c>
      <c r="Y4212" s="0" t="s">
        <v>499</v>
      </c>
      <c r="AV4212" s="68"/>
      <c r="AW4212" s="68"/>
      <c r="AY4212" s="27"/>
      <c r="BD4212" s="68">
        <v>46054.1666666667</v>
      </c>
      <c r="BE4212" s="68">
        <v>46082.1666666667</v>
      </c>
      <c r="BF4212" s="0" t="b">
        <v>0</v>
      </c>
      <c r="BG4212" s="0" t="b">
        <v>0</v>
      </c>
      <c r="BH4212" s="0">
        <v>63.75</v>
      </c>
      <c r="BI4212" s="0">
        <v>63.75</v>
      </c>
      <c r="BJ4212" s="0" t="s">
        <v>135</v>
      </c>
    </row>
    <row r="4213">
      <c r="A4213" s="0" t="s">
        <v>4473</v>
      </c>
      <c r="B4213" s="0" t="s">
        <v>652</v>
      </c>
      <c r="C4213" s="0" t="s">
        <v>652</v>
      </c>
      <c r="D4213" s="0" t="s">
        <v>135</v>
      </c>
      <c r="E4213" s="0" t="s">
        <v>1515</v>
      </c>
      <c r="F4213" s="0" t="s">
        <v>10</v>
      </c>
      <c r="G4213" s="0" t="s">
        <v>8</v>
      </c>
      <c r="H4213" s="0">
        <v>15</v>
      </c>
      <c r="I4213" s="0">
        <v>0</v>
      </c>
      <c r="J4213" s="0">
        <v>0</v>
      </c>
      <c r="K4213" s="0">
        <v>0</v>
      </c>
      <c r="L4213" s="0">
        <v>0</v>
      </c>
      <c r="M4213" s="0">
        <v>0</v>
      </c>
      <c r="N4213" s="0">
        <v>0</v>
      </c>
      <c r="O4213" s="0">
        <v>0</v>
      </c>
      <c r="P4213" s="0">
        <v>0</v>
      </c>
      <c r="Q4213" s="0" t="s">
        <v>4474</v>
      </c>
      <c r="R4213" s="0" t="b">
        <v>0</v>
      </c>
      <c r="S4213" s="0" t="b">
        <v>0</v>
      </c>
      <c r="T4213" s="68">
        <v>46038.9465509259</v>
      </c>
      <c r="U4213" s="68">
        <v>0</v>
      </c>
      <c r="V4213" s="68">
        <v>46078.1669560185</v>
      </c>
      <c r="W4213" s="0">
        <f>IF(IF(B4213="none",1,IF(B4213="Trialer",1,0))+IF(C4213="Customer",1,IF(C4213="Lost",1,0))=2,1,0)</f>
      </c>
      <c r="X4213" s="0" t="s">
        <v>153</v>
      </c>
      <c r="Y4213" s="0" t="s">
        <v>1516</v>
      </c>
      <c r="AV4213" s="68"/>
      <c r="AW4213" s="68"/>
      <c r="AY4213" s="27"/>
      <c r="BD4213" s="68">
        <v>46054.1666666667</v>
      </c>
      <c r="BE4213" s="68">
        <v>46082.1666666667</v>
      </c>
      <c r="BF4213" s="0" t="b">
        <v>0</v>
      </c>
      <c r="BG4213" s="0" t="b">
        <v>0</v>
      </c>
      <c r="BH4213" s="0">
        <v>44.25</v>
      </c>
      <c r="BI4213" s="0">
        <v>44.25</v>
      </c>
      <c r="BJ4213" s="0" t="s">
        <v>135</v>
      </c>
    </row>
    <row r="4214">
      <c r="A4214" s="0" t="s">
        <v>4475</v>
      </c>
      <c r="B4214" s="0" t="s">
        <v>652</v>
      </c>
      <c r="C4214" s="0" t="s">
        <v>652</v>
      </c>
      <c r="D4214" s="0" t="s">
        <v>135</v>
      </c>
      <c r="E4214" s="0" t="s">
        <v>3</v>
      </c>
      <c r="F4214" s="0" t="s">
        <v>12</v>
      </c>
      <c r="G4214" s="0" t="s">
        <v>8</v>
      </c>
      <c r="H4214" s="0">
        <v>14</v>
      </c>
      <c r="I4214" s="0">
        <v>0</v>
      </c>
      <c r="J4214" s="0">
        <v>0</v>
      </c>
      <c r="K4214" s="0">
        <v>0</v>
      </c>
      <c r="L4214" s="0">
        <v>0</v>
      </c>
      <c r="M4214" s="0">
        <v>0</v>
      </c>
      <c r="N4214" s="0">
        <v>0</v>
      </c>
      <c r="O4214" s="0">
        <v>0</v>
      </c>
      <c r="P4214" s="0">
        <v>0</v>
      </c>
      <c r="R4214" s="0" t="b">
        <v>0</v>
      </c>
      <c r="S4214" s="0" t="b">
        <v>0</v>
      </c>
      <c r="T4214" s="68">
        <v>46038.9606481481</v>
      </c>
      <c r="U4214" s="68">
        <v>0</v>
      </c>
      <c r="V4214" s="68">
        <v>46078.1668287037</v>
      </c>
      <c r="W4214" s="0">
        <f>IF(IF(B4214="none",1,IF(B4214="Trialer",1,0))+IF(C4214="Customer",1,IF(C4214="Lost",1,0))=2,1,0)</f>
      </c>
      <c r="X4214" s="0" t="s">
        <v>145</v>
      </c>
      <c r="Y4214" s="0" t="s">
        <v>243</v>
      </c>
      <c r="AV4214" s="68"/>
      <c r="AW4214" s="68"/>
      <c r="AY4214" s="27"/>
      <c r="BD4214" s="68">
        <v>46054.1666666667</v>
      </c>
      <c r="BE4214" s="68">
        <v>46082.1666666667</v>
      </c>
      <c r="BF4214" s="0" t="b">
        <v>0</v>
      </c>
      <c r="BG4214" s="0" t="b">
        <v>0</v>
      </c>
      <c r="BH4214" s="0">
        <v>44.25</v>
      </c>
      <c r="BI4214" s="0">
        <v>44.25</v>
      </c>
      <c r="BJ4214" s="0" t="s">
        <v>135</v>
      </c>
    </row>
    <row r="4215">
      <c r="A4215" s="0" t="s">
        <v>4476</v>
      </c>
      <c r="B4215" s="0" t="s">
        <v>652</v>
      </c>
      <c r="C4215" s="0" t="s">
        <v>652</v>
      </c>
      <c r="D4215" s="0" t="s">
        <v>135</v>
      </c>
      <c r="E4215" s="0" t="s">
        <v>1515</v>
      </c>
      <c r="F4215" s="0" t="s">
        <v>12</v>
      </c>
      <c r="G4215" s="0" t="s">
        <v>8</v>
      </c>
      <c r="H4215" s="0">
        <v>14</v>
      </c>
      <c r="I4215" s="0">
        <v>0</v>
      </c>
      <c r="J4215" s="0">
        <v>0</v>
      </c>
      <c r="K4215" s="0">
        <v>0</v>
      </c>
      <c r="L4215" s="0">
        <v>0</v>
      </c>
      <c r="M4215" s="0">
        <v>0</v>
      </c>
      <c r="N4215" s="0">
        <v>0</v>
      </c>
      <c r="O4215" s="0">
        <v>0</v>
      </c>
      <c r="P4215" s="0">
        <v>0</v>
      </c>
      <c r="R4215" s="0" t="b">
        <v>0</v>
      </c>
      <c r="S4215" s="0" t="b">
        <v>0</v>
      </c>
      <c r="T4215" s="68">
        <v>46039.0059490741</v>
      </c>
      <c r="U4215" s="68">
        <v>0</v>
      </c>
      <c r="V4215" s="68">
        <v>46078.1668634259</v>
      </c>
      <c r="W4215" s="0">
        <f>IF(IF(B4215="none",1,IF(B4215="Trialer",1,0))+IF(C4215="Customer",1,IF(C4215="Lost",1,0))=2,1,0)</f>
      </c>
      <c r="X4215" s="0" t="s">
        <v>136</v>
      </c>
      <c r="Y4215" s="0" t="s">
        <v>1516</v>
      </c>
      <c r="AV4215" s="68"/>
      <c r="AW4215" s="68"/>
      <c r="AY4215" s="27"/>
      <c r="BD4215" s="68">
        <v>46054.1666666667</v>
      </c>
      <c r="BE4215" s="68">
        <v>46082.1666666667</v>
      </c>
      <c r="BF4215" s="0" t="b">
        <v>0</v>
      </c>
      <c r="BG4215" s="0" t="b">
        <v>0</v>
      </c>
      <c r="BH4215" s="0">
        <v>44.25</v>
      </c>
      <c r="BI4215" s="0">
        <v>44.25</v>
      </c>
      <c r="BJ4215" s="0" t="s">
        <v>135</v>
      </c>
    </row>
    <row r="4216">
      <c r="A4216" s="0" t="s">
        <v>4477</v>
      </c>
      <c r="B4216" s="0" t="s">
        <v>652</v>
      </c>
      <c r="C4216" s="0" t="s">
        <v>652</v>
      </c>
      <c r="D4216" s="0" t="s">
        <v>135</v>
      </c>
      <c r="E4216" s="0" t="s">
        <v>1515</v>
      </c>
      <c r="F4216" s="0" t="s">
        <v>12</v>
      </c>
      <c r="G4216" s="0" t="s">
        <v>8</v>
      </c>
      <c r="H4216" s="0">
        <v>14</v>
      </c>
      <c r="I4216" s="0">
        <v>0</v>
      </c>
      <c r="J4216" s="0">
        <v>0</v>
      </c>
      <c r="K4216" s="0">
        <v>0</v>
      </c>
      <c r="L4216" s="0">
        <v>0</v>
      </c>
      <c r="M4216" s="0">
        <v>0</v>
      </c>
      <c r="N4216" s="0">
        <v>0</v>
      </c>
      <c r="O4216" s="0">
        <v>0</v>
      </c>
      <c r="P4216" s="0">
        <v>0</v>
      </c>
      <c r="R4216" s="0" t="b">
        <v>0</v>
      </c>
      <c r="S4216" s="0" t="b">
        <v>0</v>
      </c>
      <c r="T4216" s="68">
        <v>46039.14375</v>
      </c>
      <c r="U4216" s="68">
        <v>0</v>
      </c>
      <c r="V4216" s="68">
        <v>46078.1668402778</v>
      </c>
      <c r="W4216" s="0">
        <f>IF(IF(B4216="none",1,IF(B4216="Trialer",1,0))+IF(C4216="Customer",1,IF(C4216="Lost",1,0))=2,1,0)</f>
      </c>
      <c r="X4216" s="0" t="s">
        <v>148</v>
      </c>
      <c r="Y4216" s="0" t="s">
        <v>1516</v>
      </c>
      <c r="AV4216" s="68"/>
      <c r="AW4216" s="68"/>
      <c r="AY4216" s="27"/>
      <c r="BD4216" s="68">
        <v>46054.1666666667</v>
      </c>
      <c r="BE4216" s="68">
        <v>46082.1666666667</v>
      </c>
      <c r="BF4216" s="0" t="b">
        <v>0</v>
      </c>
      <c r="BG4216" s="0" t="b">
        <v>0</v>
      </c>
      <c r="BH4216" s="0">
        <v>44.25</v>
      </c>
      <c r="BI4216" s="0">
        <v>44.25</v>
      </c>
      <c r="BJ4216" s="0" t="s">
        <v>135</v>
      </c>
    </row>
    <row r="4217">
      <c r="A4217" s="0" t="s">
        <v>4478</v>
      </c>
      <c r="B4217" s="0" t="s">
        <v>652</v>
      </c>
      <c r="C4217" s="0" t="s">
        <v>652</v>
      </c>
      <c r="D4217" s="0" t="s">
        <v>135</v>
      </c>
      <c r="E4217" s="0" t="s">
        <v>2</v>
      </c>
      <c r="F4217" s="0" t="s">
        <v>12</v>
      </c>
      <c r="G4217" s="0" t="s">
        <v>8</v>
      </c>
      <c r="H4217" s="0">
        <v>14</v>
      </c>
      <c r="I4217" s="0">
        <v>0</v>
      </c>
      <c r="J4217" s="0">
        <v>0</v>
      </c>
      <c r="K4217" s="0">
        <v>0</v>
      </c>
      <c r="L4217" s="0">
        <v>0</v>
      </c>
      <c r="M4217" s="0">
        <v>0</v>
      </c>
      <c r="N4217" s="0">
        <v>0</v>
      </c>
      <c r="O4217" s="0">
        <v>0</v>
      </c>
      <c r="P4217" s="0">
        <v>0</v>
      </c>
      <c r="R4217" s="0" t="b">
        <v>0</v>
      </c>
      <c r="S4217" s="0" t="b">
        <v>0</v>
      </c>
      <c r="T4217" s="68">
        <v>46039.4130671296</v>
      </c>
      <c r="U4217" s="68">
        <v>0</v>
      </c>
      <c r="V4217" s="68">
        <v>46079.166875</v>
      </c>
      <c r="W4217" s="0">
        <f>IF(IF(B4217="none",1,IF(B4217="Trialer",1,0))+IF(C4217="Customer",1,IF(C4217="Lost",1,0))=2,1,0)</f>
      </c>
      <c r="X4217" s="0" t="s">
        <v>136</v>
      </c>
      <c r="Y4217" s="0" t="s">
        <v>499</v>
      </c>
      <c r="AV4217" s="68"/>
      <c r="AW4217" s="68"/>
      <c r="AY4217" s="27"/>
      <c r="BD4217" s="68">
        <v>46054.1666666667</v>
      </c>
      <c r="BE4217" s="68">
        <v>46082.1666666667</v>
      </c>
      <c r="BF4217" s="0" t="b">
        <v>0</v>
      </c>
      <c r="BG4217" s="0" t="b">
        <v>0</v>
      </c>
      <c r="BH4217" s="0">
        <v>54.75</v>
      </c>
      <c r="BI4217" s="0">
        <v>54.75</v>
      </c>
      <c r="BJ4217" s="0" t="s">
        <v>135</v>
      </c>
    </row>
    <row r="4218">
      <c r="A4218" s="0" t="s">
        <v>4479</v>
      </c>
      <c r="B4218" s="0" t="s">
        <v>652</v>
      </c>
      <c r="C4218" s="0" t="s">
        <v>652</v>
      </c>
      <c r="D4218" s="0" t="s">
        <v>135</v>
      </c>
      <c r="E4218" s="0" t="s">
        <v>3</v>
      </c>
      <c r="F4218" s="0" t="s">
        <v>12</v>
      </c>
      <c r="G4218" s="0" t="s">
        <v>8</v>
      </c>
      <c r="H4218" s="0">
        <v>14</v>
      </c>
      <c r="I4218" s="0">
        <v>0</v>
      </c>
      <c r="J4218" s="0">
        <v>0</v>
      </c>
      <c r="K4218" s="0">
        <v>0</v>
      </c>
      <c r="L4218" s="0">
        <v>0</v>
      </c>
      <c r="M4218" s="0">
        <v>0</v>
      </c>
      <c r="N4218" s="0">
        <v>0</v>
      </c>
      <c r="O4218" s="0">
        <v>0</v>
      </c>
      <c r="P4218" s="0">
        <v>0</v>
      </c>
      <c r="R4218" s="0" t="b">
        <v>0</v>
      </c>
      <c r="S4218" s="0" t="b">
        <v>0</v>
      </c>
      <c r="T4218" s="68">
        <v>46039.4178472222</v>
      </c>
      <c r="U4218" s="68">
        <v>0</v>
      </c>
      <c r="V4218" s="68">
        <v>46079.1669212963</v>
      </c>
      <c r="W4218" s="0">
        <f>IF(IF(B4218="none",1,IF(B4218="Trialer",1,0))+IF(C4218="Customer",1,IF(C4218="Lost",1,0))=2,1,0)</f>
      </c>
      <c r="X4218" s="0" t="s">
        <v>148</v>
      </c>
      <c r="Y4218" s="0" t="s">
        <v>243</v>
      </c>
      <c r="AV4218" s="68"/>
      <c r="AW4218" s="68"/>
      <c r="AY4218" s="27"/>
      <c r="BD4218" s="68">
        <v>46054.1666666667</v>
      </c>
      <c r="BE4218" s="68">
        <v>46082.1666666667</v>
      </c>
      <c r="BF4218" s="0" t="b">
        <v>0</v>
      </c>
      <c r="BG4218" s="0" t="b">
        <v>0</v>
      </c>
      <c r="BH4218" s="0">
        <v>145.5</v>
      </c>
      <c r="BI4218" s="0">
        <v>145.5</v>
      </c>
      <c r="BJ4218" s="0" t="s">
        <v>135</v>
      </c>
    </row>
    <row r="4219">
      <c r="A4219" s="0" t="s">
        <v>4480</v>
      </c>
      <c r="B4219" s="0" t="s">
        <v>652</v>
      </c>
      <c r="C4219" s="0" t="s">
        <v>652</v>
      </c>
      <c r="D4219" s="0" t="s">
        <v>135</v>
      </c>
      <c r="E4219" s="0" t="s">
        <v>3</v>
      </c>
      <c r="F4219" s="0" t="s">
        <v>12</v>
      </c>
      <c r="G4219" s="0" t="s">
        <v>8</v>
      </c>
      <c r="H4219" s="0">
        <v>14</v>
      </c>
      <c r="I4219" s="0">
        <v>0</v>
      </c>
      <c r="J4219" s="0">
        <v>0</v>
      </c>
      <c r="K4219" s="0">
        <v>0</v>
      </c>
      <c r="L4219" s="0">
        <v>0</v>
      </c>
      <c r="M4219" s="0">
        <v>0</v>
      </c>
      <c r="N4219" s="0">
        <v>0</v>
      </c>
      <c r="O4219" s="0">
        <v>0</v>
      </c>
      <c r="P4219" s="0">
        <v>0</v>
      </c>
      <c r="R4219" s="0" t="b">
        <v>0</v>
      </c>
      <c r="S4219" s="0" t="b">
        <v>0</v>
      </c>
      <c r="T4219" s="68">
        <v>46039.4213773148</v>
      </c>
      <c r="U4219" s="68">
        <v>0</v>
      </c>
      <c r="V4219" s="68">
        <v>46054.1679282407</v>
      </c>
      <c r="W4219" s="0">
        <f>IF(IF(B4219="none",1,IF(B4219="Trialer",1,0))+IF(C4219="Customer",1,IF(C4219="Lost",1,0))=2,1,0)</f>
      </c>
      <c r="X4219" s="0" t="s">
        <v>136</v>
      </c>
      <c r="Y4219" s="0" t="s">
        <v>243</v>
      </c>
      <c r="AV4219" s="68"/>
      <c r="AW4219" s="68"/>
      <c r="AY4219" s="27"/>
      <c r="BD4219" s="68">
        <v>46054.1666666667</v>
      </c>
      <c r="BE4219" s="68">
        <v>46082.1666666667</v>
      </c>
      <c r="BF4219" s="0" t="b">
        <v>0</v>
      </c>
      <c r="BG4219" s="0" t="b">
        <v>0</v>
      </c>
      <c r="BH4219" s="0">
        <v>26.25</v>
      </c>
      <c r="BI4219" s="0">
        <v>26.25</v>
      </c>
      <c r="BJ4219" s="0" t="s">
        <v>135</v>
      </c>
    </row>
    <row r="4220">
      <c r="A4220" s="0" t="s">
        <v>4481</v>
      </c>
      <c r="B4220" s="0" t="s">
        <v>652</v>
      </c>
      <c r="C4220" s="0" t="s">
        <v>652</v>
      </c>
      <c r="D4220" s="0" t="s">
        <v>135</v>
      </c>
      <c r="E4220" s="0" t="s">
        <v>2414</v>
      </c>
      <c r="F4220" s="0" t="s">
        <v>12</v>
      </c>
      <c r="G4220" s="0" t="s">
        <v>8</v>
      </c>
      <c r="H4220" s="0">
        <v>14</v>
      </c>
      <c r="I4220" s="0">
        <v>0</v>
      </c>
      <c r="J4220" s="0">
        <v>0</v>
      </c>
      <c r="K4220" s="0">
        <v>0</v>
      </c>
      <c r="L4220" s="0">
        <v>0</v>
      </c>
      <c r="M4220" s="0">
        <v>0</v>
      </c>
      <c r="N4220" s="0">
        <v>0</v>
      </c>
      <c r="O4220" s="0">
        <v>0</v>
      </c>
      <c r="P4220" s="0">
        <v>0</v>
      </c>
      <c r="R4220" s="0" t="b">
        <v>0</v>
      </c>
      <c r="S4220" s="0" t="b">
        <v>0</v>
      </c>
      <c r="T4220" s="68">
        <v>46039.5715046296</v>
      </c>
      <c r="U4220" s="68">
        <v>0</v>
      </c>
      <c r="V4220" s="68">
        <v>46079.1669907407</v>
      </c>
      <c r="W4220" s="0">
        <f>IF(IF(B4220="none",1,IF(B4220="Trialer",1,0))+IF(C4220="Customer",1,IF(C4220="Lost",1,0))=2,1,0)</f>
      </c>
      <c r="X4220" s="0" t="s">
        <v>136</v>
      </c>
      <c r="Y4220" s="0" t="s">
        <v>1516</v>
      </c>
      <c r="AV4220" s="68"/>
      <c r="AW4220" s="68"/>
      <c r="AY4220" s="27"/>
      <c r="BD4220" s="68">
        <v>46054.1666666667</v>
      </c>
      <c r="BE4220" s="68">
        <v>46082.1666666667</v>
      </c>
      <c r="BF4220" s="0" t="b">
        <v>0</v>
      </c>
      <c r="BG4220" s="0" t="b">
        <v>0</v>
      </c>
      <c r="BH4220" s="0">
        <v>44.25</v>
      </c>
      <c r="BI4220" s="0">
        <v>44.25</v>
      </c>
      <c r="BJ4220" s="0" t="s">
        <v>135</v>
      </c>
    </row>
    <row r="4221">
      <c r="A4221" s="0" t="s">
        <v>4482</v>
      </c>
      <c r="B4221" s="0" t="s">
        <v>652</v>
      </c>
      <c r="C4221" s="0" t="s">
        <v>652</v>
      </c>
      <c r="D4221" s="0" t="s">
        <v>135</v>
      </c>
      <c r="E4221" s="0" t="s">
        <v>2</v>
      </c>
      <c r="F4221" s="0" t="s">
        <v>12</v>
      </c>
      <c r="G4221" s="0" t="s">
        <v>8</v>
      </c>
      <c r="H4221" s="0">
        <v>14</v>
      </c>
      <c r="I4221" s="0">
        <v>0</v>
      </c>
      <c r="J4221" s="0">
        <v>0</v>
      </c>
      <c r="K4221" s="0">
        <v>0</v>
      </c>
      <c r="L4221" s="0">
        <v>0</v>
      </c>
      <c r="M4221" s="0">
        <v>0</v>
      </c>
      <c r="N4221" s="0">
        <v>0</v>
      </c>
      <c r="O4221" s="0">
        <v>0</v>
      </c>
      <c r="P4221" s="0">
        <v>0</v>
      </c>
      <c r="R4221" s="0" t="b">
        <v>0</v>
      </c>
      <c r="S4221" s="0" t="b">
        <v>0</v>
      </c>
      <c r="T4221" s="68">
        <v>46039.5784259259</v>
      </c>
      <c r="U4221" s="68">
        <v>0</v>
      </c>
      <c r="V4221" s="68">
        <v>46079.1671527778</v>
      </c>
      <c r="W4221" s="0">
        <f>IF(IF(B4221="none",1,IF(B4221="Trialer",1,0))+IF(C4221="Customer",1,IF(C4221="Lost",1,0))=2,1,0)</f>
      </c>
      <c r="X4221" s="0" t="s">
        <v>882</v>
      </c>
      <c r="Y4221" s="0" t="s">
        <v>499</v>
      </c>
      <c r="AV4221" s="68"/>
      <c r="AW4221" s="68"/>
      <c r="AY4221" s="27"/>
      <c r="BD4221" s="68">
        <v>46054.1666666667</v>
      </c>
      <c r="BE4221" s="68">
        <v>46082.1666666667</v>
      </c>
      <c r="BF4221" s="0" t="b">
        <v>0</v>
      </c>
      <c r="BG4221" s="0" t="b">
        <v>0</v>
      </c>
      <c r="BH4221" s="0">
        <v>63.75</v>
      </c>
      <c r="BI4221" s="0">
        <v>63.75</v>
      </c>
      <c r="BJ4221" s="0" t="s">
        <v>135</v>
      </c>
    </row>
    <row r="4222">
      <c r="A4222" s="0" t="s">
        <v>4483</v>
      </c>
      <c r="B4222" s="0" t="s">
        <v>652</v>
      </c>
      <c r="C4222" s="0" t="s">
        <v>652</v>
      </c>
      <c r="D4222" s="0" t="s">
        <v>135</v>
      </c>
      <c r="E4222" s="0" t="s">
        <v>4</v>
      </c>
      <c r="F4222" s="0" t="s">
        <v>12</v>
      </c>
      <c r="G4222" s="0" t="s">
        <v>8</v>
      </c>
      <c r="H4222" s="0">
        <v>14</v>
      </c>
      <c r="I4222" s="0">
        <v>0</v>
      </c>
      <c r="J4222" s="0">
        <v>0</v>
      </c>
      <c r="K4222" s="0">
        <v>0</v>
      </c>
      <c r="L4222" s="0">
        <v>0</v>
      </c>
      <c r="M4222" s="0">
        <v>0</v>
      </c>
      <c r="N4222" s="0">
        <v>0</v>
      </c>
      <c r="O4222" s="0">
        <v>0</v>
      </c>
      <c r="P4222" s="0">
        <v>0</v>
      </c>
      <c r="R4222" s="0" t="b">
        <v>0</v>
      </c>
      <c r="S4222" s="0" t="b">
        <v>0</v>
      </c>
      <c r="T4222" s="68">
        <v>46039.5836574074</v>
      </c>
      <c r="U4222" s="68">
        <v>0</v>
      </c>
      <c r="V4222" s="68">
        <v>46079.166875</v>
      </c>
      <c r="W4222" s="0">
        <f>IF(IF(B4222="none",1,IF(B4222="Trialer",1,0))+IF(C4222="Customer",1,IF(C4222="Lost",1,0))=2,1,0)</f>
      </c>
      <c r="X4222" s="0" t="s">
        <v>148</v>
      </c>
      <c r="Y4222" s="0" t="s">
        <v>1772</v>
      </c>
      <c r="AV4222" s="68"/>
      <c r="AW4222" s="68"/>
      <c r="AY4222" s="27"/>
      <c r="BD4222" s="68">
        <v>46054.1666666667</v>
      </c>
      <c r="BE4222" s="68">
        <v>46082.1666666667</v>
      </c>
      <c r="BF4222" s="0" t="b">
        <v>0</v>
      </c>
      <c r="BG4222" s="0" t="b">
        <v>0</v>
      </c>
      <c r="BH4222" s="0">
        <v>62.25</v>
      </c>
      <c r="BI4222" s="0">
        <v>62.25</v>
      </c>
      <c r="BJ4222" s="0" t="s">
        <v>135</v>
      </c>
    </row>
    <row r="4223">
      <c r="A4223" s="0" t="s">
        <v>4484</v>
      </c>
      <c r="B4223" s="0" t="s">
        <v>652</v>
      </c>
      <c r="C4223" s="0" t="s">
        <v>652</v>
      </c>
      <c r="D4223" s="0" t="s">
        <v>135</v>
      </c>
      <c r="E4223" s="0" t="s">
        <v>3</v>
      </c>
      <c r="F4223" s="0" t="s">
        <v>12</v>
      </c>
      <c r="G4223" s="0" t="s">
        <v>8</v>
      </c>
      <c r="H4223" s="0">
        <v>14</v>
      </c>
      <c r="I4223" s="0">
        <v>0</v>
      </c>
      <c r="J4223" s="0">
        <v>0</v>
      </c>
      <c r="K4223" s="0">
        <v>0</v>
      </c>
      <c r="L4223" s="0">
        <v>0</v>
      </c>
      <c r="M4223" s="0">
        <v>0</v>
      </c>
      <c r="N4223" s="0">
        <v>0</v>
      </c>
      <c r="O4223" s="0">
        <v>0</v>
      </c>
      <c r="P4223" s="0">
        <v>0</v>
      </c>
      <c r="R4223" s="0" t="b">
        <v>0</v>
      </c>
      <c r="S4223" s="0" t="b">
        <v>0</v>
      </c>
      <c r="T4223" s="68">
        <v>46039.6032291667</v>
      </c>
      <c r="U4223" s="68">
        <v>0</v>
      </c>
      <c r="V4223" s="68">
        <v>46079.1669328704</v>
      </c>
      <c r="W4223" s="0">
        <f>IF(IF(B4223="none",1,IF(B4223="Trialer",1,0))+IF(C4223="Customer",1,IF(C4223="Lost",1,0))=2,1,0)</f>
      </c>
      <c r="X4223" s="0" t="s">
        <v>145</v>
      </c>
      <c r="Y4223" s="0" t="s">
        <v>243</v>
      </c>
      <c r="AV4223" s="68"/>
      <c r="AW4223" s="68"/>
      <c r="AY4223" s="27"/>
      <c r="BD4223" s="68">
        <v>46054.1666666667</v>
      </c>
      <c r="BE4223" s="68">
        <v>46082.1666666667</v>
      </c>
      <c r="BF4223" s="0" t="b">
        <v>0</v>
      </c>
      <c r="BG4223" s="0" t="b">
        <v>0</v>
      </c>
      <c r="BH4223" s="0">
        <v>54.75</v>
      </c>
      <c r="BI4223" s="0">
        <v>54.75</v>
      </c>
      <c r="BJ4223" s="0" t="s">
        <v>135</v>
      </c>
    </row>
    <row r="4224">
      <c r="A4224" s="0" t="s">
        <v>4485</v>
      </c>
      <c r="B4224" s="0" t="s">
        <v>652</v>
      </c>
      <c r="C4224" s="0" t="s">
        <v>134</v>
      </c>
      <c r="D4224" s="0" t="s">
        <v>135</v>
      </c>
      <c r="E4224" s="0" t="s">
        <v>3</v>
      </c>
      <c r="F4224" s="0" t="s">
        <v>12</v>
      </c>
      <c r="G4224" s="0" t="s">
        <v>8</v>
      </c>
      <c r="H4224" s="0">
        <v>14</v>
      </c>
      <c r="I4224" s="0">
        <v>73.5</v>
      </c>
      <c r="J4224" s="0">
        <v>0</v>
      </c>
      <c r="K4224" s="0">
        <v>1</v>
      </c>
      <c r="L4224" s="0">
        <v>2</v>
      </c>
      <c r="M4224" s="0">
        <v>2</v>
      </c>
      <c r="N4224" s="0">
        <v>155</v>
      </c>
      <c r="O4224" s="0">
        <v>0</v>
      </c>
      <c r="P4224" s="0">
        <v>0</v>
      </c>
      <c r="R4224" s="0" t="b">
        <v>0</v>
      </c>
      <c r="S4224" s="0" t="b">
        <v>1</v>
      </c>
      <c r="T4224" s="68">
        <v>46039.6193634259</v>
      </c>
      <c r="U4224" s="68">
        <v>46054.2916666667</v>
      </c>
      <c r="V4224" s="68">
        <v>0</v>
      </c>
      <c r="W4224" s="0">
        <f>IF(IF(B4224="none",1,IF(B4224="Trialer",1,0))+IF(C4224="Customer",1,IF(C4224="Lost",1,0))=2,1,0)</f>
      </c>
      <c r="X4224" s="0" t="s">
        <v>1461</v>
      </c>
      <c r="Y4224" s="0" t="s">
        <v>243</v>
      </c>
      <c r="AV4224" s="68"/>
      <c r="AW4224" s="68"/>
      <c r="AY4224" s="27"/>
      <c r="BD4224" s="68">
        <v>46054.1666666667</v>
      </c>
      <c r="BE4224" s="68">
        <v>46082.1666666667</v>
      </c>
      <c r="BF4224" s="0" t="b">
        <v>0</v>
      </c>
      <c r="BG4224" s="0" t="b">
        <v>0</v>
      </c>
      <c r="BH4224" s="0">
        <v>73.5</v>
      </c>
      <c r="BI4224" s="0">
        <v>73.5</v>
      </c>
      <c r="BJ4224" s="0" t="s">
        <v>135</v>
      </c>
    </row>
    <row r="4225">
      <c r="A4225" s="0" t="s">
        <v>4486</v>
      </c>
      <c r="B4225" s="0" t="s">
        <v>652</v>
      </c>
      <c r="C4225" s="0" t="s">
        <v>652</v>
      </c>
      <c r="D4225" s="0" t="s">
        <v>135</v>
      </c>
      <c r="E4225" s="0" t="s">
        <v>3</v>
      </c>
      <c r="F4225" s="0" t="s">
        <v>12</v>
      </c>
      <c r="G4225" s="0" t="s">
        <v>8</v>
      </c>
      <c r="H4225" s="0">
        <v>13</v>
      </c>
      <c r="I4225" s="0">
        <v>0</v>
      </c>
      <c r="J4225" s="0">
        <v>0</v>
      </c>
      <c r="K4225" s="0">
        <v>0</v>
      </c>
      <c r="L4225" s="0">
        <v>0</v>
      </c>
      <c r="M4225" s="0">
        <v>0</v>
      </c>
      <c r="N4225" s="0">
        <v>0</v>
      </c>
      <c r="O4225" s="0">
        <v>0</v>
      </c>
      <c r="P4225" s="0">
        <v>0</v>
      </c>
      <c r="R4225" s="0" t="b">
        <v>0</v>
      </c>
      <c r="S4225" s="0" t="b">
        <v>0</v>
      </c>
      <c r="T4225" s="68">
        <v>46040.2707523148</v>
      </c>
      <c r="U4225" s="68">
        <v>0</v>
      </c>
      <c r="V4225" s="68">
        <v>46080.1667476852</v>
      </c>
      <c r="W4225" s="0">
        <f>IF(IF(B4225="none",1,IF(B4225="Trialer",1,0))+IF(C4225="Customer",1,IF(C4225="Lost",1,0))=2,1,0)</f>
      </c>
      <c r="X4225" s="0" t="s">
        <v>136</v>
      </c>
      <c r="Y4225" s="0" t="s">
        <v>243</v>
      </c>
      <c r="AV4225" s="68"/>
      <c r="AW4225" s="68"/>
      <c r="AY4225" s="27"/>
      <c r="BD4225" s="68">
        <v>46054.1666666667</v>
      </c>
      <c r="BE4225" s="68">
        <v>46082.1666666667</v>
      </c>
      <c r="BF4225" s="0" t="b">
        <v>0</v>
      </c>
      <c r="BG4225" s="0" t="b">
        <v>0</v>
      </c>
      <c r="BH4225" s="0">
        <v>44.25</v>
      </c>
      <c r="BI4225" s="0">
        <v>44.25</v>
      </c>
      <c r="BJ4225" s="0" t="s">
        <v>135</v>
      </c>
    </row>
    <row r="4226">
      <c r="A4226" s="0" t="s">
        <v>4487</v>
      </c>
      <c r="B4226" s="0" t="s">
        <v>652</v>
      </c>
      <c r="C4226" s="0" t="s">
        <v>652</v>
      </c>
      <c r="D4226" s="0" t="s">
        <v>135</v>
      </c>
      <c r="E4226" s="0" t="s">
        <v>2</v>
      </c>
      <c r="F4226" s="0" t="s">
        <v>12</v>
      </c>
      <c r="G4226" s="0" t="s">
        <v>8</v>
      </c>
      <c r="H4226" s="0">
        <v>13</v>
      </c>
      <c r="I4226" s="0">
        <v>0</v>
      </c>
      <c r="J4226" s="0">
        <v>0</v>
      </c>
      <c r="K4226" s="0">
        <v>0</v>
      </c>
      <c r="L4226" s="0">
        <v>0</v>
      </c>
      <c r="M4226" s="0">
        <v>0</v>
      </c>
      <c r="N4226" s="0">
        <v>0</v>
      </c>
      <c r="O4226" s="0">
        <v>0</v>
      </c>
      <c r="P4226" s="0">
        <v>0</v>
      </c>
      <c r="R4226" s="0" t="b">
        <v>0</v>
      </c>
      <c r="S4226" s="0" t="b">
        <v>0</v>
      </c>
      <c r="T4226" s="68">
        <v>46040.4411574074</v>
      </c>
      <c r="U4226" s="68">
        <v>0</v>
      </c>
      <c r="V4226" s="68">
        <v>46080.1667824074</v>
      </c>
      <c r="W4226" s="0">
        <f>IF(IF(B4226="none",1,IF(B4226="Trialer",1,0))+IF(C4226="Customer",1,IF(C4226="Lost",1,0))=2,1,0)</f>
      </c>
      <c r="X4226" s="0" t="s">
        <v>148</v>
      </c>
      <c r="Y4226" s="0" t="s">
        <v>499</v>
      </c>
      <c r="AV4226" s="68"/>
      <c r="AW4226" s="68"/>
      <c r="AY4226" s="27"/>
      <c r="BD4226" s="68">
        <v>46054.1666666667</v>
      </c>
      <c r="BE4226" s="68">
        <v>46082.1666666667</v>
      </c>
      <c r="BF4226" s="0" t="b">
        <v>0</v>
      </c>
      <c r="BG4226" s="0" t="b">
        <v>0</v>
      </c>
      <c r="BH4226" s="0">
        <v>54.75</v>
      </c>
      <c r="BI4226" s="0">
        <v>54.75</v>
      </c>
      <c r="BJ4226" s="0" t="s">
        <v>135</v>
      </c>
    </row>
    <row r="4227">
      <c r="A4227" s="0" t="s">
        <v>4488</v>
      </c>
      <c r="B4227" s="0" t="s">
        <v>652</v>
      </c>
      <c r="C4227" s="0" t="s">
        <v>134</v>
      </c>
      <c r="D4227" s="0" t="s">
        <v>135</v>
      </c>
      <c r="E4227" s="0" t="s">
        <v>3</v>
      </c>
      <c r="F4227" s="0" t="s">
        <v>12</v>
      </c>
      <c r="G4227" s="0" t="s">
        <v>8</v>
      </c>
      <c r="H4227" s="0">
        <v>13</v>
      </c>
      <c r="I4227" s="0">
        <v>36.75</v>
      </c>
      <c r="J4227" s="0">
        <v>0</v>
      </c>
      <c r="K4227" s="0">
        <v>1</v>
      </c>
      <c r="L4227" s="0">
        <v>2</v>
      </c>
      <c r="M4227" s="0">
        <v>1</v>
      </c>
      <c r="N4227" s="0">
        <v>1550</v>
      </c>
      <c r="O4227" s="0">
        <v>0</v>
      </c>
      <c r="P4227" s="0">
        <v>0</v>
      </c>
      <c r="R4227" s="0" t="b">
        <v>0</v>
      </c>
      <c r="S4227" s="0" t="b">
        <v>1</v>
      </c>
      <c r="T4227" s="68">
        <v>46040.5158912037</v>
      </c>
      <c r="U4227" s="68">
        <v>46054.2916666667</v>
      </c>
      <c r="V4227" s="68">
        <v>0</v>
      </c>
      <c r="W4227" s="0">
        <f>IF(IF(B4227="none",1,IF(B4227="Trialer",1,0))+IF(C4227="Customer",1,IF(C4227="Lost",1,0))=2,1,0)</f>
      </c>
      <c r="X4227" s="0" t="s">
        <v>1461</v>
      </c>
      <c r="Y4227" s="0" t="s">
        <v>243</v>
      </c>
      <c r="AV4227" s="68"/>
      <c r="AW4227" s="68"/>
      <c r="AY4227" s="27"/>
      <c r="BD4227" s="68">
        <v>46054.1666666667</v>
      </c>
      <c r="BE4227" s="68">
        <v>46082.1666666667</v>
      </c>
      <c r="BF4227" s="0" t="b">
        <v>0</v>
      </c>
      <c r="BG4227" s="0" t="b">
        <v>0</v>
      </c>
      <c r="BH4227" s="0">
        <v>36.75</v>
      </c>
      <c r="BI4227" s="0">
        <v>36.75</v>
      </c>
      <c r="BJ4227" s="0" t="s">
        <v>135</v>
      </c>
    </row>
    <row r="4228">
      <c r="A4228" s="0" t="s">
        <v>4489</v>
      </c>
      <c r="B4228" s="0" t="s">
        <v>652</v>
      </c>
      <c r="C4228" s="0" t="s">
        <v>652</v>
      </c>
      <c r="D4228" s="0" t="s">
        <v>135</v>
      </c>
      <c r="E4228" s="0" t="s">
        <v>3</v>
      </c>
      <c r="F4228" s="0" t="s">
        <v>12</v>
      </c>
      <c r="G4228" s="0" t="s">
        <v>8</v>
      </c>
      <c r="H4228" s="0">
        <v>13</v>
      </c>
      <c r="I4228" s="0">
        <v>0</v>
      </c>
      <c r="J4228" s="0">
        <v>0</v>
      </c>
      <c r="K4228" s="0">
        <v>0</v>
      </c>
      <c r="L4228" s="0">
        <v>0</v>
      </c>
      <c r="M4228" s="0">
        <v>0</v>
      </c>
      <c r="N4228" s="0">
        <v>0</v>
      </c>
      <c r="O4228" s="0">
        <v>0</v>
      </c>
      <c r="P4228" s="0">
        <v>0</v>
      </c>
      <c r="R4228" s="0" t="b">
        <v>0</v>
      </c>
      <c r="S4228" s="0" t="b">
        <v>0</v>
      </c>
      <c r="T4228" s="68">
        <v>46040.5338078704</v>
      </c>
      <c r="U4228" s="68">
        <v>0</v>
      </c>
      <c r="V4228" s="68">
        <v>46080.1667013889</v>
      </c>
      <c r="W4228" s="0">
        <f>IF(IF(B4228="none",1,IF(B4228="Trialer",1,0))+IF(C4228="Customer",1,IF(C4228="Lost",1,0))=2,1,0)</f>
      </c>
      <c r="X4228" s="0" t="s">
        <v>145</v>
      </c>
      <c r="Y4228" s="0" t="s">
        <v>243</v>
      </c>
      <c r="AV4228" s="68"/>
      <c r="AW4228" s="68"/>
      <c r="AY4228" s="27"/>
      <c r="BD4228" s="68">
        <v>46054.1666666667</v>
      </c>
      <c r="BE4228" s="68">
        <v>46082.1666666667</v>
      </c>
      <c r="BF4228" s="0" t="b">
        <v>0</v>
      </c>
      <c r="BG4228" s="0" t="b">
        <v>0</v>
      </c>
      <c r="BH4228" s="0">
        <v>72.75</v>
      </c>
      <c r="BI4228" s="0">
        <v>72.75</v>
      </c>
      <c r="BJ4228" s="0" t="s">
        <v>135</v>
      </c>
    </row>
    <row r="4229">
      <c r="A4229" s="0" t="s">
        <v>4490</v>
      </c>
      <c r="B4229" s="0" t="s">
        <v>652</v>
      </c>
      <c r="C4229" s="0" t="s">
        <v>134</v>
      </c>
      <c r="D4229" s="0" t="s">
        <v>230</v>
      </c>
      <c r="E4229" s="0" t="s">
        <v>3</v>
      </c>
      <c r="F4229" s="0" t="s">
        <v>12</v>
      </c>
      <c r="G4229" s="0" t="s">
        <v>8</v>
      </c>
      <c r="H4229" s="0">
        <v>13</v>
      </c>
      <c r="I4229" s="0">
        <v>31.5</v>
      </c>
      <c r="J4229" s="0">
        <v>0</v>
      </c>
      <c r="K4229" s="0">
        <v>1</v>
      </c>
      <c r="L4229" s="0">
        <v>1</v>
      </c>
      <c r="M4229" s="0">
        <v>1</v>
      </c>
      <c r="N4229" s="0">
        <v>0</v>
      </c>
      <c r="O4229" s="0">
        <v>0</v>
      </c>
      <c r="P4229" s="0">
        <v>346.5</v>
      </c>
      <c r="R4229" s="0" t="b">
        <v>0</v>
      </c>
      <c r="S4229" s="0" t="b">
        <v>1</v>
      </c>
      <c r="T4229" s="68">
        <v>46040.6747685185</v>
      </c>
      <c r="U4229" s="68">
        <v>46054.2916666667</v>
      </c>
      <c r="V4229" s="68">
        <v>0</v>
      </c>
      <c r="W4229" s="0">
        <f>IF(IF(B4229="none",1,IF(B4229="Trialer",1,0))+IF(C4229="Customer",1,IF(C4229="Lost",1,0))=2,1,0)</f>
      </c>
      <c r="X4229" s="0" t="s">
        <v>1461</v>
      </c>
      <c r="Y4229" s="0" t="s">
        <v>243</v>
      </c>
      <c r="AV4229" s="68"/>
      <c r="AW4229" s="68"/>
      <c r="AY4229" s="27"/>
      <c r="BD4229" s="68">
        <v>46054.1666666667</v>
      </c>
      <c r="BE4229" s="68">
        <v>46082.1666666667</v>
      </c>
      <c r="BF4229" s="0" t="b">
        <v>0</v>
      </c>
      <c r="BG4229" s="0" t="b">
        <v>0</v>
      </c>
      <c r="BH4229" s="0">
        <v>35</v>
      </c>
      <c r="BI4229" s="0">
        <v>35</v>
      </c>
      <c r="BJ4229" s="0" t="s">
        <v>230</v>
      </c>
    </row>
    <row r="4230">
      <c r="A4230" s="0" t="s">
        <v>4491</v>
      </c>
      <c r="B4230" s="0" t="s">
        <v>652</v>
      </c>
      <c r="C4230" s="0" t="s">
        <v>652</v>
      </c>
      <c r="D4230" s="0" t="s">
        <v>135</v>
      </c>
      <c r="E4230" s="0" t="s">
        <v>3</v>
      </c>
      <c r="F4230" s="0" t="s">
        <v>12</v>
      </c>
      <c r="G4230" s="0" t="s">
        <v>8</v>
      </c>
      <c r="H4230" s="0">
        <v>13</v>
      </c>
      <c r="I4230" s="0">
        <v>0</v>
      </c>
      <c r="J4230" s="0">
        <v>0</v>
      </c>
      <c r="K4230" s="0">
        <v>0</v>
      </c>
      <c r="L4230" s="0">
        <v>0</v>
      </c>
      <c r="M4230" s="0">
        <v>0</v>
      </c>
      <c r="N4230" s="0">
        <v>0</v>
      </c>
      <c r="O4230" s="0">
        <v>0</v>
      </c>
      <c r="P4230" s="0">
        <v>0</v>
      </c>
      <c r="R4230" s="0" t="b">
        <v>0</v>
      </c>
      <c r="S4230" s="0" t="b">
        <v>0</v>
      </c>
      <c r="T4230" s="68">
        <v>46040.7205555556</v>
      </c>
      <c r="U4230" s="68">
        <v>0</v>
      </c>
      <c r="V4230" s="68">
        <v>46080.166724537</v>
      </c>
      <c r="W4230" s="0">
        <f>IF(IF(B4230="none",1,IF(B4230="Trialer",1,0))+IF(C4230="Customer",1,IF(C4230="Lost",1,0))=2,1,0)</f>
      </c>
      <c r="X4230" s="0" t="s">
        <v>136</v>
      </c>
      <c r="Y4230" s="0" t="s">
        <v>243</v>
      </c>
      <c r="AV4230" s="68"/>
      <c r="AW4230" s="68"/>
      <c r="AY4230" s="27"/>
      <c r="BD4230" s="68">
        <v>46054.1666666667</v>
      </c>
      <c r="BE4230" s="68">
        <v>46082.1666666667</v>
      </c>
      <c r="BF4230" s="0" t="b">
        <v>0</v>
      </c>
      <c r="BG4230" s="0" t="b">
        <v>0</v>
      </c>
      <c r="BH4230" s="0">
        <v>63.75</v>
      </c>
      <c r="BI4230" s="0">
        <v>63.75</v>
      </c>
      <c r="BJ4230" s="0" t="s">
        <v>135</v>
      </c>
    </row>
    <row r="4231">
      <c r="A4231" s="0" t="s">
        <v>4492</v>
      </c>
      <c r="B4231" s="0" t="s">
        <v>652</v>
      </c>
      <c r="C4231" s="0" t="s">
        <v>652</v>
      </c>
      <c r="D4231" s="0" t="s">
        <v>135</v>
      </c>
      <c r="E4231" s="0" t="s">
        <v>1515</v>
      </c>
      <c r="F4231" s="0" t="s">
        <v>12</v>
      </c>
      <c r="G4231" s="0" t="s">
        <v>8</v>
      </c>
      <c r="H4231" s="0">
        <v>13</v>
      </c>
      <c r="I4231" s="0">
        <v>0</v>
      </c>
      <c r="J4231" s="0">
        <v>0</v>
      </c>
      <c r="K4231" s="0">
        <v>0</v>
      </c>
      <c r="L4231" s="0">
        <v>0</v>
      </c>
      <c r="M4231" s="0">
        <v>0</v>
      </c>
      <c r="N4231" s="0">
        <v>0</v>
      </c>
      <c r="O4231" s="0">
        <v>0</v>
      </c>
      <c r="P4231" s="0">
        <v>0</v>
      </c>
      <c r="R4231" s="0" t="b">
        <v>0</v>
      </c>
      <c r="S4231" s="0" t="b">
        <v>0</v>
      </c>
      <c r="T4231" s="68">
        <v>46040.8234259259</v>
      </c>
      <c r="U4231" s="68">
        <v>0</v>
      </c>
      <c r="V4231" s="68">
        <v>46059.7176851852</v>
      </c>
      <c r="W4231" s="0">
        <f>IF(IF(B4231="none",1,IF(B4231="Trialer",1,0))+IF(C4231="Customer",1,IF(C4231="Lost",1,0))=2,1,0)</f>
      </c>
      <c r="X4231" s="0" t="s">
        <v>148</v>
      </c>
      <c r="Y4231" s="0" t="s">
        <v>1516</v>
      </c>
      <c r="AV4231" s="68"/>
      <c r="AW4231" s="68"/>
      <c r="AY4231" s="27"/>
      <c r="BD4231" s="68">
        <v>46054.1666666667</v>
      </c>
      <c r="BE4231" s="68">
        <v>46082.1666666667</v>
      </c>
      <c r="BF4231" s="0" t="b">
        <v>0</v>
      </c>
      <c r="BG4231" s="0" t="b">
        <v>0</v>
      </c>
      <c r="BH4231" s="0">
        <v>44.25</v>
      </c>
      <c r="BI4231" s="0">
        <v>44.25</v>
      </c>
      <c r="BJ4231" s="0" t="s">
        <v>135</v>
      </c>
    </row>
    <row r="4232">
      <c r="A4232" s="0" t="s">
        <v>4493</v>
      </c>
      <c r="B4232" s="0" t="s">
        <v>652</v>
      </c>
      <c r="C4232" s="0" t="s">
        <v>652</v>
      </c>
      <c r="D4232" s="0" t="s">
        <v>135</v>
      </c>
      <c r="E4232" s="0" t="s">
        <v>2414</v>
      </c>
      <c r="F4232" s="0" t="s">
        <v>12</v>
      </c>
      <c r="G4232" s="0" t="s">
        <v>8</v>
      </c>
      <c r="H4232" s="0">
        <v>13</v>
      </c>
      <c r="I4232" s="0">
        <v>0</v>
      </c>
      <c r="J4232" s="0">
        <v>0</v>
      </c>
      <c r="K4232" s="0">
        <v>0</v>
      </c>
      <c r="L4232" s="0">
        <v>0</v>
      </c>
      <c r="M4232" s="0">
        <v>0</v>
      </c>
      <c r="N4232" s="0">
        <v>0</v>
      </c>
      <c r="O4232" s="0">
        <v>0</v>
      </c>
      <c r="P4232" s="0">
        <v>0</v>
      </c>
      <c r="R4232" s="0" t="b">
        <v>0</v>
      </c>
      <c r="S4232" s="0" t="b">
        <v>0</v>
      </c>
      <c r="T4232" s="68">
        <v>46040.8580902778</v>
      </c>
      <c r="U4232" s="68">
        <v>0</v>
      </c>
      <c r="V4232" s="68">
        <v>46080.1667592593</v>
      </c>
      <c r="W4232" s="0">
        <f>IF(IF(B4232="none",1,IF(B4232="Trialer",1,0))+IF(C4232="Customer",1,IF(C4232="Lost",1,0))=2,1,0)</f>
      </c>
      <c r="X4232" s="0" t="s">
        <v>145</v>
      </c>
      <c r="Y4232" s="0" t="s">
        <v>1516</v>
      </c>
      <c r="AV4232" s="68"/>
      <c r="AW4232" s="68"/>
      <c r="AY4232" s="27"/>
      <c r="BD4232" s="68">
        <v>46054.1666666667</v>
      </c>
      <c r="BE4232" s="68">
        <v>46082.1666666667</v>
      </c>
      <c r="BF4232" s="0" t="b">
        <v>0</v>
      </c>
      <c r="BG4232" s="0" t="b">
        <v>0</v>
      </c>
      <c r="BH4232" s="0">
        <v>44.25</v>
      </c>
      <c r="BI4232" s="0">
        <v>44.25</v>
      </c>
      <c r="BJ4232" s="0" t="s">
        <v>135</v>
      </c>
    </row>
    <row r="4233">
      <c r="A4233" s="0" t="s">
        <v>4494</v>
      </c>
      <c r="B4233" s="0" t="s">
        <v>652</v>
      </c>
      <c r="C4233" s="0" t="s">
        <v>652</v>
      </c>
      <c r="D4233" s="0" t="s">
        <v>135</v>
      </c>
      <c r="E4233" s="0" t="s">
        <v>3</v>
      </c>
      <c r="F4233" s="0" t="s">
        <v>12</v>
      </c>
      <c r="G4233" s="0" t="s">
        <v>8</v>
      </c>
      <c r="H4233" s="0">
        <v>13</v>
      </c>
      <c r="I4233" s="0">
        <v>0</v>
      </c>
      <c r="J4233" s="0">
        <v>0</v>
      </c>
      <c r="K4233" s="0">
        <v>0</v>
      </c>
      <c r="L4233" s="0">
        <v>0</v>
      </c>
      <c r="M4233" s="0">
        <v>0</v>
      </c>
      <c r="N4233" s="0">
        <v>0</v>
      </c>
      <c r="O4233" s="0">
        <v>0</v>
      </c>
      <c r="P4233" s="0">
        <v>0</v>
      </c>
      <c r="R4233" s="0" t="b">
        <v>0</v>
      </c>
      <c r="S4233" s="0" t="b">
        <v>0</v>
      </c>
      <c r="T4233" s="68">
        <v>46040.9066087963</v>
      </c>
      <c r="U4233" s="68">
        <v>0</v>
      </c>
      <c r="V4233" s="68">
        <v>46080.1667708333</v>
      </c>
      <c r="W4233" s="0">
        <f>IF(IF(B4233="none",1,IF(B4233="Trialer",1,0))+IF(C4233="Customer",1,IF(C4233="Lost",1,0))=2,1,0)</f>
      </c>
      <c r="X4233" s="0" t="s">
        <v>136</v>
      </c>
      <c r="Y4233" s="0" t="s">
        <v>243</v>
      </c>
      <c r="AV4233" s="68"/>
      <c r="AW4233" s="68"/>
      <c r="AY4233" s="27"/>
      <c r="BD4233" s="68">
        <v>46054.1666666667</v>
      </c>
      <c r="BE4233" s="68">
        <v>46082.1666666667</v>
      </c>
      <c r="BF4233" s="0" t="b">
        <v>0</v>
      </c>
      <c r="BG4233" s="0" t="b">
        <v>0</v>
      </c>
      <c r="BH4233" s="0">
        <v>54.75</v>
      </c>
      <c r="BI4233" s="0">
        <v>54.75</v>
      </c>
      <c r="BJ4233" s="0" t="s">
        <v>135</v>
      </c>
    </row>
    <row r="4234">
      <c r="A4234" s="0" t="s">
        <v>4495</v>
      </c>
      <c r="B4234" s="0" t="s">
        <v>652</v>
      </c>
      <c r="C4234" s="0" t="s">
        <v>652</v>
      </c>
      <c r="D4234" s="0" t="s">
        <v>135</v>
      </c>
      <c r="E4234" s="0" t="s">
        <v>3</v>
      </c>
      <c r="F4234" s="0" t="s">
        <v>12</v>
      </c>
      <c r="G4234" s="0" t="s">
        <v>8</v>
      </c>
      <c r="H4234" s="0">
        <v>13</v>
      </c>
      <c r="I4234" s="0">
        <v>0</v>
      </c>
      <c r="J4234" s="0">
        <v>0</v>
      </c>
      <c r="K4234" s="0">
        <v>0</v>
      </c>
      <c r="L4234" s="0">
        <v>0</v>
      </c>
      <c r="M4234" s="0">
        <v>0</v>
      </c>
      <c r="N4234" s="0">
        <v>0</v>
      </c>
      <c r="O4234" s="0">
        <v>0</v>
      </c>
      <c r="P4234" s="0">
        <v>0</v>
      </c>
      <c r="R4234" s="0" t="b">
        <v>0</v>
      </c>
      <c r="S4234" s="0" t="b">
        <v>0</v>
      </c>
      <c r="T4234" s="68">
        <v>46040.9377893519</v>
      </c>
      <c r="U4234" s="68">
        <v>0</v>
      </c>
      <c r="V4234" s="68">
        <v>46080.1667361111</v>
      </c>
      <c r="W4234" s="0">
        <f>IF(IF(B4234="none",1,IF(B4234="Trialer",1,0))+IF(C4234="Customer",1,IF(C4234="Lost",1,0))=2,1,0)</f>
      </c>
      <c r="X4234" s="0" t="s">
        <v>148</v>
      </c>
      <c r="Y4234" s="0" t="s">
        <v>243</v>
      </c>
      <c r="AV4234" s="68"/>
      <c r="AW4234" s="68"/>
      <c r="AY4234" s="27"/>
      <c r="BD4234" s="68">
        <v>46054.1666666667</v>
      </c>
      <c r="BE4234" s="68">
        <v>46082.1666666667</v>
      </c>
      <c r="BF4234" s="0" t="b">
        <v>0</v>
      </c>
      <c r="BG4234" s="0" t="b">
        <v>0</v>
      </c>
      <c r="BH4234" s="0">
        <v>53.25</v>
      </c>
      <c r="BI4234" s="0">
        <v>53.25</v>
      </c>
      <c r="BJ4234" s="0" t="s">
        <v>135</v>
      </c>
    </row>
    <row r="4235">
      <c r="A4235" s="0" t="s">
        <v>4496</v>
      </c>
      <c r="B4235" s="0" t="s">
        <v>652</v>
      </c>
      <c r="C4235" s="0" t="s">
        <v>652</v>
      </c>
      <c r="D4235" s="0" t="s">
        <v>135</v>
      </c>
      <c r="E4235" s="0" t="s">
        <v>4</v>
      </c>
      <c r="F4235" s="0" t="s">
        <v>12</v>
      </c>
      <c r="G4235" s="0" t="s">
        <v>8</v>
      </c>
      <c r="H4235" s="0">
        <v>13</v>
      </c>
      <c r="I4235" s="0">
        <v>0</v>
      </c>
      <c r="J4235" s="0">
        <v>0</v>
      </c>
      <c r="K4235" s="0">
        <v>0</v>
      </c>
      <c r="L4235" s="0">
        <v>0</v>
      </c>
      <c r="M4235" s="0">
        <v>0</v>
      </c>
      <c r="N4235" s="0">
        <v>0</v>
      </c>
      <c r="O4235" s="0">
        <v>0</v>
      </c>
      <c r="P4235" s="0">
        <v>0</v>
      </c>
      <c r="R4235" s="0" t="b">
        <v>0</v>
      </c>
      <c r="S4235" s="0" t="b">
        <v>0</v>
      </c>
      <c r="T4235" s="68">
        <v>46040.944375</v>
      </c>
      <c r="U4235" s="68">
        <v>0</v>
      </c>
      <c r="V4235" s="68">
        <v>46080.166712963</v>
      </c>
      <c r="W4235" s="0">
        <f>IF(IF(B4235="none",1,IF(B4235="Trialer",1,0))+IF(C4235="Customer",1,IF(C4235="Lost",1,0))=2,1,0)</f>
      </c>
      <c r="X4235" s="0" t="s">
        <v>145</v>
      </c>
      <c r="Y4235" s="0" t="s">
        <v>1772</v>
      </c>
      <c r="AV4235" s="68"/>
      <c r="AW4235" s="68"/>
      <c r="AY4235" s="27"/>
      <c r="BD4235" s="68">
        <v>46054.1666666667</v>
      </c>
      <c r="BE4235" s="68">
        <v>46082.1666666667</v>
      </c>
      <c r="BF4235" s="0" t="b">
        <v>0</v>
      </c>
      <c r="BG4235" s="0" t="b">
        <v>0</v>
      </c>
      <c r="BH4235" s="0">
        <v>44.25</v>
      </c>
      <c r="BI4235" s="0">
        <v>44.25</v>
      </c>
      <c r="BJ4235" s="0" t="s">
        <v>135</v>
      </c>
    </row>
    <row r="4236">
      <c r="A4236" s="0" t="s">
        <v>4497</v>
      </c>
      <c r="B4236" s="0" t="s">
        <v>652</v>
      </c>
      <c r="C4236" s="0" t="s">
        <v>134</v>
      </c>
      <c r="D4236" s="0" t="s">
        <v>135</v>
      </c>
      <c r="E4236" s="0" t="s">
        <v>3</v>
      </c>
      <c r="F4236" s="0" t="s">
        <v>12</v>
      </c>
      <c r="G4236" s="0" t="s">
        <v>8</v>
      </c>
      <c r="H4236" s="0">
        <v>12</v>
      </c>
      <c r="I4236" s="0">
        <v>124.5</v>
      </c>
      <c r="J4236" s="0">
        <v>0</v>
      </c>
      <c r="K4236" s="0">
        <v>1</v>
      </c>
      <c r="L4236" s="0">
        <v>3</v>
      </c>
      <c r="M4236" s="0">
        <v>4</v>
      </c>
      <c r="N4236" s="0">
        <v>0</v>
      </c>
      <c r="O4236" s="0">
        <v>0</v>
      </c>
      <c r="P4236" s="0">
        <v>0</v>
      </c>
      <c r="R4236" s="0" t="b">
        <v>0</v>
      </c>
      <c r="S4236" s="0" t="b">
        <v>1</v>
      </c>
      <c r="T4236" s="68">
        <v>46041.2634375</v>
      </c>
      <c r="U4236" s="68">
        <v>46063.2916666667</v>
      </c>
      <c r="V4236" s="68">
        <v>0</v>
      </c>
      <c r="W4236" s="0">
        <f>IF(IF(B4236="none",1,IF(B4236="Trialer",1,0))+IF(C4236="Customer",1,IF(C4236="Lost",1,0))=2,1,0)</f>
      </c>
      <c r="X4236" s="0" t="s">
        <v>136</v>
      </c>
      <c r="Y4236" s="0" t="s">
        <v>243</v>
      </c>
      <c r="AV4236" s="68"/>
      <c r="AW4236" s="68"/>
      <c r="AY4236" s="27"/>
      <c r="BD4236" s="68">
        <v>46054.1666666667</v>
      </c>
      <c r="BE4236" s="68">
        <v>46082.1666666667</v>
      </c>
      <c r="BF4236" s="0" t="b">
        <v>0</v>
      </c>
      <c r="BG4236" s="0" t="b">
        <v>0</v>
      </c>
      <c r="BH4236" s="0">
        <v>133.5</v>
      </c>
      <c r="BI4236" s="0">
        <v>133.5</v>
      </c>
      <c r="BJ4236" s="0" t="s">
        <v>135</v>
      </c>
    </row>
    <row r="4237">
      <c r="A4237" s="0" t="s">
        <v>4498</v>
      </c>
      <c r="B4237" s="0" t="s">
        <v>652</v>
      </c>
      <c r="C4237" s="0" t="s">
        <v>652</v>
      </c>
      <c r="D4237" s="0" t="s">
        <v>135</v>
      </c>
      <c r="E4237" s="0" t="s">
        <v>3</v>
      </c>
      <c r="F4237" s="0" t="s">
        <v>12</v>
      </c>
      <c r="G4237" s="0" t="s">
        <v>8</v>
      </c>
      <c r="H4237" s="0">
        <v>12</v>
      </c>
      <c r="I4237" s="0">
        <v>0</v>
      </c>
      <c r="J4237" s="0">
        <v>0</v>
      </c>
      <c r="K4237" s="0">
        <v>0</v>
      </c>
      <c r="L4237" s="0">
        <v>0</v>
      </c>
      <c r="M4237" s="0">
        <v>0</v>
      </c>
      <c r="N4237" s="0">
        <v>0</v>
      </c>
      <c r="O4237" s="0">
        <v>0</v>
      </c>
      <c r="P4237" s="0">
        <v>0</v>
      </c>
      <c r="R4237" s="0" t="b">
        <v>0</v>
      </c>
      <c r="S4237" s="0" t="b">
        <v>0</v>
      </c>
      <c r="T4237" s="68">
        <v>46041.3701736111</v>
      </c>
      <c r="U4237" s="68">
        <v>0</v>
      </c>
      <c r="V4237" s="68">
        <v>46057.3550810185</v>
      </c>
      <c r="W4237" s="0">
        <f>IF(IF(B4237="none",1,IF(B4237="Trialer",1,0))+IF(C4237="Customer",1,IF(C4237="Lost",1,0))=2,1,0)</f>
      </c>
      <c r="X4237" s="0" t="s">
        <v>136</v>
      </c>
      <c r="Y4237" s="0" t="s">
        <v>243</v>
      </c>
      <c r="AV4237" s="68"/>
      <c r="AW4237" s="68"/>
      <c r="AY4237" s="27"/>
      <c r="BD4237" s="68">
        <v>46054.1666666667</v>
      </c>
      <c r="BE4237" s="68">
        <v>46082.1666666667</v>
      </c>
      <c r="BF4237" s="0" t="b">
        <v>0</v>
      </c>
      <c r="BG4237" s="0" t="b">
        <v>0</v>
      </c>
      <c r="BH4237" s="0">
        <v>191.25</v>
      </c>
      <c r="BI4237" s="0">
        <v>191.25</v>
      </c>
      <c r="BJ4237" s="0" t="s">
        <v>135</v>
      </c>
    </row>
    <row r="4238">
      <c r="A4238" s="0" t="s">
        <v>4499</v>
      </c>
      <c r="B4238" s="0" t="s">
        <v>652</v>
      </c>
      <c r="C4238" s="0" t="s">
        <v>652</v>
      </c>
      <c r="D4238" s="0" t="s">
        <v>135</v>
      </c>
      <c r="E4238" s="0" t="s">
        <v>3</v>
      </c>
      <c r="F4238" s="0" t="s">
        <v>12</v>
      </c>
      <c r="G4238" s="0" t="s">
        <v>8</v>
      </c>
      <c r="H4238" s="0">
        <v>12</v>
      </c>
      <c r="I4238" s="0">
        <v>0</v>
      </c>
      <c r="J4238" s="0">
        <v>0</v>
      </c>
      <c r="K4238" s="0">
        <v>0</v>
      </c>
      <c r="L4238" s="0">
        <v>0</v>
      </c>
      <c r="M4238" s="0">
        <v>0</v>
      </c>
      <c r="N4238" s="0">
        <v>0</v>
      </c>
      <c r="O4238" s="0">
        <v>0</v>
      </c>
      <c r="P4238" s="0">
        <v>0</v>
      </c>
      <c r="R4238" s="0" t="b">
        <v>0</v>
      </c>
      <c r="S4238" s="0" t="b">
        <v>0</v>
      </c>
      <c r="T4238" s="68">
        <v>46041.4018287037</v>
      </c>
      <c r="U4238" s="68">
        <v>0</v>
      </c>
      <c r="V4238" s="68">
        <v>46055.0009722222</v>
      </c>
      <c r="W4238" s="0">
        <f>IF(IF(B4238="none",1,IF(B4238="Trialer",1,0))+IF(C4238="Customer",1,IF(C4238="Lost",1,0))=2,1,0)</f>
      </c>
      <c r="X4238" s="0" t="s">
        <v>145</v>
      </c>
      <c r="Y4238" s="0" t="s">
        <v>243</v>
      </c>
      <c r="AV4238" s="68"/>
      <c r="AW4238" s="68"/>
      <c r="AY4238" s="27"/>
      <c r="BD4238" s="68">
        <v>46054.1666666667</v>
      </c>
      <c r="BE4238" s="68">
        <v>46082.1666666667</v>
      </c>
      <c r="BF4238" s="0" t="b">
        <v>0</v>
      </c>
      <c r="BG4238" s="0" t="b">
        <v>0</v>
      </c>
      <c r="BH4238" s="0">
        <v>63.75</v>
      </c>
      <c r="BI4238" s="0">
        <v>63.75</v>
      </c>
      <c r="BJ4238" s="0" t="s">
        <v>135</v>
      </c>
    </row>
    <row r="4239">
      <c r="A4239" s="0" t="s">
        <v>4500</v>
      </c>
      <c r="B4239" s="0" t="s">
        <v>652</v>
      </c>
      <c r="C4239" s="0" t="s">
        <v>652</v>
      </c>
      <c r="D4239" s="0" t="s">
        <v>135</v>
      </c>
      <c r="E4239" s="0" t="s">
        <v>3</v>
      </c>
      <c r="F4239" s="0" t="s">
        <v>12</v>
      </c>
      <c r="G4239" s="0" t="s">
        <v>8</v>
      </c>
      <c r="H4239" s="0">
        <v>12</v>
      </c>
      <c r="I4239" s="0">
        <v>0</v>
      </c>
      <c r="J4239" s="0">
        <v>0</v>
      </c>
      <c r="K4239" s="0">
        <v>0</v>
      </c>
      <c r="L4239" s="0">
        <v>0</v>
      </c>
      <c r="M4239" s="0">
        <v>0</v>
      </c>
      <c r="N4239" s="0">
        <v>0</v>
      </c>
      <c r="O4239" s="0">
        <v>0</v>
      </c>
      <c r="P4239" s="0">
        <v>0</v>
      </c>
      <c r="R4239" s="0" t="b">
        <v>0</v>
      </c>
      <c r="S4239" s="0" t="b">
        <v>0</v>
      </c>
      <c r="T4239" s="68">
        <v>46041.4413657407</v>
      </c>
      <c r="U4239" s="68">
        <v>0</v>
      </c>
      <c r="V4239" s="68">
        <v>46081.1667476852</v>
      </c>
      <c r="W4239" s="0">
        <f>IF(IF(B4239="none",1,IF(B4239="Trialer",1,0))+IF(C4239="Customer",1,IF(C4239="Lost",1,0))=2,1,0)</f>
      </c>
      <c r="X4239" s="0" t="s">
        <v>136</v>
      </c>
      <c r="Y4239" s="0" t="s">
        <v>243</v>
      </c>
      <c r="AV4239" s="68"/>
      <c r="AW4239" s="68"/>
      <c r="AY4239" s="27"/>
      <c r="BD4239" s="68">
        <v>46054.1666666667</v>
      </c>
      <c r="BE4239" s="68">
        <v>46082.1666666667</v>
      </c>
      <c r="BF4239" s="0" t="b">
        <v>0</v>
      </c>
      <c r="BG4239" s="0" t="b">
        <v>0</v>
      </c>
      <c r="BH4239" s="0">
        <v>44.25</v>
      </c>
      <c r="BI4239" s="0">
        <v>44.25</v>
      </c>
      <c r="BJ4239" s="0" t="s">
        <v>135</v>
      </c>
    </row>
    <row r="4240">
      <c r="A4240" s="0" t="s">
        <v>4501</v>
      </c>
      <c r="B4240" s="0" t="s">
        <v>652</v>
      </c>
      <c r="C4240" s="0" t="s">
        <v>652</v>
      </c>
      <c r="D4240" s="0" t="s">
        <v>135</v>
      </c>
      <c r="E4240" s="0" t="s">
        <v>3</v>
      </c>
      <c r="F4240" s="0" t="s">
        <v>12</v>
      </c>
      <c r="G4240" s="0" t="s">
        <v>8</v>
      </c>
      <c r="H4240" s="0">
        <v>12</v>
      </c>
      <c r="I4240" s="0">
        <v>0</v>
      </c>
      <c r="J4240" s="0">
        <v>0</v>
      </c>
      <c r="K4240" s="0">
        <v>0</v>
      </c>
      <c r="L4240" s="0">
        <v>0</v>
      </c>
      <c r="M4240" s="0">
        <v>0</v>
      </c>
      <c r="N4240" s="0">
        <v>0</v>
      </c>
      <c r="O4240" s="0">
        <v>0</v>
      </c>
      <c r="P4240" s="0">
        <v>0</v>
      </c>
      <c r="R4240" s="0" t="b">
        <v>0</v>
      </c>
      <c r="S4240" s="0" t="b">
        <v>0</v>
      </c>
      <c r="T4240" s="68">
        <v>46041.4877314815</v>
      </c>
      <c r="U4240" s="68">
        <v>0</v>
      </c>
      <c r="V4240" s="68">
        <v>46081.1667013889</v>
      </c>
      <c r="W4240" s="0">
        <f>IF(IF(B4240="none",1,IF(B4240="Trialer",1,0))+IF(C4240="Customer",1,IF(C4240="Lost",1,0))=2,1,0)</f>
      </c>
      <c r="X4240" s="0" t="s">
        <v>148</v>
      </c>
      <c r="Y4240" s="0" t="s">
        <v>243</v>
      </c>
      <c r="AV4240" s="68"/>
      <c r="AW4240" s="68"/>
      <c r="AY4240" s="27"/>
      <c r="BD4240" s="68">
        <v>46054.1666666667</v>
      </c>
      <c r="BE4240" s="68">
        <v>46082.1666666667</v>
      </c>
      <c r="BF4240" s="0" t="b">
        <v>0</v>
      </c>
      <c r="BG4240" s="0" t="b">
        <v>0</v>
      </c>
      <c r="BH4240" s="0">
        <v>53.25</v>
      </c>
      <c r="BI4240" s="0">
        <v>53.25</v>
      </c>
      <c r="BJ4240" s="0" t="s">
        <v>135</v>
      </c>
    </row>
    <row r="4241">
      <c r="A4241" s="0" t="s">
        <v>4502</v>
      </c>
      <c r="B4241" s="0" t="s">
        <v>652</v>
      </c>
      <c r="C4241" s="0" t="s">
        <v>652</v>
      </c>
      <c r="D4241" s="0" t="s">
        <v>135</v>
      </c>
      <c r="E4241" s="0" t="s">
        <v>2</v>
      </c>
      <c r="F4241" s="0" t="s">
        <v>12</v>
      </c>
      <c r="G4241" s="0" t="s">
        <v>8</v>
      </c>
      <c r="H4241" s="0">
        <v>12</v>
      </c>
      <c r="I4241" s="0">
        <v>0</v>
      </c>
      <c r="J4241" s="0">
        <v>0</v>
      </c>
      <c r="K4241" s="0">
        <v>0</v>
      </c>
      <c r="L4241" s="0">
        <v>0</v>
      </c>
      <c r="M4241" s="0">
        <v>0</v>
      </c>
      <c r="N4241" s="0">
        <v>0</v>
      </c>
      <c r="O4241" s="0">
        <v>0</v>
      </c>
      <c r="P4241" s="0">
        <v>0</v>
      </c>
      <c r="R4241" s="0" t="b">
        <v>0</v>
      </c>
      <c r="S4241" s="0" t="b">
        <v>0</v>
      </c>
      <c r="T4241" s="68">
        <v>46041.5107638889</v>
      </c>
      <c r="U4241" s="68">
        <v>0</v>
      </c>
      <c r="V4241" s="68">
        <v>46081.1668287037</v>
      </c>
      <c r="W4241" s="0">
        <f>IF(IF(B4241="none",1,IF(B4241="Trialer",1,0))+IF(C4241="Customer",1,IF(C4241="Lost",1,0))=2,1,0)</f>
      </c>
      <c r="X4241" s="0" t="s">
        <v>145</v>
      </c>
      <c r="Y4241" s="0" t="s">
        <v>499</v>
      </c>
      <c r="AV4241" s="68"/>
      <c r="AW4241" s="68"/>
      <c r="AY4241" s="27"/>
      <c r="BD4241" s="68">
        <v>46054.1666666667</v>
      </c>
      <c r="BE4241" s="68">
        <v>46082.1666666667</v>
      </c>
      <c r="BF4241" s="0" t="b">
        <v>0</v>
      </c>
      <c r="BG4241" s="0" t="b">
        <v>0</v>
      </c>
      <c r="BH4241" s="0">
        <v>44.25</v>
      </c>
      <c r="BI4241" s="0">
        <v>44.25</v>
      </c>
      <c r="BJ4241" s="0" t="s">
        <v>135</v>
      </c>
    </row>
    <row r="4242">
      <c r="A4242" s="0" t="s">
        <v>4503</v>
      </c>
      <c r="B4242" s="0" t="s">
        <v>652</v>
      </c>
      <c r="C4242" s="0" t="s">
        <v>652</v>
      </c>
      <c r="D4242" s="0" t="s">
        <v>135</v>
      </c>
      <c r="E4242" s="0" t="s">
        <v>2</v>
      </c>
      <c r="F4242" s="0" t="s">
        <v>12</v>
      </c>
      <c r="G4242" s="0" t="s">
        <v>8</v>
      </c>
      <c r="H4242" s="0">
        <v>12</v>
      </c>
      <c r="I4242" s="0">
        <v>0</v>
      </c>
      <c r="J4242" s="0">
        <v>0</v>
      </c>
      <c r="K4242" s="0">
        <v>0</v>
      </c>
      <c r="L4242" s="0">
        <v>0</v>
      </c>
      <c r="M4242" s="0">
        <v>0</v>
      </c>
      <c r="N4242" s="0">
        <v>0</v>
      </c>
      <c r="O4242" s="0">
        <v>0</v>
      </c>
      <c r="P4242" s="0">
        <v>0</v>
      </c>
      <c r="R4242" s="0" t="b">
        <v>0</v>
      </c>
      <c r="S4242" s="0" t="b">
        <v>0</v>
      </c>
      <c r="T4242" s="68">
        <v>46041.5166087963</v>
      </c>
      <c r="U4242" s="68">
        <v>0</v>
      </c>
      <c r="V4242" s="68">
        <v>46081.1667939815</v>
      </c>
      <c r="W4242" s="0">
        <f>IF(IF(B4242="none",1,IF(B4242="Trialer",1,0))+IF(C4242="Customer",1,IF(C4242="Lost",1,0))=2,1,0)</f>
      </c>
      <c r="X4242" s="0" t="s">
        <v>136</v>
      </c>
      <c r="Y4242" s="0" t="s">
        <v>499</v>
      </c>
      <c r="AV4242" s="68"/>
      <c r="AW4242" s="68"/>
      <c r="AY4242" s="27"/>
      <c r="BD4242" s="68">
        <v>46054.1666666667</v>
      </c>
      <c r="BE4242" s="68">
        <v>46082.1666666667</v>
      </c>
      <c r="BF4242" s="0" t="b">
        <v>0</v>
      </c>
      <c r="BG4242" s="0" t="b">
        <v>0</v>
      </c>
      <c r="BH4242" s="0">
        <v>54.75</v>
      </c>
      <c r="BI4242" s="0">
        <v>54.75</v>
      </c>
      <c r="BJ4242" s="0" t="s">
        <v>135</v>
      </c>
    </row>
    <row r="4243">
      <c r="A4243" s="0" t="s">
        <v>4504</v>
      </c>
      <c r="B4243" s="0" t="s">
        <v>652</v>
      </c>
      <c r="C4243" s="0" t="s">
        <v>134</v>
      </c>
      <c r="D4243" s="0" t="s">
        <v>135</v>
      </c>
      <c r="E4243" s="0" t="s">
        <v>3</v>
      </c>
      <c r="F4243" s="0" t="s">
        <v>12</v>
      </c>
      <c r="G4243" s="0" t="s">
        <v>8</v>
      </c>
      <c r="H4243" s="0">
        <v>12</v>
      </c>
      <c r="I4243" s="0">
        <v>132.75</v>
      </c>
      <c r="J4243" s="0">
        <v>0</v>
      </c>
      <c r="K4243" s="0">
        <v>1</v>
      </c>
      <c r="L4243" s="0">
        <v>3</v>
      </c>
      <c r="M4243" s="0">
        <v>3</v>
      </c>
      <c r="N4243" s="0">
        <v>0</v>
      </c>
      <c r="O4243" s="0">
        <v>0</v>
      </c>
      <c r="P4243" s="0">
        <v>0</v>
      </c>
      <c r="R4243" s="0" t="b">
        <v>0</v>
      </c>
      <c r="S4243" s="0" t="b">
        <v>1</v>
      </c>
      <c r="T4243" s="68">
        <v>46041.5484375</v>
      </c>
      <c r="U4243" s="68">
        <v>46055.2916666667</v>
      </c>
      <c r="V4243" s="68">
        <v>0</v>
      </c>
      <c r="W4243" s="0">
        <f>IF(IF(B4243="none",1,IF(B4243="Trialer",1,0))+IF(C4243="Customer",1,IF(C4243="Lost",1,0))=2,1,0)</f>
      </c>
      <c r="X4243" s="0" t="s">
        <v>1461</v>
      </c>
      <c r="Y4243" s="0" t="s">
        <v>243</v>
      </c>
      <c r="AV4243" s="68"/>
      <c r="AW4243" s="68"/>
      <c r="AY4243" s="27"/>
      <c r="BD4243" s="68">
        <v>46054.1666666667</v>
      </c>
      <c r="BE4243" s="68">
        <v>46082.1666666667</v>
      </c>
      <c r="BF4243" s="0" t="b">
        <v>0</v>
      </c>
      <c r="BG4243" s="0" t="b">
        <v>0</v>
      </c>
      <c r="BH4243" s="0">
        <v>177</v>
      </c>
      <c r="BI4243" s="0">
        <v>177</v>
      </c>
      <c r="BJ4243" s="0" t="s">
        <v>135</v>
      </c>
    </row>
    <row r="4244">
      <c r="A4244" s="0" t="s">
        <v>4505</v>
      </c>
      <c r="B4244" s="0" t="s">
        <v>652</v>
      </c>
      <c r="C4244" s="0" t="s">
        <v>134</v>
      </c>
      <c r="D4244" s="0" t="s">
        <v>135</v>
      </c>
      <c r="E4244" s="0" t="s">
        <v>2</v>
      </c>
      <c r="F4244" s="0" t="s">
        <v>12</v>
      </c>
      <c r="G4244" s="0" t="s">
        <v>8</v>
      </c>
      <c r="H4244" s="0">
        <v>12</v>
      </c>
      <c r="I4244" s="0">
        <v>221.25</v>
      </c>
      <c r="J4244" s="0">
        <v>0</v>
      </c>
      <c r="K4244" s="0">
        <v>1</v>
      </c>
      <c r="L4244" s="0">
        <v>3</v>
      </c>
      <c r="M4244" s="0">
        <v>5</v>
      </c>
      <c r="N4244" s="0">
        <v>0</v>
      </c>
      <c r="O4244" s="0">
        <v>0</v>
      </c>
      <c r="P4244" s="0">
        <v>0</v>
      </c>
      <c r="R4244" s="0" t="b">
        <v>0</v>
      </c>
      <c r="S4244" s="0" t="b">
        <v>1</v>
      </c>
      <c r="T4244" s="68">
        <v>46041.6187847222</v>
      </c>
      <c r="U4244" s="68">
        <v>46059.2916666667</v>
      </c>
      <c r="V4244" s="68">
        <v>0</v>
      </c>
      <c r="W4244" s="0">
        <f>IF(IF(B4244="none",1,IF(B4244="Trialer",1,0))+IF(C4244="Customer",1,IF(C4244="Lost",1,0))=2,1,0)</f>
      </c>
      <c r="X4244" s="0" t="s">
        <v>145</v>
      </c>
      <c r="Y4244" s="0" t="s">
        <v>499</v>
      </c>
      <c r="AV4244" s="68"/>
      <c r="AW4244" s="68"/>
      <c r="AY4244" s="27"/>
      <c r="BD4244" s="68">
        <v>46054.1666666667</v>
      </c>
      <c r="BE4244" s="68">
        <v>46082.1666666667</v>
      </c>
      <c r="BF4244" s="0" t="b">
        <v>0</v>
      </c>
      <c r="BG4244" s="0" t="b">
        <v>0</v>
      </c>
      <c r="BH4244" s="0">
        <v>221.25</v>
      </c>
      <c r="BI4244" s="0">
        <v>221.25</v>
      </c>
      <c r="BJ4244" s="0" t="s">
        <v>135</v>
      </c>
    </row>
    <row r="4245">
      <c r="A4245" s="0" t="s">
        <v>4506</v>
      </c>
      <c r="B4245" s="0" t="s">
        <v>652</v>
      </c>
      <c r="C4245" s="0" t="s">
        <v>652</v>
      </c>
      <c r="D4245" s="0" t="s">
        <v>135</v>
      </c>
      <c r="E4245" s="0" t="s">
        <v>3</v>
      </c>
      <c r="F4245" s="0" t="s">
        <v>12</v>
      </c>
      <c r="G4245" s="0" t="s">
        <v>8</v>
      </c>
      <c r="H4245" s="0">
        <v>12</v>
      </c>
      <c r="I4245" s="0">
        <v>0</v>
      </c>
      <c r="J4245" s="0">
        <v>0</v>
      </c>
      <c r="K4245" s="0">
        <v>0</v>
      </c>
      <c r="L4245" s="0">
        <v>0</v>
      </c>
      <c r="M4245" s="0">
        <v>0</v>
      </c>
      <c r="N4245" s="0">
        <v>0</v>
      </c>
      <c r="O4245" s="0">
        <v>0</v>
      </c>
      <c r="P4245" s="0">
        <v>0</v>
      </c>
      <c r="R4245" s="0" t="b">
        <v>0</v>
      </c>
      <c r="S4245" s="0" t="b">
        <v>0</v>
      </c>
      <c r="T4245" s="68">
        <v>46041.6219675926</v>
      </c>
      <c r="U4245" s="68">
        <v>0</v>
      </c>
      <c r="V4245" s="68">
        <v>46059.2444560185</v>
      </c>
      <c r="W4245" s="0">
        <f>IF(IF(B4245="none",1,IF(B4245="Trialer",1,0))+IF(C4245="Customer",1,IF(C4245="Lost",1,0))=2,1,0)</f>
      </c>
      <c r="X4245" s="0" t="s">
        <v>1461</v>
      </c>
      <c r="Y4245" s="0" t="s">
        <v>243</v>
      </c>
      <c r="AV4245" s="68"/>
      <c r="AW4245" s="68"/>
      <c r="AY4245" s="27"/>
      <c r="BD4245" s="68">
        <v>46054.1666666667</v>
      </c>
      <c r="BE4245" s="68">
        <v>46082.1666666667</v>
      </c>
      <c r="BF4245" s="0" t="b">
        <v>0</v>
      </c>
      <c r="BG4245" s="0" t="b">
        <v>0</v>
      </c>
      <c r="BH4245" s="0">
        <v>53.25</v>
      </c>
      <c r="BI4245" s="0">
        <v>53.25</v>
      </c>
      <c r="BJ4245" s="0" t="s">
        <v>135</v>
      </c>
    </row>
    <row r="4246">
      <c r="A4246" s="0" t="s">
        <v>4507</v>
      </c>
      <c r="B4246" s="0" t="s">
        <v>652</v>
      </c>
      <c r="C4246" s="0" t="s">
        <v>134</v>
      </c>
      <c r="D4246" s="0" t="s">
        <v>135</v>
      </c>
      <c r="E4246" s="0" t="s">
        <v>3</v>
      </c>
      <c r="F4246" s="0" t="s">
        <v>12</v>
      </c>
      <c r="G4246" s="0" t="s">
        <v>8</v>
      </c>
      <c r="H4246" s="0">
        <v>12</v>
      </c>
      <c r="I4246" s="0">
        <v>53.25</v>
      </c>
      <c r="J4246" s="0">
        <v>0</v>
      </c>
      <c r="K4246" s="0">
        <v>1</v>
      </c>
      <c r="L4246" s="0">
        <v>4</v>
      </c>
      <c r="M4246" s="0">
        <v>1</v>
      </c>
      <c r="N4246" s="0">
        <v>0</v>
      </c>
      <c r="O4246" s="0">
        <v>0</v>
      </c>
      <c r="P4246" s="0">
        <v>0</v>
      </c>
      <c r="R4246" s="0" t="b">
        <v>0</v>
      </c>
      <c r="S4246" s="0" t="b">
        <v>1</v>
      </c>
      <c r="T4246" s="68">
        <v>46041.6340856481</v>
      </c>
      <c r="U4246" s="68">
        <v>46055.2916666667</v>
      </c>
      <c r="V4246" s="68">
        <v>0</v>
      </c>
      <c r="W4246" s="0">
        <f>IF(IF(B4246="none",1,IF(B4246="Trialer",1,0))+IF(C4246="Customer",1,IF(C4246="Lost",1,0))=2,1,0)</f>
      </c>
      <c r="X4246" s="0" t="s">
        <v>145</v>
      </c>
      <c r="Y4246" s="0" t="s">
        <v>243</v>
      </c>
      <c r="AV4246" s="68"/>
      <c r="AW4246" s="68"/>
      <c r="AY4246" s="27"/>
      <c r="BD4246" s="68">
        <v>46054.1666666667</v>
      </c>
      <c r="BE4246" s="68">
        <v>46082.1666666667</v>
      </c>
      <c r="BF4246" s="0" t="b">
        <v>0</v>
      </c>
      <c r="BG4246" s="0" t="b">
        <v>0</v>
      </c>
      <c r="BH4246" s="0">
        <v>53.25</v>
      </c>
      <c r="BI4246" s="0">
        <v>53.25</v>
      </c>
      <c r="BJ4246" s="0" t="s">
        <v>135</v>
      </c>
    </row>
    <row r="4247">
      <c r="A4247" s="0" t="s">
        <v>4508</v>
      </c>
      <c r="B4247" s="0" t="s">
        <v>652</v>
      </c>
      <c r="C4247" s="0" t="s">
        <v>652</v>
      </c>
      <c r="D4247" s="0" t="s">
        <v>135</v>
      </c>
      <c r="E4247" s="0" t="s">
        <v>3</v>
      </c>
      <c r="F4247" s="0" t="s">
        <v>12</v>
      </c>
      <c r="G4247" s="0" t="s">
        <v>8</v>
      </c>
      <c r="H4247" s="0">
        <v>12</v>
      </c>
      <c r="I4247" s="0">
        <v>0</v>
      </c>
      <c r="J4247" s="0">
        <v>0</v>
      </c>
      <c r="K4247" s="0">
        <v>0</v>
      </c>
      <c r="L4247" s="0">
        <v>0</v>
      </c>
      <c r="M4247" s="0">
        <v>0</v>
      </c>
      <c r="N4247" s="0">
        <v>0</v>
      </c>
      <c r="O4247" s="0">
        <v>0</v>
      </c>
      <c r="P4247" s="0">
        <v>0</v>
      </c>
      <c r="R4247" s="0" t="b">
        <v>0</v>
      </c>
      <c r="S4247" s="0" t="b">
        <v>0</v>
      </c>
      <c r="T4247" s="68">
        <v>46041.71875</v>
      </c>
      <c r="U4247" s="68">
        <v>0</v>
      </c>
      <c r="V4247" s="68">
        <v>46081.1667824074</v>
      </c>
      <c r="W4247" s="0">
        <f>IF(IF(B4247="none",1,IF(B4247="Trialer",1,0))+IF(C4247="Customer",1,IF(C4247="Lost",1,0))=2,1,0)</f>
      </c>
      <c r="X4247" s="0" t="s">
        <v>145</v>
      </c>
      <c r="Y4247" s="0" t="s">
        <v>243</v>
      </c>
      <c r="AV4247" s="68"/>
      <c r="AW4247" s="68"/>
      <c r="AY4247" s="27"/>
      <c r="BD4247" s="68">
        <v>46054.1666666667</v>
      </c>
      <c r="BE4247" s="68">
        <v>46082.1666666667</v>
      </c>
      <c r="BF4247" s="0" t="b">
        <v>0</v>
      </c>
      <c r="BG4247" s="0" t="b">
        <v>0</v>
      </c>
      <c r="BH4247" s="0">
        <v>53.25</v>
      </c>
      <c r="BI4247" s="0">
        <v>53.25</v>
      </c>
      <c r="BJ4247" s="0" t="s">
        <v>135</v>
      </c>
    </row>
    <row r="4248">
      <c r="A4248" s="0" t="s">
        <v>4509</v>
      </c>
      <c r="B4248" s="0" t="s">
        <v>652</v>
      </c>
      <c r="C4248" s="0" t="s">
        <v>652</v>
      </c>
      <c r="D4248" s="0" t="s">
        <v>135</v>
      </c>
      <c r="E4248" s="0" t="s">
        <v>3</v>
      </c>
      <c r="F4248" s="0" t="s">
        <v>12</v>
      </c>
      <c r="G4248" s="0" t="s">
        <v>8</v>
      </c>
      <c r="H4248" s="0">
        <v>12</v>
      </c>
      <c r="I4248" s="0">
        <v>0</v>
      </c>
      <c r="J4248" s="0">
        <v>0</v>
      </c>
      <c r="K4248" s="0">
        <v>0</v>
      </c>
      <c r="L4248" s="0">
        <v>0</v>
      </c>
      <c r="M4248" s="0">
        <v>0</v>
      </c>
      <c r="N4248" s="0">
        <v>0</v>
      </c>
      <c r="O4248" s="0">
        <v>0</v>
      </c>
      <c r="P4248" s="0">
        <v>0</v>
      </c>
      <c r="R4248" s="0" t="b">
        <v>0</v>
      </c>
      <c r="S4248" s="0" t="b">
        <v>0</v>
      </c>
      <c r="T4248" s="68">
        <v>46041.7235416667</v>
      </c>
      <c r="U4248" s="68">
        <v>0</v>
      </c>
      <c r="V4248" s="68">
        <v>46081.1667708333</v>
      </c>
      <c r="W4248" s="0">
        <f>IF(IF(B4248="none",1,IF(B4248="Trialer",1,0))+IF(C4248="Customer",1,IF(C4248="Lost",1,0))=2,1,0)</f>
      </c>
      <c r="X4248" s="0" t="s">
        <v>148</v>
      </c>
      <c r="Y4248" s="0" t="s">
        <v>243</v>
      </c>
      <c r="AV4248" s="68"/>
      <c r="AW4248" s="68"/>
      <c r="AY4248" s="27"/>
      <c r="BD4248" s="68">
        <v>46054.1666666667</v>
      </c>
      <c r="BE4248" s="68">
        <v>46082.1666666667</v>
      </c>
      <c r="BF4248" s="0" t="b">
        <v>0</v>
      </c>
      <c r="BG4248" s="0" t="b">
        <v>0</v>
      </c>
      <c r="BH4248" s="0">
        <v>164.25</v>
      </c>
      <c r="BI4248" s="0">
        <v>164.25</v>
      </c>
      <c r="BJ4248" s="0" t="s">
        <v>135</v>
      </c>
    </row>
    <row r="4249">
      <c r="A4249" s="0" t="s">
        <v>4510</v>
      </c>
      <c r="B4249" s="0" t="s">
        <v>652</v>
      </c>
      <c r="C4249" s="0" t="s">
        <v>652</v>
      </c>
      <c r="D4249" s="0" t="s">
        <v>135</v>
      </c>
      <c r="E4249" s="0" t="s">
        <v>3</v>
      </c>
      <c r="F4249" s="0" t="s">
        <v>12</v>
      </c>
      <c r="G4249" s="0" t="s">
        <v>8</v>
      </c>
      <c r="H4249" s="0">
        <v>12</v>
      </c>
      <c r="I4249" s="0">
        <v>0</v>
      </c>
      <c r="J4249" s="0">
        <v>0</v>
      </c>
      <c r="K4249" s="0">
        <v>0</v>
      </c>
      <c r="L4249" s="0">
        <v>0</v>
      </c>
      <c r="M4249" s="0">
        <v>0</v>
      </c>
      <c r="N4249" s="0">
        <v>0</v>
      </c>
      <c r="O4249" s="0">
        <v>0</v>
      </c>
      <c r="P4249" s="0">
        <v>0</v>
      </c>
      <c r="R4249" s="0" t="b">
        <v>0</v>
      </c>
      <c r="S4249" s="0" t="b">
        <v>0</v>
      </c>
      <c r="T4249" s="68">
        <v>46041.7399305556</v>
      </c>
      <c r="U4249" s="68">
        <v>0</v>
      </c>
      <c r="V4249" s="68">
        <v>46081.1668171296</v>
      </c>
      <c r="W4249" s="0">
        <f>IF(IF(B4249="none",1,IF(B4249="Trialer",1,0))+IF(C4249="Customer",1,IF(C4249="Lost",1,0))=2,1,0)</f>
      </c>
      <c r="X4249" s="0" t="s">
        <v>136</v>
      </c>
      <c r="Y4249" s="0" t="s">
        <v>243</v>
      </c>
      <c r="AV4249" s="68"/>
      <c r="AW4249" s="68"/>
      <c r="AY4249" s="27"/>
      <c r="BD4249" s="68">
        <v>46054.1666666667</v>
      </c>
      <c r="BE4249" s="68">
        <v>46082.1666666667</v>
      </c>
      <c r="BF4249" s="0" t="b">
        <v>0</v>
      </c>
      <c r="BG4249" s="0" t="b">
        <v>0</v>
      </c>
      <c r="BH4249" s="0">
        <v>44.25</v>
      </c>
      <c r="BI4249" s="0">
        <v>44.25</v>
      </c>
      <c r="BJ4249" s="0" t="s">
        <v>135</v>
      </c>
    </row>
    <row r="4250">
      <c r="A4250" s="0" t="s">
        <v>4511</v>
      </c>
      <c r="B4250" s="0" t="s">
        <v>652</v>
      </c>
      <c r="C4250" s="0" t="s">
        <v>652</v>
      </c>
      <c r="D4250" s="0" t="s">
        <v>135</v>
      </c>
      <c r="E4250" s="0" t="s">
        <v>1515</v>
      </c>
      <c r="F4250" s="0" t="s">
        <v>12</v>
      </c>
      <c r="G4250" s="0" t="s">
        <v>8</v>
      </c>
      <c r="H4250" s="0">
        <v>12</v>
      </c>
      <c r="I4250" s="0">
        <v>0</v>
      </c>
      <c r="J4250" s="0">
        <v>0</v>
      </c>
      <c r="K4250" s="0">
        <v>0</v>
      </c>
      <c r="L4250" s="0">
        <v>0</v>
      </c>
      <c r="M4250" s="0">
        <v>0</v>
      </c>
      <c r="N4250" s="0">
        <v>0</v>
      </c>
      <c r="O4250" s="0">
        <v>0</v>
      </c>
      <c r="P4250" s="0">
        <v>0</v>
      </c>
      <c r="R4250" s="0" t="b">
        <v>0</v>
      </c>
      <c r="S4250" s="0" t="b">
        <v>0</v>
      </c>
      <c r="T4250" s="68">
        <v>46041.7641898148</v>
      </c>
      <c r="U4250" s="68">
        <v>0</v>
      </c>
      <c r="V4250" s="68">
        <v>46081.1667361111</v>
      </c>
      <c r="W4250" s="0">
        <f>IF(IF(B4250="none",1,IF(B4250="Trialer",1,0))+IF(C4250="Customer",1,IF(C4250="Lost",1,0))=2,1,0)</f>
      </c>
      <c r="X4250" s="0" t="s">
        <v>148</v>
      </c>
      <c r="Y4250" s="0" t="s">
        <v>1516</v>
      </c>
      <c r="AV4250" s="68"/>
      <c r="AW4250" s="68"/>
      <c r="AY4250" s="27"/>
      <c r="BD4250" s="68">
        <v>46054.1666666667</v>
      </c>
      <c r="BE4250" s="68">
        <v>46082.1666666667</v>
      </c>
      <c r="BF4250" s="0" t="b">
        <v>0</v>
      </c>
      <c r="BG4250" s="0" t="b">
        <v>0</v>
      </c>
      <c r="BH4250" s="0">
        <v>44.25</v>
      </c>
      <c r="BI4250" s="0">
        <v>44.25</v>
      </c>
      <c r="BJ4250" s="0" t="s">
        <v>135</v>
      </c>
    </row>
    <row r="4251">
      <c r="A4251" s="0" t="s">
        <v>4512</v>
      </c>
      <c r="B4251" s="0" t="s">
        <v>652</v>
      </c>
      <c r="C4251" s="0" t="s">
        <v>134</v>
      </c>
      <c r="D4251" s="0" t="s">
        <v>135</v>
      </c>
      <c r="E4251" s="0" t="s">
        <v>3</v>
      </c>
      <c r="F4251" s="0" t="s">
        <v>12</v>
      </c>
      <c r="G4251" s="0" t="s">
        <v>8</v>
      </c>
      <c r="H4251" s="0">
        <v>12</v>
      </c>
      <c r="I4251" s="0">
        <v>170.25</v>
      </c>
      <c r="J4251" s="0">
        <v>0</v>
      </c>
      <c r="K4251" s="0">
        <v>1</v>
      </c>
      <c r="L4251" s="0">
        <v>3</v>
      </c>
      <c r="M4251" s="0">
        <v>5</v>
      </c>
      <c r="N4251" s="0">
        <v>0</v>
      </c>
      <c r="O4251" s="0">
        <v>0</v>
      </c>
      <c r="P4251" s="0">
        <v>0</v>
      </c>
      <c r="R4251" s="0" t="b">
        <v>0</v>
      </c>
      <c r="S4251" s="0" t="b">
        <v>1</v>
      </c>
      <c r="T4251" s="68">
        <v>46041.8734953704</v>
      </c>
      <c r="U4251" s="68">
        <v>46056.2916666667</v>
      </c>
      <c r="V4251" s="68">
        <v>0</v>
      </c>
      <c r="W4251" s="0">
        <f>IF(IF(B4251="none",1,IF(B4251="Trialer",1,0))+IF(C4251="Customer",1,IF(C4251="Lost",1,0))=2,1,0)</f>
      </c>
      <c r="X4251" s="0" t="s">
        <v>145</v>
      </c>
      <c r="Y4251" s="0" t="s">
        <v>243</v>
      </c>
      <c r="AV4251" s="68"/>
      <c r="AW4251" s="68"/>
      <c r="AY4251" s="27"/>
      <c r="BD4251" s="68">
        <v>46054.1666666667</v>
      </c>
      <c r="BE4251" s="68">
        <v>46082.1666666667</v>
      </c>
      <c r="BF4251" s="0" t="b">
        <v>0</v>
      </c>
      <c r="BG4251" s="0" t="b">
        <v>0</v>
      </c>
      <c r="BH4251" s="0">
        <v>247.5</v>
      </c>
      <c r="BI4251" s="0">
        <v>247.5</v>
      </c>
      <c r="BJ4251" s="0" t="s">
        <v>135</v>
      </c>
    </row>
    <row r="4252">
      <c r="A4252" s="0" t="s">
        <v>4513</v>
      </c>
      <c r="B4252" s="0" t="s">
        <v>652</v>
      </c>
      <c r="C4252" s="0" t="s">
        <v>652</v>
      </c>
      <c r="D4252" s="0" t="s">
        <v>135</v>
      </c>
      <c r="E4252" s="0" t="s">
        <v>2414</v>
      </c>
      <c r="F4252" s="0" t="s">
        <v>12</v>
      </c>
      <c r="G4252" s="0" t="s">
        <v>8</v>
      </c>
      <c r="H4252" s="0">
        <v>12</v>
      </c>
      <c r="I4252" s="0">
        <v>0</v>
      </c>
      <c r="J4252" s="0">
        <v>0</v>
      </c>
      <c r="K4252" s="0">
        <v>0</v>
      </c>
      <c r="L4252" s="0">
        <v>0</v>
      </c>
      <c r="M4252" s="0">
        <v>0</v>
      </c>
      <c r="N4252" s="0">
        <v>0</v>
      </c>
      <c r="O4252" s="0">
        <v>0</v>
      </c>
      <c r="P4252" s="0">
        <v>0</v>
      </c>
      <c r="R4252" s="0" t="b">
        <v>0</v>
      </c>
      <c r="S4252" s="0" t="b">
        <v>0</v>
      </c>
      <c r="T4252" s="68">
        <v>46041.9411574074</v>
      </c>
      <c r="U4252" s="68">
        <v>0</v>
      </c>
      <c r="V4252" s="68">
        <v>46081.1668287037</v>
      </c>
      <c r="W4252" s="0">
        <f>IF(IF(B4252="none",1,IF(B4252="Trialer",1,0))+IF(C4252="Customer",1,IF(C4252="Lost",1,0))=2,1,0)</f>
      </c>
      <c r="X4252" s="0" t="s">
        <v>136</v>
      </c>
      <c r="Y4252" s="0" t="s">
        <v>1516</v>
      </c>
      <c r="AV4252" s="68"/>
      <c r="AW4252" s="68"/>
      <c r="AY4252" s="27"/>
      <c r="BD4252" s="68">
        <v>46054.1666666667</v>
      </c>
      <c r="BE4252" s="68">
        <v>46082.1666666667</v>
      </c>
      <c r="BF4252" s="0" t="b">
        <v>0</v>
      </c>
      <c r="BG4252" s="0" t="b">
        <v>0</v>
      </c>
      <c r="BH4252" s="0">
        <v>63.75</v>
      </c>
      <c r="BI4252" s="0">
        <v>63.75</v>
      </c>
      <c r="BJ4252" s="0" t="s">
        <v>135</v>
      </c>
    </row>
    <row r="4253">
      <c r="A4253" s="0" t="s">
        <v>4514</v>
      </c>
      <c r="B4253" s="0" t="s">
        <v>652</v>
      </c>
      <c r="C4253" s="0" t="s">
        <v>652</v>
      </c>
      <c r="D4253" s="0" t="s">
        <v>135</v>
      </c>
      <c r="E4253" s="0" t="s">
        <v>1515</v>
      </c>
      <c r="F4253" s="0" t="s">
        <v>12</v>
      </c>
      <c r="G4253" s="0" t="s">
        <v>8</v>
      </c>
      <c r="H4253" s="0">
        <v>11</v>
      </c>
      <c r="I4253" s="0">
        <v>0</v>
      </c>
      <c r="J4253" s="0">
        <v>0</v>
      </c>
      <c r="K4253" s="0">
        <v>0</v>
      </c>
      <c r="L4253" s="0">
        <v>0</v>
      </c>
      <c r="M4253" s="0">
        <v>0</v>
      </c>
      <c r="N4253" s="0">
        <v>0</v>
      </c>
      <c r="O4253" s="0">
        <v>0</v>
      </c>
      <c r="P4253" s="0">
        <v>0</v>
      </c>
      <c r="R4253" s="0" t="b">
        <v>0</v>
      </c>
      <c r="S4253" s="0" t="b">
        <v>0</v>
      </c>
      <c r="T4253" s="68">
        <v>46041.9912962963</v>
      </c>
      <c r="U4253" s="68">
        <v>0</v>
      </c>
      <c r="V4253" s="68">
        <v>46081.1668055556</v>
      </c>
      <c r="W4253" s="0">
        <f>IF(IF(B4253="none",1,IF(B4253="Trialer",1,0))+IF(C4253="Customer",1,IF(C4253="Lost",1,0))=2,1,0)</f>
      </c>
      <c r="X4253" s="0" t="s">
        <v>148</v>
      </c>
      <c r="Y4253" s="0" t="s">
        <v>1516</v>
      </c>
      <c r="AV4253" s="68"/>
      <c r="AW4253" s="68"/>
      <c r="AY4253" s="27"/>
      <c r="BD4253" s="68">
        <v>46054.1666666667</v>
      </c>
      <c r="BE4253" s="68">
        <v>46082.1666666667</v>
      </c>
      <c r="BF4253" s="0" t="b">
        <v>0</v>
      </c>
      <c r="BG4253" s="0" t="b">
        <v>0</v>
      </c>
      <c r="BH4253" s="0">
        <v>44.25</v>
      </c>
      <c r="BI4253" s="0">
        <v>44.25</v>
      </c>
      <c r="BJ4253" s="0" t="s">
        <v>135</v>
      </c>
    </row>
    <row r="4254">
      <c r="A4254" s="0" t="s">
        <v>4515</v>
      </c>
      <c r="B4254" s="0" t="s">
        <v>652</v>
      </c>
      <c r="C4254" s="0" t="s">
        <v>652</v>
      </c>
      <c r="D4254" s="0" t="s">
        <v>135</v>
      </c>
      <c r="E4254" s="0" t="s">
        <v>3</v>
      </c>
      <c r="F4254" s="0" t="s">
        <v>12</v>
      </c>
      <c r="G4254" s="0" t="s">
        <v>8</v>
      </c>
      <c r="H4254" s="0">
        <v>11</v>
      </c>
      <c r="I4254" s="0">
        <v>0</v>
      </c>
      <c r="J4254" s="0">
        <v>0</v>
      </c>
      <c r="K4254" s="0">
        <v>0</v>
      </c>
      <c r="L4254" s="0">
        <v>0</v>
      </c>
      <c r="M4254" s="0">
        <v>0</v>
      </c>
      <c r="N4254" s="0">
        <v>0</v>
      </c>
      <c r="O4254" s="0">
        <v>0</v>
      </c>
      <c r="P4254" s="0">
        <v>0</v>
      </c>
      <c r="R4254" s="0" t="b">
        <v>0</v>
      </c>
      <c r="S4254" s="0" t="b">
        <v>0</v>
      </c>
      <c r="T4254" s="68">
        <v>46042.1022337963</v>
      </c>
      <c r="U4254" s="68">
        <v>0</v>
      </c>
      <c r="V4254" s="68">
        <v>46081.1668055556</v>
      </c>
      <c r="W4254" s="0">
        <f>IF(IF(B4254="none",1,IF(B4254="Trialer",1,0))+IF(C4254="Customer",1,IF(C4254="Lost",1,0))=2,1,0)</f>
      </c>
      <c r="X4254" s="0" t="s">
        <v>145</v>
      </c>
      <c r="Y4254" s="0" t="s">
        <v>243</v>
      </c>
      <c r="AV4254" s="68"/>
      <c r="AW4254" s="68"/>
      <c r="AY4254" s="27"/>
      <c r="BD4254" s="68">
        <v>46054.1666666667</v>
      </c>
      <c r="BE4254" s="68">
        <v>46082.1666666667</v>
      </c>
      <c r="BF4254" s="0" t="b">
        <v>0</v>
      </c>
      <c r="BG4254" s="0" t="b">
        <v>0</v>
      </c>
      <c r="BH4254" s="0">
        <v>44.25</v>
      </c>
      <c r="BI4254" s="0">
        <v>44.25</v>
      </c>
      <c r="BJ4254" s="0" t="s">
        <v>135</v>
      </c>
    </row>
    <row r="4255">
      <c r="A4255" s="0" t="s">
        <v>4516</v>
      </c>
      <c r="B4255" s="0" t="s">
        <v>652</v>
      </c>
      <c r="C4255" s="0" t="s">
        <v>652</v>
      </c>
      <c r="D4255" s="0" t="s">
        <v>135</v>
      </c>
      <c r="E4255" s="0" t="s">
        <v>2</v>
      </c>
      <c r="F4255" s="0" t="s">
        <v>12</v>
      </c>
      <c r="G4255" s="0" t="s">
        <v>8</v>
      </c>
      <c r="H4255" s="0">
        <v>11</v>
      </c>
      <c r="I4255" s="0">
        <v>0</v>
      </c>
      <c r="J4255" s="0">
        <v>0</v>
      </c>
      <c r="K4255" s="0">
        <v>0</v>
      </c>
      <c r="L4255" s="0">
        <v>0</v>
      </c>
      <c r="M4255" s="0">
        <v>0</v>
      </c>
      <c r="N4255" s="0">
        <v>0</v>
      </c>
      <c r="O4255" s="0">
        <v>0</v>
      </c>
      <c r="P4255" s="0">
        <v>0</v>
      </c>
      <c r="R4255" s="0" t="b">
        <v>0</v>
      </c>
      <c r="S4255" s="0" t="b">
        <v>0</v>
      </c>
      <c r="T4255" s="68">
        <v>46042.2561689815</v>
      </c>
      <c r="U4255" s="68">
        <v>0</v>
      </c>
      <c r="V4255" s="68">
        <v>46082.1669212963</v>
      </c>
      <c r="W4255" s="0">
        <f>IF(IF(B4255="none",1,IF(B4255="Trialer",1,0))+IF(C4255="Customer",1,IF(C4255="Lost",1,0))=2,1,0)</f>
      </c>
      <c r="X4255" s="0" t="s">
        <v>136</v>
      </c>
      <c r="Y4255" s="0" t="s">
        <v>499</v>
      </c>
      <c r="AV4255" s="68"/>
      <c r="AW4255" s="68"/>
      <c r="AY4255" s="27"/>
      <c r="BD4255" s="68">
        <v>46054.1666666667</v>
      </c>
      <c r="BE4255" s="68">
        <v>46082.1666666667</v>
      </c>
      <c r="BF4255" s="0" t="b">
        <v>0</v>
      </c>
      <c r="BG4255" s="0" t="b">
        <v>0</v>
      </c>
      <c r="BH4255" s="0">
        <v>53.25</v>
      </c>
      <c r="BI4255" s="0">
        <v>53.25</v>
      </c>
      <c r="BJ4255" s="0" t="s">
        <v>135</v>
      </c>
    </row>
    <row r="4256">
      <c r="A4256" s="0" t="s">
        <v>4517</v>
      </c>
      <c r="B4256" s="0" t="s">
        <v>652</v>
      </c>
      <c r="C4256" s="0" t="s">
        <v>652</v>
      </c>
      <c r="D4256" s="0" t="s">
        <v>135</v>
      </c>
      <c r="E4256" s="0" t="s">
        <v>3</v>
      </c>
      <c r="F4256" s="0" t="s">
        <v>12</v>
      </c>
      <c r="G4256" s="0" t="s">
        <v>8</v>
      </c>
      <c r="H4256" s="0">
        <v>11</v>
      </c>
      <c r="I4256" s="0">
        <v>0</v>
      </c>
      <c r="J4256" s="0">
        <v>0</v>
      </c>
      <c r="K4256" s="0">
        <v>0</v>
      </c>
      <c r="L4256" s="0">
        <v>0</v>
      </c>
      <c r="M4256" s="0">
        <v>0</v>
      </c>
      <c r="N4256" s="0">
        <v>0</v>
      </c>
      <c r="O4256" s="0">
        <v>0</v>
      </c>
      <c r="P4256" s="0">
        <v>0</v>
      </c>
      <c r="R4256" s="0" t="b">
        <v>0</v>
      </c>
      <c r="S4256" s="0" t="b">
        <v>0</v>
      </c>
      <c r="T4256" s="68">
        <v>46042.3127893519</v>
      </c>
      <c r="U4256" s="68">
        <v>0</v>
      </c>
      <c r="V4256" s="68">
        <v>46082.1669212963</v>
      </c>
      <c r="W4256" s="0">
        <f>IF(IF(B4256="none",1,IF(B4256="Trialer",1,0))+IF(C4256="Customer",1,IF(C4256="Lost",1,0))=2,1,0)</f>
      </c>
      <c r="X4256" s="0" t="s">
        <v>148</v>
      </c>
      <c r="Y4256" s="0" t="s">
        <v>243</v>
      </c>
      <c r="AV4256" s="68"/>
      <c r="AW4256" s="68"/>
      <c r="AY4256" s="27"/>
      <c r="BD4256" s="68">
        <v>46054.1666666667</v>
      </c>
      <c r="BE4256" s="68">
        <v>46082.1666666667</v>
      </c>
      <c r="BF4256" s="0" t="b">
        <v>0</v>
      </c>
      <c r="BG4256" s="0" t="b">
        <v>0</v>
      </c>
      <c r="BH4256" s="0">
        <v>53.25</v>
      </c>
      <c r="BI4256" s="0">
        <v>53.25</v>
      </c>
      <c r="BJ4256" s="0" t="s">
        <v>135</v>
      </c>
    </row>
    <row r="4257">
      <c r="A4257" s="0" t="s">
        <v>4518</v>
      </c>
      <c r="B4257" s="0" t="s">
        <v>652</v>
      </c>
      <c r="C4257" s="0" t="s">
        <v>652</v>
      </c>
      <c r="D4257" s="0" t="s">
        <v>135</v>
      </c>
      <c r="E4257" s="0" t="s">
        <v>3</v>
      </c>
      <c r="F4257" s="0" t="s">
        <v>12</v>
      </c>
      <c r="G4257" s="0" t="s">
        <v>8</v>
      </c>
      <c r="H4257" s="0">
        <v>11</v>
      </c>
      <c r="I4257" s="0">
        <v>0</v>
      </c>
      <c r="J4257" s="0">
        <v>0</v>
      </c>
      <c r="K4257" s="0">
        <v>0</v>
      </c>
      <c r="L4257" s="0">
        <v>0</v>
      </c>
      <c r="M4257" s="0">
        <v>0</v>
      </c>
      <c r="N4257" s="0">
        <v>0</v>
      </c>
      <c r="O4257" s="0">
        <v>0</v>
      </c>
      <c r="P4257" s="0">
        <v>0</v>
      </c>
      <c r="R4257" s="0" t="b">
        <v>0</v>
      </c>
      <c r="S4257" s="0" t="b">
        <v>0</v>
      </c>
      <c r="T4257" s="68">
        <v>46042.4029166667</v>
      </c>
      <c r="U4257" s="68">
        <v>0</v>
      </c>
      <c r="V4257" s="68">
        <v>46082.1667476852</v>
      </c>
      <c r="W4257" s="0">
        <f>IF(IF(B4257="none",1,IF(B4257="Trialer",1,0))+IF(C4257="Customer",1,IF(C4257="Lost",1,0))=2,1,0)</f>
      </c>
      <c r="X4257" s="0" t="s">
        <v>882</v>
      </c>
      <c r="Y4257" s="0" t="s">
        <v>243</v>
      </c>
      <c r="AV4257" s="68"/>
      <c r="AW4257" s="68"/>
      <c r="AY4257" s="27"/>
      <c r="BD4257" s="68">
        <v>46054.1666666667</v>
      </c>
      <c r="BE4257" s="68">
        <v>46082.1666666667</v>
      </c>
      <c r="BF4257" s="0" t="b">
        <v>0</v>
      </c>
      <c r="BG4257" s="0" t="b">
        <v>0</v>
      </c>
      <c r="BH4257" s="0">
        <v>54.75</v>
      </c>
      <c r="BI4257" s="0">
        <v>54.75</v>
      </c>
      <c r="BJ4257" s="0" t="s">
        <v>135</v>
      </c>
    </row>
    <row r="4258">
      <c r="A4258" s="0" t="s">
        <v>4519</v>
      </c>
      <c r="B4258" s="0" t="s">
        <v>652</v>
      </c>
      <c r="C4258" s="0" t="s">
        <v>652</v>
      </c>
      <c r="D4258" s="0" t="s">
        <v>135</v>
      </c>
      <c r="E4258" s="0" t="s">
        <v>3</v>
      </c>
      <c r="F4258" s="0" t="s">
        <v>12</v>
      </c>
      <c r="G4258" s="0" t="s">
        <v>8</v>
      </c>
      <c r="H4258" s="0">
        <v>11</v>
      </c>
      <c r="I4258" s="0">
        <v>0</v>
      </c>
      <c r="J4258" s="0">
        <v>0</v>
      </c>
      <c r="K4258" s="0">
        <v>0</v>
      </c>
      <c r="L4258" s="0">
        <v>0</v>
      </c>
      <c r="M4258" s="0">
        <v>0</v>
      </c>
      <c r="N4258" s="0">
        <v>0</v>
      </c>
      <c r="O4258" s="0">
        <v>0</v>
      </c>
      <c r="P4258" s="0">
        <v>0</v>
      </c>
      <c r="R4258" s="0" t="b">
        <v>0</v>
      </c>
      <c r="S4258" s="0" t="b">
        <v>0</v>
      </c>
      <c r="T4258" s="68">
        <v>46042.4044328704</v>
      </c>
      <c r="U4258" s="68">
        <v>0</v>
      </c>
      <c r="V4258" s="68">
        <v>46082.1667013889</v>
      </c>
      <c r="W4258" s="0">
        <f>IF(IF(B4258="none",1,IF(B4258="Trialer",1,0))+IF(C4258="Customer",1,IF(C4258="Lost",1,0))=2,1,0)</f>
      </c>
      <c r="X4258" s="0" t="s">
        <v>136</v>
      </c>
      <c r="Y4258" s="0" t="s">
        <v>243</v>
      </c>
      <c r="AV4258" s="68"/>
      <c r="AW4258" s="68"/>
      <c r="AY4258" s="27"/>
      <c r="BD4258" s="68">
        <v>46054.1666666667</v>
      </c>
      <c r="BE4258" s="68">
        <v>46082.1666666667</v>
      </c>
      <c r="BF4258" s="0" t="b">
        <v>0</v>
      </c>
      <c r="BG4258" s="0" t="b">
        <v>0</v>
      </c>
      <c r="BH4258" s="0">
        <v>44.25</v>
      </c>
      <c r="BI4258" s="0">
        <v>44.25</v>
      </c>
      <c r="BJ4258" s="0" t="s">
        <v>135</v>
      </c>
    </row>
    <row r="4259">
      <c r="A4259" s="0" t="s">
        <v>4520</v>
      </c>
      <c r="B4259" s="0" t="s">
        <v>652</v>
      </c>
      <c r="C4259" s="0" t="s">
        <v>652</v>
      </c>
      <c r="D4259" s="0" t="s">
        <v>135</v>
      </c>
      <c r="E4259" s="0" t="s">
        <v>2414</v>
      </c>
      <c r="F4259" s="0" t="s">
        <v>12</v>
      </c>
      <c r="G4259" s="0" t="s">
        <v>8</v>
      </c>
      <c r="H4259" s="0">
        <v>11</v>
      </c>
      <c r="I4259" s="0">
        <v>0</v>
      </c>
      <c r="J4259" s="0">
        <v>0</v>
      </c>
      <c r="K4259" s="0">
        <v>0</v>
      </c>
      <c r="L4259" s="0">
        <v>0</v>
      </c>
      <c r="M4259" s="0">
        <v>0</v>
      </c>
      <c r="N4259" s="0">
        <v>0</v>
      </c>
      <c r="O4259" s="0">
        <v>0</v>
      </c>
      <c r="P4259" s="0">
        <v>0</v>
      </c>
      <c r="R4259" s="0" t="b">
        <v>0</v>
      </c>
      <c r="S4259" s="0" t="b">
        <v>0</v>
      </c>
      <c r="T4259" s="68">
        <v>46042.4076157407</v>
      </c>
      <c r="U4259" s="68">
        <v>0</v>
      </c>
      <c r="V4259" s="68">
        <v>46082.1667592593</v>
      </c>
      <c r="W4259" s="0">
        <f>IF(IF(B4259="none",1,IF(B4259="Trialer",1,0))+IF(C4259="Customer",1,IF(C4259="Lost",1,0))=2,1,0)</f>
      </c>
      <c r="X4259" s="0" t="s">
        <v>148</v>
      </c>
      <c r="Y4259" s="0" t="s">
        <v>1516</v>
      </c>
      <c r="AV4259" s="68"/>
      <c r="AW4259" s="68"/>
      <c r="AY4259" s="27"/>
      <c r="BD4259" s="68">
        <v>46054.1666666667</v>
      </c>
      <c r="BE4259" s="68">
        <v>46082.1666666667</v>
      </c>
      <c r="BF4259" s="0" t="b">
        <v>0</v>
      </c>
      <c r="BG4259" s="0" t="b">
        <v>0</v>
      </c>
      <c r="BH4259" s="0">
        <v>44.25</v>
      </c>
      <c r="BI4259" s="0">
        <v>44.25</v>
      </c>
      <c r="BJ4259" s="0" t="s">
        <v>135</v>
      </c>
    </row>
    <row r="4260">
      <c r="A4260" s="0" t="s">
        <v>4521</v>
      </c>
      <c r="B4260" s="0" t="s">
        <v>652</v>
      </c>
      <c r="C4260" s="0" t="s">
        <v>652</v>
      </c>
      <c r="D4260" s="0" t="s">
        <v>135</v>
      </c>
      <c r="E4260" s="0" t="s">
        <v>3</v>
      </c>
      <c r="F4260" s="0" t="s">
        <v>12</v>
      </c>
      <c r="G4260" s="0" t="s">
        <v>8</v>
      </c>
      <c r="H4260" s="0">
        <v>11</v>
      </c>
      <c r="I4260" s="0">
        <v>0</v>
      </c>
      <c r="J4260" s="0">
        <v>0</v>
      </c>
      <c r="K4260" s="0">
        <v>0</v>
      </c>
      <c r="L4260" s="0">
        <v>0</v>
      </c>
      <c r="M4260" s="0">
        <v>0</v>
      </c>
      <c r="N4260" s="0">
        <v>0</v>
      </c>
      <c r="O4260" s="0">
        <v>0</v>
      </c>
      <c r="P4260" s="0">
        <v>0</v>
      </c>
      <c r="R4260" s="0" t="b">
        <v>0</v>
      </c>
      <c r="S4260" s="0" t="b">
        <v>0</v>
      </c>
      <c r="T4260" s="68">
        <v>46042.4164583333</v>
      </c>
      <c r="U4260" s="68">
        <v>0</v>
      </c>
      <c r="V4260" s="68">
        <v>46082.1668402778</v>
      </c>
      <c r="W4260" s="0">
        <f>IF(IF(B4260="none",1,IF(B4260="Trialer",1,0))+IF(C4260="Customer",1,IF(C4260="Lost",1,0))=2,1,0)</f>
      </c>
      <c r="X4260" s="0" t="s">
        <v>148</v>
      </c>
      <c r="Y4260" s="0" t="s">
        <v>243</v>
      </c>
      <c r="AV4260" s="68"/>
      <c r="AW4260" s="68"/>
      <c r="AY4260" s="27"/>
      <c r="BD4260" s="68">
        <v>46054.1666666667</v>
      </c>
      <c r="BE4260" s="68">
        <v>46082.1666666667</v>
      </c>
      <c r="BF4260" s="0" t="b">
        <v>0</v>
      </c>
      <c r="BG4260" s="0" t="b">
        <v>0</v>
      </c>
      <c r="BH4260" s="0">
        <v>44.25</v>
      </c>
      <c r="BI4260" s="0">
        <v>44.25</v>
      </c>
      <c r="BJ4260" s="0" t="s">
        <v>135</v>
      </c>
    </row>
    <row r="4261">
      <c r="A4261" s="0" t="s">
        <v>4522</v>
      </c>
      <c r="B4261" s="0" t="s">
        <v>652</v>
      </c>
      <c r="C4261" s="0" t="s">
        <v>652</v>
      </c>
      <c r="D4261" s="0" t="s">
        <v>135</v>
      </c>
      <c r="E4261" s="0" t="s">
        <v>3</v>
      </c>
      <c r="F4261" s="0" t="s">
        <v>12</v>
      </c>
      <c r="G4261" s="0" t="s">
        <v>8</v>
      </c>
      <c r="H4261" s="0">
        <v>11</v>
      </c>
      <c r="I4261" s="0">
        <v>0</v>
      </c>
      <c r="J4261" s="0">
        <v>0</v>
      </c>
      <c r="K4261" s="0">
        <v>0</v>
      </c>
      <c r="L4261" s="0">
        <v>0</v>
      </c>
      <c r="M4261" s="0">
        <v>0</v>
      </c>
      <c r="N4261" s="0">
        <v>0</v>
      </c>
      <c r="O4261" s="0">
        <v>0</v>
      </c>
      <c r="P4261" s="0">
        <v>0</v>
      </c>
      <c r="R4261" s="0" t="b">
        <v>0</v>
      </c>
      <c r="S4261" s="0" t="b">
        <v>0</v>
      </c>
      <c r="T4261" s="68">
        <v>46042.4389467593</v>
      </c>
      <c r="U4261" s="68">
        <v>0</v>
      </c>
      <c r="V4261" s="68">
        <v>46082.1668055556</v>
      </c>
      <c r="W4261" s="0">
        <f>IF(IF(B4261="none",1,IF(B4261="Trialer",1,0))+IF(C4261="Customer",1,IF(C4261="Lost",1,0))=2,1,0)</f>
      </c>
      <c r="X4261" s="0" t="s">
        <v>145</v>
      </c>
      <c r="Y4261" s="0" t="s">
        <v>243</v>
      </c>
      <c r="AV4261" s="68"/>
      <c r="AW4261" s="68"/>
      <c r="AY4261" s="27"/>
      <c r="BD4261" s="68">
        <v>46054.1666666667</v>
      </c>
      <c r="BE4261" s="68">
        <v>46082.1666666667</v>
      </c>
      <c r="BF4261" s="0" t="b">
        <v>0</v>
      </c>
      <c r="BG4261" s="0" t="b">
        <v>0</v>
      </c>
      <c r="BH4261" s="0">
        <v>44.25</v>
      </c>
      <c r="BI4261" s="0">
        <v>44.25</v>
      </c>
      <c r="BJ4261" s="0" t="s">
        <v>135</v>
      </c>
    </row>
    <row r="4262">
      <c r="A4262" s="0" t="s">
        <v>4523</v>
      </c>
      <c r="B4262" s="0" t="s">
        <v>652</v>
      </c>
      <c r="C4262" s="0" t="s">
        <v>652</v>
      </c>
      <c r="D4262" s="0" t="s">
        <v>135</v>
      </c>
      <c r="E4262" s="0" t="s">
        <v>4</v>
      </c>
      <c r="F4262" s="0" t="s">
        <v>12</v>
      </c>
      <c r="G4262" s="0" t="s">
        <v>8</v>
      </c>
      <c r="H4262" s="0">
        <v>11</v>
      </c>
      <c r="I4262" s="0">
        <v>0</v>
      </c>
      <c r="J4262" s="0">
        <v>0</v>
      </c>
      <c r="K4262" s="0">
        <v>0</v>
      </c>
      <c r="L4262" s="0">
        <v>0</v>
      </c>
      <c r="M4262" s="0">
        <v>0</v>
      </c>
      <c r="N4262" s="0">
        <v>0</v>
      </c>
      <c r="O4262" s="0">
        <v>0</v>
      </c>
      <c r="P4262" s="0">
        <v>0</v>
      </c>
      <c r="R4262" s="0" t="b">
        <v>0</v>
      </c>
      <c r="S4262" s="0" t="b">
        <v>0</v>
      </c>
      <c r="T4262" s="68">
        <v>46042.4546875</v>
      </c>
      <c r="U4262" s="68">
        <v>0</v>
      </c>
      <c r="V4262" s="68">
        <v>46082.1667939815</v>
      </c>
      <c r="W4262" s="0">
        <f>IF(IF(B4262="none",1,IF(B4262="Trialer",1,0))+IF(C4262="Customer",1,IF(C4262="Lost",1,0))=2,1,0)</f>
      </c>
      <c r="X4262" s="0" t="s">
        <v>148</v>
      </c>
      <c r="Y4262" s="0" t="s">
        <v>1772</v>
      </c>
      <c r="AV4262" s="68"/>
      <c r="AW4262" s="68"/>
      <c r="AY4262" s="27"/>
      <c r="BD4262" s="68">
        <v>46054.1666666667</v>
      </c>
      <c r="BE4262" s="68">
        <v>46082.1666666667</v>
      </c>
      <c r="BF4262" s="0" t="b">
        <v>0</v>
      </c>
      <c r="BG4262" s="0" t="b">
        <v>0</v>
      </c>
      <c r="BH4262" s="0">
        <v>53.25</v>
      </c>
      <c r="BI4262" s="0">
        <v>53.25</v>
      </c>
      <c r="BJ4262" s="0" t="s">
        <v>135</v>
      </c>
    </row>
    <row r="4263">
      <c r="A4263" s="0" t="s">
        <v>4524</v>
      </c>
      <c r="B4263" s="0" t="s">
        <v>652</v>
      </c>
      <c r="C4263" s="0" t="s">
        <v>652</v>
      </c>
      <c r="D4263" s="0" t="s">
        <v>135</v>
      </c>
      <c r="E4263" s="0" t="s">
        <v>4</v>
      </c>
      <c r="F4263" s="0" t="s">
        <v>12</v>
      </c>
      <c r="G4263" s="0" t="s">
        <v>8</v>
      </c>
      <c r="H4263" s="0">
        <v>11</v>
      </c>
      <c r="I4263" s="0">
        <v>0</v>
      </c>
      <c r="J4263" s="0">
        <v>0</v>
      </c>
      <c r="K4263" s="0">
        <v>0</v>
      </c>
      <c r="L4263" s="0">
        <v>0</v>
      </c>
      <c r="M4263" s="0">
        <v>0</v>
      </c>
      <c r="N4263" s="0">
        <v>0</v>
      </c>
      <c r="O4263" s="0">
        <v>0</v>
      </c>
      <c r="P4263" s="0">
        <v>0</v>
      </c>
      <c r="R4263" s="0" t="b">
        <v>0</v>
      </c>
      <c r="S4263" s="0" t="b">
        <v>0</v>
      </c>
      <c r="T4263" s="68">
        <v>46042.4570601852</v>
      </c>
      <c r="U4263" s="68">
        <v>0</v>
      </c>
      <c r="V4263" s="68">
        <v>46082.1668518518</v>
      </c>
      <c r="W4263" s="0">
        <f>IF(IF(B4263="none",1,IF(B4263="Trialer",1,0))+IF(C4263="Customer",1,IF(C4263="Lost",1,0))=2,1,0)</f>
      </c>
      <c r="X4263" s="0" t="s">
        <v>145</v>
      </c>
      <c r="Y4263" s="0" t="s">
        <v>1772</v>
      </c>
      <c r="AV4263" s="68"/>
      <c r="AW4263" s="68"/>
      <c r="AY4263" s="27"/>
      <c r="BD4263" s="68">
        <v>46054.1666666667</v>
      </c>
      <c r="BE4263" s="68">
        <v>46082.1666666667</v>
      </c>
      <c r="BF4263" s="0" t="b">
        <v>0</v>
      </c>
      <c r="BG4263" s="0" t="b">
        <v>0</v>
      </c>
      <c r="BH4263" s="0">
        <v>44.25</v>
      </c>
      <c r="BI4263" s="0">
        <v>44.25</v>
      </c>
      <c r="BJ4263" s="0" t="s">
        <v>135</v>
      </c>
    </row>
    <row r="4264">
      <c r="A4264" s="0" t="s">
        <v>4525</v>
      </c>
      <c r="B4264" s="0" t="s">
        <v>652</v>
      </c>
      <c r="C4264" s="0" t="s">
        <v>652</v>
      </c>
      <c r="D4264" s="0" t="s">
        <v>135</v>
      </c>
      <c r="E4264" s="0" t="s">
        <v>3</v>
      </c>
      <c r="F4264" s="0" t="s">
        <v>12</v>
      </c>
      <c r="G4264" s="0" t="s">
        <v>8</v>
      </c>
      <c r="H4264" s="0">
        <v>11</v>
      </c>
      <c r="I4264" s="0">
        <v>0</v>
      </c>
      <c r="J4264" s="0">
        <v>0</v>
      </c>
      <c r="K4264" s="0">
        <v>0</v>
      </c>
      <c r="L4264" s="0">
        <v>0</v>
      </c>
      <c r="M4264" s="0">
        <v>0</v>
      </c>
      <c r="N4264" s="0">
        <v>0</v>
      </c>
      <c r="O4264" s="0">
        <v>0</v>
      </c>
      <c r="P4264" s="0">
        <v>0</v>
      </c>
      <c r="R4264" s="0" t="b">
        <v>0</v>
      </c>
      <c r="S4264" s="0" t="b">
        <v>0</v>
      </c>
      <c r="T4264" s="68">
        <v>46042.5107060185</v>
      </c>
      <c r="U4264" s="68">
        <v>0</v>
      </c>
      <c r="V4264" s="68">
        <v>46082.1668402778</v>
      </c>
      <c r="W4264" s="0">
        <f>IF(IF(B4264="none",1,IF(B4264="Trialer",1,0))+IF(C4264="Customer",1,IF(C4264="Lost",1,0))=2,1,0)</f>
      </c>
      <c r="X4264" s="0" t="s">
        <v>136</v>
      </c>
      <c r="Y4264" s="0" t="s">
        <v>243</v>
      </c>
      <c r="AV4264" s="68"/>
      <c r="AW4264" s="68"/>
      <c r="AY4264" s="27"/>
      <c r="BD4264" s="68">
        <v>46054.1666666667</v>
      </c>
      <c r="BE4264" s="68">
        <v>46082.1666666667</v>
      </c>
      <c r="BF4264" s="0" t="b">
        <v>0</v>
      </c>
      <c r="BG4264" s="0" t="b">
        <v>0</v>
      </c>
      <c r="BH4264" s="0">
        <v>44.25</v>
      </c>
      <c r="BI4264" s="0">
        <v>44.25</v>
      </c>
      <c r="BJ4264" s="0" t="s">
        <v>135</v>
      </c>
    </row>
    <row r="4265">
      <c r="A4265" s="0" t="s">
        <v>4526</v>
      </c>
      <c r="B4265" s="0" t="s">
        <v>652</v>
      </c>
      <c r="C4265" s="0" t="s">
        <v>134</v>
      </c>
      <c r="D4265" s="0" t="s">
        <v>230</v>
      </c>
      <c r="E4265" s="0" t="s">
        <v>2</v>
      </c>
      <c r="F4265" s="0" t="s">
        <v>12</v>
      </c>
      <c r="G4265" s="0" t="s">
        <v>8</v>
      </c>
      <c r="H4265" s="0">
        <v>11</v>
      </c>
      <c r="I4265" s="0">
        <v>75.6</v>
      </c>
      <c r="J4265" s="0">
        <v>0</v>
      </c>
      <c r="K4265" s="0">
        <v>1</v>
      </c>
      <c r="L4265" s="0">
        <v>2</v>
      </c>
      <c r="M4265" s="0">
        <v>2</v>
      </c>
      <c r="N4265" s="0">
        <v>0</v>
      </c>
      <c r="O4265" s="0">
        <v>0</v>
      </c>
      <c r="P4265" s="0">
        <v>831.6</v>
      </c>
      <c r="R4265" s="0" t="b">
        <v>0</v>
      </c>
      <c r="S4265" s="0" t="b">
        <v>1</v>
      </c>
      <c r="T4265" s="68">
        <v>46042.5340509259</v>
      </c>
      <c r="U4265" s="68">
        <v>46056.2916666667</v>
      </c>
      <c r="V4265" s="68">
        <v>0</v>
      </c>
      <c r="W4265" s="0">
        <f>IF(IF(B4265="none",1,IF(B4265="Trialer",1,0))+IF(C4265="Customer",1,IF(C4265="Lost",1,0))=2,1,0)</f>
      </c>
      <c r="X4265" s="0" t="s">
        <v>1461</v>
      </c>
      <c r="Y4265" s="0" t="s">
        <v>499</v>
      </c>
      <c r="AV4265" s="68"/>
      <c r="AW4265" s="68"/>
      <c r="AY4265" s="27"/>
      <c r="BD4265" s="68">
        <v>46054.1666666667</v>
      </c>
      <c r="BE4265" s="68">
        <v>46082.1666666667</v>
      </c>
      <c r="BF4265" s="0" t="b">
        <v>0</v>
      </c>
      <c r="BG4265" s="0" t="b">
        <v>0</v>
      </c>
      <c r="BH4265" s="0">
        <v>49</v>
      </c>
      <c r="BI4265" s="0">
        <v>49</v>
      </c>
      <c r="BJ4265" s="0" t="s">
        <v>230</v>
      </c>
    </row>
    <row r="4266">
      <c r="A4266" s="0" t="s">
        <v>4527</v>
      </c>
      <c r="B4266" s="0" t="s">
        <v>652</v>
      </c>
      <c r="C4266" s="0" t="s">
        <v>134</v>
      </c>
      <c r="D4266" s="0" t="s">
        <v>135</v>
      </c>
      <c r="E4266" s="0" t="s">
        <v>3</v>
      </c>
      <c r="F4266" s="0" t="s">
        <v>12</v>
      </c>
      <c r="G4266" s="0" t="s">
        <v>8</v>
      </c>
      <c r="H4266" s="0">
        <v>11</v>
      </c>
      <c r="I4266" s="0">
        <v>309.75</v>
      </c>
      <c r="J4266" s="0">
        <v>0</v>
      </c>
      <c r="K4266" s="0">
        <v>1</v>
      </c>
      <c r="L4266" s="0">
        <v>3</v>
      </c>
      <c r="M4266" s="0">
        <v>7</v>
      </c>
      <c r="N4266" s="0">
        <v>697.5</v>
      </c>
      <c r="O4266" s="0">
        <v>0</v>
      </c>
      <c r="P4266" s="0">
        <v>0</v>
      </c>
      <c r="R4266" s="0" t="b">
        <v>0</v>
      </c>
      <c r="S4266" s="0" t="b">
        <v>1</v>
      </c>
      <c r="T4266" s="68">
        <v>46042.5430555556</v>
      </c>
      <c r="U4266" s="68">
        <v>46062.2916666667</v>
      </c>
      <c r="V4266" s="68">
        <v>0</v>
      </c>
      <c r="W4266" s="0">
        <f>IF(IF(B4266="none",1,IF(B4266="Trialer",1,0))+IF(C4266="Customer",1,IF(C4266="Lost",1,0))=2,1,0)</f>
      </c>
      <c r="X4266" s="0" t="s">
        <v>145</v>
      </c>
      <c r="Y4266" s="0" t="s">
        <v>243</v>
      </c>
      <c r="AV4266" s="68"/>
      <c r="AW4266" s="68"/>
      <c r="AY4266" s="27"/>
      <c r="BD4266" s="68">
        <v>46054.1666666667</v>
      </c>
      <c r="BE4266" s="68">
        <v>46082.1666666667</v>
      </c>
      <c r="BF4266" s="0" t="b">
        <v>0</v>
      </c>
      <c r="BG4266" s="0" t="b">
        <v>0</v>
      </c>
      <c r="BH4266" s="0">
        <v>309.75</v>
      </c>
      <c r="BI4266" s="0">
        <v>309.75</v>
      </c>
      <c r="BJ4266" s="0" t="s">
        <v>135</v>
      </c>
    </row>
    <row r="4267">
      <c r="A4267" s="0" t="s">
        <v>4528</v>
      </c>
      <c r="B4267" s="0" t="s">
        <v>652</v>
      </c>
      <c r="C4267" s="0" t="s">
        <v>134</v>
      </c>
      <c r="D4267" s="0" t="s">
        <v>135</v>
      </c>
      <c r="E4267" s="0" t="s">
        <v>3</v>
      </c>
      <c r="F4267" s="0" t="s">
        <v>12</v>
      </c>
      <c r="G4267" s="0" t="s">
        <v>8</v>
      </c>
      <c r="H4267" s="0">
        <v>11</v>
      </c>
      <c r="I4267" s="0">
        <v>133.5</v>
      </c>
      <c r="J4267" s="0">
        <v>0</v>
      </c>
      <c r="K4267" s="0">
        <v>1</v>
      </c>
      <c r="L4267" s="0">
        <v>3</v>
      </c>
      <c r="M4267" s="0">
        <v>4</v>
      </c>
      <c r="N4267" s="0">
        <v>0</v>
      </c>
      <c r="O4267" s="0">
        <v>0</v>
      </c>
      <c r="P4267" s="0">
        <v>0</v>
      </c>
      <c r="R4267" s="0" t="b">
        <v>0</v>
      </c>
      <c r="S4267" s="0" t="b">
        <v>1</v>
      </c>
      <c r="T4267" s="68">
        <v>46042.556712963</v>
      </c>
      <c r="U4267" s="68">
        <v>46056.2916666667</v>
      </c>
      <c r="V4267" s="68">
        <v>0</v>
      </c>
      <c r="W4267" s="0">
        <f>IF(IF(B4267="none",1,IF(B4267="Trialer",1,0))+IF(C4267="Customer",1,IF(C4267="Lost",1,0))=2,1,0)</f>
      </c>
      <c r="X4267" s="0" t="s">
        <v>148</v>
      </c>
      <c r="Y4267" s="0" t="s">
        <v>243</v>
      </c>
      <c r="AV4267" s="68"/>
      <c r="AW4267" s="68"/>
      <c r="AY4267" s="27"/>
      <c r="BD4267" s="68">
        <v>46054.1666666667</v>
      </c>
      <c r="BE4267" s="68">
        <v>46082.1666666667</v>
      </c>
      <c r="BF4267" s="0" t="b">
        <v>0</v>
      </c>
      <c r="BG4267" s="0" t="b">
        <v>0</v>
      </c>
      <c r="BH4267" s="0">
        <v>156</v>
      </c>
      <c r="BI4267" s="0">
        <v>156</v>
      </c>
      <c r="BJ4267" s="0" t="s">
        <v>135</v>
      </c>
    </row>
    <row r="4268">
      <c r="A4268" s="0" t="s">
        <v>4529</v>
      </c>
      <c r="B4268" s="0" t="s">
        <v>652</v>
      </c>
      <c r="C4268" s="0" t="s">
        <v>134</v>
      </c>
      <c r="D4268" s="0" t="s">
        <v>135</v>
      </c>
      <c r="E4268" s="0" t="s">
        <v>3</v>
      </c>
      <c r="F4268" s="0" t="s">
        <v>12</v>
      </c>
      <c r="G4268" s="0" t="s">
        <v>8</v>
      </c>
      <c r="H4268" s="0">
        <v>11</v>
      </c>
      <c r="I4268" s="0">
        <v>63.75</v>
      </c>
      <c r="J4268" s="0">
        <v>0</v>
      </c>
      <c r="K4268" s="0">
        <v>1</v>
      </c>
      <c r="L4268" s="0">
        <v>5</v>
      </c>
      <c r="M4268" s="0">
        <v>1</v>
      </c>
      <c r="N4268" s="0">
        <v>0</v>
      </c>
      <c r="O4268" s="0">
        <v>0</v>
      </c>
      <c r="P4268" s="0">
        <v>0</v>
      </c>
      <c r="R4268" s="0" t="b">
        <v>0</v>
      </c>
      <c r="S4268" s="0" t="b">
        <v>1</v>
      </c>
      <c r="T4268" s="68">
        <v>46042.5791666667</v>
      </c>
      <c r="U4268" s="68">
        <v>46056.2916666667</v>
      </c>
      <c r="V4268" s="68">
        <v>0</v>
      </c>
      <c r="W4268" s="0">
        <f>IF(IF(B4268="none",1,IF(B4268="Trialer",1,0))+IF(C4268="Customer",1,IF(C4268="Lost",1,0))=2,1,0)</f>
      </c>
      <c r="X4268" s="0" t="s">
        <v>1461</v>
      </c>
      <c r="Y4268" s="0" t="s">
        <v>243</v>
      </c>
      <c r="AV4268" s="68"/>
      <c r="AW4268" s="68"/>
      <c r="AY4268" s="27"/>
      <c r="BD4268" s="68">
        <v>46054.1666666667</v>
      </c>
      <c r="BE4268" s="68">
        <v>46082.1666666667</v>
      </c>
      <c r="BF4268" s="0" t="b">
        <v>1</v>
      </c>
      <c r="BG4268" s="0" t="b">
        <v>0</v>
      </c>
      <c r="BH4268" s="0">
        <v>63.75</v>
      </c>
      <c r="BI4268" s="0">
        <v>63.75</v>
      </c>
      <c r="BJ4268" s="0" t="s">
        <v>135</v>
      </c>
    </row>
    <row r="4269">
      <c r="A4269" s="0" t="s">
        <v>4530</v>
      </c>
      <c r="B4269" s="0" t="s">
        <v>652</v>
      </c>
      <c r="C4269" s="0" t="s">
        <v>652</v>
      </c>
      <c r="D4269" s="0" t="s">
        <v>135</v>
      </c>
      <c r="E4269" s="0" t="s">
        <v>3</v>
      </c>
      <c r="F4269" s="0" t="s">
        <v>10</v>
      </c>
      <c r="G4269" s="0" t="s">
        <v>8</v>
      </c>
      <c r="H4269" s="0">
        <v>11</v>
      </c>
      <c r="I4269" s="0">
        <v>0</v>
      </c>
      <c r="J4269" s="0">
        <v>0</v>
      </c>
      <c r="K4269" s="0">
        <v>0</v>
      </c>
      <c r="L4269" s="0">
        <v>0</v>
      </c>
      <c r="M4269" s="0">
        <v>0</v>
      </c>
      <c r="N4269" s="0">
        <v>0</v>
      </c>
      <c r="O4269" s="0">
        <v>0</v>
      </c>
      <c r="P4269" s="0">
        <v>0</v>
      </c>
      <c r="Q4269" s="0" t="s">
        <v>1881</v>
      </c>
      <c r="R4269" s="0" t="b">
        <v>0</v>
      </c>
      <c r="S4269" s="0" t="b">
        <v>0</v>
      </c>
      <c r="T4269" s="68">
        <v>46042.5889583333</v>
      </c>
      <c r="U4269" s="68">
        <v>0</v>
      </c>
      <c r="V4269" s="68">
        <v>46082.1669328704</v>
      </c>
      <c r="W4269" s="0">
        <f>IF(IF(B4269="none",1,IF(B4269="Trialer",1,0))+IF(C4269="Customer",1,IF(C4269="Lost",1,0))=2,1,0)</f>
      </c>
      <c r="X4269" s="0" t="s">
        <v>148</v>
      </c>
      <c r="Y4269" s="0" t="s">
        <v>243</v>
      </c>
      <c r="AV4269" s="68"/>
      <c r="AW4269" s="68"/>
      <c r="AY4269" s="27"/>
      <c r="BD4269" s="68">
        <v>46054.1666666667</v>
      </c>
      <c r="BE4269" s="68">
        <v>46082.1666666667</v>
      </c>
      <c r="BF4269" s="0" t="b">
        <v>0</v>
      </c>
      <c r="BG4269" s="0" t="b">
        <v>0</v>
      </c>
      <c r="BH4269" s="0">
        <v>127.5</v>
      </c>
      <c r="BI4269" s="0">
        <v>127.5</v>
      </c>
      <c r="BJ4269" s="0" t="s">
        <v>135</v>
      </c>
    </row>
    <row r="4270">
      <c r="A4270" s="0" t="s">
        <v>4531</v>
      </c>
      <c r="B4270" s="0" t="s">
        <v>652</v>
      </c>
      <c r="C4270" s="0" t="s">
        <v>652</v>
      </c>
      <c r="D4270" s="0" t="s">
        <v>135</v>
      </c>
      <c r="E4270" s="0" t="s">
        <v>1515</v>
      </c>
      <c r="F4270" s="0" t="s">
        <v>12</v>
      </c>
      <c r="G4270" s="0" t="s">
        <v>8</v>
      </c>
      <c r="H4270" s="0">
        <v>11</v>
      </c>
      <c r="I4270" s="0">
        <v>0</v>
      </c>
      <c r="J4270" s="0">
        <v>0</v>
      </c>
      <c r="K4270" s="0">
        <v>0</v>
      </c>
      <c r="L4270" s="0">
        <v>0</v>
      </c>
      <c r="M4270" s="0">
        <v>0</v>
      </c>
      <c r="N4270" s="0">
        <v>0</v>
      </c>
      <c r="O4270" s="0">
        <v>0</v>
      </c>
      <c r="P4270" s="0">
        <v>0</v>
      </c>
      <c r="R4270" s="0" t="b">
        <v>0</v>
      </c>
      <c r="S4270" s="0" t="b">
        <v>0</v>
      </c>
      <c r="T4270" s="68">
        <v>46042.6146759259</v>
      </c>
      <c r="U4270" s="68">
        <v>0</v>
      </c>
      <c r="V4270" s="68">
        <v>46082.166875</v>
      </c>
      <c r="W4270" s="0">
        <f>IF(IF(B4270="none",1,IF(B4270="Trialer",1,0))+IF(C4270="Customer",1,IF(C4270="Lost",1,0))=2,1,0)</f>
      </c>
      <c r="X4270" s="0" t="s">
        <v>145</v>
      </c>
      <c r="Y4270" s="0" t="s">
        <v>1516</v>
      </c>
      <c r="AV4270" s="68"/>
      <c r="AW4270" s="68"/>
      <c r="AY4270" s="27"/>
      <c r="BD4270" s="68">
        <v>46054.1666666667</v>
      </c>
      <c r="BE4270" s="68">
        <v>46082.1666666667</v>
      </c>
      <c r="BF4270" s="0" t="b">
        <v>0</v>
      </c>
      <c r="BG4270" s="0" t="b">
        <v>0</v>
      </c>
      <c r="BH4270" s="0">
        <v>44.25</v>
      </c>
      <c r="BI4270" s="0">
        <v>44.25</v>
      </c>
      <c r="BJ4270" s="0" t="s">
        <v>135</v>
      </c>
    </row>
    <row r="4271">
      <c r="A4271" s="0" t="s">
        <v>4532</v>
      </c>
      <c r="B4271" s="0" t="s">
        <v>652</v>
      </c>
      <c r="C4271" s="0" t="s">
        <v>652</v>
      </c>
      <c r="D4271" s="0" t="s">
        <v>135</v>
      </c>
      <c r="E4271" s="0" t="s">
        <v>3</v>
      </c>
      <c r="F4271" s="0" t="s">
        <v>12</v>
      </c>
      <c r="G4271" s="0" t="s">
        <v>8</v>
      </c>
      <c r="H4271" s="0">
        <v>11</v>
      </c>
      <c r="I4271" s="0">
        <v>0</v>
      </c>
      <c r="J4271" s="0">
        <v>0</v>
      </c>
      <c r="K4271" s="0">
        <v>0</v>
      </c>
      <c r="L4271" s="0">
        <v>0</v>
      </c>
      <c r="M4271" s="0">
        <v>0</v>
      </c>
      <c r="N4271" s="0">
        <v>0</v>
      </c>
      <c r="O4271" s="0">
        <v>0</v>
      </c>
      <c r="P4271" s="0">
        <v>0</v>
      </c>
      <c r="R4271" s="0" t="b">
        <v>0</v>
      </c>
      <c r="S4271" s="0" t="b">
        <v>0</v>
      </c>
      <c r="T4271" s="68">
        <v>46042.628912037</v>
      </c>
      <c r="U4271" s="68">
        <v>0</v>
      </c>
      <c r="V4271" s="68">
        <v>46082.1668171296</v>
      </c>
      <c r="W4271" s="0">
        <f>IF(IF(B4271="none",1,IF(B4271="Trialer",1,0))+IF(C4271="Customer",1,IF(C4271="Lost",1,0))=2,1,0)</f>
      </c>
      <c r="X4271" s="0" t="s">
        <v>136</v>
      </c>
      <c r="Y4271" s="0" t="s">
        <v>243</v>
      </c>
      <c r="AV4271" s="68"/>
      <c r="AW4271" s="68"/>
      <c r="AY4271" s="27"/>
      <c r="BD4271" s="68">
        <v>46054.1666666667</v>
      </c>
      <c r="BE4271" s="68">
        <v>46082.1666666667</v>
      </c>
      <c r="BF4271" s="0" t="b">
        <v>0</v>
      </c>
      <c r="BG4271" s="0" t="b">
        <v>0</v>
      </c>
      <c r="BH4271" s="0">
        <v>44.25</v>
      </c>
      <c r="BI4271" s="0">
        <v>44.25</v>
      </c>
      <c r="BJ4271" s="0" t="s">
        <v>135</v>
      </c>
    </row>
    <row r="4272">
      <c r="A4272" s="0" t="s">
        <v>4533</v>
      </c>
      <c r="B4272" s="0" t="s">
        <v>652</v>
      </c>
      <c r="C4272" s="0" t="s">
        <v>652</v>
      </c>
      <c r="D4272" s="0" t="s">
        <v>135</v>
      </c>
      <c r="E4272" s="0" t="s">
        <v>2414</v>
      </c>
      <c r="F4272" s="0" t="s">
        <v>12</v>
      </c>
      <c r="G4272" s="0" t="s">
        <v>8</v>
      </c>
      <c r="H4272" s="0">
        <v>11</v>
      </c>
      <c r="I4272" s="0">
        <v>0</v>
      </c>
      <c r="J4272" s="0">
        <v>0</v>
      </c>
      <c r="K4272" s="0">
        <v>0</v>
      </c>
      <c r="L4272" s="0">
        <v>0</v>
      </c>
      <c r="M4272" s="0">
        <v>0</v>
      </c>
      <c r="N4272" s="0">
        <v>0</v>
      </c>
      <c r="O4272" s="0">
        <v>0</v>
      </c>
      <c r="P4272" s="0">
        <v>0</v>
      </c>
      <c r="R4272" s="0" t="b">
        <v>0</v>
      </c>
      <c r="S4272" s="0" t="b">
        <v>0</v>
      </c>
      <c r="T4272" s="68">
        <v>46042.7190625</v>
      </c>
      <c r="U4272" s="68">
        <v>0</v>
      </c>
      <c r="V4272" s="68">
        <v>46082.1668287037</v>
      </c>
      <c r="W4272" s="0">
        <f>IF(IF(B4272="none",1,IF(B4272="Trialer",1,0))+IF(C4272="Customer",1,IF(C4272="Lost",1,0))=2,1,0)</f>
      </c>
      <c r="X4272" s="0" t="s">
        <v>136</v>
      </c>
      <c r="Y4272" s="0" t="s">
        <v>1516</v>
      </c>
      <c r="AV4272" s="68"/>
      <c r="AW4272" s="68"/>
      <c r="AY4272" s="27"/>
      <c r="BD4272" s="68">
        <v>46054.1666666667</v>
      </c>
      <c r="BE4272" s="68">
        <v>46082.1666666667</v>
      </c>
      <c r="BF4272" s="0" t="b">
        <v>0</v>
      </c>
      <c r="BG4272" s="0" t="b">
        <v>0</v>
      </c>
      <c r="BH4272" s="0">
        <v>44.25</v>
      </c>
      <c r="BI4272" s="0">
        <v>44.25</v>
      </c>
      <c r="BJ4272" s="0" t="s">
        <v>135</v>
      </c>
    </row>
    <row r="4273">
      <c r="A4273" s="0" t="s">
        <v>4534</v>
      </c>
      <c r="B4273" s="0" t="s">
        <v>652</v>
      </c>
      <c r="C4273" s="0" t="s">
        <v>652</v>
      </c>
      <c r="D4273" s="0" t="s">
        <v>135</v>
      </c>
      <c r="E4273" s="0" t="s">
        <v>3</v>
      </c>
      <c r="F4273" s="0" t="s">
        <v>12</v>
      </c>
      <c r="G4273" s="0" t="s">
        <v>8</v>
      </c>
      <c r="H4273" s="0">
        <v>11</v>
      </c>
      <c r="I4273" s="0">
        <v>0</v>
      </c>
      <c r="J4273" s="0">
        <v>0</v>
      </c>
      <c r="K4273" s="0">
        <v>0</v>
      </c>
      <c r="L4273" s="0">
        <v>0</v>
      </c>
      <c r="M4273" s="0">
        <v>0</v>
      </c>
      <c r="N4273" s="0">
        <v>0</v>
      </c>
      <c r="O4273" s="0">
        <v>0</v>
      </c>
      <c r="P4273" s="0">
        <v>0</v>
      </c>
      <c r="R4273" s="0" t="b">
        <v>0</v>
      </c>
      <c r="S4273" s="0" t="b">
        <v>0</v>
      </c>
      <c r="T4273" s="68">
        <v>46042.822962963</v>
      </c>
      <c r="U4273" s="68">
        <v>0</v>
      </c>
      <c r="V4273" s="68">
        <v>46082.1668287037</v>
      </c>
      <c r="W4273" s="0">
        <f>IF(IF(B4273="none",1,IF(B4273="Trialer",1,0))+IF(C4273="Customer",1,IF(C4273="Lost",1,0))=2,1,0)</f>
      </c>
      <c r="X4273" s="0" t="s">
        <v>136</v>
      </c>
      <c r="Y4273" s="0" t="s">
        <v>243</v>
      </c>
      <c r="AV4273" s="68"/>
      <c r="AW4273" s="68"/>
      <c r="AY4273" s="27"/>
      <c r="BD4273" s="68">
        <v>46054.1666666667</v>
      </c>
      <c r="BE4273" s="68">
        <v>46082.1666666667</v>
      </c>
      <c r="BF4273" s="0" t="b">
        <v>0</v>
      </c>
      <c r="BG4273" s="0" t="b">
        <v>0</v>
      </c>
      <c r="BH4273" s="0">
        <v>44.25</v>
      </c>
      <c r="BI4273" s="0">
        <v>44.25</v>
      </c>
      <c r="BJ4273" s="0" t="s">
        <v>135</v>
      </c>
    </row>
    <row r="4274">
      <c r="A4274" s="0" t="s">
        <v>4535</v>
      </c>
      <c r="B4274" s="0" t="s">
        <v>652</v>
      </c>
      <c r="C4274" s="0" t="s">
        <v>652</v>
      </c>
      <c r="D4274" s="0" t="s">
        <v>135</v>
      </c>
      <c r="E4274" s="0" t="s">
        <v>3</v>
      </c>
      <c r="F4274" s="0" t="s">
        <v>12</v>
      </c>
      <c r="G4274" s="0" t="s">
        <v>8</v>
      </c>
      <c r="H4274" s="0">
        <v>11</v>
      </c>
      <c r="I4274" s="0">
        <v>0</v>
      </c>
      <c r="J4274" s="0">
        <v>0</v>
      </c>
      <c r="K4274" s="0">
        <v>0</v>
      </c>
      <c r="L4274" s="0">
        <v>0</v>
      </c>
      <c r="M4274" s="0">
        <v>0</v>
      </c>
      <c r="N4274" s="0">
        <v>0</v>
      </c>
      <c r="O4274" s="0">
        <v>0</v>
      </c>
      <c r="P4274" s="0">
        <v>0</v>
      </c>
      <c r="R4274" s="0" t="b">
        <v>0</v>
      </c>
      <c r="S4274" s="0" t="b">
        <v>0</v>
      </c>
      <c r="T4274" s="68">
        <v>46042.8778472222</v>
      </c>
      <c r="U4274" s="68">
        <v>0</v>
      </c>
      <c r="V4274" s="68">
        <v>46082.1668171296</v>
      </c>
      <c r="W4274" s="0">
        <f>IF(IF(B4274="none",1,IF(B4274="Trialer",1,0))+IF(C4274="Customer",1,IF(C4274="Lost",1,0))=2,1,0)</f>
      </c>
      <c r="X4274" s="0" t="s">
        <v>145</v>
      </c>
      <c r="Y4274" s="0" t="s">
        <v>243</v>
      </c>
      <c r="AV4274" s="68"/>
      <c r="AW4274" s="68"/>
      <c r="AY4274" s="27"/>
      <c r="BD4274" s="68">
        <v>46054.1666666667</v>
      </c>
      <c r="BE4274" s="68">
        <v>46082.1666666667</v>
      </c>
      <c r="BF4274" s="0" t="b">
        <v>0</v>
      </c>
      <c r="BG4274" s="0" t="b">
        <v>0</v>
      </c>
      <c r="BH4274" s="0">
        <v>44.25</v>
      </c>
      <c r="BI4274" s="0">
        <v>44.25</v>
      </c>
      <c r="BJ4274" s="0" t="s">
        <v>135</v>
      </c>
    </row>
    <row r="4275">
      <c r="A4275" s="0" t="s">
        <v>4536</v>
      </c>
      <c r="B4275" s="0" t="s">
        <v>652</v>
      </c>
      <c r="C4275" s="0" t="s">
        <v>652</v>
      </c>
      <c r="D4275" s="0" t="s">
        <v>135</v>
      </c>
      <c r="E4275" s="0" t="s">
        <v>3</v>
      </c>
      <c r="F4275" s="0" t="s">
        <v>12</v>
      </c>
      <c r="G4275" s="0" t="s">
        <v>8</v>
      </c>
      <c r="H4275" s="0">
        <v>11</v>
      </c>
      <c r="I4275" s="0">
        <v>0</v>
      </c>
      <c r="J4275" s="0">
        <v>0</v>
      </c>
      <c r="K4275" s="0">
        <v>0</v>
      </c>
      <c r="L4275" s="0">
        <v>0</v>
      </c>
      <c r="M4275" s="0">
        <v>0</v>
      </c>
      <c r="N4275" s="0">
        <v>0</v>
      </c>
      <c r="O4275" s="0">
        <v>0</v>
      </c>
      <c r="P4275" s="0">
        <v>0</v>
      </c>
      <c r="R4275" s="0" t="b">
        <v>0</v>
      </c>
      <c r="S4275" s="0" t="b">
        <v>0</v>
      </c>
      <c r="T4275" s="68">
        <v>46042.9090740741</v>
      </c>
      <c r="U4275" s="68">
        <v>0</v>
      </c>
      <c r="V4275" s="68">
        <v>46082.1668865741</v>
      </c>
      <c r="W4275" s="0">
        <f>IF(IF(B4275="none",1,IF(B4275="Trialer",1,0))+IF(C4275="Customer",1,IF(C4275="Lost",1,0))=2,1,0)</f>
      </c>
      <c r="X4275" s="0" t="s">
        <v>136</v>
      </c>
      <c r="Y4275" s="0" t="s">
        <v>243</v>
      </c>
      <c r="AV4275" s="68"/>
      <c r="AW4275" s="68"/>
      <c r="AY4275" s="27"/>
      <c r="BD4275" s="68">
        <v>46054.1666666667</v>
      </c>
      <c r="BE4275" s="68">
        <v>46082.1666666667</v>
      </c>
      <c r="BF4275" s="0" t="b">
        <v>0</v>
      </c>
      <c r="BG4275" s="0" t="b">
        <v>0</v>
      </c>
      <c r="BH4275" s="0">
        <v>230.25</v>
      </c>
      <c r="BI4275" s="0">
        <v>230.25</v>
      </c>
      <c r="BJ4275" s="0" t="s">
        <v>135</v>
      </c>
    </row>
    <row r="4276">
      <c r="A4276" s="0" t="s">
        <v>4537</v>
      </c>
      <c r="B4276" s="0" t="s">
        <v>652</v>
      </c>
      <c r="C4276" s="0" t="s">
        <v>652</v>
      </c>
      <c r="D4276" s="0" t="s">
        <v>135</v>
      </c>
      <c r="E4276" s="0" t="s">
        <v>3</v>
      </c>
      <c r="F4276" s="0" t="s">
        <v>12</v>
      </c>
      <c r="G4276" s="0" t="s">
        <v>8</v>
      </c>
      <c r="H4276" s="0">
        <v>11</v>
      </c>
      <c r="I4276" s="0">
        <v>0</v>
      </c>
      <c r="J4276" s="0">
        <v>0</v>
      </c>
      <c r="K4276" s="0">
        <v>0</v>
      </c>
      <c r="L4276" s="0">
        <v>0</v>
      </c>
      <c r="M4276" s="0">
        <v>0</v>
      </c>
      <c r="N4276" s="0">
        <v>0</v>
      </c>
      <c r="O4276" s="0">
        <v>0</v>
      </c>
      <c r="P4276" s="0">
        <v>0</v>
      </c>
      <c r="R4276" s="0" t="b">
        <v>0</v>
      </c>
      <c r="S4276" s="0" t="b">
        <v>0</v>
      </c>
      <c r="T4276" s="68">
        <v>46042.9236921296</v>
      </c>
      <c r="U4276" s="68">
        <v>0</v>
      </c>
      <c r="V4276" s="68">
        <v>46082.1667939815</v>
      </c>
      <c r="W4276" s="0">
        <f>IF(IF(B4276="none",1,IF(B4276="Trialer",1,0))+IF(C4276="Customer",1,IF(C4276="Lost",1,0))=2,1,0)</f>
      </c>
      <c r="X4276" s="0" t="s">
        <v>136</v>
      </c>
      <c r="Y4276" s="0" t="s">
        <v>243</v>
      </c>
      <c r="AV4276" s="68"/>
      <c r="AW4276" s="68"/>
      <c r="AY4276" s="27"/>
      <c r="BD4276" s="68">
        <v>46054.1666666667</v>
      </c>
      <c r="BE4276" s="68">
        <v>46082.1666666667</v>
      </c>
      <c r="BF4276" s="0" t="b">
        <v>0</v>
      </c>
      <c r="BG4276" s="0" t="b">
        <v>0</v>
      </c>
      <c r="BH4276" s="0">
        <v>54.75</v>
      </c>
      <c r="BI4276" s="0">
        <v>54.75</v>
      </c>
      <c r="BJ4276" s="0" t="s">
        <v>135</v>
      </c>
    </row>
    <row r="4277">
      <c r="A4277" s="0" t="s">
        <v>4538</v>
      </c>
      <c r="B4277" s="0" t="s">
        <v>652</v>
      </c>
      <c r="C4277" s="0" t="s">
        <v>652</v>
      </c>
      <c r="D4277" s="0" t="s">
        <v>135</v>
      </c>
      <c r="E4277" s="0" t="s">
        <v>2</v>
      </c>
      <c r="F4277" s="0" t="s">
        <v>12</v>
      </c>
      <c r="G4277" s="0" t="s">
        <v>8</v>
      </c>
      <c r="H4277" s="0">
        <v>10</v>
      </c>
      <c r="I4277" s="0">
        <v>0</v>
      </c>
      <c r="J4277" s="0">
        <v>0</v>
      </c>
      <c r="K4277" s="0">
        <v>0</v>
      </c>
      <c r="L4277" s="0">
        <v>0</v>
      </c>
      <c r="M4277" s="0">
        <v>0</v>
      </c>
      <c r="N4277" s="0">
        <v>0</v>
      </c>
      <c r="O4277" s="0">
        <v>0</v>
      </c>
      <c r="P4277" s="0">
        <v>0</v>
      </c>
      <c r="R4277" s="0" t="b">
        <v>0</v>
      </c>
      <c r="S4277" s="0" t="b">
        <v>0</v>
      </c>
      <c r="T4277" s="68">
        <v>46042.9670138889</v>
      </c>
      <c r="U4277" s="68">
        <v>0</v>
      </c>
      <c r="V4277" s="68">
        <v>46082.1669097222</v>
      </c>
      <c r="W4277" s="0">
        <f>IF(IF(B4277="none",1,IF(B4277="Trialer",1,0))+IF(C4277="Customer",1,IF(C4277="Lost",1,0))=2,1,0)</f>
      </c>
      <c r="X4277" s="0" t="s">
        <v>148</v>
      </c>
      <c r="Y4277" s="0" t="s">
        <v>1587</v>
      </c>
      <c r="AV4277" s="68"/>
      <c r="AW4277" s="68"/>
      <c r="AY4277" s="27"/>
      <c r="BD4277" s="68">
        <v>46054.1666666667</v>
      </c>
      <c r="BE4277" s="68">
        <v>46082.1666666667</v>
      </c>
      <c r="BF4277" s="0" t="b">
        <v>0</v>
      </c>
      <c r="BG4277" s="0" t="b">
        <v>0</v>
      </c>
      <c r="BH4277" s="0">
        <v>53.25</v>
      </c>
      <c r="BI4277" s="0">
        <v>53.25</v>
      </c>
      <c r="BJ4277" s="0" t="s">
        <v>135</v>
      </c>
    </row>
    <row r="4278">
      <c r="A4278" s="0" t="s">
        <v>4539</v>
      </c>
      <c r="B4278" s="0" t="s">
        <v>652</v>
      </c>
      <c r="C4278" s="0" t="s">
        <v>652</v>
      </c>
      <c r="D4278" s="0" t="s">
        <v>135</v>
      </c>
      <c r="E4278" s="0" t="s">
        <v>3</v>
      </c>
      <c r="F4278" s="0" t="s">
        <v>12</v>
      </c>
      <c r="G4278" s="0" t="s">
        <v>8</v>
      </c>
      <c r="H4278" s="0">
        <v>10</v>
      </c>
      <c r="I4278" s="0">
        <v>0</v>
      </c>
      <c r="J4278" s="0">
        <v>0</v>
      </c>
      <c r="K4278" s="0">
        <v>0</v>
      </c>
      <c r="L4278" s="0">
        <v>0</v>
      </c>
      <c r="M4278" s="0">
        <v>0</v>
      </c>
      <c r="N4278" s="0">
        <v>0</v>
      </c>
      <c r="O4278" s="0">
        <v>0</v>
      </c>
      <c r="P4278" s="0">
        <v>0</v>
      </c>
      <c r="R4278" s="0" t="b">
        <v>0</v>
      </c>
      <c r="S4278" s="0" t="b">
        <v>0</v>
      </c>
      <c r="T4278" s="68">
        <v>46042.9702546296</v>
      </c>
      <c r="U4278" s="68">
        <v>0</v>
      </c>
      <c r="V4278" s="68">
        <v>46063.680462963</v>
      </c>
      <c r="W4278" s="0">
        <f>IF(IF(B4278="none",1,IF(B4278="Trialer",1,0))+IF(C4278="Customer",1,IF(C4278="Lost",1,0))=2,1,0)</f>
      </c>
      <c r="X4278" s="0" t="s">
        <v>145</v>
      </c>
      <c r="Y4278" s="0" t="s">
        <v>243</v>
      </c>
      <c r="AV4278" s="68"/>
      <c r="AW4278" s="68"/>
      <c r="AY4278" s="27"/>
      <c r="BD4278" s="68">
        <v>46054.1666666667</v>
      </c>
      <c r="BE4278" s="68">
        <v>46082.1666666667</v>
      </c>
      <c r="BF4278" s="0" t="b">
        <v>0</v>
      </c>
      <c r="BG4278" s="0" t="b">
        <v>0</v>
      </c>
      <c r="BH4278" s="0">
        <v>44.25</v>
      </c>
      <c r="BI4278" s="0">
        <v>44.25</v>
      </c>
      <c r="BJ4278" s="0" t="s">
        <v>135</v>
      </c>
    </row>
    <row r="4279">
      <c r="A4279" s="0" t="s">
        <v>4540</v>
      </c>
      <c r="B4279" s="0" t="s">
        <v>652</v>
      </c>
      <c r="C4279" s="0" t="s">
        <v>652</v>
      </c>
      <c r="D4279" s="0" t="s">
        <v>135</v>
      </c>
      <c r="E4279" s="0" t="s">
        <v>3</v>
      </c>
      <c r="F4279" s="0" t="s">
        <v>12</v>
      </c>
      <c r="G4279" s="0" t="s">
        <v>8</v>
      </c>
      <c r="H4279" s="0">
        <v>10</v>
      </c>
      <c r="I4279" s="0">
        <v>0</v>
      </c>
      <c r="J4279" s="0">
        <v>0</v>
      </c>
      <c r="K4279" s="0">
        <v>0</v>
      </c>
      <c r="L4279" s="0">
        <v>0</v>
      </c>
      <c r="M4279" s="0">
        <v>0</v>
      </c>
      <c r="N4279" s="0">
        <v>0</v>
      </c>
      <c r="O4279" s="0">
        <v>0</v>
      </c>
      <c r="P4279" s="0">
        <v>0</v>
      </c>
      <c r="R4279" s="0" t="b">
        <v>0</v>
      </c>
      <c r="S4279" s="0" t="b">
        <v>0</v>
      </c>
      <c r="T4279" s="68">
        <v>46042.9828009259</v>
      </c>
      <c r="U4279" s="68">
        <v>0</v>
      </c>
      <c r="V4279" s="68">
        <v>46082.1667708333</v>
      </c>
      <c r="W4279" s="0">
        <f>IF(IF(B4279="none",1,IF(B4279="Trialer",1,0))+IF(C4279="Customer",1,IF(C4279="Lost",1,0))=2,1,0)</f>
      </c>
      <c r="X4279" s="0" t="s">
        <v>145</v>
      </c>
      <c r="Y4279" s="0" t="s">
        <v>243</v>
      </c>
      <c r="AV4279" s="68"/>
      <c r="AW4279" s="68"/>
      <c r="AY4279" s="27"/>
      <c r="BD4279" s="68">
        <v>46054.1666666667</v>
      </c>
      <c r="BE4279" s="68">
        <v>46082.1666666667</v>
      </c>
      <c r="BF4279" s="0" t="b">
        <v>0</v>
      </c>
      <c r="BG4279" s="0" t="b">
        <v>0</v>
      </c>
      <c r="BH4279" s="0">
        <v>44.25</v>
      </c>
      <c r="BI4279" s="0">
        <v>44.25</v>
      </c>
      <c r="BJ4279" s="0" t="s">
        <v>135</v>
      </c>
    </row>
    <row r="4280">
      <c r="A4280" s="0" t="s">
        <v>4541</v>
      </c>
      <c r="B4280" s="0" t="s">
        <v>652</v>
      </c>
      <c r="C4280" s="0" t="s">
        <v>652</v>
      </c>
      <c r="D4280" s="0" t="s">
        <v>135</v>
      </c>
      <c r="E4280" s="0" t="s">
        <v>3</v>
      </c>
      <c r="F4280" s="0" t="s">
        <v>12</v>
      </c>
      <c r="G4280" s="0" t="s">
        <v>8</v>
      </c>
      <c r="H4280" s="0">
        <v>10</v>
      </c>
      <c r="I4280" s="0">
        <v>0</v>
      </c>
      <c r="J4280" s="0">
        <v>0</v>
      </c>
      <c r="K4280" s="0">
        <v>0</v>
      </c>
      <c r="L4280" s="0">
        <v>0</v>
      </c>
      <c r="M4280" s="0">
        <v>0</v>
      </c>
      <c r="N4280" s="0">
        <v>0</v>
      </c>
      <c r="O4280" s="0">
        <v>0</v>
      </c>
      <c r="P4280" s="0">
        <v>0</v>
      </c>
      <c r="R4280" s="0" t="b">
        <v>0</v>
      </c>
      <c r="S4280" s="0" t="b">
        <v>0</v>
      </c>
      <c r="T4280" s="68">
        <v>46042.9839814815</v>
      </c>
      <c r="U4280" s="68">
        <v>0</v>
      </c>
      <c r="V4280" s="68">
        <v>46082.1667361111</v>
      </c>
      <c r="W4280" s="0">
        <f>IF(IF(B4280="none",1,IF(B4280="Trialer",1,0))+IF(C4280="Customer",1,IF(C4280="Lost",1,0))=2,1,0)</f>
      </c>
      <c r="X4280" s="0" t="s">
        <v>136</v>
      </c>
      <c r="Y4280" s="0" t="s">
        <v>243</v>
      </c>
      <c r="AV4280" s="68"/>
      <c r="AW4280" s="68"/>
      <c r="AY4280" s="27"/>
      <c r="BD4280" s="68">
        <v>46054.1666666667</v>
      </c>
      <c r="BE4280" s="68">
        <v>46082.1666666667</v>
      </c>
      <c r="BF4280" s="0" t="b">
        <v>0</v>
      </c>
      <c r="BG4280" s="0" t="b">
        <v>0</v>
      </c>
      <c r="BH4280" s="0">
        <v>266.25</v>
      </c>
      <c r="BI4280" s="0">
        <v>266.25</v>
      </c>
      <c r="BJ4280" s="0" t="s">
        <v>135</v>
      </c>
    </row>
    <row r="4281">
      <c r="A4281" s="0" t="s">
        <v>4542</v>
      </c>
      <c r="B4281" s="0" t="s">
        <v>652</v>
      </c>
      <c r="C4281" s="0" t="s">
        <v>652</v>
      </c>
      <c r="D4281" s="0" t="s">
        <v>135</v>
      </c>
      <c r="E4281" s="0" t="s">
        <v>3</v>
      </c>
      <c r="F4281" s="0" t="s">
        <v>12</v>
      </c>
      <c r="G4281" s="0" t="s">
        <v>8</v>
      </c>
      <c r="H4281" s="0">
        <v>10</v>
      </c>
      <c r="I4281" s="0">
        <v>0</v>
      </c>
      <c r="J4281" s="0">
        <v>0</v>
      </c>
      <c r="K4281" s="0">
        <v>0</v>
      </c>
      <c r="L4281" s="0">
        <v>0</v>
      </c>
      <c r="M4281" s="0">
        <v>0</v>
      </c>
      <c r="N4281" s="0">
        <v>0</v>
      </c>
      <c r="O4281" s="0">
        <v>0</v>
      </c>
      <c r="P4281" s="0">
        <v>0</v>
      </c>
      <c r="R4281" s="0" t="b">
        <v>0</v>
      </c>
      <c r="S4281" s="0" t="b">
        <v>0</v>
      </c>
      <c r="T4281" s="68">
        <v>46043.0355208333</v>
      </c>
      <c r="U4281" s="68">
        <v>0</v>
      </c>
      <c r="V4281" s="68">
        <v>46082.1667824074</v>
      </c>
      <c r="W4281" s="0">
        <f>IF(IF(B4281="none",1,IF(B4281="Trialer",1,0))+IF(C4281="Customer",1,IF(C4281="Lost",1,0))=2,1,0)</f>
      </c>
      <c r="X4281" s="0" t="s">
        <v>148</v>
      </c>
      <c r="Y4281" s="0" t="s">
        <v>243</v>
      </c>
      <c r="AV4281" s="68"/>
      <c r="AW4281" s="68"/>
      <c r="AY4281" s="27"/>
      <c r="BD4281" s="68">
        <v>46054.1666666667</v>
      </c>
      <c r="BE4281" s="68">
        <v>46082.1666666667</v>
      </c>
      <c r="BF4281" s="0" t="b">
        <v>0</v>
      </c>
      <c r="BG4281" s="0" t="b">
        <v>0</v>
      </c>
      <c r="BH4281" s="0">
        <v>63.75</v>
      </c>
      <c r="BI4281" s="0">
        <v>63.75</v>
      </c>
      <c r="BJ4281" s="0" t="s">
        <v>135</v>
      </c>
    </row>
    <row r="4282">
      <c r="A4282" s="0" t="s">
        <v>4543</v>
      </c>
      <c r="B4282" s="0" t="s">
        <v>652</v>
      </c>
      <c r="C4282" s="0" t="s">
        <v>652</v>
      </c>
      <c r="D4282" s="0" t="s">
        <v>135</v>
      </c>
      <c r="E4282" s="0" t="s">
        <v>2</v>
      </c>
      <c r="F4282" s="0" t="s">
        <v>12</v>
      </c>
      <c r="G4282" s="0" t="s">
        <v>8</v>
      </c>
      <c r="H4282" s="0">
        <v>10</v>
      </c>
      <c r="I4282" s="0">
        <v>0</v>
      </c>
      <c r="J4282" s="0">
        <v>0</v>
      </c>
      <c r="K4282" s="0">
        <v>0</v>
      </c>
      <c r="L4282" s="0">
        <v>0</v>
      </c>
      <c r="M4282" s="0">
        <v>0</v>
      </c>
      <c r="N4282" s="0">
        <v>0</v>
      </c>
      <c r="O4282" s="0">
        <v>0</v>
      </c>
      <c r="P4282" s="0">
        <v>0</v>
      </c>
      <c r="R4282" s="0" t="b">
        <v>0</v>
      </c>
      <c r="S4282" s="0" t="b">
        <v>0</v>
      </c>
      <c r="T4282" s="68">
        <v>46043.0463888889</v>
      </c>
      <c r="U4282" s="68">
        <v>0</v>
      </c>
      <c r="V4282" s="68">
        <v>46082.1668518518</v>
      </c>
      <c r="W4282" s="0">
        <f>IF(IF(B4282="none",1,IF(B4282="Trialer",1,0))+IF(C4282="Customer",1,IF(C4282="Lost",1,0))=2,1,0)</f>
      </c>
      <c r="X4282" s="0" t="s">
        <v>148</v>
      </c>
      <c r="Y4282" s="0" t="s">
        <v>499</v>
      </c>
      <c r="AV4282" s="68"/>
      <c r="AW4282" s="68"/>
      <c r="AY4282" s="27"/>
      <c r="BD4282" s="68">
        <v>46054.1666666667</v>
      </c>
      <c r="BE4282" s="68">
        <v>46082.1666666667</v>
      </c>
      <c r="BF4282" s="0" t="b">
        <v>0</v>
      </c>
      <c r="BG4282" s="0" t="b">
        <v>0</v>
      </c>
      <c r="BH4282" s="0">
        <v>44.25</v>
      </c>
      <c r="BI4282" s="0">
        <v>44.25</v>
      </c>
      <c r="BJ4282" s="0" t="s">
        <v>135</v>
      </c>
    </row>
    <row r="4283">
      <c r="A4283" s="0" t="s">
        <v>4544</v>
      </c>
      <c r="B4283" s="0" t="s">
        <v>652</v>
      </c>
      <c r="C4283" s="0" t="s">
        <v>652</v>
      </c>
      <c r="D4283" s="0" t="s">
        <v>135</v>
      </c>
      <c r="E4283" s="0" t="s">
        <v>3</v>
      </c>
      <c r="F4283" s="0" t="s">
        <v>12</v>
      </c>
      <c r="G4283" s="0" t="s">
        <v>8</v>
      </c>
      <c r="H4283" s="0">
        <v>10</v>
      </c>
      <c r="I4283" s="0">
        <v>0</v>
      </c>
      <c r="J4283" s="0">
        <v>0</v>
      </c>
      <c r="K4283" s="0">
        <v>0</v>
      </c>
      <c r="L4283" s="0">
        <v>0</v>
      </c>
      <c r="M4283" s="0">
        <v>0</v>
      </c>
      <c r="N4283" s="0">
        <v>0</v>
      </c>
      <c r="O4283" s="0">
        <v>0</v>
      </c>
      <c r="P4283" s="0">
        <v>0</v>
      </c>
      <c r="R4283" s="0" t="b">
        <v>0</v>
      </c>
      <c r="S4283" s="0" t="b">
        <v>0</v>
      </c>
      <c r="T4283" s="68">
        <v>46043.1593981481</v>
      </c>
      <c r="U4283" s="68">
        <v>0</v>
      </c>
      <c r="V4283" s="68">
        <v>46057.9977546296</v>
      </c>
      <c r="W4283" s="0">
        <f>IF(IF(B4283="none",1,IF(B4283="Trialer",1,0))+IF(C4283="Customer",1,IF(C4283="Lost",1,0))=2,1,0)</f>
      </c>
      <c r="X4283" s="0" t="s">
        <v>145</v>
      </c>
      <c r="Y4283" s="0" t="s">
        <v>243</v>
      </c>
      <c r="AV4283" s="68"/>
      <c r="AW4283" s="68"/>
      <c r="AY4283" s="27"/>
      <c r="BD4283" s="68">
        <v>46054.1666666667</v>
      </c>
      <c r="BE4283" s="68">
        <v>46082.1666666667</v>
      </c>
      <c r="BF4283" s="0" t="b">
        <v>0</v>
      </c>
      <c r="BG4283" s="0" t="b">
        <v>0</v>
      </c>
      <c r="BH4283" s="0">
        <v>44.25</v>
      </c>
      <c r="BI4283" s="0">
        <v>44.25</v>
      </c>
      <c r="BJ4283" s="0" t="s">
        <v>135</v>
      </c>
    </row>
    <row r="4284">
      <c r="A4284" s="0" t="s">
        <v>4545</v>
      </c>
      <c r="B4284" s="0" t="s">
        <v>652</v>
      </c>
      <c r="C4284" s="0" t="s">
        <v>652</v>
      </c>
      <c r="D4284" s="0" t="s">
        <v>135</v>
      </c>
      <c r="E4284" s="0" t="s">
        <v>2</v>
      </c>
      <c r="F4284" s="0" t="s">
        <v>12</v>
      </c>
      <c r="G4284" s="0" t="s">
        <v>8</v>
      </c>
      <c r="H4284" s="0">
        <v>10</v>
      </c>
      <c r="I4284" s="0">
        <v>0</v>
      </c>
      <c r="J4284" s="0">
        <v>0</v>
      </c>
      <c r="K4284" s="0">
        <v>0</v>
      </c>
      <c r="L4284" s="0">
        <v>0</v>
      </c>
      <c r="M4284" s="0">
        <v>0</v>
      </c>
      <c r="N4284" s="0">
        <v>0</v>
      </c>
      <c r="O4284" s="0">
        <v>0</v>
      </c>
      <c r="P4284" s="0">
        <v>0</v>
      </c>
      <c r="R4284" s="0" t="b">
        <v>0</v>
      </c>
      <c r="S4284" s="0" t="b">
        <v>0</v>
      </c>
      <c r="T4284" s="68">
        <v>46043.3027083333</v>
      </c>
      <c r="U4284" s="68">
        <v>0</v>
      </c>
      <c r="V4284" s="68">
        <v>46083.166724537</v>
      </c>
      <c r="W4284" s="0">
        <f>IF(IF(B4284="none",1,IF(B4284="Trialer",1,0))+IF(C4284="Customer",1,IF(C4284="Lost",1,0))=2,1,0)</f>
      </c>
      <c r="X4284" s="0" t="s">
        <v>136</v>
      </c>
      <c r="Y4284" s="0" t="s">
        <v>499</v>
      </c>
      <c r="AV4284" s="68"/>
      <c r="AW4284" s="68"/>
      <c r="AY4284" s="27"/>
      <c r="BD4284" s="68">
        <v>46054.1666666667</v>
      </c>
      <c r="BE4284" s="68">
        <v>46082.1666666667</v>
      </c>
      <c r="BF4284" s="0" t="b">
        <v>0</v>
      </c>
      <c r="BG4284" s="0" t="b">
        <v>0</v>
      </c>
      <c r="BH4284" s="0">
        <v>44.25</v>
      </c>
      <c r="BI4284" s="0">
        <v>44.25</v>
      </c>
      <c r="BJ4284" s="0" t="s">
        <v>135</v>
      </c>
    </row>
    <row r="4285">
      <c r="A4285" s="0" t="s">
        <v>4546</v>
      </c>
      <c r="B4285" s="0" t="s">
        <v>652</v>
      </c>
      <c r="C4285" s="0" t="s">
        <v>652</v>
      </c>
      <c r="D4285" s="0" t="s">
        <v>135</v>
      </c>
      <c r="E4285" s="0" t="s">
        <v>3</v>
      </c>
      <c r="F4285" s="0" t="s">
        <v>12</v>
      </c>
      <c r="G4285" s="0" t="s">
        <v>8</v>
      </c>
      <c r="H4285" s="0">
        <v>10</v>
      </c>
      <c r="I4285" s="0">
        <v>0</v>
      </c>
      <c r="J4285" s="0">
        <v>0</v>
      </c>
      <c r="K4285" s="0">
        <v>0</v>
      </c>
      <c r="L4285" s="0">
        <v>0</v>
      </c>
      <c r="M4285" s="0">
        <v>0</v>
      </c>
      <c r="N4285" s="0">
        <v>0</v>
      </c>
      <c r="O4285" s="0">
        <v>0</v>
      </c>
      <c r="P4285" s="0">
        <v>0</v>
      </c>
      <c r="R4285" s="0" t="b">
        <v>0</v>
      </c>
      <c r="S4285" s="0" t="b">
        <v>0</v>
      </c>
      <c r="T4285" s="68">
        <v>46043.4190162037</v>
      </c>
      <c r="U4285" s="68">
        <v>0</v>
      </c>
      <c r="V4285" s="68">
        <v>46083.166875</v>
      </c>
      <c r="W4285" s="0">
        <f>IF(IF(B4285="none",1,IF(B4285="Trialer",1,0))+IF(C4285="Customer",1,IF(C4285="Lost",1,0))=2,1,0)</f>
      </c>
      <c r="X4285" s="0" t="s">
        <v>145</v>
      </c>
      <c r="Y4285" s="0" t="s">
        <v>243</v>
      </c>
      <c r="AV4285" s="68"/>
      <c r="AW4285" s="68"/>
      <c r="AY4285" s="27"/>
      <c r="BD4285" s="68">
        <v>46054.1666666667</v>
      </c>
      <c r="BE4285" s="68">
        <v>46082.1666666667</v>
      </c>
      <c r="BF4285" s="0" t="b">
        <v>0</v>
      </c>
      <c r="BG4285" s="0" t="b">
        <v>0</v>
      </c>
      <c r="BH4285" s="0">
        <v>63.75</v>
      </c>
      <c r="BI4285" s="0">
        <v>63.75</v>
      </c>
      <c r="BJ4285" s="0" t="s">
        <v>135</v>
      </c>
    </row>
    <row r="4286">
      <c r="A4286" s="0" t="s">
        <v>4547</v>
      </c>
      <c r="B4286" s="0" t="s">
        <v>652</v>
      </c>
      <c r="C4286" s="0" t="s">
        <v>652</v>
      </c>
      <c r="D4286" s="0" t="s">
        <v>135</v>
      </c>
      <c r="E4286" s="0" t="s">
        <v>3</v>
      </c>
      <c r="F4286" s="0" t="s">
        <v>12</v>
      </c>
      <c r="G4286" s="0" t="s">
        <v>8</v>
      </c>
      <c r="H4286" s="0">
        <v>10</v>
      </c>
      <c r="I4286" s="0">
        <v>0</v>
      </c>
      <c r="J4286" s="0">
        <v>0</v>
      </c>
      <c r="K4286" s="0">
        <v>0</v>
      </c>
      <c r="L4286" s="0">
        <v>0</v>
      </c>
      <c r="M4286" s="0">
        <v>0</v>
      </c>
      <c r="N4286" s="0">
        <v>0</v>
      </c>
      <c r="O4286" s="0">
        <v>0</v>
      </c>
      <c r="P4286" s="0">
        <v>0</v>
      </c>
      <c r="R4286" s="0" t="b">
        <v>0</v>
      </c>
      <c r="S4286" s="0" t="b">
        <v>0</v>
      </c>
      <c r="T4286" s="68">
        <v>46043.4590972222</v>
      </c>
      <c r="U4286" s="68">
        <v>0</v>
      </c>
      <c r="V4286" s="68">
        <v>46083.166724537</v>
      </c>
      <c r="W4286" s="0">
        <f>IF(IF(B4286="none",1,IF(B4286="Trialer",1,0))+IF(C4286="Customer",1,IF(C4286="Lost",1,0))=2,1,0)</f>
      </c>
      <c r="X4286" s="0" t="s">
        <v>145</v>
      </c>
      <c r="Y4286" s="0" t="s">
        <v>243</v>
      </c>
      <c r="AV4286" s="68"/>
      <c r="AW4286" s="68"/>
      <c r="AY4286" s="27"/>
      <c r="BD4286" s="68">
        <v>46054.1666666667</v>
      </c>
      <c r="BE4286" s="68">
        <v>46082.1666666667</v>
      </c>
      <c r="BF4286" s="0" t="b">
        <v>0</v>
      </c>
      <c r="BG4286" s="0" t="b">
        <v>0</v>
      </c>
      <c r="BH4286" s="0">
        <v>44.25</v>
      </c>
      <c r="BI4286" s="0">
        <v>44.25</v>
      </c>
      <c r="BJ4286" s="0" t="s">
        <v>135</v>
      </c>
    </row>
    <row r="4287">
      <c r="A4287" s="0" t="s">
        <v>4548</v>
      </c>
      <c r="B4287" s="0" t="s">
        <v>652</v>
      </c>
      <c r="C4287" s="0" t="s">
        <v>652</v>
      </c>
      <c r="D4287" s="0" t="s">
        <v>135</v>
      </c>
      <c r="E4287" s="0" t="s">
        <v>3</v>
      </c>
      <c r="F4287" s="0" t="s">
        <v>12</v>
      </c>
      <c r="G4287" s="0" t="s">
        <v>8</v>
      </c>
      <c r="H4287" s="0">
        <v>10</v>
      </c>
      <c r="I4287" s="0">
        <v>0</v>
      </c>
      <c r="J4287" s="0">
        <v>0</v>
      </c>
      <c r="K4287" s="0">
        <v>0</v>
      </c>
      <c r="L4287" s="0">
        <v>0</v>
      </c>
      <c r="M4287" s="0">
        <v>0</v>
      </c>
      <c r="N4287" s="0">
        <v>0</v>
      </c>
      <c r="O4287" s="0">
        <v>0</v>
      </c>
      <c r="P4287" s="0">
        <v>0</v>
      </c>
      <c r="R4287" s="0" t="b">
        <v>0</v>
      </c>
      <c r="S4287" s="0" t="b">
        <v>0</v>
      </c>
      <c r="T4287" s="68">
        <v>46043.4634953704</v>
      </c>
      <c r="U4287" s="68">
        <v>0</v>
      </c>
      <c r="V4287" s="68">
        <v>46083.1667361111</v>
      </c>
      <c r="W4287" s="0">
        <f>IF(IF(B4287="none",1,IF(B4287="Trialer",1,0))+IF(C4287="Customer",1,IF(C4287="Lost",1,0))=2,1,0)</f>
      </c>
      <c r="X4287" s="0" t="s">
        <v>136</v>
      </c>
      <c r="Y4287" s="0" t="s">
        <v>243</v>
      </c>
      <c r="AV4287" s="68"/>
      <c r="AW4287" s="68"/>
      <c r="AY4287" s="27"/>
      <c r="BD4287" s="68">
        <v>46054.1666666667</v>
      </c>
      <c r="BE4287" s="68">
        <v>46082.1666666667</v>
      </c>
      <c r="BF4287" s="0" t="b">
        <v>0</v>
      </c>
      <c r="BG4287" s="0" t="b">
        <v>0</v>
      </c>
      <c r="BH4287" s="0">
        <v>54.75</v>
      </c>
      <c r="BI4287" s="0">
        <v>54.75</v>
      </c>
      <c r="BJ4287" s="0" t="s">
        <v>135</v>
      </c>
    </row>
    <row r="4288">
      <c r="A4288" s="0" t="s">
        <v>4549</v>
      </c>
      <c r="B4288" s="0" t="s">
        <v>652</v>
      </c>
      <c r="C4288" s="0" t="s">
        <v>134</v>
      </c>
      <c r="D4288" s="0" t="s">
        <v>135</v>
      </c>
      <c r="E4288" s="0" t="s">
        <v>3</v>
      </c>
      <c r="F4288" s="0" t="s">
        <v>12</v>
      </c>
      <c r="G4288" s="0" t="s">
        <v>8</v>
      </c>
      <c r="H4288" s="0">
        <v>10</v>
      </c>
      <c r="I4288" s="0">
        <v>53.25</v>
      </c>
      <c r="J4288" s="0">
        <v>0</v>
      </c>
      <c r="K4288" s="0">
        <v>1</v>
      </c>
      <c r="L4288" s="0">
        <v>4</v>
      </c>
      <c r="M4288" s="0">
        <v>1</v>
      </c>
      <c r="N4288" s="0">
        <v>0</v>
      </c>
      <c r="O4288" s="0">
        <v>0</v>
      </c>
      <c r="P4288" s="0">
        <v>0</v>
      </c>
      <c r="R4288" s="0" t="b">
        <v>0</v>
      </c>
      <c r="S4288" s="0" t="b">
        <v>1</v>
      </c>
      <c r="T4288" s="68">
        <v>46043.4993865741</v>
      </c>
      <c r="U4288" s="68">
        <v>46057.2916666667</v>
      </c>
      <c r="V4288" s="68">
        <v>0</v>
      </c>
      <c r="W4288" s="0">
        <f>IF(IF(B4288="none",1,IF(B4288="Trialer",1,0))+IF(C4288="Customer",1,IF(C4288="Lost",1,0))=2,1,0)</f>
      </c>
      <c r="X4288" s="0" t="s">
        <v>1461</v>
      </c>
      <c r="Y4288" s="0" t="s">
        <v>243</v>
      </c>
      <c r="AV4288" s="68"/>
      <c r="AW4288" s="68"/>
      <c r="AY4288" s="27"/>
      <c r="BD4288" s="68">
        <v>46054.1666666667</v>
      </c>
      <c r="BE4288" s="68">
        <v>46082.1666666667</v>
      </c>
      <c r="BF4288" s="0" t="b">
        <v>0</v>
      </c>
      <c r="BG4288" s="0" t="b">
        <v>0</v>
      </c>
      <c r="BH4288" s="0">
        <v>53.25</v>
      </c>
      <c r="BI4288" s="0">
        <v>53.25</v>
      </c>
      <c r="BJ4288" s="0" t="s">
        <v>135</v>
      </c>
    </row>
    <row r="4289">
      <c r="A4289" s="0" t="s">
        <v>4550</v>
      </c>
      <c r="B4289" s="0" t="s">
        <v>652</v>
      </c>
      <c r="C4289" s="0" t="s">
        <v>652</v>
      </c>
      <c r="D4289" s="0" t="s">
        <v>135</v>
      </c>
      <c r="E4289" s="0" t="s">
        <v>3</v>
      </c>
      <c r="F4289" s="0" t="s">
        <v>12</v>
      </c>
      <c r="G4289" s="0" t="s">
        <v>8</v>
      </c>
      <c r="H4289" s="0">
        <v>10</v>
      </c>
      <c r="I4289" s="0">
        <v>0</v>
      </c>
      <c r="J4289" s="0">
        <v>0</v>
      </c>
      <c r="K4289" s="0">
        <v>0</v>
      </c>
      <c r="L4289" s="0">
        <v>0</v>
      </c>
      <c r="M4289" s="0">
        <v>0</v>
      </c>
      <c r="N4289" s="0">
        <v>0</v>
      </c>
      <c r="O4289" s="0">
        <v>0</v>
      </c>
      <c r="P4289" s="0">
        <v>0</v>
      </c>
      <c r="R4289" s="0" t="b">
        <v>0</v>
      </c>
      <c r="S4289" s="0" t="b">
        <v>0</v>
      </c>
      <c r="T4289" s="68">
        <v>46043.5252546296</v>
      </c>
      <c r="U4289" s="68">
        <v>0</v>
      </c>
      <c r="V4289" s="68">
        <v>46083.1667824074</v>
      </c>
      <c r="W4289" s="0">
        <f>IF(IF(B4289="none",1,IF(B4289="Trialer",1,0))+IF(C4289="Customer",1,IF(C4289="Lost",1,0))=2,1,0)</f>
      </c>
      <c r="X4289" s="0" t="s">
        <v>136</v>
      </c>
      <c r="Y4289" s="0" t="s">
        <v>243</v>
      </c>
      <c r="AV4289" s="68"/>
      <c r="AW4289" s="68"/>
      <c r="AY4289" s="27"/>
      <c r="BD4289" s="68">
        <v>46054.1666666667</v>
      </c>
      <c r="BE4289" s="68">
        <v>46082.1666666667</v>
      </c>
      <c r="BF4289" s="0" t="b">
        <v>0</v>
      </c>
      <c r="BG4289" s="0" t="b">
        <v>0</v>
      </c>
      <c r="BH4289" s="0">
        <v>63.75</v>
      </c>
      <c r="BI4289" s="0">
        <v>63.75</v>
      </c>
      <c r="BJ4289" s="0" t="s">
        <v>135</v>
      </c>
    </row>
    <row r="4290">
      <c r="A4290" s="0" t="s">
        <v>4551</v>
      </c>
      <c r="B4290" s="0" t="s">
        <v>652</v>
      </c>
      <c r="C4290" s="0" t="s">
        <v>652</v>
      </c>
      <c r="D4290" s="0" t="s">
        <v>135</v>
      </c>
      <c r="E4290" s="0" t="s">
        <v>1515</v>
      </c>
      <c r="F4290" s="0" t="s">
        <v>12</v>
      </c>
      <c r="G4290" s="0" t="s">
        <v>8</v>
      </c>
      <c r="H4290" s="0">
        <v>10</v>
      </c>
      <c r="I4290" s="0">
        <v>0</v>
      </c>
      <c r="J4290" s="0">
        <v>0</v>
      </c>
      <c r="K4290" s="0">
        <v>0</v>
      </c>
      <c r="L4290" s="0">
        <v>0</v>
      </c>
      <c r="M4290" s="0">
        <v>0</v>
      </c>
      <c r="N4290" s="0">
        <v>0</v>
      </c>
      <c r="O4290" s="0">
        <v>0</v>
      </c>
      <c r="P4290" s="0">
        <v>0</v>
      </c>
      <c r="R4290" s="0" t="b">
        <v>0</v>
      </c>
      <c r="S4290" s="0" t="b">
        <v>0</v>
      </c>
      <c r="T4290" s="68">
        <v>46043.5265277778</v>
      </c>
      <c r="U4290" s="68">
        <v>0</v>
      </c>
      <c r="V4290" s="68">
        <v>46066.7020833333</v>
      </c>
      <c r="W4290" s="0">
        <f>IF(IF(B4290="none",1,IF(B4290="Trialer",1,0))+IF(C4290="Customer",1,IF(C4290="Lost",1,0))=2,1,0)</f>
      </c>
      <c r="X4290" s="0" t="s">
        <v>136</v>
      </c>
      <c r="Y4290" s="0" t="s">
        <v>1516</v>
      </c>
      <c r="AV4290" s="68"/>
      <c r="AW4290" s="68"/>
      <c r="AY4290" s="27"/>
      <c r="BD4290" s="68">
        <v>46054.1666666667</v>
      </c>
      <c r="BE4290" s="68">
        <v>46082.1666666667</v>
      </c>
      <c r="BF4290" s="0" t="b">
        <v>1</v>
      </c>
      <c r="BG4290" s="0" t="b">
        <v>0</v>
      </c>
      <c r="BH4290" s="0">
        <v>44.25</v>
      </c>
      <c r="BI4290" s="0">
        <v>44.25</v>
      </c>
      <c r="BJ4290" s="0" t="s">
        <v>135</v>
      </c>
    </row>
    <row r="4291">
      <c r="A4291" s="0" t="s">
        <v>4552</v>
      </c>
      <c r="B4291" s="0" t="s">
        <v>652</v>
      </c>
      <c r="C4291" s="0" t="s">
        <v>652</v>
      </c>
      <c r="D4291" s="0" t="s">
        <v>135</v>
      </c>
      <c r="E4291" s="0" t="s">
        <v>3</v>
      </c>
      <c r="F4291" s="0" t="s">
        <v>12</v>
      </c>
      <c r="G4291" s="0" t="s">
        <v>8</v>
      </c>
      <c r="H4291" s="0">
        <v>10</v>
      </c>
      <c r="I4291" s="0">
        <v>0</v>
      </c>
      <c r="J4291" s="0">
        <v>0</v>
      </c>
      <c r="K4291" s="0">
        <v>0</v>
      </c>
      <c r="L4291" s="0">
        <v>0</v>
      </c>
      <c r="M4291" s="0">
        <v>0</v>
      </c>
      <c r="N4291" s="0">
        <v>0</v>
      </c>
      <c r="O4291" s="0">
        <v>0</v>
      </c>
      <c r="P4291" s="0">
        <v>0</v>
      </c>
      <c r="R4291" s="0" t="b">
        <v>0</v>
      </c>
      <c r="S4291" s="0" t="b">
        <v>0</v>
      </c>
      <c r="T4291" s="68">
        <v>46043.5375810185</v>
      </c>
      <c r="U4291" s="68">
        <v>0</v>
      </c>
      <c r="V4291" s="68">
        <v>46083.166875</v>
      </c>
      <c r="W4291" s="0">
        <f>IF(IF(B4291="none",1,IF(B4291="Trialer",1,0))+IF(C4291="Customer",1,IF(C4291="Lost",1,0))=2,1,0)</f>
      </c>
      <c r="X4291" s="0" t="s">
        <v>148</v>
      </c>
      <c r="Y4291" s="0" t="s">
        <v>243</v>
      </c>
      <c r="AV4291" s="68"/>
      <c r="AW4291" s="68"/>
      <c r="AY4291" s="27"/>
      <c r="BD4291" s="68">
        <v>46054.1666666667</v>
      </c>
      <c r="BE4291" s="68">
        <v>46082.1666666667</v>
      </c>
      <c r="BF4291" s="0" t="b">
        <v>0</v>
      </c>
      <c r="BG4291" s="0" t="b">
        <v>0</v>
      </c>
      <c r="BH4291" s="0">
        <v>72.75</v>
      </c>
      <c r="BI4291" s="0">
        <v>72.75</v>
      </c>
      <c r="BJ4291" s="0" t="s">
        <v>135</v>
      </c>
    </row>
    <row r="4292">
      <c r="A4292" s="0" t="s">
        <v>4553</v>
      </c>
      <c r="B4292" s="0" t="s">
        <v>652</v>
      </c>
      <c r="C4292" s="0" t="s">
        <v>134</v>
      </c>
      <c r="D4292" s="0" t="s">
        <v>135</v>
      </c>
      <c r="E4292" s="0" t="s">
        <v>3</v>
      </c>
      <c r="F4292" s="0" t="s">
        <v>12</v>
      </c>
      <c r="G4292" s="0" t="s">
        <v>8</v>
      </c>
      <c r="H4292" s="0">
        <v>10</v>
      </c>
      <c r="I4292" s="0">
        <v>643.75</v>
      </c>
      <c r="J4292" s="0">
        <v>0</v>
      </c>
      <c r="K4292" s="0">
        <v>2</v>
      </c>
      <c r="L4292" s="0">
        <v>0</v>
      </c>
      <c r="M4292" s="0">
        <v>0</v>
      </c>
      <c r="N4292" s="0">
        <v>697.5</v>
      </c>
      <c r="O4292" s="0">
        <v>0</v>
      </c>
      <c r="P4292" s="0">
        <v>0</v>
      </c>
      <c r="R4292" s="0" t="b">
        <v>0</v>
      </c>
      <c r="S4292" s="0" t="b">
        <v>1</v>
      </c>
      <c r="T4292" s="68">
        <v>46043.5415740741</v>
      </c>
      <c r="U4292" s="68">
        <v>46057.2916666667</v>
      </c>
      <c r="V4292" s="68">
        <v>0</v>
      </c>
      <c r="W4292" s="0">
        <f>IF(IF(B4292="none",1,IF(B4292="Trialer",1,0))+IF(C4292="Customer",1,IF(C4292="Lost",1,0))=2,1,0)</f>
      </c>
      <c r="X4292" s="0" t="s">
        <v>136</v>
      </c>
      <c r="Y4292" s="0" t="s">
        <v>243</v>
      </c>
      <c r="AV4292" s="68"/>
      <c r="AW4292" s="68"/>
      <c r="AY4292" s="27"/>
      <c r="BD4292" s="68">
        <v>46054.1666666667</v>
      </c>
      <c r="BE4292" s="68">
        <v>46082.1666666667</v>
      </c>
      <c r="BF4292" s="0" t="b">
        <v>0</v>
      </c>
      <c r="BG4292" s="0" t="b">
        <v>0</v>
      </c>
      <c r="BH4292" s="0">
        <v>363</v>
      </c>
      <c r="BI4292" s="0">
        <v>363</v>
      </c>
      <c r="BJ4292" s="0" t="s">
        <v>135</v>
      </c>
    </row>
    <row r="4293">
      <c r="A4293" s="0" t="s">
        <v>4554</v>
      </c>
      <c r="B4293" s="0" t="s">
        <v>652</v>
      </c>
      <c r="C4293" s="0" t="s">
        <v>652</v>
      </c>
      <c r="D4293" s="0" t="s">
        <v>135</v>
      </c>
      <c r="E4293" s="0" t="s">
        <v>3</v>
      </c>
      <c r="F4293" s="0" t="s">
        <v>12</v>
      </c>
      <c r="G4293" s="0" t="s">
        <v>8</v>
      </c>
      <c r="H4293" s="0">
        <v>10</v>
      </c>
      <c r="I4293" s="0">
        <v>0</v>
      </c>
      <c r="J4293" s="0">
        <v>0</v>
      </c>
      <c r="K4293" s="0">
        <v>0</v>
      </c>
      <c r="L4293" s="0">
        <v>0</v>
      </c>
      <c r="M4293" s="0">
        <v>0</v>
      </c>
      <c r="N4293" s="0">
        <v>0</v>
      </c>
      <c r="O4293" s="0">
        <v>0</v>
      </c>
      <c r="P4293" s="0">
        <v>0</v>
      </c>
      <c r="R4293" s="0" t="b">
        <v>0</v>
      </c>
      <c r="S4293" s="0" t="b">
        <v>0</v>
      </c>
      <c r="T4293" s="68">
        <v>46043.558599537</v>
      </c>
      <c r="U4293" s="68">
        <v>0</v>
      </c>
      <c r="V4293" s="68">
        <v>46063.4152662037</v>
      </c>
      <c r="W4293" s="0">
        <f>IF(IF(B4293="none",1,IF(B4293="Trialer",1,0))+IF(C4293="Customer",1,IF(C4293="Lost",1,0))=2,1,0)</f>
      </c>
      <c r="X4293" s="0" t="s">
        <v>145</v>
      </c>
      <c r="Y4293" s="0" t="s">
        <v>243</v>
      </c>
      <c r="AV4293" s="68"/>
      <c r="AW4293" s="68"/>
      <c r="AY4293" s="27"/>
      <c r="BD4293" s="68">
        <v>46054.1666666667</v>
      </c>
      <c r="BE4293" s="68">
        <v>46082.1666666667</v>
      </c>
      <c r="BF4293" s="0" t="b">
        <v>1</v>
      </c>
      <c r="BG4293" s="0" t="b">
        <v>1</v>
      </c>
      <c r="BH4293" s="0">
        <v>159</v>
      </c>
      <c r="BI4293" s="0">
        <v>159</v>
      </c>
      <c r="BJ4293" s="0" t="s">
        <v>135</v>
      </c>
    </row>
    <row r="4294">
      <c r="A4294" s="0" t="s">
        <v>4555</v>
      </c>
      <c r="B4294" s="0" t="s">
        <v>652</v>
      </c>
      <c r="C4294" s="0" t="s">
        <v>652</v>
      </c>
      <c r="D4294" s="0" t="s">
        <v>135</v>
      </c>
      <c r="E4294" s="0" t="s">
        <v>3</v>
      </c>
      <c r="F4294" s="0" t="s">
        <v>12</v>
      </c>
      <c r="G4294" s="0" t="s">
        <v>8</v>
      </c>
      <c r="H4294" s="0">
        <v>10</v>
      </c>
      <c r="I4294" s="0">
        <v>0</v>
      </c>
      <c r="J4294" s="0">
        <v>0</v>
      </c>
      <c r="K4294" s="0">
        <v>0</v>
      </c>
      <c r="L4294" s="0">
        <v>0</v>
      </c>
      <c r="M4294" s="0">
        <v>0</v>
      </c>
      <c r="N4294" s="0">
        <v>0</v>
      </c>
      <c r="O4294" s="0">
        <v>0</v>
      </c>
      <c r="P4294" s="0">
        <v>0</v>
      </c>
      <c r="R4294" s="0" t="b">
        <v>0</v>
      </c>
      <c r="S4294" s="0" t="b">
        <v>0</v>
      </c>
      <c r="T4294" s="68">
        <v>46043.5596064815</v>
      </c>
      <c r="U4294" s="68">
        <v>0</v>
      </c>
      <c r="V4294" s="68">
        <v>46083.1667708333</v>
      </c>
      <c r="W4294" s="0">
        <f>IF(IF(B4294="none",1,IF(B4294="Trialer",1,0))+IF(C4294="Customer",1,IF(C4294="Lost",1,0))=2,1,0)</f>
      </c>
      <c r="X4294" s="0" t="s">
        <v>148</v>
      </c>
      <c r="Y4294" s="0" t="s">
        <v>243</v>
      </c>
      <c r="AV4294" s="68"/>
      <c r="AW4294" s="68"/>
      <c r="AY4294" s="27"/>
      <c r="BD4294" s="68">
        <v>46054.1666666667</v>
      </c>
      <c r="BE4294" s="68">
        <v>46082.1666666667</v>
      </c>
      <c r="BF4294" s="0" t="b">
        <v>0</v>
      </c>
      <c r="BG4294" s="0" t="b">
        <v>0</v>
      </c>
      <c r="BH4294" s="0">
        <v>54.75</v>
      </c>
      <c r="BI4294" s="0">
        <v>54.75</v>
      </c>
      <c r="BJ4294" s="0" t="s">
        <v>135</v>
      </c>
    </row>
    <row r="4295">
      <c r="A4295" s="0" t="s">
        <v>4556</v>
      </c>
      <c r="B4295" s="0" t="s">
        <v>652</v>
      </c>
      <c r="C4295" s="0" t="s">
        <v>652</v>
      </c>
      <c r="D4295" s="0" t="s">
        <v>135</v>
      </c>
      <c r="E4295" s="0" t="s">
        <v>2</v>
      </c>
      <c r="F4295" s="0" t="s">
        <v>12</v>
      </c>
      <c r="G4295" s="0" t="s">
        <v>8</v>
      </c>
      <c r="H4295" s="0">
        <v>10</v>
      </c>
      <c r="I4295" s="0">
        <v>0</v>
      </c>
      <c r="J4295" s="0">
        <v>0</v>
      </c>
      <c r="K4295" s="0">
        <v>0</v>
      </c>
      <c r="L4295" s="0">
        <v>0</v>
      </c>
      <c r="M4295" s="0">
        <v>0</v>
      </c>
      <c r="N4295" s="0">
        <v>0</v>
      </c>
      <c r="O4295" s="0">
        <v>0</v>
      </c>
      <c r="P4295" s="0">
        <v>0</v>
      </c>
      <c r="R4295" s="0" t="b">
        <v>0</v>
      </c>
      <c r="S4295" s="0" t="b">
        <v>0</v>
      </c>
      <c r="T4295" s="68">
        <v>46043.5786226852</v>
      </c>
      <c r="U4295" s="68">
        <v>0</v>
      </c>
      <c r="V4295" s="68">
        <v>46083.1668055556</v>
      </c>
      <c r="W4295" s="0">
        <f>IF(IF(B4295="none",1,IF(B4295="Trialer",1,0))+IF(C4295="Customer",1,IF(C4295="Lost",1,0))=2,1,0)</f>
      </c>
      <c r="X4295" s="0" t="s">
        <v>145</v>
      </c>
      <c r="Y4295" s="0" t="s">
        <v>499</v>
      </c>
      <c r="AV4295" s="68"/>
      <c r="AW4295" s="68"/>
      <c r="AY4295" s="27"/>
      <c r="BD4295" s="68">
        <v>46054.1666666667</v>
      </c>
      <c r="BE4295" s="68">
        <v>46082.1666666667</v>
      </c>
      <c r="BF4295" s="0" t="b">
        <v>0</v>
      </c>
      <c r="BG4295" s="0" t="b">
        <v>0</v>
      </c>
      <c r="BH4295" s="0">
        <v>54.75</v>
      </c>
      <c r="BI4295" s="0">
        <v>54.75</v>
      </c>
      <c r="BJ4295" s="0" t="s">
        <v>135</v>
      </c>
    </row>
    <row r="4296">
      <c r="A4296" s="0" t="s">
        <v>4557</v>
      </c>
      <c r="B4296" s="0" t="s">
        <v>652</v>
      </c>
      <c r="C4296" s="0" t="s">
        <v>134</v>
      </c>
      <c r="D4296" s="0" t="s">
        <v>135</v>
      </c>
      <c r="E4296" s="0" t="s">
        <v>3</v>
      </c>
      <c r="F4296" s="0" t="s">
        <v>12</v>
      </c>
      <c r="G4296" s="0" t="s">
        <v>8</v>
      </c>
      <c r="H4296" s="0">
        <v>10</v>
      </c>
      <c r="I4296" s="0">
        <v>185.25</v>
      </c>
      <c r="J4296" s="0">
        <v>0</v>
      </c>
      <c r="K4296" s="0">
        <v>1</v>
      </c>
      <c r="L4296" s="0">
        <v>3</v>
      </c>
      <c r="M4296" s="0">
        <v>5</v>
      </c>
      <c r="N4296" s="0">
        <v>0</v>
      </c>
      <c r="O4296" s="0">
        <v>0</v>
      </c>
      <c r="P4296" s="0">
        <v>0</v>
      </c>
      <c r="R4296" s="0" t="b">
        <v>0</v>
      </c>
      <c r="S4296" s="0" t="b">
        <v>0</v>
      </c>
      <c r="T4296" s="68">
        <v>46043.6115277778</v>
      </c>
      <c r="U4296" s="68">
        <v>46057.2916666667</v>
      </c>
      <c r="V4296" s="68">
        <v>46086.6571990741</v>
      </c>
      <c r="W4296" s="0">
        <f>IF(IF(B4296="none",1,IF(B4296="Trialer",1,0))+IF(C4296="Customer",1,IF(C4296="Lost",1,0))=2,1,0)</f>
      </c>
      <c r="X4296" s="0" t="s">
        <v>136</v>
      </c>
      <c r="Y4296" s="0" t="s">
        <v>243</v>
      </c>
      <c r="AV4296" s="68"/>
      <c r="AW4296" s="68"/>
      <c r="AY4296" s="27"/>
      <c r="BD4296" s="68">
        <v>46054.1666666667</v>
      </c>
      <c r="BE4296" s="68">
        <v>46082.1666666667</v>
      </c>
      <c r="BF4296" s="0" t="b">
        <v>0</v>
      </c>
      <c r="BG4296" s="0" t="b">
        <v>0</v>
      </c>
      <c r="BH4296" s="0">
        <v>185.25</v>
      </c>
      <c r="BI4296" s="0">
        <v>185.25</v>
      </c>
      <c r="BJ4296" s="0" t="s">
        <v>135</v>
      </c>
    </row>
    <row r="4297">
      <c r="A4297" s="0" t="s">
        <v>4558</v>
      </c>
      <c r="B4297" s="0" t="s">
        <v>652</v>
      </c>
      <c r="C4297" s="0" t="s">
        <v>652</v>
      </c>
      <c r="D4297" s="0" t="s">
        <v>135</v>
      </c>
      <c r="E4297" s="0" t="s">
        <v>1515</v>
      </c>
      <c r="F4297" s="0" t="s">
        <v>12</v>
      </c>
      <c r="G4297" s="0" t="s">
        <v>8</v>
      </c>
      <c r="H4297" s="0">
        <v>10</v>
      </c>
      <c r="I4297" s="0">
        <v>0</v>
      </c>
      <c r="J4297" s="0">
        <v>0</v>
      </c>
      <c r="K4297" s="0">
        <v>0</v>
      </c>
      <c r="L4297" s="0">
        <v>0</v>
      </c>
      <c r="M4297" s="0">
        <v>0</v>
      </c>
      <c r="N4297" s="0">
        <v>0</v>
      </c>
      <c r="O4297" s="0">
        <v>0</v>
      </c>
      <c r="P4297" s="0">
        <v>0</v>
      </c>
      <c r="R4297" s="0" t="b">
        <v>0</v>
      </c>
      <c r="S4297" s="0" t="b">
        <v>0</v>
      </c>
      <c r="T4297" s="68">
        <v>46043.7201041667</v>
      </c>
      <c r="U4297" s="68">
        <v>0</v>
      </c>
      <c r="V4297" s="68">
        <v>46083.1668287037</v>
      </c>
      <c r="W4297" s="0">
        <f>IF(IF(B4297="none",1,IF(B4297="Trialer",1,0))+IF(C4297="Customer",1,IF(C4297="Lost",1,0))=2,1,0)</f>
      </c>
      <c r="X4297" s="0" t="s">
        <v>136</v>
      </c>
      <c r="Y4297" s="0" t="s">
        <v>1516</v>
      </c>
      <c r="AV4297" s="68"/>
      <c r="AW4297" s="68"/>
      <c r="AY4297" s="27"/>
      <c r="BD4297" s="68">
        <v>46054.1666666667</v>
      </c>
      <c r="BE4297" s="68">
        <v>46082.1666666667</v>
      </c>
      <c r="BF4297" s="0" t="b">
        <v>0</v>
      </c>
      <c r="BG4297" s="0" t="b">
        <v>0</v>
      </c>
      <c r="BH4297" s="0">
        <v>44.25</v>
      </c>
      <c r="BI4297" s="0">
        <v>44.25</v>
      </c>
      <c r="BJ4297" s="0" t="s">
        <v>135</v>
      </c>
    </row>
    <row r="4298">
      <c r="A4298" s="0" t="s">
        <v>4559</v>
      </c>
      <c r="B4298" s="0" t="s">
        <v>652</v>
      </c>
      <c r="C4298" s="0" t="s">
        <v>134</v>
      </c>
      <c r="D4298" s="0" t="s">
        <v>230</v>
      </c>
      <c r="E4298" s="0" t="s">
        <v>3</v>
      </c>
      <c r="F4298" s="0" t="s">
        <v>12</v>
      </c>
      <c r="G4298" s="0" t="s">
        <v>8</v>
      </c>
      <c r="H4298" s="0">
        <v>10</v>
      </c>
      <c r="I4298" s="0">
        <v>53.1</v>
      </c>
      <c r="J4298" s="0">
        <v>0</v>
      </c>
      <c r="K4298" s="0">
        <v>1</v>
      </c>
      <c r="L4298" s="0">
        <v>3</v>
      </c>
      <c r="M4298" s="0">
        <v>1</v>
      </c>
      <c r="N4298" s="0">
        <v>0</v>
      </c>
      <c r="O4298" s="0">
        <v>0</v>
      </c>
      <c r="P4298" s="0">
        <v>584.1</v>
      </c>
      <c r="R4298" s="0" t="b">
        <v>0</v>
      </c>
      <c r="S4298" s="0" t="b">
        <v>1</v>
      </c>
      <c r="T4298" s="68">
        <v>46043.7675115741</v>
      </c>
      <c r="U4298" s="68">
        <v>46058.2916666667</v>
      </c>
      <c r="V4298" s="68">
        <v>0</v>
      </c>
      <c r="W4298" s="0">
        <f>IF(IF(B4298="none",1,IF(B4298="Trialer",1,0))+IF(C4298="Customer",1,IF(C4298="Lost",1,0))=2,1,0)</f>
      </c>
      <c r="X4298" s="0" t="s">
        <v>1461</v>
      </c>
      <c r="Y4298" s="0" t="s">
        <v>243</v>
      </c>
      <c r="AV4298" s="68"/>
      <c r="AW4298" s="68"/>
      <c r="AY4298" s="27"/>
      <c r="BD4298" s="68">
        <v>46054.1666666667</v>
      </c>
      <c r="BE4298" s="68">
        <v>46082.1666666667</v>
      </c>
      <c r="BF4298" s="0" t="b">
        <v>0</v>
      </c>
      <c r="BG4298" s="0" t="b">
        <v>0</v>
      </c>
      <c r="BH4298" s="0">
        <v>59</v>
      </c>
      <c r="BI4298" s="0">
        <v>59</v>
      </c>
      <c r="BJ4298" s="0" t="s">
        <v>230</v>
      </c>
    </row>
    <row r="4299">
      <c r="A4299" s="0" t="s">
        <v>4560</v>
      </c>
      <c r="B4299" s="0" t="s">
        <v>652</v>
      </c>
      <c r="C4299" s="0" t="s">
        <v>652</v>
      </c>
      <c r="D4299" s="0" t="s">
        <v>135</v>
      </c>
      <c r="E4299" s="0" t="s">
        <v>1515</v>
      </c>
      <c r="F4299" s="0" t="s">
        <v>12</v>
      </c>
      <c r="G4299" s="0" t="s">
        <v>8</v>
      </c>
      <c r="H4299" s="0">
        <v>10</v>
      </c>
      <c r="I4299" s="0">
        <v>0</v>
      </c>
      <c r="J4299" s="0">
        <v>0</v>
      </c>
      <c r="K4299" s="0">
        <v>0</v>
      </c>
      <c r="L4299" s="0">
        <v>0</v>
      </c>
      <c r="M4299" s="0">
        <v>0</v>
      </c>
      <c r="N4299" s="0">
        <v>0</v>
      </c>
      <c r="O4299" s="0">
        <v>0</v>
      </c>
      <c r="P4299" s="0">
        <v>0</v>
      </c>
      <c r="R4299" s="0" t="b">
        <v>0</v>
      </c>
      <c r="S4299" s="0" t="b">
        <v>0</v>
      </c>
      <c r="T4299" s="68">
        <v>46043.8148842593</v>
      </c>
      <c r="U4299" s="68">
        <v>0</v>
      </c>
      <c r="V4299" s="68">
        <v>46083.1667939815</v>
      </c>
      <c r="W4299" s="0">
        <f>IF(IF(B4299="none",1,IF(B4299="Trialer",1,0))+IF(C4299="Customer",1,IF(C4299="Lost",1,0))=2,1,0)</f>
      </c>
      <c r="X4299" s="0" t="s">
        <v>145</v>
      </c>
      <c r="Y4299" s="0" t="s">
        <v>1516</v>
      </c>
      <c r="AV4299" s="68"/>
      <c r="AW4299" s="68"/>
      <c r="AY4299" s="27"/>
      <c r="BD4299" s="68">
        <v>46054.1666666667</v>
      </c>
      <c r="BE4299" s="68">
        <v>46082.1666666667</v>
      </c>
      <c r="BF4299" s="0" t="b">
        <v>0</v>
      </c>
      <c r="BG4299" s="0" t="b">
        <v>0</v>
      </c>
      <c r="BH4299" s="0">
        <v>44.25</v>
      </c>
      <c r="BI4299" s="0">
        <v>44.25</v>
      </c>
      <c r="BJ4299" s="0" t="s">
        <v>135</v>
      </c>
    </row>
    <row r="4300">
      <c r="A4300" s="0" t="s">
        <v>4561</v>
      </c>
      <c r="B4300" s="0" t="s">
        <v>652</v>
      </c>
      <c r="C4300" s="0" t="s">
        <v>652</v>
      </c>
      <c r="D4300" s="0" t="s">
        <v>135</v>
      </c>
      <c r="E4300" s="0" t="s">
        <v>1515</v>
      </c>
      <c r="F4300" s="0" t="s">
        <v>12</v>
      </c>
      <c r="G4300" s="0" t="s">
        <v>8</v>
      </c>
      <c r="H4300" s="0">
        <v>10</v>
      </c>
      <c r="I4300" s="0">
        <v>0</v>
      </c>
      <c r="J4300" s="0">
        <v>0</v>
      </c>
      <c r="K4300" s="0">
        <v>0</v>
      </c>
      <c r="L4300" s="0">
        <v>0</v>
      </c>
      <c r="M4300" s="0">
        <v>0</v>
      </c>
      <c r="N4300" s="0">
        <v>0</v>
      </c>
      <c r="O4300" s="0">
        <v>0</v>
      </c>
      <c r="P4300" s="0">
        <v>0</v>
      </c>
      <c r="R4300" s="0" t="b">
        <v>0</v>
      </c>
      <c r="S4300" s="0" t="b">
        <v>0</v>
      </c>
      <c r="T4300" s="68">
        <v>46043.8253125</v>
      </c>
      <c r="U4300" s="68">
        <v>0</v>
      </c>
      <c r="V4300" s="68">
        <v>46083.1668634259</v>
      </c>
      <c r="W4300" s="0">
        <f>IF(IF(B4300="none",1,IF(B4300="Trialer",1,0))+IF(C4300="Customer",1,IF(C4300="Lost",1,0))=2,1,0)</f>
      </c>
      <c r="X4300" s="0" t="s">
        <v>136</v>
      </c>
      <c r="Y4300" s="0" t="s">
        <v>1516</v>
      </c>
      <c r="AV4300" s="68"/>
      <c r="AW4300" s="68"/>
      <c r="AY4300" s="27"/>
      <c r="BD4300" s="68">
        <v>46054.1666666667</v>
      </c>
      <c r="BE4300" s="68">
        <v>46082.1666666667</v>
      </c>
      <c r="BF4300" s="0" t="b">
        <v>0</v>
      </c>
      <c r="BG4300" s="0" t="b">
        <v>0</v>
      </c>
      <c r="BH4300" s="0">
        <v>44.25</v>
      </c>
      <c r="BI4300" s="0">
        <v>44.25</v>
      </c>
      <c r="BJ4300" s="0" t="s">
        <v>135</v>
      </c>
    </row>
    <row r="4301">
      <c r="A4301" s="0" t="s">
        <v>4562</v>
      </c>
      <c r="B4301" s="0" t="s">
        <v>652</v>
      </c>
      <c r="C4301" s="0" t="s">
        <v>652</v>
      </c>
      <c r="D4301" s="0" t="s">
        <v>135</v>
      </c>
      <c r="E4301" s="0" t="s">
        <v>3</v>
      </c>
      <c r="F4301" s="0" t="s">
        <v>10</v>
      </c>
      <c r="G4301" s="0" t="s">
        <v>8</v>
      </c>
      <c r="H4301" s="0">
        <v>10</v>
      </c>
      <c r="I4301" s="0">
        <v>0</v>
      </c>
      <c r="J4301" s="0">
        <v>0</v>
      </c>
      <c r="K4301" s="0">
        <v>0</v>
      </c>
      <c r="L4301" s="0">
        <v>0</v>
      </c>
      <c r="M4301" s="0">
        <v>0</v>
      </c>
      <c r="N4301" s="0">
        <v>0</v>
      </c>
      <c r="O4301" s="0">
        <v>0</v>
      </c>
      <c r="P4301" s="0">
        <v>0</v>
      </c>
      <c r="Q4301" s="0" t="s">
        <v>2467</v>
      </c>
      <c r="R4301" s="0" t="b">
        <v>0</v>
      </c>
      <c r="S4301" s="0" t="b">
        <v>0</v>
      </c>
      <c r="T4301" s="68">
        <v>46043.8273611111</v>
      </c>
      <c r="U4301" s="68">
        <v>0</v>
      </c>
      <c r="V4301" s="68">
        <v>46083.1668865741</v>
      </c>
      <c r="W4301" s="0">
        <f>IF(IF(B4301="none",1,IF(B4301="Trialer",1,0))+IF(C4301="Customer",1,IF(C4301="Lost",1,0))=2,1,0)</f>
      </c>
      <c r="X4301" s="0" t="s">
        <v>136</v>
      </c>
      <c r="Y4301" s="0" t="s">
        <v>487</v>
      </c>
      <c r="AV4301" s="68"/>
      <c r="AW4301" s="68"/>
      <c r="AY4301" s="27"/>
      <c r="BD4301" s="68">
        <v>46054.1666666667</v>
      </c>
      <c r="BE4301" s="68">
        <v>46082.1666666667</v>
      </c>
      <c r="BF4301" s="0" t="b">
        <v>0</v>
      </c>
      <c r="BG4301" s="0" t="b">
        <v>0</v>
      </c>
      <c r="BH4301" s="0">
        <v>35.25</v>
      </c>
      <c r="BI4301" s="0">
        <v>35.25</v>
      </c>
      <c r="BJ4301" s="0" t="s">
        <v>135</v>
      </c>
    </row>
    <row r="4302">
      <c r="A4302" s="0" t="s">
        <v>4563</v>
      </c>
      <c r="B4302" s="0" t="s">
        <v>652</v>
      </c>
      <c r="C4302" s="0" t="s">
        <v>652</v>
      </c>
      <c r="D4302" s="0" t="s">
        <v>135</v>
      </c>
      <c r="E4302" s="0" t="s">
        <v>1515</v>
      </c>
      <c r="F4302" s="0" t="s">
        <v>12</v>
      </c>
      <c r="G4302" s="0" t="s">
        <v>8</v>
      </c>
      <c r="H4302" s="0">
        <v>10</v>
      </c>
      <c r="I4302" s="0">
        <v>0</v>
      </c>
      <c r="J4302" s="0">
        <v>0</v>
      </c>
      <c r="K4302" s="0">
        <v>0</v>
      </c>
      <c r="L4302" s="0">
        <v>0</v>
      </c>
      <c r="M4302" s="0">
        <v>0</v>
      </c>
      <c r="N4302" s="0">
        <v>0</v>
      </c>
      <c r="O4302" s="0">
        <v>0</v>
      </c>
      <c r="P4302" s="0">
        <v>0</v>
      </c>
      <c r="R4302" s="0" t="b">
        <v>0</v>
      </c>
      <c r="S4302" s="0" t="b">
        <v>0</v>
      </c>
      <c r="T4302" s="68">
        <v>46043.835474537</v>
      </c>
      <c r="U4302" s="68">
        <v>0</v>
      </c>
      <c r="V4302" s="68">
        <v>46083.1667476852</v>
      </c>
      <c r="W4302" s="0">
        <f>IF(IF(B4302="none",1,IF(B4302="Trialer",1,0))+IF(C4302="Customer",1,IF(C4302="Lost",1,0))=2,1,0)</f>
      </c>
      <c r="X4302" s="0" t="s">
        <v>148</v>
      </c>
      <c r="Y4302" s="0" t="s">
        <v>1516</v>
      </c>
      <c r="AV4302" s="68"/>
      <c r="AW4302" s="68"/>
      <c r="AY4302" s="27"/>
      <c r="BD4302" s="68">
        <v>46054.1666666667</v>
      </c>
      <c r="BE4302" s="68">
        <v>46082.1666666667</v>
      </c>
      <c r="BF4302" s="0" t="b">
        <v>0</v>
      </c>
      <c r="BG4302" s="0" t="b">
        <v>0</v>
      </c>
      <c r="BH4302" s="0">
        <v>44.25</v>
      </c>
      <c r="BI4302" s="0">
        <v>44.25</v>
      </c>
      <c r="BJ4302" s="0" t="s">
        <v>135</v>
      </c>
    </row>
    <row r="4303">
      <c r="A4303" s="0" t="s">
        <v>4564</v>
      </c>
      <c r="B4303" s="0" t="s">
        <v>652</v>
      </c>
      <c r="C4303" s="0" t="s">
        <v>652</v>
      </c>
      <c r="D4303" s="0" t="s">
        <v>135</v>
      </c>
      <c r="E4303" s="0" t="s">
        <v>4</v>
      </c>
      <c r="F4303" s="0" t="s">
        <v>12</v>
      </c>
      <c r="G4303" s="0" t="s">
        <v>8</v>
      </c>
      <c r="H4303" s="0">
        <v>10</v>
      </c>
      <c r="I4303" s="0">
        <v>0</v>
      </c>
      <c r="J4303" s="0">
        <v>0</v>
      </c>
      <c r="K4303" s="0">
        <v>0</v>
      </c>
      <c r="L4303" s="0">
        <v>0</v>
      </c>
      <c r="M4303" s="0">
        <v>0</v>
      </c>
      <c r="N4303" s="0">
        <v>0</v>
      </c>
      <c r="O4303" s="0">
        <v>0</v>
      </c>
      <c r="P4303" s="0">
        <v>0</v>
      </c>
      <c r="R4303" s="0" t="b">
        <v>0</v>
      </c>
      <c r="S4303" s="0" t="b">
        <v>0</v>
      </c>
      <c r="T4303" s="68">
        <v>46043.8393171296</v>
      </c>
      <c r="U4303" s="68">
        <v>0</v>
      </c>
      <c r="V4303" s="68">
        <v>46083.1668402778</v>
      </c>
      <c r="W4303" s="0">
        <f>IF(IF(B4303="none",1,IF(B4303="Trialer",1,0))+IF(C4303="Customer",1,IF(C4303="Lost",1,0))=2,1,0)</f>
      </c>
      <c r="X4303" s="0" t="s">
        <v>145</v>
      </c>
      <c r="Y4303" s="0" t="s">
        <v>1772</v>
      </c>
      <c r="AV4303" s="68"/>
      <c r="AW4303" s="68"/>
      <c r="AY4303" s="27"/>
      <c r="BD4303" s="68">
        <v>46054.1666666667</v>
      </c>
      <c r="BE4303" s="68">
        <v>46082.1666666667</v>
      </c>
      <c r="BF4303" s="0" t="b">
        <v>0</v>
      </c>
      <c r="BG4303" s="0" t="b">
        <v>0</v>
      </c>
      <c r="BH4303" s="0">
        <v>44.25</v>
      </c>
      <c r="BI4303" s="0">
        <v>44.25</v>
      </c>
      <c r="BJ4303" s="0" t="s">
        <v>135</v>
      </c>
    </row>
    <row r="4304">
      <c r="A4304" s="0" t="s">
        <v>4565</v>
      </c>
      <c r="B4304" s="0" t="s">
        <v>652</v>
      </c>
      <c r="C4304" s="0" t="s">
        <v>652</v>
      </c>
      <c r="D4304" s="0" t="s">
        <v>135</v>
      </c>
      <c r="E4304" s="0" t="s">
        <v>1515</v>
      </c>
      <c r="F4304" s="0" t="s">
        <v>12</v>
      </c>
      <c r="G4304" s="0" t="s">
        <v>8</v>
      </c>
      <c r="H4304" s="0">
        <v>10</v>
      </c>
      <c r="I4304" s="0">
        <v>0</v>
      </c>
      <c r="J4304" s="0">
        <v>0</v>
      </c>
      <c r="K4304" s="0">
        <v>0</v>
      </c>
      <c r="L4304" s="0">
        <v>0</v>
      </c>
      <c r="M4304" s="0">
        <v>0</v>
      </c>
      <c r="N4304" s="0">
        <v>0</v>
      </c>
      <c r="O4304" s="0">
        <v>0</v>
      </c>
      <c r="P4304" s="0">
        <v>0</v>
      </c>
      <c r="R4304" s="0" t="b">
        <v>0</v>
      </c>
      <c r="S4304" s="0" t="b">
        <v>0</v>
      </c>
      <c r="T4304" s="68">
        <v>46043.8563657407</v>
      </c>
      <c r="U4304" s="68">
        <v>0</v>
      </c>
      <c r="V4304" s="68">
        <v>46083.1667476852</v>
      </c>
      <c r="W4304" s="0">
        <f>IF(IF(B4304="none",1,IF(B4304="Trialer",1,0))+IF(C4304="Customer",1,IF(C4304="Lost",1,0))=2,1,0)</f>
      </c>
      <c r="X4304" s="0" t="s">
        <v>136</v>
      </c>
      <c r="Y4304" s="0" t="s">
        <v>1516</v>
      </c>
      <c r="AV4304" s="68"/>
      <c r="AW4304" s="68"/>
      <c r="AY4304" s="27"/>
      <c r="BD4304" s="68">
        <v>46054.1666666667</v>
      </c>
      <c r="BE4304" s="68">
        <v>46082.1666666667</v>
      </c>
      <c r="BF4304" s="0" t="b">
        <v>0</v>
      </c>
      <c r="BG4304" s="0" t="b">
        <v>0</v>
      </c>
      <c r="BH4304" s="0">
        <v>44.25</v>
      </c>
      <c r="BI4304" s="0">
        <v>44.25</v>
      </c>
      <c r="BJ4304" s="0" t="s">
        <v>135</v>
      </c>
    </row>
    <row r="4305">
      <c r="A4305" s="0" t="s">
        <v>4566</v>
      </c>
      <c r="B4305" s="0" t="s">
        <v>652</v>
      </c>
      <c r="C4305" s="0" t="s">
        <v>652</v>
      </c>
      <c r="D4305" s="0" t="s">
        <v>135</v>
      </c>
      <c r="E4305" s="0" t="s">
        <v>1515</v>
      </c>
      <c r="F4305" s="0" t="s">
        <v>12</v>
      </c>
      <c r="G4305" s="0" t="s">
        <v>8</v>
      </c>
      <c r="H4305" s="0">
        <v>10</v>
      </c>
      <c r="I4305" s="0">
        <v>0</v>
      </c>
      <c r="J4305" s="0">
        <v>0</v>
      </c>
      <c r="K4305" s="0">
        <v>0</v>
      </c>
      <c r="L4305" s="0">
        <v>0</v>
      </c>
      <c r="M4305" s="0">
        <v>0</v>
      </c>
      <c r="N4305" s="0">
        <v>0</v>
      </c>
      <c r="O4305" s="0">
        <v>0</v>
      </c>
      <c r="P4305" s="0">
        <v>0</v>
      </c>
      <c r="R4305" s="0" t="b">
        <v>0</v>
      </c>
      <c r="S4305" s="0" t="b">
        <v>0</v>
      </c>
      <c r="T4305" s="68">
        <v>46043.8591203704</v>
      </c>
      <c r="U4305" s="68">
        <v>0</v>
      </c>
      <c r="V4305" s="68">
        <v>46083.1668171296</v>
      </c>
      <c r="W4305" s="0">
        <f>IF(IF(B4305="none",1,IF(B4305="Trialer",1,0))+IF(C4305="Customer",1,IF(C4305="Lost",1,0))=2,1,0)</f>
      </c>
      <c r="X4305" s="0" t="s">
        <v>148</v>
      </c>
      <c r="Y4305" s="0" t="s">
        <v>1516</v>
      </c>
      <c r="AV4305" s="68"/>
      <c r="AW4305" s="68"/>
      <c r="AY4305" s="27"/>
      <c r="BD4305" s="68">
        <v>46054.1666666667</v>
      </c>
      <c r="BE4305" s="68">
        <v>46082.1666666667</v>
      </c>
      <c r="BF4305" s="0" t="b">
        <v>0</v>
      </c>
      <c r="BG4305" s="0" t="b">
        <v>0</v>
      </c>
      <c r="BH4305" s="0">
        <v>44.25</v>
      </c>
      <c r="BI4305" s="0">
        <v>44.25</v>
      </c>
      <c r="BJ4305" s="0" t="s">
        <v>135</v>
      </c>
    </row>
    <row r="4306">
      <c r="A4306" s="0" t="s">
        <v>4567</v>
      </c>
      <c r="B4306" s="0" t="s">
        <v>652</v>
      </c>
      <c r="C4306" s="0" t="s">
        <v>652</v>
      </c>
      <c r="D4306" s="0" t="s">
        <v>135</v>
      </c>
      <c r="E4306" s="0" t="s">
        <v>1515</v>
      </c>
      <c r="F4306" s="0" t="s">
        <v>12</v>
      </c>
      <c r="G4306" s="0" t="s">
        <v>8</v>
      </c>
      <c r="H4306" s="0">
        <v>10</v>
      </c>
      <c r="I4306" s="0">
        <v>0</v>
      </c>
      <c r="J4306" s="0">
        <v>0</v>
      </c>
      <c r="K4306" s="0">
        <v>0</v>
      </c>
      <c r="L4306" s="0">
        <v>0</v>
      </c>
      <c r="M4306" s="0">
        <v>0</v>
      </c>
      <c r="N4306" s="0">
        <v>0</v>
      </c>
      <c r="O4306" s="0">
        <v>0</v>
      </c>
      <c r="P4306" s="0">
        <v>0</v>
      </c>
      <c r="R4306" s="0" t="b">
        <v>0</v>
      </c>
      <c r="S4306" s="0" t="b">
        <v>0</v>
      </c>
      <c r="T4306" s="68">
        <v>46043.8627430556</v>
      </c>
      <c r="U4306" s="68">
        <v>0</v>
      </c>
      <c r="V4306" s="68">
        <v>46083.1667824074</v>
      </c>
      <c r="W4306" s="0">
        <f>IF(IF(B4306="none",1,IF(B4306="Trialer",1,0))+IF(C4306="Customer",1,IF(C4306="Lost",1,0))=2,1,0)</f>
      </c>
      <c r="X4306" s="0" t="s">
        <v>145</v>
      </c>
      <c r="Y4306" s="0" t="s">
        <v>1516</v>
      </c>
      <c r="AV4306" s="68"/>
      <c r="AW4306" s="68"/>
      <c r="AY4306" s="27"/>
      <c r="BD4306" s="68">
        <v>46054.1666666667</v>
      </c>
      <c r="BE4306" s="68">
        <v>46082.1666666667</v>
      </c>
      <c r="BF4306" s="0" t="b">
        <v>0</v>
      </c>
      <c r="BG4306" s="0" t="b">
        <v>0</v>
      </c>
      <c r="BH4306" s="0">
        <v>44.25</v>
      </c>
      <c r="BI4306" s="0">
        <v>44.25</v>
      </c>
      <c r="BJ4306" s="0" t="s">
        <v>135</v>
      </c>
    </row>
    <row r="4307">
      <c r="A4307" s="0" t="s">
        <v>4568</v>
      </c>
      <c r="B4307" s="0" t="s">
        <v>652</v>
      </c>
      <c r="C4307" s="0" t="s">
        <v>652</v>
      </c>
      <c r="D4307" s="0" t="s">
        <v>135</v>
      </c>
      <c r="E4307" s="0" t="s">
        <v>1515</v>
      </c>
      <c r="F4307" s="0" t="s">
        <v>12</v>
      </c>
      <c r="G4307" s="0" t="s">
        <v>8</v>
      </c>
      <c r="H4307" s="0">
        <v>10</v>
      </c>
      <c r="I4307" s="0">
        <v>0</v>
      </c>
      <c r="J4307" s="0">
        <v>0</v>
      </c>
      <c r="K4307" s="0">
        <v>0</v>
      </c>
      <c r="L4307" s="0">
        <v>0</v>
      </c>
      <c r="M4307" s="0">
        <v>0</v>
      </c>
      <c r="N4307" s="0">
        <v>0</v>
      </c>
      <c r="O4307" s="0">
        <v>0</v>
      </c>
      <c r="P4307" s="0">
        <v>0</v>
      </c>
      <c r="R4307" s="0" t="b">
        <v>0</v>
      </c>
      <c r="S4307" s="0" t="b">
        <v>0</v>
      </c>
      <c r="T4307" s="68">
        <v>46043.8705439815</v>
      </c>
      <c r="U4307" s="68">
        <v>0</v>
      </c>
      <c r="V4307" s="68">
        <v>46083.1666898148</v>
      </c>
      <c r="W4307" s="0">
        <f>IF(IF(B4307="none",1,IF(B4307="Trialer",1,0))+IF(C4307="Customer",1,IF(C4307="Lost",1,0))=2,1,0)</f>
      </c>
      <c r="X4307" s="0" t="s">
        <v>136</v>
      </c>
      <c r="Y4307" s="0" t="s">
        <v>1516</v>
      </c>
      <c r="AV4307" s="68"/>
      <c r="AW4307" s="68"/>
      <c r="AY4307" s="27"/>
      <c r="BD4307" s="68">
        <v>46054.1666666667</v>
      </c>
      <c r="BE4307" s="68">
        <v>46082.1666666667</v>
      </c>
      <c r="BF4307" s="0" t="b">
        <v>0</v>
      </c>
      <c r="BG4307" s="0" t="b">
        <v>0</v>
      </c>
      <c r="BH4307" s="0">
        <v>44.25</v>
      </c>
      <c r="BI4307" s="0">
        <v>44.25</v>
      </c>
      <c r="BJ4307" s="0" t="s">
        <v>135</v>
      </c>
    </row>
    <row r="4308">
      <c r="A4308" s="0" t="s">
        <v>4569</v>
      </c>
      <c r="B4308" s="0" t="s">
        <v>652</v>
      </c>
      <c r="C4308" s="0" t="s">
        <v>652</v>
      </c>
      <c r="D4308" s="0" t="s">
        <v>135</v>
      </c>
      <c r="E4308" s="0" t="s">
        <v>1515</v>
      </c>
      <c r="F4308" s="0" t="s">
        <v>12</v>
      </c>
      <c r="G4308" s="0" t="s">
        <v>8</v>
      </c>
      <c r="H4308" s="0">
        <v>10</v>
      </c>
      <c r="I4308" s="0">
        <v>0</v>
      </c>
      <c r="J4308" s="0">
        <v>0</v>
      </c>
      <c r="K4308" s="0">
        <v>0</v>
      </c>
      <c r="L4308" s="0">
        <v>0</v>
      </c>
      <c r="M4308" s="0">
        <v>0</v>
      </c>
      <c r="N4308" s="0">
        <v>0</v>
      </c>
      <c r="O4308" s="0">
        <v>0</v>
      </c>
      <c r="P4308" s="0">
        <v>0</v>
      </c>
      <c r="R4308" s="0" t="b">
        <v>0</v>
      </c>
      <c r="S4308" s="0" t="b">
        <v>0</v>
      </c>
      <c r="T4308" s="68">
        <v>46043.8922800926</v>
      </c>
      <c r="U4308" s="68">
        <v>0</v>
      </c>
      <c r="V4308" s="68">
        <v>46083.1668171296</v>
      </c>
      <c r="W4308" s="0">
        <f>IF(IF(B4308="none",1,IF(B4308="Trialer",1,0))+IF(C4308="Customer",1,IF(C4308="Lost",1,0))=2,1,0)</f>
      </c>
      <c r="X4308" s="0" t="s">
        <v>153</v>
      </c>
      <c r="Y4308" s="0" t="s">
        <v>1516</v>
      </c>
      <c r="AV4308" s="68"/>
      <c r="AW4308" s="68"/>
      <c r="AY4308" s="27"/>
      <c r="BD4308" s="68">
        <v>46054.1666666667</v>
      </c>
      <c r="BE4308" s="68">
        <v>46082.1666666667</v>
      </c>
      <c r="BF4308" s="0" t="b">
        <v>0</v>
      </c>
      <c r="BG4308" s="0" t="b">
        <v>0</v>
      </c>
      <c r="BH4308" s="0">
        <v>44.25</v>
      </c>
      <c r="BI4308" s="0">
        <v>44.25</v>
      </c>
      <c r="BJ4308" s="0" t="s">
        <v>135</v>
      </c>
    </row>
    <row r="4309">
      <c r="A4309" s="0" t="s">
        <v>4570</v>
      </c>
      <c r="B4309" s="0" t="s">
        <v>652</v>
      </c>
      <c r="C4309" s="0" t="s">
        <v>652</v>
      </c>
      <c r="D4309" s="0" t="s">
        <v>135</v>
      </c>
      <c r="E4309" s="0" t="s">
        <v>3</v>
      </c>
      <c r="F4309" s="0" t="s">
        <v>12</v>
      </c>
      <c r="G4309" s="0" t="s">
        <v>8</v>
      </c>
      <c r="H4309" s="0">
        <v>10</v>
      </c>
      <c r="I4309" s="0">
        <v>0</v>
      </c>
      <c r="J4309" s="0">
        <v>0</v>
      </c>
      <c r="K4309" s="0">
        <v>0</v>
      </c>
      <c r="L4309" s="0">
        <v>0</v>
      </c>
      <c r="M4309" s="0">
        <v>0</v>
      </c>
      <c r="N4309" s="0">
        <v>0</v>
      </c>
      <c r="O4309" s="0">
        <v>0</v>
      </c>
      <c r="P4309" s="0">
        <v>0</v>
      </c>
      <c r="R4309" s="0" t="b">
        <v>0</v>
      </c>
      <c r="S4309" s="0" t="b">
        <v>0</v>
      </c>
      <c r="T4309" s="68">
        <v>46043.9029050926</v>
      </c>
      <c r="U4309" s="68">
        <v>0</v>
      </c>
      <c r="V4309" s="68">
        <v>46083.1667708333</v>
      </c>
      <c r="W4309" s="0">
        <f>IF(IF(B4309="none",1,IF(B4309="Trialer",1,0))+IF(C4309="Customer",1,IF(C4309="Lost",1,0))=2,1,0)</f>
      </c>
      <c r="X4309" s="0" t="s">
        <v>145</v>
      </c>
      <c r="Y4309" s="0" t="s">
        <v>243</v>
      </c>
      <c r="AV4309" s="68"/>
      <c r="AW4309" s="68"/>
      <c r="AY4309" s="27"/>
      <c r="BD4309" s="68">
        <v>46054.1666666667</v>
      </c>
      <c r="BE4309" s="68">
        <v>46082.1666666667</v>
      </c>
      <c r="BF4309" s="0" t="b">
        <v>0</v>
      </c>
      <c r="BG4309" s="0" t="b">
        <v>0</v>
      </c>
      <c r="BH4309" s="0">
        <v>72.75</v>
      </c>
      <c r="BI4309" s="0">
        <v>72.75</v>
      </c>
      <c r="BJ4309" s="0" t="s">
        <v>135</v>
      </c>
    </row>
    <row r="4310">
      <c r="A4310" s="0" t="s">
        <v>4571</v>
      </c>
      <c r="B4310" s="0" t="s">
        <v>652</v>
      </c>
      <c r="C4310" s="0" t="s">
        <v>652</v>
      </c>
      <c r="D4310" s="0" t="s">
        <v>135</v>
      </c>
      <c r="E4310" s="0" t="s">
        <v>3</v>
      </c>
      <c r="F4310" s="0" t="s">
        <v>12</v>
      </c>
      <c r="G4310" s="0" t="s">
        <v>8</v>
      </c>
      <c r="H4310" s="0">
        <v>10</v>
      </c>
      <c r="I4310" s="0">
        <v>0</v>
      </c>
      <c r="J4310" s="0">
        <v>0</v>
      </c>
      <c r="K4310" s="0">
        <v>0</v>
      </c>
      <c r="L4310" s="0">
        <v>0</v>
      </c>
      <c r="M4310" s="0">
        <v>0</v>
      </c>
      <c r="N4310" s="0">
        <v>0</v>
      </c>
      <c r="O4310" s="0">
        <v>0</v>
      </c>
      <c r="P4310" s="0">
        <v>0</v>
      </c>
      <c r="R4310" s="0" t="b">
        <v>0</v>
      </c>
      <c r="S4310" s="0" t="b">
        <v>0</v>
      </c>
      <c r="T4310" s="68">
        <v>46043.926400463</v>
      </c>
      <c r="U4310" s="68">
        <v>0</v>
      </c>
      <c r="V4310" s="68">
        <v>46083.1668518518</v>
      </c>
      <c r="W4310" s="0">
        <f>IF(IF(B4310="none",1,IF(B4310="Trialer",1,0))+IF(C4310="Customer",1,IF(C4310="Lost",1,0))=2,1,0)</f>
      </c>
      <c r="X4310" s="0" t="s">
        <v>136</v>
      </c>
      <c r="Y4310" s="0" t="s">
        <v>243</v>
      </c>
      <c r="AV4310" s="68"/>
      <c r="AW4310" s="68"/>
      <c r="AY4310" s="27"/>
      <c r="BD4310" s="68">
        <v>46054.1666666667</v>
      </c>
      <c r="BE4310" s="68">
        <v>46082.1666666667</v>
      </c>
      <c r="BF4310" s="0" t="b">
        <v>0</v>
      </c>
      <c r="BG4310" s="0" t="b">
        <v>0</v>
      </c>
      <c r="BH4310" s="0">
        <v>72.75</v>
      </c>
      <c r="BI4310" s="0">
        <v>72.75</v>
      </c>
      <c r="BJ4310" s="0" t="s">
        <v>135</v>
      </c>
    </row>
    <row r="4311">
      <c r="A4311" s="0" t="s">
        <v>4572</v>
      </c>
      <c r="B4311" s="0" t="s">
        <v>652</v>
      </c>
      <c r="C4311" s="0" t="s">
        <v>652</v>
      </c>
      <c r="D4311" s="0" t="s">
        <v>135</v>
      </c>
      <c r="E4311" s="0" t="s">
        <v>3</v>
      </c>
      <c r="F4311" s="0" t="s">
        <v>12</v>
      </c>
      <c r="G4311" s="0" t="s">
        <v>8</v>
      </c>
      <c r="H4311" s="0">
        <v>10</v>
      </c>
      <c r="I4311" s="0">
        <v>0</v>
      </c>
      <c r="J4311" s="0">
        <v>0</v>
      </c>
      <c r="K4311" s="0">
        <v>0</v>
      </c>
      <c r="L4311" s="0">
        <v>0</v>
      </c>
      <c r="M4311" s="0">
        <v>0</v>
      </c>
      <c r="N4311" s="0">
        <v>0</v>
      </c>
      <c r="O4311" s="0">
        <v>0</v>
      </c>
      <c r="P4311" s="0">
        <v>0</v>
      </c>
      <c r="R4311" s="0" t="b">
        <v>0</v>
      </c>
      <c r="S4311" s="0" t="b">
        <v>0</v>
      </c>
      <c r="T4311" s="68">
        <v>46043.9568055556</v>
      </c>
      <c r="U4311" s="68">
        <v>0</v>
      </c>
      <c r="V4311" s="68">
        <v>46083.166712963</v>
      </c>
      <c r="W4311" s="0">
        <f>IF(IF(B4311="none",1,IF(B4311="Trialer",1,0))+IF(C4311="Customer",1,IF(C4311="Lost",1,0))=2,1,0)</f>
      </c>
      <c r="X4311" s="0" t="s">
        <v>136</v>
      </c>
      <c r="Y4311" s="0" t="s">
        <v>243</v>
      </c>
      <c r="AV4311" s="68"/>
      <c r="AW4311" s="68"/>
      <c r="AY4311" s="27"/>
      <c r="BD4311" s="68">
        <v>46054.1666666667</v>
      </c>
      <c r="BE4311" s="68">
        <v>46082.1666666667</v>
      </c>
      <c r="BF4311" s="0" t="b">
        <v>0</v>
      </c>
      <c r="BG4311" s="0" t="b">
        <v>0</v>
      </c>
      <c r="BH4311" s="0">
        <v>44.25</v>
      </c>
      <c r="BI4311" s="0">
        <v>44.25</v>
      </c>
      <c r="BJ4311" s="0" t="s">
        <v>135</v>
      </c>
    </row>
    <row r="4312">
      <c r="A4312" s="0" t="s">
        <v>4573</v>
      </c>
      <c r="B4312" s="0" t="s">
        <v>652</v>
      </c>
      <c r="C4312" s="0" t="s">
        <v>652</v>
      </c>
      <c r="D4312" s="0" t="s">
        <v>135</v>
      </c>
      <c r="E4312" s="0" t="s">
        <v>3</v>
      </c>
      <c r="F4312" s="0" t="s">
        <v>12</v>
      </c>
      <c r="G4312" s="0" t="s">
        <v>8</v>
      </c>
      <c r="H4312" s="0">
        <v>9</v>
      </c>
      <c r="I4312" s="0">
        <v>0</v>
      </c>
      <c r="J4312" s="0">
        <v>0</v>
      </c>
      <c r="K4312" s="0">
        <v>0</v>
      </c>
      <c r="L4312" s="0">
        <v>0</v>
      </c>
      <c r="M4312" s="0">
        <v>0</v>
      </c>
      <c r="N4312" s="0">
        <v>0</v>
      </c>
      <c r="O4312" s="0">
        <v>0</v>
      </c>
      <c r="P4312" s="0">
        <v>0</v>
      </c>
      <c r="R4312" s="0" t="b">
        <v>0</v>
      </c>
      <c r="S4312" s="0" t="b">
        <v>0</v>
      </c>
      <c r="T4312" s="68">
        <v>46043.9836226852</v>
      </c>
      <c r="U4312" s="68">
        <v>0</v>
      </c>
      <c r="V4312" s="68">
        <v>46083.1668518518</v>
      </c>
      <c r="W4312" s="0">
        <f>IF(IF(B4312="none",1,IF(B4312="Trialer",1,0))+IF(C4312="Customer",1,IF(C4312="Lost",1,0))=2,1,0)</f>
      </c>
      <c r="X4312" s="0" t="s">
        <v>148</v>
      </c>
      <c r="Y4312" s="0" t="s">
        <v>243</v>
      </c>
      <c r="AV4312" s="68"/>
      <c r="AW4312" s="68"/>
      <c r="AY4312" s="27"/>
      <c r="BD4312" s="68">
        <v>46054.1666666667</v>
      </c>
      <c r="BE4312" s="68">
        <v>46082.1666666667</v>
      </c>
      <c r="BF4312" s="0" t="b">
        <v>0</v>
      </c>
      <c r="BG4312" s="0" t="b">
        <v>0</v>
      </c>
      <c r="BH4312" s="0">
        <v>53.25</v>
      </c>
      <c r="BI4312" s="0">
        <v>53.25</v>
      </c>
      <c r="BJ4312" s="0" t="s">
        <v>135</v>
      </c>
    </row>
    <row r="4313">
      <c r="A4313" s="0" t="s">
        <v>4574</v>
      </c>
      <c r="B4313" s="0" t="s">
        <v>652</v>
      </c>
      <c r="C4313" s="0" t="s">
        <v>652</v>
      </c>
      <c r="D4313" s="0" t="s">
        <v>135</v>
      </c>
      <c r="E4313" s="0" t="s">
        <v>3</v>
      </c>
      <c r="F4313" s="0" t="s">
        <v>12</v>
      </c>
      <c r="G4313" s="0" t="s">
        <v>8</v>
      </c>
      <c r="H4313" s="0">
        <v>9</v>
      </c>
      <c r="I4313" s="0">
        <v>0</v>
      </c>
      <c r="J4313" s="0">
        <v>0</v>
      </c>
      <c r="K4313" s="0">
        <v>0</v>
      </c>
      <c r="L4313" s="0">
        <v>0</v>
      </c>
      <c r="M4313" s="0">
        <v>0</v>
      </c>
      <c r="N4313" s="0">
        <v>0</v>
      </c>
      <c r="O4313" s="0">
        <v>0</v>
      </c>
      <c r="P4313" s="0">
        <v>0</v>
      </c>
      <c r="R4313" s="0" t="b">
        <v>0</v>
      </c>
      <c r="S4313" s="0" t="b">
        <v>0</v>
      </c>
      <c r="T4313" s="68">
        <v>46044.0420138889</v>
      </c>
      <c r="U4313" s="68">
        <v>0</v>
      </c>
      <c r="V4313" s="68">
        <v>46083.1668055556</v>
      </c>
      <c r="W4313" s="0">
        <f>IF(IF(B4313="none",1,IF(B4313="Trialer",1,0))+IF(C4313="Customer",1,IF(C4313="Lost",1,0))=2,1,0)</f>
      </c>
      <c r="X4313" s="0" t="s">
        <v>145</v>
      </c>
      <c r="Y4313" s="0" t="s">
        <v>243</v>
      </c>
      <c r="AV4313" s="68"/>
      <c r="AW4313" s="68"/>
      <c r="AY4313" s="27"/>
      <c r="BD4313" s="68">
        <v>46054.1666666667</v>
      </c>
      <c r="BE4313" s="68">
        <v>46082.1666666667</v>
      </c>
      <c r="BF4313" s="0" t="b">
        <v>0</v>
      </c>
      <c r="BG4313" s="0" t="b">
        <v>0</v>
      </c>
      <c r="BH4313" s="0">
        <v>44.25</v>
      </c>
      <c r="BI4313" s="0">
        <v>44.25</v>
      </c>
      <c r="BJ4313" s="0" t="s">
        <v>135</v>
      </c>
    </row>
    <row r="4314">
      <c r="A4314" s="0" t="s">
        <v>4575</v>
      </c>
      <c r="B4314" s="0" t="s">
        <v>652</v>
      </c>
      <c r="C4314" s="0" t="s">
        <v>652</v>
      </c>
      <c r="D4314" s="0" t="s">
        <v>135</v>
      </c>
      <c r="E4314" s="0" t="s">
        <v>1515</v>
      </c>
      <c r="F4314" s="0" t="s">
        <v>12</v>
      </c>
      <c r="G4314" s="0" t="s">
        <v>8</v>
      </c>
      <c r="H4314" s="0">
        <v>9</v>
      </c>
      <c r="I4314" s="0">
        <v>0</v>
      </c>
      <c r="J4314" s="0">
        <v>0</v>
      </c>
      <c r="K4314" s="0">
        <v>0</v>
      </c>
      <c r="L4314" s="0">
        <v>0</v>
      </c>
      <c r="M4314" s="0">
        <v>0</v>
      </c>
      <c r="N4314" s="0">
        <v>0</v>
      </c>
      <c r="O4314" s="0">
        <v>0</v>
      </c>
      <c r="P4314" s="0">
        <v>0</v>
      </c>
      <c r="R4314" s="0" t="b">
        <v>0</v>
      </c>
      <c r="S4314" s="0" t="b">
        <v>0</v>
      </c>
      <c r="T4314" s="68">
        <v>46044.1008449074</v>
      </c>
      <c r="U4314" s="68">
        <v>0</v>
      </c>
      <c r="V4314" s="68">
        <v>46083.1668634259</v>
      </c>
      <c r="W4314" s="0">
        <f>IF(IF(B4314="none",1,IF(B4314="Trialer",1,0))+IF(C4314="Customer",1,IF(C4314="Lost",1,0))=2,1,0)</f>
      </c>
      <c r="X4314" s="0" t="s">
        <v>136</v>
      </c>
      <c r="Y4314" s="0" t="s">
        <v>1516</v>
      </c>
      <c r="AV4314" s="68"/>
      <c r="AW4314" s="68"/>
      <c r="AY4314" s="27"/>
      <c r="BD4314" s="68">
        <v>46054.1666666667</v>
      </c>
      <c r="BE4314" s="68">
        <v>46082.1666666667</v>
      </c>
      <c r="BF4314" s="0" t="b">
        <v>0</v>
      </c>
      <c r="BG4314" s="0" t="b">
        <v>0</v>
      </c>
      <c r="BH4314" s="0">
        <v>44.25</v>
      </c>
      <c r="BI4314" s="0">
        <v>44.25</v>
      </c>
      <c r="BJ4314" s="0" t="s">
        <v>135</v>
      </c>
    </row>
    <row r="4315">
      <c r="A4315" s="0" t="s">
        <v>4576</v>
      </c>
      <c r="B4315" s="0" t="s">
        <v>652</v>
      </c>
      <c r="C4315" s="0" t="s">
        <v>652</v>
      </c>
      <c r="D4315" s="0" t="s">
        <v>135</v>
      </c>
      <c r="E4315" s="0" t="s">
        <v>4</v>
      </c>
      <c r="F4315" s="0" t="s">
        <v>12</v>
      </c>
      <c r="G4315" s="0" t="s">
        <v>8</v>
      </c>
      <c r="H4315" s="0">
        <v>9</v>
      </c>
      <c r="I4315" s="0">
        <v>0</v>
      </c>
      <c r="J4315" s="0">
        <v>0</v>
      </c>
      <c r="K4315" s="0">
        <v>0</v>
      </c>
      <c r="L4315" s="0">
        <v>0</v>
      </c>
      <c r="M4315" s="0">
        <v>0</v>
      </c>
      <c r="N4315" s="0">
        <v>0</v>
      </c>
      <c r="O4315" s="0">
        <v>0</v>
      </c>
      <c r="P4315" s="0">
        <v>0</v>
      </c>
      <c r="R4315" s="0" t="b">
        <v>0</v>
      </c>
      <c r="S4315" s="0" t="b">
        <v>0</v>
      </c>
      <c r="T4315" s="68">
        <v>46044.1456018519</v>
      </c>
      <c r="U4315" s="68">
        <v>0</v>
      </c>
      <c r="V4315" s="68">
        <v>46083.1667592593</v>
      </c>
      <c r="W4315" s="0">
        <f>IF(IF(B4315="none",1,IF(B4315="Trialer",1,0))+IF(C4315="Customer",1,IF(C4315="Lost",1,0))=2,1,0)</f>
      </c>
      <c r="X4315" s="0" t="s">
        <v>148</v>
      </c>
      <c r="Y4315" s="0" t="s">
        <v>1772</v>
      </c>
      <c r="AV4315" s="68"/>
      <c r="AW4315" s="68"/>
      <c r="AY4315" s="27"/>
      <c r="BD4315" s="68">
        <v>46054.1666666667</v>
      </c>
      <c r="BE4315" s="68">
        <v>46082.1666666667</v>
      </c>
      <c r="BF4315" s="0" t="b">
        <v>0</v>
      </c>
      <c r="BG4315" s="0" t="b">
        <v>0</v>
      </c>
      <c r="BH4315" s="0">
        <v>62.25</v>
      </c>
      <c r="BI4315" s="0">
        <v>62.25</v>
      </c>
      <c r="BJ4315" s="0" t="s">
        <v>135</v>
      </c>
    </row>
    <row r="4316">
      <c r="A4316" s="0" t="s">
        <v>4577</v>
      </c>
      <c r="B4316" s="0" t="s">
        <v>652</v>
      </c>
      <c r="C4316" s="0" t="s">
        <v>652</v>
      </c>
      <c r="D4316" s="0" t="s">
        <v>135</v>
      </c>
      <c r="E4316" s="0" t="s">
        <v>1515</v>
      </c>
      <c r="F4316" s="0" t="s">
        <v>12</v>
      </c>
      <c r="G4316" s="0" t="s">
        <v>8</v>
      </c>
      <c r="H4316" s="0">
        <v>9</v>
      </c>
      <c r="I4316" s="0">
        <v>0</v>
      </c>
      <c r="J4316" s="0">
        <v>0</v>
      </c>
      <c r="K4316" s="0">
        <v>0</v>
      </c>
      <c r="L4316" s="0">
        <v>0</v>
      </c>
      <c r="M4316" s="0">
        <v>0</v>
      </c>
      <c r="N4316" s="0">
        <v>0</v>
      </c>
      <c r="O4316" s="0">
        <v>0</v>
      </c>
      <c r="P4316" s="0">
        <v>0</v>
      </c>
      <c r="R4316" s="0" t="b">
        <v>0</v>
      </c>
      <c r="S4316" s="0" t="b">
        <v>0</v>
      </c>
      <c r="T4316" s="68">
        <v>46044.2449537037</v>
      </c>
      <c r="U4316" s="68">
        <v>0</v>
      </c>
      <c r="V4316" s="68">
        <v>46084.1668171296</v>
      </c>
      <c r="W4316" s="0">
        <f>IF(IF(B4316="none",1,IF(B4316="Trialer",1,0))+IF(C4316="Customer",1,IF(C4316="Lost",1,0))=2,1,0)</f>
      </c>
      <c r="X4316" s="0" t="s">
        <v>145</v>
      </c>
      <c r="Y4316" s="0" t="s">
        <v>1516</v>
      </c>
      <c r="AV4316" s="68"/>
      <c r="AW4316" s="68"/>
      <c r="AY4316" s="27"/>
      <c r="BD4316" s="68">
        <v>46054.1666666667</v>
      </c>
      <c r="BE4316" s="68">
        <v>46082.1666666667</v>
      </c>
      <c r="BF4316" s="0" t="b">
        <v>0</v>
      </c>
      <c r="BG4316" s="0" t="b">
        <v>0</v>
      </c>
      <c r="BH4316" s="0">
        <v>44.25</v>
      </c>
      <c r="BI4316" s="0">
        <v>44.25</v>
      </c>
      <c r="BJ4316" s="0" t="s">
        <v>135</v>
      </c>
    </row>
    <row r="4317">
      <c r="A4317" s="0" t="s">
        <v>4578</v>
      </c>
      <c r="B4317" s="0" t="s">
        <v>652</v>
      </c>
      <c r="C4317" s="0" t="s">
        <v>652</v>
      </c>
      <c r="D4317" s="0" t="s">
        <v>135</v>
      </c>
      <c r="E4317" s="0" t="s">
        <v>2</v>
      </c>
      <c r="F4317" s="0" t="s">
        <v>12</v>
      </c>
      <c r="G4317" s="0" t="s">
        <v>8</v>
      </c>
      <c r="H4317" s="0">
        <v>9</v>
      </c>
      <c r="I4317" s="0">
        <v>0</v>
      </c>
      <c r="J4317" s="0">
        <v>0</v>
      </c>
      <c r="K4317" s="0">
        <v>0</v>
      </c>
      <c r="L4317" s="0">
        <v>0</v>
      </c>
      <c r="M4317" s="0">
        <v>0</v>
      </c>
      <c r="N4317" s="0">
        <v>0</v>
      </c>
      <c r="O4317" s="0">
        <v>0</v>
      </c>
      <c r="P4317" s="0">
        <v>0</v>
      </c>
      <c r="R4317" s="0" t="b">
        <v>0</v>
      </c>
      <c r="S4317" s="0" t="b">
        <v>0</v>
      </c>
      <c r="T4317" s="68">
        <v>46044.3104861111</v>
      </c>
      <c r="U4317" s="68">
        <v>0</v>
      </c>
      <c r="V4317" s="68">
        <v>46084.1668518518</v>
      </c>
      <c r="W4317" s="0">
        <f>IF(IF(B4317="none",1,IF(B4317="Trialer",1,0))+IF(C4317="Customer",1,IF(C4317="Lost",1,0))=2,1,0)</f>
      </c>
      <c r="X4317" s="0" t="s">
        <v>136</v>
      </c>
      <c r="Y4317" s="0" t="s">
        <v>499</v>
      </c>
      <c r="AV4317" s="68"/>
      <c r="AW4317" s="68"/>
      <c r="AY4317" s="27"/>
      <c r="BD4317" s="68">
        <v>46054.1666666667</v>
      </c>
      <c r="BE4317" s="68">
        <v>46082.1666666667</v>
      </c>
      <c r="BF4317" s="0" t="b">
        <v>0</v>
      </c>
      <c r="BG4317" s="0" t="b">
        <v>0</v>
      </c>
      <c r="BH4317" s="0">
        <v>44.25</v>
      </c>
      <c r="BI4317" s="0">
        <v>44.25</v>
      </c>
      <c r="BJ4317" s="0" t="s">
        <v>135</v>
      </c>
    </row>
    <row r="4318">
      <c r="A4318" s="0" t="s">
        <v>4579</v>
      </c>
      <c r="B4318" s="0" t="s">
        <v>652</v>
      </c>
      <c r="C4318" s="0" t="s">
        <v>652</v>
      </c>
      <c r="D4318" s="0" t="s">
        <v>135</v>
      </c>
      <c r="E4318" s="0" t="s">
        <v>3</v>
      </c>
      <c r="F4318" s="0" t="s">
        <v>12</v>
      </c>
      <c r="G4318" s="0" t="s">
        <v>8</v>
      </c>
      <c r="H4318" s="0">
        <v>9</v>
      </c>
      <c r="I4318" s="0">
        <v>0</v>
      </c>
      <c r="J4318" s="0">
        <v>0</v>
      </c>
      <c r="K4318" s="0">
        <v>0</v>
      </c>
      <c r="L4318" s="0">
        <v>0</v>
      </c>
      <c r="M4318" s="0">
        <v>0</v>
      </c>
      <c r="N4318" s="0">
        <v>0</v>
      </c>
      <c r="O4318" s="0">
        <v>0</v>
      </c>
      <c r="P4318" s="0">
        <v>0</v>
      </c>
      <c r="R4318" s="0" t="b">
        <v>0</v>
      </c>
      <c r="S4318" s="0" t="b">
        <v>0</v>
      </c>
      <c r="T4318" s="68">
        <v>46044.3513310185</v>
      </c>
      <c r="U4318" s="68">
        <v>0</v>
      </c>
      <c r="V4318" s="68">
        <v>46084.166875</v>
      </c>
      <c r="W4318" s="0">
        <f>IF(IF(B4318="none",1,IF(B4318="Trialer",1,0))+IF(C4318="Customer",1,IF(C4318="Lost",1,0))=2,1,0)</f>
      </c>
      <c r="X4318" s="0" t="s">
        <v>148</v>
      </c>
      <c r="Y4318" s="0" t="s">
        <v>243</v>
      </c>
      <c r="AV4318" s="68"/>
      <c r="AW4318" s="68"/>
      <c r="AY4318" s="27"/>
      <c r="BD4318" s="68">
        <v>46054.1666666667</v>
      </c>
      <c r="BE4318" s="68">
        <v>46082.1666666667</v>
      </c>
      <c r="BF4318" s="0" t="b">
        <v>0</v>
      </c>
      <c r="BG4318" s="0" t="b">
        <v>0</v>
      </c>
      <c r="BH4318" s="0">
        <v>44.25</v>
      </c>
      <c r="BI4318" s="0">
        <v>44.25</v>
      </c>
      <c r="BJ4318" s="0" t="s">
        <v>135</v>
      </c>
    </row>
    <row r="4319">
      <c r="A4319" s="0" t="s">
        <v>4580</v>
      </c>
      <c r="B4319" s="0" t="s">
        <v>652</v>
      </c>
      <c r="C4319" s="0" t="s">
        <v>652</v>
      </c>
      <c r="D4319" s="0" t="s">
        <v>135</v>
      </c>
      <c r="E4319" s="0" t="s">
        <v>3</v>
      </c>
      <c r="F4319" s="0" t="s">
        <v>12</v>
      </c>
      <c r="G4319" s="0" t="s">
        <v>8</v>
      </c>
      <c r="H4319" s="0">
        <v>9</v>
      </c>
      <c r="I4319" s="0">
        <v>0</v>
      </c>
      <c r="J4319" s="0">
        <v>0</v>
      </c>
      <c r="K4319" s="0">
        <v>0</v>
      </c>
      <c r="L4319" s="0">
        <v>0</v>
      </c>
      <c r="M4319" s="0">
        <v>0</v>
      </c>
      <c r="N4319" s="0">
        <v>0</v>
      </c>
      <c r="O4319" s="0">
        <v>0</v>
      </c>
      <c r="P4319" s="0">
        <v>0</v>
      </c>
      <c r="R4319" s="0" t="b">
        <v>0</v>
      </c>
      <c r="S4319" s="0" t="b">
        <v>0</v>
      </c>
      <c r="T4319" s="68">
        <v>46044.3765046296</v>
      </c>
      <c r="U4319" s="68">
        <v>0</v>
      </c>
      <c r="V4319" s="68">
        <v>46084.1667592593</v>
      </c>
      <c r="W4319" s="0">
        <f>IF(IF(B4319="none",1,IF(B4319="Trialer",1,0))+IF(C4319="Customer",1,IF(C4319="Lost",1,0))=2,1,0)</f>
      </c>
      <c r="X4319" s="0" t="s">
        <v>136</v>
      </c>
      <c r="Y4319" s="0" t="s">
        <v>243</v>
      </c>
      <c r="AV4319" s="68"/>
      <c r="AW4319" s="68"/>
      <c r="AY4319" s="27"/>
      <c r="BD4319" s="68">
        <v>46054.1666666667</v>
      </c>
      <c r="BE4319" s="68">
        <v>46082.1666666667</v>
      </c>
      <c r="BF4319" s="0" t="b">
        <v>0</v>
      </c>
      <c r="BG4319" s="0" t="b">
        <v>0</v>
      </c>
      <c r="BH4319" s="0">
        <v>44.25</v>
      </c>
      <c r="BI4319" s="0">
        <v>44.25</v>
      </c>
      <c r="BJ4319" s="0" t="s">
        <v>135</v>
      </c>
    </row>
    <row r="4320">
      <c r="A4320" s="0" t="s">
        <v>4581</v>
      </c>
      <c r="B4320" s="0" t="s">
        <v>652</v>
      </c>
      <c r="C4320" s="0" t="s">
        <v>652</v>
      </c>
      <c r="D4320" s="0" t="s">
        <v>135</v>
      </c>
      <c r="E4320" s="0" t="s">
        <v>3</v>
      </c>
      <c r="F4320" s="0" t="s">
        <v>12</v>
      </c>
      <c r="G4320" s="0" t="s">
        <v>8</v>
      </c>
      <c r="H4320" s="0">
        <v>9</v>
      </c>
      <c r="I4320" s="0">
        <v>0</v>
      </c>
      <c r="J4320" s="0">
        <v>0</v>
      </c>
      <c r="K4320" s="0">
        <v>0</v>
      </c>
      <c r="L4320" s="0">
        <v>0</v>
      </c>
      <c r="M4320" s="0">
        <v>0</v>
      </c>
      <c r="N4320" s="0">
        <v>0</v>
      </c>
      <c r="O4320" s="0">
        <v>0</v>
      </c>
      <c r="P4320" s="0">
        <v>0</v>
      </c>
      <c r="R4320" s="0" t="b">
        <v>0</v>
      </c>
      <c r="S4320" s="0" t="b">
        <v>0</v>
      </c>
      <c r="T4320" s="68">
        <v>46044.4195717593</v>
      </c>
      <c r="U4320" s="68">
        <v>0</v>
      </c>
      <c r="V4320" s="68">
        <v>46055.5574768518</v>
      </c>
      <c r="W4320" s="0">
        <f>IF(IF(B4320="none",1,IF(B4320="Trialer",1,0))+IF(C4320="Customer",1,IF(C4320="Lost",1,0))=2,1,0)</f>
      </c>
      <c r="X4320" s="0" t="s">
        <v>145</v>
      </c>
      <c r="Y4320" s="0" t="s">
        <v>243</v>
      </c>
      <c r="AV4320" s="68"/>
      <c r="AW4320" s="68"/>
      <c r="AY4320" s="27"/>
      <c r="BD4320" s="68">
        <v>46054.1666666667</v>
      </c>
      <c r="BE4320" s="68">
        <v>46082.1666666667</v>
      </c>
      <c r="BF4320" s="0" t="b">
        <v>0</v>
      </c>
      <c r="BG4320" s="0" t="b">
        <v>0</v>
      </c>
      <c r="BH4320" s="0">
        <v>44.25</v>
      </c>
      <c r="BI4320" s="0">
        <v>44.25</v>
      </c>
      <c r="BJ4320" s="0" t="s">
        <v>135</v>
      </c>
    </row>
    <row r="4321">
      <c r="A4321" s="0" t="s">
        <v>4582</v>
      </c>
      <c r="B4321" s="0" t="s">
        <v>652</v>
      </c>
      <c r="C4321" s="0" t="s">
        <v>652</v>
      </c>
      <c r="D4321" s="0" t="s">
        <v>135</v>
      </c>
      <c r="E4321" s="0" t="s">
        <v>3</v>
      </c>
      <c r="F4321" s="0" t="s">
        <v>12</v>
      </c>
      <c r="G4321" s="0" t="s">
        <v>8</v>
      </c>
      <c r="H4321" s="0">
        <v>9</v>
      </c>
      <c r="I4321" s="0">
        <v>0</v>
      </c>
      <c r="J4321" s="0">
        <v>0</v>
      </c>
      <c r="K4321" s="0">
        <v>0</v>
      </c>
      <c r="L4321" s="0">
        <v>0</v>
      </c>
      <c r="M4321" s="0">
        <v>0</v>
      </c>
      <c r="N4321" s="0">
        <v>0</v>
      </c>
      <c r="O4321" s="0">
        <v>0</v>
      </c>
      <c r="P4321" s="0">
        <v>0</v>
      </c>
      <c r="R4321" s="0" t="b">
        <v>0</v>
      </c>
      <c r="S4321" s="0" t="b">
        <v>0</v>
      </c>
      <c r="T4321" s="68">
        <v>46044.4442824074</v>
      </c>
      <c r="U4321" s="68">
        <v>0</v>
      </c>
      <c r="V4321" s="68">
        <v>46084.1667592593</v>
      </c>
      <c r="W4321" s="0">
        <f>IF(IF(B4321="none",1,IF(B4321="Trialer",1,0))+IF(C4321="Customer",1,IF(C4321="Lost",1,0))=2,1,0)</f>
      </c>
      <c r="X4321" s="0" t="s">
        <v>136</v>
      </c>
      <c r="Y4321" s="0" t="s">
        <v>243</v>
      </c>
      <c r="AV4321" s="68"/>
      <c r="AW4321" s="68"/>
      <c r="AY4321" s="27"/>
      <c r="BD4321" s="68">
        <v>46054.1666666667</v>
      </c>
      <c r="BE4321" s="68">
        <v>46082.1666666667</v>
      </c>
      <c r="BF4321" s="0" t="b">
        <v>0</v>
      </c>
      <c r="BG4321" s="0" t="b">
        <v>0</v>
      </c>
      <c r="BH4321" s="0">
        <v>44.25</v>
      </c>
      <c r="BI4321" s="0">
        <v>44.25</v>
      </c>
      <c r="BJ4321" s="0" t="s">
        <v>135</v>
      </c>
    </row>
    <row r="4322">
      <c r="A4322" s="0" t="s">
        <v>4583</v>
      </c>
      <c r="B4322" s="0" t="s">
        <v>652</v>
      </c>
      <c r="C4322" s="0" t="s">
        <v>652</v>
      </c>
      <c r="D4322" s="0" t="s">
        <v>135</v>
      </c>
      <c r="E4322" s="0" t="s">
        <v>3</v>
      </c>
      <c r="F4322" s="0" t="s">
        <v>12</v>
      </c>
      <c r="G4322" s="0" t="s">
        <v>8</v>
      </c>
      <c r="H4322" s="0">
        <v>9</v>
      </c>
      <c r="I4322" s="0">
        <v>0</v>
      </c>
      <c r="J4322" s="0">
        <v>0</v>
      </c>
      <c r="K4322" s="0">
        <v>0</v>
      </c>
      <c r="L4322" s="0">
        <v>0</v>
      </c>
      <c r="M4322" s="0">
        <v>0</v>
      </c>
      <c r="N4322" s="0">
        <v>0</v>
      </c>
      <c r="O4322" s="0">
        <v>0</v>
      </c>
      <c r="P4322" s="0">
        <v>0</v>
      </c>
      <c r="R4322" s="0" t="b">
        <v>0</v>
      </c>
      <c r="S4322" s="0" t="b">
        <v>0</v>
      </c>
      <c r="T4322" s="68">
        <v>46044.4634027778</v>
      </c>
      <c r="U4322" s="68">
        <v>0</v>
      </c>
      <c r="V4322" s="68">
        <v>46064.3645833333</v>
      </c>
      <c r="W4322" s="0">
        <f>IF(IF(B4322="none",1,IF(B4322="Trialer",1,0))+IF(C4322="Customer",1,IF(C4322="Lost",1,0))=2,1,0)</f>
      </c>
      <c r="X4322" s="0" t="s">
        <v>148</v>
      </c>
      <c r="Y4322" s="0" t="s">
        <v>243</v>
      </c>
      <c r="AV4322" s="68"/>
      <c r="AW4322" s="68"/>
      <c r="AY4322" s="27"/>
      <c r="BD4322" s="68">
        <v>46054.1666666667</v>
      </c>
      <c r="BE4322" s="68">
        <v>46082.1666666667</v>
      </c>
      <c r="BF4322" s="0" t="b">
        <v>0</v>
      </c>
      <c r="BG4322" s="0" t="b">
        <v>0</v>
      </c>
      <c r="BH4322" s="0">
        <v>54.75</v>
      </c>
      <c r="BI4322" s="0">
        <v>54.75</v>
      </c>
      <c r="BJ4322" s="0" t="s">
        <v>135</v>
      </c>
    </row>
    <row r="4323">
      <c r="A4323" s="0" t="s">
        <v>4584</v>
      </c>
      <c r="B4323" s="0" t="s">
        <v>652</v>
      </c>
      <c r="C4323" s="0" t="s">
        <v>652</v>
      </c>
      <c r="D4323" s="0" t="s">
        <v>135</v>
      </c>
      <c r="E4323" s="0" t="s">
        <v>3</v>
      </c>
      <c r="F4323" s="0" t="s">
        <v>12</v>
      </c>
      <c r="G4323" s="0" t="s">
        <v>8</v>
      </c>
      <c r="H4323" s="0">
        <v>9</v>
      </c>
      <c r="I4323" s="0">
        <v>0</v>
      </c>
      <c r="J4323" s="0">
        <v>0</v>
      </c>
      <c r="K4323" s="0">
        <v>0</v>
      </c>
      <c r="L4323" s="0">
        <v>0</v>
      </c>
      <c r="M4323" s="0">
        <v>0</v>
      </c>
      <c r="N4323" s="0">
        <v>0</v>
      </c>
      <c r="O4323" s="0">
        <v>0</v>
      </c>
      <c r="P4323" s="0">
        <v>0</v>
      </c>
      <c r="R4323" s="0" t="b">
        <v>0</v>
      </c>
      <c r="S4323" s="0" t="b">
        <v>0</v>
      </c>
      <c r="T4323" s="68">
        <v>46044.4662268519</v>
      </c>
      <c r="U4323" s="68">
        <v>0</v>
      </c>
      <c r="V4323" s="68">
        <v>46084.1668171296</v>
      </c>
      <c r="W4323" s="0">
        <f>IF(IF(B4323="none",1,IF(B4323="Trialer",1,0))+IF(C4323="Customer",1,IF(C4323="Lost",1,0))=2,1,0)</f>
      </c>
      <c r="X4323" s="0" t="s">
        <v>145</v>
      </c>
      <c r="Y4323" s="0" t="s">
        <v>243</v>
      </c>
      <c r="AV4323" s="68"/>
      <c r="AW4323" s="68"/>
      <c r="AY4323" s="27"/>
      <c r="BD4323" s="68">
        <v>46054.1666666667</v>
      </c>
      <c r="BE4323" s="68">
        <v>46082.1666666667</v>
      </c>
      <c r="BF4323" s="0" t="b">
        <v>0</v>
      </c>
      <c r="BG4323" s="0" t="b">
        <v>0</v>
      </c>
      <c r="BH4323" s="0">
        <v>44.25</v>
      </c>
      <c r="BI4323" s="0">
        <v>44.25</v>
      </c>
      <c r="BJ4323" s="0" t="s">
        <v>135</v>
      </c>
    </row>
    <row r="4324">
      <c r="A4324" s="0" t="s">
        <v>4585</v>
      </c>
      <c r="B4324" s="0" t="s">
        <v>652</v>
      </c>
      <c r="C4324" s="0" t="s">
        <v>652</v>
      </c>
      <c r="D4324" s="0" t="s">
        <v>135</v>
      </c>
      <c r="E4324" s="0" t="s">
        <v>3</v>
      </c>
      <c r="F4324" s="0" t="s">
        <v>12</v>
      </c>
      <c r="G4324" s="0" t="s">
        <v>8</v>
      </c>
      <c r="H4324" s="0">
        <v>9</v>
      </c>
      <c r="I4324" s="0">
        <v>0</v>
      </c>
      <c r="J4324" s="0">
        <v>0</v>
      </c>
      <c r="K4324" s="0">
        <v>0</v>
      </c>
      <c r="L4324" s="0">
        <v>0</v>
      </c>
      <c r="M4324" s="0">
        <v>0</v>
      </c>
      <c r="N4324" s="0">
        <v>0</v>
      </c>
      <c r="O4324" s="0">
        <v>0</v>
      </c>
      <c r="P4324" s="0">
        <v>0</v>
      </c>
      <c r="R4324" s="0" t="b">
        <v>0</v>
      </c>
      <c r="S4324" s="0" t="b">
        <v>0</v>
      </c>
      <c r="T4324" s="68">
        <v>46044.4895486111</v>
      </c>
      <c r="U4324" s="68">
        <v>0</v>
      </c>
      <c r="V4324" s="68">
        <v>46084.1668634259</v>
      </c>
      <c r="W4324" s="0">
        <f>IF(IF(B4324="none",1,IF(B4324="Trialer",1,0))+IF(C4324="Customer",1,IF(C4324="Lost",1,0))=2,1,0)</f>
      </c>
      <c r="X4324" s="0" t="s">
        <v>136</v>
      </c>
      <c r="Y4324" s="0" t="s">
        <v>243</v>
      </c>
      <c r="AV4324" s="68"/>
      <c r="AW4324" s="68"/>
      <c r="AY4324" s="27"/>
      <c r="BD4324" s="68">
        <v>46054.1666666667</v>
      </c>
      <c r="BE4324" s="68">
        <v>46082.1666666667</v>
      </c>
      <c r="BF4324" s="0" t="b">
        <v>0</v>
      </c>
      <c r="BG4324" s="0" t="b">
        <v>0</v>
      </c>
      <c r="BH4324" s="0">
        <v>145.5</v>
      </c>
      <c r="BI4324" s="0">
        <v>145.5</v>
      </c>
      <c r="BJ4324" s="0" t="s">
        <v>135</v>
      </c>
    </row>
    <row r="4325">
      <c r="A4325" s="0" t="s">
        <v>4586</v>
      </c>
      <c r="B4325" s="0" t="s">
        <v>652</v>
      </c>
      <c r="C4325" s="0" t="s">
        <v>652</v>
      </c>
      <c r="D4325" s="0" t="s">
        <v>135</v>
      </c>
      <c r="E4325" s="0" t="s">
        <v>3</v>
      </c>
      <c r="F4325" s="0" t="s">
        <v>12</v>
      </c>
      <c r="G4325" s="0" t="s">
        <v>8</v>
      </c>
      <c r="H4325" s="0">
        <v>9</v>
      </c>
      <c r="I4325" s="0">
        <v>0</v>
      </c>
      <c r="J4325" s="0">
        <v>0</v>
      </c>
      <c r="K4325" s="0">
        <v>0</v>
      </c>
      <c r="L4325" s="0">
        <v>0</v>
      </c>
      <c r="M4325" s="0">
        <v>0</v>
      </c>
      <c r="N4325" s="0">
        <v>0</v>
      </c>
      <c r="O4325" s="0">
        <v>0</v>
      </c>
      <c r="P4325" s="0">
        <v>0</v>
      </c>
      <c r="R4325" s="0" t="b">
        <v>0</v>
      </c>
      <c r="S4325" s="0" t="b">
        <v>0</v>
      </c>
      <c r="T4325" s="68">
        <v>46044.4978472222</v>
      </c>
      <c r="U4325" s="68">
        <v>0</v>
      </c>
      <c r="V4325" s="68">
        <v>46084.1668287037</v>
      </c>
      <c r="W4325" s="0">
        <f>IF(IF(B4325="none",1,IF(B4325="Trialer",1,0))+IF(C4325="Customer",1,IF(C4325="Lost",1,0))=2,1,0)</f>
      </c>
      <c r="X4325" s="0" t="s">
        <v>148</v>
      </c>
      <c r="Y4325" s="0" t="s">
        <v>243</v>
      </c>
      <c r="AV4325" s="68"/>
      <c r="AW4325" s="68"/>
      <c r="AY4325" s="27"/>
      <c r="BD4325" s="68">
        <v>46054.1666666667</v>
      </c>
      <c r="BE4325" s="68">
        <v>46082.1666666667</v>
      </c>
      <c r="BF4325" s="0" t="b">
        <v>0</v>
      </c>
      <c r="BG4325" s="0" t="b">
        <v>0</v>
      </c>
      <c r="BH4325" s="0">
        <v>53.25</v>
      </c>
      <c r="BI4325" s="0">
        <v>53.25</v>
      </c>
      <c r="BJ4325" s="0" t="s">
        <v>135</v>
      </c>
    </row>
    <row r="4326">
      <c r="A4326" s="0" t="s">
        <v>4587</v>
      </c>
      <c r="B4326" s="0" t="s">
        <v>652</v>
      </c>
      <c r="C4326" s="0" t="s">
        <v>652</v>
      </c>
      <c r="D4326" s="0" t="s">
        <v>135</v>
      </c>
      <c r="E4326" s="0" t="s">
        <v>3</v>
      </c>
      <c r="F4326" s="0" t="s">
        <v>12</v>
      </c>
      <c r="G4326" s="0" t="s">
        <v>8</v>
      </c>
      <c r="H4326" s="0">
        <v>9</v>
      </c>
      <c r="I4326" s="0">
        <v>0</v>
      </c>
      <c r="J4326" s="0">
        <v>0</v>
      </c>
      <c r="K4326" s="0">
        <v>0</v>
      </c>
      <c r="L4326" s="0">
        <v>0</v>
      </c>
      <c r="M4326" s="0">
        <v>0</v>
      </c>
      <c r="N4326" s="0">
        <v>0</v>
      </c>
      <c r="O4326" s="0">
        <v>0</v>
      </c>
      <c r="P4326" s="0">
        <v>0</v>
      </c>
      <c r="R4326" s="0" t="b">
        <v>0</v>
      </c>
      <c r="S4326" s="0" t="b">
        <v>0</v>
      </c>
      <c r="T4326" s="68">
        <v>46044.5016435185</v>
      </c>
      <c r="U4326" s="68">
        <v>0</v>
      </c>
      <c r="V4326" s="68">
        <v>46084.1668865741</v>
      </c>
      <c r="W4326" s="0">
        <f>IF(IF(B4326="none",1,IF(B4326="Trialer",1,0))+IF(C4326="Customer",1,IF(C4326="Lost",1,0))=2,1,0)</f>
      </c>
      <c r="X4326" s="0" t="s">
        <v>145</v>
      </c>
      <c r="Y4326" s="0" t="s">
        <v>243</v>
      </c>
      <c r="AV4326" s="68"/>
      <c r="AW4326" s="68"/>
      <c r="AY4326" s="27"/>
      <c r="BD4326" s="68">
        <v>46054.1666666667</v>
      </c>
      <c r="BE4326" s="68">
        <v>46082.1666666667</v>
      </c>
      <c r="BF4326" s="0" t="b">
        <v>0</v>
      </c>
      <c r="BG4326" s="0" t="b">
        <v>0</v>
      </c>
      <c r="BH4326" s="0">
        <v>0</v>
      </c>
      <c r="BI4326" s="0">
        <v>0</v>
      </c>
      <c r="BJ4326" s="0" t="s">
        <v>135</v>
      </c>
    </row>
    <row r="4327">
      <c r="A4327" s="0" t="s">
        <v>4588</v>
      </c>
      <c r="B4327" s="0" t="s">
        <v>652</v>
      </c>
      <c r="C4327" s="0" t="s">
        <v>652</v>
      </c>
      <c r="D4327" s="0" t="s">
        <v>135</v>
      </c>
      <c r="E4327" s="0" t="s">
        <v>2</v>
      </c>
      <c r="F4327" s="0" t="s">
        <v>12</v>
      </c>
      <c r="G4327" s="0" t="s">
        <v>8</v>
      </c>
      <c r="H4327" s="0">
        <v>9</v>
      </c>
      <c r="I4327" s="0">
        <v>0</v>
      </c>
      <c r="J4327" s="0">
        <v>0</v>
      </c>
      <c r="K4327" s="0">
        <v>0</v>
      </c>
      <c r="L4327" s="0">
        <v>0</v>
      </c>
      <c r="M4327" s="0">
        <v>0</v>
      </c>
      <c r="N4327" s="0">
        <v>0</v>
      </c>
      <c r="O4327" s="0">
        <v>0</v>
      </c>
      <c r="P4327" s="0">
        <v>0</v>
      </c>
      <c r="R4327" s="0" t="b">
        <v>0</v>
      </c>
      <c r="S4327" s="0" t="b">
        <v>0</v>
      </c>
      <c r="T4327" s="68">
        <v>46044.5450115741</v>
      </c>
      <c r="U4327" s="68">
        <v>0</v>
      </c>
      <c r="V4327" s="68">
        <v>46084.1668287037</v>
      </c>
      <c r="W4327" s="0">
        <f>IF(IF(B4327="none",1,IF(B4327="Trialer",1,0))+IF(C4327="Customer",1,IF(C4327="Lost",1,0))=2,1,0)</f>
      </c>
      <c r="X4327" s="0" t="s">
        <v>145</v>
      </c>
      <c r="Y4327" s="0" t="s">
        <v>499</v>
      </c>
      <c r="AV4327" s="68"/>
      <c r="AW4327" s="68"/>
      <c r="AY4327" s="27"/>
      <c r="BD4327" s="68">
        <v>46054.1666666667</v>
      </c>
      <c r="BE4327" s="68">
        <v>46082.1666666667</v>
      </c>
      <c r="BF4327" s="0" t="b">
        <v>0</v>
      </c>
      <c r="BG4327" s="0" t="b">
        <v>0</v>
      </c>
      <c r="BH4327" s="0">
        <v>44.25</v>
      </c>
      <c r="BI4327" s="0">
        <v>44.25</v>
      </c>
      <c r="BJ4327" s="0" t="s">
        <v>135</v>
      </c>
    </row>
    <row r="4328">
      <c r="A4328" s="0" t="s">
        <v>4589</v>
      </c>
      <c r="B4328" s="0" t="s">
        <v>652</v>
      </c>
      <c r="C4328" s="0" t="s">
        <v>134</v>
      </c>
      <c r="D4328" s="0" t="s">
        <v>230</v>
      </c>
      <c r="E4328" s="0" t="s">
        <v>3</v>
      </c>
      <c r="F4328" s="0" t="s">
        <v>12</v>
      </c>
      <c r="G4328" s="0" t="s">
        <v>8</v>
      </c>
      <c r="H4328" s="0">
        <v>9</v>
      </c>
      <c r="I4328" s="0">
        <v>106.2</v>
      </c>
      <c r="J4328" s="0">
        <v>0</v>
      </c>
      <c r="K4328" s="0">
        <v>1</v>
      </c>
      <c r="L4328" s="0">
        <v>3</v>
      </c>
      <c r="M4328" s="0">
        <v>2</v>
      </c>
      <c r="N4328" s="0">
        <v>0</v>
      </c>
      <c r="O4328" s="0">
        <v>0</v>
      </c>
      <c r="P4328" s="0">
        <v>1168.2</v>
      </c>
      <c r="R4328" s="0" t="b">
        <v>0</v>
      </c>
      <c r="S4328" s="0" t="b">
        <v>1</v>
      </c>
      <c r="T4328" s="68">
        <v>46044.55</v>
      </c>
      <c r="U4328" s="68">
        <v>46071.2916666667</v>
      </c>
      <c r="V4328" s="68">
        <v>0</v>
      </c>
      <c r="W4328" s="0">
        <f>IF(IF(B4328="none",1,IF(B4328="Trialer",1,0))+IF(C4328="Customer",1,IF(C4328="Lost",1,0))=2,1,0)</f>
      </c>
      <c r="X4328" s="0" t="s">
        <v>142</v>
      </c>
      <c r="Y4328" s="0" t="s">
        <v>243</v>
      </c>
      <c r="AV4328" s="68"/>
      <c r="AW4328" s="68"/>
      <c r="AY4328" s="27"/>
      <c r="BD4328" s="68">
        <v>46054.1666666667</v>
      </c>
      <c r="BE4328" s="68">
        <v>46082.1666666667</v>
      </c>
      <c r="BF4328" s="0" t="b">
        <v>0</v>
      </c>
      <c r="BG4328" s="0" t="b">
        <v>0</v>
      </c>
      <c r="BH4328" s="0">
        <v>118</v>
      </c>
      <c r="BI4328" s="0">
        <v>118</v>
      </c>
      <c r="BJ4328" s="0" t="s">
        <v>230</v>
      </c>
    </row>
    <row r="4329">
      <c r="A4329" s="0" t="s">
        <v>4590</v>
      </c>
      <c r="B4329" s="0" t="s">
        <v>652</v>
      </c>
      <c r="C4329" s="0" t="s">
        <v>652</v>
      </c>
      <c r="D4329" s="0" t="s">
        <v>135</v>
      </c>
      <c r="E4329" s="0" t="s">
        <v>3</v>
      </c>
      <c r="F4329" s="0" t="s">
        <v>12</v>
      </c>
      <c r="G4329" s="0" t="s">
        <v>8</v>
      </c>
      <c r="H4329" s="0">
        <v>9</v>
      </c>
      <c r="I4329" s="0">
        <v>0</v>
      </c>
      <c r="J4329" s="0">
        <v>0</v>
      </c>
      <c r="K4329" s="0">
        <v>0</v>
      </c>
      <c r="L4329" s="0">
        <v>0</v>
      </c>
      <c r="M4329" s="0">
        <v>0</v>
      </c>
      <c r="N4329" s="0">
        <v>0</v>
      </c>
      <c r="O4329" s="0">
        <v>0</v>
      </c>
      <c r="P4329" s="0">
        <v>0</v>
      </c>
      <c r="R4329" s="0" t="b">
        <v>0</v>
      </c>
      <c r="S4329" s="0" t="b">
        <v>0</v>
      </c>
      <c r="T4329" s="68">
        <v>46044.5761921296</v>
      </c>
      <c r="U4329" s="68">
        <v>0</v>
      </c>
      <c r="V4329" s="68">
        <v>46079.1668981481</v>
      </c>
      <c r="W4329" s="0">
        <f>IF(IF(B4329="none",1,IF(B4329="Trialer",1,0))+IF(C4329="Customer",1,IF(C4329="Lost",1,0))=2,1,0)</f>
      </c>
      <c r="X4329" s="0" t="s">
        <v>148</v>
      </c>
      <c r="Y4329" s="0" t="s">
        <v>243</v>
      </c>
      <c r="AV4329" s="68"/>
      <c r="AW4329" s="68"/>
      <c r="AY4329" s="27"/>
      <c r="BD4329" s="68">
        <v>46054.1666666667</v>
      </c>
      <c r="BE4329" s="68">
        <v>46082.1666666667</v>
      </c>
      <c r="BF4329" s="0" t="b">
        <v>0</v>
      </c>
      <c r="BG4329" s="0" t="b">
        <v>0</v>
      </c>
      <c r="BH4329" s="0">
        <v>63.75</v>
      </c>
      <c r="BI4329" s="0">
        <v>63.75</v>
      </c>
      <c r="BJ4329" s="0" t="s">
        <v>135</v>
      </c>
    </row>
    <row r="4330">
      <c r="A4330" s="0" t="s">
        <v>4591</v>
      </c>
      <c r="B4330" s="0" t="s">
        <v>652</v>
      </c>
      <c r="C4330" s="0" t="s">
        <v>652</v>
      </c>
      <c r="D4330" s="0" t="s">
        <v>135</v>
      </c>
      <c r="E4330" s="0" t="s">
        <v>2414</v>
      </c>
      <c r="F4330" s="0" t="s">
        <v>12</v>
      </c>
      <c r="G4330" s="0" t="s">
        <v>8</v>
      </c>
      <c r="H4330" s="0">
        <v>9</v>
      </c>
      <c r="I4330" s="0">
        <v>0</v>
      </c>
      <c r="J4330" s="0">
        <v>0</v>
      </c>
      <c r="K4330" s="0">
        <v>0</v>
      </c>
      <c r="L4330" s="0">
        <v>0</v>
      </c>
      <c r="M4330" s="0">
        <v>0</v>
      </c>
      <c r="N4330" s="0">
        <v>0</v>
      </c>
      <c r="O4330" s="0">
        <v>0</v>
      </c>
      <c r="P4330" s="0">
        <v>0</v>
      </c>
      <c r="R4330" s="0" t="b">
        <v>0</v>
      </c>
      <c r="S4330" s="0" t="b">
        <v>0</v>
      </c>
      <c r="T4330" s="68">
        <v>46044.5787962963</v>
      </c>
      <c r="U4330" s="68">
        <v>0</v>
      </c>
      <c r="V4330" s="68">
        <v>46071.7190625</v>
      </c>
      <c r="W4330" s="0">
        <f>IF(IF(B4330="none",1,IF(B4330="Trialer",1,0))+IF(C4330="Customer",1,IF(C4330="Lost",1,0))=2,1,0)</f>
      </c>
      <c r="X4330" s="0" t="s">
        <v>882</v>
      </c>
      <c r="Y4330" s="0" t="s">
        <v>1516</v>
      </c>
      <c r="AV4330" s="68"/>
      <c r="AW4330" s="68"/>
      <c r="AY4330" s="27"/>
      <c r="BD4330" s="68">
        <v>46054.1666666667</v>
      </c>
      <c r="BE4330" s="68">
        <v>46082.1666666667</v>
      </c>
      <c r="BF4330" s="0" t="b">
        <v>0</v>
      </c>
      <c r="BG4330" s="0" t="b">
        <v>0</v>
      </c>
      <c r="BH4330" s="0">
        <v>44.25</v>
      </c>
      <c r="BI4330" s="0">
        <v>44.25</v>
      </c>
      <c r="BJ4330" s="0" t="s">
        <v>135</v>
      </c>
    </row>
    <row r="4331">
      <c r="A4331" s="0" t="s">
        <v>4592</v>
      </c>
      <c r="B4331" s="0" t="s">
        <v>652</v>
      </c>
      <c r="C4331" s="0" t="s">
        <v>652</v>
      </c>
      <c r="D4331" s="0" t="s">
        <v>135</v>
      </c>
      <c r="E4331" s="0" t="s">
        <v>3</v>
      </c>
      <c r="F4331" s="0" t="s">
        <v>12</v>
      </c>
      <c r="G4331" s="0" t="s">
        <v>8</v>
      </c>
      <c r="H4331" s="0">
        <v>9</v>
      </c>
      <c r="I4331" s="0">
        <v>0</v>
      </c>
      <c r="J4331" s="0">
        <v>0</v>
      </c>
      <c r="K4331" s="0">
        <v>0</v>
      </c>
      <c r="L4331" s="0">
        <v>0</v>
      </c>
      <c r="M4331" s="0">
        <v>0</v>
      </c>
      <c r="N4331" s="0">
        <v>0</v>
      </c>
      <c r="O4331" s="0">
        <v>0</v>
      </c>
      <c r="P4331" s="0">
        <v>0</v>
      </c>
      <c r="R4331" s="0" t="b">
        <v>0</v>
      </c>
      <c r="S4331" s="0" t="b">
        <v>0</v>
      </c>
      <c r="T4331" s="68">
        <v>46044.6112152778</v>
      </c>
      <c r="U4331" s="68">
        <v>0</v>
      </c>
      <c r="V4331" s="68">
        <v>46084.1667476852</v>
      </c>
      <c r="W4331" s="0">
        <f>IF(IF(B4331="none",1,IF(B4331="Trialer",1,0))+IF(C4331="Customer",1,IF(C4331="Lost",1,0))=2,1,0)</f>
      </c>
      <c r="X4331" s="0" t="s">
        <v>148</v>
      </c>
      <c r="Y4331" s="0" t="s">
        <v>243</v>
      </c>
      <c r="AV4331" s="68"/>
      <c r="AW4331" s="68"/>
      <c r="AY4331" s="27"/>
      <c r="BD4331" s="68">
        <v>46054.1666666667</v>
      </c>
      <c r="BE4331" s="68">
        <v>46082.1666666667</v>
      </c>
      <c r="BF4331" s="0" t="b">
        <v>0</v>
      </c>
      <c r="BG4331" s="0" t="b">
        <v>0</v>
      </c>
      <c r="BH4331" s="0">
        <v>72.75</v>
      </c>
      <c r="BI4331" s="0">
        <v>72.75</v>
      </c>
      <c r="BJ4331" s="0" t="s">
        <v>135</v>
      </c>
    </row>
    <row r="4332">
      <c r="A4332" s="0" t="s">
        <v>4593</v>
      </c>
      <c r="B4332" s="0" t="s">
        <v>652</v>
      </c>
      <c r="C4332" s="0" t="s">
        <v>652</v>
      </c>
      <c r="D4332" s="0" t="s">
        <v>135</v>
      </c>
      <c r="E4332" s="0" t="s">
        <v>3</v>
      </c>
      <c r="F4332" s="0" t="s">
        <v>12</v>
      </c>
      <c r="G4332" s="0" t="s">
        <v>8</v>
      </c>
      <c r="H4332" s="0">
        <v>9</v>
      </c>
      <c r="I4332" s="0">
        <v>0</v>
      </c>
      <c r="J4332" s="0">
        <v>0</v>
      </c>
      <c r="K4332" s="0">
        <v>0</v>
      </c>
      <c r="L4332" s="0">
        <v>0</v>
      </c>
      <c r="M4332" s="0">
        <v>0</v>
      </c>
      <c r="N4332" s="0">
        <v>0</v>
      </c>
      <c r="O4332" s="0">
        <v>0</v>
      </c>
      <c r="P4332" s="0">
        <v>0</v>
      </c>
      <c r="R4332" s="0" t="b">
        <v>0</v>
      </c>
      <c r="S4332" s="0" t="b">
        <v>0</v>
      </c>
      <c r="T4332" s="68">
        <v>46044.6325462963</v>
      </c>
      <c r="U4332" s="68">
        <v>0</v>
      </c>
      <c r="V4332" s="68">
        <v>46084.1668402778</v>
      </c>
      <c r="W4332" s="0">
        <f>IF(IF(B4332="none",1,IF(B4332="Trialer",1,0))+IF(C4332="Customer",1,IF(C4332="Lost",1,0))=2,1,0)</f>
      </c>
      <c r="X4332" s="0" t="s">
        <v>145</v>
      </c>
      <c r="Y4332" s="0" t="s">
        <v>243</v>
      </c>
      <c r="AV4332" s="68"/>
      <c r="AW4332" s="68"/>
      <c r="AY4332" s="27"/>
      <c r="BD4332" s="68">
        <v>46054.1666666667</v>
      </c>
      <c r="BE4332" s="68">
        <v>46082.1666666667</v>
      </c>
      <c r="BF4332" s="0" t="b">
        <v>0</v>
      </c>
      <c r="BG4332" s="0" t="b">
        <v>0</v>
      </c>
      <c r="BH4332" s="0">
        <v>53.25</v>
      </c>
      <c r="BI4332" s="0">
        <v>53.25</v>
      </c>
      <c r="BJ4332" s="0" t="s">
        <v>135</v>
      </c>
    </row>
    <row r="4333">
      <c r="A4333" s="0" t="s">
        <v>4594</v>
      </c>
      <c r="B4333" s="0" t="s">
        <v>652</v>
      </c>
      <c r="C4333" s="0" t="s">
        <v>652</v>
      </c>
      <c r="D4333" s="0" t="s">
        <v>135</v>
      </c>
      <c r="E4333" s="0" t="s">
        <v>2</v>
      </c>
      <c r="F4333" s="0" t="s">
        <v>12</v>
      </c>
      <c r="G4333" s="0" t="s">
        <v>8</v>
      </c>
      <c r="H4333" s="0">
        <v>9</v>
      </c>
      <c r="I4333" s="0">
        <v>0</v>
      </c>
      <c r="J4333" s="0">
        <v>0</v>
      </c>
      <c r="K4333" s="0">
        <v>0</v>
      </c>
      <c r="L4333" s="0">
        <v>0</v>
      </c>
      <c r="M4333" s="0">
        <v>0</v>
      </c>
      <c r="N4333" s="0">
        <v>0</v>
      </c>
      <c r="O4333" s="0">
        <v>0</v>
      </c>
      <c r="P4333" s="0">
        <v>0</v>
      </c>
      <c r="R4333" s="0" t="b">
        <v>0</v>
      </c>
      <c r="S4333" s="0" t="b">
        <v>0</v>
      </c>
      <c r="T4333" s="68">
        <v>46044.6328009259</v>
      </c>
      <c r="U4333" s="68">
        <v>0</v>
      </c>
      <c r="V4333" s="68">
        <v>46079.3649652778</v>
      </c>
      <c r="W4333" s="0">
        <f>IF(IF(B4333="none",1,IF(B4333="Trialer",1,0))+IF(C4333="Customer",1,IF(C4333="Lost",1,0))=2,1,0)</f>
      </c>
      <c r="X4333" s="0" t="s">
        <v>148</v>
      </c>
      <c r="Y4333" s="0" t="s">
        <v>499</v>
      </c>
      <c r="AV4333" s="68"/>
      <c r="AW4333" s="68"/>
      <c r="AY4333" s="27"/>
      <c r="BD4333" s="68">
        <v>46054.1666666667</v>
      </c>
      <c r="BE4333" s="68">
        <v>46082.1666666667</v>
      </c>
      <c r="BF4333" s="0" t="b">
        <v>1</v>
      </c>
      <c r="BG4333" s="0" t="b">
        <v>0</v>
      </c>
      <c r="BH4333" s="0">
        <v>44.25</v>
      </c>
      <c r="BI4333" s="0">
        <v>44.25</v>
      </c>
      <c r="BJ4333" s="0" t="s">
        <v>135</v>
      </c>
    </row>
    <row r="4334">
      <c r="A4334" s="0" t="s">
        <v>4595</v>
      </c>
      <c r="B4334" s="0" t="s">
        <v>652</v>
      </c>
      <c r="C4334" s="0" t="s">
        <v>652</v>
      </c>
      <c r="D4334" s="0" t="s">
        <v>135</v>
      </c>
      <c r="E4334" s="0" t="s">
        <v>1515</v>
      </c>
      <c r="F4334" s="0" t="s">
        <v>12</v>
      </c>
      <c r="G4334" s="0" t="s">
        <v>8</v>
      </c>
      <c r="H4334" s="0">
        <v>9</v>
      </c>
      <c r="I4334" s="0">
        <v>0</v>
      </c>
      <c r="J4334" s="0">
        <v>0</v>
      </c>
      <c r="K4334" s="0">
        <v>0</v>
      </c>
      <c r="L4334" s="0">
        <v>0</v>
      </c>
      <c r="M4334" s="0">
        <v>0</v>
      </c>
      <c r="N4334" s="0">
        <v>0</v>
      </c>
      <c r="O4334" s="0">
        <v>0</v>
      </c>
      <c r="P4334" s="0">
        <v>0</v>
      </c>
      <c r="R4334" s="0" t="b">
        <v>0</v>
      </c>
      <c r="S4334" s="0" t="b">
        <v>0</v>
      </c>
      <c r="T4334" s="68">
        <v>46044.6478472222</v>
      </c>
      <c r="U4334" s="68">
        <v>0</v>
      </c>
      <c r="V4334" s="68">
        <v>46084.166712963</v>
      </c>
      <c r="W4334" s="0">
        <f>IF(IF(B4334="none",1,IF(B4334="Trialer",1,0))+IF(C4334="Customer",1,IF(C4334="Lost",1,0))=2,1,0)</f>
      </c>
      <c r="X4334" s="0" t="s">
        <v>136</v>
      </c>
      <c r="Y4334" s="0" t="s">
        <v>1516</v>
      </c>
      <c r="AV4334" s="68"/>
      <c r="AW4334" s="68"/>
      <c r="AY4334" s="27"/>
      <c r="BD4334" s="68">
        <v>46054.1666666667</v>
      </c>
      <c r="BE4334" s="68">
        <v>46082.1666666667</v>
      </c>
      <c r="BF4334" s="0" t="b">
        <v>0</v>
      </c>
      <c r="BG4334" s="0" t="b">
        <v>0</v>
      </c>
      <c r="BH4334" s="0">
        <v>44.25</v>
      </c>
      <c r="BI4334" s="0">
        <v>44.25</v>
      </c>
      <c r="BJ4334" s="0" t="s">
        <v>135</v>
      </c>
    </row>
    <row r="4335">
      <c r="A4335" s="0" t="s">
        <v>4596</v>
      </c>
      <c r="B4335" s="0" t="s">
        <v>652</v>
      </c>
      <c r="C4335" s="0" t="s">
        <v>652</v>
      </c>
      <c r="D4335" s="0" t="s">
        <v>135</v>
      </c>
      <c r="E4335" s="0" t="s">
        <v>2</v>
      </c>
      <c r="F4335" s="0" t="s">
        <v>12</v>
      </c>
      <c r="G4335" s="0" t="s">
        <v>8</v>
      </c>
      <c r="H4335" s="0">
        <v>9</v>
      </c>
      <c r="I4335" s="0">
        <v>0</v>
      </c>
      <c r="J4335" s="0">
        <v>0</v>
      </c>
      <c r="K4335" s="0">
        <v>0</v>
      </c>
      <c r="L4335" s="0">
        <v>0</v>
      </c>
      <c r="M4335" s="0">
        <v>0</v>
      </c>
      <c r="N4335" s="0">
        <v>0</v>
      </c>
      <c r="O4335" s="0">
        <v>0</v>
      </c>
      <c r="P4335" s="0">
        <v>0</v>
      </c>
      <c r="R4335" s="0" t="b">
        <v>0</v>
      </c>
      <c r="S4335" s="0" t="b">
        <v>0</v>
      </c>
      <c r="T4335" s="68">
        <v>46044.6640393519</v>
      </c>
      <c r="U4335" s="68">
        <v>0</v>
      </c>
      <c r="V4335" s="68">
        <v>46084.1667361111</v>
      </c>
      <c r="W4335" s="0">
        <f>IF(IF(B4335="none",1,IF(B4335="Trialer",1,0))+IF(C4335="Customer",1,IF(C4335="Lost",1,0))=2,1,0)</f>
      </c>
      <c r="X4335" s="0" t="s">
        <v>148</v>
      </c>
      <c r="Y4335" s="0" t="s">
        <v>499</v>
      </c>
      <c r="AV4335" s="68"/>
      <c r="AW4335" s="68"/>
      <c r="AY4335" s="27"/>
      <c r="BD4335" s="68">
        <v>46054.1666666667</v>
      </c>
      <c r="BE4335" s="68">
        <v>46082.1666666667</v>
      </c>
      <c r="BF4335" s="0" t="b">
        <v>0</v>
      </c>
      <c r="BG4335" s="0" t="b">
        <v>0</v>
      </c>
      <c r="BH4335" s="0">
        <v>205.5</v>
      </c>
      <c r="BI4335" s="0">
        <v>205.5</v>
      </c>
      <c r="BJ4335" s="0" t="s">
        <v>135</v>
      </c>
    </row>
    <row r="4336">
      <c r="A4336" s="0" t="s">
        <v>4597</v>
      </c>
      <c r="B4336" s="0" t="s">
        <v>652</v>
      </c>
      <c r="C4336" s="0" t="s">
        <v>652</v>
      </c>
      <c r="D4336" s="0" t="s">
        <v>135</v>
      </c>
      <c r="E4336" s="0" t="s">
        <v>3</v>
      </c>
      <c r="F4336" s="0" t="s">
        <v>12</v>
      </c>
      <c r="G4336" s="0" t="s">
        <v>8</v>
      </c>
      <c r="H4336" s="0">
        <v>9</v>
      </c>
      <c r="I4336" s="0">
        <v>0</v>
      </c>
      <c r="J4336" s="0">
        <v>0</v>
      </c>
      <c r="K4336" s="0">
        <v>0</v>
      </c>
      <c r="L4336" s="0">
        <v>0</v>
      </c>
      <c r="M4336" s="0">
        <v>0</v>
      </c>
      <c r="N4336" s="0">
        <v>0</v>
      </c>
      <c r="O4336" s="0">
        <v>0</v>
      </c>
      <c r="P4336" s="0">
        <v>0</v>
      </c>
      <c r="R4336" s="0" t="b">
        <v>0</v>
      </c>
      <c r="S4336" s="0" t="b">
        <v>0</v>
      </c>
      <c r="T4336" s="68">
        <v>46044.7218287037</v>
      </c>
      <c r="U4336" s="68">
        <v>0</v>
      </c>
      <c r="V4336" s="68">
        <v>46084.1668402778</v>
      </c>
      <c r="W4336" s="0">
        <f>IF(IF(B4336="none",1,IF(B4336="Trialer",1,0))+IF(C4336="Customer",1,IF(C4336="Lost",1,0))=2,1,0)</f>
      </c>
      <c r="X4336" s="0" t="s">
        <v>136</v>
      </c>
      <c r="Y4336" s="0" t="s">
        <v>243</v>
      </c>
      <c r="AV4336" s="68"/>
      <c r="AW4336" s="68"/>
      <c r="AY4336" s="27"/>
      <c r="BD4336" s="68">
        <v>46054.1666666667</v>
      </c>
      <c r="BE4336" s="68">
        <v>46082.1666666667</v>
      </c>
      <c r="BF4336" s="0" t="b">
        <v>0</v>
      </c>
      <c r="BG4336" s="0" t="b">
        <v>0</v>
      </c>
      <c r="BH4336" s="0">
        <v>63.75</v>
      </c>
      <c r="BI4336" s="0">
        <v>63.75</v>
      </c>
      <c r="BJ4336" s="0" t="s">
        <v>135</v>
      </c>
    </row>
    <row r="4337">
      <c r="A4337" s="0" t="s">
        <v>4598</v>
      </c>
      <c r="B4337" s="0" t="s">
        <v>652</v>
      </c>
      <c r="C4337" s="0" t="s">
        <v>652</v>
      </c>
      <c r="D4337" s="0" t="s">
        <v>135</v>
      </c>
      <c r="E4337" s="0" t="s">
        <v>3</v>
      </c>
      <c r="F4337" s="0" t="s">
        <v>12</v>
      </c>
      <c r="G4337" s="0" t="s">
        <v>8</v>
      </c>
      <c r="H4337" s="0">
        <v>9</v>
      </c>
      <c r="I4337" s="0">
        <v>0</v>
      </c>
      <c r="J4337" s="0">
        <v>0</v>
      </c>
      <c r="K4337" s="0">
        <v>0</v>
      </c>
      <c r="L4337" s="0">
        <v>0</v>
      </c>
      <c r="M4337" s="0">
        <v>0</v>
      </c>
      <c r="N4337" s="0">
        <v>0</v>
      </c>
      <c r="O4337" s="0">
        <v>0</v>
      </c>
      <c r="P4337" s="0">
        <v>0</v>
      </c>
      <c r="R4337" s="0" t="b">
        <v>0</v>
      </c>
      <c r="S4337" s="0" t="b">
        <v>0</v>
      </c>
      <c r="T4337" s="68">
        <v>46044.7653819444</v>
      </c>
      <c r="U4337" s="68">
        <v>0</v>
      </c>
      <c r="V4337" s="68">
        <v>46084.166875</v>
      </c>
      <c r="W4337" s="0">
        <f>IF(IF(B4337="none",1,IF(B4337="Trialer",1,0))+IF(C4337="Customer",1,IF(C4337="Lost",1,0))=2,1,0)</f>
      </c>
      <c r="X4337" s="0" t="s">
        <v>148</v>
      </c>
      <c r="Y4337" s="0" t="s">
        <v>243</v>
      </c>
      <c r="AV4337" s="68"/>
      <c r="AW4337" s="68"/>
      <c r="AY4337" s="27"/>
      <c r="BD4337" s="68">
        <v>46054.1666666667</v>
      </c>
      <c r="BE4337" s="68">
        <v>46082.1666666667</v>
      </c>
      <c r="BF4337" s="0" t="b">
        <v>0</v>
      </c>
      <c r="BG4337" s="0" t="b">
        <v>0</v>
      </c>
      <c r="BH4337" s="0">
        <v>53.25</v>
      </c>
      <c r="BI4337" s="0">
        <v>53.25</v>
      </c>
      <c r="BJ4337" s="0" t="s">
        <v>135</v>
      </c>
    </row>
    <row r="4338">
      <c r="A4338" s="0" t="s">
        <v>4599</v>
      </c>
      <c r="B4338" s="0" t="s">
        <v>652</v>
      </c>
      <c r="C4338" s="0" t="s">
        <v>652</v>
      </c>
      <c r="D4338" s="0" t="s">
        <v>135</v>
      </c>
      <c r="E4338" s="0" t="s">
        <v>2</v>
      </c>
      <c r="F4338" s="0" t="s">
        <v>12</v>
      </c>
      <c r="G4338" s="0" t="s">
        <v>8</v>
      </c>
      <c r="H4338" s="0">
        <v>9</v>
      </c>
      <c r="I4338" s="0">
        <v>0</v>
      </c>
      <c r="J4338" s="0">
        <v>0</v>
      </c>
      <c r="K4338" s="0">
        <v>0</v>
      </c>
      <c r="L4338" s="0">
        <v>0</v>
      </c>
      <c r="M4338" s="0">
        <v>0</v>
      </c>
      <c r="N4338" s="0">
        <v>0</v>
      </c>
      <c r="O4338" s="0">
        <v>0</v>
      </c>
      <c r="P4338" s="0">
        <v>0</v>
      </c>
      <c r="R4338" s="0" t="b">
        <v>0</v>
      </c>
      <c r="S4338" s="0" t="b">
        <v>0</v>
      </c>
      <c r="T4338" s="68">
        <v>46044.9085763889</v>
      </c>
      <c r="U4338" s="68">
        <v>0</v>
      </c>
      <c r="V4338" s="68">
        <v>46084.1668055556</v>
      </c>
      <c r="W4338" s="0">
        <f>IF(IF(B4338="none",1,IF(B4338="Trialer",1,0))+IF(C4338="Customer",1,IF(C4338="Lost",1,0))=2,1,0)</f>
      </c>
      <c r="X4338" s="0" t="s">
        <v>145</v>
      </c>
      <c r="Y4338" s="0" t="s">
        <v>499</v>
      </c>
      <c r="AV4338" s="68"/>
      <c r="AW4338" s="68"/>
      <c r="AY4338" s="27"/>
      <c r="BD4338" s="68">
        <v>46054.1666666667</v>
      </c>
      <c r="BE4338" s="68">
        <v>46082.1666666667</v>
      </c>
      <c r="BF4338" s="0" t="b">
        <v>0</v>
      </c>
      <c r="BG4338" s="0" t="b">
        <v>0</v>
      </c>
      <c r="BH4338" s="0">
        <v>53.25</v>
      </c>
      <c r="BI4338" s="0">
        <v>53.25</v>
      </c>
      <c r="BJ4338" s="0" t="s">
        <v>135</v>
      </c>
    </row>
    <row r="4339">
      <c r="A4339" s="0" t="s">
        <v>4600</v>
      </c>
      <c r="B4339" s="0" t="s">
        <v>652</v>
      </c>
      <c r="C4339" s="0" t="s">
        <v>652</v>
      </c>
      <c r="D4339" s="0" t="s">
        <v>135</v>
      </c>
      <c r="E4339" s="0" t="s">
        <v>1515</v>
      </c>
      <c r="F4339" s="0" t="s">
        <v>12</v>
      </c>
      <c r="G4339" s="0" t="s">
        <v>8</v>
      </c>
      <c r="H4339" s="0">
        <v>9</v>
      </c>
      <c r="I4339" s="0">
        <v>0</v>
      </c>
      <c r="J4339" s="0">
        <v>0</v>
      </c>
      <c r="K4339" s="0">
        <v>0</v>
      </c>
      <c r="L4339" s="0">
        <v>0</v>
      </c>
      <c r="M4339" s="0">
        <v>0</v>
      </c>
      <c r="N4339" s="0">
        <v>0</v>
      </c>
      <c r="O4339" s="0">
        <v>0</v>
      </c>
      <c r="P4339" s="0">
        <v>0</v>
      </c>
      <c r="R4339" s="0" t="b">
        <v>0</v>
      </c>
      <c r="S4339" s="0" t="b">
        <v>0</v>
      </c>
      <c r="T4339" s="68">
        <v>46044.9296412037</v>
      </c>
      <c r="U4339" s="68">
        <v>0</v>
      </c>
      <c r="V4339" s="68">
        <v>46063.7604513889</v>
      </c>
      <c r="W4339" s="0">
        <f>IF(IF(B4339="none",1,IF(B4339="Trialer",1,0))+IF(C4339="Customer",1,IF(C4339="Lost",1,0))=2,1,0)</f>
      </c>
      <c r="X4339" s="0" t="s">
        <v>136</v>
      </c>
      <c r="Y4339" s="0" t="s">
        <v>1516</v>
      </c>
      <c r="AV4339" s="68"/>
      <c r="AW4339" s="68"/>
      <c r="AY4339" s="27"/>
      <c r="BD4339" s="68">
        <v>46054.1666666667</v>
      </c>
      <c r="BE4339" s="68">
        <v>46082.1666666667</v>
      </c>
      <c r="BF4339" s="0" t="b">
        <v>0</v>
      </c>
      <c r="BG4339" s="0" t="b">
        <v>0</v>
      </c>
      <c r="BH4339" s="0">
        <v>44.25</v>
      </c>
      <c r="BI4339" s="0">
        <v>44.25</v>
      </c>
      <c r="BJ4339" s="0" t="s">
        <v>135</v>
      </c>
    </row>
    <row r="4340">
      <c r="A4340" s="0" t="s">
        <v>4601</v>
      </c>
      <c r="B4340" s="0" t="s">
        <v>652</v>
      </c>
      <c r="C4340" s="0" t="s">
        <v>652</v>
      </c>
      <c r="D4340" s="0" t="s">
        <v>135</v>
      </c>
      <c r="E4340" s="0" t="s">
        <v>3</v>
      </c>
      <c r="F4340" s="0" t="s">
        <v>12</v>
      </c>
      <c r="G4340" s="0" t="s">
        <v>8</v>
      </c>
      <c r="H4340" s="0">
        <v>8</v>
      </c>
      <c r="I4340" s="0">
        <v>0</v>
      </c>
      <c r="J4340" s="0">
        <v>0</v>
      </c>
      <c r="K4340" s="0">
        <v>0</v>
      </c>
      <c r="L4340" s="0">
        <v>0</v>
      </c>
      <c r="M4340" s="0">
        <v>0</v>
      </c>
      <c r="N4340" s="0">
        <v>0</v>
      </c>
      <c r="O4340" s="0">
        <v>0</v>
      </c>
      <c r="P4340" s="0">
        <v>0</v>
      </c>
      <c r="R4340" s="0" t="b">
        <v>0</v>
      </c>
      <c r="S4340" s="0" t="b">
        <v>0</v>
      </c>
      <c r="T4340" s="68">
        <v>46045.0558564815</v>
      </c>
      <c r="U4340" s="68">
        <v>0</v>
      </c>
      <c r="V4340" s="68">
        <v>46084.1667939815</v>
      </c>
      <c r="W4340" s="0">
        <f>IF(IF(B4340="none",1,IF(B4340="Trialer",1,0))+IF(C4340="Customer",1,IF(C4340="Lost",1,0))=2,1,0)</f>
      </c>
      <c r="X4340" s="0" t="s">
        <v>148</v>
      </c>
      <c r="Y4340" s="0" t="s">
        <v>243</v>
      </c>
      <c r="AV4340" s="68"/>
      <c r="AW4340" s="68"/>
      <c r="AY4340" s="27"/>
      <c r="BD4340" s="68">
        <v>46054.1666666667</v>
      </c>
      <c r="BE4340" s="68">
        <v>46082.1666666667</v>
      </c>
      <c r="BF4340" s="0" t="b">
        <v>0</v>
      </c>
      <c r="BG4340" s="0" t="b">
        <v>0</v>
      </c>
      <c r="BH4340" s="0">
        <v>63.75</v>
      </c>
      <c r="BI4340" s="0">
        <v>63.75</v>
      </c>
      <c r="BJ4340" s="0" t="s">
        <v>135</v>
      </c>
    </row>
    <row r="4341">
      <c r="A4341" s="0" t="s">
        <v>4602</v>
      </c>
      <c r="B4341" s="0" t="s">
        <v>652</v>
      </c>
      <c r="C4341" s="0" t="s">
        <v>652</v>
      </c>
      <c r="D4341" s="0" t="s">
        <v>135</v>
      </c>
      <c r="E4341" s="0" t="s">
        <v>1515</v>
      </c>
      <c r="F4341" s="0" t="s">
        <v>12</v>
      </c>
      <c r="G4341" s="0" t="s">
        <v>8</v>
      </c>
      <c r="H4341" s="0">
        <v>8</v>
      </c>
      <c r="I4341" s="0">
        <v>0</v>
      </c>
      <c r="J4341" s="0">
        <v>0</v>
      </c>
      <c r="K4341" s="0">
        <v>0</v>
      </c>
      <c r="L4341" s="0">
        <v>0</v>
      </c>
      <c r="M4341" s="0">
        <v>0</v>
      </c>
      <c r="N4341" s="0">
        <v>0</v>
      </c>
      <c r="O4341" s="0">
        <v>0</v>
      </c>
      <c r="P4341" s="0">
        <v>0</v>
      </c>
      <c r="R4341" s="0" t="b">
        <v>0</v>
      </c>
      <c r="S4341" s="0" t="b">
        <v>0</v>
      </c>
      <c r="T4341" s="68">
        <v>46045.0986921296</v>
      </c>
      <c r="U4341" s="68">
        <v>0</v>
      </c>
      <c r="V4341" s="68">
        <v>46084.1668634259</v>
      </c>
      <c r="W4341" s="0">
        <f>IF(IF(B4341="none",1,IF(B4341="Trialer",1,0))+IF(C4341="Customer",1,IF(C4341="Lost",1,0))=2,1,0)</f>
      </c>
      <c r="X4341" s="0" t="s">
        <v>145</v>
      </c>
      <c r="Y4341" s="0" t="s">
        <v>1516</v>
      </c>
      <c r="AV4341" s="68"/>
      <c r="AW4341" s="68"/>
      <c r="AY4341" s="27"/>
      <c r="BD4341" s="68">
        <v>46054.1666666667</v>
      </c>
      <c r="BE4341" s="68">
        <v>46082.1666666667</v>
      </c>
      <c r="BF4341" s="0" t="b">
        <v>0</v>
      </c>
      <c r="BG4341" s="0" t="b">
        <v>0</v>
      </c>
      <c r="BH4341" s="0">
        <v>44.25</v>
      </c>
      <c r="BI4341" s="0">
        <v>44.25</v>
      </c>
      <c r="BJ4341" s="0" t="s">
        <v>135</v>
      </c>
    </row>
    <row r="4342">
      <c r="A4342" s="0" t="s">
        <v>4603</v>
      </c>
      <c r="B4342" s="0" t="s">
        <v>652</v>
      </c>
      <c r="C4342" s="0" t="s">
        <v>652</v>
      </c>
      <c r="D4342" s="0" t="s">
        <v>135</v>
      </c>
      <c r="E4342" s="0" t="s">
        <v>2</v>
      </c>
      <c r="F4342" s="0" t="s">
        <v>12</v>
      </c>
      <c r="G4342" s="0" t="s">
        <v>8</v>
      </c>
      <c r="H4342" s="0">
        <v>8</v>
      </c>
      <c r="I4342" s="0">
        <v>0</v>
      </c>
      <c r="J4342" s="0">
        <v>0</v>
      </c>
      <c r="K4342" s="0">
        <v>0</v>
      </c>
      <c r="L4342" s="0">
        <v>0</v>
      </c>
      <c r="M4342" s="0">
        <v>0</v>
      </c>
      <c r="N4342" s="0">
        <v>0</v>
      </c>
      <c r="O4342" s="0">
        <v>0</v>
      </c>
      <c r="P4342" s="0">
        <v>0</v>
      </c>
      <c r="R4342" s="0" t="b">
        <v>0</v>
      </c>
      <c r="S4342" s="0" t="b">
        <v>0</v>
      </c>
      <c r="T4342" s="68">
        <v>46045.1084722222</v>
      </c>
      <c r="U4342" s="68">
        <v>0</v>
      </c>
      <c r="V4342" s="68">
        <v>46059.4048726852</v>
      </c>
      <c r="W4342" s="0">
        <f>IF(IF(B4342="none",1,IF(B4342="Trialer",1,0))+IF(C4342="Customer",1,IF(C4342="Lost",1,0))=2,1,0)</f>
      </c>
      <c r="X4342" s="0" t="s">
        <v>136</v>
      </c>
      <c r="Y4342" s="0" t="s">
        <v>499</v>
      </c>
      <c r="AV4342" s="68"/>
      <c r="AW4342" s="68"/>
      <c r="AY4342" s="27"/>
      <c r="BD4342" s="68">
        <v>46054.1666666667</v>
      </c>
      <c r="BE4342" s="68">
        <v>46082.1666666667</v>
      </c>
      <c r="BF4342" s="0" t="b">
        <v>0</v>
      </c>
      <c r="BG4342" s="0" t="b">
        <v>0</v>
      </c>
      <c r="BH4342" s="0">
        <v>53.25</v>
      </c>
      <c r="BI4342" s="0">
        <v>53.25</v>
      </c>
      <c r="BJ4342" s="0" t="s">
        <v>135</v>
      </c>
    </row>
    <row r="4343">
      <c r="A4343" s="0" t="s">
        <v>4604</v>
      </c>
      <c r="B4343" s="0" t="s">
        <v>652</v>
      </c>
      <c r="C4343" s="0" t="s">
        <v>652</v>
      </c>
      <c r="D4343" s="0" t="s">
        <v>135</v>
      </c>
      <c r="E4343" s="0" t="s">
        <v>2</v>
      </c>
      <c r="F4343" s="0" t="s">
        <v>12</v>
      </c>
      <c r="G4343" s="0" t="s">
        <v>8</v>
      </c>
      <c r="H4343" s="0">
        <v>8</v>
      </c>
      <c r="I4343" s="0">
        <v>0</v>
      </c>
      <c r="J4343" s="0">
        <v>0</v>
      </c>
      <c r="K4343" s="0">
        <v>0</v>
      </c>
      <c r="L4343" s="0">
        <v>0</v>
      </c>
      <c r="M4343" s="0">
        <v>0</v>
      </c>
      <c r="N4343" s="0">
        <v>0</v>
      </c>
      <c r="O4343" s="0">
        <v>0</v>
      </c>
      <c r="P4343" s="0">
        <v>0</v>
      </c>
      <c r="R4343" s="0" t="b">
        <v>0</v>
      </c>
      <c r="S4343" s="0" t="b">
        <v>0</v>
      </c>
      <c r="T4343" s="68">
        <v>46045.2846412037</v>
      </c>
      <c r="U4343" s="68">
        <v>0</v>
      </c>
      <c r="V4343" s="68">
        <v>46085.1667013889</v>
      </c>
      <c r="W4343" s="0">
        <f>IF(IF(B4343="none",1,IF(B4343="Trialer",1,0))+IF(C4343="Customer",1,IF(C4343="Lost",1,0))=2,1,0)</f>
      </c>
      <c r="X4343" s="0" t="s">
        <v>148</v>
      </c>
      <c r="Y4343" s="0" t="s">
        <v>499</v>
      </c>
      <c r="AV4343" s="68"/>
      <c r="AW4343" s="68"/>
      <c r="AY4343" s="27"/>
      <c r="BD4343" s="68">
        <v>46054.1666666667</v>
      </c>
      <c r="BE4343" s="68">
        <v>46082.1666666667</v>
      </c>
      <c r="BF4343" s="0" t="b">
        <v>0</v>
      </c>
      <c r="BG4343" s="0" t="b">
        <v>0</v>
      </c>
      <c r="BH4343" s="0">
        <v>44.25</v>
      </c>
      <c r="BI4343" s="0">
        <v>44.25</v>
      </c>
      <c r="BJ4343" s="0" t="s">
        <v>135</v>
      </c>
    </row>
    <row r="4344">
      <c r="A4344" s="0" t="s">
        <v>4605</v>
      </c>
      <c r="B4344" s="0" t="s">
        <v>652</v>
      </c>
      <c r="C4344" s="0" t="s">
        <v>652</v>
      </c>
      <c r="D4344" s="0" t="s">
        <v>135</v>
      </c>
      <c r="E4344" s="0" t="s">
        <v>2</v>
      </c>
      <c r="F4344" s="0" t="s">
        <v>12</v>
      </c>
      <c r="G4344" s="0" t="s">
        <v>8</v>
      </c>
      <c r="H4344" s="0">
        <v>8</v>
      </c>
      <c r="I4344" s="0">
        <v>0</v>
      </c>
      <c r="J4344" s="0">
        <v>0</v>
      </c>
      <c r="K4344" s="0">
        <v>0</v>
      </c>
      <c r="L4344" s="0">
        <v>0</v>
      </c>
      <c r="M4344" s="0">
        <v>0</v>
      </c>
      <c r="N4344" s="0">
        <v>0</v>
      </c>
      <c r="O4344" s="0">
        <v>0</v>
      </c>
      <c r="P4344" s="0">
        <v>0</v>
      </c>
      <c r="R4344" s="0" t="b">
        <v>0</v>
      </c>
      <c r="S4344" s="0" t="b">
        <v>0</v>
      </c>
      <c r="T4344" s="68">
        <v>46045.2889236111</v>
      </c>
      <c r="U4344" s="68">
        <v>0</v>
      </c>
      <c r="V4344" s="68">
        <v>46085.1667361111</v>
      </c>
      <c r="W4344" s="0">
        <f>IF(IF(B4344="none",1,IF(B4344="Trialer",1,0))+IF(C4344="Customer",1,IF(C4344="Lost",1,0))=2,1,0)</f>
      </c>
      <c r="X4344" s="0" t="s">
        <v>145</v>
      </c>
      <c r="Y4344" s="0" t="s">
        <v>499</v>
      </c>
      <c r="AV4344" s="68"/>
      <c r="AW4344" s="68"/>
      <c r="AY4344" s="27"/>
      <c r="BD4344" s="68">
        <v>46054.1666666667</v>
      </c>
      <c r="BE4344" s="68">
        <v>46082.1666666667</v>
      </c>
      <c r="BF4344" s="0" t="b">
        <v>0</v>
      </c>
      <c r="BG4344" s="0" t="b">
        <v>0</v>
      </c>
      <c r="BH4344" s="0">
        <v>44.25</v>
      </c>
      <c r="BI4344" s="0">
        <v>44.25</v>
      </c>
      <c r="BJ4344" s="0" t="s">
        <v>135</v>
      </c>
    </row>
    <row r="4345">
      <c r="A4345" s="0" t="s">
        <v>4606</v>
      </c>
      <c r="B4345" s="0" t="s">
        <v>652</v>
      </c>
      <c r="C4345" s="0" t="s">
        <v>134</v>
      </c>
      <c r="D4345" s="0" t="s">
        <v>135</v>
      </c>
      <c r="E4345" s="0" t="s">
        <v>4</v>
      </c>
      <c r="F4345" s="0" t="s">
        <v>12</v>
      </c>
      <c r="G4345" s="0" t="s">
        <v>8</v>
      </c>
      <c r="H4345" s="0">
        <v>8</v>
      </c>
      <c r="I4345" s="0">
        <v>44.25</v>
      </c>
      <c r="J4345" s="0">
        <v>0</v>
      </c>
      <c r="K4345" s="0">
        <v>1</v>
      </c>
      <c r="L4345" s="0">
        <v>3</v>
      </c>
      <c r="M4345" s="0">
        <v>1</v>
      </c>
      <c r="N4345" s="0">
        <v>0</v>
      </c>
      <c r="O4345" s="0">
        <v>0</v>
      </c>
      <c r="P4345" s="0">
        <v>0</v>
      </c>
      <c r="R4345" s="0" t="b">
        <v>0</v>
      </c>
      <c r="S4345" s="0" t="b">
        <v>1</v>
      </c>
      <c r="T4345" s="68">
        <v>46045.3907175926</v>
      </c>
      <c r="U4345" s="68">
        <v>46062.2916666667</v>
      </c>
      <c r="V4345" s="68">
        <v>0</v>
      </c>
      <c r="W4345" s="0">
        <f>IF(IF(B4345="none",1,IF(B4345="Trialer",1,0))+IF(C4345="Customer",1,IF(C4345="Lost",1,0))=2,1,0)</f>
      </c>
      <c r="X4345" s="0" t="s">
        <v>1461</v>
      </c>
      <c r="Y4345" s="0" t="s">
        <v>1772</v>
      </c>
      <c r="AV4345" s="68"/>
      <c r="AW4345" s="68"/>
      <c r="AY4345" s="27"/>
      <c r="BD4345" s="68">
        <v>46054.1666666667</v>
      </c>
      <c r="BE4345" s="68">
        <v>46082.1666666667</v>
      </c>
      <c r="BF4345" s="0" t="b">
        <v>0</v>
      </c>
      <c r="BG4345" s="0" t="b">
        <v>0</v>
      </c>
      <c r="BH4345" s="0">
        <v>44.25</v>
      </c>
      <c r="BI4345" s="0">
        <v>44.25</v>
      </c>
      <c r="BJ4345" s="0" t="s">
        <v>135</v>
      </c>
    </row>
    <row r="4346">
      <c r="A4346" s="0" t="s">
        <v>4607</v>
      </c>
      <c r="B4346" s="0" t="s">
        <v>652</v>
      </c>
      <c r="C4346" s="0" t="s">
        <v>134</v>
      </c>
      <c r="D4346" s="0" t="s">
        <v>135</v>
      </c>
      <c r="E4346" s="0" t="s">
        <v>2</v>
      </c>
      <c r="F4346" s="0" t="s">
        <v>12</v>
      </c>
      <c r="G4346" s="0" t="s">
        <v>8</v>
      </c>
      <c r="H4346" s="0">
        <v>8</v>
      </c>
      <c r="I4346" s="0">
        <v>129.75</v>
      </c>
      <c r="J4346" s="0">
        <v>0</v>
      </c>
      <c r="K4346" s="0">
        <v>1</v>
      </c>
      <c r="L4346" s="0">
        <v>4</v>
      </c>
      <c r="M4346" s="0">
        <v>3</v>
      </c>
      <c r="N4346" s="0">
        <v>0</v>
      </c>
      <c r="O4346" s="0">
        <v>0</v>
      </c>
      <c r="P4346" s="0">
        <v>0</v>
      </c>
      <c r="R4346" s="0" t="b">
        <v>0</v>
      </c>
      <c r="S4346" s="0" t="b">
        <v>1</v>
      </c>
      <c r="T4346" s="68">
        <v>46045.4641666667</v>
      </c>
      <c r="U4346" s="68">
        <v>46080.2916666667</v>
      </c>
      <c r="V4346" s="68">
        <v>0</v>
      </c>
      <c r="W4346" s="0">
        <f>IF(IF(B4346="none",1,IF(B4346="Trialer",1,0))+IF(C4346="Customer",1,IF(C4346="Lost",1,0))=2,1,0)</f>
      </c>
      <c r="X4346" s="0" t="s">
        <v>1461</v>
      </c>
      <c r="Y4346" s="0" t="s">
        <v>499</v>
      </c>
      <c r="AV4346" s="68"/>
      <c r="AW4346" s="68"/>
      <c r="AY4346" s="27"/>
      <c r="BD4346" s="68">
        <v>46054.1666666667</v>
      </c>
      <c r="BE4346" s="68">
        <v>46082.1666666667</v>
      </c>
      <c r="BF4346" s="0" t="b">
        <v>0</v>
      </c>
      <c r="BG4346" s="0" t="b">
        <v>0</v>
      </c>
      <c r="BH4346" s="0">
        <v>129.75</v>
      </c>
      <c r="BI4346" s="0">
        <v>129.75</v>
      </c>
      <c r="BJ4346" s="0" t="s">
        <v>135</v>
      </c>
    </row>
    <row r="4347">
      <c r="A4347" s="0" t="s">
        <v>4608</v>
      </c>
      <c r="B4347" s="0" t="s">
        <v>652</v>
      </c>
      <c r="C4347" s="0" t="s">
        <v>134</v>
      </c>
      <c r="D4347" s="0" t="s">
        <v>135</v>
      </c>
      <c r="E4347" s="0" t="s">
        <v>3</v>
      </c>
      <c r="F4347" s="0" t="s">
        <v>12</v>
      </c>
      <c r="G4347" s="0" t="s">
        <v>8</v>
      </c>
      <c r="H4347" s="0">
        <v>8</v>
      </c>
      <c r="I4347" s="0">
        <v>36.75</v>
      </c>
      <c r="J4347" s="0">
        <v>0</v>
      </c>
      <c r="K4347" s="0">
        <v>1</v>
      </c>
      <c r="L4347" s="0">
        <v>2</v>
      </c>
      <c r="M4347" s="0">
        <v>1</v>
      </c>
      <c r="N4347" s="0">
        <v>0</v>
      </c>
      <c r="O4347" s="0">
        <v>0</v>
      </c>
      <c r="P4347" s="0">
        <v>0</v>
      </c>
      <c r="R4347" s="0" t="b">
        <v>0</v>
      </c>
      <c r="S4347" s="0" t="b">
        <v>1</v>
      </c>
      <c r="T4347" s="68">
        <v>46045.4908449074</v>
      </c>
      <c r="U4347" s="68">
        <v>46059.2916666667</v>
      </c>
      <c r="V4347" s="68">
        <v>0</v>
      </c>
      <c r="W4347" s="0">
        <f>IF(IF(B4347="none",1,IF(B4347="Trialer",1,0))+IF(C4347="Customer",1,IF(C4347="Lost",1,0))=2,1,0)</f>
      </c>
      <c r="X4347" s="0" t="s">
        <v>1461</v>
      </c>
      <c r="Y4347" s="0" t="s">
        <v>243</v>
      </c>
      <c r="AV4347" s="68"/>
      <c r="AW4347" s="68"/>
      <c r="AY4347" s="27"/>
      <c r="BD4347" s="68">
        <v>46054.1666666667</v>
      </c>
      <c r="BE4347" s="68">
        <v>46082.1666666667</v>
      </c>
      <c r="BF4347" s="0" t="b">
        <v>0</v>
      </c>
      <c r="BG4347" s="0" t="b">
        <v>0</v>
      </c>
      <c r="BH4347" s="0">
        <v>36.75</v>
      </c>
      <c r="BI4347" s="0">
        <v>36.75</v>
      </c>
      <c r="BJ4347" s="0" t="s">
        <v>135</v>
      </c>
    </row>
    <row r="4348">
      <c r="A4348" s="0" t="s">
        <v>4609</v>
      </c>
      <c r="B4348" s="0" t="s">
        <v>652</v>
      </c>
      <c r="C4348" s="0" t="s">
        <v>652</v>
      </c>
      <c r="D4348" s="0" t="s">
        <v>135</v>
      </c>
      <c r="E4348" s="0" t="s">
        <v>2</v>
      </c>
      <c r="F4348" s="0" t="s">
        <v>12</v>
      </c>
      <c r="G4348" s="0" t="s">
        <v>8</v>
      </c>
      <c r="H4348" s="0">
        <v>8</v>
      </c>
      <c r="I4348" s="0">
        <v>0</v>
      </c>
      <c r="J4348" s="0">
        <v>0</v>
      </c>
      <c r="K4348" s="0">
        <v>0</v>
      </c>
      <c r="L4348" s="0">
        <v>0</v>
      </c>
      <c r="M4348" s="0">
        <v>0</v>
      </c>
      <c r="N4348" s="0">
        <v>0</v>
      </c>
      <c r="O4348" s="0">
        <v>0</v>
      </c>
      <c r="P4348" s="0">
        <v>0</v>
      </c>
      <c r="R4348" s="0" t="b">
        <v>0</v>
      </c>
      <c r="S4348" s="0" t="b">
        <v>0</v>
      </c>
      <c r="T4348" s="68">
        <v>46045.4981365741</v>
      </c>
      <c r="U4348" s="68">
        <v>0</v>
      </c>
      <c r="V4348" s="68">
        <v>46085.1667939815</v>
      </c>
      <c r="W4348" s="0">
        <f>IF(IF(B4348="none",1,IF(B4348="Trialer",1,0))+IF(C4348="Customer",1,IF(C4348="Lost",1,0))=2,1,0)</f>
      </c>
      <c r="X4348" s="0" t="s">
        <v>136</v>
      </c>
      <c r="Y4348" s="0" t="s">
        <v>499</v>
      </c>
      <c r="AV4348" s="68"/>
      <c r="AW4348" s="68"/>
      <c r="AY4348" s="27"/>
      <c r="BD4348" s="68">
        <v>46054.1666666667</v>
      </c>
      <c r="BE4348" s="68">
        <v>46082.1666666667</v>
      </c>
      <c r="BF4348" s="0" t="b">
        <v>0</v>
      </c>
      <c r="BG4348" s="0" t="b">
        <v>0</v>
      </c>
      <c r="BH4348" s="0">
        <v>0</v>
      </c>
      <c r="BI4348" s="0">
        <v>0</v>
      </c>
      <c r="BJ4348" s="0" t="s">
        <v>135</v>
      </c>
    </row>
    <row r="4349">
      <c r="A4349" s="0" t="s">
        <v>4610</v>
      </c>
      <c r="B4349" s="0" t="s">
        <v>652</v>
      </c>
      <c r="C4349" s="0" t="s">
        <v>652</v>
      </c>
      <c r="D4349" s="0" t="s">
        <v>135</v>
      </c>
      <c r="E4349" s="0" t="s">
        <v>2</v>
      </c>
      <c r="F4349" s="0" t="s">
        <v>12</v>
      </c>
      <c r="G4349" s="0" t="s">
        <v>8</v>
      </c>
      <c r="H4349" s="0">
        <v>8</v>
      </c>
      <c r="I4349" s="0">
        <v>0</v>
      </c>
      <c r="J4349" s="0">
        <v>0</v>
      </c>
      <c r="K4349" s="0">
        <v>0</v>
      </c>
      <c r="L4349" s="0">
        <v>0</v>
      </c>
      <c r="M4349" s="0">
        <v>0</v>
      </c>
      <c r="N4349" s="0">
        <v>0</v>
      </c>
      <c r="O4349" s="0">
        <v>0</v>
      </c>
      <c r="P4349" s="0">
        <v>0</v>
      </c>
      <c r="R4349" s="0" t="b">
        <v>0</v>
      </c>
      <c r="S4349" s="0" t="b">
        <v>0</v>
      </c>
      <c r="T4349" s="68">
        <v>46045.5439583333</v>
      </c>
      <c r="U4349" s="68">
        <v>0</v>
      </c>
      <c r="V4349" s="68">
        <v>46055.4322569444</v>
      </c>
      <c r="W4349" s="0">
        <f>IF(IF(B4349="none",1,IF(B4349="Trialer",1,0))+IF(C4349="Customer",1,IF(C4349="Lost",1,0))=2,1,0)</f>
      </c>
      <c r="X4349" s="0" t="s">
        <v>136</v>
      </c>
      <c r="Y4349" s="0" t="s">
        <v>499</v>
      </c>
      <c r="AV4349" s="68"/>
      <c r="AW4349" s="68"/>
      <c r="AY4349" s="27"/>
      <c r="BD4349" s="68">
        <v>46054.1666666667</v>
      </c>
      <c r="BE4349" s="68">
        <v>46082.1666666667</v>
      </c>
      <c r="BF4349" s="0" t="b">
        <v>0</v>
      </c>
      <c r="BG4349" s="0" t="b">
        <v>0</v>
      </c>
      <c r="BH4349" s="0">
        <v>53.25</v>
      </c>
      <c r="BI4349" s="0">
        <v>53.25</v>
      </c>
      <c r="BJ4349" s="0" t="s">
        <v>135</v>
      </c>
    </row>
    <row r="4350">
      <c r="A4350" s="0" t="s">
        <v>4611</v>
      </c>
      <c r="B4350" s="0" t="s">
        <v>652</v>
      </c>
      <c r="C4350" s="0" t="s">
        <v>652</v>
      </c>
      <c r="D4350" s="0" t="s">
        <v>135</v>
      </c>
      <c r="E4350" s="0" t="s">
        <v>2</v>
      </c>
      <c r="F4350" s="0" t="s">
        <v>10</v>
      </c>
      <c r="G4350" s="0" t="s">
        <v>8</v>
      </c>
      <c r="H4350" s="0">
        <v>8</v>
      </c>
      <c r="I4350" s="0">
        <v>0</v>
      </c>
      <c r="J4350" s="0">
        <v>0</v>
      </c>
      <c r="K4350" s="0">
        <v>0</v>
      </c>
      <c r="L4350" s="0">
        <v>0</v>
      </c>
      <c r="M4350" s="0">
        <v>0</v>
      </c>
      <c r="N4350" s="0">
        <v>0</v>
      </c>
      <c r="O4350" s="0">
        <v>0</v>
      </c>
      <c r="P4350" s="0">
        <v>0</v>
      </c>
      <c r="Q4350" s="0" t="s">
        <v>4612</v>
      </c>
      <c r="R4350" s="0" t="b">
        <v>0</v>
      </c>
      <c r="S4350" s="0" t="b">
        <v>0</v>
      </c>
      <c r="T4350" s="68">
        <v>46045.5601041667</v>
      </c>
      <c r="U4350" s="68">
        <v>0</v>
      </c>
      <c r="V4350" s="68">
        <v>46085.1668055556</v>
      </c>
      <c r="W4350" s="0">
        <f>IF(IF(B4350="none",1,IF(B4350="Trialer",1,0))+IF(C4350="Customer",1,IF(C4350="Lost",1,0))=2,1,0)</f>
      </c>
      <c r="X4350" s="0" t="s">
        <v>136</v>
      </c>
      <c r="Y4350" s="0" t="s">
        <v>499</v>
      </c>
      <c r="AV4350" s="68"/>
      <c r="AW4350" s="68"/>
      <c r="AY4350" s="27"/>
      <c r="BD4350" s="68">
        <v>46054.1666666667</v>
      </c>
      <c r="BE4350" s="68">
        <v>46082.1666666667</v>
      </c>
      <c r="BF4350" s="0" t="b">
        <v>0</v>
      </c>
      <c r="BG4350" s="0" t="b">
        <v>0</v>
      </c>
      <c r="BH4350" s="0">
        <v>217.5</v>
      </c>
      <c r="BI4350" s="0">
        <v>217.5</v>
      </c>
      <c r="BJ4350" s="0" t="s">
        <v>135</v>
      </c>
    </row>
    <row r="4351">
      <c r="A4351" s="0" t="s">
        <v>4613</v>
      </c>
      <c r="B4351" s="0" t="s">
        <v>652</v>
      </c>
      <c r="C4351" s="0" t="s">
        <v>134</v>
      </c>
      <c r="D4351" s="0" t="s">
        <v>135</v>
      </c>
      <c r="E4351" s="0" t="s">
        <v>3</v>
      </c>
      <c r="F4351" s="0" t="s">
        <v>12</v>
      </c>
      <c r="G4351" s="0" t="s">
        <v>8</v>
      </c>
      <c r="H4351" s="0">
        <v>8</v>
      </c>
      <c r="I4351" s="0">
        <v>44.25</v>
      </c>
      <c r="J4351" s="0">
        <v>0</v>
      </c>
      <c r="K4351" s="0">
        <v>1</v>
      </c>
      <c r="L4351" s="0">
        <v>3</v>
      </c>
      <c r="M4351" s="0">
        <v>1</v>
      </c>
      <c r="N4351" s="0">
        <v>0</v>
      </c>
      <c r="O4351" s="0">
        <v>0</v>
      </c>
      <c r="P4351" s="0">
        <v>0</v>
      </c>
      <c r="R4351" s="0" t="b">
        <v>0</v>
      </c>
      <c r="S4351" s="0" t="b">
        <v>1</v>
      </c>
      <c r="T4351" s="68">
        <v>46045.6551041667</v>
      </c>
      <c r="U4351" s="68">
        <v>46077.2916666667</v>
      </c>
      <c r="V4351" s="68">
        <v>0</v>
      </c>
      <c r="W4351" s="0">
        <f>IF(IF(B4351="none",1,IF(B4351="Trialer",1,0))+IF(C4351="Customer",1,IF(C4351="Lost",1,0))=2,1,0)</f>
      </c>
      <c r="X4351" s="0" t="s">
        <v>145</v>
      </c>
      <c r="Y4351" s="0" t="s">
        <v>243</v>
      </c>
      <c r="AV4351" s="68"/>
      <c r="AW4351" s="68"/>
      <c r="AY4351" s="27"/>
      <c r="BD4351" s="68">
        <v>46054.1666666667</v>
      </c>
      <c r="BE4351" s="68">
        <v>46082.1666666667</v>
      </c>
      <c r="BF4351" s="0" t="b">
        <v>0</v>
      </c>
      <c r="BG4351" s="0" t="b">
        <v>0</v>
      </c>
      <c r="BH4351" s="0">
        <v>44.25</v>
      </c>
      <c r="BI4351" s="0">
        <v>44.25</v>
      </c>
      <c r="BJ4351" s="0" t="s">
        <v>135</v>
      </c>
    </row>
    <row r="4352">
      <c r="A4352" s="0" t="s">
        <v>4614</v>
      </c>
      <c r="B4352" s="0" t="s">
        <v>652</v>
      </c>
      <c r="C4352" s="0" t="s">
        <v>652</v>
      </c>
      <c r="D4352" s="0" t="s">
        <v>135</v>
      </c>
      <c r="E4352" s="0" t="s">
        <v>2</v>
      </c>
      <c r="F4352" s="0" t="s">
        <v>10</v>
      </c>
      <c r="G4352" s="0" t="s">
        <v>8</v>
      </c>
      <c r="H4352" s="0">
        <v>8</v>
      </c>
      <c r="I4352" s="0">
        <v>0</v>
      </c>
      <c r="J4352" s="0">
        <v>0</v>
      </c>
      <c r="K4352" s="0">
        <v>0</v>
      </c>
      <c r="L4352" s="0">
        <v>0</v>
      </c>
      <c r="M4352" s="0">
        <v>0</v>
      </c>
      <c r="N4352" s="0">
        <v>0</v>
      </c>
      <c r="O4352" s="0">
        <v>0</v>
      </c>
      <c r="P4352" s="0">
        <v>0</v>
      </c>
      <c r="Q4352" s="0" t="s">
        <v>1345</v>
      </c>
      <c r="R4352" s="0" t="b">
        <v>0</v>
      </c>
      <c r="S4352" s="0" t="b">
        <v>0</v>
      </c>
      <c r="T4352" s="68">
        <v>46045.6650578704</v>
      </c>
      <c r="U4352" s="68">
        <v>0</v>
      </c>
      <c r="V4352" s="68">
        <v>46085.1668055556</v>
      </c>
      <c r="W4352" s="0">
        <f>IF(IF(B4352="none",1,IF(B4352="Trialer",1,0))+IF(C4352="Customer",1,IF(C4352="Lost",1,0))=2,1,0)</f>
      </c>
      <c r="X4352" s="0" t="s">
        <v>148</v>
      </c>
      <c r="Y4352" s="0" t="s">
        <v>499</v>
      </c>
      <c r="AV4352" s="68"/>
      <c r="AW4352" s="68"/>
      <c r="AY4352" s="27"/>
      <c r="BD4352" s="68">
        <v>46054.1666666667</v>
      </c>
      <c r="BE4352" s="68">
        <v>46082.1666666667</v>
      </c>
      <c r="BF4352" s="0" t="b">
        <v>0</v>
      </c>
      <c r="BG4352" s="0" t="b">
        <v>0</v>
      </c>
      <c r="BH4352" s="0">
        <v>54.75</v>
      </c>
      <c r="BI4352" s="0">
        <v>54.75</v>
      </c>
      <c r="BJ4352" s="0" t="s">
        <v>135</v>
      </c>
    </row>
    <row r="4353">
      <c r="A4353" s="0" t="s">
        <v>4615</v>
      </c>
      <c r="B4353" s="0" t="s">
        <v>652</v>
      </c>
      <c r="C4353" s="0" t="s">
        <v>190</v>
      </c>
      <c r="D4353" s="0" t="s">
        <v>135</v>
      </c>
      <c r="E4353" s="0" t="s">
        <v>3</v>
      </c>
      <c r="F4353" s="0" t="s">
        <v>12</v>
      </c>
      <c r="G4353" s="0" t="s">
        <v>8</v>
      </c>
      <c r="H4353" s="0">
        <v>8</v>
      </c>
      <c r="I4353" s="0">
        <v>106</v>
      </c>
      <c r="J4353" s="0">
        <v>0</v>
      </c>
      <c r="K4353" s="0">
        <v>1</v>
      </c>
      <c r="L4353" s="0">
        <v>3</v>
      </c>
      <c r="M4353" s="0">
        <v>4</v>
      </c>
      <c r="N4353" s="0">
        <v>0</v>
      </c>
      <c r="O4353" s="0">
        <v>0</v>
      </c>
      <c r="P4353" s="0">
        <v>0</v>
      </c>
      <c r="R4353" s="0" t="b">
        <v>0</v>
      </c>
      <c r="S4353" s="0" t="b">
        <v>0</v>
      </c>
      <c r="T4353" s="68">
        <v>46045.6748726852</v>
      </c>
      <c r="U4353" s="68">
        <v>46069.2916666667</v>
      </c>
      <c r="V4353" s="68">
        <v>46069.6862615741</v>
      </c>
      <c r="W4353" s="0">
        <f>IF(IF(B4353="none",1,IF(B4353="Trialer",1,0))+IF(C4353="Customer",1,IF(C4353="Lost",1,0))=2,1,0)</f>
      </c>
      <c r="X4353" s="0" t="s">
        <v>136</v>
      </c>
      <c r="Y4353" s="0" t="s">
        <v>1792</v>
      </c>
      <c r="AV4353" s="68"/>
      <c r="AW4353" s="68"/>
      <c r="AY4353" s="27"/>
      <c r="BD4353" s="68">
        <v>46054.1666666667</v>
      </c>
      <c r="BE4353" s="68">
        <v>46082.1666666667</v>
      </c>
      <c r="BF4353" s="0" t="b">
        <v>0</v>
      </c>
      <c r="BG4353" s="0" t="b">
        <v>0</v>
      </c>
      <c r="BH4353" s="0">
        <v>88.5</v>
      </c>
      <c r="BI4353" s="0">
        <v>88.5</v>
      </c>
      <c r="BJ4353" s="0" t="s">
        <v>135</v>
      </c>
    </row>
    <row r="4354">
      <c r="A4354" s="0" t="s">
        <v>4616</v>
      </c>
      <c r="B4354" s="0" t="s">
        <v>652</v>
      </c>
      <c r="C4354" s="0" t="s">
        <v>134</v>
      </c>
      <c r="D4354" s="0" t="s">
        <v>135</v>
      </c>
      <c r="E4354" s="0" t="s">
        <v>2</v>
      </c>
      <c r="F4354" s="0" t="s">
        <v>12</v>
      </c>
      <c r="G4354" s="0" t="s">
        <v>8</v>
      </c>
      <c r="H4354" s="0">
        <v>8</v>
      </c>
      <c r="I4354" s="0">
        <v>205.5</v>
      </c>
      <c r="J4354" s="0">
        <v>0</v>
      </c>
      <c r="K4354" s="0">
        <v>1</v>
      </c>
      <c r="L4354" s="0">
        <v>4</v>
      </c>
      <c r="M4354" s="0">
        <v>4</v>
      </c>
      <c r="N4354" s="0">
        <v>0</v>
      </c>
      <c r="O4354" s="0">
        <v>0</v>
      </c>
      <c r="P4354" s="0">
        <v>0</v>
      </c>
      <c r="R4354" s="0" t="b">
        <v>0</v>
      </c>
      <c r="S4354" s="0" t="b">
        <v>1</v>
      </c>
      <c r="T4354" s="68">
        <v>46045.7141087963</v>
      </c>
      <c r="U4354" s="68">
        <v>46059.2916666667</v>
      </c>
      <c r="V4354" s="68">
        <v>0</v>
      </c>
      <c r="W4354" s="0">
        <f>IF(IF(B4354="none",1,IF(B4354="Trialer",1,0))+IF(C4354="Customer",1,IF(C4354="Lost",1,0))=2,1,0)</f>
      </c>
      <c r="X4354" s="0" t="s">
        <v>148</v>
      </c>
      <c r="Y4354" s="0" t="s">
        <v>499</v>
      </c>
      <c r="AV4354" s="68"/>
      <c r="AW4354" s="68"/>
      <c r="AY4354" s="27"/>
      <c r="BD4354" s="68">
        <v>46054.1666666667</v>
      </c>
      <c r="BE4354" s="68">
        <v>46082.1666666667</v>
      </c>
      <c r="BF4354" s="0" t="b">
        <v>0</v>
      </c>
      <c r="BG4354" s="0" t="b">
        <v>0</v>
      </c>
      <c r="BH4354" s="0">
        <v>205.5</v>
      </c>
      <c r="BI4354" s="0">
        <v>205.5</v>
      </c>
      <c r="BJ4354" s="0" t="s">
        <v>135</v>
      </c>
    </row>
    <row r="4355">
      <c r="A4355" s="0" t="s">
        <v>4617</v>
      </c>
      <c r="B4355" s="0" t="s">
        <v>652</v>
      </c>
      <c r="C4355" s="0" t="s">
        <v>134</v>
      </c>
      <c r="D4355" s="0" t="s">
        <v>135</v>
      </c>
      <c r="E4355" s="0" t="s">
        <v>3</v>
      </c>
      <c r="F4355" s="0" t="s">
        <v>12</v>
      </c>
      <c r="G4355" s="0" t="s">
        <v>8</v>
      </c>
      <c r="H4355" s="0">
        <v>8</v>
      </c>
      <c r="I4355" s="0">
        <v>70.5</v>
      </c>
      <c r="J4355" s="0">
        <v>0</v>
      </c>
      <c r="K4355" s="0">
        <v>1</v>
      </c>
      <c r="L4355" s="0">
        <v>3</v>
      </c>
      <c r="M4355" s="0">
        <v>2</v>
      </c>
      <c r="N4355" s="0">
        <v>0</v>
      </c>
      <c r="O4355" s="0">
        <v>0</v>
      </c>
      <c r="P4355" s="0">
        <v>0</v>
      </c>
      <c r="R4355" s="0" t="b">
        <v>0</v>
      </c>
      <c r="S4355" s="0" t="b">
        <v>1</v>
      </c>
      <c r="T4355" s="68">
        <v>46045.7167824074</v>
      </c>
      <c r="U4355" s="68">
        <v>46071.2916666667</v>
      </c>
      <c r="V4355" s="68">
        <v>0</v>
      </c>
      <c r="W4355" s="0">
        <f>IF(IF(B4355="none",1,IF(B4355="Trialer",1,0))+IF(C4355="Customer",1,IF(C4355="Lost",1,0))=2,1,0)</f>
      </c>
      <c r="X4355" s="0" t="s">
        <v>1461</v>
      </c>
      <c r="Y4355" s="0" t="s">
        <v>243</v>
      </c>
      <c r="AV4355" s="68"/>
      <c r="AW4355" s="68"/>
      <c r="AY4355" s="27"/>
      <c r="BD4355" s="68">
        <v>46054.1666666667</v>
      </c>
      <c r="BE4355" s="68">
        <v>46082.1666666667</v>
      </c>
      <c r="BF4355" s="0" t="b">
        <v>0</v>
      </c>
      <c r="BG4355" s="0" t="b">
        <v>0</v>
      </c>
      <c r="BH4355" s="0">
        <v>70.5</v>
      </c>
      <c r="BI4355" s="0">
        <v>70.5</v>
      </c>
      <c r="BJ4355" s="0" t="s">
        <v>135</v>
      </c>
    </row>
    <row r="4356">
      <c r="A4356" s="0" t="s">
        <v>4618</v>
      </c>
      <c r="B4356" s="0" t="s">
        <v>652</v>
      </c>
      <c r="C4356" s="0" t="s">
        <v>134</v>
      </c>
      <c r="D4356" s="0" t="s">
        <v>135</v>
      </c>
      <c r="E4356" s="0" t="s">
        <v>3</v>
      </c>
      <c r="F4356" s="0" t="s">
        <v>12</v>
      </c>
      <c r="G4356" s="0" t="s">
        <v>8</v>
      </c>
      <c r="H4356" s="0">
        <v>8</v>
      </c>
      <c r="I4356" s="0">
        <v>452.5</v>
      </c>
      <c r="J4356" s="0">
        <v>0</v>
      </c>
      <c r="K4356" s="0">
        <v>1</v>
      </c>
      <c r="L4356" s="0">
        <v>5</v>
      </c>
      <c r="M4356" s="0">
        <v>2</v>
      </c>
      <c r="N4356" s="0">
        <v>976.5</v>
      </c>
      <c r="O4356" s="0">
        <v>0</v>
      </c>
      <c r="P4356" s="0">
        <v>0</v>
      </c>
      <c r="R4356" s="0" t="b">
        <v>0</v>
      </c>
      <c r="S4356" s="0" t="b">
        <v>1</v>
      </c>
      <c r="T4356" s="68">
        <v>46045.7274884259</v>
      </c>
      <c r="U4356" s="68">
        <v>46059.2916666667</v>
      </c>
      <c r="V4356" s="68">
        <v>0</v>
      </c>
      <c r="W4356" s="0">
        <f>IF(IF(B4356="none",1,IF(B4356="Trialer",1,0))+IF(C4356="Customer",1,IF(C4356="Lost",1,0))=2,1,0)</f>
      </c>
      <c r="X4356" s="0" t="s">
        <v>136</v>
      </c>
      <c r="Y4356" s="0" t="s">
        <v>1792</v>
      </c>
      <c r="AV4356" s="68"/>
      <c r="AW4356" s="68"/>
      <c r="AY4356" s="27"/>
      <c r="BD4356" s="68">
        <v>46054.1666666667</v>
      </c>
      <c r="BE4356" s="68">
        <v>46082.1666666667</v>
      </c>
      <c r="BF4356" s="0" t="b">
        <v>0</v>
      </c>
      <c r="BG4356" s="0" t="b">
        <v>0</v>
      </c>
      <c r="BH4356" s="0">
        <v>100.5</v>
      </c>
      <c r="BI4356" s="0">
        <v>100.5</v>
      </c>
      <c r="BJ4356" s="0" t="s">
        <v>135</v>
      </c>
    </row>
    <row r="4357">
      <c r="A4357" s="0" t="s">
        <v>4619</v>
      </c>
      <c r="B4357" s="0" t="s">
        <v>652</v>
      </c>
      <c r="C4357" s="0" t="s">
        <v>652</v>
      </c>
      <c r="D4357" s="0" t="s">
        <v>135</v>
      </c>
      <c r="E4357" s="0" t="s">
        <v>3</v>
      </c>
      <c r="F4357" s="0" t="s">
        <v>12</v>
      </c>
      <c r="G4357" s="0" t="s">
        <v>8</v>
      </c>
      <c r="H4357" s="0">
        <v>8</v>
      </c>
      <c r="I4357" s="0">
        <v>0</v>
      </c>
      <c r="J4357" s="0">
        <v>0</v>
      </c>
      <c r="K4357" s="0">
        <v>0</v>
      </c>
      <c r="L4357" s="0">
        <v>0</v>
      </c>
      <c r="M4357" s="0">
        <v>0</v>
      </c>
      <c r="N4357" s="0">
        <v>0</v>
      </c>
      <c r="O4357" s="0">
        <v>0</v>
      </c>
      <c r="P4357" s="0">
        <v>0</v>
      </c>
      <c r="R4357" s="0" t="b">
        <v>0</v>
      </c>
      <c r="S4357" s="0" t="b">
        <v>0</v>
      </c>
      <c r="T4357" s="68">
        <v>46045.8540856481</v>
      </c>
      <c r="U4357" s="68">
        <v>0</v>
      </c>
      <c r="V4357" s="68">
        <v>46085.1667592593</v>
      </c>
      <c r="W4357" s="0">
        <f>IF(IF(B4357="none",1,IF(B4357="Trialer",1,0))+IF(C4357="Customer",1,IF(C4357="Lost",1,0))=2,1,0)</f>
      </c>
      <c r="X4357" s="0" t="s">
        <v>148</v>
      </c>
      <c r="Y4357" s="0" t="s">
        <v>243</v>
      </c>
      <c r="AV4357" s="68"/>
      <c r="AW4357" s="68"/>
      <c r="AY4357" s="27"/>
      <c r="BD4357" s="68">
        <v>46054.1666666667</v>
      </c>
      <c r="BE4357" s="68">
        <v>46082.1666666667</v>
      </c>
      <c r="BF4357" s="0" t="b">
        <v>0</v>
      </c>
      <c r="BG4357" s="0" t="b">
        <v>0</v>
      </c>
      <c r="BH4357" s="0">
        <v>44.25</v>
      </c>
      <c r="BI4357" s="0">
        <v>44.25</v>
      </c>
      <c r="BJ4357" s="0" t="s">
        <v>135</v>
      </c>
    </row>
    <row r="4358">
      <c r="A4358" s="0" t="s">
        <v>4620</v>
      </c>
      <c r="B4358" s="0" t="s">
        <v>652</v>
      </c>
      <c r="C4358" s="0" t="s">
        <v>652</v>
      </c>
      <c r="D4358" s="0" t="s">
        <v>135</v>
      </c>
      <c r="E4358" s="0" t="s">
        <v>3</v>
      </c>
      <c r="F4358" s="0" t="s">
        <v>12</v>
      </c>
      <c r="G4358" s="0" t="s">
        <v>8</v>
      </c>
      <c r="H4358" s="0">
        <v>8</v>
      </c>
      <c r="I4358" s="0">
        <v>0</v>
      </c>
      <c r="J4358" s="0">
        <v>0</v>
      </c>
      <c r="K4358" s="0">
        <v>0</v>
      </c>
      <c r="L4358" s="0">
        <v>0</v>
      </c>
      <c r="M4358" s="0">
        <v>0</v>
      </c>
      <c r="N4358" s="0">
        <v>0</v>
      </c>
      <c r="O4358" s="0">
        <v>0</v>
      </c>
      <c r="P4358" s="0">
        <v>0</v>
      </c>
      <c r="R4358" s="0" t="b">
        <v>0</v>
      </c>
      <c r="S4358" s="0" t="b">
        <v>0</v>
      </c>
      <c r="T4358" s="68">
        <v>46045.9198032407</v>
      </c>
      <c r="U4358" s="68">
        <v>0</v>
      </c>
      <c r="V4358" s="68">
        <v>46066.4026157407</v>
      </c>
      <c r="W4358" s="0">
        <f>IF(IF(B4358="none",1,IF(B4358="Trialer",1,0))+IF(C4358="Customer",1,IF(C4358="Lost",1,0))=2,1,0)</f>
      </c>
      <c r="X4358" s="0" t="s">
        <v>145</v>
      </c>
      <c r="Y4358" s="0" t="s">
        <v>487</v>
      </c>
      <c r="AV4358" s="68"/>
      <c r="AW4358" s="68"/>
      <c r="AY4358" s="27"/>
      <c r="BD4358" s="68">
        <v>46054.1666666667</v>
      </c>
      <c r="BE4358" s="68">
        <v>46082.1666666667</v>
      </c>
      <c r="BF4358" s="0" t="b">
        <v>0</v>
      </c>
      <c r="BG4358" s="0" t="b">
        <v>0</v>
      </c>
      <c r="BH4358" s="0">
        <v>36.75</v>
      </c>
      <c r="BI4358" s="0">
        <v>36.75</v>
      </c>
      <c r="BJ4358" s="0" t="s">
        <v>135</v>
      </c>
    </row>
    <row r="4359">
      <c r="A4359" s="0" t="s">
        <v>4621</v>
      </c>
      <c r="B4359" s="0" t="s">
        <v>652</v>
      </c>
      <c r="C4359" s="0" t="s">
        <v>652</v>
      </c>
      <c r="D4359" s="0" t="s">
        <v>135</v>
      </c>
      <c r="E4359" s="0" t="s">
        <v>3</v>
      </c>
      <c r="F4359" s="0" t="s">
        <v>12</v>
      </c>
      <c r="G4359" s="0" t="s">
        <v>8</v>
      </c>
      <c r="H4359" s="0">
        <v>7</v>
      </c>
      <c r="I4359" s="0">
        <v>0</v>
      </c>
      <c r="J4359" s="0">
        <v>0</v>
      </c>
      <c r="K4359" s="0">
        <v>0</v>
      </c>
      <c r="L4359" s="0">
        <v>0</v>
      </c>
      <c r="M4359" s="0">
        <v>0</v>
      </c>
      <c r="N4359" s="0">
        <v>0</v>
      </c>
      <c r="O4359" s="0">
        <v>0</v>
      </c>
      <c r="P4359" s="0">
        <v>0</v>
      </c>
      <c r="R4359" s="0" t="b">
        <v>0</v>
      </c>
      <c r="S4359" s="0" t="b">
        <v>0</v>
      </c>
      <c r="T4359" s="68">
        <v>46046.0257291667</v>
      </c>
      <c r="U4359" s="68">
        <v>0</v>
      </c>
      <c r="V4359" s="68">
        <v>46085.1667708333</v>
      </c>
      <c r="W4359" s="0">
        <f>IF(IF(B4359="none",1,IF(B4359="Trialer",1,0))+IF(C4359="Customer",1,IF(C4359="Lost",1,0))=2,1,0)</f>
      </c>
      <c r="X4359" s="0" t="s">
        <v>136</v>
      </c>
      <c r="Y4359" s="0" t="s">
        <v>243</v>
      </c>
      <c r="AV4359" s="68"/>
      <c r="AW4359" s="68"/>
      <c r="AY4359" s="27"/>
      <c r="BD4359" s="68">
        <v>46054.1666666667</v>
      </c>
      <c r="BE4359" s="68">
        <v>46082.1666666667</v>
      </c>
      <c r="BF4359" s="0" t="b">
        <v>0</v>
      </c>
      <c r="BG4359" s="0" t="b">
        <v>0</v>
      </c>
      <c r="BH4359" s="0">
        <v>44.25</v>
      </c>
      <c r="BI4359" s="0">
        <v>44.25</v>
      </c>
      <c r="BJ4359" s="0" t="s">
        <v>135</v>
      </c>
    </row>
    <row r="4360">
      <c r="A4360" s="0" t="s">
        <v>4622</v>
      </c>
      <c r="B4360" s="0" t="s">
        <v>652</v>
      </c>
      <c r="C4360" s="0" t="s">
        <v>652</v>
      </c>
      <c r="D4360" s="0" t="s">
        <v>135</v>
      </c>
      <c r="E4360" s="0" t="s">
        <v>3</v>
      </c>
      <c r="F4360" s="0" t="s">
        <v>12</v>
      </c>
      <c r="G4360" s="0" t="s">
        <v>8</v>
      </c>
      <c r="H4360" s="0">
        <v>7</v>
      </c>
      <c r="I4360" s="0">
        <v>0</v>
      </c>
      <c r="J4360" s="0">
        <v>0</v>
      </c>
      <c r="K4360" s="0">
        <v>0</v>
      </c>
      <c r="L4360" s="0">
        <v>0</v>
      </c>
      <c r="M4360" s="0">
        <v>0</v>
      </c>
      <c r="N4360" s="0">
        <v>0</v>
      </c>
      <c r="O4360" s="0">
        <v>0</v>
      </c>
      <c r="P4360" s="0">
        <v>0</v>
      </c>
      <c r="R4360" s="0" t="b">
        <v>0</v>
      </c>
      <c r="S4360" s="0" t="b">
        <v>0</v>
      </c>
      <c r="T4360" s="68">
        <v>46046.4097800926</v>
      </c>
      <c r="U4360" s="68">
        <v>0</v>
      </c>
      <c r="V4360" s="68">
        <v>46086.166712963</v>
      </c>
      <c r="W4360" s="0">
        <f>IF(IF(B4360="none",1,IF(B4360="Trialer",1,0))+IF(C4360="Customer",1,IF(C4360="Lost",1,0))=2,1,0)</f>
      </c>
      <c r="X4360" s="0" t="s">
        <v>145</v>
      </c>
      <c r="Y4360" s="0" t="s">
        <v>243</v>
      </c>
      <c r="AV4360" s="68"/>
      <c r="AW4360" s="68"/>
      <c r="AY4360" s="27"/>
      <c r="BD4360" s="68">
        <v>46054.1666666667</v>
      </c>
      <c r="BE4360" s="68">
        <v>46082.1666666667</v>
      </c>
      <c r="BF4360" s="0" t="b">
        <v>0</v>
      </c>
      <c r="BG4360" s="0" t="b">
        <v>0</v>
      </c>
      <c r="BH4360" s="0">
        <v>62.25</v>
      </c>
      <c r="BI4360" s="0">
        <v>62.25</v>
      </c>
      <c r="BJ4360" s="0" t="s">
        <v>135</v>
      </c>
    </row>
    <row r="4361">
      <c r="A4361" s="0" t="s">
        <v>4623</v>
      </c>
      <c r="B4361" s="0" t="s">
        <v>652</v>
      </c>
      <c r="C4361" s="0" t="s">
        <v>652</v>
      </c>
      <c r="D4361" s="0" t="s">
        <v>135</v>
      </c>
      <c r="E4361" s="0" t="s">
        <v>3</v>
      </c>
      <c r="F4361" s="0" t="s">
        <v>12</v>
      </c>
      <c r="G4361" s="0" t="s">
        <v>8</v>
      </c>
      <c r="H4361" s="0">
        <v>7</v>
      </c>
      <c r="I4361" s="0">
        <v>0</v>
      </c>
      <c r="J4361" s="0">
        <v>0</v>
      </c>
      <c r="K4361" s="0">
        <v>0</v>
      </c>
      <c r="L4361" s="0">
        <v>0</v>
      </c>
      <c r="M4361" s="0">
        <v>0</v>
      </c>
      <c r="N4361" s="0">
        <v>0</v>
      </c>
      <c r="O4361" s="0">
        <v>0</v>
      </c>
      <c r="P4361" s="0">
        <v>0</v>
      </c>
      <c r="R4361" s="0" t="b">
        <v>0</v>
      </c>
      <c r="S4361" s="0" t="b">
        <v>0</v>
      </c>
      <c r="T4361" s="68">
        <v>46046.4140740741</v>
      </c>
      <c r="U4361" s="68">
        <v>0</v>
      </c>
      <c r="V4361" s="68">
        <v>46086.1667361111</v>
      </c>
      <c r="W4361" s="0">
        <f>IF(IF(B4361="none",1,IF(B4361="Trialer",1,0))+IF(C4361="Customer",1,IF(C4361="Lost",1,0))=2,1,0)</f>
      </c>
      <c r="X4361" s="0" t="s">
        <v>136</v>
      </c>
      <c r="Y4361" s="0" t="s">
        <v>243</v>
      </c>
      <c r="AV4361" s="68"/>
      <c r="AW4361" s="68"/>
      <c r="AY4361" s="27"/>
      <c r="BD4361" s="68">
        <v>46054.1666666667</v>
      </c>
      <c r="BE4361" s="68">
        <v>46082.1666666667</v>
      </c>
      <c r="BF4361" s="0" t="b">
        <v>0</v>
      </c>
      <c r="BG4361" s="0" t="b">
        <v>0</v>
      </c>
      <c r="BH4361" s="0">
        <v>44.25</v>
      </c>
      <c r="BI4361" s="0">
        <v>44.25</v>
      </c>
      <c r="BJ4361" s="0" t="s">
        <v>135</v>
      </c>
    </row>
    <row r="4362">
      <c r="A4362" s="0" t="s">
        <v>4624</v>
      </c>
      <c r="B4362" s="0" t="s">
        <v>652</v>
      </c>
      <c r="C4362" s="0" t="s">
        <v>652</v>
      </c>
      <c r="D4362" s="0" t="s">
        <v>135</v>
      </c>
      <c r="E4362" s="0" t="s">
        <v>2414</v>
      </c>
      <c r="F4362" s="0" t="s">
        <v>12</v>
      </c>
      <c r="G4362" s="0" t="s">
        <v>8</v>
      </c>
      <c r="H4362" s="0">
        <v>7</v>
      </c>
      <c r="I4362" s="0">
        <v>0</v>
      </c>
      <c r="J4362" s="0">
        <v>0</v>
      </c>
      <c r="K4362" s="0">
        <v>0</v>
      </c>
      <c r="L4362" s="0">
        <v>0</v>
      </c>
      <c r="M4362" s="0">
        <v>0</v>
      </c>
      <c r="N4362" s="0">
        <v>0</v>
      </c>
      <c r="O4362" s="0">
        <v>0</v>
      </c>
      <c r="P4362" s="0">
        <v>0</v>
      </c>
      <c r="R4362" s="0" t="b">
        <v>0</v>
      </c>
      <c r="S4362" s="0" t="b">
        <v>0</v>
      </c>
      <c r="T4362" s="68">
        <v>46046.4545717593</v>
      </c>
      <c r="U4362" s="68">
        <v>0</v>
      </c>
      <c r="V4362" s="68">
        <v>46086.1667592593</v>
      </c>
      <c r="W4362" s="0">
        <f>IF(IF(B4362="none",1,IF(B4362="Trialer",1,0))+IF(C4362="Customer",1,IF(C4362="Lost",1,0))=2,1,0)</f>
      </c>
      <c r="X4362" s="0" t="s">
        <v>148</v>
      </c>
      <c r="Y4362" s="0" t="s">
        <v>1516</v>
      </c>
      <c r="AV4362" s="68"/>
      <c r="AW4362" s="68"/>
      <c r="AY4362" s="27"/>
      <c r="BD4362" s="68">
        <v>46054.1666666667</v>
      </c>
      <c r="BE4362" s="68">
        <v>46082.1666666667</v>
      </c>
      <c r="BF4362" s="0" t="b">
        <v>0</v>
      </c>
      <c r="BG4362" s="0" t="b">
        <v>0</v>
      </c>
      <c r="BH4362" s="0">
        <v>44.25</v>
      </c>
      <c r="BI4362" s="0">
        <v>44.25</v>
      </c>
      <c r="BJ4362" s="0" t="s">
        <v>135</v>
      </c>
    </row>
    <row r="4363">
      <c r="A4363" s="0" t="s">
        <v>4625</v>
      </c>
      <c r="B4363" s="0" t="s">
        <v>652</v>
      </c>
      <c r="C4363" s="0" t="s">
        <v>652</v>
      </c>
      <c r="D4363" s="0" t="s">
        <v>135</v>
      </c>
      <c r="E4363" s="0" t="s">
        <v>1515</v>
      </c>
      <c r="F4363" s="0" t="s">
        <v>12</v>
      </c>
      <c r="G4363" s="0" t="s">
        <v>8</v>
      </c>
      <c r="H4363" s="0">
        <v>7</v>
      </c>
      <c r="I4363" s="0">
        <v>0</v>
      </c>
      <c r="J4363" s="0">
        <v>0</v>
      </c>
      <c r="K4363" s="0">
        <v>0</v>
      </c>
      <c r="L4363" s="0">
        <v>0</v>
      </c>
      <c r="M4363" s="0">
        <v>0</v>
      </c>
      <c r="N4363" s="0">
        <v>0</v>
      </c>
      <c r="O4363" s="0">
        <v>0</v>
      </c>
      <c r="P4363" s="0">
        <v>0</v>
      </c>
      <c r="R4363" s="0" t="b">
        <v>0</v>
      </c>
      <c r="S4363" s="0" t="b">
        <v>0</v>
      </c>
      <c r="T4363" s="68">
        <v>46046.4752199074</v>
      </c>
      <c r="U4363" s="68">
        <v>0</v>
      </c>
      <c r="V4363" s="68">
        <v>46086.1667592593</v>
      </c>
      <c r="W4363" s="0">
        <f>IF(IF(B4363="none",1,IF(B4363="Trialer",1,0))+IF(C4363="Customer",1,IF(C4363="Lost",1,0))=2,1,0)</f>
      </c>
      <c r="X4363" s="0" t="s">
        <v>145</v>
      </c>
      <c r="Y4363" s="0" t="s">
        <v>1516</v>
      </c>
      <c r="AV4363" s="68"/>
      <c r="AW4363" s="68"/>
      <c r="AY4363" s="27"/>
      <c r="BD4363" s="68">
        <v>46054.1666666667</v>
      </c>
      <c r="BE4363" s="68">
        <v>46082.1666666667</v>
      </c>
      <c r="BF4363" s="0" t="b">
        <v>0</v>
      </c>
      <c r="BG4363" s="0" t="b">
        <v>0</v>
      </c>
      <c r="BH4363" s="0">
        <v>44.25</v>
      </c>
      <c r="BI4363" s="0">
        <v>44.25</v>
      </c>
      <c r="BJ4363" s="0" t="s">
        <v>135</v>
      </c>
    </row>
    <row r="4364">
      <c r="A4364" s="0" t="s">
        <v>4626</v>
      </c>
      <c r="B4364" s="0" t="s">
        <v>652</v>
      </c>
      <c r="C4364" s="0" t="s">
        <v>652</v>
      </c>
      <c r="D4364" s="0" t="s">
        <v>135</v>
      </c>
      <c r="E4364" s="0" t="s">
        <v>3</v>
      </c>
      <c r="F4364" s="0" t="s">
        <v>12</v>
      </c>
      <c r="G4364" s="0" t="s">
        <v>8</v>
      </c>
      <c r="H4364" s="0">
        <v>7</v>
      </c>
      <c r="I4364" s="0">
        <v>0</v>
      </c>
      <c r="J4364" s="0">
        <v>0</v>
      </c>
      <c r="K4364" s="0">
        <v>0</v>
      </c>
      <c r="L4364" s="0">
        <v>0</v>
      </c>
      <c r="M4364" s="0">
        <v>0</v>
      </c>
      <c r="N4364" s="0">
        <v>0</v>
      </c>
      <c r="O4364" s="0">
        <v>0</v>
      </c>
      <c r="P4364" s="0">
        <v>0</v>
      </c>
      <c r="R4364" s="0" t="b">
        <v>0</v>
      </c>
      <c r="S4364" s="0" t="b">
        <v>0</v>
      </c>
      <c r="T4364" s="68">
        <v>46046.4816203704</v>
      </c>
      <c r="U4364" s="68">
        <v>0</v>
      </c>
      <c r="V4364" s="68">
        <v>46086.1667708333</v>
      </c>
      <c r="W4364" s="0">
        <f>IF(IF(B4364="none",1,IF(B4364="Trialer",1,0))+IF(C4364="Customer",1,IF(C4364="Lost",1,0))=2,1,0)</f>
      </c>
      <c r="X4364" s="0" t="s">
        <v>136</v>
      </c>
      <c r="Y4364" s="0" t="s">
        <v>243</v>
      </c>
      <c r="AV4364" s="68"/>
      <c r="AW4364" s="68"/>
      <c r="AY4364" s="27"/>
      <c r="BD4364" s="68">
        <v>46054.1666666667</v>
      </c>
      <c r="BE4364" s="68">
        <v>46082.1666666667</v>
      </c>
      <c r="BF4364" s="0" t="b">
        <v>0</v>
      </c>
      <c r="BG4364" s="0" t="b">
        <v>0</v>
      </c>
      <c r="BH4364" s="0">
        <v>44.25</v>
      </c>
      <c r="BI4364" s="0">
        <v>44.25</v>
      </c>
      <c r="BJ4364" s="0" t="s">
        <v>135</v>
      </c>
    </row>
    <row r="4365">
      <c r="A4365" s="0" t="s">
        <v>4627</v>
      </c>
      <c r="B4365" s="0" t="s">
        <v>652</v>
      </c>
      <c r="C4365" s="0" t="s">
        <v>652</v>
      </c>
      <c r="D4365" s="0" t="s">
        <v>135</v>
      </c>
      <c r="E4365" s="0" t="s">
        <v>1515</v>
      </c>
      <c r="F4365" s="0" t="s">
        <v>12</v>
      </c>
      <c r="G4365" s="0" t="s">
        <v>8</v>
      </c>
      <c r="H4365" s="0">
        <v>7</v>
      </c>
      <c r="I4365" s="0">
        <v>0</v>
      </c>
      <c r="J4365" s="0">
        <v>0</v>
      </c>
      <c r="K4365" s="0">
        <v>0</v>
      </c>
      <c r="L4365" s="0">
        <v>0</v>
      </c>
      <c r="M4365" s="0">
        <v>0</v>
      </c>
      <c r="N4365" s="0">
        <v>0</v>
      </c>
      <c r="O4365" s="0">
        <v>0</v>
      </c>
      <c r="P4365" s="0">
        <v>0</v>
      </c>
      <c r="R4365" s="0" t="b">
        <v>0</v>
      </c>
      <c r="S4365" s="0" t="b">
        <v>0</v>
      </c>
      <c r="T4365" s="68">
        <v>46046.5165625</v>
      </c>
      <c r="U4365" s="68">
        <v>0</v>
      </c>
      <c r="V4365" s="68">
        <v>46086.1667824074</v>
      </c>
      <c r="W4365" s="0">
        <f>IF(IF(B4365="none",1,IF(B4365="Trialer",1,0))+IF(C4365="Customer",1,IF(C4365="Lost",1,0))=2,1,0)</f>
      </c>
      <c r="X4365" s="0" t="s">
        <v>148</v>
      </c>
      <c r="Y4365" s="0" t="s">
        <v>1516</v>
      </c>
      <c r="AV4365" s="68"/>
      <c r="AW4365" s="68"/>
      <c r="AY4365" s="27"/>
      <c r="BD4365" s="68">
        <v>46054.1666666667</v>
      </c>
      <c r="BE4365" s="68">
        <v>46082.1666666667</v>
      </c>
      <c r="BF4365" s="0" t="b">
        <v>0</v>
      </c>
      <c r="BG4365" s="0" t="b">
        <v>0</v>
      </c>
      <c r="BH4365" s="0">
        <v>44.25</v>
      </c>
      <c r="BI4365" s="0">
        <v>44.25</v>
      </c>
      <c r="BJ4365" s="0" t="s">
        <v>135</v>
      </c>
    </row>
    <row r="4366">
      <c r="A4366" s="0" t="s">
        <v>4628</v>
      </c>
      <c r="B4366" s="0" t="s">
        <v>652</v>
      </c>
      <c r="C4366" s="0" t="s">
        <v>652</v>
      </c>
      <c r="D4366" s="0" t="s">
        <v>135</v>
      </c>
      <c r="E4366" s="0" t="s">
        <v>3</v>
      </c>
      <c r="F4366" s="0" t="s">
        <v>12</v>
      </c>
      <c r="G4366" s="0" t="s">
        <v>8</v>
      </c>
      <c r="H4366" s="0">
        <v>7</v>
      </c>
      <c r="I4366" s="0">
        <v>0</v>
      </c>
      <c r="J4366" s="0">
        <v>0</v>
      </c>
      <c r="K4366" s="0">
        <v>0</v>
      </c>
      <c r="L4366" s="0">
        <v>0</v>
      </c>
      <c r="M4366" s="0">
        <v>0</v>
      </c>
      <c r="N4366" s="0">
        <v>0</v>
      </c>
      <c r="O4366" s="0">
        <v>0</v>
      </c>
      <c r="P4366" s="0">
        <v>0</v>
      </c>
      <c r="R4366" s="0" t="b">
        <v>0</v>
      </c>
      <c r="S4366" s="0" t="b">
        <v>0</v>
      </c>
      <c r="T4366" s="68">
        <v>46046.6695486111</v>
      </c>
      <c r="U4366" s="68">
        <v>0</v>
      </c>
      <c r="V4366" s="68">
        <v>46086.1668055556</v>
      </c>
      <c r="W4366" s="0">
        <f>IF(IF(B4366="none",1,IF(B4366="Trialer",1,0))+IF(C4366="Customer",1,IF(C4366="Lost",1,0))=2,1,0)</f>
      </c>
      <c r="X4366" s="0" t="s">
        <v>145</v>
      </c>
      <c r="Y4366" s="0" t="s">
        <v>243</v>
      </c>
      <c r="AV4366" s="68"/>
      <c r="AW4366" s="68"/>
      <c r="AY4366" s="27"/>
      <c r="BD4366" s="68">
        <v>46054.1666666667</v>
      </c>
      <c r="BE4366" s="68">
        <v>46082.1666666667</v>
      </c>
      <c r="BF4366" s="0" t="b">
        <v>0</v>
      </c>
      <c r="BG4366" s="0" t="b">
        <v>0</v>
      </c>
      <c r="BH4366" s="0">
        <v>44.25</v>
      </c>
      <c r="BI4366" s="0">
        <v>44.25</v>
      </c>
      <c r="BJ4366" s="0" t="s">
        <v>135</v>
      </c>
    </row>
    <row r="4367">
      <c r="A4367" s="0" t="s">
        <v>4629</v>
      </c>
      <c r="B4367" s="0" t="s">
        <v>652</v>
      </c>
      <c r="C4367" s="0" t="s">
        <v>652</v>
      </c>
      <c r="D4367" s="0" t="s">
        <v>135</v>
      </c>
      <c r="E4367" s="0" t="s">
        <v>3</v>
      </c>
      <c r="F4367" s="0" t="s">
        <v>12</v>
      </c>
      <c r="G4367" s="0" t="s">
        <v>8</v>
      </c>
      <c r="H4367" s="0">
        <v>7</v>
      </c>
      <c r="I4367" s="0">
        <v>0</v>
      </c>
      <c r="J4367" s="0">
        <v>0</v>
      </c>
      <c r="K4367" s="0">
        <v>0</v>
      </c>
      <c r="L4367" s="0">
        <v>0</v>
      </c>
      <c r="M4367" s="0">
        <v>0</v>
      </c>
      <c r="N4367" s="0">
        <v>0</v>
      </c>
      <c r="O4367" s="0">
        <v>0</v>
      </c>
      <c r="P4367" s="0">
        <v>0</v>
      </c>
      <c r="R4367" s="0" t="b">
        <v>0</v>
      </c>
      <c r="S4367" s="0" t="b">
        <v>0</v>
      </c>
      <c r="T4367" s="68">
        <v>46046.6839930556</v>
      </c>
      <c r="U4367" s="68">
        <v>0</v>
      </c>
      <c r="V4367" s="68">
        <v>46086.1668171296</v>
      </c>
      <c r="W4367" s="0">
        <f>IF(IF(B4367="none",1,IF(B4367="Trialer",1,0))+IF(C4367="Customer",1,IF(C4367="Lost",1,0))=2,1,0)</f>
      </c>
      <c r="X4367" s="0" t="s">
        <v>136</v>
      </c>
      <c r="Y4367" s="0" t="s">
        <v>243</v>
      </c>
      <c r="AV4367" s="68"/>
      <c r="AW4367" s="68"/>
      <c r="AY4367" s="27"/>
      <c r="BD4367" s="68">
        <v>46054.1666666667</v>
      </c>
      <c r="BE4367" s="68">
        <v>46082.1666666667</v>
      </c>
      <c r="BF4367" s="0" t="b">
        <v>0</v>
      </c>
      <c r="BG4367" s="0" t="b">
        <v>0</v>
      </c>
      <c r="BH4367" s="0">
        <v>44.25</v>
      </c>
      <c r="BI4367" s="0">
        <v>44.25</v>
      </c>
      <c r="BJ4367" s="0" t="s">
        <v>135</v>
      </c>
    </row>
    <row r="4368">
      <c r="A4368" s="0" t="s">
        <v>4630</v>
      </c>
      <c r="B4368" s="0" t="s">
        <v>652</v>
      </c>
      <c r="C4368" s="0" t="s">
        <v>652</v>
      </c>
      <c r="D4368" s="0" t="s">
        <v>135</v>
      </c>
      <c r="E4368" s="0" t="s">
        <v>3</v>
      </c>
      <c r="F4368" s="0" t="s">
        <v>12</v>
      </c>
      <c r="G4368" s="0" t="s">
        <v>8</v>
      </c>
      <c r="H4368" s="0">
        <v>7</v>
      </c>
      <c r="I4368" s="0">
        <v>0</v>
      </c>
      <c r="J4368" s="0">
        <v>0</v>
      </c>
      <c r="K4368" s="0">
        <v>0</v>
      </c>
      <c r="L4368" s="0">
        <v>0</v>
      </c>
      <c r="M4368" s="0">
        <v>0</v>
      </c>
      <c r="N4368" s="0">
        <v>0</v>
      </c>
      <c r="O4368" s="0">
        <v>0</v>
      </c>
      <c r="P4368" s="0">
        <v>0</v>
      </c>
      <c r="R4368" s="0" t="b">
        <v>0</v>
      </c>
      <c r="S4368" s="0" t="b">
        <v>0</v>
      </c>
      <c r="T4368" s="68">
        <v>46046.7310300926</v>
      </c>
      <c r="U4368" s="68">
        <v>0</v>
      </c>
      <c r="V4368" s="68">
        <v>46086.1667939815</v>
      </c>
      <c r="W4368" s="0">
        <f>IF(IF(B4368="none",1,IF(B4368="Trialer",1,0))+IF(C4368="Customer",1,IF(C4368="Lost",1,0))=2,1,0)</f>
      </c>
      <c r="X4368" s="0" t="s">
        <v>148</v>
      </c>
      <c r="Y4368" s="0" t="s">
        <v>243</v>
      </c>
      <c r="AV4368" s="68"/>
      <c r="AW4368" s="68"/>
      <c r="AY4368" s="27"/>
      <c r="BD4368" s="68">
        <v>46054.1666666667</v>
      </c>
      <c r="BE4368" s="68">
        <v>46082.1666666667</v>
      </c>
      <c r="BF4368" s="0" t="b">
        <v>0</v>
      </c>
      <c r="BG4368" s="0" t="b">
        <v>0</v>
      </c>
      <c r="BH4368" s="0">
        <v>63.75</v>
      </c>
      <c r="BI4368" s="0">
        <v>63.75</v>
      </c>
      <c r="BJ4368" s="0" t="s">
        <v>135</v>
      </c>
    </row>
    <row r="4369">
      <c r="A4369" s="0" t="s">
        <v>4631</v>
      </c>
      <c r="B4369" s="0" t="s">
        <v>652</v>
      </c>
      <c r="C4369" s="0" t="s">
        <v>652</v>
      </c>
      <c r="D4369" s="0" t="s">
        <v>135</v>
      </c>
      <c r="E4369" s="0" t="s">
        <v>2</v>
      </c>
      <c r="F4369" s="0" t="s">
        <v>12</v>
      </c>
      <c r="G4369" s="0" t="s">
        <v>8</v>
      </c>
      <c r="H4369" s="0">
        <v>7</v>
      </c>
      <c r="I4369" s="0">
        <v>0</v>
      </c>
      <c r="J4369" s="0">
        <v>0</v>
      </c>
      <c r="K4369" s="0">
        <v>0</v>
      </c>
      <c r="L4369" s="0">
        <v>0</v>
      </c>
      <c r="M4369" s="0">
        <v>0</v>
      </c>
      <c r="N4369" s="0">
        <v>0</v>
      </c>
      <c r="O4369" s="0">
        <v>0</v>
      </c>
      <c r="P4369" s="0">
        <v>0</v>
      </c>
      <c r="R4369" s="0" t="b">
        <v>0</v>
      </c>
      <c r="S4369" s="0" t="b">
        <v>0</v>
      </c>
      <c r="T4369" s="68">
        <v>46046.8355324074</v>
      </c>
      <c r="U4369" s="68">
        <v>0</v>
      </c>
      <c r="V4369" s="68">
        <v>46086.1668171296</v>
      </c>
      <c r="W4369" s="0">
        <f>IF(IF(B4369="none",1,IF(B4369="Trialer",1,0))+IF(C4369="Customer",1,IF(C4369="Lost",1,0))=2,1,0)</f>
      </c>
      <c r="X4369" s="0" t="s">
        <v>148</v>
      </c>
      <c r="Y4369" s="0" t="s">
        <v>499</v>
      </c>
      <c r="AV4369" s="68"/>
      <c r="AW4369" s="68"/>
      <c r="AY4369" s="27"/>
      <c r="BD4369" s="68">
        <v>46054.1666666667</v>
      </c>
      <c r="BE4369" s="68">
        <v>46082.1666666667</v>
      </c>
      <c r="BF4369" s="0" t="b">
        <v>0</v>
      </c>
      <c r="BG4369" s="0" t="b">
        <v>0</v>
      </c>
      <c r="BH4369" s="0">
        <v>44.25</v>
      </c>
      <c r="BI4369" s="0">
        <v>44.25</v>
      </c>
      <c r="BJ4369" s="0" t="s">
        <v>135</v>
      </c>
    </row>
    <row r="4370">
      <c r="A4370" s="0" t="s">
        <v>4632</v>
      </c>
      <c r="B4370" s="0" t="s">
        <v>652</v>
      </c>
      <c r="C4370" s="0" t="s">
        <v>652</v>
      </c>
      <c r="D4370" s="0" t="s">
        <v>135</v>
      </c>
      <c r="E4370" s="0" t="s">
        <v>3</v>
      </c>
      <c r="F4370" s="0" t="s">
        <v>12</v>
      </c>
      <c r="G4370" s="0" t="s">
        <v>8</v>
      </c>
      <c r="H4370" s="0">
        <v>6</v>
      </c>
      <c r="I4370" s="0">
        <v>0</v>
      </c>
      <c r="J4370" s="0">
        <v>0</v>
      </c>
      <c r="K4370" s="0">
        <v>0</v>
      </c>
      <c r="L4370" s="0">
        <v>0</v>
      </c>
      <c r="M4370" s="0">
        <v>0</v>
      </c>
      <c r="N4370" s="0">
        <v>0</v>
      </c>
      <c r="O4370" s="0">
        <v>0</v>
      </c>
      <c r="P4370" s="0">
        <v>0</v>
      </c>
      <c r="R4370" s="0" t="b">
        <v>0</v>
      </c>
      <c r="S4370" s="0" t="b">
        <v>0</v>
      </c>
      <c r="T4370" s="68">
        <v>46047.0421412037</v>
      </c>
      <c r="U4370" s="68">
        <v>0</v>
      </c>
      <c r="V4370" s="68">
        <v>46086.1668055556</v>
      </c>
      <c r="W4370" s="0">
        <f>IF(IF(B4370="none",1,IF(B4370="Trialer",1,0))+IF(C4370="Customer",1,IF(C4370="Lost",1,0))=2,1,0)</f>
      </c>
      <c r="X4370" s="0" t="s">
        <v>145</v>
      </c>
      <c r="Y4370" s="0" t="s">
        <v>243</v>
      </c>
      <c r="AV4370" s="68"/>
      <c r="AW4370" s="68"/>
      <c r="AY4370" s="27"/>
      <c r="BD4370" s="68">
        <v>46054.1666666667</v>
      </c>
      <c r="BE4370" s="68">
        <v>46082.1666666667</v>
      </c>
      <c r="BF4370" s="0" t="b">
        <v>0</v>
      </c>
      <c r="BG4370" s="0" t="b">
        <v>0</v>
      </c>
      <c r="BH4370" s="0">
        <v>63.75</v>
      </c>
      <c r="BI4370" s="0">
        <v>63.75</v>
      </c>
      <c r="BJ4370" s="0" t="s">
        <v>135</v>
      </c>
    </row>
    <row r="4371">
      <c r="A4371" s="0" t="s">
        <v>4633</v>
      </c>
      <c r="B4371" s="0" t="s">
        <v>652</v>
      </c>
      <c r="C4371" s="0" t="s">
        <v>652</v>
      </c>
      <c r="D4371" s="0" t="s">
        <v>135</v>
      </c>
      <c r="E4371" s="0" t="s">
        <v>3</v>
      </c>
      <c r="F4371" s="0" t="s">
        <v>12</v>
      </c>
      <c r="G4371" s="0" t="s">
        <v>8</v>
      </c>
      <c r="H4371" s="0">
        <v>6</v>
      </c>
      <c r="I4371" s="0">
        <v>0</v>
      </c>
      <c r="J4371" s="0">
        <v>0</v>
      </c>
      <c r="K4371" s="0">
        <v>0</v>
      </c>
      <c r="L4371" s="0">
        <v>0</v>
      </c>
      <c r="M4371" s="0">
        <v>0</v>
      </c>
      <c r="N4371" s="0">
        <v>0</v>
      </c>
      <c r="O4371" s="0">
        <v>0</v>
      </c>
      <c r="P4371" s="0">
        <v>0</v>
      </c>
      <c r="R4371" s="0" t="b">
        <v>0</v>
      </c>
      <c r="S4371" s="0" t="b">
        <v>0</v>
      </c>
      <c r="T4371" s="68">
        <v>46047.4743981482</v>
      </c>
      <c r="U4371" s="68">
        <v>0</v>
      </c>
      <c r="V4371" s="68">
        <v>46058.1232986111</v>
      </c>
      <c r="W4371" s="0">
        <f>IF(IF(B4371="none",1,IF(B4371="Trialer",1,0))+IF(C4371="Customer",1,IF(C4371="Lost",1,0))=2,1,0)</f>
      </c>
      <c r="X4371" s="0" t="s">
        <v>136</v>
      </c>
      <c r="Y4371" s="0" t="s">
        <v>243</v>
      </c>
      <c r="AV4371" s="68"/>
      <c r="AW4371" s="68"/>
      <c r="AY4371" s="27"/>
      <c r="BD4371" s="68">
        <v>46054.1666666667</v>
      </c>
      <c r="BE4371" s="68">
        <v>46082.1666666667</v>
      </c>
      <c r="BF4371" s="0" t="b">
        <v>0</v>
      </c>
      <c r="BG4371" s="0" t="b">
        <v>0</v>
      </c>
      <c r="BH4371" s="0">
        <v>370.5</v>
      </c>
      <c r="BI4371" s="0">
        <v>370.5</v>
      </c>
      <c r="BJ4371" s="0" t="s">
        <v>135</v>
      </c>
    </row>
    <row r="4372">
      <c r="A4372" s="0" t="s">
        <v>4634</v>
      </c>
      <c r="B4372" s="0" t="s">
        <v>652</v>
      </c>
      <c r="C4372" s="0" t="s">
        <v>652</v>
      </c>
      <c r="D4372" s="0" t="s">
        <v>135</v>
      </c>
      <c r="E4372" s="0" t="s">
        <v>3</v>
      </c>
      <c r="F4372" s="0" t="s">
        <v>12</v>
      </c>
      <c r="G4372" s="0" t="s">
        <v>8</v>
      </c>
      <c r="H4372" s="0">
        <v>6</v>
      </c>
      <c r="I4372" s="0">
        <v>0</v>
      </c>
      <c r="J4372" s="0">
        <v>0</v>
      </c>
      <c r="K4372" s="0">
        <v>0</v>
      </c>
      <c r="L4372" s="0">
        <v>0</v>
      </c>
      <c r="M4372" s="0">
        <v>0</v>
      </c>
      <c r="N4372" s="0">
        <v>0</v>
      </c>
      <c r="O4372" s="0">
        <v>0</v>
      </c>
      <c r="P4372" s="0">
        <v>0</v>
      </c>
      <c r="R4372" s="0" t="b">
        <v>0</v>
      </c>
      <c r="S4372" s="0" t="b">
        <v>0</v>
      </c>
      <c r="T4372" s="68">
        <v>46047.5634722222</v>
      </c>
      <c r="U4372" s="68">
        <v>0</v>
      </c>
      <c r="V4372" s="68">
        <v>46087.1668402778</v>
      </c>
      <c r="W4372" s="0">
        <f>IF(IF(B4372="none",1,IF(B4372="Trialer",1,0))+IF(C4372="Customer",1,IF(C4372="Lost",1,0))=2,1,0)</f>
      </c>
      <c r="X4372" s="0" t="s">
        <v>148</v>
      </c>
      <c r="Y4372" s="0" t="s">
        <v>243</v>
      </c>
      <c r="AV4372" s="68"/>
      <c r="AW4372" s="68"/>
      <c r="AY4372" s="27"/>
      <c r="BD4372" s="68">
        <v>46054.1666666667</v>
      </c>
      <c r="BE4372" s="68">
        <v>46082.1666666667</v>
      </c>
      <c r="BF4372" s="0" t="b">
        <v>0</v>
      </c>
      <c r="BG4372" s="0" t="b">
        <v>0</v>
      </c>
      <c r="BH4372" s="0">
        <v>53.25</v>
      </c>
      <c r="BI4372" s="0">
        <v>53.25</v>
      </c>
      <c r="BJ4372" s="0" t="s">
        <v>135</v>
      </c>
    </row>
    <row r="4373">
      <c r="A4373" s="0" t="s">
        <v>4635</v>
      </c>
      <c r="B4373" s="0" t="s">
        <v>652</v>
      </c>
      <c r="C4373" s="0" t="s">
        <v>652</v>
      </c>
      <c r="D4373" s="0" t="s">
        <v>135</v>
      </c>
      <c r="E4373" s="0" t="s">
        <v>4</v>
      </c>
      <c r="F4373" s="0" t="s">
        <v>12</v>
      </c>
      <c r="G4373" s="0" t="s">
        <v>8</v>
      </c>
      <c r="H4373" s="0">
        <v>6</v>
      </c>
      <c r="I4373" s="0">
        <v>0</v>
      </c>
      <c r="J4373" s="0">
        <v>0</v>
      </c>
      <c r="K4373" s="0">
        <v>0</v>
      </c>
      <c r="L4373" s="0">
        <v>0</v>
      </c>
      <c r="M4373" s="0">
        <v>0</v>
      </c>
      <c r="N4373" s="0">
        <v>0</v>
      </c>
      <c r="O4373" s="0">
        <v>0</v>
      </c>
      <c r="P4373" s="0">
        <v>0</v>
      </c>
      <c r="R4373" s="0" t="b">
        <v>0</v>
      </c>
      <c r="S4373" s="0" t="b">
        <v>0</v>
      </c>
      <c r="T4373" s="68">
        <v>46047.5911574074</v>
      </c>
      <c r="U4373" s="68">
        <v>0</v>
      </c>
      <c r="V4373" s="68">
        <v>46087.1668518518</v>
      </c>
      <c r="W4373" s="0">
        <f>IF(IF(B4373="none",1,IF(B4373="Trialer",1,0))+IF(C4373="Customer",1,IF(C4373="Lost",1,0))=2,1,0)</f>
      </c>
      <c r="X4373" s="0" t="s">
        <v>136</v>
      </c>
      <c r="Y4373" s="0" t="s">
        <v>1772</v>
      </c>
      <c r="AV4373" s="68"/>
      <c r="AW4373" s="68"/>
      <c r="AY4373" s="27"/>
      <c r="BD4373" s="68">
        <v>46054.1666666667</v>
      </c>
      <c r="BE4373" s="68">
        <v>46082.1666666667</v>
      </c>
      <c r="BF4373" s="0" t="b">
        <v>0</v>
      </c>
      <c r="BG4373" s="0" t="b">
        <v>0</v>
      </c>
      <c r="BH4373" s="0">
        <v>53.25</v>
      </c>
      <c r="BI4373" s="0">
        <v>53.25</v>
      </c>
      <c r="BJ4373" s="0" t="s">
        <v>135</v>
      </c>
    </row>
    <row r="4374">
      <c r="A4374" s="0" t="s">
        <v>4636</v>
      </c>
      <c r="B4374" s="0" t="s">
        <v>652</v>
      </c>
      <c r="C4374" s="0" t="s">
        <v>652</v>
      </c>
      <c r="D4374" s="0" t="s">
        <v>135</v>
      </c>
      <c r="E4374" s="0" t="s">
        <v>3</v>
      </c>
      <c r="F4374" s="0" t="s">
        <v>12</v>
      </c>
      <c r="G4374" s="0" t="s">
        <v>8</v>
      </c>
      <c r="H4374" s="0">
        <v>6</v>
      </c>
      <c r="I4374" s="0">
        <v>0</v>
      </c>
      <c r="J4374" s="0">
        <v>0</v>
      </c>
      <c r="K4374" s="0">
        <v>0</v>
      </c>
      <c r="L4374" s="0">
        <v>0</v>
      </c>
      <c r="M4374" s="0">
        <v>0</v>
      </c>
      <c r="N4374" s="0">
        <v>0</v>
      </c>
      <c r="O4374" s="0">
        <v>0</v>
      </c>
      <c r="P4374" s="0">
        <v>0</v>
      </c>
      <c r="R4374" s="0" t="b">
        <v>0</v>
      </c>
      <c r="S4374" s="0" t="b">
        <v>0</v>
      </c>
      <c r="T4374" s="68">
        <v>46047.5983333333</v>
      </c>
      <c r="U4374" s="68">
        <v>0</v>
      </c>
      <c r="V4374" s="68">
        <v>46087.166712963</v>
      </c>
      <c r="W4374" s="0">
        <f>IF(IF(B4374="none",1,IF(B4374="Trialer",1,0))+IF(C4374="Customer",1,IF(C4374="Lost",1,0))=2,1,0)</f>
      </c>
      <c r="X4374" s="0" t="s">
        <v>145</v>
      </c>
      <c r="Y4374" s="0" t="s">
        <v>243</v>
      </c>
      <c r="AV4374" s="68"/>
      <c r="AW4374" s="68"/>
      <c r="AY4374" s="27"/>
      <c r="BD4374" s="68">
        <v>46054.1666666667</v>
      </c>
      <c r="BE4374" s="68">
        <v>46082.1666666667</v>
      </c>
      <c r="BF4374" s="0" t="b">
        <v>0</v>
      </c>
      <c r="BG4374" s="0" t="b">
        <v>0</v>
      </c>
      <c r="BH4374" s="0">
        <v>44.25</v>
      </c>
      <c r="BI4374" s="0">
        <v>44.25</v>
      </c>
      <c r="BJ4374" s="0" t="s">
        <v>135</v>
      </c>
    </row>
    <row r="4375">
      <c r="A4375" s="0" t="s">
        <v>4637</v>
      </c>
      <c r="B4375" s="0" t="s">
        <v>652</v>
      </c>
      <c r="C4375" s="0" t="s">
        <v>652</v>
      </c>
      <c r="D4375" s="0" t="s">
        <v>135</v>
      </c>
      <c r="E4375" s="0" t="s">
        <v>2414</v>
      </c>
      <c r="F4375" s="0" t="s">
        <v>12</v>
      </c>
      <c r="G4375" s="0" t="s">
        <v>8</v>
      </c>
      <c r="H4375" s="0">
        <v>6</v>
      </c>
      <c r="I4375" s="0">
        <v>0</v>
      </c>
      <c r="J4375" s="0">
        <v>0</v>
      </c>
      <c r="K4375" s="0">
        <v>0</v>
      </c>
      <c r="L4375" s="0">
        <v>0</v>
      </c>
      <c r="M4375" s="0">
        <v>0</v>
      </c>
      <c r="N4375" s="0">
        <v>0</v>
      </c>
      <c r="O4375" s="0">
        <v>0</v>
      </c>
      <c r="P4375" s="0">
        <v>0</v>
      </c>
      <c r="R4375" s="0" t="b">
        <v>0</v>
      </c>
      <c r="S4375" s="0" t="b">
        <v>0</v>
      </c>
      <c r="T4375" s="68">
        <v>46047.6094675926</v>
      </c>
      <c r="U4375" s="68">
        <v>0</v>
      </c>
      <c r="V4375" s="68">
        <v>46087.1667476852</v>
      </c>
      <c r="W4375" s="0">
        <f>IF(IF(B4375="none",1,IF(B4375="Trialer",1,0))+IF(C4375="Customer",1,IF(C4375="Lost",1,0))=2,1,0)</f>
      </c>
      <c r="X4375" s="0" t="s">
        <v>136</v>
      </c>
      <c r="Y4375" s="0" t="s">
        <v>1516</v>
      </c>
      <c r="AV4375" s="68"/>
      <c r="AW4375" s="68"/>
      <c r="AY4375" s="27"/>
      <c r="BD4375" s="68">
        <v>46054.1666666667</v>
      </c>
      <c r="BE4375" s="68">
        <v>46082.1666666667</v>
      </c>
      <c r="BF4375" s="0" t="b">
        <v>0</v>
      </c>
      <c r="BG4375" s="0" t="b">
        <v>0</v>
      </c>
      <c r="BH4375" s="0">
        <v>44.25</v>
      </c>
      <c r="BI4375" s="0">
        <v>44.25</v>
      </c>
      <c r="BJ4375" s="0" t="s">
        <v>135</v>
      </c>
    </row>
    <row r="4376">
      <c r="A4376" s="0" t="s">
        <v>4638</v>
      </c>
      <c r="B4376" s="0" t="s">
        <v>652</v>
      </c>
      <c r="C4376" s="0" t="s">
        <v>652</v>
      </c>
      <c r="D4376" s="0" t="s">
        <v>135</v>
      </c>
      <c r="E4376" s="0" t="s">
        <v>2</v>
      </c>
      <c r="F4376" s="0" t="s">
        <v>12</v>
      </c>
      <c r="G4376" s="0" t="s">
        <v>8</v>
      </c>
      <c r="H4376" s="0">
        <v>6</v>
      </c>
      <c r="I4376" s="0">
        <v>0</v>
      </c>
      <c r="J4376" s="0">
        <v>0</v>
      </c>
      <c r="K4376" s="0">
        <v>0</v>
      </c>
      <c r="L4376" s="0">
        <v>0</v>
      </c>
      <c r="M4376" s="0">
        <v>0</v>
      </c>
      <c r="N4376" s="0">
        <v>0</v>
      </c>
      <c r="O4376" s="0">
        <v>0</v>
      </c>
      <c r="P4376" s="0">
        <v>0</v>
      </c>
      <c r="R4376" s="0" t="b">
        <v>0</v>
      </c>
      <c r="S4376" s="0" t="b">
        <v>0</v>
      </c>
      <c r="T4376" s="68">
        <v>46047.6201967593</v>
      </c>
      <c r="U4376" s="68">
        <v>0</v>
      </c>
      <c r="V4376" s="68">
        <v>46087.1667476852</v>
      </c>
      <c r="W4376" s="0">
        <f>IF(IF(B4376="none",1,IF(B4376="Trialer",1,0))+IF(C4376="Customer",1,IF(C4376="Lost",1,0))=2,1,0)</f>
      </c>
      <c r="X4376" s="0" t="s">
        <v>148</v>
      </c>
      <c r="Y4376" s="0" t="s">
        <v>499</v>
      </c>
      <c r="AV4376" s="68"/>
      <c r="AW4376" s="68"/>
      <c r="AY4376" s="27"/>
      <c r="BD4376" s="68">
        <v>46054.1666666667</v>
      </c>
      <c r="BE4376" s="68">
        <v>46082.1666666667</v>
      </c>
      <c r="BF4376" s="0" t="b">
        <v>0</v>
      </c>
      <c r="BG4376" s="0" t="b">
        <v>0</v>
      </c>
      <c r="BH4376" s="0">
        <v>63.75</v>
      </c>
      <c r="BI4376" s="0">
        <v>63.75</v>
      </c>
      <c r="BJ4376" s="0" t="s">
        <v>135</v>
      </c>
    </row>
    <row r="4377">
      <c r="A4377" s="0" t="s">
        <v>4639</v>
      </c>
      <c r="B4377" s="0" t="s">
        <v>652</v>
      </c>
      <c r="C4377" s="0" t="s">
        <v>652</v>
      </c>
      <c r="D4377" s="0" t="s">
        <v>135</v>
      </c>
      <c r="E4377" s="0" t="s">
        <v>3</v>
      </c>
      <c r="F4377" s="0" t="s">
        <v>12</v>
      </c>
      <c r="G4377" s="0" t="s">
        <v>8</v>
      </c>
      <c r="H4377" s="0">
        <v>6</v>
      </c>
      <c r="I4377" s="0">
        <v>0</v>
      </c>
      <c r="J4377" s="0">
        <v>0</v>
      </c>
      <c r="K4377" s="0">
        <v>0</v>
      </c>
      <c r="L4377" s="0">
        <v>0</v>
      </c>
      <c r="M4377" s="0">
        <v>0</v>
      </c>
      <c r="N4377" s="0">
        <v>0</v>
      </c>
      <c r="O4377" s="0">
        <v>0</v>
      </c>
      <c r="P4377" s="0">
        <v>0</v>
      </c>
      <c r="R4377" s="0" t="b">
        <v>0</v>
      </c>
      <c r="S4377" s="0" t="b">
        <v>0</v>
      </c>
      <c r="T4377" s="68">
        <v>46047.6760300926</v>
      </c>
      <c r="U4377" s="68">
        <v>0</v>
      </c>
      <c r="V4377" s="68">
        <v>46087.1667708333</v>
      </c>
      <c r="W4377" s="0">
        <f>IF(IF(B4377="none",1,IF(B4377="Trialer",1,0))+IF(C4377="Customer",1,IF(C4377="Lost",1,0))=2,1,0)</f>
      </c>
      <c r="X4377" s="0" t="s">
        <v>136</v>
      </c>
      <c r="Y4377" s="0" t="s">
        <v>243</v>
      </c>
      <c r="AV4377" s="68"/>
      <c r="AW4377" s="68"/>
      <c r="AY4377" s="27"/>
      <c r="BD4377" s="68">
        <v>46054.1666666667</v>
      </c>
      <c r="BE4377" s="68">
        <v>46082.1666666667</v>
      </c>
      <c r="BF4377" s="0" t="b">
        <v>0</v>
      </c>
      <c r="BG4377" s="0" t="b">
        <v>0</v>
      </c>
      <c r="BH4377" s="0">
        <v>53.25</v>
      </c>
      <c r="BI4377" s="0">
        <v>53.25</v>
      </c>
      <c r="BJ4377" s="0" t="s">
        <v>135</v>
      </c>
    </row>
    <row r="4378">
      <c r="A4378" s="0" t="s">
        <v>4640</v>
      </c>
      <c r="B4378" s="0" t="s">
        <v>652</v>
      </c>
      <c r="C4378" s="0" t="s">
        <v>652</v>
      </c>
      <c r="D4378" s="0" t="s">
        <v>135</v>
      </c>
      <c r="E4378" s="0" t="s">
        <v>2</v>
      </c>
      <c r="F4378" s="0" t="s">
        <v>12</v>
      </c>
      <c r="G4378" s="0" t="s">
        <v>8</v>
      </c>
      <c r="H4378" s="0">
        <v>6</v>
      </c>
      <c r="I4378" s="0">
        <v>0</v>
      </c>
      <c r="J4378" s="0">
        <v>0</v>
      </c>
      <c r="K4378" s="0">
        <v>0</v>
      </c>
      <c r="L4378" s="0">
        <v>0</v>
      </c>
      <c r="M4378" s="0">
        <v>0</v>
      </c>
      <c r="N4378" s="0">
        <v>0</v>
      </c>
      <c r="O4378" s="0">
        <v>0</v>
      </c>
      <c r="P4378" s="0">
        <v>0</v>
      </c>
      <c r="R4378" s="0" t="b">
        <v>0</v>
      </c>
      <c r="S4378" s="0" t="b">
        <v>0</v>
      </c>
      <c r="T4378" s="68">
        <v>46047.6947685185</v>
      </c>
      <c r="U4378" s="68">
        <v>0</v>
      </c>
      <c r="V4378" s="68">
        <v>46087.1667939815</v>
      </c>
      <c r="W4378" s="0">
        <f>IF(IF(B4378="none",1,IF(B4378="Trialer",1,0))+IF(C4378="Customer",1,IF(C4378="Lost",1,0))=2,1,0)</f>
      </c>
      <c r="X4378" s="0" t="s">
        <v>148</v>
      </c>
      <c r="Y4378" s="0" t="s">
        <v>499</v>
      </c>
      <c r="AV4378" s="68"/>
      <c r="AW4378" s="68"/>
      <c r="AY4378" s="27"/>
      <c r="BD4378" s="68">
        <v>46054.1666666667</v>
      </c>
      <c r="BE4378" s="68">
        <v>46082.1666666667</v>
      </c>
      <c r="BF4378" s="0" t="b">
        <v>0</v>
      </c>
      <c r="BG4378" s="0" t="b">
        <v>0</v>
      </c>
      <c r="BH4378" s="0">
        <v>44.25</v>
      </c>
      <c r="BI4378" s="0">
        <v>44.25</v>
      </c>
      <c r="BJ4378" s="0" t="s">
        <v>135</v>
      </c>
    </row>
    <row r="4379">
      <c r="A4379" s="0" t="s">
        <v>4641</v>
      </c>
      <c r="B4379" s="0" t="s">
        <v>652</v>
      </c>
      <c r="C4379" s="0" t="s">
        <v>652</v>
      </c>
      <c r="D4379" s="0" t="s">
        <v>135</v>
      </c>
      <c r="E4379" s="0" t="s">
        <v>4</v>
      </c>
      <c r="F4379" s="0" t="s">
        <v>12</v>
      </c>
      <c r="G4379" s="0" t="s">
        <v>8</v>
      </c>
      <c r="H4379" s="0">
        <v>6</v>
      </c>
      <c r="I4379" s="0">
        <v>0</v>
      </c>
      <c r="J4379" s="0">
        <v>0</v>
      </c>
      <c r="K4379" s="0">
        <v>0</v>
      </c>
      <c r="L4379" s="0">
        <v>0</v>
      </c>
      <c r="M4379" s="0">
        <v>0</v>
      </c>
      <c r="N4379" s="0">
        <v>0</v>
      </c>
      <c r="O4379" s="0">
        <v>0</v>
      </c>
      <c r="P4379" s="0">
        <v>0</v>
      </c>
      <c r="R4379" s="0" t="b">
        <v>0</v>
      </c>
      <c r="S4379" s="0" t="b">
        <v>0</v>
      </c>
      <c r="T4379" s="68">
        <v>46047.7751273148</v>
      </c>
      <c r="U4379" s="68">
        <v>0</v>
      </c>
      <c r="V4379" s="68">
        <v>46076.3262731481</v>
      </c>
      <c r="W4379" s="0">
        <f>IF(IF(B4379="none",1,IF(B4379="Trialer",1,0))+IF(C4379="Customer",1,IF(C4379="Lost",1,0))=2,1,0)</f>
      </c>
      <c r="X4379" s="0" t="s">
        <v>145</v>
      </c>
      <c r="Y4379" s="0" t="s">
        <v>1772</v>
      </c>
      <c r="AV4379" s="68"/>
      <c r="AW4379" s="68"/>
      <c r="AY4379" s="27"/>
      <c r="BD4379" s="68">
        <v>46054.1666666667</v>
      </c>
      <c r="BE4379" s="68">
        <v>46082.1666666667</v>
      </c>
      <c r="BF4379" s="0" t="b">
        <v>1</v>
      </c>
      <c r="BG4379" s="0" t="b">
        <v>0</v>
      </c>
      <c r="BH4379" s="0">
        <v>44.25</v>
      </c>
      <c r="BI4379" s="0">
        <v>44.25</v>
      </c>
      <c r="BJ4379" s="0" t="s">
        <v>135</v>
      </c>
    </row>
    <row r="4380">
      <c r="A4380" s="0" t="s">
        <v>4642</v>
      </c>
      <c r="B4380" s="0" t="s">
        <v>652</v>
      </c>
      <c r="C4380" s="0" t="s">
        <v>652</v>
      </c>
      <c r="D4380" s="0" t="s">
        <v>135</v>
      </c>
      <c r="E4380" s="0" t="s">
        <v>1515</v>
      </c>
      <c r="F4380" s="0" t="s">
        <v>12</v>
      </c>
      <c r="G4380" s="0" t="s">
        <v>8</v>
      </c>
      <c r="H4380" s="0">
        <v>6</v>
      </c>
      <c r="I4380" s="0">
        <v>0</v>
      </c>
      <c r="J4380" s="0">
        <v>0</v>
      </c>
      <c r="K4380" s="0">
        <v>0</v>
      </c>
      <c r="L4380" s="0">
        <v>0</v>
      </c>
      <c r="M4380" s="0">
        <v>0</v>
      </c>
      <c r="N4380" s="0">
        <v>0</v>
      </c>
      <c r="O4380" s="0">
        <v>0</v>
      </c>
      <c r="P4380" s="0">
        <v>0</v>
      </c>
      <c r="R4380" s="0" t="b">
        <v>0</v>
      </c>
      <c r="S4380" s="0" t="b">
        <v>0</v>
      </c>
      <c r="T4380" s="68">
        <v>46047.7919560185</v>
      </c>
      <c r="U4380" s="68">
        <v>0</v>
      </c>
      <c r="V4380" s="68">
        <v>46087.1667939815</v>
      </c>
      <c r="W4380" s="0">
        <f>IF(IF(B4380="none",1,IF(B4380="Trialer",1,0))+IF(C4380="Customer",1,IF(C4380="Lost",1,0))=2,1,0)</f>
      </c>
      <c r="X4380" s="0" t="s">
        <v>136</v>
      </c>
      <c r="Y4380" s="0" t="s">
        <v>1516</v>
      </c>
      <c r="AV4380" s="68"/>
      <c r="AW4380" s="68"/>
      <c r="AY4380" s="27"/>
      <c r="BD4380" s="68">
        <v>46054.1666666667</v>
      </c>
      <c r="BE4380" s="68">
        <v>46082.1666666667</v>
      </c>
      <c r="BF4380" s="0" t="b">
        <v>0</v>
      </c>
      <c r="BG4380" s="0" t="b">
        <v>0</v>
      </c>
      <c r="BH4380" s="0">
        <v>44.25</v>
      </c>
      <c r="BI4380" s="0">
        <v>44.25</v>
      </c>
      <c r="BJ4380" s="0" t="s">
        <v>135</v>
      </c>
    </row>
    <row r="4381">
      <c r="A4381" s="0" t="s">
        <v>4643</v>
      </c>
      <c r="B4381" s="0" t="s">
        <v>652</v>
      </c>
      <c r="C4381" s="0" t="s">
        <v>652</v>
      </c>
      <c r="D4381" s="0" t="s">
        <v>135</v>
      </c>
      <c r="E4381" s="0" t="s">
        <v>3</v>
      </c>
      <c r="F4381" s="0" t="s">
        <v>12</v>
      </c>
      <c r="G4381" s="0" t="s">
        <v>8</v>
      </c>
      <c r="H4381" s="0">
        <v>6</v>
      </c>
      <c r="I4381" s="0">
        <v>0</v>
      </c>
      <c r="J4381" s="0">
        <v>0</v>
      </c>
      <c r="K4381" s="0">
        <v>0</v>
      </c>
      <c r="L4381" s="0">
        <v>0</v>
      </c>
      <c r="M4381" s="0">
        <v>0</v>
      </c>
      <c r="N4381" s="0">
        <v>0</v>
      </c>
      <c r="O4381" s="0">
        <v>0</v>
      </c>
      <c r="P4381" s="0">
        <v>0</v>
      </c>
      <c r="R4381" s="0" t="b">
        <v>0</v>
      </c>
      <c r="S4381" s="0" t="b">
        <v>0</v>
      </c>
      <c r="T4381" s="68">
        <v>46047.7943402778</v>
      </c>
      <c r="U4381" s="68">
        <v>0</v>
      </c>
      <c r="V4381" s="68">
        <v>46087.1668171296</v>
      </c>
      <c r="W4381" s="0">
        <f>IF(IF(B4381="none",1,IF(B4381="Trialer",1,0))+IF(C4381="Customer",1,IF(C4381="Lost",1,0))=2,1,0)</f>
      </c>
      <c r="X4381" s="0" t="s">
        <v>148</v>
      </c>
      <c r="Y4381" s="0" t="s">
        <v>243</v>
      </c>
      <c r="AV4381" s="68"/>
      <c r="AW4381" s="68"/>
      <c r="AY4381" s="27"/>
      <c r="BD4381" s="68">
        <v>46054.1666666667</v>
      </c>
      <c r="BE4381" s="68">
        <v>46082.1666666667</v>
      </c>
      <c r="BF4381" s="0" t="b">
        <v>0</v>
      </c>
      <c r="BG4381" s="0" t="b">
        <v>0</v>
      </c>
      <c r="BH4381" s="0">
        <v>53.25</v>
      </c>
      <c r="BI4381" s="0">
        <v>53.25</v>
      </c>
      <c r="BJ4381" s="0" t="s">
        <v>135</v>
      </c>
    </row>
    <row r="4382">
      <c r="A4382" s="0" t="s">
        <v>4644</v>
      </c>
      <c r="B4382" s="0" t="s">
        <v>652</v>
      </c>
      <c r="C4382" s="0" t="s">
        <v>652</v>
      </c>
      <c r="D4382" s="0" t="s">
        <v>135</v>
      </c>
      <c r="E4382" s="0" t="s">
        <v>3</v>
      </c>
      <c r="F4382" s="0" t="s">
        <v>12</v>
      </c>
      <c r="G4382" s="0" t="s">
        <v>8</v>
      </c>
      <c r="H4382" s="0">
        <v>6</v>
      </c>
      <c r="I4382" s="0">
        <v>0</v>
      </c>
      <c r="J4382" s="0">
        <v>0</v>
      </c>
      <c r="K4382" s="0">
        <v>0</v>
      </c>
      <c r="L4382" s="0">
        <v>0</v>
      </c>
      <c r="M4382" s="0">
        <v>0</v>
      </c>
      <c r="N4382" s="0">
        <v>0</v>
      </c>
      <c r="O4382" s="0">
        <v>0</v>
      </c>
      <c r="P4382" s="0">
        <v>0</v>
      </c>
      <c r="R4382" s="0" t="b">
        <v>0</v>
      </c>
      <c r="S4382" s="0" t="b">
        <v>0</v>
      </c>
      <c r="T4382" s="68">
        <v>46047.8100578704</v>
      </c>
      <c r="U4382" s="68">
        <v>0</v>
      </c>
      <c r="V4382" s="68">
        <v>46087.1668287037</v>
      </c>
      <c r="W4382" s="0">
        <f>IF(IF(B4382="none",1,IF(B4382="Trialer",1,0))+IF(C4382="Customer",1,IF(C4382="Lost",1,0))=2,1,0)</f>
      </c>
      <c r="X4382" s="0" t="s">
        <v>145</v>
      </c>
      <c r="Y4382" s="0" t="s">
        <v>243</v>
      </c>
      <c r="AV4382" s="68"/>
      <c r="AW4382" s="68"/>
      <c r="AY4382" s="27"/>
      <c r="BD4382" s="68">
        <v>46054.1666666667</v>
      </c>
      <c r="BE4382" s="68">
        <v>46082.1666666667</v>
      </c>
      <c r="BF4382" s="0" t="b">
        <v>0</v>
      </c>
      <c r="BG4382" s="0" t="b">
        <v>0</v>
      </c>
      <c r="BH4382" s="0">
        <v>44.25</v>
      </c>
      <c r="BI4382" s="0">
        <v>44.25</v>
      </c>
      <c r="BJ4382" s="0" t="s">
        <v>135</v>
      </c>
    </row>
    <row r="4383">
      <c r="A4383" s="0" t="s">
        <v>4645</v>
      </c>
      <c r="B4383" s="0" t="s">
        <v>652</v>
      </c>
      <c r="C4383" s="0" t="s">
        <v>652</v>
      </c>
      <c r="D4383" s="0" t="s">
        <v>135</v>
      </c>
      <c r="E4383" s="0" t="s">
        <v>1515</v>
      </c>
      <c r="F4383" s="0" t="s">
        <v>12</v>
      </c>
      <c r="G4383" s="0" t="s">
        <v>8</v>
      </c>
      <c r="H4383" s="0">
        <v>5</v>
      </c>
      <c r="I4383" s="0">
        <v>0</v>
      </c>
      <c r="J4383" s="0">
        <v>0</v>
      </c>
      <c r="K4383" s="0">
        <v>0</v>
      </c>
      <c r="L4383" s="0">
        <v>0</v>
      </c>
      <c r="M4383" s="0">
        <v>0</v>
      </c>
      <c r="N4383" s="0">
        <v>0</v>
      </c>
      <c r="O4383" s="0">
        <v>0</v>
      </c>
      <c r="P4383" s="0">
        <v>0</v>
      </c>
      <c r="R4383" s="0" t="b">
        <v>0</v>
      </c>
      <c r="S4383" s="0" t="b">
        <v>0</v>
      </c>
      <c r="T4383" s="68">
        <v>46048.1345833333</v>
      </c>
      <c r="U4383" s="68">
        <v>0</v>
      </c>
      <c r="V4383" s="68">
        <v>46087.1668287037</v>
      </c>
      <c r="W4383" s="0">
        <f>IF(IF(B4383="none",1,IF(B4383="Trialer",1,0))+IF(C4383="Customer",1,IF(C4383="Lost",1,0))=2,1,0)</f>
      </c>
      <c r="X4383" s="0" t="s">
        <v>136</v>
      </c>
      <c r="Y4383" s="0" t="s">
        <v>1516</v>
      </c>
      <c r="AV4383" s="68"/>
      <c r="AW4383" s="68"/>
      <c r="AY4383" s="27"/>
      <c r="BD4383" s="68">
        <v>46054.1666666667</v>
      </c>
      <c r="BE4383" s="68">
        <v>46082.1666666667</v>
      </c>
      <c r="BF4383" s="0" t="b">
        <v>0</v>
      </c>
      <c r="BG4383" s="0" t="b">
        <v>0</v>
      </c>
      <c r="BH4383" s="0">
        <v>44.25</v>
      </c>
      <c r="BI4383" s="0">
        <v>44.25</v>
      </c>
      <c r="BJ4383" s="0" t="s">
        <v>135</v>
      </c>
    </row>
    <row r="4384">
      <c r="A4384" s="0" t="s">
        <v>4646</v>
      </c>
      <c r="B4384" s="0" t="s">
        <v>652</v>
      </c>
      <c r="C4384" s="0" t="s">
        <v>652</v>
      </c>
      <c r="D4384" s="0" t="s">
        <v>135</v>
      </c>
      <c r="E4384" s="0" t="s">
        <v>3</v>
      </c>
      <c r="F4384" s="0" t="s">
        <v>12</v>
      </c>
      <c r="G4384" s="0" t="s">
        <v>8</v>
      </c>
      <c r="H4384" s="0">
        <v>5</v>
      </c>
      <c r="I4384" s="0">
        <v>0</v>
      </c>
      <c r="J4384" s="0">
        <v>0</v>
      </c>
      <c r="K4384" s="0">
        <v>0</v>
      </c>
      <c r="L4384" s="0">
        <v>0</v>
      </c>
      <c r="M4384" s="0">
        <v>0</v>
      </c>
      <c r="N4384" s="0">
        <v>0</v>
      </c>
      <c r="O4384" s="0">
        <v>0</v>
      </c>
      <c r="P4384" s="0">
        <v>0</v>
      </c>
      <c r="R4384" s="0" t="b">
        <v>0</v>
      </c>
      <c r="S4384" s="0" t="b">
        <v>0</v>
      </c>
      <c r="T4384" s="68">
        <v>46048.2817939815</v>
      </c>
      <c r="U4384" s="68">
        <v>0</v>
      </c>
      <c r="V4384" s="68">
        <v>46088.1667361111</v>
      </c>
      <c r="W4384" s="0">
        <f>IF(IF(B4384="none",1,IF(B4384="Trialer",1,0))+IF(C4384="Customer",1,IF(C4384="Lost",1,0))=2,1,0)</f>
      </c>
      <c r="X4384" s="0" t="s">
        <v>145</v>
      </c>
      <c r="Y4384" s="0" t="s">
        <v>243</v>
      </c>
      <c r="AV4384" s="68"/>
      <c r="AW4384" s="68"/>
      <c r="AY4384" s="27"/>
      <c r="BD4384" s="68">
        <v>46054.1666666667</v>
      </c>
      <c r="BE4384" s="68">
        <v>46082.1666666667</v>
      </c>
      <c r="BF4384" s="0" t="b">
        <v>0</v>
      </c>
      <c r="BG4384" s="0" t="b">
        <v>0</v>
      </c>
      <c r="BH4384" s="0">
        <v>44.25</v>
      </c>
      <c r="BI4384" s="0">
        <v>44.25</v>
      </c>
      <c r="BJ4384" s="0" t="s">
        <v>135</v>
      </c>
    </row>
    <row r="4385">
      <c r="A4385" s="0" t="s">
        <v>4647</v>
      </c>
      <c r="B4385" s="0" t="s">
        <v>652</v>
      </c>
      <c r="C4385" s="0" t="s">
        <v>652</v>
      </c>
      <c r="D4385" s="0" t="s">
        <v>135</v>
      </c>
      <c r="E4385" s="0" t="s">
        <v>3</v>
      </c>
      <c r="F4385" s="0" t="s">
        <v>12</v>
      </c>
      <c r="G4385" s="0" t="s">
        <v>8</v>
      </c>
      <c r="H4385" s="0">
        <v>5</v>
      </c>
      <c r="I4385" s="0">
        <v>0</v>
      </c>
      <c r="J4385" s="0">
        <v>0</v>
      </c>
      <c r="K4385" s="0">
        <v>0</v>
      </c>
      <c r="L4385" s="0">
        <v>0</v>
      </c>
      <c r="M4385" s="0">
        <v>0</v>
      </c>
      <c r="N4385" s="0">
        <v>0</v>
      </c>
      <c r="O4385" s="0">
        <v>0</v>
      </c>
      <c r="P4385" s="0">
        <v>0</v>
      </c>
      <c r="R4385" s="0" t="b">
        <v>0</v>
      </c>
      <c r="S4385" s="0" t="b">
        <v>0</v>
      </c>
      <c r="T4385" s="68">
        <v>46048.3304976852</v>
      </c>
      <c r="U4385" s="68">
        <v>0</v>
      </c>
      <c r="V4385" s="68">
        <v>46088.1667592593</v>
      </c>
      <c r="W4385" s="0">
        <f>IF(IF(B4385="none",1,IF(B4385="Trialer",1,0))+IF(C4385="Customer",1,IF(C4385="Lost",1,0))=2,1,0)</f>
      </c>
      <c r="X4385" s="0" t="s">
        <v>136</v>
      </c>
      <c r="Y4385" s="0" t="s">
        <v>243</v>
      </c>
      <c r="AV4385" s="68"/>
      <c r="AW4385" s="68"/>
      <c r="AY4385" s="27"/>
      <c r="BD4385" s="68">
        <v>46054.1666666667</v>
      </c>
      <c r="BE4385" s="68">
        <v>46082.1666666667</v>
      </c>
      <c r="BF4385" s="0" t="b">
        <v>0</v>
      </c>
      <c r="BG4385" s="0" t="b">
        <v>0</v>
      </c>
      <c r="BH4385" s="0">
        <v>44.25</v>
      </c>
      <c r="BI4385" s="0">
        <v>44.25</v>
      </c>
      <c r="BJ4385" s="0" t="s">
        <v>135</v>
      </c>
    </row>
    <row r="4386">
      <c r="A4386" s="0" t="s">
        <v>4648</v>
      </c>
      <c r="B4386" s="0" t="s">
        <v>652</v>
      </c>
      <c r="C4386" s="0" t="s">
        <v>652</v>
      </c>
      <c r="D4386" s="0" t="s">
        <v>135</v>
      </c>
      <c r="E4386" s="0" t="s">
        <v>3</v>
      </c>
      <c r="F4386" s="0" t="s">
        <v>12</v>
      </c>
      <c r="G4386" s="0" t="s">
        <v>8</v>
      </c>
      <c r="H4386" s="0">
        <v>5</v>
      </c>
      <c r="I4386" s="0">
        <v>0</v>
      </c>
      <c r="J4386" s="0">
        <v>0</v>
      </c>
      <c r="K4386" s="0">
        <v>0</v>
      </c>
      <c r="L4386" s="0">
        <v>0</v>
      </c>
      <c r="M4386" s="0">
        <v>0</v>
      </c>
      <c r="N4386" s="0">
        <v>0</v>
      </c>
      <c r="O4386" s="0">
        <v>0</v>
      </c>
      <c r="P4386" s="0">
        <v>0</v>
      </c>
      <c r="R4386" s="0" t="b">
        <v>0</v>
      </c>
      <c r="S4386" s="0" t="b">
        <v>0</v>
      </c>
      <c r="T4386" s="68">
        <v>46048.3739583333</v>
      </c>
      <c r="U4386" s="68">
        <v>0</v>
      </c>
      <c r="V4386" s="68">
        <v>46062.9312731481</v>
      </c>
      <c r="W4386" s="0">
        <f>IF(IF(B4386="none",1,IF(B4386="Trialer",1,0))+IF(C4386="Customer",1,IF(C4386="Lost",1,0))=2,1,0)</f>
      </c>
      <c r="X4386" s="0" t="s">
        <v>653</v>
      </c>
      <c r="Y4386" s="0" t="s">
        <v>243</v>
      </c>
      <c r="AV4386" s="68"/>
      <c r="AW4386" s="68"/>
      <c r="AY4386" s="27"/>
      <c r="BD4386" s="68">
        <v>46054.1666666667</v>
      </c>
      <c r="BE4386" s="68">
        <v>46082.1666666667</v>
      </c>
      <c r="BF4386" s="0" t="b">
        <v>1</v>
      </c>
      <c r="BG4386" s="0" t="b">
        <v>0</v>
      </c>
      <c r="BH4386" s="0">
        <v>44.25</v>
      </c>
      <c r="BI4386" s="0">
        <v>44.25</v>
      </c>
      <c r="BJ4386" s="0" t="s">
        <v>135</v>
      </c>
    </row>
    <row r="4387">
      <c r="A4387" s="0" t="s">
        <v>4649</v>
      </c>
      <c r="B4387" s="0" t="s">
        <v>652</v>
      </c>
      <c r="C4387" s="0" t="s">
        <v>652</v>
      </c>
      <c r="D4387" s="0" t="s">
        <v>135</v>
      </c>
      <c r="E4387" s="0" t="s">
        <v>3</v>
      </c>
      <c r="F4387" s="0" t="s">
        <v>12</v>
      </c>
      <c r="G4387" s="0" t="s">
        <v>8</v>
      </c>
      <c r="H4387" s="0">
        <v>5</v>
      </c>
      <c r="I4387" s="0">
        <v>0</v>
      </c>
      <c r="J4387" s="0">
        <v>0</v>
      </c>
      <c r="K4387" s="0">
        <v>0</v>
      </c>
      <c r="L4387" s="0">
        <v>0</v>
      </c>
      <c r="M4387" s="0">
        <v>0</v>
      </c>
      <c r="N4387" s="0">
        <v>0</v>
      </c>
      <c r="O4387" s="0">
        <v>0</v>
      </c>
      <c r="P4387" s="0">
        <v>0</v>
      </c>
      <c r="R4387" s="0" t="b">
        <v>0</v>
      </c>
      <c r="S4387" s="0" t="b">
        <v>0</v>
      </c>
      <c r="T4387" s="68">
        <v>46048.3739699074</v>
      </c>
      <c r="U4387" s="68">
        <v>0</v>
      </c>
      <c r="V4387" s="68">
        <v>46088.1667824074</v>
      </c>
      <c r="W4387" s="0">
        <f>IF(IF(B4387="none",1,IF(B4387="Trialer",1,0))+IF(C4387="Customer",1,IF(C4387="Lost",1,0))=2,1,0)</f>
      </c>
      <c r="X4387" s="0" t="s">
        <v>148</v>
      </c>
      <c r="Y4387" s="0" t="s">
        <v>243</v>
      </c>
      <c r="AV4387" s="68"/>
      <c r="AW4387" s="68"/>
      <c r="AY4387" s="27"/>
      <c r="BD4387" s="68">
        <v>46054.1666666667</v>
      </c>
      <c r="BE4387" s="68">
        <v>46082.1666666667</v>
      </c>
      <c r="BF4387" s="0" t="b">
        <v>0</v>
      </c>
      <c r="BG4387" s="0" t="b">
        <v>0</v>
      </c>
      <c r="BH4387" s="0">
        <v>63.75</v>
      </c>
      <c r="BI4387" s="0">
        <v>63.75</v>
      </c>
      <c r="BJ4387" s="0" t="s">
        <v>135</v>
      </c>
    </row>
    <row r="4388">
      <c r="A4388" s="0" t="s">
        <v>4650</v>
      </c>
      <c r="B4388" s="0" t="s">
        <v>652</v>
      </c>
      <c r="C4388" s="0" t="s">
        <v>652</v>
      </c>
      <c r="D4388" s="0" t="s">
        <v>135</v>
      </c>
      <c r="E4388" s="0" t="s">
        <v>3</v>
      </c>
      <c r="F4388" s="0" t="s">
        <v>12</v>
      </c>
      <c r="G4388" s="0" t="s">
        <v>8</v>
      </c>
      <c r="H4388" s="0">
        <v>5</v>
      </c>
      <c r="I4388" s="0">
        <v>0</v>
      </c>
      <c r="J4388" s="0">
        <v>0</v>
      </c>
      <c r="K4388" s="0">
        <v>0</v>
      </c>
      <c r="L4388" s="0">
        <v>0</v>
      </c>
      <c r="M4388" s="0">
        <v>0</v>
      </c>
      <c r="N4388" s="0">
        <v>0</v>
      </c>
      <c r="O4388" s="0">
        <v>0</v>
      </c>
      <c r="P4388" s="0">
        <v>0</v>
      </c>
      <c r="R4388" s="0" t="b">
        <v>0</v>
      </c>
      <c r="S4388" s="0" t="b">
        <v>1</v>
      </c>
      <c r="T4388" s="68">
        <v>46048.4101273148</v>
      </c>
      <c r="U4388" s="68">
        <v>46094.3333333333</v>
      </c>
      <c r="V4388" s="68">
        <v>0</v>
      </c>
      <c r="W4388" s="0">
        <f>IF(IF(B4388="none",1,IF(B4388="Trialer",1,0))+IF(C4388="Customer",1,IF(C4388="Lost",1,0))=2,1,0)</f>
      </c>
      <c r="X4388" s="0" t="s">
        <v>148</v>
      </c>
      <c r="Y4388" s="0" t="s">
        <v>243</v>
      </c>
      <c r="AV4388" s="68"/>
      <c r="AW4388" s="68"/>
      <c r="AY4388" s="27"/>
      <c r="BD4388" s="68">
        <v>46054.1666666667</v>
      </c>
      <c r="BE4388" s="68">
        <v>46082.1666666667</v>
      </c>
      <c r="BF4388" s="0" t="b">
        <v>0</v>
      </c>
      <c r="BG4388" s="0" t="b">
        <v>0</v>
      </c>
      <c r="BH4388" s="0">
        <v>123</v>
      </c>
      <c r="BI4388" s="0">
        <v>123</v>
      </c>
      <c r="BJ4388" s="0" t="s">
        <v>135</v>
      </c>
    </row>
    <row r="4389">
      <c r="A4389" s="0" t="s">
        <v>4651</v>
      </c>
      <c r="B4389" s="0" t="s">
        <v>652</v>
      </c>
      <c r="C4389" s="0" t="s">
        <v>652</v>
      </c>
      <c r="D4389" s="0" t="s">
        <v>135</v>
      </c>
      <c r="E4389" s="0" t="s">
        <v>3</v>
      </c>
      <c r="F4389" s="0" t="s">
        <v>12</v>
      </c>
      <c r="G4389" s="0" t="s">
        <v>8</v>
      </c>
      <c r="H4389" s="0">
        <v>5</v>
      </c>
      <c r="I4389" s="0">
        <v>0</v>
      </c>
      <c r="J4389" s="0">
        <v>0</v>
      </c>
      <c r="K4389" s="0">
        <v>0</v>
      </c>
      <c r="L4389" s="0">
        <v>0</v>
      </c>
      <c r="M4389" s="0">
        <v>0</v>
      </c>
      <c r="N4389" s="0">
        <v>0</v>
      </c>
      <c r="O4389" s="0">
        <v>0</v>
      </c>
      <c r="P4389" s="0">
        <v>0</v>
      </c>
      <c r="R4389" s="0" t="b">
        <v>0</v>
      </c>
      <c r="S4389" s="0" t="b">
        <v>0</v>
      </c>
      <c r="T4389" s="68">
        <v>46048.427662037</v>
      </c>
      <c r="U4389" s="68">
        <v>0</v>
      </c>
      <c r="V4389" s="68">
        <v>46088.1668171296</v>
      </c>
      <c r="W4389" s="0">
        <f>IF(IF(B4389="none",1,IF(B4389="Trialer",1,0))+IF(C4389="Customer",1,IF(C4389="Lost",1,0))=2,1,0)</f>
      </c>
      <c r="X4389" s="0" t="s">
        <v>145</v>
      </c>
      <c r="Y4389" s="0" t="s">
        <v>243</v>
      </c>
      <c r="AV4389" s="68"/>
      <c r="AW4389" s="68"/>
      <c r="AY4389" s="27"/>
      <c r="BD4389" s="68">
        <v>46054.1666666667</v>
      </c>
      <c r="BE4389" s="68">
        <v>46082.1666666667</v>
      </c>
      <c r="BF4389" s="0" t="b">
        <v>0</v>
      </c>
      <c r="BG4389" s="0" t="b">
        <v>0</v>
      </c>
      <c r="BH4389" s="0">
        <v>63.75</v>
      </c>
      <c r="BI4389" s="0">
        <v>63.75</v>
      </c>
      <c r="BJ4389" s="0" t="s">
        <v>135</v>
      </c>
    </row>
    <row r="4390">
      <c r="A4390" s="0" t="s">
        <v>4652</v>
      </c>
      <c r="B4390" s="0" t="s">
        <v>652</v>
      </c>
      <c r="C4390" s="0" t="s">
        <v>652</v>
      </c>
      <c r="D4390" s="0" t="s">
        <v>135</v>
      </c>
      <c r="E4390" s="0" t="s">
        <v>2</v>
      </c>
      <c r="F4390" s="0" t="s">
        <v>12</v>
      </c>
      <c r="G4390" s="0" t="s">
        <v>8</v>
      </c>
      <c r="H4390" s="0">
        <v>5</v>
      </c>
      <c r="I4390" s="0">
        <v>0</v>
      </c>
      <c r="J4390" s="0">
        <v>0</v>
      </c>
      <c r="K4390" s="0">
        <v>0</v>
      </c>
      <c r="L4390" s="0">
        <v>0</v>
      </c>
      <c r="M4390" s="0">
        <v>0</v>
      </c>
      <c r="N4390" s="0">
        <v>0</v>
      </c>
      <c r="O4390" s="0">
        <v>0</v>
      </c>
      <c r="P4390" s="0">
        <v>0</v>
      </c>
      <c r="R4390" s="0" t="b">
        <v>0</v>
      </c>
      <c r="S4390" s="0" t="b">
        <v>0</v>
      </c>
      <c r="T4390" s="68">
        <v>46048.4427546296</v>
      </c>
      <c r="U4390" s="68">
        <v>0</v>
      </c>
      <c r="V4390" s="68">
        <v>46054.483900463</v>
      </c>
      <c r="W4390" s="0">
        <f>IF(IF(B4390="none",1,IF(B4390="Trialer",1,0))+IF(C4390="Customer",1,IF(C4390="Lost",1,0))=2,1,0)</f>
      </c>
      <c r="X4390" s="0" t="s">
        <v>136</v>
      </c>
      <c r="Y4390" s="0" t="s">
        <v>499</v>
      </c>
      <c r="AV4390" s="68"/>
      <c r="AW4390" s="68"/>
      <c r="AY4390" s="27"/>
      <c r="BD4390" s="68">
        <v>46054.1666666667</v>
      </c>
      <c r="BE4390" s="68">
        <v>46082.1666666667</v>
      </c>
      <c r="BF4390" s="0" t="b">
        <v>0</v>
      </c>
      <c r="BG4390" s="0" t="b">
        <v>0</v>
      </c>
      <c r="BH4390" s="0">
        <v>87</v>
      </c>
      <c r="BI4390" s="0">
        <v>87</v>
      </c>
      <c r="BJ4390" s="0" t="s">
        <v>135</v>
      </c>
    </row>
    <row r="4391">
      <c r="A4391" s="0" t="s">
        <v>4653</v>
      </c>
      <c r="B4391" s="0" t="s">
        <v>652</v>
      </c>
      <c r="C4391" s="0" t="s">
        <v>134</v>
      </c>
      <c r="D4391" s="0" t="s">
        <v>135</v>
      </c>
      <c r="E4391" s="0" t="s">
        <v>3</v>
      </c>
      <c r="F4391" s="0" t="s">
        <v>12</v>
      </c>
      <c r="G4391" s="0" t="s">
        <v>8</v>
      </c>
      <c r="H4391" s="0">
        <v>5</v>
      </c>
      <c r="I4391" s="0">
        <v>221.25</v>
      </c>
      <c r="J4391" s="0">
        <v>0</v>
      </c>
      <c r="K4391" s="0">
        <v>1</v>
      </c>
      <c r="L4391" s="0">
        <v>3</v>
      </c>
      <c r="M4391" s="0">
        <v>5</v>
      </c>
      <c r="N4391" s="0">
        <v>0</v>
      </c>
      <c r="O4391" s="0">
        <v>0</v>
      </c>
      <c r="P4391" s="0">
        <v>0</v>
      </c>
      <c r="R4391" s="0" t="b">
        <v>0</v>
      </c>
      <c r="S4391" s="0" t="b">
        <v>1</v>
      </c>
      <c r="T4391" s="68">
        <v>46048.4541666667</v>
      </c>
      <c r="U4391" s="68">
        <v>46062.2916666667</v>
      </c>
      <c r="V4391" s="68">
        <v>0</v>
      </c>
      <c r="W4391" s="0">
        <f>IF(IF(B4391="none",1,IF(B4391="Trialer",1,0))+IF(C4391="Customer",1,IF(C4391="Lost",1,0))=2,1,0)</f>
      </c>
      <c r="X4391" s="0" t="s">
        <v>145</v>
      </c>
      <c r="Y4391" s="0" t="s">
        <v>243</v>
      </c>
      <c r="AV4391" s="68"/>
      <c r="AW4391" s="68"/>
      <c r="AY4391" s="27"/>
      <c r="BD4391" s="68">
        <v>46054.1666666667</v>
      </c>
      <c r="BE4391" s="68">
        <v>46082.1666666667</v>
      </c>
      <c r="BF4391" s="0" t="b">
        <v>0</v>
      </c>
      <c r="BG4391" s="0" t="b">
        <v>0</v>
      </c>
      <c r="BH4391" s="0">
        <v>221.25</v>
      </c>
      <c r="BI4391" s="0">
        <v>221.25</v>
      </c>
      <c r="BJ4391" s="0" t="s">
        <v>135</v>
      </c>
    </row>
    <row r="4392">
      <c r="A4392" s="0" t="s">
        <v>4654</v>
      </c>
      <c r="B4392" s="0" t="s">
        <v>652</v>
      </c>
      <c r="C4392" s="0" t="s">
        <v>652</v>
      </c>
      <c r="D4392" s="0" t="s">
        <v>135</v>
      </c>
      <c r="E4392" s="0" t="s">
        <v>1515</v>
      </c>
      <c r="F4392" s="0" t="s">
        <v>12</v>
      </c>
      <c r="G4392" s="0" t="s">
        <v>8</v>
      </c>
      <c r="H4392" s="0">
        <v>5</v>
      </c>
      <c r="I4392" s="0">
        <v>0</v>
      </c>
      <c r="J4392" s="0">
        <v>0</v>
      </c>
      <c r="K4392" s="0">
        <v>0</v>
      </c>
      <c r="L4392" s="0">
        <v>0</v>
      </c>
      <c r="M4392" s="0">
        <v>0</v>
      </c>
      <c r="N4392" s="0">
        <v>0</v>
      </c>
      <c r="O4392" s="0">
        <v>0</v>
      </c>
      <c r="P4392" s="0">
        <v>0</v>
      </c>
      <c r="R4392" s="0" t="b">
        <v>0</v>
      </c>
      <c r="S4392" s="0" t="b">
        <v>0</v>
      </c>
      <c r="T4392" s="68">
        <v>46048.4931481481</v>
      </c>
      <c r="U4392" s="68">
        <v>0</v>
      </c>
      <c r="V4392" s="68">
        <v>46088.1668287037</v>
      </c>
      <c r="W4392" s="0">
        <f>IF(IF(B4392="none",1,IF(B4392="Trialer",1,0))+IF(C4392="Customer",1,IF(C4392="Lost",1,0))=2,1,0)</f>
      </c>
      <c r="X4392" s="0" t="s">
        <v>148</v>
      </c>
      <c r="Y4392" s="0" t="s">
        <v>1516</v>
      </c>
      <c r="AV4392" s="68"/>
      <c r="AW4392" s="68"/>
      <c r="AY4392" s="27"/>
      <c r="BD4392" s="68">
        <v>46054.1666666667</v>
      </c>
      <c r="BE4392" s="68">
        <v>46082.1666666667</v>
      </c>
      <c r="BF4392" s="0" t="b">
        <v>0</v>
      </c>
      <c r="BG4392" s="0" t="b">
        <v>0</v>
      </c>
      <c r="BH4392" s="0">
        <v>44.25</v>
      </c>
      <c r="BI4392" s="0">
        <v>44.25</v>
      </c>
      <c r="BJ4392" s="0" t="s">
        <v>135</v>
      </c>
    </row>
    <row r="4393">
      <c r="A4393" s="0" t="s">
        <v>4655</v>
      </c>
      <c r="B4393" s="0" t="s">
        <v>652</v>
      </c>
      <c r="C4393" s="0" t="s">
        <v>134</v>
      </c>
      <c r="D4393" s="0" t="s">
        <v>135</v>
      </c>
      <c r="E4393" s="0" t="s">
        <v>3</v>
      </c>
      <c r="F4393" s="0" t="s">
        <v>12</v>
      </c>
      <c r="G4393" s="0" t="s">
        <v>8</v>
      </c>
      <c r="H4393" s="0">
        <v>5</v>
      </c>
      <c r="I4393" s="0">
        <v>141.75</v>
      </c>
      <c r="J4393" s="0">
        <v>0</v>
      </c>
      <c r="K4393" s="0">
        <v>1</v>
      </c>
      <c r="L4393" s="0">
        <v>4</v>
      </c>
      <c r="M4393" s="0">
        <v>3</v>
      </c>
      <c r="N4393" s="0">
        <v>0</v>
      </c>
      <c r="O4393" s="0">
        <v>0</v>
      </c>
      <c r="P4393" s="0">
        <v>0</v>
      </c>
      <c r="R4393" s="0" t="b">
        <v>0</v>
      </c>
      <c r="S4393" s="0" t="b">
        <v>1</v>
      </c>
      <c r="T4393" s="68">
        <v>46048.5048611111</v>
      </c>
      <c r="U4393" s="68">
        <v>46062.2916666667</v>
      </c>
      <c r="V4393" s="68">
        <v>0</v>
      </c>
      <c r="W4393" s="0">
        <f>IF(IF(B4393="none",1,IF(B4393="Trialer",1,0))+IF(C4393="Customer",1,IF(C4393="Lost",1,0))=2,1,0)</f>
      </c>
      <c r="X4393" s="0" t="s">
        <v>1461</v>
      </c>
      <c r="Y4393" s="0" t="s">
        <v>243</v>
      </c>
      <c r="AV4393" s="68"/>
      <c r="AW4393" s="68"/>
      <c r="AY4393" s="27"/>
      <c r="BD4393" s="68">
        <v>46054.1666666667</v>
      </c>
      <c r="BE4393" s="68">
        <v>46082.1666666667</v>
      </c>
      <c r="BF4393" s="0" t="b">
        <v>0</v>
      </c>
      <c r="BG4393" s="0" t="b">
        <v>0</v>
      </c>
      <c r="BH4393" s="0">
        <v>141.75</v>
      </c>
      <c r="BI4393" s="0">
        <v>141.75</v>
      </c>
      <c r="BJ4393" s="0" t="s">
        <v>135</v>
      </c>
    </row>
    <row r="4394">
      <c r="A4394" s="0" t="s">
        <v>4656</v>
      </c>
      <c r="B4394" s="0" t="s">
        <v>652</v>
      </c>
      <c r="C4394" s="0" t="s">
        <v>652</v>
      </c>
      <c r="D4394" s="0" t="s">
        <v>135</v>
      </c>
      <c r="E4394" s="0" t="s">
        <v>4</v>
      </c>
      <c r="F4394" s="0" t="s">
        <v>12</v>
      </c>
      <c r="G4394" s="0" t="s">
        <v>8</v>
      </c>
      <c r="H4394" s="0">
        <v>5</v>
      </c>
      <c r="I4394" s="0">
        <v>0</v>
      </c>
      <c r="J4394" s="0">
        <v>0</v>
      </c>
      <c r="K4394" s="0">
        <v>0</v>
      </c>
      <c r="L4394" s="0">
        <v>0</v>
      </c>
      <c r="M4394" s="0">
        <v>0</v>
      </c>
      <c r="N4394" s="0">
        <v>0</v>
      </c>
      <c r="O4394" s="0">
        <v>0</v>
      </c>
      <c r="P4394" s="0">
        <v>0</v>
      </c>
      <c r="R4394" s="0" t="b">
        <v>0</v>
      </c>
      <c r="S4394" s="0" t="b">
        <v>0</v>
      </c>
      <c r="T4394" s="68">
        <v>46048.5081365741</v>
      </c>
      <c r="U4394" s="68">
        <v>0</v>
      </c>
      <c r="V4394" s="68">
        <v>46088.1668287037</v>
      </c>
      <c r="W4394" s="0">
        <f>IF(IF(B4394="none",1,IF(B4394="Trialer",1,0))+IF(C4394="Customer",1,IF(C4394="Lost",1,0))=2,1,0)</f>
      </c>
      <c r="X4394" s="0" t="s">
        <v>148</v>
      </c>
      <c r="Y4394" s="0" t="s">
        <v>1772</v>
      </c>
      <c r="AV4394" s="68"/>
      <c r="AW4394" s="68"/>
      <c r="AY4394" s="27"/>
      <c r="BD4394" s="68">
        <v>46054.1666666667</v>
      </c>
      <c r="BE4394" s="68">
        <v>46082.1666666667</v>
      </c>
      <c r="BF4394" s="0" t="b">
        <v>0</v>
      </c>
      <c r="BG4394" s="0" t="b">
        <v>0</v>
      </c>
      <c r="BH4394" s="0">
        <v>44.25</v>
      </c>
      <c r="BI4394" s="0">
        <v>44.25</v>
      </c>
      <c r="BJ4394" s="0" t="s">
        <v>135</v>
      </c>
    </row>
    <row r="4395">
      <c r="A4395" s="0" t="s">
        <v>4657</v>
      </c>
      <c r="B4395" s="0" t="s">
        <v>652</v>
      </c>
      <c r="C4395" s="0" t="s">
        <v>652</v>
      </c>
      <c r="D4395" s="0" t="s">
        <v>135</v>
      </c>
      <c r="E4395" s="0" t="s">
        <v>3</v>
      </c>
      <c r="F4395" s="0" t="s">
        <v>12</v>
      </c>
      <c r="G4395" s="0" t="s">
        <v>8</v>
      </c>
      <c r="H4395" s="0">
        <v>5</v>
      </c>
      <c r="I4395" s="0">
        <v>0</v>
      </c>
      <c r="J4395" s="0">
        <v>0</v>
      </c>
      <c r="K4395" s="0">
        <v>0</v>
      </c>
      <c r="L4395" s="0">
        <v>0</v>
      </c>
      <c r="M4395" s="0">
        <v>0</v>
      </c>
      <c r="N4395" s="0">
        <v>0</v>
      </c>
      <c r="O4395" s="0">
        <v>0</v>
      </c>
      <c r="P4395" s="0">
        <v>0</v>
      </c>
      <c r="R4395" s="0" t="b">
        <v>0</v>
      </c>
      <c r="S4395" s="0" t="b">
        <v>0</v>
      </c>
      <c r="T4395" s="68">
        <v>46048.535150463</v>
      </c>
      <c r="U4395" s="68">
        <v>0</v>
      </c>
      <c r="V4395" s="68">
        <v>46088.1668518518</v>
      </c>
      <c r="W4395" s="0">
        <f>IF(IF(B4395="none",1,IF(B4395="Trialer",1,0))+IF(C4395="Customer",1,IF(C4395="Lost",1,0))=2,1,0)</f>
      </c>
      <c r="X4395" s="0" t="s">
        <v>148</v>
      </c>
      <c r="Y4395" s="0" t="s">
        <v>243</v>
      </c>
      <c r="AV4395" s="68"/>
      <c r="AW4395" s="68"/>
      <c r="AY4395" s="27"/>
      <c r="BD4395" s="68">
        <v>46054.1666666667</v>
      </c>
      <c r="BE4395" s="68">
        <v>46082.1666666667</v>
      </c>
      <c r="BF4395" s="0" t="b">
        <v>0</v>
      </c>
      <c r="BG4395" s="0" t="b">
        <v>0</v>
      </c>
      <c r="BH4395" s="0">
        <v>44.25</v>
      </c>
      <c r="BI4395" s="0">
        <v>44.25</v>
      </c>
      <c r="BJ4395" s="0" t="s">
        <v>135</v>
      </c>
    </row>
    <row r="4396">
      <c r="A4396" s="0" t="s">
        <v>4658</v>
      </c>
      <c r="B4396" s="0" t="s">
        <v>652</v>
      </c>
      <c r="C4396" s="0" t="s">
        <v>134</v>
      </c>
      <c r="D4396" s="0" t="s">
        <v>135</v>
      </c>
      <c r="E4396" s="0" t="s">
        <v>3</v>
      </c>
      <c r="F4396" s="0" t="s">
        <v>12</v>
      </c>
      <c r="G4396" s="0" t="s">
        <v>8</v>
      </c>
      <c r="H4396" s="0">
        <v>5</v>
      </c>
      <c r="I4396" s="0">
        <v>528.25</v>
      </c>
      <c r="J4396" s="0">
        <v>0</v>
      </c>
      <c r="K4396" s="0">
        <v>1</v>
      </c>
      <c r="L4396" s="0">
        <v>3</v>
      </c>
      <c r="M4396" s="0">
        <v>5</v>
      </c>
      <c r="N4396" s="0">
        <v>697.5</v>
      </c>
      <c r="O4396" s="0">
        <v>0</v>
      </c>
      <c r="P4396" s="0">
        <v>0</v>
      </c>
      <c r="R4396" s="0" t="b">
        <v>0</v>
      </c>
      <c r="S4396" s="0" t="b">
        <v>1</v>
      </c>
      <c r="T4396" s="68">
        <v>46048.6388888889</v>
      </c>
      <c r="U4396" s="68">
        <v>46062.2916666667</v>
      </c>
      <c r="V4396" s="68">
        <v>0</v>
      </c>
      <c r="W4396" s="0">
        <f>IF(IF(B4396="none",1,IF(B4396="Trialer",1,0))+IF(C4396="Customer",1,IF(C4396="Lost",1,0))=2,1,0)</f>
      </c>
      <c r="X4396" s="0" t="s">
        <v>148</v>
      </c>
      <c r="Y4396" s="0" t="s">
        <v>1792</v>
      </c>
      <c r="AV4396" s="68"/>
      <c r="AW4396" s="68"/>
      <c r="AY4396" s="27"/>
      <c r="BD4396" s="68">
        <v>46054.1666666667</v>
      </c>
      <c r="BE4396" s="68">
        <v>46082.1666666667</v>
      </c>
      <c r="BF4396" s="0" t="b">
        <v>0</v>
      </c>
      <c r="BG4396" s="0" t="b">
        <v>0</v>
      </c>
      <c r="BH4396" s="0">
        <v>203.25</v>
      </c>
      <c r="BI4396" s="0">
        <v>203.25</v>
      </c>
      <c r="BJ4396" s="0" t="s">
        <v>135</v>
      </c>
    </row>
    <row r="4397">
      <c r="A4397" s="0" t="s">
        <v>4659</v>
      </c>
      <c r="B4397" s="0" t="s">
        <v>652</v>
      </c>
      <c r="C4397" s="0" t="s">
        <v>652</v>
      </c>
      <c r="D4397" s="0" t="s">
        <v>135</v>
      </c>
      <c r="E4397" s="0" t="s">
        <v>3</v>
      </c>
      <c r="F4397" s="0" t="s">
        <v>12</v>
      </c>
      <c r="G4397" s="0" t="s">
        <v>8</v>
      </c>
      <c r="H4397" s="0">
        <v>5</v>
      </c>
      <c r="I4397" s="0">
        <v>0</v>
      </c>
      <c r="J4397" s="0">
        <v>0</v>
      </c>
      <c r="K4397" s="0">
        <v>0</v>
      </c>
      <c r="L4397" s="0">
        <v>0</v>
      </c>
      <c r="M4397" s="0">
        <v>0</v>
      </c>
      <c r="N4397" s="0">
        <v>0</v>
      </c>
      <c r="O4397" s="0">
        <v>0</v>
      </c>
      <c r="P4397" s="0">
        <v>0</v>
      </c>
      <c r="R4397" s="0" t="b">
        <v>0</v>
      </c>
      <c r="S4397" s="0" t="b">
        <v>0</v>
      </c>
      <c r="T4397" s="68">
        <v>46048.6582060185</v>
      </c>
      <c r="U4397" s="68">
        <v>0</v>
      </c>
      <c r="V4397" s="68">
        <v>46098.166724537</v>
      </c>
      <c r="W4397" s="0">
        <f>IF(IF(B4397="none",1,IF(B4397="Trialer",1,0))+IF(C4397="Customer",1,IF(C4397="Lost",1,0))=2,1,0)</f>
      </c>
      <c r="X4397" s="0" t="s">
        <v>145</v>
      </c>
      <c r="Y4397" s="0" t="s">
        <v>243</v>
      </c>
      <c r="AV4397" s="68"/>
      <c r="AW4397" s="68"/>
      <c r="AY4397" s="27"/>
      <c r="BD4397" s="68">
        <v>46054.1666666667</v>
      </c>
      <c r="BE4397" s="68">
        <v>46082.1666666667</v>
      </c>
      <c r="BF4397" s="0" t="b">
        <v>0</v>
      </c>
      <c r="BG4397" s="0" t="b">
        <v>0</v>
      </c>
      <c r="BH4397" s="0">
        <v>88.5</v>
      </c>
      <c r="BI4397" s="0">
        <v>88.5</v>
      </c>
      <c r="BJ4397" s="0" t="s">
        <v>135</v>
      </c>
    </row>
    <row r="4398">
      <c r="A4398" s="0" t="s">
        <v>4660</v>
      </c>
      <c r="B4398" s="0" t="s">
        <v>652</v>
      </c>
      <c r="C4398" s="0" t="s">
        <v>652</v>
      </c>
      <c r="D4398" s="0" t="s">
        <v>135</v>
      </c>
      <c r="E4398" s="0" t="s">
        <v>3</v>
      </c>
      <c r="F4398" s="0" t="s">
        <v>12</v>
      </c>
      <c r="G4398" s="0" t="s">
        <v>8</v>
      </c>
      <c r="H4398" s="0">
        <v>5</v>
      </c>
      <c r="I4398" s="0">
        <v>0</v>
      </c>
      <c r="J4398" s="0">
        <v>0</v>
      </c>
      <c r="K4398" s="0">
        <v>0</v>
      </c>
      <c r="L4398" s="0">
        <v>0</v>
      </c>
      <c r="M4398" s="0">
        <v>0</v>
      </c>
      <c r="N4398" s="0">
        <v>0</v>
      </c>
      <c r="O4398" s="0">
        <v>0</v>
      </c>
      <c r="P4398" s="0">
        <v>0</v>
      </c>
      <c r="R4398" s="0" t="b">
        <v>0</v>
      </c>
      <c r="S4398" s="0" t="b">
        <v>0</v>
      </c>
      <c r="T4398" s="68">
        <v>46048.6773032407</v>
      </c>
      <c r="U4398" s="68">
        <v>0</v>
      </c>
      <c r="V4398" s="68">
        <v>46084.3152546296</v>
      </c>
      <c r="W4398" s="0">
        <f>IF(IF(B4398="none",1,IF(B4398="Trialer",1,0))+IF(C4398="Customer",1,IF(C4398="Lost",1,0))=2,1,0)</f>
      </c>
      <c r="X4398" s="0" t="s">
        <v>136</v>
      </c>
      <c r="Y4398" s="0" t="s">
        <v>243</v>
      </c>
      <c r="AV4398" s="68"/>
      <c r="AW4398" s="68"/>
      <c r="AY4398" s="27"/>
      <c r="BD4398" s="68">
        <v>46054.1666666667</v>
      </c>
      <c r="BE4398" s="68">
        <v>46082.1666666667</v>
      </c>
      <c r="BF4398" s="0" t="b">
        <v>0</v>
      </c>
      <c r="BG4398" s="0" t="b">
        <v>0</v>
      </c>
      <c r="BH4398" s="0">
        <v>44.25</v>
      </c>
      <c r="BI4398" s="0">
        <v>44.25</v>
      </c>
      <c r="BJ4398" s="0" t="s">
        <v>135</v>
      </c>
    </row>
    <row r="4399">
      <c r="A4399" s="0" t="s">
        <v>4661</v>
      </c>
      <c r="B4399" s="0" t="s">
        <v>652</v>
      </c>
      <c r="C4399" s="0" t="s">
        <v>652</v>
      </c>
      <c r="D4399" s="0" t="s">
        <v>135</v>
      </c>
      <c r="E4399" s="0" t="s">
        <v>3</v>
      </c>
      <c r="F4399" s="0" t="s">
        <v>12</v>
      </c>
      <c r="G4399" s="0" t="s">
        <v>8</v>
      </c>
      <c r="H4399" s="0">
        <v>5</v>
      </c>
      <c r="I4399" s="0">
        <v>0</v>
      </c>
      <c r="J4399" s="0">
        <v>0</v>
      </c>
      <c r="K4399" s="0">
        <v>0</v>
      </c>
      <c r="L4399" s="0">
        <v>0</v>
      </c>
      <c r="M4399" s="0">
        <v>0</v>
      </c>
      <c r="N4399" s="0">
        <v>0</v>
      </c>
      <c r="O4399" s="0">
        <v>0</v>
      </c>
      <c r="P4399" s="0">
        <v>0</v>
      </c>
      <c r="R4399" s="0" t="b">
        <v>0</v>
      </c>
      <c r="S4399" s="0" t="b">
        <v>0</v>
      </c>
      <c r="T4399" s="68">
        <v>46048.6917476852</v>
      </c>
      <c r="U4399" s="68">
        <v>0</v>
      </c>
      <c r="V4399" s="68">
        <v>46088.1668518518</v>
      </c>
      <c r="W4399" s="0">
        <f>IF(IF(B4399="none",1,IF(B4399="Trialer",1,0))+IF(C4399="Customer",1,IF(C4399="Lost",1,0))=2,1,0)</f>
      </c>
      <c r="X4399" s="0" t="s">
        <v>148</v>
      </c>
      <c r="Y4399" s="0" t="s">
        <v>243</v>
      </c>
      <c r="AV4399" s="68"/>
      <c r="AW4399" s="68"/>
      <c r="AY4399" s="27"/>
      <c r="BD4399" s="68">
        <v>46054.1666666667</v>
      </c>
      <c r="BE4399" s="68">
        <v>46082.1666666667</v>
      </c>
      <c r="BF4399" s="0" t="b">
        <v>0</v>
      </c>
      <c r="BG4399" s="0" t="b">
        <v>0</v>
      </c>
      <c r="BH4399" s="0">
        <v>72.75</v>
      </c>
      <c r="BI4399" s="0">
        <v>72.75</v>
      </c>
      <c r="BJ4399" s="0" t="s">
        <v>135</v>
      </c>
    </row>
    <row r="4400">
      <c r="A4400" s="0" t="s">
        <v>4662</v>
      </c>
      <c r="B4400" s="0" t="s">
        <v>652</v>
      </c>
      <c r="C4400" s="0" t="s">
        <v>652</v>
      </c>
      <c r="D4400" s="0" t="s">
        <v>135</v>
      </c>
      <c r="E4400" s="0" t="s">
        <v>2</v>
      </c>
      <c r="F4400" s="0" t="s">
        <v>12</v>
      </c>
      <c r="G4400" s="0" t="s">
        <v>8</v>
      </c>
      <c r="H4400" s="0">
        <v>5</v>
      </c>
      <c r="I4400" s="0">
        <v>0</v>
      </c>
      <c r="J4400" s="0">
        <v>0</v>
      </c>
      <c r="K4400" s="0">
        <v>0</v>
      </c>
      <c r="L4400" s="0">
        <v>0</v>
      </c>
      <c r="M4400" s="0">
        <v>0</v>
      </c>
      <c r="N4400" s="0">
        <v>0</v>
      </c>
      <c r="O4400" s="0">
        <v>0</v>
      </c>
      <c r="P4400" s="0">
        <v>0</v>
      </c>
      <c r="R4400" s="0" t="b">
        <v>0</v>
      </c>
      <c r="S4400" s="0" t="b">
        <v>0</v>
      </c>
      <c r="T4400" s="68">
        <v>46048.6919560185</v>
      </c>
      <c r="U4400" s="68">
        <v>0</v>
      </c>
      <c r="V4400" s="68">
        <v>46088.1668865741</v>
      </c>
      <c r="W4400" s="0">
        <f>IF(IF(B4400="none",1,IF(B4400="Trialer",1,0))+IF(C4400="Customer",1,IF(C4400="Lost",1,0))=2,1,0)</f>
      </c>
      <c r="X4400" s="0" t="s">
        <v>145</v>
      </c>
      <c r="Y4400" s="0" t="s">
        <v>499</v>
      </c>
      <c r="AV4400" s="68"/>
      <c r="AW4400" s="68"/>
      <c r="AY4400" s="27"/>
      <c r="BD4400" s="68">
        <v>46054.1666666667</v>
      </c>
      <c r="BE4400" s="68">
        <v>46082.1666666667</v>
      </c>
      <c r="BF4400" s="0" t="b">
        <v>0</v>
      </c>
      <c r="BG4400" s="0" t="b">
        <v>0</v>
      </c>
      <c r="BH4400" s="0">
        <v>72.75</v>
      </c>
      <c r="BI4400" s="0">
        <v>72.75</v>
      </c>
      <c r="BJ4400" s="0" t="s">
        <v>135</v>
      </c>
    </row>
    <row r="4401">
      <c r="A4401" s="0" t="s">
        <v>4663</v>
      </c>
      <c r="B4401" s="0" t="s">
        <v>652</v>
      </c>
      <c r="C4401" s="0" t="s">
        <v>134</v>
      </c>
      <c r="D4401" s="0" t="s">
        <v>230</v>
      </c>
      <c r="E4401" s="0" t="s">
        <v>3</v>
      </c>
      <c r="F4401" s="0" t="s">
        <v>12</v>
      </c>
      <c r="G4401" s="0" t="s">
        <v>8</v>
      </c>
      <c r="H4401" s="0">
        <v>5</v>
      </c>
      <c r="I4401" s="0">
        <v>121.5</v>
      </c>
      <c r="J4401" s="0">
        <v>0</v>
      </c>
      <c r="K4401" s="0">
        <v>1</v>
      </c>
      <c r="L4401" s="0">
        <v>2</v>
      </c>
      <c r="M4401" s="0">
        <v>3</v>
      </c>
      <c r="N4401" s="0">
        <v>0</v>
      </c>
      <c r="O4401" s="0">
        <v>0</v>
      </c>
      <c r="P4401" s="0">
        <v>1336.5</v>
      </c>
      <c r="R4401" s="0" t="b">
        <v>0</v>
      </c>
      <c r="S4401" s="0" t="b">
        <v>1</v>
      </c>
      <c r="T4401" s="68">
        <v>46048.7006481482</v>
      </c>
      <c r="U4401" s="68">
        <v>46062.2916666667</v>
      </c>
      <c r="V4401" s="68">
        <v>0</v>
      </c>
      <c r="W4401" s="0">
        <f>IF(IF(B4401="none",1,IF(B4401="Trialer",1,0))+IF(C4401="Customer",1,IF(C4401="Lost",1,0))=2,1,0)</f>
      </c>
      <c r="X4401" s="0" t="s">
        <v>136</v>
      </c>
      <c r="Y4401" s="0" t="s">
        <v>243</v>
      </c>
      <c r="AV4401" s="68"/>
      <c r="AW4401" s="68"/>
      <c r="AY4401" s="27"/>
      <c r="BD4401" s="68">
        <v>46054.1666666667</v>
      </c>
      <c r="BE4401" s="68">
        <v>46082.1666666667</v>
      </c>
      <c r="BF4401" s="0" t="b">
        <v>0</v>
      </c>
      <c r="BG4401" s="0" t="b">
        <v>0</v>
      </c>
      <c r="BH4401" s="0">
        <v>135</v>
      </c>
      <c r="BI4401" s="0">
        <v>135</v>
      </c>
      <c r="BJ4401" s="0" t="s">
        <v>230</v>
      </c>
    </row>
    <row r="4402">
      <c r="A4402" s="0" t="s">
        <v>4664</v>
      </c>
      <c r="B4402" s="0" t="s">
        <v>652</v>
      </c>
      <c r="C4402" s="0" t="s">
        <v>652</v>
      </c>
      <c r="D4402" s="0" t="s">
        <v>135</v>
      </c>
      <c r="E4402" s="0" t="s">
        <v>3</v>
      </c>
      <c r="F4402" s="0" t="s">
        <v>12</v>
      </c>
      <c r="G4402" s="0" t="s">
        <v>8</v>
      </c>
      <c r="H4402" s="0">
        <v>5</v>
      </c>
      <c r="I4402" s="0">
        <v>0</v>
      </c>
      <c r="J4402" s="0">
        <v>0</v>
      </c>
      <c r="K4402" s="0">
        <v>0</v>
      </c>
      <c r="L4402" s="0">
        <v>0</v>
      </c>
      <c r="M4402" s="0">
        <v>0</v>
      </c>
      <c r="N4402" s="0">
        <v>0</v>
      </c>
      <c r="O4402" s="0">
        <v>0</v>
      </c>
      <c r="P4402" s="0">
        <v>0</v>
      </c>
      <c r="R4402" s="0" t="b">
        <v>0</v>
      </c>
      <c r="S4402" s="0" t="b">
        <v>0</v>
      </c>
      <c r="T4402" s="68">
        <v>46048.7110416667</v>
      </c>
      <c r="U4402" s="68">
        <v>0</v>
      </c>
      <c r="V4402" s="68">
        <v>46088.1668634259</v>
      </c>
      <c r="W4402" s="0">
        <f>IF(IF(B4402="none",1,IF(B4402="Trialer",1,0))+IF(C4402="Customer",1,IF(C4402="Lost",1,0))=2,1,0)</f>
      </c>
      <c r="X4402" s="0" t="s">
        <v>148</v>
      </c>
      <c r="Y4402" s="0" t="s">
        <v>243</v>
      </c>
      <c r="AV4402" s="68"/>
      <c r="AW4402" s="68"/>
      <c r="AY4402" s="27"/>
      <c r="BD4402" s="68">
        <v>46054.1666666667</v>
      </c>
      <c r="BE4402" s="68">
        <v>46082.1666666667</v>
      </c>
      <c r="BF4402" s="0" t="b">
        <v>0</v>
      </c>
      <c r="BG4402" s="0" t="b">
        <v>0</v>
      </c>
      <c r="BH4402" s="0">
        <v>44.25</v>
      </c>
      <c r="BI4402" s="0">
        <v>44.25</v>
      </c>
      <c r="BJ4402" s="0" t="s">
        <v>135</v>
      </c>
    </row>
    <row r="4403">
      <c r="A4403" s="0" t="s">
        <v>4665</v>
      </c>
      <c r="B4403" s="0" t="s">
        <v>134</v>
      </c>
      <c r="C4403" s="0" t="s">
        <v>134</v>
      </c>
      <c r="D4403" s="0" t="s">
        <v>230</v>
      </c>
      <c r="E4403" s="0" t="s">
        <v>3</v>
      </c>
      <c r="F4403" s="0" t="s">
        <v>12</v>
      </c>
      <c r="G4403" s="0" t="s">
        <v>8</v>
      </c>
      <c r="H4403" s="0">
        <v>5</v>
      </c>
      <c r="I4403" s="0">
        <v>456.4</v>
      </c>
      <c r="J4403" s="0">
        <v>0</v>
      </c>
      <c r="K4403" s="0">
        <v>1</v>
      </c>
      <c r="L4403" s="0">
        <v>4</v>
      </c>
      <c r="M4403" s="0">
        <v>2</v>
      </c>
      <c r="N4403" s="0">
        <v>0</v>
      </c>
      <c r="O4403" s="0">
        <v>0</v>
      </c>
      <c r="P4403" s="0">
        <v>-131.4</v>
      </c>
      <c r="R4403" s="0" t="b">
        <v>0</v>
      </c>
      <c r="S4403" s="0" t="b">
        <v>0</v>
      </c>
      <c r="T4403" s="68">
        <v>46048.7139351852</v>
      </c>
      <c r="U4403" s="68">
        <v>46049.2916666667</v>
      </c>
      <c r="V4403" s="68">
        <v>46094.5580902778</v>
      </c>
      <c r="W4403" s="0">
        <f>IF(IF(B4403="none",1,IF(B4403="Trialer",1,0))+IF(C4403="Customer",1,IF(C4403="Lost",1,0))=2,1,0)</f>
      </c>
      <c r="X4403" s="0" t="s">
        <v>148</v>
      </c>
      <c r="Y4403" s="0" t="s">
        <v>243</v>
      </c>
      <c r="AV4403" s="68"/>
      <c r="AW4403" s="68"/>
      <c r="AY4403" s="27"/>
      <c r="BD4403" s="68">
        <v>46054.1666666667</v>
      </c>
      <c r="BE4403" s="68">
        <v>46082.1666666667</v>
      </c>
      <c r="BF4403" s="0" t="b">
        <v>0</v>
      </c>
      <c r="BG4403" s="0" t="b">
        <v>0</v>
      </c>
      <c r="BH4403" s="0">
        <v>146</v>
      </c>
      <c r="BI4403" s="0">
        <v>146</v>
      </c>
      <c r="BJ4403" s="0" t="s">
        <v>230</v>
      </c>
    </row>
    <row r="4404">
      <c r="A4404" s="0" t="s">
        <v>4666</v>
      </c>
      <c r="B4404" s="0" t="s">
        <v>652</v>
      </c>
      <c r="C4404" s="0" t="s">
        <v>652</v>
      </c>
      <c r="D4404" s="0" t="s">
        <v>135</v>
      </c>
      <c r="E4404" s="0" t="s">
        <v>3</v>
      </c>
      <c r="F4404" s="0" t="s">
        <v>12</v>
      </c>
      <c r="G4404" s="0" t="s">
        <v>8</v>
      </c>
      <c r="H4404" s="0">
        <v>5</v>
      </c>
      <c r="I4404" s="0">
        <v>0</v>
      </c>
      <c r="J4404" s="0">
        <v>0</v>
      </c>
      <c r="K4404" s="0">
        <v>0</v>
      </c>
      <c r="L4404" s="0">
        <v>0</v>
      </c>
      <c r="M4404" s="0">
        <v>0</v>
      </c>
      <c r="N4404" s="0">
        <v>0</v>
      </c>
      <c r="O4404" s="0">
        <v>0</v>
      </c>
      <c r="P4404" s="0">
        <v>0</v>
      </c>
      <c r="R4404" s="0" t="b">
        <v>0</v>
      </c>
      <c r="S4404" s="0" t="b">
        <v>0</v>
      </c>
      <c r="T4404" s="68">
        <v>46048.7179166667</v>
      </c>
      <c r="U4404" s="68">
        <v>0</v>
      </c>
      <c r="V4404" s="68">
        <v>46059.6916203704</v>
      </c>
      <c r="W4404" s="0">
        <f>IF(IF(B4404="none",1,IF(B4404="Trialer",1,0))+IF(C4404="Customer",1,IF(C4404="Lost",1,0))=2,1,0)</f>
      </c>
      <c r="X4404" s="0" t="s">
        <v>136</v>
      </c>
      <c r="Y4404" s="0" t="s">
        <v>243</v>
      </c>
      <c r="AV4404" s="68"/>
      <c r="AW4404" s="68"/>
      <c r="AY4404" s="27"/>
      <c r="BD4404" s="68">
        <v>46054.1666666667</v>
      </c>
      <c r="BE4404" s="68">
        <v>46082.1666666667</v>
      </c>
      <c r="BF4404" s="0" t="b">
        <v>0</v>
      </c>
      <c r="BG4404" s="0" t="b">
        <v>0</v>
      </c>
      <c r="BH4404" s="0">
        <v>53.25</v>
      </c>
      <c r="BI4404" s="0">
        <v>53.25</v>
      </c>
      <c r="BJ4404" s="0" t="s">
        <v>135</v>
      </c>
    </row>
    <row r="4405">
      <c r="A4405" s="0" t="s">
        <v>4667</v>
      </c>
      <c r="B4405" s="0" t="s">
        <v>652</v>
      </c>
      <c r="C4405" s="0" t="s">
        <v>652</v>
      </c>
      <c r="D4405" s="0" t="s">
        <v>135</v>
      </c>
      <c r="E4405" s="0" t="s">
        <v>3</v>
      </c>
      <c r="F4405" s="0" t="s">
        <v>12</v>
      </c>
      <c r="G4405" s="0" t="s">
        <v>8</v>
      </c>
      <c r="H4405" s="0">
        <v>5</v>
      </c>
      <c r="I4405" s="0">
        <v>0</v>
      </c>
      <c r="J4405" s="0">
        <v>0</v>
      </c>
      <c r="K4405" s="0">
        <v>0</v>
      </c>
      <c r="L4405" s="0">
        <v>0</v>
      </c>
      <c r="M4405" s="0">
        <v>0</v>
      </c>
      <c r="N4405" s="0">
        <v>0</v>
      </c>
      <c r="O4405" s="0">
        <v>0</v>
      </c>
      <c r="P4405" s="0">
        <v>0</v>
      </c>
      <c r="R4405" s="0" t="b">
        <v>0</v>
      </c>
      <c r="S4405" s="0" t="b">
        <v>0</v>
      </c>
      <c r="T4405" s="68">
        <v>46048.796712963</v>
      </c>
      <c r="U4405" s="68">
        <v>0</v>
      </c>
      <c r="V4405" s="68">
        <v>46070.4880671296</v>
      </c>
      <c r="W4405" s="0">
        <f>IF(IF(B4405="none",1,IF(B4405="Trialer",1,0))+IF(C4405="Customer",1,IF(C4405="Lost",1,0))=2,1,0)</f>
      </c>
      <c r="X4405" s="0" t="s">
        <v>145</v>
      </c>
      <c r="Y4405" s="0" t="s">
        <v>243</v>
      </c>
      <c r="AV4405" s="68"/>
      <c r="AW4405" s="68"/>
      <c r="AY4405" s="27"/>
      <c r="BD4405" s="68">
        <v>46054.1666666667</v>
      </c>
      <c r="BE4405" s="68">
        <v>46082.1666666667</v>
      </c>
      <c r="BF4405" s="0" t="b">
        <v>1</v>
      </c>
      <c r="BG4405" s="0" t="b">
        <v>1</v>
      </c>
      <c r="BH4405" s="0">
        <v>63.75</v>
      </c>
      <c r="BI4405" s="0">
        <v>63.75</v>
      </c>
      <c r="BJ4405" s="0" t="s">
        <v>135</v>
      </c>
    </row>
    <row r="4406">
      <c r="A4406" s="0" t="s">
        <v>4668</v>
      </c>
      <c r="B4406" s="0" t="s">
        <v>652</v>
      </c>
      <c r="C4406" s="0" t="s">
        <v>652</v>
      </c>
      <c r="D4406" s="0" t="s">
        <v>135</v>
      </c>
      <c r="E4406" s="0" t="s">
        <v>4</v>
      </c>
      <c r="F4406" s="0" t="s">
        <v>12</v>
      </c>
      <c r="G4406" s="0" t="s">
        <v>8</v>
      </c>
      <c r="H4406" s="0">
        <v>5</v>
      </c>
      <c r="I4406" s="0">
        <v>0</v>
      </c>
      <c r="J4406" s="0">
        <v>0</v>
      </c>
      <c r="K4406" s="0">
        <v>0</v>
      </c>
      <c r="L4406" s="0">
        <v>0</v>
      </c>
      <c r="M4406" s="0">
        <v>0</v>
      </c>
      <c r="N4406" s="0">
        <v>0</v>
      </c>
      <c r="O4406" s="0">
        <v>0</v>
      </c>
      <c r="P4406" s="0">
        <v>0</v>
      </c>
      <c r="R4406" s="0" t="b">
        <v>0</v>
      </c>
      <c r="S4406" s="0" t="b">
        <v>0</v>
      </c>
      <c r="T4406" s="68">
        <v>46048.9016782407</v>
      </c>
      <c r="U4406" s="68">
        <v>0</v>
      </c>
      <c r="V4406" s="68">
        <v>46088.166875</v>
      </c>
      <c r="W4406" s="0">
        <f>IF(IF(B4406="none",1,IF(B4406="Trialer",1,0))+IF(C4406="Customer",1,IF(C4406="Lost",1,0))=2,1,0)</f>
      </c>
      <c r="X4406" s="0" t="s">
        <v>136</v>
      </c>
      <c r="Y4406" s="0" t="s">
        <v>1772</v>
      </c>
      <c r="AV4406" s="68"/>
      <c r="AW4406" s="68"/>
      <c r="AY4406" s="27"/>
      <c r="BD4406" s="68">
        <v>46054.1666666667</v>
      </c>
      <c r="BE4406" s="68">
        <v>46082.1666666667</v>
      </c>
      <c r="BF4406" s="0" t="b">
        <v>0</v>
      </c>
      <c r="BG4406" s="0" t="b">
        <v>0</v>
      </c>
      <c r="BH4406" s="0">
        <v>44.25</v>
      </c>
      <c r="BI4406" s="0">
        <v>44.25</v>
      </c>
      <c r="BJ4406" s="0" t="s">
        <v>135</v>
      </c>
    </row>
    <row r="4407">
      <c r="A4407" s="0" t="s">
        <v>4669</v>
      </c>
      <c r="B4407" s="0" t="s">
        <v>652</v>
      </c>
      <c r="C4407" s="0" t="s">
        <v>652</v>
      </c>
      <c r="D4407" s="0" t="s">
        <v>135</v>
      </c>
      <c r="E4407" s="0" t="s">
        <v>3</v>
      </c>
      <c r="F4407" s="0" t="s">
        <v>10</v>
      </c>
      <c r="G4407" s="0" t="s">
        <v>8</v>
      </c>
      <c r="H4407" s="0">
        <v>5</v>
      </c>
      <c r="I4407" s="0">
        <v>0</v>
      </c>
      <c r="J4407" s="0">
        <v>0</v>
      </c>
      <c r="K4407" s="0">
        <v>0</v>
      </c>
      <c r="L4407" s="0">
        <v>0</v>
      </c>
      <c r="M4407" s="0">
        <v>0</v>
      </c>
      <c r="N4407" s="0">
        <v>0</v>
      </c>
      <c r="O4407" s="0">
        <v>0</v>
      </c>
      <c r="P4407" s="0">
        <v>0</v>
      </c>
      <c r="Q4407" s="0" t="s">
        <v>4670</v>
      </c>
      <c r="R4407" s="0" t="b">
        <v>0</v>
      </c>
      <c r="S4407" s="0" t="b">
        <v>0</v>
      </c>
      <c r="T4407" s="68">
        <v>46048.9139930556</v>
      </c>
      <c r="U4407" s="68">
        <v>0</v>
      </c>
      <c r="V4407" s="68">
        <v>46088.1668865741</v>
      </c>
      <c r="W4407" s="0">
        <f>IF(IF(B4407="none",1,IF(B4407="Trialer",1,0))+IF(C4407="Customer",1,IF(C4407="Lost",1,0))=2,1,0)</f>
      </c>
      <c r="X4407" s="0" t="s">
        <v>136</v>
      </c>
      <c r="Y4407" s="0" t="s">
        <v>243</v>
      </c>
      <c r="AV4407" s="68"/>
      <c r="AW4407" s="68"/>
      <c r="AY4407" s="27"/>
      <c r="BD4407" s="68">
        <v>46054.1666666667</v>
      </c>
      <c r="BE4407" s="68">
        <v>46082.1666666667</v>
      </c>
      <c r="BF4407" s="0" t="b">
        <v>0</v>
      </c>
      <c r="BG4407" s="0" t="b">
        <v>0</v>
      </c>
      <c r="BH4407" s="0">
        <v>54.75</v>
      </c>
      <c r="BI4407" s="0">
        <v>54.75</v>
      </c>
      <c r="BJ4407" s="0" t="s">
        <v>135</v>
      </c>
    </row>
    <row r="4408">
      <c r="A4408" s="0" t="s">
        <v>4671</v>
      </c>
      <c r="B4408" s="0" t="s">
        <v>652</v>
      </c>
      <c r="C4408" s="0" t="s">
        <v>652</v>
      </c>
      <c r="D4408" s="0" t="s">
        <v>135</v>
      </c>
      <c r="E4408" s="0" t="s">
        <v>2</v>
      </c>
      <c r="F4408" s="0" t="s">
        <v>12</v>
      </c>
      <c r="G4408" s="0" t="s">
        <v>8</v>
      </c>
      <c r="H4408" s="0">
        <v>4</v>
      </c>
      <c r="I4408" s="0">
        <v>0</v>
      </c>
      <c r="J4408" s="0">
        <v>0</v>
      </c>
      <c r="K4408" s="0">
        <v>0</v>
      </c>
      <c r="L4408" s="0">
        <v>0</v>
      </c>
      <c r="M4408" s="0">
        <v>0</v>
      </c>
      <c r="N4408" s="0">
        <v>0</v>
      </c>
      <c r="O4408" s="0">
        <v>0</v>
      </c>
      <c r="P4408" s="0">
        <v>0</v>
      </c>
      <c r="R4408" s="0" t="b">
        <v>0</v>
      </c>
      <c r="S4408" s="0" t="b">
        <v>0</v>
      </c>
      <c r="T4408" s="68">
        <v>46049.2045833333</v>
      </c>
      <c r="U4408" s="68">
        <v>0</v>
      </c>
      <c r="V4408" s="68">
        <v>46089.166724537</v>
      </c>
      <c r="W4408" s="0">
        <f>IF(IF(B4408="none",1,IF(B4408="Trialer",1,0))+IF(C4408="Customer",1,IF(C4408="Lost",1,0))=2,1,0)</f>
      </c>
      <c r="X4408" s="0" t="s">
        <v>145</v>
      </c>
      <c r="Y4408" s="0" t="s">
        <v>499</v>
      </c>
      <c r="AV4408" s="68"/>
      <c r="AW4408" s="68"/>
      <c r="AY4408" s="27"/>
      <c r="BD4408" s="68">
        <v>46054.1666666667</v>
      </c>
      <c r="BE4408" s="68">
        <v>46082.1666666667</v>
      </c>
      <c r="BF4408" s="0" t="b">
        <v>0</v>
      </c>
      <c r="BG4408" s="0" t="b">
        <v>0</v>
      </c>
      <c r="BH4408" s="0">
        <v>44.25</v>
      </c>
      <c r="BI4408" s="0">
        <v>44.25</v>
      </c>
      <c r="BJ4408" s="0" t="s">
        <v>135</v>
      </c>
    </row>
    <row r="4409">
      <c r="A4409" s="0" t="s">
        <v>4672</v>
      </c>
      <c r="B4409" s="0" t="s">
        <v>652</v>
      </c>
      <c r="C4409" s="0" t="s">
        <v>652</v>
      </c>
      <c r="D4409" s="0" t="s">
        <v>135</v>
      </c>
      <c r="E4409" s="0" t="s">
        <v>3</v>
      </c>
      <c r="F4409" s="0" t="s">
        <v>12</v>
      </c>
      <c r="G4409" s="0" t="s">
        <v>8</v>
      </c>
      <c r="H4409" s="0">
        <v>4</v>
      </c>
      <c r="I4409" s="0">
        <v>0</v>
      </c>
      <c r="J4409" s="0">
        <v>0</v>
      </c>
      <c r="K4409" s="0">
        <v>0</v>
      </c>
      <c r="L4409" s="0">
        <v>0</v>
      </c>
      <c r="M4409" s="0">
        <v>0</v>
      </c>
      <c r="N4409" s="0">
        <v>0</v>
      </c>
      <c r="O4409" s="0">
        <v>0</v>
      </c>
      <c r="P4409" s="0">
        <v>0</v>
      </c>
      <c r="R4409" s="0" t="b">
        <v>0</v>
      </c>
      <c r="S4409" s="0" t="b">
        <v>0</v>
      </c>
      <c r="T4409" s="68">
        <v>46049.3310763889</v>
      </c>
      <c r="U4409" s="68">
        <v>0</v>
      </c>
      <c r="V4409" s="68">
        <v>46089.1667592593</v>
      </c>
      <c r="W4409" s="0">
        <f>IF(IF(B4409="none",1,IF(B4409="Trialer",1,0))+IF(C4409="Customer",1,IF(C4409="Lost",1,0))=2,1,0)</f>
      </c>
      <c r="X4409" s="0" t="s">
        <v>136</v>
      </c>
      <c r="Y4409" s="0" t="s">
        <v>243</v>
      </c>
      <c r="AV4409" s="68"/>
      <c r="AW4409" s="68"/>
      <c r="AY4409" s="27"/>
      <c r="BD4409" s="68">
        <v>46054.1666666667</v>
      </c>
      <c r="BE4409" s="68">
        <v>46082.1666666667</v>
      </c>
      <c r="BF4409" s="0" t="b">
        <v>0</v>
      </c>
      <c r="BG4409" s="0" t="b">
        <v>0</v>
      </c>
      <c r="BH4409" s="0">
        <v>53.25</v>
      </c>
      <c r="BI4409" s="0">
        <v>53.25</v>
      </c>
      <c r="BJ4409" s="0" t="s">
        <v>135</v>
      </c>
    </row>
    <row r="4410">
      <c r="A4410" s="0" t="s">
        <v>4673</v>
      </c>
      <c r="B4410" s="0" t="s">
        <v>652</v>
      </c>
      <c r="C4410" s="0" t="s">
        <v>134</v>
      </c>
      <c r="D4410" s="0" t="s">
        <v>135</v>
      </c>
      <c r="E4410" s="0" t="s">
        <v>3</v>
      </c>
      <c r="F4410" s="0" t="s">
        <v>12</v>
      </c>
      <c r="G4410" s="0" t="s">
        <v>8</v>
      </c>
      <c r="H4410" s="0">
        <v>4</v>
      </c>
      <c r="I4410" s="0">
        <v>127.5</v>
      </c>
      <c r="J4410" s="0">
        <v>0</v>
      </c>
      <c r="K4410" s="0">
        <v>1</v>
      </c>
      <c r="L4410" s="0">
        <v>5</v>
      </c>
      <c r="M4410" s="0">
        <v>2</v>
      </c>
      <c r="N4410" s="0">
        <v>0</v>
      </c>
      <c r="O4410" s="0">
        <v>0</v>
      </c>
      <c r="P4410" s="0">
        <v>0</v>
      </c>
      <c r="R4410" s="0" t="b">
        <v>0</v>
      </c>
      <c r="S4410" s="0" t="b">
        <v>1</v>
      </c>
      <c r="T4410" s="68">
        <v>46049.4537847222</v>
      </c>
      <c r="U4410" s="68">
        <v>46063.2916666667</v>
      </c>
      <c r="V4410" s="68">
        <v>0</v>
      </c>
      <c r="W4410" s="0">
        <f>IF(IF(B4410="none",1,IF(B4410="Trialer",1,0))+IF(C4410="Customer",1,IF(C4410="Lost",1,0))=2,1,0)</f>
      </c>
      <c r="X4410" s="0" t="s">
        <v>145</v>
      </c>
      <c r="Y4410" s="0" t="s">
        <v>243</v>
      </c>
      <c r="AV4410" s="68"/>
      <c r="AW4410" s="68"/>
      <c r="AY4410" s="27"/>
      <c r="BD4410" s="68">
        <v>46054.1666666667</v>
      </c>
      <c r="BE4410" s="68">
        <v>46082.1666666667</v>
      </c>
      <c r="BF4410" s="0" t="b">
        <v>0</v>
      </c>
      <c r="BG4410" s="0" t="b">
        <v>0</v>
      </c>
      <c r="BH4410" s="0">
        <v>127.5</v>
      </c>
      <c r="BI4410" s="0">
        <v>127.5</v>
      </c>
      <c r="BJ4410" s="0" t="s">
        <v>135</v>
      </c>
    </row>
    <row r="4411">
      <c r="A4411" s="0" t="s">
        <v>4674</v>
      </c>
      <c r="B4411" s="0" t="s">
        <v>652</v>
      </c>
      <c r="C4411" s="0" t="s">
        <v>652</v>
      </c>
      <c r="D4411" s="0" t="s">
        <v>135</v>
      </c>
      <c r="E4411" s="0" t="s">
        <v>2</v>
      </c>
      <c r="F4411" s="0" t="s">
        <v>12</v>
      </c>
      <c r="G4411" s="0" t="s">
        <v>8</v>
      </c>
      <c r="H4411" s="0">
        <v>4</v>
      </c>
      <c r="I4411" s="0">
        <v>0</v>
      </c>
      <c r="J4411" s="0">
        <v>0</v>
      </c>
      <c r="K4411" s="0">
        <v>0</v>
      </c>
      <c r="L4411" s="0">
        <v>0</v>
      </c>
      <c r="M4411" s="0">
        <v>0</v>
      </c>
      <c r="N4411" s="0">
        <v>0</v>
      </c>
      <c r="O4411" s="0">
        <v>0</v>
      </c>
      <c r="P4411" s="0">
        <v>0</v>
      </c>
      <c r="R4411" s="0" t="b">
        <v>0</v>
      </c>
      <c r="S4411" s="0" t="b">
        <v>0</v>
      </c>
      <c r="T4411" s="68">
        <v>46049.4665046296</v>
      </c>
      <c r="U4411" s="68">
        <v>0</v>
      </c>
      <c r="V4411" s="68">
        <v>46089.1667592593</v>
      </c>
      <c r="W4411" s="0">
        <f>IF(IF(B4411="none",1,IF(B4411="Trialer",1,0))+IF(C4411="Customer",1,IF(C4411="Lost",1,0))=2,1,0)</f>
      </c>
      <c r="X4411" s="0" t="s">
        <v>145</v>
      </c>
      <c r="Y4411" s="0" t="s">
        <v>499</v>
      </c>
      <c r="AV4411" s="68"/>
      <c r="AW4411" s="68"/>
      <c r="AY4411" s="27"/>
      <c r="BD4411" s="68">
        <v>46054.1666666667</v>
      </c>
      <c r="BE4411" s="68">
        <v>46082.1666666667</v>
      </c>
      <c r="BF4411" s="0" t="b">
        <v>0</v>
      </c>
      <c r="BG4411" s="0" t="b">
        <v>0</v>
      </c>
      <c r="BH4411" s="0">
        <v>63.75</v>
      </c>
      <c r="BI4411" s="0">
        <v>63.75</v>
      </c>
      <c r="BJ4411" s="0" t="s">
        <v>135</v>
      </c>
    </row>
    <row r="4412">
      <c r="A4412" s="0" t="s">
        <v>4675</v>
      </c>
      <c r="B4412" s="0" t="s">
        <v>652</v>
      </c>
      <c r="C4412" s="0" t="s">
        <v>652</v>
      </c>
      <c r="D4412" s="0" t="s">
        <v>135</v>
      </c>
      <c r="E4412" s="0" t="s">
        <v>4</v>
      </c>
      <c r="F4412" s="0" t="s">
        <v>12</v>
      </c>
      <c r="G4412" s="0" t="s">
        <v>8</v>
      </c>
      <c r="H4412" s="0">
        <v>4</v>
      </c>
      <c r="I4412" s="0">
        <v>0</v>
      </c>
      <c r="J4412" s="0">
        <v>0</v>
      </c>
      <c r="K4412" s="0">
        <v>0</v>
      </c>
      <c r="L4412" s="0">
        <v>0</v>
      </c>
      <c r="M4412" s="0">
        <v>0</v>
      </c>
      <c r="N4412" s="0">
        <v>0</v>
      </c>
      <c r="O4412" s="0">
        <v>0</v>
      </c>
      <c r="P4412" s="0">
        <v>0</v>
      </c>
      <c r="R4412" s="0" t="b">
        <v>0</v>
      </c>
      <c r="S4412" s="0" t="b">
        <v>0</v>
      </c>
      <c r="T4412" s="68">
        <v>46049.4673842593</v>
      </c>
      <c r="U4412" s="68">
        <v>0</v>
      </c>
      <c r="V4412" s="68">
        <v>46089.1667708333</v>
      </c>
      <c r="W4412" s="0">
        <f>IF(IF(B4412="none",1,IF(B4412="Trialer",1,0))+IF(C4412="Customer",1,IF(C4412="Lost",1,0))=2,1,0)</f>
      </c>
      <c r="X4412" s="0" t="s">
        <v>136</v>
      </c>
      <c r="Y4412" s="0" t="s">
        <v>1772</v>
      </c>
      <c r="AV4412" s="68"/>
      <c r="AW4412" s="68"/>
      <c r="AY4412" s="27"/>
      <c r="BD4412" s="68">
        <v>46054.1666666667</v>
      </c>
      <c r="BE4412" s="68">
        <v>46082.1666666667</v>
      </c>
      <c r="BF4412" s="0" t="b">
        <v>0</v>
      </c>
      <c r="BG4412" s="0" t="b">
        <v>0</v>
      </c>
      <c r="BH4412" s="0">
        <v>44.25</v>
      </c>
      <c r="BI4412" s="0">
        <v>44.25</v>
      </c>
      <c r="BJ4412" s="0" t="s">
        <v>135</v>
      </c>
    </row>
    <row r="4413">
      <c r="A4413" s="0" t="s">
        <v>4676</v>
      </c>
      <c r="B4413" s="0" t="s">
        <v>652</v>
      </c>
      <c r="C4413" s="0" t="s">
        <v>652</v>
      </c>
      <c r="D4413" s="0" t="s">
        <v>135</v>
      </c>
      <c r="E4413" s="0" t="s">
        <v>2</v>
      </c>
      <c r="F4413" s="0" t="s">
        <v>12</v>
      </c>
      <c r="G4413" s="0" t="s">
        <v>8</v>
      </c>
      <c r="H4413" s="0">
        <v>4</v>
      </c>
      <c r="I4413" s="0">
        <v>0</v>
      </c>
      <c r="J4413" s="0">
        <v>0</v>
      </c>
      <c r="K4413" s="0">
        <v>0</v>
      </c>
      <c r="L4413" s="0">
        <v>0</v>
      </c>
      <c r="M4413" s="0">
        <v>0</v>
      </c>
      <c r="N4413" s="0">
        <v>0</v>
      </c>
      <c r="O4413" s="0">
        <v>0</v>
      </c>
      <c r="P4413" s="0">
        <v>0</v>
      </c>
      <c r="R4413" s="0" t="b">
        <v>0</v>
      </c>
      <c r="S4413" s="0" t="b">
        <v>0</v>
      </c>
      <c r="T4413" s="68">
        <v>46049.4894791667</v>
      </c>
      <c r="U4413" s="68">
        <v>0</v>
      </c>
      <c r="V4413" s="68">
        <v>46089.1668055556</v>
      </c>
      <c r="W4413" s="0">
        <f>IF(IF(B4413="none",1,IF(B4413="Trialer",1,0))+IF(C4413="Customer",1,IF(C4413="Lost",1,0))=2,1,0)</f>
      </c>
      <c r="X4413" s="0" t="s">
        <v>148</v>
      </c>
      <c r="Y4413" s="0" t="s">
        <v>499</v>
      </c>
      <c r="AV4413" s="68"/>
      <c r="AW4413" s="68"/>
      <c r="AY4413" s="27"/>
      <c r="BD4413" s="68">
        <v>46054.1666666667</v>
      </c>
      <c r="BE4413" s="68">
        <v>46082.1666666667</v>
      </c>
      <c r="BF4413" s="0" t="b">
        <v>0</v>
      </c>
      <c r="BG4413" s="0" t="b">
        <v>0</v>
      </c>
      <c r="BH4413" s="0">
        <v>53.25</v>
      </c>
      <c r="BI4413" s="0">
        <v>53.25</v>
      </c>
      <c r="BJ4413" s="0" t="s">
        <v>135</v>
      </c>
    </row>
    <row r="4414">
      <c r="A4414" s="0" t="s">
        <v>4677</v>
      </c>
      <c r="B4414" s="0" t="s">
        <v>134</v>
      </c>
      <c r="C4414" s="0" t="s">
        <v>134</v>
      </c>
      <c r="D4414" s="0" t="s">
        <v>135</v>
      </c>
      <c r="E4414" s="0" t="s">
        <v>3</v>
      </c>
      <c r="F4414" s="0" t="s">
        <v>12</v>
      </c>
      <c r="G4414" s="0" t="s">
        <v>8</v>
      </c>
      <c r="H4414" s="0">
        <v>4</v>
      </c>
      <c r="I4414" s="0">
        <v>162</v>
      </c>
      <c r="J4414" s="0">
        <v>0</v>
      </c>
      <c r="K4414" s="0">
        <v>1</v>
      </c>
      <c r="L4414" s="0">
        <v>3</v>
      </c>
      <c r="M4414" s="0">
        <v>4</v>
      </c>
      <c r="N4414" s="0">
        <v>0</v>
      </c>
      <c r="O4414" s="0">
        <v>0</v>
      </c>
      <c r="P4414" s="0">
        <v>0</v>
      </c>
      <c r="R4414" s="0" t="b">
        <v>0</v>
      </c>
      <c r="S4414" s="0" t="b">
        <v>1</v>
      </c>
      <c r="T4414" s="68">
        <v>46049.4951388889</v>
      </c>
      <c r="U4414" s="68">
        <v>46052.2916666667</v>
      </c>
      <c r="V4414" s="68">
        <v>0</v>
      </c>
      <c r="W4414" s="0">
        <f>IF(IF(B4414="none",1,IF(B4414="Trialer",1,0))+IF(C4414="Customer",1,IF(C4414="Lost",1,0))=2,1,0)</f>
      </c>
      <c r="X4414" s="0" t="s">
        <v>145</v>
      </c>
      <c r="Y4414" s="0" t="s">
        <v>243</v>
      </c>
      <c r="AV4414" s="68"/>
      <c r="AW4414" s="68"/>
      <c r="AY4414" s="27"/>
      <c r="BD4414" s="68">
        <v>46054.1666666667</v>
      </c>
      <c r="BE4414" s="68">
        <v>46082.1666666667</v>
      </c>
      <c r="BF4414" s="0" t="b">
        <v>0</v>
      </c>
      <c r="BG4414" s="0" t="b">
        <v>0</v>
      </c>
      <c r="BH4414" s="0">
        <v>162</v>
      </c>
      <c r="BI4414" s="0">
        <v>162</v>
      </c>
      <c r="BJ4414" s="0" t="s">
        <v>135</v>
      </c>
    </row>
    <row r="4415">
      <c r="A4415" s="0" t="s">
        <v>4678</v>
      </c>
      <c r="B4415" s="0" t="s">
        <v>652</v>
      </c>
      <c r="C4415" s="0" t="s">
        <v>652</v>
      </c>
      <c r="D4415" s="0" t="s">
        <v>135</v>
      </c>
      <c r="E4415" s="0" t="s">
        <v>3</v>
      </c>
      <c r="F4415" s="0" t="s">
        <v>12</v>
      </c>
      <c r="G4415" s="0" t="s">
        <v>8</v>
      </c>
      <c r="H4415" s="0">
        <v>4</v>
      </c>
      <c r="I4415" s="0">
        <v>0</v>
      </c>
      <c r="J4415" s="0">
        <v>0</v>
      </c>
      <c r="K4415" s="0">
        <v>0</v>
      </c>
      <c r="L4415" s="0">
        <v>0</v>
      </c>
      <c r="M4415" s="0">
        <v>0</v>
      </c>
      <c r="N4415" s="0">
        <v>0</v>
      </c>
      <c r="O4415" s="0">
        <v>0</v>
      </c>
      <c r="P4415" s="0">
        <v>0</v>
      </c>
      <c r="R4415" s="0" t="b">
        <v>0</v>
      </c>
      <c r="S4415" s="0" t="b">
        <v>0</v>
      </c>
      <c r="T4415" s="68">
        <v>46049.5009606481</v>
      </c>
      <c r="U4415" s="68">
        <v>0</v>
      </c>
      <c r="V4415" s="68">
        <v>46089.1668171296</v>
      </c>
      <c r="W4415" s="0">
        <f>IF(IF(B4415="none",1,IF(B4415="Trialer",1,0))+IF(C4415="Customer",1,IF(C4415="Lost",1,0))=2,1,0)</f>
      </c>
      <c r="X4415" s="0" t="s">
        <v>145</v>
      </c>
      <c r="Y4415" s="0" t="s">
        <v>243</v>
      </c>
      <c r="AV4415" s="68"/>
      <c r="AW4415" s="68"/>
      <c r="AY4415" s="27"/>
      <c r="BD4415" s="68">
        <v>46054.1666666667</v>
      </c>
      <c r="BE4415" s="68">
        <v>46082.1666666667</v>
      </c>
      <c r="BF4415" s="0" t="b">
        <v>0</v>
      </c>
      <c r="BG4415" s="0" t="b">
        <v>0</v>
      </c>
      <c r="BH4415" s="0">
        <v>44.25</v>
      </c>
      <c r="BI4415" s="0">
        <v>44.25</v>
      </c>
      <c r="BJ4415" s="0" t="s">
        <v>135</v>
      </c>
    </row>
    <row r="4416">
      <c r="A4416" s="0" t="s">
        <v>4679</v>
      </c>
      <c r="B4416" s="0" t="s">
        <v>652</v>
      </c>
      <c r="C4416" s="0" t="s">
        <v>652</v>
      </c>
      <c r="D4416" s="0" t="s">
        <v>135</v>
      </c>
      <c r="E4416" s="0" t="s">
        <v>3</v>
      </c>
      <c r="F4416" s="0" t="s">
        <v>12</v>
      </c>
      <c r="G4416" s="0" t="s">
        <v>8</v>
      </c>
      <c r="H4416" s="0">
        <v>4</v>
      </c>
      <c r="I4416" s="0">
        <v>0</v>
      </c>
      <c r="J4416" s="0">
        <v>0</v>
      </c>
      <c r="K4416" s="0">
        <v>0</v>
      </c>
      <c r="L4416" s="0">
        <v>0</v>
      </c>
      <c r="M4416" s="0">
        <v>0</v>
      </c>
      <c r="N4416" s="0">
        <v>0</v>
      </c>
      <c r="O4416" s="0">
        <v>0</v>
      </c>
      <c r="P4416" s="0">
        <v>0</v>
      </c>
      <c r="R4416" s="0" t="b">
        <v>0</v>
      </c>
      <c r="S4416" s="0" t="b">
        <v>0</v>
      </c>
      <c r="T4416" s="68">
        <v>46049.5130555556</v>
      </c>
      <c r="U4416" s="68">
        <v>0</v>
      </c>
      <c r="V4416" s="68">
        <v>46063.7782175926</v>
      </c>
      <c r="W4416" s="0">
        <f>IF(IF(B4416="none",1,IF(B4416="Trialer",1,0))+IF(C4416="Customer",1,IF(C4416="Lost",1,0))=2,1,0)</f>
      </c>
      <c r="X4416" s="0" t="s">
        <v>136</v>
      </c>
      <c r="Y4416" s="0" t="s">
        <v>243</v>
      </c>
      <c r="AV4416" s="68"/>
      <c r="AW4416" s="68"/>
      <c r="AY4416" s="27"/>
      <c r="BD4416" s="68">
        <v>46054.1666666667</v>
      </c>
      <c r="BE4416" s="68">
        <v>46082.1666666667</v>
      </c>
      <c r="BF4416" s="0" t="b">
        <v>0</v>
      </c>
      <c r="BG4416" s="0" t="b">
        <v>0</v>
      </c>
      <c r="BH4416" s="0">
        <v>191.25</v>
      </c>
      <c r="BI4416" s="0">
        <v>191.25</v>
      </c>
      <c r="BJ4416" s="0" t="s">
        <v>135</v>
      </c>
    </row>
    <row r="4417">
      <c r="A4417" s="0" t="s">
        <v>4680</v>
      </c>
      <c r="B4417" s="0" t="s">
        <v>652</v>
      </c>
      <c r="C4417" s="0" t="s">
        <v>134</v>
      </c>
      <c r="D4417" s="0" t="s">
        <v>135</v>
      </c>
      <c r="E4417" s="0" t="s">
        <v>3</v>
      </c>
      <c r="F4417" s="0" t="s">
        <v>12</v>
      </c>
      <c r="G4417" s="0" t="s">
        <v>8</v>
      </c>
      <c r="H4417" s="0">
        <v>4</v>
      </c>
      <c r="I4417" s="0">
        <v>118.5</v>
      </c>
      <c r="J4417" s="0">
        <v>0</v>
      </c>
      <c r="K4417" s="0">
        <v>1</v>
      </c>
      <c r="L4417" s="0">
        <v>5</v>
      </c>
      <c r="M4417" s="0">
        <v>2</v>
      </c>
      <c r="N4417" s="0">
        <v>0</v>
      </c>
      <c r="O4417" s="0">
        <v>0</v>
      </c>
      <c r="P4417" s="0">
        <v>0</v>
      </c>
      <c r="R4417" s="0" t="b">
        <v>0</v>
      </c>
      <c r="S4417" s="0" t="b">
        <v>1</v>
      </c>
      <c r="T4417" s="68">
        <v>46049.5303935185</v>
      </c>
      <c r="U4417" s="68">
        <v>46063.2916666667</v>
      </c>
      <c r="V4417" s="68">
        <v>0</v>
      </c>
      <c r="W4417" s="0">
        <f>IF(IF(B4417="none",1,IF(B4417="Trialer",1,0))+IF(C4417="Customer",1,IF(C4417="Lost",1,0))=2,1,0)</f>
      </c>
      <c r="X4417" s="0" t="s">
        <v>1461</v>
      </c>
      <c r="Y4417" s="0" t="s">
        <v>243</v>
      </c>
      <c r="AV4417" s="68"/>
      <c r="AW4417" s="68"/>
      <c r="AY4417" s="27"/>
      <c r="BD4417" s="68">
        <v>46054.1666666667</v>
      </c>
      <c r="BE4417" s="68">
        <v>46082.1666666667</v>
      </c>
      <c r="BF4417" s="0" t="b">
        <v>0</v>
      </c>
      <c r="BG4417" s="0" t="b">
        <v>0</v>
      </c>
      <c r="BH4417" s="0">
        <v>109.5</v>
      </c>
      <c r="BI4417" s="0">
        <v>109.5</v>
      </c>
      <c r="BJ4417" s="0" t="s">
        <v>135</v>
      </c>
    </row>
    <row r="4418">
      <c r="A4418" s="0" t="s">
        <v>4681</v>
      </c>
      <c r="B4418" s="0" t="s">
        <v>652</v>
      </c>
      <c r="C4418" s="0" t="s">
        <v>652</v>
      </c>
      <c r="D4418" s="0" t="s">
        <v>135</v>
      </c>
      <c r="E4418" s="0" t="s">
        <v>3</v>
      </c>
      <c r="F4418" s="0" t="s">
        <v>12</v>
      </c>
      <c r="G4418" s="0" t="s">
        <v>8</v>
      </c>
      <c r="H4418" s="0">
        <v>4</v>
      </c>
      <c r="I4418" s="0">
        <v>0</v>
      </c>
      <c r="J4418" s="0">
        <v>0</v>
      </c>
      <c r="K4418" s="0">
        <v>0</v>
      </c>
      <c r="L4418" s="0">
        <v>0</v>
      </c>
      <c r="M4418" s="0">
        <v>0</v>
      </c>
      <c r="N4418" s="0">
        <v>0</v>
      </c>
      <c r="O4418" s="0">
        <v>0</v>
      </c>
      <c r="P4418" s="0">
        <v>0</v>
      </c>
      <c r="R4418" s="0" t="b">
        <v>0</v>
      </c>
      <c r="S4418" s="0" t="b">
        <v>0</v>
      </c>
      <c r="T4418" s="68">
        <v>46049.6339699074</v>
      </c>
      <c r="U4418" s="68">
        <v>0</v>
      </c>
      <c r="V4418" s="68">
        <v>46055.3071296296</v>
      </c>
      <c r="W4418" s="0">
        <f>IF(IF(B4418="none",1,IF(B4418="Trialer",1,0))+IF(C4418="Customer",1,IF(C4418="Lost",1,0))=2,1,0)</f>
      </c>
      <c r="X4418" s="0" t="s">
        <v>1461</v>
      </c>
      <c r="Y4418" s="0" t="s">
        <v>243</v>
      </c>
      <c r="AV4418" s="68"/>
      <c r="AW4418" s="68"/>
      <c r="AY4418" s="27"/>
      <c r="BD4418" s="68">
        <v>46054.1666666667</v>
      </c>
      <c r="BE4418" s="68">
        <v>46082.1666666667</v>
      </c>
      <c r="BF4418" s="0" t="b">
        <v>1</v>
      </c>
      <c r="BG4418" s="0" t="b">
        <v>0</v>
      </c>
      <c r="BH4418" s="0">
        <v>53.25</v>
      </c>
      <c r="BI4418" s="0">
        <v>53.25</v>
      </c>
      <c r="BJ4418" s="0" t="s">
        <v>135</v>
      </c>
    </row>
    <row r="4419">
      <c r="A4419" s="0" t="s">
        <v>4682</v>
      </c>
      <c r="B4419" s="0" t="s">
        <v>652</v>
      </c>
      <c r="C4419" s="0" t="s">
        <v>652</v>
      </c>
      <c r="D4419" s="0" t="s">
        <v>135</v>
      </c>
      <c r="E4419" s="0" t="s">
        <v>3</v>
      </c>
      <c r="F4419" s="0" t="s">
        <v>12</v>
      </c>
      <c r="G4419" s="0" t="s">
        <v>8</v>
      </c>
      <c r="H4419" s="0">
        <v>4</v>
      </c>
      <c r="I4419" s="0">
        <v>0</v>
      </c>
      <c r="J4419" s="0">
        <v>0</v>
      </c>
      <c r="K4419" s="0">
        <v>0</v>
      </c>
      <c r="L4419" s="0">
        <v>0</v>
      </c>
      <c r="M4419" s="0">
        <v>0</v>
      </c>
      <c r="N4419" s="0">
        <v>0</v>
      </c>
      <c r="O4419" s="0">
        <v>0</v>
      </c>
      <c r="P4419" s="0">
        <v>0</v>
      </c>
      <c r="R4419" s="0" t="b">
        <v>0</v>
      </c>
      <c r="S4419" s="0" t="b">
        <v>0</v>
      </c>
      <c r="T4419" s="68">
        <v>46049.6587962963</v>
      </c>
      <c r="U4419" s="68">
        <v>0</v>
      </c>
      <c r="V4419" s="68">
        <v>46089.1668634259</v>
      </c>
      <c r="W4419" s="0">
        <f>IF(IF(B4419="none",1,IF(B4419="Trialer",1,0))+IF(C4419="Customer",1,IF(C4419="Lost",1,0))=2,1,0)</f>
      </c>
      <c r="X4419" s="0" t="s">
        <v>148</v>
      </c>
      <c r="Y4419" s="0" t="s">
        <v>243</v>
      </c>
      <c r="AV4419" s="68"/>
      <c r="AW4419" s="68"/>
      <c r="AY4419" s="27"/>
      <c r="BD4419" s="68">
        <v>46054.1666666667</v>
      </c>
      <c r="BE4419" s="68">
        <v>46082.1666666667</v>
      </c>
      <c r="BF4419" s="0" t="b">
        <v>0</v>
      </c>
      <c r="BG4419" s="0" t="b">
        <v>0</v>
      </c>
      <c r="BH4419" s="0">
        <v>53.25</v>
      </c>
      <c r="BI4419" s="0">
        <v>53.25</v>
      </c>
      <c r="BJ4419" s="0" t="s">
        <v>135</v>
      </c>
    </row>
    <row r="4420">
      <c r="A4420" s="0" t="s">
        <v>4683</v>
      </c>
      <c r="B4420" s="0" t="s">
        <v>652</v>
      </c>
      <c r="C4420" s="0" t="s">
        <v>652</v>
      </c>
      <c r="D4420" s="0" t="s">
        <v>135</v>
      </c>
      <c r="E4420" s="0" t="s">
        <v>3</v>
      </c>
      <c r="F4420" s="0" t="s">
        <v>12</v>
      </c>
      <c r="G4420" s="0" t="s">
        <v>8</v>
      </c>
      <c r="H4420" s="0">
        <v>4</v>
      </c>
      <c r="I4420" s="0">
        <v>0</v>
      </c>
      <c r="J4420" s="0">
        <v>0</v>
      </c>
      <c r="K4420" s="0">
        <v>0</v>
      </c>
      <c r="L4420" s="0">
        <v>0</v>
      </c>
      <c r="M4420" s="0">
        <v>0</v>
      </c>
      <c r="N4420" s="0">
        <v>0</v>
      </c>
      <c r="O4420" s="0">
        <v>0</v>
      </c>
      <c r="P4420" s="0">
        <v>0</v>
      </c>
      <c r="R4420" s="0" t="b">
        <v>0</v>
      </c>
      <c r="S4420" s="0" t="b">
        <v>0</v>
      </c>
      <c r="T4420" s="68">
        <v>46049.6800578704</v>
      </c>
      <c r="U4420" s="68">
        <v>0</v>
      </c>
      <c r="V4420" s="68">
        <v>46073.4452430556</v>
      </c>
      <c r="W4420" s="0">
        <f>IF(IF(B4420="none",1,IF(B4420="Trialer",1,0))+IF(C4420="Customer",1,IF(C4420="Lost",1,0))=2,1,0)</f>
      </c>
      <c r="X4420" s="0" t="s">
        <v>145</v>
      </c>
      <c r="Y4420" s="0" t="s">
        <v>243</v>
      </c>
      <c r="AV4420" s="68"/>
      <c r="AW4420" s="68"/>
      <c r="AY4420" s="27"/>
      <c r="BD4420" s="68">
        <v>46054.1666666667</v>
      </c>
      <c r="BE4420" s="68">
        <v>46082.1666666667</v>
      </c>
      <c r="BF4420" s="0" t="b">
        <v>0</v>
      </c>
      <c r="BG4420" s="0" t="b">
        <v>0</v>
      </c>
      <c r="BH4420" s="0">
        <v>44.25</v>
      </c>
      <c r="BI4420" s="0">
        <v>44.25</v>
      </c>
      <c r="BJ4420" s="0" t="s">
        <v>135</v>
      </c>
    </row>
    <row r="4421">
      <c r="A4421" s="0" t="s">
        <v>4684</v>
      </c>
      <c r="B4421" s="0" t="s">
        <v>652</v>
      </c>
      <c r="C4421" s="0" t="s">
        <v>652</v>
      </c>
      <c r="D4421" s="0" t="s">
        <v>135</v>
      </c>
      <c r="E4421" s="0" t="s">
        <v>4</v>
      </c>
      <c r="F4421" s="0" t="s">
        <v>12</v>
      </c>
      <c r="G4421" s="0" t="s">
        <v>8</v>
      </c>
      <c r="H4421" s="0">
        <v>4</v>
      </c>
      <c r="I4421" s="0">
        <v>0</v>
      </c>
      <c r="J4421" s="0">
        <v>0</v>
      </c>
      <c r="K4421" s="0">
        <v>0</v>
      </c>
      <c r="L4421" s="0">
        <v>0</v>
      </c>
      <c r="M4421" s="0">
        <v>0</v>
      </c>
      <c r="N4421" s="0">
        <v>0</v>
      </c>
      <c r="O4421" s="0">
        <v>0</v>
      </c>
      <c r="P4421" s="0">
        <v>0</v>
      </c>
      <c r="R4421" s="0" t="b">
        <v>0</v>
      </c>
      <c r="S4421" s="0" t="b">
        <v>0</v>
      </c>
      <c r="T4421" s="68">
        <v>46049.7672800926</v>
      </c>
      <c r="U4421" s="68">
        <v>0</v>
      </c>
      <c r="V4421" s="68">
        <v>46089.1668287037</v>
      </c>
      <c r="W4421" s="0">
        <f>IF(IF(B4421="none",1,IF(B4421="Trialer",1,0))+IF(C4421="Customer",1,IF(C4421="Lost",1,0))=2,1,0)</f>
      </c>
      <c r="X4421" s="0" t="s">
        <v>136</v>
      </c>
      <c r="Y4421" s="0" t="s">
        <v>1772</v>
      </c>
      <c r="AV4421" s="68"/>
      <c r="AW4421" s="68"/>
      <c r="AY4421" s="27"/>
      <c r="BD4421" s="68">
        <v>46054.1666666667</v>
      </c>
      <c r="BE4421" s="68">
        <v>46082.1666666667</v>
      </c>
      <c r="BF4421" s="0" t="b">
        <v>0</v>
      </c>
      <c r="BG4421" s="0" t="b">
        <v>0</v>
      </c>
      <c r="BH4421" s="0">
        <v>44.25</v>
      </c>
      <c r="BI4421" s="0">
        <v>44.25</v>
      </c>
      <c r="BJ4421" s="0" t="s">
        <v>135</v>
      </c>
    </row>
    <row r="4422">
      <c r="A4422" s="0" t="s">
        <v>4685</v>
      </c>
      <c r="B4422" s="0" t="s">
        <v>652</v>
      </c>
      <c r="C4422" s="0" t="s">
        <v>652</v>
      </c>
      <c r="D4422" s="0" t="s">
        <v>135</v>
      </c>
      <c r="E4422" s="0" t="s">
        <v>1515</v>
      </c>
      <c r="F4422" s="0" t="s">
        <v>12</v>
      </c>
      <c r="G4422" s="0" t="s">
        <v>8</v>
      </c>
      <c r="H4422" s="0">
        <v>4</v>
      </c>
      <c r="I4422" s="0">
        <v>0</v>
      </c>
      <c r="J4422" s="0">
        <v>0</v>
      </c>
      <c r="K4422" s="0">
        <v>0</v>
      </c>
      <c r="L4422" s="0">
        <v>0</v>
      </c>
      <c r="M4422" s="0">
        <v>0</v>
      </c>
      <c r="N4422" s="0">
        <v>0</v>
      </c>
      <c r="O4422" s="0">
        <v>0</v>
      </c>
      <c r="P4422" s="0">
        <v>0</v>
      </c>
      <c r="R4422" s="0" t="b">
        <v>0</v>
      </c>
      <c r="S4422" s="0" t="b">
        <v>0</v>
      </c>
      <c r="T4422" s="68">
        <v>46049.7719675926</v>
      </c>
      <c r="U4422" s="68">
        <v>0</v>
      </c>
      <c r="V4422" s="68">
        <v>46089.1668402778</v>
      </c>
      <c r="W4422" s="0">
        <f>IF(IF(B4422="none",1,IF(B4422="Trialer",1,0))+IF(C4422="Customer",1,IF(C4422="Lost",1,0))=2,1,0)</f>
      </c>
      <c r="X4422" s="0" t="s">
        <v>148</v>
      </c>
      <c r="Y4422" s="0" t="s">
        <v>1516</v>
      </c>
      <c r="AV4422" s="68"/>
      <c r="AW4422" s="68"/>
      <c r="AY4422" s="27"/>
      <c r="BD4422" s="68">
        <v>46054.1666666667</v>
      </c>
      <c r="BE4422" s="68">
        <v>46082.1666666667</v>
      </c>
      <c r="BF4422" s="0" t="b">
        <v>0</v>
      </c>
      <c r="BG4422" s="0" t="b">
        <v>0</v>
      </c>
      <c r="BH4422" s="0">
        <v>44.25</v>
      </c>
      <c r="BI4422" s="0">
        <v>44.25</v>
      </c>
      <c r="BJ4422" s="0" t="s">
        <v>135</v>
      </c>
    </row>
    <row r="4423">
      <c r="A4423" s="0" t="s">
        <v>4686</v>
      </c>
      <c r="B4423" s="0" t="s">
        <v>652</v>
      </c>
      <c r="C4423" s="0" t="s">
        <v>652</v>
      </c>
      <c r="D4423" s="0" t="s">
        <v>135</v>
      </c>
      <c r="E4423" s="0" t="s">
        <v>1515</v>
      </c>
      <c r="F4423" s="0" t="s">
        <v>12</v>
      </c>
      <c r="G4423" s="0" t="s">
        <v>8</v>
      </c>
      <c r="H4423" s="0">
        <v>4</v>
      </c>
      <c r="I4423" s="0">
        <v>0</v>
      </c>
      <c r="J4423" s="0">
        <v>0</v>
      </c>
      <c r="K4423" s="0">
        <v>0</v>
      </c>
      <c r="L4423" s="0">
        <v>0</v>
      </c>
      <c r="M4423" s="0">
        <v>0</v>
      </c>
      <c r="N4423" s="0">
        <v>0</v>
      </c>
      <c r="O4423" s="0">
        <v>0</v>
      </c>
      <c r="P4423" s="0">
        <v>0</v>
      </c>
      <c r="R4423" s="0" t="b">
        <v>0</v>
      </c>
      <c r="S4423" s="0" t="b">
        <v>0</v>
      </c>
      <c r="T4423" s="68">
        <v>46049.7879398148</v>
      </c>
      <c r="U4423" s="68">
        <v>0</v>
      </c>
      <c r="V4423" s="68">
        <v>46089.1668518518</v>
      </c>
      <c r="W4423" s="0">
        <f>IF(IF(B4423="none",1,IF(B4423="Trialer",1,0))+IF(C4423="Customer",1,IF(C4423="Lost",1,0))=2,1,0)</f>
      </c>
      <c r="X4423" s="0" t="s">
        <v>145</v>
      </c>
      <c r="Y4423" s="0" t="s">
        <v>1516</v>
      </c>
      <c r="AV4423" s="68"/>
      <c r="AW4423" s="68"/>
      <c r="AY4423" s="27"/>
      <c r="BD4423" s="68">
        <v>46054.1666666667</v>
      </c>
      <c r="BE4423" s="68">
        <v>46082.1666666667</v>
      </c>
      <c r="BF4423" s="0" t="b">
        <v>0</v>
      </c>
      <c r="BG4423" s="0" t="b">
        <v>0</v>
      </c>
      <c r="BH4423" s="0">
        <v>44.25</v>
      </c>
      <c r="BI4423" s="0">
        <v>44.25</v>
      </c>
      <c r="BJ4423" s="0" t="s">
        <v>135</v>
      </c>
    </row>
    <row r="4424">
      <c r="A4424" s="0" t="s">
        <v>4687</v>
      </c>
      <c r="B4424" s="0" t="s">
        <v>652</v>
      </c>
      <c r="C4424" s="0" t="s">
        <v>134</v>
      </c>
      <c r="D4424" s="0" t="s">
        <v>135</v>
      </c>
      <c r="E4424" s="0" t="s">
        <v>4</v>
      </c>
      <c r="F4424" s="0" t="s">
        <v>12</v>
      </c>
      <c r="G4424" s="0" t="s">
        <v>8</v>
      </c>
      <c r="H4424" s="0">
        <v>3</v>
      </c>
      <c r="I4424" s="0">
        <v>97.5</v>
      </c>
      <c r="J4424" s="0">
        <v>0</v>
      </c>
      <c r="K4424" s="0">
        <v>1</v>
      </c>
      <c r="L4424" s="0">
        <v>4</v>
      </c>
      <c r="M4424" s="0">
        <v>2</v>
      </c>
      <c r="N4424" s="0">
        <v>0</v>
      </c>
      <c r="O4424" s="0">
        <v>0</v>
      </c>
      <c r="P4424" s="0">
        <v>0</v>
      </c>
      <c r="R4424" s="0" t="b">
        <v>0</v>
      </c>
      <c r="S4424" s="0" t="b">
        <v>1</v>
      </c>
      <c r="T4424" s="68">
        <v>46050.0460185185</v>
      </c>
      <c r="U4424" s="68">
        <v>46064.2916666667</v>
      </c>
      <c r="V4424" s="68">
        <v>0</v>
      </c>
      <c r="W4424" s="0">
        <f>IF(IF(B4424="none",1,IF(B4424="Trialer",1,0))+IF(C4424="Customer",1,IF(C4424="Lost",1,0))=2,1,0)</f>
      </c>
      <c r="X4424" s="0" t="s">
        <v>1461</v>
      </c>
      <c r="Y4424" s="0" t="s">
        <v>1772</v>
      </c>
      <c r="AV4424" s="68"/>
      <c r="AW4424" s="68"/>
      <c r="AY4424" s="27"/>
      <c r="BD4424" s="68">
        <v>46054.1666666667</v>
      </c>
      <c r="BE4424" s="68">
        <v>46082.1666666667</v>
      </c>
      <c r="BF4424" s="0" t="b">
        <v>0</v>
      </c>
      <c r="BG4424" s="0" t="b">
        <v>0</v>
      </c>
      <c r="BH4424" s="0">
        <v>0</v>
      </c>
      <c r="BI4424" s="0">
        <v>0</v>
      </c>
      <c r="BJ4424" s="0" t="s">
        <v>135</v>
      </c>
    </row>
    <row r="4425">
      <c r="A4425" s="0" t="s">
        <v>4688</v>
      </c>
      <c r="B4425" s="0" t="s">
        <v>652</v>
      </c>
      <c r="C4425" s="0" t="s">
        <v>652</v>
      </c>
      <c r="D4425" s="0" t="s">
        <v>135</v>
      </c>
      <c r="E4425" s="0" t="s">
        <v>2414</v>
      </c>
      <c r="F4425" s="0" t="s">
        <v>12</v>
      </c>
      <c r="G4425" s="0" t="s">
        <v>8</v>
      </c>
      <c r="H4425" s="0">
        <v>3</v>
      </c>
      <c r="I4425" s="0">
        <v>0</v>
      </c>
      <c r="J4425" s="0">
        <v>0</v>
      </c>
      <c r="K4425" s="0">
        <v>0</v>
      </c>
      <c r="L4425" s="0">
        <v>0</v>
      </c>
      <c r="M4425" s="0">
        <v>0</v>
      </c>
      <c r="N4425" s="0">
        <v>0</v>
      </c>
      <c r="O4425" s="0">
        <v>0</v>
      </c>
      <c r="P4425" s="0">
        <v>0</v>
      </c>
      <c r="R4425" s="0" t="b">
        <v>0</v>
      </c>
      <c r="S4425" s="0" t="b">
        <v>0</v>
      </c>
      <c r="T4425" s="68">
        <v>46050.0796064815</v>
      </c>
      <c r="U4425" s="68">
        <v>0</v>
      </c>
      <c r="V4425" s="68">
        <v>46089.1668634259</v>
      </c>
      <c r="W4425" s="0">
        <f>IF(IF(B4425="none",1,IF(B4425="Trialer",1,0))+IF(C4425="Customer",1,IF(C4425="Lost",1,0))=2,1,0)</f>
      </c>
      <c r="X4425" s="0" t="s">
        <v>148</v>
      </c>
      <c r="Y4425" s="0" t="s">
        <v>1516</v>
      </c>
      <c r="AV4425" s="68"/>
      <c r="AW4425" s="68"/>
      <c r="AY4425" s="27"/>
      <c r="BD4425" s="68">
        <v>46054.1666666667</v>
      </c>
      <c r="BE4425" s="68">
        <v>46082.1666666667</v>
      </c>
      <c r="BF4425" s="0" t="b">
        <v>0</v>
      </c>
      <c r="BG4425" s="0" t="b">
        <v>0</v>
      </c>
      <c r="BH4425" s="0">
        <v>44.25</v>
      </c>
      <c r="BI4425" s="0">
        <v>44.25</v>
      </c>
      <c r="BJ4425" s="0" t="s">
        <v>135</v>
      </c>
    </row>
    <row r="4426">
      <c r="A4426" s="0" t="s">
        <v>4689</v>
      </c>
      <c r="B4426" s="0" t="s">
        <v>652</v>
      </c>
      <c r="C4426" s="0" t="s">
        <v>652</v>
      </c>
      <c r="D4426" s="0" t="s">
        <v>135</v>
      </c>
      <c r="E4426" s="0" t="s">
        <v>1515</v>
      </c>
      <c r="F4426" s="0" t="s">
        <v>12</v>
      </c>
      <c r="G4426" s="0" t="s">
        <v>8</v>
      </c>
      <c r="H4426" s="0">
        <v>3</v>
      </c>
      <c r="I4426" s="0">
        <v>0</v>
      </c>
      <c r="J4426" s="0">
        <v>0</v>
      </c>
      <c r="K4426" s="0">
        <v>0</v>
      </c>
      <c r="L4426" s="0">
        <v>0</v>
      </c>
      <c r="M4426" s="0">
        <v>0</v>
      </c>
      <c r="N4426" s="0">
        <v>0</v>
      </c>
      <c r="O4426" s="0">
        <v>0</v>
      </c>
      <c r="P4426" s="0">
        <v>0</v>
      </c>
      <c r="R4426" s="0" t="b">
        <v>0</v>
      </c>
      <c r="S4426" s="0" t="b">
        <v>0</v>
      </c>
      <c r="T4426" s="68">
        <v>46050.1946412037</v>
      </c>
      <c r="U4426" s="68">
        <v>0</v>
      </c>
      <c r="V4426" s="68">
        <v>46090.1667013889</v>
      </c>
      <c r="W4426" s="0">
        <f>IF(IF(B4426="none",1,IF(B4426="Trialer",1,0))+IF(C4426="Customer",1,IF(C4426="Lost",1,0))=2,1,0)</f>
      </c>
      <c r="X4426" s="0" t="s">
        <v>145</v>
      </c>
      <c r="Y4426" s="0" t="s">
        <v>1516</v>
      </c>
      <c r="AV4426" s="68"/>
      <c r="AW4426" s="68"/>
      <c r="AY4426" s="27"/>
      <c r="BD4426" s="68">
        <v>46054.1666666667</v>
      </c>
      <c r="BE4426" s="68">
        <v>46082.1666666667</v>
      </c>
      <c r="BF4426" s="0" t="b">
        <v>0</v>
      </c>
      <c r="BG4426" s="0" t="b">
        <v>0</v>
      </c>
      <c r="BH4426" s="0">
        <v>44.25</v>
      </c>
      <c r="BI4426" s="0">
        <v>44.25</v>
      </c>
      <c r="BJ4426" s="0" t="s">
        <v>135</v>
      </c>
    </row>
    <row r="4427">
      <c r="A4427" s="0" t="s">
        <v>4690</v>
      </c>
      <c r="B4427" s="0" t="s">
        <v>652</v>
      </c>
      <c r="C4427" s="0" t="s">
        <v>652</v>
      </c>
      <c r="D4427" s="0" t="s">
        <v>135</v>
      </c>
      <c r="E4427" s="0" t="s">
        <v>1515</v>
      </c>
      <c r="F4427" s="0" t="s">
        <v>12</v>
      </c>
      <c r="G4427" s="0" t="s">
        <v>8</v>
      </c>
      <c r="H4427" s="0">
        <v>3</v>
      </c>
      <c r="I4427" s="0">
        <v>0</v>
      </c>
      <c r="J4427" s="0">
        <v>0</v>
      </c>
      <c r="K4427" s="0">
        <v>0</v>
      </c>
      <c r="L4427" s="0">
        <v>0</v>
      </c>
      <c r="M4427" s="0">
        <v>0</v>
      </c>
      <c r="N4427" s="0">
        <v>0</v>
      </c>
      <c r="O4427" s="0">
        <v>0</v>
      </c>
      <c r="P4427" s="0">
        <v>0</v>
      </c>
      <c r="R4427" s="0" t="b">
        <v>0</v>
      </c>
      <c r="S4427" s="0" t="b">
        <v>0</v>
      </c>
      <c r="T4427" s="68">
        <v>46050.2322337963</v>
      </c>
      <c r="U4427" s="68">
        <v>0</v>
      </c>
      <c r="V4427" s="68">
        <v>46090.1667361111</v>
      </c>
      <c r="W4427" s="0">
        <f>IF(IF(B4427="none",1,IF(B4427="Trialer",1,0))+IF(C4427="Customer",1,IF(C4427="Lost",1,0))=2,1,0)</f>
      </c>
      <c r="X4427" s="0" t="s">
        <v>136</v>
      </c>
      <c r="Y4427" s="0" t="s">
        <v>1516</v>
      </c>
      <c r="AV4427" s="68"/>
      <c r="AW4427" s="68"/>
      <c r="AY4427" s="27"/>
      <c r="BD4427" s="68">
        <v>46054.1666666667</v>
      </c>
      <c r="BE4427" s="68">
        <v>46082.1666666667</v>
      </c>
      <c r="BF4427" s="0" t="b">
        <v>0</v>
      </c>
      <c r="BG4427" s="0" t="b">
        <v>0</v>
      </c>
      <c r="BH4427" s="0">
        <v>44.25</v>
      </c>
      <c r="BI4427" s="0">
        <v>44.25</v>
      </c>
      <c r="BJ4427" s="0" t="s">
        <v>135</v>
      </c>
    </row>
    <row r="4428">
      <c r="A4428" s="0" t="s">
        <v>4691</v>
      </c>
      <c r="B4428" s="0" t="s">
        <v>652</v>
      </c>
      <c r="C4428" s="0" t="s">
        <v>652</v>
      </c>
      <c r="D4428" s="0" t="s">
        <v>135</v>
      </c>
      <c r="E4428" s="0" t="s">
        <v>2414</v>
      </c>
      <c r="F4428" s="0" t="s">
        <v>12</v>
      </c>
      <c r="G4428" s="0" t="s">
        <v>8</v>
      </c>
      <c r="H4428" s="0">
        <v>3</v>
      </c>
      <c r="I4428" s="0">
        <v>0</v>
      </c>
      <c r="J4428" s="0">
        <v>0</v>
      </c>
      <c r="K4428" s="0">
        <v>0</v>
      </c>
      <c r="L4428" s="0">
        <v>0</v>
      </c>
      <c r="M4428" s="0">
        <v>0</v>
      </c>
      <c r="N4428" s="0">
        <v>0</v>
      </c>
      <c r="O4428" s="0">
        <v>0</v>
      </c>
      <c r="P4428" s="0">
        <v>0</v>
      </c>
      <c r="R4428" s="0" t="b">
        <v>0</v>
      </c>
      <c r="S4428" s="0" t="b">
        <v>0</v>
      </c>
      <c r="T4428" s="68">
        <v>46050.3328935185</v>
      </c>
      <c r="U4428" s="68">
        <v>0</v>
      </c>
      <c r="V4428" s="68">
        <v>46073.5317939815</v>
      </c>
      <c r="W4428" s="0">
        <f>IF(IF(B4428="none",1,IF(B4428="Trialer",1,0))+IF(C4428="Customer",1,IF(C4428="Lost",1,0))=2,1,0)</f>
      </c>
      <c r="X4428" s="0" t="s">
        <v>148</v>
      </c>
      <c r="Y4428" s="0" t="s">
        <v>1516</v>
      </c>
      <c r="AV4428" s="68"/>
      <c r="AW4428" s="68"/>
      <c r="AY4428" s="27"/>
      <c r="BD4428" s="68">
        <v>46054.1666666667</v>
      </c>
      <c r="BE4428" s="68">
        <v>46082.1666666667</v>
      </c>
      <c r="BF4428" s="0" t="b">
        <v>0</v>
      </c>
      <c r="BG4428" s="0" t="b">
        <v>0</v>
      </c>
      <c r="BH4428" s="0">
        <v>63.75</v>
      </c>
      <c r="BI4428" s="0">
        <v>63.75</v>
      </c>
      <c r="BJ4428" s="0" t="s">
        <v>135</v>
      </c>
    </row>
    <row r="4429">
      <c r="A4429" s="0" t="s">
        <v>4692</v>
      </c>
      <c r="B4429" s="0" t="s">
        <v>652</v>
      </c>
      <c r="C4429" s="0" t="s">
        <v>652</v>
      </c>
      <c r="D4429" s="0" t="s">
        <v>135</v>
      </c>
      <c r="E4429" s="0" t="s">
        <v>3</v>
      </c>
      <c r="F4429" s="0" t="s">
        <v>12</v>
      </c>
      <c r="G4429" s="0" t="s">
        <v>8</v>
      </c>
      <c r="H4429" s="0">
        <v>3</v>
      </c>
      <c r="I4429" s="0">
        <v>0</v>
      </c>
      <c r="J4429" s="0">
        <v>0</v>
      </c>
      <c r="K4429" s="0">
        <v>0</v>
      </c>
      <c r="L4429" s="0">
        <v>0</v>
      </c>
      <c r="M4429" s="0">
        <v>0</v>
      </c>
      <c r="N4429" s="0">
        <v>0</v>
      </c>
      <c r="O4429" s="0">
        <v>0</v>
      </c>
      <c r="P4429" s="0">
        <v>0</v>
      </c>
      <c r="R4429" s="0" t="b">
        <v>0</v>
      </c>
      <c r="S4429" s="0" t="b">
        <v>0</v>
      </c>
      <c r="T4429" s="68">
        <v>46050.3395138889</v>
      </c>
      <c r="U4429" s="68">
        <v>0</v>
      </c>
      <c r="V4429" s="68">
        <v>46090.1667939815</v>
      </c>
      <c r="W4429" s="0">
        <f>IF(IF(B4429="none",1,IF(B4429="Trialer",1,0))+IF(C4429="Customer",1,IF(C4429="Lost",1,0))=2,1,0)</f>
      </c>
      <c r="X4429" s="0" t="s">
        <v>148</v>
      </c>
      <c r="Y4429" s="0" t="s">
        <v>243</v>
      </c>
      <c r="AV4429" s="68"/>
      <c r="AW4429" s="68"/>
      <c r="AY4429" s="27"/>
      <c r="BD4429" s="68">
        <v>46054.1666666667</v>
      </c>
      <c r="BE4429" s="68">
        <v>46082.1666666667</v>
      </c>
      <c r="BF4429" s="0" t="b">
        <v>0</v>
      </c>
      <c r="BG4429" s="0" t="b">
        <v>0</v>
      </c>
      <c r="BH4429" s="0">
        <v>44.25</v>
      </c>
      <c r="BI4429" s="0">
        <v>44.25</v>
      </c>
      <c r="BJ4429" s="0" t="s">
        <v>135</v>
      </c>
    </row>
    <row r="4430">
      <c r="A4430" s="0" t="s">
        <v>4693</v>
      </c>
      <c r="B4430" s="0" t="s">
        <v>652</v>
      </c>
      <c r="C4430" s="0" t="s">
        <v>652</v>
      </c>
      <c r="D4430" s="0" t="s">
        <v>135</v>
      </c>
      <c r="E4430" s="0" t="s">
        <v>2</v>
      </c>
      <c r="F4430" s="0" t="s">
        <v>12</v>
      </c>
      <c r="G4430" s="0" t="s">
        <v>8</v>
      </c>
      <c r="H4430" s="0">
        <v>3</v>
      </c>
      <c r="I4430" s="0">
        <v>0</v>
      </c>
      <c r="J4430" s="0">
        <v>0</v>
      </c>
      <c r="K4430" s="0">
        <v>0</v>
      </c>
      <c r="L4430" s="0">
        <v>0</v>
      </c>
      <c r="M4430" s="0">
        <v>0</v>
      </c>
      <c r="N4430" s="0">
        <v>0</v>
      </c>
      <c r="O4430" s="0">
        <v>0</v>
      </c>
      <c r="P4430" s="0">
        <v>0</v>
      </c>
      <c r="R4430" s="0" t="b">
        <v>0</v>
      </c>
      <c r="S4430" s="0" t="b">
        <v>1</v>
      </c>
      <c r="T4430" s="68">
        <v>46050.3679166667</v>
      </c>
      <c r="U4430" s="68">
        <v>46084.2916666667</v>
      </c>
      <c r="V4430" s="68">
        <v>0</v>
      </c>
      <c r="W4430" s="0">
        <f>IF(IF(B4430="none",1,IF(B4430="Trialer",1,0))+IF(C4430="Customer",1,IF(C4430="Lost",1,0))=2,1,0)</f>
      </c>
      <c r="X4430" s="0" t="s">
        <v>145</v>
      </c>
      <c r="Y4430" s="0" t="s">
        <v>499</v>
      </c>
      <c r="AV4430" s="68"/>
      <c r="AW4430" s="68"/>
      <c r="AY4430" s="27"/>
      <c r="BD4430" s="68">
        <v>46054.1666666667</v>
      </c>
      <c r="BE4430" s="68">
        <v>46082.1666666667</v>
      </c>
      <c r="BF4430" s="0" t="b">
        <v>0</v>
      </c>
      <c r="BG4430" s="0" t="b">
        <v>0</v>
      </c>
      <c r="BH4430" s="0">
        <v>72.75</v>
      </c>
      <c r="BI4430" s="0">
        <v>72.75</v>
      </c>
      <c r="BJ4430" s="0" t="s">
        <v>135</v>
      </c>
    </row>
    <row r="4431">
      <c r="A4431" s="0" t="s">
        <v>4694</v>
      </c>
      <c r="B4431" s="0" t="s">
        <v>652</v>
      </c>
      <c r="C4431" s="0" t="s">
        <v>652</v>
      </c>
      <c r="D4431" s="0" t="s">
        <v>135</v>
      </c>
      <c r="E4431" s="0" t="s">
        <v>2414</v>
      </c>
      <c r="F4431" s="0" t="s">
        <v>12</v>
      </c>
      <c r="G4431" s="0" t="s">
        <v>8</v>
      </c>
      <c r="H4431" s="0">
        <v>3</v>
      </c>
      <c r="I4431" s="0">
        <v>0</v>
      </c>
      <c r="J4431" s="0">
        <v>0</v>
      </c>
      <c r="K4431" s="0">
        <v>0</v>
      </c>
      <c r="L4431" s="0">
        <v>0</v>
      </c>
      <c r="M4431" s="0">
        <v>0</v>
      </c>
      <c r="N4431" s="0">
        <v>0</v>
      </c>
      <c r="O4431" s="0">
        <v>0</v>
      </c>
      <c r="P4431" s="0">
        <v>0</v>
      </c>
      <c r="R4431" s="0" t="b">
        <v>0</v>
      </c>
      <c r="S4431" s="0" t="b">
        <v>0</v>
      </c>
      <c r="T4431" s="68">
        <v>46050.3767824074</v>
      </c>
      <c r="U4431" s="68">
        <v>0</v>
      </c>
      <c r="V4431" s="68">
        <v>46090.1667476852</v>
      </c>
      <c r="W4431" s="0">
        <f>IF(IF(B4431="none",1,IF(B4431="Trialer",1,0))+IF(C4431="Customer",1,IF(C4431="Lost",1,0))=2,1,0)</f>
      </c>
      <c r="X4431" s="0" t="s">
        <v>136</v>
      </c>
      <c r="Y4431" s="0" t="s">
        <v>1516</v>
      </c>
      <c r="AV4431" s="68"/>
      <c r="AW4431" s="68"/>
      <c r="AY4431" s="27"/>
      <c r="BD4431" s="68">
        <v>46054.1666666667</v>
      </c>
      <c r="BE4431" s="68">
        <v>46082.1666666667</v>
      </c>
      <c r="BF4431" s="0" t="b">
        <v>0</v>
      </c>
      <c r="BG4431" s="0" t="b">
        <v>0</v>
      </c>
      <c r="BH4431" s="0">
        <v>44.25</v>
      </c>
      <c r="BI4431" s="0">
        <v>44.25</v>
      </c>
      <c r="BJ4431" s="0" t="s">
        <v>135</v>
      </c>
    </row>
    <row r="4432">
      <c r="A4432" s="0" t="s">
        <v>4695</v>
      </c>
      <c r="B4432" s="0" t="s">
        <v>652</v>
      </c>
      <c r="C4432" s="0" t="s">
        <v>652</v>
      </c>
      <c r="D4432" s="0" t="s">
        <v>135</v>
      </c>
      <c r="E4432" s="0" t="s">
        <v>4</v>
      </c>
      <c r="F4432" s="0" t="s">
        <v>12</v>
      </c>
      <c r="G4432" s="0" t="s">
        <v>8</v>
      </c>
      <c r="H4432" s="0">
        <v>3</v>
      </c>
      <c r="I4432" s="0">
        <v>0</v>
      </c>
      <c r="J4432" s="0">
        <v>0</v>
      </c>
      <c r="K4432" s="0">
        <v>0</v>
      </c>
      <c r="L4432" s="0">
        <v>0</v>
      </c>
      <c r="M4432" s="0">
        <v>0</v>
      </c>
      <c r="N4432" s="0">
        <v>0</v>
      </c>
      <c r="O4432" s="0">
        <v>0</v>
      </c>
      <c r="P4432" s="0">
        <v>0</v>
      </c>
      <c r="R4432" s="0" t="b">
        <v>0</v>
      </c>
      <c r="S4432" s="0" t="b">
        <v>0</v>
      </c>
      <c r="T4432" s="68">
        <v>46050.3801041667</v>
      </c>
      <c r="U4432" s="68">
        <v>0</v>
      </c>
      <c r="V4432" s="68">
        <v>46081.7636921296</v>
      </c>
      <c r="W4432" s="0">
        <f>IF(IF(B4432="none",1,IF(B4432="Trialer",1,0))+IF(C4432="Customer",1,IF(C4432="Lost",1,0))=2,1,0)</f>
      </c>
      <c r="X4432" s="0" t="s">
        <v>136</v>
      </c>
      <c r="Y4432" s="0" t="s">
        <v>1772</v>
      </c>
      <c r="AV4432" s="68"/>
      <c r="AW4432" s="68"/>
      <c r="AY4432" s="27"/>
      <c r="BD4432" s="68">
        <v>46054.1666666667</v>
      </c>
      <c r="BE4432" s="68">
        <v>46082.1666666667</v>
      </c>
      <c r="BF4432" s="0" t="b">
        <v>1</v>
      </c>
      <c r="BG4432" s="0" t="b">
        <v>0</v>
      </c>
      <c r="BH4432" s="0">
        <v>62.25</v>
      </c>
      <c r="BI4432" s="0">
        <v>62.25</v>
      </c>
      <c r="BJ4432" s="0" t="s">
        <v>135</v>
      </c>
    </row>
    <row r="4433">
      <c r="A4433" s="0" t="s">
        <v>4696</v>
      </c>
      <c r="B4433" s="0" t="s">
        <v>652</v>
      </c>
      <c r="C4433" s="0" t="s">
        <v>652</v>
      </c>
      <c r="D4433" s="0" t="s">
        <v>135</v>
      </c>
      <c r="E4433" s="0" t="s">
        <v>1515</v>
      </c>
      <c r="F4433" s="0" t="s">
        <v>12</v>
      </c>
      <c r="G4433" s="0" t="s">
        <v>8</v>
      </c>
      <c r="H4433" s="0">
        <v>3</v>
      </c>
      <c r="I4433" s="0">
        <v>0</v>
      </c>
      <c r="J4433" s="0">
        <v>0</v>
      </c>
      <c r="K4433" s="0">
        <v>0</v>
      </c>
      <c r="L4433" s="0">
        <v>0</v>
      </c>
      <c r="M4433" s="0">
        <v>0</v>
      </c>
      <c r="N4433" s="0">
        <v>0</v>
      </c>
      <c r="O4433" s="0">
        <v>0</v>
      </c>
      <c r="P4433" s="0">
        <v>0</v>
      </c>
      <c r="R4433" s="0" t="b">
        <v>0</v>
      </c>
      <c r="S4433" s="0" t="b">
        <v>0</v>
      </c>
      <c r="T4433" s="68">
        <v>46050.4248263889</v>
      </c>
      <c r="U4433" s="68">
        <v>0</v>
      </c>
      <c r="V4433" s="68">
        <v>46090.1667592593</v>
      </c>
      <c r="W4433" s="0">
        <f>IF(IF(B4433="none",1,IF(B4433="Trialer",1,0))+IF(C4433="Customer",1,IF(C4433="Lost",1,0))=2,1,0)</f>
      </c>
      <c r="X4433" s="0" t="s">
        <v>145</v>
      </c>
      <c r="Y4433" s="0" t="s">
        <v>1516</v>
      </c>
      <c r="AV4433" s="68"/>
      <c r="AW4433" s="68"/>
      <c r="AY4433" s="27"/>
      <c r="BD4433" s="68">
        <v>46054.1666666667</v>
      </c>
      <c r="BE4433" s="68">
        <v>46082.1666666667</v>
      </c>
      <c r="BF4433" s="0" t="b">
        <v>0</v>
      </c>
      <c r="BG4433" s="0" t="b">
        <v>0</v>
      </c>
      <c r="BH4433" s="0">
        <v>44.25</v>
      </c>
      <c r="BI4433" s="0">
        <v>44.25</v>
      </c>
      <c r="BJ4433" s="0" t="s">
        <v>135</v>
      </c>
    </row>
    <row r="4434">
      <c r="A4434" s="0" t="s">
        <v>4697</v>
      </c>
      <c r="B4434" s="0" t="s">
        <v>652</v>
      </c>
      <c r="C4434" s="0" t="s">
        <v>652</v>
      </c>
      <c r="D4434" s="0" t="s">
        <v>135</v>
      </c>
      <c r="E4434" s="0" t="s">
        <v>2</v>
      </c>
      <c r="F4434" s="0" t="s">
        <v>12</v>
      </c>
      <c r="G4434" s="0" t="s">
        <v>8</v>
      </c>
      <c r="H4434" s="0">
        <v>3</v>
      </c>
      <c r="I4434" s="0">
        <v>0</v>
      </c>
      <c r="J4434" s="0">
        <v>0</v>
      </c>
      <c r="K4434" s="0">
        <v>0</v>
      </c>
      <c r="L4434" s="0">
        <v>0</v>
      </c>
      <c r="M4434" s="0">
        <v>0</v>
      </c>
      <c r="N4434" s="0">
        <v>0</v>
      </c>
      <c r="O4434" s="0">
        <v>0</v>
      </c>
      <c r="P4434" s="0">
        <v>0</v>
      </c>
      <c r="R4434" s="0" t="b">
        <v>0</v>
      </c>
      <c r="S4434" s="0" t="b">
        <v>0</v>
      </c>
      <c r="T4434" s="68">
        <v>46050.4322569444</v>
      </c>
      <c r="U4434" s="68">
        <v>0</v>
      </c>
      <c r="V4434" s="68">
        <v>46090.1667708333</v>
      </c>
      <c r="W4434" s="0">
        <f>IF(IF(B4434="none",1,IF(B4434="Trialer",1,0))+IF(C4434="Customer",1,IF(C4434="Lost",1,0))=2,1,0)</f>
      </c>
      <c r="X4434" s="0" t="s">
        <v>136</v>
      </c>
      <c r="Y4434" s="0" t="s">
        <v>499</v>
      </c>
      <c r="AV4434" s="68"/>
      <c r="AW4434" s="68"/>
      <c r="AY4434" s="27"/>
      <c r="BD4434" s="68">
        <v>46054.1666666667</v>
      </c>
      <c r="BE4434" s="68">
        <v>46082.1666666667</v>
      </c>
      <c r="BF4434" s="0" t="b">
        <v>0</v>
      </c>
      <c r="BG4434" s="0" t="b">
        <v>0</v>
      </c>
      <c r="BH4434" s="0">
        <v>53.25</v>
      </c>
      <c r="BI4434" s="0">
        <v>53.25</v>
      </c>
      <c r="BJ4434" s="0" t="s">
        <v>135</v>
      </c>
    </row>
    <row r="4435">
      <c r="A4435" s="0" t="s">
        <v>4698</v>
      </c>
      <c r="B4435" s="0" t="s">
        <v>652</v>
      </c>
      <c r="C4435" s="0" t="s">
        <v>652</v>
      </c>
      <c r="D4435" s="0" t="s">
        <v>135</v>
      </c>
      <c r="E4435" s="0" t="s">
        <v>2</v>
      </c>
      <c r="F4435" s="0" t="s">
        <v>12</v>
      </c>
      <c r="G4435" s="0" t="s">
        <v>8</v>
      </c>
      <c r="H4435" s="0">
        <v>3</v>
      </c>
      <c r="I4435" s="0">
        <v>0</v>
      </c>
      <c r="J4435" s="0">
        <v>0</v>
      </c>
      <c r="K4435" s="0">
        <v>0</v>
      </c>
      <c r="L4435" s="0">
        <v>0</v>
      </c>
      <c r="M4435" s="0">
        <v>0</v>
      </c>
      <c r="N4435" s="0">
        <v>0</v>
      </c>
      <c r="O4435" s="0">
        <v>0</v>
      </c>
      <c r="P4435" s="0">
        <v>0</v>
      </c>
      <c r="R4435" s="0" t="b">
        <v>0</v>
      </c>
      <c r="S4435" s="0" t="b">
        <v>0</v>
      </c>
      <c r="T4435" s="68">
        <v>46050.4405671296</v>
      </c>
      <c r="U4435" s="68">
        <v>0</v>
      </c>
      <c r="V4435" s="68">
        <v>46063.7504282407</v>
      </c>
      <c r="W4435" s="0">
        <f>IF(IF(B4435="none",1,IF(B4435="Trialer",1,0))+IF(C4435="Customer",1,IF(C4435="Lost",1,0))=2,1,0)</f>
      </c>
      <c r="X4435" s="0" t="s">
        <v>145</v>
      </c>
      <c r="Y4435" s="0" t="s">
        <v>499</v>
      </c>
      <c r="AV4435" s="68"/>
      <c r="AW4435" s="68"/>
      <c r="AY4435" s="27"/>
      <c r="BD4435" s="68">
        <v>46054.1666666667</v>
      </c>
      <c r="BE4435" s="68">
        <v>46082.1666666667</v>
      </c>
      <c r="BF4435" s="0" t="b">
        <v>0</v>
      </c>
      <c r="BG4435" s="0" t="b">
        <v>0</v>
      </c>
      <c r="BH4435" s="0">
        <v>44.25</v>
      </c>
      <c r="BI4435" s="0">
        <v>44.25</v>
      </c>
      <c r="BJ4435" s="0" t="s">
        <v>135</v>
      </c>
    </row>
    <row r="4436">
      <c r="A4436" s="0" t="s">
        <v>4699</v>
      </c>
      <c r="B4436" s="0" t="s">
        <v>652</v>
      </c>
      <c r="C4436" s="0" t="s">
        <v>652</v>
      </c>
      <c r="D4436" s="0" t="s">
        <v>135</v>
      </c>
      <c r="E4436" s="0" t="s">
        <v>3</v>
      </c>
      <c r="F4436" s="0" t="s">
        <v>12</v>
      </c>
      <c r="G4436" s="0" t="s">
        <v>8</v>
      </c>
      <c r="H4436" s="0">
        <v>3</v>
      </c>
      <c r="I4436" s="0">
        <v>0</v>
      </c>
      <c r="J4436" s="0">
        <v>0</v>
      </c>
      <c r="K4436" s="0">
        <v>0</v>
      </c>
      <c r="L4436" s="0">
        <v>0</v>
      </c>
      <c r="M4436" s="0">
        <v>0</v>
      </c>
      <c r="N4436" s="0">
        <v>0</v>
      </c>
      <c r="O4436" s="0">
        <v>0</v>
      </c>
      <c r="P4436" s="0">
        <v>0</v>
      </c>
      <c r="R4436" s="0" t="b">
        <v>0</v>
      </c>
      <c r="S4436" s="0" t="b">
        <v>0</v>
      </c>
      <c r="T4436" s="68">
        <v>46050.4410532407</v>
      </c>
      <c r="U4436" s="68">
        <v>0</v>
      </c>
      <c r="V4436" s="68">
        <v>46090.1668402778</v>
      </c>
      <c r="W4436" s="0">
        <f>IF(IF(B4436="none",1,IF(B4436="Trialer",1,0))+IF(C4436="Customer",1,IF(C4436="Lost",1,0))=2,1,0)</f>
      </c>
      <c r="X4436" s="0" t="s">
        <v>136</v>
      </c>
      <c r="Y4436" s="0" t="s">
        <v>243</v>
      </c>
      <c r="AV4436" s="68"/>
      <c r="AW4436" s="68"/>
      <c r="AY4436" s="27"/>
      <c r="BD4436" s="68">
        <v>46054.1666666667</v>
      </c>
      <c r="BE4436" s="68">
        <v>46082.1666666667</v>
      </c>
      <c r="BF4436" s="0" t="b">
        <v>0</v>
      </c>
      <c r="BG4436" s="0" t="b">
        <v>0</v>
      </c>
      <c r="BH4436" s="0">
        <v>63.75</v>
      </c>
      <c r="BI4436" s="0">
        <v>63.75</v>
      </c>
      <c r="BJ4436" s="0" t="s">
        <v>135</v>
      </c>
    </row>
    <row r="4437">
      <c r="A4437" s="0" t="s">
        <v>4700</v>
      </c>
      <c r="B4437" s="0" t="s">
        <v>652</v>
      </c>
      <c r="C4437" s="0" t="s">
        <v>134</v>
      </c>
      <c r="D4437" s="0" t="s">
        <v>135</v>
      </c>
      <c r="E4437" s="0" t="s">
        <v>3</v>
      </c>
      <c r="F4437" s="0" t="s">
        <v>12</v>
      </c>
      <c r="G4437" s="0" t="s">
        <v>8</v>
      </c>
      <c r="H4437" s="0">
        <v>3</v>
      </c>
      <c r="I4437" s="0">
        <v>54.75</v>
      </c>
      <c r="J4437" s="0">
        <v>0</v>
      </c>
      <c r="K4437" s="0">
        <v>1</v>
      </c>
      <c r="L4437" s="0">
        <v>4</v>
      </c>
      <c r="M4437" s="0">
        <v>1</v>
      </c>
      <c r="N4437" s="0">
        <v>0</v>
      </c>
      <c r="O4437" s="0">
        <v>0</v>
      </c>
      <c r="P4437" s="0">
        <v>0</v>
      </c>
      <c r="R4437" s="0" t="b">
        <v>0</v>
      </c>
      <c r="S4437" s="0" t="b">
        <v>1</v>
      </c>
      <c r="T4437" s="68">
        <v>46050.4803472222</v>
      </c>
      <c r="U4437" s="68">
        <v>46064.2916666667</v>
      </c>
      <c r="V4437" s="68">
        <v>0</v>
      </c>
      <c r="W4437" s="0">
        <f>IF(IF(B4437="none",1,IF(B4437="Trialer",1,0))+IF(C4437="Customer",1,IF(C4437="Lost",1,0))=2,1,0)</f>
      </c>
      <c r="X4437" s="0" t="s">
        <v>1461</v>
      </c>
      <c r="Y4437" s="0" t="s">
        <v>243</v>
      </c>
      <c r="AV4437" s="68"/>
      <c r="AW4437" s="68"/>
      <c r="AY4437" s="27"/>
      <c r="BD4437" s="68">
        <v>46054.1666666667</v>
      </c>
      <c r="BE4437" s="68">
        <v>46082.1666666667</v>
      </c>
      <c r="BF4437" s="0" t="b">
        <v>0</v>
      </c>
      <c r="BG4437" s="0" t="b">
        <v>0</v>
      </c>
      <c r="BH4437" s="0">
        <v>54.75</v>
      </c>
      <c r="BI4437" s="0">
        <v>54.75</v>
      </c>
      <c r="BJ4437" s="0" t="s">
        <v>135</v>
      </c>
    </row>
    <row r="4438">
      <c r="A4438" s="0" t="s">
        <v>4701</v>
      </c>
      <c r="B4438" s="0" t="s">
        <v>652</v>
      </c>
      <c r="C4438" s="0" t="s">
        <v>652</v>
      </c>
      <c r="D4438" s="0" t="s">
        <v>135</v>
      </c>
      <c r="E4438" s="0" t="s">
        <v>2</v>
      </c>
      <c r="F4438" s="0" t="s">
        <v>12</v>
      </c>
      <c r="G4438" s="0" t="s">
        <v>8</v>
      </c>
      <c r="H4438" s="0">
        <v>3</v>
      </c>
      <c r="I4438" s="0">
        <v>0</v>
      </c>
      <c r="J4438" s="0">
        <v>0</v>
      </c>
      <c r="K4438" s="0">
        <v>0</v>
      </c>
      <c r="L4438" s="0">
        <v>0</v>
      </c>
      <c r="M4438" s="0">
        <v>0</v>
      </c>
      <c r="N4438" s="0">
        <v>0</v>
      </c>
      <c r="O4438" s="0">
        <v>0</v>
      </c>
      <c r="P4438" s="0">
        <v>0</v>
      </c>
      <c r="R4438" s="0" t="b">
        <v>0</v>
      </c>
      <c r="S4438" s="0" t="b">
        <v>0</v>
      </c>
      <c r="T4438" s="68">
        <v>46050.4951736111</v>
      </c>
      <c r="U4438" s="68">
        <v>0</v>
      </c>
      <c r="V4438" s="68">
        <v>46090.1667824074</v>
      </c>
      <c r="W4438" s="0">
        <f>IF(IF(B4438="none",1,IF(B4438="Trialer",1,0))+IF(C4438="Customer",1,IF(C4438="Lost",1,0))=2,1,0)</f>
      </c>
      <c r="X4438" s="0" t="s">
        <v>136</v>
      </c>
      <c r="Y4438" s="0" t="s">
        <v>499</v>
      </c>
      <c r="AV4438" s="68"/>
      <c r="AW4438" s="68"/>
      <c r="AY4438" s="27"/>
      <c r="BD4438" s="68">
        <v>46054.1666666667</v>
      </c>
      <c r="BE4438" s="68">
        <v>46082.1666666667</v>
      </c>
      <c r="BF4438" s="0" t="b">
        <v>0</v>
      </c>
      <c r="BG4438" s="0" t="b">
        <v>0</v>
      </c>
      <c r="BH4438" s="0">
        <v>63.75</v>
      </c>
      <c r="BI4438" s="0">
        <v>63.75</v>
      </c>
      <c r="BJ4438" s="0" t="s">
        <v>135</v>
      </c>
    </row>
    <row r="4439">
      <c r="A4439" s="0" t="s">
        <v>4702</v>
      </c>
      <c r="B4439" s="0" t="s">
        <v>652</v>
      </c>
      <c r="C4439" s="0" t="s">
        <v>652</v>
      </c>
      <c r="D4439" s="0" t="s">
        <v>135</v>
      </c>
      <c r="E4439" s="0" t="s">
        <v>3</v>
      </c>
      <c r="F4439" s="0" t="s">
        <v>12</v>
      </c>
      <c r="G4439" s="0" t="s">
        <v>8</v>
      </c>
      <c r="H4439" s="0">
        <v>3</v>
      </c>
      <c r="I4439" s="0">
        <v>0</v>
      </c>
      <c r="J4439" s="0">
        <v>0</v>
      </c>
      <c r="K4439" s="0">
        <v>0</v>
      </c>
      <c r="L4439" s="0">
        <v>0</v>
      </c>
      <c r="M4439" s="0">
        <v>0</v>
      </c>
      <c r="N4439" s="0">
        <v>0</v>
      </c>
      <c r="O4439" s="0">
        <v>0</v>
      </c>
      <c r="P4439" s="0">
        <v>0</v>
      </c>
      <c r="R4439" s="0" t="b">
        <v>0</v>
      </c>
      <c r="S4439" s="0" t="b">
        <v>0</v>
      </c>
      <c r="T4439" s="68">
        <v>46050.5034375</v>
      </c>
      <c r="U4439" s="68">
        <v>0</v>
      </c>
      <c r="V4439" s="68">
        <v>46090.1668518518</v>
      </c>
      <c r="W4439" s="0">
        <f>IF(IF(B4439="none",1,IF(B4439="Trialer",1,0))+IF(C4439="Customer",1,IF(C4439="Lost",1,0))=2,1,0)</f>
      </c>
      <c r="X4439" s="0" t="s">
        <v>148</v>
      </c>
      <c r="Y4439" s="0" t="s">
        <v>243</v>
      </c>
      <c r="AV4439" s="68"/>
      <c r="AW4439" s="68"/>
      <c r="AY4439" s="27"/>
      <c r="BD4439" s="68">
        <v>46054.1666666667</v>
      </c>
      <c r="BE4439" s="68">
        <v>46082.1666666667</v>
      </c>
      <c r="BF4439" s="0" t="b">
        <v>0</v>
      </c>
      <c r="BG4439" s="0" t="b">
        <v>0</v>
      </c>
      <c r="BH4439" s="0">
        <v>53.25</v>
      </c>
      <c r="BI4439" s="0">
        <v>53.25</v>
      </c>
      <c r="BJ4439" s="0" t="s">
        <v>135</v>
      </c>
    </row>
    <row r="4440">
      <c r="A4440" s="0" t="s">
        <v>4703</v>
      </c>
      <c r="B4440" s="0" t="s">
        <v>652</v>
      </c>
      <c r="C4440" s="0" t="s">
        <v>134</v>
      </c>
      <c r="D4440" s="0" t="s">
        <v>135</v>
      </c>
      <c r="E4440" s="0" t="s">
        <v>3</v>
      </c>
      <c r="F4440" s="0" t="s">
        <v>12</v>
      </c>
      <c r="G4440" s="0" t="s">
        <v>8</v>
      </c>
      <c r="H4440" s="0">
        <v>3</v>
      </c>
      <c r="I4440" s="0">
        <v>36.75</v>
      </c>
      <c r="J4440" s="0">
        <v>0</v>
      </c>
      <c r="K4440" s="0">
        <v>1</v>
      </c>
      <c r="L4440" s="0">
        <v>2</v>
      </c>
      <c r="M4440" s="0">
        <v>1</v>
      </c>
      <c r="N4440" s="0">
        <v>0</v>
      </c>
      <c r="O4440" s="0">
        <v>0</v>
      </c>
      <c r="P4440" s="0">
        <v>0</v>
      </c>
      <c r="R4440" s="0" t="b">
        <v>0</v>
      </c>
      <c r="S4440" s="0" t="b">
        <v>0</v>
      </c>
      <c r="T4440" s="68">
        <v>46050.5047106482</v>
      </c>
      <c r="U4440" s="68">
        <v>46064.2916666667</v>
      </c>
      <c r="V4440" s="68">
        <v>46092.1684722222</v>
      </c>
      <c r="W4440" s="0">
        <f>IF(IF(B4440="none",1,IF(B4440="Trialer",1,0))+IF(C4440="Customer",1,IF(C4440="Lost",1,0))=2,1,0)</f>
      </c>
      <c r="X4440" s="0" t="s">
        <v>1461</v>
      </c>
      <c r="Y4440" s="0" t="s">
        <v>243</v>
      </c>
      <c r="AV4440" s="68"/>
      <c r="AW4440" s="68"/>
      <c r="AY4440" s="27"/>
      <c r="BD4440" s="68">
        <v>46054.1666666667</v>
      </c>
      <c r="BE4440" s="68">
        <v>46082.1666666667</v>
      </c>
      <c r="BF4440" s="0" t="b">
        <v>0</v>
      </c>
      <c r="BG4440" s="0" t="b">
        <v>0</v>
      </c>
      <c r="BH4440" s="0">
        <v>36.75</v>
      </c>
      <c r="BI4440" s="0">
        <v>36.75</v>
      </c>
      <c r="BJ4440" s="0" t="s">
        <v>135</v>
      </c>
    </row>
    <row r="4441">
      <c r="A4441" s="0" t="s">
        <v>4704</v>
      </c>
      <c r="B4441" s="0" t="s">
        <v>652</v>
      </c>
      <c r="C4441" s="0" t="s">
        <v>134</v>
      </c>
      <c r="D4441" s="0" t="s">
        <v>135</v>
      </c>
      <c r="E4441" s="0" t="s">
        <v>3</v>
      </c>
      <c r="F4441" s="0" t="s">
        <v>12</v>
      </c>
      <c r="G4441" s="0" t="s">
        <v>8</v>
      </c>
      <c r="H4441" s="0">
        <v>3</v>
      </c>
      <c r="I4441" s="0">
        <v>57</v>
      </c>
      <c r="J4441" s="0">
        <v>0</v>
      </c>
      <c r="K4441" s="0">
        <v>1</v>
      </c>
      <c r="L4441" s="0">
        <v>3</v>
      </c>
      <c r="M4441" s="0">
        <v>2</v>
      </c>
      <c r="N4441" s="0">
        <v>0</v>
      </c>
      <c r="O4441" s="0">
        <v>0</v>
      </c>
      <c r="P4441" s="0">
        <v>0</v>
      </c>
      <c r="R4441" s="0" t="b">
        <v>0</v>
      </c>
      <c r="S4441" s="0" t="b">
        <v>1</v>
      </c>
      <c r="T4441" s="68">
        <v>46050.50625</v>
      </c>
      <c r="U4441" s="68">
        <v>46069.2916666667</v>
      </c>
      <c r="V4441" s="68">
        <v>0</v>
      </c>
      <c r="W4441" s="0">
        <f>IF(IF(B4441="none",1,IF(B4441="Trialer",1,0))+IF(C4441="Customer",1,IF(C4441="Lost",1,0))=2,1,0)</f>
      </c>
      <c r="X4441" s="0" t="s">
        <v>142</v>
      </c>
      <c r="Y4441" s="0" t="s">
        <v>243</v>
      </c>
      <c r="AV4441" s="68"/>
      <c r="AW4441" s="68"/>
      <c r="AY4441" s="27"/>
      <c r="BD4441" s="68">
        <v>46054.1666666667</v>
      </c>
      <c r="BE4441" s="68">
        <v>46082.1666666667</v>
      </c>
      <c r="BF4441" s="0" t="b">
        <v>0</v>
      </c>
      <c r="BG4441" s="0" t="b">
        <v>0</v>
      </c>
      <c r="BH4441" s="0">
        <v>57</v>
      </c>
      <c r="BI4441" s="0">
        <v>57</v>
      </c>
      <c r="BJ4441" s="0" t="s">
        <v>135</v>
      </c>
    </row>
    <row r="4442">
      <c r="A4442" s="0" t="s">
        <v>4705</v>
      </c>
      <c r="B4442" s="0" t="s">
        <v>652</v>
      </c>
      <c r="C4442" s="0" t="s">
        <v>652</v>
      </c>
      <c r="D4442" s="0" t="s">
        <v>135</v>
      </c>
      <c r="E4442" s="0" t="s">
        <v>2</v>
      </c>
      <c r="F4442" s="0" t="s">
        <v>12</v>
      </c>
      <c r="G4442" s="0" t="s">
        <v>8</v>
      </c>
      <c r="H4442" s="0">
        <v>3</v>
      </c>
      <c r="I4442" s="0">
        <v>0</v>
      </c>
      <c r="J4442" s="0">
        <v>0</v>
      </c>
      <c r="K4442" s="0">
        <v>0</v>
      </c>
      <c r="L4442" s="0">
        <v>0</v>
      </c>
      <c r="M4442" s="0">
        <v>0</v>
      </c>
      <c r="N4442" s="0">
        <v>0</v>
      </c>
      <c r="O4442" s="0">
        <v>0</v>
      </c>
      <c r="P4442" s="0">
        <v>0</v>
      </c>
      <c r="R4442" s="0" t="b">
        <v>0</v>
      </c>
      <c r="S4442" s="0" t="b">
        <v>0</v>
      </c>
      <c r="T4442" s="68">
        <v>46050.5409837963</v>
      </c>
      <c r="U4442" s="68">
        <v>0</v>
      </c>
      <c r="V4442" s="68">
        <v>46090.1668518518</v>
      </c>
      <c r="W4442" s="0">
        <f>IF(IF(B4442="none",1,IF(B4442="Trialer",1,0))+IF(C4442="Customer",1,IF(C4442="Lost",1,0))=2,1,0)</f>
      </c>
      <c r="X4442" s="0" t="s">
        <v>145</v>
      </c>
      <c r="Y4442" s="0" t="s">
        <v>499</v>
      </c>
      <c r="AV4442" s="68"/>
      <c r="AW4442" s="68"/>
      <c r="AY4442" s="27"/>
      <c r="BD4442" s="68">
        <v>46054.1666666667</v>
      </c>
      <c r="BE4442" s="68">
        <v>46082.1666666667</v>
      </c>
      <c r="BF4442" s="0" t="b">
        <v>0</v>
      </c>
      <c r="BG4442" s="0" t="b">
        <v>0</v>
      </c>
      <c r="BH4442" s="0">
        <v>44.25</v>
      </c>
      <c r="BI4442" s="0">
        <v>44.25</v>
      </c>
      <c r="BJ4442" s="0" t="s">
        <v>135</v>
      </c>
    </row>
    <row r="4443">
      <c r="A4443" s="0" t="s">
        <v>4706</v>
      </c>
      <c r="B4443" s="0" t="s">
        <v>652</v>
      </c>
      <c r="C4443" s="0" t="s">
        <v>652</v>
      </c>
      <c r="D4443" s="0" t="s">
        <v>135</v>
      </c>
      <c r="E4443" s="0" t="s">
        <v>4</v>
      </c>
      <c r="F4443" s="0" t="s">
        <v>12</v>
      </c>
      <c r="G4443" s="0" t="s">
        <v>8</v>
      </c>
      <c r="H4443" s="0">
        <v>3</v>
      </c>
      <c r="I4443" s="0">
        <v>0</v>
      </c>
      <c r="J4443" s="0">
        <v>0</v>
      </c>
      <c r="K4443" s="0">
        <v>0</v>
      </c>
      <c r="L4443" s="0">
        <v>0</v>
      </c>
      <c r="M4443" s="0">
        <v>0</v>
      </c>
      <c r="N4443" s="0">
        <v>0</v>
      </c>
      <c r="O4443" s="0">
        <v>0</v>
      </c>
      <c r="P4443" s="0">
        <v>0</v>
      </c>
      <c r="R4443" s="0" t="b">
        <v>0</v>
      </c>
      <c r="S4443" s="0" t="b">
        <v>0</v>
      </c>
      <c r="T4443" s="68">
        <v>46050.5665393519</v>
      </c>
      <c r="U4443" s="68">
        <v>0</v>
      </c>
      <c r="V4443" s="68">
        <v>46090.1668634259</v>
      </c>
      <c r="W4443" s="0">
        <f>IF(IF(B4443="none",1,IF(B4443="Trialer",1,0))+IF(C4443="Customer",1,IF(C4443="Lost",1,0))=2,1,0)</f>
      </c>
      <c r="X4443" s="0" t="s">
        <v>136</v>
      </c>
      <c r="Y4443" s="0" t="s">
        <v>1772</v>
      </c>
      <c r="AV4443" s="68"/>
      <c r="AW4443" s="68"/>
      <c r="AY4443" s="27"/>
      <c r="BD4443" s="68">
        <v>46054.1666666667</v>
      </c>
      <c r="BE4443" s="68">
        <v>46082.1666666667</v>
      </c>
      <c r="BF4443" s="0" t="b">
        <v>0</v>
      </c>
      <c r="BG4443" s="0" t="b">
        <v>0</v>
      </c>
      <c r="BH4443" s="0">
        <v>44.25</v>
      </c>
      <c r="BI4443" s="0">
        <v>44.25</v>
      </c>
      <c r="BJ4443" s="0" t="s">
        <v>135</v>
      </c>
    </row>
    <row r="4444">
      <c r="A4444" s="0" t="s">
        <v>4707</v>
      </c>
      <c r="B4444" s="0" t="s">
        <v>652</v>
      </c>
      <c r="C4444" s="0" t="s">
        <v>134</v>
      </c>
      <c r="D4444" s="0" t="s">
        <v>135</v>
      </c>
      <c r="E4444" s="0" t="s">
        <v>2</v>
      </c>
      <c r="F4444" s="0" t="s">
        <v>12</v>
      </c>
      <c r="G4444" s="0" t="s">
        <v>8</v>
      </c>
      <c r="H4444" s="0">
        <v>3</v>
      </c>
      <c r="I4444" s="0">
        <v>99</v>
      </c>
      <c r="J4444" s="0">
        <v>0</v>
      </c>
      <c r="K4444" s="0">
        <v>1</v>
      </c>
      <c r="L4444" s="0">
        <v>4</v>
      </c>
      <c r="M4444" s="0">
        <v>2</v>
      </c>
      <c r="N4444" s="0">
        <v>0</v>
      </c>
      <c r="O4444" s="0">
        <v>0</v>
      </c>
      <c r="P4444" s="0">
        <v>0</v>
      </c>
      <c r="R4444" s="0" t="b">
        <v>0</v>
      </c>
      <c r="S4444" s="0" t="b">
        <v>1</v>
      </c>
      <c r="T4444" s="68">
        <v>46050.5871759259</v>
      </c>
      <c r="U4444" s="68">
        <v>46064.2916666667</v>
      </c>
      <c r="V4444" s="68">
        <v>0</v>
      </c>
      <c r="W4444" s="0">
        <f>IF(IF(B4444="none",1,IF(B4444="Trialer",1,0))+IF(C4444="Customer",1,IF(C4444="Lost",1,0))=2,1,0)</f>
      </c>
      <c r="X4444" s="0" t="s">
        <v>1461</v>
      </c>
      <c r="Y4444" s="0" t="s">
        <v>499</v>
      </c>
      <c r="AV4444" s="68"/>
      <c r="AW4444" s="68"/>
      <c r="AY4444" s="27"/>
      <c r="BD4444" s="68">
        <v>46054.1666666667</v>
      </c>
      <c r="BE4444" s="68">
        <v>46082.1666666667</v>
      </c>
      <c r="BF4444" s="0" t="b">
        <v>0</v>
      </c>
      <c r="BG4444" s="0" t="b">
        <v>0</v>
      </c>
      <c r="BH4444" s="0">
        <v>99</v>
      </c>
      <c r="BI4444" s="0">
        <v>99</v>
      </c>
      <c r="BJ4444" s="0" t="s">
        <v>135</v>
      </c>
    </row>
    <row r="4445">
      <c r="A4445" s="0" t="s">
        <v>4708</v>
      </c>
      <c r="B4445" s="0" t="s">
        <v>652</v>
      </c>
      <c r="C4445" s="0" t="s">
        <v>652</v>
      </c>
      <c r="D4445" s="0" t="s">
        <v>135</v>
      </c>
      <c r="E4445" s="0" t="s">
        <v>2414</v>
      </c>
      <c r="F4445" s="0" t="s">
        <v>12</v>
      </c>
      <c r="G4445" s="0" t="s">
        <v>8</v>
      </c>
      <c r="H4445" s="0">
        <v>3</v>
      </c>
      <c r="I4445" s="0">
        <v>0</v>
      </c>
      <c r="J4445" s="0">
        <v>0</v>
      </c>
      <c r="K4445" s="0">
        <v>0</v>
      </c>
      <c r="L4445" s="0">
        <v>0</v>
      </c>
      <c r="M4445" s="0">
        <v>0</v>
      </c>
      <c r="N4445" s="0">
        <v>0</v>
      </c>
      <c r="O4445" s="0">
        <v>0</v>
      </c>
      <c r="P4445" s="0">
        <v>0</v>
      </c>
      <c r="R4445" s="0" t="b">
        <v>0</v>
      </c>
      <c r="S4445" s="0" t="b">
        <v>0</v>
      </c>
      <c r="T4445" s="68">
        <v>46050.5964930556</v>
      </c>
      <c r="U4445" s="68">
        <v>0</v>
      </c>
      <c r="V4445" s="68">
        <v>46090.1668634259</v>
      </c>
      <c r="W4445" s="0">
        <f>IF(IF(B4445="none",1,IF(B4445="Trialer",1,0))+IF(C4445="Customer",1,IF(C4445="Lost",1,0))=2,1,0)</f>
      </c>
      <c r="X4445" s="0" t="s">
        <v>148</v>
      </c>
      <c r="Y4445" s="0" t="s">
        <v>1516</v>
      </c>
      <c r="AV4445" s="68"/>
      <c r="AW4445" s="68"/>
      <c r="AY4445" s="27"/>
      <c r="BD4445" s="68">
        <v>46054.1666666667</v>
      </c>
      <c r="BE4445" s="68">
        <v>46082.1666666667</v>
      </c>
      <c r="BF4445" s="0" t="b">
        <v>0</v>
      </c>
      <c r="BG4445" s="0" t="b">
        <v>0</v>
      </c>
      <c r="BH4445" s="0">
        <v>44.25</v>
      </c>
      <c r="BI4445" s="0">
        <v>44.25</v>
      </c>
      <c r="BJ4445" s="0" t="s">
        <v>135</v>
      </c>
    </row>
    <row r="4446">
      <c r="A4446" s="0" t="s">
        <v>4709</v>
      </c>
      <c r="B4446" s="0" t="s">
        <v>652</v>
      </c>
      <c r="C4446" s="0" t="s">
        <v>652</v>
      </c>
      <c r="D4446" s="0" t="s">
        <v>135</v>
      </c>
      <c r="E4446" s="0" t="s">
        <v>2</v>
      </c>
      <c r="F4446" s="0" t="s">
        <v>12</v>
      </c>
      <c r="G4446" s="0" t="s">
        <v>8</v>
      </c>
      <c r="H4446" s="0">
        <v>3</v>
      </c>
      <c r="I4446" s="0">
        <v>0</v>
      </c>
      <c r="J4446" s="0">
        <v>0</v>
      </c>
      <c r="K4446" s="0">
        <v>0</v>
      </c>
      <c r="L4446" s="0">
        <v>0</v>
      </c>
      <c r="M4446" s="0">
        <v>0</v>
      </c>
      <c r="N4446" s="0">
        <v>0</v>
      </c>
      <c r="O4446" s="0">
        <v>0</v>
      </c>
      <c r="P4446" s="0">
        <v>0</v>
      </c>
      <c r="R4446" s="0" t="b">
        <v>0</v>
      </c>
      <c r="S4446" s="0" t="b">
        <v>0</v>
      </c>
      <c r="T4446" s="68">
        <v>46050.597662037</v>
      </c>
      <c r="U4446" s="68">
        <v>0</v>
      </c>
      <c r="V4446" s="68">
        <v>46059.4906597222</v>
      </c>
      <c r="W4446" s="0">
        <f>IF(IF(B4446="none",1,IF(B4446="Trialer",1,0))+IF(C4446="Customer",1,IF(C4446="Lost",1,0))=2,1,0)</f>
      </c>
      <c r="X4446" s="0" t="s">
        <v>145</v>
      </c>
      <c r="Y4446" s="0" t="s">
        <v>499</v>
      </c>
      <c r="AV4446" s="68"/>
      <c r="AW4446" s="68"/>
      <c r="AY4446" s="27"/>
      <c r="BD4446" s="68">
        <v>46054.1666666667</v>
      </c>
      <c r="BE4446" s="68">
        <v>46082.1666666667</v>
      </c>
      <c r="BF4446" s="0" t="b">
        <v>0</v>
      </c>
      <c r="BG4446" s="0" t="b">
        <v>0</v>
      </c>
      <c r="BH4446" s="0">
        <v>63.75</v>
      </c>
      <c r="BI4446" s="0">
        <v>63.75</v>
      </c>
      <c r="BJ4446" s="0" t="s">
        <v>135</v>
      </c>
    </row>
    <row r="4447">
      <c r="A4447" s="0" t="s">
        <v>4710</v>
      </c>
      <c r="B4447" s="0" t="s">
        <v>652</v>
      </c>
      <c r="C4447" s="0" t="s">
        <v>134</v>
      </c>
      <c r="D4447" s="0" t="s">
        <v>135</v>
      </c>
      <c r="E4447" s="0" t="s">
        <v>3</v>
      </c>
      <c r="F4447" s="0" t="s">
        <v>12</v>
      </c>
      <c r="G4447" s="0" t="s">
        <v>8</v>
      </c>
      <c r="H4447" s="0">
        <v>3</v>
      </c>
      <c r="I4447" s="0">
        <v>0</v>
      </c>
      <c r="J4447" s="0">
        <v>0</v>
      </c>
      <c r="K4447" s="0">
        <v>1</v>
      </c>
      <c r="L4447" s="0">
        <v>4</v>
      </c>
      <c r="M4447" s="0">
        <v>1</v>
      </c>
      <c r="N4447" s="0">
        <v>0</v>
      </c>
      <c r="O4447" s="0">
        <v>0</v>
      </c>
      <c r="P4447" s="0">
        <v>0</v>
      </c>
      <c r="R4447" s="0" t="b">
        <v>0</v>
      </c>
      <c r="S4447" s="0" t="b">
        <v>1</v>
      </c>
      <c r="T4447" s="68">
        <v>46050.6069328704</v>
      </c>
      <c r="U4447" s="68">
        <v>46079.2916666667</v>
      </c>
      <c r="V4447" s="68">
        <v>0</v>
      </c>
      <c r="W4447" s="0">
        <f>IF(IF(B4447="none",1,IF(B4447="Trialer",1,0))+IF(C4447="Customer",1,IF(C4447="Lost",1,0))=2,1,0)</f>
      </c>
      <c r="X4447" s="0" t="s">
        <v>148</v>
      </c>
      <c r="Y4447" s="0" t="s">
        <v>243</v>
      </c>
      <c r="AV4447" s="68"/>
      <c r="AW4447" s="68"/>
      <c r="AY4447" s="27"/>
      <c r="BD4447" s="68">
        <v>46054.1666666667</v>
      </c>
      <c r="BE4447" s="68">
        <v>46082.1666666667</v>
      </c>
      <c r="BF4447" s="0" t="b">
        <v>0</v>
      </c>
      <c r="BG4447" s="0" t="b">
        <v>0</v>
      </c>
      <c r="BH4447" s="0">
        <v>0</v>
      </c>
      <c r="BI4447" s="0">
        <v>0</v>
      </c>
      <c r="BJ4447" s="0" t="s">
        <v>135</v>
      </c>
    </row>
    <row r="4448">
      <c r="A4448" s="0" t="s">
        <v>4711</v>
      </c>
      <c r="B4448" s="0" t="s">
        <v>652</v>
      </c>
      <c r="C4448" s="0" t="s">
        <v>652</v>
      </c>
      <c r="D4448" s="0" t="s">
        <v>135</v>
      </c>
      <c r="E4448" s="0" t="s">
        <v>3</v>
      </c>
      <c r="F4448" s="0" t="s">
        <v>12</v>
      </c>
      <c r="G4448" s="0" t="s">
        <v>8</v>
      </c>
      <c r="H4448" s="0">
        <v>3</v>
      </c>
      <c r="I4448" s="0">
        <v>0</v>
      </c>
      <c r="J4448" s="0">
        <v>0</v>
      </c>
      <c r="K4448" s="0">
        <v>0</v>
      </c>
      <c r="L4448" s="0">
        <v>0</v>
      </c>
      <c r="M4448" s="0">
        <v>0</v>
      </c>
      <c r="N4448" s="0">
        <v>0</v>
      </c>
      <c r="O4448" s="0">
        <v>0</v>
      </c>
      <c r="P4448" s="0">
        <v>0</v>
      </c>
      <c r="R4448" s="0" t="b">
        <v>0</v>
      </c>
      <c r="S4448" s="0" t="b">
        <v>0</v>
      </c>
      <c r="T4448" s="68">
        <v>46050.6102893519</v>
      </c>
      <c r="U4448" s="68">
        <v>0</v>
      </c>
      <c r="V4448" s="68">
        <v>46090.166875</v>
      </c>
      <c r="W4448" s="0">
        <f>IF(IF(B4448="none",1,IF(B4448="Trialer",1,0))+IF(C4448="Customer",1,IF(C4448="Lost",1,0))=2,1,0)</f>
      </c>
      <c r="X4448" s="0" t="s">
        <v>136</v>
      </c>
      <c r="Y4448" s="0" t="s">
        <v>243</v>
      </c>
      <c r="AV4448" s="68"/>
      <c r="AW4448" s="68"/>
      <c r="AY4448" s="27"/>
      <c r="BD4448" s="68">
        <v>46054.1666666667</v>
      </c>
      <c r="BE4448" s="68">
        <v>46082.1666666667</v>
      </c>
      <c r="BF4448" s="0" t="b">
        <v>0</v>
      </c>
      <c r="BG4448" s="0" t="b">
        <v>0</v>
      </c>
      <c r="BH4448" s="0">
        <v>44.25</v>
      </c>
      <c r="BI4448" s="0">
        <v>44.25</v>
      </c>
      <c r="BJ4448" s="0" t="s">
        <v>135</v>
      </c>
    </row>
    <row r="4449">
      <c r="A4449" s="0" t="s">
        <v>4712</v>
      </c>
      <c r="B4449" s="0" t="s">
        <v>652</v>
      </c>
      <c r="C4449" s="0" t="s">
        <v>652</v>
      </c>
      <c r="D4449" s="0" t="s">
        <v>135</v>
      </c>
      <c r="E4449" s="0" t="s">
        <v>2414</v>
      </c>
      <c r="F4449" s="0" t="s">
        <v>12</v>
      </c>
      <c r="G4449" s="0" t="s">
        <v>8</v>
      </c>
      <c r="H4449" s="0">
        <v>3</v>
      </c>
      <c r="I4449" s="0">
        <v>0</v>
      </c>
      <c r="J4449" s="0">
        <v>0</v>
      </c>
      <c r="K4449" s="0">
        <v>0</v>
      </c>
      <c r="L4449" s="0">
        <v>0</v>
      </c>
      <c r="M4449" s="0">
        <v>0</v>
      </c>
      <c r="N4449" s="0">
        <v>0</v>
      </c>
      <c r="O4449" s="0">
        <v>0</v>
      </c>
      <c r="P4449" s="0">
        <v>0</v>
      </c>
      <c r="R4449" s="0" t="b">
        <v>0</v>
      </c>
      <c r="S4449" s="0" t="b">
        <v>0</v>
      </c>
      <c r="T4449" s="68">
        <v>46050.6257638889</v>
      </c>
      <c r="U4449" s="68">
        <v>0</v>
      </c>
      <c r="V4449" s="68">
        <v>46063.7964583333</v>
      </c>
      <c r="W4449" s="0">
        <f>IF(IF(B4449="none",1,IF(B4449="Trialer",1,0))+IF(C4449="Customer",1,IF(C4449="Lost",1,0))=2,1,0)</f>
      </c>
      <c r="X4449" s="0" t="s">
        <v>148</v>
      </c>
      <c r="Y4449" s="0" t="s">
        <v>1516</v>
      </c>
      <c r="AV4449" s="68"/>
      <c r="AW4449" s="68"/>
      <c r="AY4449" s="27"/>
      <c r="BD4449" s="68">
        <v>46054.1666666667</v>
      </c>
      <c r="BE4449" s="68">
        <v>46082.1666666667</v>
      </c>
      <c r="BF4449" s="0" t="b">
        <v>0</v>
      </c>
      <c r="BG4449" s="0" t="b">
        <v>0</v>
      </c>
      <c r="BH4449" s="0">
        <v>44.25</v>
      </c>
      <c r="BI4449" s="0">
        <v>44.25</v>
      </c>
      <c r="BJ4449" s="0" t="s">
        <v>135</v>
      </c>
    </row>
    <row r="4450">
      <c r="A4450" s="0" t="s">
        <v>4713</v>
      </c>
      <c r="B4450" s="0" t="s">
        <v>652</v>
      </c>
      <c r="C4450" s="0" t="s">
        <v>134</v>
      </c>
      <c r="D4450" s="0" t="s">
        <v>230</v>
      </c>
      <c r="E4450" s="0" t="s">
        <v>3</v>
      </c>
      <c r="F4450" s="0" t="s">
        <v>12</v>
      </c>
      <c r="G4450" s="0" t="s">
        <v>8</v>
      </c>
      <c r="H4450" s="0">
        <v>3</v>
      </c>
      <c r="I4450" s="0">
        <v>456.4</v>
      </c>
      <c r="J4450" s="0">
        <v>0</v>
      </c>
      <c r="K4450" s="0">
        <v>1</v>
      </c>
      <c r="L4450" s="0">
        <v>4</v>
      </c>
      <c r="M4450" s="0">
        <v>2</v>
      </c>
      <c r="N4450" s="0">
        <v>0</v>
      </c>
      <c r="O4450" s="0">
        <v>0</v>
      </c>
      <c r="P4450" s="0">
        <v>1445.4</v>
      </c>
      <c r="R4450" s="0" t="b">
        <v>0</v>
      </c>
      <c r="S4450" s="0" t="b">
        <v>1</v>
      </c>
      <c r="T4450" s="68">
        <v>46050.6268171296</v>
      </c>
      <c r="U4450" s="68">
        <v>46064.2916666667</v>
      </c>
      <c r="V4450" s="68">
        <v>0</v>
      </c>
      <c r="W4450" s="0">
        <f>IF(IF(B4450="none",1,IF(B4450="Trialer",1,0))+IF(C4450="Customer",1,IF(C4450="Lost",1,0))=2,1,0)</f>
      </c>
      <c r="X4450" s="0" t="s">
        <v>882</v>
      </c>
      <c r="Y4450" s="0" t="s">
        <v>243</v>
      </c>
      <c r="AV4450" s="68"/>
      <c r="AW4450" s="68"/>
      <c r="AY4450" s="27"/>
      <c r="BD4450" s="68">
        <v>46054.1666666667</v>
      </c>
      <c r="BE4450" s="68">
        <v>46082.1666666667</v>
      </c>
      <c r="BF4450" s="0" t="b">
        <v>0</v>
      </c>
      <c r="BG4450" s="0" t="b">
        <v>0</v>
      </c>
      <c r="BH4450" s="0">
        <v>146</v>
      </c>
      <c r="BI4450" s="0">
        <v>146</v>
      </c>
      <c r="BJ4450" s="0" t="s">
        <v>230</v>
      </c>
    </row>
    <row r="4451">
      <c r="A4451" s="0" t="s">
        <v>4714</v>
      </c>
      <c r="B4451" s="0" t="s">
        <v>652</v>
      </c>
      <c r="C4451" s="0" t="s">
        <v>134</v>
      </c>
      <c r="D4451" s="0" t="s">
        <v>135</v>
      </c>
      <c r="E4451" s="0" t="s">
        <v>3</v>
      </c>
      <c r="F4451" s="0" t="s">
        <v>12</v>
      </c>
      <c r="G4451" s="0" t="s">
        <v>8</v>
      </c>
      <c r="H4451" s="0">
        <v>3</v>
      </c>
      <c r="I4451" s="0">
        <v>0</v>
      </c>
      <c r="J4451" s="0">
        <v>0</v>
      </c>
      <c r="K4451" s="0">
        <v>1</v>
      </c>
      <c r="L4451" s="0">
        <v>5</v>
      </c>
      <c r="M4451" s="0">
        <v>1</v>
      </c>
      <c r="N4451" s="0">
        <v>0</v>
      </c>
      <c r="O4451" s="0">
        <v>0</v>
      </c>
      <c r="P4451" s="0">
        <v>0</v>
      </c>
      <c r="R4451" s="0" t="b">
        <v>0</v>
      </c>
      <c r="S4451" s="0" t="b">
        <v>1</v>
      </c>
      <c r="T4451" s="68">
        <v>46050.6673611111</v>
      </c>
      <c r="U4451" s="68">
        <v>46079.2916666667</v>
      </c>
      <c r="V4451" s="68">
        <v>0</v>
      </c>
      <c r="W4451" s="0">
        <f>IF(IF(B4451="none",1,IF(B4451="Trialer",1,0))+IF(C4451="Customer",1,IF(C4451="Lost",1,0))=2,1,0)</f>
      </c>
      <c r="X4451" s="0" t="s">
        <v>148</v>
      </c>
      <c r="Y4451" s="0" t="s">
        <v>243</v>
      </c>
      <c r="AV4451" s="68"/>
      <c r="AW4451" s="68"/>
      <c r="AY4451" s="27"/>
      <c r="BD4451" s="68">
        <v>46054.1666666667</v>
      </c>
      <c r="BE4451" s="68">
        <v>46082.1666666667</v>
      </c>
      <c r="BF4451" s="0" t="b">
        <v>0</v>
      </c>
      <c r="BG4451" s="0" t="b">
        <v>0</v>
      </c>
      <c r="BH4451" s="0">
        <v>0</v>
      </c>
      <c r="BI4451" s="0">
        <v>0</v>
      </c>
      <c r="BJ4451" s="0" t="s">
        <v>135</v>
      </c>
    </row>
    <row r="4452">
      <c r="A4452" s="0" t="s">
        <v>4715</v>
      </c>
      <c r="B4452" s="0" t="s">
        <v>652</v>
      </c>
      <c r="C4452" s="0" t="s">
        <v>652</v>
      </c>
      <c r="D4452" s="0" t="s">
        <v>135</v>
      </c>
      <c r="E4452" s="0" t="s">
        <v>3</v>
      </c>
      <c r="F4452" s="0" t="s">
        <v>12</v>
      </c>
      <c r="G4452" s="0" t="s">
        <v>8</v>
      </c>
      <c r="H4452" s="0">
        <v>3</v>
      </c>
      <c r="I4452" s="0">
        <v>0</v>
      </c>
      <c r="J4452" s="0">
        <v>0</v>
      </c>
      <c r="K4452" s="0">
        <v>0</v>
      </c>
      <c r="L4452" s="0">
        <v>0</v>
      </c>
      <c r="M4452" s="0">
        <v>0</v>
      </c>
      <c r="N4452" s="0">
        <v>0</v>
      </c>
      <c r="O4452" s="0">
        <v>0</v>
      </c>
      <c r="P4452" s="0">
        <v>0</v>
      </c>
      <c r="R4452" s="0" t="b">
        <v>0</v>
      </c>
      <c r="S4452" s="0" t="b">
        <v>0</v>
      </c>
      <c r="T4452" s="68">
        <v>46050.6967939815</v>
      </c>
      <c r="U4452" s="68">
        <v>0</v>
      </c>
      <c r="V4452" s="68">
        <v>46090.166875</v>
      </c>
      <c r="W4452" s="0">
        <f>IF(IF(B4452="none",1,IF(B4452="Trialer",1,0))+IF(C4452="Customer",1,IF(C4452="Lost",1,0))=2,1,0)</f>
      </c>
      <c r="X4452" s="0" t="s">
        <v>136</v>
      </c>
      <c r="Y4452" s="0" t="s">
        <v>243</v>
      </c>
      <c r="AV4452" s="68"/>
      <c r="AW4452" s="68"/>
      <c r="AY4452" s="27"/>
      <c r="BD4452" s="68">
        <v>46054.1666666667</v>
      </c>
      <c r="BE4452" s="68">
        <v>46082.1666666667</v>
      </c>
      <c r="BF4452" s="0" t="b">
        <v>0</v>
      </c>
      <c r="BG4452" s="0" t="b">
        <v>0</v>
      </c>
      <c r="BH4452" s="0">
        <v>44.25</v>
      </c>
      <c r="BI4452" s="0">
        <v>44.25</v>
      </c>
      <c r="BJ4452" s="0" t="s">
        <v>135</v>
      </c>
    </row>
    <row r="4453">
      <c r="A4453" s="0" t="s">
        <v>4716</v>
      </c>
      <c r="B4453" s="0" t="s">
        <v>652</v>
      </c>
      <c r="C4453" s="0" t="s">
        <v>652</v>
      </c>
      <c r="D4453" s="0" t="s">
        <v>135</v>
      </c>
      <c r="E4453" s="0" t="s">
        <v>3</v>
      </c>
      <c r="F4453" s="0" t="s">
        <v>12</v>
      </c>
      <c r="G4453" s="0" t="s">
        <v>8</v>
      </c>
      <c r="H4453" s="0">
        <v>3</v>
      </c>
      <c r="I4453" s="0">
        <v>0</v>
      </c>
      <c r="J4453" s="0">
        <v>0</v>
      </c>
      <c r="K4453" s="0">
        <v>0</v>
      </c>
      <c r="L4453" s="0">
        <v>0</v>
      </c>
      <c r="M4453" s="0">
        <v>0</v>
      </c>
      <c r="N4453" s="0">
        <v>0</v>
      </c>
      <c r="O4453" s="0">
        <v>0</v>
      </c>
      <c r="P4453" s="0">
        <v>0</v>
      </c>
      <c r="R4453" s="0" t="b">
        <v>0</v>
      </c>
      <c r="S4453" s="0" t="b">
        <v>0</v>
      </c>
      <c r="T4453" s="68">
        <v>46050.7045601852</v>
      </c>
      <c r="U4453" s="68">
        <v>0</v>
      </c>
      <c r="V4453" s="68">
        <v>46090.1668055556</v>
      </c>
      <c r="W4453" s="0">
        <f>IF(IF(B4453="none",1,IF(B4453="Trialer",1,0))+IF(C4453="Customer",1,IF(C4453="Lost",1,0))=2,1,0)</f>
      </c>
      <c r="X4453" s="0" t="s">
        <v>148</v>
      </c>
      <c r="Y4453" s="0" t="s">
        <v>243</v>
      </c>
      <c r="AV4453" s="68"/>
      <c r="AW4453" s="68"/>
      <c r="AY4453" s="27"/>
      <c r="BD4453" s="68">
        <v>46054.1666666667</v>
      </c>
      <c r="BE4453" s="68">
        <v>46082.1666666667</v>
      </c>
      <c r="BF4453" s="0" t="b">
        <v>0</v>
      </c>
      <c r="BG4453" s="0" t="b">
        <v>0</v>
      </c>
      <c r="BH4453" s="0">
        <v>53.25</v>
      </c>
      <c r="BI4453" s="0">
        <v>53.25</v>
      </c>
      <c r="BJ4453" s="0" t="s">
        <v>135</v>
      </c>
    </row>
    <row r="4454">
      <c r="A4454" s="0" t="s">
        <v>4717</v>
      </c>
      <c r="B4454" s="0" t="s">
        <v>652</v>
      </c>
      <c r="C4454" s="0" t="s">
        <v>652</v>
      </c>
      <c r="D4454" s="0" t="s">
        <v>135</v>
      </c>
      <c r="E4454" s="0" t="s">
        <v>3</v>
      </c>
      <c r="F4454" s="0" t="s">
        <v>12</v>
      </c>
      <c r="G4454" s="0" t="s">
        <v>8</v>
      </c>
      <c r="H4454" s="0">
        <v>3</v>
      </c>
      <c r="I4454" s="0">
        <v>0</v>
      </c>
      <c r="J4454" s="0">
        <v>0</v>
      </c>
      <c r="K4454" s="0">
        <v>0</v>
      </c>
      <c r="L4454" s="0">
        <v>0</v>
      </c>
      <c r="M4454" s="0">
        <v>0</v>
      </c>
      <c r="N4454" s="0">
        <v>0</v>
      </c>
      <c r="O4454" s="0">
        <v>0</v>
      </c>
      <c r="P4454" s="0">
        <v>0</v>
      </c>
      <c r="R4454" s="0" t="b">
        <v>0</v>
      </c>
      <c r="S4454" s="0" t="b">
        <v>0</v>
      </c>
      <c r="T4454" s="68">
        <v>46050.713900463</v>
      </c>
      <c r="U4454" s="68">
        <v>0</v>
      </c>
      <c r="V4454" s="68">
        <v>46090.1667824074</v>
      </c>
      <c r="W4454" s="0">
        <f>IF(IF(B4454="none",1,IF(B4454="Trialer",1,0))+IF(C4454="Customer",1,IF(C4454="Lost",1,0))=2,1,0)</f>
      </c>
      <c r="X4454" s="0" t="s">
        <v>136</v>
      </c>
      <c r="Y4454" s="0" t="s">
        <v>243</v>
      </c>
      <c r="AV4454" s="68"/>
      <c r="AW4454" s="68"/>
      <c r="AY4454" s="27"/>
      <c r="BD4454" s="68">
        <v>46054.1666666667</v>
      </c>
      <c r="BE4454" s="68">
        <v>46082.1666666667</v>
      </c>
      <c r="BF4454" s="0" t="b">
        <v>0</v>
      </c>
      <c r="BG4454" s="0" t="b">
        <v>0</v>
      </c>
      <c r="BH4454" s="0">
        <v>44.25</v>
      </c>
      <c r="BI4454" s="0">
        <v>44.25</v>
      </c>
      <c r="BJ4454" s="0" t="s">
        <v>135</v>
      </c>
    </row>
    <row r="4455">
      <c r="A4455" s="0" t="s">
        <v>4718</v>
      </c>
      <c r="B4455" s="0" t="s">
        <v>652</v>
      </c>
      <c r="C4455" s="0" t="s">
        <v>134</v>
      </c>
      <c r="D4455" s="0" t="s">
        <v>135</v>
      </c>
      <c r="E4455" s="0" t="s">
        <v>3</v>
      </c>
      <c r="F4455" s="0" t="s">
        <v>12</v>
      </c>
      <c r="G4455" s="0" t="s">
        <v>8</v>
      </c>
      <c r="H4455" s="0">
        <v>3</v>
      </c>
      <c r="I4455" s="0">
        <v>369.25</v>
      </c>
      <c r="J4455" s="0">
        <v>0</v>
      </c>
      <c r="K4455" s="0">
        <v>1</v>
      </c>
      <c r="L4455" s="0">
        <v>3</v>
      </c>
      <c r="M4455" s="0">
        <v>1</v>
      </c>
      <c r="N4455" s="0">
        <v>697.5</v>
      </c>
      <c r="O4455" s="0">
        <v>0</v>
      </c>
      <c r="P4455" s="0">
        <v>0</v>
      </c>
      <c r="R4455" s="0" t="b">
        <v>0</v>
      </c>
      <c r="S4455" s="0" t="b">
        <v>1</v>
      </c>
      <c r="T4455" s="68">
        <v>46050.7384375</v>
      </c>
      <c r="U4455" s="68">
        <v>46064.2916666667</v>
      </c>
      <c r="V4455" s="68">
        <v>0</v>
      </c>
      <c r="W4455" s="0">
        <f>IF(IF(B4455="none",1,IF(B4455="Trialer",1,0))+IF(C4455="Customer",1,IF(C4455="Lost",1,0))=2,1,0)</f>
      </c>
      <c r="X4455" s="0" t="s">
        <v>136</v>
      </c>
      <c r="Y4455" s="0" t="s">
        <v>243</v>
      </c>
      <c r="AV4455" s="68"/>
      <c r="AW4455" s="68"/>
      <c r="AY4455" s="27"/>
      <c r="BD4455" s="68">
        <v>46054.1666666667</v>
      </c>
      <c r="BE4455" s="68">
        <v>46082.1666666667</v>
      </c>
      <c r="BF4455" s="0" t="b">
        <v>0</v>
      </c>
      <c r="BG4455" s="0" t="b">
        <v>0</v>
      </c>
      <c r="BH4455" s="0">
        <v>44.25</v>
      </c>
      <c r="BI4455" s="0">
        <v>44.25</v>
      </c>
      <c r="BJ4455" s="0" t="s">
        <v>135</v>
      </c>
    </row>
    <row r="4456">
      <c r="A4456" s="0" t="s">
        <v>4719</v>
      </c>
      <c r="B4456" s="0" t="s">
        <v>652</v>
      </c>
      <c r="C4456" s="0" t="s">
        <v>652</v>
      </c>
      <c r="D4456" s="0" t="s">
        <v>135</v>
      </c>
      <c r="E4456" s="0" t="s">
        <v>3</v>
      </c>
      <c r="F4456" s="0" t="s">
        <v>12</v>
      </c>
      <c r="G4456" s="0" t="s">
        <v>8</v>
      </c>
      <c r="H4456" s="0">
        <v>3</v>
      </c>
      <c r="I4456" s="0">
        <v>0</v>
      </c>
      <c r="J4456" s="0">
        <v>0</v>
      </c>
      <c r="K4456" s="0">
        <v>0</v>
      </c>
      <c r="L4456" s="0">
        <v>0</v>
      </c>
      <c r="M4456" s="0">
        <v>0</v>
      </c>
      <c r="N4456" s="0">
        <v>0</v>
      </c>
      <c r="O4456" s="0">
        <v>0</v>
      </c>
      <c r="P4456" s="0">
        <v>0</v>
      </c>
      <c r="R4456" s="0" t="b">
        <v>0</v>
      </c>
      <c r="S4456" s="0" t="b">
        <v>0</v>
      </c>
      <c r="T4456" s="68">
        <v>46050.7686111111</v>
      </c>
      <c r="U4456" s="68">
        <v>0</v>
      </c>
      <c r="V4456" s="68">
        <v>46090.1668171296</v>
      </c>
      <c r="W4456" s="0">
        <f>IF(IF(B4456="none",1,IF(B4456="Trialer",1,0))+IF(C4456="Customer",1,IF(C4456="Lost",1,0))=2,1,0)</f>
      </c>
      <c r="X4456" s="0" t="s">
        <v>145</v>
      </c>
      <c r="Y4456" s="0" t="s">
        <v>2664</v>
      </c>
      <c r="AV4456" s="68"/>
      <c r="AW4456" s="68"/>
      <c r="AY4456" s="27"/>
      <c r="BD4456" s="68">
        <v>46054.1666666667</v>
      </c>
      <c r="BE4456" s="68">
        <v>46082.1666666667</v>
      </c>
      <c r="BF4456" s="0" t="b">
        <v>0</v>
      </c>
      <c r="BG4456" s="0" t="b">
        <v>0</v>
      </c>
      <c r="BH4456" s="0">
        <v>44.25</v>
      </c>
      <c r="BI4456" s="0">
        <v>44.25</v>
      </c>
      <c r="BJ4456" s="0" t="s">
        <v>135</v>
      </c>
    </row>
    <row r="4457">
      <c r="A4457" s="0" t="s">
        <v>4720</v>
      </c>
      <c r="B4457" s="0" t="s">
        <v>652</v>
      </c>
      <c r="C4457" s="0" t="s">
        <v>652</v>
      </c>
      <c r="D4457" s="0" t="s">
        <v>135</v>
      </c>
      <c r="E4457" s="0" t="s">
        <v>3</v>
      </c>
      <c r="F4457" s="0" t="s">
        <v>12</v>
      </c>
      <c r="G4457" s="0" t="s">
        <v>8</v>
      </c>
      <c r="H4457" s="0">
        <v>3</v>
      </c>
      <c r="I4457" s="0">
        <v>0</v>
      </c>
      <c r="J4457" s="0">
        <v>0</v>
      </c>
      <c r="K4457" s="0">
        <v>0</v>
      </c>
      <c r="L4457" s="0">
        <v>0</v>
      </c>
      <c r="M4457" s="0">
        <v>0</v>
      </c>
      <c r="N4457" s="0">
        <v>0</v>
      </c>
      <c r="O4457" s="0">
        <v>0</v>
      </c>
      <c r="P4457" s="0">
        <v>0</v>
      </c>
      <c r="R4457" s="0" t="b">
        <v>0</v>
      </c>
      <c r="S4457" s="0" t="b">
        <v>0</v>
      </c>
      <c r="T4457" s="68">
        <v>46050.8030092593</v>
      </c>
      <c r="U4457" s="68">
        <v>0</v>
      </c>
      <c r="V4457" s="68">
        <v>46090.1668171296</v>
      </c>
      <c r="W4457" s="0">
        <f>IF(IF(B4457="none",1,IF(B4457="Trialer",1,0))+IF(C4457="Customer",1,IF(C4457="Lost",1,0))=2,1,0)</f>
      </c>
      <c r="X4457" s="0" t="s">
        <v>136</v>
      </c>
      <c r="Y4457" s="0" t="s">
        <v>243</v>
      </c>
      <c r="AV4457" s="68"/>
      <c r="AW4457" s="68"/>
      <c r="AY4457" s="27"/>
      <c r="BD4457" s="68">
        <v>46054.1666666667</v>
      </c>
      <c r="BE4457" s="68">
        <v>46082.1666666667</v>
      </c>
      <c r="BF4457" s="0" t="b">
        <v>0</v>
      </c>
      <c r="BG4457" s="0" t="b">
        <v>0</v>
      </c>
      <c r="BH4457" s="0">
        <v>53.25</v>
      </c>
      <c r="BI4457" s="0">
        <v>53.25</v>
      </c>
      <c r="BJ4457" s="0" t="s">
        <v>135</v>
      </c>
    </row>
    <row r="4458">
      <c r="A4458" s="0" t="s">
        <v>4721</v>
      </c>
      <c r="B4458" s="0" t="s">
        <v>652</v>
      </c>
      <c r="C4458" s="0" t="s">
        <v>134</v>
      </c>
      <c r="D4458" s="0" t="s">
        <v>135</v>
      </c>
      <c r="E4458" s="0" t="s">
        <v>3</v>
      </c>
      <c r="F4458" s="0" t="s">
        <v>12</v>
      </c>
      <c r="G4458" s="0" t="s">
        <v>8</v>
      </c>
      <c r="H4458" s="0">
        <v>3</v>
      </c>
      <c r="I4458" s="0">
        <v>36.75</v>
      </c>
      <c r="J4458" s="0">
        <v>0</v>
      </c>
      <c r="K4458" s="0">
        <v>1</v>
      </c>
      <c r="L4458" s="0">
        <v>2</v>
      </c>
      <c r="M4458" s="0">
        <v>1</v>
      </c>
      <c r="N4458" s="0">
        <v>0</v>
      </c>
      <c r="O4458" s="0">
        <v>0</v>
      </c>
      <c r="P4458" s="0">
        <v>0</v>
      </c>
      <c r="R4458" s="0" t="b">
        <v>0</v>
      </c>
      <c r="S4458" s="0" t="b">
        <v>1</v>
      </c>
      <c r="T4458" s="68">
        <v>46050.8456365741</v>
      </c>
      <c r="U4458" s="68">
        <v>46064.2916666667</v>
      </c>
      <c r="V4458" s="68">
        <v>0</v>
      </c>
      <c r="W4458" s="0">
        <f>IF(IF(B4458="none",1,IF(B4458="Trialer",1,0))+IF(C4458="Customer",1,IF(C4458="Lost",1,0))=2,1,0)</f>
      </c>
      <c r="X4458" s="0" t="s">
        <v>1461</v>
      </c>
      <c r="Y4458" s="0" t="s">
        <v>243</v>
      </c>
      <c r="AV4458" s="68"/>
      <c r="AW4458" s="68"/>
      <c r="AY4458" s="27"/>
      <c r="BD4458" s="68">
        <v>46054.1666666667</v>
      </c>
      <c r="BE4458" s="68">
        <v>46082.1666666667</v>
      </c>
      <c r="BF4458" s="0" t="b">
        <v>0</v>
      </c>
      <c r="BG4458" s="0" t="b">
        <v>0</v>
      </c>
      <c r="BH4458" s="0">
        <v>36.75</v>
      </c>
      <c r="BI4458" s="0">
        <v>36.75</v>
      </c>
      <c r="BJ4458" s="0" t="s">
        <v>135</v>
      </c>
    </row>
    <row r="4459">
      <c r="A4459" s="0" t="s">
        <v>4722</v>
      </c>
      <c r="B4459" s="0" t="s">
        <v>652</v>
      </c>
      <c r="C4459" s="0" t="s">
        <v>652</v>
      </c>
      <c r="D4459" s="0" t="s">
        <v>135</v>
      </c>
      <c r="E4459" s="0" t="s">
        <v>4</v>
      </c>
      <c r="F4459" s="0" t="s">
        <v>12</v>
      </c>
      <c r="G4459" s="0" t="s">
        <v>8</v>
      </c>
      <c r="H4459" s="0">
        <v>3</v>
      </c>
      <c r="I4459" s="0">
        <v>0</v>
      </c>
      <c r="J4459" s="0">
        <v>0</v>
      </c>
      <c r="K4459" s="0">
        <v>0</v>
      </c>
      <c r="L4459" s="0">
        <v>0</v>
      </c>
      <c r="M4459" s="0">
        <v>0</v>
      </c>
      <c r="N4459" s="0">
        <v>0</v>
      </c>
      <c r="O4459" s="0">
        <v>0</v>
      </c>
      <c r="P4459" s="0">
        <v>0</v>
      </c>
      <c r="R4459" s="0" t="b">
        <v>0</v>
      </c>
      <c r="S4459" s="0" t="b">
        <v>0</v>
      </c>
      <c r="T4459" s="68">
        <v>46050.9415625</v>
      </c>
      <c r="U4459" s="68">
        <v>0</v>
      </c>
      <c r="V4459" s="68">
        <v>46090.1668287037</v>
      </c>
      <c r="W4459" s="0">
        <f>IF(IF(B4459="none",1,IF(B4459="Trialer",1,0))+IF(C4459="Customer",1,IF(C4459="Lost",1,0))=2,1,0)</f>
      </c>
      <c r="X4459" s="0" t="s">
        <v>145</v>
      </c>
      <c r="Y4459" s="0" t="s">
        <v>1772</v>
      </c>
      <c r="AV4459" s="68"/>
      <c r="AW4459" s="68"/>
      <c r="AY4459" s="27"/>
      <c r="BD4459" s="68">
        <v>46054.1666666667</v>
      </c>
      <c r="BE4459" s="68">
        <v>46082.1666666667</v>
      </c>
      <c r="BF4459" s="0" t="b">
        <v>0</v>
      </c>
      <c r="BG4459" s="0" t="b">
        <v>0</v>
      </c>
      <c r="BH4459" s="0">
        <v>53.25</v>
      </c>
      <c r="BI4459" s="0">
        <v>53.25</v>
      </c>
      <c r="BJ4459" s="0" t="s">
        <v>135</v>
      </c>
    </row>
    <row r="4460">
      <c r="A4460" s="0" t="s">
        <v>4723</v>
      </c>
      <c r="B4460" s="0" t="s">
        <v>652</v>
      </c>
      <c r="C4460" s="0" t="s">
        <v>652</v>
      </c>
      <c r="D4460" s="0" t="s">
        <v>135</v>
      </c>
      <c r="E4460" s="0" t="s">
        <v>2</v>
      </c>
      <c r="F4460" s="0" t="s">
        <v>12</v>
      </c>
      <c r="G4460" s="0" t="s">
        <v>8</v>
      </c>
      <c r="H4460" s="0">
        <v>2</v>
      </c>
      <c r="I4460" s="0">
        <v>0</v>
      </c>
      <c r="J4460" s="0">
        <v>0</v>
      </c>
      <c r="K4460" s="0">
        <v>0</v>
      </c>
      <c r="L4460" s="0">
        <v>0</v>
      </c>
      <c r="M4460" s="0">
        <v>0</v>
      </c>
      <c r="N4460" s="0">
        <v>0</v>
      </c>
      <c r="O4460" s="0">
        <v>0</v>
      </c>
      <c r="P4460" s="0">
        <v>0</v>
      </c>
      <c r="R4460" s="0" t="b">
        <v>0</v>
      </c>
      <c r="S4460" s="0" t="b">
        <v>0</v>
      </c>
      <c r="T4460" s="68">
        <v>46050.963275463</v>
      </c>
      <c r="U4460" s="68">
        <v>0</v>
      </c>
      <c r="V4460" s="68">
        <v>46090.1668402778</v>
      </c>
      <c r="W4460" s="0">
        <f>IF(IF(B4460="none",1,IF(B4460="Trialer",1,0))+IF(C4460="Customer",1,IF(C4460="Lost",1,0))=2,1,0)</f>
      </c>
      <c r="X4460" s="0" t="s">
        <v>136</v>
      </c>
      <c r="Y4460" s="0" t="s">
        <v>499</v>
      </c>
      <c r="AV4460" s="68"/>
      <c r="AW4460" s="68"/>
      <c r="AY4460" s="27"/>
      <c r="BD4460" s="68">
        <v>46054.1666666667</v>
      </c>
      <c r="BE4460" s="68">
        <v>46082.1666666667</v>
      </c>
      <c r="BF4460" s="0" t="b">
        <v>0</v>
      </c>
      <c r="BG4460" s="0" t="b">
        <v>0</v>
      </c>
      <c r="BH4460" s="0">
        <v>54.75</v>
      </c>
      <c r="BI4460" s="0">
        <v>54.75</v>
      </c>
      <c r="BJ4460" s="0" t="s">
        <v>135</v>
      </c>
    </row>
    <row r="4461">
      <c r="A4461" s="0" t="s">
        <v>4724</v>
      </c>
      <c r="B4461" s="0" t="s">
        <v>652</v>
      </c>
      <c r="C4461" s="0" t="s">
        <v>652</v>
      </c>
      <c r="D4461" s="0" t="s">
        <v>135</v>
      </c>
      <c r="E4461" s="0" t="s">
        <v>3</v>
      </c>
      <c r="F4461" s="0" t="s">
        <v>12</v>
      </c>
      <c r="G4461" s="0" t="s">
        <v>8</v>
      </c>
      <c r="H4461" s="0">
        <v>2</v>
      </c>
      <c r="I4461" s="0">
        <v>0</v>
      </c>
      <c r="J4461" s="0">
        <v>0</v>
      </c>
      <c r="K4461" s="0">
        <v>0</v>
      </c>
      <c r="L4461" s="0">
        <v>0</v>
      </c>
      <c r="M4461" s="0">
        <v>0</v>
      </c>
      <c r="N4461" s="0">
        <v>0</v>
      </c>
      <c r="O4461" s="0">
        <v>0</v>
      </c>
      <c r="P4461" s="0">
        <v>0</v>
      </c>
      <c r="R4461" s="0" t="b">
        <v>0</v>
      </c>
      <c r="S4461" s="0" t="b">
        <v>0</v>
      </c>
      <c r="T4461" s="68">
        <v>46050.9683680556</v>
      </c>
      <c r="U4461" s="68">
        <v>0</v>
      </c>
      <c r="V4461" s="68">
        <v>46068.8979398148</v>
      </c>
      <c r="W4461" s="0">
        <f>IF(IF(B4461="none",1,IF(B4461="Trialer",1,0))+IF(C4461="Customer",1,IF(C4461="Lost",1,0))=2,1,0)</f>
      </c>
      <c r="X4461" s="0" t="s">
        <v>136</v>
      </c>
      <c r="Y4461" s="0" t="s">
        <v>243</v>
      </c>
      <c r="AV4461" s="68"/>
      <c r="AW4461" s="68"/>
      <c r="AY4461" s="27"/>
      <c r="BD4461" s="68">
        <v>46054.1666666667</v>
      </c>
      <c r="BE4461" s="68">
        <v>46082.1666666667</v>
      </c>
      <c r="BF4461" s="0" t="b">
        <v>0</v>
      </c>
      <c r="BG4461" s="0" t="b">
        <v>0</v>
      </c>
      <c r="BH4461" s="0">
        <v>81</v>
      </c>
      <c r="BI4461" s="0">
        <v>81</v>
      </c>
      <c r="BJ4461" s="0" t="s">
        <v>135</v>
      </c>
    </row>
    <row r="4462">
      <c r="A4462" s="0" t="s">
        <v>4725</v>
      </c>
      <c r="B4462" s="0" t="s">
        <v>652</v>
      </c>
      <c r="C4462" s="0" t="s">
        <v>652</v>
      </c>
      <c r="D4462" s="0" t="s">
        <v>135</v>
      </c>
      <c r="E4462" s="0" t="s">
        <v>2</v>
      </c>
      <c r="F4462" s="0" t="s">
        <v>12</v>
      </c>
      <c r="G4462" s="0" t="s">
        <v>8</v>
      </c>
      <c r="H4462" s="0">
        <v>2</v>
      </c>
      <c r="I4462" s="0">
        <v>0</v>
      </c>
      <c r="J4462" s="0">
        <v>0</v>
      </c>
      <c r="K4462" s="0">
        <v>0</v>
      </c>
      <c r="L4462" s="0">
        <v>0</v>
      </c>
      <c r="M4462" s="0">
        <v>0</v>
      </c>
      <c r="N4462" s="0">
        <v>0</v>
      </c>
      <c r="O4462" s="0">
        <v>0</v>
      </c>
      <c r="P4462" s="0">
        <v>0</v>
      </c>
      <c r="R4462" s="0" t="b">
        <v>0</v>
      </c>
      <c r="S4462" s="0" t="b">
        <v>0</v>
      </c>
      <c r="T4462" s="68">
        <v>46051.1232175926</v>
      </c>
      <c r="U4462" s="68">
        <v>0</v>
      </c>
      <c r="V4462" s="68">
        <v>46066.5082060185</v>
      </c>
      <c r="W4462" s="0">
        <f>IF(IF(B4462="none",1,IF(B4462="Trialer",1,0))+IF(C4462="Customer",1,IF(C4462="Lost",1,0))=2,1,0)</f>
      </c>
      <c r="X4462" s="0" t="s">
        <v>145</v>
      </c>
      <c r="Y4462" s="0" t="s">
        <v>1587</v>
      </c>
      <c r="AV4462" s="68"/>
      <c r="AW4462" s="68"/>
      <c r="AY4462" s="27"/>
      <c r="BD4462" s="68">
        <v>46054.1666666667</v>
      </c>
      <c r="BE4462" s="68">
        <v>46082.1666666667</v>
      </c>
      <c r="BF4462" s="0" t="b">
        <v>0</v>
      </c>
      <c r="BG4462" s="0" t="b">
        <v>0</v>
      </c>
      <c r="BH4462" s="0">
        <v>44.25</v>
      </c>
      <c r="BI4462" s="0">
        <v>44.25</v>
      </c>
      <c r="BJ4462" s="0" t="s">
        <v>135</v>
      </c>
    </row>
    <row r="4463">
      <c r="A4463" s="0" t="s">
        <v>4726</v>
      </c>
      <c r="B4463" s="0" t="s">
        <v>652</v>
      </c>
      <c r="C4463" s="0" t="s">
        <v>652</v>
      </c>
      <c r="D4463" s="0" t="s">
        <v>135</v>
      </c>
      <c r="E4463" s="0" t="s">
        <v>3</v>
      </c>
      <c r="F4463" s="0" t="s">
        <v>12</v>
      </c>
      <c r="G4463" s="0" t="s">
        <v>8</v>
      </c>
      <c r="H4463" s="0">
        <v>2</v>
      </c>
      <c r="I4463" s="0">
        <v>0</v>
      </c>
      <c r="J4463" s="0">
        <v>0</v>
      </c>
      <c r="K4463" s="0">
        <v>0</v>
      </c>
      <c r="L4463" s="0">
        <v>0</v>
      </c>
      <c r="M4463" s="0">
        <v>0</v>
      </c>
      <c r="N4463" s="0">
        <v>0</v>
      </c>
      <c r="O4463" s="0">
        <v>0</v>
      </c>
      <c r="P4463" s="0">
        <v>0</v>
      </c>
      <c r="R4463" s="0" t="b">
        <v>0</v>
      </c>
      <c r="S4463" s="0" t="b">
        <v>0</v>
      </c>
      <c r="T4463" s="68">
        <v>46051.2805324074</v>
      </c>
      <c r="U4463" s="68">
        <v>0</v>
      </c>
      <c r="V4463" s="68">
        <v>46072.3860069444</v>
      </c>
      <c r="W4463" s="0">
        <f>IF(IF(B4463="none",1,IF(B4463="Trialer",1,0))+IF(C4463="Customer",1,IF(C4463="Lost",1,0))=2,1,0)</f>
      </c>
      <c r="X4463" s="0" t="s">
        <v>136</v>
      </c>
      <c r="Y4463" s="0" t="s">
        <v>1792</v>
      </c>
      <c r="AV4463" s="68"/>
      <c r="AW4463" s="68"/>
      <c r="AY4463" s="27"/>
      <c r="BD4463" s="68">
        <v>46054.1666666667</v>
      </c>
      <c r="BE4463" s="68">
        <v>46082.1666666667</v>
      </c>
      <c r="BF4463" s="0" t="b">
        <v>0</v>
      </c>
      <c r="BG4463" s="0" t="b">
        <v>0</v>
      </c>
      <c r="BH4463" s="0">
        <v>114.75</v>
      </c>
      <c r="BI4463" s="0">
        <v>114.75</v>
      </c>
      <c r="BJ4463" s="0" t="s">
        <v>135</v>
      </c>
    </row>
    <row r="4464">
      <c r="A4464" s="0" t="s">
        <v>4727</v>
      </c>
      <c r="B4464" s="0" t="s">
        <v>652</v>
      </c>
      <c r="C4464" s="0" t="s">
        <v>652</v>
      </c>
      <c r="D4464" s="0" t="s">
        <v>135</v>
      </c>
      <c r="E4464" s="0" t="s">
        <v>3</v>
      </c>
      <c r="F4464" s="0" t="s">
        <v>12</v>
      </c>
      <c r="G4464" s="0" t="s">
        <v>8</v>
      </c>
      <c r="H4464" s="0">
        <v>2</v>
      </c>
      <c r="I4464" s="0">
        <v>0</v>
      </c>
      <c r="J4464" s="0">
        <v>0</v>
      </c>
      <c r="K4464" s="0">
        <v>0</v>
      </c>
      <c r="L4464" s="0">
        <v>0</v>
      </c>
      <c r="M4464" s="0">
        <v>0</v>
      </c>
      <c r="N4464" s="0">
        <v>0</v>
      </c>
      <c r="O4464" s="0">
        <v>0</v>
      </c>
      <c r="P4464" s="0">
        <v>0</v>
      </c>
      <c r="R4464" s="0" t="b">
        <v>0</v>
      </c>
      <c r="S4464" s="0" t="b">
        <v>0</v>
      </c>
      <c r="T4464" s="68">
        <v>46051.3647800926</v>
      </c>
      <c r="U4464" s="68">
        <v>0</v>
      </c>
      <c r="V4464" s="68">
        <v>46091.1668402778</v>
      </c>
      <c r="W4464" s="0">
        <f>IF(IF(B4464="none",1,IF(B4464="Trialer",1,0))+IF(C4464="Customer",1,IF(C4464="Lost",1,0))=2,1,0)</f>
      </c>
      <c r="X4464" s="0" t="s">
        <v>148</v>
      </c>
      <c r="Y4464" s="0" t="s">
        <v>243</v>
      </c>
      <c r="AV4464" s="68"/>
      <c r="AW4464" s="68"/>
      <c r="AY4464" s="27"/>
      <c r="BD4464" s="68">
        <v>46054.1666666667</v>
      </c>
      <c r="BE4464" s="68">
        <v>46082.1666666667</v>
      </c>
      <c r="BF4464" s="0" t="b">
        <v>0</v>
      </c>
      <c r="BG4464" s="0" t="b">
        <v>0</v>
      </c>
      <c r="BH4464" s="0">
        <v>63.75</v>
      </c>
      <c r="BI4464" s="0">
        <v>63.75</v>
      </c>
      <c r="BJ4464" s="0" t="s">
        <v>135</v>
      </c>
    </row>
    <row r="4465">
      <c r="A4465" s="0" t="s">
        <v>4728</v>
      </c>
      <c r="B4465" s="0" t="s">
        <v>652</v>
      </c>
      <c r="C4465" s="0" t="s">
        <v>652</v>
      </c>
      <c r="D4465" s="0" t="s">
        <v>135</v>
      </c>
      <c r="E4465" s="0" t="s">
        <v>3</v>
      </c>
      <c r="F4465" s="0" t="s">
        <v>12</v>
      </c>
      <c r="G4465" s="0" t="s">
        <v>8</v>
      </c>
      <c r="H4465" s="0">
        <v>2</v>
      </c>
      <c r="I4465" s="0">
        <v>0</v>
      </c>
      <c r="J4465" s="0">
        <v>0</v>
      </c>
      <c r="K4465" s="0">
        <v>0</v>
      </c>
      <c r="L4465" s="0">
        <v>0</v>
      </c>
      <c r="M4465" s="0">
        <v>0</v>
      </c>
      <c r="N4465" s="0">
        <v>0</v>
      </c>
      <c r="O4465" s="0">
        <v>0</v>
      </c>
      <c r="P4465" s="0">
        <v>0</v>
      </c>
      <c r="R4465" s="0" t="b">
        <v>0</v>
      </c>
      <c r="S4465" s="0" t="b">
        <v>0</v>
      </c>
      <c r="T4465" s="68">
        <v>46051.3760185185</v>
      </c>
      <c r="U4465" s="68">
        <v>0</v>
      </c>
      <c r="V4465" s="68">
        <v>46055.3383912037</v>
      </c>
      <c r="W4465" s="0">
        <f>IF(IF(B4465="none",1,IF(B4465="Trialer",1,0))+IF(C4465="Customer",1,IF(C4465="Lost",1,0))=2,1,0)</f>
      </c>
      <c r="X4465" s="0" t="s">
        <v>653</v>
      </c>
      <c r="Y4465" s="0" t="s">
        <v>243</v>
      </c>
      <c r="AV4465" s="68"/>
      <c r="AW4465" s="68"/>
      <c r="AY4465" s="27"/>
      <c r="BD4465" s="68">
        <v>46054.1666666667</v>
      </c>
      <c r="BE4465" s="68">
        <v>46082.1666666667</v>
      </c>
      <c r="BF4465" s="0" t="b">
        <v>1</v>
      </c>
      <c r="BG4465" s="0" t="b">
        <v>0</v>
      </c>
      <c r="BH4465" s="0">
        <v>44.25</v>
      </c>
      <c r="BI4465" s="0">
        <v>44.25</v>
      </c>
      <c r="BJ4465" s="0" t="s">
        <v>135</v>
      </c>
    </row>
    <row r="4466">
      <c r="A4466" s="0" t="s">
        <v>4729</v>
      </c>
      <c r="B4466" s="0" t="s">
        <v>652</v>
      </c>
      <c r="C4466" s="0" t="s">
        <v>652</v>
      </c>
      <c r="D4466" s="0" t="s">
        <v>135</v>
      </c>
      <c r="E4466" s="0" t="s">
        <v>4</v>
      </c>
      <c r="F4466" s="0" t="s">
        <v>12</v>
      </c>
      <c r="G4466" s="0" t="s">
        <v>8</v>
      </c>
      <c r="H4466" s="0">
        <v>2</v>
      </c>
      <c r="I4466" s="0">
        <v>0</v>
      </c>
      <c r="J4466" s="0">
        <v>0</v>
      </c>
      <c r="K4466" s="0">
        <v>0</v>
      </c>
      <c r="L4466" s="0">
        <v>0</v>
      </c>
      <c r="M4466" s="0">
        <v>0</v>
      </c>
      <c r="N4466" s="0">
        <v>0</v>
      </c>
      <c r="O4466" s="0">
        <v>0</v>
      </c>
      <c r="P4466" s="0">
        <v>0</v>
      </c>
      <c r="R4466" s="0" t="b">
        <v>0</v>
      </c>
      <c r="S4466" s="0" t="b">
        <v>0</v>
      </c>
      <c r="T4466" s="68">
        <v>46051.3888888889</v>
      </c>
      <c r="U4466" s="68">
        <v>0</v>
      </c>
      <c r="V4466" s="68">
        <v>46063.8035648148</v>
      </c>
      <c r="W4466" s="0">
        <f>IF(IF(B4466="none",1,IF(B4466="Trialer",1,0))+IF(C4466="Customer",1,IF(C4466="Lost",1,0))=2,1,0)</f>
      </c>
      <c r="X4466" s="0" t="s">
        <v>148</v>
      </c>
      <c r="Y4466" s="0" t="s">
        <v>1772</v>
      </c>
      <c r="AV4466" s="68"/>
      <c r="AW4466" s="68"/>
      <c r="AY4466" s="27"/>
      <c r="BD4466" s="68">
        <v>46054.1666666667</v>
      </c>
      <c r="BE4466" s="68">
        <v>46082.1666666667</v>
      </c>
      <c r="BF4466" s="0" t="b">
        <v>0</v>
      </c>
      <c r="BG4466" s="0" t="b">
        <v>0</v>
      </c>
      <c r="BH4466" s="0">
        <v>44.25</v>
      </c>
      <c r="BI4466" s="0">
        <v>44.25</v>
      </c>
      <c r="BJ4466" s="0" t="s">
        <v>135</v>
      </c>
    </row>
    <row r="4467">
      <c r="A4467" s="0" t="s">
        <v>4730</v>
      </c>
      <c r="B4467" s="0" t="s">
        <v>652</v>
      </c>
      <c r="C4467" s="0" t="s">
        <v>652</v>
      </c>
      <c r="D4467" s="0" t="s">
        <v>135</v>
      </c>
      <c r="E4467" s="0" t="s">
        <v>2</v>
      </c>
      <c r="F4467" s="0" t="s">
        <v>12</v>
      </c>
      <c r="G4467" s="0" t="s">
        <v>8</v>
      </c>
      <c r="H4467" s="0">
        <v>2</v>
      </c>
      <c r="I4467" s="0">
        <v>0</v>
      </c>
      <c r="J4467" s="0">
        <v>0</v>
      </c>
      <c r="K4467" s="0">
        <v>0</v>
      </c>
      <c r="L4467" s="0">
        <v>0</v>
      </c>
      <c r="M4467" s="0">
        <v>0</v>
      </c>
      <c r="N4467" s="0">
        <v>0</v>
      </c>
      <c r="O4467" s="0">
        <v>0</v>
      </c>
      <c r="P4467" s="0">
        <v>0</v>
      </c>
      <c r="R4467" s="0" t="b">
        <v>0</v>
      </c>
      <c r="S4467" s="0" t="b">
        <v>0</v>
      </c>
      <c r="T4467" s="68">
        <v>46051.3998842593</v>
      </c>
      <c r="U4467" s="68">
        <v>0</v>
      </c>
      <c r="V4467" s="68">
        <v>46091.166712963</v>
      </c>
      <c r="W4467" s="0">
        <f>IF(IF(B4467="none",1,IF(B4467="Trialer",1,0))+IF(C4467="Customer",1,IF(C4467="Lost",1,0))=2,1,0)</f>
      </c>
      <c r="X4467" s="0" t="s">
        <v>145</v>
      </c>
      <c r="Y4467" s="0" t="s">
        <v>499</v>
      </c>
      <c r="AV4467" s="68"/>
      <c r="AW4467" s="68"/>
      <c r="AY4467" s="27"/>
      <c r="BD4467" s="68">
        <v>46054.1666666667</v>
      </c>
      <c r="BE4467" s="68">
        <v>46082.1666666667</v>
      </c>
      <c r="BF4467" s="0" t="b">
        <v>0</v>
      </c>
      <c r="BG4467" s="0" t="b">
        <v>0</v>
      </c>
      <c r="BH4467" s="0">
        <v>44.25</v>
      </c>
      <c r="BI4467" s="0">
        <v>44.25</v>
      </c>
      <c r="BJ4467" s="0" t="s">
        <v>135</v>
      </c>
    </row>
    <row r="4468">
      <c r="A4468" s="0" t="s">
        <v>4731</v>
      </c>
      <c r="B4468" s="0" t="s">
        <v>652</v>
      </c>
      <c r="C4468" s="0" t="s">
        <v>652</v>
      </c>
      <c r="D4468" s="0" t="s">
        <v>135</v>
      </c>
      <c r="E4468" s="0" t="s">
        <v>3</v>
      </c>
      <c r="F4468" s="0" t="s">
        <v>12</v>
      </c>
      <c r="G4468" s="0" t="s">
        <v>8</v>
      </c>
      <c r="H4468" s="0">
        <v>2</v>
      </c>
      <c r="I4468" s="0">
        <v>0</v>
      </c>
      <c r="J4468" s="0">
        <v>0</v>
      </c>
      <c r="K4468" s="0">
        <v>0</v>
      </c>
      <c r="L4468" s="0">
        <v>0</v>
      </c>
      <c r="M4468" s="0">
        <v>0</v>
      </c>
      <c r="N4468" s="0">
        <v>0</v>
      </c>
      <c r="O4468" s="0">
        <v>0</v>
      </c>
      <c r="P4468" s="0">
        <v>0</v>
      </c>
      <c r="R4468" s="0" t="b">
        <v>0</v>
      </c>
      <c r="S4468" s="0" t="b">
        <v>0</v>
      </c>
      <c r="T4468" s="68">
        <v>46051.4095833333</v>
      </c>
      <c r="U4468" s="68">
        <v>0</v>
      </c>
      <c r="V4468" s="68">
        <v>46091.1668055556</v>
      </c>
      <c r="W4468" s="0">
        <f>IF(IF(B4468="none",1,IF(B4468="Trialer",1,0))+IF(C4468="Customer",1,IF(C4468="Lost",1,0))=2,1,0)</f>
      </c>
      <c r="X4468" s="0" t="s">
        <v>136</v>
      </c>
      <c r="Y4468" s="0" t="s">
        <v>243</v>
      </c>
      <c r="AV4468" s="68"/>
      <c r="AW4468" s="68"/>
      <c r="AY4468" s="27"/>
      <c r="BD4468" s="68">
        <v>46054.1666666667</v>
      </c>
      <c r="BE4468" s="68">
        <v>46082.1666666667</v>
      </c>
      <c r="BF4468" s="0" t="b">
        <v>0</v>
      </c>
      <c r="BG4468" s="0" t="b">
        <v>0</v>
      </c>
      <c r="BH4468" s="0">
        <v>44.25</v>
      </c>
      <c r="BI4468" s="0">
        <v>44.25</v>
      </c>
      <c r="BJ4468" s="0" t="s">
        <v>135</v>
      </c>
    </row>
    <row r="4469">
      <c r="A4469" s="0" t="s">
        <v>4732</v>
      </c>
      <c r="B4469" s="0" t="s">
        <v>652</v>
      </c>
      <c r="C4469" s="0" t="s">
        <v>652</v>
      </c>
      <c r="D4469" s="0" t="s">
        <v>135</v>
      </c>
      <c r="E4469" s="0" t="s">
        <v>3</v>
      </c>
      <c r="F4469" s="0" t="s">
        <v>12</v>
      </c>
      <c r="G4469" s="0" t="s">
        <v>8</v>
      </c>
      <c r="H4469" s="0">
        <v>2</v>
      </c>
      <c r="I4469" s="0">
        <v>0</v>
      </c>
      <c r="J4469" s="0">
        <v>0</v>
      </c>
      <c r="K4469" s="0">
        <v>0</v>
      </c>
      <c r="L4469" s="0">
        <v>0</v>
      </c>
      <c r="M4469" s="0">
        <v>0</v>
      </c>
      <c r="N4469" s="0">
        <v>0</v>
      </c>
      <c r="O4469" s="0">
        <v>0</v>
      </c>
      <c r="P4469" s="0">
        <v>0</v>
      </c>
      <c r="R4469" s="0" t="b">
        <v>0</v>
      </c>
      <c r="S4469" s="0" t="b">
        <v>0</v>
      </c>
      <c r="T4469" s="68">
        <v>46051.434224537</v>
      </c>
      <c r="U4469" s="68">
        <v>0</v>
      </c>
      <c r="V4469" s="68">
        <v>46091.1667476852</v>
      </c>
      <c r="W4469" s="0">
        <f>IF(IF(B4469="none",1,IF(B4469="Trialer",1,0))+IF(C4469="Customer",1,IF(C4469="Lost",1,0))=2,1,0)</f>
      </c>
      <c r="X4469" s="0" t="s">
        <v>148</v>
      </c>
      <c r="Y4469" s="0" t="s">
        <v>243</v>
      </c>
      <c r="AV4469" s="68"/>
      <c r="AW4469" s="68"/>
      <c r="AY4469" s="27"/>
      <c r="BD4469" s="68">
        <v>46054.1666666667</v>
      </c>
      <c r="BE4469" s="68">
        <v>46082.1666666667</v>
      </c>
      <c r="BF4469" s="0" t="b">
        <v>0</v>
      </c>
      <c r="BG4469" s="0" t="b">
        <v>0</v>
      </c>
      <c r="BH4469" s="0">
        <v>53.25</v>
      </c>
      <c r="BI4469" s="0">
        <v>53.25</v>
      </c>
      <c r="BJ4469" s="0" t="s">
        <v>135</v>
      </c>
    </row>
    <row r="4470">
      <c r="A4470" s="0" t="s">
        <v>4733</v>
      </c>
      <c r="B4470" s="0" t="s">
        <v>652</v>
      </c>
      <c r="C4470" s="0" t="s">
        <v>652</v>
      </c>
      <c r="D4470" s="0" t="s">
        <v>135</v>
      </c>
      <c r="E4470" s="0" t="s">
        <v>2</v>
      </c>
      <c r="F4470" s="0" t="s">
        <v>12</v>
      </c>
      <c r="G4470" s="0" t="s">
        <v>8</v>
      </c>
      <c r="H4470" s="0">
        <v>2</v>
      </c>
      <c r="I4470" s="0">
        <v>0</v>
      </c>
      <c r="J4470" s="0">
        <v>0</v>
      </c>
      <c r="K4470" s="0">
        <v>0</v>
      </c>
      <c r="L4470" s="0">
        <v>0</v>
      </c>
      <c r="M4470" s="0">
        <v>0</v>
      </c>
      <c r="N4470" s="0">
        <v>0</v>
      </c>
      <c r="O4470" s="0">
        <v>0</v>
      </c>
      <c r="P4470" s="0">
        <v>0</v>
      </c>
      <c r="R4470" s="0" t="b">
        <v>0</v>
      </c>
      <c r="S4470" s="0" t="b">
        <v>0</v>
      </c>
      <c r="T4470" s="68">
        <v>46051.4386111111</v>
      </c>
      <c r="U4470" s="68">
        <v>0</v>
      </c>
      <c r="V4470" s="68">
        <v>46065.3707986111</v>
      </c>
      <c r="W4470" s="0">
        <f>IF(IF(B4470="none",1,IF(B4470="Trialer",1,0))+IF(C4470="Customer",1,IF(C4470="Lost",1,0))=2,1,0)</f>
      </c>
      <c r="X4470" s="0" t="s">
        <v>148</v>
      </c>
      <c r="Y4470" s="0" t="s">
        <v>499</v>
      </c>
      <c r="AV4470" s="68"/>
      <c r="AW4470" s="68"/>
      <c r="AY4470" s="27"/>
      <c r="BD4470" s="68">
        <v>46054.1666666667</v>
      </c>
      <c r="BE4470" s="68">
        <v>46082.1666666667</v>
      </c>
      <c r="BF4470" s="0" t="b">
        <v>1</v>
      </c>
      <c r="BG4470" s="0" t="b">
        <v>0</v>
      </c>
      <c r="BH4470" s="0">
        <v>44.25</v>
      </c>
      <c r="BI4470" s="0">
        <v>44.25</v>
      </c>
      <c r="BJ4470" s="0" t="s">
        <v>135</v>
      </c>
    </row>
    <row r="4471">
      <c r="A4471" s="0" t="s">
        <v>4734</v>
      </c>
      <c r="B4471" s="0" t="s">
        <v>652</v>
      </c>
      <c r="C4471" s="0" t="s">
        <v>652</v>
      </c>
      <c r="D4471" s="0" t="s">
        <v>135</v>
      </c>
      <c r="E4471" s="0" t="s">
        <v>2</v>
      </c>
      <c r="F4471" s="0" t="s">
        <v>12</v>
      </c>
      <c r="G4471" s="0" t="s">
        <v>8</v>
      </c>
      <c r="H4471" s="0">
        <v>2</v>
      </c>
      <c r="I4471" s="0">
        <v>0</v>
      </c>
      <c r="J4471" s="0">
        <v>0</v>
      </c>
      <c r="K4471" s="0">
        <v>0</v>
      </c>
      <c r="L4471" s="0">
        <v>0</v>
      </c>
      <c r="M4471" s="0">
        <v>0</v>
      </c>
      <c r="N4471" s="0">
        <v>0</v>
      </c>
      <c r="O4471" s="0">
        <v>0</v>
      </c>
      <c r="P4471" s="0">
        <v>0</v>
      </c>
      <c r="R4471" s="0" t="b">
        <v>0</v>
      </c>
      <c r="S4471" s="0" t="b">
        <v>0</v>
      </c>
      <c r="T4471" s="68">
        <v>46051.4416435185</v>
      </c>
      <c r="U4471" s="68">
        <v>0</v>
      </c>
      <c r="V4471" s="68">
        <v>46062.6688078704</v>
      </c>
      <c r="W4471" s="0">
        <f>IF(IF(B4471="none",1,IF(B4471="Trialer",1,0))+IF(C4471="Customer",1,IF(C4471="Lost",1,0))=2,1,0)</f>
      </c>
      <c r="X4471" s="0" t="s">
        <v>136</v>
      </c>
      <c r="Y4471" s="0" t="s">
        <v>499</v>
      </c>
      <c r="AV4471" s="68"/>
      <c r="AW4471" s="68"/>
      <c r="AY4471" s="27"/>
      <c r="BD4471" s="68">
        <v>46054.1666666667</v>
      </c>
      <c r="BE4471" s="68">
        <v>46082.1666666667</v>
      </c>
      <c r="BF4471" s="0" t="b">
        <v>0</v>
      </c>
      <c r="BG4471" s="0" t="b">
        <v>0</v>
      </c>
      <c r="BH4471" s="0">
        <v>53.25</v>
      </c>
      <c r="BI4471" s="0">
        <v>53.25</v>
      </c>
      <c r="BJ4471" s="0" t="s">
        <v>135</v>
      </c>
    </row>
    <row r="4472">
      <c r="A4472" s="0" t="s">
        <v>4735</v>
      </c>
      <c r="B4472" s="0" t="s">
        <v>652</v>
      </c>
      <c r="C4472" s="0" t="s">
        <v>652</v>
      </c>
      <c r="D4472" s="0" t="s">
        <v>135</v>
      </c>
      <c r="E4472" s="0" t="s">
        <v>3</v>
      </c>
      <c r="F4472" s="0" t="s">
        <v>12</v>
      </c>
      <c r="G4472" s="0" t="s">
        <v>8</v>
      </c>
      <c r="H4472" s="0">
        <v>2</v>
      </c>
      <c r="I4472" s="0">
        <v>0</v>
      </c>
      <c r="J4472" s="0">
        <v>0</v>
      </c>
      <c r="K4472" s="0">
        <v>0</v>
      </c>
      <c r="L4472" s="0">
        <v>0</v>
      </c>
      <c r="M4472" s="0">
        <v>0</v>
      </c>
      <c r="N4472" s="0">
        <v>0</v>
      </c>
      <c r="O4472" s="0">
        <v>0</v>
      </c>
      <c r="P4472" s="0">
        <v>0</v>
      </c>
      <c r="R4472" s="0" t="b">
        <v>0</v>
      </c>
      <c r="S4472" s="0" t="b">
        <v>0</v>
      </c>
      <c r="T4472" s="68">
        <v>46051.4562615741</v>
      </c>
      <c r="U4472" s="68">
        <v>0</v>
      </c>
      <c r="V4472" s="68">
        <v>46091.166875</v>
      </c>
      <c r="W4472" s="0">
        <f>IF(IF(B4472="none",1,IF(B4472="Trialer",1,0))+IF(C4472="Customer",1,IF(C4472="Lost",1,0))=2,1,0)</f>
      </c>
      <c r="X4472" s="0" t="s">
        <v>148</v>
      </c>
      <c r="Y4472" s="0" t="s">
        <v>243</v>
      </c>
      <c r="AV4472" s="68"/>
      <c r="AW4472" s="68"/>
      <c r="AY4472" s="27"/>
      <c r="BD4472" s="68">
        <v>46054.1666666667</v>
      </c>
      <c r="BE4472" s="68">
        <v>46082.1666666667</v>
      </c>
      <c r="BF4472" s="0" t="b">
        <v>0</v>
      </c>
      <c r="BG4472" s="0" t="b">
        <v>0</v>
      </c>
      <c r="BH4472" s="0">
        <v>44.25</v>
      </c>
      <c r="BI4472" s="0">
        <v>44.25</v>
      </c>
      <c r="BJ4472" s="0" t="s">
        <v>135</v>
      </c>
    </row>
    <row r="4473">
      <c r="A4473" s="0" t="s">
        <v>4736</v>
      </c>
      <c r="B4473" s="0" t="s">
        <v>652</v>
      </c>
      <c r="C4473" s="0" t="s">
        <v>652</v>
      </c>
      <c r="D4473" s="0" t="s">
        <v>135</v>
      </c>
      <c r="E4473" s="0" t="s">
        <v>3</v>
      </c>
      <c r="F4473" s="0" t="s">
        <v>12</v>
      </c>
      <c r="G4473" s="0" t="s">
        <v>8</v>
      </c>
      <c r="H4473" s="0">
        <v>2</v>
      </c>
      <c r="I4473" s="0">
        <v>0</v>
      </c>
      <c r="J4473" s="0">
        <v>0</v>
      </c>
      <c r="K4473" s="0">
        <v>0</v>
      </c>
      <c r="L4473" s="0">
        <v>0</v>
      </c>
      <c r="M4473" s="0">
        <v>0</v>
      </c>
      <c r="N4473" s="0">
        <v>0</v>
      </c>
      <c r="O4473" s="0">
        <v>0</v>
      </c>
      <c r="P4473" s="0">
        <v>0</v>
      </c>
      <c r="R4473" s="0" t="b">
        <v>0</v>
      </c>
      <c r="S4473" s="0" t="b">
        <v>0</v>
      </c>
      <c r="T4473" s="68">
        <v>46051.4851157407</v>
      </c>
      <c r="U4473" s="68">
        <v>0</v>
      </c>
      <c r="V4473" s="68">
        <v>46091.1668518518</v>
      </c>
      <c r="W4473" s="0">
        <f>IF(IF(B4473="none",1,IF(B4473="Trialer",1,0))+IF(C4473="Customer",1,IF(C4473="Lost",1,0))=2,1,0)</f>
      </c>
      <c r="X4473" s="0" t="s">
        <v>136</v>
      </c>
      <c r="Y4473" s="0" t="s">
        <v>243</v>
      </c>
      <c r="AV4473" s="68"/>
      <c r="AW4473" s="68"/>
      <c r="AY4473" s="27"/>
      <c r="BD4473" s="68">
        <v>46054.1666666667</v>
      </c>
      <c r="BE4473" s="68">
        <v>46082.1666666667</v>
      </c>
      <c r="BF4473" s="0" t="b">
        <v>0</v>
      </c>
      <c r="BG4473" s="0" t="b">
        <v>0</v>
      </c>
      <c r="BH4473" s="0">
        <v>263.25</v>
      </c>
      <c r="BI4473" s="0">
        <v>263.25</v>
      </c>
      <c r="BJ4473" s="0" t="s">
        <v>135</v>
      </c>
    </row>
    <row r="4474">
      <c r="A4474" s="0" t="s">
        <v>4737</v>
      </c>
      <c r="B4474" s="0" t="s">
        <v>652</v>
      </c>
      <c r="C4474" s="0" t="s">
        <v>652</v>
      </c>
      <c r="D4474" s="0" t="s">
        <v>135</v>
      </c>
      <c r="E4474" s="0" t="s">
        <v>4</v>
      </c>
      <c r="F4474" s="0" t="s">
        <v>12</v>
      </c>
      <c r="G4474" s="0" t="s">
        <v>8</v>
      </c>
      <c r="H4474" s="0">
        <v>2</v>
      </c>
      <c r="I4474" s="0">
        <v>0</v>
      </c>
      <c r="J4474" s="0">
        <v>0</v>
      </c>
      <c r="K4474" s="0">
        <v>0</v>
      </c>
      <c r="L4474" s="0">
        <v>0</v>
      </c>
      <c r="M4474" s="0">
        <v>0</v>
      </c>
      <c r="N4474" s="0">
        <v>0</v>
      </c>
      <c r="O4474" s="0">
        <v>0</v>
      </c>
      <c r="P4474" s="0">
        <v>0</v>
      </c>
      <c r="R4474" s="0" t="b">
        <v>0</v>
      </c>
      <c r="S4474" s="0" t="b">
        <v>0</v>
      </c>
      <c r="T4474" s="68">
        <v>46051.5</v>
      </c>
      <c r="U4474" s="68">
        <v>0</v>
      </c>
      <c r="V4474" s="68">
        <v>46066.2981481481</v>
      </c>
      <c r="W4474" s="0">
        <f>IF(IF(B4474="none",1,IF(B4474="Trialer",1,0))+IF(C4474="Customer",1,IF(C4474="Lost",1,0))=2,1,0)</f>
      </c>
      <c r="X4474" s="0" t="s">
        <v>136</v>
      </c>
      <c r="Y4474" s="0" t="s">
        <v>1772</v>
      </c>
      <c r="AV4474" s="68"/>
      <c r="AW4474" s="68"/>
      <c r="AY4474" s="27"/>
      <c r="BD4474" s="68">
        <v>46054.1666666667</v>
      </c>
      <c r="BE4474" s="68">
        <v>46082.1666666667</v>
      </c>
      <c r="BF4474" s="0" t="b">
        <v>0</v>
      </c>
      <c r="BG4474" s="0" t="b">
        <v>0</v>
      </c>
      <c r="BH4474" s="0">
        <v>44.25</v>
      </c>
      <c r="BI4474" s="0">
        <v>44.25</v>
      </c>
      <c r="BJ4474" s="0" t="s">
        <v>135</v>
      </c>
    </row>
    <row r="4475">
      <c r="A4475" s="0" t="s">
        <v>4738</v>
      </c>
      <c r="B4475" s="0" t="s">
        <v>652</v>
      </c>
      <c r="C4475" s="0" t="s">
        <v>652</v>
      </c>
      <c r="D4475" s="0" t="s">
        <v>135</v>
      </c>
      <c r="E4475" s="0" t="s">
        <v>1515</v>
      </c>
      <c r="F4475" s="0" t="s">
        <v>12</v>
      </c>
      <c r="G4475" s="0" t="s">
        <v>8</v>
      </c>
      <c r="H4475" s="0">
        <v>2</v>
      </c>
      <c r="I4475" s="0">
        <v>0</v>
      </c>
      <c r="J4475" s="0">
        <v>0</v>
      </c>
      <c r="K4475" s="0">
        <v>0</v>
      </c>
      <c r="L4475" s="0">
        <v>0</v>
      </c>
      <c r="M4475" s="0">
        <v>0</v>
      </c>
      <c r="N4475" s="0">
        <v>0</v>
      </c>
      <c r="O4475" s="0">
        <v>0</v>
      </c>
      <c r="P4475" s="0">
        <v>0</v>
      </c>
      <c r="R4475" s="0" t="b">
        <v>0</v>
      </c>
      <c r="S4475" s="0" t="b">
        <v>0</v>
      </c>
      <c r="T4475" s="68">
        <v>46051.5128587963</v>
      </c>
      <c r="U4475" s="68">
        <v>0</v>
      </c>
      <c r="V4475" s="68">
        <v>46056.6561921296</v>
      </c>
      <c r="W4475" s="0">
        <f>IF(IF(B4475="none",1,IF(B4475="Trialer",1,0))+IF(C4475="Customer",1,IF(C4475="Lost",1,0))=2,1,0)</f>
      </c>
      <c r="X4475" s="0" t="s">
        <v>148</v>
      </c>
      <c r="Y4475" s="0" t="s">
        <v>1516</v>
      </c>
      <c r="AV4475" s="68"/>
      <c r="AW4475" s="68"/>
      <c r="AY4475" s="27"/>
      <c r="BD4475" s="68">
        <v>46054.1666666667</v>
      </c>
      <c r="BE4475" s="68">
        <v>46082.1666666667</v>
      </c>
      <c r="BF4475" s="0" t="b">
        <v>1</v>
      </c>
      <c r="BG4475" s="0" t="b">
        <v>0</v>
      </c>
      <c r="BH4475" s="0">
        <v>44.25</v>
      </c>
      <c r="BI4475" s="0">
        <v>44.25</v>
      </c>
      <c r="BJ4475" s="0" t="s">
        <v>135</v>
      </c>
    </row>
    <row r="4476">
      <c r="A4476" s="0" t="s">
        <v>4739</v>
      </c>
      <c r="B4476" s="0" t="s">
        <v>652</v>
      </c>
      <c r="C4476" s="0" t="s">
        <v>652</v>
      </c>
      <c r="D4476" s="0" t="s">
        <v>135</v>
      </c>
      <c r="E4476" s="0" t="s">
        <v>3</v>
      </c>
      <c r="F4476" s="0" t="s">
        <v>12</v>
      </c>
      <c r="G4476" s="0" t="s">
        <v>8</v>
      </c>
      <c r="H4476" s="0">
        <v>2</v>
      </c>
      <c r="I4476" s="0">
        <v>0</v>
      </c>
      <c r="J4476" s="0">
        <v>0</v>
      </c>
      <c r="K4476" s="0">
        <v>0</v>
      </c>
      <c r="L4476" s="0">
        <v>0</v>
      </c>
      <c r="M4476" s="0">
        <v>0</v>
      </c>
      <c r="N4476" s="0">
        <v>0</v>
      </c>
      <c r="O4476" s="0">
        <v>0</v>
      </c>
      <c r="P4476" s="0">
        <v>0</v>
      </c>
      <c r="R4476" s="0" t="b">
        <v>0</v>
      </c>
      <c r="S4476" s="0" t="b">
        <v>0</v>
      </c>
      <c r="T4476" s="68">
        <v>46051.5135532407</v>
      </c>
      <c r="U4476" s="68">
        <v>0</v>
      </c>
      <c r="V4476" s="68">
        <v>46091.1669212963</v>
      </c>
      <c r="W4476" s="0">
        <f>IF(IF(B4476="none",1,IF(B4476="Trialer",1,0))+IF(C4476="Customer",1,IF(C4476="Lost",1,0))=2,1,0)</f>
      </c>
      <c r="X4476" s="0" t="s">
        <v>148</v>
      </c>
      <c r="Y4476" s="0" t="s">
        <v>243</v>
      </c>
      <c r="AV4476" s="68"/>
      <c r="AW4476" s="68"/>
      <c r="AY4476" s="27"/>
      <c r="BD4476" s="68">
        <v>46054.1666666667</v>
      </c>
      <c r="BE4476" s="68">
        <v>46082.1666666667</v>
      </c>
      <c r="BF4476" s="0" t="b">
        <v>0</v>
      </c>
      <c r="BG4476" s="0" t="b">
        <v>0</v>
      </c>
      <c r="BH4476" s="0">
        <v>44.25</v>
      </c>
      <c r="BI4476" s="0">
        <v>44.25</v>
      </c>
      <c r="BJ4476" s="0" t="s">
        <v>135</v>
      </c>
    </row>
    <row r="4477">
      <c r="A4477" s="0" t="s">
        <v>4740</v>
      </c>
      <c r="B4477" s="0" t="s">
        <v>652</v>
      </c>
      <c r="C4477" s="0" t="s">
        <v>652</v>
      </c>
      <c r="D4477" s="0" t="s">
        <v>135</v>
      </c>
      <c r="E4477" s="0" t="s">
        <v>3</v>
      </c>
      <c r="F4477" s="0" t="s">
        <v>12</v>
      </c>
      <c r="G4477" s="0" t="s">
        <v>8</v>
      </c>
      <c r="H4477" s="0">
        <v>2</v>
      </c>
      <c r="I4477" s="0">
        <v>0</v>
      </c>
      <c r="J4477" s="0">
        <v>0</v>
      </c>
      <c r="K4477" s="0">
        <v>0</v>
      </c>
      <c r="L4477" s="0">
        <v>0</v>
      </c>
      <c r="M4477" s="0">
        <v>0</v>
      </c>
      <c r="N4477" s="0">
        <v>0</v>
      </c>
      <c r="O4477" s="0">
        <v>0</v>
      </c>
      <c r="P4477" s="0">
        <v>0</v>
      </c>
      <c r="R4477" s="0" t="b">
        <v>0</v>
      </c>
      <c r="S4477" s="0" t="b">
        <v>0</v>
      </c>
      <c r="T4477" s="68">
        <v>46051.520625</v>
      </c>
      <c r="U4477" s="68">
        <v>0</v>
      </c>
      <c r="V4477" s="68">
        <v>46097.1668055556</v>
      </c>
      <c r="W4477" s="0">
        <f>IF(IF(B4477="none",1,IF(B4477="Trialer",1,0))+IF(C4477="Customer",1,IF(C4477="Lost",1,0))=2,1,0)</f>
      </c>
      <c r="X4477" s="0" t="s">
        <v>145</v>
      </c>
      <c r="Y4477" s="0" t="s">
        <v>243</v>
      </c>
      <c r="AV4477" s="68"/>
      <c r="AW4477" s="68"/>
      <c r="AY4477" s="27"/>
      <c r="BD4477" s="68">
        <v>46054.1666666667</v>
      </c>
      <c r="BE4477" s="68">
        <v>46082.1666666667</v>
      </c>
      <c r="BF4477" s="0" t="b">
        <v>0</v>
      </c>
      <c r="BG4477" s="0" t="b">
        <v>0</v>
      </c>
      <c r="BH4477" s="0">
        <v>54.75</v>
      </c>
      <c r="BI4477" s="0">
        <v>54.75</v>
      </c>
      <c r="BJ4477" s="0" t="s">
        <v>135</v>
      </c>
    </row>
    <row r="4478">
      <c r="A4478" s="0" t="s">
        <v>4741</v>
      </c>
      <c r="B4478" s="0" t="s">
        <v>652</v>
      </c>
      <c r="C4478" s="0" t="s">
        <v>652</v>
      </c>
      <c r="D4478" s="0" t="s">
        <v>135</v>
      </c>
      <c r="E4478" s="0" t="s">
        <v>2</v>
      </c>
      <c r="F4478" s="0" t="s">
        <v>12</v>
      </c>
      <c r="G4478" s="0" t="s">
        <v>8</v>
      </c>
      <c r="H4478" s="0">
        <v>2</v>
      </c>
      <c r="I4478" s="0">
        <v>0</v>
      </c>
      <c r="J4478" s="0">
        <v>0</v>
      </c>
      <c r="K4478" s="0">
        <v>0</v>
      </c>
      <c r="L4478" s="0">
        <v>0</v>
      </c>
      <c r="M4478" s="0">
        <v>0</v>
      </c>
      <c r="N4478" s="0">
        <v>0</v>
      </c>
      <c r="O4478" s="0">
        <v>0</v>
      </c>
      <c r="P4478" s="0">
        <v>0</v>
      </c>
      <c r="R4478" s="0" t="b">
        <v>0</v>
      </c>
      <c r="S4478" s="0" t="b">
        <v>0</v>
      </c>
      <c r="T4478" s="68">
        <v>46051.545775463</v>
      </c>
      <c r="U4478" s="68">
        <v>0</v>
      </c>
      <c r="V4478" s="68">
        <v>46091.1669328704</v>
      </c>
      <c r="W4478" s="0">
        <f>IF(IF(B4478="none",1,IF(B4478="Trialer",1,0))+IF(C4478="Customer",1,IF(C4478="Lost",1,0))=2,1,0)</f>
      </c>
      <c r="X4478" s="0" t="s">
        <v>136</v>
      </c>
      <c r="Y4478" s="0" t="s">
        <v>499</v>
      </c>
      <c r="AV4478" s="68"/>
      <c r="AW4478" s="68"/>
      <c r="AY4478" s="27"/>
      <c r="BD4478" s="68">
        <v>46054.1666666667</v>
      </c>
      <c r="BE4478" s="68">
        <v>46082.1666666667</v>
      </c>
      <c r="BF4478" s="0" t="b">
        <v>0</v>
      </c>
      <c r="BG4478" s="0" t="b">
        <v>0</v>
      </c>
      <c r="BH4478" s="0">
        <v>106.5</v>
      </c>
      <c r="BI4478" s="0">
        <v>106.5</v>
      </c>
      <c r="BJ4478" s="0" t="s">
        <v>135</v>
      </c>
    </row>
    <row r="4479">
      <c r="A4479" s="0" t="s">
        <v>4742</v>
      </c>
      <c r="B4479" s="0" t="s">
        <v>652</v>
      </c>
      <c r="C4479" s="0" t="s">
        <v>652</v>
      </c>
      <c r="D4479" s="0" t="s">
        <v>135</v>
      </c>
      <c r="E4479" s="0" t="s">
        <v>2414</v>
      </c>
      <c r="F4479" s="0" t="s">
        <v>12</v>
      </c>
      <c r="G4479" s="0" t="s">
        <v>8</v>
      </c>
      <c r="H4479" s="0">
        <v>2</v>
      </c>
      <c r="I4479" s="0">
        <v>0</v>
      </c>
      <c r="J4479" s="0">
        <v>0</v>
      </c>
      <c r="K4479" s="0">
        <v>0</v>
      </c>
      <c r="L4479" s="0">
        <v>0</v>
      </c>
      <c r="M4479" s="0">
        <v>0</v>
      </c>
      <c r="N4479" s="0">
        <v>0</v>
      </c>
      <c r="O4479" s="0">
        <v>0</v>
      </c>
      <c r="P4479" s="0">
        <v>0</v>
      </c>
      <c r="R4479" s="0" t="b">
        <v>0</v>
      </c>
      <c r="S4479" s="0" t="b">
        <v>0</v>
      </c>
      <c r="T4479" s="68">
        <v>46051.5545833333</v>
      </c>
      <c r="U4479" s="68">
        <v>0</v>
      </c>
      <c r="V4479" s="68">
        <v>46091.1668171296</v>
      </c>
      <c r="W4479" s="0">
        <f>IF(IF(B4479="none",1,IF(B4479="Trialer",1,0))+IF(C4479="Customer",1,IF(C4479="Lost",1,0))=2,1,0)</f>
      </c>
      <c r="X4479" s="0" t="s">
        <v>136</v>
      </c>
      <c r="Y4479" s="0" t="s">
        <v>1516</v>
      </c>
      <c r="AV4479" s="68"/>
      <c r="AW4479" s="68"/>
      <c r="AY4479" s="27"/>
      <c r="BD4479" s="68">
        <v>46054.1666666667</v>
      </c>
      <c r="BE4479" s="68">
        <v>46082.1666666667</v>
      </c>
      <c r="BF4479" s="0" t="b">
        <v>0</v>
      </c>
      <c r="BG4479" s="0" t="b">
        <v>0</v>
      </c>
      <c r="BH4479" s="0">
        <v>44.25</v>
      </c>
      <c r="BI4479" s="0">
        <v>44.25</v>
      </c>
      <c r="BJ4479" s="0" t="s">
        <v>135</v>
      </c>
    </row>
    <row r="4480">
      <c r="A4480" s="0" t="s">
        <v>4743</v>
      </c>
      <c r="B4480" s="0" t="s">
        <v>652</v>
      </c>
      <c r="C4480" s="0" t="s">
        <v>652</v>
      </c>
      <c r="D4480" s="0" t="s">
        <v>135</v>
      </c>
      <c r="E4480" s="0" t="s">
        <v>3</v>
      </c>
      <c r="F4480" s="0" t="s">
        <v>12</v>
      </c>
      <c r="G4480" s="0" t="s">
        <v>8</v>
      </c>
      <c r="H4480" s="0">
        <v>2</v>
      </c>
      <c r="I4480" s="0">
        <v>0</v>
      </c>
      <c r="J4480" s="0">
        <v>0</v>
      </c>
      <c r="K4480" s="0">
        <v>0</v>
      </c>
      <c r="L4480" s="0">
        <v>0</v>
      </c>
      <c r="M4480" s="0">
        <v>0</v>
      </c>
      <c r="N4480" s="0">
        <v>0</v>
      </c>
      <c r="O4480" s="0">
        <v>0</v>
      </c>
      <c r="P4480" s="0">
        <v>0</v>
      </c>
      <c r="R4480" s="0" t="b">
        <v>0</v>
      </c>
      <c r="S4480" s="0" t="b">
        <v>0</v>
      </c>
      <c r="T4480" s="68">
        <v>46051.5690740741</v>
      </c>
      <c r="U4480" s="68">
        <v>0</v>
      </c>
      <c r="V4480" s="68">
        <v>46055.5438657407</v>
      </c>
      <c r="W4480" s="0">
        <f>IF(IF(B4480="none",1,IF(B4480="Trialer",1,0))+IF(C4480="Customer",1,IF(C4480="Lost",1,0))=2,1,0)</f>
      </c>
      <c r="X4480" s="0" t="s">
        <v>148</v>
      </c>
      <c r="Y4480" s="0" t="s">
        <v>243</v>
      </c>
      <c r="AV4480" s="68"/>
      <c r="AW4480" s="68"/>
      <c r="AY4480" s="27"/>
      <c r="BD4480" s="68">
        <v>46054.1666666667</v>
      </c>
      <c r="BE4480" s="68">
        <v>46082.1666666667</v>
      </c>
      <c r="BF4480" s="0" t="b">
        <v>0</v>
      </c>
      <c r="BG4480" s="0" t="b">
        <v>0</v>
      </c>
      <c r="BH4480" s="0">
        <v>44.25</v>
      </c>
      <c r="BI4480" s="0">
        <v>44.25</v>
      </c>
      <c r="BJ4480" s="0" t="s">
        <v>135</v>
      </c>
    </row>
    <row r="4481">
      <c r="A4481" s="0" t="s">
        <v>4744</v>
      </c>
      <c r="B4481" s="0" t="s">
        <v>652</v>
      </c>
      <c r="C4481" s="0" t="s">
        <v>652</v>
      </c>
      <c r="D4481" s="0" t="s">
        <v>135</v>
      </c>
      <c r="E4481" s="0" t="s">
        <v>3</v>
      </c>
      <c r="F4481" s="0" t="s">
        <v>12</v>
      </c>
      <c r="G4481" s="0" t="s">
        <v>8</v>
      </c>
      <c r="H4481" s="0">
        <v>2</v>
      </c>
      <c r="I4481" s="0">
        <v>0</v>
      </c>
      <c r="J4481" s="0">
        <v>0</v>
      </c>
      <c r="K4481" s="0">
        <v>0</v>
      </c>
      <c r="L4481" s="0">
        <v>0</v>
      </c>
      <c r="M4481" s="0">
        <v>0</v>
      </c>
      <c r="N4481" s="0">
        <v>0</v>
      </c>
      <c r="O4481" s="0">
        <v>0</v>
      </c>
      <c r="P4481" s="0">
        <v>0</v>
      </c>
      <c r="R4481" s="0" t="b">
        <v>0</v>
      </c>
      <c r="S4481" s="0" t="b">
        <v>0</v>
      </c>
      <c r="T4481" s="68">
        <v>46051.5717708333</v>
      </c>
      <c r="U4481" s="68">
        <v>0</v>
      </c>
      <c r="V4481" s="68">
        <v>46071.8802546296</v>
      </c>
      <c r="W4481" s="0">
        <f>IF(IF(B4481="none",1,IF(B4481="Trialer",1,0))+IF(C4481="Customer",1,IF(C4481="Lost",1,0))=2,1,0)</f>
      </c>
      <c r="X4481" s="0" t="s">
        <v>136</v>
      </c>
      <c r="Y4481" s="0" t="s">
        <v>243</v>
      </c>
      <c r="AV4481" s="68"/>
      <c r="AW4481" s="68"/>
      <c r="AY4481" s="27"/>
      <c r="BD4481" s="68">
        <v>46054.1666666667</v>
      </c>
      <c r="BE4481" s="68">
        <v>46082.1666666667</v>
      </c>
      <c r="BF4481" s="0" t="b">
        <v>0</v>
      </c>
      <c r="BG4481" s="0" t="b">
        <v>0</v>
      </c>
      <c r="BH4481" s="0">
        <v>88.5</v>
      </c>
      <c r="BI4481" s="0">
        <v>88.5</v>
      </c>
      <c r="BJ4481" s="0" t="s">
        <v>135</v>
      </c>
    </row>
    <row r="4482">
      <c r="A4482" s="0" t="s">
        <v>4745</v>
      </c>
      <c r="B4482" s="0" t="s">
        <v>652</v>
      </c>
      <c r="C4482" s="0" t="s">
        <v>652</v>
      </c>
      <c r="D4482" s="0" t="s">
        <v>135</v>
      </c>
      <c r="E4482" s="0" t="s">
        <v>3</v>
      </c>
      <c r="F4482" s="0" t="s">
        <v>12</v>
      </c>
      <c r="G4482" s="0" t="s">
        <v>8</v>
      </c>
      <c r="H4482" s="0">
        <v>2</v>
      </c>
      <c r="I4482" s="0">
        <v>0</v>
      </c>
      <c r="J4482" s="0">
        <v>0</v>
      </c>
      <c r="K4482" s="0">
        <v>0</v>
      </c>
      <c r="L4482" s="0">
        <v>0</v>
      </c>
      <c r="M4482" s="0">
        <v>0</v>
      </c>
      <c r="N4482" s="0">
        <v>0</v>
      </c>
      <c r="O4482" s="0">
        <v>0</v>
      </c>
      <c r="P4482" s="0">
        <v>0</v>
      </c>
      <c r="R4482" s="0" t="b">
        <v>0</v>
      </c>
      <c r="S4482" s="0" t="b">
        <v>1</v>
      </c>
      <c r="T4482" s="68">
        <v>46051.5993981482</v>
      </c>
      <c r="U4482" s="68">
        <v>46083.2916666667</v>
      </c>
      <c r="V4482" s="68">
        <v>0</v>
      </c>
      <c r="W4482" s="0">
        <f>IF(IF(B4482="none",1,IF(B4482="Trialer",1,0))+IF(C4482="Customer",1,IF(C4482="Lost",1,0))=2,1,0)</f>
      </c>
      <c r="X4482" s="0" t="s">
        <v>1461</v>
      </c>
      <c r="Y4482" s="0" t="s">
        <v>243</v>
      </c>
      <c r="AV4482" s="68"/>
      <c r="AW4482" s="68"/>
      <c r="AY4482" s="27"/>
      <c r="BD4482" s="68">
        <v>46054.1666666667</v>
      </c>
      <c r="BE4482" s="68">
        <v>46082.1666666667</v>
      </c>
      <c r="BF4482" s="0" t="b">
        <v>0</v>
      </c>
      <c r="BG4482" s="0" t="b">
        <v>0</v>
      </c>
      <c r="BH4482" s="0">
        <v>53.25</v>
      </c>
      <c r="BI4482" s="0">
        <v>53.25</v>
      </c>
      <c r="BJ4482" s="0" t="s">
        <v>135</v>
      </c>
    </row>
    <row r="4483">
      <c r="A4483" s="0" t="s">
        <v>4746</v>
      </c>
      <c r="B4483" s="0" t="s">
        <v>134</v>
      </c>
      <c r="C4483" s="0" t="s">
        <v>134</v>
      </c>
      <c r="D4483" s="0" t="s">
        <v>135</v>
      </c>
      <c r="E4483" s="0" t="s">
        <v>3</v>
      </c>
      <c r="F4483" s="0" t="s">
        <v>12</v>
      </c>
      <c r="G4483" s="0" t="s">
        <v>8</v>
      </c>
      <c r="H4483" s="0">
        <v>2</v>
      </c>
      <c r="I4483" s="0">
        <v>150.75</v>
      </c>
      <c r="J4483" s="0">
        <v>0</v>
      </c>
      <c r="K4483" s="0">
        <v>1</v>
      </c>
      <c r="L4483" s="0">
        <v>4</v>
      </c>
      <c r="M4483" s="0">
        <v>3</v>
      </c>
      <c r="N4483" s="0">
        <v>0</v>
      </c>
      <c r="O4483" s="0">
        <v>0</v>
      </c>
      <c r="P4483" s="0">
        <v>0</v>
      </c>
      <c r="R4483" s="0" t="b">
        <v>0</v>
      </c>
      <c r="S4483" s="0" t="b">
        <v>1</v>
      </c>
      <c r="T4483" s="68">
        <v>46051.6603935185</v>
      </c>
      <c r="U4483" s="68">
        <v>46051.2916666667</v>
      </c>
      <c r="V4483" s="68">
        <v>0</v>
      </c>
      <c r="W4483" s="0">
        <f>IF(IF(B4483="none",1,IF(B4483="Trialer",1,0))+IF(C4483="Customer",1,IF(C4483="Lost",1,0))=2,1,0)</f>
      </c>
      <c r="X4483" s="0" t="s">
        <v>1461</v>
      </c>
      <c r="Y4483" s="0" t="s">
        <v>243</v>
      </c>
      <c r="AV4483" s="68"/>
      <c r="AW4483" s="68"/>
      <c r="AY4483" s="27"/>
      <c r="BD4483" s="68">
        <v>46054.1666666667</v>
      </c>
      <c r="BE4483" s="68">
        <v>46082.1666666667</v>
      </c>
      <c r="BF4483" s="0" t="b">
        <v>0</v>
      </c>
      <c r="BG4483" s="0" t="b">
        <v>0</v>
      </c>
      <c r="BH4483" s="0">
        <v>150.75</v>
      </c>
      <c r="BI4483" s="0">
        <v>150.75</v>
      </c>
      <c r="BJ4483" s="0" t="s">
        <v>135</v>
      </c>
    </row>
    <row r="4484">
      <c r="A4484" s="0" t="s">
        <v>4747</v>
      </c>
      <c r="B4484" s="0" t="s">
        <v>652</v>
      </c>
      <c r="C4484" s="0" t="s">
        <v>652</v>
      </c>
      <c r="D4484" s="0" t="s">
        <v>135</v>
      </c>
      <c r="E4484" s="0" t="s">
        <v>2</v>
      </c>
      <c r="F4484" s="0" t="s">
        <v>12</v>
      </c>
      <c r="G4484" s="0" t="s">
        <v>8</v>
      </c>
      <c r="H4484" s="0">
        <v>2</v>
      </c>
      <c r="I4484" s="0">
        <v>0</v>
      </c>
      <c r="J4484" s="0">
        <v>0</v>
      </c>
      <c r="K4484" s="0">
        <v>0</v>
      </c>
      <c r="L4484" s="0">
        <v>0</v>
      </c>
      <c r="M4484" s="0">
        <v>0</v>
      </c>
      <c r="N4484" s="0">
        <v>0</v>
      </c>
      <c r="O4484" s="0">
        <v>0</v>
      </c>
      <c r="P4484" s="0">
        <v>0</v>
      </c>
      <c r="R4484" s="0" t="b">
        <v>0</v>
      </c>
      <c r="S4484" s="0" t="b">
        <v>0</v>
      </c>
      <c r="T4484" s="68">
        <v>46051.6823726852</v>
      </c>
      <c r="U4484" s="68">
        <v>0</v>
      </c>
      <c r="V4484" s="68">
        <v>46091.1669097222</v>
      </c>
      <c r="W4484" s="0">
        <f>IF(IF(B4484="none",1,IF(B4484="Trialer",1,0))+IF(C4484="Customer",1,IF(C4484="Lost",1,0))=2,1,0)</f>
      </c>
      <c r="X4484" s="0" t="s">
        <v>145</v>
      </c>
      <c r="Y4484" s="0" t="s">
        <v>499</v>
      </c>
      <c r="AV4484" s="68"/>
      <c r="AW4484" s="68"/>
      <c r="AY4484" s="27"/>
      <c r="BD4484" s="68">
        <v>46054.1666666667</v>
      </c>
      <c r="BE4484" s="68">
        <v>46082.1666666667</v>
      </c>
      <c r="BF4484" s="0" t="b">
        <v>0</v>
      </c>
      <c r="BG4484" s="0" t="b">
        <v>0</v>
      </c>
      <c r="BH4484" s="0">
        <v>44.25</v>
      </c>
      <c r="BI4484" s="0">
        <v>44.25</v>
      </c>
      <c r="BJ4484" s="0" t="s">
        <v>135</v>
      </c>
    </row>
    <row r="4485">
      <c r="A4485" s="0" t="s">
        <v>4748</v>
      </c>
      <c r="B4485" s="0" t="s">
        <v>652</v>
      </c>
      <c r="C4485" s="0" t="s">
        <v>652</v>
      </c>
      <c r="D4485" s="0" t="s">
        <v>135</v>
      </c>
      <c r="E4485" s="0" t="s">
        <v>3</v>
      </c>
      <c r="F4485" s="0" t="s">
        <v>12</v>
      </c>
      <c r="G4485" s="0" t="s">
        <v>8</v>
      </c>
      <c r="H4485" s="0">
        <v>2</v>
      </c>
      <c r="I4485" s="0">
        <v>0</v>
      </c>
      <c r="J4485" s="0">
        <v>0</v>
      </c>
      <c r="K4485" s="0">
        <v>0</v>
      </c>
      <c r="L4485" s="0">
        <v>0</v>
      </c>
      <c r="M4485" s="0">
        <v>0</v>
      </c>
      <c r="N4485" s="0">
        <v>0</v>
      </c>
      <c r="O4485" s="0">
        <v>0</v>
      </c>
      <c r="P4485" s="0">
        <v>0</v>
      </c>
      <c r="R4485" s="0" t="b">
        <v>0</v>
      </c>
      <c r="S4485" s="0" t="b">
        <v>0</v>
      </c>
      <c r="T4485" s="68">
        <v>46051.7187847222</v>
      </c>
      <c r="U4485" s="68">
        <v>0</v>
      </c>
      <c r="V4485" s="68">
        <v>46091.1669097222</v>
      </c>
      <c r="W4485" s="0">
        <f>IF(IF(B4485="none",1,IF(B4485="Trialer",1,0))+IF(C4485="Customer",1,IF(C4485="Lost",1,0))=2,1,0)</f>
      </c>
      <c r="X4485" s="0" t="s">
        <v>145</v>
      </c>
      <c r="Y4485" s="0" t="s">
        <v>243</v>
      </c>
      <c r="AV4485" s="68"/>
      <c r="AW4485" s="68"/>
      <c r="AY4485" s="27"/>
      <c r="BD4485" s="68">
        <v>46054.1666666667</v>
      </c>
      <c r="BE4485" s="68">
        <v>46082.1666666667</v>
      </c>
      <c r="BF4485" s="0" t="b">
        <v>0</v>
      </c>
      <c r="BG4485" s="0" t="b">
        <v>0</v>
      </c>
      <c r="BH4485" s="0">
        <v>44.25</v>
      </c>
      <c r="BI4485" s="0">
        <v>44.25</v>
      </c>
      <c r="BJ4485" s="0" t="s">
        <v>135</v>
      </c>
    </row>
    <row r="4486">
      <c r="A4486" s="0" t="s">
        <v>4749</v>
      </c>
      <c r="B4486" s="0" t="s">
        <v>652</v>
      </c>
      <c r="C4486" s="0" t="s">
        <v>652</v>
      </c>
      <c r="D4486" s="0" t="s">
        <v>135</v>
      </c>
      <c r="E4486" s="0" t="s">
        <v>3</v>
      </c>
      <c r="F4486" s="0" t="s">
        <v>12</v>
      </c>
      <c r="G4486" s="0" t="s">
        <v>8</v>
      </c>
      <c r="H4486" s="0">
        <v>2</v>
      </c>
      <c r="I4486" s="0">
        <v>0</v>
      </c>
      <c r="J4486" s="0">
        <v>0</v>
      </c>
      <c r="K4486" s="0">
        <v>0</v>
      </c>
      <c r="L4486" s="0">
        <v>0</v>
      </c>
      <c r="M4486" s="0">
        <v>0</v>
      </c>
      <c r="N4486" s="0">
        <v>0</v>
      </c>
      <c r="O4486" s="0">
        <v>0</v>
      </c>
      <c r="P4486" s="0">
        <v>0</v>
      </c>
      <c r="R4486" s="0" t="b">
        <v>0</v>
      </c>
      <c r="S4486" s="0" t="b">
        <v>0</v>
      </c>
      <c r="T4486" s="68">
        <v>46051.7306597222</v>
      </c>
      <c r="U4486" s="68">
        <v>0</v>
      </c>
      <c r="V4486" s="68">
        <v>46091.1667361111</v>
      </c>
      <c r="W4486" s="0">
        <f>IF(IF(B4486="none",1,IF(B4486="Trialer",1,0))+IF(C4486="Customer",1,IF(C4486="Lost",1,0))=2,1,0)</f>
      </c>
      <c r="X4486" s="0" t="s">
        <v>136</v>
      </c>
      <c r="Y4486" s="0" t="s">
        <v>243</v>
      </c>
      <c r="AV4486" s="68"/>
      <c r="AW4486" s="68"/>
      <c r="AY4486" s="27"/>
      <c r="BD4486" s="68">
        <v>46054.1666666667</v>
      </c>
      <c r="BE4486" s="68">
        <v>46082.1666666667</v>
      </c>
      <c r="BF4486" s="0" t="b">
        <v>0</v>
      </c>
      <c r="BG4486" s="0" t="b">
        <v>0</v>
      </c>
      <c r="BH4486" s="0">
        <v>44.25</v>
      </c>
      <c r="BI4486" s="0">
        <v>44.25</v>
      </c>
      <c r="BJ4486" s="0" t="s">
        <v>135</v>
      </c>
    </row>
    <row r="4487">
      <c r="A4487" s="0" t="s">
        <v>4750</v>
      </c>
      <c r="B4487" s="0" t="s">
        <v>652</v>
      </c>
      <c r="C4487" s="0" t="s">
        <v>190</v>
      </c>
      <c r="D4487" s="0" t="s">
        <v>135</v>
      </c>
      <c r="E4487" s="0" t="s">
        <v>3</v>
      </c>
      <c r="F4487" s="0" t="s">
        <v>12</v>
      </c>
      <c r="G4487" s="0" t="s">
        <v>8</v>
      </c>
      <c r="H4487" s="0">
        <v>2</v>
      </c>
      <c r="I4487" s="0">
        <v>44.25</v>
      </c>
      <c r="J4487" s="0">
        <v>0</v>
      </c>
      <c r="K4487" s="0">
        <v>1</v>
      </c>
      <c r="L4487" s="0">
        <v>3</v>
      </c>
      <c r="M4487" s="0">
        <v>1</v>
      </c>
      <c r="N4487" s="0">
        <v>0</v>
      </c>
      <c r="O4487" s="0">
        <v>0</v>
      </c>
      <c r="P4487" s="0">
        <v>0</v>
      </c>
      <c r="R4487" s="0" t="b">
        <v>0</v>
      </c>
      <c r="S4487" s="0" t="b">
        <v>0</v>
      </c>
      <c r="T4487" s="68">
        <v>46051.7633564815</v>
      </c>
      <c r="U4487" s="68">
        <v>46065.2916666667</v>
      </c>
      <c r="V4487" s="68">
        <v>46078.7122337963</v>
      </c>
      <c r="W4487" s="0">
        <f>IF(IF(B4487="none",1,IF(B4487="Trialer",1,0))+IF(C4487="Customer",1,IF(C4487="Lost",1,0))=2,1,0)</f>
      </c>
      <c r="X4487" s="0" t="s">
        <v>136</v>
      </c>
      <c r="Y4487" s="0" t="s">
        <v>243</v>
      </c>
      <c r="AV4487" s="68"/>
      <c r="AW4487" s="68"/>
      <c r="AY4487" s="27"/>
      <c r="BD4487" s="68">
        <v>46054.1666666667</v>
      </c>
      <c r="BE4487" s="68">
        <v>46082.1666666667</v>
      </c>
      <c r="BF4487" s="0" t="b">
        <v>0</v>
      </c>
      <c r="BG4487" s="0" t="b">
        <v>0</v>
      </c>
      <c r="BH4487" s="0">
        <v>44.25</v>
      </c>
      <c r="BI4487" s="0">
        <v>44.25</v>
      </c>
      <c r="BJ4487" s="0" t="s">
        <v>135</v>
      </c>
    </row>
    <row r="4488">
      <c r="A4488" s="0" t="s">
        <v>4751</v>
      </c>
      <c r="B4488" s="0" t="s">
        <v>652</v>
      </c>
      <c r="C4488" s="0" t="s">
        <v>652</v>
      </c>
      <c r="D4488" s="0" t="s">
        <v>135</v>
      </c>
      <c r="E4488" s="0" t="s">
        <v>1515</v>
      </c>
      <c r="F4488" s="0" t="s">
        <v>12</v>
      </c>
      <c r="G4488" s="0" t="s">
        <v>8</v>
      </c>
      <c r="H4488" s="0">
        <v>2</v>
      </c>
      <c r="I4488" s="0">
        <v>0</v>
      </c>
      <c r="J4488" s="0">
        <v>0</v>
      </c>
      <c r="K4488" s="0">
        <v>0</v>
      </c>
      <c r="L4488" s="0">
        <v>0</v>
      </c>
      <c r="M4488" s="0">
        <v>0</v>
      </c>
      <c r="N4488" s="0">
        <v>0</v>
      </c>
      <c r="O4488" s="0">
        <v>0</v>
      </c>
      <c r="P4488" s="0">
        <v>0</v>
      </c>
      <c r="R4488" s="0" t="b">
        <v>0</v>
      </c>
      <c r="S4488" s="0" t="b">
        <v>0</v>
      </c>
      <c r="T4488" s="68">
        <v>46051.7714583333</v>
      </c>
      <c r="U4488" s="68">
        <v>0</v>
      </c>
      <c r="V4488" s="68">
        <v>46091.1669328704</v>
      </c>
      <c r="W4488" s="0">
        <f>IF(IF(B4488="none",1,IF(B4488="Trialer",1,0))+IF(C4488="Customer",1,IF(C4488="Lost",1,0))=2,1,0)</f>
      </c>
      <c r="X4488" s="0" t="s">
        <v>145</v>
      </c>
      <c r="Y4488" s="0" t="s">
        <v>1516</v>
      </c>
      <c r="AV4488" s="68"/>
      <c r="AW4488" s="68"/>
      <c r="AY4488" s="27"/>
      <c r="BD4488" s="68">
        <v>46054.1666666667</v>
      </c>
      <c r="BE4488" s="68">
        <v>46082.1666666667</v>
      </c>
      <c r="BF4488" s="0" t="b">
        <v>0</v>
      </c>
      <c r="BG4488" s="0" t="b">
        <v>0</v>
      </c>
      <c r="BH4488" s="0">
        <v>44.25</v>
      </c>
      <c r="BI4488" s="0">
        <v>44.25</v>
      </c>
      <c r="BJ4488" s="0" t="s">
        <v>135</v>
      </c>
    </row>
    <row r="4489">
      <c r="A4489" s="0" t="s">
        <v>4752</v>
      </c>
      <c r="B4489" s="0" t="s">
        <v>652</v>
      </c>
      <c r="C4489" s="0" t="s">
        <v>652</v>
      </c>
      <c r="D4489" s="0" t="s">
        <v>135</v>
      </c>
      <c r="E4489" s="0" t="s">
        <v>3</v>
      </c>
      <c r="F4489" s="0" t="s">
        <v>12</v>
      </c>
      <c r="G4489" s="0" t="s">
        <v>8</v>
      </c>
      <c r="H4489" s="0">
        <v>2</v>
      </c>
      <c r="I4489" s="0">
        <v>0</v>
      </c>
      <c r="J4489" s="0">
        <v>0</v>
      </c>
      <c r="K4489" s="0">
        <v>0</v>
      </c>
      <c r="L4489" s="0">
        <v>0</v>
      </c>
      <c r="M4489" s="0">
        <v>0</v>
      </c>
      <c r="N4489" s="0">
        <v>0</v>
      </c>
      <c r="O4489" s="0">
        <v>0</v>
      </c>
      <c r="P4489" s="0">
        <v>0</v>
      </c>
      <c r="R4489" s="0" t="b">
        <v>0</v>
      </c>
      <c r="S4489" s="0" t="b">
        <v>0</v>
      </c>
      <c r="T4489" s="68">
        <v>46051.7947106482</v>
      </c>
      <c r="U4489" s="68">
        <v>0</v>
      </c>
      <c r="V4489" s="68">
        <v>46090.565474537</v>
      </c>
      <c r="W4489" s="0">
        <f>IF(IF(B4489="none",1,IF(B4489="Trialer",1,0))+IF(C4489="Customer",1,IF(C4489="Lost",1,0))=2,1,0)</f>
      </c>
      <c r="X4489" s="0" t="s">
        <v>136</v>
      </c>
      <c r="Y4489" s="0" t="s">
        <v>243</v>
      </c>
      <c r="AV4489" s="68"/>
      <c r="AW4489" s="68"/>
      <c r="AY4489" s="27"/>
      <c r="BD4489" s="68">
        <v>46054.1666666667</v>
      </c>
      <c r="BE4489" s="68">
        <v>46082.1666666667</v>
      </c>
      <c r="BF4489" s="0" t="b">
        <v>0</v>
      </c>
      <c r="BG4489" s="0" t="b">
        <v>0</v>
      </c>
      <c r="BH4489" s="0">
        <v>44.25</v>
      </c>
      <c r="BI4489" s="0">
        <v>44.25</v>
      </c>
      <c r="BJ4489" s="0" t="s">
        <v>135</v>
      </c>
    </row>
    <row r="4490">
      <c r="A4490" s="0" t="s">
        <v>4753</v>
      </c>
      <c r="B4490" s="0" t="s">
        <v>652</v>
      </c>
      <c r="C4490" s="0" t="s">
        <v>134</v>
      </c>
      <c r="D4490" s="0" t="s">
        <v>135</v>
      </c>
      <c r="E4490" s="0" t="s">
        <v>3</v>
      </c>
      <c r="F4490" s="0" t="s">
        <v>12</v>
      </c>
      <c r="G4490" s="0" t="s">
        <v>8</v>
      </c>
      <c r="H4490" s="0">
        <v>2</v>
      </c>
      <c r="I4490" s="0">
        <v>70.5</v>
      </c>
      <c r="J4490" s="0">
        <v>0</v>
      </c>
      <c r="K4490" s="0">
        <v>1</v>
      </c>
      <c r="L4490" s="0">
        <v>3</v>
      </c>
      <c r="M4490" s="0">
        <v>2</v>
      </c>
      <c r="N4490" s="0">
        <v>0</v>
      </c>
      <c r="O4490" s="0">
        <v>0</v>
      </c>
      <c r="P4490" s="0">
        <v>0</v>
      </c>
      <c r="R4490" s="0" t="b">
        <v>0</v>
      </c>
      <c r="S4490" s="0" t="b">
        <v>1</v>
      </c>
      <c r="T4490" s="68">
        <v>46051.8691435185</v>
      </c>
      <c r="U4490" s="68">
        <v>46065.2916666667</v>
      </c>
      <c r="V4490" s="68">
        <v>0</v>
      </c>
      <c r="W4490" s="0">
        <f>IF(IF(B4490="none",1,IF(B4490="Trialer",1,0))+IF(C4490="Customer",1,IF(C4490="Lost",1,0))=2,1,0)</f>
      </c>
      <c r="X4490" s="0" t="s">
        <v>1461</v>
      </c>
      <c r="Y4490" s="0" t="s">
        <v>243</v>
      </c>
      <c r="AV4490" s="68"/>
      <c r="AW4490" s="68"/>
      <c r="AY4490" s="27"/>
      <c r="BD4490" s="68">
        <v>46054.1666666667</v>
      </c>
      <c r="BE4490" s="68">
        <v>46082.1666666667</v>
      </c>
      <c r="BF4490" s="0" t="b">
        <v>0</v>
      </c>
      <c r="BG4490" s="0" t="b">
        <v>0</v>
      </c>
      <c r="BH4490" s="0">
        <v>114.75</v>
      </c>
      <c r="BI4490" s="0">
        <v>114.75</v>
      </c>
      <c r="BJ4490" s="0" t="s">
        <v>135</v>
      </c>
    </row>
    <row r="4491">
      <c r="A4491" s="0" t="s">
        <v>4754</v>
      </c>
      <c r="B4491" s="0" t="s">
        <v>652</v>
      </c>
      <c r="C4491" s="0" t="s">
        <v>134</v>
      </c>
      <c r="D4491" s="0" t="s">
        <v>135</v>
      </c>
      <c r="E4491" s="0" t="s">
        <v>3</v>
      </c>
      <c r="F4491" s="0" t="s">
        <v>12</v>
      </c>
      <c r="G4491" s="0" t="s">
        <v>8</v>
      </c>
      <c r="H4491" s="0">
        <v>2</v>
      </c>
      <c r="I4491" s="0">
        <v>63.75</v>
      </c>
      <c r="J4491" s="0">
        <v>0</v>
      </c>
      <c r="K4491" s="0">
        <v>1</v>
      </c>
      <c r="L4491" s="0">
        <v>5</v>
      </c>
      <c r="M4491" s="0">
        <v>1</v>
      </c>
      <c r="N4491" s="0">
        <v>0</v>
      </c>
      <c r="O4491" s="0">
        <v>0</v>
      </c>
      <c r="P4491" s="0">
        <v>0</v>
      </c>
      <c r="R4491" s="0" t="b">
        <v>0</v>
      </c>
      <c r="S4491" s="0" t="b">
        <v>1</v>
      </c>
      <c r="T4491" s="68">
        <v>46051.9216550926</v>
      </c>
      <c r="U4491" s="68">
        <v>46071.2916666667</v>
      </c>
      <c r="V4491" s="68">
        <v>0</v>
      </c>
      <c r="W4491" s="0">
        <f>IF(IF(B4491="none",1,IF(B4491="Trialer",1,0))+IF(C4491="Customer",1,IF(C4491="Lost",1,0))=2,1,0)</f>
      </c>
      <c r="X4491" s="0" t="s">
        <v>1461</v>
      </c>
      <c r="Y4491" s="0" t="s">
        <v>243</v>
      </c>
      <c r="AV4491" s="68"/>
      <c r="AW4491" s="68"/>
      <c r="AY4491" s="27"/>
      <c r="BD4491" s="68">
        <v>46054.1666666667</v>
      </c>
      <c r="BE4491" s="68">
        <v>46082.1666666667</v>
      </c>
      <c r="BF4491" s="0" t="b">
        <v>0</v>
      </c>
      <c r="BG4491" s="0" t="b">
        <v>0</v>
      </c>
      <c r="BH4491" s="0">
        <v>63.75</v>
      </c>
      <c r="BI4491" s="0">
        <v>63.75</v>
      </c>
      <c r="BJ4491" s="0" t="s">
        <v>135</v>
      </c>
    </row>
    <row r="4492">
      <c r="A4492" s="0" t="s">
        <v>4755</v>
      </c>
      <c r="B4492" s="0" t="s">
        <v>652</v>
      </c>
      <c r="C4492" s="0" t="s">
        <v>652</v>
      </c>
      <c r="D4492" s="0" t="s">
        <v>135</v>
      </c>
      <c r="E4492" s="0" t="s">
        <v>1515</v>
      </c>
      <c r="F4492" s="0" t="s">
        <v>12</v>
      </c>
      <c r="G4492" s="0" t="s">
        <v>8</v>
      </c>
      <c r="H4492" s="0">
        <v>2</v>
      </c>
      <c r="I4492" s="0">
        <v>0</v>
      </c>
      <c r="J4492" s="0">
        <v>0</v>
      </c>
      <c r="K4492" s="0">
        <v>0</v>
      </c>
      <c r="L4492" s="0">
        <v>0</v>
      </c>
      <c r="M4492" s="0">
        <v>0</v>
      </c>
      <c r="N4492" s="0">
        <v>0</v>
      </c>
      <c r="O4492" s="0">
        <v>0</v>
      </c>
      <c r="P4492" s="0">
        <v>0</v>
      </c>
      <c r="R4492" s="0" t="b">
        <v>0</v>
      </c>
      <c r="S4492" s="0" t="b">
        <v>0</v>
      </c>
      <c r="T4492" s="68">
        <v>46051.9318634259</v>
      </c>
      <c r="U4492" s="68">
        <v>0</v>
      </c>
      <c r="V4492" s="68">
        <v>46091.1668865741</v>
      </c>
      <c r="W4492" s="0">
        <f>IF(IF(B4492="none",1,IF(B4492="Trialer",1,0))+IF(C4492="Customer",1,IF(C4492="Lost",1,0))=2,1,0)</f>
      </c>
      <c r="X4492" s="0" t="s">
        <v>136</v>
      </c>
      <c r="Y4492" s="0" t="s">
        <v>1516</v>
      </c>
      <c r="AV4492" s="68"/>
      <c r="AW4492" s="68"/>
      <c r="AY4492" s="27"/>
      <c r="BD4492" s="68">
        <v>46054.1666666667</v>
      </c>
      <c r="BE4492" s="68">
        <v>46082.1666666667</v>
      </c>
      <c r="BF4492" s="0" t="b">
        <v>0</v>
      </c>
      <c r="BG4492" s="0" t="b">
        <v>0</v>
      </c>
      <c r="BH4492" s="0">
        <v>44.25</v>
      </c>
      <c r="BI4492" s="0">
        <v>44.25</v>
      </c>
      <c r="BJ4492" s="0" t="s">
        <v>135</v>
      </c>
    </row>
    <row r="4493">
      <c r="A4493" s="0" t="s">
        <v>4756</v>
      </c>
      <c r="B4493" s="0" t="s">
        <v>652</v>
      </c>
      <c r="C4493" s="0" t="s">
        <v>652</v>
      </c>
      <c r="D4493" s="0" t="s">
        <v>135</v>
      </c>
      <c r="E4493" s="0" t="s">
        <v>1515</v>
      </c>
      <c r="F4493" s="0" t="s">
        <v>12</v>
      </c>
      <c r="G4493" s="0" t="s">
        <v>8</v>
      </c>
      <c r="H4493" s="0">
        <v>2</v>
      </c>
      <c r="I4493" s="0">
        <v>0</v>
      </c>
      <c r="J4493" s="0">
        <v>0</v>
      </c>
      <c r="K4493" s="0">
        <v>0</v>
      </c>
      <c r="L4493" s="0">
        <v>0</v>
      </c>
      <c r="M4493" s="0">
        <v>0</v>
      </c>
      <c r="N4493" s="0">
        <v>0</v>
      </c>
      <c r="O4493" s="0">
        <v>0</v>
      </c>
      <c r="P4493" s="0">
        <v>0</v>
      </c>
      <c r="R4493" s="0" t="b">
        <v>0</v>
      </c>
      <c r="S4493" s="0" t="b">
        <v>0</v>
      </c>
      <c r="T4493" s="68">
        <v>46051.9398842593</v>
      </c>
      <c r="U4493" s="68">
        <v>0</v>
      </c>
      <c r="V4493" s="68">
        <v>46091.1668518518</v>
      </c>
      <c r="W4493" s="0">
        <f>IF(IF(B4493="none",1,IF(B4493="Trialer",1,0))+IF(C4493="Customer",1,IF(C4493="Lost",1,0))=2,1,0)</f>
      </c>
      <c r="X4493" s="0" t="s">
        <v>148</v>
      </c>
      <c r="Y4493" s="0" t="s">
        <v>1516</v>
      </c>
      <c r="AV4493" s="68"/>
      <c r="AW4493" s="68"/>
      <c r="AY4493" s="27"/>
      <c r="BD4493" s="68">
        <v>46054.1666666667</v>
      </c>
      <c r="BE4493" s="68">
        <v>46082.1666666667</v>
      </c>
      <c r="BF4493" s="0" t="b">
        <v>0</v>
      </c>
      <c r="BG4493" s="0" t="b">
        <v>0</v>
      </c>
      <c r="BH4493" s="0">
        <v>44.25</v>
      </c>
      <c r="BI4493" s="0">
        <v>44.25</v>
      </c>
      <c r="BJ4493" s="0" t="s">
        <v>135</v>
      </c>
    </row>
    <row r="4494">
      <c r="A4494" s="0" t="s">
        <v>4757</v>
      </c>
      <c r="B4494" s="0" t="s">
        <v>652</v>
      </c>
      <c r="C4494" s="0" t="s">
        <v>652</v>
      </c>
      <c r="D4494" s="0" t="s">
        <v>135</v>
      </c>
      <c r="E4494" s="0" t="s">
        <v>4</v>
      </c>
      <c r="F4494" s="0" t="s">
        <v>12</v>
      </c>
      <c r="G4494" s="0" t="s">
        <v>8</v>
      </c>
      <c r="H4494" s="0">
        <v>1</v>
      </c>
      <c r="I4494" s="0">
        <v>0</v>
      </c>
      <c r="J4494" s="0">
        <v>0</v>
      </c>
      <c r="K4494" s="0">
        <v>0</v>
      </c>
      <c r="L4494" s="0">
        <v>0</v>
      </c>
      <c r="M4494" s="0">
        <v>0</v>
      </c>
      <c r="N4494" s="0">
        <v>0</v>
      </c>
      <c r="O4494" s="0">
        <v>0</v>
      </c>
      <c r="P4494" s="0">
        <v>0</v>
      </c>
      <c r="R4494" s="0" t="b">
        <v>0</v>
      </c>
      <c r="S4494" s="0" t="b">
        <v>0</v>
      </c>
      <c r="T4494" s="68">
        <v>46051.9897106482</v>
      </c>
      <c r="U4494" s="68">
        <v>0</v>
      </c>
      <c r="V4494" s="68">
        <v>46091.1668865741</v>
      </c>
      <c r="W4494" s="0">
        <f>IF(IF(B4494="none",1,IF(B4494="Trialer",1,0))+IF(C4494="Customer",1,IF(C4494="Lost",1,0))=2,1,0)</f>
      </c>
      <c r="X4494" s="0" t="s">
        <v>148</v>
      </c>
      <c r="Y4494" s="0" t="s">
        <v>1772</v>
      </c>
      <c r="AV4494" s="68"/>
      <c r="AW4494" s="68"/>
      <c r="AY4494" s="27"/>
      <c r="BD4494" s="68">
        <v>46054.1666666667</v>
      </c>
      <c r="BE4494" s="68">
        <v>46082.1666666667</v>
      </c>
      <c r="BF4494" s="0" t="b">
        <v>0</v>
      </c>
      <c r="BG4494" s="0" t="b">
        <v>0</v>
      </c>
      <c r="BH4494" s="0">
        <v>62.25</v>
      </c>
      <c r="BI4494" s="0">
        <v>62.25</v>
      </c>
      <c r="BJ4494" s="0" t="s">
        <v>135</v>
      </c>
    </row>
    <row r="4495">
      <c r="A4495" s="0" t="s">
        <v>4758</v>
      </c>
      <c r="B4495" s="0" t="s">
        <v>652</v>
      </c>
      <c r="C4495" s="0" t="s">
        <v>190</v>
      </c>
      <c r="D4495" s="0" t="s">
        <v>135</v>
      </c>
      <c r="E4495" s="0" t="s">
        <v>3</v>
      </c>
      <c r="F4495" s="0" t="s">
        <v>12</v>
      </c>
      <c r="G4495" s="0" t="s">
        <v>8</v>
      </c>
      <c r="H4495" s="0">
        <v>1</v>
      </c>
      <c r="I4495" s="0">
        <v>72.75</v>
      </c>
      <c r="J4495" s="0">
        <v>0</v>
      </c>
      <c r="K4495" s="0">
        <v>1</v>
      </c>
      <c r="L4495" s="0">
        <v>6</v>
      </c>
      <c r="M4495" s="0">
        <v>1</v>
      </c>
      <c r="N4495" s="0">
        <v>0</v>
      </c>
      <c r="O4495" s="0">
        <v>0</v>
      </c>
      <c r="P4495" s="0">
        <v>0</v>
      </c>
      <c r="R4495" s="0" t="b">
        <v>0</v>
      </c>
      <c r="S4495" s="0" t="b">
        <v>0</v>
      </c>
      <c r="T4495" s="68">
        <v>46052.0316087963</v>
      </c>
      <c r="U4495" s="68">
        <v>46066.2916666667</v>
      </c>
      <c r="V4495" s="68">
        <v>46078.985150463</v>
      </c>
      <c r="W4495" s="0">
        <f>IF(IF(B4495="none",1,IF(B4495="Trialer",1,0))+IF(C4495="Customer",1,IF(C4495="Lost",1,0))=2,1,0)</f>
      </c>
      <c r="X4495" s="0" t="s">
        <v>136</v>
      </c>
      <c r="Y4495" s="0" t="s">
        <v>1792</v>
      </c>
      <c r="AV4495" s="68"/>
      <c r="AW4495" s="68"/>
      <c r="AY4495" s="27"/>
      <c r="BD4495" s="68">
        <v>46054.1666666667</v>
      </c>
      <c r="BE4495" s="68">
        <v>46082.1666666667</v>
      </c>
      <c r="BF4495" s="0" t="b">
        <v>0</v>
      </c>
      <c r="BG4495" s="0" t="b">
        <v>0</v>
      </c>
      <c r="BH4495" s="0">
        <v>72.75</v>
      </c>
      <c r="BI4495" s="0">
        <v>72.75</v>
      </c>
      <c r="BJ4495" s="0" t="s">
        <v>135</v>
      </c>
    </row>
    <row r="4496">
      <c r="A4496" s="0" t="s">
        <v>4759</v>
      </c>
      <c r="B4496" s="0" t="s">
        <v>652</v>
      </c>
      <c r="C4496" s="0" t="s">
        <v>652</v>
      </c>
      <c r="D4496" s="0" t="s">
        <v>135</v>
      </c>
      <c r="E4496" s="0" t="s">
        <v>1515</v>
      </c>
      <c r="F4496" s="0" t="s">
        <v>12</v>
      </c>
      <c r="G4496" s="0" t="s">
        <v>8</v>
      </c>
      <c r="H4496" s="0">
        <v>1</v>
      </c>
      <c r="I4496" s="0">
        <v>0</v>
      </c>
      <c r="J4496" s="0">
        <v>0</v>
      </c>
      <c r="K4496" s="0">
        <v>0</v>
      </c>
      <c r="L4496" s="0">
        <v>0</v>
      </c>
      <c r="M4496" s="0">
        <v>0</v>
      </c>
      <c r="N4496" s="0">
        <v>0</v>
      </c>
      <c r="O4496" s="0">
        <v>0</v>
      </c>
      <c r="P4496" s="0">
        <v>0</v>
      </c>
      <c r="R4496" s="0" t="b">
        <v>0</v>
      </c>
      <c r="S4496" s="0" t="b">
        <v>0</v>
      </c>
      <c r="T4496" s="68">
        <v>46052.0781712963</v>
      </c>
      <c r="U4496" s="68">
        <v>0</v>
      </c>
      <c r="V4496" s="68">
        <v>46091.1669444444</v>
      </c>
      <c r="W4496" s="0">
        <f>IF(IF(B4496="none",1,IF(B4496="Trialer",1,0))+IF(C4496="Customer",1,IF(C4496="Lost",1,0))=2,1,0)</f>
      </c>
      <c r="X4496" s="0" t="s">
        <v>148</v>
      </c>
      <c r="Y4496" s="0" t="s">
        <v>1516</v>
      </c>
      <c r="AV4496" s="68"/>
      <c r="AW4496" s="68"/>
      <c r="AY4496" s="27"/>
      <c r="BD4496" s="68">
        <v>46054.1666666667</v>
      </c>
      <c r="BE4496" s="68">
        <v>46082.1666666667</v>
      </c>
      <c r="BF4496" s="0" t="b">
        <v>0</v>
      </c>
      <c r="BG4496" s="0" t="b">
        <v>0</v>
      </c>
      <c r="BH4496" s="0">
        <v>44.25</v>
      </c>
      <c r="BI4496" s="0">
        <v>44.25</v>
      </c>
      <c r="BJ4496" s="0" t="s">
        <v>135</v>
      </c>
    </row>
    <row r="4497">
      <c r="A4497" s="0" t="s">
        <v>4760</v>
      </c>
      <c r="B4497" s="0" t="s">
        <v>652</v>
      </c>
      <c r="C4497" s="0" t="s">
        <v>652</v>
      </c>
      <c r="D4497" s="0" t="s">
        <v>135</v>
      </c>
      <c r="E4497" s="0" t="s">
        <v>3</v>
      </c>
      <c r="F4497" s="0" t="s">
        <v>12</v>
      </c>
      <c r="G4497" s="0" t="s">
        <v>8</v>
      </c>
      <c r="H4497" s="0">
        <v>1</v>
      </c>
      <c r="I4497" s="0">
        <v>0</v>
      </c>
      <c r="J4497" s="0">
        <v>0</v>
      </c>
      <c r="K4497" s="0">
        <v>0</v>
      </c>
      <c r="L4497" s="0">
        <v>0</v>
      </c>
      <c r="M4497" s="0">
        <v>0</v>
      </c>
      <c r="N4497" s="0">
        <v>0</v>
      </c>
      <c r="O4497" s="0">
        <v>0</v>
      </c>
      <c r="P4497" s="0">
        <v>0</v>
      </c>
      <c r="R4497" s="0" t="b">
        <v>0</v>
      </c>
      <c r="S4497" s="0" t="b">
        <v>0</v>
      </c>
      <c r="T4497" s="68">
        <v>46052.0947800926</v>
      </c>
      <c r="U4497" s="68">
        <v>0</v>
      </c>
      <c r="V4497" s="68">
        <v>46091.1667592593</v>
      </c>
      <c r="W4497" s="0">
        <f>IF(IF(B4497="none",1,IF(B4497="Trialer",1,0))+IF(C4497="Customer",1,IF(C4497="Lost",1,0))=2,1,0)</f>
      </c>
      <c r="X4497" s="0" t="s">
        <v>148</v>
      </c>
      <c r="Y4497" s="0" t="s">
        <v>243</v>
      </c>
      <c r="AV4497" s="68"/>
      <c r="AW4497" s="68"/>
      <c r="AY4497" s="27"/>
      <c r="BD4497" s="68">
        <v>46054.1666666667</v>
      </c>
      <c r="BE4497" s="68">
        <v>46082.1666666667</v>
      </c>
      <c r="BF4497" s="0" t="b">
        <v>0</v>
      </c>
      <c r="BG4497" s="0" t="b">
        <v>0</v>
      </c>
      <c r="BH4497" s="0">
        <v>54.75</v>
      </c>
      <c r="BI4497" s="0">
        <v>54.75</v>
      </c>
      <c r="BJ4497" s="0" t="s">
        <v>135</v>
      </c>
    </row>
    <row r="4498">
      <c r="A4498" s="0" t="s">
        <v>4761</v>
      </c>
      <c r="B4498" s="0" t="s">
        <v>652</v>
      </c>
      <c r="C4498" s="0" t="s">
        <v>652</v>
      </c>
      <c r="D4498" s="0" t="s">
        <v>135</v>
      </c>
      <c r="E4498" s="0" t="s">
        <v>3</v>
      </c>
      <c r="F4498" s="0" t="s">
        <v>12</v>
      </c>
      <c r="G4498" s="0" t="s">
        <v>8</v>
      </c>
      <c r="H4498" s="0">
        <v>1</v>
      </c>
      <c r="I4498" s="0">
        <v>0</v>
      </c>
      <c r="J4498" s="0">
        <v>0</v>
      </c>
      <c r="K4498" s="0">
        <v>0</v>
      </c>
      <c r="L4498" s="0">
        <v>0</v>
      </c>
      <c r="M4498" s="0">
        <v>0</v>
      </c>
      <c r="N4498" s="0">
        <v>0</v>
      </c>
      <c r="O4498" s="0">
        <v>0</v>
      </c>
      <c r="P4498" s="0">
        <v>0</v>
      </c>
      <c r="R4498" s="0" t="b">
        <v>0</v>
      </c>
      <c r="S4498" s="0" t="b">
        <v>0</v>
      </c>
      <c r="T4498" s="68">
        <v>46052.1405555556</v>
      </c>
      <c r="U4498" s="68">
        <v>0</v>
      </c>
      <c r="V4498" s="68">
        <v>46092.166712963</v>
      </c>
      <c r="W4498" s="0">
        <f>IF(IF(B4498="none",1,IF(B4498="Trialer",1,0))+IF(C4498="Customer",1,IF(C4498="Lost",1,0))=2,1,0)</f>
      </c>
      <c r="X4498" s="0" t="s">
        <v>136</v>
      </c>
      <c r="Y4498" s="0" t="s">
        <v>243</v>
      </c>
      <c r="AV4498" s="68"/>
      <c r="AW4498" s="68"/>
      <c r="AY4498" s="27"/>
      <c r="BD4498" s="68">
        <v>46054.1666666667</v>
      </c>
      <c r="BE4498" s="68">
        <v>46082.1666666667</v>
      </c>
      <c r="BF4498" s="0" t="b">
        <v>0</v>
      </c>
      <c r="BG4498" s="0" t="b">
        <v>0</v>
      </c>
      <c r="BH4498" s="0">
        <v>53.25</v>
      </c>
      <c r="BI4498" s="0">
        <v>53.25</v>
      </c>
      <c r="BJ4498" s="0" t="s">
        <v>135</v>
      </c>
    </row>
    <row r="4499">
      <c r="A4499" s="0" t="s">
        <v>4762</v>
      </c>
      <c r="B4499" s="0" t="s">
        <v>652</v>
      </c>
      <c r="C4499" s="0" t="s">
        <v>134</v>
      </c>
      <c r="D4499" s="0" t="s">
        <v>135</v>
      </c>
      <c r="E4499" s="0" t="s">
        <v>3</v>
      </c>
      <c r="F4499" s="0" t="s">
        <v>10</v>
      </c>
      <c r="G4499" s="0" t="s">
        <v>8</v>
      </c>
      <c r="H4499" s="0">
        <v>1</v>
      </c>
      <c r="I4499" s="0">
        <v>256</v>
      </c>
      <c r="J4499" s="0">
        <v>0</v>
      </c>
      <c r="K4499" s="0">
        <v>1</v>
      </c>
      <c r="L4499" s="0">
        <v>3</v>
      </c>
      <c r="M4499" s="0">
        <v>6</v>
      </c>
      <c r="N4499" s="0">
        <v>0</v>
      </c>
      <c r="O4499" s="0">
        <v>0</v>
      </c>
      <c r="P4499" s="0">
        <v>0</v>
      </c>
      <c r="Q4499" s="0" t="s">
        <v>618</v>
      </c>
      <c r="R4499" s="0" t="b">
        <v>0</v>
      </c>
      <c r="S4499" s="0" t="b">
        <v>1</v>
      </c>
      <c r="T4499" s="68">
        <v>46052.2355092593</v>
      </c>
      <c r="U4499" s="68">
        <v>46066.2916666667</v>
      </c>
      <c r="V4499" s="68">
        <v>0</v>
      </c>
      <c r="W4499" s="0">
        <f>IF(IF(B4499="none",1,IF(B4499="Trialer",1,0))+IF(C4499="Customer",1,IF(C4499="Lost",1,0))=2,1,0)</f>
      </c>
      <c r="X4499" s="0" t="s">
        <v>148</v>
      </c>
      <c r="Y4499" s="0" t="s">
        <v>243</v>
      </c>
      <c r="AV4499" s="68"/>
      <c r="AW4499" s="68"/>
      <c r="AY4499" s="27"/>
      <c r="BD4499" s="68">
        <v>46054.1666666667</v>
      </c>
      <c r="BE4499" s="68">
        <v>46082.1666666667</v>
      </c>
      <c r="BF4499" s="0" t="b">
        <v>0</v>
      </c>
      <c r="BG4499" s="0" t="b">
        <v>0</v>
      </c>
      <c r="BH4499" s="0">
        <v>256</v>
      </c>
      <c r="BI4499" s="0">
        <v>256</v>
      </c>
      <c r="BJ4499" s="0" t="s">
        <v>135</v>
      </c>
    </row>
    <row r="4500">
      <c r="A4500" s="0" t="s">
        <v>4763</v>
      </c>
      <c r="B4500" s="0" t="s">
        <v>652</v>
      </c>
      <c r="C4500" s="0" t="s">
        <v>652</v>
      </c>
      <c r="D4500" s="0" t="s">
        <v>135</v>
      </c>
      <c r="E4500" s="0" t="s">
        <v>1515</v>
      </c>
      <c r="F4500" s="0" t="s">
        <v>12</v>
      </c>
      <c r="G4500" s="0" t="s">
        <v>8</v>
      </c>
      <c r="H4500" s="0">
        <v>1</v>
      </c>
      <c r="I4500" s="0">
        <v>0</v>
      </c>
      <c r="J4500" s="0">
        <v>0</v>
      </c>
      <c r="K4500" s="0">
        <v>0</v>
      </c>
      <c r="L4500" s="0">
        <v>0</v>
      </c>
      <c r="M4500" s="0">
        <v>0</v>
      </c>
      <c r="N4500" s="0">
        <v>0</v>
      </c>
      <c r="O4500" s="0">
        <v>0</v>
      </c>
      <c r="P4500" s="0">
        <v>0</v>
      </c>
      <c r="R4500" s="0" t="b">
        <v>0</v>
      </c>
      <c r="S4500" s="0" t="b">
        <v>0</v>
      </c>
      <c r="T4500" s="68">
        <v>46052.2683680556</v>
      </c>
      <c r="U4500" s="68">
        <v>0</v>
      </c>
      <c r="V4500" s="68">
        <v>46092.1668287037</v>
      </c>
      <c r="W4500" s="0">
        <f>IF(IF(B4500="none",1,IF(B4500="Trialer",1,0))+IF(C4500="Customer",1,IF(C4500="Lost",1,0))=2,1,0)</f>
      </c>
      <c r="X4500" s="0" t="s">
        <v>148</v>
      </c>
      <c r="Y4500" s="0" t="s">
        <v>1516</v>
      </c>
      <c r="AV4500" s="68"/>
      <c r="AW4500" s="68"/>
      <c r="AY4500" s="27"/>
      <c r="BD4500" s="68">
        <v>46054.1666666667</v>
      </c>
      <c r="BE4500" s="68">
        <v>46082.1666666667</v>
      </c>
      <c r="BF4500" s="0" t="b">
        <v>0</v>
      </c>
      <c r="BG4500" s="0" t="b">
        <v>0</v>
      </c>
      <c r="BH4500" s="0">
        <v>44.25</v>
      </c>
      <c r="BI4500" s="0">
        <v>44.25</v>
      </c>
      <c r="BJ4500" s="0" t="s">
        <v>135</v>
      </c>
    </row>
    <row r="4501">
      <c r="A4501" s="0" t="s">
        <v>4764</v>
      </c>
      <c r="B4501" s="0" t="s">
        <v>652</v>
      </c>
      <c r="C4501" s="0" t="s">
        <v>652</v>
      </c>
      <c r="D4501" s="0" t="s">
        <v>135</v>
      </c>
      <c r="E4501" s="0" t="s">
        <v>3</v>
      </c>
      <c r="F4501" s="0" t="s">
        <v>12</v>
      </c>
      <c r="G4501" s="0" t="s">
        <v>8</v>
      </c>
      <c r="H4501" s="0">
        <v>1</v>
      </c>
      <c r="I4501" s="0">
        <v>0</v>
      </c>
      <c r="J4501" s="0">
        <v>0</v>
      </c>
      <c r="K4501" s="0">
        <v>0</v>
      </c>
      <c r="L4501" s="0">
        <v>0</v>
      </c>
      <c r="M4501" s="0">
        <v>0</v>
      </c>
      <c r="N4501" s="0">
        <v>0</v>
      </c>
      <c r="O4501" s="0">
        <v>0</v>
      </c>
      <c r="P4501" s="0">
        <v>0</v>
      </c>
      <c r="R4501" s="0" t="b">
        <v>0</v>
      </c>
      <c r="S4501" s="0" t="b">
        <v>0</v>
      </c>
      <c r="T4501" s="68">
        <v>46052.388275463</v>
      </c>
      <c r="U4501" s="68">
        <v>0</v>
      </c>
      <c r="V4501" s="68">
        <v>46092.166724537</v>
      </c>
      <c r="W4501" s="0">
        <f>IF(IF(B4501="none",1,IF(B4501="Trialer",1,0))+IF(C4501="Customer",1,IF(C4501="Lost",1,0))=2,1,0)</f>
      </c>
      <c r="X4501" s="0" t="s">
        <v>136</v>
      </c>
      <c r="Y4501" s="0" t="s">
        <v>243</v>
      </c>
      <c r="AV4501" s="68"/>
      <c r="AW4501" s="68"/>
      <c r="AY4501" s="27"/>
      <c r="BD4501" s="68">
        <v>46054.1666666667</v>
      </c>
      <c r="BE4501" s="68">
        <v>46082.1666666667</v>
      </c>
      <c r="BF4501" s="0" t="b">
        <v>0</v>
      </c>
      <c r="BG4501" s="0" t="b">
        <v>0</v>
      </c>
      <c r="BH4501" s="0">
        <v>44.25</v>
      </c>
      <c r="BI4501" s="0">
        <v>44.25</v>
      </c>
      <c r="BJ4501" s="0" t="s">
        <v>135</v>
      </c>
    </row>
    <row r="4502">
      <c r="A4502" s="0" t="s">
        <v>4765</v>
      </c>
      <c r="B4502" s="0" t="s">
        <v>134</v>
      </c>
      <c r="C4502" s="0" t="s">
        <v>134</v>
      </c>
      <c r="D4502" s="0" t="s">
        <v>230</v>
      </c>
      <c r="E4502" s="0" t="s">
        <v>3</v>
      </c>
      <c r="F4502" s="0" t="s">
        <v>12</v>
      </c>
      <c r="G4502" s="0" t="s">
        <v>8</v>
      </c>
      <c r="H4502" s="0">
        <v>1</v>
      </c>
      <c r="I4502" s="0">
        <v>281</v>
      </c>
      <c r="J4502" s="0">
        <v>0</v>
      </c>
      <c r="K4502" s="0">
        <v>1</v>
      </c>
      <c r="L4502" s="0">
        <v>4</v>
      </c>
      <c r="M4502" s="0">
        <v>8</v>
      </c>
      <c r="N4502" s="0">
        <v>0</v>
      </c>
      <c r="O4502" s="0">
        <v>0</v>
      </c>
      <c r="P4502" s="0">
        <v>-281</v>
      </c>
      <c r="R4502" s="0" t="b">
        <v>0</v>
      </c>
      <c r="S4502" s="0" t="b">
        <v>1</v>
      </c>
      <c r="T4502" s="68">
        <v>46052.4046527778</v>
      </c>
      <c r="U4502" s="68">
        <v>46052.2916666667</v>
      </c>
      <c r="V4502" s="68">
        <v>0</v>
      </c>
      <c r="W4502" s="0">
        <f>IF(IF(B4502="none",1,IF(B4502="Trialer",1,0))+IF(C4502="Customer",1,IF(C4502="Lost",1,0))=2,1,0)</f>
      </c>
      <c r="X4502" s="0" t="s">
        <v>145</v>
      </c>
      <c r="Y4502" s="0" t="s">
        <v>243</v>
      </c>
      <c r="AV4502" s="68"/>
      <c r="AW4502" s="68"/>
      <c r="AY4502" s="27"/>
      <c r="BD4502" s="68">
        <v>46054.1666666667</v>
      </c>
      <c r="BE4502" s="68">
        <v>46082.1666666667</v>
      </c>
      <c r="BF4502" s="0" t="b">
        <v>0</v>
      </c>
      <c r="BG4502" s="0" t="b">
        <v>0</v>
      </c>
      <c r="BH4502" s="0">
        <v>355.21</v>
      </c>
      <c r="BI4502" s="0">
        <v>355.21</v>
      </c>
      <c r="BJ4502" s="0" t="s">
        <v>230</v>
      </c>
    </row>
    <row r="4503">
      <c r="A4503" s="0" t="s">
        <v>4766</v>
      </c>
      <c r="B4503" s="0" t="s">
        <v>652</v>
      </c>
      <c r="C4503" s="0" t="s">
        <v>652</v>
      </c>
      <c r="D4503" s="0" t="s">
        <v>135</v>
      </c>
      <c r="E4503" s="0" t="s">
        <v>2</v>
      </c>
      <c r="F4503" s="0" t="s">
        <v>12</v>
      </c>
      <c r="G4503" s="0" t="s">
        <v>8</v>
      </c>
      <c r="H4503" s="0">
        <v>1</v>
      </c>
      <c r="I4503" s="0">
        <v>0</v>
      </c>
      <c r="J4503" s="0">
        <v>0</v>
      </c>
      <c r="K4503" s="0">
        <v>0</v>
      </c>
      <c r="L4503" s="0">
        <v>0</v>
      </c>
      <c r="M4503" s="0">
        <v>0</v>
      </c>
      <c r="N4503" s="0">
        <v>0</v>
      </c>
      <c r="O4503" s="0">
        <v>0</v>
      </c>
      <c r="P4503" s="0">
        <v>0</v>
      </c>
      <c r="R4503" s="0" t="b">
        <v>0</v>
      </c>
      <c r="S4503" s="0" t="b">
        <v>0</v>
      </c>
      <c r="T4503" s="68">
        <v>46052.444212963</v>
      </c>
      <c r="U4503" s="68">
        <v>0</v>
      </c>
      <c r="V4503" s="68">
        <v>46097.1667939815</v>
      </c>
      <c r="W4503" s="0">
        <f>IF(IF(B4503="none",1,IF(B4503="Trialer",1,0))+IF(C4503="Customer",1,IF(C4503="Lost",1,0))=2,1,0)</f>
      </c>
      <c r="X4503" s="0" t="s">
        <v>145</v>
      </c>
      <c r="Y4503" s="0" t="s">
        <v>499</v>
      </c>
      <c r="AV4503" s="68"/>
      <c r="AW4503" s="68"/>
      <c r="AY4503" s="27"/>
      <c r="BD4503" s="68">
        <v>46054.1666666667</v>
      </c>
      <c r="BE4503" s="68">
        <v>46082.1666666667</v>
      </c>
      <c r="BF4503" s="0" t="b">
        <v>0</v>
      </c>
      <c r="BG4503" s="0" t="b">
        <v>0</v>
      </c>
      <c r="BH4503" s="0">
        <v>156.75</v>
      </c>
      <c r="BI4503" s="0">
        <v>156.75</v>
      </c>
      <c r="BJ4503" s="0" t="s">
        <v>135</v>
      </c>
    </row>
    <row r="4504">
      <c r="A4504" s="0" t="s">
        <v>4767</v>
      </c>
      <c r="B4504" s="0" t="s">
        <v>652</v>
      </c>
      <c r="C4504" s="0" t="s">
        <v>652</v>
      </c>
      <c r="D4504" s="0" t="s">
        <v>135</v>
      </c>
      <c r="E4504" s="0" t="s">
        <v>3</v>
      </c>
      <c r="F4504" s="0" t="s">
        <v>12</v>
      </c>
      <c r="G4504" s="0" t="s">
        <v>8</v>
      </c>
      <c r="H4504" s="0">
        <v>1</v>
      </c>
      <c r="I4504" s="0">
        <v>0</v>
      </c>
      <c r="J4504" s="0">
        <v>0</v>
      </c>
      <c r="K4504" s="0">
        <v>0</v>
      </c>
      <c r="L4504" s="0">
        <v>0</v>
      </c>
      <c r="M4504" s="0">
        <v>0</v>
      </c>
      <c r="N4504" s="0">
        <v>0</v>
      </c>
      <c r="O4504" s="0">
        <v>0</v>
      </c>
      <c r="P4504" s="0">
        <v>0</v>
      </c>
      <c r="R4504" s="0" t="b">
        <v>0</v>
      </c>
      <c r="S4504" s="0" t="b">
        <v>0</v>
      </c>
      <c r="T4504" s="68">
        <v>46052.451412037</v>
      </c>
      <c r="U4504" s="68">
        <v>0</v>
      </c>
      <c r="V4504" s="68">
        <v>46066.4141087963</v>
      </c>
      <c r="W4504" s="0">
        <f>IF(IF(B4504="none",1,IF(B4504="Trialer",1,0))+IF(C4504="Customer",1,IF(C4504="Lost",1,0))=2,1,0)</f>
      </c>
      <c r="X4504" s="0" t="s">
        <v>145</v>
      </c>
      <c r="Y4504" s="0" t="s">
        <v>243</v>
      </c>
      <c r="AV4504" s="68"/>
      <c r="AW4504" s="68"/>
      <c r="AY4504" s="27"/>
      <c r="BD4504" s="68">
        <v>46054.1666666667</v>
      </c>
      <c r="BE4504" s="68">
        <v>46082.1666666667</v>
      </c>
      <c r="BF4504" s="0" t="b">
        <v>1</v>
      </c>
      <c r="BG4504" s="0" t="b">
        <v>0</v>
      </c>
      <c r="BH4504" s="0">
        <v>72.75</v>
      </c>
      <c r="BI4504" s="0">
        <v>72.75</v>
      </c>
      <c r="BJ4504" s="0" t="s">
        <v>135</v>
      </c>
    </row>
    <row r="4505">
      <c r="A4505" s="0" t="s">
        <v>4768</v>
      </c>
      <c r="B4505" s="0" t="s">
        <v>652</v>
      </c>
      <c r="C4505" s="0" t="s">
        <v>134</v>
      </c>
      <c r="D4505" s="0" t="s">
        <v>135</v>
      </c>
      <c r="E4505" s="0" t="s">
        <v>2</v>
      </c>
      <c r="F4505" s="0" t="s">
        <v>12</v>
      </c>
      <c r="G4505" s="0" t="s">
        <v>8</v>
      </c>
      <c r="H4505" s="0">
        <v>1</v>
      </c>
      <c r="I4505" s="0">
        <v>44.25</v>
      </c>
      <c r="J4505" s="0">
        <v>0</v>
      </c>
      <c r="K4505" s="0">
        <v>1</v>
      </c>
      <c r="L4505" s="0">
        <v>3</v>
      </c>
      <c r="M4505" s="0">
        <v>1</v>
      </c>
      <c r="N4505" s="0">
        <v>0</v>
      </c>
      <c r="O4505" s="0">
        <v>0</v>
      </c>
      <c r="P4505" s="0">
        <v>0</v>
      </c>
      <c r="R4505" s="0" t="b">
        <v>0</v>
      </c>
      <c r="S4505" s="0" t="b">
        <v>1</v>
      </c>
      <c r="T4505" s="68">
        <v>46052.462025463</v>
      </c>
      <c r="U4505" s="68">
        <v>46066.2916666667</v>
      </c>
      <c r="V4505" s="68">
        <v>0</v>
      </c>
      <c r="W4505" s="0">
        <f>IF(IF(B4505="none",1,IF(B4505="Trialer",1,0))+IF(C4505="Customer",1,IF(C4505="Lost",1,0))=2,1,0)</f>
      </c>
      <c r="X4505" s="0" t="s">
        <v>1461</v>
      </c>
      <c r="Y4505" s="0" t="s">
        <v>499</v>
      </c>
      <c r="AV4505" s="68"/>
      <c r="AW4505" s="68"/>
      <c r="AY4505" s="27"/>
      <c r="BD4505" s="68">
        <v>46054.1666666667</v>
      </c>
      <c r="BE4505" s="68">
        <v>46082.1666666667</v>
      </c>
      <c r="BF4505" s="0" t="b">
        <v>0</v>
      </c>
      <c r="BG4505" s="0" t="b">
        <v>0</v>
      </c>
      <c r="BH4505" s="0">
        <v>44.25</v>
      </c>
      <c r="BI4505" s="0">
        <v>44.25</v>
      </c>
      <c r="BJ4505" s="0" t="s">
        <v>135</v>
      </c>
    </row>
    <row r="4506">
      <c r="A4506" s="0" t="s">
        <v>4769</v>
      </c>
      <c r="B4506" s="0" t="s">
        <v>652</v>
      </c>
      <c r="C4506" s="0" t="s">
        <v>134</v>
      </c>
      <c r="D4506" s="0" t="s">
        <v>135</v>
      </c>
      <c r="E4506" s="0" t="s">
        <v>2</v>
      </c>
      <c r="F4506" s="0" t="s">
        <v>12</v>
      </c>
      <c r="G4506" s="0" t="s">
        <v>8</v>
      </c>
      <c r="H4506" s="0">
        <v>1</v>
      </c>
      <c r="I4506" s="0">
        <v>63.75</v>
      </c>
      <c r="J4506" s="0">
        <v>0</v>
      </c>
      <c r="K4506" s="0">
        <v>1</v>
      </c>
      <c r="L4506" s="0">
        <v>5</v>
      </c>
      <c r="M4506" s="0">
        <v>1</v>
      </c>
      <c r="N4506" s="0">
        <v>0</v>
      </c>
      <c r="O4506" s="0">
        <v>0</v>
      </c>
      <c r="P4506" s="0">
        <v>0</v>
      </c>
      <c r="R4506" s="0" t="b">
        <v>0</v>
      </c>
      <c r="S4506" s="0" t="b">
        <v>1</v>
      </c>
      <c r="T4506" s="68">
        <v>46052.4692013889</v>
      </c>
      <c r="U4506" s="68">
        <v>46067.2916666667</v>
      </c>
      <c r="V4506" s="68">
        <v>0</v>
      </c>
      <c r="W4506" s="0">
        <f>IF(IF(B4506="none",1,IF(B4506="Trialer",1,0))+IF(C4506="Customer",1,IF(C4506="Lost",1,0))=2,1,0)</f>
      </c>
      <c r="X4506" s="0" t="s">
        <v>1461</v>
      </c>
      <c r="Y4506" s="0" t="s">
        <v>499</v>
      </c>
      <c r="AV4506" s="68"/>
      <c r="AW4506" s="68"/>
      <c r="AY4506" s="27"/>
      <c r="BD4506" s="68">
        <v>46054.1666666667</v>
      </c>
      <c r="BE4506" s="68">
        <v>46082.1666666667</v>
      </c>
      <c r="BF4506" s="0" t="b">
        <v>0</v>
      </c>
      <c r="BG4506" s="0" t="b">
        <v>0</v>
      </c>
      <c r="BH4506" s="0">
        <v>108</v>
      </c>
      <c r="BI4506" s="0">
        <v>108</v>
      </c>
      <c r="BJ4506" s="0" t="s">
        <v>135</v>
      </c>
    </row>
    <row r="4507">
      <c r="A4507" s="0" t="s">
        <v>4770</v>
      </c>
      <c r="B4507" s="0" t="s">
        <v>652</v>
      </c>
      <c r="C4507" s="0" t="s">
        <v>652</v>
      </c>
      <c r="D4507" s="0" t="s">
        <v>135</v>
      </c>
      <c r="E4507" s="0" t="s">
        <v>2</v>
      </c>
      <c r="F4507" s="0" t="s">
        <v>12</v>
      </c>
      <c r="G4507" s="0" t="s">
        <v>8</v>
      </c>
      <c r="H4507" s="0">
        <v>1</v>
      </c>
      <c r="I4507" s="0">
        <v>0</v>
      </c>
      <c r="J4507" s="0">
        <v>0</v>
      </c>
      <c r="K4507" s="0">
        <v>0</v>
      </c>
      <c r="L4507" s="0">
        <v>0</v>
      </c>
      <c r="M4507" s="0">
        <v>0</v>
      </c>
      <c r="N4507" s="0">
        <v>0</v>
      </c>
      <c r="O4507" s="0">
        <v>0</v>
      </c>
      <c r="P4507" s="0">
        <v>0</v>
      </c>
      <c r="R4507" s="0" t="b">
        <v>0</v>
      </c>
      <c r="S4507" s="0" t="b">
        <v>0</v>
      </c>
      <c r="T4507" s="68">
        <v>46052.4692361111</v>
      </c>
      <c r="U4507" s="68">
        <v>0</v>
      </c>
      <c r="V4507" s="68">
        <v>46092.1667361111</v>
      </c>
      <c r="W4507" s="0">
        <f>IF(IF(B4507="none",1,IF(B4507="Trialer",1,0))+IF(C4507="Customer",1,IF(C4507="Lost",1,0))=2,1,0)</f>
      </c>
      <c r="X4507" s="0" t="s">
        <v>136</v>
      </c>
      <c r="Y4507" s="0" t="s">
        <v>499</v>
      </c>
      <c r="AV4507" s="68"/>
      <c r="AW4507" s="68"/>
      <c r="AY4507" s="27"/>
      <c r="BD4507" s="68">
        <v>46054.1666666667</v>
      </c>
      <c r="BE4507" s="68">
        <v>46082.1666666667</v>
      </c>
      <c r="BF4507" s="0" t="b">
        <v>0</v>
      </c>
      <c r="BG4507" s="0" t="b">
        <v>0</v>
      </c>
      <c r="BH4507" s="0">
        <v>63.75</v>
      </c>
      <c r="BI4507" s="0">
        <v>63.75</v>
      </c>
      <c r="BJ4507" s="0" t="s">
        <v>135</v>
      </c>
    </row>
    <row r="4508">
      <c r="A4508" s="0" t="s">
        <v>4771</v>
      </c>
      <c r="B4508" s="0" t="s">
        <v>652</v>
      </c>
      <c r="C4508" s="0" t="s">
        <v>652</v>
      </c>
      <c r="D4508" s="0" t="s">
        <v>135</v>
      </c>
      <c r="E4508" s="0" t="s">
        <v>3</v>
      </c>
      <c r="F4508" s="0" t="s">
        <v>12</v>
      </c>
      <c r="G4508" s="0" t="s">
        <v>8</v>
      </c>
      <c r="H4508" s="0">
        <v>1</v>
      </c>
      <c r="I4508" s="0">
        <v>0</v>
      </c>
      <c r="J4508" s="0">
        <v>0</v>
      </c>
      <c r="K4508" s="0">
        <v>0</v>
      </c>
      <c r="L4508" s="0">
        <v>0</v>
      </c>
      <c r="M4508" s="0">
        <v>0</v>
      </c>
      <c r="N4508" s="0">
        <v>0</v>
      </c>
      <c r="O4508" s="0">
        <v>0</v>
      </c>
      <c r="P4508" s="0">
        <v>0</v>
      </c>
      <c r="R4508" s="0" t="b">
        <v>0</v>
      </c>
      <c r="S4508" s="0" t="b">
        <v>0</v>
      </c>
      <c r="T4508" s="68">
        <v>46052.4764467593</v>
      </c>
      <c r="U4508" s="68">
        <v>0</v>
      </c>
      <c r="V4508" s="68">
        <v>46092.1667476852</v>
      </c>
      <c r="W4508" s="0">
        <f>IF(IF(B4508="none",1,IF(B4508="Trialer",1,0))+IF(C4508="Customer",1,IF(C4508="Lost",1,0))=2,1,0)</f>
      </c>
      <c r="X4508" s="0" t="s">
        <v>148</v>
      </c>
      <c r="Y4508" s="0" t="s">
        <v>243</v>
      </c>
      <c r="AV4508" s="68"/>
      <c r="AW4508" s="68"/>
      <c r="AY4508" s="27"/>
      <c r="BD4508" s="68">
        <v>46054.1666666667</v>
      </c>
      <c r="BE4508" s="68">
        <v>46082.1666666667</v>
      </c>
      <c r="BF4508" s="0" t="b">
        <v>0</v>
      </c>
      <c r="BG4508" s="0" t="b">
        <v>0</v>
      </c>
      <c r="BH4508" s="0">
        <v>44.25</v>
      </c>
      <c r="BI4508" s="0">
        <v>44.25</v>
      </c>
      <c r="BJ4508" s="0" t="s">
        <v>135</v>
      </c>
    </row>
    <row r="4509">
      <c r="A4509" s="0" t="s">
        <v>4772</v>
      </c>
      <c r="B4509" s="0" t="s">
        <v>652</v>
      </c>
      <c r="C4509" s="0" t="s">
        <v>652</v>
      </c>
      <c r="D4509" s="0" t="s">
        <v>135</v>
      </c>
      <c r="E4509" s="0" t="s">
        <v>3</v>
      </c>
      <c r="F4509" s="0" t="s">
        <v>12</v>
      </c>
      <c r="G4509" s="0" t="s">
        <v>8</v>
      </c>
      <c r="H4509" s="0">
        <v>1</v>
      </c>
      <c r="I4509" s="0">
        <v>0</v>
      </c>
      <c r="J4509" s="0">
        <v>0</v>
      </c>
      <c r="K4509" s="0">
        <v>0</v>
      </c>
      <c r="L4509" s="0">
        <v>0</v>
      </c>
      <c r="M4509" s="0">
        <v>0</v>
      </c>
      <c r="N4509" s="0">
        <v>0</v>
      </c>
      <c r="O4509" s="0">
        <v>0</v>
      </c>
      <c r="P4509" s="0">
        <v>0</v>
      </c>
      <c r="R4509" s="0" t="b">
        <v>0</v>
      </c>
      <c r="S4509" s="0" t="b">
        <v>0</v>
      </c>
      <c r="T4509" s="68">
        <v>46052.4952430556</v>
      </c>
      <c r="U4509" s="68">
        <v>0</v>
      </c>
      <c r="V4509" s="68">
        <v>46092.1667592593</v>
      </c>
      <c r="W4509" s="0">
        <f>IF(IF(B4509="none",1,IF(B4509="Trialer",1,0))+IF(C4509="Customer",1,IF(C4509="Lost",1,0))=2,1,0)</f>
      </c>
      <c r="X4509" s="0" t="s">
        <v>145</v>
      </c>
      <c r="Y4509" s="0" t="s">
        <v>243</v>
      </c>
      <c r="AV4509" s="68"/>
      <c r="AW4509" s="68"/>
      <c r="AY4509" s="27"/>
      <c r="BD4509" s="68">
        <v>46054.1666666667</v>
      </c>
      <c r="BE4509" s="68">
        <v>46082.1666666667</v>
      </c>
      <c r="BF4509" s="0" t="b">
        <v>0</v>
      </c>
      <c r="BG4509" s="0" t="b">
        <v>0</v>
      </c>
      <c r="BH4509" s="0">
        <v>44.25</v>
      </c>
      <c r="BI4509" s="0">
        <v>44.25</v>
      </c>
      <c r="BJ4509" s="0" t="s">
        <v>135</v>
      </c>
    </row>
    <row r="4510">
      <c r="A4510" s="0" t="s">
        <v>4773</v>
      </c>
      <c r="B4510" s="0" t="s">
        <v>652</v>
      </c>
      <c r="C4510" s="0" t="s">
        <v>134</v>
      </c>
      <c r="D4510" s="0" t="s">
        <v>135</v>
      </c>
      <c r="E4510" s="0" t="s">
        <v>2</v>
      </c>
      <c r="F4510" s="0" t="s">
        <v>12</v>
      </c>
      <c r="G4510" s="0" t="s">
        <v>8</v>
      </c>
      <c r="H4510" s="0">
        <v>1</v>
      </c>
      <c r="I4510" s="0">
        <v>177</v>
      </c>
      <c r="J4510" s="0">
        <v>0</v>
      </c>
      <c r="K4510" s="0">
        <v>1</v>
      </c>
      <c r="L4510" s="0">
        <v>3</v>
      </c>
      <c r="M4510" s="0">
        <v>4</v>
      </c>
      <c r="N4510" s="0">
        <v>0</v>
      </c>
      <c r="O4510" s="0">
        <v>0</v>
      </c>
      <c r="P4510" s="0">
        <v>0</v>
      </c>
      <c r="R4510" s="0" t="b">
        <v>0</v>
      </c>
      <c r="S4510" s="0" t="b">
        <v>1</v>
      </c>
      <c r="T4510" s="68">
        <v>46052.5107175926</v>
      </c>
      <c r="U4510" s="68">
        <v>46066.2916666667</v>
      </c>
      <c r="V4510" s="68">
        <v>0</v>
      </c>
      <c r="W4510" s="0">
        <f>IF(IF(B4510="none",1,IF(B4510="Trialer",1,0))+IF(C4510="Customer",1,IF(C4510="Lost",1,0))=2,1,0)</f>
      </c>
      <c r="X4510" s="0" t="s">
        <v>882</v>
      </c>
      <c r="Y4510" s="0" t="s">
        <v>499</v>
      </c>
      <c r="AV4510" s="68"/>
      <c r="AW4510" s="68"/>
      <c r="AY4510" s="27"/>
      <c r="BD4510" s="68">
        <v>46054.1666666667</v>
      </c>
      <c r="BE4510" s="68">
        <v>46082.1666666667</v>
      </c>
      <c r="BF4510" s="0" t="b">
        <v>0</v>
      </c>
      <c r="BG4510" s="0" t="b">
        <v>0</v>
      </c>
      <c r="BH4510" s="0">
        <v>177</v>
      </c>
      <c r="BI4510" s="0">
        <v>177</v>
      </c>
      <c r="BJ4510" s="0" t="s">
        <v>135</v>
      </c>
    </row>
    <row r="4511">
      <c r="A4511" s="0" t="s">
        <v>4774</v>
      </c>
      <c r="B4511" s="0" t="s">
        <v>652</v>
      </c>
      <c r="C4511" s="0" t="s">
        <v>652</v>
      </c>
      <c r="D4511" s="0" t="s">
        <v>135</v>
      </c>
      <c r="E4511" s="0" t="s">
        <v>2</v>
      </c>
      <c r="F4511" s="0" t="s">
        <v>12</v>
      </c>
      <c r="G4511" s="0" t="s">
        <v>8</v>
      </c>
      <c r="H4511" s="0">
        <v>1</v>
      </c>
      <c r="I4511" s="0">
        <v>0</v>
      </c>
      <c r="J4511" s="0">
        <v>0</v>
      </c>
      <c r="K4511" s="0">
        <v>0</v>
      </c>
      <c r="L4511" s="0">
        <v>0</v>
      </c>
      <c r="M4511" s="0">
        <v>0</v>
      </c>
      <c r="N4511" s="0">
        <v>0</v>
      </c>
      <c r="O4511" s="0">
        <v>0</v>
      </c>
      <c r="P4511" s="0">
        <v>0</v>
      </c>
      <c r="R4511" s="0" t="b">
        <v>0</v>
      </c>
      <c r="S4511" s="0" t="b">
        <v>0</v>
      </c>
      <c r="T4511" s="68">
        <v>46052.5371064815</v>
      </c>
      <c r="U4511" s="68">
        <v>0</v>
      </c>
      <c r="V4511" s="68">
        <v>46092.1667824074</v>
      </c>
      <c r="W4511" s="0">
        <f>IF(IF(B4511="none",1,IF(B4511="Trialer",1,0))+IF(C4511="Customer",1,IF(C4511="Lost",1,0))=2,1,0)</f>
      </c>
      <c r="X4511" s="0" t="s">
        <v>136</v>
      </c>
      <c r="Y4511" s="0" t="s">
        <v>499</v>
      </c>
      <c r="AV4511" s="68"/>
      <c r="AW4511" s="68"/>
      <c r="AY4511" s="27"/>
      <c r="BD4511" s="68">
        <v>46054.1666666667</v>
      </c>
      <c r="BE4511" s="68">
        <v>46082.1666666667</v>
      </c>
      <c r="BF4511" s="0" t="b">
        <v>0</v>
      </c>
      <c r="BG4511" s="0" t="b">
        <v>0</v>
      </c>
      <c r="BH4511" s="0">
        <v>44.25</v>
      </c>
      <c r="BI4511" s="0">
        <v>44.25</v>
      </c>
      <c r="BJ4511" s="0" t="s">
        <v>135</v>
      </c>
    </row>
    <row r="4512">
      <c r="A4512" s="0" t="s">
        <v>4775</v>
      </c>
      <c r="B4512" s="0" t="s">
        <v>652</v>
      </c>
      <c r="C4512" s="0" t="s">
        <v>134</v>
      </c>
      <c r="D4512" s="0" t="s">
        <v>135</v>
      </c>
      <c r="E4512" s="0" t="s">
        <v>3</v>
      </c>
      <c r="F4512" s="0" t="s">
        <v>12</v>
      </c>
      <c r="G4512" s="0" t="s">
        <v>8</v>
      </c>
      <c r="H4512" s="0">
        <v>1</v>
      </c>
      <c r="I4512" s="0">
        <v>35.25</v>
      </c>
      <c r="J4512" s="0">
        <v>0</v>
      </c>
      <c r="K4512" s="0">
        <v>1</v>
      </c>
      <c r="L4512" s="0">
        <v>2</v>
      </c>
      <c r="M4512" s="0">
        <v>1</v>
      </c>
      <c r="N4512" s="0">
        <v>0</v>
      </c>
      <c r="O4512" s="0">
        <v>0</v>
      </c>
      <c r="P4512" s="0">
        <v>0</v>
      </c>
      <c r="R4512" s="0" t="b">
        <v>0</v>
      </c>
      <c r="S4512" s="0" t="b">
        <v>1</v>
      </c>
      <c r="T4512" s="68">
        <v>46052.5393171296</v>
      </c>
      <c r="U4512" s="68">
        <v>46066.2916666667</v>
      </c>
      <c r="V4512" s="68">
        <v>0</v>
      </c>
      <c r="W4512" s="0">
        <f>IF(IF(B4512="none",1,IF(B4512="Trialer",1,0))+IF(C4512="Customer",1,IF(C4512="Lost",1,0))=2,1,0)</f>
      </c>
      <c r="X4512" s="0" t="s">
        <v>1461</v>
      </c>
      <c r="Y4512" s="0" t="s">
        <v>243</v>
      </c>
      <c r="AV4512" s="68"/>
      <c r="AW4512" s="68"/>
      <c r="AY4512" s="27"/>
      <c r="BD4512" s="68">
        <v>46054.1666666667</v>
      </c>
      <c r="BE4512" s="68">
        <v>46082.1666666667</v>
      </c>
      <c r="BF4512" s="0" t="b">
        <v>0</v>
      </c>
      <c r="BG4512" s="0" t="b">
        <v>0</v>
      </c>
      <c r="BH4512" s="0">
        <v>35.25</v>
      </c>
      <c r="BI4512" s="0">
        <v>35.25</v>
      </c>
      <c r="BJ4512" s="0" t="s">
        <v>135</v>
      </c>
    </row>
    <row r="4513">
      <c r="A4513" s="0" t="s">
        <v>4776</v>
      </c>
      <c r="B4513" s="0" t="s">
        <v>652</v>
      </c>
      <c r="C4513" s="0" t="s">
        <v>134</v>
      </c>
      <c r="D4513" s="0" t="s">
        <v>135</v>
      </c>
      <c r="E4513" s="0" t="s">
        <v>2</v>
      </c>
      <c r="F4513" s="0" t="s">
        <v>12</v>
      </c>
      <c r="G4513" s="0" t="s">
        <v>8</v>
      </c>
      <c r="H4513" s="0">
        <v>1</v>
      </c>
      <c r="I4513" s="0">
        <v>164.25</v>
      </c>
      <c r="J4513" s="0">
        <v>0</v>
      </c>
      <c r="K4513" s="0">
        <v>2</v>
      </c>
      <c r="L4513" s="0">
        <v>4</v>
      </c>
      <c r="M4513" s="0">
        <v>2</v>
      </c>
      <c r="N4513" s="0">
        <v>0</v>
      </c>
      <c r="O4513" s="0">
        <v>0</v>
      </c>
      <c r="P4513" s="0">
        <v>0</v>
      </c>
      <c r="R4513" s="0" t="b">
        <v>0</v>
      </c>
      <c r="S4513" s="0" t="b">
        <v>1</v>
      </c>
      <c r="T4513" s="68">
        <v>46052.5550810185</v>
      </c>
      <c r="U4513" s="68">
        <v>46056.2916666667</v>
      </c>
      <c r="V4513" s="68">
        <v>0</v>
      </c>
      <c r="W4513" s="0">
        <f>IF(IF(B4513="none",1,IF(B4513="Trialer",1,0))+IF(C4513="Customer",1,IF(C4513="Lost",1,0))=2,1,0)</f>
      </c>
      <c r="X4513" s="0" t="s">
        <v>145</v>
      </c>
      <c r="Y4513" s="0" t="s">
        <v>499</v>
      </c>
      <c r="AV4513" s="68"/>
      <c r="AW4513" s="68"/>
      <c r="AY4513" s="27"/>
      <c r="BD4513" s="68">
        <v>46054.1666666667</v>
      </c>
      <c r="BE4513" s="68">
        <v>46082.1666666667</v>
      </c>
      <c r="BF4513" s="0" t="b">
        <v>0</v>
      </c>
      <c r="BG4513" s="0" t="b">
        <v>0</v>
      </c>
      <c r="BH4513" s="0">
        <v>109.5</v>
      </c>
      <c r="BI4513" s="0">
        <v>109.5</v>
      </c>
      <c r="BJ4513" s="0" t="s">
        <v>135</v>
      </c>
    </row>
    <row r="4514">
      <c r="A4514" s="0" t="s">
        <v>4777</v>
      </c>
      <c r="B4514" s="0" t="s">
        <v>652</v>
      </c>
      <c r="C4514" s="0" t="s">
        <v>652</v>
      </c>
      <c r="D4514" s="0" t="s">
        <v>135</v>
      </c>
      <c r="E4514" s="0" t="s">
        <v>3</v>
      </c>
      <c r="F4514" s="0" t="s">
        <v>12</v>
      </c>
      <c r="G4514" s="0" t="s">
        <v>8</v>
      </c>
      <c r="H4514" s="0">
        <v>1</v>
      </c>
      <c r="I4514" s="0">
        <v>0</v>
      </c>
      <c r="J4514" s="0">
        <v>0</v>
      </c>
      <c r="K4514" s="0">
        <v>0</v>
      </c>
      <c r="L4514" s="0">
        <v>0</v>
      </c>
      <c r="M4514" s="0">
        <v>0</v>
      </c>
      <c r="N4514" s="0">
        <v>0</v>
      </c>
      <c r="O4514" s="0">
        <v>0</v>
      </c>
      <c r="P4514" s="0">
        <v>0</v>
      </c>
      <c r="R4514" s="0" t="b">
        <v>0</v>
      </c>
      <c r="S4514" s="0" t="b">
        <v>0</v>
      </c>
      <c r="T4514" s="68">
        <v>46052.5755902778</v>
      </c>
      <c r="U4514" s="68">
        <v>0</v>
      </c>
      <c r="V4514" s="68">
        <v>46092.1668402778</v>
      </c>
      <c r="W4514" s="0">
        <f>IF(IF(B4514="none",1,IF(B4514="Trialer",1,0))+IF(C4514="Customer",1,IF(C4514="Lost",1,0))=2,1,0)</f>
      </c>
      <c r="X4514" s="0" t="s">
        <v>148</v>
      </c>
      <c r="Y4514" s="0" t="s">
        <v>243</v>
      </c>
      <c r="AV4514" s="68"/>
      <c r="AW4514" s="68"/>
      <c r="AY4514" s="27"/>
      <c r="BD4514" s="68">
        <v>46054.1666666667</v>
      </c>
      <c r="BE4514" s="68">
        <v>46082.1666666667</v>
      </c>
      <c r="BF4514" s="0" t="b">
        <v>0</v>
      </c>
      <c r="BG4514" s="0" t="b">
        <v>0</v>
      </c>
      <c r="BH4514" s="0">
        <v>150.75</v>
      </c>
      <c r="BI4514" s="0">
        <v>150.75</v>
      </c>
      <c r="BJ4514" s="0" t="s">
        <v>135</v>
      </c>
    </row>
    <row r="4515">
      <c r="A4515" s="0" t="s">
        <v>4778</v>
      </c>
      <c r="B4515" s="0" t="s">
        <v>652</v>
      </c>
      <c r="C4515" s="0" t="s">
        <v>652</v>
      </c>
      <c r="D4515" s="0" t="s">
        <v>135</v>
      </c>
      <c r="E4515" s="0" t="s">
        <v>2414</v>
      </c>
      <c r="F4515" s="0" t="s">
        <v>12</v>
      </c>
      <c r="G4515" s="0" t="s">
        <v>8</v>
      </c>
      <c r="H4515" s="0">
        <v>1</v>
      </c>
      <c r="I4515" s="0">
        <v>0</v>
      </c>
      <c r="J4515" s="0">
        <v>0</v>
      </c>
      <c r="K4515" s="0">
        <v>0</v>
      </c>
      <c r="L4515" s="0">
        <v>0</v>
      </c>
      <c r="M4515" s="0">
        <v>0</v>
      </c>
      <c r="N4515" s="0">
        <v>0</v>
      </c>
      <c r="O4515" s="0">
        <v>0</v>
      </c>
      <c r="P4515" s="0">
        <v>0</v>
      </c>
      <c r="R4515" s="0" t="b">
        <v>0</v>
      </c>
      <c r="S4515" s="0" t="b">
        <v>0</v>
      </c>
      <c r="T4515" s="68">
        <v>46052.6175810185</v>
      </c>
      <c r="U4515" s="68">
        <v>0</v>
      </c>
      <c r="V4515" s="68">
        <v>46092.1667592593</v>
      </c>
      <c r="W4515" s="0">
        <f>IF(IF(B4515="none",1,IF(B4515="Trialer",1,0))+IF(C4515="Customer",1,IF(C4515="Lost",1,0))=2,1,0)</f>
      </c>
      <c r="X4515" s="0" t="s">
        <v>145</v>
      </c>
      <c r="Y4515" s="0" t="s">
        <v>1516</v>
      </c>
      <c r="AV4515" s="68"/>
      <c r="AW4515" s="68"/>
      <c r="AY4515" s="27"/>
      <c r="BD4515" s="68">
        <v>46054.1666666667</v>
      </c>
      <c r="BE4515" s="68">
        <v>46082.1666666667</v>
      </c>
      <c r="BF4515" s="0" t="b">
        <v>0</v>
      </c>
      <c r="BG4515" s="0" t="b">
        <v>0</v>
      </c>
      <c r="BH4515" s="0">
        <v>44.25</v>
      </c>
      <c r="BI4515" s="0">
        <v>44.25</v>
      </c>
      <c r="BJ4515" s="0" t="s">
        <v>135</v>
      </c>
    </row>
    <row r="4516">
      <c r="A4516" s="0" t="s">
        <v>4779</v>
      </c>
      <c r="B4516" s="0" t="s">
        <v>652</v>
      </c>
      <c r="C4516" s="0" t="s">
        <v>652</v>
      </c>
      <c r="D4516" s="0" t="s">
        <v>135</v>
      </c>
      <c r="E4516" s="0" t="s">
        <v>2</v>
      </c>
      <c r="F4516" s="0" t="s">
        <v>12</v>
      </c>
      <c r="G4516" s="0" t="s">
        <v>8</v>
      </c>
      <c r="H4516" s="0">
        <v>1</v>
      </c>
      <c r="I4516" s="0">
        <v>0</v>
      </c>
      <c r="J4516" s="0">
        <v>0</v>
      </c>
      <c r="K4516" s="0">
        <v>0</v>
      </c>
      <c r="L4516" s="0">
        <v>0</v>
      </c>
      <c r="M4516" s="0">
        <v>0</v>
      </c>
      <c r="N4516" s="0">
        <v>0</v>
      </c>
      <c r="O4516" s="0">
        <v>0</v>
      </c>
      <c r="P4516" s="0">
        <v>0</v>
      </c>
      <c r="R4516" s="0" t="b">
        <v>0</v>
      </c>
      <c r="S4516" s="0" t="b">
        <v>0</v>
      </c>
      <c r="T4516" s="68">
        <v>46052.620474537</v>
      </c>
      <c r="U4516" s="68">
        <v>0</v>
      </c>
      <c r="V4516" s="68">
        <v>46092.1668634259</v>
      </c>
      <c r="W4516" s="0">
        <f>IF(IF(B4516="none",1,IF(B4516="Trialer",1,0))+IF(C4516="Customer",1,IF(C4516="Lost",1,0))=2,1,0)</f>
      </c>
      <c r="X4516" s="0" t="s">
        <v>136</v>
      </c>
      <c r="Y4516" s="0" t="s">
        <v>499</v>
      </c>
      <c r="AV4516" s="68"/>
      <c r="AW4516" s="68"/>
      <c r="AY4516" s="27"/>
      <c r="BD4516" s="68">
        <v>46054.1666666667</v>
      </c>
      <c r="BE4516" s="68">
        <v>46082.1666666667</v>
      </c>
      <c r="BF4516" s="0" t="b">
        <v>0</v>
      </c>
      <c r="BG4516" s="0" t="b">
        <v>0</v>
      </c>
      <c r="BH4516" s="0">
        <v>44.25</v>
      </c>
      <c r="BI4516" s="0">
        <v>44.25</v>
      </c>
      <c r="BJ4516" s="0" t="s">
        <v>135</v>
      </c>
    </row>
    <row r="4517">
      <c r="A4517" s="0" t="s">
        <v>4780</v>
      </c>
      <c r="B4517" s="0" t="s">
        <v>652</v>
      </c>
      <c r="C4517" s="0" t="s">
        <v>652</v>
      </c>
      <c r="D4517" s="0" t="s">
        <v>135</v>
      </c>
      <c r="E4517" s="0" t="s">
        <v>3</v>
      </c>
      <c r="F4517" s="0" t="s">
        <v>12</v>
      </c>
      <c r="G4517" s="0" t="s">
        <v>8</v>
      </c>
      <c r="H4517" s="0">
        <v>1</v>
      </c>
      <c r="I4517" s="0">
        <v>0</v>
      </c>
      <c r="J4517" s="0">
        <v>0</v>
      </c>
      <c r="K4517" s="0">
        <v>0</v>
      </c>
      <c r="L4517" s="0">
        <v>0</v>
      </c>
      <c r="M4517" s="0">
        <v>0</v>
      </c>
      <c r="N4517" s="0">
        <v>0</v>
      </c>
      <c r="O4517" s="0">
        <v>0</v>
      </c>
      <c r="P4517" s="0">
        <v>0</v>
      </c>
      <c r="R4517" s="0" t="b">
        <v>0</v>
      </c>
      <c r="S4517" s="0" t="b">
        <v>0</v>
      </c>
      <c r="T4517" s="68">
        <v>46052.6433564815</v>
      </c>
      <c r="U4517" s="68">
        <v>0</v>
      </c>
      <c r="V4517" s="68">
        <v>46092.166875</v>
      </c>
      <c r="W4517" s="0">
        <f>IF(IF(B4517="none",1,IF(B4517="Trialer",1,0))+IF(C4517="Customer",1,IF(C4517="Lost",1,0))=2,1,0)</f>
      </c>
      <c r="X4517" s="0" t="s">
        <v>145</v>
      </c>
      <c r="Y4517" s="0" t="s">
        <v>243</v>
      </c>
      <c r="AV4517" s="68"/>
      <c r="AW4517" s="68"/>
      <c r="AY4517" s="27"/>
      <c r="BD4517" s="68">
        <v>46054.1666666667</v>
      </c>
      <c r="BE4517" s="68">
        <v>46082.1666666667</v>
      </c>
      <c r="BF4517" s="0" t="b">
        <v>0</v>
      </c>
      <c r="BG4517" s="0" t="b">
        <v>0</v>
      </c>
      <c r="BH4517" s="0">
        <v>44.25</v>
      </c>
      <c r="BI4517" s="0">
        <v>44.25</v>
      </c>
      <c r="BJ4517" s="0" t="s">
        <v>135</v>
      </c>
    </row>
    <row r="4518">
      <c r="A4518" s="0" t="s">
        <v>4781</v>
      </c>
      <c r="B4518" s="0" t="s">
        <v>652</v>
      </c>
      <c r="C4518" s="0" t="s">
        <v>652</v>
      </c>
      <c r="D4518" s="0" t="s">
        <v>135</v>
      </c>
      <c r="E4518" s="0" t="s">
        <v>3</v>
      </c>
      <c r="F4518" s="0" t="s">
        <v>12</v>
      </c>
      <c r="G4518" s="0" t="s">
        <v>8</v>
      </c>
      <c r="H4518" s="0">
        <v>1</v>
      </c>
      <c r="I4518" s="0">
        <v>0</v>
      </c>
      <c r="J4518" s="0">
        <v>0</v>
      </c>
      <c r="K4518" s="0">
        <v>0</v>
      </c>
      <c r="L4518" s="0">
        <v>0</v>
      </c>
      <c r="M4518" s="0">
        <v>0</v>
      </c>
      <c r="N4518" s="0">
        <v>0</v>
      </c>
      <c r="O4518" s="0">
        <v>0</v>
      </c>
      <c r="P4518" s="0">
        <v>0</v>
      </c>
      <c r="R4518" s="0" t="b">
        <v>0</v>
      </c>
      <c r="S4518" s="0" t="b">
        <v>0</v>
      </c>
      <c r="T4518" s="68">
        <v>46052.6858564815</v>
      </c>
      <c r="U4518" s="68">
        <v>0</v>
      </c>
      <c r="V4518" s="68">
        <v>46099.1668171296</v>
      </c>
      <c r="W4518" s="0">
        <f>IF(IF(B4518="none",1,IF(B4518="Trialer",1,0))+IF(C4518="Customer",1,IF(C4518="Lost",1,0))=2,1,0)</f>
      </c>
      <c r="X4518" s="0" t="s">
        <v>136</v>
      </c>
      <c r="Y4518" s="0" t="s">
        <v>243</v>
      </c>
      <c r="AV4518" s="68"/>
      <c r="AW4518" s="68"/>
      <c r="AY4518" s="27"/>
      <c r="BD4518" s="68">
        <v>46054.1666666667</v>
      </c>
      <c r="BE4518" s="68">
        <v>46082.1666666667</v>
      </c>
      <c r="BF4518" s="0" t="b">
        <v>0</v>
      </c>
      <c r="BG4518" s="0" t="b">
        <v>0</v>
      </c>
      <c r="BH4518" s="0">
        <v>54.75</v>
      </c>
      <c r="BI4518" s="0">
        <v>54.75</v>
      </c>
      <c r="BJ4518" s="0" t="s">
        <v>135</v>
      </c>
    </row>
    <row r="4519">
      <c r="A4519" s="0" t="s">
        <v>4782</v>
      </c>
      <c r="B4519" s="0" t="s">
        <v>652</v>
      </c>
      <c r="C4519" s="0" t="s">
        <v>134</v>
      </c>
      <c r="D4519" s="0" t="s">
        <v>135</v>
      </c>
      <c r="E4519" s="0" t="s">
        <v>2</v>
      </c>
      <c r="F4519" s="0" t="s">
        <v>12</v>
      </c>
      <c r="G4519" s="0" t="s">
        <v>8</v>
      </c>
      <c r="H4519" s="0">
        <v>1</v>
      </c>
      <c r="I4519" s="0">
        <v>221.25</v>
      </c>
      <c r="J4519" s="0">
        <v>0</v>
      </c>
      <c r="K4519" s="0">
        <v>1</v>
      </c>
      <c r="L4519" s="0">
        <v>3</v>
      </c>
      <c r="M4519" s="0">
        <v>5</v>
      </c>
      <c r="N4519" s="0">
        <v>0</v>
      </c>
      <c r="O4519" s="0">
        <v>0</v>
      </c>
      <c r="P4519" s="0">
        <v>0</v>
      </c>
      <c r="R4519" s="0" t="b">
        <v>0</v>
      </c>
      <c r="S4519" s="0" t="b">
        <v>1</v>
      </c>
      <c r="T4519" s="68">
        <v>46052.6925925926</v>
      </c>
      <c r="U4519" s="68">
        <v>46066.2916666667</v>
      </c>
      <c r="V4519" s="68">
        <v>0</v>
      </c>
      <c r="W4519" s="0">
        <f>IF(IF(B4519="none",1,IF(B4519="Trialer",1,0))+IF(C4519="Customer",1,IF(C4519="Lost",1,0))=2,1,0)</f>
      </c>
      <c r="X4519" s="0" t="s">
        <v>136</v>
      </c>
      <c r="Y4519" s="0" t="s">
        <v>499</v>
      </c>
      <c r="AV4519" s="68"/>
      <c r="AW4519" s="68"/>
      <c r="AY4519" s="27"/>
      <c r="BD4519" s="68">
        <v>46054.1666666667</v>
      </c>
      <c r="BE4519" s="68">
        <v>46082.1666666667</v>
      </c>
      <c r="BF4519" s="0" t="b">
        <v>0</v>
      </c>
      <c r="BG4519" s="0" t="b">
        <v>0</v>
      </c>
      <c r="BH4519" s="0">
        <v>221.25</v>
      </c>
      <c r="BI4519" s="0">
        <v>221.25</v>
      </c>
      <c r="BJ4519" s="0" t="s">
        <v>135</v>
      </c>
    </row>
    <row r="4520">
      <c r="A4520" s="0" t="s">
        <v>4783</v>
      </c>
      <c r="B4520" s="0" t="s">
        <v>652</v>
      </c>
      <c r="C4520" s="0" t="s">
        <v>652</v>
      </c>
      <c r="D4520" s="0" t="s">
        <v>135</v>
      </c>
      <c r="E4520" s="0" t="s">
        <v>3</v>
      </c>
      <c r="F4520" s="0" t="s">
        <v>12</v>
      </c>
      <c r="G4520" s="0" t="s">
        <v>8</v>
      </c>
      <c r="H4520" s="0">
        <v>1</v>
      </c>
      <c r="I4520" s="0">
        <v>0</v>
      </c>
      <c r="J4520" s="0">
        <v>0</v>
      </c>
      <c r="K4520" s="0">
        <v>0</v>
      </c>
      <c r="L4520" s="0">
        <v>0</v>
      </c>
      <c r="M4520" s="0">
        <v>0</v>
      </c>
      <c r="N4520" s="0">
        <v>0</v>
      </c>
      <c r="O4520" s="0">
        <v>0</v>
      </c>
      <c r="P4520" s="0">
        <v>0</v>
      </c>
      <c r="R4520" s="0" t="b">
        <v>0</v>
      </c>
      <c r="S4520" s="0" t="b">
        <v>0</v>
      </c>
      <c r="T4520" s="68">
        <v>46052.7412152778</v>
      </c>
      <c r="U4520" s="68">
        <v>0</v>
      </c>
      <c r="V4520" s="68">
        <v>46092.1668518518</v>
      </c>
      <c r="W4520" s="0">
        <f>IF(IF(B4520="none",1,IF(B4520="Trialer",1,0))+IF(C4520="Customer",1,IF(C4520="Lost",1,0))=2,1,0)</f>
      </c>
      <c r="X4520" s="0" t="s">
        <v>136</v>
      </c>
      <c r="Y4520" s="0" t="s">
        <v>243</v>
      </c>
      <c r="AV4520" s="68"/>
      <c r="AW4520" s="68"/>
      <c r="AY4520" s="27"/>
      <c r="BD4520" s="68">
        <v>46054.1666666667</v>
      </c>
      <c r="BE4520" s="68">
        <v>46082.1666666667</v>
      </c>
      <c r="BF4520" s="0" t="b">
        <v>0</v>
      </c>
      <c r="BG4520" s="0" t="b">
        <v>0</v>
      </c>
      <c r="BH4520" s="0">
        <v>63.75</v>
      </c>
      <c r="BI4520" s="0">
        <v>63.75</v>
      </c>
      <c r="BJ4520" s="0" t="s">
        <v>135</v>
      </c>
    </row>
    <row r="4521">
      <c r="A4521" s="0" t="s">
        <v>4784</v>
      </c>
      <c r="B4521" s="0" t="s">
        <v>652</v>
      </c>
      <c r="C4521" s="0" t="s">
        <v>652</v>
      </c>
      <c r="D4521" s="0" t="s">
        <v>135</v>
      </c>
      <c r="E4521" s="0" t="s">
        <v>3</v>
      </c>
      <c r="F4521" s="0" t="s">
        <v>12</v>
      </c>
      <c r="G4521" s="0" t="s">
        <v>8</v>
      </c>
      <c r="H4521" s="0">
        <v>1</v>
      </c>
      <c r="I4521" s="0">
        <v>0</v>
      </c>
      <c r="J4521" s="0">
        <v>0</v>
      </c>
      <c r="K4521" s="0">
        <v>0</v>
      </c>
      <c r="L4521" s="0">
        <v>0</v>
      </c>
      <c r="M4521" s="0">
        <v>0</v>
      </c>
      <c r="N4521" s="0">
        <v>0</v>
      </c>
      <c r="O4521" s="0">
        <v>0</v>
      </c>
      <c r="P4521" s="0">
        <v>0</v>
      </c>
      <c r="R4521" s="0" t="b">
        <v>0</v>
      </c>
      <c r="S4521" s="0" t="b">
        <v>0</v>
      </c>
      <c r="T4521" s="68">
        <v>46052.7585532407</v>
      </c>
      <c r="U4521" s="68">
        <v>0</v>
      </c>
      <c r="V4521" s="68">
        <v>46092.1668171296</v>
      </c>
      <c r="W4521" s="0">
        <f>IF(IF(B4521="none",1,IF(B4521="Trialer",1,0))+IF(C4521="Customer",1,IF(C4521="Lost",1,0))=2,1,0)</f>
      </c>
      <c r="X4521" s="0" t="s">
        <v>145</v>
      </c>
      <c r="Y4521" s="0" t="s">
        <v>243</v>
      </c>
      <c r="AV4521" s="68"/>
      <c r="AW4521" s="68"/>
      <c r="AY4521" s="27"/>
      <c r="BD4521" s="68">
        <v>46054.1666666667</v>
      </c>
      <c r="BE4521" s="68">
        <v>46082.1666666667</v>
      </c>
      <c r="BF4521" s="0" t="b">
        <v>0</v>
      </c>
      <c r="BG4521" s="0" t="b">
        <v>0</v>
      </c>
      <c r="BH4521" s="0">
        <v>127.5</v>
      </c>
      <c r="BI4521" s="0">
        <v>127.5</v>
      </c>
      <c r="BJ4521" s="0" t="s">
        <v>135</v>
      </c>
    </row>
    <row r="4522">
      <c r="A4522" s="0" t="s">
        <v>4785</v>
      </c>
      <c r="B4522" s="0" t="s">
        <v>652</v>
      </c>
      <c r="C4522" s="0" t="s">
        <v>652</v>
      </c>
      <c r="D4522" s="0" t="s">
        <v>135</v>
      </c>
      <c r="E4522" s="0" t="s">
        <v>1515</v>
      </c>
      <c r="F4522" s="0" t="s">
        <v>12</v>
      </c>
      <c r="G4522" s="0" t="s">
        <v>8</v>
      </c>
      <c r="H4522" s="0">
        <v>1</v>
      </c>
      <c r="I4522" s="0">
        <v>0</v>
      </c>
      <c r="J4522" s="0">
        <v>0</v>
      </c>
      <c r="K4522" s="0">
        <v>0</v>
      </c>
      <c r="L4522" s="0">
        <v>0</v>
      </c>
      <c r="M4522" s="0">
        <v>0</v>
      </c>
      <c r="N4522" s="0">
        <v>0</v>
      </c>
      <c r="O4522" s="0">
        <v>0</v>
      </c>
      <c r="P4522" s="0">
        <v>0</v>
      </c>
      <c r="R4522" s="0" t="b">
        <v>0</v>
      </c>
      <c r="S4522" s="0" t="b">
        <v>0</v>
      </c>
      <c r="T4522" s="68">
        <v>46052.7663425926</v>
      </c>
      <c r="U4522" s="68">
        <v>0</v>
      </c>
      <c r="V4522" s="68">
        <v>46092.1668865741</v>
      </c>
      <c r="W4522" s="0">
        <f>IF(IF(B4522="none",1,IF(B4522="Trialer",1,0))+IF(C4522="Customer",1,IF(C4522="Lost",1,0))=2,1,0)</f>
      </c>
      <c r="X4522" s="0" t="s">
        <v>145</v>
      </c>
      <c r="Y4522" s="0" t="s">
        <v>1516</v>
      </c>
      <c r="AV4522" s="68"/>
      <c r="AW4522" s="68"/>
      <c r="AY4522" s="27"/>
      <c r="BD4522" s="68">
        <v>46054.1666666667</v>
      </c>
      <c r="BE4522" s="68">
        <v>46082.1666666667</v>
      </c>
      <c r="BF4522" s="0" t="b">
        <v>0</v>
      </c>
      <c r="BG4522" s="0" t="b">
        <v>0</v>
      </c>
      <c r="BH4522" s="0">
        <v>44.25</v>
      </c>
      <c r="BI4522" s="0">
        <v>44.25</v>
      </c>
      <c r="BJ4522" s="0" t="s">
        <v>135</v>
      </c>
    </row>
    <row r="4523">
      <c r="A4523" s="0" t="s">
        <v>4786</v>
      </c>
      <c r="B4523" s="0" t="s">
        <v>652</v>
      </c>
      <c r="C4523" s="0" t="s">
        <v>652</v>
      </c>
      <c r="D4523" s="0" t="s">
        <v>135</v>
      </c>
      <c r="E4523" s="0" t="s">
        <v>2414</v>
      </c>
      <c r="F4523" s="0" t="s">
        <v>12</v>
      </c>
      <c r="G4523" s="0" t="s">
        <v>8</v>
      </c>
      <c r="H4523" s="0">
        <v>1</v>
      </c>
      <c r="I4523" s="0">
        <v>0</v>
      </c>
      <c r="J4523" s="0">
        <v>0</v>
      </c>
      <c r="K4523" s="0">
        <v>0</v>
      </c>
      <c r="L4523" s="0">
        <v>0</v>
      </c>
      <c r="M4523" s="0">
        <v>0</v>
      </c>
      <c r="N4523" s="0">
        <v>0</v>
      </c>
      <c r="O4523" s="0">
        <v>0</v>
      </c>
      <c r="P4523" s="0">
        <v>0</v>
      </c>
      <c r="R4523" s="0" t="b">
        <v>0</v>
      </c>
      <c r="S4523" s="0" t="b">
        <v>0</v>
      </c>
      <c r="T4523" s="68">
        <v>46052.7863310185</v>
      </c>
      <c r="U4523" s="68">
        <v>0</v>
      </c>
      <c r="V4523" s="68">
        <v>46092.1668981481</v>
      </c>
      <c r="W4523" s="0">
        <f>IF(IF(B4523="none",1,IF(B4523="Trialer",1,0))+IF(C4523="Customer",1,IF(C4523="Lost",1,0))=2,1,0)</f>
      </c>
      <c r="X4523" s="0" t="s">
        <v>136</v>
      </c>
      <c r="Y4523" s="0" t="s">
        <v>1516</v>
      </c>
      <c r="AV4523" s="68"/>
      <c r="AW4523" s="68"/>
      <c r="AY4523" s="27"/>
      <c r="BD4523" s="68">
        <v>46054.1666666667</v>
      </c>
      <c r="BE4523" s="68">
        <v>46082.1666666667</v>
      </c>
      <c r="BF4523" s="0" t="b">
        <v>0</v>
      </c>
      <c r="BG4523" s="0" t="b">
        <v>0</v>
      </c>
      <c r="BH4523" s="0">
        <v>44.25</v>
      </c>
      <c r="BI4523" s="0">
        <v>44.25</v>
      </c>
      <c r="BJ4523" s="0" t="s">
        <v>135</v>
      </c>
    </row>
    <row r="4524">
      <c r="A4524" s="0" t="s">
        <v>4787</v>
      </c>
      <c r="B4524" s="0" t="s">
        <v>652</v>
      </c>
      <c r="C4524" s="0" t="s">
        <v>652</v>
      </c>
      <c r="D4524" s="0" t="s">
        <v>135</v>
      </c>
      <c r="E4524" s="0" t="s">
        <v>2</v>
      </c>
      <c r="F4524" s="0" t="s">
        <v>12</v>
      </c>
      <c r="G4524" s="0" t="s">
        <v>8</v>
      </c>
      <c r="H4524" s="0">
        <v>1</v>
      </c>
      <c r="I4524" s="0">
        <v>0</v>
      </c>
      <c r="J4524" s="0">
        <v>0</v>
      </c>
      <c r="K4524" s="0">
        <v>0</v>
      </c>
      <c r="L4524" s="0">
        <v>0</v>
      </c>
      <c r="M4524" s="0">
        <v>0</v>
      </c>
      <c r="N4524" s="0">
        <v>0</v>
      </c>
      <c r="O4524" s="0">
        <v>0</v>
      </c>
      <c r="P4524" s="0">
        <v>0</v>
      </c>
      <c r="R4524" s="0" t="b">
        <v>0</v>
      </c>
      <c r="S4524" s="0" t="b">
        <v>0</v>
      </c>
      <c r="T4524" s="68">
        <v>46052.8054976852</v>
      </c>
      <c r="U4524" s="68">
        <v>0</v>
      </c>
      <c r="V4524" s="68">
        <v>46092.1667708333</v>
      </c>
      <c r="W4524" s="0">
        <f>IF(IF(B4524="none",1,IF(B4524="Trialer",1,0))+IF(C4524="Customer",1,IF(C4524="Lost",1,0))=2,1,0)</f>
      </c>
      <c r="X4524" s="0" t="s">
        <v>145</v>
      </c>
      <c r="Y4524" s="0" t="s">
        <v>499</v>
      </c>
      <c r="AV4524" s="68"/>
      <c r="AW4524" s="68"/>
      <c r="AY4524" s="27"/>
      <c r="BD4524" s="68">
        <v>46054.1666666667</v>
      </c>
      <c r="BE4524" s="68">
        <v>46082.1666666667</v>
      </c>
      <c r="BF4524" s="0" t="b">
        <v>0</v>
      </c>
      <c r="BG4524" s="0" t="b">
        <v>0</v>
      </c>
      <c r="BH4524" s="0">
        <v>53.25</v>
      </c>
      <c r="BI4524" s="0">
        <v>53.25</v>
      </c>
      <c r="BJ4524" s="0" t="s">
        <v>135</v>
      </c>
    </row>
    <row r="4525">
      <c r="A4525" s="0" t="s">
        <v>4788</v>
      </c>
      <c r="B4525" s="0" t="s">
        <v>652</v>
      </c>
      <c r="C4525" s="0" t="s">
        <v>652</v>
      </c>
      <c r="D4525" s="0" t="s">
        <v>135</v>
      </c>
      <c r="E4525" s="0" t="s">
        <v>1515</v>
      </c>
      <c r="F4525" s="0" t="s">
        <v>12</v>
      </c>
      <c r="G4525" s="0" t="s">
        <v>8</v>
      </c>
      <c r="H4525" s="0">
        <v>1</v>
      </c>
      <c r="I4525" s="0">
        <v>0</v>
      </c>
      <c r="J4525" s="0">
        <v>0</v>
      </c>
      <c r="K4525" s="0">
        <v>0</v>
      </c>
      <c r="L4525" s="0">
        <v>0</v>
      </c>
      <c r="M4525" s="0">
        <v>0</v>
      </c>
      <c r="N4525" s="0">
        <v>0</v>
      </c>
      <c r="O4525" s="0">
        <v>0</v>
      </c>
      <c r="P4525" s="0">
        <v>0</v>
      </c>
      <c r="R4525" s="0" t="b">
        <v>0</v>
      </c>
      <c r="S4525" s="0" t="b">
        <v>0</v>
      </c>
      <c r="T4525" s="68">
        <v>46052.8302893518</v>
      </c>
      <c r="U4525" s="68">
        <v>0</v>
      </c>
      <c r="V4525" s="68">
        <v>46092.1668981481</v>
      </c>
      <c r="W4525" s="0">
        <f>IF(IF(B4525="none",1,IF(B4525="Trialer",1,0))+IF(C4525="Customer",1,IF(C4525="Lost",1,0))=2,1,0)</f>
      </c>
      <c r="X4525" s="0" t="s">
        <v>145</v>
      </c>
      <c r="Y4525" s="0" t="s">
        <v>1516</v>
      </c>
      <c r="AV4525" s="68"/>
      <c r="AW4525" s="68"/>
      <c r="AY4525" s="27"/>
      <c r="BD4525" s="68">
        <v>46054.1666666667</v>
      </c>
      <c r="BE4525" s="68">
        <v>46082.1666666667</v>
      </c>
      <c r="BF4525" s="0" t="b">
        <v>0</v>
      </c>
      <c r="BG4525" s="0" t="b">
        <v>0</v>
      </c>
      <c r="BH4525" s="0">
        <v>44.25</v>
      </c>
      <c r="BI4525" s="0">
        <v>44.25</v>
      </c>
      <c r="BJ4525" s="0" t="s">
        <v>135</v>
      </c>
    </row>
    <row r="4526">
      <c r="A4526" s="0" t="s">
        <v>4789</v>
      </c>
      <c r="B4526" s="0" t="s">
        <v>652</v>
      </c>
      <c r="C4526" s="0" t="s">
        <v>652</v>
      </c>
      <c r="D4526" s="0" t="s">
        <v>135</v>
      </c>
      <c r="E4526" s="0" t="s">
        <v>2</v>
      </c>
      <c r="F4526" s="0" t="s">
        <v>12</v>
      </c>
      <c r="G4526" s="0" t="s">
        <v>8</v>
      </c>
      <c r="H4526" s="0">
        <v>1</v>
      </c>
      <c r="I4526" s="0">
        <v>0</v>
      </c>
      <c r="J4526" s="0">
        <v>0</v>
      </c>
      <c r="K4526" s="0">
        <v>0</v>
      </c>
      <c r="L4526" s="0">
        <v>0</v>
      </c>
      <c r="M4526" s="0">
        <v>0</v>
      </c>
      <c r="N4526" s="0">
        <v>0</v>
      </c>
      <c r="O4526" s="0">
        <v>0</v>
      </c>
      <c r="P4526" s="0">
        <v>0</v>
      </c>
      <c r="R4526" s="0" t="b">
        <v>0</v>
      </c>
      <c r="S4526" s="0" t="b">
        <v>0</v>
      </c>
      <c r="T4526" s="68">
        <v>46052.8724421296</v>
      </c>
      <c r="U4526" s="68">
        <v>0</v>
      </c>
      <c r="V4526" s="68">
        <v>46092.1669675926</v>
      </c>
      <c r="W4526" s="0">
        <f>IF(IF(B4526="none",1,IF(B4526="Trialer",1,0))+IF(C4526="Customer",1,IF(C4526="Lost",1,0))=2,1,0)</f>
      </c>
      <c r="X4526" s="0" t="s">
        <v>136</v>
      </c>
      <c r="Y4526" s="0" t="s">
        <v>499</v>
      </c>
      <c r="AV4526" s="68"/>
      <c r="AW4526" s="68"/>
      <c r="AY4526" s="27"/>
      <c r="BD4526" s="68">
        <v>46054.1666666667</v>
      </c>
      <c r="BE4526" s="68">
        <v>46082.1666666667</v>
      </c>
      <c r="BF4526" s="0" t="b">
        <v>0</v>
      </c>
      <c r="BG4526" s="0" t="b">
        <v>0</v>
      </c>
      <c r="BH4526" s="0">
        <v>53.25</v>
      </c>
      <c r="BI4526" s="0">
        <v>53.25</v>
      </c>
      <c r="BJ4526" s="0" t="s">
        <v>135</v>
      </c>
    </row>
    <row r="4527">
      <c r="A4527" s="0" t="s">
        <v>4790</v>
      </c>
      <c r="B4527" s="0" t="s">
        <v>652</v>
      </c>
      <c r="C4527" s="0" t="s">
        <v>652</v>
      </c>
      <c r="D4527" s="0" t="s">
        <v>135</v>
      </c>
      <c r="E4527" s="0" t="s">
        <v>3</v>
      </c>
      <c r="F4527" s="0" t="s">
        <v>12</v>
      </c>
      <c r="G4527" s="0" t="s">
        <v>8</v>
      </c>
      <c r="H4527" s="0">
        <v>0</v>
      </c>
      <c r="I4527" s="0">
        <v>0</v>
      </c>
      <c r="J4527" s="0">
        <v>0</v>
      </c>
      <c r="K4527" s="0">
        <v>0</v>
      </c>
      <c r="L4527" s="0">
        <v>0</v>
      </c>
      <c r="M4527" s="0">
        <v>0</v>
      </c>
      <c r="N4527" s="0">
        <v>0</v>
      </c>
      <c r="O4527" s="0">
        <v>0</v>
      </c>
      <c r="P4527" s="0">
        <v>0</v>
      </c>
      <c r="R4527" s="0" t="b">
        <v>0</v>
      </c>
      <c r="S4527" s="0" t="b">
        <v>0</v>
      </c>
      <c r="T4527" s="68">
        <v>46052.9646643518</v>
      </c>
      <c r="U4527" s="68">
        <v>0</v>
      </c>
      <c r="V4527" s="68">
        <v>46092.1667939815</v>
      </c>
      <c r="W4527" s="0">
        <f>IF(IF(B4527="none",1,IF(B4527="Trialer",1,0))+IF(C4527="Customer",1,IF(C4527="Lost",1,0))=2,1,0)</f>
      </c>
      <c r="X4527" s="0" t="s">
        <v>882</v>
      </c>
      <c r="Y4527" s="0" t="s">
        <v>243</v>
      </c>
      <c r="AV4527" s="68"/>
      <c r="AW4527" s="68"/>
      <c r="AY4527" s="27"/>
      <c r="BD4527" s="68">
        <v>46054.1666666667</v>
      </c>
      <c r="BE4527" s="68">
        <v>46082.1666666667</v>
      </c>
      <c r="BF4527" s="0" t="b">
        <v>0</v>
      </c>
      <c r="BG4527" s="0" t="b">
        <v>0</v>
      </c>
      <c r="BH4527" s="0">
        <v>53.25</v>
      </c>
      <c r="BI4527" s="0">
        <v>53.25</v>
      </c>
      <c r="BJ4527" s="0" t="s">
        <v>135</v>
      </c>
    </row>
    <row r="4528">
      <c r="A4528" s="0" t="s">
        <v>4791</v>
      </c>
      <c r="B4528" s="0" t="s">
        <v>652</v>
      </c>
      <c r="C4528" s="0" t="s">
        <v>652</v>
      </c>
      <c r="D4528" s="0" t="s">
        <v>135</v>
      </c>
      <c r="E4528" s="0" t="s">
        <v>3</v>
      </c>
      <c r="F4528" s="0" t="s">
        <v>12</v>
      </c>
      <c r="G4528" s="0" t="s">
        <v>8</v>
      </c>
      <c r="H4528" s="0">
        <v>0</v>
      </c>
      <c r="I4528" s="0">
        <v>0</v>
      </c>
      <c r="J4528" s="0">
        <v>0</v>
      </c>
      <c r="K4528" s="0">
        <v>0</v>
      </c>
      <c r="L4528" s="0">
        <v>0</v>
      </c>
      <c r="M4528" s="0">
        <v>0</v>
      </c>
      <c r="N4528" s="0">
        <v>0</v>
      </c>
      <c r="O4528" s="0">
        <v>0</v>
      </c>
      <c r="P4528" s="0">
        <v>0</v>
      </c>
      <c r="R4528" s="0" t="b">
        <v>0</v>
      </c>
      <c r="S4528" s="0" t="b">
        <v>0</v>
      </c>
      <c r="T4528" s="68">
        <v>46053.0987037037</v>
      </c>
      <c r="U4528" s="68">
        <v>0</v>
      </c>
      <c r="V4528" s="68">
        <v>46092.1668055556</v>
      </c>
      <c r="W4528" s="0">
        <f>IF(IF(B4528="none",1,IF(B4528="Trialer",1,0))+IF(C4528="Customer",1,IF(C4528="Lost",1,0))=2,1,0)</f>
      </c>
      <c r="X4528" s="0" t="s">
        <v>148</v>
      </c>
      <c r="Y4528" s="0" t="s">
        <v>243</v>
      </c>
      <c r="AV4528" s="68"/>
      <c r="AW4528" s="68"/>
      <c r="AY4528" s="27"/>
      <c r="BD4528" s="68">
        <v>46054.1666666667</v>
      </c>
      <c r="BE4528" s="68">
        <v>46082.1666666667</v>
      </c>
      <c r="BF4528" s="0" t="b">
        <v>0</v>
      </c>
      <c r="BG4528" s="0" t="b">
        <v>0</v>
      </c>
      <c r="BH4528" s="0">
        <v>63.75</v>
      </c>
      <c r="BI4528" s="0">
        <v>63.75</v>
      </c>
      <c r="BJ4528" s="0" t="s">
        <v>135</v>
      </c>
    </row>
    <row r="4529">
      <c r="A4529" s="0" t="s">
        <v>4792</v>
      </c>
      <c r="B4529" s="0" t="s">
        <v>652</v>
      </c>
      <c r="C4529" s="0" t="s">
        <v>652</v>
      </c>
      <c r="D4529" s="0" t="s">
        <v>135</v>
      </c>
      <c r="E4529" s="0" t="s">
        <v>1515</v>
      </c>
      <c r="F4529" s="0" t="s">
        <v>12</v>
      </c>
      <c r="G4529" s="0" t="s">
        <v>8</v>
      </c>
      <c r="H4529" s="0">
        <v>0</v>
      </c>
      <c r="I4529" s="0">
        <v>0</v>
      </c>
      <c r="J4529" s="0">
        <v>0</v>
      </c>
      <c r="K4529" s="0">
        <v>0</v>
      </c>
      <c r="L4529" s="0">
        <v>0</v>
      </c>
      <c r="M4529" s="0">
        <v>0</v>
      </c>
      <c r="N4529" s="0">
        <v>0</v>
      </c>
      <c r="O4529" s="0">
        <v>0</v>
      </c>
      <c r="P4529" s="0">
        <v>0</v>
      </c>
      <c r="R4529" s="0" t="b">
        <v>0</v>
      </c>
      <c r="S4529" s="0" t="b">
        <v>0</v>
      </c>
      <c r="T4529" s="68">
        <v>46053.1694560185</v>
      </c>
      <c r="U4529" s="68">
        <v>0</v>
      </c>
      <c r="V4529" s="68">
        <v>46093.1667476852</v>
      </c>
      <c r="W4529" s="0">
        <f>IF(IF(B4529="none",1,IF(B4529="Trialer",1,0))+IF(C4529="Customer",1,IF(C4529="Lost",1,0))=2,1,0)</f>
      </c>
      <c r="X4529" s="0" t="s">
        <v>145</v>
      </c>
      <c r="Y4529" s="0" t="s">
        <v>1516</v>
      </c>
      <c r="AV4529" s="68"/>
      <c r="AW4529" s="68"/>
      <c r="AY4529" s="27"/>
      <c r="BD4529" s="68">
        <v>46054.1666666667</v>
      </c>
      <c r="BE4529" s="68">
        <v>46082.1666666667</v>
      </c>
      <c r="BF4529" s="0" t="b">
        <v>0</v>
      </c>
      <c r="BG4529" s="0" t="b">
        <v>0</v>
      </c>
      <c r="BH4529" s="0">
        <v>44.25</v>
      </c>
      <c r="BI4529" s="0">
        <v>44.25</v>
      </c>
      <c r="BJ4529" s="0" t="s">
        <v>135</v>
      </c>
    </row>
    <row r="4530">
      <c r="A4530" s="0" t="s">
        <v>4793</v>
      </c>
      <c r="B4530" s="0" t="s">
        <v>652</v>
      </c>
      <c r="C4530" s="0" t="s">
        <v>652</v>
      </c>
      <c r="D4530" s="0" t="s">
        <v>135</v>
      </c>
      <c r="E4530" s="0" t="s">
        <v>2414</v>
      </c>
      <c r="F4530" s="0" t="s">
        <v>12</v>
      </c>
      <c r="G4530" s="0" t="s">
        <v>8</v>
      </c>
      <c r="H4530" s="0">
        <v>0</v>
      </c>
      <c r="I4530" s="0">
        <v>0</v>
      </c>
      <c r="J4530" s="0">
        <v>0</v>
      </c>
      <c r="K4530" s="0">
        <v>0</v>
      </c>
      <c r="L4530" s="0">
        <v>0</v>
      </c>
      <c r="M4530" s="0">
        <v>0</v>
      </c>
      <c r="N4530" s="0">
        <v>0</v>
      </c>
      <c r="O4530" s="0">
        <v>0</v>
      </c>
      <c r="P4530" s="0">
        <v>0</v>
      </c>
      <c r="R4530" s="0" t="b">
        <v>0</v>
      </c>
      <c r="S4530" s="0" t="b">
        <v>0</v>
      </c>
      <c r="T4530" s="68">
        <v>46053.1701157407</v>
      </c>
      <c r="U4530" s="68">
        <v>0</v>
      </c>
      <c r="V4530" s="68">
        <v>46093.1667708333</v>
      </c>
      <c r="W4530" s="0">
        <f>IF(IF(B4530="none",1,IF(B4530="Trialer",1,0))+IF(C4530="Customer",1,IF(C4530="Lost",1,0))=2,1,0)</f>
      </c>
      <c r="X4530" s="0" t="s">
        <v>136</v>
      </c>
      <c r="Y4530" s="0" t="s">
        <v>1516</v>
      </c>
      <c r="AV4530" s="68"/>
      <c r="AW4530" s="68"/>
      <c r="AY4530" s="27"/>
      <c r="BD4530" s="68">
        <v>46054.1666666667</v>
      </c>
      <c r="BE4530" s="68">
        <v>46082.1666666667</v>
      </c>
      <c r="BF4530" s="0" t="b">
        <v>0</v>
      </c>
      <c r="BG4530" s="0" t="b">
        <v>0</v>
      </c>
      <c r="BH4530" s="0">
        <v>44.25</v>
      </c>
      <c r="BI4530" s="0">
        <v>44.25</v>
      </c>
      <c r="BJ4530" s="0" t="s">
        <v>135</v>
      </c>
    </row>
    <row r="4531">
      <c r="A4531" s="0" t="s">
        <v>4794</v>
      </c>
      <c r="B4531" s="0" t="s">
        <v>652</v>
      </c>
      <c r="C4531" s="0" t="s">
        <v>652</v>
      </c>
      <c r="D4531" s="0" t="s">
        <v>135</v>
      </c>
      <c r="E4531" s="0" t="s">
        <v>1515</v>
      </c>
      <c r="F4531" s="0" t="s">
        <v>12</v>
      </c>
      <c r="G4531" s="0" t="s">
        <v>8</v>
      </c>
      <c r="H4531" s="0">
        <v>0</v>
      </c>
      <c r="I4531" s="0">
        <v>0</v>
      </c>
      <c r="J4531" s="0">
        <v>0</v>
      </c>
      <c r="K4531" s="0">
        <v>0</v>
      </c>
      <c r="L4531" s="0">
        <v>0</v>
      </c>
      <c r="M4531" s="0">
        <v>0</v>
      </c>
      <c r="N4531" s="0">
        <v>0</v>
      </c>
      <c r="O4531" s="0">
        <v>0</v>
      </c>
      <c r="P4531" s="0">
        <v>0</v>
      </c>
      <c r="R4531" s="0" t="b">
        <v>0</v>
      </c>
      <c r="S4531" s="0" t="b">
        <v>0</v>
      </c>
      <c r="T4531" s="68">
        <v>46053.2410416667</v>
      </c>
      <c r="U4531" s="68">
        <v>0</v>
      </c>
      <c r="V4531" s="68">
        <v>46093.1667824074</v>
      </c>
      <c r="W4531" s="0">
        <f>IF(IF(B4531="none",1,IF(B4531="Trialer",1,0))+IF(C4531="Customer",1,IF(C4531="Lost",1,0))=2,1,0)</f>
      </c>
      <c r="X4531" s="0" t="s">
        <v>148</v>
      </c>
      <c r="Y4531" s="0" t="s">
        <v>1516</v>
      </c>
      <c r="AV4531" s="68"/>
      <c r="AW4531" s="68"/>
      <c r="AY4531" s="27"/>
      <c r="BD4531" s="68">
        <v>46054.1666666667</v>
      </c>
      <c r="BE4531" s="68">
        <v>46082.1666666667</v>
      </c>
      <c r="BF4531" s="0" t="b">
        <v>0</v>
      </c>
      <c r="BG4531" s="0" t="b">
        <v>0</v>
      </c>
      <c r="BH4531" s="0">
        <v>44.25</v>
      </c>
      <c r="BI4531" s="0">
        <v>44.25</v>
      </c>
      <c r="BJ4531" s="0" t="s">
        <v>135</v>
      </c>
    </row>
    <row r="4532">
      <c r="A4532" s="0" t="s">
        <v>4795</v>
      </c>
      <c r="B4532" s="0" t="s">
        <v>652</v>
      </c>
      <c r="C4532" s="0" t="s">
        <v>652</v>
      </c>
      <c r="D4532" s="0" t="s">
        <v>135</v>
      </c>
      <c r="E4532" s="0" t="s">
        <v>1515</v>
      </c>
      <c r="F4532" s="0" t="s">
        <v>12</v>
      </c>
      <c r="G4532" s="0" t="s">
        <v>8</v>
      </c>
      <c r="H4532" s="0">
        <v>0</v>
      </c>
      <c r="I4532" s="0">
        <v>0</v>
      </c>
      <c r="J4532" s="0">
        <v>0</v>
      </c>
      <c r="K4532" s="0">
        <v>0</v>
      </c>
      <c r="L4532" s="0">
        <v>0</v>
      </c>
      <c r="M4532" s="0">
        <v>0</v>
      </c>
      <c r="N4532" s="0">
        <v>0</v>
      </c>
      <c r="O4532" s="0">
        <v>0</v>
      </c>
      <c r="P4532" s="0">
        <v>0</v>
      </c>
      <c r="R4532" s="0" t="b">
        <v>0</v>
      </c>
      <c r="S4532" s="0" t="b">
        <v>0</v>
      </c>
      <c r="T4532" s="68">
        <v>46053.4155555556</v>
      </c>
      <c r="U4532" s="68">
        <v>0</v>
      </c>
      <c r="V4532" s="68">
        <v>46093.1668055556</v>
      </c>
      <c r="W4532" s="0">
        <f>IF(IF(B4532="none",1,IF(B4532="Trialer",1,0))+IF(C4532="Customer",1,IF(C4532="Lost",1,0))=2,1,0)</f>
      </c>
      <c r="X4532" s="0" t="s">
        <v>136</v>
      </c>
      <c r="Y4532" s="0" t="s">
        <v>1516</v>
      </c>
      <c r="AV4532" s="68"/>
      <c r="AW4532" s="68"/>
      <c r="AY4532" s="27"/>
      <c r="BD4532" s="68">
        <v>46054.1666666667</v>
      </c>
      <c r="BE4532" s="68">
        <v>46082.1666666667</v>
      </c>
      <c r="BF4532" s="0" t="b">
        <v>0</v>
      </c>
      <c r="BG4532" s="0" t="b">
        <v>0</v>
      </c>
      <c r="BH4532" s="0">
        <v>44.25</v>
      </c>
      <c r="BI4532" s="0">
        <v>44.25</v>
      </c>
      <c r="BJ4532" s="0" t="s">
        <v>135</v>
      </c>
    </row>
    <row r="4533">
      <c r="A4533" s="0" t="s">
        <v>4796</v>
      </c>
      <c r="B4533" s="0" t="s">
        <v>652</v>
      </c>
      <c r="C4533" s="0" t="s">
        <v>652</v>
      </c>
      <c r="D4533" s="0" t="s">
        <v>135</v>
      </c>
      <c r="E4533" s="0" t="s">
        <v>3</v>
      </c>
      <c r="F4533" s="0" t="s">
        <v>12</v>
      </c>
      <c r="G4533" s="0" t="s">
        <v>8</v>
      </c>
      <c r="H4533" s="0">
        <v>0</v>
      </c>
      <c r="I4533" s="0">
        <v>0</v>
      </c>
      <c r="J4533" s="0">
        <v>0</v>
      </c>
      <c r="K4533" s="0">
        <v>0</v>
      </c>
      <c r="L4533" s="0">
        <v>0</v>
      </c>
      <c r="M4533" s="0">
        <v>0</v>
      </c>
      <c r="N4533" s="0">
        <v>0</v>
      </c>
      <c r="O4533" s="0">
        <v>0</v>
      </c>
      <c r="P4533" s="0">
        <v>0</v>
      </c>
      <c r="R4533" s="0" t="b">
        <v>0</v>
      </c>
      <c r="S4533" s="0" t="b">
        <v>0</v>
      </c>
      <c r="T4533" s="68">
        <v>46053.4173611111</v>
      </c>
      <c r="U4533" s="68">
        <v>0</v>
      </c>
      <c r="V4533" s="68">
        <v>46093.166724537</v>
      </c>
      <c r="W4533" s="0">
        <f>IF(IF(B4533="none",1,IF(B4533="Trialer",1,0))+IF(C4533="Customer",1,IF(C4533="Lost",1,0))=2,1,0)</f>
      </c>
      <c r="X4533" s="0" t="s">
        <v>136</v>
      </c>
      <c r="Y4533" s="0" t="s">
        <v>243</v>
      </c>
      <c r="AV4533" s="68"/>
      <c r="AW4533" s="68"/>
      <c r="AY4533" s="27"/>
      <c r="BD4533" s="68">
        <v>46054.1666666667</v>
      </c>
      <c r="BE4533" s="68">
        <v>46082.1666666667</v>
      </c>
      <c r="BF4533" s="0" t="b">
        <v>0</v>
      </c>
      <c r="BG4533" s="0" t="b">
        <v>0</v>
      </c>
      <c r="BH4533" s="0">
        <v>44.25</v>
      </c>
      <c r="BI4533" s="0">
        <v>44.25</v>
      </c>
      <c r="BJ4533" s="0" t="s">
        <v>135</v>
      </c>
    </row>
    <row r="4534">
      <c r="A4534" s="0" t="s">
        <v>4797</v>
      </c>
      <c r="B4534" s="0" t="s">
        <v>652</v>
      </c>
      <c r="C4534" s="0" t="s">
        <v>652</v>
      </c>
      <c r="D4534" s="0" t="s">
        <v>135</v>
      </c>
      <c r="E4534" s="0" t="s">
        <v>3</v>
      </c>
      <c r="F4534" s="0" t="s">
        <v>12</v>
      </c>
      <c r="G4534" s="0" t="s">
        <v>8</v>
      </c>
      <c r="H4534" s="0">
        <v>0</v>
      </c>
      <c r="I4534" s="0">
        <v>0</v>
      </c>
      <c r="J4534" s="0">
        <v>0</v>
      </c>
      <c r="K4534" s="0">
        <v>0</v>
      </c>
      <c r="L4534" s="0">
        <v>0</v>
      </c>
      <c r="M4534" s="0">
        <v>0</v>
      </c>
      <c r="N4534" s="0">
        <v>0</v>
      </c>
      <c r="O4534" s="0">
        <v>0</v>
      </c>
      <c r="P4534" s="0">
        <v>0</v>
      </c>
      <c r="R4534" s="0" t="b">
        <v>0</v>
      </c>
      <c r="S4534" s="0" t="b">
        <v>0</v>
      </c>
      <c r="T4534" s="68">
        <v>46053.4349652778</v>
      </c>
      <c r="U4534" s="68">
        <v>0</v>
      </c>
      <c r="V4534" s="68">
        <v>46093.166875</v>
      </c>
      <c r="W4534" s="0">
        <f>IF(IF(B4534="none",1,IF(B4534="Trialer",1,0))+IF(C4534="Customer",1,IF(C4534="Lost",1,0))=2,1,0)</f>
      </c>
      <c r="X4534" s="0" t="s">
        <v>882</v>
      </c>
      <c r="Y4534" s="0" t="s">
        <v>243</v>
      </c>
      <c r="AV4534" s="68"/>
      <c r="AW4534" s="68"/>
      <c r="AY4534" s="27"/>
      <c r="BD4534" s="68">
        <v>46054.1666666667</v>
      </c>
      <c r="BE4534" s="68">
        <v>46082.1666666667</v>
      </c>
      <c r="BF4534" s="0" t="b">
        <v>0</v>
      </c>
      <c r="BG4534" s="0" t="b">
        <v>0</v>
      </c>
      <c r="BH4534" s="0">
        <v>53.25</v>
      </c>
      <c r="BI4534" s="0">
        <v>53.25</v>
      </c>
      <c r="BJ4534" s="0" t="s">
        <v>135</v>
      </c>
    </row>
    <row r="4535">
      <c r="A4535" s="0" t="s">
        <v>4798</v>
      </c>
      <c r="B4535" s="0" t="s">
        <v>652</v>
      </c>
      <c r="C4535" s="0" t="s">
        <v>652</v>
      </c>
      <c r="D4535" s="0" t="s">
        <v>135</v>
      </c>
      <c r="E4535" s="0" t="s">
        <v>4</v>
      </c>
      <c r="F4535" s="0" t="s">
        <v>12</v>
      </c>
      <c r="G4535" s="0" t="s">
        <v>8</v>
      </c>
      <c r="H4535" s="0">
        <v>0</v>
      </c>
      <c r="I4535" s="0">
        <v>0</v>
      </c>
      <c r="J4535" s="0">
        <v>0</v>
      </c>
      <c r="K4535" s="0">
        <v>0</v>
      </c>
      <c r="L4535" s="0">
        <v>0</v>
      </c>
      <c r="M4535" s="0">
        <v>0</v>
      </c>
      <c r="N4535" s="0">
        <v>0</v>
      </c>
      <c r="O4535" s="0">
        <v>0</v>
      </c>
      <c r="P4535" s="0">
        <v>0</v>
      </c>
      <c r="R4535" s="0" t="b">
        <v>0</v>
      </c>
      <c r="S4535" s="0" t="b">
        <v>0</v>
      </c>
      <c r="T4535" s="68">
        <v>46053.4665740741</v>
      </c>
      <c r="U4535" s="68">
        <v>0</v>
      </c>
      <c r="V4535" s="68">
        <v>46055.5658796296</v>
      </c>
      <c r="W4535" s="0">
        <f>IF(IF(B4535="none",1,IF(B4535="Trialer",1,0))+IF(C4535="Customer",1,IF(C4535="Lost",1,0))=2,1,0)</f>
      </c>
      <c r="X4535" s="0" t="s">
        <v>145</v>
      </c>
      <c r="Y4535" s="0" t="s">
        <v>4092</v>
      </c>
      <c r="AV4535" s="68"/>
      <c r="AW4535" s="68"/>
      <c r="AY4535" s="27"/>
      <c r="BD4535" s="68">
        <v>46054.1666666667</v>
      </c>
      <c r="BE4535" s="68">
        <v>46082.1666666667</v>
      </c>
      <c r="BF4535" s="0" t="b">
        <v>0</v>
      </c>
      <c r="BG4535" s="0" t="b">
        <v>0</v>
      </c>
      <c r="BH4535" s="0">
        <v>44.25</v>
      </c>
      <c r="BI4535" s="0">
        <v>44.25</v>
      </c>
      <c r="BJ4535" s="0" t="s">
        <v>135</v>
      </c>
    </row>
    <row r="4536">
      <c r="A4536" s="0" t="s">
        <v>4799</v>
      </c>
      <c r="B4536" s="0" t="s">
        <v>652</v>
      </c>
      <c r="C4536" s="0" t="s">
        <v>652</v>
      </c>
      <c r="D4536" s="0" t="s">
        <v>135</v>
      </c>
      <c r="E4536" s="0" t="s">
        <v>3</v>
      </c>
      <c r="F4536" s="0" t="s">
        <v>12</v>
      </c>
      <c r="G4536" s="0" t="s">
        <v>8</v>
      </c>
      <c r="H4536" s="0">
        <v>0</v>
      </c>
      <c r="I4536" s="0">
        <v>0</v>
      </c>
      <c r="J4536" s="0">
        <v>0</v>
      </c>
      <c r="K4536" s="0">
        <v>0</v>
      </c>
      <c r="L4536" s="0">
        <v>0</v>
      </c>
      <c r="M4536" s="0">
        <v>0</v>
      </c>
      <c r="N4536" s="0">
        <v>0</v>
      </c>
      <c r="O4536" s="0">
        <v>0</v>
      </c>
      <c r="P4536" s="0">
        <v>0</v>
      </c>
      <c r="R4536" s="0" t="b">
        <v>0</v>
      </c>
      <c r="S4536" s="0" t="b">
        <v>0</v>
      </c>
      <c r="T4536" s="68">
        <v>46053.5028819444</v>
      </c>
      <c r="U4536" s="68">
        <v>0</v>
      </c>
      <c r="V4536" s="68">
        <v>46093.1668402778</v>
      </c>
      <c r="W4536" s="0">
        <f>IF(IF(B4536="none",1,IF(B4536="Trialer",1,0))+IF(C4536="Customer",1,IF(C4536="Lost",1,0))=2,1,0)</f>
      </c>
      <c r="X4536" s="0" t="s">
        <v>148</v>
      </c>
      <c r="Y4536" s="0" t="s">
        <v>243</v>
      </c>
      <c r="AV4536" s="68"/>
      <c r="AW4536" s="68"/>
      <c r="AY4536" s="27"/>
      <c r="BD4536" s="68">
        <v>46054.1666666667</v>
      </c>
      <c r="BE4536" s="68">
        <v>46082.1666666667</v>
      </c>
      <c r="BF4536" s="0" t="b">
        <v>0</v>
      </c>
      <c r="BG4536" s="0" t="b">
        <v>0</v>
      </c>
      <c r="BH4536" s="0">
        <v>53.25</v>
      </c>
      <c r="BI4536" s="0">
        <v>53.25</v>
      </c>
      <c r="BJ4536" s="0" t="s">
        <v>135</v>
      </c>
    </row>
    <row r="4537">
      <c r="A4537" s="0" t="s">
        <v>4800</v>
      </c>
      <c r="B4537" s="0" t="s">
        <v>652</v>
      </c>
      <c r="C4537" s="0" t="s">
        <v>652</v>
      </c>
      <c r="D4537" s="0" t="s">
        <v>135</v>
      </c>
      <c r="E4537" s="0" t="s">
        <v>3</v>
      </c>
      <c r="F4537" s="0" t="s">
        <v>12</v>
      </c>
      <c r="G4537" s="0" t="s">
        <v>8</v>
      </c>
      <c r="H4537" s="0">
        <v>0</v>
      </c>
      <c r="I4537" s="0">
        <v>0</v>
      </c>
      <c r="J4537" s="0">
        <v>0</v>
      </c>
      <c r="K4537" s="0">
        <v>0</v>
      </c>
      <c r="L4537" s="0">
        <v>0</v>
      </c>
      <c r="M4537" s="0">
        <v>0</v>
      </c>
      <c r="N4537" s="0">
        <v>0</v>
      </c>
      <c r="O4537" s="0">
        <v>0</v>
      </c>
      <c r="P4537" s="0">
        <v>0</v>
      </c>
      <c r="R4537" s="0" t="b">
        <v>0</v>
      </c>
      <c r="S4537" s="0" t="b">
        <v>0</v>
      </c>
      <c r="T4537" s="68">
        <v>46053.5360185185</v>
      </c>
      <c r="U4537" s="68">
        <v>0</v>
      </c>
      <c r="V4537" s="68">
        <v>46093.1668171296</v>
      </c>
      <c r="W4537" s="0">
        <f>IF(IF(B4537="none",1,IF(B4537="Trialer",1,0))+IF(C4537="Customer",1,IF(C4537="Lost",1,0))=2,1,0)</f>
      </c>
      <c r="X4537" s="0" t="s">
        <v>148</v>
      </c>
      <c r="Y4537" s="0" t="s">
        <v>243</v>
      </c>
      <c r="AV4537" s="68"/>
      <c r="AW4537" s="68"/>
      <c r="AY4537" s="27"/>
      <c r="BD4537" s="68">
        <v>46054.1666666667</v>
      </c>
      <c r="BE4537" s="68">
        <v>46082.1666666667</v>
      </c>
      <c r="BF4537" s="0" t="b">
        <v>0</v>
      </c>
      <c r="BG4537" s="0" t="b">
        <v>0</v>
      </c>
      <c r="BH4537" s="0">
        <v>53.25</v>
      </c>
      <c r="BI4537" s="0">
        <v>53.25</v>
      </c>
      <c r="BJ4537" s="0" t="s">
        <v>135</v>
      </c>
    </row>
    <row r="4538">
      <c r="A4538" s="0" t="s">
        <v>4801</v>
      </c>
      <c r="B4538" s="0" t="s">
        <v>652</v>
      </c>
      <c r="C4538" s="0" t="s">
        <v>652</v>
      </c>
      <c r="D4538" s="0" t="s">
        <v>135</v>
      </c>
      <c r="E4538" s="0" t="s">
        <v>3</v>
      </c>
      <c r="F4538" s="0" t="s">
        <v>12</v>
      </c>
      <c r="G4538" s="0" t="s">
        <v>8</v>
      </c>
      <c r="H4538" s="0">
        <v>0</v>
      </c>
      <c r="I4538" s="0">
        <v>0</v>
      </c>
      <c r="J4538" s="0">
        <v>0</v>
      </c>
      <c r="K4538" s="0">
        <v>0</v>
      </c>
      <c r="L4538" s="0">
        <v>0</v>
      </c>
      <c r="M4538" s="0">
        <v>0</v>
      </c>
      <c r="N4538" s="0">
        <v>0</v>
      </c>
      <c r="O4538" s="0">
        <v>0</v>
      </c>
      <c r="P4538" s="0">
        <v>0</v>
      </c>
      <c r="R4538" s="0" t="b">
        <v>0</v>
      </c>
      <c r="S4538" s="0" t="b">
        <v>0</v>
      </c>
      <c r="T4538" s="68">
        <v>46053.5931828704</v>
      </c>
      <c r="U4538" s="68">
        <v>0</v>
      </c>
      <c r="V4538" s="68">
        <v>46055.376875</v>
      </c>
      <c r="W4538" s="0">
        <f>IF(IF(B4538="none",1,IF(B4538="Trialer",1,0))+IF(C4538="Customer",1,IF(C4538="Lost",1,0))=2,1,0)</f>
      </c>
      <c r="X4538" s="0" t="s">
        <v>145</v>
      </c>
      <c r="Y4538" s="0" t="s">
        <v>243</v>
      </c>
      <c r="AV4538" s="68"/>
      <c r="AW4538" s="68"/>
      <c r="AY4538" s="27"/>
      <c r="BD4538" s="68">
        <v>46054.1666666667</v>
      </c>
      <c r="BE4538" s="68">
        <v>46082.1666666667</v>
      </c>
      <c r="BF4538" s="0" t="b">
        <v>0</v>
      </c>
      <c r="BG4538" s="0" t="b">
        <v>0</v>
      </c>
      <c r="BH4538" s="0">
        <v>44.25</v>
      </c>
      <c r="BI4538" s="0">
        <v>44.25</v>
      </c>
      <c r="BJ4538" s="0" t="s">
        <v>135</v>
      </c>
    </row>
    <row r="4539">
      <c r="A4539" s="0" t="s">
        <v>4802</v>
      </c>
      <c r="B4539" s="0" t="s">
        <v>652</v>
      </c>
      <c r="C4539" s="0" t="s">
        <v>652</v>
      </c>
      <c r="D4539" s="0" t="s">
        <v>135</v>
      </c>
      <c r="E4539" s="0" t="s">
        <v>2414</v>
      </c>
      <c r="F4539" s="0" t="s">
        <v>12</v>
      </c>
      <c r="G4539" s="0" t="s">
        <v>8</v>
      </c>
      <c r="H4539" s="0">
        <v>0</v>
      </c>
      <c r="I4539" s="0">
        <v>0</v>
      </c>
      <c r="J4539" s="0">
        <v>0</v>
      </c>
      <c r="K4539" s="0">
        <v>0</v>
      </c>
      <c r="L4539" s="0">
        <v>0</v>
      </c>
      <c r="M4539" s="0">
        <v>0</v>
      </c>
      <c r="N4539" s="0">
        <v>0</v>
      </c>
      <c r="O4539" s="0">
        <v>0</v>
      </c>
      <c r="P4539" s="0">
        <v>0</v>
      </c>
      <c r="R4539" s="0" t="b">
        <v>0</v>
      </c>
      <c r="S4539" s="0" t="b">
        <v>0</v>
      </c>
      <c r="T4539" s="68">
        <v>46053.6019444444</v>
      </c>
      <c r="U4539" s="68">
        <v>0</v>
      </c>
      <c r="V4539" s="68">
        <v>46093.1668287037</v>
      </c>
      <c r="W4539" s="0">
        <f>IF(IF(B4539="none",1,IF(B4539="Trialer",1,0))+IF(C4539="Customer",1,IF(C4539="Lost",1,0))=2,1,0)</f>
      </c>
      <c r="X4539" s="0" t="s">
        <v>136</v>
      </c>
      <c r="Y4539" s="0" t="s">
        <v>1516</v>
      </c>
      <c r="AV4539" s="68"/>
      <c r="AW4539" s="68"/>
      <c r="AY4539" s="27"/>
      <c r="BD4539" s="68">
        <v>46054.1666666667</v>
      </c>
      <c r="BE4539" s="68">
        <v>46082.1666666667</v>
      </c>
      <c r="BF4539" s="0" t="b">
        <v>0</v>
      </c>
      <c r="BG4539" s="0" t="b">
        <v>0</v>
      </c>
      <c r="BH4539" s="0">
        <v>44.25</v>
      </c>
      <c r="BI4539" s="0">
        <v>44.25</v>
      </c>
      <c r="BJ4539" s="0" t="s">
        <v>135</v>
      </c>
    </row>
    <row r="4540">
      <c r="A4540" s="0" t="s">
        <v>4803</v>
      </c>
      <c r="B4540" s="0" t="s">
        <v>652</v>
      </c>
      <c r="C4540" s="0" t="s">
        <v>652</v>
      </c>
      <c r="D4540" s="0" t="s">
        <v>135</v>
      </c>
      <c r="E4540" s="0" t="s">
        <v>4</v>
      </c>
      <c r="F4540" s="0" t="s">
        <v>12</v>
      </c>
      <c r="G4540" s="0" t="s">
        <v>8</v>
      </c>
      <c r="H4540" s="0">
        <v>0</v>
      </c>
      <c r="I4540" s="0">
        <v>0</v>
      </c>
      <c r="J4540" s="0">
        <v>0</v>
      </c>
      <c r="K4540" s="0">
        <v>0</v>
      </c>
      <c r="L4540" s="0">
        <v>0</v>
      </c>
      <c r="M4540" s="0">
        <v>0</v>
      </c>
      <c r="N4540" s="0">
        <v>0</v>
      </c>
      <c r="O4540" s="0">
        <v>0</v>
      </c>
      <c r="P4540" s="0">
        <v>0</v>
      </c>
      <c r="R4540" s="0" t="b">
        <v>0</v>
      </c>
      <c r="S4540" s="0" t="b">
        <v>0</v>
      </c>
      <c r="T4540" s="68">
        <v>46053.6096875</v>
      </c>
      <c r="U4540" s="68">
        <v>0</v>
      </c>
      <c r="V4540" s="68">
        <v>46093.166875</v>
      </c>
      <c r="W4540" s="0">
        <f>IF(IF(B4540="none",1,IF(B4540="Trialer",1,0))+IF(C4540="Customer",1,IF(C4540="Lost",1,0))=2,1,0)</f>
      </c>
      <c r="X4540" s="0" t="s">
        <v>148</v>
      </c>
      <c r="Y4540" s="0" t="s">
        <v>1772</v>
      </c>
      <c r="AV4540" s="68"/>
      <c r="AW4540" s="68"/>
      <c r="AY4540" s="27"/>
      <c r="BD4540" s="68">
        <v>46054.1666666667</v>
      </c>
      <c r="BE4540" s="68">
        <v>46082.1666666667</v>
      </c>
      <c r="BF4540" s="0" t="b">
        <v>0</v>
      </c>
      <c r="BG4540" s="0" t="b">
        <v>0</v>
      </c>
      <c r="BH4540" s="0">
        <v>53.25</v>
      </c>
      <c r="BI4540" s="0">
        <v>53.25</v>
      </c>
      <c r="BJ4540" s="0" t="s">
        <v>135</v>
      </c>
    </row>
    <row r="4541">
      <c r="A4541" s="0" t="s">
        <v>4804</v>
      </c>
      <c r="B4541" s="0" t="s">
        <v>652</v>
      </c>
      <c r="C4541" s="0" t="s">
        <v>652</v>
      </c>
      <c r="D4541" s="0" t="s">
        <v>135</v>
      </c>
      <c r="E4541" s="0" t="s">
        <v>1515</v>
      </c>
      <c r="F4541" s="0" t="s">
        <v>12</v>
      </c>
      <c r="G4541" s="0" t="s">
        <v>8</v>
      </c>
      <c r="H4541" s="0">
        <v>0</v>
      </c>
      <c r="I4541" s="0">
        <v>0</v>
      </c>
      <c r="J4541" s="0">
        <v>0</v>
      </c>
      <c r="K4541" s="0">
        <v>0</v>
      </c>
      <c r="L4541" s="0">
        <v>0</v>
      </c>
      <c r="M4541" s="0">
        <v>0</v>
      </c>
      <c r="N4541" s="0">
        <v>0</v>
      </c>
      <c r="O4541" s="0">
        <v>0</v>
      </c>
      <c r="P4541" s="0">
        <v>0</v>
      </c>
      <c r="R4541" s="0" t="b">
        <v>0</v>
      </c>
      <c r="S4541" s="0" t="b">
        <v>0</v>
      </c>
      <c r="T4541" s="68">
        <v>46053.7161921296</v>
      </c>
      <c r="U4541" s="68">
        <v>0</v>
      </c>
      <c r="V4541" s="68">
        <v>46093.1668865741</v>
      </c>
      <c r="W4541" s="0">
        <f>IF(IF(B4541="none",1,IF(B4541="Trialer",1,0))+IF(C4541="Customer",1,IF(C4541="Lost",1,0))=2,1,0)</f>
      </c>
      <c r="X4541" s="0" t="s">
        <v>145</v>
      </c>
      <c r="Y4541" s="0" t="s">
        <v>1516</v>
      </c>
      <c r="AV4541" s="68"/>
      <c r="AW4541" s="68"/>
      <c r="AY4541" s="27"/>
      <c r="BD4541" s="68">
        <v>46054.1666666667</v>
      </c>
      <c r="BE4541" s="68">
        <v>46082.1666666667</v>
      </c>
      <c r="BF4541" s="0" t="b">
        <v>0</v>
      </c>
      <c r="BG4541" s="0" t="b">
        <v>0</v>
      </c>
      <c r="BH4541" s="0">
        <v>44.25</v>
      </c>
      <c r="BI4541" s="0">
        <v>44.25</v>
      </c>
      <c r="BJ4541" s="0" t="s">
        <v>135</v>
      </c>
    </row>
    <row r="4542">
      <c r="A4542" s="0" t="s">
        <v>4805</v>
      </c>
      <c r="B4542" s="0" t="s">
        <v>652</v>
      </c>
      <c r="C4542" s="0" t="s">
        <v>652</v>
      </c>
      <c r="D4542" s="0" t="s">
        <v>135</v>
      </c>
      <c r="E4542" s="0" t="s">
        <v>3</v>
      </c>
      <c r="F4542" s="0" t="s">
        <v>12</v>
      </c>
      <c r="G4542" s="0" t="s">
        <v>8</v>
      </c>
      <c r="H4542" s="0">
        <v>0</v>
      </c>
      <c r="I4542" s="0">
        <v>0</v>
      </c>
      <c r="J4542" s="0">
        <v>0</v>
      </c>
      <c r="K4542" s="0">
        <v>0</v>
      </c>
      <c r="L4542" s="0">
        <v>0</v>
      </c>
      <c r="M4542" s="0">
        <v>0</v>
      </c>
      <c r="N4542" s="0">
        <v>0</v>
      </c>
      <c r="O4542" s="0">
        <v>0</v>
      </c>
      <c r="P4542" s="0">
        <v>0</v>
      </c>
      <c r="R4542" s="0" t="b">
        <v>0</v>
      </c>
      <c r="S4542" s="0" t="b">
        <v>0</v>
      </c>
      <c r="T4542" s="68">
        <v>46053.7239930556</v>
      </c>
      <c r="U4542" s="68">
        <v>0</v>
      </c>
      <c r="V4542" s="68">
        <v>46093.1668634259</v>
      </c>
      <c r="W4542" s="0">
        <f>IF(IF(B4542="none",1,IF(B4542="Trialer",1,0))+IF(C4542="Customer",1,IF(C4542="Lost",1,0))=2,1,0)</f>
      </c>
      <c r="X4542" s="0" t="s">
        <v>145</v>
      </c>
      <c r="Y4542" s="0" t="s">
        <v>243</v>
      </c>
      <c r="AV4542" s="68"/>
      <c r="AW4542" s="68"/>
      <c r="AY4542" s="27"/>
      <c r="BD4542" s="68">
        <v>46054.1666666667</v>
      </c>
      <c r="BE4542" s="68">
        <v>46082.1666666667</v>
      </c>
      <c r="BF4542" s="0" t="b">
        <v>0</v>
      </c>
      <c r="BG4542" s="0" t="b">
        <v>0</v>
      </c>
      <c r="BH4542" s="0">
        <v>62.25</v>
      </c>
      <c r="BI4542" s="0">
        <v>62.25</v>
      </c>
      <c r="BJ4542" s="0" t="s">
        <v>135</v>
      </c>
    </row>
    <row r="4543">
      <c r="A4543" s="0" t="s">
        <v>4806</v>
      </c>
      <c r="B4543" s="0" t="s">
        <v>652</v>
      </c>
      <c r="C4543" s="0" t="s">
        <v>134</v>
      </c>
      <c r="D4543" s="0" t="s">
        <v>135</v>
      </c>
      <c r="E4543" s="0" t="s">
        <v>3</v>
      </c>
      <c r="F4543" s="0" t="s">
        <v>12</v>
      </c>
      <c r="G4543" s="0" t="s">
        <v>8</v>
      </c>
      <c r="H4543" s="0">
        <v>0</v>
      </c>
      <c r="I4543" s="0">
        <v>186</v>
      </c>
      <c r="J4543" s="0">
        <v>0</v>
      </c>
      <c r="K4543" s="0">
        <v>1</v>
      </c>
      <c r="L4543" s="0">
        <v>4</v>
      </c>
      <c r="M4543" s="0">
        <v>4</v>
      </c>
      <c r="N4543" s="0">
        <v>0</v>
      </c>
      <c r="O4543" s="0">
        <v>0</v>
      </c>
      <c r="P4543" s="0">
        <v>0</v>
      </c>
      <c r="R4543" s="0" t="b">
        <v>0</v>
      </c>
      <c r="S4543" s="0" t="b">
        <v>1</v>
      </c>
      <c r="T4543" s="68">
        <v>46053.7632060185</v>
      </c>
      <c r="U4543" s="68">
        <v>46067.2916666667</v>
      </c>
      <c r="V4543" s="68">
        <v>0</v>
      </c>
      <c r="W4543" s="0">
        <f>IF(IF(B4543="none",1,IF(B4543="Trialer",1,0))+IF(C4543="Customer",1,IF(C4543="Lost",1,0))=2,1,0)</f>
      </c>
      <c r="X4543" s="0" t="s">
        <v>136</v>
      </c>
      <c r="Y4543" s="0" t="s">
        <v>243</v>
      </c>
      <c r="AV4543" s="68"/>
      <c r="AW4543" s="68"/>
      <c r="AY4543" s="27"/>
      <c r="BD4543" s="68">
        <v>46054.1666666667</v>
      </c>
      <c r="BE4543" s="68">
        <v>46082.1666666667</v>
      </c>
      <c r="BF4543" s="0" t="b">
        <v>0</v>
      </c>
      <c r="BG4543" s="0" t="b">
        <v>0</v>
      </c>
      <c r="BH4543" s="0">
        <v>186</v>
      </c>
      <c r="BI4543" s="0">
        <v>186</v>
      </c>
      <c r="BJ4543" s="0" t="s">
        <v>135</v>
      </c>
    </row>
    <row r="4544">
      <c r="A4544" s="0" t="s">
        <v>4807</v>
      </c>
      <c r="B4544" s="0" t="s">
        <v>652</v>
      </c>
      <c r="C4544" s="0" t="s">
        <v>652</v>
      </c>
      <c r="D4544" s="0" t="s">
        <v>135</v>
      </c>
      <c r="E4544" s="0" t="s">
        <v>3</v>
      </c>
      <c r="F4544" s="0" t="s">
        <v>12</v>
      </c>
      <c r="G4544" s="0" t="s">
        <v>8</v>
      </c>
      <c r="H4544" s="0">
        <v>0</v>
      </c>
      <c r="I4544" s="0">
        <v>0</v>
      </c>
      <c r="J4544" s="0">
        <v>0</v>
      </c>
      <c r="K4544" s="0">
        <v>0</v>
      </c>
      <c r="L4544" s="0">
        <v>0</v>
      </c>
      <c r="M4544" s="0">
        <v>0</v>
      </c>
      <c r="N4544" s="0">
        <v>0</v>
      </c>
      <c r="O4544" s="0">
        <v>0</v>
      </c>
      <c r="P4544" s="0">
        <v>0</v>
      </c>
      <c r="R4544" s="0" t="b">
        <v>0</v>
      </c>
      <c r="S4544" s="0" t="b">
        <v>0</v>
      </c>
      <c r="T4544" s="68">
        <v>46053.7684953704</v>
      </c>
      <c r="U4544" s="68">
        <v>0</v>
      </c>
      <c r="V4544" s="68">
        <v>46093.1668865741</v>
      </c>
      <c r="W4544" s="0">
        <f>IF(IF(B4544="none",1,IF(B4544="Trialer",1,0))+IF(C4544="Customer",1,IF(C4544="Lost",1,0))=2,1,0)</f>
      </c>
      <c r="X4544" s="0" t="s">
        <v>145</v>
      </c>
      <c r="Y4544" s="0" t="s">
        <v>243</v>
      </c>
      <c r="AV4544" s="68"/>
      <c r="AW4544" s="68"/>
      <c r="AY4544" s="27"/>
      <c r="BD4544" s="68">
        <v>46054.1666666667</v>
      </c>
      <c r="BE4544" s="68">
        <v>46082.1666666667</v>
      </c>
      <c r="BF4544" s="0" t="b">
        <v>0</v>
      </c>
      <c r="BG4544" s="0" t="b">
        <v>0</v>
      </c>
      <c r="BH4544" s="0">
        <v>63.75</v>
      </c>
      <c r="BI4544" s="0">
        <v>63.75</v>
      </c>
      <c r="BJ4544" s="0" t="s">
        <v>135</v>
      </c>
    </row>
    <row r="4545">
      <c r="A4545" s="0" t="s">
        <v>4808</v>
      </c>
      <c r="B4545" s="0" t="s">
        <v>652</v>
      </c>
      <c r="C4545" s="0" t="s">
        <v>652</v>
      </c>
      <c r="D4545" s="0" t="s">
        <v>135</v>
      </c>
      <c r="E4545" s="0" t="s">
        <v>3</v>
      </c>
      <c r="F4545" s="0" t="s">
        <v>12</v>
      </c>
      <c r="G4545" s="0" t="s">
        <v>8</v>
      </c>
      <c r="H4545" s="0">
        <v>0</v>
      </c>
      <c r="I4545" s="0">
        <v>0</v>
      </c>
      <c r="J4545" s="0">
        <v>0</v>
      </c>
      <c r="K4545" s="0">
        <v>0</v>
      </c>
      <c r="L4545" s="0">
        <v>0</v>
      </c>
      <c r="M4545" s="0">
        <v>0</v>
      </c>
      <c r="N4545" s="0">
        <v>0</v>
      </c>
      <c r="O4545" s="0">
        <v>0</v>
      </c>
      <c r="P4545" s="0">
        <v>0</v>
      </c>
      <c r="R4545" s="0" t="b">
        <v>0</v>
      </c>
      <c r="S4545" s="0" t="b">
        <v>0</v>
      </c>
      <c r="T4545" s="68">
        <v>46053.8596064815</v>
      </c>
      <c r="U4545" s="68">
        <v>0</v>
      </c>
      <c r="V4545" s="68">
        <v>46093.1668981481</v>
      </c>
      <c r="W4545" s="0">
        <f>IF(IF(B4545="none",1,IF(B4545="Trialer",1,0))+IF(C4545="Customer",1,IF(C4545="Lost",1,0))=2,1,0)</f>
      </c>
      <c r="X4545" s="0" t="s">
        <v>148</v>
      </c>
      <c r="Y4545" s="0" t="s">
        <v>243</v>
      </c>
      <c r="AV4545" s="68"/>
      <c r="AW4545" s="68"/>
      <c r="AY4545" s="27"/>
      <c r="BD4545" s="68">
        <v>46054.1666666667</v>
      </c>
      <c r="BE4545" s="68">
        <v>46082.1666666667</v>
      </c>
      <c r="BF4545" s="0" t="b">
        <v>0</v>
      </c>
      <c r="BG4545" s="0" t="b">
        <v>0</v>
      </c>
      <c r="BH4545" s="0">
        <v>63.75</v>
      </c>
      <c r="BI4545" s="0">
        <v>63.75</v>
      </c>
      <c r="BJ4545" s="0" t="s">
        <v>135</v>
      </c>
    </row>
    <row r="4546">
      <c r="A4546" s="0" t="s">
        <v>4809</v>
      </c>
      <c r="B4546" s="0" t="s">
        <v>652</v>
      </c>
      <c r="C4546" s="0" t="s">
        <v>652</v>
      </c>
      <c r="D4546" s="0" t="s">
        <v>135</v>
      </c>
      <c r="E4546" s="0" t="s">
        <v>3</v>
      </c>
      <c r="F4546" s="0" t="s">
        <v>12</v>
      </c>
      <c r="G4546" s="0" t="s">
        <v>8</v>
      </c>
      <c r="H4546" s="0">
        <v>0</v>
      </c>
      <c r="I4546" s="0">
        <v>0</v>
      </c>
      <c r="J4546" s="0">
        <v>0</v>
      </c>
      <c r="K4546" s="0">
        <v>0</v>
      </c>
      <c r="L4546" s="0">
        <v>0</v>
      </c>
      <c r="M4546" s="0">
        <v>0</v>
      </c>
      <c r="N4546" s="0">
        <v>0</v>
      </c>
      <c r="O4546" s="0">
        <v>0</v>
      </c>
      <c r="P4546" s="0">
        <v>0</v>
      </c>
      <c r="R4546" s="0" t="b">
        <v>0</v>
      </c>
      <c r="S4546" s="0" t="b">
        <v>0</v>
      </c>
      <c r="T4546" s="68">
        <v>46053.8770833333</v>
      </c>
      <c r="U4546" s="68">
        <v>0</v>
      </c>
      <c r="V4546" s="68">
        <v>46064.3930555556</v>
      </c>
      <c r="W4546" s="0">
        <f>IF(IF(B4546="none",1,IF(B4546="Trialer",1,0))+IF(C4546="Customer",1,IF(C4546="Lost",1,0))=2,1,0)</f>
      </c>
      <c r="X4546" s="0" t="s">
        <v>4810</v>
      </c>
      <c r="Y4546" s="0" t="s">
        <v>243</v>
      </c>
      <c r="AV4546" s="68"/>
      <c r="AW4546" s="68"/>
      <c r="AY4546" s="27"/>
      <c r="BD4546" s="68">
        <v>46054.1666666667</v>
      </c>
      <c r="BE4546" s="68">
        <v>46082.1666666667</v>
      </c>
      <c r="BF4546" s="0" t="b">
        <v>1</v>
      </c>
      <c r="BG4546" s="0" t="b">
        <v>0</v>
      </c>
      <c r="BH4546" s="0">
        <v>88.5</v>
      </c>
      <c r="BI4546" s="0">
        <v>88.5</v>
      </c>
      <c r="BJ4546" s="0" t="s">
        <v>135</v>
      </c>
    </row>
    <row r="4547">
      <c r="A4547" s="0" t="s">
        <v>4811</v>
      </c>
      <c r="B4547" s="0" t="s">
        <v>5</v>
      </c>
      <c r="C4547" s="0" t="s">
        <v>652</v>
      </c>
      <c r="D4547" s="0" t="s">
        <v>135</v>
      </c>
      <c r="E4547" s="0" t="s">
        <v>3</v>
      </c>
      <c r="F4547" s="0" t="s">
        <v>12</v>
      </c>
      <c r="G4547" s="0" t="s">
        <v>8</v>
      </c>
      <c r="H4547" s="0">
        <v>0</v>
      </c>
      <c r="I4547" s="0">
        <v>0</v>
      </c>
      <c r="J4547" s="0">
        <v>0</v>
      </c>
      <c r="K4547" s="0">
        <v>0</v>
      </c>
      <c r="L4547" s="0">
        <v>0</v>
      </c>
      <c r="M4547" s="0">
        <v>0</v>
      </c>
      <c r="N4547" s="0">
        <v>0</v>
      </c>
      <c r="O4547" s="0">
        <v>0</v>
      </c>
      <c r="P4547" s="0">
        <v>0</v>
      </c>
      <c r="R4547" s="0" t="b">
        <v>0</v>
      </c>
      <c r="S4547" s="0" t="b">
        <v>0</v>
      </c>
      <c r="T4547" s="68">
        <v>46054.0558796296</v>
      </c>
      <c r="U4547" s="68">
        <v>0</v>
      </c>
      <c r="V4547" s="68">
        <v>46055.3039699074</v>
      </c>
      <c r="W4547" s="0">
        <f>IF(IF(B4547="none",1,IF(B4547="Trialer",1,0))+IF(C4547="Customer",1,IF(C4547="Lost",1,0))=2,1,0)</f>
      </c>
      <c r="X4547" s="0" t="s">
        <v>148</v>
      </c>
      <c r="Y4547" s="0" t="s">
        <v>1792</v>
      </c>
      <c r="AV4547" s="68"/>
      <c r="AW4547" s="68"/>
      <c r="AY4547" s="27"/>
      <c r="BD4547" s="68">
        <v>46054.1666666667</v>
      </c>
      <c r="BE4547" s="68">
        <v>46082.1666666667</v>
      </c>
      <c r="BF4547" s="0" t="b">
        <v>1</v>
      </c>
      <c r="BG4547" s="0" t="b">
        <v>0</v>
      </c>
      <c r="BH4547" s="0">
        <v>63.75</v>
      </c>
      <c r="BI4547" s="0">
        <v>0</v>
      </c>
      <c r="BJ4547" s="0" t="s">
        <v>135</v>
      </c>
    </row>
    <row r="4548">
      <c r="A4548" s="0" t="s">
        <v>4812</v>
      </c>
      <c r="B4548" s="0" t="s">
        <v>5</v>
      </c>
      <c r="C4548" s="0" t="s">
        <v>652</v>
      </c>
      <c r="D4548" s="0" t="s">
        <v>135</v>
      </c>
      <c r="E4548" s="0" t="s">
        <v>3</v>
      </c>
      <c r="F4548" s="0" t="s">
        <v>12</v>
      </c>
      <c r="G4548" s="0" t="s">
        <v>8</v>
      </c>
      <c r="H4548" s="0">
        <v>0</v>
      </c>
      <c r="I4548" s="0">
        <v>0</v>
      </c>
      <c r="J4548" s="0">
        <v>0</v>
      </c>
      <c r="K4548" s="0">
        <v>0</v>
      </c>
      <c r="L4548" s="0">
        <v>0</v>
      </c>
      <c r="M4548" s="0">
        <v>0</v>
      </c>
      <c r="N4548" s="0">
        <v>0</v>
      </c>
      <c r="O4548" s="0">
        <v>0</v>
      </c>
      <c r="P4548" s="0">
        <v>0</v>
      </c>
      <c r="R4548" s="0" t="b">
        <v>0</v>
      </c>
      <c r="S4548" s="0" t="b">
        <v>0</v>
      </c>
      <c r="T4548" s="68">
        <v>46054.0627777778</v>
      </c>
      <c r="U4548" s="68">
        <v>0</v>
      </c>
      <c r="V4548" s="68">
        <v>46093.1668981481</v>
      </c>
      <c r="W4548" s="0">
        <f>IF(IF(B4548="none",1,IF(B4548="Trialer",1,0))+IF(C4548="Customer",1,IF(C4548="Lost",1,0))=2,1,0)</f>
      </c>
      <c r="X4548" s="0" t="s">
        <v>136</v>
      </c>
      <c r="Y4548" s="0" t="s">
        <v>243</v>
      </c>
      <c r="AV4548" s="68"/>
      <c r="AW4548" s="68"/>
      <c r="AY4548" s="27"/>
      <c r="BD4548" s="68">
        <v>46054.1666666667</v>
      </c>
      <c r="BE4548" s="68">
        <v>46082.1666666667</v>
      </c>
      <c r="BF4548" s="0" t="b">
        <v>0</v>
      </c>
      <c r="BG4548" s="0" t="b">
        <v>0</v>
      </c>
      <c r="BH4548" s="0">
        <v>54.75</v>
      </c>
      <c r="BI4548" s="0">
        <v>54.75</v>
      </c>
      <c r="BJ4548" s="0" t="s">
        <v>135</v>
      </c>
    </row>
    <row r="4549">
      <c r="A4549" s="0" t="s">
        <v>4813</v>
      </c>
      <c r="B4549" s="0" t="s">
        <v>5</v>
      </c>
      <c r="C4549" s="0" t="s">
        <v>652</v>
      </c>
      <c r="D4549" s="0" t="s">
        <v>135</v>
      </c>
      <c r="E4549" s="0" t="s">
        <v>1515</v>
      </c>
      <c r="F4549" s="0" t="s">
        <v>12</v>
      </c>
      <c r="G4549" s="0" t="s">
        <v>8</v>
      </c>
      <c r="H4549" s="0">
        <v>0</v>
      </c>
      <c r="I4549" s="0">
        <v>0</v>
      </c>
      <c r="J4549" s="0">
        <v>0</v>
      </c>
      <c r="K4549" s="0">
        <v>0</v>
      </c>
      <c r="L4549" s="0">
        <v>0</v>
      </c>
      <c r="M4549" s="0">
        <v>0</v>
      </c>
      <c r="N4549" s="0">
        <v>0</v>
      </c>
      <c r="O4549" s="0">
        <v>0</v>
      </c>
      <c r="P4549" s="0">
        <v>0</v>
      </c>
      <c r="R4549" s="0" t="b">
        <v>0</v>
      </c>
      <c r="S4549" s="0" t="b">
        <v>0</v>
      </c>
      <c r="T4549" s="68">
        <v>46054.0805671296</v>
      </c>
      <c r="U4549" s="68">
        <v>0</v>
      </c>
      <c r="V4549" s="68">
        <v>46093.1669328704</v>
      </c>
      <c r="W4549" s="0">
        <f>IF(IF(B4549="none",1,IF(B4549="Trialer",1,0))+IF(C4549="Customer",1,IF(C4549="Lost",1,0))=2,1,0)</f>
      </c>
      <c r="X4549" s="0" t="s">
        <v>148</v>
      </c>
      <c r="Y4549" s="0" t="s">
        <v>1516</v>
      </c>
      <c r="AV4549" s="68"/>
      <c r="AW4549" s="68"/>
      <c r="AY4549" s="27"/>
      <c r="BD4549" s="68">
        <v>46054.1666666667</v>
      </c>
      <c r="BE4549" s="68">
        <v>46082.1666666667</v>
      </c>
      <c r="BF4549" s="0" t="b">
        <v>0</v>
      </c>
      <c r="BG4549" s="0" t="b">
        <v>0</v>
      </c>
      <c r="BH4549" s="0">
        <v>44.25</v>
      </c>
      <c r="BI4549" s="0">
        <v>44.25</v>
      </c>
      <c r="BJ4549" s="0" t="s">
        <v>135</v>
      </c>
    </row>
    <row r="4550">
      <c r="A4550" s="0" t="s">
        <v>4814</v>
      </c>
      <c r="B4550" s="0" t="s">
        <v>5</v>
      </c>
      <c r="C4550" s="0" t="s">
        <v>652</v>
      </c>
      <c r="D4550" s="0" t="s">
        <v>135</v>
      </c>
      <c r="E4550" s="0" t="s">
        <v>3</v>
      </c>
      <c r="F4550" s="0" t="s">
        <v>12</v>
      </c>
      <c r="G4550" s="0" t="s">
        <v>8</v>
      </c>
      <c r="H4550" s="0">
        <v>0</v>
      </c>
      <c r="I4550" s="0">
        <v>0</v>
      </c>
      <c r="J4550" s="0">
        <v>0</v>
      </c>
      <c r="K4550" s="0">
        <v>0</v>
      </c>
      <c r="L4550" s="0">
        <v>0</v>
      </c>
      <c r="M4550" s="0">
        <v>0</v>
      </c>
      <c r="N4550" s="0">
        <v>0</v>
      </c>
      <c r="O4550" s="0">
        <v>0</v>
      </c>
      <c r="P4550" s="0">
        <v>0</v>
      </c>
      <c r="R4550" s="0" t="b">
        <v>0</v>
      </c>
      <c r="S4550" s="0" t="b">
        <v>0</v>
      </c>
      <c r="T4550" s="68">
        <v>46054.0992939815</v>
      </c>
      <c r="U4550" s="68">
        <v>0</v>
      </c>
      <c r="V4550" s="68">
        <v>46093.1668287037</v>
      </c>
      <c r="W4550" s="0">
        <f>IF(IF(B4550="none",1,IF(B4550="Trialer",1,0))+IF(C4550="Customer",1,IF(C4550="Lost",1,0))=2,1,0)</f>
      </c>
      <c r="X4550" s="0" t="s">
        <v>145</v>
      </c>
      <c r="Y4550" s="0" t="s">
        <v>243</v>
      </c>
      <c r="AV4550" s="68"/>
      <c r="AW4550" s="68"/>
      <c r="AY4550" s="27"/>
      <c r="BD4550" s="68">
        <v>46054.1666666667</v>
      </c>
      <c r="BE4550" s="68">
        <v>46082.1666666667</v>
      </c>
      <c r="BF4550" s="0" t="b">
        <v>0</v>
      </c>
      <c r="BG4550" s="0" t="b">
        <v>0</v>
      </c>
      <c r="BH4550" s="0">
        <v>44.25</v>
      </c>
      <c r="BI4550" s="0">
        <v>44.25</v>
      </c>
      <c r="BJ4550" s="0" t="s">
        <v>135</v>
      </c>
    </row>
    <row r="4551">
      <c r="A4551" s="0" t="s">
        <v>4815</v>
      </c>
      <c r="B4551" s="0" t="s">
        <v>5</v>
      </c>
      <c r="C4551" s="0" t="s">
        <v>652</v>
      </c>
      <c r="D4551" s="0" t="s">
        <v>135</v>
      </c>
      <c r="E4551" s="0" t="s">
        <v>3</v>
      </c>
      <c r="F4551" s="0" t="s">
        <v>12</v>
      </c>
      <c r="G4551" s="0" t="s">
        <v>8</v>
      </c>
      <c r="H4551" s="0">
        <v>0</v>
      </c>
      <c r="I4551" s="0">
        <v>0</v>
      </c>
      <c r="J4551" s="0">
        <v>0</v>
      </c>
      <c r="K4551" s="0">
        <v>0</v>
      </c>
      <c r="L4551" s="0">
        <v>0</v>
      </c>
      <c r="M4551" s="0">
        <v>0</v>
      </c>
      <c r="N4551" s="0">
        <v>0</v>
      </c>
      <c r="O4551" s="0">
        <v>0</v>
      </c>
      <c r="P4551" s="0">
        <v>0</v>
      </c>
      <c r="R4551" s="0" t="b">
        <v>0</v>
      </c>
      <c r="S4551" s="0" t="b">
        <v>0</v>
      </c>
      <c r="T4551" s="68">
        <v>46054.1638078704</v>
      </c>
      <c r="U4551" s="68">
        <v>0</v>
      </c>
      <c r="V4551" s="68">
        <v>46094.166712963</v>
      </c>
      <c r="W4551" s="0">
        <f>IF(IF(B4551="none",1,IF(B4551="Trialer",1,0))+IF(C4551="Customer",1,IF(C4551="Lost",1,0))=2,1,0)</f>
      </c>
      <c r="X4551" s="0" t="s">
        <v>136</v>
      </c>
      <c r="Y4551" s="0" t="s">
        <v>243</v>
      </c>
      <c r="AV4551" s="68"/>
      <c r="AW4551" s="68"/>
      <c r="AY4551" s="27"/>
      <c r="BD4551" s="68">
        <v>46054.1666666667</v>
      </c>
      <c r="BE4551" s="68">
        <v>46082.1666666667</v>
      </c>
      <c r="BF4551" s="0" t="b">
        <v>0</v>
      </c>
      <c r="BG4551" s="0" t="b">
        <v>0</v>
      </c>
      <c r="BH4551" s="0">
        <v>44.25</v>
      </c>
      <c r="BI4551" s="0">
        <v>44.25</v>
      </c>
      <c r="BJ4551" s="0" t="s">
        <v>135</v>
      </c>
    </row>
    <row r="4552">
      <c r="A4552" s="0" t="s">
        <v>4816</v>
      </c>
      <c r="B4552" s="0" t="s">
        <v>5</v>
      </c>
      <c r="C4552" s="0" t="s">
        <v>652</v>
      </c>
      <c r="D4552" s="0" t="s">
        <v>135</v>
      </c>
      <c r="E4552" s="0" t="s">
        <v>3</v>
      </c>
      <c r="F4552" s="0" t="s">
        <v>12</v>
      </c>
      <c r="G4552" s="0" t="s">
        <v>8</v>
      </c>
      <c r="H4552" s="0">
        <v>0</v>
      </c>
      <c r="I4552" s="0">
        <v>0</v>
      </c>
      <c r="J4552" s="0">
        <v>0</v>
      </c>
      <c r="K4552" s="0">
        <v>0</v>
      </c>
      <c r="L4552" s="0">
        <v>0</v>
      </c>
      <c r="M4552" s="0">
        <v>0</v>
      </c>
      <c r="N4552" s="0">
        <v>0</v>
      </c>
      <c r="O4552" s="0">
        <v>0</v>
      </c>
      <c r="P4552" s="0">
        <v>0</v>
      </c>
      <c r="R4552" s="0" t="b">
        <v>0</v>
      </c>
      <c r="S4552" s="0" t="b">
        <v>0</v>
      </c>
      <c r="T4552" s="68">
        <v>46054.2274884259</v>
      </c>
      <c r="U4552" s="68">
        <v>0</v>
      </c>
      <c r="V4552" s="68">
        <v>46061.0216435185</v>
      </c>
      <c r="W4552" s="0">
        <f>IF(IF(B4552="none",1,IF(B4552="Trialer",1,0))+IF(C4552="Customer",1,IF(C4552="Lost",1,0))=2,1,0)</f>
      </c>
      <c r="X4552" s="0" t="s">
        <v>882</v>
      </c>
      <c r="Y4552" s="0" t="s">
        <v>243</v>
      </c>
      <c r="AV4552" s="68"/>
      <c r="AW4552" s="68"/>
      <c r="AY4552" s="27"/>
      <c r="BD4552" s="68">
        <v>46054.1666666667</v>
      </c>
      <c r="BE4552" s="68">
        <v>46082.1666666667</v>
      </c>
      <c r="BF4552" s="0" t="b">
        <v>0</v>
      </c>
      <c r="BG4552" s="0" t="b">
        <v>0</v>
      </c>
      <c r="BH4552" s="0">
        <v>124.5</v>
      </c>
      <c r="BI4552" s="0">
        <v>124.5</v>
      </c>
      <c r="BJ4552" s="0" t="s">
        <v>135</v>
      </c>
    </row>
    <row r="4553">
      <c r="A4553" s="0" t="s">
        <v>4817</v>
      </c>
      <c r="B4553" s="0" t="s">
        <v>5</v>
      </c>
      <c r="C4553" s="0" t="s">
        <v>652</v>
      </c>
      <c r="D4553" s="0" t="s">
        <v>135</v>
      </c>
      <c r="E4553" s="0" t="s">
        <v>3</v>
      </c>
      <c r="F4553" s="0" t="s">
        <v>12</v>
      </c>
      <c r="G4553" s="0" t="s">
        <v>8</v>
      </c>
      <c r="H4553" s="0">
        <v>0</v>
      </c>
      <c r="I4553" s="0">
        <v>0</v>
      </c>
      <c r="J4553" s="0">
        <v>0</v>
      </c>
      <c r="K4553" s="0">
        <v>0</v>
      </c>
      <c r="L4553" s="0">
        <v>0</v>
      </c>
      <c r="M4553" s="0">
        <v>0</v>
      </c>
      <c r="N4553" s="0">
        <v>0</v>
      </c>
      <c r="O4553" s="0">
        <v>0</v>
      </c>
      <c r="P4553" s="0">
        <v>0</v>
      </c>
      <c r="R4553" s="0" t="b">
        <v>0</v>
      </c>
      <c r="S4553" s="0" t="b">
        <v>0</v>
      </c>
      <c r="T4553" s="68">
        <v>46054.3110532407</v>
      </c>
      <c r="U4553" s="68">
        <v>0</v>
      </c>
      <c r="V4553" s="68">
        <v>46094.1667361111</v>
      </c>
      <c r="W4553" s="0">
        <f>IF(IF(B4553="none",1,IF(B4553="Trialer",1,0))+IF(C4553="Customer",1,IF(C4553="Lost",1,0))=2,1,0)</f>
      </c>
      <c r="X4553" s="0" t="s">
        <v>148</v>
      </c>
      <c r="Y4553" s="0" t="s">
        <v>243</v>
      </c>
      <c r="AV4553" s="68"/>
      <c r="AW4553" s="68"/>
      <c r="AY4553" s="27"/>
      <c r="BD4553" s="68">
        <v>46054.1666666667</v>
      </c>
      <c r="BE4553" s="68">
        <v>46082.1666666667</v>
      </c>
      <c r="BF4553" s="0" t="b">
        <v>0</v>
      </c>
      <c r="BG4553" s="0" t="b">
        <v>0</v>
      </c>
      <c r="BH4553" s="0">
        <v>44.25</v>
      </c>
      <c r="BI4553" s="0">
        <v>44.25</v>
      </c>
      <c r="BJ4553" s="0" t="s">
        <v>135</v>
      </c>
    </row>
    <row r="4554">
      <c r="A4554" s="0" t="s">
        <v>4818</v>
      </c>
      <c r="B4554" s="0" t="s">
        <v>5</v>
      </c>
      <c r="C4554" s="0" t="s">
        <v>652</v>
      </c>
      <c r="D4554" s="0" t="s">
        <v>135</v>
      </c>
      <c r="E4554" s="0" t="s">
        <v>3</v>
      </c>
      <c r="F4554" s="0" t="s">
        <v>12</v>
      </c>
      <c r="G4554" s="0" t="s">
        <v>8</v>
      </c>
      <c r="H4554" s="0">
        <v>0</v>
      </c>
      <c r="I4554" s="0">
        <v>0</v>
      </c>
      <c r="J4554" s="0">
        <v>0</v>
      </c>
      <c r="K4554" s="0">
        <v>0</v>
      </c>
      <c r="L4554" s="0">
        <v>0</v>
      </c>
      <c r="M4554" s="0">
        <v>0</v>
      </c>
      <c r="N4554" s="0">
        <v>0</v>
      </c>
      <c r="O4554" s="0">
        <v>0</v>
      </c>
      <c r="P4554" s="0">
        <v>0</v>
      </c>
      <c r="R4554" s="0" t="b">
        <v>0</v>
      </c>
      <c r="S4554" s="0" t="b">
        <v>0</v>
      </c>
      <c r="T4554" s="68">
        <v>46054.4580787037</v>
      </c>
      <c r="U4554" s="68">
        <v>0</v>
      </c>
      <c r="V4554" s="68">
        <v>46094.1667476852</v>
      </c>
      <c r="W4554" s="0">
        <f>IF(IF(B4554="none",1,IF(B4554="Trialer",1,0))+IF(C4554="Customer",1,IF(C4554="Lost",1,0))=2,1,0)</f>
      </c>
      <c r="X4554" s="0" t="s">
        <v>145</v>
      </c>
      <c r="Y4554" s="0" t="s">
        <v>243</v>
      </c>
      <c r="AV4554" s="68"/>
      <c r="AW4554" s="68"/>
      <c r="AY4554" s="27"/>
      <c r="BD4554" s="68">
        <v>46054.1666666667</v>
      </c>
      <c r="BE4554" s="68">
        <v>46082.1666666667</v>
      </c>
      <c r="BF4554" s="0" t="b">
        <v>0</v>
      </c>
      <c r="BG4554" s="0" t="b">
        <v>0</v>
      </c>
      <c r="BH4554" s="0">
        <v>44.25</v>
      </c>
      <c r="BI4554" s="0">
        <v>44.25</v>
      </c>
      <c r="BJ4554" s="0" t="s">
        <v>135</v>
      </c>
    </row>
    <row r="4555">
      <c r="A4555" s="0" t="s">
        <v>4819</v>
      </c>
      <c r="B4555" s="0" t="s">
        <v>5</v>
      </c>
      <c r="C4555" s="0" t="s">
        <v>134</v>
      </c>
      <c r="D4555" s="0" t="s">
        <v>135</v>
      </c>
      <c r="E4555" s="0" t="s">
        <v>3</v>
      </c>
      <c r="F4555" s="0" t="s">
        <v>12</v>
      </c>
      <c r="G4555" s="0" t="s">
        <v>8</v>
      </c>
      <c r="H4555" s="0">
        <v>0</v>
      </c>
      <c r="I4555" s="0">
        <v>73.5</v>
      </c>
      <c r="J4555" s="0">
        <v>0</v>
      </c>
      <c r="K4555" s="0">
        <v>1</v>
      </c>
      <c r="L4555" s="0">
        <v>2</v>
      </c>
      <c r="M4555" s="0">
        <v>2</v>
      </c>
      <c r="N4555" s="0">
        <v>0</v>
      </c>
      <c r="O4555" s="0">
        <v>0</v>
      </c>
      <c r="P4555" s="0">
        <v>0</v>
      </c>
      <c r="R4555" s="0" t="b">
        <v>0</v>
      </c>
      <c r="S4555" s="0" t="b">
        <v>1</v>
      </c>
      <c r="T4555" s="68">
        <v>46054.5057407407</v>
      </c>
      <c r="U4555" s="68">
        <v>46068.2916666667</v>
      </c>
      <c r="V4555" s="68">
        <v>0</v>
      </c>
      <c r="W4555" s="0">
        <f>IF(IF(B4555="none",1,IF(B4555="Trialer",1,0))+IF(C4555="Customer",1,IF(C4555="Lost",1,0))=2,1,0)</f>
      </c>
      <c r="X4555" s="0" t="s">
        <v>1461</v>
      </c>
      <c r="Y4555" s="0" t="s">
        <v>243</v>
      </c>
      <c r="AV4555" s="68"/>
      <c r="AW4555" s="68"/>
      <c r="AY4555" s="27"/>
      <c r="BD4555" s="68">
        <v>46054.1666666667</v>
      </c>
      <c r="BE4555" s="68">
        <v>46082.1666666667</v>
      </c>
      <c r="BF4555" s="0" t="b">
        <v>0</v>
      </c>
      <c r="BG4555" s="0" t="b">
        <v>0</v>
      </c>
      <c r="BH4555" s="0">
        <v>73.5</v>
      </c>
      <c r="BI4555" s="0">
        <v>73.5</v>
      </c>
      <c r="BJ4555" s="0" t="s">
        <v>135</v>
      </c>
    </row>
    <row r="4556">
      <c r="A4556" s="0" t="s">
        <v>4820</v>
      </c>
      <c r="B4556" s="0" t="s">
        <v>5</v>
      </c>
      <c r="C4556" s="0" t="s">
        <v>652</v>
      </c>
      <c r="D4556" s="0" t="s">
        <v>135</v>
      </c>
      <c r="E4556" s="0" t="s">
        <v>3</v>
      </c>
      <c r="F4556" s="0" t="s">
        <v>12</v>
      </c>
      <c r="G4556" s="0" t="s">
        <v>8</v>
      </c>
      <c r="H4556" s="0">
        <v>0</v>
      </c>
      <c r="I4556" s="0">
        <v>0</v>
      </c>
      <c r="J4556" s="0">
        <v>0</v>
      </c>
      <c r="K4556" s="0">
        <v>0</v>
      </c>
      <c r="L4556" s="0">
        <v>0</v>
      </c>
      <c r="M4556" s="0">
        <v>0</v>
      </c>
      <c r="N4556" s="0">
        <v>0</v>
      </c>
      <c r="O4556" s="0">
        <v>0</v>
      </c>
      <c r="P4556" s="0">
        <v>0</v>
      </c>
      <c r="R4556" s="0" t="b">
        <v>0</v>
      </c>
      <c r="S4556" s="0" t="b">
        <v>0</v>
      </c>
      <c r="T4556" s="68">
        <v>46054.5180208333</v>
      </c>
      <c r="U4556" s="68">
        <v>0</v>
      </c>
      <c r="V4556" s="68">
        <v>46094.1667476852</v>
      </c>
      <c r="W4556" s="0">
        <f>IF(IF(B4556="none",1,IF(B4556="Trialer",1,0))+IF(C4556="Customer",1,IF(C4556="Lost",1,0))=2,1,0)</f>
      </c>
      <c r="X4556" s="0" t="s">
        <v>148</v>
      </c>
      <c r="Y4556" s="0" t="s">
        <v>243</v>
      </c>
      <c r="AV4556" s="68"/>
      <c r="AW4556" s="68"/>
      <c r="AY4556" s="27"/>
      <c r="BD4556" s="68">
        <v>46054.1666666667</v>
      </c>
      <c r="BE4556" s="68">
        <v>46082.1666666667</v>
      </c>
      <c r="BF4556" s="0" t="b">
        <v>0</v>
      </c>
      <c r="BG4556" s="0" t="b">
        <v>0</v>
      </c>
      <c r="BH4556" s="0">
        <v>53.25</v>
      </c>
      <c r="BI4556" s="0">
        <v>53.25</v>
      </c>
      <c r="BJ4556" s="0" t="s">
        <v>135</v>
      </c>
    </row>
    <row r="4557">
      <c r="A4557" s="0" t="s">
        <v>4821</v>
      </c>
      <c r="B4557" s="0" t="s">
        <v>5</v>
      </c>
      <c r="C4557" s="0" t="s">
        <v>134</v>
      </c>
      <c r="D4557" s="0" t="s">
        <v>230</v>
      </c>
      <c r="E4557" s="0" t="s">
        <v>3</v>
      </c>
      <c r="F4557" s="0" t="s">
        <v>12</v>
      </c>
      <c r="G4557" s="0" t="s">
        <v>8</v>
      </c>
      <c r="H4557" s="0">
        <v>0</v>
      </c>
      <c r="I4557" s="0">
        <v>355</v>
      </c>
      <c r="J4557" s="0">
        <v>0</v>
      </c>
      <c r="K4557" s="0">
        <v>2</v>
      </c>
      <c r="L4557" s="0">
        <v>0</v>
      </c>
      <c r="M4557" s="0">
        <v>0</v>
      </c>
      <c r="N4557" s="0">
        <v>0</v>
      </c>
      <c r="O4557" s="0">
        <v>0</v>
      </c>
      <c r="P4557" s="0">
        <v>0</v>
      </c>
      <c r="R4557" s="0" t="b">
        <v>0</v>
      </c>
      <c r="S4557" s="0" t="b">
        <v>1</v>
      </c>
      <c r="T4557" s="68">
        <v>46054.5277083333</v>
      </c>
      <c r="U4557" s="68">
        <v>46068.2916666667</v>
      </c>
      <c r="V4557" s="68">
        <v>0</v>
      </c>
      <c r="W4557" s="0">
        <f>IF(IF(B4557="none",1,IF(B4557="Trialer",1,0))+IF(C4557="Customer",1,IF(C4557="Lost",1,0))=2,1,0)</f>
      </c>
      <c r="X4557" s="0" t="s">
        <v>1461</v>
      </c>
      <c r="Y4557" s="0" t="s">
        <v>243</v>
      </c>
      <c r="AV4557" s="68"/>
      <c r="AW4557" s="68"/>
      <c r="AY4557" s="27"/>
      <c r="BD4557" s="68">
        <v>46054.1666666667</v>
      </c>
      <c r="BE4557" s="68">
        <v>46082.1666666667</v>
      </c>
      <c r="BF4557" s="0" t="b">
        <v>0</v>
      </c>
      <c r="BG4557" s="0" t="b">
        <v>0</v>
      </c>
      <c r="BH4557" s="0">
        <v>142</v>
      </c>
      <c r="BI4557" s="0">
        <v>142</v>
      </c>
      <c r="BJ4557" s="0" t="s">
        <v>135</v>
      </c>
    </row>
    <row r="4558">
      <c r="A4558" s="0" t="s">
        <v>4822</v>
      </c>
      <c r="B4558" s="0" t="s">
        <v>5</v>
      </c>
      <c r="C4558" s="0" t="s">
        <v>652</v>
      </c>
      <c r="D4558" s="0" t="s">
        <v>135</v>
      </c>
      <c r="E4558" s="0" t="s">
        <v>2414</v>
      </c>
      <c r="F4558" s="0" t="s">
        <v>12</v>
      </c>
      <c r="G4558" s="0" t="s">
        <v>8</v>
      </c>
      <c r="H4558" s="0">
        <v>0</v>
      </c>
      <c r="I4558" s="0">
        <v>0</v>
      </c>
      <c r="J4558" s="0">
        <v>0</v>
      </c>
      <c r="K4558" s="0">
        <v>0</v>
      </c>
      <c r="L4558" s="0">
        <v>0</v>
      </c>
      <c r="M4558" s="0">
        <v>0</v>
      </c>
      <c r="N4558" s="0">
        <v>0</v>
      </c>
      <c r="O4558" s="0">
        <v>0</v>
      </c>
      <c r="P4558" s="0">
        <v>0</v>
      </c>
      <c r="R4558" s="0" t="b">
        <v>0</v>
      </c>
      <c r="S4558" s="0" t="b">
        <v>0</v>
      </c>
      <c r="T4558" s="68">
        <v>46054.5677777778</v>
      </c>
      <c r="U4558" s="68">
        <v>0</v>
      </c>
      <c r="V4558" s="68">
        <v>46094.1667592593</v>
      </c>
      <c r="W4558" s="0">
        <f>IF(IF(B4558="none",1,IF(B4558="Trialer",1,0))+IF(C4558="Customer",1,IF(C4558="Lost",1,0))=2,1,0)</f>
      </c>
      <c r="X4558" s="0" t="s">
        <v>136</v>
      </c>
      <c r="Y4558" s="0" t="s">
        <v>1516</v>
      </c>
      <c r="AV4558" s="68"/>
      <c r="AW4558" s="68"/>
      <c r="AY4558" s="27"/>
      <c r="BD4558" s="68">
        <v>46054.1666666667</v>
      </c>
      <c r="BE4558" s="68">
        <v>46082.1666666667</v>
      </c>
      <c r="BF4558" s="0" t="b">
        <v>0</v>
      </c>
      <c r="BG4558" s="0" t="b">
        <v>0</v>
      </c>
      <c r="BH4558" s="0">
        <v>44.25</v>
      </c>
      <c r="BI4558" s="0">
        <v>44.25</v>
      </c>
      <c r="BJ4558" s="0" t="s">
        <v>135</v>
      </c>
    </row>
    <row r="4559">
      <c r="A4559" s="0" t="s">
        <v>4823</v>
      </c>
      <c r="B4559" s="0" t="s">
        <v>5</v>
      </c>
      <c r="C4559" s="0" t="s">
        <v>652</v>
      </c>
      <c r="D4559" s="0" t="s">
        <v>135</v>
      </c>
      <c r="E4559" s="0" t="s">
        <v>2</v>
      </c>
      <c r="F4559" s="0" t="s">
        <v>12</v>
      </c>
      <c r="G4559" s="0" t="s">
        <v>8</v>
      </c>
      <c r="H4559" s="0">
        <v>0</v>
      </c>
      <c r="I4559" s="0">
        <v>0</v>
      </c>
      <c r="J4559" s="0">
        <v>0</v>
      </c>
      <c r="K4559" s="0">
        <v>0</v>
      </c>
      <c r="L4559" s="0">
        <v>0</v>
      </c>
      <c r="M4559" s="0">
        <v>0</v>
      </c>
      <c r="N4559" s="0">
        <v>0</v>
      </c>
      <c r="O4559" s="0">
        <v>0</v>
      </c>
      <c r="P4559" s="0">
        <v>0</v>
      </c>
      <c r="R4559" s="0" t="b">
        <v>0</v>
      </c>
      <c r="S4559" s="0" t="b">
        <v>0</v>
      </c>
      <c r="T4559" s="68">
        <v>46054.6478125</v>
      </c>
      <c r="U4559" s="68">
        <v>0</v>
      </c>
      <c r="V4559" s="68">
        <v>46094.1667592593</v>
      </c>
      <c r="W4559" s="0">
        <f>IF(IF(B4559="none",1,IF(B4559="Trialer",1,0))+IF(C4559="Customer",1,IF(C4559="Lost",1,0))=2,1,0)</f>
      </c>
      <c r="X4559" s="0" t="s">
        <v>148</v>
      </c>
      <c r="Y4559" s="0" t="s">
        <v>499</v>
      </c>
      <c r="AV4559" s="68"/>
      <c r="AW4559" s="68"/>
      <c r="AY4559" s="27"/>
      <c r="BD4559" s="68">
        <v>46054.1666666667</v>
      </c>
      <c r="BE4559" s="68">
        <v>46082.1666666667</v>
      </c>
      <c r="BF4559" s="0" t="b">
        <v>0</v>
      </c>
      <c r="BG4559" s="0" t="b">
        <v>0</v>
      </c>
      <c r="BH4559" s="0">
        <v>44.25</v>
      </c>
      <c r="BI4559" s="0">
        <v>44.25</v>
      </c>
      <c r="BJ4559" s="0" t="s">
        <v>135</v>
      </c>
    </row>
    <row r="4560">
      <c r="A4560" s="0" t="s">
        <v>4824</v>
      </c>
      <c r="B4560" s="0" t="s">
        <v>5</v>
      </c>
      <c r="C4560" s="0" t="s">
        <v>652</v>
      </c>
      <c r="D4560" s="0" t="s">
        <v>135</v>
      </c>
      <c r="E4560" s="0" t="s">
        <v>1515</v>
      </c>
      <c r="F4560" s="0" t="s">
        <v>12</v>
      </c>
      <c r="G4560" s="0" t="s">
        <v>8</v>
      </c>
      <c r="H4560" s="0">
        <v>0</v>
      </c>
      <c r="I4560" s="0">
        <v>0</v>
      </c>
      <c r="J4560" s="0">
        <v>0</v>
      </c>
      <c r="K4560" s="0">
        <v>0</v>
      </c>
      <c r="L4560" s="0">
        <v>0</v>
      </c>
      <c r="M4560" s="0">
        <v>0</v>
      </c>
      <c r="N4560" s="0">
        <v>0</v>
      </c>
      <c r="O4560" s="0">
        <v>0</v>
      </c>
      <c r="P4560" s="0">
        <v>0</v>
      </c>
      <c r="R4560" s="0" t="b">
        <v>0</v>
      </c>
      <c r="S4560" s="0" t="b">
        <v>0</v>
      </c>
      <c r="T4560" s="68">
        <v>46054.6747800926</v>
      </c>
      <c r="U4560" s="68">
        <v>0</v>
      </c>
      <c r="V4560" s="68">
        <v>46094.1667708333</v>
      </c>
      <c r="W4560" s="0">
        <f>IF(IF(B4560="none",1,IF(B4560="Trialer",1,0))+IF(C4560="Customer",1,IF(C4560="Lost",1,0))=2,1,0)</f>
      </c>
      <c r="X4560" s="0" t="s">
        <v>145</v>
      </c>
      <c r="Y4560" s="0" t="s">
        <v>1516</v>
      </c>
      <c r="AV4560" s="68"/>
      <c r="AW4560" s="68"/>
      <c r="AY4560" s="27"/>
      <c r="BD4560" s="68">
        <v>46054.1666666667</v>
      </c>
      <c r="BE4560" s="68">
        <v>46082.1666666667</v>
      </c>
      <c r="BF4560" s="0" t="b">
        <v>0</v>
      </c>
      <c r="BG4560" s="0" t="b">
        <v>0</v>
      </c>
      <c r="BH4560" s="0">
        <v>44.25</v>
      </c>
      <c r="BI4560" s="0">
        <v>44.25</v>
      </c>
      <c r="BJ4560" s="0" t="s">
        <v>135</v>
      </c>
    </row>
    <row r="4561">
      <c r="A4561" s="0" t="s">
        <v>4825</v>
      </c>
      <c r="B4561" s="0" t="s">
        <v>5</v>
      </c>
      <c r="C4561" s="0" t="s">
        <v>652</v>
      </c>
      <c r="D4561" s="0" t="s">
        <v>135</v>
      </c>
      <c r="E4561" s="0" t="s">
        <v>4</v>
      </c>
      <c r="F4561" s="0" t="s">
        <v>12</v>
      </c>
      <c r="G4561" s="0" t="s">
        <v>8</v>
      </c>
      <c r="H4561" s="0">
        <v>0</v>
      </c>
      <c r="I4561" s="0">
        <v>0</v>
      </c>
      <c r="J4561" s="0">
        <v>0</v>
      </c>
      <c r="K4561" s="0">
        <v>0</v>
      </c>
      <c r="L4561" s="0">
        <v>0</v>
      </c>
      <c r="M4561" s="0">
        <v>0</v>
      </c>
      <c r="N4561" s="0">
        <v>0</v>
      </c>
      <c r="O4561" s="0">
        <v>0</v>
      </c>
      <c r="P4561" s="0">
        <v>0</v>
      </c>
      <c r="R4561" s="0" t="b">
        <v>0</v>
      </c>
      <c r="S4561" s="0" t="b">
        <v>0</v>
      </c>
      <c r="T4561" s="68">
        <v>46054.8188425926</v>
      </c>
      <c r="U4561" s="68">
        <v>0</v>
      </c>
      <c r="V4561" s="68">
        <v>46094.1667708333</v>
      </c>
      <c r="W4561" s="0">
        <f>IF(IF(B4561="none",1,IF(B4561="Trialer",1,0))+IF(C4561="Customer",1,IF(C4561="Lost",1,0))=2,1,0)</f>
      </c>
      <c r="X4561" s="0" t="s">
        <v>136</v>
      </c>
      <c r="Y4561" s="0" t="s">
        <v>1772</v>
      </c>
      <c r="AV4561" s="68"/>
      <c r="AW4561" s="68"/>
      <c r="AY4561" s="27"/>
      <c r="BD4561" s="68">
        <v>46054.1666666667</v>
      </c>
      <c r="BE4561" s="68">
        <v>46082.1666666667</v>
      </c>
      <c r="BF4561" s="0" t="b">
        <v>0</v>
      </c>
      <c r="BG4561" s="0" t="b">
        <v>0</v>
      </c>
      <c r="BH4561" s="0">
        <v>53.25</v>
      </c>
      <c r="BI4561" s="0">
        <v>53.25</v>
      </c>
      <c r="BJ4561" s="0" t="s">
        <v>135</v>
      </c>
    </row>
    <row r="4562">
      <c r="A4562" s="0" t="s">
        <v>4826</v>
      </c>
      <c r="B4562" s="0" t="s">
        <v>5</v>
      </c>
      <c r="C4562" s="0" t="s">
        <v>652</v>
      </c>
      <c r="D4562" s="0" t="s">
        <v>135</v>
      </c>
      <c r="E4562" s="0" t="s">
        <v>3</v>
      </c>
      <c r="F4562" s="0" t="s">
        <v>12</v>
      </c>
      <c r="G4562" s="0" t="s">
        <v>8</v>
      </c>
      <c r="H4562" s="0">
        <v>0</v>
      </c>
      <c r="I4562" s="0">
        <v>0</v>
      </c>
      <c r="J4562" s="0">
        <v>0</v>
      </c>
      <c r="K4562" s="0">
        <v>0</v>
      </c>
      <c r="L4562" s="0">
        <v>0</v>
      </c>
      <c r="M4562" s="0">
        <v>0</v>
      </c>
      <c r="N4562" s="0">
        <v>0</v>
      </c>
      <c r="O4562" s="0">
        <v>0</v>
      </c>
      <c r="P4562" s="0">
        <v>0</v>
      </c>
      <c r="R4562" s="0" t="b">
        <v>0</v>
      </c>
      <c r="S4562" s="0" t="b">
        <v>0</v>
      </c>
      <c r="T4562" s="68">
        <v>46054.8844907407</v>
      </c>
      <c r="U4562" s="68">
        <v>0</v>
      </c>
      <c r="V4562" s="68">
        <v>46094.1667824074</v>
      </c>
      <c r="W4562" s="0">
        <f>IF(IF(B4562="none",1,IF(B4562="Trialer",1,0))+IF(C4562="Customer",1,IF(C4562="Lost",1,0))=2,1,0)</f>
      </c>
      <c r="X4562" s="0" t="s">
        <v>148</v>
      </c>
      <c r="Y4562" s="0" t="s">
        <v>243</v>
      </c>
      <c r="AV4562" s="68"/>
      <c r="AW4562" s="68"/>
      <c r="AY4562" s="27"/>
      <c r="BD4562" s="68">
        <v>46054.1666666667</v>
      </c>
      <c r="BE4562" s="68">
        <v>46082.1666666667</v>
      </c>
      <c r="BF4562" s="0" t="b">
        <v>0</v>
      </c>
      <c r="BG4562" s="0" t="b">
        <v>0</v>
      </c>
      <c r="BH4562" s="0">
        <v>53.25</v>
      </c>
      <c r="BI4562" s="0">
        <v>53.25</v>
      </c>
      <c r="BJ4562" s="0" t="s">
        <v>135</v>
      </c>
    </row>
    <row r="4563">
      <c r="A4563" s="0" t="s">
        <v>4827</v>
      </c>
      <c r="B4563" s="0" t="s">
        <v>5</v>
      </c>
      <c r="C4563" s="0" t="s">
        <v>652</v>
      </c>
      <c r="D4563" s="0" t="s">
        <v>135</v>
      </c>
      <c r="E4563" s="0" t="s">
        <v>3</v>
      </c>
      <c r="F4563" s="0" t="s">
        <v>12</v>
      </c>
      <c r="G4563" s="0" t="s">
        <v>8</v>
      </c>
      <c r="H4563" s="0">
        <v>-1</v>
      </c>
      <c r="I4563" s="0">
        <v>0</v>
      </c>
      <c r="J4563" s="0">
        <v>0</v>
      </c>
      <c r="K4563" s="0">
        <v>0</v>
      </c>
      <c r="L4563" s="0">
        <v>0</v>
      </c>
      <c r="M4563" s="0">
        <v>0</v>
      </c>
      <c r="N4563" s="0">
        <v>0</v>
      </c>
      <c r="O4563" s="0">
        <v>0</v>
      </c>
      <c r="P4563" s="0">
        <v>0</v>
      </c>
      <c r="R4563" s="0" t="b">
        <v>0</v>
      </c>
      <c r="S4563" s="0" t="b">
        <v>0</v>
      </c>
      <c r="T4563" s="68">
        <v>46055.1106018519</v>
      </c>
      <c r="U4563" s="68">
        <v>0</v>
      </c>
      <c r="V4563" s="68">
        <v>46094.1667939815</v>
      </c>
      <c r="W4563" s="0">
        <f>IF(IF(B4563="none",1,IF(B4563="Trialer",1,0))+IF(C4563="Customer",1,IF(C4563="Lost",1,0))=2,1,0)</f>
      </c>
      <c r="X4563" s="0" t="s">
        <v>145</v>
      </c>
      <c r="Y4563" s="0" t="s">
        <v>243</v>
      </c>
      <c r="AV4563" s="68"/>
      <c r="AW4563" s="68"/>
      <c r="AY4563" s="27"/>
      <c r="BD4563" s="68">
        <v>46054.1666666667</v>
      </c>
      <c r="BE4563" s="68">
        <v>46082.1666666667</v>
      </c>
      <c r="BF4563" s="0" t="b">
        <v>0</v>
      </c>
      <c r="BG4563" s="0" t="b">
        <v>0</v>
      </c>
      <c r="BH4563" s="0">
        <v>44.25</v>
      </c>
      <c r="BI4563" s="0">
        <v>44.25</v>
      </c>
      <c r="BJ4563" s="0" t="s">
        <v>135</v>
      </c>
    </row>
    <row r="4564">
      <c r="A4564" s="0" t="s">
        <v>4828</v>
      </c>
      <c r="B4564" s="0" t="s">
        <v>5</v>
      </c>
      <c r="C4564" s="0" t="s">
        <v>652</v>
      </c>
      <c r="D4564" s="0" t="s">
        <v>135</v>
      </c>
      <c r="E4564" s="0" t="s">
        <v>1515</v>
      </c>
      <c r="F4564" s="0" t="s">
        <v>12</v>
      </c>
      <c r="G4564" s="0" t="s">
        <v>8</v>
      </c>
      <c r="H4564" s="0">
        <v>-1</v>
      </c>
      <c r="I4564" s="0">
        <v>0</v>
      </c>
      <c r="J4564" s="0">
        <v>0</v>
      </c>
      <c r="K4564" s="0">
        <v>0</v>
      </c>
      <c r="L4564" s="0">
        <v>0</v>
      </c>
      <c r="M4564" s="0">
        <v>0</v>
      </c>
      <c r="N4564" s="0">
        <v>0</v>
      </c>
      <c r="O4564" s="0">
        <v>0</v>
      </c>
      <c r="P4564" s="0">
        <v>0</v>
      </c>
      <c r="R4564" s="0" t="b">
        <v>0</v>
      </c>
      <c r="S4564" s="0" t="b">
        <v>0</v>
      </c>
      <c r="T4564" s="68">
        <v>46055.1925462963</v>
      </c>
      <c r="U4564" s="68">
        <v>0</v>
      </c>
      <c r="V4564" s="68">
        <v>46095.166724537</v>
      </c>
      <c r="W4564" s="0">
        <f>IF(IF(B4564="none",1,IF(B4564="Trialer",1,0))+IF(C4564="Customer",1,IF(C4564="Lost",1,0))=2,1,0)</f>
      </c>
      <c r="X4564" s="0" t="s">
        <v>136</v>
      </c>
      <c r="Y4564" s="0" t="s">
        <v>1516</v>
      </c>
      <c r="AV4564" s="68"/>
      <c r="AW4564" s="68"/>
      <c r="AY4564" s="27"/>
      <c r="BD4564" s="68">
        <v>46054.1666666667</v>
      </c>
      <c r="BE4564" s="68">
        <v>46082.1666666667</v>
      </c>
      <c r="BF4564" s="0" t="b">
        <v>0</v>
      </c>
      <c r="BG4564" s="0" t="b">
        <v>0</v>
      </c>
      <c r="BH4564" s="0">
        <v>44.25</v>
      </c>
      <c r="BI4564" s="0">
        <v>44.25</v>
      </c>
      <c r="BJ4564" s="0" t="s">
        <v>135</v>
      </c>
    </row>
    <row r="4565">
      <c r="A4565" s="0" t="s">
        <v>4829</v>
      </c>
      <c r="B4565" s="0" t="s">
        <v>5</v>
      </c>
      <c r="C4565" s="0" t="s">
        <v>652</v>
      </c>
      <c r="D4565" s="0" t="s">
        <v>135</v>
      </c>
      <c r="E4565" s="0" t="s">
        <v>3</v>
      </c>
      <c r="F4565" s="0" t="s">
        <v>12</v>
      </c>
      <c r="G4565" s="0" t="s">
        <v>8</v>
      </c>
      <c r="H4565" s="0">
        <v>-1</v>
      </c>
      <c r="I4565" s="0">
        <v>0</v>
      </c>
      <c r="J4565" s="0">
        <v>0</v>
      </c>
      <c r="K4565" s="0">
        <v>0</v>
      </c>
      <c r="L4565" s="0">
        <v>0</v>
      </c>
      <c r="M4565" s="0">
        <v>0</v>
      </c>
      <c r="N4565" s="0">
        <v>0</v>
      </c>
      <c r="O4565" s="0">
        <v>0</v>
      </c>
      <c r="P4565" s="0">
        <v>0</v>
      </c>
      <c r="R4565" s="0" t="b">
        <v>0</v>
      </c>
      <c r="S4565" s="0" t="b">
        <v>0</v>
      </c>
      <c r="T4565" s="68">
        <v>46055.217037037</v>
      </c>
      <c r="U4565" s="68">
        <v>0</v>
      </c>
      <c r="V4565" s="68">
        <v>46095.1667476852</v>
      </c>
      <c r="W4565" s="0">
        <f>IF(IF(B4565="none",1,IF(B4565="Trialer",1,0))+IF(C4565="Customer",1,IF(C4565="Lost",1,0))=2,1,0)</f>
      </c>
      <c r="X4565" s="0" t="s">
        <v>148</v>
      </c>
      <c r="Y4565" s="0" t="s">
        <v>1792</v>
      </c>
      <c r="AV4565" s="68"/>
      <c r="AW4565" s="68"/>
      <c r="AY4565" s="27"/>
      <c r="BD4565" s="68">
        <v>46054.1666666667</v>
      </c>
      <c r="BE4565" s="68">
        <v>46082.1666666667</v>
      </c>
      <c r="BF4565" s="0" t="b">
        <v>0</v>
      </c>
      <c r="BG4565" s="0" t="b">
        <v>0</v>
      </c>
      <c r="BH4565" s="0">
        <v>44.25</v>
      </c>
      <c r="BI4565" s="0">
        <v>44.25</v>
      </c>
      <c r="BJ4565" s="0" t="s">
        <v>135</v>
      </c>
    </row>
    <row r="4566">
      <c r="A4566" s="0" t="s">
        <v>4830</v>
      </c>
      <c r="B4566" s="0" t="s">
        <v>5</v>
      </c>
      <c r="C4566" s="0" t="s">
        <v>652</v>
      </c>
      <c r="D4566" s="0" t="s">
        <v>135</v>
      </c>
      <c r="E4566" s="0" t="s">
        <v>3</v>
      </c>
      <c r="F4566" s="0" t="s">
        <v>12</v>
      </c>
      <c r="G4566" s="0" t="s">
        <v>8</v>
      </c>
      <c r="H4566" s="0">
        <v>-1</v>
      </c>
      <c r="I4566" s="0">
        <v>0</v>
      </c>
      <c r="J4566" s="0">
        <v>0</v>
      </c>
      <c r="K4566" s="0">
        <v>0</v>
      </c>
      <c r="L4566" s="0">
        <v>0</v>
      </c>
      <c r="M4566" s="0">
        <v>0</v>
      </c>
      <c r="N4566" s="0">
        <v>0</v>
      </c>
      <c r="O4566" s="0">
        <v>0</v>
      </c>
      <c r="P4566" s="0">
        <v>0</v>
      </c>
      <c r="R4566" s="0" t="b">
        <v>0</v>
      </c>
      <c r="S4566" s="0" t="b">
        <v>0</v>
      </c>
      <c r="T4566" s="68">
        <v>46055.2561574074</v>
      </c>
      <c r="U4566" s="68">
        <v>0</v>
      </c>
      <c r="V4566" s="68">
        <v>46095.166875</v>
      </c>
      <c r="W4566" s="0">
        <f>IF(IF(B4566="none",1,IF(B4566="Trialer",1,0))+IF(C4566="Customer",1,IF(C4566="Lost",1,0))=2,1,0)</f>
      </c>
      <c r="X4566" s="0" t="s">
        <v>145</v>
      </c>
      <c r="Y4566" s="0" t="s">
        <v>243</v>
      </c>
      <c r="AV4566" s="68"/>
      <c r="AW4566" s="68"/>
      <c r="AY4566" s="27"/>
      <c r="BD4566" s="68">
        <v>46054.1666666667</v>
      </c>
      <c r="BE4566" s="68">
        <v>46082.1666666667</v>
      </c>
      <c r="BF4566" s="0" t="b">
        <v>0</v>
      </c>
      <c r="BG4566" s="0" t="b">
        <v>0</v>
      </c>
      <c r="BH4566" s="0">
        <v>54.75</v>
      </c>
      <c r="BI4566" s="0">
        <v>54.75</v>
      </c>
      <c r="BJ4566" s="0" t="s">
        <v>135</v>
      </c>
    </row>
    <row r="4567">
      <c r="A4567" s="0" t="s">
        <v>4831</v>
      </c>
      <c r="B4567" s="0" t="s">
        <v>5</v>
      </c>
      <c r="C4567" s="0" t="s">
        <v>652</v>
      </c>
      <c r="D4567" s="0" t="s">
        <v>135</v>
      </c>
      <c r="E4567" s="0" t="s">
        <v>3</v>
      </c>
      <c r="F4567" s="0" t="s">
        <v>12</v>
      </c>
      <c r="G4567" s="0" t="s">
        <v>8</v>
      </c>
      <c r="H4567" s="0">
        <v>-1</v>
      </c>
      <c r="I4567" s="0">
        <v>0</v>
      </c>
      <c r="J4567" s="0">
        <v>0</v>
      </c>
      <c r="K4567" s="0">
        <v>0</v>
      </c>
      <c r="L4567" s="0">
        <v>0</v>
      </c>
      <c r="M4567" s="0">
        <v>0</v>
      </c>
      <c r="N4567" s="0">
        <v>0</v>
      </c>
      <c r="O4567" s="0">
        <v>0</v>
      </c>
      <c r="P4567" s="0">
        <v>0</v>
      </c>
      <c r="R4567" s="0" t="b">
        <v>0</v>
      </c>
      <c r="S4567" s="0" t="b">
        <v>0</v>
      </c>
      <c r="T4567" s="68">
        <v>46055.3979050926</v>
      </c>
      <c r="U4567" s="68">
        <v>0</v>
      </c>
      <c r="V4567" s="68">
        <v>46095.1667592593</v>
      </c>
      <c r="W4567" s="0">
        <f>IF(IF(B4567="none",1,IF(B4567="Trialer",1,0))+IF(C4567="Customer",1,IF(C4567="Lost",1,0))=2,1,0)</f>
      </c>
      <c r="X4567" s="0" t="s">
        <v>136</v>
      </c>
      <c r="Y4567" s="0" t="s">
        <v>243</v>
      </c>
      <c r="AV4567" s="68"/>
      <c r="AW4567" s="68"/>
      <c r="AY4567" s="27"/>
      <c r="BD4567" s="68">
        <v>46054.1666666667</v>
      </c>
      <c r="BE4567" s="68">
        <v>46082.1666666667</v>
      </c>
      <c r="BF4567" s="0" t="b">
        <v>0</v>
      </c>
      <c r="BG4567" s="0" t="b">
        <v>0</v>
      </c>
      <c r="BH4567" s="0">
        <v>88.5</v>
      </c>
      <c r="BI4567" s="0">
        <v>88.5</v>
      </c>
      <c r="BJ4567" s="0" t="s">
        <v>135</v>
      </c>
    </row>
    <row r="4568">
      <c r="A4568" s="0" t="s">
        <v>4832</v>
      </c>
      <c r="B4568" s="0" t="s">
        <v>5</v>
      </c>
      <c r="C4568" s="0" t="s">
        <v>134</v>
      </c>
      <c r="D4568" s="0" t="s">
        <v>135</v>
      </c>
      <c r="E4568" s="0" t="s">
        <v>3</v>
      </c>
      <c r="F4568" s="0" t="s">
        <v>12</v>
      </c>
      <c r="G4568" s="0" t="s">
        <v>8</v>
      </c>
      <c r="H4568" s="0">
        <v>-1</v>
      </c>
      <c r="I4568" s="0">
        <v>286</v>
      </c>
      <c r="J4568" s="0">
        <v>0</v>
      </c>
      <c r="K4568" s="0">
        <v>1</v>
      </c>
      <c r="L4568" s="0">
        <v>3</v>
      </c>
      <c r="M4568" s="0">
        <v>12</v>
      </c>
      <c r="N4568" s="0">
        <v>0</v>
      </c>
      <c r="O4568" s="0">
        <v>0</v>
      </c>
      <c r="P4568" s="0">
        <v>0</v>
      </c>
      <c r="R4568" s="0" t="b">
        <v>0</v>
      </c>
      <c r="S4568" s="0" t="b">
        <v>1</v>
      </c>
      <c r="T4568" s="68">
        <v>46055.4286226852</v>
      </c>
      <c r="U4568" s="68">
        <v>46068.2916666667</v>
      </c>
      <c r="V4568" s="68">
        <v>0</v>
      </c>
      <c r="W4568" s="0">
        <f>IF(IF(B4568="none",1,IF(B4568="Trialer",1,0))+IF(C4568="Customer",1,IF(C4568="Lost",1,0))=2,1,0)</f>
      </c>
      <c r="X4568" s="0" t="s">
        <v>148</v>
      </c>
      <c r="Y4568" s="0" t="s">
        <v>243</v>
      </c>
      <c r="AV4568" s="68"/>
      <c r="AW4568" s="68"/>
      <c r="AY4568" s="27"/>
      <c r="BD4568" s="68">
        <v>46054.1666666667</v>
      </c>
      <c r="BE4568" s="68">
        <v>46082.1666666667</v>
      </c>
      <c r="BF4568" s="0" t="b">
        <v>0</v>
      </c>
      <c r="BG4568" s="0" t="b">
        <v>0</v>
      </c>
      <c r="BH4568" s="0">
        <v>304.5</v>
      </c>
      <c r="BI4568" s="0">
        <v>304.5</v>
      </c>
      <c r="BJ4568" s="0" t="s">
        <v>135</v>
      </c>
    </row>
    <row r="4569">
      <c r="A4569" s="0" t="s">
        <v>4833</v>
      </c>
      <c r="B4569" s="0" t="s">
        <v>5</v>
      </c>
      <c r="C4569" s="0" t="s">
        <v>134</v>
      </c>
      <c r="D4569" s="0" t="s">
        <v>135</v>
      </c>
      <c r="E4569" s="0" t="s">
        <v>3</v>
      </c>
      <c r="F4569" s="0" t="s">
        <v>12</v>
      </c>
      <c r="G4569" s="0" t="s">
        <v>8</v>
      </c>
      <c r="H4569" s="0">
        <v>-1</v>
      </c>
      <c r="I4569" s="0">
        <v>53.5</v>
      </c>
      <c r="J4569" s="0">
        <v>0</v>
      </c>
      <c r="K4569" s="0">
        <v>1</v>
      </c>
      <c r="L4569" s="0">
        <v>3</v>
      </c>
      <c r="M4569" s="0">
        <v>2</v>
      </c>
      <c r="N4569" s="0">
        <v>0</v>
      </c>
      <c r="O4569" s="0">
        <v>0</v>
      </c>
      <c r="P4569" s="0">
        <v>0</v>
      </c>
      <c r="R4569" s="0" t="b">
        <v>0</v>
      </c>
      <c r="S4569" s="0" t="b">
        <v>0</v>
      </c>
      <c r="T4569" s="68">
        <v>46055.4298263889</v>
      </c>
      <c r="U4569" s="68">
        <v>46069.2916666667</v>
      </c>
      <c r="V4569" s="68">
        <v>46087.5285648148</v>
      </c>
      <c r="W4569" s="0">
        <f>IF(IF(B4569="none",1,IF(B4569="Trialer",1,0))+IF(C4569="Customer",1,IF(C4569="Lost",1,0))=2,1,0)</f>
      </c>
      <c r="X4569" s="0" t="s">
        <v>1461</v>
      </c>
      <c r="Y4569" s="0" t="s">
        <v>243</v>
      </c>
      <c r="AV4569" s="68"/>
      <c r="AW4569" s="68"/>
      <c r="AY4569" s="27"/>
      <c r="BD4569" s="68">
        <v>46054.1666666667</v>
      </c>
      <c r="BE4569" s="68">
        <v>46082.1666666667</v>
      </c>
      <c r="BF4569" s="0" t="b">
        <v>0</v>
      </c>
      <c r="BG4569" s="0" t="b">
        <v>0</v>
      </c>
      <c r="BH4569" s="0">
        <v>53.5</v>
      </c>
      <c r="BI4569" s="0">
        <v>53.5</v>
      </c>
      <c r="BJ4569" s="0" t="s">
        <v>135</v>
      </c>
    </row>
    <row r="4570">
      <c r="A4570" s="0" t="s">
        <v>4834</v>
      </c>
      <c r="B4570" s="0" t="s">
        <v>5</v>
      </c>
      <c r="C4570" s="0" t="s">
        <v>652</v>
      </c>
      <c r="D4570" s="0" t="s">
        <v>135</v>
      </c>
      <c r="E4570" s="0" t="s">
        <v>2414</v>
      </c>
      <c r="F4570" s="0" t="s">
        <v>12</v>
      </c>
      <c r="G4570" s="0" t="s">
        <v>8</v>
      </c>
      <c r="H4570" s="0">
        <v>-1</v>
      </c>
      <c r="I4570" s="0">
        <v>0</v>
      </c>
      <c r="J4570" s="0">
        <v>0</v>
      </c>
      <c r="K4570" s="0">
        <v>0</v>
      </c>
      <c r="L4570" s="0">
        <v>0</v>
      </c>
      <c r="M4570" s="0">
        <v>0</v>
      </c>
      <c r="N4570" s="0">
        <v>0</v>
      </c>
      <c r="O4570" s="0">
        <v>0</v>
      </c>
      <c r="P4570" s="0">
        <v>0</v>
      </c>
      <c r="R4570" s="0" t="b">
        <v>0</v>
      </c>
      <c r="S4570" s="0" t="b">
        <v>0</v>
      </c>
      <c r="T4570" s="68">
        <v>46055.4552893518</v>
      </c>
      <c r="U4570" s="68">
        <v>0</v>
      </c>
      <c r="V4570" s="68">
        <v>46055.6969907407</v>
      </c>
      <c r="W4570" s="0">
        <f>IF(IF(B4570="none",1,IF(B4570="Trialer",1,0))+IF(C4570="Customer",1,IF(C4570="Lost",1,0))=2,1,0)</f>
      </c>
      <c r="X4570" s="0" t="s">
        <v>145</v>
      </c>
      <c r="Y4570" s="0" t="s">
        <v>1516</v>
      </c>
      <c r="AV4570" s="68"/>
      <c r="AW4570" s="68"/>
      <c r="AY4570" s="27"/>
      <c r="BD4570" s="68">
        <v>46054.1666666667</v>
      </c>
      <c r="BE4570" s="68">
        <v>46082.1666666667</v>
      </c>
      <c r="BF4570" s="0" t="b">
        <v>0</v>
      </c>
      <c r="BG4570" s="0" t="b">
        <v>0</v>
      </c>
      <c r="BH4570" s="0">
        <v>0</v>
      </c>
      <c r="BI4570" s="0">
        <v>0</v>
      </c>
      <c r="BJ4570" s="0" t="s">
        <v>135</v>
      </c>
    </row>
    <row r="4571">
      <c r="A4571" s="0" t="s">
        <v>4835</v>
      </c>
      <c r="B4571" s="0" t="s">
        <v>5</v>
      </c>
      <c r="C4571" s="0" t="s">
        <v>652</v>
      </c>
      <c r="D4571" s="0" t="s">
        <v>135</v>
      </c>
      <c r="E4571" s="0" t="s">
        <v>3</v>
      </c>
      <c r="F4571" s="0" t="s">
        <v>12</v>
      </c>
      <c r="G4571" s="0" t="s">
        <v>8</v>
      </c>
      <c r="H4571" s="0">
        <v>-1</v>
      </c>
      <c r="I4571" s="0">
        <v>0</v>
      </c>
      <c r="J4571" s="0">
        <v>0</v>
      </c>
      <c r="K4571" s="0">
        <v>0</v>
      </c>
      <c r="L4571" s="0">
        <v>0</v>
      </c>
      <c r="M4571" s="0">
        <v>0</v>
      </c>
      <c r="N4571" s="0">
        <v>0</v>
      </c>
      <c r="O4571" s="0">
        <v>0</v>
      </c>
      <c r="P4571" s="0">
        <v>0</v>
      </c>
      <c r="R4571" s="0" t="b">
        <v>0</v>
      </c>
      <c r="S4571" s="0" t="b">
        <v>0</v>
      </c>
      <c r="T4571" s="68">
        <v>46055.4564236111</v>
      </c>
      <c r="U4571" s="68">
        <v>0</v>
      </c>
      <c r="V4571" s="68">
        <v>46058.521712963</v>
      </c>
      <c r="W4571" s="0">
        <f>IF(IF(B4571="none",1,IF(B4571="Trialer",1,0))+IF(C4571="Customer",1,IF(C4571="Lost",1,0))=2,1,0)</f>
      </c>
      <c r="X4571" s="0" t="s">
        <v>136</v>
      </c>
      <c r="Y4571" s="0" t="s">
        <v>243</v>
      </c>
      <c r="AV4571" s="68"/>
      <c r="AW4571" s="68"/>
      <c r="AY4571" s="27"/>
      <c r="BD4571" s="68">
        <v>46054.1666666667</v>
      </c>
      <c r="BE4571" s="68">
        <v>46082.1666666667</v>
      </c>
      <c r="BF4571" s="0" t="b">
        <v>0</v>
      </c>
      <c r="BG4571" s="0" t="b">
        <v>0</v>
      </c>
      <c r="BH4571" s="0">
        <v>44.25</v>
      </c>
      <c r="BI4571" s="0">
        <v>44.25</v>
      </c>
      <c r="BJ4571" s="0" t="s">
        <v>135</v>
      </c>
    </row>
    <row r="4572">
      <c r="A4572" s="0" t="s">
        <v>4836</v>
      </c>
      <c r="B4572" s="0" t="s">
        <v>5</v>
      </c>
      <c r="C4572" s="0" t="s">
        <v>652</v>
      </c>
      <c r="D4572" s="0" t="s">
        <v>135</v>
      </c>
      <c r="E4572" s="0" t="s">
        <v>3</v>
      </c>
      <c r="F4572" s="0" t="s">
        <v>12</v>
      </c>
      <c r="G4572" s="0" t="s">
        <v>8</v>
      </c>
      <c r="H4572" s="0">
        <v>-1</v>
      </c>
      <c r="I4572" s="0">
        <v>0</v>
      </c>
      <c r="J4572" s="0">
        <v>0</v>
      </c>
      <c r="K4572" s="0">
        <v>0</v>
      </c>
      <c r="L4572" s="0">
        <v>0</v>
      </c>
      <c r="M4572" s="0">
        <v>0</v>
      </c>
      <c r="N4572" s="0">
        <v>0</v>
      </c>
      <c r="O4572" s="0">
        <v>0</v>
      </c>
      <c r="P4572" s="0">
        <v>0</v>
      </c>
      <c r="R4572" s="0" t="b">
        <v>0</v>
      </c>
      <c r="S4572" s="0" t="b">
        <v>0</v>
      </c>
      <c r="T4572" s="68">
        <v>46055.4778240741</v>
      </c>
      <c r="U4572" s="68">
        <v>0</v>
      </c>
      <c r="V4572" s="68">
        <v>46095.1668287037</v>
      </c>
      <c r="W4572" s="0">
        <f>IF(IF(B4572="none",1,IF(B4572="Trialer",1,0))+IF(C4572="Customer",1,IF(C4572="Lost",1,0))=2,1,0)</f>
      </c>
      <c r="X4572" s="0" t="s">
        <v>148</v>
      </c>
      <c r="Y4572" s="0" t="s">
        <v>243</v>
      </c>
      <c r="AV4572" s="68"/>
      <c r="AW4572" s="68"/>
      <c r="AY4572" s="27"/>
      <c r="BD4572" s="68">
        <v>46054.1666666667</v>
      </c>
      <c r="BE4572" s="68">
        <v>46082.1666666667</v>
      </c>
      <c r="BF4572" s="0" t="b">
        <v>0</v>
      </c>
      <c r="BG4572" s="0" t="b">
        <v>0</v>
      </c>
      <c r="BH4572" s="0">
        <v>71</v>
      </c>
      <c r="BI4572" s="0">
        <v>71</v>
      </c>
      <c r="BJ4572" s="0" t="s">
        <v>135</v>
      </c>
    </row>
    <row r="4573">
      <c r="A4573" s="0" t="s">
        <v>4837</v>
      </c>
      <c r="B4573" s="0" t="s">
        <v>5</v>
      </c>
      <c r="C4573" s="0" t="s">
        <v>652</v>
      </c>
      <c r="D4573" s="0" t="s">
        <v>135</v>
      </c>
      <c r="E4573" s="0" t="s">
        <v>1515</v>
      </c>
      <c r="F4573" s="0" t="s">
        <v>12</v>
      </c>
      <c r="G4573" s="0" t="s">
        <v>8</v>
      </c>
      <c r="H4573" s="0">
        <v>-1</v>
      </c>
      <c r="I4573" s="0">
        <v>0</v>
      </c>
      <c r="J4573" s="0">
        <v>0</v>
      </c>
      <c r="K4573" s="0">
        <v>0</v>
      </c>
      <c r="L4573" s="0">
        <v>0</v>
      </c>
      <c r="M4573" s="0">
        <v>0</v>
      </c>
      <c r="N4573" s="0">
        <v>0</v>
      </c>
      <c r="O4573" s="0">
        <v>0</v>
      </c>
      <c r="P4573" s="0">
        <v>0</v>
      </c>
      <c r="R4573" s="0" t="b">
        <v>0</v>
      </c>
      <c r="S4573" s="0" t="b">
        <v>0</v>
      </c>
      <c r="T4573" s="68">
        <v>46055.4836342593</v>
      </c>
      <c r="U4573" s="68">
        <v>0</v>
      </c>
      <c r="V4573" s="68">
        <v>46095.1667824074</v>
      </c>
      <c r="W4573" s="0">
        <f>IF(IF(B4573="none",1,IF(B4573="Trialer",1,0))+IF(C4573="Customer",1,IF(C4573="Lost",1,0))=2,1,0)</f>
      </c>
      <c r="X4573" s="0" t="s">
        <v>145</v>
      </c>
      <c r="Y4573" s="0" t="s">
        <v>1516</v>
      </c>
      <c r="AV4573" s="68"/>
      <c r="AW4573" s="68"/>
      <c r="AY4573" s="27"/>
      <c r="BD4573" s="68">
        <v>46054.1666666667</v>
      </c>
      <c r="BE4573" s="68">
        <v>46082.1666666667</v>
      </c>
      <c r="BF4573" s="0" t="b">
        <v>0</v>
      </c>
      <c r="BG4573" s="0" t="b">
        <v>0</v>
      </c>
      <c r="BH4573" s="0">
        <v>44.25</v>
      </c>
      <c r="BI4573" s="0">
        <v>44.25</v>
      </c>
      <c r="BJ4573" s="0" t="s">
        <v>135</v>
      </c>
    </row>
    <row r="4574">
      <c r="A4574" s="0" t="s">
        <v>4838</v>
      </c>
      <c r="B4574" s="0" t="s">
        <v>5</v>
      </c>
      <c r="C4574" s="0" t="s">
        <v>652</v>
      </c>
      <c r="D4574" s="0" t="s">
        <v>135</v>
      </c>
      <c r="E4574" s="0" t="s">
        <v>3</v>
      </c>
      <c r="F4574" s="0" t="s">
        <v>12</v>
      </c>
      <c r="G4574" s="0" t="s">
        <v>8</v>
      </c>
      <c r="H4574" s="0">
        <v>-1</v>
      </c>
      <c r="I4574" s="0">
        <v>0</v>
      </c>
      <c r="J4574" s="0">
        <v>0</v>
      </c>
      <c r="K4574" s="0">
        <v>0</v>
      </c>
      <c r="L4574" s="0">
        <v>0</v>
      </c>
      <c r="M4574" s="0">
        <v>0</v>
      </c>
      <c r="N4574" s="0">
        <v>0</v>
      </c>
      <c r="O4574" s="0">
        <v>0</v>
      </c>
      <c r="P4574" s="0">
        <v>0</v>
      </c>
      <c r="R4574" s="0" t="b">
        <v>0</v>
      </c>
      <c r="S4574" s="0" t="b">
        <v>0</v>
      </c>
      <c r="T4574" s="68">
        <v>46055.490162037</v>
      </c>
      <c r="U4574" s="68">
        <v>0</v>
      </c>
      <c r="V4574" s="68">
        <v>46069.7808217593</v>
      </c>
      <c r="W4574" s="0">
        <f>IF(IF(B4574="none",1,IF(B4574="Trialer",1,0))+IF(C4574="Customer",1,IF(C4574="Lost",1,0))=2,1,0)</f>
      </c>
      <c r="X4574" s="0" t="s">
        <v>145</v>
      </c>
      <c r="Y4574" s="0" t="s">
        <v>243</v>
      </c>
      <c r="AV4574" s="68"/>
      <c r="AW4574" s="68"/>
      <c r="AY4574" s="27"/>
      <c r="BD4574" s="68">
        <v>46054.1666666667</v>
      </c>
      <c r="BE4574" s="68">
        <v>46082.1666666667</v>
      </c>
      <c r="BF4574" s="0" t="b">
        <v>0</v>
      </c>
      <c r="BG4574" s="0" t="b">
        <v>0</v>
      </c>
      <c r="BH4574" s="0">
        <v>72.75</v>
      </c>
      <c r="BI4574" s="0">
        <v>72.75</v>
      </c>
      <c r="BJ4574" s="0" t="s">
        <v>135</v>
      </c>
    </row>
    <row r="4575">
      <c r="A4575" s="0" t="s">
        <v>4839</v>
      </c>
      <c r="B4575" s="0" t="s">
        <v>5</v>
      </c>
      <c r="C4575" s="0" t="s">
        <v>134</v>
      </c>
      <c r="D4575" s="0" t="s">
        <v>135</v>
      </c>
      <c r="E4575" s="0" t="s">
        <v>3</v>
      </c>
      <c r="F4575" s="0" t="s">
        <v>12</v>
      </c>
      <c r="G4575" s="0" t="s">
        <v>8</v>
      </c>
      <c r="H4575" s="0">
        <v>-1</v>
      </c>
      <c r="I4575" s="0">
        <v>40</v>
      </c>
      <c r="J4575" s="0">
        <v>0</v>
      </c>
      <c r="K4575" s="0">
        <v>1</v>
      </c>
      <c r="L4575" s="0">
        <v>1</v>
      </c>
      <c r="M4575" s="0">
        <v>0</v>
      </c>
      <c r="N4575" s="0">
        <v>0</v>
      </c>
      <c r="O4575" s="0">
        <v>0</v>
      </c>
      <c r="P4575" s="0">
        <v>0</v>
      </c>
      <c r="R4575" s="0" t="b">
        <v>0</v>
      </c>
      <c r="S4575" s="0" t="b">
        <v>1</v>
      </c>
      <c r="T4575" s="68">
        <v>46055.5038310185</v>
      </c>
      <c r="U4575" s="68">
        <v>46055.2916666667</v>
      </c>
      <c r="V4575" s="68">
        <v>0</v>
      </c>
      <c r="W4575" s="0">
        <f>IF(IF(B4575="none",1,IF(B4575="Trialer",1,0))+IF(C4575="Customer",1,IF(C4575="Lost",1,0))=2,1,0)</f>
      </c>
      <c r="X4575" s="0" t="s">
        <v>1461</v>
      </c>
      <c r="Y4575" s="0" t="s">
        <v>243</v>
      </c>
      <c r="AV4575" s="68"/>
      <c r="AW4575" s="68"/>
      <c r="AY4575" s="27"/>
      <c r="BD4575" s="68">
        <v>46054.1666666667</v>
      </c>
      <c r="BE4575" s="68">
        <v>46082.1666666667</v>
      </c>
      <c r="BF4575" s="0" t="b">
        <v>0</v>
      </c>
      <c r="BG4575" s="0" t="b">
        <v>0</v>
      </c>
      <c r="BH4575" s="0">
        <v>406.5</v>
      </c>
      <c r="BI4575" s="0">
        <v>406.5</v>
      </c>
      <c r="BJ4575" s="0" t="s">
        <v>135</v>
      </c>
    </row>
    <row r="4576">
      <c r="A4576" s="0" t="s">
        <v>4840</v>
      </c>
      <c r="B4576" s="0" t="s">
        <v>5</v>
      </c>
      <c r="C4576" s="0" t="s">
        <v>652</v>
      </c>
      <c r="D4576" s="0" t="s">
        <v>135</v>
      </c>
      <c r="E4576" s="0" t="s">
        <v>3</v>
      </c>
      <c r="F4576" s="0" t="s">
        <v>12</v>
      </c>
      <c r="G4576" s="0" t="s">
        <v>8</v>
      </c>
      <c r="H4576" s="0">
        <v>-1</v>
      </c>
      <c r="I4576" s="0">
        <v>0</v>
      </c>
      <c r="J4576" s="0">
        <v>0</v>
      </c>
      <c r="K4576" s="0">
        <v>0</v>
      </c>
      <c r="L4576" s="0">
        <v>0</v>
      </c>
      <c r="M4576" s="0">
        <v>0</v>
      </c>
      <c r="N4576" s="0">
        <v>0</v>
      </c>
      <c r="O4576" s="0">
        <v>0</v>
      </c>
      <c r="P4576" s="0">
        <v>0</v>
      </c>
      <c r="R4576" s="0" t="b">
        <v>0</v>
      </c>
      <c r="S4576" s="0" t="b">
        <v>0</v>
      </c>
      <c r="T4576" s="68">
        <v>46055.52</v>
      </c>
      <c r="U4576" s="68">
        <v>0</v>
      </c>
      <c r="V4576" s="68">
        <v>46095.1667939815</v>
      </c>
      <c r="W4576" s="0">
        <f>IF(IF(B4576="none",1,IF(B4576="Trialer",1,0))+IF(C4576="Customer",1,IF(C4576="Lost",1,0))=2,1,0)</f>
      </c>
      <c r="X4576" s="0" t="s">
        <v>145</v>
      </c>
      <c r="Y4576" s="0" t="s">
        <v>1792</v>
      </c>
      <c r="AV4576" s="68"/>
      <c r="AW4576" s="68"/>
      <c r="AY4576" s="27"/>
      <c r="BD4576" s="68">
        <v>46054.1666666667</v>
      </c>
      <c r="BE4576" s="68">
        <v>46082.1666666667</v>
      </c>
      <c r="BF4576" s="0" t="b">
        <v>0</v>
      </c>
      <c r="BG4576" s="0" t="b">
        <v>0</v>
      </c>
      <c r="BH4576" s="0">
        <v>59</v>
      </c>
      <c r="BI4576" s="0">
        <v>59</v>
      </c>
      <c r="BJ4576" s="0" t="s">
        <v>135</v>
      </c>
    </row>
    <row r="4577">
      <c r="A4577" s="0" t="s">
        <v>4841</v>
      </c>
      <c r="B4577" s="0" t="s">
        <v>5</v>
      </c>
      <c r="C4577" s="0" t="s">
        <v>134</v>
      </c>
      <c r="D4577" s="0" t="s">
        <v>135</v>
      </c>
      <c r="E4577" s="0" t="s">
        <v>3</v>
      </c>
      <c r="F4577" s="0" t="s">
        <v>12</v>
      </c>
      <c r="G4577" s="0" t="s">
        <v>8</v>
      </c>
      <c r="H4577" s="0">
        <v>-1</v>
      </c>
      <c r="I4577" s="0">
        <v>59</v>
      </c>
      <c r="J4577" s="0">
        <v>0</v>
      </c>
      <c r="K4577" s="0">
        <v>1</v>
      </c>
      <c r="L4577" s="0">
        <v>3</v>
      </c>
      <c r="M4577" s="0">
        <v>1</v>
      </c>
      <c r="N4577" s="0">
        <v>0</v>
      </c>
      <c r="O4577" s="0">
        <v>0</v>
      </c>
      <c r="P4577" s="0">
        <v>0</v>
      </c>
      <c r="R4577" s="0" t="b">
        <v>0</v>
      </c>
      <c r="S4577" s="0" t="b">
        <v>1</v>
      </c>
      <c r="T4577" s="68">
        <v>46055.5642939815</v>
      </c>
      <c r="U4577" s="68">
        <v>46069.2916666667</v>
      </c>
      <c r="V4577" s="68">
        <v>0</v>
      </c>
      <c r="W4577" s="0">
        <f>IF(IF(B4577="none",1,IF(B4577="Trialer",1,0))+IF(C4577="Customer",1,IF(C4577="Lost",1,0))=2,1,0)</f>
      </c>
      <c r="X4577" s="0" t="s">
        <v>1461</v>
      </c>
      <c r="Y4577" s="0" t="s">
        <v>243</v>
      </c>
      <c r="AV4577" s="68"/>
      <c r="AW4577" s="68"/>
      <c r="AY4577" s="27"/>
      <c r="BD4577" s="68">
        <v>46054.1666666667</v>
      </c>
      <c r="BE4577" s="68">
        <v>46082.1666666667</v>
      </c>
      <c r="BF4577" s="0" t="b">
        <v>0</v>
      </c>
      <c r="BG4577" s="0" t="b">
        <v>0</v>
      </c>
      <c r="BH4577" s="0">
        <v>59</v>
      </c>
      <c r="BI4577" s="0">
        <v>59</v>
      </c>
      <c r="BJ4577" s="0" t="s">
        <v>135</v>
      </c>
    </row>
    <row r="4578">
      <c r="A4578" s="0" t="s">
        <v>4842</v>
      </c>
      <c r="B4578" s="0" t="s">
        <v>5</v>
      </c>
      <c r="C4578" s="0" t="s">
        <v>652</v>
      </c>
      <c r="D4578" s="0" t="s">
        <v>135</v>
      </c>
      <c r="E4578" s="0" t="s">
        <v>3</v>
      </c>
      <c r="F4578" s="0" t="s">
        <v>12</v>
      </c>
      <c r="G4578" s="0" t="s">
        <v>8</v>
      </c>
      <c r="H4578" s="0">
        <v>-1</v>
      </c>
      <c r="I4578" s="0">
        <v>0</v>
      </c>
      <c r="J4578" s="0">
        <v>0</v>
      </c>
      <c r="K4578" s="0">
        <v>0</v>
      </c>
      <c r="L4578" s="0">
        <v>0</v>
      </c>
      <c r="M4578" s="0">
        <v>0</v>
      </c>
      <c r="N4578" s="0">
        <v>0</v>
      </c>
      <c r="O4578" s="0">
        <v>0</v>
      </c>
      <c r="P4578" s="0">
        <v>0</v>
      </c>
      <c r="R4578" s="0" t="b">
        <v>0</v>
      </c>
      <c r="S4578" s="0" t="b">
        <v>0</v>
      </c>
      <c r="T4578" s="68">
        <v>46055.5884953704</v>
      </c>
      <c r="U4578" s="68">
        <v>0</v>
      </c>
      <c r="V4578" s="68">
        <v>46065.609525463</v>
      </c>
      <c r="W4578" s="0">
        <f>IF(IF(B4578="none",1,IF(B4578="Trialer",1,0))+IF(C4578="Customer",1,IF(C4578="Lost",1,0))=2,1,0)</f>
      </c>
      <c r="X4578" s="0" t="s">
        <v>145</v>
      </c>
      <c r="Y4578" s="0" t="s">
        <v>243</v>
      </c>
      <c r="AV4578" s="68"/>
      <c r="AW4578" s="68"/>
      <c r="AY4578" s="27"/>
      <c r="BD4578" s="68">
        <v>46054.1666666667</v>
      </c>
      <c r="BE4578" s="68">
        <v>46082.1666666667</v>
      </c>
      <c r="BF4578" s="0" t="b">
        <v>1</v>
      </c>
      <c r="BG4578" s="0" t="b">
        <v>1</v>
      </c>
      <c r="BH4578" s="0">
        <v>118</v>
      </c>
      <c r="BI4578" s="0">
        <v>118</v>
      </c>
      <c r="BJ4578" s="0" t="s">
        <v>135</v>
      </c>
    </row>
    <row r="4579">
      <c r="A4579" s="0" t="s">
        <v>4843</v>
      </c>
      <c r="B4579" s="0" t="s">
        <v>5</v>
      </c>
      <c r="C4579" s="0" t="s">
        <v>134</v>
      </c>
      <c r="D4579" s="0" t="s">
        <v>135</v>
      </c>
      <c r="E4579" s="0" t="s">
        <v>3</v>
      </c>
      <c r="F4579" s="0" t="s">
        <v>11</v>
      </c>
      <c r="G4579" s="0" t="s">
        <v>8</v>
      </c>
      <c r="H4579" s="0">
        <v>-1</v>
      </c>
      <c r="I4579" s="0">
        <v>40</v>
      </c>
      <c r="J4579" s="0">
        <v>0</v>
      </c>
      <c r="K4579" s="0">
        <v>1</v>
      </c>
      <c r="L4579" s="0">
        <v>1</v>
      </c>
      <c r="M4579" s="0">
        <v>0</v>
      </c>
      <c r="N4579" s="0">
        <v>0</v>
      </c>
      <c r="O4579" s="0">
        <v>0</v>
      </c>
      <c r="P4579" s="0">
        <v>0</v>
      </c>
      <c r="Q4579" s="0" t="s">
        <v>1743</v>
      </c>
      <c r="R4579" s="0" t="b">
        <v>1</v>
      </c>
      <c r="S4579" s="0" t="b">
        <v>1</v>
      </c>
      <c r="T4579" s="68">
        <v>46055.5924189815</v>
      </c>
      <c r="U4579" s="68">
        <v>46055.2916666667</v>
      </c>
      <c r="V4579" s="68">
        <v>0</v>
      </c>
      <c r="W4579" s="0">
        <f>IF(IF(B4579="none",1,IF(B4579="Trialer",1,0))+IF(C4579="Customer",1,IF(C4579="Lost",1,0))=2,1,0)</f>
      </c>
      <c r="X4579" s="0" t="s">
        <v>145</v>
      </c>
      <c r="Y4579" s="0" t="s">
        <v>243</v>
      </c>
      <c r="AV4579" s="68"/>
      <c r="AW4579" s="68"/>
      <c r="AY4579" s="27"/>
      <c r="BD4579" s="68">
        <v>46054.1666666667</v>
      </c>
      <c r="BE4579" s="68">
        <v>46082.1666666667</v>
      </c>
      <c r="BF4579" s="0" t="b">
        <v>0</v>
      </c>
      <c r="BG4579" s="0" t="b">
        <v>0</v>
      </c>
      <c r="BH4579" s="0">
        <v>156.8</v>
      </c>
      <c r="BI4579" s="0">
        <v>156.8</v>
      </c>
      <c r="BJ4579" s="0" t="s">
        <v>135</v>
      </c>
    </row>
    <row r="4580">
      <c r="A4580" s="0" t="s">
        <v>4844</v>
      </c>
      <c r="B4580" s="0" t="s">
        <v>5</v>
      </c>
      <c r="C4580" s="0" t="s">
        <v>652</v>
      </c>
      <c r="D4580" s="0" t="s">
        <v>135</v>
      </c>
      <c r="E4580" s="0" t="s">
        <v>3</v>
      </c>
      <c r="F4580" s="0" t="s">
        <v>12</v>
      </c>
      <c r="G4580" s="0" t="s">
        <v>8</v>
      </c>
      <c r="H4580" s="0">
        <v>-1</v>
      </c>
      <c r="I4580" s="0">
        <v>0</v>
      </c>
      <c r="J4580" s="0">
        <v>0</v>
      </c>
      <c r="K4580" s="0">
        <v>0</v>
      </c>
      <c r="L4580" s="0">
        <v>0</v>
      </c>
      <c r="M4580" s="0">
        <v>0</v>
      </c>
      <c r="N4580" s="0">
        <v>0</v>
      </c>
      <c r="O4580" s="0">
        <v>0</v>
      </c>
      <c r="P4580" s="0">
        <v>0</v>
      </c>
      <c r="R4580" s="0" t="b">
        <v>0</v>
      </c>
      <c r="S4580" s="0" t="b">
        <v>0</v>
      </c>
      <c r="T4580" s="68">
        <v>46055.6167592593</v>
      </c>
      <c r="U4580" s="68">
        <v>0</v>
      </c>
      <c r="V4580" s="68">
        <v>46095.1668055556</v>
      </c>
      <c r="W4580" s="0">
        <f>IF(IF(B4580="none",1,IF(B4580="Trialer",1,0))+IF(C4580="Customer",1,IF(C4580="Lost",1,0))=2,1,0)</f>
      </c>
      <c r="X4580" s="0" t="s">
        <v>148</v>
      </c>
      <c r="Y4580" s="0" t="s">
        <v>243</v>
      </c>
      <c r="AV4580" s="68"/>
      <c r="AW4580" s="68"/>
      <c r="AY4580" s="27"/>
      <c r="BD4580" s="68">
        <v>46054.1666666667</v>
      </c>
      <c r="BE4580" s="68">
        <v>46082.1666666667</v>
      </c>
      <c r="BF4580" s="0" t="b">
        <v>0</v>
      </c>
      <c r="BG4580" s="0" t="b">
        <v>0</v>
      </c>
      <c r="BH4580" s="0">
        <v>59</v>
      </c>
      <c r="BI4580" s="0">
        <v>59</v>
      </c>
      <c r="BJ4580" s="0" t="s">
        <v>135</v>
      </c>
    </row>
    <row r="4581">
      <c r="A4581" s="0" t="s">
        <v>4845</v>
      </c>
      <c r="B4581" s="0" t="s">
        <v>5</v>
      </c>
      <c r="C4581" s="0" t="s">
        <v>134</v>
      </c>
      <c r="D4581" s="0" t="s">
        <v>135</v>
      </c>
      <c r="E4581" s="0" t="s">
        <v>3</v>
      </c>
      <c r="F4581" s="0" t="s">
        <v>12</v>
      </c>
      <c r="G4581" s="0" t="s">
        <v>8</v>
      </c>
      <c r="H4581" s="0">
        <v>-1</v>
      </c>
      <c r="I4581" s="0">
        <v>137.25</v>
      </c>
      <c r="J4581" s="0">
        <v>0</v>
      </c>
      <c r="K4581" s="0">
        <v>1</v>
      </c>
      <c r="L4581" s="0">
        <v>5</v>
      </c>
      <c r="M4581" s="0">
        <v>3</v>
      </c>
      <c r="N4581" s="0">
        <v>0</v>
      </c>
      <c r="O4581" s="0">
        <v>0</v>
      </c>
      <c r="P4581" s="0">
        <v>0</v>
      </c>
      <c r="R4581" s="0" t="b">
        <v>0</v>
      </c>
      <c r="S4581" s="0" t="b">
        <v>1</v>
      </c>
      <c r="T4581" s="68">
        <v>46055.625</v>
      </c>
      <c r="U4581" s="68">
        <v>46056.2916666667</v>
      </c>
      <c r="V4581" s="68">
        <v>0</v>
      </c>
      <c r="W4581" s="0">
        <f>IF(IF(B4581="none",1,IF(B4581="Trialer",1,0))+IF(C4581="Customer",1,IF(C4581="Lost",1,0))=2,1,0)</f>
      </c>
      <c r="X4581" s="0" t="s">
        <v>1461</v>
      </c>
      <c r="Y4581" s="0" t="s">
        <v>243</v>
      </c>
      <c r="AV4581" s="68"/>
      <c r="AW4581" s="68"/>
      <c r="AY4581" s="27"/>
      <c r="BD4581" s="68">
        <v>46054.1666666667</v>
      </c>
      <c r="BE4581" s="68">
        <v>46082.1666666667</v>
      </c>
      <c r="BF4581" s="0" t="b">
        <v>0</v>
      </c>
      <c r="BG4581" s="0" t="b">
        <v>0</v>
      </c>
      <c r="BH4581" s="0">
        <v>137.25</v>
      </c>
      <c r="BI4581" s="0">
        <v>137.25</v>
      </c>
      <c r="BJ4581" s="0" t="s">
        <v>135</v>
      </c>
    </row>
    <row r="4582">
      <c r="A4582" s="0" t="s">
        <v>4846</v>
      </c>
      <c r="B4582" s="0" t="s">
        <v>5</v>
      </c>
      <c r="C4582" s="0" t="s">
        <v>652</v>
      </c>
      <c r="D4582" s="0" t="s">
        <v>135</v>
      </c>
      <c r="E4582" s="0" t="s">
        <v>4</v>
      </c>
      <c r="F4582" s="0" t="s">
        <v>12</v>
      </c>
      <c r="G4582" s="0" t="s">
        <v>8</v>
      </c>
      <c r="H4582" s="0">
        <v>-1</v>
      </c>
      <c r="I4582" s="0">
        <v>0</v>
      </c>
      <c r="J4582" s="0">
        <v>0</v>
      </c>
      <c r="K4582" s="0">
        <v>0</v>
      </c>
      <c r="L4582" s="0">
        <v>0</v>
      </c>
      <c r="M4582" s="0">
        <v>0</v>
      </c>
      <c r="N4582" s="0">
        <v>0</v>
      </c>
      <c r="O4582" s="0">
        <v>0</v>
      </c>
      <c r="P4582" s="0">
        <v>0</v>
      </c>
      <c r="R4582" s="0" t="b">
        <v>0</v>
      </c>
      <c r="S4582" s="0" t="b">
        <v>0</v>
      </c>
      <c r="T4582" s="68">
        <v>46055.6257986111</v>
      </c>
      <c r="U4582" s="68">
        <v>0</v>
      </c>
      <c r="V4582" s="68">
        <v>46095.1669675926</v>
      </c>
      <c r="W4582" s="0">
        <f>IF(IF(B4582="none",1,IF(B4582="Trialer",1,0))+IF(C4582="Customer",1,IF(C4582="Lost",1,0))=2,1,0)</f>
      </c>
      <c r="X4582" s="0" t="s">
        <v>136</v>
      </c>
      <c r="Y4582" s="0" t="s">
        <v>1772</v>
      </c>
      <c r="AV4582" s="68"/>
      <c r="AW4582" s="68"/>
      <c r="AY4582" s="27"/>
      <c r="BD4582" s="68">
        <v>46054.1666666667</v>
      </c>
      <c r="BE4582" s="68">
        <v>46082.1666666667</v>
      </c>
      <c r="BF4582" s="0" t="b">
        <v>0</v>
      </c>
      <c r="BG4582" s="0" t="b">
        <v>0</v>
      </c>
      <c r="BH4582" s="0">
        <v>59</v>
      </c>
      <c r="BI4582" s="0">
        <v>59</v>
      </c>
      <c r="BJ4582" s="0" t="s">
        <v>135</v>
      </c>
    </row>
    <row r="4583">
      <c r="A4583" s="0" t="s">
        <v>4847</v>
      </c>
      <c r="B4583" s="0" t="s">
        <v>5</v>
      </c>
      <c r="C4583" s="0" t="s">
        <v>652</v>
      </c>
      <c r="D4583" s="0" t="s">
        <v>135</v>
      </c>
      <c r="E4583" s="0" t="s">
        <v>3</v>
      </c>
      <c r="F4583" s="0" t="s">
        <v>12</v>
      </c>
      <c r="G4583" s="0" t="s">
        <v>8</v>
      </c>
      <c r="H4583" s="0">
        <v>-1</v>
      </c>
      <c r="I4583" s="0">
        <v>0</v>
      </c>
      <c r="J4583" s="0">
        <v>0</v>
      </c>
      <c r="K4583" s="0">
        <v>0</v>
      </c>
      <c r="L4583" s="0">
        <v>0</v>
      </c>
      <c r="M4583" s="0">
        <v>0</v>
      </c>
      <c r="N4583" s="0">
        <v>0</v>
      </c>
      <c r="O4583" s="0">
        <v>0</v>
      </c>
      <c r="P4583" s="0">
        <v>0</v>
      </c>
      <c r="R4583" s="0" t="b">
        <v>0</v>
      </c>
      <c r="S4583" s="0" t="b">
        <v>0</v>
      </c>
      <c r="T4583" s="68">
        <v>46055.6655555556</v>
      </c>
      <c r="U4583" s="68">
        <v>0</v>
      </c>
      <c r="V4583" s="68">
        <v>46095.1668171296</v>
      </c>
      <c r="W4583" s="0">
        <f>IF(IF(B4583="none",1,IF(B4583="Trialer",1,0))+IF(C4583="Customer",1,IF(C4583="Lost",1,0))=2,1,0)</f>
      </c>
      <c r="X4583" s="0" t="s">
        <v>148</v>
      </c>
      <c r="Y4583" s="0" t="s">
        <v>243</v>
      </c>
      <c r="AV4583" s="68"/>
      <c r="AW4583" s="68"/>
      <c r="AY4583" s="27"/>
      <c r="BD4583" s="68">
        <v>46054.1666666667</v>
      </c>
      <c r="BE4583" s="68">
        <v>46082.1666666667</v>
      </c>
      <c r="BF4583" s="0" t="b">
        <v>0</v>
      </c>
      <c r="BG4583" s="0" t="b">
        <v>0</v>
      </c>
      <c r="BH4583" s="0">
        <v>59</v>
      </c>
      <c r="BI4583" s="0">
        <v>59</v>
      </c>
      <c r="BJ4583" s="0" t="s">
        <v>135</v>
      </c>
    </row>
    <row r="4584">
      <c r="A4584" s="0" t="s">
        <v>4848</v>
      </c>
      <c r="B4584" s="0" t="s">
        <v>5</v>
      </c>
      <c r="C4584" s="0" t="s">
        <v>652</v>
      </c>
      <c r="D4584" s="0" t="s">
        <v>135</v>
      </c>
      <c r="E4584" s="0" t="s">
        <v>4</v>
      </c>
      <c r="F4584" s="0" t="s">
        <v>12</v>
      </c>
      <c r="G4584" s="0" t="s">
        <v>8</v>
      </c>
      <c r="H4584" s="0">
        <v>-1</v>
      </c>
      <c r="I4584" s="0">
        <v>0</v>
      </c>
      <c r="J4584" s="0">
        <v>0</v>
      </c>
      <c r="K4584" s="0">
        <v>0</v>
      </c>
      <c r="L4584" s="0">
        <v>0</v>
      </c>
      <c r="M4584" s="0">
        <v>0</v>
      </c>
      <c r="N4584" s="0">
        <v>0</v>
      </c>
      <c r="O4584" s="0">
        <v>0</v>
      </c>
      <c r="P4584" s="0">
        <v>0</v>
      </c>
      <c r="R4584" s="0" t="b">
        <v>0</v>
      </c>
      <c r="S4584" s="0" t="b">
        <v>0</v>
      </c>
      <c r="T4584" s="68">
        <v>46055.6795138889</v>
      </c>
      <c r="U4584" s="68">
        <v>0</v>
      </c>
      <c r="V4584" s="68">
        <v>46095.1669791667</v>
      </c>
      <c r="W4584" s="0">
        <f>IF(IF(B4584="none",1,IF(B4584="Trialer",1,0))+IF(C4584="Customer",1,IF(C4584="Lost",1,0))=2,1,0)</f>
      </c>
      <c r="X4584" s="0" t="s">
        <v>145</v>
      </c>
      <c r="Y4584" s="0" t="s">
        <v>1772</v>
      </c>
      <c r="AV4584" s="68"/>
      <c r="AW4584" s="68"/>
      <c r="AY4584" s="27"/>
      <c r="BD4584" s="68">
        <v>46054.1666666667</v>
      </c>
      <c r="BE4584" s="68">
        <v>46082.1666666667</v>
      </c>
      <c r="BF4584" s="0" t="b">
        <v>0</v>
      </c>
      <c r="BG4584" s="0" t="b">
        <v>0</v>
      </c>
      <c r="BH4584" s="0">
        <v>118</v>
      </c>
      <c r="BI4584" s="0">
        <v>118</v>
      </c>
      <c r="BJ4584" s="0" t="s">
        <v>135</v>
      </c>
    </row>
    <row r="4585">
      <c r="A4585" s="0" t="s">
        <v>4849</v>
      </c>
      <c r="B4585" s="0" t="s">
        <v>5</v>
      </c>
      <c r="C4585" s="0" t="s">
        <v>652</v>
      </c>
      <c r="D4585" s="0" t="s">
        <v>135</v>
      </c>
      <c r="E4585" s="0" t="s">
        <v>3</v>
      </c>
      <c r="F4585" s="0" t="s">
        <v>12</v>
      </c>
      <c r="G4585" s="0" t="s">
        <v>8</v>
      </c>
      <c r="H4585" s="0">
        <v>-1</v>
      </c>
      <c r="I4585" s="0">
        <v>0</v>
      </c>
      <c r="J4585" s="0">
        <v>0</v>
      </c>
      <c r="K4585" s="0">
        <v>0</v>
      </c>
      <c r="L4585" s="0">
        <v>0</v>
      </c>
      <c r="M4585" s="0">
        <v>0</v>
      </c>
      <c r="N4585" s="0">
        <v>0</v>
      </c>
      <c r="O4585" s="0">
        <v>0</v>
      </c>
      <c r="P4585" s="0">
        <v>0</v>
      </c>
      <c r="R4585" s="0" t="b">
        <v>0</v>
      </c>
      <c r="S4585" s="0" t="b">
        <v>0</v>
      </c>
      <c r="T4585" s="68">
        <v>46055.6892939815</v>
      </c>
      <c r="U4585" s="68">
        <v>0</v>
      </c>
      <c r="V4585" s="68">
        <v>46095.1668402778</v>
      </c>
      <c r="W4585" s="0">
        <f>IF(IF(B4585="none",1,IF(B4585="Trialer",1,0))+IF(C4585="Customer",1,IF(C4585="Lost",1,0))=2,1,0)</f>
      </c>
      <c r="X4585" s="0" t="s">
        <v>136</v>
      </c>
      <c r="Y4585" s="0" t="s">
        <v>243</v>
      </c>
      <c r="AV4585" s="68"/>
      <c r="AW4585" s="68"/>
      <c r="AY4585" s="27"/>
      <c r="BD4585" s="68">
        <v>46054.1666666667</v>
      </c>
      <c r="BE4585" s="68">
        <v>46082.1666666667</v>
      </c>
      <c r="BF4585" s="0" t="b">
        <v>0</v>
      </c>
      <c r="BG4585" s="0" t="b">
        <v>0</v>
      </c>
      <c r="BH4585" s="0">
        <v>71</v>
      </c>
      <c r="BI4585" s="0">
        <v>71</v>
      </c>
      <c r="BJ4585" s="0" t="s">
        <v>135</v>
      </c>
    </row>
    <row r="4586">
      <c r="A4586" s="0" t="s">
        <v>4850</v>
      </c>
      <c r="B4586" s="0" t="s">
        <v>5</v>
      </c>
      <c r="C4586" s="0" t="s">
        <v>652</v>
      </c>
      <c r="D4586" s="0" t="s">
        <v>135</v>
      </c>
      <c r="E4586" s="0" t="s">
        <v>3</v>
      </c>
      <c r="F4586" s="0" t="s">
        <v>12</v>
      </c>
      <c r="G4586" s="0" t="s">
        <v>8</v>
      </c>
      <c r="H4586" s="0">
        <v>-1</v>
      </c>
      <c r="I4586" s="0">
        <v>0</v>
      </c>
      <c r="J4586" s="0">
        <v>0</v>
      </c>
      <c r="K4586" s="0">
        <v>0</v>
      </c>
      <c r="L4586" s="0">
        <v>0</v>
      </c>
      <c r="M4586" s="0">
        <v>0</v>
      </c>
      <c r="N4586" s="0">
        <v>0</v>
      </c>
      <c r="O4586" s="0">
        <v>0</v>
      </c>
      <c r="P4586" s="0">
        <v>0</v>
      </c>
      <c r="R4586" s="0" t="b">
        <v>0</v>
      </c>
      <c r="S4586" s="0" t="b">
        <v>0</v>
      </c>
      <c r="T4586" s="68">
        <v>46055.6987615741</v>
      </c>
      <c r="U4586" s="68">
        <v>0</v>
      </c>
      <c r="V4586" s="68">
        <v>46095.1670023148</v>
      </c>
      <c r="W4586" s="0">
        <f>IF(IF(B4586="none",1,IF(B4586="Trialer",1,0))+IF(C4586="Customer",1,IF(C4586="Lost",1,0))=2,1,0)</f>
      </c>
      <c r="X4586" s="0" t="s">
        <v>148</v>
      </c>
      <c r="Y4586" s="0" t="s">
        <v>243</v>
      </c>
      <c r="AV4586" s="68"/>
      <c r="AW4586" s="68"/>
      <c r="AY4586" s="27"/>
      <c r="BD4586" s="68">
        <v>46054.1666666667</v>
      </c>
      <c r="BE4586" s="68">
        <v>46082.1666666667</v>
      </c>
      <c r="BF4586" s="0" t="b">
        <v>0</v>
      </c>
      <c r="BG4586" s="0" t="b">
        <v>0</v>
      </c>
      <c r="BH4586" s="0">
        <v>194</v>
      </c>
      <c r="BI4586" s="0">
        <v>194</v>
      </c>
      <c r="BJ4586" s="0" t="s">
        <v>135</v>
      </c>
    </row>
    <row r="4587">
      <c r="A4587" s="0" t="s">
        <v>4851</v>
      </c>
      <c r="B4587" s="0" t="s">
        <v>5</v>
      </c>
      <c r="C4587" s="0" t="s">
        <v>652</v>
      </c>
      <c r="D4587" s="0" t="s">
        <v>135</v>
      </c>
      <c r="E4587" s="0" t="s">
        <v>2</v>
      </c>
      <c r="F4587" s="0" t="s">
        <v>12</v>
      </c>
      <c r="G4587" s="0" t="s">
        <v>8</v>
      </c>
      <c r="H4587" s="0">
        <v>-1</v>
      </c>
      <c r="I4587" s="0">
        <v>0</v>
      </c>
      <c r="J4587" s="0">
        <v>0</v>
      </c>
      <c r="K4587" s="0">
        <v>0</v>
      </c>
      <c r="L4587" s="0">
        <v>0</v>
      </c>
      <c r="M4587" s="0">
        <v>0</v>
      </c>
      <c r="N4587" s="0">
        <v>0</v>
      </c>
      <c r="O4587" s="0">
        <v>0</v>
      </c>
      <c r="P4587" s="0">
        <v>0</v>
      </c>
      <c r="R4587" s="0" t="b">
        <v>0</v>
      </c>
      <c r="S4587" s="0" t="b">
        <v>0</v>
      </c>
      <c r="T4587" s="68">
        <v>46055.7392708333</v>
      </c>
      <c r="U4587" s="68">
        <v>0</v>
      </c>
      <c r="V4587" s="68">
        <v>46095.1670138889</v>
      </c>
      <c r="W4587" s="0">
        <f>IF(IF(B4587="none",1,IF(B4587="Trialer",1,0))+IF(C4587="Customer",1,IF(C4587="Lost",1,0))=2,1,0)</f>
      </c>
      <c r="X4587" s="0" t="s">
        <v>882</v>
      </c>
      <c r="Y4587" s="0" t="s">
        <v>499</v>
      </c>
      <c r="AV4587" s="68"/>
      <c r="AW4587" s="68"/>
      <c r="AY4587" s="27"/>
      <c r="BD4587" s="68">
        <v>46054.1666666667</v>
      </c>
      <c r="BE4587" s="68">
        <v>46082.1666666667</v>
      </c>
      <c r="BF4587" s="0" t="b">
        <v>0</v>
      </c>
      <c r="BG4587" s="0" t="b">
        <v>0</v>
      </c>
      <c r="BH4587" s="0">
        <v>59</v>
      </c>
      <c r="BI4587" s="0">
        <v>59</v>
      </c>
      <c r="BJ4587" s="0" t="s">
        <v>135</v>
      </c>
    </row>
    <row r="4588">
      <c r="A4588" s="0" t="s">
        <v>4852</v>
      </c>
      <c r="B4588" s="0" t="s">
        <v>5</v>
      </c>
      <c r="C4588" s="0" t="s">
        <v>652</v>
      </c>
      <c r="D4588" s="0" t="s">
        <v>135</v>
      </c>
      <c r="E4588" s="0" t="s">
        <v>3</v>
      </c>
      <c r="F4588" s="0" t="s">
        <v>12</v>
      </c>
      <c r="G4588" s="0" t="s">
        <v>8</v>
      </c>
      <c r="H4588" s="0">
        <v>-1</v>
      </c>
      <c r="I4588" s="0">
        <v>0</v>
      </c>
      <c r="J4588" s="0">
        <v>0</v>
      </c>
      <c r="K4588" s="0">
        <v>0</v>
      </c>
      <c r="L4588" s="0">
        <v>0</v>
      </c>
      <c r="M4588" s="0">
        <v>0</v>
      </c>
      <c r="N4588" s="0">
        <v>0</v>
      </c>
      <c r="O4588" s="0">
        <v>0</v>
      </c>
      <c r="P4588" s="0">
        <v>0</v>
      </c>
      <c r="R4588" s="0" t="b">
        <v>0</v>
      </c>
      <c r="S4588" s="0" t="b">
        <v>0</v>
      </c>
      <c r="T4588" s="68">
        <v>46055.7538425926</v>
      </c>
      <c r="U4588" s="68">
        <v>0</v>
      </c>
      <c r="V4588" s="68">
        <v>46095.1670138889</v>
      </c>
      <c r="W4588" s="0">
        <f>IF(IF(B4588="none",1,IF(B4588="Trialer",1,0))+IF(C4588="Customer",1,IF(C4588="Lost",1,0))=2,1,0)</f>
      </c>
      <c r="X4588" s="0" t="s">
        <v>136</v>
      </c>
      <c r="Y4588" s="0" t="s">
        <v>243</v>
      </c>
      <c r="AV4588" s="68"/>
      <c r="AW4588" s="68"/>
      <c r="AY4588" s="27"/>
      <c r="BD4588" s="68">
        <v>46054.1666666667</v>
      </c>
      <c r="BE4588" s="68">
        <v>46082.1666666667</v>
      </c>
      <c r="BF4588" s="0" t="b">
        <v>0</v>
      </c>
      <c r="BG4588" s="0" t="b">
        <v>0</v>
      </c>
      <c r="BH4588" s="0">
        <v>97</v>
      </c>
      <c r="BI4588" s="0">
        <v>97</v>
      </c>
      <c r="BJ4588" s="0" t="s">
        <v>135</v>
      </c>
    </row>
    <row r="4589">
      <c r="A4589" s="0" t="s">
        <v>4853</v>
      </c>
      <c r="B4589" s="0" t="s">
        <v>5</v>
      </c>
      <c r="C4589" s="0" t="s">
        <v>652</v>
      </c>
      <c r="D4589" s="0" t="s">
        <v>135</v>
      </c>
      <c r="E4589" s="0" t="s">
        <v>2</v>
      </c>
      <c r="F4589" s="0" t="s">
        <v>12</v>
      </c>
      <c r="G4589" s="0" t="s">
        <v>8</v>
      </c>
      <c r="H4589" s="0">
        <v>-1</v>
      </c>
      <c r="I4589" s="0">
        <v>0</v>
      </c>
      <c r="J4589" s="0">
        <v>0</v>
      </c>
      <c r="K4589" s="0">
        <v>0</v>
      </c>
      <c r="L4589" s="0">
        <v>0</v>
      </c>
      <c r="M4589" s="0">
        <v>0</v>
      </c>
      <c r="N4589" s="0">
        <v>0</v>
      </c>
      <c r="O4589" s="0">
        <v>0</v>
      </c>
      <c r="P4589" s="0">
        <v>0</v>
      </c>
      <c r="R4589" s="0" t="b">
        <v>0</v>
      </c>
      <c r="S4589" s="0" t="b">
        <v>0</v>
      </c>
      <c r="T4589" s="68">
        <v>46055.7594675926</v>
      </c>
      <c r="U4589" s="68">
        <v>0</v>
      </c>
      <c r="V4589" s="68">
        <v>46056.4275578704</v>
      </c>
      <c r="W4589" s="0">
        <f>IF(IF(B4589="none",1,IF(B4589="Trialer",1,0))+IF(C4589="Customer",1,IF(C4589="Lost",1,0))=2,1,0)</f>
      </c>
      <c r="X4589" s="0" t="s">
        <v>148</v>
      </c>
      <c r="Y4589" s="0" t="s">
        <v>499</v>
      </c>
      <c r="AV4589" s="68"/>
      <c r="AW4589" s="68"/>
      <c r="AY4589" s="27"/>
      <c r="BD4589" s="68">
        <v>46054.1666666667</v>
      </c>
      <c r="BE4589" s="68">
        <v>46082.1666666667</v>
      </c>
      <c r="BF4589" s="0" t="b">
        <v>1</v>
      </c>
      <c r="BG4589" s="0" t="b">
        <v>0</v>
      </c>
      <c r="BH4589" s="0">
        <v>59</v>
      </c>
      <c r="BI4589" s="0">
        <v>0</v>
      </c>
      <c r="BJ4589" s="0" t="s">
        <v>135</v>
      </c>
    </row>
    <row r="4590">
      <c r="A4590" s="0" t="s">
        <v>4854</v>
      </c>
      <c r="B4590" s="0" t="s">
        <v>5</v>
      </c>
      <c r="C4590" s="0" t="s">
        <v>652</v>
      </c>
      <c r="D4590" s="0" t="s">
        <v>135</v>
      </c>
      <c r="E4590" s="0" t="s">
        <v>3</v>
      </c>
      <c r="F4590" s="0" t="s">
        <v>12</v>
      </c>
      <c r="G4590" s="0" t="s">
        <v>8</v>
      </c>
      <c r="H4590" s="0">
        <v>-1</v>
      </c>
      <c r="I4590" s="0">
        <v>0</v>
      </c>
      <c r="J4590" s="0">
        <v>0</v>
      </c>
      <c r="K4590" s="0">
        <v>0</v>
      </c>
      <c r="L4590" s="0">
        <v>0</v>
      </c>
      <c r="M4590" s="0">
        <v>0</v>
      </c>
      <c r="N4590" s="0">
        <v>0</v>
      </c>
      <c r="O4590" s="0">
        <v>0</v>
      </c>
      <c r="P4590" s="0">
        <v>0</v>
      </c>
      <c r="R4590" s="0" t="b">
        <v>0</v>
      </c>
      <c r="S4590" s="0" t="b">
        <v>0</v>
      </c>
      <c r="T4590" s="68">
        <v>46055.7706828704</v>
      </c>
      <c r="U4590" s="68">
        <v>0</v>
      </c>
      <c r="V4590" s="68">
        <v>46095.1668518518</v>
      </c>
      <c r="W4590" s="0">
        <f>IF(IF(B4590="none",1,IF(B4590="Trialer",1,0))+IF(C4590="Customer",1,IF(C4590="Lost",1,0))=2,1,0)</f>
      </c>
      <c r="X4590" s="0" t="s">
        <v>148</v>
      </c>
      <c r="Y4590" s="0" t="s">
        <v>243</v>
      </c>
      <c r="AV4590" s="68"/>
      <c r="AW4590" s="68"/>
      <c r="AY4590" s="27"/>
      <c r="BD4590" s="68">
        <v>46054.1666666667</v>
      </c>
      <c r="BE4590" s="68">
        <v>46082.1666666667</v>
      </c>
      <c r="BF4590" s="0" t="b">
        <v>0</v>
      </c>
      <c r="BG4590" s="0" t="b">
        <v>0</v>
      </c>
      <c r="BH4590" s="0">
        <v>59</v>
      </c>
      <c r="BI4590" s="0">
        <v>59</v>
      </c>
      <c r="BJ4590" s="0" t="s">
        <v>135</v>
      </c>
    </row>
    <row r="4591">
      <c r="A4591" s="0" t="s">
        <v>4855</v>
      </c>
      <c r="B4591" s="0" t="s">
        <v>5</v>
      </c>
      <c r="C4591" s="0" t="s">
        <v>652</v>
      </c>
      <c r="D4591" s="0" t="s">
        <v>135</v>
      </c>
      <c r="E4591" s="0" t="s">
        <v>4</v>
      </c>
      <c r="F4591" s="0" t="s">
        <v>12</v>
      </c>
      <c r="G4591" s="0" t="s">
        <v>8</v>
      </c>
      <c r="H4591" s="0">
        <v>-1</v>
      </c>
      <c r="I4591" s="0">
        <v>0</v>
      </c>
      <c r="J4591" s="0">
        <v>0</v>
      </c>
      <c r="K4591" s="0">
        <v>0</v>
      </c>
      <c r="L4591" s="0">
        <v>0</v>
      </c>
      <c r="M4591" s="0">
        <v>0</v>
      </c>
      <c r="N4591" s="0">
        <v>0</v>
      </c>
      <c r="O4591" s="0">
        <v>0</v>
      </c>
      <c r="P4591" s="0">
        <v>0</v>
      </c>
      <c r="R4591" s="0" t="b">
        <v>0</v>
      </c>
      <c r="S4591" s="0" t="b">
        <v>0</v>
      </c>
      <c r="T4591" s="68">
        <v>46055.7750578704</v>
      </c>
      <c r="U4591" s="68">
        <v>0</v>
      </c>
      <c r="V4591" s="68">
        <v>46059.5478935185</v>
      </c>
      <c r="W4591" s="0">
        <f>IF(IF(B4591="none",1,IF(B4591="Trialer",1,0))+IF(C4591="Customer",1,IF(C4591="Lost",1,0))=2,1,0)</f>
      </c>
      <c r="X4591" s="0" t="s">
        <v>145</v>
      </c>
      <c r="Y4591" s="0" t="s">
        <v>3366</v>
      </c>
      <c r="AV4591" s="68"/>
      <c r="AW4591" s="68"/>
      <c r="AY4591" s="27"/>
      <c r="BD4591" s="68">
        <v>46054.1666666667</v>
      </c>
      <c r="BE4591" s="68">
        <v>46082.1666666667</v>
      </c>
      <c r="BF4591" s="0" t="b">
        <v>1</v>
      </c>
      <c r="BG4591" s="0" t="b">
        <v>1</v>
      </c>
      <c r="BH4591" s="0">
        <v>71</v>
      </c>
      <c r="BI4591" s="0">
        <v>71</v>
      </c>
      <c r="BJ4591" s="0" t="s">
        <v>135</v>
      </c>
    </row>
    <row r="4592">
      <c r="A4592" s="0" t="s">
        <v>4856</v>
      </c>
      <c r="B4592" s="0" t="s">
        <v>5</v>
      </c>
      <c r="C4592" s="0" t="s">
        <v>652</v>
      </c>
      <c r="D4592" s="0" t="s">
        <v>135</v>
      </c>
      <c r="E4592" s="0" t="s">
        <v>2</v>
      </c>
      <c r="F4592" s="0" t="s">
        <v>12</v>
      </c>
      <c r="G4592" s="0" t="s">
        <v>8</v>
      </c>
      <c r="H4592" s="0">
        <v>-1</v>
      </c>
      <c r="I4592" s="0">
        <v>0</v>
      </c>
      <c r="J4592" s="0">
        <v>0</v>
      </c>
      <c r="K4592" s="0">
        <v>0</v>
      </c>
      <c r="L4592" s="0">
        <v>0</v>
      </c>
      <c r="M4592" s="0">
        <v>0</v>
      </c>
      <c r="N4592" s="0">
        <v>0</v>
      </c>
      <c r="O4592" s="0">
        <v>0</v>
      </c>
      <c r="P4592" s="0">
        <v>0</v>
      </c>
      <c r="R4592" s="0" t="b">
        <v>0</v>
      </c>
      <c r="S4592" s="0" t="b">
        <v>0</v>
      </c>
      <c r="T4592" s="68">
        <v>46055.7827314815</v>
      </c>
      <c r="U4592" s="68">
        <v>0</v>
      </c>
      <c r="V4592" s="68">
        <v>46095.167037037</v>
      </c>
      <c r="W4592" s="0">
        <f>IF(IF(B4592="none",1,IF(B4592="Trialer",1,0))+IF(C4592="Customer",1,IF(C4592="Lost",1,0))=2,1,0)</f>
      </c>
      <c r="X4592" s="0" t="s">
        <v>136</v>
      </c>
      <c r="Y4592" s="0" t="s">
        <v>499</v>
      </c>
      <c r="AV4592" s="68"/>
      <c r="AW4592" s="68"/>
      <c r="AY4592" s="27"/>
      <c r="BD4592" s="68">
        <v>46054.1666666667</v>
      </c>
      <c r="BE4592" s="68">
        <v>46082.1666666667</v>
      </c>
      <c r="BF4592" s="0" t="b">
        <v>0</v>
      </c>
      <c r="BG4592" s="0" t="b">
        <v>0</v>
      </c>
      <c r="BH4592" s="0">
        <v>85</v>
      </c>
      <c r="BI4592" s="0">
        <v>85</v>
      </c>
      <c r="BJ4592" s="0" t="s">
        <v>135</v>
      </c>
    </row>
    <row r="4593">
      <c r="A4593" s="0" t="s">
        <v>4857</v>
      </c>
      <c r="B4593" s="0" t="s">
        <v>5</v>
      </c>
      <c r="C4593" s="0" t="s">
        <v>652</v>
      </c>
      <c r="D4593" s="0" t="s">
        <v>135</v>
      </c>
      <c r="E4593" s="0" t="s">
        <v>3</v>
      </c>
      <c r="F4593" s="0" t="s">
        <v>12</v>
      </c>
      <c r="G4593" s="0" t="s">
        <v>8</v>
      </c>
      <c r="H4593" s="0">
        <v>-1</v>
      </c>
      <c r="I4593" s="0">
        <v>0</v>
      </c>
      <c r="J4593" s="0">
        <v>0</v>
      </c>
      <c r="K4593" s="0">
        <v>0</v>
      </c>
      <c r="L4593" s="0">
        <v>0</v>
      </c>
      <c r="M4593" s="0">
        <v>0</v>
      </c>
      <c r="N4593" s="0">
        <v>0</v>
      </c>
      <c r="O4593" s="0">
        <v>0</v>
      </c>
      <c r="P4593" s="0">
        <v>0</v>
      </c>
      <c r="R4593" s="0" t="b">
        <v>0</v>
      </c>
      <c r="S4593" s="0" t="b">
        <v>0</v>
      </c>
      <c r="T4593" s="68">
        <v>46055.783587963</v>
      </c>
      <c r="U4593" s="68">
        <v>0</v>
      </c>
      <c r="V4593" s="68">
        <v>46095.1669560185</v>
      </c>
      <c r="W4593" s="0">
        <f>IF(IF(B4593="none",1,IF(B4593="Trialer",1,0))+IF(C4593="Customer",1,IF(C4593="Lost",1,0))=2,1,0)</f>
      </c>
      <c r="X4593" s="0" t="s">
        <v>145</v>
      </c>
      <c r="Y4593" s="0" t="s">
        <v>243</v>
      </c>
      <c r="AV4593" s="68"/>
      <c r="AW4593" s="68"/>
      <c r="AY4593" s="27"/>
      <c r="BD4593" s="68">
        <v>46054.1666666667</v>
      </c>
      <c r="BE4593" s="68">
        <v>46082.1666666667</v>
      </c>
      <c r="BF4593" s="0" t="b">
        <v>0</v>
      </c>
      <c r="BG4593" s="0" t="b">
        <v>0</v>
      </c>
      <c r="BH4593" s="0">
        <v>217</v>
      </c>
      <c r="BI4593" s="0">
        <v>217</v>
      </c>
      <c r="BJ4593" s="0" t="s">
        <v>135</v>
      </c>
    </row>
    <row r="4594">
      <c r="A4594" s="0" t="s">
        <v>4858</v>
      </c>
      <c r="B4594" s="0" t="s">
        <v>5</v>
      </c>
      <c r="C4594" s="0" t="s">
        <v>652</v>
      </c>
      <c r="D4594" s="0" t="s">
        <v>135</v>
      </c>
      <c r="E4594" s="0" t="s">
        <v>3</v>
      </c>
      <c r="F4594" s="0" t="s">
        <v>12</v>
      </c>
      <c r="G4594" s="0" t="s">
        <v>8</v>
      </c>
      <c r="H4594" s="0">
        <v>-1</v>
      </c>
      <c r="I4594" s="0">
        <v>0</v>
      </c>
      <c r="J4594" s="0">
        <v>0</v>
      </c>
      <c r="K4594" s="0">
        <v>0</v>
      </c>
      <c r="L4594" s="0">
        <v>0</v>
      </c>
      <c r="M4594" s="0">
        <v>0</v>
      </c>
      <c r="N4594" s="0">
        <v>0</v>
      </c>
      <c r="O4594" s="0">
        <v>0</v>
      </c>
      <c r="P4594" s="0">
        <v>0</v>
      </c>
      <c r="R4594" s="0" t="b">
        <v>0</v>
      </c>
      <c r="S4594" s="0" t="b">
        <v>0</v>
      </c>
      <c r="T4594" s="68">
        <v>46055.8108912037</v>
      </c>
      <c r="U4594" s="68">
        <v>0</v>
      </c>
      <c r="V4594" s="68">
        <v>46095.1668981481</v>
      </c>
      <c r="W4594" s="0">
        <f>IF(IF(B4594="none",1,IF(B4594="Trialer",1,0))+IF(C4594="Customer",1,IF(C4594="Lost",1,0))=2,1,0)</f>
      </c>
      <c r="X4594" s="0" t="s">
        <v>145</v>
      </c>
      <c r="Y4594" s="0" t="s">
        <v>243</v>
      </c>
      <c r="AV4594" s="68"/>
      <c r="AW4594" s="68"/>
      <c r="AY4594" s="27"/>
      <c r="BD4594" s="68">
        <v>46054.1666666667</v>
      </c>
      <c r="BE4594" s="68">
        <v>46082.1666666667</v>
      </c>
      <c r="BF4594" s="0" t="b">
        <v>0</v>
      </c>
      <c r="BG4594" s="0" t="b">
        <v>0</v>
      </c>
      <c r="BH4594" s="0">
        <v>59</v>
      </c>
      <c r="BI4594" s="0">
        <v>59</v>
      </c>
      <c r="BJ4594" s="0" t="s">
        <v>135</v>
      </c>
    </row>
    <row r="4595">
      <c r="A4595" s="0" t="s">
        <v>4859</v>
      </c>
      <c r="B4595" s="0" t="s">
        <v>5</v>
      </c>
      <c r="C4595" s="0" t="s">
        <v>652</v>
      </c>
      <c r="D4595" s="0" t="s">
        <v>135</v>
      </c>
      <c r="E4595" s="0" t="s">
        <v>3</v>
      </c>
      <c r="F4595" s="0" t="s">
        <v>12</v>
      </c>
      <c r="G4595" s="0" t="s">
        <v>8</v>
      </c>
      <c r="H4595" s="0">
        <v>-1</v>
      </c>
      <c r="I4595" s="0">
        <v>0</v>
      </c>
      <c r="J4595" s="0">
        <v>0</v>
      </c>
      <c r="K4595" s="0">
        <v>0</v>
      </c>
      <c r="L4595" s="0">
        <v>0</v>
      </c>
      <c r="M4595" s="0">
        <v>0</v>
      </c>
      <c r="N4595" s="0">
        <v>0</v>
      </c>
      <c r="O4595" s="0">
        <v>0</v>
      </c>
      <c r="P4595" s="0">
        <v>0</v>
      </c>
      <c r="R4595" s="0" t="b">
        <v>0</v>
      </c>
      <c r="S4595" s="0" t="b">
        <v>0</v>
      </c>
      <c r="T4595" s="68">
        <v>46055.8325810185</v>
      </c>
      <c r="U4595" s="68">
        <v>0</v>
      </c>
      <c r="V4595" s="68">
        <v>46095.1669097222</v>
      </c>
      <c r="W4595" s="0">
        <f>IF(IF(B4595="none",1,IF(B4595="Trialer",1,0))+IF(C4595="Customer",1,IF(C4595="Lost",1,0))=2,1,0)</f>
      </c>
      <c r="X4595" s="0" t="s">
        <v>136</v>
      </c>
      <c r="Y4595" s="0" t="s">
        <v>243</v>
      </c>
      <c r="AV4595" s="68"/>
      <c r="AW4595" s="68"/>
      <c r="AY4595" s="27"/>
      <c r="BD4595" s="68">
        <v>46054.1666666667</v>
      </c>
      <c r="BE4595" s="68">
        <v>46082.1666666667</v>
      </c>
      <c r="BF4595" s="0" t="b">
        <v>0</v>
      </c>
      <c r="BG4595" s="0" t="b">
        <v>0</v>
      </c>
      <c r="BH4595" s="0">
        <v>71</v>
      </c>
      <c r="BI4595" s="0">
        <v>71</v>
      </c>
      <c r="BJ4595" s="0" t="s">
        <v>135</v>
      </c>
    </row>
    <row r="4596">
      <c r="A4596" s="0" t="s">
        <v>4860</v>
      </c>
      <c r="B4596" s="0" t="s">
        <v>5</v>
      </c>
      <c r="C4596" s="0" t="s">
        <v>652</v>
      </c>
      <c r="D4596" s="0" t="s">
        <v>135</v>
      </c>
      <c r="E4596" s="0" t="s">
        <v>3</v>
      </c>
      <c r="F4596" s="0" t="s">
        <v>12</v>
      </c>
      <c r="G4596" s="0" t="s">
        <v>8</v>
      </c>
      <c r="H4596" s="0">
        <v>-1</v>
      </c>
      <c r="I4596" s="0">
        <v>0</v>
      </c>
      <c r="J4596" s="0">
        <v>0</v>
      </c>
      <c r="K4596" s="0">
        <v>0</v>
      </c>
      <c r="L4596" s="0">
        <v>0</v>
      </c>
      <c r="M4596" s="0">
        <v>0</v>
      </c>
      <c r="N4596" s="0">
        <v>0</v>
      </c>
      <c r="O4596" s="0">
        <v>0</v>
      </c>
      <c r="P4596" s="0">
        <v>0</v>
      </c>
      <c r="R4596" s="0" t="b">
        <v>0</v>
      </c>
      <c r="S4596" s="0" t="b">
        <v>0</v>
      </c>
      <c r="T4596" s="68">
        <v>46055.8337152778</v>
      </c>
      <c r="U4596" s="68">
        <v>0</v>
      </c>
      <c r="V4596" s="68">
        <v>46095.1668634259</v>
      </c>
      <c r="W4596" s="0">
        <f>IF(IF(B4596="none",1,IF(B4596="Trialer",1,0))+IF(C4596="Customer",1,IF(C4596="Lost",1,0))=2,1,0)</f>
      </c>
      <c r="X4596" s="0" t="s">
        <v>148</v>
      </c>
      <c r="Y4596" s="0" t="s">
        <v>243</v>
      </c>
      <c r="AV4596" s="68"/>
      <c r="AW4596" s="68"/>
      <c r="AY4596" s="27"/>
      <c r="BD4596" s="68">
        <v>46054.1666666667</v>
      </c>
      <c r="BE4596" s="68">
        <v>46082.1666666667</v>
      </c>
      <c r="BF4596" s="0" t="b">
        <v>0</v>
      </c>
      <c r="BG4596" s="0" t="b">
        <v>0</v>
      </c>
      <c r="BH4596" s="0">
        <v>59</v>
      </c>
      <c r="BI4596" s="0">
        <v>59</v>
      </c>
      <c r="BJ4596" s="0" t="s">
        <v>135</v>
      </c>
    </row>
    <row r="4597">
      <c r="A4597" s="0" t="s">
        <v>4861</v>
      </c>
      <c r="B4597" s="0" t="s">
        <v>5</v>
      </c>
      <c r="C4597" s="0" t="s">
        <v>652</v>
      </c>
      <c r="D4597" s="0" t="s">
        <v>135</v>
      </c>
      <c r="E4597" s="0" t="s">
        <v>4</v>
      </c>
      <c r="F4597" s="0" t="s">
        <v>12</v>
      </c>
      <c r="G4597" s="0" t="s">
        <v>8</v>
      </c>
      <c r="H4597" s="0">
        <v>-2</v>
      </c>
      <c r="I4597" s="0">
        <v>0</v>
      </c>
      <c r="J4597" s="0">
        <v>0</v>
      </c>
      <c r="K4597" s="0">
        <v>0</v>
      </c>
      <c r="L4597" s="0">
        <v>0</v>
      </c>
      <c r="M4597" s="0">
        <v>0</v>
      </c>
      <c r="N4597" s="0">
        <v>0</v>
      </c>
      <c r="O4597" s="0">
        <v>0</v>
      </c>
      <c r="P4597" s="0">
        <v>0</v>
      </c>
      <c r="R4597" s="0" t="b">
        <v>0</v>
      </c>
      <c r="S4597" s="0" t="b">
        <v>0</v>
      </c>
      <c r="T4597" s="68">
        <v>46056.0333333333</v>
      </c>
      <c r="U4597" s="68">
        <v>0</v>
      </c>
      <c r="V4597" s="68">
        <v>46095.1669212963</v>
      </c>
      <c r="W4597" s="0">
        <f>IF(IF(B4597="none",1,IF(B4597="Trialer",1,0))+IF(C4597="Customer",1,IF(C4597="Lost",1,0))=2,1,0)</f>
      </c>
      <c r="X4597" s="0" t="s">
        <v>145</v>
      </c>
      <c r="Y4597" s="0" t="s">
        <v>1772</v>
      </c>
      <c r="AV4597" s="68"/>
      <c r="AW4597" s="68"/>
      <c r="AY4597" s="27"/>
      <c r="BD4597" s="68">
        <v>46054.1666666667</v>
      </c>
      <c r="BE4597" s="68">
        <v>46082.1666666667</v>
      </c>
      <c r="BF4597" s="0" t="b">
        <v>0</v>
      </c>
      <c r="BG4597" s="0" t="b">
        <v>0</v>
      </c>
      <c r="BH4597" s="0">
        <v>59</v>
      </c>
      <c r="BI4597" s="0">
        <v>59</v>
      </c>
      <c r="BJ4597" s="0" t="s">
        <v>135</v>
      </c>
    </row>
    <row r="4598">
      <c r="A4598" s="0" t="s">
        <v>4862</v>
      </c>
      <c r="B4598" s="0" t="s">
        <v>5</v>
      </c>
      <c r="C4598" s="0" t="s">
        <v>652</v>
      </c>
      <c r="D4598" s="0" t="s">
        <v>135</v>
      </c>
      <c r="E4598" s="0" t="s">
        <v>2414</v>
      </c>
      <c r="F4598" s="0" t="s">
        <v>12</v>
      </c>
      <c r="G4598" s="0" t="s">
        <v>8</v>
      </c>
      <c r="H4598" s="0">
        <v>-2</v>
      </c>
      <c r="I4598" s="0">
        <v>0</v>
      </c>
      <c r="J4598" s="0">
        <v>0</v>
      </c>
      <c r="K4598" s="0">
        <v>0</v>
      </c>
      <c r="L4598" s="0">
        <v>0</v>
      </c>
      <c r="M4598" s="0">
        <v>0</v>
      </c>
      <c r="N4598" s="0">
        <v>0</v>
      </c>
      <c r="O4598" s="0">
        <v>0</v>
      </c>
      <c r="P4598" s="0">
        <v>0</v>
      </c>
      <c r="R4598" s="0" t="b">
        <v>0</v>
      </c>
      <c r="S4598" s="0" t="b">
        <v>0</v>
      </c>
      <c r="T4598" s="68">
        <v>46056.0551851852</v>
      </c>
      <c r="U4598" s="68">
        <v>0</v>
      </c>
      <c r="V4598" s="68">
        <v>46095.1669328704</v>
      </c>
      <c r="W4598" s="0">
        <f>IF(IF(B4598="none",1,IF(B4598="Trialer",1,0))+IF(C4598="Customer",1,IF(C4598="Lost",1,0))=2,1,0)</f>
      </c>
      <c r="X4598" s="0" t="s">
        <v>136</v>
      </c>
      <c r="Y4598" s="0" t="s">
        <v>1516</v>
      </c>
      <c r="AV4598" s="68"/>
      <c r="AW4598" s="68"/>
      <c r="AY4598" s="27"/>
      <c r="BD4598" s="68">
        <v>46054.1666666667</v>
      </c>
      <c r="BE4598" s="68">
        <v>46082.1666666667</v>
      </c>
      <c r="BF4598" s="0" t="b">
        <v>0</v>
      </c>
      <c r="BG4598" s="0" t="b">
        <v>0</v>
      </c>
      <c r="BH4598" s="0">
        <v>73</v>
      </c>
      <c r="BI4598" s="0">
        <v>73</v>
      </c>
      <c r="BJ4598" s="0" t="s">
        <v>135</v>
      </c>
    </row>
    <row r="4599">
      <c r="A4599" s="0" t="s">
        <v>4863</v>
      </c>
      <c r="B4599" s="0" t="s">
        <v>5</v>
      </c>
      <c r="C4599" s="0" t="s">
        <v>652</v>
      </c>
      <c r="D4599" s="0" t="s">
        <v>135</v>
      </c>
      <c r="E4599" s="0" t="s">
        <v>3</v>
      </c>
      <c r="F4599" s="0" t="s">
        <v>12</v>
      </c>
      <c r="G4599" s="0" t="s">
        <v>8</v>
      </c>
      <c r="H4599" s="0">
        <v>-2</v>
      </c>
      <c r="I4599" s="0">
        <v>0</v>
      </c>
      <c r="J4599" s="0">
        <v>0</v>
      </c>
      <c r="K4599" s="0">
        <v>0</v>
      </c>
      <c r="L4599" s="0">
        <v>0</v>
      </c>
      <c r="M4599" s="0">
        <v>0</v>
      </c>
      <c r="N4599" s="0">
        <v>0</v>
      </c>
      <c r="O4599" s="0">
        <v>0</v>
      </c>
      <c r="P4599" s="0">
        <v>0</v>
      </c>
      <c r="R4599" s="0" t="b">
        <v>0</v>
      </c>
      <c r="S4599" s="0" t="b">
        <v>0</v>
      </c>
      <c r="T4599" s="68">
        <v>46056.1117361111</v>
      </c>
      <c r="U4599" s="68">
        <v>0</v>
      </c>
      <c r="V4599" s="68">
        <v>46095.1669444444</v>
      </c>
      <c r="W4599" s="0">
        <f>IF(IF(B4599="none",1,IF(B4599="Trialer",1,0))+IF(C4599="Customer",1,IF(C4599="Lost",1,0))=2,1,0)</f>
      </c>
      <c r="X4599" s="0" t="s">
        <v>148</v>
      </c>
      <c r="Y4599" s="0" t="s">
        <v>243</v>
      </c>
      <c r="AV4599" s="68"/>
      <c r="AW4599" s="68"/>
      <c r="AY4599" s="27"/>
      <c r="BD4599" s="68">
        <v>46054.1666666667</v>
      </c>
      <c r="BE4599" s="68">
        <v>46082.1666666667</v>
      </c>
      <c r="BF4599" s="0" t="b">
        <v>0</v>
      </c>
      <c r="BG4599" s="0" t="b">
        <v>0</v>
      </c>
      <c r="BH4599" s="0">
        <v>73</v>
      </c>
      <c r="BI4599" s="0">
        <v>73</v>
      </c>
      <c r="BJ4599" s="0" t="s">
        <v>135</v>
      </c>
    </row>
    <row r="4600">
      <c r="A4600" s="0" t="s">
        <v>4864</v>
      </c>
      <c r="B4600" s="0" t="s">
        <v>5</v>
      </c>
      <c r="C4600" s="0" t="s">
        <v>652</v>
      </c>
      <c r="D4600" s="0" t="s">
        <v>135</v>
      </c>
      <c r="E4600" s="0" t="s">
        <v>2414</v>
      </c>
      <c r="F4600" s="0" t="s">
        <v>12</v>
      </c>
      <c r="G4600" s="0" t="s">
        <v>8</v>
      </c>
      <c r="H4600" s="0">
        <v>-2</v>
      </c>
      <c r="I4600" s="0">
        <v>0</v>
      </c>
      <c r="J4600" s="0">
        <v>0</v>
      </c>
      <c r="K4600" s="0">
        <v>0</v>
      </c>
      <c r="L4600" s="0">
        <v>0</v>
      </c>
      <c r="M4600" s="0">
        <v>0</v>
      </c>
      <c r="N4600" s="0">
        <v>0</v>
      </c>
      <c r="O4600" s="0">
        <v>0</v>
      </c>
      <c r="P4600" s="0">
        <v>0</v>
      </c>
      <c r="R4600" s="0" t="b">
        <v>0</v>
      </c>
      <c r="S4600" s="0" t="b">
        <v>0</v>
      </c>
      <c r="T4600" s="68">
        <v>46056.2354513889</v>
      </c>
      <c r="U4600" s="68">
        <v>0</v>
      </c>
      <c r="V4600" s="68">
        <v>46058.3818981481</v>
      </c>
      <c r="W4600" s="0">
        <f>IF(IF(B4600="none",1,IF(B4600="Trialer",1,0))+IF(C4600="Customer",1,IF(C4600="Lost",1,0))=2,1,0)</f>
      </c>
      <c r="X4600" s="0" t="s">
        <v>1461</v>
      </c>
      <c r="Y4600" s="0" t="s">
        <v>1516</v>
      </c>
      <c r="AV4600" s="68"/>
      <c r="AW4600" s="68"/>
      <c r="AY4600" s="27"/>
      <c r="BD4600" s="68">
        <v>46054.1666666667</v>
      </c>
      <c r="BE4600" s="68">
        <v>46082.1666666667</v>
      </c>
      <c r="BF4600" s="0" t="b">
        <v>1</v>
      </c>
      <c r="BG4600" s="0" t="b">
        <v>0</v>
      </c>
      <c r="BH4600" s="0">
        <v>59</v>
      </c>
      <c r="BI4600" s="0">
        <v>59</v>
      </c>
      <c r="BJ4600" s="0" t="s">
        <v>135</v>
      </c>
    </row>
    <row r="4601">
      <c r="A4601" s="0" t="s">
        <v>4865</v>
      </c>
      <c r="B4601" s="0" t="s">
        <v>5</v>
      </c>
      <c r="C4601" s="0" t="s">
        <v>652</v>
      </c>
      <c r="D4601" s="0" t="s">
        <v>135</v>
      </c>
      <c r="E4601" s="0" t="s">
        <v>3</v>
      </c>
      <c r="F4601" s="0" t="s">
        <v>12</v>
      </c>
      <c r="G4601" s="0" t="s">
        <v>8</v>
      </c>
      <c r="H4601" s="0">
        <v>-2</v>
      </c>
      <c r="I4601" s="0">
        <v>0</v>
      </c>
      <c r="J4601" s="0">
        <v>0</v>
      </c>
      <c r="K4601" s="0">
        <v>0</v>
      </c>
      <c r="L4601" s="0">
        <v>0</v>
      </c>
      <c r="M4601" s="0">
        <v>0</v>
      </c>
      <c r="N4601" s="0">
        <v>0</v>
      </c>
      <c r="O4601" s="0">
        <v>0</v>
      </c>
      <c r="P4601" s="0">
        <v>0</v>
      </c>
      <c r="R4601" s="0" t="b">
        <v>0</v>
      </c>
      <c r="S4601" s="0" t="b">
        <v>0</v>
      </c>
      <c r="T4601" s="68">
        <v>46056.3228587963</v>
      </c>
      <c r="U4601" s="68">
        <v>0</v>
      </c>
      <c r="V4601" s="68">
        <v>46096.166712963</v>
      </c>
      <c r="W4601" s="0">
        <f>IF(IF(B4601="none",1,IF(B4601="Trialer",1,0))+IF(C4601="Customer",1,IF(C4601="Lost",1,0))=2,1,0)</f>
      </c>
      <c r="X4601" s="0" t="s">
        <v>136</v>
      </c>
      <c r="Y4601" s="0" t="s">
        <v>243</v>
      </c>
      <c r="AV4601" s="68"/>
      <c r="AW4601" s="68"/>
      <c r="AY4601" s="27"/>
      <c r="BD4601" s="68">
        <v>46054.1666666667</v>
      </c>
      <c r="BE4601" s="68">
        <v>46082.1666666667</v>
      </c>
      <c r="BF4601" s="0" t="b">
        <v>0</v>
      </c>
      <c r="BG4601" s="0" t="b">
        <v>0</v>
      </c>
      <c r="BH4601" s="0">
        <v>141</v>
      </c>
      <c r="BI4601" s="0">
        <v>141</v>
      </c>
      <c r="BJ4601" s="0" t="s">
        <v>135</v>
      </c>
    </row>
    <row r="4602">
      <c r="A4602" s="0" t="s">
        <v>4866</v>
      </c>
      <c r="B4602" s="0" t="s">
        <v>5</v>
      </c>
      <c r="C4602" s="0" t="s">
        <v>134</v>
      </c>
      <c r="D4602" s="0" t="s">
        <v>135</v>
      </c>
      <c r="E4602" s="0" t="s">
        <v>3</v>
      </c>
      <c r="F4602" s="0" t="s">
        <v>10</v>
      </c>
      <c r="G4602" s="0" t="s">
        <v>8</v>
      </c>
      <c r="H4602" s="0">
        <v>-2</v>
      </c>
      <c r="I4602" s="0">
        <v>161</v>
      </c>
      <c r="J4602" s="0">
        <v>0</v>
      </c>
      <c r="K4602" s="0">
        <v>1</v>
      </c>
      <c r="L4602" s="0">
        <v>3</v>
      </c>
      <c r="M4602" s="0">
        <v>3</v>
      </c>
      <c r="N4602" s="0">
        <v>0</v>
      </c>
      <c r="O4602" s="0">
        <v>0</v>
      </c>
      <c r="P4602" s="0">
        <v>0</v>
      </c>
      <c r="Q4602" s="0" t="s">
        <v>2203</v>
      </c>
      <c r="R4602" s="0" t="b">
        <v>0</v>
      </c>
      <c r="S4602" s="0" t="b">
        <v>1</v>
      </c>
      <c r="T4602" s="68">
        <v>46056.4023726852</v>
      </c>
      <c r="U4602" s="68">
        <v>46079.2916666667</v>
      </c>
      <c r="V4602" s="68">
        <v>0</v>
      </c>
      <c r="W4602" s="0">
        <f>IF(IF(B4602="none",1,IF(B4602="Trialer",1,0))+IF(C4602="Customer",1,IF(C4602="Lost",1,0))=2,1,0)</f>
      </c>
      <c r="X4602" s="0" t="s">
        <v>148</v>
      </c>
      <c r="Y4602" s="0" t="s">
        <v>243</v>
      </c>
      <c r="AV4602" s="68"/>
      <c r="AW4602" s="68"/>
      <c r="AY4602" s="27"/>
      <c r="BD4602" s="68">
        <v>46054.1666666667</v>
      </c>
      <c r="BE4602" s="68">
        <v>46082.1666666667</v>
      </c>
      <c r="BF4602" s="0" t="b">
        <v>0</v>
      </c>
      <c r="BG4602" s="0" t="b">
        <v>0</v>
      </c>
      <c r="BH4602" s="0">
        <v>161</v>
      </c>
      <c r="BI4602" s="0">
        <v>161</v>
      </c>
      <c r="BJ4602" s="0" t="s">
        <v>135</v>
      </c>
    </row>
    <row r="4603">
      <c r="A4603" s="0" t="s">
        <v>4867</v>
      </c>
      <c r="B4603" s="0" t="s">
        <v>5</v>
      </c>
      <c r="C4603" s="0" t="s">
        <v>652</v>
      </c>
      <c r="D4603" s="0" t="s">
        <v>135</v>
      </c>
      <c r="E4603" s="0" t="s">
        <v>2</v>
      </c>
      <c r="F4603" s="0" t="s">
        <v>12</v>
      </c>
      <c r="G4603" s="0" t="s">
        <v>8</v>
      </c>
      <c r="H4603" s="0">
        <v>-2</v>
      </c>
      <c r="I4603" s="0">
        <v>0</v>
      </c>
      <c r="J4603" s="0">
        <v>0</v>
      </c>
      <c r="K4603" s="0">
        <v>0</v>
      </c>
      <c r="L4603" s="0">
        <v>0</v>
      </c>
      <c r="M4603" s="0">
        <v>0</v>
      </c>
      <c r="N4603" s="0">
        <v>0</v>
      </c>
      <c r="O4603" s="0">
        <v>0</v>
      </c>
      <c r="P4603" s="0">
        <v>0</v>
      </c>
      <c r="R4603" s="0" t="b">
        <v>0</v>
      </c>
      <c r="S4603" s="0" t="b">
        <v>1</v>
      </c>
      <c r="T4603" s="68">
        <v>46056.4165625</v>
      </c>
      <c r="U4603" s="68">
        <v>46085.2916666667</v>
      </c>
      <c r="V4603" s="68">
        <v>0</v>
      </c>
      <c r="W4603" s="0">
        <f>IF(IF(B4603="none",1,IF(B4603="Trialer",1,0))+IF(C4603="Customer",1,IF(C4603="Lost",1,0))=2,1,0)</f>
      </c>
      <c r="X4603" s="0" t="s">
        <v>136</v>
      </c>
      <c r="Y4603" s="0" t="s">
        <v>499</v>
      </c>
      <c r="AV4603" s="68"/>
      <c r="AW4603" s="68"/>
      <c r="AY4603" s="27"/>
      <c r="BD4603" s="68">
        <v>46054.1666666667</v>
      </c>
      <c r="BE4603" s="68">
        <v>46082.1666666667</v>
      </c>
      <c r="BF4603" s="0" t="b">
        <v>0</v>
      </c>
      <c r="BG4603" s="0" t="b">
        <v>0</v>
      </c>
      <c r="BH4603" s="0">
        <v>343</v>
      </c>
      <c r="BI4603" s="0">
        <v>343</v>
      </c>
      <c r="BJ4603" s="0" t="s">
        <v>135</v>
      </c>
    </row>
    <row r="4604">
      <c r="A4604" s="0" t="s">
        <v>4868</v>
      </c>
      <c r="B4604" s="0" t="s">
        <v>5</v>
      </c>
      <c r="C4604" s="0" t="s">
        <v>134</v>
      </c>
      <c r="D4604" s="0" t="s">
        <v>230</v>
      </c>
      <c r="E4604" s="0" t="s">
        <v>3</v>
      </c>
      <c r="F4604" s="0" t="s">
        <v>12</v>
      </c>
      <c r="G4604" s="0" t="s">
        <v>8</v>
      </c>
      <c r="H4604" s="0">
        <v>-2</v>
      </c>
      <c r="I4604" s="0">
        <v>227.1</v>
      </c>
      <c r="J4604" s="0">
        <v>0</v>
      </c>
      <c r="K4604" s="0">
        <v>1</v>
      </c>
      <c r="L4604" s="0">
        <v>5</v>
      </c>
      <c r="M4604" s="0">
        <v>3</v>
      </c>
      <c r="N4604" s="0">
        <v>0</v>
      </c>
      <c r="O4604" s="0">
        <v>0</v>
      </c>
      <c r="P4604" s="0">
        <v>2498.1</v>
      </c>
      <c r="R4604" s="0" t="b">
        <v>0</v>
      </c>
      <c r="S4604" s="0" t="b">
        <v>1</v>
      </c>
      <c r="T4604" s="68">
        <v>46056.4174652778</v>
      </c>
      <c r="U4604" s="68">
        <v>46070.2916666667</v>
      </c>
      <c r="V4604" s="68">
        <v>0</v>
      </c>
      <c r="W4604" s="0">
        <f>IF(IF(B4604="none",1,IF(B4604="Trialer",1,0))+IF(C4604="Customer",1,IF(C4604="Lost",1,0))=2,1,0)</f>
      </c>
      <c r="X4604" s="0" t="s">
        <v>1461</v>
      </c>
      <c r="Y4604" s="0" t="s">
        <v>243</v>
      </c>
      <c r="AV4604" s="68"/>
      <c r="AW4604" s="68"/>
      <c r="AY4604" s="27"/>
      <c r="BD4604" s="68">
        <v>46054.1666666667</v>
      </c>
      <c r="BE4604" s="68">
        <v>46082.1666666667</v>
      </c>
      <c r="BF4604" s="0" t="b">
        <v>0</v>
      </c>
      <c r="BG4604" s="0" t="b">
        <v>0</v>
      </c>
      <c r="BH4604" s="0">
        <v>243</v>
      </c>
      <c r="BI4604" s="0">
        <v>243</v>
      </c>
      <c r="BJ4604" s="0" t="s">
        <v>230</v>
      </c>
    </row>
    <row r="4605">
      <c r="A4605" s="0" t="s">
        <v>4869</v>
      </c>
      <c r="B4605" s="0" t="s">
        <v>5</v>
      </c>
      <c r="C4605" s="0" t="s">
        <v>652</v>
      </c>
      <c r="D4605" s="0" t="s">
        <v>135</v>
      </c>
      <c r="E4605" s="0" t="s">
        <v>3</v>
      </c>
      <c r="F4605" s="0" t="s">
        <v>12</v>
      </c>
      <c r="G4605" s="0" t="s">
        <v>8</v>
      </c>
      <c r="H4605" s="0">
        <v>-2</v>
      </c>
      <c r="I4605" s="0">
        <v>0</v>
      </c>
      <c r="J4605" s="0">
        <v>0</v>
      </c>
      <c r="K4605" s="0">
        <v>0</v>
      </c>
      <c r="L4605" s="0">
        <v>0</v>
      </c>
      <c r="M4605" s="0">
        <v>0</v>
      </c>
      <c r="N4605" s="0">
        <v>0</v>
      </c>
      <c r="O4605" s="0">
        <v>0</v>
      </c>
      <c r="P4605" s="0">
        <v>0</v>
      </c>
      <c r="R4605" s="0" t="b">
        <v>0</v>
      </c>
      <c r="S4605" s="0" t="b">
        <v>0</v>
      </c>
      <c r="T4605" s="68">
        <v>46056.4255324074</v>
      </c>
      <c r="U4605" s="68">
        <v>0</v>
      </c>
      <c r="V4605" s="68">
        <v>46056.5487731481</v>
      </c>
      <c r="W4605" s="0">
        <f>IF(IF(B4605="none",1,IF(B4605="Trialer",1,0))+IF(C4605="Customer",1,IF(C4605="Lost",1,0))=2,1,0)</f>
      </c>
      <c r="X4605" s="0" t="s">
        <v>136</v>
      </c>
      <c r="Y4605" s="0" t="s">
        <v>243</v>
      </c>
      <c r="AV4605" s="68"/>
      <c r="AW4605" s="68"/>
      <c r="AY4605" s="27"/>
      <c r="BD4605" s="68">
        <v>46054.1666666667</v>
      </c>
      <c r="BE4605" s="68">
        <v>46082.1666666667</v>
      </c>
      <c r="BF4605" s="0" t="b">
        <v>0</v>
      </c>
      <c r="BG4605" s="0" t="b">
        <v>0</v>
      </c>
      <c r="BH4605" s="0">
        <v>0</v>
      </c>
      <c r="BI4605" s="0">
        <v>0</v>
      </c>
      <c r="BJ4605" s="0" t="s">
        <v>135</v>
      </c>
    </row>
    <row r="4606">
      <c r="A4606" s="0" t="s">
        <v>4870</v>
      </c>
      <c r="B4606" s="0" t="s">
        <v>5</v>
      </c>
      <c r="C4606" s="0" t="s">
        <v>652</v>
      </c>
      <c r="D4606" s="0" t="s">
        <v>135</v>
      </c>
      <c r="E4606" s="0" t="s">
        <v>2</v>
      </c>
      <c r="F4606" s="0" t="s">
        <v>12</v>
      </c>
      <c r="G4606" s="0" t="s">
        <v>8</v>
      </c>
      <c r="H4606" s="0">
        <v>-2</v>
      </c>
      <c r="I4606" s="0">
        <v>0</v>
      </c>
      <c r="J4606" s="0">
        <v>0</v>
      </c>
      <c r="K4606" s="0">
        <v>0</v>
      </c>
      <c r="L4606" s="0">
        <v>0</v>
      </c>
      <c r="M4606" s="0">
        <v>0</v>
      </c>
      <c r="N4606" s="0">
        <v>0</v>
      </c>
      <c r="O4606" s="0">
        <v>0</v>
      </c>
      <c r="P4606" s="0">
        <v>0</v>
      </c>
      <c r="R4606" s="0" t="b">
        <v>0</v>
      </c>
      <c r="S4606" s="0" t="b">
        <v>0</v>
      </c>
      <c r="T4606" s="68">
        <v>46056.4595023148</v>
      </c>
      <c r="U4606" s="68">
        <v>0</v>
      </c>
      <c r="V4606" s="68">
        <v>46085.1667824074</v>
      </c>
      <c r="W4606" s="0">
        <f>IF(IF(B4606="none",1,IF(B4606="Trialer",1,0))+IF(C4606="Customer",1,IF(C4606="Lost",1,0))=2,1,0)</f>
      </c>
      <c r="X4606" s="0" t="s">
        <v>145</v>
      </c>
      <c r="Y4606" s="0" t="s">
        <v>499</v>
      </c>
      <c r="AV4606" s="68"/>
      <c r="AW4606" s="68"/>
      <c r="AY4606" s="27"/>
      <c r="BD4606" s="68">
        <v>46054.1666666667</v>
      </c>
      <c r="BE4606" s="68">
        <v>46082.1666666667</v>
      </c>
      <c r="BF4606" s="0" t="b">
        <v>0</v>
      </c>
      <c r="BG4606" s="0" t="b">
        <v>0</v>
      </c>
      <c r="BH4606" s="0">
        <v>215</v>
      </c>
      <c r="BI4606" s="0">
        <v>215</v>
      </c>
      <c r="BJ4606" s="0" t="s">
        <v>135</v>
      </c>
    </row>
    <row r="4607">
      <c r="A4607" s="0" t="s">
        <v>4871</v>
      </c>
      <c r="B4607" s="0" t="s">
        <v>5</v>
      </c>
      <c r="C4607" s="0" t="s">
        <v>652</v>
      </c>
      <c r="D4607" s="0" t="s">
        <v>135</v>
      </c>
      <c r="E4607" s="0" t="s">
        <v>3</v>
      </c>
      <c r="F4607" s="0" t="s">
        <v>12</v>
      </c>
      <c r="G4607" s="0" t="s">
        <v>8</v>
      </c>
      <c r="H4607" s="0">
        <v>-2</v>
      </c>
      <c r="I4607" s="0">
        <v>0</v>
      </c>
      <c r="J4607" s="0">
        <v>0</v>
      </c>
      <c r="K4607" s="0">
        <v>0</v>
      </c>
      <c r="L4607" s="0">
        <v>0</v>
      </c>
      <c r="M4607" s="0">
        <v>0</v>
      </c>
      <c r="N4607" s="0">
        <v>0</v>
      </c>
      <c r="O4607" s="0">
        <v>0</v>
      </c>
      <c r="P4607" s="0">
        <v>0</v>
      </c>
      <c r="R4607" s="0" t="b">
        <v>0</v>
      </c>
      <c r="S4607" s="0" t="b">
        <v>0</v>
      </c>
      <c r="T4607" s="68">
        <v>46056.4622800926</v>
      </c>
      <c r="U4607" s="68">
        <v>0</v>
      </c>
      <c r="V4607" s="68">
        <v>46056.5765162037</v>
      </c>
      <c r="W4607" s="0">
        <f>IF(IF(B4607="none",1,IF(B4607="Trialer",1,0))+IF(C4607="Customer",1,IF(C4607="Lost",1,0))=2,1,0)</f>
      </c>
      <c r="X4607" s="0" t="s">
        <v>145</v>
      </c>
      <c r="Y4607" s="0" t="s">
        <v>243</v>
      </c>
      <c r="AV4607" s="68"/>
      <c r="AW4607" s="68"/>
      <c r="AY4607" s="27"/>
      <c r="BD4607" s="68">
        <v>46054.1666666667</v>
      </c>
      <c r="BE4607" s="68">
        <v>46082.1666666667</v>
      </c>
      <c r="BF4607" s="0" t="b">
        <v>0</v>
      </c>
      <c r="BG4607" s="0" t="b">
        <v>0</v>
      </c>
      <c r="BH4607" s="0">
        <v>0</v>
      </c>
      <c r="BI4607" s="0">
        <v>0</v>
      </c>
      <c r="BJ4607" s="0" t="s">
        <v>135</v>
      </c>
    </row>
    <row r="4608">
      <c r="A4608" s="0" t="s">
        <v>4872</v>
      </c>
      <c r="B4608" s="0" t="s">
        <v>5</v>
      </c>
      <c r="C4608" s="0" t="s">
        <v>652</v>
      </c>
      <c r="D4608" s="0" t="s">
        <v>135</v>
      </c>
      <c r="E4608" s="0" t="s">
        <v>1515</v>
      </c>
      <c r="F4608" s="0" t="s">
        <v>12</v>
      </c>
      <c r="G4608" s="0" t="s">
        <v>8</v>
      </c>
      <c r="H4608" s="0">
        <v>-2</v>
      </c>
      <c r="I4608" s="0">
        <v>0</v>
      </c>
      <c r="J4608" s="0">
        <v>0</v>
      </c>
      <c r="K4608" s="0">
        <v>0</v>
      </c>
      <c r="L4608" s="0">
        <v>0</v>
      </c>
      <c r="M4608" s="0">
        <v>0</v>
      </c>
      <c r="N4608" s="0">
        <v>0</v>
      </c>
      <c r="O4608" s="0">
        <v>0</v>
      </c>
      <c r="P4608" s="0">
        <v>0</v>
      </c>
      <c r="R4608" s="0" t="b">
        <v>0</v>
      </c>
      <c r="S4608" s="0" t="b">
        <v>0</v>
      </c>
      <c r="T4608" s="68">
        <v>46056.4650694444</v>
      </c>
      <c r="U4608" s="68">
        <v>0</v>
      </c>
      <c r="V4608" s="68">
        <v>46096.1667361111</v>
      </c>
      <c r="W4608" s="0">
        <f>IF(IF(B4608="none",1,IF(B4608="Trialer",1,0))+IF(C4608="Customer",1,IF(C4608="Lost",1,0))=2,1,0)</f>
      </c>
      <c r="X4608" s="0" t="s">
        <v>136</v>
      </c>
      <c r="Y4608" s="0" t="s">
        <v>1516</v>
      </c>
      <c r="AV4608" s="68"/>
      <c r="AW4608" s="68"/>
      <c r="AY4608" s="27"/>
      <c r="BD4608" s="68">
        <v>46054.1666666667</v>
      </c>
      <c r="BE4608" s="68">
        <v>46082.1666666667</v>
      </c>
      <c r="BF4608" s="0" t="b">
        <v>0</v>
      </c>
      <c r="BG4608" s="0" t="b">
        <v>0</v>
      </c>
      <c r="BH4608" s="0">
        <v>59</v>
      </c>
      <c r="BI4608" s="0">
        <v>59</v>
      </c>
      <c r="BJ4608" s="0" t="s">
        <v>135</v>
      </c>
    </row>
    <row r="4609">
      <c r="A4609" s="0" t="s">
        <v>4873</v>
      </c>
      <c r="B4609" s="0" t="s">
        <v>5</v>
      </c>
      <c r="C4609" s="0" t="s">
        <v>134</v>
      </c>
      <c r="D4609" s="0" t="s">
        <v>135</v>
      </c>
      <c r="E4609" s="0" t="s">
        <v>3</v>
      </c>
      <c r="F4609" s="0" t="s">
        <v>10</v>
      </c>
      <c r="G4609" s="0" t="s">
        <v>8</v>
      </c>
      <c r="H4609" s="0">
        <v>-2</v>
      </c>
      <c r="I4609" s="0">
        <v>249</v>
      </c>
      <c r="J4609" s="0">
        <v>0</v>
      </c>
      <c r="K4609" s="0">
        <v>1</v>
      </c>
      <c r="L4609" s="0">
        <v>5</v>
      </c>
      <c r="M4609" s="0">
        <v>3</v>
      </c>
      <c r="N4609" s="0">
        <v>0</v>
      </c>
      <c r="O4609" s="0">
        <v>0</v>
      </c>
      <c r="P4609" s="0">
        <v>0</v>
      </c>
      <c r="Q4609" s="0" t="s">
        <v>3340</v>
      </c>
      <c r="R4609" s="0" t="b">
        <v>0</v>
      </c>
      <c r="S4609" s="0" t="b">
        <v>1</v>
      </c>
      <c r="T4609" s="68">
        <v>46056.4797222222</v>
      </c>
      <c r="U4609" s="68">
        <v>46074.2916666667</v>
      </c>
      <c r="V4609" s="68">
        <v>0</v>
      </c>
      <c r="W4609" s="0">
        <f>IF(IF(B4609="none",1,IF(B4609="Trialer",1,0))+IF(C4609="Customer",1,IF(C4609="Lost",1,0))=2,1,0)</f>
      </c>
      <c r="X4609" s="0" t="s">
        <v>145</v>
      </c>
      <c r="Y4609" s="0" t="s">
        <v>243</v>
      </c>
      <c r="AV4609" s="68"/>
      <c r="AW4609" s="68"/>
      <c r="AY4609" s="27"/>
      <c r="BD4609" s="68">
        <v>46054.1666666667</v>
      </c>
      <c r="BE4609" s="68">
        <v>46082.1666666667</v>
      </c>
      <c r="BF4609" s="0" t="b">
        <v>0</v>
      </c>
      <c r="BG4609" s="0" t="b">
        <v>0</v>
      </c>
      <c r="BH4609" s="0">
        <v>249</v>
      </c>
      <c r="BI4609" s="0">
        <v>249</v>
      </c>
      <c r="BJ4609" s="0" t="s">
        <v>135</v>
      </c>
    </row>
    <row r="4610">
      <c r="A4610" s="0" t="s">
        <v>4874</v>
      </c>
      <c r="B4610" s="0" t="s">
        <v>5</v>
      </c>
      <c r="C4610" s="0" t="s">
        <v>652</v>
      </c>
      <c r="D4610" s="0" t="s">
        <v>135</v>
      </c>
      <c r="E4610" s="0" t="s">
        <v>1515</v>
      </c>
      <c r="F4610" s="0" t="s">
        <v>12</v>
      </c>
      <c r="G4610" s="0" t="s">
        <v>8</v>
      </c>
      <c r="H4610" s="0">
        <v>-2</v>
      </c>
      <c r="I4610" s="0">
        <v>0</v>
      </c>
      <c r="J4610" s="0">
        <v>0</v>
      </c>
      <c r="K4610" s="0">
        <v>0</v>
      </c>
      <c r="L4610" s="0">
        <v>0</v>
      </c>
      <c r="M4610" s="0">
        <v>0</v>
      </c>
      <c r="N4610" s="0">
        <v>0</v>
      </c>
      <c r="O4610" s="0">
        <v>0</v>
      </c>
      <c r="P4610" s="0">
        <v>0</v>
      </c>
      <c r="R4610" s="0" t="b">
        <v>0</v>
      </c>
      <c r="S4610" s="0" t="b">
        <v>0</v>
      </c>
      <c r="T4610" s="68">
        <v>46056.4920601852</v>
      </c>
      <c r="U4610" s="68">
        <v>0</v>
      </c>
      <c r="V4610" s="68">
        <v>46058.3882407407</v>
      </c>
      <c r="W4610" s="0">
        <f>IF(IF(B4610="none",1,IF(B4610="Trialer",1,0))+IF(C4610="Customer",1,IF(C4610="Lost",1,0))=2,1,0)</f>
      </c>
      <c r="X4610" s="0" t="s">
        <v>136</v>
      </c>
      <c r="Y4610" s="0" t="s">
        <v>1516</v>
      </c>
      <c r="AV4610" s="68"/>
      <c r="AW4610" s="68"/>
      <c r="AY4610" s="27"/>
      <c r="BD4610" s="68">
        <v>46054.1666666667</v>
      </c>
      <c r="BE4610" s="68">
        <v>46082.1666666667</v>
      </c>
      <c r="BF4610" s="0" t="b">
        <v>1</v>
      </c>
      <c r="BG4610" s="0" t="b">
        <v>0</v>
      </c>
      <c r="BH4610" s="0">
        <v>59</v>
      </c>
      <c r="BI4610" s="0">
        <v>59</v>
      </c>
      <c r="BJ4610" s="0" t="s">
        <v>135</v>
      </c>
    </row>
    <row r="4611">
      <c r="A4611" s="0" t="s">
        <v>4875</v>
      </c>
      <c r="B4611" s="0" t="s">
        <v>5</v>
      </c>
      <c r="C4611" s="0" t="s">
        <v>134</v>
      </c>
      <c r="D4611" s="0" t="s">
        <v>135</v>
      </c>
      <c r="E4611" s="0" t="s">
        <v>2</v>
      </c>
      <c r="F4611" s="0" t="s">
        <v>12</v>
      </c>
      <c r="G4611" s="0" t="s">
        <v>8</v>
      </c>
      <c r="H4611" s="0">
        <v>-2</v>
      </c>
      <c r="I4611" s="0">
        <v>339.75</v>
      </c>
      <c r="J4611" s="0">
        <v>0</v>
      </c>
      <c r="K4611" s="0">
        <v>1</v>
      </c>
      <c r="L4611" s="0">
        <v>5</v>
      </c>
      <c r="M4611" s="0">
        <v>7</v>
      </c>
      <c r="N4611" s="0">
        <v>0</v>
      </c>
      <c r="O4611" s="0">
        <v>0</v>
      </c>
      <c r="P4611" s="0">
        <v>0</v>
      </c>
      <c r="R4611" s="0" t="b">
        <v>0</v>
      </c>
      <c r="S4611" s="0" t="b">
        <v>1</v>
      </c>
      <c r="T4611" s="68">
        <v>46056.5036805556</v>
      </c>
      <c r="U4611" s="68">
        <v>46069.2916666667</v>
      </c>
      <c r="V4611" s="68">
        <v>0</v>
      </c>
      <c r="W4611" s="0">
        <f>IF(IF(B4611="none",1,IF(B4611="Trialer",1,0))+IF(C4611="Customer",1,IF(C4611="Lost",1,0))=2,1,0)</f>
      </c>
      <c r="X4611" s="0" t="s">
        <v>148</v>
      </c>
      <c r="Y4611" s="0" t="s">
        <v>499</v>
      </c>
      <c r="AV4611" s="68"/>
      <c r="AW4611" s="68"/>
      <c r="AY4611" s="27"/>
      <c r="BD4611" s="68">
        <v>46054.1666666667</v>
      </c>
      <c r="BE4611" s="68">
        <v>46082.1666666667</v>
      </c>
      <c r="BF4611" s="0" t="b">
        <v>0</v>
      </c>
      <c r="BG4611" s="0" t="b">
        <v>0</v>
      </c>
      <c r="BH4611" s="0">
        <v>339.75</v>
      </c>
      <c r="BI4611" s="0">
        <v>339.75</v>
      </c>
      <c r="BJ4611" s="0" t="s">
        <v>135</v>
      </c>
    </row>
    <row r="4612">
      <c r="A4612" s="0" t="s">
        <v>4876</v>
      </c>
      <c r="B4612" s="0" t="s">
        <v>5</v>
      </c>
      <c r="C4612" s="0" t="s">
        <v>652</v>
      </c>
      <c r="D4612" s="0" t="s">
        <v>135</v>
      </c>
      <c r="E4612" s="0" t="s">
        <v>3</v>
      </c>
      <c r="F4612" s="0" t="s">
        <v>10</v>
      </c>
      <c r="G4612" s="0" t="s">
        <v>8</v>
      </c>
      <c r="H4612" s="0">
        <v>-2</v>
      </c>
      <c r="I4612" s="0">
        <v>0</v>
      </c>
      <c r="J4612" s="0">
        <v>0</v>
      </c>
      <c r="K4612" s="0">
        <v>0</v>
      </c>
      <c r="L4612" s="0">
        <v>0</v>
      </c>
      <c r="M4612" s="0">
        <v>0</v>
      </c>
      <c r="N4612" s="0">
        <v>0</v>
      </c>
      <c r="O4612" s="0">
        <v>0</v>
      </c>
      <c r="P4612" s="0">
        <v>0</v>
      </c>
      <c r="Q4612" s="0" t="s">
        <v>357</v>
      </c>
      <c r="R4612" s="0" t="b">
        <v>0</v>
      </c>
      <c r="S4612" s="0" t="b">
        <v>0</v>
      </c>
      <c r="T4612" s="68">
        <v>46056.5176851852</v>
      </c>
      <c r="U4612" s="68">
        <v>0</v>
      </c>
      <c r="V4612" s="68">
        <v>46071.6374537037</v>
      </c>
      <c r="W4612" s="0">
        <f>IF(IF(B4612="none",1,IF(B4612="Trialer",1,0))+IF(C4612="Customer",1,IF(C4612="Lost",1,0))=2,1,0)</f>
      </c>
      <c r="X4612" s="0" t="s">
        <v>148</v>
      </c>
      <c r="Y4612" s="0" t="s">
        <v>243</v>
      </c>
      <c r="AV4612" s="68"/>
      <c r="AW4612" s="68"/>
      <c r="AY4612" s="27"/>
      <c r="BD4612" s="68">
        <v>46054.1666666667</v>
      </c>
      <c r="BE4612" s="68">
        <v>46082.1666666667</v>
      </c>
      <c r="BF4612" s="0" t="b">
        <v>0</v>
      </c>
      <c r="BG4612" s="0" t="b">
        <v>0</v>
      </c>
      <c r="BH4612" s="0">
        <v>94</v>
      </c>
      <c r="BI4612" s="0">
        <v>94</v>
      </c>
      <c r="BJ4612" s="0" t="s">
        <v>135</v>
      </c>
    </row>
    <row r="4613">
      <c r="A4613" s="0" t="s">
        <v>4877</v>
      </c>
      <c r="B4613" s="0" t="s">
        <v>5</v>
      </c>
      <c r="C4613" s="0" t="s">
        <v>652</v>
      </c>
      <c r="D4613" s="0" t="s">
        <v>135</v>
      </c>
      <c r="E4613" s="0" t="s">
        <v>4</v>
      </c>
      <c r="F4613" s="0" t="s">
        <v>12</v>
      </c>
      <c r="G4613" s="0" t="s">
        <v>8</v>
      </c>
      <c r="H4613" s="0">
        <v>-2</v>
      </c>
      <c r="I4613" s="0">
        <v>0</v>
      </c>
      <c r="J4613" s="0">
        <v>0</v>
      </c>
      <c r="K4613" s="0">
        <v>0</v>
      </c>
      <c r="L4613" s="0">
        <v>0</v>
      </c>
      <c r="M4613" s="0">
        <v>0</v>
      </c>
      <c r="N4613" s="0">
        <v>0</v>
      </c>
      <c r="O4613" s="0">
        <v>0</v>
      </c>
      <c r="P4613" s="0">
        <v>0</v>
      </c>
      <c r="R4613" s="0" t="b">
        <v>0</v>
      </c>
      <c r="S4613" s="0" t="b">
        <v>0</v>
      </c>
      <c r="T4613" s="68">
        <v>46056.5297685185</v>
      </c>
      <c r="U4613" s="68">
        <v>0</v>
      </c>
      <c r="V4613" s="68">
        <v>46096.1668402778</v>
      </c>
      <c r="W4613" s="0">
        <f>IF(IF(B4613="none",1,IF(B4613="Trialer",1,0))+IF(C4613="Customer",1,IF(C4613="Lost",1,0))=2,1,0)</f>
      </c>
      <c r="X4613" s="0" t="s">
        <v>145</v>
      </c>
      <c r="Y4613" s="0" t="s">
        <v>1772</v>
      </c>
      <c r="AV4613" s="68"/>
      <c r="AW4613" s="68"/>
      <c r="AY4613" s="27"/>
      <c r="BD4613" s="68">
        <v>46054.1666666667</v>
      </c>
      <c r="BE4613" s="68">
        <v>46082.1666666667</v>
      </c>
      <c r="BF4613" s="0" t="b">
        <v>0</v>
      </c>
      <c r="BG4613" s="0" t="b">
        <v>0</v>
      </c>
      <c r="BH4613" s="0">
        <v>71</v>
      </c>
      <c r="BI4613" s="0">
        <v>71</v>
      </c>
      <c r="BJ4613" s="0" t="s">
        <v>135</v>
      </c>
    </row>
    <row r="4614">
      <c r="A4614" s="0" t="s">
        <v>4878</v>
      </c>
      <c r="B4614" s="0" t="s">
        <v>5</v>
      </c>
      <c r="C4614" s="0" t="s">
        <v>652</v>
      </c>
      <c r="D4614" s="0" t="s">
        <v>135</v>
      </c>
      <c r="E4614" s="0" t="s">
        <v>3</v>
      </c>
      <c r="F4614" s="0" t="s">
        <v>12</v>
      </c>
      <c r="G4614" s="0" t="s">
        <v>8</v>
      </c>
      <c r="H4614" s="0">
        <v>-2</v>
      </c>
      <c r="I4614" s="0">
        <v>0</v>
      </c>
      <c r="J4614" s="0">
        <v>0</v>
      </c>
      <c r="K4614" s="0">
        <v>0</v>
      </c>
      <c r="L4614" s="0">
        <v>0</v>
      </c>
      <c r="M4614" s="0">
        <v>0</v>
      </c>
      <c r="N4614" s="0">
        <v>0</v>
      </c>
      <c r="O4614" s="0">
        <v>0</v>
      </c>
      <c r="P4614" s="0">
        <v>0</v>
      </c>
      <c r="R4614" s="0" t="b">
        <v>0</v>
      </c>
      <c r="S4614" s="0" t="b">
        <v>0</v>
      </c>
      <c r="T4614" s="68">
        <v>46056.5424305556</v>
      </c>
      <c r="U4614" s="68">
        <v>0</v>
      </c>
      <c r="V4614" s="68">
        <v>46096.1668287037</v>
      </c>
      <c r="W4614" s="0">
        <f>IF(IF(B4614="none",1,IF(B4614="Trialer",1,0))+IF(C4614="Customer",1,IF(C4614="Lost",1,0))=2,1,0)</f>
      </c>
      <c r="X4614" s="0" t="s">
        <v>136</v>
      </c>
      <c r="Y4614" s="0" t="s">
        <v>243</v>
      </c>
      <c r="AV4614" s="68"/>
      <c r="AW4614" s="68"/>
      <c r="AY4614" s="27"/>
      <c r="BD4614" s="68">
        <v>46054.1666666667</v>
      </c>
      <c r="BE4614" s="68">
        <v>46082.1666666667</v>
      </c>
      <c r="BF4614" s="0" t="b">
        <v>0</v>
      </c>
      <c r="BG4614" s="0" t="b">
        <v>0</v>
      </c>
      <c r="BH4614" s="0">
        <v>59</v>
      </c>
      <c r="BI4614" s="0">
        <v>59</v>
      </c>
      <c r="BJ4614" s="0" t="s">
        <v>135</v>
      </c>
    </row>
    <row r="4615">
      <c r="A4615" s="0" t="s">
        <v>4879</v>
      </c>
      <c r="B4615" s="0" t="s">
        <v>5</v>
      </c>
      <c r="C4615" s="0" t="s">
        <v>652</v>
      </c>
      <c r="D4615" s="0" t="s">
        <v>135</v>
      </c>
      <c r="E4615" s="0" t="s">
        <v>3</v>
      </c>
      <c r="F4615" s="0" t="s">
        <v>12</v>
      </c>
      <c r="G4615" s="0" t="s">
        <v>8</v>
      </c>
      <c r="H4615" s="0">
        <v>-2</v>
      </c>
      <c r="I4615" s="0">
        <v>0</v>
      </c>
      <c r="J4615" s="0">
        <v>0</v>
      </c>
      <c r="K4615" s="0">
        <v>0</v>
      </c>
      <c r="L4615" s="0">
        <v>0</v>
      </c>
      <c r="M4615" s="0">
        <v>0</v>
      </c>
      <c r="N4615" s="0">
        <v>0</v>
      </c>
      <c r="O4615" s="0">
        <v>0</v>
      </c>
      <c r="P4615" s="0">
        <v>0</v>
      </c>
      <c r="R4615" s="0" t="b">
        <v>0</v>
      </c>
      <c r="S4615" s="0" t="b">
        <v>0</v>
      </c>
      <c r="T4615" s="68">
        <v>46056.5541898148</v>
      </c>
      <c r="U4615" s="68">
        <v>0</v>
      </c>
      <c r="V4615" s="68">
        <v>46059.5656712963</v>
      </c>
      <c r="W4615" s="0">
        <f>IF(IF(B4615="none",1,IF(B4615="Trialer",1,0))+IF(C4615="Customer",1,IF(C4615="Lost",1,0))=2,1,0)</f>
      </c>
      <c r="X4615" s="0" t="s">
        <v>136</v>
      </c>
      <c r="Y4615" s="0" t="s">
        <v>243</v>
      </c>
      <c r="AV4615" s="68"/>
      <c r="AW4615" s="68"/>
      <c r="AY4615" s="27"/>
      <c r="BD4615" s="68">
        <v>46054.1666666667</v>
      </c>
      <c r="BE4615" s="68">
        <v>46082.1666666667</v>
      </c>
      <c r="BF4615" s="0" t="b">
        <v>0</v>
      </c>
      <c r="BG4615" s="0" t="b">
        <v>0</v>
      </c>
      <c r="BH4615" s="0">
        <v>118</v>
      </c>
      <c r="BI4615" s="0">
        <v>118</v>
      </c>
      <c r="BJ4615" s="0" t="s">
        <v>135</v>
      </c>
    </row>
    <row r="4616">
      <c r="A4616" s="0" t="s">
        <v>4880</v>
      </c>
      <c r="B4616" s="0" t="s">
        <v>5</v>
      </c>
      <c r="C4616" s="0" t="s">
        <v>652</v>
      </c>
      <c r="D4616" s="0" t="s">
        <v>135</v>
      </c>
      <c r="E4616" s="0" t="s">
        <v>2</v>
      </c>
      <c r="F4616" s="0" t="s">
        <v>12</v>
      </c>
      <c r="G4616" s="0" t="s">
        <v>8</v>
      </c>
      <c r="H4616" s="0">
        <v>-2</v>
      </c>
      <c r="I4616" s="0">
        <v>0</v>
      </c>
      <c r="J4616" s="0">
        <v>0</v>
      </c>
      <c r="K4616" s="0">
        <v>0</v>
      </c>
      <c r="L4616" s="0">
        <v>0</v>
      </c>
      <c r="M4616" s="0">
        <v>0</v>
      </c>
      <c r="N4616" s="0">
        <v>0</v>
      </c>
      <c r="O4616" s="0">
        <v>0</v>
      </c>
      <c r="P4616" s="0">
        <v>0</v>
      </c>
      <c r="R4616" s="0" t="b">
        <v>0</v>
      </c>
      <c r="S4616" s="0" t="b">
        <v>0</v>
      </c>
      <c r="T4616" s="68">
        <v>46056.6510185185</v>
      </c>
      <c r="U4616" s="68">
        <v>0</v>
      </c>
      <c r="V4616" s="68">
        <v>46096.1667476852</v>
      </c>
      <c r="W4616" s="0">
        <f>IF(IF(B4616="none",1,IF(B4616="Trialer",1,0))+IF(C4616="Customer",1,IF(C4616="Lost",1,0))=2,1,0)</f>
      </c>
      <c r="X4616" s="0" t="s">
        <v>148</v>
      </c>
      <c r="Y4616" s="0" t="s">
        <v>499</v>
      </c>
      <c r="AV4616" s="68"/>
      <c r="AW4616" s="68"/>
      <c r="AY4616" s="27"/>
      <c r="BD4616" s="68">
        <v>46054.1666666667</v>
      </c>
      <c r="BE4616" s="68">
        <v>46082.1666666667</v>
      </c>
      <c r="BF4616" s="0" t="b">
        <v>0</v>
      </c>
      <c r="BG4616" s="0" t="b">
        <v>0</v>
      </c>
      <c r="BH4616" s="0">
        <v>73</v>
      </c>
      <c r="BI4616" s="0">
        <v>73</v>
      </c>
      <c r="BJ4616" s="0" t="s">
        <v>135</v>
      </c>
    </row>
    <row r="4617">
      <c r="A4617" s="0" t="s">
        <v>4881</v>
      </c>
      <c r="B4617" s="0" t="s">
        <v>5</v>
      </c>
      <c r="C4617" s="0" t="s">
        <v>652</v>
      </c>
      <c r="D4617" s="0" t="s">
        <v>135</v>
      </c>
      <c r="E4617" s="0" t="s">
        <v>3</v>
      </c>
      <c r="F4617" s="0" t="s">
        <v>12</v>
      </c>
      <c r="G4617" s="0" t="s">
        <v>8</v>
      </c>
      <c r="H4617" s="0">
        <v>-2</v>
      </c>
      <c r="I4617" s="0">
        <v>0</v>
      </c>
      <c r="J4617" s="0">
        <v>0</v>
      </c>
      <c r="K4617" s="0">
        <v>0</v>
      </c>
      <c r="L4617" s="0">
        <v>0</v>
      </c>
      <c r="M4617" s="0">
        <v>0</v>
      </c>
      <c r="N4617" s="0">
        <v>0</v>
      </c>
      <c r="O4617" s="0">
        <v>0</v>
      </c>
      <c r="P4617" s="0">
        <v>0</v>
      </c>
      <c r="R4617" s="0" t="b">
        <v>0</v>
      </c>
      <c r="S4617" s="0" t="b">
        <v>0</v>
      </c>
      <c r="T4617" s="68">
        <v>46056.6524189815</v>
      </c>
      <c r="U4617" s="68">
        <v>0</v>
      </c>
      <c r="V4617" s="68">
        <v>46096.1667708333</v>
      </c>
      <c r="W4617" s="0">
        <f>IF(IF(B4617="none",1,IF(B4617="Trialer",1,0))+IF(C4617="Customer",1,IF(C4617="Lost",1,0))=2,1,0)</f>
      </c>
      <c r="X4617" s="0" t="s">
        <v>145</v>
      </c>
      <c r="Y4617" s="0" t="s">
        <v>243</v>
      </c>
      <c r="AV4617" s="68"/>
      <c r="AW4617" s="68"/>
      <c r="AY4617" s="27"/>
      <c r="BD4617" s="68">
        <v>46054.1666666667</v>
      </c>
      <c r="BE4617" s="68">
        <v>46082.1666666667</v>
      </c>
      <c r="BF4617" s="0" t="b">
        <v>0</v>
      </c>
      <c r="BG4617" s="0" t="b">
        <v>0</v>
      </c>
      <c r="BH4617" s="0">
        <v>71</v>
      </c>
      <c r="BI4617" s="0">
        <v>71</v>
      </c>
      <c r="BJ4617" s="0" t="s">
        <v>135</v>
      </c>
    </row>
    <row r="4618">
      <c r="A4618" s="0" t="s">
        <v>4882</v>
      </c>
      <c r="B4618" s="0" t="s">
        <v>5</v>
      </c>
      <c r="C4618" s="0" t="s">
        <v>652</v>
      </c>
      <c r="D4618" s="0" t="s">
        <v>135</v>
      </c>
      <c r="E4618" s="0" t="s">
        <v>2414</v>
      </c>
      <c r="F4618" s="0" t="s">
        <v>12</v>
      </c>
      <c r="G4618" s="0" t="s">
        <v>8</v>
      </c>
      <c r="H4618" s="0">
        <v>-2</v>
      </c>
      <c r="I4618" s="0">
        <v>0</v>
      </c>
      <c r="J4618" s="0">
        <v>0</v>
      </c>
      <c r="K4618" s="0">
        <v>0</v>
      </c>
      <c r="L4618" s="0">
        <v>0</v>
      </c>
      <c r="M4618" s="0">
        <v>0</v>
      </c>
      <c r="N4618" s="0">
        <v>0</v>
      </c>
      <c r="O4618" s="0">
        <v>0</v>
      </c>
      <c r="P4618" s="0">
        <v>0</v>
      </c>
      <c r="R4618" s="0" t="b">
        <v>0</v>
      </c>
      <c r="S4618" s="0" t="b">
        <v>0</v>
      </c>
      <c r="T4618" s="68">
        <v>46056.6536805556</v>
      </c>
      <c r="U4618" s="68">
        <v>0</v>
      </c>
      <c r="V4618" s="68">
        <v>46096.1667824074</v>
      </c>
      <c r="W4618" s="0">
        <f>IF(IF(B4618="none",1,IF(B4618="Trialer",1,0))+IF(C4618="Customer",1,IF(C4618="Lost",1,0))=2,1,0)</f>
      </c>
      <c r="X4618" s="0" t="s">
        <v>136</v>
      </c>
      <c r="Y4618" s="0" t="s">
        <v>1516</v>
      </c>
      <c r="AV4618" s="68"/>
      <c r="AW4618" s="68"/>
      <c r="AY4618" s="27"/>
      <c r="BD4618" s="68">
        <v>46054.1666666667</v>
      </c>
      <c r="BE4618" s="68">
        <v>46082.1666666667</v>
      </c>
      <c r="BF4618" s="0" t="b">
        <v>0</v>
      </c>
      <c r="BG4618" s="0" t="b">
        <v>0</v>
      </c>
      <c r="BH4618" s="0">
        <v>59</v>
      </c>
      <c r="BI4618" s="0">
        <v>59</v>
      </c>
      <c r="BJ4618" s="0" t="s">
        <v>135</v>
      </c>
    </row>
    <row r="4619">
      <c r="A4619" s="0" t="s">
        <v>4883</v>
      </c>
      <c r="B4619" s="0" t="s">
        <v>5</v>
      </c>
      <c r="C4619" s="0" t="s">
        <v>652</v>
      </c>
      <c r="D4619" s="0" t="s">
        <v>135</v>
      </c>
      <c r="E4619" s="0" t="s">
        <v>3</v>
      </c>
      <c r="F4619" s="0" t="s">
        <v>12</v>
      </c>
      <c r="G4619" s="0" t="s">
        <v>8</v>
      </c>
      <c r="H4619" s="0">
        <v>-2</v>
      </c>
      <c r="I4619" s="0">
        <v>0</v>
      </c>
      <c r="J4619" s="0">
        <v>0</v>
      </c>
      <c r="K4619" s="0">
        <v>0</v>
      </c>
      <c r="L4619" s="0">
        <v>0</v>
      </c>
      <c r="M4619" s="0">
        <v>0</v>
      </c>
      <c r="N4619" s="0">
        <v>0</v>
      </c>
      <c r="O4619" s="0">
        <v>0</v>
      </c>
      <c r="P4619" s="0">
        <v>0</v>
      </c>
      <c r="R4619" s="0" t="b">
        <v>0</v>
      </c>
      <c r="S4619" s="0" t="b">
        <v>0</v>
      </c>
      <c r="T4619" s="68">
        <v>46056.7259953704</v>
      </c>
      <c r="U4619" s="68">
        <v>0</v>
      </c>
      <c r="V4619" s="68">
        <v>46065.5993981482</v>
      </c>
      <c r="W4619" s="0">
        <f>IF(IF(B4619="none",1,IF(B4619="Trialer",1,0))+IF(C4619="Customer",1,IF(C4619="Lost",1,0))=2,1,0)</f>
      </c>
      <c r="X4619" s="0" t="s">
        <v>148</v>
      </c>
      <c r="Y4619" s="0" t="s">
        <v>243</v>
      </c>
      <c r="AV4619" s="68"/>
      <c r="AW4619" s="68"/>
      <c r="AY4619" s="27"/>
      <c r="BD4619" s="68">
        <v>46054.1666666667</v>
      </c>
      <c r="BE4619" s="68">
        <v>46082.1666666667</v>
      </c>
      <c r="BF4619" s="0" t="b">
        <v>0</v>
      </c>
      <c r="BG4619" s="0" t="b">
        <v>0</v>
      </c>
      <c r="BH4619" s="0">
        <v>97</v>
      </c>
      <c r="BI4619" s="0">
        <v>97</v>
      </c>
      <c r="BJ4619" s="0" t="s">
        <v>135</v>
      </c>
    </row>
    <row r="4620">
      <c r="A4620" s="0" t="s">
        <v>4884</v>
      </c>
      <c r="B4620" s="0" t="s">
        <v>5</v>
      </c>
      <c r="C4620" s="0" t="s">
        <v>652</v>
      </c>
      <c r="D4620" s="0" t="s">
        <v>135</v>
      </c>
      <c r="E4620" s="0" t="s">
        <v>3</v>
      </c>
      <c r="F4620" s="0" t="s">
        <v>12</v>
      </c>
      <c r="G4620" s="0" t="s">
        <v>8</v>
      </c>
      <c r="H4620" s="0">
        <v>-2</v>
      </c>
      <c r="I4620" s="0">
        <v>0</v>
      </c>
      <c r="J4620" s="0">
        <v>0</v>
      </c>
      <c r="K4620" s="0">
        <v>0</v>
      </c>
      <c r="L4620" s="0">
        <v>0</v>
      </c>
      <c r="M4620" s="0">
        <v>0</v>
      </c>
      <c r="N4620" s="0">
        <v>0</v>
      </c>
      <c r="O4620" s="0">
        <v>0</v>
      </c>
      <c r="P4620" s="0">
        <v>0</v>
      </c>
      <c r="R4620" s="0" t="b">
        <v>0</v>
      </c>
      <c r="S4620" s="0" t="b">
        <v>0</v>
      </c>
      <c r="T4620" s="68">
        <v>46056.7579398148</v>
      </c>
      <c r="U4620" s="68">
        <v>0</v>
      </c>
      <c r="V4620" s="68">
        <v>46058.5149652778</v>
      </c>
      <c r="W4620" s="0">
        <f>IF(IF(B4620="none",1,IF(B4620="Trialer",1,0))+IF(C4620="Customer",1,IF(C4620="Lost",1,0))=2,1,0)</f>
      </c>
      <c r="X4620" s="0" t="s">
        <v>145</v>
      </c>
      <c r="Y4620" s="0" t="s">
        <v>243</v>
      </c>
      <c r="AV4620" s="68"/>
      <c r="AW4620" s="68"/>
      <c r="AY4620" s="27"/>
      <c r="BD4620" s="68">
        <v>46054.1666666667</v>
      </c>
      <c r="BE4620" s="68">
        <v>46082.1666666667</v>
      </c>
      <c r="BF4620" s="0" t="b">
        <v>0</v>
      </c>
      <c r="BG4620" s="0" t="b">
        <v>0</v>
      </c>
      <c r="BH4620" s="0">
        <v>59</v>
      </c>
      <c r="BI4620" s="0">
        <v>59</v>
      </c>
      <c r="BJ4620" s="0" t="s">
        <v>135</v>
      </c>
    </row>
    <row r="4621">
      <c r="A4621" s="0" t="s">
        <v>4885</v>
      </c>
      <c r="B4621" s="0" t="s">
        <v>5</v>
      </c>
      <c r="C4621" s="0" t="s">
        <v>652</v>
      </c>
      <c r="D4621" s="0" t="s">
        <v>135</v>
      </c>
      <c r="E4621" s="0" t="s">
        <v>3</v>
      </c>
      <c r="F4621" s="0" t="s">
        <v>12</v>
      </c>
      <c r="G4621" s="0" t="s">
        <v>8</v>
      </c>
      <c r="H4621" s="0">
        <v>-2</v>
      </c>
      <c r="I4621" s="0">
        <v>0</v>
      </c>
      <c r="J4621" s="0">
        <v>0</v>
      </c>
      <c r="K4621" s="0">
        <v>0</v>
      </c>
      <c r="L4621" s="0">
        <v>0</v>
      </c>
      <c r="M4621" s="0">
        <v>0</v>
      </c>
      <c r="N4621" s="0">
        <v>0</v>
      </c>
      <c r="O4621" s="0">
        <v>0</v>
      </c>
      <c r="P4621" s="0">
        <v>0</v>
      </c>
      <c r="R4621" s="0" t="b">
        <v>0</v>
      </c>
      <c r="S4621" s="0" t="b">
        <v>0</v>
      </c>
      <c r="T4621" s="68">
        <v>46056.8263773148</v>
      </c>
      <c r="U4621" s="68">
        <v>0</v>
      </c>
      <c r="V4621" s="68">
        <v>46096.1668287037</v>
      </c>
      <c r="W4621" s="0">
        <f>IF(IF(B4621="none",1,IF(B4621="Trialer",1,0))+IF(C4621="Customer",1,IF(C4621="Lost",1,0))=2,1,0)</f>
      </c>
      <c r="X4621" s="0" t="s">
        <v>882</v>
      </c>
      <c r="Y4621" s="0" t="s">
        <v>243</v>
      </c>
      <c r="AV4621" s="68"/>
      <c r="AW4621" s="68"/>
      <c r="AY4621" s="27"/>
      <c r="BD4621" s="68">
        <v>46054.1666666667</v>
      </c>
      <c r="BE4621" s="68">
        <v>46082.1666666667</v>
      </c>
      <c r="BF4621" s="0" t="b">
        <v>0</v>
      </c>
      <c r="BG4621" s="0" t="b">
        <v>0</v>
      </c>
      <c r="BH4621" s="0">
        <v>71</v>
      </c>
      <c r="BI4621" s="0">
        <v>71</v>
      </c>
      <c r="BJ4621" s="0" t="s">
        <v>135</v>
      </c>
    </row>
    <row r="4622">
      <c r="A4622" s="0" t="s">
        <v>4886</v>
      </c>
      <c r="B4622" s="0" t="s">
        <v>5</v>
      </c>
      <c r="C4622" s="0" t="s">
        <v>134</v>
      </c>
      <c r="D4622" s="0" t="s">
        <v>135</v>
      </c>
      <c r="E4622" s="0" t="s">
        <v>3</v>
      </c>
      <c r="F4622" s="0" t="s">
        <v>12</v>
      </c>
      <c r="G4622" s="0" t="s">
        <v>8</v>
      </c>
      <c r="H4622" s="0">
        <v>-2</v>
      </c>
      <c r="I4622" s="0">
        <v>229</v>
      </c>
      <c r="J4622" s="0">
        <v>0</v>
      </c>
      <c r="K4622" s="0">
        <v>1</v>
      </c>
      <c r="L4622" s="0">
        <v>5</v>
      </c>
      <c r="M4622" s="0">
        <v>3</v>
      </c>
      <c r="N4622" s="0">
        <v>0</v>
      </c>
      <c r="O4622" s="0">
        <v>0</v>
      </c>
      <c r="P4622" s="0">
        <v>0</v>
      </c>
      <c r="R4622" s="0" t="b">
        <v>0</v>
      </c>
      <c r="S4622" s="0" t="b">
        <v>1</v>
      </c>
      <c r="T4622" s="68">
        <v>46056.8383101852</v>
      </c>
      <c r="U4622" s="68">
        <v>46070.2916666667</v>
      </c>
      <c r="V4622" s="68">
        <v>0</v>
      </c>
      <c r="W4622" s="0">
        <f>IF(IF(B4622="none",1,IF(B4622="Trialer",1,0))+IF(C4622="Customer",1,IF(C4622="Lost",1,0))=2,1,0)</f>
      </c>
      <c r="X4622" s="0" t="s">
        <v>1461</v>
      </c>
      <c r="Y4622" s="0" t="s">
        <v>243</v>
      </c>
      <c r="AV4622" s="68"/>
      <c r="AW4622" s="68"/>
      <c r="AY4622" s="27"/>
      <c r="BD4622" s="68">
        <v>46054.1666666667</v>
      </c>
      <c r="BE4622" s="68">
        <v>46082.1666666667</v>
      </c>
      <c r="BF4622" s="0" t="b">
        <v>0</v>
      </c>
      <c r="BG4622" s="0" t="b">
        <v>0</v>
      </c>
      <c r="BH4622" s="0">
        <v>144</v>
      </c>
      <c r="BI4622" s="0">
        <v>144</v>
      </c>
      <c r="BJ4622" s="0" t="s">
        <v>135</v>
      </c>
    </row>
    <row r="4623">
      <c r="A4623" s="0" t="s">
        <v>4887</v>
      </c>
      <c r="B4623" s="0" t="s">
        <v>5</v>
      </c>
      <c r="C4623" s="0" t="s">
        <v>652</v>
      </c>
      <c r="D4623" s="0" t="s">
        <v>135</v>
      </c>
      <c r="E4623" s="0" t="s">
        <v>3</v>
      </c>
      <c r="F4623" s="0" t="s">
        <v>12</v>
      </c>
      <c r="G4623" s="0" t="s">
        <v>8</v>
      </c>
      <c r="H4623" s="0">
        <v>-2</v>
      </c>
      <c r="I4623" s="0">
        <v>0</v>
      </c>
      <c r="J4623" s="0">
        <v>0</v>
      </c>
      <c r="K4623" s="0">
        <v>0</v>
      </c>
      <c r="L4623" s="0">
        <v>0</v>
      </c>
      <c r="M4623" s="0">
        <v>0</v>
      </c>
      <c r="N4623" s="0">
        <v>0</v>
      </c>
      <c r="O4623" s="0">
        <v>0</v>
      </c>
      <c r="P4623" s="0">
        <v>0</v>
      </c>
      <c r="R4623" s="0" t="b">
        <v>0</v>
      </c>
      <c r="S4623" s="0" t="b">
        <v>0</v>
      </c>
      <c r="T4623" s="68">
        <v>46056.9104166667</v>
      </c>
      <c r="U4623" s="68">
        <v>0</v>
      </c>
      <c r="V4623" s="68">
        <v>46096.1667824074</v>
      </c>
      <c r="W4623" s="0">
        <f>IF(IF(B4623="none",1,IF(B4623="Trialer",1,0))+IF(C4623="Customer",1,IF(C4623="Lost",1,0))=2,1,0)</f>
      </c>
      <c r="X4623" s="0" t="s">
        <v>882</v>
      </c>
      <c r="Y4623" s="0" t="s">
        <v>243</v>
      </c>
      <c r="AV4623" s="68"/>
      <c r="AW4623" s="68"/>
      <c r="AY4623" s="27"/>
      <c r="BD4623" s="68">
        <v>46054.1666666667</v>
      </c>
      <c r="BE4623" s="68">
        <v>46082.1666666667</v>
      </c>
      <c r="BF4623" s="0" t="b">
        <v>0</v>
      </c>
      <c r="BG4623" s="0" t="b">
        <v>0</v>
      </c>
      <c r="BH4623" s="0">
        <v>71</v>
      </c>
      <c r="BI4623" s="0">
        <v>71</v>
      </c>
      <c r="BJ4623" s="0" t="s">
        <v>135</v>
      </c>
    </row>
    <row r="4624">
      <c r="A4624" s="0" t="s">
        <v>4888</v>
      </c>
      <c r="B4624" s="0" t="s">
        <v>5</v>
      </c>
      <c r="C4624" s="0" t="s">
        <v>652</v>
      </c>
      <c r="D4624" s="0" t="s">
        <v>135</v>
      </c>
      <c r="E4624" s="0" t="s">
        <v>3</v>
      </c>
      <c r="F4624" s="0" t="s">
        <v>12</v>
      </c>
      <c r="G4624" s="0" t="s">
        <v>8</v>
      </c>
      <c r="H4624" s="0">
        <v>-3</v>
      </c>
      <c r="I4624" s="0">
        <v>0</v>
      </c>
      <c r="J4624" s="0">
        <v>0</v>
      </c>
      <c r="K4624" s="0">
        <v>0</v>
      </c>
      <c r="L4624" s="0">
        <v>0</v>
      </c>
      <c r="M4624" s="0">
        <v>0</v>
      </c>
      <c r="N4624" s="0">
        <v>0</v>
      </c>
      <c r="O4624" s="0">
        <v>0</v>
      </c>
      <c r="P4624" s="0">
        <v>0</v>
      </c>
      <c r="R4624" s="0" t="b">
        <v>0</v>
      </c>
      <c r="S4624" s="0" t="b">
        <v>0</v>
      </c>
      <c r="T4624" s="68">
        <v>46056.9593865741</v>
      </c>
      <c r="U4624" s="68">
        <v>0</v>
      </c>
      <c r="V4624" s="68">
        <v>46096.1668055556</v>
      </c>
      <c r="W4624" s="0">
        <f>IF(IF(B4624="none",1,IF(B4624="Trialer",1,0))+IF(C4624="Customer",1,IF(C4624="Lost",1,0))=2,1,0)</f>
      </c>
      <c r="X4624" s="0" t="s">
        <v>148</v>
      </c>
      <c r="Y4624" s="0" t="s">
        <v>243</v>
      </c>
      <c r="AV4624" s="68"/>
      <c r="AW4624" s="68"/>
      <c r="AY4624" s="27"/>
      <c r="BD4624" s="68">
        <v>46054.1666666667</v>
      </c>
      <c r="BE4624" s="68">
        <v>46082.1666666667</v>
      </c>
      <c r="BF4624" s="0" t="b">
        <v>0</v>
      </c>
      <c r="BG4624" s="0" t="b">
        <v>0</v>
      </c>
      <c r="BH4624" s="0">
        <v>97</v>
      </c>
      <c r="BI4624" s="0">
        <v>97</v>
      </c>
      <c r="BJ4624" s="0" t="s">
        <v>135</v>
      </c>
    </row>
    <row r="4625">
      <c r="A4625" s="0" t="s">
        <v>4889</v>
      </c>
      <c r="B4625" s="0" t="s">
        <v>5</v>
      </c>
      <c r="C4625" s="0" t="s">
        <v>652</v>
      </c>
      <c r="D4625" s="0" t="s">
        <v>135</v>
      </c>
      <c r="E4625" s="0" t="s">
        <v>2</v>
      </c>
      <c r="F4625" s="0" t="s">
        <v>12</v>
      </c>
      <c r="G4625" s="0" t="s">
        <v>8</v>
      </c>
      <c r="H4625" s="0">
        <v>-3</v>
      </c>
      <c r="I4625" s="0">
        <v>0</v>
      </c>
      <c r="J4625" s="0">
        <v>0</v>
      </c>
      <c r="K4625" s="0">
        <v>0</v>
      </c>
      <c r="L4625" s="0">
        <v>0</v>
      </c>
      <c r="M4625" s="0">
        <v>0</v>
      </c>
      <c r="N4625" s="0">
        <v>0</v>
      </c>
      <c r="O4625" s="0">
        <v>0</v>
      </c>
      <c r="P4625" s="0">
        <v>0</v>
      </c>
      <c r="R4625" s="0" t="b">
        <v>0</v>
      </c>
      <c r="S4625" s="0" t="b">
        <v>0</v>
      </c>
      <c r="T4625" s="68">
        <v>46056.9916666667</v>
      </c>
      <c r="U4625" s="68">
        <v>0</v>
      </c>
      <c r="V4625" s="68">
        <v>46057.5193865741</v>
      </c>
      <c r="W4625" s="0">
        <f>IF(IF(B4625="none",1,IF(B4625="Trialer",1,0))+IF(C4625="Customer",1,IF(C4625="Lost",1,0))=2,1,0)</f>
      </c>
      <c r="X4625" s="0" t="s">
        <v>145</v>
      </c>
      <c r="Y4625" s="0" t="s">
        <v>499</v>
      </c>
      <c r="AV4625" s="68"/>
      <c r="AW4625" s="68"/>
      <c r="AY4625" s="27"/>
      <c r="BD4625" s="68">
        <v>46054.1666666667</v>
      </c>
      <c r="BE4625" s="68">
        <v>46082.1666666667</v>
      </c>
      <c r="BF4625" s="0" t="b">
        <v>1</v>
      </c>
      <c r="BG4625" s="0" t="b">
        <v>1</v>
      </c>
      <c r="BH4625" s="0">
        <v>0</v>
      </c>
      <c r="BI4625" s="0">
        <v>0</v>
      </c>
      <c r="BJ4625" s="0" t="s">
        <v>135</v>
      </c>
    </row>
    <row r="4626">
      <c r="A4626" s="0" t="s">
        <v>4890</v>
      </c>
      <c r="B4626" s="0" t="s">
        <v>5</v>
      </c>
      <c r="C4626" s="0" t="s">
        <v>652</v>
      </c>
      <c r="D4626" s="0" t="s">
        <v>135</v>
      </c>
      <c r="E4626" s="0" t="s">
        <v>3</v>
      </c>
      <c r="F4626" s="0" t="s">
        <v>12</v>
      </c>
      <c r="G4626" s="0" t="s">
        <v>8</v>
      </c>
      <c r="H4626" s="0">
        <v>-3</v>
      </c>
      <c r="I4626" s="0">
        <v>0</v>
      </c>
      <c r="J4626" s="0">
        <v>0</v>
      </c>
      <c r="K4626" s="0">
        <v>0</v>
      </c>
      <c r="L4626" s="0">
        <v>0</v>
      </c>
      <c r="M4626" s="0">
        <v>0</v>
      </c>
      <c r="N4626" s="0">
        <v>0</v>
      </c>
      <c r="O4626" s="0">
        <v>0</v>
      </c>
      <c r="P4626" s="0">
        <v>0</v>
      </c>
      <c r="R4626" s="0" t="b">
        <v>0</v>
      </c>
      <c r="S4626" s="0" t="b">
        <v>0</v>
      </c>
      <c r="T4626" s="68">
        <v>46057.0256597222</v>
      </c>
      <c r="U4626" s="68">
        <v>0</v>
      </c>
      <c r="V4626" s="68">
        <v>46096.1668055556</v>
      </c>
      <c r="W4626" s="0">
        <f>IF(IF(B4626="none",1,IF(B4626="Trialer",1,0))+IF(C4626="Customer",1,IF(C4626="Lost",1,0))=2,1,0)</f>
      </c>
      <c r="X4626" s="0" t="s">
        <v>136</v>
      </c>
      <c r="Y4626" s="0" t="s">
        <v>243</v>
      </c>
      <c r="AV4626" s="68"/>
      <c r="AW4626" s="68"/>
      <c r="AY4626" s="27"/>
      <c r="BD4626" s="68">
        <v>46054.1666666667</v>
      </c>
      <c r="BE4626" s="68">
        <v>46082.1666666667</v>
      </c>
      <c r="BF4626" s="0" t="b">
        <v>0</v>
      </c>
      <c r="BG4626" s="0" t="b">
        <v>0</v>
      </c>
      <c r="BH4626" s="0">
        <v>71</v>
      </c>
      <c r="BI4626" s="0">
        <v>71</v>
      </c>
      <c r="BJ4626" s="0" t="s">
        <v>135</v>
      </c>
    </row>
    <row r="4627">
      <c r="A4627" s="0" t="s">
        <v>4891</v>
      </c>
      <c r="B4627" s="0" t="s">
        <v>5</v>
      </c>
      <c r="C4627" s="0" t="s">
        <v>652</v>
      </c>
      <c r="D4627" s="0" t="s">
        <v>135</v>
      </c>
      <c r="E4627" s="0" t="s">
        <v>3</v>
      </c>
      <c r="F4627" s="0" t="s">
        <v>12</v>
      </c>
      <c r="G4627" s="0" t="s">
        <v>8</v>
      </c>
      <c r="H4627" s="0">
        <v>-3</v>
      </c>
      <c r="I4627" s="0">
        <v>0</v>
      </c>
      <c r="J4627" s="0">
        <v>0</v>
      </c>
      <c r="K4627" s="0">
        <v>0</v>
      </c>
      <c r="L4627" s="0">
        <v>0</v>
      </c>
      <c r="M4627" s="0">
        <v>0</v>
      </c>
      <c r="N4627" s="0">
        <v>0</v>
      </c>
      <c r="O4627" s="0">
        <v>0</v>
      </c>
      <c r="P4627" s="0">
        <v>0</v>
      </c>
      <c r="R4627" s="0" t="b">
        <v>0</v>
      </c>
      <c r="S4627" s="0" t="b">
        <v>0</v>
      </c>
      <c r="T4627" s="68">
        <v>46057.0561805556</v>
      </c>
      <c r="U4627" s="68">
        <v>0</v>
      </c>
      <c r="V4627" s="68">
        <v>46096.1668171296</v>
      </c>
      <c r="W4627" s="0">
        <f>IF(IF(B4627="none",1,IF(B4627="Trialer",1,0))+IF(C4627="Customer",1,IF(C4627="Lost",1,0))=2,1,0)</f>
      </c>
      <c r="X4627" s="0" t="s">
        <v>148</v>
      </c>
      <c r="Y4627" s="0" t="s">
        <v>243</v>
      </c>
      <c r="AV4627" s="68"/>
      <c r="AW4627" s="68"/>
      <c r="AY4627" s="27"/>
      <c r="BD4627" s="68">
        <v>46054.1666666667</v>
      </c>
      <c r="BE4627" s="68">
        <v>46082.1666666667</v>
      </c>
      <c r="BF4627" s="0" t="b">
        <v>0</v>
      </c>
      <c r="BG4627" s="0" t="b">
        <v>0</v>
      </c>
      <c r="BH4627" s="0">
        <v>59</v>
      </c>
      <c r="BI4627" s="0">
        <v>59</v>
      </c>
      <c r="BJ4627" s="0" t="s">
        <v>135</v>
      </c>
    </row>
    <row r="4628">
      <c r="A4628" s="0" t="s">
        <v>4892</v>
      </c>
      <c r="B4628" s="0" t="s">
        <v>5</v>
      </c>
      <c r="C4628" s="0" t="s">
        <v>652</v>
      </c>
      <c r="D4628" s="0" t="s">
        <v>135</v>
      </c>
      <c r="E4628" s="0" t="s">
        <v>3</v>
      </c>
      <c r="F4628" s="0" t="s">
        <v>12</v>
      </c>
      <c r="G4628" s="0" t="s">
        <v>8</v>
      </c>
      <c r="H4628" s="0">
        <v>-3</v>
      </c>
      <c r="I4628" s="0">
        <v>0</v>
      </c>
      <c r="J4628" s="0">
        <v>0</v>
      </c>
      <c r="K4628" s="0">
        <v>0</v>
      </c>
      <c r="L4628" s="0">
        <v>0</v>
      </c>
      <c r="M4628" s="0">
        <v>0</v>
      </c>
      <c r="N4628" s="0">
        <v>0</v>
      </c>
      <c r="O4628" s="0">
        <v>0</v>
      </c>
      <c r="P4628" s="0">
        <v>0</v>
      </c>
      <c r="R4628" s="0" t="b">
        <v>0</v>
      </c>
      <c r="S4628" s="0" t="b">
        <v>0</v>
      </c>
      <c r="T4628" s="68">
        <v>46057.3180092593</v>
      </c>
      <c r="U4628" s="68">
        <v>0</v>
      </c>
      <c r="V4628" s="68">
        <v>46097.166712963</v>
      </c>
      <c r="W4628" s="0">
        <f>IF(IF(B4628="none",1,IF(B4628="Trialer",1,0))+IF(C4628="Customer",1,IF(C4628="Lost",1,0))=2,1,0)</f>
      </c>
      <c r="X4628" s="0" t="s">
        <v>145</v>
      </c>
      <c r="Y4628" s="0" t="s">
        <v>243</v>
      </c>
      <c r="AV4628" s="68"/>
      <c r="AW4628" s="68"/>
      <c r="AY4628" s="27"/>
      <c r="BD4628" s="68">
        <v>46054.1666666667</v>
      </c>
      <c r="BE4628" s="68">
        <v>46082.1666666667</v>
      </c>
      <c r="BF4628" s="0" t="b">
        <v>0</v>
      </c>
      <c r="BG4628" s="0" t="b">
        <v>0</v>
      </c>
      <c r="BH4628" s="0">
        <v>71</v>
      </c>
      <c r="BI4628" s="0">
        <v>71</v>
      </c>
      <c r="BJ4628" s="0" t="s">
        <v>135</v>
      </c>
    </row>
    <row r="4629">
      <c r="A4629" s="0" t="s">
        <v>4893</v>
      </c>
      <c r="B4629" s="0" t="s">
        <v>5</v>
      </c>
      <c r="C4629" s="0" t="s">
        <v>134</v>
      </c>
      <c r="D4629" s="0" t="s">
        <v>135</v>
      </c>
      <c r="E4629" s="0" t="s">
        <v>3</v>
      </c>
      <c r="F4629" s="0" t="s">
        <v>12</v>
      </c>
      <c r="G4629" s="0" t="s">
        <v>8</v>
      </c>
      <c r="H4629" s="0">
        <v>-3</v>
      </c>
      <c r="I4629" s="0">
        <v>40</v>
      </c>
      <c r="J4629" s="0">
        <v>0</v>
      </c>
      <c r="K4629" s="0">
        <v>1</v>
      </c>
      <c r="L4629" s="0">
        <v>1</v>
      </c>
      <c r="M4629" s="0">
        <v>0</v>
      </c>
      <c r="N4629" s="0">
        <v>0</v>
      </c>
      <c r="O4629" s="0">
        <v>0</v>
      </c>
      <c r="P4629" s="0">
        <v>0</v>
      </c>
      <c r="R4629" s="0" t="b">
        <v>0</v>
      </c>
      <c r="S4629" s="0" t="b">
        <v>1</v>
      </c>
      <c r="T4629" s="68">
        <v>46057.4038078704</v>
      </c>
      <c r="U4629" s="68">
        <v>46057.2916666667</v>
      </c>
      <c r="V4629" s="68">
        <v>0</v>
      </c>
      <c r="W4629" s="0">
        <f>IF(IF(B4629="none",1,IF(B4629="Trialer",1,0))+IF(C4629="Customer",1,IF(C4629="Lost",1,0))=2,1,0)</f>
      </c>
      <c r="X4629" s="0" t="s">
        <v>136</v>
      </c>
      <c r="Y4629" s="0" t="s">
        <v>243</v>
      </c>
      <c r="AV4629" s="68"/>
      <c r="AW4629" s="68"/>
      <c r="AY4629" s="27"/>
      <c r="BD4629" s="68">
        <v>46054.1666666667</v>
      </c>
      <c r="BE4629" s="68">
        <v>46082.1666666667</v>
      </c>
      <c r="BF4629" s="0" t="b">
        <v>0</v>
      </c>
      <c r="BG4629" s="0" t="b">
        <v>0</v>
      </c>
      <c r="BH4629" s="0">
        <v>40</v>
      </c>
      <c r="BI4629" s="0">
        <v>40</v>
      </c>
      <c r="BJ4629" s="0" t="s">
        <v>135</v>
      </c>
    </row>
    <row r="4630">
      <c r="A4630" s="0" t="s">
        <v>4894</v>
      </c>
      <c r="B4630" s="0" t="s">
        <v>5</v>
      </c>
      <c r="C4630" s="0" t="s">
        <v>134</v>
      </c>
      <c r="D4630" s="0" t="s">
        <v>135</v>
      </c>
      <c r="E4630" s="0" t="s">
        <v>2</v>
      </c>
      <c r="F4630" s="0" t="s">
        <v>10</v>
      </c>
      <c r="G4630" s="0" t="s">
        <v>8</v>
      </c>
      <c r="H4630" s="0">
        <v>-3</v>
      </c>
      <c r="I4630" s="0">
        <v>40</v>
      </c>
      <c r="J4630" s="0">
        <v>0</v>
      </c>
      <c r="K4630" s="0">
        <v>1</v>
      </c>
      <c r="L4630" s="0">
        <v>1</v>
      </c>
      <c r="M4630" s="0">
        <v>0</v>
      </c>
      <c r="N4630" s="0">
        <v>0</v>
      </c>
      <c r="O4630" s="0">
        <v>0</v>
      </c>
      <c r="P4630" s="0">
        <v>0</v>
      </c>
      <c r="Q4630" s="0" t="s">
        <v>357</v>
      </c>
      <c r="R4630" s="0" t="b">
        <v>0</v>
      </c>
      <c r="S4630" s="0" t="b">
        <v>1</v>
      </c>
      <c r="T4630" s="68">
        <v>46057.4307638889</v>
      </c>
      <c r="U4630" s="68">
        <v>46057.2916666667</v>
      </c>
      <c r="V4630" s="68">
        <v>0</v>
      </c>
      <c r="W4630" s="0">
        <f>IF(IF(B4630="none",1,IF(B4630="Trialer",1,0))+IF(C4630="Customer",1,IF(C4630="Lost",1,0))=2,1,0)</f>
      </c>
      <c r="X4630" s="0" t="s">
        <v>148</v>
      </c>
      <c r="Y4630" s="0" t="s">
        <v>499</v>
      </c>
      <c r="AV4630" s="68"/>
      <c r="AW4630" s="68"/>
      <c r="AY4630" s="27"/>
      <c r="BD4630" s="68">
        <v>46054.1666666667</v>
      </c>
      <c r="BE4630" s="68">
        <v>46082.1666666667</v>
      </c>
      <c r="BF4630" s="0" t="b">
        <v>0</v>
      </c>
      <c r="BG4630" s="0" t="b">
        <v>0</v>
      </c>
      <c r="BH4630" s="0">
        <v>40</v>
      </c>
      <c r="BI4630" s="0">
        <v>40</v>
      </c>
      <c r="BJ4630" s="0" t="s">
        <v>135</v>
      </c>
    </row>
    <row r="4631">
      <c r="A4631" s="0" t="s">
        <v>4895</v>
      </c>
      <c r="B4631" s="0" t="s">
        <v>5</v>
      </c>
      <c r="C4631" s="0" t="s">
        <v>134</v>
      </c>
      <c r="D4631" s="0" t="s">
        <v>135</v>
      </c>
      <c r="E4631" s="0" t="s">
        <v>2</v>
      </c>
      <c r="F4631" s="0" t="s">
        <v>12</v>
      </c>
      <c r="G4631" s="0" t="s">
        <v>8</v>
      </c>
      <c r="H4631" s="0">
        <v>-3</v>
      </c>
      <c r="I4631" s="0">
        <v>219</v>
      </c>
      <c r="J4631" s="0">
        <v>0</v>
      </c>
      <c r="K4631" s="0">
        <v>1</v>
      </c>
      <c r="L4631" s="0">
        <v>4</v>
      </c>
      <c r="M4631" s="0">
        <v>3</v>
      </c>
      <c r="N4631" s="0">
        <v>0</v>
      </c>
      <c r="O4631" s="0">
        <v>0</v>
      </c>
      <c r="P4631" s="0">
        <v>0</v>
      </c>
      <c r="R4631" s="0" t="b">
        <v>0</v>
      </c>
      <c r="S4631" s="0" t="b">
        <v>1</v>
      </c>
      <c r="T4631" s="68">
        <v>46057.4604861111</v>
      </c>
      <c r="U4631" s="68">
        <v>46071.2916666667</v>
      </c>
      <c r="V4631" s="68">
        <v>0</v>
      </c>
      <c r="W4631" s="0">
        <f>IF(IF(B4631="none",1,IF(B4631="Trialer",1,0))+IF(C4631="Customer",1,IF(C4631="Lost",1,0))=2,1,0)</f>
      </c>
      <c r="X4631" s="0" t="s">
        <v>1461</v>
      </c>
      <c r="Y4631" s="0" t="s">
        <v>499</v>
      </c>
      <c r="AV4631" s="68"/>
      <c r="AW4631" s="68"/>
      <c r="AY4631" s="27"/>
      <c r="BD4631" s="68">
        <v>46054.1666666667</v>
      </c>
      <c r="BE4631" s="68">
        <v>46082.1666666667</v>
      </c>
      <c r="BF4631" s="0" t="b">
        <v>0</v>
      </c>
      <c r="BG4631" s="0" t="b">
        <v>0</v>
      </c>
      <c r="BH4631" s="0">
        <v>219</v>
      </c>
      <c r="BI4631" s="0">
        <v>219</v>
      </c>
      <c r="BJ4631" s="0" t="s">
        <v>135</v>
      </c>
    </row>
    <row r="4632">
      <c r="A4632" s="0" t="s">
        <v>4896</v>
      </c>
      <c r="B4632" s="0" t="s">
        <v>5</v>
      </c>
      <c r="C4632" s="0" t="s">
        <v>652</v>
      </c>
      <c r="D4632" s="0" t="s">
        <v>135</v>
      </c>
      <c r="E4632" s="0" t="s">
        <v>3</v>
      </c>
      <c r="F4632" s="0" t="s">
        <v>12</v>
      </c>
      <c r="G4632" s="0" t="s">
        <v>8</v>
      </c>
      <c r="H4632" s="0">
        <v>-3</v>
      </c>
      <c r="I4632" s="0">
        <v>0</v>
      </c>
      <c r="J4632" s="0">
        <v>0</v>
      </c>
      <c r="K4632" s="0">
        <v>0</v>
      </c>
      <c r="L4632" s="0">
        <v>0</v>
      </c>
      <c r="M4632" s="0">
        <v>0</v>
      </c>
      <c r="N4632" s="0">
        <v>0</v>
      </c>
      <c r="O4632" s="0">
        <v>0</v>
      </c>
      <c r="P4632" s="0">
        <v>0</v>
      </c>
      <c r="R4632" s="0" t="b">
        <v>0</v>
      </c>
      <c r="S4632" s="0" t="b">
        <v>0</v>
      </c>
      <c r="T4632" s="68">
        <v>46057.4684722222</v>
      </c>
      <c r="U4632" s="68">
        <v>0</v>
      </c>
      <c r="V4632" s="68">
        <v>46057.4736111111</v>
      </c>
      <c r="W4632" s="0">
        <f>IF(IF(B4632="none",1,IF(B4632="Trialer",1,0))+IF(C4632="Customer",1,IF(C4632="Lost",1,0))=2,1,0)</f>
      </c>
      <c r="X4632" s="0" t="s">
        <v>653</v>
      </c>
      <c r="Y4632" s="0" t="s">
        <v>243</v>
      </c>
      <c r="AV4632" s="68"/>
      <c r="AW4632" s="68"/>
      <c r="AY4632" s="27"/>
      <c r="BD4632" s="68">
        <v>46054.1666666667</v>
      </c>
      <c r="BE4632" s="68">
        <v>46082.1666666667</v>
      </c>
      <c r="BF4632" s="0" t="b">
        <v>1</v>
      </c>
      <c r="BG4632" s="0" t="b">
        <v>1</v>
      </c>
      <c r="BH4632" s="0">
        <v>0</v>
      </c>
      <c r="BI4632" s="0">
        <v>0</v>
      </c>
      <c r="BJ4632" s="0" t="s">
        <v>135</v>
      </c>
    </row>
    <row r="4633">
      <c r="A4633" s="0" t="s">
        <v>4897</v>
      </c>
      <c r="B4633" s="0" t="s">
        <v>5</v>
      </c>
      <c r="C4633" s="0" t="s">
        <v>652</v>
      </c>
      <c r="D4633" s="0" t="s">
        <v>135</v>
      </c>
      <c r="E4633" s="0" t="s">
        <v>3</v>
      </c>
      <c r="F4633" s="0" t="s">
        <v>12</v>
      </c>
      <c r="G4633" s="0" t="s">
        <v>8</v>
      </c>
      <c r="H4633" s="0">
        <v>-3</v>
      </c>
      <c r="I4633" s="0">
        <v>0</v>
      </c>
      <c r="J4633" s="0">
        <v>0</v>
      </c>
      <c r="K4633" s="0">
        <v>0</v>
      </c>
      <c r="L4633" s="0">
        <v>0</v>
      </c>
      <c r="M4633" s="0">
        <v>0</v>
      </c>
      <c r="N4633" s="0">
        <v>0</v>
      </c>
      <c r="O4633" s="0">
        <v>0</v>
      </c>
      <c r="P4633" s="0">
        <v>0</v>
      </c>
      <c r="R4633" s="0" t="b">
        <v>0</v>
      </c>
      <c r="S4633" s="0" t="b">
        <v>0</v>
      </c>
      <c r="T4633" s="68">
        <v>46057.4803125</v>
      </c>
      <c r="U4633" s="68">
        <v>0</v>
      </c>
      <c r="V4633" s="68">
        <v>46077.6217476852</v>
      </c>
      <c r="W4633" s="0">
        <f>IF(IF(B4633="none",1,IF(B4633="Trialer",1,0))+IF(C4633="Customer",1,IF(C4633="Lost",1,0))=2,1,0)</f>
      </c>
      <c r="X4633" s="0" t="s">
        <v>136</v>
      </c>
      <c r="Y4633" s="0" t="s">
        <v>243</v>
      </c>
      <c r="AV4633" s="68"/>
      <c r="AW4633" s="68"/>
      <c r="AY4633" s="27"/>
      <c r="BD4633" s="68">
        <v>46054.1666666667</v>
      </c>
      <c r="BE4633" s="68">
        <v>46082.1666666667</v>
      </c>
      <c r="BF4633" s="0" t="b">
        <v>0</v>
      </c>
      <c r="BG4633" s="0" t="b">
        <v>0</v>
      </c>
      <c r="BH4633" s="0">
        <v>118</v>
      </c>
      <c r="BI4633" s="0">
        <v>118</v>
      </c>
      <c r="BJ4633" s="0" t="s">
        <v>135</v>
      </c>
    </row>
    <row r="4634">
      <c r="A4634" s="0" t="s">
        <v>4898</v>
      </c>
      <c r="B4634" s="0" t="s">
        <v>5</v>
      </c>
      <c r="C4634" s="0" t="s">
        <v>652</v>
      </c>
      <c r="D4634" s="0" t="s">
        <v>135</v>
      </c>
      <c r="E4634" s="0" t="s">
        <v>3</v>
      </c>
      <c r="F4634" s="0" t="s">
        <v>12</v>
      </c>
      <c r="G4634" s="0" t="s">
        <v>8</v>
      </c>
      <c r="H4634" s="0">
        <v>-3</v>
      </c>
      <c r="I4634" s="0">
        <v>0</v>
      </c>
      <c r="J4634" s="0">
        <v>0</v>
      </c>
      <c r="K4634" s="0">
        <v>0</v>
      </c>
      <c r="L4634" s="0">
        <v>0</v>
      </c>
      <c r="M4634" s="0">
        <v>0</v>
      </c>
      <c r="N4634" s="0">
        <v>0</v>
      </c>
      <c r="O4634" s="0">
        <v>0</v>
      </c>
      <c r="P4634" s="0">
        <v>0</v>
      </c>
      <c r="R4634" s="0" t="b">
        <v>0</v>
      </c>
      <c r="S4634" s="0" t="b">
        <v>0</v>
      </c>
      <c r="T4634" s="68">
        <v>46057.480462963</v>
      </c>
      <c r="U4634" s="68">
        <v>0</v>
      </c>
      <c r="V4634" s="68">
        <v>46097.166724537</v>
      </c>
      <c r="W4634" s="0">
        <f>IF(IF(B4634="none",1,IF(B4634="Trialer",1,0))+IF(C4634="Customer",1,IF(C4634="Lost",1,0))=2,1,0)</f>
      </c>
      <c r="X4634" s="0" t="s">
        <v>148</v>
      </c>
      <c r="Y4634" s="0" t="s">
        <v>243</v>
      </c>
      <c r="AV4634" s="68"/>
      <c r="AW4634" s="68"/>
      <c r="AY4634" s="27"/>
      <c r="BD4634" s="68">
        <v>46054.1666666667</v>
      </c>
      <c r="BE4634" s="68">
        <v>46082.1666666667</v>
      </c>
      <c r="BF4634" s="0" t="b">
        <v>0</v>
      </c>
      <c r="BG4634" s="0" t="b">
        <v>0</v>
      </c>
      <c r="BH4634" s="0">
        <v>59</v>
      </c>
      <c r="BI4634" s="0">
        <v>59</v>
      </c>
      <c r="BJ4634" s="0" t="s">
        <v>135</v>
      </c>
    </row>
    <row r="4635">
      <c r="A4635" s="0" t="s">
        <v>4899</v>
      </c>
      <c r="B4635" s="0" t="s">
        <v>5</v>
      </c>
      <c r="C4635" s="0" t="s">
        <v>652</v>
      </c>
      <c r="D4635" s="0" t="s">
        <v>135</v>
      </c>
      <c r="E4635" s="0" t="s">
        <v>3</v>
      </c>
      <c r="F4635" s="0" t="s">
        <v>12</v>
      </c>
      <c r="G4635" s="0" t="s">
        <v>8</v>
      </c>
      <c r="H4635" s="0">
        <v>-3</v>
      </c>
      <c r="I4635" s="0">
        <v>0</v>
      </c>
      <c r="J4635" s="0">
        <v>0</v>
      </c>
      <c r="K4635" s="0">
        <v>0</v>
      </c>
      <c r="L4635" s="0">
        <v>0</v>
      </c>
      <c r="M4635" s="0">
        <v>0</v>
      </c>
      <c r="N4635" s="0">
        <v>0</v>
      </c>
      <c r="O4635" s="0">
        <v>0</v>
      </c>
      <c r="P4635" s="0">
        <v>0</v>
      </c>
      <c r="R4635" s="0" t="b">
        <v>0</v>
      </c>
      <c r="S4635" s="0" t="b">
        <v>0</v>
      </c>
      <c r="T4635" s="68">
        <v>46057.482974537</v>
      </c>
      <c r="U4635" s="68">
        <v>0</v>
      </c>
      <c r="V4635" s="68">
        <v>46080.4142361111</v>
      </c>
      <c r="W4635" s="0">
        <f>IF(IF(B4635="none",1,IF(B4635="Trialer",1,0))+IF(C4635="Customer",1,IF(C4635="Lost",1,0))=2,1,0)</f>
      </c>
      <c r="X4635" s="0" t="s">
        <v>145</v>
      </c>
      <c r="Y4635" s="0" t="s">
        <v>243</v>
      </c>
      <c r="AV4635" s="68"/>
      <c r="AW4635" s="68"/>
      <c r="AY4635" s="27"/>
      <c r="BD4635" s="68">
        <v>46054.1666666667</v>
      </c>
      <c r="BE4635" s="68">
        <v>46082.1666666667</v>
      </c>
      <c r="BF4635" s="0" t="b">
        <v>0</v>
      </c>
      <c r="BG4635" s="0" t="b">
        <v>0</v>
      </c>
      <c r="BH4635" s="0">
        <v>142</v>
      </c>
      <c r="BI4635" s="0">
        <v>142</v>
      </c>
      <c r="BJ4635" s="0" t="s">
        <v>135</v>
      </c>
    </row>
    <row r="4636">
      <c r="A4636" s="0" t="s">
        <v>4900</v>
      </c>
      <c r="B4636" s="0" t="s">
        <v>5</v>
      </c>
      <c r="C4636" s="0" t="s">
        <v>134</v>
      </c>
      <c r="D4636" s="0" t="s">
        <v>230</v>
      </c>
      <c r="E4636" s="0" t="s">
        <v>3</v>
      </c>
      <c r="F4636" s="0" t="s">
        <v>12</v>
      </c>
      <c r="G4636" s="0" t="s">
        <v>8</v>
      </c>
      <c r="H4636" s="0">
        <v>-3</v>
      </c>
      <c r="I4636" s="0">
        <v>199</v>
      </c>
      <c r="J4636" s="0">
        <v>0</v>
      </c>
      <c r="K4636" s="0">
        <v>1</v>
      </c>
      <c r="L4636" s="0">
        <v>4</v>
      </c>
      <c r="M4636" s="0">
        <v>4</v>
      </c>
      <c r="N4636" s="0">
        <v>0</v>
      </c>
      <c r="O4636" s="0">
        <v>0</v>
      </c>
      <c r="P4636" s="0">
        <v>2189</v>
      </c>
      <c r="R4636" s="0" t="b">
        <v>0</v>
      </c>
      <c r="S4636" s="0" t="b">
        <v>1</v>
      </c>
      <c r="T4636" s="68">
        <v>46057.4881944444</v>
      </c>
      <c r="U4636" s="68">
        <v>46057.2916666667</v>
      </c>
      <c r="V4636" s="68">
        <v>0</v>
      </c>
      <c r="W4636" s="0">
        <f>IF(IF(B4636="none",1,IF(B4636="Trialer",1,0))+IF(C4636="Customer",1,IF(C4636="Lost",1,0))=2,1,0)</f>
      </c>
      <c r="X4636" s="0" t="s">
        <v>1461</v>
      </c>
      <c r="Y4636" s="0" t="s">
        <v>243</v>
      </c>
      <c r="AV4636" s="68"/>
      <c r="AW4636" s="68"/>
      <c r="AY4636" s="27"/>
      <c r="BD4636" s="68">
        <v>46054.1666666667</v>
      </c>
      <c r="BE4636" s="68">
        <v>46082.1666666667</v>
      </c>
      <c r="BF4636" s="0" t="b">
        <v>0</v>
      </c>
      <c r="BG4636" s="0" t="b">
        <v>0</v>
      </c>
      <c r="BH4636" s="0">
        <v>205</v>
      </c>
      <c r="BI4636" s="0">
        <v>205</v>
      </c>
      <c r="BJ4636" s="0" t="s">
        <v>230</v>
      </c>
    </row>
    <row r="4637">
      <c r="A4637" s="0" t="s">
        <v>4901</v>
      </c>
      <c r="B4637" s="0" t="s">
        <v>5</v>
      </c>
      <c r="C4637" s="0" t="s">
        <v>652</v>
      </c>
      <c r="D4637" s="0" t="s">
        <v>135</v>
      </c>
      <c r="E4637" s="0" t="s">
        <v>3</v>
      </c>
      <c r="F4637" s="0" t="s">
        <v>12</v>
      </c>
      <c r="G4637" s="0" t="s">
        <v>8</v>
      </c>
      <c r="H4637" s="0">
        <v>-3</v>
      </c>
      <c r="I4637" s="0">
        <v>0</v>
      </c>
      <c r="J4637" s="0">
        <v>0</v>
      </c>
      <c r="K4637" s="0">
        <v>0</v>
      </c>
      <c r="L4637" s="0">
        <v>0</v>
      </c>
      <c r="M4637" s="0">
        <v>0</v>
      </c>
      <c r="N4637" s="0">
        <v>0</v>
      </c>
      <c r="O4637" s="0">
        <v>0</v>
      </c>
      <c r="P4637" s="0">
        <v>0</v>
      </c>
      <c r="R4637" s="0" t="b">
        <v>0</v>
      </c>
      <c r="S4637" s="0" t="b">
        <v>0</v>
      </c>
      <c r="T4637" s="68">
        <v>46057.5073148148</v>
      </c>
      <c r="U4637" s="68">
        <v>0</v>
      </c>
      <c r="V4637" s="68">
        <v>46097.1667361111</v>
      </c>
      <c r="W4637" s="0">
        <f>IF(IF(B4637="none",1,IF(B4637="Trialer",1,0))+IF(C4637="Customer",1,IF(C4637="Lost",1,0))=2,1,0)</f>
      </c>
      <c r="X4637" s="0" t="s">
        <v>136</v>
      </c>
      <c r="Y4637" s="0" t="s">
        <v>243</v>
      </c>
      <c r="AV4637" s="68"/>
      <c r="AW4637" s="68"/>
      <c r="AY4637" s="27"/>
      <c r="BD4637" s="68">
        <v>46054.1666666667</v>
      </c>
      <c r="BE4637" s="68">
        <v>46082.1666666667</v>
      </c>
      <c r="BF4637" s="0" t="b">
        <v>0</v>
      </c>
      <c r="BG4637" s="0" t="b">
        <v>0</v>
      </c>
      <c r="BH4637" s="0">
        <v>59</v>
      </c>
      <c r="BI4637" s="0">
        <v>59</v>
      </c>
      <c r="BJ4637" s="0" t="s">
        <v>135</v>
      </c>
    </row>
    <row r="4638">
      <c r="A4638" s="0" t="s">
        <v>4902</v>
      </c>
      <c r="B4638" s="0" t="s">
        <v>5</v>
      </c>
      <c r="C4638" s="0" t="s">
        <v>652</v>
      </c>
      <c r="D4638" s="0" t="s">
        <v>135</v>
      </c>
      <c r="E4638" s="0" t="s">
        <v>4</v>
      </c>
      <c r="F4638" s="0" t="s">
        <v>10</v>
      </c>
      <c r="G4638" s="0" t="s">
        <v>8</v>
      </c>
      <c r="H4638" s="0">
        <v>-3</v>
      </c>
      <c r="I4638" s="0">
        <v>0</v>
      </c>
      <c r="J4638" s="0">
        <v>0</v>
      </c>
      <c r="K4638" s="0">
        <v>0</v>
      </c>
      <c r="L4638" s="0">
        <v>0</v>
      </c>
      <c r="M4638" s="0">
        <v>0</v>
      </c>
      <c r="N4638" s="0">
        <v>0</v>
      </c>
      <c r="O4638" s="0">
        <v>0</v>
      </c>
      <c r="P4638" s="0">
        <v>0</v>
      </c>
      <c r="Q4638" s="0" t="s">
        <v>4903</v>
      </c>
      <c r="R4638" s="0" t="b">
        <v>0</v>
      </c>
      <c r="S4638" s="0" t="b">
        <v>0</v>
      </c>
      <c r="T4638" s="68">
        <v>46057.5126388889</v>
      </c>
      <c r="U4638" s="68">
        <v>0</v>
      </c>
      <c r="V4638" s="68">
        <v>46097.1668518518</v>
      </c>
      <c r="W4638" s="0">
        <f>IF(IF(B4638="none",1,IF(B4638="Trialer",1,0))+IF(C4638="Customer",1,IF(C4638="Lost",1,0))=2,1,0)</f>
      </c>
      <c r="X4638" s="0" t="s">
        <v>148</v>
      </c>
      <c r="Y4638" s="0" t="s">
        <v>1772</v>
      </c>
      <c r="AV4638" s="68"/>
      <c r="AW4638" s="68"/>
      <c r="AY4638" s="27"/>
      <c r="BD4638" s="68">
        <v>46054.1666666667</v>
      </c>
      <c r="BE4638" s="68">
        <v>46082.1666666667</v>
      </c>
      <c r="BF4638" s="0" t="b">
        <v>0</v>
      </c>
      <c r="BG4638" s="0" t="b">
        <v>0</v>
      </c>
      <c r="BH4638" s="0">
        <v>59</v>
      </c>
      <c r="BI4638" s="0">
        <v>59</v>
      </c>
      <c r="BJ4638" s="0" t="s">
        <v>135</v>
      </c>
    </row>
    <row r="4639">
      <c r="A4639" s="0" t="s">
        <v>4904</v>
      </c>
      <c r="B4639" s="0" t="s">
        <v>5</v>
      </c>
      <c r="C4639" s="0" t="s">
        <v>134</v>
      </c>
      <c r="D4639" s="0" t="s">
        <v>230</v>
      </c>
      <c r="E4639" s="0" t="s">
        <v>3</v>
      </c>
      <c r="F4639" s="0" t="s">
        <v>12</v>
      </c>
      <c r="G4639" s="0" t="s">
        <v>8</v>
      </c>
      <c r="H4639" s="0">
        <v>-3</v>
      </c>
      <c r="I4639" s="0">
        <v>975.8</v>
      </c>
      <c r="J4639" s="0">
        <v>0</v>
      </c>
      <c r="K4639" s="0">
        <v>1</v>
      </c>
      <c r="L4639" s="0">
        <v>6</v>
      </c>
      <c r="M4639" s="0">
        <v>24</v>
      </c>
      <c r="N4639" s="0">
        <v>837</v>
      </c>
      <c r="O4639" s="0">
        <v>0</v>
      </c>
      <c r="P4639" s="0">
        <v>7158.8</v>
      </c>
      <c r="R4639" s="0" t="b">
        <v>0</v>
      </c>
      <c r="S4639" s="0" t="b">
        <v>1</v>
      </c>
      <c r="T4639" s="68">
        <v>46057.5248842593</v>
      </c>
      <c r="U4639" s="68">
        <v>46057.2916666667</v>
      </c>
      <c r="V4639" s="68">
        <v>0</v>
      </c>
      <c r="W4639" s="0">
        <f>IF(IF(B4639="none",1,IF(B4639="Trialer",1,0))+IF(C4639="Customer",1,IF(C4639="Lost",1,0))=2,1,0)</f>
      </c>
      <c r="X4639" s="0" t="s">
        <v>145</v>
      </c>
      <c r="Y4639" s="0" t="s">
        <v>243</v>
      </c>
      <c r="AV4639" s="68"/>
      <c r="AW4639" s="68"/>
      <c r="AY4639" s="27"/>
      <c r="BD4639" s="68">
        <v>46054.1666666667</v>
      </c>
      <c r="BE4639" s="68">
        <v>46082.1666666667</v>
      </c>
      <c r="BF4639" s="0" t="b">
        <v>0</v>
      </c>
      <c r="BG4639" s="0" t="b">
        <v>0</v>
      </c>
      <c r="BH4639" s="0">
        <v>774</v>
      </c>
      <c r="BI4639" s="0">
        <v>774</v>
      </c>
      <c r="BJ4639" s="0" t="s">
        <v>230</v>
      </c>
    </row>
    <row r="4640">
      <c r="A4640" s="0" t="s">
        <v>4905</v>
      </c>
      <c r="B4640" s="0" t="s">
        <v>5</v>
      </c>
      <c r="C4640" s="0" t="s">
        <v>652</v>
      </c>
      <c r="D4640" s="0" t="s">
        <v>135</v>
      </c>
      <c r="E4640" s="0" t="s">
        <v>3</v>
      </c>
      <c r="F4640" s="0" t="s">
        <v>12</v>
      </c>
      <c r="G4640" s="0" t="s">
        <v>8</v>
      </c>
      <c r="H4640" s="0">
        <v>-3</v>
      </c>
      <c r="I4640" s="0">
        <v>0</v>
      </c>
      <c r="J4640" s="0">
        <v>0</v>
      </c>
      <c r="K4640" s="0">
        <v>0</v>
      </c>
      <c r="L4640" s="0">
        <v>0</v>
      </c>
      <c r="M4640" s="0">
        <v>0</v>
      </c>
      <c r="N4640" s="0">
        <v>0</v>
      </c>
      <c r="O4640" s="0">
        <v>0</v>
      </c>
      <c r="P4640" s="0">
        <v>0</v>
      </c>
      <c r="R4640" s="0" t="b">
        <v>0</v>
      </c>
      <c r="S4640" s="0" t="b">
        <v>0</v>
      </c>
      <c r="T4640" s="68">
        <v>46057.5269444444</v>
      </c>
      <c r="U4640" s="68">
        <v>0</v>
      </c>
      <c r="V4640" s="68">
        <v>46097.1667476852</v>
      </c>
      <c r="W4640" s="0">
        <f>IF(IF(B4640="none",1,IF(B4640="Trialer",1,0))+IF(C4640="Customer",1,IF(C4640="Lost",1,0))=2,1,0)</f>
      </c>
      <c r="X4640" s="0" t="s">
        <v>145</v>
      </c>
      <c r="Y4640" s="0" t="s">
        <v>243</v>
      </c>
      <c r="AV4640" s="68"/>
      <c r="AW4640" s="68"/>
      <c r="AY4640" s="27"/>
      <c r="BD4640" s="68">
        <v>46054.1666666667</v>
      </c>
      <c r="BE4640" s="68">
        <v>46082.1666666667</v>
      </c>
      <c r="BF4640" s="0" t="b">
        <v>0</v>
      </c>
      <c r="BG4640" s="0" t="b">
        <v>0</v>
      </c>
      <c r="BH4640" s="0">
        <v>59</v>
      </c>
      <c r="BI4640" s="0">
        <v>59</v>
      </c>
      <c r="BJ4640" s="0" t="s">
        <v>135</v>
      </c>
    </row>
    <row r="4641">
      <c r="A4641" s="0" t="s">
        <v>4906</v>
      </c>
      <c r="B4641" s="0" t="s">
        <v>5</v>
      </c>
      <c r="C4641" s="0" t="s">
        <v>134</v>
      </c>
      <c r="D4641" s="0" t="s">
        <v>135</v>
      </c>
      <c r="E4641" s="0" t="s">
        <v>3</v>
      </c>
      <c r="F4641" s="0" t="s">
        <v>12</v>
      </c>
      <c r="G4641" s="0" t="s">
        <v>8</v>
      </c>
      <c r="H4641" s="0">
        <v>-3</v>
      </c>
      <c r="I4641" s="0">
        <v>83</v>
      </c>
      <c r="J4641" s="0">
        <v>0</v>
      </c>
      <c r="K4641" s="0">
        <v>1</v>
      </c>
      <c r="L4641" s="0">
        <v>5</v>
      </c>
      <c r="M4641" s="0">
        <v>1</v>
      </c>
      <c r="N4641" s="0">
        <v>0</v>
      </c>
      <c r="O4641" s="0">
        <v>0</v>
      </c>
      <c r="P4641" s="0">
        <v>0</v>
      </c>
      <c r="R4641" s="0" t="b">
        <v>0</v>
      </c>
      <c r="S4641" s="0" t="b">
        <v>1</v>
      </c>
      <c r="T4641" s="68">
        <v>46057.5503240741</v>
      </c>
      <c r="U4641" s="68">
        <v>46078.2916666667</v>
      </c>
      <c r="V4641" s="68">
        <v>0</v>
      </c>
      <c r="W4641" s="0">
        <f>IF(IF(B4641="none",1,IF(B4641="Trialer",1,0))+IF(C4641="Customer",1,IF(C4641="Lost",1,0))=2,1,0)</f>
      </c>
      <c r="X4641" s="0" t="s">
        <v>1461</v>
      </c>
      <c r="Y4641" s="0" t="s">
        <v>243</v>
      </c>
      <c r="AV4641" s="68"/>
      <c r="AW4641" s="68"/>
      <c r="AY4641" s="27"/>
      <c r="BD4641" s="68">
        <v>46054.1666666667</v>
      </c>
      <c r="BE4641" s="68">
        <v>46082.1666666667</v>
      </c>
      <c r="BF4641" s="0" t="b">
        <v>0</v>
      </c>
      <c r="BG4641" s="0" t="b">
        <v>0</v>
      </c>
      <c r="BH4641" s="0">
        <v>83</v>
      </c>
      <c r="BI4641" s="0">
        <v>83</v>
      </c>
      <c r="BJ4641" s="0" t="s">
        <v>135</v>
      </c>
    </row>
    <row r="4642">
      <c r="A4642" s="0" t="s">
        <v>4907</v>
      </c>
      <c r="B4642" s="0" t="s">
        <v>5</v>
      </c>
      <c r="C4642" s="0" t="s">
        <v>652</v>
      </c>
      <c r="D4642" s="0" t="s">
        <v>135</v>
      </c>
      <c r="E4642" s="0" t="s">
        <v>3</v>
      </c>
      <c r="F4642" s="0" t="s">
        <v>12</v>
      </c>
      <c r="G4642" s="0" t="s">
        <v>8</v>
      </c>
      <c r="H4642" s="0">
        <v>-3</v>
      </c>
      <c r="I4642" s="0">
        <v>0</v>
      </c>
      <c r="J4642" s="0">
        <v>0</v>
      </c>
      <c r="K4642" s="0">
        <v>0</v>
      </c>
      <c r="L4642" s="0">
        <v>0</v>
      </c>
      <c r="M4642" s="0">
        <v>0</v>
      </c>
      <c r="N4642" s="0">
        <v>0</v>
      </c>
      <c r="O4642" s="0">
        <v>0</v>
      </c>
      <c r="P4642" s="0">
        <v>0</v>
      </c>
      <c r="R4642" s="0" t="b">
        <v>0</v>
      </c>
      <c r="S4642" s="0" t="b">
        <v>0</v>
      </c>
      <c r="T4642" s="68">
        <v>46057.6054861111</v>
      </c>
      <c r="U4642" s="68">
        <v>0</v>
      </c>
      <c r="V4642" s="68">
        <v>46097.1667476852</v>
      </c>
      <c r="W4642" s="0">
        <f>IF(IF(B4642="none",1,IF(B4642="Trialer",1,0))+IF(C4642="Customer",1,IF(C4642="Lost",1,0))=2,1,0)</f>
      </c>
      <c r="X4642" s="0" t="s">
        <v>145</v>
      </c>
      <c r="Y4642" s="0" t="s">
        <v>243</v>
      </c>
      <c r="AV4642" s="68"/>
      <c r="AW4642" s="68"/>
      <c r="AY4642" s="27"/>
      <c r="BD4642" s="68">
        <v>46054.1666666667</v>
      </c>
      <c r="BE4642" s="68">
        <v>46082.1666666667</v>
      </c>
      <c r="BF4642" s="0" t="b">
        <v>0</v>
      </c>
      <c r="BG4642" s="0" t="b">
        <v>0</v>
      </c>
      <c r="BH4642" s="0">
        <v>59</v>
      </c>
      <c r="BI4642" s="0">
        <v>59</v>
      </c>
      <c r="BJ4642" s="0" t="s">
        <v>135</v>
      </c>
    </row>
    <row r="4643">
      <c r="A4643" s="0" t="s">
        <v>4908</v>
      </c>
      <c r="B4643" s="0" t="s">
        <v>5</v>
      </c>
      <c r="C4643" s="0" t="s">
        <v>652</v>
      </c>
      <c r="D4643" s="0" t="s">
        <v>135</v>
      </c>
      <c r="E4643" s="0" t="s">
        <v>3</v>
      </c>
      <c r="F4643" s="0" t="s">
        <v>12</v>
      </c>
      <c r="G4643" s="0" t="s">
        <v>8</v>
      </c>
      <c r="H4643" s="0">
        <v>-3</v>
      </c>
      <c r="I4643" s="0">
        <v>0</v>
      </c>
      <c r="J4643" s="0">
        <v>0</v>
      </c>
      <c r="K4643" s="0">
        <v>0</v>
      </c>
      <c r="L4643" s="0">
        <v>0</v>
      </c>
      <c r="M4643" s="0">
        <v>0</v>
      </c>
      <c r="N4643" s="0">
        <v>0</v>
      </c>
      <c r="O4643" s="0">
        <v>0</v>
      </c>
      <c r="P4643" s="0">
        <v>0</v>
      </c>
      <c r="R4643" s="0" t="b">
        <v>0</v>
      </c>
      <c r="S4643" s="0" t="b">
        <v>0</v>
      </c>
      <c r="T4643" s="68">
        <v>46057.6206481481</v>
      </c>
      <c r="U4643" s="68">
        <v>0</v>
      </c>
      <c r="V4643" s="68">
        <v>46057.6335416667</v>
      </c>
      <c r="W4643" s="0">
        <f>IF(IF(B4643="none",1,IF(B4643="Trialer",1,0))+IF(C4643="Customer",1,IF(C4643="Lost",1,0))=2,1,0)</f>
      </c>
      <c r="X4643" s="0" t="s">
        <v>136</v>
      </c>
      <c r="Y4643" s="0" t="s">
        <v>243</v>
      </c>
      <c r="AV4643" s="68"/>
      <c r="AW4643" s="68"/>
      <c r="AY4643" s="27"/>
      <c r="BD4643" s="68">
        <v>46054.1666666667</v>
      </c>
      <c r="BE4643" s="68">
        <v>46082.1666666667</v>
      </c>
      <c r="BF4643" s="0" t="b">
        <v>0</v>
      </c>
      <c r="BG4643" s="0" t="b">
        <v>0</v>
      </c>
      <c r="BH4643" s="0">
        <v>0</v>
      </c>
      <c r="BI4643" s="0">
        <v>0</v>
      </c>
      <c r="BJ4643" s="0" t="s">
        <v>135</v>
      </c>
    </row>
    <row r="4644">
      <c r="A4644" s="0" t="s">
        <v>4909</v>
      </c>
      <c r="B4644" s="0" t="s">
        <v>5</v>
      </c>
      <c r="C4644" s="0" t="s">
        <v>652</v>
      </c>
      <c r="D4644" s="0" t="s">
        <v>135</v>
      </c>
      <c r="E4644" s="0" t="s">
        <v>3</v>
      </c>
      <c r="F4644" s="0" t="s">
        <v>12</v>
      </c>
      <c r="G4644" s="0" t="s">
        <v>8</v>
      </c>
      <c r="H4644" s="0">
        <v>-3</v>
      </c>
      <c r="I4644" s="0">
        <v>0</v>
      </c>
      <c r="J4644" s="0">
        <v>0</v>
      </c>
      <c r="K4644" s="0">
        <v>0</v>
      </c>
      <c r="L4644" s="0">
        <v>0</v>
      </c>
      <c r="M4644" s="0">
        <v>0</v>
      </c>
      <c r="N4644" s="0">
        <v>0</v>
      </c>
      <c r="O4644" s="0">
        <v>0</v>
      </c>
      <c r="P4644" s="0">
        <v>0</v>
      </c>
      <c r="R4644" s="0" t="b">
        <v>0</v>
      </c>
      <c r="S4644" s="0" t="b">
        <v>0</v>
      </c>
      <c r="T4644" s="68">
        <v>46057.6753472222</v>
      </c>
      <c r="U4644" s="68">
        <v>0</v>
      </c>
      <c r="V4644" s="68">
        <v>46097.1667708333</v>
      </c>
      <c r="W4644" s="0">
        <f>IF(IF(B4644="none",1,IF(B4644="Trialer",1,0))+IF(C4644="Customer",1,IF(C4644="Lost",1,0))=2,1,0)</f>
      </c>
      <c r="X4644" s="0" t="s">
        <v>148</v>
      </c>
      <c r="Y4644" s="0" t="s">
        <v>243</v>
      </c>
      <c r="AV4644" s="68"/>
      <c r="AW4644" s="68"/>
      <c r="AY4644" s="27"/>
      <c r="BD4644" s="68">
        <v>46054.1666666667</v>
      </c>
      <c r="BE4644" s="68">
        <v>46082.1666666667</v>
      </c>
      <c r="BF4644" s="0" t="b">
        <v>0</v>
      </c>
      <c r="BG4644" s="0" t="b">
        <v>0</v>
      </c>
      <c r="BH4644" s="0">
        <v>85</v>
      </c>
      <c r="BI4644" s="0">
        <v>85</v>
      </c>
      <c r="BJ4644" s="0" t="s">
        <v>135</v>
      </c>
    </row>
    <row r="4645">
      <c r="A4645" s="0" t="s">
        <v>4910</v>
      </c>
      <c r="B4645" s="0" t="s">
        <v>5</v>
      </c>
      <c r="C4645" s="0" t="s">
        <v>652</v>
      </c>
      <c r="D4645" s="0" t="s">
        <v>135</v>
      </c>
      <c r="E4645" s="0" t="s">
        <v>4</v>
      </c>
      <c r="F4645" s="0" t="s">
        <v>12</v>
      </c>
      <c r="G4645" s="0" t="s">
        <v>8</v>
      </c>
      <c r="H4645" s="0">
        <v>-3</v>
      </c>
      <c r="I4645" s="0">
        <v>0</v>
      </c>
      <c r="J4645" s="0">
        <v>0</v>
      </c>
      <c r="K4645" s="0">
        <v>0</v>
      </c>
      <c r="L4645" s="0">
        <v>0</v>
      </c>
      <c r="M4645" s="0">
        <v>0</v>
      </c>
      <c r="N4645" s="0">
        <v>0</v>
      </c>
      <c r="O4645" s="0">
        <v>0</v>
      </c>
      <c r="P4645" s="0">
        <v>0</v>
      </c>
      <c r="R4645" s="0" t="b">
        <v>0</v>
      </c>
      <c r="S4645" s="0" t="b">
        <v>0</v>
      </c>
      <c r="T4645" s="68">
        <v>46057.6824768518</v>
      </c>
      <c r="U4645" s="68">
        <v>0</v>
      </c>
      <c r="V4645" s="68">
        <v>46097.1668171296</v>
      </c>
      <c r="W4645" s="0">
        <f>IF(IF(B4645="none",1,IF(B4645="Trialer",1,0))+IF(C4645="Customer",1,IF(C4645="Lost",1,0))=2,1,0)</f>
      </c>
      <c r="X4645" s="0" t="s">
        <v>145</v>
      </c>
      <c r="Y4645" s="0" t="s">
        <v>1772</v>
      </c>
      <c r="AV4645" s="68"/>
      <c r="AW4645" s="68"/>
      <c r="AY4645" s="27"/>
      <c r="BD4645" s="68">
        <v>46054.1666666667</v>
      </c>
      <c r="BE4645" s="68">
        <v>46082.1666666667</v>
      </c>
      <c r="BF4645" s="0" t="b">
        <v>0</v>
      </c>
      <c r="BG4645" s="0" t="b">
        <v>0</v>
      </c>
      <c r="BH4645" s="0">
        <v>59</v>
      </c>
      <c r="BI4645" s="0">
        <v>59</v>
      </c>
      <c r="BJ4645" s="0" t="s">
        <v>135</v>
      </c>
    </row>
    <row r="4646">
      <c r="A4646" s="0" t="s">
        <v>4911</v>
      </c>
      <c r="B4646" s="0" t="s">
        <v>5</v>
      </c>
      <c r="C4646" s="0" t="s">
        <v>652</v>
      </c>
      <c r="D4646" s="0" t="s">
        <v>135</v>
      </c>
      <c r="E4646" s="0" t="s">
        <v>3</v>
      </c>
      <c r="F4646" s="0" t="s">
        <v>12</v>
      </c>
      <c r="G4646" s="0" t="s">
        <v>8</v>
      </c>
      <c r="H4646" s="0">
        <v>-3</v>
      </c>
      <c r="I4646" s="0">
        <v>0</v>
      </c>
      <c r="J4646" s="0">
        <v>0</v>
      </c>
      <c r="K4646" s="0">
        <v>0</v>
      </c>
      <c r="L4646" s="0">
        <v>0</v>
      </c>
      <c r="M4646" s="0">
        <v>0</v>
      </c>
      <c r="N4646" s="0">
        <v>0</v>
      </c>
      <c r="O4646" s="0">
        <v>0</v>
      </c>
      <c r="P4646" s="0">
        <v>0</v>
      </c>
      <c r="R4646" s="0" t="b">
        <v>0</v>
      </c>
      <c r="S4646" s="0" t="b">
        <v>0</v>
      </c>
      <c r="T4646" s="68">
        <v>46057.6891319444</v>
      </c>
      <c r="U4646" s="68">
        <v>0</v>
      </c>
      <c r="V4646" s="68">
        <v>46097.1668171296</v>
      </c>
      <c r="W4646" s="0">
        <f>IF(IF(B4646="none",1,IF(B4646="Trialer",1,0))+IF(C4646="Customer",1,IF(C4646="Lost",1,0))=2,1,0)</f>
      </c>
      <c r="X4646" s="0" t="s">
        <v>136</v>
      </c>
      <c r="Y4646" s="0" t="s">
        <v>243</v>
      </c>
      <c r="AV4646" s="68"/>
      <c r="AW4646" s="68"/>
      <c r="AY4646" s="27"/>
      <c r="BD4646" s="68">
        <v>46054.1666666667</v>
      </c>
      <c r="BE4646" s="68">
        <v>46082.1666666667</v>
      </c>
      <c r="BF4646" s="0" t="b">
        <v>0</v>
      </c>
      <c r="BG4646" s="0" t="b">
        <v>0</v>
      </c>
      <c r="BH4646" s="0">
        <v>59</v>
      </c>
      <c r="BI4646" s="0">
        <v>59</v>
      </c>
      <c r="BJ4646" s="0" t="s">
        <v>135</v>
      </c>
    </row>
    <row r="4647">
      <c r="A4647" s="0" t="s">
        <v>4912</v>
      </c>
      <c r="B4647" s="0" t="s">
        <v>5</v>
      </c>
      <c r="C4647" s="0" t="s">
        <v>652</v>
      </c>
      <c r="D4647" s="0" t="s">
        <v>135</v>
      </c>
      <c r="E4647" s="0" t="s">
        <v>3</v>
      </c>
      <c r="F4647" s="0" t="s">
        <v>12</v>
      </c>
      <c r="G4647" s="0" t="s">
        <v>8</v>
      </c>
      <c r="H4647" s="0">
        <v>-3</v>
      </c>
      <c r="I4647" s="0">
        <v>0</v>
      </c>
      <c r="J4647" s="0">
        <v>0</v>
      </c>
      <c r="K4647" s="0">
        <v>0</v>
      </c>
      <c r="L4647" s="0">
        <v>0</v>
      </c>
      <c r="M4647" s="0">
        <v>0</v>
      </c>
      <c r="N4647" s="0">
        <v>0</v>
      </c>
      <c r="O4647" s="0">
        <v>0</v>
      </c>
      <c r="P4647" s="0">
        <v>0</v>
      </c>
      <c r="R4647" s="0" t="b">
        <v>0</v>
      </c>
      <c r="S4647" s="0" t="b">
        <v>0</v>
      </c>
      <c r="T4647" s="68">
        <v>46057.7006712963</v>
      </c>
      <c r="U4647" s="68">
        <v>0</v>
      </c>
      <c r="V4647" s="68">
        <v>46057.7054166667</v>
      </c>
      <c r="W4647" s="0">
        <f>IF(IF(B4647="none",1,IF(B4647="Trialer",1,0))+IF(C4647="Customer",1,IF(C4647="Lost",1,0))=2,1,0)</f>
      </c>
      <c r="X4647" s="0" t="s">
        <v>148</v>
      </c>
      <c r="Y4647" s="0" t="s">
        <v>243</v>
      </c>
      <c r="AV4647" s="68"/>
      <c r="AW4647" s="68"/>
      <c r="AY4647" s="27"/>
      <c r="BD4647" s="68">
        <v>46054.1666666667</v>
      </c>
      <c r="BE4647" s="68">
        <v>46082.1666666667</v>
      </c>
      <c r="BF4647" s="0" t="b">
        <v>0</v>
      </c>
      <c r="BG4647" s="0" t="b">
        <v>0</v>
      </c>
      <c r="BH4647" s="0">
        <v>0</v>
      </c>
      <c r="BI4647" s="0">
        <v>0</v>
      </c>
      <c r="BJ4647" s="0" t="s">
        <v>135</v>
      </c>
    </row>
    <row r="4648">
      <c r="A4648" s="0" t="s">
        <v>4913</v>
      </c>
      <c r="B4648" s="0" t="s">
        <v>5</v>
      </c>
      <c r="C4648" s="0" t="s">
        <v>652</v>
      </c>
      <c r="D4648" s="0" t="s">
        <v>135</v>
      </c>
      <c r="E4648" s="0" t="s">
        <v>2414</v>
      </c>
      <c r="F4648" s="0" t="s">
        <v>12</v>
      </c>
      <c r="G4648" s="0" t="s">
        <v>8</v>
      </c>
      <c r="H4648" s="0">
        <v>-3</v>
      </c>
      <c r="I4648" s="0">
        <v>0</v>
      </c>
      <c r="J4648" s="0">
        <v>0</v>
      </c>
      <c r="K4648" s="0">
        <v>0</v>
      </c>
      <c r="L4648" s="0">
        <v>0</v>
      </c>
      <c r="M4648" s="0">
        <v>0</v>
      </c>
      <c r="N4648" s="0">
        <v>0</v>
      </c>
      <c r="O4648" s="0">
        <v>0</v>
      </c>
      <c r="P4648" s="0">
        <v>0</v>
      </c>
      <c r="R4648" s="0" t="b">
        <v>0</v>
      </c>
      <c r="S4648" s="0" t="b">
        <v>0</v>
      </c>
      <c r="T4648" s="68">
        <v>46057.7296527778</v>
      </c>
      <c r="U4648" s="68">
        <v>0</v>
      </c>
      <c r="V4648" s="68">
        <v>46071.6960069444</v>
      </c>
      <c r="W4648" s="0">
        <f>IF(IF(B4648="none",1,IF(B4648="Trialer",1,0))+IF(C4648="Customer",1,IF(C4648="Lost",1,0))=2,1,0)</f>
      </c>
      <c r="X4648" s="0" t="s">
        <v>145</v>
      </c>
      <c r="Y4648" s="0" t="s">
        <v>1516</v>
      </c>
      <c r="AV4648" s="68"/>
      <c r="AW4648" s="68"/>
      <c r="AY4648" s="27"/>
      <c r="BD4648" s="68">
        <v>46054.1666666667</v>
      </c>
      <c r="BE4648" s="68">
        <v>46082.1666666667</v>
      </c>
      <c r="BF4648" s="0" t="b">
        <v>0</v>
      </c>
      <c r="BG4648" s="0" t="b">
        <v>0</v>
      </c>
      <c r="BH4648" s="0">
        <v>59</v>
      </c>
      <c r="BI4648" s="0">
        <v>59</v>
      </c>
      <c r="BJ4648" s="0" t="s">
        <v>135</v>
      </c>
    </row>
    <row r="4649">
      <c r="A4649" s="0" t="s">
        <v>4914</v>
      </c>
      <c r="B4649" s="0" t="s">
        <v>5</v>
      </c>
      <c r="C4649" s="0" t="s">
        <v>134</v>
      </c>
      <c r="D4649" s="0" t="s">
        <v>135</v>
      </c>
      <c r="E4649" s="0" t="s">
        <v>3</v>
      </c>
      <c r="F4649" s="0" t="s">
        <v>12</v>
      </c>
      <c r="G4649" s="0" t="s">
        <v>8</v>
      </c>
      <c r="H4649" s="0">
        <v>-3</v>
      </c>
      <c r="I4649" s="0">
        <v>49</v>
      </c>
      <c r="J4649" s="0">
        <v>0</v>
      </c>
      <c r="K4649" s="0">
        <v>1</v>
      </c>
      <c r="L4649" s="0">
        <v>2</v>
      </c>
      <c r="M4649" s="0">
        <v>1</v>
      </c>
      <c r="N4649" s="0">
        <v>0</v>
      </c>
      <c r="O4649" s="0">
        <v>0</v>
      </c>
      <c r="P4649" s="0">
        <v>0</v>
      </c>
      <c r="R4649" s="0" t="b">
        <v>0</v>
      </c>
      <c r="S4649" s="0" t="b">
        <v>1</v>
      </c>
      <c r="T4649" s="68">
        <v>46057.8147916667</v>
      </c>
      <c r="U4649" s="68">
        <v>46071.2916666667</v>
      </c>
      <c r="V4649" s="68">
        <v>0</v>
      </c>
      <c r="W4649" s="0">
        <f>IF(IF(B4649="none",1,IF(B4649="Trialer",1,0))+IF(C4649="Customer",1,IF(C4649="Lost",1,0))=2,1,0)</f>
      </c>
      <c r="X4649" s="0" t="s">
        <v>1461</v>
      </c>
      <c r="Y4649" s="0" t="s">
        <v>243</v>
      </c>
      <c r="AV4649" s="68"/>
      <c r="AW4649" s="68"/>
      <c r="AY4649" s="27"/>
      <c r="BD4649" s="68">
        <v>46054.1666666667</v>
      </c>
      <c r="BE4649" s="68">
        <v>46082.1666666667</v>
      </c>
      <c r="BF4649" s="0" t="b">
        <v>0</v>
      </c>
      <c r="BG4649" s="0" t="b">
        <v>0</v>
      </c>
      <c r="BH4649" s="0">
        <v>49</v>
      </c>
      <c r="BI4649" s="0">
        <v>49</v>
      </c>
      <c r="BJ4649" s="0" t="s">
        <v>135</v>
      </c>
    </row>
    <row r="4650">
      <c r="A4650" s="0" t="s">
        <v>4915</v>
      </c>
      <c r="B4650" s="0" t="s">
        <v>5</v>
      </c>
      <c r="C4650" s="0" t="s">
        <v>652</v>
      </c>
      <c r="D4650" s="0" t="s">
        <v>135</v>
      </c>
      <c r="E4650" s="0" t="s">
        <v>2414</v>
      </c>
      <c r="F4650" s="0" t="s">
        <v>12</v>
      </c>
      <c r="G4650" s="0" t="s">
        <v>8</v>
      </c>
      <c r="H4650" s="0">
        <v>-3</v>
      </c>
      <c r="I4650" s="0">
        <v>0</v>
      </c>
      <c r="J4650" s="0">
        <v>0</v>
      </c>
      <c r="K4650" s="0">
        <v>0</v>
      </c>
      <c r="L4650" s="0">
        <v>0</v>
      </c>
      <c r="M4650" s="0">
        <v>0</v>
      </c>
      <c r="N4650" s="0">
        <v>0</v>
      </c>
      <c r="O4650" s="0">
        <v>0</v>
      </c>
      <c r="P4650" s="0">
        <v>0</v>
      </c>
      <c r="R4650" s="0" t="b">
        <v>0</v>
      </c>
      <c r="S4650" s="0" t="b">
        <v>0</v>
      </c>
      <c r="T4650" s="68">
        <v>46057.8281365741</v>
      </c>
      <c r="U4650" s="68">
        <v>0</v>
      </c>
      <c r="V4650" s="68">
        <v>46097.1668287037</v>
      </c>
      <c r="W4650" s="0">
        <f>IF(IF(B4650="none",1,IF(B4650="Trialer",1,0))+IF(C4650="Customer",1,IF(C4650="Lost",1,0))=2,1,0)</f>
      </c>
      <c r="X4650" s="0" t="s">
        <v>148</v>
      </c>
      <c r="Y4650" s="0" t="s">
        <v>1516</v>
      </c>
      <c r="AV4650" s="68"/>
      <c r="AW4650" s="68"/>
      <c r="AY4650" s="27"/>
      <c r="BD4650" s="68">
        <v>46054.1666666667</v>
      </c>
      <c r="BE4650" s="68">
        <v>46082.1666666667</v>
      </c>
      <c r="BF4650" s="0" t="b">
        <v>0</v>
      </c>
      <c r="BG4650" s="0" t="b">
        <v>0</v>
      </c>
      <c r="BH4650" s="0">
        <v>59</v>
      </c>
      <c r="BI4650" s="0">
        <v>59</v>
      </c>
      <c r="BJ4650" s="0" t="s">
        <v>135</v>
      </c>
    </row>
    <row r="4651">
      <c r="A4651" s="0" t="s">
        <v>4916</v>
      </c>
      <c r="B4651" s="0" t="s">
        <v>5</v>
      </c>
      <c r="C4651" s="0" t="s">
        <v>652</v>
      </c>
      <c r="D4651" s="0" t="s">
        <v>135</v>
      </c>
      <c r="E4651" s="0" t="s">
        <v>3</v>
      </c>
      <c r="F4651" s="0" t="s">
        <v>12</v>
      </c>
      <c r="G4651" s="0" t="s">
        <v>8</v>
      </c>
      <c r="H4651" s="0">
        <v>-3</v>
      </c>
      <c r="I4651" s="0">
        <v>0</v>
      </c>
      <c r="J4651" s="0">
        <v>0</v>
      </c>
      <c r="K4651" s="0">
        <v>0</v>
      </c>
      <c r="L4651" s="0">
        <v>0</v>
      </c>
      <c r="M4651" s="0">
        <v>0</v>
      </c>
      <c r="N4651" s="0">
        <v>0</v>
      </c>
      <c r="O4651" s="0">
        <v>0</v>
      </c>
      <c r="P4651" s="0">
        <v>0</v>
      </c>
      <c r="R4651" s="0" t="b">
        <v>0</v>
      </c>
      <c r="S4651" s="0" t="b">
        <v>0</v>
      </c>
      <c r="T4651" s="68">
        <v>46057.8326736111</v>
      </c>
      <c r="U4651" s="68">
        <v>0</v>
      </c>
      <c r="V4651" s="68">
        <v>46097.1668055556</v>
      </c>
      <c r="W4651" s="0">
        <f>IF(IF(B4651="none",1,IF(B4651="Trialer",1,0))+IF(C4651="Customer",1,IF(C4651="Lost",1,0))=2,1,0)</f>
      </c>
      <c r="X4651" s="0" t="s">
        <v>136</v>
      </c>
      <c r="Y4651" s="0" t="s">
        <v>243</v>
      </c>
      <c r="AV4651" s="68"/>
      <c r="AW4651" s="68"/>
      <c r="AY4651" s="27"/>
      <c r="BD4651" s="68">
        <v>46054.1666666667</v>
      </c>
      <c r="BE4651" s="68">
        <v>46082.1666666667</v>
      </c>
      <c r="BF4651" s="0" t="b">
        <v>0</v>
      </c>
      <c r="BG4651" s="0" t="b">
        <v>0</v>
      </c>
      <c r="BH4651" s="0">
        <v>71</v>
      </c>
      <c r="BI4651" s="0">
        <v>71</v>
      </c>
      <c r="BJ4651" s="0" t="s">
        <v>135</v>
      </c>
    </row>
    <row r="4652">
      <c r="A4652" s="0" t="s">
        <v>4917</v>
      </c>
      <c r="B4652" s="0" t="s">
        <v>5</v>
      </c>
      <c r="C4652" s="0" t="s">
        <v>652</v>
      </c>
      <c r="D4652" s="0" t="s">
        <v>135</v>
      </c>
      <c r="E4652" s="0" t="s">
        <v>3</v>
      </c>
      <c r="F4652" s="0" t="s">
        <v>12</v>
      </c>
      <c r="G4652" s="0" t="s">
        <v>8</v>
      </c>
      <c r="H4652" s="0">
        <v>-3</v>
      </c>
      <c r="I4652" s="0">
        <v>0</v>
      </c>
      <c r="J4652" s="0">
        <v>0</v>
      </c>
      <c r="K4652" s="0">
        <v>0</v>
      </c>
      <c r="L4652" s="0">
        <v>0</v>
      </c>
      <c r="M4652" s="0">
        <v>0</v>
      </c>
      <c r="N4652" s="0">
        <v>0</v>
      </c>
      <c r="O4652" s="0">
        <v>0</v>
      </c>
      <c r="P4652" s="0">
        <v>0</v>
      </c>
      <c r="R4652" s="0" t="b">
        <v>0</v>
      </c>
      <c r="S4652" s="0" t="b">
        <v>0</v>
      </c>
      <c r="T4652" s="68">
        <v>46057.8810300926</v>
      </c>
      <c r="U4652" s="68">
        <v>0</v>
      </c>
      <c r="V4652" s="68">
        <v>46097.1668287037</v>
      </c>
      <c r="W4652" s="0">
        <f>IF(IF(B4652="none",1,IF(B4652="Trialer",1,0))+IF(C4652="Customer",1,IF(C4652="Lost",1,0))=2,1,0)</f>
      </c>
      <c r="X4652" s="0" t="s">
        <v>136</v>
      </c>
      <c r="Y4652" s="0" t="s">
        <v>243</v>
      </c>
      <c r="AV4652" s="68"/>
      <c r="AW4652" s="68"/>
      <c r="AY4652" s="27"/>
      <c r="BD4652" s="68">
        <v>46054.1666666667</v>
      </c>
      <c r="BE4652" s="68">
        <v>46082.1666666667</v>
      </c>
      <c r="BF4652" s="0" t="b">
        <v>0</v>
      </c>
      <c r="BG4652" s="0" t="b">
        <v>0</v>
      </c>
      <c r="BH4652" s="0">
        <v>59</v>
      </c>
      <c r="BI4652" s="0">
        <v>59</v>
      </c>
      <c r="BJ4652" s="0" t="s">
        <v>135</v>
      </c>
    </row>
    <row r="4653">
      <c r="A4653" s="0" t="s">
        <v>4918</v>
      </c>
      <c r="B4653" s="0" t="s">
        <v>5</v>
      </c>
      <c r="C4653" s="0" t="s">
        <v>652</v>
      </c>
      <c r="D4653" s="0" t="s">
        <v>135</v>
      </c>
      <c r="E4653" s="0" t="s">
        <v>2414</v>
      </c>
      <c r="F4653" s="0" t="s">
        <v>12</v>
      </c>
      <c r="G4653" s="0" t="s">
        <v>8</v>
      </c>
      <c r="H4653" s="0">
        <v>-3</v>
      </c>
      <c r="I4653" s="0">
        <v>0</v>
      </c>
      <c r="J4653" s="0">
        <v>0</v>
      </c>
      <c r="K4653" s="0">
        <v>0</v>
      </c>
      <c r="L4653" s="0">
        <v>0</v>
      </c>
      <c r="M4653" s="0">
        <v>0</v>
      </c>
      <c r="N4653" s="0">
        <v>0</v>
      </c>
      <c r="O4653" s="0">
        <v>0</v>
      </c>
      <c r="P4653" s="0">
        <v>0</v>
      </c>
      <c r="R4653" s="0" t="b">
        <v>0</v>
      </c>
      <c r="S4653" s="0" t="b">
        <v>0</v>
      </c>
      <c r="T4653" s="68">
        <v>46057.956875</v>
      </c>
      <c r="U4653" s="68">
        <v>0</v>
      </c>
      <c r="V4653" s="68">
        <v>46097.1668402778</v>
      </c>
      <c r="W4653" s="0">
        <f>IF(IF(B4653="none",1,IF(B4653="Trialer",1,0))+IF(C4653="Customer",1,IF(C4653="Lost",1,0))=2,1,0)</f>
      </c>
      <c r="X4653" s="0" t="s">
        <v>148</v>
      </c>
      <c r="Y4653" s="0" t="s">
        <v>1516</v>
      </c>
      <c r="AV4653" s="68"/>
      <c r="AW4653" s="68"/>
      <c r="AY4653" s="27"/>
      <c r="BD4653" s="68">
        <v>46054.1666666667</v>
      </c>
      <c r="BE4653" s="68">
        <v>46082.1666666667</v>
      </c>
      <c r="BF4653" s="0" t="b">
        <v>0</v>
      </c>
      <c r="BG4653" s="0" t="b">
        <v>0</v>
      </c>
      <c r="BH4653" s="0">
        <v>59</v>
      </c>
      <c r="BI4653" s="0">
        <v>59</v>
      </c>
      <c r="BJ4653" s="0" t="s">
        <v>135</v>
      </c>
    </row>
    <row r="4654">
      <c r="A4654" s="0" t="s">
        <v>4919</v>
      </c>
      <c r="B4654" s="0" t="s">
        <v>5</v>
      </c>
      <c r="C4654" s="0" t="s">
        <v>652</v>
      </c>
      <c r="D4654" s="0" t="s">
        <v>135</v>
      </c>
      <c r="E4654" s="0" t="s">
        <v>2414</v>
      </c>
      <c r="F4654" s="0" t="s">
        <v>12</v>
      </c>
      <c r="G4654" s="0" t="s">
        <v>8</v>
      </c>
      <c r="H4654" s="0">
        <v>-4</v>
      </c>
      <c r="I4654" s="0">
        <v>0</v>
      </c>
      <c r="J4654" s="0">
        <v>0</v>
      </c>
      <c r="K4654" s="0">
        <v>0</v>
      </c>
      <c r="L4654" s="0">
        <v>0</v>
      </c>
      <c r="M4654" s="0">
        <v>0</v>
      </c>
      <c r="N4654" s="0">
        <v>0</v>
      </c>
      <c r="O4654" s="0">
        <v>0</v>
      </c>
      <c r="P4654" s="0">
        <v>0</v>
      </c>
      <c r="R4654" s="0" t="b">
        <v>0</v>
      </c>
      <c r="S4654" s="0" t="b">
        <v>0</v>
      </c>
      <c r="T4654" s="68">
        <v>46057.9747569444</v>
      </c>
      <c r="U4654" s="68">
        <v>0</v>
      </c>
      <c r="V4654" s="68">
        <v>46058.4542824074</v>
      </c>
      <c r="W4654" s="0">
        <f>IF(IF(B4654="none",1,IF(B4654="Trialer",1,0))+IF(C4654="Customer",1,IF(C4654="Lost",1,0))=2,1,0)</f>
      </c>
      <c r="X4654" s="0" t="s">
        <v>145</v>
      </c>
      <c r="Y4654" s="0" t="s">
        <v>1516</v>
      </c>
      <c r="AV4654" s="68"/>
      <c r="AW4654" s="68"/>
      <c r="AY4654" s="27"/>
      <c r="BD4654" s="68">
        <v>46054.1666666667</v>
      </c>
      <c r="BE4654" s="68">
        <v>46082.1666666667</v>
      </c>
      <c r="BF4654" s="0" t="b">
        <v>0</v>
      </c>
      <c r="BG4654" s="0" t="b">
        <v>0</v>
      </c>
      <c r="BH4654" s="0">
        <v>59</v>
      </c>
      <c r="BI4654" s="0">
        <v>0</v>
      </c>
      <c r="BJ4654" s="0" t="s">
        <v>135</v>
      </c>
    </row>
    <row r="4655">
      <c r="A4655" s="0" t="s">
        <v>4920</v>
      </c>
      <c r="B4655" s="0" t="s">
        <v>5</v>
      </c>
      <c r="C4655" s="0" t="s">
        <v>652</v>
      </c>
      <c r="D4655" s="0" t="s">
        <v>135</v>
      </c>
      <c r="E4655" s="0" t="s">
        <v>3</v>
      </c>
      <c r="F4655" s="0" t="s">
        <v>12</v>
      </c>
      <c r="G4655" s="0" t="s">
        <v>8</v>
      </c>
      <c r="H4655" s="0">
        <v>-4</v>
      </c>
      <c r="I4655" s="0">
        <v>0</v>
      </c>
      <c r="J4655" s="0">
        <v>0</v>
      </c>
      <c r="K4655" s="0">
        <v>0</v>
      </c>
      <c r="L4655" s="0">
        <v>0</v>
      </c>
      <c r="M4655" s="0">
        <v>0</v>
      </c>
      <c r="N4655" s="0">
        <v>0</v>
      </c>
      <c r="O4655" s="0">
        <v>0</v>
      </c>
      <c r="P4655" s="0">
        <v>0</v>
      </c>
      <c r="R4655" s="0" t="b">
        <v>0</v>
      </c>
      <c r="S4655" s="0" t="b">
        <v>0</v>
      </c>
      <c r="T4655" s="68">
        <v>46058.0479513889</v>
      </c>
      <c r="U4655" s="68">
        <v>0</v>
      </c>
      <c r="V4655" s="68">
        <v>46097.1668402778</v>
      </c>
      <c r="W4655" s="0">
        <f>IF(IF(B4655="none",1,IF(B4655="Trialer",1,0))+IF(C4655="Customer",1,IF(C4655="Lost",1,0))=2,1,0)</f>
      </c>
      <c r="X4655" s="0" t="s">
        <v>148</v>
      </c>
      <c r="Y4655" s="0" t="s">
        <v>243</v>
      </c>
      <c r="AV4655" s="68"/>
      <c r="AW4655" s="68"/>
      <c r="AY4655" s="27"/>
      <c r="BD4655" s="68">
        <v>46054.1666666667</v>
      </c>
      <c r="BE4655" s="68">
        <v>46082.1666666667</v>
      </c>
      <c r="BF4655" s="0" t="b">
        <v>0</v>
      </c>
      <c r="BG4655" s="0" t="b">
        <v>0</v>
      </c>
      <c r="BH4655" s="0">
        <v>71</v>
      </c>
      <c r="BI4655" s="0">
        <v>71</v>
      </c>
      <c r="BJ4655" s="0" t="s">
        <v>135</v>
      </c>
    </row>
    <row r="4656">
      <c r="A4656" s="0" t="s">
        <v>4921</v>
      </c>
      <c r="B4656" s="0" t="s">
        <v>5</v>
      </c>
      <c r="C4656" s="0" t="s">
        <v>652</v>
      </c>
      <c r="D4656" s="0" t="s">
        <v>135</v>
      </c>
      <c r="E4656" s="0" t="s">
        <v>1515</v>
      </c>
      <c r="F4656" s="0" t="s">
        <v>12</v>
      </c>
      <c r="G4656" s="0" t="s">
        <v>8</v>
      </c>
      <c r="H4656" s="0">
        <v>-4</v>
      </c>
      <c r="I4656" s="0">
        <v>0</v>
      </c>
      <c r="J4656" s="0">
        <v>0</v>
      </c>
      <c r="K4656" s="0">
        <v>0</v>
      </c>
      <c r="L4656" s="0">
        <v>0</v>
      </c>
      <c r="M4656" s="0">
        <v>0</v>
      </c>
      <c r="N4656" s="0">
        <v>0</v>
      </c>
      <c r="O4656" s="0">
        <v>0</v>
      </c>
      <c r="P4656" s="0">
        <v>0</v>
      </c>
      <c r="R4656" s="0" t="b">
        <v>0</v>
      </c>
      <c r="S4656" s="0" t="b">
        <v>0</v>
      </c>
      <c r="T4656" s="68">
        <v>46058.1145486111</v>
      </c>
      <c r="U4656" s="68">
        <v>0</v>
      </c>
      <c r="V4656" s="68">
        <v>46097.1667708333</v>
      </c>
      <c r="W4656" s="0">
        <f>IF(IF(B4656="none",1,IF(B4656="Trialer",1,0))+IF(C4656="Customer",1,IF(C4656="Lost",1,0))=2,1,0)</f>
      </c>
      <c r="X4656" s="0" t="s">
        <v>148</v>
      </c>
      <c r="Y4656" s="0" t="s">
        <v>1516</v>
      </c>
      <c r="AV4656" s="68"/>
      <c r="AW4656" s="68"/>
      <c r="AY4656" s="27"/>
      <c r="BD4656" s="68">
        <v>46054.1666666667</v>
      </c>
      <c r="BE4656" s="68">
        <v>46082.1666666667</v>
      </c>
      <c r="BF4656" s="0" t="b">
        <v>0</v>
      </c>
      <c r="BG4656" s="0" t="b">
        <v>0</v>
      </c>
      <c r="BH4656" s="0">
        <v>59</v>
      </c>
      <c r="BI4656" s="0">
        <v>59</v>
      </c>
      <c r="BJ4656" s="0" t="s">
        <v>135</v>
      </c>
    </row>
    <row r="4657">
      <c r="A4657" s="0" t="s">
        <v>4922</v>
      </c>
      <c r="B4657" s="0" t="s">
        <v>5</v>
      </c>
      <c r="C4657" s="0" t="s">
        <v>652</v>
      </c>
      <c r="D4657" s="0" t="s">
        <v>135</v>
      </c>
      <c r="E4657" s="0" t="s">
        <v>1515</v>
      </c>
      <c r="F4657" s="0" t="s">
        <v>12</v>
      </c>
      <c r="G4657" s="0" t="s">
        <v>8</v>
      </c>
      <c r="H4657" s="0">
        <v>-4</v>
      </c>
      <c r="I4657" s="0">
        <v>0</v>
      </c>
      <c r="J4657" s="0">
        <v>0</v>
      </c>
      <c r="K4657" s="0">
        <v>0</v>
      </c>
      <c r="L4657" s="0">
        <v>0</v>
      </c>
      <c r="M4657" s="0">
        <v>0</v>
      </c>
      <c r="N4657" s="0">
        <v>0</v>
      </c>
      <c r="O4657" s="0">
        <v>0</v>
      </c>
      <c r="P4657" s="0">
        <v>0</v>
      </c>
      <c r="R4657" s="0" t="b">
        <v>0</v>
      </c>
      <c r="S4657" s="0" t="b">
        <v>0</v>
      </c>
      <c r="T4657" s="68">
        <v>46058.1151157407</v>
      </c>
      <c r="U4657" s="68">
        <v>0</v>
      </c>
      <c r="V4657" s="68">
        <v>46058.3797453704</v>
      </c>
      <c r="W4657" s="0">
        <f>IF(IF(B4657="none",1,IF(B4657="Trialer",1,0))+IF(C4657="Customer",1,IF(C4657="Lost",1,0))=2,1,0)</f>
      </c>
      <c r="X4657" s="0" t="s">
        <v>148</v>
      </c>
      <c r="Y4657" s="0" t="s">
        <v>1516</v>
      </c>
      <c r="AV4657" s="68"/>
      <c r="AW4657" s="68"/>
      <c r="AY4657" s="27"/>
      <c r="BD4657" s="68">
        <v>46054.1666666667</v>
      </c>
      <c r="BE4657" s="68">
        <v>46082.1666666667</v>
      </c>
      <c r="BF4657" s="0" t="b">
        <v>1</v>
      </c>
      <c r="BG4657" s="0" t="b">
        <v>0</v>
      </c>
      <c r="BH4657" s="0">
        <v>0</v>
      </c>
      <c r="BI4657" s="0">
        <v>0</v>
      </c>
      <c r="BJ4657" s="0" t="s">
        <v>135</v>
      </c>
    </row>
    <row r="4658">
      <c r="A4658" s="0" t="s">
        <v>4923</v>
      </c>
      <c r="B4658" s="0" t="s">
        <v>5</v>
      </c>
      <c r="C4658" s="0" t="s">
        <v>652</v>
      </c>
      <c r="D4658" s="0" t="s">
        <v>135</v>
      </c>
      <c r="E4658" s="0" t="s">
        <v>1515</v>
      </c>
      <c r="F4658" s="0" t="s">
        <v>12</v>
      </c>
      <c r="G4658" s="0" t="s">
        <v>8</v>
      </c>
      <c r="H4658" s="0">
        <v>-4</v>
      </c>
      <c r="I4658" s="0">
        <v>0</v>
      </c>
      <c r="J4658" s="0">
        <v>0</v>
      </c>
      <c r="K4658" s="0">
        <v>0</v>
      </c>
      <c r="L4658" s="0">
        <v>0</v>
      </c>
      <c r="M4658" s="0">
        <v>0</v>
      </c>
      <c r="N4658" s="0">
        <v>0</v>
      </c>
      <c r="O4658" s="0">
        <v>0</v>
      </c>
      <c r="P4658" s="0">
        <v>0</v>
      </c>
      <c r="R4658" s="0" t="b">
        <v>0</v>
      </c>
      <c r="S4658" s="0" t="b">
        <v>0</v>
      </c>
      <c r="T4658" s="68">
        <v>46058.211712963</v>
      </c>
      <c r="U4658" s="68">
        <v>0</v>
      </c>
      <c r="V4658" s="68">
        <v>46098.1667476852</v>
      </c>
      <c r="W4658" s="0">
        <f>IF(IF(B4658="none",1,IF(B4658="Trialer",1,0))+IF(C4658="Customer",1,IF(C4658="Lost",1,0))=2,1,0)</f>
      </c>
      <c r="X4658" s="0" t="s">
        <v>145</v>
      </c>
      <c r="Y4658" s="0" t="s">
        <v>1516</v>
      </c>
      <c r="AV4658" s="68"/>
      <c r="AW4658" s="68"/>
      <c r="AY4658" s="27"/>
      <c r="BD4658" s="68">
        <v>46054.1666666667</v>
      </c>
      <c r="BE4658" s="68">
        <v>46082.1666666667</v>
      </c>
      <c r="BF4658" s="0" t="b">
        <v>0</v>
      </c>
      <c r="BG4658" s="0" t="b">
        <v>0</v>
      </c>
      <c r="BH4658" s="0">
        <v>59</v>
      </c>
      <c r="BI4658" s="0">
        <v>59</v>
      </c>
      <c r="BJ4658" s="0" t="s">
        <v>135</v>
      </c>
    </row>
    <row r="4659">
      <c r="A4659" s="0" t="s">
        <v>4924</v>
      </c>
      <c r="B4659" s="0" t="s">
        <v>5</v>
      </c>
      <c r="C4659" s="0" t="s">
        <v>652</v>
      </c>
      <c r="D4659" s="0" t="s">
        <v>135</v>
      </c>
      <c r="E4659" s="0" t="s">
        <v>4</v>
      </c>
      <c r="F4659" s="0" t="s">
        <v>12</v>
      </c>
      <c r="G4659" s="0" t="s">
        <v>8</v>
      </c>
      <c r="H4659" s="0">
        <v>-4</v>
      </c>
      <c r="I4659" s="0">
        <v>0</v>
      </c>
      <c r="J4659" s="0">
        <v>0</v>
      </c>
      <c r="K4659" s="0">
        <v>0</v>
      </c>
      <c r="L4659" s="0">
        <v>0</v>
      </c>
      <c r="M4659" s="0">
        <v>0</v>
      </c>
      <c r="N4659" s="0">
        <v>0</v>
      </c>
      <c r="O4659" s="0">
        <v>0</v>
      </c>
      <c r="P4659" s="0">
        <v>0</v>
      </c>
      <c r="R4659" s="0" t="b">
        <v>0</v>
      </c>
      <c r="S4659" s="0" t="b">
        <v>0</v>
      </c>
      <c r="T4659" s="68">
        <v>46058.2463078704</v>
      </c>
      <c r="U4659" s="68">
        <v>0</v>
      </c>
      <c r="V4659" s="68">
        <v>46098.1667708333</v>
      </c>
      <c r="W4659" s="0">
        <f>IF(IF(B4659="none",1,IF(B4659="Trialer",1,0))+IF(C4659="Customer",1,IF(C4659="Lost",1,0))=2,1,0)</f>
      </c>
      <c r="X4659" s="0" t="s">
        <v>136</v>
      </c>
      <c r="Y4659" s="0" t="s">
        <v>1772</v>
      </c>
      <c r="AV4659" s="68"/>
      <c r="AW4659" s="68"/>
      <c r="AY4659" s="27"/>
      <c r="BD4659" s="68">
        <v>46054.1666666667</v>
      </c>
      <c r="BE4659" s="68">
        <v>46082.1666666667</v>
      </c>
      <c r="BF4659" s="0" t="b">
        <v>0</v>
      </c>
      <c r="BG4659" s="0" t="b">
        <v>0</v>
      </c>
      <c r="BH4659" s="0">
        <v>59</v>
      </c>
      <c r="BI4659" s="0">
        <v>59</v>
      </c>
      <c r="BJ4659" s="0" t="s">
        <v>135</v>
      </c>
    </row>
    <row r="4660">
      <c r="A4660" s="0" t="s">
        <v>4925</v>
      </c>
      <c r="B4660" s="0" t="s">
        <v>5</v>
      </c>
      <c r="C4660" s="0" t="s">
        <v>652</v>
      </c>
      <c r="D4660" s="0" t="s">
        <v>135</v>
      </c>
      <c r="E4660" s="0" t="s">
        <v>4</v>
      </c>
      <c r="F4660" s="0" t="s">
        <v>12</v>
      </c>
      <c r="G4660" s="0" t="s">
        <v>8</v>
      </c>
      <c r="H4660" s="0">
        <v>-4</v>
      </c>
      <c r="I4660" s="0">
        <v>0</v>
      </c>
      <c r="J4660" s="0">
        <v>0</v>
      </c>
      <c r="K4660" s="0">
        <v>0</v>
      </c>
      <c r="L4660" s="0">
        <v>0</v>
      </c>
      <c r="M4660" s="0">
        <v>0</v>
      </c>
      <c r="N4660" s="0">
        <v>0</v>
      </c>
      <c r="O4660" s="0">
        <v>0</v>
      </c>
      <c r="P4660" s="0">
        <v>0</v>
      </c>
      <c r="R4660" s="0" t="b">
        <v>0</v>
      </c>
      <c r="S4660" s="0" t="b">
        <v>0</v>
      </c>
      <c r="T4660" s="68">
        <v>46058.2484606481</v>
      </c>
      <c r="U4660" s="68">
        <v>0</v>
      </c>
      <c r="V4660" s="68">
        <v>46058.3773842593</v>
      </c>
      <c r="W4660" s="0">
        <f>IF(IF(B4660="none",1,IF(B4660="Trialer",1,0))+IF(C4660="Customer",1,IF(C4660="Lost",1,0))=2,1,0)</f>
      </c>
      <c r="X4660" s="0" t="s">
        <v>136</v>
      </c>
      <c r="Y4660" s="0" t="s">
        <v>1772</v>
      </c>
      <c r="AV4660" s="68"/>
      <c r="AW4660" s="68"/>
      <c r="AY4660" s="27"/>
      <c r="BD4660" s="68">
        <v>46054.1666666667</v>
      </c>
      <c r="BE4660" s="68">
        <v>46082.1666666667</v>
      </c>
      <c r="BF4660" s="0" t="b">
        <v>1</v>
      </c>
      <c r="BG4660" s="0" t="b">
        <v>0</v>
      </c>
      <c r="BH4660" s="0">
        <v>0</v>
      </c>
      <c r="BI4660" s="0">
        <v>0</v>
      </c>
      <c r="BJ4660" s="0" t="s">
        <v>135</v>
      </c>
    </row>
    <row r="4661">
      <c r="A4661" s="0" t="s">
        <v>4926</v>
      </c>
      <c r="B4661" s="0" t="s">
        <v>5</v>
      </c>
      <c r="C4661" s="0" t="s">
        <v>652</v>
      </c>
      <c r="D4661" s="0" t="s">
        <v>135</v>
      </c>
      <c r="E4661" s="0" t="s">
        <v>2</v>
      </c>
      <c r="F4661" s="0" t="s">
        <v>12</v>
      </c>
      <c r="G4661" s="0" t="s">
        <v>8</v>
      </c>
      <c r="H4661" s="0">
        <v>-4</v>
      </c>
      <c r="I4661" s="0">
        <v>0</v>
      </c>
      <c r="J4661" s="0">
        <v>0</v>
      </c>
      <c r="K4661" s="0">
        <v>0</v>
      </c>
      <c r="L4661" s="0">
        <v>0</v>
      </c>
      <c r="M4661" s="0">
        <v>0</v>
      </c>
      <c r="N4661" s="0">
        <v>0</v>
      </c>
      <c r="O4661" s="0">
        <v>0</v>
      </c>
      <c r="P4661" s="0">
        <v>0</v>
      </c>
      <c r="R4661" s="0" t="b">
        <v>0</v>
      </c>
      <c r="S4661" s="0" t="b">
        <v>0</v>
      </c>
      <c r="T4661" s="68">
        <v>46058.3393865741</v>
      </c>
      <c r="U4661" s="68">
        <v>0</v>
      </c>
      <c r="V4661" s="68">
        <v>46098.1667939815</v>
      </c>
      <c r="W4661" s="0">
        <f>IF(IF(B4661="none",1,IF(B4661="Trialer",1,0))+IF(C4661="Customer",1,IF(C4661="Lost",1,0))=2,1,0)</f>
      </c>
      <c r="X4661" s="0" t="s">
        <v>148</v>
      </c>
      <c r="Y4661" s="0" t="s">
        <v>499</v>
      </c>
      <c r="AV4661" s="68"/>
      <c r="AW4661" s="68"/>
      <c r="AY4661" s="27"/>
      <c r="BD4661" s="68">
        <v>46054.1666666667</v>
      </c>
      <c r="BE4661" s="68">
        <v>46082.1666666667</v>
      </c>
      <c r="BF4661" s="0" t="b">
        <v>0</v>
      </c>
      <c r="BG4661" s="0" t="b">
        <v>0</v>
      </c>
      <c r="BH4661" s="0">
        <v>59</v>
      </c>
      <c r="BI4661" s="0">
        <v>59</v>
      </c>
      <c r="BJ4661" s="0" t="s">
        <v>135</v>
      </c>
    </row>
    <row r="4662">
      <c r="A4662" s="0" t="s">
        <v>4927</v>
      </c>
      <c r="B4662" s="0" t="s">
        <v>5</v>
      </c>
      <c r="C4662" s="0" t="s">
        <v>134</v>
      </c>
      <c r="D4662" s="0" t="s">
        <v>135</v>
      </c>
      <c r="E4662" s="0" t="s">
        <v>3</v>
      </c>
      <c r="F4662" s="0" t="s">
        <v>12</v>
      </c>
      <c r="G4662" s="0" t="s">
        <v>8</v>
      </c>
      <c r="H4662" s="0">
        <v>-4</v>
      </c>
      <c r="I4662" s="0">
        <v>631</v>
      </c>
      <c r="J4662" s="0">
        <v>0</v>
      </c>
      <c r="K4662" s="0">
        <v>1</v>
      </c>
      <c r="L4662" s="0">
        <v>6</v>
      </c>
      <c r="M4662" s="0">
        <v>9</v>
      </c>
      <c r="N4662" s="0">
        <v>0</v>
      </c>
      <c r="O4662" s="0">
        <v>0</v>
      </c>
      <c r="P4662" s="0">
        <v>0</v>
      </c>
      <c r="R4662" s="0" t="b">
        <v>0</v>
      </c>
      <c r="S4662" s="0" t="b">
        <v>1</v>
      </c>
      <c r="T4662" s="68">
        <v>46058.402025463</v>
      </c>
      <c r="U4662" s="68">
        <v>46072.2916666667</v>
      </c>
      <c r="V4662" s="68">
        <v>0</v>
      </c>
      <c r="W4662" s="0">
        <f>IF(IF(B4662="none",1,IF(B4662="Trialer",1,0))+IF(C4662="Customer",1,IF(C4662="Lost",1,0))=2,1,0)</f>
      </c>
      <c r="X4662" s="0" t="s">
        <v>882</v>
      </c>
      <c r="Y4662" s="0" t="s">
        <v>243</v>
      </c>
      <c r="AV4662" s="68"/>
      <c r="AW4662" s="68"/>
      <c r="AY4662" s="27"/>
      <c r="BD4662" s="68">
        <v>46054.1666666667</v>
      </c>
      <c r="BE4662" s="68">
        <v>46082.1666666667</v>
      </c>
      <c r="BF4662" s="0" t="b">
        <v>0</v>
      </c>
      <c r="BG4662" s="0" t="b">
        <v>0</v>
      </c>
      <c r="BH4662" s="0">
        <v>688</v>
      </c>
      <c r="BI4662" s="0">
        <v>688</v>
      </c>
      <c r="BJ4662" s="0" t="s">
        <v>135</v>
      </c>
    </row>
    <row r="4663">
      <c r="A4663" s="0" t="s">
        <v>4928</v>
      </c>
      <c r="B4663" s="0" t="s">
        <v>5</v>
      </c>
      <c r="C4663" s="0" t="s">
        <v>652</v>
      </c>
      <c r="D4663" s="0" t="s">
        <v>135</v>
      </c>
      <c r="E4663" s="0" t="s">
        <v>2</v>
      </c>
      <c r="F4663" s="0" t="s">
        <v>12</v>
      </c>
      <c r="G4663" s="0" t="s">
        <v>8</v>
      </c>
      <c r="H4663" s="0">
        <v>-4</v>
      </c>
      <c r="I4663" s="0">
        <v>0</v>
      </c>
      <c r="J4663" s="0">
        <v>0</v>
      </c>
      <c r="K4663" s="0">
        <v>0</v>
      </c>
      <c r="L4663" s="0">
        <v>0</v>
      </c>
      <c r="M4663" s="0">
        <v>0</v>
      </c>
      <c r="N4663" s="0">
        <v>0</v>
      </c>
      <c r="O4663" s="0">
        <v>0</v>
      </c>
      <c r="P4663" s="0">
        <v>0</v>
      </c>
      <c r="R4663" s="0" t="b">
        <v>0</v>
      </c>
      <c r="S4663" s="0" t="b">
        <v>1</v>
      </c>
      <c r="T4663" s="68">
        <v>46058.4113194444</v>
      </c>
      <c r="U4663" s="68">
        <v>0</v>
      </c>
      <c r="V4663" s="68">
        <v>0</v>
      </c>
      <c r="W4663" s="0">
        <f>IF(IF(B4663="none",1,IF(B4663="Trialer",1,0))+IF(C4663="Customer",1,IF(C4663="Lost",1,0))=2,1,0)</f>
      </c>
      <c r="X4663" s="0" t="s">
        <v>145</v>
      </c>
      <c r="Y4663" s="0" t="s">
        <v>499</v>
      </c>
      <c r="AV4663" s="68"/>
      <c r="AW4663" s="68"/>
      <c r="AY4663" s="27"/>
      <c r="BD4663" s="68">
        <v>46054.1666666667</v>
      </c>
      <c r="BE4663" s="68">
        <v>46082.1666666667</v>
      </c>
      <c r="BF4663" s="0" t="b">
        <v>0</v>
      </c>
      <c r="BG4663" s="0" t="b">
        <v>0</v>
      </c>
      <c r="BH4663" s="0">
        <v>59</v>
      </c>
      <c r="BI4663" s="0">
        <v>59</v>
      </c>
      <c r="BJ4663" s="0" t="s">
        <v>135</v>
      </c>
    </row>
    <row r="4664">
      <c r="A4664" s="0" t="s">
        <v>4929</v>
      </c>
      <c r="B4664" s="0" t="s">
        <v>5</v>
      </c>
      <c r="C4664" s="0" t="s">
        <v>652</v>
      </c>
      <c r="D4664" s="0" t="s">
        <v>135</v>
      </c>
      <c r="E4664" s="0" t="s">
        <v>3</v>
      </c>
      <c r="F4664" s="0" t="s">
        <v>12</v>
      </c>
      <c r="G4664" s="0" t="s">
        <v>8</v>
      </c>
      <c r="H4664" s="0">
        <v>-4</v>
      </c>
      <c r="I4664" s="0">
        <v>0</v>
      </c>
      <c r="J4664" s="0">
        <v>0</v>
      </c>
      <c r="K4664" s="0">
        <v>0</v>
      </c>
      <c r="L4664" s="0">
        <v>0</v>
      </c>
      <c r="M4664" s="0">
        <v>0</v>
      </c>
      <c r="N4664" s="0">
        <v>0</v>
      </c>
      <c r="O4664" s="0">
        <v>0</v>
      </c>
      <c r="P4664" s="0">
        <v>0</v>
      </c>
      <c r="R4664" s="0" t="b">
        <v>0</v>
      </c>
      <c r="S4664" s="0" t="b">
        <v>0</v>
      </c>
      <c r="T4664" s="68">
        <v>46058.4117939815</v>
      </c>
      <c r="U4664" s="68">
        <v>0</v>
      </c>
      <c r="V4664" s="68">
        <v>46098.1668287037</v>
      </c>
      <c r="W4664" s="0">
        <f>IF(IF(B4664="none",1,IF(B4664="Trialer",1,0))+IF(C4664="Customer",1,IF(C4664="Lost",1,0))=2,1,0)</f>
      </c>
      <c r="X4664" s="0" t="s">
        <v>148</v>
      </c>
      <c r="Y4664" s="0" t="s">
        <v>243</v>
      </c>
      <c r="AV4664" s="68"/>
      <c r="AW4664" s="68"/>
      <c r="AY4664" s="27"/>
      <c r="BD4664" s="68">
        <v>46054.1666666667</v>
      </c>
      <c r="BE4664" s="68">
        <v>46082.1666666667</v>
      </c>
      <c r="BF4664" s="0" t="b">
        <v>0</v>
      </c>
      <c r="BG4664" s="0" t="b">
        <v>0</v>
      </c>
      <c r="BH4664" s="0">
        <v>59</v>
      </c>
      <c r="BI4664" s="0">
        <v>59</v>
      </c>
      <c r="BJ4664" s="0" t="s">
        <v>135</v>
      </c>
    </row>
    <row r="4665">
      <c r="A4665" s="0" t="s">
        <v>4930</v>
      </c>
      <c r="B4665" s="0" t="s">
        <v>5</v>
      </c>
      <c r="C4665" s="0" t="s">
        <v>652</v>
      </c>
      <c r="D4665" s="0" t="s">
        <v>135</v>
      </c>
      <c r="E4665" s="0" t="s">
        <v>3</v>
      </c>
      <c r="F4665" s="0" t="s">
        <v>12</v>
      </c>
      <c r="G4665" s="0" t="s">
        <v>8</v>
      </c>
      <c r="H4665" s="0">
        <v>-4</v>
      </c>
      <c r="I4665" s="0">
        <v>0</v>
      </c>
      <c r="J4665" s="0">
        <v>0</v>
      </c>
      <c r="K4665" s="0">
        <v>0</v>
      </c>
      <c r="L4665" s="0">
        <v>0</v>
      </c>
      <c r="M4665" s="0">
        <v>0</v>
      </c>
      <c r="N4665" s="0">
        <v>0</v>
      </c>
      <c r="O4665" s="0">
        <v>0</v>
      </c>
      <c r="P4665" s="0">
        <v>0</v>
      </c>
      <c r="R4665" s="0" t="b">
        <v>0</v>
      </c>
      <c r="S4665" s="0" t="b">
        <v>1</v>
      </c>
      <c r="T4665" s="68">
        <v>46058.4153587963</v>
      </c>
      <c r="U4665" s="68">
        <v>46083.2916666667</v>
      </c>
      <c r="V4665" s="68">
        <v>0</v>
      </c>
      <c r="W4665" s="0">
        <f>IF(IF(B4665="none",1,IF(B4665="Trialer",1,0))+IF(C4665="Customer",1,IF(C4665="Lost",1,0))=2,1,0)</f>
      </c>
      <c r="X4665" s="0" t="s">
        <v>148</v>
      </c>
      <c r="Y4665" s="0" t="s">
        <v>243</v>
      </c>
      <c r="AV4665" s="68"/>
      <c r="AW4665" s="68"/>
      <c r="AY4665" s="27"/>
      <c r="BD4665" s="68">
        <v>46054.1666666667</v>
      </c>
      <c r="BE4665" s="68">
        <v>46082.1666666667</v>
      </c>
      <c r="BF4665" s="0" t="b">
        <v>0</v>
      </c>
      <c r="BG4665" s="0" t="b">
        <v>0</v>
      </c>
      <c r="BH4665" s="0">
        <v>170</v>
      </c>
      <c r="BI4665" s="0">
        <v>170</v>
      </c>
      <c r="BJ4665" s="0" t="s">
        <v>135</v>
      </c>
    </row>
    <row r="4666">
      <c r="A4666" s="0" t="s">
        <v>4931</v>
      </c>
      <c r="B4666" s="0" t="s">
        <v>5</v>
      </c>
      <c r="C4666" s="0" t="s">
        <v>652</v>
      </c>
      <c r="D4666" s="0" t="s">
        <v>135</v>
      </c>
      <c r="E4666" s="0" t="s">
        <v>3</v>
      </c>
      <c r="F4666" s="0" t="s">
        <v>12</v>
      </c>
      <c r="G4666" s="0" t="s">
        <v>8</v>
      </c>
      <c r="H4666" s="0">
        <v>-4</v>
      </c>
      <c r="I4666" s="0">
        <v>0</v>
      </c>
      <c r="J4666" s="0">
        <v>0</v>
      </c>
      <c r="K4666" s="0">
        <v>0</v>
      </c>
      <c r="L4666" s="0">
        <v>0</v>
      </c>
      <c r="M4666" s="0">
        <v>0</v>
      </c>
      <c r="N4666" s="0">
        <v>0</v>
      </c>
      <c r="O4666" s="0">
        <v>0</v>
      </c>
      <c r="P4666" s="0">
        <v>0</v>
      </c>
      <c r="R4666" s="0" t="b">
        <v>0</v>
      </c>
      <c r="S4666" s="0" t="b">
        <v>0</v>
      </c>
      <c r="T4666" s="68">
        <v>46058.416099537</v>
      </c>
      <c r="U4666" s="68">
        <v>0</v>
      </c>
      <c r="V4666" s="68">
        <v>46059.3991550926</v>
      </c>
      <c r="W4666" s="0">
        <f>IF(IF(B4666="none",1,IF(B4666="Trialer",1,0))+IF(C4666="Customer",1,IF(C4666="Lost",1,0))=2,1,0)</f>
      </c>
      <c r="X4666" s="0" t="s">
        <v>145</v>
      </c>
      <c r="Y4666" s="0" t="s">
        <v>243</v>
      </c>
      <c r="AV4666" s="68"/>
      <c r="AW4666" s="68"/>
      <c r="AY4666" s="27"/>
      <c r="BD4666" s="68">
        <v>46054.1666666667</v>
      </c>
      <c r="BE4666" s="68">
        <v>46082.1666666667</v>
      </c>
      <c r="BF4666" s="0" t="b">
        <v>1</v>
      </c>
      <c r="BG4666" s="0" t="b">
        <v>0</v>
      </c>
      <c r="BH4666" s="0">
        <v>83</v>
      </c>
      <c r="BI4666" s="0">
        <v>0</v>
      </c>
      <c r="BJ4666" s="0" t="s">
        <v>135</v>
      </c>
    </row>
    <row r="4667">
      <c r="A4667" s="0" t="s">
        <v>4932</v>
      </c>
      <c r="B4667" s="0" t="s">
        <v>5</v>
      </c>
      <c r="C4667" s="0" t="s">
        <v>652</v>
      </c>
      <c r="D4667" s="0" t="s">
        <v>135</v>
      </c>
      <c r="E4667" s="0" t="s">
        <v>1515</v>
      </c>
      <c r="F4667" s="0" t="s">
        <v>12</v>
      </c>
      <c r="G4667" s="0" t="s">
        <v>8</v>
      </c>
      <c r="H4667" s="0">
        <v>-4</v>
      </c>
      <c r="I4667" s="0">
        <v>0</v>
      </c>
      <c r="J4667" s="0">
        <v>0</v>
      </c>
      <c r="K4667" s="0">
        <v>0</v>
      </c>
      <c r="L4667" s="0">
        <v>0</v>
      </c>
      <c r="M4667" s="0">
        <v>0</v>
      </c>
      <c r="N4667" s="0">
        <v>0</v>
      </c>
      <c r="O4667" s="0">
        <v>0</v>
      </c>
      <c r="P4667" s="0">
        <v>0</v>
      </c>
      <c r="R4667" s="0" t="b">
        <v>0</v>
      </c>
      <c r="S4667" s="0" t="b">
        <v>0</v>
      </c>
      <c r="T4667" s="68">
        <v>46058.4178125</v>
      </c>
      <c r="U4667" s="68">
        <v>0</v>
      </c>
      <c r="V4667" s="68">
        <v>46098.1667939815</v>
      </c>
      <c r="W4667" s="0">
        <f>IF(IF(B4667="none",1,IF(B4667="Trialer",1,0))+IF(C4667="Customer",1,IF(C4667="Lost",1,0))=2,1,0)</f>
      </c>
      <c r="X4667" s="0" t="s">
        <v>136</v>
      </c>
      <c r="Y4667" s="0" t="s">
        <v>1516</v>
      </c>
      <c r="AV4667" s="68"/>
      <c r="AW4667" s="68"/>
      <c r="AY4667" s="27"/>
      <c r="BD4667" s="68">
        <v>46054.1666666667</v>
      </c>
      <c r="BE4667" s="68">
        <v>46082.1666666667</v>
      </c>
      <c r="BF4667" s="0" t="b">
        <v>0</v>
      </c>
      <c r="BG4667" s="0" t="b">
        <v>0</v>
      </c>
      <c r="BH4667" s="0">
        <v>59</v>
      </c>
      <c r="BI4667" s="0">
        <v>59</v>
      </c>
      <c r="BJ4667" s="0" t="s">
        <v>135</v>
      </c>
    </row>
    <row r="4668">
      <c r="A4668" s="0" t="s">
        <v>4933</v>
      </c>
      <c r="B4668" s="0" t="s">
        <v>5</v>
      </c>
      <c r="C4668" s="0" t="s">
        <v>652</v>
      </c>
      <c r="D4668" s="0" t="s">
        <v>135</v>
      </c>
      <c r="E4668" s="0" t="s">
        <v>3</v>
      </c>
      <c r="F4668" s="0" t="s">
        <v>12</v>
      </c>
      <c r="G4668" s="0" t="s">
        <v>8</v>
      </c>
      <c r="H4668" s="0">
        <v>-4</v>
      </c>
      <c r="I4668" s="0">
        <v>0</v>
      </c>
      <c r="J4668" s="0">
        <v>0</v>
      </c>
      <c r="K4668" s="0">
        <v>0</v>
      </c>
      <c r="L4668" s="0">
        <v>0</v>
      </c>
      <c r="M4668" s="0">
        <v>0</v>
      </c>
      <c r="N4668" s="0">
        <v>0</v>
      </c>
      <c r="O4668" s="0">
        <v>0</v>
      </c>
      <c r="P4668" s="0">
        <v>0</v>
      </c>
      <c r="R4668" s="0" t="b">
        <v>0</v>
      </c>
      <c r="S4668" s="0" t="b">
        <v>0</v>
      </c>
      <c r="T4668" s="68">
        <v>46058.4297106481</v>
      </c>
      <c r="U4668" s="68">
        <v>0</v>
      </c>
      <c r="V4668" s="68">
        <v>46098.1668055556</v>
      </c>
      <c r="W4668" s="0">
        <f>IF(IF(B4668="none",1,IF(B4668="Trialer",1,0))+IF(C4668="Customer",1,IF(C4668="Lost",1,0))=2,1,0)</f>
      </c>
      <c r="X4668" s="0" t="s">
        <v>148</v>
      </c>
      <c r="Y4668" s="0" t="s">
        <v>243</v>
      </c>
      <c r="AV4668" s="68"/>
      <c r="AW4668" s="68"/>
      <c r="AY4668" s="27"/>
      <c r="BD4668" s="68">
        <v>46054.1666666667</v>
      </c>
      <c r="BE4668" s="68">
        <v>46082.1666666667</v>
      </c>
      <c r="BF4668" s="0" t="b">
        <v>0</v>
      </c>
      <c r="BG4668" s="0" t="b">
        <v>0</v>
      </c>
      <c r="BH4668" s="0">
        <v>59</v>
      </c>
      <c r="BI4668" s="0">
        <v>59</v>
      </c>
      <c r="BJ4668" s="0" t="s">
        <v>135</v>
      </c>
    </row>
    <row r="4669">
      <c r="A4669" s="0" t="s">
        <v>4934</v>
      </c>
      <c r="B4669" s="0" t="s">
        <v>5</v>
      </c>
      <c r="C4669" s="0" t="s">
        <v>652</v>
      </c>
      <c r="D4669" s="0" t="s">
        <v>135</v>
      </c>
      <c r="E4669" s="0" t="s">
        <v>2</v>
      </c>
      <c r="F4669" s="0" t="s">
        <v>12</v>
      </c>
      <c r="G4669" s="0" t="s">
        <v>8</v>
      </c>
      <c r="H4669" s="0">
        <v>-4</v>
      </c>
      <c r="I4669" s="0">
        <v>0</v>
      </c>
      <c r="J4669" s="0">
        <v>0</v>
      </c>
      <c r="K4669" s="0">
        <v>0</v>
      </c>
      <c r="L4669" s="0">
        <v>0</v>
      </c>
      <c r="M4669" s="0">
        <v>0</v>
      </c>
      <c r="N4669" s="0">
        <v>0</v>
      </c>
      <c r="O4669" s="0">
        <v>0</v>
      </c>
      <c r="P4669" s="0">
        <v>0</v>
      </c>
      <c r="R4669" s="0" t="b">
        <v>0</v>
      </c>
      <c r="S4669" s="0" t="b">
        <v>0</v>
      </c>
      <c r="T4669" s="68">
        <v>46058.4345833333</v>
      </c>
      <c r="U4669" s="68">
        <v>0</v>
      </c>
      <c r="V4669" s="68">
        <v>46064.4521527778</v>
      </c>
      <c r="W4669" s="0">
        <f>IF(IF(B4669="none",1,IF(B4669="Trialer",1,0))+IF(C4669="Customer",1,IF(C4669="Lost",1,0))=2,1,0)</f>
      </c>
      <c r="X4669" s="0" t="s">
        <v>136</v>
      </c>
      <c r="Y4669" s="0" t="s">
        <v>499</v>
      </c>
      <c r="AV4669" s="68"/>
      <c r="AW4669" s="68"/>
      <c r="AY4669" s="27"/>
      <c r="BD4669" s="68">
        <v>46054.1666666667</v>
      </c>
      <c r="BE4669" s="68">
        <v>46082.1666666667</v>
      </c>
      <c r="BF4669" s="0" t="b">
        <v>1</v>
      </c>
      <c r="BG4669" s="0" t="b">
        <v>0</v>
      </c>
      <c r="BH4669" s="0">
        <v>59</v>
      </c>
      <c r="BI4669" s="0">
        <v>59</v>
      </c>
      <c r="BJ4669" s="0" t="s">
        <v>135</v>
      </c>
    </row>
    <row r="4670">
      <c r="A4670" s="0" t="s">
        <v>4935</v>
      </c>
      <c r="B4670" s="0" t="s">
        <v>5</v>
      </c>
      <c r="C4670" s="0" t="s">
        <v>652</v>
      </c>
      <c r="D4670" s="0" t="s">
        <v>135</v>
      </c>
      <c r="E4670" s="0" t="s">
        <v>3</v>
      </c>
      <c r="F4670" s="0" t="s">
        <v>12</v>
      </c>
      <c r="G4670" s="0" t="s">
        <v>8</v>
      </c>
      <c r="H4670" s="0">
        <v>-4</v>
      </c>
      <c r="I4670" s="0">
        <v>0</v>
      </c>
      <c r="J4670" s="0">
        <v>0</v>
      </c>
      <c r="K4670" s="0">
        <v>0</v>
      </c>
      <c r="L4670" s="0">
        <v>0</v>
      </c>
      <c r="M4670" s="0">
        <v>0</v>
      </c>
      <c r="N4670" s="0">
        <v>0</v>
      </c>
      <c r="O4670" s="0">
        <v>0</v>
      </c>
      <c r="P4670" s="0">
        <v>0</v>
      </c>
      <c r="R4670" s="0" t="b">
        <v>0</v>
      </c>
      <c r="S4670" s="0" t="b">
        <v>0</v>
      </c>
      <c r="T4670" s="68">
        <v>46058.4615625</v>
      </c>
      <c r="U4670" s="68">
        <v>0</v>
      </c>
      <c r="V4670" s="68">
        <v>46063.709537037</v>
      </c>
      <c r="W4670" s="0">
        <f>IF(IF(B4670="none",1,IF(B4670="Trialer",1,0))+IF(C4670="Customer",1,IF(C4670="Lost",1,0))=2,1,0)</f>
      </c>
      <c r="X4670" s="0" t="s">
        <v>145</v>
      </c>
      <c r="Y4670" s="0" t="s">
        <v>243</v>
      </c>
      <c r="AV4670" s="68"/>
      <c r="AW4670" s="68"/>
      <c r="AY4670" s="27"/>
      <c r="BD4670" s="68">
        <v>46054.1666666667</v>
      </c>
      <c r="BE4670" s="68">
        <v>46082.1666666667</v>
      </c>
      <c r="BF4670" s="0" t="b">
        <v>0</v>
      </c>
      <c r="BG4670" s="0" t="b">
        <v>0</v>
      </c>
      <c r="BH4670" s="0">
        <v>71</v>
      </c>
      <c r="BI4670" s="0">
        <v>71</v>
      </c>
      <c r="BJ4670" s="0" t="s">
        <v>135</v>
      </c>
    </row>
    <row r="4671">
      <c r="A4671" s="0" t="s">
        <v>4936</v>
      </c>
      <c r="B4671" s="0" t="s">
        <v>5</v>
      </c>
      <c r="C4671" s="0" t="s">
        <v>652</v>
      </c>
      <c r="D4671" s="0" t="s">
        <v>135</v>
      </c>
      <c r="E4671" s="0" t="s">
        <v>2</v>
      </c>
      <c r="F4671" s="0" t="s">
        <v>12</v>
      </c>
      <c r="G4671" s="0" t="s">
        <v>8</v>
      </c>
      <c r="H4671" s="0">
        <v>-4</v>
      </c>
      <c r="I4671" s="0">
        <v>0</v>
      </c>
      <c r="J4671" s="0">
        <v>0</v>
      </c>
      <c r="K4671" s="0">
        <v>0</v>
      </c>
      <c r="L4671" s="0">
        <v>0</v>
      </c>
      <c r="M4671" s="0">
        <v>0</v>
      </c>
      <c r="N4671" s="0">
        <v>0</v>
      </c>
      <c r="O4671" s="0">
        <v>0</v>
      </c>
      <c r="P4671" s="0">
        <v>0</v>
      </c>
      <c r="R4671" s="0" t="b">
        <v>0</v>
      </c>
      <c r="S4671" s="0" t="b">
        <v>0</v>
      </c>
      <c r="T4671" s="68">
        <v>46058.4731018519</v>
      </c>
      <c r="U4671" s="68">
        <v>0</v>
      </c>
      <c r="V4671" s="68">
        <v>46098.1668634259</v>
      </c>
      <c r="W4671" s="0">
        <f>IF(IF(B4671="none",1,IF(B4671="Trialer",1,0))+IF(C4671="Customer",1,IF(C4671="Lost",1,0))=2,1,0)</f>
      </c>
      <c r="X4671" s="0" t="s">
        <v>148</v>
      </c>
      <c r="Y4671" s="0" t="s">
        <v>499</v>
      </c>
      <c r="AV4671" s="68"/>
      <c r="AW4671" s="68"/>
      <c r="AY4671" s="27"/>
      <c r="BD4671" s="68">
        <v>46054.1666666667</v>
      </c>
      <c r="BE4671" s="68">
        <v>46082.1666666667</v>
      </c>
      <c r="BF4671" s="0" t="b">
        <v>0</v>
      </c>
      <c r="BG4671" s="0" t="b">
        <v>0</v>
      </c>
      <c r="BH4671" s="0">
        <v>71</v>
      </c>
      <c r="BI4671" s="0">
        <v>71</v>
      </c>
      <c r="BJ4671" s="0" t="s">
        <v>135</v>
      </c>
    </row>
    <row r="4672">
      <c r="A4672" s="0" t="s">
        <v>4937</v>
      </c>
      <c r="B4672" s="0" t="s">
        <v>5</v>
      </c>
      <c r="C4672" s="0" t="s">
        <v>652</v>
      </c>
      <c r="D4672" s="0" t="s">
        <v>135</v>
      </c>
      <c r="E4672" s="0" t="s">
        <v>3</v>
      </c>
      <c r="F4672" s="0" t="s">
        <v>12</v>
      </c>
      <c r="G4672" s="0" t="s">
        <v>8</v>
      </c>
      <c r="H4672" s="0">
        <v>-4</v>
      </c>
      <c r="I4672" s="0">
        <v>0</v>
      </c>
      <c r="J4672" s="0">
        <v>0</v>
      </c>
      <c r="K4672" s="0">
        <v>0</v>
      </c>
      <c r="L4672" s="0">
        <v>0</v>
      </c>
      <c r="M4672" s="0">
        <v>0</v>
      </c>
      <c r="N4672" s="0">
        <v>0</v>
      </c>
      <c r="O4672" s="0">
        <v>0</v>
      </c>
      <c r="P4672" s="0">
        <v>0</v>
      </c>
      <c r="R4672" s="0" t="b">
        <v>0</v>
      </c>
      <c r="S4672" s="0" t="b">
        <v>0</v>
      </c>
      <c r="T4672" s="68">
        <v>46058.5176851852</v>
      </c>
      <c r="U4672" s="68">
        <v>0</v>
      </c>
      <c r="V4672" s="68">
        <v>46098.1668402778</v>
      </c>
      <c r="W4672" s="0">
        <f>IF(IF(B4672="none",1,IF(B4672="Trialer",1,0))+IF(C4672="Customer",1,IF(C4672="Lost",1,0))=2,1,0)</f>
      </c>
      <c r="X4672" s="0" t="s">
        <v>145</v>
      </c>
      <c r="Y4672" s="0" t="s">
        <v>243</v>
      </c>
      <c r="AV4672" s="68"/>
      <c r="AW4672" s="68"/>
      <c r="AY4672" s="27"/>
      <c r="BD4672" s="68">
        <v>46054.1666666667</v>
      </c>
      <c r="BE4672" s="68">
        <v>46082.1666666667</v>
      </c>
      <c r="BF4672" s="0" t="b">
        <v>0</v>
      </c>
      <c r="BG4672" s="0" t="b">
        <v>0</v>
      </c>
      <c r="BH4672" s="0">
        <v>177</v>
      </c>
      <c r="BI4672" s="0">
        <v>177</v>
      </c>
      <c r="BJ4672" s="0" t="s">
        <v>135</v>
      </c>
    </row>
    <row r="4673">
      <c r="A4673" s="0" t="s">
        <v>4938</v>
      </c>
      <c r="B4673" s="0" t="s">
        <v>5</v>
      </c>
      <c r="C4673" s="0" t="s">
        <v>134</v>
      </c>
      <c r="D4673" s="0" t="s">
        <v>135</v>
      </c>
      <c r="E4673" s="0" t="s">
        <v>3</v>
      </c>
      <c r="F4673" s="0" t="s">
        <v>12</v>
      </c>
      <c r="G4673" s="0" t="s">
        <v>8</v>
      </c>
      <c r="H4673" s="0">
        <v>-4</v>
      </c>
      <c r="I4673" s="0">
        <v>437</v>
      </c>
      <c r="J4673" s="0">
        <v>0</v>
      </c>
      <c r="K4673" s="0">
        <v>1</v>
      </c>
      <c r="L4673" s="0">
        <v>6</v>
      </c>
      <c r="M4673" s="0">
        <v>5</v>
      </c>
      <c r="N4673" s="0">
        <v>0</v>
      </c>
      <c r="O4673" s="0">
        <v>0</v>
      </c>
      <c r="P4673" s="0">
        <v>0</v>
      </c>
      <c r="R4673" s="0" t="b">
        <v>0</v>
      </c>
      <c r="S4673" s="0" t="b">
        <v>1</v>
      </c>
      <c r="T4673" s="68">
        <v>46058.5409375</v>
      </c>
      <c r="U4673" s="68">
        <v>46076.2916666667</v>
      </c>
      <c r="V4673" s="68">
        <v>0</v>
      </c>
      <c r="W4673" s="0">
        <f>IF(IF(B4673="none",1,IF(B4673="Trialer",1,0))+IF(C4673="Customer",1,IF(C4673="Lost",1,0))=2,1,0)</f>
      </c>
      <c r="X4673" s="0" t="s">
        <v>136</v>
      </c>
      <c r="Y4673" s="0" t="s">
        <v>243</v>
      </c>
      <c r="AV4673" s="68"/>
      <c r="AW4673" s="68"/>
      <c r="AY4673" s="27"/>
      <c r="BD4673" s="68">
        <v>46054.1666666667</v>
      </c>
      <c r="BE4673" s="68">
        <v>46082.1666666667</v>
      </c>
      <c r="BF4673" s="0" t="b">
        <v>0</v>
      </c>
      <c r="BG4673" s="0" t="b">
        <v>0</v>
      </c>
      <c r="BH4673" s="0">
        <v>437</v>
      </c>
      <c r="BI4673" s="0">
        <v>437</v>
      </c>
      <c r="BJ4673" s="0" t="s">
        <v>135</v>
      </c>
    </row>
    <row r="4674">
      <c r="A4674" s="0" t="s">
        <v>4939</v>
      </c>
      <c r="B4674" s="0" t="s">
        <v>5</v>
      </c>
      <c r="C4674" s="0" t="s">
        <v>652</v>
      </c>
      <c r="D4674" s="0" t="s">
        <v>135</v>
      </c>
      <c r="E4674" s="0" t="s">
        <v>3</v>
      </c>
      <c r="F4674" s="0" t="s">
        <v>12</v>
      </c>
      <c r="G4674" s="0" t="s">
        <v>8</v>
      </c>
      <c r="H4674" s="0">
        <v>-4</v>
      </c>
      <c r="I4674" s="0">
        <v>0</v>
      </c>
      <c r="J4674" s="0">
        <v>0</v>
      </c>
      <c r="K4674" s="0">
        <v>0</v>
      </c>
      <c r="L4674" s="0">
        <v>0</v>
      </c>
      <c r="M4674" s="0">
        <v>0</v>
      </c>
      <c r="N4674" s="0">
        <v>0</v>
      </c>
      <c r="O4674" s="0">
        <v>0</v>
      </c>
      <c r="P4674" s="0">
        <v>0</v>
      </c>
      <c r="R4674" s="0" t="b">
        <v>0</v>
      </c>
      <c r="S4674" s="0" t="b">
        <v>0</v>
      </c>
      <c r="T4674" s="68">
        <v>46058.553912037</v>
      </c>
      <c r="U4674" s="68">
        <v>0</v>
      </c>
      <c r="V4674" s="68">
        <v>46098.166875</v>
      </c>
      <c r="W4674" s="0">
        <f>IF(IF(B4674="none",1,IF(B4674="Trialer",1,0))+IF(C4674="Customer",1,IF(C4674="Lost",1,0))=2,1,0)</f>
      </c>
      <c r="X4674" s="0" t="s">
        <v>148</v>
      </c>
      <c r="Y4674" s="0" t="s">
        <v>243</v>
      </c>
      <c r="AV4674" s="68"/>
      <c r="AW4674" s="68"/>
      <c r="AY4674" s="27"/>
      <c r="BD4674" s="68">
        <v>46054.1666666667</v>
      </c>
      <c r="BE4674" s="68">
        <v>46082.1666666667</v>
      </c>
      <c r="BF4674" s="0" t="b">
        <v>0</v>
      </c>
      <c r="BG4674" s="0" t="b">
        <v>0</v>
      </c>
      <c r="BH4674" s="0">
        <v>97</v>
      </c>
      <c r="BI4674" s="0">
        <v>97</v>
      </c>
      <c r="BJ4674" s="0" t="s">
        <v>135</v>
      </c>
    </row>
    <row r="4675">
      <c r="A4675" s="0" t="s">
        <v>4940</v>
      </c>
      <c r="B4675" s="0" t="s">
        <v>5</v>
      </c>
      <c r="C4675" s="0" t="s">
        <v>652</v>
      </c>
      <c r="D4675" s="0" t="s">
        <v>135</v>
      </c>
      <c r="E4675" s="0" t="s">
        <v>3</v>
      </c>
      <c r="F4675" s="0" t="s">
        <v>12</v>
      </c>
      <c r="G4675" s="0" t="s">
        <v>8</v>
      </c>
      <c r="H4675" s="0">
        <v>-4</v>
      </c>
      <c r="I4675" s="0">
        <v>0</v>
      </c>
      <c r="J4675" s="0">
        <v>0</v>
      </c>
      <c r="K4675" s="0">
        <v>0</v>
      </c>
      <c r="L4675" s="0">
        <v>0</v>
      </c>
      <c r="M4675" s="0">
        <v>0</v>
      </c>
      <c r="N4675" s="0">
        <v>0</v>
      </c>
      <c r="O4675" s="0">
        <v>0</v>
      </c>
      <c r="P4675" s="0">
        <v>0</v>
      </c>
      <c r="R4675" s="0" t="b">
        <v>0</v>
      </c>
      <c r="S4675" s="0" t="b">
        <v>0</v>
      </c>
      <c r="T4675" s="68">
        <v>46058.5579166667</v>
      </c>
      <c r="U4675" s="68">
        <v>0</v>
      </c>
      <c r="V4675" s="68">
        <v>46098.1668171296</v>
      </c>
      <c r="W4675" s="0">
        <f>IF(IF(B4675="none",1,IF(B4675="Trialer",1,0))+IF(C4675="Customer",1,IF(C4675="Lost",1,0))=2,1,0)</f>
      </c>
      <c r="X4675" s="0" t="s">
        <v>145</v>
      </c>
      <c r="Y4675" s="0" t="s">
        <v>243</v>
      </c>
      <c r="AV4675" s="68"/>
      <c r="AW4675" s="68"/>
      <c r="AY4675" s="27"/>
      <c r="BD4675" s="68">
        <v>46054.1666666667</v>
      </c>
      <c r="BE4675" s="68">
        <v>46082.1666666667</v>
      </c>
      <c r="BF4675" s="0" t="b">
        <v>0</v>
      </c>
      <c r="BG4675" s="0" t="b">
        <v>0</v>
      </c>
      <c r="BH4675" s="0">
        <v>71</v>
      </c>
      <c r="BI4675" s="0">
        <v>71</v>
      </c>
      <c r="BJ4675" s="0" t="s">
        <v>135</v>
      </c>
    </row>
    <row r="4676">
      <c r="A4676" s="0" t="s">
        <v>4941</v>
      </c>
      <c r="B4676" s="0" t="s">
        <v>5</v>
      </c>
      <c r="C4676" s="0" t="s">
        <v>652</v>
      </c>
      <c r="D4676" s="0" t="s">
        <v>135</v>
      </c>
      <c r="E4676" s="0" t="s">
        <v>3</v>
      </c>
      <c r="F4676" s="0" t="s">
        <v>12</v>
      </c>
      <c r="G4676" s="0" t="s">
        <v>8</v>
      </c>
      <c r="H4676" s="0">
        <v>-4</v>
      </c>
      <c r="I4676" s="0">
        <v>0</v>
      </c>
      <c r="J4676" s="0">
        <v>0</v>
      </c>
      <c r="K4676" s="0">
        <v>0</v>
      </c>
      <c r="L4676" s="0">
        <v>0</v>
      </c>
      <c r="M4676" s="0">
        <v>0</v>
      </c>
      <c r="N4676" s="0">
        <v>0</v>
      </c>
      <c r="O4676" s="0">
        <v>0</v>
      </c>
      <c r="P4676" s="0">
        <v>0</v>
      </c>
      <c r="R4676" s="0" t="b">
        <v>0</v>
      </c>
      <c r="S4676" s="0" t="b">
        <v>0</v>
      </c>
      <c r="T4676" s="68">
        <v>46058.5666782407</v>
      </c>
      <c r="U4676" s="68">
        <v>0</v>
      </c>
      <c r="V4676" s="68">
        <v>46076.3960763889</v>
      </c>
      <c r="W4676" s="0">
        <f>IF(IF(B4676="none",1,IF(B4676="Trialer",1,0))+IF(C4676="Customer",1,IF(C4676="Lost",1,0))=2,1,0)</f>
      </c>
      <c r="X4676" s="0" t="s">
        <v>136</v>
      </c>
      <c r="Y4676" s="0" t="s">
        <v>243</v>
      </c>
      <c r="AV4676" s="68"/>
      <c r="AW4676" s="68"/>
      <c r="AY4676" s="27"/>
      <c r="BD4676" s="68">
        <v>46054.1666666667</v>
      </c>
      <c r="BE4676" s="68">
        <v>46082.1666666667</v>
      </c>
      <c r="BF4676" s="0" t="b">
        <v>0</v>
      </c>
      <c r="BG4676" s="0" t="b">
        <v>0</v>
      </c>
      <c r="BH4676" s="0">
        <v>59</v>
      </c>
      <c r="BI4676" s="0">
        <v>59</v>
      </c>
      <c r="BJ4676" s="0" t="s">
        <v>135</v>
      </c>
    </row>
    <row r="4677">
      <c r="A4677" s="0" t="s">
        <v>4942</v>
      </c>
      <c r="B4677" s="0" t="s">
        <v>5</v>
      </c>
      <c r="C4677" s="0" t="s">
        <v>134</v>
      </c>
      <c r="D4677" s="0" t="s">
        <v>135</v>
      </c>
      <c r="E4677" s="0" t="s">
        <v>2</v>
      </c>
      <c r="F4677" s="0" t="s">
        <v>10</v>
      </c>
      <c r="G4677" s="0" t="s">
        <v>8</v>
      </c>
      <c r="H4677" s="0">
        <v>-4</v>
      </c>
      <c r="I4677" s="0">
        <v>26.25</v>
      </c>
      <c r="J4677" s="0">
        <v>0</v>
      </c>
      <c r="K4677" s="0">
        <v>1</v>
      </c>
      <c r="L4677" s="0">
        <v>1</v>
      </c>
      <c r="M4677" s="0">
        <v>1</v>
      </c>
      <c r="N4677" s="0">
        <v>0</v>
      </c>
      <c r="O4677" s="0">
        <v>0</v>
      </c>
      <c r="P4677" s="0">
        <v>0</v>
      </c>
      <c r="Q4677" s="0" t="s">
        <v>618</v>
      </c>
      <c r="R4677" s="0" t="b">
        <v>0</v>
      </c>
      <c r="S4677" s="0" t="b">
        <v>1</v>
      </c>
      <c r="T4677" s="68">
        <v>46058.5757175926</v>
      </c>
      <c r="U4677" s="68">
        <v>46072.2916666667</v>
      </c>
      <c r="V4677" s="68">
        <v>0</v>
      </c>
      <c r="W4677" s="0">
        <f>IF(IF(B4677="none",1,IF(B4677="Trialer",1,0))+IF(C4677="Customer",1,IF(C4677="Lost",1,0))=2,1,0)</f>
      </c>
      <c r="X4677" s="0" t="s">
        <v>148</v>
      </c>
      <c r="Y4677" s="0" t="s">
        <v>499</v>
      </c>
      <c r="AV4677" s="68"/>
      <c r="AW4677" s="68"/>
      <c r="AY4677" s="27"/>
      <c r="BD4677" s="68">
        <v>46054.1666666667</v>
      </c>
      <c r="BE4677" s="68">
        <v>46082.1666666667</v>
      </c>
      <c r="BF4677" s="0" t="b">
        <v>0</v>
      </c>
      <c r="BG4677" s="0" t="b">
        <v>0</v>
      </c>
      <c r="BH4677" s="0">
        <v>131.25</v>
      </c>
      <c r="BI4677" s="0">
        <v>131.25</v>
      </c>
      <c r="BJ4677" s="0" t="s">
        <v>135</v>
      </c>
    </row>
    <row r="4678">
      <c r="A4678" s="0" t="s">
        <v>4943</v>
      </c>
      <c r="B4678" s="0" t="s">
        <v>5</v>
      </c>
      <c r="C4678" s="0" t="s">
        <v>652</v>
      </c>
      <c r="D4678" s="0" t="s">
        <v>135</v>
      </c>
      <c r="E4678" s="0" t="s">
        <v>3</v>
      </c>
      <c r="F4678" s="0" t="s">
        <v>10</v>
      </c>
      <c r="G4678" s="0" t="s">
        <v>8</v>
      </c>
      <c r="H4678" s="0">
        <v>-4</v>
      </c>
      <c r="I4678" s="0">
        <v>0</v>
      </c>
      <c r="J4678" s="0">
        <v>0</v>
      </c>
      <c r="K4678" s="0">
        <v>0</v>
      </c>
      <c r="L4678" s="0">
        <v>0</v>
      </c>
      <c r="M4678" s="0">
        <v>0</v>
      </c>
      <c r="N4678" s="0">
        <v>0</v>
      </c>
      <c r="O4678" s="0">
        <v>0</v>
      </c>
      <c r="P4678" s="0">
        <v>0</v>
      </c>
      <c r="Q4678" s="0" t="s">
        <v>2203</v>
      </c>
      <c r="R4678" s="0" t="b">
        <v>0</v>
      </c>
      <c r="S4678" s="0" t="b">
        <v>0</v>
      </c>
      <c r="T4678" s="68">
        <v>46058.6034722222</v>
      </c>
      <c r="U4678" s="68">
        <v>0</v>
      </c>
      <c r="V4678" s="68">
        <v>46059.5662037037</v>
      </c>
      <c r="W4678" s="0">
        <f>IF(IF(B4678="none",1,IF(B4678="Trialer",1,0))+IF(C4678="Customer",1,IF(C4678="Lost",1,0))=2,1,0)</f>
      </c>
      <c r="X4678" s="0" t="s">
        <v>148</v>
      </c>
      <c r="Y4678" s="0" t="s">
        <v>243</v>
      </c>
      <c r="AV4678" s="68"/>
      <c r="AW4678" s="68"/>
      <c r="AY4678" s="27"/>
      <c r="BD4678" s="68">
        <v>46054.1666666667</v>
      </c>
      <c r="BE4678" s="68">
        <v>46082.1666666667</v>
      </c>
      <c r="BF4678" s="0" t="b">
        <v>1</v>
      </c>
      <c r="BG4678" s="0" t="b">
        <v>0</v>
      </c>
      <c r="BH4678" s="0">
        <v>59</v>
      </c>
      <c r="BI4678" s="0">
        <v>59</v>
      </c>
      <c r="BJ4678" s="0" t="s">
        <v>135</v>
      </c>
    </row>
    <row r="4679">
      <c r="A4679" s="0" t="s">
        <v>4944</v>
      </c>
      <c r="B4679" s="0" t="s">
        <v>5</v>
      </c>
      <c r="C4679" s="0" t="s">
        <v>652</v>
      </c>
      <c r="D4679" s="0" t="s">
        <v>135</v>
      </c>
      <c r="E4679" s="0" t="s">
        <v>3</v>
      </c>
      <c r="F4679" s="0" t="s">
        <v>12</v>
      </c>
      <c r="G4679" s="0" t="s">
        <v>8</v>
      </c>
      <c r="H4679" s="0">
        <v>-4</v>
      </c>
      <c r="I4679" s="0">
        <v>0</v>
      </c>
      <c r="J4679" s="0">
        <v>0</v>
      </c>
      <c r="K4679" s="0">
        <v>0</v>
      </c>
      <c r="L4679" s="0">
        <v>0</v>
      </c>
      <c r="M4679" s="0">
        <v>0</v>
      </c>
      <c r="N4679" s="0">
        <v>0</v>
      </c>
      <c r="O4679" s="0">
        <v>0</v>
      </c>
      <c r="P4679" s="0">
        <v>0</v>
      </c>
      <c r="R4679" s="0" t="b">
        <v>0</v>
      </c>
      <c r="S4679" s="0" t="b">
        <v>0</v>
      </c>
      <c r="T4679" s="68">
        <v>46058.6053703704</v>
      </c>
      <c r="U4679" s="68">
        <v>0</v>
      </c>
      <c r="V4679" s="68">
        <v>46098.1669560185</v>
      </c>
      <c r="W4679" s="0">
        <f>IF(IF(B4679="none",1,IF(B4679="Trialer",1,0))+IF(C4679="Customer",1,IF(C4679="Lost",1,0))=2,1,0)</f>
      </c>
      <c r="X4679" s="0" t="s">
        <v>145</v>
      </c>
      <c r="Y4679" s="0" t="s">
        <v>243</v>
      </c>
      <c r="AV4679" s="68"/>
      <c r="AW4679" s="68"/>
      <c r="AY4679" s="27"/>
      <c r="BD4679" s="68">
        <v>46054.1666666667</v>
      </c>
      <c r="BE4679" s="68">
        <v>46082.1666666667</v>
      </c>
      <c r="BF4679" s="0" t="b">
        <v>0</v>
      </c>
      <c r="BG4679" s="0" t="b">
        <v>0</v>
      </c>
      <c r="BH4679" s="0">
        <v>177</v>
      </c>
      <c r="BI4679" s="0">
        <v>177</v>
      </c>
      <c r="BJ4679" s="0" t="s">
        <v>135</v>
      </c>
    </row>
    <row r="4680">
      <c r="A4680" s="0" t="s">
        <v>4945</v>
      </c>
      <c r="B4680" s="0" t="s">
        <v>5</v>
      </c>
      <c r="C4680" s="0" t="s">
        <v>652</v>
      </c>
      <c r="D4680" s="0" t="s">
        <v>135</v>
      </c>
      <c r="E4680" s="0" t="s">
        <v>2414</v>
      </c>
      <c r="F4680" s="0" t="s">
        <v>12</v>
      </c>
      <c r="G4680" s="0" t="s">
        <v>8</v>
      </c>
      <c r="H4680" s="0">
        <v>-4</v>
      </c>
      <c r="I4680" s="0">
        <v>0</v>
      </c>
      <c r="J4680" s="0">
        <v>0</v>
      </c>
      <c r="K4680" s="0">
        <v>0</v>
      </c>
      <c r="L4680" s="0">
        <v>0</v>
      </c>
      <c r="M4680" s="0">
        <v>0</v>
      </c>
      <c r="N4680" s="0">
        <v>0</v>
      </c>
      <c r="O4680" s="0">
        <v>0</v>
      </c>
      <c r="P4680" s="0">
        <v>0</v>
      </c>
      <c r="R4680" s="0" t="b">
        <v>0</v>
      </c>
      <c r="S4680" s="0" t="b">
        <v>0</v>
      </c>
      <c r="T4680" s="68">
        <v>46058.6625578704</v>
      </c>
      <c r="U4680" s="68">
        <v>0</v>
      </c>
      <c r="V4680" s="68">
        <v>46059.4659953704</v>
      </c>
      <c r="W4680" s="0">
        <f>IF(IF(B4680="none",1,IF(B4680="Trialer",1,0))+IF(C4680="Customer",1,IF(C4680="Lost",1,0))=2,1,0)</f>
      </c>
      <c r="X4680" s="0" t="s">
        <v>1461</v>
      </c>
      <c r="Y4680" s="0" t="s">
        <v>1516</v>
      </c>
      <c r="AV4680" s="68"/>
      <c r="AW4680" s="68"/>
      <c r="AY4680" s="27"/>
      <c r="BD4680" s="68">
        <v>46054.1666666667</v>
      </c>
      <c r="BE4680" s="68">
        <v>46082.1666666667</v>
      </c>
      <c r="BF4680" s="0" t="b">
        <v>1</v>
      </c>
      <c r="BG4680" s="0" t="b">
        <v>0</v>
      </c>
      <c r="BH4680" s="0">
        <v>59</v>
      </c>
      <c r="BI4680" s="0">
        <v>0</v>
      </c>
      <c r="BJ4680" s="0" t="s">
        <v>135</v>
      </c>
    </row>
    <row r="4681">
      <c r="A4681" s="0" t="s">
        <v>4946</v>
      </c>
      <c r="B4681" s="0" t="s">
        <v>5</v>
      </c>
      <c r="C4681" s="0" t="s">
        <v>134</v>
      </c>
      <c r="D4681" s="0" t="s">
        <v>135</v>
      </c>
      <c r="E4681" s="0" t="s">
        <v>3</v>
      </c>
      <c r="F4681" s="0" t="s">
        <v>10</v>
      </c>
      <c r="G4681" s="0" t="s">
        <v>8</v>
      </c>
      <c r="H4681" s="0">
        <v>-4</v>
      </c>
      <c r="I4681" s="0">
        <v>59</v>
      </c>
      <c r="J4681" s="0">
        <v>0</v>
      </c>
      <c r="K4681" s="0">
        <v>1</v>
      </c>
      <c r="L4681" s="0">
        <v>3</v>
      </c>
      <c r="M4681" s="0">
        <v>1</v>
      </c>
      <c r="N4681" s="0">
        <v>0</v>
      </c>
      <c r="O4681" s="0">
        <v>0</v>
      </c>
      <c r="P4681" s="0">
        <v>0</v>
      </c>
      <c r="Q4681" s="0" t="s">
        <v>2203</v>
      </c>
      <c r="R4681" s="0" t="b">
        <v>0</v>
      </c>
      <c r="S4681" s="0" t="b">
        <v>1</v>
      </c>
      <c r="T4681" s="68">
        <v>46058.7</v>
      </c>
      <c r="U4681" s="68">
        <v>46072.2916666667</v>
      </c>
      <c r="V4681" s="68">
        <v>0</v>
      </c>
      <c r="W4681" s="0">
        <f>IF(IF(B4681="none",1,IF(B4681="Trialer",1,0))+IF(C4681="Customer",1,IF(C4681="Lost",1,0))=2,1,0)</f>
      </c>
      <c r="X4681" s="0" t="s">
        <v>148</v>
      </c>
      <c r="Y4681" s="0" t="s">
        <v>243</v>
      </c>
      <c r="AV4681" s="68"/>
      <c r="AW4681" s="68"/>
      <c r="AY4681" s="27"/>
      <c r="BD4681" s="68">
        <v>46054.1666666667</v>
      </c>
      <c r="BE4681" s="68">
        <v>46082.1666666667</v>
      </c>
      <c r="BF4681" s="0" t="b">
        <v>0</v>
      </c>
      <c r="BG4681" s="0" t="b">
        <v>0</v>
      </c>
      <c r="BH4681" s="0">
        <v>94</v>
      </c>
      <c r="BI4681" s="0">
        <v>94</v>
      </c>
      <c r="BJ4681" s="0" t="s">
        <v>135</v>
      </c>
    </row>
    <row r="4682">
      <c r="A4682" s="0" t="s">
        <v>4947</v>
      </c>
      <c r="B4682" s="0" t="s">
        <v>5</v>
      </c>
      <c r="C4682" s="0" t="s">
        <v>652</v>
      </c>
      <c r="D4682" s="0" t="s">
        <v>135</v>
      </c>
      <c r="E4682" s="0" t="s">
        <v>3</v>
      </c>
      <c r="F4682" s="0" t="s">
        <v>12</v>
      </c>
      <c r="G4682" s="0" t="s">
        <v>8</v>
      </c>
      <c r="H4682" s="0">
        <v>-4</v>
      </c>
      <c r="I4682" s="0">
        <v>0</v>
      </c>
      <c r="J4682" s="0">
        <v>0</v>
      </c>
      <c r="K4682" s="0">
        <v>0</v>
      </c>
      <c r="L4682" s="0">
        <v>0</v>
      </c>
      <c r="M4682" s="0">
        <v>0</v>
      </c>
      <c r="N4682" s="0">
        <v>0</v>
      </c>
      <c r="O4682" s="0">
        <v>0</v>
      </c>
      <c r="P4682" s="0">
        <v>0</v>
      </c>
      <c r="R4682" s="0" t="b">
        <v>0</v>
      </c>
      <c r="S4682" s="0" t="b">
        <v>0</v>
      </c>
      <c r="T4682" s="68">
        <v>46058.7172222222</v>
      </c>
      <c r="U4682" s="68">
        <v>0</v>
      </c>
      <c r="V4682" s="68">
        <v>46098.1668171296</v>
      </c>
      <c r="W4682" s="0">
        <f>IF(IF(B4682="none",1,IF(B4682="Trialer",1,0))+IF(C4682="Customer",1,IF(C4682="Lost",1,0))=2,1,0)</f>
      </c>
      <c r="X4682" s="0" t="s">
        <v>145</v>
      </c>
      <c r="Y4682" s="0" t="s">
        <v>243</v>
      </c>
      <c r="AV4682" s="68"/>
      <c r="AW4682" s="68"/>
      <c r="AY4682" s="27"/>
      <c r="BD4682" s="68">
        <v>46054.1666666667</v>
      </c>
      <c r="BE4682" s="68">
        <v>46082.1666666667</v>
      </c>
      <c r="BF4682" s="0" t="b">
        <v>0</v>
      </c>
      <c r="BG4682" s="0" t="b">
        <v>0</v>
      </c>
      <c r="BH4682" s="0">
        <v>59</v>
      </c>
      <c r="BI4682" s="0">
        <v>59</v>
      </c>
      <c r="BJ4682" s="0" t="s">
        <v>135</v>
      </c>
    </row>
    <row r="4683">
      <c r="A4683" s="0" t="s">
        <v>4948</v>
      </c>
      <c r="B4683" s="0" t="s">
        <v>5</v>
      </c>
      <c r="C4683" s="0" t="s">
        <v>652</v>
      </c>
      <c r="D4683" s="0" t="s">
        <v>135</v>
      </c>
      <c r="E4683" s="0" t="s">
        <v>3</v>
      </c>
      <c r="F4683" s="0" t="s">
        <v>12</v>
      </c>
      <c r="G4683" s="0" t="s">
        <v>8</v>
      </c>
      <c r="H4683" s="0">
        <v>-4</v>
      </c>
      <c r="I4683" s="0">
        <v>0</v>
      </c>
      <c r="J4683" s="0">
        <v>0</v>
      </c>
      <c r="K4683" s="0">
        <v>0</v>
      </c>
      <c r="L4683" s="0">
        <v>0</v>
      </c>
      <c r="M4683" s="0">
        <v>0</v>
      </c>
      <c r="N4683" s="0">
        <v>0</v>
      </c>
      <c r="O4683" s="0">
        <v>0</v>
      </c>
      <c r="P4683" s="0">
        <v>0</v>
      </c>
      <c r="R4683" s="0" t="b">
        <v>0</v>
      </c>
      <c r="S4683" s="0" t="b">
        <v>0</v>
      </c>
      <c r="T4683" s="68">
        <v>46058.719224537</v>
      </c>
      <c r="U4683" s="68">
        <v>0</v>
      </c>
      <c r="V4683" s="68">
        <v>46077.6799537037</v>
      </c>
      <c r="W4683" s="0">
        <f>IF(IF(B4683="none",1,IF(B4683="Trialer",1,0))+IF(C4683="Customer",1,IF(C4683="Lost",1,0))=2,1,0)</f>
      </c>
      <c r="X4683" s="0" t="s">
        <v>136</v>
      </c>
      <c r="Y4683" s="0" t="s">
        <v>243</v>
      </c>
      <c r="AV4683" s="68"/>
      <c r="AW4683" s="68"/>
      <c r="AY4683" s="27"/>
      <c r="BD4683" s="68">
        <v>46054.1666666667</v>
      </c>
      <c r="BE4683" s="68">
        <v>46082.1666666667</v>
      </c>
      <c r="BF4683" s="0" t="b">
        <v>0</v>
      </c>
      <c r="BG4683" s="0" t="b">
        <v>0</v>
      </c>
      <c r="BH4683" s="0">
        <v>59</v>
      </c>
      <c r="BI4683" s="0">
        <v>59</v>
      </c>
      <c r="BJ4683" s="0" t="s">
        <v>135</v>
      </c>
    </row>
    <row r="4684">
      <c r="A4684" s="0" t="s">
        <v>4949</v>
      </c>
      <c r="B4684" s="0" t="s">
        <v>5</v>
      </c>
      <c r="C4684" s="0" t="s">
        <v>652</v>
      </c>
      <c r="D4684" s="0" t="s">
        <v>135</v>
      </c>
      <c r="E4684" s="0" t="s">
        <v>2414</v>
      </c>
      <c r="F4684" s="0" t="s">
        <v>10</v>
      </c>
      <c r="G4684" s="0" t="s">
        <v>8</v>
      </c>
      <c r="H4684" s="0">
        <v>-4</v>
      </c>
      <c r="I4684" s="0">
        <v>0</v>
      </c>
      <c r="J4684" s="0">
        <v>0</v>
      </c>
      <c r="K4684" s="0">
        <v>0</v>
      </c>
      <c r="L4684" s="0">
        <v>0</v>
      </c>
      <c r="M4684" s="0">
        <v>0</v>
      </c>
      <c r="N4684" s="0">
        <v>0</v>
      </c>
      <c r="O4684" s="0">
        <v>0</v>
      </c>
      <c r="P4684" s="0">
        <v>0</v>
      </c>
      <c r="Q4684" s="0" t="s">
        <v>2467</v>
      </c>
      <c r="R4684" s="0" t="b">
        <v>0</v>
      </c>
      <c r="S4684" s="0" t="b">
        <v>0</v>
      </c>
      <c r="T4684" s="68">
        <v>46058.7312384259</v>
      </c>
      <c r="U4684" s="68">
        <v>0</v>
      </c>
      <c r="V4684" s="68">
        <v>46098.1669675926</v>
      </c>
      <c r="W4684" s="0">
        <f>IF(IF(B4684="none",1,IF(B4684="Trialer",1,0))+IF(C4684="Customer",1,IF(C4684="Lost",1,0))=2,1,0)</f>
      </c>
      <c r="X4684" s="0" t="s">
        <v>136</v>
      </c>
      <c r="Y4684" s="0" t="s">
        <v>1516</v>
      </c>
      <c r="AV4684" s="68"/>
      <c r="AW4684" s="68"/>
      <c r="AY4684" s="27"/>
      <c r="BD4684" s="68">
        <v>46054.1666666667</v>
      </c>
      <c r="BE4684" s="68">
        <v>46082.1666666667</v>
      </c>
      <c r="BF4684" s="0" t="b">
        <v>0</v>
      </c>
      <c r="BG4684" s="0" t="b">
        <v>0</v>
      </c>
      <c r="BH4684" s="0">
        <v>59</v>
      </c>
      <c r="BI4684" s="0">
        <v>59</v>
      </c>
      <c r="BJ4684" s="0" t="s">
        <v>135</v>
      </c>
    </row>
    <row r="4685">
      <c r="A4685" s="0" t="s">
        <v>4950</v>
      </c>
      <c r="B4685" s="0" t="s">
        <v>5</v>
      </c>
      <c r="C4685" s="0" t="s">
        <v>652</v>
      </c>
      <c r="D4685" s="0" t="s">
        <v>135</v>
      </c>
      <c r="E4685" s="0" t="s">
        <v>2</v>
      </c>
      <c r="F4685" s="0" t="s">
        <v>12</v>
      </c>
      <c r="G4685" s="0" t="s">
        <v>8</v>
      </c>
      <c r="H4685" s="0">
        <v>-4</v>
      </c>
      <c r="I4685" s="0">
        <v>0</v>
      </c>
      <c r="J4685" s="0">
        <v>0</v>
      </c>
      <c r="K4685" s="0">
        <v>0</v>
      </c>
      <c r="L4685" s="0">
        <v>0</v>
      </c>
      <c r="M4685" s="0">
        <v>0</v>
      </c>
      <c r="N4685" s="0">
        <v>0</v>
      </c>
      <c r="O4685" s="0">
        <v>0</v>
      </c>
      <c r="P4685" s="0">
        <v>0</v>
      </c>
      <c r="R4685" s="0" t="b">
        <v>0</v>
      </c>
      <c r="S4685" s="0" t="b">
        <v>0</v>
      </c>
      <c r="T4685" s="68">
        <v>46058.7913425926</v>
      </c>
      <c r="U4685" s="68">
        <v>0</v>
      </c>
      <c r="V4685" s="68">
        <v>46098.1669212963</v>
      </c>
      <c r="W4685" s="0">
        <f>IF(IF(B4685="none",1,IF(B4685="Trialer",1,0))+IF(C4685="Customer",1,IF(C4685="Lost",1,0))=2,1,0)</f>
      </c>
      <c r="X4685" s="0" t="s">
        <v>148</v>
      </c>
      <c r="Y4685" s="0" t="s">
        <v>499</v>
      </c>
      <c r="AV4685" s="68"/>
      <c r="AW4685" s="68"/>
      <c r="AY4685" s="27"/>
      <c r="BD4685" s="68">
        <v>46054.1666666667</v>
      </c>
      <c r="BE4685" s="68">
        <v>46082.1666666667</v>
      </c>
      <c r="BF4685" s="0" t="b">
        <v>0</v>
      </c>
      <c r="BG4685" s="0" t="b">
        <v>0</v>
      </c>
      <c r="BH4685" s="0">
        <v>59</v>
      </c>
      <c r="BI4685" s="0">
        <v>59</v>
      </c>
      <c r="BJ4685" s="0" t="s">
        <v>135</v>
      </c>
    </row>
    <row r="4686">
      <c r="A4686" s="0" t="s">
        <v>4951</v>
      </c>
      <c r="B4686" s="0" t="s">
        <v>5</v>
      </c>
      <c r="C4686" s="0" t="s">
        <v>652</v>
      </c>
      <c r="D4686" s="0" t="s">
        <v>135</v>
      </c>
      <c r="E4686" s="0" t="s">
        <v>1515</v>
      </c>
      <c r="F4686" s="0" t="s">
        <v>12</v>
      </c>
      <c r="G4686" s="0" t="s">
        <v>8</v>
      </c>
      <c r="H4686" s="0">
        <v>-4</v>
      </c>
      <c r="I4686" s="0">
        <v>0</v>
      </c>
      <c r="J4686" s="0">
        <v>0</v>
      </c>
      <c r="K4686" s="0">
        <v>0</v>
      </c>
      <c r="L4686" s="0">
        <v>0</v>
      </c>
      <c r="M4686" s="0">
        <v>0</v>
      </c>
      <c r="N4686" s="0">
        <v>0</v>
      </c>
      <c r="O4686" s="0">
        <v>0</v>
      </c>
      <c r="P4686" s="0">
        <v>0</v>
      </c>
      <c r="R4686" s="0" t="b">
        <v>0</v>
      </c>
      <c r="S4686" s="0" t="b">
        <v>0</v>
      </c>
      <c r="T4686" s="68">
        <v>46058.7951041667</v>
      </c>
      <c r="U4686" s="68">
        <v>0</v>
      </c>
      <c r="V4686" s="68">
        <v>46098.1669328704</v>
      </c>
      <c r="W4686" s="0">
        <f>IF(IF(B4686="none",1,IF(B4686="Trialer",1,0))+IF(C4686="Customer",1,IF(C4686="Lost",1,0))=2,1,0)</f>
      </c>
      <c r="X4686" s="0" t="s">
        <v>145</v>
      </c>
      <c r="Y4686" s="0" t="s">
        <v>1516</v>
      </c>
      <c r="AV4686" s="68"/>
      <c r="AW4686" s="68"/>
      <c r="AY4686" s="27"/>
      <c r="BD4686" s="68">
        <v>46054.1666666667</v>
      </c>
      <c r="BE4686" s="68">
        <v>46082.1666666667</v>
      </c>
      <c r="BF4686" s="0" t="b">
        <v>0</v>
      </c>
      <c r="BG4686" s="0" t="b">
        <v>0</v>
      </c>
      <c r="BH4686" s="0">
        <v>59</v>
      </c>
      <c r="BI4686" s="0">
        <v>59</v>
      </c>
      <c r="BJ4686" s="0" t="s">
        <v>135</v>
      </c>
    </row>
    <row r="4687">
      <c r="A4687" s="0" t="s">
        <v>4952</v>
      </c>
      <c r="B4687" s="0" t="s">
        <v>5</v>
      </c>
      <c r="C4687" s="0" t="s">
        <v>652</v>
      </c>
      <c r="D4687" s="0" t="s">
        <v>135</v>
      </c>
      <c r="E4687" s="0" t="s">
        <v>3</v>
      </c>
      <c r="F4687" s="0" t="s">
        <v>12</v>
      </c>
      <c r="G4687" s="0" t="s">
        <v>8</v>
      </c>
      <c r="H4687" s="0">
        <v>-4</v>
      </c>
      <c r="I4687" s="0">
        <v>0</v>
      </c>
      <c r="J4687" s="0">
        <v>0</v>
      </c>
      <c r="K4687" s="0">
        <v>0</v>
      </c>
      <c r="L4687" s="0">
        <v>0</v>
      </c>
      <c r="M4687" s="0">
        <v>0</v>
      </c>
      <c r="N4687" s="0">
        <v>0</v>
      </c>
      <c r="O4687" s="0">
        <v>0</v>
      </c>
      <c r="P4687" s="0">
        <v>0</v>
      </c>
      <c r="R4687" s="0" t="b">
        <v>0</v>
      </c>
      <c r="S4687" s="0" t="b">
        <v>0</v>
      </c>
      <c r="T4687" s="68">
        <v>46058.8306712963</v>
      </c>
      <c r="U4687" s="68">
        <v>0</v>
      </c>
      <c r="V4687" s="68">
        <v>46098.1668402778</v>
      </c>
      <c r="W4687" s="0">
        <f>IF(IF(B4687="none",1,IF(B4687="Trialer",1,0))+IF(C4687="Customer",1,IF(C4687="Lost",1,0))=2,1,0)</f>
      </c>
      <c r="X4687" s="0" t="s">
        <v>136</v>
      </c>
      <c r="Y4687" s="0" t="s">
        <v>2664</v>
      </c>
      <c r="AV4687" s="68"/>
      <c r="AW4687" s="68"/>
      <c r="AY4687" s="27"/>
      <c r="BD4687" s="68">
        <v>46054.1666666667</v>
      </c>
      <c r="BE4687" s="68">
        <v>46082.1666666667</v>
      </c>
      <c r="BF4687" s="0" t="b">
        <v>0</v>
      </c>
      <c r="BG4687" s="0" t="b">
        <v>0</v>
      </c>
      <c r="BH4687" s="0">
        <v>71</v>
      </c>
      <c r="BI4687" s="0">
        <v>71</v>
      </c>
      <c r="BJ4687" s="0" t="s">
        <v>135</v>
      </c>
    </row>
    <row r="4688">
      <c r="A4688" s="0" t="s">
        <v>4953</v>
      </c>
      <c r="B4688" s="0" t="s">
        <v>5</v>
      </c>
      <c r="C4688" s="0" t="s">
        <v>652</v>
      </c>
      <c r="D4688" s="0" t="s">
        <v>135</v>
      </c>
      <c r="E4688" s="0" t="s">
        <v>3</v>
      </c>
      <c r="F4688" s="0" t="s">
        <v>12</v>
      </c>
      <c r="G4688" s="0" t="s">
        <v>8</v>
      </c>
      <c r="H4688" s="0">
        <v>-5</v>
      </c>
      <c r="I4688" s="0">
        <v>0</v>
      </c>
      <c r="J4688" s="0">
        <v>0</v>
      </c>
      <c r="K4688" s="0">
        <v>0</v>
      </c>
      <c r="L4688" s="0">
        <v>0</v>
      </c>
      <c r="M4688" s="0">
        <v>0</v>
      </c>
      <c r="N4688" s="0">
        <v>0</v>
      </c>
      <c r="O4688" s="0">
        <v>0</v>
      </c>
      <c r="P4688" s="0">
        <v>0</v>
      </c>
      <c r="R4688" s="0" t="b">
        <v>0</v>
      </c>
      <c r="S4688" s="0" t="b">
        <v>0</v>
      </c>
      <c r="T4688" s="68">
        <v>46059.0347685185</v>
      </c>
      <c r="U4688" s="68">
        <v>0</v>
      </c>
      <c r="V4688" s="68">
        <v>46098.1669444444</v>
      </c>
      <c r="W4688" s="0">
        <f>IF(IF(B4688="none",1,IF(B4688="Trialer",1,0))+IF(C4688="Customer",1,IF(C4688="Lost",1,0))=2,1,0)</f>
      </c>
      <c r="X4688" s="0" t="s">
        <v>148</v>
      </c>
      <c r="Y4688" s="0" t="s">
        <v>243</v>
      </c>
      <c r="AV4688" s="68"/>
      <c r="AW4688" s="68"/>
      <c r="AY4688" s="27"/>
      <c r="BD4688" s="68">
        <v>46054.1666666667</v>
      </c>
      <c r="BE4688" s="68">
        <v>46082.1666666667</v>
      </c>
      <c r="BF4688" s="0" t="b">
        <v>0</v>
      </c>
      <c r="BG4688" s="0" t="b">
        <v>0</v>
      </c>
      <c r="BH4688" s="0">
        <v>59</v>
      </c>
      <c r="BI4688" s="0">
        <v>59</v>
      </c>
      <c r="BJ4688" s="0" t="s">
        <v>135</v>
      </c>
    </row>
    <row r="4689">
      <c r="A4689" s="0" t="s">
        <v>4954</v>
      </c>
      <c r="B4689" s="0" t="s">
        <v>5</v>
      </c>
      <c r="C4689" s="0" t="s">
        <v>652</v>
      </c>
      <c r="D4689" s="0" t="s">
        <v>135</v>
      </c>
      <c r="E4689" s="0" t="s">
        <v>3</v>
      </c>
      <c r="F4689" s="0" t="s">
        <v>12</v>
      </c>
      <c r="G4689" s="0" t="s">
        <v>8</v>
      </c>
      <c r="H4689" s="0">
        <v>-5</v>
      </c>
      <c r="I4689" s="0">
        <v>0</v>
      </c>
      <c r="J4689" s="0">
        <v>0</v>
      </c>
      <c r="K4689" s="0">
        <v>0</v>
      </c>
      <c r="L4689" s="0">
        <v>0</v>
      </c>
      <c r="M4689" s="0">
        <v>0</v>
      </c>
      <c r="N4689" s="0">
        <v>0</v>
      </c>
      <c r="O4689" s="0">
        <v>0</v>
      </c>
      <c r="P4689" s="0">
        <v>0</v>
      </c>
      <c r="R4689" s="0" t="b">
        <v>0</v>
      </c>
      <c r="S4689" s="0" t="b">
        <v>0</v>
      </c>
      <c r="T4689" s="68">
        <v>46059.2492013889</v>
      </c>
      <c r="U4689" s="68">
        <v>0</v>
      </c>
      <c r="V4689" s="68">
        <v>46085.302037037</v>
      </c>
      <c r="W4689" s="0">
        <f>IF(IF(B4689="none",1,IF(B4689="Trialer",1,0))+IF(C4689="Customer",1,IF(C4689="Lost",1,0))=2,1,0)</f>
      </c>
      <c r="X4689" s="0" t="s">
        <v>145</v>
      </c>
      <c r="Y4689" s="0" t="s">
        <v>243</v>
      </c>
      <c r="AV4689" s="68"/>
      <c r="AW4689" s="68"/>
      <c r="AY4689" s="27"/>
      <c r="BD4689" s="68">
        <v>46054.1666666667</v>
      </c>
      <c r="BE4689" s="68">
        <v>46082.1666666667</v>
      </c>
      <c r="BF4689" s="0" t="b">
        <v>0</v>
      </c>
      <c r="BG4689" s="0" t="b">
        <v>0</v>
      </c>
      <c r="BH4689" s="0">
        <v>59</v>
      </c>
      <c r="BI4689" s="0">
        <v>59</v>
      </c>
      <c r="BJ4689" s="0" t="s">
        <v>135</v>
      </c>
    </row>
    <row r="4690">
      <c r="A4690" s="0" t="s">
        <v>4955</v>
      </c>
      <c r="B4690" s="0" t="s">
        <v>5</v>
      </c>
      <c r="C4690" s="0" t="s">
        <v>652</v>
      </c>
      <c r="D4690" s="0" t="s">
        <v>135</v>
      </c>
      <c r="E4690" s="0" t="s">
        <v>1515</v>
      </c>
      <c r="F4690" s="0" t="s">
        <v>12</v>
      </c>
      <c r="G4690" s="0" t="s">
        <v>8</v>
      </c>
      <c r="H4690" s="0">
        <v>-5</v>
      </c>
      <c r="I4690" s="0">
        <v>0</v>
      </c>
      <c r="J4690" s="0">
        <v>0</v>
      </c>
      <c r="K4690" s="0">
        <v>0</v>
      </c>
      <c r="L4690" s="0">
        <v>0</v>
      </c>
      <c r="M4690" s="0">
        <v>0</v>
      </c>
      <c r="N4690" s="0">
        <v>0</v>
      </c>
      <c r="O4690" s="0">
        <v>0</v>
      </c>
      <c r="P4690" s="0">
        <v>0</v>
      </c>
      <c r="R4690" s="0" t="b">
        <v>0</v>
      </c>
      <c r="S4690" s="0" t="b">
        <v>0</v>
      </c>
      <c r="T4690" s="68">
        <v>46059.3076157407</v>
      </c>
      <c r="U4690" s="68">
        <v>0</v>
      </c>
      <c r="V4690" s="68">
        <v>46059.3086342593</v>
      </c>
      <c r="W4690" s="0">
        <f>IF(IF(B4690="none",1,IF(B4690="Trialer",1,0))+IF(C4690="Customer",1,IF(C4690="Lost",1,0))=2,1,0)</f>
      </c>
      <c r="X4690" s="0" t="s">
        <v>653</v>
      </c>
      <c r="Y4690" s="0" t="s">
        <v>1516</v>
      </c>
      <c r="AV4690" s="68"/>
      <c r="AW4690" s="68"/>
      <c r="AY4690" s="27"/>
      <c r="BD4690" s="68">
        <v>46054.1666666667</v>
      </c>
      <c r="BE4690" s="68">
        <v>46082.1666666667</v>
      </c>
      <c r="BF4690" s="0" t="b">
        <v>1</v>
      </c>
      <c r="BG4690" s="0" t="b">
        <v>0</v>
      </c>
      <c r="BH4690" s="0">
        <v>0</v>
      </c>
      <c r="BI4690" s="0">
        <v>0</v>
      </c>
      <c r="BJ4690" s="0" t="s">
        <v>135</v>
      </c>
    </row>
    <row r="4691">
      <c r="A4691" s="0" t="s">
        <v>4956</v>
      </c>
      <c r="B4691" s="0" t="s">
        <v>5</v>
      </c>
      <c r="C4691" s="0" t="s">
        <v>652</v>
      </c>
      <c r="D4691" s="0" t="s">
        <v>135</v>
      </c>
      <c r="E4691" s="0" t="s">
        <v>3</v>
      </c>
      <c r="F4691" s="0" t="s">
        <v>12</v>
      </c>
      <c r="G4691" s="0" t="s">
        <v>8</v>
      </c>
      <c r="H4691" s="0">
        <v>-5</v>
      </c>
      <c r="I4691" s="0">
        <v>0</v>
      </c>
      <c r="J4691" s="0">
        <v>0</v>
      </c>
      <c r="K4691" s="0">
        <v>0</v>
      </c>
      <c r="L4691" s="0">
        <v>0</v>
      </c>
      <c r="M4691" s="0">
        <v>0</v>
      </c>
      <c r="N4691" s="0">
        <v>0</v>
      </c>
      <c r="O4691" s="0">
        <v>0</v>
      </c>
      <c r="P4691" s="0">
        <v>0</v>
      </c>
      <c r="R4691" s="0" t="b">
        <v>0</v>
      </c>
      <c r="S4691" s="0" t="b">
        <v>0</v>
      </c>
      <c r="T4691" s="68">
        <v>46059.3447222222</v>
      </c>
      <c r="U4691" s="68">
        <v>0</v>
      </c>
      <c r="V4691" s="68">
        <v>46099.1668287037</v>
      </c>
      <c r="W4691" s="0">
        <f>IF(IF(B4691="none",1,IF(B4691="Trialer",1,0))+IF(C4691="Customer",1,IF(C4691="Lost",1,0))=2,1,0)</f>
      </c>
      <c r="X4691" s="0" t="s">
        <v>145</v>
      </c>
      <c r="Y4691" s="0" t="s">
        <v>243</v>
      </c>
      <c r="AV4691" s="68"/>
      <c r="AW4691" s="68"/>
      <c r="AY4691" s="27"/>
      <c r="BD4691" s="68">
        <v>46054.1666666667</v>
      </c>
      <c r="BE4691" s="68">
        <v>46082.1666666667</v>
      </c>
      <c r="BF4691" s="0" t="b">
        <v>0</v>
      </c>
      <c r="BG4691" s="0" t="b">
        <v>0</v>
      </c>
      <c r="BH4691" s="0">
        <v>167</v>
      </c>
      <c r="BI4691" s="0">
        <v>167</v>
      </c>
      <c r="BJ4691" s="0" t="s">
        <v>135</v>
      </c>
    </row>
    <row r="4692">
      <c r="A4692" s="0" t="s">
        <v>4957</v>
      </c>
      <c r="B4692" s="0" t="s">
        <v>5</v>
      </c>
      <c r="C4692" s="0" t="s">
        <v>652</v>
      </c>
      <c r="D4692" s="0" t="s">
        <v>135</v>
      </c>
      <c r="E4692" s="0" t="s">
        <v>3</v>
      </c>
      <c r="F4692" s="0" t="s">
        <v>12</v>
      </c>
      <c r="G4692" s="0" t="s">
        <v>8</v>
      </c>
      <c r="H4692" s="0">
        <v>-5</v>
      </c>
      <c r="I4692" s="0">
        <v>0</v>
      </c>
      <c r="J4692" s="0">
        <v>0</v>
      </c>
      <c r="K4692" s="0">
        <v>0</v>
      </c>
      <c r="L4692" s="0">
        <v>0</v>
      </c>
      <c r="M4692" s="0">
        <v>0</v>
      </c>
      <c r="N4692" s="0">
        <v>0</v>
      </c>
      <c r="O4692" s="0">
        <v>0</v>
      </c>
      <c r="P4692" s="0">
        <v>0</v>
      </c>
      <c r="R4692" s="0" t="b">
        <v>0</v>
      </c>
      <c r="S4692" s="0" t="b">
        <v>0</v>
      </c>
      <c r="T4692" s="68">
        <v>46059.4119212963</v>
      </c>
      <c r="U4692" s="68">
        <v>0</v>
      </c>
      <c r="V4692" s="68">
        <v>46099.166712963</v>
      </c>
      <c r="W4692" s="0">
        <f>IF(IF(B4692="none",1,IF(B4692="Trialer",1,0))+IF(C4692="Customer",1,IF(C4692="Lost",1,0))=2,1,0)</f>
      </c>
      <c r="X4692" s="0" t="s">
        <v>136</v>
      </c>
      <c r="Y4692" s="0" t="s">
        <v>243</v>
      </c>
      <c r="AV4692" s="68"/>
      <c r="AW4692" s="68"/>
      <c r="AY4692" s="27"/>
      <c r="BD4692" s="68">
        <v>46054.1666666667</v>
      </c>
      <c r="BE4692" s="68">
        <v>46082.1666666667</v>
      </c>
      <c r="BF4692" s="0" t="b">
        <v>0</v>
      </c>
      <c r="BG4692" s="0" t="b">
        <v>0</v>
      </c>
      <c r="BH4692" s="0">
        <v>153</v>
      </c>
      <c r="BI4692" s="0">
        <v>153</v>
      </c>
      <c r="BJ4692" s="0" t="s">
        <v>135</v>
      </c>
    </row>
    <row r="4693">
      <c r="A4693" s="0" t="s">
        <v>4958</v>
      </c>
      <c r="B4693" s="0" t="s">
        <v>5</v>
      </c>
      <c r="C4693" s="0" t="s">
        <v>652</v>
      </c>
      <c r="D4693" s="0" t="s">
        <v>135</v>
      </c>
      <c r="E4693" s="0" t="s">
        <v>3</v>
      </c>
      <c r="F4693" s="0" t="s">
        <v>12</v>
      </c>
      <c r="G4693" s="0" t="s">
        <v>8</v>
      </c>
      <c r="H4693" s="0">
        <v>-5</v>
      </c>
      <c r="I4693" s="0">
        <v>0</v>
      </c>
      <c r="J4693" s="0">
        <v>0</v>
      </c>
      <c r="K4693" s="0">
        <v>0</v>
      </c>
      <c r="L4693" s="0">
        <v>0</v>
      </c>
      <c r="M4693" s="0">
        <v>0</v>
      </c>
      <c r="N4693" s="0">
        <v>0</v>
      </c>
      <c r="O4693" s="0">
        <v>0</v>
      </c>
      <c r="P4693" s="0">
        <v>0</v>
      </c>
      <c r="R4693" s="0" t="b">
        <v>0</v>
      </c>
      <c r="S4693" s="0" t="b">
        <v>0</v>
      </c>
      <c r="T4693" s="68">
        <v>46059.4411921296</v>
      </c>
      <c r="U4693" s="68">
        <v>0</v>
      </c>
      <c r="V4693" s="68">
        <v>46099.1667361111</v>
      </c>
      <c r="W4693" s="0">
        <f>IF(IF(B4693="none",1,IF(B4693="Trialer",1,0))+IF(C4693="Customer",1,IF(C4693="Lost",1,0))=2,1,0)</f>
      </c>
      <c r="X4693" s="0" t="s">
        <v>148</v>
      </c>
      <c r="Y4693" s="0" t="s">
        <v>243</v>
      </c>
      <c r="AV4693" s="68"/>
      <c r="AW4693" s="68"/>
      <c r="AY4693" s="27"/>
      <c r="BD4693" s="68">
        <v>46054.1666666667</v>
      </c>
      <c r="BE4693" s="68">
        <v>46082.1666666667</v>
      </c>
      <c r="BF4693" s="0" t="b">
        <v>0</v>
      </c>
      <c r="BG4693" s="0" t="b">
        <v>0</v>
      </c>
      <c r="BH4693" s="0">
        <v>59</v>
      </c>
      <c r="BI4693" s="0">
        <v>59</v>
      </c>
      <c r="BJ4693" s="0" t="s">
        <v>135</v>
      </c>
    </row>
    <row r="4694">
      <c r="A4694" s="0" t="s">
        <v>4959</v>
      </c>
      <c r="B4694" s="0" t="s">
        <v>5</v>
      </c>
      <c r="C4694" s="0" t="s">
        <v>652</v>
      </c>
      <c r="D4694" s="0" t="s">
        <v>135</v>
      </c>
      <c r="E4694" s="0" t="s">
        <v>3</v>
      </c>
      <c r="F4694" s="0" t="s">
        <v>12</v>
      </c>
      <c r="G4694" s="0" t="s">
        <v>8</v>
      </c>
      <c r="H4694" s="0">
        <v>-5</v>
      </c>
      <c r="I4694" s="0">
        <v>0</v>
      </c>
      <c r="J4694" s="0">
        <v>0</v>
      </c>
      <c r="K4694" s="0">
        <v>0</v>
      </c>
      <c r="L4694" s="0">
        <v>0</v>
      </c>
      <c r="M4694" s="0">
        <v>0</v>
      </c>
      <c r="N4694" s="0">
        <v>0</v>
      </c>
      <c r="O4694" s="0">
        <v>0</v>
      </c>
      <c r="P4694" s="0">
        <v>0</v>
      </c>
      <c r="R4694" s="0" t="b">
        <v>0</v>
      </c>
      <c r="S4694" s="0" t="b">
        <v>0</v>
      </c>
      <c r="T4694" s="68">
        <v>46059.4469444444</v>
      </c>
      <c r="U4694" s="68">
        <v>0</v>
      </c>
      <c r="V4694" s="68">
        <v>46059.586875</v>
      </c>
      <c r="W4694" s="0">
        <f>IF(IF(B4694="none",1,IF(B4694="Trialer",1,0))+IF(C4694="Customer",1,IF(C4694="Lost",1,0))=2,1,0)</f>
      </c>
      <c r="X4694" s="0" t="s">
        <v>1461</v>
      </c>
      <c r="Y4694" s="0" t="s">
        <v>243</v>
      </c>
      <c r="AV4694" s="68"/>
      <c r="AW4694" s="68"/>
      <c r="AY4694" s="27"/>
      <c r="BD4694" s="68">
        <v>46054.1666666667</v>
      </c>
      <c r="BE4694" s="68">
        <v>46082.1666666667</v>
      </c>
      <c r="BF4694" s="0" t="b">
        <v>0</v>
      </c>
      <c r="BG4694" s="0" t="b">
        <v>0</v>
      </c>
      <c r="BH4694" s="0">
        <v>0</v>
      </c>
      <c r="BI4694" s="0">
        <v>0</v>
      </c>
      <c r="BJ4694" s="0" t="s">
        <v>135</v>
      </c>
    </row>
    <row r="4695">
      <c r="A4695" s="0" t="s">
        <v>4960</v>
      </c>
      <c r="B4695" s="0" t="s">
        <v>5</v>
      </c>
      <c r="C4695" s="0" t="s">
        <v>652</v>
      </c>
      <c r="D4695" s="0" t="s">
        <v>135</v>
      </c>
      <c r="E4695" s="0" t="s">
        <v>3</v>
      </c>
      <c r="F4695" s="0" t="s">
        <v>12</v>
      </c>
      <c r="G4695" s="0" t="s">
        <v>8</v>
      </c>
      <c r="H4695" s="0">
        <v>-5</v>
      </c>
      <c r="I4695" s="0">
        <v>0</v>
      </c>
      <c r="J4695" s="0">
        <v>0</v>
      </c>
      <c r="K4695" s="0">
        <v>0</v>
      </c>
      <c r="L4695" s="0">
        <v>0</v>
      </c>
      <c r="M4695" s="0">
        <v>0</v>
      </c>
      <c r="N4695" s="0">
        <v>0</v>
      </c>
      <c r="O4695" s="0">
        <v>0</v>
      </c>
      <c r="P4695" s="0">
        <v>0</v>
      </c>
      <c r="R4695" s="0" t="b">
        <v>0</v>
      </c>
      <c r="S4695" s="0" t="b">
        <v>0</v>
      </c>
      <c r="T4695" s="68">
        <v>46059.4638773148</v>
      </c>
      <c r="U4695" s="68">
        <v>0</v>
      </c>
      <c r="V4695" s="68">
        <v>46076.6272222222</v>
      </c>
      <c r="W4695" s="0">
        <f>IF(IF(B4695="none",1,IF(B4695="Trialer",1,0))+IF(C4695="Customer",1,IF(C4695="Lost",1,0))=2,1,0)</f>
      </c>
      <c r="X4695" s="0" t="s">
        <v>136</v>
      </c>
      <c r="Y4695" s="0" t="s">
        <v>243</v>
      </c>
      <c r="AV4695" s="68"/>
      <c r="AW4695" s="68"/>
      <c r="AY4695" s="27"/>
      <c r="BD4695" s="68">
        <v>46054.1666666667</v>
      </c>
      <c r="BE4695" s="68">
        <v>46082.1666666667</v>
      </c>
      <c r="BF4695" s="0" t="b">
        <v>0</v>
      </c>
      <c r="BG4695" s="0" t="b">
        <v>0</v>
      </c>
      <c r="BH4695" s="0">
        <v>71</v>
      </c>
      <c r="BI4695" s="0">
        <v>71</v>
      </c>
      <c r="BJ4695" s="0" t="s">
        <v>135</v>
      </c>
    </row>
    <row r="4696">
      <c r="A4696" s="0" t="s">
        <v>4961</v>
      </c>
      <c r="B4696" s="0" t="s">
        <v>5</v>
      </c>
      <c r="C4696" s="0" t="s">
        <v>134</v>
      </c>
      <c r="D4696" s="0" t="s">
        <v>135</v>
      </c>
      <c r="E4696" s="0" t="s">
        <v>3</v>
      </c>
      <c r="F4696" s="0" t="s">
        <v>12</v>
      </c>
      <c r="G4696" s="0" t="s">
        <v>8</v>
      </c>
      <c r="H4696" s="0">
        <v>-5</v>
      </c>
      <c r="I4696" s="0">
        <v>85</v>
      </c>
      <c r="J4696" s="0">
        <v>0</v>
      </c>
      <c r="K4696" s="0">
        <v>1</v>
      </c>
      <c r="L4696" s="0">
        <v>5</v>
      </c>
      <c r="M4696" s="0">
        <v>1</v>
      </c>
      <c r="N4696" s="0">
        <v>0</v>
      </c>
      <c r="O4696" s="0">
        <v>0</v>
      </c>
      <c r="P4696" s="0">
        <v>0</v>
      </c>
      <c r="R4696" s="0" t="b">
        <v>0</v>
      </c>
      <c r="S4696" s="0" t="b">
        <v>1</v>
      </c>
      <c r="T4696" s="68">
        <v>46059.483287037</v>
      </c>
      <c r="U4696" s="68">
        <v>46077.2916666667</v>
      </c>
      <c r="V4696" s="68">
        <v>0</v>
      </c>
      <c r="W4696" s="0">
        <f>IF(IF(B4696="none",1,IF(B4696="Trialer",1,0))+IF(C4696="Customer",1,IF(C4696="Lost",1,0))=2,1,0)</f>
      </c>
      <c r="X4696" s="0" t="s">
        <v>1461</v>
      </c>
      <c r="Y4696" s="0" t="s">
        <v>243</v>
      </c>
      <c r="AV4696" s="68"/>
      <c r="AW4696" s="68"/>
      <c r="AY4696" s="27"/>
      <c r="BD4696" s="68">
        <v>46054.1666666667</v>
      </c>
      <c r="BE4696" s="68">
        <v>46082.1666666667</v>
      </c>
      <c r="BF4696" s="0" t="b">
        <v>0</v>
      </c>
      <c r="BG4696" s="0" t="b">
        <v>0</v>
      </c>
      <c r="BH4696" s="0">
        <v>85</v>
      </c>
      <c r="BI4696" s="0">
        <v>85</v>
      </c>
      <c r="BJ4696" s="0" t="s">
        <v>135</v>
      </c>
    </row>
    <row r="4697">
      <c r="A4697" s="0" t="s">
        <v>4962</v>
      </c>
      <c r="B4697" s="0" t="s">
        <v>5</v>
      </c>
      <c r="C4697" s="0" t="s">
        <v>652</v>
      </c>
      <c r="D4697" s="0" t="s">
        <v>135</v>
      </c>
      <c r="E4697" s="0" t="s">
        <v>3</v>
      </c>
      <c r="F4697" s="0" t="s">
        <v>12</v>
      </c>
      <c r="G4697" s="0" t="s">
        <v>8</v>
      </c>
      <c r="H4697" s="0">
        <v>-5</v>
      </c>
      <c r="I4697" s="0">
        <v>0</v>
      </c>
      <c r="J4697" s="0">
        <v>0</v>
      </c>
      <c r="K4697" s="0">
        <v>0</v>
      </c>
      <c r="L4697" s="0">
        <v>0</v>
      </c>
      <c r="M4697" s="0">
        <v>0</v>
      </c>
      <c r="N4697" s="0">
        <v>0</v>
      </c>
      <c r="O4697" s="0">
        <v>0</v>
      </c>
      <c r="P4697" s="0">
        <v>0</v>
      </c>
      <c r="R4697" s="0" t="b">
        <v>0</v>
      </c>
      <c r="S4697" s="0" t="b">
        <v>0</v>
      </c>
      <c r="T4697" s="68">
        <v>46059.4956365741</v>
      </c>
      <c r="U4697" s="68">
        <v>0</v>
      </c>
      <c r="V4697" s="68">
        <v>46099.1668287037</v>
      </c>
      <c r="W4697" s="0">
        <f>IF(IF(B4697="none",1,IF(B4697="Trialer",1,0))+IF(C4697="Customer",1,IF(C4697="Lost",1,0))=2,1,0)</f>
      </c>
      <c r="X4697" s="0" t="s">
        <v>148</v>
      </c>
      <c r="Y4697" s="0" t="s">
        <v>243</v>
      </c>
      <c r="AV4697" s="68"/>
      <c r="AW4697" s="68"/>
      <c r="AY4697" s="27"/>
      <c r="BD4697" s="68">
        <v>46054.1666666667</v>
      </c>
      <c r="BE4697" s="68">
        <v>46082.1666666667</v>
      </c>
      <c r="BF4697" s="0" t="b">
        <v>0</v>
      </c>
      <c r="BG4697" s="0" t="b">
        <v>0</v>
      </c>
      <c r="BH4697" s="0">
        <v>73</v>
      </c>
      <c r="BI4697" s="0">
        <v>73</v>
      </c>
      <c r="BJ4697" s="0" t="s">
        <v>135</v>
      </c>
    </row>
    <row r="4698">
      <c r="A4698" s="0" t="s">
        <v>4963</v>
      </c>
      <c r="B4698" s="0" t="s">
        <v>5</v>
      </c>
      <c r="C4698" s="0" t="s">
        <v>652</v>
      </c>
      <c r="D4698" s="0" t="s">
        <v>135</v>
      </c>
      <c r="E4698" s="0" t="s">
        <v>2414</v>
      </c>
      <c r="F4698" s="0" t="s">
        <v>12</v>
      </c>
      <c r="G4698" s="0" t="s">
        <v>8</v>
      </c>
      <c r="H4698" s="0">
        <v>-5</v>
      </c>
      <c r="I4698" s="0">
        <v>0</v>
      </c>
      <c r="J4698" s="0">
        <v>0</v>
      </c>
      <c r="K4698" s="0">
        <v>0</v>
      </c>
      <c r="L4698" s="0">
        <v>0</v>
      </c>
      <c r="M4698" s="0">
        <v>0</v>
      </c>
      <c r="N4698" s="0">
        <v>0</v>
      </c>
      <c r="O4698" s="0">
        <v>0</v>
      </c>
      <c r="P4698" s="0">
        <v>0</v>
      </c>
      <c r="R4698" s="0" t="b">
        <v>0</v>
      </c>
      <c r="S4698" s="0" t="b">
        <v>0</v>
      </c>
      <c r="T4698" s="68">
        <v>46059.4993287037</v>
      </c>
      <c r="U4698" s="68">
        <v>0</v>
      </c>
      <c r="V4698" s="68">
        <v>46099.1667476852</v>
      </c>
      <c r="W4698" s="0">
        <f>IF(IF(B4698="none",1,IF(B4698="Trialer",1,0))+IF(C4698="Customer",1,IF(C4698="Lost",1,0))=2,1,0)</f>
      </c>
      <c r="X4698" s="0" t="s">
        <v>145</v>
      </c>
      <c r="Y4698" s="0" t="s">
        <v>1516</v>
      </c>
      <c r="AV4698" s="68"/>
      <c r="AW4698" s="68"/>
      <c r="AY4698" s="27"/>
      <c r="BD4698" s="68">
        <v>46054.1666666667</v>
      </c>
      <c r="BE4698" s="68">
        <v>46082.1666666667</v>
      </c>
      <c r="BF4698" s="0" t="b">
        <v>0</v>
      </c>
      <c r="BG4698" s="0" t="b">
        <v>0</v>
      </c>
      <c r="BH4698" s="0">
        <v>59</v>
      </c>
      <c r="BI4698" s="0">
        <v>59</v>
      </c>
      <c r="BJ4698" s="0" t="s">
        <v>135</v>
      </c>
    </row>
    <row r="4699">
      <c r="A4699" s="0" t="s">
        <v>4964</v>
      </c>
      <c r="B4699" s="0" t="s">
        <v>5</v>
      </c>
      <c r="C4699" s="0" t="s">
        <v>134</v>
      </c>
      <c r="D4699" s="0" t="s">
        <v>135</v>
      </c>
      <c r="E4699" s="0" t="s">
        <v>3</v>
      </c>
      <c r="F4699" s="0" t="s">
        <v>12</v>
      </c>
      <c r="G4699" s="0" t="s">
        <v>8</v>
      </c>
      <c r="H4699" s="0">
        <v>-5</v>
      </c>
      <c r="I4699" s="0">
        <v>133</v>
      </c>
      <c r="J4699" s="0">
        <v>0</v>
      </c>
      <c r="K4699" s="0">
        <v>1</v>
      </c>
      <c r="L4699" s="0">
        <v>2</v>
      </c>
      <c r="M4699" s="0">
        <v>3</v>
      </c>
      <c r="N4699" s="0">
        <v>0</v>
      </c>
      <c r="O4699" s="0">
        <v>0</v>
      </c>
      <c r="P4699" s="0">
        <v>0</v>
      </c>
      <c r="R4699" s="0" t="b">
        <v>0</v>
      </c>
      <c r="S4699" s="0" t="b">
        <v>1</v>
      </c>
      <c r="T4699" s="68">
        <v>46059.5070601852</v>
      </c>
      <c r="U4699" s="68">
        <v>46073.2916666667</v>
      </c>
      <c r="V4699" s="68">
        <v>0</v>
      </c>
      <c r="W4699" s="0">
        <f>IF(IF(B4699="none",1,IF(B4699="Trialer",1,0))+IF(C4699="Customer",1,IF(C4699="Lost",1,0))=2,1,0)</f>
      </c>
      <c r="X4699" s="0" t="s">
        <v>1461</v>
      </c>
      <c r="Y4699" s="0" t="s">
        <v>243</v>
      </c>
      <c r="AV4699" s="68"/>
      <c r="AW4699" s="68"/>
      <c r="AY4699" s="27"/>
      <c r="BD4699" s="68">
        <v>46054.1666666667</v>
      </c>
      <c r="BE4699" s="68">
        <v>46082.1666666667</v>
      </c>
      <c r="BF4699" s="0" t="b">
        <v>0</v>
      </c>
      <c r="BG4699" s="0" t="b">
        <v>0</v>
      </c>
      <c r="BH4699" s="0">
        <v>133</v>
      </c>
      <c r="BI4699" s="0">
        <v>133</v>
      </c>
      <c r="BJ4699" s="0" t="s">
        <v>135</v>
      </c>
    </row>
    <row r="4700">
      <c r="A4700" s="0" t="s">
        <v>4965</v>
      </c>
      <c r="B4700" s="0" t="s">
        <v>5</v>
      </c>
      <c r="C4700" s="0" t="s">
        <v>134</v>
      </c>
      <c r="D4700" s="0" t="s">
        <v>135</v>
      </c>
      <c r="E4700" s="0" t="s">
        <v>3</v>
      </c>
      <c r="F4700" s="0" t="s">
        <v>12</v>
      </c>
      <c r="G4700" s="0" t="s">
        <v>8</v>
      </c>
      <c r="H4700" s="0">
        <v>-5</v>
      </c>
      <c r="I4700" s="0">
        <v>59</v>
      </c>
      <c r="J4700" s="0">
        <v>0</v>
      </c>
      <c r="K4700" s="0">
        <v>1</v>
      </c>
      <c r="L4700" s="0">
        <v>3</v>
      </c>
      <c r="M4700" s="0">
        <v>1</v>
      </c>
      <c r="N4700" s="0">
        <v>0</v>
      </c>
      <c r="O4700" s="0">
        <v>0</v>
      </c>
      <c r="P4700" s="0">
        <v>0</v>
      </c>
      <c r="R4700" s="0" t="b">
        <v>0</v>
      </c>
      <c r="S4700" s="0" t="b">
        <v>1</v>
      </c>
      <c r="T4700" s="68">
        <v>46059.5169791667</v>
      </c>
      <c r="U4700" s="68">
        <v>46073.2916666667</v>
      </c>
      <c r="V4700" s="68">
        <v>0</v>
      </c>
      <c r="W4700" s="0">
        <f>IF(IF(B4700="none",1,IF(B4700="Trialer",1,0))+IF(C4700="Customer",1,IF(C4700="Lost",1,0))=2,1,0)</f>
      </c>
      <c r="X4700" s="0" t="s">
        <v>1461</v>
      </c>
      <c r="Y4700" s="0" t="s">
        <v>243</v>
      </c>
      <c r="AV4700" s="68"/>
      <c r="AW4700" s="68"/>
      <c r="AY4700" s="27"/>
      <c r="BD4700" s="68">
        <v>46054.1666666667</v>
      </c>
      <c r="BE4700" s="68">
        <v>46082.1666666667</v>
      </c>
      <c r="BF4700" s="0" t="b">
        <v>0</v>
      </c>
      <c r="BG4700" s="0" t="b">
        <v>0</v>
      </c>
      <c r="BH4700" s="0">
        <v>59</v>
      </c>
      <c r="BI4700" s="0">
        <v>59</v>
      </c>
      <c r="BJ4700" s="0" t="s">
        <v>135</v>
      </c>
    </row>
    <row r="4701">
      <c r="A4701" s="0" t="s">
        <v>4966</v>
      </c>
      <c r="B4701" s="0" t="s">
        <v>5</v>
      </c>
      <c r="C4701" s="0" t="s">
        <v>134</v>
      </c>
      <c r="D4701" s="0" t="s">
        <v>135</v>
      </c>
      <c r="E4701" s="0" t="s">
        <v>3</v>
      </c>
      <c r="F4701" s="0" t="s">
        <v>12</v>
      </c>
      <c r="G4701" s="0" t="s">
        <v>8</v>
      </c>
      <c r="H4701" s="0">
        <v>-5</v>
      </c>
      <c r="I4701" s="0">
        <v>59</v>
      </c>
      <c r="J4701" s="0">
        <v>0</v>
      </c>
      <c r="K4701" s="0">
        <v>1</v>
      </c>
      <c r="L4701" s="0">
        <v>3</v>
      </c>
      <c r="M4701" s="0">
        <v>1</v>
      </c>
      <c r="N4701" s="0">
        <v>0</v>
      </c>
      <c r="O4701" s="0">
        <v>0</v>
      </c>
      <c r="P4701" s="0">
        <v>0</v>
      </c>
      <c r="R4701" s="0" t="b">
        <v>0</v>
      </c>
      <c r="S4701" s="0" t="b">
        <v>1</v>
      </c>
      <c r="T4701" s="68">
        <v>46059.5508333333</v>
      </c>
      <c r="U4701" s="68">
        <v>46073.2916666667</v>
      </c>
      <c r="V4701" s="68">
        <v>0</v>
      </c>
      <c r="W4701" s="0">
        <f>IF(IF(B4701="none",1,IF(B4701="Trialer",1,0))+IF(C4701="Customer",1,IF(C4701="Lost",1,0))=2,1,0)</f>
      </c>
      <c r="X4701" s="0" t="s">
        <v>1461</v>
      </c>
      <c r="Y4701" s="0" t="s">
        <v>243</v>
      </c>
      <c r="AV4701" s="68"/>
      <c r="AW4701" s="68"/>
      <c r="AY4701" s="27"/>
      <c r="BD4701" s="68">
        <v>46054.1666666667</v>
      </c>
      <c r="BE4701" s="68">
        <v>46082.1666666667</v>
      </c>
      <c r="BF4701" s="0" t="b">
        <v>0</v>
      </c>
      <c r="BG4701" s="0" t="b">
        <v>0</v>
      </c>
      <c r="BH4701" s="0">
        <v>59</v>
      </c>
      <c r="BI4701" s="0">
        <v>59</v>
      </c>
      <c r="BJ4701" s="0" t="s">
        <v>135</v>
      </c>
    </row>
    <row r="4702">
      <c r="A4702" s="0" t="s">
        <v>4967</v>
      </c>
      <c r="B4702" s="0" t="s">
        <v>5</v>
      </c>
      <c r="C4702" s="0" t="s">
        <v>652</v>
      </c>
      <c r="D4702" s="0" t="s">
        <v>135</v>
      </c>
      <c r="E4702" s="0" t="s">
        <v>3</v>
      </c>
      <c r="F4702" s="0" t="s">
        <v>12</v>
      </c>
      <c r="G4702" s="0" t="s">
        <v>8</v>
      </c>
      <c r="H4702" s="0">
        <v>-5</v>
      </c>
      <c r="I4702" s="0">
        <v>0</v>
      </c>
      <c r="J4702" s="0">
        <v>0</v>
      </c>
      <c r="K4702" s="0">
        <v>0</v>
      </c>
      <c r="L4702" s="0">
        <v>0</v>
      </c>
      <c r="M4702" s="0">
        <v>0</v>
      </c>
      <c r="N4702" s="0">
        <v>0</v>
      </c>
      <c r="O4702" s="0">
        <v>0</v>
      </c>
      <c r="P4702" s="0">
        <v>0</v>
      </c>
      <c r="R4702" s="0" t="b">
        <v>0</v>
      </c>
      <c r="S4702" s="0" t="b">
        <v>0</v>
      </c>
      <c r="T4702" s="68">
        <v>46059.5821296296</v>
      </c>
      <c r="U4702" s="68">
        <v>0</v>
      </c>
      <c r="V4702" s="68">
        <v>46099.1667708333</v>
      </c>
      <c r="W4702" s="0">
        <f>IF(IF(B4702="none",1,IF(B4702="Trialer",1,0))+IF(C4702="Customer",1,IF(C4702="Lost",1,0))=2,1,0)</f>
      </c>
      <c r="X4702" s="0" t="s">
        <v>145</v>
      </c>
      <c r="Y4702" s="0" t="s">
        <v>243</v>
      </c>
      <c r="AV4702" s="68"/>
      <c r="AW4702" s="68"/>
      <c r="AY4702" s="27"/>
      <c r="BD4702" s="68">
        <v>46054.1666666667</v>
      </c>
      <c r="BE4702" s="68">
        <v>46082.1666666667</v>
      </c>
      <c r="BF4702" s="0" t="b">
        <v>0</v>
      </c>
      <c r="BG4702" s="0" t="b">
        <v>0</v>
      </c>
      <c r="BH4702" s="0">
        <v>97</v>
      </c>
      <c r="BI4702" s="0">
        <v>97</v>
      </c>
      <c r="BJ4702" s="0" t="s">
        <v>135</v>
      </c>
    </row>
    <row r="4703">
      <c r="A4703" s="0" t="s">
        <v>4968</v>
      </c>
      <c r="B4703" s="0" t="s">
        <v>5</v>
      </c>
      <c r="C4703" s="0" t="s">
        <v>134</v>
      </c>
      <c r="D4703" s="0" t="s">
        <v>135</v>
      </c>
      <c r="E4703" s="0" t="s">
        <v>2</v>
      </c>
      <c r="F4703" s="0" t="s">
        <v>12</v>
      </c>
      <c r="G4703" s="0" t="s">
        <v>8</v>
      </c>
      <c r="H4703" s="0">
        <v>-5</v>
      </c>
      <c r="I4703" s="0">
        <v>98</v>
      </c>
      <c r="J4703" s="0">
        <v>0</v>
      </c>
      <c r="K4703" s="0">
        <v>1</v>
      </c>
      <c r="L4703" s="0">
        <v>2</v>
      </c>
      <c r="M4703" s="0">
        <v>2</v>
      </c>
      <c r="N4703" s="0">
        <v>0</v>
      </c>
      <c r="O4703" s="0">
        <v>0</v>
      </c>
      <c r="P4703" s="0">
        <v>0</v>
      </c>
      <c r="R4703" s="0" t="b">
        <v>0</v>
      </c>
      <c r="S4703" s="0" t="b">
        <v>1</v>
      </c>
      <c r="T4703" s="68">
        <v>46059.5902083333</v>
      </c>
      <c r="U4703" s="68">
        <v>46077.2916666667</v>
      </c>
      <c r="V4703" s="68">
        <v>0</v>
      </c>
      <c r="W4703" s="0">
        <f>IF(IF(B4703="none",1,IF(B4703="Trialer",1,0))+IF(C4703="Customer",1,IF(C4703="Lost",1,0))=2,1,0)</f>
      </c>
      <c r="X4703" s="0" t="s">
        <v>1461</v>
      </c>
      <c r="Y4703" s="0" t="s">
        <v>499</v>
      </c>
      <c r="AV4703" s="68"/>
      <c r="AW4703" s="68"/>
      <c r="AY4703" s="27"/>
      <c r="BD4703" s="68">
        <v>46054.1666666667</v>
      </c>
      <c r="BE4703" s="68">
        <v>46082.1666666667</v>
      </c>
      <c r="BF4703" s="0" t="b">
        <v>0</v>
      </c>
      <c r="BG4703" s="0" t="b">
        <v>0</v>
      </c>
      <c r="BH4703" s="0">
        <v>98</v>
      </c>
      <c r="BI4703" s="0">
        <v>98</v>
      </c>
      <c r="BJ4703" s="0" t="s">
        <v>135</v>
      </c>
    </row>
    <row r="4704">
      <c r="A4704" s="0" t="s">
        <v>4969</v>
      </c>
      <c r="B4704" s="0" t="s">
        <v>5</v>
      </c>
      <c r="C4704" s="0" t="s">
        <v>652</v>
      </c>
      <c r="D4704" s="0" t="s">
        <v>135</v>
      </c>
      <c r="E4704" s="0" t="s">
        <v>3</v>
      </c>
      <c r="F4704" s="0" t="s">
        <v>12</v>
      </c>
      <c r="G4704" s="0" t="s">
        <v>8</v>
      </c>
      <c r="H4704" s="0">
        <v>-5</v>
      </c>
      <c r="I4704" s="0">
        <v>0</v>
      </c>
      <c r="J4704" s="0">
        <v>0</v>
      </c>
      <c r="K4704" s="0">
        <v>0</v>
      </c>
      <c r="L4704" s="0">
        <v>0</v>
      </c>
      <c r="M4704" s="0">
        <v>0</v>
      </c>
      <c r="N4704" s="0">
        <v>0</v>
      </c>
      <c r="O4704" s="0">
        <v>0</v>
      </c>
      <c r="P4704" s="0">
        <v>0</v>
      </c>
      <c r="R4704" s="0" t="b">
        <v>0</v>
      </c>
      <c r="S4704" s="0" t="b">
        <v>0</v>
      </c>
      <c r="T4704" s="68">
        <v>46059.5906944444</v>
      </c>
      <c r="U4704" s="68">
        <v>0</v>
      </c>
      <c r="V4704" s="68">
        <v>46062.5662615741</v>
      </c>
      <c r="W4704" s="0">
        <f>IF(IF(B4704="none",1,IF(B4704="Trialer",1,0))+IF(C4704="Customer",1,IF(C4704="Lost",1,0))=2,1,0)</f>
      </c>
      <c r="X4704" s="0" t="s">
        <v>136</v>
      </c>
      <c r="Y4704" s="0" t="s">
        <v>243</v>
      </c>
      <c r="AV4704" s="68"/>
      <c r="AW4704" s="68"/>
      <c r="AY4704" s="27"/>
      <c r="BD4704" s="68">
        <v>46054.1666666667</v>
      </c>
      <c r="BE4704" s="68">
        <v>46082.1666666667</v>
      </c>
      <c r="BF4704" s="0" t="b">
        <v>0</v>
      </c>
      <c r="BG4704" s="0" t="b">
        <v>0</v>
      </c>
      <c r="BH4704" s="0">
        <v>97</v>
      </c>
      <c r="BI4704" s="0">
        <v>97</v>
      </c>
      <c r="BJ4704" s="0" t="s">
        <v>135</v>
      </c>
    </row>
    <row r="4705">
      <c r="A4705" s="0" t="s">
        <v>4970</v>
      </c>
      <c r="B4705" s="0" t="s">
        <v>5</v>
      </c>
      <c r="C4705" s="0" t="s">
        <v>134</v>
      </c>
      <c r="D4705" s="0" t="s">
        <v>135</v>
      </c>
      <c r="E4705" s="0" t="s">
        <v>2</v>
      </c>
      <c r="F4705" s="0" t="s">
        <v>12</v>
      </c>
      <c r="G4705" s="0" t="s">
        <v>8</v>
      </c>
      <c r="H4705" s="0">
        <v>-5</v>
      </c>
      <c r="I4705" s="0">
        <v>59</v>
      </c>
      <c r="J4705" s="0">
        <v>0</v>
      </c>
      <c r="K4705" s="0">
        <v>1</v>
      </c>
      <c r="L4705" s="0">
        <v>3</v>
      </c>
      <c r="M4705" s="0">
        <v>1</v>
      </c>
      <c r="N4705" s="0">
        <v>0</v>
      </c>
      <c r="O4705" s="0">
        <v>0</v>
      </c>
      <c r="P4705" s="0">
        <v>0</v>
      </c>
      <c r="R4705" s="0" t="b">
        <v>0</v>
      </c>
      <c r="S4705" s="0" t="b">
        <v>1</v>
      </c>
      <c r="T4705" s="68">
        <v>46059.6298611111</v>
      </c>
      <c r="U4705" s="68">
        <v>46073.2916666667</v>
      </c>
      <c r="V4705" s="68">
        <v>0</v>
      </c>
      <c r="W4705" s="0">
        <f>IF(IF(B4705="none",1,IF(B4705="Trialer",1,0))+IF(C4705="Customer",1,IF(C4705="Lost",1,0))=2,1,0)</f>
      </c>
      <c r="X4705" s="0" t="s">
        <v>145</v>
      </c>
      <c r="Y4705" s="0" t="s">
        <v>499</v>
      </c>
      <c r="AV4705" s="68"/>
      <c r="AW4705" s="68"/>
      <c r="AY4705" s="27"/>
      <c r="BD4705" s="68">
        <v>46054.1666666667</v>
      </c>
      <c r="BE4705" s="68">
        <v>46082.1666666667</v>
      </c>
      <c r="BF4705" s="0" t="b">
        <v>0</v>
      </c>
      <c r="BG4705" s="0" t="b">
        <v>0</v>
      </c>
      <c r="BH4705" s="0">
        <v>59</v>
      </c>
      <c r="BI4705" s="0">
        <v>59</v>
      </c>
      <c r="BJ4705" s="0" t="s">
        <v>135</v>
      </c>
    </row>
    <row r="4706">
      <c r="A4706" s="0" t="s">
        <v>4971</v>
      </c>
      <c r="B4706" s="0" t="s">
        <v>5</v>
      </c>
      <c r="C4706" s="0" t="s">
        <v>652</v>
      </c>
      <c r="D4706" s="0" t="s">
        <v>135</v>
      </c>
      <c r="E4706" s="0" t="s">
        <v>1515</v>
      </c>
      <c r="F4706" s="0" t="s">
        <v>12</v>
      </c>
      <c r="G4706" s="0" t="s">
        <v>8</v>
      </c>
      <c r="H4706" s="0">
        <v>-5</v>
      </c>
      <c r="I4706" s="0">
        <v>0</v>
      </c>
      <c r="J4706" s="0">
        <v>0</v>
      </c>
      <c r="K4706" s="0">
        <v>0</v>
      </c>
      <c r="L4706" s="0">
        <v>0</v>
      </c>
      <c r="M4706" s="0">
        <v>0</v>
      </c>
      <c r="N4706" s="0">
        <v>0</v>
      </c>
      <c r="O4706" s="0">
        <v>0</v>
      </c>
      <c r="P4706" s="0">
        <v>0</v>
      </c>
      <c r="R4706" s="0" t="b">
        <v>0</v>
      </c>
      <c r="S4706" s="0" t="b">
        <v>0</v>
      </c>
      <c r="T4706" s="68">
        <v>46059.6644212963</v>
      </c>
      <c r="U4706" s="68">
        <v>0</v>
      </c>
      <c r="V4706" s="68">
        <v>46059.7099074074</v>
      </c>
      <c r="W4706" s="0">
        <f>IF(IF(B4706="none",1,IF(B4706="Trialer",1,0))+IF(C4706="Customer",1,IF(C4706="Lost",1,0))=2,1,0)</f>
      </c>
      <c r="X4706" s="0" t="s">
        <v>148</v>
      </c>
      <c r="Y4706" s="0" t="s">
        <v>1516</v>
      </c>
      <c r="AV4706" s="68"/>
      <c r="AW4706" s="68"/>
      <c r="AY4706" s="27"/>
      <c r="BD4706" s="68">
        <v>46054.1666666667</v>
      </c>
      <c r="BE4706" s="68">
        <v>46082.1666666667</v>
      </c>
      <c r="BF4706" s="0" t="b">
        <v>0</v>
      </c>
      <c r="BG4706" s="0" t="b">
        <v>0</v>
      </c>
      <c r="BH4706" s="0">
        <v>0</v>
      </c>
      <c r="BI4706" s="0">
        <v>0</v>
      </c>
      <c r="BJ4706" s="0" t="s">
        <v>135</v>
      </c>
    </row>
    <row r="4707">
      <c r="A4707" s="0" t="s">
        <v>4972</v>
      </c>
      <c r="B4707" s="0" t="s">
        <v>5</v>
      </c>
      <c r="C4707" s="0" t="s">
        <v>134</v>
      </c>
      <c r="D4707" s="0" t="s">
        <v>135</v>
      </c>
      <c r="E4707" s="0" t="s">
        <v>3</v>
      </c>
      <c r="F4707" s="0" t="s">
        <v>12</v>
      </c>
      <c r="G4707" s="0" t="s">
        <v>8</v>
      </c>
      <c r="H4707" s="0">
        <v>-5</v>
      </c>
      <c r="I4707" s="0">
        <v>59</v>
      </c>
      <c r="J4707" s="0">
        <v>0</v>
      </c>
      <c r="K4707" s="0">
        <v>1</v>
      </c>
      <c r="L4707" s="0">
        <v>3</v>
      </c>
      <c r="M4707" s="0">
        <v>1</v>
      </c>
      <c r="N4707" s="0">
        <v>0</v>
      </c>
      <c r="O4707" s="0">
        <v>0</v>
      </c>
      <c r="P4707" s="0">
        <v>0</v>
      </c>
      <c r="R4707" s="0" t="b">
        <v>0</v>
      </c>
      <c r="S4707" s="0" t="b">
        <v>1</v>
      </c>
      <c r="T4707" s="68">
        <v>46059.6969444444</v>
      </c>
      <c r="U4707" s="68">
        <v>46077.2916666667</v>
      </c>
      <c r="V4707" s="68">
        <v>0</v>
      </c>
      <c r="W4707" s="0">
        <f>IF(IF(B4707="none",1,IF(B4707="Trialer",1,0))+IF(C4707="Customer",1,IF(C4707="Lost",1,0))=2,1,0)</f>
      </c>
      <c r="X4707" s="0" t="s">
        <v>1461</v>
      </c>
      <c r="Y4707" s="0" t="s">
        <v>243</v>
      </c>
      <c r="AV4707" s="68"/>
      <c r="AW4707" s="68"/>
      <c r="AY4707" s="27"/>
      <c r="BD4707" s="68">
        <v>46054.1666666667</v>
      </c>
      <c r="BE4707" s="68">
        <v>46082.1666666667</v>
      </c>
      <c r="BF4707" s="0" t="b">
        <v>0</v>
      </c>
      <c r="BG4707" s="0" t="b">
        <v>0</v>
      </c>
      <c r="BH4707" s="0">
        <v>59</v>
      </c>
      <c r="BI4707" s="0">
        <v>59</v>
      </c>
      <c r="BJ4707" s="0" t="s">
        <v>135</v>
      </c>
    </row>
    <row r="4708">
      <c r="A4708" s="0" t="s">
        <v>4973</v>
      </c>
      <c r="B4708" s="0" t="s">
        <v>5</v>
      </c>
      <c r="C4708" s="0" t="s">
        <v>652</v>
      </c>
      <c r="D4708" s="0" t="s">
        <v>135</v>
      </c>
      <c r="E4708" s="0" t="s">
        <v>3</v>
      </c>
      <c r="F4708" s="0" t="s">
        <v>12</v>
      </c>
      <c r="G4708" s="0" t="s">
        <v>8</v>
      </c>
      <c r="H4708" s="0">
        <v>-5</v>
      </c>
      <c r="I4708" s="0">
        <v>0</v>
      </c>
      <c r="J4708" s="0">
        <v>0</v>
      </c>
      <c r="K4708" s="0">
        <v>0</v>
      </c>
      <c r="L4708" s="0">
        <v>0</v>
      </c>
      <c r="M4708" s="0">
        <v>0</v>
      </c>
      <c r="N4708" s="0">
        <v>0</v>
      </c>
      <c r="O4708" s="0">
        <v>0</v>
      </c>
      <c r="P4708" s="0">
        <v>0</v>
      </c>
      <c r="R4708" s="0" t="b">
        <v>0</v>
      </c>
      <c r="S4708" s="0" t="b">
        <v>0</v>
      </c>
      <c r="T4708" s="68">
        <v>46059.7747569444</v>
      </c>
      <c r="U4708" s="68">
        <v>0</v>
      </c>
      <c r="V4708" s="68">
        <v>46077.4892476852</v>
      </c>
      <c r="W4708" s="0">
        <f>IF(IF(B4708="none",1,IF(B4708="Trialer",1,0))+IF(C4708="Customer",1,IF(C4708="Lost",1,0))=2,1,0)</f>
      </c>
      <c r="X4708" s="0" t="s">
        <v>136</v>
      </c>
      <c r="Y4708" s="0" t="s">
        <v>243</v>
      </c>
      <c r="AV4708" s="68"/>
      <c r="AW4708" s="68"/>
      <c r="AY4708" s="27"/>
      <c r="BD4708" s="68">
        <v>46054.1666666667</v>
      </c>
      <c r="BE4708" s="68">
        <v>46082.1666666667</v>
      </c>
      <c r="BF4708" s="0" t="b">
        <v>0</v>
      </c>
      <c r="BG4708" s="0" t="b">
        <v>0</v>
      </c>
      <c r="BH4708" s="0">
        <v>71</v>
      </c>
      <c r="BI4708" s="0">
        <v>71</v>
      </c>
      <c r="BJ4708" s="0" t="s">
        <v>135</v>
      </c>
    </row>
    <row r="4709">
      <c r="A4709" s="0" t="s">
        <v>4974</v>
      </c>
      <c r="B4709" s="0" t="s">
        <v>5</v>
      </c>
      <c r="C4709" s="0" t="s">
        <v>652</v>
      </c>
      <c r="D4709" s="0" t="s">
        <v>135</v>
      </c>
      <c r="E4709" s="0" t="s">
        <v>3</v>
      </c>
      <c r="F4709" s="0" t="s">
        <v>12</v>
      </c>
      <c r="G4709" s="0" t="s">
        <v>8</v>
      </c>
      <c r="H4709" s="0">
        <v>-6</v>
      </c>
      <c r="I4709" s="0">
        <v>0</v>
      </c>
      <c r="J4709" s="0">
        <v>0</v>
      </c>
      <c r="K4709" s="0">
        <v>0</v>
      </c>
      <c r="L4709" s="0">
        <v>0</v>
      </c>
      <c r="M4709" s="0">
        <v>0</v>
      </c>
      <c r="N4709" s="0">
        <v>0</v>
      </c>
      <c r="O4709" s="0">
        <v>0</v>
      </c>
      <c r="P4709" s="0">
        <v>0</v>
      </c>
      <c r="R4709" s="0" t="b">
        <v>0</v>
      </c>
      <c r="S4709" s="0" t="b">
        <v>0</v>
      </c>
      <c r="T4709" s="68">
        <v>46060.0172453704</v>
      </c>
      <c r="U4709" s="68">
        <v>0</v>
      </c>
      <c r="V4709" s="68">
        <v>46099.1667824074</v>
      </c>
      <c r="W4709" s="0">
        <f>IF(IF(B4709="none",1,IF(B4709="Trialer",1,0))+IF(C4709="Customer",1,IF(C4709="Lost",1,0))=2,1,0)</f>
      </c>
      <c r="X4709" s="0" t="s">
        <v>148</v>
      </c>
      <c r="Y4709" s="0" t="s">
        <v>243</v>
      </c>
      <c r="AV4709" s="68"/>
      <c r="AW4709" s="68"/>
      <c r="AY4709" s="27"/>
      <c r="BD4709" s="68">
        <v>46054.1666666667</v>
      </c>
      <c r="BE4709" s="68">
        <v>46082.1666666667</v>
      </c>
      <c r="BF4709" s="0" t="b">
        <v>0</v>
      </c>
      <c r="BG4709" s="0" t="b">
        <v>0</v>
      </c>
      <c r="BH4709" s="0">
        <v>59</v>
      </c>
      <c r="BI4709" s="0">
        <v>59</v>
      </c>
      <c r="BJ4709" s="0" t="s">
        <v>135</v>
      </c>
    </row>
    <row r="4710">
      <c r="A4710" s="0" t="s">
        <v>4975</v>
      </c>
      <c r="B4710" s="0" t="s">
        <v>5</v>
      </c>
      <c r="C4710" s="0" t="s">
        <v>652</v>
      </c>
      <c r="D4710" s="0" t="s">
        <v>135</v>
      </c>
      <c r="E4710" s="0" t="s">
        <v>2</v>
      </c>
      <c r="F4710" s="0" t="s">
        <v>12</v>
      </c>
      <c r="G4710" s="0" t="s">
        <v>8</v>
      </c>
      <c r="H4710" s="0">
        <v>-6</v>
      </c>
      <c r="I4710" s="0">
        <v>0</v>
      </c>
      <c r="J4710" s="0">
        <v>0</v>
      </c>
      <c r="K4710" s="0">
        <v>0</v>
      </c>
      <c r="L4710" s="0">
        <v>0</v>
      </c>
      <c r="M4710" s="0">
        <v>0</v>
      </c>
      <c r="N4710" s="0">
        <v>0</v>
      </c>
      <c r="O4710" s="0">
        <v>0</v>
      </c>
      <c r="P4710" s="0">
        <v>0</v>
      </c>
      <c r="R4710" s="0" t="b">
        <v>0</v>
      </c>
      <c r="S4710" s="0" t="b">
        <v>0</v>
      </c>
      <c r="T4710" s="68">
        <v>46060.0988657407</v>
      </c>
      <c r="U4710" s="68">
        <v>0</v>
      </c>
      <c r="V4710" s="68">
        <v>46099.1667939815</v>
      </c>
      <c r="W4710" s="0">
        <f>IF(IF(B4710="none",1,IF(B4710="Trialer",1,0))+IF(C4710="Customer",1,IF(C4710="Lost",1,0))=2,1,0)</f>
      </c>
      <c r="X4710" s="0" t="s">
        <v>145</v>
      </c>
      <c r="Y4710" s="0" t="s">
        <v>499</v>
      </c>
      <c r="AV4710" s="68"/>
      <c r="AW4710" s="68"/>
      <c r="AY4710" s="27"/>
      <c r="BD4710" s="68">
        <v>46054.1666666667</v>
      </c>
      <c r="BE4710" s="68">
        <v>46082.1666666667</v>
      </c>
      <c r="BF4710" s="0" t="b">
        <v>0</v>
      </c>
      <c r="BG4710" s="0" t="b">
        <v>0</v>
      </c>
      <c r="BH4710" s="0">
        <v>71</v>
      </c>
      <c r="BI4710" s="0">
        <v>71</v>
      </c>
      <c r="BJ4710" s="0" t="s">
        <v>135</v>
      </c>
    </row>
    <row r="4711">
      <c r="A4711" s="0" t="s">
        <v>4976</v>
      </c>
      <c r="B4711" s="0" t="s">
        <v>5</v>
      </c>
      <c r="C4711" s="0" t="s">
        <v>652</v>
      </c>
      <c r="D4711" s="0" t="s">
        <v>135</v>
      </c>
      <c r="E4711" s="0" t="s">
        <v>2</v>
      </c>
      <c r="F4711" s="0" t="s">
        <v>12</v>
      </c>
      <c r="G4711" s="0" t="s">
        <v>8</v>
      </c>
      <c r="H4711" s="0">
        <v>-6</v>
      </c>
      <c r="I4711" s="0">
        <v>0</v>
      </c>
      <c r="J4711" s="0">
        <v>0</v>
      </c>
      <c r="K4711" s="0">
        <v>0</v>
      </c>
      <c r="L4711" s="0">
        <v>0</v>
      </c>
      <c r="M4711" s="0">
        <v>0</v>
      </c>
      <c r="N4711" s="0">
        <v>0</v>
      </c>
      <c r="O4711" s="0">
        <v>0</v>
      </c>
      <c r="P4711" s="0">
        <v>0</v>
      </c>
      <c r="R4711" s="0" t="b">
        <v>0</v>
      </c>
      <c r="S4711" s="0" t="b">
        <v>0</v>
      </c>
      <c r="T4711" s="68">
        <v>46060.122662037</v>
      </c>
      <c r="U4711" s="68">
        <v>0</v>
      </c>
      <c r="V4711" s="68">
        <v>46099.1668055556</v>
      </c>
      <c r="W4711" s="0">
        <f>IF(IF(B4711="none",1,IF(B4711="Trialer",1,0))+IF(C4711="Customer",1,IF(C4711="Lost",1,0))=2,1,0)</f>
      </c>
      <c r="X4711" s="0" t="s">
        <v>136</v>
      </c>
      <c r="Y4711" s="0" t="s">
        <v>499</v>
      </c>
      <c r="AV4711" s="68"/>
      <c r="AW4711" s="68"/>
      <c r="AY4711" s="27"/>
      <c r="BD4711" s="68">
        <v>46054.1666666667</v>
      </c>
      <c r="BE4711" s="68">
        <v>46082.1666666667</v>
      </c>
      <c r="BF4711" s="0" t="b">
        <v>0</v>
      </c>
      <c r="BG4711" s="0" t="b">
        <v>0</v>
      </c>
      <c r="BH4711" s="0">
        <v>97</v>
      </c>
      <c r="BI4711" s="0">
        <v>97</v>
      </c>
      <c r="BJ4711" s="0" t="s">
        <v>135</v>
      </c>
    </row>
    <row r="4712">
      <c r="A4712" s="0" t="s">
        <v>4977</v>
      </c>
      <c r="B4712" s="0" t="s">
        <v>5</v>
      </c>
      <c r="C4712" s="0" t="s">
        <v>652</v>
      </c>
      <c r="D4712" s="0" t="s">
        <v>135</v>
      </c>
      <c r="E4712" s="0" t="s">
        <v>3</v>
      </c>
      <c r="F4712" s="0" t="s">
        <v>12</v>
      </c>
      <c r="G4712" s="0" t="s">
        <v>8</v>
      </c>
      <c r="H4712" s="0">
        <v>-6</v>
      </c>
      <c r="I4712" s="0">
        <v>0</v>
      </c>
      <c r="J4712" s="0">
        <v>0</v>
      </c>
      <c r="K4712" s="0">
        <v>0</v>
      </c>
      <c r="L4712" s="0">
        <v>0</v>
      </c>
      <c r="M4712" s="0">
        <v>0</v>
      </c>
      <c r="N4712" s="0">
        <v>0</v>
      </c>
      <c r="O4712" s="0">
        <v>0</v>
      </c>
      <c r="P4712" s="0">
        <v>0</v>
      </c>
      <c r="R4712" s="0" t="b">
        <v>0</v>
      </c>
      <c r="S4712" s="0" t="b">
        <v>0</v>
      </c>
      <c r="T4712" s="68">
        <v>46060.1958217593</v>
      </c>
      <c r="U4712" s="68">
        <v>0</v>
      </c>
      <c r="V4712" s="68">
        <v>46100.1667013889</v>
      </c>
      <c r="W4712" s="0">
        <f>IF(IF(B4712="none",1,IF(B4712="Trialer",1,0))+IF(C4712="Customer",1,IF(C4712="Lost",1,0))=2,1,0)</f>
      </c>
      <c r="X4712" s="0" t="s">
        <v>148</v>
      </c>
      <c r="Y4712" s="0" t="s">
        <v>243</v>
      </c>
      <c r="AV4712" s="68"/>
      <c r="AW4712" s="68"/>
      <c r="AY4712" s="27"/>
      <c r="BD4712" s="68">
        <v>46054.1666666667</v>
      </c>
      <c r="BE4712" s="68">
        <v>46082.1666666667</v>
      </c>
      <c r="BF4712" s="0" t="b">
        <v>0</v>
      </c>
      <c r="BG4712" s="0" t="b">
        <v>0</v>
      </c>
      <c r="BH4712" s="0">
        <v>97</v>
      </c>
      <c r="BI4712" s="0">
        <v>97</v>
      </c>
      <c r="BJ4712" s="0" t="s">
        <v>135</v>
      </c>
    </row>
    <row r="4713">
      <c r="A4713" s="0" t="s">
        <v>4978</v>
      </c>
      <c r="B4713" s="0" t="s">
        <v>5</v>
      </c>
      <c r="C4713" s="0" t="s">
        <v>652</v>
      </c>
      <c r="D4713" s="0" t="s">
        <v>135</v>
      </c>
      <c r="E4713" s="0" t="s">
        <v>3</v>
      </c>
      <c r="F4713" s="0" t="s">
        <v>12</v>
      </c>
      <c r="G4713" s="0" t="s">
        <v>8</v>
      </c>
      <c r="H4713" s="0">
        <v>-6</v>
      </c>
      <c r="I4713" s="0">
        <v>0</v>
      </c>
      <c r="J4713" s="0">
        <v>0</v>
      </c>
      <c r="K4713" s="0">
        <v>0</v>
      </c>
      <c r="L4713" s="0">
        <v>0</v>
      </c>
      <c r="M4713" s="0">
        <v>0</v>
      </c>
      <c r="N4713" s="0">
        <v>0</v>
      </c>
      <c r="O4713" s="0">
        <v>0</v>
      </c>
      <c r="P4713" s="0">
        <v>0</v>
      </c>
      <c r="R4713" s="0" t="b">
        <v>0</v>
      </c>
      <c r="S4713" s="0" t="b">
        <v>0</v>
      </c>
      <c r="T4713" s="68">
        <v>46060.3085532407</v>
      </c>
      <c r="U4713" s="68">
        <v>0</v>
      </c>
      <c r="V4713" s="68">
        <v>46100.166724537</v>
      </c>
      <c r="W4713" s="0">
        <f>IF(IF(B4713="none",1,IF(B4713="Trialer",1,0))+IF(C4713="Customer",1,IF(C4713="Lost",1,0))=2,1,0)</f>
      </c>
      <c r="X4713" s="0" t="s">
        <v>145</v>
      </c>
      <c r="Y4713" s="0" t="s">
        <v>243</v>
      </c>
      <c r="AV4713" s="68"/>
      <c r="AW4713" s="68"/>
      <c r="AY4713" s="27"/>
      <c r="BD4713" s="68">
        <v>46054.1666666667</v>
      </c>
      <c r="BE4713" s="68">
        <v>46082.1666666667</v>
      </c>
      <c r="BF4713" s="0" t="b">
        <v>0</v>
      </c>
      <c r="BG4713" s="0" t="b">
        <v>0</v>
      </c>
      <c r="BH4713" s="0">
        <v>71</v>
      </c>
      <c r="BI4713" s="0">
        <v>71</v>
      </c>
      <c r="BJ4713" s="0" t="s">
        <v>135</v>
      </c>
    </row>
    <row r="4714">
      <c r="A4714" s="0" t="s">
        <v>4979</v>
      </c>
      <c r="B4714" s="0" t="s">
        <v>5</v>
      </c>
      <c r="C4714" s="0" t="s">
        <v>652</v>
      </c>
      <c r="D4714" s="0" t="s">
        <v>135</v>
      </c>
      <c r="E4714" s="0" t="s">
        <v>3</v>
      </c>
      <c r="F4714" s="0" t="s">
        <v>12</v>
      </c>
      <c r="G4714" s="0" t="s">
        <v>8</v>
      </c>
      <c r="H4714" s="0">
        <v>-6</v>
      </c>
      <c r="I4714" s="0">
        <v>0</v>
      </c>
      <c r="J4714" s="0">
        <v>0</v>
      </c>
      <c r="K4714" s="0">
        <v>0</v>
      </c>
      <c r="L4714" s="0">
        <v>0</v>
      </c>
      <c r="M4714" s="0">
        <v>0</v>
      </c>
      <c r="N4714" s="0">
        <v>0</v>
      </c>
      <c r="O4714" s="0">
        <v>0</v>
      </c>
      <c r="P4714" s="0">
        <v>0</v>
      </c>
      <c r="R4714" s="0" t="b">
        <v>0</v>
      </c>
      <c r="S4714" s="0" t="b">
        <v>0</v>
      </c>
      <c r="T4714" s="68">
        <v>46060.3707523148</v>
      </c>
      <c r="U4714" s="68">
        <v>0</v>
      </c>
      <c r="V4714" s="68">
        <v>46076.4092361111</v>
      </c>
      <c r="W4714" s="0">
        <f>IF(IF(B4714="none",1,IF(B4714="Trialer",1,0))+IF(C4714="Customer",1,IF(C4714="Lost",1,0))=2,1,0)</f>
      </c>
      <c r="X4714" s="0" t="s">
        <v>136</v>
      </c>
      <c r="Y4714" s="0" t="s">
        <v>243</v>
      </c>
      <c r="AV4714" s="68"/>
      <c r="AW4714" s="68"/>
      <c r="AY4714" s="27"/>
      <c r="BD4714" s="68">
        <v>46054.1666666667</v>
      </c>
      <c r="BE4714" s="68">
        <v>46082.1666666667</v>
      </c>
      <c r="BF4714" s="0" t="b">
        <v>0</v>
      </c>
      <c r="BG4714" s="0" t="b">
        <v>0</v>
      </c>
      <c r="BH4714" s="0">
        <v>71</v>
      </c>
      <c r="BI4714" s="0">
        <v>71</v>
      </c>
      <c r="BJ4714" s="0" t="s">
        <v>135</v>
      </c>
    </row>
    <row r="4715">
      <c r="A4715" s="0" t="s">
        <v>4980</v>
      </c>
      <c r="B4715" s="0" t="s">
        <v>5</v>
      </c>
      <c r="C4715" s="0" t="s">
        <v>134</v>
      </c>
      <c r="D4715" s="0" t="s">
        <v>135</v>
      </c>
      <c r="E4715" s="0" t="s">
        <v>3</v>
      </c>
      <c r="F4715" s="0" t="s">
        <v>12</v>
      </c>
      <c r="G4715" s="0" t="s">
        <v>8</v>
      </c>
      <c r="H4715" s="0">
        <v>-6</v>
      </c>
      <c r="I4715" s="0">
        <v>59</v>
      </c>
      <c r="J4715" s="0">
        <v>0</v>
      </c>
      <c r="K4715" s="0">
        <v>1</v>
      </c>
      <c r="L4715" s="0">
        <v>3</v>
      </c>
      <c r="M4715" s="0">
        <v>1</v>
      </c>
      <c r="N4715" s="0">
        <v>0</v>
      </c>
      <c r="O4715" s="0">
        <v>0</v>
      </c>
      <c r="P4715" s="0">
        <v>637.2</v>
      </c>
      <c r="R4715" s="0" t="b">
        <v>0</v>
      </c>
      <c r="S4715" s="0" t="b">
        <v>1</v>
      </c>
      <c r="T4715" s="68">
        <v>46060.4756944444</v>
      </c>
      <c r="U4715" s="68">
        <v>46074.2916666667</v>
      </c>
      <c r="V4715" s="68">
        <v>0</v>
      </c>
      <c r="W4715" s="0">
        <f>IF(IF(B4715="none",1,IF(B4715="Trialer",1,0))+IF(C4715="Customer",1,IF(C4715="Lost",1,0))=2,1,0)</f>
      </c>
      <c r="X4715" s="0" t="s">
        <v>1461</v>
      </c>
      <c r="Y4715" s="0" t="s">
        <v>243</v>
      </c>
      <c r="AV4715" s="68"/>
      <c r="AW4715" s="68"/>
      <c r="AY4715" s="27"/>
      <c r="BD4715" s="68">
        <v>46054.1666666667</v>
      </c>
      <c r="BE4715" s="68">
        <v>46082.1666666667</v>
      </c>
      <c r="BF4715" s="0" t="b">
        <v>0</v>
      </c>
      <c r="BG4715" s="0" t="b">
        <v>0</v>
      </c>
      <c r="BH4715" s="0">
        <v>59</v>
      </c>
      <c r="BI4715" s="0">
        <v>59</v>
      </c>
      <c r="BJ4715" s="0" t="s">
        <v>230</v>
      </c>
    </row>
    <row r="4716">
      <c r="A4716" s="0" t="s">
        <v>4981</v>
      </c>
      <c r="B4716" s="0" t="s">
        <v>5</v>
      </c>
      <c r="C4716" s="0" t="s">
        <v>652</v>
      </c>
      <c r="D4716" s="0" t="s">
        <v>135</v>
      </c>
      <c r="E4716" s="0" t="s">
        <v>1515</v>
      </c>
      <c r="F4716" s="0" t="s">
        <v>12</v>
      </c>
      <c r="G4716" s="0" t="s">
        <v>8</v>
      </c>
      <c r="H4716" s="0">
        <v>-6</v>
      </c>
      <c r="I4716" s="0">
        <v>0</v>
      </c>
      <c r="J4716" s="0">
        <v>0</v>
      </c>
      <c r="K4716" s="0">
        <v>0</v>
      </c>
      <c r="L4716" s="0">
        <v>0</v>
      </c>
      <c r="M4716" s="0">
        <v>0</v>
      </c>
      <c r="N4716" s="0">
        <v>0</v>
      </c>
      <c r="O4716" s="0">
        <v>0</v>
      </c>
      <c r="P4716" s="0">
        <v>0</v>
      </c>
      <c r="R4716" s="0" t="b">
        <v>0</v>
      </c>
      <c r="S4716" s="0" t="b">
        <v>0</v>
      </c>
      <c r="T4716" s="68">
        <v>46060.4794675926</v>
      </c>
      <c r="U4716" s="68">
        <v>0</v>
      </c>
      <c r="V4716" s="68">
        <v>46100.1667476852</v>
      </c>
      <c r="W4716" s="0">
        <f>IF(IF(B4716="none",1,IF(B4716="Trialer",1,0))+IF(C4716="Customer",1,IF(C4716="Lost",1,0))=2,1,0)</f>
      </c>
      <c r="X4716" s="0" t="s">
        <v>145</v>
      </c>
      <c r="Y4716" s="0" t="s">
        <v>1516</v>
      </c>
      <c r="AV4716" s="68"/>
      <c r="AW4716" s="68"/>
      <c r="AY4716" s="27"/>
      <c r="BD4716" s="68">
        <v>46054.1666666667</v>
      </c>
      <c r="BE4716" s="68">
        <v>46082.1666666667</v>
      </c>
      <c r="BF4716" s="0" t="b">
        <v>0</v>
      </c>
      <c r="BG4716" s="0" t="b">
        <v>0</v>
      </c>
      <c r="BH4716" s="0">
        <v>59</v>
      </c>
      <c r="BI4716" s="0">
        <v>59</v>
      </c>
      <c r="BJ4716" s="0" t="s">
        <v>135</v>
      </c>
    </row>
    <row r="4717">
      <c r="A4717" s="0" t="s">
        <v>4982</v>
      </c>
      <c r="B4717" s="0" t="s">
        <v>5</v>
      </c>
      <c r="C4717" s="0" t="s">
        <v>652</v>
      </c>
      <c r="D4717" s="0" t="s">
        <v>135</v>
      </c>
      <c r="E4717" s="0" t="s">
        <v>3</v>
      </c>
      <c r="F4717" s="0" t="s">
        <v>12</v>
      </c>
      <c r="G4717" s="0" t="s">
        <v>8</v>
      </c>
      <c r="H4717" s="0">
        <v>-6</v>
      </c>
      <c r="I4717" s="0">
        <v>0</v>
      </c>
      <c r="J4717" s="0">
        <v>0</v>
      </c>
      <c r="K4717" s="0">
        <v>0</v>
      </c>
      <c r="L4717" s="0">
        <v>0</v>
      </c>
      <c r="M4717" s="0">
        <v>0</v>
      </c>
      <c r="N4717" s="0">
        <v>0</v>
      </c>
      <c r="O4717" s="0">
        <v>0</v>
      </c>
      <c r="P4717" s="0">
        <v>0</v>
      </c>
      <c r="R4717" s="0" t="b">
        <v>0</v>
      </c>
      <c r="S4717" s="0" t="b">
        <v>0</v>
      </c>
      <c r="T4717" s="68">
        <v>46060.6600578704</v>
      </c>
      <c r="U4717" s="68">
        <v>0</v>
      </c>
      <c r="V4717" s="68">
        <v>46084.3757060185</v>
      </c>
      <c r="W4717" s="0">
        <f>IF(IF(B4717="none",1,IF(B4717="Trialer",1,0))+IF(C4717="Customer",1,IF(C4717="Lost",1,0))=2,1,0)</f>
      </c>
      <c r="X4717" s="0" t="s">
        <v>1461</v>
      </c>
      <c r="Y4717" s="0" t="s">
        <v>243</v>
      </c>
      <c r="AV4717" s="68"/>
      <c r="AW4717" s="68"/>
      <c r="AY4717" s="27"/>
      <c r="BD4717" s="68">
        <v>46054.1666666667</v>
      </c>
      <c r="BE4717" s="68">
        <v>46082.1666666667</v>
      </c>
      <c r="BF4717" s="0" t="b">
        <v>1</v>
      </c>
      <c r="BG4717" s="0" t="b">
        <v>0</v>
      </c>
      <c r="BH4717" s="0">
        <v>59</v>
      </c>
      <c r="BI4717" s="0">
        <v>59</v>
      </c>
      <c r="BJ4717" s="0" t="s">
        <v>135</v>
      </c>
    </row>
    <row r="4718">
      <c r="A4718" s="0" t="s">
        <v>4983</v>
      </c>
      <c r="B4718" s="0" t="s">
        <v>5</v>
      </c>
      <c r="C4718" s="0" t="s">
        <v>652</v>
      </c>
      <c r="D4718" s="0" t="s">
        <v>135</v>
      </c>
      <c r="E4718" s="0" t="s">
        <v>1515</v>
      </c>
      <c r="F4718" s="0" t="s">
        <v>12</v>
      </c>
      <c r="G4718" s="0" t="s">
        <v>8</v>
      </c>
      <c r="H4718" s="0">
        <v>-6</v>
      </c>
      <c r="I4718" s="0">
        <v>0</v>
      </c>
      <c r="J4718" s="0">
        <v>0</v>
      </c>
      <c r="K4718" s="0">
        <v>0</v>
      </c>
      <c r="L4718" s="0">
        <v>0</v>
      </c>
      <c r="M4718" s="0">
        <v>0</v>
      </c>
      <c r="N4718" s="0">
        <v>0</v>
      </c>
      <c r="O4718" s="0">
        <v>0</v>
      </c>
      <c r="P4718" s="0">
        <v>0</v>
      </c>
      <c r="R4718" s="0" t="b">
        <v>0</v>
      </c>
      <c r="S4718" s="0" t="b">
        <v>0</v>
      </c>
      <c r="T4718" s="68">
        <v>46060.6666666667</v>
      </c>
      <c r="U4718" s="68">
        <v>0</v>
      </c>
      <c r="V4718" s="68">
        <v>46100.1667476852</v>
      </c>
      <c r="W4718" s="0">
        <f>IF(IF(B4718="none",1,IF(B4718="Trialer",1,0))+IF(C4718="Customer",1,IF(C4718="Lost",1,0))=2,1,0)</f>
      </c>
      <c r="X4718" s="0" t="s">
        <v>148</v>
      </c>
      <c r="Y4718" s="0" t="s">
        <v>1516</v>
      </c>
      <c r="AV4718" s="68"/>
      <c r="AW4718" s="68"/>
      <c r="AY4718" s="27"/>
      <c r="BD4718" s="68">
        <v>46054.1666666667</v>
      </c>
      <c r="BE4718" s="68">
        <v>46082.1666666667</v>
      </c>
      <c r="BF4718" s="0" t="b">
        <v>0</v>
      </c>
      <c r="BG4718" s="0" t="b">
        <v>0</v>
      </c>
      <c r="BH4718" s="0">
        <v>59</v>
      </c>
      <c r="BI4718" s="0">
        <v>59</v>
      </c>
      <c r="BJ4718" s="0" t="s">
        <v>135</v>
      </c>
    </row>
    <row r="4719">
      <c r="A4719" s="0" t="s">
        <v>4984</v>
      </c>
      <c r="B4719" s="0" t="s">
        <v>5</v>
      </c>
      <c r="C4719" s="0" t="s">
        <v>652</v>
      </c>
      <c r="D4719" s="0" t="s">
        <v>135</v>
      </c>
      <c r="E4719" s="0" t="s">
        <v>2</v>
      </c>
      <c r="F4719" s="0" t="s">
        <v>12</v>
      </c>
      <c r="G4719" s="0" t="s">
        <v>8</v>
      </c>
      <c r="H4719" s="0">
        <v>-6</v>
      </c>
      <c r="I4719" s="0">
        <v>0</v>
      </c>
      <c r="J4719" s="0">
        <v>0</v>
      </c>
      <c r="K4719" s="0">
        <v>0</v>
      </c>
      <c r="L4719" s="0">
        <v>0</v>
      </c>
      <c r="M4719" s="0">
        <v>0</v>
      </c>
      <c r="N4719" s="0">
        <v>0</v>
      </c>
      <c r="O4719" s="0">
        <v>0</v>
      </c>
      <c r="P4719" s="0">
        <v>0</v>
      </c>
      <c r="R4719" s="0" t="b">
        <v>0</v>
      </c>
      <c r="S4719" s="0" t="b">
        <v>0</v>
      </c>
      <c r="T4719" s="68">
        <v>46060.7027430556</v>
      </c>
      <c r="U4719" s="68">
        <v>0</v>
      </c>
      <c r="V4719" s="68">
        <v>46084.4630439815</v>
      </c>
      <c r="W4719" s="0">
        <f>IF(IF(B4719="none",1,IF(B4719="Trialer",1,0))+IF(C4719="Customer",1,IF(C4719="Lost",1,0))=2,1,0)</f>
      </c>
      <c r="X4719" s="0" t="s">
        <v>145</v>
      </c>
      <c r="Y4719" s="0" t="s">
        <v>499</v>
      </c>
      <c r="AV4719" s="68"/>
      <c r="AW4719" s="68"/>
      <c r="AY4719" s="27"/>
      <c r="BD4719" s="68">
        <v>46054.1666666667</v>
      </c>
      <c r="BE4719" s="68">
        <v>46082.1666666667</v>
      </c>
      <c r="BF4719" s="0" t="b">
        <v>0</v>
      </c>
      <c r="BG4719" s="0" t="b">
        <v>0</v>
      </c>
      <c r="BH4719" s="0">
        <v>118</v>
      </c>
      <c r="BI4719" s="0">
        <v>118</v>
      </c>
      <c r="BJ4719" s="0" t="s">
        <v>135</v>
      </c>
    </row>
    <row r="4720">
      <c r="A4720" s="0" t="s">
        <v>4985</v>
      </c>
      <c r="B4720" s="0" t="s">
        <v>5</v>
      </c>
      <c r="C4720" s="0" t="s">
        <v>652</v>
      </c>
      <c r="D4720" s="0" t="s">
        <v>135</v>
      </c>
      <c r="E4720" s="0" t="s">
        <v>2414</v>
      </c>
      <c r="F4720" s="0" t="s">
        <v>10</v>
      </c>
      <c r="G4720" s="0" t="s">
        <v>8</v>
      </c>
      <c r="H4720" s="0">
        <v>-6</v>
      </c>
      <c r="I4720" s="0">
        <v>0</v>
      </c>
      <c r="J4720" s="0">
        <v>0</v>
      </c>
      <c r="K4720" s="0">
        <v>0</v>
      </c>
      <c r="L4720" s="0">
        <v>0</v>
      </c>
      <c r="M4720" s="0">
        <v>0</v>
      </c>
      <c r="N4720" s="0">
        <v>0</v>
      </c>
      <c r="O4720" s="0">
        <v>0</v>
      </c>
      <c r="P4720" s="0">
        <v>0</v>
      </c>
      <c r="Q4720" s="0" t="s">
        <v>266</v>
      </c>
      <c r="R4720" s="0" t="b">
        <v>0</v>
      </c>
      <c r="S4720" s="0" t="b">
        <v>0</v>
      </c>
      <c r="T4720" s="68">
        <v>46060.7897685185</v>
      </c>
      <c r="U4720" s="68">
        <v>0</v>
      </c>
      <c r="V4720" s="68">
        <v>46100.1667939815</v>
      </c>
      <c r="W4720" s="0">
        <f>IF(IF(B4720="none",1,IF(B4720="Trialer",1,0))+IF(C4720="Customer",1,IF(C4720="Lost",1,0))=2,1,0)</f>
      </c>
      <c r="X4720" s="0" t="s">
        <v>148</v>
      </c>
      <c r="Y4720" s="0" t="s">
        <v>1516</v>
      </c>
      <c r="AV4720" s="68"/>
      <c r="AW4720" s="68"/>
      <c r="AY4720" s="27"/>
      <c r="BD4720" s="68">
        <v>46054.1666666667</v>
      </c>
      <c r="BE4720" s="68">
        <v>46082.1666666667</v>
      </c>
      <c r="BF4720" s="0" t="b">
        <v>0</v>
      </c>
      <c r="BG4720" s="0" t="b">
        <v>0</v>
      </c>
      <c r="BH4720" s="0">
        <v>77</v>
      </c>
      <c r="BI4720" s="0">
        <v>77</v>
      </c>
      <c r="BJ4720" s="0" t="s">
        <v>135</v>
      </c>
    </row>
    <row r="4721">
      <c r="A4721" s="0" t="s">
        <v>4986</v>
      </c>
      <c r="B4721" s="0" t="s">
        <v>5</v>
      </c>
      <c r="C4721" s="0" t="s">
        <v>652</v>
      </c>
      <c r="D4721" s="0" t="s">
        <v>135</v>
      </c>
      <c r="E4721" s="0" t="s">
        <v>3</v>
      </c>
      <c r="F4721" s="0" t="s">
        <v>12</v>
      </c>
      <c r="G4721" s="0" t="s">
        <v>8</v>
      </c>
      <c r="H4721" s="0">
        <v>-6</v>
      </c>
      <c r="I4721" s="0">
        <v>0</v>
      </c>
      <c r="J4721" s="0">
        <v>0</v>
      </c>
      <c r="K4721" s="0">
        <v>0</v>
      </c>
      <c r="L4721" s="0">
        <v>0</v>
      </c>
      <c r="M4721" s="0">
        <v>0</v>
      </c>
      <c r="N4721" s="0">
        <v>0</v>
      </c>
      <c r="O4721" s="0">
        <v>0</v>
      </c>
      <c r="P4721" s="0">
        <v>0</v>
      </c>
      <c r="R4721" s="0" t="b">
        <v>0</v>
      </c>
      <c r="S4721" s="0" t="b">
        <v>0</v>
      </c>
      <c r="T4721" s="68">
        <v>46060.8063425926</v>
      </c>
      <c r="U4721" s="68">
        <v>0</v>
      </c>
      <c r="V4721" s="68">
        <v>46100.1667824074</v>
      </c>
      <c r="W4721" s="0">
        <f>IF(IF(B4721="none",1,IF(B4721="Trialer",1,0))+IF(C4721="Customer",1,IF(C4721="Lost",1,0))=2,1,0)</f>
      </c>
      <c r="X4721" s="0" t="s">
        <v>136</v>
      </c>
      <c r="Y4721" s="0" t="s">
        <v>243</v>
      </c>
      <c r="AV4721" s="68"/>
      <c r="AW4721" s="68"/>
      <c r="AY4721" s="27"/>
      <c r="BD4721" s="68">
        <v>46054.1666666667</v>
      </c>
      <c r="BE4721" s="68">
        <v>46082.1666666667</v>
      </c>
      <c r="BF4721" s="0" t="b">
        <v>0</v>
      </c>
      <c r="BG4721" s="0" t="b">
        <v>0</v>
      </c>
      <c r="BH4721" s="0">
        <v>71</v>
      </c>
      <c r="BI4721" s="0">
        <v>71</v>
      </c>
      <c r="BJ4721" s="0" t="s">
        <v>135</v>
      </c>
    </row>
    <row r="4722">
      <c r="A4722" s="0" t="s">
        <v>4987</v>
      </c>
      <c r="B4722" s="0" t="s">
        <v>5</v>
      </c>
      <c r="C4722" s="0" t="s">
        <v>652</v>
      </c>
      <c r="D4722" s="0" t="s">
        <v>135</v>
      </c>
      <c r="E4722" s="0" t="s">
        <v>3</v>
      </c>
      <c r="F4722" s="0" t="s">
        <v>12</v>
      </c>
      <c r="G4722" s="0" t="s">
        <v>8</v>
      </c>
      <c r="H4722" s="0">
        <v>-6</v>
      </c>
      <c r="I4722" s="0">
        <v>0</v>
      </c>
      <c r="J4722" s="0">
        <v>0</v>
      </c>
      <c r="K4722" s="0">
        <v>0</v>
      </c>
      <c r="L4722" s="0">
        <v>0</v>
      </c>
      <c r="M4722" s="0">
        <v>0</v>
      </c>
      <c r="N4722" s="0">
        <v>0</v>
      </c>
      <c r="O4722" s="0">
        <v>0</v>
      </c>
      <c r="P4722" s="0">
        <v>0</v>
      </c>
      <c r="R4722" s="0" t="b">
        <v>0</v>
      </c>
      <c r="S4722" s="0" t="b">
        <v>0</v>
      </c>
      <c r="T4722" s="68">
        <v>46060.9193287037</v>
      </c>
      <c r="U4722" s="68">
        <v>0</v>
      </c>
      <c r="V4722" s="68">
        <v>46100.1667592593</v>
      </c>
      <c r="W4722" s="0">
        <f>IF(IF(B4722="none",1,IF(B4722="Trialer",1,0))+IF(C4722="Customer",1,IF(C4722="Lost",1,0))=2,1,0)</f>
      </c>
      <c r="X4722" s="0" t="s">
        <v>145</v>
      </c>
      <c r="Y4722" s="0" t="s">
        <v>243</v>
      </c>
      <c r="AV4722" s="68"/>
      <c r="AW4722" s="68"/>
      <c r="AY4722" s="27"/>
      <c r="BD4722" s="68">
        <v>46054.1666666667</v>
      </c>
      <c r="BE4722" s="68">
        <v>46082.1666666667</v>
      </c>
      <c r="BF4722" s="0" t="b">
        <v>0</v>
      </c>
      <c r="BG4722" s="0" t="b">
        <v>0</v>
      </c>
      <c r="BH4722" s="0">
        <v>85</v>
      </c>
      <c r="BI4722" s="0">
        <v>85</v>
      </c>
      <c r="BJ4722" s="0" t="s">
        <v>135</v>
      </c>
    </row>
    <row r="4723">
      <c r="A4723" s="0" t="s">
        <v>4988</v>
      </c>
      <c r="B4723" s="0" t="s">
        <v>5</v>
      </c>
      <c r="C4723" s="0" t="s">
        <v>652</v>
      </c>
      <c r="D4723" s="0" t="s">
        <v>135</v>
      </c>
      <c r="E4723" s="0" t="s">
        <v>3</v>
      </c>
      <c r="F4723" s="0" t="s">
        <v>12</v>
      </c>
      <c r="G4723" s="0" t="s">
        <v>8</v>
      </c>
      <c r="H4723" s="0">
        <v>-6</v>
      </c>
      <c r="I4723" s="0">
        <v>0</v>
      </c>
      <c r="J4723" s="0">
        <v>0</v>
      </c>
      <c r="K4723" s="0">
        <v>0</v>
      </c>
      <c r="L4723" s="0">
        <v>0</v>
      </c>
      <c r="M4723" s="0">
        <v>0</v>
      </c>
      <c r="N4723" s="0">
        <v>0</v>
      </c>
      <c r="O4723" s="0">
        <v>0</v>
      </c>
      <c r="P4723" s="0">
        <v>0</v>
      </c>
      <c r="R4723" s="0" t="b">
        <v>0</v>
      </c>
      <c r="S4723" s="0" t="b">
        <v>0</v>
      </c>
      <c r="T4723" s="68">
        <v>46060.9378125</v>
      </c>
      <c r="U4723" s="68">
        <v>0</v>
      </c>
      <c r="V4723" s="68">
        <v>46100.1667708333</v>
      </c>
      <c r="W4723" s="0">
        <f>IF(IF(B4723="none",1,IF(B4723="Trialer",1,0))+IF(C4723="Customer",1,IF(C4723="Lost",1,0))=2,1,0)</f>
      </c>
      <c r="X4723" s="0" t="s">
        <v>148</v>
      </c>
      <c r="Y4723" s="0" t="s">
        <v>243</v>
      </c>
      <c r="AV4723" s="68"/>
      <c r="AW4723" s="68"/>
      <c r="AY4723" s="27"/>
      <c r="BD4723" s="68">
        <v>46054.1666666667</v>
      </c>
      <c r="BE4723" s="68">
        <v>46082.1666666667</v>
      </c>
      <c r="BF4723" s="0" t="b">
        <v>0</v>
      </c>
      <c r="BG4723" s="0" t="b">
        <v>0</v>
      </c>
      <c r="BH4723" s="0">
        <v>83</v>
      </c>
      <c r="BI4723" s="0">
        <v>83</v>
      </c>
      <c r="BJ4723" s="0" t="s">
        <v>135</v>
      </c>
    </row>
    <row r="4724">
      <c r="A4724" s="0" t="s">
        <v>4989</v>
      </c>
      <c r="B4724" s="0" t="s">
        <v>5</v>
      </c>
      <c r="C4724" s="0" t="s">
        <v>652</v>
      </c>
      <c r="D4724" s="0" t="s">
        <v>135</v>
      </c>
      <c r="E4724" s="0" t="s">
        <v>3</v>
      </c>
      <c r="F4724" s="0" t="s">
        <v>12</v>
      </c>
      <c r="G4724" s="0" t="s">
        <v>8</v>
      </c>
      <c r="H4724" s="0">
        <v>-6</v>
      </c>
      <c r="I4724" s="0">
        <v>0</v>
      </c>
      <c r="J4724" s="0">
        <v>0</v>
      </c>
      <c r="K4724" s="0">
        <v>0</v>
      </c>
      <c r="L4724" s="0">
        <v>0</v>
      </c>
      <c r="M4724" s="0">
        <v>0</v>
      </c>
      <c r="N4724" s="0">
        <v>0</v>
      </c>
      <c r="O4724" s="0">
        <v>0</v>
      </c>
      <c r="P4724" s="0">
        <v>0</v>
      </c>
      <c r="R4724" s="0" t="b">
        <v>0</v>
      </c>
      <c r="S4724" s="0" t="b">
        <v>0</v>
      </c>
      <c r="T4724" s="68">
        <v>46060.9411111111</v>
      </c>
      <c r="U4724" s="68">
        <v>0</v>
      </c>
      <c r="V4724" s="68">
        <v>46065.0109143518</v>
      </c>
      <c r="W4724" s="0">
        <f>IF(IF(B4724="none",1,IF(B4724="Trialer",1,0))+IF(C4724="Customer",1,IF(C4724="Lost",1,0))=2,1,0)</f>
      </c>
      <c r="X4724" s="0" t="s">
        <v>145</v>
      </c>
      <c r="Y4724" s="0" t="s">
        <v>243</v>
      </c>
      <c r="AV4724" s="68"/>
      <c r="AW4724" s="68"/>
      <c r="AY4724" s="27"/>
      <c r="BD4724" s="68">
        <v>46054.1666666667</v>
      </c>
      <c r="BE4724" s="68">
        <v>46082.1666666667</v>
      </c>
      <c r="BF4724" s="0" t="b">
        <v>0</v>
      </c>
      <c r="BG4724" s="0" t="b">
        <v>0</v>
      </c>
      <c r="BH4724" s="0">
        <v>71</v>
      </c>
      <c r="BI4724" s="0">
        <v>71</v>
      </c>
      <c r="BJ4724" s="0" t="s">
        <v>135</v>
      </c>
    </row>
    <row r="4725">
      <c r="A4725" s="0" t="s">
        <v>4990</v>
      </c>
      <c r="B4725" s="0" t="s">
        <v>5</v>
      </c>
      <c r="C4725" s="0" t="s">
        <v>652</v>
      </c>
      <c r="D4725" s="0" t="s">
        <v>135</v>
      </c>
      <c r="E4725" s="0" t="s">
        <v>3</v>
      </c>
      <c r="F4725" s="0" t="s">
        <v>12</v>
      </c>
      <c r="G4725" s="0" t="s">
        <v>8</v>
      </c>
      <c r="H4725" s="0">
        <v>-7</v>
      </c>
      <c r="I4725" s="0">
        <v>0</v>
      </c>
      <c r="J4725" s="0">
        <v>0</v>
      </c>
      <c r="K4725" s="0">
        <v>0</v>
      </c>
      <c r="L4725" s="0">
        <v>0</v>
      </c>
      <c r="M4725" s="0">
        <v>0</v>
      </c>
      <c r="N4725" s="0">
        <v>0</v>
      </c>
      <c r="O4725" s="0">
        <v>0</v>
      </c>
      <c r="P4725" s="0">
        <v>0</v>
      </c>
      <c r="R4725" s="0" t="b">
        <v>0</v>
      </c>
      <c r="S4725" s="0" t="b">
        <v>0</v>
      </c>
      <c r="T4725" s="68">
        <v>46060.9844907407</v>
      </c>
      <c r="U4725" s="68">
        <v>0</v>
      </c>
      <c r="V4725" s="68">
        <v>46100.1667708333</v>
      </c>
      <c r="W4725" s="0">
        <f>IF(IF(B4725="none",1,IF(B4725="Trialer",1,0))+IF(C4725="Customer",1,IF(C4725="Lost",1,0))=2,1,0)</f>
      </c>
      <c r="X4725" s="0" t="s">
        <v>145</v>
      </c>
      <c r="Y4725" s="0" t="s">
        <v>243</v>
      </c>
      <c r="AV4725" s="68"/>
      <c r="AW4725" s="68"/>
      <c r="AY4725" s="27"/>
      <c r="BD4725" s="68">
        <v>46054.1666666667</v>
      </c>
      <c r="BE4725" s="68">
        <v>46082.1666666667</v>
      </c>
      <c r="BF4725" s="0" t="b">
        <v>0</v>
      </c>
      <c r="BG4725" s="0" t="b">
        <v>0</v>
      </c>
      <c r="BH4725" s="0">
        <v>71</v>
      </c>
      <c r="BI4725" s="0">
        <v>71</v>
      </c>
      <c r="BJ4725" s="0" t="s">
        <v>135</v>
      </c>
    </row>
    <row r="4726">
      <c r="A4726" s="0" t="s">
        <v>4991</v>
      </c>
      <c r="B4726" s="0" t="s">
        <v>5</v>
      </c>
      <c r="C4726" s="0" t="s">
        <v>652</v>
      </c>
      <c r="D4726" s="0" t="s">
        <v>135</v>
      </c>
      <c r="E4726" s="0" t="s">
        <v>3</v>
      </c>
      <c r="F4726" s="0" t="s">
        <v>12</v>
      </c>
      <c r="G4726" s="0" t="s">
        <v>8</v>
      </c>
      <c r="H4726" s="0">
        <v>-7</v>
      </c>
      <c r="I4726" s="0">
        <v>0</v>
      </c>
      <c r="J4726" s="0">
        <v>0</v>
      </c>
      <c r="K4726" s="0">
        <v>0</v>
      </c>
      <c r="L4726" s="0">
        <v>0</v>
      </c>
      <c r="M4726" s="0">
        <v>0</v>
      </c>
      <c r="N4726" s="0">
        <v>0</v>
      </c>
      <c r="O4726" s="0">
        <v>0</v>
      </c>
      <c r="P4726" s="0">
        <v>0</v>
      </c>
      <c r="R4726" s="0" t="b">
        <v>0</v>
      </c>
      <c r="S4726" s="0" t="b">
        <v>0</v>
      </c>
      <c r="T4726" s="68">
        <v>46061.1067476852</v>
      </c>
      <c r="U4726" s="68">
        <v>0</v>
      </c>
      <c r="V4726" s="68">
        <v>46100.1667824074</v>
      </c>
      <c r="W4726" s="0">
        <f>IF(IF(B4726="none",1,IF(B4726="Trialer",1,0))+IF(C4726="Customer",1,IF(C4726="Lost",1,0))=2,1,0)</f>
      </c>
      <c r="X4726" s="0" t="s">
        <v>148</v>
      </c>
      <c r="Y4726" s="0" t="s">
        <v>243</v>
      </c>
      <c r="AV4726" s="68"/>
      <c r="AW4726" s="68"/>
      <c r="AY4726" s="27"/>
      <c r="BD4726" s="68">
        <v>46054.1666666667</v>
      </c>
      <c r="BE4726" s="68">
        <v>46082.1666666667</v>
      </c>
      <c r="BF4726" s="0" t="b">
        <v>0</v>
      </c>
      <c r="BG4726" s="0" t="b">
        <v>0</v>
      </c>
      <c r="BH4726" s="0">
        <v>59</v>
      </c>
      <c r="BI4726" s="0">
        <v>59</v>
      </c>
      <c r="BJ4726" s="0" t="s">
        <v>135</v>
      </c>
    </row>
    <row r="4727">
      <c r="A4727" s="0" t="s">
        <v>4992</v>
      </c>
      <c r="B4727" s="0" t="s">
        <v>5</v>
      </c>
      <c r="C4727" s="0" t="s">
        <v>652</v>
      </c>
      <c r="D4727" s="0" t="s">
        <v>135</v>
      </c>
      <c r="E4727" s="0" t="s">
        <v>2414</v>
      </c>
      <c r="F4727" s="0" t="s">
        <v>12</v>
      </c>
      <c r="G4727" s="0" t="s">
        <v>8</v>
      </c>
      <c r="H4727" s="0">
        <v>-7</v>
      </c>
      <c r="I4727" s="0">
        <v>0</v>
      </c>
      <c r="J4727" s="0">
        <v>0</v>
      </c>
      <c r="K4727" s="0">
        <v>0</v>
      </c>
      <c r="L4727" s="0">
        <v>0</v>
      </c>
      <c r="M4727" s="0">
        <v>0</v>
      </c>
      <c r="N4727" s="0">
        <v>0</v>
      </c>
      <c r="O4727" s="0">
        <v>0</v>
      </c>
      <c r="P4727" s="0">
        <v>0</v>
      </c>
      <c r="R4727" s="0" t="b">
        <v>0</v>
      </c>
      <c r="S4727" s="0" t="b">
        <v>1</v>
      </c>
      <c r="T4727" s="68">
        <v>46061.1609143519</v>
      </c>
      <c r="U4727" s="68">
        <v>0</v>
      </c>
      <c r="V4727" s="68">
        <v>0</v>
      </c>
      <c r="W4727" s="0">
        <f>IF(IF(B4727="none",1,IF(B4727="Trialer",1,0))+IF(C4727="Customer",1,IF(C4727="Lost",1,0))=2,1,0)</f>
      </c>
      <c r="X4727" s="0" t="s">
        <v>145</v>
      </c>
      <c r="Y4727" s="0" t="s">
        <v>1516</v>
      </c>
      <c r="AV4727" s="68"/>
      <c r="AW4727" s="68"/>
      <c r="AY4727" s="27"/>
      <c r="BD4727" s="68">
        <v>46054.1666666667</v>
      </c>
      <c r="BE4727" s="68">
        <v>46082.1666666667</v>
      </c>
      <c r="BF4727" s="0" t="b">
        <v>0</v>
      </c>
      <c r="BG4727" s="0" t="b">
        <v>0</v>
      </c>
      <c r="BH4727" s="0">
        <v>59</v>
      </c>
      <c r="BI4727" s="0">
        <v>59</v>
      </c>
      <c r="BJ4727" s="0" t="s">
        <v>135</v>
      </c>
    </row>
    <row r="4728">
      <c r="A4728" s="0" t="s">
        <v>4993</v>
      </c>
      <c r="B4728" s="0" t="s">
        <v>5</v>
      </c>
      <c r="C4728" s="0" t="s">
        <v>652</v>
      </c>
      <c r="D4728" s="0" t="s">
        <v>135</v>
      </c>
      <c r="E4728" s="0" t="s">
        <v>3</v>
      </c>
      <c r="F4728" s="0" t="s">
        <v>12</v>
      </c>
      <c r="G4728" s="0" t="s">
        <v>8</v>
      </c>
      <c r="H4728" s="0">
        <v>-7</v>
      </c>
      <c r="I4728" s="0">
        <v>0</v>
      </c>
      <c r="J4728" s="0">
        <v>0</v>
      </c>
      <c r="K4728" s="0">
        <v>0</v>
      </c>
      <c r="L4728" s="0">
        <v>0</v>
      </c>
      <c r="M4728" s="0">
        <v>0</v>
      </c>
      <c r="N4728" s="0">
        <v>0</v>
      </c>
      <c r="O4728" s="0">
        <v>0</v>
      </c>
      <c r="P4728" s="0">
        <v>0</v>
      </c>
      <c r="R4728" s="0" t="b">
        <v>0</v>
      </c>
      <c r="S4728" s="0" t="b">
        <v>1</v>
      </c>
      <c r="T4728" s="68">
        <v>46061.2698958333</v>
      </c>
      <c r="U4728" s="68">
        <v>0</v>
      </c>
      <c r="V4728" s="68">
        <v>0</v>
      </c>
      <c r="W4728" s="0">
        <f>IF(IF(B4728="none",1,IF(B4728="Trialer",1,0))+IF(C4728="Customer",1,IF(C4728="Lost",1,0))=2,1,0)</f>
      </c>
      <c r="X4728" s="0" t="s">
        <v>136</v>
      </c>
      <c r="Y4728" s="0" t="s">
        <v>243</v>
      </c>
      <c r="AV4728" s="68"/>
      <c r="AW4728" s="68"/>
      <c r="AY4728" s="27"/>
      <c r="BD4728" s="68">
        <v>46054.1666666667</v>
      </c>
      <c r="BE4728" s="68">
        <v>46082.1666666667</v>
      </c>
      <c r="BF4728" s="0" t="b">
        <v>0</v>
      </c>
      <c r="BG4728" s="0" t="b">
        <v>0</v>
      </c>
      <c r="BH4728" s="0">
        <v>59</v>
      </c>
      <c r="BI4728" s="0">
        <v>59</v>
      </c>
      <c r="BJ4728" s="0" t="s">
        <v>135</v>
      </c>
    </row>
    <row r="4729">
      <c r="A4729" s="0" t="s">
        <v>4994</v>
      </c>
      <c r="B4729" s="0" t="s">
        <v>5</v>
      </c>
      <c r="C4729" s="0" t="s">
        <v>652</v>
      </c>
      <c r="D4729" s="0" t="s">
        <v>135</v>
      </c>
      <c r="E4729" s="0" t="s">
        <v>3</v>
      </c>
      <c r="F4729" s="0" t="s">
        <v>12</v>
      </c>
      <c r="G4729" s="0" t="s">
        <v>8</v>
      </c>
      <c r="H4729" s="0">
        <v>-7</v>
      </c>
      <c r="I4729" s="0">
        <v>0</v>
      </c>
      <c r="J4729" s="0">
        <v>0</v>
      </c>
      <c r="K4729" s="0">
        <v>0</v>
      </c>
      <c r="L4729" s="0">
        <v>0</v>
      </c>
      <c r="M4729" s="0">
        <v>0</v>
      </c>
      <c r="N4729" s="0">
        <v>0</v>
      </c>
      <c r="O4729" s="0">
        <v>0</v>
      </c>
      <c r="P4729" s="0">
        <v>0</v>
      </c>
      <c r="R4729" s="0" t="b">
        <v>0</v>
      </c>
      <c r="S4729" s="0" t="b">
        <v>0</v>
      </c>
      <c r="T4729" s="68">
        <v>46061.4230787037</v>
      </c>
      <c r="U4729" s="68">
        <v>0</v>
      </c>
      <c r="V4729" s="68">
        <v>46080.7236226852</v>
      </c>
      <c r="W4729" s="0">
        <f>IF(IF(B4729="none",1,IF(B4729="Trialer",1,0))+IF(C4729="Customer",1,IF(C4729="Lost",1,0))=2,1,0)</f>
      </c>
      <c r="X4729" s="0" t="s">
        <v>882</v>
      </c>
      <c r="Y4729" s="0" t="s">
        <v>243</v>
      </c>
      <c r="AV4729" s="68"/>
      <c r="AW4729" s="68"/>
      <c r="AY4729" s="27"/>
      <c r="BD4729" s="68">
        <v>46054.1666666667</v>
      </c>
      <c r="BE4729" s="68">
        <v>46082.1666666667</v>
      </c>
      <c r="BF4729" s="0" t="b">
        <v>1</v>
      </c>
      <c r="BG4729" s="0" t="b">
        <v>0</v>
      </c>
      <c r="BH4729" s="0">
        <v>71</v>
      </c>
      <c r="BI4729" s="0">
        <v>71</v>
      </c>
      <c r="BJ4729" s="0" t="s">
        <v>135</v>
      </c>
    </row>
    <row r="4730">
      <c r="A4730" s="0" t="s">
        <v>4995</v>
      </c>
      <c r="B4730" s="0" t="s">
        <v>5</v>
      </c>
      <c r="C4730" s="0" t="s">
        <v>652</v>
      </c>
      <c r="D4730" s="0" t="s">
        <v>135</v>
      </c>
      <c r="E4730" s="0" t="s">
        <v>3</v>
      </c>
      <c r="F4730" s="0" t="s">
        <v>12</v>
      </c>
      <c r="G4730" s="0" t="s">
        <v>8</v>
      </c>
      <c r="H4730" s="0">
        <v>-7</v>
      </c>
      <c r="I4730" s="0">
        <v>0</v>
      </c>
      <c r="J4730" s="0">
        <v>0</v>
      </c>
      <c r="K4730" s="0">
        <v>0</v>
      </c>
      <c r="L4730" s="0">
        <v>0</v>
      </c>
      <c r="M4730" s="0">
        <v>0</v>
      </c>
      <c r="N4730" s="0">
        <v>0</v>
      </c>
      <c r="O4730" s="0">
        <v>0</v>
      </c>
      <c r="P4730" s="0">
        <v>0</v>
      </c>
      <c r="R4730" s="0" t="b">
        <v>0</v>
      </c>
      <c r="S4730" s="0" t="b">
        <v>1</v>
      </c>
      <c r="T4730" s="68">
        <v>46061.4848263889</v>
      </c>
      <c r="U4730" s="68">
        <v>0</v>
      </c>
      <c r="V4730" s="68">
        <v>0</v>
      </c>
      <c r="W4730" s="0">
        <f>IF(IF(B4730="none",1,IF(B4730="Trialer",1,0))+IF(C4730="Customer",1,IF(C4730="Lost",1,0))=2,1,0)</f>
      </c>
      <c r="X4730" s="0" t="s">
        <v>148</v>
      </c>
      <c r="Y4730" s="0" t="s">
        <v>243</v>
      </c>
      <c r="AV4730" s="68"/>
      <c r="AW4730" s="68"/>
      <c r="AY4730" s="27"/>
      <c r="BD4730" s="68">
        <v>46054.1666666667</v>
      </c>
      <c r="BE4730" s="68">
        <v>46082.1666666667</v>
      </c>
      <c r="BF4730" s="0" t="b">
        <v>0</v>
      </c>
      <c r="BG4730" s="0" t="b">
        <v>0</v>
      </c>
      <c r="BH4730" s="0">
        <v>73</v>
      </c>
      <c r="BI4730" s="0">
        <v>73</v>
      </c>
      <c r="BJ4730" s="0" t="s">
        <v>135</v>
      </c>
    </row>
    <row r="4731">
      <c r="A4731" s="0" t="s">
        <v>4996</v>
      </c>
      <c r="B4731" s="0" t="s">
        <v>5</v>
      </c>
      <c r="C4731" s="0" t="s">
        <v>652</v>
      </c>
      <c r="D4731" s="0" t="s">
        <v>135</v>
      </c>
      <c r="E4731" s="0" t="s">
        <v>3</v>
      </c>
      <c r="F4731" s="0" t="s">
        <v>12</v>
      </c>
      <c r="G4731" s="0" t="s">
        <v>8</v>
      </c>
      <c r="H4731" s="0">
        <v>-7</v>
      </c>
      <c r="I4731" s="0">
        <v>0</v>
      </c>
      <c r="J4731" s="0">
        <v>0</v>
      </c>
      <c r="K4731" s="0">
        <v>0</v>
      </c>
      <c r="L4731" s="0">
        <v>0</v>
      </c>
      <c r="M4731" s="0">
        <v>0</v>
      </c>
      <c r="N4731" s="0">
        <v>0</v>
      </c>
      <c r="O4731" s="0">
        <v>0</v>
      </c>
      <c r="P4731" s="0">
        <v>0</v>
      </c>
      <c r="R4731" s="0" t="b">
        <v>0</v>
      </c>
      <c r="S4731" s="0" t="b">
        <v>0</v>
      </c>
      <c r="T4731" s="68">
        <v>46061.5680555556</v>
      </c>
      <c r="U4731" s="68">
        <v>0</v>
      </c>
      <c r="V4731" s="68">
        <v>46062.5883333333</v>
      </c>
      <c r="W4731" s="0">
        <f>IF(IF(B4731="none",1,IF(B4731="Trialer",1,0))+IF(C4731="Customer",1,IF(C4731="Lost",1,0))=2,1,0)</f>
      </c>
      <c r="X4731" s="0" t="s">
        <v>148</v>
      </c>
      <c r="Y4731" s="0" t="s">
        <v>243</v>
      </c>
      <c r="AV4731" s="68"/>
      <c r="AW4731" s="68"/>
      <c r="AY4731" s="27"/>
      <c r="BD4731" s="68">
        <v>46054.1666666667</v>
      </c>
      <c r="BE4731" s="68">
        <v>46082.1666666667</v>
      </c>
      <c r="BF4731" s="0" t="b">
        <v>0</v>
      </c>
      <c r="BG4731" s="0" t="b">
        <v>0</v>
      </c>
      <c r="BH4731" s="0">
        <v>59</v>
      </c>
      <c r="BI4731" s="0">
        <v>0</v>
      </c>
      <c r="BJ4731" s="0" t="s">
        <v>135</v>
      </c>
    </row>
    <row r="4732">
      <c r="A4732" s="0" t="s">
        <v>4997</v>
      </c>
      <c r="B4732" s="0" t="s">
        <v>5</v>
      </c>
      <c r="C4732" s="0" t="s">
        <v>652</v>
      </c>
      <c r="D4732" s="0" t="s">
        <v>135</v>
      </c>
      <c r="E4732" s="0" t="s">
        <v>3</v>
      </c>
      <c r="F4732" s="0" t="s">
        <v>12</v>
      </c>
      <c r="G4732" s="0" t="s">
        <v>8</v>
      </c>
      <c r="H4732" s="0">
        <v>-7</v>
      </c>
      <c r="I4732" s="0">
        <v>0</v>
      </c>
      <c r="J4732" s="0">
        <v>0</v>
      </c>
      <c r="K4732" s="0">
        <v>0</v>
      </c>
      <c r="L4732" s="0">
        <v>0</v>
      </c>
      <c r="M4732" s="0">
        <v>0</v>
      </c>
      <c r="N4732" s="0">
        <v>0</v>
      </c>
      <c r="O4732" s="0">
        <v>0</v>
      </c>
      <c r="P4732" s="0">
        <v>0</v>
      </c>
      <c r="R4732" s="0" t="b">
        <v>0</v>
      </c>
      <c r="S4732" s="0" t="b">
        <v>0</v>
      </c>
      <c r="T4732" s="68">
        <v>46061.6416666667</v>
      </c>
      <c r="U4732" s="68">
        <v>0</v>
      </c>
      <c r="V4732" s="68">
        <v>46062.5890972222</v>
      </c>
      <c r="W4732" s="0">
        <f>IF(IF(B4732="none",1,IF(B4732="Trialer",1,0))+IF(C4732="Customer",1,IF(C4732="Lost",1,0))=2,1,0)</f>
      </c>
      <c r="X4732" s="0" t="s">
        <v>148</v>
      </c>
      <c r="Y4732" s="0" t="s">
        <v>243</v>
      </c>
      <c r="AV4732" s="68"/>
      <c r="AW4732" s="68"/>
      <c r="AY4732" s="27"/>
      <c r="BD4732" s="68">
        <v>46054.1666666667</v>
      </c>
      <c r="BE4732" s="68">
        <v>46082.1666666667</v>
      </c>
      <c r="BF4732" s="0" t="b">
        <v>0</v>
      </c>
      <c r="BG4732" s="0" t="b">
        <v>0</v>
      </c>
      <c r="BH4732" s="0">
        <v>59</v>
      </c>
      <c r="BI4732" s="0">
        <v>0</v>
      </c>
      <c r="BJ4732" s="0" t="s">
        <v>135</v>
      </c>
    </row>
    <row r="4733">
      <c r="A4733" s="0" t="s">
        <v>4998</v>
      </c>
      <c r="B4733" s="0" t="s">
        <v>5</v>
      </c>
      <c r="C4733" s="0" t="s">
        <v>652</v>
      </c>
      <c r="D4733" s="0" t="s">
        <v>135</v>
      </c>
      <c r="E4733" s="0" t="s">
        <v>3</v>
      </c>
      <c r="F4733" s="0" t="s">
        <v>12</v>
      </c>
      <c r="G4733" s="0" t="s">
        <v>8</v>
      </c>
      <c r="H4733" s="0">
        <v>-7</v>
      </c>
      <c r="I4733" s="0">
        <v>0</v>
      </c>
      <c r="J4733" s="0">
        <v>0</v>
      </c>
      <c r="K4733" s="0">
        <v>0</v>
      </c>
      <c r="L4733" s="0">
        <v>0</v>
      </c>
      <c r="M4733" s="0">
        <v>0</v>
      </c>
      <c r="N4733" s="0">
        <v>0</v>
      </c>
      <c r="O4733" s="0">
        <v>0</v>
      </c>
      <c r="P4733" s="0">
        <v>0</v>
      </c>
      <c r="R4733" s="0" t="b">
        <v>0</v>
      </c>
      <c r="S4733" s="0" t="b">
        <v>1</v>
      </c>
      <c r="T4733" s="68">
        <v>46061.668900463</v>
      </c>
      <c r="U4733" s="68">
        <v>0</v>
      </c>
      <c r="V4733" s="68">
        <v>0</v>
      </c>
      <c r="W4733" s="0">
        <f>IF(IF(B4733="none",1,IF(B4733="Trialer",1,0))+IF(C4733="Customer",1,IF(C4733="Lost",1,0))=2,1,0)</f>
      </c>
      <c r="X4733" s="0" t="s">
        <v>136</v>
      </c>
      <c r="Y4733" s="0" t="s">
        <v>243</v>
      </c>
      <c r="AV4733" s="68"/>
      <c r="AW4733" s="68"/>
      <c r="AY4733" s="27"/>
      <c r="BD4733" s="68">
        <v>46054.1666666667</v>
      </c>
      <c r="BE4733" s="68">
        <v>46082.1666666667</v>
      </c>
      <c r="BF4733" s="0" t="b">
        <v>0</v>
      </c>
      <c r="BG4733" s="0" t="b">
        <v>0</v>
      </c>
      <c r="BH4733" s="0">
        <v>71</v>
      </c>
      <c r="BI4733" s="0">
        <v>71</v>
      </c>
      <c r="BJ4733" s="0" t="s">
        <v>135</v>
      </c>
    </row>
    <row r="4734">
      <c r="A4734" s="0" t="s">
        <v>4999</v>
      </c>
      <c r="B4734" s="0" t="s">
        <v>5</v>
      </c>
      <c r="C4734" s="0" t="s">
        <v>652</v>
      </c>
      <c r="D4734" s="0" t="s">
        <v>135</v>
      </c>
      <c r="E4734" s="0" t="s">
        <v>2</v>
      </c>
      <c r="F4734" s="0" t="s">
        <v>12</v>
      </c>
      <c r="G4734" s="0" t="s">
        <v>8</v>
      </c>
      <c r="H4734" s="0">
        <v>-7</v>
      </c>
      <c r="I4734" s="0">
        <v>0</v>
      </c>
      <c r="J4734" s="0">
        <v>0</v>
      </c>
      <c r="K4734" s="0">
        <v>0</v>
      </c>
      <c r="L4734" s="0">
        <v>0</v>
      </c>
      <c r="M4734" s="0">
        <v>0</v>
      </c>
      <c r="N4734" s="0">
        <v>0</v>
      </c>
      <c r="O4734" s="0">
        <v>0</v>
      </c>
      <c r="P4734" s="0">
        <v>0</v>
      </c>
      <c r="R4734" s="0" t="b">
        <v>0</v>
      </c>
      <c r="S4734" s="0" t="b">
        <v>1</v>
      </c>
      <c r="T4734" s="68">
        <v>46061.7460532407</v>
      </c>
      <c r="U4734" s="68">
        <v>0</v>
      </c>
      <c r="V4734" s="68">
        <v>0</v>
      </c>
      <c r="W4734" s="0">
        <f>IF(IF(B4734="none",1,IF(B4734="Trialer",1,0))+IF(C4734="Customer",1,IF(C4734="Lost",1,0))=2,1,0)</f>
      </c>
      <c r="X4734" s="0" t="s">
        <v>148</v>
      </c>
      <c r="Y4734" s="0" t="s">
        <v>499</v>
      </c>
      <c r="AV4734" s="68"/>
      <c r="AW4734" s="68"/>
      <c r="AY4734" s="27"/>
      <c r="BD4734" s="68">
        <v>46054.1666666667</v>
      </c>
      <c r="BE4734" s="68">
        <v>46082.1666666667</v>
      </c>
      <c r="BF4734" s="0" t="b">
        <v>0</v>
      </c>
      <c r="BG4734" s="0" t="b">
        <v>0</v>
      </c>
      <c r="BH4734" s="0">
        <v>292</v>
      </c>
      <c r="BI4734" s="0">
        <v>292</v>
      </c>
      <c r="BJ4734" s="0" t="s">
        <v>135</v>
      </c>
    </row>
    <row r="4735">
      <c r="A4735" s="0" t="s">
        <v>5000</v>
      </c>
      <c r="B4735" s="0" t="s">
        <v>5</v>
      </c>
      <c r="C4735" s="0" t="s">
        <v>652</v>
      </c>
      <c r="D4735" s="0" t="s">
        <v>135</v>
      </c>
      <c r="E4735" s="0" t="s">
        <v>3</v>
      </c>
      <c r="F4735" s="0" t="s">
        <v>12</v>
      </c>
      <c r="G4735" s="0" t="s">
        <v>8</v>
      </c>
      <c r="H4735" s="0">
        <v>-7</v>
      </c>
      <c r="I4735" s="0">
        <v>0</v>
      </c>
      <c r="J4735" s="0">
        <v>0</v>
      </c>
      <c r="K4735" s="0">
        <v>0</v>
      </c>
      <c r="L4735" s="0">
        <v>0</v>
      </c>
      <c r="M4735" s="0">
        <v>0</v>
      </c>
      <c r="N4735" s="0">
        <v>0</v>
      </c>
      <c r="O4735" s="0">
        <v>0</v>
      </c>
      <c r="P4735" s="0">
        <v>0</v>
      </c>
      <c r="R4735" s="0" t="b">
        <v>0</v>
      </c>
      <c r="S4735" s="0" t="b">
        <v>0</v>
      </c>
      <c r="T4735" s="68">
        <v>46061.8024074074</v>
      </c>
      <c r="U4735" s="68">
        <v>0</v>
      </c>
      <c r="V4735" s="68">
        <v>46062.3349305556</v>
      </c>
      <c r="W4735" s="0">
        <f>IF(IF(B4735="none",1,IF(B4735="Trialer",1,0))+IF(C4735="Customer",1,IF(C4735="Lost",1,0))=2,1,0)</f>
      </c>
      <c r="X4735" s="0" t="s">
        <v>136</v>
      </c>
      <c r="Y4735" s="0" t="s">
        <v>243</v>
      </c>
      <c r="AV4735" s="68"/>
      <c r="AW4735" s="68"/>
      <c r="AY4735" s="27"/>
      <c r="BD4735" s="68">
        <v>46054.1666666667</v>
      </c>
      <c r="BE4735" s="68">
        <v>46082.1666666667</v>
      </c>
      <c r="BF4735" s="0" t="b">
        <v>1</v>
      </c>
      <c r="BG4735" s="0" t="b">
        <v>0</v>
      </c>
      <c r="BH4735" s="0">
        <v>83</v>
      </c>
      <c r="BI4735" s="0">
        <v>0</v>
      </c>
      <c r="BJ4735" s="0" t="s">
        <v>135</v>
      </c>
    </row>
    <row r="4736">
      <c r="A4736" s="0" t="s">
        <v>5001</v>
      </c>
      <c r="B4736" s="0" t="s">
        <v>5</v>
      </c>
      <c r="C4736" s="0" t="s">
        <v>652</v>
      </c>
      <c r="D4736" s="0" t="s">
        <v>135</v>
      </c>
      <c r="E4736" s="0" t="s">
        <v>3</v>
      </c>
      <c r="F4736" s="0" t="s">
        <v>12</v>
      </c>
      <c r="G4736" s="0" t="s">
        <v>8</v>
      </c>
      <c r="H4736" s="0">
        <v>-7</v>
      </c>
      <c r="I4736" s="0">
        <v>0</v>
      </c>
      <c r="J4736" s="0">
        <v>0</v>
      </c>
      <c r="K4736" s="0">
        <v>0</v>
      </c>
      <c r="L4736" s="0">
        <v>0</v>
      </c>
      <c r="M4736" s="0">
        <v>0</v>
      </c>
      <c r="N4736" s="0">
        <v>0</v>
      </c>
      <c r="O4736" s="0">
        <v>0</v>
      </c>
      <c r="P4736" s="0">
        <v>0</v>
      </c>
      <c r="R4736" s="0" t="b">
        <v>0</v>
      </c>
      <c r="S4736" s="0" t="b">
        <v>1</v>
      </c>
      <c r="T4736" s="68">
        <v>46061.8332523148</v>
      </c>
      <c r="U4736" s="68">
        <v>0</v>
      </c>
      <c r="V4736" s="68">
        <v>0</v>
      </c>
      <c r="W4736" s="0">
        <f>IF(IF(B4736="none",1,IF(B4736="Trialer",1,0))+IF(C4736="Customer",1,IF(C4736="Lost",1,0))=2,1,0)</f>
      </c>
      <c r="X4736" s="0" t="s">
        <v>148</v>
      </c>
      <c r="Y4736" s="0" t="s">
        <v>243</v>
      </c>
      <c r="AV4736" s="68"/>
      <c r="AW4736" s="68"/>
      <c r="AY4736" s="27"/>
      <c r="BD4736" s="68">
        <v>46054.1666666667</v>
      </c>
      <c r="BE4736" s="68">
        <v>46082.1666666667</v>
      </c>
      <c r="BF4736" s="0" t="b">
        <v>0</v>
      </c>
      <c r="BG4736" s="0" t="b">
        <v>0</v>
      </c>
      <c r="BH4736" s="0">
        <v>71</v>
      </c>
      <c r="BI4736" s="0">
        <v>71</v>
      </c>
      <c r="BJ4736" s="0" t="s">
        <v>135</v>
      </c>
    </row>
    <row r="4737">
      <c r="A4737" s="0" t="s">
        <v>5002</v>
      </c>
      <c r="B4737" s="0" t="s">
        <v>5</v>
      </c>
      <c r="C4737" s="0" t="s">
        <v>652</v>
      </c>
      <c r="D4737" s="0" t="s">
        <v>135</v>
      </c>
      <c r="E4737" s="0" t="s">
        <v>3</v>
      </c>
      <c r="F4737" s="0" t="s">
        <v>12</v>
      </c>
      <c r="G4737" s="0" t="s">
        <v>8</v>
      </c>
      <c r="H4737" s="0">
        <v>-7</v>
      </c>
      <c r="I4737" s="0">
        <v>0</v>
      </c>
      <c r="J4737" s="0">
        <v>0</v>
      </c>
      <c r="K4737" s="0">
        <v>0</v>
      </c>
      <c r="L4737" s="0">
        <v>0</v>
      </c>
      <c r="M4737" s="0">
        <v>0</v>
      </c>
      <c r="N4737" s="0">
        <v>0</v>
      </c>
      <c r="O4737" s="0">
        <v>0</v>
      </c>
      <c r="P4737" s="0">
        <v>0</v>
      </c>
      <c r="R4737" s="0" t="b">
        <v>0</v>
      </c>
      <c r="S4737" s="0" t="b">
        <v>0</v>
      </c>
      <c r="T4737" s="68">
        <v>46061.8574537037</v>
      </c>
      <c r="U4737" s="68">
        <v>0</v>
      </c>
      <c r="V4737" s="68">
        <v>46061.8661342593</v>
      </c>
      <c r="W4737" s="0">
        <f>IF(IF(B4737="none",1,IF(B4737="Trialer",1,0))+IF(C4737="Customer",1,IF(C4737="Lost",1,0))=2,1,0)</f>
      </c>
      <c r="X4737" s="0" t="s">
        <v>145</v>
      </c>
      <c r="Y4737" s="0" t="s">
        <v>243</v>
      </c>
      <c r="AV4737" s="68"/>
      <c r="AW4737" s="68"/>
      <c r="AY4737" s="27"/>
      <c r="BD4737" s="68">
        <v>46054.1666666667</v>
      </c>
      <c r="BE4737" s="68">
        <v>46082.1666666667</v>
      </c>
      <c r="BF4737" s="0" t="b">
        <v>0</v>
      </c>
      <c r="BG4737" s="0" t="b">
        <v>0</v>
      </c>
      <c r="BH4737" s="0">
        <v>0</v>
      </c>
      <c r="BI4737" s="0">
        <v>0</v>
      </c>
      <c r="BJ4737" s="0" t="s">
        <v>135</v>
      </c>
    </row>
    <row r="4738">
      <c r="A4738" s="0" t="s">
        <v>5003</v>
      </c>
      <c r="B4738" s="0" t="s">
        <v>5</v>
      </c>
      <c r="C4738" s="0" t="s">
        <v>652</v>
      </c>
      <c r="D4738" s="0" t="s">
        <v>135</v>
      </c>
      <c r="E4738" s="0" t="s">
        <v>3</v>
      </c>
      <c r="F4738" s="0" t="s">
        <v>12</v>
      </c>
      <c r="G4738" s="0" t="s">
        <v>8</v>
      </c>
      <c r="H4738" s="0">
        <v>-7</v>
      </c>
      <c r="I4738" s="0">
        <v>0</v>
      </c>
      <c r="J4738" s="0">
        <v>0</v>
      </c>
      <c r="K4738" s="0">
        <v>0</v>
      </c>
      <c r="L4738" s="0">
        <v>0</v>
      </c>
      <c r="M4738" s="0">
        <v>0</v>
      </c>
      <c r="N4738" s="0">
        <v>0</v>
      </c>
      <c r="O4738" s="0">
        <v>0</v>
      </c>
      <c r="P4738" s="0">
        <v>0</v>
      </c>
      <c r="R4738" s="0" t="b">
        <v>0</v>
      </c>
      <c r="S4738" s="0" t="b">
        <v>1</v>
      </c>
      <c r="T4738" s="68">
        <v>46061.9424074074</v>
      </c>
      <c r="U4738" s="68">
        <v>0</v>
      </c>
      <c r="V4738" s="68">
        <v>0</v>
      </c>
      <c r="W4738" s="0">
        <f>IF(IF(B4738="none",1,IF(B4738="Trialer",1,0))+IF(C4738="Customer",1,IF(C4738="Lost",1,0))=2,1,0)</f>
      </c>
      <c r="X4738" s="0" t="s">
        <v>136</v>
      </c>
      <c r="Y4738" s="0" t="s">
        <v>243</v>
      </c>
      <c r="AV4738" s="68"/>
      <c r="AW4738" s="68"/>
      <c r="AY4738" s="27"/>
      <c r="BD4738" s="68">
        <v>46054.1666666667</v>
      </c>
      <c r="BE4738" s="68">
        <v>46082.1666666667</v>
      </c>
      <c r="BF4738" s="0" t="b">
        <v>0</v>
      </c>
      <c r="BG4738" s="0" t="b">
        <v>0</v>
      </c>
      <c r="BH4738" s="0">
        <v>97</v>
      </c>
      <c r="BI4738" s="0">
        <v>97</v>
      </c>
      <c r="BJ4738" s="0" t="s">
        <v>135</v>
      </c>
    </row>
    <row r="4739">
      <c r="A4739" s="0" t="s">
        <v>5004</v>
      </c>
      <c r="B4739" s="0" t="s">
        <v>5</v>
      </c>
      <c r="C4739" s="0" t="s">
        <v>652</v>
      </c>
      <c r="D4739" s="0" t="s">
        <v>135</v>
      </c>
      <c r="E4739" s="0" t="s">
        <v>4</v>
      </c>
      <c r="F4739" s="0" t="s">
        <v>12</v>
      </c>
      <c r="G4739" s="0" t="s">
        <v>8</v>
      </c>
      <c r="H4739" s="0">
        <v>-8</v>
      </c>
      <c r="I4739" s="0">
        <v>0</v>
      </c>
      <c r="J4739" s="0">
        <v>0</v>
      </c>
      <c r="K4739" s="0">
        <v>0</v>
      </c>
      <c r="L4739" s="0">
        <v>0</v>
      </c>
      <c r="M4739" s="0">
        <v>0</v>
      </c>
      <c r="N4739" s="0">
        <v>0</v>
      </c>
      <c r="O4739" s="0">
        <v>0</v>
      </c>
      <c r="P4739" s="0">
        <v>0</v>
      </c>
      <c r="R4739" s="0" t="b">
        <v>0</v>
      </c>
      <c r="S4739" s="0" t="b">
        <v>0</v>
      </c>
      <c r="T4739" s="68">
        <v>46061.9927430556</v>
      </c>
      <c r="U4739" s="68">
        <v>0</v>
      </c>
      <c r="V4739" s="68">
        <v>46066.3882060185</v>
      </c>
      <c r="W4739" s="0">
        <f>IF(IF(B4739="none",1,IF(B4739="Trialer",1,0))+IF(C4739="Customer",1,IF(C4739="Lost",1,0))=2,1,0)</f>
      </c>
      <c r="X4739" s="0" t="s">
        <v>148</v>
      </c>
      <c r="Y4739" s="0" t="s">
        <v>4092</v>
      </c>
      <c r="AV4739" s="68"/>
      <c r="AW4739" s="68"/>
      <c r="AY4739" s="27"/>
      <c r="BD4739" s="68">
        <v>46054.1666666667</v>
      </c>
      <c r="BE4739" s="68">
        <v>46082.1666666667</v>
      </c>
      <c r="BF4739" s="0" t="b">
        <v>0</v>
      </c>
      <c r="BG4739" s="0" t="b">
        <v>0</v>
      </c>
      <c r="BH4739" s="0">
        <v>59</v>
      </c>
      <c r="BI4739" s="0">
        <v>59</v>
      </c>
      <c r="BJ4739" s="0" t="s">
        <v>135</v>
      </c>
    </row>
    <row r="4740">
      <c r="A4740" s="0" t="s">
        <v>5005</v>
      </c>
      <c r="B4740" s="0" t="s">
        <v>5</v>
      </c>
      <c r="C4740" s="0" t="s">
        <v>652</v>
      </c>
      <c r="D4740" s="0" t="s">
        <v>135</v>
      </c>
      <c r="E4740" s="0" t="s">
        <v>3</v>
      </c>
      <c r="F4740" s="0" t="s">
        <v>12</v>
      </c>
      <c r="G4740" s="0" t="s">
        <v>8</v>
      </c>
      <c r="H4740" s="0">
        <v>-8</v>
      </c>
      <c r="I4740" s="0">
        <v>0</v>
      </c>
      <c r="J4740" s="0">
        <v>0</v>
      </c>
      <c r="K4740" s="0">
        <v>0</v>
      </c>
      <c r="L4740" s="0">
        <v>0</v>
      </c>
      <c r="M4740" s="0">
        <v>0</v>
      </c>
      <c r="N4740" s="0">
        <v>0</v>
      </c>
      <c r="O4740" s="0">
        <v>0</v>
      </c>
      <c r="P4740" s="0">
        <v>0</v>
      </c>
      <c r="R4740" s="0" t="b">
        <v>0</v>
      </c>
      <c r="S4740" s="0" t="b">
        <v>0</v>
      </c>
      <c r="T4740" s="68">
        <v>46062.0560300926</v>
      </c>
      <c r="U4740" s="68">
        <v>0</v>
      </c>
      <c r="V4740" s="68">
        <v>46062.4911111111</v>
      </c>
      <c r="W4740" s="0">
        <f>IF(IF(B4740="none",1,IF(B4740="Trialer",1,0))+IF(C4740="Customer",1,IF(C4740="Lost",1,0))=2,1,0)</f>
      </c>
      <c r="X4740" s="0" t="s">
        <v>145</v>
      </c>
      <c r="Y4740" s="0" t="s">
        <v>243</v>
      </c>
      <c r="AV4740" s="68"/>
      <c r="AW4740" s="68"/>
      <c r="AY4740" s="27"/>
      <c r="BD4740" s="68">
        <v>46054.1666666667</v>
      </c>
      <c r="BE4740" s="68">
        <v>46082.1666666667</v>
      </c>
      <c r="BF4740" s="0" t="b">
        <v>1</v>
      </c>
      <c r="BG4740" s="0" t="b">
        <v>0</v>
      </c>
      <c r="BH4740" s="0">
        <v>71</v>
      </c>
      <c r="BI4740" s="0">
        <v>0</v>
      </c>
      <c r="BJ4740" s="0" t="s">
        <v>135</v>
      </c>
    </row>
    <row r="4741">
      <c r="A4741" s="0" t="s">
        <v>5006</v>
      </c>
      <c r="B4741" s="0" t="s">
        <v>5</v>
      </c>
      <c r="C4741" s="0" t="s">
        <v>134</v>
      </c>
      <c r="D4741" s="0" t="s">
        <v>135</v>
      </c>
      <c r="E4741" s="0" t="s">
        <v>3</v>
      </c>
      <c r="F4741" s="0" t="s">
        <v>12</v>
      </c>
      <c r="G4741" s="0" t="s">
        <v>8</v>
      </c>
      <c r="H4741" s="0">
        <v>-8</v>
      </c>
      <c r="I4741" s="0">
        <v>467</v>
      </c>
      <c r="J4741" s="0">
        <v>0</v>
      </c>
      <c r="K4741" s="0">
        <v>1</v>
      </c>
      <c r="L4741" s="0">
        <v>4</v>
      </c>
      <c r="M4741" s="0">
        <v>2</v>
      </c>
      <c r="N4741" s="0">
        <v>0</v>
      </c>
      <c r="O4741" s="0">
        <v>0</v>
      </c>
      <c r="P4741" s="0">
        <v>0</v>
      </c>
      <c r="R4741" s="0" t="b">
        <v>0</v>
      </c>
      <c r="S4741" s="0" t="b">
        <v>1</v>
      </c>
      <c r="T4741" s="68">
        <v>46062.1729166667</v>
      </c>
      <c r="U4741" s="68">
        <v>46076.2916666667</v>
      </c>
      <c r="V4741" s="68">
        <v>0</v>
      </c>
      <c r="W4741" s="0">
        <f>IF(IF(B4741="none",1,IF(B4741="Trialer",1,0))+IF(C4741="Customer",1,IF(C4741="Lost",1,0))=2,1,0)</f>
      </c>
      <c r="X4741" s="0" t="s">
        <v>136</v>
      </c>
      <c r="Y4741" s="0" t="s">
        <v>243</v>
      </c>
      <c r="AV4741" s="68"/>
      <c r="AW4741" s="68"/>
      <c r="AY4741" s="27"/>
      <c r="BD4741" s="68">
        <v>46054.1666666667</v>
      </c>
      <c r="BE4741" s="68">
        <v>46082.1666666667</v>
      </c>
      <c r="BF4741" s="0" t="b">
        <v>0</v>
      </c>
      <c r="BG4741" s="0" t="b">
        <v>0</v>
      </c>
      <c r="BH4741" s="0">
        <v>142</v>
      </c>
      <c r="BI4741" s="0">
        <v>142</v>
      </c>
      <c r="BJ4741" s="0" t="s">
        <v>135</v>
      </c>
    </row>
    <row r="4742">
      <c r="A4742" s="0" t="s">
        <v>5007</v>
      </c>
      <c r="B4742" s="0" t="s">
        <v>5</v>
      </c>
      <c r="C4742" s="0" t="s">
        <v>652</v>
      </c>
      <c r="D4742" s="0" t="s">
        <v>135</v>
      </c>
      <c r="E4742" s="0" t="s">
        <v>3</v>
      </c>
      <c r="F4742" s="0" t="s">
        <v>12</v>
      </c>
      <c r="G4742" s="0" t="s">
        <v>8</v>
      </c>
      <c r="H4742" s="0">
        <v>-8</v>
      </c>
      <c r="I4742" s="0">
        <v>0</v>
      </c>
      <c r="J4742" s="0">
        <v>0</v>
      </c>
      <c r="K4742" s="0">
        <v>0</v>
      </c>
      <c r="L4742" s="0">
        <v>0</v>
      </c>
      <c r="M4742" s="0">
        <v>0</v>
      </c>
      <c r="N4742" s="0">
        <v>0</v>
      </c>
      <c r="O4742" s="0">
        <v>0</v>
      </c>
      <c r="P4742" s="0">
        <v>0</v>
      </c>
      <c r="R4742" s="0" t="b">
        <v>0</v>
      </c>
      <c r="S4742" s="0" t="b">
        <v>1</v>
      </c>
      <c r="T4742" s="68">
        <v>46062.1870717593</v>
      </c>
      <c r="U4742" s="68">
        <v>0</v>
      </c>
      <c r="V4742" s="68">
        <v>0</v>
      </c>
      <c r="W4742" s="0">
        <f>IF(IF(B4742="none",1,IF(B4742="Trialer",1,0))+IF(C4742="Customer",1,IF(C4742="Lost",1,0))=2,1,0)</f>
      </c>
      <c r="X4742" s="0" t="s">
        <v>136</v>
      </c>
      <c r="Y4742" s="0" t="s">
        <v>243</v>
      </c>
      <c r="AV4742" s="68"/>
      <c r="AW4742" s="68"/>
      <c r="AY4742" s="27"/>
      <c r="BD4742" s="68">
        <v>46054.1666666667</v>
      </c>
      <c r="BE4742" s="68">
        <v>46082.1666666667</v>
      </c>
      <c r="BF4742" s="0" t="b">
        <v>0</v>
      </c>
      <c r="BG4742" s="0" t="b">
        <v>0</v>
      </c>
      <c r="BH4742" s="0">
        <v>83</v>
      </c>
      <c r="BI4742" s="0">
        <v>83</v>
      </c>
      <c r="BJ4742" s="0" t="s">
        <v>135</v>
      </c>
    </row>
    <row r="4743">
      <c r="A4743" s="0" t="s">
        <v>5008</v>
      </c>
      <c r="B4743" s="0" t="s">
        <v>5</v>
      </c>
      <c r="C4743" s="0" t="s">
        <v>652</v>
      </c>
      <c r="D4743" s="0" t="s">
        <v>135</v>
      </c>
      <c r="E4743" s="0" t="s">
        <v>3</v>
      </c>
      <c r="F4743" s="0" t="s">
        <v>12</v>
      </c>
      <c r="G4743" s="0" t="s">
        <v>8</v>
      </c>
      <c r="H4743" s="0">
        <v>-8</v>
      </c>
      <c r="I4743" s="0">
        <v>0</v>
      </c>
      <c r="J4743" s="0">
        <v>0</v>
      </c>
      <c r="K4743" s="0">
        <v>0</v>
      </c>
      <c r="L4743" s="0">
        <v>0</v>
      </c>
      <c r="M4743" s="0">
        <v>0</v>
      </c>
      <c r="N4743" s="0">
        <v>0</v>
      </c>
      <c r="O4743" s="0">
        <v>0</v>
      </c>
      <c r="P4743" s="0">
        <v>0</v>
      </c>
      <c r="R4743" s="0" t="b">
        <v>0</v>
      </c>
      <c r="S4743" s="0" t="b">
        <v>1</v>
      </c>
      <c r="T4743" s="68">
        <v>46062.3234953704</v>
      </c>
      <c r="U4743" s="68">
        <v>0</v>
      </c>
      <c r="V4743" s="68">
        <v>0</v>
      </c>
      <c r="W4743" s="0">
        <f>IF(IF(B4743="none",1,IF(B4743="Trialer",1,0))+IF(C4743="Customer",1,IF(C4743="Lost",1,0))=2,1,0)</f>
      </c>
      <c r="X4743" s="0" t="s">
        <v>148</v>
      </c>
      <c r="Y4743" s="0" t="s">
        <v>243</v>
      </c>
      <c r="AV4743" s="68"/>
      <c r="AW4743" s="68"/>
      <c r="AY4743" s="27"/>
      <c r="BD4743" s="68">
        <v>46054.1666666667</v>
      </c>
      <c r="BE4743" s="68">
        <v>46082.1666666667</v>
      </c>
      <c r="BF4743" s="0" t="b">
        <v>0</v>
      </c>
      <c r="BG4743" s="0" t="b">
        <v>0</v>
      </c>
      <c r="BH4743" s="0">
        <v>73</v>
      </c>
      <c r="BI4743" s="0">
        <v>73</v>
      </c>
      <c r="BJ4743" s="0" t="s">
        <v>135</v>
      </c>
    </row>
    <row r="4744">
      <c r="A4744" s="0" t="s">
        <v>5009</v>
      </c>
      <c r="B4744" s="0" t="s">
        <v>5</v>
      </c>
      <c r="C4744" s="0" t="s">
        <v>652</v>
      </c>
      <c r="D4744" s="0" t="s">
        <v>135</v>
      </c>
      <c r="E4744" s="0" t="s">
        <v>3</v>
      </c>
      <c r="F4744" s="0" t="s">
        <v>12</v>
      </c>
      <c r="G4744" s="0" t="s">
        <v>8</v>
      </c>
      <c r="H4744" s="0">
        <v>-8</v>
      </c>
      <c r="I4744" s="0">
        <v>0</v>
      </c>
      <c r="J4744" s="0">
        <v>0</v>
      </c>
      <c r="K4744" s="0">
        <v>0</v>
      </c>
      <c r="L4744" s="0">
        <v>0</v>
      </c>
      <c r="M4744" s="0">
        <v>0</v>
      </c>
      <c r="N4744" s="0">
        <v>0</v>
      </c>
      <c r="O4744" s="0">
        <v>0</v>
      </c>
      <c r="P4744" s="0">
        <v>0</v>
      </c>
      <c r="R4744" s="0" t="b">
        <v>0</v>
      </c>
      <c r="S4744" s="0" t="b">
        <v>1</v>
      </c>
      <c r="T4744" s="68">
        <v>46062.3343865741</v>
      </c>
      <c r="U4744" s="68">
        <v>0</v>
      </c>
      <c r="V4744" s="68">
        <v>0</v>
      </c>
      <c r="W4744" s="0">
        <f>IF(IF(B4744="none",1,IF(B4744="Trialer",1,0))+IF(C4744="Customer",1,IF(C4744="Lost",1,0))=2,1,0)</f>
      </c>
      <c r="X4744" s="0" t="s">
        <v>148</v>
      </c>
      <c r="Y4744" s="0" t="s">
        <v>243</v>
      </c>
      <c r="AV4744" s="68"/>
      <c r="AW4744" s="68"/>
      <c r="AY4744" s="27"/>
      <c r="BD4744" s="68">
        <v>46054.1666666667</v>
      </c>
      <c r="BE4744" s="68">
        <v>46082.1666666667</v>
      </c>
      <c r="BF4744" s="0" t="b">
        <v>0</v>
      </c>
      <c r="BG4744" s="0" t="b">
        <v>0</v>
      </c>
      <c r="BH4744" s="0">
        <v>71</v>
      </c>
      <c r="BI4744" s="0">
        <v>71</v>
      </c>
      <c r="BJ4744" s="0" t="s">
        <v>135</v>
      </c>
    </row>
    <row r="4745">
      <c r="A4745" s="0" t="s">
        <v>5010</v>
      </c>
      <c r="B4745" s="0" t="s">
        <v>5</v>
      </c>
      <c r="C4745" s="0" t="s">
        <v>652</v>
      </c>
      <c r="D4745" s="0" t="s">
        <v>135</v>
      </c>
      <c r="E4745" s="0" t="s">
        <v>3</v>
      </c>
      <c r="F4745" s="0" t="s">
        <v>12</v>
      </c>
      <c r="G4745" s="0" t="s">
        <v>8</v>
      </c>
      <c r="H4745" s="0">
        <v>-8</v>
      </c>
      <c r="I4745" s="0">
        <v>0</v>
      </c>
      <c r="J4745" s="0">
        <v>0</v>
      </c>
      <c r="K4745" s="0">
        <v>0</v>
      </c>
      <c r="L4745" s="0">
        <v>0</v>
      </c>
      <c r="M4745" s="0">
        <v>0</v>
      </c>
      <c r="N4745" s="0">
        <v>0</v>
      </c>
      <c r="O4745" s="0">
        <v>0</v>
      </c>
      <c r="P4745" s="0">
        <v>0</v>
      </c>
      <c r="R4745" s="0" t="b">
        <v>0</v>
      </c>
      <c r="S4745" s="0" t="b">
        <v>0</v>
      </c>
      <c r="T4745" s="68">
        <v>46062.3531944444</v>
      </c>
      <c r="U4745" s="68">
        <v>0</v>
      </c>
      <c r="V4745" s="68">
        <v>46063.5821990741</v>
      </c>
      <c r="W4745" s="0">
        <f>IF(IF(B4745="none",1,IF(B4745="Trialer",1,0))+IF(C4745="Customer",1,IF(C4745="Lost",1,0))=2,1,0)</f>
      </c>
      <c r="X4745" s="0" t="s">
        <v>136</v>
      </c>
      <c r="Y4745" s="0" t="s">
        <v>243</v>
      </c>
      <c r="AV4745" s="68"/>
      <c r="AW4745" s="68"/>
      <c r="AY4745" s="27"/>
      <c r="BD4745" s="68">
        <v>46054.1666666667</v>
      </c>
      <c r="BE4745" s="68">
        <v>46082.1666666667</v>
      </c>
      <c r="BF4745" s="0" t="b">
        <v>1</v>
      </c>
      <c r="BG4745" s="0" t="b">
        <v>0</v>
      </c>
      <c r="BH4745" s="0">
        <v>59</v>
      </c>
      <c r="BI4745" s="0">
        <v>0</v>
      </c>
      <c r="BJ4745" s="0" t="s">
        <v>135</v>
      </c>
    </row>
    <row r="4746">
      <c r="A4746" s="0" t="s">
        <v>5011</v>
      </c>
      <c r="B4746" s="0" t="s">
        <v>5</v>
      </c>
      <c r="C4746" s="0" t="s">
        <v>652</v>
      </c>
      <c r="D4746" s="0" t="s">
        <v>135</v>
      </c>
      <c r="E4746" s="0" t="s">
        <v>3</v>
      </c>
      <c r="F4746" s="0" t="s">
        <v>12</v>
      </c>
      <c r="G4746" s="0" t="s">
        <v>8</v>
      </c>
      <c r="H4746" s="0">
        <v>-8</v>
      </c>
      <c r="I4746" s="0">
        <v>0</v>
      </c>
      <c r="J4746" s="0">
        <v>0</v>
      </c>
      <c r="K4746" s="0">
        <v>0</v>
      </c>
      <c r="L4746" s="0">
        <v>0</v>
      </c>
      <c r="M4746" s="0">
        <v>0</v>
      </c>
      <c r="N4746" s="0">
        <v>0</v>
      </c>
      <c r="O4746" s="0">
        <v>0</v>
      </c>
      <c r="P4746" s="0">
        <v>0</v>
      </c>
      <c r="R4746" s="0" t="b">
        <v>0</v>
      </c>
      <c r="S4746" s="0" t="b">
        <v>0</v>
      </c>
      <c r="T4746" s="68">
        <v>46062.377974537</v>
      </c>
      <c r="U4746" s="68">
        <v>0</v>
      </c>
      <c r="V4746" s="68">
        <v>46063.5812152778</v>
      </c>
      <c r="W4746" s="0">
        <f>IF(IF(B4746="none",1,IF(B4746="Trialer",1,0))+IF(C4746="Customer",1,IF(C4746="Lost",1,0))=2,1,0)</f>
      </c>
      <c r="X4746" s="0" t="s">
        <v>136</v>
      </c>
      <c r="Y4746" s="0" t="s">
        <v>243</v>
      </c>
      <c r="AV4746" s="68"/>
      <c r="AW4746" s="68"/>
      <c r="AY4746" s="27"/>
      <c r="BD4746" s="68">
        <v>46054.1666666667</v>
      </c>
      <c r="BE4746" s="68">
        <v>46082.1666666667</v>
      </c>
      <c r="BF4746" s="0" t="b">
        <v>1</v>
      </c>
      <c r="BG4746" s="0" t="b">
        <v>0</v>
      </c>
      <c r="BH4746" s="0">
        <v>59</v>
      </c>
      <c r="BI4746" s="0">
        <v>0</v>
      </c>
      <c r="BJ4746" s="0" t="s">
        <v>135</v>
      </c>
    </row>
    <row r="4747">
      <c r="A4747" s="0" t="s">
        <v>5012</v>
      </c>
      <c r="B4747" s="0" t="s">
        <v>5</v>
      </c>
      <c r="C4747" s="0" t="s">
        <v>652</v>
      </c>
      <c r="D4747" s="0" t="s">
        <v>135</v>
      </c>
      <c r="E4747" s="0" t="s">
        <v>3</v>
      </c>
      <c r="F4747" s="0" t="s">
        <v>12</v>
      </c>
      <c r="G4747" s="0" t="s">
        <v>8</v>
      </c>
      <c r="H4747" s="0">
        <v>-8</v>
      </c>
      <c r="I4747" s="0">
        <v>0</v>
      </c>
      <c r="J4747" s="0">
        <v>0</v>
      </c>
      <c r="K4747" s="0">
        <v>0</v>
      </c>
      <c r="L4747" s="0">
        <v>0</v>
      </c>
      <c r="M4747" s="0">
        <v>0</v>
      </c>
      <c r="N4747" s="0">
        <v>0</v>
      </c>
      <c r="O4747" s="0">
        <v>0</v>
      </c>
      <c r="P4747" s="0">
        <v>0</v>
      </c>
      <c r="R4747" s="0" t="b">
        <v>0</v>
      </c>
      <c r="S4747" s="0" t="b">
        <v>1</v>
      </c>
      <c r="T4747" s="68">
        <v>46062.3929861111</v>
      </c>
      <c r="U4747" s="68">
        <v>0</v>
      </c>
      <c r="V4747" s="68">
        <v>0</v>
      </c>
      <c r="W4747" s="0">
        <f>IF(IF(B4747="none",1,IF(B4747="Trialer",1,0))+IF(C4747="Customer",1,IF(C4747="Lost",1,0))=2,1,0)</f>
      </c>
      <c r="X4747" s="0" t="s">
        <v>136</v>
      </c>
      <c r="Y4747" s="0" t="s">
        <v>243</v>
      </c>
      <c r="AV4747" s="68"/>
      <c r="AW4747" s="68"/>
      <c r="AY4747" s="27"/>
      <c r="BD4747" s="68">
        <v>46054.1666666667</v>
      </c>
      <c r="BE4747" s="68">
        <v>46082.1666666667</v>
      </c>
      <c r="BF4747" s="0" t="b">
        <v>0</v>
      </c>
      <c r="BG4747" s="0" t="b">
        <v>0</v>
      </c>
      <c r="BH4747" s="0">
        <v>59</v>
      </c>
      <c r="BI4747" s="0">
        <v>59</v>
      </c>
      <c r="BJ4747" s="0" t="s">
        <v>135</v>
      </c>
    </row>
    <row r="4748">
      <c r="A4748" s="0" t="s">
        <v>5013</v>
      </c>
      <c r="B4748" s="0" t="s">
        <v>5</v>
      </c>
      <c r="C4748" s="0" t="s">
        <v>652</v>
      </c>
      <c r="D4748" s="0" t="s">
        <v>135</v>
      </c>
      <c r="E4748" s="0" t="s">
        <v>2414</v>
      </c>
      <c r="F4748" s="0" t="s">
        <v>12</v>
      </c>
      <c r="G4748" s="0" t="s">
        <v>8</v>
      </c>
      <c r="H4748" s="0">
        <v>-8</v>
      </c>
      <c r="I4748" s="0">
        <v>0</v>
      </c>
      <c r="J4748" s="0">
        <v>0</v>
      </c>
      <c r="K4748" s="0">
        <v>0</v>
      </c>
      <c r="L4748" s="0">
        <v>0</v>
      </c>
      <c r="M4748" s="0">
        <v>0</v>
      </c>
      <c r="N4748" s="0">
        <v>0</v>
      </c>
      <c r="O4748" s="0">
        <v>0</v>
      </c>
      <c r="P4748" s="0">
        <v>0</v>
      </c>
      <c r="R4748" s="0" t="b">
        <v>0</v>
      </c>
      <c r="S4748" s="0" t="b">
        <v>1</v>
      </c>
      <c r="T4748" s="68">
        <v>46062.4209953704</v>
      </c>
      <c r="U4748" s="68">
        <v>0</v>
      </c>
      <c r="V4748" s="68">
        <v>0</v>
      </c>
      <c r="W4748" s="0">
        <f>IF(IF(B4748="none",1,IF(B4748="Trialer",1,0))+IF(C4748="Customer",1,IF(C4748="Lost",1,0))=2,1,0)</f>
      </c>
      <c r="X4748" s="0" t="s">
        <v>148</v>
      </c>
      <c r="Y4748" s="0" t="s">
        <v>1516</v>
      </c>
      <c r="AV4748" s="68"/>
      <c r="AW4748" s="68"/>
      <c r="AY4748" s="27"/>
      <c r="BD4748" s="68">
        <v>46054.1666666667</v>
      </c>
      <c r="BE4748" s="68">
        <v>46082.1666666667</v>
      </c>
      <c r="BF4748" s="0" t="b">
        <v>0</v>
      </c>
      <c r="BG4748" s="0" t="b">
        <v>0</v>
      </c>
      <c r="BH4748" s="0">
        <v>35</v>
      </c>
      <c r="BI4748" s="0">
        <v>35</v>
      </c>
      <c r="BJ4748" s="0" t="s">
        <v>135</v>
      </c>
    </row>
    <row r="4749">
      <c r="A4749" s="0" t="s">
        <v>5014</v>
      </c>
      <c r="B4749" s="0" t="s">
        <v>5</v>
      </c>
      <c r="C4749" s="0" t="s">
        <v>652</v>
      </c>
      <c r="D4749" s="0" t="s">
        <v>135</v>
      </c>
      <c r="E4749" s="0" t="s">
        <v>1515</v>
      </c>
      <c r="F4749" s="0" t="s">
        <v>12</v>
      </c>
      <c r="G4749" s="0" t="s">
        <v>8</v>
      </c>
      <c r="H4749" s="0">
        <v>-8</v>
      </c>
      <c r="I4749" s="0">
        <v>0</v>
      </c>
      <c r="J4749" s="0">
        <v>0</v>
      </c>
      <c r="K4749" s="0">
        <v>0</v>
      </c>
      <c r="L4749" s="0">
        <v>0</v>
      </c>
      <c r="M4749" s="0">
        <v>0</v>
      </c>
      <c r="N4749" s="0">
        <v>0</v>
      </c>
      <c r="O4749" s="0">
        <v>0</v>
      </c>
      <c r="P4749" s="0">
        <v>0</v>
      </c>
      <c r="R4749" s="0" t="b">
        <v>0</v>
      </c>
      <c r="S4749" s="0" t="b">
        <v>1</v>
      </c>
      <c r="T4749" s="68">
        <v>46062.4468865741</v>
      </c>
      <c r="U4749" s="68">
        <v>0</v>
      </c>
      <c r="V4749" s="68">
        <v>0</v>
      </c>
      <c r="W4749" s="0">
        <f>IF(IF(B4749="none",1,IF(B4749="Trialer",1,0))+IF(C4749="Customer",1,IF(C4749="Lost",1,0))=2,1,0)</f>
      </c>
      <c r="X4749" s="0" t="s">
        <v>145</v>
      </c>
      <c r="Y4749" s="0" t="s">
        <v>5015</v>
      </c>
      <c r="AV4749" s="68"/>
      <c r="AW4749" s="68"/>
      <c r="AY4749" s="27"/>
      <c r="BD4749" s="68">
        <v>46054.1666666667</v>
      </c>
      <c r="BE4749" s="68">
        <v>46082.1666666667</v>
      </c>
      <c r="BF4749" s="0" t="b">
        <v>0</v>
      </c>
      <c r="BG4749" s="0" t="b">
        <v>0</v>
      </c>
      <c r="BH4749" s="0">
        <v>59</v>
      </c>
      <c r="BI4749" s="0">
        <v>59</v>
      </c>
      <c r="BJ4749" s="0" t="s">
        <v>135</v>
      </c>
    </row>
    <row r="4750">
      <c r="A4750" s="0" t="s">
        <v>5016</v>
      </c>
      <c r="B4750" s="0" t="s">
        <v>5</v>
      </c>
      <c r="C4750" s="0" t="s">
        <v>652</v>
      </c>
      <c r="D4750" s="0" t="s">
        <v>135</v>
      </c>
      <c r="E4750" s="0" t="s">
        <v>2414</v>
      </c>
      <c r="F4750" s="0" t="s">
        <v>12</v>
      </c>
      <c r="G4750" s="0" t="s">
        <v>8</v>
      </c>
      <c r="H4750" s="0">
        <v>-8</v>
      </c>
      <c r="I4750" s="0">
        <v>0</v>
      </c>
      <c r="J4750" s="0">
        <v>0</v>
      </c>
      <c r="K4750" s="0">
        <v>0</v>
      </c>
      <c r="L4750" s="0">
        <v>0</v>
      </c>
      <c r="M4750" s="0">
        <v>0</v>
      </c>
      <c r="N4750" s="0">
        <v>0</v>
      </c>
      <c r="O4750" s="0">
        <v>0</v>
      </c>
      <c r="P4750" s="0">
        <v>0</v>
      </c>
      <c r="R4750" s="0" t="b">
        <v>0</v>
      </c>
      <c r="S4750" s="0" t="b">
        <v>0</v>
      </c>
      <c r="T4750" s="68">
        <v>46062.4573032407</v>
      </c>
      <c r="U4750" s="68">
        <v>0</v>
      </c>
      <c r="V4750" s="68">
        <v>46064.4474537037</v>
      </c>
      <c r="W4750" s="0">
        <f>IF(IF(B4750="none",1,IF(B4750="Trialer",1,0))+IF(C4750="Customer",1,IF(C4750="Lost",1,0))=2,1,0)</f>
      </c>
      <c r="X4750" s="0" t="s">
        <v>142</v>
      </c>
      <c r="Y4750" s="0" t="s">
        <v>1516</v>
      </c>
      <c r="AV4750" s="68"/>
      <c r="AW4750" s="68"/>
      <c r="AY4750" s="27"/>
      <c r="BD4750" s="68">
        <v>46054.1666666667</v>
      </c>
      <c r="BE4750" s="68">
        <v>46082.1666666667</v>
      </c>
      <c r="BF4750" s="0" t="b">
        <v>1</v>
      </c>
      <c r="BG4750" s="0" t="b">
        <v>0</v>
      </c>
      <c r="BH4750" s="0">
        <v>59</v>
      </c>
      <c r="BI4750" s="0">
        <v>59</v>
      </c>
      <c r="BJ4750" s="0" t="s">
        <v>135</v>
      </c>
    </row>
    <row r="4751">
      <c r="A4751" s="0" t="s">
        <v>5017</v>
      </c>
      <c r="B4751" s="0" t="s">
        <v>5</v>
      </c>
      <c r="C4751" s="0" t="s">
        <v>652</v>
      </c>
      <c r="D4751" s="0" t="s">
        <v>135</v>
      </c>
      <c r="E4751" s="0" t="s">
        <v>3</v>
      </c>
      <c r="F4751" s="0" t="s">
        <v>12</v>
      </c>
      <c r="G4751" s="0" t="s">
        <v>8</v>
      </c>
      <c r="H4751" s="0">
        <v>-8</v>
      </c>
      <c r="I4751" s="0">
        <v>0</v>
      </c>
      <c r="J4751" s="0">
        <v>0</v>
      </c>
      <c r="K4751" s="0">
        <v>0</v>
      </c>
      <c r="L4751" s="0">
        <v>0</v>
      </c>
      <c r="M4751" s="0">
        <v>0</v>
      </c>
      <c r="N4751" s="0">
        <v>0</v>
      </c>
      <c r="O4751" s="0">
        <v>0</v>
      </c>
      <c r="P4751" s="0">
        <v>0</v>
      </c>
      <c r="R4751" s="0" t="b">
        <v>0</v>
      </c>
      <c r="S4751" s="0" t="b">
        <v>1</v>
      </c>
      <c r="T4751" s="68">
        <v>46062.5159490741</v>
      </c>
      <c r="U4751" s="68">
        <v>0</v>
      </c>
      <c r="V4751" s="68">
        <v>0</v>
      </c>
      <c r="W4751" s="0">
        <f>IF(IF(B4751="none",1,IF(B4751="Trialer",1,0))+IF(C4751="Customer",1,IF(C4751="Lost",1,0))=2,1,0)</f>
      </c>
      <c r="X4751" s="0" t="s">
        <v>145</v>
      </c>
      <c r="Y4751" s="0" t="s">
        <v>243</v>
      </c>
      <c r="AV4751" s="68"/>
      <c r="AW4751" s="68"/>
      <c r="AY4751" s="27"/>
      <c r="BD4751" s="68">
        <v>46054.1666666667</v>
      </c>
      <c r="BE4751" s="68">
        <v>46082.1666666667</v>
      </c>
      <c r="BF4751" s="0" t="b">
        <v>0</v>
      </c>
      <c r="BG4751" s="0" t="b">
        <v>0</v>
      </c>
      <c r="BH4751" s="0">
        <v>142</v>
      </c>
      <c r="BI4751" s="0">
        <v>142</v>
      </c>
      <c r="BJ4751" s="0" t="s">
        <v>135</v>
      </c>
    </row>
    <row r="4752">
      <c r="A4752" s="0" t="s">
        <v>5018</v>
      </c>
      <c r="B4752" s="0" t="s">
        <v>5</v>
      </c>
      <c r="C4752" s="0" t="s">
        <v>652</v>
      </c>
      <c r="D4752" s="0" t="s">
        <v>135</v>
      </c>
      <c r="E4752" s="0" t="s">
        <v>3</v>
      </c>
      <c r="F4752" s="0" t="s">
        <v>12</v>
      </c>
      <c r="G4752" s="0" t="s">
        <v>8</v>
      </c>
      <c r="H4752" s="0">
        <v>-8</v>
      </c>
      <c r="I4752" s="0">
        <v>0</v>
      </c>
      <c r="J4752" s="0">
        <v>0</v>
      </c>
      <c r="K4752" s="0">
        <v>0</v>
      </c>
      <c r="L4752" s="0">
        <v>0</v>
      </c>
      <c r="M4752" s="0">
        <v>0</v>
      </c>
      <c r="N4752" s="0">
        <v>0</v>
      </c>
      <c r="O4752" s="0">
        <v>0</v>
      </c>
      <c r="P4752" s="0">
        <v>0</v>
      </c>
      <c r="R4752" s="0" t="b">
        <v>0</v>
      </c>
      <c r="S4752" s="0" t="b">
        <v>1</v>
      </c>
      <c r="T4752" s="68">
        <v>46062.5221180556</v>
      </c>
      <c r="U4752" s="68">
        <v>0</v>
      </c>
      <c r="V4752" s="68">
        <v>0</v>
      </c>
      <c r="W4752" s="0">
        <f>IF(IF(B4752="none",1,IF(B4752="Trialer",1,0))+IF(C4752="Customer",1,IF(C4752="Lost",1,0))=2,1,0)</f>
      </c>
      <c r="X4752" s="0" t="s">
        <v>145</v>
      </c>
      <c r="Y4752" s="0" t="s">
        <v>2664</v>
      </c>
      <c r="AV4752" s="68"/>
      <c r="AW4752" s="68"/>
      <c r="AY4752" s="27"/>
      <c r="BD4752" s="68">
        <v>46054.1666666667</v>
      </c>
      <c r="BE4752" s="68">
        <v>46082.1666666667</v>
      </c>
      <c r="BF4752" s="0" t="b">
        <v>0</v>
      </c>
      <c r="BG4752" s="0" t="b">
        <v>0</v>
      </c>
      <c r="BH4752" s="0">
        <v>85</v>
      </c>
      <c r="BI4752" s="0">
        <v>85</v>
      </c>
      <c r="BJ4752" s="0" t="s">
        <v>135</v>
      </c>
    </row>
    <row r="4753">
      <c r="A4753" s="0" t="s">
        <v>5019</v>
      </c>
      <c r="B4753" s="0" t="s">
        <v>5</v>
      </c>
      <c r="C4753" s="0" t="s">
        <v>652</v>
      </c>
      <c r="D4753" s="0" t="s">
        <v>135</v>
      </c>
      <c r="E4753" s="0" t="s">
        <v>3</v>
      </c>
      <c r="F4753" s="0" t="s">
        <v>12</v>
      </c>
      <c r="G4753" s="0" t="s">
        <v>8</v>
      </c>
      <c r="H4753" s="0">
        <v>-8</v>
      </c>
      <c r="I4753" s="0">
        <v>0</v>
      </c>
      <c r="J4753" s="0">
        <v>0</v>
      </c>
      <c r="K4753" s="0">
        <v>0</v>
      </c>
      <c r="L4753" s="0">
        <v>0</v>
      </c>
      <c r="M4753" s="0">
        <v>0</v>
      </c>
      <c r="N4753" s="0">
        <v>0</v>
      </c>
      <c r="O4753" s="0">
        <v>0</v>
      </c>
      <c r="P4753" s="0">
        <v>0</v>
      </c>
      <c r="R4753" s="0" t="b">
        <v>0</v>
      </c>
      <c r="S4753" s="0" t="b">
        <v>0</v>
      </c>
      <c r="T4753" s="68">
        <v>46062.5253125</v>
      </c>
      <c r="U4753" s="68">
        <v>0</v>
      </c>
      <c r="V4753" s="68">
        <v>46062.5818865741</v>
      </c>
      <c r="W4753" s="0">
        <f>IF(IF(B4753="none",1,IF(B4753="Trialer",1,0))+IF(C4753="Customer",1,IF(C4753="Lost",1,0))=2,1,0)</f>
      </c>
      <c r="X4753" s="0" t="s">
        <v>148</v>
      </c>
      <c r="Y4753" s="0" t="s">
        <v>2664</v>
      </c>
      <c r="AV4753" s="68"/>
      <c r="AW4753" s="68"/>
      <c r="AY4753" s="27"/>
      <c r="BD4753" s="68">
        <v>46054.1666666667</v>
      </c>
      <c r="BE4753" s="68">
        <v>46082.1666666667</v>
      </c>
      <c r="BF4753" s="0" t="b">
        <v>0</v>
      </c>
      <c r="BG4753" s="0" t="b">
        <v>0</v>
      </c>
      <c r="BH4753" s="0">
        <v>59</v>
      </c>
      <c r="BI4753" s="0">
        <v>0</v>
      </c>
      <c r="BJ4753" s="0" t="s">
        <v>135</v>
      </c>
    </row>
    <row r="4754">
      <c r="A4754" s="0" t="s">
        <v>5020</v>
      </c>
      <c r="B4754" s="0" t="s">
        <v>5</v>
      </c>
      <c r="C4754" s="0" t="s">
        <v>652</v>
      </c>
      <c r="D4754" s="0" t="s">
        <v>135</v>
      </c>
      <c r="E4754" s="0" t="s">
        <v>2</v>
      </c>
      <c r="F4754" s="0" t="s">
        <v>12</v>
      </c>
      <c r="G4754" s="0" t="s">
        <v>8</v>
      </c>
      <c r="H4754" s="0">
        <v>-8</v>
      </c>
      <c r="I4754" s="0">
        <v>0</v>
      </c>
      <c r="J4754" s="0">
        <v>0</v>
      </c>
      <c r="K4754" s="0">
        <v>0</v>
      </c>
      <c r="L4754" s="0">
        <v>0</v>
      </c>
      <c r="M4754" s="0">
        <v>0</v>
      </c>
      <c r="N4754" s="0">
        <v>0</v>
      </c>
      <c r="O4754" s="0">
        <v>0</v>
      </c>
      <c r="P4754" s="0">
        <v>0</v>
      </c>
      <c r="R4754" s="0" t="b">
        <v>0</v>
      </c>
      <c r="S4754" s="0" t="b">
        <v>0</v>
      </c>
      <c r="T4754" s="68">
        <v>46062.5310532407</v>
      </c>
      <c r="U4754" s="68">
        <v>0</v>
      </c>
      <c r="V4754" s="68">
        <v>46070.688125</v>
      </c>
      <c r="W4754" s="0">
        <f>IF(IF(B4754="none",1,IF(B4754="Trialer",1,0))+IF(C4754="Customer",1,IF(C4754="Lost",1,0))=2,1,0)</f>
      </c>
      <c r="X4754" s="0" t="s">
        <v>145</v>
      </c>
      <c r="Y4754" s="0" t="s">
        <v>499</v>
      </c>
      <c r="AV4754" s="68"/>
      <c r="AW4754" s="68"/>
      <c r="AY4754" s="27"/>
      <c r="BD4754" s="68">
        <v>46054.1666666667</v>
      </c>
      <c r="BE4754" s="68">
        <v>46082.1666666667</v>
      </c>
      <c r="BF4754" s="0" t="b">
        <v>1</v>
      </c>
      <c r="BG4754" s="0" t="b">
        <v>1</v>
      </c>
      <c r="BH4754" s="0">
        <v>73</v>
      </c>
      <c r="BI4754" s="0">
        <v>73</v>
      </c>
      <c r="BJ4754" s="0" t="s">
        <v>135</v>
      </c>
    </row>
    <row r="4755">
      <c r="A4755" s="0" t="s">
        <v>5021</v>
      </c>
      <c r="B4755" s="0" t="s">
        <v>5</v>
      </c>
      <c r="C4755" s="0" t="s">
        <v>652</v>
      </c>
      <c r="D4755" s="0" t="s">
        <v>135</v>
      </c>
      <c r="E4755" s="0" t="s">
        <v>3</v>
      </c>
      <c r="F4755" s="0" t="s">
        <v>12</v>
      </c>
      <c r="G4755" s="0" t="s">
        <v>8</v>
      </c>
      <c r="H4755" s="0">
        <v>-8</v>
      </c>
      <c r="I4755" s="0">
        <v>0</v>
      </c>
      <c r="J4755" s="0">
        <v>0</v>
      </c>
      <c r="K4755" s="0">
        <v>0</v>
      </c>
      <c r="L4755" s="0">
        <v>0</v>
      </c>
      <c r="M4755" s="0">
        <v>0</v>
      </c>
      <c r="N4755" s="0">
        <v>0</v>
      </c>
      <c r="O4755" s="0">
        <v>0</v>
      </c>
      <c r="P4755" s="0">
        <v>0</v>
      </c>
      <c r="R4755" s="0" t="b">
        <v>0</v>
      </c>
      <c r="S4755" s="0" t="b">
        <v>0</v>
      </c>
      <c r="T4755" s="68">
        <v>46062.531400463</v>
      </c>
      <c r="U4755" s="68">
        <v>0</v>
      </c>
      <c r="V4755" s="68">
        <v>46063.5806597222</v>
      </c>
      <c r="W4755" s="0">
        <f>IF(IF(B4755="none",1,IF(B4755="Trialer",1,0))+IF(C4755="Customer",1,IF(C4755="Lost",1,0))=2,1,0)</f>
      </c>
      <c r="X4755" s="0" t="s">
        <v>148</v>
      </c>
      <c r="Y4755" s="0" t="s">
        <v>243</v>
      </c>
      <c r="AV4755" s="68"/>
      <c r="AW4755" s="68"/>
      <c r="AY4755" s="27"/>
      <c r="BD4755" s="68">
        <v>46054.1666666667</v>
      </c>
      <c r="BE4755" s="68">
        <v>46082.1666666667</v>
      </c>
      <c r="BF4755" s="0" t="b">
        <v>1</v>
      </c>
      <c r="BG4755" s="0" t="b">
        <v>0</v>
      </c>
      <c r="BH4755" s="0">
        <v>73</v>
      </c>
      <c r="BI4755" s="0">
        <v>0</v>
      </c>
      <c r="BJ4755" s="0" t="s">
        <v>135</v>
      </c>
    </row>
    <row r="4756">
      <c r="A4756" s="0" t="s">
        <v>5022</v>
      </c>
      <c r="B4756" s="0" t="s">
        <v>5</v>
      </c>
      <c r="C4756" s="0" t="s">
        <v>134</v>
      </c>
      <c r="D4756" s="0" t="s">
        <v>135</v>
      </c>
      <c r="E4756" s="0" t="s">
        <v>3</v>
      </c>
      <c r="F4756" s="0" t="s">
        <v>12</v>
      </c>
      <c r="G4756" s="0" t="s">
        <v>8</v>
      </c>
      <c r="H4756" s="0">
        <v>-8</v>
      </c>
      <c r="I4756" s="0">
        <v>59</v>
      </c>
      <c r="J4756" s="0">
        <v>0</v>
      </c>
      <c r="K4756" s="0">
        <v>1</v>
      </c>
      <c r="L4756" s="0">
        <v>3</v>
      </c>
      <c r="M4756" s="0">
        <v>1</v>
      </c>
      <c r="N4756" s="0">
        <v>0</v>
      </c>
      <c r="O4756" s="0">
        <v>0</v>
      </c>
      <c r="P4756" s="0">
        <v>0</v>
      </c>
      <c r="R4756" s="0" t="b">
        <v>0</v>
      </c>
      <c r="S4756" s="0" t="b">
        <v>1</v>
      </c>
      <c r="T4756" s="68">
        <v>46062.5476388889</v>
      </c>
      <c r="U4756" s="68">
        <v>46076.2916666667</v>
      </c>
      <c r="V4756" s="68">
        <v>0</v>
      </c>
      <c r="W4756" s="0">
        <f>IF(IF(B4756="none",1,IF(B4756="Trialer",1,0))+IF(C4756="Customer",1,IF(C4756="Lost",1,0))=2,1,0)</f>
      </c>
      <c r="X4756" s="0" t="s">
        <v>1461</v>
      </c>
      <c r="Y4756" s="0" t="s">
        <v>243</v>
      </c>
      <c r="AV4756" s="68"/>
      <c r="AW4756" s="68"/>
      <c r="AY4756" s="27"/>
      <c r="BD4756" s="68">
        <v>46054.1666666667</v>
      </c>
      <c r="BE4756" s="68">
        <v>46082.1666666667</v>
      </c>
      <c r="BF4756" s="0" t="b">
        <v>0</v>
      </c>
      <c r="BG4756" s="0" t="b">
        <v>0</v>
      </c>
      <c r="BH4756" s="0">
        <v>94</v>
      </c>
      <c r="BI4756" s="0">
        <v>94</v>
      </c>
      <c r="BJ4756" s="0" t="s">
        <v>135</v>
      </c>
    </row>
    <row r="4757">
      <c r="A4757" s="0" t="s">
        <v>5023</v>
      </c>
      <c r="B4757" s="0" t="s">
        <v>5</v>
      </c>
      <c r="C4757" s="0" t="s">
        <v>134</v>
      </c>
      <c r="D4757" s="0" t="s">
        <v>135</v>
      </c>
      <c r="E4757" s="0" t="s">
        <v>3</v>
      </c>
      <c r="F4757" s="0" t="s">
        <v>12</v>
      </c>
      <c r="G4757" s="0" t="s">
        <v>8</v>
      </c>
      <c r="H4757" s="0">
        <v>-8</v>
      </c>
      <c r="I4757" s="0">
        <v>47</v>
      </c>
      <c r="J4757" s="0">
        <v>0</v>
      </c>
      <c r="K4757" s="0">
        <v>1</v>
      </c>
      <c r="L4757" s="0">
        <v>2</v>
      </c>
      <c r="M4757" s="0">
        <v>1</v>
      </c>
      <c r="N4757" s="0">
        <v>0</v>
      </c>
      <c r="O4757" s="0">
        <v>0</v>
      </c>
      <c r="P4757" s="0">
        <v>0</v>
      </c>
      <c r="R4757" s="0" t="b">
        <v>0</v>
      </c>
      <c r="S4757" s="0" t="b">
        <v>1</v>
      </c>
      <c r="T4757" s="68">
        <v>46062.5907291667</v>
      </c>
      <c r="U4757" s="68">
        <v>46077.2916666667</v>
      </c>
      <c r="V4757" s="68">
        <v>0</v>
      </c>
      <c r="W4757" s="0">
        <f>IF(IF(B4757="none",1,IF(B4757="Trialer",1,0))+IF(C4757="Customer",1,IF(C4757="Lost",1,0))=2,1,0)</f>
      </c>
      <c r="X4757" s="0" t="s">
        <v>1461</v>
      </c>
      <c r="Y4757" s="0" t="s">
        <v>243</v>
      </c>
      <c r="AV4757" s="68"/>
      <c r="AW4757" s="68"/>
      <c r="AY4757" s="27"/>
      <c r="BD4757" s="68">
        <v>46054.1666666667</v>
      </c>
      <c r="BE4757" s="68">
        <v>46082.1666666667</v>
      </c>
      <c r="BF4757" s="0" t="b">
        <v>0</v>
      </c>
      <c r="BG4757" s="0" t="b">
        <v>0</v>
      </c>
      <c r="BH4757" s="0">
        <v>47</v>
      </c>
      <c r="BI4757" s="0">
        <v>47</v>
      </c>
      <c r="BJ4757" s="0" t="s">
        <v>135</v>
      </c>
    </row>
    <row r="4758">
      <c r="A4758" s="0" t="s">
        <v>5024</v>
      </c>
      <c r="B4758" s="0" t="s">
        <v>5</v>
      </c>
      <c r="C4758" s="0" t="s">
        <v>652</v>
      </c>
      <c r="D4758" s="0" t="s">
        <v>135</v>
      </c>
      <c r="E4758" s="0" t="s">
        <v>4</v>
      </c>
      <c r="F4758" s="0" t="s">
        <v>12</v>
      </c>
      <c r="G4758" s="0" t="s">
        <v>8</v>
      </c>
      <c r="H4758" s="0">
        <v>-8</v>
      </c>
      <c r="I4758" s="0">
        <v>0</v>
      </c>
      <c r="J4758" s="0">
        <v>0</v>
      </c>
      <c r="K4758" s="0">
        <v>0</v>
      </c>
      <c r="L4758" s="0">
        <v>0</v>
      </c>
      <c r="M4758" s="0">
        <v>0</v>
      </c>
      <c r="N4758" s="0">
        <v>0</v>
      </c>
      <c r="O4758" s="0">
        <v>0</v>
      </c>
      <c r="P4758" s="0">
        <v>0</v>
      </c>
      <c r="R4758" s="0" t="b">
        <v>0</v>
      </c>
      <c r="S4758" s="0" t="b">
        <v>1</v>
      </c>
      <c r="T4758" s="68">
        <v>46062.6112962963</v>
      </c>
      <c r="U4758" s="68">
        <v>0</v>
      </c>
      <c r="V4758" s="68">
        <v>0</v>
      </c>
      <c r="W4758" s="0">
        <f>IF(IF(B4758="none",1,IF(B4758="Trialer",1,0))+IF(C4758="Customer",1,IF(C4758="Lost",1,0))=2,1,0)</f>
      </c>
      <c r="X4758" s="0" t="s">
        <v>148</v>
      </c>
      <c r="Y4758" s="0" t="s">
        <v>1772</v>
      </c>
      <c r="AV4758" s="68"/>
      <c r="AW4758" s="68"/>
      <c r="AY4758" s="27"/>
      <c r="BD4758" s="68">
        <v>46054.1666666667</v>
      </c>
      <c r="BE4758" s="68">
        <v>46082.1666666667</v>
      </c>
      <c r="BF4758" s="0" t="b">
        <v>0</v>
      </c>
      <c r="BG4758" s="0" t="b">
        <v>0</v>
      </c>
      <c r="BH4758" s="0">
        <v>59</v>
      </c>
      <c r="BI4758" s="0">
        <v>59</v>
      </c>
      <c r="BJ4758" s="0" t="s">
        <v>135</v>
      </c>
    </row>
    <row r="4759">
      <c r="A4759" s="0" t="s">
        <v>5025</v>
      </c>
      <c r="B4759" s="0" t="s">
        <v>5</v>
      </c>
      <c r="C4759" s="0" t="s">
        <v>652</v>
      </c>
      <c r="D4759" s="0" t="s">
        <v>135</v>
      </c>
      <c r="E4759" s="0" t="s">
        <v>3</v>
      </c>
      <c r="F4759" s="0" t="s">
        <v>12</v>
      </c>
      <c r="G4759" s="0" t="s">
        <v>8</v>
      </c>
      <c r="H4759" s="0">
        <v>-8</v>
      </c>
      <c r="I4759" s="0">
        <v>0</v>
      </c>
      <c r="J4759" s="0">
        <v>0</v>
      </c>
      <c r="K4759" s="0">
        <v>0</v>
      </c>
      <c r="L4759" s="0">
        <v>0</v>
      </c>
      <c r="M4759" s="0">
        <v>0</v>
      </c>
      <c r="N4759" s="0">
        <v>0</v>
      </c>
      <c r="O4759" s="0">
        <v>0</v>
      </c>
      <c r="P4759" s="0">
        <v>0</v>
      </c>
      <c r="R4759" s="0" t="b">
        <v>0</v>
      </c>
      <c r="S4759" s="0" t="b">
        <v>0</v>
      </c>
      <c r="T4759" s="68">
        <v>46062.6680439815</v>
      </c>
      <c r="U4759" s="68">
        <v>0</v>
      </c>
      <c r="V4759" s="68">
        <v>46065.5881481481</v>
      </c>
      <c r="W4759" s="0">
        <f>IF(IF(B4759="none",1,IF(B4759="Trialer",1,0))+IF(C4759="Customer",1,IF(C4759="Lost",1,0))=2,1,0)</f>
      </c>
      <c r="X4759" s="0" t="s">
        <v>148</v>
      </c>
      <c r="Y4759" s="0" t="s">
        <v>243</v>
      </c>
      <c r="AV4759" s="68"/>
      <c r="AW4759" s="68"/>
      <c r="AY4759" s="27"/>
      <c r="BD4759" s="68">
        <v>46054.1666666667</v>
      </c>
      <c r="BE4759" s="68">
        <v>46082.1666666667</v>
      </c>
      <c r="BF4759" s="0" t="b">
        <v>0</v>
      </c>
      <c r="BG4759" s="0" t="b">
        <v>0</v>
      </c>
      <c r="BH4759" s="0">
        <v>591.75</v>
      </c>
      <c r="BI4759" s="0">
        <v>636</v>
      </c>
      <c r="BJ4759" s="0" t="s">
        <v>135</v>
      </c>
    </row>
    <row r="4760">
      <c r="A4760" s="0" t="s">
        <v>5026</v>
      </c>
      <c r="B4760" s="0" t="s">
        <v>5</v>
      </c>
      <c r="C4760" s="0" t="s">
        <v>652</v>
      </c>
      <c r="D4760" s="0" t="s">
        <v>135</v>
      </c>
      <c r="E4760" s="0" t="s">
        <v>4</v>
      </c>
      <c r="F4760" s="0" t="s">
        <v>12</v>
      </c>
      <c r="G4760" s="0" t="s">
        <v>8</v>
      </c>
      <c r="H4760" s="0">
        <v>-8</v>
      </c>
      <c r="I4760" s="0">
        <v>0</v>
      </c>
      <c r="J4760" s="0">
        <v>0</v>
      </c>
      <c r="K4760" s="0">
        <v>0</v>
      </c>
      <c r="L4760" s="0">
        <v>0</v>
      </c>
      <c r="M4760" s="0">
        <v>0</v>
      </c>
      <c r="N4760" s="0">
        <v>0</v>
      </c>
      <c r="O4760" s="0">
        <v>0</v>
      </c>
      <c r="P4760" s="0">
        <v>0</v>
      </c>
      <c r="R4760" s="0" t="b">
        <v>0</v>
      </c>
      <c r="S4760" s="0" t="b">
        <v>1</v>
      </c>
      <c r="T4760" s="68">
        <v>46062.6714699074</v>
      </c>
      <c r="U4760" s="68">
        <v>0</v>
      </c>
      <c r="V4760" s="68">
        <v>0</v>
      </c>
      <c r="W4760" s="0">
        <f>IF(IF(B4760="none",1,IF(B4760="Trialer",1,0))+IF(C4760="Customer",1,IF(C4760="Lost",1,0))=2,1,0)</f>
      </c>
      <c r="X4760" s="0" t="s">
        <v>145</v>
      </c>
      <c r="Y4760" s="0" t="s">
        <v>1772</v>
      </c>
      <c r="AV4760" s="68"/>
      <c r="AW4760" s="68"/>
      <c r="AY4760" s="27"/>
      <c r="BD4760" s="68">
        <v>46054.1666666667</v>
      </c>
      <c r="BE4760" s="68">
        <v>46082.1666666667</v>
      </c>
      <c r="BF4760" s="0" t="b">
        <v>0</v>
      </c>
      <c r="BG4760" s="0" t="b">
        <v>0</v>
      </c>
      <c r="BH4760" s="0">
        <v>83</v>
      </c>
      <c r="BI4760" s="0">
        <v>83</v>
      </c>
      <c r="BJ4760" s="0" t="s">
        <v>135</v>
      </c>
    </row>
    <row r="4761">
      <c r="A4761" s="0" t="s">
        <v>5027</v>
      </c>
      <c r="B4761" s="0" t="s">
        <v>5</v>
      </c>
      <c r="C4761" s="0" t="s">
        <v>652</v>
      </c>
      <c r="D4761" s="0" t="s">
        <v>135</v>
      </c>
      <c r="E4761" s="0" t="s">
        <v>3</v>
      </c>
      <c r="F4761" s="0" t="s">
        <v>12</v>
      </c>
      <c r="G4761" s="0" t="s">
        <v>8</v>
      </c>
      <c r="H4761" s="0">
        <v>-8</v>
      </c>
      <c r="I4761" s="0">
        <v>0</v>
      </c>
      <c r="J4761" s="0">
        <v>0</v>
      </c>
      <c r="K4761" s="0">
        <v>0</v>
      </c>
      <c r="L4761" s="0">
        <v>0</v>
      </c>
      <c r="M4761" s="0">
        <v>0</v>
      </c>
      <c r="N4761" s="0">
        <v>0</v>
      </c>
      <c r="O4761" s="0">
        <v>0</v>
      </c>
      <c r="P4761" s="0">
        <v>0</v>
      </c>
      <c r="R4761" s="0" t="b">
        <v>0</v>
      </c>
      <c r="S4761" s="0" t="b">
        <v>1</v>
      </c>
      <c r="T4761" s="68">
        <v>46062.6771759259</v>
      </c>
      <c r="U4761" s="68">
        <v>0</v>
      </c>
      <c r="V4761" s="68">
        <v>0</v>
      </c>
      <c r="W4761" s="0">
        <f>IF(IF(B4761="none",1,IF(B4761="Trialer",1,0))+IF(C4761="Customer",1,IF(C4761="Lost",1,0))=2,1,0)</f>
      </c>
      <c r="X4761" s="0" t="s">
        <v>148</v>
      </c>
      <c r="Y4761" s="0" t="s">
        <v>243</v>
      </c>
      <c r="AV4761" s="68"/>
      <c r="AW4761" s="68"/>
      <c r="AY4761" s="27"/>
      <c r="BD4761" s="68">
        <v>46054.1666666667</v>
      </c>
      <c r="BE4761" s="68">
        <v>46082.1666666667</v>
      </c>
      <c r="BF4761" s="0" t="b">
        <v>0</v>
      </c>
      <c r="BG4761" s="0" t="b">
        <v>0</v>
      </c>
      <c r="BH4761" s="0">
        <v>85</v>
      </c>
      <c r="BI4761" s="0">
        <v>85</v>
      </c>
      <c r="BJ4761" s="0" t="s">
        <v>135</v>
      </c>
    </row>
    <row r="4762">
      <c r="A4762" s="0" t="s">
        <v>5028</v>
      </c>
      <c r="B4762" s="0" t="s">
        <v>5</v>
      </c>
      <c r="C4762" s="0" t="s">
        <v>134</v>
      </c>
      <c r="D4762" s="0" t="s">
        <v>135</v>
      </c>
      <c r="E4762" s="0" t="s">
        <v>3</v>
      </c>
      <c r="F4762" s="0" t="s">
        <v>12</v>
      </c>
      <c r="G4762" s="0" t="s">
        <v>8</v>
      </c>
      <c r="H4762" s="0">
        <v>-8</v>
      </c>
      <c r="I4762" s="0">
        <v>127.5</v>
      </c>
      <c r="J4762" s="0">
        <v>0</v>
      </c>
      <c r="K4762" s="0">
        <v>1</v>
      </c>
      <c r="L4762" s="0">
        <v>6</v>
      </c>
      <c r="M4762" s="0">
        <v>2</v>
      </c>
      <c r="N4762" s="0">
        <v>0</v>
      </c>
      <c r="O4762" s="0">
        <v>0</v>
      </c>
      <c r="P4762" s="0">
        <v>0</v>
      </c>
      <c r="R4762" s="0" t="b">
        <v>0</v>
      </c>
      <c r="S4762" s="0" t="b">
        <v>1</v>
      </c>
      <c r="T4762" s="68">
        <v>46062.7024421296</v>
      </c>
      <c r="U4762" s="68">
        <v>46076.2916666667</v>
      </c>
      <c r="V4762" s="68">
        <v>0</v>
      </c>
      <c r="W4762" s="0">
        <f>IF(IF(B4762="none",1,IF(B4762="Trialer",1,0))+IF(C4762="Customer",1,IF(C4762="Lost",1,0))=2,1,0)</f>
      </c>
      <c r="X4762" s="0" t="s">
        <v>1461</v>
      </c>
      <c r="Y4762" s="0" t="s">
        <v>243</v>
      </c>
      <c r="AV4762" s="68"/>
      <c r="AW4762" s="68"/>
      <c r="AY4762" s="27"/>
      <c r="BD4762" s="68">
        <v>46054.1666666667</v>
      </c>
      <c r="BE4762" s="68">
        <v>46082.1666666667</v>
      </c>
      <c r="BF4762" s="0" t="b">
        <v>0</v>
      </c>
      <c r="BG4762" s="0" t="b">
        <v>0</v>
      </c>
      <c r="BH4762" s="0">
        <v>127.5</v>
      </c>
      <c r="BI4762" s="0">
        <v>127.5</v>
      </c>
      <c r="BJ4762" s="0" t="s">
        <v>135</v>
      </c>
    </row>
    <row r="4763">
      <c r="A4763" s="0" t="s">
        <v>5029</v>
      </c>
      <c r="B4763" s="0" t="s">
        <v>5</v>
      </c>
      <c r="C4763" s="0" t="s">
        <v>652</v>
      </c>
      <c r="D4763" s="0" t="s">
        <v>135</v>
      </c>
      <c r="E4763" s="0" t="s">
        <v>3</v>
      </c>
      <c r="F4763" s="0" t="s">
        <v>12</v>
      </c>
      <c r="G4763" s="0" t="s">
        <v>8</v>
      </c>
      <c r="H4763" s="0">
        <v>-8</v>
      </c>
      <c r="I4763" s="0">
        <v>0</v>
      </c>
      <c r="J4763" s="0">
        <v>0</v>
      </c>
      <c r="K4763" s="0">
        <v>0</v>
      </c>
      <c r="L4763" s="0">
        <v>0</v>
      </c>
      <c r="M4763" s="0">
        <v>0</v>
      </c>
      <c r="N4763" s="0">
        <v>0</v>
      </c>
      <c r="O4763" s="0">
        <v>0</v>
      </c>
      <c r="P4763" s="0">
        <v>0</v>
      </c>
      <c r="R4763" s="0" t="b">
        <v>0</v>
      </c>
      <c r="S4763" s="0" t="b">
        <v>0</v>
      </c>
      <c r="T4763" s="68">
        <v>46062.7040162037</v>
      </c>
      <c r="U4763" s="68">
        <v>0</v>
      </c>
      <c r="V4763" s="68">
        <v>46086.396087963</v>
      </c>
      <c r="W4763" s="0">
        <f>IF(IF(B4763="none",1,IF(B4763="Trialer",1,0))+IF(C4763="Customer",1,IF(C4763="Lost",1,0))=2,1,0)</f>
      </c>
      <c r="X4763" s="0" t="s">
        <v>136</v>
      </c>
      <c r="Y4763" s="0" t="s">
        <v>243</v>
      </c>
      <c r="AV4763" s="68"/>
      <c r="AW4763" s="68"/>
      <c r="AY4763" s="27"/>
      <c r="BD4763" s="68">
        <v>46054.1666666667</v>
      </c>
      <c r="BE4763" s="68">
        <v>46082.1666666667</v>
      </c>
      <c r="BF4763" s="0" t="b">
        <v>0</v>
      </c>
      <c r="BG4763" s="0" t="b">
        <v>0</v>
      </c>
      <c r="BH4763" s="0">
        <v>85</v>
      </c>
      <c r="BI4763" s="0">
        <v>85</v>
      </c>
      <c r="BJ4763" s="0" t="s">
        <v>135</v>
      </c>
    </row>
    <row r="4764">
      <c r="A4764" s="0" t="s">
        <v>5030</v>
      </c>
      <c r="B4764" s="0" t="s">
        <v>5</v>
      </c>
      <c r="C4764" s="0" t="s">
        <v>652</v>
      </c>
      <c r="D4764" s="0" t="s">
        <v>135</v>
      </c>
      <c r="E4764" s="0" t="s">
        <v>2414</v>
      </c>
      <c r="F4764" s="0" t="s">
        <v>12</v>
      </c>
      <c r="G4764" s="0" t="s">
        <v>8</v>
      </c>
      <c r="H4764" s="0">
        <v>-8</v>
      </c>
      <c r="I4764" s="0">
        <v>0</v>
      </c>
      <c r="J4764" s="0">
        <v>0</v>
      </c>
      <c r="K4764" s="0">
        <v>0</v>
      </c>
      <c r="L4764" s="0">
        <v>0</v>
      </c>
      <c r="M4764" s="0">
        <v>0</v>
      </c>
      <c r="N4764" s="0">
        <v>0</v>
      </c>
      <c r="O4764" s="0">
        <v>0</v>
      </c>
      <c r="P4764" s="0">
        <v>0</v>
      </c>
      <c r="R4764" s="0" t="b">
        <v>0</v>
      </c>
      <c r="S4764" s="0" t="b">
        <v>1</v>
      </c>
      <c r="T4764" s="68">
        <v>46062.7453935185</v>
      </c>
      <c r="U4764" s="68">
        <v>0</v>
      </c>
      <c r="V4764" s="68">
        <v>0</v>
      </c>
      <c r="W4764" s="0">
        <f>IF(IF(B4764="none",1,IF(B4764="Trialer",1,0))+IF(C4764="Customer",1,IF(C4764="Lost",1,0))=2,1,0)</f>
      </c>
      <c r="X4764" s="0" t="s">
        <v>148</v>
      </c>
      <c r="Y4764" s="0" t="s">
        <v>1516</v>
      </c>
      <c r="AV4764" s="68"/>
      <c r="AW4764" s="68"/>
      <c r="AY4764" s="27"/>
      <c r="BD4764" s="68">
        <v>46054.1666666667</v>
      </c>
      <c r="BE4764" s="68">
        <v>46082.1666666667</v>
      </c>
      <c r="BF4764" s="0" t="b">
        <v>0</v>
      </c>
      <c r="BG4764" s="0" t="b">
        <v>0</v>
      </c>
      <c r="BH4764" s="0">
        <v>59</v>
      </c>
      <c r="BI4764" s="0">
        <v>59</v>
      </c>
      <c r="BJ4764" s="0" t="s">
        <v>135</v>
      </c>
    </row>
    <row r="4765">
      <c r="A4765" s="0" t="s">
        <v>5031</v>
      </c>
      <c r="B4765" s="0" t="s">
        <v>5</v>
      </c>
      <c r="C4765" s="0" t="s">
        <v>652</v>
      </c>
      <c r="D4765" s="0" t="s">
        <v>135</v>
      </c>
      <c r="E4765" s="0" t="s">
        <v>2</v>
      </c>
      <c r="F4765" s="0" t="s">
        <v>12</v>
      </c>
      <c r="G4765" s="0" t="s">
        <v>8</v>
      </c>
      <c r="H4765" s="0">
        <v>-8</v>
      </c>
      <c r="I4765" s="0">
        <v>0</v>
      </c>
      <c r="J4765" s="0">
        <v>0</v>
      </c>
      <c r="K4765" s="0">
        <v>0</v>
      </c>
      <c r="L4765" s="0">
        <v>0</v>
      </c>
      <c r="M4765" s="0">
        <v>0</v>
      </c>
      <c r="N4765" s="0">
        <v>0</v>
      </c>
      <c r="O4765" s="0">
        <v>0</v>
      </c>
      <c r="P4765" s="0">
        <v>0</v>
      </c>
      <c r="R4765" s="0" t="b">
        <v>0</v>
      </c>
      <c r="S4765" s="0" t="b">
        <v>0</v>
      </c>
      <c r="T4765" s="68">
        <v>46062.7783449074</v>
      </c>
      <c r="U4765" s="68">
        <v>0</v>
      </c>
      <c r="V4765" s="68">
        <v>46069.5331828704</v>
      </c>
      <c r="W4765" s="0">
        <f>IF(IF(B4765="none",1,IF(B4765="Trialer",1,0))+IF(C4765="Customer",1,IF(C4765="Lost",1,0))=2,1,0)</f>
      </c>
      <c r="X4765" s="0" t="s">
        <v>145</v>
      </c>
      <c r="Y4765" s="0" t="s">
        <v>499</v>
      </c>
      <c r="AV4765" s="68"/>
      <c r="AW4765" s="68"/>
      <c r="AY4765" s="27"/>
      <c r="BD4765" s="68">
        <v>46054.1666666667</v>
      </c>
      <c r="BE4765" s="68">
        <v>46082.1666666667</v>
      </c>
      <c r="BF4765" s="0" t="b">
        <v>0</v>
      </c>
      <c r="BG4765" s="0" t="b">
        <v>0</v>
      </c>
      <c r="BH4765" s="0">
        <v>73</v>
      </c>
      <c r="BI4765" s="0">
        <v>73</v>
      </c>
      <c r="BJ4765" s="0" t="s">
        <v>135</v>
      </c>
    </row>
    <row r="4766">
      <c r="A4766" s="0" t="s">
        <v>5032</v>
      </c>
      <c r="B4766" s="0" t="s">
        <v>5</v>
      </c>
      <c r="C4766" s="0" t="s">
        <v>652</v>
      </c>
      <c r="D4766" s="0" t="s">
        <v>135</v>
      </c>
      <c r="E4766" s="0" t="s">
        <v>3</v>
      </c>
      <c r="F4766" s="0" t="s">
        <v>12</v>
      </c>
      <c r="G4766" s="0" t="s">
        <v>8</v>
      </c>
      <c r="H4766" s="0">
        <v>-8</v>
      </c>
      <c r="I4766" s="0">
        <v>0</v>
      </c>
      <c r="J4766" s="0">
        <v>0</v>
      </c>
      <c r="K4766" s="0">
        <v>0</v>
      </c>
      <c r="L4766" s="0">
        <v>0</v>
      </c>
      <c r="M4766" s="0">
        <v>0</v>
      </c>
      <c r="N4766" s="0">
        <v>0</v>
      </c>
      <c r="O4766" s="0">
        <v>0</v>
      </c>
      <c r="P4766" s="0">
        <v>0</v>
      </c>
      <c r="R4766" s="0" t="b">
        <v>0</v>
      </c>
      <c r="S4766" s="0" t="b">
        <v>0</v>
      </c>
      <c r="T4766" s="68">
        <v>46062.7936921296</v>
      </c>
      <c r="U4766" s="68">
        <v>0</v>
      </c>
      <c r="V4766" s="68">
        <v>46080.3298148148</v>
      </c>
      <c r="W4766" s="0">
        <f>IF(IF(B4766="none",1,IF(B4766="Trialer",1,0))+IF(C4766="Customer",1,IF(C4766="Lost",1,0))=2,1,0)</f>
      </c>
      <c r="X4766" s="0" t="s">
        <v>136</v>
      </c>
      <c r="Y4766" s="0" t="s">
        <v>243</v>
      </c>
      <c r="AV4766" s="68"/>
      <c r="AW4766" s="68"/>
      <c r="AY4766" s="27"/>
      <c r="BD4766" s="68">
        <v>46054.1666666667</v>
      </c>
      <c r="BE4766" s="68">
        <v>46082.1666666667</v>
      </c>
      <c r="BF4766" s="0" t="b">
        <v>0</v>
      </c>
      <c r="BG4766" s="0" t="b">
        <v>0</v>
      </c>
      <c r="BH4766" s="0">
        <v>118</v>
      </c>
      <c r="BI4766" s="0">
        <v>118</v>
      </c>
      <c r="BJ4766" s="0" t="s">
        <v>135</v>
      </c>
    </row>
    <row r="4767">
      <c r="A4767" s="0" t="s">
        <v>5033</v>
      </c>
      <c r="B4767" s="0" t="s">
        <v>5</v>
      </c>
      <c r="C4767" s="0" t="s">
        <v>652</v>
      </c>
      <c r="D4767" s="0" t="s">
        <v>135</v>
      </c>
      <c r="E4767" s="0" t="s">
        <v>3</v>
      </c>
      <c r="F4767" s="0" t="s">
        <v>12</v>
      </c>
      <c r="G4767" s="0" t="s">
        <v>8</v>
      </c>
      <c r="H4767" s="0">
        <v>-8</v>
      </c>
      <c r="I4767" s="0">
        <v>0</v>
      </c>
      <c r="J4767" s="0">
        <v>0</v>
      </c>
      <c r="K4767" s="0">
        <v>0</v>
      </c>
      <c r="L4767" s="0">
        <v>0</v>
      </c>
      <c r="M4767" s="0">
        <v>0</v>
      </c>
      <c r="N4767" s="0">
        <v>0</v>
      </c>
      <c r="O4767" s="0">
        <v>0</v>
      </c>
      <c r="P4767" s="0">
        <v>0</v>
      </c>
      <c r="R4767" s="0" t="b">
        <v>0</v>
      </c>
      <c r="S4767" s="0" t="b">
        <v>0</v>
      </c>
      <c r="T4767" s="68">
        <v>46062.8032523148</v>
      </c>
      <c r="U4767" s="68">
        <v>0</v>
      </c>
      <c r="V4767" s="68">
        <v>46070.4612615741</v>
      </c>
      <c r="W4767" s="0">
        <f>IF(IF(B4767="none",1,IF(B4767="Trialer",1,0))+IF(C4767="Customer",1,IF(C4767="Lost",1,0))=2,1,0)</f>
      </c>
      <c r="X4767" s="0" t="s">
        <v>148</v>
      </c>
      <c r="Y4767" s="0" t="s">
        <v>243</v>
      </c>
      <c r="AV4767" s="68"/>
      <c r="AW4767" s="68"/>
      <c r="AY4767" s="27"/>
      <c r="BD4767" s="68">
        <v>46054.1666666667</v>
      </c>
      <c r="BE4767" s="68">
        <v>46082.1666666667</v>
      </c>
      <c r="BF4767" s="0" t="b">
        <v>0</v>
      </c>
      <c r="BG4767" s="0" t="b">
        <v>0</v>
      </c>
      <c r="BH4767" s="0">
        <v>118</v>
      </c>
      <c r="BI4767" s="0">
        <v>118</v>
      </c>
      <c r="BJ4767" s="0" t="s">
        <v>135</v>
      </c>
    </row>
    <row r="4768">
      <c r="A4768" s="0" t="s">
        <v>5034</v>
      </c>
      <c r="B4768" s="0" t="s">
        <v>5</v>
      </c>
      <c r="C4768" s="0" t="s">
        <v>652</v>
      </c>
      <c r="D4768" s="0" t="s">
        <v>135</v>
      </c>
      <c r="E4768" s="0" t="s">
        <v>3</v>
      </c>
      <c r="F4768" s="0" t="s">
        <v>12</v>
      </c>
      <c r="G4768" s="0" t="s">
        <v>8</v>
      </c>
      <c r="H4768" s="0">
        <v>-8</v>
      </c>
      <c r="I4768" s="0">
        <v>0</v>
      </c>
      <c r="J4768" s="0">
        <v>0</v>
      </c>
      <c r="K4768" s="0">
        <v>0</v>
      </c>
      <c r="L4768" s="0">
        <v>0</v>
      </c>
      <c r="M4768" s="0">
        <v>0</v>
      </c>
      <c r="N4768" s="0">
        <v>0</v>
      </c>
      <c r="O4768" s="0">
        <v>0</v>
      </c>
      <c r="P4768" s="0">
        <v>0</v>
      </c>
      <c r="R4768" s="0" t="b">
        <v>0</v>
      </c>
      <c r="S4768" s="0" t="b">
        <v>0</v>
      </c>
      <c r="T4768" s="68">
        <v>46062.8129166667</v>
      </c>
      <c r="U4768" s="68">
        <v>0</v>
      </c>
      <c r="V4768" s="68">
        <v>46077.3669675926</v>
      </c>
      <c r="W4768" s="0">
        <f>IF(IF(B4768="none",1,IF(B4768="Trialer",1,0))+IF(C4768="Customer",1,IF(C4768="Lost",1,0))=2,1,0)</f>
      </c>
      <c r="X4768" s="0" t="s">
        <v>148</v>
      </c>
      <c r="Y4768" s="0" t="s">
        <v>243</v>
      </c>
      <c r="AV4768" s="68"/>
      <c r="AW4768" s="68"/>
      <c r="AY4768" s="27"/>
      <c r="BD4768" s="68">
        <v>46054.1666666667</v>
      </c>
      <c r="BE4768" s="68">
        <v>46082.1666666667</v>
      </c>
      <c r="BF4768" s="0" t="b">
        <v>0</v>
      </c>
      <c r="BG4768" s="0" t="b">
        <v>0</v>
      </c>
      <c r="BH4768" s="0">
        <v>106</v>
      </c>
      <c r="BI4768" s="0">
        <v>106</v>
      </c>
      <c r="BJ4768" s="0" t="s">
        <v>135</v>
      </c>
    </row>
    <row r="4769">
      <c r="A4769" s="0" t="s">
        <v>5035</v>
      </c>
      <c r="B4769" s="0" t="s">
        <v>5</v>
      </c>
      <c r="C4769" s="0" t="s">
        <v>652</v>
      </c>
      <c r="D4769" s="0" t="s">
        <v>135</v>
      </c>
      <c r="E4769" s="0" t="s">
        <v>2414</v>
      </c>
      <c r="F4769" s="0" t="s">
        <v>12</v>
      </c>
      <c r="G4769" s="0" t="s">
        <v>8</v>
      </c>
      <c r="H4769" s="0">
        <v>-8</v>
      </c>
      <c r="I4769" s="0">
        <v>0</v>
      </c>
      <c r="J4769" s="0">
        <v>0</v>
      </c>
      <c r="K4769" s="0">
        <v>0</v>
      </c>
      <c r="L4769" s="0">
        <v>0</v>
      </c>
      <c r="M4769" s="0">
        <v>0</v>
      </c>
      <c r="N4769" s="0">
        <v>0</v>
      </c>
      <c r="O4769" s="0">
        <v>0</v>
      </c>
      <c r="P4769" s="0">
        <v>0</v>
      </c>
      <c r="R4769" s="0" t="b">
        <v>0</v>
      </c>
      <c r="S4769" s="0" t="b">
        <v>1</v>
      </c>
      <c r="T4769" s="68">
        <v>46062.8388888889</v>
      </c>
      <c r="U4769" s="68">
        <v>0</v>
      </c>
      <c r="V4769" s="68">
        <v>0</v>
      </c>
      <c r="W4769" s="0">
        <f>IF(IF(B4769="none",1,IF(B4769="Trialer",1,0))+IF(C4769="Customer",1,IF(C4769="Lost",1,0))=2,1,0)</f>
      </c>
      <c r="X4769" s="0" t="s">
        <v>136</v>
      </c>
      <c r="Y4769" s="0" t="s">
        <v>1516</v>
      </c>
      <c r="AV4769" s="68"/>
      <c r="AW4769" s="68"/>
      <c r="AY4769" s="27"/>
      <c r="BD4769" s="68">
        <v>46054.1666666667</v>
      </c>
      <c r="BE4769" s="68">
        <v>46082.1666666667</v>
      </c>
      <c r="BF4769" s="0" t="b">
        <v>0</v>
      </c>
      <c r="BG4769" s="0" t="b">
        <v>0</v>
      </c>
      <c r="BH4769" s="0">
        <v>59</v>
      </c>
      <c r="BI4769" s="0">
        <v>59</v>
      </c>
      <c r="BJ4769" s="0" t="s">
        <v>135</v>
      </c>
    </row>
    <row r="4770">
      <c r="A4770" s="0" t="s">
        <v>5036</v>
      </c>
      <c r="B4770" s="0" t="s">
        <v>5</v>
      </c>
      <c r="C4770" s="0" t="s">
        <v>134</v>
      </c>
      <c r="D4770" s="0" t="s">
        <v>230</v>
      </c>
      <c r="E4770" s="0" t="s">
        <v>3</v>
      </c>
      <c r="F4770" s="0" t="s">
        <v>12</v>
      </c>
      <c r="G4770" s="0" t="s">
        <v>8</v>
      </c>
      <c r="H4770" s="0">
        <v>-8</v>
      </c>
      <c r="I4770" s="0">
        <v>126.2</v>
      </c>
      <c r="J4770" s="0">
        <v>0</v>
      </c>
      <c r="K4770" s="0">
        <v>1</v>
      </c>
      <c r="L4770" s="0">
        <v>4</v>
      </c>
      <c r="M4770" s="0">
        <v>2</v>
      </c>
      <c r="N4770" s="0">
        <v>0</v>
      </c>
      <c r="O4770" s="0">
        <v>0</v>
      </c>
      <c r="P4770" s="0">
        <v>1388.2</v>
      </c>
      <c r="R4770" s="0" t="b">
        <v>0</v>
      </c>
      <c r="S4770" s="0" t="b">
        <v>1</v>
      </c>
      <c r="T4770" s="68">
        <v>46062.8581712963</v>
      </c>
      <c r="U4770" s="68">
        <v>46078.2916666667</v>
      </c>
      <c r="V4770" s="68">
        <v>0</v>
      </c>
      <c r="W4770" s="0">
        <f>IF(IF(B4770="none",1,IF(B4770="Trialer",1,0))+IF(C4770="Customer",1,IF(C4770="Lost",1,0))=2,1,0)</f>
      </c>
      <c r="X4770" s="0" t="s">
        <v>1461</v>
      </c>
      <c r="Y4770" s="0" t="s">
        <v>243</v>
      </c>
      <c r="AV4770" s="68"/>
      <c r="AW4770" s="68"/>
      <c r="AY4770" s="27"/>
      <c r="BD4770" s="68">
        <v>46054.1666666667</v>
      </c>
      <c r="BE4770" s="68">
        <v>46082.1666666667</v>
      </c>
      <c r="BF4770" s="0" t="b">
        <v>0</v>
      </c>
      <c r="BG4770" s="0" t="b">
        <v>0</v>
      </c>
      <c r="BH4770" s="0">
        <v>142</v>
      </c>
      <c r="BI4770" s="0">
        <v>142</v>
      </c>
      <c r="BJ4770" s="0" t="s">
        <v>230</v>
      </c>
    </row>
    <row r="4771">
      <c r="A4771" s="0" t="s">
        <v>5037</v>
      </c>
      <c r="B4771" s="0" t="s">
        <v>5</v>
      </c>
      <c r="C4771" s="0" t="s">
        <v>652</v>
      </c>
      <c r="D4771" s="0" t="s">
        <v>135</v>
      </c>
      <c r="E4771" s="0" t="s">
        <v>3</v>
      </c>
      <c r="F4771" s="0" t="s">
        <v>12</v>
      </c>
      <c r="G4771" s="0" t="s">
        <v>8</v>
      </c>
      <c r="H4771" s="0">
        <v>-8</v>
      </c>
      <c r="I4771" s="0">
        <v>0</v>
      </c>
      <c r="J4771" s="0">
        <v>0</v>
      </c>
      <c r="K4771" s="0">
        <v>0</v>
      </c>
      <c r="L4771" s="0">
        <v>0</v>
      </c>
      <c r="M4771" s="0">
        <v>0</v>
      </c>
      <c r="N4771" s="0">
        <v>0</v>
      </c>
      <c r="O4771" s="0">
        <v>0</v>
      </c>
      <c r="P4771" s="0">
        <v>0</v>
      </c>
      <c r="R4771" s="0" t="b">
        <v>0</v>
      </c>
      <c r="S4771" s="0" t="b">
        <v>1</v>
      </c>
      <c r="T4771" s="68">
        <v>46062.8662847222</v>
      </c>
      <c r="U4771" s="68">
        <v>0</v>
      </c>
      <c r="V4771" s="68">
        <v>0</v>
      </c>
      <c r="W4771" s="0">
        <f>IF(IF(B4771="none",1,IF(B4771="Trialer",1,0))+IF(C4771="Customer",1,IF(C4771="Lost",1,0))=2,1,0)</f>
      </c>
      <c r="X4771" s="0" t="s">
        <v>145</v>
      </c>
      <c r="Y4771" s="0" t="s">
        <v>243</v>
      </c>
      <c r="AV4771" s="68"/>
      <c r="AW4771" s="68"/>
      <c r="AY4771" s="27"/>
      <c r="BD4771" s="68">
        <v>46054.1666666667</v>
      </c>
      <c r="BE4771" s="68">
        <v>46082.1666666667</v>
      </c>
      <c r="BF4771" s="0" t="b">
        <v>0</v>
      </c>
      <c r="BG4771" s="0" t="b">
        <v>0</v>
      </c>
      <c r="BH4771" s="0">
        <v>85</v>
      </c>
      <c r="BI4771" s="0">
        <v>85</v>
      </c>
      <c r="BJ4771" s="0" t="s">
        <v>135</v>
      </c>
    </row>
    <row r="4772">
      <c r="A4772" s="0" t="s">
        <v>5038</v>
      </c>
      <c r="B4772" s="0" t="s">
        <v>5</v>
      </c>
      <c r="C4772" s="0" t="s">
        <v>652</v>
      </c>
      <c r="D4772" s="0" t="s">
        <v>135</v>
      </c>
      <c r="E4772" s="0" t="s">
        <v>3</v>
      </c>
      <c r="F4772" s="0" t="s">
        <v>12</v>
      </c>
      <c r="G4772" s="0" t="s">
        <v>8</v>
      </c>
      <c r="H4772" s="0">
        <v>-8</v>
      </c>
      <c r="I4772" s="0">
        <v>0</v>
      </c>
      <c r="J4772" s="0">
        <v>0</v>
      </c>
      <c r="K4772" s="0">
        <v>0</v>
      </c>
      <c r="L4772" s="0">
        <v>0</v>
      </c>
      <c r="M4772" s="0">
        <v>0</v>
      </c>
      <c r="N4772" s="0">
        <v>0</v>
      </c>
      <c r="O4772" s="0">
        <v>0</v>
      </c>
      <c r="P4772" s="0">
        <v>0</v>
      </c>
      <c r="R4772" s="0" t="b">
        <v>0</v>
      </c>
      <c r="S4772" s="0" t="b">
        <v>1</v>
      </c>
      <c r="T4772" s="68">
        <v>46062.8902777778</v>
      </c>
      <c r="U4772" s="68">
        <v>0</v>
      </c>
      <c r="V4772" s="68">
        <v>0</v>
      </c>
      <c r="W4772" s="0">
        <f>IF(IF(B4772="none",1,IF(B4772="Trialer",1,0))+IF(C4772="Customer",1,IF(C4772="Lost",1,0))=2,1,0)</f>
      </c>
      <c r="X4772" s="0" t="s">
        <v>148</v>
      </c>
      <c r="Y4772" s="0" t="s">
        <v>243</v>
      </c>
      <c r="AV4772" s="68"/>
      <c r="AW4772" s="68"/>
      <c r="AY4772" s="27"/>
      <c r="BD4772" s="68">
        <v>46054.1666666667</v>
      </c>
      <c r="BE4772" s="68">
        <v>46082.1666666667</v>
      </c>
      <c r="BF4772" s="0" t="b">
        <v>0</v>
      </c>
      <c r="BG4772" s="0" t="b">
        <v>0</v>
      </c>
      <c r="BH4772" s="0">
        <v>71</v>
      </c>
      <c r="BI4772" s="0">
        <v>71</v>
      </c>
      <c r="BJ4772" s="0" t="s">
        <v>135</v>
      </c>
    </row>
    <row r="4773">
      <c r="A4773" s="0" t="s">
        <v>5039</v>
      </c>
      <c r="B4773" s="0" t="s">
        <v>5</v>
      </c>
      <c r="C4773" s="0" t="s">
        <v>652</v>
      </c>
      <c r="D4773" s="0" t="s">
        <v>135</v>
      </c>
      <c r="E4773" s="0" t="s">
        <v>3</v>
      </c>
      <c r="F4773" s="0" t="s">
        <v>12</v>
      </c>
      <c r="G4773" s="0" t="s">
        <v>8</v>
      </c>
      <c r="H4773" s="0">
        <v>-8</v>
      </c>
      <c r="I4773" s="0">
        <v>0</v>
      </c>
      <c r="J4773" s="0">
        <v>0</v>
      </c>
      <c r="K4773" s="0">
        <v>0</v>
      </c>
      <c r="L4773" s="0">
        <v>0</v>
      </c>
      <c r="M4773" s="0">
        <v>0</v>
      </c>
      <c r="N4773" s="0">
        <v>0</v>
      </c>
      <c r="O4773" s="0">
        <v>0</v>
      </c>
      <c r="P4773" s="0">
        <v>0</v>
      </c>
      <c r="R4773" s="0" t="b">
        <v>0</v>
      </c>
      <c r="S4773" s="0" t="b">
        <v>1</v>
      </c>
      <c r="T4773" s="68">
        <v>46062.910162037</v>
      </c>
      <c r="U4773" s="68">
        <v>0</v>
      </c>
      <c r="V4773" s="68">
        <v>0</v>
      </c>
      <c r="W4773" s="0">
        <f>IF(IF(B4773="none",1,IF(B4773="Trialer",1,0))+IF(C4773="Customer",1,IF(C4773="Lost",1,0))=2,1,0)</f>
      </c>
      <c r="X4773" s="0" t="s">
        <v>136</v>
      </c>
      <c r="Y4773" s="0" t="s">
        <v>243</v>
      </c>
      <c r="AV4773" s="68"/>
      <c r="AW4773" s="68"/>
      <c r="AY4773" s="27"/>
      <c r="BD4773" s="68">
        <v>46054.1666666667</v>
      </c>
      <c r="BE4773" s="68">
        <v>46082.1666666667</v>
      </c>
      <c r="BF4773" s="0" t="b">
        <v>0</v>
      </c>
      <c r="BG4773" s="0" t="b">
        <v>0</v>
      </c>
      <c r="BH4773" s="0">
        <v>71</v>
      </c>
      <c r="BI4773" s="0">
        <v>71</v>
      </c>
      <c r="BJ4773" s="0" t="s">
        <v>135</v>
      </c>
    </row>
    <row r="4774">
      <c r="A4774" s="0" t="s">
        <v>5040</v>
      </c>
      <c r="B4774" s="0" t="s">
        <v>5</v>
      </c>
      <c r="C4774" s="0" t="s">
        <v>652</v>
      </c>
      <c r="D4774" s="0" t="s">
        <v>135</v>
      </c>
      <c r="E4774" s="0" t="s">
        <v>2</v>
      </c>
      <c r="F4774" s="0" t="s">
        <v>12</v>
      </c>
      <c r="G4774" s="0" t="s">
        <v>8</v>
      </c>
      <c r="H4774" s="0">
        <v>-8</v>
      </c>
      <c r="I4774" s="0">
        <v>0</v>
      </c>
      <c r="J4774" s="0">
        <v>0</v>
      </c>
      <c r="K4774" s="0">
        <v>0</v>
      </c>
      <c r="L4774" s="0">
        <v>0</v>
      </c>
      <c r="M4774" s="0">
        <v>0</v>
      </c>
      <c r="N4774" s="0">
        <v>0</v>
      </c>
      <c r="O4774" s="0">
        <v>0</v>
      </c>
      <c r="P4774" s="0">
        <v>0</v>
      </c>
      <c r="R4774" s="0" t="b">
        <v>0</v>
      </c>
      <c r="S4774" s="0" t="b">
        <v>1</v>
      </c>
      <c r="T4774" s="68">
        <v>46062.9147569444</v>
      </c>
      <c r="U4774" s="68">
        <v>0</v>
      </c>
      <c r="V4774" s="68">
        <v>0</v>
      </c>
      <c r="W4774" s="0">
        <f>IF(IF(B4774="none",1,IF(B4774="Trialer",1,0))+IF(C4774="Customer",1,IF(C4774="Lost",1,0))=2,1,0)</f>
      </c>
      <c r="X4774" s="0" t="s">
        <v>136</v>
      </c>
      <c r="Y4774" s="0" t="s">
        <v>499</v>
      </c>
      <c r="AV4774" s="68"/>
      <c r="AW4774" s="68"/>
      <c r="AY4774" s="27"/>
      <c r="BD4774" s="68">
        <v>46054.1666666667</v>
      </c>
      <c r="BE4774" s="68">
        <v>46082.1666666667</v>
      </c>
      <c r="BF4774" s="0" t="b">
        <v>0</v>
      </c>
      <c r="BG4774" s="0" t="b">
        <v>0</v>
      </c>
      <c r="BH4774" s="0">
        <v>85</v>
      </c>
      <c r="BI4774" s="0">
        <v>85</v>
      </c>
      <c r="BJ4774" s="0" t="s">
        <v>135</v>
      </c>
    </row>
    <row r="4775">
      <c r="A4775" s="0" t="s">
        <v>5041</v>
      </c>
      <c r="B4775" s="0" t="s">
        <v>5</v>
      </c>
      <c r="C4775" s="0" t="s">
        <v>652</v>
      </c>
      <c r="D4775" s="0" t="s">
        <v>135</v>
      </c>
      <c r="E4775" s="0" t="s">
        <v>3</v>
      </c>
      <c r="F4775" s="0" t="s">
        <v>12</v>
      </c>
      <c r="G4775" s="0" t="s">
        <v>8</v>
      </c>
      <c r="H4775" s="0">
        <v>-8</v>
      </c>
      <c r="I4775" s="0">
        <v>0</v>
      </c>
      <c r="J4775" s="0">
        <v>0</v>
      </c>
      <c r="K4775" s="0">
        <v>0</v>
      </c>
      <c r="L4775" s="0">
        <v>0</v>
      </c>
      <c r="M4775" s="0">
        <v>0</v>
      </c>
      <c r="N4775" s="0">
        <v>0</v>
      </c>
      <c r="O4775" s="0">
        <v>0</v>
      </c>
      <c r="P4775" s="0">
        <v>0</v>
      </c>
      <c r="R4775" s="0" t="b">
        <v>0</v>
      </c>
      <c r="S4775" s="0" t="b">
        <v>0</v>
      </c>
      <c r="T4775" s="68">
        <v>46062.9169212963</v>
      </c>
      <c r="U4775" s="68">
        <v>0</v>
      </c>
      <c r="V4775" s="68">
        <v>46062.9562962963</v>
      </c>
      <c r="W4775" s="0">
        <f>IF(IF(B4775="none",1,IF(B4775="Trialer",1,0))+IF(C4775="Customer",1,IF(C4775="Lost",1,0))=2,1,0)</f>
      </c>
      <c r="X4775" s="0" t="s">
        <v>148</v>
      </c>
      <c r="Y4775" s="0" t="s">
        <v>243</v>
      </c>
      <c r="AV4775" s="68"/>
      <c r="AW4775" s="68"/>
      <c r="AY4775" s="27"/>
      <c r="BD4775" s="68">
        <v>46054.1666666667</v>
      </c>
      <c r="BE4775" s="68">
        <v>46082.1666666667</v>
      </c>
      <c r="BF4775" s="0" t="b">
        <v>0</v>
      </c>
      <c r="BG4775" s="0" t="b">
        <v>0</v>
      </c>
      <c r="BH4775" s="0">
        <v>0</v>
      </c>
      <c r="BI4775" s="0">
        <v>0</v>
      </c>
      <c r="BJ4775" s="0" t="s">
        <v>135</v>
      </c>
    </row>
    <row r="4776">
      <c r="A4776" s="0" t="s">
        <v>5042</v>
      </c>
      <c r="B4776" s="0" t="s">
        <v>5</v>
      </c>
      <c r="C4776" s="0" t="s">
        <v>652</v>
      </c>
      <c r="D4776" s="0" t="s">
        <v>135</v>
      </c>
      <c r="E4776" s="0" t="s">
        <v>3</v>
      </c>
      <c r="F4776" s="0" t="s">
        <v>12</v>
      </c>
      <c r="G4776" s="0" t="s">
        <v>8</v>
      </c>
      <c r="H4776" s="0">
        <v>-8</v>
      </c>
      <c r="I4776" s="0">
        <v>0</v>
      </c>
      <c r="J4776" s="0">
        <v>0</v>
      </c>
      <c r="K4776" s="0">
        <v>0</v>
      </c>
      <c r="L4776" s="0">
        <v>0</v>
      </c>
      <c r="M4776" s="0">
        <v>0</v>
      </c>
      <c r="N4776" s="0">
        <v>0</v>
      </c>
      <c r="O4776" s="0">
        <v>0</v>
      </c>
      <c r="P4776" s="0">
        <v>0</v>
      </c>
      <c r="R4776" s="0" t="b">
        <v>0</v>
      </c>
      <c r="S4776" s="0" t="b">
        <v>0</v>
      </c>
      <c r="T4776" s="68">
        <v>46062.9224537037</v>
      </c>
      <c r="U4776" s="68">
        <v>0</v>
      </c>
      <c r="V4776" s="68">
        <v>46062.9315509259</v>
      </c>
      <c r="W4776" s="0">
        <f>IF(IF(B4776="none",1,IF(B4776="Trialer",1,0))+IF(C4776="Customer",1,IF(C4776="Lost",1,0))=2,1,0)</f>
      </c>
      <c r="X4776" s="0" t="s">
        <v>145</v>
      </c>
      <c r="Y4776" s="0" t="s">
        <v>243</v>
      </c>
      <c r="AV4776" s="68"/>
      <c r="AW4776" s="68"/>
      <c r="AY4776" s="27"/>
      <c r="BD4776" s="68">
        <v>46054.1666666667</v>
      </c>
      <c r="BE4776" s="68">
        <v>46082.1666666667</v>
      </c>
      <c r="BF4776" s="0" t="b">
        <v>0</v>
      </c>
      <c r="BG4776" s="0" t="b">
        <v>0</v>
      </c>
      <c r="BH4776" s="0">
        <v>0</v>
      </c>
      <c r="BI4776" s="0">
        <v>0</v>
      </c>
      <c r="BJ4776" s="0" t="s">
        <v>135</v>
      </c>
    </row>
    <row r="4777">
      <c r="A4777" s="0" t="s">
        <v>5043</v>
      </c>
      <c r="B4777" s="0" t="s">
        <v>5</v>
      </c>
      <c r="C4777" s="0" t="s">
        <v>652</v>
      </c>
      <c r="D4777" s="0" t="s">
        <v>135</v>
      </c>
      <c r="E4777" s="0" t="s">
        <v>2414</v>
      </c>
      <c r="F4777" s="0" t="s">
        <v>12</v>
      </c>
      <c r="G4777" s="0" t="s">
        <v>8</v>
      </c>
      <c r="H4777" s="0">
        <v>-8</v>
      </c>
      <c r="I4777" s="0">
        <v>0</v>
      </c>
      <c r="J4777" s="0">
        <v>0</v>
      </c>
      <c r="K4777" s="0">
        <v>0</v>
      </c>
      <c r="L4777" s="0">
        <v>0</v>
      </c>
      <c r="M4777" s="0">
        <v>0</v>
      </c>
      <c r="N4777" s="0">
        <v>0</v>
      </c>
      <c r="O4777" s="0">
        <v>0</v>
      </c>
      <c r="P4777" s="0">
        <v>0</v>
      </c>
      <c r="R4777" s="0" t="b">
        <v>0</v>
      </c>
      <c r="S4777" s="0" t="b">
        <v>1</v>
      </c>
      <c r="T4777" s="68">
        <v>46062.9378587963</v>
      </c>
      <c r="U4777" s="68">
        <v>0</v>
      </c>
      <c r="V4777" s="68">
        <v>0</v>
      </c>
      <c r="W4777" s="0">
        <f>IF(IF(B4777="none",1,IF(B4777="Trialer",1,0))+IF(C4777="Customer",1,IF(C4777="Lost",1,0))=2,1,0)</f>
      </c>
      <c r="X4777" s="0" t="s">
        <v>136</v>
      </c>
      <c r="Y4777" s="0" t="s">
        <v>1516</v>
      </c>
      <c r="AV4777" s="68"/>
      <c r="AW4777" s="68"/>
      <c r="AY4777" s="27"/>
      <c r="BD4777" s="68">
        <v>46054.1666666667</v>
      </c>
      <c r="BE4777" s="68">
        <v>46082.1666666667</v>
      </c>
      <c r="BF4777" s="0" t="b">
        <v>0</v>
      </c>
      <c r="BG4777" s="0" t="b">
        <v>0</v>
      </c>
      <c r="BH4777" s="0">
        <v>59</v>
      </c>
      <c r="BI4777" s="0">
        <v>59</v>
      </c>
      <c r="BJ4777" s="0" t="s">
        <v>135</v>
      </c>
    </row>
    <row r="4778">
      <c r="A4778" s="0" t="s">
        <v>5044</v>
      </c>
      <c r="B4778" s="0" t="s">
        <v>5</v>
      </c>
      <c r="C4778" s="0" t="s">
        <v>652</v>
      </c>
      <c r="D4778" s="0" t="s">
        <v>135</v>
      </c>
      <c r="E4778" s="0" t="s">
        <v>3</v>
      </c>
      <c r="F4778" s="0" t="s">
        <v>12</v>
      </c>
      <c r="G4778" s="0" t="s">
        <v>8</v>
      </c>
      <c r="H4778" s="0">
        <v>-9</v>
      </c>
      <c r="I4778" s="0">
        <v>0</v>
      </c>
      <c r="J4778" s="0">
        <v>0</v>
      </c>
      <c r="K4778" s="0">
        <v>0</v>
      </c>
      <c r="L4778" s="0">
        <v>0</v>
      </c>
      <c r="M4778" s="0">
        <v>0</v>
      </c>
      <c r="N4778" s="0">
        <v>0</v>
      </c>
      <c r="O4778" s="0">
        <v>0</v>
      </c>
      <c r="P4778" s="0">
        <v>0</v>
      </c>
      <c r="R4778" s="0" t="b">
        <v>0</v>
      </c>
      <c r="S4778" s="0" t="b">
        <v>0</v>
      </c>
      <c r="T4778" s="68">
        <v>46062.9681597222</v>
      </c>
      <c r="U4778" s="68">
        <v>0</v>
      </c>
      <c r="V4778" s="68">
        <v>46068.0313194444</v>
      </c>
      <c r="W4778" s="0">
        <f>IF(IF(B4778="none",1,IF(B4778="Trialer",1,0))+IF(C4778="Customer",1,IF(C4778="Lost",1,0))=2,1,0)</f>
      </c>
      <c r="X4778" s="0" t="s">
        <v>148</v>
      </c>
      <c r="Y4778" s="0" t="s">
        <v>243</v>
      </c>
      <c r="AV4778" s="68"/>
      <c r="AW4778" s="68"/>
      <c r="AY4778" s="27"/>
      <c r="BD4778" s="68">
        <v>46054.1666666667</v>
      </c>
      <c r="BE4778" s="68">
        <v>46082.1666666667</v>
      </c>
      <c r="BF4778" s="0" t="b">
        <v>0</v>
      </c>
      <c r="BG4778" s="0" t="b">
        <v>0</v>
      </c>
      <c r="BH4778" s="0">
        <v>83</v>
      </c>
      <c r="BI4778" s="0">
        <v>83</v>
      </c>
      <c r="BJ4778" s="0" t="s">
        <v>135</v>
      </c>
    </row>
    <row r="4779">
      <c r="A4779" s="0" t="s">
        <v>5045</v>
      </c>
      <c r="B4779" s="0" t="s">
        <v>5</v>
      </c>
      <c r="C4779" s="0" t="s">
        <v>190</v>
      </c>
      <c r="D4779" s="0" t="s">
        <v>135</v>
      </c>
      <c r="E4779" s="0" t="s">
        <v>3</v>
      </c>
      <c r="F4779" s="0" t="s">
        <v>12</v>
      </c>
      <c r="G4779" s="0" t="s">
        <v>8</v>
      </c>
      <c r="H4779" s="0">
        <v>-9</v>
      </c>
      <c r="I4779" s="0">
        <v>83</v>
      </c>
      <c r="J4779" s="0">
        <v>0</v>
      </c>
      <c r="K4779" s="0">
        <v>1</v>
      </c>
      <c r="L4779" s="0">
        <v>5</v>
      </c>
      <c r="M4779" s="0">
        <v>1</v>
      </c>
      <c r="N4779" s="0">
        <v>0</v>
      </c>
      <c r="O4779" s="0">
        <v>0</v>
      </c>
      <c r="P4779" s="0">
        <v>0</v>
      </c>
      <c r="R4779" s="0" t="b">
        <v>0</v>
      </c>
      <c r="S4779" s="0" t="b">
        <v>0</v>
      </c>
      <c r="T4779" s="68">
        <v>46062.9879282407</v>
      </c>
      <c r="U4779" s="68">
        <v>46076.2916666667</v>
      </c>
      <c r="V4779" s="68">
        <v>46079.6798611111</v>
      </c>
      <c r="W4779" s="0">
        <f>IF(IF(B4779="none",1,IF(B4779="Trialer",1,0))+IF(C4779="Customer",1,IF(C4779="Lost",1,0))=2,1,0)</f>
      </c>
      <c r="X4779" s="0" t="s">
        <v>1461</v>
      </c>
      <c r="Y4779" s="0" t="s">
        <v>243</v>
      </c>
      <c r="AV4779" s="68"/>
      <c r="AW4779" s="68"/>
      <c r="AY4779" s="27"/>
      <c r="BD4779" s="68">
        <v>46054.1666666667</v>
      </c>
      <c r="BE4779" s="68">
        <v>46082.1666666667</v>
      </c>
      <c r="BF4779" s="0" t="b">
        <v>0</v>
      </c>
      <c r="BG4779" s="0" t="b">
        <v>0</v>
      </c>
      <c r="BH4779" s="0">
        <v>83</v>
      </c>
      <c r="BI4779" s="0">
        <v>83</v>
      </c>
      <c r="BJ4779" s="0" t="s">
        <v>135</v>
      </c>
    </row>
    <row r="4780">
      <c r="A4780" s="0" t="s">
        <v>5046</v>
      </c>
      <c r="B4780" s="0" t="s">
        <v>5</v>
      </c>
      <c r="C4780" s="0" t="s">
        <v>134</v>
      </c>
      <c r="D4780" s="0" t="s">
        <v>135</v>
      </c>
      <c r="E4780" s="0" t="s">
        <v>3</v>
      </c>
      <c r="F4780" s="0" t="s">
        <v>12</v>
      </c>
      <c r="G4780" s="0" t="s">
        <v>8</v>
      </c>
      <c r="H4780" s="0">
        <v>-9</v>
      </c>
      <c r="I4780" s="0">
        <v>249</v>
      </c>
      <c r="J4780" s="0">
        <v>0</v>
      </c>
      <c r="K4780" s="0">
        <v>1</v>
      </c>
      <c r="L4780" s="0">
        <v>5</v>
      </c>
      <c r="M4780" s="0">
        <v>3</v>
      </c>
      <c r="N4780" s="0">
        <v>0</v>
      </c>
      <c r="O4780" s="0">
        <v>0</v>
      </c>
      <c r="P4780" s="0">
        <v>0</v>
      </c>
      <c r="R4780" s="0" t="b">
        <v>0</v>
      </c>
      <c r="S4780" s="0" t="b">
        <v>1</v>
      </c>
      <c r="T4780" s="68">
        <v>46063.0825347222</v>
      </c>
      <c r="U4780" s="68">
        <v>46077.2916666667</v>
      </c>
      <c r="V4780" s="68">
        <v>0</v>
      </c>
      <c r="W4780" s="0">
        <f>IF(IF(B4780="none",1,IF(B4780="Trialer",1,0))+IF(C4780="Customer",1,IF(C4780="Lost",1,0))=2,1,0)</f>
      </c>
      <c r="X4780" s="0" t="s">
        <v>1461</v>
      </c>
      <c r="Y4780" s="0" t="s">
        <v>243</v>
      </c>
      <c r="AV4780" s="68"/>
      <c r="AW4780" s="68"/>
      <c r="AY4780" s="27"/>
      <c r="BD4780" s="68">
        <v>46054.1666666667</v>
      </c>
      <c r="BE4780" s="68">
        <v>46082.1666666667</v>
      </c>
      <c r="BF4780" s="0" t="b">
        <v>0</v>
      </c>
      <c r="BG4780" s="0" t="b">
        <v>0</v>
      </c>
      <c r="BH4780" s="0">
        <v>249</v>
      </c>
      <c r="BI4780" s="0">
        <v>249</v>
      </c>
      <c r="BJ4780" s="0" t="s">
        <v>135</v>
      </c>
    </row>
    <row r="4781">
      <c r="A4781" s="0" t="s">
        <v>5047</v>
      </c>
      <c r="B4781" s="0" t="s">
        <v>5</v>
      </c>
      <c r="C4781" s="0" t="s">
        <v>652</v>
      </c>
      <c r="D4781" s="0" t="s">
        <v>135</v>
      </c>
      <c r="E4781" s="0" t="s">
        <v>4</v>
      </c>
      <c r="F4781" s="0" t="s">
        <v>12</v>
      </c>
      <c r="G4781" s="0" t="s">
        <v>8</v>
      </c>
      <c r="H4781" s="0">
        <v>-9</v>
      </c>
      <c r="I4781" s="0">
        <v>0</v>
      </c>
      <c r="J4781" s="0">
        <v>0</v>
      </c>
      <c r="K4781" s="0">
        <v>0</v>
      </c>
      <c r="L4781" s="0">
        <v>0</v>
      </c>
      <c r="M4781" s="0">
        <v>0</v>
      </c>
      <c r="N4781" s="0">
        <v>0</v>
      </c>
      <c r="O4781" s="0">
        <v>0</v>
      </c>
      <c r="P4781" s="0">
        <v>0</v>
      </c>
      <c r="R4781" s="0" t="b">
        <v>0</v>
      </c>
      <c r="S4781" s="0" t="b">
        <v>1</v>
      </c>
      <c r="T4781" s="68">
        <v>46063.0933101852</v>
      </c>
      <c r="U4781" s="68">
        <v>0</v>
      </c>
      <c r="V4781" s="68">
        <v>0</v>
      </c>
      <c r="W4781" s="0">
        <f>IF(IF(B4781="none",1,IF(B4781="Trialer",1,0))+IF(C4781="Customer",1,IF(C4781="Lost",1,0))=2,1,0)</f>
      </c>
      <c r="X4781" s="0" t="s">
        <v>136</v>
      </c>
      <c r="Y4781" s="0" t="s">
        <v>1772</v>
      </c>
      <c r="AV4781" s="68"/>
      <c r="AW4781" s="68"/>
      <c r="AY4781" s="27"/>
      <c r="BD4781" s="68">
        <v>46054.1666666667</v>
      </c>
      <c r="BE4781" s="68">
        <v>46082.1666666667</v>
      </c>
      <c r="BF4781" s="0" t="b">
        <v>0</v>
      </c>
      <c r="BG4781" s="0" t="b">
        <v>0</v>
      </c>
      <c r="BH4781" s="0">
        <v>59</v>
      </c>
      <c r="BI4781" s="0">
        <v>59</v>
      </c>
      <c r="BJ4781" s="0" t="s">
        <v>135</v>
      </c>
    </row>
    <row r="4782">
      <c r="A4782" s="0" t="s">
        <v>5048</v>
      </c>
      <c r="B4782" s="0" t="s">
        <v>5</v>
      </c>
      <c r="C4782" s="0" t="s">
        <v>652</v>
      </c>
      <c r="D4782" s="0" t="s">
        <v>135</v>
      </c>
      <c r="E4782" s="0" t="s">
        <v>4</v>
      </c>
      <c r="F4782" s="0" t="s">
        <v>12</v>
      </c>
      <c r="G4782" s="0" t="s">
        <v>8</v>
      </c>
      <c r="H4782" s="0">
        <v>-9</v>
      </c>
      <c r="I4782" s="0">
        <v>0</v>
      </c>
      <c r="J4782" s="0">
        <v>0</v>
      </c>
      <c r="K4782" s="0">
        <v>0</v>
      </c>
      <c r="L4782" s="0">
        <v>0</v>
      </c>
      <c r="M4782" s="0">
        <v>0</v>
      </c>
      <c r="N4782" s="0">
        <v>0</v>
      </c>
      <c r="O4782" s="0">
        <v>0</v>
      </c>
      <c r="P4782" s="0">
        <v>0</v>
      </c>
      <c r="R4782" s="0" t="b">
        <v>0</v>
      </c>
      <c r="S4782" s="0" t="b">
        <v>1</v>
      </c>
      <c r="T4782" s="68">
        <v>46063.2070717593</v>
      </c>
      <c r="U4782" s="68">
        <v>46097.3333333333</v>
      </c>
      <c r="V4782" s="68">
        <v>0</v>
      </c>
      <c r="W4782" s="0">
        <f>IF(IF(B4782="none",1,IF(B4782="Trialer",1,0))+IF(C4782="Customer",1,IF(C4782="Lost",1,0))=2,1,0)</f>
      </c>
      <c r="X4782" s="0" t="s">
        <v>1461</v>
      </c>
      <c r="Y4782" s="0" t="s">
        <v>1772</v>
      </c>
      <c r="AV4782" s="68"/>
      <c r="AW4782" s="68"/>
      <c r="AY4782" s="27"/>
      <c r="BD4782" s="68">
        <v>46054.1666666667</v>
      </c>
      <c r="BE4782" s="68">
        <v>46082.1666666667</v>
      </c>
      <c r="BF4782" s="0" t="b">
        <v>0</v>
      </c>
      <c r="BG4782" s="0" t="b">
        <v>0</v>
      </c>
      <c r="BH4782" s="0">
        <v>61</v>
      </c>
      <c r="BI4782" s="0">
        <v>61</v>
      </c>
      <c r="BJ4782" s="0" t="s">
        <v>230</v>
      </c>
    </row>
    <row r="4783">
      <c r="A4783" s="0" t="s">
        <v>5049</v>
      </c>
      <c r="B4783" s="0" t="s">
        <v>5</v>
      </c>
      <c r="C4783" s="0" t="s">
        <v>652</v>
      </c>
      <c r="D4783" s="0" t="s">
        <v>135</v>
      </c>
      <c r="E4783" s="0" t="s">
        <v>2</v>
      </c>
      <c r="F4783" s="0" t="s">
        <v>12</v>
      </c>
      <c r="G4783" s="0" t="s">
        <v>8</v>
      </c>
      <c r="H4783" s="0">
        <v>-9</v>
      </c>
      <c r="I4783" s="0">
        <v>0</v>
      </c>
      <c r="J4783" s="0">
        <v>0</v>
      </c>
      <c r="K4783" s="0">
        <v>0</v>
      </c>
      <c r="L4783" s="0">
        <v>0</v>
      </c>
      <c r="M4783" s="0">
        <v>0</v>
      </c>
      <c r="N4783" s="0">
        <v>0</v>
      </c>
      <c r="O4783" s="0">
        <v>0</v>
      </c>
      <c r="P4783" s="0">
        <v>0</v>
      </c>
      <c r="R4783" s="0" t="b">
        <v>0</v>
      </c>
      <c r="S4783" s="0" t="b">
        <v>1</v>
      </c>
      <c r="T4783" s="68">
        <v>46063.3608101852</v>
      </c>
      <c r="U4783" s="68">
        <v>0</v>
      </c>
      <c r="V4783" s="68">
        <v>0</v>
      </c>
      <c r="W4783" s="0">
        <f>IF(IF(B4783="none",1,IF(B4783="Trialer",1,0))+IF(C4783="Customer",1,IF(C4783="Lost",1,0))=2,1,0)</f>
      </c>
      <c r="X4783" s="0" t="s">
        <v>145</v>
      </c>
      <c r="Y4783" s="0" t="s">
        <v>499</v>
      </c>
      <c r="AV4783" s="68"/>
      <c r="AW4783" s="68"/>
      <c r="AY4783" s="27"/>
      <c r="BD4783" s="68">
        <v>46054.1666666667</v>
      </c>
      <c r="BE4783" s="68">
        <v>46082.1666666667</v>
      </c>
      <c r="BF4783" s="0" t="b">
        <v>0</v>
      </c>
      <c r="BG4783" s="0" t="b">
        <v>0</v>
      </c>
      <c r="BH4783" s="0">
        <v>59</v>
      </c>
      <c r="BI4783" s="0">
        <v>59</v>
      </c>
      <c r="BJ4783" s="0" t="s">
        <v>135</v>
      </c>
    </row>
    <row r="4784">
      <c r="A4784" s="0" t="s">
        <v>5050</v>
      </c>
      <c r="B4784" s="0" t="s">
        <v>5</v>
      </c>
      <c r="C4784" s="0" t="s">
        <v>652</v>
      </c>
      <c r="D4784" s="0" t="s">
        <v>135</v>
      </c>
      <c r="E4784" s="0" t="s">
        <v>3</v>
      </c>
      <c r="F4784" s="0" t="s">
        <v>12</v>
      </c>
      <c r="G4784" s="0" t="s">
        <v>8</v>
      </c>
      <c r="H4784" s="0">
        <v>-9</v>
      </c>
      <c r="I4784" s="0">
        <v>0</v>
      </c>
      <c r="J4784" s="0">
        <v>0</v>
      </c>
      <c r="K4784" s="0">
        <v>0</v>
      </c>
      <c r="L4784" s="0">
        <v>0</v>
      </c>
      <c r="M4784" s="0">
        <v>0</v>
      </c>
      <c r="N4784" s="0">
        <v>0</v>
      </c>
      <c r="O4784" s="0">
        <v>0</v>
      </c>
      <c r="P4784" s="0">
        <v>0</v>
      </c>
      <c r="R4784" s="0" t="b">
        <v>0</v>
      </c>
      <c r="S4784" s="0" t="b">
        <v>1</v>
      </c>
      <c r="T4784" s="68">
        <v>46063.3849305556</v>
      </c>
      <c r="U4784" s="68">
        <v>0</v>
      </c>
      <c r="V4784" s="68">
        <v>0</v>
      </c>
      <c r="W4784" s="0">
        <f>IF(IF(B4784="none",1,IF(B4784="Trialer",1,0))+IF(C4784="Customer",1,IF(C4784="Lost",1,0))=2,1,0)</f>
      </c>
      <c r="X4784" s="0" t="s">
        <v>882</v>
      </c>
      <c r="Y4784" s="0" t="s">
        <v>2664</v>
      </c>
      <c r="AV4784" s="68"/>
      <c r="AW4784" s="68"/>
      <c r="AY4784" s="27"/>
      <c r="BD4784" s="68">
        <v>46054.1666666667</v>
      </c>
      <c r="BE4784" s="68">
        <v>46082.1666666667</v>
      </c>
      <c r="BF4784" s="0" t="b">
        <v>0</v>
      </c>
      <c r="BG4784" s="0" t="b">
        <v>0</v>
      </c>
      <c r="BH4784" s="0">
        <v>118</v>
      </c>
      <c r="BI4784" s="0">
        <v>118</v>
      </c>
      <c r="BJ4784" s="0" t="s">
        <v>135</v>
      </c>
    </row>
    <row r="4785">
      <c r="A4785" s="0" t="s">
        <v>5051</v>
      </c>
      <c r="B4785" s="0" t="s">
        <v>5</v>
      </c>
      <c r="C4785" s="0" t="s">
        <v>652</v>
      </c>
      <c r="D4785" s="0" t="s">
        <v>135</v>
      </c>
      <c r="E4785" s="0" t="s">
        <v>3</v>
      </c>
      <c r="F4785" s="0" t="s">
        <v>12</v>
      </c>
      <c r="G4785" s="0" t="s">
        <v>8</v>
      </c>
      <c r="H4785" s="0">
        <v>-9</v>
      </c>
      <c r="I4785" s="0">
        <v>0</v>
      </c>
      <c r="J4785" s="0">
        <v>0</v>
      </c>
      <c r="K4785" s="0">
        <v>0</v>
      </c>
      <c r="L4785" s="0">
        <v>0</v>
      </c>
      <c r="M4785" s="0">
        <v>0</v>
      </c>
      <c r="N4785" s="0">
        <v>0</v>
      </c>
      <c r="O4785" s="0">
        <v>0</v>
      </c>
      <c r="P4785" s="0">
        <v>0</v>
      </c>
      <c r="R4785" s="0" t="b">
        <v>0</v>
      </c>
      <c r="S4785" s="0" t="b">
        <v>0</v>
      </c>
      <c r="T4785" s="68">
        <v>46063.4155671296</v>
      </c>
      <c r="U4785" s="68">
        <v>0</v>
      </c>
      <c r="V4785" s="68">
        <v>46064.5037962963</v>
      </c>
      <c r="W4785" s="0">
        <f>IF(IF(B4785="none",1,IF(B4785="Trialer",1,0))+IF(C4785="Customer",1,IF(C4785="Lost",1,0))=2,1,0)</f>
      </c>
      <c r="X4785" s="0" t="s">
        <v>148</v>
      </c>
      <c r="Y4785" s="0" t="s">
        <v>243</v>
      </c>
      <c r="AV4785" s="68"/>
      <c r="AW4785" s="68"/>
      <c r="AY4785" s="27"/>
      <c r="BD4785" s="68">
        <v>46054.1666666667</v>
      </c>
      <c r="BE4785" s="68">
        <v>46082.1666666667</v>
      </c>
      <c r="BF4785" s="0" t="b">
        <v>0</v>
      </c>
      <c r="BG4785" s="0" t="b">
        <v>0</v>
      </c>
      <c r="BH4785" s="0">
        <v>194</v>
      </c>
      <c r="BI4785" s="0">
        <v>194</v>
      </c>
      <c r="BJ4785" s="0" t="s">
        <v>135</v>
      </c>
    </row>
    <row r="4786">
      <c r="A4786" s="0" t="s">
        <v>5052</v>
      </c>
      <c r="B4786" s="0" t="s">
        <v>5</v>
      </c>
      <c r="C4786" s="0" t="s">
        <v>652</v>
      </c>
      <c r="D4786" s="0" t="s">
        <v>135</v>
      </c>
      <c r="E4786" s="0" t="s">
        <v>3</v>
      </c>
      <c r="F4786" s="0" t="s">
        <v>12</v>
      </c>
      <c r="G4786" s="0" t="s">
        <v>8</v>
      </c>
      <c r="H4786" s="0">
        <v>-9</v>
      </c>
      <c r="I4786" s="0">
        <v>0</v>
      </c>
      <c r="J4786" s="0">
        <v>0</v>
      </c>
      <c r="K4786" s="0">
        <v>0</v>
      </c>
      <c r="L4786" s="0">
        <v>0</v>
      </c>
      <c r="M4786" s="0">
        <v>0</v>
      </c>
      <c r="N4786" s="0">
        <v>0</v>
      </c>
      <c r="O4786" s="0">
        <v>0</v>
      </c>
      <c r="P4786" s="0">
        <v>0</v>
      </c>
      <c r="R4786" s="0" t="b">
        <v>0</v>
      </c>
      <c r="S4786" s="0" t="b">
        <v>1</v>
      </c>
      <c r="T4786" s="68">
        <v>46063.4336458333</v>
      </c>
      <c r="U4786" s="68">
        <v>0</v>
      </c>
      <c r="V4786" s="68">
        <v>0</v>
      </c>
      <c r="W4786" s="0">
        <f>IF(IF(B4786="none",1,IF(B4786="Trialer",1,0))+IF(C4786="Customer",1,IF(C4786="Lost",1,0))=2,1,0)</f>
      </c>
      <c r="X4786" s="0" t="s">
        <v>145</v>
      </c>
      <c r="Y4786" s="0" t="s">
        <v>243</v>
      </c>
      <c r="AV4786" s="68"/>
      <c r="AW4786" s="68"/>
      <c r="AY4786" s="27"/>
      <c r="BD4786" s="68">
        <v>46054.1666666667</v>
      </c>
      <c r="BE4786" s="68">
        <v>46082.1666666667</v>
      </c>
      <c r="BF4786" s="0" t="b">
        <v>0</v>
      </c>
      <c r="BG4786" s="0" t="b">
        <v>0</v>
      </c>
      <c r="BH4786" s="0">
        <v>71</v>
      </c>
      <c r="BI4786" s="0">
        <v>71</v>
      </c>
      <c r="BJ4786" s="0" t="s">
        <v>135</v>
      </c>
    </row>
    <row r="4787">
      <c r="A4787" s="0" t="s">
        <v>5053</v>
      </c>
      <c r="B4787" s="0" t="s">
        <v>5</v>
      </c>
      <c r="C4787" s="0" t="s">
        <v>652</v>
      </c>
      <c r="D4787" s="0" t="s">
        <v>135</v>
      </c>
      <c r="E4787" s="0" t="s">
        <v>3</v>
      </c>
      <c r="F4787" s="0" t="s">
        <v>12</v>
      </c>
      <c r="G4787" s="0" t="s">
        <v>8</v>
      </c>
      <c r="H4787" s="0">
        <v>-9</v>
      </c>
      <c r="I4787" s="0">
        <v>0</v>
      </c>
      <c r="J4787" s="0">
        <v>0</v>
      </c>
      <c r="K4787" s="0">
        <v>0</v>
      </c>
      <c r="L4787" s="0">
        <v>0</v>
      </c>
      <c r="M4787" s="0">
        <v>0</v>
      </c>
      <c r="N4787" s="0">
        <v>0</v>
      </c>
      <c r="O4787" s="0">
        <v>0</v>
      </c>
      <c r="P4787" s="0">
        <v>0</v>
      </c>
      <c r="R4787" s="0" t="b">
        <v>0</v>
      </c>
      <c r="S4787" s="0" t="b">
        <v>1</v>
      </c>
      <c r="T4787" s="68">
        <v>46063.4357060185</v>
      </c>
      <c r="U4787" s="68">
        <v>0</v>
      </c>
      <c r="V4787" s="68">
        <v>0</v>
      </c>
      <c r="W4787" s="0">
        <f>IF(IF(B4787="none",1,IF(B4787="Trialer",1,0))+IF(C4787="Customer",1,IF(C4787="Lost",1,0))=2,1,0)</f>
      </c>
      <c r="X4787" s="0" t="s">
        <v>136</v>
      </c>
      <c r="Y4787" s="0" t="s">
        <v>243</v>
      </c>
      <c r="AV4787" s="68"/>
      <c r="AW4787" s="68"/>
      <c r="AY4787" s="27"/>
      <c r="BD4787" s="68">
        <v>46054.1666666667</v>
      </c>
      <c r="BE4787" s="68">
        <v>46082.1666666667</v>
      </c>
      <c r="BF4787" s="0" t="b">
        <v>1</v>
      </c>
      <c r="BG4787" s="0" t="b">
        <v>0</v>
      </c>
      <c r="BH4787" s="0">
        <v>71</v>
      </c>
      <c r="BI4787" s="0">
        <v>71</v>
      </c>
      <c r="BJ4787" s="0" t="s">
        <v>135</v>
      </c>
    </row>
    <row r="4788">
      <c r="A4788" s="0" t="s">
        <v>5054</v>
      </c>
      <c r="B4788" s="0" t="s">
        <v>5</v>
      </c>
      <c r="C4788" s="0" t="s">
        <v>134</v>
      </c>
      <c r="D4788" s="0" t="s">
        <v>230</v>
      </c>
      <c r="E4788" s="0" t="s">
        <v>4</v>
      </c>
      <c r="F4788" s="0" t="s">
        <v>12</v>
      </c>
      <c r="G4788" s="0" t="s">
        <v>8</v>
      </c>
      <c r="H4788" s="0">
        <v>-9</v>
      </c>
      <c r="I4788" s="0">
        <v>77.6</v>
      </c>
      <c r="J4788" s="0">
        <v>0</v>
      </c>
      <c r="K4788" s="0">
        <v>1</v>
      </c>
      <c r="L4788" s="0">
        <v>4</v>
      </c>
      <c r="M4788" s="0">
        <v>2</v>
      </c>
      <c r="N4788" s="0">
        <v>0</v>
      </c>
      <c r="O4788" s="0">
        <v>0</v>
      </c>
      <c r="P4788" s="0">
        <v>853.6</v>
      </c>
      <c r="R4788" s="0" t="b">
        <v>0</v>
      </c>
      <c r="S4788" s="0" t="b">
        <v>1</v>
      </c>
      <c r="T4788" s="68">
        <v>46063.4781365741</v>
      </c>
      <c r="U4788" s="68">
        <v>46078.2916666667</v>
      </c>
      <c r="V4788" s="68">
        <v>0</v>
      </c>
      <c r="W4788" s="0">
        <f>IF(IF(B4788="none",1,IF(B4788="Trialer",1,0))+IF(C4788="Customer",1,IF(C4788="Lost",1,0))=2,1,0)</f>
      </c>
      <c r="X4788" s="0" t="s">
        <v>1461</v>
      </c>
      <c r="Y4788" s="0" t="s">
        <v>1772</v>
      </c>
      <c r="AV4788" s="68"/>
      <c r="AW4788" s="68"/>
      <c r="AY4788" s="27"/>
      <c r="BD4788" s="68">
        <v>46054.1666666667</v>
      </c>
      <c r="BE4788" s="68">
        <v>46082.1666666667</v>
      </c>
      <c r="BF4788" s="0" t="b">
        <v>0</v>
      </c>
      <c r="BG4788" s="0" t="b">
        <v>0</v>
      </c>
      <c r="BH4788" s="0">
        <v>89</v>
      </c>
      <c r="BI4788" s="0">
        <v>89</v>
      </c>
      <c r="BJ4788" s="0" t="s">
        <v>230</v>
      </c>
    </row>
    <row r="4789">
      <c r="A4789" s="0" t="s">
        <v>5055</v>
      </c>
      <c r="B4789" s="0" t="s">
        <v>5</v>
      </c>
      <c r="C4789" s="0" t="s">
        <v>134</v>
      </c>
      <c r="D4789" s="0" t="s">
        <v>135</v>
      </c>
      <c r="E4789" s="0" t="s">
        <v>2</v>
      </c>
      <c r="F4789" s="0" t="s">
        <v>12</v>
      </c>
      <c r="G4789" s="0" t="s">
        <v>8</v>
      </c>
      <c r="H4789" s="0">
        <v>-9</v>
      </c>
      <c r="I4789" s="0">
        <v>414</v>
      </c>
      <c r="J4789" s="0">
        <v>0</v>
      </c>
      <c r="K4789" s="0">
        <v>1</v>
      </c>
      <c r="L4789" s="0">
        <v>5</v>
      </c>
      <c r="M4789" s="0">
        <v>10</v>
      </c>
      <c r="N4789" s="0">
        <v>0</v>
      </c>
      <c r="O4789" s="0">
        <v>0</v>
      </c>
      <c r="P4789" s="0">
        <v>0</v>
      </c>
      <c r="R4789" s="0" t="b">
        <v>0</v>
      </c>
      <c r="S4789" s="0" t="b">
        <v>1</v>
      </c>
      <c r="T4789" s="68">
        <v>46063.503912037</v>
      </c>
      <c r="U4789" s="68">
        <v>46077.2916666667</v>
      </c>
      <c r="V4789" s="68">
        <v>0</v>
      </c>
      <c r="W4789" s="0">
        <f>IF(IF(B4789="none",1,IF(B4789="Trialer",1,0))+IF(C4789="Customer",1,IF(C4789="Lost",1,0))=2,1,0)</f>
      </c>
      <c r="X4789" s="0" t="s">
        <v>148</v>
      </c>
      <c r="Y4789" s="0" t="s">
        <v>499</v>
      </c>
      <c r="AV4789" s="68"/>
      <c r="AW4789" s="68"/>
      <c r="AY4789" s="27"/>
      <c r="BD4789" s="68">
        <v>46054.1666666667</v>
      </c>
      <c r="BE4789" s="68">
        <v>46082.1666666667</v>
      </c>
      <c r="BF4789" s="0" t="b">
        <v>0</v>
      </c>
      <c r="BG4789" s="0" t="b">
        <v>0</v>
      </c>
      <c r="BH4789" s="0">
        <v>470.25</v>
      </c>
      <c r="BI4789" s="0">
        <v>424.5</v>
      </c>
      <c r="BJ4789" s="0" t="s">
        <v>135</v>
      </c>
    </row>
    <row r="4790">
      <c r="A4790" s="0" t="s">
        <v>5056</v>
      </c>
      <c r="B4790" s="0" t="s">
        <v>5</v>
      </c>
      <c r="C4790" s="0" t="s">
        <v>652</v>
      </c>
      <c r="D4790" s="0" t="s">
        <v>135</v>
      </c>
      <c r="E4790" s="0" t="s">
        <v>3</v>
      </c>
      <c r="F4790" s="0" t="s">
        <v>12</v>
      </c>
      <c r="G4790" s="0" t="s">
        <v>8</v>
      </c>
      <c r="H4790" s="0">
        <v>-9</v>
      </c>
      <c r="I4790" s="0">
        <v>0</v>
      </c>
      <c r="J4790" s="0">
        <v>0</v>
      </c>
      <c r="K4790" s="0">
        <v>0</v>
      </c>
      <c r="L4790" s="0">
        <v>0</v>
      </c>
      <c r="M4790" s="0">
        <v>0</v>
      </c>
      <c r="N4790" s="0">
        <v>0</v>
      </c>
      <c r="O4790" s="0">
        <v>0</v>
      </c>
      <c r="P4790" s="0">
        <v>0</v>
      </c>
      <c r="R4790" s="0" t="b">
        <v>0</v>
      </c>
      <c r="S4790" s="0" t="b">
        <v>1</v>
      </c>
      <c r="T4790" s="68">
        <v>46063.5119560185</v>
      </c>
      <c r="U4790" s="68">
        <v>0</v>
      </c>
      <c r="V4790" s="68">
        <v>0</v>
      </c>
      <c r="W4790" s="0">
        <f>IF(IF(B4790="none",1,IF(B4790="Trialer",1,0))+IF(C4790="Customer",1,IF(C4790="Lost",1,0))=2,1,0)</f>
      </c>
      <c r="X4790" s="0" t="s">
        <v>136</v>
      </c>
      <c r="Y4790" s="0" t="s">
        <v>243</v>
      </c>
      <c r="AV4790" s="68"/>
      <c r="AW4790" s="68"/>
      <c r="AY4790" s="27"/>
      <c r="BD4790" s="68">
        <v>46054.1666666667</v>
      </c>
      <c r="BE4790" s="68">
        <v>46082.1666666667</v>
      </c>
      <c r="BF4790" s="0" t="b">
        <v>0</v>
      </c>
      <c r="BG4790" s="0" t="b">
        <v>0</v>
      </c>
      <c r="BH4790" s="0">
        <v>158</v>
      </c>
      <c r="BI4790" s="0">
        <v>158</v>
      </c>
      <c r="BJ4790" s="0" t="s">
        <v>135</v>
      </c>
    </row>
    <row r="4791">
      <c r="A4791" s="0" t="s">
        <v>5057</v>
      </c>
      <c r="B4791" s="0" t="s">
        <v>5</v>
      </c>
      <c r="C4791" s="0" t="s">
        <v>652</v>
      </c>
      <c r="D4791" s="0" t="s">
        <v>135</v>
      </c>
      <c r="E4791" s="0" t="s">
        <v>3</v>
      </c>
      <c r="F4791" s="0" t="s">
        <v>12</v>
      </c>
      <c r="G4791" s="0" t="s">
        <v>8</v>
      </c>
      <c r="H4791" s="0">
        <v>-9</v>
      </c>
      <c r="I4791" s="0">
        <v>0</v>
      </c>
      <c r="J4791" s="0">
        <v>0</v>
      </c>
      <c r="K4791" s="0">
        <v>0</v>
      </c>
      <c r="L4791" s="0">
        <v>0</v>
      </c>
      <c r="M4791" s="0">
        <v>0</v>
      </c>
      <c r="N4791" s="0">
        <v>0</v>
      </c>
      <c r="O4791" s="0">
        <v>0</v>
      </c>
      <c r="P4791" s="0">
        <v>0</v>
      </c>
      <c r="R4791" s="0" t="b">
        <v>0</v>
      </c>
      <c r="S4791" s="0" t="b">
        <v>1</v>
      </c>
      <c r="T4791" s="68">
        <v>46063.5392361111</v>
      </c>
      <c r="U4791" s="68">
        <v>0</v>
      </c>
      <c r="V4791" s="68">
        <v>0</v>
      </c>
      <c r="W4791" s="0">
        <f>IF(IF(B4791="none",1,IF(B4791="Trialer",1,0))+IF(C4791="Customer",1,IF(C4791="Lost",1,0))=2,1,0)</f>
      </c>
      <c r="X4791" s="0" t="s">
        <v>145</v>
      </c>
      <c r="Y4791" s="0" t="s">
        <v>243</v>
      </c>
      <c r="AV4791" s="68"/>
      <c r="AW4791" s="68"/>
      <c r="AY4791" s="27"/>
      <c r="BD4791" s="68">
        <v>46054.1666666667</v>
      </c>
      <c r="BE4791" s="68">
        <v>46082.1666666667</v>
      </c>
      <c r="BF4791" s="0" t="b">
        <v>0</v>
      </c>
      <c r="BG4791" s="0" t="b">
        <v>0</v>
      </c>
      <c r="BH4791" s="0">
        <v>59</v>
      </c>
      <c r="BI4791" s="0">
        <v>59</v>
      </c>
      <c r="BJ4791" s="0" t="s">
        <v>135</v>
      </c>
    </row>
    <row r="4792">
      <c r="A4792" s="0" t="s">
        <v>5058</v>
      </c>
      <c r="B4792" s="0" t="s">
        <v>5</v>
      </c>
      <c r="C4792" s="0" t="s">
        <v>652</v>
      </c>
      <c r="D4792" s="0" t="s">
        <v>135</v>
      </c>
      <c r="E4792" s="0" t="s">
        <v>2414</v>
      </c>
      <c r="F4792" s="0" t="s">
        <v>12</v>
      </c>
      <c r="G4792" s="0" t="s">
        <v>8</v>
      </c>
      <c r="H4792" s="0">
        <v>-9</v>
      </c>
      <c r="I4792" s="0">
        <v>0</v>
      </c>
      <c r="J4792" s="0">
        <v>0</v>
      </c>
      <c r="K4792" s="0">
        <v>0</v>
      </c>
      <c r="L4792" s="0">
        <v>0</v>
      </c>
      <c r="M4792" s="0">
        <v>0</v>
      </c>
      <c r="N4792" s="0">
        <v>0</v>
      </c>
      <c r="O4792" s="0">
        <v>0</v>
      </c>
      <c r="P4792" s="0">
        <v>0</v>
      </c>
      <c r="R4792" s="0" t="b">
        <v>0</v>
      </c>
      <c r="S4792" s="0" t="b">
        <v>1</v>
      </c>
      <c r="T4792" s="68">
        <v>46063.5690277778</v>
      </c>
      <c r="U4792" s="68">
        <v>0</v>
      </c>
      <c r="V4792" s="68">
        <v>0</v>
      </c>
      <c r="W4792" s="0">
        <f>IF(IF(B4792="none",1,IF(B4792="Trialer",1,0))+IF(C4792="Customer",1,IF(C4792="Lost",1,0))=2,1,0)</f>
      </c>
      <c r="X4792" s="0" t="s">
        <v>148</v>
      </c>
      <c r="Y4792" s="0" t="s">
        <v>1516</v>
      </c>
      <c r="AV4792" s="68"/>
      <c r="AW4792" s="68"/>
      <c r="AY4792" s="27"/>
      <c r="BD4792" s="68">
        <v>46054.1666666667</v>
      </c>
      <c r="BE4792" s="68">
        <v>46082.1666666667</v>
      </c>
      <c r="BF4792" s="0" t="b">
        <v>0</v>
      </c>
      <c r="BG4792" s="0" t="b">
        <v>0</v>
      </c>
      <c r="BH4792" s="0">
        <v>59</v>
      </c>
      <c r="BI4792" s="0">
        <v>59</v>
      </c>
      <c r="BJ4792" s="0" t="s">
        <v>135</v>
      </c>
    </row>
    <row r="4793">
      <c r="A4793" s="0" t="s">
        <v>5059</v>
      </c>
      <c r="B4793" s="0" t="s">
        <v>5</v>
      </c>
      <c r="C4793" s="0" t="s">
        <v>134</v>
      </c>
      <c r="D4793" s="0" t="s">
        <v>135</v>
      </c>
      <c r="E4793" s="0" t="s">
        <v>3</v>
      </c>
      <c r="F4793" s="0" t="s">
        <v>12</v>
      </c>
      <c r="G4793" s="0" t="s">
        <v>8</v>
      </c>
      <c r="H4793" s="0">
        <v>-9</v>
      </c>
      <c r="I4793" s="0">
        <v>59</v>
      </c>
      <c r="J4793" s="0">
        <v>0</v>
      </c>
      <c r="K4793" s="0">
        <v>1</v>
      </c>
      <c r="L4793" s="0">
        <v>3</v>
      </c>
      <c r="M4793" s="0">
        <v>1</v>
      </c>
      <c r="N4793" s="0">
        <v>0</v>
      </c>
      <c r="O4793" s="0">
        <v>0</v>
      </c>
      <c r="P4793" s="0">
        <v>0</v>
      </c>
      <c r="R4793" s="0" t="b">
        <v>0</v>
      </c>
      <c r="S4793" s="0" t="b">
        <v>1</v>
      </c>
      <c r="T4793" s="68">
        <v>46063.5811574074</v>
      </c>
      <c r="U4793" s="68">
        <v>46077.2916666667</v>
      </c>
      <c r="V4793" s="68">
        <v>0</v>
      </c>
      <c r="W4793" s="0">
        <f>IF(IF(B4793="none",1,IF(B4793="Trialer",1,0))+IF(C4793="Customer",1,IF(C4793="Lost",1,0))=2,1,0)</f>
      </c>
      <c r="X4793" s="0" t="s">
        <v>1461</v>
      </c>
      <c r="Y4793" s="0" t="s">
        <v>243</v>
      </c>
      <c r="AV4793" s="68"/>
      <c r="AW4793" s="68"/>
      <c r="AY4793" s="27"/>
      <c r="BD4793" s="68">
        <v>46054.1666666667</v>
      </c>
      <c r="BE4793" s="68">
        <v>46082.1666666667</v>
      </c>
      <c r="BF4793" s="0" t="b">
        <v>0</v>
      </c>
      <c r="BG4793" s="0" t="b">
        <v>0</v>
      </c>
      <c r="BH4793" s="0">
        <v>59</v>
      </c>
      <c r="BI4793" s="0">
        <v>59</v>
      </c>
      <c r="BJ4793" s="0" t="s">
        <v>135</v>
      </c>
    </row>
    <row r="4794">
      <c r="A4794" s="0" t="s">
        <v>5060</v>
      </c>
      <c r="B4794" s="0" t="s">
        <v>5</v>
      </c>
      <c r="C4794" s="0" t="s">
        <v>652</v>
      </c>
      <c r="D4794" s="0" t="s">
        <v>135</v>
      </c>
      <c r="E4794" s="0" t="s">
        <v>1515</v>
      </c>
      <c r="F4794" s="0" t="s">
        <v>12</v>
      </c>
      <c r="G4794" s="0" t="s">
        <v>8</v>
      </c>
      <c r="H4794" s="0">
        <v>-9</v>
      </c>
      <c r="I4794" s="0">
        <v>0</v>
      </c>
      <c r="J4794" s="0">
        <v>0</v>
      </c>
      <c r="K4794" s="0">
        <v>0</v>
      </c>
      <c r="L4794" s="0">
        <v>0</v>
      </c>
      <c r="M4794" s="0">
        <v>0</v>
      </c>
      <c r="N4794" s="0">
        <v>0</v>
      </c>
      <c r="O4794" s="0">
        <v>0</v>
      </c>
      <c r="P4794" s="0">
        <v>0</v>
      </c>
      <c r="R4794" s="0" t="b">
        <v>0</v>
      </c>
      <c r="S4794" s="0" t="b">
        <v>1</v>
      </c>
      <c r="T4794" s="68">
        <v>46063.5957986111</v>
      </c>
      <c r="U4794" s="68">
        <v>0</v>
      </c>
      <c r="V4794" s="68">
        <v>0</v>
      </c>
      <c r="W4794" s="0">
        <f>IF(IF(B4794="none",1,IF(B4794="Trialer",1,0))+IF(C4794="Customer",1,IF(C4794="Lost",1,0))=2,1,0)</f>
      </c>
      <c r="X4794" s="0" t="s">
        <v>136</v>
      </c>
      <c r="Y4794" s="0" t="s">
        <v>1516</v>
      </c>
      <c r="AV4794" s="68"/>
      <c r="AW4794" s="68"/>
      <c r="AY4794" s="27"/>
      <c r="BD4794" s="68">
        <v>46054.1666666667</v>
      </c>
      <c r="BE4794" s="68">
        <v>46082.1666666667</v>
      </c>
      <c r="BF4794" s="0" t="b">
        <v>0</v>
      </c>
      <c r="BG4794" s="0" t="b">
        <v>0</v>
      </c>
      <c r="BH4794" s="0">
        <v>59</v>
      </c>
      <c r="BI4794" s="0">
        <v>59</v>
      </c>
      <c r="BJ4794" s="0" t="s">
        <v>135</v>
      </c>
    </row>
    <row r="4795">
      <c r="A4795" s="0" t="s">
        <v>5061</v>
      </c>
      <c r="B4795" s="0" t="s">
        <v>5</v>
      </c>
      <c r="C4795" s="0" t="s">
        <v>652</v>
      </c>
      <c r="D4795" s="0" t="s">
        <v>135</v>
      </c>
      <c r="E4795" s="0" t="s">
        <v>3</v>
      </c>
      <c r="F4795" s="0" t="s">
        <v>12</v>
      </c>
      <c r="G4795" s="0" t="s">
        <v>8</v>
      </c>
      <c r="H4795" s="0">
        <v>-9</v>
      </c>
      <c r="I4795" s="0">
        <v>0</v>
      </c>
      <c r="J4795" s="0">
        <v>0</v>
      </c>
      <c r="K4795" s="0">
        <v>0</v>
      </c>
      <c r="L4795" s="0">
        <v>0</v>
      </c>
      <c r="M4795" s="0">
        <v>0</v>
      </c>
      <c r="N4795" s="0">
        <v>0</v>
      </c>
      <c r="O4795" s="0">
        <v>0</v>
      </c>
      <c r="P4795" s="0">
        <v>0</v>
      </c>
      <c r="R4795" s="0" t="b">
        <v>0</v>
      </c>
      <c r="S4795" s="0" t="b">
        <v>1</v>
      </c>
      <c r="T4795" s="68">
        <v>46063.6009259259</v>
      </c>
      <c r="U4795" s="68">
        <v>0</v>
      </c>
      <c r="V4795" s="68">
        <v>0</v>
      </c>
      <c r="W4795" s="0">
        <f>IF(IF(B4795="none",1,IF(B4795="Trialer",1,0))+IF(C4795="Customer",1,IF(C4795="Lost",1,0))=2,1,0)</f>
      </c>
      <c r="X4795" s="0" t="s">
        <v>148</v>
      </c>
      <c r="Y4795" s="0" t="s">
        <v>243</v>
      </c>
      <c r="AV4795" s="68"/>
      <c r="AW4795" s="68"/>
      <c r="AY4795" s="27"/>
      <c r="BD4795" s="68">
        <v>46054.1666666667</v>
      </c>
      <c r="BE4795" s="68">
        <v>46082.1666666667</v>
      </c>
      <c r="BF4795" s="0" t="b">
        <v>0</v>
      </c>
      <c r="BG4795" s="0" t="b">
        <v>0</v>
      </c>
      <c r="BH4795" s="0">
        <v>59</v>
      </c>
      <c r="BI4795" s="0">
        <v>59</v>
      </c>
      <c r="BJ4795" s="0" t="s">
        <v>135</v>
      </c>
    </row>
    <row r="4796">
      <c r="A4796" s="0" t="s">
        <v>5062</v>
      </c>
      <c r="B4796" s="0" t="s">
        <v>5</v>
      </c>
      <c r="C4796" s="0" t="s">
        <v>134</v>
      </c>
      <c r="D4796" s="0" t="s">
        <v>230</v>
      </c>
      <c r="E4796" s="0" t="s">
        <v>2</v>
      </c>
      <c r="F4796" s="0" t="s">
        <v>12</v>
      </c>
      <c r="G4796" s="0" t="s">
        <v>8</v>
      </c>
      <c r="H4796" s="0">
        <v>-9</v>
      </c>
      <c r="I4796" s="0">
        <v>107.2</v>
      </c>
      <c r="J4796" s="0">
        <v>0</v>
      </c>
      <c r="K4796" s="0">
        <v>1</v>
      </c>
      <c r="L4796" s="0">
        <v>4</v>
      </c>
      <c r="M4796" s="0">
        <v>2</v>
      </c>
      <c r="N4796" s="0">
        <v>0</v>
      </c>
      <c r="O4796" s="0">
        <v>0</v>
      </c>
      <c r="P4796" s="0">
        <v>1179.2</v>
      </c>
      <c r="R4796" s="0" t="b">
        <v>0</v>
      </c>
      <c r="S4796" s="0" t="b">
        <v>1</v>
      </c>
      <c r="T4796" s="68">
        <v>46063.6177893519</v>
      </c>
      <c r="U4796" s="68">
        <v>46078.2916666667</v>
      </c>
      <c r="V4796" s="68">
        <v>0</v>
      </c>
      <c r="W4796" s="0">
        <f>IF(IF(B4796="none",1,IF(B4796="Trialer",1,0))+IF(C4796="Customer",1,IF(C4796="Lost",1,0))=2,1,0)</f>
      </c>
      <c r="X4796" s="0" t="s">
        <v>1461</v>
      </c>
      <c r="Y4796" s="0" t="s">
        <v>499</v>
      </c>
      <c r="AV4796" s="68"/>
      <c r="AW4796" s="68"/>
      <c r="AY4796" s="27"/>
      <c r="BD4796" s="68">
        <v>46054.1666666667</v>
      </c>
      <c r="BE4796" s="68">
        <v>46082.1666666667</v>
      </c>
      <c r="BF4796" s="0" t="b">
        <v>0</v>
      </c>
      <c r="BG4796" s="0" t="b">
        <v>0</v>
      </c>
      <c r="BH4796" s="0">
        <v>120</v>
      </c>
      <c r="BI4796" s="0">
        <v>120</v>
      </c>
      <c r="BJ4796" s="0" t="s">
        <v>230</v>
      </c>
    </row>
    <row r="4797">
      <c r="A4797" s="0" t="s">
        <v>5063</v>
      </c>
      <c r="B4797" s="0" t="s">
        <v>5</v>
      </c>
      <c r="C4797" s="0" t="s">
        <v>652</v>
      </c>
      <c r="D4797" s="0" t="s">
        <v>135</v>
      </c>
      <c r="E4797" s="0" t="s">
        <v>3</v>
      </c>
      <c r="F4797" s="0" t="s">
        <v>12</v>
      </c>
      <c r="G4797" s="0" t="s">
        <v>8</v>
      </c>
      <c r="H4797" s="0">
        <v>-9</v>
      </c>
      <c r="I4797" s="0">
        <v>0</v>
      </c>
      <c r="J4797" s="0">
        <v>0</v>
      </c>
      <c r="K4797" s="0">
        <v>0</v>
      </c>
      <c r="L4797" s="0">
        <v>0</v>
      </c>
      <c r="M4797" s="0">
        <v>0</v>
      </c>
      <c r="N4797" s="0">
        <v>0</v>
      </c>
      <c r="O4797" s="0">
        <v>0</v>
      </c>
      <c r="P4797" s="0">
        <v>0</v>
      </c>
      <c r="R4797" s="0" t="b">
        <v>0</v>
      </c>
      <c r="S4797" s="0" t="b">
        <v>1</v>
      </c>
      <c r="T4797" s="68">
        <v>46063.6302199074</v>
      </c>
      <c r="U4797" s="68">
        <v>0</v>
      </c>
      <c r="V4797" s="68">
        <v>0</v>
      </c>
      <c r="W4797" s="0">
        <f>IF(IF(B4797="none",1,IF(B4797="Trialer",1,0))+IF(C4797="Customer",1,IF(C4797="Lost",1,0))=2,1,0)</f>
      </c>
      <c r="X4797" s="0" t="s">
        <v>148</v>
      </c>
      <c r="Y4797" s="0" t="s">
        <v>243</v>
      </c>
      <c r="AV4797" s="68"/>
      <c r="AW4797" s="68"/>
      <c r="AY4797" s="27"/>
      <c r="BD4797" s="68">
        <v>46054.1666666667</v>
      </c>
      <c r="BE4797" s="68">
        <v>46082.1666666667</v>
      </c>
      <c r="BF4797" s="0" t="b">
        <v>0</v>
      </c>
      <c r="BG4797" s="0" t="b">
        <v>0</v>
      </c>
      <c r="BH4797" s="0">
        <v>142</v>
      </c>
      <c r="BI4797" s="0">
        <v>142</v>
      </c>
      <c r="BJ4797" s="0" t="s">
        <v>135</v>
      </c>
    </row>
    <row r="4798">
      <c r="A4798" s="0" t="s">
        <v>5064</v>
      </c>
      <c r="B4798" s="0" t="s">
        <v>5</v>
      </c>
      <c r="C4798" s="0" t="s">
        <v>652</v>
      </c>
      <c r="D4798" s="0" t="s">
        <v>135</v>
      </c>
      <c r="E4798" s="0" t="s">
        <v>3</v>
      </c>
      <c r="F4798" s="0" t="s">
        <v>12</v>
      </c>
      <c r="G4798" s="0" t="s">
        <v>8</v>
      </c>
      <c r="H4798" s="0">
        <v>-9</v>
      </c>
      <c r="I4798" s="0">
        <v>0</v>
      </c>
      <c r="J4798" s="0">
        <v>0</v>
      </c>
      <c r="K4798" s="0">
        <v>0</v>
      </c>
      <c r="L4798" s="0">
        <v>0</v>
      </c>
      <c r="M4798" s="0">
        <v>0</v>
      </c>
      <c r="N4798" s="0">
        <v>0</v>
      </c>
      <c r="O4798" s="0">
        <v>0</v>
      </c>
      <c r="P4798" s="0">
        <v>0</v>
      </c>
      <c r="R4798" s="0" t="b">
        <v>0</v>
      </c>
      <c r="S4798" s="0" t="b">
        <v>0</v>
      </c>
      <c r="T4798" s="68">
        <v>46063.6440625</v>
      </c>
      <c r="U4798" s="68">
        <v>0</v>
      </c>
      <c r="V4798" s="68">
        <v>46080.5302314815</v>
      </c>
      <c r="W4798" s="0">
        <f>IF(IF(B4798="none",1,IF(B4798="Trialer",1,0))+IF(C4798="Customer",1,IF(C4798="Lost",1,0))=2,1,0)</f>
      </c>
      <c r="X4798" s="0" t="s">
        <v>136</v>
      </c>
      <c r="Y4798" s="0" t="s">
        <v>243</v>
      </c>
      <c r="AV4798" s="68"/>
      <c r="AW4798" s="68"/>
      <c r="AY4798" s="27"/>
      <c r="BD4798" s="68">
        <v>46054.1666666667</v>
      </c>
      <c r="BE4798" s="68">
        <v>46082.1666666667</v>
      </c>
      <c r="BF4798" s="0" t="b">
        <v>0</v>
      </c>
      <c r="BG4798" s="0" t="b">
        <v>0</v>
      </c>
      <c r="BH4798" s="0">
        <v>268</v>
      </c>
      <c r="BI4798" s="0">
        <v>268</v>
      </c>
      <c r="BJ4798" s="0" t="s">
        <v>135</v>
      </c>
    </row>
    <row r="4799">
      <c r="A4799" s="0" t="s">
        <v>5065</v>
      </c>
      <c r="B4799" s="0" t="s">
        <v>5</v>
      </c>
      <c r="C4799" s="0" t="s">
        <v>652</v>
      </c>
      <c r="D4799" s="0" t="s">
        <v>135</v>
      </c>
      <c r="E4799" s="0" t="s">
        <v>3</v>
      </c>
      <c r="F4799" s="0" t="s">
        <v>12</v>
      </c>
      <c r="G4799" s="0" t="s">
        <v>8</v>
      </c>
      <c r="H4799" s="0">
        <v>-9</v>
      </c>
      <c r="I4799" s="0">
        <v>0</v>
      </c>
      <c r="J4799" s="0">
        <v>0</v>
      </c>
      <c r="K4799" s="0">
        <v>0</v>
      </c>
      <c r="L4799" s="0">
        <v>0</v>
      </c>
      <c r="M4799" s="0">
        <v>0</v>
      </c>
      <c r="N4799" s="0">
        <v>0</v>
      </c>
      <c r="O4799" s="0">
        <v>0</v>
      </c>
      <c r="P4799" s="0">
        <v>0</v>
      </c>
      <c r="R4799" s="0" t="b">
        <v>0</v>
      </c>
      <c r="S4799" s="0" t="b">
        <v>1</v>
      </c>
      <c r="T4799" s="68">
        <v>46063.6472916667</v>
      </c>
      <c r="U4799" s="68">
        <v>0</v>
      </c>
      <c r="V4799" s="68">
        <v>0</v>
      </c>
      <c r="W4799" s="0">
        <f>IF(IF(B4799="none",1,IF(B4799="Trialer",1,0))+IF(C4799="Customer",1,IF(C4799="Lost",1,0))=2,1,0)</f>
      </c>
      <c r="X4799" s="0" t="s">
        <v>136</v>
      </c>
      <c r="Y4799" s="0" t="s">
        <v>243</v>
      </c>
      <c r="AV4799" s="68"/>
      <c r="AW4799" s="68"/>
      <c r="AY4799" s="27"/>
      <c r="BD4799" s="68">
        <v>46054.1666666667</v>
      </c>
      <c r="BE4799" s="68">
        <v>46082.1666666667</v>
      </c>
      <c r="BF4799" s="0" t="b">
        <v>0</v>
      </c>
      <c r="BG4799" s="0" t="b">
        <v>0</v>
      </c>
      <c r="BH4799" s="0">
        <v>59</v>
      </c>
      <c r="BI4799" s="0">
        <v>59</v>
      </c>
      <c r="BJ4799" s="0" t="s">
        <v>135</v>
      </c>
    </row>
    <row r="4800">
      <c r="A4800" s="0" t="s">
        <v>5066</v>
      </c>
      <c r="B4800" s="0" t="s">
        <v>5</v>
      </c>
      <c r="C4800" s="0" t="s">
        <v>652</v>
      </c>
      <c r="D4800" s="0" t="s">
        <v>135</v>
      </c>
      <c r="E4800" s="0" t="s">
        <v>3</v>
      </c>
      <c r="F4800" s="0" t="s">
        <v>12</v>
      </c>
      <c r="G4800" s="0" t="s">
        <v>8</v>
      </c>
      <c r="H4800" s="0">
        <v>-9</v>
      </c>
      <c r="I4800" s="0">
        <v>0</v>
      </c>
      <c r="J4800" s="0">
        <v>0</v>
      </c>
      <c r="K4800" s="0">
        <v>0</v>
      </c>
      <c r="L4800" s="0">
        <v>0</v>
      </c>
      <c r="M4800" s="0">
        <v>0</v>
      </c>
      <c r="N4800" s="0">
        <v>0</v>
      </c>
      <c r="O4800" s="0">
        <v>0</v>
      </c>
      <c r="P4800" s="0">
        <v>0</v>
      </c>
      <c r="R4800" s="0" t="b">
        <v>0</v>
      </c>
      <c r="S4800" s="0" t="b">
        <v>1</v>
      </c>
      <c r="T4800" s="68">
        <v>46063.6531828704</v>
      </c>
      <c r="U4800" s="68">
        <v>46087.2916666667</v>
      </c>
      <c r="V4800" s="68">
        <v>0</v>
      </c>
      <c r="W4800" s="0">
        <f>IF(IF(B4800="none",1,IF(B4800="Trialer",1,0))+IF(C4800="Customer",1,IF(C4800="Lost",1,0))=2,1,0)</f>
      </c>
      <c r="X4800" s="0" t="s">
        <v>1461</v>
      </c>
      <c r="Y4800" s="0" t="s">
        <v>243</v>
      </c>
      <c r="AV4800" s="68"/>
      <c r="AW4800" s="68"/>
      <c r="AY4800" s="27"/>
      <c r="BD4800" s="68">
        <v>46054.1666666667</v>
      </c>
      <c r="BE4800" s="68">
        <v>46082.1666666667</v>
      </c>
      <c r="BF4800" s="0" t="b">
        <v>0</v>
      </c>
      <c r="BG4800" s="0" t="b">
        <v>0</v>
      </c>
      <c r="BH4800" s="0">
        <v>59</v>
      </c>
      <c r="BI4800" s="0">
        <v>59</v>
      </c>
      <c r="BJ4800" s="0" t="s">
        <v>135</v>
      </c>
    </row>
    <row r="4801">
      <c r="A4801" s="0" t="s">
        <v>5067</v>
      </c>
      <c r="B4801" s="0" t="s">
        <v>5</v>
      </c>
      <c r="C4801" s="0" t="s">
        <v>652</v>
      </c>
      <c r="D4801" s="0" t="s">
        <v>135</v>
      </c>
      <c r="E4801" s="0" t="s">
        <v>3</v>
      </c>
      <c r="F4801" s="0" t="s">
        <v>12</v>
      </c>
      <c r="G4801" s="0" t="s">
        <v>8</v>
      </c>
      <c r="H4801" s="0">
        <v>-9</v>
      </c>
      <c r="I4801" s="0">
        <v>0</v>
      </c>
      <c r="J4801" s="0">
        <v>0</v>
      </c>
      <c r="K4801" s="0">
        <v>0</v>
      </c>
      <c r="L4801" s="0">
        <v>0</v>
      </c>
      <c r="M4801" s="0">
        <v>0</v>
      </c>
      <c r="N4801" s="0">
        <v>0</v>
      </c>
      <c r="O4801" s="0">
        <v>0</v>
      </c>
      <c r="P4801" s="0">
        <v>0</v>
      </c>
      <c r="R4801" s="0" t="b">
        <v>0</v>
      </c>
      <c r="S4801" s="0" t="b">
        <v>1</v>
      </c>
      <c r="T4801" s="68">
        <v>46063.6672916667</v>
      </c>
      <c r="U4801" s="68">
        <v>0</v>
      </c>
      <c r="V4801" s="68">
        <v>0</v>
      </c>
      <c r="W4801" s="0">
        <f>IF(IF(B4801="none",1,IF(B4801="Trialer",1,0))+IF(C4801="Customer",1,IF(C4801="Lost",1,0))=2,1,0)</f>
      </c>
      <c r="X4801" s="0" t="s">
        <v>136</v>
      </c>
      <c r="Y4801" s="0" t="s">
        <v>243</v>
      </c>
      <c r="AV4801" s="68"/>
      <c r="AW4801" s="68"/>
      <c r="AY4801" s="27"/>
      <c r="BD4801" s="68">
        <v>46054.1666666667</v>
      </c>
      <c r="BE4801" s="68">
        <v>46082.1666666667</v>
      </c>
      <c r="BF4801" s="0" t="b">
        <v>0</v>
      </c>
      <c r="BG4801" s="0" t="b">
        <v>0</v>
      </c>
      <c r="BH4801" s="0">
        <v>59</v>
      </c>
      <c r="BI4801" s="0">
        <v>59</v>
      </c>
      <c r="BJ4801" s="0" t="s">
        <v>135</v>
      </c>
    </row>
    <row r="4802">
      <c r="A4802" s="0" t="s">
        <v>5068</v>
      </c>
      <c r="B4802" s="0" t="s">
        <v>5</v>
      </c>
      <c r="C4802" s="0" t="s">
        <v>652</v>
      </c>
      <c r="D4802" s="0" t="s">
        <v>135</v>
      </c>
      <c r="E4802" s="0" t="s">
        <v>3</v>
      </c>
      <c r="F4802" s="0" t="s">
        <v>12</v>
      </c>
      <c r="G4802" s="0" t="s">
        <v>8</v>
      </c>
      <c r="H4802" s="0">
        <v>-9</v>
      </c>
      <c r="I4802" s="0">
        <v>0</v>
      </c>
      <c r="J4802" s="0">
        <v>0</v>
      </c>
      <c r="K4802" s="0">
        <v>0</v>
      </c>
      <c r="L4802" s="0">
        <v>0</v>
      </c>
      <c r="M4802" s="0">
        <v>0</v>
      </c>
      <c r="N4802" s="0">
        <v>0</v>
      </c>
      <c r="O4802" s="0">
        <v>0</v>
      </c>
      <c r="P4802" s="0">
        <v>0</v>
      </c>
      <c r="R4802" s="0" t="b">
        <v>0</v>
      </c>
      <c r="S4802" s="0" t="b">
        <v>0</v>
      </c>
      <c r="T4802" s="68">
        <v>46063.6732638889</v>
      </c>
      <c r="U4802" s="68">
        <v>0</v>
      </c>
      <c r="V4802" s="68">
        <v>46063.6780902778</v>
      </c>
      <c r="W4802" s="0">
        <f>IF(IF(B4802="none",1,IF(B4802="Trialer",1,0))+IF(C4802="Customer",1,IF(C4802="Lost",1,0))=2,1,0)</f>
      </c>
      <c r="X4802" s="0" t="s">
        <v>148</v>
      </c>
      <c r="Y4802" s="0" t="s">
        <v>243</v>
      </c>
      <c r="AV4802" s="68"/>
      <c r="AW4802" s="68"/>
      <c r="AY4802" s="27"/>
      <c r="BD4802" s="68">
        <v>46054.1666666667</v>
      </c>
      <c r="BE4802" s="68">
        <v>46082.1666666667</v>
      </c>
      <c r="BF4802" s="0" t="b">
        <v>0</v>
      </c>
      <c r="BG4802" s="0" t="b">
        <v>0</v>
      </c>
      <c r="BH4802" s="0">
        <v>73</v>
      </c>
      <c r="BI4802" s="0">
        <v>0</v>
      </c>
      <c r="BJ4802" s="0" t="s">
        <v>135</v>
      </c>
    </row>
    <row r="4803">
      <c r="A4803" s="0" t="s">
        <v>5069</v>
      </c>
      <c r="B4803" s="0" t="s">
        <v>5</v>
      </c>
      <c r="C4803" s="0" t="s">
        <v>652</v>
      </c>
      <c r="D4803" s="0" t="s">
        <v>135</v>
      </c>
      <c r="E4803" s="0" t="s">
        <v>3</v>
      </c>
      <c r="F4803" s="0" t="s">
        <v>12</v>
      </c>
      <c r="G4803" s="0" t="s">
        <v>8</v>
      </c>
      <c r="H4803" s="0">
        <v>-9</v>
      </c>
      <c r="I4803" s="0">
        <v>0</v>
      </c>
      <c r="J4803" s="0">
        <v>0</v>
      </c>
      <c r="K4803" s="0">
        <v>0</v>
      </c>
      <c r="L4803" s="0">
        <v>0</v>
      </c>
      <c r="M4803" s="0">
        <v>0</v>
      </c>
      <c r="N4803" s="0">
        <v>0</v>
      </c>
      <c r="O4803" s="0">
        <v>0</v>
      </c>
      <c r="P4803" s="0">
        <v>0</v>
      </c>
      <c r="R4803" s="0" t="b">
        <v>0</v>
      </c>
      <c r="S4803" s="0" t="b">
        <v>1</v>
      </c>
      <c r="T4803" s="68">
        <v>46063.7000462963</v>
      </c>
      <c r="U4803" s="68">
        <v>0</v>
      </c>
      <c r="V4803" s="68">
        <v>0</v>
      </c>
      <c r="W4803" s="0">
        <f>IF(IF(B4803="none",1,IF(B4803="Trialer",1,0))+IF(C4803="Customer",1,IF(C4803="Lost",1,0))=2,1,0)</f>
      </c>
      <c r="X4803" s="0" t="s">
        <v>882</v>
      </c>
      <c r="Y4803" s="0" t="s">
        <v>243</v>
      </c>
      <c r="AV4803" s="68"/>
      <c r="AW4803" s="68"/>
      <c r="AY4803" s="27"/>
      <c r="BD4803" s="68">
        <v>46054.1666666667</v>
      </c>
      <c r="BE4803" s="68">
        <v>46082.1666666667</v>
      </c>
      <c r="BF4803" s="0" t="b">
        <v>0</v>
      </c>
      <c r="BG4803" s="0" t="b">
        <v>0</v>
      </c>
      <c r="BH4803" s="0">
        <v>59</v>
      </c>
      <c r="BI4803" s="0">
        <v>59</v>
      </c>
      <c r="BJ4803" s="0" t="s">
        <v>135</v>
      </c>
    </row>
    <row r="4804">
      <c r="A4804" s="0" t="s">
        <v>5070</v>
      </c>
      <c r="B4804" s="0" t="s">
        <v>5</v>
      </c>
      <c r="C4804" s="0" t="s">
        <v>652</v>
      </c>
      <c r="D4804" s="0" t="s">
        <v>135</v>
      </c>
      <c r="E4804" s="0" t="s">
        <v>3</v>
      </c>
      <c r="F4804" s="0" t="s">
        <v>12</v>
      </c>
      <c r="G4804" s="0" t="s">
        <v>8</v>
      </c>
      <c r="H4804" s="0">
        <v>-9</v>
      </c>
      <c r="I4804" s="0">
        <v>0</v>
      </c>
      <c r="J4804" s="0">
        <v>0</v>
      </c>
      <c r="K4804" s="0">
        <v>0</v>
      </c>
      <c r="L4804" s="0">
        <v>0</v>
      </c>
      <c r="M4804" s="0">
        <v>0</v>
      </c>
      <c r="N4804" s="0">
        <v>0</v>
      </c>
      <c r="O4804" s="0">
        <v>0</v>
      </c>
      <c r="P4804" s="0">
        <v>0</v>
      </c>
      <c r="R4804" s="0" t="b">
        <v>0</v>
      </c>
      <c r="S4804" s="0" t="b">
        <v>0</v>
      </c>
      <c r="T4804" s="68">
        <v>46063.713912037</v>
      </c>
      <c r="U4804" s="68">
        <v>0</v>
      </c>
      <c r="V4804" s="68">
        <v>46066.5941550926</v>
      </c>
      <c r="W4804" s="0">
        <f>IF(IF(B4804="none",1,IF(B4804="Trialer",1,0))+IF(C4804="Customer",1,IF(C4804="Lost",1,0))=2,1,0)</f>
      </c>
      <c r="X4804" s="0" t="s">
        <v>153</v>
      </c>
      <c r="Y4804" s="0" t="s">
        <v>243</v>
      </c>
      <c r="AV4804" s="68"/>
      <c r="AW4804" s="68"/>
      <c r="AY4804" s="27"/>
      <c r="BD4804" s="68">
        <v>46054.1666666667</v>
      </c>
      <c r="BE4804" s="68">
        <v>46082.1666666667</v>
      </c>
      <c r="BF4804" s="0" t="b">
        <v>0</v>
      </c>
      <c r="BG4804" s="0" t="b">
        <v>0</v>
      </c>
      <c r="BH4804" s="0">
        <v>59</v>
      </c>
      <c r="BI4804" s="0">
        <v>59</v>
      </c>
      <c r="BJ4804" s="0" t="s">
        <v>135</v>
      </c>
    </row>
    <row r="4805">
      <c r="A4805" s="0" t="s">
        <v>5071</v>
      </c>
      <c r="B4805" s="0" t="s">
        <v>5</v>
      </c>
      <c r="C4805" s="0" t="s">
        <v>652</v>
      </c>
      <c r="D4805" s="0" t="s">
        <v>135</v>
      </c>
      <c r="E4805" s="0" t="s">
        <v>3</v>
      </c>
      <c r="F4805" s="0" t="s">
        <v>12</v>
      </c>
      <c r="G4805" s="0" t="s">
        <v>8</v>
      </c>
      <c r="H4805" s="0">
        <v>-9</v>
      </c>
      <c r="I4805" s="0">
        <v>0</v>
      </c>
      <c r="J4805" s="0">
        <v>0</v>
      </c>
      <c r="K4805" s="0">
        <v>0</v>
      </c>
      <c r="L4805" s="0">
        <v>0</v>
      </c>
      <c r="M4805" s="0">
        <v>0</v>
      </c>
      <c r="N4805" s="0">
        <v>0</v>
      </c>
      <c r="O4805" s="0">
        <v>0</v>
      </c>
      <c r="P4805" s="0">
        <v>0</v>
      </c>
      <c r="R4805" s="0" t="b">
        <v>0</v>
      </c>
      <c r="S4805" s="0" t="b">
        <v>1</v>
      </c>
      <c r="T4805" s="68">
        <v>46063.7738541667</v>
      </c>
      <c r="U4805" s="68">
        <v>0</v>
      </c>
      <c r="V4805" s="68">
        <v>0</v>
      </c>
      <c r="W4805" s="0">
        <f>IF(IF(B4805="none",1,IF(B4805="Trialer",1,0))+IF(C4805="Customer",1,IF(C4805="Lost",1,0))=2,1,0)</f>
      </c>
      <c r="X4805" s="0" t="s">
        <v>148</v>
      </c>
      <c r="Y4805" s="0" t="s">
        <v>243</v>
      </c>
      <c r="AV4805" s="68"/>
      <c r="AW4805" s="68"/>
      <c r="AY4805" s="27"/>
      <c r="BD4805" s="68">
        <v>46054.1666666667</v>
      </c>
      <c r="BE4805" s="68">
        <v>46082.1666666667</v>
      </c>
      <c r="BF4805" s="0" t="b">
        <v>0</v>
      </c>
      <c r="BG4805" s="0" t="b">
        <v>0</v>
      </c>
      <c r="BH4805" s="0">
        <v>59</v>
      </c>
      <c r="BI4805" s="0">
        <v>59</v>
      </c>
      <c r="BJ4805" s="0" t="s">
        <v>135</v>
      </c>
    </row>
    <row r="4806">
      <c r="A4806" s="0" t="s">
        <v>5072</v>
      </c>
      <c r="B4806" s="0" t="s">
        <v>5</v>
      </c>
      <c r="C4806" s="0" t="s">
        <v>652</v>
      </c>
      <c r="D4806" s="0" t="s">
        <v>135</v>
      </c>
      <c r="E4806" s="0" t="s">
        <v>3</v>
      </c>
      <c r="F4806" s="0" t="s">
        <v>12</v>
      </c>
      <c r="G4806" s="0" t="s">
        <v>8</v>
      </c>
      <c r="H4806" s="0">
        <v>-9</v>
      </c>
      <c r="I4806" s="0">
        <v>0</v>
      </c>
      <c r="J4806" s="0">
        <v>0</v>
      </c>
      <c r="K4806" s="0">
        <v>0</v>
      </c>
      <c r="L4806" s="0">
        <v>0</v>
      </c>
      <c r="M4806" s="0">
        <v>0</v>
      </c>
      <c r="N4806" s="0">
        <v>0</v>
      </c>
      <c r="O4806" s="0">
        <v>0</v>
      </c>
      <c r="P4806" s="0">
        <v>0</v>
      </c>
      <c r="R4806" s="0" t="b">
        <v>0</v>
      </c>
      <c r="S4806" s="0" t="b">
        <v>0</v>
      </c>
      <c r="T4806" s="68">
        <v>46063.8613888889</v>
      </c>
      <c r="U4806" s="68">
        <v>0</v>
      </c>
      <c r="V4806" s="68">
        <v>46064.5243981481</v>
      </c>
      <c r="W4806" s="0">
        <f>IF(IF(B4806="none",1,IF(B4806="Trialer",1,0))+IF(C4806="Customer",1,IF(C4806="Lost",1,0))=2,1,0)</f>
      </c>
      <c r="X4806" s="0" t="s">
        <v>145</v>
      </c>
      <c r="Y4806" s="0" t="s">
        <v>243</v>
      </c>
      <c r="AV4806" s="68"/>
      <c r="AW4806" s="68"/>
      <c r="AY4806" s="27"/>
      <c r="BD4806" s="68">
        <v>46054.1666666667</v>
      </c>
      <c r="BE4806" s="68">
        <v>46082.1666666667</v>
      </c>
      <c r="BF4806" s="0" t="b">
        <v>0</v>
      </c>
      <c r="BG4806" s="0" t="b">
        <v>0</v>
      </c>
      <c r="BH4806" s="0">
        <v>59</v>
      </c>
      <c r="BI4806" s="0">
        <v>0</v>
      </c>
      <c r="BJ4806" s="0" t="s">
        <v>135</v>
      </c>
    </row>
    <row r="4807">
      <c r="A4807" s="0" t="s">
        <v>5073</v>
      </c>
      <c r="B4807" s="0" t="s">
        <v>5</v>
      </c>
      <c r="C4807" s="0" t="s">
        <v>652</v>
      </c>
      <c r="D4807" s="0" t="s">
        <v>135</v>
      </c>
      <c r="E4807" s="0" t="s">
        <v>2414</v>
      </c>
      <c r="F4807" s="0" t="s">
        <v>12</v>
      </c>
      <c r="G4807" s="0" t="s">
        <v>8</v>
      </c>
      <c r="H4807" s="0">
        <v>-10</v>
      </c>
      <c r="I4807" s="0">
        <v>0</v>
      </c>
      <c r="J4807" s="0">
        <v>0</v>
      </c>
      <c r="K4807" s="0">
        <v>0</v>
      </c>
      <c r="L4807" s="0">
        <v>0</v>
      </c>
      <c r="M4807" s="0">
        <v>0</v>
      </c>
      <c r="N4807" s="0">
        <v>0</v>
      </c>
      <c r="O4807" s="0">
        <v>0</v>
      </c>
      <c r="P4807" s="0">
        <v>0</v>
      </c>
      <c r="R4807" s="0" t="b">
        <v>0</v>
      </c>
      <c r="S4807" s="0" t="b">
        <v>1</v>
      </c>
      <c r="T4807" s="68">
        <v>46063.9757986111</v>
      </c>
      <c r="U4807" s="68">
        <v>0</v>
      </c>
      <c r="V4807" s="68">
        <v>0</v>
      </c>
      <c r="W4807" s="0">
        <f>IF(IF(B4807="none",1,IF(B4807="Trialer",1,0))+IF(C4807="Customer",1,IF(C4807="Lost",1,0))=2,1,0)</f>
      </c>
      <c r="X4807" s="0" t="s">
        <v>136</v>
      </c>
      <c r="Y4807" s="0" t="s">
        <v>1516</v>
      </c>
      <c r="AV4807" s="68"/>
      <c r="AW4807" s="68"/>
      <c r="AY4807" s="27"/>
      <c r="BD4807" s="68">
        <v>46054.1666666667</v>
      </c>
      <c r="BE4807" s="68">
        <v>46082.1666666667</v>
      </c>
      <c r="BF4807" s="0" t="b">
        <v>0</v>
      </c>
      <c r="BG4807" s="0" t="b">
        <v>0</v>
      </c>
      <c r="BH4807" s="0">
        <v>59</v>
      </c>
      <c r="BI4807" s="0">
        <v>59</v>
      </c>
      <c r="BJ4807" s="0" t="s">
        <v>135</v>
      </c>
    </row>
    <row r="4808">
      <c r="A4808" s="0" t="s">
        <v>5074</v>
      </c>
      <c r="B4808" s="0" t="s">
        <v>5</v>
      </c>
      <c r="C4808" s="0" t="s">
        <v>652</v>
      </c>
      <c r="D4808" s="0" t="s">
        <v>135</v>
      </c>
      <c r="E4808" s="0" t="s">
        <v>1515</v>
      </c>
      <c r="F4808" s="0" t="s">
        <v>12</v>
      </c>
      <c r="G4808" s="0" t="s">
        <v>8</v>
      </c>
      <c r="H4808" s="0">
        <v>-10</v>
      </c>
      <c r="I4808" s="0">
        <v>0</v>
      </c>
      <c r="J4808" s="0">
        <v>0</v>
      </c>
      <c r="K4808" s="0">
        <v>0</v>
      </c>
      <c r="L4808" s="0">
        <v>0</v>
      </c>
      <c r="M4808" s="0">
        <v>0</v>
      </c>
      <c r="N4808" s="0">
        <v>0</v>
      </c>
      <c r="O4808" s="0">
        <v>0</v>
      </c>
      <c r="P4808" s="0">
        <v>0</v>
      </c>
      <c r="R4808" s="0" t="b">
        <v>0</v>
      </c>
      <c r="S4808" s="0" t="b">
        <v>0</v>
      </c>
      <c r="T4808" s="68">
        <v>46064.0131944444</v>
      </c>
      <c r="U4808" s="68">
        <v>0</v>
      </c>
      <c r="V4808" s="68">
        <v>46064.3743055556</v>
      </c>
      <c r="W4808" s="0">
        <f>IF(IF(B4808="none",1,IF(B4808="Trialer",1,0))+IF(C4808="Customer",1,IF(C4808="Lost",1,0))=2,1,0)</f>
      </c>
      <c r="X4808" s="0" t="s">
        <v>4810</v>
      </c>
      <c r="Y4808" s="0" t="s">
        <v>1516</v>
      </c>
      <c r="AV4808" s="68"/>
      <c r="AW4808" s="68"/>
      <c r="AY4808" s="27"/>
      <c r="BD4808" s="68">
        <v>46054.1666666667</v>
      </c>
      <c r="BE4808" s="68">
        <v>46082.1666666667</v>
      </c>
      <c r="BF4808" s="0" t="b">
        <v>1</v>
      </c>
      <c r="BG4808" s="0" t="b">
        <v>0</v>
      </c>
      <c r="BH4808" s="0">
        <v>0</v>
      </c>
      <c r="BI4808" s="0">
        <v>0</v>
      </c>
      <c r="BJ4808" s="0" t="s">
        <v>135</v>
      </c>
    </row>
    <row r="4809">
      <c r="A4809" s="0" t="s">
        <v>5075</v>
      </c>
      <c r="B4809" s="0" t="s">
        <v>5</v>
      </c>
      <c r="C4809" s="0" t="s">
        <v>652</v>
      </c>
      <c r="D4809" s="0" t="s">
        <v>135</v>
      </c>
      <c r="E4809" s="0" t="s">
        <v>3</v>
      </c>
      <c r="F4809" s="0" t="s">
        <v>12</v>
      </c>
      <c r="G4809" s="0" t="s">
        <v>8</v>
      </c>
      <c r="H4809" s="0">
        <v>-10</v>
      </c>
      <c r="I4809" s="0">
        <v>0</v>
      </c>
      <c r="J4809" s="0">
        <v>0</v>
      </c>
      <c r="K4809" s="0">
        <v>0</v>
      </c>
      <c r="L4809" s="0">
        <v>0</v>
      </c>
      <c r="M4809" s="0">
        <v>0</v>
      </c>
      <c r="N4809" s="0">
        <v>0</v>
      </c>
      <c r="O4809" s="0">
        <v>0</v>
      </c>
      <c r="P4809" s="0">
        <v>0</v>
      </c>
      <c r="R4809" s="0" t="b">
        <v>0</v>
      </c>
      <c r="S4809" s="0" t="b">
        <v>1</v>
      </c>
      <c r="T4809" s="68">
        <v>46064.0189467593</v>
      </c>
      <c r="U4809" s="68">
        <v>0</v>
      </c>
      <c r="V4809" s="68">
        <v>0</v>
      </c>
      <c r="W4809" s="0">
        <f>IF(IF(B4809="none",1,IF(B4809="Trialer",1,0))+IF(C4809="Customer",1,IF(C4809="Lost",1,0))=2,1,0)</f>
      </c>
      <c r="X4809" s="0" t="s">
        <v>653</v>
      </c>
      <c r="Y4809" s="0" t="s">
        <v>2664</v>
      </c>
      <c r="AV4809" s="68"/>
      <c r="AW4809" s="68"/>
      <c r="AY4809" s="27"/>
      <c r="BD4809" s="68">
        <v>46054.1666666667</v>
      </c>
      <c r="BE4809" s="68">
        <v>46082.1666666667</v>
      </c>
      <c r="BF4809" s="0" t="b">
        <v>1</v>
      </c>
      <c r="BG4809" s="0" t="b">
        <v>0</v>
      </c>
      <c r="BH4809" s="0">
        <v>59</v>
      </c>
      <c r="BI4809" s="0">
        <v>59</v>
      </c>
      <c r="BJ4809" s="0" t="s">
        <v>135</v>
      </c>
    </row>
    <row r="4810">
      <c r="A4810" s="0" t="s">
        <v>5076</v>
      </c>
      <c r="B4810" s="0" t="s">
        <v>5</v>
      </c>
      <c r="C4810" s="0" t="s">
        <v>652</v>
      </c>
      <c r="D4810" s="0" t="s">
        <v>135</v>
      </c>
      <c r="E4810" s="0" t="s">
        <v>3</v>
      </c>
      <c r="F4810" s="0" t="s">
        <v>12</v>
      </c>
      <c r="G4810" s="0" t="s">
        <v>8</v>
      </c>
      <c r="H4810" s="0">
        <v>-10</v>
      </c>
      <c r="I4810" s="0">
        <v>0</v>
      </c>
      <c r="J4810" s="0">
        <v>0</v>
      </c>
      <c r="K4810" s="0">
        <v>0</v>
      </c>
      <c r="L4810" s="0">
        <v>0</v>
      </c>
      <c r="M4810" s="0">
        <v>0</v>
      </c>
      <c r="N4810" s="0">
        <v>0</v>
      </c>
      <c r="O4810" s="0">
        <v>0</v>
      </c>
      <c r="P4810" s="0">
        <v>0</v>
      </c>
      <c r="R4810" s="0" t="b">
        <v>0</v>
      </c>
      <c r="S4810" s="0" t="b">
        <v>0</v>
      </c>
      <c r="T4810" s="68">
        <v>46064.0366666667</v>
      </c>
      <c r="U4810" s="68">
        <v>0</v>
      </c>
      <c r="V4810" s="68">
        <v>46083.399537037</v>
      </c>
      <c r="W4810" s="0">
        <f>IF(IF(B4810="none",1,IF(B4810="Trialer",1,0))+IF(C4810="Customer",1,IF(C4810="Lost",1,0))=2,1,0)</f>
      </c>
      <c r="X4810" s="0" t="s">
        <v>148</v>
      </c>
      <c r="Y4810" s="0" t="s">
        <v>243</v>
      </c>
      <c r="AV4810" s="68"/>
      <c r="AW4810" s="68"/>
      <c r="AY4810" s="27"/>
      <c r="BD4810" s="68">
        <v>46054.1666666667</v>
      </c>
      <c r="BE4810" s="68">
        <v>46082.1666666667</v>
      </c>
      <c r="BF4810" s="0" t="b">
        <v>0</v>
      </c>
      <c r="BG4810" s="0" t="b">
        <v>0</v>
      </c>
      <c r="BH4810" s="0">
        <v>73</v>
      </c>
      <c r="BI4810" s="0">
        <v>73</v>
      </c>
      <c r="BJ4810" s="0" t="s">
        <v>135</v>
      </c>
    </row>
    <row r="4811">
      <c r="A4811" s="0" t="s">
        <v>5077</v>
      </c>
      <c r="B4811" s="0" t="s">
        <v>5</v>
      </c>
      <c r="C4811" s="0" t="s">
        <v>652</v>
      </c>
      <c r="D4811" s="0" t="s">
        <v>135</v>
      </c>
      <c r="E4811" s="0" t="s">
        <v>3</v>
      </c>
      <c r="F4811" s="0" t="s">
        <v>12</v>
      </c>
      <c r="G4811" s="0" t="s">
        <v>8</v>
      </c>
      <c r="H4811" s="0">
        <v>-10</v>
      </c>
      <c r="I4811" s="0">
        <v>0</v>
      </c>
      <c r="J4811" s="0">
        <v>0</v>
      </c>
      <c r="K4811" s="0">
        <v>0</v>
      </c>
      <c r="L4811" s="0">
        <v>0</v>
      </c>
      <c r="M4811" s="0">
        <v>0</v>
      </c>
      <c r="N4811" s="0">
        <v>0</v>
      </c>
      <c r="O4811" s="0">
        <v>0</v>
      </c>
      <c r="P4811" s="0">
        <v>0</v>
      </c>
      <c r="R4811" s="0" t="b">
        <v>0</v>
      </c>
      <c r="S4811" s="0" t="b">
        <v>1</v>
      </c>
      <c r="T4811" s="68">
        <v>46064.1048958333</v>
      </c>
      <c r="U4811" s="68">
        <v>0</v>
      </c>
      <c r="V4811" s="68">
        <v>0</v>
      </c>
      <c r="W4811" s="0">
        <f>IF(IF(B4811="none",1,IF(B4811="Trialer",1,0))+IF(C4811="Customer",1,IF(C4811="Lost",1,0))=2,1,0)</f>
      </c>
      <c r="X4811" s="0" t="s">
        <v>653</v>
      </c>
      <c r="Y4811" s="0" t="s">
        <v>243</v>
      </c>
      <c r="AV4811" s="68"/>
      <c r="AW4811" s="68"/>
      <c r="AY4811" s="27"/>
      <c r="BD4811" s="68">
        <v>46054.1666666667</v>
      </c>
      <c r="BE4811" s="68">
        <v>46082.1666666667</v>
      </c>
      <c r="BF4811" s="0" t="b">
        <v>1</v>
      </c>
      <c r="BG4811" s="0" t="b">
        <v>0</v>
      </c>
      <c r="BH4811" s="0">
        <v>59</v>
      </c>
      <c r="BI4811" s="0">
        <v>59</v>
      </c>
      <c r="BJ4811" s="0" t="s">
        <v>135</v>
      </c>
    </row>
    <row r="4812">
      <c r="A4812" s="0" t="s">
        <v>5078</v>
      </c>
      <c r="B4812" s="0" t="s">
        <v>5</v>
      </c>
      <c r="C4812" s="0" t="s">
        <v>652</v>
      </c>
      <c r="D4812" s="0" t="s">
        <v>135</v>
      </c>
      <c r="E4812" s="0" t="s">
        <v>3</v>
      </c>
      <c r="F4812" s="0" t="s">
        <v>12</v>
      </c>
      <c r="G4812" s="0" t="s">
        <v>8</v>
      </c>
      <c r="H4812" s="0">
        <v>-10</v>
      </c>
      <c r="I4812" s="0">
        <v>0</v>
      </c>
      <c r="J4812" s="0">
        <v>0</v>
      </c>
      <c r="K4812" s="0">
        <v>0</v>
      </c>
      <c r="L4812" s="0">
        <v>0</v>
      </c>
      <c r="M4812" s="0">
        <v>0</v>
      </c>
      <c r="N4812" s="0">
        <v>0</v>
      </c>
      <c r="O4812" s="0">
        <v>0</v>
      </c>
      <c r="P4812" s="0">
        <v>0</v>
      </c>
      <c r="R4812" s="0" t="b">
        <v>0</v>
      </c>
      <c r="S4812" s="0" t="b">
        <v>1</v>
      </c>
      <c r="T4812" s="68">
        <v>46064.1060069444</v>
      </c>
      <c r="U4812" s="68">
        <v>0</v>
      </c>
      <c r="V4812" s="68">
        <v>0</v>
      </c>
      <c r="W4812" s="0">
        <f>IF(IF(B4812="none",1,IF(B4812="Trialer",1,0))+IF(C4812="Customer",1,IF(C4812="Lost",1,0))=2,1,0)</f>
      </c>
      <c r="X4812" s="0" t="s">
        <v>148</v>
      </c>
      <c r="Y4812" s="0" t="s">
        <v>1792</v>
      </c>
      <c r="AV4812" s="68"/>
      <c r="AW4812" s="68"/>
      <c r="AY4812" s="27"/>
      <c r="BD4812" s="68">
        <v>46054.1666666667</v>
      </c>
      <c r="BE4812" s="68">
        <v>46082.1666666667</v>
      </c>
      <c r="BF4812" s="0" t="b">
        <v>0</v>
      </c>
      <c r="BG4812" s="0" t="b">
        <v>0</v>
      </c>
      <c r="BH4812" s="0">
        <v>97</v>
      </c>
      <c r="BI4812" s="0">
        <v>97</v>
      </c>
      <c r="BJ4812" s="0" t="s">
        <v>135</v>
      </c>
    </row>
    <row r="4813">
      <c r="A4813" s="0" t="s">
        <v>5079</v>
      </c>
      <c r="B4813" s="0" t="s">
        <v>5</v>
      </c>
      <c r="C4813" s="0" t="s">
        <v>652</v>
      </c>
      <c r="D4813" s="0" t="s">
        <v>135</v>
      </c>
      <c r="E4813" s="0" t="s">
        <v>3</v>
      </c>
      <c r="F4813" s="0" t="s">
        <v>12</v>
      </c>
      <c r="G4813" s="0" t="s">
        <v>8</v>
      </c>
      <c r="H4813" s="0">
        <v>-10</v>
      </c>
      <c r="I4813" s="0">
        <v>0</v>
      </c>
      <c r="J4813" s="0">
        <v>0</v>
      </c>
      <c r="K4813" s="0">
        <v>0</v>
      </c>
      <c r="L4813" s="0">
        <v>0</v>
      </c>
      <c r="M4813" s="0">
        <v>0</v>
      </c>
      <c r="N4813" s="0">
        <v>0</v>
      </c>
      <c r="O4813" s="0">
        <v>0</v>
      </c>
      <c r="P4813" s="0">
        <v>0</v>
      </c>
      <c r="R4813" s="0" t="b">
        <v>0</v>
      </c>
      <c r="S4813" s="0" t="b">
        <v>1</v>
      </c>
      <c r="T4813" s="68">
        <v>46064.1648611111</v>
      </c>
      <c r="U4813" s="68">
        <v>0</v>
      </c>
      <c r="V4813" s="68">
        <v>0</v>
      </c>
      <c r="W4813" s="0">
        <f>IF(IF(B4813="none",1,IF(B4813="Trialer",1,0))+IF(C4813="Customer",1,IF(C4813="Lost",1,0))=2,1,0)</f>
      </c>
      <c r="X4813" s="0" t="s">
        <v>145</v>
      </c>
      <c r="Y4813" s="0" t="s">
        <v>243</v>
      </c>
      <c r="AV4813" s="68"/>
      <c r="AW4813" s="68"/>
      <c r="AY4813" s="27"/>
      <c r="BD4813" s="68">
        <v>46054.1666666667</v>
      </c>
      <c r="BE4813" s="68">
        <v>46082.1666666667</v>
      </c>
      <c r="BF4813" s="0" t="b">
        <v>0</v>
      </c>
      <c r="BG4813" s="0" t="b">
        <v>0</v>
      </c>
      <c r="BH4813" s="0">
        <v>59</v>
      </c>
      <c r="BI4813" s="0">
        <v>59</v>
      </c>
      <c r="BJ4813" s="0" t="s">
        <v>135</v>
      </c>
    </row>
    <row r="4814">
      <c r="A4814" s="0" t="s">
        <v>5080</v>
      </c>
      <c r="B4814" s="0" t="s">
        <v>5</v>
      </c>
      <c r="C4814" s="0" t="s">
        <v>134</v>
      </c>
      <c r="D4814" s="0" t="s">
        <v>230</v>
      </c>
      <c r="E4814" s="0" t="s">
        <v>2</v>
      </c>
      <c r="F4814" s="0" t="s">
        <v>12</v>
      </c>
      <c r="G4814" s="0" t="s">
        <v>8</v>
      </c>
      <c r="H4814" s="0">
        <v>-10</v>
      </c>
      <c r="I4814" s="0">
        <v>73.1</v>
      </c>
      <c r="J4814" s="0">
        <v>0</v>
      </c>
      <c r="K4814" s="0">
        <v>1</v>
      </c>
      <c r="L4814" s="0">
        <v>5</v>
      </c>
      <c r="M4814" s="0">
        <v>1</v>
      </c>
      <c r="N4814" s="0">
        <v>0</v>
      </c>
      <c r="O4814" s="0">
        <v>0</v>
      </c>
      <c r="P4814" s="0">
        <v>804.1</v>
      </c>
      <c r="R4814" s="0" t="b">
        <v>0</v>
      </c>
      <c r="S4814" s="0" t="b">
        <v>1</v>
      </c>
      <c r="T4814" s="68">
        <v>46064.1717592593</v>
      </c>
      <c r="U4814" s="68">
        <v>46078.2916666667</v>
      </c>
      <c r="V4814" s="68">
        <v>0</v>
      </c>
      <c r="W4814" s="0">
        <f>IF(IF(B4814="none",1,IF(B4814="Trialer",1,0))+IF(C4814="Customer",1,IF(C4814="Lost",1,0))=2,1,0)</f>
      </c>
      <c r="X4814" s="0" t="s">
        <v>1461</v>
      </c>
      <c r="Y4814" s="0" t="s">
        <v>499</v>
      </c>
      <c r="AV4814" s="68"/>
      <c r="AW4814" s="68"/>
      <c r="AY4814" s="27"/>
      <c r="BD4814" s="68">
        <v>46054.1666666667</v>
      </c>
      <c r="BE4814" s="68">
        <v>46082.1666666667</v>
      </c>
      <c r="BF4814" s="0" t="b">
        <v>0</v>
      </c>
      <c r="BG4814" s="0" t="b">
        <v>0</v>
      </c>
      <c r="BH4814" s="0">
        <v>166</v>
      </c>
      <c r="BI4814" s="0">
        <v>166</v>
      </c>
      <c r="BJ4814" s="0" t="s">
        <v>230</v>
      </c>
    </row>
    <row r="4815">
      <c r="A4815" s="0" t="s">
        <v>5081</v>
      </c>
      <c r="B4815" s="0" t="s">
        <v>5</v>
      </c>
      <c r="C4815" s="0" t="s">
        <v>652</v>
      </c>
      <c r="D4815" s="0" t="s">
        <v>135</v>
      </c>
      <c r="E4815" s="0" t="s">
        <v>3</v>
      </c>
      <c r="F4815" s="0" t="s">
        <v>12</v>
      </c>
      <c r="G4815" s="0" t="s">
        <v>8</v>
      </c>
      <c r="H4815" s="0">
        <v>-10</v>
      </c>
      <c r="I4815" s="0">
        <v>0</v>
      </c>
      <c r="J4815" s="0">
        <v>0</v>
      </c>
      <c r="K4815" s="0">
        <v>0</v>
      </c>
      <c r="L4815" s="0">
        <v>0</v>
      </c>
      <c r="M4815" s="0">
        <v>0</v>
      </c>
      <c r="N4815" s="0">
        <v>0</v>
      </c>
      <c r="O4815" s="0">
        <v>0</v>
      </c>
      <c r="P4815" s="0">
        <v>0</v>
      </c>
      <c r="R4815" s="0" t="b">
        <v>0</v>
      </c>
      <c r="S4815" s="0" t="b">
        <v>1</v>
      </c>
      <c r="T4815" s="68">
        <v>46064.1756712963</v>
      </c>
      <c r="U4815" s="68">
        <v>0</v>
      </c>
      <c r="V4815" s="68">
        <v>0</v>
      </c>
      <c r="W4815" s="0">
        <f>IF(IF(B4815="none",1,IF(B4815="Trialer",1,0))+IF(C4815="Customer",1,IF(C4815="Lost",1,0))=2,1,0)</f>
      </c>
      <c r="X4815" s="0" t="s">
        <v>148</v>
      </c>
      <c r="Y4815" s="0" t="s">
        <v>243</v>
      </c>
      <c r="AV4815" s="68"/>
      <c r="AW4815" s="68"/>
      <c r="AY4815" s="27"/>
      <c r="BD4815" s="68">
        <v>46054.1666666667</v>
      </c>
      <c r="BE4815" s="68">
        <v>46082.1666666667</v>
      </c>
      <c r="BF4815" s="0" t="b">
        <v>1</v>
      </c>
      <c r="BG4815" s="0" t="b">
        <v>0</v>
      </c>
      <c r="BH4815" s="0">
        <v>0</v>
      </c>
      <c r="BI4815" s="0">
        <v>0</v>
      </c>
      <c r="BJ4815" s="0" t="s">
        <v>135</v>
      </c>
    </row>
    <row r="4816">
      <c r="A4816" s="0" t="s">
        <v>5082</v>
      </c>
      <c r="B4816" s="0" t="s">
        <v>5</v>
      </c>
      <c r="C4816" s="0" t="s">
        <v>652</v>
      </c>
      <c r="D4816" s="0" t="s">
        <v>135</v>
      </c>
      <c r="E4816" s="0" t="s">
        <v>3</v>
      </c>
      <c r="F4816" s="0" t="s">
        <v>12</v>
      </c>
      <c r="G4816" s="0" t="s">
        <v>8</v>
      </c>
      <c r="H4816" s="0">
        <v>-10</v>
      </c>
      <c r="I4816" s="0">
        <v>0</v>
      </c>
      <c r="J4816" s="0">
        <v>0</v>
      </c>
      <c r="K4816" s="0">
        <v>0</v>
      </c>
      <c r="L4816" s="0">
        <v>0</v>
      </c>
      <c r="M4816" s="0">
        <v>0</v>
      </c>
      <c r="N4816" s="0">
        <v>0</v>
      </c>
      <c r="O4816" s="0">
        <v>0</v>
      </c>
      <c r="P4816" s="0">
        <v>0</v>
      </c>
      <c r="R4816" s="0" t="b">
        <v>0</v>
      </c>
      <c r="S4816" s="0" t="b">
        <v>1</v>
      </c>
      <c r="T4816" s="68">
        <v>46064.3690856481</v>
      </c>
      <c r="U4816" s="68">
        <v>0</v>
      </c>
      <c r="V4816" s="68">
        <v>0</v>
      </c>
      <c r="W4816" s="0">
        <f>IF(IF(B4816="none",1,IF(B4816="Trialer",1,0))+IF(C4816="Customer",1,IF(C4816="Lost",1,0))=2,1,0)</f>
      </c>
      <c r="X4816" s="0" t="s">
        <v>148</v>
      </c>
      <c r="Y4816" s="0" t="s">
        <v>243</v>
      </c>
      <c r="AV4816" s="68"/>
      <c r="AW4816" s="68"/>
      <c r="AY4816" s="27"/>
      <c r="BD4816" s="68">
        <v>46054.1666666667</v>
      </c>
      <c r="BE4816" s="68">
        <v>46082.1666666667</v>
      </c>
      <c r="BF4816" s="0" t="b">
        <v>0</v>
      </c>
      <c r="BG4816" s="0" t="b">
        <v>0</v>
      </c>
      <c r="BH4816" s="0">
        <v>59</v>
      </c>
      <c r="BI4816" s="0">
        <v>59</v>
      </c>
      <c r="BJ4816" s="0" t="s">
        <v>135</v>
      </c>
    </row>
    <row r="4817">
      <c r="A4817" s="0" t="s">
        <v>5083</v>
      </c>
      <c r="B4817" s="0" t="s">
        <v>5</v>
      </c>
      <c r="C4817" s="0" t="s">
        <v>652</v>
      </c>
      <c r="D4817" s="0" t="s">
        <v>135</v>
      </c>
      <c r="E4817" s="0" t="s">
        <v>3</v>
      </c>
      <c r="F4817" s="0" t="s">
        <v>12</v>
      </c>
      <c r="G4817" s="0" t="s">
        <v>8</v>
      </c>
      <c r="H4817" s="0">
        <v>-10</v>
      </c>
      <c r="I4817" s="0">
        <v>0</v>
      </c>
      <c r="J4817" s="0">
        <v>0</v>
      </c>
      <c r="K4817" s="0">
        <v>0</v>
      </c>
      <c r="L4817" s="0">
        <v>0</v>
      </c>
      <c r="M4817" s="0">
        <v>0</v>
      </c>
      <c r="N4817" s="0">
        <v>0</v>
      </c>
      <c r="O4817" s="0">
        <v>0</v>
      </c>
      <c r="P4817" s="0">
        <v>0</v>
      </c>
      <c r="R4817" s="0" t="b">
        <v>0</v>
      </c>
      <c r="S4817" s="0" t="b">
        <v>0</v>
      </c>
      <c r="T4817" s="68">
        <v>46064.372962963</v>
      </c>
      <c r="U4817" s="68">
        <v>46084.2916666667</v>
      </c>
      <c r="V4817" s="68">
        <v>46091.5153587963</v>
      </c>
      <c r="W4817" s="0">
        <f>IF(IF(B4817="none",1,IF(B4817="Trialer",1,0))+IF(C4817="Customer",1,IF(C4817="Lost",1,0))=2,1,0)</f>
      </c>
      <c r="X4817" s="0" t="s">
        <v>1461</v>
      </c>
      <c r="Y4817" s="0" t="s">
        <v>243</v>
      </c>
      <c r="AV4817" s="68"/>
      <c r="AW4817" s="68"/>
      <c r="AY4817" s="27"/>
      <c r="BD4817" s="68">
        <v>46054.1666666667</v>
      </c>
      <c r="BE4817" s="68">
        <v>46082.1666666667</v>
      </c>
      <c r="BF4817" s="0" t="b">
        <v>0</v>
      </c>
      <c r="BG4817" s="0" t="b">
        <v>0</v>
      </c>
      <c r="BH4817" s="0">
        <v>53.5</v>
      </c>
      <c r="BI4817" s="0">
        <v>53.5</v>
      </c>
      <c r="BJ4817" s="0" t="s">
        <v>135</v>
      </c>
    </row>
    <row r="4818">
      <c r="A4818" s="0" t="s">
        <v>5084</v>
      </c>
      <c r="B4818" s="0" t="s">
        <v>5</v>
      </c>
      <c r="C4818" s="0" t="s">
        <v>652</v>
      </c>
      <c r="D4818" s="0" t="s">
        <v>135</v>
      </c>
      <c r="E4818" s="0" t="s">
        <v>3</v>
      </c>
      <c r="F4818" s="0" t="s">
        <v>12</v>
      </c>
      <c r="G4818" s="0" t="s">
        <v>8</v>
      </c>
      <c r="H4818" s="0">
        <v>-10</v>
      </c>
      <c r="I4818" s="0">
        <v>0</v>
      </c>
      <c r="J4818" s="0">
        <v>0</v>
      </c>
      <c r="K4818" s="0">
        <v>0</v>
      </c>
      <c r="L4818" s="0">
        <v>0</v>
      </c>
      <c r="M4818" s="0">
        <v>0</v>
      </c>
      <c r="N4818" s="0">
        <v>0</v>
      </c>
      <c r="O4818" s="0">
        <v>0</v>
      </c>
      <c r="P4818" s="0">
        <v>0</v>
      </c>
      <c r="R4818" s="0" t="b">
        <v>0</v>
      </c>
      <c r="S4818" s="0" t="b">
        <v>1</v>
      </c>
      <c r="T4818" s="68">
        <v>46064.383900463</v>
      </c>
      <c r="U4818" s="68">
        <v>0</v>
      </c>
      <c r="V4818" s="68">
        <v>0</v>
      </c>
      <c r="W4818" s="0">
        <f>IF(IF(B4818="none",1,IF(B4818="Trialer",1,0))+IF(C4818="Customer",1,IF(C4818="Lost",1,0))=2,1,0)</f>
      </c>
      <c r="X4818" s="0" t="s">
        <v>136</v>
      </c>
      <c r="Y4818" s="0" t="s">
        <v>243</v>
      </c>
      <c r="AV4818" s="68"/>
      <c r="AW4818" s="68"/>
      <c r="AY4818" s="27"/>
      <c r="BD4818" s="68">
        <v>46054.1666666667</v>
      </c>
      <c r="BE4818" s="68">
        <v>46082.1666666667</v>
      </c>
      <c r="BF4818" s="0" t="b">
        <v>0</v>
      </c>
      <c r="BG4818" s="0" t="b">
        <v>0</v>
      </c>
      <c r="BH4818" s="0">
        <v>85</v>
      </c>
      <c r="BI4818" s="0">
        <v>85</v>
      </c>
      <c r="BJ4818" s="0" t="s">
        <v>135</v>
      </c>
    </row>
    <row r="4819">
      <c r="A4819" s="0" t="s">
        <v>5085</v>
      </c>
      <c r="B4819" s="0" t="s">
        <v>5</v>
      </c>
      <c r="C4819" s="0" t="s">
        <v>652</v>
      </c>
      <c r="D4819" s="0" t="s">
        <v>135</v>
      </c>
      <c r="E4819" s="0" t="s">
        <v>3</v>
      </c>
      <c r="F4819" s="0" t="s">
        <v>12</v>
      </c>
      <c r="G4819" s="0" t="s">
        <v>8</v>
      </c>
      <c r="H4819" s="0">
        <v>-10</v>
      </c>
      <c r="I4819" s="0">
        <v>0</v>
      </c>
      <c r="J4819" s="0">
        <v>0</v>
      </c>
      <c r="K4819" s="0">
        <v>0</v>
      </c>
      <c r="L4819" s="0">
        <v>0</v>
      </c>
      <c r="M4819" s="0">
        <v>0</v>
      </c>
      <c r="N4819" s="0">
        <v>0</v>
      </c>
      <c r="O4819" s="0">
        <v>0</v>
      </c>
      <c r="P4819" s="0">
        <v>0</v>
      </c>
      <c r="R4819" s="0" t="b">
        <v>0</v>
      </c>
      <c r="S4819" s="0" t="b">
        <v>1</v>
      </c>
      <c r="T4819" s="68">
        <v>46064.3901967593</v>
      </c>
      <c r="U4819" s="68">
        <v>0</v>
      </c>
      <c r="V4819" s="68">
        <v>0</v>
      </c>
      <c r="W4819" s="0">
        <f>IF(IF(B4819="none",1,IF(B4819="Trialer",1,0))+IF(C4819="Customer",1,IF(C4819="Lost",1,0))=2,1,0)</f>
      </c>
      <c r="X4819" s="0" t="s">
        <v>148</v>
      </c>
      <c r="Y4819" s="0" t="s">
        <v>243</v>
      </c>
      <c r="AV4819" s="68"/>
      <c r="AW4819" s="68"/>
      <c r="AY4819" s="27"/>
      <c r="BD4819" s="68">
        <v>46054.1666666667</v>
      </c>
      <c r="BE4819" s="68">
        <v>46082.1666666667</v>
      </c>
      <c r="BF4819" s="0" t="b">
        <v>0</v>
      </c>
      <c r="BG4819" s="0" t="b">
        <v>0</v>
      </c>
      <c r="BH4819" s="0">
        <v>59</v>
      </c>
      <c r="BI4819" s="0">
        <v>59</v>
      </c>
      <c r="BJ4819" s="0" t="s">
        <v>135</v>
      </c>
    </row>
    <row r="4820">
      <c r="A4820" s="0" t="s">
        <v>5086</v>
      </c>
      <c r="B4820" s="0" t="s">
        <v>5</v>
      </c>
      <c r="C4820" s="0" t="s">
        <v>652</v>
      </c>
      <c r="D4820" s="0" t="s">
        <v>135</v>
      </c>
      <c r="E4820" s="0" t="s">
        <v>3</v>
      </c>
      <c r="F4820" s="0" t="s">
        <v>12</v>
      </c>
      <c r="G4820" s="0" t="s">
        <v>8</v>
      </c>
      <c r="H4820" s="0">
        <v>-10</v>
      </c>
      <c r="I4820" s="0">
        <v>0</v>
      </c>
      <c r="J4820" s="0">
        <v>0</v>
      </c>
      <c r="K4820" s="0">
        <v>0</v>
      </c>
      <c r="L4820" s="0">
        <v>0</v>
      </c>
      <c r="M4820" s="0">
        <v>0</v>
      </c>
      <c r="N4820" s="0">
        <v>0</v>
      </c>
      <c r="O4820" s="0">
        <v>0</v>
      </c>
      <c r="P4820" s="0">
        <v>0</v>
      </c>
      <c r="R4820" s="0" t="b">
        <v>0</v>
      </c>
      <c r="S4820" s="0" t="b">
        <v>1</v>
      </c>
      <c r="T4820" s="68">
        <v>46064.3942708333</v>
      </c>
      <c r="U4820" s="68">
        <v>0</v>
      </c>
      <c r="V4820" s="68">
        <v>0</v>
      </c>
      <c r="W4820" s="0">
        <f>IF(IF(B4820="none",1,IF(B4820="Trialer",1,0))+IF(C4820="Customer",1,IF(C4820="Lost",1,0))=2,1,0)</f>
      </c>
      <c r="X4820" s="0" t="s">
        <v>148</v>
      </c>
      <c r="Y4820" s="0" t="s">
        <v>243</v>
      </c>
      <c r="AV4820" s="68"/>
      <c r="AW4820" s="68"/>
      <c r="AY4820" s="27"/>
      <c r="BD4820" s="68">
        <v>46054.1666666667</v>
      </c>
      <c r="BE4820" s="68">
        <v>46082.1666666667</v>
      </c>
      <c r="BF4820" s="0" t="b">
        <v>0</v>
      </c>
      <c r="BG4820" s="0" t="b">
        <v>0</v>
      </c>
      <c r="BH4820" s="0">
        <v>142</v>
      </c>
      <c r="BI4820" s="0">
        <v>142</v>
      </c>
      <c r="BJ4820" s="0" t="s">
        <v>135</v>
      </c>
    </row>
    <row r="4821">
      <c r="A4821" s="0" t="s">
        <v>5087</v>
      </c>
      <c r="B4821" s="0" t="s">
        <v>5</v>
      </c>
      <c r="C4821" s="0" t="s">
        <v>652</v>
      </c>
      <c r="D4821" s="0" t="s">
        <v>135</v>
      </c>
      <c r="E4821" s="0" t="s">
        <v>3</v>
      </c>
      <c r="F4821" s="0" t="s">
        <v>12</v>
      </c>
      <c r="G4821" s="0" t="s">
        <v>8</v>
      </c>
      <c r="H4821" s="0">
        <v>-10</v>
      </c>
      <c r="I4821" s="0">
        <v>0</v>
      </c>
      <c r="J4821" s="0">
        <v>0</v>
      </c>
      <c r="K4821" s="0">
        <v>0</v>
      </c>
      <c r="L4821" s="0">
        <v>0</v>
      </c>
      <c r="M4821" s="0">
        <v>0</v>
      </c>
      <c r="N4821" s="0">
        <v>0</v>
      </c>
      <c r="O4821" s="0">
        <v>0</v>
      </c>
      <c r="P4821" s="0">
        <v>0</v>
      </c>
      <c r="R4821" s="0" t="b">
        <v>0</v>
      </c>
      <c r="S4821" s="0" t="b">
        <v>0</v>
      </c>
      <c r="T4821" s="68">
        <v>46064.4100231481</v>
      </c>
      <c r="U4821" s="68">
        <v>0</v>
      </c>
      <c r="V4821" s="68">
        <v>46082.7269791667</v>
      </c>
      <c r="W4821" s="0">
        <f>IF(IF(B4821="none",1,IF(B4821="Trialer",1,0))+IF(C4821="Customer",1,IF(C4821="Lost",1,0))=2,1,0)</f>
      </c>
      <c r="X4821" s="0" t="s">
        <v>136</v>
      </c>
      <c r="Y4821" s="0" t="s">
        <v>243</v>
      </c>
      <c r="AV4821" s="68"/>
      <c r="AW4821" s="68"/>
      <c r="AY4821" s="27"/>
      <c r="BD4821" s="68">
        <v>46054.1666666667</v>
      </c>
      <c r="BE4821" s="68">
        <v>46082.1666666667</v>
      </c>
      <c r="BF4821" s="0" t="b">
        <v>0</v>
      </c>
      <c r="BG4821" s="0" t="b">
        <v>0</v>
      </c>
      <c r="BH4821" s="0">
        <v>177</v>
      </c>
      <c r="BI4821" s="0">
        <v>177</v>
      </c>
      <c r="BJ4821" s="0" t="s">
        <v>135</v>
      </c>
    </row>
    <row r="4822">
      <c r="A4822" s="0" t="s">
        <v>5088</v>
      </c>
      <c r="B4822" s="0" t="s">
        <v>5</v>
      </c>
      <c r="C4822" s="0" t="s">
        <v>652</v>
      </c>
      <c r="D4822" s="0" t="s">
        <v>135</v>
      </c>
      <c r="E4822" s="0" t="s">
        <v>3</v>
      </c>
      <c r="F4822" s="0" t="s">
        <v>12</v>
      </c>
      <c r="G4822" s="0" t="s">
        <v>8</v>
      </c>
      <c r="H4822" s="0">
        <v>-10</v>
      </c>
      <c r="I4822" s="0">
        <v>0</v>
      </c>
      <c r="J4822" s="0">
        <v>0</v>
      </c>
      <c r="K4822" s="0">
        <v>0</v>
      </c>
      <c r="L4822" s="0">
        <v>0</v>
      </c>
      <c r="M4822" s="0">
        <v>0</v>
      </c>
      <c r="N4822" s="0">
        <v>0</v>
      </c>
      <c r="O4822" s="0">
        <v>0</v>
      </c>
      <c r="P4822" s="0">
        <v>0</v>
      </c>
      <c r="R4822" s="0" t="b">
        <v>0</v>
      </c>
      <c r="S4822" s="0" t="b">
        <v>1</v>
      </c>
      <c r="T4822" s="68">
        <v>46064.4211458333</v>
      </c>
      <c r="U4822" s="68">
        <v>0</v>
      </c>
      <c r="V4822" s="68">
        <v>0</v>
      </c>
      <c r="W4822" s="0">
        <f>IF(IF(B4822="none",1,IF(B4822="Trialer",1,0))+IF(C4822="Customer",1,IF(C4822="Lost",1,0))=2,1,0)</f>
      </c>
      <c r="X4822" s="0" t="s">
        <v>145</v>
      </c>
      <c r="Y4822" s="0" t="s">
        <v>243</v>
      </c>
      <c r="AV4822" s="68"/>
      <c r="AW4822" s="68"/>
      <c r="AY4822" s="27"/>
      <c r="BD4822" s="68">
        <v>46054.1666666667</v>
      </c>
      <c r="BE4822" s="68">
        <v>46082.1666666667</v>
      </c>
      <c r="BF4822" s="0" t="b">
        <v>0</v>
      </c>
      <c r="BG4822" s="0" t="b">
        <v>0</v>
      </c>
      <c r="BH4822" s="0">
        <v>73</v>
      </c>
      <c r="BI4822" s="0">
        <v>73</v>
      </c>
      <c r="BJ4822" s="0" t="s">
        <v>135</v>
      </c>
    </row>
    <row r="4823">
      <c r="A4823" s="0" t="s">
        <v>5089</v>
      </c>
      <c r="B4823" s="0" t="s">
        <v>5</v>
      </c>
      <c r="C4823" s="0" t="s">
        <v>652</v>
      </c>
      <c r="D4823" s="0" t="s">
        <v>135</v>
      </c>
      <c r="E4823" s="0" t="s">
        <v>2</v>
      </c>
      <c r="F4823" s="0" t="s">
        <v>12</v>
      </c>
      <c r="G4823" s="0" t="s">
        <v>8</v>
      </c>
      <c r="H4823" s="0">
        <v>-10</v>
      </c>
      <c r="I4823" s="0">
        <v>0</v>
      </c>
      <c r="J4823" s="0">
        <v>0</v>
      </c>
      <c r="K4823" s="0">
        <v>0</v>
      </c>
      <c r="L4823" s="0">
        <v>0</v>
      </c>
      <c r="M4823" s="0">
        <v>0</v>
      </c>
      <c r="N4823" s="0">
        <v>0</v>
      </c>
      <c r="O4823" s="0">
        <v>0</v>
      </c>
      <c r="P4823" s="0">
        <v>0</v>
      </c>
      <c r="R4823" s="0" t="b">
        <v>0</v>
      </c>
      <c r="S4823" s="0" t="b">
        <v>1</v>
      </c>
      <c r="T4823" s="68">
        <v>46064.4529861111</v>
      </c>
      <c r="U4823" s="68">
        <v>0</v>
      </c>
      <c r="V4823" s="68">
        <v>0</v>
      </c>
      <c r="W4823" s="0">
        <f>IF(IF(B4823="none",1,IF(B4823="Trialer",1,0))+IF(C4823="Customer",1,IF(C4823="Lost",1,0))=2,1,0)</f>
      </c>
      <c r="X4823" s="0" t="s">
        <v>145</v>
      </c>
      <c r="Y4823" s="0" t="s">
        <v>499</v>
      </c>
      <c r="AV4823" s="68"/>
      <c r="AW4823" s="68"/>
      <c r="AY4823" s="27"/>
      <c r="BD4823" s="68">
        <v>46054.1666666667</v>
      </c>
      <c r="BE4823" s="68">
        <v>46082.1666666667</v>
      </c>
      <c r="BF4823" s="0" t="b">
        <v>0</v>
      </c>
      <c r="BG4823" s="0" t="b">
        <v>0</v>
      </c>
      <c r="BH4823" s="0">
        <v>59</v>
      </c>
      <c r="BI4823" s="0">
        <v>59</v>
      </c>
      <c r="BJ4823" s="0" t="s">
        <v>135</v>
      </c>
    </row>
    <row r="4824">
      <c r="A4824" s="0" t="s">
        <v>5090</v>
      </c>
      <c r="B4824" s="0" t="s">
        <v>5</v>
      </c>
      <c r="C4824" s="0" t="s">
        <v>652</v>
      </c>
      <c r="D4824" s="0" t="s">
        <v>135</v>
      </c>
      <c r="E4824" s="0" t="s">
        <v>3</v>
      </c>
      <c r="F4824" s="0" t="s">
        <v>12</v>
      </c>
      <c r="G4824" s="0" t="s">
        <v>8</v>
      </c>
      <c r="H4824" s="0">
        <v>-10</v>
      </c>
      <c r="I4824" s="0">
        <v>0</v>
      </c>
      <c r="J4824" s="0">
        <v>0</v>
      </c>
      <c r="K4824" s="0">
        <v>0</v>
      </c>
      <c r="L4824" s="0">
        <v>0</v>
      </c>
      <c r="M4824" s="0">
        <v>0</v>
      </c>
      <c r="N4824" s="0">
        <v>0</v>
      </c>
      <c r="O4824" s="0">
        <v>0</v>
      </c>
      <c r="P4824" s="0">
        <v>0</v>
      </c>
      <c r="R4824" s="0" t="b">
        <v>0</v>
      </c>
      <c r="S4824" s="0" t="b">
        <v>1</v>
      </c>
      <c r="T4824" s="68">
        <v>46064.4631828704</v>
      </c>
      <c r="U4824" s="68">
        <v>0</v>
      </c>
      <c r="V4824" s="68">
        <v>0</v>
      </c>
      <c r="W4824" s="0">
        <f>IF(IF(B4824="none",1,IF(B4824="Trialer",1,0))+IF(C4824="Customer",1,IF(C4824="Lost",1,0))=2,1,0)</f>
      </c>
      <c r="X4824" s="0" t="s">
        <v>136</v>
      </c>
      <c r="Y4824" s="0" t="s">
        <v>243</v>
      </c>
      <c r="AV4824" s="68"/>
      <c r="AW4824" s="68"/>
      <c r="AY4824" s="27"/>
      <c r="BD4824" s="68">
        <v>46054.1666666667</v>
      </c>
      <c r="BE4824" s="68">
        <v>46082.1666666667</v>
      </c>
      <c r="BF4824" s="0" t="b">
        <v>0</v>
      </c>
      <c r="BG4824" s="0" t="b">
        <v>0</v>
      </c>
      <c r="BH4824" s="0">
        <v>236</v>
      </c>
      <c r="BI4824" s="0">
        <v>236</v>
      </c>
      <c r="BJ4824" s="0" t="s">
        <v>135</v>
      </c>
    </row>
    <row r="4825">
      <c r="A4825" s="0" t="s">
        <v>5091</v>
      </c>
      <c r="B4825" s="0" t="s">
        <v>5</v>
      </c>
      <c r="C4825" s="0" t="s">
        <v>652</v>
      </c>
      <c r="D4825" s="0" t="s">
        <v>135</v>
      </c>
      <c r="E4825" s="0" t="s">
        <v>3</v>
      </c>
      <c r="F4825" s="0" t="s">
        <v>12</v>
      </c>
      <c r="G4825" s="0" t="s">
        <v>8</v>
      </c>
      <c r="H4825" s="0">
        <v>-10</v>
      </c>
      <c r="I4825" s="0">
        <v>0</v>
      </c>
      <c r="J4825" s="0">
        <v>0</v>
      </c>
      <c r="K4825" s="0">
        <v>0</v>
      </c>
      <c r="L4825" s="0">
        <v>0</v>
      </c>
      <c r="M4825" s="0">
        <v>0</v>
      </c>
      <c r="N4825" s="0">
        <v>0</v>
      </c>
      <c r="O4825" s="0">
        <v>0</v>
      </c>
      <c r="P4825" s="0">
        <v>0</v>
      </c>
      <c r="R4825" s="0" t="b">
        <v>0</v>
      </c>
      <c r="S4825" s="0" t="b">
        <v>1</v>
      </c>
      <c r="T4825" s="68">
        <v>46064.4798032407</v>
      </c>
      <c r="U4825" s="68">
        <v>0</v>
      </c>
      <c r="V4825" s="68">
        <v>0</v>
      </c>
      <c r="W4825" s="0">
        <f>IF(IF(B4825="none",1,IF(B4825="Trialer",1,0))+IF(C4825="Customer",1,IF(C4825="Lost",1,0))=2,1,0)</f>
      </c>
      <c r="X4825" s="0" t="s">
        <v>136</v>
      </c>
      <c r="Y4825" s="0" t="s">
        <v>243</v>
      </c>
      <c r="AV4825" s="68"/>
      <c r="AW4825" s="68"/>
      <c r="AY4825" s="27"/>
      <c r="BD4825" s="68">
        <v>46054.1666666667</v>
      </c>
      <c r="BE4825" s="68">
        <v>46082.1666666667</v>
      </c>
      <c r="BF4825" s="0" t="b">
        <v>0</v>
      </c>
      <c r="BG4825" s="0" t="b">
        <v>0</v>
      </c>
      <c r="BH4825" s="0">
        <v>71</v>
      </c>
      <c r="BI4825" s="0">
        <v>71</v>
      </c>
      <c r="BJ4825" s="0" t="s">
        <v>135</v>
      </c>
    </row>
    <row r="4826">
      <c r="A4826" s="0" t="s">
        <v>5092</v>
      </c>
      <c r="B4826" s="0" t="s">
        <v>5</v>
      </c>
      <c r="C4826" s="0" t="s">
        <v>134</v>
      </c>
      <c r="D4826" s="0" t="s">
        <v>230</v>
      </c>
      <c r="E4826" s="0" t="s">
        <v>2</v>
      </c>
      <c r="F4826" s="0" t="s">
        <v>12</v>
      </c>
      <c r="G4826" s="0" t="s">
        <v>8</v>
      </c>
      <c r="H4826" s="0">
        <v>-10</v>
      </c>
      <c r="I4826" s="0">
        <v>97.2</v>
      </c>
      <c r="J4826" s="0">
        <v>0</v>
      </c>
      <c r="K4826" s="0">
        <v>1</v>
      </c>
      <c r="L4826" s="0">
        <v>3</v>
      </c>
      <c r="M4826" s="0">
        <v>2</v>
      </c>
      <c r="N4826" s="0">
        <v>0</v>
      </c>
      <c r="O4826" s="0">
        <v>0</v>
      </c>
      <c r="P4826" s="0">
        <v>1069.2</v>
      </c>
      <c r="R4826" s="0" t="b">
        <v>0</v>
      </c>
      <c r="S4826" s="0" t="b">
        <v>1</v>
      </c>
      <c r="T4826" s="68">
        <v>46064.5029282407</v>
      </c>
      <c r="U4826" s="68">
        <v>46078.2916666667</v>
      </c>
      <c r="V4826" s="68">
        <v>0</v>
      </c>
      <c r="W4826" s="0">
        <f>IF(IF(B4826="none",1,IF(B4826="Trialer",1,0))+IF(C4826="Customer",1,IF(C4826="Lost",1,0))=2,1,0)</f>
      </c>
      <c r="X4826" s="0" t="s">
        <v>1461</v>
      </c>
      <c r="Y4826" s="0" t="s">
        <v>499</v>
      </c>
      <c r="AV4826" s="68"/>
      <c r="AW4826" s="68"/>
      <c r="AY4826" s="27"/>
      <c r="BD4826" s="68">
        <v>46054.1666666667</v>
      </c>
      <c r="BE4826" s="68">
        <v>46082.1666666667</v>
      </c>
      <c r="BF4826" s="0" t="b">
        <v>0</v>
      </c>
      <c r="BG4826" s="0" t="b">
        <v>0</v>
      </c>
      <c r="BH4826" s="0">
        <v>98</v>
      </c>
      <c r="BI4826" s="0">
        <v>108</v>
      </c>
      <c r="BJ4826" s="0" t="s">
        <v>230</v>
      </c>
    </row>
    <row r="4827">
      <c r="A4827" s="0" t="s">
        <v>5093</v>
      </c>
      <c r="B4827" s="0" t="s">
        <v>5</v>
      </c>
      <c r="C4827" s="0" t="s">
        <v>134</v>
      </c>
      <c r="D4827" s="0" t="s">
        <v>135</v>
      </c>
      <c r="E4827" s="0" t="s">
        <v>3</v>
      </c>
      <c r="F4827" s="0" t="s">
        <v>12</v>
      </c>
      <c r="G4827" s="0" t="s">
        <v>8</v>
      </c>
      <c r="H4827" s="0">
        <v>-10</v>
      </c>
      <c r="I4827" s="0">
        <v>61</v>
      </c>
      <c r="J4827" s="0">
        <v>0</v>
      </c>
      <c r="K4827" s="0">
        <v>1</v>
      </c>
      <c r="L4827" s="0">
        <v>3</v>
      </c>
      <c r="M4827" s="0">
        <v>1</v>
      </c>
      <c r="N4827" s="0">
        <v>0</v>
      </c>
      <c r="O4827" s="0">
        <v>0</v>
      </c>
      <c r="P4827" s="0">
        <v>0</v>
      </c>
      <c r="R4827" s="0" t="b">
        <v>0</v>
      </c>
      <c r="S4827" s="0" t="b">
        <v>1</v>
      </c>
      <c r="T4827" s="68">
        <v>46064.5243402778</v>
      </c>
      <c r="U4827" s="68">
        <v>46080.2916666667</v>
      </c>
      <c r="V4827" s="68">
        <v>0</v>
      </c>
      <c r="W4827" s="0">
        <f>IF(IF(B4827="none",1,IF(B4827="Trialer",1,0))+IF(C4827="Customer",1,IF(C4827="Lost",1,0))=2,1,0)</f>
      </c>
      <c r="X4827" s="0" t="s">
        <v>1461</v>
      </c>
      <c r="Y4827" s="0" t="s">
        <v>243</v>
      </c>
      <c r="AV4827" s="68"/>
      <c r="AW4827" s="68"/>
      <c r="AY4827" s="27"/>
      <c r="BD4827" s="68">
        <v>46054.1666666667</v>
      </c>
      <c r="BE4827" s="68">
        <v>46082.1666666667</v>
      </c>
      <c r="BF4827" s="0" t="b">
        <v>0</v>
      </c>
      <c r="BG4827" s="0" t="b">
        <v>0</v>
      </c>
      <c r="BH4827" s="0">
        <v>61</v>
      </c>
      <c r="BI4827" s="0">
        <v>61</v>
      </c>
      <c r="BJ4827" s="0" t="s">
        <v>135</v>
      </c>
    </row>
    <row r="4828">
      <c r="A4828" s="0" t="s">
        <v>5094</v>
      </c>
      <c r="B4828" s="0" t="s">
        <v>5</v>
      </c>
      <c r="C4828" s="0" t="s">
        <v>652</v>
      </c>
      <c r="D4828" s="0" t="s">
        <v>135</v>
      </c>
      <c r="E4828" s="0" t="s">
        <v>3</v>
      </c>
      <c r="F4828" s="0" t="s">
        <v>12</v>
      </c>
      <c r="G4828" s="0" t="s">
        <v>8</v>
      </c>
      <c r="H4828" s="0">
        <v>-10</v>
      </c>
      <c r="I4828" s="0">
        <v>0</v>
      </c>
      <c r="J4828" s="0">
        <v>0</v>
      </c>
      <c r="K4828" s="0">
        <v>0</v>
      </c>
      <c r="L4828" s="0">
        <v>0</v>
      </c>
      <c r="M4828" s="0">
        <v>0</v>
      </c>
      <c r="N4828" s="0">
        <v>0</v>
      </c>
      <c r="O4828" s="0">
        <v>0</v>
      </c>
      <c r="P4828" s="0">
        <v>0</v>
      </c>
      <c r="R4828" s="0" t="b">
        <v>0</v>
      </c>
      <c r="S4828" s="0" t="b">
        <v>1</v>
      </c>
      <c r="T4828" s="68">
        <v>46064.5358101852</v>
      </c>
      <c r="U4828" s="68">
        <v>0</v>
      </c>
      <c r="V4828" s="68">
        <v>0</v>
      </c>
      <c r="W4828" s="0">
        <f>IF(IF(B4828="none",1,IF(B4828="Trialer",1,0))+IF(C4828="Customer",1,IF(C4828="Lost",1,0))=2,1,0)</f>
      </c>
      <c r="X4828" s="0" t="s">
        <v>136</v>
      </c>
      <c r="Y4828" s="0" t="s">
        <v>243</v>
      </c>
      <c r="AV4828" s="68"/>
      <c r="AW4828" s="68"/>
      <c r="AY4828" s="27"/>
      <c r="BD4828" s="68">
        <v>46054.1666666667</v>
      </c>
      <c r="BE4828" s="68">
        <v>46082.1666666667</v>
      </c>
      <c r="BF4828" s="0" t="b">
        <v>0</v>
      </c>
      <c r="BG4828" s="0" t="b">
        <v>0</v>
      </c>
      <c r="BH4828" s="0">
        <v>71</v>
      </c>
      <c r="BI4828" s="0">
        <v>71</v>
      </c>
      <c r="BJ4828" s="0" t="s">
        <v>135</v>
      </c>
    </row>
    <row r="4829">
      <c r="A4829" s="0" t="s">
        <v>5095</v>
      </c>
      <c r="B4829" s="0" t="s">
        <v>5</v>
      </c>
      <c r="C4829" s="0" t="s">
        <v>652</v>
      </c>
      <c r="D4829" s="0" t="s">
        <v>135</v>
      </c>
      <c r="E4829" s="0" t="s">
        <v>3</v>
      </c>
      <c r="F4829" s="0" t="s">
        <v>12</v>
      </c>
      <c r="G4829" s="0" t="s">
        <v>8</v>
      </c>
      <c r="H4829" s="0">
        <v>-10</v>
      </c>
      <c r="I4829" s="0">
        <v>0</v>
      </c>
      <c r="J4829" s="0">
        <v>0</v>
      </c>
      <c r="K4829" s="0">
        <v>0</v>
      </c>
      <c r="L4829" s="0">
        <v>0</v>
      </c>
      <c r="M4829" s="0">
        <v>0</v>
      </c>
      <c r="N4829" s="0">
        <v>0</v>
      </c>
      <c r="O4829" s="0">
        <v>0</v>
      </c>
      <c r="P4829" s="0">
        <v>0</v>
      </c>
      <c r="R4829" s="0" t="b">
        <v>0</v>
      </c>
      <c r="S4829" s="0" t="b">
        <v>1</v>
      </c>
      <c r="T4829" s="68">
        <v>46064.5453935185</v>
      </c>
      <c r="U4829" s="68">
        <v>0</v>
      </c>
      <c r="V4829" s="68">
        <v>0</v>
      </c>
      <c r="W4829" s="0">
        <f>IF(IF(B4829="none",1,IF(B4829="Trialer",1,0))+IF(C4829="Customer",1,IF(C4829="Lost",1,0))=2,1,0)</f>
      </c>
      <c r="X4829" s="0" t="s">
        <v>148</v>
      </c>
      <c r="Y4829" s="0" t="s">
        <v>243</v>
      </c>
      <c r="AV4829" s="68"/>
      <c r="AW4829" s="68"/>
      <c r="AY4829" s="27"/>
      <c r="BD4829" s="68">
        <v>46054.1666666667</v>
      </c>
      <c r="BE4829" s="68">
        <v>46082.1666666667</v>
      </c>
      <c r="BF4829" s="0" t="b">
        <v>0</v>
      </c>
      <c r="BG4829" s="0" t="b">
        <v>0</v>
      </c>
      <c r="BH4829" s="0">
        <v>59</v>
      </c>
      <c r="BI4829" s="0">
        <v>59</v>
      </c>
      <c r="BJ4829" s="0" t="s">
        <v>135</v>
      </c>
    </row>
    <row r="4830">
      <c r="A4830" s="0" t="s">
        <v>5096</v>
      </c>
      <c r="B4830" s="0" t="s">
        <v>5</v>
      </c>
      <c r="C4830" s="0" t="s">
        <v>652</v>
      </c>
      <c r="D4830" s="0" t="s">
        <v>135</v>
      </c>
      <c r="E4830" s="0" t="s">
        <v>3</v>
      </c>
      <c r="F4830" s="0" t="s">
        <v>12</v>
      </c>
      <c r="G4830" s="0" t="s">
        <v>8</v>
      </c>
      <c r="H4830" s="0">
        <v>-10</v>
      </c>
      <c r="I4830" s="0">
        <v>0</v>
      </c>
      <c r="J4830" s="0">
        <v>0</v>
      </c>
      <c r="K4830" s="0">
        <v>0</v>
      </c>
      <c r="L4830" s="0">
        <v>0</v>
      </c>
      <c r="M4830" s="0">
        <v>0</v>
      </c>
      <c r="N4830" s="0">
        <v>0</v>
      </c>
      <c r="O4830" s="0">
        <v>0</v>
      </c>
      <c r="P4830" s="0">
        <v>0</v>
      </c>
      <c r="R4830" s="0" t="b">
        <v>0</v>
      </c>
      <c r="S4830" s="0" t="b">
        <v>0</v>
      </c>
      <c r="T4830" s="68">
        <v>46064.5475925926</v>
      </c>
      <c r="U4830" s="68">
        <v>0</v>
      </c>
      <c r="V4830" s="68">
        <v>46079.487349537</v>
      </c>
      <c r="W4830" s="0">
        <f>IF(IF(B4830="none",1,IF(B4830="Trialer",1,0))+IF(C4830="Customer",1,IF(C4830="Lost",1,0))=2,1,0)</f>
      </c>
      <c r="X4830" s="0" t="s">
        <v>145</v>
      </c>
      <c r="Y4830" s="0" t="s">
        <v>243</v>
      </c>
      <c r="AV4830" s="68"/>
      <c r="AW4830" s="68"/>
      <c r="AY4830" s="27"/>
      <c r="BD4830" s="68">
        <v>46054.1666666667</v>
      </c>
      <c r="BE4830" s="68">
        <v>46082.1666666667</v>
      </c>
      <c r="BF4830" s="0" t="b">
        <v>0</v>
      </c>
      <c r="BG4830" s="0" t="b">
        <v>0</v>
      </c>
      <c r="BH4830" s="0">
        <v>59</v>
      </c>
      <c r="BI4830" s="0">
        <v>59</v>
      </c>
      <c r="BJ4830" s="0" t="s">
        <v>135</v>
      </c>
    </row>
    <row r="4831">
      <c r="A4831" s="0" t="s">
        <v>5097</v>
      </c>
      <c r="B4831" s="0" t="s">
        <v>5</v>
      </c>
      <c r="C4831" s="0" t="s">
        <v>652</v>
      </c>
      <c r="D4831" s="0" t="s">
        <v>135</v>
      </c>
      <c r="E4831" s="0" t="s">
        <v>3</v>
      </c>
      <c r="F4831" s="0" t="s">
        <v>12</v>
      </c>
      <c r="G4831" s="0" t="s">
        <v>8</v>
      </c>
      <c r="H4831" s="0">
        <v>-10</v>
      </c>
      <c r="I4831" s="0">
        <v>0</v>
      </c>
      <c r="J4831" s="0">
        <v>0</v>
      </c>
      <c r="K4831" s="0">
        <v>0</v>
      </c>
      <c r="L4831" s="0">
        <v>0</v>
      </c>
      <c r="M4831" s="0">
        <v>0</v>
      </c>
      <c r="N4831" s="0">
        <v>0</v>
      </c>
      <c r="O4831" s="0">
        <v>0</v>
      </c>
      <c r="P4831" s="0">
        <v>0</v>
      </c>
      <c r="R4831" s="0" t="b">
        <v>0</v>
      </c>
      <c r="S4831" s="0" t="b">
        <v>1</v>
      </c>
      <c r="T4831" s="68">
        <v>46064.5529861111</v>
      </c>
      <c r="U4831" s="68">
        <v>0</v>
      </c>
      <c r="V4831" s="68">
        <v>0</v>
      </c>
      <c r="W4831" s="0">
        <f>IF(IF(B4831="none",1,IF(B4831="Trialer",1,0))+IF(C4831="Customer",1,IF(C4831="Lost",1,0))=2,1,0)</f>
      </c>
      <c r="X4831" s="0" t="s">
        <v>136</v>
      </c>
      <c r="Y4831" s="0" t="s">
        <v>243</v>
      </c>
      <c r="AV4831" s="68"/>
      <c r="AW4831" s="68"/>
      <c r="AY4831" s="27"/>
      <c r="BD4831" s="68">
        <v>46054.1666666667</v>
      </c>
      <c r="BE4831" s="68">
        <v>46082.1666666667</v>
      </c>
      <c r="BF4831" s="0" t="b">
        <v>0</v>
      </c>
      <c r="BG4831" s="0" t="b">
        <v>0</v>
      </c>
      <c r="BH4831" s="0">
        <v>59</v>
      </c>
      <c r="BI4831" s="0">
        <v>59</v>
      </c>
      <c r="BJ4831" s="0" t="s">
        <v>135</v>
      </c>
    </row>
    <row r="4832">
      <c r="A4832" s="0" t="s">
        <v>5098</v>
      </c>
      <c r="B4832" s="0" t="s">
        <v>5</v>
      </c>
      <c r="C4832" s="0" t="s">
        <v>652</v>
      </c>
      <c r="D4832" s="0" t="s">
        <v>135</v>
      </c>
      <c r="E4832" s="0" t="s">
        <v>2414</v>
      </c>
      <c r="F4832" s="0" t="s">
        <v>12</v>
      </c>
      <c r="G4832" s="0" t="s">
        <v>8</v>
      </c>
      <c r="H4832" s="0">
        <v>-10</v>
      </c>
      <c r="I4832" s="0">
        <v>0</v>
      </c>
      <c r="J4832" s="0">
        <v>0</v>
      </c>
      <c r="K4832" s="0">
        <v>0</v>
      </c>
      <c r="L4832" s="0">
        <v>0</v>
      </c>
      <c r="M4832" s="0">
        <v>0</v>
      </c>
      <c r="N4832" s="0">
        <v>0</v>
      </c>
      <c r="O4832" s="0">
        <v>0</v>
      </c>
      <c r="P4832" s="0">
        <v>0</v>
      </c>
      <c r="R4832" s="0" t="b">
        <v>0</v>
      </c>
      <c r="S4832" s="0" t="b">
        <v>1</v>
      </c>
      <c r="T4832" s="68">
        <v>46064.5709606481</v>
      </c>
      <c r="U4832" s="68">
        <v>0</v>
      </c>
      <c r="V4832" s="68">
        <v>0</v>
      </c>
      <c r="W4832" s="0">
        <f>IF(IF(B4832="none",1,IF(B4832="Trialer",1,0))+IF(C4832="Customer",1,IF(C4832="Lost",1,0))=2,1,0)</f>
      </c>
      <c r="X4832" s="0" t="s">
        <v>153</v>
      </c>
      <c r="Y4832" s="0" t="s">
        <v>1516</v>
      </c>
      <c r="AV4832" s="68"/>
      <c r="AW4832" s="68"/>
      <c r="AY4832" s="27"/>
      <c r="BD4832" s="68">
        <v>46054.1666666667</v>
      </c>
      <c r="BE4832" s="68">
        <v>46082.1666666667</v>
      </c>
      <c r="BF4832" s="0" t="b">
        <v>0</v>
      </c>
      <c r="BG4832" s="0" t="b">
        <v>0</v>
      </c>
      <c r="BH4832" s="0">
        <v>59</v>
      </c>
      <c r="BI4832" s="0">
        <v>59</v>
      </c>
      <c r="BJ4832" s="0" t="s">
        <v>135</v>
      </c>
    </row>
    <row r="4833">
      <c r="A4833" s="0" t="s">
        <v>5099</v>
      </c>
      <c r="B4833" s="0" t="s">
        <v>5</v>
      </c>
      <c r="C4833" s="0" t="s">
        <v>652</v>
      </c>
      <c r="D4833" s="0" t="s">
        <v>135</v>
      </c>
      <c r="E4833" s="0" t="s">
        <v>2</v>
      </c>
      <c r="F4833" s="0" t="s">
        <v>12</v>
      </c>
      <c r="G4833" s="0" t="s">
        <v>8</v>
      </c>
      <c r="H4833" s="0">
        <v>-10</v>
      </c>
      <c r="I4833" s="0">
        <v>0</v>
      </c>
      <c r="J4833" s="0">
        <v>0</v>
      </c>
      <c r="K4833" s="0">
        <v>0</v>
      </c>
      <c r="L4833" s="0">
        <v>0</v>
      </c>
      <c r="M4833" s="0">
        <v>0</v>
      </c>
      <c r="N4833" s="0">
        <v>0</v>
      </c>
      <c r="O4833" s="0">
        <v>0</v>
      </c>
      <c r="P4833" s="0">
        <v>0</v>
      </c>
      <c r="R4833" s="0" t="b">
        <v>0</v>
      </c>
      <c r="S4833" s="0" t="b">
        <v>1</v>
      </c>
      <c r="T4833" s="68">
        <v>46064.5938657407</v>
      </c>
      <c r="U4833" s="68">
        <v>0</v>
      </c>
      <c r="V4833" s="68">
        <v>0</v>
      </c>
      <c r="W4833" s="0">
        <f>IF(IF(B4833="none",1,IF(B4833="Trialer",1,0))+IF(C4833="Customer",1,IF(C4833="Lost",1,0))=2,1,0)</f>
      </c>
      <c r="X4833" s="0" t="s">
        <v>145</v>
      </c>
      <c r="Y4833" s="0" t="s">
        <v>499</v>
      </c>
      <c r="AV4833" s="68"/>
      <c r="AW4833" s="68"/>
      <c r="AY4833" s="27"/>
      <c r="BD4833" s="68">
        <v>46054.1666666667</v>
      </c>
      <c r="BE4833" s="68">
        <v>46082.1666666667</v>
      </c>
      <c r="BF4833" s="0" t="b">
        <v>0</v>
      </c>
      <c r="BG4833" s="0" t="b">
        <v>0</v>
      </c>
      <c r="BH4833" s="0">
        <v>71</v>
      </c>
      <c r="BI4833" s="0">
        <v>71</v>
      </c>
      <c r="BJ4833" s="0" t="s">
        <v>135</v>
      </c>
    </row>
    <row r="4834">
      <c r="A4834" s="0" t="s">
        <v>5100</v>
      </c>
      <c r="B4834" s="0" t="s">
        <v>5</v>
      </c>
      <c r="C4834" s="0" t="s">
        <v>652</v>
      </c>
      <c r="D4834" s="0" t="s">
        <v>135</v>
      </c>
      <c r="E4834" s="0" t="s">
        <v>3</v>
      </c>
      <c r="F4834" s="0" t="s">
        <v>12</v>
      </c>
      <c r="G4834" s="0" t="s">
        <v>8</v>
      </c>
      <c r="H4834" s="0">
        <v>-10</v>
      </c>
      <c r="I4834" s="0">
        <v>0</v>
      </c>
      <c r="J4834" s="0">
        <v>0</v>
      </c>
      <c r="K4834" s="0">
        <v>0</v>
      </c>
      <c r="L4834" s="0">
        <v>0</v>
      </c>
      <c r="M4834" s="0">
        <v>0</v>
      </c>
      <c r="N4834" s="0">
        <v>0</v>
      </c>
      <c r="O4834" s="0">
        <v>0</v>
      </c>
      <c r="P4834" s="0">
        <v>0</v>
      </c>
      <c r="R4834" s="0" t="b">
        <v>0</v>
      </c>
      <c r="S4834" s="0" t="b">
        <v>1</v>
      </c>
      <c r="T4834" s="68">
        <v>46064.5957638889</v>
      </c>
      <c r="U4834" s="68">
        <v>0</v>
      </c>
      <c r="V4834" s="68">
        <v>0</v>
      </c>
      <c r="W4834" s="0">
        <f>IF(IF(B4834="none",1,IF(B4834="Trialer",1,0))+IF(C4834="Customer",1,IF(C4834="Lost",1,0))=2,1,0)</f>
      </c>
      <c r="X4834" s="0" t="s">
        <v>136</v>
      </c>
      <c r="Y4834" s="0" t="s">
        <v>243</v>
      </c>
      <c r="AV4834" s="68"/>
      <c r="AW4834" s="68"/>
      <c r="AY4834" s="27"/>
      <c r="BD4834" s="68">
        <v>46054.1666666667</v>
      </c>
      <c r="BE4834" s="68">
        <v>46082.1666666667</v>
      </c>
      <c r="BF4834" s="0" t="b">
        <v>0</v>
      </c>
      <c r="BG4834" s="0" t="b">
        <v>0</v>
      </c>
      <c r="BH4834" s="0">
        <v>59</v>
      </c>
      <c r="BI4834" s="0">
        <v>59</v>
      </c>
      <c r="BJ4834" s="0" t="s">
        <v>135</v>
      </c>
    </row>
    <row r="4835">
      <c r="A4835" s="0" t="s">
        <v>5101</v>
      </c>
      <c r="B4835" s="0" t="s">
        <v>5</v>
      </c>
      <c r="C4835" s="0" t="s">
        <v>652</v>
      </c>
      <c r="D4835" s="0" t="s">
        <v>135</v>
      </c>
      <c r="E4835" s="0" t="s">
        <v>3</v>
      </c>
      <c r="F4835" s="0" t="s">
        <v>12</v>
      </c>
      <c r="G4835" s="0" t="s">
        <v>8</v>
      </c>
      <c r="H4835" s="0">
        <v>-10</v>
      </c>
      <c r="I4835" s="0">
        <v>0</v>
      </c>
      <c r="J4835" s="0">
        <v>0</v>
      </c>
      <c r="K4835" s="0">
        <v>0</v>
      </c>
      <c r="L4835" s="0">
        <v>0</v>
      </c>
      <c r="M4835" s="0">
        <v>0</v>
      </c>
      <c r="N4835" s="0">
        <v>0</v>
      </c>
      <c r="O4835" s="0">
        <v>0</v>
      </c>
      <c r="P4835" s="0">
        <v>0</v>
      </c>
      <c r="R4835" s="0" t="b">
        <v>0</v>
      </c>
      <c r="S4835" s="0" t="b">
        <v>1</v>
      </c>
      <c r="T4835" s="68">
        <v>46064.6146296296</v>
      </c>
      <c r="U4835" s="68">
        <v>0</v>
      </c>
      <c r="V4835" s="68">
        <v>0</v>
      </c>
      <c r="W4835" s="0">
        <f>IF(IF(B4835="none",1,IF(B4835="Trialer",1,0))+IF(C4835="Customer",1,IF(C4835="Lost",1,0))=2,1,0)</f>
      </c>
      <c r="X4835" s="0" t="s">
        <v>148</v>
      </c>
      <c r="Y4835" s="0" t="s">
        <v>243</v>
      </c>
      <c r="AV4835" s="68"/>
      <c r="AW4835" s="68"/>
      <c r="AY4835" s="27"/>
      <c r="BD4835" s="68">
        <v>46054.1666666667</v>
      </c>
      <c r="BE4835" s="68">
        <v>46082.1666666667</v>
      </c>
      <c r="BF4835" s="0" t="b">
        <v>0</v>
      </c>
      <c r="BG4835" s="0" t="b">
        <v>0</v>
      </c>
      <c r="BH4835" s="0">
        <v>73</v>
      </c>
      <c r="BI4835" s="0">
        <v>73</v>
      </c>
      <c r="BJ4835" s="0" t="s">
        <v>135</v>
      </c>
    </row>
    <row r="4836">
      <c r="A4836" s="0" t="s">
        <v>5102</v>
      </c>
      <c r="B4836" s="0" t="s">
        <v>5</v>
      </c>
      <c r="C4836" s="0" t="s">
        <v>652</v>
      </c>
      <c r="D4836" s="0" t="s">
        <v>135</v>
      </c>
      <c r="E4836" s="0" t="s">
        <v>3</v>
      </c>
      <c r="F4836" s="0" t="s">
        <v>12</v>
      </c>
      <c r="G4836" s="0" t="s">
        <v>8</v>
      </c>
      <c r="H4836" s="0">
        <v>-10</v>
      </c>
      <c r="I4836" s="0">
        <v>0</v>
      </c>
      <c r="J4836" s="0">
        <v>0</v>
      </c>
      <c r="K4836" s="0">
        <v>0</v>
      </c>
      <c r="L4836" s="0">
        <v>0</v>
      </c>
      <c r="M4836" s="0">
        <v>0</v>
      </c>
      <c r="N4836" s="0">
        <v>0</v>
      </c>
      <c r="O4836" s="0">
        <v>0</v>
      </c>
      <c r="P4836" s="0">
        <v>0</v>
      </c>
      <c r="R4836" s="0" t="b">
        <v>0</v>
      </c>
      <c r="S4836" s="0" t="b">
        <v>1</v>
      </c>
      <c r="T4836" s="68">
        <v>46064.6268402778</v>
      </c>
      <c r="U4836" s="68">
        <v>0</v>
      </c>
      <c r="V4836" s="68">
        <v>0</v>
      </c>
      <c r="W4836" s="0">
        <f>IF(IF(B4836="none",1,IF(B4836="Trialer",1,0))+IF(C4836="Customer",1,IF(C4836="Lost",1,0))=2,1,0)</f>
      </c>
      <c r="X4836" s="0" t="s">
        <v>145</v>
      </c>
      <c r="Y4836" s="0" t="s">
        <v>243</v>
      </c>
      <c r="AV4836" s="68"/>
      <c r="AW4836" s="68"/>
      <c r="AY4836" s="27"/>
      <c r="BD4836" s="68">
        <v>46054.1666666667</v>
      </c>
      <c r="BE4836" s="68">
        <v>46082.1666666667</v>
      </c>
      <c r="BF4836" s="0" t="b">
        <v>0</v>
      </c>
      <c r="BG4836" s="0" t="b">
        <v>0</v>
      </c>
      <c r="BH4836" s="0">
        <v>255</v>
      </c>
      <c r="BI4836" s="0">
        <v>255</v>
      </c>
      <c r="BJ4836" s="0" t="s">
        <v>135</v>
      </c>
    </row>
    <row r="4837">
      <c r="A4837" s="0" t="s">
        <v>5103</v>
      </c>
      <c r="B4837" s="0" t="s">
        <v>5</v>
      </c>
      <c r="C4837" s="0" t="s">
        <v>652</v>
      </c>
      <c r="D4837" s="0" t="s">
        <v>135</v>
      </c>
      <c r="E4837" s="0" t="s">
        <v>3</v>
      </c>
      <c r="F4837" s="0" t="s">
        <v>12</v>
      </c>
      <c r="G4837" s="0" t="s">
        <v>8</v>
      </c>
      <c r="H4837" s="0">
        <v>-10</v>
      </c>
      <c r="I4837" s="0">
        <v>0</v>
      </c>
      <c r="J4837" s="0">
        <v>0</v>
      </c>
      <c r="K4837" s="0">
        <v>0</v>
      </c>
      <c r="L4837" s="0">
        <v>0</v>
      </c>
      <c r="M4837" s="0">
        <v>0</v>
      </c>
      <c r="N4837" s="0">
        <v>0</v>
      </c>
      <c r="O4837" s="0">
        <v>0</v>
      </c>
      <c r="P4837" s="0">
        <v>0</v>
      </c>
      <c r="R4837" s="0" t="b">
        <v>0</v>
      </c>
      <c r="S4837" s="0" t="b">
        <v>0</v>
      </c>
      <c r="T4837" s="68">
        <v>46064.6368402778</v>
      </c>
      <c r="U4837" s="68">
        <v>0</v>
      </c>
      <c r="V4837" s="68">
        <v>46069.526412037</v>
      </c>
      <c r="W4837" s="0">
        <f>IF(IF(B4837="none",1,IF(B4837="Trialer",1,0))+IF(C4837="Customer",1,IF(C4837="Lost",1,0))=2,1,0)</f>
      </c>
      <c r="X4837" s="0" t="s">
        <v>136</v>
      </c>
      <c r="Y4837" s="0" t="s">
        <v>243</v>
      </c>
      <c r="AV4837" s="68"/>
      <c r="AW4837" s="68"/>
      <c r="AY4837" s="27"/>
      <c r="BD4837" s="68">
        <v>46054.1666666667</v>
      </c>
      <c r="BE4837" s="68">
        <v>46082.1666666667</v>
      </c>
      <c r="BF4837" s="0" t="b">
        <v>0</v>
      </c>
      <c r="BG4837" s="0" t="b">
        <v>1</v>
      </c>
      <c r="BH4837" s="0">
        <v>355</v>
      </c>
      <c r="BI4837" s="0">
        <v>355</v>
      </c>
      <c r="BJ4837" s="0" t="s">
        <v>135</v>
      </c>
    </row>
    <row r="4838">
      <c r="A4838" s="0" t="s">
        <v>5104</v>
      </c>
      <c r="B4838" s="0" t="s">
        <v>5</v>
      </c>
      <c r="C4838" s="0" t="s">
        <v>652</v>
      </c>
      <c r="D4838" s="0" t="s">
        <v>135</v>
      </c>
      <c r="E4838" s="0" t="s">
        <v>2414</v>
      </c>
      <c r="F4838" s="0" t="s">
        <v>12</v>
      </c>
      <c r="G4838" s="0" t="s">
        <v>8</v>
      </c>
      <c r="H4838" s="0">
        <v>-10</v>
      </c>
      <c r="I4838" s="0">
        <v>0</v>
      </c>
      <c r="J4838" s="0">
        <v>0</v>
      </c>
      <c r="K4838" s="0">
        <v>0</v>
      </c>
      <c r="L4838" s="0">
        <v>0</v>
      </c>
      <c r="M4838" s="0">
        <v>0</v>
      </c>
      <c r="N4838" s="0">
        <v>0</v>
      </c>
      <c r="O4838" s="0">
        <v>0</v>
      </c>
      <c r="P4838" s="0">
        <v>0</v>
      </c>
      <c r="R4838" s="0" t="b">
        <v>0</v>
      </c>
      <c r="S4838" s="0" t="b">
        <v>1</v>
      </c>
      <c r="T4838" s="68">
        <v>46064.6741782407</v>
      </c>
      <c r="U4838" s="68">
        <v>0</v>
      </c>
      <c r="V4838" s="68">
        <v>0</v>
      </c>
      <c r="W4838" s="0">
        <f>IF(IF(B4838="none",1,IF(B4838="Trialer",1,0))+IF(C4838="Customer",1,IF(C4838="Lost",1,0))=2,1,0)</f>
      </c>
      <c r="X4838" s="0" t="s">
        <v>148</v>
      </c>
      <c r="Y4838" s="0" t="s">
        <v>1516</v>
      </c>
      <c r="AV4838" s="68"/>
      <c r="AW4838" s="68"/>
      <c r="AY4838" s="27"/>
      <c r="BD4838" s="68">
        <v>46054.1666666667</v>
      </c>
      <c r="BE4838" s="68">
        <v>46082.1666666667</v>
      </c>
      <c r="BF4838" s="0" t="b">
        <v>0</v>
      </c>
      <c r="BG4838" s="0" t="b">
        <v>0</v>
      </c>
      <c r="BH4838" s="0">
        <v>59</v>
      </c>
      <c r="BI4838" s="0">
        <v>59</v>
      </c>
      <c r="BJ4838" s="0" t="s">
        <v>135</v>
      </c>
    </row>
    <row r="4839">
      <c r="A4839" s="0" t="s">
        <v>5105</v>
      </c>
      <c r="B4839" s="0" t="s">
        <v>5</v>
      </c>
      <c r="C4839" s="0" t="s">
        <v>652</v>
      </c>
      <c r="D4839" s="0" t="s">
        <v>135</v>
      </c>
      <c r="E4839" s="0" t="s">
        <v>3</v>
      </c>
      <c r="F4839" s="0" t="s">
        <v>12</v>
      </c>
      <c r="G4839" s="0" t="s">
        <v>8</v>
      </c>
      <c r="H4839" s="0">
        <v>-10</v>
      </c>
      <c r="I4839" s="0">
        <v>0</v>
      </c>
      <c r="J4839" s="0">
        <v>0</v>
      </c>
      <c r="K4839" s="0">
        <v>0</v>
      </c>
      <c r="L4839" s="0">
        <v>0</v>
      </c>
      <c r="M4839" s="0">
        <v>0</v>
      </c>
      <c r="N4839" s="0">
        <v>0</v>
      </c>
      <c r="O4839" s="0">
        <v>0</v>
      </c>
      <c r="P4839" s="0">
        <v>0</v>
      </c>
      <c r="R4839" s="0" t="b">
        <v>0</v>
      </c>
      <c r="S4839" s="0" t="b">
        <v>1</v>
      </c>
      <c r="T4839" s="68">
        <v>46064.7394907407</v>
      </c>
      <c r="U4839" s="68">
        <v>0</v>
      </c>
      <c r="V4839" s="68">
        <v>0</v>
      </c>
      <c r="W4839" s="0">
        <f>IF(IF(B4839="none",1,IF(B4839="Trialer",1,0))+IF(C4839="Customer",1,IF(C4839="Lost",1,0))=2,1,0)</f>
      </c>
      <c r="X4839" s="0" t="s">
        <v>145</v>
      </c>
      <c r="Y4839" s="0" t="s">
        <v>243</v>
      </c>
      <c r="AV4839" s="68"/>
      <c r="AW4839" s="68"/>
      <c r="AY4839" s="27"/>
      <c r="BD4839" s="68">
        <v>46054.1666666667</v>
      </c>
      <c r="BE4839" s="68">
        <v>46082.1666666667</v>
      </c>
      <c r="BF4839" s="0" t="b">
        <v>0</v>
      </c>
      <c r="BG4839" s="0" t="b">
        <v>0</v>
      </c>
      <c r="BH4839" s="0">
        <v>85</v>
      </c>
      <c r="BI4839" s="0">
        <v>85</v>
      </c>
      <c r="BJ4839" s="0" t="s">
        <v>135</v>
      </c>
    </row>
    <row r="4840">
      <c r="A4840" s="0" t="s">
        <v>5106</v>
      </c>
      <c r="B4840" s="0" t="s">
        <v>5</v>
      </c>
      <c r="C4840" s="0" t="s">
        <v>652</v>
      </c>
      <c r="D4840" s="0" t="s">
        <v>135</v>
      </c>
      <c r="E4840" s="0" t="s">
        <v>1515</v>
      </c>
      <c r="F4840" s="0" t="s">
        <v>12</v>
      </c>
      <c r="G4840" s="0" t="s">
        <v>8</v>
      </c>
      <c r="H4840" s="0">
        <v>-10</v>
      </c>
      <c r="I4840" s="0">
        <v>0</v>
      </c>
      <c r="J4840" s="0">
        <v>0</v>
      </c>
      <c r="K4840" s="0">
        <v>0</v>
      </c>
      <c r="L4840" s="0">
        <v>0</v>
      </c>
      <c r="M4840" s="0">
        <v>0</v>
      </c>
      <c r="N4840" s="0">
        <v>0</v>
      </c>
      <c r="O4840" s="0">
        <v>0</v>
      </c>
      <c r="P4840" s="0">
        <v>0</v>
      </c>
      <c r="R4840" s="0" t="b">
        <v>0</v>
      </c>
      <c r="S4840" s="0" t="b">
        <v>1</v>
      </c>
      <c r="T4840" s="68">
        <v>46064.7543171296</v>
      </c>
      <c r="U4840" s="68">
        <v>0</v>
      </c>
      <c r="V4840" s="68">
        <v>0</v>
      </c>
      <c r="W4840" s="0">
        <f>IF(IF(B4840="none",1,IF(B4840="Trialer",1,0))+IF(C4840="Customer",1,IF(C4840="Lost",1,0))=2,1,0)</f>
      </c>
      <c r="X4840" s="0" t="s">
        <v>136</v>
      </c>
      <c r="Y4840" s="0" t="s">
        <v>1516</v>
      </c>
      <c r="AV4840" s="68"/>
      <c r="AW4840" s="68"/>
      <c r="AY4840" s="27"/>
      <c r="BD4840" s="68">
        <v>46054.1666666667</v>
      </c>
      <c r="BE4840" s="68">
        <v>46082.1666666667</v>
      </c>
      <c r="BF4840" s="0" t="b">
        <v>0</v>
      </c>
      <c r="BG4840" s="0" t="b">
        <v>0</v>
      </c>
      <c r="BH4840" s="0">
        <v>59</v>
      </c>
      <c r="BI4840" s="0">
        <v>59</v>
      </c>
      <c r="BJ4840" s="0" t="s">
        <v>135</v>
      </c>
    </row>
    <row r="4841">
      <c r="A4841" s="0" t="s">
        <v>5107</v>
      </c>
      <c r="B4841" s="0" t="s">
        <v>5</v>
      </c>
      <c r="C4841" s="0" t="s">
        <v>652</v>
      </c>
      <c r="D4841" s="0" t="s">
        <v>135</v>
      </c>
      <c r="E4841" s="0" t="s">
        <v>1515</v>
      </c>
      <c r="F4841" s="0" t="s">
        <v>12</v>
      </c>
      <c r="G4841" s="0" t="s">
        <v>8</v>
      </c>
      <c r="H4841" s="0">
        <v>-10</v>
      </c>
      <c r="I4841" s="0">
        <v>0</v>
      </c>
      <c r="J4841" s="0">
        <v>0</v>
      </c>
      <c r="K4841" s="0">
        <v>0</v>
      </c>
      <c r="L4841" s="0">
        <v>0</v>
      </c>
      <c r="M4841" s="0">
        <v>0</v>
      </c>
      <c r="N4841" s="0">
        <v>0</v>
      </c>
      <c r="O4841" s="0">
        <v>0</v>
      </c>
      <c r="P4841" s="0">
        <v>0</v>
      </c>
      <c r="R4841" s="0" t="b">
        <v>0</v>
      </c>
      <c r="S4841" s="0" t="b">
        <v>1</v>
      </c>
      <c r="T4841" s="68">
        <v>46064.761712963</v>
      </c>
      <c r="U4841" s="68">
        <v>0</v>
      </c>
      <c r="V4841" s="68">
        <v>0</v>
      </c>
      <c r="W4841" s="0">
        <f>IF(IF(B4841="none",1,IF(B4841="Trialer",1,0))+IF(C4841="Customer",1,IF(C4841="Lost",1,0))=2,1,0)</f>
      </c>
      <c r="X4841" s="0" t="s">
        <v>148</v>
      </c>
      <c r="Y4841" s="0" t="s">
        <v>1516</v>
      </c>
      <c r="AV4841" s="68"/>
      <c r="AW4841" s="68"/>
      <c r="AY4841" s="27"/>
      <c r="BD4841" s="68">
        <v>46054.1666666667</v>
      </c>
      <c r="BE4841" s="68">
        <v>46082.1666666667</v>
      </c>
      <c r="BF4841" s="0" t="b">
        <v>0</v>
      </c>
      <c r="BG4841" s="0" t="b">
        <v>0</v>
      </c>
      <c r="BH4841" s="0">
        <v>59</v>
      </c>
      <c r="BI4841" s="0">
        <v>59</v>
      </c>
      <c r="BJ4841" s="0" t="s">
        <v>135</v>
      </c>
    </row>
    <row r="4842">
      <c r="A4842" s="0" t="s">
        <v>5108</v>
      </c>
      <c r="B4842" s="0" t="s">
        <v>5</v>
      </c>
      <c r="C4842" s="0" t="s">
        <v>652</v>
      </c>
      <c r="D4842" s="0" t="s">
        <v>135</v>
      </c>
      <c r="E4842" s="0" t="s">
        <v>3</v>
      </c>
      <c r="F4842" s="0" t="s">
        <v>12</v>
      </c>
      <c r="G4842" s="0" t="s">
        <v>8</v>
      </c>
      <c r="H4842" s="0">
        <v>-10</v>
      </c>
      <c r="I4842" s="0">
        <v>0</v>
      </c>
      <c r="J4842" s="0">
        <v>0</v>
      </c>
      <c r="K4842" s="0">
        <v>0</v>
      </c>
      <c r="L4842" s="0">
        <v>0</v>
      </c>
      <c r="M4842" s="0">
        <v>0</v>
      </c>
      <c r="N4842" s="0">
        <v>0</v>
      </c>
      <c r="O4842" s="0">
        <v>0</v>
      </c>
      <c r="P4842" s="0">
        <v>0</v>
      </c>
      <c r="R4842" s="0" t="b">
        <v>0</v>
      </c>
      <c r="S4842" s="0" t="b">
        <v>0</v>
      </c>
      <c r="T4842" s="68">
        <v>46064.8906481481</v>
      </c>
      <c r="U4842" s="68">
        <v>0</v>
      </c>
      <c r="V4842" s="68">
        <v>46072.3305439815</v>
      </c>
      <c r="W4842" s="0">
        <f>IF(IF(B4842="none",1,IF(B4842="Trialer",1,0))+IF(C4842="Customer",1,IF(C4842="Lost",1,0))=2,1,0)</f>
      </c>
      <c r="X4842" s="0" t="s">
        <v>145</v>
      </c>
      <c r="Y4842" s="0" t="s">
        <v>243</v>
      </c>
      <c r="AV4842" s="68"/>
      <c r="AW4842" s="68"/>
      <c r="AY4842" s="27"/>
      <c r="BD4842" s="68">
        <v>46054.1666666667</v>
      </c>
      <c r="BE4842" s="68">
        <v>46082.1666666667</v>
      </c>
      <c r="BF4842" s="0" t="b">
        <v>0</v>
      </c>
      <c r="BG4842" s="0" t="b">
        <v>0</v>
      </c>
      <c r="BH4842" s="0">
        <v>196</v>
      </c>
      <c r="BI4842" s="0">
        <v>196</v>
      </c>
      <c r="BJ4842" s="0" t="s">
        <v>135</v>
      </c>
    </row>
    <row r="4843">
      <c r="A4843" s="0" t="s">
        <v>5109</v>
      </c>
      <c r="B4843" s="0" t="s">
        <v>5</v>
      </c>
      <c r="C4843" s="0" t="s">
        <v>652</v>
      </c>
      <c r="D4843" s="0" t="s">
        <v>135</v>
      </c>
      <c r="E4843" s="0" t="s">
        <v>3</v>
      </c>
      <c r="F4843" s="0" t="s">
        <v>12</v>
      </c>
      <c r="G4843" s="0" t="s">
        <v>8</v>
      </c>
      <c r="H4843" s="0">
        <v>-10</v>
      </c>
      <c r="I4843" s="0">
        <v>0</v>
      </c>
      <c r="J4843" s="0">
        <v>0</v>
      </c>
      <c r="K4843" s="0">
        <v>0</v>
      </c>
      <c r="L4843" s="0">
        <v>0</v>
      </c>
      <c r="M4843" s="0">
        <v>0</v>
      </c>
      <c r="N4843" s="0">
        <v>0</v>
      </c>
      <c r="O4843" s="0">
        <v>0</v>
      </c>
      <c r="P4843" s="0">
        <v>0</v>
      </c>
      <c r="R4843" s="0" t="b">
        <v>0</v>
      </c>
      <c r="S4843" s="0" t="b">
        <v>0</v>
      </c>
      <c r="T4843" s="68">
        <v>46064.9054398148</v>
      </c>
      <c r="U4843" s="68">
        <v>0</v>
      </c>
      <c r="V4843" s="68">
        <v>46065.3700462963</v>
      </c>
      <c r="W4843" s="0">
        <f>IF(IF(B4843="none",1,IF(B4843="Trialer",1,0))+IF(C4843="Customer",1,IF(C4843="Lost",1,0))=2,1,0)</f>
      </c>
      <c r="X4843" s="0" t="s">
        <v>145</v>
      </c>
      <c r="Y4843" s="0" t="s">
        <v>243</v>
      </c>
      <c r="AV4843" s="68"/>
      <c r="AW4843" s="68"/>
      <c r="AY4843" s="27"/>
      <c r="BD4843" s="68">
        <v>46054.1666666667</v>
      </c>
      <c r="BE4843" s="68">
        <v>46082.1666666667</v>
      </c>
      <c r="BF4843" s="0" t="b">
        <v>1</v>
      </c>
      <c r="BG4843" s="0" t="b">
        <v>0</v>
      </c>
      <c r="BH4843" s="0">
        <v>59</v>
      </c>
      <c r="BI4843" s="0">
        <v>0</v>
      </c>
      <c r="BJ4843" s="0" t="s">
        <v>135</v>
      </c>
    </row>
    <row r="4844">
      <c r="A4844" s="0" t="s">
        <v>5110</v>
      </c>
      <c r="B4844" s="0" t="s">
        <v>5</v>
      </c>
      <c r="C4844" s="0" t="s">
        <v>652</v>
      </c>
      <c r="D4844" s="0" t="s">
        <v>135</v>
      </c>
      <c r="E4844" s="0" t="s">
        <v>4</v>
      </c>
      <c r="F4844" s="0" t="s">
        <v>12</v>
      </c>
      <c r="G4844" s="0" t="s">
        <v>8</v>
      </c>
      <c r="H4844" s="0">
        <v>-10</v>
      </c>
      <c r="I4844" s="0">
        <v>0</v>
      </c>
      <c r="J4844" s="0">
        <v>0</v>
      </c>
      <c r="K4844" s="0">
        <v>0</v>
      </c>
      <c r="L4844" s="0">
        <v>0</v>
      </c>
      <c r="M4844" s="0">
        <v>0</v>
      </c>
      <c r="N4844" s="0">
        <v>0</v>
      </c>
      <c r="O4844" s="0">
        <v>0</v>
      </c>
      <c r="P4844" s="0">
        <v>0</v>
      </c>
      <c r="R4844" s="0" t="b">
        <v>0</v>
      </c>
      <c r="S4844" s="0" t="b">
        <v>1</v>
      </c>
      <c r="T4844" s="68">
        <v>46064.9094791667</v>
      </c>
      <c r="U4844" s="68">
        <v>0</v>
      </c>
      <c r="V4844" s="68">
        <v>0</v>
      </c>
      <c r="W4844" s="0">
        <f>IF(IF(B4844="none",1,IF(B4844="Trialer",1,0))+IF(C4844="Customer",1,IF(C4844="Lost",1,0))=2,1,0)</f>
      </c>
      <c r="X4844" s="0" t="s">
        <v>145</v>
      </c>
      <c r="Y4844" s="0" t="s">
        <v>1772</v>
      </c>
      <c r="AV4844" s="68"/>
      <c r="AW4844" s="68"/>
      <c r="AY4844" s="27"/>
      <c r="BD4844" s="68">
        <v>46054.1666666667</v>
      </c>
      <c r="BE4844" s="68">
        <v>46082.1666666667</v>
      </c>
      <c r="BF4844" s="0" t="b">
        <v>0</v>
      </c>
      <c r="BG4844" s="0" t="b">
        <v>0</v>
      </c>
      <c r="BH4844" s="0">
        <v>71</v>
      </c>
      <c r="BI4844" s="0">
        <v>71</v>
      </c>
      <c r="BJ4844" s="0" t="s">
        <v>135</v>
      </c>
    </row>
    <row r="4845">
      <c r="A4845" s="0" t="s">
        <v>5111</v>
      </c>
      <c r="B4845" s="0" t="s">
        <v>5</v>
      </c>
      <c r="C4845" s="0" t="s">
        <v>652</v>
      </c>
      <c r="D4845" s="0" t="s">
        <v>135</v>
      </c>
      <c r="E4845" s="0" t="s">
        <v>3</v>
      </c>
      <c r="F4845" s="0" t="s">
        <v>12</v>
      </c>
      <c r="G4845" s="0" t="s">
        <v>8</v>
      </c>
      <c r="H4845" s="0">
        <v>-10</v>
      </c>
      <c r="I4845" s="0">
        <v>0</v>
      </c>
      <c r="J4845" s="0">
        <v>0</v>
      </c>
      <c r="K4845" s="0">
        <v>0</v>
      </c>
      <c r="L4845" s="0">
        <v>0</v>
      </c>
      <c r="M4845" s="0">
        <v>0</v>
      </c>
      <c r="N4845" s="0">
        <v>0</v>
      </c>
      <c r="O4845" s="0">
        <v>0</v>
      </c>
      <c r="P4845" s="0">
        <v>0</v>
      </c>
      <c r="R4845" s="0" t="b">
        <v>0</v>
      </c>
      <c r="S4845" s="0" t="b">
        <v>0</v>
      </c>
      <c r="T4845" s="68">
        <v>46064.9392824074</v>
      </c>
      <c r="U4845" s="68">
        <v>0</v>
      </c>
      <c r="V4845" s="68">
        <v>46085.5647916667</v>
      </c>
      <c r="W4845" s="0">
        <f>IF(IF(B4845="none",1,IF(B4845="Trialer",1,0))+IF(C4845="Customer",1,IF(C4845="Lost",1,0))=2,1,0)</f>
      </c>
      <c r="X4845" s="0" t="s">
        <v>136</v>
      </c>
      <c r="Y4845" s="0" t="s">
        <v>243</v>
      </c>
      <c r="AV4845" s="68"/>
      <c r="AW4845" s="68"/>
      <c r="AY4845" s="27"/>
      <c r="BD4845" s="68">
        <v>46054.1666666667</v>
      </c>
      <c r="BE4845" s="68">
        <v>46082.1666666667</v>
      </c>
      <c r="BF4845" s="0" t="b">
        <v>0</v>
      </c>
      <c r="BG4845" s="0" t="b">
        <v>0</v>
      </c>
      <c r="BH4845" s="0">
        <v>59</v>
      </c>
      <c r="BI4845" s="0">
        <v>59</v>
      </c>
      <c r="BJ4845" s="0" t="s">
        <v>135</v>
      </c>
    </row>
    <row r="4846">
      <c r="A4846" s="0" t="s">
        <v>5112</v>
      </c>
      <c r="B4846" s="0" t="s">
        <v>5</v>
      </c>
      <c r="C4846" s="0" t="s">
        <v>652</v>
      </c>
      <c r="D4846" s="0" t="s">
        <v>135</v>
      </c>
      <c r="E4846" s="0" t="s">
        <v>3</v>
      </c>
      <c r="F4846" s="0" t="s">
        <v>12</v>
      </c>
      <c r="G4846" s="0" t="s">
        <v>8</v>
      </c>
      <c r="H4846" s="0">
        <v>-10</v>
      </c>
      <c r="I4846" s="0">
        <v>0</v>
      </c>
      <c r="J4846" s="0">
        <v>0</v>
      </c>
      <c r="K4846" s="0">
        <v>0</v>
      </c>
      <c r="L4846" s="0">
        <v>0</v>
      </c>
      <c r="M4846" s="0">
        <v>0</v>
      </c>
      <c r="N4846" s="0">
        <v>0</v>
      </c>
      <c r="O4846" s="0">
        <v>0</v>
      </c>
      <c r="P4846" s="0">
        <v>0</v>
      </c>
      <c r="R4846" s="0" t="b">
        <v>0</v>
      </c>
      <c r="S4846" s="0" t="b">
        <v>0</v>
      </c>
      <c r="T4846" s="68">
        <v>46064.9404282407</v>
      </c>
      <c r="U4846" s="68">
        <v>0</v>
      </c>
      <c r="V4846" s="68">
        <v>46066.4181481482</v>
      </c>
      <c r="W4846" s="0">
        <f>IF(IF(B4846="none",1,IF(B4846="Trialer",1,0))+IF(C4846="Customer",1,IF(C4846="Lost",1,0))=2,1,0)</f>
      </c>
      <c r="X4846" s="0" t="s">
        <v>148</v>
      </c>
      <c r="Y4846" s="0" t="s">
        <v>243</v>
      </c>
      <c r="AV4846" s="68"/>
      <c r="AW4846" s="68"/>
      <c r="AY4846" s="27"/>
      <c r="BD4846" s="68">
        <v>46054.1666666667</v>
      </c>
      <c r="BE4846" s="68">
        <v>46082.1666666667</v>
      </c>
      <c r="BF4846" s="0" t="b">
        <v>1</v>
      </c>
      <c r="BG4846" s="0" t="b">
        <v>0</v>
      </c>
      <c r="BH4846" s="0">
        <v>59</v>
      </c>
      <c r="BI4846" s="0">
        <v>59</v>
      </c>
      <c r="BJ4846" s="0" t="s">
        <v>135</v>
      </c>
    </row>
    <row r="4847">
      <c r="A4847" s="0" t="s">
        <v>5113</v>
      </c>
      <c r="B4847" s="0" t="s">
        <v>5</v>
      </c>
      <c r="C4847" s="0" t="s">
        <v>652</v>
      </c>
      <c r="D4847" s="0" t="s">
        <v>135</v>
      </c>
      <c r="E4847" s="0" t="s">
        <v>4</v>
      </c>
      <c r="F4847" s="0" t="s">
        <v>12</v>
      </c>
      <c r="G4847" s="0" t="s">
        <v>8</v>
      </c>
      <c r="H4847" s="0">
        <v>-11</v>
      </c>
      <c r="I4847" s="0">
        <v>0</v>
      </c>
      <c r="J4847" s="0">
        <v>0</v>
      </c>
      <c r="K4847" s="0">
        <v>0</v>
      </c>
      <c r="L4847" s="0">
        <v>0</v>
      </c>
      <c r="M4847" s="0">
        <v>0</v>
      </c>
      <c r="N4847" s="0">
        <v>0</v>
      </c>
      <c r="O4847" s="0">
        <v>0</v>
      </c>
      <c r="P4847" s="0">
        <v>0</v>
      </c>
      <c r="R4847" s="0" t="b">
        <v>0</v>
      </c>
      <c r="S4847" s="0" t="b">
        <v>1</v>
      </c>
      <c r="T4847" s="68">
        <v>46064.9680324074</v>
      </c>
      <c r="U4847" s="68">
        <v>0</v>
      </c>
      <c r="V4847" s="68">
        <v>0</v>
      </c>
      <c r="W4847" s="0">
        <f>IF(IF(B4847="none",1,IF(B4847="Trialer",1,0))+IF(C4847="Customer",1,IF(C4847="Lost",1,0))=2,1,0)</f>
      </c>
      <c r="X4847" s="0" t="s">
        <v>145</v>
      </c>
      <c r="Y4847" s="0" t="s">
        <v>1772</v>
      </c>
      <c r="AV4847" s="68"/>
      <c r="AW4847" s="68"/>
      <c r="AY4847" s="27"/>
      <c r="BD4847" s="68">
        <v>46054.1666666667</v>
      </c>
      <c r="BE4847" s="68">
        <v>46082.1666666667</v>
      </c>
      <c r="BF4847" s="0" t="b">
        <v>0</v>
      </c>
      <c r="BG4847" s="0" t="b">
        <v>0</v>
      </c>
      <c r="BH4847" s="0">
        <v>59</v>
      </c>
      <c r="BI4847" s="0">
        <v>59</v>
      </c>
      <c r="BJ4847" s="0" t="s">
        <v>135</v>
      </c>
    </row>
    <row r="4848">
      <c r="A4848" s="0" t="s">
        <v>5114</v>
      </c>
      <c r="B4848" s="0" t="s">
        <v>5</v>
      </c>
      <c r="C4848" s="0" t="s">
        <v>652</v>
      </c>
      <c r="D4848" s="0" t="s">
        <v>135</v>
      </c>
      <c r="E4848" s="0" t="s">
        <v>3</v>
      </c>
      <c r="F4848" s="0" t="s">
        <v>12</v>
      </c>
      <c r="G4848" s="0" t="s">
        <v>8</v>
      </c>
      <c r="H4848" s="0">
        <v>-11</v>
      </c>
      <c r="I4848" s="0">
        <v>0</v>
      </c>
      <c r="J4848" s="0">
        <v>0</v>
      </c>
      <c r="K4848" s="0">
        <v>0</v>
      </c>
      <c r="L4848" s="0">
        <v>0</v>
      </c>
      <c r="M4848" s="0">
        <v>0</v>
      </c>
      <c r="N4848" s="0">
        <v>0</v>
      </c>
      <c r="O4848" s="0">
        <v>0</v>
      </c>
      <c r="P4848" s="0">
        <v>0</v>
      </c>
      <c r="R4848" s="0" t="b">
        <v>0</v>
      </c>
      <c r="S4848" s="0" t="b">
        <v>1</v>
      </c>
      <c r="T4848" s="68">
        <v>46065.0108912037</v>
      </c>
      <c r="U4848" s="68">
        <v>0</v>
      </c>
      <c r="V4848" s="68">
        <v>0</v>
      </c>
      <c r="W4848" s="0">
        <f>IF(IF(B4848="none",1,IF(B4848="Trialer",1,0))+IF(C4848="Customer",1,IF(C4848="Lost",1,0))=2,1,0)</f>
      </c>
      <c r="X4848" s="0" t="s">
        <v>136</v>
      </c>
      <c r="Y4848" s="0" t="s">
        <v>243</v>
      </c>
      <c r="AV4848" s="68"/>
      <c r="AW4848" s="68"/>
      <c r="AY4848" s="27"/>
      <c r="BD4848" s="68">
        <v>46054.1666666667</v>
      </c>
      <c r="BE4848" s="68">
        <v>46082.1666666667</v>
      </c>
      <c r="BF4848" s="0" t="b">
        <v>0</v>
      </c>
      <c r="BG4848" s="0" t="b">
        <v>0</v>
      </c>
      <c r="BH4848" s="0">
        <v>73</v>
      </c>
      <c r="BI4848" s="0">
        <v>73</v>
      </c>
      <c r="BJ4848" s="0" t="s">
        <v>135</v>
      </c>
    </row>
    <row r="4849">
      <c r="A4849" s="0" t="s">
        <v>5115</v>
      </c>
      <c r="B4849" s="0" t="s">
        <v>5</v>
      </c>
      <c r="C4849" s="0" t="s">
        <v>652</v>
      </c>
      <c r="D4849" s="0" t="s">
        <v>135</v>
      </c>
      <c r="E4849" s="0" t="s">
        <v>3</v>
      </c>
      <c r="F4849" s="0" t="s">
        <v>12</v>
      </c>
      <c r="G4849" s="0" t="s">
        <v>8</v>
      </c>
      <c r="H4849" s="0">
        <v>-11</v>
      </c>
      <c r="I4849" s="0">
        <v>0</v>
      </c>
      <c r="J4849" s="0">
        <v>0</v>
      </c>
      <c r="K4849" s="0">
        <v>0</v>
      </c>
      <c r="L4849" s="0">
        <v>0</v>
      </c>
      <c r="M4849" s="0">
        <v>0</v>
      </c>
      <c r="N4849" s="0">
        <v>0</v>
      </c>
      <c r="O4849" s="0">
        <v>0</v>
      </c>
      <c r="P4849" s="0">
        <v>0</v>
      </c>
      <c r="R4849" s="0" t="b">
        <v>0</v>
      </c>
      <c r="S4849" s="0" t="b">
        <v>1</v>
      </c>
      <c r="T4849" s="68">
        <v>46065.1054166667</v>
      </c>
      <c r="U4849" s="68">
        <v>0</v>
      </c>
      <c r="V4849" s="68">
        <v>0</v>
      </c>
      <c r="W4849" s="0">
        <f>IF(IF(B4849="none",1,IF(B4849="Trialer",1,0))+IF(C4849="Customer",1,IF(C4849="Lost",1,0))=2,1,0)</f>
      </c>
      <c r="X4849" s="0" t="s">
        <v>882</v>
      </c>
      <c r="Y4849" s="0" t="s">
        <v>243</v>
      </c>
      <c r="AV4849" s="68"/>
      <c r="AW4849" s="68"/>
      <c r="AY4849" s="27"/>
      <c r="BD4849" s="68">
        <v>46054.1666666667</v>
      </c>
      <c r="BE4849" s="68">
        <v>46082.1666666667</v>
      </c>
      <c r="BF4849" s="0" t="b">
        <v>0</v>
      </c>
      <c r="BG4849" s="0" t="b">
        <v>0</v>
      </c>
      <c r="BH4849" s="0">
        <v>85</v>
      </c>
      <c r="BI4849" s="0">
        <v>85</v>
      </c>
      <c r="BJ4849" s="0" t="s">
        <v>135</v>
      </c>
    </row>
    <row r="4850">
      <c r="A4850" s="0" t="s">
        <v>5116</v>
      </c>
      <c r="B4850" s="0" t="s">
        <v>5</v>
      </c>
      <c r="C4850" s="0" t="s">
        <v>652</v>
      </c>
      <c r="D4850" s="0" t="s">
        <v>135</v>
      </c>
      <c r="E4850" s="0" t="s">
        <v>4</v>
      </c>
      <c r="F4850" s="0" t="s">
        <v>12</v>
      </c>
      <c r="G4850" s="0" t="s">
        <v>8</v>
      </c>
      <c r="H4850" s="0">
        <v>-11</v>
      </c>
      <c r="I4850" s="0">
        <v>0</v>
      </c>
      <c r="J4850" s="0">
        <v>0</v>
      </c>
      <c r="K4850" s="0">
        <v>0</v>
      </c>
      <c r="L4850" s="0">
        <v>0</v>
      </c>
      <c r="M4850" s="0">
        <v>0</v>
      </c>
      <c r="N4850" s="0">
        <v>0</v>
      </c>
      <c r="O4850" s="0">
        <v>0</v>
      </c>
      <c r="P4850" s="0">
        <v>0</v>
      </c>
      <c r="R4850" s="0" t="b">
        <v>0</v>
      </c>
      <c r="S4850" s="0" t="b">
        <v>1</v>
      </c>
      <c r="T4850" s="68">
        <v>46065.169525463</v>
      </c>
      <c r="U4850" s="68">
        <v>0</v>
      </c>
      <c r="V4850" s="68">
        <v>0</v>
      </c>
      <c r="W4850" s="0">
        <f>IF(IF(B4850="none",1,IF(B4850="Trialer",1,0))+IF(C4850="Customer",1,IF(C4850="Lost",1,0))=2,1,0)</f>
      </c>
      <c r="X4850" s="0" t="s">
        <v>145</v>
      </c>
      <c r="Y4850" s="0" t="s">
        <v>1772</v>
      </c>
      <c r="AV4850" s="68"/>
      <c r="AW4850" s="68"/>
      <c r="AY4850" s="27"/>
      <c r="BD4850" s="68">
        <v>46054.1666666667</v>
      </c>
      <c r="BE4850" s="68">
        <v>46082.1666666667</v>
      </c>
      <c r="BF4850" s="0" t="b">
        <v>0</v>
      </c>
      <c r="BG4850" s="0" t="b">
        <v>0</v>
      </c>
      <c r="BH4850" s="0">
        <v>71</v>
      </c>
      <c r="BI4850" s="0">
        <v>71</v>
      </c>
      <c r="BJ4850" s="0" t="s">
        <v>135</v>
      </c>
    </row>
    <row r="4851">
      <c r="A4851" s="0" t="s">
        <v>5117</v>
      </c>
      <c r="B4851" s="0" t="s">
        <v>5</v>
      </c>
      <c r="C4851" s="0" t="s">
        <v>134</v>
      </c>
      <c r="D4851" s="0" t="s">
        <v>135</v>
      </c>
      <c r="E4851" s="0" t="s">
        <v>3</v>
      </c>
      <c r="F4851" s="0" t="s">
        <v>12</v>
      </c>
      <c r="G4851" s="0" t="s">
        <v>8</v>
      </c>
      <c r="H4851" s="0">
        <v>-11</v>
      </c>
      <c r="I4851" s="0">
        <v>106</v>
      </c>
      <c r="J4851" s="0">
        <v>0</v>
      </c>
      <c r="K4851" s="0">
        <v>1</v>
      </c>
      <c r="L4851" s="0">
        <v>4</v>
      </c>
      <c r="M4851" s="0">
        <v>2</v>
      </c>
      <c r="N4851" s="0">
        <v>0</v>
      </c>
      <c r="O4851" s="0">
        <v>0</v>
      </c>
      <c r="P4851" s="0">
        <v>0</v>
      </c>
      <c r="R4851" s="0" t="b">
        <v>0</v>
      </c>
      <c r="S4851" s="0" t="b">
        <v>1</v>
      </c>
      <c r="T4851" s="68">
        <v>46065.229375</v>
      </c>
      <c r="U4851" s="68">
        <v>46079.2916666667</v>
      </c>
      <c r="V4851" s="68">
        <v>0</v>
      </c>
      <c r="W4851" s="0">
        <f>IF(IF(B4851="none",1,IF(B4851="Trialer",1,0))+IF(C4851="Customer",1,IF(C4851="Lost",1,0))=2,1,0)</f>
      </c>
      <c r="X4851" s="0" t="s">
        <v>1461</v>
      </c>
      <c r="Y4851" s="0" t="s">
        <v>243</v>
      </c>
      <c r="AV4851" s="68"/>
      <c r="AW4851" s="68"/>
      <c r="AY4851" s="27"/>
      <c r="BD4851" s="68">
        <v>46054.1666666667</v>
      </c>
      <c r="BE4851" s="68">
        <v>46082.1666666667</v>
      </c>
      <c r="BF4851" s="0" t="b">
        <v>0</v>
      </c>
      <c r="BG4851" s="0" t="b">
        <v>0</v>
      </c>
      <c r="BH4851" s="0">
        <v>106</v>
      </c>
      <c r="BI4851" s="0">
        <v>106</v>
      </c>
      <c r="BJ4851" s="0" t="s">
        <v>230</v>
      </c>
    </row>
    <row r="4852">
      <c r="A4852" s="0" t="s">
        <v>5118</v>
      </c>
      <c r="B4852" s="0" t="s">
        <v>5</v>
      </c>
      <c r="C4852" s="0" t="s">
        <v>652</v>
      </c>
      <c r="D4852" s="0" t="s">
        <v>135</v>
      </c>
      <c r="E4852" s="0" t="s">
        <v>3</v>
      </c>
      <c r="F4852" s="0" t="s">
        <v>12</v>
      </c>
      <c r="G4852" s="0" t="s">
        <v>8</v>
      </c>
      <c r="H4852" s="0">
        <v>-11</v>
      </c>
      <c r="I4852" s="0">
        <v>0</v>
      </c>
      <c r="J4852" s="0">
        <v>0</v>
      </c>
      <c r="K4852" s="0">
        <v>0</v>
      </c>
      <c r="L4852" s="0">
        <v>0</v>
      </c>
      <c r="M4852" s="0">
        <v>0</v>
      </c>
      <c r="N4852" s="0">
        <v>0</v>
      </c>
      <c r="O4852" s="0">
        <v>0</v>
      </c>
      <c r="P4852" s="0">
        <v>0</v>
      </c>
      <c r="R4852" s="0" t="b">
        <v>0</v>
      </c>
      <c r="S4852" s="0" t="b">
        <v>1</v>
      </c>
      <c r="T4852" s="68">
        <v>46065.2438657407</v>
      </c>
      <c r="U4852" s="68">
        <v>0</v>
      </c>
      <c r="V4852" s="68">
        <v>0</v>
      </c>
      <c r="W4852" s="0">
        <f>IF(IF(B4852="none",1,IF(B4852="Trialer",1,0))+IF(C4852="Customer",1,IF(C4852="Lost",1,0))=2,1,0)</f>
      </c>
      <c r="X4852" s="0" t="s">
        <v>148</v>
      </c>
      <c r="Y4852" s="0" t="s">
        <v>243</v>
      </c>
      <c r="AV4852" s="68"/>
      <c r="AW4852" s="68"/>
      <c r="AY4852" s="27"/>
      <c r="BD4852" s="68">
        <v>46054.1666666667</v>
      </c>
      <c r="BE4852" s="68">
        <v>46082.1666666667</v>
      </c>
      <c r="BF4852" s="0" t="b">
        <v>0</v>
      </c>
      <c r="BG4852" s="0" t="b">
        <v>0</v>
      </c>
      <c r="BH4852" s="0">
        <v>194</v>
      </c>
      <c r="BI4852" s="0">
        <v>194</v>
      </c>
      <c r="BJ4852" s="0" t="s">
        <v>135</v>
      </c>
    </row>
    <row r="4853">
      <c r="A4853" s="0" t="s">
        <v>5119</v>
      </c>
      <c r="B4853" s="0" t="s">
        <v>5</v>
      </c>
      <c r="C4853" s="0" t="s">
        <v>652</v>
      </c>
      <c r="D4853" s="0" t="s">
        <v>135</v>
      </c>
      <c r="E4853" s="0" t="s">
        <v>1515</v>
      </c>
      <c r="F4853" s="0" t="s">
        <v>12</v>
      </c>
      <c r="G4853" s="0" t="s">
        <v>8</v>
      </c>
      <c r="H4853" s="0">
        <v>-11</v>
      </c>
      <c r="I4853" s="0">
        <v>0</v>
      </c>
      <c r="J4853" s="0">
        <v>0</v>
      </c>
      <c r="K4853" s="0">
        <v>0</v>
      </c>
      <c r="L4853" s="0">
        <v>0</v>
      </c>
      <c r="M4853" s="0">
        <v>0</v>
      </c>
      <c r="N4853" s="0">
        <v>0</v>
      </c>
      <c r="O4853" s="0">
        <v>0</v>
      </c>
      <c r="P4853" s="0">
        <v>0</v>
      </c>
      <c r="R4853" s="0" t="b">
        <v>0</v>
      </c>
      <c r="S4853" s="0" t="b">
        <v>1</v>
      </c>
      <c r="T4853" s="68">
        <v>46065.2749421296</v>
      </c>
      <c r="U4853" s="68">
        <v>0</v>
      </c>
      <c r="V4853" s="68">
        <v>0</v>
      </c>
      <c r="W4853" s="0">
        <f>IF(IF(B4853="none",1,IF(B4853="Trialer",1,0))+IF(C4853="Customer",1,IF(C4853="Lost",1,0))=2,1,0)</f>
      </c>
      <c r="X4853" s="0" t="s">
        <v>145</v>
      </c>
      <c r="Y4853" s="0" t="s">
        <v>1516</v>
      </c>
      <c r="AV4853" s="68"/>
      <c r="AW4853" s="68"/>
      <c r="AY4853" s="27"/>
      <c r="BD4853" s="68">
        <v>46054.1666666667</v>
      </c>
      <c r="BE4853" s="68">
        <v>46082.1666666667</v>
      </c>
      <c r="BF4853" s="0" t="b">
        <v>0</v>
      </c>
      <c r="BG4853" s="0" t="b">
        <v>0</v>
      </c>
      <c r="BH4853" s="0">
        <v>59</v>
      </c>
      <c r="BI4853" s="0">
        <v>59</v>
      </c>
      <c r="BJ4853" s="0" t="s">
        <v>135</v>
      </c>
    </row>
    <row r="4854">
      <c r="A4854" s="0" t="s">
        <v>5120</v>
      </c>
      <c r="B4854" s="0" t="s">
        <v>5</v>
      </c>
      <c r="C4854" s="0" t="s">
        <v>652</v>
      </c>
      <c r="D4854" s="0" t="s">
        <v>135</v>
      </c>
      <c r="E4854" s="0" t="s">
        <v>3</v>
      </c>
      <c r="F4854" s="0" t="s">
        <v>12</v>
      </c>
      <c r="G4854" s="0" t="s">
        <v>8</v>
      </c>
      <c r="H4854" s="0">
        <v>-11</v>
      </c>
      <c r="I4854" s="0">
        <v>0</v>
      </c>
      <c r="J4854" s="0">
        <v>0</v>
      </c>
      <c r="K4854" s="0">
        <v>0</v>
      </c>
      <c r="L4854" s="0">
        <v>0</v>
      </c>
      <c r="M4854" s="0">
        <v>0</v>
      </c>
      <c r="N4854" s="0">
        <v>0</v>
      </c>
      <c r="O4854" s="0">
        <v>0</v>
      </c>
      <c r="P4854" s="0">
        <v>0</v>
      </c>
      <c r="R4854" s="0" t="b">
        <v>0</v>
      </c>
      <c r="S4854" s="0" t="b">
        <v>1</v>
      </c>
      <c r="T4854" s="68">
        <v>46065.3338888889</v>
      </c>
      <c r="U4854" s="68">
        <v>0</v>
      </c>
      <c r="V4854" s="68">
        <v>0</v>
      </c>
      <c r="W4854" s="0">
        <f>IF(IF(B4854="none",1,IF(B4854="Trialer",1,0))+IF(C4854="Customer",1,IF(C4854="Lost",1,0))=2,1,0)</f>
      </c>
      <c r="X4854" s="0" t="s">
        <v>136</v>
      </c>
      <c r="Y4854" s="0" t="s">
        <v>243</v>
      </c>
      <c r="AV4854" s="68"/>
      <c r="AW4854" s="68"/>
      <c r="AY4854" s="27"/>
      <c r="BD4854" s="68">
        <v>46054.1666666667</v>
      </c>
      <c r="BE4854" s="68">
        <v>46082.1666666667</v>
      </c>
      <c r="BF4854" s="0" t="b">
        <v>0</v>
      </c>
      <c r="BG4854" s="0" t="b">
        <v>0</v>
      </c>
      <c r="BH4854" s="0">
        <v>59</v>
      </c>
      <c r="BI4854" s="0">
        <v>59</v>
      </c>
      <c r="BJ4854" s="0" t="s">
        <v>135</v>
      </c>
    </row>
    <row r="4855">
      <c r="A4855" s="0" t="s">
        <v>5121</v>
      </c>
      <c r="B4855" s="0" t="s">
        <v>5</v>
      </c>
      <c r="C4855" s="0" t="s">
        <v>652</v>
      </c>
      <c r="D4855" s="0" t="s">
        <v>135</v>
      </c>
      <c r="E4855" s="0" t="s">
        <v>3</v>
      </c>
      <c r="F4855" s="0" t="s">
        <v>12</v>
      </c>
      <c r="G4855" s="0" t="s">
        <v>8</v>
      </c>
      <c r="H4855" s="0">
        <v>-11</v>
      </c>
      <c r="I4855" s="0">
        <v>0</v>
      </c>
      <c r="J4855" s="0">
        <v>0</v>
      </c>
      <c r="K4855" s="0">
        <v>0</v>
      </c>
      <c r="L4855" s="0">
        <v>0</v>
      </c>
      <c r="M4855" s="0">
        <v>0</v>
      </c>
      <c r="N4855" s="0">
        <v>0</v>
      </c>
      <c r="O4855" s="0">
        <v>0</v>
      </c>
      <c r="P4855" s="0">
        <v>0</v>
      </c>
      <c r="R4855" s="0" t="b">
        <v>0</v>
      </c>
      <c r="S4855" s="0" t="b">
        <v>1</v>
      </c>
      <c r="T4855" s="68">
        <v>46065.3937037037</v>
      </c>
      <c r="U4855" s="68">
        <v>0</v>
      </c>
      <c r="V4855" s="68">
        <v>0</v>
      </c>
      <c r="W4855" s="0">
        <f>IF(IF(B4855="none",1,IF(B4855="Trialer",1,0))+IF(C4855="Customer",1,IF(C4855="Lost",1,0))=2,1,0)</f>
      </c>
      <c r="X4855" s="0" t="s">
        <v>145</v>
      </c>
      <c r="Y4855" s="0" t="s">
        <v>243</v>
      </c>
      <c r="AV4855" s="68"/>
      <c r="AW4855" s="68"/>
      <c r="AY4855" s="27"/>
      <c r="BD4855" s="68">
        <v>46054.1666666667</v>
      </c>
      <c r="BE4855" s="68">
        <v>46082.1666666667</v>
      </c>
      <c r="BF4855" s="0" t="b">
        <v>0</v>
      </c>
      <c r="BG4855" s="0" t="b">
        <v>0</v>
      </c>
      <c r="BH4855" s="0">
        <v>85</v>
      </c>
      <c r="BI4855" s="0">
        <v>85</v>
      </c>
      <c r="BJ4855" s="0" t="s">
        <v>135</v>
      </c>
    </row>
    <row r="4856">
      <c r="A4856" s="0" t="s">
        <v>5122</v>
      </c>
      <c r="B4856" s="0" t="s">
        <v>5</v>
      </c>
      <c r="C4856" s="0" t="s">
        <v>652</v>
      </c>
      <c r="D4856" s="0" t="s">
        <v>135</v>
      </c>
      <c r="E4856" s="0" t="s">
        <v>3</v>
      </c>
      <c r="F4856" s="0" t="s">
        <v>12</v>
      </c>
      <c r="G4856" s="0" t="s">
        <v>8</v>
      </c>
      <c r="H4856" s="0">
        <v>-11</v>
      </c>
      <c r="I4856" s="0">
        <v>0</v>
      </c>
      <c r="J4856" s="0">
        <v>0</v>
      </c>
      <c r="K4856" s="0">
        <v>0</v>
      </c>
      <c r="L4856" s="0">
        <v>0</v>
      </c>
      <c r="M4856" s="0">
        <v>0</v>
      </c>
      <c r="N4856" s="0">
        <v>0</v>
      </c>
      <c r="O4856" s="0">
        <v>0</v>
      </c>
      <c r="P4856" s="0">
        <v>0</v>
      </c>
      <c r="R4856" s="0" t="b">
        <v>0</v>
      </c>
      <c r="S4856" s="0" t="b">
        <v>0</v>
      </c>
      <c r="T4856" s="68">
        <v>46065.3941666667</v>
      </c>
      <c r="U4856" s="68">
        <v>0</v>
      </c>
      <c r="V4856" s="68">
        <v>46066.4127662037</v>
      </c>
      <c r="W4856" s="0">
        <f>IF(IF(B4856="none",1,IF(B4856="Trialer",1,0))+IF(C4856="Customer",1,IF(C4856="Lost",1,0))=2,1,0)</f>
      </c>
      <c r="X4856" s="0" t="s">
        <v>145</v>
      </c>
      <c r="Y4856" s="0" t="s">
        <v>243</v>
      </c>
      <c r="AV4856" s="68"/>
      <c r="AW4856" s="68"/>
      <c r="AY4856" s="27"/>
      <c r="BD4856" s="68">
        <v>46054.1666666667</v>
      </c>
      <c r="BE4856" s="68">
        <v>46082.1666666667</v>
      </c>
      <c r="BF4856" s="0" t="b">
        <v>1</v>
      </c>
      <c r="BG4856" s="0" t="b">
        <v>0</v>
      </c>
      <c r="BH4856" s="0">
        <v>71</v>
      </c>
      <c r="BI4856" s="0">
        <v>0</v>
      </c>
      <c r="BJ4856" s="0" t="s">
        <v>135</v>
      </c>
    </row>
    <row r="4857">
      <c r="A4857" s="0" t="s">
        <v>5123</v>
      </c>
      <c r="B4857" s="0" t="s">
        <v>5</v>
      </c>
      <c r="C4857" s="0" t="s">
        <v>652</v>
      </c>
      <c r="D4857" s="0" t="s">
        <v>135</v>
      </c>
      <c r="E4857" s="0" t="s">
        <v>2</v>
      </c>
      <c r="F4857" s="0" t="s">
        <v>12</v>
      </c>
      <c r="G4857" s="0" t="s">
        <v>8</v>
      </c>
      <c r="H4857" s="0">
        <v>-11</v>
      </c>
      <c r="I4857" s="0">
        <v>0</v>
      </c>
      <c r="J4857" s="0">
        <v>0</v>
      </c>
      <c r="K4857" s="0">
        <v>0</v>
      </c>
      <c r="L4857" s="0">
        <v>0</v>
      </c>
      <c r="M4857" s="0">
        <v>0</v>
      </c>
      <c r="N4857" s="0">
        <v>0</v>
      </c>
      <c r="O4857" s="0">
        <v>0</v>
      </c>
      <c r="P4857" s="0">
        <v>0</v>
      </c>
      <c r="R4857" s="0" t="b">
        <v>0</v>
      </c>
      <c r="S4857" s="0" t="b">
        <v>1</v>
      </c>
      <c r="T4857" s="68">
        <v>46065.4066898148</v>
      </c>
      <c r="U4857" s="68">
        <v>46083.2916666667</v>
      </c>
      <c r="V4857" s="68">
        <v>0</v>
      </c>
      <c r="W4857" s="0">
        <f>IF(IF(B4857="none",1,IF(B4857="Trialer",1,0))+IF(C4857="Customer",1,IF(C4857="Lost",1,0))=2,1,0)</f>
      </c>
      <c r="X4857" s="0" t="s">
        <v>148</v>
      </c>
      <c r="Y4857" s="0" t="s">
        <v>499</v>
      </c>
      <c r="AV4857" s="68"/>
      <c r="AW4857" s="68"/>
      <c r="AY4857" s="27"/>
      <c r="BD4857" s="68">
        <v>46054.1666666667</v>
      </c>
      <c r="BE4857" s="68">
        <v>46082.1666666667</v>
      </c>
      <c r="BF4857" s="0" t="b">
        <v>0</v>
      </c>
      <c r="BG4857" s="0" t="b">
        <v>0</v>
      </c>
      <c r="BH4857" s="0">
        <v>159.75</v>
      </c>
      <c r="BI4857" s="0">
        <v>159.75</v>
      </c>
      <c r="BJ4857" s="0" t="s">
        <v>135</v>
      </c>
    </row>
    <row r="4858">
      <c r="A4858" s="0" t="s">
        <v>5124</v>
      </c>
      <c r="B4858" s="0" t="s">
        <v>5</v>
      </c>
      <c r="C4858" s="0" t="s">
        <v>652</v>
      </c>
      <c r="D4858" s="0" t="s">
        <v>135</v>
      </c>
      <c r="E4858" s="0" t="s">
        <v>4</v>
      </c>
      <c r="F4858" s="0" t="s">
        <v>12</v>
      </c>
      <c r="G4858" s="0" t="s">
        <v>8</v>
      </c>
      <c r="H4858" s="0">
        <v>-11</v>
      </c>
      <c r="I4858" s="0">
        <v>0</v>
      </c>
      <c r="J4858" s="0">
        <v>0</v>
      </c>
      <c r="K4858" s="0">
        <v>0</v>
      </c>
      <c r="L4858" s="0">
        <v>0</v>
      </c>
      <c r="M4858" s="0">
        <v>0</v>
      </c>
      <c r="N4858" s="0">
        <v>0</v>
      </c>
      <c r="O4858" s="0">
        <v>0</v>
      </c>
      <c r="P4858" s="0">
        <v>0</v>
      </c>
      <c r="R4858" s="0" t="b">
        <v>0</v>
      </c>
      <c r="S4858" s="0" t="b">
        <v>0</v>
      </c>
      <c r="T4858" s="68">
        <v>46065.4067939815</v>
      </c>
      <c r="U4858" s="68">
        <v>0</v>
      </c>
      <c r="V4858" s="68">
        <v>46065.4113541667</v>
      </c>
      <c r="W4858" s="0">
        <f>IF(IF(B4858="none",1,IF(B4858="Trialer",1,0))+IF(C4858="Customer",1,IF(C4858="Lost",1,0))=2,1,0)</f>
      </c>
      <c r="X4858" s="0" t="s">
        <v>136</v>
      </c>
      <c r="Y4858" s="0" t="s">
        <v>1772</v>
      </c>
      <c r="AV4858" s="68"/>
      <c r="AW4858" s="68"/>
      <c r="AY4858" s="27"/>
      <c r="BD4858" s="68">
        <v>46054.1666666667</v>
      </c>
      <c r="BE4858" s="68">
        <v>46082.1666666667</v>
      </c>
      <c r="BF4858" s="0" t="b">
        <v>0</v>
      </c>
      <c r="BG4858" s="0" t="b">
        <v>0</v>
      </c>
      <c r="BH4858" s="0">
        <v>59</v>
      </c>
      <c r="BI4858" s="0">
        <v>0</v>
      </c>
      <c r="BJ4858" s="0" t="s">
        <v>135</v>
      </c>
    </row>
    <row r="4859">
      <c r="A4859" s="0" t="s">
        <v>5125</v>
      </c>
      <c r="B4859" s="0" t="s">
        <v>5</v>
      </c>
      <c r="C4859" s="0" t="s">
        <v>652</v>
      </c>
      <c r="D4859" s="0" t="s">
        <v>135</v>
      </c>
      <c r="E4859" s="0" t="s">
        <v>2</v>
      </c>
      <c r="F4859" s="0" t="s">
        <v>12</v>
      </c>
      <c r="G4859" s="0" t="s">
        <v>8</v>
      </c>
      <c r="H4859" s="0">
        <v>-11</v>
      </c>
      <c r="I4859" s="0">
        <v>0</v>
      </c>
      <c r="J4859" s="0">
        <v>0</v>
      </c>
      <c r="K4859" s="0">
        <v>0</v>
      </c>
      <c r="L4859" s="0">
        <v>0</v>
      </c>
      <c r="M4859" s="0">
        <v>0</v>
      </c>
      <c r="N4859" s="0">
        <v>0</v>
      </c>
      <c r="O4859" s="0">
        <v>0</v>
      </c>
      <c r="P4859" s="0">
        <v>0</v>
      </c>
      <c r="R4859" s="0" t="b">
        <v>0</v>
      </c>
      <c r="S4859" s="0" t="b">
        <v>1</v>
      </c>
      <c r="T4859" s="68">
        <v>46065.4322569444</v>
      </c>
      <c r="U4859" s="68">
        <v>0</v>
      </c>
      <c r="V4859" s="68">
        <v>0</v>
      </c>
      <c r="W4859" s="0">
        <f>IF(IF(B4859="none",1,IF(B4859="Trialer",1,0))+IF(C4859="Customer",1,IF(C4859="Lost",1,0))=2,1,0)</f>
      </c>
      <c r="X4859" s="0" t="s">
        <v>882</v>
      </c>
      <c r="Y4859" s="0" t="s">
        <v>499</v>
      </c>
      <c r="AV4859" s="68"/>
      <c r="AW4859" s="68"/>
      <c r="AY4859" s="27"/>
      <c r="BD4859" s="68">
        <v>46054.1666666667</v>
      </c>
      <c r="BE4859" s="68">
        <v>46082.1666666667</v>
      </c>
      <c r="BF4859" s="0" t="b">
        <v>0</v>
      </c>
      <c r="BG4859" s="0" t="b">
        <v>0</v>
      </c>
      <c r="BH4859" s="0">
        <v>314</v>
      </c>
      <c r="BI4859" s="0">
        <v>314</v>
      </c>
      <c r="BJ4859" s="0" t="s">
        <v>135</v>
      </c>
    </row>
    <row r="4860">
      <c r="A4860" s="0" t="s">
        <v>5126</v>
      </c>
      <c r="B4860" s="0" t="s">
        <v>5</v>
      </c>
      <c r="C4860" s="0" t="s">
        <v>652</v>
      </c>
      <c r="D4860" s="0" t="s">
        <v>135</v>
      </c>
      <c r="E4860" s="0" t="s">
        <v>3</v>
      </c>
      <c r="F4860" s="0" t="s">
        <v>10</v>
      </c>
      <c r="G4860" s="0" t="s">
        <v>8</v>
      </c>
      <c r="H4860" s="0">
        <v>-11</v>
      </c>
      <c r="I4860" s="0">
        <v>0</v>
      </c>
      <c r="J4860" s="0">
        <v>0</v>
      </c>
      <c r="K4860" s="0">
        <v>0</v>
      </c>
      <c r="L4860" s="0">
        <v>0</v>
      </c>
      <c r="M4860" s="0">
        <v>0</v>
      </c>
      <c r="N4860" s="0">
        <v>0</v>
      </c>
      <c r="O4860" s="0">
        <v>0</v>
      </c>
      <c r="P4860" s="0">
        <v>0</v>
      </c>
      <c r="Q4860" s="0" t="s">
        <v>1919</v>
      </c>
      <c r="R4860" s="0" t="b">
        <v>0</v>
      </c>
      <c r="S4860" s="0" t="b">
        <v>1</v>
      </c>
      <c r="T4860" s="68">
        <v>46065.4471643519</v>
      </c>
      <c r="U4860" s="68">
        <v>0</v>
      </c>
      <c r="V4860" s="68">
        <v>0</v>
      </c>
      <c r="W4860" s="0">
        <f>IF(IF(B4860="none",1,IF(B4860="Trialer",1,0))+IF(C4860="Customer",1,IF(C4860="Lost",1,0))=2,1,0)</f>
      </c>
      <c r="X4860" s="0" t="s">
        <v>145</v>
      </c>
      <c r="Y4860" s="0" t="s">
        <v>1792</v>
      </c>
      <c r="AV4860" s="68"/>
      <c r="AW4860" s="68"/>
      <c r="AY4860" s="27"/>
      <c r="BD4860" s="68">
        <v>46054.1666666667</v>
      </c>
      <c r="BE4860" s="68">
        <v>46082.1666666667</v>
      </c>
      <c r="BF4860" s="0" t="b">
        <v>0</v>
      </c>
      <c r="BG4860" s="0" t="b">
        <v>0</v>
      </c>
      <c r="BH4860" s="0">
        <v>236</v>
      </c>
      <c r="BI4860" s="0">
        <v>236</v>
      </c>
      <c r="BJ4860" s="0" t="s">
        <v>135</v>
      </c>
    </row>
    <row r="4861">
      <c r="A4861" s="0" t="s">
        <v>5127</v>
      </c>
      <c r="B4861" s="0" t="s">
        <v>5</v>
      </c>
      <c r="C4861" s="0" t="s">
        <v>652</v>
      </c>
      <c r="D4861" s="0" t="s">
        <v>135</v>
      </c>
      <c r="E4861" s="0" t="s">
        <v>3</v>
      </c>
      <c r="F4861" s="0" t="s">
        <v>12</v>
      </c>
      <c r="G4861" s="0" t="s">
        <v>8</v>
      </c>
      <c r="H4861" s="0">
        <v>-11</v>
      </c>
      <c r="I4861" s="0">
        <v>0</v>
      </c>
      <c r="J4861" s="0">
        <v>0</v>
      </c>
      <c r="K4861" s="0">
        <v>0</v>
      </c>
      <c r="L4861" s="0">
        <v>0</v>
      </c>
      <c r="M4861" s="0">
        <v>0</v>
      </c>
      <c r="N4861" s="0">
        <v>0</v>
      </c>
      <c r="O4861" s="0">
        <v>0</v>
      </c>
      <c r="P4861" s="0">
        <v>0</v>
      </c>
      <c r="R4861" s="0" t="b">
        <v>0</v>
      </c>
      <c r="S4861" s="0" t="b">
        <v>1</v>
      </c>
      <c r="T4861" s="68">
        <v>46065.4551273148</v>
      </c>
      <c r="U4861" s="68">
        <v>0</v>
      </c>
      <c r="V4861" s="68">
        <v>0</v>
      </c>
      <c r="W4861" s="0">
        <f>IF(IF(B4861="none",1,IF(B4861="Trialer",1,0))+IF(C4861="Customer",1,IF(C4861="Lost",1,0))=2,1,0)</f>
      </c>
      <c r="X4861" s="0" t="s">
        <v>145</v>
      </c>
      <c r="Y4861" s="0" t="s">
        <v>243</v>
      </c>
      <c r="AV4861" s="68"/>
      <c r="AW4861" s="68"/>
      <c r="AY4861" s="27"/>
      <c r="BD4861" s="68">
        <v>46054.1666666667</v>
      </c>
      <c r="BE4861" s="68">
        <v>46082.1666666667</v>
      </c>
      <c r="BF4861" s="0" t="b">
        <v>0</v>
      </c>
      <c r="BG4861" s="0" t="b">
        <v>0</v>
      </c>
      <c r="BH4861" s="0">
        <v>59</v>
      </c>
      <c r="BI4861" s="0">
        <v>59</v>
      </c>
      <c r="BJ4861" s="0" t="s">
        <v>135</v>
      </c>
    </row>
    <row r="4862">
      <c r="A4862" s="0" t="s">
        <v>5128</v>
      </c>
      <c r="B4862" s="0" t="s">
        <v>5</v>
      </c>
      <c r="C4862" s="0" t="s">
        <v>652</v>
      </c>
      <c r="D4862" s="0" t="s">
        <v>135</v>
      </c>
      <c r="E4862" s="0" t="s">
        <v>3</v>
      </c>
      <c r="F4862" s="0" t="s">
        <v>12</v>
      </c>
      <c r="G4862" s="0" t="s">
        <v>8</v>
      </c>
      <c r="H4862" s="0">
        <v>-11</v>
      </c>
      <c r="I4862" s="0">
        <v>0</v>
      </c>
      <c r="J4862" s="0">
        <v>0</v>
      </c>
      <c r="K4862" s="0">
        <v>0</v>
      </c>
      <c r="L4862" s="0">
        <v>0</v>
      </c>
      <c r="M4862" s="0">
        <v>0</v>
      </c>
      <c r="N4862" s="0">
        <v>0</v>
      </c>
      <c r="O4862" s="0">
        <v>0</v>
      </c>
      <c r="P4862" s="0">
        <v>0</v>
      </c>
      <c r="R4862" s="0" t="b">
        <v>0</v>
      </c>
      <c r="S4862" s="0" t="b">
        <v>1</v>
      </c>
      <c r="T4862" s="68">
        <v>46065.4761226852</v>
      </c>
      <c r="U4862" s="68">
        <v>0</v>
      </c>
      <c r="V4862" s="68">
        <v>0</v>
      </c>
      <c r="W4862" s="0">
        <f>IF(IF(B4862="none",1,IF(B4862="Trialer",1,0))+IF(C4862="Customer",1,IF(C4862="Lost",1,0))=2,1,0)</f>
      </c>
      <c r="X4862" s="0" t="s">
        <v>148</v>
      </c>
      <c r="Y4862" s="0" t="s">
        <v>243</v>
      </c>
      <c r="AV4862" s="68"/>
      <c r="AW4862" s="68"/>
      <c r="AY4862" s="27"/>
      <c r="BD4862" s="68">
        <v>46054.1666666667</v>
      </c>
      <c r="BE4862" s="68">
        <v>46082.1666666667</v>
      </c>
      <c r="BF4862" s="0" t="b">
        <v>0</v>
      </c>
      <c r="BG4862" s="0" t="b">
        <v>0</v>
      </c>
      <c r="BH4862" s="0">
        <v>85</v>
      </c>
      <c r="BI4862" s="0">
        <v>85</v>
      </c>
      <c r="BJ4862" s="0" t="s">
        <v>135</v>
      </c>
    </row>
    <row r="4863">
      <c r="A4863" s="0" t="s">
        <v>5129</v>
      </c>
      <c r="B4863" s="0" t="s">
        <v>5</v>
      </c>
      <c r="C4863" s="0" t="s">
        <v>652</v>
      </c>
      <c r="D4863" s="0" t="s">
        <v>135</v>
      </c>
      <c r="E4863" s="0" t="s">
        <v>3</v>
      </c>
      <c r="F4863" s="0" t="s">
        <v>12</v>
      </c>
      <c r="G4863" s="0" t="s">
        <v>8</v>
      </c>
      <c r="H4863" s="0">
        <v>-11</v>
      </c>
      <c r="I4863" s="0">
        <v>0</v>
      </c>
      <c r="J4863" s="0">
        <v>0</v>
      </c>
      <c r="K4863" s="0">
        <v>0</v>
      </c>
      <c r="L4863" s="0">
        <v>0</v>
      </c>
      <c r="M4863" s="0">
        <v>0</v>
      </c>
      <c r="N4863" s="0">
        <v>0</v>
      </c>
      <c r="O4863" s="0">
        <v>0</v>
      </c>
      <c r="P4863" s="0">
        <v>0</v>
      </c>
      <c r="R4863" s="0" t="b">
        <v>0</v>
      </c>
      <c r="S4863" s="0" t="b">
        <v>0</v>
      </c>
      <c r="T4863" s="68">
        <v>46065.4866435185</v>
      </c>
      <c r="U4863" s="68">
        <v>0</v>
      </c>
      <c r="V4863" s="68">
        <v>46072.1800925926</v>
      </c>
      <c r="W4863" s="0">
        <f>IF(IF(B4863="none",1,IF(B4863="Trialer",1,0))+IF(C4863="Customer",1,IF(C4863="Lost",1,0))=2,1,0)</f>
      </c>
      <c r="X4863" s="0" t="s">
        <v>148</v>
      </c>
      <c r="Y4863" s="0" t="s">
        <v>243</v>
      </c>
      <c r="AV4863" s="68"/>
      <c r="AW4863" s="68"/>
      <c r="AY4863" s="27"/>
      <c r="BD4863" s="68">
        <v>46054.1666666667</v>
      </c>
      <c r="BE4863" s="68">
        <v>46082.1666666667</v>
      </c>
      <c r="BF4863" s="0" t="b">
        <v>0</v>
      </c>
      <c r="BG4863" s="0" t="b">
        <v>0</v>
      </c>
      <c r="BH4863" s="0">
        <v>118</v>
      </c>
      <c r="BI4863" s="0">
        <v>118</v>
      </c>
      <c r="BJ4863" s="0" t="s">
        <v>135</v>
      </c>
    </row>
    <row r="4864">
      <c r="A4864" s="0" t="s">
        <v>5130</v>
      </c>
      <c r="B4864" s="0" t="s">
        <v>5</v>
      </c>
      <c r="C4864" s="0" t="s">
        <v>134</v>
      </c>
      <c r="D4864" s="0" t="s">
        <v>135</v>
      </c>
      <c r="E4864" s="0" t="s">
        <v>3</v>
      </c>
      <c r="F4864" s="0" t="s">
        <v>12</v>
      </c>
      <c r="G4864" s="0" t="s">
        <v>8</v>
      </c>
      <c r="H4864" s="0">
        <v>-11</v>
      </c>
      <c r="I4864" s="0">
        <v>40</v>
      </c>
      <c r="J4864" s="0">
        <v>0</v>
      </c>
      <c r="K4864" s="0">
        <v>1</v>
      </c>
      <c r="L4864" s="0">
        <v>1</v>
      </c>
      <c r="M4864" s="0">
        <v>0</v>
      </c>
      <c r="N4864" s="0">
        <v>0</v>
      </c>
      <c r="O4864" s="0">
        <v>0</v>
      </c>
      <c r="P4864" s="0">
        <v>0</v>
      </c>
      <c r="R4864" s="0" t="b">
        <v>0</v>
      </c>
      <c r="S4864" s="0" t="b">
        <v>1</v>
      </c>
      <c r="T4864" s="68">
        <v>46065.5287268519</v>
      </c>
      <c r="U4864" s="68">
        <v>46065.2916666667</v>
      </c>
      <c r="V4864" s="68">
        <v>0</v>
      </c>
      <c r="W4864" s="0">
        <f>IF(IF(B4864="none",1,IF(B4864="Trialer",1,0))+IF(C4864="Customer",1,IF(C4864="Lost",1,0))=2,1,0)</f>
      </c>
      <c r="X4864" s="0" t="s">
        <v>145</v>
      </c>
      <c r="Y4864" s="0" t="s">
        <v>243</v>
      </c>
      <c r="AV4864" s="68"/>
      <c r="AW4864" s="68"/>
      <c r="AY4864" s="27"/>
      <c r="BD4864" s="68">
        <v>46054.1666666667</v>
      </c>
      <c r="BE4864" s="68">
        <v>46082.1666666667</v>
      </c>
      <c r="BF4864" s="0" t="b">
        <v>0</v>
      </c>
      <c r="BG4864" s="0" t="b">
        <v>0</v>
      </c>
      <c r="BH4864" s="0">
        <v>40</v>
      </c>
      <c r="BI4864" s="0">
        <v>40</v>
      </c>
      <c r="BJ4864" s="0" t="s">
        <v>135</v>
      </c>
    </row>
    <row r="4865">
      <c r="A4865" s="0" t="s">
        <v>5131</v>
      </c>
      <c r="B4865" s="0" t="s">
        <v>5</v>
      </c>
      <c r="C4865" s="0" t="s">
        <v>652</v>
      </c>
      <c r="D4865" s="0" t="s">
        <v>135</v>
      </c>
      <c r="E4865" s="0" t="s">
        <v>3</v>
      </c>
      <c r="F4865" s="0" t="s">
        <v>12</v>
      </c>
      <c r="G4865" s="0" t="s">
        <v>8</v>
      </c>
      <c r="H4865" s="0">
        <v>-11</v>
      </c>
      <c r="I4865" s="0">
        <v>0</v>
      </c>
      <c r="J4865" s="0">
        <v>0</v>
      </c>
      <c r="K4865" s="0">
        <v>0</v>
      </c>
      <c r="L4865" s="0">
        <v>0</v>
      </c>
      <c r="M4865" s="0">
        <v>0</v>
      </c>
      <c r="N4865" s="0">
        <v>0</v>
      </c>
      <c r="O4865" s="0">
        <v>0</v>
      </c>
      <c r="P4865" s="0">
        <v>0</v>
      </c>
      <c r="R4865" s="0" t="b">
        <v>0</v>
      </c>
      <c r="S4865" s="0" t="b">
        <v>1</v>
      </c>
      <c r="T4865" s="68">
        <v>46065.5364467593</v>
      </c>
      <c r="U4865" s="68">
        <v>0</v>
      </c>
      <c r="V4865" s="68">
        <v>0</v>
      </c>
      <c r="W4865" s="0">
        <f>IF(IF(B4865="none",1,IF(B4865="Trialer",1,0))+IF(C4865="Customer",1,IF(C4865="Lost",1,0))=2,1,0)</f>
      </c>
      <c r="X4865" s="0" t="s">
        <v>136</v>
      </c>
      <c r="Y4865" s="0" t="s">
        <v>243</v>
      </c>
      <c r="AV4865" s="68"/>
      <c r="AW4865" s="68"/>
      <c r="AY4865" s="27"/>
      <c r="BD4865" s="68">
        <v>46054.1666666667</v>
      </c>
      <c r="BE4865" s="68">
        <v>46082.1666666667</v>
      </c>
      <c r="BF4865" s="0" t="b">
        <v>0</v>
      </c>
      <c r="BG4865" s="0" t="b">
        <v>0</v>
      </c>
      <c r="BH4865" s="0">
        <v>59</v>
      </c>
      <c r="BI4865" s="0">
        <v>59</v>
      </c>
      <c r="BJ4865" s="0" t="s">
        <v>135</v>
      </c>
    </row>
    <row r="4866">
      <c r="A4866" s="0" t="s">
        <v>5132</v>
      </c>
      <c r="B4866" s="0" t="s">
        <v>5</v>
      </c>
      <c r="C4866" s="0" t="s">
        <v>652</v>
      </c>
      <c r="D4866" s="0" t="s">
        <v>135</v>
      </c>
      <c r="E4866" s="0" t="s">
        <v>3</v>
      </c>
      <c r="F4866" s="0" t="s">
        <v>12</v>
      </c>
      <c r="G4866" s="0" t="s">
        <v>8</v>
      </c>
      <c r="H4866" s="0">
        <v>-11</v>
      </c>
      <c r="I4866" s="0">
        <v>0</v>
      </c>
      <c r="J4866" s="0">
        <v>0</v>
      </c>
      <c r="K4866" s="0">
        <v>0</v>
      </c>
      <c r="L4866" s="0">
        <v>0</v>
      </c>
      <c r="M4866" s="0">
        <v>0</v>
      </c>
      <c r="N4866" s="0">
        <v>0</v>
      </c>
      <c r="O4866" s="0">
        <v>0</v>
      </c>
      <c r="P4866" s="0">
        <v>0</v>
      </c>
      <c r="R4866" s="0" t="b">
        <v>0</v>
      </c>
      <c r="S4866" s="0" t="b">
        <v>1</v>
      </c>
      <c r="T4866" s="68">
        <v>46065.5471875</v>
      </c>
      <c r="U4866" s="68">
        <v>46083.2916666667</v>
      </c>
      <c r="V4866" s="68">
        <v>0</v>
      </c>
      <c r="W4866" s="0">
        <f>IF(IF(B4866="none",1,IF(B4866="Trialer",1,0))+IF(C4866="Customer",1,IF(C4866="Lost",1,0))=2,1,0)</f>
      </c>
      <c r="X4866" s="0" t="s">
        <v>1461</v>
      </c>
      <c r="Y4866" s="0" t="s">
        <v>243</v>
      </c>
      <c r="AV4866" s="68"/>
      <c r="AW4866" s="68"/>
      <c r="AY4866" s="27"/>
      <c r="BD4866" s="68">
        <v>46054.1666666667</v>
      </c>
      <c r="BE4866" s="68">
        <v>46082.1666666667</v>
      </c>
      <c r="BF4866" s="0" t="b">
        <v>0</v>
      </c>
      <c r="BG4866" s="0" t="b">
        <v>0</v>
      </c>
      <c r="BH4866" s="0">
        <v>49</v>
      </c>
      <c r="BI4866" s="0">
        <v>49</v>
      </c>
      <c r="BJ4866" s="0" t="s">
        <v>135</v>
      </c>
    </row>
    <row r="4867">
      <c r="A4867" s="0" t="s">
        <v>5133</v>
      </c>
      <c r="B4867" s="0" t="s">
        <v>5</v>
      </c>
      <c r="C4867" s="0" t="s">
        <v>652</v>
      </c>
      <c r="D4867" s="0" t="s">
        <v>135</v>
      </c>
      <c r="E4867" s="0" t="s">
        <v>3</v>
      </c>
      <c r="F4867" s="0" t="s">
        <v>12</v>
      </c>
      <c r="G4867" s="0" t="s">
        <v>8</v>
      </c>
      <c r="H4867" s="0">
        <v>-11</v>
      </c>
      <c r="I4867" s="0">
        <v>0</v>
      </c>
      <c r="J4867" s="0">
        <v>0</v>
      </c>
      <c r="K4867" s="0">
        <v>0</v>
      </c>
      <c r="L4867" s="0">
        <v>0</v>
      </c>
      <c r="M4867" s="0">
        <v>0</v>
      </c>
      <c r="N4867" s="0">
        <v>0</v>
      </c>
      <c r="O4867" s="0">
        <v>0</v>
      </c>
      <c r="P4867" s="0">
        <v>0</v>
      </c>
      <c r="R4867" s="0" t="b">
        <v>0</v>
      </c>
      <c r="S4867" s="0" t="b">
        <v>0</v>
      </c>
      <c r="T4867" s="68">
        <v>46065.5774074074</v>
      </c>
      <c r="U4867" s="68">
        <v>0</v>
      </c>
      <c r="V4867" s="68">
        <v>46070.6754513889</v>
      </c>
      <c r="W4867" s="0">
        <f>IF(IF(B4867="none",1,IF(B4867="Trialer",1,0))+IF(C4867="Customer",1,IF(C4867="Lost",1,0))=2,1,0)</f>
      </c>
      <c r="X4867" s="0" t="s">
        <v>148</v>
      </c>
      <c r="Y4867" s="0" t="s">
        <v>243</v>
      </c>
      <c r="AV4867" s="68"/>
      <c r="AW4867" s="68"/>
      <c r="AY4867" s="27"/>
      <c r="BD4867" s="68">
        <v>46054.1666666667</v>
      </c>
      <c r="BE4867" s="68">
        <v>46082.1666666667</v>
      </c>
      <c r="BF4867" s="0" t="b">
        <v>0</v>
      </c>
      <c r="BG4867" s="0" t="b">
        <v>0</v>
      </c>
      <c r="BH4867" s="0">
        <v>59</v>
      </c>
      <c r="BI4867" s="0">
        <v>59</v>
      </c>
      <c r="BJ4867" s="0" t="s">
        <v>135</v>
      </c>
    </row>
    <row r="4868">
      <c r="A4868" s="0" t="s">
        <v>5134</v>
      </c>
      <c r="B4868" s="0" t="s">
        <v>5</v>
      </c>
      <c r="C4868" s="0" t="s">
        <v>134</v>
      </c>
      <c r="D4868" s="0" t="s">
        <v>135</v>
      </c>
      <c r="E4868" s="0" t="s">
        <v>3</v>
      </c>
      <c r="F4868" s="0" t="s">
        <v>12</v>
      </c>
      <c r="G4868" s="0" t="s">
        <v>8</v>
      </c>
      <c r="H4868" s="0">
        <v>-11</v>
      </c>
      <c r="I4868" s="0">
        <v>0</v>
      </c>
      <c r="J4868" s="0">
        <v>0</v>
      </c>
      <c r="K4868" s="0">
        <v>0</v>
      </c>
      <c r="L4868" s="0">
        <v>0</v>
      </c>
      <c r="M4868" s="0">
        <v>0</v>
      </c>
      <c r="N4868" s="0">
        <v>0</v>
      </c>
      <c r="O4868" s="0">
        <v>0</v>
      </c>
      <c r="P4868" s="0">
        <v>0</v>
      </c>
      <c r="R4868" s="0" t="b">
        <v>0</v>
      </c>
      <c r="S4868" s="0" t="b">
        <v>1</v>
      </c>
      <c r="T4868" s="68">
        <v>46065.5896759259</v>
      </c>
      <c r="U4868" s="68">
        <v>46024.5</v>
      </c>
      <c r="V4868" s="68">
        <v>0</v>
      </c>
      <c r="W4868" s="0">
        <f>IF(IF(B4868="none",1,IF(B4868="Trialer",1,0))+IF(C4868="Customer",1,IF(C4868="Lost",1,0))=2,1,0)</f>
      </c>
      <c r="X4868" s="0" t="s">
        <v>1461</v>
      </c>
      <c r="Y4868" s="0" t="s">
        <v>243</v>
      </c>
      <c r="AV4868" s="68"/>
      <c r="AW4868" s="68"/>
      <c r="AY4868" s="27"/>
      <c r="BD4868" s="68">
        <v>46054.1666666667</v>
      </c>
      <c r="BE4868" s="68">
        <v>46082.1666666667</v>
      </c>
      <c r="BF4868" s="0" t="b">
        <v>0</v>
      </c>
      <c r="BG4868" s="0" t="b">
        <v>0</v>
      </c>
      <c r="BH4868" s="0">
        <v>71</v>
      </c>
      <c r="BI4868" s="0">
        <v>71</v>
      </c>
      <c r="BJ4868" s="0" t="s">
        <v>230</v>
      </c>
    </row>
    <row r="4869">
      <c r="A4869" s="0" t="s">
        <v>5135</v>
      </c>
      <c r="B4869" s="0" t="s">
        <v>5</v>
      </c>
      <c r="C4869" s="0" t="s">
        <v>652</v>
      </c>
      <c r="D4869" s="0" t="s">
        <v>135</v>
      </c>
      <c r="E4869" s="0" t="s">
        <v>4</v>
      </c>
      <c r="F4869" s="0" t="s">
        <v>12</v>
      </c>
      <c r="G4869" s="0" t="s">
        <v>8</v>
      </c>
      <c r="H4869" s="0">
        <v>-11</v>
      </c>
      <c r="I4869" s="0">
        <v>0</v>
      </c>
      <c r="J4869" s="0">
        <v>0</v>
      </c>
      <c r="K4869" s="0">
        <v>0</v>
      </c>
      <c r="L4869" s="0">
        <v>0</v>
      </c>
      <c r="M4869" s="0">
        <v>0</v>
      </c>
      <c r="N4869" s="0">
        <v>0</v>
      </c>
      <c r="O4869" s="0">
        <v>0</v>
      </c>
      <c r="P4869" s="0">
        <v>0</v>
      </c>
      <c r="R4869" s="0" t="b">
        <v>0</v>
      </c>
      <c r="S4869" s="0" t="b">
        <v>0</v>
      </c>
      <c r="T4869" s="68">
        <v>46065.6825694444</v>
      </c>
      <c r="U4869" s="68">
        <v>0</v>
      </c>
      <c r="V4869" s="68">
        <v>46080.3389930556</v>
      </c>
      <c r="W4869" s="0">
        <f>IF(IF(B4869="none",1,IF(B4869="Trialer",1,0))+IF(C4869="Customer",1,IF(C4869="Lost",1,0))=2,1,0)</f>
      </c>
      <c r="X4869" s="0" t="s">
        <v>136</v>
      </c>
      <c r="Y4869" s="0" t="s">
        <v>1772</v>
      </c>
      <c r="AV4869" s="68"/>
      <c r="AW4869" s="68"/>
      <c r="AY4869" s="27"/>
      <c r="BD4869" s="68">
        <v>46054.1666666667</v>
      </c>
      <c r="BE4869" s="68">
        <v>46082.1666666667</v>
      </c>
      <c r="BF4869" s="0" t="b">
        <v>1</v>
      </c>
      <c r="BG4869" s="0" t="b">
        <v>0</v>
      </c>
      <c r="BH4869" s="0">
        <v>71</v>
      </c>
      <c r="BI4869" s="0">
        <v>71</v>
      </c>
      <c r="BJ4869" s="0" t="s">
        <v>135</v>
      </c>
    </row>
    <row r="4870">
      <c r="A4870" s="0" t="s">
        <v>5136</v>
      </c>
      <c r="B4870" s="0" t="s">
        <v>5</v>
      </c>
      <c r="C4870" s="0" t="s">
        <v>652</v>
      </c>
      <c r="D4870" s="0" t="s">
        <v>135</v>
      </c>
      <c r="E4870" s="0" t="s">
        <v>3</v>
      </c>
      <c r="F4870" s="0" t="s">
        <v>12</v>
      </c>
      <c r="G4870" s="0" t="s">
        <v>8</v>
      </c>
      <c r="H4870" s="0">
        <v>-11</v>
      </c>
      <c r="I4870" s="0">
        <v>0</v>
      </c>
      <c r="J4870" s="0">
        <v>0</v>
      </c>
      <c r="K4870" s="0">
        <v>0</v>
      </c>
      <c r="L4870" s="0">
        <v>0</v>
      </c>
      <c r="M4870" s="0">
        <v>0</v>
      </c>
      <c r="N4870" s="0">
        <v>0</v>
      </c>
      <c r="O4870" s="0">
        <v>0</v>
      </c>
      <c r="P4870" s="0">
        <v>0</v>
      </c>
      <c r="R4870" s="0" t="b">
        <v>0</v>
      </c>
      <c r="S4870" s="0" t="b">
        <v>0</v>
      </c>
      <c r="T4870" s="68">
        <v>46065.6892824074</v>
      </c>
      <c r="U4870" s="68">
        <v>0</v>
      </c>
      <c r="V4870" s="68">
        <v>46065.7244560185</v>
      </c>
      <c r="W4870" s="0">
        <f>IF(IF(B4870="none",1,IF(B4870="Trialer",1,0))+IF(C4870="Customer",1,IF(C4870="Lost",1,0))=2,1,0)</f>
      </c>
      <c r="X4870" s="0" t="s">
        <v>148</v>
      </c>
      <c r="Y4870" s="0" t="s">
        <v>243</v>
      </c>
      <c r="AV4870" s="68"/>
      <c r="AW4870" s="68"/>
      <c r="AY4870" s="27"/>
      <c r="BD4870" s="68">
        <v>46054.1666666667</v>
      </c>
      <c r="BE4870" s="68">
        <v>46082.1666666667</v>
      </c>
      <c r="BF4870" s="0" t="b">
        <v>0</v>
      </c>
      <c r="BG4870" s="0" t="b">
        <v>0</v>
      </c>
      <c r="BH4870" s="0">
        <v>0</v>
      </c>
      <c r="BI4870" s="0">
        <v>0</v>
      </c>
      <c r="BJ4870" s="0" t="s">
        <v>135</v>
      </c>
    </row>
    <row r="4871">
      <c r="A4871" s="0" t="s">
        <v>5137</v>
      </c>
      <c r="B4871" s="0" t="s">
        <v>5</v>
      </c>
      <c r="C4871" s="0" t="s">
        <v>134</v>
      </c>
      <c r="D4871" s="0" t="s">
        <v>135</v>
      </c>
      <c r="E4871" s="0" t="s">
        <v>3</v>
      </c>
      <c r="F4871" s="0" t="s">
        <v>12</v>
      </c>
      <c r="G4871" s="0" t="s">
        <v>8</v>
      </c>
      <c r="H4871" s="0">
        <v>-11</v>
      </c>
      <c r="I4871" s="0">
        <v>118</v>
      </c>
      <c r="J4871" s="0">
        <v>0</v>
      </c>
      <c r="K4871" s="0">
        <v>1</v>
      </c>
      <c r="L4871" s="0">
        <v>3</v>
      </c>
      <c r="M4871" s="0">
        <v>2</v>
      </c>
      <c r="N4871" s="0">
        <v>0</v>
      </c>
      <c r="O4871" s="0">
        <v>0</v>
      </c>
      <c r="P4871" s="0">
        <v>0</v>
      </c>
      <c r="R4871" s="0" t="b">
        <v>0</v>
      </c>
      <c r="S4871" s="0" t="b">
        <v>1</v>
      </c>
      <c r="T4871" s="68">
        <v>46065.7117939815</v>
      </c>
      <c r="U4871" s="68">
        <v>46079.2916666667</v>
      </c>
      <c r="V4871" s="68">
        <v>0</v>
      </c>
      <c r="W4871" s="0">
        <f>IF(IF(B4871="none",1,IF(B4871="Trialer",1,0))+IF(C4871="Customer",1,IF(C4871="Lost",1,0))=2,1,0)</f>
      </c>
      <c r="X4871" s="0" t="s">
        <v>1461</v>
      </c>
      <c r="Y4871" s="0" t="s">
        <v>243</v>
      </c>
      <c r="AV4871" s="68"/>
      <c r="AW4871" s="68"/>
      <c r="AY4871" s="27"/>
      <c r="BD4871" s="68">
        <v>46054.1666666667</v>
      </c>
      <c r="BE4871" s="68">
        <v>46082.1666666667</v>
      </c>
      <c r="BF4871" s="0" t="b">
        <v>0</v>
      </c>
      <c r="BG4871" s="0" t="b">
        <v>0</v>
      </c>
      <c r="BH4871" s="0">
        <v>118</v>
      </c>
      <c r="BI4871" s="0">
        <v>118</v>
      </c>
      <c r="BJ4871" s="0" t="s">
        <v>135</v>
      </c>
    </row>
    <row r="4872">
      <c r="A4872" s="0" t="s">
        <v>5138</v>
      </c>
      <c r="B4872" s="0" t="s">
        <v>5</v>
      </c>
      <c r="C4872" s="0" t="s">
        <v>652</v>
      </c>
      <c r="D4872" s="0" t="s">
        <v>135</v>
      </c>
      <c r="E4872" s="0" t="s">
        <v>3</v>
      </c>
      <c r="F4872" s="0" t="s">
        <v>12</v>
      </c>
      <c r="G4872" s="0" t="s">
        <v>8</v>
      </c>
      <c r="H4872" s="0">
        <v>-11</v>
      </c>
      <c r="I4872" s="0">
        <v>0</v>
      </c>
      <c r="J4872" s="0">
        <v>0</v>
      </c>
      <c r="K4872" s="0">
        <v>0</v>
      </c>
      <c r="L4872" s="0">
        <v>0</v>
      </c>
      <c r="M4872" s="0">
        <v>0</v>
      </c>
      <c r="N4872" s="0">
        <v>0</v>
      </c>
      <c r="O4872" s="0">
        <v>0</v>
      </c>
      <c r="P4872" s="0">
        <v>0</v>
      </c>
      <c r="R4872" s="0" t="b">
        <v>0</v>
      </c>
      <c r="S4872" s="0" t="b">
        <v>1</v>
      </c>
      <c r="T4872" s="68">
        <v>46065.7356018519</v>
      </c>
      <c r="U4872" s="68">
        <v>0</v>
      </c>
      <c r="V4872" s="68">
        <v>0</v>
      </c>
      <c r="W4872" s="0">
        <f>IF(IF(B4872="none",1,IF(B4872="Trialer",1,0))+IF(C4872="Customer",1,IF(C4872="Lost",1,0))=2,1,0)</f>
      </c>
      <c r="X4872" s="0" t="s">
        <v>136</v>
      </c>
      <c r="Y4872" s="0" t="s">
        <v>243</v>
      </c>
      <c r="AV4872" s="68"/>
      <c r="AW4872" s="68"/>
      <c r="AY4872" s="27"/>
      <c r="BD4872" s="68">
        <v>46054.1666666667</v>
      </c>
      <c r="BE4872" s="68">
        <v>46082.1666666667</v>
      </c>
      <c r="BF4872" s="0" t="b">
        <v>0</v>
      </c>
      <c r="BG4872" s="0" t="b">
        <v>0</v>
      </c>
      <c r="BH4872" s="0">
        <v>59</v>
      </c>
      <c r="BI4872" s="0">
        <v>59</v>
      </c>
      <c r="BJ4872" s="0" t="s">
        <v>135</v>
      </c>
    </row>
    <row r="4873">
      <c r="A4873" s="0" t="s">
        <v>5139</v>
      </c>
      <c r="B4873" s="0" t="s">
        <v>5</v>
      </c>
      <c r="C4873" s="0" t="s">
        <v>652</v>
      </c>
      <c r="D4873" s="0" t="s">
        <v>135</v>
      </c>
      <c r="E4873" s="0" t="s">
        <v>3</v>
      </c>
      <c r="F4873" s="0" t="s">
        <v>12</v>
      </c>
      <c r="G4873" s="0" t="s">
        <v>8</v>
      </c>
      <c r="H4873" s="0">
        <v>-11</v>
      </c>
      <c r="I4873" s="0">
        <v>0</v>
      </c>
      <c r="J4873" s="0">
        <v>0</v>
      </c>
      <c r="K4873" s="0">
        <v>0</v>
      </c>
      <c r="L4873" s="0">
        <v>0</v>
      </c>
      <c r="M4873" s="0">
        <v>0</v>
      </c>
      <c r="N4873" s="0">
        <v>0</v>
      </c>
      <c r="O4873" s="0">
        <v>0</v>
      </c>
      <c r="P4873" s="0">
        <v>0</v>
      </c>
      <c r="R4873" s="0" t="b">
        <v>0</v>
      </c>
      <c r="S4873" s="0" t="b">
        <v>1</v>
      </c>
      <c r="T4873" s="68">
        <v>46065.7477314815</v>
      </c>
      <c r="U4873" s="68">
        <v>0</v>
      </c>
      <c r="V4873" s="68">
        <v>0</v>
      </c>
      <c r="W4873" s="0">
        <f>IF(IF(B4873="none",1,IF(B4873="Trialer",1,0))+IF(C4873="Customer",1,IF(C4873="Lost",1,0))=2,1,0)</f>
      </c>
      <c r="X4873" s="0" t="s">
        <v>148</v>
      </c>
      <c r="Y4873" s="0" t="s">
        <v>243</v>
      </c>
      <c r="AV4873" s="68"/>
      <c r="AW4873" s="68"/>
      <c r="AY4873" s="27"/>
      <c r="BD4873" s="68">
        <v>46054.1666666667</v>
      </c>
      <c r="BE4873" s="68">
        <v>46082.1666666667</v>
      </c>
      <c r="BF4873" s="0" t="b">
        <v>0</v>
      </c>
      <c r="BG4873" s="0" t="b">
        <v>0</v>
      </c>
      <c r="BH4873" s="0">
        <v>59</v>
      </c>
      <c r="BI4873" s="0">
        <v>59</v>
      </c>
      <c r="BJ4873" s="0" t="s">
        <v>135</v>
      </c>
    </row>
    <row r="4874">
      <c r="A4874" s="0" t="s">
        <v>5140</v>
      </c>
      <c r="B4874" s="0" t="s">
        <v>5</v>
      </c>
      <c r="C4874" s="0" t="s">
        <v>652</v>
      </c>
      <c r="D4874" s="0" t="s">
        <v>135</v>
      </c>
      <c r="E4874" s="0" t="s">
        <v>3</v>
      </c>
      <c r="F4874" s="0" t="s">
        <v>12</v>
      </c>
      <c r="G4874" s="0" t="s">
        <v>8</v>
      </c>
      <c r="H4874" s="0">
        <v>-11</v>
      </c>
      <c r="I4874" s="0">
        <v>0</v>
      </c>
      <c r="J4874" s="0">
        <v>0</v>
      </c>
      <c r="K4874" s="0">
        <v>0</v>
      </c>
      <c r="L4874" s="0">
        <v>0</v>
      </c>
      <c r="M4874" s="0">
        <v>0</v>
      </c>
      <c r="N4874" s="0">
        <v>0</v>
      </c>
      <c r="O4874" s="0">
        <v>0</v>
      </c>
      <c r="P4874" s="0">
        <v>0</v>
      </c>
      <c r="R4874" s="0" t="b">
        <v>0</v>
      </c>
      <c r="S4874" s="0" t="b">
        <v>1</v>
      </c>
      <c r="T4874" s="68">
        <v>46065.8518518519</v>
      </c>
      <c r="U4874" s="68">
        <v>0</v>
      </c>
      <c r="V4874" s="68">
        <v>0</v>
      </c>
      <c r="W4874" s="0">
        <f>IF(IF(B4874="none",1,IF(B4874="Trialer",1,0))+IF(C4874="Customer",1,IF(C4874="Lost",1,0))=2,1,0)</f>
      </c>
      <c r="X4874" s="0" t="s">
        <v>145</v>
      </c>
      <c r="Y4874" s="0" t="s">
        <v>243</v>
      </c>
      <c r="AV4874" s="68"/>
      <c r="AW4874" s="68"/>
      <c r="AY4874" s="27"/>
      <c r="BD4874" s="68">
        <v>46054.1666666667</v>
      </c>
      <c r="BE4874" s="68">
        <v>46082.1666666667</v>
      </c>
      <c r="BF4874" s="0" t="b">
        <v>0</v>
      </c>
      <c r="BG4874" s="0" t="b">
        <v>0</v>
      </c>
      <c r="BH4874" s="0">
        <v>73</v>
      </c>
      <c r="BI4874" s="0">
        <v>73</v>
      </c>
      <c r="BJ4874" s="0" t="s">
        <v>135</v>
      </c>
    </row>
    <row r="4875">
      <c r="A4875" s="0" t="s">
        <v>5141</v>
      </c>
      <c r="B4875" s="0" t="s">
        <v>5</v>
      </c>
      <c r="C4875" s="0" t="s">
        <v>652</v>
      </c>
      <c r="D4875" s="0" t="s">
        <v>135</v>
      </c>
      <c r="E4875" s="0" t="s">
        <v>2414</v>
      </c>
      <c r="F4875" s="0" t="s">
        <v>12</v>
      </c>
      <c r="G4875" s="0" t="s">
        <v>8</v>
      </c>
      <c r="H4875" s="0">
        <v>-11</v>
      </c>
      <c r="I4875" s="0">
        <v>0</v>
      </c>
      <c r="J4875" s="0">
        <v>0</v>
      </c>
      <c r="K4875" s="0">
        <v>0</v>
      </c>
      <c r="L4875" s="0">
        <v>0</v>
      </c>
      <c r="M4875" s="0">
        <v>0</v>
      </c>
      <c r="N4875" s="0">
        <v>0</v>
      </c>
      <c r="O4875" s="0">
        <v>0</v>
      </c>
      <c r="P4875" s="0">
        <v>0</v>
      </c>
      <c r="R4875" s="0" t="b">
        <v>0</v>
      </c>
      <c r="S4875" s="0" t="b">
        <v>1</v>
      </c>
      <c r="T4875" s="68">
        <v>46065.8641319444</v>
      </c>
      <c r="U4875" s="68">
        <v>0</v>
      </c>
      <c r="V4875" s="68">
        <v>0</v>
      </c>
      <c r="W4875" s="0">
        <f>IF(IF(B4875="none",1,IF(B4875="Trialer",1,0))+IF(C4875="Customer",1,IF(C4875="Lost",1,0))=2,1,0)</f>
      </c>
      <c r="X4875" s="0" t="s">
        <v>136</v>
      </c>
      <c r="Y4875" s="0" t="s">
        <v>1516</v>
      </c>
      <c r="AV4875" s="68"/>
      <c r="AW4875" s="68"/>
      <c r="AY4875" s="27"/>
      <c r="BD4875" s="68">
        <v>46054.1666666667</v>
      </c>
      <c r="BE4875" s="68">
        <v>46082.1666666667</v>
      </c>
      <c r="BF4875" s="0" t="b">
        <v>0</v>
      </c>
      <c r="BG4875" s="0" t="b">
        <v>0</v>
      </c>
      <c r="BH4875" s="0">
        <v>59</v>
      </c>
      <c r="BI4875" s="0">
        <v>59</v>
      </c>
      <c r="BJ4875" s="0" t="s">
        <v>135</v>
      </c>
    </row>
    <row r="4876">
      <c r="A4876" s="0" t="s">
        <v>5142</v>
      </c>
      <c r="B4876" s="0" t="s">
        <v>5</v>
      </c>
      <c r="C4876" s="0" t="s">
        <v>652</v>
      </c>
      <c r="D4876" s="0" t="s">
        <v>135</v>
      </c>
      <c r="E4876" s="0" t="s">
        <v>3</v>
      </c>
      <c r="F4876" s="0" t="s">
        <v>12</v>
      </c>
      <c r="G4876" s="0" t="s">
        <v>8</v>
      </c>
      <c r="H4876" s="0">
        <v>-11</v>
      </c>
      <c r="I4876" s="0">
        <v>0</v>
      </c>
      <c r="J4876" s="0">
        <v>0</v>
      </c>
      <c r="K4876" s="0">
        <v>0</v>
      </c>
      <c r="L4876" s="0">
        <v>0</v>
      </c>
      <c r="M4876" s="0">
        <v>0</v>
      </c>
      <c r="N4876" s="0">
        <v>0</v>
      </c>
      <c r="O4876" s="0">
        <v>0</v>
      </c>
      <c r="P4876" s="0">
        <v>0</v>
      </c>
      <c r="R4876" s="0" t="b">
        <v>0</v>
      </c>
      <c r="S4876" s="0" t="b">
        <v>1</v>
      </c>
      <c r="T4876" s="68">
        <v>46065.9067939815</v>
      </c>
      <c r="U4876" s="68">
        <v>0</v>
      </c>
      <c r="V4876" s="68">
        <v>0</v>
      </c>
      <c r="W4876" s="0">
        <f>IF(IF(B4876="none",1,IF(B4876="Trialer",1,0))+IF(C4876="Customer",1,IF(C4876="Lost",1,0))=2,1,0)</f>
      </c>
      <c r="X4876" s="0" t="s">
        <v>148</v>
      </c>
      <c r="Y4876" s="0" t="s">
        <v>243</v>
      </c>
      <c r="AV4876" s="68"/>
      <c r="AW4876" s="68"/>
      <c r="AY4876" s="27"/>
      <c r="BD4876" s="68">
        <v>46054.1666666667</v>
      </c>
      <c r="BE4876" s="68">
        <v>46082.1666666667</v>
      </c>
      <c r="BF4876" s="0" t="b">
        <v>0</v>
      </c>
      <c r="BG4876" s="0" t="b">
        <v>0</v>
      </c>
      <c r="BH4876" s="0">
        <v>59</v>
      </c>
      <c r="BI4876" s="0">
        <v>59</v>
      </c>
      <c r="BJ4876" s="0" t="s">
        <v>135</v>
      </c>
    </row>
    <row r="4877">
      <c r="A4877" s="0" t="s">
        <v>5143</v>
      </c>
      <c r="B4877" s="0" t="s">
        <v>5</v>
      </c>
      <c r="C4877" s="0" t="s">
        <v>652</v>
      </c>
      <c r="D4877" s="0" t="s">
        <v>135</v>
      </c>
      <c r="E4877" s="0" t="s">
        <v>1515</v>
      </c>
      <c r="F4877" s="0" t="s">
        <v>12</v>
      </c>
      <c r="G4877" s="0" t="s">
        <v>8</v>
      </c>
      <c r="H4877" s="0">
        <v>-12</v>
      </c>
      <c r="I4877" s="0">
        <v>0</v>
      </c>
      <c r="J4877" s="0">
        <v>0</v>
      </c>
      <c r="K4877" s="0">
        <v>0</v>
      </c>
      <c r="L4877" s="0">
        <v>0</v>
      </c>
      <c r="M4877" s="0">
        <v>0</v>
      </c>
      <c r="N4877" s="0">
        <v>0</v>
      </c>
      <c r="O4877" s="0">
        <v>0</v>
      </c>
      <c r="P4877" s="0">
        <v>0</v>
      </c>
      <c r="R4877" s="0" t="b">
        <v>0</v>
      </c>
      <c r="S4877" s="0" t="b">
        <v>0</v>
      </c>
      <c r="T4877" s="68">
        <v>46066.0274884259</v>
      </c>
      <c r="U4877" s="68">
        <v>0</v>
      </c>
      <c r="V4877" s="68">
        <v>46066.4114699074</v>
      </c>
      <c r="W4877" s="0">
        <f>IF(IF(B4877="none",1,IF(B4877="Trialer",1,0))+IF(C4877="Customer",1,IF(C4877="Lost",1,0))=2,1,0)</f>
      </c>
      <c r="X4877" s="0" t="s">
        <v>145</v>
      </c>
      <c r="Y4877" s="0" t="s">
        <v>1516</v>
      </c>
      <c r="AV4877" s="68"/>
      <c r="AW4877" s="68"/>
      <c r="AY4877" s="27"/>
      <c r="BD4877" s="68">
        <v>46054.1666666667</v>
      </c>
      <c r="BE4877" s="68">
        <v>46082.1666666667</v>
      </c>
      <c r="BF4877" s="0" t="b">
        <v>1</v>
      </c>
      <c r="BG4877" s="0" t="b">
        <v>0</v>
      </c>
      <c r="BH4877" s="0">
        <v>0</v>
      </c>
      <c r="BI4877" s="0">
        <v>0</v>
      </c>
      <c r="BJ4877" s="0" t="s">
        <v>135</v>
      </c>
    </row>
    <row r="4878">
      <c r="A4878" s="0" t="s">
        <v>5144</v>
      </c>
      <c r="B4878" s="0" t="s">
        <v>5</v>
      </c>
      <c r="C4878" s="0" t="s">
        <v>652</v>
      </c>
      <c r="D4878" s="0" t="s">
        <v>135</v>
      </c>
      <c r="E4878" s="0" t="s">
        <v>3</v>
      </c>
      <c r="F4878" s="0" t="s">
        <v>12</v>
      </c>
      <c r="G4878" s="0" t="s">
        <v>8</v>
      </c>
      <c r="H4878" s="0">
        <v>-12</v>
      </c>
      <c r="I4878" s="0">
        <v>0</v>
      </c>
      <c r="J4878" s="0">
        <v>0</v>
      </c>
      <c r="K4878" s="0">
        <v>0</v>
      </c>
      <c r="L4878" s="0">
        <v>0</v>
      </c>
      <c r="M4878" s="0">
        <v>0</v>
      </c>
      <c r="N4878" s="0">
        <v>0</v>
      </c>
      <c r="O4878" s="0">
        <v>0</v>
      </c>
      <c r="P4878" s="0">
        <v>0</v>
      </c>
      <c r="R4878" s="0" t="b">
        <v>0</v>
      </c>
      <c r="S4878" s="0" t="b">
        <v>1</v>
      </c>
      <c r="T4878" s="68">
        <v>46066.068599537</v>
      </c>
      <c r="U4878" s="68">
        <v>0</v>
      </c>
      <c r="V4878" s="68">
        <v>0</v>
      </c>
      <c r="W4878" s="0">
        <f>IF(IF(B4878="none",1,IF(B4878="Trialer",1,0))+IF(C4878="Customer",1,IF(C4878="Lost",1,0))=2,1,0)</f>
      </c>
      <c r="X4878" s="0" t="s">
        <v>145</v>
      </c>
      <c r="Y4878" s="0" t="s">
        <v>243</v>
      </c>
      <c r="AV4878" s="68"/>
      <c r="AW4878" s="68"/>
      <c r="AY4878" s="27"/>
      <c r="BD4878" s="68">
        <v>46054.1666666667</v>
      </c>
      <c r="BE4878" s="68">
        <v>46082.1666666667</v>
      </c>
      <c r="BF4878" s="0" t="b">
        <v>0</v>
      </c>
      <c r="BG4878" s="0" t="b">
        <v>0</v>
      </c>
      <c r="BH4878" s="0">
        <v>73</v>
      </c>
      <c r="BI4878" s="0">
        <v>73</v>
      </c>
      <c r="BJ4878" s="0" t="s">
        <v>135</v>
      </c>
    </row>
    <row r="4879">
      <c r="A4879" s="0" t="s">
        <v>5145</v>
      </c>
      <c r="B4879" s="0" t="s">
        <v>5</v>
      </c>
      <c r="C4879" s="0" t="s">
        <v>652</v>
      </c>
      <c r="D4879" s="0" t="s">
        <v>135</v>
      </c>
      <c r="E4879" s="0" t="s">
        <v>3</v>
      </c>
      <c r="F4879" s="0" t="s">
        <v>12</v>
      </c>
      <c r="G4879" s="0" t="s">
        <v>8</v>
      </c>
      <c r="H4879" s="0">
        <v>-12</v>
      </c>
      <c r="I4879" s="0">
        <v>0</v>
      </c>
      <c r="J4879" s="0">
        <v>0</v>
      </c>
      <c r="K4879" s="0">
        <v>0</v>
      </c>
      <c r="L4879" s="0">
        <v>0</v>
      </c>
      <c r="M4879" s="0">
        <v>0</v>
      </c>
      <c r="N4879" s="0">
        <v>0</v>
      </c>
      <c r="O4879" s="0">
        <v>0</v>
      </c>
      <c r="P4879" s="0">
        <v>0</v>
      </c>
      <c r="R4879" s="0" t="b">
        <v>0</v>
      </c>
      <c r="S4879" s="0" t="b">
        <v>1</v>
      </c>
      <c r="T4879" s="68">
        <v>46066.3005671296</v>
      </c>
      <c r="U4879" s="68">
        <v>0</v>
      </c>
      <c r="V4879" s="68">
        <v>0</v>
      </c>
      <c r="W4879" s="0">
        <f>IF(IF(B4879="none",1,IF(B4879="Trialer",1,0))+IF(C4879="Customer",1,IF(C4879="Lost",1,0))=2,1,0)</f>
      </c>
      <c r="X4879" s="0" t="s">
        <v>136</v>
      </c>
      <c r="Y4879" s="0" t="s">
        <v>243</v>
      </c>
      <c r="AV4879" s="68"/>
      <c r="AW4879" s="68"/>
      <c r="AY4879" s="27"/>
      <c r="BD4879" s="68">
        <v>46054.1666666667</v>
      </c>
      <c r="BE4879" s="68">
        <v>46082.1666666667</v>
      </c>
      <c r="BF4879" s="0" t="b">
        <v>0</v>
      </c>
      <c r="BG4879" s="0" t="b">
        <v>0</v>
      </c>
      <c r="BH4879" s="0">
        <v>59</v>
      </c>
      <c r="BI4879" s="0">
        <v>59</v>
      </c>
      <c r="BJ4879" s="0" t="s">
        <v>135</v>
      </c>
    </row>
    <row r="4880">
      <c r="A4880" s="0" t="s">
        <v>5146</v>
      </c>
      <c r="B4880" s="0" t="s">
        <v>5</v>
      </c>
      <c r="C4880" s="0" t="s">
        <v>134</v>
      </c>
      <c r="D4880" s="0" t="s">
        <v>135</v>
      </c>
      <c r="E4880" s="0" t="s">
        <v>3</v>
      </c>
      <c r="F4880" s="0" t="s">
        <v>12</v>
      </c>
      <c r="G4880" s="0" t="s">
        <v>8</v>
      </c>
      <c r="H4880" s="0">
        <v>-12</v>
      </c>
      <c r="I4880" s="0">
        <v>35</v>
      </c>
      <c r="J4880" s="0">
        <v>0</v>
      </c>
      <c r="K4880" s="0">
        <v>1</v>
      </c>
      <c r="L4880" s="0">
        <v>1</v>
      </c>
      <c r="M4880" s="0">
        <v>1</v>
      </c>
      <c r="N4880" s="0">
        <v>0</v>
      </c>
      <c r="O4880" s="0">
        <v>0</v>
      </c>
      <c r="P4880" s="0">
        <v>0</v>
      </c>
      <c r="R4880" s="0" t="b">
        <v>0</v>
      </c>
      <c r="S4880" s="0" t="b">
        <v>1</v>
      </c>
      <c r="T4880" s="68">
        <v>46066.3599884259</v>
      </c>
      <c r="U4880" s="68">
        <v>46080.2916666667</v>
      </c>
      <c r="V4880" s="68">
        <v>0</v>
      </c>
      <c r="W4880" s="0">
        <f>IF(IF(B4880="none",1,IF(B4880="Trialer",1,0))+IF(C4880="Customer",1,IF(C4880="Lost",1,0))=2,1,0)</f>
      </c>
      <c r="X4880" s="0" t="s">
        <v>1461</v>
      </c>
      <c r="Y4880" s="0" t="s">
        <v>243</v>
      </c>
      <c r="AV4880" s="68"/>
      <c r="AW4880" s="68"/>
      <c r="AY4880" s="27"/>
      <c r="BD4880" s="68">
        <v>46054.1666666667</v>
      </c>
      <c r="BE4880" s="68">
        <v>46082.1666666667</v>
      </c>
      <c r="BF4880" s="0" t="b">
        <v>0</v>
      </c>
      <c r="BG4880" s="0" t="b">
        <v>0</v>
      </c>
      <c r="BH4880" s="0">
        <v>35</v>
      </c>
      <c r="BI4880" s="0">
        <v>35</v>
      </c>
      <c r="BJ4880" s="0" t="s">
        <v>135</v>
      </c>
    </row>
    <row r="4881">
      <c r="A4881" s="0" t="s">
        <v>5147</v>
      </c>
      <c r="B4881" s="0" t="s">
        <v>5</v>
      </c>
      <c r="C4881" s="0" t="s">
        <v>134</v>
      </c>
      <c r="D4881" s="0" t="s">
        <v>135</v>
      </c>
      <c r="E4881" s="0" t="s">
        <v>3</v>
      </c>
      <c r="F4881" s="0" t="s">
        <v>10</v>
      </c>
      <c r="G4881" s="0" t="s">
        <v>8</v>
      </c>
      <c r="H4881" s="0">
        <v>-12</v>
      </c>
      <c r="I4881" s="0">
        <v>35</v>
      </c>
      <c r="J4881" s="0">
        <v>0</v>
      </c>
      <c r="K4881" s="0">
        <v>1</v>
      </c>
      <c r="L4881" s="0">
        <v>1</v>
      </c>
      <c r="M4881" s="0">
        <v>1</v>
      </c>
      <c r="N4881" s="0">
        <v>0</v>
      </c>
      <c r="O4881" s="0">
        <v>0</v>
      </c>
      <c r="P4881" s="0">
        <v>0</v>
      </c>
      <c r="Q4881" s="0" t="s">
        <v>1095</v>
      </c>
      <c r="R4881" s="0" t="b">
        <v>0</v>
      </c>
      <c r="S4881" s="0" t="b">
        <v>1</v>
      </c>
      <c r="T4881" s="68">
        <v>46066.4001273148</v>
      </c>
      <c r="U4881" s="68">
        <v>46080.2916666667</v>
      </c>
      <c r="V4881" s="68">
        <v>0</v>
      </c>
      <c r="W4881" s="0">
        <f>IF(IF(B4881="none",1,IF(B4881="Trialer",1,0))+IF(C4881="Customer",1,IF(C4881="Lost",1,0))=2,1,0)</f>
      </c>
      <c r="X4881" s="0" t="s">
        <v>148</v>
      </c>
      <c r="Y4881" s="0" t="s">
        <v>243</v>
      </c>
      <c r="AV4881" s="68"/>
      <c r="AW4881" s="68"/>
      <c r="AY4881" s="27"/>
      <c r="BD4881" s="68">
        <v>46054.1666666667</v>
      </c>
      <c r="BE4881" s="68">
        <v>46082.1666666667</v>
      </c>
      <c r="BF4881" s="0" t="b">
        <v>0</v>
      </c>
      <c r="BG4881" s="0" t="b">
        <v>0</v>
      </c>
      <c r="BH4881" s="0">
        <v>35</v>
      </c>
      <c r="BI4881" s="0">
        <v>35</v>
      </c>
      <c r="BJ4881" s="0" t="s">
        <v>135</v>
      </c>
    </row>
    <row r="4882">
      <c r="A4882" s="0" t="s">
        <v>5148</v>
      </c>
      <c r="B4882" s="0" t="s">
        <v>5</v>
      </c>
      <c r="C4882" s="0" t="s">
        <v>652</v>
      </c>
      <c r="D4882" s="0" t="s">
        <v>135</v>
      </c>
      <c r="E4882" s="0" t="s">
        <v>3</v>
      </c>
      <c r="F4882" s="0" t="s">
        <v>12</v>
      </c>
      <c r="G4882" s="0" t="s">
        <v>8</v>
      </c>
      <c r="H4882" s="0">
        <v>-12</v>
      </c>
      <c r="I4882" s="0">
        <v>0</v>
      </c>
      <c r="J4882" s="0">
        <v>0</v>
      </c>
      <c r="K4882" s="0">
        <v>0</v>
      </c>
      <c r="L4882" s="0">
        <v>0</v>
      </c>
      <c r="M4882" s="0">
        <v>0</v>
      </c>
      <c r="N4882" s="0">
        <v>0</v>
      </c>
      <c r="O4882" s="0">
        <v>0</v>
      </c>
      <c r="P4882" s="0">
        <v>0</v>
      </c>
      <c r="R4882" s="0" t="b">
        <v>0</v>
      </c>
      <c r="S4882" s="0" t="b">
        <v>1</v>
      </c>
      <c r="T4882" s="68">
        <v>46066.404837963</v>
      </c>
      <c r="U4882" s="68">
        <v>0</v>
      </c>
      <c r="V4882" s="68">
        <v>0</v>
      </c>
      <c r="W4882" s="0">
        <f>IF(IF(B4882="none",1,IF(B4882="Trialer",1,0))+IF(C4882="Customer",1,IF(C4882="Lost",1,0))=2,1,0)</f>
      </c>
      <c r="X4882" s="0" t="s">
        <v>882</v>
      </c>
      <c r="Y4882" s="0" t="s">
        <v>243</v>
      </c>
      <c r="AV4882" s="68"/>
      <c r="AW4882" s="68"/>
      <c r="AY4882" s="27"/>
      <c r="BD4882" s="68">
        <v>46054.1666666667</v>
      </c>
      <c r="BE4882" s="68">
        <v>46082.1666666667</v>
      </c>
      <c r="BF4882" s="0" t="b">
        <v>0</v>
      </c>
      <c r="BG4882" s="0" t="b">
        <v>0</v>
      </c>
      <c r="BH4882" s="0">
        <v>59</v>
      </c>
      <c r="BI4882" s="0">
        <v>59</v>
      </c>
      <c r="BJ4882" s="0" t="s">
        <v>135</v>
      </c>
    </row>
    <row r="4883">
      <c r="A4883" s="0" t="s">
        <v>5149</v>
      </c>
      <c r="B4883" s="0" t="s">
        <v>5</v>
      </c>
      <c r="C4883" s="0" t="s">
        <v>134</v>
      </c>
      <c r="D4883" s="0" t="s">
        <v>135</v>
      </c>
      <c r="E4883" s="0" t="s">
        <v>3</v>
      </c>
      <c r="F4883" s="0" t="s">
        <v>12</v>
      </c>
      <c r="G4883" s="0" t="s">
        <v>8</v>
      </c>
      <c r="H4883" s="0">
        <v>-12</v>
      </c>
      <c r="I4883" s="0">
        <v>73</v>
      </c>
      <c r="J4883" s="0">
        <v>0</v>
      </c>
      <c r="K4883" s="0">
        <v>1</v>
      </c>
      <c r="L4883" s="0">
        <v>4</v>
      </c>
      <c r="M4883" s="0">
        <v>1</v>
      </c>
      <c r="N4883" s="0">
        <v>0</v>
      </c>
      <c r="O4883" s="0">
        <v>0</v>
      </c>
      <c r="P4883" s="0">
        <v>0</v>
      </c>
      <c r="R4883" s="0" t="b">
        <v>0</v>
      </c>
      <c r="S4883" s="0" t="b">
        <v>1</v>
      </c>
      <c r="T4883" s="68">
        <v>46066.4083564815</v>
      </c>
      <c r="U4883" s="68">
        <v>46076.2916666667</v>
      </c>
      <c r="V4883" s="68">
        <v>0</v>
      </c>
      <c r="W4883" s="0">
        <f>IF(IF(B4883="none",1,IF(B4883="Trialer",1,0))+IF(C4883="Customer",1,IF(C4883="Lost",1,0))=2,1,0)</f>
      </c>
      <c r="X4883" s="0" t="s">
        <v>1461</v>
      </c>
      <c r="Y4883" s="0" t="s">
        <v>243</v>
      </c>
      <c r="AV4883" s="68"/>
      <c r="AW4883" s="68"/>
      <c r="AY4883" s="27"/>
      <c r="BD4883" s="68">
        <v>46054.1666666667</v>
      </c>
      <c r="BE4883" s="68">
        <v>46082.1666666667</v>
      </c>
      <c r="BF4883" s="0" t="b">
        <v>0</v>
      </c>
      <c r="BG4883" s="0" t="b">
        <v>0</v>
      </c>
      <c r="BH4883" s="0">
        <v>264</v>
      </c>
      <c r="BI4883" s="0">
        <v>264</v>
      </c>
      <c r="BJ4883" s="0" t="s">
        <v>135</v>
      </c>
    </row>
    <row r="4884">
      <c r="A4884" s="0" t="s">
        <v>5150</v>
      </c>
      <c r="B4884" s="0" t="s">
        <v>5</v>
      </c>
      <c r="C4884" s="0" t="s">
        <v>652</v>
      </c>
      <c r="D4884" s="0" t="s">
        <v>135</v>
      </c>
      <c r="E4884" s="0" t="s">
        <v>2</v>
      </c>
      <c r="F4884" s="0" t="s">
        <v>12</v>
      </c>
      <c r="G4884" s="0" t="s">
        <v>8</v>
      </c>
      <c r="H4884" s="0">
        <v>-12</v>
      </c>
      <c r="I4884" s="0">
        <v>0</v>
      </c>
      <c r="J4884" s="0">
        <v>0</v>
      </c>
      <c r="K4884" s="0">
        <v>0</v>
      </c>
      <c r="L4884" s="0">
        <v>0</v>
      </c>
      <c r="M4884" s="0">
        <v>0</v>
      </c>
      <c r="N4884" s="0">
        <v>0</v>
      </c>
      <c r="O4884" s="0">
        <v>0</v>
      </c>
      <c r="P4884" s="0">
        <v>0</v>
      </c>
      <c r="R4884" s="0" t="b">
        <v>0</v>
      </c>
      <c r="S4884" s="0" t="b">
        <v>1</v>
      </c>
      <c r="T4884" s="68">
        <v>46066.4118171296</v>
      </c>
      <c r="U4884" s="68">
        <v>0</v>
      </c>
      <c r="V4884" s="68">
        <v>0</v>
      </c>
      <c r="W4884" s="0">
        <f>IF(IF(B4884="none",1,IF(B4884="Trialer",1,0))+IF(C4884="Customer",1,IF(C4884="Lost",1,0))=2,1,0)</f>
      </c>
      <c r="X4884" s="0" t="s">
        <v>145</v>
      </c>
      <c r="Y4884" s="0" t="s">
        <v>499</v>
      </c>
      <c r="AV4884" s="68"/>
      <c r="AW4884" s="68"/>
      <c r="AY4884" s="27"/>
      <c r="BD4884" s="68">
        <v>46054.1666666667</v>
      </c>
      <c r="BE4884" s="68">
        <v>46082.1666666667</v>
      </c>
      <c r="BF4884" s="0" t="b">
        <v>0</v>
      </c>
      <c r="BG4884" s="0" t="b">
        <v>0</v>
      </c>
      <c r="BH4884" s="0">
        <v>59</v>
      </c>
      <c r="BI4884" s="0">
        <v>59</v>
      </c>
      <c r="BJ4884" s="0" t="s">
        <v>135</v>
      </c>
    </row>
    <row r="4885">
      <c r="A4885" s="0" t="s">
        <v>5151</v>
      </c>
      <c r="B4885" s="0" t="s">
        <v>5</v>
      </c>
      <c r="C4885" s="0" t="s">
        <v>652</v>
      </c>
      <c r="D4885" s="0" t="s">
        <v>135</v>
      </c>
      <c r="E4885" s="0" t="s">
        <v>3</v>
      </c>
      <c r="F4885" s="0" t="s">
        <v>10</v>
      </c>
      <c r="G4885" s="0" t="s">
        <v>8</v>
      </c>
      <c r="H4885" s="0">
        <v>-12</v>
      </c>
      <c r="I4885" s="0">
        <v>0</v>
      </c>
      <c r="J4885" s="0">
        <v>0</v>
      </c>
      <c r="K4885" s="0">
        <v>0</v>
      </c>
      <c r="L4885" s="0">
        <v>0</v>
      </c>
      <c r="M4885" s="0">
        <v>0</v>
      </c>
      <c r="N4885" s="0">
        <v>0</v>
      </c>
      <c r="O4885" s="0">
        <v>0</v>
      </c>
      <c r="P4885" s="0">
        <v>0</v>
      </c>
      <c r="Q4885" s="0" t="s">
        <v>5152</v>
      </c>
      <c r="R4885" s="0" t="b">
        <v>0</v>
      </c>
      <c r="S4885" s="0" t="b">
        <v>1</v>
      </c>
      <c r="T4885" s="68">
        <v>46066.4273611111</v>
      </c>
      <c r="U4885" s="68">
        <v>0</v>
      </c>
      <c r="V4885" s="68">
        <v>0</v>
      </c>
      <c r="W4885" s="0">
        <f>IF(IF(B4885="none",1,IF(B4885="Trialer",1,0))+IF(C4885="Customer",1,IF(C4885="Lost",1,0))=2,1,0)</f>
      </c>
      <c r="X4885" s="0" t="s">
        <v>882</v>
      </c>
      <c r="Y4885" s="0" t="s">
        <v>243</v>
      </c>
      <c r="AV4885" s="68"/>
      <c r="AW4885" s="68"/>
      <c r="AY4885" s="27"/>
      <c r="BD4885" s="68">
        <v>46054.1666666667</v>
      </c>
      <c r="BE4885" s="68">
        <v>46082.1666666667</v>
      </c>
      <c r="BF4885" s="0" t="b">
        <v>0</v>
      </c>
      <c r="BG4885" s="0" t="b">
        <v>0</v>
      </c>
      <c r="BH4885" s="0">
        <v>59</v>
      </c>
      <c r="BI4885" s="0">
        <v>59</v>
      </c>
      <c r="BJ4885" s="0" t="s">
        <v>135</v>
      </c>
    </row>
    <row r="4886">
      <c r="A4886" s="0" t="s">
        <v>5153</v>
      </c>
      <c r="B4886" s="0" t="s">
        <v>5</v>
      </c>
      <c r="C4886" s="0" t="s">
        <v>652</v>
      </c>
      <c r="D4886" s="0" t="s">
        <v>135</v>
      </c>
      <c r="E4886" s="0" t="s">
        <v>3</v>
      </c>
      <c r="F4886" s="0" t="s">
        <v>12</v>
      </c>
      <c r="G4886" s="0" t="s">
        <v>8</v>
      </c>
      <c r="H4886" s="0">
        <v>-12</v>
      </c>
      <c r="I4886" s="0">
        <v>0</v>
      </c>
      <c r="J4886" s="0">
        <v>0</v>
      </c>
      <c r="K4886" s="0">
        <v>0</v>
      </c>
      <c r="L4886" s="0">
        <v>0</v>
      </c>
      <c r="M4886" s="0">
        <v>0</v>
      </c>
      <c r="N4886" s="0">
        <v>0</v>
      </c>
      <c r="O4886" s="0">
        <v>0</v>
      </c>
      <c r="P4886" s="0">
        <v>0</v>
      </c>
      <c r="R4886" s="0" t="b">
        <v>0</v>
      </c>
      <c r="S4886" s="0" t="b">
        <v>1</v>
      </c>
      <c r="T4886" s="68">
        <v>46066.4587847222</v>
      </c>
      <c r="U4886" s="68">
        <v>0</v>
      </c>
      <c r="V4886" s="68">
        <v>0</v>
      </c>
      <c r="W4886" s="0">
        <f>IF(IF(B4886="none",1,IF(B4886="Trialer",1,0))+IF(C4886="Customer",1,IF(C4886="Lost",1,0))=2,1,0)</f>
      </c>
      <c r="X4886" s="0" t="s">
        <v>136</v>
      </c>
      <c r="Y4886" s="0" t="s">
        <v>243</v>
      </c>
      <c r="AV4886" s="68"/>
      <c r="AW4886" s="68"/>
      <c r="AY4886" s="27"/>
      <c r="BD4886" s="68">
        <v>46054.1666666667</v>
      </c>
      <c r="BE4886" s="68">
        <v>46082.1666666667</v>
      </c>
      <c r="BF4886" s="0" t="b">
        <v>0</v>
      </c>
      <c r="BG4886" s="0" t="b">
        <v>0</v>
      </c>
      <c r="BH4886" s="0">
        <v>59</v>
      </c>
      <c r="BI4886" s="0">
        <v>59</v>
      </c>
      <c r="BJ4886" s="0" t="s">
        <v>135</v>
      </c>
    </row>
    <row r="4887">
      <c r="A4887" s="0" t="s">
        <v>5154</v>
      </c>
      <c r="B4887" s="0" t="s">
        <v>5</v>
      </c>
      <c r="C4887" s="0" t="s">
        <v>652</v>
      </c>
      <c r="D4887" s="0" t="s">
        <v>135</v>
      </c>
      <c r="E4887" s="0" t="s">
        <v>3</v>
      </c>
      <c r="F4887" s="0" t="s">
        <v>12</v>
      </c>
      <c r="G4887" s="0" t="s">
        <v>8</v>
      </c>
      <c r="H4887" s="0">
        <v>-12</v>
      </c>
      <c r="I4887" s="0">
        <v>0</v>
      </c>
      <c r="J4887" s="0">
        <v>0</v>
      </c>
      <c r="K4887" s="0">
        <v>0</v>
      </c>
      <c r="L4887" s="0">
        <v>0</v>
      </c>
      <c r="M4887" s="0">
        <v>0</v>
      </c>
      <c r="N4887" s="0">
        <v>0</v>
      </c>
      <c r="O4887" s="0">
        <v>0</v>
      </c>
      <c r="P4887" s="0">
        <v>0</v>
      </c>
      <c r="R4887" s="0" t="b">
        <v>0</v>
      </c>
      <c r="S4887" s="0" t="b">
        <v>0</v>
      </c>
      <c r="T4887" s="68">
        <v>46066.4660185185</v>
      </c>
      <c r="U4887" s="68">
        <v>0</v>
      </c>
      <c r="V4887" s="68">
        <v>46083.3723958333</v>
      </c>
      <c r="W4887" s="0">
        <f>IF(IF(B4887="none",1,IF(B4887="Trialer",1,0))+IF(C4887="Customer",1,IF(C4887="Lost",1,0))=2,1,0)</f>
      </c>
      <c r="X4887" s="0" t="s">
        <v>148</v>
      </c>
      <c r="Y4887" s="0" t="s">
        <v>243</v>
      </c>
      <c r="AV4887" s="68"/>
      <c r="AW4887" s="68"/>
      <c r="AY4887" s="27"/>
      <c r="BD4887" s="68">
        <v>46054.1666666667</v>
      </c>
      <c r="BE4887" s="68">
        <v>46082.1666666667</v>
      </c>
      <c r="BF4887" s="0" t="b">
        <v>0</v>
      </c>
      <c r="BG4887" s="0" t="b">
        <v>0</v>
      </c>
      <c r="BH4887" s="0">
        <v>142</v>
      </c>
      <c r="BI4887" s="0">
        <v>142</v>
      </c>
      <c r="BJ4887" s="0" t="s">
        <v>135</v>
      </c>
    </row>
    <row r="4888">
      <c r="A4888" s="0" t="s">
        <v>5155</v>
      </c>
      <c r="B4888" s="0" t="s">
        <v>5</v>
      </c>
      <c r="C4888" s="0" t="s">
        <v>652</v>
      </c>
      <c r="D4888" s="0" t="s">
        <v>135</v>
      </c>
      <c r="E4888" s="0" t="s">
        <v>2414</v>
      </c>
      <c r="F4888" s="0" t="s">
        <v>12</v>
      </c>
      <c r="G4888" s="0" t="s">
        <v>8</v>
      </c>
      <c r="H4888" s="0">
        <v>-12</v>
      </c>
      <c r="I4888" s="0">
        <v>0</v>
      </c>
      <c r="J4888" s="0">
        <v>0</v>
      </c>
      <c r="K4888" s="0">
        <v>0</v>
      </c>
      <c r="L4888" s="0">
        <v>0</v>
      </c>
      <c r="M4888" s="0">
        <v>0</v>
      </c>
      <c r="N4888" s="0">
        <v>0</v>
      </c>
      <c r="O4888" s="0">
        <v>0</v>
      </c>
      <c r="P4888" s="0">
        <v>0</v>
      </c>
      <c r="R4888" s="0" t="b">
        <v>0</v>
      </c>
      <c r="S4888" s="0" t="b">
        <v>1</v>
      </c>
      <c r="T4888" s="68">
        <v>46066.4800347222</v>
      </c>
      <c r="U4888" s="68">
        <v>0</v>
      </c>
      <c r="V4888" s="68">
        <v>0</v>
      </c>
      <c r="W4888" s="0">
        <f>IF(IF(B4888="none",1,IF(B4888="Trialer",1,0))+IF(C4888="Customer",1,IF(C4888="Lost",1,0))=2,1,0)</f>
      </c>
      <c r="X4888" s="0" t="s">
        <v>145</v>
      </c>
      <c r="Y4888" s="0" t="s">
        <v>1516</v>
      </c>
      <c r="AV4888" s="68"/>
      <c r="AW4888" s="68"/>
      <c r="AY4888" s="27"/>
      <c r="BD4888" s="68">
        <v>46054.1666666667</v>
      </c>
      <c r="BE4888" s="68">
        <v>46082.1666666667</v>
      </c>
      <c r="BF4888" s="0" t="b">
        <v>0</v>
      </c>
      <c r="BG4888" s="0" t="b">
        <v>0</v>
      </c>
      <c r="BH4888" s="0">
        <v>59</v>
      </c>
      <c r="BI4888" s="0">
        <v>59</v>
      </c>
      <c r="BJ4888" s="0" t="s">
        <v>135</v>
      </c>
    </row>
    <row r="4889">
      <c r="A4889" s="0" t="s">
        <v>5156</v>
      </c>
      <c r="B4889" s="0" t="s">
        <v>5</v>
      </c>
      <c r="C4889" s="0" t="s">
        <v>652</v>
      </c>
      <c r="D4889" s="0" t="s">
        <v>135</v>
      </c>
      <c r="E4889" s="0" t="s">
        <v>4</v>
      </c>
      <c r="F4889" s="0" t="s">
        <v>12</v>
      </c>
      <c r="G4889" s="0" t="s">
        <v>8</v>
      </c>
      <c r="H4889" s="0">
        <v>-12</v>
      </c>
      <c r="I4889" s="0">
        <v>0</v>
      </c>
      <c r="J4889" s="0">
        <v>0</v>
      </c>
      <c r="K4889" s="0">
        <v>0</v>
      </c>
      <c r="L4889" s="0">
        <v>0</v>
      </c>
      <c r="M4889" s="0">
        <v>0</v>
      </c>
      <c r="N4889" s="0">
        <v>0</v>
      </c>
      <c r="O4889" s="0">
        <v>0</v>
      </c>
      <c r="P4889" s="0">
        <v>0</v>
      </c>
      <c r="R4889" s="0" t="b">
        <v>0</v>
      </c>
      <c r="S4889" s="0" t="b">
        <v>1</v>
      </c>
      <c r="T4889" s="68">
        <v>46066.4847453704</v>
      </c>
      <c r="U4889" s="68">
        <v>0</v>
      </c>
      <c r="V4889" s="68">
        <v>0</v>
      </c>
      <c r="W4889" s="0">
        <f>IF(IF(B4889="none",1,IF(B4889="Trialer",1,0))+IF(C4889="Customer",1,IF(C4889="Lost",1,0))=2,1,0)</f>
      </c>
      <c r="X4889" s="0" t="s">
        <v>136</v>
      </c>
      <c r="Y4889" s="0" t="s">
        <v>1772</v>
      </c>
      <c r="AV4889" s="68"/>
      <c r="AW4889" s="68"/>
      <c r="AY4889" s="27"/>
      <c r="BD4889" s="68">
        <v>46054.1666666667</v>
      </c>
      <c r="BE4889" s="68">
        <v>46082.1666666667</v>
      </c>
      <c r="BF4889" s="0" t="b">
        <v>0</v>
      </c>
      <c r="BG4889" s="0" t="b">
        <v>0</v>
      </c>
      <c r="BH4889" s="0">
        <v>83</v>
      </c>
      <c r="BI4889" s="0">
        <v>83</v>
      </c>
      <c r="BJ4889" s="0" t="s">
        <v>135</v>
      </c>
    </row>
    <row r="4890">
      <c r="A4890" s="0" t="s">
        <v>5157</v>
      </c>
      <c r="B4890" s="0" t="s">
        <v>5</v>
      </c>
      <c r="C4890" s="0" t="s">
        <v>652</v>
      </c>
      <c r="D4890" s="0" t="s">
        <v>135</v>
      </c>
      <c r="E4890" s="0" t="s">
        <v>3</v>
      </c>
      <c r="F4890" s="0" t="s">
        <v>12</v>
      </c>
      <c r="G4890" s="0" t="s">
        <v>8</v>
      </c>
      <c r="H4890" s="0">
        <v>-12</v>
      </c>
      <c r="I4890" s="0">
        <v>0</v>
      </c>
      <c r="J4890" s="0">
        <v>0</v>
      </c>
      <c r="K4890" s="0">
        <v>0</v>
      </c>
      <c r="L4890" s="0">
        <v>0</v>
      </c>
      <c r="M4890" s="0">
        <v>0</v>
      </c>
      <c r="N4890" s="0">
        <v>0</v>
      </c>
      <c r="O4890" s="0">
        <v>0</v>
      </c>
      <c r="P4890" s="0">
        <v>0</v>
      </c>
      <c r="R4890" s="0" t="b">
        <v>0</v>
      </c>
      <c r="S4890" s="0" t="b">
        <v>1</v>
      </c>
      <c r="T4890" s="68">
        <v>46066.5314351852</v>
      </c>
      <c r="U4890" s="68">
        <v>0</v>
      </c>
      <c r="V4890" s="68">
        <v>0</v>
      </c>
      <c r="W4890" s="0">
        <f>IF(IF(B4890="none",1,IF(B4890="Trialer",1,0))+IF(C4890="Customer",1,IF(C4890="Lost",1,0))=2,1,0)</f>
      </c>
      <c r="X4890" s="0" t="s">
        <v>148</v>
      </c>
      <c r="Y4890" s="0" t="s">
        <v>243</v>
      </c>
      <c r="AV4890" s="68"/>
      <c r="AW4890" s="68"/>
      <c r="AY4890" s="27"/>
      <c r="BD4890" s="68">
        <v>46054.1666666667</v>
      </c>
      <c r="BE4890" s="68">
        <v>46082.1666666667</v>
      </c>
      <c r="BF4890" s="0" t="b">
        <v>0</v>
      </c>
      <c r="BG4890" s="0" t="b">
        <v>0</v>
      </c>
      <c r="BH4890" s="0">
        <v>85</v>
      </c>
      <c r="BI4890" s="0">
        <v>85</v>
      </c>
      <c r="BJ4890" s="0" t="s">
        <v>135</v>
      </c>
    </row>
    <row r="4891">
      <c r="A4891" s="0" t="s">
        <v>5158</v>
      </c>
      <c r="B4891" s="0" t="s">
        <v>5</v>
      </c>
      <c r="C4891" s="0" t="s">
        <v>652</v>
      </c>
      <c r="D4891" s="0" t="s">
        <v>135</v>
      </c>
      <c r="E4891" s="0" t="s">
        <v>3</v>
      </c>
      <c r="F4891" s="0" t="s">
        <v>12</v>
      </c>
      <c r="G4891" s="0" t="s">
        <v>8</v>
      </c>
      <c r="H4891" s="0">
        <v>-12</v>
      </c>
      <c r="I4891" s="0">
        <v>0</v>
      </c>
      <c r="J4891" s="0">
        <v>0</v>
      </c>
      <c r="K4891" s="0">
        <v>0</v>
      </c>
      <c r="L4891" s="0">
        <v>0</v>
      </c>
      <c r="M4891" s="0">
        <v>0</v>
      </c>
      <c r="N4891" s="0">
        <v>0</v>
      </c>
      <c r="O4891" s="0">
        <v>0</v>
      </c>
      <c r="P4891" s="0">
        <v>0</v>
      </c>
      <c r="R4891" s="0" t="b">
        <v>0</v>
      </c>
      <c r="S4891" s="0" t="b">
        <v>0</v>
      </c>
      <c r="T4891" s="68">
        <v>46066.6014814815</v>
      </c>
      <c r="U4891" s="68">
        <v>0</v>
      </c>
      <c r="V4891" s="68">
        <v>46066.6059953704</v>
      </c>
      <c r="W4891" s="0">
        <f>IF(IF(B4891="none",1,IF(B4891="Trialer",1,0))+IF(C4891="Customer",1,IF(C4891="Lost",1,0))=2,1,0)</f>
      </c>
      <c r="X4891" s="0" t="s">
        <v>145</v>
      </c>
      <c r="Y4891" s="0" t="s">
        <v>243</v>
      </c>
      <c r="AV4891" s="68"/>
      <c r="AW4891" s="68"/>
      <c r="AY4891" s="27"/>
      <c r="BD4891" s="68">
        <v>46054.1666666667</v>
      </c>
      <c r="BE4891" s="68">
        <v>46082.1666666667</v>
      </c>
      <c r="BF4891" s="0" t="b">
        <v>0</v>
      </c>
      <c r="BG4891" s="0" t="b">
        <v>0</v>
      </c>
      <c r="BH4891" s="0">
        <v>0</v>
      </c>
      <c r="BI4891" s="0">
        <v>0</v>
      </c>
      <c r="BJ4891" s="0" t="s">
        <v>135</v>
      </c>
    </row>
    <row r="4892">
      <c r="A4892" s="0" t="s">
        <v>5159</v>
      </c>
      <c r="B4892" s="0" t="s">
        <v>5</v>
      </c>
      <c r="C4892" s="0" t="s">
        <v>652</v>
      </c>
      <c r="D4892" s="0" t="s">
        <v>135</v>
      </c>
      <c r="E4892" s="0" t="s">
        <v>2</v>
      </c>
      <c r="F4892" s="0" t="s">
        <v>12</v>
      </c>
      <c r="G4892" s="0" t="s">
        <v>8</v>
      </c>
      <c r="H4892" s="0">
        <v>-12</v>
      </c>
      <c r="I4892" s="0">
        <v>0</v>
      </c>
      <c r="J4892" s="0">
        <v>0</v>
      </c>
      <c r="K4892" s="0">
        <v>0</v>
      </c>
      <c r="L4892" s="0">
        <v>0</v>
      </c>
      <c r="M4892" s="0">
        <v>0</v>
      </c>
      <c r="N4892" s="0">
        <v>0</v>
      </c>
      <c r="O4892" s="0">
        <v>0</v>
      </c>
      <c r="P4892" s="0">
        <v>0</v>
      </c>
      <c r="R4892" s="0" t="b">
        <v>0</v>
      </c>
      <c r="S4892" s="0" t="b">
        <v>1</v>
      </c>
      <c r="T4892" s="68">
        <v>46066.6149189815</v>
      </c>
      <c r="U4892" s="68">
        <v>0</v>
      </c>
      <c r="V4892" s="68">
        <v>0</v>
      </c>
      <c r="W4892" s="0">
        <f>IF(IF(B4892="none",1,IF(B4892="Trialer",1,0))+IF(C4892="Customer",1,IF(C4892="Lost",1,0))=2,1,0)</f>
      </c>
      <c r="X4892" s="0" t="s">
        <v>136</v>
      </c>
      <c r="Y4892" s="0" t="s">
        <v>499</v>
      </c>
      <c r="AV4892" s="68"/>
      <c r="AW4892" s="68"/>
      <c r="AY4892" s="27"/>
      <c r="BD4892" s="68">
        <v>46054.1666666667</v>
      </c>
      <c r="BE4892" s="68">
        <v>46082.1666666667</v>
      </c>
      <c r="BF4892" s="0" t="b">
        <v>0</v>
      </c>
      <c r="BG4892" s="0" t="b">
        <v>0</v>
      </c>
      <c r="BH4892" s="0">
        <v>71</v>
      </c>
      <c r="BI4892" s="0">
        <v>71</v>
      </c>
      <c r="BJ4892" s="0" t="s">
        <v>135</v>
      </c>
    </row>
    <row r="4893">
      <c r="A4893" s="0" t="s">
        <v>5160</v>
      </c>
      <c r="B4893" s="0" t="s">
        <v>5</v>
      </c>
      <c r="C4893" s="0" t="s">
        <v>652</v>
      </c>
      <c r="D4893" s="0" t="s">
        <v>135</v>
      </c>
      <c r="E4893" s="0" t="s">
        <v>3</v>
      </c>
      <c r="F4893" s="0" t="s">
        <v>12</v>
      </c>
      <c r="G4893" s="0" t="s">
        <v>8</v>
      </c>
      <c r="H4893" s="0">
        <v>-12</v>
      </c>
      <c r="I4893" s="0">
        <v>0</v>
      </c>
      <c r="J4893" s="0">
        <v>0</v>
      </c>
      <c r="K4893" s="0">
        <v>0</v>
      </c>
      <c r="L4893" s="0">
        <v>0</v>
      </c>
      <c r="M4893" s="0">
        <v>0</v>
      </c>
      <c r="N4893" s="0">
        <v>0</v>
      </c>
      <c r="O4893" s="0">
        <v>0</v>
      </c>
      <c r="P4893" s="0">
        <v>0</v>
      </c>
      <c r="R4893" s="0" t="b">
        <v>0</v>
      </c>
      <c r="S4893" s="0" t="b">
        <v>0</v>
      </c>
      <c r="T4893" s="68">
        <v>46066.6242361111</v>
      </c>
      <c r="U4893" s="68">
        <v>0</v>
      </c>
      <c r="V4893" s="68">
        <v>46083.4511226852</v>
      </c>
      <c r="W4893" s="0">
        <f>IF(IF(B4893="none",1,IF(B4893="Trialer",1,0))+IF(C4893="Customer",1,IF(C4893="Lost",1,0))=2,1,0)</f>
      </c>
      <c r="X4893" s="0" t="s">
        <v>148</v>
      </c>
      <c r="Y4893" s="0" t="s">
        <v>243</v>
      </c>
      <c r="AV4893" s="68"/>
      <c r="AW4893" s="68"/>
      <c r="AY4893" s="27"/>
      <c r="BD4893" s="68">
        <v>46054.1666666667</v>
      </c>
      <c r="BE4893" s="68">
        <v>46082.1666666667</v>
      </c>
      <c r="BF4893" s="0" t="b">
        <v>0</v>
      </c>
      <c r="BG4893" s="0" t="b">
        <v>0</v>
      </c>
      <c r="BH4893" s="0">
        <v>59</v>
      </c>
      <c r="BI4893" s="0">
        <v>59</v>
      </c>
      <c r="BJ4893" s="0" t="s">
        <v>135</v>
      </c>
    </row>
    <row r="4894">
      <c r="A4894" s="0" t="s">
        <v>5161</v>
      </c>
      <c r="B4894" s="0" t="s">
        <v>5</v>
      </c>
      <c r="C4894" s="0" t="s">
        <v>652</v>
      </c>
      <c r="D4894" s="0" t="s">
        <v>135</v>
      </c>
      <c r="E4894" s="0" t="s">
        <v>3</v>
      </c>
      <c r="F4894" s="0" t="s">
        <v>12</v>
      </c>
      <c r="G4894" s="0" t="s">
        <v>8</v>
      </c>
      <c r="H4894" s="0">
        <v>-12</v>
      </c>
      <c r="I4894" s="0">
        <v>0</v>
      </c>
      <c r="J4894" s="0">
        <v>0</v>
      </c>
      <c r="K4894" s="0">
        <v>0</v>
      </c>
      <c r="L4894" s="0">
        <v>0</v>
      </c>
      <c r="M4894" s="0">
        <v>0</v>
      </c>
      <c r="N4894" s="0">
        <v>0</v>
      </c>
      <c r="O4894" s="0">
        <v>0</v>
      </c>
      <c r="P4894" s="0">
        <v>0</v>
      </c>
      <c r="R4894" s="0" t="b">
        <v>0</v>
      </c>
      <c r="S4894" s="0" t="b">
        <v>0</v>
      </c>
      <c r="T4894" s="68">
        <v>46066.665150463</v>
      </c>
      <c r="U4894" s="68">
        <v>0</v>
      </c>
      <c r="V4894" s="68">
        <v>46084.4812268519</v>
      </c>
      <c r="W4894" s="0">
        <f>IF(IF(B4894="none",1,IF(B4894="Trialer",1,0))+IF(C4894="Customer",1,IF(C4894="Lost",1,0))=2,1,0)</f>
      </c>
      <c r="X4894" s="0" t="s">
        <v>145</v>
      </c>
      <c r="Y4894" s="0" t="s">
        <v>243</v>
      </c>
      <c r="AV4894" s="68"/>
      <c r="AW4894" s="68"/>
      <c r="AY4894" s="27"/>
      <c r="BD4894" s="68">
        <v>46054.1666666667</v>
      </c>
      <c r="BE4894" s="68">
        <v>46082.1666666667</v>
      </c>
      <c r="BF4894" s="0" t="b">
        <v>0</v>
      </c>
      <c r="BG4894" s="0" t="b">
        <v>0</v>
      </c>
      <c r="BH4894" s="0">
        <v>71</v>
      </c>
      <c r="BI4894" s="0">
        <v>71</v>
      </c>
      <c r="BJ4894" s="0" t="s">
        <v>135</v>
      </c>
    </row>
    <row r="4895">
      <c r="A4895" s="0" t="s">
        <v>5162</v>
      </c>
      <c r="B4895" s="0" t="s">
        <v>5</v>
      </c>
      <c r="C4895" s="0" t="s">
        <v>652</v>
      </c>
      <c r="D4895" s="0" t="s">
        <v>135</v>
      </c>
      <c r="E4895" s="0" t="s">
        <v>3</v>
      </c>
      <c r="F4895" s="0" t="s">
        <v>12</v>
      </c>
      <c r="G4895" s="0" t="s">
        <v>8</v>
      </c>
      <c r="H4895" s="0">
        <v>-12</v>
      </c>
      <c r="I4895" s="0">
        <v>0</v>
      </c>
      <c r="J4895" s="0">
        <v>0</v>
      </c>
      <c r="K4895" s="0">
        <v>0</v>
      </c>
      <c r="L4895" s="0">
        <v>0</v>
      </c>
      <c r="M4895" s="0">
        <v>0</v>
      </c>
      <c r="N4895" s="0">
        <v>0</v>
      </c>
      <c r="O4895" s="0">
        <v>0</v>
      </c>
      <c r="P4895" s="0">
        <v>0</v>
      </c>
      <c r="R4895" s="0" t="b">
        <v>0</v>
      </c>
      <c r="S4895" s="0" t="b">
        <v>1</v>
      </c>
      <c r="T4895" s="68">
        <v>46066.6992708333</v>
      </c>
      <c r="U4895" s="68">
        <v>0</v>
      </c>
      <c r="V4895" s="68">
        <v>0</v>
      </c>
      <c r="W4895" s="0">
        <f>IF(IF(B4895="none",1,IF(B4895="Trialer",1,0))+IF(C4895="Customer",1,IF(C4895="Lost",1,0))=2,1,0)</f>
      </c>
      <c r="X4895" s="0" t="s">
        <v>136</v>
      </c>
      <c r="Y4895" s="0" t="s">
        <v>243</v>
      </c>
      <c r="AV4895" s="68"/>
      <c r="AW4895" s="68"/>
      <c r="AY4895" s="27"/>
      <c r="BD4895" s="68">
        <v>46054.1666666667</v>
      </c>
      <c r="BE4895" s="68">
        <v>46082.1666666667</v>
      </c>
      <c r="BF4895" s="0" t="b">
        <v>0</v>
      </c>
      <c r="BG4895" s="0" t="b">
        <v>0</v>
      </c>
      <c r="BH4895" s="0">
        <v>236</v>
      </c>
      <c r="BI4895" s="0">
        <v>236</v>
      </c>
      <c r="BJ4895" s="0" t="s">
        <v>135</v>
      </c>
    </row>
    <row r="4896">
      <c r="A4896" s="0" t="s">
        <v>5163</v>
      </c>
      <c r="B4896" s="0" t="s">
        <v>5</v>
      </c>
      <c r="C4896" s="0" t="s">
        <v>652</v>
      </c>
      <c r="D4896" s="0" t="s">
        <v>135</v>
      </c>
      <c r="E4896" s="0" t="s">
        <v>3</v>
      </c>
      <c r="F4896" s="0" t="s">
        <v>12</v>
      </c>
      <c r="G4896" s="0" t="s">
        <v>8</v>
      </c>
      <c r="H4896" s="0">
        <v>-12</v>
      </c>
      <c r="I4896" s="0">
        <v>0</v>
      </c>
      <c r="J4896" s="0">
        <v>0</v>
      </c>
      <c r="K4896" s="0">
        <v>0</v>
      </c>
      <c r="L4896" s="0">
        <v>0</v>
      </c>
      <c r="M4896" s="0">
        <v>0</v>
      </c>
      <c r="N4896" s="0">
        <v>0</v>
      </c>
      <c r="O4896" s="0">
        <v>0</v>
      </c>
      <c r="P4896" s="0">
        <v>0</v>
      </c>
      <c r="R4896" s="0" t="b">
        <v>0</v>
      </c>
      <c r="S4896" s="0" t="b">
        <v>1</v>
      </c>
      <c r="T4896" s="68">
        <v>46066.7381944444</v>
      </c>
      <c r="U4896" s="68">
        <v>0</v>
      </c>
      <c r="V4896" s="68">
        <v>0</v>
      </c>
      <c r="W4896" s="0">
        <f>IF(IF(B4896="none",1,IF(B4896="Trialer",1,0))+IF(C4896="Customer",1,IF(C4896="Lost",1,0))=2,1,0)</f>
      </c>
      <c r="X4896" s="0" t="s">
        <v>136</v>
      </c>
      <c r="Y4896" s="0" t="s">
        <v>243</v>
      </c>
      <c r="AV4896" s="68"/>
      <c r="AW4896" s="68"/>
      <c r="AY4896" s="27"/>
      <c r="BD4896" s="68">
        <v>46054.1666666667</v>
      </c>
      <c r="BE4896" s="68">
        <v>46082.1666666667</v>
      </c>
      <c r="BF4896" s="0" t="b">
        <v>0</v>
      </c>
      <c r="BG4896" s="0" t="b">
        <v>0</v>
      </c>
      <c r="BH4896" s="0">
        <v>73</v>
      </c>
      <c r="BI4896" s="0">
        <v>73</v>
      </c>
      <c r="BJ4896" s="0" t="s">
        <v>135</v>
      </c>
    </row>
    <row r="4897">
      <c r="A4897" s="0" t="s">
        <v>5164</v>
      </c>
      <c r="B4897" s="0" t="s">
        <v>5</v>
      </c>
      <c r="C4897" s="0" t="s">
        <v>652</v>
      </c>
      <c r="D4897" s="0" t="s">
        <v>135</v>
      </c>
      <c r="E4897" s="0" t="s">
        <v>1515</v>
      </c>
      <c r="F4897" s="0" t="s">
        <v>12</v>
      </c>
      <c r="G4897" s="0" t="s">
        <v>8</v>
      </c>
      <c r="H4897" s="0">
        <v>-12</v>
      </c>
      <c r="I4897" s="0">
        <v>0</v>
      </c>
      <c r="J4897" s="0">
        <v>0</v>
      </c>
      <c r="K4897" s="0">
        <v>0</v>
      </c>
      <c r="L4897" s="0">
        <v>0</v>
      </c>
      <c r="M4897" s="0">
        <v>0</v>
      </c>
      <c r="N4897" s="0">
        <v>0</v>
      </c>
      <c r="O4897" s="0">
        <v>0</v>
      </c>
      <c r="P4897" s="0">
        <v>0</v>
      </c>
      <c r="R4897" s="0" t="b">
        <v>0</v>
      </c>
      <c r="S4897" s="0" t="b">
        <v>0</v>
      </c>
      <c r="T4897" s="68">
        <v>46066.7967592593</v>
      </c>
      <c r="U4897" s="68">
        <v>0</v>
      </c>
      <c r="V4897" s="68">
        <v>46067.2637152778</v>
      </c>
      <c r="W4897" s="0">
        <f>IF(IF(B4897="none",1,IF(B4897="Trialer",1,0))+IF(C4897="Customer",1,IF(C4897="Lost",1,0))=2,1,0)</f>
      </c>
      <c r="X4897" s="0" t="s">
        <v>136</v>
      </c>
      <c r="Y4897" s="0" t="s">
        <v>1516</v>
      </c>
      <c r="AV4897" s="68"/>
      <c r="AW4897" s="68"/>
      <c r="AY4897" s="27"/>
      <c r="BD4897" s="68">
        <v>46054.1666666667</v>
      </c>
      <c r="BE4897" s="68">
        <v>46082.1666666667</v>
      </c>
      <c r="BF4897" s="0" t="b">
        <v>1</v>
      </c>
      <c r="BG4897" s="0" t="b">
        <v>0</v>
      </c>
      <c r="BH4897" s="0">
        <v>59</v>
      </c>
      <c r="BI4897" s="0">
        <v>0</v>
      </c>
      <c r="BJ4897" s="0" t="s">
        <v>135</v>
      </c>
    </row>
    <row r="4898">
      <c r="A4898" s="0" t="s">
        <v>5165</v>
      </c>
      <c r="B4898" s="0" t="s">
        <v>5</v>
      </c>
      <c r="C4898" s="0" t="s">
        <v>652</v>
      </c>
      <c r="D4898" s="0" t="s">
        <v>135</v>
      </c>
      <c r="E4898" s="0" t="s">
        <v>3</v>
      </c>
      <c r="F4898" s="0" t="s">
        <v>12</v>
      </c>
      <c r="G4898" s="0" t="s">
        <v>8</v>
      </c>
      <c r="H4898" s="0">
        <v>-12</v>
      </c>
      <c r="I4898" s="0">
        <v>0</v>
      </c>
      <c r="J4898" s="0">
        <v>0</v>
      </c>
      <c r="K4898" s="0">
        <v>0</v>
      </c>
      <c r="L4898" s="0">
        <v>0</v>
      </c>
      <c r="M4898" s="0">
        <v>0</v>
      </c>
      <c r="N4898" s="0">
        <v>0</v>
      </c>
      <c r="O4898" s="0">
        <v>0</v>
      </c>
      <c r="P4898" s="0">
        <v>0</v>
      </c>
      <c r="R4898" s="0" t="b">
        <v>0</v>
      </c>
      <c r="S4898" s="0" t="b">
        <v>1</v>
      </c>
      <c r="T4898" s="68">
        <v>46066.8012731482</v>
      </c>
      <c r="U4898" s="68">
        <v>0</v>
      </c>
      <c r="V4898" s="68">
        <v>0</v>
      </c>
      <c r="W4898" s="0">
        <f>IF(IF(B4898="none",1,IF(B4898="Trialer",1,0))+IF(C4898="Customer",1,IF(C4898="Lost",1,0))=2,1,0)</f>
      </c>
      <c r="X4898" s="0" t="s">
        <v>136</v>
      </c>
      <c r="Y4898" s="0" t="s">
        <v>243</v>
      </c>
      <c r="AV4898" s="68"/>
      <c r="AW4898" s="68"/>
      <c r="AY4898" s="27"/>
      <c r="BD4898" s="68">
        <v>46054.1666666667</v>
      </c>
      <c r="BE4898" s="68">
        <v>46082.1666666667</v>
      </c>
      <c r="BF4898" s="0" t="b">
        <v>0</v>
      </c>
      <c r="BG4898" s="0" t="b">
        <v>0</v>
      </c>
      <c r="BH4898" s="0">
        <v>59</v>
      </c>
      <c r="BI4898" s="0">
        <v>59</v>
      </c>
      <c r="BJ4898" s="0" t="s">
        <v>135</v>
      </c>
    </row>
    <row r="4899">
      <c r="A4899" s="0" t="s">
        <v>5166</v>
      </c>
      <c r="B4899" s="0" t="s">
        <v>5</v>
      </c>
      <c r="C4899" s="0" t="s">
        <v>652</v>
      </c>
      <c r="D4899" s="0" t="s">
        <v>135</v>
      </c>
      <c r="E4899" s="0" t="s">
        <v>3</v>
      </c>
      <c r="F4899" s="0" t="s">
        <v>12</v>
      </c>
      <c r="G4899" s="0" t="s">
        <v>8</v>
      </c>
      <c r="H4899" s="0">
        <v>-12</v>
      </c>
      <c r="I4899" s="0">
        <v>0</v>
      </c>
      <c r="J4899" s="0">
        <v>0</v>
      </c>
      <c r="K4899" s="0">
        <v>0</v>
      </c>
      <c r="L4899" s="0">
        <v>0</v>
      </c>
      <c r="M4899" s="0">
        <v>0</v>
      </c>
      <c r="N4899" s="0">
        <v>0</v>
      </c>
      <c r="O4899" s="0">
        <v>0</v>
      </c>
      <c r="P4899" s="0">
        <v>0</v>
      </c>
      <c r="R4899" s="0" t="b">
        <v>0</v>
      </c>
      <c r="S4899" s="0" t="b">
        <v>1</v>
      </c>
      <c r="T4899" s="68">
        <v>46066.8973032407</v>
      </c>
      <c r="U4899" s="68">
        <v>0</v>
      </c>
      <c r="V4899" s="68">
        <v>0</v>
      </c>
      <c r="W4899" s="0">
        <f>IF(IF(B4899="none",1,IF(B4899="Trialer",1,0))+IF(C4899="Customer",1,IF(C4899="Lost",1,0))=2,1,0)</f>
      </c>
      <c r="X4899" s="0" t="s">
        <v>148</v>
      </c>
      <c r="Y4899" s="0" t="s">
        <v>243</v>
      </c>
      <c r="AV4899" s="68"/>
      <c r="AW4899" s="68"/>
      <c r="AY4899" s="27"/>
      <c r="BD4899" s="68">
        <v>46054.1666666667</v>
      </c>
      <c r="BE4899" s="68">
        <v>46082.1666666667</v>
      </c>
      <c r="BF4899" s="0" t="b">
        <v>0</v>
      </c>
      <c r="BG4899" s="0" t="b">
        <v>0</v>
      </c>
      <c r="BH4899" s="0">
        <v>71</v>
      </c>
      <c r="BI4899" s="0">
        <v>71</v>
      </c>
      <c r="BJ4899" s="0" t="s">
        <v>135</v>
      </c>
    </row>
    <row r="4900">
      <c r="A4900" s="0" t="s">
        <v>5167</v>
      </c>
      <c r="B4900" s="0" t="s">
        <v>5</v>
      </c>
      <c r="C4900" s="0" t="s">
        <v>652</v>
      </c>
      <c r="D4900" s="0" t="s">
        <v>135</v>
      </c>
      <c r="E4900" s="0" t="s">
        <v>3</v>
      </c>
      <c r="F4900" s="0" t="s">
        <v>12</v>
      </c>
      <c r="G4900" s="0" t="s">
        <v>8</v>
      </c>
      <c r="H4900" s="0">
        <v>-12</v>
      </c>
      <c r="I4900" s="0">
        <v>0</v>
      </c>
      <c r="J4900" s="0">
        <v>0</v>
      </c>
      <c r="K4900" s="0">
        <v>0</v>
      </c>
      <c r="L4900" s="0">
        <v>0</v>
      </c>
      <c r="M4900" s="0">
        <v>0</v>
      </c>
      <c r="N4900" s="0">
        <v>0</v>
      </c>
      <c r="O4900" s="0">
        <v>0</v>
      </c>
      <c r="P4900" s="0">
        <v>0</v>
      </c>
      <c r="R4900" s="0" t="b">
        <v>0</v>
      </c>
      <c r="S4900" s="0" t="b">
        <v>0</v>
      </c>
      <c r="T4900" s="68">
        <v>46066.9221990741</v>
      </c>
      <c r="U4900" s="68">
        <v>0</v>
      </c>
      <c r="V4900" s="68">
        <v>46097.667662037</v>
      </c>
      <c r="W4900" s="0">
        <f>IF(IF(B4900="none",1,IF(B4900="Trialer",1,0))+IF(C4900="Customer",1,IF(C4900="Lost",1,0))=2,1,0)</f>
      </c>
      <c r="X4900" s="0" t="s">
        <v>145</v>
      </c>
      <c r="Y4900" s="0" t="s">
        <v>243</v>
      </c>
      <c r="AV4900" s="68"/>
      <c r="AW4900" s="68"/>
      <c r="AY4900" s="27"/>
      <c r="BD4900" s="68">
        <v>46054.1666666667</v>
      </c>
      <c r="BE4900" s="68">
        <v>46082.1666666667</v>
      </c>
      <c r="BF4900" s="0" t="b">
        <v>0</v>
      </c>
      <c r="BG4900" s="0" t="b">
        <v>0</v>
      </c>
      <c r="BH4900" s="0">
        <v>85</v>
      </c>
      <c r="BI4900" s="0">
        <v>85</v>
      </c>
      <c r="BJ4900" s="0" t="s">
        <v>135</v>
      </c>
    </row>
    <row r="4901">
      <c r="A4901" s="0" t="s">
        <v>5168</v>
      </c>
      <c r="B4901" s="0" t="s">
        <v>5</v>
      </c>
      <c r="C4901" s="0" t="s">
        <v>652</v>
      </c>
      <c r="D4901" s="0" t="s">
        <v>135</v>
      </c>
      <c r="E4901" s="0" t="s">
        <v>3</v>
      </c>
      <c r="F4901" s="0" t="s">
        <v>12</v>
      </c>
      <c r="G4901" s="0" t="s">
        <v>8</v>
      </c>
      <c r="H4901" s="0">
        <v>-12</v>
      </c>
      <c r="I4901" s="0">
        <v>0</v>
      </c>
      <c r="J4901" s="0">
        <v>0</v>
      </c>
      <c r="K4901" s="0">
        <v>0</v>
      </c>
      <c r="L4901" s="0">
        <v>0</v>
      </c>
      <c r="M4901" s="0">
        <v>0</v>
      </c>
      <c r="N4901" s="0">
        <v>0</v>
      </c>
      <c r="O4901" s="0">
        <v>0</v>
      </c>
      <c r="P4901" s="0">
        <v>0</v>
      </c>
      <c r="R4901" s="0" t="b">
        <v>0</v>
      </c>
      <c r="S4901" s="0" t="b">
        <v>1</v>
      </c>
      <c r="T4901" s="68">
        <v>46066.9524421296</v>
      </c>
      <c r="U4901" s="68">
        <v>0</v>
      </c>
      <c r="V4901" s="68">
        <v>0</v>
      </c>
      <c r="W4901" s="0">
        <f>IF(IF(B4901="none",1,IF(B4901="Trialer",1,0))+IF(C4901="Customer",1,IF(C4901="Lost",1,0))=2,1,0)</f>
      </c>
      <c r="X4901" s="0" t="s">
        <v>136</v>
      </c>
      <c r="Y4901" s="0" t="s">
        <v>243</v>
      </c>
      <c r="AV4901" s="68"/>
      <c r="AW4901" s="68"/>
      <c r="AY4901" s="27"/>
      <c r="BD4901" s="68">
        <v>46054.1666666667</v>
      </c>
      <c r="BE4901" s="68">
        <v>46082.1666666667</v>
      </c>
      <c r="BF4901" s="0" t="b">
        <v>0</v>
      </c>
      <c r="BG4901" s="0" t="b">
        <v>0</v>
      </c>
      <c r="BH4901" s="0">
        <v>83</v>
      </c>
      <c r="BI4901" s="0">
        <v>83</v>
      </c>
      <c r="BJ4901" s="0" t="s">
        <v>135</v>
      </c>
    </row>
    <row r="4902">
      <c r="A4902" s="0" t="s">
        <v>5169</v>
      </c>
      <c r="B4902" s="0" t="s">
        <v>5</v>
      </c>
      <c r="C4902" s="0" t="s">
        <v>652</v>
      </c>
      <c r="D4902" s="0" t="s">
        <v>135</v>
      </c>
      <c r="E4902" s="0" t="s">
        <v>1515</v>
      </c>
      <c r="F4902" s="0" t="s">
        <v>12</v>
      </c>
      <c r="G4902" s="0" t="s">
        <v>8</v>
      </c>
      <c r="H4902" s="0">
        <v>-13</v>
      </c>
      <c r="I4902" s="0">
        <v>0</v>
      </c>
      <c r="J4902" s="0">
        <v>0</v>
      </c>
      <c r="K4902" s="0">
        <v>0</v>
      </c>
      <c r="L4902" s="0">
        <v>0</v>
      </c>
      <c r="M4902" s="0">
        <v>0</v>
      </c>
      <c r="N4902" s="0">
        <v>0</v>
      </c>
      <c r="O4902" s="0">
        <v>0</v>
      </c>
      <c r="P4902" s="0">
        <v>0</v>
      </c>
      <c r="R4902" s="0" t="b">
        <v>0</v>
      </c>
      <c r="S4902" s="0" t="b">
        <v>0</v>
      </c>
      <c r="T4902" s="68">
        <v>46067.1060416667</v>
      </c>
      <c r="U4902" s="68">
        <v>0</v>
      </c>
      <c r="V4902" s="68">
        <v>46067.2618865741</v>
      </c>
      <c r="W4902" s="0">
        <f>IF(IF(B4902="none",1,IF(B4902="Trialer",1,0))+IF(C4902="Customer",1,IF(C4902="Lost",1,0))=2,1,0)</f>
      </c>
      <c r="X4902" s="0" t="s">
        <v>136</v>
      </c>
      <c r="Y4902" s="0" t="s">
        <v>1516</v>
      </c>
      <c r="AV4902" s="68"/>
      <c r="AW4902" s="68"/>
      <c r="AY4902" s="27"/>
      <c r="BD4902" s="68">
        <v>46054.1666666667</v>
      </c>
      <c r="BE4902" s="68">
        <v>46082.1666666667</v>
      </c>
      <c r="BF4902" s="0" t="b">
        <v>1</v>
      </c>
      <c r="BG4902" s="0" t="b">
        <v>0</v>
      </c>
      <c r="BH4902" s="0">
        <v>0</v>
      </c>
      <c r="BI4902" s="0">
        <v>0</v>
      </c>
      <c r="BJ4902" s="0" t="s">
        <v>135</v>
      </c>
    </row>
    <row r="4903">
      <c r="A4903" s="0" t="s">
        <v>5170</v>
      </c>
      <c r="B4903" s="0" t="s">
        <v>5</v>
      </c>
      <c r="C4903" s="0" t="s">
        <v>134</v>
      </c>
      <c r="D4903" s="0" t="s">
        <v>135</v>
      </c>
      <c r="E4903" s="0" t="s">
        <v>3</v>
      </c>
      <c r="F4903" s="0" t="s">
        <v>12</v>
      </c>
      <c r="G4903" s="0" t="s">
        <v>8</v>
      </c>
      <c r="H4903" s="0">
        <v>-13</v>
      </c>
      <c r="I4903" s="0">
        <v>398.25</v>
      </c>
      <c r="J4903" s="0">
        <v>0</v>
      </c>
      <c r="K4903" s="0">
        <v>1</v>
      </c>
      <c r="L4903" s="0">
        <v>3</v>
      </c>
      <c r="M4903" s="0">
        <v>9</v>
      </c>
      <c r="N4903" s="0">
        <v>0</v>
      </c>
      <c r="O4903" s="0">
        <v>0</v>
      </c>
      <c r="P4903" s="0">
        <v>0</v>
      </c>
      <c r="R4903" s="0" t="b">
        <v>0</v>
      </c>
      <c r="S4903" s="0" t="b">
        <v>0</v>
      </c>
      <c r="T4903" s="68">
        <v>46067.1076041667</v>
      </c>
      <c r="U4903" s="68">
        <v>46081.2916666667</v>
      </c>
      <c r="V4903" s="68">
        <v>46090.0665856482</v>
      </c>
      <c r="W4903" s="0">
        <f>IF(IF(B4903="none",1,IF(B4903="Trialer",1,0))+IF(C4903="Customer",1,IF(C4903="Lost",1,0))=2,1,0)</f>
      </c>
      <c r="X4903" s="0" t="s">
        <v>136</v>
      </c>
      <c r="Y4903" s="0" t="s">
        <v>243</v>
      </c>
      <c r="AV4903" s="68"/>
      <c r="AW4903" s="68"/>
      <c r="AY4903" s="27"/>
      <c r="BD4903" s="68">
        <v>46054.1666666667</v>
      </c>
      <c r="BE4903" s="68">
        <v>46082.1666666667</v>
      </c>
      <c r="BF4903" s="0" t="b">
        <v>0</v>
      </c>
      <c r="BG4903" s="0" t="b">
        <v>0</v>
      </c>
      <c r="BH4903" s="0">
        <v>398.25</v>
      </c>
      <c r="BI4903" s="0">
        <v>398.25</v>
      </c>
      <c r="BJ4903" s="0" t="s">
        <v>135</v>
      </c>
    </row>
    <row r="4904">
      <c r="A4904" s="0" t="s">
        <v>5171</v>
      </c>
      <c r="B4904" s="0" t="s">
        <v>5</v>
      </c>
      <c r="C4904" s="0" t="s">
        <v>652</v>
      </c>
      <c r="D4904" s="0" t="s">
        <v>135</v>
      </c>
      <c r="E4904" s="0" t="s">
        <v>3</v>
      </c>
      <c r="F4904" s="0" t="s">
        <v>12</v>
      </c>
      <c r="G4904" s="0" t="s">
        <v>8</v>
      </c>
      <c r="H4904" s="0">
        <v>-13</v>
      </c>
      <c r="I4904" s="0">
        <v>0</v>
      </c>
      <c r="J4904" s="0">
        <v>0</v>
      </c>
      <c r="K4904" s="0">
        <v>0</v>
      </c>
      <c r="L4904" s="0">
        <v>0</v>
      </c>
      <c r="M4904" s="0">
        <v>0</v>
      </c>
      <c r="N4904" s="0">
        <v>0</v>
      </c>
      <c r="O4904" s="0">
        <v>0</v>
      </c>
      <c r="P4904" s="0">
        <v>0</v>
      </c>
      <c r="R4904" s="0" t="b">
        <v>0</v>
      </c>
      <c r="S4904" s="0" t="b">
        <v>1</v>
      </c>
      <c r="T4904" s="68">
        <v>46067.1431944444</v>
      </c>
      <c r="U4904" s="68">
        <v>0</v>
      </c>
      <c r="V4904" s="68">
        <v>0</v>
      </c>
      <c r="W4904" s="0">
        <f>IF(IF(B4904="none",1,IF(B4904="Trialer",1,0))+IF(C4904="Customer",1,IF(C4904="Lost",1,0))=2,1,0)</f>
      </c>
      <c r="X4904" s="0" t="s">
        <v>148</v>
      </c>
      <c r="Y4904" s="0" t="s">
        <v>243</v>
      </c>
      <c r="AV4904" s="68"/>
      <c r="AW4904" s="68"/>
      <c r="AY4904" s="27"/>
      <c r="BD4904" s="68">
        <v>46054.1666666667</v>
      </c>
      <c r="BE4904" s="68">
        <v>46082.1666666667</v>
      </c>
      <c r="BF4904" s="0" t="b">
        <v>0</v>
      </c>
      <c r="BG4904" s="0" t="b">
        <v>0</v>
      </c>
      <c r="BH4904" s="0">
        <v>73</v>
      </c>
      <c r="BI4904" s="0">
        <v>73</v>
      </c>
      <c r="BJ4904" s="0" t="s">
        <v>135</v>
      </c>
    </row>
    <row r="4905">
      <c r="A4905" s="0" t="s">
        <v>5172</v>
      </c>
      <c r="B4905" s="0" t="s">
        <v>5</v>
      </c>
      <c r="C4905" s="0" t="s">
        <v>652</v>
      </c>
      <c r="D4905" s="0" t="s">
        <v>135</v>
      </c>
      <c r="E4905" s="0" t="s">
        <v>3</v>
      </c>
      <c r="F4905" s="0" t="s">
        <v>12</v>
      </c>
      <c r="G4905" s="0" t="s">
        <v>8</v>
      </c>
      <c r="H4905" s="0">
        <v>-13</v>
      </c>
      <c r="I4905" s="0">
        <v>0</v>
      </c>
      <c r="J4905" s="0">
        <v>0</v>
      </c>
      <c r="K4905" s="0">
        <v>0</v>
      </c>
      <c r="L4905" s="0">
        <v>0</v>
      </c>
      <c r="M4905" s="0">
        <v>0</v>
      </c>
      <c r="N4905" s="0">
        <v>0</v>
      </c>
      <c r="O4905" s="0">
        <v>0</v>
      </c>
      <c r="P4905" s="0">
        <v>0</v>
      </c>
      <c r="R4905" s="0" t="b">
        <v>0</v>
      </c>
      <c r="S4905" s="0" t="b">
        <v>1</v>
      </c>
      <c r="T4905" s="68">
        <v>46067.1771759259</v>
      </c>
      <c r="U4905" s="68">
        <v>0</v>
      </c>
      <c r="V4905" s="68">
        <v>0</v>
      </c>
      <c r="W4905" s="0">
        <f>IF(IF(B4905="none",1,IF(B4905="Trialer",1,0))+IF(C4905="Customer",1,IF(C4905="Lost",1,0))=2,1,0)</f>
      </c>
      <c r="X4905" s="0" t="s">
        <v>145</v>
      </c>
      <c r="Y4905" s="0" t="s">
        <v>243</v>
      </c>
      <c r="AV4905" s="68"/>
      <c r="AW4905" s="68"/>
      <c r="AY4905" s="27"/>
      <c r="BD4905" s="68">
        <v>46054.1666666667</v>
      </c>
      <c r="BE4905" s="68">
        <v>46082.1666666667</v>
      </c>
      <c r="BF4905" s="0" t="b">
        <v>0</v>
      </c>
      <c r="BG4905" s="0" t="b">
        <v>0</v>
      </c>
      <c r="BH4905" s="0">
        <v>59</v>
      </c>
      <c r="BI4905" s="0">
        <v>59</v>
      </c>
      <c r="BJ4905" s="0" t="s">
        <v>135</v>
      </c>
    </row>
    <row r="4906">
      <c r="A4906" s="0" t="s">
        <v>5173</v>
      </c>
      <c r="B4906" s="0" t="s">
        <v>5</v>
      </c>
      <c r="C4906" s="0" t="s">
        <v>652</v>
      </c>
      <c r="D4906" s="0" t="s">
        <v>135</v>
      </c>
      <c r="E4906" s="0" t="s">
        <v>1515</v>
      </c>
      <c r="F4906" s="0" t="s">
        <v>12</v>
      </c>
      <c r="G4906" s="0" t="s">
        <v>8</v>
      </c>
      <c r="H4906" s="0">
        <v>-13</v>
      </c>
      <c r="I4906" s="0">
        <v>0</v>
      </c>
      <c r="J4906" s="0">
        <v>0</v>
      </c>
      <c r="K4906" s="0">
        <v>0</v>
      </c>
      <c r="L4906" s="0">
        <v>0</v>
      </c>
      <c r="M4906" s="0">
        <v>0</v>
      </c>
      <c r="N4906" s="0">
        <v>0</v>
      </c>
      <c r="O4906" s="0">
        <v>0</v>
      </c>
      <c r="P4906" s="0">
        <v>0</v>
      </c>
      <c r="R4906" s="0" t="b">
        <v>0</v>
      </c>
      <c r="S4906" s="0" t="b">
        <v>1</v>
      </c>
      <c r="T4906" s="68">
        <v>46067.229375</v>
      </c>
      <c r="U4906" s="68">
        <v>0</v>
      </c>
      <c r="V4906" s="68">
        <v>0</v>
      </c>
      <c r="W4906" s="0">
        <f>IF(IF(B4906="none",1,IF(B4906="Trialer",1,0))+IF(C4906="Customer",1,IF(C4906="Lost",1,0))=2,1,0)</f>
      </c>
      <c r="X4906" s="0" t="s">
        <v>136</v>
      </c>
      <c r="Y4906" s="0" t="s">
        <v>1516</v>
      </c>
      <c r="AV4906" s="68"/>
      <c r="AW4906" s="68"/>
      <c r="AY4906" s="27"/>
      <c r="BD4906" s="68">
        <v>46054.1666666667</v>
      </c>
      <c r="BE4906" s="68">
        <v>46082.1666666667</v>
      </c>
      <c r="BF4906" s="0" t="b">
        <v>0</v>
      </c>
      <c r="BG4906" s="0" t="b">
        <v>0</v>
      </c>
      <c r="BH4906" s="0">
        <v>59</v>
      </c>
      <c r="BI4906" s="0">
        <v>59</v>
      </c>
      <c r="BJ4906" s="0" t="s">
        <v>135</v>
      </c>
    </row>
    <row r="4907">
      <c r="A4907" s="0" t="s">
        <v>5174</v>
      </c>
      <c r="B4907" s="0" t="s">
        <v>5</v>
      </c>
      <c r="C4907" s="0" t="s">
        <v>652</v>
      </c>
      <c r="D4907" s="0" t="s">
        <v>135</v>
      </c>
      <c r="E4907" s="0" t="s">
        <v>3</v>
      </c>
      <c r="F4907" s="0" t="s">
        <v>12</v>
      </c>
      <c r="G4907" s="0" t="s">
        <v>8</v>
      </c>
      <c r="H4907" s="0">
        <v>-13</v>
      </c>
      <c r="I4907" s="0">
        <v>0</v>
      </c>
      <c r="J4907" s="0">
        <v>0</v>
      </c>
      <c r="K4907" s="0">
        <v>0</v>
      </c>
      <c r="L4907" s="0">
        <v>0</v>
      </c>
      <c r="M4907" s="0">
        <v>0</v>
      </c>
      <c r="N4907" s="0">
        <v>0</v>
      </c>
      <c r="O4907" s="0">
        <v>0</v>
      </c>
      <c r="P4907" s="0">
        <v>0</v>
      </c>
      <c r="R4907" s="0" t="b">
        <v>0</v>
      </c>
      <c r="S4907" s="0" t="b">
        <v>1</v>
      </c>
      <c r="T4907" s="68">
        <v>46067.2551736111</v>
      </c>
      <c r="U4907" s="68">
        <v>0</v>
      </c>
      <c r="V4907" s="68">
        <v>0</v>
      </c>
      <c r="W4907" s="0">
        <f>IF(IF(B4907="none",1,IF(B4907="Trialer",1,0))+IF(C4907="Customer",1,IF(C4907="Lost",1,0))=2,1,0)</f>
      </c>
      <c r="X4907" s="0" t="s">
        <v>148</v>
      </c>
      <c r="Y4907" s="0" t="s">
        <v>243</v>
      </c>
      <c r="AV4907" s="68"/>
      <c r="AW4907" s="68"/>
      <c r="AY4907" s="27"/>
      <c r="BD4907" s="68">
        <v>46054.1666666667</v>
      </c>
      <c r="BE4907" s="68">
        <v>46082.1666666667</v>
      </c>
      <c r="BF4907" s="0" t="b">
        <v>0</v>
      </c>
      <c r="BG4907" s="0" t="b">
        <v>0</v>
      </c>
      <c r="BH4907" s="0">
        <v>59</v>
      </c>
      <c r="BI4907" s="0">
        <v>59</v>
      </c>
      <c r="BJ4907" s="0" t="s">
        <v>135</v>
      </c>
    </row>
    <row r="4908">
      <c r="A4908" s="0" t="s">
        <v>5175</v>
      </c>
      <c r="B4908" s="0" t="s">
        <v>5</v>
      </c>
      <c r="C4908" s="0" t="s">
        <v>652</v>
      </c>
      <c r="D4908" s="0" t="s">
        <v>135</v>
      </c>
      <c r="E4908" s="0" t="s">
        <v>3</v>
      </c>
      <c r="F4908" s="0" t="s">
        <v>12</v>
      </c>
      <c r="G4908" s="0" t="s">
        <v>8</v>
      </c>
      <c r="H4908" s="0">
        <v>-13</v>
      </c>
      <c r="I4908" s="0">
        <v>0</v>
      </c>
      <c r="J4908" s="0">
        <v>0</v>
      </c>
      <c r="K4908" s="0">
        <v>0</v>
      </c>
      <c r="L4908" s="0">
        <v>0</v>
      </c>
      <c r="M4908" s="0">
        <v>0</v>
      </c>
      <c r="N4908" s="0">
        <v>0</v>
      </c>
      <c r="O4908" s="0">
        <v>0</v>
      </c>
      <c r="P4908" s="0">
        <v>0</v>
      </c>
      <c r="R4908" s="0" t="b">
        <v>0</v>
      </c>
      <c r="S4908" s="0" t="b">
        <v>1</v>
      </c>
      <c r="T4908" s="68">
        <v>46067.5079861111</v>
      </c>
      <c r="U4908" s="68">
        <v>0</v>
      </c>
      <c r="V4908" s="68">
        <v>0</v>
      </c>
      <c r="W4908" s="0">
        <f>IF(IF(B4908="none",1,IF(B4908="Trialer",1,0))+IF(C4908="Customer",1,IF(C4908="Lost",1,0))=2,1,0)</f>
      </c>
      <c r="X4908" s="0" t="s">
        <v>145</v>
      </c>
      <c r="Y4908" s="0" t="s">
        <v>243</v>
      </c>
      <c r="AV4908" s="68"/>
      <c r="AW4908" s="68"/>
      <c r="AY4908" s="27"/>
      <c r="BD4908" s="68">
        <v>46054.1666666667</v>
      </c>
      <c r="BE4908" s="68">
        <v>46082.1666666667</v>
      </c>
      <c r="BF4908" s="0" t="b">
        <v>0</v>
      </c>
      <c r="BG4908" s="0" t="b">
        <v>0</v>
      </c>
      <c r="BH4908" s="0">
        <v>71</v>
      </c>
      <c r="BI4908" s="0">
        <v>71</v>
      </c>
      <c r="BJ4908" s="0" t="s">
        <v>135</v>
      </c>
    </row>
    <row r="4909">
      <c r="A4909" s="0" t="s">
        <v>5176</v>
      </c>
      <c r="B4909" s="0" t="s">
        <v>5</v>
      </c>
      <c r="C4909" s="0" t="s">
        <v>652</v>
      </c>
      <c r="D4909" s="0" t="s">
        <v>135</v>
      </c>
      <c r="E4909" s="0" t="s">
        <v>3</v>
      </c>
      <c r="F4909" s="0" t="s">
        <v>12</v>
      </c>
      <c r="G4909" s="0" t="s">
        <v>8</v>
      </c>
      <c r="H4909" s="0">
        <v>-13</v>
      </c>
      <c r="I4909" s="0">
        <v>0</v>
      </c>
      <c r="J4909" s="0">
        <v>0</v>
      </c>
      <c r="K4909" s="0">
        <v>0</v>
      </c>
      <c r="L4909" s="0">
        <v>0</v>
      </c>
      <c r="M4909" s="0">
        <v>0</v>
      </c>
      <c r="N4909" s="0">
        <v>0</v>
      </c>
      <c r="O4909" s="0">
        <v>0</v>
      </c>
      <c r="P4909" s="0">
        <v>0</v>
      </c>
      <c r="R4909" s="0" t="b">
        <v>0</v>
      </c>
      <c r="S4909" s="0" t="b">
        <v>1</v>
      </c>
      <c r="T4909" s="68">
        <v>46067.6831828704</v>
      </c>
      <c r="U4909" s="68">
        <v>0</v>
      </c>
      <c r="V4909" s="68">
        <v>0</v>
      </c>
      <c r="W4909" s="0">
        <f>IF(IF(B4909="none",1,IF(B4909="Trialer",1,0))+IF(C4909="Customer",1,IF(C4909="Lost",1,0))=2,1,0)</f>
      </c>
      <c r="X4909" s="0" t="s">
        <v>136</v>
      </c>
      <c r="Y4909" s="0" t="s">
        <v>243</v>
      </c>
      <c r="AV4909" s="68"/>
      <c r="AW4909" s="68"/>
      <c r="AY4909" s="27"/>
      <c r="BD4909" s="68">
        <v>46054.1666666667</v>
      </c>
      <c r="BE4909" s="68">
        <v>46082.1666666667</v>
      </c>
      <c r="BF4909" s="0" t="b">
        <v>0</v>
      </c>
      <c r="BG4909" s="0" t="b">
        <v>0</v>
      </c>
      <c r="BH4909" s="0">
        <v>146</v>
      </c>
      <c r="BI4909" s="0">
        <v>146</v>
      </c>
      <c r="BJ4909" s="0" t="s">
        <v>135</v>
      </c>
    </row>
    <row r="4910">
      <c r="A4910" s="0" t="s">
        <v>5177</v>
      </c>
      <c r="B4910" s="0" t="s">
        <v>5</v>
      </c>
      <c r="C4910" s="0" t="s">
        <v>652</v>
      </c>
      <c r="D4910" s="0" t="s">
        <v>135</v>
      </c>
      <c r="E4910" s="0" t="s">
        <v>3</v>
      </c>
      <c r="F4910" s="0" t="s">
        <v>12</v>
      </c>
      <c r="G4910" s="0" t="s">
        <v>8</v>
      </c>
      <c r="H4910" s="0">
        <v>-13</v>
      </c>
      <c r="I4910" s="0">
        <v>0</v>
      </c>
      <c r="J4910" s="0">
        <v>0</v>
      </c>
      <c r="K4910" s="0">
        <v>0</v>
      </c>
      <c r="L4910" s="0">
        <v>0</v>
      </c>
      <c r="M4910" s="0">
        <v>0</v>
      </c>
      <c r="N4910" s="0">
        <v>0</v>
      </c>
      <c r="O4910" s="0">
        <v>0</v>
      </c>
      <c r="P4910" s="0">
        <v>0</v>
      </c>
      <c r="R4910" s="0" t="b">
        <v>0</v>
      </c>
      <c r="S4910" s="0" t="b">
        <v>1</v>
      </c>
      <c r="T4910" s="68">
        <v>46067.7446180556</v>
      </c>
      <c r="U4910" s="68">
        <v>0</v>
      </c>
      <c r="V4910" s="68">
        <v>0</v>
      </c>
      <c r="W4910" s="0">
        <f>IF(IF(B4910="none",1,IF(B4910="Trialer",1,0))+IF(C4910="Customer",1,IF(C4910="Lost",1,0))=2,1,0)</f>
      </c>
      <c r="X4910" s="0" t="s">
        <v>148</v>
      </c>
      <c r="Y4910" s="0" t="s">
        <v>243</v>
      </c>
      <c r="AV4910" s="68"/>
      <c r="AW4910" s="68"/>
      <c r="AY4910" s="27"/>
      <c r="BD4910" s="68">
        <v>46054.1666666667</v>
      </c>
      <c r="BE4910" s="68">
        <v>46082.1666666667</v>
      </c>
      <c r="BF4910" s="0" t="b">
        <v>0</v>
      </c>
      <c r="BG4910" s="0" t="b">
        <v>0</v>
      </c>
      <c r="BH4910" s="0">
        <v>73</v>
      </c>
      <c r="BI4910" s="0">
        <v>73</v>
      </c>
      <c r="BJ4910" s="0" t="s">
        <v>135</v>
      </c>
    </row>
    <row r="4911">
      <c r="A4911" s="0" t="s">
        <v>5178</v>
      </c>
      <c r="B4911" s="0" t="s">
        <v>5</v>
      </c>
      <c r="C4911" s="0" t="s">
        <v>652</v>
      </c>
      <c r="D4911" s="0" t="s">
        <v>135</v>
      </c>
      <c r="E4911" s="0" t="s">
        <v>2414</v>
      </c>
      <c r="F4911" s="0" t="s">
        <v>12</v>
      </c>
      <c r="G4911" s="0" t="s">
        <v>8</v>
      </c>
      <c r="H4911" s="0">
        <v>-13</v>
      </c>
      <c r="I4911" s="0">
        <v>0</v>
      </c>
      <c r="J4911" s="0">
        <v>0</v>
      </c>
      <c r="K4911" s="0">
        <v>0</v>
      </c>
      <c r="L4911" s="0">
        <v>0</v>
      </c>
      <c r="M4911" s="0">
        <v>0</v>
      </c>
      <c r="N4911" s="0">
        <v>0</v>
      </c>
      <c r="O4911" s="0">
        <v>0</v>
      </c>
      <c r="P4911" s="0">
        <v>0</v>
      </c>
      <c r="R4911" s="0" t="b">
        <v>0</v>
      </c>
      <c r="S4911" s="0" t="b">
        <v>1</v>
      </c>
      <c r="T4911" s="68">
        <v>46067.8042592593</v>
      </c>
      <c r="U4911" s="68">
        <v>0</v>
      </c>
      <c r="V4911" s="68">
        <v>0</v>
      </c>
      <c r="W4911" s="0">
        <f>IF(IF(B4911="none",1,IF(B4911="Trialer",1,0))+IF(C4911="Customer",1,IF(C4911="Lost",1,0))=2,1,0)</f>
      </c>
      <c r="X4911" s="0" t="s">
        <v>145</v>
      </c>
      <c r="Y4911" s="0" t="s">
        <v>1516</v>
      </c>
      <c r="AV4911" s="68"/>
      <c r="AW4911" s="68"/>
      <c r="AY4911" s="27"/>
      <c r="BD4911" s="68">
        <v>46054.1666666667</v>
      </c>
      <c r="BE4911" s="68">
        <v>46082.1666666667</v>
      </c>
      <c r="BF4911" s="0" t="b">
        <v>0</v>
      </c>
      <c r="BG4911" s="0" t="b">
        <v>0</v>
      </c>
      <c r="BH4911" s="0">
        <v>59</v>
      </c>
      <c r="BI4911" s="0">
        <v>59</v>
      </c>
      <c r="BJ4911" s="0" t="s">
        <v>135</v>
      </c>
    </row>
    <row r="4912">
      <c r="A4912" s="0" t="s">
        <v>5179</v>
      </c>
      <c r="B4912" s="0" t="s">
        <v>5</v>
      </c>
      <c r="C4912" s="0" t="s">
        <v>652</v>
      </c>
      <c r="D4912" s="0" t="s">
        <v>135</v>
      </c>
      <c r="E4912" s="0" t="s">
        <v>4</v>
      </c>
      <c r="F4912" s="0" t="s">
        <v>12</v>
      </c>
      <c r="G4912" s="0" t="s">
        <v>8</v>
      </c>
      <c r="H4912" s="0">
        <v>-13</v>
      </c>
      <c r="I4912" s="0">
        <v>0</v>
      </c>
      <c r="J4912" s="0">
        <v>0</v>
      </c>
      <c r="K4912" s="0">
        <v>0</v>
      </c>
      <c r="L4912" s="0">
        <v>0</v>
      </c>
      <c r="M4912" s="0">
        <v>0</v>
      </c>
      <c r="N4912" s="0">
        <v>0</v>
      </c>
      <c r="O4912" s="0">
        <v>0</v>
      </c>
      <c r="P4912" s="0">
        <v>0</v>
      </c>
      <c r="R4912" s="0" t="b">
        <v>0</v>
      </c>
      <c r="S4912" s="0" t="b">
        <v>1</v>
      </c>
      <c r="T4912" s="68">
        <v>46067.8161226852</v>
      </c>
      <c r="U4912" s="68">
        <v>0</v>
      </c>
      <c r="V4912" s="68">
        <v>0</v>
      </c>
      <c r="W4912" s="0">
        <f>IF(IF(B4912="none",1,IF(B4912="Trialer",1,0))+IF(C4912="Customer",1,IF(C4912="Lost",1,0))=2,1,0)</f>
      </c>
      <c r="X4912" s="0" t="s">
        <v>136</v>
      </c>
      <c r="Y4912" s="0" t="s">
        <v>1772</v>
      </c>
      <c r="AV4912" s="68"/>
      <c r="AW4912" s="68"/>
      <c r="AY4912" s="27"/>
      <c r="BD4912" s="68">
        <v>46054.1666666667</v>
      </c>
      <c r="BE4912" s="68">
        <v>46082.1666666667</v>
      </c>
      <c r="BF4912" s="0" t="b">
        <v>0</v>
      </c>
      <c r="BG4912" s="0" t="b">
        <v>0</v>
      </c>
      <c r="BH4912" s="0">
        <v>59</v>
      </c>
      <c r="BI4912" s="0">
        <v>59</v>
      </c>
      <c r="BJ4912" s="0" t="s">
        <v>135</v>
      </c>
    </row>
    <row r="4913">
      <c r="A4913" s="0" t="s">
        <v>5180</v>
      </c>
      <c r="B4913" s="0" t="s">
        <v>5</v>
      </c>
      <c r="C4913" s="0" t="s">
        <v>652</v>
      </c>
      <c r="D4913" s="0" t="s">
        <v>135</v>
      </c>
      <c r="E4913" s="0" t="s">
        <v>3</v>
      </c>
      <c r="F4913" s="0" t="s">
        <v>12</v>
      </c>
      <c r="G4913" s="0" t="s">
        <v>8</v>
      </c>
      <c r="H4913" s="0">
        <v>-13</v>
      </c>
      <c r="I4913" s="0">
        <v>0</v>
      </c>
      <c r="J4913" s="0">
        <v>0</v>
      </c>
      <c r="K4913" s="0">
        <v>0</v>
      </c>
      <c r="L4913" s="0">
        <v>0</v>
      </c>
      <c r="M4913" s="0">
        <v>0</v>
      </c>
      <c r="N4913" s="0">
        <v>0</v>
      </c>
      <c r="O4913" s="0">
        <v>0</v>
      </c>
      <c r="P4913" s="0">
        <v>0</v>
      </c>
      <c r="R4913" s="0" t="b">
        <v>0</v>
      </c>
      <c r="S4913" s="0" t="b">
        <v>0</v>
      </c>
      <c r="T4913" s="68">
        <v>46067.9026041667</v>
      </c>
      <c r="U4913" s="68">
        <v>0</v>
      </c>
      <c r="V4913" s="68">
        <v>46069.4251851852</v>
      </c>
      <c r="W4913" s="0">
        <f>IF(IF(B4913="none",1,IF(B4913="Trialer",1,0))+IF(C4913="Customer",1,IF(C4913="Lost",1,0))=2,1,0)</f>
      </c>
      <c r="X4913" s="0" t="s">
        <v>148</v>
      </c>
      <c r="Y4913" s="0" t="s">
        <v>243</v>
      </c>
      <c r="AV4913" s="68"/>
      <c r="AW4913" s="68"/>
      <c r="AY4913" s="27"/>
      <c r="BD4913" s="68">
        <v>46054.1666666667</v>
      </c>
      <c r="BE4913" s="68">
        <v>46082.1666666667</v>
      </c>
      <c r="BF4913" s="0" t="b">
        <v>0</v>
      </c>
      <c r="BG4913" s="0" t="b">
        <v>0</v>
      </c>
      <c r="BH4913" s="0">
        <v>59</v>
      </c>
      <c r="BI4913" s="0">
        <v>59</v>
      </c>
      <c r="BJ4913" s="0" t="s">
        <v>135</v>
      </c>
    </row>
    <row r="4914">
      <c r="A4914" s="0" t="s">
        <v>5181</v>
      </c>
      <c r="B4914" s="0" t="s">
        <v>5</v>
      </c>
      <c r="C4914" s="0" t="s">
        <v>652</v>
      </c>
      <c r="D4914" s="0" t="s">
        <v>135</v>
      </c>
      <c r="E4914" s="0" t="s">
        <v>3</v>
      </c>
      <c r="F4914" s="0" t="s">
        <v>12</v>
      </c>
      <c r="G4914" s="0" t="s">
        <v>8</v>
      </c>
      <c r="H4914" s="0">
        <v>-13</v>
      </c>
      <c r="I4914" s="0">
        <v>0</v>
      </c>
      <c r="J4914" s="0">
        <v>0</v>
      </c>
      <c r="K4914" s="0">
        <v>0</v>
      </c>
      <c r="L4914" s="0">
        <v>0</v>
      </c>
      <c r="M4914" s="0">
        <v>0</v>
      </c>
      <c r="N4914" s="0">
        <v>0</v>
      </c>
      <c r="O4914" s="0">
        <v>0</v>
      </c>
      <c r="P4914" s="0">
        <v>0</v>
      </c>
      <c r="R4914" s="0" t="b">
        <v>0</v>
      </c>
      <c r="S4914" s="0" t="b">
        <v>1</v>
      </c>
      <c r="T4914" s="68">
        <v>46067.9056365741</v>
      </c>
      <c r="U4914" s="68">
        <v>0</v>
      </c>
      <c r="V4914" s="68">
        <v>0</v>
      </c>
      <c r="W4914" s="0">
        <f>IF(IF(B4914="none",1,IF(B4914="Trialer",1,0))+IF(C4914="Customer",1,IF(C4914="Lost",1,0))=2,1,0)</f>
      </c>
      <c r="X4914" s="0" t="s">
        <v>145</v>
      </c>
      <c r="Y4914" s="0" t="s">
        <v>243</v>
      </c>
      <c r="AV4914" s="68"/>
      <c r="AW4914" s="68"/>
      <c r="AY4914" s="27"/>
      <c r="BD4914" s="68">
        <v>46054.1666666667</v>
      </c>
      <c r="BE4914" s="68">
        <v>46082.1666666667</v>
      </c>
      <c r="BF4914" s="0" t="b">
        <v>0</v>
      </c>
      <c r="BG4914" s="0" t="b">
        <v>0</v>
      </c>
      <c r="BH4914" s="0">
        <v>59</v>
      </c>
      <c r="BI4914" s="0">
        <v>59</v>
      </c>
      <c r="BJ4914" s="0" t="s">
        <v>135</v>
      </c>
    </row>
    <row r="4915">
      <c r="A4915" s="0" t="s">
        <v>5182</v>
      </c>
      <c r="B4915" s="0" t="s">
        <v>5</v>
      </c>
      <c r="C4915" s="0" t="s">
        <v>652</v>
      </c>
      <c r="D4915" s="0" t="s">
        <v>135</v>
      </c>
      <c r="E4915" s="0" t="s">
        <v>3</v>
      </c>
      <c r="F4915" s="0" t="s">
        <v>12</v>
      </c>
      <c r="G4915" s="0" t="s">
        <v>8</v>
      </c>
      <c r="H4915" s="0">
        <v>-14</v>
      </c>
      <c r="I4915" s="0">
        <v>0</v>
      </c>
      <c r="J4915" s="0">
        <v>0</v>
      </c>
      <c r="K4915" s="0">
        <v>0</v>
      </c>
      <c r="L4915" s="0">
        <v>0</v>
      </c>
      <c r="M4915" s="0">
        <v>0</v>
      </c>
      <c r="N4915" s="0">
        <v>0</v>
      </c>
      <c r="O4915" s="0">
        <v>0</v>
      </c>
      <c r="P4915" s="0">
        <v>0</v>
      </c>
      <c r="R4915" s="0" t="b">
        <v>0</v>
      </c>
      <c r="S4915" s="0" t="b">
        <v>1</v>
      </c>
      <c r="T4915" s="68">
        <v>46068.0551041667</v>
      </c>
      <c r="U4915" s="68">
        <v>0</v>
      </c>
      <c r="V4915" s="68">
        <v>0</v>
      </c>
      <c r="W4915" s="0">
        <f>IF(IF(B4915="none",1,IF(B4915="Trialer",1,0))+IF(C4915="Customer",1,IF(C4915="Lost",1,0))=2,1,0)</f>
      </c>
      <c r="X4915" s="0" t="s">
        <v>136</v>
      </c>
      <c r="Y4915" s="0" t="s">
        <v>243</v>
      </c>
      <c r="AV4915" s="68"/>
      <c r="AW4915" s="68"/>
      <c r="AY4915" s="27"/>
      <c r="BD4915" s="68">
        <v>46054.1666666667</v>
      </c>
      <c r="BE4915" s="68">
        <v>46082.1666666667</v>
      </c>
      <c r="BF4915" s="0" t="b">
        <v>0</v>
      </c>
      <c r="BG4915" s="0" t="b">
        <v>0</v>
      </c>
      <c r="BH4915" s="0">
        <v>59</v>
      </c>
      <c r="BI4915" s="0">
        <v>59</v>
      </c>
      <c r="BJ4915" s="0" t="s">
        <v>135</v>
      </c>
    </row>
    <row r="4916">
      <c r="A4916" s="0" t="s">
        <v>5183</v>
      </c>
      <c r="B4916" s="0" t="s">
        <v>5</v>
      </c>
      <c r="C4916" s="0" t="s">
        <v>652</v>
      </c>
      <c r="D4916" s="0" t="s">
        <v>135</v>
      </c>
      <c r="E4916" s="0" t="s">
        <v>4</v>
      </c>
      <c r="F4916" s="0" t="s">
        <v>12</v>
      </c>
      <c r="G4916" s="0" t="s">
        <v>8</v>
      </c>
      <c r="H4916" s="0">
        <v>-14</v>
      </c>
      <c r="I4916" s="0">
        <v>0</v>
      </c>
      <c r="J4916" s="0">
        <v>0</v>
      </c>
      <c r="K4916" s="0">
        <v>0</v>
      </c>
      <c r="L4916" s="0">
        <v>0</v>
      </c>
      <c r="M4916" s="0">
        <v>0</v>
      </c>
      <c r="N4916" s="0">
        <v>0</v>
      </c>
      <c r="O4916" s="0">
        <v>0</v>
      </c>
      <c r="P4916" s="0">
        <v>0</v>
      </c>
      <c r="R4916" s="0" t="b">
        <v>0</v>
      </c>
      <c r="S4916" s="0" t="b">
        <v>1</v>
      </c>
      <c r="T4916" s="68">
        <v>46068.0829050926</v>
      </c>
      <c r="U4916" s="68">
        <v>0</v>
      </c>
      <c r="V4916" s="68">
        <v>0</v>
      </c>
      <c r="W4916" s="0">
        <f>IF(IF(B4916="none",1,IF(B4916="Trialer",1,0))+IF(C4916="Customer",1,IF(C4916="Lost",1,0))=2,1,0)</f>
      </c>
      <c r="X4916" s="0" t="s">
        <v>148</v>
      </c>
      <c r="Y4916" s="0" t="s">
        <v>1772</v>
      </c>
      <c r="AV4916" s="68"/>
      <c r="AW4916" s="68"/>
      <c r="AY4916" s="27"/>
      <c r="BD4916" s="68">
        <v>46054.1666666667</v>
      </c>
      <c r="BE4916" s="68">
        <v>46082.1666666667</v>
      </c>
      <c r="BF4916" s="0" t="b">
        <v>0</v>
      </c>
      <c r="BG4916" s="0" t="b">
        <v>0</v>
      </c>
      <c r="BH4916" s="0">
        <v>59</v>
      </c>
      <c r="BI4916" s="0">
        <v>59</v>
      </c>
      <c r="BJ4916" s="0" t="s">
        <v>135</v>
      </c>
    </row>
    <row r="4917">
      <c r="A4917" s="0" t="s">
        <v>5184</v>
      </c>
      <c r="B4917" s="0" t="s">
        <v>5</v>
      </c>
      <c r="C4917" s="0" t="s">
        <v>652</v>
      </c>
      <c r="D4917" s="0" t="s">
        <v>135</v>
      </c>
      <c r="E4917" s="0" t="s">
        <v>3</v>
      </c>
      <c r="F4917" s="0" t="s">
        <v>12</v>
      </c>
      <c r="G4917" s="0" t="s">
        <v>8</v>
      </c>
      <c r="H4917" s="0">
        <v>-14</v>
      </c>
      <c r="I4917" s="0">
        <v>0</v>
      </c>
      <c r="J4917" s="0">
        <v>0</v>
      </c>
      <c r="K4917" s="0">
        <v>0</v>
      </c>
      <c r="L4917" s="0">
        <v>0</v>
      </c>
      <c r="M4917" s="0">
        <v>0</v>
      </c>
      <c r="N4917" s="0">
        <v>0</v>
      </c>
      <c r="O4917" s="0">
        <v>0</v>
      </c>
      <c r="P4917" s="0">
        <v>0</v>
      </c>
      <c r="R4917" s="0" t="b">
        <v>0</v>
      </c>
      <c r="S4917" s="0" t="b">
        <v>0</v>
      </c>
      <c r="T4917" s="68">
        <v>46068.0872916667</v>
      </c>
      <c r="U4917" s="68">
        <v>0</v>
      </c>
      <c r="V4917" s="68">
        <v>46069.9762847222</v>
      </c>
      <c r="W4917" s="0">
        <f>IF(IF(B4917="none",1,IF(B4917="Trialer",1,0))+IF(C4917="Customer",1,IF(C4917="Lost",1,0))=2,1,0)</f>
      </c>
      <c r="X4917" s="0" t="s">
        <v>1461</v>
      </c>
      <c r="Y4917" s="0" t="s">
        <v>243</v>
      </c>
      <c r="AV4917" s="68"/>
      <c r="AW4917" s="68"/>
      <c r="AY4917" s="27"/>
      <c r="BD4917" s="68">
        <v>46054.1666666667</v>
      </c>
      <c r="BE4917" s="68">
        <v>46082.1666666667</v>
      </c>
      <c r="BF4917" s="0" t="b">
        <v>0</v>
      </c>
      <c r="BG4917" s="0" t="b">
        <v>0</v>
      </c>
      <c r="BH4917" s="0">
        <v>59</v>
      </c>
      <c r="BI4917" s="0">
        <v>0</v>
      </c>
      <c r="BJ4917" s="0" t="s">
        <v>135</v>
      </c>
    </row>
    <row r="4918">
      <c r="A4918" s="0" t="s">
        <v>5185</v>
      </c>
      <c r="B4918" s="0" t="s">
        <v>5</v>
      </c>
      <c r="C4918" s="0" t="s">
        <v>652</v>
      </c>
      <c r="D4918" s="0" t="s">
        <v>135</v>
      </c>
      <c r="E4918" s="0" t="s">
        <v>3</v>
      </c>
      <c r="F4918" s="0" t="s">
        <v>12</v>
      </c>
      <c r="G4918" s="0" t="s">
        <v>8</v>
      </c>
      <c r="H4918" s="0">
        <v>-14</v>
      </c>
      <c r="I4918" s="0">
        <v>0</v>
      </c>
      <c r="J4918" s="0">
        <v>0</v>
      </c>
      <c r="K4918" s="0">
        <v>0</v>
      </c>
      <c r="L4918" s="0">
        <v>0</v>
      </c>
      <c r="M4918" s="0">
        <v>0</v>
      </c>
      <c r="N4918" s="0">
        <v>0</v>
      </c>
      <c r="O4918" s="0">
        <v>0</v>
      </c>
      <c r="P4918" s="0">
        <v>0</v>
      </c>
      <c r="R4918" s="0" t="b">
        <v>0</v>
      </c>
      <c r="S4918" s="0" t="b">
        <v>1</v>
      </c>
      <c r="T4918" s="68">
        <v>46068.1098032407</v>
      </c>
      <c r="U4918" s="68">
        <v>0</v>
      </c>
      <c r="V4918" s="68">
        <v>0</v>
      </c>
      <c r="W4918" s="0">
        <f>IF(IF(B4918="none",1,IF(B4918="Trialer",1,0))+IF(C4918="Customer",1,IF(C4918="Lost",1,0))=2,1,0)</f>
      </c>
      <c r="X4918" s="0" t="s">
        <v>136</v>
      </c>
      <c r="Y4918" s="0" t="s">
        <v>243</v>
      </c>
      <c r="AV4918" s="68"/>
      <c r="AW4918" s="68"/>
      <c r="AY4918" s="27"/>
      <c r="BD4918" s="68">
        <v>46054.1666666667</v>
      </c>
      <c r="BE4918" s="68">
        <v>46082.1666666667</v>
      </c>
      <c r="BF4918" s="0" t="b">
        <v>0</v>
      </c>
      <c r="BG4918" s="0" t="b">
        <v>0</v>
      </c>
      <c r="BH4918" s="0">
        <v>85</v>
      </c>
      <c r="BI4918" s="0">
        <v>85</v>
      </c>
      <c r="BJ4918" s="0" t="s">
        <v>135</v>
      </c>
    </row>
    <row r="4919">
      <c r="A4919" s="0" t="s">
        <v>5186</v>
      </c>
      <c r="B4919" s="0" t="s">
        <v>5</v>
      </c>
      <c r="C4919" s="0" t="s">
        <v>652</v>
      </c>
      <c r="D4919" s="0" t="s">
        <v>135</v>
      </c>
      <c r="E4919" s="0" t="s">
        <v>3</v>
      </c>
      <c r="F4919" s="0" t="s">
        <v>12</v>
      </c>
      <c r="G4919" s="0" t="s">
        <v>8</v>
      </c>
      <c r="H4919" s="0">
        <v>-14</v>
      </c>
      <c r="I4919" s="0">
        <v>0</v>
      </c>
      <c r="J4919" s="0">
        <v>0</v>
      </c>
      <c r="K4919" s="0">
        <v>0</v>
      </c>
      <c r="L4919" s="0">
        <v>0</v>
      </c>
      <c r="M4919" s="0">
        <v>0</v>
      </c>
      <c r="N4919" s="0">
        <v>0</v>
      </c>
      <c r="O4919" s="0">
        <v>0</v>
      </c>
      <c r="P4919" s="0">
        <v>0</v>
      </c>
      <c r="R4919" s="0" t="b">
        <v>0</v>
      </c>
      <c r="S4919" s="0" t="b">
        <v>1</v>
      </c>
      <c r="T4919" s="68">
        <v>46068.3511574074</v>
      </c>
      <c r="U4919" s="68">
        <v>0</v>
      </c>
      <c r="V4919" s="68">
        <v>0</v>
      </c>
      <c r="W4919" s="0">
        <f>IF(IF(B4919="none",1,IF(B4919="Trialer",1,0))+IF(C4919="Customer",1,IF(C4919="Lost",1,0))=2,1,0)</f>
      </c>
      <c r="X4919" s="0" t="s">
        <v>148</v>
      </c>
      <c r="Y4919" s="0" t="s">
        <v>1792</v>
      </c>
      <c r="AV4919" s="68"/>
      <c r="AW4919" s="68"/>
      <c r="AY4919" s="27"/>
      <c r="BD4919" s="68">
        <v>46054.1666666667</v>
      </c>
      <c r="BE4919" s="68">
        <v>46082.1666666667</v>
      </c>
      <c r="BF4919" s="0" t="b">
        <v>0</v>
      </c>
      <c r="BG4919" s="0" t="b">
        <v>0</v>
      </c>
      <c r="BH4919" s="0">
        <v>59</v>
      </c>
      <c r="BI4919" s="0">
        <v>59</v>
      </c>
      <c r="BJ4919" s="0" t="s">
        <v>135</v>
      </c>
    </row>
    <row r="4920">
      <c r="A4920" s="0" t="s">
        <v>5187</v>
      </c>
      <c r="B4920" s="0" t="s">
        <v>5</v>
      </c>
      <c r="C4920" s="0" t="s">
        <v>652</v>
      </c>
      <c r="D4920" s="0" t="s">
        <v>135</v>
      </c>
      <c r="E4920" s="0" t="s">
        <v>1515</v>
      </c>
      <c r="F4920" s="0" t="s">
        <v>12</v>
      </c>
      <c r="G4920" s="0" t="s">
        <v>8</v>
      </c>
      <c r="H4920" s="0">
        <v>-14</v>
      </c>
      <c r="I4920" s="0">
        <v>0</v>
      </c>
      <c r="J4920" s="0">
        <v>0</v>
      </c>
      <c r="K4920" s="0">
        <v>0</v>
      </c>
      <c r="L4920" s="0">
        <v>0</v>
      </c>
      <c r="M4920" s="0">
        <v>0</v>
      </c>
      <c r="N4920" s="0">
        <v>0</v>
      </c>
      <c r="O4920" s="0">
        <v>0</v>
      </c>
      <c r="P4920" s="0">
        <v>0</v>
      </c>
      <c r="R4920" s="0" t="b">
        <v>0</v>
      </c>
      <c r="S4920" s="0" t="b">
        <v>1</v>
      </c>
      <c r="T4920" s="68">
        <v>46068.4315856481</v>
      </c>
      <c r="U4920" s="68">
        <v>0</v>
      </c>
      <c r="V4920" s="68">
        <v>0</v>
      </c>
      <c r="W4920" s="0">
        <f>IF(IF(B4920="none",1,IF(B4920="Trialer",1,0))+IF(C4920="Customer",1,IF(C4920="Lost",1,0))=2,1,0)</f>
      </c>
      <c r="X4920" s="0" t="s">
        <v>145</v>
      </c>
      <c r="Y4920" s="0" t="s">
        <v>1516</v>
      </c>
      <c r="AV4920" s="68"/>
      <c r="AW4920" s="68"/>
      <c r="AY4920" s="27"/>
      <c r="BD4920" s="68">
        <v>46054.1666666667</v>
      </c>
      <c r="BE4920" s="68">
        <v>46082.1666666667</v>
      </c>
      <c r="BF4920" s="0" t="b">
        <v>0</v>
      </c>
      <c r="BG4920" s="0" t="b">
        <v>0</v>
      </c>
      <c r="BH4920" s="0">
        <v>59</v>
      </c>
      <c r="BI4920" s="0">
        <v>59</v>
      </c>
      <c r="BJ4920" s="0" t="s">
        <v>135</v>
      </c>
    </row>
    <row r="4921">
      <c r="A4921" s="0" t="s">
        <v>5188</v>
      </c>
      <c r="B4921" s="0" t="s">
        <v>5</v>
      </c>
      <c r="C4921" s="0" t="s">
        <v>652</v>
      </c>
      <c r="D4921" s="0" t="s">
        <v>135</v>
      </c>
      <c r="E4921" s="0" t="s">
        <v>3</v>
      </c>
      <c r="F4921" s="0" t="s">
        <v>12</v>
      </c>
      <c r="G4921" s="0" t="s">
        <v>8</v>
      </c>
      <c r="H4921" s="0">
        <v>-14</v>
      </c>
      <c r="I4921" s="0">
        <v>0</v>
      </c>
      <c r="J4921" s="0">
        <v>0</v>
      </c>
      <c r="K4921" s="0">
        <v>0</v>
      </c>
      <c r="L4921" s="0">
        <v>0</v>
      </c>
      <c r="M4921" s="0">
        <v>0</v>
      </c>
      <c r="N4921" s="0">
        <v>0</v>
      </c>
      <c r="O4921" s="0">
        <v>0</v>
      </c>
      <c r="P4921" s="0">
        <v>0</v>
      </c>
      <c r="R4921" s="0" t="b">
        <v>0</v>
      </c>
      <c r="S4921" s="0" t="b">
        <v>1</v>
      </c>
      <c r="T4921" s="68">
        <v>46068.4644328704</v>
      </c>
      <c r="U4921" s="68">
        <v>0</v>
      </c>
      <c r="V4921" s="68">
        <v>0</v>
      </c>
      <c r="W4921" s="0">
        <f>IF(IF(B4921="none",1,IF(B4921="Trialer",1,0))+IF(C4921="Customer",1,IF(C4921="Lost",1,0))=2,1,0)</f>
      </c>
      <c r="X4921" s="0" t="s">
        <v>148</v>
      </c>
      <c r="Y4921" s="0" t="s">
        <v>243</v>
      </c>
      <c r="AV4921" s="68"/>
      <c r="AW4921" s="68"/>
      <c r="AY4921" s="27"/>
      <c r="BD4921" s="68">
        <v>46054.1666666667</v>
      </c>
      <c r="BE4921" s="68">
        <v>46082.1666666667</v>
      </c>
      <c r="BF4921" s="0" t="b">
        <v>0</v>
      </c>
      <c r="BG4921" s="0" t="b">
        <v>0</v>
      </c>
      <c r="BH4921" s="0">
        <v>71</v>
      </c>
      <c r="BI4921" s="0">
        <v>71</v>
      </c>
      <c r="BJ4921" s="0" t="s">
        <v>135</v>
      </c>
    </row>
    <row r="4922">
      <c r="A4922" s="0" t="s">
        <v>5189</v>
      </c>
      <c r="B4922" s="0" t="s">
        <v>5</v>
      </c>
      <c r="C4922" s="0" t="s">
        <v>652</v>
      </c>
      <c r="D4922" s="0" t="s">
        <v>135</v>
      </c>
      <c r="E4922" s="0" t="s">
        <v>3</v>
      </c>
      <c r="F4922" s="0" t="s">
        <v>12</v>
      </c>
      <c r="G4922" s="0" t="s">
        <v>8</v>
      </c>
      <c r="H4922" s="0">
        <v>-14</v>
      </c>
      <c r="I4922" s="0">
        <v>0</v>
      </c>
      <c r="J4922" s="0">
        <v>0</v>
      </c>
      <c r="K4922" s="0">
        <v>0</v>
      </c>
      <c r="L4922" s="0">
        <v>0</v>
      </c>
      <c r="M4922" s="0">
        <v>0</v>
      </c>
      <c r="N4922" s="0">
        <v>0</v>
      </c>
      <c r="O4922" s="0">
        <v>0</v>
      </c>
      <c r="P4922" s="0">
        <v>0</v>
      </c>
      <c r="R4922" s="0" t="b">
        <v>0</v>
      </c>
      <c r="S4922" s="0" t="b">
        <v>1</v>
      </c>
      <c r="T4922" s="68">
        <v>46068.4734375</v>
      </c>
      <c r="U4922" s="68">
        <v>0</v>
      </c>
      <c r="V4922" s="68">
        <v>0</v>
      </c>
      <c r="W4922" s="0">
        <f>IF(IF(B4922="none",1,IF(B4922="Trialer",1,0))+IF(C4922="Customer",1,IF(C4922="Lost",1,0))=2,1,0)</f>
      </c>
      <c r="X4922" s="0" t="s">
        <v>148</v>
      </c>
      <c r="Y4922" s="0" t="s">
        <v>243</v>
      </c>
      <c r="AV4922" s="68"/>
      <c r="AW4922" s="68"/>
      <c r="AY4922" s="27"/>
      <c r="BD4922" s="68">
        <v>46054.1666666667</v>
      </c>
      <c r="BE4922" s="68">
        <v>46082.1666666667</v>
      </c>
      <c r="BF4922" s="0" t="b">
        <v>0</v>
      </c>
      <c r="BG4922" s="0" t="b">
        <v>0</v>
      </c>
      <c r="BH4922" s="0">
        <v>83</v>
      </c>
      <c r="BI4922" s="0">
        <v>83</v>
      </c>
      <c r="BJ4922" s="0" t="s">
        <v>135</v>
      </c>
    </row>
    <row r="4923">
      <c r="A4923" s="0" t="s">
        <v>5190</v>
      </c>
      <c r="B4923" s="0" t="s">
        <v>5</v>
      </c>
      <c r="C4923" s="0" t="s">
        <v>652</v>
      </c>
      <c r="D4923" s="0" t="s">
        <v>135</v>
      </c>
      <c r="E4923" s="0" t="s">
        <v>3</v>
      </c>
      <c r="F4923" s="0" t="s">
        <v>12</v>
      </c>
      <c r="G4923" s="0" t="s">
        <v>8</v>
      </c>
      <c r="H4923" s="0">
        <v>-14</v>
      </c>
      <c r="I4923" s="0">
        <v>0</v>
      </c>
      <c r="J4923" s="0">
        <v>0</v>
      </c>
      <c r="K4923" s="0">
        <v>0</v>
      </c>
      <c r="L4923" s="0">
        <v>0</v>
      </c>
      <c r="M4923" s="0">
        <v>0</v>
      </c>
      <c r="N4923" s="0">
        <v>0</v>
      </c>
      <c r="O4923" s="0">
        <v>0</v>
      </c>
      <c r="P4923" s="0">
        <v>0</v>
      </c>
      <c r="R4923" s="0" t="b">
        <v>0</v>
      </c>
      <c r="S4923" s="0" t="b">
        <v>1</v>
      </c>
      <c r="T4923" s="68">
        <v>46068.5373263889</v>
      </c>
      <c r="U4923" s="68">
        <v>0</v>
      </c>
      <c r="V4923" s="68">
        <v>0</v>
      </c>
      <c r="W4923" s="0">
        <f>IF(IF(B4923="none",1,IF(B4923="Trialer",1,0))+IF(C4923="Customer",1,IF(C4923="Lost",1,0))=2,1,0)</f>
      </c>
      <c r="X4923" s="0" t="s">
        <v>145</v>
      </c>
      <c r="Y4923" s="0" t="s">
        <v>243</v>
      </c>
      <c r="AV4923" s="68"/>
      <c r="AW4923" s="68"/>
      <c r="AY4923" s="27"/>
      <c r="BD4923" s="68">
        <v>46054.1666666667</v>
      </c>
      <c r="BE4923" s="68">
        <v>46082.1666666667</v>
      </c>
      <c r="BF4923" s="0" t="b">
        <v>0</v>
      </c>
      <c r="BG4923" s="0" t="b">
        <v>0</v>
      </c>
      <c r="BH4923" s="0">
        <v>59</v>
      </c>
      <c r="BI4923" s="0">
        <v>59</v>
      </c>
      <c r="BJ4923" s="0" t="s">
        <v>135</v>
      </c>
    </row>
    <row r="4924">
      <c r="A4924" s="0" t="s">
        <v>5191</v>
      </c>
      <c r="B4924" s="0" t="s">
        <v>5</v>
      </c>
      <c r="C4924" s="0" t="s">
        <v>652</v>
      </c>
      <c r="D4924" s="0" t="s">
        <v>135</v>
      </c>
      <c r="E4924" s="0" t="s">
        <v>3</v>
      </c>
      <c r="F4924" s="0" t="s">
        <v>12</v>
      </c>
      <c r="G4924" s="0" t="s">
        <v>8</v>
      </c>
      <c r="H4924" s="0">
        <v>-14</v>
      </c>
      <c r="I4924" s="0">
        <v>0</v>
      </c>
      <c r="J4924" s="0">
        <v>0</v>
      </c>
      <c r="K4924" s="0">
        <v>0</v>
      </c>
      <c r="L4924" s="0">
        <v>0</v>
      </c>
      <c r="M4924" s="0">
        <v>0</v>
      </c>
      <c r="N4924" s="0">
        <v>0</v>
      </c>
      <c r="O4924" s="0">
        <v>0</v>
      </c>
      <c r="P4924" s="0">
        <v>0</v>
      </c>
      <c r="R4924" s="0" t="b">
        <v>0</v>
      </c>
      <c r="S4924" s="0" t="b">
        <v>1</v>
      </c>
      <c r="T4924" s="68">
        <v>46068.5570717593</v>
      </c>
      <c r="U4924" s="68">
        <v>0</v>
      </c>
      <c r="V4924" s="68">
        <v>0</v>
      </c>
      <c r="W4924" s="0">
        <f>IF(IF(B4924="none",1,IF(B4924="Trialer",1,0))+IF(C4924="Customer",1,IF(C4924="Lost",1,0))=2,1,0)</f>
      </c>
      <c r="X4924" s="0" t="s">
        <v>136</v>
      </c>
      <c r="Y4924" s="0" t="s">
        <v>243</v>
      </c>
      <c r="AV4924" s="68"/>
      <c r="AW4924" s="68"/>
      <c r="AY4924" s="27"/>
      <c r="BD4924" s="68">
        <v>46054.1666666667</v>
      </c>
      <c r="BE4924" s="68">
        <v>46082.1666666667</v>
      </c>
      <c r="BF4924" s="0" t="b">
        <v>0</v>
      </c>
      <c r="BG4924" s="0" t="b">
        <v>0</v>
      </c>
      <c r="BH4924" s="0">
        <v>59</v>
      </c>
      <c r="BI4924" s="0">
        <v>59</v>
      </c>
      <c r="BJ4924" s="0" t="s">
        <v>135</v>
      </c>
    </row>
    <row r="4925">
      <c r="A4925" s="0" t="s">
        <v>5192</v>
      </c>
      <c r="B4925" s="0" t="s">
        <v>5</v>
      </c>
      <c r="C4925" s="0" t="s">
        <v>652</v>
      </c>
      <c r="D4925" s="0" t="s">
        <v>135</v>
      </c>
      <c r="E4925" s="0" t="s">
        <v>3</v>
      </c>
      <c r="F4925" s="0" t="s">
        <v>12</v>
      </c>
      <c r="G4925" s="0" t="s">
        <v>8</v>
      </c>
      <c r="H4925" s="0">
        <v>-14</v>
      </c>
      <c r="I4925" s="0">
        <v>0</v>
      </c>
      <c r="J4925" s="0">
        <v>0</v>
      </c>
      <c r="K4925" s="0">
        <v>0</v>
      </c>
      <c r="L4925" s="0">
        <v>0</v>
      </c>
      <c r="M4925" s="0">
        <v>0</v>
      </c>
      <c r="N4925" s="0">
        <v>0</v>
      </c>
      <c r="O4925" s="0">
        <v>0</v>
      </c>
      <c r="P4925" s="0">
        <v>0</v>
      </c>
      <c r="R4925" s="0" t="b">
        <v>0</v>
      </c>
      <c r="S4925" s="0" t="b">
        <v>1</v>
      </c>
      <c r="T4925" s="68">
        <v>46068.669849537</v>
      </c>
      <c r="U4925" s="68">
        <v>46083.2916666667</v>
      </c>
      <c r="V4925" s="68">
        <v>0</v>
      </c>
      <c r="W4925" s="0">
        <f>IF(IF(B4925="none",1,IF(B4925="Trialer",1,0))+IF(C4925="Customer",1,IF(C4925="Lost",1,0))=2,1,0)</f>
      </c>
      <c r="X4925" s="0" t="s">
        <v>1461</v>
      </c>
      <c r="Y4925" s="0" t="s">
        <v>243</v>
      </c>
      <c r="AV4925" s="68"/>
      <c r="AW4925" s="68"/>
      <c r="AY4925" s="27"/>
      <c r="BD4925" s="68">
        <v>46054.1666666667</v>
      </c>
      <c r="BE4925" s="68">
        <v>46082.1666666667</v>
      </c>
      <c r="BF4925" s="0" t="b">
        <v>0</v>
      </c>
      <c r="BG4925" s="0" t="b">
        <v>0</v>
      </c>
      <c r="BH4925" s="0">
        <v>108</v>
      </c>
      <c r="BI4925" s="0">
        <v>108</v>
      </c>
      <c r="BJ4925" s="0" t="s">
        <v>230</v>
      </c>
    </row>
    <row r="4926">
      <c r="A4926" s="0" t="s">
        <v>5193</v>
      </c>
      <c r="B4926" s="0" t="s">
        <v>5</v>
      </c>
      <c r="C4926" s="0" t="s">
        <v>652</v>
      </c>
      <c r="D4926" s="0" t="s">
        <v>135</v>
      </c>
      <c r="E4926" s="0" t="s">
        <v>2414</v>
      </c>
      <c r="F4926" s="0" t="s">
        <v>12</v>
      </c>
      <c r="G4926" s="0" t="s">
        <v>8</v>
      </c>
      <c r="H4926" s="0">
        <v>-14</v>
      </c>
      <c r="I4926" s="0">
        <v>0</v>
      </c>
      <c r="J4926" s="0">
        <v>0</v>
      </c>
      <c r="K4926" s="0">
        <v>0</v>
      </c>
      <c r="L4926" s="0">
        <v>0</v>
      </c>
      <c r="M4926" s="0">
        <v>0</v>
      </c>
      <c r="N4926" s="0">
        <v>0</v>
      </c>
      <c r="O4926" s="0">
        <v>0</v>
      </c>
      <c r="P4926" s="0">
        <v>0</v>
      </c>
      <c r="R4926" s="0" t="b">
        <v>0</v>
      </c>
      <c r="S4926" s="0" t="b">
        <v>1</v>
      </c>
      <c r="T4926" s="68">
        <v>46068.6747685185</v>
      </c>
      <c r="U4926" s="68">
        <v>0</v>
      </c>
      <c r="V4926" s="68">
        <v>0</v>
      </c>
      <c r="W4926" s="0">
        <f>IF(IF(B4926="none",1,IF(B4926="Trialer",1,0))+IF(C4926="Customer",1,IF(C4926="Lost",1,0))=2,1,0)</f>
      </c>
      <c r="X4926" s="0" t="s">
        <v>145</v>
      </c>
      <c r="Y4926" s="0" t="s">
        <v>1516</v>
      </c>
      <c r="AV4926" s="68"/>
      <c r="AW4926" s="68"/>
      <c r="AY4926" s="27"/>
      <c r="BD4926" s="68">
        <v>46054.1666666667</v>
      </c>
      <c r="BE4926" s="68">
        <v>46082.1666666667</v>
      </c>
      <c r="BF4926" s="0" t="b">
        <v>0</v>
      </c>
      <c r="BG4926" s="0" t="b">
        <v>0</v>
      </c>
      <c r="BH4926" s="0">
        <v>59</v>
      </c>
      <c r="BI4926" s="0">
        <v>59</v>
      </c>
      <c r="BJ4926" s="0" t="s">
        <v>135</v>
      </c>
    </row>
    <row r="4927">
      <c r="A4927" s="0" t="s">
        <v>5194</v>
      </c>
      <c r="B4927" s="0" t="s">
        <v>5</v>
      </c>
      <c r="C4927" s="0" t="s">
        <v>652</v>
      </c>
      <c r="D4927" s="0" t="s">
        <v>135</v>
      </c>
      <c r="E4927" s="0" t="s">
        <v>4</v>
      </c>
      <c r="F4927" s="0" t="s">
        <v>12</v>
      </c>
      <c r="G4927" s="0" t="s">
        <v>8</v>
      </c>
      <c r="H4927" s="0">
        <v>-14</v>
      </c>
      <c r="I4927" s="0">
        <v>0</v>
      </c>
      <c r="J4927" s="0">
        <v>0</v>
      </c>
      <c r="K4927" s="0">
        <v>0</v>
      </c>
      <c r="L4927" s="0">
        <v>0</v>
      </c>
      <c r="M4927" s="0">
        <v>0</v>
      </c>
      <c r="N4927" s="0">
        <v>0</v>
      </c>
      <c r="O4927" s="0">
        <v>0</v>
      </c>
      <c r="P4927" s="0">
        <v>0</v>
      </c>
      <c r="R4927" s="0" t="b">
        <v>0</v>
      </c>
      <c r="S4927" s="0" t="b">
        <v>0</v>
      </c>
      <c r="T4927" s="68">
        <v>46068.6876736111</v>
      </c>
      <c r="U4927" s="68">
        <v>0</v>
      </c>
      <c r="V4927" s="68">
        <v>46069.4708912037</v>
      </c>
      <c r="W4927" s="0">
        <f>IF(IF(B4927="none",1,IF(B4927="Trialer",1,0))+IF(C4927="Customer",1,IF(C4927="Lost",1,0))=2,1,0)</f>
      </c>
      <c r="X4927" s="0" t="s">
        <v>136</v>
      </c>
      <c r="Y4927" s="0" t="s">
        <v>1772</v>
      </c>
      <c r="AV4927" s="68"/>
      <c r="AW4927" s="68"/>
      <c r="AY4927" s="27"/>
      <c r="BD4927" s="68">
        <v>46054.1666666667</v>
      </c>
      <c r="BE4927" s="68">
        <v>46082.1666666667</v>
      </c>
      <c r="BF4927" s="0" t="b">
        <v>0</v>
      </c>
      <c r="BG4927" s="0" t="b">
        <v>0</v>
      </c>
      <c r="BH4927" s="0">
        <v>71</v>
      </c>
      <c r="BI4927" s="0">
        <v>0</v>
      </c>
      <c r="BJ4927" s="0" t="s">
        <v>135</v>
      </c>
    </row>
    <row r="4928">
      <c r="A4928" s="0" t="s">
        <v>5195</v>
      </c>
      <c r="B4928" s="0" t="s">
        <v>5</v>
      </c>
      <c r="C4928" s="0" t="s">
        <v>652</v>
      </c>
      <c r="D4928" s="0" t="s">
        <v>135</v>
      </c>
      <c r="E4928" s="0" t="s">
        <v>3</v>
      </c>
      <c r="F4928" s="0" t="s">
        <v>12</v>
      </c>
      <c r="G4928" s="0" t="s">
        <v>8</v>
      </c>
      <c r="H4928" s="0">
        <v>-14</v>
      </c>
      <c r="I4928" s="0">
        <v>0</v>
      </c>
      <c r="J4928" s="0">
        <v>0</v>
      </c>
      <c r="K4928" s="0">
        <v>0</v>
      </c>
      <c r="L4928" s="0">
        <v>0</v>
      </c>
      <c r="M4928" s="0">
        <v>0</v>
      </c>
      <c r="N4928" s="0">
        <v>0</v>
      </c>
      <c r="O4928" s="0">
        <v>0</v>
      </c>
      <c r="P4928" s="0">
        <v>0</v>
      </c>
      <c r="R4928" s="0" t="b">
        <v>0</v>
      </c>
      <c r="S4928" s="0" t="b">
        <v>1</v>
      </c>
      <c r="T4928" s="68">
        <v>46068.7596064815</v>
      </c>
      <c r="U4928" s="68">
        <v>0</v>
      </c>
      <c r="V4928" s="68">
        <v>0</v>
      </c>
      <c r="W4928" s="0">
        <f>IF(IF(B4928="none",1,IF(B4928="Trialer",1,0))+IF(C4928="Customer",1,IF(C4928="Lost",1,0))=2,1,0)</f>
      </c>
      <c r="X4928" s="0" t="s">
        <v>148</v>
      </c>
      <c r="Y4928" s="0" t="s">
        <v>1792</v>
      </c>
      <c r="AV4928" s="68"/>
      <c r="AW4928" s="68"/>
      <c r="AY4928" s="27"/>
      <c r="BD4928" s="68">
        <v>46054.1666666667</v>
      </c>
      <c r="BE4928" s="68">
        <v>46082.1666666667</v>
      </c>
      <c r="BF4928" s="0" t="b">
        <v>0</v>
      </c>
      <c r="BG4928" s="0" t="b">
        <v>0</v>
      </c>
      <c r="BH4928" s="0">
        <v>73</v>
      </c>
      <c r="BI4928" s="0">
        <v>73</v>
      </c>
      <c r="BJ4928" s="0" t="s">
        <v>135</v>
      </c>
    </row>
    <row r="4929">
      <c r="A4929" s="0" t="s">
        <v>5196</v>
      </c>
      <c r="B4929" s="0" t="s">
        <v>5</v>
      </c>
      <c r="C4929" s="0" t="s">
        <v>652</v>
      </c>
      <c r="D4929" s="0" t="s">
        <v>135</v>
      </c>
      <c r="E4929" s="0" t="s">
        <v>3</v>
      </c>
      <c r="F4929" s="0" t="s">
        <v>12</v>
      </c>
      <c r="G4929" s="0" t="s">
        <v>8</v>
      </c>
      <c r="H4929" s="0">
        <v>-14</v>
      </c>
      <c r="I4929" s="0">
        <v>0</v>
      </c>
      <c r="J4929" s="0">
        <v>0</v>
      </c>
      <c r="K4929" s="0">
        <v>0</v>
      </c>
      <c r="L4929" s="0">
        <v>0</v>
      </c>
      <c r="M4929" s="0">
        <v>0</v>
      </c>
      <c r="N4929" s="0">
        <v>0</v>
      </c>
      <c r="O4929" s="0">
        <v>0</v>
      </c>
      <c r="P4929" s="0">
        <v>0</v>
      </c>
      <c r="R4929" s="0" t="b">
        <v>0</v>
      </c>
      <c r="S4929" s="0" t="b">
        <v>1</v>
      </c>
      <c r="T4929" s="68">
        <v>46068.8039467593</v>
      </c>
      <c r="U4929" s="68">
        <v>0</v>
      </c>
      <c r="V4929" s="68">
        <v>0</v>
      </c>
      <c r="W4929" s="0">
        <f>IF(IF(B4929="none",1,IF(B4929="Trialer",1,0))+IF(C4929="Customer",1,IF(C4929="Lost",1,0))=2,1,0)</f>
      </c>
      <c r="X4929" s="0" t="s">
        <v>148</v>
      </c>
      <c r="Y4929" s="0" t="s">
        <v>243</v>
      </c>
      <c r="AV4929" s="68"/>
      <c r="AW4929" s="68"/>
      <c r="AY4929" s="27"/>
      <c r="BD4929" s="68">
        <v>46054.1666666667</v>
      </c>
      <c r="BE4929" s="68">
        <v>46082.1666666667</v>
      </c>
      <c r="BF4929" s="0" t="b">
        <v>0</v>
      </c>
      <c r="BG4929" s="0" t="b">
        <v>0</v>
      </c>
      <c r="BH4929" s="0">
        <v>59</v>
      </c>
      <c r="BI4929" s="0">
        <v>59</v>
      </c>
      <c r="BJ4929" s="0" t="s">
        <v>135</v>
      </c>
    </row>
    <row r="4930">
      <c r="A4930" s="0" t="s">
        <v>5197</v>
      </c>
      <c r="B4930" s="0" t="s">
        <v>5</v>
      </c>
      <c r="C4930" s="0" t="s">
        <v>652</v>
      </c>
      <c r="D4930" s="0" t="s">
        <v>135</v>
      </c>
      <c r="E4930" s="0" t="s">
        <v>2414</v>
      </c>
      <c r="F4930" s="0" t="s">
        <v>12</v>
      </c>
      <c r="G4930" s="0" t="s">
        <v>8</v>
      </c>
      <c r="H4930" s="0">
        <v>-14</v>
      </c>
      <c r="I4930" s="0">
        <v>0</v>
      </c>
      <c r="J4930" s="0">
        <v>0</v>
      </c>
      <c r="K4930" s="0">
        <v>0</v>
      </c>
      <c r="L4930" s="0">
        <v>0</v>
      </c>
      <c r="M4930" s="0">
        <v>0</v>
      </c>
      <c r="N4930" s="0">
        <v>0</v>
      </c>
      <c r="O4930" s="0">
        <v>0</v>
      </c>
      <c r="P4930" s="0">
        <v>0</v>
      </c>
      <c r="R4930" s="0" t="b">
        <v>0</v>
      </c>
      <c r="S4930" s="0" t="b">
        <v>0</v>
      </c>
      <c r="T4930" s="68">
        <v>46068.8165162037</v>
      </c>
      <c r="U4930" s="68">
        <v>0</v>
      </c>
      <c r="V4930" s="68">
        <v>46070.3924074074</v>
      </c>
      <c r="W4930" s="0">
        <f>IF(IF(B4930="none",1,IF(B4930="Trialer",1,0))+IF(C4930="Customer",1,IF(C4930="Lost",1,0))=2,1,0)</f>
      </c>
      <c r="X4930" s="0" t="s">
        <v>148</v>
      </c>
      <c r="Y4930" s="0" t="s">
        <v>1516</v>
      </c>
      <c r="AV4930" s="68"/>
      <c r="AW4930" s="68"/>
      <c r="AY4930" s="27"/>
      <c r="BD4930" s="68">
        <v>46054.1666666667</v>
      </c>
      <c r="BE4930" s="68">
        <v>46082.1666666667</v>
      </c>
      <c r="BF4930" s="0" t="b">
        <v>1</v>
      </c>
      <c r="BG4930" s="0" t="b">
        <v>0</v>
      </c>
      <c r="BH4930" s="0">
        <v>59</v>
      </c>
      <c r="BI4930" s="0">
        <v>59</v>
      </c>
      <c r="BJ4930" s="0" t="s">
        <v>135</v>
      </c>
    </row>
    <row r="4931">
      <c r="A4931" s="0" t="s">
        <v>5198</v>
      </c>
      <c r="B4931" s="0" t="s">
        <v>5</v>
      </c>
      <c r="C4931" s="0" t="s">
        <v>652</v>
      </c>
      <c r="D4931" s="0" t="s">
        <v>135</v>
      </c>
      <c r="E4931" s="0" t="s">
        <v>2414</v>
      </c>
      <c r="F4931" s="0" t="s">
        <v>12</v>
      </c>
      <c r="G4931" s="0" t="s">
        <v>8</v>
      </c>
      <c r="H4931" s="0">
        <v>-14</v>
      </c>
      <c r="I4931" s="0">
        <v>0</v>
      </c>
      <c r="J4931" s="0">
        <v>0</v>
      </c>
      <c r="K4931" s="0">
        <v>0</v>
      </c>
      <c r="L4931" s="0">
        <v>0</v>
      </c>
      <c r="M4931" s="0">
        <v>0</v>
      </c>
      <c r="N4931" s="0">
        <v>0</v>
      </c>
      <c r="O4931" s="0">
        <v>0</v>
      </c>
      <c r="P4931" s="0">
        <v>0</v>
      </c>
      <c r="R4931" s="0" t="b">
        <v>0</v>
      </c>
      <c r="S4931" s="0" t="b">
        <v>0</v>
      </c>
      <c r="T4931" s="68">
        <v>46068.8236458333</v>
      </c>
      <c r="U4931" s="68">
        <v>0</v>
      </c>
      <c r="V4931" s="68">
        <v>46070.3921990741</v>
      </c>
      <c r="W4931" s="0">
        <f>IF(IF(B4931="none",1,IF(B4931="Trialer",1,0))+IF(C4931="Customer",1,IF(C4931="Lost",1,0))=2,1,0)</f>
      </c>
      <c r="X4931" s="0" t="s">
        <v>148</v>
      </c>
      <c r="Y4931" s="0" t="s">
        <v>1516</v>
      </c>
      <c r="AV4931" s="68"/>
      <c r="AW4931" s="68"/>
      <c r="AY4931" s="27"/>
      <c r="BD4931" s="68">
        <v>46054.1666666667</v>
      </c>
      <c r="BE4931" s="68">
        <v>46082.1666666667</v>
      </c>
      <c r="BF4931" s="0" t="b">
        <v>1</v>
      </c>
      <c r="BG4931" s="0" t="b">
        <v>0</v>
      </c>
      <c r="BH4931" s="0">
        <v>59</v>
      </c>
      <c r="BI4931" s="0">
        <v>59</v>
      </c>
      <c r="BJ4931" s="0" t="s">
        <v>135</v>
      </c>
    </row>
    <row r="4932">
      <c r="A4932" s="0" t="s">
        <v>5199</v>
      </c>
      <c r="B4932" s="0" t="s">
        <v>5</v>
      </c>
      <c r="C4932" s="0" t="s">
        <v>652</v>
      </c>
      <c r="D4932" s="0" t="s">
        <v>135</v>
      </c>
      <c r="E4932" s="0" t="s">
        <v>4</v>
      </c>
      <c r="F4932" s="0" t="s">
        <v>12</v>
      </c>
      <c r="G4932" s="0" t="s">
        <v>8</v>
      </c>
      <c r="H4932" s="0">
        <v>-14</v>
      </c>
      <c r="I4932" s="0">
        <v>0</v>
      </c>
      <c r="J4932" s="0">
        <v>0</v>
      </c>
      <c r="K4932" s="0">
        <v>0</v>
      </c>
      <c r="L4932" s="0">
        <v>0</v>
      </c>
      <c r="M4932" s="0">
        <v>0</v>
      </c>
      <c r="N4932" s="0">
        <v>0</v>
      </c>
      <c r="O4932" s="0">
        <v>0</v>
      </c>
      <c r="P4932" s="0">
        <v>0</v>
      </c>
      <c r="R4932" s="0" t="b">
        <v>0</v>
      </c>
      <c r="S4932" s="0" t="b">
        <v>1</v>
      </c>
      <c r="T4932" s="68">
        <v>46068.8422800926</v>
      </c>
      <c r="U4932" s="68">
        <v>0</v>
      </c>
      <c r="V4932" s="68">
        <v>0</v>
      </c>
      <c r="W4932" s="0">
        <f>IF(IF(B4932="none",1,IF(B4932="Trialer",1,0))+IF(C4932="Customer",1,IF(C4932="Lost",1,0))=2,1,0)</f>
      </c>
      <c r="X4932" s="0" t="s">
        <v>136</v>
      </c>
      <c r="Y4932" s="0" t="s">
        <v>4092</v>
      </c>
      <c r="AV4932" s="68"/>
      <c r="AW4932" s="68"/>
      <c r="AY4932" s="27"/>
      <c r="BD4932" s="68">
        <v>46054.1666666667</v>
      </c>
      <c r="BE4932" s="68">
        <v>46082.1666666667</v>
      </c>
      <c r="BF4932" s="0" t="b">
        <v>0</v>
      </c>
      <c r="BG4932" s="0" t="b">
        <v>0</v>
      </c>
      <c r="BH4932" s="0">
        <v>59</v>
      </c>
      <c r="BI4932" s="0">
        <v>59</v>
      </c>
      <c r="BJ4932" s="0" t="s">
        <v>135</v>
      </c>
    </row>
    <row r="4933">
      <c r="A4933" s="0" t="s">
        <v>5200</v>
      </c>
      <c r="B4933" s="0" t="s">
        <v>5</v>
      </c>
      <c r="C4933" s="0" t="s">
        <v>652</v>
      </c>
      <c r="D4933" s="0" t="s">
        <v>135</v>
      </c>
      <c r="E4933" s="0" t="s">
        <v>3</v>
      </c>
      <c r="F4933" s="0" t="s">
        <v>12</v>
      </c>
      <c r="G4933" s="0" t="s">
        <v>8</v>
      </c>
      <c r="H4933" s="0">
        <v>-14</v>
      </c>
      <c r="I4933" s="0">
        <v>0</v>
      </c>
      <c r="J4933" s="0">
        <v>0</v>
      </c>
      <c r="K4933" s="0">
        <v>0</v>
      </c>
      <c r="L4933" s="0">
        <v>0</v>
      </c>
      <c r="M4933" s="0">
        <v>0</v>
      </c>
      <c r="N4933" s="0">
        <v>0</v>
      </c>
      <c r="O4933" s="0">
        <v>0</v>
      </c>
      <c r="P4933" s="0">
        <v>0</v>
      </c>
      <c r="R4933" s="0" t="b">
        <v>0</v>
      </c>
      <c r="S4933" s="0" t="b">
        <v>1</v>
      </c>
      <c r="T4933" s="68">
        <v>46068.8488310185</v>
      </c>
      <c r="U4933" s="68">
        <v>0</v>
      </c>
      <c r="V4933" s="68">
        <v>0</v>
      </c>
      <c r="W4933" s="0">
        <f>IF(IF(B4933="none",1,IF(B4933="Trialer",1,0))+IF(C4933="Customer",1,IF(C4933="Lost",1,0))=2,1,0)</f>
      </c>
      <c r="X4933" s="0" t="s">
        <v>148</v>
      </c>
      <c r="Y4933" s="0" t="s">
        <v>243</v>
      </c>
      <c r="AV4933" s="68"/>
      <c r="AW4933" s="68"/>
      <c r="AY4933" s="27"/>
      <c r="BD4933" s="68">
        <v>46054.1666666667</v>
      </c>
      <c r="BE4933" s="68">
        <v>46082.1666666667</v>
      </c>
      <c r="BF4933" s="0" t="b">
        <v>0</v>
      </c>
      <c r="BG4933" s="0" t="b">
        <v>0</v>
      </c>
      <c r="BH4933" s="0">
        <v>59</v>
      </c>
      <c r="BI4933" s="0">
        <v>59</v>
      </c>
      <c r="BJ4933" s="0" t="s">
        <v>135</v>
      </c>
    </row>
    <row r="4934">
      <c r="A4934" s="0" t="s">
        <v>5201</v>
      </c>
      <c r="B4934" s="0" t="s">
        <v>5</v>
      </c>
      <c r="C4934" s="0" t="s">
        <v>652</v>
      </c>
      <c r="D4934" s="0" t="s">
        <v>135</v>
      </c>
      <c r="E4934" s="0" t="s">
        <v>3</v>
      </c>
      <c r="F4934" s="0" t="s">
        <v>12</v>
      </c>
      <c r="G4934" s="0" t="s">
        <v>8</v>
      </c>
      <c r="H4934" s="0">
        <v>-14</v>
      </c>
      <c r="I4934" s="0">
        <v>0</v>
      </c>
      <c r="J4934" s="0">
        <v>0</v>
      </c>
      <c r="K4934" s="0">
        <v>0</v>
      </c>
      <c r="L4934" s="0">
        <v>0</v>
      </c>
      <c r="M4934" s="0">
        <v>0</v>
      </c>
      <c r="N4934" s="0">
        <v>0</v>
      </c>
      <c r="O4934" s="0">
        <v>0</v>
      </c>
      <c r="P4934" s="0">
        <v>0</v>
      </c>
      <c r="R4934" s="0" t="b">
        <v>0</v>
      </c>
      <c r="S4934" s="0" t="b">
        <v>1</v>
      </c>
      <c r="T4934" s="68">
        <v>46068.8528819444</v>
      </c>
      <c r="U4934" s="68">
        <v>0</v>
      </c>
      <c r="V4934" s="68">
        <v>0</v>
      </c>
      <c r="W4934" s="0">
        <f>IF(IF(B4934="none",1,IF(B4934="Trialer",1,0))+IF(C4934="Customer",1,IF(C4934="Lost",1,0))=2,1,0)</f>
      </c>
      <c r="X4934" s="0" t="s">
        <v>145</v>
      </c>
      <c r="Y4934" s="0" t="s">
        <v>243</v>
      </c>
      <c r="AV4934" s="68"/>
      <c r="AW4934" s="68"/>
      <c r="AY4934" s="27"/>
      <c r="BD4934" s="68">
        <v>46054.1666666667</v>
      </c>
      <c r="BE4934" s="68">
        <v>46082.1666666667</v>
      </c>
      <c r="BF4934" s="0" t="b">
        <v>0</v>
      </c>
      <c r="BG4934" s="0" t="b">
        <v>0</v>
      </c>
      <c r="BH4934" s="0">
        <v>85</v>
      </c>
      <c r="BI4934" s="0">
        <v>85</v>
      </c>
      <c r="BJ4934" s="0" t="s">
        <v>135</v>
      </c>
    </row>
    <row r="4935">
      <c r="A4935" s="0" t="s">
        <v>5202</v>
      </c>
      <c r="B4935" s="0" t="s">
        <v>5</v>
      </c>
      <c r="C4935" s="0" t="s">
        <v>652</v>
      </c>
      <c r="D4935" s="0" t="s">
        <v>135</v>
      </c>
      <c r="E4935" s="0" t="s">
        <v>3</v>
      </c>
      <c r="F4935" s="0" t="s">
        <v>12</v>
      </c>
      <c r="G4935" s="0" t="s">
        <v>8</v>
      </c>
      <c r="H4935" s="0">
        <v>-14</v>
      </c>
      <c r="I4935" s="0">
        <v>0</v>
      </c>
      <c r="J4935" s="0">
        <v>0</v>
      </c>
      <c r="K4935" s="0">
        <v>0</v>
      </c>
      <c r="L4935" s="0">
        <v>0</v>
      </c>
      <c r="M4935" s="0">
        <v>0</v>
      </c>
      <c r="N4935" s="0">
        <v>0</v>
      </c>
      <c r="O4935" s="0">
        <v>0</v>
      </c>
      <c r="P4935" s="0">
        <v>0</v>
      </c>
      <c r="R4935" s="0" t="b">
        <v>0</v>
      </c>
      <c r="S4935" s="0" t="b">
        <v>1</v>
      </c>
      <c r="T4935" s="68">
        <v>46068.8572685185</v>
      </c>
      <c r="U4935" s="68">
        <v>0</v>
      </c>
      <c r="V4935" s="68">
        <v>0</v>
      </c>
      <c r="W4935" s="0">
        <f>IF(IF(B4935="none",1,IF(B4935="Trialer",1,0))+IF(C4935="Customer",1,IF(C4935="Lost",1,0))=2,1,0)</f>
      </c>
      <c r="X4935" s="0" t="s">
        <v>136</v>
      </c>
      <c r="Y4935" s="0" t="s">
        <v>243</v>
      </c>
      <c r="AV4935" s="68"/>
      <c r="AW4935" s="68"/>
      <c r="AY4935" s="27"/>
      <c r="BD4935" s="68">
        <v>46054.1666666667</v>
      </c>
      <c r="BE4935" s="68">
        <v>46082.1666666667</v>
      </c>
      <c r="BF4935" s="0" t="b">
        <v>0</v>
      </c>
      <c r="BG4935" s="0" t="b">
        <v>0</v>
      </c>
      <c r="BH4935" s="0">
        <v>73</v>
      </c>
      <c r="BI4935" s="0">
        <v>73</v>
      </c>
      <c r="BJ4935" s="0" t="s">
        <v>135</v>
      </c>
    </row>
    <row r="4936">
      <c r="A4936" s="0" t="s">
        <v>5203</v>
      </c>
      <c r="B4936" s="0" t="s">
        <v>5</v>
      </c>
      <c r="C4936" s="0" t="s">
        <v>652</v>
      </c>
      <c r="D4936" s="0" t="s">
        <v>135</v>
      </c>
      <c r="E4936" s="0" t="s">
        <v>3</v>
      </c>
      <c r="F4936" s="0" t="s">
        <v>12</v>
      </c>
      <c r="G4936" s="0" t="s">
        <v>8</v>
      </c>
      <c r="H4936" s="0">
        <v>-14</v>
      </c>
      <c r="I4936" s="0">
        <v>0</v>
      </c>
      <c r="J4936" s="0">
        <v>0</v>
      </c>
      <c r="K4936" s="0">
        <v>0</v>
      </c>
      <c r="L4936" s="0">
        <v>0</v>
      </c>
      <c r="M4936" s="0">
        <v>0</v>
      </c>
      <c r="N4936" s="0">
        <v>0</v>
      </c>
      <c r="O4936" s="0">
        <v>0</v>
      </c>
      <c r="P4936" s="0">
        <v>0</v>
      </c>
      <c r="R4936" s="0" t="b">
        <v>0</v>
      </c>
      <c r="S4936" s="0" t="b">
        <v>0</v>
      </c>
      <c r="T4936" s="68">
        <v>46068.8833564815</v>
      </c>
      <c r="U4936" s="68">
        <v>0</v>
      </c>
      <c r="V4936" s="68">
        <v>46068.9261342593</v>
      </c>
      <c r="W4936" s="0">
        <f>IF(IF(B4936="none",1,IF(B4936="Trialer",1,0))+IF(C4936="Customer",1,IF(C4936="Lost",1,0))=2,1,0)</f>
      </c>
      <c r="X4936" s="0" t="s">
        <v>148</v>
      </c>
      <c r="Y4936" s="0" t="s">
        <v>243</v>
      </c>
      <c r="AV4936" s="68"/>
      <c r="AW4936" s="68"/>
      <c r="AY4936" s="27"/>
      <c r="BD4936" s="68">
        <v>46054.1666666667</v>
      </c>
      <c r="BE4936" s="68">
        <v>46082.1666666667</v>
      </c>
      <c r="BF4936" s="0" t="b">
        <v>0</v>
      </c>
      <c r="BG4936" s="0" t="b">
        <v>0</v>
      </c>
      <c r="BH4936" s="0">
        <v>0</v>
      </c>
      <c r="BI4936" s="0">
        <v>0</v>
      </c>
      <c r="BJ4936" s="0" t="s">
        <v>135</v>
      </c>
    </row>
    <row r="4937">
      <c r="A4937" s="0" t="s">
        <v>5204</v>
      </c>
      <c r="B4937" s="0" t="s">
        <v>5</v>
      </c>
      <c r="C4937" s="0" t="s">
        <v>652</v>
      </c>
      <c r="D4937" s="0" t="s">
        <v>135</v>
      </c>
      <c r="E4937" s="0" t="s">
        <v>3</v>
      </c>
      <c r="F4937" s="0" t="s">
        <v>12</v>
      </c>
      <c r="G4937" s="0" t="s">
        <v>8</v>
      </c>
      <c r="H4937" s="0">
        <v>-14</v>
      </c>
      <c r="I4937" s="0">
        <v>0</v>
      </c>
      <c r="J4937" s="0">
        <v>0</v>
      </c>
      <c r="K4937" s="0">
        <v>0</v>
      </c>
      <c r="L4937" s="0">
        <v>0</v>
      </c>
      <c r="M4937" s="0">
        <v>0</v>
      </c>
      <c r="N4937" s="0">
        <v>0</v>
      </c>
      <c r="O4937" s="0">
        <v>0</v>
      </c>
      <c r="P4937" s="0">
        <v>0</v>
      </c>
      <c r="R4937" s="0" t="b">
        <v>0</v>
      </c>
      <c r="S4937" s="0" t="b">
        <v>0</v>
      </c>
      <c r="T4937" s="68">
        <v>46068.8851388889</v>
      </c>
      <c r="U4937" s="68">
        <v>0</v>
      </c>
      <c r="V4937" s="68">
        <v>46069.4387847222</v>
      </c>
      <c r="W4937" s="0">
        <f>IF(IF(B4937="none",1,IF(B4937="Trialer",1,0))+IF(C4937="Customer",1,IF(C4937="Lost",1,0))=2,1,0)</f>
      </c>
      <c r="X4937" s="0" t="s">
        <v>136</v>
      </c>
      <c r="Y4937" s="0" t="s">
        <v>243</v>
      </c>
      <c r="AV4937" s="68"/>
      <c r="AW4937" s="68"/>
      <c r="AY4937" s="27"/>
      <c r="BD4937" s="68">
        <v>46054.1666666667</v>
      </c>
      <c r="BE4937" s="68">
        <v>46082.1666666667</v>
      </c>
      <c r="BF4937" s="0" t="b">
        <v>1</v>
      </c>
      <c r="BG4937" s="0" t="b">
        <v>0</v>
      </c>
      <c r="BH4937" s="0">
        <v>85</v>
      </c>
      <c r="BI4937" s="0">
        <v>0</v>
      </c>
      <c r="BJ4937" s="0" t="s">
        <v>135</v>
      </c>
    </row>
    <row r="4938">
      <c r="A4938" s="0" t="s">
        <v>5205</v>
      </c>
      <c r="B4938" s="0" t="s">
        <v>5</v>
      </c>
      <c r="C4938" s="0" t="s">
        <v>652</v>
      </c>
      <c r="D4938" s="0" t="s">
        <v>135</v>
      </c>
      <c r="E4938" s="0" t="s">
        <v>3</v>
      </c>
      <c r="F4938" s="0" t="s">
        <v>12</v>
      </c>
      <c r="G4938" s="0" t="s">
        <v>8</v>
      </c>
      <c r="H4938" s="0">
        <v>-14</v>
      </c>
      <c r="I4938" s="0">
        <v>0</v>
      </c>
      <c r="J4938" s="0">
        <v>0</v>
      </c>
      <c r="K4938" s="0">
        <v>0</v>
      </c>
      <c r="L4938" s="0">
        <v>0</v>
      </c>
      <c r="M4938" s="0">
        <v>0</v>
      </c>
      <c r="N4938" s="0">
        <v>0</v>
      </c>
      <c r="O4938" s="0">
        <v>0</v>
      </c>
      <c r="P4938" s="0">
        <v>0</v>
      </c>
      <c r="R4938" s="0" t="b">
        <v>0</v>
      </c>
      <c r="S4938" s="0" t="b">
        <v>0</v>
      </c>
      <c r="T4938" s="68">
        <v>46068.8922916667</v>
      </c>
      <c r="U4938" s="68">
        <v>0</v>
      </c>
      <c r="V4938" s="68">
        <v>46070.3866319444</v>
      </c>
      <c r="W4938" s="0">
        <f>IF(IF(B4938="none",1,IF(B4938="Trialer",1,0))+IF(C4938="Customer",1,IF(C4938="Lost",1,0))=2,1,0)</f>
      </c>
      <c r="X4938" s="0" t="s">
        <v>136</v>
      </c>
      <c r="Y4938" s="0" t="s">
        <v>243</v>
      </c>
      <c r="AV4938" s="68"/>
      <c r="AW4938" s="68"/>
      <c r="AY4938" s="27"/>
      <c r="BD4938" s="68">
        <v>46054.1666666667</v>
      </c>
      <c r="BE4938" s="68">
        <v>46082.1666666667</v>
      </c>
      <c r="BF4938" s="0" t="b">
        <v>1</v>
      </c>
      <c r="BG4938" s="0" t="b">
        <v>0</v>
      </c>
      <c r="BH4938" s="0">
        <v>73</v>
      </c>
      <c r="BI4938" s="0">
        <v>73</v>
      </c>
      <c r="BJ4938" s="0" t="s">
        <v>135</v>
      </c>
    </row>
    <row r="4939">
      <c r="A4939" s="0" t="s">
        <v>5206</v>
      </c>
      <c r="B4939" s="0" t="s">
        <v>5</v>
      </c>
      <c r="C4939" s="0" t="s">
        <v>652</v>
      </c>
      <c r="D4939" s="0" t="s">
        <v>135</v>
      </c>
      <c r="E4939" s="0" t="s">
        <v>3</v>
      </c>
      <c r="F4939" s="0" t="s">
        <v>12</v>
      </c>
      <c r="G4939" s="0" t="s">
        <v>8</v>
      </c>
      <c r="H4939" s="0">
        <v>-14</v>
      </c>
      <c r="I4939" s="0">
        <v>0</v>
      </c>
      <c r="J4939" s="0">
        <v>0</v>
      </c>
      <c r="K4939" s="0">
        <v>0</v>
      </c>
      <c r="L4939" s="0">
        <v>0</v>
      </c>
      <c r="M4939" s="0">
        <v>0</v>
      </c>
      <c r="N4939" s="0">
        <v>0</v>
      </c>
      <c r="O4939" s="0">
        <v>0</v>
      </c>
      <c r="P4939" s="0">
        <v>0</v>
      </c>
      <c r="R4939" s="0" t="b">
        <v>0</v>
      </c>
      <c r="S4939" s="0" t="b">
        <v>0</v>
      </c>
      <c r="T4939" s="68">
        <v>46068.9042361111</v>
      </c>
      <c r="U4939" s="68">
        <v>0</v>
      </c>
      <c r="V4939" s="68">
        <v>46070.3882060185</v>
      </c>
      <c r="W4939" s="0">
        <f>IF(IF(B4939="none",1,IF(B4939="Trialer",1,0))+IF(C4939="Customer",1,IF(C4939="Lost",1,0))=2,1,0)</f>
      </c>
      <c r="X4939" s="0" t="s">
        <v>136</v>
      </c>
      <c r="Y4939" s="0" t="s">
        <v>243</v>
      </c>
      <c r="AV4939" s="68"/>
      <c r="AW4939" s="68"/>
      <c r="AY4939" s="27"/>
      <c r="BD4939" s="68">
        <v>46054.1666666667</v>
      </c>
      <c r="BE4939" s="68">
        <v>46082.1666666667</v>
      </c>
      <c r="BF4939" s="0" t="b">
        <v>1</v>
      </c>
      <c r="BG4939" s="0" t="b">
        <v>0</v>
      </c>
      <c r="BH4939" s="0">
        <v>59</v>
      </c>
      <c r="BI4939" s="0">
        <v>59</v>
      </c>
      <c r="BJ4939" s="0" t="s">
        <v>135</v>
      </c>
    </row>
    <row r="4940">
      <c r="A4940" s="0" t="s">
        <v>5207</v>
      </c>
      <c r="B4940" s="0" t="s">
        <v>5</v>
      </c>
      <c r="C4940" s="0" t="s">
        <v>652</v>
      </c>
      <c r="D4940" s="0" t="s">
        <v>135</v>
      </c>
      <c r="E4940" s="0" t="s">
        <v>3</v>
      </c>
      <c r="F4940" s="0" t="s">
        <v>12</v>
      </c>
      <c r="G4940" s="0" t="s">
        <v>8</v>
      </c>
      <c r="H4940" s="0">
        <v>-14</v>
      </c>
      <c r="I4940" s="0">
        <v>0</v>
      </c>
      <c r="J4940" s="0">
        <v>0</v>
      </c>
      <c r="K4940" s="0">
        <v>0</v>
      </c>
      <c r="L4940" s="0">
        <v>0</v>
      </c>
      <c r="M4940" s="0">
        <v>0</v>
      </c>
      <c r="N4940" s="0">
        <v>0</v>
      </c>
      <c r="O4940" s="0">
        <v>0</v>
      </c>
      <c r="P4940" s="0">
        <v>0</v>
      </c>
      <c r="R4940" s="0" t="b">
        <v>0</v>
      </c>
      <c r="S4940" s="0" t="b">
        <v>0</v>
      </c>
      <c r="T4940" s="68">
        <v>46068.9164351852</v>
      </c>
      <c r="U4940" s="68">
        <v>0</v>
      </c>
      <c r="V4940" s="68">
        <v>46069.4366203704</v>
      </c>
      <c r="W4940" s="0">
        <f>IF(IF(B4940="none",1,IF(B4940="Trialer",1,0))+IF(C4940="Customer",1,IF(C4940="Lost",1,0))=2,1,0)</f>
      </c>
      <c r="X4940" s="0" t="s">
        <v>136</v>
      </c>
      <c r="Y4940" s="0" t="s">
        <v>243</v>
      </c>
      <c r="AV4940" s="68"/>
      <c r="AW4940" s="68"/>
      <c r="AY4940" s="27"/>
      <c r="BD4940" s="68">
        <v>46054.1666666667</v>
      </c>
      <c r="BE4940" s="68">
        <v>46082.1666666667</v>
      </c>
      <c r="BF4940" s="0" t="b">
        <v>1</v>
      </c>
      <c r="BG4940" s="0" t="b">
        <v>0</v>
      </c>
      <c r="BH4940" s="0">
        <v>85</v>
      </c>
      <c r="BI4940" s="0">
        <v>0</v>
      </c>
      <c r="BJ4940" s="0" t="s">
        <v>135</v>
      </c>
    </row>
    <row r="4941">
      <c r="A4941" s="0" t="s">
        <v>5208</v>
      </c>
      <c r="B4941" s="0" t="s">
        <v>5</v>
      </c>
      <c r="C4941" s="0" t="s">
        <v>652</v>
      </c>
      <c r="D4941" s="0" t="s">
        <v>135</v>
      </c>
      <c r="E4941" s="0" t="s">
        <v>4</v>
      </c>
      <c r="F4941" s="0" t="s">
        <v>12</v>
      </c>
      <c r="G4941" s="0" t="s">
        <v>8</v>
      </c>
      <c r="H4941" s="0">
        <v>-14</v>
      </c>
      <c r="I4941" s="0">
        <v>0</v>
      </c>
      <c r="J4941" s="0">
        <v>0</v>
      </c>
      <c r="K4941" s="0">
        <v>0</v>
      </c>
      <c r="L4941" s="0">
        <v>0</v>
      </c>
      <c r="M4941" s="0">
        <v>0</v>
      </c>
      <c r="N4941" s="0">
        <v>0</v>
      </c>
      <c r="O4941" s="0">
        <v>0</v>
      </c>
      <c r="P4941" s="0">
        <v>0</v>
      </c>
      <c r="R4941" s="0" t="b">
        <v>0</v>
      </c>
      <c r="S4941" s="0" t="b">
        <v>1</v>
      </c>
      <c r="T4941" s="68">
        <v>46068.9415162037</v>
      </c>
      <c r="U4941" s="68">
        <v>0</v>
      </c>
      <c r="V4941" s="68">
        <v>0</v>
      </c>
      <c r="W4941" s="0">
        <f>IF(IF(B4941="none",1,IF(B4941="Trialer",1,0))+IF(C4941="Customer",1,IF(C4941="Lost",1,0))=2,1,0)</f>
      </c>
      <c r="X4941" s="0" t="s">
        <v>148</v>
      </c>
      <c r="Y4941" s="0" t="s">
        <v>1772</v>
      </c>
      <c r="AV4941" s="68"/>
      <c r="AW4941" s="68"/>
      <c r="AY4941" s="27"/>
      <c r="BD4941" s="68">
        <v>46054.1666666667</v>
      </c>
      <c r="BE4941" s="68">
        <v>46082.1666666667</v>
      </c>
      <c r="BF4941" s="0" t="b">
        <v>0</v>
      </c>
      <c r="BG4941" s="0" t="b">
        <v>0</v>
      </c>
      <c r="BH4941" s="0">
        <v>59</v>
      </c>
      <c r="BI4941" s="0">
        <v>59</v>
      </c>
      <c r="BJ4941" s="0" t="s">
        <v>135</v>
      </c>
    </row>
    <row r="4942">
      <c r="A4942" s="0" t="s">
        <v>5209</v>
      </c>
      <c r="B4942" s="0" t="s">
        <v>5</v>
      </c>
      <c r="C4942" s="0" t="s">
        <v>652</v>
      </c>
      <c r="D4942" s="0" t="s">
        <v>135</v>
      </c>
      <c r="E4942" s="0" t="s">
        <v>3</v>
      </c>
      <c r="F4942" s="0" t="s">
        <v>12</v>
      </c>
      <c r="G4942" s="0" t="s">
        <v>8</v>
      </c>
      <c r="H4942" s="0">
        <v>-15</v>
      </c>
      <c r="I4942" s="0">
        <v>0</v>
      </c>
      <c r="J4942" s="0">
        <v>0</v>
      </c>
      <c r="K4942" s="0">
        <v>0</v>
      </c>
      <c r="L4942" s="0">
        <v>0</v>
      </c>
      <c r="M4942" s="0">
        <v>0</v>
      </c>
      <c r="N4942" s="0">
        <v>0</v>
      </c>
      <c r="O4942" s="0">
        <v>0</v>
      </c>
      <c r="P4942" s="0">
        <v>0</v>
      </c>
      <c r="R4942" s="0" t="b">
        <v>0</v>
      </c>
      <c r="S4942" s="0" t="b">
        <v>0</v>
      </c>
      <c r="T4942" s="68">
        <v>46068.9730092593</v>
      </c>
      <c r="U4942" s="68">
        <v>0</v>
      </c>
      <c r="V4942" s="68">
        <v>46068.9890625</v>
      </c>
      <c r="W4942" s="0">
        <f>IF(IF(B4942="none",1,IF(B4942="Trialer",1,0))+IF(C4942="Customer",1,IF(C4942="Lost",1,0))=2,1,0)</f>
      </c>
      <c r="X4942" s="0" t="s">
        <v>145</v>
      </c>
      <c r="Y4942" s="0" t="s">
        <v>243</v>
      </c>
      <c r="AV4942" s="68"/>
      <c r="AW4942" s="68"/>
      <c r="AY4942" s="27"/>
      <c r="BD4942" s="68">
        <v>46054.1666666667</v>
      </c>
      <c r="BE4942" s="68">
        <v>46082.1666666667</v>
      </c>
      <c r="BF4942" s="0" t="b">
        <v>0</v>
      </c>
      <c r="BG4942" s="0" t="b">
        <v>0</v>
      </c>
      <c r="BH4942" s="0">
        <v>0</v>
      </c>
      <c r="BI4942" s="0">
        <v>0</v>
      </c>
      <c r="BJ4942" s="0" t="s">
        <v>135</v>
      </c>
    </row>
    <row r="4943">
      <c r="A4943" s="0" t="s">
        <v>5210</v>
      </c>
      <c r="B4943" s="0" t="s">
        <v>5</v>
      </c>
      <c r="C4943" s="0" t="s">
        <v>652</v>
      </c>
      <c r="D4943" s="0" t="s">
        <v>135</v>
      </c>
      <c r="E4943" s="0" t="s">
        <v>3</v>
      </c>
      <c r="F4943" s="0" t="s">
        <v>12</v>
      </c>
      <c r="G4943" s="0" t="s">
        <v>8</v>
      </c>
      <c r="H4943" s="0">
        <v>-15</v>
      </c>
      <c r="I4943" s="0">
        <v>0</v>
      </c>
      <c r="J4943" s="0">
        <v>0</v>
      </c>
      <c r="K4943" s="0">
        <v>0</v>
      </c>
      <c r="L4943" s="0">
        <v>0</v>
      </c>
      <c r="M4943" s="0">
        <v>0</v>
      </c>
      <c r="N4943" s="0">
        <v>0</v>
      </c>
      <c r="O4943" s="0">
        <v>0</v>
      </c>
      <c r="P4943" s="0">
        <v>0</v>
      </c>
      <c r="R4943" s="0" t="b">
        <v>0</v>
      </c>
      <c r="S4943" s="0" t="b">
        <v>1</v>
      </c>
      <c r="T4943" s="68">
        <v>46069.2686226852</v>
      </c>
      <c r="U4943" s="68">
        <v>0</v>
      </c>
      <c r="V4943" s="68">
        <v>0</v>
      </c>
      <c r="W4943" s="0">
        <f>IF(IF(B4943="none",1,IF(B4943="Trialer",1,0))+IF(C4943="Customer",1,IF(C4943="Lost",1,0))=2,1,0)</f>
      </c>
      <c r="X4943" s="0" t="s">
        <v>136</v>
      </c>
      <c r="Y4943" s="0" t="s">
        <v>243</v>
      </c>
      <c r="AV4943" s="68"/>
      <c r="AW4943" s="68"/>
      <c r="AY4943" s="27"/>
      <c r="BD4943" s="68">
        <v>46054.1666666667</v>
      </c>
      <c r="BE4943" s="68">
        <v>46082.1666666667</v>
      </c>
      <c r="BF4943" s="0" t="b">
        <v>0</v>
      </c>
      <c r="BG4943" s="0" t="b">
        <v>0</v>
      </c>
      <c r="BH4943" s="0">
        <v>59</v>
      </c>
      <c r="BI4943" s="0">
        <v>59</v>
      </c>
      <c r="BJ4943" s="0" t="s">
        <v>135</v>
      </c>
    </row>
    <row r="4944">
      <c r="A4944" s="0" t="s">
        <v>5211</v>
      </c>
      <c r="B4944" s="0" t="s">
        <v>5</v>
      </c>
      <c r="C4944" s="0" t="s">
        <v>652</v>
      </c>
      <c r="D4944" s="0" t="s">
        <v>135</v>
      </c>
      <c r="E4944" s="0" t="s">
        <v>4</v>
      </c>
      <c r="F4944" s="0" t="s">
        <v>12</v>
      </c>
      <c r="G4944" s="0" t="s">
        <v>8</v>
      </c>
      <c r="H4944" s="0">
        <v>-15</v>
      </c>
      <c r="I4944" s="0">
        <v>0</v>
      </c>
      <c r="J4944" s="0">
        <v>0</v>
      </c>
      <c r="K4944" s="0">
        <v>0</v>
      </c>
      <c r="L4944" s="0">
        <v>0</v>
      </c>
      <c r="M4944" s="0">
        <v>0</v>
      </c>
      <c r="N4944" s="0">
        <v>0</v>
      </c>
      <c r="O4944" s="0">
        <v>0</v>
      </c>
      <c r="P4944" s="0">
        <v>0</v>
      </c>
      <c r="R4944" s="0" t="b">
        <v>0</v>
      </c>
      <c r="S4944" s="0" t="b">
        <v>1</v>
      </c>
      <c r="T4944" s="68">
        <v>46069.2826041667</v>
      </c>
      <c r="U4944" s="68">
        <v>0</v>
      </c>
      <c r="V4944" s="68">
        <v>0</v>
      </c>
      <c r="W4944" s="0">
        <f>IF(IF(B4944="none",1,IF(B4944="Trialer",1,0))+IF(C4944="Customer",1,IF(C4944="Lost",1,0))=2,1,0)</f>
      </c>
      <c r="X4944" s="0" t="s">
        <v>148</v>
      </c>
      <c r="Y4944" s="0" t="s">
        <v>1772</v>
      </c>
      <c r="AV4944" s="68"/>
      <c r="AW4944" s="68"/>
      <c r="AY4944" s="27"/>
      <c r="BD4944" s="68">
        <v>46054.1666666667</v>
      </c>
      <c r="BE4944" s="68">
        <v>46082.1666666667</v>
      </c>
      <c r="BF4944" s="0" t="b">
        <v>0</v>
      </c>
      <c r="BG4944" s="0" t="b">
        <v>0</v>
      </c>
      <c r="BH4944" s="0">
        <v>59</v>
      </c>
      <c r="BI4944" s="0">
        <v>59</v>
      </c>
      <c r="BJ4944" s="0" t="s">
        <v>135</v>
      </c>
    </row>
    <row r="4945">
      <c r="A4945" s="0" t="s">
        <v>5212</v>
      </c>
      <c r="B4945" s="0" t="s">
        <v>5</v>
      </c>
      <c r="C4945" s="0" t="s">
        <v>652</v>
      </c>
      <c r="D4945" s="0" t="s">
        <v>135</v>
      </c>
      <c r="E4945" s="0" t="s">
        <v>3</v>
      </c>
      <c r="F4945" s="0" t="s">
        <v>12</v>
      </c>
      <c r="G4945" s="0" t="s">
        <v>8</v>
      </c>
      <c r="H4945" s="0">
        <v>-15</v>
      </c>
      <c r="I4945" s="0">
        <v>0</v>
      </c>
      <c r="J4945" s="0">
        <v>0</v>
      </c>
      <c r="K4945" s="0">
        <v>0</v>
      </c>
      <c r="L4945" s="0">
        <v>0</v>
      </c>
      <c r="M4945" s="0">
        <v>0</v>
      </c>
      <c r="N4945" s="0">
        <v>0</v>
      </c>
      <c r="O4945" s="0">
        <v>0</v>
      </c>
      <c r="P4945" s="0">
        <v>0</v>
      </c>
      <c r="R4945" s="0" t="b">
        <v>0</v>
      </c>
      <c r="S4945" s="0" t="b">
        <v>1</v>
      </c>
      <c r="T4945" s="68">
        <v>46069.3587268519</v>
      </c>
      <c r="U4945" s="68">
        <v>0</v>
      </c>
      <c r="V4945" s="68">
        <v>0</v>
      </c>
      <c r="W4945" s="0">
        <f>IF(IF(B4945="none",1,IF(B4945="Trialer",1,0))+IF(C4945="Customer",1,IF(C4945="Lost",1,0))=2,1,0)</f>
      </c>
      <c r="X4945" s="0" t="s">
        <v>145</v>
      </c>
      <c r="Y4945" s="0" t="s">
        <v>243</v>
      </c>
      <c r="AV4945" s="68"/>
      <c r="AW4945" s="68"/>
      <c r="AY4945" s="27"/>
      <c r="BD4945" s="68">
        <v>46054.1666666667</v>
      </c>
      <c r="BE4945" s="68">
        <v>46082.1666666667</v>
      </c>
      <c r="BF4945" s="0" t="b">
        <v>0</v>
      </c>
      <c r="BG4945" s="0" t="b">
        <v>0</v>
      </c>
      <c r="BH4945" s="0">
        <v>85</v>
      </c>
      <c r="BI4945" s="0">
        <v>85</v>
      </c>
      <c r="BJ4945" s="0" t="s">
        <v>135</v>
      </c>
    </row>
    <row r="4946">
      <c r="A4946" s="0" t="s">
        <v>5213</v>
      </c>
      <c r="B4946" s="0" t="s">
        <v>5</v>
      </c>
      <c r="C4946" s="0" t="s">
        <v>652</v>
      </c>
      <c r="D4946" s="0" t="s">
        <v>135</v>
      </c>
      <c r="E4946" s="0" t="s">
        <v>2414</v>
      </c>
      <c r="F4946" s="0" t="s">
        <v>12</v>
      </c>
      <c r="G4946" s="0" t="s">
        <v>8</v>
      </c>
      <c r="H4946" s="0">
        <v>-15</v>
      </c>
      <c r="I4946" s="0">
        <v>0</v>
      </c>
      <c r="J4946" s="0">
        <v>0</v>
      </c>
      <c r="K4946" s="0">
        <v>0</v>
      </c>
      <c r="L4946" s="0">
        <v>0</v>
      </c>
      <c r="M4946" s="0">
        <v>0</v>
      </c>
      <c r="N4946" s="0">
        <v>0</v>
      </c>
      <c r="O4946" s="0">
        <v>0</v>
      </c>
      <c r="P4946" s="0">
        <v>0</v>
      </c>
      <c r="R4946" s="0" t="b">
        <v>0</v>
      </c>
      <c r="S4946" s="0" t="b">
        <v>0</v>
      </c>
      <c r="T4946" s="68">
        <v>46069.3744907407</v>
      </c>
      <c r="U4946" s="68">
        <v>0</v>
      </c>
      <c r="V4946" s="68">
        <v>46070.3888078704</v>
      </c>
      <c r="W4946" s="0">
        <f>IF(IF(B4946="none",1,IF(B4946="Trialer",1,0))+IF(C4946="Customer",1,IF(C4946="Lost",1,0))=2,1,0)</f>
      </c>
      <c r="X4946" s="0" t="s">
        <v>653</v>
      </c>
      <c r="Y4946" s="0" t="s">
        <v>1516</v>
      </c>
      <c r="AV4946" s="68"/>
      <c r="AW4946" s="68"/>
      <c r="AY4946" s="27"/>
      <c r="BD4946" s="68">
        <v>46054.1666666667</v>
      </c>
      <c r="BE4946" s="68">
        <v>46082.1666666667</v>
      </c>
      <c r="BF4946" s="0" t="b">
        <v>1</v>
      </c>
      <c r="BG4946" s="0" t="b">
        <v>0</v>
      </c>
      <c r="BH4946" s="0">
        <v>59</v>
      </c>
      <c r="BI4946" s="0">
        <v>0</v>
      </c>
      <c r="BJ4946" s="0" t="s">
        <v>135</v>
      </c>
    </row>
    <row r="4947">
      <c r="A4947" s="0" t="s">
        <v>5214</v>
      </c>
      <c r="B4947" s="0" t="s">
        <v>5</v>
      </c>
      <c r="C4947" s="0" t="s">
        <v>652</v>
      </c>
      <c r="D4947" s="0" t="s">
        <v>135</v>
      </c>
      <c r="E4947" s="0" t="s">
        <v>3</v>
      </c>
      <c r="F4947" s="0" t="s">
        <v>12</v>
      </c>
      <c r="G4947" s="0" t="s">
        <v>8</v>
      </c>
      <c r="H4947" s="0">
        <v>-15</v>
      </c>
      <c r="I4947" s="0">
        <v>0</v>
      </c>
      <c r="J4947" s="0">
        <v>0</v>
      </c>
      <c r="K4947" s="0">
        <v>0</v>
      </c>
      <c r="L4947" s="0">
        <v>0</v>
      </c>
      <c r="M4947" s="0">
        <v>0</v>
      </c>
      <c r="N4947" s="0">
        <v>0</v>
      </c>
      <c r="O4947" s="0">
        <v>0</v>
      </c>
      <c r="P4947" s="0">
        <v>0</v>
      </c>
      <c r="R4947" s="0" t="b">
        <v>0</v>
      </c>
      <c r="S4947" s="0" t="b">
        <v>1</v>
      </c>
      <c r="T4947" s="68">
        <v>46069.4111921296</v>
      </c>
      <c r="U4947" s="68">
        <v>46083.2916666667</v>
      </c>
      <c r="V4947" s="68">
        <v>0</v>
      </c>
      <c r="W4947" s="0">
        <f>IF(IF(B4947="none",1,IF(B4947="Trialer",1,0))+IF(C4947="Customer",1,IF(C4947="Lost",1,0))=2,1,0)</f>
      </c>
      <c r="X4947" s="0" t="s">
        <v>1461</v>
      </c>
      <c r="Y4947" s="0" t="s">
        <v>243</v>
      </c>
      <c r="AV4947" s="68"/>
      <c r="AW4947" s="68"/>
      <c r="AY4947" s="27"/>
      <c r="BD4947" s="68">
        <v>46054.1666666667</v>
      </c>
      <c r="BE4947" s="68">
        <v>46082.1666666667</v>
      </c>
      <c r="BF4947" s="0" t="b">
        <v>0</v>
      </c>
      <c r="BG4947" s="0" t="b">
        <v>0</v>
      </c>
      <c r="BH4947" s="0">
        <v>49</v>
      </c>
      <c r="BI4947" s="0">
        <v>49</v>
      </c>
      <c r="BJ4947" s="0" t="s">
        <v>135</v>
      </c>
    </row>
    <row r="4948">
      <c r="A4948" s="0" t="s">
        <v>5215</v>
      </c>
      <c r="B4948" s="0" t="s">
        <v>5</v>
      </c>
      <c r="C4948" s="0" t="s">
        <v>652</v>
      </c>
      <c r="D4948" s="0" t="s">
        <v>135</v>
      </c>
      <c r="E4948" s="0" t="s">
        <v>2</v>
      </c>
      <c r="F4948" s="0" t="s">
        <v>12</v>
      </c>
      <c r="G4948" s="0" t="s">
        <v>8</v>
      </c>
      <c r="H4948" s="0">
        <v>-15</v>
      </c>
      <c r="I4948" s="0">
        <v>0</v>
      </c>
      <c r="J4948" s="0">
        <v>0</v>
      </c>
      <c r="K4948" s="0">
        <v>0</v>
      </c>
      <c r="L4948" s="0">
        <v>0</v>
      </c>
      <c r="M4948" s="0">
        <v>0</v>
      </c>
      <c r="N4948" s="0">
        <v>0</v>
      </c>
      <c r="O4948" s="0">
        <v>0</v>
      </c>
      <c r="P4948" s="0">
        <v>0</v>
      </c>
      <c r="R4948" s="0" t="b">
        <v>0</v>
      </c>
      <c r="S4948" s="0" t="b">
        <v>1</v>
      </c>
      <c r="T4948" s="68">
        <v>46069.4663541667</v>
      </c>
      <c r="U4948" s="68">
        <v>0</v>
      </c>
      <c r="V4948" s="68">
        <v>0</v>
      </c>
      <c r="W4948" s="0">
        <f>IF(IF(B4948="none",1,IF(B4948="Trialer",1,0))+IF(C4948="Customer",1,IF(C4948="Lost",1,0))=2,1,0)</f>
      </c>
      <c r="X4948" s="0" t="s">
        <v>148</v>
      </c>
      <c r="Y4948" s="0" t="s">
        <v>1587</v>
      </c>
      <c r="AV4948" s="68"/>
      <c r="AW4948" s="68"/>
      <c r="AY4948" s="27"/>
      <c r="BD4948" s="68">
        <v>46054.1666666667</v>
      </c>
      <c r="BE4948" s="68">
        <v>46082.1666666667</v>
      </c>
      <c r="BF4948" s="0" t="b">
        <v>0</v>
      </c>
      <c r="BG4948" s="0" t="b">
        <v>0</v>
      </c>
      <c r="BH4948" s="0">
        <v>85</v>
      </c>
      <c r="BI4948" s="0">
        <v>85</v>
      </c>
      <c r="BJ4948" s="0" t="s">
        <v>135</v>
      </c>
    </row>
    <row r="4949">
      <c r="A4949" s="0" t="s">
        <v>5216</v>
      </c>
      <c r="B4949" s="0" t="s">
        <v>5</v>
      </c>
      <c r="C4949" s="0" t="s">
        <v>652</v>
      </c>
      <c r="D4949" s="0" t="s">
        <v>135</v>
      </c>
      <c r="E4949" s="0" t="s">
        <v>2</v>
      </c>
      <c r="F4949" s="0" t="s">
        <v>12</v>
      </c>
      <c r="G4949" s="0" t="s">
        <v>8</v>
      </c>
      <c r="H4949" s="0">
        <v>-15</v>
      </c>
      <c r="I4949" s="0">
        <v>0</v>
      </c>
      <c r="J4949" s="0">
        <v>0</v>
      </c>
      <c r="K4949" s="0">
        <v>0</v>
      </c>
      <c r="L4949" s="0">
        <v>0</v>
      </c>
      <c r="M4949" s="0">
        <v>0</v>
      </c>
      <c r="N4949" s="0">
        <v>0</v>
      </c>
      <c r="O4949" s="0">
        <v>0</v>
      </c>
      <c r="P4949" s="0">
        <v>0</v>
      </c>
      <c r="R4949" s="0" t="b">
        <v>0</v>
      </c>
      <c r="S4949" s="0" t="b">
        <v>1</v>
      </c>
      <c r="T4949" s="68">
        <v>46069.4791319444</v>
      </c>
      <c r="U4949" s="68">
        <v>0</v>
      </c>
      <c r="V4949" s="68">
        <v>0</v>
      </c>
      <c r="W4949" s="0">
        <f>IF(IF(B4949="none",1,IF(B4949="Trialer",1,0))+IF(C4949="Customer",1,IF(C4949="Lost",1,0))=2,1,0)</f>
      </c>
      <c r="X4949" s="0" t="s">
        <v>145</v>
      </c>
      <c r="Y4949" s="0" t="s">
        <v>499</v>
      </c>
      <c r="AV4949" s="68"/>
      <c r="AW4949" s="68"/>
      <c r="AY4949" s="27"/>
      <c r="BD4949" s="68">
        <v>46054.1666666667</v>
      </c>
      <c r="BE4949" s="68">
        <v>46082.1666666667</v>
      </c>
      <c r="BF4949" s="0" t="b">
        <v>0</v>
      </c>
      <c r="BG4949" s="0" t="b">
        <v>0</v>
      </c>
      <c r="BH4949" s="0">
        <v>73</v>
      </c>
      <c r="BI4949" s="0">
        <v>73</v>
      </c>
      <c r="BJ4949" s="0" t="s">
        <v>135</v>
      </c>
    </row>
    <row r="4950">
      <c r="A4950" s="0" t="s">
        <v>5217</v>
      </c>
      <c r="B4950" s="0" t="s">
        <v>5</v>
      </c>
      <c r="C4950" s="0" t="s">
        <v>652</v>
      </c>
      <c r="D4950" s="0" t="s">
        <v>135</v>
      </c>
      <c r="E4950" s="0" t="s">
        <v>3</v>
      </c>
      <c r="F4950" s="0" t="s">
        <v>12</v>
      </c>
      <c r="G4950" s="0" t="s">
        <v>8</v>
      </c>
      <c r="H4950" s="0">
        <v>-15</v>
      </c>
      <c r="I4950" s="0">
        <v>0</v>
      </c>
      <c r="J4950" s="0">
        <v>0</v>
      </c>
      <c r="K4950" s="0">
        <v>0</v>
      </c>
      <c r="L4950" s="0">
        <v>0</v>
      </c>
      <c r="M4950" s="0">
        <v>0</v>
      </c>
      <c r="N4950" s="0">
        <v>0</v>
      </c>
      <c r="O4950" s="0">
        <v>0</v>
      </c>
      <c r="P4950" s="0">
        <v>0</v>
      </c>
      <c r="R4950" s="0" t="b">
        <v>0</v>
      </c>
      <c r="S4950" s="0" t="b">
        <v>0</v>
      </c>
      <c r="T4950" s="68">
        <v>46069.5230439815</v>
      </c>
      <c r="U4950" s="68">
        <v>0</v>
      </c>
      <c r="V4950" s="68">
        <v>46093.5997916667</v>
      </c>
      <c r="W4950" s="0">
        <f>IF(IF(B4950="none",1,IF(B4950="Trialer",1,0))+IF(C4950="Customer",1,IF(C4950="Lost",1,0))=2,1,0)</f>
      </c>
      <c r="X4950" s="0" t="s">
        <v>882</v>
      </c>
      <c r="Y4950" s="0" t="s">
        <v>243</v>
      </c>
      <c r="AV4950" s="68"/>
      <c r="AW4950" s="68"/>
      <c r="AY4950" s="27"/>
      <c r="BD4950" s="68">
        <v>46054.1666666667</v>
      </c>
      <c r="BE4950" s="68">
        <v>46082.1666666667</v>
      </c>
      <c r="BF4950" s="0" t="b">
        <v>1</v>
      </c>
      <c r="BG4950" s="0" t="b">
        <v>0</v>
      </c>
      <c r="BH4950" s="0">
        <v>170</v>
      </c>
      <c r="BI4950" s="0">
        <v>170</v>
      </c>
      <c r="BJ4950" s="0" t="s">
        <v>135</v>
      </c>
    </row>
    <row r="4951">
      <c r="A4951" s="0" t="s">
        <v>5218</v>
      </c>
      <c r="B4951" s="0" t="s">
        <v>5</v>
      </c>
      <c r="C4951" s="0" t="s">
        <v>652</v>
      </c>
      <c r="D4951" s="0" t="s">
        <v>135</v>
      </c>
      <c r="E4951" s="0" t="s">
        <v>3</v>
      </c>
      <c r="F4951" s="0" t="s">
        <v>12</v>
      </c>
      <c r="G4951" s="0" t="s">
        <v>8</v>
      </c>
      <c r="H4951" s="0">
        <v>-15</v>
      </c>
      <c r="I4951" s="0">
        <v>0</v>
      </c>
      <c r="J4951" s="0">
        <v>0</v>
      </c>
      <c r="K4951" s="0">
        <v>0</v>
      </c>
      <c r="L4951" s="0">
        <v>0</v>
      </c>
      <c r="M4951" s="0">
        <v>0</v>
      </c>
      <c r="N4951" s="0">
        <v>0</v>
      </c>
      <c r="O4951" s="0">
        <v>0</v>
      </c>
      <c r="P4951" s="0">
        <v>0</v>
      </c>
      <c r="R4951" s="0" t="b">
        <v>0</v>
      </c>
      <c r="S4951" s="0" t="b">
        <v>1</v>
      </c>
      <c r="T4951" s="68">
        <v>46069.5269212963</v>
      </c>
      <c r="U4951" s="68">
        <v>46090.3333333333</v>
      </c>
      <c r="V4951" s="68">
        <v>0</v>
      </c>
      <c r="W4951" s="0">
        <f>IF(IF(B4951="none",1,IF(B4951="Trialer",1,0))+IF(C4951="Customer",1,IF(C4951="Lost",1,0))=2,1,0)</f>
      </c>
      <c r="X4951" s="0" t="s">
        <v>1461</v>
      </c>
      <c r="Y4951" s="0" t="s">
        <v>243</v>
      </c>
      <c r="AV4951" s="68"/>
      <c r="AW4951" s="68"/>
      <c r="AY4951" s="27"/>
      <c r="BD4951" s="68">
        <v>46054.1666666667</v>
      </c>
      <c r="BE4951" s="68">
        <v>46082.1666666667</v>
      </c>
      <c r="BF4951" s="0" t="b">
        <v>0</v>
      </c>
      <c r="BG4951" s="0" t="b">
        <v>0</v>
      </c>
      <c r="BH4951" s="0">
        <v>59</v>
      </c>
      <c r="BI4951" s="0">
        <v>59</v>
      </c>
      <c r="BJ4951" s="0" t="s">
        <v>135</v>
      </c>
    </row>
    <row r="4952">
      <c r="A4952" s="0" t="s">
        <v>5219</v>
      </c>
      <c r="B4952" s="0" t="s">
        <v>5</v>
      </c>
      <c r="C4952" s="0" t="s">
        <v>134</v>
      </c>
      <c r="D4952" s="0" t="s">
        <v>135</v>
      </c>
      <c r="E4952" s="0" t="s">
        <v>2</v>
      </c>
      <c r="F4952" s="0" t="s">
        <v>12</v>
      </c>
      <c r="G4952" s="0" t="s">
        <v>8</v>
      </c>
      <c r="H4952" s="0">
        <v>-15</v>
      </c>
      <c r="I4952" s="0">
        <v>307</v>
      </c>
      <c r="J4952" s="0">
        <v>0</v>
      </c>
      <c r="K4952" s="0">
        <v>1</v>
      </c>
      <c r="L4952" s="0">
        <v>4</v>
      </c>
      <c r="M4952" s="0">
        <v>5</v>
      </c>
      <c r="N4952" s="0">
        <v>0</v>
      </c>
      <c r="O4952" s="0">
        <v>0</v>
      </c>
      <c r="P4952" s="0">
        <v>0</v>
      </c>
      <c r="R4952" s="0" t="b">
        <v>0</v>
      </c>
      <c r="S4952" s="0" t="b">
        <v>1</v>
      </c>
      <c r="T4952" s="68">
        <v>46069.5314583333</v>
      </c>
      <c r="U4952" s="68">
        <v>46080.2916666667</v>
      </c>
      <c r="V4952" s="68">
        <v>0</v>
      </c>
      <c r="W4952" s="0">
        <f>IF(IF(B4952="none",1,IF(B4952="Trialer",1,0))+IF(C4952="Customer",1,IF(C4952="Lost",1,0))=2,1,0)</f>
      </c>
      <c r="X4952" s="0" t="s">
        <v>136</v>
      </c>
      <c r="Y4952" s="0" t="s">
        <v>499</v>
      </c>
      <c r="AV4952" s="68"/>
      <c r="AW4952" s="68"/>
      <c r="AY4952" s="27"/>
      <c r="BD4952" s="68">
        <v>46054.1666666667</v>
      </c>
      <c r="BE4952" s="68">
        <v>46082.1666666667</v>
      </c>
      <c r="BF4952" s="0" t="b">
        <v>0</v>
      </c>
      <c r="BG4952" s="0" t="b">
        <v>0</v>
      </c>
      <c r="BH4952" s="0">
        <v>307</v>
      </c>
      <c r="BI4952" s="0">
        <v>307</v>
      </c>
      <c r="BJ4952" s="0" t="s">
        <v>135</v>
      </c>
    </row>
    <row r="4953">
      <c r="A4953" s="0" t="s">
        <v>5220</v>
      </c>
      <c r="B4953" s="0" t="s">
        <v>5</v>
      </c>
      <c r="C4953" s="0" t="s">
        <v>652</v>
      </c>
      <c r="D4953" s="0" t="s">
        <v>135</v>
      </c>
      <c r="E4953" s="0" t="s">
        <v>3</v>
      </c>
      <c r="F4953" s="0" t="s">
        <v>12</v>
      </c>
      <c r="G4953" s="0" t="s">
        <v>8</v>
      </c>
      <c r="H4953" s="0">
        <v>-15</v>
      </c>
      <c r="I4953" s="0">
        <v>0</v>
      </c>
      <c r="J4953" s="0">
        <v>0</v>
      </c>
      <c r="K4953" s="0">
        <v>0</v>
      </c>
      <c r="L4953" s="0">
        <v>0</v>
      </c>
      <c r="M4953" s="0">
        <v>0</v>
      </c>
      <c r="N4953" s="0">
        <v>0</v>
      </c>
      <c r="O4953" s="0">
        <v>0</v>
      </c>
      <c r="P4953" s="0">
        <v>0</v>
      </c>
      <c r="R4953" s="0" t="b">
        <v>0</v>
      </c>
      <c r="S4953" s="0" t="b">
        <v>1</v>
      </c>
      <c r="T4953" s="68">
        <v>46069.5407407407</v>
      </c>
      <c r="U4953" s="68">
        <v>0</v>
      </c>
      <c r="V4953" s="68">
        <v>0</v>
      </c>
      <c r="W4953" s="0">
        <f>IF(IF(B4953="none",1,IF(B4953="Trialer",1,0))+IF(C4953="Customer",1,IF(C4953="Lost",1,0))=2,1,0)</f>
      </c>
      <c r="X4953" s="0" t="s">
        <v>136</v>
      </c>
      <c r="Y4953" s="0" t="s">
        <v>243</v>
      </c>
      <c r="AV4953" s="68"/>
      <c r="AW4953" s="68"/>
      <c r="AY4953" s="27"/>
      <c r="BD4953" s="68">
        <v>46054.1666666667</v>
      </c>
      <c r="BE4953" s="68">
        <v>46082.1666666667</v>
      </c>
      <c r="BF4953" s="0" t="b">
        <v>0</v>
      </c>
      <c r="BG4953" s="0" t="b">
        <v>0</v>
      </c>
      <c r="BH4953" s="0">
        <v>59</v>
      </c>
      <c r="BI4953" s="0">
        <v>59</v>
      </c>
      <c r="BJ4953" s="0" t="s">
        <v>135</v>
      </c>
    </row>
    <row r="4954">
      <c r="A4954" s="0" t="s">
        <v>5221</v>
      </c>
      <c r="B4954" s="0" t="s">
        <v>5</v>
      </c>
      <c r="C4954" s="0" t="s">
        <v>652</v>
      </c>
      <c r="D4954" s="0" t="s">
        <v>135</v>
      </c>
      <c r="E4954" s="0" t="s">
        <v>2</v>
      </c>
      <c r="F4954" s="0" t="s">
        <v>12</v>
      </c>
      <c r="G4954" s="0" t="s">
        <v>8</v>
      </c>
      <c r="H4954" s="0">
        <v>-15</v>
      </c>
      <c r="I4954" s="0">
        <v>0</v>
      </c>
      <c r="J4954" s="0">
        <v>0</v>
      </c>
      <c r="K4954" s="0">
        <v>0</v>
      </c>
      <c r="L4954" s="0">
        <v>0</v>
      </c>
      <c r="M4954" s="0">
        <v>0</v>
      </c>
      <c r="N4954" s="0">
        <v>0</v>
      </c>
      <c r="O4954" s="0">
        <v>0</v>
      </c>
      <c r="P4954" s="0">
        <v>0</v>
      </c>
      <c r="R4954" s="0" t="b">
        <v>0</v>
      </c>
      <c r="S4954" s="0" t="b">
        <v>0</v>
      </c>
      <c r="T4954" s="68">
        <v>46069.5688194444</v>
      </c>
      <c r="U4954" s="68">
        <v>0</v>
      </c>
      <c r="V4954" s="68">
        <v>46069.6448842593</v>
      </c>
      <c r="W4954" s="0">
        <f>IF(IF(B4954="none",1,IF(B4954="Trialer",1,0))+IF(C4954="Customer",1,IF(C4954="Lost",1,0))=2,1,0)</f>
      </c>
      <c r="X4954" s="0" t="s">
        <v>148</v>
      </c>
      <c r="Y4954" s="0" t="s">
        <v>499</v>
      </c>
      <c r="AV4954" s="68"/>
      <c r="AW4954" s="68"/>
      <c r="AY4954" s="27"/>
      <c r="BD4954" s="68">
        <v>46054.1666666667</v>
      </c>
      <c r="BE4954" s="68">
        <v>46082.1666666667</v>
      </c>
      <c r="BF4954" s="0" t="b">
        <v>0</v>
      </c>
      <c r="BG4954" s="0" t="b">
        <v>0</v>
      </c>
      <c r="BH4954" s="0">
        <v>0</v>
      </c>
      <c r="BI4954" s="0">
        <v>0</v>
      </c>
      <c r="BJ4954" s="0" t="s">
        <v>135</v>
      </c>
    </row>
    <row r="4955">
      <c r="A4955" s="0" t="s">
        <v>5222</v>
      </c>
      <c r="B4955" s="0" t="s">
        <v>5</v>
      </c>
      <c r="C4955" s="0" t="s">
        <v>652</v>
      </c>
      <c r="D4955" s="0" t="s">
        <v>135</v>
      </c>
      <c r="E4955" s="0" t="s">
        <v>2414</v>
      </c>
      <c r="F4955" s="0" t="s">
        <v>12</v>
      </c>
      <c r="G4955" s="0" t="s">
        <v>8</v>
      </c>
      <c r="H4955" s="0">
        <v>-15</v>
      </c>
      <c r="I4955" s="0">
        <v>0</v>
      </c>
      <c r="J4955" s="0">
        <v>0</v>
      </c>
      <c r="K4955" s="0">
        <v>0</v>
      </c>
      <c r="L4955" s="0">
        <v>0</v>
      </c>
      <c r="M4955" s="0">
        <v>0</v>
      </c>
      <c r="N4955" s="0">
        <v>0</v>
      </c>
      <c r="O4955" s="0">
        <v>0</v>
      </c>
      <c r="P4955" s="0">
        <v>0</v>
      </c>
      <c r="R4955" s="0" t="b">
        <v>0</v>
      </c>
      <c r="S4955" s="0" t="b">
        <v>1</v>
      </c>
      <c r="T4955" s="68">
        <v>46069.6236805556</v>
      </c>
      <c r="U4955" s="68">
        <v>0</v>
      </c>
      <c r="V4955" s="68">
        <v>0</v>
      </c>
      <c r="W4955" s="0">
        <f>IF(IF(B4955="none",1,IF(B4955="Trialer",1,0))+IF(C4955="Customer",1,IF(C4955="Lost",1,0))=2,1,0)</f>
      </c>
      <c r="X4955" s="0" t="s">
        <v>145</v>
      </c>
      <c r="Y4955" s="0" t="s">
        <v>1516</v>
      </c>
      <c r="AV4955" s="68"/>
      <c r="AW4955" s="68"/>
      <c r="AY4955" s="27"/>
      <c r="BD4955" s="68">
        <v>46054.1666666667</v>
      </c>
      <c r="BE4955" s="68">
        <v>46082.1666666667</v>
      </c>
      <c r="BF4955" s="0" t="b">
        <v>0</v>
      </c>
      <c r="BG4955" s="0" t="b">
        <v>0</v>
      </c>
      <c r="BH4955" s="0">
        <v>59</v>
      </c>
      <c r="BI4955" s="0">
        <v>59</v>
      </c>
      <c r="BJ4955" s="0" t="s">
        <v>135</v>
      </c>
    </row>
    <row r="4956">
      <c r="A4956" s="0" t="s">
        <v>5223</v>
      </c>
      <c r="B4956" s="0" t="s">
        <v>5</v>
      </c>
      <c r="C4956" s="0" t="s">
        <v>652</v>
      </c>
      <c r="D4956" s="0" t="s">
        <v>135</v>
      </c>
      <c r="E4956" s="0" t="s">
        <v>1515</v>
      </c>
      <c r="F4956" s="0" t="s">
        <v>12</v>
      </c>
      <c r="G4956" s="0" t="s">
        <v>8</v>
      </c>
      <c r="H4956" s="0">
        <v>-15</v>
      </c>
      <c r="I4956" s="0">
        <v>0</v>
      </c>
      <c r="J4956" s="0">
        <v>0</v>
      </c>
      <c r="K4956" s="0">
        <v>0</v>
      </c>
      <c r="L4956" s="0">
        <v>0</v>
      </c>
      <c r="M4956" s="0">
        <v>0</v>
      </c>
      <c r="N4956" s="0">
        <v>0</v>
      </c>
      <c r="O4956" s="0">
        <v>0</v>
      </c>
      <c r="P4956" s="0">
        <v>0</v>
      </c>
      <c r="R4956" s="0" t="b">
        <v>0</v>
      </c>
      <c r="S4956" s="0" t="b">
        <v>1</v>
      </c>
      <c r="T4956" s="68">
        <v>46069.6998148148</v>
      </c>
      <c r="U4956" s="68">
        <v>0</v>
      </c>
      <c r="V4956" s="68">
        <v>0</v>
      </c>
      <c r="W4956" s="0">
        <f>IF(IF(B4956="none",1,IF(B4956="Trialer",1,0))+IF(C4956="Customer",1,IF(C4956="Lost",1,0))=2,1,0)</f>
      </c>
      <c r="X4956" s="0" t="s">
        <v>136</v>
      </c>
      <c r="Y4956" s="0" t="s">
        <v>1516</v>
      </c>
      <c r="AV4956" s="68"/>
      <c r="AW4956" s="68"/>
      <c r="AY4956" s="27"/>
      <c r="BD4956" s="68">
        <v>46054.1666666667</v>
      </c>
      <c r="BE4956" s="68">
        <v>46082.1666666667</v>
      </c>
      <c r="BF4956" s="0" t="b">
        <v>0</v>
      </c>
      <c r="BG4956" s="0" t="b">
        <v>0</v>
      </c>
      <c r="BH4956" s="0">
        <v>59</v>
      </c>
      <c r="BI4956" s="0">
        <v>59</v>
      </c>
      <c r="BJ4956" s="0" t="s">
        <v>135</v>
      </c>
    </row>
    <row r="4957">
      <c r="A4957" s="0" t="s">
        <v>5224</v>
      </c>
      <c r="B4957" s="0" t="s">
        <v>5</v>
      </c>
      <c r="C4957" s="0" t="s">
        <v>652</v>
      </c>
      <c r="D4957" s="0" t="s">
        <v>135</v>
      </c>
      <c r="E4957" s="0" t="s">
        <v>2414</v>
      </c>
      <c r="F4957" s="0" t="s">
        <v>12</v>
      </c>
      <c r="G4957" s="0" t="s">
        <v>8</v>
      </c>
      <c r="H4957" s="0">
        <v>-15</v>
      </c>
      <c r="I4957" s="0">
        <v>0</v>
      </c>
      <c r="J4957" s="0">
        <v>0</v>
      </c>
      <c r="K4957" s="0">
        <v>0</v>
      </c>
      <c r="L4957" s="0">
        <v>0</v>
      </c>
      <c r="M4957" s="0">
        <v>0</v>
      </c>
      <c r="N4957" s="0">
        <v>0</v>
      </c>
      <c r="O4957" s="0">
        <v>0</v>
      </c>
      <c r="P4957" s="0">
        <v>0</v>
      </c>
      <c r="R4957" s="0" t="b">
        <v>0</v>
      </c>
      <c r="S4957" s="0" t="b">
        <v>0</v>
      </c>
      <c r="T4957" s="68">
        <v>46069.7005671296</v>
      </c>
      <c r="U4957" s="68">
        <v>0</v>
      </c>
      <c r="V4957" s="68">
        <v>46070.3904398148</v>
      </c>
      <c r="W4957" s="0">
        <f>IF(IF(B4957="none",1,IF(B4957="Trialer",1,0))+IF(C4957="Customer",1,IF(C4957="Lost",1,0))=2,1,0)</f>
      </c>
      <c r="X4957" s="0" t="s">
        <v>136</v>
      </c>
      <c r="Y4957" s="0" t="s">
        <v>1516</v>
      </c>
      <c r="AV4957" s="68"/>
      <c r="AW4957" s="68"/>
      <c r="AY4957" s="27"/>
      <c r="BD4957" s="68">
        <v>46054.1666666667</v>
      </c>
      <c r="BE4957" s="68">
        <v>46082.1666666667</v>
      </c>
      <c r="BF4957" s="0" t="b">
        <v>1</v>
      </c>
      <c r="BG4957" s="0" t="b">
        <v>0</v>
      </c>
      <c r="BH4957" s="0">
        <v>59</v>
      </c>
      <c r="BI4957" s="0">
        <v>0</v>
      </c>
      <c r="BJ4957" s="0" t="s">
        <v>135</v>
      </c>
    </row>
    <row r="4958">
      <c r="A4958" s="0" t="s">
        <v>5225</v>
      </c>
      <c r="B4958" s="0" t="s">
        <v>5</v>
      </c>
      <c r="C4958" s="0" t="s">
        <v>652</v>
      </c>
      <c r="D4958" s="0" t="s">
        <v>135</v>
      </c>
      <c r="E4958" s="0" t="s">
        <v>4</v>
      </c>
      <c r="F4958" s="0" t="s">
        <v>12</v>
      </c>
      <c r="G4958" s="0" t="s">
        <v>8</v>
      </c>
      <c r="H4958" s="0">
        <v>-15</v>
      </c>
      <c r="I4958" s="0">
        <v>0</v>
      </c>
      <c r="J4958" s="0">
        <v>0</v>
      </c>
      <c r="K4958" s="0">
        <v>0</v>
      </c>
      <c r="L4958" s="0">
        <v>0</v>
      </c>
      <c r="M4958" s="0">
        <v>0</v>
      </c>
      <c r="N4958" s="0">
        <v>0</v>
      </c>
      <c r="O4958" s="0">
        <v>0</v>
      </c>
      <c r="P4958" s="0">
        <v>0</v>
      </c>
      <c r="R4958" s="0" t="b">
        <v>0</v>
      </c>
      <c r="S4958" s="0" t="b">
        <v>1</v>
      </c>
      <c r="T4958" s="68">
        <v>46069.7529513889</v>
      </c>
      <c r="U4958" s="68">
        <v>0</v>
      </c>
      <c r="V4958" s="68">
        <v>0</v>
      </c>
      <c r="W4958" s="0">
        <f>IF(IF(B4958="none",1,IF(B4958="Trialer",1,0))+IF(C4958="Customer",1,IF(C4958="Lost",1,0))=2,1,0)</f>
      </c>
      <c r="X4958" s="0" t="s">
        <v>148</v>
      </c>
      <c r="Y4958" s="0" t="s">
        <v>1772</v>
      </c>
      <c r="AV4958" s="68"/>
      <c r="AW4958" s="68"/>
      <c r="AY4958" s="27"/>
      <c r="BD4958" s="68">
        <v>46054.1666666667</v>
      </c>
      <c r="BE4958" s="68">
        <v>46082.1666666667</v>
      </c>
      <c r="BF4958" s="0" t="b">
        <v>0</v>
      </c>
      <c r="BG4958" s="0" t="b">
        <v>0</v>
      </c>
      <c r="BH4958" s="0">
        <v>83</v>
      </c>
      <c r="BI4958" s="0">
        <v>83</v>
      </c>
      <c r="BJ4958" s="0" t="s">
        <v>135</v>
      </c>
    </row>
    <row r="4959">
      <c r="A4959" s="0" t="s">
        <v>5226</v>
      </c>
      <c r="B4959" s="0" t="s">
        <v>5</v>
      </c>
      <c r="C4959" s="0" t="s">
        <v>652</v>
      </c>
      <c r="D4959" s="0" t="s">
        <v>135</v>
      </c>
      <c r="E4959" s="0" t="s">
        <v>3</v>
      </c>
      <c r="F4959" s="0" t="s">
        <v>12</v>
      </c>
      <c r="G4959" s="0" t="s">
        <v>8</v>
      </c>
      <c r="H4959" s="0">
        <v>-15</v>
      </c>
      <c r="I4959" s="0">
        <v>0</v>
      </c>
      <c r="J4959" s="0">
        <v>0</v>
      </c>
      <c r="K4959" s="0">
        <v>0</v>
      </c>
      <c r="L4959" s="0">
        <v>0</v>
      </c>
      <c r="M4959" s="0">
        <v>0</v>
      </c>
      <c r="N4959" s="0">
        <v>0</v>
      </c>
      <c r="O4959" s="0">
        <v>0</v>
      </c>
      <c r="P4959" s="0">
        <v>0</v>
      </c>
      <c r="R4959" s="0" t="b">
        <v>0</v>
      </c>
      <c r="S4959" s="0" t="b">
        <v>1</v>
      </c>
      <c r="T4959" s="68">
        <v>46069.7566319444</v>
      </c>
      <c r="U4959" s="68">
        <v>0</v>
      </c>
      <c r="V4959" s="68">
        <v>0</v>
      </c>
      <c r="W4959" s="0">
        <f>IF(IF(B4959="none",1,IF(B4959="Trialer",1,0))+IF(C4959="Customer",1,IF(C4959="Lost",1,0))=2,1,0)</f>
      </c>
      <c r="X4959" s="0" t="s">
        <v>882</v>
      </c>
      <c r="Y4959" s="0" t="s">
        <v>243</v>
      </c>
      <c r="AV4959" s="68"/>
      <c r="AW4959" s="68"/>
      <c r="AY4959" s="27"/>
      <c r="BD4959" s="68">
        <v>46054.1666666667</v>
      </c>
      <c r="BE4959" s="68">
        <v>46082.1666666667</v>
      </c>
      <c r="BF4959" s="0" t="b">
        <v>0</v>
      </c>
      <c r="BG4959" s="0" t="b">
        <v>0</v>
      </c>
      <c r="BH4959" s="0">
        <v>59</v>
      </c>
      <c r="BI4959" s="0">
        <v>59</v>
      </c>
      <c r="BJ4959" s="0" t="s">
        <v>135</v>
      </c>
    </row>
    <row r="4960">
      <c r="A4960" s="0" t="s">
        <v>5227</v>
      </c>
      <c r="B4960" s="0" t="s">
        <v>5</v>
      </c>
      <c r="C4960" s="0" t="s">
        <v>652</v>
      </c>
      <c r="D4960" s="0" t="s">
        <v>135</v>
      </c>
      <c r="E4960" s="0" t="s">
        <v>3</v>
      </c>
      <c r="F4960" s="0" t="s">
        <v>12</v>
      </c>
      <c r="G4960" s="0" t="s">
        <v>8</v>
      </c>
      <c r="H4960" s="0">
        <v>-15</v>
      </c>
      <c r="I4960" s="0">
        <v>0</v>
      </c>
      <c r="J4960" s="0">
        <v>0</v>
      </c>
      <c r="K4960" s="0">
        <v>0</v>
      </c>
      <c r="L4960" s="0">
        <v>0</v>
      </c>
      <c r="M4960" s="0">
        <v>0</v>
      </c>
      <c r="N4960" s="0">
        <v>0</v>
      </c>
      <c r="O4960" s="0">
        <v>0</v>
      </c>
      <c r="P4960" s="0">
        <v>0</v>
      </c>
      <c r="R4960" s="0" t="b">
        <v>0</v>
      </c>
      <c r="S4960" s="0" t="b">
        <v>1</v>
      </c>
      <c r="T4960" s="68">
        <v>46069.7740740741</v>
      </c>
      <c r="U4960" s="68">
        <v>0</v>
      </c>
      <c r="V4960" s="68">
        <v>0</v>
      </c>
      <c r="W4960" s="0">
        <f>IF(IF(B4960="none",1,IF(B4960="Trialer",1,0))+IF(C4960="Customer",1,IF(C4960="Lost",1,0))=2,1,0)</f>
      </c>
      <c r="X4960" s="0" t="s">
        <v>145</v>
      </c>
      <c r="Y4960" s="0" t="s">
        <v>243</v>
      </c>
      <c r="AV4960" s="68"/>
      <c r="AW4960" s="68"/>
      <c r="AY4960" s="27"/>
      <c r="BD4960" s="68">
        <v>46054.1666666667</v>
      </c>
      <c r="BE4960" s="68">
        <v>46082.1666666667</v>
      </c>
      <c r="BF4960" s="0" t="b">
        <v>0</v>
      </c>
      <c r="BG4960" s="0" t="b">
        <v>0</v>
      </c>
      <c r="BH4960" s="0">
        <v>73</v>
      </c>
      <c r="BI4960" s="0">
        <v>73</v>
      </c>
      <c r="BJ4960" s="0" t="s">
        <v>135</v>
      </c>
    </row>
    <row r="4961">
      <c r="A4961" s="0" t="s">
        <v>5228</v>
      </c>
      <c r="B4961" s="0" t="s">
        <v>5</v>
      </c>
      <c r="C4961" s="0" t="s">
        <v>652</v>
      </c>
      <c r="D4961" s="0" t="s">
        <v>135</v>
      </c>
      <c r="E4961" s="0" t="s">
        <v>1515</v>
      </c>
      <c r="F4961" s="0" t="s">
        <v>12</v>
      </c>
      <c r="G4961" s="0" t="s">
        <v>8</v>
      </c>
      <c r="H4961" s="0">
        <v>-15</v>
      </c>
      <c r="I4961" s="0">
        <v>0</v>
      </c>
      <c r="J4961" s="0">
        <v>0</v>
      </c>
      <c r="K4961" s="0">
        <v>0</v>
      </c>
      <c r="L4961" s="0">
        <v>0</v>
      </c>
      <c r="M4961" s="0">
        <v>0</v>
      </c>
      <c r="N4961" s="0">
        <v>0</v>
      </c>
      <c r="O4961" s="0">
        <v>0</v>
      </c>
      <c r="P4961" s="0">
        <v>0</v>
      </c>
      <c r="R4961" s="0" t="b">
        <v>0</v>
      </c>
      <c r="S4961" s="0" t="b">
        <v>0</v>
      </c>
      <c r="T4961" s="68">
        <v>46069.7784027778</v>
      </c>
      <c r="U4961" s="68">
        <v>0</v>
      </c>
      <c r="V4961" s="68">
        <v>46070.389224537</v>
      </c>
      <c r="W4961" s="0">
        <f>IF(IF(B4961="none",1,IF(B4961="Trialer",1,0))+IF(C4961="Customer",1,IF(C4961="Lost",1,0))=2,1,0)</f>
      </c>
      <c r="X4961" s="0" t="s">
        <v>145</v>
      </c>
      <c r="Y4961" s="0" t="s">
        <v>1516</v>
      </c>
      <c r="AV4961" s="68"/>
      <c r="AW4961" s="68"/>
      <c r="AY4961" s="27"/>
      <c r="BD4961" s="68">
        <v>46054.1666666667</v>
      </c>
      <c r="BE4961" s="68">
        <v>46082.1666666667</v>
      </c>
      <c r="BF4961" s="0" t="b">
        <v>1</v>
      </c>
      <c r="BG4961" s="0" t="b">
        <v>0</v>
      </c>
      <c r="BH4961" s="0">
        <v>59</v>
      </c>
      <c r="BI4961" s="0">
        <v>0</v>
      </c>
      <c r="BJ4961" s="0" t="s">
        <v>135</v>
      </c>
    </row>
    <row r="4962">
      <c r="A4962" s="0" t="s">
        <v>5229</v>
      </c>
      <c r="B4962" s="0" t="s">
        <v>5</v>
      </c>
      <c r="C4962" s="0" t="s">
        <v>652</v>
      </c>
      <c r="D4962" s="0" t="s">
        <v>135</v>
      </c>
      <c r="E4962" s="0" t="s">
        <v>1515</v>
      </c>
      <c r="F4962" s="0" t="s">
        <v>12</v>
      </c>
      <c r="G4962" s="0" t="s">
        <v>8</v>
      </c>
      <c r="H4962" s="0">
        <v>-15</v>
      </c>
      <c r="I4962" s="0">
        <v>0</v>
      </c>
      <c r="J4962" s="0">
        <v>0</v>
      </c>
      <c r="K4962" s="0">
        <v>0</v>
      </c>
      <c r="L4962" s="0">
        <v>0</v>
      </c>
      <c r="M4962" s="0">
        <v>0</v>
      </c>
      <c r="N4962" s="0">
        <v>0</v>
      </c>
      <c r="O4962" s="0">
        <v>0</v>
      </c>
      <c r="P4962" s="0">
        <v>0</v>
      </c>
      <c r="R4962" s="0" t="b">
        <v>0</v>
      </c>
      <c r="S4962" s="0" t="b">
        <v>0</v>
      </c>
      <c r="T4962" s="68">
        <v>46069.9244328704</v>
      </c>
      <c r="U4962" s="68">
        <v>0</v>
      </c>
      <c r="V4962" s="68">
        <v>46070.3947569444</v>
      </c>
      <c r="W4962" s="0">
        <f>IF(IF(B4962="none",1,IF(B4962="Trialer",1,0))+IF(C4962="Customer",1,IF(C4962="Lost",1,0))=2,1,0)</f>
      </c>
      <c r="X4962" s="0" t="s">
        <v>136</v>
      </c>
      <c r="Y4962" s="0" t="s">
        <v>1516</v>
      </c>
      <c r="AV4962" s="68"/>
      <c r="AW4962" s="68"/>
      <c r="AY4962" s="27"/>
      <c r="BD4962" s="68">
        <v>46054.1666666667</v>
      </c>
      <c r="BE4962" s="68">
        <v>46082.1666666667</v>
      </c>
      <c r="BF4962" s="0" t="b">
        <v>1</v>
      </c>
      <c r="BG4962" s="0" t="b">
        <v>1</v>
      </c>
      <c r="BH4962" s="0">
        <v>59</v>
      </c>
      <c r="BI4962" s="0">
        <v>0</v>
      </c>
      <c r="BJ4962" s="0" t="s">
        <v>135</v>
      </c>
    </row>
    <row r="4963">
      <c r="A4963" s="0" t="s">
        <v>5230</v>
      </c>
      <c r="B4963" s="0" t="s">
        <v>5</v>
      </c>
      <c r="C4963" s="0" t="s">
        <v>652</v>
      </c>
      <c r="D4963" s="0" t="s">
        <v>135</v>
      </c>
      <c r="E4963" s="0" t="s">
        <v>3</v>
      </c>
      <c r="F4963" s="0" t="s">
        <v>12</v>
      </c>
      <c r="G4963" s="0" t="s">
        <v>8</v>
      </c>
      <c r="H4963" s="0">
        <v>-16</v>
      </c>
      <c r="I4963" s="0">
        <v>0</v>
      </c>
      <c r="J4963" s="0">
        <v>0</v>
      </c>
      <c r="K4963" s="0">
        <v>0</v>
      </c>
      <c r="L4963" s="0">
        <v>0</v>
      </c>
      <c r="M4963" s="0">
        <v>0</v>
      </c>
      <c r="N4963" s="0">
        <v>0</v>
      </c>
      <c r="O4963" s="0">
        <v>0</v>
      </c>
      <c r="P4963" s="0">
        <v>0</v>
      </c>
      <c r="R4963" s="0" t="b">
        <v>0</v>
      </c>
      <c r="S4963" s="0" t="b">
        <v>1</v>
      </c>
      <c r="T4963" s="68">
        <v>46069.9795949074</v>
      </c>
      <c r="U4963" s="68">
        <v>46083.2916666667</v>
      </c>
      <c r="V4963" s="68">
        <v>0</v>
      </c>
      <c r="W4963" s="0">
        <f>IF(IF(B4963="none",1,IF(B4963="Trialer",1,0))+IF(C4963="Customer",1,IF(C4963="Lost",1,0))=2,1,0)</f>
      </c>
      <c r="X4963" s="0" t="s">
        <v>1461</v>
      </c>
      <c r="Y4963" s="0" t="s">
        <v>243</v>
      </c>
      <c r="AV4963" s="68"/>
      <c r="AW4963" s="68"/>
      <c r="AY4963" s="27"/>
      <c r="BD4963" s="68">
        <v>46054.1666666667</v>
      </c>
      <c r="BE4963" s="68">
        <v>46082.1666666667</v>
      </c>
      <c r="BF4963" s="0" t="b">
        <v>0</v>
      </c>
      <c r="BG4963" s="0" t="b">
        <v>0</v>
      </c>
      <c r="BH4963" s="0">
        <v>59</v>
      </c>
      <c r="BI4963" s="0">
        <v>59</v>
      </c>
      <c r="BJ4963" s="0" t="s">
        <v>135</v>
      </c>
    </row>
    <row r="4964">
      <c r="A4964" s="0" t="s">
        <v>5231</v>
      </c>
      <c r="B4964" s="0" t="s">
        <v>5</v>
      </c>
      <c r="C4964" s="0" t="s">
        <v>652</v>
      </c>
      <c r="D4964" s="0" t="s">
        <v>135</v>
      </c>
      <c r="E4964" s="0" t="s">
        <v>2</v>
      </c>
      <c r="F4964" s="0" t="s">
        <v>12</v>
      </c>
      <c r="G4964" s="0" t="s">
        <v>8</v>
      </c>
      <c r="H4964" s="0">
        <v>-16</v>
      </c>
      <c r="I4964" s="0">
        <v>0</v>
      </c>
      <c r="J4964" s="0">
        <v>0</v>
      </c>
      <c r="K4964" s="0">
        <v>0</v>
      </c>
      <c r="L4964" s="0">
        <v>0</v>
      </c>
      <c r="M4964" s="0">
        <v>0</v>
      </c>
      <c r="N4964" s="0">
        <v>0</v>
      </c>
      <c r="O4964" s="0">
        <v>0</v>
      </c>
      <c r="P4964" s="0">
        <v>0</v>
      </c>
      <c r="R4964" s="0" t="b">
        <v>0</v>
      </c>
      <c r="S4964" s="0" t="b">
        <v>1</v>
      </c>
      <c r="T4964" s="68">
        <v>46070.0428819444</v>
      </c>
      <c r="U4964" s="68">
        <v>0</v>
      </c>
      <c r="V4964" s="68">
        <v>0</v>
      </c>
      <c r="W4964" s="0">
        <f>IF(IF(B4964="none",1,IF(B4964="Trialer",1,0))+IF(C4964="Customer",1,IF(C4964="Lost",1,0))=2,1,0)</f>
      </c>
      <c r="X4964" s="0" t="s">
        <v>148</v>
      </c>
      <c r="Y4964" s="0" t="s">
        <v>499</v>
      </c>
      <c r="AV4964" s="68"/>
      <c r="AW4964" s="68"/>
      <c r="AY4964" s="27"/>
      <c r="BD4964" s="68">
        <v>46054.1666666667</v>
      </c>
      <c r="BE4964" s="68">
        <v>46082.1666666667</v>
      </c>
      <c r="BF4964" s="0" t="b">
        <v>0</v>
      </c>
      <c r="BG4964" s="0" t="b">
        <v>0</v>
      </c>
      <c r="BH4964" s="0">
        <v>59</v>
      </c>
      <c r="BI4964" s="0">
        <v>59</v>
      </c>
      <c r="BJ4964" s="0" t="s">
        <v>135</v>
      </c>
    </row>
    <row r="4965">
      <c r="A4965" s="0" t="s">
        <v>5232</v>
      </c>
      <c r="B4965" s="0" t="s">
        <v>5</v>
      </c>
      <c r="C4965" s="0" t="s">
        <v>652</v>
      </c>
      <c r="D4965" s="0" t="s">
        <v>135</v>
      </c>
      <c r="E4965" s="0" t="s">
        <v>2</v>
      </c>
      <c r="F4965" s="0" t="s">
        <v>12</v>
      </c>
      <c r="G4965" s="0" t="s">
        <v>8</v>
      </c>
      <c r="H4965" s="0">
        <v>-16</v>
      </c>
      <c r="I4965" s="0">
        <v>0</v>
      </c>
      <c r="J4965" s="0">
        <v>0</v>
      </c>
      <c r="K4965" s="0">
        <v>0</v>
      </c>
      <c r="L4965" s="0">
        <v>0</v>
      </c>
      <c r="M4965" s="0">
        <v>0</v>
      </c>
      <c r="N4965" s="0">
        <v>0</v>
      </c>
      <c r="O4965" s="0">
        <v>0</v>
      </c>
      <c r="P4965" s="0">
        <v>0</v>
      </c>
      <c r="R4965" s="0" t="b">
        <v>0</v>
      </c>
      <c r="S4965" s="0" t="b">
        <v>1</v>
      </c>
      <c r="T4965" s="68">
        <v>46070.1053935185</v>
      </c>
      <c r="U4965" s="68">
        <v>0</v>
      </c>
      <c r="V4965" s="68">
        <v>0</v>
      </c>
      <c r="W4965" s="0">
        <f>IF(IF(B4965="none",1,IF(B4965="Trialer",1,0))+IF(C4965="Customer",1,IF(C4965="Lost",1,0))=2,1,0)</f>
      </c>
      <c r="X4965" s="0" t="s">
        <v>145</v>
      </c>
      <c r="Y4965" s="0" t="s">
        <v>499</v>
      </c>
      <c r="AV4965" s="68"/>
      <c r="AW4965" s="68"/>
      <c r="AY4965" s="27"/>
      <c r="BD4965" s="68">
        <v>46054.1666666667</v>
      </c>
      <c r="BE4965" s="68">
        <v>46082.1666666667</v>
      </c>
      <c r="BF4965" s="0" t="b">
        <v>0</v>
      </c>
      <c r="BG4965" s="0" t="b">
        <v>0</v>
      </c>
      <c r="BH4965" s="0">
        <v>71</v>
      </c>
      <c r="BI4965" s="0">
        <v>71</v>
      </c>
      <c r="BJ4965" s="0" t="s">
        <v>135</v>
      </c>
    </row>
    <row r="4966">
      <c r="A4966" s="0" t="s">
        <v>5233</v>
      </c>
      <c r="B4966" s="0" t="s">
        <v>5</v>
      </c>
      <c r="C4966" s="0" t="s">
        <v>652</v>
      </c>
      <c r="D4966" s="0" t="s">
        <v>135</v>
      </c>
      <c r="E4966" s="0" t="s">
        <v>3</v>
      </c>
      <c r="F4966" s="0" t="s">
        <v>12</v>
      </c>
      <c r="G4966" s="0" t="s">
        <v>8</v>
      </c>
      <c r="H4966" s="0">
        <v>-16</v>
      </c>
      <c r="I4966" s="0">
        <v>0</v>
      </c>
      <c r="J4966" s="0">
        <v>0</v>
      </c>
      <c r="K4966" s="0">
        <v>0</v>
      </c>
      <c r="L4966" s="0">
        <v>0</v>
      </c>
      <c r="M4966" s="0">
        <v>0</v>
      </c>
      <c r="N4966" s="0">
        <v>0</v>
      </c>
      <c r="O4966" s="0">
        <v>0</v>
      </c>
      <c r="P4966" s="0">
        <v>0</v>
      </c>
      <c r="R4966" s="0" t="b">
        <v>0</v>
      </c>
      <c r="S4966" s="0" t="b">
        <v>0</v>
      </c>
      <c r="T4966" s="68">
        <v>46070.1875694444</v>
      </c>
      <c r="U4966" s="68">
        <v>0</v>
      </c>
      <c r="V4966" s="68">
        <v>46071.3424768519</v>
      </c>
      <c r="W4966" s="0">
        <f>IF(IF(B4966="none",1,IF(B4966="Trialer",1,0))+IF(C4966="Customer",1,IF(C4966="Lost",1,0))=2,1,0)</f>
      </c>
      <c r="X4966" s="0" t="s">
        <v>148</v>
      </c>
      <c r="Y4966" s="0" t="s">
        <v>5234</v>
      </c>
      <c r="AV4966" s="68"/>
      <c r="AW4966" s="68"/>
      <c r="AY4966" s="27"/>
      <c r="BD4966" s="68">
        <v>46054.1666666667</v>
      </c>
      <c r="BE4966" s="68">
        <v>46082.1666666667</v>
      </c>
      <c r="BF4966" s="0" t="b">
        <v>0</v>
      </c>
      <c r="BG4966" s="0" t="b">
        <v>0</v>
      </c>
      <c r="BH4966" s="0">
        <v>73</v>
      </c>
      <c r="BI4966" s="0">
        <v>73</v>
      </c>
      <c r="BJ4966" s="0" t="s">
        <v>135</v>
      </c>
    </row>
    <row r="4967">
      <c r="A4967" s="0" t="s">
        <v>5235</v>
      </c>
      <c r="B4967" s="0" t="s">
        <v>5</v>
      </c>
      <c r="C4967" s="0" t="s">
        <v>652</v>
      </c>
      <c r="D4967" s="0" t="s">
        <v>135</v>
      </c>
      <c r="E4967" s="0" t="s">
        <v>3</v>
      </c>
      <c r="F4967" s="0" t="s">
        <v>12</v>
      </c>
      <c r="G4967" s="0" t="s">
        <v>8</v>
      </c>
      <c r="H4967" s="0">
        <v>-16</v>
      </c>
      <c r="I4967" s="0">
        <v>0</v>
      </c>
      <c r="J4967" s="0">
        <v>0</v>
      </c>
      <c r="K4967" s="0">
        <v>0</v>
      </c>
      <c r="L4967" s="0">
        <v>0</v>
      </c>
      <c r="M4967" s="0">
        <v>0</v>
      </c>
      <c r="N4967" s="0">
        <v>0</v>
      </c>
      <c r="O4967" s="0">
        <v>0</v>
      </c>
      <c r="P4967" s="0">
        <v>0</v>
      </c>
      <c r="R4967" s="0" t="b">
        <v>0</v>
      </c>
      <c r="S4967" s="0" t="b">
        <v>1</v>
      </c>
      <c r="T4967" s="68">
        <v>46070.2392476852</v>
      </c>
      <c r="U4967" s="68">
        <v>0</v>
      </c>
      <c r="V4967" s="68">
        <v>0</v>
      </c>
      <c r="W4967" s="0">
        <f>IF(IF(B4967="none",1,IF(B4967="Trialer",1,0))+IF(C4967="Customer",1,IF(C4967="Lost",1,0))=2,1,0)</f>
      </c>
      <c r="X4967" s="0" t="s">
        <v>148</v>
      </c>
      <c r="Y4967" s="0" t="s">
        <v>243</v>
      </c>
      <c r="AV4967" s="68"/>
      <c r="AW4967" s="68"/>
      <c r="AY4967" s="27"/>
      <c r="BD4967" s="68">
        <v>46054.1666666667</v>
      </c>
      <c r="BE4967" s="68">
        <v>46082.1666666667</v>
      </c>
      <c r="BF4967" s="0" t="b">
        <v>0</v>
      </c>
      <c r="BG4967" s="0" t="b">
        <v>0</v>
      </c>
      <c r="BH4967" s="0">
        <v>71</v>
      </c>
      <c r="BI4967" s="0">
        <v>71</v>
      </c>
      <c r="BJ4967" s="0" t="s">
        <v>135</v>
      </c>
    </row>
    <row r="4968">
      <c r="A4968" s="0" t="s">
        <v>5236</v>
      </c>
      <c r="B4968" s="0" t="s">
        <v>5</v>
      </c>
      <c r="C4968" s="0" t="s">
        <v>652</v>
      </c>
      <c r="D4968" s="0" t="s">
        <v>135</v>
      </c>
      <c r="E4968" s="0" t="s">
        <v>3</v>
      </c>
      <c r="F4968" s="0" t="s">
        <v>12</v>
      </c>
      <c r="G4968" s="0" t="s">
        <v>8</v>
      </c>
      <c r="H4968" s="0">
        <v>-16</v>
      </c>
      <c r="I4968" s="0">
        <v>0</v>
      </c>
      <c r="J4968" s="0">
        <v>0</v>
      </c>
      <c r="K4968" s="0">
        <v>0</v>
      </c>
      <c r="L4968" s="0">
        <v>0</v>
      </c>
      <c r="M4968" s="0">
        <v>0</v>
      </c>
      <c r="N4968" s="0">
        <v>0</v>
      </c>
      <c r="O4968" s="0">
        <v>0</v>
      </c>
      <c r="P4968" s="0">
        <v>0</v>
      </c>
      <c r="R4968" s="0" t="b">
        <v>0</v>
      </c>
      <c r="S4968" s="0" t="b">
        <v>1</v>
      </c>
      <c r="T4968" s="68">
        <v>46070.3316550926</v>
      </c>
      <c r="U4968" s="68">
        <v>0</v>
      </c>
      <c r="V4968" s="68">
        <v>0</v>
      </c>
      <c r="W4968" s="0">
        <f>IF(IF(B4968="none",1,IF(B4968="Trialer",1,0))+IF(C4968="Customer",1,IF(C4968="Lost",1,0))=2,1,0)</f>
      </c>
      <c r="X4968" s="0" t="s">
        <v>145</v>
      </c>
      <c r="Y4968" s="0" t="s">
        <v>243</v>
      </c>
      <c r="AV4968" s="68"/>
      <c r="AW4968" s="68"/>
      <c r="AY4968" s="27"/>
      <c r="BD4968" s="68">
        <v>46054.1666666667</v>
      </c>
      <c r="BE4968" s="68">
        <v>46082.1666666667</v>
      </c>
      <c r="BF4968" s="0" t="b">
        <v>0</v>
      </c>
      <c r="BG4968" s="0" t="b">
        <v>0</v>
      </c>
      <c r="BH4968" s="0">
        <v>85</v>
      </c>
      <c r="BI4968" s="0">
        <v>85</v>
      </c>
      <c r="BJ4968" s="0" t="s">
        <v>135</v>
      </c>
    </row>
    <row r="4969">
      <c r="A4969" s="0" t="s">
        <v>5237</v>
      </c>
      <c r="B4969" s="0" t="s">
        <v>5</v>
      </c>
      <c r="C4969" s="0" t="s">
        <v>652</v>
      </c>
      <c r="D4969" s="0" t="s">
        <v>135</v>
      </c>
      <c r="E4969" s="0" t="s">
        <v>1515</v>
      </c>
      <c r="F4969" s="0" t="s">
        <v>12</v>
      </c>
      <c r="G4969" s="0" t="s">
        <v>8</v>
      </c>
      <c r="H4969" s="0">
        <v>-16</v>
      </c>
      <c r="I4969" s="0">
        <v>0</v>
      </c>
      <c r="J4969" s="0">
        <v>0</v>
      </c>
      <c r="K4969" s="0">
        <v>0</v>
      </c>
      <c r="L4969" s="0">
        <v>0</v>
      </c>
      <c r="M4969" s="0">
        <v>0</v>
      </c>
      <c r="N4969" s="0">
        <v>0</v>
      </c>
      <c r="O4969" s="0">
        <v>0</v>
      </c>
      <c r="P4969" s="0">
        <v>0</v>
      </c>
      <c r="R4969" s="0" t="b">
        <v>0</v>
      </c>
      <c r="S4969" s="0" t="b">
        <v>0</v>
      </c>
      <c r="T4969" s="68">
        <v>46070.3751967593</v>
      </c>
      <c r="U4969" s="68">
        <v>0</v>
      </c>
      <c r="V4969" s="68">
        <v>46070.390162037</v>
      </c>
      <c r="W4969" s="0">
        <f>IF(IF(B4969="none",1,IF(B4969="Trialer",1,0))+IF(C4969="Customer",1,IF(C4969="Lost",1,0))=2,1,0)</f>
      </c>
      <c r="X4969" s="0" t="s">
        <v>136</v>
      </c>
      <c r="Y4969" s="0" t="s">
        <v>1516</v>
      </c>
      <c r="AV4969" s="68"/>
      <c r="AW4969" s="68"/>
      <c r="AY4969" s="27"/>
      <c r="BD4969" s="68">
        <v>46054.1666666667</v>
      </c>
      <c r="BE4969" s="68">
        <v>46082.1666666667</v>
      </c>
      <c r="BF4969" s="0" t="b">
        <v>0</v>
      </c>
      <c r="BG4969" s="0" t="b">
        <v>0</v>
      </c>
      <c r="BH4969" s="0">
        <v>0</v>
      </c>
      <c r="BI4969" s="0">
        <v>0</v>
      </c>
      <c r="BJ4969" s="0" t="s">
        <v>135</v>
      </c>
    </row>
    <row r="4970">
      <c r="A4970" s="0" t="s">
        <v>5238</v>
      </c>
      <c r="B4970" s="0" t="s">
        <v>5</v>
      </c>
      <c r="C4970" s="0" t="s">
        <v>652</v>
      </c>
      <c r="D4970" s="0" t="s">
        <v>135</v>
      </c>
      <c r="E4970" s="0" t="s">
        <v>4</v>
      </c>
      <c r="F4970" s="0" t="s">
        <v>12</v>
      </c>
      <c r="G4970" s="0" t="s">
        <v>8</v>
      </c>
      <c r="H4970" s="0">
        <v>-16</v>
      </c>
      <c r="I4970" s="0">
        <v>0</v>
      </c>
      <c r="J4970" s="0">
        <v>0</v>
      </c>
      <c r="K4970" s="0">
        <v>0</v>
      </c>
      <c r="L4970" s="0">
        <v>0</v>
      </c>
      <c r="M4970" s="0">
        <v>0</v>
      </c>
      <c r="N4970" s="0">
        <v>0</v>
      </c>
      <c r="O4970" s="0">
        <v>0</v>
      </c>
      <c r="P4970" s="0">
        <v>0</v>
      </c>
      <c r="R4970" s="0" t="b">
        <v>0</v>
      </c>
      <c r="S4970" s="0" t="b">
        <v>1</v>
      </c>
      <c r="T4970" s="68">
        <v>46070.3754282407</v>
      </c>
      <c r="U4970" s="68">
        <v>0</v>
      </c>
      <c r="V4970" s="68">
        <v>0</v>
      </c>
      <c r="W4970" s="0">
        <f>IF(IF(B4970="none",1,IF(B4970="Trialer",1,0))+IF(C4970="Customer",1,IF(C4970="Lost",1,0))=2,1,0)</f>
      </c>
      <c r="X4970" s="0" t="s">
        <v>145</v>
      </c>
      <c r="Y4970" s="0" t="s">
        <v>1772</v>
      </c>
      <c r="AV4970" s="68"/>
      <c r="AW4970" s="68"/>
      <c r="AY4970" s="27"/>
      <c r="BD4970" s="68">
        <v>46054.1666666667</v>
      </c>
      <c r="BE4970" s="68">
        <v>46082.1666666667</v>
      </c>
      <c r="BF4970" s="0" t="b">
        <v>0</v>
      </c>
      <c r="BG4970" s="0" t="b">
        <v>0</v>
      </c>
      <c r="BH4970" s="0">
        <v>71</v>
      </c>
      <c r="BI4970" s="0">
        <v>71</v>
      </c>
      <c r="BJ4970" s="0" t="s">
        <v>135</v>
      </c>
    </row>
    <row r="4971">
      <c r="A4971" s="0" t="s">
        <v>5239</v>
      </c>
      <c r="B4971" s="0" t="s">
        <v>5</v>
      </c>
      <c r="C4971" s="0" t="s">
        <v>652</v>
      </c>
      <c r="D4971" s="0" t="s">
        <v>135</v>
      </c>
      <c r="E4971" s="0" t="s">
        <v>2</v>
      </c>
      <c r="F4971" s="0" t="s">
        <v>12</v>
      </c>
      <c r="G4971" s="0" t="s">
        <v>8</v>
      </c>
      <c r="H4971" s="0">
        <v>-16</v>
      </c>
      <c r="I4971" s="0">
        <v>0</v>
      </c>
      <c r="J4971" s="0">
        <v>0</v>
      </c>
      <c r="K4971" s="0">
        <v>0</v>
      </c>
      <c r="L4971" s="0">
        <v>0</v>
      </c>
      <c r="M4971" s="0">
        <v>0</v>
      </c>
      <c r="N4971" s="0">
        <v>0</v>
      </c>
      <c r="O4971" s="0">
        <v>0</v>
      </c>
      <c r="P4971" s="0">
        <v>0</v>
      </c>
      <c r="R4971" s="0" t="b">
        <v>0</v>
      </c>
      <c r="S4971" s="0" t="b">
        <v>1</v>
      </c>
      <c r="T4971" s="68">
        <v>46070.3793055556</v>
      </c>
      <c r="U4971" s="68">
        <v>0</v>
      </c>
      <c r="V4971" s="68">
        <v>0</v>
      </c>
      <c r="W4971" s="0">
        <f>IF(IF(B4971="none",1,IF(B4971="Trialer",1,0))+IF(C4971="Customer",1,IF(C4971="Lost",1,0))=2,1,0)</f>
      </c>
      <c r="X4971" s="0" t="s">
        <v>136</v>
      </c>
      <c r="Y4971" s="0" t="s">
        <v>499</v>
      </c>
      <c r="AV4971" s="68"/>
      <c r="AW4971" s="68"/>
      <c r="AY4971" s="27"/>
      <c r="BD4971" s="68">
        <v>46054.1666666667</v>
      </c>
      <c r="BE4971" s="68">
        <v>46082.1666666667</v>
      </c>
      <c r="BF4971" s="0" t="b">
        <v>0</v>
      </c>
      <c r="BG4971" s="0" t="b">
        <v>0</v>
      </c>
      <c r="BH4971" s="0">
        <v>59</v>
      </c>
      <c r="BI4971" s="0">
        <v>59</v>
      </c>
      <c r="BJ4971" s="0" t="s">
        <v>135</v>
      </c>
    </row>
    <row r="4972">
      <c r="A4972" s="0" t="s">
        <v>5240</v>
      </c>
      <c r="B4972" s="0" t="s">
        <v>5</v>
      </c>
      <c r="C4972" s="0" t="s">
        <v>652</v>
      </c>
      <c r="D4972" s="0" t="s">
        <v>135</v>
      </c>
      <c r="E4972" s="0" t="s">
        <v>3</v>
      </c>
      <c r="F4972" s="0" t="s">
        <v>12</v>
      </c>
      <c r="G4972" s="0" t="s">
        <v>8</v>
      </c>
      <c r="H4972" s="0">
        <v>-16</v>
      </c>
      <c r="I4972" s="0">
        <v>0</v>
      </c>
      <c r="J4972" s="0">
        <v>0</v>
      </c>
      <c r="K4972" s="0">
        <v>0</v>
      </c>
      <c r="L4972" s="0">
        <v>0</v>
      </c>
      <c r="M4972" s="0">
        <v>0</v>
      </c>
      <c r="N4972" s="0">
        <v>0</v>
      </c>
      <c r="O4972" s="0">
        <v>0</v>
      </c>
      <c r="P4972" s="0">
        <v>0</v>
      </c>
      <c r="R4972" s="0" t="b">
        <v>0</v>
      </c>
      <c r="S4972" s="0" t="b">
        <v>1</v>
      </c>
      <c r="T4972" s="68">
        <v>46070.3827662037</v>
      </c>
      <c r="U4972" s="68">
        <v>0</v>
      </c>
      <c r="V4972" s="68">
        <v>0</v>
      </c>
      <c r="W4972" s="0">
        <f>IF(IF(B4972="none",1,IF(B4972="Trialer",1,0))+IF(C4972="Customer",1,IF(C4972="Lost",1,0))=2,1,0)</f>
      </c>
      <c r="X4972" s="0" t="s">
        <v>148</v>
      </c>
      <c r="Y4972" s="0" t="s">
        <v>243</v>
      </c>
      <c r="AV4972" s="68"/>
      <c r="AW4972" s="68"/>
      <c r="AY4972" s="27"/>
      <c r="BD4972" s="68">
        <v>46054.1666666667</v>
      </c>
      <c r="BE4972" s="68">
        <v>46082.1666666667</v>
      </c>
      <c r="BF4972" s="0" t="b">
        <v>0</v>
      </c>
      <c r="BG4972" s="0" t="b">
        <v>0</v>
      </c>
      <c r="BH4972" s="0">
        <v>170</v>
      </c>
      <c r="BI4972" s="0">
        <v>170</v>
      </c>
      <c r="BJ4972" s="0" t="s">
        <v>135</v>
      </c>
    </row>
    <row r="4973">
      <c r="A4973" s="0" t="s">
        <v>5241</v>
      </c>
      <c r="B4973" s="0" t="s">
        <v>5</v>
      </c>
      <c r="C4973" s="0" t="s">
        <v>652</v>
      </c>
      <c r="D4973" s="0" t="s">
        <v>135</v>
      </c>
      <c r="E4973" s="0" t="s">
        <v>2414</v>
      </c>
      <c r="F4973" s="0" t="s">
        <v>12</v>
      </c>
      <c r="G4973" s="0" t="s">
        <v>8</v>
      </c>
      <c r="H4973" s="0">
        <v>-16</v>
      </c>
      <c r="I4973" s="0">
        <v>0</v>
      </c>
      <c r="J4973" s="0">
        <v>0</v>
      </c>
      <c r="K4973" s="0">
        <v>0</v>
      </c>
      <c r="L4973" s="0">
        <v>0</v>
      </c>
      <c r="M4973" s="0">
        <v>0</v>
      </c>
      <c r="N4973" s="0">
        <v>0</v>
      </c>
      <c r="O4973" s="0">
        <v>0</v>
      </c>
      <c r="P4973" s="0">
        <v>0</v>
      </c>
      <c r="R4973" s="0" t="b">
        <v>0</v>
      </c>
      <c r="S4973" s="0" t="b">
        <v>0</v>
      </c>
      <c r="T4973" s="68">
        <v>46070.4546643519</v>
      </c>
      <c r="U4973" s="68">
        <v>0</v>
      </c>
      <c r="V4973" s="68">
        <v>46073.7021643519</v>
      </c>
      <c r="W4973" s="0">
        <f>IF(IF(B4973="none",1,IF(B4973="Trialer",1,0))+IF(C4973="Customer",1,IF(C4973="Lost",1,0))=2,1,0)</f>
      </c>
      <c r="X4973" s="0" t="s">
        <v>882</v>
      </c>
      <c r="Y4973" s="0" t="s">
        <v>1516</v>
      </c>
      <c r="AV4973" s="68"/>
      <c r="AW4973" s="68"/>
      <c r="AY4973" s="27"/>
      <c r="BD4973" s="68">
        <v>46054.1666666667</v>
      </c>
      <c r="BE4973" s="68">
        <v>46082.1666666667</v>
      </c>
      <c r="BF4973" s="0" t="b">
        <v>1</v>
      </c>
      <c r="BG4973" s="0" t="b">
        <v>0</v>
      </c>
      <c r="BH4973" s="0">
        <v>59</v>
      </c>
      <c r="BI4973" s="0">
        <v>59</v>
      </c>
      <c r="BJ4973" s="0" t="s">
        <v>135</v>
      </c>
    </row>
    <row r="4974">
      <c r="A4974" s="0" t="s">
        <v>5242</v>
      </c>
      <c r="B4974" s="0" t="s">
        <v>5</v>
      </c>
      <c r="C4974" s="0" t="s">
        <v>652</v>
      </c>
      <c r="D4974" s="0" t="s">
        <v>135</v>
      </c>
      <c r="E4974" s="0" t="s">
        <v>3</v>
      </c>
      <c r="F4974" s="0" t="s">
        <v>12</v>
      </c>
      <c r="G4974" s="0" t="s">
        <v>8</v>
      </c>
      <c r="H4974" s="0">
        <v>-16</v>
      </c>
      <c r="I4974" s="0">
        <v>0</v>
      </c>
      <c r="J4974" s="0">
        <v>0</v>
      </c>
      <c r="K4974" s="0">
        <v>0</v>
      </c>
      <c r="L4974" s="0">
        <v>0</v>
      </c>
      <c r="M4974" s="0">
        <v>0</v>
      </c>
      <c r="N4974" s="0">
        <v>0</v>
      </c>
      <c r="O4974" s="0">
        <v>0</v>
      </c>
      <c r="P4974" s="0">
        <v>0</v>
      </c>
      <c r="R4974" s="0" t="b">
        <v>0</v>
      </c>
      <c r="S4974" s="0" t="b">
        <v>1</v>
      </c>
      <c r="T4974" s="68">
        <v>46070.4651736111</v>
      </c>
      <c r="U4974" s="68">
        <v>0</v>
      </c>
      <c r="V4974" s="68">
        <v>0</v>
      </c>
      <c r="W4974" s="0">
        <f>IF(IF(B4974="none",1,IF(B4974="Trialer",1,0))+IF(C4974="Customer",1,IF(C4974="Lost",1,0))=2,1,0)</f>
      </c>
      <c r="X4974" s="0" t="s">
        <v>145</v>
      </c>
      <c r="Y4974" s="0" t="s">
        <v>243</v>
      </c>
      <c r="AV4974" s="68"/>
      <c r="AW4974" s="68"/>
      <c r="AY4974" s="27"/>
      <c r="BD4974" s="68">
        <v>46054.1666666667</v>
      </c>
      <c r="BE4974" s="68">
        <v>46082.1666666667</v>
      </c>
      <c r="BF4974" s="0" t="b">
        <v>0</v>
      </c>
      <c r="BG4974" s="0" t="b">
        <v>0</v>
      </c>
      <c r="BH4974" s="0">
        <v>59</v>
      </c>
      <c r="BI4974" s="0">
        <v>59</v>
      </c>
      <c r="BJ4974" s="0" t="s">
        <v>135</v>
      </c>
    </row>
    <row r="4975">
      <c r="A4975" s="0" t="s">
        <v>5243</v>
      </c>
      <c r="B4975" s="0" t="s">
        <v>5</v>
      </c>
      <c r="C4975" s="0" t="s">
        <v>652</v>
      </c>
      <c r="D4975" s="0" t="s">
        <v>135</v>
      </c>
      <c r="E4975" s="0" t="s">
        <v>3</v>
      </c>
      <c r="F4975" s="0" t="s">
        <v>12</v>
      </c>
      <c r="G4975" s="0" t="s">
        <v>8</v>
      </c>
      <c r="H4975" s="0">
        <v>-16</v>
      </c>
      <c r="I4975" s="0">
        <v>0</v>
      </c>
      <c r="J4975" s="0">
        <v>0</v>
      </c>
      <c r="K4975" s="0">
        <v>0</v>
      </c>
      <c r="L4975" s="0">
        <v>0</v>
      </c>
      <c r="M4975" s="0">
        <v>0</v>
      </c>
      <c r="N4975" s="0">
        <v>0</v>
      </c>
      <c r="O4975" s="0">
        <v>0</v>
      </c>
      <c r="P4975" s="0">
        <v>0</v>
      </c>
      <c r="R4975" s="0" t="b">
        <v>0</v>
      </c>
      <c r="S4975" s="0" t="b">
        <v>1</v>
      </c>
      <c r="T4975" s="68">
        <v>46070.4658912037</v>
      </c>
      <c r="U4975" s="68">
        <v>0</v>
      </c>
      <c r="V4975" s="68">
        <v>0</v>
      </c>
      <c r="W4975" s="0">
        <f>IF(IF(B4975="none",1,IF(B4975="Trialer",1,0))+IF(C4975="Customer",1,IF(C4975="Lost",1,0))=2,1,0)</f>
      </c>
      <c r="X4975" s="0" t="s">
        <v>136</v>
      </c>
      <c r="Y4975" s="0" t="s">
        <v>243</v>
      </c>
      <c r="AV4975" s="68"/>
      <c r="AW4975" s="68"/>
      <c r="AY4975" s="27"/>
      <c r="BD4975" s="68">
        <v>46054.1666666667</v>
      </c>
      <c r="BE4975" s="68">
        <v>46082.1666666667</v>
      </c>
      <c r="BF4975" s="0" t="b">
        <v>0</v>
      </c>
      <c r="BG4975" s="0" t="b">
        <v>0</v>
      </c>
      <c r="BH4975" s="0">
        <v>73</v>
      </c>
      <c r="BI4975" s="0">
        <v>73</v>
      </c>
      <c r="BJ4975" s="0" t="s">
        <v>135</v>
      </c>
    </row>
    <row r="4976">
      <c r="A4976" s="0" t="s">
        <v>5244</v>
      </c>
      <c r="B4976" s="0" t="s">
        <v>5</v>
      </c>
      <c r="C4976" s="0" t="s">
        <v>652</v>
      </c>
      <c r="D4976" s="0" t="s">
        <v>135</v>
      </c>
      <c r="E4976" s="0" t="s">
        <v>3</v>
      </c>
      <c r="F4976" s="0" t="s">
        <v>12</v>
      </c>
      <c r="G4976" s="0" t="s">
        <v>8</v>
      </c>
      <c r="H4976" s="0">
        <v>-16</v>
      </c>
      <c r="I4976" s="0">
        <v>0</v>
      </c>
      <c r="J4976" s="0">
        <v>0</v>
      </c>
      <c r="K4976" s="0">
        <v>0</v>
      </c>
      <c r="L4976" s="0">
        <v>0</v>
      </c>
      <c r="M4976" s="0">
        <v>0</v>
      </c>
      <c r="N4976" s="0">
        <v>0</v>
      </c>
      <c r="O4976" s="0">
        <v>0</v>
      </c>
      <c r="P4976" s="0">
        <v>0</v>
      </c>
      <c r="R4976" s="0" t="b">
        <v>0</v>
      </c>
      <c r="S4976" s="0" t="b">
        <v>0</v>
      </c>
      <c r="T4976" s="68">
        <v>46070.487962963</v>
      </c>
      <c r="U4976" s="68">
        <v>0</v>
      </c>
      <c r="V4976" s="68">
        <v>46070.5291782407</v>
      </c>
      <c r="W4976" s="0">
        <f>IF(IF(B4976="none",1,IF(B4976="Trialer",1,0))+IF(C4976="Customer",1,IF(C4976="Lost",1,0))=2,1,0)</f>
      </c>
      <c r="X4976" s="0" t="s">
        <v>148</v>
      </c>
      <c r="Y4976" s="0" t="s">
        <v>243</v>
      </c>
      <c r="AV4976" s="68"/>
      <c r="AW4976" s="68"/>
      <c r="AY4976" s="27"/>
      <c r="BD4976" s="68">
        <v>46054.1666666667</v>
      </c>
      <c r="BE4976" s="68">
        <v>46082.1666666667</v>
      </c>
      <c r="BF4976" s="0" t="b">
        <v>0</v>
      </c>
      <c r="BG4976" s="0" t="b">
        <v>0</v>
      </c>
      <c r="BH4976" s="0">
        <v>59</v>
      </c>
      <c r="BI4976" s="0">
        <v>0</v>
      </c>
      <c r="BJ4976" s="0" t="s">
        <v>135</v>
      </c>
    </row>
    <row r="4977">
      <c r="A4977" s="0" t="s">
        <v>5245</v>
      </c>
      <c r="B4977" s="0" t="s">
        <v>5</v>
      </c>
      <c r="C4977" s="0" t="s">
        <v>652</v>
      </c>
      <c r="D4977" s="0" t="s">
        <v>135</v>
      </c>
      <c r="E4977" s="0" t="s">
        <v>3</v>
      </c>
      <c r="F4977" s="0" t="s">
        <v>12</v>
      </c>
      <c r="G4977" s="0" t="s">
        <v>8</v>
      </c>
      <c r="H4977" s="0">
        <v>-16</v>
      </c>
      <c r="I4977" s="0">
        <v>0</v>
      </c>
      <c r="J4977" s="0">
        <v>0</v>
      </c>
      <c r="K4977" s="0">
        <v>0</v>
      </c>
      <c r="L4977" s="0">
        <v>0</v>
      </c>
      <c r="M4977" s="0">
        <v>0</v>
      </c>
      <c r="N4977" s="0">
        <v>0</v>
      </c>
      <c r="O4977" s="0">
        <v>0</v>
      </c>
      <c r="P4977" s="0">
        <v>0</v>
      </c>
      <c r="R4977" s="0" t="b">
        <v>0</v>
      </c>
      <c r="S4977" s="0" t="b">
        <v>1</v>
      </c>
      <c r="T4977" s="68">
        <v>46070.5021296296</v>
      </c>
      <c r="U4977" s="68">
        <v>0</v>
      </c>
      <c r="V4977" s="68">
        <v>0</v>
      </c>
      <c r="W4977" s="0">
        <f>IF(IF(B4977="none",1,IF(B4977="Trialer",1,0))+IF(C4977="Customer",1,IF(C4977="Lost",1,0))=2,1,0)</f>
      </c>
      <c r="X4977" s="0" t="s">
        <v>148</v>
      </c>
      <c r="Y4977" s="0" t="s">
        <v>243</v>
      </c>
      <c r="AV4977" s="68"/>
      <c r="AW4977" s="68"/>
      <c r="AY4977" s="27"/>
      <c r="BD4977" s="68">
        <v>46054.1666666667</v>
      </c>
      <c r="BE4977" s="68">
        <v>46082.1666666667</v>
      </c>
      <c r="BF4977" s="0" t="b">
        <v>0</v>
      </c>
      <c r="BG4977" s="0" t="b">
        <v>0</v>
      </c>
      <c r="BH4977" s="0">
        <v>85</v>
      </c>
      <c r="BI4977" s="0">
        <v>85</v>
      </c>
      <c r="BJ4977" s="0" t="s">
        <v>135</v>
      </c>
    </row>
    <row r="4978">
      <c r="A4978" s="0" t="s">
        <v>5246</v>
      </c>
      <c r="B4978" s="0" t="s">
        <v>5</v>
      </c>
      <c r="C4978" s="0" t="s">
        <v>652</v>
      </c>
      <c r="D4978" s="0" t="s">
        <v>135</v>
      </c>
      <c r="E4978" s="0" t="s">
        <v>3</v>
      </c>
      <c r="F4978" s="0" t="s">
        <v>12</v>
      </c>
      <c r="G4978" s="0" t="s">
        <v>8</v>
      </c>
      <c r="H4978" s="0">
        <v>-16</v>
      </c>
      <c r="I4978" s="0">
        <v>0</v>
      </c>
      <c r="J4978" s="0">
        <v>0</v>
      </c>
      <c r="K4978" s="0">
        <v>0</v>
      </c>
      <c r="L4978" s="0">
        <v>0</v>
      </c>
      <c r="M4978" s="0">
        <v>0</v>
      </c>
      <c r="N4978" s="0">
        <v>0</v>
      </c>
      <c r="O4978" s="0">
        <v>0</v>
      </c>
      <c r="P4978" s="0">
        <v>0</v>
      </c>
      <c r="R4978" s="0" t="b">
        <v>0</v>
      </c>
      <c r="S4978" s="0" t="b">
        <v>1</v>
      </c>
      <c r="T4978" s="68">
        <v>46070.5315856481</v>
      </c>
      <c r="U4978" s="68">
        <v>0</v>
      </c>
      <c r="V4978" s="68">
        <v>0</v>
      </c>
      <c r="W4978" s="0">
        <f>IF(IF(B4978="none",1,IF(B4978="Trialer",1,0))+IF(C4978="Customer",1,IF(C4978="Lost",1,0))=2,1,0)</f>
      </c>
      <c r="X4978" s="0" t="s">
        <v>136</v>
      </c>
      <c r="Y4978" s="0" t="s">
        <v>243</v>
      </c>
      <c r="AV4978" s="68"/>
      <c r="AW4978" s="68"/>
      <c r="AY4978" s="27"/>
      <c r="BD4978" s="68">
        <v>46054.1666666667</v>
      </c>
      <c r="BE4978" s="68">
        <v>46082.1666666667</v>
      </c>
      <c r="BF4978" s="0" t="b">
        <v>0</v>
      </c>
      <c r="BG4978" s="0" t="b">
        <v>0</v>
      </c>
      <c r="BH4978" s="0">
        <v>170</v>
      </c>
      <c r="BI4978" s="0">
        <v>170</v>
      </c>
      <c r="BJ4978" s="0" t="s">
        <v>135</v>
      </c>
    </row>
    <row r="4979">
      <c r="A4979" s="0" t="s">
        <v>5247</v>
      </c>
      <c r="B4979" s="0" t="s">
        <v>5</v>
      </c>
      <c r="C4979" s="0" t="s">
        <v>652</v>
      </c>
      <c r="D4979" s="0" t="s">
        <v>135</v>
      </c>
      <c r="E4979" s="0" t="s">
        <v>3</v>
      </c>
      <c r="F4979" s="0" t="s">
        <v>12</v>
      </c>
      <c r="G4979" s="0" t="s">
        <v>8</v>
      </c>
      <c r="H4979" s="0">
        <v>-16</v>
      </c>
      <c r="I4979" s="0">
        <v>0</v>
      </c>
      <c r="J4979" s="0">
        <v>0</v>
      </c>
      <c r="K4979" s="0">
        <v>0</v>
      </c>
      <c r="L4979" s="0">
        <v>0</v>
      </c>
      <c r="M4979" s="0">
        <v>0</v>
      </c>
      <c r="N4979" s="0">
        <v>0</v>
      </c>
      <c r="O4979" s="0">
        <v>0</v>
      </c>
      <c r="P4979" s="0">
        <v>0</v>
      </c>
      <c r="R4979" s="0" t="b">
        <v>0</v>
      </c>
      <c r="S4979" s="0" t="b">
        <v>1</v>
      </c>
      <c r="T4979" s="68">
        <v>46070.5397800926</v>
      </c>
      <c r="U4979" s="68">
        <v>0</v>
      </c>
      <c r="V4979" s="68">
        <v>0</v>
      </c>
      <c r="W4979" s="0">
        <f>IF(IF(B4979="none",1,IF(B4979="Trialer",1,0))+IF(C4979="Customer",1,IF(C4979="Lost",1,0))=2,1,0)</f>
      </c>
      <c r="X4979" s="0" t="s">
        <v>882</v>
      </c>
      <c r="Y4979" s="0" t="s">
        <v>243</v>
      </c>
      <c r="AV4979" s="68"/>
      <c r="AW4979" s="68"/>
      <c r="AY4979" s="27"/>
      <c r="BD4979" s="68">
        <v>46054.1666666667</v>
      </c>
      <c r="BE4979" s="68">
        <v>46082.1666666667</v>
      </c>
      <c r="BF4979" s="0" t="b">
        <v>0</v>
      </c>
      <c r="BG4979" s="0" t="b">
        <v>0</v>
      </c>
      <c r="BH4979" s="0">
        <v>73</v>
      </c>
      <c r="BI4979" s="0">
        <v>73</v>
      </c>
      <c r="BJ4979" s="0" t="s">
        <v>135</v>
      </c>
    </row>
    <row r="4980">
      <c r="A4980" s="0" t="s">
        <v>5248</v>
      </c>
      <c r="B4980" s="0" t="s">
        <v>5</v>
      </c>
      <c r="C4980" s="0" t="s">
        <v>652</v>
      </c>
      <c r="D4980" s="0" t="s">
        <v>135</v>
      </c>
      <c r="E4980" s="0" t="s">
        <v>3</v>
      </c>
      <c r="F4980" s="0" t="s">
        <v>12</v>
      </c>
      <c r="G4980" s="0" t="s">
        <v>8</v>
      </c>
      <c r="H4980" s="0">
        <v>-16</v>
      </c>
      <c r="I4980" s="0">
        <v>0</v>
      </c>
      <c r="J4980" s="0">
        <v>0</v>
      </c>
      <c r="K4980" s="0">
        <v>0</v>
      </c>
      <c r="L4980" s="0">
        <v>0</v>
      </c>
      <c r="M4980" s="0">
        <v>0</v>
      </c>
      <c r="N4980" s="0">
        <v>0</v>
      </c>
      <c r="O4980" s="0">
        <v>0</v>
      </c>
      <c r="P4980" s="0">
        <v>0</v>
      </c>
      <c r="R4980" s="0" t="b">
        <v>0</v>
      </c>
      <c r="S4980" s="0" t="b">
        <v>0</v>
      </c>
      <c r="T4980" s="68">
        <v>46070.5728356481</v>
      </c>
      <c r="U4980" s="68">
        <v>0</v>
      </c>
      <c r="V4980" s="68">
        <v>46071.8774421296</v>
      </c>
      <c r="W4980" s="0">
        <f>IF(IF(B4980="none",1,IF(B4980="Trialer",1,0))+IF(C4980="Customer",1,IF(C4980="Lost",1,0))=2,1,0)</f>
      </c>
      <c r="X4980" s="0" t="s">
        <v>145</v>
      </c>
      <c r="Y4980" s="0" t="s">
        <v>243</v>
      </c>
      <c r="AV4980" s="68"/>
      <c r="AW4980" s="68"/>
      <c r="AY4980" s="27"/>
      <c r="BD4980" s="68">
        <v>46054.1666666667</v>
      </c>
      <c r="BE4980" s="68">
        <v>46082.1666666667</v>
      </c>
      <c r="BF4980" s="0" t="b">
        <v>1</v>
      </c>
      <c r="BG4980" s="0" t="b">
        <v>0</v>
      </c>
      <c r="BH4980" s="0">
        <v>85</v>
      </c>
      <c r="BI4980" s="0">
        <v>0</v>
      </c>
      <c r="BJ4980" s="0" t="s">
        <v>135</v>
      </c>
    </row>
    <row r="4981">
      <c r="A4981" s="0" t="s">
        <v>5249</v>
      </c>
      <c r="B4981" s="0" t="s">
        <v>5</v>
      </c>
      <c r="C4981" s="0" t="s">
        <v>652</v>
      </c>
      <c r="D4981" s="0" t="s">
        <v>135</v>
      </c>
      <c r="E4981" s="0" t="s">
        <v>3</v>
      </c>
      <c r="F4981" s="0" t="s">
        <v>12</v>
      </c>
      <c r="G4981" s="0" t="s">
        <v>8</v>
      </c>
      <c r="H4981" s="0">
        <v>-16</v>
      </c>
      <c r="I4981" s="0">
        <v>0</v>
      </c>
      <c r="J4981" s="0">
        <v>0</v>
      </c>
      <c r="K4981" s="0">
        <v>0</v>
      </c>
      <c r="L4981" s="0">
        <v>0</v>
      </c>
      <c r="M4981" s="0">
        <v>0</v>
      </c>
      <c r="N4981" s="0">
        <v>0</v>
      </c>
      <c r="O4981" s="0">
        <v>0</v>
      </c>
      <c r="P4981" s="0">
        <v>0</v>
      </c>
      <c r="R4981" s="0" t="b">
        <v>0</v>
      </c>
      <c r="S4981" s="0" t="b">
        <v>1</v>
      </c>
      <c r="T4981" s="68">
        <v>46070.5784953704</v>
      </c>
      <c r="U4981" s="68">
        <v>46084.2916666667</v>
      </c>
      <c r="V4981" s="68">
        <v>0</v>
      </c>
      <c r="W4981" s="0">
        <f>IF(IF(B4981="none",1,IF(B4981="Trialer",1,0))+IF(C4981="Customer",1,IF(C4981="Lost",1,0))=2,1,0)</f>
      </c>
      <c r="X4981" s="0" t="s">
        <v>882</v>
      </c>
      <c r="Y4981" s="0" t="s">
        <v>243</v>
      </c>
      <c r="AV4981" s="68"/>
      <c r="AW4981" s="68"/>
      <c r="AY4981" s="27"/>
      <c r="BD4981" s="68">
        <v>46054.1666666667</v>
      </c>
      <c r="BE4981" s="68">
        <v>46082.1666666667</v>
      </c>
      <c r="BF4981" s="0" t="b">
        <v>0</v>
      </c>
      <c r="BG4981" s="0" t="b">
        <v>0</v>
      </c>
      <c r="BH4981" s="0">
        <v>413</v>
      </c>
      <c r="BI4981" s="0">
        <v>413</v>
      </c>
      <c r="BJ4981" s="0" t="s">
        <v>230</v>
      </c>
    </row>
    <row r="4982">
      <c r="A4982" s="0" t="s">
        <v>5250</v>
      </c>
      <c r="B4982" s="0" t="s">
        <v>5</v>
      </c>
      <c r="C4982" s="0" t="s">
        <v>652</v>
      </c>
      <c r="D4982" s="0" t="s">
        <v>135</v>
      </c>
      <c r="E4982" s="0" t="s">
        <v>3</v>
      </c>
      <c r="F4982" s="0" t="s">
        <v>12</v>
      </c>
      <c r="G4982" s="0" t="s">
        <v>8</v>
      </c>
      <c r="H4982" s="0">
        <v>-16</v>
      </c>
      <c r="I4982" s="0">
        <v>0</v>
      </c>
      <c r="J4982" s="0">
        <v>0</v>
      </c>
      <c r="K4982" s="0">
        <v>0</v>
      </c>
      <c r="L4982" s="0">
        <v>0</v>
      </c>
      <c r="M4982" s="0">
        <v>0</v>
      </c>
      <c r="N4982" s="0">
        <v>0</v>
      </c>
      <c r="O4982" s="0">
        <v>0</v>
      </c>
      <c r="P4982" s="0">
        <v>0</v>
      </c>
      <c r="R4982" s="0" t="b">
        <v>0</v>
      </c>
      <c r="S4982" s="0" t="b">
        <v>1</v>
      </c>
      <c r="T4982" s="68">
        <v>46070.5906134259</v>
      </c>
      <c r="U4982" s="68">
        <v>46084.2916666667</v>
      </c>
      <c r="V4982" s="68">
        <v>0</v>
      </c>
      <c r="W4982" s="0">
        <f>IF(IF(B4982="none",1,IF(B4982="Trialer",1,0))+IF(C4982="Customer",1,IF(C4982="Lost",1,0))=2,1,0)</f>
      </c>
      <c r="X4982" s="0" t="s">
        <v>1461</v>
      </c>
      <c r="Y4982" s="0" t="s">
        <v>243</v>
      </c>
      <c r="AV4982" s="68"/>
      <c r="AW4982" s="68"/>
      <c r="AY4982" s="27"/>
      <c r="BD4982" s="68">
        <v>46054.1666666667</v>
      </c>
      <c r="BE4982" s="68">
        <v>46082.1666666667</v>
      </c>
      <c r="BF4982" s="0" t="b">
        <v>0</v>
      </c>
      <c r="BG4982" s="0" t="b">
        <v>0</v>
      </c>
      <c r="BH4982" s="0">
        <v>177</v>
      </c>
      <c r="BI4982" s="0">
        <v>177</v>
      </c>
      <c r="BJ4982" s="0" t="s">
        <v>135</v>
      </c>
    </row>
    <row r="4983">
      <c r="A4983" s="0" t="s">
        <v>5251</v>
      </c>
      <c r="B4983" s="0" t="s">
        <v>5</v>
      </c>
      <c r="C4983" s="0" t="s">
        <v>652</v>
      </c>
      <c r="D4983" s="0" t="s">
        <v>135</v>
      </c>
      <c r="E4983" s="0" t="s">
        <v>3</v>
      </c>
      <c r="F4983" s="0" t="s">
        <v>12</v>
      </c>
      <c r="G4983" s="0" t="s">
        <v>8</v>
      </c>
      <c r="H4983" s="0">
        <v>-16</v>
      </c>
      <c r="I4983" s="0">
        <v>0</v>
      </c>
      <c r="J4983" s="0">
        <v>0</v>
      </c>
      <c r="K4983" s="0">
        <v>0</v>
      </c>
      <c r="L4983" s="0">
        <v>0</v>
      </c>
      <c r="M4983" s="0">
        <v>0</v>
      </c>
      <c r="N4983" s="0">
        <v>0</v>
      </c>
      <c r="O4983" s="0">
        <v>0</v>
      </c>
      <c r="P4983" s="0">
        <v>0</v>
      </c>
      <c r="R4983" s="0" t="b">
        <v>0</v>
      </c>
      <c r="S4983" s="0" t="b">
        <v>0</v>
      </c>
      <c r="T4983" s="68">
        <v>46070.5964814815</v>
      </c>
      <c r="U4983" s="68">
        <v>0</v>
      </c>
      <c r="V4983" s="68">
        <v>46072.5299421296</v>
      </c>
      <c r="W4983" s="0">
        <f>IF(IF(B4983="none",1,IF(B4983="Trialer",1,0))+IF(C4983="Customer",1,IF(C4983="Lost",1,0))=2,1,0)</f>
      </c>
      <c r="X4983" s="0" t="s">
        <v>145</v>
      </c>
      <c r="Y4983" s="0" t="s">
        <v>243</v>
      </c>
      <c r="AV4983" s="68"/>
      <c r="AW4983" s="68"/>
      <c r="AY4983" s="27"/>
      <c r="BD4983" s="68">
        <v>46054.1666666667</v>
      </c>
      <c r="BE4983" s="68">
        <v>46082.1666666667</v>
      </c>
      <c r="BF4983" s="0" t="b">
        <v>0</v>
      </c>
      <c r="BG4983" s="0" t="b">
        <v>0</v>
      </c>
      <c r="BH4983" s="0">
        <v>194</v>
      </c>
      <c r="BI4983" s="0">
        <v>194</v>
      </c>
      <c r="BJ4983" s="0" t="s">
        <v>135</v>
      </c>
    </row>
    <row r="4984">
      <c r="A4984" s="0" t="s">
        <v>5252</v>
      </c>
      <c r="B4984" s="0" t="s">
        <v>5</v>
      </c>
      <c r="C4984" s="0" t="s">
        <v>652</v>
      </c>
      <c r="D4984" s="0" t="s">
        <v>135</v>
      </c>
      <c r="E4984" s="0" t="s">
        <v>1515</v>
      </c>
      <c r="F4984" s="0" t="s">
        <v>12</v>
      </c>
      <c r="G4984" s="0" t="s">
        <v>8</v>
      </c>
      <c r="H4984" s="0">
        <v>-16</v>
      </c>
      <c r="I4984" s="0">
        <v>0</v>
      </c>
      <c r="J4984" s="0">
        <v>0</v>
      </c>
      <c r="K4984" s="0">
        <v>0</v>
      </c>
      <c r="L4984" s="0">
        <v>0</v>
      </c>
      <c r="M4984" s="0">
        <v>0</v>
      </c>
      <c r="N4984" s="0">
        <v>0</v>
      </c>
      <c r="O4984" s="0">
        <v>0</v>
      </c>
      <c r="P4984" s="0">
        <v>0</v>
      </c>
      <c r="R4984" s="0" t="b">
        <v>0</v>
      </c>
      <c r="S4984" s="0" t="b">
        <v>1</v>
      </c>
      <c r="T4984" s="68">
        <v>46070.612337963</v>
      </c>
      <c r="U4984" s="68">
        <v>0</v>
      </c>
      <c r="V4984" s="68">
        <v>0</v>
      </c>
      <c r="W4984" s="0">
        <f>IF(IF(B4984="none",1,IF(B4984="Trialer",1,0))+IF(C4984="Customer",1,IF(C4984="Lost",1,0))=2,1,0)</f>
      </c>
      <c r="X4984" s="0" t="s">
        <v>136</v>
      </c>
      <c r="Y4984" s="0" t="s">
        <v>1516</v>
      </c>
      <c r="AV4984" s="68"/>
      <c r="AW4984" s="68"/>
      <c r="AY4984" s="27"/>
      <c r="BD4984" s="68">
        <v>46054.1666666667</v>
      </c>
      <c r="BE4984" s="68">
        <v>46082.1666666667</v>
      </c>
      <c r="BF4984" s="0" t="b">
        <v>0</v>
      </c>
      <c r="BG4984" s="0" t="b">
        <v>0</v>
      </c>
      <c r="BH4984" s="0">
        <v>59</v>
      </c>
      <c r="BI4984" s="0">
        <v>59</v>
      </c>
      <c r="BJ4984" s="0" t="s">
        <v>135</v>
      </c>
    </row>
    <row r="4985">
      <c r="A4985" s="0" t="s">
        <v>5253</v>
      </c>
      <c r="B4985" s="0" t="s">
        <v>5</v>
      </c>
      <c r="C4985" s="0" t="s">
        <v>652</v>
      </c>
      <c r="D4985" s="0" t="s">
        <v>135</v>
      </c>
      <c r="E4985" s="0" t="s">
        <v>3</v>
      </c>
      <c r="F4985" s="0" t="s">
        <v>12</v>
      </c>
      <c r="G4985" s="0" t="s">
        <v>8</v>
      </c>
      <c r="H4985" s="0">
        <v>-16</v>
      </c>
      <c r="I4985" s="0">
        <v>0</v>
      </c>
      <c r="J4985" s="0">
        <v>0</v>
      </c>
      <c r="K4985" s="0">
        <v>0</v>
      </c>
      <c r="L4985" s="0">
        <v>0</v>
      </c>
      <c r="M4985" s="0">
        <v>0</v>
      </c>
      <c r="N4985" s="0">
        <v>0</v>
      </c>
      <c r="O4985" s="0">
        <v>0</v>
      </c>
      <c r="P4985" s="0">
        <v>0</v>
      </c>
      <c r="R4985" s="0" t="b">
        <v>0</v>
      </c>
      <c r="S4985" s="0" t="b">
        <v>0</v>
      </c>
      <c r="T4985" s="68">
        <v>46070.6475810185</v>
      </c>
      <c r="U4985" s="68">
        <v>0</v>
      </c>
      <c r="V4985" s="68">
        <v>46072.5686111111</v>
      </c>
      <c r="W4985" s="0">
        <f>IF(IF(B4985="none",1,IF(B4985="Trialer",1,0))+IF(C4985="Customer",1,IF(C4985="Lost",1,0))=2,1,0)</f>
      </c>
      <c r="X4985" s="0" t="s">
        <v>148</v>
      </c>
      <c r="Y4985" s="0" t="s">
        <v>243</v>
      </c>
      <c r="AV4985" s="68"/>
      <c r="AW4985" s="68"/>
      <c r="AY4985" s="27"/>
      <c r="BD4985" s="68">
        <v>46054.1666666667</v>
      </c>
      <c r="BE4985" s="68">
        <v>46082.1666666667</v>
      </c>
      <c r="BF4985" s="0" t="b">
        <v>0</v>
      </c>
      <c r="BG4985" s="0" t="b">
        <v>0</v>
      </c>
      <c r="BH4985" s="0">
        <v>59</v>
      </c>
      <c r="BI4985" s="0">
        <v>59</v>
      </c>
      <c r="BJ4985" s="0" t="s">
        <v>135</v>
      </c>
    </row>
    <row r="4986">
      <c r="A4986" s="0" t="s">
        <v>5254</v>
      </c>
      <c r="B4986" s="0" t="s">
        <v>5</v>
      </c>
      <c r="C4986" s="0" t="s">
        <v>652</v>
      </c>
      <c r="D4986" s="0" t="s">
        <v>135</v>
      </c>
      <c r="E4986" s="0" t="s">
        <v>3</v>
      </c>
      <c r="F4986" s="0" t="s">
        <v>12</v>
      </c>
      <c r="G4986" s="0" t="s">
        <v>8</v>
      </c>
      <c r="H4986" s="0">
        <v>-16</v>
      </c>
      <c r="I4986" s="0">
        <v>0</v>
      </c>
      <c r="J4986" s="0">
        <v>0</v>
      </c>
      <c r="K4986" s="0">
        <v>0</v>
      </c>
      <c r="L4986" s="0">
        <v>0</v>
      </c>
      <c r="M4986" s="0">
        <v>0</v>
      </c>
      <c r="N4986" s="0">
        <v>0</v>
      </c>
      <c r="O4986" s="0">
        <v>0</v>
      </c>
      <c r="P4986" s="0">
        <v>0</v>
      </c>
      <c r="R4986" s="0" t="b">
        <v>0</v>
      </c>
      <c r="S4986" s="0" t="b">
        <v>1</v>
      </c>
      <c r="T4986" s="68">
        <v>46070.6481712963</v>
      </c>
      <c r="U4986" s="68">
        <v>0</v>
      </c>
      <c r="V4986" s="68">
        <v>0</v>
      </c>
      <c r="W4986" s="0">
        <f>IF(IF(B4986="none",1,IF(B4986="Trialer",1,0))+IF(C4986="Customer",1,IF(C4986="Lost",1,0))=2,1,0)</f>
      </c>
      <c r="X4986" s="0" t="s">
        <v>136</v>
      </c>
      <c r="Y4986" s="0" t="s">
        <v>243</v>
      </c>
      <c r="AV4986" s="68"/>
      <c r="AW4986" s="68"/>
      <c r="AY4986" s="27"/>
      <c r="BD4986" s="68">
        <v>46054.1666666667</v>
      </c>
      <c r="BE4986" s="68">
        <v>46082.1666666667</v>
      </c>
      <c r="BF4986" s="0" t="b">
        <v>0</v>
      </c>
      <c r="BG4986" s="0" t="b">
        <v>0</v>
      </c>
      <c r="BH4986" s="0">
        <v>136</v>
      </c>
      <c r="BI4986" s="0">
        <v>136</v>
      </c>
      <c r="BJ4986" s="0" t="s">
        <v>135</v>
      </c>
    </row>
    <row r="4987">
      <c r="A4987" s="0" t="s">
        <v>5255</v>
      </c>
      <c r="B4987" s="0" t="s">
        <v>5</v>
      </c>
      <c r="C4987" s="0" t="s">
        <v>652</v>
      </c>
      <c r="D4987" s="0" t="s">
        <v>135</v>
      </c>
      <c r="E4987" s="0" t="s">
        <v>3</v>
      </c>
      <c r="F4987" s="0" t="s">
        <v>12</v>
      </c>
      <c r="G4987" s="0" t="s">
        <v>8</v>
      </c>
      <c r="H4987" s="0">
        <v>-16</v>
      </c>
      <c r="I4987" s="0">
        <v>0</v>
      </c>
      <c r="J4987" s="0">
        <v>0</v>
      </c>
      <c r="K4987" s="0">
        <v>0</v>
      </c>
      <c r="L4987" s="0">
        <v>0</v>
      </c>
      <c r="M4987" s="0">
        <v>0</v>
      </c>
      <c r="N4987" s="0">
        <v>0</v>
      </c>
      <c r="O4987" s="0">
        <v>0</v>
      </c>
      <c r="P4987" s="0">
        <v>0</v>
      </c>
      <c r="R4987" s="0" t="b">
        <v>0</v>
      </c>
      <c r="S4987" s="0" t="b">
        <v>1</v>
      </c>
      <c r="T4987" s="68">
        <v>46070.6897106481</v>
      </c>
      <c r="U4987" s="68">
        <v>0</v>
      </c>
      <c r="V4987" s="68">
        <v>0</v>
      </c>
      <c r="W4987" s="0">
        <f>IF(IF(B4987="none",1,IF(B4987="Trialer",1,0))+IF(C4987="Customer",1,IF(C4987="Lost",1,0))=2,1,0)</f>
      </c>
      <c r="X4987" s="0" t="s">
        <v>136</v>
      </c>
      <c r="Y4987" s="0" t="s">
        <v>243</v>
      </c>
      <c r="AV4987" s="68"/>
      <c r="AW4987" s="68"/>
      <c r="AY4987" s="27"/>
      <c r="BD4987" s="68">
        <v>46054.1666666667</v>
      </c>
      <c r="BE4987" s="68">
        <v>46082.1666666667</v>
      </c>
      <c r="BF4987" s="0" t="b">
        <v>0</v>
      </c>
      <c r="BG4987" s="0" t="b">
        <v>0</v>
      </c>
      <c r="BH4987" s="0">
        <v>59</v>
      </c>
      <c r="BI4987" s="0">
        <v>59</v>
      </c>
      <c r="BJ4987" s="0" t="s">
        <v>135</v>
      </c>
    </row>
    <row r="4988">
      <c r="A4988" s="0" t="s">
        <v>5256</v>
      </c>
      <c r="B4988" s="0" t="s">
        <v>5</v>
      </c>
      <c r="C4988" s="0" t="s">
        <v>652</v>
      </c>
      <c r="D4988" s="0" t="s">
        <v>135</v>
      </c>
      <c r="E4988" s="0" t="s">
        <v>3</v>
      </c>
      <c r="F4988" s="0" t="s">
        <v>12</v>
      </c>
      <c r="G4988" s="0" t="s">
        <v>8</v>
      </c>
      <c r="H4988" s="0">
        <v>-16</v>
      </c>
      <c r="I4988" s="0">
        <v>0</v>
      </c>
      <c r="J4988" s="0">
        <v>0</v>
      </c>
      <c r="K4988" s="0">
        <v>0</v>
      </c>
      <c r="L4988" s="0">
        <v>0</v>
      </c>
      <c r="M4988" s="0">
        <v>0</v>
      </c>
      <c r="N4988" s="0">
        <v>0</v>
      </c>
      <c r="O4988" s="0">
        <v>0</v>
      </c>
      <c r="P4988" s="0">
        <v>0</v>
      </c>
      <c r="R4988" s="0" t="b">
        <v>0</v>
      </c>
      <c r="S4988" s="0" t="b">
        <v>1</v>
      </c>
      <c r="T4988" s="68">
        <v>46070.7377083333</v>
      </c>
      <c r="U4988" s="68">
        <v>0</v>
      </c>
      <c r="V4988" s="68">
        <v>0</v>
      </c>
      <c r="W4988" s="0">
        <f>IF(IF(B4988="none",1,IF(B4988="Trialer",1,0))+IF(C4988="Customer",1,IF(C4988="Lost",1,0))=2,1,0)</f>
      </c>
      <c r="X4988" s="0" t="s">
        <v>148</v>
      </c>
      <c r="Y4988" s="0" t="s">
        <v>243</v>
      </c>
      <c r="AV4988" s="68"/>
      <c r="AW4988" s="68"/>
      <c r="AY4988" s="27"/>
      <c r="BD4988" s="68">
        <v>46054.1666666667</v>
      </c>
      <c r="BE4988" s="68">
        <v>46082.1666666667</v>
      </c>
      <c r="BF4988" s="0" t="b">
        <v>0</v>
      </c>
      <c r="BG4988" s="0" t="b">
        <v>0</v>
      </c>
      <c r="BH4988" s="0">
        <v>59</v>
      </c>
      <c r="BI4988" s="0">
        <v>59</v>
      </c>
      <c r="BJ4988" s="0" t="s">
        <v>135</v>
      </c>
    </row>
    <row r="4989">
      <c r="A4989" s="0" t="s">
        <v>5257</v>
      </c>
      <c r="B4989" s="0" t="s">
        <v>5</v>
      </c>
      <c r="C4989" s="0" t="s">
        <v>652</v>
      </c>
      <c r="D4989" s="0" t="s">
        <v>135</v>
      </c>
      <c r="E4989" s="0" t="s">
        <v>3</v>
      </c>
      <c r="F4989" s="0" t="s">
        <v>12</v>
      </c>
      <c r="G4989" s="0" t="s">
        <v>8</v>
      </c>
      <c r="H4989" s="0">
        <v>-16</v>
      </c>
      <c r="I4989" s="0">
        <v>0</v>
      </c>
      <c r="J4989" s="0">
        <v>0</v>
      </c>
      <c r="K4989" s="0">
        <v>0</v>
      </c>
      <c r="L4989" s="0">
        <v>0</v>
      </c>
      <c r="M4989" s="0">
        <v>0</v>
      </c>
      <c r="N4989" s="0">
        <v>0</v>
      </c>
      <c r="O4989" s="0">
        <v>0</v>
      </c>
      <c r="P4989" s="0">
        <v>0</v>
      </c>
      <c r="R4989" s="0" t="b">
        <v>0</v>
      </c>
      <c r="S4989" s="0" t="b">
        <v>1</v>
      </c>
      <c r="T4989" s="68">
        <v>46070.7493055556</v>
      </c>
      <c r="U4989" s="68">
        <v>46084.2916666667</v>
      </c>
      <c r="V4989" s="68">
        <v>0</v>
      </c>
      <c r="W4989" s="0">
        <f>IF(IF(B4989="none",1,IF(B4989="Trialer",1,0))+IF(C4989="Customer",1,IF(C4989="Lost",1,0))=2,1,0)</f>
      </c>
      <c r="X4989" s="0" t="s">
        <v>1461</v>
      </c>
      <c r="Y4989" s="0" t="s">
        <v>243</v>
      </c>
      <c r="AV4989" s="68"/>
      <c r="AW4989" s="68"/>
      <c r="AY4989" s="27"/>
      <c r="BD4989" s="68">
        <v>46054.1666666667</v>
      </c>
      <c r="BE4989" s="68">
        <v>46082.1666666667</v>
      </c>
      <c r="BF4989" s="0" t="b">
        <v>0</v>
      </c>
      <c r="BG4989" s="0" t="b">
        <v>0</v>
      </c>
      <c r="BH4989" s="0">
        <v>128</v>
      </c>
      <c r="BI4989" s="0">
        <v>128</v>
      </c>
      <c r="BJ4989" s="0" t="s">
        <v>135</v>
      </c>
    </row>
    <row r="4990">
      <c r="A4990" s="0" t="s">
        <v>5258</v>
      </c>
      <c r="B4990" s="0" t="s">
        <v>5</v>
      </c>
      <c r="C4990" s="0" t="s">
        <v>652</v>
      </c>
      <c r="D4990" s="0" t="s">
        <v>135</v>
      </c>
      <c r="E4990" s="0" t="s">
        <v>3</v>
      </c>
      <c r="F4990" s="0" t="s">
        <v>12</v>
      </c>
      <c r="G4990" s="0" t="s">
        <v>8</v>
      </c>
      <c r="H4990" s="0">
        <v>-16</v>
      </c>
      <c r="I4990" s="0">
        <v>0</v>
      </c>
      <c r="J4990" s="0">
        <v>0</v>
      </c>
      <c r="K4990" s="0">
        <v>0</v>
      </c>
      <c r="L4990" s="0">
        <v>0</v>
      </c>
      <c r="M4990" s="0">
        <v>0</v>
      </c>
      <c r="N4990" s="0">
        <v>0</v>
      </c>
      <c r="O4990" s="0">
        <v>0</v>
      </c>
      <c r="P4990" s="0">
        <v>0</v>
      </c>
      <c r="R4990" s="0" t="b">
        <v>0</v>
      </c>
      <c r="S4990" s="0" t="b">
        <v>1</v>
      </c>
      <c r="T4990" s="68">
        <v>46070.7782638889</v>
      </c>
      <c r="U4990" s="68">
        <v>0</v>
      </c>
      <c r="V4990" s="68">
        <v>0</v>
      </c>
      <c r="W4990" s="0">
        <f>IF(IF(B4990="none",1,IF(B4990="Trialer",1,0))+IF(C4990="Customer",1,IF(C4990="Lost",1,0))=2,1,0)</f>
      </c>
      <c r="X4990" s="0" t="s">
        <v>145</v>
      </c>
      <c r="Y4990" s="0" t="s">
        <v>243</v>
      </c>
      <c r="AV4990" s="68"/>
      <c r="AW4990" s="68"/>
      <c r="AY4990" s="27"/>
      <c r="BD4990" s="68">
        <v>46054.1666666667</v>
      </c>
      <c r="BE4990" s="68">
        <v>46082.1666666667</v>
      </c>
      <c r="BF4990" s="0" t="b">
        <v>0</v>
      </c>
      <c r="BG4990" s="0" t="b">
        <v>0</v>
      </c>
      <c r="BH4990" s="0">
        <v>71</v>
      </c>
      <c r="BI4990" s="0">
        <v>71</v>
      </c>
      <c r="BJ4990" s="0" t="s">
        <v>135</v>
      </c>
    </row>
    <row r="4991">
      <c r="A4991" s="0" t="s">
        <v>5259</v>
      </c>
      <c r="B4991" s="0" t="s">
        <v>5</v>
      </c>
      <c r="C4991" s="0" t="s">
        <v>652</v>
      </c>
      <c r="D4991" s="0" t="s">
        <v>135</v>
      </c>
      <c r="E4991" s="0" t="s">
        <v>3</v>
      </c>
      <c r="F4991" s="0" t="s">
        <v>12</v>
      </c>
      <c r="G4991" s="0" t="s">
        <v>8</v>
      </c>
      <c r="H4991" s="0">
        <v>-16</v>
      </c>
      <c r="I4991" s="0">
        <v>0</v>
      </c>
      <c r="J4991" s="0">
        <v>0</v>
      </c>
      <c r="K4991" s="0">
        <v>0</v>
      </c>
      <c r="L4991" s="0">
        <v>0</v>
      </c>
      <c r="M4991" s="0">
        <v>0</v>
      </c>
      <c r="N4991" s="0">
        <v>0</v>
      </c>
      <c r="O4991" s="0">
        <v>0</v>
      </c>
      <c r="P4991" s="0">
        <v>0</v>
      </c>
      <c r="R4991" s="0" t="b">
        <v>0</v>
      </c>
      <c r="S4991" s="0" t="b">
        <v>0</v>
      </c>
      <c r="T4991" s="68">
        <v>46070.7871759259</v>
      </c>
      <c r="U4991" s="68">
        <v>0</v>
      </c>
      <c r="V4991" s="68">
        <v>46071.3293865741</v>
      </c>
      <c r="W4991" s="0">
        <f>IF(IF(B4991="none",1,IF(B4991="Trialer",1,0))+IF(C4991="Customer",1,IF(C4991="Lost",1,0))=2,1,0)</f>
      </c>
      <c r="X4991" s="0" t="s">
        <v>136</v>
      </c>
      <c r="Y4991" s="0" t="s">
        <v>243</v>
      </c>
      <c r="AV4991" s="68"/>
      <c r="AW4991" s="68"/>
      <c r="AY4991" s="27"/>
      <c r="BD4991" s="68">
        <v>46054.1666666667</v>
      </c>
      <c r="BE4991" s="68">
        <v>46082.1666666667</v>
      </c>
      <c r="BF4991" s="0" t="b">
        <v>1</v>
      </c>
      <c r="BG4991" s="0" t="b">
        <v>0</v>
      </c>
      <c r="BH4991" s="0">
        <v>59</v>
      </c>
      <c r="BI4991" s="0">
        <v>0</v>
      </c>
      <c r="BJ4991" s="0" t="s">
        <v>135</v>
      </c>
    </row>
    <row r="4992">
      <c r="A4992" s="0" t="s">
        <v>5260</v>
      </c>
      <c r="B4992" s="0" t="s">
        <v>5</v>
      </c>
      <c r="C4992" s="0" t="s">
        <v>652</v>
      </c>
      <c r="D4992" s="0" t="s">
        <v>135</v>
      </c>
      <c r="E4992" s="0" t="s">
        <v>3</v>
      </c>
      <c r="F4992" s="0" t="s">
        <v>12</v>
      </c>
      <c r="G4992" s="0" t="s">
        <v>8</v>
      </c>
      <c r="H4992" s="0">
        <v>-16</v>
      </c>
      <c r="I4992" s="0">
        <v>0</v>
      </c>
      <c r="J4992" s="0">
        <v>0</v>
      </c>
      <c r="K4992" s="0">
        <v>0</v>
      </c>
      <c r="L4992" s="0">
        <v>0</v>
      </c>
      <c r="M4992" s="0">
        <v>0</v>
      </c>
      <c r="N4992" s="0">
        <v>0</v>
      </c>
      <c r="O4992" s="0">
        <v>0</v>
      </c>
      <c r="P4992" s="0">
        <v>0</v>
      </c>
      <c r="R4992" s="0" t="b">
        <v>0</v>
      </c>
      <c r="S4992" s="0" t="b">
        <v>1</v>
      </c>
      <c r="T4992" s="68">
        <v>46070.8131828704</v>
      </c>
      <c r="U4992" s="68">
        <v>0</v>
      </c>
      <c r="V4992" s="68">
        <v>0</v>
      </c>
      <c r="W4992" s="0">
        <f>IF(IF(B4992="none",1,IF(B4992="Trialer",1,0))+IF(C4992="Customer",1,IF(C4992="Lost",1,0))=2,1,0)</f>
      </c>
      <c r="X4992" s="0" t="s">
        <v>148</v>
      </c>
      <c r="Y4992" s="0" t="s">
        <v>243</v>
      </c>
      <c r="AV4992" s="68"/>
      <c r="AW4992" s="68"/>
      <c r="AY4992" s="27"/>
      <c r="BD4992" s="68">
        <v>46054.1666666667</v>
      </c>
      <c r="BE4992" s="68">
        <v>46082.1666666667</v>
      </c>
      <c r="BF4992" s="0" t="b">
        <v>0</v>
      </c>
      <c r="BG4992" s="0" t="b">
        <v>0</v>
      </c>
      <c r="BH4992" s="0">
        <v>97</v>
      </c>
      <c r="BI4992" s="0">
        <v>97</v>
      </c>
      <c r="BJ4992" s="0" t="s">
        <v>135</v>
      </c>
    </row>
    <row r="4993">
      <c r="A4993" s="0" t="s">
        <v>5261</v>
      </c>
      <c r="B4993" s="0" t="s">
        <v>5</v>
      </c>
      <c r="C4993" s="0" t="s">
        <v>652</v>
      </c>
      <c r="D4993" s="0" t="s">
        <v>135</v>
      </c>
      <c r="E4993" s="0" t="s">
        <v>3</v>
      </c>
      <c r="F4993" s="0" t="s">
        <v>12</v>
      </c>
      <c r="G4993" s="0" t="s">
        <v>8</v>
      </c>
      <c r="H4993" s="0">
        <v>-16</v>
      </c>
      <c r="I4993" s="0">
        <v>0</v>
      </c>
      <c r="J4993" s="0">
        <v>0</v>
      </c>
      <c r="K4993" s="0">
        <v>0</v>
      </c>
      <c r="L4993" s="0">
        <v>0</v>
      </c>
      <c r="M4993" s="0">
        <v>0</v>
      </c>
      <c r="N4993" s="0">
        <v>0</v>
      </c>
      <c r="O4993" s="0">
        <v>0</v>
      </c>
      <c r="P4993" s="0">
        <v>0</v>
      </c>
      <c r="R4993" s="0" t="b">
        <v>0</v>
      </c>
      <c r="S4993" s="0" t="b">
        <v>1</v>
      </c>
      <c r="T4993" s="68">
        <v>46070.8456828704</v>
      </c>
      <c r="U4993" s="68">
        <v>46084.2916666667</v>
      </c>
      <c r="V4993" s="68">
        <v>0</v>
      </c>
      <c r="W4993" s="0">
        <f>IF(IF(B4993="none",1,IF(B4993="Trialer",1,0))+IF(C4993="Customer",1,IF(C4993="Lost",1,0))=2,1,0)</f>
      </c>
      <c r="X4993" s="0" t="s">
        <v>1461</v>
      </c>
      <c r="Y4993" s="0" t="s">
        <v>243</v>
      </c>
      <c r="AV4993" s="68"/>
      <c r="AW4993" s="68"/>
      <c r="AY4993" s="27"/>
      <c r="BD4993" s="68">
        <v>46054.1666666667</v>
      </c>
      <c r="BE4993" s="68">
        <v>46082.1666666667</v>
      </c>
      <c r="BF4993" s="0" t="b">
        <v>0</v>
      </c>
      <c r="BG4993" s="0" t="b">
        <v>0</v>
      </c>
      <c r="BH4993" s="0">
        <v>59</v>
      </c>
      <c r="BI4993" s="0">
        <v>59</v>
      </c>
      <c r="BJ4993" s="0" t="s">
        <v>135</v>
      </c>
    </row>
    <row r="4994">
      <c r="A4994" s="0" t="s">
        <v>5262</v>
      </c>
      <c r="B4994" s="0" t="s">
        <v>5</v>
      </c>
      <c r="C4994" s="0" t="s">
        <v>652</v>
      </c>
      <c r="D4994" s="0" t="s">
        <v>135</v>
      </c>
      <c r="E4994" s="0" t="s">
        <v>4</v>
      </c>
      <c r="F4994" s="0" t="s">
        <v>12</v>
      </c>
      <c r="G4994" s="0" t="s">
        <v>8</v>
      </c>
      <c r="H4994" s="0">
        <v>-16</v>
      </c>
      <c r="I4994" s="0">
        <v>0</v>
      </c>
      <c r="J4994" s="0">
        <v>0</v>
      </c>
      <c r="K4994" s="0">
        <v>0</v>
      </c>
      <c r="L4994" s="0">
        <v>0</v>
      </c>
      <c r="M4994" s="0">
        <v>0</v>
      </c>
      <c r="N4994" s="0">
        <v>0</v>
      </c>
      <c r="O4994" s="0">
        <v>0</v>
      </c>
      <c r="P4994" s="0">
        <v>0</v>
      </c>
      <c r="R4994" s="0" t="b">
        <v>0</v>
      </c>
      <c r="S4994" s="0" t="b">
        <v>1</v>
      </c>
      <c r="T4994" s="68">
        <v>46070.8555555556</v>
      </c>
      <c r="U4994" s="68">
        <v>0</v>
      </c>
      <c r="V4994" s="68">
        <v>0</v>
      </c>
      <c r="W4994" s="0">
        <f>IF(IF(B4994="none",1,IF(B4994="Trialer",1,0))+IF(C4994="Customer",1,IF(C4994="Lost",1,0))=2,1,0)</f>
      </c>
      <c r="X4994" s="0" t="s">
        <v>136</v>
      </c>
      <c r="Y4994" s="0" t="s">
        <v>1772</v>
      </c>
      <c r="AV4994" s="68"/>
      <c r="AW4994" s="68"/>
      <c r="AY4994" s="27"/>
      <c r="BD4994" s="68">
        <v>46054.1666666667</v>
      </c>
      <c r="BE4994" s="68">
        <v>46082.1666666667</v>
      </c>
      <c r="BF4994" s="0" t="b">
        <v>0</v>
      </c>
      <c r="BG4994" s="0" t="b">
        <v>0</v>
      </c>
      <c r="BH4994" s="0">
        <v>59</v>
      </c>
      <c r="BI4994" s="0">
        <v>59</v>
      </c>
      <c r="BJ4994" s="0" t="s">
        <v>135</v>
      </c>
    </row>
    <row r="4995">
      <c r="A4995" s="0" t="s">
        <v>5263</v>
      </c>
      <c r="B4995" s="0" t="s">
        <v>5</v>
      </c>
      <c r="C4995" s="0" t="s">
        <v>652</v>
      </c>
      <c r="D4995" s="0" t="s">
        <v>135</v>
      </c>
      <c r="E4995" s="0" t="s">
        <v>4</v>
      </c>
      <c r="F4995" s="0" t="s">
        <v>12</v>
      </c>
      <c r="G4995" s="0" t="s">
        <v>8</v>
      </c>
      <c r="H4995" s="0">
        <v>-16</v>
      </c>
      <c r="I4995" s="0">
        <v>0</v>
      </c>
      <c r="J4995" s="0">
        <v>0</v>
      </c>
      <c r="K4995" s="0">
        <v>0</v>
      </c>
      <c r="L4995" s="0">
        <v>0</v>
      </c>
      <c r="M4995" s="0">
        <v>0</v>
      </c>
      <c r="N4995" s="0">
        <v>0</v>
      </c>
      <c r="O4995" s="0">
        <v>0</v>
      </c>
      <c r="P4995" s="0">
        <v>0</v>
      </c>
      <c r="R4995" s="0" t="b">
        <v>0</v>
      </c>
      <c r="S4995" s="0" t="b">
        <v>1</v>
      </c>
      <c r="T4995" s="68">
        <v>46070.8569675926</v>
      </c>
      <c r="U4995" s="68">
        <v>0</v>
      </c>
      <c r="V4995" s="68">
        <v>0</v>
      </c>
      <c r="W4995" s="0">
        <f>IF(IF(B4995="none",1,IF(B4995="Trialer",1,0))+IF(C4995="Customer",1,IF(C4995="Lost",1,0))=2,1,0)</f>
      </c>
      <c r="X4995" s="0" t="s">
        <v>136</v>
      </c>
      <c r="Y4995" s="0" t="s">
        <v>1772</v>
      </c>
      <c r="AV4995" s="68"/>
      <c r="AW4995" s="68"/>
      <c r="AY4995" s="27"/>
      <c r="BD4995" s="68">
        <v>46054.1666666667</v>
      </c>
      <c r="BE4995" s="68">
        <v>46082.1666666667</v>
      </c>
      <c r="BF4995" s="0" t="b">
        <v>0</v>
      </c>
      <c r="BG4995" s="0" t="b">
        <v>0</v>
      </c>
      <c r="BH4995" s="0">
        <v>83</v>
      </c>
      <c r="BI4995" s="0">
        <v>83</v>
      </c>
      <c r="BJ4995" s="0" t="s">
        <v>135</v>
      </c>
    </row>
    <row r="4996">
      <c r="A4996" s="0" t="s">
        <v>5264</v>
      </c>
      <c r="B4996" s="0" t="s">
        <v>5</v>
      </c>
      <c r="C4996" s="0" t="s">
        <v>652</v>
      </c>
      <c r="D4996" s="0" t="s">
        <v>135</v>
      </c>
      <c r="E4996" s="0" t="s">
        <v>3</v>
      </c>
      <c r="F4996" s="0" t="s">
        <v>12</v>
      </c>
      <c r="G4996" s="0" t="s">
        <v>8</v>
      </c>
      <c r="H4996" s="0">
        <v>-16</v>
      </c>
      <c r="I4996" s="0">
        <v>0</v>
      </c>
      <c r="J4996" s="0">
        <v>0</v>
      </c>
      <c r="K4996" s="0">
        <v>0</v>
      </c>
      <c r="L4996" s="0">
        <v>0</v>
      </c>
      <c r="M4996" s="0">
        <v>0</v>
      </c>
      <c r="N4996" s="0">
        <v>0</v>
      </c>
      <c r="O4996" s="0">
        <v>0</v>
      </c>
      <c r="P4996" s="0">
        <v>0</v>
      </c>
      <c r="R4996" s="0" t="b">
        <v>0</v>
      </c>
      <c r="S4996" s="0" t="b">
        <v>1</v>
      </c>
      <c r="T4996" s="68">
        <v>46070.8844675926</v>
      </c>
      <c r="U4996" s="68">
        <v>0</v>
      </c>
      <c r="V4996" s="68">
        <v>0</v>
      </c>
      <c r="W4996" s="0">
        <f>IF(IF(B4996="none",1,IF(B4996="Trialer",1,0))+IF(C4996="Customer",1,IF(C4996="Lost",1,0))=2,1,0)</f>
      </c>
      <c r="X4996" s="0" t="s">
        <v>148</v>
      </c>
      <c r="Y4996" s="0" t="s">
        <v>243</v>
      </c>
      <c r="AV4996" s="68"/>
      <c r="AW4996" s="68"/>
      <c r="AY4996" s="27"/>
      <c r="BD4996" s="68">
        <v>46054.1666666667</v>
      </c>
      <c r="BE4996" s="68">
        <v>46082.1666666667</v>
      </c>
      <c r="BF4996" s="0" t="b">
        <v>0</v>
      </c>
      <c r="BG4996" s="0" t="b">
        <v>0</v>
      </c>
      <c r="BH4996" s="0">
        <v>73</v>
      </c>
      <c r="BI4996" s="0">
        <v>73</v>
      </c>
      <c r="BJ4996" s="0" t="s">
        <v>135</v>
      </c>
    </row>
    <row r="4997">
      <c r="A4997" s="0" t="s">
        <v>5265</v>
      </c>
      <c r="B4997" s="0" t="s">
        <v>5</v>
      </c>
      <c r="C4997" s="0" t="s">
        <v>652</v>
      </c>
      <c r="D4997" s="0" t="s">
        <v>135</v>
      </c>
      <c r="E4997" s="0" t="s">
        <v>3</v>
      </c>
      <c r="F4997" s="0" t="s">
        <v>12</v>
      </c>
      <c r="G4997" s="0" t="s">
        <v>8</v>
      </c>
      <c r="H4997" s="0">
        <v>-16</v>
      </c>
      <c r="I4997" s="0">
        <v>0</v>
      </c>
      <c r="J4997" s="0">
        <v>0</v>
      </c>
      <c r="K4997" s="0">
        <v>0</v>
      </c>
      <c r="L4997" s="0">
        <v>0</v>
      </c>
      <c r="M4997" s="0">
        <v>0</v>
      </c>
      <c r="N4997" s="0">
        <v>0</v>
      </c>
      <c r="O4997" s="0">
        <v>0</v>
      </c>
      <c r="P4997" s="0">
        <v>0</v>
      </c>
      <c r="R4997" s="0" t="b">
        <v>0</v>
      </c>
      <c r="S4997" s="0" t="b">
        <v>0</v>
      </c>
      <c r="T4997" s="68">
        <v>46070.8941319444</v>
      </c>
      <c r="U4997" s="68">
        <v>0</v>
      </c>
      <c r="V4997" s="68">
        <v>46070.8997685185</v>
      </c>
      <c r="W4997" s="0">
        <f>IF(IF(B4997="none",1,IF(B4997="Trialer",1,0))+IF(C4997="Customer",1,IF(C4997="Lost",1,0))=2,1,0)</f>
      </c>
      <c r="X4997" s="0" t="s">
        <v>145</v>
      </c>
      <c r="Y4997" s="0" t="s">
        <v>243</v>
      </c>
      <c r="AV4997" s="68"/>
      <c r="AW4997" s="68"/>
      <c r="AY4997" s="27"/>
      <c r="BD4997" s="68">
        <v>46054.1666666667</v>
      </c>
      <c r="BE4997" s="68">
        <v>46082.1666666667</v>
      </c>
      <c r="BF4997" s="0" t="b">
        <v>0</v>
      </c>
      <c r="BG4997" s="0" t="b">
        <v>0</v>
      </c>
      <c r="BH4997" s="0">
        <v>0</v>
      </c>
      <c r="BI4997" s="0">
        <v>0</v>
      </c>
      <c r="BJ4997" s="0" t="s">
        <v>135</v>
      </c>
    </row>
    <row r="4998">
      <c r="A4998" s="0" t="s">
        <v>5266</v>
      </c>
      <c r="B4998" s="0" t="s">
        <v>5</v>
      </c>
      <c r="C4998" s="0" t="s">
        <v>652</v>
      </c>
      <c r="D4998" s="0" t="s">
        <v>135</v>
      </c>
      <c r="E4998" s="0" t="s">
        <v>3</v>
      </c>
      <c r="F4998" s="0" t="s">
        <v>12</v>
      </c>
      <c r="G4998" s="0" t="s">
        <v>8</v>
      </c>
      <c r="H4998" s="0">
        <v>-16</v>
      </c>
      <c r="I4998" s="0">
        <v>0</v>
      </c>
      <c r="J4998" s="0">
        <v>0</v>
      </c>
      <c r="K4998" s="0">
        <v>0</v>
      </c>
      <c r="L4998" s="0">
        <v>0</v>
      </c>
      <c r="M4998" s="0">
        <v>0</v>
      </c>
      <c r="N4998" s="0">
        <v>0</v>
      </c>
      <c r="O4998" s="0">
        <v>0</v>
      </c>
      <c r="P4998" s="0">
        <v>0</v>
      </c>
      <c r="R4998" s="0" t="b">
        <v>0</v>
      </c>
      <c r="S4998" s="0" t="b">
        <v>1</v>
      </c>
      <c r="T4998" s="68">
        <v>46070.9232175926</v>
      </c>
      <c r="U4998" s="68">
        <v>0</v>
      </c>
      <c r="V4998" s="68">
        <v>0</v>
      </c>
      <c r="W4998" s="0">
        <f>IF(IF(B4998="none",1,IF(B4998="Trialer",1,0))+IF(C4998="Customer",1,IF(C4998="Lost",1,0))=2,1,0)</f>
      </c>
      <c r="X4998" s="0" t="s">
        <v>136</v>
      </c>
      <c r="Y4998" s="0" t="s">
        <v>243</v>
      </c>
      <c r="AV4998" s="68"/>
      <c r="AW4998" s="68"/>
      <c r="AY4998" s="27"/>
      <c r="BD4998" s="68">
        <v>46054.1666666667</v>
      </c>
      <c r="BE4998" s="68">
        <v>46082.1666666667</v>
      </c>
      <c r="BF4998" s="0" t="b">
        <v>0</v>
      </c>
      <c r="BG4998" s="0" t="b">
        <v>0</v>
      </c>
      <c r="BH4998" s="0">
        <v>340</v>
      </c>
      <c r="BI4998" s="0">
        <v>340</v>
      </c>
      <c r="BJ4998" s="0" t="s">
        <v>135</v>
      </c>
    </row>
    <row r="4999">
      <c r="A4999" s="0" t="s">
        <v>5267</v>
      </c>
      <c r="B4999" s="0" t="s">
        <v>5</v>
      </c>
      <c r="C4999" s="0" t="s">
        <v>652</v>
      </c>
      <c r="D4999" s="0" t="s">
        <v>135</v>
      </c>
      <c r="E4999" s="0" t="s">
        <v>3</v>
      </c>
      <c r="F4999" s="0" t="s">
        <v>12</v>
      </c>
      <c r="G4999" s="0" t="s">
        <v>8</v>
      </c>
      <c r="H4999" s="0">
        <v>-16</v>
      </c>
      <c r="I4999" s="0">
        <v>0</v>
      </c>
      <c r="J4999" s="0">
        <v>0</v>
      </c>
      <c r="K4999" s="0">
        <v>0</v>
      </c>
      <c r="L4999" s="0">
        <v>0</v>
      </c>
      <c r="M4999" s="0">
        <v>0</v>
      </c>
      <c r="N4999" s="0">
        <v>0</v>
      </c>
      <c r="O4999" s="0">
        <v>0</v>
      </c>
      <c r="P4999" s="0">
        <v>0</v>
      </c>
      <c r="R4999" s="0" t="b">
        <v>0</v>
      </c>
      <c r="S4999" s="0" t="b">
        <v>0</v>
      </c>
      <c r="T4999" s="68">
        <v>46070.9400694444</v>
      </c>
      <c r="U4999" s="68">
        <v>0</v>
      </c>
      <c r="V4999" s="68">
        <v>46088.3252662037</v>
      </c>
      <c r="W4999" s="0">
        <f>IF(IF(B4999="none",1,IF(B4999="Trialer",1,0))+IF(C4999="Customer",1,IF(C4999="Lost",1,0))=2,1,0)</f>
      </c>
      <c r="X4999" s="0" t="s">
        <v>148</v>
      </c>
      <c r="Y4999" s="0" t="s">
        <v>243</v>
      </c>
      <c r="AV4999" s="68"/>
      <c r="AW4999" s="68"/>
      <c r="AY4999" s="27"/>
      <c r="BD4999" s="68">
        <v>46054.1666666667</v>
      </c>
      <c r="BE4999" s="68">
        <v>46082.1666666667</v>
      </c>
      <c r="BF4999" s="0" t="b">
        <v>0</v>
      </c>
      <c r="BG4999" s="0" t="b">
        <v>0</v>
      </c>
      <c r="BH4999" s="0">
        <v>73</v>
      </c>
      <c r="BI4999" s="0">
        <v>73</v>
      </c>
      <c r="BJ4999" s="0" t="s">
        <v>135</v>
      </c>
    </row>
    <row r="5000">
      <c r="A5000" s="0" t="s">
        <v>5268</v>
      </c>
      <c r="B5000" s="0" t="s">
        <v>5</v>
      </c>
      <c r="C5000" s="0" t="s">
        <v>652</v>
      </c>
      <c r="D5000" s="0" t="s">
        <v>135</v>
      </c>
      <c r="E5000" s="0" t="s">
        <v>3</v>
      </c>
      <c r="F5000" s="0" t="s">
        <v>12</v>
      </c>
      <c r="G5000" s="0" t="s">
        <v>8</v>
      </c>
      <c r="H5000" s="0">
        <v>-17</v>
      </c>
      <c r="I5000" s="0">
        <v>0</v>
      </c>
      <c r="J5000" s="0">
        <v>0</v>
      </c>
      <c r="K5000" s="0">
        <v>0</v>
      </c>
      <c r="L5000" s="0">
        <v>0</v>
      </c>
      <c r="M5000" s="0">
        <v>0</v>
      </c>
      <c r="N5000" s="0">
        <v>0</v>
      </c>
      <c r="O5000" s="0">
        <v>0</v>
      </c>
      <c r="P5000" s="0">
        <v>0</v>
      </c>
      <c r="R5000" s="0" t="b">
        <v>0</v>
      </c>
      <c r="S5000" s="0" t="b">
        <v>0</v>
      </c>
      <c r="T5000" s="68">
        <v>46071.3071990741</v>
      </c>
      <c r="U5000" s="68">
        <v>0</v>
      </c>
      <c r="V5000" s="68">
        <v>46077.2874421296</v>
      </c>
      <c r="W5000" s="0">
        <f>IF(IF(B5000="none",1,IF(B5000="Trialer",1,0))+IF(C5000="Customer",1,IF(C5000="Lost",1,0))=2,1,0)</f>
      </c>
      <c r="X5000" s="0" t="s">
        <v>145</v>
      </c>
      <c r="Y5000" s="0" t="s">
        <v>243</v>
      </c>
      <c r="AV5000" s="68"/>
      <c r="AW5000" s="68"/>
      <c r="AY5000" s="27"/>
      <c r="BD5000" s="68">
        <v>46054.1666666667</v>
      </c>
      <c r="BE5000" s="68">
        <v>46082.1666666667</v>
      </c>
      <c r="BF5000" s="0" t="b">
        <v>0</v>
      </c>
      <c r="BG5000" s="0" t="b">
        <v>0</v>
      </c>
      <c r="BH5000" s="0">
        <v>71</v>
      </c>
      <c r="BI5000" s="0">
        <v>71</v>
      </c>
      <c r="BJ5000" s="0" t="s">
        <v>135</v>
      </c>
    </row>
    <row r="5001">
      <c r="A5001" s="0" t="s">
        <v>5269</v>
      </c>
      <c r="B5001" s="0" t="s">
        <v>5</v>
      </c>
      <c r="C5001" s="0" t="s">
        <v>652</v>
      </c>
      <c r="D5001" s="0" t="s">
        <v>135</v>
      </c>
      <c r="E5001" s="0" t="s">
        <v>3</v>
      </c>
      <c r="F5001" s="0" t="s">
        <v>12</v>
      </c>
      <c r="G5001" s="0" t="s">
        <v>8</v>
      </c>
      <c r="H5001" s="0">
        <v>-17</v>
      </c>
      <c r="I5001" s="0">
        <v>0</v>
      </c>
      <c r="J5001" s="0">
        <v>0</v>
      </c>
      <c r="K5001" s="0">
        <v>0</v>
      </c>
      <c r="L5001" s="0">
        <v>0</v>
      </c>
      <c r="M5001" s="0">
        <v>0</v>
      </c>
      <c r="N5001" s="0">
        <v>0</v>
      </c>
      <c r="O5001" s="0">
        <v>0</v>
      </c>
      <c r="P5001" s="0">
        <v>0</v>
      </c>
      <c r="R5001" s="0" t="b">
        <v>0</v>
      </c>
      <c r="S5001" s="0" t="b">
        <v>1</v>
      </c>
      <c r="T5001" s="68">
        <v>46071.3540393518</v>
      </c>
      <c r="U5001" s="68">
        <v>0</v>
      </c>
      <c r="V5001" s="68">
        <v>0</v>
      </c>
      <c r="W5001" s="0">
        <f>IF(IF(B5001="none",1,IF(B5001="Trialer",1,0))+IF(C5001="Customer",1,IF(C5001="Lost",1,0))=2,1,0)</f>
      </c>
      <c r="X5001" s="0" t="s">
        <v>148</v>
      </c>
      <c r="Y5001" s="0" t="s">
        <v>243</v>
      </c>
      <c r="AV5001" s="68"/>
      <c r="AW5001" s="68"/>
      <c r="AY5001" s="27"/>
      <c r="BD5001" s="68">
        <v>46054.1666666667</v>
      </c>
      <c r="BE5001" s="68">
        <v>46082.1666666667</v>
      </c>
      <c r="BF5001" s="0" t="b">
        <v>0</v>
      </c>
      <c r="BG5001" s="0" t="b">
        <v>0</v>
      </c>
      <c r="BH5001" s="0">
        <v>85</v>
      </c>
      <c r="BI5001" s="0">
        <v>85</v>
      </c>
      <c r="BJ5001" s="0" t="s">
        <v>135</v>
      </c>
    </row>
    <row r="5002">
      <c r="A5002" s="0" t="s">
        <v>5270</v>
      </c>
      <c r="B5002" s="0" t="s">
        <v>5</v>
      </c>
      <c r="C5002" s="0" t="s">
        <v>652</v>
      </c>
      <c r="D5002" s="0" t="s">
        <v>135</v>
      </c>
      <c r="E5002" s="0" t="s">
        <v>3</v>
      </c>
      <c r="F5002" s="0" t="s">
        <v>12</v>
      </c>
      <c r="G5002" s="0" t="s">
        <v>8</v>
      </c>
      <c r="H5002" s="0">
        <v>-17</v>
      </c>
      <c r="I5002" s="0">
        <v>0</v>
      </c>
      <c r="J5002" s="0">
        <v>0</v>
      </c>
      <c r="K5002" s="0">
        <v>0</v>
      </c>
      <c r="L5002" s="0">
        <v>0</v>
      </c>
      <c r="M5002" s="0">
        <v>0</v>
      </c>
      <c r="N5002" s="0">
        <v>0</v>
      </c>
      <c r="O5002" s="0">
        <v>0</v>
      </c>
      <c r="P5002" s="0">
        <v>0</v>
      </c>
      <c r="R5002" s="0" t="b">
        <v>0</v>
      </c>
      <c r="S5002" s="0" t="b">
        <v>1</v>
      </c>
      <c r="T5002" s="68">
        <v>46071.3764351852</v>
      </c>
      <c r="U5002" s="68">
        <v>0</v>
      </c>
      <c r="V5002" s="68">
        <v>0</v>
      </c>
      <c r="W5002" s="0">
        <f>IF(IF(B5002="none",1,IF(B5002="Trialer",1,0))+IF(C5002="Customer",1,IF(C5002="Lost",1,0))=2,1,0)</f>
      </c>
      <c r="X5002" s="0" t="s">
        <v>148</v>
      </c>
      <c r="Y5002" s="0" t="s">
        <v>243</v>
      </c>
      <c r="AV5002" s="68"/>
      <c r="AW5002" s="68"/>
      <c r="AY5002" s="27"/>
      <c r="BD5002" s="68">
        <v>46054.1666666667</v>
      </c>
      <c r="BE5002" s="68">
        <v>46082.1666666667</v>
      </c>
      <c r="BF5002" s="0" t="b">
        <v>0</v>
      </c>
      <c r="BG5002" s="0" t="b">
        <v>0</v>
      </c>
      <c r="BH5002" s="0">
        <v>59</v>
      </c>
      <c r="BI5002" s="0">
        <v>59</v>
      </c>
      <c r="BJ5002" s="0" t="s">
        <v>135</v>
      </c>
    </row>
    <row r="5003">
      <c r="A5003" s="0" t="s">
        <v>5271</v>
      </c>
      <c r="B5003" s="0" t="s">
        <v>5</v>
      </c>
      <c r="C5003" s="0" t="s">
        <v>652</v>
      </c>
      <c r="D5003" s="0" t="s">
        <v>135</v>
      </c>
      <c r="E5003" s="0" t="s">
        <v>3</v>
      </c>
      <c r="F5003" s="0" t="s">
        <v>12</v>
      </c>
      <c r="G5003" s="0" t="s">
        <v>8</v>
      </c>
      <c r="H5003" s="0">
        <v>-17</v>
      </c>
      <c r="I5003" s="0">
        <v>0</v>
      </c>
      <c r="J5003" s="0">
        <v>0</v>
      </c>
      <c r="K5003" s="0">
        <v>0</v>
      </c>
      <c r="L5003" s="0">
        <v>0</v>
      </c>
      <c r="M5003" s="0">
        <v>0</v>
      </c>
      <c r="N5003" s="0">
        <v>0</v>
      </c>
      <c r="O5003" s="0">
        <v>0</v>
      </c>
      <c r="P5003" s="0">
        <v>0</v>
      </c>
      <c r="R5003" s="0" t="b">
        <v>0</v>
      </c>
      <c r="S5003" s="0" t="b">
        <v>0</v>
      </c>
      <c r="T5003" s="68">
        <v>46071.3883912037</v>
      </c>
      <c r="U5003" s="68">
        <v>0</v>
      </c>
      <c r="V5003" s="68">
        <v>46071.4074189815</v>
      </c>
      <c r="W5003" s="0">
        <f>IF(IF(B5003="none",1,IF(B5003="Trialer",1,0))+IF(C5003="Customer",1,IF(C5003="Lost",1,0))=2,1,0)</f>
      </c>
      <c r="X5003" s="0" t="s">
        <v>145</v>
      </c>
      <c r="Y5003" s="0" t="s">
        <v>243</v>
      </c>
      <c r="AV5003" s="68"/>
      <c r="AW5003" s="68"/>
      <c r="AY5003" s="27"/>
      <c r="BD5003" s="68">
        <v>46054.1666666667</v>
      </c>
      <c r="BE5003" s="68">
        <v>46082.1666666667</v>
      </c>
      <c r="BF5003" s="0" t="b">
        <v>0</v>
      </c>
      <c r="BG5003" s="0" t="b">
        <v>0</v>
      </c>
      <c r="BH5003" s="0">
        <v>73</v>
      </c>
      <c r="BI5003" s="0">
        <v>0</v>
      </c>
      <c r="BJ5003" s="0" t="s">
        <v>135</v>
      </c>
    </row>
    <row r="5004">
      <c r="A5004" s="0" t="s">
        <v>5272</v>
      </c>
      <c r="B5004" s="0" t="s">
        <v>5</v>
      </c>
      <c r="C5004" s="0" t="s">
        <v>652</v>
      </c>
      <c r="D5004" s="0" t="s">
        <v>135</v>
      </c>
      <c r="E5004" s="0" t="s">
        <v>3</v>
      </c>
      <c r="F5004" s="0" t="s">
        <v>12</v>
      </c>
      <c r="G5004" s="0" t="s">
        <v>8</v>
      </c>
      <c r="H5004" s="0">
        <v>-17</v>
      </c>
      <c r="I5004" s="0">
        <v>0</v>
      </c>
      <c r="J5004" s="0">
        <v>0</v>
      </c>
      <c r="K5004" s="0">
        <v>0</v>
      </c>
      <c r="L5004" s="0">
        <v>0</v>
      </c>
      <c r="M5004" s="0">
        <v>0</v>
      </c>
      <c r="N5004" s="0">
        <v>0</v>
      </c>
      <c r="O5004" s="0">
        <v>0</v>
      </c>
      <c r="P5004" s="0">
        <v>0</v>
      </c>
      <c r="R5004" s="0" t="b">
        <v>0</v>
      </c>
      <c r="S5004" s="0" t="b">
        <v>1</v>
      </c>
      <c r="T5004" s="68">
        <v>46071.3931944444</v>
      </c>
      <c r="U5004" s="68">
        <v>0</v>
      </c>
      <c r="V5004" s="68">
        <v>0</v>
      </c>
      <c r="W5004" s="0">
        <f>IF(IF(B5004="none",1,IF(B5004="Trialer",1,0))+IF(C5004="Customer",1,IF(C5004="Lost",1,0))=2,1,0)</f>
      </c>
      <c r="X5004" s="0" t="s">
        <v>136</v>
      </c>
      <c r="Y5004" s="0" t="s">
        <v>243</v>
      </c>
      <c r="AV5004" s="68"/>
      <c r="AW5004" s="68"/>
      <c r="AY5004" s="27"/>
      <c r="BD5004" s="68">
        <v>46054.1666666667</v>
      </c>
      <c r="BE5004" s="68">
        <v>46082.1666666667</v>
      </c>
      <c r="BF5004" s="0" t="b">
        <v>0</v>
      </c>
      <c r="BG5004" s="0" t="b">
        <v>0</v>
      </c>
      <c r="BH5004" s="0">
        <v>85</v>
      </c>
      <c r="BI5004" s="0">
        <v>85</v>
      </c>
      <c r="BJ5004" s="0" t="s">
        <v>135</v>
      </c>
    </row>
    <row r="5005">
      <c r="A5005" s="0" t="s">
        <v>5273</v>
      </c>
      <c r="B5005" s="0" t="s">
        <v>5</v>
      </c>
      <c r="C5005" s="0" t="s">
        <v>652</v>
      </c>
      <c r="D5005" s="0" t="s">
        <v>135</v>
      </c>
      <c r="E5005" s="0" t="s">
        <v>3</v>
      </c>
      <c r="F5005" s="0" t="s">
        <v>12</v>
      </c>
      <c r="G5005" s="0" t="s">
        <v>8</v>
      </c>
      <c r="H5005" s="0">
        <v>-17</v>
      </c>
      <c r="I5005" s="0">
        <v>0</v>
      </c>
      <c r="J5005" s="0">
        <v>0</v>
      </c>
      <c r="K5005" s="0">
        <v>0</v>
      </c>
      <c r="L5005" s="0">
        <v>0</v>
      </c>
      <c r="M5005" s="0">
        <v>0</v>
      </c>
      <c r="N5005" s="0">
        <v>0</v>
      </c>
      <c r="O5005" s="0">
        <v>0</v>
      </c>
      <c r="P5005" s="0">
        <v>0</v>
      </c>
      <c r="R5005" s="0" t="b">
        <v>0</v>
      </c>
      <c r="S5005" s="0" t="b">
        <v>1</v>
      </c>
      <c r="T5005" s="68">
        <v>46071.4362847222</v>
      </c>
      <c r="U5005" s="68">
        <v>0</v>
      </c>
      <c r="V5005" s="68">
        <v>0</v>
      </c>
      <c r="W5005" s="0">
        <f>IF(IF(B5005="none",1,IF(B5005="Trialer",1,0))+IF(C5005="Customer",1,IF(C5005="Lost",1,0))=2,1,0)</f>
      </c>
      <c r="X5005" s="0" t="s">
        <v>148</v>
      </c>
      <c r="Y5005" s="0" t="s">
        <v>243</v>
      </c>
      <c r="AV5005" s="68"/>
      <c r="AW5005" s="68"/>
      <c r="AY5005" s="27"/>
      <c r="BD5005" s="68">
        <v>46054.1666666667</v>
      </c>
      <c r="BE5005" s="68">
        <v>46082.1666666667</v>
      </c>
      <c r="BF5005" s="0" t="b">
        <v>0</v>
      </c>
      <c r="BG5005" s="0" t="b">
        <v>0</v>
      </c>
      <c r="BH5005" s="0">
        <v>71</v>
      </c>
      <c r="BI5005" s="0">
        <v>71</v>
      </c>
      <c r="BJ5005" s="0" t="s">
        <v>135</v>
      </c>
    </row>
    <row r="5006">
      <c r="A5006" s="0" t="s">
        <v>5274</v>
      </c>
      <c r="B5006" s="0" t="s">
        <v>5</v>
      </c>
      <c r="C5006" s="0" t="s">
        <v>652</v>
      </c>
      <c r="D5006" s="0" t="s">
        <v>135</v>
      </c>
      <c r="E5006" s="0" t="s">
        <v>2</v>
      </c>
      <c r="F5006" s="0" t="s">
        <v>12</v>
      </c>
      <c r="G5006" s="0" t="s">
        <v>8</v>
      </c>
      <c r="H5006" s="0">
        <v>-17</v>
      </c>
      <c r="I5006" s="0">
        <v>0</v>
      </c>
      <c r="J5006" s="0">
        <v>0</v>
      </c>
      <c r="K5006" s="0">
        <v>0</v>
      </c>
      <c r="L5006" s="0">
        <v>0</v>
      </c>
      <c r="M5006" s="0">
        <v>0</v>
      </c>
      <c r="N5006" s="0">
        <v>0</v>
      </c>
      <c r="O5006" s="0">
        <v>0</v>
      </c>
      <c r="P5006" s="0">
        <v>0</v>
      </c>
      <c r="R5006" s="0" t="b">
        <v>0</v>
      </c>
      <c r="S5006" s="0" t="b">
        <v>1</v>
      </c>
      <c r="T5006" s="68">
        <v>46071.4414814815</v>
      </c>
      <c r="U5006" s="68">
        <v>0</v>
      </c>
      <c r="V5006" s="68">
        <v>0</v>
      </c>
      <c r="W5006" s="0">
        <f>IF(IF(B5006="none",1,IF(B5006="Trialer",1,0))+IF(C5006="Customer",1,IF(C5006="Lost",1,0))=2,1,0)</f>
      </c>
      <c r="X5006" s="0" t="s">
        <v>145</v>
      </c>
      <c r="Y5006" s="0" t="s">
        <v>499</v>
      </c>
      <c r="AV5006" s="68"/>
      <c r="AW5006" s="68"/>
      <c r="AY5006" s="27"/>
      <c r="BD5006" s="68">
        <v>46054.1666666667</v>
      </c>
      <c r="BE5006" s="68">
        <v>46082.1666666667</v>
      </c>
      <c r="BF5006" s="0" t="b">
        <v>0</v>
      </c>
      <c r="BG5006" s="0" t="b">
        <v>0</v>
      </c>
      <c r="BH5006" s="0">
        <v>73</v>
      </c>
      <c r="BI5006" s="0">
        <v>73</v>
      </c>
      <c r="BJ5006" s="0" t="s">
        <v>135</v>
      </c>
    </row>
    <row r="5007">
      <c r="A5007" s="0" t="s">
        <v>5275</v>
      </c>
      <c r="B5007" s="0" t="s">
        <v>5</v>
      </c>
      <c r="C5007" s="0" t="s">
        <v>652</v>
      </c>
      <c r="D5007" s="0" t="s">
        <v>135</v>
      </c>
      <c r="E5007" s="0" t="s">
        <v>3</v>
      </c>
      <c r="F5007" s="0" t="s">
        <v>12</v>
      </c>
      <c r="G5007" s="0" t="s">
        <v>8</v>
      </c>
      <c r="H5007" s="0">
        <v>-17</v>
      </c>
      <c r="I5007" s="0">
        <v>0</v>
      </c>
      <c r="J5007" s="0">
        <v>0</v>
      </c>
      <c r="K5007" s="0">
        <v>0</v>
      </c>
      <c r="L5007" s="0">
        <v>0</v>
      </c>
      <c r="M5007" s="0">
        <v>0</v>
      </c>
      <c r="N5007" s="0">
        <v>0</v>
      </c>
      <c r="O5007" s="0">
        <v>0</v>
      </c>
      <c r="P5007" s="0">
        <v>0</v>
      </c>
      <c r="R5007" s="0" t="b">
        <v>0</v>
      </c>
      <c r="S5007" s="0" t="b">
        <v>1</v>
      </c>
      <c r="T5007" s="68">
        <v>46071.4475347222</v>
      </c>
      <c r="U5007" s="68">
        <v>0</v>
      </c>
      <c r="V5007" s="68">
        <v>0</v>
      </c>
      <c r="W5007" s="0">
        <f>IF(IF(B5007="none",1,IF(B5007="Trialer",1,0))+IF(C5007="Customer",1,IF(C5007="Lost",1,0))=2,1,0)</f>
      </c>
      <c r="X5007" s="0" t="s">
        <v>136</v>
      </c>
      <c r="Y5007" s="0" t="s">
        <v>243</v>
      </c>
      <c r="AV5007" s="68"/>
      <c r="AW5007" s="68"/>
      <c r="AY5007" s="27"/>
      <c r="BD5007" s="68">
        <v>46054.1666666667</v>
      </c>
      <c r="BE5007" s="68">
        <v>46082.1666666667</v>
      </c>
      <c r="BF5007" s="0" t="b">
        <v>0</v>
      </c>
      <c r="BG5007" s="0" t="b">
        <v>0</v>
      </c>
      <c r="BH5007" s="0">
        <v>71</v>
      </c>
      <c r="BI5007" s="0">
        <v>71</v>
      </c>
      <c r="BJ5007" s="0" t="s">
        <v>135</v>
      </c>
    </row>
    <row r="5008">
      <c r="A5008" s="0" t="s">
        <v>5276</v>
      </c>
      <c r="B5008" s="0" t="s">
        <v>5</v>
      </c>
      <c r="C5008" s="0" t="s">
        <v>652</v>
      </c>
      <c r="D5008" s="0" t="s">
        <v>135</v>
      </c>
      <c r="E5008" s="0" t="s">
        <v>3</v>
      </c>
      <c r="F5008" s="0" t="s">
        <v>12</v>
      </c>
      <c r="G5008" s="0" t="s">
        <v>8</v>
      </c>
      <c r="H5008" s="0">
        <v>-17</v>
      </c>
      <c r="I5008" s="0">
        <v>0</v>
      </c>
      <c r="J5008" s="0">
        <v>0</v>
      </c>
      <c r="K5008" s="0">
        <v>0</v>
      </c>
      <c r="L5008" s="0">
        <v>0</v>
      </c>
      <c r="M5008" s="0">
        <v>0</v>
      </c>
      <c r="N5008" s="0">
        <v>0</v>
      </c>
      <c r="O5008" s="0">
        <v>0</v>
      </c>
      <c r="P5008" s="0">
        <v>0</v>
      </c>
      <c r="R5008" s="0" t="b">
        <v>0</v>
      </c>
      <c r="S5008" s="0" t="b">
        <v>1</v>
      </c>
      <c r="T5008" s="68">
        <v>46071.4488773148</v>
      </c>
      <c r="U5008" s="68">
        <v>0</v>
      </c>
      <c r="V5008" s="68">
        <v>0</v>
      </c>
      <c r="W5008" s="0">
        <f>IF(IF(B5008="none",1,IF(B5008="Trialer",1,0))+IF(C5008="Customer",1,IF(C5008="Lost",1,0))=2,1,0)</f>
      </c>
      <c r="X5008" s="0" t="s">
        <v>136</v>
      </c>
      <c r="Y5008" s="0" t="s">
        <v>243</v>
      </c>
      <c r="AV5008" s="68"/>
      <c r="AW5008" s="68"/>
      <c r="AY5008" s="27"/>
      <c r="BD5008" s="68">
        <v>46054.1666666667</v>
      </c>
      <c r="BE5008" s="68">
        <v>46082.1666666667</v>
      </c>
      <c r="BF5008" s="0" t="b">
        <v>0</v>
      </c>
      <c r="BG5008" s="0" t="b">
        <v>0</v>
      </c>
      <c r="BH5008" s="0">
        <v>59</v>
      </c>
      <c r="BI5008" s="0">
        <v>59</v>
      </c>
      <c r="BJ5008" s="0" t="s">
        <v>135</v>
      </c>
    </row>
    <row r="5009">
      <c r="A5009" s="0" t="s">
        <v>5277</v>
      </c>
      <c r="B5009" s="0" t="s">
        <v>5</v>
      </c>
      <c r="C5009" s="0" t="s">
        <v>652</v>
      </c>
      <c r="D5009" s="0" t="s">
        <v>135</v>
      </c>
      <c r="E5009" s="0" t="s">
        <v>3</v>
      </c>
      <c r="F5009" s="0" t="s">
        <v>12</v>
      </c>
      <c r="G5009" s="0" t="s">
        <v>8</v>
      </c>
      <c r="H5009" s="0">
        <v>-17</v>
      </c>
      <c r="I5009" s="0">
        <v>0</v>
      </c>
      <c r="J5009" s="0">
        <v>0</v>
      </c>
      <c r="K5009" s="0">
        <v>0</v>
      </c>
      <c r="L5009" s="0">
        <v>0</v>
      </c>
      <c r="M5009" s="0">
        <v>0</v>
      </c>
      <c r="N5009" s="0">
        <v>0</v>
      </c>
      <c r="O5009" s="0">
        <v>0</v>
      </c>
      <c r="P5009" s="0">
        <v>0</v>
      </c>
      <c r="R5009" s="0" t="b">
        <v>0</v>
      </c>
      <c r="S5009" s="0" t="b">
        <v>1</v>
      </c>
      <c r="T5009" s="68">
        <v>46071.4945023148</v>
      </c>
      <c r="U5009" s="68">
        <v>0</v>
      </c>
      <c r="V5009" s="68">
        <v>0</v>
      </c>
      <c r="W5009" s="0">
        <f>IF(IF(B5009="none",1,IF(B5009="Trialer",1,0))+IF(C5009="Customer",1,IF(C5009="Lost",1,0))=2,1,0)</f>
      </c>
      <c r="X5009" s="0" t="s">
        <v>148</v>
      </c>
      <c r="Y5009" s="0" t="s">
        <v>243</v>
      </c>
      <c r="AV5009" s="68"/>
      <c r="AW5009" s="68"/>
      <c r="AY5009" s="27"/>
      <c r="BD5009" s="68">
        <v>46054.1666666667</v>
      </c>
      <c r="BE5009" s="68">
        <v>46082.1666666667</v>
      </c>
      <c r="BF5009" s="0" t="b">
        <v>0</v>
      </c>
      <c r="BG5009" s="0" t="b">
        <v>0</v>
      </c>
      <c r="BH5009" s="0">
        <v>59</v>
      </c>
      <c r="BI5009" s="0">
        <v>59</v>
      </c>
      <c r="BJ5009" s="0" t="s">
        <v>135</v>
      </c>
    </row>
    <row r="5010">
      <c r="A5010" s="0" t="s">
        <v>5278</v>
      </c>
      <c r="B5010" s="0" t="s">
        <v>5</v>
      </c>
      <c r="C5010" s="0" t="s">
        <v>652</v>
      </c>
      <c r="D5010" s="0" t="s">
        <v>135</v>
      </c>
      <c r="E5010" s="0" t="s">
        <v>3</v>
      </c>
      <c r="F5010" s="0" t="s">
        <v>12</v>
      </c>
      <c r="G5010" s="0" t="s">
        <v>8</v>
      </c>
      <c r="H5010" s="0">
        <v>-17</v>
      </c>
      <c r="I5010" s="0">
        <v>0</v>
      </c>
      <c r="J5010" s="0">
        <v>0</v>
      </c>
      <c r="K5010" s="0">
        <v>0</v>
      </c>
      <c r="L5010" s="0">
        <v>0</v>
      </c>
      <c r="M5010" s="0">
        <v>0</v>
      </c>
      <c r="N5010" s="0">
        <v>0</v>
      </c>
      <c r="O5010" s="0">
        <v>0</v>
      </c>
      <c r="P5010" s="0">
        <v>0</v>
      </c>
      <c r="R5010" s="0" t="b">
        <v>0</v>
      </c>
      <c r="S5010" s="0" t="b">
        <v>1</v>
      </c>
      <c r="T5010" s="68">
        <v>46071.5169444444</v>
      </c>
      <c r="U5010" s="68">
        <v>0</v>
      </c>
      <c r="V5010" s="68">
        <v>0</v>
      </c>
      <c r="W5010" s="0">
        <f>IF(IF(B5010="none",1,IF(B5010="Trialer",1,0))+IF(C5010="Customer",1,IF(C5010="Lost",1,0))=2,1,0)</f>
      </c>
      <c r="X5010" s="0" t="s">
        <v>145</v>
      </c>
      <c r="Y5010" s="0" t="s">
        <v>243</v>
      </c>
      <c r="AV5010" s="68"/>
      <c r="AW5010" s="68"/>
      <c r="AY5010" s="27"/>
      <c r="BD5010" s="68">
        <v>46054.1666666667</v>
      </c>
      <c r="BE5010" s="68">
        <v>46082.1666666667</v>
      </c>
      <c r="BF5010" s="0" t="b">
        <v>0</v>
      </c>
      <c r="BG5010" s="0" t="b">
        <v>0</v>
      </c>
      <c r="BH5010" s="0">
        <v>71</v>
      </c>
      <c r="BI5010" s="0">
        <v>71</v>
      </c>
      <c r="BJ5010" s="0" t="s">
        <v>135</v>
      </c>
    </row>
    <row r="5011">
      <c r="A5011" s="0" t="s">
        <v>5279</v>
      </c>
      <c r="B5011" s="0" t="s">
        <v>5</v>
      </c>
      <c r="C5011" s="0" t="s">
        <v>652</v>
      </c>
      <c r="D5011" s="0" t="s">
        <v>135</v>
      </c>
      <c r="E5011" s="0" t="s">
        <v>3</v>
      </c>
      <c r="F5011" s="0" t="s">
        <v>12</v>
      </c>
      <c r="G5011" s="0" t="s">
        <v>8</v>
      </c>
      <c r="H5011" s="0">
        <v>-17</v>
      </c>
      <c r="I5011" s="0">
        <v>0</v>
      </c>
      <c r="J5011" s="0">
        <v>0</v>
      </c>
      <c r="K5011" s="0">
        <v>0</v>
      </c>
      <c r="L5011" s="0">
        <v>0</v>
      </c>
      <c r="M5011" s="0">
        <v>0</v>
      </c>
      <c r="N5011" s="0">
        <v>0</v>
      </c>
      <c r="O5011" s="0">
        <v>0</v>
      </c>
      <c r="P5011" s="0">
        <v>0</v>
      </c>
      <c r="R5011" s="0" t="b">
        <v>0</v>
      </c>
      <c r="S5011" s="0" t="b">
        <v>0</v>
      </c>
      <c r="T5011" s="68">
        <v>46071.5563888889</v>
      </c>
      <c r="U5011" s="68">
        <v>0</v>
      </c>
      <c r="V5011" s="68">
        <v>46077.6843981482</v>
      </c>
      <c r="W5011" s="0">
        <f>IF(IF(B5011="none",1,IF(B5011="Trialer",1,0))+IF(C5011="Customer",1,IF(C5011="Lost",1,0))=2,1,0)</f>
      </c>
      <c r="X5011" s="0" t="s">
        <v>136</v>
      </c>
      <c r="Y5011" s="0" t="s">
        <v>243</v>
      </c>
      <c r="AV5011" s="68"/>
      <c r="AW5011" s="68"/>
      <c r="AY5011" s="27"/>
      <c r="BD5011" s="68">
        <v>46054.1666666667</v>
      </c>
      <c r="BE5011" s="68">
        <v>46082.1666666667</v>
      </c>
      <c r="BF5011" s="0" t="b">
        <v>0</v>
      </c>
      <c r="BG5011" s="0" t="b">
        <v>0</v>
      </c>
      <c r="BH5011" s="0">
        <v>73</v>
      </c>
      <c r="BI5011" s="0">
        <v>73</v>
      </c>
      <c r="BJ5011" s="0" t="s">
        <v>135</v>
      </c>
    </row>
    <row r="5012">
      <c r="A5012" s="0" t="s">
        <v>5280</v>
      </c>
      <c r="B5012" s="0" t="s">
        <v>5</v>
      </c>
      <c r="C5012" s="0" t="s">
        <v>652</v>
      </c>
      <c r="D5012" s="0" t="s">
        <v>135</v>
      </c>
      <c r="E5012" s="0" t="s">
        <v>3</v>
      </c>
      <c r="F5012" s="0" t="s">
        <v>12</v>
      </c>
      <c r="G5012" s="0" t="s">
        <v>8</v>
      </c>
      <c r="H5012" s="0">
        <v>-17</v>
      </c>
      <c r="I5012" s="0">
        <v>0</v>
      </c>
      <c r="J5012" s="0">
        <v>0</v>
      </c>
      <c r="K5012" s="0">
        <v>0</v>
      </c>
      <c r="L5012" s="0">
        <v>0</v>
      </c>
      <c r="M5012" s="0">
        <v>0</v>
      </c>
      <c r="N5012" s="0">
        <v>0</v>
      </c>
      <c r="O5012" s="0">
        <v>0</v>
      </c>
      <c r="P5012" s="0">
        <v>0</v>
      </c>
      <c r="R5012" s="0" t="b">
        <v>0</v>
      </c>
      <c r="S5012" s="0" t="b">
        <v>1</v>
      </c>
      <c r="T5012" s="68">
        <v>46071.5571990741</v>
      </c>
      <c r="U5012" s="68">
        <v>0</v>
      </c>
      <c r="V5012" s="68">
        <v>0</v>
      </c>
      <c r="W5012" s="0">
        <f>IF(IF(B5012="none",1,IF(B5012="Trialer",1,0))+IF(C5012="Customer",1,IF(C5012="Lost",1,0))=2,1,0)</f>
      </c>
      <c r="X5012" s="0" t="s">
        <v>136</v>
      </c>
      <c r="Y5012" s="0" t="s">
        <v>243</v>
      </c>
      <c r="AV5012" s="68"/>
      <c r="AW5012" s="68"/>
      <c r="AY5012" s="27"/>
      <c r="BD5012" s="68">
        <v>46054.1666666667</v>
      </c>
      <c r="BE5012" s="68">
        <v>46082.1666666667</v>
      </c>
      <c r="BF5012" s="0" t="b">
        <v>0</v>
      </c>
      <c r="BG5012" s="0" t="b">
        <v>0</v>
      </c>
      <c r="BH5012" s="0">
        <v>59</v>
      </c>
      <c r="BI5012" s="0">
        <v>59</v>
      </c>
      <c r="BJ5012" s="0" t="s">
        <v>135</v>
      </c>
    </row>
    <row r="5013">
      <c r="A5013" s="0" t="s">
        <v>5281</v>
      </c>
      <c r="B5013" s="0" t="s">
        <v>5</v>
      </c>
      <c r="C5013" s="0" t="s">
        <v>652</v>
      </c>
      <c r="D5013" s="0" t="s">
        <v>135</v>
      </c>
      <c r="E5013" s="0" t="s">
        <v>2</v>
      </c>
      <c r="F5013" s="0" t="s">
        <v>12</v>
      </c>
      <c r="G5013" s="0" t="s">
        <v>8</v>
      </c>
      <c r="H5013" s="0">
        <v>-17</v>
      </c>
      <c r="I5013" s="0">
        <v>0</v>
      </c>
      <c r="J5013" s="0">
        <v>0</v>
      </c>
      <c r="K5013" s="0">
        <v>0</v>
      </c>
      <c r="L5013" s="0">
        <v>0</v>
      </c>
      <c r="M5013" s="0">
        <v>0</v>
      </c>
      <c r="N5013" s="0">
        <v>0</v>
      </c>
      <c r="O5013" s="0">
        <v>0</v>
      </c>
      <c r="P5013" s="0">
        <v>0</v>
      </c>
      <c r="R5013" s="0" t="b">
        <v>0</v>
      </c>
      <c r="S5013" s="0" t="b">
        <v>0</v>
      </c>
      <c r="T5013" s="68">
        <v>46071.5622106481</v>
      </c>
      <c r="U5013" s="68">
        <v>0</v>
      </c>
      <c r="V5013" s="68">
        <v>46071.5671875</v>
      </c>
      <c r="W5013" s="0">
        <f>IF(IF(B5013="none",1,IF(B5013="Trialer",1,0))+IF(C5013="Customer",1,IF(C5013="Lost",1,0))=2,1,0)</f>
      </c>
      <c r="X5013" s="0" t="s">
        <v>136</v>
      </c>
      <c r="Y5013" s="0" t="s">
        <v>499</v>
      </c>
      <c r="AV5013" s="68"/>
      <c r="AW5013" s="68"/>
      <c r="AY5013" s="27"/>
      <c r="BD5013" s="68">
        <v>46054.1666666667</v>
      </c>
      <c r="BE5013" s="68">
        <v>46082.1666666667</v>
      </c>
      <c r="BF5013" s="0" t="b">
        <v>1</v>
      </c>
      <c r="BG5013" s="0" t="b">
        <v>0</v>
      </c>
      <c r="BH5013" s="0">
        <v>0</v>
      </c>
      <c r="BI5013" s="0">
        <v>0</v>
      </c>
      <c r="BJ5013" s="0" t="s">
        <v>135</v>
      </c>
    </row>
    <row r="5014">
      <c r="A5014" s="0" t="s">
        <v>5282</v>
      </c>
      <c r="B5014" s="0" t="s">
        <v>5</v>
      </c>
      <c r="C5014" s="0" t="s">
        <v>652</v>
      </c>
      <c r="D5014" s="0" t="s">
        <v>135</v>
      </c>
      <c r="E5014" s="0" t="s">
        <v>3</v>
      </c>
      <c r="F5014" s="0" t="s">
        <v>12</v>
      </c>
      <c r="G5014" s="0" t="s">
        <v>8</v>
      </c>
      <c r="H5014" s="0">
        <v>-17</v>
      </c>
      <c r="I5014" s="0">
        <v>0</v>
      </c>
      <c r="J5014" s="0">
        <v>0</v>
      </c>
      <c r="K5014" s="0">
        <v>0</v>
      </c>
      <c r="L5014" s="0">
        <v>0</v>
      </c>
      <c r="M5014" s="0">
        <v>0</v>
      </c>
      <c r="N5014" s="0">
        <v>0</v>
      </c>
      <c r="O5014" s="0">
        <v>0</v>
      </c>
      <c r="P5014" s="0">
        <v>0</v>
      </c>
      <c r="R5014" s="0" t="b">
        <v>0</v>
      </c>
      <c r="S5014" s="0" t="b">
        <v>1</v>
      </c>
      <c r="T5014" s="68">
        <v>46071.5809953704</v>
      </c>
      <c r="U5014" s="68">
        <v>0</v>
      </c>
      <c r="V5014" s="68">
        <v>0</v>
      </c>
      <c r="W5014" s="0">
        <f>IF(IF(B5014="none",1,IF(B5014="Trialer",1,0))+IF(C5014="Customer",1,IF(C5014="Lost",1,0))=2,1,0)</f>
      </c>
      <c r="X5014" s="0" t="s">
        <v>148</v>
      </c>
      <c r="Y5014" s="0" t="s">
        <v>243</v>
      </c>
      <c r="AV5014" s="68"/>
      <c r="AW5014" s="68"/>
      <c r="AY5014" s="27"/>
      <c r="BD5014" s="68">
        <v>46054.1666666667</v>
      </c>
      <c r="BE5014" s="68">
        <v>46082.1666666667</v>
      </c>
      <c r="BF5014" s="0" t="b">
        <v>0</v>
      </c>
      <c r="BG5014" s="0" t="b">
        <v>0</v>
      </c>
      <c r="BH5014" s="0">
        <v>85</v>
      </c>
      <c r="BI5014" s="0">
        <v>85</v>
      </c>
      <c r="BJ5014" s="0" t="s">
        <v>135</v>
      </c>
    </row>
    <row r="5015">
      <c r="A5015" s="0" t="s">
        <v>5283</v>
      </c>
      <c r="B5015" s="0" t="s">
        <v>5</v>
      </c>
      <c r="C5015" s="0" t="s">
        <v>652</v>
      </c>
      <c r="D5015" s="0" t="s">
        <v>135</v>
      </c>
      <c r="E5015" s="0" t="s">
        <v>3</v>
      </c>
      <c r="F5015" s="0" t="s">
        <v>12</v>
      </c>
      <c r="G5015" s="0" t="s">
        <v>8</v>
      </c>
      <c r="H5015" s="0">
        <v>-17</v>
      </c>
      <c r="I5015" s="0">
        <v>0</v>
      </c>
      <c r="J5015" s="0">
        <v>0</v>
      </c>
      <c r="K5015" s="0">
        <v>0</v>
      </c>
      <c r="L5015" s="0">
        <v>0</v>
      </c>
      <c r="M5015" s="0">
        <v>0</v>
      </c>
      <c r="N5015" s="0">
        <v>0</v>
      </c>
      <c r="O5015" s="0">
        <v>0</v>
      </c>
      <c r="P5015" s="0">
        <v>0</v>
      </c>
      <c r="R5015" s="0" t="b">
        <v>0</v>
      </c>
      <c r="S5015" s="0" t="b">
        <v>1</v>
      </c>
      <c r="T5015" s="68">
        <v>46071.6112731481</v>
      </c>
      <c r="U5015" s="68">
        <v>0</v>
      </c>
      <c r="V5015" s="68">
        <v>0</v>
      </c>
      <c r="W5015" s="0">
        <f>IF(IF(B5015="none",1,IF(B5015="Trialer",1,0))+IF(C5015="Customer",1,IF(C5015="Lost",1,0))=2,1,0)</f>
      </c>
      <c r="X5015" s="0" t="s">
        <v>145</v>
      </c>
      <c r="Y5015" s="0" t="s">
        <v>243</v>
      </c>
      <c r="AV5015" s="68"/>
      <c r="AW5015" s="68"/>
      <c r="AY5015" s="27"/>
      <c r="BD5015" s="68">
        <v>46054.1666666667</v>
      </c>
      <c r="BE5015" s="68">
        <v>46082.1666666667</v>
      </c>
      <c r="BF5015" s="0" t="b">
        <v>0</v>
      </c>
      <c r="BG5015" s="0" t="b">
        <v>0</v>
      </c>
      <c r="BH5015" s="0">
        <v>71</v>
      </c>
      <c r="BI5015" s="0">
        <v>71</v>
      </c>
      <c r="BJ5015" s="0" t="s">
        <v>135</v>
      </c>
    </row>
    <row r="5016">
      <c r="A5016" s="0" t="s">
        <v>5284</v>
      </c>
      <c r="B5016" s="0" t="s">
        <v>5</v>
      </c>
      <c r="C5016" s="0" t="s">
        <v>652</v>
      </c>
      <c r="D5016" s="0" t="s">
        <v>135</v>
      </c>
      <c r="E5016" s="0" t="s">
        <v>2</v>
      </c>
      <c r="F5016" s="0" t="s">
        <v>12</v>
      </c>
      <c r="G5016" s="0" t="s">
        <v>8</v>
      </c>
      <c r="H5016" s="0">
        <v>-17</v>
      </c>
      <c r="I5016" s="0">
        <v>0</v>
      </c>
      <c r="J5016" s="0">
        <v>0</v>
      </c>
      <c r="K5016" s="0">
        <v>0</v>
      </c>
      <c r="L5016" s="0">
        <v>0</v>
      </c>
      <c r="M5016" s="0">
        <v>0</v>
      </c>
      <c r="N5016" s="0">
        <v>0</v>
      </c>
      <c r="O5016" s="0">
        <v>0</v>
      </c>
      <c r="P5016" s="0">
        <v>0</v>
      </c>
      <c r="R5016" s="0" t="b">
        <v>0</v>
      </c>
      <c r="S5016" s="0" t="b">
        <v>1</v>
      </c>
      <c r="T5016" s="68">
        <v>46071.6215972222</v>
      </c>
      <c r="U5016" s="68">
        <v>0</v>
      </c>
      <c r="V5016" s="68">
        <v>0</v>
      </c>
      <c r="W5016" s="0">
        <f>IF(IF(B5016="none",1,IF(B5016="Trialer",1,0))+IF(C5016="Customer",1,IF(C5016="Lost",1,0))=2,1,0)</f>
      </c>
      <c r="X5016" s="0" t="s">
        <v>136</v>
      </c>
      <c r="Y5016" s="0" t="s">
        <v>499</v>
      </c>
      <c r="AV5016" s="68"/>
      <c r="AW5016" s="68"/>
      <c r="AY5016" s="27"/>
      <c r="BD5016" s="68">
        <v>46054.1666666667</v>
      </c>
      <c r="BE5016" s="68">
        <v>46082.1666666667</v>
      </c>
      <c r="BF5016" s="0" t="b">
        <v>0</v>
      </c>
      <c r="BG5016" s="0" t="b">
        <v>0</v>
      </c>
      <c r="BH5016" s="0">
        <v>83</v>
      </c>
      <c r="BI5016" s="0">
        <v>83</v>
      </c>
      <c r="BJ5016" s="0" t="s">
        <v>135</v>
      </c>
    </row>
    <row r="5017">
      <c r="A5017" s="0" t="s">
        <v>5285</v>
      </c>
      <c r="B5017" s="0" t="s">
        <v>5</v>
      </c>
      <c r="C5017" s="0" t="s">
        <v>652</v>
      </c>
      <c r="D5017" s="0" t="s">
        <v>135</v>
      </c>
      <c r="E5017" s="0" t="s">
        <v>3</v>
      </c>
      <c r="F5017" s="0" t="s">
        <v>12</v>
      </c>
      <c r="G5017" s="0" t="s">
        <v>8</v>
      </c>
      <c r="H5017" s="0">
        <v>-17</v>
      </c>
      <c r="I5017" s="0">
        <v>0</v>
      </c>
      <c r="J5017" s="0">
        <v>0</v>
      </c>
      <c r="K5017" s="0">
        <v>0</v>
      </c>
      <c r="L5017" s="0">
        <v>0</v>
      </c>
      <c r="M5017" s="0">
        <v>0</v>
      </c>
      <c r="N5017" s="0">
        <v>0</v>
      </c>
      <c r="O5017" s="0">
        <v>0</v>
      </c>
      <c r="P5017" s="0">
        <v>0</v>
      </c>
      <c r="R5017" s="0" t="b">
        <v>0</v>
      </c>
      <c r="S5017" s="0" t="b">
        <v>1</v>
      </c>
      <c r="T5017" s="68">
        <v>46071.6325347222</v>
      </c>
      <c r="U5017" s="68">
        <v>0</v>
      </c>
      <c r="V5017" s="68">
        <v>0</v>
      </c>
      <c r="W5017" s="0">
        <f>IF(IF(B5017="none",1,IF(B5017="Trialer",1,0))+IF(C5017="Customer",1,IF(C5017="Lost",1,0))=2,1,0)</f>
      </c>
      <c r="X5017" s="0" t="s">
        <v>145</v>
      </c>
      <c r="Y5017" s="0" t="s">
        <v>243</v>
      </c>
      <c r="AV5017" s="68"/>
      <c r="AW5017" s="68"/>
      <c r="AY5017" s="27"/>
      <c r="BD5017" s="68">
        <v>46054.1666666667</v>
      </c>
      <c r="BE5017" s="68">
        <v>46082.1666666667</v>
      </c>
      <c r="BF5017" s="0" t="b">
        <v>0</v>
      </c>
      <c r="BG5017" s="0" t="b">
        <v>0</v>
      </c>
      <c r="BH5017" s="0">
        <v>0</v>
      </c>
      <c r="BI5017" s="0">
        <v>0</v>
      </c>
      <c r="BJ5017" s="0" t="s">
        <v>135</v>
      </c>
    </row>
    <row r="5018">
      <c r="A5018" s="0" t="s">
        <v>5286</v>
      </c>
      <c r="B5018" s="0" t="s">
        <v>5</v>
      </c>
      <c r="C5018" s="0" t="s">
        <v>652</v>
      </c>
      <c r="D5018" s="0" t="s">
        <v>135</v>
      </c>
      <c r="E5018" s="0" t="s">
        <v>2</v>
      </c>
      <c r="F5018" s="0" t="s">
        <v>12</v>
      </c>
      <c r="G5018" s="0" t="s">
        <v>8</v>
      </c>
      <c r="H5018" s="0">
        <v>-17</v>
      </c>
      <c r="I5018" s="0">
        <v>0</v>
      </c>
      <c r="J5018" s="0">
        <v>0</v>
      </c>
      <c r="K5018" s="0">
        <v>0</v>
      </c>
      <c r="L5018" s="0">
        <v>0</v>
      </c>
      <c r="M5018" s="0">
        <v>0</v>
      </c>
      <c r="N5018" s="0">
        <v>0</v>
      </c>
      <c r="O5018" s="0">
        <v>0</v>
      </c>
      <c r="P5018" s="0">
        <v>0</v>
      </c>
      <c r="R5018" s="0" t="b">
        <v>0</v>
      </c>
      <c r="S5018" s="0" t="b">
        <v>1</v>
      </c>
      <c r="T5018" s="68">
        <v>46071.6336921296</v>
      </c>
      <c r="U5018" s="68">
        <v>0</v>
      </c>
      <c r="V5018" s="68">
        <v>0</v>
      </c>
      <c r="W5018" s="0">
        <f>IF(IF(B5018="none",1,IF(B5018="Trialer",1,0))+IF(C5018="Customer",1,IF(C5018="Lost",1,0))=2,1,0)</f>
      </c>
      <c r="X5018" s="0" t="s">
        <v>145</v>
      </c>
      <c r="Y5018" s="0" t="s">
        <v>499</v>
      </c>
      <c r="AV5018" s="68"/>
      <c r="AW5018" s="68"/>
      <c r="AY5018" s="27"/>
      <c r="BD5018" s="68">
        <v>46054.1666666667</v>
      </c>
      <c r="BE5018" s="68">
        <v>46082.1666666667</v>
      </c>
      <c r="BF5018" s="0" t="b">
        <v>0</v>
      </c>
      <c r="BG5018" s="0" t="b">
        <v>0</v>
      </c>
      <c r="BH5018" s="0">
        <v>73</v>
      </c>
      <c r="BI5018" s="0">
        <v>73</v>
      </c>
      <c r="BJ5018" s="0" t="s">
        <v>135</v>
      </c>
    </row>
    <row r="5019">
      <c r="A5019" s="0" t="s">
        <v>5287</v>
      </c>
      <c r="B5019" s="0" t="s">
        <v>5</v>
      </c>
      <c r="C5019" s="0" t="s">
        <v>652</v>
      </c>
      <c r="D5019" s="0" t="s">
        <v>135</v>
      </c>
      <c r="E5019" s="0" t="s">
        <v>3</v>
      </c>
      <c r="F5019" s="0" t="s">
        <v>12</v>
      </c>
      <c r="G5019" s="0" t="s">
        <v>8</v>
      </c>
      <c r="H5019" s="0">
        <v>-17</v>
      </c>
      <c r="I5019" s="0">
        <v>0</v>
      </c>
      <c r="J5019" s="0">
        <v>0</v>
      </c>
      <c r="K5019" s="0">
        <v>0</v>
      </c>
      <c r="L5019" s="0">
        <v>0</v>
      </c>
      <c r="M5019" s="0">
        <v>0</v>
      </c>
      <c r="N5019" s="0">
        <v>0</v>
      </c>
      <c r="O5019" s="0">
        <v>0</v>
      </c>
      <c r="P5019" s="0">
        <v>0</v>
      </c>
      <c r="R5019" s="0" t="b">
        <v>0</v>
      </c>
      <c r="S5019" s="0" t="b">
        <v>1</v>
      </c>
      <c r="T5019" s="68">
        <v>46071.6427777778</v>
      </c>
      <c r="U5019" s="68">
        <v>46085.2916666667</v>
      </c>
      <c r="V5019" s="68">
        <v>0</v>
      </c>
      <c r="W5019" s="0">
        <f>IF(IF(B5019="none",1,IF(B5019="Trialer",1,0))+IF(C5019="Customer",1,IF(C5019="Lost",1,0))=2,1,0)</f>
      </c>
      <c r="X5019" s="0" t="s">
        <v>1461</v>
      </c>
      <c r="Y5019" s="0" t="s">
        <v>243</v>
      </c>
      <c r="AV5019" s="68"/>
      <c r="AW5019" s="68"/>
      <c r="AY5019" s="27"/>
      <c r="BD5019" s="68">
        <v>46054.1666666667</v>
      </c>
      <c r="BE5019" s="68">
        <v>46082.1666666667</v>
      </c>
      <c r="BF5019" s="0" t="b">
        <v>0</v>
      </c>
      <c r="BG5019" s="0" t="b">
        <v>0</v>
      </c>
      <c r="BH5019" s="0">
        <v>59</v>
      </c>
      <c r="BI5019" s="0">
        <v>59</v>
      </c>
      <c r="BJ5019" s="0" t="s">
        <v>135</v>
      </c>
    </row>
    <row r="5020">
      <c r="A5020" s="0" t="s">
        <v>5288</v>
      </c>
      <c r="B5020" s="0" t="s">
        <v>5</v>
      </c>
      <c r="C5020" s="0" t="s">
        <v>652</v>
      </c>
      <c r="D5020" s="0" t="s">
        <v>135</v>
      </c>
      <c r="E5020" s="0" t="s">
        <v>3</v>
      </c>
      <c r="F5020" s="0" t="s">
        <v>12</v>
      </c>
      <c r="G5020" s="0" t="s">
        <v>8</v>
      </c>
      <c r="H5020" s="0">
        <v>-17</v>
      </c>
      <c r="I5020" s="0">
        <v>0</v>
      </c>
      <c r="J5020" s="0">
        <v>0</v>
      </c>
      <c r="K5020" s="0">
        <v>0</v>
      </c>
      <c r="L5020" s="0">
        <v>0</v>
      </c>
      <c r="M5020" s="0">
        <v>0</v>
      </c>
      <c r="N5020" s="0">
        <v>155</v>
      </c>
      <c r="O5020" s="0">
        <v>0</v>
      </c>
      <c r="P5020" s="0">
        <v>0</v>
      </c>
      <c r="R5020" s="0" t="b">
        <v>0</v>
      </c>
      <c r="S5020" s="0" t="b">
        <v>1</v>
      </c>
      <c r="T5020" s="68">
        <v>46071.649224537</v>
      </c>
      <c r="U5020" s="68">
        <v>46085.2916666667</v>
      </c>
      <c r="V5020" s="68">
        <v>0</v>
      </c>
      <c r="W5020" s="0">
        <f>IF(IF(B5020="none",1,IF(B5020="Trialer",1,0))+IF(C5020="Customer",1,IF(C5020="Lost",1,0))=2,1,0)</f>
      </c>
      <c r="X5020" s="0" t="s">
        <v>136</v>
      </c>
      <c r="Y5020" s="0" t="s">
        <v>243</v>
      </c>
      <c r="AV5020" s="68"/>
      <c r="AW5020" s="68"/>
      <c r="AY5020" s="27"/>
      <c r="BD5020" s="68">
        <v>46054.1666666667</v>
      </c>
      <c r="BE5020" s="68">
        <v>46082.1666666667</v>
      </c>
      <c r="BF5020" s="0" t="b">
        <v>0</v>
      </c>
      <c r="BG5020" s="0" t="b">
        <v>0</v>
      </c>
      <c r="BH5020" s="0">
        <v>526</v>
      </c>
      <c r="BI5020" s="0">
        <v>526</v>
      </c>
      <c r="BJ5020" s="0" t="s">
        <v>135</v>
      </c>
    </row>
    <row r="5021">
      <c r="A5021" s="0" t="s">
        <v>5289</v>
      </c>
      <c r="B5021" s="0" t="s">
        <v>5</v>
      </c>
      <c r="C5021" s="0" t="s">
        <v>652</v>
      </c>
      <c r="D5021" s="0" t="s">
        <v>135</v>
      </c>
      <c r="E5021" s="0" t="s">
        <v>2414</v>
      </c>
      <c r="F5021" s="0" t="s">
        <v>12</v>
      </c>
      <c r="G5021" s="0" t="s">
        <v>8</v>
      </c>
      <c r="H5021" s="0">
        <v>-17</v>
      </c>
      <c r="I5021" s="0">
        <v>0</v>
      </c>
      <c r="J5021" s="0">
        <v>0</v>
      </c>
      <c r="K5021" s="0">
        <v>0</v>
      </c>
      <c r="L5021" s="0">
        <v>0</v>
      </c>
      <c r="M5021" s="0">
        <v>0</v>
      </c>
      <c r="N5021" s="0">
        <v>0</v>
      </c>
      <c r="O5021" s="0">
        <v>0</v>
      </c>
      <c r="P5021" s="0">
        <v>0</v>
      </c>
      <c r="R5021" s="0" t="b">
        <v>0</v>
      </c>
      <c r="S5021" s="0" t="b">
        <v>1</v>
      </c>
      <c r="T5021" s="68">
        <v>46071.6733680556</v>
      </c>
      <c r="U5021" s="68">
        <v>0</v>
      </c>
      <c r="V5021" s="68">
        <v>0</v>
      </c>
      <c r="W5021" s="0">
        <f>IF(IF(B5021="none",1,IF(B5021="Trialer",1,0))+IF(C5021="Customer",1,IF(C5021="Lost",1,0))=2,1,0)</f>
      </c>
      <c r="X5021" s="0" t="s">
        <v>145</v>
      </c>
      <c r="Y5021" s="0" t="s">
        <v>1516</v>
      </c>
      <c r="AV5021" s="68"/>
      <c r="AW5021" s="68"/>
      <c r="AY5021" s="27"/>
      <c r="BD5021" s="68">
        <v>46054.1666666667</v>
      </c>
      <c r="BE5021" s="68">
        <v>46082.1666666667</v>
      </c>
      <c r="BF5021" s="0" t="b">
        <v>0</v>
      </c>
      <c r="BG5021" s="0" t="b">
        <v>0</v>
      </c>
      <c r="BH5021" s="0">
        <v>59</v>
      </c>
      <c r="BI5021" s="0">
        <v>59</v>
      </c>
      <c r="BJ5021" s="0" t="s">
        <v>135</v>
      </c>
    </row>
    <row r="5022">
      <c r="A5022" s="0" t="s">
        <v>5290</v>
      </c>
      <c r="B5022" s="0" t="s">
        <v>5</v>
      </c>
      <c r="C5022" s="0" t="s">
        <v>652</v>
      </c>
      <c r="D5022" s="0" t="s">
        <v>135</v>
      </c>
      <c r="E5022" s="0" t="s">
        <v>3</v>
      </c>
      <c r="F5022" s="0" t="s">
        <v>12</v>
      </c>
      <c r="G5022" s="0" t="s">
        <v>8</v>
      </c>
      <c r="H5022" s="0">
        <v>-17</v>
      </c>
      <c r="I5022" s="0">
        <v>0</v>
      </c>
      <c r="J5022" s="0">
        <v>0</v>
      </c>
      <c r="K5022" s="0">
        <v>0</v>
      </c>
      <c r="L5022" s="0">
        <v>0</v>
      </c>
      <c r="M5022" s="0">
        <v>0</v>
      </c>
      <c r="N5022" s="0">
        <v>0</v>
      </c>
      <c r="O5022" s="0">
        <v>0</v>
      </c>
      <c r="P5022" s="0">
        <v>0</v>
      </c>
      <c r="R5022" s="0" t="b">
        <v>0</v>
      </c>
      <c r="S5022" s="0" t="b">
        <v>1</v>
      </c>
      <c r="T5022" s="68">
        <v>46071.6945717593</v>
      </c>
      <c r="U5022" s="68">
        <v>0</v>
      </c>
      <c r="V5022" s="68">
        <v>0</v>
      </c>
      <c r="W5022" s="0">
        <f>IF(IF(B5022="none",1,IF(B5022="Trialer",1,0))+IF(C5022="Customer",1,IF(C5022="Lost",1,0))=2,1,0)</f>
      </c>
      <c r="X5022" s="0" t="s">
        <v>882</v>
      </c>
      <c r="Y5022" s="0" t="s">
        <v>243</v>
      </c>
      <c r="AV5022" s="68"/>
      <c r="AW5022" s="68"/>
      <c r="AY5022" s="27"/>
      <c r="BD5022" s="68">
        <v>46054.1666666667</v>
      </c>
      <c r="BE5022" s="68">
        <v>46082.1666666667</v>
      </c>
      <c r="BF5022" s="0" t="b">
        <v>0</v>
      </c>
      <c r="BG5022" s="0" t="b">
        <v>0</v>
      </c>
      <c r="BH5022" s="0">
        <v>85</v>
      </c>
      <c r="BI5022" s="0">
        <v>85</v>
      </c>
      <c r="BJ5022" s="0" t="s">
        <v>135</v>
      </c>
    </row>
    <row r="5023">
      <c r="A5023" s="0" t="s">
        <v>5291</v>
      </c>
      <c r="B5023" s="0" t="s">
        <v>5</v>
      </c>
      <c r="C5023" s="0" t="s">
        <v>652</v>
      </c>
      <c r="D5023" s="0" t="s">
        <v>135</v>
      </c>
      <c r="E5023" s="0" t="s">
        <v>2</v>
      </c>
      <c r="F5023" s="0" t="s">
        <v>12</v>
      </c>
      <c r="G5023" s="0" t="s">
        <v>8</v>
      </c>
      <c r="H5023" s="0">
        <v>-17</v>
      </c>
      <c r="I5023" s="0">
        <v>0</v>
      </c>
      <c r="J5023" s="0">
        <v>0</v>
      </c>
      <c r="K5023" s="0">
        <v>0</v>
      </c>
      <c r="L5023" s="0">
        <v>0</v>
      </c>
      <c r="M5023" s="0">
        <v>0</v>
      </c>
      <c r="N5023" s="0">
        <v>0</v>
      </c>
      <c r="O5023" s="0">
        <v>0</v>
      </c>
      <c r="P5023" s="0">
        <v>0</v>
      </c>
      <c r="R5023" s="0" t="b">
        <v>0</v>
      </c>
      <c r="S5023" s="0" t="b">
        <v>1</v>
      </c>
      <c r="T5023" s="68">
        <v>46071.7001388889</v>
      </c>
      <c r="U5023" s="68">
        <v>46090.3333333333</v>
      </c>
      <c r="V5023" s="68">
        <v>0</v>
      </c>
      <c r="W5023" s="0">
        <f>IF(IF(B5023="none",1,IF(B5023="Trialer",1,0))+IF(C5023="Customer",1,IF(C5023="Lost",1,0))=2,1,0)</f>
      </c>
      <c r="X5023" s="0" t="s">
        <v>1461</v>
      </c>
      <c r="Y5023" s="0" t="s">
        <v>499</v>
      </c>
      <c r="AV5023" s="68"/>
      <c r="AW5023" s="68"/>
      <c r="AY5023" s="27"/>
      <c r="BD5023" s="68">
        <v>46054.1666666667</v>
      </c>
      <c r="BE5023" s="68">
        <v>46082.1666666667</v>
      </c>
      <c r="BF5023" s="0" t="b">
        <v>0</v>
      </c>
      <c r="BG5023" s="0" t="b">
        <v>0</v>
      </c>
      <c r="BH5023" s="0">
        <v>118</v>
      </c>
      <c r="BI5023" s="0">
        <v>118</v>
      </c>
      <c r="BJ5023" s="0" t="s">
        <v>135</v>
      </c>
    </row>
    <row r="5024">
      <c r="A5024" s="0" t="s">
        <v>5292</v>
      </c>
      <c r="B5024" s="0" t="s">
        <v>5</v>
      </c>
      <c r="C5024" s="0" t="s">
        <v>652</v>
      </c>
      <c r="D5024" s="0" t="s">
        <v>135</v>
      </c>
      <c r="E5024" s="0" t="s">
        <v>3</v>
      </c>
      <c r="F5024" s="0" t="s">
        <v>12</v>
      </c>
      <c r="G5024" s="0" t="s">
        <v>8</v>
      </c>
      <c r="H5024" s="0">
        <v>-17</v>
      </c>
      <c r="I5024" s="0">
        <v>0</v>
      </c>
      <c r="J5024" s="0">
        <v>0</v>
      </c>
      <c r="K5024" s="0">
        <v>0</v>
      </c>
      <c r="L5024" s="0">
        <v>0</v>
      </c>
      <c r="M5024" s="0">
        <v>0</v>
      </c>
      <c r="N5024" s="0">
        <v>0</v>
      </c>
      <c r="O5024" s="0">
        <v>0</v>
      </c>
      <c r="P5024" s="0">
        <v>0</v>
      </c>
      <c r="R5024" s="0" t="b">
        <v>0</v>
      </c>
      <c r="S5024" s="0" t="b">
        <v>1</v>
      </c>
      <c r="T5024" s="68">
        <v>46071.7035416667</v>
      </c>
      <c r="U5024" s="68">
        <v>0</v>
      </c>
      <c r="V5024" s="68">
        <v>0</v>
      </c>
      <c r="W5024" s="0">
        <f>IF(IF(B5024="none",1,IF(B5024="Trialer",1,0))+IF(C5024="Customer",1,IF(C5024="Lost",1,0))=2,1,0)</f>
      </c>
      <c r="X5024" s="0" t="s">
        <v>882</v>
      </c>
      <c r="Y5024" s="0" t="s">
        <v>243</v>
      </c>
      <c r="AV5024" s="68"/>
      <c r="AW5024" s="68"/>
      <c r="AY5024" s="27"/>
      <c r="BD5024" s="68">
        <v>46054.1666666667</v>
      </c>
      <c r="BE5024" s="68">
        <v>46082.1666666667</v>
      </c>
      <c r="BF5024" s="0" t="b">
        <v>0</v>
      </c>
      <c r="BG5024" s="0" t="b">
        <v>0</v>
      </c>
      <c r="BH5024" s="0">
        <v>59</v>
      </c>
      <c r="BI5024" s="0">
        <v>59</v>
      </c>
      <c r="BJ5024" s="0" t="s">
        <v>135</v>
      </c>
    </row>
    <row r="5025">
      <c r="A5025" s="0" t="s">
        <v>5293</v>
      </c>
      <c r="B5025" s="0" t="s">
        <v>5</v>
      </c>
      <c r="C5025" s="0" t="s">
        <v>652</v>
      </c>
      <c r="D5025" s="0" t="s">
        <v>135</v>
      </c>
      <c r="E5025" s="0" t="s">
        <v>3</v>
      </c>
      <c r="F5025" s="0" t="s">
        <v>12</v>
      </c>
      <c r="G5025" s="0" t="s">
        <v>8</v>
      </c>
      <c r="H5025" s="0">
        <v>-17</v>
      </c>
      <c r="I5025" s="0">
        <v>0</v>
      </c>
      <c r="J5025" s="0">
        <v>0</v>
      </c>
      <c r="K5025" s="0">
        <v>0</v>
      </c>
      <c r="L5025" s="0">
        <v>0</v>
      </c>
      <c r="M5025" s="0">
        <v>0</v>
      </c>
      <c r="N5025" s="0">
        <v>0</v>
      </c>
      <c r="O5025" s="0">
        <v>0</v>
      </c>
      <c r="P5025" s="0">
        <v>0</v>
      </c>
      <c r="R5025" s="0" t="b">
        <v>0</v>
      </c>
      <c r="S5025" s="0" t="b">
        <v>1</v>
      </c>
      <c r="T5025" s="68">
        <v>46071.7173958333</v>
      </c>
      <c r="U5025" s="68">
        <v>0</v>
      </c>
      <c r="V5025" s="68">
        <v>0</v>
      </c>
      <c r="W5025" s="0">
        <f>IF(IF(B5025="none",1,IF(B5025="Trialer",1,0))+IF(C5025="Customer",1,IF(C5025="Lost",1,0))=2,1,0)</f>
      </c>
      <c r="X5025" s="0" t="s">
        <v>145</v>
      </c>
      <c r="Y5025" s="0" t="s">
        <v>243</v>
      </c>
      <c r="AV5025" s="68"/>
      <c r="AW5025" s="68"/>
      <c r="AY5025" s="27"/>
      <c r="BD5025" s="68">
        <v>46054.1666666667</v>
      </c>
      <c r="BE5025" s="68">
        <v>46082.1666666667</v>
      </c>
      <c r="BF5025" s="0" t="b">
        <v>0</v>
      </c>
      <c r="BG5025" s="0" t="b">
        <v>0</v>
      </c>
      <c r="BH5025" s="0">
        <v>59</v>
      </c>
      <c r="BI5025" s="0">
        <v>59</v>
      </c>
      <c r="BJ5025" s="0" t="s">
        <v>135</v>
      </c>
    </row>
    <row r="5026">
      <c r="A5026" s="0" t="s">
        <v>5294</v>
      </c>
      <c r="B5026" s="0" t="s">
        <v>5</v>
      </c>
      <c r="C5026" s="0" t="s">
        <v>652</v>
      </c>
      <c r="D5026" s="0" t="s">
        <v>135</v>
      </c>
      <c r="E5026" s="0" t="s">
        <v>2</v>
      </c>
      <c r="F5026" s="0" t="s">
        <v>12</v>
      </c>
      <c r="G5026" s="0" t="s">
        <v>8</v>
      </c>
      <c r="H5026" s="0">
        <v>-17</v>
      </c>
      <c r="I5026" s="0">
        <v>0</v>
      </c>
      <c r="J5026" s="0">
        <v>0</v>
      </c>
      <c r="K5026" s="0">
        <v>0</v>
      </c>
      <c r="L5026" s="0">
        <v>0</v>
      </c>
      <c r="M5026" s="0">
        <v>0</v>
      </c>
      <c r="N5026" s="0">
        <v>0</v>
      </c>
      <c r="O5026" s="0">
        <v>0</v>
      </c>
      <c r="P5026" s="0">
        <v>0</v>
      </c>
      <c r="R5026" s="0" t="b">
        <v>0</v>
      </c>
      <c r="S5026" s="0" t="b">
        <v>1</v>
      </c>
      <c r="T5026" s="68">
        <v>46071.7358449074</v>
      </c>
      <c r="U5026" s="68">
        <v>0</v>
      </c>
      <c r="V5026" s="68">
        <v>0</v>
      </c>
      <c r="W5026" s="0">
        <f>IF(IF(B5026="none",1,IF(B5026="Trialer",1,0))+IF(C5026="Customer",1,IF(C5026="Lost",1,0))=2,1,0)</f>
      </c>
      <c r="X5026" s="0" t="s">
        <v>145</v>
      </c>
      <c r="Y5026" s="0" t="s">
        <v>499</v>
      </c>
      <c r="AV5026" s="68"/>
      <c r="AW5026" s="68"/>
      <c r="AY5026" s="27"/>
      <c r="BD5026" s="68">
        <v>46054.1666666667</v>
      </c>
      <c r="BE5026" s="68">
        <v>46082.1666666667</v>
      </c>
      <c r="BF5026" s="0" t="b">
        <v>0</v>
      </c>
      <c r="BG5026" s="0" t="b">
        <v>0</v>
      </c>
      <c r="BH5026" s="0">
        <v>97</v>
      </c>
      <c r="BI5026" s="0">
        <v>97</v>
      </c>
      <c r="BJ5026" s="0" t="s">
        <v>135</v>
      </c>
    </row>
    <row r="5027">
      <c r="A5027" s="0" t="s">
        <v>5295</v>
      </c>
      <c r="B5027" s="0" t="s">
        <v>5</v>
      </c>
      <c r="C5027" s="0" t="s">
        <v>652</v>
      </c>
      <c r="D5027" s="0" t="s">
        <v>135</v>
      </c>
      <c r="E5027" s="0" t="s">
        <v>3</v>
      </c>
      <c r="F5027" s="0" t="s">
        <v>12</v>
      </c>
      <c r="G5027" s="0" t="s">
        <v>8</v>
      </c>
      <c r="H5027" s="0">
        <v>-17</v>
      </c>
      <c r="I5027" s="0">
        <v>0</v>
      </c>
      <c r="J5027" s="0">
        <v>0</v>
      </c>
      <c r="K5027" s="0">
        <v>0</v>
      </c>
      <c r="L5027" s="0">
        <v>0</v>
      </c>
      <c r="M5027" s="0">
        <v>0</v>
      </c>
      <c r="N5027" s="0">
        <v>0</v>
      </c>
      <c r="O5027" s="0">
        <v>0</v>
      </c>
      <c r="P5027" s="0">
        <v>0</v>
      </c>
      <c r="R5027" s="0" t="b">
        <v>0</v>
      </c>
      <c r="S5027" s="0" t="b">
        <v>0</v>
      </c>
      <c r="T5027" s="68">
        <v>46071.7363773148</v>
      </c>
      <c r="U5027" s="68">
        <v>0</v>
      </c>
      <c r="V5027" s="68">
        <v>46092.3623032407</v>
      </c>
      <c r="W5027" s="0">
        <f>IF(IF(B5027="none",1,IF(B5027="Trialer",1,0))+IF(C5027="Customer",1,IF(C5027="Lost",1,0))=2,1,0)</f>
      </c>
      <c r="X5027" s="0" t="s">
        <v>145</v>
      </c>
      <c r="Y5027" s="0" t="s">
        <v>243</v>
      </c>
      <c r="AV5027" s="68"/>
      <c r="AW5027" s="68"/>
      <c r="AY5027" s="27"/>
      <c r="BD5027" s="68">
        <v>46054.1666666667</v>
      </c>
      <c r="BE5027" s="68">
        <v>46082.1666666667</v>
      </c>
      <c r="BF5027" s="0" t="b">
        <v>0</v>
      </c>
      <c r="BG5027" s="0" t="b">
        <v>0</v>
      </c>
      <c r="BH5027" s="0">
        <v>142</v>
      </c>
      <c r="BI5027" s="0">
        <v>142</v>
      </c>
      <c r="BJ5027" s="0" t="s">
        <v>135</v>
      </c>
    </row>
    <row r="5028">
      <c r="A5028" s="0" t="s">
        <v>5296</v>
      </c>
      <c r="B5028" s="0" t="s">
        <v>5</v>
      </c>
      <c r="C5028" s="0" t="s">
        <v>652</v>
      </c>
      <c r="D5028" s="0" t="s">
        <v>135</v>
      </c>
      <c r="E5028" s="0" t="s">
        <v>1515</v>
      </c>
      <c r="F5028" s="0" t="s">
        <v>12</v>
      </c>
      <c r="G5028" s="0" t="s">
        <v>8</v>
      </c>
      <c r="H5028" s="0">
        <v>-17</v>
      </c>
      <c r="I5028" s="0">
        <v>0</v>
      </c>
      <c r="J5028" s="0">
        <v>0</v>
      </c>
      <c r="K5028" s="0">
        <v>0</v>
      </c>
      <c r="L5028" s="0">
        <v>0</v>
      </c>
      <c r="M5028" s="0">
        <v>0</v>
      </c>
      <c r="N5028" s="0">
        <v>0</v>
      </c>
      <c r="O5028" s="0">
        <v>0</v>
      </c>
      <c r="P5028" s="0">
        <v>0</v>
      </c>
      <c r="R5028" s="0" t="b">
        <v>0</v>
      </c>
      <c r="S5028" s="0" t="b">
        <v>1</v>
      </c>
      <c r="T5028" s="68">
        <v>46071.803275463</v>
      </c>
      <c r="U5028" s="68">
        <v>0</v>
      </c>
      <c r="V5028" s="68">
        <v>0</v>
      </c>
      <c r="W5028" s="0">
        <f>IF(IF(B5028="none",1,IF(B5028="Trialer",1,0))+IF(C5028="Customer",1,IF(C5028="Lost",1,0))=2,1,0)</f>
      </c>
      <c r="X5028" s="0" t="s">
        <v>148</v>
      </c>
      <c r="Y5028" s="0" t="s">
        <v>1516</v>
      </c>
      <c r="AV5028" s="68"/>
      <c r="AW5028" s="68"/>
      <c r="AY5028" s="27"/>
      <c r="BD5028" s="68">
        <v>46054.1666666667</v>
      </c>
      <c r="BE5028" s="68">
        <v>46082.1666666667</v>
      </c>
      <c r="BF5028" s="0" t="b">
        <v>0</v>
      </c>
      <c r="BG5028" s="0" t="b">
        <v>0</v>
      </c>
      <c r="BH5028" s="0">
        <v>59</v>
      </c>
      <c r="BI5028" s="0">
        <v>59</v>
      </c>
      <c r="BJ5028" s="0" t="s">
        <v>135</v>
      </c>
    </row>
    <row r="5029">
      <c r="A5029" s="0" t="s">
        <v>5297</v>
      </c>
      <c r="B5029" s="0" t="s">
        <v>5</v>
      </c>
      <c r="C5029" s="0" t="s">
        <v>652</v>
      </c>
      <c r="D5029" s="0" t="s">
        <v>135</v>
      </c>
      <c r="E5029" s="0" t="s">
        <v>2</v>
      </c>
      <c r="F5029" s="0" t="s">
        <v>12</v>
      </c>
      <c r="G5029" s="0" t="s">
        <v>8</v>
      </c>
      <c r="H5029" s="0">
        <v>-17</v>
      </c>
      <c r="I5029" s="0">
        <v>0</v>
      </c>
      <c r="J5029" s="0">
        <v>0</v>
      </c>
      <c r="K5029" s="0">
        <v>0</v>
      </c>
      <c r="L5029" s="0">
        <v>0</v>
      </c>
      <c r="M5029" s="0">
        <v>0</v>
      </c>
      <c r="N5029" s="0">
        <v>0</v>
      </c>
      <c r="O5029" s="0">
        <v>0</v>
      </c>
      <c r="P5029" s="0">
        <v>0</v>
      </c>
      <c r="R5029" s="0" t="b">
        <v>0</v>
      </c>
      <c r="S5029" s="0" t="b">
        <v>0</v>
      </c>
      <c r="T5029" s="68">
        <v>46071.8283796296</v>
      </c>
      <c r="U5029" s="68">
        <v>0</v>
      </c>
      <c r="V5029" s="68">
        <v>46071.8767592593</v>
      </c>
      <c r="W5029" s="0">
        <f>IF(IF(B5029="none",1,IF(B5029="Trialer",1,0))+IF(C5029="Customer",1,IF(C5029="Lost",1,0))=2,1,0)</f>
      </c>
      <c r="X5029" s="0" t="s">
        <v>145</v>
      </c>
      <c r="Y5029" s="0" t="s">
        <v>499</v>
      </c>
      <c r="AV5029" s="68"/>
      <c r="AW5029" s="68"/>
      <c r="AY5029" s="27"/>
      <c r="BD5029" s="68">
        <v>46054.1666666667</v>
      </c>
      <c r="BE5029" s="68">
        <v>46082.1666666667</v>
      </c>
      <c r="BF5029" s="0" t="b">
        <v>1</v>
      </c>
      <c r="BG5029" s="0" t="b">
        <v>0</v>
      </c>
      <c r="BH5029" s="0">
        <v>0</v>
      </c>
      <c r="BI5029" s="0">
        <v>0</v>
      </c>
      <c r="BJ5029" s="0" t="s">
        <v>135</v>
      </c>
    </row>
    <row r="5030">
      <c r="A5030" s="0" t="s">
        <v>5298</v>
      </c>
      <c r="B5030" s="0" t="s">
        <v>5</v>
      </c>
      <c r="C5030" s="0" t="s">
        <v>652</v>
      </c>
      <c r="D5030" s="0" t="s">
        <v>135</v>
      </c>
      <c r="E5030" s="0" t="s">
        <v>3</v>
      </c>
      <c r="F5030" s="0" t="s">
        <v>12</v>
      </c>
      <c r="G5030" s="0" t="s">
        <v>8</v>
      </c>
      <c r="H5030" s="0">
        <v>-17</v>
      </c>
      <c r="I5030" s="0">
        <v>0</v>
      </c>
      <c r="J5030" s="0">
        <v>0</v>
      </c>
      <c r="K5030" s="0">
        <v>0</v>
      </c>
      <c r="L5030" s="0">
        <v>0</v>
      </c>
      <c r="M5030" s="0">
        <v>0</v>
      </c>
      <c r="N5030" s="0">
        <v>0</v>
      </c>
      <c r="O5030" s="0">
        <v>0</v>
      </c>
      <c r="P5030" s="0">
        <v>0</v>
      </c>
      <c r="R5030" s="0" t="b">
        <v>0</v>
      </c>
      <c r="S5030" s="0" t="b">
        <v>0</v>
      </c>
      <c r="T5030" s="68">
        <v>46071.8731712963</v>
      </c>
      <c r="U5030" s="68">
        <v>0</v>
      </c>
      <c r="V5030" s="68">
        <v>46071.8824074074</v>
      </c>
      <c r="W5030" s="0">
        <f>IF(IF(B5030="none",1,IF(B5030="Trialer",1,0))+IF(C5030="Customer",1,IF(C5030="Lost",1,0))=2,1,0)</f>
      </c>
      <c r="X5030" s="0" t="s">
        <v>145</v>
      </c>
      <c r="Y5030" s="0" t="s">
        <v>243</v>
      </c>
      <c r="AV5030" s="68"/>
      <c r="AW5030" s="68"/>
      <c r="AY5030" s="27"/>
      <c r="BD5030" s="68">
        <v>46054.1666666667</v>
      </c>
      <c r="BE5030" s="68">
        <v>46082.1666666667</v>
      </c>
      <c r="BF5030" s="0" t="b">
        <v>0</v>
      </c>
      <c r="BG5030" s="0" t="b">
        <v>0</v>
      </c>
      <c r="BH5030" s="0">
        <v>0</v>
      </c>
      <c r="BI5030" s="0">
        <v>0</v>
      </c>
      <c r="BJ5030" s="0" t="s">
        <v>135</v>
      </c>
    </row>
    <row r="5031">
      <c r="A5031" s="0" t="s">
        <v>5299</v>
      </c>
      <c r="B5031" s="0" t="s">
        <v>5</v>
      </c>
      <c r="C5031" s="0" t="s">
        <v>652</v>
      </c>
      <c r="D5031" s="0" t="s">
        <v>135</v>
      </c>
      <c r="E5031" s="0" t="s">
        <v>3</v>
      </c>
      <c r="F5031" s="0" t="s">
        <v>12</v>
      </c>
      <c r="G5031" s="0" t="s">
        <v>8</v>
      </c>
      <c r="H5031" s="0">
        <v>-17</v>
      </c>
      <c r="I5031" s="0">
        <v>0</v>
      </c>
      <c r="J5031" s="0">
        <v>0</v>
      </c>
      <c r="K5031" s="0">
        <v>0</v>
      </c>
      <c r="L5031" s="0">
        <v>0</v>
      </c>
      <c r="M5031" s="0">
        <v>0</v>
      </c>
      <c r="N5031" s="0">
        <v>0</v>
      </c>
      <c r="O5031" s="0">
        <v>0</v>
      </c>
      <c r="P5031" s="0">
        <v>0</v>
      </c>
      <c r="R5031" s="0" t="b">
        <v>0</v>
      </c>
      <c r="S5031" s="0" t="b">
        <v>1</v>
      </c>
      <c r="T5031" s="68">
        <v>46071.8885648148</v>
      </c>
      <c r="U5031" s="68">
        <v>0</v>
      </c>
      <c r="V5031" s="68">
        <v>0</v>
      </c>
      <c r="W5031" s="0">
        <f>IF(IF(B5031="none",1,IF(B5031="Trialer",1,0))+IF(C5031="Customer",1,IF(C5031="Lost",1,0))=2,1,0)</f>
      </c>
      <c r="X5031" s="0" t="s">
        <v>136</v>
      </c>
      <c r="Y5031" s="0" t="s">
        <v>243</v>
      </c>
      <c r="AV5031" s="68"/>
      <c r="AW5031" s="68"/>
      <c r="AY5031" s="27"/>
      <c r="BD5031" s="68">
        <v>46054.1666666667</v>
      </c>
      <c r="BE5031" s="68">
        <v>46082.1666666667</v>
      </c>
      <c r="BF5031" s="0" t="b">
        <v>0</v>
      </c>
      <c r="BG5031" s="0" t="b">
        <v>0</v>
      </c>
      <c r="BH5031" s="0">
        <v>59</v>
      </c>
      <c r="BI5031" s="0">
        <v>59</v>
      </c>
      <c r="BJ5031" s="0" t="s">
        <v>135</v>
      </c>
    </row>
    <row r="5032">
      <c r="A5032" s="0" t="s">
        <v>5300</v>
      </c>
      <c r="B5032" s="0" t="s">
        <v>5</v>
      </c>
      <c r="C5032" s="0" t="s">
        <v>652</v>
      </c>
      <c r="D5032" s="0" t="s">
        <v>135</v>
      </c>
      <c r="E5032" s="0" t="s">
        <v>3</v>
      </c>
      <c r="F5032" s="0" t="s">
        <v>12</v>
      </c>
      <c r="G5032" s="0" t="s">
        <v>8</v>
      </c>
      <c r="H5032" s="0">
        <v>-18</v>
      </c>
      <c r="I5032" s="0">
        <v>0</v>
      </c>
      <c r="J5032" s="0">
        <v>0</v>
      </c>
      <c r="K5032" s="0">
        <v>0</v>
      </c>
      <c r="L5032" s="0">
        <v>0</v>
      </c>
      <c r="M5032" s="0">
        <v>0</v>
      </c>
      <c r="N5032" s="0">
        <v>0</v>
      </c>
      <c r="O5032" s="0">
        <v>0</v>
      </c>
      <c r="P5032" s="0">
        <v>0</v>
      </c>
      <c r="R5032" s="0" t="b">
        <v>0</v>
      </c>
      <c r="S5032" s="0" t="b">
        <v>1</v>
      </c>
      <c r="T5032" s="68">
        <v>46072.0245486111</v>
      </c>
      <c r="U5032" s="68">
        <v>0</v>
      </c>
      <c r="V5032" s="68">
        <v>0</v>
      </c>
      <c r="W5032" s="0">
        <f>IF(IF(B5032="none",1,IF(B5032="Trialer",1,0))+IF(C5032="Customer",1,IF(C5032="Lost",1,0))=2,1,0)</f>
      </c>
      <c r="X5032" s="0" t="s">
        <v>148</v>
      </c>
      <c r="Y5032" s="0" t="s">
        <v>243</v>
      </c>
      <c r="AV5032" s="68"/>
      <c r="AW5032" s="68"/>
      <c r="AY5032" s="27"/>
      <c r="BD5032" s="68">
        <v>46054.1666666667</v>
      </c>
      <c r="BE5032" s="68">
        <v>46082.1666666667</v>
      </c>
      <c r="BF5032" s="0" t="b">
        <v>0</v>
      </c>
      <c r="BG5032" s="0" t="b">
        <v>0</v>
      </c>
      <c r="BH5032" s="0">
        <v>73</v>
      </c>
      <c r="BI5032" s="0">
        <v>73</v>
      </c>
      <c r="BJ5032" s="0" t="s">
        <v>135</v>
      </c>
    </row>
    <row r="5033">
      <c r="A5033" s="0" t="s">
        <v>5301</v>
      </c>
      <c r="B5033" s="0" t="s">
        <v>5</v>
      </c>
      <c r="C5033" s="0" t="s">
        <v>652</v>
      </c>
      <c r="D5033" s="0" t="s">
        <v>135</v>
      </c>
      <c r="E5033" s="0" t="s">
        <v>4</v>
      </c>
      <c r="F5033" s="0" t="s">
        <v>12</v>
      </c>
      <c r="G5033" s="0" t="s">
        <v>8</v>
      </c>
      <c r="H5033" s="0">
        <v>-18</v>
      </c>
      <c r="I5033" s="0">
        <v>0</v>
      </c>
      <c r="J5033" s="0">
        <v>0</v>
      </c>
      <c r="K5033" s="0">
        <v>0</v>
      </c>
      <c r="L5033" s="0">
        <v>0</v>
      </c>
      <c r="M5033" s="0">
        <v>0</v>
      </c>
      <c r="N5033" s="0">
        <v>0</v>
      </c>
      <c r="O5033" s="0">
        <v>0</v>
      </c>
      <c r="P5033" s="0">
        <v>0</v>
      </c>
      <c r="R5033" s="0" t="b">
        <v>0</v>
      </c>
      <c r="S5033" s="0" t="b">
        <v>1</v>
      </c>
      <c r="T5033" s="68">
        <v>46072.304212963</v>
      </c>
      <c r="U5033" s="68">
        <v>0</v>
      </c>
      <c r="V5033" s="68">
        <v>0</v>
      </c>
      <c r="W5033" s="0">
        <f>IF(IF(B5033="none",1,IF(B5033="Trialer",1,0))+IF(C5033="Customer",1,IF(C5033="Lost",1,0))=2,1,0)</f>
      </c>
      <c r="X5033" s="0" t="s">
        <v>145</v>
      </c>
      <c r="Y5033" s="0" t="s">
        <v>1772</v>
      </c>
      <c r="AV5033" s="68"/>
      <c r="AW5033" s="68"/>
      <c r="AY5033" s="27"/>
      <c r="BD5033" s="68">
        <v>46054.1666666667</v>
      </c>
      <c r="BE5033" s="68">
        <v>46082.1666666667</v>
      </c>
      <c r="BF5033" s="0" t="b">
        <v>0</v>
      </c>
      <c r="BG5033" s="0" t="b">
        <v>0</v>
      </c>
      <c r="BH5033" s="0">
        <v>59</v>
      </c>
      <c r="BI5033" s="0">
        <v>59</v>
      </c>
      <c r="BJ5033" s="0" t="s">
        <v>135</v>
      </c>
    </row>
    <row r="5034">
      <c r="A5034" s="0" t="s">
        <v>5302</v>
      </c>
      <c r="B5034" s="0" t="s">
        <v>5</v>
      </c>
      <c r="C5034" s="0" t="s">
        <v>652</v>
      </c>
      <c r="D5034" s="0" t="s">
        <v>135</v>
      </c>
      <c r="E5034" s="0" t="s">
        <v>1515</v>
      </c>
      <c r="F5034" s="0" t="s">
        <v>12</v>
      </c>
      <c r="G5034" s="0" t="s">
        <v>8</v>
      </c>
      <c r="H5034" s="0">
        <v>-18</v>
      </c>
      <c r="I5034" s="0">
        <v>0</v>
      </c>
      <c r="J5034" s="0">
        <v>0</v>
      </c>
      <c r="K5034" s="0">
        <v>0</v>
      </c>
      <c r="L5034" s="0">
        <v>0</v>
      </c>
      <c r="M5034" s="0">
        <v>0</v>
      </c>
      <c r="N5034" s="0">
        <v>0</v>
      </c>
      <c r="O5034" s="0">
        <v>0</v>
      </c>
      <c r="P5034" s="0">
        <v>0</v>
      </c>
      <c r="R5034" s="0" t="b">
        <v>0</v>
      </c>
      <c r="S5034" s="0" t="b">
        <v>0</v>
      </c>
      <c r="T5034" s="68">
        <v>46072.3058680556</v>
      </c>
      <c r="U5034" s="68">
        <v>0</v>
      </c>
      <c r="V5034" s="68">
        <v>46072.3747916667</v>
      </c>
      <c r="W5034" s="0">
        <f>IF(IF(B5034="none",1,IF(B5034="Trialer",1,0))+IF(C5034="Customer",1,IF(C5034="Lost",1,0))=2,1,0)</f>
      </c>
      <c r="X5034" s="0" t="s">
        <v>145</v>
      </c>
      <c r="Y5034" s="0" t="s">
        <v>1516</v>
      </c>
      <c r="AV5034" s="68"/>
      <c r="AW5034" s="68"/>
      <c r="AY5034" s="27"/>
      <c r="BD5034" s="68">
        <v>46054.1666666667</v>
      </c>
      <c r="BE5034" s="68">
        <v>46082.1666666667</v>
      </c>
      <c r="BF5034" s="0" t="b">
        <v>1</v>
      </c>
      <c r="BG5034" s="0" t="b">
        <v>0</v>
      </c>
      <c r="BH5034" s="0">
        <v>0</v>
      </c>
      <c r="BI5034" s="0">
        <v>0</v>
      </c>
      <c r="BJ5034" s="0" t="s">
        <v>135</v>
      </c>
    </row>
    <row r="5035">
      <c r="A5035" s="0" t="s">
        <v>5303</v>
      </c>
      <c r="B5035" s="0" t="s">
        <v>5</v>
      </c>
      <c r="C5035" s="0" t="s">
        <v>652</v>
      </c>
      <c r="D5035" s="0" t="s">
        <v>135</v>
      </c>
      <c r="E5035" s="0" t="s">
        <v>3</v>
      </c>
      <c r="F5035" s="0" t="s">
        <v>12</v>
      </c>
      <c r="G5035" s="0" t="s">
        <v>8</v>
      </c>
      <c r="H5035" s="0">
        <v>-18</v>
      </c>
      <c r="I5035" s="0">
        <v>0</v>
      </c>
      <c r="J5035" s="0">
        <v>0</v>
      </c>
      <c r="K5035" s="0">
        <v>0</v>
      </c>
      <c r="L5035" s="0">
        <v>0</v>
      </c>
      <c r="M5035" s="0">
        <v>0</v>
      </c>
      <c r="N5035" s="0">
        <v>0</v>
      </c>
      <c r="O5035" s="0">
        <v>0</v>
      </c>
      <c r="P5035" s="0">
        <v>0</v>
      </c>
      <c r="R5035" s="0" t="b">
        <v>0</v>
      </c>
      <c r="S5035" s="0" t="b">
        <v>0</v>
      </c>
      <c r="T5035" s="68">
        <v>46072.3265625</v>
      </c>
      <c r="U5035" s="68">
        <v>0</v>
      </c>
      <c r="V5035" s="68">
        <v>46072.379212963</v>
      </c>
      <c r="W5035" s="0">
        <f>IF(IF(B5035="none",1,IF(B5035="Trialer",1,0))+IF(C5035="Customer",1,IF(C5035="Lost",1,0))=2,1,0)</f>
      </c>
      <c r="X5035" s="0" t="s">
        <v>136</v>
      </c>
      <c r="Y5035" s="0" t="s">
        <v>243</v>
      </c>
      <c r="AV5035" s="68"/>
      <c r="AW5035" s="68"/>
      <c r="AY5035" s="27"/>
      <c r="BD5035" s="68">
        <v>46054.1666666667</v>
      </c>
      <c r="BE5035" s="68">
        <v>46082.1666666667</v>
      </c>
      <c r="BF5035" s="0" t="b">
        <v>1</v>
      </c>
      <c r="BG5035" s="0" t="b">
        <v>0</v>
      </c>
      <c r="BH5035" s="0">
        <v>0</v>
      </c>
      <c r="BI5035" s="0">
        <v>0</v>
      </c>
      <c r="BJ5035" s="0" t="s">
        <v>135</v>
      </c>
    </row>
    <row r="5036">
      <c r="A5036" s="0" t="s">
        <v>5304</v>
      </c>
      <c r="B5036" s="0" t="s">
        <v>5</v>
      </c>
      <c r="C5036" s="0" t="s">
        <v>652</v>
      </c>
      <c r="D5036" s="0" t="s">
        <v>135</v>
      </c>
      <c r="E5036" s="0" t="s">
        <v>3</v>
      </c>
      <c r="F5036" s="0" t="s">
        <v>12</v>
      </c>
      <c r="G5036" s="0" t="s">
        <v>8</v>
      </c>
      <c r="H5036" s="0">
        <v>-18</v>
      </c>
      <c r="I5036" s="0">
        <v>0</v>
      </c>
      <c r="J5036" s="0">
        <v>0</v>
      </c>
      <c r="K5036" s="0">
        <v>0</v>
      </c>
      <c r="L5036" s="0">
        <v>0</v>
      </c>
      <c r="M5036" s="0">
        <v>0</v>
      </c>
      <c r="N5036" s="0">
        <v>0</v>
      </c>
      <c r="O5036" s="0">
        <v>0</v>
      </c>
      <c r="P5036" s="0">
        <v>0</v>
      </c>
      <c r="R5036" s="0" t="b">
        <v>0</v>
      </c>
      <c r="S5036" s="0" t="b">
        <v>1</v>
      </c>
      <c r="T5036" s="68">
        <v>46072.3984837963</v>
      </c>
      <c r="U5036" s="68">
        <v>0</v>
      </c>
      <c r="V5036" s="68">
        <v>0</v>
      </c>
      <c r="W5036" s="0">
        <f>IF(IF(B5036="none",1,IF(B5036="Trialer",1,0))+IF(C5036="Customer",1,IF(C5036="Lost",1,0))=2,1,0)</f>
      </c>
      <c r="X5036" s="0" t="s">
        <v>136</v>
      </c>
      <c r="Y5036" s="0" t="s">
        <v>243</v>
      </c>
      <c r="AV5036" s="68"/>
      <c r="AW5036" s="68"/>
      <c r="AY5036" s="27"/>
      <c r="BD5036" s="68">
        <v>46054.1666666667</v>
      </c>
      <c r="BE5036" s="68">
        <v>46082.1666666667</v>
      </c>
      <c r="BF5036" s="0" t="b">
        <v>0</v>
      </c>
      <c r="BG5036" s="0" t="b">
        <v>0</v>
      </c>
      <c r="BH5036" s="0">
        <v>73</v>
      </c>
      <c r="BI5036" s="0">
        <v>73</v>
      </c>
      <c r="BJ5036" s="0" t="s">
        <v>135</v>
      </c>
    </row>
    <row r="5037">
      <c r="A5037" s="0" t="s">
        <v>5305</v>
      </c>
      <c r="B5037" s="0" t="s">
        <v>5</v>
      </c>
      <c r="C5037" s="0" t="s">
        <v>652</v>
      </c>
      <c r="D5037" s="0" t="s">
        <v>135</v>
      </c>
      <c r="E5037" s="0" t="s">
        <v>3</v>
      </c>
      <c r="F5037" s="0" t="s">
        <v>12</v>
      </c>
      <c r="G5037" s="0" t="s">
        <v>8</v>
      </c>
      <c r="H5037" s="0">
        <v>-18</v>
      </c>
      <c r="I5037" s="0">
        <v>0</v>
      </c>
      <c r="J5037" s="0">
        <v>0</v>
      </c>
      <c r="K5037" s="0">
        <v>0</v>
      </c>
      <c r="L5037" s="0">
        <v>0</v>
      </c>
      <c r="M5037" s="0">
        <v>0</v>
      </c>
      <c r="N5037" s="0">
        <v>0</v>
      </c>
      <c r="O5037" s="0">
        <v>0</v>
      </c>
      <c r="P5037" s="0">
        <v>0</v>
      </c>
      <c r="R5037" s="0" t="b">
        <v>0</v>
      </c>
      <c r="S5037" s="0" t="b">
        <v>1</v>
      </c>
      <c r="T5037" s="68">
        <v>46072.3986226852</v>
      </c>
      <c r="U5037" s="68">
        <v>0</v>
      </c>
      <c r="V5037" s="68">
        <v>0</v>
      </c>
      <c r="W5037" s="0">
        <f>IF(IF(B5037="none",1,IF(B5037="Trialer",1,0))+IF(C5037="Customer",1,IF(C5037="Lost",1,0))=2,1,0)</f>
      </c>
      <c r="X5037" s="0" t="s">
        <v>148</v>
      </c>
      <c r="Y5037" s="0" t="s">
        <v>243</v>
      </c>
      <c r="AV5037" s="68"/>
      <c r="AW5037" s="68"/>
      <c r="AY5037" s="27"/>
      <c r="BD5037" s="68">
        <v>46054.1666666667</v>
      </c>
      <c r="BE5037" s="68">
        <v>46082.1666666667</v>
      </c>
      <c r="BF5037" s="0" t="b">
        <v>0</v>
      </c>
      <c r="BG5037" s="0" t="b">
        <v>0</v>
      </c>
      <c r="BH5037" s="0">
        <v>59</v>
      </c>
      <c r="BI5037" s="0">
        <v>59</v>
      </c>
      <c r="BJ5037" s="0" t="s">
        <v>135</v>
      </c>
    </row>
    <row r="5038">
      <c r="A5038" s="0" t="s">
        <v>5306</v>
      </c>
      <c r="B5038" s="0" t="s">
        <v>5</v>
      </c>
      <c r="C5038" s="0" t="s">
        <v>652</v>
      </c>
      <c r="D5038" s="0" t="s">
        <v>135</v>
      </c>
      <c r="E5038" s="0" t="s">
        <v>3</v>
      </c>
      <c r="F5038" s="0" t="s">
        <v>12</v>
      </c>
      <c r="G5038" s="0" t="s">
        <v>8</v>
      </c>
      <c r="H5038" s="0">
        <v>-18</v>
      </c>
      <c r="I5038" s="0">
        <v>0</v>
      </c>
      <c r="J5038" s="0">
        <v>0</v>
      </c>
      <c r="K5038" s="0">
        <v>0</v>
      </c>
      <c r="L5038" s="0">
        <v>0</v>
      </c>
      <c r="M5038" s="0">
        <v>0</v>
      </c>
      <c r="N5038" s="0">
        <v>0</v>
      </c>
      <c r="O5038" s="0">
        <v>0</v>
      </c>
      <c r="P5038" s="0">
        <v>0</v>
      </c>
      <c r="R5038" s="0" t="b">
        <v>0</v>
      </c>
      <c r="S5038" s="0" t="b">
        <v>1</v>
      </c>
      <c r="T5038" s="68">
        <v>46072.4023726852</v>
      </c>
      <c r="U5038" s="68">
        <v>0</v>
      </c>
      <c r="V5038" s="68">
        <v>0</v>
      </c>
      <c r="W5038" s="0">
        <f>IF(IF(B5038="none",1,IF(B5038="Trialer",1,0))+IF(C5038="Customer",1,IF(C5038="Lost",1,0))=2,1,0)</f>
      </c>
      <c r="X5038" s="0" t="s">
        <v>145</v>
      </c>
      <c r="Y5038" s="0" t="s">
        <v>243</v>
      </c>
      <c r="AV5038" s="68"/>
      <c r="AW5038" s="68"/>
      <c r="AY5038" s="27"/>
      <c r="BD5038" s="68">
        <v>46054.1666666667</v>
      </c>
      <c r="BE5038" s="68">
        <v>46082.1666666667</v>
      </c>
      <c r="BF5038" s="0" t="b">
        <v>0</v>
      </c>
      <c r="BG5038" s="0" t="b">
        <v>0</v>
      </c>
      <c r="BH5038" s="0">
        <v>71</v>
      </c>
      <c r="BI5038" s="0">
        <v>71</v>
      </c>
      <c r="BJ5038" s="0" t="s">
        <v>135</v>
      </c>
    </row>
    <row r="5039">
      <c r="A5039" s="0" t="s">
        <v>5307</v>
      </c>
      <c r="B5039" s="0" t="s">
        <v>5</v>
      </c>
      <c r="C5039" s="0" t="s">
        <v>652</v>
      </c>
      <c r="D5039" s="0" t="s">
        <v>135</v>
      </c>
      <c r="E5039" s="0" t="s">
        <v>4</v>
      </c>
      <c r="F5039" s="0" t="s">
        <v>12</v>
      </c>
      <c r="G5039" s="0" t="s">
        <v>8</v>
      </c>
      <c r="H5039" s="0">
        <v>-18</v>
      </c>
      <c r="I5039" s="0">
        <v>0</v>
      </c>
      <c r="J5039" s="0">
        <v>0</v>
      </c>
      <c r="K5039" s="0">
        <v>0</v>
      </c>
      <c r="L5039" s="0">
        <v>0</v>
      </c>
      <c r="M5039" s="0">
        <v>0</v>
      </c>
      <c r="N5039" s="0">
        <v>0</v>
      </c>
      <c r="O5039" s="0">
        <v>0</v>
      </c>
      <c r="P5039" s="0">
        <v>0</v>
      </c>
      <c r="R5039" s="0" t="b">
        <v>0</v>
      </c>
      <c r="S5039" s="0" t="b">
        <v>0</v>
      </c>
      <c r="T5039" s="68">
        <v>46072.4061574074</v>
      </c>
      <c r="U5039" s="68">
        <v>0</v>
      </c>
      <c r="V5039" s="68">
        <v>46073.2742013889</v>
      </c>
      <c r="W5039" s="0">
        <f>IF(IF(B5039="none",1,IF(B5039="Trialer",1,0))+IF(C5039="Customer",1,IF(C5039="Lost",1,0))=2,1,0)</f>
      </c>
      <c r="X5039" s="0" t="s">
        <v>145</v>
      </c>
      <c r="Y5039" s="0" t="s">
        <v>1772</v>
      </c>
      <c r="AV5039" s="68"/>
      <c r="AW5039" s="68"/>
      <c r="AY5039" s="27"/>
      <c r="BD5039" s="68">
        <v>46054.1666666667</v>
      </c>
      <c r="BE5039" s="68">
        <v>46082.1666666667</v>
      </c>
      <c r="BF5039" s="0" t="b">
        <v>1</v>
      </c>
      <c r="BG5039" s="0" t="b">
        <v>0</v>
      </c>
      <c r="BH5039" s="0">
        <v>71</v>
      </c>
      <c r="BI5039" s="0">
        <v>0</v>
      </c>
      <c r="BJ5039" s="0" t="s">
        <v>135</v>
      </c>
    </row>
    <row r="5040">
      <c r="A5040" s="0" t="s">
        <v>5308</v>
      </c>
      <c r="B5040" s="0" t="s">
        <v>5</v>
      </c>
      <c r="C5040" s="0" t="s">
        <v>652</v>
      </c>
      <c r="D5040" s="0" t="s">
        <v>135</v>
      </c>
      <c r="E5040" s="0" t="s">
        <v>3</v>
      </c>
      <c r="F5040" s="0" t="s">
        <v>12</v>
      </c>
      <c r="G5040" s="0" t="s">
        <v>8</v>
      </c>
      <c r="H5040" s="0">
        <v>-18</v>
      </c>
      <c r="I5040" s="0">
        <v>0</v>
      </c>
      <c r="J5040" s="0">
        <v>0</v>
      </c>
      <c r="K5040" s="0">
        <v>0</v>
      </c>
      <c r="L5040" s="0">
        <v>0</v>
      </c>
      <c r="M5040" s="0">
        <v>0</v>
      </c>
      <c r="N5040" s="0">
        <v>0</v>
      </c>
      <c r="O5040" s="0">
        <v>0</v>
      </c>
      <c r="P5040" s="0">
        <v>0</v>
      </c>
      <c r="R5040" s="0" t="b">
        <v>0</v>
      </c>
      <c r="S5040" s="0" t="b">
        <v>0</v>
      </c>
      <c r="T5040" s="68">
        <v>46072.4383912037</v>
      </c>
      <c r="U5040" s="68">
        <v>0</v>
      </c>
      <c r="V5040" s="68">
        <v>46072.4718981481</v>
      </c>
      <c r="W5040" s="0">
        <f>IF(IF(B5040="none",1,IF(B5040="Trialer",1,0))+IF(C5040="Customer",1,IF(C5040="Lost",1,0))=2,1,0)</f>
      </c>
      <c r="X5040" s="0" t="s">
        <v>148</v>
      </c>
      <c r="Y5040" s="0" t="s">
        <v>243</v>
      </c>
      <c r="AV5040" s="68"/>
      <c r="AW5040" s="68"/>
      <c r="AY5040" s="27"/>
      <c r="BD5040" s="68">
        <v>46054.1666666667</v>
      </c>
      <c r="BE5040" s="68">
        <v>46082.1666666667</v>
      </c>
      <c r="BF5040" s="0" t="b">
        <v>0</v>
      </c>
      <c r="BG5040" s="0" t="b">
        <v>0</v>
      </c>
      <c r="BH5040" s="0">
        <v>0</v>
      </c>
      <c r="BI5040" s="0">
        <v>0</v>
      </c>
      <c r="BJ5040" s="0" t="s">
        <v>135</v>
      </c>
    </row>
    <row r="5041">
      <c r="A5041" s="0" t="s">
        <v>5309</v>
      </c>
      <c r="B5041" s="0" t="s">
        <v>5</v>
      </c>
      <c r="C5041" s="0" t="s">
        <v>134</v>
      </c>
      <c r="D5041" s="0" t="s">
        <v>230</v>
      </c>
      <c r="E5041" s="0" t="s">
        <v>3</v>
      </c>
      <c r="F5041" s="0" t="s">
        <v>12</v>
      </c>
      <c r="G5041" s="0" t="s">
        <v>8</v>
      </c>
      <c r="H5041" s="0">
        <v>-18</v>
      </c>
      <c r="I5041" s="0">
        <v>456.4</v>
      </c>
      <c r="J5041" s="0">
        <v>0</v>
      </c>
      <c r="K5041" s="0">
        <v>1</v>
      </c>
      <c r="L5041" s="0">
        <v>4</v>
      </c>
      <c r="M5041" s="0">
        <v>2</v>
      </c>
      <c r="N5041" s="0">
        <v>0</v>
      </c>
      <c r="O5041" s="0">
        <v>0</v>
      </c>
      <c r="P5041" s="0">
        <v>1445.4</v>
      </c>
      <c r="R5041" s="0" t="b">
        <v>0</v>
      </c>
      <c r="S5041" s="0" t="b">
        <v>1</v>
      </c>
      <c r="T5041" s="68">
        <v>46072.4500115741</v>
      </c>
      <c r="U5041" s="68">
        <v>46072.2916666667</v>
      </c>
      <c r="V5041" s="68">
        <v>0</v>
      </c>
      <c r="W5041" s="0">
        <f>IF(IF(B5041="none",1,IF(B5041="Trialer",1,0))+IF(C5041="Customer",1,IF(C5041="Lost",1,0))=2,1,0)</f>
      </c>
      <c r="X5041" s="0" t="s">
        <v>145</v>
      </c>
      <c r="Y5041" s="0" t="s">
        <v>243</v>
      </c>
      <c r="AV5041" s="68"/>
      <c r="AW5041" s="68"/>
      <c r="AY5041" s="27"/>
      <c r="BD5041" s="68">
        <v>46054.1666666667</v>
      </c>
      <c r="BE5041" s="68">
        <v>46082.1666666667</v>
      </c>
      <c r="BF5041" s="0" t="b">
        <v>0</v>
      </c>
      <c r="BG5041" s="0" t="b">
        <v>0</v>
      </c>
      <c r="BH5041" s="0">
        <v>219</v>
      </c>
      <c r="BI5041" s="0">
        <v>219</v>
      </c>
      <c r="BJ5041" s="0" t="s">
        <v>230</v>
      </c>
    </row>
    <row r="5042">
      <c r="A5042" s="0" t="s">
        <v>5310</v>
      </c>
      <c r="B5042" s="0" t="s">
        <v>5</v>
      </c>
      <c r="C5042" s="0" t="s">
        <v>652</v>
      </c>
      <c r="D5042" s="0" t="s">
        <v>135</v>
      </c>
      <c r="E5042" s="0" t="s">
        <v>3</v>
      </c>
      <c r="F5042" s="0" t="s">
        <v>12</v>
      </c>
      <c r="G5042" s="0" t="s">
        <v>8</v>
      </c>
      <c r="H5042" s="0">
        <v>-18</v>
      </c>
      <c r="I5042" s="0">
        <v>0</v>
      </c>
      <c r="J5042" s="0">
        <v>0</v>
      </c>
      <c r="K5042" s="0">
        <v>0</v>
      </c>
      <c r="L5042" s="0">
        <v>0</v>
      </c>
      <c r="M5042" s="0">
        <v>0</v>
      </c>
      <c r="N5042" s="0">
        <v>0</v>
      </c>
      <c r="O5042" s="0">
        <v>0</v>
      </c>
      <c r="P5042" s="0">
        <v>0</v>
      </c>
      <c r="R5042" s="0" t="b">
        <v>0</v>
      </c>
      <c r="S5042" s="0" t="b">
        <v>1</v>
      </c>
      <c r="T5042" s="68">
        <v>46072.5055324074</v>
      </c>
      <c r="U5042" s="68">
        <v>0</v>
      </c>
      <c r="V5042" s="68">
        <v>0</v>
      </c>
      <c r="W5042" s="0">
        <f>IF(IF(B5042="none",1,IF(B5042="Trialer",1,0))+IF(C5042="Customer",1,IF(C5042="Lost",1,0))=2,1,0)</f>
      </c>
      <c r="X5042" s="0" t="s">
        <v>136</v>
      </c>
      <c r="Y5042" s="0" t="s">
        <v>1792</v>
      </c>
      <c r="AV5042" s="68"/>
      <c r="AW5042" s="68"/>
      <c r="AY5042" s="27"/>
      <c r="BD5042" s="68">
        <v>46054.1666666667</v>
      </c>
      <c r="BE5042" s="68">
        <v>46082.1666666667</v>
      </c>
      <c r="BF5042" s="0" t="b">
        <v>0</v>
      </c>
      <c r="BG5042" s="0" t="b">
        <v>0</v>
      </c>
      <c r="BH5042" s="0">
        <v>73</v>
      </c>
      <c r="BI5042" s="0">
        <v>73</v>
      </c>
      <c r="BJ5042" s="0" t="s">
        <v>135</v>
      </c>
    </row>
    <row r="5043">
      <c r="A5043" s="0" t="s">
        <v>5311</v>
      </c>
      <c r="B5043" s="0" t="s">
        <v>5</v>
      </c>
      <c r="C5043" s="0" t="s">
        <v>652</v>
      </c>
      <c r="D5043" s="0" t="s">
        <v>135</v>
      </c>
      <c r="E5043" s="0" t="s">
        <v>4</v>
      </c>
      <c r="F5043" s="0" t="s">
        <v>12</v>
      </c>
      <c r="G5043" s="0" t="s">
        <v>8</v>
      </c>
      <c r="H5043" s="0">
        <v>-18</v>
      </c>
      <c r="I5043" s="0">
        <v>0</v>
      </c>
      <c r="J5043" s="0">
        <v>0</v>
      </c>
      <c r="K5043" s="0">
        <v>0</v>
      </c>
      <c r="L5043" s="0">
        <v>0</v>
      </c>
      <c r="M5043" s="0">
        <v>0</v>
      </c>
      <c r="N5043" s="0">
        <v>0</v>
      </c>
      <c r="O5043" s="0">
        <v>0</v>
      </c>
      <c r="P5043" s="0">
        <v>0</v>
      </c>
      <c r="R5043" s="0" t="b">
        <v>0</v>
      </c>
      <c r="S5043" s="0" t="b">
        <v>1</v>
      </c>
      <c r="T5043" s="68">
        <v>46072.5434606482</v>
      </c>
      <c r="U5043" s="68">
        <v>0</v>
      </c>
      <c r="V5043" s="68">
        <v>0</v>
      </c>
      <c r="W5043" s="0">
        <f>IF(IF(B5043="none",1,IF(B5043="Trialer",1,0))+IF(C5043="Customer",1,IF(C5043="Lost",1,0))=2,1,0)</f>
      </c>
      <c r="X5043" s="0" t="s">
        <v>148</v>
      </c>
      <c r="Y5043" s="0" t="s">
        <v>1772</v>
      </c>
      <c r="AV5043" s="68"/>
      <c r="AW5043" s="68"/>
      <c r="AY5043" s="27"/>
      <c r="BD5043" s="68">
        <v>46054.1666666667</v>
      </c>
      <c r="BE5043" s="68">
        <v>46082.1666666667</v>
      </c>
      <c r="BF5043" s="0" t="b">
        <v>0</v>
      </c>
      <c r="BG5043" s="0" t="b">
        <v>0</v>
      </c>
      <c r="BH5043" s="0">
        <v>71</v>
      </c>
      <c r="BI5043" s="0">
        <v>71</v>
      </c>
      <c r="BJ5043" s="0" t="s">
        <v>135</v>
      </c>
    </row>
    <row r="5044">
      <c r="A5044" s="0" t="s">
        <v>5312</v>
      </c>
      <c r="B5044" s="0" t="s">
        <v>5</v>
      </c>
      <c r="C5044" s="0" t="s">
        <v>652</v>
      </c>
      <c r="D5044" s="0" t="s">
        <v>135</v>
      </c>
      <c r="E5044" s="0" t="s">
        <v>2</v>
      </c>
      <c r="F5044" s="0" t="s">
        <v>12</v>
      </c>
      <c r="G5044" s="0" t="s">
        <v>8</v>
      </c>
      <c r="H5044" s="0">
        <v>-18</v>
      </c>
      <c r="I5044" s="0">
        <v>0</v>
      </c>
      <c r="J5044" s="0">
        <v>0</v>
      </c>
      <c r="K5044" s="0">
        <v>0</v>
      </c>
      <c r="L5044" s="0">
        <v>0</v>
      </c>
      <c r="M5044" s="0">
        <v>0</v>
      </c>
      <c r="N5044" s="0">
        <v>0</v>
      </c>
      <c r="O5044" s="0">
        <v>0</v>
      </c>
      <c r="P5044" s="0">
        <v>0</v>
      </c>
      <c r="R5044" s="0" t="b">
        <v>0</v>
      </c>
      <c r="S5044" s="0" t="b">
        <v>0</v>
      </c>
      <c r="T5044" s="68">
        <v>46072.5597569444</v>
      </c>
      <c r="U5044" s="68">
        <v>46087.2916666667</v>
      </c>
      <c r="V5044" s="68">
        <v>46093.3956365741</v>
      </c>
      <c r="W5044" s="0">
        <f>IF(IF(B5044="none",1,IF(B5044="Trialer",1,0))+IF(C5044="Customer",1,IF(C5044="Lost",1,0))=2,1,0)</f>
      </c>
      <c r="X5044" s="0" t="s">
        <v>145</v>
      </c>
      <c r="Y5044" s="0" t="s">
        <v>499</v>
      </c>
      <c r="AV5044" s="68"/>
      <c r="AW5044" s="68"/>
      <c r="AY5044" s="27"/>
      <c r="BD5044" s="68">
        <v>46054.1666666667</v>
      </c>
      <c r="BE5044" s="68">
        <v>46082.1666666667</v>
      </c>
      <c r="BF5044" s="0" t="b">
        <v>0</v>
      </c>
      <c r="BG5044" s="0" t="b">
        <v>0</v>
      </c>
      <c r="BH5044" s="0">
        <v>240</v>
      </c>
      <c r="BI5044" s="0">
        <v>340</v>
      </c>
      <c r="BJ5044" s="0" t="s">
        <v>135</v>
      </c>
    </row>
    <row r="5045">
      <c r="A5045" s="0" t="s">
        <v>5313</v>
      </c>
      <c r="B5045" s="0" t="s">
        <v>5</v>
      </c>
      <c r="C5045" s="0" t="s">
        <v>652</v>
      </c>
      <c r="D5045" s="0" t="s">
        <v>135</v>
      </c>
      <c r="E5045" s="0" t="s">
        <v>3</v>
      </c>
      <c r="F5045" s="0" t="s">
        <v>12</v>
      </c>
      <c r="G5045" s="0" t="s">
        <v>8</v>
      </c>
      <c r="H5045" s="0">
        <v>-18</v>
      </c>
      <c r="I5045" s="0">
        <v>0</v>
      </c>
      <c r="J5045" s="0">
        <v>0</v>
      </c>
      <c r="K5045" s="0">
        <v>0</v>
      </c>
      <c r="L5045" s="0">
        <v>0</v>
      </c>
      <c r="M5045" s="0">
        <v>0</v>
      </c>
      <c r="N5045" s="0">
        <v>0</v>
      </c>
      <c r="O5045" s="0">
        <v>0</v>
      </c>
      <c r="P5045" s="0">
        <v>0</v>
      </c>
      <c r="R5045" s="0" t="b">
        <v>0</v>
      </c>
      <c r="S5045" s="0" t="b">
        <v>1</v>
      </c>
      <c r="T5045" s="68">
        <v>46072.5715509259</v>
      </c>
      <c r="U5045" s="68">
        <v>46093.3333333333</v>
      </c>
      <c r="V5045" s="68">
        <v>0</v>
      </c>
      <c r="W5045" s="0">
        <f>IF(IF(B5045="none",1,IF(B5045="Trialer",1,0))+IF(C5045="Customer",1,IF(C5045="Lost",1,0))=2,1,0)</f>
      </c>
      <c r="X5045" s="0" t="s">
        <v>145</v>
      </c>
      <c r="Y5045" s="0" t="s">
        <v>243</v>
      </c>
      <c r="AV5045" s="68"/>
      <c r="AW5045" s="68"/>
      <c r="AY5045" s="27"/>
      <c r="BD5045" s="68">
        <v>46054.1666666667</v>
      </c>
      <c r="BE5045" s="68">
        <v>46082.1666666667</v>
      </c>
      <c r="BF5045" s="0" t="b">
        <v>0</v>
      </c>
      <c r="BG5045" s="0" t="b">
        <v>0</v>
      </c>
      <c r="BH5045" s="0">
        <v>265.5</v>
      </c>
      <c r="BI5045" s="0">
        <v>265.5</v>
      </c>
      <c r="BJ5045" s="0" t="s">
        <v>135</v>
      </c>
    </row>
    <row r="5046">
      <c r="A5046" s="0" t="s">
        <v>5314</v>
      </c>
      <c r="B5046" s="0" t="s">
        <v>5</v>
      </c>
      <c r="C5046" s="0" t="s">
        <v>652</v>
      </c>
      <c r="D5046" s="0" t="s">
        <v>135</v>
      </c>
      <c r="E5046" s="0" t="s">
        <v>3</v>
      </c>
      <c r="F5046" s="0" t="s">
        <v>12</v>
      </c>
      <c r="G5046" s="0" t="s">
        <v>8</v>
      </c>
      <c r="H5046" s="0">
        <v>-18</v>
      </c>
      <c r="I5046" s="0">
        <v>0</v>
      </c>
      <c r="J5046" s="0">
        <v>0</v>
      </c>
      <c r="K5046" s="0">
        <v>0</v>
      </c>
      <c r="L5046" s="0">
        <v>0</v>
      </c>
      <c r="M5046" s="0">
        <v>0</v>
      </c>
      <c r="N5046" s="0">
        <v>0</v>
      </c>
      <c r="O5046" s="0">
        <v>0</v>
      </c>
      <c r="P5046" s="0">
        <v>0</v>
      </c>
      <c r="R5046" s="0" t="b">
        <v>0</v>
      </c>
      <c r="S5046" s="0" t="b">
        <v>1</v>
      </c>
      <c r="T5046" s="68">
        <v>46072.5821527778</v>
      </c>
      <c r="U5046" s="68">
        <v>0</v>
      </c>
      <c r="V5046" s="68">
        <v>0</v>
      </c>
      <c r="W5046" s="0">
        <f>IF(IF(B5046="none",1,IF(B5046="Trialer",1,0))+IF(C5046="Customer",1,IF(C5046="Lost",1,0))=2,1,0)</f>
      </c>
      <c r="X5046" s="0" t="s">
        <v>136</v>
      </c>
      <c r="Y5046" s="0" t="s">
        <v>243</v>
      </c>
      <c r="AV5046" s="68"/>
      <c r="AW5046" s="68"/>
      <c r="AY5046" s="27"/>
      <c r="BD5046" s="68">
        <v>46054.1666666667</v>
      </c>
      <c r="BE5046" s="68">
        <v>46082.1666666667</v>
      </c>
      <c r="BF5046" s="0" t="b">
        <v>0</v>
      </c>
      <c r="BG5046" s="0" t="b">
        <v>0</v>
      </c>
      <c r="BH5046" s="0">
        <v>59</v>
      </c>
      <c r="BI5046" s="0">
        <v>59</v>
      </c>
      <c r="BJ5046" s="0" t="s">
        <v>135</v>
      </c>
    </row>
    <row r="5047">
      <c r="A5047" s="0" t="s">
        <v>5315</v>
      </c>
      <c r="B5047" s="0" t="s">
        <v>5</v>
      </c>
      <c r="C5047" s="0" t="s">
        <v>652</v>
      </c>
      <c r="D5047" s="0" t="s">
        <v>135</v>
      </c>
      <c r="E5047" s="0" t="s">
        <v>2</v>
      </c>
      <c r="F5047" s="0" t="s">
        <v>12</v>
      </c>
      <c r="G5047" s="0" t="s">
        <v>8</v>
      </c>
      <c r="H5047" s="0">
        <v>-18</v>
      </c>
      <c r="I5047" s="0">
        <v>0</v>
      </c>
      <c r="J5047" s="0">
        <v>0</v>
      </c>
      <c r="K5047" s="0">
        <v>0</v>
      </c>
      <c r="L5047" s="0">
        <v>0</v>
      </c>
      <c r="M5047" s="0">
        <v>0</v>
      </c>
      <c r="N5047" s="0">
        <v>0</v>
      </c>
      <c r="O5047" s="0">
        <v>0</v>
      </c>
      <c r="P5047" s="0">
        <v>0</v>
      </c>
      <c r="R5047" s="0" t="b">
        <v>0</v>
      </c>
      <c r="S5047" s="0" t="b">
        <v>1</v>
      </c>
      <c r="T5047" s="68">
        <v>46072.6162384259</v>
      </c>
      <c r="U5047" s="68">
        <v>0</v>
      </c>
      <c r="V5047" s="68">
        <v>0</v>
      </c>
      <c r="W5047" s="0">
        <f>IF(IF(B5047="none",1,IF(B5047="Trialer",1,0))+IF(C5047="Customer",1,IF(C5047="Lost",1,0))=2,1,0)</f>
      </c>
      <c r="X5047" s="0" t="s">
        <v>148</v>
      </c>
      <c r="Y5047" s="0" t="s">
        <v>499</v>
      </c>
      <c r="AV5047" s="68"/>
      <c r="AW5047" s="68"/>
      <c r="AY5047" s="27"/>
      <c r="BD5047" s="68">
        <v>46054.1666666667</v>
      </c>
      <c r="BE5047" s="68">
        <v>46082.1666666667</v>
      </c>
      <c r="BF5047" s="0" t="b">
        <v>0</v>
      </c>
      <c r="BG5047" s="0" t="b">
        <v>0</v>
      </c>
      <c r="BH5047" s="0">
        <v>71</v>
      </c>
      <c r="BI5047" s="0">
        <v>71</v>
      </c>
      <c r="BJ5047" s="0" t="s">
        <v>135</v>
      </c>
    </row>
    <row r="5048">
      <c r="A5048" s="0" t="s">
        <v>5316</v>
      </c>
      <c r="B5048" s="0" t="s">
        <v>5</v>
      </c>
      <c r="C5048" s="0" t="s">
        <v>652</v>
      </c>
      <c r="D5048" s="0" t="s">
        <v>135</v>
      </c>
      <c r="E5048" s="0" t="s">
        <v>2</v>
      </c>
      <c r="F5048" s="0" t="s">
        <v>12</v>
      </c>
      <c r="G5048" s="0" t="s">
        <v>8</v>
      </c>
      <c r="H5048" s="0">
        <v>-18</v>
      </c>
      <c r="I5048" s="0">
        <v>0</v>
      </c>
      <c r="J5048" s="0">
        <v>0</v>
      </c>
      <c r="K5048" s="0">
        <v>0</v>
      </c>
      <c r="L5048" s="0">
        <v>0</v>
      </c>
      <c r="M5048" s="0">
        <v>0</v>
      </c>
      <c r="N5048" s="0">
        <v>0</v>
      </c>
      <c r="O5048" s="0">
        <v>0</v>
      </c>
      <c r="P5048" s="0">
        <v>0</v>
      </c>
      <c r="R5048" s="0" t="b">
        <v>0</v>
      </c>
      <c r="S5048" s="0" t="b">
        <v>1</v>
      </c>
      <c r="T5048" s="68">
        <v>46072.6168055556</v>
      </c>
      <c r="U5048" s="68">
        <v>0</v>
      </c>
      <c r="V5048" s="68">
        <v>0</v>
      </c>
      <c r="W5048" s="0">
        <f>IF(IF(B5048="none",1,IF(B5048="Trialer",1,0))+IF(C5048="Customer",1,IF(C5048="Lost",1,0))=2,1,0)</f>
      </c>
      <c r="X5048" s="0" t="s">
        <v>145</v>
      </c>
      <c r="Y5048" s="0" t="s">
        <v>499</v>
      </c>
      <c r="AV5048" s="68"/>
      <c r="AW5048" s="68"/>
      <c r="AY5048" s="27"/>
      <c r="BD5048" s="68">
        <v>46054.1666666667</v>
      </c>
      <c r="BE5048" s="68">
        <v>46082.1666666667</v>
      </c>
      <c r="BF5048" s="0" t="b">
        <v>0</v>
      </c>
      <c r="BG5048" s="0" t="b">
        <v>0</v>
      </c>
      <c r="BH5048" s="0">
        <v>291</v>
      </c>
      <c r="BI5048" s="0">
        <v>291</v>
      </c>
      <c r="BJ5048" s="0" t="s">
        <v>135</v>
      </c>
    </row>
    <row r="5049">
      <c r="A5049" s="0" t="s">
        <v>5317</v>
      </c>
      <c r="B5049" s="0" t="s">
        <v>5</v>
      </c>
      <c r="C5049" s="0" t="s">
        <v>652</v>
      </c>
      <c r="D5049" s="0" t="s">
        <v>135</v>
      </c>
      <c r="E5049" s="0" t="s">
        <v>3</v>
      </c>
      <c r="F5049" s="0" t="s">
        <v>12</v>
      </c>
      <c r="G5049" s="0" t="s">
        <v>8</v>
      </c>
      <c r="H5049" s="0">
        <v>-18</v>
      </c>
      <c r="I5049" s="0">
        <v>0</v>
      </c>
      <c r="J5049" s="0">
        <v>0</v>
      </c>
      <c r="K5049" s="0">
        <v>0</v>
      </c>
      <c r="L5049" s="0">
        <v>0</v>
      </c>
      <c r="M5049" s="0">
        <v>0</v>
      </c>
      <c r="N5049" s="0">
        <v>0</v>
      </c>
      <c r="O5049" s="0">
        <v>0</v>
      </c>
      <c r="P5049" s="0">
        <v>0</v>
      </c>
      <c r="R5049" s="0" t="b">
        <v>0</v>
      </c>
      <c r="S5049" s="0" t="b">
        <v>1</v>
      </c>
      <c r="T5049" s="68">
        <v>46072.661412037</v>
      </c>
      <c r="U5049" s="68">
        <v>0</v>
      </c>
      <c r="V5049" s="68">
        <v>0</v>
      </c>
      <c r="W5049" s="0">
        <f>IF(IF(B5049="none",1,IF(B5049="Trialer",1,0))+IF(C5049="Customer",1,IF(C5049="Lost",1,0))=2,1,0)</f>
      </c>
      <c r="X5049" s="0" t="s">
        <v>145</v>
      </c>
      <c r="Y5049" s="0" t="s">
        <v>243</v>
      </c>
      <c r="AV5049" s="68"/>
      <c r="AW5049" s="68"/>
      <c r="AY5049" s="27"/>
      <c r="BD5049" s="68">
        <v>46054.1666666667</v>
      </c>
      <c r="BE5049" s="68">
        <v>46082.1666666667</v>
      </c>
      <c r="BF5049" s="0" t="b">
        <v>0</v>
      </c>
      <c r="BG5049" s="0" t="b">
        <v>0</v>
      </c>
      <c r="BH5049" s="0">
        <v>73</v>
      </c>
      <c r="BI5049" s="0">
        <v>73</v>
      </c>
      <c r="BJ5049" s="0" t="s">
        <v>135</v>
      </c>
    </row>
    <row r="5050">
      <c r="A5050" s="0" t="s">
        <v>5318</v>
      </c>
      <c r="B5050" s="0" t="s">
        <v>5</v>
      </c>
      <c r="C5050" s="0" t="s">
        <v>652</v>
      </c>
      <c r="D5050" s="0" t="s">
        <v>135</v>
      </c>
      <c r="E5050" s="0" t="s">
        <v>2</v>
      </c>
      <c r="F5050" s="0" t="s">
        <v>12</v>
      </c>
      <c r="G5050" s="0" t="s">
        <v>8</v>
      </c>
      <c r="H5050" s="0">
        <v>-18</v>
      </c>
      <c r="I5050" s="0">
        <v>0</v>
      </c>
      <c r="J5050" s="0">
        <v>0</v>
      </c>
      <c r="K5050" s="0">
        <v>0</v>
      </c>
      <c r="L5050" s="0">
        <v>0</v>
      </c>
      <c r="M5050" s="0">
        <v>0</v>
      </c>
      <c r="N5050" s="0">
        <v>0</v>
      </c>
      <c r="O5050" s="0">
        <v>0</v>
      </c>
      <c r="P5050" s="0">
        <v>0</v>
      </c>
      <c r="R5050" s="0" t="b">
        <v>0</v>
      </c>
      <c r="S5050" s="0" t="b">
        <v>0</v>
      </c>
      <c r="T5050" s="68">
        <v>46072.7067592593</v>
      </c>
      <c r="U5050" s="68">
        <v>0</v>
      </c>
      <c r="V5050" s="68">
        <v>46073.273275463</v>
      </c>
      <c r="W5050" s="0">
        <f>IF(IF(B5050="none",1,IF(B5050="Trialer",1,0))+IF(C5050="Customer",1,IF(C5050="Lost",1,0))=2,1,0)</f>
      </c>
      <c r="X5050" s="0" t="s">
        <v>145</v>
      </c>
      <c r="Y5050" s="0" t="s">
        <v>499</v>
      </c>
      <c r="AV5050" s="68"/>
      <c r="AW5050" s="68"/>
      <c r="AY5050" s="27"/>
      <c r="BD5050" s="68">
        <v>46054.1666666667</v>
      </c>
      <c r="BE5050" s="68">
        <v>46082.1666666667</v>
      </c>
      <c r="BF5050" s="0" t="b">
        <v>1</v>
      </c>
      <c r="BG5050" s="0" t="b">
        <v>0</v>
      </c>
      <c r="BH5050" s="0">
        <v>73</v>
      </c>
      <c r="BI5050" s="0">
        <v>0</v>
      </c>
      <c r="BJ5050" s="0" t="s">
        <v>135</v>
      </c>
    </row>
    <row r="5051">
      <c r="A5051" s="0" t="s">
        <v>5319</v>
      </c>
      <c r="B5051" s="0" t="s">
        <v>5</v>
      </c>
      <c r="C5051" s="0" t="s">
        <v>652</v>
      </c>
      <c r="D5051" s="0" t="s">
        <v>135</v>
      </c>
      <c r="E5051" s="0" t="s">
        <v>3</v>
      </c>
      <c r="F5051" s="0" t="s">
        <v>12</v>
      </c>
      <c r="G5051" s="0" t="s">
        <v>8</v>
      </c>
      <c r="H5051" s="0">
        <v>-18</v>
      </c>
      <c r="I5051" s="0">
        <v>0</v>
      </c>
      <c r="J5051" s="0">
        <v>0</v>
      </c>
      <c r="K5051" s="0">
        <v>0</v>
      </c>
      <c r="L5051" s="0">
        <v>0</v>
      </c>
      <c r="M5051" s="0">
        <v>0</v>
      </c>
      <c r="N5051" s="0">
        <v>0</v>
      </c>
      <c r="O5051" s="0">
        <v>0</v>
      </c>
      <c r="P5051" s="0">
        <v>0</v>
      </c>
      <c r="R5051" s="0" t="b">
        <v>0</v>
      </c>
      <c r="S5051" s="0" t="b">
        <v>1</v>
      </c>
      <c r="T5051" s="68">
        <v>46072.7240509259</v>
      </c>
      <c r="U5051" s="68">
        <v>0</v>
      </c>
      <c r="V5051" s="68">
        <v>0</v>
      </c>
      <c r="W5051" s="0">
        <f>IF(IF(B5051="none",1,IF(B5051="Trialer",1,0))+IF(C5051="Customer",1,IF(C5051="Lost",1,0))=2,1,0)</f>
      </c>
      <c r="X5051" s="0" t="s">
        <v>148</v>
      </c>
      <c r="Y5051" s="0" t="s">
        <v>243</v>
      </c>
      <c r="AV5051" s="68"/>
      <c r="AW5051" s="68"/>
      <c r="AY5051" s="27"/>
      <c r="BD5051" s="68">
        <v>46054.1666666667</v>
      </c>
      <c r="BE5051" s="68">
        <v>46082.1666666667</v>
      </c>
      <c r="BF5051" s="0" t="b">
        <v>0</v>
      </c>
      <c r="BG5051" s="0" t="b">
        <v>0</v>
      </c>
      <c r="BH5051" s="0">
        <v>85</v>
      </c>
      <c r="BI5051" s="0">
        <v>85</v>
      </c>
      <c r="BJ5051" s="0" t="s">
        <v>135</v>
      </c>
    </row>
    <row r="5052">
      <c r="A5052" s="0" t="s">
        <v>5320</v>
      </c>
      <c r="B5052" s="0" t="s">
        <v>5</v>
      </c>
      <c r="C5052" s="0" t="s">
        <v>652</v>
      </c>
      <c r="D5052" s="0" t="s">
        <v>135</v>
      </c>
      <c r="E5052" s="0" t="s">
        <v>2</v>
      </c>
      <c r="F5052" s="0" t="s">
        <v>12</v>
      </c>
      <c r="G5052" s="0" t="s">
        <v>8</v>
      </c>
      <c r="H5052" s="0">
        <v>-18</v>
      </c>
      <c r="I5052" s="0">
        <v>0</v>
      </c>
      <c r="J5052" s="0">
        <v>0</v>
      </c>
      <c r="K5052" s="0">
        <v>0</v>
      </c>
      <c r="L5052" s="0">
        <v>0</v>
      </c>
      <c r="M5052" s="0">
        <v>0</v>
      </c>
      <c r="N5052" s="0">
        <v>0</v>
      </c>
      <c r="O5052" s="0">
        <v>0</v>
      </c>
      <c r="P5052" s="0">
        <v>0</v>
      </c>
      <c r="R5052" s="0" t="b">
        <v>0</v>
      </c>
      <c r="S5052" s="0" t="b">
        <v>1</v>
      </c>
      <c r="T5052" s="68">
        <v>46072.7451388889</v>
      </c>
      <c r="U5052" s="68">
        <v>0</v>
      </c>
      <c r="V5052" s="68">
        <v>0</v>
      </c>
      <c r="W5052" s="0">
        <f>IF(IF(B5052="none",1,IF(B5052="Trialer",1,0))+IF(C5052="Customer",1,IF(C5052="Lost",1,0))=2,1,0)</f>
      </c>
      <c r="X5052" s="0" t="s">
        <v>148</v>
      </c>
      <c r="Y5052" s="0" t="s">
        <v>499</v>
      </c>
      <c r="AV5052" s="68"/>
      <c r="AW5052" s="68"/>
      <c r="AY5052" s="27"/>
      <c r="BD5052" s="68">
        <v>46054.1666666667</v>
      </c>
      <c r="BE5052" s="68">
        <v>46082.1666666667</v>
      </c>
      <c r="BF5052" s="0" t="b">
        <v>0</v>
      </c>
      <c r="BG5052" s="0" t="b">
        <v>0</v>
      </c>
      <c r="BH5052" s="0">
        <v>49</v>
      </c>
      <c r="BI5052" s="0">
        <v>49</v>
      </c>
      <c r="BJ5052" s="0" t="s">
        <v>135</v>
      </c>
    </row>
    <row r="5053">
      <c r="A5053" s="0" t="s">
        <v>5321</v>
      </c>
      <c r="B5053" s="0" t="s">
        <v>5</v>
      </c>
      <c r="C5053" s="0" t="s">
        <v>652</v>
      </c>
      <c r="D5053" s="0" t="s">
        <v>135</v>
      </c>
      <c r="E5053" s="0" t="s">
        <v>3</v>
      </c>
      <c r="F5053" s="0" t="s">
        <v>12</v>
      </c>
      <c r="G5053" s="0" t="s">
        <v>8</v>
      </c>
      <c r="H5053" s="0">
        <v>-18</v>
      </c>
      <c r="I5053" s="0">
        <v>0</v>
      </c>
      <c r="J5053" s="0">
        <v>0</v>
      </c>
      <c r="K5053" s="0">
        <v>0</v>
      </c>
      <c r="L5053" s="0">
        <v>0</v>
      </c>
      <c r="M5053" s="0">
        <v>0</v>
      </c>
      <c r="N5053" s="0">
        <v>0</v>
      </c>
      <c r="O5053" s="0">
        <v>0</v>
      </c>
      <c r="P5053" s="0">
        <v>0</v>
      </c>
      <c r="R5053" s="0" t="b">
        <v>0</v>
      </c>
      <c r="S5053" s="0" t="b">
        <v>0</v>
      </c>
      <c r="T5053" s="68">
        <v>46072.7488773148</v>
      </c>
      <c r="U5053" s="68">
        <v>0</v>
      </c>
      <c r="V5053" s="68">
        <v>46097.4425115741</v>
      </c>
      <c r="W5053" s="0">
        <f>IF(IF(B5053="none",1,IF(B5053="Trialer",1,0))+IF(C5053="Customer",1,IF(C5053="Lost",1,0))=2,1,0)</f>
      </c>
      <c r="X5053" s="0" t="s">
        <v>882</v>
      </c>
      <c r="Y5053" s="0" t="s">
        <v>243</v>
      </c>
      <c r="AV5053" s="68"/>
      <c r="AW5053" s="68"/>
      <c r="AY5053" s="27"/>
      <c r="BD5053" s="68">
        <v>46054.1666666667</v>
      </c>
      <c r="BE5053" s="68">
        <v>46082.1666666667</v>
      </c>
      <c r="BF5053" s="0" t="b">
        <v>0</v>
      </c>
      <c r="BG5053" s="0" t="b">
        <v>0</v>
      </c>
      <c r="BH5053" s="0">
        <v>236</v>
      </c>
      <c r="BI5053" s="0">
        <v>236</v>
      </c>
      <c r="BJ5053" s="0" t="s">
        <v>135</v>
      </c>
    </row>
    <row r="5054">
      <c r="A5054" s="0" t="s">
        <v>5322</v>
      </c>
      <c r="B5054" s="0" t="s">
        <v>5</v>
      </c>
      <c r="C5054" s="0" t="s">
        <v>652</v>
      </c>
      <c r="D5054" s="0" t="s">
        <v>135</v>
      </c>
      <c r="E5054" s="0" t="s">
        <v>3</v>
      </c>
      <c r="F5054" s="0" t="s">
        <v>12</v>
      </c>
      <c r="G5054" s="0" t="s">
        <v>8</v>
      </c>
      <c r="H5054" s="0">
        <v>-18</v>
      </c>
      <c r="I5054" s="0">
        <v>0</v>
      </c>
      <c r="J5054" s="0">
        <v>0</v>
      </c>
      <c r="K5054" s="0">
        <v>0</v>
      </c>
      <c r="L5054" s="0">
        <v>0</v>
      </c>
      <c r="M5054" s="0">
        <v>0</v>
      </c>
      <c r="N5054" s="0">
        <v>0</v>
      </c>
      <c r="O5054" s="0">
        <v>0</v>
      </c>
      <c r="P5054" s="0">
        <v>0</v>
      </c>
      <c r="R5054" s="0" t="b">
        <v>0</v>
      </c>
      <c r="S5054" s="0" t="b">
        <v>0</v>
      </c>
      <c r="T5054" s="68">
        <v>46072.7682291667</v>
      </c>
      <c r="U5054" s="68">
        <v>0</v>
      </c>
      <c r="V5054" s="68">
        <v>46093.5400462963</v>
      </c>
      <c r="W5054" s="0">
        <f>IF(IF(B5054="none",1,IF(B5054="Trialer",1,0))+IF(C5054="Customer",1,IF(C5054="Lost",1,0))=2,1,0)</f>
      </c>
      <c r="X5054" s="0" t="s">
        <v>136</v>
      </c>
      <c r="Y5054" s="0" t="s">
        <v>243</v>
      </c>
      <c r="AV5054" s="68"/>
      <c r="AW5054" s="68"/>
      <c r="AY5054" s="27"/>
      <c r="BD5054" s="68">
        <v>46054.1666666667</v>
      </c>
      <c r="BE5054" s="68">
        <v>46082.1666666667</v>
      </c>
      <c r="BF5054" s="0" t="b">
        <v>0</v>
      </c>
      <c r="BG5054" s="0" t="b">
        <v>0</v>
      </c>
      <c r="BH5054" s="0">
        <v>59</v>
      </c>
      <c r="BI5054" s="0">
        <v>59</v>
      </c>
      <c r="BJ5054" s="0" t="s">
        <v>135</v>
      </c>
    </row>
    <row r="5055">
      <c r="A5055" s="0" t="s">
        <v>5323</v>
      </c>
      <c r="B5055" s="0" t="s">
        <v>5</v>
      </c>
      <c r="C5055" s="0" t="s">
        <v>652</v>
      </c>
      <c r="D5055" s="0" t="s">
        <v>135</v>
      </c>
      <c r="E5055" s="0" t="s">
        <v>3</v>
      </c>
      <c r="F5055" s="0" t="s">
        <v>12</v>
      </c>
      <c r="G5055" s="0" t="s">
        <v>8</v>
      </c>
      <c r="H5055" s="0">
        <v>-18</v>
      </c>
      <c r="I5055" s="0">
        <v>0</v>
      </c>
      <c r="J5055" s="0">
        <v>0</v>
      </c>
      <c r="K5055" s="0">
        <v>0</v>
      </c>
      <c r="L5055" s="0">
        <v>0</v>
      </c>
      <c r="M5055" s="0">
        <v>0</v>
      </c>
      <c r="N5055" s="0">
        <v>0</v>
      </c>
      <c r="O5055" s="0">
        <v>0</v>
      </c>
      <c r="P5055" s="0">
        <v>0</v>
      </c>
      <c r="R5055" s="0" t="b">
        <v>0</v>
      </c>
      <c r="S5055" s="0" t="b">
        <v>0</v>
      </c>
      <c r="T5055" s="68">
        <v>46072.7684027778</v>
      </c>
      <c r="U5055" s="68">
        <v>0</v>
      </c>
      <c r="V5055" s="68">
        <v>46072.7788078704</v>
      </c>
      <c r="W5055" s="0">
        <f>IF(IF(B5055="none",1,IF(B5055="Trialer",1,0))+IF(C5055="Customer",1,IF(C5055="Lost",1,0))=2,1,0)</f>
      </c>
      <c r="X5055" s="0" t="s">
        <v>148</v>
      </c>
      <c r="Y5055" s="0" t="s">
        <v>243</v>
      </c>
      <c r="AV5055" s="68"/>
      <c r="AW5055" s="68"/>
      <c r="AY5055" s="27"/>
      <c r="BD5055" s="68">
        <v>46054.1666666667</v>
      </c>
      <c r="BE5055" s="68">
        <v>46082.1666666667</v>
      </c>
      <c r="BF5055" s="0" t="b">
        <v>0</v>
      </c>
      <c r="BG5055" s="0" t="b">
        <v>0</v>
      </c>
      <c r="BH5055" s="0">
        <v>0</v>
      </c>
      <c r="BI5055" s="0">
        <v>0</v>
      </c>
      <c r="BJ5055" s="0" t="s">
        <v>135</v>
      </c>
    </row>
    <row r="5056">
      <c r="A5056" s="0" t="s">
        <v>5324</v>
      </c>
      <c r="B5056" s="0" t="s">
        <v>5</v>
      </c>
      <c r="C5056" s="0" t="s">
        <v>652</v>
      </c>
      <c r="D5056" s="0" t="s">
        <v>135</v>
      </c>
      <c r="E5056" s="0" t="s">
        <v>3</v>
      </c>
      <c r="F5056" s="0" t="s">
        <v>12</v>
      </c>
      <c r="G5056" s="0" t="s">
        <v>8</v>
      </c>
      <c r="H5056" s="0">
        <v>-18</v>
      </c>
      <c r="I5056" s="0">
        <v>0</v>
      </c>
      <c r="J5056" s="0">
        <v>0</v>
      </c>
      <c r="K5056" s="0">
        <v>0</v>
      </c>
      <c r="L5056" s="0">
        <v>0</v>
      </c>
      <c r="M5056" s="0">
        <v>0</v>
      </c>
      <c r="N5056" s="0">
        <v>0</v>
      </c>
      <c r="O5056" s="0">
        <v>0</v>
      </c>
      <c r="P5056" s="0">
        <v>0</v>
      </c>
      <c r="R5056" s="0" t="b">
        <v>0</v>
      </c>
      <c r="S5056" s="0" t="b">
        <v>1</v>
      </c>
      <c r="T5056" s="68">
        <v>46072.8738657407</v>
      </c>
      <c r="U5056" s="68">
        <v>0</v>
      </c>
      <c r="V5056" s="68">
        <v>0</v>
      </c>
      <c r="W5056" s="0">
        <f>IF(IF(B5056="none",1,IF(B5056="Trialer",1,0))+IF(C5056="Customer",1,IF(C5056="Lost",1,0))=2,1,0)</f>
      </c>
      <c r="X5056" s="0" t="s">
        <v>145</v>
      </c>
      <c r="Y5056" s="0" t="s">
        <v>243</v>
      </c>
      <c r="AV5056" s="68"/>
      <c r="AW5056" s="68"/>
      <c r="AY5056" s="27"/>
      <c r="BD5056" s="68">
        <v>46054.1666666667</v>
      </c>
      <c r="BE5056" s="68">
        <v>46082.1666666667</v>
      </c>
      <c r="BF5056" s="0" t="b">
        <v>0</v>
      </c>
      <c r="BG5056" s="0" t="b">
        <v>0</v>
      </c>
      <c r="BH5056" s="0">
        <v>59</v>
      </c>
      <c r="BI5056" s="0">
        <v>59</v>
      </c>
      <c r="BJ5056" s="0" t="s">
        <v>135</v>
      </c>
    </row>
    <row r="5057">
      <c r="A5057" s="0" t="s">
        <v>5325</v>
      </c>
      <c r="B5057" s="0" t="s">
        <v>5</v>
      </c>
      <c r="C5057" s="0" t="s">
        <v>652</v>
      </c>
      <c r="D5057" s="0" t="s">
        <v>135</v>
      </c>
      <c r="E5057" s="0" t="s">
        <v>3</v>
      </c>
      <c r="F5057" s="0" t="s">
        <v>12</v>
      </c>
      <c r="G5057" s="0" t="s">
        <v>8</v>
      </c>
      <c r="H5057" s="0">
        <v>-18</v>
      </c>
      <c r="I5057" s="0">
        <v>0</v>
      </c>
      <c r="J5057" s="0">
        <v>0</v>
      </c>
      <c r="K5057" s="0">
        <v>0</v>
      </c>
      <c r="L5057" s="0">
        <v>0</v>
      </c>
      <c r="M5057" s="0">
        <v>0</v>
      </c>
      <c r="N5057" s="0">
        <v>0</v>
      </c>
      <c r="O5057" s="0">
        <v>0</v>
      </c>
      <c r="P5057" s="0">
        <v>0</v>
      </c>
      <c r="R5057" s="0" t="b">
        <v>0</v>
      </c>
      <c r="S5057" s="0" t="b">
        <v>1</v>
      </c>
      <c r="T5057" s="68">
        <v>46072.8738773148</v>
      </c>
      <c r="U5057" s="68">
        <v>0</v>
      </c>
      <c r="V5057" s="68">
        <v>0</v>
      </c>
      <c r="W5057" s="0">
        <f>IF(IF(B5057="none",1,IF(B5057="Trialer",1,0))+IF(C5057="Customer",1,IF(C5057="Lost",1,0))=2,1,0)</f>
      </c>
      <c r="X5057" s="0" t="s">
        <v>136</v>
      </c>
      <c r="Y5057" s="0" t="s">
        <v>243</v>
      </c>
      <c r="AV5057" s="68"/>
      <c r="AW5057" s="68"/>
      <c r="AY5057" s="27"/>
      <c r="BD5057" s="68">
        <v>46054.1666666667</v>
      </c>
      <c r="BE5057" s="68">
        <v>46082.1666666667</v>
      </c>
      <c r="BF5057" s="0" t="b">
        <v>0</v>
      </c>
      <c r="BG5057" s="0" t="b">
        <v>0</v>
      </c>
      <c r="BH5057" s="0">
        <v>59</v>
      </c>
      <c r="BI5057" s="0">
        <v>59</v>
      </c>
      <c r="BJ5057" s="0" t="s">
        <v>135</v>
      </c>
    </row>
    <row r="5058">
      <c r="A5058" s="0" t="s">
        <v>5326</v>
      </c>
      <c r="B5058" s="0" t="s">
        <v>5</v>
      </c>
      <c r="C5058" s="0" t="s">
        <v>652</v>
      </c>
      <c r="D5058" s="0" t="s">
        <v>135</v>
      </c>
      <c r="E5058" s="0" t="s">
        <v>3</v>
      </c>
      <c r="F5058" s="0" t="s">
        <v>12</v>
      </c>
      <c r="G5058" s="0" t="s">
        <v>8</v>
      </c>
      <c r="H5058" s="0">
        <v>-18</v>
      </c>
      <c r="I5058" s="0">
        <v>0</v>
      </c>
      <c r="J5058" s="0">
        <v>0</v>
      </c>
      <c r="K5058" s="0">
        <v>0</v>
      </c>
      <c r="L5058" s="0">
        <v>0</v>
      </c>
      <c r="M5058" s="0">
        <v>0</v>
      </c>
      <c r="N5058" s="0">
        <v>0</v>
      </c>
      <c r="O5058" s="0">
        <v>0</v>
      </c>
      <c r="P5058" s="0">
        <v>0</v>
      </c>
      <c r="R5058" s="0" t="b">
        <v>0</v>
      </c>
      <c r="S5058" s="0" t="b">
        <v>1</v>
      </c>
      <c r="T5058" s="68">
        <v>46072.873912037</v>
      </c>
      <c r="U5058" s="68">
        <v>0</v>
      </c>
      <c r="V5058" s="68">
        <v>0</v>
      </c>
      <c r="W5058" s="0">
        <f>IF(IF(B5058="none",1,IF(B5058="Trialer",1,0))+IF(C5058="Customer",1,IF(C5058="Lost",1,0))=2,1,0)</f>
      </c>
      <c r="X5058" s="0" t="s">
        <v>145</v>
      </c>
      <c r="Y5058" s="0" t="s">
        <v>243</v>
      </c>
      <c r="AV5058" s="68"/>
      <c r="AW5058" s="68"/>
      <c r="AY5058" s="27"/>
      <c r="BD5058" s="68">
        <v>46054.1666666667</v>
      </c>
      <c r="BE5058" s="68">
        <v>46082.1666666667</v>
      </c>
      <c r="BF5058" s="0" t="b">
        <v>0</v>
      </c>
      <c r="BG5058" s="0" t="b">
        <v>0</v>
      </c>
      <c r="BH5058" s="0">
        <v>59</v>
      </c>
      <c r="BI5058" s="0">
        <v>59</v>
      </c>
      <c r="BJ5058" s="0" t="s">
        <v>135</v>
      </c>
    </row>
    <row r="5059">
      <c r="A5059" s="0" t="s">
        <v>5327</v>
      </c>
      <c r="B5059" s="0" t="s">
        <v>5</v>
      </c>
      <c r="C5059" s="0" t="s">
        <v>652</v>
      </c>
      <c r="D5059" s="0" t="s">
        <v>135</v>
      </c>
      <c r="E5059" s="0" t="s">
        <v>3</v>
      </c>
      <c r="F5059" s="0" t="s">
        <v>12</v>
      </c>
      <c r="G5059" s="0" t="s">
        <v>8</v>
      </c>
      <c r="H5059" s="0">
        <v>-18</v>
      </c>
      <c r="I5059" s="0">
        <v>0</v>
      </c>
      <c r="J5059" s="0">
        <v>0</v>
      </c>
      <c r="K5059" s="0">
        <v>0</v>
      </c>
      <c r="L5059" s="0">
        <v>0</v>
      </c>
      <c r="M5059" s="0">
        <v>0</v>
      </c>
      <c r="N5059" s="0">
        <v>0</v>
      </c>
      <c r="O5059" s="0">
        <v>0</v>
      </c>
      <c r="P5059" s="0">
        <v>0</v>
      </c>
      <c r="R5059" s="0" t="b">
        <v>0</v>
      </c>
      <c r="S5059" s="0" t="b">
        <v>1</v>
      </c>
      <c r="T5059" s="68">
        <v>46072.8740393519</v>
      </c>
      <c r="U5059" s="68">
        <v>0</v>
      </c>
      <c r="V5059" s="68">
        <v>0</v>
      </c>
      <c r="W5059" s="0">
        <f>IF(IF(B5059="none",1,IF(B5059="Trialer",1,0))+IF(C5059="Customer",1,IF(C5059="Lost",1,0))=2,1,0)</f>
      </c>
      <c r="X5059" s="0" t="s">
        <v>148</v>
      </c>
      <c r="Y5059" s="0" t="s">
        <v>243</v>
      </c>
      <c r="AV5059" s="68"/>
      <c r="AW5059" s="68"/>
      <c r="AY5059" s="27"/>
      <c r="BD5059" s="68">
        <v>46054.1666666667</v>
      </c>
      <c r="BE5059" s="68">
        <v>46082.1666666667</v>
      </c>
      <c r="BF5059" s="0" t="b">
        <v>0</v>
      </c>
      <c r="BG5059" s="0" t="b">
        <v>0</v>
      </c>
      <c r="BH5059" s="0">
        <v>85</v>
      </c>
      <c r="BI5059" s="0">
        <v>85</v>
      </c>
      <c r="BJ5059" s="0" t="s">
        <v>135</v>
      </c>
    </row>
    <row r="5060">
      <c r="A5060" s="0" t="s">
        <v>5328</v>
      </c>
      <c r="B5060" s="0" t="s">
        <v>5</v>
      </c>
      <c r="C5060" s="0" t="s">
        <v>652</v>
      </c>
      <c r="D5060" s="0" t="s">
        <v>135</v>
      </c>
      <c r="E5060" s="0" t="s">
        <v>3</v>
      </c>
      <c r="F5060" s="0" t="s">
        <v>12</v>
      </c>
      <c r="G5060" s="0" t="s">
        <v>8</v>
      </c>
      <c r="H5060" s="0">
        <v>-18</v>
      </c>
      <c r="I5060" s="0">
        <v>0</v>
      </c>
      <c r="J5060" s="0">
        <v>0</v>
      </c>
      <c r="K5060" s="0">
        <v>0</v>
      </c>
      <c r="L5060" s="0">
        <v>0</v>
      </c>
      <c r="M5060" s="0">
        <v>0</v>
      </c>
      <c r="N5060" s="0">
        <v>0</v>
      </c>
      <c r="O5060" s="0">
        <v>0</v>
      </c>
      <c r="P5060" s="0">
        <v>0</v>
      </c>
      <c r="R5060" s="0" t="b">
        <v>0</v>
      </c>
      <c r="S5060" s="0" t="b">
        <v>1</v>
      </c>
      <c r="T5060" s="68">
        <v>46072.8749074074</v>
      </c>
      <c r="U5060" s="68">
        <v>0</v>
      </c>
      <c r="V5060" s="68">
        <v>0</v>
      </c>
      <c r="W5060" s="0">
        <f>IF(IF(B5060="none",1,IF(B5060="Trialer",1,0))+IF(C5060="Customer",1,IF(C5060="Lost",1,0))=2,1,0)</f>
      </c>
      <c r="X5060" s="0" t="s">
        <v>148</v>
      </c>
      <c r="Y5060" s="0" t="s">
        <v>243</v>
      </c>
      <c r="AV5060" s="68"/>
      <c r="AW5060" s="68"/>
      <c r="AY5060" s="27"/>
      <c r="BD5060" s="68">
        <v>46054.1666666667</v>
      </c>
      <c r="BE5060" s="68">
        <v>46082.1666666667</v>
      </c>
      <c r="BF5060" s="0" t="b">
        <v>0</v>
      </c>
      <c r="BG5060" s="0" t="b">
        <v>0</v>
      </c>
      <c r="BH5060" s="0">
        <v>71</v>
      </c>
      <c r="BI5060" s="0">
        <v>71</v>
      </c>
      <c r="BJ5060" s="0" t="s">
        <v>135</v>
      </c>
    </row>
    <row r="5061">
      <c r="A5061" s="0" t="s">
        <v>5329</v>
      </c>
      <c r="B5061" s="0" t="s">
        <v>5</v>
      </c>
      <c r="C5061" s="0" t="s">
        <v>652</v>
      </c>
      <c r="D5061" s="0" t="s">
        <v>135</v>
      </c>
      <c r="E5061" s="0" t="s">
        <v>2</v>
      </c>
      <c r="F5061" s="0" t="s">
        <v>12</v>
      </c>
      <c r="G5061" s="0" t="s">
        <v>8</v>
      </c>
      <c r="H5061" s="0">
        <v>-18</v>
      </c>
      <c r="I5061" s="0">
        <v>0</v>
      </c>
      <c r="J5061" s="0">
        <v>0</v>
      </c>
      <c r="K5061" s="0">
        <v>0</v>
      </c>
      <c r="L5061" s="0">
        <v>0</v>
      </c>
      <c r="M5061" s="0">
        <v>0</v>
      </c>
      <c r="N5061" s="0">
        <v>0</v>
      </c>
      <c r="O5061" s="0">
        <v>0</v>
      </c>
      <c r="P5061" s="0">
        <v>0</v>
      </c>
      <c r="R5061" s="0" t="b">
        <v>0</v>
      </c>
      <c r="S5061" s="0" t="b">
        <v>1</v>
      </c>
      <c r="T5061" s="68">
        <v>46072.8997685185</v>
      </c>
      <c r="U5061" s="68">
        <v>46085.2916666667</v>
      </c>
      <c r="V5061" s="68">
        <v>0</v>
      </c>
      <c r="W5061" s="0">
        <f>IF(IF(B5061="none",1,IF(B5061="Trialer",1,0))+IF(C5061="Customer",1,IF(C5061="Lost",1,0))=2,1,0)</f>
      </c>
      <c r="X5061" s="0" t="s">
        <v>1461</v>
      </c>
      <c r="Y5061" s="0" t="s">
        <v>499</v>
      </c>
      <c r="AV5061" s="68"/>
      <c r="AW5061" s="68"/>
      <c r="AY5061" s="27"/>
      <c r="BD5061" s="68">
        <v>46054.1666666667</v>
      </c>
      <c r="BE5061" s="68">
        <v>46082.1666666667</v>
      </c>
      <c r="BF5061" s="0" t="b">
        <v>0</v>
      </c>
      <c r="BG5061" s="0" t="b">
        <v>0</v>
      </c>
      <c r="BH5061" s="0">
        <v>71</v>
      </c>
      <c r="BI5061" s="0">
        <v>71</v>
      </c>
      <c r="BJ5061" s="0" t="s">
        <v>230</v>
      </c>
    </row>
    <row r="5062">
      <c r="A5062" s="0" t="s">
        <v>5330</v>
      </c>
      <c r="B5062" s="0" t="s">
        <v>5</v>
      </c>
      <c r="C5062" s="0" t="s">
        <v>652</v>
      </c>
      <c r="D5062" s="0" t="s">
        <v>135</v>
      </c>
      <c r="E5062" s="0" t="s">
        <v>3</v>
      </c>
      <c r="F5062" s="0" t="s">
        <v>12</v>
      </c>
      <c r="G5062" s="0" t="s">
        <v>8</v>
      </c>
      <c r="H5062" s="0">
        <v>-19</v>
      </c>
      <c r="I5062" s="0">
        <v>0</v>
      </c>
      <c r="J5062" s="0">
        <v>0</v>
      </c>
      <c r="K5062" s="0">
        <v>0</v>
      </c>
      <c r="L5062" s="0">
        <v>0</v>
      </c>
      <c r="M5062" s="0">
        <v>0</v>
      </c>
      <c r="N5062" s="0">
        <v>0</v>
      </c>
      <c r="O5062" s="0">
        <v>0</v>
      </c>
      <c r="P5062" s="0">
        <v>0</v>
      </c>
      <c r="R5062" s="0" t="b">
        <v>0</v>
      </c>
      <c r="S5062" s="0" t="b">
        <v>1</v>
      </c>
      <c r="T5062" s="68">
        <v>46073.0153819444</v>
      </c>
      <c r="U5062" s="68">
        <v>0</v>
      </c>
      <c r="V5062" s="68">
        <v>0</v>
      </c>
      <c r="W5062" s="0">
        <f>IF(IF(B5062="none",1,IF(B5062="Trialer",1,0))+IF(C5062="Customer",1,IF(C5062="Lost",1,0))=2,1,0)</f>
      </c>
      <c r="X5062" s="0" t="s">
        <v>148</v>
      </c>
      <c r="Y5062" s="0" t="s">
        <v>243</v>
      </c>
      <c r="AV5062" s="68"/>
      <c r="AW5062" s="68"/>
      <c r="AY5062" s="27"/>
      <c r="BD5062" s="68">
        <v>46054.1666666667</v>
      </c>
      <c r="BE5062" s="68">
        <v>46082.1666666667</v>
      </c>
      <c r="BF5062" s="0" t="b">
        <v>0</v>
      </c>
      <c r="BG5062" s="0" t="b">
        <v>0</v>
      </c>
      <c r="BH5062" s="0">
        <v>59</v>
      </c>
      <c r="BI5062" s="0">
        <v>59</v>
      </c>
      <c r="BJ5062" s="0" t="s">
        <v>135</v>
      </c>
    </row>
    <row r="5063">
      <c r="A5063" s="0" t="s">
        <v>5331</v>
      </c>
      <c r="B5063" s="0" t="s">
        <v>5</v>
      </c>
      <c r="C5063" s="0" t="s">
        <v>652</v>
      </c>
      <c r="D5063" s="0" t="s">
        <v>135</v>
      </c>
      <c r="E5063" s="0" t="s">
        <v>1515</v>
      </c>
      <c r="F5063" s="0" t="s">
        <v>12</v>
      </c>
      <c r="G5063" s="0" t="s">
        <v>8</v>
      </c>
      <c r="H5063" s="0">
        <v>-19</v>
      </c>
      <c r="I5063" s="0">
        <v>0</v>
      </c>
      <c r="J5063" s="0">
        <v>0</v>
      </c>
      <c r="K5063" s="0">
        <v>0</v>
      </c>
      <c r="L5063" s="0">
        <v>0</v>
      </c>
      <c r="M5063" s="0">
        <v>0</v>
      </c>
      <c r="N5063" s="0">
        <v>0</v>
      </c>
      <c r="O5063" s="0">
        <v>0</v>
      </c>
      <c r="P5063" s="0">
        <v>0</v>
      </c>
      <c r="R5063" s="0" t="b">
        <v>0</v>
      </c>
      <c r="S5063" s="0" t="b">
        <v>1</v>
      </c>
      <c r="T5063" s="68">
        <v>46073.0580324074</v>
      </c>
      <c r="U5063" s="68">
        <v>0</v>
      </c>
      <c r="V5063" s="68">
        <v>0</v>
      </c>
      <c r="W5063" s="0">
        <f>IF(IF(B5063="none",1,IF(B5063="Trialer",1,0))+IF(C5063="Customer",1,IF(C5063="Lost",1,0))=2,1,0)</f>
      </c>
      <c r="X5063" s="0" t="s">
        <v>145</v>
      </c>
      <c r="Y5063" s="0" t="s">
        <v>1516</v>
      </c>
      <c r="AV5063" s="68"/>
      <c r="AW5063" s="68"/>
      <c r="AY5063" s="27"/>
      <c r="BD5063" s="68">
        <v>46054.1666666667</v>
      </c>
      <c r="BE5063" s="68">
        <v>46082.1666666667</v>
      </c>
      <c r="BF5063" s="0" t="b">
        <v>0</v>
      </c>
      <c r="BG5063" s="0" t="b">
        <v>0</v>
      </c>
      <c r="BH5063" s="0">
        <v>59</v>
      </c>
      <c r="BI5063" s="0">
        <v>59</v>
      </c>
      <c r="BJ5063" s="0" t="s">
        <v>135</v>
      </c>
    </row>
    <row r="5064">
      <c r="A5064" s="0" t="s">
        <v>5332</v>
      </c>
      <c r="B5064" s="0" t="s">
        <v>5</v>
      </c>
      <c r="C5064" s="0" t="s">
        <v>652</v>
      </c>
      <c r="D5064" s="0" t="s">
        <v>135</v>
      </c>
      <c r="E5064" s="0" t="s">
        <v>3</v>
      </c>
      <c r="F5064" s="0" t="s">
        <v>12</v>
      </c>
      <c r="G5064" s="0" t="s">
        <v>8</v>
      </c>
      <c r="H5064" s="0">
        <v>-19</v>
      </c>
      <c r="I5064" s="0">
        <v>0</v>
      </c>
      <c r="J5064" s="0">
        <v>0</v>
      </c>
      <c r="K5064" s="0">
        <v>0</v>
      </c>
      <c r="L5064" s="0">
        <v>0</v>
      </c>
      <c r="M5064" s="0">
        <v>0</v>
      </c>
      <c r="N5064" s="0">
        <v>0</v>
      </c>
      <c r="O5064" s="0">
        <v>0</v>
      </c>
      <c r="P5064" s="0">
        <v>0</v>
      </c>
      <c r="R5064" s="0" t="b">
        <v>0</v>
      </c>
      <c r="S5064" s="0" t="b">
        <v>1</v>
      </c>
      <c r="T5064" s="68">
        <v>46073.1013541667</v>
      </c>
      <c r="U5064" s="68">
        <v>0</v>
      </c>
      <c r="V5064" s="68">
        <v>0</v>
      </c>
      <c r="W5064" s="0">
        <f>IF(IF(B5064="none",1,IF(B5064="Trialer",1,0))+IF(C5064="Customer",1,IF(C5064="Lost",1,0))=2,1,0)</f>
      </c>
      <c r="X5064" s="0" t="s">
        <v>136</v>
      </c>
      <c r="Y5064" s="0" t="s">
        <v>243</v>
      </c>
      <c r="AV5064" s="68"/>
      <c r="AW5064" s="68"/>
      <c r="AY5064" s="27"/>
      <c r="BD5064" s="68">
        <v>46054.1666666667</v>
      </c>
      <c r="BE5064" s="68">
        <v>46082.1666666667</v>
      </c>
      <c r="BF5064" s="0" t="b">
        <v>1</v>
      </c>
      <c r="BG5064" s="0" t="b">
        <v>0</v>
      </c>
      <c r="BH5064" s="0">
        <v>59</v>
      </c>
      <c r="BI5064" s="0">
        <v>59</v>
      </c>
      <c r="BJ5064" s="0" t="s">
        <v>135</v>
      </c>
    </row>
    <row r="5065">
      <c r="A5065" s="0" t="s">
        <v>5333</v>
      </c>
      <c r="B5065" s="0" t="s">
        <v>5</v>
      </c>
      <c r="C5065" s="0" t="s">
        <v>652</v>
      </c>
      <c r="D5065" s="0" t="s">
        <v>135</v>
      </c>
      <c r="E5065" s="0" t="s">
        <v>1515</v>
      </c>
      <c r="F5065" s="0" t="s">
        <v>12</v>
      </c>
      <c r="G5065" s="0" t="s">
        <v>8</v>
      </c>
      <c r="H5065" s="0">
        <v>-19</v>
      </c>
      <c r="I5065" s="0">
        <v>0</v>
      </c>
      <c r="J5065" s="0">
        <v>0</v>
      </c>
      <c r="K5065" s="0">
        <v>0</v>
      </c>
      <c r="L5065" s="0">
        <v>0</v>
      </c>
      <c r="M5065" s="0">
        <v>0</v>
      </c>
      <c r="N5065" s="0">
        <v>0</v>
      </c>
      <c r="O5065" s="0">
        <v>0</v>
      </c>
      <c r="P5065" s="0">
        <v>0</v>
      </c>
      <c r="R5065" s="0" t="b">
        <v>0</v>
      </c>
      <c r="S5065" s="0" t="b">
        <v>1</v>
      </c>
      <c r="T5065" s="68">
        <v>46073.127349537</v>
      </c>
      <c r="U5065" s="68">
        <v>0</v>
      </c>
      <c r="V5065" s="68">
        <v>0</v>
      </c>
      <c r="W5065" s="0">
        <f>IF(IF(B5065="none",1,IF(B5065="Trialer",1,0))+IF(C5065="Customer",1,IF(C5065="Lost",1,0))=2,1,0)</f>
      </c>
      <c r="X5065" s="0" t="s">
        <v>136</v>
      </c>
      <c r="Y5065" s="0" t="s">
        <v>1516</v>
      </c>
      <c r="AV5065" s="68"/>
      <c r="AW5065" s="68"/>
      <c r="AY5065" s="27"/>
      <c r="BD5065" s="68">
        <v>46054.1666666667</v>
      </c>
      <c r="BE5065" s="68">
        <v>46082.1666666667</v>
      </c>
      <c r="BF5065" s="0" t="b">
        <v>0</v>
      </c>
      <c r="BG5065" s="0" t="b">
        <v>0</v>
      </c>
      <c r="BH5065" s="0">
        <v>59</v>
      </c>
      <c r="BI5065" s="0">
        <v>59</v>
      </c>
      <c r="BJ5065" s="0" t="s">
        <v>135</v>
      </c>
    </row>
    <row r="5066">
      <c r="A5066" s="0" t="s">
        <v>5334</v>
      </c>
      <c r="B5066" s="0" t="s">
        <v>5</v>
      </c>
      <c r="C5066" s="0" t="s">
        <v>652</v>
      </c>
      <c r="D5066" s="0" t="s">
        <v>135</v>
      </c>
      <c r="E5066" s="0" t="s">
        <v>2</v>
      </c>
      <c r="F5066" s="0" t="s">
        <v>12</v>
      </c>
      <c r="G5066" s="0" t="s">
        <v>8</v>
      </c>
      <c r="H5066" s="0">
        <v>-19</v>
      </c>
      <c r="I5066" s="0">
        <v>0</v>
      </c>
      <c r="J5066" s="0">
        <v>0</v>
      </c>
      <c r="K5066" s="0">
        <v>0</v>
      </c>
      <c r="L5066" s="0">
        <v>0</v>
      </c>
      <c r="M5066" s="0">
        <v>0</v>
      </c>
      <c r="N5066" s="0">
        <v>0</v>
      </c>
      <c r="O5066" s="0">
        <v>0</v>
      </c>
      <c r="P5066" s="0">
        <v>0</v>
      </c>
      <c r="R5066" s="0" t="b">
        <v>0</v>
      </c>
      <c r="S5066" s="0" t="b">
        <v>1</v>
      </c>
      <c r="T5066" s="68">
        <v>46073.1740625</v>
      </c>
      <c r="U5066" s="68">
        <v>0</v>
      </c>
      <c r="V5066" s="68">
        <v>0</v>
      </c>
      <c r="W5066" s="0">
        <f>IF(IF(B5066="none",1,IF(B5066="Trialer",1,0))+IF(C5066="Customer",1,IF(C5066="Lost",1,0))=2,1,0)</f>
      </c>
      <c r="X5066" s="0" t="s">
        <v>148</v>
      </c>
      <c r="Y5066" s="0" t="s">
        <v>499</v>
      </c>
      <c r="AV5066" s="68"/>
      <c r="AW5066" s="68"/>
      <c r="AY5066" s="27"/>
      <c r="BD5066" s="68">
        <v>46054.1666666667</v>
      </c>
      <c r="BE5066" s="68">
        <v>46082.1666666667</v>
      </c>
      <c r="BF5066" s="0" t="b">
        <v>0</v>
      </c>
      <c r="BG5066" s="0" t="b">
        <v>0</v>
      </c>
      <c r="BH5066" s="0">
        <v>59</v>
      </c>
      <c r="BI5066" s="0">
        <v>59</v>
      </c>
      <c r="BJ5066" s="0" t="s">
        <v>135</v>
      </c>
    </row>
    <row r="5067">
      <c r="A5067" s="0" t="s">
        <v>5335</v>
      </c>
      <c r="B5067" s="0" t="s">
        <v>5</v>
      </c>
      <c r="C5067" s="0" t="s">
        <v>652</v>
      </c>
      <c r="D5067" s="0" t="s">
        <v>135</v>
      </c>
      <c r="E5067" s="0" t="s">
        <v>1515</v>
      </c>
      <c r="F5067" s="0" t="s">
        <v>12</v>
      </c>
      <c r="G5067" s="0" t="s">
        <v>8</v>
      </c>
      <c r="H5067" s="0">
        <v>-19</v>
      </c>
      <c r="I5067" s="0">
        <v>0</v>
      </c>
      <c r="J5067" s="0">
        <v>0</v>
      </c>
      <c r="K5067" s="0">
        <v>0</v>
      </c>
      <c r="L5067" s="0">
        <v>0</v>
      </c>
      <c r="M5067" s="0">
        <v>0</v>
      </c>
      <c r="N5067" s="0">
        <v>0</v>
      </c>
      <c r="O5067" s="0">
        <v>0</v>
      </c>
      <c r="P5067" s="0">
        <v>0</v>
      </c>
      <c r="R5067" s="0" t="b">
        <v>0</v>
      </c>
      <c r="S5067" s="0" t="b">
        <v>1</v>
      </c>
      <c r="T5067" s="68">
        <v>46073.2690625</v>
      </c>
      <c r="U5067" s="68">
        <v>0</v>
      </c>
      <c r="V5067" s="68">
        <v>0</v>
      </c>
      <c r="W5067" s="0">
        <f>IF(IF(B5067="none",1,IF(B5067="Trialer",1,0))+IF(C5067="Customer",1,IF(C5067="Lost",1,0))=2,1,0)</f>
      </c>
      <c r="X5067" s="0" t="s">
        <v>145</v>
      </c>
      <c r="Y5067" s="0" t="s">
        <v>1516</v>
      </c>
      <c r="AV5067" s="68"/>
      <c r="AW5067" s="68"/>
      <c r="AY5067" s="27"/>
      <c r="BD5067" s="68">
        <v>46054.1666666667</v>
      </c>
      <c r="BE5067" s="68">
        <v>46082.1666666667</v>
      </c>
      <c r="BF5067" s="0" t="b">
        <v>0</v>
      </c>
      <c r="BG5067" s="0" t="b">
        <v>0</v>
      </c>
      <c r="BH5067" s="0">
        <v>59</v>
      </c>
      <c r="BI5067" s="0">
        <v>59</v>
      </c>
      <c r="BJ5067" s="0" t="s">
        <v>135</v>
      </c>
    </row>
    <row r="5068">
      <c r="A5068" s="0" t="s">
        <v>5336</v>
      </c>
      <c r="B5068" s="0" t="s">
        <v>5</v>
      </c>
      <c r="C5068" s="0" t="s">
        <v>652</v>
      </c>
      <c r="D5068" s="0" t="s">
        <v>135</v>
      </c>
      <c r="E5068" s="0" t="s">
        <v>2</v>
      </c>
      <c r="F5068" s="0" t="s">
        <v>12</v>
      </c>
      <c r="G5068" s="0" t="s">
        <v>8</v>
      </c>
      <c r="H5068" s="0">
        <v>-19</v>
      </c>
      <c r="I5068" s="0">
        <v>0</v>
      </c>
      <c r="J5068" s="0">
        <v>0</v>
      </c>
      <c r="K5068" s="0">
        <v>0</v>
      </c>
      <c r="L5068" s="0">
        <v>0</v>
      </c>
      <c r="M5068" s="0">
        <v>0</v>
      </c>
      <c r="N5068" s="0">
        <v>0</v>
      </c>
      <c r="O5068" s="0">
        <v>0</v>
      </c>
      <c r="P5068" s="0">
        <v>0</v>
      </c>
      <c r="R5068" s="0" t="b">
        <v>0</v>
      </c>
      <c r="S5068" s="0" t="b">
        <v>1</v>
      </c>
      <c r="T5068" s="68">
        <v>46073.2848148148</v>
      </c>
      <c r="U5068" s="68">
        <v>0</v>
      </c>
      <c r="V5068" s="68">
        <v>0</v>
      </c>
      <c r="W5068" s="0">
        <f>IF(IF(B5068="none",1,IF(B5068="Trialer",1,0))+IF(C5068="Customer",1,IF(C5068="Lost",1,0))=2,1,0)</f>
      </c>
      <c r="X5068" s="0" t="s">
        <v>145</v>
      </c>
      <c r="Y5068" s="0" t="s">
        <v>499</v>
      </c>
      <c r="AV5068" s="68"/>
      <c r="AW5068" s="68"/>
      <c r="AY5068" s="27"/>
      <c r="BD5068" s="68">
        <v>46054.1666666667</v>
      </c>
      <c r="BE5068" s="68">
        <v>46082.1666666667</v>
      </c>
      <c r="BF5068" s="0" t="b">
        <v>0</v>
      </c>
      <c r="BG5068" s="0" t="b">
        <v>0</v>
      </c>
      <c r="BH5068" s="0">
        <v>59</v>
      </c>
      <c r="BI5068" s="0">
        <v>59</v>
      </c>
      <c r="BJ5068" s="0" t="s">
        <v>135</v>
      </c>
    </row>
    <row r="5069">
      <c r="A5069" s="0" t="s">
        <v>5337</v>
      </c>
      <c r="B5069" s="0" t="s">
        <v>5</v>
      </c>
      <c r="C5069" s="0" t="s">
        <v>652</v>
      </c>
      <c r="D5069" s="0" t="s">
        <v>135</v>
      </c>
      <c r="E5069" s="0" t="s">
        <v>1515</v>
      </c>
      <c r="F5069" s="0" t="s">
        <v>12</v>
      </c>
      <c r="G5069" s="0" t="s">
        <v>8</v>
      </c>
      <c r="H5069" s="0">
        <v>-19</v>
      </c>
      <c r="I5069" s="0">
        <v>0</v>
      </c>
      <c r="J5069" s="0">
        <v>0</v>
      </c>
      <c r="K5069" s="0">
        <v>0</v>
      </c>
      <c r="L5069" s="0">
        <v>0</v>
      </c>
      <c r="M5069" s="0">
        <v>0</v>
      </c>
      <c r="N5069" s="0">
        <v>0</v>
      </c>
      <c r="O5069" s="0">
        <v>0</v>
      </c>
      <c r="P5069" s="0">
        <v>0</v>
      </c>
      <c r="R5069" s="0" t="b">
        <v>0</v>
      </c>
      <c r="S5069" s="0" t="b">
        <v>0</v>
      </c>
      <c r="T5069" s="68">
        <v>46073.3818981481</v>
      </c>
      <c r="U5069" s="68">
        <v>0</v>
      </c>
      <c r="V5069" s="68">
        <v>46073.3929166667</v>
      </c>
      <c r="W5069" s="0">
        <f>IF(IF(B5069="none",1,IF(B5069="Trialer",1,0))+IF(C5069="Customer",1,IF(C5069="Lost",1,0))=2,1,0)</f>
      </c>
      <c r="X5069" s="0" t="s">
        <v>148</v>
      </c>
      <c r="Y5069" s="0" t="s">
        <v>1516</v>
      </c>
      <c r="AV5069" s="68"/>
      <c r="AW5069" s="68"/>
      <c r="AY5069" s="27"/>
      <c r="BD5069" s="68">
        <v>46054.1666666667</v>
      </c>
      <c r="BE5069" s="68">
        <v>46082.1666666667</v>
      </c>
      <c r="BF5069" s="0" t="b">
        <v>0</v>
      </c>
      <c r="BG5069" s="0" t="b">
        <v>0</v>
      </c>
      <c r="BH5069" s="0">
        <v>0</v>
      </c>
      <c r="BI5069" s="0">
        <v>0</v>
      </c>
      <c r="BJ5069" s="0" t="s">
        <v>135</v>
      </c>
    </row>
    <row r="5070">
      <c r="A5070" s="0" t="s">
        <v>5338</v>
      </c>
      <c r="B5070" s="0" t="s">
        <v>5</v>
      </c>
      <c r="C5070" s="0" t="s">
        <v>652</v>
      </c>
      <c r="D5070" s="0" t="s">
        <v>135</v>
      </c>
      <c r="E5070" s="0" t="s">
        <v>3</v>
      </c>
      <c r="F5070" s="0" t="s">
        <v>10</v>
      </c>
      <c r="G5070" s="0" t="s">
        <v>8</v>
      </c>
      <c r="H5070" s="0">
        <v>-19</v>
      </c>
      <c r="I5070" s="0">
        <v>0</v>
      </c>
      <c r="J5070" s="0">
        <v>0</v>
      </c>
      <c r="K5070" s="0">
        <v>0</v>
      </c>
      <c r="L5070" s="0">
        <v>0</v>
      </c>
      <c r="M5070" s="0">
        <v>0</v>
      </c>
      <c r="N5070" s="0">
        <v>0</v>
      </c>
      <c r="O5070" s="0">
        <v>0</v>
      </c>
      <c r="P5070" s="0">
        <v>0</v>
      </c>
      <c r="Q5070" s="0" t="s">
        <v>357</v>
      </c>
      <c r="R5070" s="0" t="b">
        <v>0</v>
      </c>
      <c r="S5070" s="0" t="b">
        <v>1</v>
      </c>
      <c r="T5070" s="68">
        <v>46073.4165740741</v>
      </c>
      <c r="U5070" s="68">
        <v>0</v>
      </c>
      <c r="V5070" s="68">
        <v>0</v>
      </c>
      <c r="W5070" s="0">
        <f>IF(IF(B5070="none",1,IF(B5070="Trialer",1,0))+IF(C5070="Customer",1,IF(C5070="Lost",1,0))=2,1,0)</f>
      </c>
      <c r="X5070" s="0" t="s">
        <v>148</v>
      </c>
      <c r="Y5070" s="0" t="s">
        <v>243</v>
      </c>
      <c r="AV5070" s="68"/>
      <c r="AW5070" s="68"/>
      <c r="AY5070" s="27"/>
      <c r="BD5070" s="68">
        <v>46054.1666666667</v>
      </c>
      <c r="BE5070" s="68">
        <v>46082.1666666667</v>
      </c>
      <c r="BF5070" s="0" t="b">
        <v>0</v>
      </c>
      <c r="BG5070" s="0" t="b">
        <v>0</v>
      </c>
      <c r="BH5070" s="0">
        <v>59</v>
      </c>
      <c r="BI5070" s="0">
        <v>59</v>
      </c>
      <c r="BJ5070" s="0" t="s">
        <v>135</v>
      </c>
    </row>
    <row r="5071">
      <c r="A5071" s="0" t="s">
        <v>5339</v>
      </c>
      <c r="B5071" s="0" t="s">
        <v>5</v>
      </c>
      <c r="C5071" s="0" t="s">
        <v>652</v>
      </c>
      <c r="D5071" s="0" t="s">
        <v>135</v>
      </c>
      <c r="E5071" s="0" t="s">
        <v>3</v>
      </c>
      <c r="F5071" s="0" t="s">
        <v>12</v>
      </c>
      <c r="G5071" s="0" t="s">
        <v>8</v>
      </c>
      <c r="H5071" s="0">
        <v>-19</v>
      </c>
      <c r="I5071" s="0">
        <v>0</v>
      </c>
      <c r="J5071" s="0">
        <v>0</v>
      </c>
      <c r="K5071" s="0">
        <v>0</v>
      </c>
      <c r="L5071" s="0">
        <v>0</v>
      </c>
      <c r="M5071" s="0">
        <v>0</v>
      </c>
      <c r="N5071" s="0">
        <v>0</v>
      </c>
      <c r="O5071" s="0">
        <v>0</v>
      </c>
      <c r="P5071" s="0">
        <v>0</v>
      </c>
      <c r="R5071" s="0" t="b">
        <v>0</v>
      </c>
      <c r="S5071" s="0" t="b">
        <v>1</v>
      </c>
      <c r="T5071" s="68">
        <v>46073.4741087963</v>
      </c>
      <c r="U5071" s="68">
        <v>0</v>
      </c>
      <c r="V5071" s="68">
        <v>0</v>
      </c>
      <c r="W5071" s="0">
        <f>IF(IF(B5071="none",1,IF(B5071="Trialer",1,0))+IF(C5071="Customer",1,IF(C5071="Lost",1,0))=2,1,0)</f>
      </c>
      <c r="X5071" s="0" t="s">
        <v>136</v>
      </c>
      <c r="Y5071" s="0" t="s">
        <v>243</v>
      </c>
      <c r="AV5071" s="68"/>
      <c r="AW5071" s="68"/>
      <c r="AY5071" s="27"/>
      <c r="BD5071" s="68">
        <v>46054.1666666667</v>
      </c>
      <c r="BE5071" s="68">
        <v>46082.1666666667</v>
      </c>
      <c r="BF5071" s="0" t="b">
        <v>0</v>
      </c>
      <c r="BG5071" s="0" t="b">
        <v>0</v>
      </c>
      <c r="BH5071" s="0">
        <v>213</v>
      </c>
      <c r="BI5071" s="0">
        <v>213</v>
      </c>
      <c r="BJ5071" s="0" t="s">
        <v>135</v>
      </c>
    </row>
    <row r="5072">
      <c r="A5072" s="0" t="s">
        <v>5340</v>
      </c>
      <c r="B5072" s="0" t="s">
        <v>5</v>
      </c>
      <c r="C5072" s="0" t="s">
        <v>652</v>
      </c>
      <c r="D5072" s="0" t="s">
        <v>135</v>
      </c>
      <c r="E5072" s="0" t="s">
        <v>3</v>
      </c>
      <c r="F5072" s="0" t="s">
        <v>12</v>
      </c>
      <c r="G5072" s="0" t="s">
        <v>8</v>
      </c>
      <c r="H5072" s="0">
        <v>-19</v>
      </c>
      <c r="I5072" s="0">
        <v>0</v>
      </c>
      <c r="J5072" s="0">
        <v>0</v>
      </c>
      <c r="K5072" s="0">
        <v>0</v>
      </c>
      <c r="L5072" s="0">
        <v>0</v>
      </c>
      <c r="M5072" s="0">
        <v>0</v>
      </c>
      <c r="N5072" s="0">
        <v>0</v>
      </c>
      <c r="O5072" s="0">
        <v>0</v>
      </c>
      <c r="P5072" s="0">
        <v>0</v>
      </c>
      <c r="R5072" s="0" t="b">
        <v>0</v>
      </c>
      <c r="S5072" s="0" t="b">
        <v>1</v>
      </c>
      <c r="T5072" s="68">
        <v>46073.5248726852</v>
      </c>
      <c r="U5072" s="68">
        <v>0</v>
      </c>
      <c r="V5072" s="68">
        <v>0</v>
      </c>
      <c r="W5072" s="0">
        <f>IF(IF(B5072="none",1,IF(B5072="Trialer",1,0))+IF(C5072="Customer",1,IF(C5072="Lost",1,0))=2,1,0)</f>
      </c>
      <c r="X5072" s="0" t="s">
        <v>145</v>
      </c>
      <c r="Y5072" s="0" t="s">
        <v>243</v>
      </c>
      <c r="AV5072" s="68"/>
      <c r="AW5072" s="68"/>
      <c r="AY5072" s="27"/>
      <c r="BD5072" s="68">
        <v>46054.1666666667</v>
      </c>
      <c r="BE5072" s="68">
        <v>46082.1666666667</v>
      </c>
      <c r="BF5072" s="0" t="b">
        <v>0</v>
      </c>
      <c r="BG5072" s="0" t="b">
        <v>0</v>
      </c>
      <c r="BH5072" s="0">
        <v>85</v>
      </c>
      <c r="BI5072" s="0">
        <v>85</v>
      </c>
      <c r="BJ5072" s="0" t="s">
        <v>135</v>
      </c>
    </row>
    <row r="5073">
      <c r="A5073" s="0" t="s">
        <v>5341</v>
      </c>
      <c r="B5073" s="0" t="s">
        <v>5</v>
      </c>
      <c r="C5073" s="0" t="s">
        <v>652</v>
      </c>
      <c r="D5073" s="0" t="s">
        <v>135</v>
      </c>
      <c r="E5073" s="0" t="s">
        <v>3</v>
      </c>
      <c r="F5073" s="0" t="s">
        <v>12</v>
      </c>
      <c r="G5073" s="0" t="s">
        <v>8</v>
      </c>
      <c r="H5073" s="0">
        <v>-19</v>
      </c>
      <c r="I5073" s="0">
        <v>0</v>
      </c>
      <c r="J5073" s="0">
        <v>0</v>
      </c>
      <c r="K5073" s="0">
        <v>0</v>
      </c>
      <c r="L5073" s="0">
        <v>0</v>
      </c>
      <c r="M5073" s="0">
        <v>0</v>
      </c>
      <c r="N5073" s="0">
        <v>0</v>
      </c>
      <c r="O5073" s="0">
        <v>0</v>
      </c>
      <c r="P5073" s="0">
        <v>0</v>
      </c>
      <c r="R5073" s="0" t="b">
        <v>0</v>
      </c>
      <c r="S5073" s="0" t="b">
        <v>1</v>
      </c>
      <c r="T5073" s="68">
        <v>46073.5335648148</v>
      </c>
      <c r="U5073" s="68">
        <v>46097.3333333333</v>
      </c>
      <c r="V5073" s="68">
        <v>0</v>
      </c>
      <c r="W5073" s="0">
        <f>IF(IF(B5073="none",1,IF(B5073="Trialer",1,0))+IF(C5073="Customer",1,IF(C5073="Lost",1,0))=2,1,0)</f>
      </c>
      <c r="X5073" s="0" t="s">
        <v>1461</v>
      </c>
      <c r="Y5073" s="0" t="s">
        <v>243</v>
      </c>
      <c r="AV5073" s="68"/>
      <c r="AW5073" s="68"/>
      <c r="AY5073" s="27"/>
      <c r="BD5073" s="68">
        <v>46054.1666666667</v>
      </c>
      <c r="BE5073" s="68">
        <v>46082.1666666667</v>
      </c>
      <c r="BF5073" s="0" t="b">
        <v>0</v>
      </c>
      <c r="BG5073" s="0" t="b">
        <v>0</v>
      </c>
      <c r="BH5073" s="0">
        <v>35</v>
      </c>
      <c r="BI5073" s="0">
        <v>35</v>
      </c>
      <c r="BJ5073" s="0" t="s">
        <v>135</v>
      </c>
    </row>
    <row r="5074">
      <c r="A5074" s="0" t="s">
        <v>5342</v>
      </c>
      <c r="B5074" s="0" t="s">
        <v>5</v>
      </c>
      <c r="C5074" s="0" t="s">
        <v>652</v>
      </c>
      <c r="D5074" s="0" t="s">
        <v>135</v>
      </c>
      <c r="E5074" s="0" t="s">
        <v>3</v>
      </c>
      <c r="F5074" s="0" t="s">
        <v>12</v>
      </c>
      <c r="G5074" s="0" t="s">
        <v>8</v>
      </c>
      <c r="H5074" s="0">
        <v>-19</v>
      </c>
      <c r="I5074" s="0">
        <v>0</v>
      </c>
      <c r="J5074" s="0">
        <v>0</v>
      </c>
      <c r="K5074" s="0">
        <v>0</v>
      </c>
      <c r="L5074" s="0">
        <v>0</v>
      </c>
      <c r="M5074" s="0">
        <v>0</v>
      </c>
      <c r="N5074" s="0">
        <v>0</v>
      </c>
      <c r="O5074" s="0">
        <v>0</v>
      </c>
      <c r="P5074" s="0">
        <v>0</v>
      </c>
      <c r="R5074" s="0" t="b">
        <v>0</v>
      </c>
      <c r="S5074" s="0" t="b">
        <v>0</v>
      </c>
      <c r="T5074" s="68">
        <v>46073.5418402778</v>
      </c>
      <c r="U5074" s="68">
        <v>0</v>
      </c>
      <c r="V5074" s="68">
        <v>46074.5838773148</v>
      </c>
      <c r="W5074" s="0">
        <f>IF(IF(B5074="none",1,IF(B5074="Trialer",1,0))+IF(C5074="Customer",1,IF(C5074="Lost",1,0))=2,1,0)</f>
      </c>
      <c r="X5074" s="0" t="s">
        <v>148</v>
      </c>
      <c r="Y5074" s="0" t="s">
        <v>243</v>
      </c>
      <c r="AV5074" s="68"/>
      <c r="AW5074" s="68"/>
      <c r="AY5074" s="27"/>
      <c r="BD5074" s="68">
        <v>46054.1666666667</v>
      </c>
      <c r="BE5074" s="68">
        <v>46082.1666666667</v>
      </c>
      <c r="BF5074" s="0" t="b">
        <v>0</v>
      </c>
      <c r="BG5074" s="0" t="b">
        <v>0</v>
      </c>
      <c r="BH5074" s="0">
        <v>83</v>
      </c>
      <c r="BI5074" s="0">
        <v>83</v>
      </c>
      <c r="BJ5074" s="0" t="s">
        <v>135</v>
      </c>
    </row>
    <row r="5075">
      <c r="A5075" s="0" t="s">
        <v>5343</v>
      </c>
      <c r="B5075" s="0" t="s">
        <v>5</v>
      </c>
      <c r="C5075" s="0" t="s">
        <v>652</v>
      </c>
      <c r="D5075" s="0" t="s">
        <v>135</v>
      </c>
      <c r="E5075" s="0" t="s">
        <v>2</v>
      </c>
      <c r="F5075" s="0" t="s">
        <v>12</v>
      </c>
      <c r="G5075" s="0" t="s">
        <v>8</v>
      </c>
      <c r="H5075" s="0">
        <v>-19</v>
      </c>
      <c r="I5075" s="0">
        <v>0</v>
      </c>
      <c r="J5075" s="0">
        <v>0</v>
      </c>
      <c r="K5075" s="0">
        <v>0</v>
      </c>
      <c r="L5075" s="0">
        <v>0</v>
      </c>
      <c r="M5075" s="0">
        <v>0</v>
      </c>
      <c r="N5075" s="0">
        <v>0</v>
      </c>
      <c r="O5075" s="0">
        <v>0</v>
      </c>
      <c r="P5075" s="0">
        <v>0</v>
      </c>
      <c r="R5075" s="0" t="b">
        <v>0</v>
      </c>
      <c r="S5075" s="0" t="b">
        <v>1</v>
      </c>
      <c r="T5075" s="68">
        <v>46073.5802430556</v>
      </c>
      <c r="U5075" s="68">
        <v>0</v>
      </c>
      <c r="V5075" s="68">
        <v>0</v>
      </c>
      <c r="W5075" s="0">
        <f>IF(IF(B5075="none",1,IF(B5075="Trialer",1,0))+IF(C5075="Customer",1,IF(C5075="Lost",1,0))=2,1,0)</f>
      </c>
      <c r="X5075" s="0" t="s">
        <v>145</v>
      </c>
      <c r="Y5075" s="0" t="s">
        <v>499</v>
      </c>
      <c r="AV5075" s="68"/>
      <c r="AW5075" s="68"/>
      <c r="AY5075" s="27"/>
      <c r="BD5075" s="68">
        <v>46054.1666666667</v>
      </c>
      <c r="BE5075" s="68">
        <v>46082.1666666667</v>
      </c>
      <c r="BF5075" s="0" t="b">
        <v>0</v>
      </c>
      <c r="BG5075" s="0" t="b">
        <v>0</v>
      </c>
      <c r="BH5075" s="0">
        <v>85</v>
      </c>
      <c r="BI5075" s="0">
        <v>85</v>
      </c>
      <c r="BJ5075" s="0" t="s">
        <v>135</v>
      </c>
    </row>
    <row r="5076">
      <c r="A5076" s="0" t="s">
        <v>5344</v>
      </c>
      <c r="B5076" s="0" t="s">
        <v>5</v>
      </c>
      <c r="C5076" s="0" t="s">
        <v>652</v>
      </c>
      <c r="D5076" s="0" t="s">
        <v>135</v>
      </c>
      <c r="E5076" s="0" t="s">
        <v>3</v>
      </c>
      <c r="F5076" s="0" t="s">
        <v>12</v>
      </c>
      <c r="G5076" s="0" t="s">
        <v>8</v>
      </c>
      <c r="H5076" s="0">
        <v>-19</v>
      </c>
      <c r="I5076" s="0">
        <v>0</v>
      </c>
      <c r="J5076" s="0">
        <v>0</v>
      </c>
      <c r="K5076" s="0">
        <v>0</v>
      </c>
      <c r="L5076" s="0">
        <v>0</v>
      </c>
      <c r="M5076" s="0">
        <v>0</v>
      </c>
      <c r="N5076" s="0">
        <v>0</v>
      </c>
      <c r="O5076" s="0">
        <v>0</v>
      </c>
      <c r="P5076" s="0">
        <v>0</v>
      </c>
      <c r="R5076" s="0" t="b">
        <v>0</v>
      </c>
      <c r="S5076" s="0" t="b">
        <v>1</v>
      </c>
      <c r="T5076" s="68">
        <v>46073.5968981481</v>
      </c>
      <c r="U5076" s="68">
        <v>0</v>
      </c>
      <c r="V5076" s="68">
        <v>0</v>
      </c>
      <c r="W5076" s="0">
        <f>IF(IF(B5076="none",1,IF(B5076="Trialer",1,0))+IF(C5076="Customer",1,IF(C5076="Lost",1,0))=2,1,0)</f>
      </c>
      <c r="X5076" s="0" t="s">
        <v>136</v>
      </c>
      <c r="Y5076" s="0" t="s">
        <v>243</v>
      </c>
      <c r="AV5076" s="68"/>
      <c r="AW5076" s="68"/>
      <c r="AY5076" s="27"/>
      <c r="BD5076" s="68">
        <v>46054.1666666667</v>
      </c>
      <c r="BE5076" s="68">
        <v>46082.1666666667</v>
      </c>
      <c r="BF5076" s="0" t="b">
        <v>0</v>
      </c>
      <c r="BG5076" s="0" t="b">
        <v>0</v>
      </c>
      <c r="BH5076" s="0">
        <v>59</v>
      </c>
      <c r="BI5076" s="0">
        <v>59</v>
      </c>
      <c r="BJ5076" s="0" t="s">
        <v>135</v>
      </c>
    </row>
    <row r="5077">
      <c r="A5077" s="0" t="s">
        <v>5345</v>
      </c>
      <c r="B5077" s="0" t="s">
        <v>5</v>
      </c>
      <c r="C5077" s="0" t="s">
        <v>652</v>
      </c>
      <c r="D5077" s="0" t="s">
        <v>135</v>
      </c>
      <c r="E5077" s="0" t="s">
        <v>2414</v>
      </c>
      <c r="F5077" s="0" t="s">
        <v>12</v>
      </c>
      <c r="G5077" s="0" t="s">
        <v>8</v>
      </c>
      <c r="H5077" s="0">
        <v>-19</v>
      </c>
      <c r="I5077" s="0">
        <v>0</v>
      </c>
      <c r="J5077" s="0">
        <v>0</v>
      </c>
      <c r="K5077" s="0">
        <v>0</v>
      </c>
      <c r="L5077" s="0">
        <v>0</v>
      </c>
      <c r="M5077" s="0">
        <v>0</v>
      </c>
      <c r="N5077" s="0">
        <v>0</v>
      </c>
      <c r="O5077" s="0">
        <v>0</v>
      </c>
      <c r="P5077" s="0">
        <v>0</v>
      </c>
      <c r="R5077" s="0" t="b">
        <v>0</v>
      </c>
      <c r="S5077" s="0" t="b">
        <v>1</v>
      </c>
      <c r="T5077" s="68">
        <v>46073.6129398148</v>
      </c>
      <c r="U5077" s="68">
        <v>0</v>
      </c>
      <c r="V5077" s="68">
        <v>0</v>
      </c>
      <c r="W5077" s="0">
        <f>IF(IF(B5077="none",1,IF(B5077="Trialer",1,0))+IF(C5077="Customer",1,IF(C5077="Lost",1,0))=2,1,0)</f>
      </c>
      <c r="X5077" s="0" t="s">
        <v>148</v>
      </c>
      <c r="Y5077" s="0" t="s">
        <v>1516</v>
      </c>
      <c r="AV5077" s="68"/>
      <c r="AW5077" s="68"/>
      <c r="AY5077" s="27"/>
      <c r="BD5077" s="68">
        <v>46054.1666666667</v>
      </c>
      <c r="BE5077" s="68">
        <v>46082.1666666667</v>
      </c>
      <c r="BF5077" s="0" t="b">
        <v>0</v>
      </c>
      <c r="BG5077" s="0" t="b">
        <v>0</v>
      </c>
      <c r="BH5077" s="0">
        <v>59</v>
      </c>
      <c r="BI5077" s="0">
        <v>59</v>
      </c>
      <c r="BJ5077" s="0" t="s">
        <v>135</v>
      </c>
    </row>
    <row r="5078">
      <c r="A5078" s="0" t="s">
        <v>5346</v>
      </c>
      <c r="B5078" s="0" t="s">
        <v>5</v>
      </c>
      <c r="C5078" s="0" t="s">
        <v>652</v>
      </c>
      <c r="D5078" s="0" t="s">
        <v>135</v>
      </c>
      <c r="E5078" s="0" t="s">
        <v>1515</v>
      </c>
      <c r="F5078" s="0" t="s">
        <v>12</v>
      </c>
      <c r="G5078" s="0" t="s">
        <v>8</v>
      </c>
      <c r="H5078" s="0">
        <v>-19</v>
      </c>
      <c r="I5078" s="0">
        <v>0</v>
      </c>
      <c r="J5078" s="0">
        <v>0</v>
      </c>
      <c r="K5078" s="0">
        <v>0</v>
      </c>
      <c r="L5078" s="0">
        <v>0</v>
      </c>
      <c r="M5078" s="0">
        <v>0</v>
      </c>
      <c r="N5078" s="0">
        <v>0</v>
      </c>
      <c r="O5078" s="0">
        <v>0</v>
      </c>
      <c r="P5078" s="0">
        <v>0</v>
      </c>
      <c r="R5078" s="0" t="b">
        <v>0</v>
      </c>
      <c r="S5078" s="0" t="b">
        <v>1</v>
      </c>
      <c r="T5078" s="68">
        <v>46073.6149189815</v>
      </c>
      <c r="U5078" s="68">
        <v>0</v>
      </c>
      <c r="V5078" s="68">
        <v>0</v>
      </c>
      <c r="W5078" s="0">
        <f>IF(IF(B5078="none",1,IF(B5078="Trialer",1,0))+IF(C5078="Customer",1,IF(C5078="Lost",1,0))=2,1,0)</f>
      </c>
      <c r="X5078" s="0" t="s">
        <v>145</v>
      </c>
      <c r="Y5078" s="0" t="s">
        <v>1516</v>
      </c>
      <c r="AV5078" s="68"/>
      <c r="AW5078" s="68"/>
      <c r="AY5078" s="27"/>
      <c r="BD5078" s="68">
        <v>46054.1666666667</v>
      </c>
      <c r="BE5078" s="68">
        <v>46082.1666666667</v>
      </c>
      <c r="BF5078" s="0" t="b">
        <v>0</v>
      </c>
      <c r="BG5078" s="0" t="b">
        <v>0</v>
      </c>
      <c r="BH5078" s="0">
        <v>59</v>
      </c>
      <c r="BI5078" s="0">
        <v>59</v>
      </c>
      <c r="BJ5078" s="0" t="s">
        <v>135</v>
      </c>
    </row>
    <row r="5079">
      <c r="A5079" s="0" t="s">
        <v>5347</v>
      </c>
      <c r="B5079" s="0" t="s">
        <v>5</v>
      </c>
      <c r="C5079" s="0" t="s">
        <v>652</v>
      </c>
      <c r="D5079" s="0" t="s">
        <v>135</v>
      </c>
      <c r="E5079" s="0" t="s">
        <v>3</v>
      </c>
      <c r="F5079" s="0" t="s">
        <v>12</v>
      </c>
      <c r="G5079" s="0" t="s">
        <v>8</v>
      </c>
      <c r="H5079" s="0">
        <v>-19</v>
      </c>
      <c r="I5079" s="0">
        <v>0</v>
      </c>
      <c r="J5079" s="0">
        <v>0</v>
      </c>
      <c r="K5079" s="0">
        <v>0</v>
      </c>
      <c r="L5079" s="0">
        <v>0</v>
      </c>
      <c r="M5079" s="0">
        <v>0</v>
      </c>
      <c r="N5079" s="0">
        <v>0</v>
      </c>
      <c r="O5079" s="0">
        <v>0</v>
      </c>
      <c r="P5079" s="0">
        <v>0</v>
      </c>
      <c r="R5079" s="0" t="b">
        <v>0</v>
      </c>
      <c r="S5079" s="0" t="b">
        <v>1</v>
      </c>
      <c r="T5079" s="68">
        <v>46073.7087962963</v>
      </c>
      <c r="U5079" s="68">
        <v>0</v>
      </c>
      <c r="V5079" s="68">
        <v>0</v>
      </c>
      <c r="W5079" s="0">
        <f>IF(IF(B5079="none",1,IF(B5079="Trialer",1,0))+IF(C5079="Customer",1,IF(C5079="Lost",1,0))=2,1,0)</f>
      </c>
      <c r="X5079" s="0" t="s">
        <v>136</v>
      </c>
      <c r="Y5079" s="0" t="s">
        <v>243</v>
      </c>
      <c r="AV5079" s="68"/>
      <c r="AW5079" s="68"/>
      <c r="AY5079" s="27"/>
      <c r="BD5079" s="68">
        <v>46054.1666666667</v>
      </c>
      <c r="BE5079" s="68">
        <v>46082.1666666667</v>
      </c>
      <c r="BF5079" s="0" t="b">
        <v>0</v>
      </c>
      <c r="BG5079" s="0" t="b">
        <v>0</v>
      </c>
      <c r="BH5079" s="0">
        <v>59</v>
      </c>
      <c r="BI5079" s="0">
        <v>59</v>
      </c>
      <c r="BJ5079" s="0" t="s">
        <v>135</v>
      </c>
    </row>
    <row r="5080">
      <c r="A5080" s="0" t="s">
        <v>5348</v>
      </c>
      <c r="B5080" s="0" t="s">
        <v>5</v>
      </c>
      <c r="C5080" s="0" t="s">
        <v>652</v>
      </c>
      <c r="D5080" s="0" t="s">
        <v>135</v>
      </c>
      <c r="E5080" s="0" t="s">
        <v>3</v>
      </c>
      <c r="F5080" s="0" t="s">
        <v>12</v>
      </c>
      <c r="G5080" s="0" t="s">
        <v>8</v>
      </c>
      <c r="H5080" s="0">
        <v>-19</v>
      </c>
      <c r="I5080" s="0">
        <v>0</v>
      </c>
      <c r="J5080" s="0">
        <v>0</v>
      </c>
      <c r="K5080" s="0">
        <v>0</v>
      </c>
      <c r="L5080" s="0">
        <v>0</v>
      </c>
      <c r="M5080" s="0">
        <v>0</v>
      </c>
      <c r="N5080" s="0">
        <v>0</v>
      </c>
      <c r="O5080" s="0">
        <v>0</v>
      </c>
      <c r="P5080" s="0">
        <v>0</v>
      </c>
      <c r="R5080" s="0" t="b">
        <v>0</v>
      </c>
      <c r="S5080" s="0" t="b">
        <v>1</v>
      </c>
      <c r="T5080" s="68">
        <v>46073.7152662037</v>
      </c>
      <c r="U5080" s="68">
        <v>0</v>
      </c>
      <c r="V5080" s="68">
        <v>0</v>
      </c>
      <c r="W5080" s="0">
        <f>IF(IF(B5080="none",1,IF(B5080="Trialer",1,0))+IF(C5080="Customer",1,IF(C5080="Lost",1,0))=2,1,0)</f>
      </c>
      <c r="X5080" s="0" t="s">
        <v>136</v>
      </c>
      <c r="Y5080" s="0" t="s">
        <v>243</v>
      </c>
      <c r="AV5080" s="68"/>
      <c r="AW5080" s="68"/>
      <c r="AY5080" s="27"/>
      <c r="BD5080" s="68">
        <v>46054.1666666667</v>
      </c>
      <c r="BE5080" s="68">
        <v>46082.1666666667</v>
      </c>
      <c r="BF5080" s="0" t="b">
        <v>0</v>
      </c>
      <c r="BG5080" s="0" t="b">
        <v>0</v>
      </c>
      <c r="BH5080" s="0">
        <v>59</v>
      </c>
      <c r="BI5080" s="0">
        <v>59</v>
      </c>
      <c r="BJ5080" s="0" t="s">
        <v>135</v>
      </c>
    </row>
    <row r="5081">
      <c r="A5081" s="0" t="s">
        <v>5349</v>
      </c>
      <c r="B5081" s="0" t="s">
        <v>5</v>
      </c>
      <c r="C5081" s="0" t="s">
        <v>652</v>
      </c>
      <c r="D5081" s="0" t="s">
        <v>135</v>
      </c>
      <c r="E5081" s="0" t="s">
        <v>2</v>
      </c>
      <c r="F5081" s="0" t="s">
        <v>12</v>
      </c>
      <c r="G5081" s="0" t="s">
        <v>8</v>
      </c>
      <c r="H5081" s="0">
        <v>-19</v>
      </c>
      <c r="I5081" s="0">
        <v>0</v>
      </c>
      <c r="J5081" s="0">
        <v>0</v>
      </c>
      <c r="K5081" s="0">
        <v>0</v>
      </c>
      <c r="L5081" s="0">
        <v>0</v>
      </c>
      <c r="M5081" s="0">
        <v>0</v>
      </c>
      <c r="N5081" s="0">
        <v>0</v>
      </c>
      <c r="O5081" s="0">
        <v>0</v>
      </c>
      <c r="P5081" s="0">
        <v>0</v>
      </c>
      <c r="R5081" s="0" t="b">
        <v>0</v>
      </c>
      <c r="S5081" s="0" t="b">
        <v>1</v>
      </c>
      <c r="T5081" s="68">
        <v>46073.745474537</v>
      </c>
      <c r="U5081" s="68">
        <v>0</v>
      </c>
      <c r="V5081" s="68">
        <v>0</v>
      </c>
      <c r="W5081" s="0">
        <f>IF(IF(B5081="none",1,IF(B5081="Trialer",1,0))+IF(C5081="Customer",1,IF(C5081="Lost",1,0))=2,1,0)</f>
      </c>
      <c r="X5081" s="0" t="s">
        <v>148</v>
      </c>
      <c r="Y5081" s="0" t="s">
        <v>499</v>
      </c>
      <c r="AV5081" s="68"/>
      <c r="AW5081" s="68"/>
      <c r="AY5081" s="27"/>
      <c r="BD5081" s="68">
        <v>46054.1666666667</v>
      </c>
      <c r="BE5081" s="68">
        <v>46082.1666666667</v>
      </c>
      <c r="BF5081" s="0" t="b">
        <v>0</v>
      </c>
      <c r="BG5081" s="0" t="b">
        <v>0</v>
      </c>
      <c r="BH5081" s="0">
        <v>59</v>
      </c>
      <c r="BI5081" s="0">
        <v>59</v>
      </c>
      <c r="BJ5081" s="0" t="s">
        <v>135</v>
      </c>
    </row>
    <row r="5082">
      <c r="A5082" s="0" t="s">
        <v>5350</v>
      </c>
      <c r="B5082" s="0" t="s">
        <v>5</v>
      </c>
      <c r="C5082" s="0" t="s">
        <v>652</v>
      </c>
      <c r="D5082" s="0" t="s">
        <v>135</v>
      </c>
      <c r="E5082" s="0" t="s">
        <v>3</v>
      </c>
      <c r="F5082" s="0" t="s">
        <v>12</v>
      </c>
      <c r="G5082" s="0" t="s">
        <v>8</v>
      </c>
      <c r="H5082" s="0">
        <v>-19</v>
      </c>
      <c r="I5082" s="0">
        <v>0</v>
      </c>
      <c r="J5082" s="0">
        <v>0</v>
      </c>
      <c r="K5082" s="0">
        <v>0</v>
      </c>
      <c r="L5082" s="0">
        <v>0</v>
      </c>
      <c r="M5082" s="0">
        <v>0</v>
      </c>
      <c r="N5082" s="0">
        <v>0</v>
      </c>
      <c r="O5082" s="0">
        <v>0</v>
      </c>
      <c r="P5082" s="0">
        <v>0</v>
      </c>
      <c r="R5082" s="0" t="b">
        <v>0</v>
      </c>
      <c r="S5082" s="0" t="b">
        <v>1</v>
      </c>
      <c r="T5082" s="68">
        <v>46073.8320486111</v>
      </c>
      <c r="U5082" s="68">
        <v>0</v>
      </c>
      <c r="V5082" s="68">
        <v>0</v>
      </c>
      <c r="W5082" s="0">
        <f>IF(IF(B5082="none",1,IF(B5082="Trialer",1,0))+IF(C5082="Customer",1,IF(C5082="Lost",1,0))=2,1,0)</f>
      </c>
      <c r="X5082" s="0" t="s">
        <v>145</v>
      </c>
      <c r="Y5082" s="0" t="s">
        <v>243</v>
      </c>
      <c r="AV5082" s="68"/>
      <c r="AW5082" s="68"/>
      <c r="AY5082" s="27"/>
      <c r="BD5082" s="68">
        <v>46054.1666666667</v>
      </c>
      <c r="BE5082" s="68">
        <v>46082.1666666667</v>
      </c>
      <c r="BF5082" s="0" t="b">
        <v>0</v>
      </c>
      <c r="BG5082" s="0" t="b">
        <v>0</v>
      </c>
      <c r="BH5082" s="0">
        <v>71</v>
      </c>
      <c r="BI5082" s="0">
        <v>71</v>
      </c>
      <c r="BJ5082" s="0" t="s">
        <v>135</v>
      </c>
    </row>
    <row r="5083">
      <c r="A5083" s="0" t="s">
        <v>5351</v>
      </c>
      <c r="B5083" s="0" t="s">
        <v>5</v>
      </c>
      <c r="C5083" s="0" t="s">
        <v>652</v>
      </c>
      <c r="D5083" s="0" t="s">
        <v>135</v>
      </c>
      <c r="E5083" s="0" t="s">
        <v>3</v>
      </c>
      <c r="F5083" s="0" t="s">
        <v>12</v>
      </c>
      <c r="G5083" s="0" t="s">
        <v>8</v>
      </c>
      <c r="H5083" s="0">
        <v>-19</v>
      </c>
      <c r="I5083" s="0">
        <v>0</v>
      </c>
      <c r="J5083" s="0">
        <v>0</v>
      </c>
      <c r="K5083" s="0">
        <v>0</v>
      </c>
      <c r="L5083" s="0">
        <v>0</v>
      </c>
      <c r="M5083" s="0">
        <v>0</v>
      </c>
      <c r="N5083" s="0">
        <v>0</v>
      </c>
      <c r="O5083" s="0">
        <v>0</v>
      </c>
      <c r="P5083" s="0">
        <v>0</v>
      </c>
      <c r="R5083" s="0" t="b">
        <v>0</v>
      </c>
      <c r="S5083" s="0" t="b">
        <v>0</v>
      </c>
      <c r="T5083" s="68">
        <v>46073.8885648148</v>
      </c>
      <c r="U5083" s="68">
        <v>0</v>
      </c>
      <c r="V5083" s="68">
        <v>46083.4766203704</v>
      </c>
      <c r="W5083" s="0">
        <f>IF(IF(B5083="none",1,IF(B5083="Trialer",1,0))+IF(C5083="Customer",1,IF(C5083="Lost",1,0))=2,1,0)</f>
      </c>
      <c r="X5083" s="0" t="s">
        <v>136</v>
      </c>
      <c r="Y5083" s="0" t="s">
        <v>243</v>
      </c>
      <c r="AV5083" s="68"/>
      <c r="AW5083" s="68"/>
      <c r="AY5083" s="27"/>
      <c r="BD5083" s="68">
        <v>46054.1666666667</v>
      </c>
      <c r="BE5083" s="68">
        <v>46082.1666666667</v>
      </c>
      <c r="BF5083" s="0" t="b">
        <v>0</v>
      </c>
      <c r="BG5083" s="0" t="b">
        <v>0</v>
      </c>
      <c r="BH5083" s="0">
        <v>59</v>
      </c>
      <c r="BI5083" s="0">
        <v>59</v>
      </c>
      <c r="BJ5083" s="0" t="s">
        <v>135</v>
      </c>
    </row>
    <row r="5084">
      <c r="A5084" s="0" t="s">
        <v>5352</v>
      </c>
      <c r="B5084" s="0" t="s">
        <v>5</v>
      </c>
      <c r="C5084" s="0" t="s">
        <v>652</v>
      </c>
      <c r="D5084" s="0" t="s">
        <v>135</v>
      </c>
      <c r="E5084" s="0" t="s">
        <v>3</v>
      </c>
      <c r="F5084" s="0" t="s">
        <v>12</v>
      </c>
      <c r="G5084" s="0" t="s">
        <v>8</v>
      </c>
      <c r="H5084" s="0">
        <v>-19</v>
      </c>
      <c r="I5084" s="0">
        <v>0</v>
      </c>
      <c r="J5084" s="0">
        <v>0</v>
      </c>
      <c r="K5084" s="0">
        <v>0</v>
      </c>
      <c r="L5084" s="0">
        <v>0</v>
      </c>
      <c r="M5084" s="0">
        <v>0</v>
      </c>
      <c r="N5084" s="0">
        <v>0</v>
      </c>
      <c r="O5084" s="0">
        <v>0</v>
      </c>
      <c r="P5084" s="0">
        <v>0</v>
      </c>
      <c r="R5084" s="0" t="b">
        <v>0</v>
      </c>
      <c r="S5084" s="0" t="b">
        <v>1</v>
      </c>
      <c r="T5084" s="68">
        <v>46073.9137268519</v>
      </c>
      <c r="U5084" s="68">
        <v>0</v>
      </c>
      <c r="V5084" s="68">
        <v>0</v>
      </c>
      <c r="W5084" s="0">
        <f>IF(IF(B5084="none",1,IF(B5084="Trialer",1,0))+IF(C5084="Customer",1,IF(C5084="Lost",1,0))=2,1,0)</f>
      </c>
      <c r="X5084" s="0" t="s">
        <v>148</v>
      </c>
      <c r="Y5084" s="0" t="s">
        <v>243</v>
      </c>
      <c r="AV5084" s="68"/>
      <c r="AW5084" s="68"/>
      <c r="AY5084" s="27"/>
      <c r="BD5084" s="68">
        <v>46054.1666666667</v>
      </c>
      <c r="BE5084" s="68">
        <v>46082.1666666667</v>
      </c>
      <c r="BF5084" s="0" t="b">
        <v>0</v>
      </c>
      <c r="BG5084" s="0" t="b">
        <v>0</v>
      </c>
      <c r="BH5084" s="0">
        <v>118</v>
      </c>
      <c r="BI5084" s="0">
        <v>118</v>
      </c>
      <c r="BJ5084" s="0" t="s">
        <v>135</v>
      </c>
    </row>
    <row r="5085">
      <c r="A5085" s="0" t="s">
        <v>5353</v>
      </c>
      <c r="B5085" s="0" t="s">
        <v>5</v>
      </c>
      <c r="C5085" s="0" t="s">
        <v>652</v>
      </c>
      <c r="D5085" s="0" t="s">
        <v>135</v>
      </c>
      <c r="E5085" s="0" t="s">
        <v>3</v>
      </c>
      <c r="F5085" s="0" t="s">
        <v>12</v>
      </c>
      <c r="G5085" s="0" t="s">
        <v>8</v>
      </c>
      <c r="H5085" s="0">
        <v>-20</v>
      </c>
      <c r="I5085" s="0">
        <v>0</v>
      </c>
      <c r="J5085" s="0">
        <v>0</v>
      </c>
      <c r="K5085" s="0">
        <v>0</v>
      </c>
      <c r="L5085" s="0">
        <v>0</v>
      </c>
      <c r="M5085" s="0">
        <v>0</v>
      </c>
      <c r="N5085" s="0">
        <v>0</v>
      </c>
      <c r="O5085" s="0">
        <v>0</v>
      </c>
      <c r="P5085" s="0">
        <v>0</v>
      </c>
      <c r="R5085" s="0" t="b">
        <v>0</v>
      </c>
      <c r="S5085" s="0" t="b">
        <v>1</v>
      </c>
      <c r="T5085" s="68">
        <v>46073.9961689815</v>
      </c>
      <c r="U5085" s="68">
        <v>0</v>
      </c>
      <c r="V5085" s="68">
        <v>0</v>
      </c>
      <c r="W5085" s="0">
        <f>IF(IF(B5085="none",1,IF(B5085="Trialer",1,0))+IF(C5085="Customer",1,IF(C5085="Lost",1,0))=2,1,0)</f>
      </c>
      <c r="X5085" s="0" t="s">
        <v>145</v>
      </c>
      <c r="Y5085" s="0" t="s">
        <v>243</v>
      </c>
      <c r="AV5085" s="68"/>
      <c r="AW5085" s="68"/>
      <c r="AY5085" s="27"/>
      <c r="BD5085" s="68">
        <v>46054.1666666667</v>
      </c>
      <c r="BE5085" s="68">
        <v>46082.1666666667</v>
      </c>
      <c r="BF5085" s="0" t="b">
        <v>0</v>
      </c>
      <c r="BG5085" s="0" t="b">
        <v>0</v>
      </c>
      <c r="BH5085" s="0">
        <v>85</v>
      </c>
      <c r="BI5085" s="0">
        <v>85</v>
      </c>
      <c r="BJ5085" s="0" t="s">
        <v>135</v>
      </c>
    </row>
    <row r="5086">
      <c r="A5086" s="0" t="s">
        <v>5354</v>
      </c>
      <c r="B5086" s="0" t="s">
        <v>5</v>
      </c>
      <c r="C5086" s="0" t="s">
        <v>652</v>
      </c>
      <c r="D5086" s="0" t="s">
        <v>135</v>
      </c>
      <c r="E5086" s="0" t="s">
        <v>3</v>
      </c>
      <c r="F5086" s="0" t="s">
        <v>12</v>
      </c>
      <c r="G5086" s="0" t="s">
        <v>8</v>
      </c>
      <c r="H5086" s="0">
        <v>-20</v>
      </c>
      <c r="I5086" s="0">
        <v>0</v>
      </c>
      <c r="J5086" s="0">
        <v>0</v>
      </c>
      <c r="K5086" s="0">
        <v>0</v>
      </c>
      <c r="L5086" s="0">
        <v>0</v>
      </c>
      <c r="M5086" s="0">
        <v>0</v>
      </c>
      <c r="N5086" s="0">
        <v>0</v>
      </c>
      <c r="O5086" s="0">
        <v>0</v>
      </c>
      <c r="P5086" s="0">
        <v>0</v>
      </c>
      <c r="R5086" s="0" t="b">
        <v>0</v>
      </c>
      <c r="S5086" s="0" t="b">
        <v>1</v>
      </c>
      <c r="T5086" s="68">
        <v>46074.0235532407</v>
      </c>
      <c r="U5086" s="68">
        <v>0</v>
      </c>
      <c r="V5086" s="68">
        <v>0</v>
      </c>
      <c r="W5086" s="0">
        <f>IF(IF(B5086="none",1,IF(B5086="Trialer",1,0))+IF(C5086="Customer",1,IF(C5086="Lost",1,0))=2,1,0)</f>
      </c>
      <c r="X5086" s="0" t="s">
        <v>136</v>
      </c>
      <c r="Y5086" s="0" t="s">
        <v>243</v>
      </c>
      <c r="AV5086" s="68"/>
      <c r="AW5086" s="68"/>
      <c r="AY5086" s="27"/>
      <c r="BD5086" s="68">
        <v>46054.1666666667</v>
      </c>
      <c r="BE5086" s="68">
        <v>46082.1666666667</v>
      </c>
      <c r="BF5086" s="0" t="b">
        <v>0</v>
      </c>
      <c r="BG5086" s="0" t="b">
        <v>0</v>
      </c>
      <c r="BH5086" s="0">
        <v>85</v>
      </c>
      <c r="BI5086" s="0">
        <v>85</v>
      </c>
      <c r="BJ5086" s="0" t="s">
        <v>135</v>
      </c>
    </row>
    <row r="5087">
      <c r="A5087" s="0" t="s">
        <v>5355</v>
      </c>
      <c r="B5087" s="0" t="s">
        <v>5</v>
      </c>
      <c r="C5087" s="0" t="s">
        <v>652</v>
      </c>
      <c r="D5087" s="0" t="s">
        <v>135</v>
      </c>
      <c r="E5087" s="0" t="s">
        <v>3</v>
      </c>
      <c r="F5087" s="0" t="s">
        <v>12</v>
      </c>
      <c r="G5087" s="0" t="s">
        <v>8</v>
      </c>
      <c r="H5087" s="0">
        <v>-20</v>
      </c>
      <c r="I5087" s="0">
        <v>0</v>
      </c>
      <c r="J5087" s="0">
        <v>0</v>
      </c>
      <c r="K5087" s="0">
        <v>0</v>
      </c>
      <c r="L5087" s="0">
        <v>0</v>
      </c>
      <c r="M5087" s="0">
        <v>0</v>
      </c>
      <c r="N5087" s="0">
        <v>0</v>
      </c>
      <c r="O5087" s="0">
        <v>0</v>
      </c>
      <c r="P5087" s="0">
        <v>0</v>
      </c>
      <c r="R5087" s="0" t="b">
        <v>0</v>
      </c>
      <c r="S5087" s="0" t="b">
        <v>1</v>
      </c>
      <c r="T5087" s="68">
        <v>46074.1114930556</v>
      </c>
      <c r="U5087" s="68">
        <v>0</v>
      </c>
      <c r="V5087" s="68">
        <v>0</v>
      </c>
      <c r="W5087" s="0">
        <f>IF(IF(B5087="none",1,IF(B5087="Trialer",1,0))+IF(C5087="Customer",1,IF(C5087="Lost",1,0))=2,1,0)</f>
      </c>
      <c r="X5087" s="0" t="s">
        <v>148</v>
      </c>
      <c r="Y5087" s="0" t="s">
        <v>243</v>
      </c>
      <c r="AV5087" s="68"/>
      <c r="AW5087" s="68"/>
      <c r="AY5087" s="27"/>
      <c r="BD5087" s="68">
        <v>46054.1666666667</v>
      </c>
      <c r="BE5087" s="68">
        <v>46082.1666666667</v>
      </c>
      <c r="BF5087" s="0" t="b">
        <v>0</v>
      </c>
      <c r="BG5087" s="0" t="b">
        <v>0</v>
      </c>
      <c r="BH5087" s="0">
        <v>59</v>
      </c>
      <c r="BI5087" s="0">
        <v>59</v>
      </c>
      <c r="BJ5087" s="0" t="s">
        <v>135</v>
      </c>
    </row>
    <row r="5088">
      <c r="A5088" s="0" t="s">
        <v>5356</v>
      </c>
      <c r="B5088" s="0" t="s">
        <v>5</v>
      </c>
      <c r="C5088" s="0" t="s">
        <v>652</v>
      </c>
      <c r="D5088" s="0" t="s">
        <v>135</v>
      </c>
      <c r="E5088" s="0" t="s">
        <v>3</v>
      </c>
      <c r="F5088" s="0" t="s">
        <v>12</v>
      </c>
      <c r="G5088" s="0" t="s">
        <v>8</v>
      </c>
      <c r="H5088" s="0">
        <v>-20</v>
      </c>
      <c r="I5088" s="0">
        <v>0</v>
      </c>
      <c r="J5088" s="0">
        <v>0</v>
      </c>
      <c r="K5088" s="0">
        <v>0</v>
      </c>
      <c r="L5088" s="0">
        <v>0</v>
      </c>
      <c r="M5088" s="0">
        <v>0</v>
      </c>
      <c r="N5088" s="0">
        <v>0</v>
      </c>
      <c r="O5088" s="0">
        <v>0</v>
      </c>
      <c r="P5088" s="0">
        <v>0</v>
      </c>
      <c r="R5088" s="0" t="b">
        <v>0</v>
      </c>
      <c r="S5088" s="0" t="b">
        <v>0</v>
      </c>
      <c r="T5088" s="68">
        <v>46074.1274421296</v>
      </c>
      <c r="U5088" s="68">
        <v>46089.3333333333</v>
      </c>
      <c r="V5088" s="68">
        <v>46089.4445023148</v>
      </c>
      <c r="W5088" s="0">
        <f>IF(IF(B5088="none",1,IF(B5088="Trialer",1,0))+IF(C5088="Customer",1,IF(C5088="Lost",1,0))=2,1,0)</f>
      </c>
      <c r="X5088" s="0" t="s">
        <v>145</v>
      </c>
      <c r="Y5088" s="0" t="s">
        <v>243</v>
      </c>
      <c r="AV5088" s="68"/>
      <c r="AW5088" s="68"/>
      <c r="AY5088" s="27"/>
      <c r="BD5088" s="68">
        <v>46054.1666666667</v>
      </c>
      <c r="BE5088" s="68">
        <v>46082.1666666667</v>
      </c>
      <c r="BF5088" s="0" t="b">
        <v>0</v>
      </c>
      <c r="BG5088" s="0" t="b">
        <v>0</v>
      </c>
      <c r="BH5088" s="0">
        <v>85</v>
      </c>
      <c r="BI5088" s="0">
        <v>85</v>
      </c>
      <c r="BJ5088" s="0" t="s">
        <v>135</v>
      </c>
    </row>
    <row r="5089">
      <c r="A5089" s="0" t="s">
        <v>5357</v>
      </c>
      <c r="B5089" s="0" t="s">
        <v>5</v>
      </c>
      <c r="C5089" s="0" t="s">
        <v>652</v>
      </c>
      <c r="D5089" s="0" t="s">
        <v>135</v>
      </c>
      <c r="E5089" s="0" t="s">
        <v>3</v>
      </c>
      <c r="F5089" s="0" t="s">
        <v>12</v>
      </c>
      <c r="G5089" s="0" t="s">
        <v>8</v>
      </c>
      <c r="H5089" s="0">
        <v>-20</v>
      </c>
      <c r="I5089" s="0">
        <v>0</v>
      </c>
      <c r="J5089" s="0">
        <v>0</v>
      </c>
      <c r="K5089" s="0">
        <v>0</v>
      </c>
      <c r="L5089" s="0">
        <v>0</v>
      </c>
      <c r="M5089" s="0">
        <v>0</v>
      </c>
      <c r="N5089" s="0">
        <v>0</v>
      </c>
      <c r="O5089" s="0">
        <v>0</v>
      </c>
      <c r="P5089" s="0">
        <v>0</v>
      </c>
      <c r="R5089" s="0" t="b">
        <v>0</v>
      </c>
      <c r="S5089" s="0" t="b">
        <v>1</v>
      </c>
      <c r="T5089" s="68">
        <v>46074.1519560185</v>
      </c>
      <c r="U5089" s="68">
        <v>0</v>
      </c>
      <c r="V5089" s="68">
        <v>0</v>
      </c>
      <c r="W5089" s="0">
        <f>IF(IF(B5089="none",1,IF(B5089="Trialer",1,0))+IF(C5089="Customer",1,IF(C5089="Lost",1,0))=2,1,0)</f>
      </c>
      <c r="X5089" s="0" t="s">
        <v>136</v>
      </c>
      <c r="Y5089" s="0" t="s">
        <v>243</v>
      </c>
      <c r="AV5089" s="68"/>
      <c r="AW5089" s="68"/>
      <c r="AY5089" s="27"/>
      <c r="BD5089" s="68">
        <v>46054.1666666667</v>
      </c>
      <c r="BE5089" s="68">
        <v>46082.1666666667</v>
      </c>
      <c r="BF5089" s="0" t="b">
        <v>0</v>
      </c>
      <c r="BG5089" s="0" t="b">
        <v>0</v>
      </c>
      <c r="BH5089" s="0">
        <v>85</v>
      </c>
      <c r="BI5089" s="0">
        <v>85</v>
      </c>
      <c r="BJ5089" s="0" t="s">
        <v>135</v>
      </c>
    </row>
    <row r="5090">
      <c r="A5090" s="0" t="s">
        <v>5358</v>
      </c>
      <c r="B5090" s="0" t="s">
        <v>5</v>
      </c>
      <c r="C5090" s="0" t="s">
        <v>652</v>
      </c>
      <c r="D5090" s="0" t="s">
        <v>135</v>
      </c>
      <c r="E5090" s="0" t="s">
        <v>1515</v>
      </c>
      <c r="F5090" s="0" t="s">
        <v>12</v>
      </c>
      <c r="G5090" s="0" t="s">
        <v>8</v>
      </c>
      <c r="H5090" s="0">
        <v>-20</v>
      </c>
      <c r="I5090" s="0">
        <v>0</v>
      </c>
      <c r="J5090" s="0">
        <v>0</v>
      </c>
      <c r="K5090" s="0">
        <v>0</v>
      </c>
      <c r="L5090" s="0">
        <v>0</v>
      </c>
      <c r="M5090" s="0">
        <v>0</v>
      </c>
      <c r="N5090" s="0">
        <v>0</v>
      </c>
      <c r="O5090" s="0">
        <v>0</v>
      </c>
      <c r="P5090" s="0">
        <v>0</v>
      </c>
      <c r="R5090" s="0" t="b">
        <v>0</v>
      </c>
      <c r="S5090" s="0" t="b">
        <v>1</v>
      </c>
      <c r="T5090" s="68">
        <v>46074.1945949074</v>
      </c>
      <c r="U5090" s="68">
        <v>0</v>
      </c>
      <c r="V5090" s="68">
        <v>0</v>
      </c>
      <c r="W5090" s="0">
        <f>IF(IF(B5090="none",1,IF(B5090="Trialer",1,0))+IF(C5090="Customer",1,IF(C5090="Lost",1,0))=2,1,0)</f>
      </c>
      <c r="X5090" s="0" t="s">
        <v>148</v>
      </c>
      <c r="Y5090" s="0" t="s">
        <v>1516</v>
      </c>
      <c r="AV5090" s="68"/>
      <c r="AW5090" s="68"/>
      <c r="AY5090" s="27"/>
      <c r="BD5090" s="68">
        <v>46054.1666666667</v>
      </c>
      <c r="BE5090" s="68">
        <v>46082.1666666667</v>
      </c>
      <c r="BF5090" s="0" t="b">
        <v>0</v>
      </c>
      <c r="BG5090" s="0" t="b">
        <v>0</v>
      </c>
      <c r="BH5090" s="0">
        <v>59</v>
      </c>
      <c r="BI5090" s="0">
        <v>59</v>
      </c>
      <c r="BJ5090" s="0" t="s">
        <v>135</v>
      </c>
    </row>
    <row r="5091">
      <c r="A5091" s="0" t="s">
        <v>5359</v>
      </c>
      <c r="B5091" s="0" t="s">
        <v>5</v>
      </c>
      <c r="C5091" s="0" t="s">
        <v>652</v>
      </c>
      <c r="D5091" s="0" t="s">
        <v>135</v>
      </c>
      <c r="E5091" s="0" t="s">
        <v>3</v>
      </c>
      <c r="F5091" s="0" t="s">
        <v>12</v>
      </c>
      <c r="G5091" s="0" t="s">
        <v>8</v>
      </c>
      <c r="H5091" s="0">
        <v>-20</v>
      </c>
      <c r="I5091" s="0">
        <v>0</v>
      </c>
      <c r="J5091" s="0">
        <v>0</v>
      </c>
      <c r="K5091" s="0">
        <v>0</v>
      </c>
      <c r="L5091" s="0">
        <v>0</v>
      </c>
      <c r="M5091" s="0">
        <v>0</v>
      </c>
      <c r="N5091" s="0">
        <v>0</v>
      </c>
      <c r="O5091" s="0">
        <v>0</v>
      </c>
      <c r="P5091" s="0">
        <v>0</v>
      </c>
      <c r="R5091" s="0" t="b">
        <v>0</v>
      </c>
      <c r="S5091" s="0" t="b">
        <v>1</v>
      </c>
      <c r="T5091" s="68">
        <v>46074.2018171296</v>
      </c>
      <c r="U5091" s="68">
        <v>0</v>
      </c>
      <c r="V5091" s="68">
        <v>0</v>
      </c>
      <c r="W5091" s="0">
        <f>IF(IF(B5091="none",1,IF(B5091="Trialer",1,0))+IF(C5091="Customer",1,IF(C5091="Lost",1,0))=2,1,0)</f>
      </c>
      <c r="X5091" s="0" t="s">
        <v>145</v>
      </c>
      <c r="Y5091" s="0" t="s">
        <v>243</v>
      </c>
      <c r="AV5091" s="68"/>
      <c r="AW5091" s="68"/>
      <c r="AY5091" s="27"/>
      <c r="BD5091" s="68">
        <v>46054.1666666667</v>
      </c>
      <c r="BE5091" s="68">
        <v>46082.1666666667</v>
      </c>
      <c r="BF5091" s="0" t="b">
        <v>0</v>
      </c>
      <c r="BG5091" s="0" t="b">
        <v>0</v>
      </c>
      <c r="BH5091" s="0">
        <v>59</v>
      </c>
      <c r="BI5091" s="0">
        <v>59</v>
      </c>
      <c r="BJ5091" s="0" t="s">
        <v>135</v>
      </c>
    </row>
    <row r="5092">
      <c r="A5092" s="0" t="s">
        <v>5360</v>
      </c>
      <c r="B5092" s="0" t="s">
        <v>5</v>
      </c>
      <c r="C5092" s="0" t="s">
        <v>652</v>
      </c>
      <c r="D5092" s="0" t="s">
        <v>135</v>
      </c>
      <c r="E5092" s="0" t="s">
        <v>2</v>
      </c>
      <c r="F5092" s="0" t="s">
        <v>12</v>
      </c>
      <c r="G5092" s="0" t="s">
        <v>8</v>
      </c>
      <c r="H5092" s="0">
        <v>-20</v>
      </c>
      <c r="I5092" s="0">
        <v>0</v>
      </c>
      <c r="J5092" s="0">
        <v>0</v>
      </c>
      <c r="K5092" s="0">
        <v>0</v>
      </c>
      <c r="L5092" s="0">
        <v>0</v>
      </c>
      <c r="M5092" s="0">
        <v>0</v>
      </c>
      <c r="N5092" s="0">
        <v>0</v>
      </c>
      <c r="O5092" s="0">
        <v>0</v>
      </c>
      <c r="P5092" s="0">
        <v>0</v>
      </c>
      <c r="R5092" s="0" t="b">
        <v>0</v>
      </c>
      <c r="S5092" s="0" t="b">
        <v>1</v>
      </c>
      <c r="T5092" s="68">
        <v>46074.4592708333</v>
      </c>
      <c r="U5092" s="68">
        <v>0</v>
      </c>
      <c r="V5092" s="68">
        <v>0</v>
      </c>
      <c r="W5092" s="0">
        <f>IF(IF(B5092="none",1,IF(B5092="Trialer",1,0))+IF(C5092="Customer",1,IF(C5092="Lost",1,0))=2,1,0)</f>
      </c>
      <c r="X5092" s="0" t="s">
        <v>136</v>
      </c>
      <c r="Y5092" s="0" t="s">
        <v>499</v>
      </c>
      <c r="AV5092" s="68"/>
      <c r="AW5092" s="68"/>
      <c r="AY5092" s="27"/>
      <c r="BD5092" s="68">
        <v>46054.1666666667</v>
      </c>
      <c r="BE5092" s="68">
        <v>46082.1666666667</v>
      </c>
      <c r="BF5092" s="0" t="b">
        <v>0</v>
      </c>
      <c r="BG5092" s="0" t="b">
        <v>0</v>
      </c>
      <c r="BH5092" s="0">
        <v>71</v>
      </c>
      <c r="BI5092" s="0">
        <v>71</v>
      </c>
      <c r="BJ5092" s="0" t="s">
        <v>135</v>
      </c>
    </row>
    <row r="5093">
      <c r="A5093" s="0" t="s">
        <v>5361</v>
      </c>
      <c r="B5093" s="0" t="s">
        <v>5</v>
      </c>
      <c r="C5093" s="0" t="s">
        <v>652</v>
      </c>
      <c r="D5093" s="0" t="s">
        <v>135</v>
      </c>
      <c r="E5093" s="0" t="s">
        <v>3</v>
      </c>
      <c r="F5093" s="0" t="s">
        <v>12</v>
      </c>
      <c r="G5093" s="0" t="s">
        <v>8</v>
      </c>
      <c r="H5093" s="0">
        <v>-20</v>
      </c>
      <c r="I5093" s="0">
        <v>0</v>
      </c>
      <c r="J5093" s="0">
        <v>0</v>
      </c>
      <c r="K5093" s="0">
        <v>0</v>
      </c>
      <c r="L5093" s="0">
        <v>0</v>
      </c>
      <c r="M5093" s="0">
        <v>0</v>
      </c>
      <c r="N5093" s="0">
        <v>0</v>
      </c>
      <c r="O5093" s="0">
        <v>0</v>
      </c>
      <c r="P5093" s="0">
        <v>0</v>
      </c>
      <c r="R5093" s="0" t="b">
        <v>0</v>
      </c>
      <c r="S5093" s="0" t="b">
        <v>0</v>
      </c>
      <c r="T5093" s="68">
        <v>46074.4649074074</v>
      </c>
      <c r="U5093" s="68">
        <v>0</v>
      </c>
      <c r="V5093" s="68">
        <v>46075.4088425926</v>
      </c>
      <c r="W5093" s="0">
        <f>IF(IF(B5093="none",1,IF(B5093="Trialer",1,0))+IF(C5093="Customer",1,IF(C5093="Lost",1,0))=2,1,0)</f>
      </c>
      <c r="X5093" s="0" t="s">
        <v>136</v>
      </c>
      <c r="Y5093" s="0" t="s">
        <v>243</v>
      </c>
      <c r="AV5093" s="68"/>
      <c r="AW5093" s="68"/>
      <c r="AY5093" s="27"/>
      <c r="BD5093" s="68">
        <v>46054.1666666667</v>
      </c>
      <c r="BE5093" s="68">
        <v>46082.1666666667</v>
      </c>
      <c r="BF5093" s="0" t="b">
        <v>1</v>
      </c>
      <c r="BG5093" s="0" t="b">
        <v>0</v>
      </c>
      <c r="BH5093" s="0">
        <v>71</v>
      </c>
      <c r="BI5093" s="0">
        <v>0</v>
      </c>
      <c r="BJ5093" s="0" t="s">
        <v>135</v>
      </c>
    </row>
    <row r="5094">
      <c r="A5094" s="0" t="s">
        <v>5362</v>
      </c>
      <c r="B5094" s="0" t="s">
        <v>5</v>
      </c>
      <c r="C5094" s="0" t="s">
        <v>652</v>
      </c>
      <c r="D5094" s="0" t="s">
        <v>135</v>
      </c>
      <c r="E5094" s="0" t="s">
        <v>3</v>
      </c>
      <c r="F5094" s="0" t="s">
        <v>12</v>
      </c>
      <c r="G5094" s="0" t="s">
        <v>8</v>
      </c>
      <c r="H5094" s="0">
        <v>-20</v>
      </c>
      <c r="I5094" s="0">
        <v>0</v>
      </c>
      <c r="J5094" s="0">
        <v>0</v>
      </c>
      <c r="K5094" s="0">
        <v>0</v>
      </c>
      <c r="L5094" s="0">
        <v>0</v>
      </c>
      <c r="M5094" s="0">
        <v>0</v>
      </c>
      <c r="N5094" s="0">
        <v>0</v>
      </c>
      <c r="O5094" s="0">
        <v>0</v>
      </c>
      <c r="P5094" s="0">
        <v>0</v>
      </c>
      <c r="R5094" s="0" t="b">
        <v>0</v>
      </c>
      <c r="S5094" s="0" t="b">
        <v>1</v>
      </c>
      <c r="T5094" s="68">
        <v>46074.4965740741</v>
      </c>
      <c r="U5094" s="68">
        <v>0</v>
      </c>
      <c r="V5094" s="68">
        <v>0</v>
      </c>
      <c r="W5094" s="0">
        <f>IF(IF(B5094="none",1,IF(B5094="Trialer",1,0))+IF(C5094="Customer",1,IF(C5094="Lost",1,0))=2,1,0)</f>
      </c>
      <c r="X5094" s="0" t="s">
        <v>148</v>
      </c>
      <c r="Y5094" s="0" t="s">
        <v>243</v>
      </c>
      <c r="AV5094" s="68"/>
      <c r="AW5094" s="68"/>
      <c r="AY5094" s="27"/>
      <c r="BD5094" s="68">
        <v>46054.1666666667</v>
      </c>
      <c r="BE5094" s="68">
        <v>46082.1666666667</v>
      </c>
      <c r="BF5094" s="0" t="b">
        <v>0</v>
      </c>
      <c r="BG5094" s="0" t="b">
        <v>0</v>
      </c>
      <c r="BH5094" s="0">
        <v>85</v>
      </c>
      <c r="BI5094" s="0">
        <v>85</v>
      </c>
      <c r="BJ5094" s="0" t="s">
        <v>135</v>
      </c>
    </row>
    <row r="5095">
      <c r="A5095" s="0" t="s">
        <v>5363</v>
      </c>
      <c r="B5095" s="0" t="s">
        <v>5</v>
      </c>
      <c r="C5095" s="0" t="s">
        <v>652</v>
      </c>
      <c r="D5095" s="0" t="s">
        <v>135</v>
      </c>
      <c r="E5095" s="0" t="s">
        <v>3</v>
      </c>
      <c r="F5095" s="0" t="s">
        <v>12</v>
      </c>
      <c r="G5095" s="0" t="s">
        <v>8</v>
      </c>
      <c r="H5095" s="0">
        <v>-20</v>
      </c>
      <c r="I5095" s="0">
        <v>0</v>
      </c>
      <c r="J5095" s="0">
        <v>0</v>
      </c>
      <c r="K5095" s="0">
        <v>0</v>
      </c>
      <c r="L5095" s="0">
        <v>0</v>
      </c>
      <c r="M5095" s="0">
        <v>0</v>
      </c>
      <c r="N5095" s="0">
        <v>0</v>
      </c>
      <c r="O5095" s="0">
        <v>0</v>
      </c>
      <c r="P5095" s="0">
        <v>0</v>
      </c>
      <c r="R5095" s="0" t="b">
        <v>0</v>
      </c>
      <c r="S5095" s="0" t="b">
        <v>0</v>
      </c>
      <c r="T5095" s="68">
        <v>46074.5858101852</v>
      </c>
      <c r="U5095" s="68">
        <v>0</v>
      </c>
      <c r="V5095" s="68">
        <v>46083.1723263889</v>
      </c>
      <c r="W5095" s="0">
        <f>IF(IF(B5095="none",1,IF(B5095="Trialer",1,0))+IF(C5095="Customer",1,IF(C5095="Lost",1,0))=2,1,0)</f>
      </c>
      <c r="X5095" s="0" t="s">
        <v>148</v>
      </c>
      <c r="Y5095" s="0" t="s">
        <v>243</v>
      </c>
      <c r="AV5095" s="68"/>
      <c r="AW5095" s="68"/>
      <c r="AY5095" s="27"/>
      <c r="BD5095" s="68">
        <v>46054.1666666667</v>
      </c>
      <c r="BE5095" s="68">
        <v>46082.1666666667</v>
      </c>
      <c r="BF5095" s="0" t="b">
        <v>0</v>
      </c>
      <c r="BG5095" s="0" t="b">
        <v>0</v>
      </c>
      <c r="BH5095" s="0">
        <v>59</v>
      </c>
      <c r="BI5095" s="0">
        <v>59</v>
      </c>
      <c r="BJ5095" s="0" t="s">
        <v>135</v>
      </c>
    </row>
    <row r="5096">
      <c r="A5096" s="0" t="s">
        <v>5364</v>
      </c>
      <c r="B5096" s="0" t="s">
        <v>5</v>
      </c>
      <c r="C5096" s="0" t="s">
        <v>652</v>
      </c>
      <c r="D5096" s="0" t="s">
        <v>135</v>
      </c>
      <c r="E5096" s="0" t="s">
        <v>2414</v>
      </c>
      <c r="F5096" s="0" t="s">
        <v>12</v>
      </c>
      <c r="G5096" s="0" t="s">
        <v>8</v>
      </c>
      <c r="H5096" s="0">
        <v>-20</v>
      </c>
      <c r="I5096" s="0">
        <v>0</v>
      </c>
      <c r="J5096" s="0">
        <v>0</v>
      </c>
      <c r="K5096" s="0">
        <v>0</v>
      </c>
      <c r="L5096" s="0">
        <v>0</v>
      </c>
      <c r="M5096" s="0">
        <v>0</v>
      </c>
      <c r="N5096" s="0">
        <v>0</v>
      </c>
      <c r="O5096" s="0">
        <v>0</v>
      </c>
      <c r="P5096" s="0">
        <v>0</v>
      </c>
      <c r="R5096" s="0" t="b">
        <v>0</v>
      </c>
      <c r="S5096" s="0" t="b">
        <v>1</v>
      </c>
      <c r="T5096" s="68">
        <v>46074.6262731481</v>
      </c>
      <c r="U5096" s="68">
        <v>0</v>
      </c>
      <c r="V5096" s="68">
        <v>0</v>
      </c>
      <c r="W5096" s="0">
        <f>IF(IF(B5096="none",1,IF(B5096="Trialer",1,0))+IF(C5096="Customer",1,IF(C5096="Lost",1,0))=2,1,0)</f>
      </c>
      <c r="X5096" s="0" t="s">
        <v>148</v>
      </c>
      <c r="Y5096" s="0" t="s">
        <v>1516</v>
      </c>
      <c r="AV5096" s="68"/>
      <c r="AW5096" s="68"/>
      <c r="AY5096" s="27"/>
      <c r="BD5096" s="68">
        <v>46054.1666666667</v>
      </c>
      <c r="BE5096" s="68">
        <v>46082.1666666667</v>
      </c>
      <c r="BF5096" s="0" t="b">
        <v>0</v>
      </c>
      <c r="BG5096" s="0" t="b">
        <v>0</v>
      </c>
      <c r="BH5096" s="0">
        <v>59</v>
      </c>
      <c r="BI5096" s="0">
        <v>59</v>
      </c>
      <c r="BJ5096" s="0" t="s">
        <v>135</v>
      </c>
    </row>
    <row r="5097">
      <c r="A5097" s="0" t="s">
        <v>5365</v>
      </c>
      <c r="B5097" s="0" t="s">
        <v>5</v>
      </c>
      <c r="C5097" s="0" t="s">
        <v>652</v>
      </c>
      <c r="D5097" s="0" t="s">
        <v>135</v>
      </c>
      <c r="E5097" s="0" t="s">
        <v>3</v>
      </c>
      <c r="F5097" s="0" t="s">
        <v>12</v>
      </c>
      <c r="G5097" s="0" t="s">
        <v>8</v>
      </c>
      <c r="H5097" s="0">
        <v>-20</v>
      </c>
      <c r="I5097" s="0">
        <v>0</v>
      </c>
      <c r="J5097" s="0">
        <v>0</v>
      </c>
      <c r="K5097" s="0">
        <v>0</v>
      </c>
      <c r="L5097" s="0">
        <v>0</v>
      </c>
      <c r="M5097" s="0">
        <v>0</v>
      </c>
      <c r="N5097" s="0">
        <v>0</v>
      </c>
      <c r="O5097" s="0">
        <v>0</v>
      </c>
      <c r="P5097" s="0">
        <v>0</v>
      </c>
      <c r="R5097" s="0" t="b">
        <v>0</v>
      </c>
      <c r="S5097" s="0" t="b">
        <v>0</v>
      </c>
      <c r="T5097" s="68">
        <v>46074.7124537037</v>
      </c>
      <c r="U5097" s="68">
        <v>0</v>
      </c>
      <c r="V5097" s="68">
        <v>46076.6573148148</v>
      </c>
      <c r="W5097" s="0">
        <f>IF(IF(B5097="none",1,IF(B5097="Trialer",1,0))+IF(C5097="Customer",1,IF(C5097="Lost",1,0))=2,1,0)</f>
      </c>
      <c r="X5097" s="0" t="s">
        <v>145</v>
      </c>
      <c r="Y5097" s="0" t="s">
        <v>243</v>
      </c>
      <c r="AV5097" s="68"/>
      <c r="AW5097" s="68"/>
      <c r="AY5097" s="27"/>
      <c r="BD5097" s="68">
        <v>46054.1666666667</v>
      </c>
      <c r="BE5097" s="68">
        <v>46082.1666666667</v>
      </c>
      <c r="BF5097" s="0" t="b">
        <v>0</v>
      </c>
      <c r="BG5097" s="0" t="b">
        <v>0</v>
      </c>
      <c r="BH5097" s="0">
        <v>71</v>
      </c>
      <c r="BI5097" s="0">
        <v>71</v>
      </c>
      <c r="BJ5097" s="0" t="s">
        <v>135</v>
      </c>
    </row>
    <row r="5098">
      <c r="A5098" s="0" t="s">
        <v>5366</v>
      </c>
      <c r="B5098" s="0" t="s">
        <v>5</v>
      </c>
      <c r="C5098" s="0" t="s">
        <v>652</v>
      </c>
      <c r="D5098" s="0" t="s">
        <v>135</v>
      </c>
      <c r="E5098" s="0" t="s">
        <v>3</v>
      </c>
      <c r="F5098" s="0" t="s">
        <v>12</v>
      </c>
      <c r="G5098" s="0" t="s">
        <v>8</v>
      </c>
      <c r="H5098" s="0">
        <v>-20</v>
      </c>
      <c r="I5098" s="0">
        <v>0</v>
      </c>
      <c r="J5098" s="0">
        <v>0</v>
      </c>
      <c r="K5098" s="0">
        <v>0</v>
      </c>
      <c r="L5098" s="0">
        <v>0</v>
      </c>
      <c r="M5098" s="0">
        <v>0</v>
      </c>
      <c r="N5098" s="0">
        <v>0</v>
      </c>
      <c r="O5098" s="0">
        <v>0</v>
      </c>
      <c r="P5098" s="0">
        <v>0</v>
      </c>
      <c r="R5098" s="0" t="b">
        <v>0</v>
      </c>
      <c r="S5098" s="0" t="b">
        <v>1</v>
      </c>
      <c r="T5098" s="68">
        <v>46074.762337963</v>
      </c>
      <c r="U5098" s="68">
        <v>0</v>
      </c>
      <c r="V5098" s="68">
        <v>0</v>
      </c>
      <c r="W5098" s="0">
        <f>IF(IF(B5098="none",1,IF(B5098="Trialer",1,0))+IF(C5098="Customer",1,IF(C5098="Lost",1,0))=2,1,0)</f>
      </c>
      <c r="X5098" s="0" t="s">
        <v>136</v>
      </c>
      <c r="Y5098" s="0" t="s">
        <v>243</v>
      </c>
      <c r="AV5098" s="68"/>
      <c r="AW5098" s="68"/>
      <c r="AY5098" s="27"/>
      <c r="BD5098" s="68">
        <v>46054.1666666667</v>
      </c>
      <c r="BE5098" s="68">
        <v>46082.1666666667</v>
      </c>
      <c r="BF5098" s="0" t="b">
        <v>0</v>
      </c>
      <c r="BG5098" s="0" t="b">
        <v>0</v>
      </c>
      <c r="BH5098" s="0">
        <v>83</v>
      </c>
      <c r="BI5098" s="0">
        <v>83</v>
      </c>
      <c r="BJ5098" s="0" t="s">
        <v>135</v>
      </c>
    </row>
    <row r="5099">
      <c r="A5099" s="0" t="s">
        <v>5367</v>
      </c>
      <c r="B5099" s="0" t="s">
        <v>5</v>
      </c>
      <c r="C5099" s="0" t="s">
        <v>652</v>
      </c>
      <c r="D5099" s="0" t="s">
        <v>135</v>
      </c>
      <c r="E5099" s="0" t="s">
        <v>1515</v>
      </c>
      <c r="F5099" s="0" t="s">
        <v>12</v>
      </c>
      <c r="G5099" s="0" t="s">
        <v>8</v>
      </c>
      <c r="H5099" s="0">
        <v>-20</v>
      </c>
      <c r="I5099" s="0">
        <v>0</v>
      </c>
      <c r="J5099" s="0">
        <v>0</v>
      </c>
      <c r="K5099" s="0">
        <v>0</v>
      </c>
      <c r="L5099" s="0">
        <v>0</v>
      </c>
      <c r="M5099" s="0">
        <v>0</v>
      </c>
      <c r="N5099" s="0">
        <v>0</v>
      </c>
      <c r="O5099" s="0">
        <v>0</v>
      </c>
      <c r="P5099" s="0">
        <v>0</v>
      </c>
      <c r="R5099" s="0" t="b">
        <v>0</v>
      </c>
      <c r="S5099" s="0" t="b">
        <v>0</v>
      </c>
      <c r="T5099" s="68">
        <v>46074.7926041667</v>
      </c>
      <c r="U5099" s="68">
        <v>0</v>
      </c>
      <c r="V5099" s="68">
        <v>46075.4094444444</v>
      </c>
      <c r="W5099" s="0">
        <f>IF(IF(B5099="none",1,IF(B5099="Trialer",1,0))+IF(C5099="Customer",1,IF(C5099="Lost",1,0))=2,1,0)</f>
      </c>
      <c r="X5099" s="0" t="s">
        <v>148</v>
      </c>
      <c r="Y5099" s="0" t="s">
        <v>1516</v>
      </c>
      <c r="AV5099" s="68"/>
      <c r="AW5099" s="68"/>
      <c r="AY5099" s="27"/>
      <c r="BD5099" s="68">
        <v>46054.1666666667</v>
      </c>
      <c r="BE5099" s="68">
        <v>46082.1666666667</v>
      </c>
      <c r="BF5099" s="0" t="b">
        <v>1</v>
      </c>
      <c r="BG5099" s="0" t="b">
        <v>1</v>
      </c>
      <c r="BH5099" s="0">
        <v>59</v>
      </c>
      <c r="BI5099" s="0">
        <v>0</v>
      </c>
      <c r="BJ5099" s="0" t="s">
        <v>135</v>
      </c>
    </row>
    <row r="5100">
      <c r="A5100" s="0" t="s">
        <v>5368</v>
      </c>
      <c r="B5100" s="0" t="s">
        <v>5</v>
      </c>
      <c r="C5100" s="0" t="s">
        <v>652</v>
      </c>
      <c r="D5100" s="0" t="s">
        <v>135</v>
      </c>
      <c r="E5100" s="0" t="s">
        <v>3</v>
      </c>
      <c r="F5100" s="0" t="s">
        <v>12</v>
      </c>
      <c r="G5100" s="0" t="s">
        <v>8</v>
      </c>
      <c r="H5100" s="0">
        <v>-20</v>
      </c>
      <c r="I5100" s="0">
        <v>0</v>
      </c>
      <c r="J5100" s="0">
        <v>0</v>
      </c>
      <c r="K5100" s="0">
        <v>0</v>
      </c>
      <c r="L5100" s="0">
        <v>0</v>
      </c>
      <c r="M5100" s="0">
        <v>0</v>
      </c>
      <c r="N5100" s="0">
        <v>0</v>
      </c>
      <c r="O5100" s="0">
        <v>0</v>
      </c>
      <c r="P5100" s="0">
        <v>0</v>
      </c>
      <c r="R5100" s="0" t="b">
        <v>0</v>
      </c>
      <c r="S5100" s="0" t="b">
        <v>1</v>
      </c>
      <c r="T5100" s="68">
        <v>46074.8258564815</v>
      </c>
      <c r="U5100" s="68">
        <v>0</v>
      </c>
      <c r="V5100" s="68">
        <v>0</v>
      </c>
      <c r="W5100" s="0">
        <f>IF(IF(B5100="none",1,IF(B5100="Trialer",1,0))+IF(C5100="Customer",1,IF(C5100="Lost",1,0))=2,1,0)</f>
      </c>
      <c r="X5100" s="0" t="s">
        <v>145</v>
      </c>
      <c r="Y5100" s="0" t="s">
        <v>243</v>
      </c>
      <c r="AV5100" s="68"/>
      <c r="AW5100" s="68"/>
      <c r="AY5100" s="27"/>
      <c r="BD5100" s="68">
        <v>46054.1666666667</v>
      </c>
      <c r="BE5100" s="68">
        <v>46082.1666666667</v>
      </c>
      <c r="BF5100" s="0" t="b">
        <v>0</v>
      </c>
      <c r="BG5100" s="0" t="b">
        <v>0</v>
      </c>
      <c r="BH5100" s="0">
        <v>59</v>
      </c>
      <c r="BI5100" s="0">
        <v>59</v>
      </c>
      <c r="BJ5100" s="0" t="s">
        <v>135</v>
      </c>
    </row>
    <row r="5101">
      <c r="A5101" s="0" t="s">
        <v>5369</v>
      </c>
      <c r="B5101" s="0" t="s">
        <v>5</v>
      </c>
      <c r="C5101" s="0" t="s">
        <v>652</v>
      </c>
      <c r="D5101" s="0" t="s">
        <v>135</v>
      </c>
      <c r="E5101" s="0" t="s">
        <v>3</v>
      </c>
      <c r="F5101" s="0" t="s">
        <v>12</v>
      </c>
      <c r="G5101" s="0" t="s">
        <v>8</v>
      </c>
      <c r="H5101" s="0">
        <v>-20</v>
      </c>
      <c r="I5101" s="0">
        <v>0</v>
      </c>
      <c r="J5101" s="0">
        <v>0</v>
      </c>
      <c r="K5101" s="0">
        <v>0</v>
      </c>
      <c r="L5101" s="0">
        <v>0</v>
      </c>
      <c r="M5101" s="0">
        <v>0</v>
      </c>
      <c r="N5101" s="0">
        <v>0</v>
      </c>
      <c r="O5101" s="0">
        <v>0</v>
      </c>
      <c r="P5101" s="0">
        <v>0</v>
      </c>
      <c r="R5101" s="0" t="b">
        <v>0</v>
      </c>
      <c r="S5101" s="0" t="b">
        <v>1</v>
      </c>
      <c r="T5101" s="68">
        <v>46074.8604282407</v>
      </c>
      <c r="U5101" s="68">
        <v>0</v>
      </c>
      <c r="V5101" s="68">
        <v>0</v>
      </c>
      <c r="W5101" s="0">
        <f>IF(IF(B5101="none",1,IF(B5101="Trialer",1,0))+IF(C5101="Customer",1,IF(C5101="Lost",1,0))=2,1,0)</f>
      </c>
      <c r="X5101" s="0" t="s">
        <v>136</v>
      </c>
      <c r="Y5101" s="0" t="s">
        <v>243</v>
      </c>
      <c r="AV5101" s="68"/>
      <c r="AW5101" s="68"/>
      <c r="AY5101" s="27"/>
      <c r="BD5101" s="68">
        <v>46054.1666666667</v>
      </c>
      <c r="BE5101" s="68">
        <v>46082.1666666667</v>
      </c>
      <c r="BF5101" s="0" t="b">
        <v>0</v>
      </c>
      <c r="BG5101" s="0" t="b">
        <v>0</v>
      </c>
      <c r="BH5101" s="0">
        <v>118</v>
      </c>
      <c r="BI5101" s="0">
        <v>118</v>
      </c>
      <c r="BJ5101" s="0" t="s">
        <v>135</v>
      </c>
    </row>
    <row r="5102">
      <c r="A5102" s="0" t="s">
        <v>5370</v>
      </c>
      <c r="B5102" s="0" t="s">
        <v>5</v>
      </c>
      <c r="C5102" s="0" t="s">
        <v>652</v>
      </c>
      <c r="D5102" s="0" t="s">
        <v>135</v>
      </c>
      <c r="E5102" s="0" t="s">
        <v>3</v>
      </c>
      <c r="F5102" s="0" t="s">
        <v>12</v>
      </c>
      <c r="G5102" s="0" t="s">
        <v>8</v>
      </c>
      <c r="H5102" s="0">
        <v>-20</v>
      </c>
      <c r="I5102" s="0">
        <v>0</v>
      </c>
      <c r="J5102" s="0">
        <v>0</v>
      </c>
      <c r="K5102" s="0">
        <v>0</v>
      </c>
      <c r="L5102" s="0">
        <v>0</v>
      </c>
      <c r="M5102" s="0">
        <v>0</v>
      </c>
      <c r="N5102" s="0">
        <v>0</v>
      </c>
      <c r="O5102" s="0">
        <v>0</v>
      </c>
      <c r="P5102" s="0">
        <v>0</v>
      </c>
      <c r="R5102" s="0" t="b">
        <v>0</v>
      </c>
      <c r="S5102" s="0" t="b">
        <v>1</v>
      </c>
      <c r="T5102" s="68">
        <v>46074.8875115741</v>
      </c>
      <c r="U5102" s="68">
        <v>0</v>
      </c>
      <c r="V5102" s="68">
        <v>0</v>
      </c>
      <c r="W5102" s="0">
        <f>IF(IF(B5102="none",1,IF(B5102="Trialer",1,0))+IF(C5102="Customer",1,IF(C5102="Lost",1,0))=2,1,0)</f>
      </c>
      <c r="X5102" s="0" t="s">
        <v>148</v>
      </c>
      <c r="Y5102" s="0" t="s">
        <v>243</v>
      </c>
      <c r="AV5102" s="68"/>
      <c r="AW5102" s="68"/>
      <c r="AY5102" s="27"/>
      <c r="BD5102" s="68">
        <v>46054.1666666667</v>
      </c>
      <c r="BE5102" s="68">
        <v>46082.1666666667</v>
      </c>
      <c r="BF5102" s="0" t="b">
        <v>0</v>
      </c>
      <c r="BG5102" s="0" t="b">
        <v>0</v>
      </c>
      <c r="BH5102" s="0">
        <v>71</v>
      </c>
      <c r="BI5102" s="0">
        <v>71</v>
      </c>
      <c r="BJ5102" s="0" t="s">
        <v>135</v>
      </c>
    </row>
    <row r="5103">
      <c r="A5103" s="0" t="s">
        <v>5371</v>
      </c>
      <c r="B5103" s="0" t="s">
        <v>5</v>
      </c>
      <c r="C5103" s="0" t="s">
        <v>652</v>
      </c>
      <c r="D5103" s="0" t="s">
        <v>135</v>
      </c>
      <c r="E5103" s="0" t="s">
        <v>3</v>
      </c>
      <c r="F5103" s="0" t="s">
        <v>12</v>
      </c>
      <c r="G5103" s="0" t="s">
        <v>8</v>
      </c>
      <c r="H5103" s="0">
        <v>-20</v>
      </c>
      <c r="I5103" s="0">
        <v>0</v>
      </c>
      <c r="J5103" s="0">
        <v>0</v>
      </c>
      <c r="K5103" s="0">
        <v>0</v>
      </c>
      <c r="L5103" s="0">
        <v>0</v>
      </c>
      <c r="M5103" s="0">
        <v>0</v>
      </c>
      <c r="N5103" s="0">
        <v>0</v>
      </c>
      <c r="O5103" s="0">
        <v>0</v>
      </c>
      <c r="P5103" s="0">
        <v>0</v>
      </c>
      <c r="R5103" s="0" t="b">
        <v>0</v>
      </c>
      <c r="S5103" s="0" t="b">
        <v>1</v>
      </c>
      <c r="T5103" s="68">
        <v>46074.9288425926</v>
      </c>
      <c r="U5103" s="68">
        <v>0</v>
      </c>
      <c r="V5103" s="68">
        <v>0</v>
      </c>
      <c r="W5103" s="0">
        <f>IF(IF(B5103="none",1,IF(B5103="Trialer",1,0))+IF(C5103="Customer",1,IF(C5103="Lost",1,0))=2,1,0)</f>
      </c>
      <c r="X5103" s="0" t="s">
        <v>145</v>
      </c>
      <c r="Y5103" s="0" t="s">
        <v>243</v>
      </c>
      <c r="AV5103" s="68"/>
      <c r="AW5103" s="68"/>
      <c r="AY5103" s="27"/>
      <c r="BD5103" s="68">
        <v>46054.1666666667</v>
      </c>
      <c r="BE5103" s="68">
        <v>46082.1666666667</v>
      </c>
      <c r="BF5103" s="0" t="b">
        <v>0</v>
      </c>
      <c r="BG5103" s="0" t="b">
        <v>0</v>
      </c>
      <c r="BH5103" s="0">
        <v>71</v>
      </c>
      <c r="BI5103" s="0">
        <v>71</v>
      </c>
      <c r="BJ5103" s="0" t="s">
        <v>135</v>
      </c>
    </row>
    <row r="5104">
      <c r="A5104" s="0" t="s">
        <v>5372</v>
      </c>
      <c r="B5104" s="0" t="s">
        <v>5</v>
      </c>
      <c r="C5104" s="0" t="s">
        <v>652</v>
      </c>
      <c r="D5104" s="0" t="s">
        <v>135</v>
      </c>
      <c r="E5104" s="0" t="s">
        <v>3</v>
      </c>
      <c r="F5104" s="0" t="s">
        <v>10</v>
      </c>
      <c r="G5104" s="0" t="s">
        <v>8</v>
      </c>
      <c r="H5104" s="0">
        <v>-21</v>
      </c>
      <c r="I5104" s="0">
        <v>0</v>
      </c>
      <c r="J5104" s="0">
        <v>0</v>
      </c>
      <c r="K5104" s="0">
        <v>0</v>
      </c>
      <c r="L5104" s="0">
        <v>0</v>
      </c>
      <c r="M5104" s="0">
        <v>0</v>
      </c>
      <c r="N5104" s="0">
        <v>0</v>
      </c>
      <c r="O5104" s="0">
        <v>0</v>
      </c>
      <c r="P5104" s="0">
        <v>0</v>
      </c>
      <c r="Q5104" s="0" t="s">
        <v>266</v>
      </c>
      <c r="R5104" s="0" t="b">
        <v>0</v>
      </c>
      <c r="S5104" s="0" t="b">
        <v>1</v>
      </c>
      <c r="T5104" s="68">
        <v>46074.9664930556</v>
      </c>
      <c r="U5104" s="68">
        <v>0</v>
      </c>
      <c r="V5104" s="68">
        <v>0</v>
      </c>
      <c r="W5104" s="0">
        <f>IF(IF(B5104="none",1,IF(B5104="Trialer",1,0))+IF(C5104="Customer",1,IF(C5104="Lost",1,0))=2,1,0)</f>
      </c>
      <c r="X5104" s="0" t="s">
        <v>148</v>
      </c>
      <c r="Y5104" s="0" t="s">
        <v>613</v>
      </c>
      <c r="AV5104" s="68"/>
      <c r="AW5104" s="68"/>
      <c r="AY5104" s="27"/>
      <c r="BD5104" s="68">
        <v>46054.1666666667</v>
      </c>
      <c r="BE5104" s="68">
        <v>46082.1666666667</v>
      </c>
      <c r="BF5104" s="0" t="b">
        <v>0</v>
      </c>
      <c r="BG5104" s="0" t="b">
        <v>0</v>
      </c>
      <c r="BH5104" s="0">
        <v>77</v>
      </c>
      <c r="BI5104" s="0">
        <v>77</v>
      </c>
      <c r="BJ5104" s="0" t="s">
        <v>135</v>
      </c>
    </row>
    <row r="5105">
      <c r="A5105" s="0" t="s">
        <v>5373</v>
      </c>
      <c r="B5105" s="0" t="s">
        <v>5</v>
      </c>
      <c r="C5105" s="0" t="s">
        <v>652</v>
      </c>
      <c r="D5105" s="0" t="s">
        <v>135</v>
      </c>
      <c r="E5105" s="0" t="s">
        <v>3</v>
      </c>
      <c r="F5105" s="0" t="s">
        <v>12</v>
      </c>
      <c r="G5105" s="0" t="s">
        <v>8</v>
      </c>
      <c r="H5105" s="0">
        <v>-21</v>
      </c>
      <c r="I5105" s="0">
        <v>0</v>
      </c>
      <c r="J5105" s="0">
        <v>0</v>
      </c>
      <c r="K5105" s="0">
        <v>0</v>
      </c>
      <c r="L5105" s="0">
        <v>0</v>
      </c>
      <c r="M5105" s="0">
        <v>0</v>
      </c>
      <c r="N5105" s="0">
        <v>0</v>
      </c>
      <c r="O5105" s="0">
        <v>0</v>
      </c>
      <c r="P5105" s="0">
        <v>0</v>
      </c>
      <c r="R5105" s="0" t="b">
        <v>0</v>
      </c>
      <c r="S5105" s="0" t="b">
        <v>1</v>
      </c>
      <c r="T5105" s="68">
        <v>46075.1421527778</v>
      </c>
      <c r="U5105" s="68">
        <v>0</v>
      </c>
      <c r="V5105" s="68">
        <v>0</v>
      </c>
      <c r="W5105" s="0">
        <f>IF(IF(B5105="none",1,IF(B5105="Trialer",1,0))+IF(C5105="Customer",1,IF(C5105="Lost",1,0))=2,1,0)</f>
      </c>
      <c r="X5105" s="0" t="s">
        <v>136</v>
      </c>
      <c r="Y5105" s="0" t="s">
        <v>243</v>
      </c>
      <c r="AV5105" s="68"/>
      <c r="AW5105" s="68"/>
      <c r="AY5105" s="27"/>
      <c r="BD5105" s="68">
        <v>46054.1666666667</v>
      </c>
      <c r="BE5105" s="68">
        <v>46082.1666666667</v>
      </c>
      <c r="BF5105" s="0" t="b">
        <v>0</v>
      </c>
      <c r="BG5105" s="0" t="b">
        <v>0</v>
      </c>
      <c r="BH5105" s="0">
        <v>59</v>
      </c>
      <c r="BI5105" s="0">
        <v>59</v>
      </c>
      <c r="BJ5105" s="0" t="s">
        <v>135</v>
      </c>
    </row>
    <row r="5106">
      <c r="A5106" s="0" t="s">
        <v>5374</v>
      </c>
      <c r="B5106" s="0" t="s">
        <v>5</v>
      </c>
      <c r="C5106" s="0" t="s">
        <v>652</v>
      </c>
      <c r="D5106" s="0" t="s">
        <v>135</v>
      </c>
      <c r="E5106" s="0" t="s">
        <v>3</v>
      </c>
      <c r="F5106" s="0" t="s">
        <v>12</v>
      </c>
      <c r="G5106" s="0" t="s">
        <v>8</v>
      </c>
      <c r="H5106" s="0">
        <v>-21</v>
      </c>
      <c r="I5106" s="0">
        <v>0</v>
      </c>
      <c r="J5106" s="0">
        <v>0</v>
      </c>
      <c r="K5106" s="0">
        <v>0</v>
      </c>
      <c r="L5106" s="0">
        <v>0</v>
      </c>
      <c r="M5106" s="0">
        <v>0</v>
      </c>
      <c r="N5106" s="0">
        <v>0</v>
      </c>
      <c r="O5106" s="0">
        <v>0</v>
      </c>
      <c r="P5106" s="0">
        <v>0</v>
      </c>
      <c r="R5106" s="0" t="b">
        <v>0</v>
      </c>
      <c r="S5106" s="0" t="b">
        <v>1</v>
      </c>
      <c r="T5106" s="68">
        <v>46075.3032175926</v>
      </c>
      <c r="U5106" s="68">
        <v>0</v>
      </c>
      <c r="V5106" s="68">
        <v>0</v>
      </c>
      <c r="W5106" s="0">
        <f>IF(IF(B5106="none",1,IF(B5106="Trialer",1,0))+IF(C5106="Customer",1,IF(C5106="Lost",1,0))=2,1,0)</f>
      </c>
      <c r="X5106" s="0" t="s">
        <v>148</v>
      </c>
      <c r="Y5106" s="0" t="s">
        <v>487</v>
      </c>
      <c r="AV5106" s="68"/>
      <c r="AW5106" s="68"/>
      <c r="AY5106" s="27"/>
      <c r="BD5106" s="68">
        <v>46054.1666666667</v>
      </c>
      <c r="BE5106" s="68">
        <v>46082.1666666667</v>
      </c>
      <c r="BF5106" s="0" t="b">
        <v>0</v>
      </c>
      <c r="BG5106" s="0" t="b">
        <v>0</v>
      </c>
      <c r="BH5106" s="0">
        <v>47</v>
      </c>
      <c r="BI5106" s="0">
        <v>47</v>
      </c>
      <c r="BJ5106" s="0" t="s">
        <v>135</v>
      </c>
    </row>
    <row r="5107">
      <c r="A5107" s="0" t="s">
        <v>5375</v>
      </c>
      <c r="B5107" s="0" t="s">
        <v>5</v>
      </c>
      <c r="C5107" s="0" t="s">
        <v>652</v>
      </c>
      <c r="D5107" s="0" t="s">
        <v>135</v>
      </c>
      <c r="E5107" s="0" t="s">
        <v>3</v>
      </c>
      <c r="F5107" s="0" t="s">
        <v>12</v>
      </c>
      <c r="G5107" s="0" t="s">
        <v>8</v>
      </c>
      <c r="H5107" s="0">
        <v>-21</v>
      </c>
      <c r="I5107" s="0">
        <v>0</v>
      </c>
      <c r="J5107" s="0">
        <v>0</v>
      </c>
      <c r="K5107" s="0">
        <v>0</v>
      </c>
      <c r="L5107" s="0">
        <v>0</v>
      </c>
      <c r="M5107" s="0">
        <v>0</v>
      </c>
      <c r="N5107" s="0">
        <v>0</v>
      </c>
      <c r="O5107" s="0">
        <v>0</v>
      </c>
      <c r="P5107" s="0">
        <v>0</v>
      </c>
      <c r="R5107" s="0" t="b">
        <v>0</v>
      </c>
      <c r="S5107" s="0" t="b">
        <v>0</v>
      </c>
      <c r="T5107" s="68">
        <v>46075.3322337963</v>
      </c>
      <c r="U5107" s="68">
        <v>0</v>
      </c>
      <c r="V5107" s="68">
        <v>46076.4443287037</v>
      </c>
      <c r="W5107" s="0">
        <f>IF(IF(B5107="none",1,IF(B5107="Trialer",1,0))+IF(C5107="Customer",1,IF(C5107="Lost",1,0))=2,1,0)</f>
      </c>
      <c r="X5107" s="0" t="s">
        <v>148</v>
      </c>
      <c r="Y5107" s="0" t="s">
        <v>243</v>
      </c>
      <c r="AV5107" s="68"/>
      <c r="AW5107" s="68"/>
      <c r="AY5107" s="27"/>
      <c r="BD5107" s="68">
        <v>46054.1666666667</v>
      </c>
      <c r="BE5107" s="68">
        <v>46082.1666666667</v>
      </c>
      <c r="BF5107" s="0" t="b">
        <v>0</v>
      </c>
      <c r="BG5107" s="0" t="b">
        <v>0</v>
      </c>
      <c r="BH5107" s="0">
        <v>59</v>
      </c>
      <c r="BI5107" s="0">
        <v>0</v>
      </c>
      <c r="BJ5107" s="0" t="s">
        <v>135</v>
      </c>
    </row>
    <row r="5108">
      <c r="A5108" s="0" t="s">
        <v>5376</v>
      </c>
      <c r="B5108" s="0" t="s">
        <v>5</v>
      </c>
      <c r="C5108" s="0" t="s">
        <v>652</v>
      </c>
      <c r="D5108" s="0" t="s">
        <v>135</v>
      </c>
      <c r="E5108" s="0" t="s">
        <v>2</v>
      </c>
      <c r="F5108" s="0" t="s">
        <v>12</v>
      </c>
      <c r="G5108" s="0" t="s">
        <v>8</v>
      </c>
      <c r="H5108" s="0">
        <v>-21</v>
      </c>
      <c r="I5108" s="0">
        <v>0</v>
      </c>
      <c r="J5108" s="0">
        <v>0</v>
      </c>
      <c r="K5108" s="0">
        <v>0</v>
      </c>
      <c r="L5108" s="0">
        <v>0</v>
      </c>
      <c r="M5108" s="0">
        <v>0</v>
      </c>
      <c r="N5108" s="0">
        <v>0</v>
      </c>
      <c r="O5108" s="0">
        <v>0</v>
      </c>
      <c r="P5108" s="0">
        <v>0</v>
      </c>
      <c r="R5108" s="0" t="b">
        <v>0</v>
      </c>
      <c r="S5108" s="0" t="b">
        <v>1</v>
      </c>
      <c r="T5108" s="68">
        <v>46075.3714699074</v>
      </c>
      <c r="U5108" s="68">
        <v>0</v>
      </c>
      <c r="V5108" s="68">
        <v>0</v>
      </c>
      <c r="W5108" s="0">
        <f>IF(IF(B5108="none",1,IF(B5108="Trialer",1,0))+IF(C5108="Customer",1,IF(C5108="Lost",1,0))=2,1,0)</f>
      </c>
      <c r="X5108" s="0" t="s">
        <v>136</v>
      </c>
      <c r="Y5108" s="0" t="s">
        <v>499</v>
      </c>
      <c r="AV5108" s="68"/>
      <c r="AW5108" s="68"/>
      <c r="AY5108" s="27"/>
      <c r="BD5108" s="68">
        <v>46054.1666666667</v>
      </c>
      <c r="BE5108" s="68">
        <v>46082.1666666667</v>
      </c>
      <c r="BF5108" s="0" t="b">
        <v>0</v>
      </c>
      <c r="BG5108" s="0" t="b">
        <v>0</v>
      </c>
      <c r="BH5108" s="0">
        <v>73</v>
      </c>
      <c r="BI5108" s="0">
        <v>73</v>
      </c>
      <c r="BJ5108" s="0" t="s">
        <v>135</v>
      </c>
    </row>
    <row r="5109">
      <c r="A5109" s="0" t="s">
        <v>5377</v>
      </c>
      <c r="B5109" s="0" t="s">
        <v>5</v>
      </c>
      <c r="C5109" s="0" t="s">
        <v>652</v>
      </c>
      <c r="D5109" s="0" t="s">
        <v>135</v>
      </c>
      <c r="E5109" s="0" t="s">
        <v>2414</v>
      </c>
      <c r="F5109" s="0" t="s">
        <v>12</v>
      </c>
      <c r="G5109" s="0" t="s">
        <v>8</v>
      </c>
      <c r="H5109" s="0">
        <v>-21</v>
      </c>
      <c r="I5109" s="0">
        <v>0</v>
      </c>
      <c r="J5109" s="0">
        <v>0</v>
      </c>
      <c r="K5109" s="0">
        <v>0</v>
      </c>
      <c r="L5109" s="0">
        <v>0</v>
      </c>
      <c r="M5109" s="0">
        <v>0</v>
      </c>
      <c r="N5109" s="0">
        <v>0</v>
      </c>
      <c r="O5109" s="0">
        <v>0</v>
      </c>
      <c r="P5109" s="0">
        <v>0</v>
      </c>
      <c r="R5109" s="0" t="b">
        <v>0</v>
      </c>
      <c r="S5109" s="0" t="b">
        <v>0</v>
      </c>
      <c r="T5109" s="68">
        <v>46075.4484027778</v>
      </c>
      <c r="U5109" s="68">
        <v>0</v>
      </c>
      <c r="V5109" s="68">
        <v>46084.7115046296</v>
      </c>
      <c r="W5109" s="0">
        <f>IF(IF(B5109="none",1,IF(B5109="Trialer",1,0))+IF(C5109="Customer",1,IF(C5109="Lost",1,0))=2,1,0)</f>
      </c>
      <c r="X5109" s="0" t="s">
        <v>148</v>
      </c>
      <c r="Y5109" s="0" t="s">
        <v>1516</v>
      </c>
      <c r="AV5109" s="68"/>
      <c r="AW5109" s="68"/>
      <c r="AY5109" s="27"/>
      <c r="BD5109" s="68">
        <v>46054.1666666667</v>
      </c>
      <c r="BE5109" s="68">
        <v>46082.1666666667</v>
      </c>
      <c r="BF5109" s="0" t="b">
        <v>0</v>
      </c>
      <c r="BG5109" s="0" t="b">
        <v>0</v>
      </c>
      <c r="BH5109" s="0">
        <v>59</v>
      </c>
      <c r="BI5109" s="0">
        <v>59</v>
      </c>
      <c r="BJ5109" s="0" t="s">
        <v>135</v>
      </c>
    </row>
    <row r="5110">
      <c r="A5110" s="0" t="s">
        <v>5378</v>
      </c>
      <c r="B5110" s="0" t="s">
        <v>5</v>
      </c>
      <c r="C5110" s="0" t="s">
        <v>652</v>
      </c>
      <c r="D5110" s="0" t="s">
        <v>135</v>
      </c>
      <c r="E5110" s="0" t="s">
        <v>3</v>
      </c>
      <c r="F5110" s="0" t="s">
        <v>12</v>
      </c>
      <c r="G5110" s="0" t="s">
        <v>8</v>
      </c>
      <c r="H5110" s="0">
        <v>-21</v>
      </c>
      <c r="I5110" s="0">
        <v>0</v>
      </c>
      <c r="J5110" s="0">
        <v>0</v>
      </c>
      <c r="K5110" s="0">
        <v>0</v>
      </c>
      <c r="L5110" s="0">
        <v>0</v>
      </c>
      <c r="M5110" s="0">
        <v>0</v>
      </c>
      <c r="N5110" s="0">
        <v>0</v>
      </c>
      <c r="O5110" s="0">
        <v>0</v>
      </c>
      <c r="P5110" s="0">
        <v>0</v>
      </c>
      <c r="R5110" s="0" t="b">
        <v>0</v>
      </c>
      <c r="S5110" s="0" t="b">
        <v>1</v>
      </c>
      <c r="T5110" s="68">
        <v>46075.4594907407</v>
      </c>
      <c r="U5110" s="68">
        <v>0</v>
      </c>
      <c r="V5110" s="68">
        <v>0</v>
      </c>
      <c r="W5110" s="0">
        <f>IF(IF(B5110="none",1,IF(B5110="Trialer",1,0))+IF(C5110="Customer",1,IF(C5110="Lost",1,0))=2,1,0)</f>
      </c>
      <c r="X5110" s="0" t="s">
        <v>145</v>
      </c>
      <c r="Y5110" s="0" t="s">
        <v>243</v>
      </c>
      <c r="AV5110" s="68"/>
      <c r="AW5110" s="68"/>
      <c r="AY5110" s="27"/>
      <c r="BD5110" s="68">
        <v>46054.1666666667</v>
      </c>
      <c r="BE5110" s="68">
        <v>46082.1666666667</v>
      </c>
      <c r="BF5110" s="0" t="b">
        <v>0</v>
      </c>
      <c r="BG5110" s="0" t="b">
        <v>0</v>
      </c>
      <c r="BH5110" s="0">
        <v>59</v>
      </c>
      <c r="BI5110" s="0">
        <v>59</v>
      </c>
      <c r="BJ5110" s="0" t="s">
        <v>135</v>
      </c>
    </row>
    <row r="5111">
      <c r="A5111" s="0" t="s">
        <v>5379</v>
      </c>
      <c r="B5111" s="0" t="s">
        <v>5</v>
      </c>
      <c r="C5111" s="0" t="s">
        <v>652</v>
      </c>
      <c r="D5111" s="0" t="s">
        <v>135</v>
      </c>
      <c r="E5111" s="0" t="s">
        <v>2</v>
      </c>
      <c r="F5111" s="0" t="s">
        <v>12</v>
      </c>
      <c r="G5111" s="0" t="s">
        <v>8</v>
      </c>
      <c r="H5111" s="0">
        <v>-21</v>
      </c>
      <c r="I5111" s="0">
        <v>0</v>
      </c>
      <c r="J5111" s="0">
        <v>0</v>
      </c>
      <c r="K5111" s="0">
        <v>0</v>
      </c>
      <c r="L5111" s="0">
        <v>0</v>
      </c>
      <c r="M5111" s="0">
        <v>0</v>
      </c>
      <c r="N5111" s="0">
        <v>0</v>
      </c>
      <c r="O5111" s="0">
        <v>0</v>
      </c>
      <c r="P5111" s="0">
        <v>0</v>
      </c>
      <c r="R5111" s="0" t="b">
        <v>0</v>
      </c>
      <c r="S5111" s="0" t="b">
        <v>1</v>
      </c>
      <c r="T5111" s="68">
        <v>46075.4843287037</v>
      </c>
      <c r="U5111" s="68">
        <v>0</v>
      </c>
      <c r="V5111" s="68">
        <v>0</v>
      </c>
      <c r="W5111" s="0">
        <f>IF(IF(B5111="none",1,IF(B5111="Trialer",1,0))+IF(C5111="Customer",1,IF(C5111="Lost",1,0))=2,1,0)</f>
      </c>
      <c r="X5111" s="0" t="s">
        <v>136</v>
      </c>
      <c r="Y5111" s="0" t="s">
        <v>499</v>
      </c>
      <c r="AV5111" s="68"/>
      <c r="AW5111" s="68"/>
      <c r="AY5111" s="27"/>
      <c r="BD5111" s="68">
        <v>46054.1666666667</v>
      </c>
      <c r="BE5111" s="68">
        <v>46082.1666666667</v>
      </c>
      <c r="BF5111" s="0" t="b">
        <v>0</v>
      </c>
      <c r="BG5111" s="0" t="b">
        <v>0</v>
      </c>
      <c r="BH5111" s="0">
        <v>59</v>
      </c>
      <c r="BI5111" s="0">
        <v>59</v>
      </c>
      <c r="BJ5111" s="0" t="s">
        <v>135</v>
      </c>
    </row>
    <row r="5112">
      <c r="A5112" s="0" t="s">
        <v>5380</v>
      </c>
      <c r="B5112" s="0" t="s">
        <v>5</v>
      </c>
      <c r="C5112" s="0" t="s">
        <v>652</v>
      </c>
      <c r="D5112" s="0" t="s">
        <v>135</v>
      </c>
      <c r="E5112" s="0" t="s">
        <v>2</v>
      </c>
      <c r="F5112" s="0" t="s">
        <v>10</v>
      </c>
      <c r="G5112" s="0" t="s">
        <v>8</v>
      </c>
      <c r="H5112" s="0">
        <v>-21</v>
      </c>
      <c r="I5112" s="0">
        <v>0</v>
      </c>
      <c r="J5112" s="0">
        <v>0</v>
      </c>
      <c r="K5112" s="0">
        <v>0</v>
      </c>
      <c r="L5112" s="0">
        <v>0</v>
      </c>
      <c r="M5112" s="0">
        <v>0</v>
      </c>
      <c r="N5112" s="0">
        <v>0</v>
      </c>
      <c r="O5112" s="0">
        <v>0</v>
      </c>
      <c r="P5112" s="0">
        <v>0</v>
      </c>
      <c r="Q5112" s="0" t="s">
        <v>357</v>
      </c>
      <c r="R5112" s="0" t="b">
        <v>0</v>
      </c>
      <c r="S5112" s="0" t="b">
        <v>1</v>
      </c>
      <c r="T5112" s="68">
        <v>46075.493125</v>
      </c>
      <c r="U5112" s="68">
        <v>0</v>
      </c>
      <c r="V5112" s="68">
        <v>0</v>
      </c>
      <c r="W5112" s="0">
        <f>IF(IF(B5112="none",1,IF(B5112="Trialer",1,0))+IF(C5112="Customer",1,IF(C5112="Lost",1,0))=2,1,0)</f>
      </c>
      <c r="X5112" s="0" t="s">
        <v>148</v>
      </c>
      <c r="Y5112" s="0" t="s">
        <v>499</v>
      </c>
      <c r="AV5112" s="68"/>
      <c r="AW5112" s="68"/>
      <c r="AY5112" s="27"/>
      <c r="BD5112" s="68">
        <v>46054.1666666667</v>
      </c>
      <c r="BE5112" s="68">
        <v>46082.1666666667</v>
      </c>
      <c r="BF5112" s="0" t="b">
        <v>0</v>
      </c>
      <c r="BG5112" s="0" t="b">
        <v>0</v>
      </c>
      <c r="BH5112" s="0">
        <v>59</v>
      </c>
      <c r="BI5112" s="0">
        <v>59</v>
      </c>
      <c r="BJ5112" s="0" t="s">
        <v>135</v>
      </c>
    </row>
    <row r="5113">
      <c r="A5113" s="0" t="s">
        <v>5381</v>
      </c>
      <c r="B5113" s="0" t="s">
        <v>5</v>
      </c>
      <c r="C5113" s="0" t="s">
        <v>652</v>
      </c>
      <c r="D5113" s="0" t="s">
        <v>135</v>
      </c>
      <c r="E5113" s="0" t="s">
        <v>3</v>
      </c>
      <c r="F5113" s="0" t="s">
        <v>12</v>
      </c>
      <c r="G5113" s="0" t="s">
        <v>8</v>
      </c>
      <c r="H5113" s="0">
        <v>-21</v>
      </c>
      <c r="I5113" s="0">
        <v>0</v>
      </c>
      <c r="J5113" s="0">
        <v>0</v>
      </c>
      <c r="K5113" s="0">
        <v>0</v>
      </c>
      <c r="L5113" s="0">
        <v>0</v>
      </c>
      <c r="M5113" s="0">
        <v>0</v>
      </c>
      <c r="N5113" s="0">
        <v>0</v>
      </c>
      <c r="O5113" s="0">
        <v>0</v>
      </c>
      <c r="P5113" s="0">
        <v>0</v>
      </c>
      <c r="R5113" s="0" t="b">
        <v>0</v>
      </c>
      <c r="S5113" s="0" t="b">
        <v>1</v>
      </c>
      <c r="T5113" s="68">
        <v>46075.5589930556</v>
      </c>
      <c r="U5113" s="68">
        <v>0</v>
      </c>
      <c r="V5113" s="68">
        <v>0</v>
      </c>
      <c r="W5113" s="0">
        <f>IF(IF(B5113="none",1,IF(B5113="Trialer",1,0))+IF(C5113="Customer",1,IF(C5113="Lost",1,0))=2,1,0)</f>
      </c>
      <c r="X5113" s="0" t="s">
        <v>148</v>
      </c>
      <c r="Y5113" s="0" t="s">
        <v>243</v>
      </c>
      <c r="AV5113" s="68"/>
      <c r="AW5113" s="68"/>
      <c r="AY5113" s="27"/>
      <c r="BD5113" s="68">
        <v>46054.1666666667</v>
      </c>
      <c r="BE5113" s="68">
        <v>46082.1666666667</v>
      </c>
      <c r="BF5113" s="0" t="b">
        <v>0</v>
      </c>
      <c r="BG5113" s="0" t="b">
        <v>0</v>
      </c>
      <c r="BH5113" s="0">
        <v>59</v>
      </c>
      <c r="BI5113" s="0">
        <v>59</v>
      </c>
      <c r="BJ5113" s="0" t="s">
        <v>135</v>
      </c>
    </row>
    <row r="5114">
      <c r="A5114" s="0" t="s">
        <v>5382</v>
      </c>
      <c r="B5114" s="0" t="s">
        <v>5</v>
      </c>
      <c r="C5114" s="0" t="s">
        <v>652</v>
      </c>
      <c r="D5114" s="0" t="s">
        <v>135</v>
      </c>
      <c r="E5114" s="0" t="s">
        <v>3</v>
      </c>
      <c r="F5114" s="0" t="s">
        <v>12</v>
      </c>
      <c r="G5114" s="0" t="s">
        <v>8</v>
      </c>
      <c r="H5114" s="0">
        <v>-21</v>
      </c>
      <c r="I5114" s="0">
        <v>0</v>
      </c>
      <c r="J5114" s="0">
        <v>0</v>
      </c>
      <c r="K5114" s="0">
        <v>0</v>
      </c>
      <c r="L5114" s="0">
        <v>0</v>
      </c>
      <c r="M5114" s="0">
        <v>0</v>
      </c>
      <c r="N5114" s="0">
        <v>0</v>
      </c>
      <c r="O5114" s="0">
        <v>0</v>
      </c>
      <c r="P5114" s="0">
        <v>0</v>
      </c>
      <c r="R5114" s="0" t="b">
        <v>0</v>
      </c>
      <c r="S5114" s="0" t="b">
        <v>1</v>
      </c>
      <c r="T5114" s="68">
        <v>46075.7469097222</v>
      </c>
      <c r="U5114" s="68">
        <v>0</v>
      </c>
      <c r="V5114" s="68">
        <v>0</v>
      </c>
      <c r="W5114" s="0">
        <f>IF(IF(B5114="none",1,IF(B5114="Trialer",1,0))+IF(C5114="Customer",1,IF(C5114="Lost",1,0))=2,1,0)</f>
      </c>
      <c r="X5114" s="0" t="s">
        <v>145</v>
      </c>
      <c r="Y5114" s="0" t="s">
        <v>243</v>
      </c>
      <c r="AV5114" s="68"/>
      <c r="AW5114" s="68"/>
      <c r="AY5114" s="27"/>
      <c r="BD5114" s="68">
        <v>46054.1666666667</v>
      </c>
      <c r="BE5114" s="68">
        <v>46082.1666666667</v>
      </c>
      <c r="BF5114" s="0" t="b">
        <v>0</v>
      </c>
      <c r="BG5114" s="0" t="b">
        <v>0</v>
      </c>
      <c r="BH5114" s="0">
        <v>170</v>
      </c>
      <c r="BI5114" s="0">
        <v>170</v>
      </c>
      <c r="BJ5114" s="0" t="s">
        <v>135</v>
      </c>
    </row>
    <row r="5115">
      <c r="A5115" s="0" t="s">
        <v>5383</v>
      </c>
      <c r="B5115" s="0" t="s">
        <v>5</v>
      </c>
      <c r="C5115" s="0" t="s">
        <v>652</v>
      </c>
      <c r="D5115" s="0" t="s">
        <v>135</v>
      </c>
      <c r="E5115" s="0" t="s">
        <v>3</v>
      </c>
      <c r="F5115" s="0" t="s">
        <v>12</v>
      </c>
      <c r="G5115" s="0" t="s">
        <v>8</v>
      </c>
      <c r="H5115" s="0">
        <v>-21</v>
      </c>
      <c r="I5115" s="0">
        <v>0</v>
      </c>
      <c r="J5115" s="0">
        <v>0</v>
      </c>
      <c r="K5115" s="0">
        <v>0</v>
      </c>
      <c r="L5115" s="0">
        <v>0</v>
      </c>
      <c r="M5115" s="0">
        <v>0</v>
      </c>
      <c r="N5115" s="0">
        <v>0</v>
      </c>
      <c r="O5115" s="0">
        <v>0</v>
      </c>
      <c r="P5115" s="0">
        <v>0</v>
      </c>
      <c r="R5115" s="0" t="b">
        <v>0</v>
      </c>
      <c r="S5115" s="0" t="b">
        <v>0</v>
      </c>
      <c r="T5115" s="68">
        <v>46075.7660532407</v>
      </c>
      <c r="U5115" s="68">
        <v>0</v>
      </c>
      <c r="V5115" s="68">
        <v>46075.808287037</v>
      </c>
      <c r="W5115" s="0">
        <f>IF(IF(B5115="none",1,IF(B5115="Trialer",1,0))+IF(C5115="Customer",1,IF(C5115="Lost",1,0))=2,1,0)</f>
      </c>
      <c r="X5115" s="0" t="s">
        <v>136</v>
      </c>
      <c r="Y5115" s="0" t="s">
        <v>243</v>
      </c>
      <c r="AV5115" s="68"/>
      <c r="AW5115" s="68"/>
      <c r="AY5115" s="27"/>
      <c r="BD5115" s="68">
        <v>46054.1666666667</v>
      </c>
      <c r="BE5115" s="68">
        <v>46082.1666666667</v>
      </c>
      <c r="BF5115" s="0" t="b">
        <v>0</v>
      </c>
      <c r="BG5115" s="0" t="b">
        <v>0</v>
      </c>
      <c r="BH5115" s="0">
        <v>0</v>
      </c>
      <c r="BI5115" s="0">
        <v>0</v>
      </c>
      <c r="BJ5115" s="0" t="s">
        <v>135</v>
      </c>
    </row>
    <row r="5116">
      <c r="A5116" s="0" t="s">
        <v>5384</v>
      </c>
      <c r="B5116" s="0" t="s">
        <v>5</v>
      </c>
      <c r="C5116" s="0" t="s">
        <v>652</v>
      </c>
      <c r="D5116" s="0" t="s">
        <v>135</v>
      </c>
      <c r="E5116" s="0" t="s">
        <v>3</v>
      </c>
      <c r="F5116" s="0" t="s">
        <v>12</v>
      </c>
      <c r="G5116" s="0" t="s">
        <v>8</v>
      </c>
      <c r="H5116" s="0">
        <v>-21</v>
      </c>
      <c r="I5116" s="0">
        <v>0</v>
      </c>
      <c r="J5116" s="0">
        <v>0</v>
      </c>
      <c r="K5116" s="0">
        <v>0</v>
      </c>
      <c r="L5116" s="0">
        <v>0</v>
      </c>
      <c r="M5116" s="0">
        <v>0</v>
      </c>
      <c r="N5116" s="0">
        <v>0</v>
      </c>
      <c r="O5116" s="0">
        <v>0</v>
      </c>
      <c r="P5116" s="0">
        <v>0</v>
      </c>
      <c r="R5116" s="0" t="b">
        <v>0</v>
      </c>
      <c r="S5116" s="0" t="b">
        <v>1</v>
      </c>
      <c r="T5116" s="68">
        <v>46075.7793634259</v>
      </c>
      <c r="U5116" s="68">
        <v>0</v>
      </c>
      <c r="V5116" s="68">
        <v>0</v>
      </c>
      <c r="W5116" s="0">
        <f>IF(IF(B5116="none",1,IF(B5116="Trialer",1,0))+IF(C5116="Customer",1,IF(C5116="Lost",1,0))=2,1,0)</f>
      </c>
      <c r="X5116" s="0" t="s">
        <v>148</v>
      </c>
      <c r="Y5116" s="0" t="s">
        <v>243</v>
      </c>
      <c r="AV5116" s="68"/>
      <c r="AW5116" s="68"/>
      <c r="AY5116" s="27"/>
      <c r="BD5116" s="68">
        <v>46054.1666666667</v>
      </c>
      <c r="BE5116" s="68">
        <v>46082.1666666667</v>
      </c>
      <c r="BF5116" s="0" t="b">
        <v>0</v>
      </c>
      <c r="BG5116" s="0" t="b">
        <v>0</v>
      </c>
      <c r="BH5116" s="0">
        <v>59</v>
      </c>
      <c r="BI5116" s="0">
        <v>59</v>
      </c>
      <c r="BJ5116" s="0" t="s">
        <v>135</v>
      </c>
    </row>
    <row r="5117">
      <c r="A5117" s="0" t="s">
        <v>5385</v>
      </c>
      <c r="B5117" s="0" t="s">
        <v>5</v>
      </c>
      <c r="C5117" s="0" t="s">
        <v>652</v>
      </c>
      <c r="D5117" s="0" t="s">
        <v>135</v>
      </c>
      <c r="E5117" s="0" t="s">
        <v>3</v>
      </c>
      <c r="F5117" s="0" t="s">
        <v>12</v>
      </c>
      <c r="G5117" s="0" t="s">
        <v>8</v>
      </c>
      <c r="H5117" s="0">
        <v>-21</v>
      </c>
      <c r="I5117" s="0">
        <v>0</v>
      </c>
      <c r="J5117" s="0">
        <v>0</v>
      </c>
      <c r="K5117" s="0">
        <v>0</v>
      </c>
      <c r="L5117" s="0">
        <v>0</v>
      </c>
      <c r="M5117" s="0">
        <v>0</v>
      </c>
      <c r="N5117" s="0">
        <v>0</v>
      </c>
      <c r="O5117" s="0">
        <v>0</v>
      </c>
      <c r="P5117" s="0">
        <v>0</v>
      </c>
      <c r="R5117" s="0" t="b">
        <v>0</v>
      </c>
      <c r="S5117" s="0" t="b">
        <v>1</v>
      </c>
      <c r="T5117" s="68">
        <v>46075.8288194444</v>
      </c>
      <c r="U5117" s="68">
        <v>0</v>
      </c>
      <c r="V5117" s="68">
        <v>0</v>
      </c>
      <c r="W5117" s="0">
        <f>IF(IF(B5117="none",1,IF(B5117="Trialer",1,0))+IF(C5117="Customer",1,IF(C5117="Lost",1,0))=2,1,0)</f>
      </c>
      <c r="X5117" s="0" t="s">
        <v>145</v>
      </c>
      <c r="Y5117" s="0" t="s">
        <v>243</v>
      </c>
      <c r="AV5117" s="68"/>
      <c r="AW5117" s="68"/>
      <c r="AY5117" s="27"/>
      <c r="BD5117" s="68">
        <v>46054.1666666667</v>
      </c>
      <c r="BE5117" s="68">
        <v>46082.1666666667</v>
      </c>
      <c r="BF5117" s="0" t="b">
        <v>0</v>
      </c>
      <c r="BG5117" s="0" t="b">
        <v>0</v>
      </c>
      <c r="BH5117" s="0">
        <v>219</v>
      </c>
      <c r="BI5117" s="0">
        <v>219</v>
      </c>
      <c r="BJ5117" s="0" t="s">
        <v>135</v>
      </c>
    </row>
    <row r="5118">
      <c r="A5118" s="0" t="s">
        <v>5386</v>
      </c>
      <c r="B5118" s="0" t="s">
        <v>5</v>
      </c>
      <c r="C5118" s="0" t="s">
        <v>652</v>
      </c>
      <c r="D5118" s="0" t="s">
        <v>135</v>
      </c>
      <c r="E5118" s="0" t="s">
        <v>2</v>
      </c>
      <c r="F5118" s="0" t="s">
        <v>12</v>
      </c>
      <c r="G5118" s="0" t="s">
        <v>8</v>
      </c>
      <c r="H5118" s="0">
        <v>-21</v>
      </c>
      <c r="I5118" s="0">
        <v>0</v>
      </c>
      <c r="J5118" s="0">
        <v>0</v>
      </c>
      <c r="K5118" s="0">
        <v>0</v>
      </c>
      <c r="L5118" s="0">
        <v>0</v>
      </c>
      <c r="M5118" s="0">
        <v>0</v>
      </c>
      <c r="N5118" s="0">
        <v>0</v>
      </c>
      <c r="O5118" s="0">
        <v>0</v>
      </c>
      <c r="P5118" s="0">
        <v>0</v>
      </c>
      <c r="R5118" s="0" t="b">
        <v>0</v>
      </c>
      <c r="S5118" s="0" t="b">
        <v>0</v>
      </c>
      <c r="T5118" s="68">
        <v>46075.8936689815</v>
      </c>
      <c r="U5118" s="68">
        <v>0</v>
      </c>
      <c r="V5118" s="68">
        <v>46090.6224305556</v>
      </c>
      <c r="W5118" s="0">
        <f>IF(IF(B5118="none",1,IF(B5118="Trialer",1,0))+IF(C5118="Customer",1,IF(C5118="Lost",1,0))=2,1,0)</f>
      </c>
      <c r="X5118" s="0" t="s">
        <v>136</v>
      </c>
      <c r="Y5118" s="0" t="s">
        <v>499</v>
      </c>
      <c r="AV5118" s="68"/>
      <c r="AW5118" s="68"/>
      <c r="AY5118" s="27"/>
      <c r="BD5118" s="68">
        <v>46054.1666666667</v>
      </c>
      <c r="BE5118" s="68">
        <v>46082.1666666667</v>
      </c>
      <c r="BF5118" s="0" t="b">
        <v>0</v>
      </c>
      <c r="BG5118" s="0" t="b">
        <v>0</v>
      </c>
      <c r="BH5118" s="0">
        <v>59</v>
      </c>
      <c r="BI5118" s="0">
        <v>59</v>
      </c>
      <c r="BJ5118" s="0" t="s">
        <v>135</v>
      </c>
    </row>
    <row r="5119">
      <c r="A5119" s="0" t="s">
        <v>5387</v>
      </c>
      <c r="B5119" s="0" t="s">
        <v>5</v>
      </c>
      <c r="C5119" s="0" t="s">
        <v>652</v>
      </c>
      <c r="D5119" s="0" t="s">
        <v>135</v>
      </c>
      <c r="E5119" s="0" t="s">
        <v>1515</v>
      </c>
      <c r="F5119" s="0" t="s">
        <v>12</v>
      </c>
      <c r="G5119" s="0" t="s">
        <v>8</v>
      </c>
      <c r="H5119" s="0">
        <v>-21</v>
      </c>
      <c r="I5119" s="0">
        <v>0</v>
      </c>
      <c r="J5119" s="0">
        <v>0</v>
      </c>
      <c r="K5119" s="0">
        <v>0</v>
      </c>
      <c r="L5119" s="0">
        <v>0</v>
      </c>
      <c r="M5119" s="0">
        <v>0</v>
      </c>
      <c r="N5119" s="0">
        <v>0</v>
      </c>
      <c r="O5119" s="0">
        <v>0</v>
      </c>
      <c r="P5119" s="0">
        <v>0</v>
      </c>
      <c r="R5119" s="0" t="b">
        <v>0</v>
      </c>
      <c r="S5119" s="0" t="b">
        <v>1</v>
      </c>
      <c r="T5119" s="68">
        <v>46075.9031481482</v>
      </c>
      <c r="U5119" s="68">
        <v>0</v>
      </c>
      <c r="V5119" s="68">
        <v>0</v>
      </c>
      <c r="W5119" s="0">
        <f>IF(IF(B5119="none",1,IF(B5119="Trialer",1,0))+IF(C5119="Customer",1,IF(C5119="Lost",1,0))=2,1,0)</f>
      </c>
      <c r="X5119" s="0" t="s">
        <v>148</v>
      </c>
      <c r="Y5119" s="0" t="s">
        <v>1516</v>
      </c>
      <c r="AV5119" s="68"/>
      <c r="AW5119" s="68"/>
      <c r="AY5119" s="27"/>
      <c r="BD5119" s="68">
        <v>46054.1666666667</v>
      </c>
      <c r="BE5119" s="68">
        <v>46082.1666666667</v>
      </c>
      <c r="BF5119" s="0" t="b">
        <v>0</v>
      </c>
      <c r="BG5119" s="0" t="b">
        <v>0</v>
      </c>
      <c r="BH5119" s="0">
        <v>59</v>
      </c>
      <c r="BI5119" s="0">
        <v>59</v>
      </c>
      <c r="BJ5119" s="0" t="s">
        <v>135</v>
      </c>
    </row>
    <row r="5120">
      <c r="A5120" s="0" t="s">
        <v>5388</v>
      </c>
      <c r="B5120" s="0" t="s">
        <v>5</v>
      </c>
      <c r="C5120" s="0" t="s">
        <v>652</v>
      </c>
      <c r="D5120" s="0" t="s">
        <v>135</v>
      </c>
      <c r="E5120" s="0" t="s">
        <v>3</v>
      </c>
      <c r="F5120" s="0" t="s">
        <v>12</v>
      </c>
      <c r="G5120" s="0" t="s">
        <v>8</v>
      </c>
      <c r="H5120" s="0">
        <v>-21</v>
      </c>
      <c r="I5120" s="0">
        <v>0</v>
      </c>
      <c r="J5120" s="0">
        <v>0</v>
      </c>
      <c r="K5120" s="0">
        <v>0</v>
      </c>
      <c r="L5120" s="0">
        <v>0</v>
      </c>
      <c r="M5120" s="0">
        <v>0</v>
      </c>
      <c r="N5120" s="0">
        <v>0</v>
      </c>
      <c r="O5120" s="0">
        <v>0</v>
      </c>
      <c r="P5120" s="0">
        <v>0</v>
      </c>
      <c r="R5120" s="0" t="b">
        <v>0</v>
      </c>
      <c r="S5120" s="0" t="b">
        <v>0</v>
      </c>
      <c r="T5120" s="68">
        <v>46075.9165740741</v>
      </c>
      <c r="U5120" s="68">
        <v>0</v>
      </c>
      <c r="V5120" s="68">
        <v>46083.5498958333</v>
      </c>
      <c r="W5120" s="0">
        <f>IF(IF(B5120="none",1,IF(B5120="Trialer",1,0))+IF(C5120="Customer",1,IF(C5120="Lost",1,0))=2,1,0)</f>
      </c>
      <c r="X5120" s="0" t="s">
        <v>145</v>
      </c>
      <c r="Y5120" s="0" t="s">
        <v>2664</v>
      </c>
      <c r="AV5120" s="68"/>
      <c r="AW5120" s="68"/>
      <c r="AY5120" s="27"/>
      <c r="BD5120" s="68">
        <v>46054.1666666667</v>
      </c>
      <c r="BE5120" s="68">
        <v>46082.1666666667</v>
      </c>
      <c r="BF5120" s="0" t="b">
        <v>0</v>
      </c>
      <c r="BG5120" s="0" t="b">
        <v>0</v>
      </c>
      <c r="BH5120" s="0">
        <v>59</v>
      </c>
      <c r="BI5120" s="0">
        <v>59</v>
      </c>
      <c r="BJ5120" s="0" t="s">
        <v>135</v>
      </c>
    </row>
    <row r="5121">
      <c r="A5121" s="0" t="s">
        <v>5389</v>
      </c>
      <c r="B5121" s="0" t="s">
        <v>5</v>
      </c>
      <c r="C5121" s="0" t="s">
        <v>652</v>
      </c>
      <c r="D5121" s="0" t="s">
        <v>135</v>
      </c>
      <c r="E5121" s="0" t="s">
        <v>1515</v>
      </c>
      <c r="F5121" s="0" t="s">
        <v>12</v>
      </c>
      <c r="G5121" s="0" t="s">
        <v>8</v>
      </c>
      <c r="H5121" s="0">
        <v>-21</v>
      </c>
      <c r="I5121" s="0">
        <v>0</v>
      </c>
      <c r="J5121" s="0">
        <v>0</v>
      </c>
      <c r="K5121" s="0">
        <v>0</v>
      </c>
      <c r="L5121" s="0">
        <v>0</v>
      </c>
      <c r="M5121" s="0">
        <v>0</v>
      </c>
      <c r="N5121" s="0">
        <v>0</v>
      </c>
      <c r="O5121" s="0">
        <v>0</v>
      </c>
      <c r="P5121" s="0">
        <v>0</v>
      </c>
      <c r="R5121" s="0" t="b">
        <v>0</v>
      </c>
      <c r="S5121" s="0" t="b">
        <v>1</v>
      </c>
      <c r="T5121" s="68">
        <v>46075.9169675926</v>
      </c>
      <c r="U5121" s="68">
        <v>0</v>
      </c>
      <c r="V5121" s="68">
        <v>0</v>
      </c>
      <c r="W5121" s="0">
        <f>IF(IF(B5121="none",1,IF(B5121="Trialer",1,0))+IF(C5121="Customer",1,IF(C5121="Lost",1,0))=2,1,0)</f>
      </c>
      <c r="X5121" s="0" t="s">
        <v>136</v>
      </c>
      <c r="Y5121" s="0" t="s">
        <v>5015</v>
      </c>
      <c r="AV5121" s="68"/>
      <c r="AW5121" s="68"/>
      <c r="AY5121" s="27"/>
      <c r="BD5121" s="68">
        <v>46054.1666666667</v>
      </c>
      <c r="BE5121" s="68">
        <v>46082.1666666667</v>
      </c>
      <c r="BF5121" s="0" t="b">
        <v>0</v>
      </c>
      <c r="BG5121" s="0" t="b">
        <v>0</v>
      </c>
      <c r="BH5121" s="0">
        <v>59</v>
      </c>
      <c r="BI5121" s="0">
        <v>59</v>
      </c>
      <c r="BJ5121" s="0" t="s">
        <v>135</v>
      </c>
    </row>
    <row r="5122">
      <c r="A5122" s="0" t="s">
        <v>5390</v>
      </c>
      <c r="B5122" s="0" t="s">
        <v>5</v>
      </c>
      <c r="C5122" s="0" t="s">
        <v>652</v>
      </c>
      <c r="D5122" s="0" t="s">
        <v>135</v>
      </c>
      <c r="E5122" s="0" t="s">
        <v>4</v>
      </c>
      <c r="F5122" s="0" t="s">
        <v>12</v>
      </c>
      <c r="G5122" s="0" t="s">
        <v>8</v>
      </c>
      <c r="H5122" s="0">
        <v>-21</v>
      </c>
      <c r="I5122" s="0">
        <v>0</v>
      </c>
      <c r="J5122" s="0">
        <v>0</v>
      </c>
      <c r="K5122" s="0">
        <v>0</v>
      </c>
      <c r="L5122" s="0">
        <v>0</v>
      </c>
      <c r="M5122" s="0">
        <v>0</v>
      </c>
      <c r="N5122" s="0">
        <v>0</v>
      </c>
      <c r="O5122" s="0">
        <v>0</v>
      </c>
      <c r="P5122" s="0">
        <v>0</v>
      </c>
      <c r="R5122" s="0" t="b">
        <v>0</v>
      </c>
      <c r="S5122" s="0" t="b">
        <v>0</v>
      </c>
      <c r="T5122" s="68">
        <v>46075.9186342593</v>
      </c>
      <c r="U5122" s="68">
        <v>0</v>
      </c>
      <c r="V5122" s="68">
        <v>46076.3268402778</v>
      </c>
      <c r="W5122" s="0">
        <f>IF(IF(B5122="none",1,IF(B5122="Trialer",1,0))+IF(C5122="Customer",1,IF(C5122="Lost",1,0))=2,1,0)</f>
      </c>
      <c r="X5122" s="0" t="s">
        <v>136</v>
      </c>
      <c r="Y5122" s="0" t="s">
        <v>4092</v>
      </c>
      <c r="AV5122" s="68"/>
      <c r="AW5122" s="68"/>
      <c r="AY5122" s="27"/>
      <c r="BD5122" s="68">
        <v>46054.1666666667</v>
      </c>
      <c r="BE5122" s="68">
        <v>46082.1666666667</v>
      </c>
      <c r="BF5122" s="0" t="b">
        <v>1</v>
      </c>
      <c r="BG5122" s="0" t="b">
        <v>0</v>
      </c>
      <c r="BH5122" s="0">
        <v>59</v>
      </c>
      <c r="BI5122" s="0">
        <v>0</v>
      </c>
      <c r="BJ5122" s="0" t="s">
        <v>135</v>
      </c>
    </row>
    <row r="5123">
      <c r="A5123" s="0" t="s">
        <v>5391</v>
      </c>
      <c r="B5123" s="0" t="s">
        <v>5</v>
      </c>
      <c r="C5123" s="0" t="s">
        <v>652</v>
      </c>
      <c r="D5123" s="0" t="s">
        <v>135</v>
      </c>
      <c r="E5123" s="0" t="s">
        <v>3</v>
      </c>
      <c r="F5123" s="0" t="s">
        <v>12</v>
      </c>
      <c r="G5123" s="0" t="s">
        <v>8</v>
      </c>
      <c r="H5123" s="0">
        <v>-21</v>
      </c>
      <c r="I5123" s="0">
        <v>0</v>
      </c>
      <c r="J5123" s="0">
        <v>0</v>
      </c>
      <c r="K5123" s="0">
        <v>0</v>
      </c>
      <c r="L5123" s="0">
        <v>0</v>
      </c>
      <c r="M5123" s="0">
        <v>0</v>
      </c>
      <c r="N5123" s="0">
        <v>0</v>
      </c>
      <c r="O5123" s="0">
        <v>0</v>
      </c>
      <c r="P5123" s="0">
        <v>0</v>
      </c>
      <c r="R5123" s="0" t="b">
        <v>0</v>
      </c>
      <c r="S5123" s="0" t="b">
        <v>1</v>
      </c>
      <c r="T5123" s="68">
        <v>46075.9240162037</v>
      </c>
      <c r="U5123" s="68">
        <v>0</v>
      </c>
      <c r="V5123" s="68">
        <v>0</v>
      </c>
      <c r="W5123" s="0">
        <f>IF(IF(B5123="none",1,IF(B5123="Trialer",1,0))+IF(C5123="Customer",1,IF(C5123="Lost",1,0))=2,1,0)</f>
      </c>
      <c r="X5123" s="0" t="s">
        <v>148</v>
      </c>
      <c r="Y5123" s="0" t="s">
        <v>243</v>
      </c>
      <c r="AV5123" s="68"/>
      <c r="AW5123" s="68"/>
      <c r="AY5123" s="27"/>
      <c r="BD5123" s="68">
        <v>46054.1666666667</v>
      </c>
      <c r="BE5123" s="68">
        <v>46082.1666666667</v>
      </c>
      <c r="BF5123" s="0" t="b">
        <v>0</v>
      </c>
      <c r="BG5123" s="0" t="b">
        <v>0</v>
      </c>
      <c r="BH5123" s="0">
        <v>170</v>
      </c>
      <c r="BI5123" s="0">
        <v>170</v>
      </c>
      <c r="BJ5123" s="0" t="s">
        <v>135</v>
      </c>
    </row>
    <row r="5124">
      <c r="A5124" s="0" t="s">
        <v>5392</v>
      </c>
      <c r="B5124" s="0" t="s">
        <v>5</v>
      </c>
      <c r="C5124" s="0" t="s">
        <v>652</v>
      </c>
      <c r="D5124" s="0" t="s">
        <v>135</v>
      </c>
      <c r="E5124" s="0" t="s">
        <v>3</v>
      </c>
      <c r="F5124" s="0" t="s">
        <v>12</v>
      </c>
      <c r="G5124" s="0" t="s">
        <v>8</v>
      </c>
      <c r="H5124" s="0">
        <v>-21</v>
      </c>
      <c r="I5124" s="0">
        <v>0</v>
      </c>
      <c r="J5124" s="0">
        <v>0</v>
      </c>
      <c r="K5124" s="0">
        <v>0</v>
      </c>
      <c r="L5124" s="0">
        <v>0</v>
      </c>
      <c r="M5124" s="0">
        <v>0</v>
      </c>
      <c r="N5124" s="0">
        <v>0</v>
      </c>
      <c r="O5124" s="0">
        <v>0</v>
      </c>
      <c r="P5124" s="0">
        <v>0</v>
      </c>
      <c r="R5124" s="0" t="b">
        <v>0</v>
      </c>
      <c r="S5124" s="0" t="b">
        <v>1</v>
      </c>
      <c r="T5124" s="68">
        <v>46075.9259490741</v>
      </c>
      <c r="U5124" s="68">
        <v>0</v>
      </c>
      <c r="V5124" s="68">
        <v>0</v>
      </c>
      <c r="W5124" s="0">
        <f>IF(IF(B5124="none",1,IF(B5124="Trialer",1,0))+IF(C5124="Customer",1,IF(C5124="Lost",1,0))=2,1,0)</f>
      </c>
      <c r="X5124" s="0" t="s">
        <v>145</v>
      </c>
      <c r="Y5124" s="0" t="s">
        <v>243</v>
      </c>
      <c r="AV5124" s="68"/>
      <c r="AW5124" s="68"/>
      <c r="AY5124" s="27"/>
      <c r="BD5124" s="68">
        <v>46054.1666666667</v>
      </c>
      <c r="BE5124" s="68">
        <v>46082.1666666667</v>
      </c>
      <c r="BF5124" s="0" t="b">
        <v>0</v>
      </c>
      <c r="BG5124" s="0" t="b">
        <v>0</v>
      </c>
      <c r="BH5124" s="0">
        <v>59</v>
      </c>
      <c r="BI5124" s="0">
        <v>59</v>
      </c>
      <c r="BJ5124" s="0" t="s">
        <v>135</v>
      </c>
    </row>
    <row r="5125">
      <c r="A5125" s="0" t="s">
        <v>5393</v>
      </c>
      <c r="B5125" s="0" t="s">
        <v>5</v>
      </c>
      <c r="C5125" s="0" t="s">
        <v>652</v>
      </c>
      <c r="D5125" s="0" t="s">
        <v>135</v>
      </c>
      <c r="E5125" s="0" t="s">
        <v>3</v>
      </c>
      <c r="F5125" s="0" t="s">
        <v>12</v>
      </c>
      <c r="G5125" s="0" t="s">
        <v>8</v>
      </c>
      <c r="H5125" s="0">
        <v>-21</v>
      </c>
      <c r="I5125" s="0">
        <v>0</v>
      </c>
      <c r="J5125" s="0">
        <v>0</v>
      </c>
      <c r="K5125" s="0">
        <v>0</v>
      </c>
      <c r="L5125" s="0">
        <v>0</v>
      </c>
      <c r="M5125" s="0">
        <v>0</v>
      </c>
      <c r="N5125" s="0">
        <v>0</v>
      </c>
      <c r="O5125" s="0">
        <v>0</v>
      </c>
      <c r="P5125" s="0">
        <v>0</v>
      </c>
      <c r="R5125" s="0" t="b">
        <v>0</v>
      </c>
      <c r="S5125" s="0" t="b">
        <v>1</v>
      </c>
      <c r="T5125" s="68">
        <v>46075.9374884259</v>
      </c>
      <c r="U5125" s="68">
        <v>0</v>
      </c>
      <c r="V5125" s="68">
        <v>0</v>
      </c>
      <c r="W5125" s="0">
        <f>IF(IF(B5125="none",1,IF(B5125="Trialer",1,0))+IF(C5125="Customer",1,IF(C5125="Lost",1,0))=2,1,0)</f>
      </c>
      <c r="X5125" s="0" t="s">
        <v>136</v>
      </c>
      <c r="Y5125" s="0" t="s">
        <v>243</v>
      </c>
      <c r="AV5125" s="68"/>
      <c r="AW5125" s="68"/>
      <c r="AY5125" s="27"/>
      <c r="BD5125" s="68">
        <v>46054.1666666667</v>
      </c>
      <c r="BE5125" s="68">
        <v>46082.1666666667</v>
      </c>
      <c r="BF5125" s="0" t="b">
        <v>0</v>
      </c>
      <c r="BG5125" s="0" t="b">
        <v>0</v>
      </c>
      <c r="BH5125" s="0">
        <v>59</v>
      </c>
      <c r="BI5125" s="0">
        <v>59</v>
      </c>
      <c r="BJ5125" s="0" t="s">
        <v>135</v>
      </c>
    </row>
    <row r="5126">
      <c r="A5126" s="0" t="s">
        <v>5394</v>
      </c>
      <c r="B5126" s="0" t="s">
        <v>5</v>
      </c>
      <c r="C5126" s="0" t="s">
        <v>652</v>
      </c>
      <c r="D5126" s="0" t="s">
        <v>135</v>
      </c>
      <c r="E5126" s="0" t="s">
        <v>4</v>
      </c>
      <c r="F5126" s="0" t="s">
        <v>12</v>
      </c>
      <c r="G5126" s="0" t="s">
        <v>8</v>
      </c>
      <c r="H5126" s="0">
        <v>-22</v>
      </c>
      <c r="I5126" s="0">
        <v>0</v>
      </c>
      <c r="J5126" s="0">
        <v>0</v>
      </c>
      <c r="K5126" s="0">
        <v>0</v>
      </c>
      <c r="L5126" s="0">
        <v>0</v>
      </c>
      <c r="M5126" s="0">
        <v>0</v>
      </c>
      <c r="N5126" s="0">
        <v>0</v>
      </c>
      <c r="O5126" s="0">
        <v>0</v>
      </c>
      <c r="P5126" s="0">
        <v>0</v>
      </c>
      <c r="R5126" s="0" t="b">
        <v>0</v>
      </c>
      <c r="S5126" s="0" t="b">
        <v>1</v>
      </c>
      <c r="T5126" s="68">
        <v>46076.1347106481</v>
      </c>
      <c r="U5126" s="68">
        <v>0</v>
      </c>
      <c r="V5126" s="68">
        <v>0</v>
      </c>
      <c r="W5126" s="0">
        <f>IF(IF(B5126="none",1,IF(B5126="Trialer",1,0))+IF(C5126="Customer",1,IF(C5126="Lost",1,0))=2,1,0)</f>
      </c>
      <c r="X5126" s="0" t="s">
        <v>145</v>
      </c>
      <c r="Y5126" s="0" t="s">
        <v>1772</v>
      </c>
      <c r="AV5126" s="68"/>
      <c r="AW5126" s="68"/>
      <c r="AY5126" s="27"/>
      <c r="BD5126" s="68">
        <v>46054.1666666667</v>
      </c>
      <c r="BE5126" s="68">
        <v>46082.1666666667</v>
      </c>
      <c r="BF5126" s="0" t="b">
        <v>0</v>
      </c>
      <c r="BG5126" s="0" t="b">
        <v>0</v>
      </c>
      <c r="BH5126" s="0">
        <v>142</v>
      </c>
      <c r="BI5126" s="0">
        <v>142</v>
      </c>
      <c r="BJ5126" s="0" t="s">
        <v>135</v>
      </c>
    </row>
    <row r="5127">
      <c r="A5127" s="0" t="s">
        <v>5395</v>
      </c>
      <c r="B5127" s="0" t="s">
        <v>5</v>
      </c>
      <c r="C5127" s="0" t="s">
        <v>652</v>
      </c>
      <c r="D5127" s="0" t="s">
        <v>135</v>
      </c>
      <c r="E5127" s="0" t="s">
        <v>3</v>
      </c>
      <c r="F5127" s="0" t="s">
        <v>12</v>
      </c>
      <c r="G5127" s="0" t="s">
        <v>8</v>
      </c>
      <c r="H5127" s="0">
        <v>-22</v>
      </c>
      <c r="I5127" s="0">
        <v>0</v>
      </c>
      <c r="J5127" s="0">
        <v>0</v>
      </c>
      <c r="K5127" s="0">
        <v>0</v>
      </c>
      <c r="L5127" s="0">
        <v>0</v>
      </c>
      <c r="M5127" s="0">
        <v>0</v>
      </c>
      <c r="N5127" s="0">
        <v>0</v>
      </c>
      <c r="O5127" s="0">
        <v>0</v>
      </c>
      <c r="P5127" s="0">
        <v>0</v>
      </c>
      <c r="R5127" s="0" t="b">
        <v>0</v>
      </c>
      <c r="S5127" s="0" t="b">
        <v>1</v>
      </c>
      <c r="T5127" s="68">
        <v>46076.1917013889</v>
      </c>
      <c r="U5127" s="68">
        <v>0</v>
      </c>
      <c r="V5127" s="68">
        <v>0</v>
      </c>
      <c r="W5127" s="0">
        <f>IF(IF(B5127="none",1,IF(B5127="Trialer",1,0))+IF(C5127="Customer",1,IF(C5127="Lost",1,0))=2,1,0)</f>
      </c>
      <c r="X5127" s="0" t="s">
        <v>148</v>
      </c>
      <c r="Y5127" s="0" t="s">
        <v>243</v>
      </c>
      <c r="AV5127" s="68"/>
      <c r="AW5127" s="68"/>
      <c r="AY5127" s="27"/>
      <c r="BD5127" s="68">
        <v>46054.1666666667</v>
      </c>
      <c r="BE5127" s="68">
        <v>46082.1666666667</v>
      </c>
      <c r="BF5127" s="0" t="b">
        <v>0</v>
      </c>
      <c r="BG5127" s="0" t="b">
        <v>0</v>
      </c>
      <c r="BH5127" s="0">
        <v>85</v>
      </c>
      <c r="BI5127" s="0">
        <v>85</v>
      </c>
      <c r="BJ5127" s="0" t="s">
        <v>135</v>
      </c>
    </row>
    <row r="5128">
      <c r="A5128" s="0" t="s">
        <v>5396</v>
      </c>
      <c r="B5128" s="0" t="s">
        <v>5</v>
      </c>
      <c r="C5128" s="0" t="s">
        <v>652</v>
      </c>
      <c r="D5128" s="0" t="s">
        <v>135</v>
      </c>
      <c r="E5128" s="0" t="s">
        <v>3</v>
      </c>
      <c r="F5128" s="0" t="s">
        <v>12</v>
      </c>
      <c r="G5128" s="0" t="s">
        <v>8</v>
      </c>
      <c r="H5128" s="0">
        <v>-22</v>
      </c>
      <c r="I5128" s="0">
        <v>0</v>
      </c>
      <c r="J5128" s="0">
        <v>0</v>
      </c>
      <c r="K5128" s="0">
        <v>0</v>
      </c>
      <c r="L5128" s="0">
        <v>0</v>
      </c>
      <c r="M5128" s="0">
        <v>0</v>
      </c>
      <c r="N5128" s="0">
        <v>0</v>
      </c>
      <c r="O5128" s="0">
        <v>0</v>
      </c>
      <c r="P5128" s="0">
        <v>0</v>
      </c>
      <c r="R5128" s="0" t="b">
        <v>0</v>
      </c>
      <c r="S5128" s="0" t="b">
        <v>1</v>
      </c>
      <c r="T5128" s="68">
        <v>46076.2533912037</v>
      </c>
      <c r="U5128" s="68">
        <v>46092.3333333333</v>
      </c>
      <c r="V5128" s="68">
        <v>0</v>
      </c>
      <c r="W5128" s="0">
        <f>IF(IF(B5128="none",1,IF(B5128="Trialer",1,0))+IF(C5128="Customer",1,IF(C5128="Lost",1,0))=2,1,0)</f>
      </c>
      <c r="X5128" s="0" t="s">
        <v>148</v>
      </c>
      <c r="Y5128" s="0" t="s">
        <v>243</v>
      </c>
      <c r="AV5128" s="68"/>
      <c r="AW5128" s="68"/>
      <c r="AY5128" s="27"/>
      <c r="BD5128" s="68">
        <v>46054.1666666667</v>
      </c>
      <c r="BE5128" s="68">
        <v>46082.1666666667</v>
      </c>
      <c r="BF5128" s="0" t="b">
        <v>0</v>
      </c>
      <c r="BG5128" s="0" t="b">
        <v>0</v>
      </c>
      <c r="BH5128" s="0">
        <v>0</v>
      </c>
      <c r="BI5128" s="0">
        <v>0</v>
      </c>
      <c r="BJ5128" s="0" t="s">
        <v>135</v>
      </c>
    </row>
    <row r="5129">
      <c r="A5129" s="0" t="s">
        <v>5397</v>
      </c>
      <c r="B5129" s="0" t="s">
        <v>5</v>
      </c>
      <c r="C5129" s="0" t="s">
        <v>652</v>
      </c>
      <c r="D5129" s="0" t="s">
        <v>135</v>
      </c>
      <c r="E5129" s="0" t="s">
        <v>3</v>
      </c>
      <c r="F5129" s="0" t="s">
        <v>12</v>
      </c>
      <c r="G5129" s="0" t="s">
        <v>8</v>
      </c>
      <c r="H5129" s="0">
        <v>-22</v>
      </c>
      <c r="I5129" s="0">
        <v>0</v>
      </c>
      <c r="J5129" s="0">
        <v>0</v>
      </c>
      <c r="K5129" s="0">
        <v>0</v>
      </c>
      <c r="L5129" s="0">
        <v>0</v>
      </c>
      <c r="M5129" s="0">
        <v>0</v>
      </c>
      <c r="N5129" s="0">
        <v>0</v>
      </c>
      <c r="O5129" s="0">
        <v>0</v>
      </c>
      <c r="P5129" s="0">
        <v>0</v>
      </c>
      <c r="R5129" s="0" t="b">
        <v>0</v>
      </c>
      <c r="S5129" s="0" t="b">
        <v>1</v>
      </c>
      <c r="T5129" s="68">
        <v>46076.3173263889</v>
      </c>
      <c r="U5129" s="68">
        <v>46091.3333333333</v>
      </c>
      <c r="V5129" s="68">
        <v>0</v>
      </c>
      <c r="W5129" s="0">
        <f>IF(IF(B5129="none",1,IF(B5129="Trialer",1,0))+IF(C5129="Customer",1,IF(C5129="Lost",1,0))=2,1,0)</f>
      </c>
      <c r="X5129" s="0" t="s">
        <v>136</v>
      </c>
      <c r="Y5129" s="0" t="s">
        <v>243</v>
      </c>
      <c r="AV5129" s="68"/>
      <c r="AW5129" s="68"/>
      <c r="AY5129" s="27"/>
      <c r="BD5129" s="68">
        <v>46054.1666666667</v>
      </c>
      <c r="BE5129" s="68">
        <v>46082.1666666667</v>
      </c>
      <c r="BF5129" s="0" t="b">
        <v>0</v>
      </c>
      <c r="BG5129" s="0" t="b">
        <v>0</v>
      </c>
      <c r="BH5129" s="0">
        <v>254</v>
      </c>
      <c r="BI5129" s="0">
        <v>254</v>
      </c>
      <c r="BJ5129" s="0" t="s">
        <v>135</v>
      </c>
    </row>
    <row r="5130">
      <c r="A5130" s="0" t="s">
        <v>5398</v>
      </c>
      <c r="B5130" s="0" t="s">
        <v>5</v>
      </c>
      <c r="C5130" s="0" t="s">
        <v>652</v>
      </c>
      <c r="D5130" s="0" t="s">
        <v>135</v>
      </c>
      <c r="E5130" s="0" t="s">
        <v>3</v>
      </c>
      <c r="F5130" s="0" t="s">
        <v>12</v>
      </c>
      <c r="G5130" s="0" t="s">
        <v>8</v>
      </c>
      <c r="H5130" s="0">
        <v>-22</v>
      </c>
      <c r="I5130" s="0">
        <v>0</v>
      </c>
      <c r="J5130" s="0">
        <v>0</v>
      </c>
      <c r="K5130" s="0">
        <v>0</v>
      </c>
      <c r="L5130" s="0">
        <v>0</v>
      </c>
      <c r="M5130" s="0">
        <v>0</v>
      </c>
      <c r="N5130" s="0">
        <v>0</v>
      </c>
      <c r="O5130" s="0">
        <v>0</v>
      </c>
      <c r="P5130" s="0">
        <v>0</v>
      </c>
      <c r="R5130" s="0" t="b">
        <v>0</v>
      </c>
      <c r="S5130" s="0" t="b">
        <v>1</v>
      </c>
      <c r="T5130" s="68">
        <v>46076.4079166667</v>
      </c>
      <c r="U5130" s="68">
        <v>0</v>
      </c>
      <c r="V5130" s="68">
        <v>0</v>
      </c>
      <c r="W5130" s="0">
        <f>IF(IF(B5130="none",1,IF(B5130="Trialer",1,0))+IF(C5130="Customer",1,IF(C5130="Lost",1,0))=2,1,0)</f>
      </c>
      <c r="X5130" s="0" t="s">
        <v>148</v>
      </c>
      <c r="Y5130" s="0" t="s">
        <v>243</v>
      </c>
      <c r="AV5130" s="68"/>
      <c r="AW5130" s="68"/>
      <c r="AY5130" s="27"/>
      <c r="BD5130" s="68">
        <v>46054.1666666667</v>
      </c>
      <c r="BE5130" s="68">
        <v>46082.1666666667</v>
      </c>
      <c r="BF5130" s="0" t="b">
        <v>0</v>
      </c>
      <c r="BG5130" s="0" t="b">
        <v>0</v>
      </c>
      <c r="BH5130" s="0">
        <v>85</v>
      </c>
      <c r="BI5130" s="0">
        <v>85</v>
      </c>
      <c r="BJ5130" s="0" t="s">
        <v>135</v>
      </c>
    </row>
    <row r="5131">
      <c r="A5131" s="0" t="s">
        <v>5399</v>
      </c>
      <c r="B5131" s="0" t="s">
        <v>5</v>
      </c>
      <c r="C5131" s="0" t="s">
        <v>652</v>
      </c>
      <c r="D5131" s="0" t="s">
        <v>135</v>
      </c>
      <c r="E5131" s="0" t="s">
        <v>3</v>
      </c>
      <c r="F5131" s="0" t="s">
        <v>12</v>
      </c>
      <c r="G5131" s="0" t="s">
        <v>8</v>
      </c>
      <c r="H5131" s="0">
        <v>-22</v>
      </c>
      <c r="I5131" s="0">
        <v>0</v>
      </c>
      <c r="J5131" s="0">
        <v>0</v>
      </c>
      <c r="K5131" s="0">
        <v>0</v>
      </c>
      <c r="L5131" s="0">
        <v>0</v>
      </c>
      <c r="M5131" s="0">
        <v>0</v>
      </c>
      <c r="N5131" s="0">
        <v>0</v>
      </c>
      <c r="O5131" s="0">
        <v>0</v>
      </c>
      <c r="P5131" s="0">
        <v>0</v>
      </c>
      <c r="R5131" s="0" t="b">
        <v>0</v>
      </c>
      <c r="S5131" s="0" t="b">
        <v>1</v>
      </c>
      <c r="T5131" s="68">
        <v>46076.4163425926</v>
      </c>
      <c r="U5131" s="68">
        <v>0</v>
      </c>
      <c r="V5131" s="68">
        <v>0</v>
      </c>
      <c r="W5131" s="0">
        <f>IF(IF(B5131="none",1,IF(B5131="Trialer",1,0))+IF(C5131="Customer",1,IF(C5131="Lost",1,0))=2,1,0)</f>
      </c>
      <c r="X5131" s="0" t="s">
        <v>145</v>
      </c>
      <c r="Y5131" s="0" t="s">
        <v>1792</v>
      </c>
      <c r="AV5131" s="68"/>
      <c r="AW5131" s="68"/>
      <c r="AY5131" s="27"/>
      <c r="BD5131" s="68">
        <v>46054.1666666667</v>
      </c>
      <c r="BE5131" s="68">
        <v>46082.1666666667</v>
      </c>
      <c r="BF5131" s="0" t="b">
        <v>0</v>
      </c>
      <c r="BG5131" s="0" t="b">
        <v>0</v>
      </c>
      <c r="BH5131" s="0">
        <v>59</v>
      </c>
      <c r="BI5131" s="0">
        <v>59</v>
      </c>
      <c r="BJ5131" s="0" t="s">
        <v>135</v>
      </c>
    </row>
    <row r="5132">
      <c r="A5132" s="0" t="s">
        <v>5400</v>
      </c>
      <c r="B5132" s="0" t="s">
        <v>5</v>
      </c>
      <c r="C5132" s="0" t="s">
        <v>652</v>
      </c>
      <c r="D5132" s="0" t="s">
        <v>135</v>
      </c>
      <c r="E5132" s="0" t="s">
        <v>2</v>
      </c>
      <c r="F5132" s="0" t="s">
        <v>12</v>
      </c>
      <c r="G5132" s="0" t="s">
        <v>8</v>
      </c>
      <c r="H5132" s="0">
        <v>-22</v>
      </c>
      <c r="I5132" s="0">
        <v>0</v>
      </c>
      <c r="J5132" s="0">
        <v>0</v>
      </c>
      <c r="K5132" s="0">
        <v>0</v>
      </c>
      <c r="L5132" s="0">
        <v>0</v>
      </c>
      <c r="M5132" s="0">
        <v>0</v>
      </c>
      <c r="N5132" s="0">
        <v>0</v>
      </c>
      <c r="O5132" s="0">
        <v>0</v>
      </c>
      <c r="P5132" s="0">
        <v>0</v>
      </c>
      <c r="R5132" s="0" t="b">
        <v>0</v>
      </c>
      <c r="S5132" s="0" t="b">
        <v>1</v>
      </c>
      <c r="T5132" s="68">
        <v>46076.4243865741</v>
      </c>
      <c r="U5132" s="68">
        <v>0</v>
      </c>
      <c r="V5132" s="68">
        <v>0</v>
      </c>
      <c r="W5132" s="0">
        <f>IF(IF(B5132="none",1,IF(B5132="Trialer",1,0))+IF(C5132="Customer",1,IF(C5132="Lost",1,0))=2,1,0)</f>
      </c>
      <c r="X5132" s="0" t="s">
        <v>136</v>
      </c>
      <c r="Y5132" s="0" t="s">
        <v>499</v>
      </c>
      <c r="AV5132" s="68"/>
      <c r="AW5132" s="68"/>
      <c r="AY5132" s="27"/>
      <c r="BD5132" s="68">
        <v>46054.1666666667</v>
      </c>
      <c r="BE5132" s="68">
        <v>46082.1666666667</v>
      </c>
      <c r="BF5132" s="0" t="b">
        <v>0</v>
      </c>
      <c r="BG5132" s="0" t="b">
        <v>0</v>
      </c>
      <c r="BH5132" s="0">
        <v>59</v>
      </c>
      <c r="BI5132" s="0">
        <v>59</v>
      </c>
      <c r="BJ5132" s="0" t="s">
        <v>135</v>
      </c>
    </row>
    <row r="5133">
      <c r="A5133" s="0" t="s">
        <v>5401</v>
      </c>
      <c r="B5133" s="0" t="s">
        <v>5</v>
      </c>
      <c r="C5133" s="0" t="s">
        <v>652</v>
      </c>
      <c r="D5133" s="0" t="s">
        <v>135</v>
      </c>
      <c r="E5133" s="0" t="s">
        <v>3</v>
      </c>
      <c r="F5133" s="0" t="s">
        <v>12</v>
      </c>
      <c r="G5133" s="0" t="s">
        <v>8</v>
      </c>
      <c r="H5133" s="0">
        <v>-22</v>
      </c>
      <c r="I5133" s="0">
        <v>0</v>
      </c>
      <c r="J5133" s="0">
        <v>0</v>
      </c>
      <c r="K5133" s="0">
        <v>0</v>
      </c>
      <c r="L5133" s="0">
        <v>0</v>
      </c>
      <c r="M5133" s="0">
        <v>0</v>
      </c>
      <c r="N5133" s="0">
        <v>0</v>
      </c>
      <c r="O5133" s="0">
        <v>0</v>
      </c>
      <c r="P5133" s="0">
        <v>0</v>
      </c>
      <c r="R5133" s="0" t="b">
        <v>0</v>
      </c>
      <c r="S5133" s="0" t="b">
        <v>0</v>
      </c>
      <c r="T5133" s="68">
        <v>46076.4621412037</v>
      </c>
      <c r="U5133" s="68">
        <v>0</v>
      </c>
      <c r="V5133" s="68">
        <v>46076.4701851852</v>
      </c>
      <c r="W5133" s="0">
        <f>IF(IF(B5133="none",1,IF(B5133="Trialer",1,0))+IF(C5133="Customer",1,IF(C5133="Lost",1,0))=2,1,0)</f>
      </c>
      <c r="X5133" s="0" t="s">
        <v>136</v>
      </c>
      <c r="Y5133" s="0" t="s">
        <v>243</v>
      </c>
      <c r="AV5133" s="68"/>
      <c r="AW5133" s="68"/>
      <c r="AY5133" s="27"/>
      <c r="BD5133" s="68">
        <v>46054.1666666667</v>
      </c>
      <c r="BE5133" s="68">
        <v>46082.1666666667</v>
      </c>
      <c r="BF5133" s="0" t="b">
        <v>1</v>
      </c>
      <c r="BG5133" s="0" t="b">
        <v>1</v>
      </c>
      <c r="BH5133" s="0">
        <v>73</v>
      </c>
      <c r="BI5133" s="0">
        <v>0</v>
      </c>
      <c r="BJ5133" s="0" t="s">
        <v>135</v>
      </c>
    </row>
    <row r="5134">
      <c r="A5134" s="0" t="s">
        <v>5402</v>
      </c>
      <c r="B5134" s="0" t="s">
        <v>5</v>
      </c>
      <c r="C5134" s="0" t="s">
        <v>652</v>
      </c>
      <c r="D5134" s="0" t="s">
        <v>135</v>
      </c>
      <c r="E5134" s="0" t="s">
        <v>3</v>
      </c>
      <c r="F5134" s="0" t="s">
        <v>12</v>
      </c>
      <c r="G5134" s="0" t="s">
        <v>8</v>
      </c>
      <c r="H5134" s="0">
        <v>-22</v>
      </c>
      <c r="I5134" s="0">
        <v>0</v>
      </c>
      <c r="J5134" s="0">
        <v>0</v>
      </c>
      <c r="K5134" s="0">
        <v>0</v>
      </c>
      <c r="L5134" s="0">
        <v>0</v>
      </c>
      <c r="M5134" s="0">
        <v>0</v>
      </c>
      <c r="N5134" s="0">
        <v>0</v>
      </c>
      <c r="O5134" s="0">
        <v>0</v>
      </c>
      <c r="P5134" s="0">
        <v>0</v>
      </c>
      <c r="R5134" s="0" t="b">
        <v>0</v>
      </c>
      <c r="S5134" s="0" t="b">
        <v>0</v>
      </c>
      <c r="T5134" s="68">
        <v>46076.4823032407</v>
      </c>
      <c r="U5134" s="68">
        <v>0</v>
      </c>
      <c r="V5134" s="68">
        <v>46079.4503819444</v>
      </c>
      <c r="W5134" s="0">
        <f>IF(IF(B5134="none",1,IF(B5134="Trialer",1,0))+IF(C5134="Customer",1,IF(C5134="Lost",1,0))=2,1,0)</f>
      </c>
      <c r="X5134" s="0" t="s">
        <v>148</v>
      </c>
      <c r="Y5134" s="0" t="s">
        <v>1792</v>
      </c>
      <c r="AV5134" s="68"/>
      <c r="AW5134" s="68"/>
      <c r="AY5134" s="27"/>
      <c r="BD5134" s="68">
        <v>46054.1666666667</v>
      </c>
      <c r="BE5134" s="68">
        <v>46082.1666666667</v>
      </c>
      <c r="BF5134" s="0" t="b">
        <v>0</v>
      </c>
      <c r="BG5134" s="0" t="b">
        <v>0</v>
      </c>
      <c r="BH5134" s="0">
        <v>59</v>
      </c>
      <c r="BI5134" s="0">
        <v>59</v>
      </c>
      <c r="BJ5134" s="0" t="s">
        <v>135</v>
      </c>
    </row>
    <row r="5135">
      <c r="A5135" s="0" t="s">
        <v>5403</v>
      </c>
      <c r="B5135" s="0" t="s">
        <v>5</v>
      </c>
      <c r="C5135" s="0" t="s">
        <v>652</v>
      </c>
      <c r="D5135" s="0" t="s">
        <v>135</v>
      </c>
      <c r="E5135" s="0" t="s">
        <v>3</v>
      </c>
      <c r="F5135" s="0" t="s">
        <v>12</v>
      </c>
      <c r="G5135" s="0" t="s">
        <v>8</v>
      </c>
      <c r="H5135" s="0">
        <v>-22</v>
      </c>
      <c r="I5135" s="0">
        <v>0</v>
      </c>
      <c r="J5135" s="0">
        <v>0</v>
      </c>
      <c r="K5135" s="0">
        <v>0</v>
      </c>
      <c r="L5135" s="0">
        <v>0</v>
      </c>
      <c r="M5135" s="0">
        <v>0</v>
      </c>
      <c r="N5135" s="0">
        <v>0</v>
      </c>
      <c r="O5135" s="0">
        <v>0</v>
      </c>
      <c r="P5135" s="0">
        <v>0</v>
      </c>
      <c r="R5135" s="0" t="b">
        <v>0</v>
      </c>
      <c r="S5135" s="0" t="b">
        <v>1</v>
      </c>
      <c r="T5135" s="68">
        <v>46076.4869560185</v>
      </c>
      <c r="U5135" s="68">
        <v>0</v>
      </c>
      <c r="V5135" s="68">
        <v>0</v>
      </c>
      <c r="W5135" s="0">
        <f>IF(IF(B5135="none",1,IF(B5135="Trialer",1,0))+IF(C5135="Customer",1,IF(C5135="Lost",1,0))=2,1,0)</f>
      </c>
      <c r="X5135" s="0" t="s">
        <v>882</v>
      </c>
      <c r="Y5135" s="0" t="s">
        <v>243</v>
      </c>
      <c r="AV5135" s="68"/>
      <c r="AW5135" s="68"/>
      <c r="AY5135" s="27"/>
      <c r="BD5135" s="68">
        <v>46054.1666666667</v>
      </c>
      <c r="BE5135" s="68">
        <v>46082.1666666667</v>
      </c>
      <c r="BF5135" s="0" t="b">
        <v>0</v>
      </c>
      <c r="BG5135" s="0" t="b">
        <v>0</v>
      </c>
      <c r="BH5135" s="0">
        <v>71</v>
      </c>
      <c r="BI5135" s="0">
        <v>71</v>
      </c>
      <c r="BJ5135" s="0" t="s">
        <v>135</v>
      </c>
    </row>
    <row r="5136">
      <c r="A5136" s="0" t="s">
        <v>5404</v>
      </c>
      <c r="B5136" s="0" t="s">
        <v>5</v>
      </c>
      <c r="C5136" s="0" t="s">
        <v>652</v>
      </c>
      <c r="D5136" s="0" t="s">
        <v>135</v>
      </c>
      <c r="E5136" s="0" t="s">
        <v>3</v>
      </c>
      <c r="F5136" s="0" t="s">
        <v>12</v>
      </c>
      <c r="G5136" s="0" t="s">
        <v>8</v>
      </c>
      <c r="H5136" s="0">
        <v>-22</v>
      </c>
      <c r="I5136" s="0">
        <v>0</v>
      </c>
      <c r="J5136" s="0">
        <v>0</v>
      </c>
      <c r="K5136" s="0">
        <v>0</v>
      </c>
      <c r="L5136" s="0">
        <v>0</v>
      </c>
      <c r="M5136" s="0">
        <v>0</v>
      </c>
      <c r="N5136" s="0">
        <v>0</v>
      </c>
      <c r="O5136" s="0">
        <v>0</v>
      </c>
      <c r="P5136" s="0">
        <v>0</v>
      </c>
      <c r="R5136" s="0" t="b">
        <v>0</v>
      </c>
      <c r="S5136" s="0" t="b">
        <v>0</v>
      </c>
      <c r="T5136" s="68">
        <v>46076.4890277778</v>
      </c>
      <c r="U5136" s="68">
        <v>0</v>
      </c>
      <c r="V5136" s="68">
        <v>46076.6439814815</v>
      </c>
      <c r="W5136" s="0">
        <f>IF(IF(B5136="none",1,IF(B5136="Trialer",1,0))+IF(C5136="Customer",1,IF(C5136="Lost",1,0))=2,1,0)</f>
      </c>
      <c r="X5136" s="0" t="s">
        <v>148</v>
      </c>
      <c r="Y5136" s="0" t="s">
        <v>243</v>
      </c>
      <c r="AV5136" s="68"/>
      <c r="AW5136" s="68"/>
      <c r="AY5136" s="27"/>
      <c r="BD5136" s="68">
        <v>46054.1666666667</v>
      </c>
      <c r="BE5136" s="68">
        <v>46082.1666666667</v>
      </c>
      <c r="BF5136" s="0" t="b">
        <v>1</v>
      </c>
      <c r="BG5136" s="0" t="b">
        <v>0</v>
      </c>
      <c r="BH5136" s="0">
        <v>0</v>
      </c>
      <c r="BI5136" s="0">
        <v>0</v>
      </c>
      <c r="BJ5136" s="0" t="s">
        <v>135</v>
      </c>
    </row>
    <row r="5137">
      <c r="A5137" s="0" t="s">
        <v>5405</v>
      </c>
      <c r="B5137" s="0" t="s">
        <v>5</v>
      </c>
      <c r="C5137" s="0" t="s">
        <v>652</v>
      </c>
      <c r="D5137" s="0" t="s">
        <v>135</v>
      </c>
      <c r="E5137" s="0" t="s">
        <v>2414</v>
      </c>
      <c r="F5137" s="0" t="s">
        <v>10</v>
      </c>
      <c r="G5137" s="0" t="s">
        <v>8</v>
      </c>
      <c r="H5137" s="0">
        <v>-22</v>
      </c>
      <c r="I5137" s="0">
        <v>0</v>
      </c>
      <c r="J5137" s="0">
        <v>0</v>
      </c>
      <c r="K5137" s="0">
        <v>0</v>
      </c>
      <c r="L5137" s="0">
        <v>0</v>
      </c>
      <c r="M5137" s="0">
        <v>0</v>
      </c>
      <c r="N5137" s="0">
        <v>356.87</v>
      </c>
      <c r="O5137" s="0">
        <v>0</v>
      </c>
      <c r="P5137" s="0">
        <v>0</v>
      </c>
      <c r="Q5137" s="0" t="s">
        <v>266</v>
      </c>
      <c r="R5137" s="0" t="b">
        <v>0</v>
      </c>
      <c r="S5137" s="0" t="b">
        <v>1</v>
      </c>
      <c r="T5137" s="68">
        <v>46076.4917592593</v>
      </c>
      <c r="U5137" s="68">
        <v>0</v>
      </c>
      <c r="V5137" s="68">
        <v>0</v>
      </c>
      <c r="W5137" s="0">
        <f>IF(IF(B5137="none",1,IF(B5137="Trialer",1,0))+IF(C5137="Customer",1,IF(C5137="Lost",1,0))=2,1,0)</f>
      </c>
      <c r="X5137" s="0" t="s">
        <v>148</v>
      </c>
      <c r="Y5137" s="0" t="s">
        <v>1516</v>
      </c>
      <c r="AV5137" s="68"/>
      <c r="AW5137" s="68"/>
      <c r="AY5137" s="27"/>
      <c r="BD5137" s="68">
        <v>46054.1666666667</v>
      </c>
      <c r="BE5137" s="68">
        <v>46082.1666666667</v>
      </c>
      <c r="BF5137" s="0" t="b">
        <v>0</v>
      </c>
      <c r="BG5137" s="0" t="b">
        <v>0</v>
      </c>
      <c r="BH5137" s="0">
        <v>77</v>
      </c>
      <c r="BI5137" s="0">
        <v>77</v>
      </c>
      <c r="BJ5137" s="0" t="s">
        <v>135</v>
      </c>
    </row>
    <row r="5138">
      <c r="A5138" s="0" t="s">
        <v>5406</v>
      </c>
      <c r="B5138" s="0" t="s">
        <v>5</v>
      </c>
      <c r="C5138" s="0" t="s">
        <v>652</v>
      </c>
      <c r="D5138" s="0" t="s">
        <v>135</v>
      </c>
      <c r="E5138" s="0" t="s">
        <v>3</v>
      </c>
      <c r="F5138" s="0" t="s">
        <v>12</v>
      </c>
      <c r="G5138" s="0" t="s">
        <v>8</v>
      </c>
      <c r="H5138" s="0">
        <v>-22</v>
      </c>
      <c r="I5138" s="0">
        <v>0</v>
      </c>
      <c r="J5138" s="0">
        <v>0</v>
      </c>
      <c r="K5138" s="0">
        <v>0</v>
      </c>
      <c r="L5138" s="0">
        <v>0</v>
      </c>
      <c r="M5138" s="0">
        <v>0</v>
      </c>
      <c r="N5138" s="0">
        <v>0</v>
      </c>
      <c r="O5138" s="0">
        <v>0</v>
      </c>
      <c r="P5138" s="0">
        <v>0</v>
      </c>
      <c r="R5138" s="0" t="b">
        <v>0</v>
      </c>
      <c r="S5138" s="0" t="b">
        <v>1</v>
      </c>
      <c r="T5138" s="68">
        <v>46076.5038078704</v>
      </c>
      <c r="U5138" s="68">
        <v>0</v>
      </c>
      <c r="V5138" s="68">
        <v>0</v>
      </c>
      <c r="W5138" s="0">
        <f>IF(IF(B5138="none",1,IF(B5138="Trialer",1,0))+IF(C5138="Customer",1,IF(C5138="Lost",1,0))=2,1,0)</f>
      </c>
      <c r="X5138" s="0" t="s">
        <v>136</v>
      </c>
      <c r="Y5138" s="0" t="s">
        <v>243</v>
      </c>
      <c r="AV5138" s="68"/>
      <c r="AW5138" s="68"/>
      <c r="AY5138" s="27"/>
      <c r="BD5138" s="68">
        <v>46054.1666666667</v>
      </c>
      <c r="BE5138" s="68">
        <v>46082.1666666667</v>
      </c>
      <c r="BF5138" s="0" t="b">
        <v>0</v>
      </c>
      <c r="BG5138" s="0" t="b">
        <v>0</v>
      </c>
      <c r="BH5138" s="0">
        <v>59</v>
      </c>
      <c r="BI5138" s="0">
        <v>59</v>
      </c>
      <c r="BJ5138" s="0" t="s">
        <v>135</v>
      </c>
    </row>
    <row r="5139">
      <c r="A5139" s="0" t="s">
        <v>5407</v>
      </c>
      <c r="B5139" s="0" t="s">
        <v>5</v>
      </c>
      <c r="C5139" s="0" t="s">
        <v>652</v>
      </c>
      <c r="D5139" s="0" t="s">
        <v>135</v>
      </c>
      <c r="E5139" s="0" t="s">
        <v>3</v>
      </c>
      <c r="F5139" s="0" t="s">
        <v>12</v>
      </c>
      <c r="G5139" s="0" t="s">
        <v>8</v>
      </c>
      <c r="H5139" s="0">
        <v>-22</v>
      </c>
      <c r="I5139" s="0">
        <v>0</v>
      </c>
      <c r="J5139" s="0">
        <v>0</v>
      </c>
      <c r="K5139" s="0">
        <v>0</v>
      </c>
      <c r="L5139" s="0">
        <v>0</v>
      </c>
      <c r="M5139" s="0">
        <v>0</v>
      </c>
      <c r="N5139" s="0">
        <v>0</v>
      </c>
      <c r="O5139" s="0">
        <v>0</v>
      </c>
      <c r="P5139" s="0">
        <v>0</v>
      </c>
      <c r="R5139" s="0" t="b">
        <v>0</v>
      </c>
      <c r="S5139" s="0" t="b">
        <v>1</v>
      </c>
      <c r="T5139" s="68">
        <v>46076.5223726852</v>
      </c>
      <c r="U5139" s="68">
        <v>0</v>
      </c>
      <c r="V5139" s="68">
        <v>0</v>
      </c>
      <c r="W5139" s="0">
        <f>IF(IF(B5139="none",1,IF(B5139="Trialer",1,0))+IF(C5139="Customer",1,IF(C5139="Lost",1,0))=2,1,0)</f>
      </c>
      <c r="X5139" s="0" t="s">
        <v>148</v>
      </c>
      <c r="Y5139" s="0" t="s">
        <v>243</v>
      </c>
      <c r="AV5139" s="68"/>
      <c r="AW5139" s="68"/>
      <c r="AY5139" s="27"/>
      <c r="BD5139" s="68">
        <v>46054.1666666667</v>
      </c>
      <c r="BE5139" s="68">
        <v>46082.1666666667</v>
      </c>
      <c r="BF5139" s="0" t="b">
        <v>0</v>
      </c>
      <c r="BG5139" s="0" t="b">
        <v>0</v>
      </c>
      <c r="BH5139" s="0">
        <v>71</v>
      </c>
      <c r="BI5139" s="0">
        <v>71</v>
      </c>
      <c r="BJ5139" s="0" t="s">
        <v>135</v>
      </c>
    </row>
    <row r="5140">
      <c r="A5140" s="0" t="s">
        <v>5408</v>
      </c>
      <c r="B5140" s="0" t="s">
        <v>5</v>
      </c>
      <c r="C5140" s="0" t="s">
        <v>652</v>
      </c>
      <c r="D5140" s="0" t="s">
        <v>135</v>
      </c>
      <c r="E5140" s="0" t="s">
        <v>3</v>
      </c>
      <c r="F5140" s="0" t="s">
        <v>12</v>
      </c>
      <c r="G5140" s="0" t="s">
        <v>8</v>
      </c>
      <c r="H5140" s="0">
        <v>-22</v>
      </c>
      <c r="I5140" s="0">
        <v>0</v>
      </c>
      <c r="J5140" s="0">
        <v>0</v>
      </c>
      <c r="K5140" s="0">
        <v>0</v>
      </c>
      <c r="L5140" s="0">
        <v>0</v>
      </c>
      <c r="M5140" s="0">
        <v>0</v>
      </c>
      <c r="N5140" s="0">
        <v>0</v>
      </c>
      <c r="O5140" s="0">
        <v>0</v>
      </c>
      <c r="P5140" s="0">
        <v>0</v>
      </c>
      <c r="R5140" s="0" t="b">
        <v>0</v>
      </c>
      <c r="S5140" s="0" t="b">
        <v>1</v>
      </c>
      <c r="T5140" s="68">
        <v>46076.5353356482</v>
      </c>
      <c r="U5140" s="68">
        <v>46090.3333333333</v>
      </c>
      <c r="V5140" s="68">
        <v>0</v>
      </c>
      <c r="W5140" s="0">
        <f>IF(IF(B5140="none",1,IF(B5140="Trialer",1,0))+IF(C5140="Customer",1,IF(C5140="Lost",1,0))=2,1,0)</f>
      </c>
      <c r="X5140" s="0" t="s">
        <v>148</v>
      </c>
      <c r="Y5140" s="0" t="s">
        <v>243</v>
      </c>
      <c r="AV5140" s="68"/>
      <c r="AW5140" s="68"/>
      <c r="AY5140" s="27"/>
      <c r="BD5140" s="68">
        <v>46054.1666666667</v>
      </c>
      <c r="BE5140" s="68">
        <v>46082.1666666667</v>
      </c>
      <c r="BF5140" s="0" t="b">
        <v>0</v>
      </c>
      <c r="BG5140" s="0" t="b">
        <v>0</v>
      </c>
      <c r="BH5140" s="0">
        <v>132.75</v>
      </c>
      <c r="BI5140" s="0">
        <v>132.75</v>
      </c>
      <c r="BJ5140" s="0" t="s">
        <v>135</v>
      </c>
    </row>
    <row r="5141">
      <c r="A5141" s="0" t="s">
        <v>5409</v>
      </c>
      <c r="B5141" s="0" t="s">
        <v>5</v>
      </c>
      <c r="C5141" s="0" t="s">
        <v>652</v>
      </c>
      <c r="D5141" s="0" t="s">
        <v>135</v>
      </c>
      <c r="E5141" s="0" t="s">
        <v>4</v>
      </c>
      <c r="F5141" s="0" t="s">
        <v>12</v>
      </c>
      <c r="G5141" s="0" t="s">
        <v>8</v>
      </c>
      <c r="H5141" s="0">
        <v>-22</v>
      </c>
      <c r="I5141" s="0">
        <v>0</v>
      </c>
      <c r="J5141" s="0">
        <v>0</v>
      </c>
      <c r="K5141" s="0">
        <v>0</v>
      </c>
      <c r="L5141" s="0">
        <v>0</v>
      </c>
      <c r="M5141" s="0">
        <v>0</v>
      </c>
      <c r="N5141" s="0">
        <v>0</v>
      </c>
      <c r="O5141" s="0">
        <v>0</v>
      </c>
      <c r="P5141" s="0">
        <v>0</v>
      </c>
      <c r="R5141" s="0" t="b">
        <v>0</v>
      </c>
      <c r="S5141" s="0" t="b">
        <v>1</v>
      </c>
      <c r="T5141" s="68">
        <v>46076.5426273148</v>
      </c>
      <c r="U5141" s="68">
        <v>0</v>
      </c>
      <c r="V5141" s="68">
        <v>0</v>
      </c>
      <c r="W5141" s="0">
        <f>IF(IF(B5141="none",1,IF(B5141="Trialer",1,0))+IF(C5141="Customer",1,IF(C5141="Lost",1,0))=2,1,0)</f>
      </c>
      <c r="X5141" s="0" t="s">
        <v>136</v>
      </c>
      <c r="Y5141" s="0" t="s">
        <v>1772</v>
      </c>
      <c r="AV5141" s="68"/>
      <c r="AW5141" s="68"/>
      <c r="AY5141" s="27"/>
      <c r="BD5141" s="68">
        <v>46054.1666666667</v>
      </c>
      <c r="BE5141" s="68">
        <v>46082.1666666667</v>
      </c>
      <c r="BF5141" s="0" t="b">
        <v>0</v>
      </c>
      <c r="BG5141" s="0" t="b">
        <v>0</v>
      </c>
      <c r="BH5141" s="0">
        <v>83</v>
      </c>
      <c r="BI5141" s="0">
        <v>83</v>
      </c>
      <c r="BJ5141" s="0" t="s">
        <v>135</v>
      </c>
    </row>
    <row r="5142">
      <c r="A5142" s="0" t="s">
        <v>5410</v>
      </c>
      <c r="B5142" s="0" t="s">
        <v>5</v>
      </c>
      <c r="C5142" s="0" t="s">
        <v>652</v>
      </c>
      <c r="D5142" s="0" t="s">
        <v>135</v>
      </c>
      <c r="E5142" s="0" t="s">
        <v>2</v>
      </c>
      <c r="F5142" s="0" t="s">
        <v>12</v>
      </c>
      <c r="G5142" s="0" t="s">
        <v>8</v>
      </c>
      <c r="H5142" s="0">
        <v>-22</v>
      </c>
      <c r="I5142" s="0">
        <v>0</v>
      </c>
      <c r="J5142" s="0">
        <v>0</v>
      </c>
      <c r="K5142" s="0">
        <v>0</v>
      </c>
      <c r="L5142" s="0">
        <v>0</v>
      </c>
      <c r="M5142" s="0">
        <v>0</v>
      </c>
      <c r="N5142" s="0">
        <v>0</v>
      </c>
      <c r="O5142" s="0">
        <v>0</v>
      </c>
      <c r="P5142" s="0">
        <v>0</v>
      </c>
      <c r="R5142" s="0" t="b">
        <v>0</v>
      </c>
      <c r="S5142" s="0" t="b">
        <v>0</v>
      </c>
      <c r="T5142" s="68">
        <v>46076.5823842593</v>
      </c>
      <c r="U5142" s="68">
        <v>0</v>
      </c>
      <c r="V5142" s="68">
        <v>46079.432662037</v>
      </c>
      <c r="W5142" s="0">
        <f>IF(IF(B5142="none",1,IF(B5142="Trialer",1,0))+IF(C5142="Customer",1,IF(C5142="Lost",1,0))=2,1,0)</f>
      </c>
      <c r="X5142" s="0" t="s">
        <v>136</v>
      </c>
      <c r="Y5142" s="0" t="s">
        <v>499</v>
      </c>
      <c r="AV5142" s="68"/>
      <c r="AW5142" s="68"/>
      <c r="AY5142" s="27"/>
      <c r="BD5142" s="68">
        <v>46054.1666666667</v>
      </c>
      <c r="BE5142" s="68">
        <v>46082.1666666667</v>
      </c>
      <c r="BF5142" s="0" t="b">
        <v>0</v>
      </c>
      <c r="BG5142" s="0" t="b">
        <v>0</v>
      </c>
      <c r="BH5142" s="0">
        <v>59</v>
      </c>
      <c r="BI5142" s="0">
        <v>59</v>
      </c>
      <c r="BJ5142" s="0" t="s">
        <v>135</v>
      </c>
    </row>
    <row r="5143">
      <c r="A5143" s="0" t="s">
        <v>5411</v>
      </c>
      <c r="B5143" s="0" t="s">
        <v>5</v>
      </c>
      <c r="C5143" s="0" t="s">
        <v>652</v>
      </c>
      <c r="D5143" s="0" t="s">
        <v>135</v>
      </c>
      <c r="E5143" s="0" t="s">
        <v>3</v>
      </c>
      <c r="F5143" s="0" t="s">
        <v>12</v>
      </c>
      <c r="G5143" s="0" t="s">
        <v>8</v>
      </c>
      <c r="H5143" s="0">
        <v>-22</v>
      </c>
      <c r="I5143" s="0">
        <v>0</v>
      </c>
      <c r="J5143" s="0">
        <v>0</v>
      </c>
      <c r="K5143" s="0">
        <v>0</v>
      </c>
      <c r="L5143" s="0">
        <v>0</v>
      </c>
      <c r="M5143" s="0">
        <v>0</v>
      </c>
      <c r="N5143" s="0">
        <v>0</v>
      </c>
      <c r="O5143" s="0">
        <v>0</v>
      </c>
      <c r="P5143" s="0">
        <v>0</v>
      </c>
      <c r="R5143" s="0" t="b">
        <v>0</v>
      </c>
      <c r="S5143" s="0" t="b">
        <v>0</v>
      </c>
      <c r="T5143" s="68">
        <v>46076.589224537</v>
      </c>
      <c r="U5143" s="68">
        <v>0</v>
      </c>
      <c r="V5143" s="68">
        <v>46091.4984722222</v>
      </c>
      <c r="W5143" s="0">
        <f>IF(IF(B5143="none",1,IF(B5143="Trialer",1,0))+IF(C5143="Customer",1,IF(C5143="Lost",1,0))=2,1,0)</f>
      </c>
      <c r="X5143" s="0" t="s">
        <v>145</v>
      </c>
      <c r="Y5143" s="0" t="s">
        <v>243</v>
      </c>
      <c r="AV5143" s="68"/>
      <c r="AW5143" s="68"/>
      <c r="AY5143" s="27"/>
      <c r="BD5143" s="68">
        <v>46054.1666666667</v>
      </c>
      <c r="BE5143" s="68">
        <v>46082.1666666667</v>
      </c>
      <c r="BF5143" s="0" t="b">
        <v>0</v>
      </c>
      <c r="BG5143" s="0" t="b">
        <v>0</v>
      </c>
      <c r="BH5143" s="0">
        <v>254</v>
      </c>
      <c r="BI5143" s="0">
        <v>254</v>
      </c>
      <c r="BJ5143" s="0" t="s">
        <v>135</v>
      </c>
    </row>
    <row r="5144">
      <c r="A5144" s="0" t="s">
        <v>5412</v>
      </c>
      <c r="B5144" s="0" t="s">
        <v>5</v>
      </c>
      <c r="C5144" s="0" t="s">
        <v>652</v>
      </c>
      <c r="D5144" s="0" t="s">
        <v>135</v>
      </c>
      <c r="E5144" s="0" t="s">
        <v>3</v>
      </c>
      <c r="F5144" s="0" t="s">
        <v>12</v>
      </c>
      <c r="G5144" s="0" t="s">
        <v>8</v>
      </c>
      <c r="H5144" s="0">
        <v>-22</v>
      </c>
      <c r="I5144" s="0">
        <v>0</v>
      </c>
      <c r="J5144" s="0">
        <v>0</v>
      </c>
      <c r="K5144" s="0">
        <v>0</v>
      </c>
      <c r="L5144" s="0">
        <v>0</v>
      </c>
      <c r="M5144" s="0">
        <v>0</v>
      </c>
      <c r="N5144" s="0">
        <v>0</v>
      </c>
      <c r="O5144" s="0">
        <v>0</v>
      </c>
      <c r="P5144" s="0">
        <v>0</v>
      </c>
      <c r="R5144" s="0" t="b">
        <v>0</v>
      </c>
      <c r="S5144" s="0" t="b">
        <v>1</v>
      </c>
      <c r="T5144" s="68">
        <v>46076.5909259259</v>
      </c>
      <c r="U5144" s="68">
        <v>0</v>
      </c>
      <c r="V5144" s="68">
        <v>0</v>
      </c>
      <c r="W5144" s="0">
        <f>IF(IF(B5144="none",1,IF(B5144="Trialer",1,0))+IF(C5144="Customer",1,IF(C5144="Lost",1,0))=2,1,0)</f>
      </c>
      <c r="X5144" s="0" t="s">
        <v>136</v>
      </c>
      <c r="Y5144" s="0" t="s">
        <v>243</v>
      </c>
      <c r="AV5144" s="68"/>
      <c r="AW5144" s="68"/>
      <c r="AY5144" s="27"/>
      <c r="BD5144" s="68">
        <v>46054.1666666667</v>
      </c>
      <c r="BE5144" s="68">
        <v>46082.1666666667</v>
      </c>
      <c r="BF5144" s="0" t="b">
        <v>0</v>
      </c>
      <c r="BG5144" s="0" t="b">
        <v>0</v>
      </c>
      <c r="BH5144" s="0">
        <v>85</v>
      </c>
      <c r="BI5144" s="0">
        <v>85</v>
      </c>
      <c r="BJ5144" s="0" t="s">
        <v>135</v>
      </c>
    </row>
    <row r="5145">
      <c r="A5145" s="0" t="s">
        <v>5413</v>
      </c>
      <c r="B5145" s="0" t="s">
        <v>5</v>
      </c>
      <c r="C5145" s="0" t="s">
        <v>652</v>
      </c>
      <c r="D5145" s="0" t="s">
        <v>135</v>
      </c>
      <c r="E5145" s="0" t="s">
        <v>3</v>
      </c>
      <c r="F5145" s="0" t="s">
        <v>12</v>
      </c>
      <c r="G5145" s="0" t="s">
        <v>8</v>
      </c>
      <c r="H5145" s="0">
        <v>-22</v>
      </c>
      <c r="I5145" s="0">
        <v>0</v>
      </c>
      <c r="J5145" s="0">
        <v>0</v>
      </c>
      <c r="K5145" s="0">
        <v>0</v>
      </c>
      <c r="L5145" s="0">
        <v>0</v>
      </c>
      <c r="M5145" s="0">
        <v>0</v>
      </c>
      <c r="N5145" s="0">
        <v>0</v>
      </c>
      <c r="O5145" s="0">
        <v>0</v>
      </c>
      <c r="P5145" s="0">
        <v>0</v>
      </c>
      <c r="R5145" s="0" t="b">
        <v>0</v>
      </c>
      <c r="S5145" s="0" t="b">
        <v>0</v>
      </c>
      <c r="T5145" s="68">
        <v>46076.6810300926</v>
      </c>
      <c r="U5145" s="68">
        <v>0</v>
      </c>
      <c r="V5145" s="68">
        <v>46076.6906712963</v>
      </c>
      <c r="W5145" s="0">
        <f>IF(IF(B5145="none",1,IF(B5145="Trialer",1,0))+IF(C5145="Customer",1,IF(C5145="Lost",1,0))=2,1,0)</f>
      </c>
      <c r="X5145" s="0" t="s">
        <v>148</v>
      </c>
      <c r="Y5145" s="0" t="s">
        <v>243</v>
      </c>
      <c r="AV5145" s="68"/>
      <c r="AW5145" s="68"/>
      <c r="AY5145" s="27"/>
      <c r="BD5145" s="68">
        <v>46054.1666666667</v>
      </c>
      <c r="BE5145" s="68">
        <v>46082.1666666667</v>
      </c>
      <c r="BF5145" s="0" t="b">
        <v>0</v>
      </c>
      <c r="BG5145" s="0" t="b">
        <v>0</v>
      </c>
      <c r="BH5145" s="0">
        <v>0</v>
      </c>
      <c r="BI5145" s="0">
        <v>0</v>
      </c>
      <c r="BJ5145" s="0" t="s">
        <v>135</v>
      </c>
    </row>
    <row r="5146">
      <c r="A5146" s="0" t="s">
        <v>5414</v>
      </c>
      <c r="B5146" s="0" t="s">
        <v>5</v>
      </c>
      <c r="C5146" s="0" t="s">
        <v>652</v>
      </c>
      <c r="D5146" s="0" t="s">
        <v>135</v>
      </c>
      <c r="E5146" s="0" t="s">
        <v>2</v>
      </c>
      <c r="F5146" s="0" t="s">
        <v>12</v>
      </c>
      <c r="G5146" s="0" t="s">
        <v>8</v>
      </c>
      <c r="H5146" s="0">
        <v>-22</v>
      </c>
      <c r="I5146" s="0">
        <v>0</v>
      </c>
      <c r="J5146" s="0">
        <v>0</v>
      </c>
      <c r="K5146" s="0">
        <v>0</v>
      </c>
      <c r="L5146" s="0">
        <v>0</v>
      </c>
      <c r="M5146" s="0">
        <v>0</v>
      </c>
      <c r="N5146" s="0">
        <v>0</v>
      </c>
      <c r="O5146" s="0">
        <v>0</v>
      </c>
      <c r="P5146" s="0">
        <v>0</v>
      </c>
      <c r="R5146" s="0" t="b">
        <v>0</v>
      </c>
      <c r="S5146" s="0" t="b">
        <v>1</v>
      </c>
      <c r="T5146" s="68">
        <v>46076.6822337963</v>
      </c>
      <c r="U5146" s="68">
        <v>0</v>
      </c>
      <c r="V5146" s="68">
        <v>0</v>
      </c>
      <c r="W5146" s="0">
        <f>IF(IF(B5146="none",1,IF(B5146="Trialer",1,0))+IF(C5146="Customer",1,IF(C5146="Lost",1,0))=2,1,0)</f>
      </c>
      <c r="X5146" s="0" t="s">
        <v>882</v>
      </c>
      <c r="Y5146" s="0" t="s">
        <v>499</v>
      </c>
      <c r="AV5146" s="68"/>
      <c r="AW5146" s="68"/>
      <c r="AY5146" s="27"/>
      <c r="BD5146" s="68">
        <v>46054.1666666667</v>
      </c>
      <c r="BE5146" s="68">
        <v>46082.1666666667</v>
      </c>
      <c r="BF5146" s="0" t="b">
        <v>0</v>
      </c>
      <c r="BG5146" s="0" t="b">
        <v>0</v>
      </c>
      <c r="BH5146" s="0">
        <v>71</v>
      </c>
      <c r="BI5146" s="0">
        <v>71</v>
      </c>
      <c r="BJ5146" s="0" t="s">
        <v>135</v>
      </c>
    </row>
    <row r="5147">
      <c r="A5147" s="0" t="s">
        <v>5415</v>
      </c>
      <c r="B5147" s="0" t="s">
        <v>5</v>
      </c>
      <c r="C5147" s="0" t="s">
        <v>652</v>
      </c>
      <c r="D5147" s="0" t="s">
        <v>135</v>
      </c>
      <c r="E5147" s="0" t="s">
        <v>3</v>
      </c>
      <c r="F5147" s="0" t="s">
        <v>12</v>
      </c>
      <c r="G5147" s="0" t="s">
        <v>8</v>
      </c>
      <c r="H5147" s="0">
        <v>-22</v>
      </c>
      <c r="I5147" s="0">
        <v>0</v>
      </c>
      <c r="J5147" s="0">
        <v>0</v>
      </c>
      <c r="K5147" s="0">
        <v>0</v>
      </c>
      <c r="L5147" s="0">
        <v>0</v>
      </c>
      <c r="M5147" s="0">
        <v>0</v>
      </c>
      <c r="N5147" s="0">
        <v>0</v>
      </c>
      <c r="O5147" s="0">
        <v>0</v>
      </c>
      <c r="P5147" s="0">
        <v>0</v>
      </c>
      <c r="R5147" s="0" t="b">
        <v>0</v>
      </c>
      <c r="S5147" s="0" t="b">
        <v>0</v>
      </c>
      <c r="T5147" s="68">
        <v>46076.6945486111</v>
      </c>
      <c r="U5147" s="68">
        <v>0</v>
      </c>
      <c r="V5147" s="68">
        <v>46090.6677777778</v>
      </c>
      <c r="W5147" s="0">
        <f>IF(IF(B5147="none",1,IF(B5147="Trialer",1,0))+IF(C5147="Customer",1,IF(C5147="Lost",1,0))=2,1,0)</f>
      </c>
      <c r="X5147" s="0" t="s">
        <v>148</v>
      </c>
      <c r="Y5147" s="0" t="s">
        <v>243</v>
      </c>
      <c r="AV5147" s="68"/>
      <c r="AW5147" s="68"/>
      <c r="AY5147" s="27"/>
      <c r="BD5147" s="68">
        <v>46054.1666666667</v>
      </c>
      <c r="BE5147" s="68">
        <v>46082.1666666667</v>
      </c>
      <c r="BF5147" s="0" t="b">
        <v>0</v>
      </c>
      <c r="BG5147" s="0" t="b">
        <v>0</v>
      </c>
      <c r="BH5147" s="0">
        <v>73</v>
      </c>
      <c r="BI5147" s="0">
        <v>73</v>
      </c>
      <c r="BJ5147" s="0" t="s">
        <v>135</v>
      </c>
    </row>
    <row r="5148">
      <c r="A5148" s="0" t="s">
        <v>5416</v>
      </c>
      <c r="B5148" s="0" t="s">
        <v>5</v>
      </c>
      <c r="C5148" s="0" t="s">
        <v>652</v>
      </c>
      <c r="D5148" s="0" t="s">
        <v>135</v>
      </c>
      <c r="E5148" s="0" t="s">
        <v>3</v>
      </c>
      <c r="F5148" s="0" t="s">
        <v>12</v>
      </c>
      <c r="G5148" s="0" t="s">
        <v>8</v>
      </c>
      <c r="H5148" s="0">
        <v>-22</v>
      </c>
      <c r="I5148" s="0">
        <v>0</v>
      </c>
      <c r="J5148" s="0">
        <v>0</v>
      </c>
      <c r="K5148" s="0">
        <v>0</v>
      </c>
      <c r="L5148" s="0">
        <v>0</v>
      </c>
      <c r="M5148" s="0">
        <v>0</v>
      </c>
      <c r="N5148" s="0">
        <v>0</v>
      </c>
      <c r="O5148" s="0">
        <v>0</v>
      </c>
      <c r="P5148" s="0">
        <v>0</v>
      </c>
      <c r="R5148" s="0" t="b">
        <v>0</v>
      </c>
      <c r="S5148" s="0" t="b">
        <v>0</v>
      </c>
      <c r="T5148" s="68">
        <v>46076.70625</v>
      </c>
      <c r="U5148" s="68">
        <v>0</v>
      </c>
      <c r="V5148" s="68">
        <v>46094.5716319444</v>
      </c>
      <c r="W5148" s="0">
        <f>IF(IF(B5148="none",1,IF(B5148="Trialer",1,0))+IF(C5148="Customer",1,IF(C5148="Lost",1,0))=2,1,0)</f>
      </c>
      <c r="X5148" s="0" t="s">
        <v>145</v>
      </c>
      <c r="Y5148" s="0" t="s">
        <v>243</v>
      </c>
      <c r="AV5148" s="68"/>
      <c r="AW5148" s="68"/>
      <c r="AY5148" s="27"/>
      <c r="BD5148" s="68">
        <v>46054.1666666667</v>
      </c>
      <c r="BE5148" s="68">
        <v>46082.1666666667</v>
      </c>
      <c r="BF5148" s="0" t="b">
        <v>0</v>
      </c>
      <c r="BG5148" s="0" t="b">
        <v>0</v>
      </c>
      <c r="BH5148" s="0">
        <v>118</v>
      </c>
      <c r="BI5148" s="0">
        <v>118</v>
      </c>
      <c r="BJ5148" s="0" t="s">
        <v>135</v>
      </c>
    </row>
    <row r="5149">
      <c r="A5149" s="0" t="s">
        <v>5417</v>
      </c>
      <c r="B5149" s="0" t="s">
        <v>5</v>
      </c>
      <c r="C5149" s="0" t="s">
        <v>652</v>
      </c>
      <c r="D5149" s="0" t="s">
        <v>135</v>
      </c>
      <c r="E5149" s="0" t="s">
        <v>3</v>
      </c>
      <c r="F5149" s="0" t="s">
        <v>12</v>
      </c>
      <c r="G5149" s="0" t="s">
        <v>8</v>
      </c>
      <c r="H5149" s="0">
        <v>-22</v>
      </c>
      <c r="I5149" s="0">
        <v>0</v>
      </c>
      <c r="J5149" s="0">
        <v>0</v>
      </c>
      <c r="K5149" s="0">
        <v>0</v>
      </c>
      <c r="L5149" s="0">
        <v>0</v>
      </c>
      <c r="M5149" s="0">
        <v>0</v>
      </c>
      <c r="N5149" s="0">
        <v>0</v>
      </c>
      <c r="O5149" s="0">
        <v>0</v>
      </c>
      <c r="P5149" s="0">
        <v>0</v>
      </c>
      <c r="R5149" s="0" t="b">
        <v>0</v>
      </c>
      <c r="S5149" s="0" t="b">
        <v>1</v>
      </c>
      <c r="T5149" s="68">
        <v>46076.7196296296</v>
      </c>
      <c r="U5149" s="68">
        <v>0</v>
      </c>
      <c r="V5149" s="68">
        <v>0</v>
      </c>
      <c r="W5149" s="0">
        <f>IF(IF(B5149="none",1,IF(B5149="Trialer",1,0))+IF(C5149="Customer",1,IF(C5149="Lost",1,0))=2,1,0)</f>
      </c>
      <c r="X5149" s="0" t="s">
        <v>136</v>
      </c>
      <c r="Y5149" s="0" t="s">
        <v>243</v>
      </c>
      <c r="AV5149" s="68"/>
      <c r="AW5149" s="68"/>
      <c r="AY5149" s="27"/>
      <c r="BD5149" s="68">
        <v>46054.1666666667</v>
      </c>
      <c r="BE5149" s="68">
        <v>46082.1666666667</v>
      </c>
      <c r="BF5149" s="0" t="b">
        <v>0</v>
      </c>
      <c r="BG5149" s="0" t="b">
        <v>0</v>
      </c>
      <c r="BH5149" s="0">
        <v>59</v>
      </c>
      <c r="BI5149" s="0">
        <v>59</v>
      </c>
      <c r="BJ5149" s="0" t="s">
        <v>135</v>
      </c>
    </row>
    <row r="5150">
      <c r="A5150" s="0" t="s">
        <v>5418</v>
      </c>
      <c r="B5150" s="0" t="s">
        <v>5</v>
      </c>
      <c r="C5150" s="0" t="s">
        <v>652</v>
      </c>
      <c r="D5150" s="0" t="s">
        <v>135</v>
      </c>
      <c r="E5150" s="0" t="s">
        <v>2</v>
      </c>
      <c r="F5150" s="0" t="s">
        <v>12</v>
      </c>
      <c r="G5150" s="0" t="s">
        <v>8</v>
      </c>
      <c r="H5150" s="0">
        <v>-22</v>
      </c>
      <c r="I5150" s="0">
        <v>0</v>
      </c>
      <c r="J5150" s="0">
        <v>0</v>
      </c>
      <c r="K5150" s="0">
        <v>0</v>
      </c>
      <c r="L5150" s="0">
        <v>0</v>
      </c>
      <c r="M5150" s="0">
        <v>0</v>
      </c>
      <c r="N5150" s="0">
        <v>0</v>
      </c>
      <c r="O5150" s="0">
        <v>0</v>
      </c>
      <c r="P5150" s="0">
        <v>0</v>
      </c>
      <c r="R5150" s="0" t="b">
        <v>0</v>
      </c>
      <c r="S5150" s="0" t="b">
        <v>1</v>
      </c>
      <c r="T5150" s="68">
        <v>46076.7782175926</v>
      </c>
      <c r="U5150" s="68">
        <v>0</v>
      </c>
      <c r="V5150" s="68">
        <v>0</v>
      </c>
      <c r="W5150" s="0">
        <f>IF(IF(B5150="none",1,IF(B5150="Trialer",1,0))+IF(C5150="Customer",1,IF(C5150="Lost",1,0))=2,1,0)</f>
      </c>
      <c r="X5150" s="0" t="s">
        <v>148</v>
      </c>
      <c r="Y5150" s="0" t="s">
        <v>499</v>
      </c>
      <c r="AV5150" s="68"/>
      <c r="AW5150" s="68"/>
      <c r="AY5150" s="27"/>
      <c r="BD5150" s="68">
        <v>46054.1666666667</v>
      </c>
      <c r="BE5150" s="68">
        <v>46082.1666666667</v>
      </c>
      <c r="BF5150" s="0" t="b">
        <v>0</v>
      </c>
      <c r="BG5150" s="0" t="b">
        <v>0</v>
      </c>
      <c r="BH5150" s="0">
        <v>340</v>
      </c>
      <c r="BI5150" s="0">
        <v>340</v>
      </c>
      <c r="BJ5150" s="0" t="s">
        <v>135</v>
      </c>
    </row>
    <row r="5151">
      <c r="A5151" s="0" t="s">
        <v>5419</v>
      </c>
      <c r="B5151" s="0" t="s">
        <v>5</v>
      </c>
      <c r="C5151" s="0" t="s">
        <v>652</v>
      </c>
      <c r="D5151" s="0" t="s">
        <v>135</v>
      </c>
      <c r="E5151" s="0" t="s">
        <v>3</v>
      </c>
      <c r="F5151" s="0" t="s">
        <v>12</v>
      </c>
      <c r="G5151" s="0" t="s">
        <v>8</v>
      </c>
      <c r="H5151" s="0">
        <v>-22</v>
      </c>
      <c r="I5151" s="0">
        <v>0</v>
      </c>
      <c r="J5151" s="0">
        <v>0</v>
      </c>
      <c r="K5151" s="0">
        <v>0</v>
      </c>
      <c r="L5151" s="0">
        <v>0</v>
      </c>
      <c r="M5151" s="0">
        <v>0</v>
      </c>
      <c r="N5151" s="0">
        <v>0</v>
      </c>
      <c r="O5151" s="0">
        <v>0</v>
      </c>
      <c r="P5151" s="0">
        <v>0</v>
      </c>
      <c r="R5151" s="0" t="b">
        <v>0</v>
      </c>
      <c r="S5151" s="0" t="b">
        <v>0</v>
      </c>
      <c r="T5151" s="68">
        <v>46076.8384606481</v>
      </c>
      <c r="U5151" s="68">
        <v>0</v>
      </c>
      <c r="V5151" s="68">
        <v>46091.2703819444</v>
      </c>
      <c r="W5151" s="0">
        <f>IF(IF(B5151="none",1,IF(B5151="Trialer",1,0))+IF(C5151="Customer",1,IF(C5151="Lost",1,0))=2,1,0)</f>
      </c>
      <c r="X5151" s="0" t="s">
        <v>145</v>
      </c>
      <c r="Y5151" s="0" t="s">
        <v>243</v>
      </c>
      <c r="AV5151" s="68"/>
      <c r="AW5151" s="68"/>
      <c r="AY5151" s="27"/>
      <c r="BD5151" s="68">
        <v>46054.1666666667</v>
      </c>
      <c r="BE5151" s="68">
        <v>46082.1666666667</v>
      </c>
      <c r="BF5151" s="0" t="b">
        <v>0</v>
      </c>
      <c r="BG5151" s="0" t="b">
        <v>0</v>
      </c>
      <c r="BH5151" s="0">
        <v>71</v>
      </c>
      <c r="BI5151" s="0">
        <v>71</v>
      </c>
      <c r="BJ5151" s="0" t="s">
        <v>135</v>
      </c>
    </row>
    <row r="5152">
      <c r="A5152" s="0" t="s">
        <v>5420</v>
      </c>
      <c r="B5152" s="0" t="s">
        <v>5</v>
      </c>
      <c r="C5152" s="0" t="s">
        <v>652</v>
      </c>
      <c r="D5152" s="0" t="s">
        <v>135</v>
      </c>
      <c r="E5152" s="0" t="s">
        <v>2414</v>
      </c>
      <c r="F5152" s="0" t="s">
        <v>12</v>
      </c>
      <c r="G5152" s="0" t="s">
        <v>8</v>
      </c>
      <c r="H5152" s="0">
        <v>-22</v>
      </c>
      <c r="I5152" s="0">
        <v>0</v>
      </c>
      <c r="J5152" s="0">
        <v>0</v>
      </c>
      <c r="K5152" s="0">
        <v>0</v>
      </c>
      <c r="L5152" s="0">
        <v>0</v>
      </c>
      <c r="M5152" s="0">
        <v>0</v>
      </c>
      <c r="N5152" s="0">
        <v>0</v>
      </c>
      <c r="O5152" s="0">
        <v>0</v>
      </c>
      <c r="P5152" s="0">
        <v>0</v>
      </c>
      <c r="R5152" s="0" t="b">
        <v>0</v>
      </c>
      <c r="S5152" s="0" t="b">
        <v>1</v>
      </c>
      <c r="T5152" s="68">
        <v>46076.8552430556</v>
      </c>
      <c r="U5152" s="68">
        <v>0</v>
      </c>
      <c r="V5152" s="68">
        <v>0</v>
      </c>
      <c r="W5152" s="0">
        <f>IF(IF(B5152="none",1,IF(B5152="Trialer",1,0))+IF(C5152="Customer",1,IF(C5152="Lost",1,0))=2,1,0)</f>
      </c>
      <c r="X5152" s="0" t="s">
        <v>136</v>
      </c>
      <c r="Y5152" s="0" t="s">
        <v>1516</v>
      </c>
      <c r="AV5152" s="68"/>
      <c r="AW5152" s="68"/>
      <c r="AY5152" s="27"/>
      <c r="BD5152" s="68">
        <v>46054.1666666667</v>
      </c>
      <c r="BE5152" s="68">
        <v>46082.1666666667</v>
      </c>
      <c r="BF5152" s="0" t="b">
        <v>0</v>
      </c>
      <c r="BG5152" s="0" t="b">
        <v>0</v>
      </c>
      <c r="BH5152" s="0">
        <v>59</v>
      </c>
      <c r="BI5152" s="0">
        <v>59</v>
      </c>
      <c r="BJ5152" s="0" t="s">
        <v>135</v>
      </c>
    </row>
    <row r="5153">
      <c r="A5153" s="0" t="s">
        <v>5421</v>
      </c>
      <c r="B5153" s="0" t="s">
        <v>5</v>
      </c>
      <c r="C5153" s="0" t="s">
        <v>652</v>
      </c>
      <c r="D5153" s="0" t="s">
        <v>135</v>
      </c>
      <c r="E5153" s="0" t="s">
        <v>3</v>
      </c>
      <c r="F5153" s="0" t="s">
        <v>12</v>
      </c>
      <c r="G5153" s="0" t="s">
        <v>8</v>
      </c>
      <c r="H5153" s="0">
        <v>-22</v>
      </c>
      <c r="I5153" s="0">
        <v>0</v>
      </c>
      <c r="J5153" s="0">
        <v>0</v>
      </c>
      <c r="K5153" s="0">
        <v>0</v>
      </c>
      <c r="L5153" s="0">
        <v>0</v>
      </c>
      <c r="M5153" s="0">
        <v>0</v>
      </c>
      <c r="N5153" s="0">
        <v>0</v>
      </c>
      <c r="O5153" s="0">
        <v>0</v>
      </c>
      <c r="P5153" s="0">
        <v>0</v>
      </c>
      <c r="R5153" s="0" t="b">
        <v>0</v>
      </c>
      <c r="S5153" s="0" t="b">
        <v>1</v>
      </c>
      <c r="T5153" s="68">
        <v>46076.896400463</v>
      </c>
      <c r="U5153" s="68">
        <v>46098.3333333333</v>
      </c>
      <c r="V5153" s="68">
        <v>0</v>
      </c>
      <c r="W5153" s="0">
        <f>IF(IF(B5153="none",1,IF(B5153="Trialer",1,0))+IF(C5153="Customer",1,IF(C5153="Lost",1,0))=2,1,0)</f>
      </c>
      <c r="X5153" s="0" t="s">
        <v>145</v>
      </c>
      <c r="Y5153" s="0" t="s">
        <v>243</v>
      </c>
      <c r="AV5153" s="68"/>
      <c r="AW5153" s="68"/>
      <c r="AY5153" s="27"/>
      <c r="BD5153" s="68">
        <v>46054.1666666667</v>
      </c>
      <c r="BE5153" s="68">
        <v>46082.1666666667</v>
      </c>
      <c r="BF5153" s="0" t="b">
        <v>0</v>
      </c>
      <c r="BG5153" s="0" t="b">
        <v>0</v>
      </c>
      <c r="BH5153" s="0">
        <v>255</v>
      </c>
      <c r="BI5153" s="0">
        <v>255</v>
      </c>
      <c r="BJ5153" s="0" t="s">
        <v>230</v>
      </c>
    </row>
    <row r="5154">
      <c r="A5154" s="0" t="s">
        <v>5422</v>
      </c>
      <c r="B5154" s="0" t="s">
        <v>5</v>
      </c>
      <c r="C5154" s="0" t="s">
        <v>652</v>
      </c>
      <c r="D5154" s="0" t="s">
        <v>135</v>
      </c>
      <c r="E5154" s="0" t="s">
        <v>3</v>
      </c>
      <c r="F5154" s="0" t="s">
        <v>12</v>
      </c>
      <c r="G5154" s="0" t="s">
        <v>8</v>
      </c>
      <c r="H5154" s="0">
        <v>-22</v>
      </c>
      <c r="I5154" s="0">
        <v>0</v>
      </c>
      <c r="J5154" s="0">
        <v>0</v>
      </c>
      <c r="K5154" s="0">
        <v>0</v>
      </c>
      <c r="L5154" s="0">
        <v>0</v>
      </c>
      <c r="M5154" s="0">
        <v>0</v>
      </c>
      <c r="N5154" s="0">
        <v>0</v>
      </c>
      <c r="O5154" s="0">
        <v>0</v>
      </c>
      <c r="P5154" s="0">
        <v>0</v>
      </c>
      <c r="R5154" s="0" t="b">
        <v>0</v>
      </c>
      <c r="S5154" s="0" t="b">
        <v>1</v>
      </c>
      <c r="T5154" s="68">
        <v>46076.947974537</v>
      </c>
      <c r="U5154" s="68">
        <v>0</v>
      </c>
      <c r="V5154" s="68">
        <v>0</v>
      </c>
      <c r="W5154" s="0">
        <f>IF(IF(B5154="none",1,IF(B5154="Trialer",1,0))+IF(C5154="Customer",1,IF(C5154="Lost",1,0))=2,1,0)</f>
      </c>
      <c r="X5154" s="0" t="s">
        <v>148</v>
      </c>
      <c r="Y5154" s="0" t="s">
        <v>243</v>
      </c>
      <c r="AV5154" s="68"/>
      <c r="AW5154" s="68"/>
      <c r="AY5154" s="27"/>
      <c r="BD5154" s="68">
        <v>46054.1666666667</v>
      </c>
      <c r="BE5154" s="68">
        <v>46082.1666666667</v>
      </c>
      <c r="BF5154" s="0" t="b">
        <v>0</v>
      </c>
      <c r="BG5154" s="0" t="b">
        <v>0</v>
      </c>
      <c r="BH5154" s="0">
        <v>170</v>
      </c>
      <c r="BI5154" s="0">
        <v>170</v>
      </c>
      <c r="BJ5154" s="0" t="s">
        <v>135</v>
      </c>
    </row>
    <row r="5155">
      <c r="A5155" s="0" t="s">
        <v>5423</v>
      </c>
      <c r="B5155" s="0" t="s">
        <v>5</v>
      </c>
      <c r="C5155" s="0" t="s">
        <v>652</v>
      </c>
      <c r="D5155" s="0" t="s">
        <v>135</v>
      </c>
      <c r="E5155" s="0" t="s">
        <v>3</v>
      </c>
      <c r="F5155" s="0" t="s">
        <v>12</v>
      </c>
      <c r="G5155" s="0" t="s">
        <v>8</v>
      </c>
      <c r="H5155" s="0">
        <v>-23</v>
      </c>
      <c r="I5155" s="0">
        <v>0</v>
      </c>
      <c r="J5155" s="0">
        <v>0</v>
      </c>
      <c r="K5155" s="0">
        <v>0</v>
      </c>
      <c r="L5155" s="0">
        <v>0</v>
      </c>
      <c r="M5155" s="0">
        <v>0</v>
      </c>
      <c r="N5155" s="0">
        <v>0</v>
      </c>
      <c r="O5155" s="0">
        <v>0</v>
      </c>
      <c r="P5155" s="0">
        <v>0</v>
      </c>
      <c r="R5155" s="0" t="b">
        <v>0</v>
      </c>
      <c r="S5155" s="0" t="b">
        <v>0</v>
      </c>
      <c r="T5155" s="68">
        <v>46076.9900925926</v>
      </c>
      <c r="U5155" s="68">
        <v>0</v>
      </c>
      <c r="V5155" s="68">
        <v>46091.6605787037</v>
      </c>
      <c r="W5155" s="0">
        <f>IF(IF(B5155="none",1,IF(B5155="Trialer",1,0))+IF(C5155="Customer",1,IF(C5155="Lost",1,0))=2,1,0)</f>
      </c>
      <c r="X5155" s="0" t="s">
        <v>882</v>
      </c>
      <c r="Y5155" s="0" t="s">
        <v>243</v>
      </c>
      <c r="AV5155" s="68"/>
      <c r="AW5155" s="68"/>
      <c r="AY5155" s="27"/>
      <c r="BD5155" s="68">
        <v>46054.1666666667</v>
      </c>
      <c r="BE5155" s="68">
        <v>46082.1666666667</v>
      </c>
      <c r="BF5155" s="0" t="b">
        <v>0</v>
      </c>
      <c r="BG5155" s="0" t="b">
        <v>0</v>
      </c>
      <c r="BH5155" s="0">
        <v>85</v>
      </c>
      <c r="BI5155" s="0">
        <v>85</v>
      </c>
      <c r="BJ5155" s="0" t="s">
        <v>135</v>
      </c>
    </row>
    <row r="5156">
      <c r="A5156" s="0" t="s">
        <v>5424</v>
      </c>
      <c r="B5156" s="0" t="s">
        <v>5</v>
      </c>
      <c r="C5156" s="0" t="s">
        <v>652</v>
      </c>
      <c r="D5156" s="0" t="s">
        <v>135</v>
      </c>
      <c r="E5156" s="0" t="s">
        <v>3</v>
      </c>
      <c r="F5156" s="0" t="s">
        <v>12</v>
      </c>
      <c r="G5156" s="0" t="s">
        <v>8</v>
      </c>
      <c r="H5156" s="0">
        <v>-23</v>
      </c>
      <c r="I5156" s="0">
        <v>0</v>
      </c>
      <c r="J5156" s="0">
        <v>0</v>
      </c>
      <c r="K5156" s="0">
        <v>0</v>
      </c>
      <c r="L5156" s="0">
        <v>0</v>
      </c>
      <c r="M5156" s="0">
        <v>0</v>
      </c>
      <c r="N5156" s="0">
        <v>0</v>
      </c>
      <c r="O5156" s="0">
        <v>0</v>
      </c>
      <c r="P5156" s="0">
        <v>0</v>
      </c>
      <c r="R5156" s="0" t="b">
        <v>0</v>
      </c>
      <c r="S5156" s="0" t="b">
        <v>1</v>
      </c>
      <c r="T5156" s="68">
        <v>46077.0581597222</v>
      </c>
      <c r="U5156" s="68">
        <v>0</v>
      </c>
      <c r="V5156" s="68">
        <v>0</v>
      </c>
      <c r="W5156" s="0">
        <f>IF(IF(B5156="none",1,IF(B5156="Trialer",1,0))+IF(C5156="Customer",1,IF(C5156="Lost",1,0))=2,1,0)</f>
      </c>
      <c r="X5156" s="0" t="s">
        <v>145</v>
      </c>
      <c r="Y5156" s="0" t="s">
        <v>243</v>
      </c>
      <c r="AV5156" s="68"/>
      <c r="AW5156" s="68"/>
      <c r="AY5156" s="27"/>
      <c r="BD5156" s="68">
        <v>46054.1666666667</v>
      </c>
      <c r="BE5156" s="68">
        <v>46082.1666666667</v>
      </c>
      <c r="BF5156" s="0" t="b">
        <v>0</v>
      </c>
      <c r="BG5156" s="0" t="b">
        <v>0</v>
      </c>
      <c r="BH5156" s="0">
        <v>71</v>
      </c>
      <c r="BI5156" s="0">
        <v>71</v>
      </c>
      <c r="BJ5156" s="0" t="s">
        <v>135</v>
      </c>
    </row>
    <row r="5157">
      <c r="A5157" s="0" t="s">
        <v>5425</v>
      </c>
      <c r="B5157" s="0" t="s">
        <v>5</v>
      </c>
      <c r="C5157" s="0" t="s">
        <v>652</v>
      </c>
      <c r="D5157" s="0" t="s">
        <v>135</v>
      </c>
      <c r="E5157" s="0" t="s">
        <v>3</v>
      </c>
      <c r="F5157" s="0" t="s">
        <v>12</v>
      </c>
      <c r="G5157" s="0" t="s">
        <v>8</v>
      </c>
      <c r="H5157" s="0">
        <v>-23</v>
      </c>
      <c r="I5157" s="0">
        <v>0</v>
      </c>
      <c r="J5157" s="0">
        <v>0</v>
      </c>
      <c r="K5157" s="0">
        <v>0</v>
      </c>
      <c r="L5157" s="0">
        <v>0</v>
      </c>
      <c r="M5157" s="0">
        <v>0</v>
      </c>
      <c r="N5157" s="0">
        <v>0</v>
      </c>
      <c r="O5157" s="0">
        <v>0</v>
      </c>
      <c r="P5157" s="0">
        <v>0</v>
      </c>
      <c r="R5157" s="0" t="b">
        <v>0</v>
      </c>
      <c r="S5157" s="0" t="b">
        <v>1</v>
      </c>
      <c r="T5157" s="68">
        <v>46077.1400810185</v>
      </c>
      <c r="U5157" s="68">
        <v>0</v>
      </c>
      <c r="V5157" s="68">
        <v>0</v>
      </c>
      <c r="W5157" s="0">
        <f>IF(IF(B5157="none",1,IF(B5157="Trialer",1,0))+IF(C5157="Customer",1,IF(C5157="Lost",1,0))=2,1,0)</f>
      </c>
      <c r="X5157" s="0" t="s">
        <v>136</v>
      </c>
      <c r="Y5157" s="0" t="s">
        <v>243</v>
      </c>
      <c r="AV5157" s="68"/>
      <c r="AW5157" s="68"/>
      <c r="AY5157" s="27"/>
      <c r="BD5157" s="68">
        <v>46054.1666666667</v>
      </c>
      <c r="BE5157" s="68">
        <v>46082.1666666667</v>
      </c>
      <c r="BF5157" s="0" t="b">
        <v>0</v>
      </c>
      <c r="BG5157" s="0" t="b">
        <v>0</v>
      </c>
      <c r="BH5157" s="0">
        <v>73</v>
      </c>
      <c r="BI5157" s="0">
        <v>73</v>
      </c>
      <c r="BJ5157" s="0" t="s">
        <v>135</v>
      </c>
    </row>
    <row r="5158">
      <c r="A5158" s="0" t="s">
        <v>5426</v>
      </c>
      <c r="B5158" s="0" t="s">
        <v>5</v>
      </c>
      <c r="C5158" s="0" t="s">
        <v>652</v>
      </c>
      <c r="D5158" s="0" t="s">
        <v>135</v>
      </c>
      <c r="E5158" s="0" t="s">
        <v>2</v>
      </c>
      <c r="F5158" s="0" t="s">
        <v>12</v>
      </c>
      <c r="G5158" s="0" t="s">
        <v>8</v>
      </c>
      <c r="H5158" s="0">
        <v>-23</v>
      </c>
      <c r="I5158" s="0">
        <v>0</v>
      </c>
      <c r="J5158" s="0">
        <v>0</v>
      </c>
      <c r="K5158" s="0">
        <v>0</v>
      </c>
      <c r="L5158" s="0">
        <v>0</v>
      </c>
      <c r="M5158" s="0">
        <v>0</v>
      </c>
      <c r="N5158" s="0">
        <v>0</v>
      </c>
      <c r="O5158" s="0">
        <v>0</v>
      </c>
      <c r="P5158" s="0">
        <v>0</v>
      </c>
      <c r="R5158" s="0" t="b">
        <v>0</v>
      </c>
      <c r="S5158" s="0" t="b">
        <v>0</v>
      </c>
      <c r="T5158" s="68">
        <v>46077.2361342593</v>
      </c>
      <c r="U5158" s="68">
        <v>0</v>
      </c>
      <c r="V5158" s="68">
        <v>46085.3999074074</v>
      </c>
      <c r="W5158" s="0">
        <f>IF(IF(B5158="none",1,IF(B5158="Trialer",1,0))+IF(C5158="Customer",1,IF(C5158="Lost",1,0))=2,1,0)</f>
      </c>
      <c r="X5158" s="0" t="s">
        <v>148</v>
      </c>
      <c r="Y5158" s="0" t="s">
        <v>499</v>
      </c>
      <c r="AV5158" s="68"/>
      <c r="AW5158" s="68"/>
      <c r="AY5158" s="27"/>
      <c r="BD5158" s="68">
        <v>46054.1666666667</v>
      </c>
      <c r="BE5158" s="68">
        <v>46082.1666666667</v>
      </c>
      <c r="BF5158" s="0" t="b">
        <v>0</v>
      </c>
      <c r="BG5158" s="0" t="b">
        <v>0</v>
      </c>
      <c r="BH5158" s="0">
        <v>83</v>
      </c>
      <c r="BI5158" s="0">
        <v>83</v>
      </c>
      <c r="BJ5158" s="0" t="s">
        <v>135</v>
      </c>
    </row>
    <row r="5159">
      <c r="A5159" s="0" t="s">
        <v>5427</v>
      </c>
      <c r="B5159" s="0" t="s">
        <v>5</v>
      </c>
      <c r="C5159" s="0" t="s">
        <v>652</v>
      </c>
      <c r="D5159" s="0" t="s">
        <v>135</v>
      </c>
      <c r="E5159" s="0" t="s">
        <v>3</v>
      </c>
      <c r="F5159" s="0" t="s">
        <v>12</v>
      </c>
      <c r="G5159" s="0" t="s">
        <v>8</v>
      </c>
      <c r="H5159" s="0">
        <v>-23</v>
      </c>
      <c r="I5159" s="0">
        <v>0</v>
      </c>
      <c r="J5159" s="0">
        <v>0</v>
      </c>
      <c r="K5159" s="0">
        <v>0</v>
      </c>
      <c r="L5159" s="0">
        <v>0</v>
      </c>
      <c r="M5159" s="0">
        <v>0</v>
      </c>
      <c r="N5159" s="0">
        <v>0</v>
      </c>
      <c r="O5159" s="0">
        <v>0</v>
      </c>
      <c r="P5159" s="0">
        <v>0</v>
      </c>
      <c r="R5159" s="0" t="b">
        <v>0</v>
      </c>
      <c r="S5159" s="0" t="b">
        <v>1</v>
      </c>
      <c r="T5159" s="68">
        <v>46077.312337963</v>
      </c>
      <c r="U5159" s="68">
        <v>0</v>
      </c>
      <c r="V5159" s="68">
        <v>0</v>
      </c>
      <c r="W5159" s="0">
        <f>IF(IF(B5159="none",1,IF(B5159="Trialer",1,0))+IF(C5159="Customer",1,IF(C5159="Lost",1,0))=2,1,0)</f>
      </c>
      <c r="X5159" s="0" t="s">
        <v>136</v>
      </c>
      <c r="Y5159" s="0" t="s">
        <v>243</v>
      </c>
      <c r="AV5159" s="68"/>
      <c r="AW5159" s="68"/>
      <c r="AY5159" s="27"/>
      <c r="BD5159" s="68">
        <v>46054.1666666667</v>
      </c>
      <c r="BE5159" s="68">
        <v>46082.1666666667</v>
      </c>
      <c r="BF5159" s="0" t="b">
        <v>0</v>
      </c>
      <c r="BG5159" s="0" t="b">
        <v>0</v>
      </c>
      <c r="BH5159" s="0">
        <v>255</v>
      </c>
      <c r="BI5159" s="0">
        <v>255</v>
      </c>
      <c r="BJ5159" s="0" t="s">
        <v>135</v>
      </c>
    </row>
    <row r="5160">
      <c r="A5160" s="0" t="s">
        <v>5428</v>
      </c>
      <c r="B5160" s="0" t="s">
        <v>5</v>
      </c>
      <c r="C5160" s="0" t="s">
        <v>652</v>
      </c>
      <c r="D5160" s="0" t="s">
        <v>135</v>
      </c>
      <c r="E5160" s="0" t="s">
        <v>3</v>
      </c>
      <c r="F5160" s="0" t="s">
        <v>12</v>
      </c>
      <c r="G5160" s="0" t="s">
        <v>8</v>
      </c>
      <c r="H5160" s="0">
        <v>-23</v>
      </c>
      <c r="I5160" s="0">
        <v>0</v>
      </c>
      <c r="J5160" s="0">
        <v>0</v>
      </c>
      <c r="K5160" s="0">
        <v>0</v>
      </c>
      <c r="L5160" s="0">
        <v>0</v>
      </c>
      <c r="M5160" s="0">
        <v>0</v>
      </c>
      <c r="N5160" s="0">
        <v>0</v>
      </c>
      <c r="O5160" s="0">
        <v>0</v>
      </c>
      <c r="P5160" s="0">
        <v>0</v>
      </c>
      <c r="R5160" s="0" t="b">
        <v>0</v>
      </c>
      <c r="S5160" s="0" t="b">
        <v>0</v>
      </c>
      <c r="T5160" s="68">
        <v>46077.3658333333</v>
      </c>
      <c r="U5160" s="68">
        <v>0</v>
      </c>
      <c r="V5160" s="68">
        <v>46091.6253819444</v>
      </c>
      <c r="W5160" s="0">
        <f>IF(IF(B5160="none",1,IF(B5160="Trialer",1,0))+IF(C5160="Customer",1,IF(C5160="Lost",1,0))=2,1,0)</f>
      </c>
      <c r="X5160" s="0" t="s">
        <v>136</v>
      </c>
      <c r="Y5160" s="0" t="s">
        <v>243</v>
      </c>
      <c r="AV5160" s="68"/>
      <c r="AW5160" s="68"/>
      <c r="AY5160" s="27"/>
      <c r="BD5160" s="68">
        <v>46054.1666666667</v>
      </c>
      <c r="BE5160" s="68">
        <v>46082.1666666667</v>
      </c>
      <c r="BF5160" s="0" t="b">
        <v>0</v>
      </c>
      <c r="BG5160" s="0" t="b">
        <v>0</v>
      </c>
      <c r="BH5160" s="0">
        <v>73</v>
      </c>
      <c r="BI5160" s="0">
        <v>73</v>
      </c>
      <c r="BJ5160" s="0" t="s">
        <v>135</v>
      </c>
    </row>
    <row r="5161">
      <c r="A5161" s="0" t="s">
        <v>5429</v>
      </c>
      <c r="B5161" s="0" t="s">
        <v>5</v>
      </c>
      <c r="C5161" s="0" t="s">
        <v>652</v>
      </c>
      <c r="D5161" s="0" t="s">
        <v>135</v>
      </c>
      <c r="E5161" s="0" t="s">
        <v>2414</v>
      </c>
      <c r="F5161" s="0" t="s">
        <v>12</v>
      </c>
      <c r="G5161" s="0" t="s">
        <v>8</v>
      </c>
      <c r="H5161" s="0">
        <v>-23</v>
      </c>
      <c r="I5161" s="0">
        <v>0</v>
      </c>
      <c r="J5161" s="0">
        <v>0</v>
      </c>
      <c r="K5161" s="0">
        <v>0</v>
      </c>
      <c r="L5161" s="0">
        <v>0</v>
      </c>
      <c r="M5161" s="0">
        <v>0</v>
      </c>
      <c r="N5161" s="0">
        <v>0</v>
      </c>
      <c r="O5161" s="0">
        <v>0</v>
      </c>
      <c r="P5161" s="0">
        <v>0</v>
      </c>
      <c r="R5161" s="0" t="b">
        <v>0</v>
      </c>
      <c r="S5161" s="0" t="b">
        <v>0</v>
      </c>
      <c r="T5161" s="68">
        <v>46077.409212963</v>
      </c>
      <c r="U5161" s="68">
        <v>0</v>
      </c>
      <c r="V5161" s="68">
        <v>46078.622037037</v>
      </c>
      <c r="W5161" s="0">
        <f>IF(IF(B5161="none",1,IF(B5161="Trialer",1,0))+IF(C5161="Customer",1,IF(C5161="Lost",1,0))=2,1,0)</f>
      </c>
      <c r="X5161" s="0" t="s">
        <v>136</v>
      </c>
      <c r="Y5161" s="0" t="s">
        <v>1516</v>
      </c>
      <c r="AV5161" s="68"/>
      <c r="AW5161" s="68"/>
      <c r="AY5161" s="27"/>
      <c r="BD5161" s="68">
        <v>46054.1666666667</v>
      </c>
      <c r="BE5161" s="68">
        <v>46082.1666666667</v>
      </c>
      <c r="BF5161" s="0" t="b">
        <v>1</v>
      </c>
      <c r="BG5161" s="0" t="b">
        <v>0</v>
      </c>
      <c r="BH5161" s="0">
        <v>71</v>
      </c>
      <c r="BI5161" s="0">
        <v>0</v>
      </c>
      <c r="BJ5161" s="0" t="s">
        <v>135</v>
      </c>
    </row>
    <row r="5162">
      <c r="A5162" s="0" t="s">
        <v>5430</v>
      </c>
      <c r="B5162" s="0" t="s">
        <v>5</v>
      </c>
      <c r="C5162" s="0" t="s">
        <v>652</v>
      </c>
      <c r="D5162" s="0" t="s">
        <v>135</v>
      </c>
      <c r="E5162" s="0" t="s">
        <v>3</v>
      </c>
      <c r="F5162" s="0" t="s">
        <v>12</v>
      </c>
      <c r="G5162" s="0" t="s">
        <v>8</v>
      </c>
      <c r="H5162" s="0">
        <v>-23</v>
      </c>
      <c r="I5162" s="0">
        <v>0</v>
      </c>
      <c r="J5162" s="0">
        <v>0</v>
      </c>
      <c r="K5162" s="0">
        <v>0</v>
      </c>
      <c r="L5162" s="0">
        <v>0</v>
      </c>
      <c r="M5162" s="0">
        <v>0</v>
      </c>
      <c r="N5162" s="0">
        <v>0</v>
      </c>
      <c r="O5162" s="0">
        <v>0</v>
      </c>
      <c r="P5162" s="0">
        <v>0</v>
      </c>
      <c r="R5162" s="0" t="b">
        <v>0</v>
      </c>
      <c r="S5162" s="0" t="b">
        <v>0</v>
      </c>
      <c r="T5162" s="68">
        <v>46077.4727083333</v>
      </c>
      <c r="U5162" s="68">
        <v>0</v>
      </c>
      <c r="V5162" s="68">
        <v>46077.5941435185</v>
      </c>
      <c r="W5162" s="0">
        <f>IF(IF(B5162="none",1,IF(B5162="Trialer",1,0))+IF(C5162="Customer",1,IF(C5162="Lost",1,0))=2,1,0)</f>
      </c>
      <c r="X5162" s="0" t="s">
        <v>145</v>
      </c>
      <c r="Y5162" s="0" t="s">
        <v>243</v>
      </c>
      <c r="AV5162" s="68"/>
      <c r="AW5162" s="68"/>
      <c r="AY5162" s="27"/>
      <c r="BD5162" s="68">
        <v>46054.1666666667</v>
      </c>
      <c r="BE5162" s="68">
        <v>46082.1666666667</v>
      </c>
      <c r="BF5162" s="0" t="b">
        <v>0</v>
      </c>
      <c r="BG5162" s="0" t="b">
        <v>0</v>
      </c>
      <c r="BH5162" s="0">
        <v>0</v>
      </c>
      <c r="BI5162" s="0">
        <v>0</v>
      </c>
      <c r="BJ5162" s="0" t="s">
        <v>135</v>
      </c>
    </row>
    <row r="5163">
      <c r="A5163" s="0" t="s">
        <v>5431</v>
      </c>
      <c r="B5163" s="0" t="s">
        <v>5</v>
      </c>
      <c r="C5163" s="0" t="s">
        <v>652</v>
      </c>
      <c r="D5163" s="0" t="s">
        <v>135</v>
      </c>
      <c r="E5163" s="0" t="s">
        <v>2</v>
      </c>
      <c r="F5163" s="0" t="s">
        <v>12</v>
      </c>
      <c r="G5163" s="0" t="s">
        <v>8</v>
      </c>
      <c r="H5163" s="0">
        <v>-23</v>
      </c>
      <c r="I5163" s="0">
        <v>0</v>
      </c>
      <c r="J5163" s="0">
        <v>0</v>
      </c>
      <c r="K5163" s="0">
        <v>0</v>
      </c>
      <c r="L5163" s="0">
        <v>0</v>
      </c>
      <c r="M5163" s="0">
        <v>0</v>
      </c>
      <c r="N5163" s="0">
        <v>0</v>
      </c>
      <c r="O5163" s="0">
        <v>0</v>
      </c>
      <c r="P5163" s="0">
        <v>0</v>
      </c>
      <c r="R5163" s="0" t="b">
        <v>0</v>
      </c>
      <c r="S5163" s="0" t="b">
        <v>1</v>
      </c>
      <c r="T5163" s="68">
        <v>46077.4972222222</v>
      </c>
      <c r="U5163" s="68">
        <v>0</v>
      </c>
      <c r="V5163" s="68">
        <v>0</v>
      </c>
      <c r="W5163" s="0">
        <f>IF(IF(B5163="none",1,IF(B5163="Trialer",1,0))+IF(C5163="Customer",1,IF(C5163="Lost",1,0))=2,1,0)</f>
      </c>
      <c r="X5163" s="0" t="s">
        <v>136</v>
      </c>
      <c r="Y5163" s="0" t="s">
        <v>499</v>
      </c>
      <c r="AV5163" s="68"/>
      <c r="AW5163" s="68"/>
      <c r="AY5163" s="27"/>
      <c r="BD5163" s="68">
        <v>46054.1666666667</v>
      </c>
      <c r="BE5163" s="68">
        <v>46082.1666666667</v>
      </c>
      <c r="BF5163" s="0" t="b">
        <v>0</v>
      </c>
      <c r="BG5163" s="0" t="b">
        <v>0</v>
      </c>
      <c r="BH5163" s="0">
        <v>59</v>
      </c>
      <c r="BI5163" s="0">
        <v>59</v>
      </c>
      <c r="BJ5163" s="0" t="s">
        <v>135</v>
      </c>
    </row>
    <row r="5164">
      <c r="A5164" s="0" t="s">
        <v>5432</v>
      </c>
      <c r="B5164" s="0" t="s">
        <v>5</v>
      </c>
      <c r="C5164" s="0" t="s">
        <v>652</v>
      </c>
      <c r="D5164" s="0" t="s">
        <v>135</v>
      </c>
      <c r="E5164" s="0" t="s">
        <v>3</v>
      </c>
      <c r="F5164" s="0" t="s">
        <v>12</v>
      </c>
      <c r="G5164" s="0" t="s">
        <v>8</v>
      </c>
      <c r="H5164" s="0">
        <v>-23</v>
      </c>
      <c r="I5164" s="0">
        <v>0</v>
      </c>
      <c r="J5164" s="0">
        <v>0</v>
      </c>
      <c r="K5164" s="0">
        <v>0</v>
      </c>
      <c r="L5164" s="0">
        <v>0</v>
      </c>
      <c r="M5164" s="0">
        <v>0</v>
      </c>
      <c r="N5164" s="0">
        <v>0</v>
      </c>
      <c r="O5164" s="0">
        <v>0</v>
      </c>
      <c r="P5164" s="0">
        <v>0</v>
      </c>
      <c r="R5164" s="0" t="b">
        <v>0</v>
      </c>
      <c r="S5164" s="0" t="b">
        <v>1</v>
      </c>
      <c r="T5164" s="68">
        <v>46077.5136574074</v>
      </c>
      <c r="U5164" s="68">
        <v>0</v>
      </c>
      <c r="V5164" s="68">
        <v>0</v>
      </c>
      <c r="W5164" s="0">
        <f>IF(IF(B5164="none",1,IF(B5164="Trialer",1,0))+IF(C5164="Customer",1,IF(C5164="Lost",1,0))=2,1,0)</f>
      </c>
      <c r="X5164" s="0" t="s">
        <v>148</v>
      </c>
      <c r="Y5164" s="0" t="s">
        <v>243</v>
      </c>
      <c r="AV5164" s="68"/>
      <c r="AW5164" s="68"/>
      <c r="AY5164" s="27"/>
      <c r="BD5164" s="68">
        <v>46054.1666666667</v>
      </c>
      <c r="BE5164" s="68">
        <v>46082.1666666667</v>
      </c>
      <c r="BF5164" s="0" t="b">
        <v>0</v>
      </c>
      <c r="BG5164" s="0" t="b">
        <v>0</v>
      </c>
      <c r="BH5164" s="0">
        <v>59</v>
      </c>
      <c r="BI5164" s="0">
        <v>59</v>
      </c>
      <c r="BJ5164" s="0" t="s">
        <v>135</v>
      </c>
    </row>
    <row r="5165">
      <c r="A5165" s="0" t="s">
        <v>5433</v>
      </c>
      <c r="B5165" s="0" t="s">
        <v>5</v>
      </c>
      <c r="C5165" s="0" t="s">
        <v>652</v>
      </c>
      <c r="D5165" s="0" t="s">
        <v>135</v>
      </c>
      <c r="E5165" s="0" t="s">
        <v>4</v>
      </c>
      <c r="F5165" s="0" t="s">
        <v>10</v>
      </c>
      <c r="G5165" s="0" t="s">
        <v>8</v>
      </c>
      <c r="H5165" s="0">
        <v>-23</v>
      </c>
      <c r="I5165" s="0">
        <v>0</v>
      </c>
      <c r="J5165" s="0">
        <v>0</v>
      </c>
      <c r="K5165" s="0">
        <v>0</v>
      </c>
      <c r="L5165" s="0">
        <v>0</v>
      </c>
      <c r="M5165" s="0">
        <v>0</v>
      </c>
      <c r="N5165" s="0">
        <v>0</v>
      </c>
      <c r="O5165" s="0">
        <v>0</v>
      </c>
      <c r="P5165" s="0">
        <v>0</v>
      </c>
      <c r="Q5165" s="0" t="s">
        <v>2467</v>
      </c>
      <c r="R5165" s="0" t="b">
        <v>0</v>
      </c>
      <c r="S5165" s="0" t="b">
        <v>1</v>
      </c>
      <c r="T5165" s="68">
        <v>46077.5454050926</v>
      </c>
      <c r="U5165" s="68">
        <v>0</v>
      </c>
      <c r="V5165" s="68">
        <v>0</v>
      </c>
      <c r="W5165" s="0">
        <f>IF(IF(B5165="none",1,IF(B5165="Trialer",1,0))+IF(C5165="Customer",1,IF(C5165="Lost",1,0))=2,1,0)</f>
      </c>
      <c r="X5165" s="0" t="s">
        <v>136</v>
      </c>
      <c r="Y5165" s="0" t="s">
        <v>1772</v>
      </c>
      <c r="AV5165" s="68"/>
      <c r="AW5165" s="68"/>
      <c r="AY5165" s="27"/>
      <c r="BD5165" s="68">
        <v>46054.1666666667</v>
      </c>
      <c r="BE5165" s="68">
        <v>46082.1666666667</v>
      </c>
      <c r="BF5165" s="0" t="b">
        <v>0</v>
      </c>
      <c r="BG5165" s="0" t="b">
        <v>0</v>
      </c>
      <c r="BH5165" s="0">
        <v>71</v>
      </c>
      <c r="BI5165" s="0">
        <v>71</v>
      </c>
      <c r="BJ5165" s="0" t="s">
        <v>135</v>
      </c>
    </row>
    <row r="5166">
      <c r="A5166" s="0" t="s">
        <v>5434</v>
      </c>
      <c r="B5166" s="0" t="s">
        <v>5</v>
      </c>
      <c r="C5166" s="0" t="s">
        <v>652</v>
      </c>
      <c r="D5166" s="0" t="s">
        <v>135</v>
      </c>
      <c r="E5166" s="0" t="s">
        <v>2</v>
      </c>
      <c r="F5166" s="0" t="s">
        <v>12</v>
      </c>
      <c r="G5166" s="0" t="s">
        <v>8</v>
      </c>
      <c r="H5166" s="0">
        <v>-23</v>
      </c>
      <c r="I5166" s="0">
        <v>0</v>
      </c>
      <c r="J5166" s="0">
        <v>0</v>
      </c>
      <c r="K5166" s="0">
        <v>0</v>
      </c>
      <c r="L5166" s="0">
        <v>0</v>
      </c>
      <c r="M5166" s="0">
        <v>0</v>
      </c>
      <c r="N5166" s="0">
        <v>0</v>
      </c>
      <c r="O5166" s="0">
        <v>0</v>
      </c>
      <c r="P5166" s="0">
        <v>0</v>
      </c>
      <c r="R5166" s="0" t="b">
        <v>0</v>
      </c>
      <c r="S5166" s="0" t="b">
        <v>1</v>
      </c>
      <c r="T5166" s="68">
        <v>46077.5811689815</v>
      </c>
      <c r="U5166" s="68">
        <v>0</v>
      </c>
      <c r="V5166" s="68">
        <v>0</v>
      </c>
      <c r="W5166" s="0">
        <f>IF(IF(B5166="none",1,IF(B5166="Trialer",1,0))+IF(C5166="Customer",1,IF(C5166="Lost",1,0))=2,1,0)</f>
      </c>
      <c r="X5166" s="0" t="s">
        <v>145</v>
      </c>
      <c r="Y5166" s="0" t="s">
        <v>499</v>
      </c>
      <c r="AV5166" s="68"/>
      <c r="AW5166" s="68"/>
      <c r="AY5166" s="27"/>
      <c r="BD5166" s="68">
        <v>46054.1666666667</v>
      </c>
      <c r="BE5166" s="68">
        <v>46082.1666666667</v>
      </c>
      <c r="BF5166" s="0" t="b">
        <v>0</v>
      </c>
      <c r="BG5166" s="0" t="b">
        <v>0</v>
      </c>
      <c r="BH5166" s="0">
        <v>59</v>
      </c>
      <c r="BI5166" s="0">
        <v>59</v>
      </c>
      <c r="BJ5166" s="0" t="s">
        <v>135</v>
      </c>
    </row>
    <row r="5167">
      <c r="A5167" s="0" t="s">
        <v>5435</v>
      </c>
      <c r="B5167" s="0" t="s">
        <v>5</v>
      </c>
      <c r="C5167" s="0" t="s">
        <v>652</v>
      </c>
      <c r="D5167" s="0" t="s">
        <v>135</v>
      </c>
      <c r="E5167" s="0" t="s">
        <v>3</v>
      </c>
      <c r="F5167" s="0" t="s">
        <v>12</v>
      </c>
      <c r="G5167" s="0" t="s">
        <v>8</v>
      </c>
      <c r="H5167" s="0">
        <v>-23</v>
      </c>
      <c r="I5167" s="0">
        <v>0</v>
      </c>
      <c r="J5167" s="0">
        <v>0</v>
      </c>
      <c r="K5167" s="0">
        <v>0</v>
      </c>
      <c r="L5167" s="0">
        <v>0</v>
      </c>
      <c r="M5167" s="0">
        <v>0</v>
      </c>
      <c r="N5167" s="0">
        <v>0</v>
      </c>
      <c r="O5167" s="0">
        <v>0</v>
      </c>
      <c r="P5167" s="0">
        <v>0</v>
      </c>
      <c r="R5167" s="0" t="b">
        <v>0</v>
      </c>
      <c r="S5167" s="0" t="b">
        <v>1</v>
      </c>
      <c r="T5167" s="68">
        <v>46077.5838888889</v>
      </c>
      <c r="U5167" s="68">
        <v>0</v>
      </c>
      <c r="V5167" s="68">
        <v>0</v>
      </c>
      <c r="W5167" s="0">
        <f>IF(IF(B5167="none",1,IF(B5167="Trialer",1,0))+IF(C5167="Customer",1,IF(C5167="Lost",1,0))=2,1,0)</f>
      </c>
      <c r="X5167" s="0" t="s">
        <v>145</v>
      </c>
      <c r="Y5167" s="0" t="s">
        <v>243</v>
      </c>
      <c r="AV5167" s="68"/>
      <c r="AW5167" s="68"/>
      <c r="AY5167" s="27"/>
      <c r="BD5167" s="68">
        <v>46054.1666666667</v>
      </c>
      <c r="BE5167" s="68">
        <v>46082.1666666667</v>
      </c>
      <c r="BF5167" s="0" t="b">
        <v>0</v>
      </c>
      <c r="BG5167" s="0" t="b">
        <v>0</v>
      </c>
      <c r="BH5167" s="0">
        <v>71</v>
      </c>
      <c r="BI5167" s="0">
        <v>71</v>
      </c>
      <c r="BJ5167" s="0" t="s">
        <v>135</v>
      </c>
    </row>
    <row r="5168">
      <c r="A5168" s="0" t="s">
        <v>5436</v>
      </c>
      <c r="B5168" s="0" t="s">
        <v>5</v>
      </c>
      <c r="C5168" s="0" t="s">
        <v>652</v>
      </c>
      <c r="D5168" s="0" t="s">
        <v>135</v>
      </c>
      <c r="E5168" s="0" t="s">
        <v>3</v>
      </c>
      <c r="F5168" s="0" t="s">
        <v>12</v>
      </c>
      <c r="G5168" s="0" t="s">
        <v>8</v>
      </c>
      <c r="H5168" s="0">
        <v>-23</v>
      </c>
      <c r="I5168" s="0">
        <v>0</v>
      </c>
      <c r="J5168" s="0">
        <v>0</v>
      </c>
      <c r="K5168" s="0">
        <v>0</v>
      </c>
      <c r="L5168" s="0">
        <v>0</v>
      </c>
      <c r="M5168" s="0">
        <v>0</v>
      </c>
      <c r="N5168" s="0">
        <v>0</v>
      </c>
      <c r="O5168" s="0">
        <v>0</v>
      </c>
      <c r="P5168" s="0">
        <v>0</v>
      </c>
      <c r="R5168" s="0" t="b">
        <v>0</v>
      </c>
      <c r="S5168" s="0" t="b">
        <v>1</v>
      </c>
      <c r="T5168" s="68">
        <v>46077.6449421296</v>
      </c>
      <c r="U5168" s="68">
        <v>0</v>
      </c>
      <c r="V5168" s="68">
        <v>0</v>
      </c>
      <c r="W5168" s="0">
        <f>IF(IF(B5168="none",1,IF(B5168="Trialer",1,0))+IF(C5168="Customer",1,IF(C5168="Lost",1,0))=2,1,0)</f>
      </c>
      <c r="X5168" s="0" t="s">
        <v>148</v>
      </c>
      <c r="Y5168" s="0" t="s">
        <v>243</v>
      </c>
      <c r="AV5168" s="68"/>
      <c r="AW5168" s="68"/>
      <c r="AY5168" s="27"/>
      <c r="BD5168" s="68">
        <v>46054.1666666667</v>
      </c>
      <c r="BE5168" s="68">
        <v>46082.1666666667</v>
      </c>
      <c r="BF5168" s="0" t="b">
        <v>0</v>
      </c>
      <c r="BG5168" s="0" t="b">
        <v>0</v>
      </c>
      <c r="BH5168" s="0">
        <v>59</v>
      </c>
      <c r="BI5168" s="0">
        <v>59</v>
      </c>
      <c r="BJ5168" s="0" t="s">
        <v>135</v>
      </c>
    </row>
    <row r="5169">
      <c r="A5169" s="0" t="s">
        <v>5437</v>
      </c>
      <c r="B5169" s="0" t="s">
        <v>5</v>
      </c>
      <c r="C5169" s="0" t="s">
        <v>652</v>
      </c>
      <c r="D5169" s="0" t="s">
        <v>135</v>
      </c>
      <c r="E5169" s="0" t="s">
        <v>3</v>
      </c>
      <c r="F5169" s="0" t="s">
        <v>12</v>
      </c>
      <c r="G5169" s="0" t="s">
        <v>8</v>
      </c>
      <c r="H5169" s="0">
        <v>-23</v>
      </c>
      <c r="I5169" s="0">
        <v>0</v>
      </c>
      <c r="J5169" s="0">
        <v>0</v>
      </c>
      <c r="K5169" s="0">
        <v>0</v>
      </c>
      <c r="L5169" s="0">
        <v>0</v>
      </c>
      <c r="M5169" s="0">
        <v>0</v>
      </c>
      <c r="N5169" s="0">
        <v>0</v>
      </c>
      <c r="O5169" s="0">
        <v>0</v>
      </c>
      <c r="P5169" s="0">
        <v>0</v>
      </c>
      <c r="R5169" s="0" t="b">
        <v>0</v>
      </c>
      <c r="S5169" s="0" t="b">
        <v>1</v>
      </c>
      <c r="T5169" s="68">
        <v>46077.6500810185</v>
      </c>
      <c r="U5169" s="68">
        <v>0</v>
      </c>
      <c r="V5169" s="68">
        <v>0</v>
      </c>
      <c r="W5169" s="0">
        <f>IF(IF(B5169="none",1,IF(B5169="Trialer",1,0))+IF(C5169="Customer",1,IF(C5169="Lost",1,0))=2,1,0)</f>
      </c>
      <c r="X5169" s="0" t="s">
        <v>145</v>
      </c>
      <c r="Y5169" s="0" t="s">
        <v>243</v>
      </c>
      <c r="AV5169" s="68"/>
      <c r="AW5169" s="68"/>
      <c r="AY5169" s="27"/>
      <c r="BD5169" s="68">
        <v>46054.1666666667</v>
      </c>
      <c r="BE5169" s="68">
        <v>46082.1666666667</v>
      </c>
      <c r="BF5169" s="0" t="b">
        <v>0</v>
      </c>
      <c r="BG5169" s="0" t="b">
        <v>0</v>
      </c>
      <c r="BH5169" s="0">
        <v>71</v>
      </c>
      <c r="BI5169" s="0">
        <v>71</v>
      </c>
      <c r="BJ5169" s="0" t="s">
        <v>135</v>
      </c>
    </row>
    <row r="5170">
      <c r="A5170" s="0" t="s">
        <v>5438</v>
      </c>
      <c r="B5170" s="0" t="s">
        <v>5</v>
      </c>
      <c r="C5170" s="0" t="s">
        <v>652</v>
      </c>
      <c r="D5170" s="0" t="s">
        <v>135</v>
      </c>
      <c r="E5170" s="0" t="s">
        <v>3</v>
      </c>
      <c r="F5170" s="0" t="s">
        <v>12</v>
      </c>
      <c r="G5170" s="0" t="s">
        <v>8</v>
      </c>
      <c r="H5170" s="0">
        <v>-23</v>
      </c>
      <c r="I5170" s="0">
        <v>0</v>
      </c>
      <c r="J5170" s="0">
        <v>0</v>
      </c>
      <c r="K5170" s="0">
        <v>0</v>
      </c>
      <c r="L5170" s="0">
        <v>0</v>
      </c>
      <c r="M5170" s="0">
        <v>0</v>
      </c>
      <c r="N5170" s="0">
        <v>0</v>
      </c>
      <c r="O5170" s="0">
        <v>0</v>
      </c>
      <c r="P5170" s="0">
        <v>0</v>
      </c>
      <c r="R5170" s="0" t="b">
        <v>0</v>
      </c>
      <c r="S5170" s="0" t="b">
        <v>0</v>
      </c>
      <c r="T5170" s="68">
        <v>46077.6511342593</v>
      </c>
      <c r="U5170" s="68">
        <v>0</v>
      </c>
      <c r="V5170" s="68">
        <v>46077.6599189815</v>
      </c>
      <c r="W5170" s="0">
        <f>IF(IF(B5170="none",1,IF(B5170="Trialer",1,0))+IF(C5170="Customer",1,IF(C5170="Lost",1,0))=2,1,0)</f>
      </c>
      <c r="X5170" s="0" t="s">
        <v>136</v>
      </c>
      <c r="Y5170" s="0" t="s">
        <v>243</v>
      </c>
      <c r="AV5170" s="68"/>
      <c r="AW5170" s="68"/>
      <c r="AY5170" s="27"/>
      <c r="BD5170" s="68">
        <v>46054.1666666667</v>
      </c>
      <c r="BE5170" s="68">
        <v>46082.1666666667</v>
      </c>
      <c r="BF5170" s="0" t="b">
        <v>0</v>
      </c>
      <c r="BG5170" s="0" t="b">
        <v>0</v>
      </c>
      <c r="BH5170" s="0">
        <v>0</v>
      </c>
      <c r="BI5170" s="0">
        <v>0</v>
      </c>
      <c r="BJ5170" s="0" t="s">
        <v>135</v>
      </c>
    </row>
    <row r="5171">
      <c r="A5171" s="0" t="s">
        <v>5439</v>
      </c>
      <c r="B5171" s="0" t="s">
        <v>5</v>
      </c>
      <c r="C5171" s="0" t="s">
        <v>652</v>
      </c>
      <c r="D5171" s="0" t="s">
        <v>135</v>
      </c>
      <c r="E5171" s="0" t="s">
        <v>3</v>
      </c>
      <c r="F5171" s="0" t="s">
        <v>12</v>
      </c>
      <c r="G5171" s="0" t="s">
        <v>8</v>
      </c>
      <c r="H5171" s="0">
        <v>-23</v>
      </c>
      <c r="I5171" s="0">
        <v>0</v>
      </c>
      <c r="J5171" s="0">
        <v>0</v>
      </c>
      <c r="K5171" s="0">
        <v>0</v>
      </c>
      <c r="L5171" s="0">
        <v>0</v>
      </c>
      <c r="M5171" s="0">
        <v>0</v>
      </c>
      <c r="N5171" s="0">
        <v>0</v>
      </c>
      <c r="O5171" s="0">
        <v>0</v>
      </c>
      <c r="P5171" s="0">
        <v>0</v>
      </c>
      <c r="R5171" s="0" t="b">
        <v>0</v>
      </c>
      <c r="S5171" s="0" t="b">
        <v>1</v>
      </c>
      <c r="T5171" s="68">
        <v>46077.6773726852</v>
      </c>
      <c r="U5171" s="68">
        <v>0</v>
      </c>
      <c r="V5171" s="68">
        <v>0</v>
      </c>
      <c r="W5171" s="0">
        <f>IF(IF(B5171="none",1,IF(B5171="Trialer",1,0))+IF(C5171="Customer",1,IF(C5171="Lost",1,0))=2,1,0)</f>
      </c>
      <c r="X5171" s="0" t="s">
        <v>148</v>
      </c>
      <c r="Y5171" s="0" t="s">
        <v>243</v>
      </c>
      <c r="AV5171" s="68"/>
      <c r="AW5171" s="68"/>
      <c r="AY5171" s="27"/>
      <c r="BD5171" s="68">
        <v>46054.1666666667</v>
      </c>
      <c r="BE5171" s="68">
        <v>46082.1666666667</v>
      </c>
      <c r="BF5171" s="0" t="b">
        <v>0</v>
      </c>
      <c r="BG5171" s="0" t="b">
        <v>0</v>
      </c>
      <c r="BH5171" s="0">
        <v>73</v>
      </c>
      <c r="BI5171" s="0">
        <v>73</v>
      </c>
      <c r="BJ5171" s="0" t="s">
        <v>135</v>
      </c>
    </row>
    <row r="5172">
      <c r="A5172" s="0" t="s">
        <v>5440</v>
      </c>
      <c r="B5172" s="0" t="s">
        <v>5</v>
      </c>
      <c r="C5172" s="0" t="s">
        <v>652</v>
      </c>
      <c r="D5172" s="0" t="s">
        <v>135</v>
      </c>
      <c r="E5172" s="0" t="s">
        <v>3</v>
      </c>
      <c r="F5172" s="0" t="s">
        <v>12</v>
      </c>
      <c r="G5172" s="0" t="s">
        <v>8</v>
      </c>
      <c r="H5172" s="0">
        <v>-23</v>
      </c>
      <c r="I5172" s="0">
        <v>0</v>
      </c>
      <c r="J5172" s="0">
        <v>0</v>
      </c>
      <c r="K5172" s="0">
        <v>0</v>
      </c>
      <c r="L5172" s="0">
        <v>0</v>
      </c>
      <c r="M5172" s="0">
        <v>0</v>
      </c>
      <c r="N5172" s="0">
        <v>0</v>
      </c>
      <c r="O5172" s="0">
        <v>0</v>
      </c>
      <c r="P5172" s="0">
        <v>0</v>
      </c>
      <c r="R5172" s="0" t="b">
        <v>0</v>
      </c>
      <c r="S5172" s="0" t="b">
        <v>0</v>
      </c>
      <c r="T5172" s="68">
        <v>46077.7200462963</v>
      </c>
      <c r="U5172" s="68">
        <v>0</v>
      </c>
      <c r="V5172" s="68">
        <v>46097.728599537</v>
      </c>
      <c r="W5172" s="0">
        <f>IF(IF(B5172="none",1,IF(B5172="Trialer",1,0))+IF(C5172="Customer",1,IF(C5172="Lost",1,0))=2,1,0)</f>
      </c>
      <c r="X5172" s="0" t="s">
        <v>145</v>
      </c>
      <c r="Y5172" s="0" t="s">
        <v>243</v>
      </c>
      <c r="AV5172" s="68"/>
      <c r="AW5172" s="68"/>
      <c r="AY5172" s="27"/>
      <c r="BD5172" s="68">
        <v>46054.1666666667</v>
      </c>
      <c r="BE5172" s="68">
        <v>46082.1666666667</v>
      </c>
      <c r="BF5172" s="0" t="b">
        <v>0</v>
      </c>
      <c r="BG5172" s="0" t="b">
        <v>0</v>
      </c>
      <c r="BH5172" s="0">
        <v>59</v>
      </c>
      <c r="BI5172" s="0">
        <v>59</v>
      </c>
      <c r="BJ5172" s="0" t="s">
        <v>135</v>
      </c>
    </row>
    <row r="5173">
      <c r="A5173" s="0" t="s">
        <v>5441</v>
      </c>
      <c r="B5173" s="0" t="s">
        <v>5</v>
      </c>
      <c r="C5173" s="0" t="s">
        <v>652</v>
      </c>
      <c r="D5173" s="0" t="s">
        <v>135</v>
      </c>
      <c r="E5173" s="0" t="s">
        <v>3</v>
      </c>
      <c r="F5173" s="0" t="s">
        <v>12</v>
      </c>
      <c r="G5173" s="0" t="s">
        <v>8</v>
      </c>
      <c r="H5173" s="0">
        <v>-23</v>
      </c>
      <c r="I5173" s="0">
        <v>0</v>
      </c>
      <c r="J5173" s="0">
        <v>0</v>
      </c>
      <c r="K5173" s="0">
        <v>0</v>
      </c>
      <c r="L5173" s="0">
        <v>0</v>
      </c>
      <c r="M5173" s="0">
        <v>0</v>
      </c>
      <c r="N5173" s="0">
        <v>0</v>
      </c>
      <c r="O5173" s="0">
        <v>0</v>
      </c>
      <c r="P5173" s="0">
        <v>0</v>
      </c>
      <c r="R5173" s="0" t="b">
        <v>0</v>
      </c>
      <c r="S5173" s="0" t="b">
        <v>1</v>
      </c>
      <c r="T5173" s="68">
        <v>46077.7205439815</v>
      </c>
      <c r="U5173" s="68">
        <v>0</v>
      </c>
      <c r="V5173" s="68">
        <v>0</v>
      </c>
      <c r="W5173" s="0">
        <f>IF(IF(B5173="none",1,IF(B5173="Trialer",1,0))+IF(C5173="Customer",1,IF(C5173="Lost",1,0))=2,1,0)</f>
      </c>
      <c r="X5173" s="0" t="s">
        <v>136</v>
      </c>
      <c r="Y5173" s="0" t="s">
        <v>243</v>
      </c>
      <c r="AV5173" s="68"/>
      <c r="AW5173" s="68"/>
      <c r="AY5173" s="27"/>
      <c r="BD5173" s="68">
        <v>46054.1666666667</v>
      </c>
      <c r="BE5173" s="68">
        <v>46082.1666666667</v>
      </c>
      <c r="BF5173" s="0" t="b">
        <v>0</v>
      </c>
      <c r="BG5173" s="0" t="b">
        <v>0</v>
      </c>
      <c r="BH5173" s="0">
        <v>97</v>
      </c>
      <c r="BI5173" s="0">
        <v>97</v>
      </c>
      <c r="BJ5173" s="0" t="s">
        <v>135</v>
      </c>
    </row>
    <row r="5174">
      <c r="A5174" s="0" t="s">
        <v>5442</v>
      </c>
      <c r="B5174" s="0" t="s">
        <v>5</v>
      </c>
      <c r="C5174" s="0" t="s">
        <v>652</v>
      </c>
      <c r="D5174" s="0" t="s">
        <v>135</v>
      </c>
      <c r="E5174" s="0" t="s">
        <v>3</v>
      </c>
      <c r="F5174" s="0" t="s">
        <v>12</v>
      </c>
      <c r="G5174" s="0" t="s">
        <v>8</v>
      </c>
      <c r="H5174" s="0">
        <v>-23</v>
      </c>
      <c r="I5174" s="0">
        <v>0</v>
      </c>
      <c r="J5174" s="0">
        <v>0</v>
      </c>
      <c r="K5174" s="0">
        <v>0</v>
      </c>
      <c r="L5174" s="0">
        <v>0</v>
      </c>
      <c r="M5174" s="0">
        <v>0</v>
      </c>
      <c r="N5174" s="0">
        <v>0</v>
      </c>
      <c r="O5174" s="0">
        <v>0</v>
      </c>
      <c r="P5174" s="0">
        <v>0</v>
      </c>
      <c r="R5174" s="0" t="b">
        <v>0</v>
      </c>
      <c r="S5174" s="0" t="b">
        <v>1</v>
      </c>
      <c r="T5174" s="68">
        <v>46077.7265509259</v>
      </c>
      <c r="U5174" s="68">
        <v>46091.3333333333</v>
      </c>
      <c r="V5174" s="68">
        <v>0</v>
      </c>
      <c r="W5174" s="0">
        <f>IF(IF(B5174="none",1,IF(B5174="Trialer",1,0))+IF(C5174="Customer",1,IF(C5174="Lost",1,0))=2,1,0)</f>
      </c>
      <c r="X5174" s="0" t="s">
        <v>1461</v>
      </c>
      <c r="Y5174" s="0" t="s">
        <v>243</v>
      </c>
      <c r="AV5174" s="68"/>
      <c r="AW5174" s="68"/>
      <c r="AY5174" s="27"/>
      <c r="BD5174" s="68">
        <v>46054.1666666667</v>
      </c>
      <c r="BE5174" s="68">
        <v>46082.1666666667</v>
      </c>
      <c r="BF5174" s="0" t="b">
        <v>0</v>
      </c>
      <c r="BG5174" s="0" t="b">
        <v>0</v>
      </c>
      <c r="BH5174" s="0">
        <v>118</v>
      </c>
      <c r="BI5174" s="0">
        <v>118</v>
      </c>
      <c r="BJ5174" s="0" t="s">
        <v>230</v>
      </c>
    </row>
    <row r="5175">
      <c r="A5175" s="0" t="s">
        <v>5443</v>
      </c>
      <c r="B5175" s="0" t="s">
        <v>5</v>
      </c>
      <c r="C5175" s="0" t="s">
        <v>652</v>
      </c>
      <c r="D5175" s="0" t="s">
        <v>135</v>
      </c>
      <c r="E5175" s="0" t="s">
        <v>3</v>
      </c>
      <c r="F5175" s="0" t="s">
        <v>12</v>
      </c>
      <c r="G5175" s="0" t="s">
        <v>8</v>
      </c>
      <c r="H5175" s="0">
        <v>-23</v>
      </c>
      <c r="I5175" s="0">
        <v>0</v>
      </c>
      <c r="J5175" s="0">
        <v>0</v>
      </c>
      <c r="K5175" s="0">
        <v>0</v>
      </c>
      <c r="L5175" s="0">
        <v>0</v>
      </c>
      <c r="M5175" s="0">
        <v>0</v>
      </c>
      <c r="N5175" s="0">
        <v>0</v>
      </c>
      <c r="O5175" s="0">
        <v>0</v>
      </c>
      <c r="P5175" s="0">
        <v>0</v>
      </c>
      <c r="R5175" s="0" t="b">
        <v>0</v>
      </c>
      <c r="S5175" s="0" t="b">
        <v>0</v>
      </c>
      <c r="T5175" s="68">
        <v>46077.7303356481</v>
      </c>
      <c r="U5175" s="68">
        <v>0</v>
      </c>
      <c r="V5175" s="68">
        <v>46078.2201041667</v>
      </c>
      <c r="W5175" s="0">
        <f>IF(IF(B5175="none",1,IF(B5175="Trialer",1,0))+IF(C5175="Customer",1,IF(C5175="Lost",1,0))=2,1,0)</f>
      </c>
      <c r="X5175" s="0" t="s">
        <v>148</v>
      </c>
      <c r="Y5175" s="0" t="s">
        <v>243</v>
      </c>
      <c r="AV5175" s="68"/>
      <c r="AW5175" s="68"/>
      <c r="AY5175" s="27"/>
      <c r="BD5175" s="68">
        <v>46054.1666666667</v>
      </c>
      <c r="BE5175" s="68">
        <v>46082.1666666667</v>
      </c>
      <c r="BF5175" s="0" t="b">
        <v>0</v>
      </c>
      <c r="BG5175" s="0" t="b">
        <v>0</v>
      </c>
      <c r="BH5175" s="0">
        <v>59</v>
      </c>
      <c r="BI5175" s="0">
        <v>59</v>
      </c>
      <c r="BJ5175" s="0" t="s">
        <v>135</v>
      </c>
    </row>
    <row r="5176">
      <c r="A5176" s="0" t="s">
        <v>5444</v>
      </c>
      <c r="B5176" s="0" t="s">
        <v>5</v>
      </c>
      <c r="C5176" s="0" t="s">
        <v>652</v>
      </c>
      <c r="D5176" s="0" t="s">
        <v>135</v>
      </c>
      <c r="E5176" s="0" t="s">
        <v>3</v>
      </c>
      <c r="F5176" s="0" t="s">
        <v>12</v>
      </c>
      <c r="G5176" s="0" t="s">
        <v>8</v>
      </c>
      <c r="H5176" s="0">
        <v>-23</v>
      </c>
      <c r="I5176" s="0">
        <v>0</v>
      </c>
      <c r="J5176" s="0">
        <v>0</v>
      </c>
      <c r="K5176" s="0">
        <v>0</v>
      </c>
      <c r="L5176" s="0">
        <v>0</v>
      </c>
      <c r="M5176" s="0">
        <v>0</v>
      </c>
      <c r="N5176" s="0">
        <v>0</v>
      </c>
      <c r="O5176" s="0">
        <v>0</v>
      </c>
      <c r="P5176" s="0">
        <v>0</v>
      </c>
      <c r="R5176" s="0" t="b">
        <v>0</v>
      </c>
      <c r="S5176" s="0" t="b">
        <v>1</v>
      </c>
      <c r="T5176" s="68">
        <v>46077.7606828704</v>
      </c>
      <c r="U5176" s="68">
        <v>0</v>
      </c>
      <c r="V5176" s="68">
        <v>0</v>
      </c>
      <c r="W5176" s="0">
        <f>IF(IF(B5176="none",1,IF(B5176="Trialer",1,0))+IF(C5176="Customer",1,IF(C5176="Lost",1,0))=2,1,0)</f>
      </c>
      <c r="X5176" s="0" t="s">
        <v>145</v>
      </c>
      <c r="Y5176" s="0" t="s">
        <v>243</v>
      </c>
      <c r="AV5176" s="68"/>
      <c r="AW5176" s="68"/>
      <c r="AY5176" s="27"/>
      <c r="BD5176" s="68">
        <v>46054.1666666667</v>
      </c>
      <c r="BE5176" s="68">
        <v>46082.1666666667</v>
      </c>
      <c r="BF5176" s="0" t="b">
        <v>0</v>
      </c>
      <c r="BG5176" s="0" t="b">
        <v>0</v>
      </c>
      <c r="BH5176" s="0">
        <v>59</v>
      </c>
      <c r="BI5176" s="0">
        <v>59</v>
      </c>
      <c r="BJ5176" s="0" t="s">
        <v>135</v>
      </c>
    </row>
    <row r="5177">
      <c r="A5177" s="0" t="s">
        <v>5445</v>
      </c>
      <c r="B5177" s="0" t="s">
        <v>5</v>
      </c>
      <c r="C5177" s="0" t="s">
        <v>652</v>
      </c>
      <c r="D5177" s="0" t="s">
        <v>135</v>
      </c>
      <c r="E5177" s="0" t="s">
        <v>3</v>
      </c>
      <c r="F5177" s="0" t="s">
        <v>12</v>
      </c>
      <c r="G5177" s="0" t="s">
        <v>8</v>
      </c>
      <c r="H5177" s="0">
        <v>-23</v>
      </c>
      <c r="I5177" s="0">
        <v>0</v>
      </c>
      <c r="J5177" s="0">
        <v>0</v>
      </c>
      <c r="K5177" s="0">
        <v>0</v>
      </c>
      <c r="L5177" s="0">
        <v>0</v>
      </c>
      <c r="M5177" s="0">
        <v>0</v>
      </c>
      <c r="N5177" s="0">
        <v>0</v>
      </c>
      <c r="O5177" s="0">
        <v>0</v>
      </c>
      <c r="P5177" s="0">
        <v>0</v>
      </c>
      <c r="R5177" s="0" t="b">
        <v>0</v>
      </c>
      <c r="S5177" s="0" t="b">
        <v>1</v>
      </c>
      <c r="T5177" s="68">
        <v>46077.7709259259</v>
      </c>
      <c r="U5177" s="68">
        <v>0</v>
      </c>
      <c r="V5177" s="68">
        <v>0</v>
      </c>
      <c r="W5177" s="0">
        <f>IF(IF(B5177="none",1,IF(B5177="Trialer",1,0))+IF(C5177="Customer",1,IF(C5177="Lost",1,0))=2,1,0)</f>
      </c>
      <c r="X5177" s="0" t="s">
        <v>136</v>
      </c>
      <c r="Y5177" s="0" t="s">
        <v>243</v>
      </c>
      <c r="AV5177" s="68"/>
      <c r="AW5177" s="68"/>
      <c r="AY5177" s="27"/>
      <c r="BD5177" s="68">
        <v>46054.1666666667</v>
      </c>
      <c r="BE5177" s="68">
        <v>46082.1666666667</v>
      </c>
      <c r="BF5177" s="0" t="b">
        <v>0</v>
      </c>
      <c r="BG5177" s="0" t="b">
        <v>0</v>
      </c>
      <c r="BH5177" s="0">
        <v>59</v>
      </c>
      <c r="BI5177" s="0">
        <v>59</v>
      </c>
      <c r="BJ5177" s="0" t="s">
        <v>135</v>
      </c>
    </row>
    <row r="5178">
      <c r="A5178" s="0" t="s">
        <v>5446</v>
      </c>
      <c r="B5178" s="0" t="s">
        <v>5</v>
      </c>
      <c r="C5178" s="0" t="s">
        <v>652</v>
      </c>
      <c r="D5178" s="0" t="s">
        <v>135</v>
      </c>
      <c r="E5178" s="0" t="s">
        <v>1515</v>
      </c>
      <c r="F5178" s="0" t="s">
        <v>12</v>
      </c>
      <c r="G5178" s="0" t="s">
        <v>8</v>
      </c>
      <c r="H5178" s="0">
        <v>-23</v>
      </c>
      <c r="I5178" s="0">
        <v>0</v>
      </c>
      <c r="J5178" s="0">
        <v>0</v>
      </c>
      <c r="K5178" s="0">
        <v>0</v>
      </c>
      <c r="L5178" s="0">
        <v>0</v>
      </c>
      <c r="M5178" s="0">
        <v>0</v>
      </c>
      <c r="N5178" s="0">
        <v>0</v>
      </c>
      <c r="O5178" s="0">
        <v>0</v>
      </c>
      <c r="P5178" s="0">
        <v>0</v>
      </c>
      <c r="R5178" s="0" t="b">
        <v>0</v>
      </c>
      <c r="S5178" s="0" t="b">
        <v>1</v>
      </c>
      <c r="T5178" s="68">
        <v>46077.8082291667</v>
      </c>
      <c r="U5178" s="68">
        <v>0</v>
      </c>
      <c r="V5178" s="68">
        <v>0</v>
      </c>
      <c r="W5178" s="0">
        <f>IF(IF(B5178="none",1,IF(B5178="Trialer",1,0))+IF(C5178="Customer",1,IF(C5178="Lost",1,0))=2,1,0)</f>
      </c>
      <c r="X5178" s="0" t="s">
        <v>148</v>
      </c>
      <c r="Y5178" s="0" t="s">
        <v>1516</v>
      </c>
      <c r="AV5178" s="68"/>
      <c r="AW5178" s="68"/>
      <c r="AY5178" s="27"/>
      <c r="BD5178" s="68">
        <v>46054.1666666667</v>
      </c>
      <c r="BE5178" s="68">
        <v>46082.1666666667</v>
      </c>
      <c r="BF5178" s="0" t="b">
        <v>0</v>
      </c>
      <c r="BG5178" s="0" t="b">
        <v>0</v>
      </c>
      <c r="BH5178" s="0">
        <v>59</v>
      </c>
      <c r="BI5178" s="0">
        <v>59</v>
      </c>
      <c r="BJ5178" s="0" t="s">
        <v>135</v>
      </c>
    </row>
    <row r="5179">
      <c r="A5179" s="0" t="s">
        <v>5447</v>
      </c>
      <c r="B5179" s="0" t="s">
        <v>5</v>
      </c>
      <c r="C5179" s="0" t="s">
        <v>652</v>
      </c>
      <c r="D5179" s="0" t="s">
        <v>135</v>
      </c>
      <c r="E5179" s="0" t="s">
        <v>2414</v>
      </c>
      <c r="F5179" s="0" t="s">
        <v>12</v>
      </c>
      <c r="G5179" s="0" t="s">
        <v>8</v>
      </c>
      <c r="H5179" s="0">
        <v>-23</v>
      </c>
      <c r="I5179" s="0">
        <v>0</v>
      </c>
      <c r="J5179" s="0">
        <v>0</v>
      </c>
      <c r="K5179" s="0">
        <v>0</v>
      </c>
      <c r="L5179" s="0">
        <v>0</v>
      </c>
      <c r="M5179" s="0">
        <v>0</v>
      </c>
      <c r="N5179" s="0">
        <v>0</v>
      </c>
      <c r="O5179" s="0">
        <v>0</v>
      </c>
      <c r="P5179" s="0">
        <v>0</v>
      </c>
      <c r="R5179" s="0" t="b">
        <v>0</v>
      </c>
      <c r="S5179" s="0" t="b">
        <v>1</v>
      </c>
      <c r="T5179" s="68">
        <v>46077.8624421296</v>
      </c>
      <c r="U5179" s="68">
        <v>0</v>
      </c>
      <c r="V5179" s="68">
        <v>0</v>
      </c>
      <c r="W5179" s="0">
        <f>IF(IF(B5179="none",1,IF(B5179="Trialer",1,0))+IF(C5179="Customer",1,IF(C5179="Lost",1,0))=2,1,0)</f>
      </c>
      <c r="X5179" s="0" t="s">
        <v>145</v>
      </c>
      <c r="Y5179" s="0" t="s">
        <v>1516</v>
      </c>
      <c r="AV5179" s="68"/>
      <c r="AW5179" s="68"/>
      <c r="AY5179" s="27"/>
      <c r="BD5179" s="68">
        <v>46054.1666666667</v>
      </c>
      <c r="BE5179" s="68">
        <v>46082.1666666667</v>
      </c>
      <c r="BF5179" s="0" t="b">
        <v>0</v>
      </c>
      <c r="BG5179" s="0" t="b">
        <v>0</v>
      </c>
      <c r="BH5179" s="0">
        <v>59</v>
      </c>
      <c r="BI5179" s="0">
        <v>59</v>
      </c>
      <c r="BJ5179" s="0" t="s">
        <v>135</v>
      </c>
    </row>
    <row r="5180">
      <c r="A5180" s="0" t="s">
        <v>5448</v>
      </c>
      <c r="B5180" s="0" t="s">
        <v>5</v>
      </c>
      <c r="C5180" s="0" t="s">
        <v>652</v>
      </c>
      <c r="D5180" s="0" t="s">
        <v>135</v>
      </c>
      <c r="E5180" s="0" t="s">
        <v>3</v>
      </c>
      <c r="F5180" s="0" t="s">
        <v>12</v>
      </c>
      <c r="G5180" s="0" t="s">
        <v>8</v>
      </c>
      <c r="H5180" s="0">
        <v>-23</v>
      </c>
      <c r="I5180" s="0">
        <v>0</v>
      </c>
      <c r="J5180" s="0">
        <v>0</v>
      </c>
      <c r="K5180" s="0">
        <v>0</v>
      </c>
      <c r="L5180" s="0">
        <v>0</v>
      </c>
      <c r="M5180" s="0">
        <v>0</v>
      </c>
      <c r="N5180" s="0">
        <v>0</v>
      </c>
      <c r="O5180" s="0">
        <v>0</v>
      </c>
      <c r="P5180" s="0">
        <v>0</v>
      </c>
      <c r="R5180" s="0" t="b">
        <v>0</v>
      </c>
      <c r="S5180" s="0" t="b">
        <v>0</v>
      </c>
      <c r="T5180" s="68">
        <v>46077.8923611111</v>
      </c>
      <c r="U5180" s="68">
        <v>0</v>
      </c>
      <c r="V5180" s="68">
        <v>46077.9123726852</v>
      </c>
      <c r="W5180" s="0">
        <f>IF(IF(B5180="none",1,IF(B5180="Trialer",1,0))+IF(C5180="Customer",1,IF(C5180="Lost",1,0))=2,1,0)</f>
      </c>
      <c r="X5180" s="0" t="s">
        <v>136</v>
      </c>
      <c r="Y5180" s="0" t="s">
        <v>243</v>
      </c>
      <c r="AV5180" s="68"/>
      <c r="AW5180" s="68"/>
      <c r="AY5180" s="27"/>
      <c r="BD5180" s="68">
        <v>46054.1666666667</v>
      </c>
      <c r="BE5180" s="68">
        <v>46082.1666666667</v>
      </c>
      <c r="BF5180" s="0" t="b">
        <v>0</v>
      </c>
      <c r="BG5180" s="0" t="b">
        <v>0</v>
      </c>
      <c r="BH5180" s="0">
        <v>0</v>
      </c>
      <c r="BI5180" s="0">
        <v>0</v>
      </c>
      <c r="BJ5180" s="0" t="s">
        <v>135</v>
      </c>
    </row>
    <row r="5181">
      <c r="A5181" s="0" t="s">
        <v>5449</v>
      </c>
      <c r="B5181" s="0" t="s">
        <v>5</v>
      </c>
      <c r="C5181" s="0" t="s">
        <v>652</v>
      </c>
      <c r="D5181" s="0" t="s">
        <v>135</v>
      </c>
      <c r="E5181" s="0" t="s">
        <v>3</v>
      </c>
      <c r="F5181" s="0" t="s">
        <v>12</v>
      </c>
      <c r="G5181" s="0" t="s">
        <v>8</v>
      </c>
      <c r="H5181" s="0">
        <v>-24</v>
      </c>
      <c r="I5181" s="0">
        <v>0</v>
      </c>
      <c r="J5181" s="0">
        <v>0</v>
      </c>
      <c r="K5181" s="0">
        <v>0</v>
      </c>
      <c r="L5181" s="0">
        <v>0</v>
      </c>
      <c r="M5181" s="0">
        <v>0</v>
      </c>
      <c r="N5181" s="0">
        <v>0</v>
      </c>
      <c r="O5181" s="0">
        <v>0</v>
      </c>
      <c r="P5181" s="0">
        <v>0</v>
      </c>
      <c r="R5181" s="0" t="b">
        <v>0</v>
      </c>
      <c r="S5181" s="0" t="b">
        <v>0</v>
      </c>
      <c r="T5181" s="68">
        <v>46078.060474537</v>
      </c>
      <c r="U5181" s="68">
        <v>0</v>
      </c>
      <c r="V5181" s="68">
        <v>46078.2461921296</v>
      </c>
      <c r="W5181" s="0">
        <f>IF(IF(B5181="none",1,IF(B5181="Trialer",1,0))+IF(C5181="Customer",1,IF(C5181="Lost",1,0))=2,1,0)</f>
      </c>
      <c r="X5181" s="0" t="s">
        <v>148</v>
      </c>
      <c r="Y5181" s="0" t="s">
        <v>243</v>
      </c>
      <c r="AV5181" s="68"/>
      <c r="AW5181" s="68"/>
      <c r="AY5181" s="27"/>
      <c r="BD5181" s="68">
        <v>46054.1666666667</v>
      </c>
      <c r="BE5181" s="68">
        <v>46082.1666666667</v>
      </c>
      <c r="BF5181" s="0" t="b">
        <v>1</v>
      </c>
      <c r="BG5181" s="0" t="b">
        <v>1</v>
      </c>
      <c r="BH5181" s="0">
        <v>0</v>
      </c>
      <c r="BI5181" s="0">
        <v>0</v>
      </c>
      <c r="BJ5181" s="0" t="s">
        <v>135</v>
      </c>
    </row>
    <row r="5182">
      <c r="A5182" s="0" t="s">
        <v>5450</v>
      </c>
      <c r="B5182" s="0" t="s">
        <v>5</v>
      </c>
      <c r="C5182" s="0" t="s">
        <v>652</v>
      </c>
      <c r="D5182" s="0" t="s">
        <v>135</v>
      </c>
      <c r="E5182" s="0" t="s">
        <v>4</v>
      </c>
      <c r="F5182" s="0" t="s">
        <v>12</v>
      </c>
      <c r="G5182" s="0" t="s">
        <v>8</v>
      </c>
      <c r="H5182" s="0">
        <v>-24</v>
      </c>
      <c r="I5182" s="0">
        <v>0</v>
      </c>
      <c r="J5182" s="0">
        <v>0</v>
      </c>
      <c r="K5182" s="0">
        <v>0</v>
      </c>
      <c r="L5182" s="0">
        <v>0</v>
      </c>
      <c r="M5182" s="0">
        <v>0</v>
      </c>
      <c r="N5182" s="0">
        <v>0</v>
      </c>
      <c r="O5182" s="0">
        <v>0</v>
      </c>
      <c r="P5182" s="0">
        <v>0</v>
      </c>
      <c r="R5182" s="0" t="b">
        <v>0</v>
      </c>
      <c r="S5182" s="0" t="b">
        <v>1</v>
      </c>
      <c r="T5182" s="68">
        <v>46078.1051041667</v>
      </c>
      <c r="U5182" s="68">
        <v>0</v>
      </c>
      <c r="V5182" s="68">
        <v>0</v>
      </c>
      <c r="W5182" s="0">
        <f>IF(IF(B5182="none",1,IF(B5182="Trialer",1,0))+IF(C5182="Customer",1,IF(C5182="Lost",1,0))=2,1,0)</f>
      </c>
      <c r="X5182" s="0" t="s">
        <v>145</v>
      </c>
      <c r="Y5182" s="0" t="s">
        <v>1772</v>
      </c>
      <c r="AV5182" s="68"/>
      <c r="AW5182" s="68"/>
      <c r="AY5182" s="27"/>
      <c r="BD5182" s="68">
        <v>46054.1666666667</v>
      </c>
      <c r="BE5182" s="68">
        <v>46082.1666666667</v>
      </c>
      <c r="BF5182" s="0" t="b">
        <v>0</v>
      </c>
      <c r="BG5182" s="0" t="b">
        <v>0</v>
      </c>
      <c r="BH5182" s="0">
        <v>71</v>
      </c>
      <c r="BI5182" s="0">
        <v>71</v>
      </c>
      <c r="BJ5182" s="0" t="s">
        <v>135</v>
      </c>
    </row>
    <row r="5183">
      <c r="A5183" s="0" t="s">
        <v>5451</v>
      </c>
      <c r="B5183" s="0" t="s">
        <v>5</v>
      </c>
      <c r="C5183" s="0" t="s">
        <v>652</v>
      </c>
      <c r="D5183" s="0" t="s">
        <v>135</v>
      </c>
      <c r="E5183" s="0" t="s">
        <v>3</v>
      </c>
      <c r="F5183" s="0" t="s">
        <v>12</v>
      </c>
      <c r="G5183" s="0" t="s">
        <v>8</v>
      </c>
      <c r="H5183" s="0">
        <v>-24</v>
      </c>
      <c r="I5183" s="0">
        <v>0</v>
      </c>
      <c r="J5183" s="0">
        <v>0</v>
      </c>
      <c r="K5183" s="0">
        <v>0</v>
      </c>
      <c r="L5183" s="0">
        <v>0</v>
      </c>
      <c r="M5183" s="0">
        <v>0</v>
      </c>
      <c r="N5183" s="0">
        <v>0</v>
      </c>
      <c r="O5183" s="0">
        <v>0</v>
      </c>
      <c r="P5183" s="0">
        <v>0</v>
      </c>
      <c r="R5183" s="0" t="b">
        <v>0</v>
      </c>
      <c r="S5183" s="0" t="b">
        <v>1</v>
      </c>
      <c r="T5183" s="68">
        <v>46078.1490162037</v>
      </c>
      <c r="U5183" s="68">
        <v>0</v>
      </c>
      <c r="V5183" s="68">
        <v>0</v>
      </c>
      <c r="W5183" s="0">
        <f>IF(IF(B5183="none",1,IF(B5183="Trialer",1,0))+IF(C5183="Customer",1,IF(C5183="Lost",1,0))=2,1,0)</f>
      </c>
      <c r="X5183" s="0" t="s">
        <v>148</v>
      </c>
      <c r="Y5183" s="0" t="s">
        <v>243</v>
      </c>
      <c r="AV5183" s="68"/>
      <c r="AW5183" s="68"/>
      <c r="AY5183" s="27"/>
      <c r="BD5183" s="68">
        <v>46054.1666666667</v>
      </c>
      <c r="BE5183" s="68">
        <v>46082.1666666667</v>
      </c>
      <c r="BF5183" s="0" t="b">
        <v>0</v>
      </c>
      <c r="BG5183" s="0" t="b">
        <v>0</v>
      </c>
      <c r="BH5183" s="0">
        <v>170</v>
      </c>
      <c r="BI5183" s="0">
        <v>170</v>
      </c>
      <c r="BJ5183" s="0" t="s">
        <v>135</v>
      </c>
    </row>
    <row r="5184">
      <c r="A5184" s="0" t="s">
        <v>5452</v>
      </c>
      <c r="B5184" s="0" t="s">
        <v>5</v>
      </c>
      <c r="C5184" s="0" t="s">
        <v>652</v>
      </c>
      <c r="D5184" s="0" t="s">
        <v>135</v>
      </c>
      <c r="E5184" s="0" t="s">
        <v>3</v>
      </c>
      <c r="F5184" s="0" t="s">
        <v>12</v>
      </c>
      <c r="G5184" s="0" t="s">
        <v>8</v>
      </c>
      <c r="H5184" s="0">
        <v>-24</v>
      </c>
      <c r="I5184" s="0">
        <v>0</v>
      </c>
      <c r="J5184" s="0">
        <v>0</v>
      </c>
      <c r="K5184" s="0">
        <v>0</v>
      </c>
      <c r="L5184" s="0">
        <v>0</v>
      </c>
      <c r="M5184" s="0">
        <v>0</v>
      </c>
      <c r="N5184" s="0">
        <v>0</v>
      </c>
      <c r="O5184" s="0">
        <v>0</v>
      </c>
      <c r="P5184" s="0">
        <v>0</v>
      </c>
      <c r="R5184" s="0" t="b">
        <v>0</v>
      </c>
      <c r="S5184" s="0" t="b">
        <v>1</v>
      </c>
      <c r="T5184" s="68">
        <v>46078.3317708333</v>
      </c>
      <c r="U5184" s="68">
        <v>0</v>
      </c>
      <c r="V5184" s="68">
        <v>0</v>
      </c>
      <c r="W5184" s="0">
        <f>IF(IF(B5184="none",1,IF(B5184="Trialer",1,0))+IF(C5184="Customer",1,IF(C5184="Lost",1,0))=2,1,0)</f>
      </c>
      <c r="X5184" s="0" t="s">
        <v>136</v>
      </c>
      <c r="Y5184" s="0" t="s">
        <v>243</v>
      </c>
      <c r="AV5184" s="68"/>
      <c r="AW5184" s="68"/>
      <c r="AY5184" s="27"/>
      <c r="BD5184" s="68">
        <v>46054.1666666667</v>
      </c>
      <c r="BE5184" s="68">
        <v>46082.1666666667</v>
      </c>
      <c r="BF5184" s="0" t="b">
        <v>0</v>
      </c>
      <c r="BG5184" s="0" t="b">
        <v>0</v>
      </c>
      <c r="BH5184" s="0">
        <v>71</v>
      </c>
      <c r="BI5184" s="0">
        <v>71</v>
      </c>
      <c r="BJ5184" s="0" t="s">
        <v>135</v>
      </c>
    </row>
    <row r="5185">
      <c r="A5185" s="0" t="s">
        <v>5453</v>
      </c>
      <c r="B5185" s="0" t="s">
        <v>5</v>
      </c>
      <c r="C5185" s="0" t="s">
        <v>652</v>
      </c>
      <c r="D5185" s="0" t="s">
        <v>135</v>
      </c>
      <c r="E5185" s="0" t="s">
        <v>3</v>
      </c>
      <c r="F5185" s="0" t="s">
        <v>12</v>
      </c>
      <c r="G5185" s="0" t="s">
        <v>8</v>
      </c>
      <c r="H5185" s="0">
        <v>-24</v>
      </c>
      <c r="I5185" s="0">
        <v>0</v>
      </c>
      <c r="J5185" s="0">
        <v>0</v>
      </c>
      <c r="K5185" s="0">
        <v>0</v>
      </c>
      <c r="L5185" s="0">
        <v>0</v>
      </c>
      <c r="M5185" s="0">
        <v>0</v>
      </c>
      <c r="N5185" s="0">
        <v>0</v>
      </c>
      <c r="O5185" s="0">
        <v>0</v>
      </c>
      <c r="P5185" s="0">
        <v>0</v>
      </c>
      <c r="R5185" s="0" t="b">
        <v>0</v>
      </c>
      <c r="S5185" s="0" t="b">
        <v>1</v>
      </c>
      <c r="T5185" s="68">
        <v>46078.3354976852</v>
      </c>
      <c r="U5185" s="68">
        <v>0</v>
      </c>
      <c r="V5185" s="68">
        <v>0</v>
      </c>
      <c r="W5185" s="0">
        <f>IF(IF(B5185="none",1,IF(B5185="Trialer",1,0))+IF(C5185="Customer",1,IF(C5185="Lost",1,0))=2,1,0)</f>
      </c>
      <c r="X5185" s="0" t="s">
        <v>145</v>
      </c>
      <c r="Y5185" s="0" t="s">
        <v>243</v>
      </c>
      <c r="AV5185" s="68"/>
      <c r="AW5185" s="68"/>
      <c r="AY5185" s="27"/>
      <c r="BD5185" s="68">
        <v>46054.1666666667</v>
      </c>
      <c r="BE5185" s="68">
        <v>46082.1666666667</v>
      </c>
      <c r="BF5185" s="0" t="b">
        <v>0</v>
      </c>
      <c r="BG5185" s="0" t="b">
        <v>0</v>
      </c>
      <c r="BH5185" s="0">
        <v>71</v>
      </c>
      <c r="BI5185" s="0">
        <v>71</v>
      </c>
      <c r="BJ5185" s="0" t="s">
        <v>135</v>
      </c>
    </row>
    <row r="5186">
      <c r="A5186" s="0" t="s">
        <v>5454</v>
      </c>
      <c r="B5186" s="0" t="s">
        <v>5</v>
      </c>
      <c r="C5186" s="0" t="s">
        <v>652</v>
      </c>
      <c r="D5186" s="0" t="s">
        <v>135</v>
      </c>
      <c r="E5186" s="0" t="s">
        <v>3</v>
      </c>
      <c r="F5186" s="0" t="s">
        <v>12</v>
      </c>
      <c r="G5186" s="0" t="s">
        <v>8</v>
      </c>
      <c r="H5186" s="0">
        <v>-24</v>
      </c>
      <c r="I5186" s="0">
        <v>0</v>
      </c>
      <c r="J5186" s="0">
        <v>0</v>
      </c>
      <c r="K5186" s="0">
        <v>0</v>
      </c>
      <c r="L5186" s="0">
        <v>0</v>
      </c>
      <c r="M5186" s="0">
        <v>0</v>
      </c>
      <c r="N5186" s="0">
        <v>0</v>
      </c>
      <c r="O5186" s="0">
        <v>0</v>
      </c>
      <c r="P5186" s="0">
        <v>0</v>
      </c>
      <c r="R5186" s="0" t="b">
        <v>0</v>
      </c>
      <c r="S5186" s="0" t="b">
        <v>0</v>
      </c>
      <c r="T5186" s="68">
        <v>46078.3538657407</v>
      </c>
      <c r="U5186" s="68">
        <v>0</v>
      </c>
      <c r="V5186" s="68">
        <v>46078.3718171296</v>
      </c>
      <c r="W5186" s="0">
        <f>IF(IF(B5186="none",1,IF(B5186="Trialer",1,0))+IF(C5186="Customer",1,IF(C5186="Lost",1,0))=2,1,0)</f>
      </c>
      <c r="X5186" s="0" t="s">
        <v>145</v>
      </c>
      <c r="Y5186" s="0" t="s">
        <v>243</v>
      </c>
      <c r="AV5186" s="68"/>
      <c r="AW5186" s="68"/>
      <c r="AY5186" s="27"/>
      <c r="BD5186" s="68">
        <v>46054.1666666667</v>
      </c>
      <c r="BE5186" s="68">
        <v>46082.1666666667</v>
      </c>
      <c r="BF5186" s="0" t="b">
        <v>0</v>
      </c>
      <c r="BG5186" s="0" t="b">
        <v>0</v>
      </c>
      <c r="BH5186" s="0">
        <v>0</v>
      </c>
      <c r="BI5186" s="0">
        <v>0</v>
      </c>
      <c r="BJ5186" s="0" t="s">
        <v>135</v>
      </c>
    </row>
    <row r="5187">
      <c r="A5187" s="0" t="s">
        <v>5455</v>
      </c>
      <c r="B5187" s="0" t="s">
        <v>5</v>
      </c>
      <c r="C5187" s="0" t="s">
        <v>652</v>
      </c>
      <c r="D5187" s="0" t="s">
        <v>135</v>
      </c>
      <c r="E5187" s="0" t="s">
        <v>3</v>
      </c>
      <c r="F5187" s="0" t="s">
        <v>12</v>
      </c>
      <c r="G5187" s="0" t="s">
        <v>8</v>
      </c>
      <c r="H5187" s="0">
        <v>-24</v>
      </c>
      <c r="I5187" s="0">
        <v>0</v>
      </c>
      <c r="J5187" s="0">
        <v>0</v>
      </c>
      <c r="K5187" s="0">
        <v>0</v>
      </c>
      <c r="L5187" s="0">
        <v>0</v>
      </c>
      <c r="M5187" s="0">
        <v>0</v>
      </c>
      <c r="N5187" s="0">
        <v>0</v>
      </c>
      <c r="O5187" s="0">
        <v>0</v>
      </c>
      <c r="P5187" s="0">
        <v>0</v>
      </c>
      <c r="R5187" s="0" t="b">
        <v>0</v>
      </c>
      <c r="S5187" s="0" t="b">
        <v>0</v>
      </c>
      <c r="T5187" s="68">
        <v>46078.4015393518</v>
      </c>
      <c r="U5187" s="68">
        <v>0</v>
      </c>
      <c r="V5187" s="68">
        <v>46098.7930439815</v>
      </c>
      <c r="W5187" s="0">
        <f>IF(IF(B5187="none",1,IF(B5187="Trialer",1,0))+IF(C5187="Customer",1,IF(C5187="Lost",1,0))=2,1,0)</f>
      </c>
      <c r="X5187" s="0" t="s">
        <v>136</v>
      </c>
      <c r="Y5187" s="0" t="s">
        <v>243</v>
      </c>
      <c r="AV5187" s="68"/>
      <c r="AW5187" s="68"/>
      <c r="AY5187" s="27"/>
      <c r="BD5187" s="68">
        <v>46054.1666666667</v>
      </c>
      <c r="BE5187" s="68">
        <v>46082.1666666667</v>
      </c>
      <c r="BF5187" s="0" t="b">
        <v>0</v>
      </c>
      <c r="BG5187" s="0" t="b">
        <v>0</v>
      </c>
      <c r="BH5187" s="0">
        <v>85</v>
      </c>
      <c r="BI5187" s="0">
        <v>85</v>
      </c>
      <c r="BJ5187" s="0" t="s">
        <v>135</v>
      </c>
    </row>
    <row r="5188">
      <c r="A5188" s="0" t="s">
        <v>5456</v>
      </c>
      <c r="B5188" s="0" t="s">
        <v>5</v>
      </c>
      <c r="C5188" s="0" t="s">
        <v>652</v>
      </c>
      <c r="D5188" s="0" t="s">
        <v>135</v>
      </c>
      <c r="E5188" s="0" t="s">
        <v>2414</v>
      </c>
      <c r="F5188" s="0" t="s">
        <v>12</v>
      </c>
      <c r="G5188" s="0" t="s">
        <v>8</v>
      </c>
      <c r="H5188" s="0">
        <v>-24</v>
      </c>
      <c r="I5188" s="0">
        <v>0</v>
      </c>
      <c r="J5188" s="0">
        <v>0</v>
      </c>
      <c r="K5188" s="0">
        <v>0</v>
      </c>
      <c r="L5188" s="0">
        <v>0</v>
      </c>
      <c r="M5188" s="0">
        <v>0</v>
      </c>
      <c r="N5188" s="0">
        <v>0</v>
      </c>
      <c r="O5188" s="0">
        <v>0</v>
      </c>
      <c r="P5188" s="0">
        <v>0</v>
      </c>
      <c r="R5188" s="0" t="b">
        <v>0</v>
      </c>
      <c r="S5188" s="0" t="b">
        <v>1</v>
      </c>
      <c r="T5188" s="68">
        <v>46078.4269097222</v>
      </c>
      <c r="U5188" s="68">
        <v>0</v>
      </c>
      <c r="V5188" s="68">
        <v>0</v>
      </c>
      <c r="W5188" s="0">
        <f>IF(IF(B5188="none",1,IF(B5188="Trialer",1,0))+IF(C5188="Customer",1,IF(C5188="Lost",1,0))=2,1,0)</f>
      </c>
      <c r="X5188" s="0" t="s">
        <v>148</v>
      </c>
      <c r="Y5188" s="0" t="s">
        <v>1516</v>
      </c>
      <c r="AV5188" s="68"/>
      <c r="AW5188" s="68"/>
      <c r="AY5188" s="27"/>
      <c r="BD5188" s="68">
        <v>46054.1666666667</v>
      </c>
      <c r="BE5188" s="68">
        <v>46082.1666666667</v>
      </c>
      <c r="BF5188" s="0" t="b">
        <v>0</v>
      </c>
      <c r="BG5188" s="0" t="b">
        <v>0</v>
      </c>
      <c r="BH5188" s="0">
        <v>59</v>
      </c>
      <c r="BI5188" s="0">
        <v>59</v>
      </c>
      <c r="BJ5188" s="0" t="s">
        <v>135</v>
      </c>
    </row>
    <row r="5189">
      <c r="A5189" s="0" t="s">
        <v>5457</v>
      </c>
      <c r="B5189" s="0" t="s">
        <v>5</v>
      </c>
      <c r="C5189" s="0" t="s">
        <v>652</v>
      </c>
      <c r="D5189" s="0" t="s">
        <v>135</v>
      </c>
      <c r="E5189" s="0" t="s">
        <v>3</v>
      </c>
      <c r="F5189" s="0" t="s">
        <v>12</v>
      </c>
      <c r="G5189" s="0" t="s">
        <v>8</v>
      </c>
      <c r="H5189" s="0">
        <v>-24</v>
      </c>
      <c r="I5189" s="0">
        <v>0</v>
      </c>
      <c r="J5189" s="0">
        <v>0</v>
      </c>
      <c r="K5189" s="0">
        <v>0</v>
      </c>
      <c r="L5189" s="0">
        <v>0</v>
      </c>
      <c r="M5189" s="0">
        <v>0</v>
      </c>
      <c r="N5189" s="0">
        <v>0</v>
      </c>
      <c r="O5189" s="0">
        <v>0</v>
      </c>
      <c r="P5189" s="0">
        <v>0</v>
      </c>
      <c r="R5189" s="0" t="b">
        <v>0</v>
      </c>
      <c r="S5189" s="0" t="b">
        <v>0</v>
      </c>
      <c r="T5189" s="68">
        <v>46078.4578125</v>
      </c>
      <c r="U5189" s="68">
        <v>0</v>
      </c>
      <c r="V5189" s="68">
        <v>46078.4649884259</v>
      </c>
      <c r="W5189" s="0">
        <f>IF(IF(B5189="none",1,IF(B5189="Trialer",1,0))+IF(C5189="Customer",1,IF(C5189="Lost",1,0))=2,1,0)</f>
      </c>
      <c r="X5189" s="0" t="s">
        <v>145</v>
      </c>
      <c r="Y5189" s="0" t="s">
        <v>243</v>
      </c>
      <c r="AV5189" s="68"/>
      <c r="AW5189" s="68"/>
      <c r="AY5189" s="27"/>
      <c r="BD5189" s="68">
        <v>46054.1666666667</v>
      </c>
      <c r="BE5189" s="68">
        <v>46082.1666666667</v>
      </c>
      <c r="BF5189" s="0" t="b">
        <v>0</v>
      </c>
      <c r="BG5189" s="0" t="b">
        <v>0</v>
      </c>
      <c r="BH5189" s="0">
        <v>0</v>
      </c>
      <c r="BI5189" s="0">
        <v>0</v>
      </c>
      <c r="BJ5189" s="0" t="s">
        <v>135</v>
      </c>
    </row>
    <row r="5190">
      <c r="A5190" s="0" t="s">
        <v>5458</v>
      </c>
      <c r="B5190" s="0" t="s">
        <v>5</v>
      </c>
      <c r="C5190" s="0" t="s">
        <v>652</v>
      </c>
      <c r="D5190" s="0" t="s">
        <v>135</v>
      </c>
      <c r="E5190" s="0" t="s">
        <v>3</v>
      </c>
      <c r="F5190" s="0" t="s">
        <v>12</v>
      </c>
      <c r="G5190" s="0" t="s">
        <v>8</v>
      </c>
      <c r="H5190" s="0">
        <v>-24</v>
      </c>
      <c r="I5190" s="0">
        <v>0</v>
      </c>
      <c r="J5190" s="0">
        <v>0</v>
      </c>
      <c r="K5190" s="0">
        <v>0</v>
      </c>
      <c r="L5190" s="0">
        <v>0</v>
      </c>
      <c r="M5190" s="0">
        <v>0</v>
      </c>
      <c r="N5190" s="0">
        <v>0</v>
      </c>
      <c r="O5190" s="0">
        <v>0</v>
      </c>
      <c r="P5190" s="0">
        <v>0</v>
      </c>
      <c r="R5190" s="0" t="b">
        <v>0</v>
      </c>
      <c r="S5190" s="0" t="b">
        <v>0</v>
      </c>
      <c r="T5190" s="68">
        <v>46078.4650115741</v>
      </c>
      <c r="U5190" s="68">
        <v>46092.3333333333</v>
      </c>
      <c r="V5190" s="68">
        <v>46094.2363773148</v>
      </c>
      <c r="W5190" s="0">
        <f>IF(IF(B5190="none",1,IF(B5190="Trialer",1,0))+IF(C5190="Customer",1,IF(C5190="Lost",1,0))=2,1,0)</f>
      </c>
      <c r="X5190" s="0" t="s">
        <v>148</v>
      </c>
      <c r="Y5190" s="0" t="s">
        <v>243</v>
      </c>
      <c r="AV5190" s="68"/>
      <c r="AW5190" s="68"/>
      <c r="AY5190" s="27"/>
      <c r="BD5190" s="68">
        <v>46054.1666666667</v>
      </c>
      <c r="BE5190" s="68">
        <v>46082.1666666667</v>
      </c>
      <c r="BF5190" s="0" t="b">
        <v>0</v>
      </c>
      <c r="BG5190" s="0" t="b">
        <v>0</v>
      </c>
      <c r="BH5190" s="0">
        <v>166</v>
      </c>
      <c r="BI5190" s="0">
        <v>166</v>
      </c>
      <c r="BJ5190" s="0" t="s">
        <v>135</v>
      </c>
    </row>
    <row r="5191">
      <c r="A5191" s="0" t="s">
        <v>5459</v>
      </c>
      <c r="B5191" s="0" t="s">
        <v>5</v>
      </c>
      <c r="C5191" s="0" t="s">
        <v>652</v>
      </c>
      <c r="D5191" s="0" t="s">
        <v>135</v>
      </c>
      <c r="E5191" s="0" t="s">
        <v>2</v>
      </c>
      <c r="F5191" s="0" t="s">
        <v>12</v>
      </c>
      <c r="G5191" s="0" t="s">
        <v>8</v>
      </c>
      <c r="H5191" s="0">
        <v>-24</v>
      </c>
      <c r="I5191" s="0">
        <v>0</v>
      </c>
      <c r="J5191" s="0">
        <v>0</v>
      </c>
      <c r="K5191" s="0">
        <v>0</v>
      </c>
      <c r="L5191" s="0">
        <v>0</v>
      </c>
      <c r="M5191" s="0">
        <v>0</v>
      </c>
      <c r="N5191" s="0">
        <v>0</v>
      </c>
      <c r="O5191" s="0">
        <v>0</v>
      </c>
      <c r="P5191" s="0">
        <v>0</v>
      </c>
      <c r="R5191" s="0" t="b">
        <v>0</v>
      </c>
      <c r="S5191" s="0" t="b">
        <v>1</v>
      </c>
      <c r="T5191" s="68">
        <v>46078.4744907407</v>
      </c>
      <c r="U5191" s="68">
        <v>0</v>
      </c>
      <c r="V5191" s="68">
        <v>0</v>
      </c>
      <c r="W5191" s="0">
        <f>IF(IF(B5191="none",1,IF(B5191="Trialer",1,0))+IF(C5191="Customer",1,IF(C5191="Lost",1,0))=2,1,0)</f>
      </c>
      <c r="X5191" s="0" t="s">
        <v>145</v>
      </c>
      <c r="Y5191" s="0" t="s">
        <v>499</v>
      </c>
      <c r="AV5191" s="68"/>
      <c r="AW5191" s="68"/>
      <c r="AY5191" s="27"/>
      <c r="BD5191" s="68">
        <v>46054.1666666667</v>
      </c>
      <c r="BE5191" s="68">
        <v>46082.1666666667</v>
      </c>
      <c r="BF5191" s="0" t="b">
        <v>0</v>
      </c>
      <c r="BG5191" s="0" t="b">
        <v>0</v>
      </c>
      <c r="BH5191" s="0">
        <v>97</v>
      </c>
      <c r="BI5191" s="0">
        <v>97</v>
      </c>
      <c r="BJ5191" s="0" t="s">
        <v>135</v>
      </c>
    </row>
    <row r="5192">
      <c r="A5192" s="0" t="s">
        <v>5460</v>
      </c>
      <c r="B5192" s="0" t="s">
        <v>5</v>
      </c>
      <c r="C5192" s="0" t="s">
        <v>652</v>
      </c>
      <c r="D5192" s="0" t="s">
        <v>135</v>
      </c>
      <c r="E5192" s="0" t="s">
        <v>3</v>
      </c>
      <c r="F5192" s="0" t="s">
        <v>12</v>
      </c>
      <c r="G5192" s="0" t="s">
        <v>8</v>
      </c>
      <c r="H5192" s="0">
        <v>-24</v>
      </c>
      <c r="I5192" s="0">
        <v>0</v>
      </c>
      <c r="J5192" s="0">
        <v>0</v>
      </c>
      <c r="K5192" s="0">
        <v>0</v>
      </c>
      <c r="L5192" s="0">
        <v>0</v>
      </c>
      <c r="M5192" s="0">
        <v>0</v>
      </c>
      <c r="N5192" s="0">
        <v>0</v>
      </c>
      <c r="O5192" s="0">
        <v>0</v>
      </c>
      <c r="P5192" s="0">
        <v>0</v>
      </c>
      <c r="R5192" s="0" t="b">
        <v>0</v>
      </c>
      <c r="S5192" s="0" t="b">
        <v>1</v>
      </c>
      <c r="T5192" s="68">
        <v>46078.474849537</v>
      </c>
      <c r="U5192" s="68">
        <v>0</v>
      </c>
      <c r="V5192" s="68">
        <v>0</v>
      </c>
      <c r="W5192" s="0">
        <f>IF(IF(B5192="none",1,IF(B5192="Trialer",1,0))+IF(C5192="Customer",1,IF(C5192="Lost",1,0))=2,1,0)</f>
      </c>
      <c r="X5192" s="0" t="s">
        <v>136</v>
      </c>
      <c r="Y5192" s="0" t="s">
        <v>243</v>
      </c>
      <c r="AV5192" s="68"/>
      <c r="AW5192" s="68"/>
      <c r="AY5192" s="27"/>
      <c r="BD5192" s="68">
        <v>46054.1666666667</v>
      </c>
      <c r="BE5192" s="68">
        <v>46082.1666666667</v>
      </c>
      <c r="BF5192" s="0" t="b">
        <v>0</v>
      </c>
      <c r="BG5192" s="0" t="b">
        <v>0</v>
      </c>
      <c r="BH5192" s="0">
        <v>85</v>
      </c>
      <c r="BI5192" s="0">
        <v>85</v>
      </c>
      <c r="BJ5192" s="0" t="s">
        <v>135</v>
      </c>
    </row>
    <row r="5193">
      <c r="A5193" s="0" t="s">
        <v>5461</v>
      </c>
      <c r="B5193" s="0" t="s">
        <v>5</v>
      </c>
      <c r="C5193" s="0" t="s">
        <v>652</v>
      </c>
      <c r="D5193" s="0" t="s">
        <v>135</v>
      </c>
      <c r="E5193" s="0" t="s">
        <v>2414</v>
      </c>
      <c r="F5193" s="0" t="s">
        <v>12</v>
      </c>
      <c r="G5193" s="0" t="s">
        <v>8</v>
      </c>
      <c r="H5193" s="0">
        <v>-24</v>
      </c>
      <c r="I5193" s="0">
        <v>0</v>
      </c>
      <c r="J5193" s="0">
        <v>0</v>
      </c>
      <c r="K5193" s="0">
        <v>0</v>
      </c>
      <c r="L5193" s="0">
        <v>0</v>
      </c>
      <c r="M5193" s="0">
        <v>0</v>
      </c>
      <c r="N5193" s="0">
        <v>0</v>
      </c>
      <c r="O5193" s="0">
        <v>0</v>
      </c>
      <c r="P5193" s="0">
        <v>0</v>
      </c>
      <c r="R5193" s="0" t="b">
        <v>0</v>
      </c>
      <c r="S5193" s="0" t="b">
        <v>1</v>
      </c>
      <c r="T5193" s="68">
        <v>46078.4776967593</v>
      </c>
      <c r="U5193" s="68">
        <v>0</v>
      </c>
      <c r="V5193" s="68">
        <v>0</v>
      </c>
      <c r="W5193" s="0">
        <f>IF(IF(B5193="none",1,IF(B5193="Trialer",1,0))+IF(C5193="Customer",1,IF(C5193="Lost",1,0))=2,1,0)</f>
      </c>
      <c r="X5193" s="0" t="s">
        <v>148</v>
      </c>
      <c r="Y5193" s="0" t="s">
        <v>1516</v>
      </c>
      <c r="AV5193" s="68"/>
      <c r="AW5193" s="68"/>
      <c r="AY5193" s="27"/>
      <c r="BD5193" s="68">
        <v>46054.1666666667</v>
      </c>
      <c r="BE5193" s="68">
        <v>46082.1666666667</v>
      </c>
      <c r="BF5193" s="0" t="b">
        <v>0</v>
      </c>
      <c r="BG5193" s="0" t="b">
        <v>0</v>
      </c>
      <c r="BH5193" s="0">
        <v>59</v>
      </c>
      <c r="BI5193" s="0">
        <v>59</v>
      </c>
      <c r="BJ5193" s="0" t="s">
        <v>135</v>
      </c>
    </row>
    <row r="5194">
      <c r="A5194" s="0" t="s">
        <v>5462</v>
      </c>
      <c r="B5194" s="0" t="s">
        <v>5</v>
      </c>
      <c r="C5194" s="0" t="s">
        <v>652</v>
      </c>
      <c r="D5194" s="0" t="s">
        <v>135</v>
      </c>
      <c r="E5194" s="0" t="s">
        <v>3</v>
      </c>
      <c r="F5194" s="0" t="s">
        <v>12</v>
      </c>
      <c r="G5194" s="0" t="s">
        <v>8</v>
      </c>
      <c r="H5194" s="0">
        <v>-24</v>
      </c>
      <c r="I5194" s="0">
        <v>0</v>
      </c>
      <c r="J5194" s="0">
        <v>0</v>
      </c>
      <c r="K5194" s="0">
        <v>0</v>
      </c>
      <c r="L5194" s="0">
        <v>0</v>
      </c>
      <c r="M5194" s="0">
        <v>0</v>
      </c>
      <c r="N5194" s="0">
        <v>0</v>
      </c>
      <c r="O5194" s="0">
        <v>0</v>
      </c>
      <c r="P5194" s="0">
        <v>0</v>
      </c>
      <c r="R5194" s="0" t="b">
        <v>0</v>
      </c>
      <c r="S5194" s="0" t="b">
        <v>1</v>
      </c>
      <c r="T5194" s="68">
        <v>46078.4813541667</v>
      </c>
      <c r="U5194" s="68">
        <v>0</v>
      </c>
      <c r="V5194" s="68">
        <v>0</v>
      </c>
      <c r="W5194" s="0">
        <f>IF(IF(B5194="none",1,IF(B5194="Trialer",1,0))+IF(C5194="Customer",1,IF(C5194="Lost",1,0))=2,1,0)</f>
      </c>
      <c r="X5194" s="0" t="s">
        <v>145</v>
      </c>
      <c r="Y5194" s="0" t="s">
        <v>243</v>
      </c>
      <c r="AV5194" s="68"/>
      <c r="AW5194" s="68"/>
      <c r="AY5194" s="27"/>
      <c r="BD5194" s="68">
        <v>46054.1666666667</v>
      </c>
      <c r="BE5194" s="68">
        <v>46082.1666666667</v>
      </c>
      <c r="BF5194" s="0" t="b">
        <v>1</v>
      </c>
      <c r="BG5194" s="0" t="b">
        <v>0</v>
      </c>
      <c r="BH5194" s="0">
        <v>59</v>
      </c>
      <c r="BI5194" s="0">
        <v>59</v>
      </c>
      <c r="BJ5194" s="0" t="s">
        <v>135</v>
      </c>
    </row>
    <row r="5195">
      <c r="A5195" s="0" t="s">
        <v>5463</v>
      </c>
      <c r="B5195" s="0" t="s">
        <v>5</v>
      </c>
      <c r="C5195" s="0" t="s">
        <v>652</v>
      </c>
      <c r="D5195" s="0" t="s">
        <v>135</v>
      </c>
      <c r="E5195" s="0" t="s">
        <v>2414</v>
      </c>
      <c r="F5195" s="0" t="s">
        <v>12</v>
      </c>
      <c r="G5195" s="0" t="s">
        <v>8</v>
      </c>
      <c r="H5195" s="0">
        <v>-24</v>
      </c>
      <c r="I5195" s="0">
        <v>0</v>
      </c>
      <c r="J5195" s="0">
        <v>0</v>
      </c>
      <c r="K5195" s="0">
        <v>0</v>
      </c>
      <c r="L5195" s="0">
        <v>0</v>
      </c>
      <c r="M5195" s="0">
        <v>0</v>
      </c>
      <c r="N5195" s="0">
        <v>0</v>
      </c>
      <c r="O5195" s="0">
        <v>0</v>
      </c>
      <c r="P5195" s="0">
        <v>0</v>
      </c>
      <c r="R5195" s="0" t="b">
        <v>0</v>
      </c>
      <c r="S5195" s="0" t="b">
        <v>1</v>
      </c>
      <c r="T5195" s="68">
        <v>46078.5074421296</v>
      </c>
      <c r="U5195" s="68">
        <v>0</v>
      </c>
      <c r="V5195" s="68">
        <v>0</v>
      </c>
      <c r="W5195" s="0">
        <f>IF(IF(B5195="none",1,IF(B5195="Trialer",1,0))+IF(C5195="Customer",1,IF(C5195="Lost",1,0))=2,1,0)</f>
      </c>
      <c r="X5195" s="0" t="s">
        <v>136</v>
      </c>
      <c r="Y5195" s="0" t="s">
        <v>1516</v>
      </c>
      <c r="AV5195" s="68"/>
      <c r="AW5195" s="68"/>
      <c r="AY5195" s="27"/>
      <c r="BD5195" s="68">
        <v>46054.1666666667</v>
      </c>
      <c r="BE5195" s="68">
        <v>46082.1666666667</v>
      </c>
      <c r="BF5195" s="0" t="b">
        <v>0</v>
      </c>
      <c r="BG5195" s="0" t="b">
        <v>0</v>
      </c>
      <c r="BH5195" s="0">
        <v>59</v>
      </c>
      <c r="BI5195" s="0">
        <v>59</v>
      </c>
      <c r="BJ5195" s="0" t="s">
        <v>135</v>
      </c>
    </row>
    <row r="5196">
      <c r="A5196" s="0" t="s">
        <v>5464</v>
      </c>
      <c r="B5196" s="0" t="s">
        <v>5</v>
      </c>
      <c r="C5196" s="0" t="s">
        <v>652</v>
      </c>
      <c r="D5196" s="0" t="s">
        <v>135</v>
      </c>
      <c r="E5196" s="0" t="s">
        <v>3</v>
      </c>
      <c r="F5196" s="0" t="s">
        <v>12</v>
      </c>
      <c r="G5196" s="0" t="s">
        <v>8</v>
      </c>
      <c r="H5196" s="0">
        <v>-24</v>
      </c>
      <c r="I5196" s="0">
        <v>0</v>
      </c>
      <c r="J5196" s="0">
        <v>0</v>
      </c>
      <c r="K5196" s="0">
        <v>0</v>
      </c>
      <c r="L5196" s="0">
        <v>0</v>
      </c>
      <c r="M5196" s="0">
        <v>0</v>
      </c>
      <c r="N5196" s="0">
        <v>0</v>
      </c>
      <c r="O5196" s="0">
        <v>0</v>
      </c>
      <c r="P5196" s="0">
        <v>0</v>
      </c>
      <c r="R5196" s="0" t="b">
        <v>0</v>
      </c>
      <c r="S5196" s="0" t="b">
        <v>1</v>
      </c>
      <c r="T5196" s="68">
        <v>46078.512025463</v>
      </c>
      <c r="U5196" s="68">
        <v>46094.3333333333</v>
      </c>
      <c r="V5196" s="68">
        <v>0</v>
      </c>
      <c r="W5196" s="0">
        <f>IF(IF(B5196="none",1,IF(B5196="Trialer",1,0))+IF(C5196="Customer",1,IF(C5196="Lost",1,0))=2,1,0)</f>
      </c>
      <c r="X5196" s="0" t="s">
        <v>148</v>
      </c>
      <c r="Y5196" s="0" t="s">
        <v>243</v>
      </c>
      <c r="AV5196" s="68"/>
      <c r="AW5196" s="68"/>
      <c r="AY5196" s="27"/>
      <c r="BD5196" s="68">
        <v>46054.1666666667</v>
      </c>
      <c r="BE5196" s="68">
        <v>46082.1666666667</v>
      </c>
      <c r="BF5196" s="0" t="b">
        <v>0</v>
      </c>
      <c r="BG5196" s="0" t="b">
        <v>0</v>
      </c>
      <c r="BH5196" s="0">
        <v>186.75</v>
      </c>
      <c r="BI5196" s="0">
        <v>186.75</v>
      </c>
      <c r="BJ5196" s="0" t="s">
        <v>135</v>
      </c>
    </row>
    <row r="5197">
      <c r="A5197" s="0" t="s">
        <v>5465</v>
      </c>
      <c r="B5197" s="0" t="s">
        <v>5</v>
      </c>
      <c r="C5197" s="0" t="s">
        <v>652</v>
      </c>
      <c r="D5197" s="0" t="s">
        <v>135</v>
      </c>
      <c r="E5197" s="0" t="s">
        <v>3</v>
      </c>
      <c r="F5197" s="0" t="s">
        <v>12</v>
      </c>
      <c r="G5197" s="0" t="s">
        <v>8</v>
      </c>
      <c r="H5197" s="0">
        <v>-24</v>
      </c>
      <c r="I5197" s="0">
        <v>0</v>
      </c>
      <c r="J5197" s="0">
        <v>0</v>
      </c>
      <c r="K5197" s="0">
        <v>0</v>
      </c>
      <c r="L5197" s="0">
        <v>0</v>
      </c>
      <c r="M5197" s="0">
        <v>0</v>
      </c>
      <c r="N5197" s="0">
        <v>0</v>
      </c>
      <c r="O5197" s="0">
        <v>0</v>
      </c>
      <c r="P5197" s="0">
        <v>0</v>
      </c>
      <c r="R5197" s="0" t="b">
        <v>0</v>
      </c>
      <c r="S5197" s="0" t="b">
        <v>1</v>
      </c>
      <c r="T5197" s="68">
        <v>46078.5134953704</v>
      </c>
      <c r="U5197" s="68">
        <v>0</v>
      </c>
      <c r="V5197" s="68">
        <v>0</v>
      </c>
      <c r="W5197" s="0">
        <f>IF(IF(B5197="none",1,IF(B5197="Trialer",1,0))+IF(C5197="Customer",1,IF(C5197="Lost",1,0))=2,1,0)</f>
      </c>
      <c r="X5197" s="0" t="s">
        <v>148</v>
      </c>
      <c r="Y5197" s="0" t="s">
        <v>243</v>
      </c>
      <c r="AV5197" s="68"/>
      <c r="AW5197" s="68"/>
      <c r="AY5197" s="27"/>
      <c r="BD5197" s="68">
        <v>46054.1666666667</v>
      </c>
      <c r="BE5197" s="68">
        <v>46082.1666666667</v>
      </c>
      <c r="BF5197" s="0" t="b">
        <v>0</v>
      </c>
      <c r="BG5197" s="0" t="b">
        <v>0</v>
      </c>
      <c r="BH5197" s="0">
        <v>85</v>
      </c>
      <c r="BI5197" s="0">
        <v>85</v>
      </c>
      <c r="BJ5197" s="0" t="s">
        <v>135</v>
      </c>
    </row>
    <row r="5198">
      <c r="A5198" s="0" t="s">
        <v>5466</v>
      </c>
      <c r="B5198" s="0" t="s">
        <v>5</v>
      </c>
      <c r="C5198" s="0" t="s">
        <v>652</v>
      </c>
      <c r="D5198" s="0" t="s">
        <v>135</v>
      </c>
      <c r="E5198" s="0" t="s">
        <v>3</v>
      </c>
      <c r="F5198" s="0" t="s">
        <v>12</v>
      </c>
      <c r="G5198" s="0" t="s">
        <v>8</v>
      </c>
      <c r="H5198" s="0">
        <v>-24</v>
      </c>
      <c r="I5198" s="0">
        <v>0</v>
      </c>
      <c r="J5198" s="0">
        <v>0</v>
      </c>
      <c r="K5198" s="0">
        <v>0</v>
      </c>
      <c r="L5198" s="0">
        <v>0</v>
      </c>
      <c r="M5198" s="0">
        <v>0</v>
      </c>
      <c r="N5198" s="0">
        <v>0</v>
      </c>
      <c r="O5198" s="0">
        <v>0</v>
      </c>
      <c r="P5198" s="0">
        <v>0</v>
      </c>
      <c r="R5198" s="0" t="b">
        <v>0</v>
      </c>
      <c r="S5198" s="0" t="b">
        <v>1</v>
      </c>
      <c r="T5198" s="68">
        <v>46078.5519444444</v>
      </c>
      <c r="U5198" s="68">
        <v>0</v>
      </c>
      <c r="V5198" s="68">
        <v>0</v>
      </c>
      <c r="W5198" s="0">
        <f>IF(IF(B5198="none",1,IF(B5198="Trialer",1,0))+IF(C5198="Customer",1,IF(C5198="Lost",1,0))=2,1,0)</f>
      </c>
      <c r="X5198" s="0" t="s">
        <v>145</v>
      </c>
      <c r="Y5198" s="0" t="s">
        <v>243</v>
      </c>
      <c r="AV5198" s="68"/>
      <c r="AW5198" s="68"/>
      <c r="AY5198" s="27"/>
      <c r="BD5198" s="68">
        <v>46054.1666666667</v>
      </c>
      <c r="BE5198" s="68">
        <v>46082.1666666667</v>
      </c>
      <c r="BF5198" s="0" t="b">
        <v>0</v>
      </c>
      <c r="BG5198" s="0" t="b">
        <v>0</v>
      </c>
      <c r="BH5198" s="0">
        <v>71</v>
      </c>
      <c r="BI5198" s="0">
        <v>71</v>
      </c>
      <c r="BJ5198" s="0" t="s">
        <v>135</v>
      </c>
    </row>
    <row r="5199">
      <c r="A5199" s="0" t="s">
        <v>5467</v>
      </c>
      <c r="B5199" s="0" t="s">
        <v>5</v>
      </c>
      <c r="C5199" s="0" t="s">
        <v>652</v>
      </c>
      <c r="D5199" s="0" t="s">
        <v>135</v>
      </c>
      <c r="E5199" s="0" t="s">
        <v>3</v>
      </c>
      <c r="F5199" s="0" t="s">
        <v>12</v>
      </c>
      <c r="G5199" s="0" t="s">
        <v>8</v>
      </c>
      <c r="H5199" s="0">
        <v>-24</v>
      </c>
      <c r="I5199" s="0">
        <v>0</v>
      </c>
      <c r="J5199" s="0">
        <v>0</v>
      </c>
      <c r="K5199" s="0">
        <v>0</v>
      </c>
      <c r="L5199" s="0">
        <v>0</v>
      </c>
      <c r="M5199" s="0">
        <v>0</v>
      </c>
      <c r="N5199" s="0">
        <v>0</v>
      </c>
      <c r="O5199" s="0">
        <v>0</v>
      </c>
      <c r="P5199" s="0">
        <v>0</v>
      </c>
      <c r="R5199" s="0" t="b">
        <v>0</v>
      </c>
      <c r="S5199" s="0" t="b">
        <v>0</v>
      </c>
      <c r="T5199" s="68">
        <v>46078.5549537037</v>
      </c>
      <c r="U5199" s="68">
        <v>0</v>
      </c>
      <c r="V5199" s="68">
        <v>46084.6472106481</v>
      </c>
      <c r="W5199" s="0">
        <f>IF(IF(B5199="none",1,IF(B5199="Trialer",1,0))+IF(C5199="Customer",1,IF(C5199="Lost",1,0))=2,1,0)</f>
      </c>
      <c r="X5199" s="0" t="s">
        <v>136</v>
      </c>
      <c r="Y5199" s="0" t="s">
        <v>243</v>
      </c>
      <c r="AV5199" s="68"/>
      <c r="AW5199" s="68"/>
      <c r="AY5199" s="27"/>
      <c r="BD5199" s="68">
        <v>46054.1666666667</v>
      </c>
      <c r="BE5199" s="68">
        <v>46082.1666666667</v>
      </c>
      <c r="BF5199" s="0" t="b">
        <v>0</v>
      </c>
      <c r="BG5199" s="0" t="b">
        <v>0</v>
      </c>
      <c r="BH5199" s="0">
        <v>146</v>
      </c>
      <c r="BI5199" s="0">
        <v>146</v>
      </c>
      <c r="BJ5199" s="0" t="s">
        <v>135</v>
      </c>
    </row>
    <row r="5200">
      <c r="A5200" s="0" t="s">
        <v>5468</v>
      </c>
      <c r="B5200" s="0" t="s">
        <v>5</v>
      </c>
      <c r="C5200" s="0" t="s">
        <v>652</v>
      </c>
      <c r="D5200" s="0" t="s">
        <v>135</v>
      </c>
      <c r="E5200" s="0" t="s">
        <v>1515</v>
      </c>
      <c r="F5200" s="0" t="s">
        <v>12</v>
      </c>
      <c r="G5200" s="0" t="s">
        <v>8</v>
      </c>
      <c r="H5200" s="0">
        <v>-24</v>
      </c>
      <c r="I5200" s="0">
        <v>0</v>
      </c>
      <c r="J5200" s="0">
        <v>0</v>
      </c>
      <c r="K5200" s="0">
        <v>0</v>
      </c>
      <c r="L5200" s="0">
        <v>0</v>
      </c>
      <c r="M5200" s="0">
        <v>0</v>
      </c>
      <c r="N5200" s="0">
        <v>0</v>
      </c>
      <c r="O5200" s="0">
        <v>0</v>
      </c>
      <c r="P5200" s="0">
        <v>0</v>
      </c>
      <c r="R5200" s="0" t="b">
        <v>0</v>
      </c>
      <c r="S5200" s="0" t="b">
        <v>1</v>
      </c>
      <c r="T5200" s="68">
        <v>46078.5731597222</v>
      </c>
      <c r="U5200" s="68">
        <v>0</v>
      </c>
      <c r="V5200" s="68">
        <v>0</v>
      </c>
      <c r="W5200" s="0">
        <f>IF(IF(B5200="none",1,IF(B5200="Trialer",1,0))+IF(C5200="Customer",1,IF(C5200="Lost",1,0))=2,1,0)</f>
      </c>
      <c r="X5200" s="0" t="s">
        <v>148</v>
      </c>
      <c r="Y5200" s="0" t="s">
        <v>1516</v>
      </c>
      <c r="AV5200" s="68"/>
      <c r="AW5200" s="68"/>
      <c r="AY5200" s="27"/>
      <c r="BD5200" s="68">
        <v>46054.1666666667</v>
      </c>
      <c r="BE5200" s="68">
        <v>46082.1666666667</v>
      </c>
      <c r="BF5200" s="0" t="b">
        <v>0</v>
      </c>
      <c r="BG5200" s="0" t="b">
        <v>0</v>
      </c>
      <c r="BH5200" s="0">
        <v>59</v>
      </c>
      <c r="BI5200" s="0">
        <v>59</v>
      </c>
      <c r="BJ5200" s="0" t="s">
        <v>135</v>
      </c>
    </row>
    <row r="5201">
      <c r="A5201" s="0" t="s">
        <v>5469</v>
      </c>
      <c r="B5201" s="0" t="s">
        <v>5</v>
      </c>
      <c r="C5201" s="0" t="s">
        <v>652</v>
      </c>
      <c r="D5201" s="0" t="s">
        <v>135</v>
      </c>
      <c r="E5201" s="0" t="s">
        <v>2414</v>
      </c>
      <c r="F5201" s="0" t="s">
        <v>12</v>
      </c>
      <c r="G5201" s="0" t="s">
        <v>8</v>
      </c>
      <c r="H5201" s="0">
        <v>-24</v>
      </c>
      <c r="I5201" s="0">
        <v>0</v>
      </c>
      <c r="J5201" s="0">
        <v>0</v>
      </c>
      <c r="K5201" s="0">
        <v>0</v>
      </c>
      <c r="L5201" s="0">
        <v>0</v>
      </c>
      <c r="M5201" s="0">
        <v>0</v>
      </c>
      <c r="N5201" s="0">
        <v>0</v>
      </c>
      <c r="O5201" s="0">
        <v>0</v>
      </c>
      <c r="P5201" s="0">
        <v>0</v>
      </c>
      <c r="R5201" s="0" t="b">
        <v>0</v>
      </c>
      <c r="S5201" s="0" t="b">
        <v>0</v>
      </c>
      <c r="T5201" s="68">
        <v>46078.5731712963</v>
      </c>
      <c r="U5201" s="68">
        <v>0</v>
      </c>
      <c r="V5201" s="68">
        <v>46078.625474537</v>
      </c>
      <c r="W5201" s="0">
        <f>IF(IF(B5201="none",1,IF(B5201="Trialer",1,0))+IF(C5201="Customer",1,IF(C5201="Lost",1,0))=2,1,0)</f>
      </c>
      <c r="X5201" s="0" t="s">
        <v>148</v>
      </c>
      <c r="Y5201" s="0" t="s">
        <v>1516</v>
      </c>
      <c r="AV5201" s="68"/>
      <c r="AW5201" s="68"/>
      <c r="AY5201" s="27"/>
      <c r="BD5201" s="68">
        <v>46054.1666666667</v>
      </c>
      <c r="BE5201" s="68">
        <v>46082.1666666667</v>
      </c>
      <c r="BF5201" s="0" t="b">
        <v>1</v>
      </c>
      <c r="BG5201" s="0" t="b">
        <v>0</v>
      </c>
      <c r="BH5201" s="0">
        <v>0</v>
      </c>
      <c r="BI5201" s="0">
        <v>0</v>
      </c>
      <c r="BJ5201" s="0" t="s">
        <v>135</v>
      </c>
    </row>
    <row r="5202">
      <c r="A5202" s="0" t="s">
        <v>5470</v>
      </c>
      <c r="B5202" s="0" t="s">
        <v>5</v>
      </c>
      <c r="C5202" s="0" t="s">
        <v>652</v>
      </c>
      <c r="D5202" s="0" t="s">
        <v>135</v>
      </c>
      <c r="E5202" s="0" t="s">
        <v>2</v>
      </c>
      <c r="F5202" s="0" t="s">
        <v>12</v>
      </c>
      <c r="G5202" s="0" t="s">
        <v>8</v>
      </c>
      <c r="H5202" s="0">
        <v>-24</v>
      </c>
      <c r="I5202" s="0">
        <v>0</v>
      </c>
      <c r="J5202" s="0">
        <v>0</v>
      </c>
      <c r="K5202" s="0">
        <v>0</v>
      </c>
      <c r="L5202" s="0">
        <v>0</v>
      </c>
      <c r="M5202" s="0">
        <v>0</v>
      </c>
      <c r="N5202" s="0">
        <v>0</v>
      </c>
      <c r="O5202" s="0">
        <v>0</v>
      </c>
      <c r="P5202" s="0">
        <v>0</v>
      </c>
      <c r="R5202" s="0" t="b">
        <v>0</v>
      </c>
      <c r="S5202" s="0" t="b">
        <v>1</v>
      </c>
      <c r="T5202" s="68">
        <v>46078.5847685185</v>
      </c>
      <c r="U5202" s="68">
        <v>0</v>
      </c>
      <c r="V5202" s="68">
        <v>0</v>
      </c>
      <c r="W5202" s="0">
        <f>IF(IF(B5202="none",1,IF(B5202="Trialer",1,0))+IF(C5202="Customer",1,IF(C5202="Lost",1,0))=2,1,0)</f>
      </c>
      <c r="X5202" s="0" t="s">
        <v>145</v>
      </c>
      <c r="Y5202" s="0" t="s">
        <v>499</v>
      </c>
      <c r="AV5202" s="68"/>
      <c r="AW5202" s="68"/>
      <c r="AY5202" s="27"/>
      <c r="BD5202" s="68">
        <v>46054.1666666667</v>
      </c>
      <c r="BE5202" s="68">
        <v>46082.1666666667</v>
      </c>
      <c r="BF5202" s="0" t="b">
        <v>0</v>
      </c>
      <c r="BG5202" s="0" t="b">
        <v>0</v>
      </c>
      <c r="BH5202" s="0">
        <v>71</v>
      </c>
      <c r="BI5202" s="0">
        <v>71</v>
      </c>
      <c r="BJ5202" s="0" t="s">
        <v>135</v>
      </c>
    </row>
    <row r="5203">
      <c r="A5203" s="0" t="s">
        <v>5471</v>
      </c>
      <c r="B5203" s="0" t="s">
        <v>5</v>
      </c>
      <c r="C5203" s="0" t="s">
        <v>652</v>
      </c>
      <c r="D5203" s="0" t="s">
        <v>135</v>
      </c>
      <c r="E5203" s="0" t="s">
        <v>3</v>
      </c>
      <c r="F5203" s="0" t="s">
        <v>12</v>
      </c>
      <c r="G5203" s="0" t="s">
        <v>8</v>
      </c>
      <c r="H5203" s="0">
        <v>-24</v>
      </c>
      <c r="I5203" s="0">
        <v>0</v>
      </c>
      <c r="J5203" s="0">
        <v>0</v>
      </c>
      <c r="K5203" s="0">
        <v>0</v>
      </c>
      <c r="L5203" s="0">
        <v>0</v>
      </c>
      <c r="M5203" s="0">
        <v>0</v>
      </c>
      <c r="N5203" s="0">
        <v>0</v>
      </c>
      <c r="O5203" s="0">
        <v>0</v>
      </c>
      <c r="P5203" s="0">
        <v>0</v>
      </c>
      <c r="R5203" s="0" t="b">
        <v>0</v>
      </c>
      <c r="S5203" s="0" t="b">
        <v>1</v>
      </c>
      <c r="T5203" s="68">
        <v>46078.6205671296</v>
      </c>
      <c r="U5203" s="68">
        <v>46092.3333333333</v>
      </c>
      <c r="V5203" s="68">
        <v>0</v>
      </c>
      <c r="W5203" s="0">
        <f>IF(IF(B5203="none",1,IF(B5203="Trialer",1,0))+IF(C5203="Customer",1,IF(C5203="Lost",1,0))=2,1,0)</f>
      </c>
      <c r="X5203" s="0" t="s">
        <v>153</v>
      </c>
      <c r="Y5203" s="0" t="s">
        <v>243</v>
      </c>
      <c r="AV5203" s="68"/>
      <c r="AW5203" s="68"/>
      <c r="AY5203" s="27"/>
      <c r="BD5203" s="68">
        <v>46054.1666666667</v>
      </c>
      <c r="BE5203" s="68">
        <v>46082.1666666667</v>
      </c>
      <c r="BF5203" s="0" t="b">
        <v>0</v>
      </c>
      <c r="BG5203" s="0" t="b">
        <v>0</v>
      </c>
      <c r="BH5203" s="0">
        <v>59</v>
      </c>
      <c r="BI5203" s="0">
        <v>59</v>
      </c>
      <c r="BJ5203" s="0" t="s">
        <v>135</v>
      </c>
    </row>
    <row r="5204">
      <c r="A5204" s="0" t="s">
        <v>5472</v>
      </c>
      <c r="B5204" s="0" t="s">
        <v>5</v>
      </c>
      <c r="C5204" s="0" t="s">
        <v>652</v>
      </c>
      <c r="D5204" s="0" t="s">
        <v>135</v>
      </c>
      <c r="E5204" s="0" t="s">
        <v>3</v>
      </c>
      <c r="F5204" s="0" t="s">
        <v>12</v>
      </c>
      <c r="G5204" s="0" t="s">
        <v>8</v>
      </c>
      <c r="H5204" s="0">
        <v>-24</v>
      </c>
      <c r="I5204" s="0">
        <v>0</v>
      </c>
      <c r="J5204" s="0">
        <v>0</v>
      </c>
      <c r="K5204" s="0">
        <v>0</v>
      </c>
      <c r="L5204" s="0">
        <v>0</v>
      </c>
      <c r="M5204" s="0">
        <v>0</v>
      </c>
      <c r="N5204" s="0">
        <v>0</v>
      </c>
      <c r="O5204" s="0">
        <v>0</v>
      </c>
      <c r="P5204" s="0">
        <v>0</v>
      </c>
      <c r="R5204" s="0" t="b">
        <v>0</v>
      </c>
      <c r="S5204" s="0" t="b">
        <v>1</v>
      </c>
      <c r="T5204" s="68">
        <v>46078.6683449074</v>
      </c>
      <c r="U5204" s="68">
        <v>0</v>
      </c>
      <c r="V5204" s="68">
        <v>0</v>
      </c>
      <c r="W5204" s="0">
        <f>IF(IF(B5204="none",1,IF(B5204="Trialer",1,0))+IF(C5204="Customer",1,IF(C5204="Lost",1,0))=2,1,0)</f>
      </c>
      <c r="X5204" s="0" t="s">
        <v>148</v>
      </c>
      <c r="Y5204" s="0" t="s">
        <v>243</v>
      </c>
      <c r="AV5204" s="68"/>
      <c r="AW5204" s="68"/>
      <c r="AY5204" s="27"/>
      <c r="BD5204" s="68">
        <v>46054.1666666667</v>
      </c>
      <c r="BE5204" s="68">
        <v>46082.1666666667</v>
      </c>
      <c r="BF5204" s="0" t="b">
        <v>0</v>
      </c>
      <c r="BG5204" s="0" t="b">
        <v>0</v>
      </c>
      <c r="BH5204" s="0">
        <v>71</v>
      </c>
      <c r="BI5204" s="0">
        <v>71</v>
      </c>
      <c r="BJ5204" s="0" t="s">
        <v>135</v>
      </c>
    </row>
    <row r="5205">
      <c r="A5205" s="0" t="s">
        <v>5473</v>
      </c>
      <c r="B5205" s="0" t="s">
        <v>5</v>
      </c>
      <c r="C5205" s="0" t="s">
        <v>652</v>
      </c>
      <c r="D5205" s="0" t="s">
        <v>135</v>
      </c>
      <c r="E5205" s="0" t="s">
        <v>2</v>
      </c>
      <c r="F5205" s="0" t="s">
        <v>12</v>
      </c>
      <c r="G5205" s="0" t="s">
        <v>8</v>
      </c>
      <c r="H5205" s="0">
        <v>-24</v>
      </c>
      <c r="I5205" s="0">
        <v>0</v>
      </c>
      <c r="J5205" s="0">
        <v>0</v>
      </c>
      <c r="K5205" s="0">
        <v>0</v>
      </c>
      <c r="L5205" s="0">
        <v>0</v>
      </c>
      <c r="M5205" s="0">
        <v>0</v>
      </c>
      <c r="N5205" s="0">
        <v>0</v>
      </c>
      <c r="O5205" s="0">
        <v>0</v>
      </c>
      <c r="P5205" s="0">
        <v>0</v>
      </c>
      <c r="R5205" s="0" t="b">
        <v>0</v>
      </c>
      <c r="S5205" s="0" t="b">
        <v>1</v>
      </c>
      <c r="T5205" s="68">
        <v>46078.6723263889</v>
      </c>
      <c r="U5205" s="68">
        <v>0</v>
      </c>
      <c r="V5205" s="68">
        <v>0</v>
      </c>
      <c r="W5205" s="0">
        <f>IF(IF(B5205="none",1,IF(B5205="Trialer",1,0))+IF(C5205="Customer",1,IF(C5205="Lost",1,0))=2,1,0)</f>
      </c>
      <c r="X5205" s="0" t="s">
        <v>145</v>
      </c>
      <c r="Y5205" s="0" t="s">
        <v>499</v>
      </c>
      <c r="AV5205" s="68"/>
      <c r="AW5205" s="68"/>
      <c r="AY5205" s="27"/>
      <c r="BD5205" s="68">
        <v>46054.1666666667</v>
      </c>
      <c r="BE5205" s="68">
        <v>46082.1666666667</v>
      </c>
      <c r="BF5205" s="0" t="b">
        <v>0</v>
      </c>
      <c r="BG5205" s="0" t="b">
        <v>0</v>
      </c>
      <c r="BH5205" s="0">
        <v>73</v>
      </c>
      <c r="BI5205" s="0">
        <v>73</v>
      </c>
      <c r="BJ5205" s="0" t="s">
        <v>135</v>
      </c>
    </row>
    <row r="5206">
      <c r="A5206" s="0" t="s">
        <v>5474</v>
      </c>
      <c r="B5206" s="0" t="s">
        <v>5</v>
      </c>
      <c r="C5206" s="0" t="s">
        <v>652</v>
      </c>
      <c r="D5206" s="0" t="s">
        <v>135</v>
      </c>
      <c r="E5206" s="0" t="s">
        <v>2</v>
      </c>
      <c r="F5206" s="0" t="s">
        <v>12</v>
      </c>
      <c r="G5206" s="0" t="s">
        <v>8</v>
      </c>
      <c r="H5206" s="0">
        <v>-24</v>
      </c>
      <c r="I5206" s="0">
        <v>0</v>
      </c>
      <c r="J5206" s="0">
        <v>0</v>
      </c>
      <c r="K5206" s="0">
        <v>0</v>
      </c>
      <c r="L5206" s="0">
        <v>0</v>
      </c>
      <c r="M5206" s="0">
        <v>0</v>
      </c>
      <c r="N5206" s="0">
        <v>0</v>
      </c>
      <c r="O5206" s="0">
        <v>0</v>
      </c>
      <c r="P5206" s="0">
        <v>0</v>
      </c>
      <c r="R5206" s="0" t="b">
        <v>0</v>
      </c>
      <c r="S5206" s="0" t="b">
        <v>0</v>
      </c>
      <c r="T5206" s="68">
        <v>46078.6978125</v>
      </c>
      <c r="U5206" s="68">
        <v>0</v>
      </c>
      <c r="V5206" s="68">
        <v>46093.46875</v>
      </c>
      <c r="W5206" s="0">
        <f>IF(IF(B5206="none",1,IF(B5206="Trialer",1,0))+IF(C5206="Customer",1,IF(C5206="Lost",1,0))=2,1,0)</f>
      </c>
      <c r="X5206" s="0" t="s">
        <v>136</v>
      </c>
      <c r="Y5206" s="0" t="s">
        <v>499</v>
      </c>
      <c r="AV5206" s="68"/>
      <c r="AW5206" s="68"/>
      <c r="AY5206" s="27"/>
      <c r="BD5206" s="68">
        <v>46054.1666666667</v>
      </c>
      <c r="BE5206" s="68">
        <v>46082.1666666667</v>
      </c>
      <c r="BF5206" s="0" t="b">
        <v>1</v>
      </c>
      <c r="BG5206" s="0" t="b">
        <v>0</v>
      </c>
      <c r="BH5206" s="0">
        <v>97</v>
      </c>
      <c r="BI5206" s="0">
        <v>97</v>
      </c>
      <c r="BJ5206" s="0" t="s">
        <v>135</v>
      </c>
    </row>
    <row r="5207">
      <c r="A5207" s="0" t="s">
        <v>5475</v>
      </c>
      <c r="B5207" s="0" t="s">
        <v>5</v>
      </c>
      <c r="C5207" s="0" t="s">
        <v>652</v>
      </c>
      <c r="D5207" s="0" t="s">
        <v>135</v>
      </c>
      <c r="E5207" s="0" t="s">
        <v>4</v>
      </c>
      <c r="F5207" s="0" t="s">
        <v>12</v>
      </c>
      <c r="G5207" s="0" t="s">
        <v>8</v>
      </c>
      <c r="H5207" s="0">
        <v>-24</v>
      </c>
      <c r="I5207" s="0">
        <v>0</v>
      </c>
      <c r="J5207" s="0">
        <v>0</v>
      </c>
      <c r="K5207" s="0">
        <v>0</v>
      </c>
      <c r="L5207" s="0">
        <v>0</v>
      </c>
      <c r="M5207" s="0">
        <v>0</v>
      </c>
      <c r="N5207" s="0">
        <v>0</v>
      </c>
      <c r="O5207" s="0">
        <v>0</v>
      </c>
      <c r="P5207" s="0">
        <v>0</v>
      </c>
      <c r="R5207" s="0" t="b">
        <v>0</v>
      </c>
      <c r="S5207" s="0" t="b">
        <v>1</v>
      </c>
      <c r="T5207" s="68">
        <v>46078.7171643519</v>
      </c>
      <c r="U5207" s="68">
        <v>0</v>
      </c>
      <c r="V5207" s="68">
        <v>0</v>
      </c>
      <c r="W5207" s="0">
        <f>IF(IF(B5207="none",1,IF(B5207="Trialer",1,0))+IF(C5207="Customer",1,IF(C5207="Lost",1,0))=2,1,0)</f>
      </c>
      <c r="X5207" s="0" t="s">
        <v>148</v>
      </c>
      <c r="Y5207" s="0" t="s">
        <v>1772</v>
      </c>
      <c r="AV5207" s="68"/>
      <c r="AW5207" s="68"/>
      <c r="AY5207" s="27"/>
      <c r="BD5207" s="68">
        <v>46054.1666666667</v>
      </c>
      <c r="BE5207" s="68">
        <v>46082.1666666667</v>
      </c>
      <c r="BF5207" s="0" t="b">
        <v>0</v>
      </c>
      <c r="BG5207" s="0" t="b">
        <v>0</v>
      </c>
      <c r="BH5207" s="0">
        <v>71</v>
      </c>
      <c r="BI5207" s="0">
        <v>71</v>
      </c>
      <c r="BJ5207" s="0" t="s">
        <v>135</v>
      </c>
    </row>
    <row r="5208">
      <c r="A5208" s="0" t="s">
        <v>5476</v>
      </c>
      <c r="B5208" s="0" t="s">
        <v>5</v>
      </c>
      <c r="C5208" s="0" t="s">
        <v>652</v>
      </c>
      <c r="D5208" s="0" t="s">
        <v>135</v>
      </c>
      <c r="E5208" s="0" t="s">
        <v>2</v>
      </c>
      <c r="F5208" s="0" t="s">
        <v>12</v>
      </c>
      <c r="G5208" s="0" t="s">
        <v>8</v>
      </c>
      <c r="H5208" s="0">
        <v>-24</v>
      </c>
      <c r="I5208" s="0">
        <v>0</v>
      </c>
      <c r="J5208" s="0">
        <v>0</v>
      </c>
      <c r="K5208" s="0">
        <v>0</v>
      </c>
      <c r="L5208" s="0">
        <v>0</v>
      </c>
      <c r="M5208" s="0">
        <v>0</v>
      </c>
      <c r="N5208" s="0">
        <v>0</v>
      </c>
      <c r="O5208" s="0">
        <v>0</v>
      </c>
      <c r="P5208" s="0">
        <v>0</v>
      </c>
      <c r="R5208" s="0" t="b">
        <v>0</v>
      </c>
      <c r="S5208" s="0" t="b">
        <v>1</v>
      </c>
      <c r="T5208" s="68">
        <v>46078.7499074074</v>
      </c>
      <c r="U5208" s="68">
        <v>0</v>
      </c>
      <c r="V5208" s="68">
        <v>0</v>
      </c>
      <c r="W5208" s="0">
        <f>IF(IF(B5208="none",1,IF(B5208="Trialer",1,0))+IF(C5208="Customer",1,IF(C5208="Lost",1,0))=2,1,0)</f>
      </c>
      <c r="X5208" s="0" t="s">
        <v>148</v>
      </c>
      <c r="Y5208" s="0" t="s">
        <v>499</v>
      </c>
      <c r="AV5208" s="68"/>
      <c r="AW5208" s="68"/>
      <c r="AY5208" s="27"/>
      <c r="BD5208" s="68">
        <v>46054.1666666667</v>
      </c>
      <c r="BE5208" s="68">
        <v>46082.1666666667</v>
      </c>
      <c r="BF5208" s="0" t="b">
        <v>0</v>
      </c>
      <c r="BG5208" s="0" t="b">
        <v>0</v>
      </c>
      <c r="BH5208" s="0">
        <v>73</v>
      </c>
      <c r="BI5208" s="0">
        <v>73</v>
      </c>
      <c r="BJ5208" s="0" t="s">
        <v>135</v>
      </c>
    </row>
    <row r="5209">
      <c r="A5209" s="0" t="s">
        <v>5477</v>
      </c>
      <c r="B5209" s="0" t="s">
        <v>5</v>
      </c>
      <c r="C5209" s="0" t="s">
        <v>652</v>
      </c>
      <c r="D5209" s="0" t="s">
        <v>135</v>
      </c>
      <c r="E5209" s="0" t="s">
        <v>3</v>
      </c>
      <c r="F5209" s="0" t="s">
        <v>12</v>
      </c>
      <c r="G5209" s="0" t="s">
        <v>8</v>
      </c>
      <c r="H5209" s="0">
        <v>-24</v>
      </c>
      <c r="I5209" s="0">
        <v>0</v>
      </c>
      <c r="J5209" s="0">
        <v>0</v>
      </c>
      <c r="K5209" s="0">
        <v>0</v>
      </c>
      <c r="L5209" s="0">
        <v>0</v>
      </c>
      <c r="M5209" s="0">
        <v>0</v>
      </c>
      <c r="N5209" s="0">
        <v>0</v>
      </c>
      <c r="O5209" s="0">
        <v>0</v>
      </c>
      <c r="P5209" s="0">
        <v>0</v>
      </c>
      <c r="R5209" s="0" t="b">
        <v>0</v>
      </c>
      <c r="S5209" s="0" t="b">
        <v>1</v>
      </c>
      <c r="T5209" s="68">
        <v>46078.7618287037</v>
      </c>
      <c r="U5209" s="68">
        <v>0</v>
      </c>
      <c r="V5209" s="68">
        <v>0</v>
      </c>
      <c r="W5209" s="0">
        <f>IF(IF(B5209="none",1,IF(B5209="Trialer",1,0))+IF(C5209="Customer",1,IF(C5209="Lost",1,0))=2,1,0)</f>
      </c>
      <c r="X5209" s="0" t="s">
        <v>145</v>
      </c>
      <c r="Y5209" s="0" t="s">
        <v>243</v>
      </c>
      <c r="AV5209" s="68"/>
      <c r="AW5209" s="68"/>
      <c r="AY5209" s="27"/>
      <c r="BD5209" s="68">
        <v>46054.1666666667</v>
      </c>
      <c r="BE5209" s="68">
        <v>46082.1666666667</v>
      </c>
      <c r="BF5209" s="0" t="b">
        <v>0</v>
      </c>
      <c r="BG5209" s="0" t="b">
        <v>0</v>
      </c>
      <c r="BH5209" s="0">
        <v>59</v>
      </c>
      <c r="BI5209" s="0">
        <v>59</v>
      </c>
      <c r="BJ5209" s="0" t="s">
        <v>135</v>
      </c>
    </row>
    <row r="5210">
      <c r="A5210" s="0" t="s">
        <v>5478</v>
      </c>
      <c r="B5210" s="0" t="s">
        <v>5</v>
      </c>
      <c r="C5210" s="0" t="s">
        <v>652</v>
      </c>
      <c r="D5210" s="0" t="s">
        <v>135</v>
      </c>
      <c r="E5210" s="0" t="s">
        <v>3</v>
      </c>
      <c r="F5210" s="0" t="s">
        <v>12</v>
      </c>
      <c r="G5210" s="0" t="s">
        <v>8</v>
      </c>
      <c r="H5210" s="0">
        <v>-24</v>
      </c>
      <c r="I5210" s="0">
        <v>0</v>
      </c>
      <c r="J5210" s="0">
        <v>0</v>
      </c>
      <c r="K5210" s="0">
        <v>0</v>
      </c>
      <c r="L5210" s="0">
        <v>0</v>
      </c>
      <c r="M5210" s="0">
        <v>0</v>
      </c>
      <c r="N5210" s="0">
        <v>0</v>
      </c>
      <c r="O5210" s="0">
        <v>0</v>
      </c>
      <c r="P5210" s="0">
        <v>0</v>
      </c>
      <c r="R5210" s="0" t="b">
        <v>0</v>
      </c>
      <c r="S5210" s="0" t="b">
        <v>1</v>
      </c>
      <c r="T5210" s="68">
        <v>46078.764525463</v>
      </c>
      <c r="U5210" s="68">
        <v>0</v>
      </c>
      <c r="V5210" s="68">
        <v>0</v>
      </c>
      <c r="W5210" s="0">
        <f>IF(IF(B5210="none",1,IF(B5210="Trialer",1,0))+IF(C5210="Customer",1,IF(C5210="Lost",1,0))=2,1,0)</f>
      </c>
      <c r="X5210" s="0" t="s">
        <v>653</v>
      </c>
      <c r="Y5210" s="0" t="s">
        <v>243</v>
      </c>
      <c r="AV5210" s="68"/>
      <c r="AW5210" s="68"/>
      <c r="AY5210" s="27"/>
      <c r="BD5210" s="68">
        <v>46054.1666666667</v>
      </c>
      <c r="BE5210" s="68">
        <v>46082.1666666667</v>
      </c>
      <c r="BF5210" s="0" t="b">
        <v>1</v>
      </c>
      <c r="BG5210" s="0" t="b">
        <v>0</v>
      </c>
      <c r="BH5210" s="0">
        <v>59</v>
      </c>
      <c r="BI5210" s="0">
        <v>59</v>
      </c>
      <c r="BJ5210" s="0" t="s">
        <v>135</v>
      </c>
    </row>
    <row r="5211">
      <c r="A5211" s="0" t="s">
        <v>5479</v>
      </c>
      <c r="B5211" s="0" t="s">
        <v>5</v>
      </c>
      <c r="C5211" s="0" t="s">
        <v>652</v>
      </c>
      <c r="D5211" s="0" t="s">
        <v>135</v>
      </c>
      <c r="E5211" s="0" t="s">
        <v>4</v>
      </c>
      <c r="F5211" s="0" t="s">
        <v>12</v>
      </c>
      <c r="G5211" s="0" t="s">
        <v>8</v>
      </c>
      <c r="H5211" s="0">
        <v>-24</v>
      </c>
      <c r="I5211" s="0">
        <v>0</v>
      </c>
      <c r="J5211" s="0">
        <v>0</v>
      </c>
      <c r="K5211" s="0">
        <v>0</v>
      </c>
      <c r="L5211" s="0">
        <v>0</v>
      </c>
      <c r="M5211" s="0">
        <v>0</v>
      </c>
      <c r="N5211" s="0">
        <v>0</v>
      </c>
      <c r="O5211" s="0">
        <v>0</v>
      </c>
      <c r="P5211" s="0">
        <v>0</v>
      </c>
      <c r="R5211" s="0" t="b">
        <v>0</v>
      </c>
      <c r="S5211" s="0" t="b">
        <v>1</v>
      </c>
      <c r="T5211" s="68">
        <v>46078.8156481481</v>
      </c>
      <c r="U5211" s="68">
        <v>0</v>
      </c>
      <c r="V5211" s="68">
        <v>0</v>
      </c>
      <c r="W5211" s="0">
        <f>IF(IF(B5211="none",1,IF(B5211="Trialer",1,0))+IF(C5211="Customer",1,IF(C5211="Lost",1,0))=2,1,0)</f>
      </c>
      <c r="X5211" s="0" t="s">
        <v>136</v>
      </c>
      <c r="Y5211" s="0" t="s">
        <v>1772</v>
      </c>
      <c r="AV5211" s="68"/>
      <c r="AW5211" s="68"/>
      <c r="AY5211" s="27"/>
      <c r="BD5211" s="68">
        <v>46054.1666666667</v>
      </c>
      <c r="BE5211" s="68">
        <v>46082.1666666667</v>
      </c>
      <c r="BF5211" s="0" t="b">
        <v>0</v>
      </c>
      <c r="BG5211" s="0" t="b">
        <v>0</v>
      </c>
      <c r="BH5211" s="0">
        <v>59</v>
      </c>
      <c r="BI5211" s="0">
        <v>59</v>
      </c>
      <c r="BJ5211" s="0" t="s">
        <v>135</v>
      </c>
    </row>
    <row r="5212">
      <c r="A5212" s="0" t="s">
        <v>5480</v>
      </c>
      <c r="B5212" s="0" t="s">
        <v>5</v>
      </c>
      <c r="C5212" s="0" t="s">
        <v>652</v>
      </c>
      <c r="D5212" s="0" t="s">
        <v>135</v>
      </c>
      <c r="E5212" s="0" t="s">
        <v>3</v>
      </c>
      <c r="F5212" s="0" t="s">
        <v>12</v>
      </c>
      <c r="G5212" s="0" t="s">
        <v>8</v>
      </c>
      <c r="H5212" s="0">
        <v>-24</v>
      </c>
      <c r="I5212" s="0">
        <v>0</v>
      </c>
      <c r="J5212" s="0">
        <v>0</v>
      </c>
      <c r="K5212" s="0">
        <v>0</v>
      </c>
      <c r="L5212" s="0">
        <v>0</v>
      </c>
      <c r="M5212" s="0">
        <v>0</v>
      </c>
      <c r="N5212" s="0">
        <v>0</v>
      </c>
      <c r="O5212" s="0">
        <v>0</v>
      </c>
      <c r="P5212" s="0">
        <v>0</v>
      </c>
      <c r="R5212" s="0" t="b">
        <v>0</v>
      </c>
      <c r="S5212" s="0" t="b">
        <v>0</v>
      </c>
      <c r="T5212" s="68">
        <v>46078.8515277778</v>
      </c>
      <c r="U5212" s="68">
        <v>0</v>
      </c>
      <c r="V5212" s="68">
        <v>46084.8563541667</v>
      </c>
      <c r="W5212" s="0">
        <f>IF(IF(B5212="none",1,IF(B5212="Trialer",1,0))+IF(C5212="Customer",1,IF(C5212="Lost",1,0))=2,1,0)</f>
      </c>
      <c r="X5212" s="0" t="s">
        <v>148</v>
      </c>
      <c r="Y5212" s="0" t="s">
        <v>243</v>
      </c>
      <c r="AV5212" s="68"/>
      <c r="AW5212" s="68"/>
      <c r="AY5212" s="27"/>
      <c r="BD5212" s="68">
        <v>46054.1666666667</v>
      </c>
      <c r="BE5212" s="68">
        <v>46082.1666666667</v>
      </c>
      <c r="BF5212" s="0" t="b">
        <v>0</v>
      </c>
      <c r="BG5212" s="0" t="b">
        <v>0</v>
      </c>
      <c r="BH5212" s="0">
        <v>77</v>
      </c>
      <c r="BI5212" s="0">
        <v>77</v>
      </c>
      <c r="BJ5212" s="0" t="s">
        <v>135</v>
      </c>
    </row>
    <row r="5213">
      <c r="A5213" s="0" t="s">
        <v>5481</v>
      </c>
      <c r="B5213" s="0" t="s">
        <v>5</v>
      </c>
      <c r="C5213" s="0" t="s">
        <v>652</v>
      </c>
      <c r="D5213" s="0" t="s">
        <v>135</v>
      </c>
      <c r="E5213" s="0" t="s">
        <v>3</v>
      </c>
      <c r="F5213" s="0" t="s">
        <v>12</v>
      </c>
      <c r="G5213" s="0" t="s">
        <v>8</v>
      </c>
      <c r="H5213" s="0">
        <v>-24</v>
      </c>
      <c r="I5213" s="0">
        <v>0</v>
      </c>
      <c r="J5213" s="0">
        <v>0</v>
      </c>
      <c r="K5213" s="0">
        <v>0</v>
      </c>
      <c r="L5213" s="0">
        <v>0</v>
      </c>
      <c r="M5213" s="0">
        <v>0</v>
      </c>
      <c r="N5213" s="0">
        <v>0</v>
      </c>
      <c r="O5213" s="0">
        <v>0</v>
      </c>
      <c r="P5213" s="0">
        <v>0</v>
      </c>
      <c r="R5213" s="0" t="b">
        <v>0</v>
      </c>
      <c r="S5213" s="0" t="b">
        <v>1</v>
      </c>
      <c r="T5213" s="68">
        <v>46078.8675462963</v>
      </c>
      <c r="U5213" s="68">
        <v>46092.3333333333</v>
      </c>
      <c r="V5213" s="68">
        <v>0</v>
      </c>
      <c r="W5213" s="0">
        <f>IF(IF(B5213="none",1,IF(B5213="Trialer",1,0))+IF(C5213="Customer",1,IF(C5213="Lost",1,0))=2,1,0)</f>
      </c>
      <c r="X5213" s="0" t="s">
        <v>148</v>
      </c>
      <c r="Y5213" s="0" t="s">
        <v>243</v>
      </c>
      <c r="AV5213" s="68"/>
      <c r="AW5213" s="68"/>
      <c r="AY5213" s="27"/>
      <c r="BD5213" s="68">
        <v>46054.1666666667</v>
      </c>
      <c r="BE5213" s="68">
        <v>46082.1666666667</v>
      </c>
      <c r="BF5213" s="0" t="b">
        <v>0</v>
      </c>
      <c r="BG5213" s="0" t="b">
        <v>0</v>
      </c>
      <c r="BH5213" s="0">
        <v>146</v>
      </c>
      <c r="BI5213" s="0">
        <v>146</v>
      </c>
      <c r="BJ5213" s="0" t="s">
        <v>135</v>
      </c>
    </row>
    <row r="5214">
      <c r="A5214" s="0" t="s">
        <v>5482</v>
      </c>
      <c r="B5214" s="0" t="s">
        <v>5</v>
      </c>
      <c r="C5214" s="0" t="s">
        <v>652</v>
      </c>
      <c r="D5214" s="0" t="s">
        <v>135</v>
      </c>
      <c r="E5214" s="0" t="s">
        <v>4</v>
      </c>
      <c r="F5214" s="0" t="s">
        <v>12</v>
      </c>
      <c r="G5214" s="0" t="s">
        <v>8</v>
      </c>
      <c r="H5214" s="0">
        <v>-24</v>
      </c>
      <c r="I5214" s="0">
        <v>0</v>
      </c>
      <c r="J5214" s="0">
        <v>0</v>
      </c>
      <c r="K5214" s="0">
        <v>0</v>
      </c>
      <c r="L5214" s="0">
        <v>0</v>
      </c>
      <c r="M5214" s="0">
        <v>0</v>
      </c>
      <c r="N5214" s="0">
        <v>0</v>
      </c>
      <c r="O5214" s="0">
        <v>0</v>
      </c>
      <c r="P5214" s="0">
        <v>0</v>
      </c>
      <c r="R5214" s="0" t="b">
        <v>0</v>
      </c>
      <c r="S5214" s="0" t="b">
        <v>1</v>
      </c>
      <c r="T5214" s="68">
        <v>46078.8765509259</v>
      </c>
      <c r="U5214" s="68">
        <v>0</v>
      </c>
      <c r="V5214" s="68">
        <v>0</v>
      </c>
      <c r="W5214" s="0">
        <f>IF(IF(B5214="none",1,IF(B5214="Trialer",1,0))+IF(C5214="Customer",1,IF(C5214="Lost",1,0))=2,1,0)</f>
      </c>
      <c r="X5214" s="0" t="s">
        <v>136</v>
      </c>
      <c r="Y5214" s="0" t="s">
        <v>4092</v>
      </c>
      <c r="AV5214" s="68"/>
      <c r="AW5214" s="68"/>
      <c r="AY5214" s="27"/>
      <c r="BD5214" s="68">
        <v>46054.1666666667</v>
      </c>
      <c r="BE5214" s="68">
        <v>46082.1666666667</v>
      </c>
      <c r="BF5214" s="0" t="b">
        <v>0</v>
      </c>
      <c r="BG5214" s="0" t="b">
        <v>0</v>
      </c>
      <c r="BH5214" s="0">
        <v>213</v>
      </c>
      <c r="BI5214" s="0">
        <v>213</v>
      </c>
      <c r="BJ5214" s="0" t="s">
        <v>135</v>
      </c>
    </row>
    <row r="5215">
      <c r="A5215" s="0" t="s">
        <v>5483</v>
      </c>
      <c r="B5215" s="0" t="s">
        <v>5</v>
      </c>
      <c r="C5215" s="0" t="s">
        <v>652</v>
      </c>
      <c r="D5215" s="0" t="s">
        <v>135</v>
      </c>
      <c r="E5215" s="0" t="s">
        <v>3</v>
      </c>
      <c r="F5215" s="0" t="s">
        <v>12</v>
      </c>
      <c r="G5215" s="0" t="s">
        <v>8</v>
      </c>
      <c r="H5215" s="0">
        <v>-24</v>
      </c>
      <c r="I5215" s="0">
        <v>0</v>
      </c>
      <c r="J5215" s="0">
        <v>0</v>
      </c>
      <c r="K5215" s="0">
        <v>0</v>
      </c>
      <c r="L5215" s="0">
        <v>0</v>
      </c>
      <c r="M5215" s="0">
        <v>0</v>
      </c>
      <c r="N5215" s="0">
        <v>0</v>
      </c>
      <c r="O5215" s="0">
        <v>0</v>
      </c>
      <c r="P5215" s="0">
        <v>0</v>
      </c>
      <c r="R5215" s="0" t="b">
        <v>0</v>
      </c>
      <c r="S5215" s="0" t="b">
        <v>1</v>
      </c>
      <c r="T5215" s="68">
        <v>46078.8994097222</v>
      </c>
      <c r="U5215" s="68">
        <v>0</v>
      </c>
      <c r="V5215" s="68">
        <v>0</v>
      </c>
      <c r="W5215" s="0">
        <f>IF(IF(B5215="none",1,IF(B5215="Trialer",1,0))+IF(C5215="Customer",1,IF(C5215="Lost",1,0))=2,1,0)</f>
      </c>
      <c r="X5215" s="0" t="s">
        <v>148</v>
      </c>
      <c r="Y5215" s="0" t="s">
        <v>243</v>
      </c>
      <c r="AV5215" s="68"/>
      <c r="AW5215" s="68"/>
      <c r="AY5215" s="27"/>
      <c r="BD5215" s="68">
        <v>46054.1666666667</v>
      </c>
      <c r="BE5215" s="68">
        <v>46082.1666666667</v>
      </c>
      <c r="BF5215" s="0" t="b">
        <v>0</v>
      </c>
      <c r="BG5215" s="0" t="b">
        <v>0</v>
      </c>
      <c r="BH5215" s="0">
        <v>71</v>
      </c>
      <c r="BI5215" s="0">
        <v>71</v>
      </c>
      <c r="BJ5215" s="0" t="s">
        <v>135</v>
      </c>
    </row>
    <row r="5216">
      <c r="A5216" s="0" t="s">
        <v>5484</v>
      </c>
      <c r="B5216" s="0" t="s">
        <v>5</v>
      </c>
      <c r="C5216" s="0" t="s">
        <v>652</v>
      </c>
      <c r="D5216" s="0" t="s">
        <v>135</v>
      </c>
      <c r="E5216" s="0" t="s">
        <v>3</v>
      </c>
      <c r="F5216" s="0" t="s">
        <v>12</v>
      </c>
      <c r="G5216" s="0" t="s">
        <v>8</v>
      </c>
      <c r="H5216" s="0">
        <v>-25</v>
      </c>
      <c r="I5216" s="0">
        <v>0</v>
      </c>
      <c r="J5216" s="0">
        <v>0</v>
      </c>
      <c r="K5216" s="0">
        <v>0</v>
      </c>
      <c r="L5216" s="0">
        <v>0</v>
      </c>
      <c r="M5216" s="0">
        <v>0</v>
      </c>
      <c r="N5216" s="0">
        <v>0</v>
      </c>
      <c r="O5216" s="0">
        <v>0</v>
      </c>
      <c r="P5216" s="0">
        <v>0</v>
      </c>
      <c r="R5216" s="0" t="b">
        <v>0</v>
      </c>
      <c r="S5216" s="0" t="b">
        <v>1</v>
      </c>
      <c r="T5216" s="68">
        <v>46079.0130671296</v>
      </c>
      <c r="U5216" s="68">
        <v>0</v>
      </c>
      <c r="V5216" s="68">
        <v>0</v>
      </c>
      <c r="W5216" s="0">
        <f>IF(IF(B5216="none",1,IF(B5216="Trialer",1,0))+IF(C5216="Customer",1,IF(C5216="Lost",1,0))=2,1,0)</f>
      </c>
      <c r="X5216" s="0" t="s">
        <v>145</v>
      </c>
      <c r="Y5216" s="0" t="s">
        <v>243</v>
      </c>
      <c r="AV5216" s="68"/>
      <c r="AW5216" s="68"/>
      <c r="AY5216" s="27"/>
      <c r="BD5216" s="68">
        <v>46054.1666666667</v>
      </c>
      <c r="BE5216" s="68">
        <v>46082.1666666667</v>
      </c>
      <c r="BF5216" s="0" t="b">
        <v>0</v>
      </c>
      <c r="BG5216" s="0" t="b">
        <v>0</v>
      </c>
      <c r="BH5216" s="0">
        <v>59</v>
      </c>
      <c r="BI5216" s="0">
        <v>59</v>
      </c>
      <c r="BJ5216" s="0" t="s">
        <v>135</v>
      </c>
    </row>
    <row r="5217">
      <c r="A5217" s="0" t="s">
        <v>5485</v>
      </c>
      <c r="B5217" s="0" t="s">
        <v>5</v>
      </c>
      <c r="C5217" s="0" t="s">
        <v>652</v>
      </c>
      <c r="D5217" s="0" t="s">
        <v>135</v>
      </c>
      <c r="E5217" s="0" t="s">
        <v>3</v>
      </c>
      <c r="F5217" s="0" t="s">
        <v>12</v>
      </c>
      <c r="G5217" s="0" t="s">
        <v>8</v>
      </c>
      <c r="H5217" s="0">
        <v>-25</v>
      </c>
      <c r="I5217" s="0">
        <v>0</v>
      </c>
      <c r="J5217" s="0">
        <v>0</v>
      </c>
      <c r="K5217" s="0">
        <v>0</v>
      </c>
      <c r="L5217" s="0">
        <v>0</v>
      </c>
      <c r="M5217" s="0">
        <v>0</v>
      </c>
      <c r="N5217" s="0">
        <v>0</v>
      </c>
      <c r="O5217" s="0">
        <v>0</v>
      </c>
      <c r="P5217" s="0">
        <v>0</v>
      </c>
      <c r="R5217" s="0" t="b">
        <v>0</v>
      </c>
      <c r="S5217" s="0" t="b">
        <v>0</v>
      </c>
      <c r="T5217" s="68">
        <v>46079.0755439815</v>
      </c>
      <c r="U5217" s="68">
        <v>0</v>
      </c>
      <c r="V5217" s="68">
        <v>46084.7005439815</v>
      </c>
      <c r="W5217" s="0">
        <f>IF(IF(B5217="none",1,IF(B5217="Trialer",1,0))+IF(C5217="Customer",1,IF(C5217="Lost",1,0))=2,1,0)</f>
      </c>
      <c r="X5217" s="0" t="s">
        <v>136</v>
      </c>
      <c r="Y5217" s="0" t="s">
        <v>243</v>
      </c>
      <c r="AV5217" s="68"/>
      <c r="AW5217" s="68"/>
      <c r="AY5217" s="27"/>
      <c r="BD5217" s="68">
        <v>46054.1666666667</v>
      </c>
      <c r="BE5217" s="68">
        <v>46082.1666666667</v>
      </c>
      <c r="BF5217" s="0" t="b">
        <v>0</v>
      </c>
      <c r="BG5217" s="0" t="b">
        <v>0</v>
      </c>
      <c r="BH5217" s="0">
        <v>73</v>
      </c>
      <c r="BI5217" s="0">
        <v>73</v>
      </c>
      <c r="BJ5217" s="0" t="s">
        <v>135</v>
      </c>
    </row>
    <row r="5218">
      <c r="A5218" s="0" t="s">
        <v>5486</v>
      </c>
      <c r="B5218" s="0" t="s">
        <v>5</v>
      </c>
      <c r="C5218" s="0" t="s">
        <v>652</v>
      </c>
      <c r="D5218" s="0" t="s">
        <v>135</v>
      </c>
      <c r="E5218" s="0" t="s">
        <v>3</v>
      </c>
      <c r="F5218" s="0" t="s">
        <v>12</v>
      </c>
      <c r="G5218" s="0" t="s">
        <v>8</v>
      </c>
      <c r="H5218" s="0">
        <v>-25</v>
      </c>
      <c r="I5218" s="0">
        <v>0</v>
      </c>
      <c r="J5218" s="0">
        <v>0</v>
      </c>
      <c r="K5218" s="0">
        <v>0</v>
      </c>
      <c r="L5218" s="0">
        <v>0</v>
      </c>
      <c r="M5218" s="0">
        <v>0</v>
      </c>
      <c r="N5218" s="0">
        <v>0</v>
      </c>
      <c r="O5218" s="0">
        <v>0</v>
      </c>
      <c r="P5218" s="0">
        <v>0</v>
      </c>
      <c r="R5218" s="0" t="b">
        <v>0</v>
      </c>
      <c r="S5218" s="0" t="b">
        <v>1</v>
      </c>
      <c r="T5218" s="68">
        <v>46079.0881828704</v>
      </c>
      <c r="U5218" s="68">
        <v>0</v>
      </c>
      <c r="V5218" s="68">
        <v>0</v>
      </c>
      <c r="W5218" s="0">
        <f>IF(IF(B5218="none",1,IF(B5218="Trialer",1,0))+IF(C5218="Customer",1,IF(C5218="Lost",1,0))=2,1,0)</f>
      </c>
      <c r="X5218" s="0" t="s">
        <v>148</v>
      </c>
      <c r="Y5218" s="0" t="s">
        <v>243</v>
      </c>
      <c r="AV5218" s="68"/>
      <c r="AW5218" s="68"/>
      <c r="AY5218" s="27"/>
      <c r="BD5218" s="68">
        <v>46054.1666666667</v>
      </c>
      <c r="BE5218" s="68">
        <v>46082.1666666667</v>
      </c>
      <c r="BF5218" s="0" t="b">
        <v>0</v>
      </c>
      <c r="BG5218" s="0" t="b">
        <v>0</v>
      </c>
      <c r="BH5218" s="0">
        <v>59</v>
      </c>
      <c r="BI5218" s="0">
        <v>59</v>
      </c>
      <c r="BJ5218" s="0" t="s">
        <v>135</v>
      </c>
    </row>
    <row r="5219">
      <c r="A5219" s="0" t="s">
        <v>5487</v>
      </c>
      <c r="B5219" s="0" t="s">
        <v>5</v>
      </c>
      <c r="C5219" s="0" t="s">
        <v>652</v>
      </c>
      <c r="D5219" s="0" t="s">
        <v>135</v>
      </c>
      <c r="E5219" s="0" t="s">
        <v>1515</v>
      </c>
      <c r="F5219" s="0" t="s">
        <v>12</v>
      </c>
      <c r="G5219" s="0" t="s">
        <v>8</v>
      </c>
      <c r="H5219" s="0">
        <v>-25</v>
      </c>
      <c r="I5219" s="0">
        <v>0</v>
      </c>
      <c r="J5219" s="0">
        <v>0</v>
      </c>
      <c r="K5219" s="0">
        <v>0</v>
      </c>
      <c r="L5219" s="0">
        <v>0</v>
      </c>
      <c r="M5219" s="0">
        <v>0</v>
      </c>
      <c r="N5219" s="0">
        <v>0</v>
      </c>
      <c r="O5219" s="0">
        <v>0</v>
      </c>
      <c r="P5219" s="0">
        <v>0</v>
      </c>
      <c r="R5219" s="0" t="b">
        <v>0</v>
      </c>
      <c r="S5219" s="0" t="b">
        <v>1</v>
      </c>
      <c r="T5219" s="68">
        <v>46079.1429166667</v>
      </c>
      <c r="U5219" s="68">
        <v>0</v>
      </c>
      <c r="V5219" s="68">
        <v>0</v>
      </c>
      <c r="W5219" s="0">
        <f>IF(IF(B5219="none",1,IF(B5219="Trialer",1,0))+IF(C5219="Customer",1,IF(C5219="Lost",1,0))=2,1,0)</f>
      </c>
      <c r="X5219" s="0" t="s">
        <v>145</v>
      </c>
      <c r="Y5219" s="0" t="s">
        <v>1516</v>
      </c>
      <c r="AV5219" s="68"/>
      <c r="AW5219" s="68"/>
      <c r="AY5219" s="27"/>
      <c r="BD5219" s="68">
        <v>46054.1666666667</v>
      </c>
      <c r="BE5219" s="68">
        <v>46082.1666666667</v>
      </c>
      <c r="BF5219" s="0" t="b">
        <v>0</v>
      </c>
      <c r="BG5219" s="0" t="b">
        <v>0</v>
      </c>
      <c r="BH5219" s="0">
        <v>59</v>
      </c>
      <c r="BI5219" s="0">
        <v>59</v>
      </c>
      <c r="BJ5219" s="0" t="s">
        <v>135</v>
      </c>
    </row>
    <row r="5220">
      <c r="A5220" s="0" t="s">
        <v>5488</v>
      </c>
      <c r="B5220" s="0" t="s">
        <v>5</v>
      </c>
      <c r="C5220" s="0" t="s">
        <v>652</v>
      </c>
      <c r="D5220" s="0" t="s">
        <v>135</v>
      </c>
      <c r="E5220" s="0" t="s">
        <v>2414</v>
      </c>
      <c r="F5220" s="0" t="s">
        <v>12</v>
      </c>
      <c r="G5220" s="0" t="s">
        <v>8</v>
      </c>
      <c r="H5220" s="0">
        <v>-25</v>
      </c>
      <c r="I5220" s="0">
        <v>0</v>
      </c>
      <c r="J5220" s="0">
        <v>0</v>
      </c>
      <c r="K5220" s="0">
        <v>0</v>
      </c>
      <c r="L5220" s="0">
        <v>0</v>
      </c>
      <c r="M5220" s="0">
        <v>0</v>
      </c>
      <c r="N5220" s="0">
        <v>0</v>
      </c>
      <c r="O5220" s="0">
        <v>0</v>
      </c>
      <c r="P5220" s="0">
        <v>0</v>
      </c>
      <c r="R5220" s="0" t="b">
        <v>0</v>
      </c>
      <c r="S5220" s="0" t="b">
        <v>1</v>
      </c>
      <c r="T5220" s="68">
        <v>46079.1703009259</v>
      </c>
      <c r="U5220" s="68">
        <v>0</v>
      </c>
      <c r="V5220" s="68">
        <v>0</v>
      </c>
      <c r="W5220" s="0">
        <f>IF(IF(B5220="none",1,IF(B5220="Trialer",1,0))+IF(C5220="Customer",1,IF(C5220="Lost",1,0))=2,1,0)</f>
      </c>
      <c r="X5220" s="0" t="s">
        <v>145</v>
      </c>
      <c r="Y5220" s="0" t="s">
        <v>1516</v>
      </c>
      <c r="AV5220" s="68"/>
      <c r="AW5220" s="68"/>
      <c r="AY5220" s="27"/>
      <c r="BD5220" s="68">
        <v>46054.1666666667</v>
      </c>
      <c r="BE5220" s="68">
        <v>46082.1666666667</v>
      </c>
      <c r="BF5220" s="0" t="b">
        <v>0</v>
      </c>
      <c r="BG5220" s="0" t="b">
        <v>0</v>
      </c>
      <c r="BH5220" s="0">
        <v>59</v>
      </c>
      <c r="BI5220" s="0">
        <v>59</v>
      </c>
      <c r="BJ5220" s="0" t="s">
        <v>135</v>
      </c>
    </row>
    <row r="5221">
      <c r="A5221" s="0" t="s">
        <v>5489</v>
      </c>
      <c r="B5221" s="0" t="s">
        <v>5</v>
      </c>
      <c r="C5221" s="0" t="s">
        <v>652</v>
      </c>
      <c r="D5221" s="0" t="s">
        <v>135</v>
      </c>
      <c r="E5221" s="0" t="s">
        <v>3</v>
      </c>
      <c r="F5221" s="0" t="s">
        <v>12</v>
      </c>
      <c r="G5221" s="0" t="s">
        <v>8</v>
      </c>
      <c r="H5221" s="0">
        <v>-25</v>
      </c>
      <c r="I5221" s="0">
        <v>0</v>
      </c>
      <c r="J5221" s="0">
        <v>0</v>
      </c>
      <c r="K5221" s="0">
        <v>0</v>
      </c>
      <c r="L5221" s="0">
        <v>0</v>
      </c>
      <c r="M5221" s="0">
        <v>0</v>
      </c>
      <c r="N5221" s="0">
        <v>0</v>
      </c>
      <c r="O5221" s="0">
        <v>0</v>
      </c>
      <c r="P5221" s="0">
        <v>0</v>
      </c>
      <c r="R5221" s="0" t="b">
        <v>0</v>
      </c>
      <c r="S5221" s="0" t="b">
        <v>1</v>
      </c>
      <c r="T5221" s="68">
        <v>46079.2017708333</v>
      </c>
      <c r="U5221" s="68">
        <v>0</v>
      </c>
      <c r="V5221" s="68">
        <v>0</v>
      </c>
      <c r="W5221" s="0">
        <f>IF(IF(B5221="none",1,IF(B5221="Trialer",1,0))+IF(C5221="Customer",1,IF(C5221="Lost",1,0))=2,1,0)</f>
      </c>
      <c r="X5221" s="0" t="s">
        <v>148</v>
      </c>
      <c r="Y5221" s="0" t="s">
        <v>243</v>
      </c>
      <c r="AV5221" s="68"/>
      <c r="AW5221" s="68"/>
      <c r="AY5221" s="27"/>
      <c r="BD5221" s="68">
        <v>46054.1666666667</v>
      </c>
      <c r="BE5221" s="68">
        <v>46082.1666666667</v>
      </c>
      <c r="BF5221" s="0" t="b">
        <v>0</v>
      </c>
      <c r="BG5221" s="0" t="b">
        <v>0</v>
      </c>
      <c r="BH5221" s="0">
        <v>85</v>
      </c>
      <c r="BI5221" s="0">
        <v>85</v>
      </c>
      <c r="BJ5221" s="0" t="s">
        <v>135</v>
      </c>
    </row>
    <row r="5222">
      <c r="A5222" s="0" t="s">
        <v>5490</v>
      </c>
      <c r="B5222" s="0" t="s">
        <v>5</v>
      </c>
      <c r="C5222" s="0" t="s">
        <v>652</v>
      </c>
      <c r="D5222" s="0" t="s">
        <v>135</v>
      </c>
      <c r="E5222" s="0" t="s">
        <v>3</v>
      </c>
      <c r="F5222" s="0" t="s">
        <v>12</v>
      </c>
      <c r="G5222" s="0" t="s">
        <v>8</v>
      </c>
      <c r="H5222" s="0">
        <v>-25</v>
      </c>
      <c r="I5222" s="0">
        <v>0</v>
      </c>
      <c r="J5222" s="0">
        <v>0</v>
      </c>
      <c r="K5222" s="0">
        <v>0</v>
      </c>
      <c r="L5222" s="0">
        <v>0</v>
      </c>
      <c r="M5222" s="0">
        <v>0</v>
      </c>
      <c r="N5222" s="0">
        <v>0</v>
      </c>
      <c r="O5222" s="0">
        <v>0</v>
      </c>
      <c r="P5222" s="0">
        <v>0</v>
      </c>
      <c r="R5222" s="0" t="b">
        <v>0</v>
      </c>
      <c r="S5222" s="0" t="b">
        <v>1</v>
      </c>
      <c r="T5222" s="68">
        <v>46079.2828819444</v>
      </c>
      <c r="U5222" s="68">
        <v>0</v>
      </c>
      <c r="V5222" s="68">
        <v>0</v>
      </c>
      <c r="W5222" s="0">
        <f>IF(IF(B5222="none",1,IF(B5222="Trialer",1,0))+IF(C5222="Customer",1,IF(C5222="Lost",1,0))=2,1,0)</f>
      </c>
      <c r="X5222" s="0" t="s">
        <v>145</v>
      </c>
      <c r="Y5222" s="0" t="s">
        <v>243</v>
      </c>
      <c r="AV5222" s="68"/>
      <c r="AW5222" s="68"/>
      <c r="AY5222" s="27"/>
      <c r="BD5222" s="68">
        <v>46054.1666666667</v>
      </c>
      <c r="BE5222" s="68">
        <v>46082.1666666667</v>
      </c>
      <c r="BF5222" s="0" t="b">
        <v>0</v>
      </c>
      <c r="BG5222" s="0" t="b">
        <v>0</v>
      </c>
      <c r="BH5222" s="0">
        <v>236</v>
      </c>
      <c r="BI5222" s="0">
        <v>236</v>
      </c>
      <c r="BJ5222" s="0" t="s">
        <v>135</v>
      </c>
    </row>
    <row r="5223">
      <c r="A5223" s="0" t="s">
        <v>5491</v>
      </c>
      <c r="B5223" s="0" t="s">
        <v>5</v>
      </c>
      <c r="C5223" s="0" t="s">
        <v>652</v>
      </c>
      <c r="D5223" s="0" t="s">
        <v>135</v>
      </c>
      <c r="E5223" s="0" t="s">
        <v>3</v>
      </c>
      <c r="F5223" s="0" t="s">
        <v>12</v>
      </c>
      <c r="G5223" s="0" t="s">
        <v>8</v>
      </c>
      <c r="H5223" s="0">
        <v>-25</v>
      </c>
      <c r="I5223" s="0">
        <v>0</v>
      </c>
      <c r="J5223" s="0">
        <v>0</v>
      </c>
      <c r="K5223" s="0">
        <v>0</v>
      </c>
      <c r="L5223" s="0">
        <v>0</v>
      </c>
      <c r="M5223" s="0">
        <v>0</v>
      </c>
      <c r="N5223" s="0">
        <v>0</v>
      </c>
      <c r="O5223" s="0">
        <v>0</v>
      </c>
      <c r="P5223" s="0">
        <v>0</v>
      </c>
      <c r="R5223" s="0" t="b">
        <v>0</v>
      </c>
      <c r="S5223" s="0" t="b">
        <v>1</v>
      </c>
      <c r="T5223" s="68">
        <v>46079.2889699074</v>
      </c>
      <c r="U5223" s="68">
        <v>0</v>
      </c>
      <c r="V5223" s="68">
        <v>0</v>
      </c>
      <c r="W5223" s="0">
        <f>IF(IF(B5223="none",1,IF(B5223="Trialer",1,0))+IF(C5223="Customer",1,IF(C5223="Lost",1,0))=2,1,0)</f>
      </c>
      <c r="X5223" s="0" t="s">
        <v>148</v>
      </c>
      <c r="Y5223" s="0" t="s">
        <v>1792</v>
      </c>
      <c r="AV5223" s="68"/>
      <c r="AW5223" s="68"/>
      <c r="AY5223" s="27"/>
      <c r="BD5223" s="68">
        <v>46054.1666666667</v>
      </c>
      <c r="BE5223" s="68">
        <v>46082.1666666667</v>
      </c>
      <c r="BF5223" s="0" t="b">
        <v>0</v>
      </c>
      <c r="BG5223" s="0" t="b">
        <v>0</v>
      </c>
      <c r="BH5223" s="0">
        <v>85</v>
      </c>
      <c r="BI5223" s="0">
        <v>85</v>
      </c>
      <c r="BJ5223" s="0" t="s">
        <v>135</v>
      </c>
    </row>
    <row r="5224">
      <c r="A5224" s="0" t="s">
        <v>5492</v>
      </c>
      <c r="B5224" s="0" t="s">
        <v>5</v>
      </c>
      <c r="C5224" s="0" t="s">
        <v>652</v>
      </c>
      <c r="D5224" s="0" t="s">
        <v>135</v>
      </c>
      <c r="E5224" s="0" t="s">
        <v>3</v>
      </c>
      <c r="F5224" s="0" t="s">
        <v>12</v>
      </c>
      <c r="G5224" s="0" t="s">
        <v>8</v>
      </c>
      <c r="H5224" s="0">
        <v>-25</v>
      </c>
      <c r="I5224" s="0">
        <v>0</v>
      </c>
      <c r="J5224" s="0">
        <v>0</v>
      </c>
      <c r="K5224" s="0">
        <v>0</v>
      </c>
      <c r="L5224" s="0">
        <v>0</v>
      </c>
      <c r="M5224" s="0">
        <v>0</v>
      </c>
      <c r="N5224" s="0">
        <v>0</v>
      </c>
      <c r="O5224" s="0">
        <v>0</v>
      </c>
      <c r="P5224" s="0">
        <v>0</v>
      </c>
      <c r="R5224" s="0" t="b">
        <v>0</v>
      </c>
      <c r="S5224" s="0" t="b">
        <v>1</v>
      </c>
      <c r="T5224" s="68">
        <v>46079.3428587963</v>
      </c>
      <c r="U5224" s="68">
        <v>0</v>
      </c>
      <c r="V5224" s="68">
        <v>0</v>
      </c>
      <c r="W5224" s="0">
        <f>IF(IF(B5224="none",1,IF(B5224="Trialer",1,0))+IF(C5224="Customer",1,IF(C5224="Lost",1,0))=2,1,0)</f>
      </c>
      <c r="X5224" s="0" t="s">
        <v>148</v>
      </c>
      <c r="Y5224" s="0" t="s">
        <v>243</v>
      </c>
      <c r="AV5224" s="68"/>
      <c r="AW5224" s="68"/>
      <c r="AY5224" s="27"/>
      <c r="BD5224" s="68">
        <v>46054.1666666667</v>
      </c>
      <c r="BE5224" s="68">
        <v>46082.1666666667</v>
      </c>
      <c r="BF5224" s="0" t="b">
        <v>0</v>
      </c>
      <c r="BG5224" s="0" t="b">
        <v>0</v>
      </c>
      <c r="BH5224" s="0">
        <v>85</v>
      </c>
      <c r="BI5224" s="0">
        <v>85</v>
      </c>
      <c r="BJ5224" s="0" t="s">
        <v>135</v>
      </c>
    </row>
    <row r="5225">
      <c r="A5225" s="0" t="s">
        <v>5493</v>
      </c>
      <c r="B5225" s="0" t="s">
        <v>5</v>
      </c>
      <c r="C5225" s="0" t="s">
        <v>652</v>
      </c>
      <c r="D5225" s="0" t="s">
        <v>135</v>
      </c>
      <c r="E5225" s="0" t="s">
        <v>2</v>
      </c>
      <c r="F5225" s="0" t="s">
        <v>12</v>
      </c>
      <c r="G5225" s="0" t="s">
        <v>8</v>
      </c>
      <c r="H5225" s="0">
        <v>-25</v>
      </c>
      <c r="I5225" s="0">
        <v>0</v>
      </c>
      <c r="J5225" s="0">
        <v>0</v>
      </c>
      <c r="K5225" s="0">
        <v>0</v>
      </c>
      <c r="L5225" s="0">
        <v>0</v>
      </c>
      <c r="M5225" s="0">
        <v>0</v>
      </c>
      <c r="N5225" s="0">
        <v>0</v>
      </c>
      <c r="O5225" s="0">
        <v>0</v>
      </c>
      <c r="P5225" s="0">
        <v>0</v>
      </c>
      <c r="R5225" s="0" t="b">
        <v>0</v>
      </c>
      <c r="S5225" s="0" t="b">
        <v>1</v>
      </c>
      <c r="T5225" s="68">
        <v>46079.3461342593</v>
      </c>
      <c r="U5225" s="68">
        <v>46099.3333333333</v>
      </c>
      <c r="V5225" s="68">
        <v>0</v>
      </c>
      <c r="W5225" s="0">
        <f>IF(IF(B5225="none",1,IF(B5225="Trialer",1,0))+IF(C5225="Customer",1,IF(C5225="Lost",1,0))=2,1,0)</f>
      </c>
      <c r="X5225" s="0" t="s">
        <v>1461</v>
      </c>
      <c r="Y5225" s="0" t="s">
        <v>499</v>
      </c>
      <c r="AV5225" s="68"/>
      <c r="AW5225" s="68"/>
      <c r="AY5225" s="27"/>
      <c r="BD5225" s="68">
        <v>46054.1666666667</v>
      </c>
      <c r="BE5225" s="68">
        <v>46082.1666666667</v>
      </c>
      <c r="BF5225" s="0" t="b">
        <v>0</v>
      </c>
      <c r="BG5225" s="0" t="b">
        <v>0</v>
      </c>
      <c r="BH5225" s="0">
        <v>166</v>
      </c>
      <c r="BI5225" s="0">
        <v>154</v>
      </c>
      <c r="BJ5225" s="0" t="s">
        <v>135</v>
      </c>
    </row>
    <row r="5226">
      <c r="A5226" s="0" t="s">
        <v>5494</v>
      </c>
      <c r="B5226" s="0" t="s">
        <v>5</v>
      </c>
      <c r="C5226" s="0" t="s">
        <v>652</v>
      </c>
      <c r="D5226" s="0" t="s">
        <v>135</v>
      </c>
      <c r="E5226" s="0" t="s">
        <v>2414</v>
      </c>
      <c r="F5226" s="0" t="s">
        <v>12</v>
      </c>
      <c r="G5226" s="0" t="s">
        <v>8</v>
      </c>
      <c r="H5226" s="0">
        <v>-25</v>
      </c>
      <c r="I5226" s="0">
        <v>0</v>
      </c>
      <c r="J5226" s="0">
        <v>0</v>
      </c>
      <c r="K5226" s="0">
        <v>0</v>
      </c>
      <c r="L5226" s="0">
        <v>0</v>
      </c>
      <c r="M5226" s="0">
        <v>0</v>
      </c>
      <c r="N5226" s="0">
        <v>0</v>
      </c>
      <c r="O5226" s="0">
        <v>0</v>
      </c>
      <c r="P5226" s="0">
        <v>0</v>
      </c>
      <c r="R5226" s="0" t="b">
        <v>0</v>
      </c>
      <c r="S5226" s="0" t="b">
        <v>0</v>
      </c>
      <c r="T5226" s="68">
        <v>46079.3705555556</v>
      </c>
      <c r="U5226" s="68">
        <v>0</v>
      </c>
      <c r="V5226" s="68">
        <v>46100.4332175926</v>
      </c>
      <c r="W5226" s="0">
        <f>IF(IF(B5226="none",1,IF(B5226="Trialer",1,0))+IF(C5226="Customer",1,IF(C5226="Lost",1,0))=2,1,0)</f>
      </c>
      <c r="X5226" s="0" t="s">
        <v>145</v>
      </c>
      <c r="Y5226" s="0" t="s">
        <v>1516</v>
      </c>
      <c r="AV5226" s="68"/>
      <c r="AW5226" s="68"/>
      <c r="AY5226" s="27"/>
      <c r="BD5226" s="68">
        <v>46054.1666666667</v>
      </c>
      <c r="BE5226" s="68">
        <v>46082.1666666667</v>
      </c>
      <c r="BF5226" s="0" t="b">
        <v>0</v>
      </c>
      <c r="BG5226" s="0" t="b">
        <v>0</v>
      </c>
      <c r="BH5226" s="0">
        <v>73</v>
      </c>
      <c r="BI5226" s="0">
        <v>73</v>
      </c>
      <c r="BJ5226" s="0" t="s">
        <v>135</v>
      </c>
    </row>
    <row r="5227">
      <c r="A5227" s="0" t="s">
        <v>5495</v>
      </c>
      <c r="B5227" s="0" t="s">
        <v>5</v>
      </c>
      <c r="C5227" s="0" t="s">
        <v>652</v>
      </c>
      <c r="D5227" s="0" t="s">
        <v>135</v>
      </c>
      <c r="E5227" s="0" t="s">
        <v>3</v>
      </c>
      <c r="F5227" s="0" t="s">
        <v>12</v>
      </c>
      <c r="G5227" s="0" t="s">
        <v>8</v>
      </c>
      <c r="H5227" s="0">
        <v>-25</v>
      </c>
      <c r="I5227" s="0">
        <v>0</v>
      </c>
      <c r="J5227" s="0">
        <v>0</v>
      </c>
      <c r="K5227" s="0">
        <v>0</v>
      </c>
      <c r="L5227" s="0">
        <v>0</v>
      </c>
      <c r="M5227" s="0">
        <v>0</v>
      </c>
      <c r="N5227" s="0">
        <v>0</v>
      </c>
      <c r="O5227" s="0">
        <v>0</v>
      </c>
      <c r="P5227" s="0">
        <v>0</v>
      </c>
      <c r="R5227" s="0" t="b">
        <v>0</v>
      </c>
      <c r="S5227" s="0" t="b">
        <v>1</v>
      </c>
      <c r="T5227" s="68">
        <v>46079.3713657407</v>
      </c>
      <c r="U5227" s="68">
        <v>0</v>
      </c>
      <c r="V5227" s="68">
        <v>0</v>
      </c>
      <c r="W5227" s="0">
        <f>IF(IF(B5227="none",1,IF(B5227="Trialer",1,0))+IF(C5227="Customer",1,IF(C5227="Lost",1,0))=2,1,0)</f>
      </c>
      <c r="X5227" s="0" t="s">
        <v>136</v>
      </c>
      <c r="Y5227" s="0" t="s">
        <v>2664</v>
      </c>
      <c r="AV5227" s="68"/>
      <c r="AW5227" s="68"/>
      <c r="AY5227" s="27"/>
      <c r="BD5227" s="68">
        <v>46054.1666666667</v>
      </c>
      <c r="BE5227" s="68">
        <v>46082.1666666667</v>
      </c>
      <c r="BF5227" s="0" t="b">
        <v>0</v>
      </c>
      <c r="BG5227" s="0" t="b">
        <v>0</v>
      </c>
      <c r="BH5227" s="0">
        <v>85</v>
      </c>
      <c r="BI5227" s="0">
        <v>85</v>
      </c>
      <c r="BJ5227" s="0" t="s">
        <v>135</v>
      </c>
    </row>
    <row r="5228">
      <c r="A5228" s="0" t="s">
        <v>5496</v>
      </c>
      <c r="B5228" s="0" t="s">
        <v>5</v>
      </c>
      <c r="C5228" s="0" t="s">
        <v>652</v>
      </c>
      <c r="D5228" s="0" t="s">
        <v>135</v>
      </c>
      <c r="E5228" s="0" t="s">
        <v>3</v>
      </c>
      <c r="F5228" s="0" t="s">
        <v>12</v>
      </c>
      <c r="G5228" s="0" t="s">
        <v>8</v>
      </c>
      <c r="H5228" s="0">
        <v>-25</v>
      </c>
      <c r="I5228" s="0">
        <v>0</v>
      </c>
      <c r="J5228" s="0">
        <v>0</v>
      </c>
      <c r="K5228" s="0">
        <v>0</v>
      </c>
      <c r="L5228" s="0">
        <v>0</v>
      </c>
      <c r="M5228" s="0">
        <v>0</v>
      </c>
      <c r="N5228" s="0">
        <v>0</v>
      </c>
      <c r="O5228" s="0">
        <v>0</v>
      </c>
      <c r="P5228" s="0">
        <v>0</v>
      </c>
      <c r="R5228" s="0" t="b">
        <v>0</v>
      </c>
      <c r="S5228" s="0" t="b">
        <v>0</v>
      </c>
      <c r="T5228" s="68">
        <v>46079.4284027778</v>
      </c>
      <c r="U5228" s="68">
        <v>0</v>
      </c>
      <c r="V5228" s="68">
        <v>46079.4482986111</v>
      </c>
      <c r="W5228" s="0">
        <f>IF(IF(B5228="none",1,IF(B5228="Trialer",1,0))+IF(C5228="Customer",1,IF(C5228="Lost",1,0))=2,1,0)</f>
      </c>
      <c r="X5228" s="0" t="s">
        <v>148</v>
      </c>
      <c r="Y5228" s="0" t="s">
        <v>243</v>
      </c>
      <c r="AV5228" s="68"/>
      <c r="AW5228" s="68"/>
      <c r="AY5228" s="27"/>
      <c r="BD5228" s="68">
        <v>46054.1666666667</v>
      </c>
      <c r="BE5228" s="68">
        <v>46082.1666666667</v>
      </c>
      <c r="BF5228" s="0" t="b">
        <v>1</v>
      </c>
      <c r="BG5228" s="0" t="b">
        <v>1</v>
      </c>
      <c r="BH5228" s="0">
        <v>59</v>
      </c>
      <c r="BI5228" s="0">
        <v>0</v>
      </c>
      <c r="BJ5228" s="0" t="s">
        <v>135</v>
      </c>
    </row>
    <row r="5229">
      <c r="A5229" s="0" t="s">
        <v>5497</v>
      </c>
      <c r="B5229" s="0" t="s">
        <v>5</v>
      </c>
      <c r="C5229" s="0" t="s">
        <v>652</v>
      </c>
      <c r="D5229" s="0" t="s">
        <v>135</v>
      </c>
      <c r="E5229" s="0" t="s">
        <v>2</v>
      </c>
      <c r="F5229" s="0" t="s">
        <v>12</v>
      </c>
      <c r="G5229" s="0" t="s">
        <v>8</v>
      </c>
      <c r="H5229" s="0">
        <v>-25</v>
      </c>
      <c r="I5229" s="0">
        <v>0</v>
      </c>
      <c r="J5229" s="0">
        <v>0</v>
      </c>
      <c r="K5229" s="0">
        <v>0</v>
      </c>
      <c r="L5229" s="0">
        <v>0</v>
      </c>
      <c r="M5229" s="0">
        <v>0</v>
      </c>
      <c r="N5229" s="0">
        <v>0</v>
      </c>
      <c r="O5229" s="0">
        <v>0</v>
      </c>
      <c r="P5229" s="0">
        <v>0</v>
      </c>
      <c r="R5229" s="0" t="b">
        <v>0</v>
      </c>
      <c r="S5229" s="0" t="b">
        <v>1</v>
      </c>
      <c r="T5229" s="68">
        <v>46079.4333680556</v>
      </c>
      <c r="U5229" s="68">
        <v>46093.3333333333</v>
      </c>
      <c r="V5229" s="68">
        <v>0</v>
      </c>
      <c r="W5229" s="0">
        <f>IF(IF(B5229="none",1,IF(B5229="Trialer",1,0))+IF(C5229="Customer",1,IF(C5229="Lost",1,0))=2,1,0)</f>
      </c>
      <c r="X5229" s="0" t="s">
        <v>136</v>
      </c>
      <c r="Y5229" s="0" t="s">
        <v>499</v>
      </c>
      <c r="AV5229" s="68"/>
      <c r="AW5229" s="68"/>
      <c r="AY5229" s="27"/>
      <c r="BD5229" s="68">
        <v>46054.1666666667</v>
      </c>
      <c r="BE5229" s="68">
        <v>46082.1666666667</v>
      </c>
      <c r="BF5229" s="0" t="b">
        <v>0</v>
      </c>
      <c r="BG5229" s="0" t="b">
        <v>0</v>
      </c>
      <c r="BH5229" s="0">
        <v>236</v>
      </c>
      <c r="BI5229" s="0">
        <v>236</v>
      </c>
      <c r="BJ5229" s="0" t="s">
        <v>135</v>
      </c>
    </row>
    <row r="5230">
      <c r="A5230" s="0" t="s">
        <v>5498</v>
      </c>
      <c r="B5230" s="0" t="s">
        <v>5</v>
      </c>
      <c r="C5230" s="0" t="s">
        <v>652</v>
      </c>
      <c r="D5230" s="0" t="s">
        <v>135</v>
      </c>
      <c r="E5230" s="0" t="s">
        <v>2</v>
      </c>
      <c r="F5230" s="0" t="s">
        <v>12</v>
      </c>
      <c r="G5230" s="0" t="s">
        <v>8</v>
      </c>
      <c r="H5230" s="0">
        <v>-25</v>
      </c>
      <c r="I5230" s="0">
        <v>0</v>
      </c>
      <c r="J5230" s="0">
        <v>0</v>
      </c>
      <c r="K5230" s="0">
        <v>0</v>
      </c>
      <c r="L5230" s="0">
        <v>0</v>
      </c>
      <c r="M5230" s="0">
        <v>0</v>
      </c>
      <c r="N5230" s="0">
        <v>0</v>
      </c>
      <c r="O5230" s="0">
        <v>0</v>
      </c>
      <c r="P5230" s="0">
        <v>0</v>
      </c>
      <c r="R5230" s="0" t="b">
        <v>0</v>
      </c>
      <c r="S5230" s="0" t="b">
        <v>0</v>
      </c>
      <c r="T5230" s="68">
        <v>46079.4411226852</v>
      </c>
      <c r="U5230" s="68">
        <v>0</v>
      </c>
      <c r="V5230" s="68">
        <v>46081.7578125</v>
      </c>
      <c r="W5230" s="0">
        <f>IF(IF(B5230="none",1,IF(B5230="Trialer",1,0))+IF(C5230="Customer",1,IF(C5230="Lost",1,0))=2,1,0)</f>
      </c>
      <c r="X5230" s="0" t="s">
        <v>136</v>
      </c>
      <c r="Y5230" s="0" t="s">
        <v>499</v>
      </c>
      <c r="AV5230" s="68"/>
      <c r="AW5230" s="68"/>
      <c r="AY5230" s="27"/>
      <c r="BD5230" s="68">
        <v>46054.1666666667</v>
      </c>
      <c r="BE5230" s="68">
        <v>46082.1666666667</v>
      </c>
      <c r="BF5230" s="0" t="b">
        <v>1</v>
      </c>
      <c r="BG5230" s="0" t="b">
        <v>0</v>
      </c>
      <c r="BH5230" s="0">
        <v>71</v>
      </c>
      <c r="BI5230" s="0">
        <v>71</v>
      </c>
      <c r="BJ5230" s="0" t="s">
        <v>135</v>
      </c>
    </row>
    <row r="5231">
      <c r="A5231" s="0" t="s">
        <v>5499</v>
      </c>
      <c r="B5231" s="0" t="s">
        <v>5</v>
      </c>
      <c r="C5231" s="0" t="s">
        <v>652</v>
      </c>
      <c r="D5231" s="0" t="s">
        <v>135</v>
      </c>
      <c r="E5231" s="0" t="s">
        <v>3</v>
      </c>
      <c r="F5231" s="0" t="s">
        <v>12</v>
      </c>
      <c r="G5231" s="0" t="s">
        <v>8</v>
      </c>
      <c r="H5231" s="0">
        <v>-25</v>
      </c>
      <c r="I5231" s="0">
        <v>0</v>
      </c>
      <c r="J5231" s="0">
        <v>0</v>
      </c>
      <c r="K5231" s="0">
        <v>0</v>
      </c>
      <c r="L5231" s="0">
        <v>0</v>
      </c>
      <c r="M5231" s="0">
        <v>0</v>
      </c>
      <c r="N5231" s="0">
        <v>0</v>
      </c>
      <c r="O5231" s="0">
        <v>0</v>
      </c>
      <c r="P5231" s="0">
        <v>0</v>
      </c>
      <c r="R5231" s="0" t="b">
        <v>0</v>
      </c>
      <c r="S5231" s="0" t="b">
        <v>1</v>
      </c>
      <c r="T5231" s="68">
        <v>46079.444849537</v>
      </c>
      <c r="U5231" s="68">
        <v>0</v>
      </c>
      <c r="V5231" s="68">
        <v>0</v>
      </c>
      <c r="W5231" s="0">
        <f>IF(IF(B5231="none",1,IF(B5231="Trialer",1,0))+IF(C5231="Customer",1,IF(C5231="Lost",1,0))=2,1,0)</f>
      </c>
      <c r="X5231" s="0" t="s">
        <v>145</v>
      </c>
      <c r="Y5231" s="0" t="s">
        <v>243</v>
      </c>
      <c r="AV5231" s="68"/>
      <c r="AW5231" s="68"/>
      <c r="AY5231" s="27"/>
      <c r="BD5231" s="68">
        <v>46054.1666666667</v>
      </c>
      <c r="BE5231" s="68">
        <v>46082.1666666667</v>
      </c>
      <c r="BF5231" s="0" t="b">
        <v>0</v>
      </c>
      <c r="BG5231" s="0" t="b">
        <v>0</v>
      </c>
      <c r="BH5231" s="0">
        <v>59</v>
      </c>
      <c r="BI5231" s="0">
        <v>59</v>
      </c>
      <c r="BJ5231" s="0" t="s">
        <v>135</v>
      </c>
    </row>
    <row r="5232">
      <c r="A5232" s="0" t="s">
        <v>5500</v>
      </c>
      <c r="B5232" s="0" t="s">
        <v>5</v>
      </c>
      <c r="C5232" s="0" t="s">
        <v>652</v>
      </c>
      <c r="D5232" s="0" t="s">
        <v>135</v>
      </c>
      <c r="E5232" s="0" t="s">
        <v>2</v>
      </c>
      <c r="F5232" s="0" t="s">
        <v>12</v>
      </c>
      <c r="G5232" s="0" t="s">
        <v>8</v>
      </c>
      <c r="H5232" s="0">
        <v>-25</v>
      </c>
      <c r="I5232" s="0">
        <v>0</v>
      </c>
      <c r="J5232" s="0">
        <v>0</v>
      </c>
      <c r="K5232" s="0">
        <v>0</v>
      </c>
      <c r="L5232" s="0">
        <v>0</v>
      </c>
      <c r="M5232" s="0">
        <v>0</v>
      </c>
      <c r="N5232" s="0">
        <v>0</v>
      </c>
      <c r="O5232" s="0">
        <v>0</v>
      </c>
      <c r="P5232" s="0">
        <v>0</v>
      </c>
      <c r="R5232" s="0" t="b">
        <v>0</v>
      </c>
      <c r="S5232" s="0" t="b">
        <v>0</v>
      </c>
      <c r="T5232" s="68">
        <v>46079.4583333333</v>
      </c>
      <c r="U5232" s="68">
        <v>0</v>
      </c>
      <c r="V5232" s="68">
        <v>46093.4731018519</v>
      </c>
      <c r="W5232" s="0">
        <f>IF(IF(B5232="none",1,IF(B5232="Trialer",1,0))+IF(C5232="Customer",1,IF(C5232="Lost",1,0))=2,1,0)</f>
      </c>
      <c r="X5232" s="0" t="s">
        <v>145</v>
      </c>
      <c r="Y5232" s="0" t="s">
        <v>499</v>
      </c>
      <c r="AV5232" s="68"/>
      <c r="AW5232" s="68"/>
      <c r="AY5232" s="27"/>
      <c r="BD5232" s="68">
        <v>46054.1666666667</v>
      </c>
      <c r="BE5232" s="68">
        <v>46082.1666666667</v>
      </c>
      <c r="BF5232" s="0" t="b">
        <v>1</v>
      </c>
      <c r="BG5232" s="0" t="b">
        <v>1</v>
      </c>
      <c r="BH5232" s="0">
        <v>85</v>
      </c>
      <c r="BI5232" s="0">
        <v>85</v>
      </c>
      <c r="BJ5232" s="0" t="s">
        <v>135</v>
      </c>
    </row>
    <row r="5233">
      <c r="A5233" s="0" t="s">
        <v>5501</v>
      </c>
      <c r="B5233" s="0" t="s">
        <v>5</v>
      </c>
      <c r="C5233" s="0" t="s">
        <v>652</v>
      </c>
      <c r="D5233" s="0" t="s">
        <v>135</v>
      </c>
      <c r="E5233" s="0" t="s">
        <v>3</v>
      </c>
      <c r="F5233" s="0" t="s">
        <v>12</v>
      </c>
      <c r="G5233" s="0" t="s">
        <v>8</v>
      </c>
      <c r="H5233" s="0">
        <v>-25</v>
      </c>
      <c r="I5233" s="0">
        <v>0</v>
      </c>
      <c r="J5233" s="0">
        <v>0</v>
      </c>
      <c r="K5233" s="0">
        <v>0</v>
      </c>
      <c r="L5233" s="0">
        <v>0</v>
      </c>
      <c r="M5233" s="0">
        <v>0</v>
      </c>
      <c r="N5233" s="0">
        <v>0</v>
      </c>
      <c r="O5233" s="0">
        <v>0</v>
      </c>
      <c r="P5233" s="0">
        <v>0</v>
      </c>
      <c r="R5233" s="0" t="b">
        <v>0</v>
      </c>
      <c r="S5233" s="0" t="b">
        <v>0</v>
      </c>
      <c r="T5233" s="68">
        <v>46079.4890277778</v>
      </c>
      <c r="U5233" s="68">
        <v>0</v>
      </c>
      <c r="V5233" s="68">
        <v>46086.4913541667</v>
      </c>
      <c r="W5233" s="0">
        <f>IF(IF(B5233="none",1,IF(B5233="Trialer",1,0))+IF(C5233="Customer",1,IF(C5233="Lost",1,0))=2,1,0)</f>
      </c>
      <c r="X5233" s="0" t="s">
        <v>882</v>
      </c>
      <c r="Y5233" s="0" t="s">
        <v>243</v>
      </c>
      <c r="AV5233" s="68"/>
      <c r="AW5233" s="68"/>
      <c r="AY5233" s="27"/>
      <c r="BD5233" s="68">
        <v>46054.1666666667</v>
      </c>
      <c r="BE5233" s="68">
        <v>46082.1666666667</v>
      </c>
      <c r="BF5233" s="0" t="b">
        <v>0</v>
      </c>
      <c r="BG5233" s="0" t="b">
        <v>0</v>
      </c>
      <c r="BH5233" s="0">
        <v>170</v>
      </c>
      <c r="BI5233" s="0">
        <v>170</v>
      </c>
      <c r="BJ5233" s="0" t="s">
        <v>135</v>
      </c>
    </row>
    <row r="5234">
      <c r="A5234" s="0" t="s">
        <v>5502</v>
      </c>
      <c r="B5234" s="0" t="s">
        <v>5</v>
      </c>
      <c r="C5234" s="0" t="s">
        <v>652</v>
      </c>
      <c r="D5234" s="0" t="s">
        <v>135</v>
      </c>
      <c r="E5234" s="0" t="s">
        <v>3</v>
      </c>
      <c r="F5234" s="0" t="s">
        <v>12</v>
      </c>
      <c r="G5234" s="0" t="s">
        <v>8</v>
      </c>
      <c r="H5234" s="0">
        <v>-25</v>
      </c>
      <c r="I5234" s="0">
        <v>0</v>
      </c>
      <c r="J5234" s="0">
        <v>0</v>
      </c>
      <c r="K5234" s="0">
        <v>0</v>
      </c>
      <c r="L5234" s="0">
        <v>0</v>
      </c>
      <c r="M5234" s="0">
        <v>0</v>
      </c>
      <c r="N5234" s="0">
        <v>0</v>
      </c>
      <c r="O5234" s="0">
        <v>0</v>
      </c>
      <c r="P5234" s="0">
        <v>0</v>
      </c>
      <c r="R5234" s="0" t="b">
        <v>0</v>
      </c>
      <c r="S5234" s="0" t="b">
        <v>1</v>
      </c>
      <c r="T5234" s="68">
        <v>46079.4911574074</v>
      </c>
      <c r="U5234" s="68">
        <v>0</v>
      </c>
      <c r="V5234" s="68">
        <v>0</v>
      </c>
      <c r="W5234" s="0">
        <f>IF(IF(B5234="none",1,IF(B5234="Trialer",1,0))+IF(C5234="Customer",1,IF(C5234="Lost",1,0))=2,1,0)</f>
      </c>
      <c r="X5234" s="0" t="s">
        <v>653</v>
      </c>
      <c r="Y5234" s="0" t="s">
        <v>243</v>
      </c>
      <c r="AV5234" s="68"/>
      <c r="AW5234" s="68"/>
      <c r="AY5234" s="27"/>
      <c r="BD5234" s="68">
        <v>46054.1666666667</v>
      </c>
      <c r="BE5234" s="68">
        <v>46082.1666666667</v>
      </c>
      <c r="BF5234" s="0" t="b">
        <v>1</v>
      </c>
      <c r="BG5234" s="0" t="b">
        <v>0</v>
      </c>
      <c r="BH5234" s="0">
        <v>59</v>
      </c>
      <c r="BI5234" s="0">
        <v>59</v>
      </c>
      <c r="BJ5234" s="0" t="s">
        <v>135</v>
      </c>
    </row>
    <row r="5235">
      <c r="A5235" s="0" t="s">
        <v>5503</v>
      </c>
      <c r="B5235" s="0" t="s">
        <v>5</v>
      </c>
      <c r="C5235" s="0" t="s">
        <v>652</v>
      </c>
      <c r="D5235" s="0" t="s">
        <v>135</v>
      </c>
      <c r="E5235" s="0" t="s">
        <v>2</v>
      </c>
      <c r="F5235" s="0" t="s">
        <v>12</v>
      </c>
      <c r="G5235" s="0" t="s">
        <v>8</v>
      </c>
      <c r="H5235" s="0">
        <v>-25</v>
      </c>
      <c r="I5235" s="0">
        <v>0</v>
      </c>
      <c r="J5235" s="0">
        <v>0</v>
      </c>
      <c r="K5235" s="0">
        <v>0</v>
      </c>
      <c r="L5235" s="0">
        <v>0</v>
      </c>
      <c r="M5235" s="0">
        <v>0</v>
      </c>
      <c r="N5235" s="0">
        <v>0</v>
      </c>
      <c r="O5235" s="0">
        <v>0</v>
      </c>
      <c r="P5235" s="0">
        <v>0</v>
      </c>
      <c r="R5235" s="0" t="b">
        <v>0</v>
      </c>
      <c r="S5235" s="0" t="b">
        <v>1</v>
      </c>
      <c r="T5235" s="68">
        <v>46079.4999537037</v>
      </c>
      <c r="U5235" s="68">
        <v>0</v>
      </c>
      <c r="V5235" s="68">
        <v>0</v>
      </c>
      <c r="W5235" s="0">
        <f>IF(IF(B5235="none",1,IF(B5235="Trialer",1,0))+IF(C5235="Customer",1,IF(C5235="Lost",1,0))=2,1,0)</f>
      </c>
      <c r="X5235" s="0" t="s">
        <v>136</v>
      </c>
      <c r="Y5235" s="0" t="s">
        <v>499</v>
      </c>
      <c r="AV5235" s="68"/>
      <c r="AW5235" s="68"/>
      <c r="AY5235" s="27"/>
      <c r="BD5235" s="68">
        <v>46054.1666666667</v>
      </c>
      <c r="BE5235" s="68">
        <v>46082.1666666667</v>
      </c>
      <c r="BF5235" s="0" t="b">
        <v>0</v>
      </c>
      <c r="BG5235" s="0" t="b">
        <v>0</v>
      </c>
      <c r="BH5235" s="0">
        <v>142</v>
      </c>
      <c r="BI5235" s="0">
        <v>142</v>
      </c>
      <c r="BJ5235" s="0" t="s">
        <v>135</v>
      </c>
    </row>
    <row r="5236">
      <c r="A5236" s="0" t="s">
        <v>5504</v>
      </c>
      <c r="B5236" s="0" t="s">
        <v>5</v>
      </c>
      <c r="C5236" s="0" t="s">
        <v>652</v>
      </c>
      <c r="D5236" s="0" t="s">
        <v>135</v>
      </c>
      <c r="E5236" s="0" t="s">
        <v>3</v>
      </c>
      <c r="F5236" s="0" t="s">
        <v>12</v>
      </c>
      <c r="G5236" s="0" t="s">
        <v>8</v>
      </c>
      <c r="H5236" s="0">
        <v>-25</v>
      </c>
      <c r="I5236" s="0">
        <v>0</v>
      </c>
      <c r="J5236" s="0">
        <v>0</v>
      </c>
      <c r="K5236" s="0">
        <v>0</v>
      </c>
      <c r="L5236" s="0">
        <v>0</v>
      </c>
      <c r="M5236" s="0">
        <v>0</v>
      </c>
      <c r="N5236" s="0">
        <v>0</v>
      </c>
      <c r="O5236" s="0">
        <v>0</v>
      </c>
      <c r="P5236" s="0">
        <v>0</v>
      </c>
      <c r="R5236" s="0" t="b">
        <v>0</v>
      </c>
      <c r="S5236" s="0" t="b">
        <v>1</v>
      </c>
      <c r="T5236" s="68">
        <v>46079.532037037</v>
      </c>
      <c r="U5236" s="68">
        <v>0</v>
      </c>
      <c r="V5236" s="68">
        <v>0</v>
      </c>
      <c r="W5236" s="0">
        <f>IF(IF(B5236="none",1,IF(B5236="Trialer",1,0))+IF(C5236="Customer",1,IF(C5236="Lost",1,0))=2,1,0)</f>
      </c>
      <c r="X5236" s="0" t="s">
        <v>882</v>
      </c>
      <c r="Y5236" s="0" t="s">
        <v>243</v>
      </c>
      <c r="AV5236" s="68"/>
      <c r="AW5236" s="68"/>
      <c r="AY5236" s="27"/>
      <c r="BD5236" s="68">
        <v>46054.1666666667</v>
      </c>
      <c r="BE5236" s="68">
        <v>46082.1666666667</v>
      </c>
      <c r="BF5236" s="0" t="b">
        <v>1</v>
      </c>
      <c r="BG5236" s="0" t="b">
        <v>0</v>
      </c>
      <c r="BH5236" s="0">
        <v>170</v>
      </c>
      <c r="BI5236" s="0">
        <v>170</v>
      </c>
      <c r="BJ5236" s="0" t="s">
        <v>135</v>
      </c>
    </row>
    <row r="5237">
      <c r="A5237" s="0" t="s">
        <v>5505</v>
      </c>
      <c r="B5237" s="0" t="s">
        <v>5</v>
      </c>
      <c r="C5237" s="0" t="s">
        <v>652</v>
      </c>
      <c r="D5237" s="0" t="s">
        <v>135</v>
      </c>
      <c r="E5237" s="0" t="s">
        <v>4</v>
      </c>
      <c r="F5237" s="0" t="s">
        <v>12</v>
      </c>
      <c r="G5237" s="0" t="s">
        <v>8</v>
      </c>
      <c r="H5237" s="0">
        <v>-25</v>
      </c>
      <c r="I5237" s="0">
        <v>0</v>
      </c>
      <c r="J5237" s="0">
        <v>0</v>
      </c>
      <c r="K5237" s="0">
        <v>0</v>
      </c>
      <c r="L5237" s="0">
        <v>0</v>
      </c>
      <c r="M5237" s="0">
        <v>0</v>
      </c>
      <c r="N5237" s="0">
        <v>0</v>
      </c>
      <c r="O5237" s="0">
        <v>0</v>
      </c>
      <c r="P5237" s="0">
        <v>0</v>
      </c>
      <c r="R5237" s="0" t="b">
        <v>0</v>
      </c>
      <c r="S5237" s="0" t="b">
        <v>1</v>
      </c>
      <c r="T5237" s="68">
        <v>46079.5331944444</v>
      </c>
      <c r="U5237" s="68">
        <v>0</v>
      </c>
      <c r="V5237" s="68">
        <v>0</v>
      </c>
      <c r="W5237" s="0">
        <f>IF(IF(B5237="none",1,IF(B5237="Trialer",1,0))+IF(C5237="Customer",1,IF(C5237="Lost",1,0))=2,1,0)</f>
      </c>
      <c r="X5237" s="0" t="s">
        <v>145</v>
      </c>
      <c r="Y5237" s="0" t="s">
        <v>1772</v>
      </c>
      <c r="AV5237" s="68"/>
      <c r="AW5237" s="68"/>
      <c r="AY5237" s="27"/>
      <c r="BD5237" s="68">
        <v>46054.1666666667</v>
      </c>
      <c r="BE5237" s="68">
        <v>46082.1666666667</v>
      </c>
      <c r="BF5237" s="0" t="b">
        <v>0</v>
      </c>
      <c r="BG5237" s="0" t="b">
        <v>0</v>
      </c>
      <c r="BH5237" s="0">
        <v>59</v>
      </c>
      <c r="BI5237" s="0">
        <v>59</v>
      </c>
      <c r="BJ5237" s="0" t="s">
        <v>135</v>
      </c>
    </row>
    <row r="5238">
      <c r="A5238" s="0" t="s">
        <v>5506</v>
      </c>
      <c r="B5238" s="0" t="s">
        <v>5</v>
      </c>
      <c r="C5238" s="0" t="s">
        <v>652</v>
      </c>
      <c r="D5238" s="0" t="s">
        <v>135</v>
      </c>
      <c r="E5238" s="0" t="s">
        <v>3</v>
      </c>
      <c r="F5238" s="0" t="s">
        <v>12</v>
      </c>
      <c r="G5238" s="0" t="s">
        <v>8</v>
      </c>
      <c r="H5238" s="0">
        <v>-25</v>
      </c>
      <c r="I5238" s="0">
        <v>0</v>
      </c>
      <c r="J5238" s="0">
        <v>0</v>
      </c>
      <c r="K5238" s="0">
        <v>0</v>
      </c>
      <c r="L5238" s="0">
        <v>0</v>
      </c>
      <c r="M5238" s="0">
        <v>0</v>
      </c>
      <c r="N5238" s="0">
        <v>0</v>
      </c>
      <c r="O5238" s="0">
        <v>0</v>
      </c>
      <c r="P5238" s="0">
        <v>0</v>
      </c>
      <c r="R5238" s="0" t="b">
        <v>0</v>
      </c>
      <c r="S5238" s="0" t="b">
        <v>1</v>
      </c>
      <c r="T5238" s="68">
        <v>46079.5410648148</v>
      </c>
      <c r="U5238" s="68">
        <v>46094.3333333333</v>
      </c>
      <c r="V5238" s="68">
        <v>0</v>
      </c>
      <c r="W5238" s="0">
        <f>IF(IF(B5238="none",1,IF(B5238="Trialer",1,0))+IF(C5238="Customer",1,IF(C5238="Lost",1,0))=2,1,0)</f>
      </c>
      <c r="X5238" s="0" t="s">
        <v>1461</v>
      </c>
      <c r="Y5238" s="0" t="s">
        <v>243</v>
      </c>
      <c r="AV5238" s="68"/>
      <c r="AW5238" s="68"/>
      <c r="AY5238" s="27"/>
      <c r="BD5238" s="68">
        <v>46054.1666666667</v>
      </c>
      <c r="BE5238" s="68">
        <v>46082.1666666667</v>
      </c>
      <c r="BF5238" s="0" t="b">
        <v>0</v>
      </c>
      <c r="BG5238" s="0" t="b">
        <v>0</v>
      </c>
      <c r="BH5238" s="0">
        <v>47</v>
      </c>
      <c r="BI5238" s="0">
        <v>47</v>
      </c>
      <c r="BJ5238" s="0" t="s">
        <v>135</v>
      </c>
    </row>
    <row r="5239">
      <c r="A5239" s="0" t="s">
        <v>5507</v>
      </c>
      <c r="B5239" s="0" t="s">
        <v>5</v>
      </c>
      <c r="C5239" s="0" t="s">
        <v>652</v>
      </c>
      <c r="D5239" s="0" t="s">
        <v>135</v>
      </c>
      <c r="E5239" s="0" t="s">
        <v>3</v>
      </c>
      <c r="F5239" s="0" t="s">
        <v>12</v>
      </c>
      <c r="G5239" s="0" t="s">
        <v>8</v>
      </c>
      <c r="H5239" s="0">
        <v>-25</v>
      </c>
      <c r="I5239" s="0">
        <v>0</v>
      </c>
      <c r="J5239" s="0">
        <v>0</v>
      </c>
      <c r="K5239" s="0">
        <v>0</v>
      </c>
      <c r="L5239" s="0">
        <v>0</v>
      </c>
      <c r="M5239" s="0">
        <v>0</v>
      </c>
      <c r="N5239" s="0">
        <v>0</v>
      </c>
      <c r="O5239" s="0">
        <v>0</v>
      </c>
      <c r="P5239" s="0">
        <v>0</v>
      </c>
      <c r="R5239" s="0" t="b">
        <v>0</v>
      </c>
      <c r="S5239" s="0" t="b">
        <v>0</v>
      </c>
      <c r="T5239" s="68">
        <v>46079.5709027778</v>
      </c>
      <c r="U5239" s="68">
        <v>0</v>
      </c>
      <c r="V5239" s="68">
        <v>46080.6164583333</v>
      </c>
      <c r="W5239" s="0">
        <f>IF(IF(B5239="none",1,IF(B5239="Trialer",1,0))+IF(C5239="Customer",1,IF(C5239="Lost",1,0))=2,1,0)</f>
      </c>
      <c r="X5239" s="0" t="s">
        <v>148</v>
      </c>
      <c r="Y5239" s="0" t="s">
        <v>243</v>
      </c>
      <c r="AV5239" s="68"/>
      <c r="AW5239" s="68"/>
      <c r="AY5239" s="27"/>
      <c r="BD5239" s="68">
        <v>46054.1666666667</v>
      </c>
      <c r="BE5239" s="68">
        <v>46082.1666666667</v>
      </c>
      <c r="BF5239" s="0" t="b">
        <v>0</v>
      </c>
      <c r="BG5239" s="0" t="b">
        <v>0</v>
      </c>
      <c r="BH5239" s="0">
        <v>59</v>
      </c>
      <c r="BI5239" s="0">
        <v>59</v>
      </c>
      <c r="BJ5239" s="0" t="s">
        <v>135</v>
      </c>
    </row>
    <row r="5240">
      <c r="A5240" s="0" t="s">
        <v>5508</v>
      </c>
      <c r="B5240" s="0" t="s">
        <v>5</v>
      </c>
      <c r="C5240" s="0" t="s">
        <v>652</v>
      </c>
      <c r="D5240" s="0" t="s">
        <v>135</v>
      </c>
      <c r="E5240" s="0" t="s">
        <v>2</v>
      </c>
      <c r="F5240" s="0" t="s">
        <v>12</v>
      </c>
      <c r="G5240" s="0" t="s">
        <v>8</v>
      </c>
      <c r="H5240" s="0">
        <v>-25</v>
      </c>
      <c r="I5240" s="0">
        <v>0</v>
      </c>
      <c r="J5240" s="0">
        <v>0</v>
      </c>
      <c r="K5240" s="0">
        <v>0</v>
      </c>
      <c r="L5240" s="0">
        <v>0</v>
      </c>
      <c r="M5240" s="0">
        <v>0</v>
      </c>
      <c r="N5240" s="0">
        <v>0</v>
      </c>
      <c r="O5240" s="0">
        <v>0</v>
      </c>
      <c r="P5240" s="0">
        <v>0</v>
      </c>
      <c r="R5240" s="0" t="b">
        <v>0</v>
      </c>
      <c r="S5240" s="0" t="b">
        <v>1</v>
      </c>
      <c r="T5240" s="68">
        <v>46079.5809953704</v>
      </c>
      <c r="U5240" s="68">
        <v>0</v>
      </c>
      <c r="V5240" s="68">
        <v>0</v>
      </c>
      <c r="W5240" s="0">
        <f>IF(IF(B5240="none",1,IF(B5240="Trialer",1,0))+IF(C5240="Customer",1,IF(C5240="Lost",1,0))=2,1,0)</f>
      </c>
      <c r="X5240" s="0" t="s">
        <v>145</v>
      </c>
      <c r="Y5240" s="0" t="s">
        <v>499</v>
      </c>
      <c r="AV5240" s="68"/>
      <c r="AW5240" s="68"/>
      <c r="AY5240" s="27"/>
      <c r="BD5240" s="68">
        <v>46054.1666666667</v>
      </c>
      <c r="BE5240" s="68">
        <v>46082.1666666667</v>
      </c>
      <c r="BF5240" s="0" t="b">
        <v>0</v>
      </c>
      <c r="BG5240" s="0" t="b">
        <v>0</v>
      </c>
      <c r="BH5240" s="0">
        <v>59</v>
      </c>
      <c r="BI5240" s="0">
        <v>59</v>
      </c>
      <c r="BJ5240" s="0" t="s">
        <v>135</v>
      </c>
    </row>
    <row r="5241">
      <c r="A5241" s="0" t="s">
        <v>5509</v>
      </c>
      <c r="B5241" s="0" t="s">
        <v>5</v>
      </c>
      <c r="C5241" s="0" t="s">
        <v>652</v>
      </c>
      <c r="D5241" s="0" t="s">
        <v>135</v>
      </c>
      <c r="E5241" s="0" t="s">
        <v>2</v>
      </c>
      <c r="F5241" s="0" t="s">
        <v>12</v>
      </c>
      <c r="G5241" s="0" t="s">
        <v>8</v>
      </c>
      <c r="H5241" s="0">
        <v>-25</v>
      </c>
      <c r="I5241" s="0">
        <v>0</v>
      </c>
      <c r="J5241" s="0">
        <v>0</v>
      </c>
      <c r="K5241" s="0">
        <v>0</v>
      </c>
      <c r="L5241" s="0">
        <v>0</v>
      </c>
      <c r="M5241" s="0">
        <v>0</v>
      </c>
      <c r="N5241" s="0">
        <v>0</v>
      </c>
      <c r="O5241" s="0">
        <v>0</v>
      </c>
      <c r="P5241" s="0">
        <v>0</v>
      </c>
      <c r="R5241" s="0" t="b">
        <v>0</v>
      </c>
      <c r="S5241" s="0" t="b">
        <v>1</v>
      </c>
      <c r="T5241" s="68">
        <v>46079.6033796296</v>
      </c>
      <c r="U5241" s="68">
        <v>0</v>
      </c>
      <c r="V5241" s="68">
        <v>0</v>
      </c>
      <c r="W5241" s="0">
        <f>IF(IF(B5241="none",1,IF(B5241="Trialer",1,0))+IF(C5241="Customer",1,IF(C5241="Lost",1,0))=2,1,0)</f>
      </c>
      <c r="X5241" s="0" t="s">
        <v>145</v>
      </c>
      <c r="Y5241" s="0" t="s">
        <v>499</v>
      </c>
      <c r="AV5241" s="68"/>
      <c r="AW5241" s="68"/>
      <c r="AY5241" s="27"/>
      <c r="BD5241" s="68">
        <v>46054.1666666667</v>
      </c>
      <c r="BE5241" s="68">
        <v>46082.1666666667</v>
      </c>
      <c r="BF5241" s="0" t="b">
        <v>0</v>
      </c>
      <c r="BG5241" s="0" t="b">
        <v>0</v>
      </c>
      <c r="BH5241" s="0">
        <v>59</v>
      </c>
      <c r="BI5241" s="0">
        <v>59</v>
      </c>
      <c r="BJ5241" s="0" t="s">
        <v>135</v>
      </c>
    </row>
    <row r="5242">
      <c r="A5242" s="0" t="s">
        <v>5510</v>
      </c>
      <c r="B5242" s="0" t="s">
        <v>5</v>
      </c>
      <c r="C5242" s="0" t="s">
        <v>652</v>
      </c>
      <c r="D5242" s="0" t="s">
        <v>135</v>
      </c>
      <c r="E5242" s="0" t="s">
        <v>3</v>
      </c>
      <c r="F5242" s="0" t="s">
        <v>12</v>
      </c>
      <c r="G5242" s="0" t="s">
        <v>8</v>
      </c>
      <c r="H5242" s="0">
        <v>-25</v>
      </c>
      <c r="I5242" s="0">
        <v>0</v>
      </c>
      <c r="J5242" s="0">
        <v>0</v>
      </c>
      <c r="K5242" s="0">
        <v>0</v>
      </c>
      <c r="L5242" s="0">
        <v>0</v>
      </c>
      <c r="M5242" s="0">
        <v>0</v>
      </c>
      <c r="N5242" s="0">
        <v>0</v>
      </c>
      <c r="O5242" s="0">
        <v>0</v>
      </c>
      <c r="P5242" s="0">
        <v>0</v>
      </c>
      <c r="R5242" s="0" t="b">
        <v>0</v>
      </c>
      <c r="S5242" s="0" t="b">
        <v>0</v>
      </c>
      <c r="T5242" s="68">
        <v>46079.6432986111</v>
      </c>
      <c r="U5242" s="68">
        <v>0</v>
      </c>
      <c r="V5242" s="68">
        <v>46079.647337963</v>
      </c>
      <c r="W5242" s="0">
        <f>IF(IF(B5242="none",1,IF(B5242="Trialer",1,0))+IF(C5242="Customer",1,IF(C5242="Lost",1,0))=2,1,0)</f>
      </c>
      <c r="X5242" s="0" t="s">
        <v>136</v>
      </c>
      <c r="Y5242" s="0" t="s">
        <v>243</v>
      </c>
      <c r="AV5242" s="68"/>
      <c r="AW5242" s="68"/>
      <c r="AY5242" s="27"/>
      <c r="BD5242" s="68">
        <v>46054.1666666667</v>
      </c>
      <c r="BE5242" s="68">
        <v>46082.1666666667</v>
      </c>
      <c r="BF5242" s="0" t="b">
        <v>0</v>
      </c>
      <c r="BG5242" s="0" t="b">
        <v>0</v>
      </c>
      <c r="BH5242" s="0">
        <v>0</v>
      </c>
      <c r="BI5242" s="0">
        <v>0</v>
      </c>
      <c r="BJ5242" s="0" t="s">
        <v>135</v>
      </c>
    </row>
    <row r="5243">
      <c r="A5243" s="0" t="s">
        <v>5511</v>
      </c>
      <c r="B5243" s="0" t="s">
        <v>5</v>
      </c>
      <c r="C5243" s="0" t="s">
        <v>652</v>
      </c>
      <c r="D5243" s="0" t="s">
        <v>135</v>
      </c>
      <c r="E5243" s="0" t="s">
        <v>3</v>
      </c>
      <c r="F5243" s="0" t="s">
        <v>12</v>
      </c>
      <c r="G5243" s="0" t="s">
        <v>8</v>
      </c>
      <c r="H5243" s="0">
        <v>-25</v>
      </c>
      <c r="I5243" s="0">
        <v>0</v>
      </c>
      <c r="J5243" s="0">
        <v>0</v>
      </c>
      <c r="K5243" s="0">
        <v>0</v>
      </c>
      <c r="L5243" s="0">
        <v>0</v>
      </c>
      <c r="M5243" s="0">
        <v>0</v>
      </c>
      <c r="N5243" s="0">
        <v>0</v>
      </c>
      <c r="O5243" s="0">
        <v>0</v>
      </c>
      <c r="P5243" s="0">
        <v>0</v>
      </c>
      <c r="R5243" s="0" t="b">
        <v>0</v>
      </c>
      <c r="S5243" s="0" t="b">
        <v>1</v>
      </c>
      <c r="T5243" s="68">
        <v>46079.6513888889</v>
      </c>
      <c r="U5243" s="68">
        <v>46093.3333333333</v>
      </c>
      <c r="V5243" s="68">
        <v>0</v>
      </c>
      <c r="W5243" s="0">
        <f>IF(IF(B5243="none",1,IF(B5243="Trialer",1,0))+IF(C5243="Customer",1,IF(C5243="Lost",1,0))=2,1,0)</f>
      </c>
      <c r="X5243" s="0" t="s">
        <v>148</v>
      </c>
      <c r="Y5243" s="0" t="s">
        <v>243</v>
      </c>
      <c r="AV5243" s="68"/>
      <c r="AW5243" s="68"/>
      <c r="AY5243" s="27"/>
      <c r="BD5243" s="68">
        <v>46054.1666666667</v>
      </c>
      <c r="BE5243" s="68">
        <v>46082.1666666667</v>
      </c>
      <c r="BF5243" s="0" t="b">
        <v>0</v>
      </c>
      <c r="BG5243" s="0" t="b">
        <v>0</v>
      </c>
      <c r="BH5243" s="0">
        <v>175</v>
      </c>
      <c r="BI5243" s="0">
        <v>175</v>
      </c>
      <c r="BJ5243" s="0" t="s">
        <v>230</v>
      </c>
    </row>
    <row r="5244">
      <c r="A5244" s="0" t="s">
        <v>5512</v>
      </c>
      <c r="B5244" s="0" t="s">
        <v>5</v>
      </c>
      <c r="C5244" s="0" t="s">
        <v>652</v>
      </c>
      <c r="D5244" s="0" t="s">
        <v>135</v>
      </c>
      <c r="E5244" s="0" t="s">
        <v>3</v>
      </c>
      <c r="F5244" s="0" t="s">
        <v>12</v>
      </c>
      <c r="G5244" s="0" t="s">
        <v>8</v>
      </c>
      <c r="H5244" s="0">
        <v>-25</v>
      </c>
      <c r="I5244" s="0">
        <v>0</v>
      </c>
      <c r="J5244" s="0">
        <v>0</v>
      </c>
      <c r="K5244" s="0">
        <v>0</v>
      </c>
      <c r="L5244" s="0">
        <v>0</v>
      </c>
      <c r="M5244" s="0">
        <v>0</v>
      </c>
      <c r="N5244" s="0">
        <v>0</v>
      </c>
      <c r="O5244" s="0">
        <v>0</v>
      </c>
      <c r="P5244" s="0">
        <v>0</v>
      </c>
      <c r="R5244" s="0" t="b">
        <v>0</v>
      </c>
      <c r="S5244" s="0" t="b">
        <v>1</v>
      </c>
      <c r="T5244" s="68">
        <v>46079.6547337963</v>
      </c>
      <c r="U5244" s="68">
        <v>0</v>
      </c>
      <c r="V5244" s="68">
        <v>0</v>
      </c>
      <c r="W5244" s="0">
        <f>IF(IF(B5244="none",1,IF(B5244="Trialer",1,0))+IF(C5244="Customer",1,IF(C5244="Lost",1,0))=2,1,0)</f>
      </c>
      <c r="X5244" s="0" t="s">
        <v>136</v>
      </c>
      <c r="Y5244" s="0" t="s">
        <v>243</v>
      </c>
      <c r="AV5244" s="68"/>
      <c r="AW5244" s="68"/>
      <c r="AY5244" s="27"/>
      <c r="BD5244" s="68">
        <v>46054.1666666667</v>
      </c>
      <c r="BE5244" s="68">
        <v>46082.1666666667</v>
      </c>
      <c r="BF5244" s="0" t="b">
        <v>0</v>
      </c>
      <c r="BG5244" s="0" t="b">
        <v>0</v>
      </c>
      <c r="BH5244" s="0">
        <v>73</v>
      </c>
      <c r="BI5244" s="0">
        <v>73</v>
      </c>
      <c r="BJ5244" s="0" t="s">
        <v>135</v>
      </c>
    </row>
    <row r="5245">
      <c r="A5245" s="0" t="s">
        <v>5513</v>
      </c>
      <c r="B5245" s="0" t="s">
        <v>5</v>
      </c>
      <c r="C5245" s="0" t="s">
        <v>652</v>
      </c>
      <c r="D5245" s="0" t="s">
        <v>135</v>
      </c>
      <c r="E5245" s="0" t="s">
        <v>3</v>
      </c>
      <c r="F5245" s="0" t="s">
        <v>12</v>
      </c>
      <c r="G5245" s="0" t="s">
        <v>8</v>
      </c>
      <c r="H5245" s="0">
        <v>-25</v>
      </c>
      <c r="I5245" s="0">
        <v>0</v>
      </c>
      <c r="J5245" s="0">
        <v>0</v>
      </c>
      <c r="K5245" s="0">
        <v>0</v>
      </c>
      <c r="L5245" s="0">
        <v>0</v>
      </c>
      <c r="M5245" s="0">
        <v>0</v>
      </c>
      <c r="N5245" s="0">
        <v>0</v>
      </c>
      <c r="O5245" s="0">
        <v>0</v>
      </c>
      <c r="P5245" s="0">
        <v>0</v>
      </c>
      <c r="R5245" s="0" t="b">
        <v>0</v>
      </c>
      <c r="S5245" s="0" t="b">
        <v>1</v>
      </c>
      <c r="T5245" s="68">
        <v>46079.725</v>
      </c>
      <c r="U5245" s="68">
        <v>0</v>
      </c>
      <c r="V5245" s="68">
        <v>0</v>
      </c>
      <c r="W5245" s="0">
        <f>IF(IF(B5245="none",1,IF(B5245="Trialer",1,0))+IF(C5245="Customer",1,IF(C5245="Lost",1,0))=2,1,0)</f>
      </c>
      <c r="X5245" s="0" t="s">
        <v>148</v>
      </c>
      <c r="Y5245" s="0" t="s">
        <v>243</v>
      </c>
      <c r="AV5245" s="68"/>
      <c r="AW5245" s="68"/>
      <c r="AY5245" s="27"/>
      <c r="BD5245" s="68">
        <v>46054.1666666667</v>
      </c>
      <c r="BE5245" s="68">
        <v>46082.1666666667</v>
      </c>
      <c r="BF5245" s="0" t="b">
        <v>0</v>
      </c>
      <c r="BG5245" s="0" t="b">
        <v>0</v>
      </c>
      <c r="BH5245" s="0">
        <v>85</v>
      </c>
      <c r="BI5245" s="0">
        <v>85</v>
      </c>
      <c r="BJ5245" s="0" t="s">
        <v>135</v>
      </c>
    </row>
    <row r="5246">
      <c r="A5246" s="0" t="s">
        <v>5514</v>
      </c>
      <c r="B5246" s="0" t="s">
        <v>5</v>
      </c>
      <c r="C5246" s="0" t="s">
        <v>652</v>
      </c>
      <c r="D5246" s="0" t="s">
        <v>135</v>
      </c>
      <c r="E5246" s="0" t="s">
        <v>1515</v>
      </c>
      <c r="F5246" s="0" t="s">
        <v>12</v>
      </c>
      <c r="G5246" s="0" t="s">
        <v>8</v>
      </c>
      <c r="H5246" s="0">
        <v>-25</v>
      </c>
      <c r="I5246" s="0">
        <v>0</v>
      </c>
      <c r="J5246" s="0">
        <v>0</v>
      </c>
      <c r="K5246" s="0">
        <v>0</v>
      </c>
      <c r="L5246" s="0">
        <v>0</v>
      </c>
      <c r="M5246" s="0">
        <v>0</v>
      </c>
      <c r="N5246" s="0">
        <v>0</v>
      </c>
      <c r="O5246" s="0">
        <v>0</v>
      </c>
      <c r="P5246" s="0">
        <v>0</v>
      </c>
      <c r="R5246" s="0" t="b">
        <v>0</v>
      </c>
      <c r="S5246" s="0" t="b">
        <v>1</v>
      </c>
      <c r="T5246" s="68">
        <v>46079.7368981481</v>
      </c>
      <c r="U5246" s="68">
        <v>0</v>
      </c>
      <c r="V5246" s="68">
        <v>0</v>
      </c>
      <c r="W5246" s="0">
        <f>IF(IF(B5246="none",1,IF(B5246="Trialer",1,0))+IF(C5246="Customer",1,IF(C5246="Lost",1,0))=2,1,0)</f>
      </c>
      <c r="X5246" s="0" t="s">
        <v>145</v>
      </c>
      <c r="Y5246" s="0" t="s">
        <v>1516</v>
      </c>
      <c r="AV5246" s="68"/>
      <c r="AW5246" s="68"/>
      <c r="AY5246" s="27"/>
      <c r="BD5246" s="68">
        <v>46054.1666666667</v>
      </c>
      <c r="BE5246" s="68">
        <v>46082.1666666667</v>
      </c>
      <c r="BF5246" s="0" t="b">
        <v>0</v>
      </c>
      <c r="BG5246" s="0" t="b">
        <v>0</v>
      </c>
      <c r="BH5246" s="0">
        <v>59</v>
      </c>
      <c r="BI5246" s="0">
        <v>59</v>
      </c>
      <c r="BJ5246" s="0" t="s">
        <v>135</v>
      </c>
    </row>
    <row r="5247">
      <c r="A5247" s="0" t="s">
        <v>5515</v>
      </c>
      <c r="B5247" s="0" t="s">
        <v>5</v>
      </c>
      <c r="C5247" s="0" t="s">
        <v>652</v>
      </c>
      <c r="D5247" s="0" t="s">
        <v>135</v>
      </c>
      <c r="E5247" s="0" t="s">
        <v>3</v>
      </c>
      <c r="F5247" s="0" t="s">
        <v>12</v>
      </c>
      <c r="G5247" s="0" t="s">
        <v>8</v>
      </c>
      <c r="H5247" s="0">
        <v>-25</v>
      </c>
      <c r="I5247" s="0">
        <v>0</v>
      </c>
      <c r="J5247" s="0">
        <v>0</v>
      </c>
      <c r="K5247" s="0">
        <v>0</v>
      </c>
      <c r="L5247" s="0">
        <v>0</v>
      </c>
      <c r="M5247" s="0">
        <v>0</v>
      </c>
      <c r="N5247" s="0">
        <v>0</v>
      </c>
      <c r="O5247" s="0">
        <v>0</v>
      </c>
      <c r="P5247" s="0">
        <v>0</v>
      </c>
      <c r="R5247" s="0" t="b">
        <v>0</v>
      </c>
      <c r="S5247" s="0" t="b">
        <v>1</v>
      </c>
      <c r="T5247" s="68">
        <v>46079.7472222222</v>
      </c>
      <c r="U5247" s="68">
        <v>46093.3333333333</v>
      </c>
      <c r="V5247" s="68">
        <v>0</v>
      </c>
      <c r="W5247" s="0">
        <f>IF(IF(B5247="none",1,IF(B5247="Trialer",1,0))+IF(C5247="Customer",1,IF(C5247="Lost",1,0))=2,1,0)</f>
      </c>
      <c r="X5247" s="0" t="s">
        <v>1461</v>
      </c>
      <c r="Y5247" s="0" t="s">
        <v>243</v>
      </c>
      <c r="AV5247" s="68"/>
      <c r="AW5247" s="68"/>
      <c r="AY5247" s="27"/>
      <c r="BD5247" s="68">
        <v>46054.1666666667</v>
      </c>
      <c r="BE5247" s="68">
        <v>46082.1666666667</v>
      </c>
      <c r="BF5247" s="0" t="b">
        <v>0</v>
      </c>
      <c r="BG5247" s="0" t="b">
        <v>0</v>
      </c>
      <c r="BH5247" s="0">
        <v>59</v>
      </c>
      <c r="BI5247" s="0">
        <v>59</v>
      </c>
      <c r="BJ5247" s="0" t="s">
        <v>135</v>
      </c>
    </row>
    <row r="5248">
      <c r="A5248" s="0" t="s">
        <v>5516</v>
      </c>
      <c r="B5248" s="0" t="s">
        <v>5</v>
      </c>
      <c r="C5248" s="0" t="s">
        <v>652</v>
      </c>
      <c r="D5248" s="0" t="s">
        <v>135</v>
      </c>
      <c r="E5248" s="0" t="s">
        <v>3</v>
      </c>
      <c r="F5248" s="0" t="s">
        <v>12</v>
      </c>
      <c r="G5248" s="0" t="s">
        <v>8</v>
      </c>
      <c r="H5248" s="0">
        <v>-25</v>
      </c>
      <c r="I5248" s="0">
        <v>0</v>
      </c>
      <c r="J5248" s="0">
        <v>0</v>
      </c>
      <c r="K5248" s="0">
        <v>0</v>
      </c>
      <c r="L5248" s="0">
        <v>0</v>
      </c>
      <c r="M5248" s="0">
        <v>0</v>
      </c>
      <c r="N5248" s="0">
        <v>0</v>
      </c>
      <c r="O5248" s="0">
        <v>0</v>
      </c>
      <c r="P5248" s="0">
        <v>0</v>
      </c>
      <c r="R5248" s="0" t="b">
        <v>0</v>
      </c>
      <c r="S5248" s="0" t="b">
        <v>1</v>
      </c>
      <c r="T5248" s="68">
        <v>46079.9001851852</v>
      </c>
      <c r="U5248" s="68">
        <v>0</v>
      </c>
      <c r="V5248" s="68">
        <v>0</v>
      </c>
      <c r="W5248" s="0">
        <f>IF(IF(B5248="none",1,IF(B5248="Trialer",1,0))+IF(C5248="Customer",1,IF(C5248="Lost",1,0))=2,1,0)</f>
      </c>
      <c r="X5248" s="0" t="s">
        <v>136</v>
      </c>
      <c r="Y5248" s="0" t="s">
        <v>243</v>
      </c>
      <c r="AV5248" s="68"/>
      <c r="AW5248" s="68"/>
      <c r="AY5248" s="27"/>
      <c r="BD5248" s="68">
        <v>46054.1666666667</v>
      </c>
      <c r="BE5248" s="68">
        <v>46082.1666666667</v>
      </c>
      <c r="BF5248" s="0" t="b">
        <v>0</v>
      </c>
      <c r="BG5248" s="0" t="b">
        <v>0</v>
      </c>
      <c r="BH5248" s="0">
        <v>73</v>
      </c>
      <c r="BI5248" s="0">
        <v>73</v>
      </c>
      <c r="BJ5248" s="0" t="s">
        <v>135</v>
      </c>
    </row>
    <row r="5249">
      <c r="A5249" s="0" t="s">
        <v>5517</v>
      </c>
      <c r="B5249" s="0" t="s">
        <v>5</v>
      </c>
      <c r="C5249" s="0" t="s">
        <v>652</v>
      </c>
      <c r="D5249" s="0" t="s">
        <v>135</v>
      </c>
      <c r="E5249" s="0" t="s">
        <v>1515</v>
      </c>
      <c r="F5249" s="0" t="s">
        <v>12</v>
      </c>
      <c r="G5249" s="0" t="s">
        <v>8</v>
      </c>
      <c r="H5249" s="0">
        <v>-25</v>
      </c>
      <c r="I5249" s="0">
        <v>0</v>
      </c>
      <c r="J5249" s="0">
        <v>0</v>
      </c>
      <c r="K5249" s="0">
        <v>0</v>
      </c>
      <c r="L5249" s="0">
        <v>0</v>
      </c>
      <c r="M5249" s="0">
        <v>0</v>
      </c>
      <c r="N5249" s="0">
        <v>0</v>
      </c>
      <c r="O5249" s="0">
        <v>0</v>
      </c>
      <c r="P5249" s="0">
        <v>0</v>
      </c>
      <c r="R5249" s="0" t="b">
        <v>0</v>
      </c>
      <c r="S5249" s="0" t="b">
        <v>0</v>
      </c>
      <c r="T5249" s="68">
        <v>46079.9568865741</v>
      </c>
      <c r="U5249" s="68">
        <v>0</v>
      </c>
      <c r="V5249" s="68">
        <v>46080.3403819444</v>
      </c>
      <c r="W5249" s="0">
        <f>IF(IF(B5249="none",1,IF(B5249="Trialer",1,0))+IF(C5249="Customer",1,IF(C5249="Lost",1,0))=2,1,0)</f>
      </c>
      <c r="X5249" s="0" t="s">
        <v>145</v>
      </c>
      <c r="Y5249" s="0" t="s">
        <v>1516</v>
      </c>
      <c r="AV5249" s="68"/>
      <c r="AW5249" s="68"/>
      <c r="AY5249" s="27"/>
      <c r="BD5249" s="68">
        <v>46054.1666666667</v>
      </c>
      <c r="BE5249" s="68">
        <v>46082.1666666667</v>
      </c>
      <c r="BF5249" s="0" t="b">
        <v>1</v>
      </c>
      <c r="BG5249" s="0" t="b">
        <v>0</v>
      </c>
      <c r="BH5249" s="0">
        <v>59</v>
      </c>
      <c r="BI5249" s="0">
        <v>0</v>
      </c>
      <c r="BJ5249" s="0" t="s">
        <v>135</v>
      </c>
    </row>
    <row r="5250">
      <c r="A5250" s="0" t="s">
        <v>5518</v>
      </c>
      <c r="B5250" s="0" t="s">
        <v>5</v>
      </c>
      <c r="C5250" s="0" t="s">
        <v>652</v>
      </c>
      <c r="D5250" s="0" t="s">
        <v>135</v>
      </c>
      <c r="E5250" s="0" t="s">
        <v>2</v>
      </c>
      <c r="F5250" s="0" t="s">
        <v>12</v>
      </c>
      <c r="G5250" s="0" t="s">
        <v>8</v>
      </c>
      <c r="H5250" s="0">
        <v>-26</v>
      </c>
      <c r="I5250" s="0">
        <v>0</v>
      </c>
      <c r="J5250" s="0">
        <v>0</v>
      </c>
      <c r="K5250" s="0">
        <v>0</v>
      </c>
      <c r="L5250" s="0">
        <v>0</v>
      </c>
      <c r="M5250" s="0">
        <v>0</v>
      </c>
      <c r="N5250" s="0">
        <v>0</v>
      </c>
      <c r="O5250" s="0">
        <v>0</v>
      </c>
      <c r="P5250" s="0">
        <v>0</v>
      </c>
      <c r="R5250" s="0" t="b">
        <v>0</v>
      </c>
      <c r="S5250" s="0" t="b">
        <v>1</v>
      </c>
      <c r="T5250" s="68">
        <v>46080.0197337963</v>
      </c>
      <c r="U5250" s="68">
        <v>0</v>
      </c>
      <c r="V5250" s="68">
        <v>0</v>
      </c>
      <c r="W5250" s="0">
        <f>IF(IF(B5250="none",1,IF(B5250="Trialer",1,0))+IF(C5250="Customer",1,IF(C5250="Lost",1,0))=2,1,0)</f>
      </c>
      <c r="X5250" s="0" t="s">
        <v>148</v>
      </c>
      <c r="Y5250" s="0" t="s">
        <v>499</v>
      </c>
      <c r="AV5250" s="68"/>
      <c r="AW5250" s="68"/>
      <c r="AY5250" s="27"/>
      <c r="BD5250" s="68">
        <v>46054.1666666667</v>
      </c>
      <c r="BE5250" s="68">
        <v>46082.1666666667</v>
      </c>
      <c r="BF5250" s="0" t="b">
        <v>0</v>
      </c>
      <c r="BG5250" s="0" t="b">
        <v>0</v>
      </c>
      <c r="BH5250" s="0">
        <v>59</v>
      </c>
      <c r="BI5250" s="0">
        <v>59</v>
      </c>
      <c r="BJ5250" s="0" t="s">
        <v>135</v>
      </c>
    </row>
    <row r="5251">
      <c r="A5251" s="0" t="s">
        <v>5519</v>
      </c>
      <c r="B5251" s="0" t="s">
        <v>5</v>
      </c>
      <c r="C5251" s="0" t="s">
        <v>652</v>
      </c>
      <c r="D5251" s="0" t="s">
        <v>135</v>
      </c>
      <c r="E5251" s="0" t="s">
        <v>3</v>
      </c>
      <c r="F5251" s="0" t="s">
        <v>12</v>
      </c>
      <c r="G5251" s="0" t="s">
        <v>8</v>
      </c>
      <c r="H5251" s="0">
        <v>-26</v>
      </c>
      <c r="I5251" s="0">
        <v>0</v>
      </c>
      <c r="J5251" s="0">
        <v>0</v>
      </c>
      <c r="K5251" s="0">
        <v>0</v>
      </c>
      <c r="L5251" s="0">
        <v>0</v>
      </c>
      <c r="M5251" s="0">
        <v>0</v>
      </c>
      <c r="N5251" s="0">
        <v>0</v>
      </c>
      <c r="O5251" s="0">
        <v>0</v>
      </c>
      <c r="P5251" s="0">
        <v>0</v>
      </c>
      <c r="R5251" s="0" t="b">
        <v>0</v>
      </c>
      <c r="S5251" s="0" t="b">
        <v>1</v>
      </c>
      <c r="T5251" s="68">
        <v>46080.0469791667</v>
      </c>
      <c r="U5251" s="68">
        <v>0</v>
      </c>
      <c r="V5251" s="68">
        <v>0</v>
      </c>
      <c r="W5251" s="0">
        <f>IF(IF(B5251="none",1,IF(B5251="Trialer",1,0))+IF(C5251="Customer",1,IF(C5251="Lost",1,0))=2,1,0)</f>
      </c>
      <c r="X5251" s="0" t="s">
        <v>145</v>
      </c>
      <c r="Y5251" s="0" t="s">
        <v>243</v>
      </c>
      <c r="AV5251" s="68"/>
      <c r="AW5251" s="68"/>
      <c r="AY5251" s="27"/>
      <c r="BD5251" s="68">
        <v>46054.1666666667</v>
      </c>
      <c r="BE5251" s="68">
        <v>46082.1666666667</v>
      </c>
      <c r="BF5251" s="0" t="b">
        <v>0</v>
      </c>
      <c r="BG5251" s="0" t="b">
        <v>0</v>
      </c>
      <c r="BH5251" s="0">
        <v>59</v>
      </c>
      <c r="BI5251" s="0">
        <v>59</v>
      </c>
      <c r="BJ5251" s="0" t="s">
        <v>135</v>
      </c>
    </row>
    <row r="5252">
      <c r="A5252" s="0" t="s">
        <v>5520</v>
      </c>
      <c r="B5252" s="0" t="s">
        <v>5</v>
      </c>
      <c r="C5252" s="0" t="s">
        <v>652</v>
      </c>
      <c r="D5252" s="0" t="s">
        <v>135</v>
      </c>
      <c r="E5252" s="0" t="s">
        <v>2414</v>
      </c>
      <c r="F5252" s="0" t="s">
        <v>12</v>
      </c>
      <c r="G5252" s="0" t="s">
        <v>8</v>
      </c>
      <c r="H5252" s="0">
        <v>-26</v>
      </c>
      <c r="I5252" s="0">
        <v>0</v>
      </c>
      <c r="J5252" s="0">
        <v>0</v>
      </c>
      <c r="K5252" s="0">
        <v>0</v>
      </c>
      <c r="L5252" s="0">
        <v>0</v>
      </c>
      <c r="M5252" s="0">
        <v>0</v>
      </c>
      <c r="N5252" s="0">
        <v>0</v>
      </c>
      <c r="O5252" s="0">
        <v>0</v>
      </c>
      <c r="P5252" s="0">
        <v>0</v>
      </c>
      <c r="R5252" s="0" t="b">
        <v>0</v>
      </c>
      <c r="S5252" s="0" t="b">
        <v>1</v>
      </c>
      <c r="T5252" s="68">
        <v>46080.1009490741</v>
      </c>
      <c r="U5252" s="68">
        <v>0</v>
      </c>
      <c r="V5252" s="68">
        <v>0</v>
      </c>
      <c r="W5252" s="0">
        <f>IF(IF(B5252="none",1,IF(B5252="Trialer",1,0))+IF(C5252="Customer",1,IF(C5252="Lost",1,0))=2,1,0)</f>
      </c>
      <c r="X5252" s="0" t="s">
        <v>148</v>
      </c>
      <c r="Y5252" s="0" t="s">
        <v>1516</v>
      </c>
      <c r="AV5252" s="68"/>
      <c r="AW5252" s="68"/>
      <c r="AY5252" s="27"/>
      <c r="BD5252" s="68">
        <v>46054.1666666667</v>
      </c>
      <c r="BE5252" s="68">
        <v>46082.1666666667</v>
      </c>
      <c r="BF5252" s="0" t="b">
        <v>0</v>
      </c>
      <c r="BG5252" s="0" t="b">
        <v>0</v>
      </c>
      <c r="BH5252" s="0">
        <v>59</v>
      </c>
      <c r="BI5252" s="0">
        <v>59</v>
      </c>
      <c r="BJ5252" s="0" t="s">
        <v>135</v>
      </c>
    </row>
    <row r="5253">
      <c r="A5253" s="0" t="s">
        <v>5521</v>
      </c>
      <c r="B5253" s="0" t="s">
        <v>5</v>
      </c>
      <c r="C5253" s="0" t="s">
        <v>652</v>
      </c>
      <c r="D5253" s="0" t="s">
        <v>135</v>
      </c>
      <c r="E5253" s="0" t="s">
        <v>4</v>
      </c>
      <c r="F5253" s="0" t="s">
        <v>12</v>
      </c>
      <c r="G5253" s="0" t="s">
        <v>8</v>
      </c>
      <c r="H5253" s="0">
        <v>-26</v>
      </c>
      <c r="I5253" s="0">
        <v>0</v>
      </c>
      <c r="J5253" s="0">
        <v>0</v>
      </c>
      <c r="K5253" s="0">
        <v>0</v>
      </c>
      <c r="L5253" s="0">
        <v>0</v>
      </c>
      <c r="M5253" s="0">
        <v>0</v>
      </c>
      <c r="N5253" s="0">
        <v>0</v>
      </c>
      <c r="O5253" s="0">
        <v>0</v>
      </c>
      <c r="P5253" s="0">
        <v>0</v>
      </c>
      <c r="R5253" s="0" t="b">
        <v>0</v>
      </c>
      <c r="S5253" s="0" t="b">
        <v>1</v>
      </c>
      <c r="T5253" s="68">
        <v>46080.1286689815</v>
      </c>
      <c r="U5253" s="68">
        <v>0</v>
      </c>
      <c r="V5253" s="68">
        <v>0</v>
      </c>
      <c r="W5253" s="0">
        <f>IF(IF(B5253="none",1,IF(B5253="Trialer",1,0))+IF(C5253="Customer",1,IF(C5253="Lost",1,0))=2,1,0)</f>
      </c>
      <c r="X5253" s="0" t="s">
        <v>136</v>
      </c>
      <c r="Y5253" s="0" t="s">
        <v>1772</v>
      </c>
      <c r="AV5253" s="68"/>
      <c r="AW5253" s="68"/>
      <c r="AY5253" s="27"/>
      <c r="BD5253" s="68">
        <v>46054.1666666667</v>
      </c>
      <c r="BE5253" s="68">
        <v>46082.1666666667</v>
      </c>
      <c r="BF5253" s="0" t="b">
        <v>0</v>
      </c>
      <c r="BG5253" s="0" t="b">
        <v>0</v>
      </c>
      <c r="BH5253" s="0">
        <v>59</v>
      </c>
      <c r="BI5253" s="0">
        <v>59</v>
      </c>
      <c r="BJ5253" s="0" t="s">
        <v>135</v>
      </c>
    </row>
    <row r="5254">
      <c r="A5254" s="0" t="s">
        <v>5522</v>
      </c>
      <c r="B5254" s="0" t="s">
        <v>5</v>
      </c>
      <c r="C5254" s="0" t="s">
        <v>652</v>
      </c>
      <c r="D5254" s="0" t="s">
        <v>135</v>
      </c>
      <c r="E5254" s="0" t="s">
        <v>3</v>
      </c>
      <c r="F5254" s="0" t="s">
        <v>12</v>
      </c>
      <c r="G5254" s="0" t="s">
        <v>8</v>
      </c>
      <c r="H5254" s="0">
        <v>-26</v>
      </c>
      <c r="I5254" s="0">
        <v>0</v>
      </c>
      <c r="J5254" s="0">
        <v>0</v>
      </c>
      <c r="K5254" s="0">
        <v>0</v>
      </c>
      <c r="L5254" s="0">
        <v>0</v>
      </c>
      <c r="M5254" s="0">
        <v>0</v>
      </c>
      <c r="N5254" s="0">
        <v>0</v>
      </c>
      <c r="O5254" s="0">
        <v>0</v>
      </c>
      <c r="P5254" s="0">
        <v>0</v>
      </c>
      <c r="R5254" s="0" t="b">
        <v>0</v>
      </c>
      <c r="S5254" s="0" t="b">
        <v>1</v>
      </c>
      <c r="T5254" s="68">
        <v>46080.1994560185</v>
      </c>
      <c r="U5254" s="68">
        <v>0</v>
      </c>
      <c r="V5254" s="68">
        <v>0</v>
      </c>
      <c r="W5254" s="0">
        <f>IF(IF(B5254="none",1,IF(B5254="Trialer",1,0))+IF(C5254="Customer",1,IF(C5254="Lost",1,0))=2,1,0)</f>
      </c>
      <c r="X5254" s="0" t="s">
        <v>136</v>
      </c>
      <c r="Y5254" s="0" t="s">
        <v>243</v>
      </c>
      <c r="AV5254" s="68"/>
      <c r="AW5254" s="68"/>
      <c r="AY5254" s="27"/>
      <c r="BD5254" s="68">
        <v>46054.1666666667</v>
      </c>
      <c r="BE5254" s="68">
        <v>46082.1666666667</v>
      </c>
      <c r="BF5254" s="0" t="b">
        <v>0</v>
      </c>
      <c r="BG5254" s="0" t="b">
        <v>0</v>
      </c>
      <c r="BH5254" s="0">
        <v>71</v>
      </c>
      <c r="BI5254" s="0">
        <v>71</v>
      </c>
      <c r="BJ5254" s="0" t="s">
        <v>135</v>
      </c>
    </row>
    <row r="5255">
      <c r="A5255" s="0" t="s">
        <v>5523</v>
      </c>
      <c r="B5255" s="0" t="s">
        <v>5</v>
      </c>
      <c r="C5255" s="0" t="s">
        <v>652</v>
      </c>
      <c r="D5255" s="0" t="s">
        <v>135</v>
      </c>
      <c r="E5255" s="0" t="s">
        <v>3</v>
      </c>
      <c r="F5255" s="0" t="s">
        <v>12</v>
      </c>
      <c r="G5255" s="0" t="s">
        <v>8</v>
      </c>
      <c r="H5255" s="0">
        <v>-26</v>
      </c>
      <c r="I5255" s="0">
        <v>0</v>
      </c>
      <c r="J5255" s="0">
        <v>0</v>
      </c>
      <c r="K5255" s="0">
        <v>0</v>
      </c>
      <c r="L5255" s="0">
        <v>0</v>
      </c>
      <c r="M5255" s="0">
        <v>0</v>
      </c>
      <c r="N5255" s="0">
        <v>0</v>
      </c>
      <c r="O5255" s="0">
        <v>0</v>
      </c>
      <c r="P5255" s="0">
        <v>0</v>
      </c>
      <c r="R5255" s="0" t="b">
        <v>0</v>
      </c>
      <c r="S5255" s="0" t="b">
        <v>1</v>
      </c>
      <c r="T5255" s="68">
        <v>46080.2452314815</v>
      </c>
      <c r="U5255" s="68">
        <v>0</v>
      </c>
      <c r="V5255" s="68">
        <v>0</v>
      </c>
      <c r="W5255" s="0">
        <f>IF(IF(B5255="none",1,IF(B5255="Trialer",1,0))+IF(C5255="Customer",1,IF(C5255="Lost",1,0))=2,1,0)</f>
      </c>
      <c r="X5255" s="0" t="s">
        <v>148</v>
      </c>
      <c r="Y5255" s="0" t="s">
        <v>243</v>
      </c>
      <c r="AV5255" s="68"/>
      <c r="AW5255" s="68"/>
      <c r="AY5255" s="27"/>
      <c r="BD5255" s="68">
        <v>46054.1666666667</v>
      </c>
      <c r="BE5255" s="68">
        <v>46082.1666666667</v>
      </c>
      <c r="BF5255" s="0" t="b">
        <v>0</v>
      </c>
      <c r="BG5255" s="0" t="b">
        <v>0</v>
      </c>
      <c r="BH5255" s="0">
        <v>85</v>
      </c>
      <c r="BI5255" s="0">
        <v>85</v>
      </c>
      <c r="BJ5255" s="0" t="s">
        <v>135</v>
      </c>
    </row>
    <row r="5256">
      <c r="A5256" s="0" t="s">
        <v>5524</v>
      </c>
      <c r="B5256" s="0" t="s">
        <v>5</v>
      </c>
      <c r="C5256" s="0" t="s">
        <v>652</v>
      </c>
      <c r="D5256" s="0" t="s">
        <v>135</v>
      </c>
      <c r="E5256" s="0" t="s">
        <v>3</v>
      </c>
      <c r="F5256" s="0" t="s">
        <v>12</v>
      </c>
      <c r="G5256" s="0" t="s">
        <v>8</v>
      </c>
      <c r="H5256" s="0">
        <v>-26</v>
      </c>
      <c r="I5256" s="0">
        <v>0</v>
      </c>
      <c r="J5256" s="0">
        <v>0</v>
      </c>
      <c r="K5256" s="0">
        <v>0</v>
      </c>
      <c r="L5256" s="0">
        <v>0</v>
      </c>
      <c r="M5256" s="0">
        <v>0</v>
      </c>
      <c r="N5256" s="0">
        <v>0</v>
      </c>
      <c r="O5256" s="0">
        <v>0</v>
      </c>
      <c r="P5256" s="0">
        <v>0</v>
      </c>
      <c r="R5256" s="0" t="b">
        <v>0</v>
      </c>
      <c r="S5256" s="0" t="b">
        <v>1</v>
      </c>
      <c r="T5256" s="68">
        <v>46080.2718171296</v>
      </c>
      <c r="U5256" s="68">
        <v>0</v>
      </c>
      <c r="V5256" s="68">
        <v>0</v>
      </c>
      <c r="W5256" s="0">
        <f>IF(IF(B5256="none",1,IF(B5256="Trialer",1,0))+IF(C5256="Customer",1,IF(C5256="Lost",1,0))=2,1,0)</f>
      </c>
      <c r="X5256" s="0" t="s">
        <v>145</v>
      </c>
      <c r="Y5256" s="0" t="s">
        <v>1792</v>
      </c>
      <c r="AV5256" s="68"/>
      <c r="AW5256" s="68"/>
      <c r="AY5256" s="27"/>
      <c r="BD5256" s="68">
        <v>46054.1666666667</v>
      </c>
      <c r="BE5256" s="68">
        <v>46082.1666666667</v>
      </c>
      <c r="BF5256" s="0" t="b">
        <v>0</v>
      </c>
      <c r="BG5256" s="0" t="b">
        <v>0</v>
      </c>
      <c r="BH5256" s="0">
        <v>194</v>
      </c>
      <c r="BI5256" s="0">
        <v>194</v>
      </c>
      <c r="BJ5256" s="0" t="s">
        <v>135</v>
      </c>
    </row>
    <row r="5257">
      <c r="A5257" s="0" t="s">
        <v>5525</v>
      </c>
      <c r="B5257" s="0" t="s">
        <v>5</v>
      </c>
      <c r="C5257" s="0" t="s">
        <v>652</v>
      </c>
      <c r="D5257" s="0" t="s">
        <v>135</v>
      </c>
      <c r="E5257" s="0" t="s">
        <v>4</v>
      </c>
      <c r="F5257" s="0" t="s">
        <v>12</v>
      </c>
      <c r="G5257" s="0" t="s">
        <v>8</v>
      </c>
      <c r="H5257" s="0">
        <v>-26</v>
      </c>
      <c r="I5257" s="0">
        <v>0</v>
      </c>
      <c r="J5257" s="0">
        <v>0</v>
      </c>
      <c r="K5257" s="0">
        <v>0</v>
      </c>
      <c r="L5257" s="0">
        <v>0</v>
      </c>
      <c r="M5257" s="0">
        <v>0</v>
      </c>
      <c r="N5257" s="0">
        <v>0</v>
      </c>
      <c r="O5257" s="0">
        <v>0</v>
      </c>
      <c r="P5257" s="0">
        <v>0</v>
      </c>
      <c r="R5257" s="0" t="b">
        <v>0</v>
      </c>
      <c r="S5257" s="0" t="b">
        <v>0</v>
      </c>
      <c r="T5257" s="68">
        <v>46080.2778703704</v>
      </c>
      <c r="U5257" s="68">
        <v>0</v>
      </c>
      <c r="V5257" s="68">
        <v>46094.6425347222</v>
      </c>
      <c r="W5257" s="0">
        <f>IF(IF(B5257="none",1,IF(B5257="Trialer",1,0))+IF(C5257="Customer",1,IF(C5257="Lost",1,0))=2,1,0)</f>
      </c>
      <c r="X5257" s="0" t="s">
        <v>136</v>
      </c>
      <c r="Y5257" s="0" t="s">
        <v>1772</v>
      </c>
      <c r="AV5257" s="68"/>
      <c r="AW5257" s="68"/>
      <c r="AY5257" s="27"/>
      <c r="BD5257" s="68">
        <v>46054.1666666667</v>
      </c>
      <c r="BE5257" s="68">
        <v>46082.1666666667</v>
      </c>
      <c r="BF5257" s="0" t="b">
        <v>0</v>
      </c>
      <c r="BG5257" s="0" t="b">
        <v>0</v>
      </c>
      <c r="BH5257" s="0">
        <v>71</v>
      </c>
      <c r="BI5257" s="0">
        <v>71</v>
      </c>
      <c r="BJ5257" s="0" t="s">
        <v>135</v>
      </c>
    </row>
    <row r="5258">
      <c r="A5258" s="0" t="s">
        <v>5526</v>
      </c>
      <c r="B5258" s="0" t="s">
        <v>5</v>
      </c>
      <c r="C5258" s="0" t="s">
        <v>652</v>
      </c>
      <c r="D5258" s="0" t="s">
        <v>135</v>
      </c>
      <c r="E5258" s="0" t="s">
        <v>3</v>
      </c>
      <c r="F5258" s="0" t="s">
        <v>12</v>
      </c>
      <c r="G5258" s="0" t="s">
        <v>8</v>
      </c>
      <c r="H5258" s="0">
        <v>-26</v>
      </c>
      <c r="I5258" s="0">
        <v>0</v>
      </c>
      <c r="J5258" s="0">
        <v>0</v>
      </c>
      <c r="K5258" s="0">
        <v>0</v>
      </c>
      <c r="L5258" s="0">
        <v>0</v>
      </c>
      <c r="M5258" s="0">
        <v>0</v>
      </c>
      <c r="N5258" s="0">
        <v>0</v>
      </c>
      <c r="O5258" s="0">
        <v>0</v>
      </c>
      <c r="P5258" s="0">
        <v>0</v>
      </c>
      <c r="R5258" s="0" t="b">
        <v>0</v>
      </c>
      <c r="S5258" s="0" t="b">
        <v>1</v>
      </c>
      <c r="T5258" s="68">
        <v>46080.4114699074</v>
      </c>
      <c r="U5258" s="68">
        <v>0</v>
      </c>
      <c r="V5258" s="68">
        <v>0</v>
      </c>
      <c r="W5258" s="0">
        <f>IF(IF(B5258="none",1,IF(B5258="Trialer",1,0))+IF(C5258="Customer",1,IF(C5258="Lost",1,0))=2,1,0)</f>
      </c>
      <c r="X5258" s="0" t="s">
        <v>148</v>
      </c>
      <c r="Y5258" s="0" t="s">
        <v>243</v>
      </c>
      <c r="AV5258" s="68"/>
      <c r="AW5258" s="68"/>
      <c r="AY5258" s="27"/>
      <c r="BD5258" s="68">
        <v>46054.1666666667</v>
      </c>
      <c r="BE5258" s="68">
        <v>46082.1666666667</v>
      </c>
      <c r="BF5258" s="0" t="b">
        <v>0</v>
      </c>
      <c r="BG5258" s="0" t="b">
        <v>0</v>
      </c>
      <c r="BH5258" s="0">
        <v>73</v>
      </c>
      <c r="BI5258" s="0">
        <v>73</v>
      </c>
      <c r="BJ5258" s="0" t="s">
        <v>135</v>
      </c>
    </row>
    <row r="5259">
      <c r="A5259" s="0" t="s">
        <v>5527</v>
      </c>
      <c r="B5259" s="0" t="s">
        <v>5</v>
      </c>
      <c r="C5259" s="0" t="s">
        <v>652</v>
      </c>
      <c r="D5259" s="0" t="s">
        <v>135</v>
      </c>
      <c r="E5259" s="0" t="s">
        <v>3</v>
      </c>
      <c r="F5259" s="0" t="s">
        <v>12</v>
      </c>
      <c r="G5259" s="0" t="s">
        <v>8</v>
      </c>
      <c r="H5259" s="0">
        <v>-26</v>
      </c>
      <c r="I5259" s="0">
        <v>0</v>
      </c>
      <c r="J5259" s="0">
        <v>0</v>
      </c>
      <c r="K5259" s="0">
        <v>0</v>
      </c>
      <c r="L5259" s="0">
        <v>0</v>
      </c>
      <c r="M5259" s="0">
        <v>0</v>
      </c>
      <c r="N5259" s="0">
        <v>0</v>
      </c>
      <c r="O5259" s="0">
        <v>0</v>
      </c>
      <c r="P5259" s="0">
        <v>0</v>
      </c>
      <c r="R5259" s="0" t="b">
        <v>0</v>
      </c>
      <c r="S5259" s="0" t="b">
        <v>0</v>
      </c>
      <c r="T5259" s="68">
        <v>46080.4188773148</v>
      </c>
      <c r="U5259" s="68">
        <v>0</v>
      </c>
      <c r="V5259" s="68">
        <v>46080.4219560185</v>
      </c>
      <c r="W5259" s="0">
        <f>IF(IF(B5259="none",1,IF(B5259="Trialer",1,0))+IF(C5259="Customer",1,IF(C5259="Lost",1,0))=2,1,0)</f>
      </c>
      <c r="X5259" s="0" t="s">
        <v>145</v>
      </c>
      <c r="Y5259" s="0" t="s">
        <v>243</v>
      </c>
      <c r="AV5259" s="68"/>
      <c r="AW5259" s="68"/>
      <c r="AY5259" s="27"/>
      <c r="BD5259" s="68">
        <v>46054.1666666667</v>
      </c>
      <c r="BE5259" s="68">
        <v>46082.1666666667</v>
      </c>
      <c r="BF5259" s="0" t="b">
        <v>0</v>
      </c>
      <c r="BG5259" s="0" t="b">
        <v>0</v>
      </c>
      <c r="BH5259" s="0">
        <v>0</v>
      </c>
      <c r="BI5259" s="0">
        <v>0</v>
      </c>
      <c r="BJ5259" s="0" t="s">
        <v>135</v>
      </c>
    </row>
    <row r="5260">
      <c r="A5260" s="0" t="s">
        <v>5528</v>
      </c>
      <c r="B5260" s="0" t="s">
        <v>5</v>
      </c>
      <c r="C5260" s="0" t="s">
        <v>652</v>
      </c>
      <c r="D5260" s="0" t="s">
        <v>135</v>
      </c>
      <c r="E5260" s="0" t="s">
        <v>2414</v>
      </c>
      <c r="F5260" s="0" t="s">
        <v>12</v>
      </c>
      <c r="G5260" s="0" t="s">
        <v>8</v>
      </c>
      <c r="H5260" s="0">
        <v>-26</v>
      </c>
      <c r="I5260" s="0">
        <v>0</v>
      </c>
      <c r="J5260" s="0">
        <v>0</v>
      </c>
      <c r="K5260" s="0">
        <v>0</v>
      </c>
      <c r="L5260" s="0">
        <v>0</v>
      </c>
      <c r="M5260" s="0">
        <v>0</v>
      </c>
      <c r="N5260" s="0">
        <v>0</v>
      </c>
      <c r="O5260" s="0">
        <v>0</v>
      </c>
      <c r="P5260" s="0">
        <v>0</v>
      </c>
      <c r="R5260" s="0" t="b">
        <v>0</v>
      </c>
      <c r="S5260" s="0" t="b">
        <v>1</v>
      </c>
      <c r="T5260" s="68">
        <v>46080.42625</v>
      </c>
      <c r="U5260" s="68">
        <v>0</v>
      </c>
      <c r="V5260" s="68">
        <v>0</v>
      </c>
      <c r="W5260" s="0">
        <f>IF(IF(B5260="none",1,IF(B5260="Trialer",1,0))+IF(C5260="Customer",1,IF(C5260="Lost",1,0))=2,1,0)</f>
      </c>
      <c r="X5260" s="0" t="s">
        <v>136</v>
      </c>
      <c r="Y5260" s="0" t="s">
        <v>1516</v>
      </c>
      <c r="AV5260" s="68"/>
      <c r="AW5260" s="68"/>
      <c r="AY5260" s="27"/>
      <c r="BD5260" s="68">
        <v>46054.1666666667</v>
      </c>
      <c r="BE5260" s="68">
        <v>46082.1666666667</v>
      </c>
      <c r="BF5260" s="0" t="b">
        <v>0</v>
      </c>
      <c r="BG5260" s="0" t="b">
        <v>0</v>
      </c>
      <c r="BH5260" s="0">
        <v>59</v>
      </c>
      <c r="BI5260" s="0">
        <v>59</v>
      </c>
      <c r="BJ5260" s="0" t="s">
        <v>135</v>
      </c>
    </row>
    <row r="5261">
      <c r="A5261" s="0" t="s">
        <v>5529</v>
      </c>
      <c r="B5261" s="0" t="s">
        <v>5</v>
      </c>
      <c r="C5261" s="0" t="s">
        <v>652</v>
      </c>
      <c r="D5261" s="0" t="s">
        <v>135</v>
      </c>
      <c r="E5261" s="0" t="s">
        <v>3</v>
      </c>
      <c r="F5261" s="0" t="s">
        <v>12</v>
      </c>
      <c r="G5261" s="0" t="s">
        <v>8</v>
      </c>
      <c r="H5261" s="0">
        <v>-26</v>
      </c>
      <c r="I5261" s="0">
        <v>0</v>
      </c>
      <c r="J5261" s="0">
        <v>0</v>
      </c>
      <c r="K5261" s="0">
        <v>0</v>
      </c>
      <c r="L5261" s="0">
        <v>0</v>
      </c>
      <c r="M5261" s="0">
        <v>0</v>
      </c>
      <c r="N5261" s="0">
        <v>0</v>
      </c>
      <c r="O5261" s="0">
        <v>0</v>
      </c>
      <c r="P5261" s="0">
        <v>0</v>
      </c>
      <c r="R5261" s="0" t="b">
        <v>0</v>
      </c>
      <c r="S5261" s="0" t="b">
        <v>1</v>
      </c>
      <c r="T5261" s="68">
        <v>46080.4365740741</v>
      </c>
      <c r="U5261" s="68">
        <v>46094.3333333333</v>
      </c>
      <c r="V5261" s="68">
        <v>0</v>
      </c>
      <c r="W5261" s="0">
        <f>IF(IF(B5261="none",1,IF(B5261="Trialer",1,0))+IF(C5261="Customer",1,IF(C5261="Lost",1,0))=2,1,0)</f>
      </c>
      <c r="X5261" s="0" t="s">
        <v>1461</v>
      </c>
      <c r="Y5261" s="0" t="s">
        <v>243</v>
      </c>
      <c r="AV5261" s="68"/>
      <c r="AW5261" s="68"/>
      <c r="AY5261" s="27"/>
      <c r="BD5261" s="68">
        <v>46054.1666666667</v>
      </c>
      <c r="BE5261" s="68">
        <v>46082.1666666667</v>
      </c>
      <c r="BF5261" s="0" t="b">
        <v>0</v>
      </c>
      <c r="BG5261" s="0" t="b">
        <v>0</v>
      </c>
      <c r="BH5261" s="0">
        <v>49</v>
      </c>
      <c r="BI5261" s="0">
        <v>49</v>
      </c>
      <c r="BJ5261" s="0" t="s">
        <v>135</v>
      </c>
    </row>
    <row r="5262">
      <c r="A5262" s="0" t="s">
        <v>5530</v>
      </c>
      <c r="B5262" s="0" t="s">
        <v>5</v>
      </c>
      <c r="C5262" s="0" t="s">
        <v>652</v>
      </c>
      <c r="D5262" s="0" t="s">
        <v>135</v>
      </c>
      <c r="E5262" s="0" t="s">
        <v>3</v>
      </c>
      <c r="F5262" s="0" t="s">
        <v>12</v>
      </c>
      <c r="G5262" s="0" t="s">
        <v>8</v>
      </c>
      <c r="H5262" s="0">
        <v>-26</v>
      </c>
      <c r="I5262" s="0">
        <v>0</v>
      </c>
      <c r="J5262" s="0">
        <v>0</v>
      </c>
      <c r="K5262" s="0">
        <v>0</v>
      </c>
      <c r="L5262" s="0">
        <v>0</v>
      </c>
      <c r="M5262" s="0">
        <v>0</v>
      </c>
      <c r="N5262" s="0">
        <v>0</v>
      </c>
      <c r="O5262" s="0">
        <v>0</v>
      </c>
      <c r="P5262" s="0">
        <v>0</v>
      </c>
      <c r="R5262" s="0" t="b">
        <v>0</v>
      </c>
      <c r="S5262" s="0" t="b">
        <v>1</v>
      </c>
      <c r="T5262" s="68">
        <v>46080.4660185185</v>
      </c>
      <c r="U5262" s="68">
        <v>46100.3333333333</v>
      </c>
      <c r="V5262" s="68">
        <v>0</v>
      </c>
      <c r="W5262" s="0">
        <f>IF(IF(B5262="none",1,IF(B5262="Trialer",1,0))+IF(C5262="Customer",1,IF(C5262="Lost",1,0))=2,1,0)</f>
      </c>
      <c r="X5262" s="0" t="s">
        <v>145</v>
      </c>
      <c r="Y5262" s="0" t="s">
        <v>243</v>
      </c>
      <c r="AV5262" s="68"/>
      <c r="AW5262" s="68"/>
      <c r="AY5262" s="27"/>
      <c r="BD5262" s="68">
        <v>46054.1666666667</v>
      </c>
      <c r="BE5262" s="68">
        <v>46082.1666666667</v>
      </c>
      <c r="BF5262" s="0" t="b">
        <v>0</v>
      </c>
      <c r="BG5262" s="0" t="b">
        <v>0</v>
      </c>
      <c r="BH5262" s="0">
        <v>59</v>
      </c>
      <c r="BI5262" s="0">
        <v>59</v>
      </c>
      <c r="BJ5262" s="0" t="s">
        <v>135</v>
      </c>
    </row>
    <row r="5263">
      <c r="A5263" s="0" t="s">
        <v>5531</v>
      </c>
      <c r="B5263" s="0" t="s">
        <v>5</v>
      </c>
      <c r="C5263" s="0" t="s">
        <v>652</v>
      </c>
      <c r="D5263" s="0" t="s">
        <v>135</v>
      </c>
      <c r="E5263" s="0" t="s">
        <v>2</v>
      </c>
      <c r="F5263" s="0" t="s">
        <v>12</v>
      </c>
      <c r="G5263" s="0" t="s">
        <v>8</v>
      </c>
      <c r="H5263" s="0">
        <v>-26</v>
      </c>
      <c r="I5263" s="0">
        <v>0</v>
      </c>
      <c r="J5263" s="0">
        <v>0</v>
      </c>
      <c r="K5263" s="0">
        <v>0</v>
      </c>
      <c r="L5263" s="0">
        <v>0</v>
      </c>
      <c r="M5263" s="0">
        <v>0</v>
      </c>
      <c r="N5263" s="0">
        <v>0</v>
      </c>
      <c r="O5263" s="0">
        <v>0</v>
      </c>
      <c r="P5263" s="0">
        <v>0</v>
      </c>
      <c r="R5263" s="0" t="b">
        <v>0</v>
      </c>
      <c r="S5263" s="0" t="b">
        <v>1</v>
      </c>
      <c r="T5263" s="68">
        <v>46080.4852662037</v>
      </c>
      <c r="U5263" s="68">
        <v>0</v>
      </c>
      <c r="V5263" s="68">
        <v>0</v>
      </c>
      <c r="W5263" s="0">
        <f>IF(IF(B5263="none",1,IF(B5263="Trialer",1,0))+IF(C5263="Customer",1,IF(C5263="Lost",1,0))=2,1,0)</f>
      </c>
      <c r="X5263" s="0" t="s">
        <v>136</v>
      </c>
      <c r="Y5263" s="0" t="s">
        <v>499</v>
      </c>
      <c r="AV5263" s="68"/>
      <c r="AW5263" s="68"/>
      <c r="AY5263" s="27"/>
      <c r="BD5263" s="68">
        <v>46054.1666666667</v>
      </c>
      <c r="BE5263" s="68">
        <v>46082.1666666667</v>
      </c>
      <c r="BF5263" s="0" t="b">
        <v>0</v>
      </c>
      <c r="BG5263" s="0" t="b">
        <v>0</v>
      </c>
      <c r="BH5263" s="0">
        <v>85</v>
      </c>
      <c r="BI5263" s="0">
        <v>85</v>
      </c>
      <c r="BJ5263" s="0" t="s">
        <v>135</v>
      </c>
    </row>
    <row r="5264">
      <c r="A5264" s="0" t="s">
        <v>5532</v>
      </c>
      <c r="B5264" s="0" t="s">
        <v>5</v>
      </c>
      <c r="C5264" s="0" t="s">
        <v>652</v>
      </c>
      <c r="D5264" s="0" t="s">
        <v>135</v>
      </c>
      <c r="E5264" s="0" t="s">
        <v>2</v>
      </c>
      <c r="F5264" s="0" t="s">
        <v>12</v>
      </c>
      <c r="G5264" s="0" t="s">
        <v>8</v>
      </c>
      <c r="H5264" s="0">
        <v>-26</v>
      </c>
      <c r="I5264" s="0">
        <v>0</v>
      </c>
      <c r="J5264" s="0">
        <v>0</v>
      </c>
      <c r="K5264" s="0">
        <v>0</v>
      </c>
      <c r="L5264" s="0">
        <v>0</v>
      </c>
      <c r="M5264" s="0">
        <v>0</v>
      </c>
      <c r="N5264" s="0">
        <v>0</v>
      </c>
      <c r="O5264" s="0">
        <v>0</v>
      </c>
      <c r="P5264" s="0">
        <v>0</v>
      </c>
      <c r="R5264" s="0" t="b">
        <v>0</v>
      </c>
      <c r="S5264" s="0" t="b">
        <v>1</v>
      </c>
      <c r="T5264" s="68">
        <v>46080.5317476852</v>
      </c>
      <c r="U5264" s="68">
        <v>0</v>
      </c>
      <c r="V5264" s="68">
        <v>0</v>
      </c>
      <c r="W5264" s="0">
        <f>IF(IF(B5264="none",1,IF(B5264="Trialer",1,0))+IF(C5264="Customer",1,IF(C5264="Lost",1,0))=2,1,0)</f>
      </c>
      <c r="X5264" s="0" t="s">
        <v>148</v>
      </c>
      <c r="Y5264" s="0" t="s">
        <v>499</v>
      </c>
      <c r="AV5264" s="68"/>
      <c r="AW5264" s="68"/>
      <c r="AY5264" s="27"/>
      <c r="BD5264" s="68">
        <v>46054.1666666667</v>
      </c>
      <c r="BE5264" s="68">
        <v>46082.1666666667</v>
      </c>
      <c r="BF5264" s="0" t="b">
        <v>0</v>
      </c>
      <c r="BG5264" s="0" t="b">
        <v>0</v>
      </c>
      <c r="BH5264" s="0">
        <v>73</v>
      </c>
      <c r="BI5264" s="0">
        <v>73</v>
      </c>
      <c r="BJ5264" s="0" t="s">
        <v>135</v>
      </c>
    </row>
    <row r="5265">
      <c r="A5265" s="0" t="s">
        <v>5533</v>
      </c>
      <c r="B5265" s="0" t="s">
        <v>5</v>
      </c>
      <c r="C5265" s="0" t="s">
        <v>652</v>
      </c>
      <c r="D5265" s="0" t="s">
        <v>135</v>
      </c>
      <c r="E5265" s="0" t="s">
        <v>3</v>
      </c>
      <c r="F5265" s="0" t="s">
        <v>12</v>
      </c>
      <c r="G5265" s="0" t="s">
        <v>8</v>
      </c>
      <c r="H5265" s="0">
        <v>-26</v>
      </c>
      <c r="I5265" s="0">
        <v>0</v>
      </c>
      <c r="J5265" s="0">
        <v>0</v>
      </c>
      <c r="K5265" s="0">
        <v>0</v>
      </c>
      <c r="L5265" s="0">
        <v>0</v>
      </c>
      <c r="M5265" s="0">
        <v>0</v>
      </c>
      <c r="N5265" s="0">
        <v>0</v>
      </c>
      <c r="O5265" s="0">
        <v>0</v>
      </c>
      <c r="P5265" s="0">
        <v>0</v>
      </c>
      <c r="R5265" s="0" t="b">
        <v>0</v>
      </c>
      <c r="S5265" s="0" t="b">
        <v>1</v>
      </c>
      <c r="T5265" s="68">
        <v>46080.5329398148</v>
      </c>
      <c r="U5265" s="68">
        <v>0</v>
      </c>
      <c r="V5265" s="68">
        <v>0</v>
      </c>
      <c r="W5265" s="0">
        <f>IF(IF(B5265="none",1,IF(B5265="Trialer",1,0))+IF(C5265="Customer",1,IF(C5265="Lost",1,0))=2,1,0)</f>
      </c>
      <c r="X5265" s="0" t="s">
        <v>145</v>
      </c>
      <c r="Y5265" s="0" t="s">
        <v>243</v>
      </c>
      <c r="AV5265" s="68"/>
      <c r="AW5265" s="68"/>
      <c r="AY5265" s="27"/>
      <c r="BD5265" s="68">
        <v>46054.1666666667</v>
      </c>
      <c r="BE5265" s="68">
        <v>46082.1666666667</v>
      </c>
      <c r="BF5265" s="0" t="b">
        <v>0</v>
      </c>
      <c r="BG5265" s="0" t="b">
        <v>0</v>
      </c>
      <c r="BH5265" s="0">
        <v>97</v>
      </c>
      <c r="BI5265" s="0">
        <v>97</v>
      </c>
      <c r="BJ5265" s="0" t="s">
        <v>135</v>
      </c>
    </row>
    <row r="5266">
      <c r="A5266" s="0" t="s">
        <v>5534</v>
      </c>
      <c r="B5266" s="0" t="s">
        <v>5</v>
      </c>
      <c r="C5266" s="0" t="s">
        <v>652</v>
      </c>
      <c r="D5266" s="0" t="s">
        <v>135</v>
      </c>
      <c r="E5266" s="0" t="s">
        <v>2</v>
      </c>
      <c r="F5266" s="0" t="s">
        <v>12</v>
      </c>
      <c r="G5266" s="0" t="s">
        <v>8</v>
      </c>
      <c r="H5266" s="0">
        <v>-26</v>
      </c>
      <c r="I5266" s="0">
        <v>0</v>
      </c>
      <c r="J5266" s="0">
        <v>0</v>
      </c>
      <c r="K5266" s="0">
        <v>0</v>
      </c>
      <c r="L5266" s="0">
        <v>0</v>
      </c>
      <c r="M5266" s="0">
        <v>0</v>
      </c>
      <c r="N5266" s="0">
        <v>0</v>
      </c>
      <c r="O5266" s="0">
        <v>0</v>
      </c>
      <c r="P5266" s="0">
        <v>0</v>
      </c>
      <c r="R5266" s="0" t="b">
        <v>0</v>
      </c>
      <c r="S5266" s="0" t="b">
        <v>1</v>
      </c>
      <c r="T5266" s="68">
        <v>46080.5394907407</v>
      </c>
      <c r="U5266" s="68">
        <v>0</v>
      </c>
      <c r="V5266" s="68">
        <v>0</v>
      </c>
      <c r="W5266" s="0">
        <f>IF(IF(B5266="none",1,IF(B5266="Trialer",1,0))+IF(C5266="Customer",1,IF(C5266="Lost",1,0))=2,1,0)</f>
      </c>
      <c r="X5266" s="0" t="s">
        <v>136</v>
      </c>
      <c r="Y5266" s="0" t="s">
        <v>499</v>
      </c>
      <c r="AV5266" s="68"/>
      <c r="AW5266" s="68"/>
      <c r="AY5266" s="27"/>
      <c r="BD5266" s="68">
        <v>46054.1666666667</v>
      </c>
      <c r="BE5266" s="68">
        <v>46082.1666666667</v>
      </c>
      <c r="BF5266" s="0" t="b">
        <v>0</v>
      </c>
      <c r="BG5266" s="0" t="b">
        <v>0</v>
      </c>
      <c r="BH5266" s="0">
        <v>73</v>
      </c>
      <c r="BI5266" s="0">
        <v>73</v>
      </c>
      <c r="BJ5266" s="0" t="s">
        <v>135</v>
      </c>
    </row>
    <row r="5267">
      <c r="A5267" s="0" t="s">
        <v>5535</v>
      </c>
      <c r="B5267" s="0" t="s">
        <v>5</v>
      </c>
      <c r="C5267" s="0" t="s">
        <v>652</v>
      </c>
      <c r="D5267" s="0" t="s">
        <v>135</v>
      </c>
      <c r="E5267" s="0" t="s">
        <v>3</v>
      </c>
      <c r="F5267" s="0" t="s">
        <v>12</v>
      </c>
      <c r="G5267" s="0" t="s">
        <v>8</v>
      </c>
      <c r="H5267" s="0">
        <v>-26</v>
      </c>
      <c r="I5267" s="0">
        <v>0</v>
      </c>
      <c r="J5267" s="0">
        <v>0</v>
      </c>
      <c r="K5267" s="0">
        <v>0</v>
      </c>
      <c r="L5267" s="0">
        <v>0</v>
      </c>
      <c r="M5267" s="0">
        <v>0</v>
      </c>
      <c r="N5267" s="0">
        <v>0</v>
      </c>
      <c r="O5267" s="0">
        <v>0</v>
      </c>
      <c r="P5267" s="0">
        <v>0</v>
      </c>
      <c r="R5267" s="0" t="b">
        <v>0</v>
      </c>
      <c r="S5267" s="0" t="b">
        <v>1</v>
      </c>
      <c r="T5267" s="68">
        <v>46080.5678819444</v>
      </c>
      <c r="U5267" s="68">
        <v>0</v>
      </c>
      <c r="V5267" s="68">
        <v>0</v>
      </c>
      <c r="W5267" s="0">
        <f>IF(IF(B5267="none",1,IF(B5267="Trialer",1,0))+IF(C5267="Customer",1,IF(C5267="Lost",1,0))=2,1,0)</f>
      </c>
      <c r="X5267" s="0" t="s">
        <v>136</v>
      </c>
      <c r="Y5267" s="0" t="s">
        <v>243</v>
      </c>
      <c r="AV5267" s="68"/>
      <c r="AW5267" s="68"/>
      <c r="AY5267" s="27"/>
      <c r="BD5267" s="68">
        <v>46054.1666666667</v>
      </c>
      <c r="BE5267" s="68">
        <v>46082.1666666667</v>
      </c>
      <c r="BF5267" s="0" t="b">
        <v>0</v>
      </c>
      <c r="BG5267" s="0" t="b">
        <v>0</v>
      </c>
      <c r="BH5267" s="0">
        <v>85</v>
      </c>
      <c r="BI5267" s="0">
        <v>85</v>
      </c>
      <c r="BJ5267" s="0" t="s">
        <v>135</v>
      </c>
    </row>
    <row r="5268">
      <c r="A5268" s="0" t="s">
        <v>5536</v>
      </c>
      <c r="B5268" s="0" t="s">
        <v>5</v>
      </c>
      <c r="C5268" s="0" t="s">
        <v>652</v>
      </c>
      <c r="D5268" s="0" t="s">
        <v>135</v>
      </c>
      <c r="E5268" s="0" t="s">
        <v>2</v>
      </c>
      <c r="F5268" s="0" t="s">
        <v>12</v>
      </c>
      <c r="G5268" s="0" t="s">
        <v>8</v>
      </c>
      <c r="H5268" s="0">
        <v>-26</v>
      </c>
      <c r="I5268" s="0">
        <v>0</v>
      </c>
      <c r="J5268" s="0">
        <v>0</v>
      </c>
      <c r="K5268" s="0">
        <v>0</v>
      </c>
      <c r="L5268" s="0">
        <v>0</v>
      </c>
      <c r="M5268" s="0">
        <v>0</v>
      </c>
      <c r="N5268" s="0">
        <v>0</v>
      </c>
      <c r="O5268" s="0">
        <v>0</v>
      </c>
      <c r="P5268" s="0">
        <v>0</v>
      </c>
      <c r="R5268" s="0" t="b">
        <v>0</v>
      </c>
      <c r="S5268" s="0" t="b">
        <v>0</v>
      </c>
      <c r="T5268" s="68">
        <v>46080.5798726852</v>
      </c>
      <c r="U5268" s="68">
        <v>0</v>
      </c>
      <c r="V5268" s="68">
        <v>46081.2597916667</v>
      </c>
      <c r="W5268" s="0">
        <f>IF(IF(B5268="none",1,IF(B5268="Trialer",1,0))+IF(C5268="Customer",1,IF(C5268="Lost",1,0))=2,1,0)</f>
      </c>
      <c r="X5268" s="0" t="s">
        <v>145</v>
      </c>
      <c r="Y5268" s="0" t="s">
        <v>499</v>
      </c>
      <c r="AV5268" s="68"/>
      <c r="AW5268" s="68"/>
      <c r="AY5268" s="27"/>
      <c r="BD5268" s="68">
        <v>46054.1666666667</v>
      </c>
      <c r="BE5268" s="68">
        <v>46082.1666666667</v>
      </c>
      <c r="BF5268" s="0" t="b">
        <v>1</v>
      </c>
      <c r="BG5268" s="0" t="b">
        <v>0</v>
      </c>
      <c r="BH5268" s="0">
        <v>85</v>
      </c>
      <c r="BI5268" s="0">
        <v>0</v>
      </c>
      <c r="BJ5268" s="0" t="s">
        <v>135</v>
      </c>
    </row>
    <row r="5269">
      <c r="A5269" s="0" t="s">
        <v>5537</v>
      </c>
      <c r="B5269" s="0" t="s">
        <v>5</v>
      </c>
      <c r="C5269" s="0" t="s">
        <v>652</v>
      </c>
      <c r="D5269" s="0" t="s">
        <v>135</v>
      </c>
      <c r="E5269" s="0" t="s">
        <v>2414</v>
      </c>
      <c r="F5269" s="0" t="s">
        <v>12</v>
      </c>
      <c r="G5269" s="0" t="s">
        <v>8</v>
      </c>
      <c r="H5269" s="0">
        <v>-26</v>
      </c>
      <c r="I5269" s="0">
        <v>0</v>
      </c>
      <c r="J5269" s="0">
        <v>0</v>
      </c>
      <c r="K5269" s="0">
        <v>0</v>
      </c>
      <c r="L5269" s="0">
        <v>0</v>
      </c>
      <c r="M5269" s="0">
        <v>0</v>
      </c>
      <c r="N5269" s="0">
        <v>0</v>
      </c>
      <c r="O5269" s="0">
        <v>0</v>
      </c>
      <c r="P5269" s="0">
        <v>0</v>
      </c>
      <c r="R5269" s="0" t="b">
        <v>0</v>
      </c>
      <c r="S5269" s="0" t="b">
        <v>1</v>
      </c>
      <c r="T5269" s="68">
        <v>46080.6091782407</v>
      </c>
      <c r="U5269" s="68">
        <v>0</v>
      </c>
      <c r="V5269" s="68">
        <v>0</v>
      </c>
      <c r="W5269" s="0">
        <f>IF(IF(B5269="none",1,IF(B5269="Trialer",1,0))+IF(C5269="Customer",1,IF(C5269="Lost",1,0))=2,1,0)</f>
      </c>
      <c r="X5269" s="0" t="s">
        <v>145</v>
      </c>
      <c r="Y5269" s="0" t="s">
        <v>1516</v>
      </c>
      <c r="AV5269" s="68"/>
      <c r="AW5269" s="68"/>
      <c r="AY5269" s="27"/>
      <c r="BD5269" s="68">
        <v>46054.1666666667</v>
      </c>
      <c r="BE5269" s="68">
        <v>46082.1666666667</v>
      </c>
      <c r="BF5269" s="0" t="b">
        <v>0</v>
      </c>
      <c r="BG5269" s="0" t="b">
        <v>0</v>
      </c>
      <c r="BH5269" s="0">
        <v>59</v>
      </c>
      <c r="BI5269" s="0">
        <v>59</v>
      </c>
      <c r="BJ5269" s="0" t="s">
        <v>135</v>
      </c>
    </row>
    <row r="5270">
      <c r="A5270" s="0" t="s">
        <v>5538</v>
      </c>
      <c r="B5270" s="0" t="s">
        <v>5</v>
      </c>
      <c r="C5270" s="0" t="s">
        <v>652</v>
      </c>
      <c r="D5270" s="0" t="s">
        <v>135</v>
      </c>
      <c r="E5270" s="0" t="s">
        <v>3</v>
      </c>
      <c r="F5270" s="0" t="s">
        <v>12</v>
      </c>
      <c r="G5270" s="0" t="s">
        <v>8</v>
      </c>
      <c r="H5270" s="0">
        <v>-26</v>
      </c>
      <c r="I5270" s="0">
        <v>0</v>
      </c>
      <c r="J5270" s="0">
        <v>0</v>
      </c>
      <c r="K5270" s="0">
        <v>0</v>
      </c>
      <c r="L5270" s="0">
        <v>0</v>
      </c>
      <c r="M5270" s="0">
        <v>0</v>
      </c>
      <c r="N5270" s="0">
        <v>0</v>
      </c>
      <c r="O5270" s="0">
        <v>0</v>
      </c>
      <c r="P5270" s="0">
        <v>0</v>
      </c>
      <c r="R5270" s="0" t="b">
        <v>0</v>
      </c>
      <c r="S5270" s="0" t="b">
        <v>1</v>
      </c>
      <c r="T5270" s="68">
        <v>46080.638125</v>
      </c>
      <c r="U5270" s="68">
        <v>0</v>
      </c>
      <c r="V5270" s="68">
        <v>0</v>
      </c>
      <c r="W5270" s="0">
        <f>IF(IF(B5270="none",1,IF(B5270="Trialer",1,0))+IF(C5270="Customer",1,IF(C5270="Lost",1,0))=2,1,0)</f>
      </c>
      <c r="X5270" s="0" t="s">
        <v>136</v>
      </c>
      <c r="Y5270" s="0" t="s">
        <v>243</v>
      </c>
      <c r="AV5270" s="68"/>
      <c r="AW5270" s="68"/>
      <c r="AY5270" s="27"/>
      <c r="BD5270" s="68">
        <v>46054.1666666667</v>
      </c>
      <c r="BE5270" s="68">
        <v>46082.1666666667</v>
      </c>
      <c r="BF5270" s="0" t="b">
        <v>0</v>
      </c>
      <c r="BG5270" s="0" t="b">
        <v>0</v>
      </c>
      <c r="BH5270" s="0">
        <v>73</v>
      </c>
      <c r="BI5270" s="0">
        <v>73</v>
      </c>
      <c r="BJ5270" s="0" t="s">
        <v>135</v>
      </c>
    </row>
    <row r="5271">
      <c r="A5271" s="0" t="s">
        <v>5539</v>
      </c>
      <c r="B5271" s="0" t="s">
        <v>5</v>
      </c>
      <c r="C5271" s="0" t="s">
        <v>134</v>
      </c>
      <c r="D5271" s="0" t="s">
        <v>135</v>
      </c>
      <c r="E5271" s="0" t="s">
        <v>3</v>
      </c>
      <c r="F5271" s="0" t="s">
        <v>12</v>
      </c>
      <c r="G5271" s="0" t="s">
        <v>8</v>
      </c>
      <c r="H5271" s="0">
        <v>-26</v>
      </c>
      <c r="I5271" s="0">
        <v>40</v>
      </c>
      <c r="J5271" s="0">
        <v>0</v>
      </c>
      <c r="K5271" s="0">
        <v>1</v>
      </c>
      <c r="L5271" s="0">
        <v>1</v>
      </c>
      <c r="M5271" s="0">
        <v>0</v>
      </c>
      <c r="N5271" s="0">
        <v>0</v>
      </c>
      <c r="O5271" s="0">
        <v>0</v>
      </c>
      <c r="P5271" s="0">
        <v>0</v>
      </c>
      <c r="R5271" s="0" t="b">
        <v>0</v>
      </c>
      <c r="S5271" s="0" t="b">
        <v>1</v>
      </c>
      <c r="T5271" s="68">
        <v>46080.6707638889</v>
      </c>
      <c r="U5271" s="68">
        <v>46080.2916666667</v>
      </c>
      <c r="V5271" s="68">
        <v>0</v>
      </c>
      <c r="W5271" s="0">
        <f>IF(IF(B5271="none",1,IF(B5271="Trialer",1,0))+IF(C5271="Customer",1,IF(C5271="Lost",1,0))=2,1,0)</f>
      </c>
      <c r="X5271" s="0" t="s">
        <v>148</v>
      </c>
      <c r="Y5271" s="0" t="s">
        <v>243</v>
      </c>
      <c r="AV5271" s="68"/>
      <c r="AW5271" s="68"/>
      <c r="AY5271" s="27"/>
      <c r="BD5271" s="68">
        <v>46054.1666666667</v>
      </c>
      <c r="BE5271" s="68">
        <v>46082.1666666667</v>
      </c>
      <c r="BF5271" s="0" t="b">
        <v>0</v>
      </c>
      <c r="BG5271" s="0" t="b">
        <v>0</v>
      </c>
      <c r="BH5271" s="0">
        <v>40</v>
      </c>
      <c r="BI5271" s="0">
        <v>40</v>
      </c>
      <c r="BJ5271" s="0" t="s">
        <v>135</v>
      </c>
    </row>
    <row r="5272">
      <c r="A5272" s="0" t="s">
        <v>5540</v>
      </c>
      <c r="B5272" s="0" t="s">
        <v>5</v>
      </c>
      <c r="C5272" s="0" t="s">
        <v>652</v>
      </c>
      <c r="D5272" s="0" t="s">
        <v>135</v>
      </c>
      <c r="E5272" s="0" t="s">
        <v>3</v>
      </c>
      <c r="F5272" s="0" t="s">
        <v>12</v>
      </c>
      <c r="G5272" s="0" t="s">
        <v>8</v>
      </c>
      <c r="H5272" s="0">
        <v>-26</v>
      </c>
      <c r="I5272" s="0">
        <v>0</v>
      </c>
      <c r="J5272" s="0">
        <v>0</v>
      </c>
      <c r="K5272" s="0">
        <v>0</v>
      </c>
      <c r="L5272" s="0">
        <v>0</v>
      </c>
      <c r="M5272" s="0">
        <v>0</v>
      </c>
      <c r="N5272" s="0">
        <v>0</v>
      </c>
      <c r="O5272" s="0">
        <v>0</v>
      </c>
      <c r="P5272" s="0">
        <v>0</v>
      </c>
      <c r="R5272" s="0" t="b">
        <v>0</v>
      </c>
      <c r="S5272" s="0" t="b">
        <v>1</v>
      </c>
      <c r="T5272" s="68">
        <v>46080.6708449074</v>
      </c>
      <c r="U5272" s="68">
        <v>0</v>
      </c>
      <c r="V5272" s="68">
        <v>0</v>
      </c>
      <c r="W5272" s="0">
        <f>IF(IF(B5272="none",1,IF(B5272="Trialer",1,0))+IF(C5272="Customer",1,IF(C5272="Lost",1,0))=2,1,0)</f>
      </c>
      <c r="X5272" s="0" t="s">
        <v>148</v>
      </c>
      <c r="Y5272" s="0" t="s">
        <v>243</v>
      </c>
      <c r="AV5272" s="68"/>
      <c r="AW5272" s="68"/>
      <c r="AY5272" s="27"/>
      <c r="BD5272" s="68">
        <v>46054.1666666667</v>
      </c>
      <c r="BE5272" s="68">
        <v>46082.1666666667</v>
      </c>
      <c r="BF5272" s="0" t="b">
        <v>0</v>
      </c>
      <c r="BG5272" s="0" t="b">
        <v>0</v>
      </c>
      <c r="BH5272" s="0">
        <v>97</v>
      </c>
      <c r="BI5272" s="0">
        <v>97</v>
      </c>
      <c r="BJ5272" s="0" t="s">
        <v>135</v>
      </c>
    </row>
    <row r="5273">
      <c r="A5273" s="0" t="s">
        <v>5541</v>
      </c>
      <c r="B5273" s="0" t="s">
        <v>5</v>
      </c>
      <c r="C5273" s="0" t="s">
        <v>652</v>
      </c>
      <c r="D5273" s="0" t="s">
        <v>135</v>
      </c>
      <c r="E5273" s="0" t="s">
        <v>4</v>
      </c>
      <c r="F5273" s="0" t="s">
        <v>12</v>
      </c>
      <c r="G5273" s="0" t="s">
        <v>8</v>
      </c>
      <c r="H5273" s="0">
        <v>-26</v>
      </c>
      <c r="I5273" s="0">
        <v>0</v>
      </c>
      <c r="J5273" s="0">
        <v>0</v>
      </c>
      <c r="K5273" s="0">
        <v>0</v>
      </c>
      <c r="L5273" s="0">
        <v>0</v>
      </c>
      <c r="M5273" s="0">
        <v>0</v>
      </c>
      <c r="N5273" s="0">
        <v>0</v>
      </c>
      <c r="O5273" s="0">
        <v>0</v>
      </c>
      <c r="P5273" s="0">
        <v>0</v>
      </c>
      <c r="R5273" s="0" t="b">
        <v>0</v>
      </c>
      <c r="S5273" s="0" t="b">
        <v>0</v>
      </c>
      <c r="T5273" s="68">
        <v>46080.8202083333</v>
      </c>
      <c r="U5273" s="68">
        <v>0</v>
      </c>
      <c r="V5273" s="68">
        <v>46080.8540972222</v>
      </c>
      <c r="W5273" s="0">
        <f>IF(IF(B5273="none",1,IF(B5273="Trialer",1,0))+IF(C5273="Customer",1,IF(C5273="Lost",1,0))=2,1,0)</f>
      </c>
      <c r="X5273" s="0" t="s">
        <v>148</v>
      </c>
      <c r="Y5273" s="0" t="s">
        <v>1772</v>
      </c>
      <c r="AV5273" s="68"/>
      <c r="AW5273" s="68"/>
      <c r="AY5273" s="27"/>
      <c r="BD5273" s="68">
        <v>46054.1666666667</v>
      </c>
      <c r="BE5273" s="68">
        <v>46082.1666666667</v>
      </c>
      <c r="BF5273" s="0" t="b">
        <v>1</v>
      </c>
      <c r="BG5273" s="0" t="b">
        <v>1</v>
      </c>
      <c r="BH5273" s="0">
        <v>0</v>
      </c>
      <c r="BI5273" s="0">
        <v>0</v>
      </c>
      <c r="BJ5273" s="0" t="s">
        <v>135</v>
      </c>
    </row>
    <row r="5274">
      <c r="A5274" s="0" t="s">
        <v>5542</v>
      </c>
      <c r="B5274" s="0" t="s">
        <v>5</v>
      </c>
      <c r="C5274" s="0" t="s">
        <v>652</v>
      </c>
      <c r="D5274" s="0" t="s">
        <v>135</v>
      </c>
      <c r="E5274" s="0" t="s">
        <v>4</v>
      </c>
      <c r="F5274" s="0" t="s">
        <v>12</v>
      </c>
      <c r="G5274" s="0" t="s">
        <v>8</v>
      </c>
      <c r="H5274" s="0">
        <v>-26</v>
      </c>
      <c r="I5274" s="0">
        <v>0</v>
      </c>
      <c r="J5274" s="0">
        <v>0</v>
      </c>
      <c r="K5274" s="0">
        <v>0</v>
      </c>
      <c r="L5274" s="0">
        <v>0</v>
      </c>
      <c r="M5274" s="0">
        <v>0</v>
      </c>
      <c r="N5274" s="0">
        <v>0</v>
      </c>
      <c r="O5274" s="0">
        <v>0</v>
      </c>
      <c r="P5274" s="0">
        <v>0</v>
      </c>
      <c r="R5274" s="0" t="b">
        <v>0</v>
      </c>
      <c r="S5274" s="0" t="b">
        <v>0</v>
      </c>
      <c r="T5274" s="68">
        <v>46080.8686921296</v>
      </c>
      <c r="U5274" s="68">
        <v>0</v>
      </c>
      <c r="V5274" s="68">
        <v>46081.2583101852</v>
      </c>
      <c r="W5274" s="0">
        <f>IF(IF(B5274="none",1,IF(B5274="Trialer",1,0))+IF(C5274="Customer",1,IF(C5274="Lost",1,0))=2,1,0)</f>
      </c>
      <c r="X5274" s="0" t="s">
        <v>148</v>
      </c>
      <c r="Y5274" s="0" t="s">
        <v>1772</v>
      </c>
      <c r="AV5274" s="68"/>
      <c r="AW5274" s="68"/>
      <c r="AY5274" s="27"/>
      <c r="BD5274" s="68">
        <v>46054.1666666667</v>
      </c>
      <c r="BE5274" s="68">
        <v>46082.1666666667</v>
      </c>
      <c r="BF5274" s="0" t="b">
        <v>1</v>
      </c>
      <c r="BG5274" s="0" t="b">
        <v>1</v>
      </c>
      <c r="BH5274" s="0">
        <v>59</v>
      </c>
      <c r="BI5274" s="0">
        <v>0</v>
      </c>
      <c r="BJ5274" s="0" t="s">
        <v>135</v>
      </c>
    </row>
    <row r="5275">
      <c r="A5275" s="0" t="s">
        <v>5543</v>
      </c>
      <c r="B5275" s="0" t="s">
        <v>5</v>
      </c>
      <c r="C5275" s="0" t="s">
        <v>652</v>
      </c>
      <c r="D5275" s="0" t="s">
        <v>135</v>
      </c>
      <c r="E5275" s="0" t="s">
        <v>2414</v>
      </c>
      <c r="F5275" s="0" t="s">
        <v>12</v>
      </c>
      <c r="G5275" s="0" t="s">
        <v>8</v>
      </c>
      <c r="H5275" s="0">
        <v>-26</v>
      </c>
      <c r="I5275" s="0">
        <v>0</v>
      </c>
      <c r="J5275" s="0">
        <v>0</v>
      </c>
      <c r="K5275" s="0">
        <v>0</v>
      </c>
      <c r="L5275" s="0">
        <v>0</v>
      </c>
      <c r="M5275" s="0">
        <v>0</v>
      </c>
      <c r="N5275" s="0">
        <v>0</v>
      </c>
      <c r="O5275" s="0">
        <v>0</v>
      </c>
      <c r="P5275" s="0">
        <v>0</v>
      </c>
      <c r="R5275" s="0" t="b">
        <v>0</v>
      </c>
      <c r="S5275" s="0" t="b">
        <v>1</v>
      </c>
      <c r="T5275" s="68">
        <v>46080.910625</v>
      </c>
      <c r="U5275" s="68">
        <v>0</v>
      </c>
      <c r="V5275" s="68">
        <v>0</v>
      </c>
      <c r="W5275" s="0">
        <f>IF(IF(B5275="none",1,IF(B5275="Trialer",1,0))+IF(C5275="Customer",1,IF(C5275="Lost",1,0))=2,1,0)</f>
      </c>
      <c r="X5275" s="0" t="s">
        <v>136</v>
      </c>
      <c r="Y5275" s="0" t="s">
        <v>1516</v>
      </c>
      <c r="AV5275" s="68"/>
      <c r="AW5275" s="68"/>
      <c r="AY5275" s="27"/>
      <c r="BD5275" s="68">
        <v>46054.1666666667</v>
      </c>
      <c r="BE5275" s="68">
        <v>46082.1666666667</v>
      </c>
      <c r="BF5275" s="0" t="b">
        <v>0</v>
      </c>
      <c r="BG5275" s="0" t="b">
        <v>0</v>
      </c>
      <c r="BH5275" s="0">
        <v>59</v>
      </c>
      <c r="BI5275" s="0">
        <v>59</v>
      </c>
      <c r="BJ5275" s="0" t="s">
        <v>135</v>
      </c>
    </row>
    <row r="5276">
      <c r="A5276" s="0" t="s">
        <v>5544</v>
      </c>
      <c r="B5276" s="0" t="s">
        <v>5</v>
      </c>
      <c r="C5276" s="0" t="s">
        <v>652</v>
      </c>
      <c r="D5276" s="0" t="s">
        <v>135</v>
      </c>
      <c r="E5276" s="0" t="s">
        <v>1515</v>
      </c>
      <c r="F5276" s="0" t="s">
        <v>12</v>
      </c>
      <c r="G5276" s="0" t="s">
        <v>8</v>
      </c>
      <c r="H5276" s="0">
        <v>-26</v>
      </c>
      <c r="I5276" s="0">
        <v>0</v>
      </c>
      <c r="J5276" s="0">
        <v>0</v>
      </c>
      <c r="K5276" s="0">
        <v>0</v>
      </c>
      <c r="L5276" s="0">
        <v>0</v>
      </c>
      <c r="M5276" s="0">
        <v>0</v>
      </c>
      <c r="N5276" s="0">
        <v>0</v>
      </c>
      <c r="O5276" s="0">
        <v>0</v>
      </c>
      <c r="P5276" s="0">
        <v>0</v>
      </c>
      <c r="R5276" s="0" t="b">
        <v>0</v>
      </c>
      <c r="S5276" s="0" t="b">
        <v>0</v>
      </c>
      <c r="T5276" s="68">
        <v>46080.912962963</v>
      </c>
      <c r="U5276" s="68">
        <v>0</v>
      </c>
      <c r="V5276" s="68">
        <v>46081.2571180556</v>
      </c>
      <c r="W5276" s="0">
        <f>IF(IF(B5276="none",1,IF(B5276="Trialer",1,0))+IF(C5276="Customer",1,IF(C5276="Lost",1,0))=2,1,0)</f>
      </c>
      <c r="X5276" s="0" t="s">
        <v>136</v>
      </c>
      <c r="Y5276" s="0" t="s">
        <v>1516</v>
      </c>
      <c r="AV5276" s="68"/>
      <c r="AW5276" s="68"/>
      <c r="AY5276" s="27"/>
      <c r="BD5276" s="68">
        <v>46054.1666666667</v>
      </c>
      <c r="BE5276" s="68">
        <v>46082.1666666667</v>
      </c>
      <c r="BF5276" s="0" t="b">
        <v>1</v>
      </c>
      <c r="BG5276" s="0" t="b">
        <v>0</v>
      </c>
      <c r="BH5276" s="0">
        <v>59</v>
      </c>
      <c r="BI5276" s="0">
        <v>0</v>
      </c>
      <c r="BJ5276" s="0" t="s">
        <v>135</v>
      </c>
    </row>
    <row r="5277">
      <c r="A5277" s="0" t="s">
        <v>5545</v>
      </c>
      <c r="B5277" s="0" t="s">
        <v>5</v>
      </c>
      <c r="C5277" s="0" t="s">
        <v>652</v>
      </c>
      <c r="D5277" s="0" t="s">
        <v>135</v>
      </c>
      <c r="E5277" s="0" t="s">
        <v>4</v>
      </c>
      <c r="F5277" s="0" t="s">
        <v>12</v>
      </c>
      <c r="G5277" s="0" t="s">
        <v>8</v>
      </c>
      <c r="H5277" s="0">
        <v>-26</v>
      </c>
      <c r="I5277" s="0">
        <v>0</v>
      </c>
      <c r="J5277" s="0">
        <v>0</v>
      </c>
      <c r="K5277" s="0">
        <v>0</v>
      </c>
      <c r="L5277" s="0">
        <v>0</v>
      </c>
      <c r="M5277" s="0">
        <v>0</v>
      </c>
      <c r="N5277" s="0">
        <v>0</v>
      </c>
      <c r="O5277" s="0">
        <v>0</v>
      </c>
      <c r="P5277" s="0">
        <v>0</v>
      </c>
      <c r="R5277" s="0" t="b">
        <v>0</v>
      </c>
      <c r="S5277" s="0" t="b">
        <v>0</v>
      </c>
      <c r="T5277" s="68">
        <v>46080.9136226852</v>
      </c>
      <c r="U5277" s="68">
        <v>0</v>
      </c>
      <c r="V5277" s="68">
        <v>46081.2568518519</v>
      </c>
      <c r="W5277" s="0">
        <f>IF(IF(B5277="none",1,IF(B5277="Trialer",1,0))+IF(C5277="Customer",1,IF(C5277="Lost",1,0))=2,1,0)</f>
      </c>
      <c r="X5277" s="0" t="s">
        <v>136</v>
      </c>
      <c r="Y5277" s="0" t="s">
        <v>1772</v>
      </c>
      <c r="AV5277" s="68"/>
      <c r="AW5277" s="68"/>
      <c r="AY5277" s="27"/>
      <c r="BD5277" s="68">
        <v>46054.1666666667</v>
      </c>
      <c r="BE5277" s="68">
        <v>46082.1666666667</v>
      </c>
      <c r="BF5277" s="0" t="b">
        <v>1</v>
      </c>
      <c r="BG5277" s="0" t="b">
        <v>0</v>
      </c>
      <c r="BH5277" s="0">
        <v>59</v>
      </c>
      <c r="BI5277" s="0">
        <v>0</v>
      </c>
      <c r="BJ5277" s="0" t="s">
        <v>135</v>
      </c>
    </row>
    <row r="5278">
      <c r="A5278" s="0" t="s">
        <v>5546</v>
      </c>
      <c r="B5278" s="0" t="s">
        <v>5</v>
      </c>
      <c r="C5278" s="0" t="s">
        <v>652</v>
      </c>
      <c r="D5278" s="0" t="s">
        <v>135</v>
      </c>
      <c r="E5278" s="0" t="s">
        <v>3</v>
      </c>
      <c r="F5278" s="0" t="s">
        <v>12</v>
      </c>
      <c r="G5278" s="0" t="s">
        <v>8</v>
      </c>
      <c r="H5278" s="0">
        <v>-26</v>
      </c>
      <c r="I5278" s="0">
        <v>0</v>
      </c>
      <c r="J5278" s="0">
        <v>0</v>
      </c>
      <c r="K5278" s="0">
        <v>0</v>
      </c>
      <c r="L5278" s="0">
        <v>0</v>
      </c>
      <c r="M5278" s="0">
        <v>0</v>
      </c>
      <c r="N5278" s="0">
        <v>0</v>
      </c>
      <c r="O5278" s="0">
        <v>0</v>
      </c>
      <c r="P5278" s="0">
        <v>0</v>
      </c>
      <c r="R5278" s="0" t="b">
        <v>0</v>
      </c>
      <c r="S5278" s="0" t="b">
        <v>1</v>
      </c>
      <c r="T5278" s="68">
        <v>46080.9549421296</v>
      </c>
      <c r="U5278" s="68">
        <v>0</v>
      </c>
      <c r="V5278" s="68">
        <v>0</v>
      </c>
      <c r="W5278" s="0">
        <f>IF(IF(B5278="none",1,IF(B5278="Trialer",1,0))+IF(C5278="Customer",1,IF(C5278="Lost",1,0))=2,1,0)</f>
      </c>
      <c r="X5278" s="0" t="s">
        <v>145</v>
      </c>
      <c r="Y5278" s="0" t="s">
        <v>243</v>
      </c>
      <c r="AV5278" s="68"/>
      <c r="AW5278" s="68"/>
      <c r="AY5278" s="27"/>
      <c r="BD5278" s="68">
        <v>46054.1666666667</v>
      </c>
      <c r="BE5278" s="68">
        <v>46082.1666666667</v>
      </c>
      <c r="BF5278" s="0" t="b">
        <v>0</v>
      </c>
      <c r="BG5278" s="0" t="b">
        <v>0</v>
      </c>
      <c r="BH5278" s="0">
        <v>59</v>
      </c>
      <c r="BI5278" s="0">
        <v>59</v>
      </c>
      <c r="BJ5278" s="0" t="s">
        <v>135</v>
      </c>
    </row>
    <row r="5279">
      <c r="A5279" s="0" t="s">
        <v>5547</v>
      </c>
      <c r="B5279" s="0" t="s">
        <v>5</v>
      </c>
      <c r="C5279" s="0" t="s">
        <v>652</v>
      </c>
      <c r="D5279" s="0" t="s">
        <v>135</v>
      </c>
      <c r="E5279" s="0" t="s">
        <v>3</v>
      </c>
      <c r="F5279" s="0" t="s">
        <v>12</v>
      </c>
      <c r="G5279" s="0" t="s">
        <v>8</v>
      </c>
      <c r="H5279" s="0">
        <v>-27</v>
      </c>
      <c r="I5279" s="0">
        <v>0</v>
      </c>
      <c r="J5279" s="0">
        <v>0</v>
      </c>
      <c r="K5279" s="0">
        <v>0</v>
      </c>
      <c r="L5279" s="0">
        <v>0</v>
      </c>
      <c r="M5279" s="0">
        <v>0</v>
      </c>
      <c r="N5279" s="0">
        <v>0</v>
      </c>
      <c r="O5279" s="0">
        <v>0</v>
      </c>
      <c r="P5279" s="0">
        <v>0</v>
      </c>
      <c r="R5279" s="0" t="b">
        <v>0</v>
      </c>
      <c r="S5279" s="0" t="b">
        <v>1</v>
      </c>
      <c r="T5279" s="68">
        <v>46080.9887847222</v>
      </c>
      <c r="U5279" s="68">
        <v>0</v>
      </c>
      <c r="V5279" s="68">
        <v>0</v>
      </c>
      <c r="W5279" s="0">
        <f>IF(IF(B5279="none",1,IF(B5279="Trialer",1,0))+IF(C5279="Customer",1,IF(C5279="Lost",1,0))=2,1,0)</f>
      </c>
      <c r="X5279" s="0" t="s">
        <v>136</v>
      </c>
      <c r="Y5279" s="0" t="s">
        <v>243</v>
      </c>
      <c r="AV5279" s="68"/>
      <c r="AW5279" s="68"/>
      <c r="AY5279" s="27"/>
      <c r="BD5279" s="68">
        <v>46054.1666666667</v>
      </c>
      <c r="BE5279" s="68">
        <v>46082.1666666667</v>
      </c>
      <c r="BF5279" s="0" t="b">
        <v>0</v>
      </c>
      <c r="BG5279" s="0" t="b">
        <v>0</v>
      </c>
      <c r="BH5279" s="0">
        <v>85</v>
      </c>
      <c r="BI5279" s="0">
        <v>85</v>
      </c>
      <c r="BJ5279" s="0" t="s">
        <v>135</v>
      </c>
    </row>
    <row r="5280">
      <c r="A5280" s="0" t="s">
        <v>5548</v>
      </c>
      <c r="B5280" s="0" t="s">
        <v>5</v>
      </c>
      <c r="C5280" s="0" t="s">
        <v>652</v>
      </c>
      <c r="D5280" s="0" t="s">
        <v>135</v>
      </c>
      <c r="E5280" s="0" t="s">
        <v>2</v>
      </c>
      <c r="F5280" s="0" t="s">
        <v>12</v>
      </c>
      <c r="G5280" s="0" t="s">
        <v>8</v>
      </c>
      <c r="H5280" s="0">
        <v>-27</v>
      </c>
      <c r="I5280" s="0">
        <v>0</v>
      </c>
      <c r="J5280" s="0">
        <v>0</v>
      </c>
      <c r="K5280" s="0">
        <v>0</v>
      </c>
      <c r="L5280" s="0">
        <v>0</v>
      </c>
      <c r="M5280" s="0">
        <v>0</v>
      </c>
      <c r="N5280" s="0">
        <v>0</v>
      </c>
      <c r="O5280" s="0">
        <v>0</v>
      </c>
      <c r="P5280" s="0">
        <v>0</v>
      </c>
      <c r="R5280" s="0" t="b">
        <v>0</v>
      </c>
      <c r="S5280" s="0" t="b">
        <v>0</v>
      </c>
      <c r="T5280" s="68">
        <v>46080.9949652778</v>
      </c>
      <c r="U5280" s="68">
        <v>0</v>
      </c>
      <c r="V5280" s="68">
        <v>46097.6335416667</v>
      </c>
      <c r="W5280" s="0">
        <f>IF(IF(B5280="none",1,IF(B5280="Trialer",1,0))+IF(C5280="Customer",1,IF(C5280="Lost",1,0))=2,1,0)</f>
      </c>
      <c r="X5280" s="0" t="s">
        <v>148</v>
      </c>
      <c r="Y5280" s="0" t="s">
        <v>499</v>
      </c>
      <c r="AV5280" s="68"/>
      <c r="AW5280" s="68"/>
      <c r="AY5280" s="27"/>
      <c r="BD5280" s="68">
        <v>46054.1666666667</v>
      </c>
      <c r="BE5280" s="68">
        <v>46082.1666666667</v>
      </c>
      <c r="BF5280" s="0" t="b">
        <v>0</v>
      </c>
      <c r="BG5280" s="0" t="b">
        <v>0</v>
      </c>
      <c r="BH5280" s="0">
        <v>73</v>
      </c>
      <c r="BI5280" s="0">
        <v>73</v>
      </c>
      <c r="BJ5280" s="0" t="s">
        <v>135</v>
      </c>
    </row>
    <row r="5281">
      <c r="A5281" s="0" t="s">
        <v>5549</v>
      </c>
      <c r="B5281" s="0" t="s">
        <v>5</v>
      </c>
      <c r="C5281" s="0" t="s">
        <v>652</v>
      </c>
      <c r="D5281" s="0" t="s">
        <v>135</v>
      </c>
      <c r="E5281" s="0" t="s">
        <v>3</v>
      </c>
      <c r="F5281" s="0" t="s">
        <v>12</v>
      </c>
      <c r="G5281" s="0" t="s">
        <v>8</v>
      </c>
      <c r="H5281" s="0">
        <v>-27</v>
      </c>
      <c r="I5281" s="0">
        <v>0</v>
      </c>
      <c r="J5281" s="0">
        <v>0</v>
      </c>
      <c r="K5281" s="0">
        <v>0</v>
      </c>
      <c r="L5281" s="0">
        <v>0</v>
      </c>
      <c r="M5281" s="0">
        <v>0</v>
      </c>
      <c r="N5281" s="0">
        <v>0</v>
      </c>
      <c r="O5281" s="0">
        <v>0</v>
      </c>
      <c r="P5281" s="0">
        <v>0</v>
      </c>
      <c r="R5281" s="0" t="b">
        <v>0</v>
      </c>
      <c r="S5281" s="0" t="b">
        <v>1</v>
      </c>
      <c r="T5281" s="68">
        <v>46081.0508564815</v>
      </c>
      <c r="U5281" s="68">
        <v>0</v>
      </c>
      <c r="V5281" s="68">
        <v>0</v>
      </c>
      <c r="W5281" s="0">
        <f>IF(IF(B5281="none",1,IF(B5281="Trialer",1,0))+IF(C5281="Customer",1,IF(C5281="Lost",1,0))=2,1,0)</f>
      </c>
      <c r="X5281" s="0" t="s">
        <v>145</v>
      </c>
      <c r="Y5281" s="0" t="s">
        <v>243</v>
      </c>
      <c r="AV5281" s="68"/>
      <c r="AW5281" s="68"/>
      <c r="AY5281" s="27"/>
      <c r="BD5281" s="68">
        <v>46054.1666666667</v>
      </c>
      <c r="BE5281" s="68">
        <v>46082.1666666667</v>
      </c>
      <c r="BF5281" s="0" t="b">
        <v>0</v>
      </c>
      <c r="BG5281" s="0" t="b">
        <v>0</v>
      </c>
      <c r="BH5281" s="0">
        <v>365</v>
      </c>
      <c r="BI5281" s="0">
        <v>365</v>
      </c>
      <c r="BJ5281" s="0" t="s">
        <v>135</v>
      </c>
    </row>
    <row r="5282">
      <c r="A5282" s="0" t="s">
        <v>5550</v>
      </c>
      <c r="B5282" s="0" t="s">
        <v>5</v>
      </c>
      <c r="C5282" s="0" t="s">
        <v>652</v>
      </c>
      <c r="D5282" s="0" t="s">
        <v>135</v>
      </c>
      <c r="E5282" s="0" t="s">
        <v>3</v>
      </c>
      <c r="F5282" s="0" t="s">
        <v>12</v>
      </c>
      <c r="G5282" s="0" t="s">
        <v>8</v>
      </c>
      <c r="H5282" s="0">
        <v>-27</v>
      </c>
      <c r="I5282" s="0">
        <v>0</v>
      </c>
      <c r="J5282" s="0">
        <v>0</v>
      </c>
      <c r="K5282" s="0">
        <v>0</v>
      </c>
      <c r="L5282" s="0">
        <v>0</v>
      </c>
      <c r="M5282" s="0">
        <v>0</v>
      </c>
      <c r="N5282" s="0">
        <v>0</v>
      </c>
      <c r="O5282" s="0">
        <v>0</v>
      </c>
      <c r="P5282" s="0">
        <v>0</v>
      </c>
      <c r="R5282" s="0" t="b">
        <v>0</v>
      </c>
      <c r="S5282" s="0" t="b">
        <v>0</v>
      </c>
      <c r="T5282" s="68">
        <v>46081.0529976852</v>
      </c>
      <c r="U5282" s="68">
        <v>0</v>
      </c>
      <c r="V5282" s="68">
        <v>46090.6096527778</v>
      </c>
      <c r="W5282" s="0">
        <f>IF(IF(B5282="none",1,IF(B5282="Trialer",1,0))+IF(C5282="Customer",1,IF(C5282="Lost",1,0))=2,1,0)</f>
      </c>
      <c r="X5282" s="0" t="s">
        <v>136</v>
      </c>
      <c r="Y5282" s="0" t="s">
        <v>243</v>
      </c>
      <c r="AV5282" s="68"/>
      <c r="AW5282" s="68"/>
      <c r="AY5282" s="27"/>
      <c r="BD5282" s="68">
        <v>46054.1666666667</v>
      </c>
      <c r="BE5282" s="68">
        <v>46082.1666666667</v>
      </c>
      <c r="BF5282" s="0" t="b">
        <v>0</v>
      </c>
      <c r="BG5282" s="0" t="b">
        <v>0</v>
      </c>
      <c r="BH5282" s="0">
        <v>71</v>
      </c>
      <c r="BI5282" s="0">
        <v>71</v>
      </c>
      <c r="BJ5282" s="0" t="s">
        <v>135</v>
      </c>
    </row>
    <row r="5283">
      <c r="A5283" s="0" t="s">
        <v>5551</v>
      </c>
      <c r="B5283" s="0" t="s">
        <v>5</v>
      </c>
      <c r="C5283" s="0" t="s">
        <v>652</v>
      </c>
      <c r="D5283" s="0" t="s">
        <v>135</v>
      </c>
      <c r="E5283" s="0" t="s">
        <v>3</v>
      </c>
      <c r="F5283" s="0" t="s">
        <v>12</v>
      </c>
      <c r="G5283" s="0" t="s">
        <v>8</v>
      </c>
      <c r="H5283" s="0">
        <v>-27</v>
      </c>
      <c r="I5283" s="0">
        <v>0</v>
      </c>
      <c r="J5283" s="0">
        <v>0</v>
      </c>
      <c r="K5283" s="0">
        <v>0</v>
      </c>
      <c r="L5283" s="0">
        <v>0</v>
      </c>
      <c r="M5283" s="0">
        <v>0</v>
      </c>
      <c r="N5283" s="0">
        <v>0</v>
      </c>
      <c r="O5283" s="0">
        <v>0</v>
      </c>
      <c r="P5283" s="0">
        <v>0</v>
      </c>
      <c r="R5283" s="0" t="b">
        <v>0</v>
      </c>
      <c r="S5283" s="0" t="b">
        <v>1</v>
      </c>
      <c r="T5283" s="68">
        <v>46081.0684953704</v>
      </c>
      <c r="U5283" s="68">
        <v>0</v>
      </c>
      <c r="V5283" s="68">
        <v>0</v>
      </c>
      <c r="W5283" s="0">
        <f>IF(IF(B5283="none",1,IF(B5283="Trialer",1,0))+IF(C5283="Customer",1,IF(C5283="Lost",1,0))=2,1,0)</f>
      </c>
      <c r="X5283" s="0" t="s">
        <v>148</v>
      </c>
      <c r="Y5283" s="0" t="s">
        <v>243</v>
      </c>
      <c r="AV5283" s="68"/>
      <c r="AW5283" s="68"/>
      <c r="AY5283" s="27"/>
      <c r="BD5283" s="68">
        <v>46054.1666666667</v>
      </c>
      <c r="BE5283" s="68">
        <v>46082.1666666667</v>
      </c>
      <c r="BF5283" s="0" t="b">
        <v>0</v>
      </c>
      <c r="BG5283" s="0" t="b">
        <v>0</v>
      </c>
      <c r="BH5283" s="0">
        <v>59</v>
      </c>
      <c r="BI5283" s="0">
        <v>59</v>
      </c>
      <c r="BJ5283" s="0" t="s">
        <v>135</v>
      </c>
    </row>
    <row r="5284">
      <c r="A5284" s="0" t="s">
        <v>5552</v>
      </c>
      <c r="B5284" s="0" t="s">
        <v>5</v>
      </c>
      <c r="C5284" s="0" t="s">
        <v>652</v>
      </c>
      <c r="D5284" s="0" t="s">
        <v>135</v>
      </c>
      <c r="E5284" s="0" t="s">
        <v>3</v>
      </c>
      <c r="F5284" s="0" t="s">
        <v>12</v>
      </c>
      <c r="G5284" s="0" t="s">
        <v>8</v>
      </c>
      <c r="H5284" s="0">
        <v>-27</v>
      </c>
      <c r="I5284" s="0">
        <v>0</v>
      </c>
      <c r="J5284" s="0">
        <v>0</v>
      </c>
      <c r="K5284" s="0">
        <v>0</v>
      </c>
      <c r="L5284" s="0">
        <v>0</v>
      </c>
      <c r="M5284" s="0">
        <v>0</v>
      </c>
      <c r="N5284" s="0">
        <v>0</v>
      </c>
      <c r="O5284" s="0">
        <v>0</v>
      </c>
      <c r="P5284" s="0">
        <v>0</v>
      </c>
      <c r="R5284" s="0" t="b">
        <v>0</v>
      </c>
      <c r="S5284" s="0" t="b">
        <v>1</v>
      </c>
      <c r="T5284" s="68">
        <v>46081.1020138889</v>
      </c>
      <c r="U5284" s="68">
        <v>0</v>
      </c>
      <c r="V5284" s="68">
        <v>0</v>
      </c>
      <c r="W5284" s="0">
        <f>IF(IF(B5284="none",1,IF(B5284="Trialer",1,0))+IF(C5284="Customer",1,IF(C5284="Lost",1,0))=2,1,0)</f>
      </c>
      <c r="X5284" s="0" t="s">
        <v>145</v>
      </c>
      <c r="Y5284" s="0" t="s">
        <v>243</v>
      </c>
      <c r="AV5284" s="68"/>
      <c r="AW5284" s="68"/>
      <c r="AY5284" s="27"/>
      <c r="BD5284" s="68">
        <v>46054.1666666667</v>
      </c>
      <c r="BE5284" s="68">
        <v>46082.1666666667</v>
      </c>
      <c r="BF5284" s="0" t="b">
        <v>0</v>
      </c>
      <c r="BG5284" s="0" t="b">
        <v>0</v>
      </c>
      <c r="BH5284" s="0">
        <v>59</v>
      </c>
      <c r="BI5284" s="0">
        <v>59</v>
      </c>
      <c r="BJ5284" s="0" t="s">
        <v>135</v>
      </c>
    </row>
    <row r="5285">
      <c r="A5285" s="0" t="s">
        <v>5553</v>
      </c>
      <c r="B5285" s="0" t="s">
        <v>5</v>
      </c>
      <c r="C5285" s="0" t="s">
        <v>652</v>
      </c>
      <c r="D5285" s="0" t="s">
        <v>135</v>
      </c>
      <c r="E5285" s="0" t="s">
        <v>3</v>
      </c>
      <c r="F5285" s="0" t="s">
        <v>12</v>
      </c>
      <c r="G5285" s="0" t="s">
        <v>8</v>
      </c>
      <c r="H5285" s="0">
        <v>-27</v>
      </c>
      <c r="I5285" s="0">
        <v>0</v>
      </c>
      <c r="J5285" s="0">
        <v>0</v>
      </c>
      <c r="K5285" s="0">
        <v>0</v>
      </c>
      <c r="L5285" s="0">
        <v>0</v>
      </c>
      <c r="M5285" s="0">
        <v>0</v>
      </c>
      <c r="N5285" s="0">
        <v>0</v>
      </c>
      <c r="O5285" s="0">
        <v>0</v>
      </c>
      <c r="P5285" s="0">
        <v>0</v>
      </c>
      <c r="R5285" s="0" t="b">
        <v>0</v>
      </c>
      <c r="S5285" s="0" t="b">
        <v>0</v>
      </c>
      <c r="T5285" s="68">
        <v>46081.1136111111</v>
      </c>
      <c r="U5285" s="68">
        <v>0</v>
      </c>
      <c r="V5285" s="68">
        <v>46081.2558333333</v>
      </c>
      <c r="W5285" s="0">
        <f>IF(IF(B5285="none",1,IF(B5285="Trialer",1,0))+IF(C5285="Customer",1,IF(C5285="Lost",1,0))=2,1,0)</f>
      </c>
      <c r="X5285" s="0" t="s">
        <v>1461</v>
      </c>
      <c r="Y5285" s="0" t="s">
        <v>243</v>
      </c>
      <c r="AV5285" s="68"/>
      <c r="AW5285" s="68"/>
      <c r="AY5285" s="27"/>
      <c r="BD5285" s="68">
        <v>46054.1666666667</v>
      </c>
      <c r="BE5285" s="68">
        <v>46082.1666666667</v>
      </c>
      <c r="BF5285" s="0" t="b">
        <v>1</v>
      </c>
      <c r="BG5285" s="0" t="b">
        <v>0</v>
      </c>
      <c r="BH5285" s="0">
        <v>0</v>
      </c>
      <c r="BI5285" s="0">
        <v>0</v>
      </c>
      <c r="BJ5285" s="0" t="s">
        <v>135</v>
      </c>
    </row>
    <row r="5286">
      <c r="A5286" s="0" t="s">
        <v>5554</v>
      </c>
      <c r="B5286" s="0" t="s">
        <v>5</v>
      </c>
      <c r="C5286" s="0" t="s">
        <v>652</v>
      </c>
      <c r="D5286" s="0" t="s">
        <v>135</v>
      </c>
      <c r="E5286" s="0" t="s">
        <v>3</v>
      </c>
      <c r="F5286" s="0" t="s">
        <v>12</v>
      </c>
      <c r="G5286" s="0" t="s">
        <v>8</v>
      </c>
      <c r="H5286" s="0">
        <v>-27</v>
      </c>
      <c r="I5286" s="0">
        <v>0</v>
      </c>
      <c r="J5286" s="0">
        <v>0</v>
      </c>
      <c r="K5286" s="0">
        <v>0</v>
      </c>
      <c r="L5286" s="0">
        <v>0</v>
      </c>
      <c r="M5286" s="0">
        <v>0</v>
      </c>
      <c r="N5286" s="0">
        <v>0</v>
      </c>
      <c r="O5286" s="0">
        <v>0</v>
      </c>
      <c r="P5286" s="0">
        <v>0</v>
      </c>
      <c r="R5286" s="0" t="b">
        <v>0</v>
      </c>
      <c r="S5286" s="0" t="b">
        <v>0</v>
      </c>
      <c r="T5286" s="68">
        <v>46081.4560763889</v>
      </c>
      <c r="U5286" s="68">
        <v>0</v>
      </c>
      <c r="V5286" s="68">
        <v>46090.6090162037</v>
      </c>
      <c r="W5286" s="0">
        <f>IF(IF(B5286="none",1,IF(B5286="Trialer",1,0))+IF(C5286="Customer",1,IF(C5286="Lost",1,0))=2,1,0)</f>
      </c>
      <c r="X5286" s="0" t="s">
        <v>148</v>
      </c>
      <c r="Y5286" s="0" t="s">
        <v>243</v>
      </c>
      <c r="AV5286" s="68"/>
      <c r="AW5286" s="68"/>
      <c r="AY5286" s="27"/>
      <c r="BD5286" s="68">
        <v>46054.1666666667</v>
      </c>
      <c r="BE5286" s="68">
        <v>46082.1666666667</v>
      </c>
      <c r="BF5286" s="0" t="b">
        <v>0</v>
      </c>
      <c r="BG5286" s="0" t="b">
        <v>0</v>
      </c>
      <c r="BH5286" s="0">
        <v>73</v>
      </c>
      <c r="BI5286" s="0">
        <v>73</v>
      </c>
      <c r="BJ5286" s="0" t="s">
        <v>135</v>
      </c>
    </row>
    <row r="5287">
      <c r="A5287" s="0" t="s">
        <v>5555</v>
      </c>
      <c r="B5287" s="0" t="s">
        <v>5</v>
      </c>
      <c r="C5287" s="0" t="s">
        <v>652</v>
      </c>
      <c r="D5287" s="0" t="s">
        <v>135</v>
      </c>
      <c r="E5287" s="0" t="s">
        <v>3</v>
      </c>
      <c r="F5287" s="0" t="s">
        <v>12</v>
      </c>
      <c r="G5287" s="0" t="s">
        <v>8</v>
      </c>
      <c r="H5287" s="0">
        <v>-27</v>
      </c>
      <c r="I5287" s="0">
        <v>0</v>
      </c>
      <c r="J5287" s="0">
        <v>0</v>
      </c>
      <c r="K5287" s="0">
        <v>0</v>
      </c>
      <c r="L5287" s="0">
        <v>0</v>
      </c>
      <c r="M5287" s="0">
        <v>0</v>
      </c>
      <c r="N5287" s="0">
        <v>0</v>
      </c>
      <c r="O5287" s="0">
        <v>0</v>
      </c>
      <c r="P5287" s="0">
        <v>0</v>
      </c>
      <c r="R5287" s="0" t="b">
        <v>0</v>
      </c>
      <c r="S5287" s="0" t="b">
        <v>0</v>
      </c>
      <c r="T5287" s="68">
        <v>46081.4724884259</v>
      </c>
      <c r="U5287" s="68">
        <v>0</v>
      </c>
      <c r="V5287" s="68">
        <v>46097.4012384259</v>
      </c>
      <c r="W5287" s="0">
        <f>IF(IF(B5287="none",1,IF(B5287="Trialer",1,0))+IF(C5287="Customer",1,IF(C5287="Lost",1,0))=2,1,0)</f>
      </c>
      <c r="X5287" s="0" t="s">
        <v>148</v>
      </c>
      <c r="Y5287" s="0" t="s">
        <v>243</v>
      </c>
      <c r="AV5287" s="68"/>
      <c r="AW5287" s="68"/>
      <c r="AY5287" s="27"/>
      <c r="BD5287" s="68">
        <v>46054.1666666667</v>
      </c>
      <c r="BE5287" s="68">
        <v>46082.1666666667</v>
      </c>
      <c r="BF5287" s="0" t="b">
        <v>1</v>
      </c>
      <c r="BG5287" s="0" t="b">
        <v>0</v>
      </c>
      <c r="BH5287" s="0">
        <v>71</v>
      </c>
      <c r="BI5287" s="0">
        <v>71</v>
      </c>
      <c r="BJ5287" s="0" t="s">
        <v>135</v>
      </c>
    </row>
    <row r="5288">
      <c r="A5288" s="0" t="s">
        <v>5556</v>
      </c>
      <c r="B5288" s="0" t="s">
        <v>5</v>
      </c>
      <c r="C5288" s="0" t="s">
        <v>652</v>
      </c>
      <c r="D5288" s="0" t="s">
        <v>135</v>
      </c>
      <c r="E5288" s="0" t="s">
        <v>3</v>
      </c>
      <c r="F5288" s="0" t="s">
        <v>12</v>
      </c>
      <c r="G5288" s="0" t="s">
        <v>8</v>
      </c>
      <c r="H5288" s="0">
        <v>-27</v>
      </c>
      <c r="I5288" s="0">
        <v>0</v>
      </c>
      <c r="J5288" s="0">
        <v>0</v>
      </c>
      <c r="K5288" s="0">
        <v>0</v>
      </c>
      <c r="L5288" s="0">
        <v>0</v>
      </c>
      <c r="M5288" s="0">
        <v>0</v>
      </c>
      <c r="N5288" s="0">
        <v>0</v>
      </c>
      <c r="O5288" s="0">
        <v>0</v>
      </c>
      <c r="P5288" s="0">
        <v>0</v>
      </c>
      <c r="R5288" s="0" t="b">
        <v>0</v>
      </c>
      <c r="S5288" s="0" t="b">
        <v>0</v>
      </c>
      <c r="T5288" s="68">
        <v>46081.6353009259</v>
      </c>
      <c r="U5288" s="68">
        <v>0</v>
      </c>
      <c r="V5288" s="68">
        <v>46081.6379282407</v>
      </c>
      <c r="W5288" s="0">
        <f>IF(IF(B5288="none",1,IF(B5288="Trialer",1,0))+IF(C5288="Customer",1,IF(C5288="Lost",1,0))=2,1,0)</f>
      </c>
      <c r="X5288" s="0" t="s">
        <v>136</v>
      </c>
      <c r="Y5288" s="0" t="s">
        <v>243</v>
      </c>
      <c r="AV5288" s="68"/>
      <c r="AW5288" s="68"/>
      <c r="AY5288" s="27"/>
      <c r="BD5288" s="68">
        <v>46054.1666666667</v>
      </c>
      <c r="BE5288" s="68">
        <v>46082.1666666667</v>
      </c>
      <c r="BF5288" s="0" t="b">
        <v>0</v>
      </c>
      <c r="BG5288" s="0" t="b">
        <v>0</v>
      </c>
      <c r="BH5288" s="0">
        <v>0</v>
      </c>
      <c r="BI5288" s="0">
        <v>0</v>
      </c>
      <c r="BJ5288" s="0" t="s">
        <v>135</v>
      </c>
    </row>
    <row r="5289">
      <c r="A5289" s="0" t="s">
        <v>5557</v>
      </c>
      <c r="B5289" s="0" t="s">
        <v>5</v>
      </c>
      <c r="C5289" s="0" t="s">
        <v>652</v>
      </c>
      <c r="D5289" s="0" t="s">
        <v>135</v>
      </c>
      <c r="E5289" s="0" t="s">
        <v>3</v>
      </c>
      <c r="F5289" s="0" t="s">
        <v>12</v>
      </c>
      <c r="G5289" s="0" t="s">
        <v>8</v>
      </c>
      <c r="H5289" s="0">
        <v>-27</v>
      </c>
      <c r="I5289" s="0">
        <v>0</v>
      </c>
      <c r="J5289" s="0">
        <v>0</v>
      </c>
      <c r="K5289" s="0">
        <v>0</v>
      </c>
      <c r="L5289" s="0">
        <v>0</v>
      </c>
      <c r="M5289" s="0">
        <v>0</v>
      </c>
      <c r="N5289" s="0">
        <v>0</v>
      </c>
      <c r="O5289" s="0">
        <v>0</v>
      </c>
      <c r="P5289" s="0">
        <v>0</v>
      </c>
      <c r="R5289" s="0" t="b">
        <v>0</v>
      </c>
      <c r="S5289" s="0" t="b">
        <v>1</v>
      </c>
      <c r="T5289" s="68">
        <v>46081.7782407407</v>
      </c>
      <c r="U5289" s="68">
        <v>0</v>
      </c>
      <c r="V5289" s="68">
        <v>0</v>
      </c>
      <c r="W5289" s="0">
        <f>IF(IF(B5289="none",1,IF(B5289="Trialer",1,0))+IF(C5289="Customer",1,IF(C5289="Lost",1,0))=2,1,0)</f>
      </c>
      <c r="X5289" s="0" t="s">
        <v>882</v>
      </c>
      <c r="Y5289" s="0" t="s">
        <v>243</v>
      </c>
      <c r="AV5289" s="68"/>
      <c r="AW5289" s="68"/>
      <c r="AY5289" s="27"/>
      <c r="BD5289" s="68">
        <v>46054.1666666667</v>
      </c>
      <c r="BE5289" s="68">
        <v>46082.1666666667</v>
      </c>
      <c r="BF5289" s="0" t="b">
        <v>0</v>
      </c>
      <c r="BG5289" s="0" t="b">
        <v>0</v>
      </c>
      <c r="BH5289" s="0">
        <v>98</v>
      </c>
      <c r="BI5289" s="0">
        <v>98</v>
      </c>
      <c r="BJ5289" s="0" t="s">
        <v>135</v>
      </c>
    </row>
    <row r="5290">
      <c r="A5290" s="0" t="s">
        <v>5558</v>
      </c>
      <c r="B5290" s="0" t="s">
        <v>5</v>
      </c>
      <c r="C5290" s="0" t="s">
        <v>652</v>
      </c>
      <c r="D5290" s="0" t="s">
        <v>135</v>
      </c>
      <c r="E5290" s="0" t="s">
        <v>3</v>
      </c>
      <c r="F5290" s="0" t="s">
        <v>12</v>
      </c>
      <c r="G5290" s="0" t="s">
        <v>8</v>
      </c>
      <c r="H5290" s="0">
        <v>-27</v>
      </c>
      <c r="I5290" s="0">
        <v>0</v>
      </c>
      <c r="J5290" s="0">
        <v>0</v>
      </c>
      <c r="K5290" s="0">
        <v>0</v>
      </c>
      <c r="L5290" s="0">
        <v>0</v>
      </c>
      <c r="M5290" s="0">
        <v>0</v>
      </c>
      <c r="N5290" s="0">
        <v>0</v>
      </c>
      <c r="O5290" s="0">
        <v>0</v>
      </c>
      <c r="P5290" s="0">
        <v>0</v>
      </c>
      <c r="R5290" s="0" t="b">
        <v>0</v>
      </c>
      <c r="S5290" s="0" t="b">
        <v>0</v>
      </c>
      <c r="T5290" s="68">
        <v>46081.8723842593</v>
      </c>
      <c r="U5290" s="68">
        <v>0</v>
      </c>
      <c r="V5290" s="68">
        <v>46084.4722569444</v>
      </c>
      <c r="W5290" s="0">
        <f>IF(IF(B5290="none",1,IF(B5290="Trialer",1,0))+IF(C5290="Customer",1,IF(C5290="Lost",1,0))=2,1,0)</f>
      </c>
      <c r="X5290" s="0" t="s">
        <v>145</v>
      </c>
      <c r="Y5290" s="0" t="s">
        <v>243</v>
      </c>
      <c r="AV5290" s="68"/>
      <c r="AW5290" s="68"/>
      <c r="AY5290" s="27"/>
      <c r="BD5290" s="68">
        <v>46054.1666666667</v>
      </c>
      <c r="BE5290" s="68">
        <v>46082.1666666667</v>
      </c>
      <c r="BF5290" s="0" t="b">
        <v>0</v>
      </c>
      <c r="BG5290" s="0" t="b">
        <v>0</v>
      </c>
      <c r="BH5290" s="0">
        <v>59</v>
      </c>
      <c r="BI5290" s="0">
        <v>59</v>
      </c>
      <c r="BJ5290" s="0" t="s">
        <v>135</v>
      </c>
    </row>
    <row r="5291">
      <c r="A5291" s="0" t="s">
        <v>5559</v>
      </c>
      <c r="B5291" s="0" t="s">
        <v>5</v>
      </c>
      <c r="C5291" s="0" t="s">
        <v>652</v>
      </c>
      <c r="D5291" s="0" t="s">
        <v>135</v>
      </c>
      <c r="E5291" s="0" t="s">
        <v>3</v>
      </c>
      <c r="F5291" s="0" t="s">
        <v>12</v>
      </c>
      <c r="G5291" s="0" t="s">
        <v>8</v>
      </c>
      <c r="H5291" s="0">
        <v>-27</v>
      </c>
      <c r="I5291" s="0">
        <v>0</v>
      </c>
      <c r="J5291" s="0">
        <v>0</v>
      </c>
      <c r="K5291" s="0">
        <v>0</v>
      </c>
      <c r="L5291" s="0">
        <v>0</v>
      </c>
      <c r="M5291" s="0">
        <v>0</v>
      </c>
      <c r="N5291" s="0">
        <v>0</v>
      </c>
      <c r="O5291" s="0">
        <v>0</v>
      </c>
      <c r="P5291" s="0">
        <v>0</v>
      </c>
      <c r="R5291" s="0" t="b">
        <v>0</v>
      </c>
      <c r="S5291" s="0" t="b">
        <v>1</v>
      </c>
      <c r="T5291" s="68">
        <v>46081.8868981482</v>
      </c>
      <c r="U5291" s="68">
        <v>0</v>
      </c>
      <c r="V5291" s="68">
        <v>0</v>
      </c>
      <c r="W5291" s="0">
        <f>IF(IF(B5291="none",1,IF(B5291="Trialer",1,0))+IF(C5291="Customer",1,IF(C5291="Lost",1,0))=2,1,0)</f>
      </c>
      <c r="X5291" s="0" t="s">
        <v>136</v>
      </c>
      <c r="Y5291" s="0" t="s">
        <v>243</v>
      </c>
      <c r="AV5291" s="68"/>
      <c r="AW5291" s="68"/>
      <c r="AY5291" s="27"/>
      <c r="BD5291" s="68">
        <v>46054.1666666667</v>
      </c>
      <c r="BE5291" s="68">
        <v>46082.1666666667</v>
      </c>
      <c r="BF5291" s="0" t="b">
        <v>0</v>
      </c>
      <c r="BG5291" s="0" t="b">
        <v>0</v>
      </c>
      <c r="BH5291" s="0">
        <v>118</v>
      </c>
      <c r="BI5291" s="0">
        <v>118</v>
      </c>
      <c r="BJ5291" s="0" t="s">
        <v>135</v>
      </c>
    </row>
    <row r="5292">
      <c r="A5292" s="0" t="s">
        <v>5560</v>
      </c>
      <c r="D5292" s="0" t="s">
        <v>135</v>
      </c>
      <c r="G5292" s="0" t="s">
        <v>5560</v>
      </c>
      <c r="H5292" s="0">
        <v>0</v>
      </c>
      <c r="I5292" s="0">
        <v>0</v>
      </c>
      <c r="J5292" s="0">
        <v>380</v>
      </c>
      <c r="K5292" s="0">
        <v>0</v>
      </c>
      <c r="L5292" s="0">
        <v>0</v>
      </c>
      <c r="M5292" s="0">
        <v>0</v>
      </c>
      <c r="N5292" s="0">
        <v>0</v>
      </c>
      <c r="O5292" s="0">
        <v>0</v>
      </c>
      <c r="P5292" s="0">
        <v>500</v>
      </c>
      <c r="R5292" s="0" t="b">
        <v>0</v>
      </c>
      <c r="S5292" s="0" t="b">
        <v>0</v>
      </c>
      <c r="T5292" s="68">
        <v>0</v>
      </c>
      <c r="U5292" s="68">
        <v>0</v>
      </c>
      <c r="V5292" s="68">
        <v>0</v>
      </c>
      <c r="W5292" s="0">
        <f>IF(IF(B5292="none",1,IF(B5292="Trialer",1,0))+IF(C5292="Customer",1,IF(C5292="Lost",1,0))=2,1,0)</f>
      </c>
      <c r="Y5292" s="0" t="s">
        <v>5560</v>
      </c>
      <c r="AV5292" s="68"/>
      <c r="AW5292" s="68"/>
      <c r="AY5292" s="27"/>
      <c r="BD5292" s="68">
        <v>0</v>
      </c>
      <c r="BE5292" s="68">
        <v>0</v>
      </c>
      <c r="BF5292" s="0" t="b">
        <v>0</v>
      </c>
      <c r="BG5292" s="0" t="b">
        <v>0</v>
      </c>
      <c r="BH5292" s="0">
        <v>0</v>
      </c>
      <c r="BI5292" s="0">
        <v>0</v>
      </c>
      <c r="BJ5292" s="0" t="s">
        <v>5560</v>
      </c>
    </row>
    <row r="5293">
      <c r="A5293" s="0" t="s">
        <v>5561</v>
      </c>
      <c r="B5293" s="0" t="s">
        <v>190</v>
      </c>
      <c r="C5293" s="0" t="s">
        <v>190</v>
      </c>
      <c r="D5293" s="0" t="s">
        <v>230</v>
      </c>
      <c r="E5293" s="0" t="s">
        <v>2</v>
      </c>
      <c r="F5293" s="0" t="s">
        <v>12</v>
      </c>
      <c r="G5293" s="0" t="s">
        <v>8</v>
      </c>
      <c r="H5293" s="0">
        <v>0</v>
      </c>
      <c r="I5293" s="0">
        <v>8854</v>
      </c>
      <c r="J5293" s="0">
        <v>0</v>
      </c>
      <c r="K5293" s="0">
        <v>1</v>
      </c>
      <c r="L5293" s="0">
        <v>0</v>
      </c>
      <c r="M5293" s="0">
        <v>0</v>
      </c>
      <c r="N5293" s="0">
        <v>0</v>
      </c>
      <c r="O5293" s="0">
        <v>0</v>
      </c>
      <c r="P5293" s="0">
        <v>-8854</v>
      </c>
      <c r="R5293" s="0" t="b">
        <v>0</v>
      </c>
      <c r="S5293" s="0" t="b">
        <v>0</v>
      </c>
      <c r="T5293" s="68">
        <v>0</v>
      </c>
      <c r="U5293" s="68">
        <v>0</v>
      </c>
      <c r="V5293" s="68">
        <v>0</v>
      </c>
      <c r="W5293" s="0">
        <f>IF(IF(B5293="none",1,IF(B5293="Trialer",1,0))+IF(C5293="Customer",1,IF(C5293="Lost",1,0))=2,1,0)</f>
      </c>
      <c r="Y5293" s="0" t="s">
        <v>5560</v>
      </c>
      <c r="AV5293" s="68"/>
      <c r="AW5293" s="68"/>
      <c r="AY5293" s="27"/>
      <c r="BD5293" s="68">
        <v>0</v>
      </c>
      <c r="BE5293" s="68">
        <v>0</v>
      </c>
      <c r="BF5293" s="0" t="b">
        <v>0</v>
      </c>
      <c r="BG5293" s="0" t="b">
        <v>0</v>
      </c>
      <c r="BH5293" s="0">
        <v>0</v>
      </c>
      <c r="BI5293" s="0">
        <v>0</v>
      </c>
      <c r="BJ5293" s="0" t="s">
        <v>5560</v>
      </c>
    </row>
    <row r="5294">
      <c r="A5294" s="0" t="s">
        <v>5562</v>
      </c>
      <c r="B5294" s="0" t="s">
        <v>190</v>
      </c>
      <c r="C5294" s="0" t="s">
        <v>190</v>
      </c>
      <c r="D5294" s="0" t="s">
        <v>230</v>
      </c>
      <c r="E5294" s="0" t="s">
        <v>2</v>
      </c>
      <c r="F5294" s="0" t="s">
        <v>12</v>
      </c>
      <c r="G5294" s="0" t="s">
        <v>8</v>
      </c>
      <c r="H5294" s="0">
        <v>0</v>
      </c>
      <c r="I5294" s="0">
        <v>72</v>
      </c>
      <c r="J5294" s="0">
        <v>0</v>
      </c>
      <c r="K5294" s="0">
        <v>1</v>
      </c>
      <c r="L5294" s="0">
        <v>0</v>
      </c>
      <c r="M5294" s="0">
        <v>0</v>
      </c>
      <c r="N5294" s="0">
        <v>0</v>
      </c>
      <c r="O5294" s="0">
        <v>0</v>
      </c>
      <c r="P5294" s="0">
        <v>-72</v>
      </c>
      <c r="R5294" s="0" t="b">
        <v>0</v>
      </c>
      <c r="S5294" s="0" t="b">
        <v>0</v>
      </c>
      <c r="T5294" s="68">
        <v>0</v>
      </c>
      <c r="U5294" s="68">
        <v>0</v>
      </c>
      <c r="V5294" s="68">
        <v>0</v>
      </c>
      <c r="W5294" s="0">
        <f>IF(IF(B5294="none",1,IF(B5294="Trialer",1,0))+IF(C5294="Customer",1,IF(C5294="Lost",1,0))=2,1,0)</f>
      </c>
      <c r="Y5294" s="0" t="s">
        <v>5560</v>
      </c>
      <c r="AV5294" s="68"/>
      <c r="AW5294" s="68"/>
      <c r="AY5294" s="27"/>
      <c r="BD5294" s="68">
        <v>0</v>
      </c>
      <c r="BE5294" s="68">
        <v>0</v>
      </c>
      <c r="BF5294" s="0" t="b">
        <v>0</v>
      </c>
      <c r="BG5294" s="0" t="b">
        <v>0</v>
      </c>
      <c r="BH5294" s="0">
        <v>0</v>
      </c>
      <c r="BI5294" s="0">
        <v>0</v>
      </c>
      <c r="BJ5294" s="0" t="s">
        <v>5560</v>
      </c>
    </row>
    <row r="5295">
      <c r="A5295" s="0" t="s">
        <v>5563</v>
      </c>
      <c r="B5295" s="0" t="s">
        <v>190</v>
      </c>
      <c r="C5295" s="0" t="s">
        <v>190</v>
      </c>
      <c r="D5295" s="0" t="s">
        <v>230</v>
      </c>
      <c r="E5295" s="0" t="s">
        <v>2</v>
      </c>
      <c r="F5295" s="0" t="s">
        <v>12</v>
      </c>
      <c r="G5295" s="0" t="s">
        <v>8</v>
      </c>
      <c r="H5295" s="0">
        <v>0</v>
      </c>
      <c r="I5295" s="0">
        <v>60</v>
      </c>
      <c r="J5295" s="0">
        <v>0</v>
      </c>
      <c r="K5295" s="0">
        <v>1</v>
      </c>
      <c r="L5295" s="0">
        <v>0</v>
      </c>
      <c r="M5295" s="0">
        <v>0</v>
      </c>
      <c r="N5295" s="0">
        <v>0</v>
      </c>
      <c r="O5295" s="0">
        <v>0</v>
      </c>
      <c r="P5295" s="0">
        <v>-60</v>
      </c>
      <c r="R5295" s="0" t="b">
        <v>0</v>
      </c>
      <c r="S5295" s="0" t="b">
        <v>0</v>
      </c>
      <c r="T5295" s="68">
        <v>0</v>
      </c>
      <c r="U5295" s="68">
        <v>0</v>
      </c>
      <c r="V5295" s="68">
        <v>0</v>
      </c>
      <c r="W5295" s="0">
        <f>IF(IF(B5295="none",1,IF(B5295="Trialer",1,0))+IF(C5295="Customer",1,IF(C5295="Lost",1,0))=2,1,0)</f>
      </c>
      <c r="Y5295" s="0" t="s">
        <v>5560</v>
      </c>
      <c r="AV5295" s="68"/>
      <c r="AW5295" s="68"/>
      <c r="AY5295" s="27"/>
      <c r="BD5295" s="68">
        <v>0</v>
      </c>
      <c r="BE5295" s="68">
        <v>0</v>
      </c>
      <c r="BF5295" s="0" t="b">
        <v>0</v>
      </c>
      <c r="BG5295" s="0" t="b">
        <v>0</v>
      </c>
      <c r="BH5295" s="0">
        <v>0</v>
      </c>
      <c r="BI5295" s="0">
        <v>0</v>
      </c>
      <c r="BJ5295" s="0" t="s">
        <v>5560</v>
      </c>
    </row>
    <row r="5296">
      <c r="A5296" s="0" t="s">
        <v>5564</v>
      </c>
      <c r="B5296" s="0" t="s">
        <v>190</v>
      </c>
      <c r="C5296" s="0" t="s">
        <v>190</v>
      </c>
      <c r="D5296" s="0" t="s">
        <v>230</v>
      </c>
      <c r="E5296" s="0" t="s">
        <v>2</v>
      </c>
      <c r="F5296" s="0" t="s">
        <v>12</v>
      </c>
      <c r="G5296" s="0" t="s">
        <v>8</v>
      </c>
      <c r="H5296" s="0">
        <v>0</v>
      </c>
      <c r="I5296" s="0">
        <v>138.75</v>
      </c>
      <c r="J5296" s="0">
        <v>0</v>
      </c>
      <c r="K5296" s="0">
        <v>1</v>
      </c>
      <c r="L5296" s="0">
        <v>0</v>
      </c>
      <c r="M5296" s="0">
        <v>0</v>
      </c>
      <c r="N5296" s="0">
        <v>0</v>
      </c>
      <c r="O5296" s="0">
        <v>0</v>
      </c>
      <c r="P5296" s="0">
        <v>-138.75</v>
      </c>
      <c r="R5296" s="0" t="b">
        <v>0</v>
      </c>
      <c r="S5296" s="0" t="b">
        <v>0</v>
      </c>
      <c r="T5296" s="68">
        <v>0</v>
      </c>
      <c r="U5296" s="68">
        <v>0</v>
      </c>
      <c r="V5296" s="68">
        <v>0</v>
      </c>
      <c r="W5296" s="0">
        <f>IF(IF(B5296="none",1,IF(B5296="Trialer",1,0))+IF(C5296="Customer",1,IF(C5296="Lost",1,0))=2,1,0)</f>
      </c>
      <c r="Y5296" s="0" t="s">
        <v>5560</v>
      </c>
      <c r="AV5296" s="68"/>
      <c r="AW5296" s="68"/>
      <c r="AY5296" s="27"/>
      <c r="BD5296" s="68">
        <v>0</v>
      </c>
      <c r="BE5296" s="68">
        <v>0</v>
      </c>
      <c r="BF5296" s="0" t="b">
        <v>0</v>
      </c>
      <c r="BG5296" s="0" t="b">
        <v>0</v>
      </c>
      <c r="BH5296" s="0">
        <v>0</v>
      </c>
      <c r="BI5296" s="0">
        <v>0</v>
      </c>
      <c r="BJ5296" s="0" t="s">
        <v>5560</v>
      </c>
    </row>
    <row r="5297">
      <c r="A5297" s="0" t="s">
        <v>5565</v>
      </c>
      <c r="B5297" s="0" t="s">
        <v>190</v>
      </c>
      <c r="C5297" s="0" t="s">
        <v>190</v>
      </c>
      <c r="D5297" s="0" t="s">
        <v>230</v>
      </c>
      <c r="E5297" s="0" t="s">
        <v>2</v>
      </c>
      <c r="F5297" s="0" t="s">
        <v>12</v>
      </c>
      <c r="G5297" s="0" t="s">
        <v>8</v>
      </c>
      <c r="H5297" s="0">
        <v>0</v>
      </c>
      <c r="I5297" s="0">
        <v>110.25</v>
      </c>
      <c r="J5297" s="0">
        <v>0</v>
      </c>
      <c r="K5297" s="0">
        <v>1</v>
      </c>
      <c r="L5297" s="0">
        <v>0</v>
      </c>
      <c r="M5297" s="0">
        <v>0</v>
      </c>
      <c r="N5297" s="0">
        <v>0</v>
      </c>
      <c r="O5297" s="0">
        <v>0</v>
      </c>
      <c r="P5297" s="0">
        <v>-110.25</v>
      </c>
      <c r="R5297" s="0" t="b">
        <v>0</v>
      </c>
      <c r="S5297" s="0" t="b">
        <v>0</v>
      </c>
      <c r="T5297" s="68">
        <v>0</v>
      </c>
      <c r="U5297" s="68">
        <v>0</v>
      </c>
      <c r="V5297" s="68">
        <v>0</v>
      </c>
      <c r="W5297" s="0">
        <f>IF(IF(B5297="none",1,IF(B5297="Trialer",1,0))+IF(C5297="Customer",1,IF(C5297="Lost",1,0))=2,1,0)</f>
      </c>
      <c r="Y5297" s="0" t="s">
        <v>5560</v>
      </c>
      <c r="AV5297" s="68"/>
      <c r="AW5297" s="68"/>
      <c r="AY5297" s="27"/>
      <c r="BD5297" s="68">
        <v>0</v>
      </c>
      <c r="BE5297" s="68">
        <v>0</v>
      </c>
      <c r="BF5297" s="0" t="b">
        <v>0</v>
      </c>
      <c r="BG5297" s="0" t="b">
        <v>0</v>
      </c>
      <c r="BH5297" s="0">
        <v>0</v>
      </c>
      <c r="BI5297" s="0">
        <v>0</v>
      </c>
      <c r="BJ5297" s="0" t="s">
        <v>5560</v>
      </c>
    </row>
    <row r="5298">
      <c r="A5298" s="0" t="s">
        <v>5566</v>
      </c>
      <c r="B5298" s="0" t="s">
        <v>190</v>
      </c>
      <c r="C5298" s="0" t="s">
        <v>190</v>
      </c>
      <c r="D5298" s="0" t="s">
        <v>230</v>
      </c>
      <c r="E5298" s="0" t="s">
        <v>2</v>
      </c>
      <c r="F5298" s="0" t="s">
        <v>12</v>
      </c>
      <c r="G5298" s="0" t="s">
        <v>8</v>
      </c>
      <c r="H5298" s="0">
        <v>0</v>
      </c>
      <c r="I5298" s="0">
        <v>748</v>
      </c>
      <c r="J5298" s="0">
        <v>0</v>
      </c>
      <c r="K5298" s="0">
        <v>1</v>
      </c>
      <c r="L5298" s="0">
        <v>0</v>
      </c>
      <c r="M5298" s="0">
        <v>0</v>
      </c>
      <c r="N5298" s="0">
        <v>0</v>
      </c>
      <c r="O5298" s="0">
        <v>0</v>
      </c>
      <c r="P5298" s="0">
        <v>-748</v>
      </c>
      <c r="R5298" s="0" t="b">
        <v>0</v>
      </c>
      <c r="S5298" s="0" t="b">
        <v>0</v>
      </c>
      <c r="T5298" s="68">
        <v>0</v>
      </c>
      <c r="U5298" s="68">
        <v>0</v>
      </c>
      <c r="V5298" s="68">
        <v>0</v>
      </c>
      <c r="W5298" s="0">
        <f>IF(IF(B5298="none",1,IF(B5298="Trialer",1,0))+IF(C5298="Customer",1,IF(C5298="Lost",1,0))=2,1,0)</f>
      </c>
      <c r="Y5298" s="0" t="s">
        <v>5560</v>
      </c>
      <c r="AV5298" s="68"/>
      <c r="AW5298" s="68"/>
      <c r="AY5298" s="27"/>
      <c r="BD5298" s="68">
        <v>0</v>
      </c>
      <c r="BE5298" s="68">
        <v>0</v>
      </c>
      <c r="BF5298" s="0" t="b">
        <v>0</v>
      </c>
      <c r="BG5298" s="0" t="b">
        <v>0</v>
      </c>
      <c r="BH5298" s="0">
        <v>0</v>
      </c>
      <c r="BI5298" s="0">
        <v>0</v>
      </c>
      <c r="BJ5298" s="0" t="s">
        <v>5560</v>
      </c>
    </row>
    <row r="5299">
      <c r="A5299" s="0" t="s">
        <v>5567</v>
      </c>
      <c r="B5299" s="0" t="s">
        <v>190</v>
      </c>
      <c r="C5299" s="0" t="s">
        <v>190</v>
      </c>
      <c r="D5299" s="0" t="s">
        <v>230</v>
      </c>
      <c r="E5299" s="0" t="s">
        <v>2</v>
      </c>
      <c r="F5299" s="0" t="s">
        <v>12</v>
      </c>
      <c r="G5299" s="0" t="s">
        <v>8</v>
      </c>
      <c r="H5299" s="0">
        <v>0</v>
      </c>
      <c r="I5299" s="0">
        <v>263</v>
      </c>
      <c r="J5299" s="0">
        <v>0</v>
      </c>
      <c r="K5299" s="0">
        <v>1</v>
      </c>
      <c r="L5299" s="0">
        <v>0</v>
      </c>
      <c r="M5299" s="0">
        <v>0</v>
      </c>
      <c r="N5299" s="0">
        <v>0</v>
      </c>
      <c r="O5299" s="0">
        <v>0</v>
      </c>
      <c r="P5299" s="0">
        <v>-263</v>
      </c>
      <c r="R5299" s="0" t="b">
        <v>0</v>
      </c>
      <c r="S5299" s="0" t="b">
        <v>0</v>
      </c>
      <c r="T5299" s="68">
        <v>0</v>
      </c>
      <c r="U5299" s="68">
        <v>0</v>
      </c>
      <c r="V5299" s="68">
        <v>0</v>
      </c>
      <c r="W5299" s="0">
        <f>IF(IF(B5299="none",1,IF(B5299="Trialer",1,0))+IF(C5299="Customer",1,IF(C5299="Lost",1,0))=2,1,0)</f>
      </c>
      <c r="Y5299" s="0" t="s">
        <v>5560</v>
      </c>
      <c r="AV5299" s="68"/>
      <c r="AW5299" s="68"/>
      <c r="AY5299" s="27"/>
      <c r="BD5299" s="68">
        <v>0</v>
      </c>
      <c r="BE5299" s="68">
        <v>0</v>
      </c>
      <c r="BF5299" s="0" t="b">
        <v>0</v>
      </c>
      <c r="BG5299" s="0" t="b">
        <v>0</v>
      </c>
      <c r="BH5299" s="0">
        <v>0</v>
      </c>
      <c r="BI5299" s="0">
        <v>0</v>
      </c>
      <c r="BJ5299" s="0" t="s">
        <v>5560</v>
      </c>
    </row>
    <row r="5300">
      <c r="A5300" s="0" t="s">
        <v>5568</v>
      </c>
      <c r="B5300" s="0" t="s">
        <v>190</v>
      </c>
      <c r="C5300" s="0" t="s">
        <v>190</v>
      </c>
      <c r="D5300" s="0" t="s">
        <v>135</v>
      </c>
      <c r="E5300" s="0" t="s">
        <v>2</v>
      </c>
      <c r="F5300" s="0" t="s">
        <v>12</v>
      </c>
      <c r="G5300" s="0" t="s">
        <v>5560</v>
      </c>
      <c r="H5300" s="0">
        <v>0</v>
      </c>
      <c r="I5300" s="0">
        <v>0</v>
      </c>
      <c r="J5300" s="0">
        <v>-49</v>
      </c>
      <c r="K5300" s="0">
        <v>0</v>
      </c>
      <c r="L5300" s="0">
        <v>0</v>
      </c>
      <c r="M5300" s="0">
        <v>0</v>
      </c>
      <c r="N5300" s="0">
        <v>0</v>
      </c>
      <c r="O5300" s="0">
        <v>0</v>
      </c>
      <c r="P5300" s="0">
        <v>0</v>
      </c>
      <c r="R5300" s="0" t="b">
        <v>0</v>
      </c>
      <c r="S5300" s="0" t="b">
        <v>0</v>
      </c>
      <c r="T5300" s="68">
        <v>0</v>
      </c>
      <c r="U5300" s="68">
        <v>0</v>
      </c>
      <c r="V5300" s="68">
        <v>0</v>
      </c>
      <c r="W5300" s="0">
        <f>IF(IF(B5300="none",1,IF(B5300="Trialer",1,0))+IF(C5300="Customer",1,IF(C5300="Lost",1,0))=2,1,0)</f>
      </c>
      <c r="Y5300" s="0" t="s">
        <v>5560</v>
      </c>
      <c r="AV5300" s="68"/>
      <c r="AW5300" s="68"/>
      <c r="AY5300" s="27"/>
      <c r="BD5300" s="68">
        <v>0</v>
      </c>
      <c r="BE5300" s="68">
        <v>0</v>
      </c>
      <c r="BF5300" s="0" t="b">
        <v>0</v>
      </c>
      <c r="BG5300" s="0" t="b">
        <v>0</v>
      </c>
      <c r="BH5300" s="0">
        <v>0</v>
      </c>
      <c r="BI5300" s="0">
        <v>0</v>
      </c>
      <c r="BJ5300" s="0" t="s">
        <v>5560</v>
      </c>
    </row>
    <row r="5301">
      <c r="A5301" s="0" t="s">
        <v>5569</v>
      </c>
      <c r="B5301" s="0" t="s">
        <v>190</v>
      </c>
      <c r="C5301" s="0" t="s">
        <v>190</v>
      </c>
      <c r="D5301" s="0" t="s">
        <v>135</v>
      </c>
      <c r="E5301" s="0" t="s">
        <v>2</v>
      </c>
      <c r="F5301" s="0" t="s">
        <v>12</v>
      </c>
      <c r="G5301" s="0" t="s">
        <v>5560</v>
      </c>
      <c r="H5301" s="0">
        <v>0</v>
      </c>
      <c r="I5301" s="0">
        <v>0</v>
      </c>
      <c r="J5301" s="0">
        <v>-85</v>
      </c>
      <c r="K5301" s="0">
        <v>0</v>
      </c>
      <c r="L5301" s="0">
        <v>0</v>
      </c>
      <c r="M5301" s="0">
        <v>0</v>
      </c>
      <c r="N5301" s="0">
        <v>0</v>
      </c>
      <c r="O5301" s="0">
        <v>0</v>
      </c>
      <c r="P5301" s="0">
        <v>0</v>
      </c>
      <c r="R5301" s="0" t="b">
        <v>0</v>
      </c>
      <c r="S5301" s="0" t="b">
        <v>0</v>
      </c>
      <c r="T5301" s="68">
        <v>0</v>
      </c>
      <c r="U5301" s="68">
        <v>0</v>
      </c>
      <c r="V5301" s="68">
        <v>0</v>
      </c>
      <c r="W5301" s="0">
        <f>IF(IF(B5301="none",1,IF(B5301="Trialer",1,0))+IF(C5301="Customer",1,IF(C5301="Lost",1,0))=2,1,0)</f>
      </c>
      <c r="Y5301" s="0" t="s">
        <v>5560</v>
      </c>
      <c r="AV5301" s="68"/>
      <c r="AW5301" s="68"/>
      <c r="AY5301" s="27"/>
      <c r="BD5301" s="68">
        <v>0</v>
      </c>
      <c r="BE5301" s="68">
        <v>0</v>
      </c>
      <c r="BF5301" s="0" t="b">
        <v>0</v>
      </c>
      <c r="BG5301" s="0" t="b">
        <v>0</v>
      </c>
      <c r="BH5301" s="0">
        <v>0</v>
      </c>
      <c r="BI5301" s="0">
        <v>0</v>
      </c>
      <c r="BJ5301" s="0" t="s">
        <v>5560</v>
      </c>
    </row>
    <row r="5302">
      <c r="A5302" s="0" t="s">
        <v>5570</v>
      </c>
      <c r="B5302" s="0" t="s">
        <v>190</v>
      </c>
      <c r="C5302" s="0" t="s">
        <v>190</v>
      </c>
      <c r="D5302" s="0" t="s">
        <v>135</v>
      </c>
      <c r="E5302" s="0" t="s">
        <v>2</v>
      </c>
      <c r="F5302" s="0" t="s">
        <v>12</v>
      </c>
      <c r="G5302" s="0" t="s">
        <v>5560</v>
      </c>
      <c r="H5302" s="0">
        <v>0</v>
      </c>
      <c r="I5302" s="0">
        <v>0</v>
      </c>
      <c r="J5302" s="0">
        <v>-975</v>
      </c>
      <c r="K5302" s="0">
        <v>0</v>
      </c>
      <c r="L5302" s="0">
        <v>0</v>
      </c>
      <c r="M5302" s="0">
        <v>0</v>
      </c>
      <c r="N5302" s="0">
        <v>0</v>
      </c>
      <c r="O5302" s="0">
        <v>0</v>
      </c>
      <c r="P5302" s="0">
        <v>0</v>
      </c>
      <c r="R5302" s="0" t="b">
        <v>0</v>
      </c>
      <c r="S5302" s="0" t="b">
        <v>0</v>
      </c>
      <c r="T5302" s="68">
        <v>0</v>
      </c>
      <c r="U5302" s="68">
        <v>0</v>
      </c>
      <c r="V5302" s="68">
        <v>0</v>
      </c>
      <c r="W5302" s="0">
        <f>IF(IF(B5302="none",1,IF(B5302="Trialer",1,0))+IF(C5302="Customer",1,IF(C5302="Lost",1,0))=2,1,0)</f>
      </c>
      <c r="Y5302" s="0" t="s">
        <v>5560</v>
      </c>
      <c r="AV5302" s="68"/>
      <c r="AW5302" s="68"/>
      <c r="AY5302" s="27"/>
      <c r="BD5302" s="68">
        <v>0</v>
      </c>
      <c r="BE5302" s="68">
        <v>0</v>
      </c>
      <c r="BF5302" s="0" t="b">
        <v>0</v>
      </c>
      <c r="BG5302" s="0" t="b">
        <v>0</v>
      </c>
      <c r="BH5302" s="0">
        <v>0</v>
      </c>
      <c r="BI5302" s="0">
        <v>0</v>
      </c>
      <c r="BJ5302" s="0" t="s">
        <v>5560</v>
      </c>
    </row>
    <row r="5303">
      <c r="A5303" s="0" t="s">
        <v>5570</v>
      </c>
      <c r="B5303" s="0" t="s">
        <v>190</v>
      </c>
      <c r="C5303" s="0" t="s">
        <v>190</v>
      </c>
      <c r="D5303" s="0" t="s">
        <v>135</v>
      </c>
      <c r="E5303" s="0" t="s">
        <v>2</v>
      </c>
      <c r="F5303" s="0" t="s">
        <v>12</v>
      </c>
      <c r="G5303" s="0" t="s">
        <v>5560</v>
      </c>
      <c r="H5303" s="0">
        <v>0</v>
      </c>
      <c r="I5303" s="0">
        <v>0</v>
      </c>
      <c r="J5303" s="0">
        <v>-325</v>
      </c>
      <c r="K5303" s="0">
        <v>0</v>
      </c>
      <c r="L5303" s="0">
        <v>0</v>
      </c>
      <c r="M5303" s="0">
        <v>0</v>
      </c>
      <c r="N5303" s="0">
        <v>0</v>
      </c>
      <c r="O5303" s="0">
        <v>0</v>
      </c>
      <c r="P5303" s="0">
        <v>0</v>
      </c>
      <c r="R5303" s="0" t="b">
        <v>0</v>
      </c>
      <c r="S5303" s="0" t="b">
        <v>0</v>
      </c>
      <c r="T5303" s="68">
        <v>0</v>
      </c>
      <c r="U5303" s="68">
        <v>0</v>
      </c>
      <c r="V5303" s="68">
        <v>0</v>
      </c>
      <c r="W5303" s="0">
        <f>IF(IF(B5303="none",1,IF(B5303="Trialer",1,0))+IF(C5303="Customer",1,IF(C5303="Lost",1,0))=2,1,0)</f>
      </c>
      <c r="Y5303" s="0" t="s">
        <v>5560</v>
      </c>
      <c r="AV5303" s="68"/>
      <c r="AW5303" s="68"/>
      <c r="AY5303" s="27"/>
      <c r="BD5303" s="68">
        <v>0</v>
      </c>
      <c r="BE5303" s="68">
        <v>0</v>
      </c>
      <c r="BF5303" s="0" t="b">
        <v>0</v>
      </c>
      <c r="BG5303" s="0" t="b">
        <v>0</v>
      </c>
      <c r="BH5303" s="0">
        <v>0</v>
      </c>
      <c r="BI5303" s="0">
        <v>0</v>
      </c>
      <c r="BJ5303" s="0" t="s">
        <v>5560</v>
      </c>
    </row>
    <row r="5304">
      <c r="A5304" s="0" t="s">
        <v>5571</v>
      </c>
      <c r="B5304" s="0" t="s">
        <v>190</v>
      </c>
      <c r="C5304" s="0" t="s">
        <v>190</v>
      </c>
      <c r="D5304" s="0" t="s">
        <v>135</v>
      </c>
      <c r="E5304" s="0" t="s">
        <v>2</v>
      </c>
      <c r="F5304" s="0" t="s">
        <v>12</v>
      </c>
      <c r="G5304" s="0" t="s">
        <v>5560</v>
      </c>
      <c r="H5304" s="0">
        <v>0</v>
      </c>
      <c r="I5304" s="0">
        <v>0</v>
      </c>
      <c r="J5304" s="0">
        <v>-292</v>
      </c>
      <c r="K5304" s="0">
        <v>0</v>
      </c>
      <c r="L5304" s="0">
        <v>0</v>
      </c>
      <c r="M5304" s="0">
        <v>0</v>
      </c>
      <c r="N5304" s="0">
        <v>0</v>
      </c>
      <c r="O5304" s="0">
        <v>0</v>
      </c>
      <c r="P5304" s="0">
        <v>0</v>
      </c>
      <c r="R5304" s="0" t="b">
        <v>0</v>
      </c>
      <c r="S5304" s="0" t="b">
        <v>0</v>
      </c>
      <c r="T5304" s="68">
        <v>0</v>
      </c>
      <c r="U5304" s="68">
        <v>0</v>
      </c>
      <c r="V5304" s="68">
        <v>0</v>
      </c>
      <c r="W5304" s="0">
        <f>IF(IF(B5304="none",1,IF(B5304="Trialer",1,0))+IF(C5304="Customer",1,IF(C5304="Lost",1,0))=2,1,0)</f>
      </c>
      <c r="Y5304" s="0" t="s">
        <v>5560</v>
      </c>
      <c r="AV5304" s="68"/>
      <c r="AW5304" s="68"/>
      <c r="AY5304" s="27"/>
      <c r="BD5304" s="68">
        <v>0</v>
      </c>
      <c r="BE5304" s="68">
        <v>0</v>
      </c>
      <c r="BF5304" s="0" t="b">
        <v>0</v>
      </c>
      <c r="BG5304" s="0" t="b">
        <v>0</v>
      </c>
      <c r="BH5304" s="0">
        <v>0</v>
      </c>
      <c r="BI5304" s="0">
        <v>0</v>
      </c>
      <c r="BJ5304" s="0" t="s">
        <v>5560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Views>
    <sheetView topLeftCell="T1" workbookViewId="0">
      <pane ySplit="1" topLeftCell="A54" activePane="bottomLeft" state="frozen"/>
      <selection pane="bottomLeft" activeCell="K21" sqref="K21"/>
    </sheetView>
  </sheetViews>
  <sheetFormatPr baseColWidth="10" defaultColWidth="8.83203125" defaultRowHeight="15" x14ac:dyDescent="0.2"/>
  <sheetData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Views>
    <sheetView workbookViewId="0">
      <pane ySplit="1" topLeftCell="A2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8.83203125" customWidth="1"/>
    <col min="2" max="2" width="16.5" customWidth="1"/>
    <col min="3" max="3" width="17" customWidth="1" style="26"/>
    <col min="4" max="4" width="8.83203125" customWidth="1"/>
  </cols>
  <sheetData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Views>
    <sheetView workbookViewId="0">
      <pane ySplit="1" topLeftCell="A2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8.83203125" customWidth="1"/>
  </cols>
  <sheetData/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T2626"/>
  <sheetViews>
    <sheetView zoomScale="110" zoomScaleNormal="110" workbookViewId="0">
      <selection activeCell="D10" sqref="D10"/>
    </sheetView>
  </sheetViews>
  <sheetFormatPr baseColWidth="10" defaultColWidth="11.5" defaultRowHeight="15" x14ac:dyDescent="0.2"/>
  <cols>
    <col min="1" max="1" width="22.6640625" customWidth="1"/>
    <col min="2" max="2" width="22.6640625" customWidth="1" style="28"/>
    <col min="3" max="3" width="22.6640625" customWidth="1" style="29"/>
    <col min="4" max="434" width="22.6640625" customWidth="1"/>
  </cols>
  <sheetData>
    <row r="1" ht="102" s="32" customFormat="1">
      <c r="A1" s="32" t="s">
        <v>0</v>
      </c>
      <c r="B1" s="33" t="s">
        <v>5572</v>
      </c>
      <c r="C1" s="34" t="s">
        <v>5573</v>
      </c>
      <c r="D1" s="32" t="s">
        <v>5574</v>
      </c>
      <c r="E1" s="32" t="s">
        <v>5575</v>
      </c>
      <c r="F1" s="32" t="s">
        <v>5576</v>
      </c>
      <c r="G1" s="32" t="s">
        <v>5577</v>
      </c>
      <c r="H1" s="32" t="s">
        <v>5578</v>
      </c>
      <c r="I1" s="32" t="s">
        <v>5579</v>
      </c>
      <c r="J1" s="32" t="s">
        <v>5580</v>
      </c>
      <c r="K1" s="32" t="s">
        <v>5581</v>
      </c>
      <c r="L1" s="32" t="s">
        <v>5582</v>
      </c>
      <c r="M1" s="32" t="s">
        <v>5583</v>
      </c>
      <c r="N1" s="32" t="s">
        <v>5584</v>
      </c>
      <c r="O1" s="32" t="s">
        <v>5585</v>
      </c>
      <c r="P1" s="32" t="s">
        <v>5586</v>
      </c>
      <c r="Q1" s="32" t="s">
        <v>5587</v>
      </c>
      <c r="R1" s="32" t="s">
        <v>5588</v>
      </c>
      <c r="S1" s="32" t="s">
        <v>5589</v>
      </c>
      <c r="T1" s="32" t="s">
        <v>5590</v>
      </c>
      <c r="U1" s="32" t="s">
        <v>5591</v>
      </c>
      <c r="V1" s="32" t="s">
        <v>5592</v>
      </c>
      <c r="W1" s="32" t="s">
        <v>5593</v>
      </c>
      <c r="X1" s="32" t="s">
        <v>5594</v>
      </c>
      <c r="Y1" s="32" t="s">
        <v>5595</v>
      </c>
      <c r="Z1" s="32" t="s">
        <v>5596</v>
      </c>
      <c r="AA1" s="32" t="s">
        <v>5597</v>
      </c>
      <c r="AB1" s="32" t="s">
        <v>5598</v>
      </c>
      <c r="AC1" s="32" t="s">
        <v>5599</v>
      </c>
      <c r="AD1" s="32" t="s">
        <v>5600</v>
      </c>
      <c r="AE1" s="32" t="s">
        <v>5601</v>
      </c>
      <c r="AF1" s="32" t="s">
        <v>5602</v>
      </c>
      <c r="AG1" s="32" t="s">
        <v>5603</v>
      </c>
      <c r="AH1" s="32" t="s">
        <v>5604</v>
      </c>
      <c r="AI1" s="32" t="s">
        <v>5605</v>
      </c>
      <c r="AJ1" s="32" t="s">
        <v>5606</v>
      </c>
      <c r="AK1" s="32" t="s">
        <v>5607</v>
      </c>
      <c r="AL1" s="32" t="s">
        <v>5608</v>
      </c>
      <c r="AM1" s="32" t="s">
        <v>5609</v>
      </c>
      <c r="AN1" s="32" t="s">
        <v>5610</v>
      </c>
      <c r="AO1" s="32" t="s">
        <v>5611</v>
      </c>
      <c r="AP1" s="32" t="s">
        <v>5612</v>
      </c>
      <c r="AQ1" s="32" t="s">
        <v>5613</v>
      </c>
      <c r="AR1" s="32" t="s">
        <v>5614</v>
      </c>
      <c r="AS1" s="32" t="s">
        <v>5615</v>
      </c>
      <c r="AT1" s="32" t="s">
        <v>5616</v>
      </c>
      <c r="AU1" s="32" t="s">
        <v>5617</v>
      </c>
      <c r="AV1" s="32" t="s">
        <v>5618</v>
      </c>
      <c r="AW1" s="32" t="s">
        <v>5619</v>
      </c>
      <c r="AX1" s="32" t="s">
        <v>5620</v>
      </c>
      <c r="AY1" s="32" t="s">
        <v>5621</v>
      </c>
      <c r="AZ1" s="32" t="s">
        <v>5622</v>
      </c>
      <c r="BA1" s="32" t="s">
        <v>5623</v>
      </c>
      <c r="BB1" s="32" t="s">
        <v>5624</v>
      </c>
      <c r="BC1" s="32" t="s">
        <v>5625</v>
      </c>
      <c r="BD1" s="32" t="s">
        <v>5626</v>
      </c>
      <c r="BE1" s="32" t="s">
        <v>5627</v>
      </c>
      <c r="BF1" s="32" t="s">
        <v>5628</v>
      </c>
      <c r="BG1" s="32" t="s">
        <v>5629</v>
      </c>
      <c r="BH1" s="32" t="s">
        <v>5630</v>
      </c>
      <c r="BI1" s="32" t="s">
        <v>5631</v>
      </c>
      <c r="BJ1" s="32" t="s">
        <v>5632</v>
      </c>
      <c r="BK1" s="32" t="s">
        <v>5633</v>
      </c>
      <c r="BL1" s="32" t="s">
        <v>5634</v>
      </c>
      <c r="BM1" s="32" t="s">
        <v>5635</v>
      </c>
      <c r="BN1" s="32" t="s">
        <v>5636</v>
      </c>
      <c r="BO1" s="32" t="s">
        <v>5637</v>
      </c>
      <c r="BP1" s="32" t="s">
        <v>5638</v>
      </c>
      <c r="BQ1" s="32" t="s">
        <v>5639</v>
      </c>
      <c r="BR1" s="32" t="s">
        <v>5640</v>
      </c>
      <c r="BS1" s="32" t="s">
        <v>5641</v>
      </c>
      <c r="BT1" s="32" t="s">
        <v>5642</v>
      </c>
      <c r="BU1" s="32" t="s">
        <v>5643</v>
      </c>
      <c r="BV1" s="32" t="s">
        <v>5644</v>
      </c>
      <c r="BW1" s="32" t="s">
        <v>5645</v>
      </c>
      <c r="BX1" s="32" t="s">
        <v>5646</v>
      </c>
      <c r="BY1" s="32" t="s">
        <v>5647</v>
      </c>
      <c r="BZ1" s="32" t="s">
        <v>5648</v>
      </c>
      <c r="CA1" s="32" t="s">
        <v>5649</v>
      </c>
      <c r="CB1" s="32" t="s">
        <v>5650</v>
      </c>
      <c r="CC1" s="32" t="s">
        <v>5651</v>
      </c>
      <c r="CD1" s="32" t="s">
        <v>5652</v>
      </c>
      <c r="CE1" s="32" t="s">
        <v>5653</v>
      </c>
      <c r="CF1" s="32" t="s">
        <v>5654</v>
      </c>
      <c r="CG1" s="32" t="s">
        <v>5655</v>
      </c>
      <c r="CH1" s="32" t="s">
        <v>5656</v>
      </c>
      <c r="CI1" s="32" t="s">
        <v>5657</v>
      </c>
      <c r="CJ1" s="32" t="s">
        <v>5658</v>
      </c>
      <c r="CK1" s="32" t="s">
        <v>5659</v>
      </c>
      <c r="CL1" s="32" t="s">
        <v>5660</v>
      </c>
      <c r="CM1" s="32" t="s">
        <v>5661</v>
      </c>
      <c r="CN1" s="32" t="s">
        <v>5662</v>
      </c>
      <c r="CO1" s="32" t="s">
        <v>5663</v>
      </c>
      <c r="CP1" s="32" t="s">
        <v>5664</v>
      </c>
      <c r="CQ1" s="32" t="s">
        <v>5665</v>
      </c>
      <c r="CR1" s="32" t="s">
        <v>5666</v>
      </c>
      <c r="CS1" s="32" t="s">
        <v>5667</v>
      </c>
      <c r="CT1" s="32" t="s">
        <v>5668</v>
      </c>
      <c r="CU1" s="32" t="s">
        <v>5669</v>
      </c>
      <c r="CV1" s="32" t="s">
        <v>5670</v>
      </c>
      <c r="CW1" s="32" t="s">
        <v>5671</v>
      </c>
      <c r="CX1" s="32" t="s">
        <v>5672</v>
      </c>
      <c r="CY1" s="32" t="s">
        <v>5673</v>
      </c>
      <c r="CZ1" s="32" t="s">
        <v>5674</v>
      </c>
      <c r="DA1" s="32" t="s">
        <v>5675</v>
      </c>
      <c r="DB1" s="32" t="s">
        <v>5676</v>
      </c>
      <c r="DC1" s="32" t="s">
        <v>5677</v>
      </c>
      <c r="DD1" s="32" t="s">
        <v>5678</v>
      </c>
      <c r="DE1" s="32" t="s">
        <v>5679</v>
      </c>
      <c r="DF1" s="32" t="s">
        <v>5680</v>
      </c>
      <c r="DG1" s="32" t="s">
        <v>5681</v>
      </c>
      <c r="DH1" s="32" t="s">
        <v>5682</v>
      </c>
      <c r="DI1" s="32" t="s">
        <v>5683</v>
      </c>
      <c r="DJ1" s="32" t="s">
        <v>5684</v>
      </c>
      <c r="DK1" s="32" t="s">
        <v>5685</v>
      </c>
      <c r="DL1" s="32" t="s">
        <v>5686</v>
      </c>
      <c r="DM1" s="32" t="s">
        <v>5687</v>
      </c>
      <c r="DN1" s="32" t="s">
        <v>5688</v>
      </c>
      <c r="DO1" s="32" t="s">
        <v>5689</v>
      </c>
      <c r="DP1" s="32" t="s">
        <v>5690</v>
      </c>
      <c r="DQ1" s="32" t="s">
        <v>5691</v>
      </c>
      <c r="DR1" s="32" t="s">
        <v>5692</v>
      </c>
      <c r="DS1" s="32" t="s">
        <v>5693</v>
      </c>
      <c r="DT1" s="32" t="s">
        <v>5694</v>
      </c>
      <c r="DU1" s="32" t="s">
        <v>5695</v>
      </c>
      <c r="DV1" s="32" t="s">
        <v>5696</v>
      </c>
      <c r="DW1" s="32" t="s">
        <v>5697</v>
      </c>
      <c r="DX1" s="32" t="s">
        <v>5698</v>
      </c>
      <c r="DY1" s="32" t="s">
        <v>5699</v>
      </c>
      <c r="DZ1" s="32" t="s">
        <v>5700</v>
      </c>
      <c r="EA1" s="32" t="s">
        <v>5701</v>
      </c>
      <c r="EB1" s="32" t="s">
        <v>5702</v>
      </c>
      <c r="EC1" s="32" t="s">
        <v>5703</v>
      </c>
      <c r="ED1" s="32" t="s">
        <v>5704</v>
      </c>
      <c r="EE1" s="32" t="s">
        <v>5705</v>
      </c>
      <c r="EF1" s="32" t="s">
        <v>5706</v>
      </c>
      <c r="EG1" s="32" t="s">
        <v>5707</v>
      </c>
      <c r="EH1" s="32" t="s">
        <v>5708</v>
      </c>
      <c r="EI1" s="32" t="s">
        <v>5709</v>
      </c>
      <c r="EJ1" s="32" t="s">
        <v>5710</v>
      </c>
      <c r="EK1" s="32" t="s">
        <v>5711</v>
      </c>
      <c r="EL1" s="32" t="s">
        <v>5712</v>
      </c>
      <c r="EM1" s="32" t="s">
        <v>5713</v>
      </c>
      <c r="EN1" s="32" t="s">
        <v>5714</v>
      </c>
      <c r="EO1" s="32" t="s">
        <v>5715</v>
      </c>
      <c r="EP1" s="32" t="s">
        <v>5716</v>
      </c>
      <c r="EQ1" s="32" t="s">
        <v>5717</v>
      </c>
      <c r="ER1" s="32" t="s">
        <v>5718</v>
      </c>
      <c r="ES1" s="32" t="s">
        <v>5719</v>
      </c>
      <c r="ET1" s="32" t="s">
        <v>5720</v>
      </c>
      <c r="EU1" s="32" t="s">
        <v>5721</v>
      </c>
      <c r="EV1" s="32" t="s">
        <v>5722</v>
      </c>
      <c r="EW1" s="32" t="s">
        <v>5723</v>
      </c>
      <c r="EX1" s="32" t="s">
        <v>5724</v>
      </c>
      <c r="EY1" s="32" t="s">
        <v>5725</v>
      </c>
      <c r="EZ1" s="32" t="s">
        <v>5726</v>
      </c>
      <c r="FA1" s="32" t="s">
        <v>5727</v>
      </c>
      <c r="FB1" s="32" t="s">
        <v>5728</v>
      </c>
      <c r="FC1" s="32" t="s">
        <v>5729</v>
      </c>
      <c r="FD1" s="32" t="s">
        <v>5730</v>
      </c>
      <c r="FE1" s="32" t="s">
        <v>5731</v>
      </c>
      <c r="FF1" s="32" t="s">
        <v>5732</v>
      </c>
      <c r="FG1" s="32" t="s">
        <v>5733</v>
      </c>
      <c r="FH1" s="32" t="s">
        <v>5734</v>
      </c>
      <c r="FI1" s="32" t="s">
        <v>5735</v>
      </c>
      <c r="FJ1" s="32" t="s">
        <v>5736</v>
      </c>
      <c r="FK1" s="32" t="s">
        <v>5737</v>
      </c>
      <c r="FL1" s="32" t="s">
        <v>5738</v>
      </c>
      <c r="FM1" s="32" t="s">
        <v>5739</v>
      </c>
      <c r="FN1" s="32" t="s">
        <v>5740</v>
      </c>
      <c r="FO1" s="32" t="s">
        <v>5741</v>
      </c>
      <c r="FP1" s="32" t="s">
        <v>5742</v>
      </c>
      <c r="FQ1" s="32" t="s">
        <v>5743</v>
      </c>
      <c r="FR1" s="32" t="s">
        <v>5744</v>
      </c>
      <c r="FS1" s="32" t="s">
        <v>5745</v>
      </c>
      <c r="FT1" s="32" t="s">
        <v>5746</v>
      </c>
      <c r="FU1" s="32" t="s">
        <v>5747</v>
      </c>
      <c r="FV1" s="32" t="s">
        <v>5748</v>
      </c>
      <c r="FW1" s="32" t="s">
        <v>5749</v>
      </c>
      <c r="FX1" s="32" t="s">
        <v>5750</v>
      </c>
      <c r="FY1" s="32" t="s">
        <v>5751</v>
      </c>
      <c r="FZ1" s="32" t="s">
        <v>5752</v>
      </c>
      <c r="GA1" s="32" t="s">
        <v>5753</v>
      </c>
      <c r="GB1" s="32" t="s">
        <v>5754</v>
      </c>
      <c r="GC1" s="32" t="s">
        <v>5755</v>
      </c>
      <c r="GD1" s="32" t="s">
        <v>5756</v>
      </c>
      <c r="GE1" s="32" t="s">
        <v>5757</v>
      </c>
      <c r="GF1" s="32" t="s">
        <v>5758</v>
      </c>
      <c r="GG1" s="32" t="s">
        <v>5759</v>
      </c>
      <c r="GH1" s="32" t="s">
        <v>5760</v>
      </c>
      <c r="GI1" s="32" t="s">
        <v>5761</v>
      </c>
      <c r="GJ1" s="32" t="s">
        <v>5762</v>
      </c>
      <c r="GK1" s="32" t="s">
        <v>5763</v>
      </c>
      <c r="GL1" s="32" t="s">
        <v>5764</v>
      </c>
      <c r="GM1" s="32" t="s">
        <v>5765</v>
      </c>
      <c r="GN1" s="32" t="s">
        <v>5766</v>
      </c>
      <c r="GO1" s="32" t="s">
        <v>5767</v>
      </c>
      <c r="GP1" s="32" t="s">
        <v>5768</v>
      </c>
      <c r="GQ1" s="32" t="s">
        <v>5769</v>
      </c>
      <c r="GR1" s="32" t="s">
        <v>5770</v>
      </c>
      <c r="GS1" s="32" t="s">
        <v>5771</v>
      </c>
      <c r="GT1" s="32" t="s">
        <v>5772</v>
      </c>
      <c r="GU1" s="32" t="s">
        <v>5773</v>
      </c>
      <c r="GV1" s="32" t="s">
        <v>5774</v>
      </c>
      <c r="GW1" s="32" t="s">
        <v>5775</v>
      </c>
      <c r="GX1" s="32" t="s">
        <v>5776</v>
      </c>
      <c r="GY1" s="32" t="s">
        <v>5777</v>
      </c>
      <c r="GZ1" s="32" t="s">
        <v>5778</v>
      </c>
      <c r="HA1" s="32" t="s">
        <v>5779</v>
      </c>
      <c r="HB1" s="32" t="s">
        <v>5780</v>
      </c>
      <c r="HC1" s="32" t="s">
        <v>5781</v>
      </c>
      <c r="HD1" s="32" t="s">
        <v>5782</v>
      </c>
      <c r="HE1" s="32" t="s">
        <v>5783</v>
      </c>
      <c r="HF1" s="32" t="s">
        <v>5784</v>
      </c>
      <c r="HG1" s="32" t="s">
        <v>5785</v>
      </c>
      <c r="HH1" s="32" t="s">
        <v>5786</v>
      </c>
      <c r="HI1" s="32" t="s">
        <v>5787</v>
      </c>
      <c r="HJ1" s="32" t="s">
        <v>5788</v>
      </c>
      <c r="HK1" s="32" t="s">
        <v>5789</v>
      </c>
      <c r="HL1" s="32" t="s">
        <v>5790</v>
      </c>
      <c r="HM1" s="32" t="s">
        <v>5791</v>
      </c>
      <c r="HN1" s="32" t="s">
        <v>5792</v>
      </c>
      <c r="HO1" s="32" t="s">
        <v>5793</v>
      </c>
      <c r="HP1" s="32" t="s">
        <v>5794</v>
      </c>
      <c r="HQ1" s="32" t="s">
        <v>5795</v>
      </c>
      <c r="HR1" s="32" t="s">
        <v>5796</v>
      </c>
      <c r="HS1" s="32" t="s">
        <v>5797</v>
      </c>
      <c r="HT1" s="32" t="s">
        <v>5798</v>
      </c>
      <c r="HU1" s="32" t="s">
        <v>5799</v>
      </c>
      <c r="HV1" s="32" t="s">
        <v>5800</v>
      </c>
      <c r="HW1" s="32" t="s">
        <v>5801</v>
      </c>
      <c r="HX1" s="32" t="s">
        <v>5802</v>
      </c>
      <c r="HY1" s="32" t="s">
        <v>5803</v>
      </c>
      <c r="HZ1" s="32" t="s">
        <v>5804</v>
      </c>
      <c r="IA1" s="32" t="s">
        <v>5805</v>
      </c>
      <c r="IB1" s="32" t="s">
        <v>5806</v>
      </c>
      <c r="IC1" s="32" t="s">
        <v>5807</v>
      </c>
      <c r="ID1" s="32" t="s">
        <v>5808</v>
      </c>
      <c r="IE1" s="32" t="s">
        <v>5809</v>
      </c>
      <c r="IF1" s="32" t="s">
        <v>5810</v>
      </c>
      <c r="IG1" s="32" t="s">
        <v>5811</v>
      </c>
      <c r="IH1" s="32" t="s">
        <v>5812</v>
      </c>
      <c r="II1" s="32" t="s">
        <v>5813</v>
      </c>
      <c r="IJ1" s="32" t="s">
        <v>5814</v>
      </c>
      <c r="IK1" s="32" t="s">
        <v>5815</v>
      </c>
      <c r="IL1" s="32" t="s">
        <v>5816</v>
      </c>
      <c r="IM1" s="32" t="s">
        <v>5817</v>
      </c>
      <c r="IN1" s="32" t="s">
        <v>5818</v>
      </c>
      <c r="IO1" s="32" t="s">
        <v>5819</v>
      </c>
      <c r="IP1" s="32" t="s">
        <v>5820</v>
      </c>
      <c r="IQ1" s="32" t="s">
        <v>5821</v>
      </c>
      <c r="IR1" s="32" t="s">
        <v>5822</v>
      </c>
      <c r="IS1" s="32" t="s">
        <v>5823</v>
      </c>
      <c r="IT1" s="32" t="s">
        <v>5824</v>
      </c>
      <c r="IU1" s="32" t="s">
        <v>5825</v>
      </c>
      <c r="IV1" s="32" t="s">
        <v>5826</v>
      </c>
      <c r="IW1" s="32" t="s">
        <v>5827</v>
      </c>
      <c r="IX1" s="32" t="s">
        <v>5828</v>
      </c>
      <c r="IY1" s="32" t="s">
        <v>5829</v>
      </c>
      <c r="IZ1" s="32" t="s">
        <v>5830</v>
      </c>
      <c r="JA1" s="32" t="s">
        <v>5831</v>
      </c>
      <c r="JB1" s="32" t="s">
        <v>5832</v>
      </c>
      <c r="JC1" s="32" t="s">
        <v>5833</v>
      </c>
      <c r="JD1" s="32" t="s">
        <v>5834</v>
      </c>
      <c r="JE1" s="32" t="s">
        <v>5835</v>
      </c>
      <c r="JF1" s="32" t="s">
        <v>5836</v>
      </c>
      <c r="JG1" s="32" t="s">
        <v>5837</v>
      </c>
      <c r="JH1" s="32" t="s">
        <v>5838</v>
      </c>
      <c r="JI1" s="32" t="s">
        <v>5839</v>
      </c>
      <c r="JJ1" s="32" t="s">
        <v>5840</v>
      </c>
      <c r="JK1" s="32" t="s">
        <v>5841</v>
      </c>
      <c r="JL1" s="32" t="s">
        <v>5842</v>
      </c>
      <c r="JM1" s="32" t="s">
        <v>5843</v>
      </c>
      <c r="JN1" s="32" t="s">
        <v>5844</v>
      </c>
      <c r="JO1" s="32" t="s">
        <v>5845</v>
      </c>
      <c r="JP1" s="32" t="s">
        <v>5846</v>
      </c>
      <c r="JQ1" s="32" t="s">
        <v>5847</v>
      </c>
      <c r="JR1" s="32" t="s">
        <v>5848</v>
      </c>
      <c r="JS1" s="32" t="s">
        <v>5849</v>
      </c>
      <c r="JT1" s="32" t="s">
        <v>5850</v>
      </c>
      <c r="JU1" s="32" t="s">
        <v>5851</v>
      </c>
      <c r="JV1" s="32" t="s">
        <v>5852</v>
      </c>
      <c r="JW1" s="32" t="s">
        <v>5853</v>
      </c>
      <c r="JX1" s="32" t="s">
        <v>5854</v>
      </c>
      <c r="JY1" s="32" t="s">
        <v>5855</v>
      </c>
      <c r="JZ1" s="32" t="s">
        <v>5856</v>
      </c>
      <c r="KA1" s="32" t="s">
        <v>5857</v>
      </c>
      <c r="KB1" s="32" t="s">
        <v>5858</v>
      </c>
      <c r="KC1" s="32" t="s">
        <v>5859</v>
      </c>
      <c r="KD1" s="32" t="s">
        <v>5860</v>
      </c>
      <c r="KE1" s="32" t="s">
        <v>5861</v>
      </c>
      <c r="KF1" s="32" t="s">
        <v>5862</v>
      </c>
      <c r="KG1" s="32" t="s">
        <v>5863</v>
      </c>
      <c r="KH1" s="32" t="s">
        <v>5864</v>
      </c>
      <c r="KI1" s="32" t="s">
        <v>5865</v>
      </c>
      <c r="KJ1" s="32" t="s">
        <v>5866</v>
      </c>
      <c r="KK1" s="32" t="s">
        <v>5867</v>
      </c>
      <c r="KL1" s="32" t="s">
        <v>5868</v>
      </c>
      <c r="KM1" s="32" t="s">
        <v>5869</v>
      </c>
      <c r="KN1" s="32" t="s">
        <v>5870</v>
      </c>
      <c r="KO1" s="32" t="s">
        <v>5871</v>
      </c>
      <c r="KP1" s="32" t="s">
        <v>5872</v>
      </c>
      <c r="KQ1" s="32" t="s">
        <v>5873</v>
      </c>
      <c r="KR1" s="32" t="s">
        <v>5874</v>
      </c>
      <c r="KS1" s="32" t="s">
        <v>5875</v>
      </c>
      <c r="KT1" s="32" t="s">
        <v>5876</v>
      </c>
      <c r="KU1" s="32" t="s">
        <v>5877</v>
      </c>
      <c r="KV1" s="32" t="s">
        <v>5878</v>
      </c>
      <c r="KW1" s="32" t="s">
        <v>5879</v>
      </c>
      <c r="KX1" s="32" t="s">
        <v>5880</v>
      </c>
      <c r="KY1" s="32" t="s">
        <v>5881</v>
      </c>
      <c r="KZ1" s="32" t="s">
        <v>5882</v>
      </c>
      <c r="LA1" s="32" t="s">
        <v>5883</v>
      </c>
      <c r="LB1" s="32" t="s">
        <v>5884</v>
      </c>
      <c r="LC1" s="32" t="s">
        <v>5885</v>
      </c>
      <c r="LD1" s="32" t="s">
        <v>5886</v>
      </c>
      <c r="LE1" s="32" t="s">
        <v>5887</v>
      </c>
      <c r="LF1" s="32" t="s">
        <v>5888</v>
      </c>
      <c r="LG1" s="32" t="s">
        <v>5889</v>
      </c>
      <c r="LH1" s="32" t="s">
        <v>5890</v>
      </c>
      <c r="LI1" s="32" t="s">
        <v>5891</v>
      </c>
      <c r="LJ1" s="32" t="s">
        <v>5892</v>
      </c>
      <c r="LK1" s="32" t="s">
        <v>5893</v>
      </c>
      <c r="LL1" s="32" t="s">
        <v>5894</v>
      </c>
      <c r="LM1" s="32" t="s">
        <v>5895</v>
      </c>
      <c r="LN1" s="32" t="s">
        <v>5896</v>
      </c>
      <c r="LO1" s="32" t="s">
        <v>5897</v>
      </c>
      <c r="LP1" s="32" t="s">
        <v>5898</v>
      </c>
      <c r="LQ1" s="32" t="s">
        <v>5899</v>
      </c>
      <c r="LR1" s="32" t="s">
        <v>5900</v>
      </c>
      <c r="LS1" s="32" t="s">
        <v>5901</v>
      </c>
      <c r="LT1" s="32" t="s">
        <v>5902</v>
      </c>
      <c r="LU1" s="32" t="s">
        <v>5903</v>
      </c>
      <c r="LV1" s="32" t="s">
        <v>5904</v>
      </c>
      <c r="LW1" s="32" t="s">
        <v>5905</v>
      </c>
      <c r="LX1" s="32" t="s">
        <v>5906</v>
      </c>
      <c r="LY1" s="32" t="s">
        <v>5907</v>
      </c>
      <c r="LZ1" s="32" t="s">
        <v>5908</v>
      </c>
      <c r="MA1" s="32" t="s">
        <v>5909</v>
      </c>
      <c r="MB1" s="32" t="s">
        <v>5910</v>
      </c>
      <c r="MC1" s="32" t="s">
        <v>5911</v>
      </c>
      <c r="MD1" s="32" t="s">
        <v>5912</v>
      </c>
      <c r="ME1" s="32" t="s">
        <v>5913</v>
      </c>
      <c r="MF1" s="32" t="s">
        <v>5914</v>
      </c>
      <c r="MG1" s="32" t="s">
        <v>5915</v>
      </c>
      <c r="MH1" s="32" t="s">
        <v>5916</v>
      </c>
      <c r="MI1" s="32" t="s">
        <v>5917</v>
      </c>
      <c r="MJ1" s="32" t="s">
        <v>5918</v>
      </c>
      <c r="MK1" s="32" t="s">
        <v>5919</v>
      </c>
      <c r="ML1" s="32" t="s">
        <v>5920</v>
      </c>
      <c r="MM1" s="32" t="s">
        <v>5921</v>
      </c>
      <c r="MN1" s="32" t="s">
        <v>5922</v>
      </c>
      <c r="MO1" s="32" t="s">
        <v>5923</v>
      </c>
      <c r="MP1" s="32" t="s">
        <v>5924</v>
      </c>
      <c r="MQ1" s="32" t="s">
        <v>5925</v>
      </c>
      <c r="MR1" s="32" t="s">
        <v>5926</v>
      </c>
      <c r="MS1" s="32" t="s">
        <v>5927</v>
      </c>
      <c r="MT1" s="32" t="s">
        <v>5928</v>
      </c>
      <c r="MU1" s="32" t="s">
        <v>5929</v>
      </c>
      <c r="MV1" s="32" t="s">
        <v>5930</v>
      </c>
      <c r="MW1" s="32" t="s">
        <v>5931</v>
      </c>
      <c r="MX1" s="32" t="s">
        <v>5932</v>
      </c>
      <c r="MY1" s="32" t="s">
        <v>5933</v>
      </c>
      <c r="MZ1" s="32" t="s">
        <v>5934</v>
      </c>
      <c r="NA1" s="32" t="s">
        <v>5935</v>
      </c>
      <c r="NB1" s="32" t="s">
        <v>5936</v>
      </c>
      <c r="NC1" s="32" t="s">
        <v>5937</v>
      </c>
      <c r="ND1" s="32" t="s">
        <v>5938</v>
      </c>
      <c r="NE1" s="32" t="s">
        <v>5939</v>
      </c>
      <c r="NF1" s="32" t="s">
        <v>5940</v>
      </c>
      <c r="NG1" s="32" t="s">
        <v>5941</v>
      </c>
      <c r="NH1" s="32" t="s">
        <v>5942</v>
      </c>
      <c r="NI1" s="32" t="s">
        <v>5943</v>
      </c>
      <c r="NJ1" s="32" t="s">
        <v>5944</v>
      </c>
      <c r="NK1" s="32" t="s">
        <v>5945</v>
      </c>
      <c r="NL1" s="32" t="s">
        <v>5946</v>
      </c>
      <c r="NM1" s="32" t="s">
        <v>5947</v>
      </c>
      <c r="NN1" s="32" t="s">
        <v>5948</v>
      </c>
      <c r="NO1" s="32" t="s">
        <v>5949</v>
      </c>
      <c r="NP1" s="32" t="s">
        <v>5950</v>
      </c>
      <c r="NQ1" s="32" t="s">
        <v>5951</v>
      </c>
      <c r="NR1" s="32" t="s">
        <v>5952</v>
      </c>
      <c r="NS1" s="32" t="s">
        <v>5953</v>
      </c>
      <c r="NT1" s="32" t="s">
        <v>5954</v>
      </c>
      <c r="NU1" s="32" t="s">
        <v>5955</v>
      </c>
      <c r="NV1" s="32" t="s">
        <v>5956</v>
      </c>
      <c r="NW1" s="32" t="s">
        <v>5957</v>
      </c>
      <c r="NX1" s="32" t="s">
        <v>5958</v>
      </c>
      <c r="NY1" s="32" t="s">
        <v>5959</v>
      </c>
      <c r="NZ1" s="32" t="s">
        <v>5960</v>
      </c>
      <c r="OA1" s="32" t="s">
        <v>5961</v>
      </c>
      <c r="OB1" s="32" t="s">
        <v>5962</v>
      </c>
      <c r="OC1" s="32" t="s">
        <v>5963</v>
      </c>
      <c r="OD1" s="32" t="s">
        <v>5964</v>
      </c>
      <c r="OE1" s="32" t="s">
        <v>5965</v>
      </c>
      <c r="OF1" s="32" t="s">
        <v>5966</v>
      </c>
      <c r="OG1" s="32" t="s">
        <v>5967</v>
      </c>
      <c r="OH1" s="32" t="s">
        <v>5968</v>
      </c>
      <c r="OI1" s="32" t="s">
        <v>5969</v>
      </c>
      <c r="OJ1" s="32" t="s">
        <v>5970</v>
      </c>
      <c r="OK1" s="32" t="s">
        <v>5971</v>
      </c>
      <c r="OL1" s="32" t="s">
        <v>5972</v>
      </c>
      <c r="OM1" s="32" t="s">
        <v>5973</v>
      </c>
      <c r="ON1" s="32" t="s">
        <v>5974</v>
      </c>
      <c r="OO1" s="32" t="s">
        <v>5975</v>
      </c>
      <c r="OP1" s="32" t="s">
        <v>5976</v>
      </c>
      <c r="OQ1" s="32" t="s">
        <v>5977</v>
      </c>
      <c r="OR1" s="32" t="s">
        <v>5978</v>
      </c>
      <c r="OS1" s="32" t="s">
        <v>5979</v>
      </c>
      <c r="OT1" s="32" t="s">
        <v>5980</v>
      </c>
      <c r="OU1" s="32" t="s">
        <v>5981</v>
      </c>
      <c r="OV1" s="32" t="s">
        <v>5982</v>
      </c>
      <c r="OW1" s="32" t="s">
        <v>5983</v>
      </c>
      <c r="OX1" s="32" t="s">
        <v>5984</v>
      </c>
      <c r="OY1" s="32" t="s">
        <v>5985</v>
      </c>
      <c r="OZ1" s="32" t="s">
        <v>5986</v>
      </c>
      <c r="PA1" s="32" t="s">
        <v>5987</v>
      </c>
      <c r="PB1" s="32" t="s">
        <v>5988</v>
      </c>
      <c r="PC1" s="32" t="s">
        <v>5989</v>
      </c>
      <c r="PD1" s="32" t="s">
        <v>5990</v>
      </c>
      <c r="PE1" s="32" t="s">
        <v>5991</v>
      </c>
      <c r="PF1" s="32" t="s">
        <v>5992</v>
      </c>
      <c r="PG1" s="32" t="s">
        <v>5993</v>
      </c>
      <c r="PH1" s="32" t="s">
        <v>5994</v>
      </c>
      <c r="PI1" s="32" t="s">
        <v>5995</v>
      </c>
      <c r="PJ1" s="32" t="s">
        <v>5996</v>
      </c>
      <c r="PK1" s="32" t="s">
        <v>5997</v>
      </c>
      <c r="PL1" s="32" t="s">
        <v>5998</v>
      </c>
      <c r="PM1" s="32" t="s">
        <v>5999</v>
      </c>
      <c r="PN1" s="32" t="s">
        <v>6000</v>
      </c>
      <c r="PO1" s="32" t="s">
        <v>6001</v>
      </c>
      <c r="PP1" s="32" t="s">
        <v>6002</v>
      </c>
      <c r="PQ1" s="32" t="s">
        <v>6003</v>
      </c>
      <c r="PR1" s="32" t="s">
        <v>6004</v>
      </c>
      <c r="PS1" s="32" t="s">
        <v>6005</v>
      </c>
      <c r="PT1" s="32" t="s">
        <v>6006</v>
      </c>
    </row>
    <row r="2" ht="16" s="35" customFormat="1">
      <c r="A2" s="35" t="s">
        <v>1</v>
      </c>
      <c r="B2" s="36" t="str">
        <f>Accounts!$BD$2</f>
        <v>2020-Apr-01 04:00</v>
      </c>
      <c r="C2" s="37" t="e">
        <f>DAY(EOMONTH(B2,0))</f>
        <v>#VALUE!</v>
      </c>
      <c r="D2" s="37">
        <f>COUNTIFS(Accounts!$B:$B,"none",Accounts!$BF:$BF,"FALSE")</f>
        <v>0</v>
      </c>
      <c r="E2" s="37">
        <f>COUNTIF(Accounts!$B:$B,"Customer")</f>
        <v>1</v>
      </c>
      <c r="F2" s="37">
        <f>COUNTIF(Accounts!$C:$C,"Customer")</f>
        <v>1</v>
      </c>
      <c r="G2" s="37">
        <f>COUNTIFS(Accounts!$B:$B,"Customer",Accounts!$C:$C,"Lost")</f>
        <v>0</v>
      </c>
      <c r="H2" s="37">
        <f>COUNTIFS(Accounts!$B:$B,"none",Accounts!$C:$C,"Customer")</f>
        <v>0</v>
      </c>
      <c r="I2" s="38" t="e">
        <f>H2/D2</f>
        <v>#DIV/0!</v>
      </c>
      <c r="J2" s="63">
        <f>COUNTIFS(Accounts!$T:$T,"&gt;="&amp;DATE($C$10,$C$11,1),Accounts!$T:$T,"&lt;"&amp;DATE($C$7,$C$8,1),Accounts!$B:$B,"Trialer",Accounts!$C:$C,"Customer")</f>
        <v>0</v>
      </c>
      <c r="K2" s="63">
        <f>COUNTIFS(Accounts!$T:$T,"&gt;="&amp;DATE($C$13,$C$14,1),Accounts!$T:$T,"&lt;"&amp;DATE($C$10,$C$11,1),Accounts!$B:$B,"Trialer",Accounts!$C:$C,"Customer")</f>
        <v>0</v>
      </c>
      <c r="L2" s="63">
        <f>COUNTIFS(Accounts!$T:$T,"&gt;="&amp;DATE($C$16,$C$17,1),Accounts!$T:$T,"&lt;"&amp;DATE($C$13,$C$14,1),Accounts!$B:$B,"Trialer",Accounts!$C:$C,"Customer")</f>
        <v>0</v>
      </c>
      <c r="M2" s="37">
        <f>SUM(COUNTIFS(Accounts!$B:$B,{"Trialer","none"},Accounts!$C:$C,"Customer"))</f>
        <v>0</v>
      </c>
      <c r="N2" s="38" t="e">
        <f>$M$2/$D$2</f>
        <v>#DIV/0!</v>
      </c>
      <c r="O2" s="41" t="e">
        <f>P2/(COUNTIFS(Accounts!$W:$W,1))</f>
        <v>#DIV/0!</v>
      </c>
      <c r="P2" s="41">
        <f>SUMIFS(Accounts!$I:$I,Accounts!$W:$W,1)</f>
        <v>0</v>
      </c>
      <c r="Q2" s="41">
        <f>SUM(Accounts!$I:$I)</f>
        <v>0</v>
      </c>
      <c r="R2" s="41">
        <f>SUM(Accounts!$N:$N)</f>
        <v>0</v>
      </c>
      <c r="S2" s="41">
        <f>($Q$2+R2)/($BC$7+$BC10)</f>
        <v>0</v>
      </c>
      <c r="T2" s="41">
        <f>$Q$2/($BC$7+$BC10)</f>
        <v>0</v>
      </c>
      <c r="U2" s="64">
        <f>SUMIFS(Accounts!$AA:$AA,Accounts!$B:$B,"none",Accounts!$C:$C,"Customer") + SUMIFS(Accounts!$AH:$AH,Accounts!$B:$B,"none",Accounts!$C:$C,"Customer") + SUMIFS(Accounts!$AJ:$AJ,Accounts!$B:$B,"none",Accounts!$C:$C,"Customer") + SUMIFS(Accounts!$AI:$AI,Accounts!$B:$B,"none",Accounts!$C:$C,"Customer") + SUMIFS(Accounts!$AO:$AO,Accounts!$B:$B,"none",Accounts!$C:$C,"Customer")</f>
        <v>0</v>
      </c>
      <c r="V2" s="64">
        <f>SUMIFS(Accounts!$AC:$AC,Accounts!$B:$B,"none",Accounts!$C:$C,"Customer")+SUMIFS(Accounts!$AF:$AF,Accounts!$B:$B,"none",Accounts!$C:$C,"Customer")+SUMIFS(Accounts!$AK:$AK,Accounts!$B:$B,"none",Accounts!$C:$C,"Customer")</f>
        <v>0</v>
      </c>
      <c r="W2" s="64">
        <f>SUMIFS(Accounts!$AB:$AB,Accounts!$B:$B,"none",Accounts!$C:$C,"Customer")</f>
        <v>0</v>
      </c>
      <c r="X2" s="64">
        <f>SUMIFS(Accounts!$AD:$AD,Accounts!$B:$B,"none",Accounts!$C:$C,"Customer")+SUMIFS(Accounts!$AM:$AM,Accounts!$B:$B,"none",Accounts!$C:$C,"Customer")+SUMIFS(Accounts!$AN:$AN,Accounts!$B:$B,"none",Accounts!$C:$C,"Customer")</f>
        <v>0</v>
      </c>
      <c r="Y2" s="37">
        <f>SUM(Z2:AB2)</f>
        <v>0</v>
      </c>
      <c r="Z2" s="64">
        <f>SUMIFS(Accounts!$AE:$AE,Accounts!$B:$B,"none",Accounts!$C:$C,"Customer") + SUMIFS(Accounts!$AP:$AP,Accounts!$B:$B,"none",Accounts!$C:$C,"Customer")</f>
        <v>0</v>
      </c>
      <c r="AA2" s="64">
        <f>SUMIFS(Accounts!$Z:$Z,Accounts!$B:$B,"none",Accounts!$C:$C,"Customer")</f>
        <v>0</v>
      </c>
      <c r="AB2" s="64">
        <f>SUMIFS(Accounts!$AG:$AG,Accounts!$B:$B,"none",Accounts!$C:$C,"Customer") + SUMIFS(Accounts!$AL:$AL,Accounts!$B:$B,"none",Accounts!$C:$C,"Customer")</f>
        <v>0</v>
      </c>
      <c r="AC2" s="64">
        <f>SUMIFS(Accounts!$AQ:$AQ,Accounts!$B:$B,"none",Accounts!$C:$C,"Customer")</f>
        <v>0</v>
      </c>
      <c r="AD2" s="64">
        <f>SUMIFS(Accounts!$AA:$AA,Accounts!$T:$T,"&gt;="&amp;DATE($C$10,$C$11,1),Accounts!$T:$T,"&lt;"&amp;DATE($C$7,$C$8,1),Accounts!$B:$B,"Trialer",Accounts!$C:$C,"Customer") + SUMIFS(Accounts!$AH:$AH,Accounts!$T:$T,"&gt;="&amp;DATE($C$10,$C$11,1),Accounts!$T:$T,"&lt;"&amp;DATE($C$7,$C$8,1),Accounts!$B:$B,"Trialer",Accounts!$C:$C,"Customer") + SUMIFS(Accounts!$AJ:$AJ,Accounts!$T:$T,"&gt;="&amp;DATE($C$10,$C$11,1),Accounts!$T:$T,"&lt;"&amp;DATE($C$7,$C$8,1),Accounts!$B:$B,"Trialer",Accounts!$C:$C,"Customer") + SUMIFS(Accounts!$AI:$AI,Accounts!$T:$T,"&gt;="&amp;DATE($C$10,$C$11,1),Accounts!$T:$T,"&lt;"&amp;DATE($C$7,$C$8,1),Accounts!$B:$B,"Trialer",Accounts!$C:$C,"Customer") + SUMIFS(Accounts!$AO:$AO,Accounts!$T:$T,"&gt;="&amp;DATE($C$10,$C$11,1),Accounts!$T:$T,"&lt;"&amp;DATE($C$7,$C$8,1),Accounts!$B:$B,"Trialer",Accounts!$C:$C,"Customer")</f>
        <v>0</v>
      </c>
      <c r="AE2" s="64">
        <f>SUMIFS(Accounts!$AC:$AC,Accounts!$T:$T,"&gt;="&amp;DATE($C$10,$C$11,1),Accounts!$T:$T,"&lt;"&amp;DATE($C$7,$C$8,1),Accounts!$B:$B,"Trialer",Accounts!$C:$C,"Customer")+SUMIFS(Accounts!$AF:$AF,Accounts!$T:$T,"&gt;="&amp;DATE($C$10,$C$11,1),Accounts!$T:$T,"&lt;"&amp;DATE($C$7,$C$8,1),Accounts!$B:$B,"Trialer",Accounts!$C:$C,"Customer")+SUMIFS(Accounts!$AK:$AK,Accounts!$T:$T,"&gt;="&amp;DATE($C$10,$C$11,1),Accounts!$T:$T,"&lt;"&amp;DATE($C$7,$C$8,1),Accounts!$B:$B,"Trialer",Accounts!$C:$C,"Customer")</f>
        <v>0</v>
      </c>
      <c r="AF2" s="64">
        <f>SUMIFS(Accounts!$AB:$AB,Accounts!$T:$T,"&gt;="&amp;DATE($C$10,$C$11,1),Accounts!$T:$T,"&lt;"&amp;DATE($C$7,$C$8,1),Accounts!$B:$B,"Trialer",Accounts!$C:$C,"Customer")</f>
        <v>0</v>
      </c>
      <c r="AG2" s="64">
        <f>SUMIFS(Accounts!$AD:$AD,Accounts!$T:$T,"&gt;="&amp;DATE($C$10,$C$11,1),Accounts!$T:$T,"&lt;"&amp;DATE($C$7,$C$8,1),Accounts!$B:$B,"Trialer",Accounts!$C:$C,"Customer")+SUMIFS(Accounts!$AM:$AM,Accounts!$T:$T,"&gt;="&amp;DATE($C$10,$C$11,1),Accounts!$T:$T,"&lt;"&amp;DATE($C$7,$C$8,1),Accounts!$B:$B,"Trialer",Accounts!$C:$C,"Customer")+SUMIFS(Accounts!$AN:$AN,Accounts!$T:$T,"&gt;="&amp;DATE($C$10,$C$11,1),Accounts!$T:$T,"&lt;"&amp;DATE($C$7,$C$8,1),Accounts!$B:$B,"Trialer",Accounts!$C:$C,"Customer")</f>
        <v>0</v>
      </c>
      <c r="AH2" s="64">
        <f>SUMIFS(Accounts!$AE:$AE,Accounts!$T:$T,"&gt;="&amp;DATE($C$10,$C$11,1),Accounts!$T:$T,"&lt;"&amp;DATE($C$7,$C$8,1),Accounts!$B:$B,"Trialer",Accounts!$C:$C,"Customer") + SUMIFS(Accounts!$AP:$AP,Accounts!$T:$T,"&gt;="&amp;DATE($C$10,$C$11,1),Accounts!$T:$T,"&lt;"&amp;DATE($C$7,$C$8,1),Accounts!$B:$B,"Trialer",Accounts!$C:$C,"Customer")</f>
        <v>0</v>
      </c>
      <c r="AI2" s="64">
        <f>SUMIFS(Accounts!$Z:$Z,Accounts!$T:$T,"&gt;="&amp;DATE($C$10,$C$11,1),Accounts!$T:$T,"&lt;"&amp;DATE($C$7,$C$8,1),Accounts!$B:$B,"Trialer",Accounts!$C:$C,"Customer")</f>
        <v>0</v>
      </c>
      <c r="AJ2" s="64">
        <f>SUMIFS(Accounts!$AG:$AG,Accounts!$T:$T,"&gt;="&amp;DATE($C$10,$C$11,1),Accounts!$T:$T,"&lt;"&amp;DATE($C$7,$C$8,1),Accounts!$B:$B,"Trialer",Accounts!$C:$C,"Customer") + SUMIFS(Accounts!$AL:$AL,Accounts!$T:$T,"&gt;="&amp;DATE($C$10,$C$11,1),Accounts!$T:$T,"&lt;"&amp;DATE($C$7,$C$8,1),Accounts!$B:$B,"Trialer",Accounts!$C:$C,"Customer")</f>
        <v>0</v>
      </c>
      <c r="AK2" s="64">
        <f>SUMIFS(Accounts!$AQ:$AQ,Accounts!$T:$T,"&gt;="&amp;DATE($C$10,$C$11,1),Accounts!$T:$T,"&lt;"&amp;DATE($C$7,$C$8,1),Accounts!$B:$B,"Trialer",Accounts!$C:$C,"Customer")</f>
        <v>0</v>
      </c>
      <c r="AL2" s="64">
        <f>SUMIFS(Accounts!$AA:$AA,Accounts!$T:$T,"&gt;="&amp;DATE($C$13,$C$14,1),Accounts!$T:$T,"&lt;"&amp;DATE($C$10,$C$11,1),Accounts!$B:$B,"Trialer",Accounts!$C:$C,"Customer") + SUMIFS(Accounts!$AH:$AH,Accounts!$T:$T,"&gt;="&amp;DATE($C$13,$C$14,1),Accounts!$T:$T,"&lt;"&amp;DATE($C$10,$C$11,1),Accounts!$B:$B,"Trialer",Accounts!$C:$C,"Customer") + SUMIFS(Accounts!$AJ:$AJ,Accounts!$T:$T,"&gt;="&amp;DATE($C$13,$C$14,1),Accounts!$T:$T,"&lt;"&amp;DATE($C$10,$C$11,1),Accounts!$B:$B,"Trialer",Accounts!$C:$C,"Customer") + SUMIFS(Accounts!$AI:$AI,Accounts!$T:$T,"&gt;="&amp;DATE($C$13,$C$14,1),Accounts!$T:$T,"&lt;"&amp;DATE($C$10,$C$11,1),Accounts!$B:$B,"Trialer",Accounts!$C:$C,"Customer") + SUMIFS(Accounts!$AO:$AO,Accounts!$T:$T,"&gt;="&amp;DATE($C$13,$C$14,1),Accounts!$T:$T,"&lt;"&amp;DATE($C$10,$C$11,1),Accounts!$B:$B,"Trialer",Accounts!$C:$C,"Customer")</f>
        <v>0</v>
      </c>
      <c r="AM2" s="64">
        <f>SUMIFS(Accounts!$AC:$AC,Accounts!$T:$T,"&gt;="&amp;DATE($C$13,$C$14,1),Accounts!$T:$T,"&lt;"&amp;DATE($C$10,$C$11,1),Accounts!$B:$B,"Trialer",Accounts!$C:$C,"Customer")+SUMIFS(Accounts!$AF:$AF,Accounts!$T:$T,"&gt;="&amp;DATE($C$13,$C$14,1),Accounts!$T:$T,"&lt;"&amp;DATE($C$10,$C$11,1),Accounts!$B:$B,"Trialer",Accounts!$C:$C,"Customer")+SUMIFS(Accounts!$AK:$AK,Accounts!$T:$T,"&gt;="&amp;DATE($C$13,$C$14,1),Accounts!$T:$T,"&lt;"&amp;DATE($C$10,$C$11,1),Accounts!$B:$B,"Trialer",Accounts!$C:$C,"Customer")</f>
        <v>0</v>
      </c>
      <c r="AN2" s="64">
        <f>SUMIFS(Accounts!$AB:$AB,Accounts!$T:$T,"&gt;="&amp;DATE($C$13,$C$14,1),Accounts!$T:$T,"&lt;"&amp;DATE($C$10,$C$11,1),Accounts!$B:$B,"Trialer",Accounts!$C:$C,"Customer")</f>
        <v>0</v>
      </c>
      <c r="AO2" s="64">
        <f>SUMIFS(Accounts!$AD:$AD,Accounts!$T:$T,"&gt;="&amp;DATE($C$13,$C$14,1),Accounts!$T:$T,"&lt;"&amp;DATE($C$10,$C$11,1),Accounts!$B:$B,"Trialer",Accounts!$C:$C,"Customer")+SUMIFS(Accounts!$AM:$AM,Accounts!$T:$T,"&gt;="&amp;DATE($C$13,$C$14,1),Accounts!$T:$T,"&lt;"&amp;DATE($C$10,$C$11,1),Accounts!$B:$B,"Trialer",Accounts!$C:$C,"Customer")+SUMIFS(Accounts!$AN:$AN,Accounts!$T:$T,"&gt;="&amp;DATE($C$13,$C$14,1),Accounts!$T:$T,"&lt;"&amp;DATE($C$10,$C$11,1),Accounts!$B:$B,"Trialer",Accounts!$C:$C,"Customer")</f>
        <v>0</v>
      </c>
      <c r="AP2" s="64">
        <f>SUMIFS(Accounts!$AE:$AE,Accounts!$T:$T,"&gt;="&amp;DATE($C$13,$C$14,1),Accounts!$T:$T,"&lt;"&amp;DATE($C$10,$C$11,1),Accounts!$B:$B,"Trialer",Accounts!$C:$C,"Customer") + SUMIFS(Accounts!$AP:$AP,Accounts!$T:$T,"&gt;="&amp;DATE($C$13,$C$14,1),Accounts!$T:$T,"&lt;"&amp;DATE($C$10,$C$11,1),Accounts!$B:$B,"Trialer",Accounts!$C:$C,"Customer")</f>
        <v>0</v>
      </c>
      <c r="AQ2" s="64">
        <f>SUMIFS(Accounts!$Z:$Z,Accounts!$T:$T,"&gt;="&amp;DATE($C$13,$C$14,1),Accounts!$T:$T,"&lt;"&amp;DATE($C$10,$C$11,1),Accounts!$B:$B,"Trialer",Accounts!$C:$C,"Customer")</f>
        <v>0</v>
      </c>
      <c r="AR2" s="64">
        <f>SUMIFS(Accounts!$AG:$AG,Accounts!$T:$T,"&gt;="&amp;DATE($C$13,$C$14,1),Accounts!$T:$T,"&lt;"&amp;DATE($C$10,$C$11,1),Accounts!$B:$B,"Trialer",Accounts!$C:$C,"Customer") + SUMIFS(Accounts!$AL:$AL,Accounts!$T:$T,"&gt;="&amp;DATE($C$13,$C$14,1),Accounts!$T:$T,"&lt;"&amp;DATE($C$10,$C$11,1),Accounts!$B:$B,"Trialer",Accounts!$C:$C,"Customer")</f>
        <v>0</v>
      </c>
      <c r="AS2" s="64">
        <f>SUMIFS(Accounts!$AQ:$AQ,Accounts!$T:$T,"&gt;="&amp;DATE($C$13,$C$14,1),Accounts!$T:$T,"&lt;"&amp;DATE($C$10,$C$11,1),Accounts!$B:$B,"Trialer",Accounts!$C:$C,"Customer")</f>
        <v>0</v>
      </c>
      <c r="AT2" s="23">
        <f>IFERROR((SUMPRODUCT(SUMIFS(Accounts!$AA:$AA,Accounts!$B:$B,{"Trialer","none"},Accounts!$C:$C,"Customer")) + SUMPRODUCT(SUMIFS(Accounts!$AH:$AH,Accounts!$B:$B,{"Trialer","none"},Accounts!$C:$C,"Customer")) + SUMPRODUCT(SUMIFS(Accounts!$AJ:$AJ,Accounts!$B:$B,{"Trialer","none"},Accounts!$C:$C,"Customer")) + SUMPRODUCT(SUMIFS(Accounts!$AI:$AI,Accounts!$B:$B,{"Trialer","none"},Accounts!$C:$C,"Customer")) + SUMPRODUCT(SUMIFS(Accounts!$AO:$AO,Accounts!$B:$B,{"Trialer","none"},Accounts!$C:$C,"Customer")))/BM2,0)</f>
        <v>0</v>
      </c>
      <c r="AU2" s="23">
        <f>IFERROR((SUMPRODUCT(SUMIFS(Accounts!$AC:$AC,Accounts!$B:$B,{"Trialer","none"},Accounts!$C:$C,"Customer"))+SUMPRODUCT(SUMIFS(Accounts!$AF:$AF,Accounts!$B:$B,{"Trialer","none"},Accounts!$C:$C,"Customer"))+SUMPRODUCT(SUMIFS(Accounts!$AK:$AK,Accounts!$B:$B,{"Trialer","none"},Accounts!$C:$C,"Customer")))/BN2,0)</f>
        <v>0</v>
      </c>
      <c r="AV2" s="23">
        <f>IFERROR((SUMPRODUCT(SUMIFS(Accounts!$AB:$AB,Accounts!$B:$B,{"Trialer","none"},Accounts!$C:$C,"Customer")))/BO2,0)</f>
        <v>0</v>
      </c>
      <c r="AW2" s="23">
        <f>IFERROR((SUMPRODUCT(SUMIFS(Accounts!$AD:$AD,Accounts!$B:$B,{"Trialer","none"},Accounts!$C:$C,"Customer"))+SUMPRODUCT(SUMIFS(Accounts!$AM:$AM,Accounts!$B:$B,{"Trialer","none"},Accounts!$C:$C,"Customer"))+SUMPRODUCT(SUMIFS(Accounts!$AN:$AN,Accounts!$B:$B,{"Trialer","none"},Accounts!$C:$C,"Customer")))/BP2,0)</f>
        <v>0</v>
      </c>
      <c r="AX2" s="23">
        <f>IFERROR((
SUMPRODUCT(SUMIFS(Accounts!$AP:$AP,Accounts!$B:$B,{"Trialer","none"},Accounts!$C:$C,"Customer"))+
SUMPRODUCT(SUMIFS(Accounts!$AE:$AE,Accounts!$B:$B,{"Trialer","none"},Accounts!$C:$C,"Customer"))+
SUMPRODUCT(SUMIFS(Accounts!$Z:$Z,Accounts!$B:$B,{"Trialer","none"},Accounts!$C:$C,"Customer"))+
SUMPRODUCT(SUMIFS(Accounts!$AG:$AG,Accounts!$B:$B,{"Trialer","none"},Accounts!$C:$C,"Customer"))+
SUMPRODUCT(SUMIFS(Accounts!$AL:$AL,Accounts!$B:$B,{"Trialer","none"},Accounts!$C:$C,"Customer"))
)
/(BQ2+BS2+BT2),0
)</f>
        <v>0</v>
      </c>
      <c r="AY2" s="23">
        <f>IFERROR((
SUMPRODUCT(SUMIFS(Accounts!$AP:$AP,Accounts!$B:$B,{"Trialer","none"},Accounts!$C:$C,"Customer"))+
SUMPRODUCT(SUMIFS(Accounts!$AE:$AE,Accounts!$B:$B,{"Trialer","none"},Accounts!$C:$C,"Customer"))
)
/BQ2,0
)</f>
        <v>0</v>
      </c>
      <c r="AZ2" s="23">
        <f>IFERROR(SUMPRODUCT(SUMIFS(Accounts!$Z:$Z,Accounts!$B:$B,{"Trialer","none"},Accounts!$C:$C,"Customer"))/BS2,0)</f>
        <v>0</v>
      </c>
      <c r="BA2" s="23">
        <f>IFERROR((SUMPRODUCT(SUMIFS(Accounts!$AG:$AG,Accounts!$B:$B,{"Trialer","none"},Accounts!$C:$C,"Customer")) + SUMPRODUCT(SUMIFS(Accounts!$AL:$AL,Accounts!$B:$B,{"Trialer","none"},Accounts!$C:$C,"Customer")))/BT2,0)</f>
        <v>0</v>
      </c>
      <c r="BB2" s="23">
        <f>IFERROR(SUMPRODUCT(SUMIFS(Accounts!$AQ:$AQ,Accounts!$B:$B,{"Trialer","none"},Accounts!$C:$C,"Customer"))/BU2,0)</f>
        <v>0</v>
      </c>
      <c r="BC2" s="38" t="e">
        <f>((BC8+BC11)/(((BC7*$C$2)+(0.5*BC10*$C$2)))*$C$2)</f>
        <v>#VALUE!</v>
      </c>
      <c r="BD2" s="38" t="e">
        <f>(($BD$8+$BD$11)/((($BD$7*$C$2)+(0.5*$BD$10*$C$2)))*$C$2)</f>
        <v>#VALUE!</v>
      </c>
      <c r="BE2" s="38" t="e">
        <f>((BE8+BE11)/((BE7*$C$2)+(0.5*BE10*$C$2)))*$C$2</f>
        <v>#VALUE!</v>
      </c>
      <c r="BF2" s="38" t="e">
        <f ref="BF2:BL2" t="shared" si="0">((BF8+BF11)/((BF7*$C$2)+(0.5*BF10*$C$2)))*$C$2</f>
        <v>#VALUE!</v>
      </c>
      <c r="BG2" s="38" t="e">
        <f t="shared" si="0"/>
        <v>#VALUE!</v>
      </c>
      <c r="BH2" s="38" t="e">
        <f>((BH8+BH11)/((BH7*$C$2)+(0.5*BH10*$C$2)))*$C$2</f>
        <v>#VALUE!</v>
      </c>
      <c r="BI2" s="38" t="e">
        <f>((BI8+BI11)/((BI7*$C$2)+(0.5*BI10*$C$2)))*$C$2</f>
        <v>#VALUE!</v>
      </c>
      <c r="BJ2" s="38" t="e">
        <f t="shared" si="0"/>
        <v>#VALUE!</v>
      </c>
      <c r="BK2" s="38" t="e">
        <f t="shared" si="0"/>
        <v>#VALUE!</v>
      </c>
      <c r="BL2" s="38" t="e">
        <f t="shared" si="0"/>
        <v>#VALUE!</v>
      </c>
      <c r="BM2" s="43">
        <f>SUMIFS(Accounts!$AA:$AA,Accounts!$B:$B,"none") + SUMIFS(Accounts!$AH:$AH,Accounts!$B:$B,"none") + SUMIFS(Accounts!$AJ:$AJ,Accounts!$B:$B,"none") + SUMIFS(Accounts!$AI:$AI,Accounts!$B:$B,"none") + SUMIFS(Accounts!$AO:$AO,Accounts!$B:$B,"none")</f>
        <v>0</v>
      </c>
      <c r="BN2" s="43">
        <f>SUMIFS(Accounts!$AC:$AC,Accounts!$B:$B,"none") + SUMIFS(Accounts!$AF:$AF,Accounts!$B:$B,"none") + SUMIFS(Accounts!$AK:$AK,Accounts!$B:$B,"none")</f>
        <v>0</v>
      </c>
      <c r="BO2" s="43">
        <f>SUMIFS(Accounts!$AB:$AB,Accounts!$B:$B,"none")</f>
        <v>0</v>
      </c>
      <c r="BP2" s="43">
        <f>SUMIFS(Accounts!$AD:$AD,Accounts!$B:$B,"none") + SUMIFS(Accounts!$AM:$AM,Accounts!$B:$B,"none") + SUMIFS(Accounts!$AN:$AN,Accounts!$B:$B,"none")</f>
        <v>0</v>
      </c>
      <c r="BQ2" s="43">
        <f>SUMIFS(Accounts!$AE:$AE,Accounts!$B:$B,"none") + SUMIFS(Accounts!$AP:$AP,Accounts!$B:$B,"none")</f>
        <v>0</v>
      </c>
      <c r="BR2" s="43">
        <f>SUM(BS2:BT2,BQ2)</f>
        <v>0</v>
      </c>
      <c r="BS2" s="43">
        <f>SUMIFS(Accounts!$Z:$Z,Accounts!$B:$B,"none")</f>
        <v>0</v>
      </c>
      <c r="BT2" s="43">
        <f>SUMIFS(Accounts!$AG:$AG,Accounts!$B:$B,"none") + SUMIFS(Accounts!$AL:$AL,Accounts!$B:$B,"none")</f>
        <v>0</v>
      </c>
      <c r="BU2" s="43">
        <f>SUMIFS(Accounts!$AQ:$AQ,Accounts!$B:$B,"none")</f>
        <v>0</v>
      </c>
      <c r="BV2" s="41" t="e">
        <f>$B$31/($BD$7+$BD$10)</f>
        <v>#DIV/0!</v>
      </c>
      <c r="BW2" s="41" t="e">
        <f>$C$31/($BE$7+$BE$10)</f>
        <v>#DIV/0!</v>
      </c>
      <c r="BX2" s="41" t="e">
        <f>$D$31/($BF$7+$BF$10)</f>
        <v>#DIV/0!</v>
      </c>
      <c r="BY2" s="41" t="e">
        <f>$E$31/($BG$7+$BG$10)</f>
        <v>#DIV/0!</v>
      </c>
      <c r="BZ2" s="41" t="e">
        <f>($F$31+$G$31+$H$31)/($BI$7+$BJ$7+$BK$7+$BI$10+$BJ$10+$BK$10)</f>
        <v>#DIV/0!</v>
      </c>
      <c r="CA2" s="41" t="e">
        <f>$F$31/($BI$7+$BI$10)</f>
        <v>#DIV/0!</v>
      </c>
      <c r="CB2" s="41" t="e">
        <f>$G$31/($BJ$7+$BJ$10)</f>
        <v>#DIV/0!</v>
      </c>
      <c r="CC2" s="41" t="e">
        <f>$H$31/($BK$7+$BK$10)</f>
        <v>#DIV/0!</v>
      </c>
      <c r="CD2" s="41">
        <f>$I$31/($BL$7+$BL$10)</f>
        <v>0</v>
      </c>
      <c r="CE2" s="41" t="e">
        <f>($B$31+$J$31)/($BD$7+$BD$10)</f>
        <v>#DIV/0!</v>
      </c>
      <c r="CF2" s="41" t="e">
        <f>($C$31+$K$31)/($BE$7+$BE$10)</f>
        <v>#DIV/0!</v>
      </c>
      <c r="CG2" s="41" t="e">
        <f>($D$31+$L$31)/($BF$7+$BF$10)</f>
        <v>#DIV/0!</v>
      </c>
      <c r="CH2" s="41" t="e">
        <f>($E$31+$M$31)/($BG$7+$BG$10)</f>
        <v>#DIV/0!</v>
      </c>
      <c r="CI2" s="41" t="e">
        <f>($F$31+$N$31+G31+H31+O31+P31)/($BI$7+$BI$10+BJ7+BK7+BJ10+BK10)</f>
        <v>#DIV/0!</v>
      </c>
      <c r="CJ2" s="41" t="e">
        <f>($F$31+$N$31)/($BI$7+$BI$10)</f>
        <v>#DIV/0!</v>
      </c>
      <c r="CK2" s="41" t="e">
        <f>($G$31+$O$31)/($BJ$7+$BJ$10)</f>
        <v>#DIV/0!</v>
      </c>
      <c r="CL2" s="41" t="e">
        <f>($H$31+$P$31)/($BK$7+$BK$10)</f>
        <v>#DIV/0!</v>
      </c>
      <c r="CM2" s="41">
        <f>($I$31+$Q$31)/($BL$7+$BL$10)</f>
        <v>0</v>
      </c>
      <c r="CN2" s="41" t="e">
        <f>$BV$2*$BD$6</f>
        <v>#DIV/0!</v>
      </c>
      <c r="CO2" s="41" t="e">
        <f>$BW$2*$BE$6</f>
        <v>#DIV/0!</v>
      </c>
      <c r="CP2" s="41" t="e">
        <f>$BX$2*$BF$6</f>
        <v>#DIV/0!</v>
      </c>
      <c r="CQ2" s="41" t="e">
        <f>$BY$2*$BG$6</f>
        <v>#DIV/0!</v>
      </c>
      <c r="CR2" s="41" t="e">
        <f>$BZ$2*$BH$6</f>
        <v>#DIV/0!</v>
      </c>
      <c r="CS2" s="41" t="e">
        <f>$CA$2*$BI$6</f>
        <v>#DIV/0!</v>
      </c>
      <c r="CT2" s="41" t="e">
        <f>$CB$2*$BJ$6</f>
        <v>#DIV/0!</v>
      </c>
      <c r="CU2" s="41" t="e">
        <f>$CC$2*$BK$6</f>
        <v>#DIV/0!</v>
      </c>
      <c r="CV2" s="41" t="e">
        <f>$CD$2*$BL$6</f>
        <v>#VALUE!</v>
      </c>
      <c r="CW2" s="38" t="e">
        <f>((CW8+CW11)/((CW7*$C$2)+(0.5*CW10*$C$2)))*$C$2</f>
        <v>#VALUE!</v>
      </c>
      <c r="CX2" s="43">
        <f>COUNTIFS(Accounts!$AS:$AS, "Manufacturing (MWD)",Accounts!$B:$B,"none")</f>
        <v>0</v>
      </c>
      <c r="CY2" s="37">
        <f>COUNTIFS(Accounts!$AS:$AS, "Manufacturing (MWD)",Accounts!$B:$B,"Customer")</f>
        <v>0</v>
      </c>
      <c r="CZ2" s="41">
        <f>SUMIFS(Accounts!$I:$I,Accounts!$AS:$AS, "Manufacturing (MWD)")</f>
        <v>0</v>
      </c>
      <c r="DA2" s="41">
        <f>SUMIFS(Accounts!$N:$N,Accounts!$AS:$AS, "Manufacturing (MWD)")</f>
        <v>0</v>
      </c>
      <c r="DB2" s="41" t="e">
        <f>CZ2/(CY2+CW10)</f>
        <v>#DIV/0!</v>
      </c>
      <c r="DC2" s="41" t="e">
        <f>(CZ2+DA2)/(CY2+CW10)</f>
        <v>#DIV/0!</v>
      </c>
      <c r="DD2" s="41" t="e">
        <f>CW6*DB2</f>
        <v>#VALUE!</v>
      </c>
      <c r="DE2" s="41" t="e">
        <f>AVERAGEIFS(Accounts!$AY:$AY,Accounts!$AS:$AS, "Manufacturing (MWD)",Accounts!$B:$B,"Customer",Accounts!$AY:$AY,"&gt;0")</f>
        <v>#DIV/0!</v>
      </c>
      <c r="DF2" s="37" t="e">
        <f>AVERAGEIFS(Accounts!$AX:$AX,Accounts!$AS:$AS, "Manufacturing (MWD)",Accounts!$B:$B,"Customer",Accounts!$AX:$AX,"&gt;0")</f>
        <v>#DIV/0!</v>
      </c>
      <c r="DG2" s="41" t="e">
        <f>AVERAGEIFS(Accounts!$AY:$AY,Accounts!$AS:$AS, "Manufacturing (MWD)",Accounts!$B:$B,"none",Accounts!$AY:$AY,"&gt;0")</f>
        <v>#DIV/0!</v>
      </c>
      <c r="DH2" s="37" t="e">
        <f>AVERAGEIFS(Accounts!$AX:$AX,Accounts!$AS:$AS, "Manufacturing (MWD)",Accounts!$B:$B,"none",Accounts!$AX:$AX,"&gt;0")</f>
        <v>#DIV/0!</v>
      </c>
      <c r="DI2" s="59">
        <f>SUMIFS(Accounts!$AA:$AA,Accounts!$B:$B,"Customer",Accounts!$AS:$AS, "Manufacturing (MWD)") + SUMIFS(Accounts!$AH:$AH,Accounts!$B:$B,"Customer",Accounts!$AS:$AS, "Manufacturing (MWD)") + SUMIFS(Accounts!$AJ:$AJ,Accounts!$B:$B,"Customer",Accounts!$AS:$AS, "Manufacturing (MWD)") + SUMIFS(Accounts!$AI:$AI,Accounts!$B:$B,"Customer",Accounts!$AS:$AS, "Manufacturing (MWD)") + SUMIFS(Accounts!$AO:$AO,Accounts!$B:$B,"Customer",Accounts!$AS:$AS, "Manufacturing (MWD)")</f>
        <v>0</v>
      </c>
      <c r="DJ2" s="59">
        <f>(SUMIFS(Accounts!$AC:$AC,Accounts!$B:$B,"Customer",Accounts!$AS:$AS, "Manufacturing (MWD)")+SUMIFS(Accounts!$AF:$AF,Accounts!$B:$B,"Customer",Accounts!$AS:$AS, "Manufacturing (MWD)")+SUMIFS(Accounts!$AK:$AK,Accounts!$B:$B,"Customer",Accounts!$AS:$AS, "Manufacturing (MWD)"))</f>
        <v>0</v>
      </c>
      <c r="DK2" s="59">
        <f>SUMIFS(Accounts!$AB:$AB,Accounts!$B:$B,"Customer",Accounts!$AS:$AS, "Manufacturing (MWD)")</f>
        <v>0</v>
      </c>
      <c r="DL2" s="59">
        <f>SUMIFS(Accounts!$AD:$AD,Accounts!$B:$B,"Customer",Accounts!$AS:$AS, "Manufacturing (MWD)")+SUMIFS(Accounts!$AM:$AM,Accounts!$B:$B,"Customer",Accounts!$AS:$AS, "Manufacturing (MWD)")+SUMIFS(Accounts!$AN:$AN,Accounts!$B:$B,"Customer",Accounts!$AS:$AS, "Manufacturing (MWD)")</f>
        <v>0</v>
      </c>
      <c r="DM2" s="59">
        <f>SUMIFS(Accounts!$AE:$AE,Accounts!$B:$B,"Customer",Accounts!$AS:$AS, "Manufacturing (MWD)") + SUMIFS(Accounts!$AP:$AP,Accounts!$B:$B,"Customer",Accounts!$AS:$AS, "Manufacturing (MWD)")</f>
        <v>0</v>
      </c>
      <c r="DN2" s="59">
        <f>SUMIFS(Accounts!$Z:$Z,Accounts!$B:$B,"Customer",Accounts!$AS:$AS, "Manufacturing (MWD)")</f>
        <v>0</v>
      </c>
      <c r="DO2" s="59">
        <f>SUMIFS(Accounts!$AG:$AG,Accounts!$B:$B,"Customer",Accounts!$AS:$AS, "Manufacturing (MWD)") + SUMIFS(Accounts!$AL:$AL,Accounts!$B:$B,"Customer",Accounts!$AS:$AS, "Manufacturing (MWD)")</f>
        <v>0</v>
      </c>
      <c r="DP2" s="59">
        <f>SUMIFS(Accounts!$AQ:$AQ,Accounts!$B:$B,"Customer",Accounts!$AS:$AS, "Manufacturing (MWD)")</f>
        <v>0</v>
      </c>
      <c r="DQ2" s="59">
        <f>SUMIFS(Accounts!$AA:$AA,Accounts!$B:$B,"none",Accounts!$AS:$AS, "Manufacturing (MWD)") + SUMIFS(Accounts!$AH:$AH,Accounts!$B:$B,"none",Accounts!$AS:$AS, "Manufacturing (MWD)") + SUMIFS(Accounts!$AJ:$AJ,Accounts!$B:$B,"none",Accounts!$AS:$AS, "Manufacturing (MWD)") + SUMIFS(Accounts!$AI:$AI,Accounts!$B:$B,"none",Accounts!$AS:$AS, "Manufacturing (MWD)") + SUMIFS(Accounts!$AO:$AO,Accounts!$B:$B,"none",Accounts!$AS:$AS, "Manufacturing (MWD)")</f>
        <v>0</v>
      </c>
      <c r="DR2" s="59">
        <f>(SUMIFS(Accounts!$AC:$AC,Accounts!$B:$B,"none",Accounts!$AS:$AS, "Manufacturing (MWD)")+SUMIFS(Accounts!$AF:$AF,Accounts!$B:$B,"none",Accounts!$AS:$AS, "Manufacturing (MWD)")+SUMIFS(Accounts!$AK:$AK,Accounts!$B:$B,"none",Accounts!$AS:$AS, "Manufacturing (MWD)"))</f>
        <v>0</v>
      </c>
      <c r="DS2" s="59">
        <f>SUMIFS(Accounts!$AB:$AB,Accounts!$B:$B,"none",Accounts!$AS:$AS, "Manufacturing (MWD)")</f>
        <v>0</v>
      </c>
      <c r="DT2" s="59">
        <f>SUMIFS(Accounts!$AD:$AD,Accounts!$B:$B,"none",Accounts!$AS:$AS, "Manufacturing (MWD)")+SUMIFS(Accounts!$AM:$AM,Accounts!$B:$B,"none",Accounts!$AS:$AS, "Manufacturing (MWD)")+SUMIFS(Accounts!$AN:$AN,Accounts!$B:$B,"none",Accounts!$AS:$AS, "Manufacturing (MWD)")</f>
        <v>0</v>
      </c>
      <c r="DU2" s="43">
        <f>SUMIFS(Accounts!$AE:$AE,Accounts!$B:$B,"none",Accounts!$AS:$AS, "Manufacturing (MWD)") + SUMIFS(Accounts!$AP:$AP,Accounts!$B:$B,"none",Accounts!$AS:$AS, "Manufacturing (MWD)")</f>
        <v>0</v>
      </c>
      <c r="DV2" s="59">
        <f>SUMIFS(Accounts!$Z:$Z,Accounts!$B:$B,"none",Accounts!$AS:$AS, "Manufacturing (MWD)")</f>
        <v>0</v>
      </c>
      <c r="DW2" s="43">
        <f>SUMIFS(Accounts!$AG:$AG,Accounts!$B:$B,"none",Accounts!$AS:$AS, "Manufacturing (MWD)") + SUMIFS(Accounts!$AL:$AL,Accounts!$B:$B,"none",Accounts!$AS:$AS, "Manufacturing (MWD)")</f>
        <v>0</v>
      </c>
      <c r="DX2" s="59">
        <f>SUMIFS(Accounts!$AQ:$AQ,Accounts!$B:$B,"none",Accounts!$AS:$AS, "Manufacturing (MWD)")</f>
        <v>0</v>
      </c>
      <c r="DY2" s="38" t="e">
        <f>((DY8+DY11)/((DY7*$C$2)+(0.5*DY10*$C$2)))*$C$2</f>
        <v>#VALUE!</v>
      </c>
      <c r="DZ2" s="43">
        <f>COUNTIFS(Accounts!$AS:$AS, "Wholesale and distribution services (MWD)",Accounts!$B:$B,"none")</f>
        <v>0</v>
      </c>
      <c r="EA2" s="37">
        <f>COUNTIFS(Accounts!$AS:$AS, "Wholesale and distribution services (MWD)",Accounts!$B:$B,"Customer")</f>
        <v>0</v>
      </c>
      <c r="EB2" s="41">
        <f>SUMIFS(Accounts!$I:$I,Accounts!$AS:$AS, "Wholesale and distribution services (MWD)")</f>
        <v>0</v>
      </c>
      <c r="EC2" s="41">
        <f>SUMIFS(Accounts!$N:$N,Accounts!$AS:$AS, "Wholesale and distribution services (MWD)")</f>
        <v>0</v>
      </c>
      <c r="ED2" s="41" t="e">
        <f>EB2/(EA2+DY10)</f>
        <v>#DIV/0!</v>
      </c>
      <c r="EE2" s="41" t="e">
        <f>(EB2+EC2)/(EA2+DY10)</f>
        <v>#DIV/0!</v>
      </c>
      <c r="EF2" s="41" t="e">
        <f>DY6*ED2</f>
        <v>#VALUE!</v>
      </c>
      <c r="EG2" s="41" t="e">
        <f>AVERAGEIFS(Accounts!$AY:$AY,Accounts!$AS:$AS, "Wholesale and distribution services (MWD)",Accounts!$B:$B,"Customer",Accounts!$AY:$AY,"&gt;0")</f>
        <v>#DIV/0!</v>
      </c>
      <c r="EH2" s="37" t="e">
        <f>AVERAGEIFS(Accounts!$AX:$AX,Accounts!$AS:$AS, "Wholesale and distribution services (MWD)",Accounts!$B:$B,"Customer",Accounts!$AX:$AX,"&gt;0")</f>
        <v>#DIV/0!</v>
      </c>
      <c r="EI2" s="41" t="e">
        <f>AVERAGEIFS(Accounts!$AY:$AY,Accounts!$AS:$AS, "Wholesale and distribution services (MWD)",Accounts!$B:$B,"none",Accounts!$AY:$AY,"&gt;0")</f>
        <v>#DIV/0!</v>
      </c>
      <c r="EJ2" s="37" t="e">
        <f>AVERAGEIFS(Accounts!$AX:$AX,Accounts!$AS:$AS, "Wholesale and distribution services (MWD)",Accounts!$B:$B,"none",Accounts!$AX:$AX,"&gt;0")</f>
        <v>#DIV/0!</v>
      </c>
      <c r="EK2" s="59">
        <f>SUMIFS(Accounts!$AA:$AA,Accounts!$B:$B,"Customer",Accounts!$AS:$AS, "Wholesale and distribution services (MWD)") + SUMIFS(Accounts!$AH:$AH,Accounts!$B:$B,"Customer",Accounts!$AS:$AS, "Wholesale and distribution services (MWD)") + SUMIFS(Accounts!$AJ:$AJ,Accounts!$B:$B,"Customer",Accounts!$AS:$AS, "Wholesale and distribution services (MWD)") + SUMIFS(Accounts!$AI:$AI,Accounts!$B:$B,"Customer",Accounts!$AS:$AS, "Wholesale and distribution services (MWD)") + SUMIFS(Accounts!$AO:$AO,Accounts!$B:$B,"Customer",Accounts!$AS:$AS, "Wholesale and distribution services (MWD)")</f>
        <v>0</v>
      </c>
      <c r="EL2" s="59">
        <f>(SUMIFS(Accounts!$AC:$AC,Accounts!$B:$B,"Customer",Accounts!$AS:$AS, "Wholesale and distribution services (MWD)")+SUMIFS(Accounts!$AF:$AF,Accounts!$B:$B,"Customer",Accounts!$AS:$AS, "Wholesale and distribution services (MWD)")+SUMIFS(Accounts!$AK:$AK,Accounts!$B:$B,"Customer",Accounts!$AS:$AS, "Wholesale and distribution services (MWD)"))</f>
        <v>0</v>
      </c>
      <c r="EM2" s="59">
        <f>SUMIFS(Accounts!$AB:$AB,Accounts!$B:$B,"Customer",Accounts!$AS:$AS, "Wholesale and distribution services (MWD)")</f>
        <v>0</v>
      </c>
      <c r="EN2" s="59">
        <f>SUMIFS(Accounts!$AD:$AD,Accounts!$B:$B,"Customer",Accounts!$AS:$AS, "Wholesale and distribution services (MWD)")+SUMIFS(Accounts!$AM:$AM,Accounts!$B:$B,"Customer",Accounts!$AS:$AS, "Wholesale and distribution services (MWD)")+SUMIFS(Accounts!$AN:$AN,Accounts!$B:$B,"Customer",Accounts!$AS:$AS, "Wholesale and distribution services (MWD)")</f>
        <v>0</v>
      </c>
      <c r="EO2" s="59">
        <f>SUMIFS(Accounts!$AE:$AE,Accounts!$B:$B,"Customer",Accounts!$AS:$AS, "Wholesale and distribution services (MWD)") + SUMIFS(Accounts!$AP:$AP,Accounts!$B:$B,"Customer",Accounts!$AS:$AS, "Wholesale and distribution services (MWD)")</f>
        <v>0</v>
      </c>
      <c r="EP2" s="59">
        <f>SUMIFS(Accounts!$Z:$Z,Accounts!$B:$B,"Customer",Accounts!$AS:$AS, "Wholesale and distribution services (MWD)")</f>
        <v>0</v>
      </c>
      <c r="EQ2" s="59">
        <f>SUMIFS(Accounts!$AG:$AG,Accounts!$B:$B,"Customer",Accounts!$AS:$AS, "Wholesale and distribution services (MWD)") + SUMIFS(Accounts!$AL:$AL,Accounts!$B:$B,"Customer",Accounts!$AS:$AS, "Wholesale and distribution services (MWD)")</f>
        <v>0</v>
      </c>
      <c r="ER2" s="59">
        <f>SUMIFS(Accounts!$AQ:$AQ,Accounts!$B:$B,"Customer",Accounts!$AS:$AS, "Wholesale and distribution services (MWD)")</f>
        <v>0</v>
      </c>
      <c r="ES2" s="59">
        <f>SUMIFS(Accounts!$AA:$AA,Accounts!$B:$B,"none",Accounts!$AS:$AS, "Wholesale and distribution services (MWD)") + SUMIFS(Accounts!$AH:$AH,Accounts!$B:$B,"none",Accounts!$AS:$AS, "Wholesale and distribution services (MWD)") + SUMIFS(Accounts!$AJ:$AJ,Accounts!$B:$B,"none",Accounts!$AS:$AS, "Wholesale and distribution services (MWD)") + SUMIFS(Accounts!$AI:$AI,Accounts!$B:$B,"none",Accounts!$AS:$AS, "Wholesale and distribution services (MWD)") + SUMIFS(Accounts!$AO:$AO,Accounts!$B:$B,"none",Accounts!$AS:$AS, "Wholesale and distribution services (MWD)")</f>
        <v>0</v>
      </c>
      <c r="ET2" s="59">
        <f>(SUMIFS(Accounts!$AC:$AC,Accounts!$B:$B,"none",Accounts!$AS:$AS, "Wholesale and distribution services (MWD)")+SUMIFS(Accounts!$AF:$AF,Accounts!$B:$B,"none",Accounts!$AS:$AS, "Wholesale and distribution services (MWD)")+SUMIFS(Accounts!$AK:$AK,Accounts!$B:$B,"none",Accounts!$AS:$AS, "Wholesale and distribution services (MWD)"))</f>
        <v>0</v>
      </c>
      <c r="EU2" s="59">
        <f>SUMIFS(Accounts!$AB:$AB,Accounts!$B:$B,"none",Accounts!$AS:$AS, "Wholesale and distribution services (MWD)")</f>
        <v>0</v>
      </c>
      <c r="EV2" s="59">
        <f>SUMIFS(Accounts!$AD:$AD,Accounts!$B:$B,"none",Accounts!$AS:$AS, "Wholesale and distribution services (MWD)")+SUMIFS(Accounts!$AM:$AM,Accounts!$B:$B,"none",Accounts!$AS:$AS, "Wholesale and distribution services (MWD)")+SUMIFS(Accounts!$AN:$AN,Accounts!$B:$B,"none",Accounts!$AS:$AS, "Wholesale and distribution services (MWD)")</f>
        <v>0</v>
      </c>
      <c r="EW2" s="43">
        <f>SUMIFS(Accounts!$AE:$AE,Accounts!$B:$B,"none",Accounts!$AS:$AS, "Wholesale and distribution services (MWD)") + SUMIFS(Accounts!$AP:$AP,Accounts!$B:$B,"none",Accounts!$AS:$AS, "Wholesale and distribution services (MWD)")</f>
        <v>0</v>
      </c>
      <c r="EX2" s="59">
        <f>SUMIFS(Accounts!$Z:$Z,Accounts!$B:$B,"none",Accounts!$AS:$AS, "Wholesale and distribution services (MWD)")</f>
        <v>0</v>
      </c>
      <c r="EY2" s="43">
        <f>SUMIFS(Accounts!$AG:$AG,Accounts!$B:$B,"none",Accounts!$AS:$AS, "Wholesale and distribution services (MWD)") + SUMIFS(Accounts!$AL:$AL,Accounts!$B:$B,"none",Accounts!$AS:$AS, "Wholesale and distribution services (MWD)")</f>
        <v>0</v>
      </c>
      <c r="EZ2" s="59">
        <f>SUMIFS(Accounts!$AQ:$AQ,Accounts!$B:$B,"none",Accounts!$AS:$AS, "Wholesale and distribution services (MWD)")</f>
        <v>0</v>
      </c>
      <c r="FA2" s="38" t="e">
        <f>((FA8+FA11)/((FA7*$C$2)+(0.5*FA10*$C$2)))*$C$2</f>
        <v>#VALUE!</v>
      </c>
      <c r="FB2" s="43">
        <f>COUNTIFS(Accounts!$AS:$AS, "Construction",Accounts!$B:$B,"none")</f>
        <v>0</v>
      </c>
      <c r="FC2" s="37">
        <f>COUNTIFS(Accounts!$AS:$AS, "Construction",Accounts!$B:$B,"Customer")</f>
        <v>0</v>
      </c>
      <c r="FD2" s="41">
        <f>SUMIFS(Accounts!$I:$I,Accounts!$AS:$AS, "Construction")</f>
        <v>0</v>
      </c>
      <c r="FE2" s="41">
        <f>SUMIFS(Accounts!$N:$N,Accounts!$AS:$AS, "Construction")</f>
        <v>0</v>
      </c>
      <c r="FF2" s="41" t="e">
        <f>FD2/(FC2+FA10)</f>
        <v>#DIV/0!</v>
      </c>
      <c r="FG2" s="41" t="e">
        <f>(FD2+FE2)/(FC2+FA10)</f>
        <v>#DIV/0!</v>
      </c>
      <c r="FH2" s="41" t="e">
        <f>FA6*FF2</f>
        <v>#VALUE!</v>
      </c>
      <c r="FI2" s="41" t="e">
        <f>AVERAGEIFS(Accounts!$AY:$AY,Accounts!$AS:$AS, "Construction",Accounts!$B:$B,"Customer",Accounts!$AY:$AY,"&gt;0")</f>
        <v>#DIV/0!</v>
      </c>
      <c r="FJ2" s="37" t="e">
        <f>AVERAGEIFS(Accounts!$AX:$AX,Accounts!$AS:$AS, "Construction",Accounts!$B:$B,"Customer",Accounts!$AX:$AX,"&gt;0")</f>
        <v>#DIV/0!</v>
      </c>
      <c r="FK2" s="41" t="e">
        <f>AVERAGEIFS(Accounts!$AY:$AY,Accounts!$AS:$AS, "Construction",Accounts!$B:$B,"none",Accounts!$AY:$AY,"&gt;0")</f>
        <v>#DIV/0!</v>
      </c>
      <c r="FL2" s="37" t="e">
        <f>AVERAGEIFS(Accounts!$AX:$AX,Accounts!$AS:$AS, "Construction",Accounts!$B:$B,"none",Accounts!$AX:$AX,"&gt;0")</f>
        <v>#DIV/0!</v>
      </c>
      <c r="FM2" s="59">
        <f>SUMIFS(Accounts!$AA:$AA,Accounts!$B:$B,"Customer",Accounts!$AS:$AS, "Construction") + SUMIFS(Accounts!$AH:$AH,Accounts!$B:$B,"Customer",Accounts!$AS:$AS, "Construction") + SUMIFS(Accounts!$AJ:$AJ,Accounts!$B:$B,"Customer",Accounts!$AS:$AS, "Construction") + SUMIFS(Accounts!$AI:$AI,Accounts!$B:$B,"Customer",Accounts!$AS:$AS, "Construction") + SUMIFS(Accounts!$AO:$AO,Accounts!$B:$B,"Customer",Accounts!$AS:$AS, "Construction")</f>
        <v>0</v>
      </c>
      <c r="FN2" s="59">
        <f>(SUMIFS(Accounts!$AC:$AC,Accounts!$B:$B,"Customer",Accounts!$AS:$AS, "Construction")+SUMIFS(Accounts!$AF:$AF,Accounts!$B:$B,"Customer",Accounts!$AS:$AS, "Construction")+SUMIFS(Accounts!$AK:$AK,Accounts!$B:$B,"Customer",Accounts!$AS:$AS, "Construction"))</f>
        <v>0</v>
      </c>
      <c r="FO2" s="59">
        <f>SUMIFS(Accounts!$AB:$AB,Accounts!$B:$B,"Customer",Accounts!$AS:$AS, "Construction")</f>
        <v>0</v>
      </c>
      <c r="FP2" s="59">
        <f>SUMIFS(Accounts!$AD:$AD,Accounts!$B:$B,"Customer",Accounts!$AS:$AS, "Construction")+SUMIFS(Accounts!$AM:$AM,Accounts!$B:$B,"Customer",Accounts!$AS:$AS, "Construction")+SUMIFS(Accounts!$AN:$AN,Accounts!$B:$B,"Customer",Accounts!$AS:$AS, "Construction")</f>
        <v>0</v>
      </c>
      <c r="FQ2" s="59">
        <f>SUMIFS(Accounts!$AE:$AE,Accounts!$B:$B,"Customer",Accounts!$AS:$AS, "Construction") + SUMIFS(Accounts!$AP:$AP,Accounts!$B:$B,"Customer",Accounts!$AS:$AS, "Construction")</f>
        <v>0</v>
      </c>
      <c r="FR2" s="59">
        <f>SUMIFS(Accounts!$Z:$Z,Accounts!$B:$B,"Customer",Accounts!$AS:$AS, "Construction")</f>
        <v>0</v>
      </c>
      <c r="FS2" s="59">
        <f>SUMIFS(Accounts!$AG:$AG,Accounts!$B:$B,"Customer",Accounts!$AS:$AS, "Construction") + SUMIFS(Accounts!$AL:$AL,Accounts!$B:$B,"Customer",Accounts!$AS:$AS, "Construction")</f>
        <v>0</v>
      </c>
      <c r="FT2" s="59">
        <f>SUMIFS(Accounts!$AQ:$AQ,Accounts!$B:$B,"Customer",Accounts!$AS:$AS, "Construction")</f>
        <v>0</v>
      </c>
      <c r="FU2" s="59">
        <f>SUMIFS(Accounts!$AA:$AA,Accounts!$B:$B,"none",Accounts!$AS:$AS, "Construction") + SUMIFS(Accounts!$AH:$AH,Accounts!$B:$B,"none",Accounts!$AS:$AS, "Construction") + SUMIFS(Accounts!$AJ:$AJ,Accounts!$B:$B,"none",Accounts!$AS:$AS, "Construction") + SUMIFS(Accounts!$AI:$AI,Accounts!$B:$B,"none",Accounts!$AS:$AS, "Construction") + SUMIFS(Accounts!$AO:$AO,Accounts!$B:$B,"none",Accounts!$AS:$AS, "Construction")</f>
        <v>0</v>
      </c>
      <c r="FV2" s="59">
        <f>(SUMIFS(Accounts!$AC:$AC,Accounts!$B:$B,"none",Accounts!$AS:$AS, "Construction")+SUMIFS(Accounts!$AF:$AF,Accounts!$B:$B,"none",Accounts!$AS:$AS, "Construction")+SUMIFS(Accounts!$AK:$AK,Accounts!$B:$B,"none",Accounts!$AS:$AS, "Construction"))</f>
        <v>0</v>
      </c>
      <c r="FW2" s="59">
        <f>SUMIFS(Accounts!$AB:$AB,Accounts!$B:$B,"none",Accounts!$AS:$AS, "Construction")</f>
        <v>0</v>
      </c>
      <c r="FX2" s="59">
        <f>SUMIFS(Accounts!$AD:$AD,Accounts!$B:$B,"none",Accounts!$AS:$AS, "Construction")+SUMIFS(Accounts!$AM:$AM,Accounts!$B:$B,"none",Accounts!$AS:$AS, "Construction")+SUMIFS(Accounts!$AN:$AN,Accounts!$B:$B,"none",Accounts!$AS:$AS, "Construction")</f>
        <v>0</v>
      </c>
      <c r="FY2" s="43">
        <f>SUMIFS(Accounts!$AE:$AE,Accounts!$B:$B,"none",Accounts!$AS:$AS, "Construction") + SUMIFS(Accounts!$AP:$AP,Accounts!$B:$B,"none",Accounts!$AS:$AS, "Construction")</f>
        <v>0</v>
      </c>
      <c r="FZ2" s="59">
        <f>SUMIFS(Accounts!$Z:$Z,Accounts!$B:$B,"none",Accounts!$AS:$AS, "Construction")</f>
        <v>0</v>
      </c>
      <c r="GA2" s="43">
        <f>SUMIFS(Accounts!$AG:$AG,Accounts!$B:$B,"none",Accounts!$AS:$AS, "Construction") + SUMIFS(Accounts!$AL:$AL,Accounts!$B:$B,"none",Accounts!$AS:$AS, "Construction")</f>
        <v>0</v>
      </c>
      <c r="GB2" s="59">
        <f>SUMIFS(Accounts!$AQ:$AQ,Accounts!$B:$B,"none",Accounts!$AS:$AS, "Construction")</f>
        <v>0</v>
      </c>
      <c r="GC2" s="38" t="e">
        <f>((GC8+GC11)/((GC7*$C$2)+(0.5*GC10*$C$2)))*$C$2</f>
        <v>#VALUE!</v>
      </c>
      <c r="GD2" s="43">
        <f>COUNTIFS(Accounts!$AS:$AS, "Field Services",Accounts!$B:$B,"none")</f>
        <v>0</v>
      </c>
      <c r="GE2" s="37">
        <f>COUNTIFS(Accounts!$AS:$AS, "Field Services",Accounts!$B:$B,"Customer")</f>
        <v>0</v>
      </c>
      <c r="GF2" s="41">
        <f>SUMIFS(Accounts!$I:$I,Accounts!$AS:$AS, "Field Services")</f>
        <v>0</v>
      </c>
      <c r="GG2" s="41">
        <f>SUMIFS(Accounts!$N:$N,Accounts!$AS:$AS, "Field Services")</f>
        <v>0</v>
      </c>
      <c r="GH2" s="41" t="e">
        <f>GF2/(GE2+GC10)</f>
        <v>#DIV/0!</v>
      </c>
      <c r="GI2" s="41" t="e">
        <f>(GF2+GG2)/(GE2+GC10)</f>
        <v>#DIV/0!</v>
      </c>
      <c r="GJ2" s="41" t="e">
        <f>GC6*GH2</f>
        <v>#VALUE!</v>
      </c>
      <c r="GK2" s="41">
        <f>IFERROR(AVERAGEIFS(Accounts!$AY:$AY,Accounts!$AS:$AS, "Field Services",Accounts!$B:$B,"Customer",Accounts!$AY:$AY,"&gt;0"),0)</f>
        <v>0</v>
      </c>
      <c r="GL2" s="37">
        <f>IFERROR(AVERAGEIFS(Accounts!$AX:$AX,Accounts!$AS:$AS, "Field Services",Accounts!$B:$B,"Customer",Accounts!$AX:$AX,"&gt;0"),0)</f>
        <v>0</v>
      </c>
      <c r="GM2" s="41">
        <f>IFERROR(AVERAGEIFS(Accounts!$AY:$AY,Accounts!$AS:$AS, "Field Services",Accounts!$B:$B,"none",Accounts!$AY:$AY,"&gt;0"),0)</f>
        <v>0</v>
      </c>
      <c r="GN2" s="37">
        <f>IFERROR(AVERAGEIFS(Accounts!$AX:$AX,Accounts!$AS:$AS, "Field Services",Accounts!$B:$B,"none",Accounts!$AX:$AX,"&gt;0"),0)</f>
        <v>0</v>
      </c>
      <c r="GO2" s="59">
        <f>SUMIFS(Accounts!$AA:$AA,Accounts!$B:$B,"Customer",Accounts!$AS:$AS, "Field Services") + SUMIFS(Accounts!$AH:$AH,Accounts!$B:$B,"Customer",Accounts!$AS:$AS, "Field Services") + SUMIFS(Accounts!$AJ:$AJ,Accounts!$B:$B,"Customer",Accounts!$AS:$AS, "Field Services") + SUMIFS(Accounts!$AI:$AI,Accounts!$B:$B,"Customer",Accounts!$AS:$AS, "Field Services") + SUMIFS(Accounts!$AO:$AO,Accounts!$B:$B,"Customer",Accounts!$AS:$AS, "Field Services")</f>
        <v>0</v>
      </c>
      <c r="GP2" s="59">
        <f>(SUMIFS(Accounts!$AC:$AC,Accounts!$B:$B,"Customer",Accounts!$AS:$AS, "Field Services")+SUMIFS(Accounts!$AF:$AF,Accounts!$B:$B,"Customer",Accounts!$AS:$AS, "Field Services")+SUMIFS(Accounts!$AK:$AK,Accounts!$B:$B,"Customer",Accounts!$AS:$AS, "Field Services"))</f>
        <v>0</v>
      </c>
      <c r="GQ2" s="59">
        <f>SUMIFS(Accounts!$AB:$AB,Accounts!$B:$B,"Customer",Accounts!$AS:$AS, "Field Services")</f>
        <v>0</v>
      </c>
      <c r="GR2" s="59">
        <f>SUMIFS(Accounts!$AD:$AD,Accounts!$B:$B,"Customer",Accounts!$AS:$AS, "Field Services")+SUMIFS(Accounts!$AM:$AM,Accounts!$B:$B,"Customer",Accounts!$AS:$AS, "Field Services")+SUMIFS(Accounts!$AN:$AN,Accounts!$B:$B,"Customer",Accounts!$AS:$AS, "Field Services")</f>
        <v>0</v>
      </c>
      <c r="GS2" s="59">
        <f>SUMIFS(Accounts!$AE:$AE,Accounts!$B:$B,"Customer",Accounts!$AS:$AS, "Field Services") + SUMIFS(Accounts!$AP:$AP,Accounts!$B:$B,"Customer",Accounts!$AS:$AS, "Field Services")</f>
        <v>0</v>
      </c>
      <c r="GT2" s="59">
        <f>SUMIFS(Accounts!$Z:$Z,Accounts!$B:$B,"Customer",Accounts!$AS:$AS, "Field Services")</f>
        <v>0</v>
      </c>
      <c r="GU2" s="59">
        <f>SUMIFS(Accounts!$AG:$AG,Accounts!$B:$B,"Customer",Accounts!$AS:$AS, "Field Services") + SUMIFS(Accounts!$AL:$AL,Accounts!$B:$B,"Customer",Accounts!$AS:$AS, "Field Services")</f>
        <v>0</v>
      </c>
      <c r="GV2" s="59">
        <f>SUMIFS(Accounts!$AQ:$AQ,Accounts!$B:$B,"Customer",Accounts!$AS:$AS, "Field Services")</f>
        <v>0</v>
      </c>
      <c r="GW2" s="59">
        <f>SUMIFS(Accounts!$AA:$AA,Accounts!$B:$B,"none",Accounts!$AS:$AS, "Field Services") + SUMIFS(Accounts!$AH:$AH,Accounts!$B:$B,"none",Accounts!$AS:$AS, "Field Services") + SUMIFS(Accounts!$AJ:$AJ,Accounts!$B:$B,"none",Accounts!$AS:$AS, "Field Services") + SUMIFS(Accounts!$AI:$AI,Accounts!$B:$B,"none",Accounts!$AS:$AS, "Field Services") + SUMIFS(Accounts!$AO:$AO,Accounts!$B:$B,"none",Accounts!$AS:$AS, "Field Services")</f>
        <v>0</v>
      </c>
      <c r="GX2" s="59">
        <f>(SUMIFS(Accounts!$AC:$AC,Accounts!$B:$B,"none",Accounts!$AS:$AS, "Field Services")+SUMIFS(Accounts!$AF:$AF,Accounts!$B:$B,"none",Accounts!$AS:$AS, "Field Services")+SUMIFS(Accounts!$AK:$AK,Accounts!$B:$B,"none",Accounts!$AS:$AS, "Field Services"))</f>
        <v>0</v>
      </c>
      <c r="GY2" s="59">
        <f>SUMIFS(Accounts!$AB:$AB,Accounts!$B:$B,"none",Accounts!$AS:$AS, "Field Services")</f>
        <v>0</v>
      </c>
      <c r="GZ2" s="59">
        <f>SUMIFS(Accounts!$AD:$AD,Accounts!$B:$B,"none",Accounts!$AS:$AS, "Field Services")+SUMIFS(Accounts!$AM:$AM,Accounts!$B:$B,"none",Accounts!$AS:$AS, "Field Services")+SUMIFS(Accounts!$AN:$AN,Accounts!$B:$B,"none",Accounts!$AS:$AS, "Field Services")</f>
        <v>0</v>
      </c>
      <c r="HA2" s="43">
        <f>SUMIFS(Accounts!$AE:$AE,Accounts!$B:$B,"none",Accounts!$AS:$AS, "Field Services") + SUMIFS(Accounts!$AP:$AP,Accounts!$B:$B,"none",Accounts!$AS:$AS, "Field Services")</f>
        <v>0</v>
      </c>
      <c r="HB2" s="59">
        <f>SUMIFS(Accounts!$Z:$Z,Accounts!$B:$B,"none",Accounts!$AS:$AS, "Field Services")</f>
        <v>0</v>
      </c>
      <c r="HC2" s="43">
        <f>SUMIFS(Accounts!$AG:$AG,Accounts!$B:$B,"none",Accounts!$AS:$AS, "Field Services") + SUMIFS(Accounts!$AL:$AL,Accounts!$B:$B,"none",Accounts!$AS:$AS, "Field Services")</f>
        <v>0</v>
      </c>
      <c r="HD2" s="59">
        <f>SUMIFS(Accounts!$AQ:$AQ,Accounts!$B:$B,"none",Accounts!$AS:$AS, "Field Services")</f>
        <v>0</v>
      </c>
      <c r="HE2" s="38" t="e">
        <f>((HE8+HE11)/((HE7*$C$2)+(0.5*HE10*$C$2)))*$C$2</f>
        <v>#VALUE!</v>
      </c>
      <c r="HF2" s="43">
        <f>COUNTIFS(Accounts!$AS:$AS, "Consulting and Professional Services",Accounts!$B:$B,"none")</f>
        <v>0</v>
      </c>
      <c r="HG2" s="37">
        <f>COUNTIFS(Accounts!$AS:$AS, "Consulting and Professional Services",Accounts!$B:$B,"Customer")</f>
        <v>0</v>
      </c>
      <c r="HH2" s="41">
        <f>SUMIFS(Accounts!$I:$I,Accounts!$AS:$AS, "Consulting and Professional Services")</f>
        <v>0</v>
      </c>
      <c r="HI2" s="41">
        <f>SUMIFS(Accounts!$N:$N,Accounts!$AS:$AS, "Consulting and Professional Services")</f>
        <v>0</v>
      </c>
      <c r="HJ2" s="41" t="e">
        <f>HH2/(HG2+HE10)</f>
        <v>#DIV/0!</v>
      </c>
      <c r="HK2" s="41" t="e">
        <f>(HH2+HI2)/(HG2+HE10)</f>
        <v>#DIV/0!</v>
      </c>
      <c r="HL2" s="41" t="e">
        <f>HE6*HJ2</f>
        <v>#VALUE!</v>
      </c>
      <c r="HM2" s="41">
        <f>IFERROR(AVERAGEIFS(Accounts!$AY:$AY,Accounts!$AS:$AS, "Consulting and Professional Services",Accounts!$B:$B,"Customer",Accounts!$AY:$AY,"&gt;0"),0)</f>
        <v>0</v>
      </c>
      <c r="HN2" s="37">
        <f>IFERROR(AVERAGEIFS(Accounts!$AX:$AX,Accounts!$AS:$AS, "Consulting and Professional Services",Accounts!$B:$B,"Customer",Accounts!$AX:$AX,"&gt;0"),0)</f>
        <v>0</v>
      </c>
      <c r="HO2" s="41">
        <f>IFERROR(AVERAGEIFS(Accounts!$AY:$AY,Accounts!$AS:$AS, "Consulting and Professional Services",Accounts!$B:$B,"none",Accounts!$AY:$AY,"&gt;0"),0)</f>
        <v>0</v>
      </c>
      <c r="HP2" s="37">
        <f>IFERROR(AVERAGEIFS(Accounts!$AX:$AX,Accounts!$AS:$AS, "Consulting and Professional Services",Accounts!$B:$B,"none",Accounts!$AX:$AX,"&gt;0"),0)</f>
        <v>0</v>
      </c>
      <c r="HQ2" s="59">
        <f>SUMIFS(Accounts!$AA:$AA,Accounts!$B:$B,"Customer",Accounts!$AS:$AS, "Consulting and Professional Services") + SUMIFS(Accounts!$AH:$AH,Accounts!$B:$B,"Customer",Accounts!$AS:$AS, "Consulting and Professional Services") + SUMIFS(Accounts!$AJ:$AJ,Accounts!$B:$B,"Customer",Accounts!$AS:$AS, "Consulting and Professional Services") + SUMIFS(Accounts!$AI:$AI,Accounts!$B:$B,"Customer",Accounts!$AS:$AS, "Consulting and Professional Services") + SUMIFS(Accounts!$AO:$AO,Accounts!$B:$B,"Customer",Accounts!$AS:$AS, "Consulting and Professional Services")</f>
        <v>0</v>
      </c>
      <c r="HR2" s="59">
        <f>(SUMIFS(Accounts!$AC:$AC,Accounts!$B:$B,"Customer",Accounts!$AS:$AS, "Consulting and Professional Services")+SUMIFS(Accounts!$AF:$AF,Accounts!$B:$B,"Customer",Accounts!$AS:$AS, "Consulting and Professional Services")+SUMIFS(Accounts!$AK:$AK,Accounts!$B:$B,"Customer",Accounts!$AS:$AS, "Consulting and Professional Services"))</f>
        <v>0</v>
      </c>
      <c r="HS2" s="59">
        <f>SUMIFS(Accounts!$AB:$AB,Accounts!$B:$B,"Customer",Accounts!$AS:$AS, "Consulting and Professional Services")</f>
        <v>0</v>
      </c>
      <c r="HT2" s="59">
        <f>SUMIFS(Accounts!$AD:$AD,Accounts!$B:$B,"Customer",Accounts!$AS:$AS, "Consulting and Professional Services")+SUMIFS(Accounts!$AM:$AM,Accounts!$B:$B,"Customer",Accounts!$AS:$AS, "Consulting and Professional Services")+SUMIFS(Accounts!$AN:$AN,Accounts!$B:$B,"Customer",Accounts!$AS:$AS, "Consulting and Professional Services")</f>
        <v>0</v>
      </c>
      <c r="HU2" s="59">
        <f>SUMIFS(Accounts!$AE:$AE,Accounts!$B:$B,"Customer",Accounts!$AS:$AS, "Consulting and Professional Services") + SUMIFS(Accounts!$AP:$AP,Accounts!$B:$B,"Customer",Accounts!$AS:$AS, "Consulting and Professional Services")</f>
        <v>0</v>
      </c>
      <c r="HV2" s="59">
        <f>SUMIFS(Accounts!$Z:$Z,Accounts!$B:$B,"Customer",Accounts!$AS:$AS, "Consulting and Professional Services")</f>
        <v>0</v>
      </c>
      <c r="HW2" s="59">
        <f>SUMIFS(Accounts!$AG:$AG,Accounts!$B:$B,"Customer",Accounts!$AS:$AS, "Consulting and Professional Services") + SUMIFS(Accounts!$AL:$AL,Accounts!$B:$B,"Customer",Accounts!$AS:$AS, "Consulting and Professional Services")</f>
        <v>0</v>
      </c>
      <c r="HX2" s="59">
        <f>SUMIFS(Accounts!$AQ:$AQ,Accounts!$B:$B,"Customer",Accounts!$AS:$AS, "Consulting and Professional Services")</f>
        <v>0</v>
      </c>
      <c r="HY2" s="59">
        <f>SUMIFS(Accounts!$AA:$AA,Accounts!$B:$B,"none",Accounts!$AS:$AS, "Consulting and Professional Services") + SUMIFS(Accounts!$AH:$AH,Accounts!$B:$B,"none",Accounts!$AS:$AS, "Consulting and Professional Services") + SUMIFS(Accounts!$AJ:$AJ,Accounts!$B:$B,"none",Accounts!$AS:$AS, "Consulting and Professional Services") + SUMIFS(Accounts!$AI:$AI,Accounts!$B:$B,"none",Accounts!$AS:$AS, "Consulting and Professional Services") + SUMIFS(Accounts!$AO:$AO,Accounts!$B:$B,"none",Accounts!$AS:$AS, "Consulting and Professional Services")</f>
        <v>0</v>
      </c>
      <c r="HZ2" s="59">
        <f>(SUMIFS(Accounts!$AC:$AC,Accounts!$B:$B,"none",Accounts!$AS:$AS, "Consulting and Professional Services")+SUMIFS(Accounts!$AF:$AF,Accounts!$B:$B,"none",Accounts!$AS:$AS, "Consulting and Professional Services")+SUMIFS(Accounts!$AK:$AK,Accounts!$B:$B,"none",Accounts!$AS:$AS, "Consulting and Professional Services"))</f>
        <v>0</v>
      </c>
      <c r="IA2" s="59">
        <f>SUMIFS(Accounts!$AB:$AB,Accounts!$B:$B,"none",Accounts!$AS:$AS, "Consulting and Professional Services")</f>
        <v>0</v>
      </c>
      <c r="IB2" s="59">
        <f>SUMIFS(Accounts!$AD:$AD,Accounts!$B:$B,"none",Accounts!$AS:$AS, "Consulting and Professional Services")+SUMIFS(Accounts!$AM:$AM,Accounts!$B:$B,"none",Accounts!$AS:$AS, "Consulting and Professional Services")+SUMIFS(Accounts!$AN:$AN,Accounts!$B:$B,"none",Accounts!$AS:$AS, "Consulting and Professional Services")</f>
        <v>0</v>
      </c>
      <c r="IC2" s="43">
        <f>SUMIFS(Accounts!$AE:$AE,Accounts!$B:$B,"none",Accounts!$AS:$AS, "Consulting and Professional Services") + SUMIFS(Accounts!$AP:$AP,Accounts!$B:$B,"none",Accounts!$AS:$AS, "Consulting and Professional Services")</f>
        <v>0</v>
      </c>
      <c r="ID2" s="59">
        <f>SUMIFS(Accounts!$Z:$Z,Accounts!$B:$B,"none",Accounts!$AS:$AS, "Consulting and Professional Services")</f>
        <v>0</v>
      </c>
      <c r="IE2" s="43">
        <f>SUMIFS(Accounts!$AG:$AG,Accounts!$B:$B,"none",Accounts!$AS:$AS, "Consulting and Professional Services") + SUMIFS(Accounts!$AL:$AL,Accounts!$B:$B,"none",Accounts!$AS:$AS, "Consulting and Professional Services")</f>
        <v>0</v>
      </c>
      <c r="IF2" s="59">
        <f>SUMIFS(Accounts!$AQ:$AQ,Accounts!$B:$B,"none",Accounts!$AS:$AS, "Consulting and Professional Services")</f>
        <v>0</v>
      </c>
      <c r="IG2" s="38" t="e">
        <f>((IG8+IG11)/((IG7*$C$2)+(0.5*IG10*$C$2)))*$C$2</f>
        <v>#VALUE!</v>
      </c>
      <c r="IH2" s="43">
        <f>COUNTIFS(Accounts!$AS:$AS, "Retail",Accounts!$B:$B,"none")</f>
        <v>0</v>
      </c>
      <c r="II2" s="37">
        <f>COUNTIFS(Accounts!$AS:$AS, "Retail",Accounts!$B:$B,"Customer")</f>
        <v>0</v>
      </c>
      <c r="IJ2" s="41">
        <f>SUMIFS(Accounts!$I:$I,Accounts!$AS:$AS, "Retail")</f>
        <v>0</v>
      </c>
      <c r="IK2" s="41">
        <f>SUMIFS(Accounts!$N:$N,Accounts!$AS:$AS, "Retail")</f>
        <v>0</v>
      </c>
      <c r="IL2" s="41" t="e">
        <f>IJ2/(II2+IG10)</f>
        <v>#DIV/0!</v>
      </c>
      <c r="IM2" s="41" t="e">
        <f>(IJ2+IK2)/(II2+IG10)</f>
        <v>#DIV/0!</v>
      </c>
      <c r="IN2" s="41" t="e">
        <f>IG6*IL2</f>
        <v>#VALUE!</v>
      </c>
      <c r="IO2" s="41">
        <f>IFERROR(AVERAGEIFS(Accounts!$AY:$AY,Accounts!$AS:$AS, "Retail",Accounts!$B:$B,"Customer",Accounts!$AY:$AY,"&gt;0"),0)</f>
        <v>0</v>
      </c>
      <c r="IP2" s="37">
        <f>IFERROR(AVERAGEIFS(Accounts!$AX:$AX,Accounts!$AS:$AS, "Retail",Accounts!$B:$B,"Customer",Accounts!$AX:$AX,"&gt;0"),0)</f>
        <v>0</v>
      </c>
      <c r="IQ2" s="41">
        <f>IFERROR(AVERAGEIFS(Accounts!$AY:$AY,Accounts!$AS:$AS, "Retail",Accounts!$B:$B,"none",Accounts!$AY:$AY,"&gt;0"),0)</f>
        <v>0</v>
      </c>
      <c r="IR2" s="37">
        <f>IFERROR(AVERAGEIFS(Accounts!$AX:$AX,Accounts!$AS:$AS, "Retail",Accounts!$B:$B,"none",Accounts!$AX:$AX,"&gt;0"),0)</f>
        <v>0</v>
      </c>
      <c r="IS2" s="59">
        <f>SUMIFS(Accounts!$AA:$AA,Accounts!$B:$B,"Customer",Accounts!$AS:$AS, "Retail") + SUMIFS(Accounts!$AH:$AH,Accounts!$B:$B,"Customer",Accounts!$AS:$AS, "Retail") + SUMIFS(Accounts!$AJ:$AJ,Accounts!$B:$B,"Customer",Accounts!$AS:$AS, "Retail") + SUMIFS(Accounts!$AI:$AI,Accounts!$B:$B,"Customer",Accounts!$AS:$AS, "Retail") + SUMIFS(Accounts!$AO:$AO,Accounts!$B:$B,"Customer",Accounts!$AS:$AS, "Retail")</f>
        <v>0</v>
      </c>
      <c r="IT2" s="59">
        <f>(SUMIFS(Accounts!$AC:$AC,Accounts!$B:$B,"Customer",Accounts!$AS:$AS, "Retail")+SUMIFS(Accounts!$AF:$AF,Accounts!$B:$B,"Customer",Accounts!$AS:$AS, "Retail")+SUMIFS(Accounts!$AK:$AK,Accounts!$B:$B,"Customer",Accounts!$AS:$AS, "Retail"))</f>
        <v>0</v>
      </c>
      <c r="IU2" s="59">
        <f>SUMIFS(Accounts!$AB:$AB,Accounts!$B:$B,"Customer",Accounts!$AS:$AS, "Retail")</f>
        <v>0</v>
      </c>
      <c r="IV2" s="59">
        <f>SUMIFS(Accounts!$AD:$AD,Accounts!$B:$B,"Customer",Accounts!$AS:$AS, "Retail")+SUMIFS(Accounts!$AM:$AM,Accounts!$B:$B,"Customer",Accounts!$AS:$AS, "Retail")+SUMIFS(Accounts!$AN:$AN,Accounts!$B:$B,"Customer",Accounts!$AS:$AS, "Retail")</f>
        <v>0</v>
      </c>
      <c r="IW2" s="59">
        <f>SUMIFS(Accounts!$AE:$AE,Accounts!$B:$B,"Customer",Accounts!$AS:$AS, "Retail") + SUMIFS(Accounts!$AP:$AP,Accounts!$B:$B,"Customer",Accounts!$AS:$AS, "Retail")</f>
        <v>0</v>
      </c>
      <c r="IX2" s="59">
        <f>SUMIFS(Accounts!$Z:$Z,Accounts!$B:$B,"Customer",Accounts!$AS:$AS, "Retail")</f>
        <v>0</v>
      </c>
      <c r="IY2" s="59">
        <f>SUMIFS(Accounts!$AG:$AG,Accounts!$B:$B,"Customer",Accounts!$AS:$AS, "Retail") + SUMIFS(Accounts!$AL:$AL,Accounts!$B:$B,"Customer",Accounts!$AS:$AS, "Retail")</f>
        <v>0</v>
      </c>
      <c r="IZ2" s="59">
        <f>SUMIFS(Accounts!$AQ:$AQ,Accounts!$B:$B,"Customer",Accounts!$AS:$AS, "Retail")</f>
        <v>0</v>
      </c>
      <c r="JA2" s="59">
        <f>SUMIFS(Accounts!$AA:$AA,Accounts!$B:$B,"none",Accounts!$AS:$AS, "Retail") + SUMIFS(Accounts!$AH:$AH,Accounts!$B:$B,"none",Accounts!$AS:$AS, "Retail") + SUMIFS(Accounts!$AJ:$AJ,Accounts!$B:$B,"none",Accounts!$AS:$AS, "Retail") + SUMIFS(Accounts!$AI:$AI,Accounts!$B:$B,"none",Accounts!$AS:$AS, "Retail") + SUMIFS(Accounts!$AO:$AO,Accounts!$B:$B,"none",Accounts!$AS:$AS, "Retail")</f>
        <v>0</v>
      </c>
      <c r="JB2" s="59">
        <f>(SUMIFS(Accounts!$AC:$AC,Accounts!$B:$B,"none",Accounts!$AS:$AS, "Retail")+SUMIFS(Accounts!$AF:$AF,Accounts!$B:$B,"none",Accounts!$AS:$AS, "Retail")+SUMIFS(Accounts!$AK:$AK,Accounts!$B:$B,"none",Accounts!$AS:$AS, "Retail"))</f>
        <v>0</v>
      </c>
      <c r="JC2" s="59">
        <f>SUMIFS(Accounts!$AB:$AB,Accounts!$B:$B,"none",Accounts!$AS:$AS, "Retail")</f>
        <v>0</v>
      </c>
      <c r="JD2" s="59">
        <f>SUMIFS(Accounts!$AD:$AD,Accounts!$B:$B,"none",Accounts!$AS:$AS, "Retail")+SUMIFS(Accounts!$AM:$AM,Accounts!$B:$B,"none",Accounts!$AS:$AS, "Retail")+SUMIFS(Accounts!$AN:$AN,Accounts!$B:$B,"none",Accounts!$AS:$AS, "Retail")</f>
        <v>0</v>
      </c>
      <c r="JE2" s="43">
        <f>SUMIFS(Accounts!$AE:$AE,Accounts!$B:$B,"none",Accounts!$AS:$AS, "Retail") + SUMIFS(Accounts!$AP:$AP,Accounts!$B:$B,"none",Accounts!$AS:$AS, "Retail")</f>
        <v>0</v>
      </c>
      <c r="JF2" s="59">
        <f>SUMIFS(Accounts!$Z:$Z,Accounts!$B:$B,"none",Accounts!$AS:$AS, "Retail")</f>
        <v>0</v>
      </c>
      <c r="JG2" s="43">
        <f>SUMIFS(Accounts!$AG:$AG,Accounts!$B:$B,"none",Accounts!$AS:$AS, "Retail") + SUMIFS(Accounts!$AL:$AL,Accounts!$B:$B,"none",Accounts!$AS:$AS, "Retail")</f>
        <v>0</v>
      </c>
      <c r="JH2" s="59">
        <f>SUMIFS(Accounts!$AQ:$AQ,Accounts!$B:$B,"none",Accounts!$AS:$AS, "Retail")</f>
        <v>0</v>
      </c>
      <c r="JI2" s="38" t="e">
        <f>((JI8+JI11)/((JI7*$C$2)+(0.5*JI10*$C$2)))*$C$2</f>
        <v>#VALUE!</v>
      </c>
      <c r="JJ2" s="43">
        <f>COUNTIFS(Accounts!$AS:$AS, "Non-profit, govt or religious organization",Accounts!$B:$B,"none")</f>
        <v>0</v>
      </c>
      <c r="JK2" s="37">
        <f>COUNTIFS(Accounts!$AS:$AS, "Non-profit, govt or religious organization",Accounts!$B:$B,"Customer")</f>
        <v>0</v>
      </c>
      <c r="JL2" s="41">
        <f>SUMIFS(Accounts!$I:$I,Accounts!$AS:$AS, "Non-profit, govt or religious organization")</f>
        <v>0</v>
      </c>
      <c r="JM2" s="41">
        <f>SUMIFS(Accounts!$N:$N,Accounts!$AS:$AS, "Non-profit, govt or religious organization")</f>
        <v>0</v>
      </c>
      <c r="JN2" s="41" t="e">
        <f>JL2/(JK2+JI10)</f>
        <v>#DIV/0!</v>
      </c>
      <c r="JO2" s="41" t="e">
        <f>(JL2+JM2)/(JK2+JI10)</f>
        <v>#DIV/0!</v>
      </c>
      <c r="JP2" s="41" t="e">
        <f>JI6*JN2</f>
        <v>#VALUE!</v>
      </c>
      <c r="JQ2" s="41">
        <f>IFERROR(AVERAGEIFS(Accounts!$AY:$AY,Accounts!$AS:$AS, "Non-profit, govt or religious organization",Accounts!$B:$B,"Customer",Accounts!$AY:$AY,"&gt;0"),0)</f>
        <v>0</v>
      </c>
      <c r="JR2" s="37">
        <f>IFERROR(AVERAGEIFS(Accounts!$AX:$AX,Accounts!$AS:$AS, "Non-profit, govt or religious organization",Accounts!$B:$B,"Customer",Accounts!$AX:$AX,"&gt;0"),0)</f>
        <v>0</v>
      </c>
      <c r="JS2" s="41">
        <f>IFERROR(AVERAGEIFS(Accounts!$AY:$AY,Accounts!$AS:$AS, "Non-profit, govt or religious organization",Accounts!$B:$B,"none",Accounts!$AY:$AY,"&gt;0"),0)</f>
        <v>0</v>
      </c>
      <c r="JT2" s="37">
        <f>IFERROR(AVERAGEIFS(Accounts!$AX:$AX,Accounts!$AS:$AS, "Non-profit, govt or religious organization",Accounts!$B:$B,"none",Accounts!$AX:$AX,"&gt;0"),0)</f>
        <v>0</v>
      </c>
      <c r="JU2" s="59">
        <f>SUMIFS(Accounts!$AA:$AA,Accounts!$B:$B,"Customer",Accounts!$AS:$AS, "Non-profit, govt or religious organization") + SUMIFS(Accounts!$AH:$AH,Accounts!$B:$B,"Customer",Accounts!$AS:$AS, "Non-profit, govt or religious organization") + SUMIFS(Accounts!$AJ:$AJ,Accounts!$B:$B,"Customer",Accounts!$AS:$AS, "Non-profit, govt or religious organization") + SUMIFS(Accounts!$AI:$AI,Accounts!$B:$B,"Customer",Accounts!$AS:$AS, "Non-profit, govt or religious organization") + SUMIFS(Accounts!$AO:$AO,Accounts!$B:$B,"Customer",Accounts!$AS:$AS, "Non-profit, govt or religious organization")</f>
        <v>0</v>
      </c>
      <c r="JV2" s="59">
        <f>(SUMIFS(Accounts!$AC:$AC,Accounts!$B:$B,"Customer",Accounts!$AS:$AS, "Non-profit, govt or religious organization")+SUMIFS(Accounts!$AF:$AF,Accounts!$B:$B,"Customer",Accounts!$AS:$AS, "Non-profit, govt or religious organization")+SUMIFS(Accounts!$AK:$AK,Accounts!$B:$B,"Customer",Accounts!$AS:$AS, "Non-profit, govt or religious organization"))</f>
        <v>0</v>
      </c>
      <c r="JW2" s="59">
        <f>SUMIFS(Accounts!$AB:$AB,Accounts!$B:$B,"Customer",Accounts!$AS:$AS, "Non-profit, govt or religious organization")</f>
        <v>0</v>
      </c>
      <c r="JX2" s="59">
        <f>SUMIFS(Accounts!$AD:$AD,Accounts!$B:$B,"Customer",Accounts!$AS:$AS, "Non-profit, govt or religious organization")+SUMIFS(Accounts!$AM:$AM,Accounts!$B:$B,"Customer",Accounts!$AS:$AS, "Non-profit, govt or religious organization")+SUMIFS(Accounts!$AN:$AN,Accounts!$B:$B,"Customer",Accounts!$AS:$AS, "Non-profit, govt or religious organization")</f>
        <v>0</v>
      </c>
      <c r="JY2" s="59">
        <f>SUMIFS(Accounts!$AE:$AE,Accounts!$B:$B,"Customer",Accounts!$AS:$AS, "Non-profit, govt or religious organization") + SUMIFS(Accounts!$AP:$AP,Accounts!$B:$B,"Customer",Accounts!$AS:$AS, "Non-profit, govt or religious organization")</f>
        <v>0</v>
      </c>
      <c r="JZ2" s="59">
        <f>SUMIFS(Accounts!$Z:$Z,Accounts!$B:$B,"Customer",Accounts!$AS:$AS, "Non-profit, govt or religious organization")</f>
        <v>0</v>
      </c>
      <c r="KA2" s="59">
        <f>SUMIFS(Accounts!$AG:$AG,Accounts!$B:$B,"Customer",Accounts!$AS:$AS, "Non-profit, govt or religious organization") + SUMIFS(Accounts!$AL:$AL,Accounts!$B:$B,"Customer",Accounts!$AS:$AS, "Non-profit, govt or religious organization")</f>
        <v>0</v>
      </c>
      <c r="KB2" s="59">
        <f>SUMIFS(Accounts!$AQ:$AQ,Accounts!$B:$B,"Customer",Accounts!$AS:$AS, "Non-profit, govt or religious organization")</f>
        <v>0</v>
      </c>
      <c r="KC2" s="59">
        <f>SUMIFS(Accounts!$AA:$AA,Accounts!$B:$B,"none",Accounts!$AS:$AS, "Non-profit, govt or religious organization") + SUMIFS(Accounts!$AH:$AH,Accounts!$B:$B,"none",Accounts!$AS:$AS, "Non-profit, govt or religious organization") + SUMIFS(Accounts!$AJ:$AJ,Accounts!$B:$B,"none",Accounts!$AS:$AS, "Non-profit, govt or religious organization") + SUMIFS(Accounts!$AI:$AI,Accounts!$B:$B,"none",Accounts!$AS:$AS, "Non-profit, govt or religious organization") + SUMIFS(Accounts!$AO:$AO,Accounts!$B:$B,"none",Accounts!$AS:$AS, "Non-profit, govt or religious organization")</f>
        <v>0</v>
      </c>
      <c r="KD2" s="59">
        <f>(SUMIFS(Accounts!$AC:$AC,Accounts!$B:$B,"none",Accounts!$AS:$AS, "Non-profit, govt or religious organization")+SUMIFS(Accounts!$AF:$AF,Accounts!$B:$B,"none",Accounts!$AS:$AS, "Non-profit, govt or religious organization")+SUMIFS(Accounts!$AK:$AK,Accounts!$B:$B,"none",Accounts!$AS:$AS, "Non-profit, govt or religious organization"))</f>
        <v>0</v>
      </c>
      <c r="KE2" s="59">
        <f>SUMIFS(Accounts!$AB:$AB,Accounts!$B:$B,"none",Accounts!$AS:$AS, "Non-profit, govt or religious organization")</f>
        <v>0</v>
      </c>
      <c r="KF2" s="59">
        <f>SUMIFS(Accounts!$AD:$AD,Accounts!$B:$B,"none",Accounts!$AS:$AS, "Non-profit, govt or religious organization")+SUMIFS(Accounts!$AM:$AM,Accounts!$B:$B,"none",Accounts!$AS:$AS, "Non-profit, govt or religious organization")+SUMIFS(Accounts!$AN:$AN,Accounts!$B:$B,"none",Accounts!$AS:$AS, "Non-profit, govt or religious organization")</f>
        <v>0</v>
      </c>
      <c r="KG2" s="43">
        <f>SUMIFS(Accounts!$AE:$AE,Accounts!$B:$B,"none",Accounts!$AS:$AS, "Non-profit, govt or religious organization") + SUMIFS(Accounts!$AP:$AP,Accounts!$B:$B,"none",Accounts!$AS:$AS, "Non-profit, govt or religious organization")</f>
        <v>0</v>
      </c>
      <c r="KH2" s="59">
        <f>SUMIFS(Accounts!$Z:$Z,Accounts!$B:$B,"none",Accounts!$AS:$AS, "Non-profit, govt or religious organization")</f>
        <v>0</v>
      </c>
      <c r="KI2" s="43">
        <f>SUMIFS(Accounts!$AG:$AG,Accounts!$B:$B,"none",Accounts!$AS:$AS, "Non-profit, govt or religious organization") + SUMIFS(Accounts!$AL:$AL,Accounts!$B:$B,"none",Accounts!$AS:$AS, "Non-profit, govt or religious organization")</f>
        <v>0</v>
      </c>
      <c r="KJ2" s="59">
        <f>SUMIFS(Accounts!$AQ:$AQ,Accounts!$B:$B,"none",Accounts!$AS:$AS, "Non-profit, govt or religious organization")</f>
        <v>0</v>
      </c>
      <c r="KK2" s="38" t="e">
        <f>((KK8+KK11)/((KK7*$C$2)+(0.5*KK10*$C$2)))*$C$2</f>
        <v>#VALUE!</v>
      </c>
      <c r="KL2" s="43">
        <f>COUNTIFS(Accounts!$AS:$AS, "Communications, Entertainment and Media",Accounts!$B:$B,"none")</f>
        <v>0</v>
      </c>
      <c r="KM2" s="37">
        <f>COUNTIFS(Accounts!$AS:$AS, "Communications, Entertainment and Media",Accounts!$B:$B,"Customer")</f>
        <v>0</v>
      </c>
      <c r="KN2" s="41">
        <f>SUMIFS(Accounts!$I:$I,Accounts!$AS:$AS, "Communications, Entertainment and Media")</f>
        <v>0</v>
      </c>
      <c r="KO2" s="41">
        <f>SUMIFS(Accounts!$N:$N,Accounts!$AS:$AS, "Communications, Entertainment and Media")</f>
        <v>0</v>
      </c>
      <c r="KP2" s="41" t="e">
        <f>KN2/(KM2+KK10)</f>
        <v>#DIV/0!</v>
      </c>
      <c r="KQ2" s="41" t="e">
        <f>(KN2+KO2)/(KM2+KK10)</f>
        <v>#DIV/0!</v>
      </c>
      <c r="KR2" s="41" t="e">
        <f>KK6*KP2</f>
        <v>#VALUE!</v>
      </c>
      <c r="KS2" s="41">
        <f>IFERROR(AVERAGEIFS(Accounts!$AY:$AY,Accounts!$AS:$AS, "Communications, Entertainment and Media",Accounts!$B:$B,"Customer",Accounts!$AY:$AY,"&gt;0"),0)</f>
        <v>0</v>
      </c>
      <c r="KT2" s="37">
        <f>IFERROR(AVERAGEIFS(Accounts!$AX:$AX,Accounts!$AS:$AS, "Communications, Entertainment and Media",Accounts!$B:$B,"Customer",Accounts!$AX:$AX,"&gt;0"),0)</f>
        <v>0</v>
      </c>
      <c r="KU2" s="41">
        <f>IFERROR(AVERAGEIFS(Accounts!$AY:$AY,Accounts!$AS:$AS, "Communications, Entertainment and Media",Accounts!$B:$B,"none",Accounts!$AY:$AY,"&gt;0"),0)</f>
        <v>0</v>
      </c>
      <c r="KV2" s="37">
        <f>IFERROR(AVERAGEIFS(Accounts!$AX:$AX,Accounts!$AS:$AS, "Communications, Entertainment and Media",Accounts!$B:$B,"none",Accounts!$AX:$AX,"&gt;0"),0)</f>
        <v>0</v>
      </c>
      <c r="KW2" s="59">
        <f>SUMIFS(Accounts!$AA:$AA,Accounts!$B:$B,"Customer",Accounts!$AS:$AS, "Communications, Entertainment and Media") + SUMIFS(Accounts!$AH:$AH,Accounts!$B:$B,"Customer",Accounts!$AS:$AS, "Communications, Entertainment and Media") + SUMIFS(Accounts!$AJ:$AJ,Accounts!$B:$B,"Customer",Accounts!$AS:$AS, "Communications, Entertainment and Media") + SUMIFS(Accounts!$AI:$AI,Accounts!$B:$B,"Customer",Accounts!$AS:$AS, "Communications, Entertainment and Media") + SUMIFS(Accounts!$AO:$AO,Accounts!$B:$B,"Customer",Accounts!$AS:$AS, "Communications, Entertainment and Media")</f>
        <v>0</v>
      </c>
      <c r="KX2" s="59">
        <f>(SUMIFS(Accounts!$AC:$AC,Accounts!$B:$B,"Customer",Accounts!$AS:$AS, "Communications, Entertainment and Media")+SUMIFS(Accounts!$AF:$AF,Accounts!$B:$B,"Customer",Accounts!$AS:$AS, "Communications, Entertainment and Media")+SUMIFS(Accounts!$AK:$AK,Accounts!$B:$B,"Customer",Accounts!$AS:$AS, "Communications, Entertainment and Media"))</f>
        <v>0</v>
      </c>
      <c r="KY2" s="59">
        <f>SUMIFS(Accounts!$AB:$AB,Accounts!$B:$B,"Customer",Accounts!$AS:$AS, "Communications, Entertainment and Media")</f>
        <v>0</v>
      </c>
      <c r="KZ2" s="59">
        <f>SUMIFS(Accounts!$AD:$AD,Accounts!$B:$B,"Customer",Accounts!$AS:$AS, "Communications, Entertainment and Media")+SUMIFS(Accounts!$AM:$AM,Accounts!$B:$B,"Customer",Accounts!$AS:$AS, "Communications, Entertainment and Media")+SUMIFS(Accounts!$AN:$AN,Accounts!$B:$B,"Customer",Accounts!$AS:$AS, "Communications, Entertainment and Media")</f>
        <v>0</v>
      </c>
      <c r="LA2" s="59">
        <f>SUMIFS(Accounts!$AE:$AE,Accounts!$B:$B,"Customer",Accounts!$AS:$AS, "Communications, Entertainment and Media") + SUMIFS(Accounts!$AP:$AP,Accounts!$B:$B,"Customer",Accounts!$AS:$AS, "Communications, Entertainment and Media")</f>
        <v>0</v>
      </c>
      <c r="LB2" s="59">
        <f>SUMIFS(Accounts!$Z:$Z,Accounts!$B:$B,"Customer",Accounts!$AS:$AS, "Communications, Entertainment and Media")</f>
        <v>0</v>
      </c>
      <c r="LC2" s="59">
        <f>SUMIFS(Accounts!$AG:$AG,Accounts!$B:$B,"Customer",Accounts!$AS:$AS, "Communications, Entertainment and Media") + SUMIFS(Accounts!$AL:$AL,Accounts!$B:$B,"Customer",Accounts!$AS:$AS, "Communications, Entertainment and Media")</f>
        <v>0</v>
      </c>
      <c r="LD2" s="59">
        <f>SUMIFS(Accounts!$AQ:$AQ,Accounts!$B:$B,"Customer",Accounts!$AS:$AS, "Communications, Entertainment and Media")</f>
        <v>0</v>
      </c>
      <c r="LE2" s="59">
        <f>SUMIFS(Accounts!$AA:$AA,Accounts!$B:$B,"none",Accounts!$AS:$AS, "Communications, Entertainment and Media") + SUMIFS(Accounts!$AH:$AH,Accounts!$B:$B,"none",Accounts!$AS:$AS, "Communications, Entertainment and Media") + SUMIFS(Accounts!$AJ:$AJ,Accounts!$B:$B,"none",Accounts!$AS:$AS, "Communications, Entertainment and Media") + SUMIFS(Accounts!$AI:$AI,Accounts!$B:$B,"none",Accounts!$AS:$AS, "Communications, Entertainment and Media") + SUMIFS(Accounts!$AO:$AO,Accounts!$B:$B,"none",Accounts!$AS:$AS, "Communications, Entertainment and Media")</f>
        <v>0</v>
      </c>
      <c r="LF2" s="59">
        <f>(SUMIFS(Accounts!$AC:$AC,Accounts!$B:$B,"none",Accounts!$AS:$AS, "Communications, Entertainment and Media")+SUMIFS(Accounts!$AF:$AF,Accounts!$B:$B,"none",Accounts!$AS:$AS, "Communications, Entertainment and Media")+SUMIFS(Accounts!$AK:$AK,Accounts!$B:$B,"none",Accounts!$AS:$AS, "Communications, Entertainment and Media"))</f>
        <v>0</v>
      </c>
      <c r="LG2" s="59">
        <f>SUMIFS(Accounts!$AB:$AB,Accounts!$B:$B,"none",Accounts!$AS:$AS, "Communications, Entertainment and Media")</f>
        <v>0</v>
      </c>
      <c r="LH2" s="59">
        <f>SUMIFS(Accounts!$AD:$AD,Accounts!$B:$B,"none",Accounts!$AS:$AS, "Communications, Entertainment and Media")+SUMIFS(Accounts!$AM:$AM,Accounts!$B:$B,"none",Accounts!$AS:$AS, "Communications, Entertainment and Media")+SUMIFS(Accounts!$AN:$AN,Accounts!$B:$B,"none",Accounts!$AS:$AS, "Communications, Entertainment and Media")</f>
        <v>0</v>
      </c>
      <c r="LI2" s="43">
        <f>SUMIFS(Accounts!$AE:$AE,Accounts!$B:$B,"none",Accounts!$AS:$AS, "Communications, Entertainment and Media") + SUMIFS(Accounts!$AP:$AP,Accounts!$B:$B,"none",Accounts!$AS:$AS, "Communications, Entertainment and Media")</f>
        <v>0</v>
      </c>
      <c r="LJ2" s="59">
        <f>SUMIFS(Accounts!$Z:$Z,Accounts!$B:$B,"none",Accounts!$AS:$AS, "Communications, Entertainment and Media")</f>
        <v>0</v>
      </c>
      <c r="LK2" s="43">
        <f>SUMIFS(Accounts!$AG:$AG,Accounts!$B:$B,"none",Accounts!$AS:$AS, "Communications, Entertainment and Media") + SUMIFS(Accounts!$AL:$AL,Accounts!$B:$B,"none",Accounts!$AS:$AS, "Communications, Entertainment and Media")</f>
        <v>0</v>
      </c>
      <c r="LL2" s="59">
        <f>SUMIFS(Accounts!$AQ:$AQ,Accounts!$B:$B,"none",Accounts!$AS:$AS, "Communications, Entertainment and Media")</f>
        <v>0</v>
      </c>
      <c r="LM2" s="38" t="e">
        <f>((LM8+LM11)/((LM7*$C$2)+(0.5*LM10*$C$2)))*$C$2</f>
        <v>#VALUE!</v>
      </c>
      <c r="LN2" s="43">
        <f>COUNTIFS(Accounts!$AS:$AS, "IT and computer related",Accounts!$B:$B,"none")</f>
        <v>0</v>
      </c>
      <c r="LO2" s="37">
        <f>COUNTIFS(Accounts!$AS:$AS, "IT and computer related",Accounts!$B:$B,"Customer")</f>
        <v>0</v>
      </c>
      <c r="LP2" s="41">
        <f>SUMIFS(Accounts!$I:$I,Accounts!$AS:$AS, "IT and computer related")</f>
        <v>0</v>
      </c>
      <c r="LQ2" s="41">
        <f>SUMIFS(Accounts!$N:$N,Accounts!$AS:$AS, "IT and computer related")</f>
        <v>0</v>
      </c>
      <c r="LR2" s="41" t="e">
        <f>LP2/(LO2+LM10)</f>
        <v>#DIV/0!</v>
      </c>
      <c r="LS2" s="41" t="e">
        <f>(LP2+LQ2)/(LO2+LM10)</f>
        <v>#DIV/0!</v>
      </c>
      <c r="LT2" s="41" t="e">
        <f>LM6*LR2</f>
        <v>#VALUE!</v>
      </c>
      <c r="LU2" s="41">
        <f>IFERROR(AVERAGEIFS(Accounts!$AY:$AY,Accounts!$AS:$AS, "IT and computer related",Accounts!$B:$B,"Customer",Accounts!$AY:$AY,"&gt;0"),0)</f>
        <v>0</v>
      </c>
      <c r="LV2" s="37">
        <f>IFERROR(AVERAGEIFS(Accounts!$AX:$AX,Accounts!$AS:$AS, "IT and computer related",Accounts!$B:$B,"Customer",Accounts!$AX:$AX,"&gt;0"),0)</f>
        <v>0</v>
      </c>
      <c r="LW2" s="41">
        <f>IFERROR(AVERAGEIFS(Accounts!$AY:$AY,Accounts!$AS:$AS, "IT and computer related",Accounts!$B:$B,"none",Accounts!$AY:$AY,"&gt;0"),0)</f>
        <v>0</v>
      </c>
      <c r="LX2" s="37">
        <f>IFERROR(AVERAGEIFS(Accounts!$AX:$AX,Accounts!$AS:$AS, "IT and computer related",Accounts!$B:$B,"none",Accounts!$AX:$AX,"&gt;0"),0)</f>
        <v>0</v>
      </c>
      <c r="LY2" s="59">
        <f>SUMIFS(Accounts!$AA:$AA,Accounts!$B:$B,"Customer",Accounts!$AS:$AS, "IT and computer related") + SUMIFS(Accounts!$AH:$AH,Accounts!$B:$B,"Customer",Accounts!$AS:$AS, "IT and computer related") + SUMIFS(Accounts!$AJ:$AJ,Accounts!$B:$B,"Customer",Accounts!$AS:$AS, "IT and computer related") + SUMIFS(Accounts!$AI:$AI,Accounts!$B:$B,"Customer",Accounts!$AS:$AS, "IT and computer related") + SUMIFS(Accounts!$AO:$AO,Accounts!$B:$B,"Customer",Accounts!$AS:$AS, "IT and computer related")</f>
        <v>0</v>
      </c>
      <c r="LZ2" s="59">
        <f>(SUMIFS(Accounts!$AC:$AC,Accounts!$B:$B,"Customer",Accounts!$AS:$AS, "IT and computer related")+SUMIFS(Accounts!$AF:$AF,Accounts!$B:$B,"Customer",Accounts!$AS:$AS, "IT and computer related")+SUMIFS(Accounts!$AK:$AK,Accounts!$B:$B,"Customer",Accounts!$AS:$AS, "IT and computer related"))</f>
        <v>0</v>
      </c>
      <c r="MA2" s="59">
        <f>SUMIFS(Accounts!$AB:$AB,Accounts!$B:$B,"Customer",Accounts!$AS:$AS, "IT and computer related")</f>
        <v>0</v>
      </c>
      <c r="MB2" s="59">
        <f>SUMIFS(Accounts!$AD:$AD,Accounts!$B:$B,"Customer",Accounts!$AS:$AS, "IT and computer related")+SUMIFS(Accounts!$AM:$AM,Accounts!$B:$B,"Customer",Accounts!$AS:$AS, "IT and computer related")+SUMIFS(Accounts!$AN:$AN,Accounts!$B:$B,"Customer",Accounts!$AS:$AS, "IT and computer related")</f>
        <v>0</v>
      </c>
      <c r="MC2" s="59">
        <f>SUMIFS(Accounts!$AE:$AE,Accounts!$B:$B,"Customer",Accounts!$AS:$AS, "IT and computer related") + SUMIFS(Accounts!$AP:$AP,Accounts!$B:$B,"Customer",Accounts!$AS:$AS, "IT and computer related")</f>
        <v>0</v>
      </c>
      <c r="MD2" s="59">
        <f>SUMIFS(Accounts!$Z:$Z,Accounts!$B:$B,"Customer",Accounts!$AS:$AS, "IT and computer related")</f>
        <v>0</v>
      </c>
      <c r="ME2" s="59">
        <f>SUMIFS(Accounts!$AG:$AG,Accounts!$B:$B,"Customer",Accounts!$AS:$AS, "IT and computer related") + SUMIFS(Accounts!$AL:$AL,Accounts!$B:$B,"Customer",Accounts!$AS:$AS, "IT and computer related")</f>
        <v>0</v>
      </c>
      <c r="MF2" s="59">
        <f>SUMIFS(Accounts!$AQ:$AQ,Accounts!$B:$B,"Customer",Accounts!$AS:$AS, "IT and computer related")</f>
        <v>0</v>
      </c>
      <c r="MG2" s="59">
        <f>SUMIFS(Accounts!$AA:$AA,Accounts!$B:$B,"none",Accounts!$AS:$AS, "IT and computer related") + SUMIFS(Accounts!$AH:$AH,Accounts!$B:$B,"none",Accounts!$AS:$AS, "IT and computer related") + SUMIFS(Accounts!$AJ:$AJ,Accounts!$B:$B,"none",Accounts!$AS:$AS, "IT and computer related") + SUMIFS(Accounts!$AI:$AI,Accounts!$B:$B,"none",Accounts!$AS:$AS, "IT and computer related") + SUMIFS(Accounts!$AO:$AO,Accounts!$B:$B,"none",Accounts!$AS:$AS, "IT and computer related")</f>
        <v>0</v>
      </c>
      <c r="MH2" s="59">
        <f>(SUMIFS(Accounts!$AC:$AC,Accounts!$B:$B,"none",Accounts!$AS:$AS, "IT and computer related")+SUMIFS(Accounts!$AF:$AF,Accounts!$B:$B,"none",Accounts!$AS:$AS, "IT and computer related")+SUMIFS(Accounts!$AK:$AK,Accounts!$B:$B,"none",Accounts!$AS:$AS, "IT and computer related"))</f>
        <v>0</v>
      </c>
      <c r="MI2" s="59">
        <f>SUMIFS(Accounts!$AB:$AB,Accounts!$B:$B,"none",Accounts!$AS:$AS, "IT and computer related")</f>
        <v>0</v>
      </c>
      <c r="MJ2" s="59">
        <f>SUMIFS(Accounts!$AD:$AD,Accounts!$B:$B,"none",Accounts!$AS:$AS, "IT and computer related")+SUMIFS(Accounts!$AM:$AM,Accounts!$B:$B,"none",Accounts!$AS:$AS, "IT and computer related")+SUMIFS(Accounts!$AN:$AN,Accounts!$B:$B,"none",Accounts!$AS:$AS, "IT and computer related")</f>
        <v>0</v>
      </c>
      <c r="MK2" s="43">
        <f>SUMIFS(Accounts!$AE:$AE,Accounts!$B:$B,"none",Accounts!$AS:$AS, "IT and computer related") + SUMIFS(Accounts!$AP:$AP,Accounts!$B:$B,"none",Accounts!$AS:$AS, "IT and computer related")</f>
        <v>0</v>
      </c>
      <c r="ML2" s="59">
        <f>SUMIFS(Accounts!$Z:$Z,Accounts!$B:$B,"none",Accounts!$AS:$AS, "IT and computer related")</f>
        <v>0</v>
      </c>
      <c r="MM2" s="43">
        <f>SUMIFS(Accounts!$AG:$AG,Accounts!$B:$B,"none",Accounts!$AS:$AS, "IT and computer related") + SUMIFS(Accounts!$AL:$AL,Accounts!$B:$B,"none",Accounts!$AS:$AS, "IT and computer related")</f>
        <v>0</v>
      </c>
      <c r="MN2" s="59">
        <f>SUMIFS(Accounts!$AQ:$AQ,Accounts!$B:$B,"none",Accounts!$AS:$AS, "IT and computer related")</f>
        <v>0</v>
      </c>
      <c r="MO2" s="38" t="e">
        <f>((MO8+MO11)/((MO7*$C$2)+(0.5*MO10*$C$2)))*$C$2</f>
        <v>#VALUE!</v>
      </c>
      <c r="MP2" s="43">
        <f>COUNTIFS(Accounts!$AS:$AS, {"General service based","General"},Accounts!$B:$B,"none")</f>
        <v>0</v>
      </c>
      <c r="MQ2" s="37">
        <f>COUNTIFS(Accounts!$AS:$AS, {"General service based","General"},Accounts!$B:$B,"Customer")</f>
        <v>0</v>
      </c>
      <c r="MR2" s="41">
        <f>SUMIFS(Accounts!$I:$I,Accounts!$AS:$AS, {"General service based","General"})</f>
        <v>0</v>
      </c>
      <c r="MS2" s="41">
        <f>SUMIFS(Accounts!$N:$N,Accounts!$AS:$AS, {"General service based","General"})</f>
        <v>0</v>
      </c>
      <c r="MT2" s="41" t="e">
        <f>MR2/(MQ2+MO10)</f>
        <v>#DIV/0!</v>
      </c>
      <c r="MU2" s="41" t="e">
        <f>(MR2+MS2)/(MQ2+MO10)</f>
        <v>#DIV/0!</v>
      </c>
      <c r="MV2" s="41" t="e">
        <f>MO6*MT2</f>
        <v>#VALUE!</v>
      </c>
      <c r="MW2" s="41">
        <f>IFERROR(AVERAGEIFS(Accounts!$AY:$AY,Accounts!$AS:$AS, {"General service based","General"},Accounts!$B:$B,"Customer",Accounts!$AY:$AY,"&gt;0"),0)</f>
        <v>0</v>
      </c>
      <c r="MX2" s="37">
        <f>IFERROR(AVERAGEIFS(Accounts!$AX:$AX,Accounts!$AS:$AS, {"General service based","General"},Accounts!$B:$B,"Customer",Accounts!$AX:$AX,"&gt;0"),0)</f>
        <v>0</v>
      </c>
      <c r="MY2" s="41">
        <f>IFERROR(AVERAGEIFS(Accounts!$AY:$AY,Accounts!$AS:$AS, {"General service based","General"},Accounts!$B:$B,"none",Accounts!$AY:$AY,"&gt;0"),0)</f>
        <v>0</v>
      </c>
      <c r="MZ2" s="37">
        <f>IFERROR(AVERAGEIFS(Accounts!$AX:$AX,Accounts!$AS:$AS, {"General service based","General"},Accounts!$B:$B,"none",Accounts!$AX:$AX,"&gt;0"),0)</f>
        <v>0</v>
      </c>
      <c r="NA2" s="59">
        <f>SUMIFS(Accounts!$AA:$AA,Accounts!$B:$B,"Customer",Accounts!$AS:$AS, {"General service based","General"}) + SUMIFS(Accounts!$AH:$AH,Accounts!$B:$B,"Customer",Accounts!$AS:$AS, {"General service based","General"}) + SUMIFS(Accounts!$AJ:$AJ,Accounts!$B:$B,"Customer",Accounts!$AS:$AS, {"General service based","General"}) + SUMIFS(Accounts!$AI:$AI,Accounts!$B:$B,"Customer",Accounts!$AS:$AS, {"General service based","General"}) + SUMIFS(Accounts!$AO:$AO,Accounts!$B:$B,"Customer",Accounts!$AS:$AS, {"General service based","General"})</f>
        <v>0</v>
      </c>
      <c r="NB2" s="59">
        <f>(SUMIFS(Accounts!$AC:$AC,Accounts!$B:$B,"Customer",Accounts!$AS:$AS, {"General service based","General"})+SUMIFS(Accounts!$AF:$AF,Accounts!$B:$B,"Customer",Accounts!$AS:$AS, {"General service based","General"})+SUMIFS(Accounts!$AK:$AK,Accounts!$B:$B,"Customer",Accounts!$AS:$AS, {"General service based","General"}))</f>
        <v>0</v>
      </c>
      <c r="NC2" s="59">
        <f>SUMIFS(Accounts!$AB:$AB,Accounts!$B:$B,"Customer",Accounts!$AS:$AS, {"General service based","General"})</f>
        <v>0</v>
      </c>
      <c r="ND2" s="59">
        <f>SUMIFS(Accounts!$AD:$AD,Accounts!$B:$B,"Customer",Accounts!$AS:$AS, {"General service based","General"})+SUMIFS(Accounts!$AM:$AM,Accounts!$B:$B,"Customer",Accounts!$AS:$AS, {"General service based","General"})+SUMIFS(Accounts!$AN:$AN,Accounts!$B:$B,"Customer",Accounts!$AS:$AS, {"General service based","General"})</f>
        <v>0</v>
      </c>
      <c r="NE2" s="59">
        <f>SUMIFS(Accounts!$AE:$AE,Accounts!$B:$B,"Customer",Accounts!$AS:$AS, {"General service based","General"}) + SUMIFS(Accounts!$AP:$AP,Accounts!$B:$B,"Customer",Accounts!$AS:$AS, {"General service based","General"})</f>
        <v>0</v>
      </c>
      <c r="NF2" s="59">
        <f>SUMIFS(Accounts!$Z:$Z,Accounts!$B:$B,"Customer",Accounts!$AS:$AS, {"General service based","General"})</f>
        <v>0</v>
      </c>
      <c r="NG2" s="59">
        <f>SUMIFS(Accounts!$AG:$AG,Accounts!$B:$B,"Customer",Accounts!$AS:$AS, {"General service based","General"}) + SUMIFS(Accounts!$AL:$AL,Accounts!$B:$B,"Customer",Accounts!$AS:$AS, {"General service based","General"})</f>
        <v>0</v>
      </c>
      <c r="NH2" s="59">
        <f>SUMIFS(Accounts!$AQ:$AQ,Accounts!$B:$B,"Customer",Accounts!$AS:$AS, {"General service based","General"})</f>
        <v>0</v>
      </c>
      <c r="NI2" s="59">
        <f>SUMIFS(Accounts!$AA:$AA,Accounts!$B:$B,"none",Accounts!$AS:$AS, {"General service based","General"}) + SUMIFS(Accounts!$AH:$AH,Accounts!$B:$B,"none",Accounts!$AS:$AS, {"General service based","General"}) + SUMIFS(Accounts!$AJ:$AJ,Accounts!$B:$B,"none",Accounts!$AS:$AS, {"General service based","General"}) + SUMIFS(Accounts!$AI:$AI,Accounts!$B:$B,"none",Accounts!$AS:$AS, {"General service based","General"}) + SUMIFS(Accounts!$AO:$AO,Accounts!$B:$B,"none",Accounts!$AS:$AS, {"General service based","General"})</f>
        <v>0</v>
      </c>
      <c r="NJ2" s="59">
        <f>(SUMIFS(Accounts!$AC:$AC,Accounts!$B:$B,"none",Accounts!$AS:$AS, {"General service based","General"})+SUMIFS(Accounts!$AF:$AF,Accounts!$B:$B,"none",Accounts!$AS:$AS, {"General service based","General"})+SUMIFS(Accounts!$AK:$AK,Accounts!$B:$B,"none",Accounts!$AS:$AS, {"General service based","General"}))</f>
        <v>0</v>
      </c>
      <c r="NK2" s="59">
        <f>SUMIFS(Accounts!$AB:$AB,Accounts!$B:$B,"none",Accounts!$AS:$AS, {"General service based","General"})</f>
        <v>0</v>
      </c>
      <c r="NL2" s="59">
        <f>SUMIFS(Accounts!$AD:$AD,Accounts!$B:$B,"none",Accounts!$AS:$AS, {"General service based","General"})+SUMIFS(Accounts!$AM:$AM,Accounts!$B:$B,"none",Accounts!$AS:$AS, {"General service based","General"})+SUMIFS(Accounts!$AN:$AN,Accounts!$B:$B,"none",Accounts!$AS:$AS, {"General service based","General"})</f>
        <v>0</v>
      </c>
      <c r="NM2" s="43">
        <f>SUMIFS(Accounts!$AE:$AE,Accounts!$B:$B,"none",Accounts!$AS:$AS, {"General service based","General"}) + SUMIFS(Accounts!$AP:$AP,Accounts!$B:$B,"none",Accounts!$AS:$AS, {"General service based","General"})</f>
        <v>0</v>
      </c>
      <c r="NN2" s="59">
        <f>SUMIFS(Accounts!$Z:$Z,Accounts!$B:$B,"none",Accounts!$AS:$AS, {"General service based","General"})</f>
        <v>0</v>
      </c>
      <c r="NO2" s="43">
        <f>SUMIFS(Accounts!$AG:$AG,Accounts!$B:$B,"none",Accounts!$AS:$AS, {"General service based","General"}) + SUMIFS(Accounts!$AL:$AL,Accounts!$B:$B,"none",Accounts!$AS:$AS, {"General service based","General"})</f>
        <v>0</v>
      </c>
      <c r="NP2" s="59">
        <f>SUMIFS(Accounts!$AQ:$AQ,Accounts!$B:$B,"none",Accounts!$AS:$AS, {"General service based","General"})</f>
        <v>0</v>
      </c>
      <c r="NQ2" s="38" t="e">
        <f>((NQ8+NQ11)/((NQ7*$C$2)+(0.5*NQ10*$C$2)))*$C$2</f>
        <v>#VALUE!</v>
      </c>
      <c r="NR2" s="43">
        <f>COUNTIFS(Accounts!$AS:$AS, "Other",Accounts!$B:$B,"none")</f>
        <v>0</v>
      </c>
      <c r="NS2" s="37">
        <f>COUNTIFS(Accounts!$AS:$AS, "Other",Accounts!$B:$B,"Customer")</f>
        <v>0</v>
      </c>
      <c r="NT2" s="41">
        <f>SUMIFS(Accounts!$I:$I,Accounts!$AS:$AS, "Other")</f>
        <v>0</v>
      </c>
      <c r="NU2" s="41">
        <f>SUMIFS(Accounts!$N:$N,Accounts!$AS:$AS, "Other")</f>
        <v>0</v>
      </c>
      <c r="NV2" s="41" t="e">
        <f>NT2/(NS2+NQ10)</f>
        <v>#DIV/0!</v>
      </c>
      <c r="NW2" s="41" t="e">
        <f>(NT2+NU2)/(NS2+NQ10)</f>
        <v>#DIV/0!</v>
      </c>
      <c r="NX2" s="41" t="e">
        <f>NQ6*NV2</f>
        <v>#VALUE!</v>
      </c>
      <c r="NY2" s="41">
        <f>IFERROR(AVERAGEIFS(Accounts!$AY:$AY,Accounts!$AS:$AS, "Other",Accounts!$B:$B,"Customer",Accounts!$AY:$AY,"&gt;0"),0)</f>
        <v>0</v>
      </c>
      <c r="NZ2" s="37">
        <f>IFERROR(AVERAGEIFS(Accounts!$AX:$AX,Accounts!$AS:$AS, "Other",Accounts!$B:$B,"Customer",Accounts!$AX:$AX,"&gt;0"),0)</f>
        <v>0</v>
      </c>
      <c r="OA2" s="41">
        <f>IFERROR(AVERAGEIFS(Accounts!$AY:$AY,Accounts!$AS:$AS, "Other",Accounts!$B:$B,"none",Accounts!$AY:$AY,"&gt;0"),0)</f>
        <v>0</v>
      </c>
      <c r="OB2" s="37">
        <f>IFERROR(AVERAGEIFS(Accounts!$AX:$AX,Accounts!$AS:$AS, "Other",Accounts!$B:$B,"none",Accounts!$AX:$AX,"&gt;0"),0)</f>
        <v>0</v>
      </c>
      <c r="OC2" s="59">
        <f>SUMIFS(Accounts!$AA:$AA,Accounts!$B:$B,"Customer",Accounts!$AS:$AS, "Other") + SUMIFS(Accounts!$AH:$AH,Accounts!$B:$B,"Customer",Accounts!$AS:$AS, "Other") + SUMIFS(Accounts!$AJ:$AJ,Accounts!$B:$B,"Customer",Accounts!$AS:$AS, "Other") + SUMIFS(Accounts!$AI:$AI,Accounts!$B:$B,"Customer",Accounts!$AS:$AS, "Other") + SUMIFS(Accounts!$AO:$AO,Accounts!$B:$B,"Customer",Accounts!$AS:$AS, "Other")</f>
        <v>0</v>
      </c>
      <c r="OD2" s="59">
        <f>(SUMIFS(Accounts!$AC:$AC,Accounts!$B:$B,"Customer",Accounts!$AS:$AS, "Other")+SUMIFS(Accounts!$AF:$AF,Accounts!$B:$B,"Customer",Accounts!$AS:$AS, "Other")+SUMIFS(Accounts!$AK:$AK,Accounts!$B:$B,"Customer",Accounts!$AS:$AS, "Other"))</f>
        <v>0</v>
      </c>
      <c r="OE2" s="59">
        <f>SUMIFS(Accounts!$AB:$AB,Accounts!$B:$B,"Customer",Accounts!$AS:$AS, "Other")</f>
        <v>0</v>
      </c>
      <c r="OF2" s="59">
        <f>SUMIFS(Accounts!$AD:$AD,Accounts!$B:$B,"Customer",Accounts!$AS:$AS, "Other")+SUMIFS(Accounts!$AM:$AM,Accounts!$B:$B,"Customer",Accounts!$AS:$AS, "Other")+SUMIFS(Accounts!$AN:$AN,Accounts!$B:$B,"Customer",Accounts!$AS:$AS, "Other")</f>
        <v>0</v>
      </c>
      <c r="OG2" s="59">
        <f>SUMIFS(Accounts!$AE:$AE,Accounts!$B:$B,"Customer",Accounts!$AS:$AS, "Other") + SUMIFS(Accounts!$AP:$AP,Accounts!$B:$B,"Customer",Accounts!$AS:$AS, "Other")</f>
        <v>0</v>
      </c>
      <c r="OH2" s="59">
        <f>SUMIFS(Accounts!$Z:$Z,Accounts!$B:$B,"Customer",Accounts!$AS:$AS, "Other")</f>
        <v>0</v>
      </c>
      <c r="OI2" s="59">
        <f>SUMIFS(Accounts!$AG:$AG,Accounts!$B:$B,"Customer",Accounts!$AS:$AS, "Other") + SUMIFS(Accounts!$AL:$AL,Accounts!$B:$B,"Customer",Accounts!$AS:$AS, "Other")</f>
        <v>0</v>
      </c>
      <c r="OJ2" s="59">
        <f>SUMIFS(Accounts!$AQ:$AQ,Accounts!$B:$B,"Customer",Accounts!$AS:$AS, "Other")</f>
        <v>0</v>
      </c>
      <c r="OK2" s="59">
        <f>SUMIFS(Accounts!$AA:$AA,Accounts!$B:$B,"none",Accounts!$AS:$AS, "Other") + SUMIFS(Accounts!$AH:$AH,Accounts!$B:$B,"none",Accounts!$AS:$AS, "Other") + SUMIFS(Accounts!$AJ:$AJ,Accounts!$B:$B,"none",Accounts!$AS:$AS, "Other") + SUMIFS(Accounts!$AI:$AI,Accounts!$B:$B,"none",Accounts!$AS:$AS, "Other") + SUMIFS(Accounts!$AO:$AO,Accounts!$B:$B,"none",Accounts!$AS:$AS, "Other")</f>
        <v>0</v>
      </c>
      <c r="OL2" s="59">
        <f>(SUMIFS(Accounts!$AC:$AC,Accounts!$B:$B,"none",Accounts!$AS:$AS, "Other")+SUMIFS(Accounts!$AF:$AF,Accounts!$B:$B,"none",Accounts!$AS:$AS, "Other")+SUMIFS(Accounts!$AK:$AK,Accounts!$B:$B,"none",Accounts!$AS:$AS, "Other"))</f>
        <v>0</v>
      </c>
      <c r="OM2" s="59">
        <f>SUMIFS(Accounts!$AB:$AB,Accounts!$B:$B,"none",Accounts!$AS:$AS, "Other")</f>
        <v>0</v>
      </c>
      <c r="ON2" s="59">
        <f>SUMIFS(Accounts!$AD:$AD,Accounts!$B:$B,"none",Accounts!$AS:$AS, "Other")+SUMIFS(Accounts!$AM:$AM,Accounts!$B:$B,"none",Accounts!$AS:$AS, "Other")+SUMIFS(Accounts!$AN:$AN,Accounts!$B:$B,"none",Accounts!$AS:$AS, "Other")</f>
        <v>0</v>
      </c>
      <c r="OO2" s="43">
        <f>SUMIFS(Accounts!$AE:$AE,Accounts!$B:$B,"none",Accounts!$AS:$AS, "Other") + SUMIFS(Accounts!$AP:$AP,Accounts!$B:$B,"none",Accounts!$AS:$AS, "Other")</f>
        <v>0</v>
      </c>
      <c r="OP2" s="59">
        <f>SUMIFS(Accounts!$Z:$Z,Accounts!$B:$B,"none",Accounts!$AS:$AS, "Other")</f>
        <v>0</v>
      </c>
      <c r="OQ2" s="43">
        <f>SUMIFS(Accounts!$AG:$AG,Accounts!$B:$B,"none",Accounts!$AS:$AS, "Other") + SUMIFS(Accounts!$AL:$AL,Accounts!$B:$B,"none",Accounts!$AS:$AS, "Other")</f>
        <v>0</v>
      </c>
      <c r="OR2" s="59">
        <f>SUMIFS(Accounts!$AQ:$AQ,Accounts!$B:$B,"none",Accounts!$AS:$AS, "Other")</f>
        <v>0</v>
      </c>
      <c r="OS2" s="38" t="e">
        <f>((OS8+OS11)/((OS7*$C$2)+(0.5*OS10*$C$2)))*$C$2</f>
        <v>#VALUE!</v>
      </c>
      <c r="OT2" s="43">
        <f>COUNTIFS(Accounts!$AS:$AS, "Accounting and Bookkeeping",Accounts!$B:$B,"none")</f>
        <v>0</v>
      </c>
      <c r="OU2" s="37">
        <f>COUNTIFS(Accounts!$AS:$AS, "Accounting and Bookkeeping",Accounts!$B:$B,"Customer")</f>
        <v>1</v>
      </c>
      <c r="OV2" s="41">
        <f>SUMIFS(Accounts!$I:$I,Accounts!$AS:$AS, "Accounting and Bookkeeping")</f>
        <v>0</v>
      </c>
      <c r="OW2" s="41">
        <f>SUMIFS(Accounts!$N:$N,Accounts!$AS:$AS, "Accounting and Bookkeeping")</f>
        <v>0</v>
      </c>
      <c r="OX2" s="41">
        <f>OV2/(OU2+OS10)</f>
        <v>0</v>
      </c>
      <c r="OY2" s="41">
        <f>(OV2+OW2)/(OU2+OS10)</f>
        <v>0</v>
      </c>
      <c r="OZ2" s="41" t="e">
        <f>OS6*OX2</f>
        <v>#VALUE!</v>
      </c>
      <c r="PA2" s="41">
        <f>IFERROR(AVERAGEIFS(Accounts!$AY:$AY,Accounts!$AS:$AS, "Accounting and Bookkeeping",Accounts!$B:$B,"Customer",Accounts!$AY:$AY,"&gt;0"),0)</f>
        <v>0</v>
      </c>
      <c r="PB2" s="37">
        <f>IFERROR(AVERAGEIFS(Accounts!$AX:$AX,Accounts!$AS:$AS, "Accounting and Bookkeeping",Accounts!$B:$B,"Customer",Accounts!$AX:$AX,"&gt;0"),0)</f>
        <v>0</v>
      </c>
      <c r="PC2" s="41">
        <f>IFERROR(AVERAGEIFS(Accounts!$AY:$AY,Accounts!$AS:$AS, "Accounting and Bookkeeping",Accounts!$B:$B,"none",Accounts!$AY:$AY,"&gt;0"),0)</f>
        <v>0</v>
      </c>
      <c r="PD2" s="37">
        <f>IFERROR(AVERAGEIFS(Accounts!$AX:$AX,Accounts!$AS:$AS, "Accounting and Bookkeeping",Accounts!$B:$B,"none",Accounts!$AX:$AX,"&gt;0"),0)</f>
        <v>0</v>
      </c>
      <c r="PE2" s="59">
        <f>SUMIFS(Accounts!$AA:$AA,Accounts!$B:$B,"Customer",Accounts!$AS:$AS, "Accounting and Bookkeeping") + SUMIFS(Accounts!$AH:$AH,Accounts!$B:$B,"Customer",Accounts!$AS:$AS, "Accounting and Bookkeeping") + SUMIFS(Accounts!$AJ:$AJ,Accounts!$B:$B,"Customer",Accounts!$AS:$AS, "Accounting and Bookkeeping") + SUMIFS(Accounts!$AI:$AI,Accounts!$B:$B,"Customer",Accounts!$AS:$AS, "Accounting and Bookkeeping") + SUMIFS(Accounts!$AO:$AO,Accounts!$B:$B,"Customer",Accounts!$AS:$AS, "Accounting and Bookkeeping")</f>
        <v>0</v>
      </c>
      <c r="PF2" s="59">
        <f>(SUMIFS(Accounts!$AC:$AC,Accounts!$B:$B,"Customer",Accounts!$AS:$AS, "Accounting and Bookkeeping")+SUMIFS(Accounts!$AF:$AF,Accounts!$B:$B,"Customer",Accounts!$AS:$AS, "Accounting and Bookkeeping")+SUMIFS(Accounts!$AK:$AK,Accounts!$B:$B,"Customer",Accounts!$AS:$AS, "Accounting and Bookkeeping"))</f>
        <v>0</v>
      </c>
      <c r="PG2" s="59">
        <f>SUMIFS(Accounts!$AB:$AB,Accounts!$B:$B,"Customer",Accounts!$AS:$AS, "Accounting and Bookkeeping")</f>
        <v>0</v>
      </c>
      <c r="PH2" s="59">
        <f>SUMIFS(Accounts!$AD:$AD,Accounts!$B:$B,"Customer",Accounts!$AS:$AS, "Accounting and Bookkeeping")+SUMIFS(Accounts!$AM:$AM,Accounts!$B:$B,"Customer",Accounts!$AS:$AS, "Accounting and Bookkeeping")+SUMIFS(Accounts!$AN:$AN,Accounts!$B:$B,"Customer",Accounts!$AS:$AS, "Accounting and Bookkeeping")</f>
        <v>0</v>
      </c>
      <c r="PI2" s="59">
        <f>SUMIFS(Accounts!$AE:$AE,Accounts!$B:$B,"Customer",Accounts!$AS:$AS, "Accounting and Bookkeeping") + SUMIFS(Accounts!$AP:$AP,Accounts!$B:$B,"Customer",Accounts!$AS:$AS, "Accounting and Bookkeeping")</f>
        <v>0</v>
      </c>
      <c r="PJ2" s="59">
        <f>SUMIFS(Accounts!$Z:$Z,Accounts!$B:$B,"Customer",Accounts!$AS:$AS, "Accounting and Bookkeeping")</f>
        <v>0</v>
      </c>
      <c r="PK2" s="59">
        <f>SUMIFS(Accounts!$AG:$AG,Accounts!$B:$B,"Customer",Accounts!$AS:$AS, "Accounting and Bookkeeping") + SUMIFS(Accounts!$AL:$AL,Accounts!$B:$B,"Customer",Accounts!$AS:$AS, "Accounting and Bookkeeping")</f>
        <v>0</v>
      </c>
      <c r="PL2" s="59">
        <f>SUMIFS(Accounts!$AQ:$AQ,Accounts!$B:$B,"Customer",Accounts!$AS:$AS, "Accounting and Bookkeeping")</f>
        <v>1</v>
      </c>
      <c r="PM2" s="59">
        <f>SUMIFS(Accounts!$AA:$AA,Accounts!$B:$B,"none",Accounts!$AS:$AS, "Accounting and Bookkeeping") + SUMIFS(Accounts!$AH:$AH,Accounts!$B:$B,"none",Accounts!$AS:$AS, "Accounting and Bookkeeping") + SUMIFS(Accounts!$AJ:$AJ,Accounts!$B:$B,"none",Accounts!$AS:$AS, "Accounting and Bookkeeping") + SUMIFS(Accounts!$AI:$AI,Accounts!$B:$B,"none",Accounts!$AS:$AS, "Accounting and Bookkeeping") + SUMIFS(Accounts!$AO:$AO,Accounts!$B:$B,"none",Accounts!$AS:$AS, "Accounting and Bookkeeping")</f>
        <v>0</v>
      </c>
      <c r="PN2" s="59">
        <f>(SUMIFS(Accounts!$AC:$AC,Accounts!$B:$B,"none",Accounts!$AS:$AS, "Accounting and Bookkeeping")+SUMIFS(Accounts!$AF:$AF,Accounts!$B:$B,"none",Accounts!$AS:$AS, "Accounting and Bookkeeping")+SUMIFS(Accounts!$AK:$AK,Accounts!$B:$B,"none",Accounts!$AS:$AS, "Accounting and Bookkeeping"))</f>
        <v>0</v>
      </c>
      <c r="PO2" s="59">
        <f>SUMIFS(Accounts!$AB:$AB,Accounts!$B:$B,"none",Accounts!$AS:$AS, "Accounting and Bookkeeping")</f>
        <v>0</v>
      </c>
      <c r="PP2" s="59">
        <f>SUMIFS(Accounts!$AD:$AD,Accounts!$B:$B,"none",Accounts!$AS:$AS, "Accounting and Bookkeeping")+SUMIFS(Accounts!$AM:$AM,Accounts!$B:$B,"none",Accounts!$AS:$AS, "Accounting and Bookkeeping")+SUMIFS(Accounts!$AN:$AN,Accounts!$B:$B,"none",Accounts!$AS:$AS, "Accounting and Bookkeeping")</f>
        <v>0</v>
      </c>
      <c r="PQ2" s="43">
        <f>SUMIFS(Accounts!$AE:$AE,Accounts!$B:$B,"none",Accounts!$AS:$AS, "Accounting and Bookkeeping") + SUMIFS(Accounts!$AP:$AP,Accounts!$B:$B,"none",Accounts!$AS:$AS, "Accounting and Bookkeeping")</f>
        <v>0</v>
      </c>
      <c r="PR2" s="59">
        <f>SUMIFS(Accounts!$Z:$Z,Accounts!$B:$B,"none",Accounts!$AS:$AS, "Accounting and Bookkeeping")</f>
        <v>0</v>
      </c>
      <c r="PS2" s="43">
        <f>SUMIFS(Accounts!$AG:$AG,Accounts!$B:$B,"none",Accounts!$AS:$AS, "Accounting and Bookkeeping") + SUMIFS(Accounts!$AL:$AL,Accounts!$B:$B,"none",Accounts!$AS:$AS, "Accounting and Bookkeeping")</f>
        <v>0</v>
      </c>
      <c r="PT2" s="59">
        <f>SUMIFS(Accounts!$AQ:$AQ,Accounts!$B:$B,"none",Accounts!$AS:$AS, "Accounting and Bookkeeping")</f>
        <v>0</v>
      </c>
    </row>
    <row r="3" ht="16" s="35" customFormat="1">
      <c r="A3" s="35" t="s">
        <v>3</v>
      </c>
      <c r="B3" s="36" t="str">
        <f>Accounts!$BD$2</f>
        <v>2020-Apr-01 04:00</v>
      </c>
      <c r="C3" s="37" t="e">
        <f>DAY(EOMONTH(B3,0))</f>
        <v>#VALUE!</v>
      </c>
      <c r="D3" s="37">
        <f>COUNTIFS(Accounts!$B:$B,"none",Accounts!$E:$E,"QBO",Accounts!$BF:$BF,"FALSE")</f>
        <v>0</v>
      </c>
      <c r="E3" s="37">
        <f>COUNTIFS(Accounts!$B:$B,"Customer",Accounts!$E:$E,"QBO")</f>
        <v>0</v>
      </c>
      <c r="F3" s="37">
        <f>COUNTIFS(Accounts!$C:$C,"Customer",Accounts!$E:$E,"QBO")</f>
        <v>0</v>
      </c>
      <c r="G3" s="37">
        <f>COUNTIFS(Accounts!$B:$B,"Customer",Accounts!$C:$C,"Lost",Accounts!$E:$E,"QBO")</f>
        <v>0</v>
      </c>
      <c r="H3" s="37">
        <f>COUNTIFS(Accounts!$B:$B,"none",Accounts!$C:$C,"Customer",Accounts!$E:$E,"QBO")</f>
        <v>0</v>
      </c>
      <c r="I3" s="38" t="e">
        <f>H3/D3</f>
        <v>#DIV/0!</v>
      </c>
      <c r="J3" s="63">
        <f>COUNTIFS(Accounts!$T:$T,"&gt;="&amp;DATE($C$10,$C$11,1),Accounts!$T:$T,"&lt;"&amp;DATE($C$7,$C$8,1),Accounts!$B:$B,"Trialer",Accounts!$C:$C,"Customer",Accounts!$E:$E,"QBO")</f>
        <v>0</v>
      </c>
      <c r="K3" s="63">
        <f>COUNTIFS(Accounts!$T:$T,"&gt;="&amp;DATE($C$13,$C$14,1),Accounts!$T:$T,"&lt;"&amp;DATE($C$10,$C$11,1),Accounts!$B:$B,"Trialer",Accounts!$C:$C,"Customer",Accounts!$E:$E,"QBO")</f>
        <v>0</v>
      </c>
      <c r="L3" s="63">
        <f>COUNTIFS(Accounts!$T:$T,"&gt;="&amp;DATE($C$16,$C$17,1),Accounts!$T:$T,"&lt;"&amp;DATE($C$13,$C$14,1),Accounts!$B:$B,"Trialer",Accounts!$C:$C,"Customer",Accounts!$E:$E,"QBO")</f>
        <v>0</v>
      </c>
      <c r="M3" s="37">
        <f>SUM(COUNTIFS(Accounts!$B:$B,{"Trialer","none"},Accounts!$C:$C,"Customer",Accounts!$E:$E,"QBO"))</f>
        <v>0</v>
      </c>
      <c r="N3" s="38" t="e">
        <f>$M$3/$D$3</f>
        <v>#DIV/0!</v>
      </c>
      <c r="O3" s="41" t="e">
        <f>P3/(COUNTIFS(Accounts!$W:$W,1,Accounts!$E:$E,"QBO"))</f>
        <v>#DIV/0!</v>
      </c>
      <c r="P3" s="41">
        <f>SUMIFS(Accounts!$I:$I,Accounts!$W:$W,1,Accounts!$E:$E,"QBO")</f>
        <v>0</v>
      </c>
      <c r="Q3" s="41">
        <f>SUMIFS(Accounts!$I:$I,Accounts!$E:$E,"QBO")</f>
        <v>0</v>
      </c>
      <c r="R3" s="41">
        <f>SUMIFS(Accounts!$N:$N,Accounts!$E:$E,"QBO")</f>
        <v>0</v>
      </c>
      <c r="S3" s="41" t="e">
        <f>($Q$3+R3)/($BC$16+$BC19)</f>
        <v>#DIV/0!</v>
      </c>
      <c r="T3" s="41" t="e">
        <f>$Q$3/($BC$16+$BC19)</f>
        <v>#DIV/0!</v>
      </c>
      <c r="U3" s="64">
        <f>SUMIFS(Accounts!$AA:$AA,Accounts!$B:$B,"none",Accounts!$C:$C,"Customer",Accounts!$E:$E,"QBO") + SUMIFS(Accounts!$AH:$AH,Accounts!$B:$B,"none",Accounts!$C:$C,"Customer",Accounts!$E:$E,"QBO") + SUMIFS(Accounts!$AJ:$AJ,Accounts!$B:$B,"none",Accounts!$C:$C,"Customer",Accounts!$E:$E,"QBO") + SUMIFS(Accounts!$AI:$AI,Accounts!$B:$B,"none",Accounts!$C:$C,"Customer",Accounts!$E:$E,"QBO") + SUMIFS(Accounts!$AO:$AO,Accounts!$B:$B,"none",Accounts!$C:$C,"Customer",Accounts!$E:$E,"QBO")</f>
        <v>0</v>
      </c>
      <c r="V3" s="64">
        <f>SUMIFS(Accounts!$AC:$AC,Accounts!$B:$B,"none",Accounts!$C:$C,"Customer",Accounts!$E:$E,"QBO")+SUMIFS(Accounts!$AF:$AF,Accounts!$B:$B,"none",Accounts!$C:$C,"Customer",Accounts!$E:$E,"QBO")+SUMIFS(Accounts!$AK:$AK,Accounts!$B:$B,"none",Accounts!$C:$C,"Customer",Accounts!$E:$E,"QBO")</f>
        <v>0</v>
      </c>
      <c r="W3" s="64">
        <f>SUMIFS(Accounts!$AB:$AB,Accounts!$B:$B,"none",Accounts!$C:$C,"Customer",Accounts!$E:$E,"QBO")</f>
        <v>0</v>
      </c>
      <c r="X3" s="64">
        <f>SUMIFS(Accounts!$AD:$AD,Accounts!$B:$B,"none",Accounts!$C:$C,"Customer",Accounts!$E:$E,"QBO")+SUMIFS(Accounts!$AM:$AM,Accounts!$B:$B,"none",Accounts!$C:$C,"Customer",Accounts!$E:$E,"QBO")+SUMIFS(Accounts!$AN:$AN,Accounts!$B:$B,"none",Accounts!$C:$C,"Customer",Accounts!$E:$E,"QBO")</f>
        <v>0</v>
      </c>
      <c r="Y3" s="37">
        <f>SUM(Z3:AB3)</f>
        <v>0</v>
      </c>
      <c r="Z3" s="64">
        <f>SUMIFS(Accounts!$AE:$AE,Accounts!$B:$B,"none",Accounts!$C:$C,"Customer",Accounts!$E:$E,"QBO") + SUMIFS(Accounts!$AP:$AP,Accounts!$B:$B,"none",Accounts!$C:$C,"Customer",Accounts!$E:$E,"QBO")</f>
        <v>0</v>
      </c>
      <c r="AA3" s="64">
        <f>SUMIFS(Accounts!$Z:$Z,Accounts!$B:$B,"none",Accounts!$C:$C,"Customer",Accounts!$E:$E,"QBO")</f>
        <v>0</v>
      </c>
      <c r="AB3" s="64">
        <f>SUMIFS(Accounts!$AG:$AG,Accounts!$B:$B,"none",Accounts!$C:$C,"Customer",Accounts!$E:$E,"QBO") + SUMIFS(Accounts!$AL:$AL,Accounts!$B:$B,"none",Accounts!$C:$C,"Customer",Accounts!$E:$E,"QBO")</f>
        <v>0</v>
      </c>
      <c r="AC3" s="64">
        <f>SUMIFS(Accounts!$AQ:$AQ,Accounts!$B:$B,"none",Accounts!$C:$C,"Customer",Accounts!$E:$E,"QBO")</f>
        <v>0</v>
      </c>
      <c r="AD3" s="64">
        <f>SUMIFS(Accounts!$AA:$AA,Accounts!$T:$T,"&gt;="&amp;DATE($C$10,$C$11,1),Accounts!$T:$T,"&lt;"&amp;DATE($C$7,$C$8,1),Accounts!$B:$B,"Trialer",Accounts!$C:$C,"Customer",Accounts!$E:$E,"QBO") + SUMIFS(Accounts!$AH:$AH,Accounts!$T:$T,"&gt;="&amp;DATE($C$10,$C$11,1),Accounts!$T:$T,"&lt;"&amp;DATE($C$7,$C$8,1),Accounts!$B:$B,"Trialer",Accounts!$C:$C,"Customer",Accounts!$E:$E,"QBO") + SUMIFS(Accounts!$AJ:$AJ,Accounts!$T:$T,"&gt;="&amp;DATE($C$10,$C$11,1),Accounts!$T:$T,"&lt;"&amp;DATE($C$7,$C$8,1),Accounts!$B:$B,"Trialer",Accounts!$C:$C,"Customer",Accounts!$E:$E,"QBO") + SUMIFS(Accounts!$AI:$AI,Accounts!$T:$T,"&gt;="&amp;DATE($C$10,$C$11,1),Accounts!$T:$T,"&lt;"&amp;DATE($C$7,$C$8,1),Accounts!$B:$B,"Trialer",Accounts!$C:$C,"Customer",Accounts!$E:$E,"QBO") + SUMIFS(Accounts!$AO:$AO,Accounts!$T:$T,"&gt;="&amp;DATE($C$10,$C$11,1),Accounts!$T:$T,"&lt;"&amp;DATE($C$7,$C$8,1),Accounts!$B:$B,"Trialer",Accounts!$C:$C,"Customer",Accounts!$E:$E,"QBO")</f>
        <v>0</v>
      </c>
      <c r="AE3" s="64">
        <f>SUMIFS(Accounts!$AC:$AC,Accounts!$T:$T,"&gt;="&amp;DATE($C$10,$C$11,1),Accounts!$T:$T,"&lt;"&amp;DATE($C$7,$C$8,1),Accounts!$B:$B,"Trialer",Accounts!$C:$C,"Customer",Accounts!$E:$E,"QBO")+SUMIFS(Accounts!$AF:$AF,Accounts!$T:$T,"&gt;="&amp;DATE($C$10,$C$11,1),Accounts!$T:$T,"&lt;"&amp;DATE($C$7,$C$8,1),Accounts!$B:$B,"Trialer",Accounts!$C:$C,"Customer",Accounts!$E:$E,"QBO")+SUMIFS(Accounts!$AK:$AK,Accounts!$T:$T,"&gt;="&amp;DATE($C$10,$C$11,1),Accounts!$T:$T,"&lt;"&amp;DATE($C$7,$C$8,1),Accounts!$B:$B,"Trialer",Accounts!$C:$C,"Customer",Accounts!$E:$E,"QBO")</f>
        <v>0</v>
      </c>
      <c r="AF3" s="64">
        <f>SUMIFS(Accounts!$AB:$AB,Accounts!$T:$T,"&gt;="&amp;DATE($C$10,$C$11,1),Accounts!$T:$T,"&lt;"&amp;DATE($C$7,$C$8,1),Accounts!$B:$B,"Trialer",Accounts!$C:$C,"Customer",Accounts!$E:$E,"QBO")</f>
        <v>0</v>
      </c>
      <c r="AG3" s="64">
        <f>SUMIFS(Accounts!$AD:$AD,Accounts!$T:$T,"&gt;="&amp;DATE($C$10,$C$11,1),Accounts!$T:$T,"&lt;"&amp;DATE($C$7,$C$8,1),Accounts!$B:$B,"Trialer",Accounts!$C:$C,"Customer",Accounts!$E:$E,"QBO")+SUMIFS(Accounts!$AM:$AM,Accounts!$T:$T,"&gt;="&amp;DATE($C$10,$C$11,1),Accounts!$T:$T,"&lt;"&amp;DATE($C$7,$C$8,1),Accounts!$B:$B,"Trialer",Accounts!$C:$C,"Customer",Accounts!$E:$E,"QBO")+SUMIFS(Accounts!$AN:$AN,Accounts!$T:$T,"&gt;="&amp;DATE($C$10,$C$11,1),Accounts!$T:$T,"&lt;"&amp;DATE($C$7,$C$8,1),Accounts!$B:$B,"Trialer",Accounts!$C:$C,"Customer",Accounts!$E:$E,"QBO")</f>
        <v>0</v>
      </c>
      <c r="AH3" s="64">
        <f>SUMIFS(Accounts!$AE:$AE,Accounts!$T:$T,"&gt;="&amp;DATE($C$10,$C$11,1),Accounts!$T:$T,"&lt;"&amp;DATE($C$7,$C$8,1),Accounts!$B:$B,"Trialer",Accounts!$C:$C,"Customer",Accounts!$E:$E,"QBO") + SUMIFS(Accounts!$AP:$AP,Accounts!$T:$T,"&gt;="&amp;DATE($C$10,$C$11,1),Accounts!$T:$T,"&lt;"&amp;DATE($C$7,$C$8,1),Accounts!$B:$B,"Trialer",Accounts!$C:$C,"Customer",Accounts!$E:$E,"QBO")</f>
        <v>0</v>
      </c>
      <c r="AI3" s="64">
        <f>SUMIFS(Accounts!$Z:$Z,Accounts!$T:$T,"&gt;="&amp;DATE($C$10,$C$11,1),Accounts!$T:$T,"&lt;"&amp;DATE($C$7,$C$8,1),Accounts!$B:$B,"Trialer",Accounts!$C:$C,"Customer",Accounts!$E:$E,"QBO")</f>
        <v>0</v>
      </c>
      <c r="AJ3" s="64">
        <f>SUMIFS(Accounts!$AG:$AG,Accounts!$T:$T,"&gt;="&amp;DATE($C$10,$C$11,1),Accounts!$T:$T,"&lt;"&amp;DATE($C$7,$C$8,1),Accounts!$B:$B,"Trialer",Accounts!$C:$C,"Customer",Accounts!$E:$E,"QBO") + SUMIFS(Accounts!$AL:$AL,Accounts!$T:$T,"&gt;="&amp;DATE($C$10,$C$11,1),Accounts!$T:$T,"&lt;"&amp;DATE($C$7,$C$8,1),Accounts!$B:$B,"Trialer",Accounts!$C:$C,"Customer",Accounts!$E:$E,"QBO")</f>
        <v>0</v>
      </c>
      <c r="AK3" s="64">
        <f>SUMIFS(Accounts!$AQ:$AQ,Accounts!$T:$T,"&gt;="&amp;DATE($C$10,$C$11,1),Accounts!$T:$T,"&lt;"&amp;DATE($C$7,$C$8,1),Accounts!$B:$B,"Trialer",Accounts!$C:$C,"Customer",Accounts!$E:$E,"QBO")</f>
        <v>0</v>
      </c>
      <c r="AL3" s="64">
        <f>SUMIFS(Accounts!$AA:$AA,Accounts!$T:$T,"&gt;="&amp;DATE($C$13,$C$14,1),Accounts!$T:$T,"&lt;"&amp;DATE($C$10,$C$11,1),Accounts!$B:$B,"Trialer",Accounts!$C:$C,"Customer",Accounts!$E:$E,"QBO") + SUMIFS(Accounts!$AH:$AH,Accounts!$T:$T,"&gt;="&amp;DATE($C$13,$C$14,1),Accounts!$T:$T,"&lt;"&amp;DATE($C$10,$C$11,1),Accounts!$B:$B,"Trialer",Accounts!$C:$C,"Customer",Accounts!$E:$E,"QBO") + SUMIFS(Accounts!$AJ:$AJ,Accounts!$T:$T,"&gt;="&amp;DATE($C$13,$C$14,1),Accounts!$T:$T,"&lt;"&amp;DATE($C$10,$C$11,1),Accounts!$B:$B,"Trialer",Accounts!$C:$C,"Customer",Accounts!$E:$E,"QBO") + SUMIFS(Accounts!$AI:$AI,Accounts!$T:$T,"&gt;="&amp;DATE($C$13,$C$14,1),Accounts!$T:$T,"&lt;"&amp;DATE($C$10,$C$11,1),Accounts!$B:$B,"Trialer",Accounts!$C:$C,"Customer",Accounts!$E:$E,"QBO") + SUMIFS(Accounts!$AO:$AO,Accounts!$T:$T,"&gt;="&amp;DATE($C$13,$C$14,1),Accounts!$T:$T,"&lt;"&amp;DATE($C$10,$C$11,1),Accounts!$B:$B,"Trialer",Accounts!$C:$C,"Customer",Accounts!$E:$E,"QBO")</f>
        <v>0</v>
      </c>
      <c r="AM3" s="64">
        <f>SUMIFS(Accounts!$AC:$AC,Accounts!$T:$T,"&gt;="&amp;DATE($C$13,$C$14,1),Accounts!$T:$T,"&lt;"&amp;DATE($C$10,$C$11,1),Accounts!$B:$B,"Trialer",Accounts!$C:$C,"Customer",Accounts!$E:$E,"QBO")+SUMIFS(Accounts!$AF:$AF,Accounts!$T:$T,"&gt;="&amp;DATE($C$13,$C$14,1),Accounts!$T:$T,"&lt;"&amp;DATE($C$10,$C$11,1),Accounts!$B:$B,"Trialer",Accounts!$C:$C,"Customer",Accounts!$E:$E,"QBO")+SUMIFS(Accounts!$AK:$AK,Accounts!$T:$T,"&gt;="&amp;DATE($C$13,$C$14,1),Accounts!$T:$T,"&lt;"&amp;DATE($C$10,$C$11,1),Accounts!$B:$B,"Trialer",Accounts!$C:$C,"Customer",Accounts!$E:$E,"QBO")</f>
        <v>0</v>
      </c>
      <c r="AN3" s="64">
        <f>SUMIFS(Accounts!$AB:$AB,Accounts!$T:$T,"&gt;="&amp;DATE($C$13,$C$14,1),Accounts!$T:$T,"&lt;"&amp;DATE($C$10,$C$11,1),Accounts!$B:$B,"Trialer",Accounts!$C:$C,"Customer",Accounts!$E:$E,"QBO")</f>
        <v>0</v>
      </c>
      <c r="AO3" s="64">
        <f>SUMIFS(Accounts!$AD:$AD,Accounts!$T:$T,"&gt;="&amp;DATE($C$13,$C$14,1),Accounts!$T:$T,"&lt;"&amp;DATE($C$10,$C$11,1),Accounts!$B:$B,"Trialer",Accounts!$C:$C,"Customer",Accounts!$E:$E,"QBO")+SUMIFS(Accounts!$AM:$AM,Accounts!$T:$T,"&gt;="&amp;DATE($C$13,$C$14,1),Accounts!$T:$T,"&lt;"&amp;DATE($C$10,$C$11,1),Accounts!$B:$B,"Trialer",Accounts!$C:$C,"Customer",Accounts!$E:$E,"QBO")+SUMIFS(Accounts!$AN:$AN,Accounts!$T:$T,"&gt;="&amp;DATE($C$13,$C$14,1),Accounts!$T:$T,"&lt;"&amp;DATE($C$10,$C$11,1),Accounts!$B:$B,"Trialer",Accounts!$C:$C,"Customer",Accounts!$E:$E,"QBO")</f>
        <v>0</v>
      </c>
      <c r="AP3" s="64">
        <f>SUMIFS(Accounts!$AE:$AE,Accounts!$T:$T,"&gt;="&amp;DATE($C$13,$C$14,1),Accounts!$T:$T,"&lt;"&amp;DATE($C$10,$C$11,1),Accounts!$B:$B,"Trialer",Accounts!$C:$C,"Customer",Accounts!$E:$E,"QBO") + SUMIFS(Accounts!$AP:$AP,Accounts!$T:$T,"&gt;="&amp;DATE($C$13,$C$14,1),Accounts!$T:$T,"&lt;"&amp;DATE($C$10,$C$11,1),Accounts!$B:$B,"Trialer",Accounts!$C:$C,"Customer",Accounts!$E:$E,"QBO")</f>
        <v>0</v>
      </c>
      <c r="AQ3" s="64">
        <f>SUMIFS(Accounts!$Z:$Z,Accounts!$T:$T,"&gt;="&amp;DATE($C$13,$C$14,1),Accounts!$T:$T,"&lt;"&amp;DATE($C$10,$C$11,1),Accounts!$B:$B,"Trialer",Accounts!$C:$C,"Customer",Accounts!$E:$E,"QBO")</f>
        <v>0</v>
      </c>
      <c r="AR3" s="64">
        <f>SUMIFS(Accounts!$AG:$AG,Accounts!$T:$T,"&gt;="&amp;DATE($C$13,$C$14,1),Accounts!$T:$T,"&lt;"&amp;DATE($C$10,$C$11,1),Accounts!$B:$B,"Trialer",Accounts!$C:$C,"Customer",Accounts!$E:$E,"QBO") + SUMIFS(Accounts!$AL:$AL,Accounts!$T:$T,"&gt;="&amp;DATE($C$13,$C$14,1),Accounts!$T:$T,"&lt;"&amp;DATE($C$10,$C$11,1),Accounts!$B:$B,"Trialer",Accounts!$C:$C,"Customer",Accounts!$E:$E,"QBO")</f>
        <v>0</v>
      </c>
      <c r="AS3" s="64">
        <f>SUMIFS(Accounts!$AQ:$AQ,Accounts!$T:$T,"&gt;="&amp;DATE($C$13,$C$14,1),Accounts!$T:$T,"&lt;"&amp;DATE($C$10,$C$11,1),Accounts!$B:$B,"Trialer",Accounts!$C:$C,"Customer",Accounts!$E:$E,"QBO")</f>
        <v>0</v>
      </c>
      <c r="AT3" s="23">
        <f>IFERROR((
SUMPRODUCT(SUMIFS(Accounts!$AA:$AA,Accounts!$B:$B,{"Trialer","none"},Accounts!$C:$C,"Customer",Accounts!$E:$E,"QBO")) +
SUMPRODUCT(SUMIFS(Accounts!$AH:$AH,Accounts!$B:$B,{"Trialer","none"},Accounts!$C:$C,"Customer",Accounts!$E:$E,"QBO")) +
SUMPRODUCT(SUMIFS(Accounts!$AJ:$AJ,Accounts!$B:$B,{"Trialer","none"},Accounts!$C:$C,"Customer",Accounts!$E:$E,"QBO")) +
SUMPRODUCT(SUMIFS(Accounts!$AI:$AI,Accounts!$B:$B,{"Trialer","none"},Accounts!$C:$C,"Customer",Accounts!$E:$E,"QBO")) +
SUMPRODUCT(SUMIFS(Accounts!$AO:$AO,Accounts!$B:$B,{"Trialer","none"},Accounts!$C:$C,"Customer",Accounts!$E:$E,"QBO"))
)
/BM3,0
)</f>
        <v>0</v>
      </c>
      <c r="AU3" s="23">
        <f>IFERROR((SUMPRODUCT(SUMIFS(Accounts!$AC:$AC,Accounts!$B:$B,{"Trialer","none"},Accounts!$C:$C,"Customer",Accounts!$E:$E,"QBO"))+SUMPRODUCT(SUMIFS(Accounts!$AF:$AF,Accounts!$B:$B,{"Trialer","none"},Accounts!$C:$C,"Customer",Accounts!$E:$E,"QBO"))+SUMPRODUCT(SUMIFS(Accounts!$AK:$AK,Accounts!$B:$B,{"Trialer","none"},Accounts!$C:$C,"Customer",Accounts!$E:$E,"QBO")))/BN3,0)</f>
        <v>0</v>
      </c>
      <c r="AV3" s="23">
        <f>IFERROR((SUMPRODUCT(SUMIFS(Accounts!$AB:$AB,Accounts!$B:$B,{"Trialer","none"},Accounts!$C:$C,"Customer",Accounts!$E:$E,"QBO")))/BO3,0)</f>
        <v>0</v>
      </c>
      <c r="AW3" s="23">
        <f>IFERROR((SUMPRODUCT(SUMIFS(Accounts!$AD:$AD,Accounts!$B:$B,{"Trialer","none"},Accounts!$C:$C,"Customer",Accounts!$E:$E,"QBO"))+SUMPRODUCT(SUMIFS(Accounts!$AM:$AM,Accounts!$B:$B,{"Trialer","none"},Accounts!$C:$C,"Customer",Accounts!$E:$E,"QBO"))+SUMPRODUCT(SUMIFS(Accounts!$AN:$AN,Accounts!$B:$B,{"Trialer","none"},Accounts!$C:$C,"Customer",Accounts!$E:$E,"QBO")))/BP3,0)</f>
        <v>0</v>
      </c>
      <c r="AX3" s="23">
        <f>IFERROR((
SUMPRODUCT(SUMIFS(Accounts!$AP:$AP,Accounts!$B:$B,{"Trialer","none"},Accounts!$C:$C,"Customer",Accounts!$E:$E,"QBO"))+
SUMPRODUCT(SUMIFS(Accounts!$AE:$AE,Accounts!$B:$B,{"Trialer","none"},Accounts!$C:$C,"Customer",Accounts!$E:$E,"QBO"))+
SUMPRODUCT(SUMIFS(Accounts!$Z:$Z,Accounts!$B:$B,{"Trialer","none"},Accounts!$C:$C,"Customer",Accounts!$E:$E,"QBO"))+
SUMPRODUCT(SUMIFS(Accounts!$AG:$AG,Accounts!$B:$B,{"Trialer","none"},Accounts!$C:$C,"Customer",Accounts!$E:$E,"QBO"))+
SUMPRODUCT(SUMIFS(Accounts!$AL:$AL,Accounts!$B:$B,{"Trialer","none"},Accounts!$C:$C,"Customer",Accounts!$E:$E,"QBO"))
)
/(BQ3+BS3+BT3),0
)</f>
        <v>0</v>
      </c>
      <c r="AY3" s="23">
        <f>IFERROR((
SUMPRODUCT(SUMIFS(Accounts!$AE:$AE,Accounts!$B:$B,{"Trialer","none"},Accounts!$C:$C,"Customer",Accounts!$E:$E,"QBO")) +
SUMPRODUCT(SUMIFS(Accounts!$AP:$AP,Accounts!$B:$B,{"Trialer","none"},Accounts!$C:$C,"Customer",Accounts!$E:$E,"QBO"))
)
/BQ3,0
)</f>
        <v>0</v>
      </c>
      <c r="AZ3" s="23">
        <f>IFERROR(SUMPRODUCT(SUMIFS(Accounts!$Z:$Z,Accounts!$B:$B,{"Trialer","none"},Accounts!$C:$C,"Customer",Accounts!$E:$E,"QBO"))/BS3,0)</f>
        <v>0</v>
      </c>
      <c r="BA3" s="23">
        <f>IFERROR((SUMPRODUCT(SUMIFS(Accounts!$AG:$AG,Accounts!$B:$B,{"Trialer","none"},Accounts!$C:$C,"Customer",Accounts!$E:$E,"QBO")) + SUMPRODUCT(SUMIFS(Accounts!$AL:$AL,Accounts!$B:$B,{"Trialer","none"},Accounts!$C:$C,"Customer",Accounts!$E:$E,"QBO")))/BT3,0)</f>
        <v>0</v>
      </c>
      <c r="BB3" s="23">
        <f>IFERROR((SUMPRODUCT(SUMIFS(Accounts!$AQ:$AQ,Accounts!$B:$B,{"none","Trialer"},Accounts!$C:$C,"Customer",Accounts!$E:$E,"QBO")))/BU3,0)</f>
        <v>0</v>
      </c>
      <c r="BC3" s="38" t="e">
        <f>(($BC$17+$BC$20)/(($BC$16*$C$3)+(0.5*$BC$19*$C$3)))*$C$3</f>
        <v>#VALUE!</v>
      </c>
      <c r="BD3" s="38" t="e">
        <f>(($BD$17+$BD$20)/((($BD$16*$C$2)+(0.5*$BD$19*$C$2)))*$C$2)</f>
        <v>#VALUE!</v>
      </c>
      <c r="BE3" s="38" t="e">
        <f>((BE17+BE20)/((BE16*$C$2)+(0.5*BE19*$C$2)))*$C$2</f>
        <v>#VALUE!</v>
      </c>
      <c r="BF3" s="38" t="e">
        <f ref="BF3:BL3" t="shared" si="1">((BF17+BF20)/((BF16*$C$2)+(0.5*BF19*$C$2)))*$C$2</f>
        <v>#VALUE!</v>
      </c>
      <c r="BG3" s="38" t="e">
        <f t="shared" si="1"/>
        <v>#VALUE!</v>
      </c>
      <c r="BH3" s="38" t="e">
        <f>((BH17+BH20)/((BH16*$C$2)+(0.5*BH19*$C$2)))*$C$2</f>
        <v>#VALUE!</v>
      </c>
      <c r="BI3" s="38" t="e">
        <f t="shared" si="1"/>
        <v>#VALUE!</v>
      </c>
      <c r="BJ3" s="38" t="e">
        <f t="shared" si="1"/>
        <v>#VALUE!</v>
      </c>
      <c r="BK3" s="38" t="e">
        <f t="shared" si="1"/>
        <v>#VALUE!</v>
      </c>
      <c r="BL3" s="38" t="e">
        <f t="shared" si="1"/>
        <v>#VALUE!</v>
      </c>
      <c r="BM3" s="43">
        <f>SUMIFS(Accounts!$AA:$AA,Accounts!$B:$B,"none",Accounts!$E:$E,"QBO") + SUMIFS(Accounts!$AH:$AH,Accounts!$B:$B,"none",Accounts!$E:$E,"QBO") + SUMIFS(Accounts!$AJ:$AJ,Accounts!$B:$B,"none",Accounts!$E:$E,"QBO") + SUMIFS(Accounts!$AI:$AI,Accounts!$B:$B,"none",Accounts!$E:$E,"QBO") + SUMIFS(Accounts!$AO:$AO,Accounts!$B:$B,"none",Accounts!$E:$E,"QBO")</f>
        <v>0</v>
      </c>
      <c r="BN3" s="43">
        <f>SUMIFS(Accounts!$AC:$AC,Accounts!$B:$B,"none",Accounts!$E:$E,"QBO") + SUMIFS(Accounts!$AF:$AF,Accounts!$B:$B,"none") + SUMIFS(Accounts!$AK:$AK,Accounts!$B:$B,"none",Accounts!$E:$E,"QBO")</f>
        <v>0</v>
      </c>
      <c r="BO3" s="43">
        <f>SUMIFS(Accounts!$AB:$AB,Accounts!$B:$B,"none",Accounts!$E:$E,"QBO")</f>
        <v>0</v>
      </c>
      <c r="BP3" s="43">
        <f>SUMIFS(Accounts!$AD:$AD,Accounts!$B:$B,"none",Accounts!$E:$E,"QBO") + SUMIFS(Accounts!$AM:$AM,Accounts!$B:$B,"none",Accounts!$E:$E,"QBO") + SUMIFS(Accounts!$AN:$AN,Accounts!$B:$B,"none",Accounts!$E:$E,"QBO")</f>
        <v>0</v>
      </c>
      <c r="BQ3" s="43">
        <f>SUMIFS(Accounts!$AE:$AE,Accounts!$B:$B,"none",Accounts!$E:$E,"QBO") + SUMIFS(Accounts!$AP:$AP,Accounts!$B:$B,"none",Accounts!$E:$E,"QBO")</f>
        <v>0</v>
      </c>
      <c r="BR3" s="43">
        <f>SUM(BS3:BT3,BQ3)</f>
        <v>0</v>
      </c>
      <c r="BS3" s="43">
        <f>SUMIFS(Accounts!$Z:$Z,Accounts!$B:$B,"none",Accounts!$E:$E,"QBO")</f>
        <v>0</v>
      </c>
      <c r="BT3" s="43">
        <f>SUMIFS(Accounts!$AG:$AG,Accounts!$B:$B,"none",Accounts!$E:$E,"QBO") + SUMIFS(Accounts!$AL:$AL,Accounts!$B:$B,"none",Accounts!$E:$E,"QBO")</f>
        <v>0</v>
      </c>
      <c r="BU3" s="43">
        <f>SUMIFS(Accounts!$AQ:$AQ,Accounts!$B:$B,"none",Accounts!$E:$E,"QBO")</f>
        <v>0</v>
      </c>
      <c r="BV3" s="41" t="e">
        <f>S$31/(BD$16+BD$19)</f>
        <v>#DIV/0!</v>
      </c>
      <c r="BW3" s="41" t="e">
        <f>U$31/(BE$16+BE$19)</f>
        <v>#DIV/0!</v>
      </c>
      <c r="BX3" s="41" t="e">
        <f>W$31/(BF$16+BF$19)</f>
        <v>#DIV/0!</v>
      </c>
      <c r="BY3" s="41" t="e">
        <f>Y$31/(BG$16+BG$19)</f>
        <v>#DIV/0!</v>
      </c>
      <c r="BZ3" s="41" t="e">
        <f>($AA$31+$AC$31+$AE$31)/($BI$16+$BJ$16+$BK$16+$BI$19+$BJ$19+$BK$19)</f>
        <v>#DIV/0!</v>
      </c>
      <c r="CA3" s="41" t="e">
        <f>$AA$31/($BI$16+$BI$19)</f>
        <v>#DIV/0!</v>
      </c>
      <c r="CB3" s="41" t="e">
        <f>AC$31/(BJ$16+BJ$19)</f>
        <v>#DIV/0!</v>
      </c>
      <c r="CC3" s="41" t="e">
        <f>AE$31/(BK$16+BK$19)</f>
        <v>#DIV/0!</v>
      </c>
      <c r="CD3" s="41" t="e">
        <f>AG$31/(BL$16+BL$19)</f>
        <v>#DIV/0!</v>
      </c>
      <c r="CE3" s="41" t="e">
        <f>(S$31+AI$31)/(BD$16+BD$19)</f>
        <v>#DIV/0!</v>
      </c>
      <c r="CF3" s="41" t="e">
        <f>(U$31+AK$31)/(BE$16+BE$19)</f>
        <v>#DIV/0!</v>
      </c>
      <c r="CG3" s="41" t="e">
        <f>(W$31+AM$31)/(BF$16+BF$19)</f>
        <v>#DIV/0!</v>
      </c>
      <c r="CH3" s="41" t="e">
        <f>(Y$31+AO$31)/(BG$16+BG$19)</f>
        <v>#DIV/0!</v>
      </c>
      <c r="CI3" s="41" t="e">
        <f>($AA$31+$AQ$31+AC31+AE31+AS31+AU31)/($BI$16+$BI$19+BJ16+BK16+BJ19+BK19)</f>
        <v>#DIV/0!</v>
      </c>
      <c r="CJ3" s="41" t="e">
        <f>($AA$31+$AQ$31)/($BI$16+$BI$19)</f>
        <v>#DIV/0!</v>
      </c>
      <c r="CK3" s="41" t="e">
        <f>(AC$31+AS$31)/(BJ$16+BJ$19)</f>
        <v>#DIV/0!</v>
      </c>
      <c r="CL3" s="41" t="e">
        <f>(AE$31+AU$31)/(BK$16+BK$19)</f>
        <v>#DIV/0!</v>
      </c>
      <c r="CM3" s="41" t="e">
        <f>(AG$31+AW$31)/(BL$16+BL$19)</f>
        <v>#DIV/0!</v>
      </c>
      <c r="CN3" s="41" t="e">
        <f>BV$3*BD$15</f>
        <v>#DIV/0!</v>
      </c>
      <c r="CO3" s="41" t="e">
        <f>BW$3*BE$15</f>
        <v>#DIV/0!</v>
      </c>
      <c r="CP3" s="41" t="e">
        <f>BX$3*BF$15</f>
        <v>#DIV/0!</v>
      </c>
      <c r="CQ3" s="41" t="e">
        <f>BY$3*BG$15</f>
        <v>#DIV/0!</v>
      </c>
      <c r="CR3" s="41" t="e">
        <f>$BZ$3*BH$15</f>
        <v>#DIV/0!</v>
      </c>
      <c r="CS3" s="41" t="e">
        <f>$CA$3*BI$15</f>
        <v>#DIV/0!</v>
      </c>
      <c r="CT3" s="41" t="e">
        <f>CB$3*BJ$15</f>
        <v>#DIV/0!</v>
      </c>
      <c r="CU3" s="41" t="e">
        <f>CC$3*BK$15</f>
        <v>#DIV/0!</v>
      </c>
      <c r="CV3" s="41" t="e">
        <f>CD$3*BL$15</f>
        <v>#DIV/0!</v>
      </c>
      <c r="CW3" s="38" t="e">
        <f>((CW15+CW18)/((CW14*$C$2)+(0.5*CW17*$C$2)))*$C$2</f>
        <v>#VALUE!</v>
      </c>
      <c r="CX3" s="43">
        <f>COUNTIFS(Accounts!$AS:$AS, "Manufacturing (MWD)",Accounts!$B:$B,"none",Accounts!$E:$E,"QBO")</f>
        <v>0</v>
      </c>
      <c r="CY3" s="37">
        <f>COUNTIFS(Accounts!$AS:$AS, "Manufacturing (MWD)",Accounts!$B:$B,"Customer",Accounts!$E:$E,"QBO")</f>
        <v>0</v>
      </c>
      <c r="CZ3" s="41">
        <f>SUMIFS(Accounts!$I:$I,Accounts!$AS:$AS, "Manufacturing (MWD)",Accounts!$E:$E,"QBO")</f>
        <v>0</v>
      </c>
      <c r="DA3" s="41">
        <f>SUMIFS(Accounts!$N:$N,Accounts!$AS:$AS, "Manufacturing (MWD)",Accounts!$E:$E,"QBO")</f>
        <v>0</v>
      </c>
      <c r="DB3" s="41" t="e">
        <f>CZ3/(CY3+CW17)</f>
        <v>#DIV/0!</v>
      </c>
      <c r="DC3" s="41" t="e">
        <f>(CZ3+DA3)/(CY3+CW17)</f>
        <v>#DIV/0!</v>
      </c>
      <c r="DD3" s="41" t="e">
        <f>CW13*DB3</f>
        <v>#VALUE!</v>
      </c>
      <c r="DE3" s="41" t="e">
        <f>AVERAGEIFS(Accounts!$AY:$AY,Accounts!$AS:$AS, "Manufacturing (MWD)",Accounts!$B:$B,"Customer",Accounts!$AY:$AY,"&gt;0",Accounts!$E:$E,"QBO")</f>
        <v>#DIV/0!</v>
      </c>
      <c r="DF3" s="37" t="e">
        <f>AVERAGEIFS(Accounts!$AX:$AX,Accounts!$AS:$AS, "Manufacturing (MWD)",Accounts!$B:$B,"Customer",Accounts!$AX:$AX,"&gt;0",Accounts!$E:$E,"QBO")</f>
        <v>#DIV/0!</v>
      </c>
      <c r="DG3" s="41" t="e">
        <f>AVERAGEIFS(Accounts!$AY:$AY,Accounts!$AS:$AS, "Manufacturing (MWD)",Accounts!$B:$B,"none",Accounts!$AY:$AY,"&gt;0",Accounts!$E:$E,"QBO")</f>
        <v>#DIV/0!</v>
      </c>
      <c r="DH3" s="37" t="e">
        <f>AVERAGEIFS(Accounts!$AX:$AX,Accounts!$AS:$AS, "Manufacturing (MWD)",Accounts!$B:$B,"none",Accounts!$AX:$AX,"&gt;0",Accounts!$E:$E,"QBO")</f>
        <v>#DIV/0!</v>
      </c>
      <c r="DI3" s="59">
        <f>SUMIFS(Accounts!$AA:$AA,Accounts!$B:$B,"Customer",Accounts!$AS:$AS, "Manufacturing (MWD)",Accounts!$E:$E,"QBO") + SUMIFS(Accounts!$AH:$AH,Accounts!$B:$B,"Customer",Accounts!$AS:$AS, "Manufacturing (MWD)",Accounts!$E:$E,"QBO") + SUMIFS(Accounts!$AJ:$AJ,Accounts!$B:$B,"Customer",Accounts!$AS:$AS, "Manufacturing (MWD)",Accounts!$E:$E,"QBO") + SUMIFS(Accounts!$AI:$AI,Accounts!$B:$B,"Customer",Accounts!$AS:$AS, "Manufacturing (MWD)",Accounts!$E:$E,"QBO") + SUMIFS(Accounts!$AO:$AO,Accounts!$B:$B,"Customer",Accounts!$AS:$AS, "Manufacturing (MWD)",Accounts!$E:$E,"QBO")</f>
        <v>0</v>
      </c>
      <c r="DJ3" s="59">
        <f>(SUMIFS(Accounts!$AC:$AC,Accounts!$B:$B,"Customer",Accounts!$AS:$AS, "Manufacturing (MWD)",Accounts!$E:$E,"QBO")+SUMIFS(Accounts!$AF:$AF,Accounts!$B:$B,"Customer",Accounts!$AS:$AS, "Manufacturing (MWD)",Accounts!$E:$E,"QBO")+SUMIFS(Accounts!$AK:$AK,Accounts!$B:$B,"Customer",Accounts!$AS:$AS, "Manufacturing (MWD)",Accounts!$E:$E,"QBO"))</f>
        <v>0</v>
      </c>
      <c r="DK3" s="59">
        <f>SUMIFS(Accounts!$AB:$AB,Accounts!$B:$B,"Customer",Accounts!$AS:$AS, "Manufacturing (MWD)",Accounts!$E:$E,"QBO")</f>
        <v>0</v>
      </c>
      <c r="DL3" s="59">
        <f>SUMIFS(Accounts!$AD:$AD,Accounts!$B:$B,"Customer",Accounts!$AS:$AS, "Manufacturing (MWD)",Accounts!$E:$E,"QBO")+SUMIFS(Accounts!$AM:$AM,Accounts!$B:$B,"Customer",Accounts!$AS:$AS, "Manufacturing (MWD)",Accounts!$E:$E,"QBO")+SUMIFS(Accounts!$AN:$AN,Accounts!$B:$B,"Customer",Accounts!$AS:$AS, "Manufacturing (MWD)",Accounts!$E:$E,"QBO")</f>
        <v>0</v>
      </c>
      <c r="DM3" s="59">
        <f>SUMIFS(Accounts!$AE:$AE,Accounts!$B:$B,"Customer",Accounts!$AS:$AS, "Manufacturing (MWD)",Accounts!$E:$E,"QBO") + SUMIFS(Accounts!$AP:$AP,Accounts!$B:$B,"Customer",Accounts!$AS:$AS, "Manufacturing (MWD)",Accounts!$E:$E,"QBO")</f>
        <v>0</v>
      </c>
      <c r="DN3" s="59">
        <f>SUMIFS(Accounts!$Z:$Z,Accounts!$B:$B,"Customer",Accounts!$AS:$AS, "Manufacturing (MWD)",Accounts!$E:$E,"QBO")</f>
        <v>0</v>
      </c>
      <c r="DO3" s="59">
        <f>SUMIFS(Accounts!$AG:$AG,Accounts!$B:$B,"Customer",Accounts!$AS:$AS, "Manufacturing (MWD)",Accounts!$E:$E,"QBO") + SUMIFS(Accounts!$AL:$AL,Accounts!$B:$B,"Customer",Accounts!$AS:$AS, "Manufacturing (MWD)",Accounts!$E:$E,"QBO")</f>
        <v>0</v>
      </c>
      <c r="DP3" s="59">
        <f>SUMIFS(Accounts!$AQ:$AQ,Accounts!$B:$B,"Customer",Accounts!$AS:$AS, "Manufacturing (MWD)",Accounts!$E:$E,"QBO")</f>
        <v>0</v>
      </c>
      <c r="DQ3" s="59">
        <f>SUMIFS(Accounts!$AA:$AA,Accounts!$B:$B,"none",Accounts!$AS:$AS, "Manufacturing (MWD)",Accounts!$E:$E,"QBO") + SUMIFS(Accounts!$AH:$AH,Accounts!$B:$B,"none",Accounts!$AS:$AS, "Manufacturing (MWD)",Accounts!$E:$E,"QBO") + SUMIFS(Accounts!$AJ:$AJ,Accounts!$B:$B,"none",Accounts!$AS:$AS, "Manufacturing (MWD)",Accounts!$E:$E,"QBO") + SUMIFS(Accounts!$AI:$AI,Accounts!$B:$B,"none",Accounts!$AS:$AS, "Manufacturing (MWD)",Accounts!$E:$E,"QBO") + SUMIFS(Accounts!$AO:$AO,Accounts!$B:$B,"none",Accounts!$AS:$AS, "Manufacturing (MWD)",Accounts!$E:$E,"QBO")</f>
        <v>0</v>
      </c>
      <c r="DR3" s="59">
        <f>(SUMIFS(Accounts!$AC:$AC,Accounts!$B:$B,"none",Accounts!$AS:$AS, "Manufacturing (MWD)",Accounts!$E:$E,"QBO")+SUMIFS(Accounts!$AF:$AF,Accounts!$B:$B,"none",Accounts!$AS:$AS, "Manufacturing (MWD)",Accounts!$E:$E,"QBO")+SUMIFS(Accounts!$AK:$AK,Accounts!$B:$B,"none",Accounts!$AS:$AS, "Manufacturing (MWD)",Accounts!$E:$E,"QBO"))</f>
        <v>0</v>
      </c>
      <c r="DS3" s="59">
        <f>SUMIFS(Accounts!$AB:$AB,Accounts!$B:$B,"none",Accounts!$AS:$AS, "Manufacturing (MWD)",Accounts!$E:$E,"QBO")</f>
        <v>0</v>
      </c>
      <c r="DT3" s="59">
        <f>SUMIFS(Accounts!$AD:$AD,Accounts!$B:$B,"none",Accounts!$AS:$AS, "Manufacturing (MWD)",Accounts!$E:$E,"QBO")+SUMIFS(Accounts!$AM:$AM,Accounts!$B:$B,"none",Accounts!$AS:$AS, "Manufacturing (MWD)",Accounts!$E:$E,"QBO")+SUMIFS(Accounts!$AN:$AN,Accounts!$B:$B,"none",Accounts!$AS:$AS, "Manufacturing (MWD)",Accounts!$E:$E,"QBO")</f>
        <v>0</v>
      </c>
      <c r="DU3" s="43">
        <f>SUMIFS(Accounts!$AE:$AE,Accounts!$B:$B,"none",Accounts!$AS:$AS, "Manufacturing (MWD)",Accounts!$E:$E,"QBO") + SUMIFS(Accounts!$AP:$AP,Accounts!$B:$B,"none",Accounts!$AS:$AS, "Manufacturing (MWD)",Accounts!$E:$E,"QBO")</f>
        <v>0</v>
      </c>
      <c r="DV3" s="59">
        <f>SUMIFS(Accounts!$Z:$Z,Accounts!$B:$B,"none",Accounts!$AS:$AS, "Manufacturing (MWD)",Accounts!$E:$E,"QBO")</f>
        <v>0</v>
      </c>
      <c r="DW3" s="43">
        <f>SUMIFS(Accounts!$AG:$AG,Accounts!$B:$B,"none",Accounts!$AS:$AS, "Manufacturing (MWD)",Accounts!$E:$E,"QBO") + SUMIFS(Accounts!$AL:$AL,Accounts!$B:$B,"none",Accounts!$AS:$AS, "Manufacturing (MWD)",Accounts!$E:$E,"QBO")</f>
        <v>0</v>
      </c>
      <c r="DX3" s="59">
        <f>SUMIFS(Accounts!$AQ:$AQ,Accounts!$B:$B,"none",Accounts!$AS:$AS, "Manufacturing (MWD)",Accounts!$E:$E,"QBO")</f>
        <v>0</v>
      </c>
      <c r="DY3" s="38" t="e">
        <f>((DY15+DY18)/((DY14*$C$2)+(0.5*DY17*$C$2)))*$C$2</f>
        <v>#VALUE!</v>
      </c>
      <c r="DZ3" s="43">
        <f>COUNTIFS(Accounts!$AS:$AS, "Wholesale and distribution services (MWD)",Accounts!$B:$B,"none",Accounts!$E:$E,"QBO")</f>
        <v>0</v>
      </c>
      <c r="EA3" s="37">
        <f>COUNTIFS(Accounts!$AS:$AS, "Wholesale and distribution services (MWD)",Accounts!$B:$B,"Customer",Accounts!$E:$E,"QBO")</f>
        <v>0</v>
      </c>
      <c r="EB3" s="41">
        <f>SUMIFS(Accounts!$I:$I,Accounts!$AS:$AS, "Wholesale and distribution services (MWD)",Accounts!$E:$E,"QBO")</f>
        <v>0</v>
      </c>
      <c r="EC3" s="41">
        <f>SUMIFS(Accounts!$N:$N,Accounts!$AS:$AS, "Wholesale and distribution services (MWD)",Accounts!$E:$E,"QBO")</f>
        <v>0</v>
      </c>
      <c r="ED3" s="41" t="e">
        <f>EB3/(EA3+DY17)</f>
        <v>#DIV/0!</v>
      </c>
      <c r="EE3" s="41" t="e">
        <f>(EB3+EC3)/(EA3+DY17)</f>
        <v>#DIV/0!</v>
      </c>
      <c r="EF3" s="41" t="e">
        <f>DY13*ED3</f>
        <v>#VALUE!</v>
      </c>
      <c r="EG3" s="41" t="e">
        <f>AVERAGEIFS(Accounts!$AY:$AY,Accounts!$AS:$AS, "Wholesale and distribution services (MWD)",Accounts!$B:$B,"Customer",Accounts!$AY:$AY,"&gt;0",Accounts!$E:$E,"QBO")</f>
        <v>#DIV/0!</v>
      </c>
      <c r="EH3" s="37" t="e">
        <f>AVERAGEIFS(Accounts!$AX:$AX,Accounts!$AS:$AS, "Wholesale and distribution services (MWD)",Accounts!$B:$B,"Customer",Accounts!$AX:$AX,"&gt;0",Accounts!$E:$E,"QBO")</f>
        <v>#DIV/0!</v>
      </c>
      <c r="EI3" s="41" t="e">
        <f>AVERAGEIFS(Accounts!$AY:$AY,Accounts!$AS:$AS, "Wholesale and distribution services (MWD)",Accounts!$B:$B,"none",Accounts!$AY:$AY,"&gt;0",Accounts!$E:$E,"QBO")</f>
        <v>#DIV/0!</v>
      </c>
      <c r="EJ3" s="37" t="e">
        <f>AVERAGEIFS(Accounts!$AX:$AX,Accounts!$AS:$AS, "Wholesale and distribution services (MWD)",Accounts!$B:$B,"none",Accounts!$AX:$AX,"&gt;0",Accounts!$E:$E,"QBO")</f>
        <v>#DIV/0!</v>
      </c>
      <c r="EK3" s="59">
        <f>SUMIFS(Accounts!$AA:$AA,Accounts!$B:$B,"Customer",Accounts!$AS:$AS, "Wholesale and distribution services (MWD)",Accounts!$E:$E,"QBO") + SUMIFS(Accounts!$AH:$AH,Accounts!$B:$B,"Customer",Accounts!$AS:$AS, "Wholesale and distribution services (MWD)",Accounts!$E:$E,"QBO") + SUMIFS(Accounts!$AJ:$AJ,Accounts!$B:$B,"Customer",Accounts!$AS:$AS, "Wholesale and distribution services (MWD)",Accounts!$E:$E,"QBO") + SUMIFS(Accounts!$AI:$AI,Accounts!$B:$B,"Customer",Accounts!$AS:$AS, "Wholesale and distribution services (MWD)",Accounts!$E:$E,"QBO") + SUMIFS(Accounts!$AO:$AO,Accounts!$B:$B,"Customer",Accounts!$AS:$AS, "Wholesale and distribution services (MWD)",Accounts!$E:$E,"QBO")</f>
        <v>0</v>
      </c>
      <c r="EL3" s="59">
        <f>(SUMIFS(Accounts!$AC:$AC,Accounts!$B:$B,"Customer",Accounts!$AS:$AS, "Wholesale and distribution services (MWD)",Accounts!$E:$E,"QBO")+SUMIFS(Accounts!$AF:$AF,Accounts!$B:$B,"Customer",Accounts!$AS:$AS, "Wholesale and distribution services (MWD)",Accounts!$E:$E,"QBO")+SUMIFS(Accounts!$AK:$AK,Accounts!$B:$B,"Customer",Accounts!$AS:$AS, "Wholesale and distribution services (MWD)",Accounts!$E:$E,"QBO"))</f>
        <v>0</v>
      </c>
      <c r="EM3" s="59">
        <f>SUMIFS(Accounts!$AB:$AB,Accounts!$B:$B,"Customer",Accounts!$AS:$AS, "Wholesale and distribution services (MWD)",Accounts!$E:$E,"QBO")</f>
        <v>0</v>
      </c>
      <c r="EN3" s="59">
        <f>SUMIFS(Accounts!$AD:$AD,Accounts!$B:$B,"Customer",Accounts!$AS:$AS, "Wholesale and distribution services (MWD)",Accounts!$E:$E,"QBO")+SUMIFS(Accounts!$AM:$AM,Accounts!$B:$B,"Customer",Accounts!$AS:$AS, "Wholesale and distribution services (MWD)",Accounts!$E:$E,"QBO")+SUMIFS(Accounts!$AN:$AN,Accounts!$B:$B,"Customer",Accounts!$AS:$AS, "Wholesale and distribution services (MWD)",Accounts!$E:$E,"QBO")</f>
        <v>0</v>
      </c>
      <c r="EO3" s="59">
        <f>SUMIFS(Accounts!$AE:$AE,Accounts!$B:$B,"Customer",Accounts!$AS:$AS, "Wholesale and distribution services (MWD)",Accounts!$E:$E,"QBO") + SUMIFS(Accounts!$AP:$AP,Accounts!$B:$B,"Customer",Accounts!$AS:$AS, "Wholesale and distribution services (MWD)",Accounts!$E:$E,"QBO")</f>
        <v>0</v>
      </c>
      <c r="EP3" s="59">
        <f>SUMIFS(Accounts!$Z:$Z,Accounts!$B:$B,"Customer",Accounts!$AS:$AS, "Wholesale and distribution services (MWD)",Accounts!$E:$E,"QBO")</f>
        <v>0</v>
      </c>
      <c r="EQ3" s="59">
        <f>SUMIFS(Accounts!$AG:$AG,Accounts!$B:$B,"Customer",Accounts!$AS:$AS, "Wholesale and distribution services (MWD)",Accounts!$E:$E,"QBO") + SUMIFS(Accounts!$AL:$AL,Accounts!$B:$B,"Customer",Accounts!$AS:$AS, "Wholesale and distribution services (MWD)",Accounts!$E:$E,"QBO")</f>
        <v>0</v>
      </c>
      <c r="ER3" s="59">
        <f>SUMIFS(Accounts!$AQ:$AQ,Accounts!$B:$B,"Customer",Accounts!$AS:$AS, "Wholesale and distribution services (MWD)",Accounts!$E:$E,"QBO")</f>
        <v>0</v>
      </c>
      <c r="ES3" s="59">
        <f>SUMIFS(Accounts!$AA:$AA,Accounts!$B:$B,"none",Accounts!$AS:$AS, "Wholesale and distribution services (MWD)",Accounts!$E:$E,"QBO") + SUMIFS(Accounts!$AH:$AH,Accounts!$B:$B,"none",Accounts!$AS:$AS, "Wholesale and distribution services (MWD)",Accounts!$E:$E,"QBO") + SUMIFS(Accounts!$AJ:$AJ,Accounts!$B:$B,"none",Accounts!$AS:$AS, "Wholesale and distribution services (MWD)",Accounts!$E:$E,"QBO") + SUMIFS(Accounts!$AI:$AI,Accounts!$B:$B,"none",Accounts!$AS:$AS, "Wholesale and distribution services (MWD)",Accounts!$E:$E,"QBO") + SUMIFS(Accounts!$AO:$AO,Accounts!$B:$B,"none",Accounts!$AS:$AS, "Wholesale and distribution services (MWD)",Accounts!$E:$E,"QBO")</f>
        <v>0</v>
      </c>
      <c r="ET3" s="59">
        <f>(SUMIFS(Accounts!$AC:$AC,Accounts!$B:$B,"none",Accounts!$AS:$AS, "Wholesale and distribution services (MWD)",Accounts!$E:$E,"QBO")+SUMIFS(Accounts!$AF:$AF,Accounts!$B:$B,"none",Accounts!$AS:$AS, "Wholesale and distribution services (MWD)",Accounts!$E:$E,"QBO")+SUMIFS(Accounts!$AK:$AK,Accounts!$B:$B,"none",Accounts!$AS:$AS, "Wholesale and distribution services (MWD)",Accounts!$E:$E,"QBO"))</f>
        <v>0</v>
      </c>
      <c r="EU3" s="59">
        <f>SUMIFS(Accounts!$AB:$AB,Accounts!$B:$B,"none",Accounts!$AS:$AS, "Wholesale and distribution services (MWD)",Accounts!$E:$E,"QBO")</f>
        <v>0</v>
      </c>
      <c r="EV3" s="59">
        <f>SUMIFS(Accounts!$AD:$AD,Accounts!$B:$B,"none",Accounts!$AS:$AS, "Wholesale and distribution services (MWD)",Accounts!$E:$E,"QBO")+SUMIFS(Accounts!$AM:$AM,Accounts!$B:$B,"none",Accounts!$AS:$AS, "Wholesale and distribution services (MWD)",Accounts!$E:$E,"QBO")+SUMIFS(Accounts!$AN:$AN,Accounts!$B:$B,"none",Accounts!$AS:$AS, "Wholesale and distribution services (MWD)",Accounts!$E:$E,"QBO")</f>
        <v>0</v>
      </c>
      <c r="EW3" s="43">
        <f>SUMIFS(Accounts!$AE:$AE,Accounts!$B:$B,"none",Accounts!$AS:$AS, "Wholesale and distribution services (MWD)",Accounts!$E:$E,"QBO") + SUMIFS(Accounts!$AP:$AP,Accounts!$B:$B,"none",Accounts!$AS:$AS, "Wholesale and distribution services (MWD)",Accounts!$E:$E,"QBO")</f>
        <v>0</v>
      </c>
      <c r="EX3" s="59">
        <f>SUMIFS(Accounts!$Z:$Z,Accounts!$B:$B,"none",Accounts!$AS:$AS, "Wholesale and distribution services (MWD)",Accounts!$E:$E,"QBO")</f>
        <v>0</v>
      </c>
      <c r="EY3" s="43">
        <f>SUMIFS(Accounts!$AG:$AG,Accounts!$B:$B,"none",Accounts!$AS:$AS, "Wholesale and distribution services (MWD)",Accounts!$E:$E,"QBO") + SUMIFS(Accounts!$AL:$AL,Accounts!$B:$B,"none",Accounts!$AS:$AS, "Wholesale and distribution services (MWD)",Accounts!$E:$E,"QBO")</f>
        <v>0</v>
      </c>
      <c r="EZ3" s="59">
        <f>SUMIFS(Accounts!$AQ:$AQ,Accounts!$B:$B,"none",Accounts!$AS:$AS, "Wholesale and distribution services (MWD)",Accounts!$E:$E,"QBO")</f>
        <v>0</v>
      </c>
      <c r="FA3" s="38" t="e">
        <f>((FA15+FA18)/((FA14*$C$2)+(0.5*FA17*$C$2)))*$C$2</f>
        <v>#VALUE!</v>
      </c>
      <c r="FB3" s="43">
        <f>COUNTIFS(Accounts!$AS:$AS, "Construction",Accounts!$B:$B,"none",Accounts!$E:$E,"QBO")</f>
        <v>0</v>
      </c>
      <c r="FC3" s="37">
        <f>COUNTIFS(Accounts!$AS:$AS, "Construction",Accounts!$B:$B,"Customer",Accounts!$E:$E,"QBO")</f>
        <v>0</v>
      </c>
      <c r="FD3" s="41">
        <f>SUMIFS(Accounts!$I:$I,Accounts!$AS:$AS, "Construction",Accounts!$E:$E,"QBO")</f>
        <v>0</v>
      </c>
      <c r="FE3" s="41">
        <f>SUMIFS(Accounts!$N:$N,Accounts!$AS:$AS, "Construction",Accounts!$E:$E,"QBO")</f>
        <v>0</v>
      </c>
      <c r="FF3" s="41" t="e">
        <f>FD3/(FC3+FA17)</f>
        <v>#DIV/0!</v>
      </c>
      <c r="FG3" s="41" t="e">
        <f>(FD3+FE3)/(FC3+FA17)</f>
        <v>#DIV/0!</v>
      </c>
      <c r="FH3" s="41" t="e">
        <f>FA13*FF3</f>
        <v>#VALUE!</v>
      </c>
      <c r="FI3" s="41" t="e">
        <f>AVERAGEIFS(Accounts!$AY:$AY,Accounts!$AS:$AS, "Construction",Accounts!$B:$B,"Customer",Accounts!$AY:$AY,"&gt;0",Accounts!$E:$E,"QBO")</f>
        <v>#DIV/0!</v>
      </c>
      <c r="FJ3" s="37" t="e">
        <f>AVERAGEIFS(Accounts!$AX:$AX,Accounts!$AS:$AS, "Construction",Accounts!$B:$B,"Customer",Accounts!$AX:$AX,"&gt;0",Accounts!$E:$E,"QBO")</f>
        <v>#DIV/0!</v>
      </c>
      <c r="FK3" s="41" t="e">
        <f>AVERAGEIFS(Accounts!$AY:$AY,Accounts!$AS:$AS, "Construction",Accounts!$B:$B,"none",Accounts!$AY:$AY,"&gt;0",Accounts!$E:$E,"QBO")</f>
        <v>#DIV/0!</v>
      </c>
      <c r="FL3" s="37" t="e">
        <f>AVERAGEIFS(Accounts!$AX:$AX,Accounts!$AS:$AS, "Construction",Accounts!$B:$B,"none",Accounts!$AX:$AX,"&gt;0",Accounts!$E:$E,"QBO")</f>
        <v>#DIV/0!</v>
      </c>
      <c r="FM3" s="59">
        <f>SUMIFS(Accounts!$AA:$AA,Accounts!$B:$B,"Customer",Accounts!$AS:$AS, "Construction",Accounts!$E:$E,"QBO") + SUMIFS(Accounts!$AH:$AH,Accounts!$B:$B,"Customer",Accounts!$AS:$AS, "Construction",Accounts!$E:$E,"QBO") + SUMIFS(Accounts!$AJ:$AJ,Accounts!$B:$B,"Customer",Accounts!$AS:$AS, "Construction",Accounts!$E:$E,"QBO") + SUMIFS(Accounts!$AI:$AI,Accounts!$B:$B,"Customer",Accounts!$AS:$AS, "Construction",Accounts!$E:$E,"QBO") + SUMIFS(Accounts!$AO:$AO,Accounts!$B:$B,"Customer",Accounts!$AS:$AS, "Construction",Accounts!$E:$E,"QBO")</f>
        <v>0</v>
      </c>
      <c r="FN3" s="59">
        <f>(SUMIFS(Accounts!$AC:$AC,Accounts!$B:$B,"Customer",Accounts!$AS:$AS, "Construction",Accounts!$E:$E,"QBO")+SUMIFS(Accounts!$AF:$AF,Accounts!$B:$B,"Customer",Accounts!$AS:$AS, "Construction",Accounts!$E:$E,"QBO")+SUMIFS(Accounts!$AK:$AK,Accounts!$B:$B,"Customer",Accounts!$AS:$AS, "Construction",Accounts!$E:$E,"QBO"))</f>
        <v>0</v>
      </c>
      <c r="FO3" s="59">
        <f>SUMIFS(Accounts!$AB:$AB,Accounts!$B:$B,"Customer",Accounts!$AS:$AS, "Construction",Accounts!$E:$E,"QBO")</f>
        <v>0</v>
      </c>
      <c r="FP3" s="59">
        <f>SUMIFS(Accounts!$AD:$AD,Accounts!$B:$B,"Customer",Accounts!$AS:$AS, "Construction",Accounts!$E:$E,"QBO")+SUMIFS(Accounts!$AM:$AM,Accounts!$B:$B,"Customer",Accounts!$AS:$AS, "Construction",Accounts!$E:$E,"QBO")+SUMIFS(Accounts!$AN:$AN,Accounts!$B:$B,"Customer",Accounts!$AS:$AS, "Construction",Accounts!$E:$E,"QBO")</f>
        <v>0</v>
      </c>
      <c r="FQ3" s="59">
        <f>SUMIFS(Accounts!$AE:$AE,Accounts!$B:$B,"Customer",Accounts!$AS:$AS, "Construction",Accounts!$E:$E,"QBO") + SUMIFS(Accounts!$AP:$AP,Accounts!$B:$B,"Customer",Accounts!$AS:$AS, "Construction",Accounts!$E:$E,"QBO")</f>
        <v>0</v>
      </c>
      <c r="FR3" s="59">
        <f>SUMIFS(Accounts!$Z:$Z,Accounts!$B:$B,"Customer",Accounts!$AS:$AS, "Construction",Accounts!$E:$E,"QBO")</f>
        <v>0</v>
      </c>
      <c r="FS3" s="59">
        <f>SUMIFS(Accounts!$AG:$AG,Accounts!$B:$B,"Customer",Accounts!$AS:$AS, "Construction",Accounts!$E:$E,"QBO") + SUMIFS(Accounts!$AL:$AL,Accounts!$B:$B,"Customer",Accounts!$AS:$AS, "Construction",Accounts!$E:$E,"QBO")</f>
        <v>0</v>
      </c>
      <c r="FT3" s="59">
        <f>SUMIFS(Accounts!$AQ:$AQ,Accounts!$B:$B,"Customer",Accounts!$AS:$AS, "Construction",Accounts!$E:$E,"QBO")</f>
        <v>0</v>
      </c>
      <c r="FU3" s="59">
        <f>SUMIFS(Accounts!$AA:$AA,Accounts!$B:$B,"none",Accounts!$AS:$AS, "Construction",Accounts!$E:$E,"QBO") + SUMIFS(Accounts!$AH:$AH,Accounts!$B:$B,"none",Accounts!$AS:$AS, "Construction",Accounts!$E:$E,"QBO") + SUMIFS(Accounts!$AJ:$AJ,Accounts!$B:$B,"none",Accounts!$AS:$AS, "Construction",Accounts!$E:$E,"QBO") + SUMIFS(Accounts!$AI:$AI,Accounts!$B:$B,"none",Accounts!$AS:$AS, "Construction",Accounts!$E:$E,"QBO") + SUMIFS(Accounts!$AO:$AO,Accounts!$B:$B,"none",Accounts!$AS:$AS, "Construction",Accounts!$E:$E,"QBO")</f>
        <v>0</v>
      </c>
      <c r="FV3" s="59">
        <f>(SUMIFS(Accounts!$AC:$AC,Accounts!$B:$B,"none",Accounts!$AS:$AS, "Construction",Accounts!$E:$E,"QBO")+SUMIFS(Accounts!$AF:$AF,Accounts!$B:$B,"none",Accounts!$AS:$AS, "Construction",Accounts!$E:$E,"QBO")+SUMIFS(Accounts!$AK:$AK,Accounts!$B:$B,"none",Accounts!$AS:$AS, "Construction",Accounts!$E:$E,"QBO"))</f>
        <v>0</v>
      </c>
      <c r="FW3" s="59">
        <f>SUMIFS(Accounts!$AB:$AB,Accounts!$B:$B,"none",Accounts!$AS:$AS, "Construction",Accounts!$E:$E,"QBO")</f>
        <v>0</v>
      </c>
      <c r="FX3" s="59">
        <f>SUMIFS(Accounts!$AD:$AD,Accounts!$B:$B,"none",Accounts!$AS:$AS, "Construction",Accounts!$E:$E,"QBO")+SUMIFS(Accounts!$AM:$AM,Accounts!$B:$B,"none",Accounts!$AS:$AS, "Construction",Accounts!$E:$E,"QBO")+SUMIFS(Accounts!$AN:$AN,Accounts!$B:$B,"none",Accounts!$AS:$AS, "Construction",Accounts!$E:$E,"QBO")</f>
        <v>0</v>
      </c>
      <c r="FY3" s="43">
        <f>SUMIFS(Accounts!$AE:$AE,Accounts!$B:$B,"none",Accounts!$AS:$AS, "Construction",Accounts!$E:$E,"QBO") + SUMIFS(Accounts!$AP:$AP,Accounts!$B:$B,"none",Accounts!$AS:$AS, "Construction",Accounts!$E:$E,"QBO")</f>
        <v>0</v>
      </c>
      <c r="FZ3" s="59">
        <f>SUMIFS(Accounts!$Z:$Z,Accounts!$B:$B,"none",Accounts!$AS:$AS, "Construction",Accounts!$E:$E,"QBO")</f>
        <v>0</v>
      </c>
      <c r="GA3" s="43">
        <f>SUMIFS(Accounts!$AG:$AG,Accounts!$B:$B,"none",Accounts!$AS:$AS, "Construction",Accounts!$E:$E,"QBO") + SUMIFS(Accounts!$AL:$AL,Accounts!$B:$B,"none",Accounts!$AS:$AS, "Construction",Accounts!$E:$E,"QBO")</f>
        <v>0</v>
      </c>
      <c r="GB3" s="59">
        <f>SUMIFS(Accounts!$AQ:$AQ,Accounts!$B:$B,"none",Accounts!$AS:$AS, "Construction",Accounts!$E:$E,"QBO")</f>
        <v>0</v>
      </c>
      <c r="GC3" s="38" t="e">
        <f>((GC15+GC18)/((GC14*$C$2)+(0.5*GC17*$C$2)))*$C$2</f>
        <v>#VALUE!</v>
      </c>
      <c r="GD3" s="43">
        <f>COUNTIFS(Accounts!$AS:$AS, "Field Services",Accounts!$B:$B,"none",Accounts!$E:$E,"QBO")</f>
        <v>0</v>
      </c>
      <c r="GE3" s="37">
        <f>COUNTIFS(Accounts!$AS:$AS, "Field Services",Accounts!$B:$B,"Customer",Accounts!$E:$E,"QBO")</f>
        <v>0</v>
      </c>
      <c r="GF3" s="41">
        <f>SUMIFS(Accounts!$I:$I,Accounts!$AS:$AS, "Field Services",Accounts!$E:$E,"QBO")</f>
        <v>0</v>
      </c>
      <c r="GG3" s="41">
        <f>SUMIFS(Accounts!$N:$N,Accounts!$AS:$AS, "Field Services",Accounts!$E:$E,"QBO")</f>
        <v>0</v>
      </c>
      <c r="GH3" s="41" t="e">
        <f>GF3/(GE3+GC17)</f>
        <v>#DIV/0!</v>
      </c>
      <c r="GI3" s="41" t="e">
        <f>(GF3+GG3)/(GE3+GC17)</f>
        <v>#DIV/0!</v>
      </c>
      <c r="GJ3" s="41" t="e">
        <f>GC13*GH3</f>
        <v>#VALUE!</v>
      </c>
      <c r="GK3" s="41">
        <f>IFERROR(AVERAGEIFS(Accounts!$AY:$AY,Accounts!$AS:$AS,"Field Services",Accounts!$B:$B,"Customer",Accounts!$AY:$AY,"&gt;0",Accounts!$E:$E,"QBO"),0)</f>
        <v>0</v>
      </c>
      <c r="GL3" s="37">
        <f>IFERROR(AVERAGEIFS(Accounts!$AX:$AX,Accounts!$AS:$AS, "Field Services",Accounts!$B:$B,"Customer",Accounts!$AX:$AX,"&gt;0",Accounts!$E:$E,"QBO"),0)</f>
        <v>0</v>
      </c>
      <c r="GM3" s="41">
        <f>IFERROR(AVERAGEIFS(Accounts!$AY:$AY,Accounts!$AS:$AS, "Field Services",Accounts!$B:$B,"none",Accounts!$AY:$AY,"&gt;0",Accounts!$E:$E,"QBO"),0)</f>
        <v>0</v>
      </c>
      <c r="GN3" s="37">
        <f>IFERROR(AVERAGEIFS(Accounts!$AX:$AX,Accounts!$AS:$AS, "Field Services",Accounts!$B:$B,"none",Accounts!$AX:$AX,"&gt;0",Accounts!$E:$E,"QBO"),0)</f>
        <v>0</v>
      </c>
      <c r="GO3" s="59">
        <f>SUMIFS(Accounts!$AA:$AA,Accounts!$B:$B,"Customer",Accounts!$AS:$AS, "Field Services",Accounts!$E:$E,"QBO") + SUMIFS(Accounts!$AH:$AH,Accounts!$B:$B,"Customer",Accounts!$AS:$AS, "Field Services",Accounts!$E:$E,"QBO") + SUMIFS(Accounts!$AJ:$AJ,Accounts!$B:$B,"Customer",Accounts!$AS:$AS, "Field Services",Accounts!$E:$E,"QBO") + SUMIFS(Accounts!$AI:$AI,Accounts!$B:$B,"Customer",Accounts!$AS:$AS, "Field Services",Accounts!$E:$E,"QBO") + SUMIFS(Accounts!$AO:$AO,Accounts!$B:$B,"Customer",Accounts!$AS:$AS, "Field Services",Accounts!$E:$E,"QBO")</f>
        <v>0</v>
      </c>
      <c r="GP3" s="59">
        <f>(SUMIFS(Accounts!$AC:$AC,Accounts!$B:$B,"Customer",Accounts!$AS:$AS, "Field Services",Accounts!$E:$E,"QBO")+SUMIFS(Accounts!$AF:$AF,Accounts!$B:$B,"Customer",Accounts!$AS:$AS, "Field Services",Accounts!$E:$E,"QBO")+SUMIFS(Accounts!$AK:$AK,Accounts!$B:$B,"Customer",Accounts!$AS:$AS, "Field Services",Accounts!$E:$E,"QBO"))</f>
        <v>0</v>
      </c>
      <c r="GQ3" s="59">
        <f>SUMIFS(Accounts!$AB:$AB,Accounts!$B:$B,"Customer",Accounts!$AS:$AS, "Field Services",Accounts!$E:$E,"QBO")</f>
        <v>0</v>
      </c>
      <c r="GR3" s="59">
        <f>SUMIFS(Accounts!$AD:$AD,Accounts!$B:$B,"Customer",Accounts!$AS:$AS, "Field Services",Accounts!$E:$E,"QBO")+SUMIFS(Accounts!$AM:$AM,Accounts!$B:$B,"Customer",Accounts!$AS:$AS, "Field Services",Accounts!$E:$E,"QBO")+SUMIFS(Accounts!$AN:$AN,Accounts!$B:$B,"Customer",Accounts!$AS:$AS, "Field Services",Accounts!$E:$E,"QBO")</f>
        <v>0</v>
      </c>
      <c r="GS3" s="59">
        <f>SUMIFS(Accounts!$AE:$AE,Accounts!$B:$B,"Customer",Accounts!$AS:$AS, "Field Services",Accounts!$E:$E,"QBO") + SUMIFS(Accounts!$AP:$AP,Accounts!$B:$B,"Customer",Accounts!$AS:$AS, "Field Services",Accounts!$E:$E,"QBO")</f>
        <v>0</v>
      </c>
      <c r="GT3" s="59">
        <f>SUMIFS(Accounts!$Z:$Z,Accounts!$B:$B,"Customer",Accounts!$AS:$AS, "Field Services",Accounts!$E:$E,"QBO")</f>
        <v>0</v>
      </c>
      <c r="GU3" s="59">
        <f>SUMIFS(Accounts!$AG:$AG,Accounts!$B:$B,"Customer",Accounts!$AS:$AS, "Field Services",Accounts!$E:$E,"QBO") + SUMIFS(Accounts!$AL:$AL,Accounts!$B:$B,"Customer",Accounts!$AS:$AS, "Field Services",Accounts!$E:$E,"QBO")</f>
        <v>0</v>
      </c>
      <c r="GV3" s="59">
        <f>SUMIFS(Accounts!$AQ:$AQ,Accounts!$B:$B,"Customer",Accounts!$AS:$AS, "Field Services",Accounts!$E:$E,"QBO")</f>
        <v>0</v>
      </c>
      <c r="GW3" s="59">
        <f>SUMIFS(Accounts!$AA:$AA,Accounts!$B:$B,"none",Accounts!$AS:$AS, "Field Services",Accounts!$E:$E,"QBO") + SUMIFS(Accounts!$AH:$AH,Accounts!$B:$B,"none",Accounts!$AS:$AS, "Field Services",Accounts!$E:$E,"QBO") + SUMIFS(Accounts!$AJ:$AJ,Accounts!$B:$B,"none",Accounts!$AS:$AS, "Field Services",Accounts!$E:$E,"QBO") + SUMIFS(Accounts!$AI:$AI,Accounts!$B:$B,"none",Accounts!$AS:$AS, "Field Services",Accounts!$E:$E,"QBO") + SUMIFS(Accounts!$AO:$AO,Accounts!$B:$B,"none",Accounts!$AS:$AS, "Field Services",Accounts!$E:$E,"QBO")</f>
        <v>0</v>
      </c>
      <c r="GX3" s="59">
        <f>(SUMIFS(Accounts!$AC:$AC,Accounts!$B:$B,"none",Accounts!$AS:$AS, "Field Services",Accounts!$E:$E,"QBO")+SUMIFS(Accounts!$AF:$AF,Accounts!$B:$B,"none",Accounts!$AS:$AS, "Field Services",Accounts!$E:$E,"QBO")+SUMIFS(Accounts!$AK:$AK,Accounts!$B:$B,"none",Accounts!$AS:$AS, "Field Services",Accounts!$E:$E,"QBO"))</f>
        <v>0</v>
      </c>
      <c r="GY3" s="59">
        <f>SUMIFS(Accounts!$AB:$AB,Accounts!$B:$B,"none",Accounts!$AS:$AS, "Field Services",Accounts!$E:$E,"QBO")</f>
        <v>0</v>
      </c>
      <c r="GZ3" s="59">
        <f>SUMIFS(Accounts!$AD:$AD,Accounts!$B:$B,"none",Accounts!$AS:$AS, "Field Services",Accounts!$E:$E,"QBO")+SUMIFS(Accounts!$AM:$AM,Accounts!$B:$B,"none",Accounts!$AS:$AS, "Field Services",Accounts!$E:$E,"QBO")+SUMIFS(Accounts!$AN:$AN,Accounts!$B:$B,"none",Accounts!$AS:$AS, "Field Services",Accounts!$E:$E,"QBO")</f>
        <v>0</v>
      </c>
      <c r="HA3" s="43">
        <f>SUMIFS(Accounts!$AE:$AE,Accounts!$B:$B,"none",Accounts!$AS:$AS, "Field Services",Accounts!$E:$E,"QBO") + SUMIFS(Accounts!$AP:$AP,Accounts!$B:$B,"none",Accounts!$AS:$AS, "Field Services",Accounts!$E:$E,"QBO")</f>
        <v>0</v>
      </c>
      <c r="HB3" s="59">
        <f>SUMIFS(Accounts!$Z:$Z,Accounts!$B:$B,"none",Accounts!$AS:$AS, "Field Services",Accounts!$E:$E,"QBO")</f>
        <v>0</v>
      </c>
      <c r="HC3" s="43">
        <f>SUMIFS(Accounts!$AG:$AG,Accounts!$B:$B,"none",Accounts!$AS:$AS, "Field Services",Accounts!$E:$E,"QBO") + SUMIFS(Accounts!$AL:$AL,Accounts!$B:$B,"none",Accounts!$AS:$AS, "Field Services",Accounts!$E:$E,"QBO")</f>
        <v>0</v>
      </c>
      <c r="HD3" s="59">
        <f>SUMIFS(Accounts!$AQ:$AQ,Accounts!$B:$B,"none",Accounts!$AS:$AS, "Field Services",Accounts!$E:$E,"QBO")</f>
        <v>0</v>
      </c>
      <c r="HE3" s="38" t="e">
        <f>((HE15+HE18)/((HE14*$C$2)+(0.5*HE17*$C$2)))*$C$2</f>
        <v>#VALUE!</v>
      </c>
      <c r="HF3" s="43">
        <f>COUNTIFS(Accounts!$AS:$AS, "Consulting and Professional Services",Accounts!$B:$B,"none",Accounts!$E:$E,"QBO")</f>
        <v>0</v>
      </c>
      <c r="HG3" s="37">
        <f>COUNTIFS(Accounts!$AS:$AS, "Consulting and Professional Services",Accounts!$B:$B,"Customer",Accounts!$E:$E,"QBO")</f>
        <v>0</v>
      </c>
      <c r="HH3" s="41">
        <f>SUMIFS(Accounts!$I:$I,Accounts!$AS:$AS, "Consulting and Professional Services",Accounts!$E:$E,"QBO")</f>
        <v>0</v>
      </c>
      <c r="HI3" s="41">
        <f>SUMIFS(Accounts!$N:$N,Accounts!$AS:$AS, "Consulting and Professional Services",Accounts!$E:$E,"QBO")</f>
        <v>0</v>
      </c>
      <c r="HJ3" s="41" t="e">
        <f>HH3/(HG3+HE17)</f>
        <v>#DIV/0!</v>
      </c>
      <c r="HK3" s="41" t="e">
        <f>(HH3+HI3)/(HG3+HE17)</f>
        <v>#DIV/0!</v>
      </c>
      <c r="HL3" s="41" t="e">
        <f>HE13*HJ3</f>
        <v>#VALUE!</v>
      </c>
      <c r="HM3" s="41">
        <f>IFERROR(AVERAGEIFS(Accounts!$AY:$AY,Accounts!$AS:$AS,"Consulting and Professional Services",Accounts!$B:$B,"Customer",Accounts!$AY:$AY,"&gt;0",Accounts!$E:$E,"QBO"),0)</f>
        <v>0</v>
      </c>
      <c r="HN3" s="37">
        <f>IFERROR(AVERAGEIFS(Accounts!$AX:$AX,Accounts!$AS:$AS, "Consulting and Professional Services",Accounts!$B:$B,"Customer",Accounts!$AX:$AX,"&gt;0",Accounts!$E:$E,"QBO"),0)</f>
        <v>0</v>
      </c>
      <c r="HO3" s="41">
        <f>IFERROR(AVERAGEIFS(Accounts!$AY:$AY,Accounts!$AS:$AS, "Consulting and Professional Services",Accounts!$B:$B,"none",Accounts!$AY:$AY,"&gt;0",Accounts!$E:$E,"QBO"),0)</f>
        <v>0</v>
      </c>
      <c r="HP3" s="37">
        <f>IFERROR(AVERAGEIFS(Accounts!$AX:$AX,Accounts!$AS:$AS, "Consulting and Professional Services",Accounts!$B:$B,"none",Accounts!$AX:$AX,"&gt;0",Accounts!$E:$E,"QBO"),0)</f>
        <v>0</v>
      </c>
      <c r="HQ3" s="59">
        <f>SUMIFS(Accounts!$AA:$AA,Accounts!$B:$B,"Customer",Accounts!$AS:$AS, "Consulting and Professional Services",Accounts!$E:$E,"QBO") + SUMIFS(Accounts!$AH:$AH,Accounts!$B:$B,"Customer",Accounts!$AS:$AS, "Consulting and Professional Services",Accounts!$E:$E,"QBO") + SUMIFS(Accounts!$AJ:$AJ,Accounts!$B:$B,"Customer",Accounts!$AS:$AS, "Consulting and Professional Services",Accounts!$E:$E,"QBO") + SUMIFS(Accounts!$AI:$AI,Accounts!$B:$B,"Customer",Accounts!$AS:$AS, "Consulting and Professional Services",Accounts!$E:$E,"QBO") + SUMIFS(Accounts!$AO:$AO,Accounts!$B:$B,"Customer",Accounts!$AS:$AS, "Consulting and Professional Services",Accounts!$E:$E,"QBO")</f>
        <v>0</v>
      </c>
      <c r="HR3" s="59">
        <f>(SUMIFS(Accounts!$AC:$AC,Accounts!$B:$B,"Customer",Accounts!$AS:$AS, "Consulting and Professional Services",Accounts!$E:$E,"QBO")+SUMIFS(Accounts!$AF:$AF,Accounts!$B:$B,"Customer",Accounts!$AS:$AS, "Consulting and Professional Services",Accounts!$E:$E,"QBO")+SUMIFS(Accounts!$AK:$AK,Accounts!$B:$B,"Customer",Accounts!$AS:$AS, "Consulting and Professional Services",Accounts!$E:$E,"QBO"))</f>
        <v>0</v>
      </c>
      <c r="HS3" s="59">
        <f>SUMIFS(Accounts!$AB:$AB,Accounts!$B:$B,"Customer",Accounts!$AS:$AS, "Consulting and Professional Services",Accounts!$E:$E,"QBO")</f>
        <v>0</v>
      </c>
      <c r="HT3" s="59">
        <f>SUMIFS(Accounts!$AD:$AD,Accounts!$B:$B,"Customer",Accounts!$AS:$AS, "Consulting and Professional Services",Accounts!$E:$E,"QBO")+SUMIFS(Accounts!$AM:$AM,Accounts!$B:$B,"Customer",Accounts!$AS:$AS, "Consulting and Professional Services",Accounts!$E:$E,"QBO")+SUMIFS(Accounts!$AN:$AN,Accounts!$B:$B,"Customer",Accounts!$AS:$AS, "Consulting and Professional Services",Accounts!$E:$E,"QBO")</f>
        <v>0</v>
      </c>
      <c r="HU3" s="59">
        <f>SUMIFS(Accounts!$AE:$AE,Accounts!$B:$B,"Customer",Accounts!$AS:$AS, "Consulting and Professional Services",Accounts!$E:$E,"QBO") + SUMIFS(Accounts!$AP:$AP,Accounts!$B:$B,"Customer",Accounts!$AS:$AS, "Consulting and Professional Services",Accounts!$E:$E,"QBO")</f>
        <v>0</v>
      </c>
      <c r="HV3" s="59">
        <f>SUMIFS(Accounts!$Z:$Z,Accounts!$B:$B,"Customer",Accounts!$AS:$AS, "Consulting and Professional Services",Accounts!$E:$E,"QBO")</f>
        <v>0</v>
      </c>
      <c r="HW3" s="59">
        <f>SUMIFS(Accounts!$AG:$AG,Accounts!$B:$B,"Customer",Accounts!$AS:$AS, "Consulting and Professional Services",Accounts!$E:$E,"QBO") + SUMIFS(Accounts!$AL:$AL,Accounts!$B:$B,"Customer",Accounts!$AS:$AS, "Consulting and Professional Services",Accounts!$E:$E,"QBO")</f>
        <v>0</v>
      </c>
      <c r="HX3" s="59">
        <f>SUMIFS(Accounts!$AQ:$AQ,Accounts!$B:$B,"Customer",Accounts!$AS:$AS, "Consulting and Professional Services",Accounts!$E:$E,"QBO")</f>
        <v>0</v>
      </c>
      <c r="HY3" s="59">
        <f>SUMIFS(Accounts!$AA:$AA,Accounts!$B:$B,"none",Accounts!$AS:$AS, "Consulting and Professional Services",Accounts!$E:$E,"QBO") + SUMIFS(Accounts!$AH:$AH,Accounts!$B:$B,"none",Accounts!$AS:$AS, "Consulting and Professional Services",Accounts!$E:$E,"QBO") + SUMIFS(Accounts!$AJ:$AJ,Accounts!$B:$B,"none",Accounts!$AS:$AS, "Consulting and Professional Services",Accounts!$E:$E,"QBO") + SUMIFS(Accounts!$AI:$AI,Accounts!$B:$B,"none",Accounts!$AS:$AS, "Consulting and Professional Services",Accounts!$E:$E,"QBO") + SUMIFS(Accounts!$AO:$AO,Accounts!$B:$B,"none",Accounts!$AS:$AS, "Consulting and Professional Services",Accounts!$E:$E,"QBO")</f>
        <v>0</v>
      </c>
      <c r="HZ3" s="59">
        <f>(SUMIFS(Accounts!$AC:$AC,Accounts!$B:$B,"none",Accounts!$AS:$AS, "Consulting and Professional Services",Accounts!$E:$E,"QBO")+SUMIFS(Accounts!$AF:$AF,Accounts!$B:$B,"none",Accounts!$AS:$AS, "Consulting and Professional Services",Accounts!$E:$E,"QBO")+SUMIFS(Accounts!$AK:$AK,Accounts!$B:$B,"none",Accounts!$AS:$AS, "Consulting and Professional Services",Accounts!$E:$E,"QBO"))</f>
        <v>0</v>
      </c>
      <c r="IA3" s="59">
        <f>SUMIFS(Accounts!$AB:$AB,Accounts!$B:$B,"none",Accounts!$AS:$AS, "Consulting and Professional Services",Accounts!$E:$E,"QBO")</f>
        <v>0</v>
      </c>
      <c r="IB3" s="59">
        <f>SUMIFS(Accounts!$AD:$AD,Accounts!$B:$B,"none",Accounts!$AS:$AS, "Consulting and Professional Services",Accounts!$E:$E,"QBO")+SUMIFS(Accounts!$AM:$AM,Accounts!$B:$B,"none",Accounts!$AS:$AS, "Consulting and Professional Services",Accounts!$E:$E,"QBO")+SUMIFS(Accounts!$AN:$AN,Accounts!$B:$B,"none",Accounts!$AS:$AS, "Consulting and Professional Services",Accounts!$E:$E,"QBO")</f>
        <v>0</v>
      </c>
      <c r="IC3" s="43">
        <f>SUMIFS(Accounts!$AE:$AE,Accounts!$B:$B,"none",Accounts!$AS:$AS, "Consulting and Professional Services",Accounts!$E:$E,"QBO") + SUMIFS(Accounts!$AP:$AP,Accounts!$B:$B,"none",Accounts!$AS:$AS, "Consulting and Professional Services",Accounts!$E:$E,"QBO")</f>
        <v>0</v>
      </c>
      <c r="ID3" s="59">
        <f>SUMIFS(Accounts!$Z:$Z,Accounts!$B:$B,"none",Accounts!$AS:$AS, "Consulting and Professional Services",Accounts!$E:$E,"QBO")</f>
        <v>0</v>
      </c>
      <c r="IE3" s="43">
        <f>SUMIFS(Accounts!$AG:$AG,Accounts!$B:$B,"none",Accounts!$AS:$AS, "Consulting and Professional Services",Accounts!$E:$E,"QBO") + SUMIFS(Accounts!$AL:$AL,Accounts!$B:$B,"none",Accounts!$AS:$AS, "Consulting and Professional Services",Accounts!$E:$E,"QBO")</f>
        <v>0</v>
      </c>
      <c r="IF3" s="59">
        <f>SUMIFS(Accounts!$AQ:$AQ,Accounts!$B:$B,"none",Accounts!$AS:$AS, "Consulting and Professional Services",Accounts!$E:$E,"QBO")</f>
        <v>0</v>
      </c>
      <c r="IG3" s="38" t="e">
        <f>((IG15+IG18)/((IG14*$C$2)+(0.5*IG17*$C$2)))*$C$2</f>
        <v>#VALUE!</v>
      </c>
      <c r="IH3" s="43">
        <f>COUNTIFS(Accounts!$AS:$AS, "Retail",Accounts!$B:$B,"none",Accounts!$E:$E,"QBO")</f>
        <v>0</v>
      </c>
      <c r="II3" s="37">
        <f>COUNTIFS(Accounts!$AS:$AS, "Retail",Accounts!$B:$B,"Customer",Accounts!$E:$E,"QBO")</f>
        <v>0</v>
      </c>
      <c r="IJ3" s="41">
        <f>SUMIFS(Accounts!$I:$I,Accounts!$AS:$AS, "Retail",Accounts!$E:$E,"QBO")</f>
        <v>0</v>
      </c>
      <c r="IK3" s="41">
        <f>SUMIFS(Accounts!$N:$N,Accounts!$AS:$AS, "Retail",Accounts!$E:$E,"QBO")</f>
        <v>0</v>
      </c>
      <c r="IL3" s="41" t="e">
        <f>IJ3/(II3+IG17)</f>
        <v>#DIV/0!</v>
      </c>
      <c r="IM3" s="41" t="e">
        <f>(IJ3+IK3)/(II3+IG17)</f>
        <v>#DIV/0!</v>
      </c>
      <c r="IN3" s="41" t="e">
        <f>IG13*IL3</f>
        <v>#VALUE!</v>
      </c>
      <c r="IO3" s="41">
        <f>IFERROR(AVERAGEIFS(Accounts!$AY:$AY,Accounts!$AS:$AS,"Retail",Accounts!$B:$B,"Customer",Accounts!$AY:$AY,"&gt;0",Accounts!$E:$E,"QBO"),0)</f>
        <v>0</v>
      </c>
      <c r="IP3" s="37">
        <f>IFERROR(AVERAGEIFS(Accounts!$AX:$AX,Accounts!$AS:$AS, "Retail",Accounts!$B:$B,"Customer",Accounts!$AX:$AX,"&gt;0",Accounts!$E:$E,"QBO"),0)</f>
        <v>0</v>
      </c>
      <c r="IQ3" s="41">
        <f>IFERROR(AVERAGEIFS(Accounts!$AY:$AY,Accounts!$AS:$AS, "Retail",Accounts!$B:$B,"none",Accounts!$AY:$AY,"&gt;0",Accounts!$E:$E,"QBO"),0)</f>
        <v>0</v>
      </c>
      <c r="IR3" s="37">
        <f>IFERROR(AVERAGEIFS(Accounts!$AX:$AX,Accounts!$AS:$AS, "Retail",Accounts!$B:$B,"none",Accounts!$AX:$AX,"&gt;0",Accounts!$E:$E,"QBO"),0)</f>
        <v>0</v>
      </c>
      <c r="IS3" s="59">
        <f>SUMIFS(Accounts!$AA:$AA,Accounts!$B:$B,"Customer",Accounts!$AS:$AS, "Retail",Accounts!$E:$E,"QBO") + SUMIFS(Accounts!$AH:$AH,Accounts!$B:$B,"Customer",Accounts!$AS:$AS, "Retail",Accounts!$E:$E,"QBO") + SUMIFS(Accounts!$AJ:$AJ,Accounts!$B:$B,"Customer",Accounts!$AS:$AS, "Retail",Accounts!$E:$E,"QBO") + SUMIFS(Accounts!$AI:$AI,Accounts!$B:$B,"Customer",Accounts!$AS:$AS, "Retail",Accounts!$E:$E,"QBO") + SUMIFS(Accounts!$AO:$AO,Accounts!$B:$B,"Customer",Accounts!$AS:$AS, "Retail",Accounts!$E:$E,"QBO")</f>
        <v>0</v>
      </c>
      <c r="IT3" s="59">
        <f>(SUMIFS(Accounts!$AC:$AC,Accounts!$B:$B,"Customer",Accounts!$AS:$AS, "Retail",Accounts!$E:$E,"QBO")+SUMIFS(Accounts!$AF:$AF,Accounts!$B:$B,"Customer",Accounts!$AS:$AS, "Retail",Accounts!$E:$E,"QBO")+SUMIFS(Accounts!$AK:$AK,Accounts!$B:$B,"Customer",Accounts!$AS:$AS, "Retail",Accounts!$E:$E,"QBO"))</f>
        <v>0</v>
      </c>
      <c r="IU3" s="59">
        <f>SUMIFS(Accounts!$AB:$AB,Accounts!$B:$B,"Customer",Accounts!$AS:$AS, "Retail",Accounts!$E:$E,"QBO")</f>
        <v>0</v>
      </c>
      <c r="IV3" s="59">
        <f>SUMIFS(Accounts!$AD:$AD,Accounts!$B:$B,"Customer",Accounts!$AS:$AS, "Retail",Accounts!$E:$E,"QBO")+SUMIFS(Accounts!$AM:$AM,Accounts!$B:$B,"Customer",Accounts!$AS:$AS, "Retail",Accounts!$E:$E,"QBO")+SUMIFS(Accounts!$AN:$AN,Accounts!$B:$B,"Customer",Accounts!$AS:$AS, "Retail",Accounts!$E:$E,"QBO")</f>
        <v>0</v>
      </c>
      <c r="IW3" s="59">
        <f>SUMIFS(Accounts!$AE:$AE,Accounts!$B:$B,"Customer",Accounts!$AS:$AS, "Retail",Accounts!$E:$E,"QBO") + SUMIFS(Accounts!$AP:$AP,Accounts!$B:$B,"Customer",Accounts!$AS:$AS, "Retail",Accounts!$E:$E,"QBO")</f>
        <v>0</v>
      </c>
      <c r="IX3" s="59">
        <f>SUMIFS(Accounts!$Z:$Z,Accounts!$B:$B,"Customer",Accounts!$AS:$AS, "Retail",Accounts!$E:$E,"QBO")</f>
        <v>0</v>
      </c>
      <c r="IY3" s="59">
        <f>SUMIFS(Accounts!$AG:$AG,Accounts!$B:$B,"Customer",Accounts!$AS:$AS, "Retail",Accounts!$E:$E,"QBO") + SUMIFS(Accounts!$AL:$AL,Accounts!$B:$B,"Customer",Accounts!$AS:$AS, "Retail",Accounts!$E:$E,"QBO")</f>
        <v>0</v>
      </c>
      <c r="IZ3" s="59">
        <f>SUMIFS(Accounts!$AQ:$AQ,Accounts!$B:$B,"Customer",Accounts!$AS:$AS, "Retail",Accounts!$E:$E,"QBO")</f>
        <v>0</v>
      </c>
      <c r="JA3" s="59">
        <f>SUMIFS(Accounts!$AA:$AA,Accounts!$B:$B,"none",Accounts!$AS:$AS, "Retail",Accounts!$E:$E,"QBO") + SUMIFS(Accounts!$AH:$AH,Accounts!$B:$B,"none",Accounts!$AS:$AS, "Retail",Accounts!$E:$E,"QBO") + SUMIFS(Accounts!$AJ:$AJ,Accounts!$B:$B,"none",Accounts!$AS:$AS, "Retail",Accounts!$E:$E,"QBO") + SUMIFS(Accounts!$AI:$AI,Accounts!$B:$B,"none",Accounts!$AS:$AS, "Retail",Accounts!$E:$E,"QBO") + SUMIFS(Accounts!$AO:$AO,Accounts!$B:$B,"none",Accounts!$AS:$AS, "Retail",Accounts!$E:$E,"QBO")</f>
        <v>0</v>
      </c>
      <c r="JB3" s="59">
        <f>(SUMIFS(Accounts!$AC:$AC,Accounts!$B:$B,"none",Accounts!$AS:$AS, "Retail",Accounts!$E:$E,"QBO")+SUMIFS(Accounts!$AF:$AF,Accounts!$B:$B,"none",Accounts!$AS:$AS, "Retail",Accounts!$E:$E,"QBO")+SUMIFS(Accounts!$AK:$AK,Accounts!$B:$B,"none",Accounts!$AS:$AS, "Retail",Accounts!$E:$E,"QBO"))</f>
        <v>0</v>
      </c>
      <c r="JC3" s="59">
        <f>SUMIFS(Accounts!$AB:$AB,Accounts!$B:$B,"none",Accounts!$AS:$AS, "Retail",Accounts!$E:$E,"QBO")</f>
        <v>0</v>
      </c>
      <c r="JD3" s="59">
        <f>SUMIFS(Accounts!$AD:$AD,Accounts!$B:$B,"none",Accounts!$AS:$AS, "Retail",Accounts!$E:$E,"QBO")+SUMIFS(Accounts!$AM:$AM,Accounts!$B:$B,"none",Accounts!$AS:$AS, "Retail",Accounts!$E:$E,"QBO")+SUMIFS(Accounts!$AN:$AN,Accounts!$B:$B,"none",Accounts!$AS:$AS, "Retail",Accounts!$E:$E,"QBO")</f>
        <v>0</v>
      </c>
      <c r="JE3" s="43">
        <f>SUMIFS(Accounts!$AE:$AE,Accounts!$B:$B,"none",Accounts!$AS:$AS, "Retail",Accounts!$E:$E,"QBO") + SUMIFS(Accounts!$AP:$AP,Accounts!$B:$B,"none",Accounts!$AS:$AS, "Retail",Accounts!$E:$E,"QBO")</f>
        <v>0</v>
      </c>
      <c r="JF3" s="59">
        <f>SUMIFS(Accounts!$Z:$Z,Accounts!$B:$B,"none",Accounts!$AS:$AS, "Retail",Accounts!$E:$E,"QBO")</f>
        <v>0</v>
      </c>
      <c r="JG3" s="43">
        <f>SUMIFS(Accounts!$AG:$AG,Accounts!$B:$B,"none",Accounts!$AS:$AS, "Retail",Accounts!$E:$E,"QBO") + SUMIFS(Accounts!$AL:$AL,Accounts!$B:$B,"none",Accounts!$AS:$AS, "Retail",Accounts!$E:$E,"QBO")</f>
        <v>0</v>
      </c>
      <c r="JH3" s="59">
        <f>SUMIFS(Accounts!$AQ:$AQ,Accounts!$B:$B,"none",Accounts!$AS:$AS, "Retail",Accounts!$E:$E,"QBO")</f>
        <v>0</v>
      </c>
      <c r="JI3" s="38" t="e">
        <f>((JI15+JI18)/((JI14*$C$2)+(0.5*JI17*$C$2)))*$C$2</f>
        <v>#VALUE!</v>
      </c>
      <c r="JJ3" s="43">
        <f>COUNTIFS(Accounts!$AS:$AS, "Non-profit, govt or religious organization",Accounts!$B:$B,"none",Accounts!$E:$E,"QBO")</f>
        <v>0</v>
      </c>
      <c r="JK3" s="37">
        <f>COUNTIFS(Accounts!$AS:$AS, "Non-profit, govt or religious organization",Accounts!$B:$B,"Customer",Accounts!$E:$E,"QBO")</f>
        <v>0</v>
      </c>
      <c r="JL3" s="41">
        <f>SUMIFS(Accounts!$I:$I,Accounts!$AS:$AS, "Non-profit, govt or religious organization",Accounts!$E:$E,"QBO")</f>
        <v>0</v>
      </c>
      <c r="JM3" s="41">
        <f>SUMIFS(Accounts!$N:$N,Accounts!$AS:$AS, "Non-profit, govt or religious organization",Accounts!$E:$E,"QBO")</f>
        <v>0</v>
      </c>
      <c r="JN3" s="41" t="e">
        <f>JL3/(JK3+JI17)</f>
        <v>#DIV/0!</v>
      </c>
      <c r="JO3" s="41" t="e">
        <f>(JL3+JM3)/(JK3+JI17)</f>
        <v>#DIV/0!</v>
      </c>
      <c r="JP3" s="41" t="e">
        <f>JI13*JN3</f>
        <v>#VALUE!</v>
      </c>
      <c r="JQ3" s="41">
        <f>IFERROR(AVERAGEIFS(Accounts!$AY:$AY,Accounts!$AS:$AS,"Non-profit, govt or religious organization",Accounts!$B:$B,"Customer",Accounts!$AY:$AY,"&gt;0",Accounts!$E:$E,"QBO"),0)</f>
        <v>0</v>
      </c>
      <c r="JR3" s="37">
        <f>IFERROR(AVERAGEIFS(Accounts!$AX:$AX,Accounts!$AS:$AS, "Non-profit, govt or religious organization",Accounts!$B:$B,"Customer",Accounts!$AX:$AX,"&gt;0",Accounts!$E:$E,"QBO"),0)</f>
        <v>0</v>
      </c>
      <c r="JS3" s="41">
        <f>IFERROR(AVERAGEIFS(Accounts!$AY:$AY,Accounts!$AS:$AS, "Non-profit, govt or religious organization",Accounts!$B:$B,"none",Accounts!$AY:$AY,"&gt;0",Accounts!$E:$E,"QBO"),0)</f>
        <v>0</v>
      </c>
      <c r="JT3" s="37">
        <f>IFERROR(AVERAGEIFS(Accounts!$AX:$AX,Accounts!$AS:$AS, "Non-profit, govt or religious organization",Accounts!$B:$B,"none",Accounts!$AX:$AX,"&gt;0",Accounts!$E:$E,"QBO"),0)</f>
        <v>0</v>
      </c>
      <c r="JU3" s="59">
        <f>SUMIFS(Accounts!$AA:$AA,Accounts!$B:$B,"Customer",Accounts!$AS:$AS, "Non-profit, govt or religious organization",Accounts!$E:$E,"QBO") + SUMIFS(Accounts!$AH:$AH,Accounts!$B:$B,"Customer",Accounts!$AS:$AS, "Non-profit, govt or religious organization",Accounts!$E:$E,"QBO") + SUMIFS(Accounts!$AJ:$AJ,Accounts!$B:$B,"Customer",Accounts!$AS:$AS, "Non-profit, govt or religious organization",Accounts!$E:$E,"QBO") + SUMIFS(Accounts!$AI:$AI,Accounts!$B:$B,"Customer",Accounts!$AS:$AS, "Non-profit, govt or religious organization",Accounts!$E:$E,"QBO") + SUMIFS(Accounts!$AO:$AO,Accounts!$B:$B,"Customer",Accounts!$AS:$AS, "Non-profit, govt or religious organization",Accounts!$E:$E,"QBO")</f>
        <v>0</v>
      </c>
      <c r="JV3" s="59">
        <f>(SUMIFS(Accounts!$AC:$AC,Accounts!$B:$B,"Customer",Accounts!$AS:$AS, "Non-profit, govt or religious organization",Accounts!$E:$E,"QBO")+SUMIFS(Accounts!$AF:$AF,Accounts!$B:$B,"Customer",Accounts!$AS:$AS, "Non-profit, govt or religious organization",Accounts!$E:$E,"QBO")+SUMIFS(Accounts!$AK:$AK,Accounts!$B:$B,"Customer",Accounts!$AS:$AS, "Non-profit, govt or religious organization",Accounts!$E:$E,"QBO"))</f>
        <v>0</v>
      </c>
      <c r="JW3" s="59">
        <f>SUMIFS(Accounts!$AB:$AB,Accounts!$B:$B,"Customer",Accounts!$AS:$AS, "Non-profit, govt or religious organization",Accounts!$E:$E,"QBO")</f>
        <v>0</v>
      </c>
      <c r="JX3" s="59">
        <f>SUMIFS(Accounts!$AD:$AD,Accounts!$B:$B,"Customer",Accounts!$AS:$AS, "Non-profit, govt or religious organization",Accounts!$E:$E,"QBO")+SUMIFS(Accounts!$AM:$AM,Accounts!$B:$B,"Customer",Accounts!$AS:$AS, "Non-profit, govt or religious organization",Accounts!$E:$E,"QBO")+SUMIFS(Accounts!$AN:$AN,Accounts!$B:$B,"Customer",Accounts!$AS:$AS, "Non-profit, govt or religious organization",Accounts!$E:$E,"QBO")</f>
        <v>0</v>
      </c>
      <c r="JY3" s="59">
        <f>SUMIFS(Accounts!$AE:$AE,Accounts!$B:$B,"Customer",Accounts!$AS:$AS, "Non-profit, govt or religious organization",Accounts!$E:$E,"QBO") + SUMIFS(Accounts!$AP:$AP,Accounts!$B:$B,"Customer",Accounts!$AS:$AS, "Non-profit, govt or religious organization",Accounts!$E:$E,"QBO")</f>
        <v>0</v>
      </c>
      <c r="JZ3" s="59">
        <f>SUMIFS(Accounts!$Z:$Z,Accounts!$B:$B,"Customer",Accounts!$AS:$AS, "Non-profit, govt or religious organization",Accounts!$E:$E,"QBO")</f>
        <v>0</v>
      </c>
      <c r="KA3" s="59">
        <f>SUMIFS(Accounts!$AG:$AG,Accounts!$B:$B,"Customer",Accounts!$AS:$AS, "Non-profit, govt or religious organization",Accounts!$E:$E,"QBO") + SUMIFS(Accounts!$AL:$AL,Accounts!$B:$B,"Customer",Accounts!$AS:$AS, "Non-profit, govt or religious organization",Accounts!$E:$E,"QBO")</f>
        <v>0</v>
      </c>
      <c r="KB3" s="59">
        <f>SUMIFS(Accounts!$AQ:$AQ,Accounts!$B:$B,"Customer",Accounts!$AS:$AS, "Non-profit, govt or religious organization",Accounts!$E:$E,"QBO")</f>
        <v>0</v>
      </c>
      <c r="KC3" s="59">
        <f>SUMIFS(Accounts!$AA:$AA,Accounts!$B:$B,"none",Accounts!$AS:$AS, "Non-profit, govt or religious organization",Accounts!$E:$E,"QBO") + SUMIFS(Accounts!$AH:$AH,Accounts!$B:$B,"none",Accounts!$AS:$AS, "Non-profit, govt or religious organization",Accounts!$E:$E,"QBO") + SUMIFS(Accounts!$AJ:$AJ,Accounts!$B:$B,"none",Accounts!$AS:$AS, "Non-profit, govt or religious organization",Accounts!$E:$E,"QBO") + SUMIFS(Accounts!$AI:$AI,Accounts!$B:$B,"none",Accounts!$AS:$AS, "Non-profit, govt or religious organization",Accounts!$E:$E,"QBO") + SUMIFS(Accounts!$AO:$AO,Accounts!$B:$B,"none",Accounts!$AS:$AS, "Non-profit, govt or religious organization",Accounts!$E:$E,"QBO")</f>
        <v>0</v>
      </c>
      <c r="KD3" s="59">
        <f>(SUMIFS(Accounts!$AC:$AC,Accounts!$B:$B,"none",Accounts!$AS:$AS, "Non-profit, govt or religious organization",Accounts!$E:$E,"QBO")+SUMIFS(Accounts!$AF:$AF,Accounts!$B:$B,"none",Accounts!$AS:$AS, "Non-profit, govt or religious organization",Accounts!$E:$E,"QBO")+SUMIFS(Accounts!$AK:$AK,Accounts!$B:$B,"none",Accounts!$AS:$AS, "Non-profit, govt or religious organization",Accounts!$E:$E,"QBO"))</f>
        <v>0</v>
      </c>
      <c r="KE3" s="59">
        <f>SUMIFS(Accounts!$AB:$AB,Accounts!$B:$B,"none",Accounts!$AS:$AS, "Non-profit, govt or religious organization",Accounts!$E:$E,"QBO")</f>
        <v>0</v>
      </c>
      <c r="KF3" s="59">
        <f>SUMIFS(Accounts!$AD:$AD,Accounts!$B:$B,"none",Accounts!$AS:$AS, "Non-profit, govt or religious organization",Accounts!$E:$E,"QBO")+SUMIFS(Accounts!$AM:$AM,Accounts!$B:$B,"none",Accounts!$AS:$AS, "Non-profit, govt or religious organization",Accounts!$E:$E,"QBO")+SUMIFS(Accounts!$AN:$AN,Accounts!$B:$B,"none",Accounts!$AS:$AS, "Non-profit, govt or religious organization",Accounts!$E:$E,"QBO")</f>
        <v>0</v>
      </c>
      <c r="KG3" s="43">
        <f>SUMIFS(Accounts!$AE:$AE,Accounts!$B:$B,"none",Accounts!$AS:$AS, "Non-profit, govt or religious organization",Accounts!$E:$E,"QBO") + SUMIFS(Accounts!$AP:$AP,Accounts!$B:$B,"none",Accounts!$AS:$AS, "Non-profit, govt or religious organization",Accounts!$E:$E,"QBO")</f>
        <v>0</v>
      </c>
      <c r="KH3" s="59">
        <f>SUMIFS(Accounts!$Z:$Z,Accounts!$B:$B,"none",Accounts!$AS:$AS, "Non-profit, govt or religious organization",Accounts!$E:$E,"QBO")</f>
        <v>0</v>
      </c>
      <c r="KI3" s="43">
        <f>SUMIFS(Accounts!$AG:$AG,Accounts!$B:$B,"none",Accounts!$AS:$AS, "Non-profit, govt or religious organization",Accounts!$E:$E,"QBO") + SUMIFS(Accounts!$AL:$AL,Accounts!$B:$B,"none",Accounts!$AS:$AS, "Non-profit, govt or religious organization",Accounts!$E:$E,"QBO")</f>
        <v>0</v>
      </c>
      <c r="KJ3" s="59">
        <f>SUMIFS(Accounts!$AQ:$AQ,Accounts!$B:$B,"none",Accounts!$AS:$AS, "Non-profit, govt or religious organization",Accounts!$E:$E,"QBO")</f>
        <v>0</v>
      </c>
      <c r="KK3" s="38" t="e">
        <f>((KK15+KK18)/((KK14*$C$2)+(0.5*KK17*$C$2)))*$C$2</f>
        <v>#VALUE!</v>
      </c>
      <c r="KL3" s="43">
        <f>COUNTIFS(Accounts!$AS:$AS, "Communications, Entertainment and Media",Accounts!$B:$B,"none",Accounts!$E:$E,"QBO")</f>
        <v>0</v>
      </c>
      <c r="KM3" s="37">
        <f>COUNTIFS(Accounts!$AS:$AS, "Communications, Entertainment and Media",Accounts!$B:$B,"Customer",Accounts!$E:$E,"QBO")</f>
        <v>0</v>
      </c>
      <c r="KN3" s="41">
        <f>SUMIFS(Accounts!$I:$I,Accounts!$AS:$AS, "Communications, Entertainment and Media",Accounts!$E:$E,"QBO")</f>
        <v>0</v>
      </c>
      <c r="KO3" s="41">
        <f>SUMIFS(Accounts!$N:$N,Accounts!$AS:$AS, "Communications, Entertainment and Media",Accounts!$E:$E,"QBO")</f>
        <v>0</v>
      </c>
      <c r="KP3" s="41" t="e">
        <f>KN3/(KM3+KK17)</f>
        <v>#DIV/0!</v>
      </c>
      <c r="KQ3" s="41" t="e">
        <f>(KN3+KO3)/(KM3+KK17)</f>
        <v>#DIV/0!</v>
      </c>
      <c r="KR3" s="41" t="e">
        <f>KK13*KP3</f>
        <v>#VALUE!</v>
      </c>
      <c r="KS3" s="41">
        <f>IFERROR(AVERAGEIFS(Accounts!$AY:$AY,Accounts!$AS:$AS,"Communications, Entertainment and Media",Accounts!$B:$B,"Customer",Accounts!$AY:$AY,"&gt;0",Accounts!$E:$E,"QBO"),0)</f>
        <v>0</v>
      </c>
      <c r="KT3" s="37">
        <f>IFERROR(AVERAGEIFS(Accounts!$AX:$AX,Accounts!$AS:$AS, "Communications, Entertainment and Media",Accounts!$B:$B,"Customer",Accounts!$AX:$AX,"&gt;0",Accounts!$E:$E,"QBO"),0)</f>
        <v>0</v>
      </c>
      <c r="KU3" s="41">
        <f>IFERROR(AVERAGEIFS(Accounts!$AY:$AY,Accounts!$AS:$AS, "Communications, Entertainment and Media",Accounts!$B:$B,"none",Accounts!$AY:$AY,"&gt;0",Accounts!$E:$E,"QBO"),0)</f>
        <v>0</v>
      </c>
      <c r="KV3" s="37">
        <f>IFERROR(AVERAGEIFS(Accounts!$AX:$AX,Accounts!$AS:$AS, "Communications, Entertainment and Media",Accounts!$B:$B,"none",Accounts!$AX:$AX,"&gt;0",Accounts!$E:$E,"QBO"),0)</f>
        <v>0</v>
      </c>
      <c r="KW3" s="59">
        <f>SUMIFS(Accounts!$AA:$AA,Accounts!$B:$B,"Customer",Accounts!$AS:$AS, "Communications, Entertainment and Media",Accounts!$E:$E,"QBO") + SUMIFS(Accounts!$AH:$AH,Accounts!$B:$B,"Customer",Accounts!$AS:$AS, "Communications, Entertainment and Media",Accounts!$E:$E,"QBO") + SUMIFS(Accounts!$AJ:$AJ,Accounts!$B:$B,"Customer",Accounts!$AS:$AS, "Communications, Entertainment and Media",Accounts!$E:$E,"QBO") + SUMIFS(Accounts!$AI:$AI,Accounts!$B:$B,"Customer",Accounts!$AS:$AS, "Communications, Entertainment and Media",Accounts!$E:$E,"QBO") + SUMIFS(Accounts!$AO:$AO,Accounts!$B:$B,"Customer",Accounts!$AS:$AS, "Communications, Entertainment and Media",Accounts!$E:$E,"QBO")</f>
        <v>0</v>
      </c>
      <c r="KX3" s="59">
        <f>(SUMIFS(Accounts!$AC:$AC,Accounts!$B:$B,"Customer",Accounts!$AS:$AS, "Communications, Entertainment and Media",Accounts!$E:$E,"QBO")+SUMIFS(Accounts!$AF:$AF,Accounts!$B:$B,"Customer",Accounts!$AS:$AS, "Communications, Entertainment and Media",Accounts!$E:$E,"QBO")+SUMIFS(Accounts!$AK:$AK,Accounts!$B:$B,"Customer",Accounts!$AS:$AS, "Communications, Entertainment and Media",Accounts!$E:$E,"QBO"))</f>
        <v>0</v>
      </c>
      <c r="KY3" s="59">
        <f>SUMIFS(Accounts!$AB:$AB,Accounts!$B:$B,"Customer",Accounts!$AS:$AS, "Communications, Entertainment and Media",Accounts!$E:$E,"QBO")</f>
        <v>0</v>
      </c>
      <c r="KZ3" s="59">
        <f>SUMIFS(Accounts!$AD:$AD,Accounts!$B:$B,"Customer",Accounts!$AS:$AS, "Communications, Entertainment and Media",Accounts!$E:$E,"QBO")+SUMIFS(Accounts!$AM:$AM,Accounts!$B:$B,"Customer",Accounts!$AS:$AS, "Communications, Entertainment and Media",Accounts!$E:$E,"QBO")+SUMIFS(Accounts!$AN:$AN,Accounts!$B:$B,"Customer",Accounts!$AS:$AS, "Communications, Entertainment and Media",Accounts!$E:$E,"QBO")</f>
        <v>0</v>
      </c>
      <c r="LA3" s="59">
        <f>SUMIFS(Accounts!$AE:$AE,Accounts!$B:$B,"Customer",Accounts!$AS:$AS, "Communications, Entertainment and Media",Accounts!$E:$E,"QBO") + SUMIFS(Accounts!$AP:$AP,Accounts!$B:$B,"Customer",Accounts!$AS:$AS, "Communications, Entertainment and Media",Accounts!$E:$E,"QBO")</f>
        <v>0</v>
      </c>
      <c r="LB3" s="59">
        <f>SUMIFS(Accounts!$Z:$Z,Accounts!$B:$B,"Customer",Accounts!$AS:$AS, "Communications, Entertainment and Media",Accounts!$E:$E,"QBO")</f>
        <v>0</v>
      </c>
      <c r="LC3" s="59">
        <f>SUMIFS(Accounts!$AG:$AG,Accounts!$B:$B,"Customer",Accounts!$AS:$AS, "Communications, Entertainment and Media",Accounts!$E:$E,"QBO") + SUMIFS(Accounts!$AL:$AL,Accounts!$B:$B,"Customer",Accounts!$AS:$AS, "Communications, Entertainment and Media",Accounts!$E:$E,"QBO")</f>
        <v>0</v>
      </c>
      <c r="LD3" s="59">
        <f>SUMIFS(Accounts!$AQ:$AQ,Accounts!$B:$B,"Customer",Accounts!$AS:$AS, "Communications, Entertainment and Media",Accounts!$E:$E,"QBO")</f>
        <v>0</v>
      </c>
      <c r="LE3" s="59">
        <f>SUMIFS(Accounts!$AA:$AA,Accounts!$B:$B,"none",Accounts!$AS:$AS, "Communications, Entertainment and Media",Accounts!$E:$E,"QBO") + SUMIFS(Accounts!$AH:$AH,Accounts!$B:$B,"none",Accounts!$AS:$AS, "Communications, Entertainment and Media",Accounts!$E:$E,"QBO") + SUMIFS(Accounts!$AJ:$AJ,Accounts!$B:$B,"none",Accounts!$AS:$AS, "Communications, Entertainment and Media",Accounts!$E:$E,"QBO") + SUMIFS(Accounts!$AI:$AI,Accounts!$B:$B,"none",Accounts!$AS:$AS, "Communications, Entertainment and Media",Accounts!$E:$E,"QBO") + SUMIFS(Accounts!$AO:$AO,Accounts!$B:$B,"none",Accounts!$AS:$AS, "Communications, Entertainment and Media",Accounts!$E:$E,"QBO")</f>
        <v>0</v>
      </c>
      <c r="LF3" s="59">
        <f>(SUMIFS(Accounts!$AC:$AC,Accounts!$B:$B,"none",Accounts!$AS:$AS, "Communications, Entertainment and Media",Accounts!$E:$E,"QBO")+SUMIFS(Accounts!$AF:$AF,Accounts!$B:$B,"none",Accounts!$AS:$AS, "Communications, Entertainment and Media",Accounts!$E:$E,"QBO")+SUMIFS(Accounts!$AK:$AK,Accounts!$B:$B,"none",Accounts!$AS:$AS, "Communications, Entertainment and Media",Accounts!$E:$E,"QBO"))</f>
        <v>0</v>
      </c>
      <c r="LG3" s="59">
        <f>SUMIFS(Accounts!$AB:$AB,Accounts!$B:$B,"none",Accounts!$AS:$AS, "Communications, Entertainment and Media",Accounts!$E:$E,"QBO")</f>
        <v>0</v>
      </c>
      <c r="LH3" s="59">
        <f>SUMIFS(Accounts!$AD:$AD,Accounts!$B:$B,"none",Accounts!$AS:$AS, "Communications, Entertainment and Media",Accounts!$E:$E,"QBO")+SUMIFS(Accounts!$AM:$AM,Accounts!$B:$B,"none",Accounts!$AS:$AS, "Communications, Entertainment and Media",Accounts!$E:$E,"QBO")+SUMIFS(Accounts!$AN:$AN,Accounts!$B:$B,"none",Accounts!$AS:$AS, "Communications, Entertainment and Media",Accounts!$E:$E,"QBO")</f>
        <v>0</v>
      </c>
      <c r="LI3" s="43">
        <f>SUMIFS(Accounts!$AE:$AE,Accounts!$B:$B,"none",Accounts!$AS:$AS, "Communications, Entertainment and Media",Accounts!$E:$E,"QBO") + SUMIFS(Accounts!$AP:$AP,Accounts!$B:$B,"none",Accounts!$AS:$AS, "Communications, Entertainment and Media",Accounts!$E:$E,"QBO")</f>
        <v>0</v>
      </c>
      <c r="LJ3" s="59">
        <f>SUMIFS(Accounts!$Z:$Z,Accounts!$B:$B,"none",Accounts!$AS:$AS, "Communications, Entertainment and Media",Accounts!$E:$E,"QBO")</f>
        <v>0</v>
      </c>
      <c r="LK3" s="43">
        <f>SUMIFS(Accounts!$AG:$AG,Accounts!$B:$B,"none",Accounts!$AS:$AS, "Communications, Entertainment and Media",Accounts!$E:$E,"QBO") + SUMIFS(Accounts!$AL:$AL,Accounts!$B:$B,"none",Accounts!$AS:$AS, "Communications, Entertainment and Media",Accounts!$E:$E,"QBO")</f>
        <v>0</v>
      </c>
      <c r="LL3" s="59">
        <f>SUMIFS(Accounts!$AQ:$AQ,Accounts!$B:$B,"none",Accounts!$AS:$AS, "Communications, Entertainment and Media",Accounts!$E:$E,"QBO")</f>
        <v>0</v>
      </c>
      <c r="LM3" s="38" t="e">
        <f>((LM15+LM18)/((LM14*$C$2)+(0.5*LM17*$C$2)))*$C$2</f>
        <v>#VALUE!</v>
      </c>
      <c r="LN3" s="43">
        <f>COUNTIFS(Accounts!$AS:$AS, "IT and computer related",Accounts!$B:$B,"none",Accounts!$E:$E,"QBO")</f>
        <v>0</v>
      </c>
      <c r="LO3" s="37">
        <f>COUNTIFS(Accounts!$AS:$AS, "IT and computer related",Accounts!$B:$B,"Customer",Accounts!$E:$E,"QBO")</f>
        <v>0</v>
      </c>
      <c r="LP3" s="41">
        <f>SUMIFS(Accounts!$I:$I,Accounts!$AS:$AS, "IT and computer related",Accounts!$E:$E,"QBO")</f>
        <v>0</v>
      </c>
      <c r="LQ3" s="41">
        <f>SUMIFS(Accounts!$N:$N,Accounts!$AS:$AS, "IT and computer related",Accounts!$E:$E,"QBO")</f>
        <v>0</v>
      </c>
      <c r="LR3" s="41" t="e">
        <f>LP3/(LO3+LM17)</f>
        <v>#DIV/0!</v>
      </c>
      <c r="LS3" s="41" t="e">
        <f>(LP3+LQ3)/(LO3+LM17)</f>
        <v>#DIV/0!</v>
      </c>
      <c r="LT3" s="41" t="e">
        <f>LM13*LR3</f>
        <v>#VALUE!</v>
      </c>
      <c r="LU3" s="41">
        <f>IFERROR(AVERAGEIFS(Accounts!$AY:$AY,Accounts!$AS:$AS,"IT and computer related",Accounts!$B:$B,"Customer",Accounts!$AY:$AY,"&gt;0",Accounts!$E:$E,"QBO"),0)</f>
        <v>0</v>
      </c>
      <c r="LV3" s="37">
        <f>IFERROR(AVERAGEIFS(Accounts!$AX:$AX,Accounts!$AS:$AS, "IT and computer related",Accounts!$B:$B,"Customer",Accounts!$AX:$AX,"&gt;0",Accounts!$E:$E,"QBO"),0)</f>
        <v>0</v>
      </c>
      <c r="LW3" s="41">
        <f>IFERROR(AVERAGEIFS(Accounts!$AY:$AY,Accounts!$AS:$AS, "IT and computer related",Accounts!$B:$B,"none",Accounts!$AY:$AY,"&gt;0",Accounts!$E:$E,"QBO"),0)</f>
        <v>0</v>
      </c>
      <c r="LX3" s="37">
        <f>IFERROR(AVERAGEIFS(Accounts!$AX:$AX,Accounts!$AS:$AS, "IT and computer related",Accounts!$B:$B,"none",Accounts!$AX:$AX,"&gt;0",Accounts!$E:$E,"QBO"),0)</f>
        <v>0</v>
      </c>
      <c r="LY3" s="59">
        <f>SUMIFS(Accounts!$AA:$AA,Accounts!$B:$B,"Customer",Accounts!$AS:$AS, "IT and computer related",Accounts!$E:$E,"QBO") + SUMIFS(Accounts!$AH:$AH,Accounts!$B:$B,"Customer",Accounts!$AS:$AS, "IT and computer related",Accounts!$E:$E,"QBO") + SUMIFS(Accounts!$AJ:$AJ,Accounts!$B:$B,"Customer",Accounts!$AS:$AS, "IT and computer related",Accounts!$E:$E,"QBO") + SUMIFS(Accounts!$AI:$AI,Accounts!$B:$B,"Customer",Accounts!$AS:$AS, "IT and computer related",Accounts!$E:$E,"QBO") + SUMIFS(Accounts!$AO:$AO,Accounts!$B:$B,"Customer",Accounts!$AS:$AS, "IT and computer related",Accounts!$E:$E,"QBO")</f>
        <v>0</v>
      </c>
      <c r="LZ3" s="59">
        <f>(SUMIFS(Accounts!$AC:$AC,Accounts!$B:$B,"Customer",Accounts!$AS:$AS, "IT and computer related",Accounts!$E:$E,"QBO")+SUMIFS(Accounts!$AF:$AF,Accounts!$B:$B,"Customer",Accounts!$AS:$AS, "IT and computer related",Accounts!$E:$E,"QBO")+SUMIFS(Accounts!$AK:$AK,Accounts!$B:$B,"Customer",Accounts!$AS:$AS, "IT and computer related",Accounts!$E:$E,"QBO"))</f>
        <v>0</v>
      </c>
      <c r="MA3" s="59">
        <f>SUMIFS(Accounts!$AB:$AB,Accounts!$B:$B,"Customer",Accounts!$AS:$AS, "IT and computer related",Accounts!$E:$E,"QBO")</f>
        <v>0</v>
      </c>
      <c r="MB3" s="59">
        <f>SUMIFS(Accounts!$AD:$AD,Accounts!$B:$B,"Customer",Accounts!$AS:$AS, "IT and computer related",Accounts!$E:$E,"QBO")+SUMIFS(Accounts!$AM:$AM,Accounts!$B:$B,"Customer",Accounts!$AS:$AS, "IT and computer related",Accounts!$E:$E,"QBO")+SUMIFS(Accounts!$AN:$AN,Accounts!$B:$B,"Customer",Accounts!$AS:$AS, "IT and computer related",Accounts!$E:$E,"QBO")</f>
        <v>0</v>
      </c>
      <c r="MC3" s="59">
        <f>SUMIFS(Accounts!$AE:$AE,Accounts!$B:$B,"Customer",Accounts!$AS:$AS, "IT and computer related",Accounts!$E:$E,"QBO") + SUMIFS(Accounts!$AP:$AP,Accounts!$B:$B,"Customer",Accounts!$AS:$AS, "IT and computer related",Accounts!$E:$E,"QBO")</f>
        <v>0</v>
      </c>
      <c r="MD3" s="59">
        <f>SUMIFS(Accounts!$Z:$Z,Accounts!$B:$B,"Customer",Accounts!$AS:$AS, "IT and computer related",Accounts!$E:$E,"QBO")</f>
        <v>0</v>
      </c>
      <c r="ME3" s="59">
        <f>SUMIFS(Accounts!$AG:$AG,Accounts!$B:$B,"Customer",Accounts!$AS:$AS, "IT and computer related",Accounts!$E:$E,"QBO") + SUMIFS(Accounts!$AL:$AL,Accounts!$B:$B,"Customer",Accounts!$AS:$AS, "IT and computer related",Accounts!$E:$E,"QBO")</f>
        <v>0</v>
      </c>
      <c r="MF3" s="59">
        <f>SUMIFS(Accounts!$AQ:$AQ,Accounts!$B:$B,"Customer",Accounts!$AS:$AS, "IT and computer related",Accounts!$E:$E,"QBO")</f>
        <v>0</v>
      </c>
      <c r="MG3" s="59">
        <f>SUMIFS(Accounts!$AA:$AA,Accounts!$B:$B,"none",Accounts!$AS:$AS, "IT and computer related",Accounts!$E:$E,"QBO") + SUMIFS(Accounts!$AH:$AH,Accounts!$B:$B,"none",Accounts!$AS:$AS, "IT and computer related",Accounts!$E:$E,"QBO") + SUMIFS(Accounts!$AJ:$AJ,Accounts!$B:$B,"none",Accounts!$AS:$AS, "IT and computer related",Accounts!$E:$E,"QBO") + SUMIFS(Accounts!$AI:$AI,Accounts!$B:$B,"none",Accounts!$AS:$AS, "IT and computer related",Accounts!$E:$E,"QBO") + SUMIFS(Accounts!$AO:$AO,Accounts!$B:$B,"none",Accounts!$AS:$AS, "IT and computer related",Accounts!$E:$E,"QBO")</f>
        <v>0</v>
      </c>
      <c r="MH3" s="59">
        <f>(SUMIFS(Accounts!$AC:$AC,Accounts!$B:$B,"none",Accounts!$AS:$AS, "IT and computer related",Accounts!$E:$E,"QBO")+SUMIFS(Accounts!$AF:$AF,Accounts!$B:$B,"none",Accounts!$AS:$AS, "IT and computer related",Accounts!$E:$E,"QBO")+SUMIFS(Accounts!$AK:$AK,Accounts!$B:$B,"none",Accounts!$AS:$AS, "IT and computer related",Accounts!$E:$E,"QBO"))</f>
        <v>0</v>
      </c>
      <c r="MI3" s="59">
        <f>SUMIFS(Accounts!$AB:$AB,Accounts!$B:$B,"none",Accounts!$AS:$AS, "IT and computer related",Accounts!$E:$E,"QBO")</f>
        <v>0</v>
      </c>
      <c r="MJ3" s="59">
        <f>SUMIFS(Accounts!$AD:$AD,Accounts!$B:$B,"none",Accounts!$AS:$AS, "IT and computer related",Accounts!$E:$E,"QBO")+SUMIFS(Accounts!$AM:$AM,Accounts!$B:$B,"none",Accounts!$AS:$AS, "IT and computer related",Accounts!$E:$E,"QBO")+SUMIFS(Accounts!$AN:$AN,Accounts!$B:$B,"none",Accounts!$AS:$AS, "IT and computer related",Accounts!$E:$E,"QBO")</f>
        <v>0</v>
      </c>
      <c r="MK3" s="43">
        <f>SUMIFS(Accounts!$AE:$AE,Accounts!$B:$B,"none",Accounts!$AS:$AS, "IT and computer related",Accounts!$E:$E,"QBO") + SUMIFS(Accounts!$AP:$AP,Accounts!$B:$B,"none",Accounts!$AS:$AS, "IT and computer related",Accounts!$E:$E,"QBO")</f>
        <v>0</v>
      </c>
      <c r="ML3" s="59">
        <f>SUMIFS(Accounts!$Z:$Z,Accounts!$B:$B,"none",Accounts!$AS:$AS, "IT and computer related",Accounts!$E:$E,"QBO")</f>
        <v>0</v>
      </c>
      <c r="MM3" s="43">
        <f>SUMIFS(Accounts!$AG:$AG,Accounts!$B:$B,"none",Accounts!$AS:$AS, "IT and computer related",Accounts!$E:$E,"QBO") + SUMIFS(Accounts!$AL:$AL,Accounts!$B:$B,"none",Accounts!$AS:$AS, "IT and computer related",Accounts!$E:$E,"QBO")</f>
        <v>0</v>
      </c>
      <c r="MN3" s="59">
        <f>SUMIFS(Accounts!$AQ:$AQ,Accounts!$B:$B,"none",Accounts!$AS:$AS, "IT and computer related",Accounts!$E:$E,"QBO")</f>
        <v>0</v>
      </c>
      <c r="MO3" s="38" t="e">
        <f>((MO15+MO18)/((MO14*$C$2)+(0.5*MO17*$C$2)))*$C$2</f>
        <v>#VALUE!</v>
      </c>
      <c r="MP3" s="43">
        <f>COUNTIFS(Accounts!$AS:$AS, {"General service based","General"},Accounts!$B:$B,"none",Accounts!$E:$E,"QBO")</f>
        <v>0</v>
      </c>
      <c r="MQ3" s="37">
        <f>COUNTIFS(Accounts!$AS:$AS, {"General service based","General"},Accounts!$B:$B,"Customer",Accounts!$E:$E,"QBO")</f>
        <v>0</v>
      </c>
      <c r="MR3" s="41">
        <f>SUMIFS(Accounts!$I:$I,Accounts!$AS:$AS, {"General service based","General"},Accounts!$E:$E,"QBO")</f>
        <v>0</v>
      </c>
      <c r="MS3" s="41">
        <f>SUMIFS(Accounts!$N:$N,Accounts!$AS:$AS, {"General service based","General"},Accounts!$E:$E,"QBO")</f>
        <v>0</v>
      </c>
      <c r="MT3" s="41" t="e">
        <f>MR3/(MQ3+MO17)</f>
        <v>#DIV/0!</v>
      </c>
      <c r="MU3" s="41" t="e">
        <f>(MR3+MS3)/(MQ3+MO17)</f>
        <v>#DIV/0!</v>
      </c>
      <c r="MV3" s="41" t="e">
        <f>MO13*MT3</f>
        <v>#VALUE!</v>
      </c>
      <c r="MW3" s="41">
        <f>IFERROR(AVERAGEIFS(Accounts!$AY:$AY,Accounts!$AS:$AS,{"General service based","General"},Accounts!$B:$B,"Customer",Accounts!$AY:$AY,"&gt;0",Accounts!$E:$E,"QBO"),0)</f>
        <v>0</v>
      </c>
      <c r="MX3" s="37">
        <f>IFERROR(AVERAGEIFS(Accounts!$AX:$AX,Accounts!$AS:$AS, {"General service based","General"},Accounts!$B:$B,"Customer",Accounts!$AX:$AX,"&gt;0",Accounts!$E:$E,"QBO"),0)</f>
        <v>0</v>
      </c>
      <c r="MY3" s="41">
        <f>IFERROR(AVERAGEIFS(Accounts!$AY:$AY,Accounts!$AS:$AS, {"General service based","General"},Accounts!$B:$B,"none",Accounts!$AY:$AY,"&gt;0",Accounts!$E:$E,"QBO"),0)</f>
        <v>0</v>
      </c>
      <c r="MZ3" s="37">
        <f>IFERROR(AVERAGEIFS(Accounts!$AX:$AX,Accounts!$AS:$AS, {"General service based","General"},Accounts!$B:$B,"none",Accounts!$AX:$AX,"&gt;0",Accounts!$E:$E,"QBO"),0)</f>
        <v>0</v>
      </c>
      <c r="NA3" s="59">
        <f>SUMIFS(Accounts!$AA:$AA,Accounts!$B:$B,"Customer",Accounts!$AS:$AS, {"General service based","General"},Accounts!$E:$E,"QBO") + SUMIFS(Accounts!$AH:$AH,Accounts!$B:$B,"Customer",Accounts!$AS:$AS, {"General service based","General"},Accounts!$E:$E,"QBO") + SUMIFS(Accounts!$AJ:$AJ,Accounts!$B:$B,"Customer",Accounts!$AS:$AS, {"General service based","General"},Accounts!$E:$E,"QBO") + SUMIFS(Accounts!$AI:$AI,Accounts!$B:$B,"Customer",Accounts!$AS:$AS, {"General service based","General"},Accounts!$E:$E,"QBO") + SUMIFS(Accounts!$AO:$AO,Accounts!$B:$B,"Customer",Accounts!$AS:$AS, {"General service based","General"},Accounts!$E:$E,"QBO")</f>
        <v>0</v>
      </c>
      <c r="NB3" s="59">
        <f>(SUMIFS(Accounts!$AC:$AC,Accounts!$B:$B,"Customer",Accounts!$AS:$AS, {"General service based","General"},Accounts!$E:$E,"QBO")+SUMIFS(Accounts!$AF:$AF,Accounts!$B:$B,"Customer",Accounts!$AS:$AS, {"General service based","General"},Accounts!$E:$E,"QBO")+SUMIFS(Accounts!$AK:$AK,Accounts!$B:$B,"Customer",Accounts!$AS:$AS, {"General service based","General"},Accounts!$E:$E,"QBO"))</f>
        <v>0</v>
      </c>
      <c r="NC3" s="59">
        <f>SUMIFS(Accounts!$AB:$AB,Accounts!$B:$B,"Customer",Accounts!$AS:$AS, {"General service based","General"},Accounts!$E:$E,"QBO")</f>
        <v>0</v>
      </c>
      <c r="ND3" s="59">
        <f>SUMIFS(Accounts!$AD:$AD,Accounts!$B:$B,"Customer",Accounts!$AS:$AS, {"General service based","General"},Accounts!$E:$E,"QBO")+SUMIFS(Accounts!$AM:$AM,Accounts!$B:$B,"Customer",Accounts!$AS:$AS, {"General service based","General"},Accounts!$E:$E,"QBO")+SUMIFS(Accounts!$AN:$AN,Accounts!$B:$B,"Customer",Accounts!$AS:$AS, {"General service based","General"},Accounts!$E:$E,"QBO")</f>
        <v>0</v>
      </c>
      <c r="NE3" s="59">
        <f>SUMIFS(Accounts!$AE:$AE,Accounts!$B:$B,"Customer",Accounts!$AS:$AS, {"General service based","General"},Accounts!$E:$E,"QBO") + SUMIFS(Accounts!$AP:$AP,Accounts!$B:$B,"Customer",Accounts!$AS:$AS, {"General service based","General"},Accounts!$E:$E,"QBO")</f>
        <v>0</v>
      </c>
      <c r="NF3" s="59">
        <f>SUMIFS(Accounts!$Z:$Z,Accounts!$B:$B,"Customer",Accounts!$AS:$AS, {"General service based","General"},Accounts!$E:$E,"QBO")</f>
        <v>0</v>
      </c>
      <c r="NG3" s="59">
        <f>SUMIFS(Accounts!$AG:$AG,Accounts!$B:$B,"Customer",Accounts!$AS:$AS, {"General service based","General"},Accounts!$E:$E,"QBO") + SUMIFS(Accounts!$AL:$AL,Accounts!$B:$B,"Customer",Accounts!$AS:$AS, {"General service based","General"},Accounts!$E:$E,"QBO")</f>
        <v>0</v>
      </c>
      <c r="NH3" s="59">
        <f>SUMIFS(Accounts!$AQ:$AQ,Accounts!$B:$B,"Customer",Accounts!$AS:$AS, {"General service based","General"},Accounts!$E:$E,"QBO")</f>
        <v>0</v>
      </c>
      <c r="NI3" s="59">
        <f>SUMIFS(Accounts!$AA:$AA,Accounts!$B:$B,"none",Accounts!$AS:$AS, {"General service based","General"},Accounts!$E:$E,"QBO") + SUMIFS(Accounts!$AH:$AH,Accounts!$B:$B,"none",Accounts!$AS:$AS, {"General service based","General"},Accounts!$E:$E,"QBO") + SUMIFS(Accounts!$AJ:$AJ,Accounts!$B:$B,"none",Accounts!$AS:$AS, {"General service based","General"},Accounts!$E:$E,"QBO") + SUMIFS(Accounts!$AI:$AI,Accounts!$B:$B,"none",Accounts!$AS:$AS, {"General service based","General"},Accounts!$E:$E,"QBO") + SUMIFS(Accounts!$AO:$AO,Accounts!$B:$B,"none",Accounts!$AS:$AS, {"General service based","General"},Accounts!$E:$E,"QBO")</f>
        <v>0</v>
      </c>
      <c r="NJ3" s="59">
        <f>(SUMIFS(Accounts!$AC:$AC,Accounts!$B:$B,"none",Accounts!$AS:$AS, {"General service based","General"},Accounts!$E:$E,"QBO")+SUMIFS(Accounts!$AF:$AF,Accounts!$B:$B,"none",Accounts!$AS:$AS, {"General service based","General"},Accounts!$E:$E,"QBO")+SUMIFS(Accounts!$AK:$AK,Accounts!$B:$B,"none",Accounts!$AS:$AS, {"General service based","General"},Accounts!$E:$E,"QBO"))</f>
        <v>0</v>
      </c>
      <c r="NK3" s="59">
        <f>SUMIFS(Accounts!$AB:$AB,Accounts!$B:$B,"none",Accounts!$AS:$AS, {"General service based","General"},Accounts!$E:$E,"QBO")</f>
        <v>0</v>
      </c>
      <c r="NL3" s="59">
        <f>SUMIFS(Accounts!$AD:$AD,Accounts!$B:$B,"none",Accounts!$AS:$AS, {"General service based","General"},Accounts!$E:$E,"QBO")+SUMIFS(Accounts!$AM:$AM,Accounts!$B:$B,"none",Accounts!$AS:$AS, {"General service based","General"},Accounts!$E:$E,"QBO")+SUMIFS(Accounts!$AN:$AN,Accounts!$B:$B,"none",Accounts!$AS:$AS, {"General service based","General"},Accounts!$E:$E,"QBO")</f>
        <v>0</v>
      </c>
      <c r="NM3" s="43">
        <f>SUMIFS(Accounts!$AE:$AE,Accounts!$B:$B,"none",Accounts!$AS:$AS, {"General service based","General"},Accounts!$E:$E,"QBO") + SUMIFS(Accounts!$AP:$AP,Accounts!$B:$B,"none",Accounts!$AS:$AS, {"General service based","General"},Accounts!$E:$E,"QBO")</f>
        <v>0</v>
      </c>
      <c r="NN3" s="59">
        <f>SUMIFS(Accounts!$Z:$Z,Accounts!$B:$B,"none",Accounts!$AS:$AS, {"General service based","General"},Accounts!$E:$E,"QBO")</f>
        <v>0</v>
      </c>
      <c r="NO3" s="43">
        <f>SUMIFS(Accounts!$AG:$AG,Accounts!$B:$B,"none",Accounts!$AS:$AS, {"General service based","General"},Accounts!$E:$E,"QBO") + SUMIFS(Accounts!$AL:$AL,Accounts!$B:$B,"none",Accounts!$AS:$AS, {"General service based","General"},Accounts!$E:$E,"QBO")</f>
        <v>0</v>
      </c>
      <c r="NP3" s="59">
        <f>SUMIFS(Accounts!$AQ:$AQ,Accounts!$B:$B,"none",Accounts!$AS:$AS, {"General service based","General"},Accounts!$E:$E,"QBO")</f>
        <v>0</v>
      </c>
      <c r="NQ3" s="38" t="e">
        <f>((NQ15+NQ18)/((NQ14*$C$2)+(0.5*NQ17*$C$2)))*$C$2</f>
        <v>#VALUE!</v>
      </c>
      <c r="NR3" s="43">
        <f>COUNTIFS(Accounts!$AS:$AS, "Other",Accounts!$B:$B,"none",Accounts!$E:$E,"QBO")</f>
        <v>0</v>
      </c>
      <c r="NS3" s="37">
        <f>COUNTIFS(Accounts!$AS:$AS, "Other",Accounts!$B:$B,"Customer",Accounts!$E:$E,"QBO")</f>
        <v>0</v>
      </c>
      <c r="NT3" s="41">
        <f>SUMIFS(Accounts!$I:$I,Accounts!$AS:$AS, "Other",Accounts!$E:$E,"QBO")</f>
        <v>0</v>
      </c>
      <c r="NU3" s="41">
        <f>SUMIFS(Accounts!$N:$N,Accounts!$AS:$AS, "Other",Accounts!$E:$E,"QBO")</f>
        <v>0</v>
      </c>
      <c r="NV3" s="41" t="e">
        <f>NT3/(NS3+NQ17)</f>
        <v>#DIV/0!</v>
      </c>
      <c r="NW3" s="41" t="e">
        <f>(NT3+NU3)/(NS3+NQ17)</f>
        <v>#DIV/0!</v>
      </c>
      <c r="NX3" s="41" t="e">
        <f>NQ13*NV3</f>
        <v>#VALUE!</v>
      </c>
      <c r="NY3" s="41">
        <f>IFERROR(AVERAGEIFS(Accounts!$AY:$AY,Accounts!$AS:$AS,"Other",Accounts!$B:$B,"Customer",Accounts!$AY:$AY,"&gt;0",Accounts!$E:$E,"QBO"),0)</f>
        <v>0</v>
      </c>
      <c r="NZ3" s="37">
        <f>IFERROR(AVERAGEIFS(Accounts!$AX:$AX,Accounts!$AS:$AS, "Other",Accounts!$B:$B,"Customer",Accounts!$AX:$AX,"&gt;0",Accounts!$E:$E,"QBO"),0)</f>
        <v>0</v>
      </c>
      <c r="OA3" s="41">
        <f>IFERROR(AVERAGEIFS(Accounts!$AY:$AY,Accounts!$AS:$AS, "Other",Accounts!$B:$B,"none",Accounts!$AY:$AY,"&gt;0",Accounts!$E:$E,"QBO"),0)</f>
        <v>0</v>
      </c>
      <c r="OB3" s="37">
        <f>IFERROR(AVERAGEIFS(Accounts!$AX:$AX,Accounts!$AS:$AS, "Other",Accounts!$B:$B,"none",Accounts!$AX:$AX,"&gt;0",Accounts!$E:$E,"QBO"),0)</f>
        <v>0</v>
      </c>
      <c r="OC3" s="59">
        <f>SUMIFS(Accounts!$AA:$AA,Accounts!$B:$B,"Customer",Accounts!$AS:$AS, "Other",Accounts!$E:$E,"QBO") + SUMIFS(Accounts!$AH:$AH,Accounts!$B:$B,"Customer",Accounts!$AS:$AS, "Other",Accounts!$E:$E,"QBO") + SUMIFS(Accounts!$AJ:$AJ,Accounts!$B:$B,"Customer",Accounts!$AS:$AS, "Other",Accounts!$E:$E,"QBO") + SUMIFS(Accounts!$AI:$AI,Accounts!$B:$B,"Customer",Accounts!$AS:$AS, "Other",Accounts!$E:$E,"QBO") + SUMIFS(Accounts!$AO:$AO,Accounts!$B:$B,"Customer",Accounts!$AS:$AS, "Other",Accounts!$E:$E,"QBO")</f>
        <v>0</v>
      </c>
      <c r="OD3" s="59">
        <f>(SUMIFS(Accounts!$AC:$AC,Accounts!$B:$B,"Customer",Accounts!$AS:$AS, "Other",Accounts!$E:$E,"QBO")+SUMIFS(Accounts!$AF:$AF,Accounts!$B:$B,"Customer",Accounts!$AS:$AS, "Other",Accounts!$E:$E,"QBO")+SUMIFS(Accounts!$AK:$AK,Accounts!$B:$B,"Customer",Accounts!$AS:$AS, "Other",Accounts!$E:$E,"QBO"))</f>
        <v>0</v>
      </c>
      <c r="OE3" s="59">
        <f>SUMIFS(Accounts!$AB:$AB,Accounts!$B:$B,"Customer",Accounts!$AS:$AS, "Other",Accounts!$E:$E,"QBO")</f>
        <v>0</v>
      </c>
      <c r="OF3" s="59">
        <f>SUMIFS(Accounts!$AD:$AD,Accounts!$B:$B,"Customer",Accounts!$AS:$AS, "Other",Accounts!$E:$E,"QBO")+SUMIFS(Accounts!$AM:$AM,Accounts!$B:$B,"Customer",Accounts!$AS:$AS, "Other",Accounts!$E:$E,"QBO")+SUMIFS(Accounts!$AN:$AN,Accounts!$B:$B,"Customer",Accounts!$AS:$AS, "Other",Accounts!$E:$E,"QBO")</f>
        <v>0</v>
      </c>
      <c r="OG3" s="59">
        <f>SUMIFS(Accounts!$AE:$AE,Accounts!$B:$B,"Customer",Accounts!$AS:$AS, "Other",Accounts!$E:$E,"QBO") + SUMIFS(Accounts!$AP:$AP,Accounts!$B:$B,"Customer",Accounts!$AS:$AS, "Other",Accounts!$E:$E,"QBO")</f>
        <v>0</v>
      </c>
      <c r="OH3" s="59">
        <f>SUMIFS(Accounts!$Z:$Z,Accounts!$B:$B,"Customer",Accounts!$AS:$AS, "Other",Accounts!$E:$E,"QBO")</f>
        <v>0</v>
      </c>
      <c r="OI3" s="59">
        <f>SUMIFS(Accounts!$AG:$AG,Accounts!$B:$B,"Customer",Accounts!$AS:$AS, "Other",Accounts!$E:$E,"QBO") + SUMIFS(Accounts!$AL:$AL,Accounts!$B:$B,"Customer",Accounts!$AS:$AS, "Other",Accounts!$E:$E,"QBO")</f>
        <v>0</v>
      </c>
      <c r="OJ3" s="59">
        <f>SUMIFS(Accounts!$AQ:$AQ,Accounts!$B:$B,"Customer",Accounts!$AS:$AS, "Other",Accounts!$E:$E,"QBO")</f>
        <v>0</v>
      </c>
      <c r="OK3" s="59">
        <f>SUMIFS(Accounts!$AA:$AA,Accounts!$B:$B,"none",Accounts!$AS:$AS, "Other",Accounts!$E:$E,"QBO") + SUMIFS(Accounts!$AH:$AH,Accounts!$B:$B,"none",Accounts!$AS:$AS, "Other",Accounts!$E:$E,"QBO") + SUMIFS(Accounts!$AJ:$AJ,Accounts!$B:$B,"none",Accounts!$AS:$AS, "Other",Accounts!$E:$E,"QBO") + SUMIFS(Accounts!$AI:$AI,Accounts!$B:$B,"none",Accounts!$AS:$AS, "Other",Accounts!$E:$E,"QBO") + SUMIFS(Accounts!$AO:$AO,Accounts!$B:$B,"none",Accounts!$AS:$AS, "Other",Accounts!$E:$E,"QBO")</f>
        <v>0</v>
      </c>
      <c r="OL3" s="59">
        <f>(SUMIFS(Accounts!$AC:$AC,Accounts!$B:$B,"none",Accounts!$AS:$AS, "Other",Accounts!$E:$E,"QBO")+SUMIFS(Accounts!$AF:$AF,Accounts!$B:$B,"none",Accounts!$AS:$AS, "Other",Accounts!$E:$E,"QBO")+SUMIFS(Accounts!$AK:$AK,Accounts!$B:$B,"none",Accounts!$AS:$AS, "Other",Accounts!$E:$E,"QBO"))</f>
        <v>0</v>
      </c>
      <c r="OM3" s="59">
        <f>SUMIFS(Accounts!$AB:$AB,Accounts!$B:$B,"none",Accounts!$AS:$AS, "Other",Accounts!$E:$E,"QBO")</f>
        <v>0</v>
      </c>
      <c r="ON3" s="59">
        <f>SUMIFS(Accounts!$AD:$AD,Accounts!$B:$B,"none",Accounts!$AS:$AS, "Other",Accounts!$E:$E,"QBO")+SUMIFS(Accounts!$AM:$AM,Accounts!$B:$B,"none",Accounts!$AS:$AS, "Other",Accounts!$E:$E,"QBO")+SUMIFS(Accounts!$AN:$AN,Accounts!$B:$B,"none",Accounts!$AS:$AS, "Other",Accounts!$E:$E,"QBO")</f>
        <v>0</v>
      </c>
      <c r="OO3" s="43">
        <f>SUMIFS(Accounts!$AE:$AE,Accounts!$B:$B,"none",Accounts!$AS:$AS, "Other",Accounts!$E:$E,"QBO") + SUMIFS(Accounts!$AP:$AP,Accounts!$B:$B,"none",Accounts!$AS:$AS, "Other",Accounts!$E:$E,"QBO")</f>
        <v>0</v>
      </c>
      <c r="OP3" s="59">
        <f>SUMIFS(Accounts!$Z:$Z,Accounts!$B:$B,"none",Accounts!$AS:$AS, "Other",Accounts!$E:$E,"QBO")</f>
        <v>0</v>
      </c>
      <c r="OQ3" s="43">
        <f>SUMIFS(Accounts!$AG:$AG,Accounts!$B:$B,"none",Accounts!$AS:$AS, "Other",Accounts!$E:$E,"QBO") + SUMIFS(Accounts!$AL:$AL,Accounts!$B:$B,"none",Accounts!$AS:$AS, "Other",Accounts!$E:$E,"QBO")</f>
        <v>0</v>
      </c>
      <c r="OR3" s="59">
        <f>SUMIFS(Accounts!$AQ:$AQ,Accounts!$B:$B,"none",Accounts!$AS:$AS, "Other",Accounts!$E:$E,"QBO")</f>
        <v>0</v>
      </c>
      <c r="OS3" s="38" t="e">
        <f>((OS15+OS18)/((OS14*$C$2)+(0.5*OS17*$C$2)))*$C$2</f>
        <v>#VALUE!</v>
      </c>
      <c r="OT3" s="43">
        <f>COUNTIFS(Accounts!$AS:$AS, "Accounting and Bookkeeping",Accounts!$B:$B,"none",Accounts!$E:$E,"QBO")</f>
        <v>0</v>
      </c>
      <c r="OU3" s="37">
        <f>COUNTIFS(Accounts!$AS:$AS, "Accounting and Bookkeeping",Accounts!$B:$B,"Customer",Accounts!$E:$E,"QBO")</f>
        <v>0</v>
      </c>
      <c r="OV3" s="41">
        <f>SUMIFS(Accounts!$I:$I,Accounts!$AS:$AS, "Accounting and Bookkeeping",Accounts!$E:$E,"QBO")</f>
        <v>0</v>
      </c>
      <c r="OW3" s="41">
        <f>SUMIFS(Accounts!$N:$N,Accounts!$AS:$AS, "Accounting and Bookkeeping",Accounts!$E:$E,"QBO")</f>
        <v>0</v>
      </c>
      <c r="OX3" s="41" t="e">
        <f>OV3/(OU3+OS17)</f>
        <v>#DIV/0!</v>
      </c>
      <c r="OY3" s="41" t="e">
        <f>(OV3+OW3)/(OU3+OS17)</f>
        <v>#DIV/0!</v>
      </c>
      <c r="OZ3" s="41" t="e">
        <f>OS13*OX3</f>
        <v>#VALUE!</v>
      </c>
      <c r="PA3" s="41">
        <f>IFERROR(AVERAGEIFS(Accounts!$AY:$AY,Accounts!$AS:$AS,"Accounting and Bookkeeping",Accounts!$B:$B,"Customer",Accounts!$AY:$AY,"&gt;0",Accounts!$E:$E,"QBO"),0)</f>
        <v>0</v>
      </c>
      <c r="PB3" s="37">
        <f>IFERROR(AVERAGEIFS(Accounts!$AX:$AX,Accounts!$AS:$AS, "Accounting and Bookkeeping",Accounts!$B:$B,"Customer",Accounts!$AX:$AX,"&gt;0",Accounts!$E:$E,"QBO"),0)</f>
        <v>0</v>
      </c>
      <c r="PC3" s="41">
        <f>IFERROR(AVERAGEIFS(Accounts!$AY:$AY,Accounts!$AS:$AS, "Accounting and Bookkeeping",Accounts!$B:$B,"none",Accounts!$AY:$AY,"&gt;0",Accounts!$E:$E,"QBO"),0)</f>
        <v>0</v>
      </c>
      <c r="PD3" s="37">
        <f>IFERROR(AVERAGEIFS(Accounts!$AX:$AX,Accounts!$AS:$AS, "Accounting and Bookkeeping",Accounts!$B:$B,"none",Accounts!$AX:$AX,"&gt;0",Accounts!$E:$E,"QBO"),0)</f>
        <v>0</v>
      </c>
      <c r="PE3" s="59">
        <f>SUMIFS(Accounts!$AA:$AA,Accounts!$B:$B,"Customer",Accounts!$AS:$AS, "Accounting and Bookkeeping",Accounts!$E:$E,"QBO") + SUMIFS(Accounts!$AH:$AH,Accounts!$B:$B,"Customer",Accounts!$AS:$AS, "Accounting and Bookkeeping",Accounts!$E:$E,"QBO") + SUMIFS(Accounts!$AJ:$AJ,Accounts!$B:$B,"Customer",Accounts!$AS:$AS, "Accounting and Bookkeeping",Accounts!$E:$E,"QBO") + SUMIFS(Accounts!$AI:$AI,Accounts!$B:$B,"Customer",Accounts!$AS:$AS, "Accounting and Bookkeeping",Accounts!$E:$E,"QBO") + SUMIFS(Accounts!$AO:$AO,Accounts!$B:$B,"Customer",Accounts!$AS:$AS, "Accounting and Bookkeeping",Accounts!$E:$E,"QBO")</f>
        <v>0</v>
      </c>
      <c r="PF3" s="59">
        <f>(SUMIFS(Accounts!$AC:$AC,Accounts!$B:$B,"Customer",Accounts!$AS:$AS, "Accounting and Bookkeeping",Accounts!$E:$E,"QBO")+SUMIFS(Accounts!$AF:$AF,Accounts!$B:$B,"Customer",Accounts!$AS:$AS, "Accounting and Bookkeeping",Accounts!$E:$E,"QBO")+SUMIFS(Accounts!$AK:$AK,Accounts!$B:$B,"Customer",Accounts!$AS:$AS, "Accounting and Bookkeeping",Accounts!$E:$E,"QBO"))</f>
        <v>0</v>
      </c>
      <c r="PG3" s="59">
        <f>SUMIFS(Accounts!$AB:$AB,Accounts!$B:$B,"Customer",Accounts!$AS:$AS, "Accounting and Bookkeeping",Accounts!$E:$E,"QBO")</f>
        <v>0</v>
      </c>
      <c r="PH3" s="59">
        <f>SUMIFS(Accounts!$AD:$AD,Accounts!$B:$B,"Customer",Accounts!$AS:$AS, "Accounting and Bookkeeping",Accounts!$E:$E,"QBO")+SUMIFS(Accounts!$AM:$AM,Accounts!$B:$B,"Customer",Accounts!$AS:$AS, "Accounting and Bookkeeping",Accounts!$E:$E,"QBO")+SUMIFS(Accounts!$AN:$AN,Accounts!$B:$B,"Customer",Accounts!$AS:$AS, "Accounting and Bookkeeping",Accounts!$E:$E,"QBO")</f>
        <v>0</v>
      </c>
      <c r="PI3" s="59">
        <f>SUMIFS(Accounts!$AE:$AE,Accounts!$B:$B,"Customer",Accounts!$AS:$AS, "Accounting and Bookkeeping",Accounts!$E:$E,"QBO") + SUMIFS(Accounts!$AP:$AP,Accounts!$B:$B,"Customer",Accounts!$AS:$AS, "Accounting and Bookkeeping",Accounts!$E:$E,"QBO")</f>
        <v>0</v>
      </c>
      <c r="PJ3" s="59">
        <f>SUMIFS(Accounts!$Z:$Z,Accounts!$B:$B,"Customer",Accounts!$AS:$AS, "Accounting and Bookkeeping",Accounts!$E:$E,"QBO")</f>
        <v>0</v>
      </c>
      <c r="PK3" s="59">
        <f>SUMIFS(Accounts!$AG:$AG,Accounts!$B:$B,"Customer",Accounts!$AS:$AS, "Accounting and Bookkeeping",Accounts!$E:$E,"QBO") + SUMIFS(Accounts!$AL:$AL,Accounts!$B:$B,"Customer",Accounts!$AS:$AS, "Accounting and Bookkeeping",Accounts!$E:$E,"QBO")</f>
        <v>0</v>
      </c>
      <c r="PL3" s="59">
        <f>SUMIFS(Accounts!$AQ:$AQ,Accounts!$B:$B,"Customer",Accounts!$AS:$AS, "Accounting and Bookkeeping",Accounts!$E:$E,"QBO")</f>
        <v>0</v>
      </c>
      <c r="PM3" s="59">
        <f>SUMIFS(Accounts!$AA:$AA,Accounts!$B:$B,"none",Accounts!$AS:$AS, "Accounting and Bookkeeping",Accounts!$E:$E,"QBO") + SUMIFS(Accounts!$AH:$AH,Accounts!$B:$B,"none",Accounts!$AS:$AS, "Accounting and Bookkeeping",Accounts!$E:$E,"QBO") + SUMIFS(Accounts!$AJ:$AJ,Accounts!$B:$B,"none",Accounts!$AS:$AS, "Accounting and Bookkeeping",Accounts!$E:$E,"QBO") + SUMIFS(Accounts!$AI:$AI,Accounts!$B:$B,"none",Accounts!$AS:$AS, "Accounting and Bookkeeping",Accounts!$E:$E,"QBO") + SUMIFS(Accounts!$AO:$AO,Accounts!$B:$B,"none",Accounts!$AS:$AS, "Accounting and Bookkeeping",Accounts!$E:$E,"QBO")</f>
        <v>0</v>
      </c>
      <c r="PN3" s="59">
        <f>(SUMIFS(Accounts!$AC:$AC,Accounts!$B:$B,"none",Accounts!$AS:$AS, "Accounting and Bookkeeping",Accounts!$E:$E,"QBO")+SUMIFS(Accounts!$AF:$AF,Accounts!$B:$B,"none",Accounts!$AS:$AS, "Accounting and Bookkeeping",Accounts!$E:$E,"QBO")+SUMIFS(Accounts!$AK:$AK,Accounts!$B:$B,"none",Accounts!$AS:$AS, "Accounting and Bookkeeping",Accounts!$E:$E,"QBO"))</f>
        <v>0</v>
      </c>
      <c r="PO3" s="59">
        <f>SUMIFS(Accounts!$AB:$AB,Accounts!$B:$B,"none",Accounts!$AS:$AS, "Accounting and Bookkeeping",Accounts!$E:$E,"QBO")</f>
        <v>0</v>
      </c>
      <c r="PP3" s="59">
        <f>SUMIFS(Accounts!$AD:$AD,Accounts!$B:$B,"none",Accounts!$AS:$AS, "Accounting and Bookkeeping",Accounts!$E:$E,"QBO")+SUMIFS(Accounts!$AM:$AM,Accounts!$B:$B,"none",Accounts!$AS:$AS, "Accounting and Bookkeeping",Accounts!$E:$E,"QBO")+SUMIFS(Accounts!$AN:$AN,Accounts!$B:$B,"none",Accounts!$AS:$AS, "Accounting and Bookkeeping",Accounts!$E:$E,"QBO")</f>
        <v>0</v>
      </c>
      <c r="PQ3" s="43">
        <f>SUMIFS(Accounts!$AE:$AE,Accounts!$B:$B,"none",Accounts!$AS:$AS, "Accounting and Bookkeeping",Accounts!$E:$E,"QBO") + SUMIFS(Accounts!$AP:$AP,Accounts!$B:$B,"none",Accounts!$AS:$AS, "Accounting and Bookkeeping",Accounts!$E:$E,"QBO")</f>
        <v>0</v>
      </c>
      <c r="PR3" s="59">
        <f>SUMIFS(Accounts!$Z:$Z,Accounts!$B:$B,"none",Accounts!$AS:$AS, "Accounting and Bookkeeping",Accounts!$E:$E,"QBO")</f>
        <v>0</v>
      </c>
      <c r="PS3" s="43">
        <f>SUMIFS(Accounts!$AG:$AG,Accounts!$B:$B,"none",Accounts!$AS:$AS, "Accounting and Bookkeeping",Accounts!$E:$E,"QBO") + SUMIFS(Accounts!$AL:$AL,Accounts!$B:$B,"none",Accounts!$AS:$AS, "Accounting and Bookkeeping",Accounts!$E:$E,"QBO")</f>
        <v>0</v>
      </c>
      <c r="PT3" s="59">
        <f>SUMIFS(Accounts!$AQ:$AQ,Accounts!$B:$B,"none",Accounts!$AS:$AS, "Accounting and Bookkeeping",Accounts!$E:$E,"QBO")</f>
        <v>0</v>
      </c>
    </row>
    <row r="4" ht="16" s="35" customFormat="1">
      <c r="A4" s="35" t="s">
        <v>2</v>
      </c>
      <c r="B4" s="36" t="str">
        <f>Accounts!$BD$2</f>
        <v>2020-Apr-01 04:00</v>
      </c>
      <c r="C4" s="37" t="e">
        <f>DAY(EOMONTH(B4,0))</f>
        <v>#VALUE!</v>
      </c>
      <c r="D4" s="37">
        <f>COUNTIFS(Accounts!$B:$B,"none",Accounts!$E:$E,"QBDT",Accounts!$BF:$BF,"FALSE")</f>
        <v>0</v>
      </c>
      <c r="E4" s="37">
        <f>COUNTIFS(Accounts!$B:$B,"Customer",Accounts!$E:$E,"QBDT")</f>
        <v>1</v>
      </c>
      <c r="F4" s="37">
        <f>COUNTIFS(Accounts!$C:$C,"Customer",Accounts!$E:$E,"QBDT")</f>
        <v>1</v>
      </c>
      <c r="G4" s="37">
        <f>COUNTIFS(Accounts!$B:$B,"Customer",Accounts!$C:$C,"Lost",Accounts!$E:$E,"QBDT")</f>
        <v>0</v>
      </c>
      <c r="H4" s="37">
        <f>COUNTIFS(Accounts!$B:$B,"none",Accounts!$C:$C,"Customer",Accounts!$E:$E,"QBDT")</f>
        <v>0</v>
      </c>
      <c r="I4" s="38" t="e">
        <f>H4/D4</f>
        <v>#DIV/0!</v>
      </c>
      <c r="J4" s="63">
        <f>COUNTIFS(Accounts!$T:$T,"&gt;="&amp;DATE($C$10,$C$11,1),Accounts!$T:$T,"&lt;"&amp;DATE($C$7,$C$8,1),Accounts!$B:$B,"Trialer",Accounts!$C:$C,"Customer",Accounts!$E:$E,"QBDT")</f>
        <v>0</v>
      </c>
      <c r="K4" s="63">
        <f>COUNTIFS(Accounts!$T:$T,"&gt;="&amp;DATE($C$13,$C$14,1),Accounts!$T:$T,"&lt;"&amp;DATE($C$10,$C$11,1),Accounts!$B:$B,"Trialer",Accounts!$C:$C,"Customer",Accounts!$E:$E,"QBDT")</f>
        <v>0</v>
      </c>
      <c r="L4" s="63">
        <f>COUNTIFS(Accounts!$T:$T,"&gt;="&amp;DATE($C$16,$C$17,1),Accounts!$T:$T,"&lt;"&amp;DATE($C$13,$C$14,1),Accounts!$B:$B,"Trialer",Accounts!$C:$C,"Customer",Accounts!$E:$E,"QBDT")</f>
        <v>0</v>
      </c>
      <c r="M4" s="37">
        <f>SUM(COUNTIFS(Accounts!$B:$B,{"Trialer","none"},Accounts!$C:$C,"Customer",Accounts!$E:$E,"QBDT"))</f>
        <v>0</v>
      </c>
      <c r="N4" s="38" t="e">
        <f>$M$4/$D$4</f>
        <v>#DIV/0!</v>
      </c>
      <c r="O4" s="41" t="e">
        <f>P4/(COUNTIFS(Accounts!$W:$W,1,Accounts!$E:$E,"QBDT"))</f>
        <v>#DIV/0!</v>
      </c>
      <c r="P4" s="41">
        <f>SUMIFS(Accounts!$I:$I,Accounts!$W:$W,1,Accounts!$E:$E,"QBDT")</f>
        <v>0</v>
      </c>
      <c r="Q4" s="41">
        <f>SUMIFS(Accounts!$I:$I,Accounts!$E:$E,"QBDT")</f>
        <v>0</v>
      </c>
      <c r="R4" s="41">
        <f>SUMIFS(Accounts!$N:$N,Accounts!$E:$E,"QBDT")</f>
        <v>0</v>
      </c>
      <c r="S4" s="41">
        <f>($Q$4+R4)/($BC$23+$BC26)</f>
        <v>0</v>
      </c>
      <c r="T4" s="41">
        <f>$Q$4/($BC$23+$BC26)</f>
        <v>0</v>
      </c>
      <c r="U4" s="64">
        <f>SUMIFS(Accounts!$AA:$AA,Accounts!$B:$B,"none",Accounts!$C:$C,"Customer",Accounts!$E:$E,"QBDT") + SUMIFS(Accounts!$AH:$AH,Accounts!$B:$B,"none",Accounts!$C:$C,"Customer",Accounts!$E:$E,"QBDT") + SUMIFS(Accounts!$AJ:$AJ,Accounts!$B:$B,"none",Accounts!$C:$C,"Customer",Accounts!$E:$E,"QBDT") + SUMIFS(Accounts!$AI:$AI,Accounts!$B:$B,"none",Accounts!$C:$C,"Customer",Accounts!$E:$E,"QBDT") + SUMIFS(Accounts!$AO:$AO,Accounts!$B:$B,"none",Accounts!$C:$C,"Customer",Accounts!$E:$E,"QBDT")</f>
        <v>0</v>
      </c>
      <c r="V4" s="64">
        <f>SUMIFS(Accounts!$AC:$AC,Accounts!$B:$B,"none",Accounts!$C:$C,"Customer",Accounts!$E:$E,"QBDT")+SUMIFS(Accounts!$AF:$AF,Accounts!$B:$B,"none",Accounts!$C:$C,"Customer",Accounts!$E:$E,"QBDT")+SUMIFS(Accounts!$AK:$AK,Accounts!$B:$B,"none",Accounts!$C:$C,"Customer",Accounts!$E:$E,"QBDT")</f>
        <v>0</v>
      </c>
      <c r="W4" s="64">
        <f>SUMIFS(Accounts!$AB:$AB,Accounts!$B:$B,"none",Accounts!$C:$C,"Customer",Accounts!$E:$E,"QBDT")</f>
        <v>0</v>
      </c>
      <c r="X4" s="64">
        <f>SUMIFS(Accounts!$AD:$AD,Accounts!$B:$B,"none",Accounts!$C:$C,"Customer",Accounts!$E:$E,"QBDT")+SUMIFS(Accounts!$AM:$AM,Accounts!$B:$B,"none",Accounts!$C:$C,"Customer",Accounts!$E:$E,"QBDT")+SUMIFS(Accounts!$AN:$AN,Accounts!$B:$B,"none",Accounts!$C:$C,"Customer",Accounts!$E:$E,"QBDT")</f>
        <v>0</v>
      </c>
      <c r="Y4" s="37">
        <f>SUM(Z4:AB4)</f>
        <v>0</v>
      </c>
      <c r="Z4" s="64">
        <f>SUMIFS(Accounts!$AE:$AE,Accounts!$B:$B,"none",Accounts!$C:$C,"Customer",Accounts!$E:$E,"QBDT") + SUMIFS(Accounts!$AP:$AP,Accounts!$B:$B,"none",Accounts!$C:$C,"Customer",Accounts!$E:$E,"QBDT")</f>
        <v>0</v>
      </c>
      <c r="AA4" s="64">
        <f>SUMIFS(Accounts!$Z:$Z,Accounts!$B:$B,"none",Accounts!$C:$C,"Customer",Accounts!$E:$E,"QBDT")</f>
        <v>0</v>
      </c>
      <c r="AB4" s="64">
        <f>SUMIFS(Accounts!$AG:$AG,Accounts!$B:$B,"none",Accounts!$C:$C,"Customer",Accounts!$E:$E,"QBDT") + SUMIFS(Accounts!$AL:$AL,Accounts!$B:$B,"none",Accounts!$C:$C,"Customer",Accounts!$E:$E,"QBDT")</f>
        <v>0</v>
      </c>
      <c r="AC4" s="64">
        <f>SUMIFS(Accounts!$AQ:$AQ,Accounts!$B:$B,"none",Accounts!$C:$C,"Customer",Accounts!$E:$E,"QBDT")</f>
        <v>0</v>
      </c>
      <c r="AD4" s="64">
        <f>SUMIFS(Accounts!$AA:$AA,Accounts!$T:$T,"&gt;="&amp;DATE($C$10,$C$11,1),Accounts!$T:$T,"&lt;"&amp;DATE($C$7,$C$8,1),Accounts!$B:$B,"Trialer",Accounts!$C:$C,"Customer",Accounts!$E:$E,"QBDT") + SUMIFS(Accounts!$AH:$AH,Accounts!$T:$T,"&gt;="&amp;DATE($C$10,$C$11,1),Accounts!$T:$T,"&lt;"&amp;DATE($C$7,$C$8,1),Accounts!$B:$B,"Trialer",Accounts!$C:$C,"Customer",Accounts!$E:$E,"QBDT") + SUMIFS(Accounts!$AJ:$AJ,Accounts!$T:$T,"&gt;="&amp;DATE($C$10,$C$11,1),Accounts!$T:$T,"&lt;"&amp;DATE($C$7,$C$8,1),Accounts!$B:$B,"Trialer",Accounts!$C:$C,"Customer",Accounts!$E:$E,"QBDT") + SUMIFS(Accounts!$AI:$AI,Accounts!$T:$T,"&gt;="&amp;DATE($C$10,$C$11,1),Accounts!$T:$T,"&lt;"&amp;DATE($C$7,$C$8,1),Accounts!$B:$B,"Trialer",Accounts!$C:$C,"Customer",Accounts!$E:$E,"QBDT") + SUMIFS(Accounts!$AO:$AO,Accounts!$T:$T,"&gt;="&amp;DATE($C$10,$C$11,1),Accounts!$T:$T,"&lt;"&amp;DATE($C$7,$C$8,1),Accounts!$B:$B,"Trialer",Accounts!$C:$C,"Customer",Accounts!$E:$E,"QBDT")</f>
        <v>0</v>
      </c>
      <c r="AE4" s="64">
        <f>SUMIFS(Accounts!$AC:$AC,Accounts!$T:$T,"&gt;="&amp;DATE($C$10,$C$11,1),Accounts!$T:$T,"&lt;"&amp;DATE($C$7,$C$8,1),Accounts!$B:$B,"Trialer",Accounts!$C:$C,"Customer",Accounts!$E:$E,"QBDT")+SUMIFS(Accounts!$AF:$AF,Accounts!$T:$T,"&gt;="&amp;DATE($C$10,$C$11,1),Accounts!$T:$T,"&lt;"&amp;DATE($C$7,$C$8,1),Accounts!$B:$B,"Trialer",Accounts!$C:$C,"Customer",Accounts!$E:$E,"QBDT")+SUMIFS(Accounts!$AK:$AK,Accounts!$T:$T,"&gt;="&amp;DATE($C$10,$C$11,1),Accounts!$T:$T,"&lt;"&amp;DATE($C$7,$C$8,1),Accounts!$B:$B,"Trialer",Accounts!$C:$C,"Customer",Accounts!$E:$E,"QBDT")</f>
        <v>0</v>
      </c>
      <c r="AF4" s="64">
        <f>SUMIFS(Accounts!$AB:$AB,Accounts!$T:$T,"&gt;="&amp;DATE($C$10,$C$11,1),Accounts!$T:$T,"&lt;"&amp;DATE($C$7,$C$8,1),Accounts!$B:$B,"Trialer",Accounts!$C:$C,"Customer",Accounts!$E:$E,"QBDT")</f>
        <v>0</v>
      </c>
      <c r="AG4" s="64">
        <f>SUMIFS(Accounts!$AD:$AD,Accounts!$T:$T,"&gt;="&amp;DATE($C$10,$C$11,1),Accounts!$T:$T,"&lt;"&amp;DATE($C$7,$C$8,1),Accounts!$B:$B,"Trialer",Accounts!$C:$C,"Customer",Accounts!$E:$E,"QBDT")+SUMIFS(Accounts!$AM:$AM,Accounts!$T:$T,"&gt;="&amp;DATE($C$10,$C$11,1),Accounts!$T:$T,"&lt;"&amp;DATE($C$7,$C$8,1),Accounts!$B:$B,"Trialer",Accounts!$C:$C,"Customer",Accounts!$E:$E,"QBDT")+SUMIFS(Accounts!$AN:$AN,Accounts!$T:$T,"&gt;="&amp;DATE($C$10,$C$11,1),Accounts!$T:$T,"&lt;"&amp;DATE($C$7,$C$8,1),Accounts!$B:$B,"Trialer",Accounts!$C:$C,"Customer",Accounts!$E:$E,"QBDT")</f>
        <v>0</v>
      </c>
      <c r="AH4" s="64">
        <f>SUMIFS(Accounts!$AE:$AE,Accounts!$T:$T,"&gt;="&amp;DATE($C$10,$C$11,1),Accounts!$T:$T,"&lt;"&amp;DATE($C$7,$C$8,1),Accounts!$B:$B,"Trialer",Accounts!$C:$C,"Customer",Accounts!$E:$E,"QBDT") + SUMIFS(Accounts!$AP:$AP,Accounts!$T:$T,"&gt;="&amp;DATE($C$10,$C$11,1),Accounts!$T:$T,"&lt;"&amp;DATE($C$7,$C$8,1),Accounts!$B:$B,"Trialer",Accounts!$C:$C,"Customer",Accounts!$E:$E,"QBDT")</f>
        <v>0</v>
      </c>
      <c r="AI4" s="64">
        <f>SUMIFS(Accounts!$Z:$Z,Accounts!$T:$T,"&gt;="&amp;DATE($C$10,$C$11,1),Accounts!$T:$T,"&lt;"&amp;DATE($C$7,$C$8,1),Accounts!$B:$B,"Trialer",Accounts!$C:$C,"Customer",Accounts!$E:$E,"QBDT")</f>
        <v>0</v>
      </c>
      <c r="AJ4" s="64">
        <f>SUMIFS(Accounts!$AG:$AG,Accounts!$T:$T,"&gt;="&amp;DATE($C$10,$C$11,1),Accounts!$T:$T,"&lt;"&amp;DATE($C$7,$C$8,1),Accounts!$B:$B,"Trialer",Accounts!$C:$C,"Customer",Accounts!$E:$E,"QBDT") + SUMIFS(Accounts!$AL:$AL,Accounts!$T:$T,"&gt;="&amp;DATE($C$10,$C$11,1),Accounts!$T:$T,"&lt;"&amp;DATE($C$7,$C$8,1),Accounts!$B:$B,"Trialer",Accounts!$C:$C,"Customer",Accounts!$E:$E,"QBDT")</f>
        <v>0</v>
      </c>
      <c r="AK4" s="64">
        <f>SUMIFS(Accounts!$AQ:$AQ,Accounts!$T:$T,"&gt;="&amp;DATE($C$10,$C$11,1),Accounts!$T:$T,"&lt;"&amp;DATE($C$7,$C$8,1),Accounts!$B:$B,"Trialer",Accounts!$C:$C,"Customer",Accounts!$E:$E,"QBDT")</f>
        <v>0</v>
      </c>
      <c r="AL4" s="64">
        <f>SUMIFS(Accounts!$AA:$AA,Accounts!$T:$T,"&gt;="&amp;DATE($C$13,$C$14,1),Accounts!$T:$T,"&lt;"&amp;DATE($C$10,$C$11,1),Accounts!$B:$B,"Trialer",Accounts!$C:$C,"Customer",Accounts!$E:$E,"QBDT") + SUMIFS(Accounts!$AH:$AH,Accounts!$T:$T,"&gt;="&amp;DATE($C$13,$C$14,1),Accounts!$T:$T,"&lt;"&amp;DATE($C$10,$C$11,1),Accounts!$B:$B,"Trialer",Accounts!$C:$C,"Customer",Accounts!$E:$E,"QBDT") + SUMIFS(Accounts!$AJ:$AJ,Accounts!$T:$T,"&gt;="&amp;DATE($C$13,$C$14,1),Accounts!$T:$T,"&lt;"&amp;DATE($C$10,$C$11,1),Accounts!$B:$B,"Trialer",Accounts!$C:$C,"Customer",Accounts!$E:$E,"QBDT") + SUMIFS(Accounts!$AI:$AI,Accounts!$T:$T,"&gt;="&amp;DATE($C$13,$C$14,1),Accounts!$T:$T,"&lt;"&amp;DATE($C$10,$C$11,1),Accounts!$B:$B,"Trialer",Accounts!$C:$C,"Customer",Accounts!$E:$E,"QBDT") + SUMIFS(Accounts!$AO:$AO,Accounts!$T:$T,"&gt;="&amp;DATE($C$13,$C$14,1),Accounts!$T:$T,"&lt;"&amp;DATE($C$10,$C$11,1),Accounts!$B:$B,"Trialer",Accounts!$C:$C,"Customer",Accounts!$E:$E,"QBDT")</f>
        <v>0</v>
      </c>
      <c r="AM4" s="64">
        <f>SUMIFS(Accounts!$AC:$AC,Accounts!$T:$T,"&gt;="&amp;DATE($C$13,$C$14,1),Accounts!$T:$T,"&lt;"&amp;DATE($C$10,$C$11,1),Accounts!$B:$B,"Trialer",Accounts!$C:$C,"Customer",Accounts!$E:$E,"QBDT")+SUMIFS(Accounts!$AF:$AF,Accounts!$T:$T,"&gt;="&amp;DATE($C$13,$C$14,1),Accounts!$T:$T,"&lt;"&amp;DATE($C$10,$C$11,1),Accounts!$B:$B,"Trialer",Accounts!$C:$C,"Customer",Accounts!$E:$E,"QBDT")+SUMIFS(Accounts!$AK:$AK,Accounts!$T:$T,"&gt;="&amp;DATE($C$13,$C$14,1),Accounts!$T:$T,"&lt;"&amp;DATE($C$10,$C$11,1),Accounts!$B:$B,"Trialer",Accounts!$C:$C,"Customer",Accounts!$E:$E,"QBDT")</f>
        <v>0</v>
      </c>
      <c r="AN4" s="64">
        <f>SUMIFS(Accounts!$AB:$AB,Accounts!$T:$T,"&gt;="&amp;DATE($C$13,$C$14,1),Accounts!$T:$T,"&lt;"&amp;DATE($C$10,$C$11,1),Accounts!$B:$B,"Trialer",Accounts!$C:$C,"Customer",Accounts!$E:$E,"QBDT")</f>
        <v>0</v>
      </c>
      <c r="AO4" s="64">
        <f>SUMIFS(Accounts!$AD:$AD,Accounts!$T:$T,"&gt;="&amp;DATE($C$13,$C$14,1),Accounts!$T:$T,"&lt;"&amp;DATE($C$10,$C$11,1),Accounts!$B:$B,"Trialer",Accounts!$C:$C,"Customer",Accounts!$E:$E,"QBDT")+SUMIFS(Accounts!$AM:$AM,Accounts!$T:$T,"&gt;="&amp;DATE($C$13,$C$14,1),Accounts!$T:$T,"&lt;"&amp;DATE($C$10,$C$11,1),Accounts!$B:$B,"Trialer",Accounts!$C:$C,"Customer",Accounts!$E:$E,"QBDT")+SUMIFS(Accounts!$AN:$AN,Accounts!$T:$T,"&gt;="&amp;DATE($C$13,$C$14,1),Accounts!$T:$T,"&lt;"&amp;DATE($C$10,$C$11,1),Accounts!$B:$B,"Trialer",Accounts!$C:$C,"Customer",Accounts!$E:$E,"QBDT")</f>
        <v>0</v>
      </c>
      <c r="AP4" s="64">
        <f>SUMIFS(Accounts!$AE:$AE,Accounts!$T:$T,"&gt;="&amp;DATE($C$13,$C$14,1),Accounts!$T:$T,"&lt;"&amp;DATE($C$10,$C$11,1),Accounts!$B:$B,"Trialer",Accounts!$C:$C,"Customer",Accounts!$E:$E,"QBDT") + SUMIFS(Accounts!$AP:$AP,Accounts!$T:$T,"&gt;="&amp;DATE($C$13,$C$14,1),Accounts!$T:$T,"&lt;"&amp;DATE($C$10,$C$11,1),Accounts!$B:$B,"Trialer",Accounts!$C:$C,"Customer",Accounts!$E:$E,"QBDT")</f>
        <v>0</v>
      </c>
      <c r="AQ4" s="64">
        <f>SUMIFS(Accounts!$Z:$Z,Accounts!$T:$T,"&gt;="&amp;DATE($C$13,$C$14,1),Accounts!$T:$T,"&lt;"&amp;DATE($C$10,$C$11,1),Accounts!$B:$B,"Trialer",Accounts!$C:$C,"Customer",Accounts!$E:$E,"QBDT")</f>
        <v>0</v>
      </c>
      <c r="AR4" s="64">
        <f>SUMIFS(Accounts!$AG:$AG,Accounts!$T:$T,"&gt;="&amp;DATE($C$13,$C$14,1),Accounts!$T:$T,"&lt;"&amp;DATE($C$10,$C$11,1),Accounts!$B:$B,"Trialer",Accounts!$C:$C,"Customer",Accounts!$E:$E,"QBDT") + SUMIFS(Accounts!$AL:$AL,Accounts!$T:$T,"&gt;="&amp;DATE($C$13,$C$14,1),Accounts!$T:$T,"&lt;"&amp;DATE($C$10,$C$11,1),Accounts!$B:$B,"Trialer",Accounts!$C:$C,"Customer",Accounts!$E:$E,"QBDT")</f>
        <v>0</v>
      </c>
      <c r="AS4" s="64">
        <f>SUMIFS(Accounts!$AQ:$AQ,Accounts!$T:$T,"&gt;="&amp;DATE($C$13,$C$14,1),Accounts!$T:$T,"&lt;"&amp;DATE($C$10,$C$11,1),Accounts!$B:$B,"Trialer",Accounts!$C:$C,"Customer",Accounts!$E:$E,"QBDT")</f>
        <v>0</v>
      </c>
      <c r="AT4" s="23">
        <f>IFERROR((
SUMPRODUCT(SUMIFS(Accounts!$AA:$AA,Accounts!$B:$B,{"Trialer","none"},Accounts!$C:$C,"Customer",Accounts!$E:$E,"QBDT")) +
SUMPRODUCT(SUMIFS(Accounts!$AH:$AH,Accounts!$B:$B,{"Trialer","none"},Accounts!$C:$C,"Customer",Accounts!$E:$E,"QBDT")) +
SUMPRODUCT(SUMIFS(Accounts!$AJ:$AJ,Accounts!$B:$B,{"Trialer","none"},Accounts!$C:$C,"Customer",Accounts!$E:$E,"QBDT")) +
SUMPRODUCT(SUMIFS(Accounts!$AI:$AI,Accounts!$B:$B,{"Trialer","none"},Accounts!$C:$C,"Customer",Accounts!$E:$E,"QBDT")) +
SUMPRODUCT(SUMIFS(Accounts!$AO:$AO,Accounts!$B:$B,{"Trialer","none"},Accounts!$C:$C,"Customer",Accounts!$E:$E,"QBDT"))
)
/BM4,0
)</f>
        <v>0</v>
      </c>
      <c r="AU4" s="23">
        <f>IFERROR((SUMPRODUCT(SUMIFS(Accounts!$AC:$AC,Accounts!$B:$B,{"Trialer","none"},Accounts!$C:$C,"Customer",Accounts!$E:$E,"QBDT"))+SUMPRODUCT(SUMIFS(Accounts!$AF:$AF,Accounts!$B:$B,{"Trialer","none"},Accounts!$C:$C,"Customer",Accounts!$E:$E,"QBDT"))+SUMPRODUCT(SUMIFS(Accounts!$AK:$AK,Accounts!$B:$B,{"Trialer","none"},Accounts!$C:$C,"Customer",Accounts!$E:$E,"QBDT")))/BN4,0)</f>
        <v>0</v>
      </c>
      <c r="AV4" s="23">
        <f>IFERROR((SUMPRODUCT(SUMIFS(Accounts!$AB:$AB,Accounts!$B:$B,{"Trialer","none"},Accounts!$C:$C,"Customer",Accounts!$E:$E,"QBDT")))/BO4,0)</f>
        <v>0</v>
      </c>
      <c r="AW4" s="23">
        <f>IFERROR((SUMPRODUCT(SUMIFS(Accounts!$AD:$AD,Accounts!$B:$B,{"Trialer","none"},Accounts!$C:$C,"Customer",Accounts!$E:$E,"QBDT"))+SUMPRODUCT(SUMIFS(Accounts!$AM:$AM,Accounts!$B:$B,{"Trialer","none"},Accounts!$C:$C,"Customer",Accounts!$E:$E,"QBDT"))+SUMPRODUCT(SUMIFS(Accounts!$AN:$AN,Accounts!$B:$B,{"Trialer","none"},Accounts!$C:$C,"Customer",Accounts!$E:$E,"QBDT")))/BP4,0)</f>
        <v>0</v>
      </c>
      <c r="AX4" s="23">
        <f>IFERROR((
SUMPRODUCT(SUMIFS(Accounts!$AP:$AP,Accounts!$B:$B,{"Trialer","none"},Accounts!$C:$C,"Customer",Accounts!$E:$E,"QBDT"))+
SUMPRODUCT(SUMIFS(Accounts!$AE:$AE,Accounts!$B:$B,{"Trialer","none"},Accounts!$C:$C,"Customer",Accounts!$E:$E,"QBDT"))+
SUMPRODUCT(SUMIFS(Accounts!$Z:$Z,Accounts!$B:$B,{"Trialer","none"},Accounts!$C:$C,"Customer",Accounts!$E:$E,"QBDT"))+
SUMPRODUCT(SUMIFS(Accounts!$AG:$AG,Accounts!$B:$B,{"Trialer","none"},Accounts!$C:$C,"Customer",Accounts!$E:$E,"QBDT"))+
SUMPRODUCT(SUMIFS(Accounts!$AL:$AL,Accounts!$B:$B,{"Trialer","none"},Accounts!$C:$C,"Customer",Accounts!$E:$E,"QBDT"))
)
/(BQ4+BS4+BT4),0
)</f>
        <v>0</v>
      </c>
      <c r="AY4" s="23">
        <f>IFERROR((
SUMPRODUCT(SUMIFS(Accounts!$AE:$AE,Accounts!$B:$B,{"Trialer","none"},Accounts!$C:$C,"Customer",Accounts!$E:$E,"QBDT")) +
SUMPRODUCT(SUMIFS(Accounts!$AP:$AP,Accounts!$B:$B,{"Trialer","none"},Accounts!$C:$C,"Customer",Accounts!$E:$E,"QBDT"))
)
/BQ4,0
)</f>
        <v>0</v>
      </c>
      <c r="AZ4" s="23">
        <f>IFERROR(SUMPRODUCT(SUMIFS(Accounts!$Z:$Z,Accounts!$B:$B,{"Trialer","none"},Accounts!$C:$C,"Customer",Accounts!$E:$E,"QBDT"))/BS4,0)</f>
        <v>0</v>
      </c>
      <c r="BA4" s="23">
        <f>IFERROR((SUMPRODUCT(SUMIFS(Accounts!$AG:$AG,Accounts!$B:$B,{"Trialer","none"},Accounts!$C:$C,"Customer",Accounts!$E:$E,"QBDT")) + SUMPRODUCT(SUMIFS(Accounts!$AL:$AL,Accounts!$B:$B,{"Trialer","none"},Accounts!$C:$C,"Customer",Accounts!$E:$E,"QBDT")))/BT4,0)</f>
        <v>0</v>
      </c>
      <c r="BB4" s="23">
        <f>IFERROR((SUMPRODUCT(SUMIFS(Accounts!$AQ:$AQ,Accounts!$B:$B,{"none","Trialer"},Accounts!$C:$C,"Customer",Accounts!$E:$E,"QBDT")))/BU4,0)</f>
        <v>0</v>
      </c>
      <c r="BC4" s="38" t="e">
        <f>(($BC$24+$BC$27)/(($BC$23*$C$3)+(0.5*$BC$26*$C$3)))*$C$3</f>
        <v>#VALUE!</v>
      </c>
      <c r="BD4" s="38" t="e">
        <f>(($BD$24+$BD$27)/((($BD$23*$C$2)+(0.5*$BD$26*$C$2)))*$C$2)</f>
        <v>#VALUE!</v>
      </c>
      <c r="BE4" s="38" t="e">
        <f>((BE24+BE27)/((BE23*$C$2)+(0.5*BE26*$C$2)))*$C$2</f>
        <v>#VALUE!</v>
      </c>
      <c r="BF4" s="38" t="e">
        <f ref="BF4:BL4" t="shared" si="2">((BF24+BF27)/((BF23*$C$2)+(0.5*BF26*$C$2)))*$C$2</f>
        <v>#VALUE!</v>
      </c>
      <c r="BG4" s="38" t="e">
        <f t="shared" si="2"/>
        <v>#VALUE!</v>
      </c>
      <c r="BH4" s="38" t="e">
        <f>((BH24+BH27)/((BH23*$C$2)+(0.5*BH26*$C$2)))*$C$2</f>
        <v>#VALUE!</v>
      </c>
      <c r="BI4" s="38" t="e">
        <f t="shared" si="2"/>
        <v>#VALUE!</v>
      </c>
      <c r="BJ4" s="38" t="e">
        <f t="shared" si="2"/>
        <v>#VALUE!</v>
      </c>
      <c r="BK4" s="38" t="e">
        <f t="shared" si="2"/>
        <v>#VALUE!</v>
      </c>
      <c r="BL4" s="38" t="e">
        <f t="shared" si="2"/>
        <v>#VALUE!</v>
      </c>
      <c r="BM4" s="43">
        <f>SUMIFS(Accounts!$AA:$AA,Accounts!$B:$B,"none",Accounts!$E:$E,"QBDT") + SUMIFS(Accounts!$AH:$AH,Accounts!$B:$B,"none",Accounts!$E:$E,"QBDT") + SUMIFS(Accounts!$AJ:$AJ,Accounts!$B:$B,"none",Accounts!$E:$E,"QBDT") + SUMIFS(Accounts!$AI:$AI,Accounts!$B:$B,"none",Accounts!$E:$E,"QBDT") + SUMIFS(Accounts!$AO:$AO,Accounts!$B:$B,"none",Accounts!$E:$E,"QBDT")</f>
        <v>0</v>
      </c>
      <c r="BN4" s="43">
        <f>SUMIFS(Accounts!$AC:$AC,Accounts!$B:$B,"none",Accounts!$E:$E,"QBDT") + SUMIFS(Accounts!$AF:$AF,Accounts!$B:$B,"none") + SUMIFS(Accounts!$AK:$AK,Accounts!$B:$B,"none",Accounts!$E:$E,"QBDT")</f>
        <v>0</v>
      </c>
      <c r="BO4" s="43">
        <f>SUMIFS(Accounts!$AB:$AB,Accounts!$B:$B,"none",Accounts!$E:$E,"QBDT")</f>
        <v>0</v>
      </c>
      <c r="BP4" s="43">
        <f>SUMIFS(Accounts!$AD:$AD,Accounts!$B:$B,"none",Accounts!$E:$E,"QBDT") + SUMIFS(Accounts!$AM:$AM,Accounts!$B:$B,"none",Accounts!$E:$E,"QBDT") + SUMIFS(Accounts!$AN:$AN,Accounts!$B:$B,"none",Accounts!$E:$E,"QBDT")</f>
        <v>0</v>
      </c>
      <c r="BQ4" s="43">
        <f>SUMIFS(Accounts!$AE:$AE,Accounts!$B:$B,"none",Accounts!$E:$E,"QBDT") + SUMIFS(Accounts!$AP:$AP,Accounts!$B:$B,"none",Accounts!$E:$E,"QBDT")</f>
        <v>0</v>
      </c>
      <c r="BR4" s="43">
        <f>SUM(BS4:BT4,BQ4)</f>
        <v>0</v>
      </c>
      <c r="BS4" s="43">
        <f>SUMIFS(Accounts!$Z:$Z,Accounts!$B:$B,"none",Accounts!$E:$E,"QBDT")</f>
        <v>0</v>
      </c>
      <c r="BT4" s="43">
        <f>SUMIFS(Accounts!$AG:$AG,Accounts!$B:$B,"none",Accounts!$E:$E,"QBDT") + SUMIFS(Accounts!$AL:$AL,Accounts!$B:$B,"none",Accounts!$E:$E,"QBDT")</f>
        <v>0</v>
      </c>
      <c r="BU4" s="43">
        <f>SUMIFS(Accounts!$AQ:$AQ,Accounts!$B:$B,"none",Accounts!$E:$E,"QBDT")</f>
        <v>0</v>
      </c>
      <c r="BV4" s="41" t="e">
        <f>T$31/(BD$23+BD$26)</f>
        <v>#DIV/0!</v>
      </c>
      <c r="BW4" s="41" t="e">
        <f>V$31/(BE$23+BE$26)</f>
        <v>#DIV/0!</v>
      </c>
      <c r="BX4" s="41" t="e">
        <f>X$31/(BF$23+BF$26)</f>
        <v>#DIV/0!</v>
      </c>
      <c r="BY4" s="41" t="e">
        <f>Z$31/(BG$23+BG$26)</f>
        <v>#DIV/0!</v>
      </c>
      <c r="BZ4" s="41" t="e">
        <f>($AB$31+AD31+AF31)/($BI$23+$BJ$23+BK23+$BI$26+BJ26+BK26)</f>
        <v>#DIV/0!</v>
      </c>
      <c r="CA4" s="41" t="e">
        <f>$AB$31/($BI$23+$BI$26)</f>
        <v>#DIV/0!</v>
      </c>
      <c r="CB4" s="41" t="e">
        <f>AD$31/(BJ$23+BJ$26)</f>
        <v>#DIV/0!</v>
      </c>
      <c r="CC4" s="41" t="e">
        <f>AF$31/(BK$23+BK$26)</f>
        <v>#DIV/0!</v>
      </c>
      <c r="CD4" s="41">
        <f>AH$31/(BL$23+BL$26)</f>
        <v>0</v>
      </c>
      <c r="CE4" s="41" t="e">
        <f>(T$31+AJ$31)/(BD$23+BD$26)</f>
        <v>#DIV/0!</v>
      </c>
      <c r="CF4" s="41" t="e">
        <f>(V$31+AL$31)/(BE$23+BE$26)</f>
        <v>#DIV/0!</v>
      </c>
      <c r="CG4" s="41" t="e">
        <f>(X$31+AN$31)/(BF$23+BF$26)</f>
        <v>#DIV/0!</v>
      </c>
      <c r="CH4" s="41" t="e">
        <f>(Z$31+AP$31)/(BG$23+BG$26)</f>
        <v>#DIV/0!</v>
      </c>
      <c r="CI4" s="41" t="e">
        <f>($AB$31+$AR$31+AD31+AF31+AT31+AV31)/($BI$23+$BI$26+BJ23+BK23+BJ26+BK26)</f>
        <v>#DIV/0!</v>
      </c>
      <c r="CJ4" s="41" t="e">
        <f>($AB$31+$AR$31)/($BI$23+$BI$26)</f>
        <v>#DIV/0!</v>
      </c>
      <c r="CK4" s="41" t="e">
        <f>(AD$31+AT$31)/(BJ$23+BJ$26)</f>
        <v>#DIV/0!</v>
      </c>
      <c r="CL4" s="41" t="e">
        <f>(AF$31+AV$31)/(BK$23+BK$26)</f>
        <v>#DIV/0!</v>
      </c>
      <c r="CM4" s="41">
        <f>(AH$31+AX$31)/(BL$23+BL$26)</f>
        <v>0</v>
      </c>
      <c r="CN4" s="41" t="e">
        <f>BV$4*BD$22</f>
        <v>#DIV/0!</v>
      </c>
      <c r="CO4" s="41" t="e">
        <f>BW$4*BE$22</f>
        <v>#DIV/0!</v>
      </c>
      <c r="CP4" s="41" t="e">
        <f>BX$4*BF$22</f>
        <v>#DIV/0!</v>
      </c>
      <c r="CQ4" s="41" t="e">
        <f>BY$4*BG$22</f>
        <v>#DIV/0!</v>
      </c>
      <c r="CR4" s="41" t="e">
        <f>$BZ$4*$BH$22</f>
        <v>#DIV/0!</v>
      </c>
      <c r="CS4" s="41" t="e">
        <f>$CA$4*$BI$22</f>
        <v>#DIV/0!</v>
      </c>
      <c r="CT4" s="41" t="e">
        <f>CB$4*BJ$22</f>
        <v>#DIV/0!</v>
      </c>
      <c r="CU4" s="41" t="e">
        <f>CC$4*BK$22</f>
        <v>#DIV/0!</v>
      </c>
      <c r="CV4" s="41" t="e">
        <f>CD$4*BL$22</f>
        <v>#VALUE!</v>
      </c>
      <c r="CW4" s="38" t="e">
        <f>((CW22+CW25)/((CW21*$C$2)+(0.5*CW24*$C$2)))*$C$2</f>
        <v>#VALUE!</v>
      </c>
      <c r="CX4" s="43">
        <f>COUNTIFS(Accounts!$AS:$AS, "Manufacturing (MWD)",Accounts!$B:$B,"none",Accounts!$E:$E,"QBDT")</f>
        <v>0</v>
      </c>
      <c r="CY4" s="37">
        <f>COUNTIFS(Accounts!$AS:$AS, "Manufacturing (MWD)",Accounts!$B:$B,"Customer",Accounts!$E:$E,"QBDT")</f>
        <v>0</v>
      </c>
      <c r="CZ4" s="41">
        <f>SUMIFS(Accounts!$I:$I,Accounts!$AS:$AS, "Manufacturing (MWD)",Accounts!$E:$E,"QBDT")</f>
        <v>0</v>
      </c>
      <c r="DA4" s="41">
        <f>SUMIFS(Accounts!$N:$N,Accounts!$AS:$AS, "Manufacturing (MWD)",Accounts!$E:$E,"QBDT")</f>
        <v>0</v>
      </c>
      <c r="DB4" s="41" t="e">
        <f>CZ4/(CY4+CW24)</f>
        <v>#DIV/0!</v>
      </c>
      <c r="DC4" s="41" t="e">
        <f>(CZ4+DA4)/(CY4+CW24)</f>
        <v>#DIV/0!</v>
      </c>
      <c r="DD4" s="41" t="e">
        <f>CW20*DB4</f>
        <v>#VALUE!</v>
      </c>
      <c r="DE4" s="41" t="e">
        <f>AVERAGEIFS(Accounts!$AY:$AY,Accounts!$AS:$AS, "Manufacturing (MWD)",Accounts!$B:$B,"Customer",Accounts!$AY:$AY,"&gt;0",Accounts!$E:$E,"QBDT")</f>
        <v>#DIV/0!</v>
      </c>
      <c r="DF4" s="37" t="e">
        <f>AVERAGEIFS(Accounts!$AX:$AX,Accounts!$AS:$AS, "Manufacturing (MWD)",Accounts!$B:$B,"Customer",Accounts!$AX:$AX,"&gt;0",Accounts!$E:$E,"QBDT")</f>
        <v>#DIV/0!</v>
      </c>
      <c r="DG4" s="41" t="e">
        <f>AVERAGEIFS(Accounts!$AY:$AY,Accounts!$AS:$AS, "Manufacturing (MWD)",Accounts!$B:$B,"none",Accounts!$AY:$AY,"&gt;0",Accounts!$E:$E,"QBDT")</f>
        <v>#DIV/0!</v>
      </c>
      <c r="DH4" s="37" t="e">
        <f>AVERAGEIFS(Accounts!$AX:$AX,Accounts!$AS:$AS, "Manufacturing (MWD)",Accounts!$B:$B,"none",Accounts!$AX:$AX,"&gt;0",Accounts!$E:$E,"QBDT")</f>
        <v>#DIV/0!</v>
      </c>
      <c r="DI4" s="59">
        <f>SUMIFS(Accounts!$AA:$AA,Accounts!$B:$B,"Customer",Accounts!$AS:$AS, "Manufacturing (MWD)",Accounts!$E:$E,"QBDT") + SUMIFS(Accounts!$AH:$AH,Accounts!$B:$B,"Customer",Accounts!$AS:$AS, "Manufacturing (MWD)",Accounts!$E:$E,"QBDT") + SUMIFS(Accounts!$AJ:$AJ,Accounts!$B:$B,"Customer",Accounts!$AS:$AS, "Manufacturing (MWD)",Accounts!$E:$E,"QBDT") + SUMIFS(Accounts!$AI:$AI,Accounts!$B:$B,"Customer",Accounts!$AS:$AS, "Manufacturing (MWD)",Accounts!$E:$E,"QBDT") + SUMIFS(Accounts!$AO:$AO,Accounts!$B:$B,"Customer",Accounts!$AS:$AS, "Manufacturing (MWD)",Accounts!$E:$E,"QBDT")</f>
        <v>0</v>
      </c>
      <c r="DJ4" s="59">
        <f>(SUMIFS(Accounts!$AC:$AC,Accounts!$B:$B,"Customer",Accounts!$AS:$AS, "Manufacturing (MWD)",Accounts!$E:$E,"QBDT")+SUMIFS(Accounts!$AF:$AF,Accounts!$B:$B,"Customer",Accounts!$AS:$AS, "Manufacturing (MWD)",Accounts!$E:$E,"QBDT")+SUMIFS(Accounts!$AK:$AK,Accounts!$B:$B,"Customer",Accounts!$AS:$AS, "Manufacturing (MWD)",Accounts!$E:$E,"QBDT"))</f>
        <v>0</v>
      </c>
      <c r="DK4" s="59">
        <f>SUMIFS(Accounts!$AB:$AB,Accounts!$B:$B,"Customer",Accounts!$AS:$AS, "Manufacturing (MWD)",Accounts!$E:$E,"QBDT")</f>
        <v>0</v>
      </c>
      <c r="DL4" s="59">
        <f>SUMIFS(Accounts!$AD:$AD,Accounts!$B:$B,"Customer",Accounts!$AS:$AS, "Manufacturing (MWD)",Accounts!$E:$E,"QBDT")+SUMIFS(Accounts!$AM:$AM,Accounts!$B:$B,"Customer",Accounts!$AS:$AS, "Manufacturing (MWD)",Accounts!$E:$E,"QBDT")+SUMIFS(Accounts!$AN:$AN,Accounts!$B:$B,"Customer",Accounts!$AS:$AS, "Manufacturing (MWD)",Accounts!$E:$E,"QBDT")</f>
        <v>0</v>
      </c>
      <c r="DM4" s="59">
        <f>SUMIFS(Accounts!$AE:$AE,Accounts!$B:$B,"Customer",Accounts!$AS:$AS, "Manufacturing (MWD)",Accounts!$E:$E,"QBDT") + SUMIFS(Accounts!$AP:$AP,Accounts!$B:$B,"Customer",Accounts!$AS:$AS, "Manufacturing (MWD)",Accounts!$E:$E,"QBDT")</f>
        <v>0</v>
      </c>
      <c r="DN4" s="59">
        <f>SUMIFS(Accounts!$Z:$Z,Accounts!$B:$B,"Customer",Accounts!$AS:$AS, "Manufacturing (MWD)",Accounts!$E:$E,"QBDT")</f>
        <v>0</v>
      </c>
      <c r="DO4" s="59">
        <f>SUMIFS(Accounts!$AG:$AG,Accounts!$B:$B,"Customer",Accounts!$AS:$AS, "Manufacturing (MWD)",Accounts!$E:$E,"QBDT") + SUMIFS(Accounts!$AL:$AL,Accounts!$B:$B,"Customer",Accounts!$AS:$AS, "Manufacturing (MWD)",Accounts!$E:$E,"QBDT")</f>
        <v>0</v>
      </c>
      <c r="DP4" s="59">
        <f>SUMIFS(Accounts!$AQ:$AQ,Accounts!$B:$B,"Customer",Accounts!$AS:$AS, "Manufacturing (MWD)",Accounts!$E:$E,"QBDT")</f>
        <v>0</v>
      </c>
      <c r="DQ4" s="59">
        <f>SUMIFS(Accounts!$AA:$AA,Accounts!$B:$B,"none",Accounts!$AS:$AS, "Manufacturing (MWD)",Accounts!$E:$E,"QBDT") + SUMIFS(Accounts!$AH:$AH,Accounts!$B:$B,"none",Accounts!$AS:$AS, "Manufacturing (MWD)",Accounts!$E:$E,"QBDT") + SUMIFS(Accounts!$AJ:$AJ,Accounts!$B:$B,"none",Accounts!$AS:$AS, "Manufacturing (MWD)",Accounts!$E:$E,"QBDT") + SUMIFS(Accounts!$AI:$AI,Accounts!$B:$B,"none",Accounts!$AS:$AS, "Manufacturing (MWD)",Accounts!$E:$E,"QBDT") + SUMIFS(Accounts!$AO:$AO,Accounts!$B:$B,"none",Accounts!$AS:$AS, "Manufacturing (MWD)",Accounts!$E:$E,"QBDT")</f>
        <v>0</v>
      </c>
      <c r="DR4" s="59">
        <f>(SUMIFS(Accounts!$AC:$AC,Accounts!$B:$B,"none",Accounts!$AS:$AS, "Manufacturing (MWD)",Accounts!$E:$E,"QBDT")+SUMIFS(Accounts!$AF:$AF,Accounts!$B:$B,"none",Accounts!$AS:$AS, "Manufacturing (MWD)",Accounts!$E:$E,"QBDT")+SUMIFS(Accounts!$AK:$AK,Accounts!$B:$B,"none",Accounts!$AS:$AS, "Manufacturing (MWD)",Accounts!$E:$E,"QBDT"))</f>
        <v>0</v>
      </c>
      <c r="DS4" s="59">
        <f>SUMIFS(Accounts!$AB:$AB,Accounts!$B:$B,"none",Accounts!$AS:$AS, "Manufacturing (MWD)",Accounts!$E:$E,"QBDT")</f>
        <v>0</v>
      </c>
      <c r="DT4" s="59">
        <f>SUMIFS(Accounts!$AD:$AD,Accounts!$B:$B,"none",Accounts!$AS:$AS, "Manufacturing (MWD)",Accounts!$E:$E,"QBDT")+SUMIFS(Accounts!$AM:$AM,Accounts!$B:$B,"none",Accounts!$AS:$AS, "Manufacturing (MWD)",Accounts!$E:$E,"QBDT")+SUMIFS(Accounts!$AN:$AN,Accounts!$B:$B,"none",Accounts!$AS:$AS, "Manufacturing (MWD)",Accounts!$E:$E,"QBDT")</f>
        <v>0</v>
      </c>
      <c r="DU4" s="43">
        <f>SUMIFS(Accounts!$AE:$AE,Accounts!$B:$B,"none",Accounts!$AS:$AS, "Manufacturing (MWD)",Accounts!$E:$E,"QBDT") + SUMIFS(Accounts!$AP:$AP,Accounts!$B:$B,"none",Accounts!$AS:$AS, "Manufacturing (MWD)",Accounts!$E:$E,"QBDT")</f>
        <v>0</v>
      </c>
      <c r="DV4" s="59">
        <f>SUMIFS(Accounts!$Z:$Z,Accounts!$B:$B,"none",Accounts!$AS:$AS, "Manufacturing (MWD)",Accounts!$E:$E,"QBDT")</f>
        <v>0</v>
      </c>
      <c r="DW4" s="43">
        <f>SUMIFS(Accounts!$AG:$AG,Accounts!$B:$B,"none",Accounts!$AS:$AS, "Manufacturing (MWD)",Accounts!$E:$E,"QBDT") + SUMIFS(Accounts!$AL:$AL,Accounts!$B:$B,"none",Accounts!$AS:$AS, "Manufacturing (MWD)",Accounts!$E:$E,"QBDT")</f>
        <v>0</v>
      </c>
      <c r="DX4" s="59">
        <f>SUMIFS(Accounts!$AQ:$AQ,Accounts!$B:$B,"none",Accounts!$AS:$AS, "Manufacturing (MWD)",Accounts!$E:$E,"QBDT")</f>
        <v>0</v>
      </c>
      <c r="DY4" s="38" t="e">
        <f>((DY22+DY25)/((DY21*$C$2)+(0.5*DY24*$C$2)))*$C$2</f>
        <v>#VALUE!</v>
      </c>
      <c r="DZ4" s="43">
        <f>COUNTIFS(Accounts!$AS:$AS, "Wholesale and distribution services (MWD)",Accounts!$B:$B,"none",Accounts!$E:$E,"QBDT")</f>
        <v>0</v>
      </c>
      <c r="EA4" s="37">
        <f>COUNTIFS(Accounts!$AS:$AS, "Wholesale and distribution services (MWD)",Accounts!$B:$B,"Customer",Accounts!$E:$E,"QBDT")</f>
        <v>0</v>
      </c>
      <c r="EB4" s="41">
        <f>SUMIFS(Accounts!$I:$I,Accounts!$AS:$AS, "Wholesale and distribution services (MWD)",Accounts!$E:$E,"QBDT")</f>
        <v>0</v>
      </c>
      <c r="EC4" s="41">
        <f>SUMIFS(Accounts!$N:$N,Accounts!$AS:$AS, "Wholesale and distribution services (MWD)",Accounts!$E:$E,"QBDT")</f>
        <v>0</v>
      </c>
      <c r="ED4" s="41" t="e">
        <f>EB4/(EA4+DY24)</f>
        <v>#DIV/0!</v>
      </c>
      <c r="EE4" s="41" t="e">
        <f>(EB4+EC4)/(EA4+DY24)</f>
        <v>#DIV/0!</v>
      </c>
      <c r="EF4" s="41" t="e">
        <f>DY20*ED4</f>
        <v>#VALUE!</v>
      </c>
      <c r="EG4" s="41" t="e">
        <f>AVERAGEIFS(Accounts!$AY:$AY,Accounts!$AS:$AS, "Wholesale and distribution services (MWD)",Accounts!$B:$B,"Customer",Accounts!$AY:$AY,"&gt;0",Accounts!$E:$E,"QBDT")</f>
        <v>#DIV/0!</v>
      </c>
      <c r="EH4" s="37" t="e">
        <f>AVERAGEIFS(Accounts!$AX:$AX,Accounts!$AS:$AS, "Wholesale and distribution services (MWD)",Accounts!$B:$B,"Customer",Accounts!$AX:$AX,"&gt;0",Accounts!$E:$E,"QBDT")</f>
        <v>#DIV/0!</v>
      </c>
      <c r="EI4" s="41" t="e">
        <f>AVERAGEIFS(Accounts!$AY:$AY,Accounts!$AS:$AS, "Wholesale and distribution services (MWD)",Accounts!$B:$B,"none",Accounts!$AY:$AY,"&gt;0",Accounts!$E:$E,"QBDT")</f>
        <v>#DIV/0!</v>
      </c>
      <c r="EJ4" s="37" t="e">
        <f>AVERAGEIFS(Accounts!$AX:$AX,Accounts!$AS:$AS, "Wholesale and distribution services (MWD)",Accounts!$B:$B,"none",Accounts!$AX:$AX,"&gt;0",Accounts!$E:$E,"QBDT")</f>
        <v>#DIV/0!</v>
      </c>
      <c r="EK4" s="59">
        <f>SUMIFS(Accounts!$AA:$AA,Accounts!$B:$B,"Customer",Accounts!$AS:$AS, "Wholesale and distribution services (MWD)",Accounts!$E:$E,"QBDT") + SUMIFS(Accounts!$AH:$AH,Accounts!$B:$B,"Customer",Accounts!$AS:$AS, "Wholesale and distribution services (MWD)",Accounts!$E:$E,"QBDT") + SUMIFS(Accounts!$AJ:$AJ,Accounts!$B:$B,"Customer",Accounts!$AS:$AS, "Wholesale and distribution services (MWD)",Accounts!$E:$E,"QBDT") + SUMIFS(Accounts!$AI:$AI,Accounts!$B:$B,"Customer",Accounts!$AS:$AS, "Wholesale and distribution services (MWD)",Accounts!$E:$E,"QBDT") + SUMIFS(Accounts!$AO:$AO,Accounts!$B:$B,"Customer",Accounts!$AS:$AS, "Wholesale and distribution services (MWD)",Accounts!$E:$E,"QBDT")</f>
        <v>0</v>
      </c>
      <c r="EL4" s="59">
        <f>(SUMIFS(Accounts!$AC:$AC,Accounts!$B:$B,"Customer",Accounts!$AS:$AS, "Wholesale and distribution services (MWD)",Accounts!$E:$E,"QBDT")+SUMIFS(Accounts!$AF:$AF,Accounts!$B:$B,"Customer",Accounts!$AS:$AS, "Wholesale and distribution services (MWD)",Accounts!$E:$E,"QBDT")+SUMIFS(Accounts!$AK:$AK,Accounts!$B:$B,"Customer",Accounts!$AS:$AS, "Wholesale and distribution services (MWD)",Accounts!$E:$E,"QBDT"))</f>
        <v>0</v>
      </c>
      <c r="EM4" s="59">
        <f>SUMIFS(Accounts!$AB:$AB,Accounts!$B:$B,"Customer",Accounts!$AS:$AS, "Wholesale and distribution services (MWD)",Accounts!$E:$E,"QBDT")</f>
        <v>0</v>
      </c>
      <c r="EN4" s="59">
        <f>SUMIFS(Accounts!$AD:$AD,Accounts!$B:$B,"Customer",Accounts!$AS:$AS, "Wholesale and distribution services (MWD)",Accounts!$E:$E,"QBDT")+SUMIFS(Accounts!$AM:$AM,Accounts!$B:$B,"Customer",Accounts!$AS:$AS, "Wholesale and distribution services (MWD)",Accounts!$E:$E,"QBDT")+SUMIFS(Accounts!$AN:$AN,Accounts!$B:$B,"Customer",Accounts!$AS:$AS, "Wholesale and distribution services (MWD)",Accounts!$E:$E,"QBDT")</f>
        <v>0</v>
      </c>
      <c r="EO4" s="59">
        <f>SUMIFS(Accounts!$AE:$AE,Accounts!$B:$B,"Customer",Accounts!$AS:$AS, "Wholesale and distribution services (MWD)",Accounts!$E:$E,"QBDT") + SUMIFS(Accounts!$AP:$AP,Accounts!$B:$B,"Customer",Accounts!$AS:$AS, "Wholesale and distribution services (MWD)",Accounts!$E:$E,"QBDT")</f>
        <v>0</v>
      </c>
      <c r="EP4" s="59">
        <f>SUMIFS(Accounts!$Z:$Z,Accounts!$B:$B,"Customer",Accounts!$AS:$AS, "Wholesale and distribution services (MWD)",Accounts!$E:$E,"QBDT")</f>
        <v>0</v>
      </c>
      <c r="EQ4" s="59">
        <f>SUMIFS(Accounts!$AG:$AG,Accounts!$B:$B,"Customer",Accounts!$AS:$AS, "Wholesale and distribution services (MWD)",Accounts!$E:$E,"QBDT") + SUMIFS(Accounts!$AL:$AL,Accounts!$B:$B,"Customer",Accounts!$AS:$AS, "Wholesale and distribution services (MWD)",Accounts!$E:$E,"QBDT")</f>
        <v>0</v>
      </c>
      <c r="ER4" s="59">
        <f>SUMIFS(Accounts!$AQ:$AQ,Accounts!$B:$B,"Customer",Accounts!$AS:$AS, "Wholesale and distribution services (MWD)",Accounts!$E:$E,"QBDT")</f>
        <v>0</v>
      </c>
      <c r="ES4" s="59">
        <f>SUMIFS(Accounts!$AA:$AA,Accounts!$B:$B,"none",Accounts!$AS:$AS, "Wholesale and distribution services (MWD)",Accounts!$E:$E,"QBDT") + SUMIFS(Accounts!$AH:$AH,Accounts!$B:$B,"none",Accounts!$AS:$AS, "Wholesale and distribution services (MWD)",Accounts!$E:$E,"QBDT") + SUMIFS(Accounts!$AJ:$AJ,Accounts!$B:$B,"none",Accounts!$AS:$AS, "Wholesale and distribution services (MWD)",Accounts!$E:$E,"QBDT") + SUMIFS(Accounts!$AI:$AI,Accounts!$B:$B,"none",Accounts!$AS:$AS, "Wholesale and distribution services (MWD)",Accounts!$E:$E,"QBDT") + SUMIFS(Accounts!$AO:$AO,Accounts!$B:$B,"none",Accounts!$AS:$AS, "Wholesale and distribution services (MWD)",Accounts!$E:$E,"QBDT")</f>
        <v>0</v>
      </c>
      <c r="ET4" s="59">
        <f>(SUMIFS(Accounts!$AC:$AC,Accounts!$B:$B,"none",Accounts!$AS:$AS, "Wholesale and distribution services (MWD)",Accounts!$E:$E,"QBDT")+SUMIFS(Accounts!$AF:$AF,Accounts!$B:$B,"none",Accounts!$AS:$AS, "Wholesale and distribution services (MWD)",Accounts!$E:$E,"QBDT")+SUMIFS(Accounts!$AK:$AK,Accounts!$B:$B,"none",Accounts!$AS:$AS, "Wholesale and distribution services (MWD)",Accounts!$E:$E,"QBDT"))</f>
        <v>0</v>
      </c>
      <c r="EU4" s="59">
        <f>SUMIFS(Accounts!$AB:$AB,Accounts!$B:$B,"none",Accounts!$AS:$AS, "Wholesale and distribution services (MWD)",Accounts!$E:$E,"QBDT")</f>
        <v>0</v>
      </c>
      <c r="EV4" s="59">
        <f>SUMIFS(Accounts!$AD:$AD,Accounts!$B:$B,"none",Accounts!$AS:$AS, "Wholesale and distribution services (MWD)",Accounts!$E:$E,"QBDT")+SUMIFS(Accounts!$AM:$AM,Accounts!$B:$B,"none",Accounts!$AS:$AS, "Wholesale and distribution services (MWD)",Accounts!$E:$E,"QBDT")+SUMIFS(Accounts!$AN:$AN,Accounts!$B:$B,"none",Accounts!$AS:$AS, "Wholesale and distribution services (MWD)",Accounts!$E:$E,"QBDT")</f>
        <v>0</v>
      </c>
      <c r="EW4" s="43">
        <f>SUMIFS(Accounts!$AE:$AE,Accounts!$B:$B,"none",Accounts!$AS:$AS, "Wholesale and distribution services (MWD)",Accounts!$E:$E,"QBDT") + SUMIFS(Accounts!$AP:$AP,Accounts!$B:$B,"none",Accounts!$AS:$AS, "Wholesale and distribution services (MWD)",Accounts!$E:$E,"QBDT")</f>
        <v>0</v>
      </c>
      <c r="EX4" s="59">
        <f>SUMIFS(Accounts!$Z:$Z,Accounts!$B:$B,"none",Accounts!$AS:$AS, "Wholesale and distribution services (MWD)",Accounts!$E:$E,"QBDT")</f>
        <v>0</v>
      </c>
      <c r="EY4" s="43">
        <f>SUMIFS(Accounts!$AG:$AG,Accounts!$B:$B,"none",Accounts!$AS:$AS, "Wholesale and distribution services (MWD)",Accounts!$E:$E,"QBDT") + SUMIFS(Accounts!$AL:$AL,Accounts!$B:$B,"none",Accounts!$AS:$AS, "Wholesale and distribution services (MWD)",Accounts!$E:$E,"QBDT")</f>
        <v>0</v>
      </c>
      <c r="EZ4" s="59">
        <f>SUMIFS(Accounts!$AQ:$AQ,Accounts!$B:$B,"none",Accounts!$AS:$AS, "Wholesale and distribution services (MWD)",Accounts!$E:$E,"QBDT")</f>
        <v>0</v>
      </c>
      <c r="FA4" s="38" t="e">
        <f>((FA22+FA25)/((FA21*$C$2)+(0.5*FA24*$C$2)))*$C$2</f>
        <v>#VALUE!</v>
      </c>
      <c r="FB4" s="43">
        <f>COUNTIFS(Accounts!$AS:$AS, "Construction",Accounts!$B:$B,"none",Accounts!$E:$E,"QBDT")</f>
        <v>0</v>
      </c>
      <c r="FC4" s="37">
        <f>COUNTIFS(Accounts!$AS:$AS, "Construction",Accounts!$B:$B,"Customer",Accounts!$E:$E,"QBDT")</f>
        <v>0</v>
      </c>
      <c r="FD4" s="41">
        <f>SUMIFS(Accounts!$I:$I,Accounts!$AS:$AS, "Construction",Accounts!$E:$E,"QBDT")</f>
        <v>0</v>
      </c>
      <c r="FE4" s="41">
        <f>SUMIFS(Accounts!$N:$N,Accounts!$AS:$AS, "Construction",Accounts!$E:$E,"QBDT")</f>
        <v>0</v>
      </c>
      <c r="FF4" s="41" t="e">
        <f>FD4/(FC4+FA24)</f>
        <v>#DIV/0!</v>
      </c>
      <c r="FG4" s="41" t="e">
        <f>(FD4+FE4)/(FC4+FA24)</f>
        <v>#DIV/0!</v>
      </c>
      <c r="FH4" s="41" t="e">
        <f>FA20*FF4</f>
        <v>#VALUE!</v>
      </c>
      <c r="FI4" s="41" t="e">
        <f>AVERAGEIFS(Accounts!$AY:$AY,Accounts!$AS:$AS, "Construction",Accounts!$B:$B,"Customer",Accounts!$AY:$AY,"&gt;0",Accounts!$E:$E,"QBDT")</f>
        <v>#DIV/0!</v>
      </c>
      <c r="FJ4" s="37" t="e">
        <f>AVERAGEIFS(Accounts!$AX:$AX,Accounts!$AS:$AS, "Construction",Accounts!$B:$B,"Customer",Accounts!$AX:$AX,"&gt;0",Accounts!$E:$E,"QBDT")</f>
        <v>#DIV/0!</v>
      </c>
      <c r="FK4" s="41" t="e">
        <f>AVERAGEIFS(Accounts!$AY:$AY,Accounts!$AS:$AS, "Construction",Accounts!$B:$B,"none",Accounts!$AY:$AY,"&gt;0",Accounts!$E:$E,"QBDT")</f>
        <v>#DIV/0!</v>
      </c>
      <c r="FL4" s="37" t="e">
        <f>AVERAGEIFS(Accounts!$AX:$AX,Accounts!$AS:$AS, "Construction",Accounts!$B:$B,"none",Accounts!$AX:$AX,"&gt;0",Accounts!$E:$E,"QBDT")</f>
        <v>#DIV/0!</v>
      </c>
      <c r="FM4" s="59">
        <f>SUMIFS(Accounts!$AA:$AA,Accounts!$B:$B,"Customer",Accounts!$AS:$AS, "Construction",Accounts!$E:$E,"QBDT") + SUMIFS(Accounts!$AH:$AH,Accounts!$B:$B,"Customer",Accounts!$AS:$AS, "Construction",Accounts!$E:$E,"QBDT") + SUMIFS(Accounts!$AJ:$AJ,Accounts!$B:$B,"Customer",Accounts!$AS:$AS, "Construction",Accounts!$E:$E,"QBDT") + SUMIFS(Accounts!$AI:$AI,Accounts!$B:$B,"Customer",Accounts!$AS:$AS, "Construction",Accounts!$E:$E,"QBDT") + SUMIFS(Accounts!$AO:$AO,Accounts!$B:$B,"Customer",Accounts!$AS:$AS, "Construction",Accounts!$E:$E,"QBDT")</f>
        <v>0</v>
      </c>
      <c r="FN4" s="59">
        <f>(SUMIFS(Accounts!$AC:$AC,Accounts!$B:$B,"Customer",Accounts!$AS:$AS, "Construction",Accounts!$E:$E,"QBDT")+SUMIFS(Accounts!$AF:$AF,Accounts!$B:$B,"Customer",Accounts!$AS:$AS, "Construction",Accounts!$E:$E,"QBDT")+SUMIFS(Accounts!$AK:$AK,Accounts!$B:$B,"Customer",Accounts!$AS:$AS, "Construction",Accounts!$E:$E,"QBDT"))</f>
        <v>0</v>
      </c>
      <c r="FO4" s="59">
        <f>SUMIFS(Accounts!$AB:$AB,Accounts!$B:$B,"Customer",Accounts!$AS:$AS, "Construction",Accounts!$E:$E,"QBDT")</f>
        <v>0</v>
      </c>
      <c r="FP4" s="59">
        <f>SUMIFS(Accounts!$AD:$AD,Accounts!$B:$B,"Customer",Accounts!$AS:$AS, "Construction",Accounts!$E:$E,"QBDT")+SUMIFS(Accounts!$AM:$AM,Accounts!$B:$B,"Customer",Accounts!$AS:$AS, "Construction",Accounts!$E:$E,"QBDT")+SUMIFS(Accounts!$AN:$AN,Accounts!$B:$B,"Customer",Accounts!$AS:$AS, "Construction",Accounts!$E:$E,"QBDT")</f>
        <v>0</v>
      </c>
      <c r="FQ4" s="59">
        <f>SUMIFS(Accounts!$AE:$AE,Accounts!$B:$B,"Customer",Accounts!$AS:$AS, "Construction",Accounts!$E:$E,"QBDT") + SUMIFS(Accounts!$AP:$AP,Accounts!$B:$B,"Customer",Accounts!$AS:$AS, "Construction",Accounts!$E:$E,"QBDT")</f>
        <v>0</v>
      </c>
      <c r="FR4" s="59">
        <f>SUMIFS(Accounts!$Z:$Z,Accounts!$B:$B,"Customer",Accounts!$AS:$AS, "Construction",Accounts!$E:$E,"QBDT")</f>
        <v>0</v>
      </c>
      <c r="FS4" s="59">
        <f>SUMIFS(Accounts!$AG:$AG,Accounts!$B:$B,"Customer",Accounts!$AS:$AS, "Construction",Accounts!$E:$E,"QBDT") + SUMIFS(Accounts!$AL:$AL,Accounts!$B:$B,"Customer",Accounts!$AS:$AS, "Construction",Accounts!$E:$E,"QBDT")</f>
        <v>0</v>
      </c>
      <c r="FT4" s="59">
        <f>SUMIFS(Accounts!$AQ:$AQ,Accounts!$B:$B,"Customer",Accounts!$AS:$AS, "Construction",Accounts!$E:$E,"QBDT")</f>
        <v>0</v>
      </c>
      <c r="FU4" s="59">
        <f>SUMIFS(Accounts!$AA:$AA,Accounts!$B:$B,"none",Accounts!$AS:$AS, "Construction",Accounts!$E:$E,"QBDT") + SUMIFS(Accounts!$AH:$AH,Accounts!$B:$B,"none",Accounts!$AS:$AS, "Construction",Accounts!$E:$E,"QBDT") + SUMIFS(Accounts!$AJ:$AJ,Accounts!$B:$B,"none",Accounts!$AS:$AS, "Construction",Accounts!$E:$E,"QBDT") + SUMIFS(Accounts!$AI:$AI,Accounts!$B:$B,"none",Accounts!$AS:$AS, "Construction",Accounts!$E:$E,"QBDT") + SUMIFS(Accounts!$AO:$AO,Accounts!$B:$B,"none",Accounts!$AS:$AS, "Construction",Accounts!$E:$E,"QBDT")</f>
        <v>0</v>
      </c>
      <c r="FV4" s="59">
        <f>(SUMIFS(Accounts!$AC:$AC,Accounts!$B:$B,"none",Accounts!$AS:$AS, "Construction",Accounts!$E:$E,"QBDT")+SUMIFS(Accounts!$AF:$AF,Accounts!$B:$B,"none",Accounts!$AS:$AS, "Construction",Accounts!$E:$E,"QBDT")+SUMIFS(Accounts!$AK:$AK,Accounts!$B:$B,"none",Accounts!$AS:$AS, "Construction",Accounts!$E:$E,"QBDT"))</f>
        <v>0</v>
      </c>
      <c r="FW4" s="59">
        <f>SUMIFS(Accounts!$AB:$AB,Accounts!$B:$B,"none",Accounts!$AS:$AS, "Construction",Accounts!$E:$E,"QBDT")</f>
        <v>0</v>
      </c>
      <c r="FX4" s="59">
        <f>SUMIFS(Accounts!$AD:$AD,Accounts!$B:$B,"none",Accounts!$AS:$AS, "Construction",Accounts!$E:$E,"QBDT")+SUMIFS(Accounts!$AM:$AM,Accounts!$B:$B,"none",Accounts!$AS:$AS, "Construction",Accounts!$E:$E,"QBDT")+SUMIFS(Accounts!$AN:$AN,Accounts!$B:$B,"none",Accounts!$AS:$AS, "Construction",Accounts!$E:$E,"QBDT")</f>
        <v>0</v>
      </c>
      <c r="FY4" s="43">
        <f>SUMIFS(Accounts!$AE:$AE,Accounts!$B:$B,"none",Accounts!$AS:$AS, "Construction",Accounts!$E:$E,"QBDT") + SUMIFS(Accounts!$AP:$AP,Accounts!$B:$B,"none",Accounts!$AS:$AS, "Construction",Accounts!$E:$E,"QBDT")</f>
        <v>0</v>
      </c>
      <c r="FZ4" s="59">
        <f>SUMIFS(Accounts!$Z:$Z,Accounts!$B:$B,"none",Accounts!$AS:$AS, "Construction",Accounts!$E:$E,"QBDT")</f>
        <v>0</v>
      </c>
      <c r="GA4" s="43">
        <f>SUMIFS(Accounts!$AG:$AG,Accounts!$B:$B,"none",Accounts!$AS:$AS, "Construction",Accounts!$E:$E,"QBDT") + SUMIFS(Accounts!$AL:$AL,Accounts!$B:$B,"none",Accounts!$AS:$AS, "Construction",Accounts!$E:$E,"QBDT")</f>
        <v>0</v>
      </c>
      <c r="GB4" s="59">
        <f>SUMIFS(Accounts!$AQ:$AQ,Accounts!$B:$B,"none",Accounts!$AS:$AS, "Construction",Accounts!$E:$E,"QBDT")</f>
        <v>0</v>
      </c>
      <c r="GC4" s="38" t="e">
        <f>((GC22+GC25)/((GC21*$C$2)+(0.5*GC24*$C$2)))*$C$2</f>
        <v>#VALUE!</v>
      </c>
      <c r="GD4" s="43">
        <f>COUNTIFS(Accounts!$AS:$AS, "Field Services",Accounts!$B:$B,"none",Accounts!$E:$E,"QBDT")</f>
        <v>0</v>
      </c>
      <c r="GE4" s="37">
        <f>COUNTIFS(Accounts!$AS:$AS, "Field Services",Accounts!$B:$B,"Customer",Accounts!$E:$E,"QBDT")</f>
        <v>0</v>
      </c>
      <c r="GF4" s="41">
        <f>SUMIFS(Accounts!$I:$I,Accounts!$AS:$AS, "Field Services",Accounts!$E:$E,"QBDT")</f>
        <v>0</v>
      </c>
      <c r="GG4" s="41">
        <f>SUMIFS(Accounts!$N:$N,Accounts!$AS:$AS, "Field Services",Accounts!$E:$E,"QBDT")</f>
        <v>0</v>
      </c>
      <c r="GH4" s="41" t="e">
        <f>GF4/(GE4+GC24)</f>
        <v>#DIV/0!</v>
      </c>
      <c r="GI4" s="41" t="e">
        <f>(GF4+GG4)/(GE4+GC24)</f>
        <v>#DIV/0!</v>
      </c>
      <c r="GJ4" s="41" t="e">
        <f>GC20*GH4</f>
        <v>#VALUE!</v>
      </c>
      <c r="GK4" s="41">
        <f>IFERROR(AVERAGEIFS(Accounts!$AY:$AY,Accounts!$AS:$AS, "Field Services",Accounts!$B:$B,"Customer",Accounts!$AY:$AY,"&gt;0",Accounts!$E:$E,"QBDT"),0)</f>
        <v>0</v>
      </c>
      <c r="GL4" s="37">
        <f>IFERROR(AVERAGEIFS(Accounts!$AX:$AX,Accounts!$AS:$AS, "Field Services",Accounts!$B:$B,"Customer",Accounts!$AX:$AX,"&gt;0",Accounts!$E:$E,"QBDT"),0)</f>
        <v>0</v>
      </c>
      <c r="GM4" s="41">
        <f>IFERROR(AVERAGEIFS(Accounts!$AY:$AY,Accounts!$AS:$AS,"Field Services",Accounts!$B:$B,"none",Accounts!$AY:$AY,"&gt;0",Accounts!$E:$E,"QBDT"),0)</f>
        <v>0</v>
      </c>
      <c r="GN4" s="37">
        <f>IFERROR(AVERAGEIFS(Accounts!$AX:$AX,Accounts!$AS:$AS,"Field Services",Accounts!$B:$B,"none",Accounts!$AX:$AX,"&gt;0",Accounts!$E:$E,"QBDT"),0)</f>
        <v>0</v>
      </c>
      <c r="GO4" s="59">
        <f>SUMIFS(Accounts!$AA:$AA,Accounts!$B:$B,"Customer",Accounts!$AS:$AS, "Field Services",Accounts!$E:$E,"QBDT") + SUMIFS(Accounts!$AH:$AH,Accounts!$B:$B,"Customer",Accounts!$AS:$AS, "Field Services",Accounts!$E:$E,"QBDT") + SUMIFS(Accounts!$AJ:$AJ,Accounts!$B:$B,"Customer",Accounts!$AS:$AS, "Field Services",Accounts!$E:$E,"QBDT") + SUMIFS(Accounts!$AI:$AI,Accounts!$B:$B,"Customer",Accounts!$AS:$AS, "Field Services",Accounts!$E:$E,"QBDT") + SUMIFS(Accounts!$AO:$AO,Accounts!$B:$B,"Customer",Accounts!$AS:$AS, "Field Services",Accounts!$E:$E,"QBDT")</f>
        <v>0</v>
      </c>
      <c r="GP4" s="59">
        <f>(SUMIFS(Accounts!$AC:$AC,Accounts!$B:$B,"Customer",Accounts!$AS:$AS, "Field Services",Accounts!$E:$E,"QBDT")+SUMIFS(Accounts!$AF:$AF,Accounts!$B:$B,"Customer",Accounts!$AS:$AS, "Field Services",Accounts!$E:$E,"QBDT")+SUMIFS(Accounts!$AK:$AK,Accounts!$B:$B,"Customer",Accounts!$AS:$AS, "Field Services",Accounts!$E:$E,"QBDT"))</f>
        <v>0</v>
      </c>
      <c r="GQ4" s="59">
        <f>SUMIFS(Accounts!$AB:$AB,Accounts!$B:$B,"Customer",Accounts!$AS:$AS, "Field Services",Accounts!$E:$E,"QBDT")</f>
        <v>0</v>
      </c>
      <c r="GR4" s="59">
        <f>SUMIFS(Accounts!$AD:$AD,Accounts!$B:$B,"Customer",Accounts!$AS:$AS, "Field Services",Accounts!$E:$E,"QBDT")+SUMIFS(Accounts!$AM:$AM,Accounts!$B:$B,"Customer",Accounts!$AS:$AS, "Field Services",Accounts!$E:$E,"QBDT")+SUMIFS(Accounts!$AN:$AN,Accounts!$B:$B,"Customer",Accounts!$AS:$AS, "Field Services",Accounts!$E:$E,"QBDT")</f>
        <v>0</v>
      </c>
      <c r="GS4" s="59">
        <f>SUMIFS(Accounts!$AE:$AE,Accounts!$B:$B,"Customer",Accounts!$AS:$AS, "Field Services",Accounts!$E:$E,"QBDT") + SUMIFS(Accounts!$AP:$AP,Accounts!$B:$B,"Customer",Accounts!$AS:$AS, "Field Services",Accounts!$E:$E,"QBDT")</f>
        <v>0</v>
      </c>
      <c r="GT4" s="59">
        <f>SUMIFS(Accounts!$Z:$Z,Accounts!$B:$B,"Customer",Accounts!$AS:$AS, "Field Services",Accounts!$E:$E,"QBDT")</f>
        <v>0</v>
      </c>
      <c r="GU4" s="59">
        <f>SUMIFS(Accounts!$AG:$AG,Accounts!$B:$B,"Customer",Accounts!$AS:$AS, "Field Services",Accounts!$E:$E,"QBDT") + SUMIFS(Accounts!$AL:$AL,Accounts!$B:$B,"Customer",Accounts!$AS:$AS, "Field Services",Accounts!$E:$E,"QBDT")</f>
        <v>0</v>
      </c>
      <c r="GV4" s="59">
        <f>SUMIFS(Accounts!$AQ:$AQ,Accounts!$B:$B,"Customer",Accounts!$AS:$AS, "Field Services",Accounts!$E:$E,"QBDT")</f>
        <v>0</v>
      </c>
      <c r="GW4" s="59">
        <f>SUMIFS(Accounts!$AA:$AA,Accounts!$B:$B,"none",Accounts!$AS:$AS, "Field Services",Accounts!$E:$E,"QBDT") + SUMIFS(Accounts!$AH:$AH,Accounts!$B:$B,"none",Accounts!$AS:$AS, "Field Services",Accounts!$E:$E,"QBDT") + SUMIFS(Accounts!$AJ:$AJ,Accounts!$B:$B,"none",Accounts!$AS:$AS, "Field Services",Accounts!$E:$E,"QBDT") + SUMIFS(Accounts!$AI:$AI,Accounts!$B:$B,"none",Accounts!$AS:$AS, "Field Services",Accounts!$E:$E,"QBDT") + SUMIFS(Accounts!$AO:$AO,Accounts!$B:$B,"none",Accounts!$AS:$AS, "Field Services",Accounts!$E:$E,"QBDT")</f>
        <v>0</v>
      </c>
      <c r="GX4" s="59">
        <f>(SUMIFS(Accounts!$AC:$AC,Accounts!$B:$B,"none",Accounts!$AS:$AS, "Field Services",Accounts!$E:$E,"QBDT")+SUMIFS(Accounts!$AF:$AF,Accounts!$B:$B,"none",Accounts!$AS:$AS, "Field Services",Accounts!$E:$E,"QBDT")+SUMIFS(Accounts!$AK:$AK,Accounts!$B:$B,"none",Accounts!$AS:$AS, "Field Services",Accounts!$E:$E,"QBDT"))</f>
        <v>0</v>
      </c>
      <c r="GY4" s="59">
        <f>SUMIFS(Accounts!$AB:$AB,Accounts!$B:$B,"none",Accounts!$AS:$AS, "Field Services",Accounts!$E:$E,"QBDT")</f>
        <v>0</v>
      </c>
      <c r="GZ4" s="59">
        <f>SUMIFS(Accounts!$AD:$AD,Accounts!$B:$B,"none",Accounts!$AS:$AS, "Field Services",Accounts!$E:$E,"QBDT")+SUMIFS(Accounts!$AM:$AM,Accounts!$B:$B,"none",Accounts!$AS:$AS, "Field Services",Accounts!$E:$E,"QBDT")+SUMIFS(Accounts!$AN:$AN,Accounts!$B:$B,"none",Accounts!$AS:$AS, "Field Services",Accounts!$E:$E,"QBDT")</f>
        <v>0</v>
      </c>
      <c r="HA4" s="43">
        <f>SUMIFS(Accounts!$AE:$AE,Accounts!$B:$B,"none",Accounts!$AS:$AS, "Field Services",Accounts!$E:$E,"QBDT") + SUMIFS(Accounts!$AP:$AP,Accounts!$B:$B,"none",Accounts!$AS:$AS, "Field Services",Accounts!$E:$E,"QBDT")</f>
        <v>0</v>
      </c>
      <c r="HB4" s="59">
        <f>SUMIFS(Accounts!$Z:$Z,Accounts!$B:$B,"none",Accounts!$AS:$AS, "Field Services",Accounts!$E:$E,"QBDT")</f>
        <v>0</v>
      </c>
      <c r="HC4" s="43">
        <f>SUMIFS(Accounts!$AG:$AG,Accounts!$B:$B,"none",Accounts!$AS:$AS, "Field Services",Accounts!$E:$E,"QBDT") + SUMIFS(Accounts!$AL:$AL,Accounts!$B:$B,"none",Accounts!$AS:$AS, "Field Services",Accounts!$E:$E,"QBDT")</f>
        <v>0</v>
      </c>
      <c r="HD4" s="59">
        <f>SUMIFS(Accounts!$AQ:$AQ,Accounts!$B:$B,"none",Accounts!$AS:$AS, "Field Services",Accounts!$E:$E,"QBDT")</f>
        <v>0</v>
      </c>
      <c r="HE4" s="38" t="e">
        <f>((HE22+HE25)/((HE21*$C$2)+(0.5*HE24*$C$2)))*$C$2</f>
        <v>#VALUE!</v>
      </c>
      <c r="HF4" s="43">
        <f>COUNTIFS(Accounts!$AS:$AS, "Consulting and Professional Services",Accounts!$B:$B,"none",Accounts!$E:$E,"QBDT")</f>
        <v>0</v>
      </c>
      <c r="HG4" s="37">
        <f>COUNTIFS(Accounts!$AS:$AS, "Consulting and Professional Services",Accounts!$B:$B,"Customer",Accounts!$E:$E,"QBDT")</f>
        <v>0</v>
      </c>
      <c r="HH4" s="41">
        <f>SUMIFS(Accounts!$I:$I,Accounts!$AS:$AS, "Consulting and Professional Services",Accounts!$E:$E,"QBDT")</f>
        <v>0</v>
      </c>
      <c r="HI4" s="41">
        <f>SUMIFS(Accounts!$N:$N,Accounts!$AS:$AS, "Consulting and Professional Services",Accounts!$E:$E,"QBDT")</f>
        <v>0</v>
      </c>
      <c r="HJ4" s="41" t="e">
        <f>HH4/(HG4+HE24)</f>
        <v>#DIV/0!</v>
      </c>
      <c r="HK4" s="41" t="e">
        <f>(HH4+HI4)/(HG4+HE24)</f>
        <v>#DIV/0!</v>
      </c>
      <c r="HL4" s="41" t="e">
        <f>HE20*HJ4</f>
        <v>#VALUE!</v>
      </c>
      <c r="HM4" s="41">
        <f>IFERROR(AVERAGEIFS(Accounts!$AY:$AY,Accounts!$AS:$AS, "Consulting and Professional Services",Accounts!$B:$B,"Customer",Accounts!$AY:$AY,"&gt;0",Accounts!$E:$E,"QBDT"),0)</f>
        <v>0</v>
      </c>
      <c r="HN4" s="37">
        <f>IFERROR(AVERAGEIFS(Accounts!$AX:$AX,Accounts!$AS:$AS, "Consulting and Professional Services",Accounts!$B:$B,"Customer",Accounts!$AX:$AX,"&gt;0",Accounts!$E:$E,"QBDT"),0)</f>
        <v>0</v>
      </c>
      <c r="HO4" s="41">
        <f>IFERROR(AVERAGEIFS(Accounts!$AY:$AY,Accounts!$AS:$AS,"Consulting and Professional Services",Accounts!$B:$B,"none",Accounts!$AY:$AY,"&gt;0",Accounts!$E:$E,"QBDT"),0)</f>
        <v>0</v>
      </c>
      <c r="HP4" s="37">
        <f>IFERROR(AVERAGEIFS(Accounts!$AX:$AX,Accounts!$AS:$AS,"Consulting and Professional Services",Accounts!$B:$B,"none",Accounts!$AX:$AX,"&gt;0",Accounts!$E:$E,"QBDT"),0)</f>
        <v>0</v>
      </c>
      <c r="HQ4" s="59">
        <f>SUMIFS(Accounts!$AA:$AA,Accounts!$B:$B,"Customer",Accounts!$AS:$AS, "Consulting and Professional Services",Accounts!$E:$E,"QBDT") + SUMIFS(Accounts!$AH:$AH,Accounts!$B:$B,"Customer",Accounts!$AS:$AS, "Consulting and Professional Services",Accounts!$E:$E,"QBDT") + SUMIFS(Accounts!$AJ:$AJ,Accounts!$B:$B,"Customer",Accounts!$AS:$AS, "Consulting and Professional Services",Accounts!$E:$E,"QBDT") + SUMIFS(Accounts!$AI:$AI,Accounts!$B:$B,"Customer",Accounts!$AS:$AS, "Consulting and Professional Services",Accounts!$E:$E,"QBDT") + SUMIFS(Accounts!$AO:$AO,Accounts!$B:$B,"Customer",Accounts!$AS:$AS, "Consulting and Professional Services",Accounts!$E:$E,"QBDT")</f>
        <v>0</v>
      </c>
      <c r="HR4" s="59">
        <f>(SUMIFS(Accounts!$AC:$AC,Accounts!$B:$B,"Customer",Accounts!$AS:$AS, "Consulting and Professional Services",Accounts!$E:$E,"QBDT")+SUMIFS(Accounts!$AF:$AF,Accounts!$B:$B,"Customer",Accounts!$AS:$AS, "Consulting and Professional Services",Accounts!$E:$E,"QBDT")+SUMIFS(Accounts!$AK:$AK,Accounts!$B:$B,"Customer",Accounts!$AS:$AS, "Consulting and Professional Services",Accounts!$E:$E,"QBDT"))</f>
        <v>0</v>
      </c>
      <c r="HS4" s="59">
        <f>SUMIFS(Accounts!$AB:$AB,Accounts!$B:$B,"Customer",Accounts!$AS:$AS, "Consulting and Professional Services",Accounts!$E:$E,"QBDT")</f>
        <v>0</v>
      </c>
      <c r="HT4" s="59">
        <f>SUMIFS(Accounts!$AD:$AD,Accounts!$B:$B,"Customer",Accounts!$AS:$AS, "Consulting and Professional Services",Accounts!$E:$E,"QBDT")+SUMIFS(Accounts!$AM:$AM,Accounts!$B:$B,"Customer",Accounts!$AS:$AS, "Consulting and Professional Services",Accounts!$E:$E,"QBDT")+SUMIFS(Accounts!$AN:$AN,Accounts!$B:$B,"Customer",Accounts!$AS:$AS, "Consulting and Professional Services",Accounts!$E:$E,"QBDT")</f>
        <v>0</v>
      </c>
      <c r="HU4" s="59">
        <f>SUMIFS(Accounts!$AE:$AE,Accounts!$B:$B,"Customer",Accounts!$AS:$AS, "Consulting and Professional Services",Accounts!$E:$E,"QBDT") + SUMIFS(Accounts!$AP:$AP,Accounts!$B:$B,"Customer",Accounts!$AS:$AS, "Consulting and Professional Services",Accounts!$E:$E,"QBDT")</f>
        <v>0</v>
      </c>
      <c r="HV4" s="59">
        <f>SUMIFS(Accounts!$Z:$Z,Accounts!$B:$B,"Customer",Accounts!$AS:$AS, "Consulting and Professional Services",Accounts!$E:$E,"QBDT")</f>
        <v>0</v>
      </c>
      <c r="HW4" s="59">
        <f>SUMIFS(Accounts!$AG:$AG,Accounts!$B:$B,"Customer",Accounts!$AS:$AS, "Consulting and Professional Services",Accounts!$E:$E,"QBDT") + SUMIFS(Accounts!$AL:$AL,Accounts!$B:$B,"Customer",Accounts!$AS:$AS, "Consulting and Professional Services",Accounts!$E:$E,"QBDT")</f>
        <v>0</v>
      </c>
      <c r="HX4" s="59">
        <f>SUMIFS(Accounts!$AQ:$AQ,Accounts!$B:$B,"Customer",Accounts!$AS:$AS, "Consulting and Professional Services",Accounts!$E:$E,"QBDT")</f>
        <v>0</v>
      </c>
      <c r="HY4" s="59">
        <f>SUMIFS(Accounts!$AA:$AA,Accounts!$B:$B,"none",Accounts!$AS:$AS, "Consulting and Professional Services",Accounts!$E:$E,"QBDT") + SUMIFS(Accounts!$AH:$AH,Accounts!$B:$B,"none",Accounts!$AS:$AS, "Consulting and Professional Services",Accounts!$E:$E,"QBDT") + SUMIFS(Accounts!$AJ:$AJ,Accounts!$B:$B,"none",Accounts!$AS:$AS, "Consulting and Professional Services",Accounts!$E:$E,"QBDT") + SUMIFS(Accounts!$AI:$AI,Accounts!$B:$B,"none",Accounts!$AS:$AS, "Consulting and Professional Services",Accounts!$E:$E,"QBDT") + SUMIFS(Accounts!$AO:$AO,Accounts!$B:$B,"none",Accounts!$AS:$AS, "Consulting and Professional Services",Accounts!$E:$E,"QBDT")</f>
        <v>0</v>
      </c>
      <c r="HZ4" s="59">
        <f>(SUMIFS(Accounts!$AC:$AC,Accounts!$B:$B,"none",Accounts!$AS:$AS, "Consulting and Professional Services",Accounts!$E:$E,"QBDT")+SUMIFS(Accounts!$AF:$AF,Accounts!$B:$B,"none",Accounts!$AS:$AS, "Consulting and Professional Services",Accounts!$E:$E,"QBDT")+SUMIFS(Accounts!$AK:$AK,Accounts!$B:$B,"none",Accounts!$AS:$AS, "Consulting and Professional Services",Accounts!$E:$E,"QBDT"))</f>
        <v>0</v>
      </c>
      <c r="IA4" s="59">
        <f>SUMIFS(Accounts!$AB:$AB,Accounts!$B:$B,"none",Accounts!$AS:$AS, "Consulting and Professional Services",Accounts!$E:$E,"QBDT")</f>
        <v>0</v>
      </c>
      <c r="IB4" s="59">
        <f>SUMIFS(Accounts!$AD:$AD,Accounts!$B:$B,"none",Accounts!$AS:$AS, "Consulting and Professional Services",Accounts!$E:$E,"QBDT")+SUMIFS(Accounts!$AM:$AM,Accounts!$B:$B,"none",Accounts!$AS:$AS, "Consulting and Professional Services",Accounts!$E:$E,"QBDT")+SUMIFS(Accounts!$AN:$AN,Accounts!$B:$B,"none",Accounts!$AS:$AS, "Consulting and Professional Services",Accounts!$E:$E,"QBDT")</f>
        <v>0</v>
      </c>
      <c r="IC4" s="43">
        <f>SUMIFS(Accounts!$AE:$AE,Accounts!$B:$B,"none",Accounts!$AS:$AS, "Consulting and Professional Services",Accounts!$E:$E,"QBDT") + SUMIFS(Accounts!$AP:$AP,Accounts!$B:$B,"none",Accounts!$AS:$AS, "Consulting and Professional Services",Accounts!$E:$E,"QBDT")</f>
        <v>0</v>
      </c>
      <c r="ID4" s="59">
        <f>SUMIFS(Accounts!$Z:$Z,Accounts!$B:$B,"none",Accounts!$AS:$AS, "Consulting and Professional Services",Accounts!$E:$E,"QBDT")</f>
        <v>0</v>
      </c>
      <c r="IE4" s="43">
        <f>SUMIFS(Accounts!$AG:$AG,Accounts!$B:$B,"none",Accounts!$AS:$AS, "Consulting and Professional Services",Accounts!$E:$E,"QBDT") + SUMIFS(Accounts!$AL:$AL,Accounts!$B:$B,"none",Accounts!$AS:$AS, "Consulting and Professional Services",Accounts!$E:$E,"QBDT")</f>
        <v>0</v>
      </c>
      <c r="IF4" s="59">
        <f>SUMIFS(Accounts!$AQ:$AQ,Accounts!$B:$B,"none",Accounts!$AS:$AS, "Consulting and Professional Services",Accounts!$E:$E,"QBDT")</f>
        <v>0</v>
      </c>
      <c r="IG4" s="38" t="e">
        <f>((IG22+IG25)/((IG21*$C$2)+(0.5*IG24*$C$2)))*$C$2</f>
        <v>#VALUE!</v>
      </c>
      <c r="IH4" s="43">
        <f>COUNTIFS(Accounts!$AS:$AS, "Retail",Accounts!$B:$B,"none",Accounts!$E:$E,"QBDT")</f>
        <v>0</v>
      </c>
      <c r="II4" s="37">
        <f>COUNTIFS(Accounts!$AS:$AS, "Retail",Accounts!$B:$B,"Customer",Accounts!$E:$E,"QBDT")</f>
        <v>0</v>
      </c>
      <c r="IJ4" s="41">
        <f>SUMIFS(Accounts!$I:$I,Accounts!$AS:$AS, "Retail",Accounts!$E:$E,"QBDT")</f>
        <v>0</v>
      </c>
      <c r="IK4" s="41">
        <f>SUMIFS(Accounts!$N:$N,Accounts!$AS:$AS, "Retail",Accounts!$E:$E,"QBDT")</f>
        <v>0</v>
      </c>
      <c r="IL4" s="41" t="e">
        <f>IJ4/(II4+IG24)</f>
        <v>#DIV/0!</v>
      </c>
      <c r="IM4" s="41" t="e">
        <f>(IJ4+IK4)/(II4+IG24)</f>
        <v>#DIV/0!</v>
      </c>
      <c r="IN4" s="41" t="e">
        <f>IG20*IL4</f>
        <v>#VALUE!</v>
      </c>
      <c r="IO4" s="41">
        <f>IFERROR(AVERAGEIFS(Accounts!$AY:$AY,Accounts!$AS:$AS, "Retail",Accounts!$B:$B,"Customer",Accounts!$AY:$AY,"&gt;0",Accounts!$E:$E,"QBDT"),0)</f>
        <v>0</v>
      </c>
      <c r="IP4" s="37">
        <f>IFERROR(AVERAGEIFS(Accounts!$AX:$AX,Accounts!$AS:$AS, "Retail",Accounts!$B:$B,"Customer",Accounts!$AX:$AX,"&gt;0",Accounts!$E:$E,"QBDT"),0)</f>
        <v>0</v>
      </c>
      <c r="IQ4" s="41">
        <f>IFERROR(AVERAGEIFS(Accounts!$AY:$AY,Accounts!$AS:$AS,"Retail",Accounts!$B:$B,"none",Accounts!$AY:$AY,"&gt;0",Accounts!$E:$E,"QBDT"),0)</f>
        <v>0</v>
      </c>
      <c r="IR4" s="37">
        <f>IFERROR(AVERAGEIFS(Accounts!$AX:$AX,Accounts!$AS:$AS,"Retail",Accounts!$B:$B,"none",Accounts!$AX:$AX,"&gt;0",Accounts!$E:$E,"QBDT"),0)</f>
        <v>0</v>
      </c>
      <c r="IS4" s="59">
        <f>SUMIFS(Accounts!$AA:$AA,Accounts!$B:$B,"Customer",Accounts!$AS:$AS, "Retail",Accounts!$E:$E,"QBDT") + SUMIFS(Accounts!$AH:$AH,Accounts!$B:$B,"Customer",Accounts!$AS:$AS, "Retail",Accounts!$E:$E,"QBDT") + SUMIFS(Accounts!$AJ:$AJ,Accounts!$B:$B,"Customer",Accounts!$AS:$AS, "Retail",Accounts!$E:$E,"QBDT") + SUMIFS(Accounts!$AI:$AI,Accounts!$B:$B,"Customer",Accounts!$AS:$AS, "Retail",Accounts!$E:$E,"QBDT") + SUMIFS(Accounts!$AO:$AO,Accounts!$B:$B,"Customer",Accounts!$AS:$AS, "Retail",Accounts!$E:$E,"QBDT")</f>
        <v>0</v>
      </c>
      <c r="IT4" s="59">
        <f>(SUMIFS(Accounts!$AC:$AC,Accounts!$B:$B,"Customer",Accounts!$AS:$AS, "Retail",Accounts!$E:$E,"QBDT")+SUMIFS(Accounts!$AF:$AF,Accounts!$B:$B,"Customer",Accounts!$AS:$AS, "Retail",Accounts!$E:$E,"QBDT")+SUMIFS(Accounts!$AK:$AK,Accounts!$B:$B,"Customer",Accounts!$AS:$AS, "Retail",Accounts!$E:$E,"QBDT"))</f>
        <v>0</v>
      </c>
      <c r="IU4" s="59">
        <f>SUMIFS(Accounts!$AB:$AB,Accounts!$B:$B,"Customer",Accounts!$AS:$AS, "Retail",Accounts!$E:$E,"QBDT")</f>
        <v>0</v>
      </c>
      <c r="IV4" s="59">
        <f>SUMIFS(Accounts!$AD:$AD,Accounts!$B:$B,"Customer",Accounts!$AS:$AS, "Retail",Accounts!$E:$E,"QBDT")+SUMIFS(Accounts!$AM:$AM,Accounts!$B:$B,"Customer",Accounts!$AS:$AS, "Retail",Accounts!$E:$E,"QBDT")+SUMIFS(Accounts!$AN:$AN,Accounts!$B:$B,"Customer",Accounts!$AS:$AS, "Retail",Accounts!$E:$E,"QBDT")</f>
        <v>0</v>
      </c>
      <c r="IW4" s="59">
        <f>SUMIFS(Accounts!$AE:$AE,Accounts!$B:$B,"Customer",Accounts!$AS:$AS, "Retail",Accounts!$E:$E,"QBDT") + SUMIFS(Accounts!$AP:$AP,Accounts!$B:$B,"Customer",Accounts!$AS:$AS, "Retail",Accounts!$E:$E,"QBDT")</f>
        <v>0</v>
      </c>
      <c r="IX4" s="59">
        <f>SUMIFS(Accounts!$Z:$Z,Accounts!$B:$B,"Customer",Accounts!$AS:$AS, "Retail",Accounts!$E:$E,"QBDT")</f>
        <v>0</v>
      </c>
      <c r="IY4" s="59">
        <f>SUMIFS(Accounts!$AG:$AG,Accounts!$B:$B,"Customer",Accounts!$AS:$AS, "Retail",Accounts!$E:$E,"QBDT") + SUMIFS(Accounts!$AL:$AL,Accounts!$B:$B,"Customer",Accounts!$AS:$AS, "Retail",Accounts!$E:$E,"QBDT")</f>
        <v>0</v>
      </c>
      <c r="IZ4" s="59">
        <f>SUMIFS(Accounts!$AQ:$AQ,Accounts!$B:$B,"Customer",Accounts!$AS:$AS, "Retail",Accounts!$E:$E,"QBDT")</f>
        <v>0</v>
      </c>
      <c r="JA4" s="59">
        <f>SUMIFS(Accounts!$AA:$AA,Accounts!$B:$B,"none",Accounts!$AS:$AS, "Retail",Accounts!$E:$E,"QBDT") + SUMIFS(Accounts!$AH:$AH,Accounts!$B:$B,"none",Accounts!$AS:$AS, "Retail",Accounts!$E:$E,"QBDT") + SUMIFS(Accounts!$AJ:$AJ,Accounts!$B:$B,"none",Accounts!$AS:$AS, "Retail",Accounts!$E:$E,"QBDT") + SUMIFS(Accounts!$AI:$AI,Accounts!$B:$B,"none",Accounts!$AS:$AS, "Retail",Accounts!$E:$E,"QBDT") + SUMIFS(Accounts!$AO:$AO,Accounts!$B:$B,"none",Accounts!$AS:$AS, "Retail",Accounts!$E:$E,"QBDT")</f>
        <v>0</v>
      </c>
      <c r="JB4" s="59">
        <f>(SUMIFS(Accounts!$AC:$AC,Accounts!$B:$B,"none",Accounts!$AS:$AS, "Retail",Accounts!$E:$E,"QBDT")+SUMIFS(Accounts!$AF:$AF,Accounts!$B:$B,"none",Accounts!$AS:$AS, "Retail",Accounts!$E:$E,"QBDT")+SUMIFS(Accounts!$AK:$AK,Accounts!$B:$B,"none",Accounts!$AS:$AS, "Retail",Accounts!$E:$E,"QBDT"))</f>
        <v>0</v>
      </c>
      <c r="JC4" s="59">
        <f>SUMIFS(Accounts!$AB:$AB,Accounts!$B:$B,"none",Accounts!$AS:$AS, "Retail",Accounts!$E:$E,"QBDT")</f>
        <v>0</v>
      </c>
      <c r="JD4" s="59">
        <f>SUMIFS(Accounts!$AD:$AD,Accounts!$B:$B,"none",Accounts!$AS:$AS, "Retail",Accounts!$E:$E,"QBDT")+SUMIFS(Accounts!$AM:$AM,Accounts!$B:$B,"none",Accounts!$AS:$AS, "Retail",Accounts!$E:$E,"QBDT")+SUMIFS(Accounts!$AN:$AN,Accounts!$B:$B,"none",Accounts!$AS:$AS, "Retail",Accounts!$E:$E,"QBDT")</f>
        <v>0</v>
      </c>
      <c r="JE4" s="43">
        <f>SUMIFS(Accounts!$AE:$AE,Accounts!$B:$B,"none",Accounts!$AS:$AS, "Retail",Accounts!$E:$E,"QBDT") + SUMIFS(Accounts!$AP:$AP,Accounts!$B:$B,"none",Accounts!$AS:$AS, "Retail",Accounts!$E:$E,"QBDT")</f>
        <v>0</v>
      </c>
      <c r="JF4" s="59">
        <f>SUMIFS(Accounts!$Z:$Z,Accounts!$B:$B,"none",Accounts!$AS:$AS, "Retail",Accounts!$E:$E,"QBDT")</f>
        <v>0</v>
      </c>
      <c r="JG4" s="43">
        <f>SUMIFS(Accounts!$AG:$AG,Accounts!$B:$B,"none",Accounts!$AS:$AS, "Retail",Accounts!$E:$E,"QBDT") + SUMIFS(Accounts!$AL:$AL,Accounts!$B:$B,"none",Accounts!$AS:$AS, "Retail",Accounts!$E:$E,"QBDT")</f>
        <v>0</v>
      </c>
      <c r="JH4" s="59">
        <f>SUMIFS(Accounts!$AQ:$AQ,Accounts!$B:$B,"none",Accounts!$AS:$AS, "Retail",Accounts!$E:$E,"QBDT")</f>
        <v>0</v>
      </c>
      <c r="JI4" s="38" t="e">
        <f>((JI22+JI25)/((JI21*$C$2)+(0.5*JI24*$C$2)))*$C$2</f>
        <v>#VALUE!</v>
      </c>
      <c r="JJ4" s="43">
        <f>COUNTIFS(Accounts!$AS:$AS, "Non-profit, govt or religious organization",Accounts!$B:$B,"none",Accounts!$E:$E,"QBDT")</f>
        <v>0</v>
      </c>
      <c r="JK4" s="37">
        <f>COUNTIFS(Accounts!$AS:$AS, "Non-profit, govt or religious organization",Accounts!$B:$B,"Customer",Accounts!$E:$E,"QBDT")</f>
        <v>0</v>
      </c>
      <c r="JL4" s="41">
        <f>SUMIFS(Accounts!$I:$I,Accounts!$AS:$AS, "Non-profit, govt or religious organization",Accounts!$E:$E,"QBDT")</f>
        <v>0</v>
      </c>
      <c r="JM4" s="41">
        <f>SUMIFS(Accounts!$N:$N,Accounts!$AS:$AS, "Non-profit, govt or religious organization",Accounts!$E:$E,"QBDT")</f>
        <v>0</v>
      </c>
      <c r="JN4" s="41" t="e">
        <f>JL4/(JK4+JI24)</f>
        <v>#DIV/0!</v>
      </c>
      <c r="JO4" s="41" t="e">
        <f>(JL4+JM4)/(JK4+JI24)</f>
        <v>#DIV/0!</v>
      </c>
      <c r="JP4" s="41" t="e">
        <f>JI20*JN4</f>
        <v>#VALUE!</v>
      </c>
      <c r="JQ4" s="41">
        <f>IFERROR(AVERAGEIFS(Accounts!$AY:$AY,Accounts!$AS:$AS, "Non-profit, govt or religious organization",Accounts!$B:$B,"Customer",Accounts!$AY:$AY,"&gt;0",Accounts!$E:$E,"QBDT"),0)</f>
        <v>0</v>
      </c>
      <c r="JR4" s="37">
        <f>IFERROR(AVERAGEIFS(Accounts!$AX:$AX,Accounts!$AS:$AS, "Non-profit, govt or religious organization",Accounts!$B:$B,"Customer",Accounts!$AX:$AX,"&gt;0",Accounts!$E:$E,"QBDT"),0)</f>
        <v>0</v>
      </c>
      <c r="JS4" s="41">
        <f>IFERROR(AVERAGEIFS(Accounts!$AY:$AY,Accounts!$AS:$AS,"Non-profit, govt or religious organization",Accounts!$B:$B,"none",Accounts!$AY:$AY,"&gt;0",Accounts!$E:$E,"QBDT"),0)</f>
        <v>0</v>
      </c>
      <c r="JT4" s="37">
        <f>IFERROR(AVERAGEIFS(Accounts!$AX:$AX,Accounts!$AS:$AS,"Non-profit, govt or religious organization",Accounts!$B:$B,"none",Accounts!$AX:$AX,"&gt;0",Accounts!$E:$E,"QBDT"),0)</f>
        <v>0</v>
      </c>
      <c r="JU4" s="59">
        <f>SUMIFS(Accounts!$AA:$AA,Accounts!$B:$B,"Customer",Accounts!$AS:$AS, "Non-profit, govt or religious organization",Accounts!$E:$E,"QBDT") + SUMIFS(Accounts!$AH:$AH,Accounts!$B:$B,"Customer",Accounts!$AS:$AS, "Non-profit, govt or religious organization",Accounts!$E:$E,"QBDT") + SUMIFS(Accounts!$AJ:$AJ,Accounts!$B:$B,"Customer",Accounts!$AS:$AS, "Non-profit, govt or religious organization",Accounts!$E:$E,"QBDT") + SUMIFS(Accounts!$AI:$AI,Accounts!$B:$B,"Customer",Accounts!$AS:$AS, "Non-profit, govt or religious organization",Accounts!$E:$E,"QBDT") + SUMIFS(Accounts!$AO:$AO,Accounts!$B:$B,"Customer",Accounts!$AS:$AS, "Non-profit, govt or religious organization",Accounts!$E:$E,"QBDT")</f>
        <v>0</v>
      </c>
      <c r="JV4" s="59">
        <f>(SUMIFS(Accounts!$AC:$AC,Accounts!$B:$B,"Customer",Accounts!$AS:$AS, "Non-profit, govt or religious organization",Accounts!$E:$E,"QBDT")+SUMIFS(Accounts!$AF:$AF,Accounts!$B:$B,"Customer",Accounts!$AS:$AS, "Non-profit, govt or religious organization",Accounts!$E:$E,"QBDT")+SUMIFS(Accounts!$AK:$AK,Accounts!$B:$B,"Customer",Accounts!$AS:$AS, "Non-profit, govt or religious organization",Accounts!$E:$E,"QBDT"))</f>
        <v>0</v>
      </c>
      <c r="JW4" s="59">
        <f>SUMIFS(Accounts!$AB:$AB,Accounts!$B:$B,"Customer",Accounts!$AS:$AS, "Non-profit, govt or religious organization",Accounts!$E:$E,"QBDT")</f>
        <v>0</v>
      </c>
      <c r="JX4" s="59">
        <f>SUMIFS(Accounts!$AD:$AD,Accounts!$B:$B,"Customer",Accounts!$AS:$AS, "Non-profit, govt or religious organization",Accounts!$E:$E,"QBDT")+SUMIFS(Accounts!$AM:$AM,Accounts!$B:$B,"Customer",Accounts!$AS:$AS, "Non-profit, govt or religious organization",Accounts!$E:$E,"QBDT")+SUMIFS(Accounts!$AN:$AN,Accounts!$B:$B,"Customer",Accounts!$AS:$AS, "Non-profit, govt or religious organization",Accounts!$E:$E,"QBDT")</f>
        <v>0</v>
      </c>
      <c r="JY4" s="59">
        <f>SUMIFS(Accounts!$AE:$AE,Accounts!$B:$B,"Customer",Accounts!$AS:$AS, "Non-profit, govt or religious organization",Accounts!$E:$E,"QBDT") + SUMIFS(Accounts!$AP:$AP,Accounts!$B:$B,"Customer",Accounts!$AS:$AS, "Non-profit, govt or religious organization",Accounts!$E:$E,"QBDT")</f>
        <v>0</v>
      </c>
      <c r="JZ4" s="59">
        <f>SUMIFS(Accounts!$Z:$Z,Accounts!$B:$B,"Customer",Accounts!$AS:$AS, "Non-profit, govt or religious organization",Accounts!$E:$E,"QBDT")</f>
        <v>0</v>
      </c>
      <c r="KA4" s="59">
        <f>SUMIFS(Accounts!$AG:$AG,Accounts!$B:$B,"Customer",Accounts!$AS:$AS, "Non-profit, govt or religious organization",Accounts!$E:$E,"QBDT") + SUMIFS(Accounts!$AL:$AL,Accounts!$B:$B,"Customer",Accounts!$AS:$AS, "Non-profit, govt or religious organization",Accounts!$E:$E,"QBDT")</f>
        <v>0</v>
      </c>
      <c r="KB4" s="59">
        <f>SUMIFS(Accounts!$AQ:$AQ,Accounts!$B:$B,"Customer",Accounts!$AS:$AS, "Non-profit, govt or religious organization",Accounts!$E:$E,"QBDT")</f>
        <v>0</v>
      </c>
      <c r="KC4" s="59">
        <f>SUMIFS(Accounts!$AA:$AA,Accounts!$B:$B,"none",Accounts!$AS:$AS, "Non-profit, govt or religious organization",Accounts!$E:$E,"QBDT") + SUMIFS(Accounts!$AH:$AH,Accounts!$B:$B,"none",Accounts!$AS:$AS, "Non-profit, govt or religious organization",Accounts!$E:$E,"QBDT") + SUMIFS(Accounts!$AJ:$AJ,Accounts!$B:$B,"none",Accounts!$AS:$AS, "Non-profit, govt or religious organization",Accounts!$E:$E,"QBDT") + SUMIFS(Accounts!$AI:$AI,Accounts!$B:$B,"none",Accounts!$AS:$AS, "Non-profit, govt or religious organization",Accounts!$E:$E,"QBDT") + SUMIFS(Accounts!$AO:$AO,Accounts!$B:$B,"none",Accounts!$AS:$AS, "Non-profit, govt or religious organization",Accounts!$E:$E,"QBDT")</f>
        <v>0</v>
      </c>
      <c r="KD4" s="59">
        <f>(SUMIFS(Accounts!$AC:$AC,Accounts!$B:$B,"none",Accounts!$AS:$AS, "Non-profit, govt or religious organization",Accounts!$E:$E,"QBDT")+SUMIFS(Accounts!$AF:$AF,Accounts!$B:$B,"none",Accounts!$AS:$AS, "Non-profit, govt or religious organization",Accounts!$E:$E,"QBDT")+SUMIFS(Accounts!$AK:$AK,Accounts!$B:$B,"none",Accounts!$AS:$AS, "Non-profit, govt or religious organization",Accounts!$E:$E,"QBDT"))</f>
        <v>0</v>
      </c>
      <c r="KE4" s="59">
        <f>SUMIFS(Accounts!$AB:$AB,Accounts!$B:$B,"none",Accounts!$AS:$AS, "Non-profit, govt or religious organization",Accounts!$E:$E,"QBDT")</f>
        <v>0</v>
      </c>
      <c r="KF4" s="59">
        <f>SUMIFS(Accounts!$AD:$AD,Accounts!$B:$B,"none",Accounts!$AS:$AS, "Non-profit, govt or religious organization",Accounts!$E:$E,"QBDT")+SUMIFS(Accounts!$AM:$AM,Accounts!$B:$B,"none",Accounts!$AS:$AS, "Non-profit, govt or religious organization",Accounts!$E:$E,"QBDT")+SUMIFS(Accounts!$AN:$AN,Accounts!$B:$B,"none",Accounts!$AS:$AS, "Non-profit, govt or religious organization",Accounts!$E:$E,"QBDT")</f>
        <v>0</v>
      </c>
      <c r="KG4" s="43">
        <f>SUMIFS(Accounts!$AE:$AE,Accounts!$B:$B,"none",Accounts!$AS:$AS, "Non-profit, govt or religious organization",Accounts!$E:$E,"QBDT") + SUMIFS(Accounts!$AP:$AP,Accounts!$B:$B,"none",Accounts!$AS:$AS, "Non-profit, govt or religious organization",Accounts!$E:$E,"QBDT")</f>
        <v>0</v>
      </c>
      <c r="KH4" s="59">
        <f>SUMIFS(Accounts!$Z:$Z,Accounts!$B:$B,"none",Accounts!$AS:$AS, "Non-profit, govt or religious organization",Accounts!$E:$E,"QBDT")</f>
        <v>0</v>
      </c>
      <c r="KI4" s="43">
        <f>SUMIFS(Accounts!$AG:$AG,Accounts!$B:$B,"none",Accounts!$AS:$AS, "Non-profit, govt or religious organization",Accounts!$E:$E,"QBDT") + SUMIFS(Accounts!$AL:$AL,Accounts!$B:$B,"none",Accounts!$AS:$AS, "Non-profit, govt or religious organization",Accounts!$E:$E,"QBDT")</f>
        <v>0</v>
      </c>
      <c r="KJ4" s="59">
        <f>SUMIFS(Accounts!$AQ:$AQ,Accounts!$B:$B,"none",Accounts!$AS:$AS, "Non-profit, govt or religious organization",Accounts!$E:$E,"QBDT")</f>
        <v>0</v>
      </c>
      <c r="KK4" s="38" t="e">
        <f>((KK22+KK25)/((KK21*$C$2)+(0.5*KK24*$C$2)))*$C$2</f>
        <v>#VALUE!</v>
      </c>
      <c r="KL4" s="43">
        <f>COUNTIFS(Accounts!$AS:$AS, "Communications, Entertainment and Media",Accounts!$B:$B,"none",Accounts!$E:$E,"QBDT")</f>
        <v>0</v>
      </c>
      <c r="KM4" s="37">
        <f>COUNTIFS(Accounts!$AS:$AS, "Communications, Entertainment and Media",Accounts!$B:$B,"Customer",Accounts!$E:$E,"QBDT")</f>
        <v>0</v>
      </c>
      <c r="KN4" s="41">
        <f>SUMIFS(Accounts!$I:$I,Accounts!$AS:$AS, "Communications, Entertainment and Media",Accounts!$E:$E,"QBDT")</f>
        <v>0</v>
      </c>
      <c r="KO4" s="41">
        <f>SUMIFS(Accounts!$N:$N,Accounts!$AS:$AS, "Communications, Entertainment and Media",Accounts!$E:$E,"QBDT")</f>
        <v>0</v>
      </c>
      <c r="KP4" s="41" t="e">
        <f>KN4/(KM4+KK24)</f>
        <v>#DIV/0!</v>
      </c>
      <c r="KQ4" s="41" t="e">
        <f>(KN4+KO4)/(KM4+KK24)</f>
        <v>#DIV/0!</v>
      </c>
      <c r="KR4" s="41" t="e">
        <f>KK20*KP4</f>
        <v>#VALUE!</v>
      </c>
      <c r="KS4" s="41">
        <f>IFERROR(AVERAGEIFS(Accounts!$AY:$AY,Accounts!$AS:$AS, "Communications, Entertainment and Media",Accounts!$B:$B,"Customer",Accounts!$AY:$AY,"&gt;0",Accounts!$E:$E,"QBDT"),0)</f>
        <v>0</v>
      </c>
      <c r="KT4" s="37">
        <f>IFERROR(AVERAGEIFS(Accounts!$AX:$AX,Accounts!$AS:$AS, "Communications, Entertainment and Media",Accounts!$B:$B,"Customer",Accounts!$AX:$AX,"&gt;0",Accounts!$E:$E,"QBDT"),0)</f>
        <v>0</v>
      </c>
      <c r="KU4" s="41">
        <f>IFERROR(AVERAGEIFS(Accounts!$AY:$AY,Accounts!$AS:$AS,"Communications, Entertainment and Media",Accounts!$B:$B,"none",Accounts!$AY:$AY,"&gt;0",Accounts!$E:$E,"QBDT"),0)</f>
        <v>0</v>
      </c>
      <c r="KV4" s="37">
        <f>IFERROR(AVERAGEIFS(Accounts!$AX:$AX,Accounts!$AS:$AS,"Communications, Entertainment and Media",Accounts!$B:$B,"none",Accounts!$AX:$AX,"&gt;0",Accounts!$E:$E,"QBDT"),0)</f>
        <v>0</v>
      </c>
      <c r="KW4" s="59">
        <f>SUMIFS(Accounts!$AA:$AA,Accounts!$B:$B,"Customer",Accounts!$AS:$AS, "Communications, Entertainment and Media",Accounts!$E:$E,"QBDT") + SUMIFS(Accounts!$AH:$AH,Accounts!$B:$B,"Customer",Accounts!$AS:$AS, "Communications, Entertainment and Media",Accounts!$E:$E,"QBDT") + SUMIFS(Accounts!$AJ:$AJ,Accounts!$B:$B,"Customer",Accounts!$AS:$AS, "Communications, Entertainment and Media",Accounts!$E:$E,"QBDT") + SUMIFS(Accounts!$AI:$AI,Accounts!$B:$B,"Customer",Accounts!$AS:$AS, "Communications, Entertainment and Media",Accounts!$E:$E,"QBDT") + SUMIFS(Accounts!$AO:$AO,Accounts!$B:$B,"Customer",Accounts!$AS:$AS, "Communications, Entertainment and Media",Accounts!$E:$E,"QBDT")</f>
        <v>0</v>
      </c>
      <c r="KX4" s="59">
        <f>(SUMIFS(Accounts!$AC:$AC,Accounts!$B:$B,"Customer",Accounts!$AS:$AS, "Communications, Entertainment and Media",Accounts!$E:$E,"QBDT")+SUMIFS(Accounts!$AF:$AF,Accounts!$B:$B,"Customer",Accounts!$AS:$AS, "Communications, Entertainment and Media",Accounts!$E:$E,"QBDT")+SUMIFS(Accounts!$AK:$AK,Accounts!$B:$B,"Customer",Accounts!$AS:$AS, "Communications, Entertainment and Media",Accounts!$E:$E,"QBDT"))</f>
        <v>0</v>
      </c>
      <c r="KY4" s="59">
        <f>SUMIFS(Accounts!$AB:$AB,Accounts!$B:$B,"Customer",Accounts!$AS:$AS, "Communications, Entertainment and Media",Accounts!$E:$E,"QBDT")</f>
        <v>0</v>
      </c>
      <c r="KZ4" s="59">
        <f>SUMIFS(Accounts!$AD:$AD,Accounts!$B:$B,"Customer",Accounts!$AS:$AS, "Communications, Entertainment and Media",Accounts!$E:$E,"QBDT")+SUMIFS(Accounts!$AM:$AM,Accounts!$B:$B,"Customer",Accounts!$AS:$AS, "Communications, Entertainment and Media",Accounts!$E:$E,"QBDT")+SUMIFS(Accounts!$AN:$AN,Accounts!$B:$B,"Customer",Accounts!$AS:$AS, "Communications, Entertainment and Media",Accounts!$E:$E,"QBDT")</f>
        <v>0</v>
      </c>
      <c r="LA4" s="59">
        <f>SUMIFS(Accounts!$AE:$AE,Accounts!$B:$B,"Customer",Accounts!$AS:$AS, "Communications, Entertainment and Media",Accounts!$E:$E,"QBDT") + SUMIFS(Accounts!$AP:$AP,Accounts!$B:$B,"Customer",Accounts!$AS:$AS, "Communications, Entertainment and Media",Accounts!$E:$E,"QBDT")</f>
        <v>0</v>
      </c>
      <c r="LB4" s="59">
        <f>SUMIFS(Accounts!$Z:$Z,Accounts!$B:$B,"Customer",Accounts!$AS:$AS, "Communications, Entertainment and Media",Accounts!$E:$E,"QBDT")</f>
        <v>0</v>
      </c>
      <c r="LC4" s="59">
        <f>SUMIFS(Accounts!$AG:$AG,Accounts!$B:$B,"Customer",Accounts!$AS:$AS, "Communications, Entertainment and Media",Accounts!$E:$E,"QBDT") + SUMIFS(Accounts!$AL:$AL,Accounts!$B:$B,"Customer",Accounts!$AS:$AS, "Communications, Entertainment and Media",Accounts!$E:$E,"QBDT")</f>
        <v>0</v>
      </c>
      <c r="LD4" s="59">
        <f>SUMIFS(Accounts!$AQ:$AQ,Accounts!$B:$B,"Customer",Accounts!$AS:$AS, "Communications, Entertainment and Media",Accounts!$E:$E,"QBDT")</f>
        <v>0</v>
      </c>
      <c r="LE4" s="59">
        <f>SUMIFS(Accounts!$AA:$AA,Accounts!$B:$B,"none",Accounts!$AS:$AS, "Communications, Entertainment and Media",Accounts!$E:$E,"QBDT") + SUMIFS(Accounts!$AH:$AH,Accounts!$B:$B,"none",Accounts!$AS:$AS, "Communications, Entertainment and Media",Accounts!$E:$E,"QBDT") + SUMIFS(Accounts!$AJ:$AJ,Accounts!$B:$B,"none",Accounts!$AS:$AS, "Communications, Entertainment and Media",Accounts!$E:$E,"QBDT") + SUMIFS(Accounts!$AI:$AI,Accounts!$B:$B,"none",Accounts!$AS:$AS, "Communications, Entertainment and Media",Accounts!$E:$E,"QBDT") + SUMIFS(Accounts!$AO:$AO,Accounts!$B:$B,"none",Accounts!$AS:$AS, "Communications, Entertainment and Media",Accounts!$E:$E,"QBDT")</f>
        <v>0</v>
      </c>
      <c r="LF4" s="59">
        <f>(SUMIFS(Accounts!$AC:$AC,Accounts!$B:$B,"none",Accounts!$AS:$AS, "Communications, Entertainment and Media",Accounts!$E:$E,"QBDT")+SUMIFS(Accounts!$AF:$AF,Accounts!$B:$B,"none",Accounts!$AS:$AS, "Communications, Entertainment and Media",Accounts!$E:$E,"QBDT")+SUMIFS(Accounts!$AK:$AK,Accounts!$B:$B,"none",Accounts!$AS:$AS, "Communications, Entertainment and Media",Accounts!$E:$E,"QBDT"))</f>
        <v>0</v>
      </c>
      <c r="LG4" s="59">
        <f>SUMIFS(Accounts!$AB:$AB,Accounts!$B:$B,"none",Accounts!$AS:$AS, "Communications, Entertainment and Media",Accounts!$E:$E,"QBDT")</f>
        <v>0</v>
      </c>
      <c r="LH4" s="59">
        <f>SUMIFS(Accounts!$AD:$AD,Accounts!$B:$B,"none",Accounts!$AS:$AS, "Communications, Entertainment and Media",Accounts!$E:$E,"QBDT")+SUMIFS(Accounts!$AM:$AM,Accounts!$B:$B,"none",Accounts!$AS:$AS, "Communications, Entertainment and Media",Accounts!$E:$E,"QBDT")+SUMIFS(Accounts!$AN:$AN,Accounts!$B:$B,"none",Accounts!$AS:$AS, "Communications, Entertainment and Media",Accounts!$E:$E,"QBDT")</f>
        <v>0</v>
      </c>
      <c r="LI4" s="43">
        <f>SUMIFS(Accounts!$AE:$AE,Accounts!$B:$B,"none",Accounts!$AS:$AS, "Communications, Entertainment and Media",Accounts!$E:$E,"QBDT") + SUMIFS(Accounts!$AP:$AP,Accounts!$B:$B,"none",Accounts!$AS:$AS, "Communications, Entertainment and Media",Accounts!$E:$E,"QBDT")</f>
        <v>0</v>
      </c>
      <c r="LJ4" s="59">
        <f>SUMIFS(Accounts!$Z:$Z,Accounts!$B:$B,"none",Accounts!$AS:$AS, "Communications, Entertainment and Media",Accounts!$E:$E,"QBDT")</f>
        <v>0</v>
      </c>
      <c r="LK4" s="43">
        <f>SUMIFS(Accounts!$AG:$AG,Accounts!$B:$B,"none",Accounts!$AS:$AS, "Communications, Entertainment and Media",Accounts!$E:$E,"QBDT") + SUMIFS(Accounts!$AL:$AL,Accounts!$B:$B,"none",Accounts!$AS:$AS, "Communications, Entertainment and Media",Accounts!$E:$E,"QBDT")</f>
        <v>0</v>
      </c>
      <c r="LL4" s="59">
        <f>SUMIFS(Accounts!$AQ:$AQ,Accounts!$B:$B,"none",Accounts!$AS:$AS, "Communications, Entertainment and Media",Accounts!$E:$E,"QBDT")</f>
        <v>0</v>
      </c>
      <c r="LM4" s="38" t="e">
        <f>((LM22+LM25)/((LM21*$C$2)+(0.5*LM24*$C$2)))*$C$2</f>
        <v>#VALUE!</v>
      </c>
      <c r="LN4" s="43">
        <f>COUNTIFS(Accounts!$AS:$AS, "IT and computer related",Accounts!$B:$B,"none",Accounts!$E:$E,"QBDT")</f>
        <v>0</v>
      </c>
      <c r="LO4" s="37">
        <f>COUNTIFS(Accounts!$AS:$AS, "IT and computer related",Accounts!$B:$B,"Customer",Accounts!$E:$E,"QBDT")</f>
        <v>0</v>
      </c>
      <c r="LP4" s="41">
        <f>SUMIFS(Accounts!$I:$I,Accounts!$AS:$AS, "IT and computer related",Accounts!$E:$E,"QBDT")</f>
        <v>0</v>
      </c>
      <c r="LQ4" s="41">
        <f>SUMIFS(Accounts!$N:$N,Accounts!$AS:$AS, "IT and computer related",Accounts!$E:$E,"QBDT")</f>
        <v>0</v>
      </c>
      <c r="LR4" s="41" t="e">
        <f>LP4/(LO4+LM24)</f>
        <v>#DIV/0!</v>
      </c>
      <c r="LS4" s="41" t="e">
        <f>(LP4+LQ4)/(LO4+LM24)</f>
        <v>#DIV/0!</v>
      </c>
      <c r="LT4" s="41" t="e">
        <f>LM20*LR4</f>
        <v>#VALUE!</v>
      </c>
      <c r="LU4" s="41">
        <f>IFERROR(AVERAGEIFS(Accounts!$AY:$AY,Accounts!$AS:$AS, "IT and computer related",Accounts!$B:$B,"Customer",Accounts!$AY:$AY,"&gt;0",Accounts!$E:$E,"QBDT"),0)</f>
        <v>0</v>
      </c>
      <c r="LV4" s="37">
        <f>IFERROR(AVERAGEIFS(Accounts!$AX:$AX,Accounts!$AS:$AS, "IT and computer related",Accounts!$B:$B,"Customer",Accounts!$AX:$AX,"&gt;0",Accounts!$E:$E,"QBDT"),0)</f>
        <v>0</v>
      </c>
      <c r="LW4" s="41">
        <f>IFERROR(AVERAGEIFS(Accounts!$AY:$AY,Accounts!$AS:$AS,"IT and computer related",Accounts!$B:$B,"none",Accounts!$AY:$AY,"&gt;0",Accounts!$E:$E,"QBDT"),0)</f>
        <v>0</v>
      </c>
      <c r="LX4" s="37">
        <f>IFERROR(AVERAGEIFS(Accounts!$AX:$AX,Accounts!$AS:$AS,"IT and computer related",Accounts!$B:$B,"none",Accounts!$AX:$AX,"&gt;0",Accounts!$E:$E,"QBDT"),0)</f>
        <v>0</v>
      </c>
      <c r="LY4" s="59">
        <f>SUMIFS(Accounts!$AA:$AA,Accounts!$B:$B,"Customer",Accounts!$AS:$AS, "IT and computer related",Accounts!$E:$E,"QBDT") + SUMIFS(Accounts!$AH:$AH,Accounts!$B:$B,"Customer",Accounts!$AS:$AS, "IT and computer related",Accounts!$E:$E,"QBDT") + SUMIFS(Accounts!$AJ:$AJ,Accounts!$B:$B,"Customer",Accounts!$AS:$AS, "IT and computer related",Accounts!$E:$E,"QBDT") + SUMIFS(Accounts!$AI:$AI,Accounts!$B:$B,"Customer",Accounts!$AS:$AS, "IT and computer related",Accounts!$E:$E,"QBDT") + SUMIFS(Accounts!$AO:$AO,Accounts!$B:$B,"Customer",Accounts!$AS:$AS, "IT and computer related",Accounts!$E:$E,"QBDT")</f>
        <v>0</v>
      </c>
      <c r="LZ4" s="59">
        <f>(SUMIFS(Accounts!$AC:$AC,Accounts!$B:$B,"Customer",Accounts!$AS:$AS, "IT and computer related",Accounts!$E:$E,"QBDT")+SUMIFS(Accounts!$AF:$AF,Accounts!$B:$B,"Customer",Accounts!$AS:$AS, "IT and computer related",Accounts!$E:$E,"QBDT")+SUMIFS(Accounts!$AK:$AK,Accounts!$B:$B,"Customer",Accounts!$AS:$AS, "IT and computer related",Accounts!$E:$E,"QBDT"))</f>
        <v>0</v>
      </c>
      <c r="MA4" s="59">
        <f>SUMIFS(Accounts!$AB:$AB,Accounts!$B:$B,"Customer",Accounts!$AS:$AS, "IT and computer related",Accounts!$E:$E,"QBDT")</f>
        <v>0</v>
      </c>
      <c r="MB4" s="59">
        <f>SUMIFS(Accounts!$AD:$AD,Accounts!$B:$B,"Customer",Accounts!$AS:$AS, "IT and computer related",Accounts!$E:$E,"QBDT")+SUMIFS(Accounts!$AM:$AM,Accounts!$B:$B,"Customer",Accounts!$AS:$AS, "IT and computer related",Accounts!$E:$E,"QBDT")+SUMIFS(Accounts!$AN:$AN,Accounts!$B:$B,"Customer",Accounts!$AS:$AS, "IT and computer related",Accounts!$E:$E,"QBDT")</f>
        <v>0</v>
      </c>
      <c r="MC4" s="59">
        <f>SUMIFS(Accounts!$AE:$AE,Accounts!$B:$B,"Customer",Accounts!$AS:$AS, "IT and computer related",Accounts!$E:$E,"QBDT") + SUMIFS(Accounts!$AP:$AP,Accounts!$B:$B,"Customer",Accounts!$AS:$AS, "IT and computer related",Accounts!$E:$E,"QBDT")</f>
        <v>0</v>
      </c>
      <c r="MD4" s="59">
        <f>SUMIFS(Accounts!$Z:$Z,Accounts!$B:$B,"Customer",Accounts!$AS:$AS, "IT and computer related",Accounts!$E:$E,"QBDT")</f>
        <v>0</v>
      </c>
      <c r="ME4" s="59">
        <f>SUMIFS(Accounts!$AG:$AG,Accounts!$B:$B,"Customer",Accounts!$AS:$AS, "IT and computer related",Accounts!$E:$E,"QBDT") + SUMIFS(Accounts!$AL:$AL,Accounts!$B:$B,"Customer",Accounts!$AS:$AS, "IT and computer related",Accounts!$E:$E,"QBDT")</f>
        <v>0</v>
      </c>
      <c r="MF4" s="59">
        <f>SUMIFS(Accounts!$AQ:$AQ,Accounts!$B:$B,"Customer",Accounts!$AS:$AS, "IT and computer related",Accounts!$E:$E,"QBDT")</f>
        <v>0</v>
      </c>
      <c r="MG4" s="59">
        <f>SUMIFS(Accounts!$AA:$AA,Accounts!$B:$B,"none",Accounts!$AS:$AS, "IT and computer related",Accounts!$E:$E,"QBDT") + SUMIFS(Accounts!$AH:$AH,Accounts!$B:$B,"none",Accounts!$AS:$AS, "IT and computer related",Accounts!$E:$E,"QBDT") + SUMIFS(Accounts!$AJ:$AJ,Accounts!$B:$B,"none",Accounts!$AS:$AS, "IT and computer related",Accounts!$E:$E,"QBDT") + SUMIFS(Accounts!$AI:$AI,Accounts!$B:$B,"none",Accounts!$AS:$AS, "IT and computer related",Accounts!$E:$E,"QBDT") + SUMIFS(Accounts!$AO:$AO,Accounts!$B:$B,"none",Accounts!$AS:$AS, "IT and computer related",Accounts!$E:$E,"QBDT")</f>
        <v>0</v>
      </c>
      <c r="MH4" s="59">
        <f>(SUMIFS(Accounts!$AC:$AC,Accounts!$B:$B,"none",Accounts!$AS:$AS, "IT and computer related",Accounts!$E:$E,"QBDT")+SUMIFS(Accounts!$AF:$AF,Accounts!$B:$B,"none",Accounts!$AS:$AS, "IT and computer related",Accounts!$E:$E,"QBDT")+SUMIFS(Accounts!$AK:$AK,Accounts!$B:$B,"none",Accounts!$AS:$AS, "IT and computer related",Accounts!$E:$E,"QBDT"))</f>
        <v>0</v>
      </c>
      <c r="MI4" s="59">
        <f>SUMIFS(Accounts!$AB:$AB,Accounts!$B:$B,"none",Accounts!$AS:$AS, "IT and computer related",Accounts!$E:$E,"QBDT")</f>
        <v>0</v>
      </c>
      <c r="MJ4" s="59">
        <f>SUMIFS(Accounts!$AD:$AD,Accounts!$B:$B,"none",Accounts!$AS:$AS, "IT and computer related",Accounts!$E:$E,"QBDT")+SUMIFS(Accounts!$AM:$AM,Accounts!$B:$B,"none",Accounts!$AS:$AS, "IT and computer related",Accounts!$E:$E,"QBDT")+SUMIFS(Accounts!$AN:$AN,Accounts!$B:$B,"none",Accounts!$AS:$AS, "IT and computer related",Accounts!$E:$E,"QBDT")</f>
        <v>0</v>
      </c>
      <c r="MK4" s="43">
        <f>SUMIFS(Accounts!$AE:$AE,Accounts!$B:$B,"none",Accounts!$AS:$AS, "IT and computer related",Accounts!$E:$E,"QBDT") + SUMIFS(Accounts!$AP:$AP,Accounts!$B:$B,"none",Accounts!$AS:$AS, "IT and computer related",Accounts!$E:$E,"QBDT")</f>
        <v>0</v>
      </c>
      <c r="ML4" s="59">
        <f>SUMIFS(Accounts!$Z:$Z,Accounts!$B:$B,"none",Accounts!$AS:$AS, "IT and computer related",Accounts!$E:$E,"QBDT")</f>
        <v>0</v>
      </c>
      <c r="MM4" s="43">
        <f>SUMIFS(Accounts!$AG:$AG,Accounts!$B:$B,"none",Accounts!$AS:$AS, "IT and computer related",Accounts!$E:$E,"QBDT") + SUMIFS(Accounts!$AL:$AL,Accounts!$B:$B,"none",Accounts!$AS:$AS, "IT and computer related",Accounts!$E:$E,"QBDT")</f>
        <v>0</v>
      </c>
      <c r="MN4" s="59">
        <f>SUMIFS(Accounts!$AQ:$AQ,Accounts!$B:$B,"none",Accounts!$AS:$AS, "IT and computer related",Accounts!$E:$E,"QBDT")</f>
        <v>0</v>
      </c>
      <c r="MO4" s="38" t="e">
        <f>((MO22+MO25)/((MO21*$C$2)+(0.5*MO24*$C$2)))*$C$2</f>
        <v>#VALUE!</v>
      </c>
      <c r="MP4" s="43">
        <f>COUNTIFS(Accounts!$AS:$AS, {"General service based","General"},Accounts!$B:$B,"none",Accounts!$E:$E,"QBDT")</f>
        <v>0</v>
      </c>
      <c r="MQ4" s="37">
        <f>COUNTIFS(Accounts!$AS:$AS, {"General service based","General"},Accounts!$B:$B,"Customer",Accounts!$E:$E,"QBDT")</f>
        <v>0</v>
      </c>
      <c r="MR4" s="41">
        <f>SUMIFS(Accounts!$I:$I,Accounts!$AS:$AS, {"General service based","General"},Accounts!$E:$E,"QBDT")</f>
        <v>0</v>
      </c>
      <c r="MS4" s="41">
        <f>SUMIFS(Accounts!$N:$N,Accounts!$AS:$AS, {"General service based","General"},Accounts!$E:$E,"QBDT")</f>
        <v>0</v>
      </c>
      <c r="MT4" s="41" t="e">
        <f>MR4/(MQ4+MO24)</f>
        <v>#DIV/0!</v>
      </c>
      <c r="MU4" s="41" t="e">
        <f>(MR4+MS4)/(MQ4+MO24)</f>
        <v>#DIV/0!</v>
      </c>
      <c r="MV4" s="41" t="e">
        <f>MO20*MT4</f>
        <v>#VALUE!</v>
      </c>
      <c r="MW4" s="41">
        <f>IFERROR(AVERAGEIFS(Accounts!$AY:$AY,Accounts!$AS:$AS, {"General service based","General"},Accounts!$B:$B,"Customer",Accounts!$AY:$AY,"&gt;0",Accounts!$E:$E,"QBDT"),0)</f>
        <v>0</v>
      </c>
      <c r="MX4" s="37">
        <f>IFERROR(AVERAGEIFS(Accounts!$AX:$AX,Accounts!$AS:$AS, {"General service based","General"},Accounts!$B:$B,"Customer",Accounts!$AX:$AX,"&gt;0",Accounts!$E:$E,"QBDT"),0)</f>
        <v>0</v>
      </c>
      <c r="MY4" s="41">
        <f>IFERROR(AVERAGEIFS(Accounts!$AY:$AY,Accounts!$AS:$AS,{"General service based","General"},Accounts!$B:$B,"none",Accounts!$AY:$AY,"&gt;0",Accounts!$E:$E,"QBDT"),0)</f>
        <v>0</v>
      </c>
      <c r="MZ4" s="37">
        <f>IFERROR(AVERAGEIFS(Accounts!$AX:$AX,Accounts!$AS:$AS,{"General service based","General"},Accounts!$B:$B,"none",Accounts!$AX:$AX,"&gt;0",Accounts!$E:$E,"QBDT"),0)</f>
        <v>0</v>
      </c>
      <c r="NA4" s="59">
        <f>SUMIFS(Accounts!$AA:$AA,Accounts!$B:$B,"Customer",Accounts!$AS:$AS, {"General service based","General"},Accounts!$E:$E,"QBDT") + SUMIFS(Accounts!$AH:$AH,Accounts!$B:$B,"Customer",Accounts!$AS:$AS, {"General service based","General"},Accounts!$E:$E,"QBDT") + SUMIFS(Accounts!$AJ:$AJ,Accounts!$B:$B,"Customer",Accounts!$AS:$AS, {"General service based","General"},Accounts!$E:$E,"QBDT") + SUMIFS(Accounts!$AI:$AI,Accounts!$B:$B,"Customer",Accounts!$AS:$AS, {"General service based","General"},Accounts!$E:$E,"QBDT") + SUMIFS(Accounts!$AO:$AO,Accounts!$B:$B,"Customer",Accounts!$AS:$AS, {"General service based","General"},Accounts!$E:$E,"QBDT")</f>
        <v>0</v>
      </c>
      <c r="NB4" s="59">
        <f>(SUMIFS(Accounts!$AC:$AC,Accounts!$B:$B,"Customer",Accounts!$AS:$AS, {"General service based","General"},Accounts!$E:$E,"QBDT")+SUMIFS(Accounts!$AF:$AF,Accounts!$B:$B,"Customer",Accounts!$AS:$AS, {"General service based","General"},Accounts!$E:$E,"QBDT")+SUMIFS(Accounts!$AK:$AK,Accounts!$B:$B,"Customer",Accounts!$AS:$AS, {"General service based","General"},Accounts!$E:$E,"QBDT"))</f>
        <v>0</v>
      </c>
      <c r="NC4" s="59">
        <f>SUMIFS(Accounts!$AB:$AB,Accounts!$B:$B,"Customer",Accounts!$AS:$AS, {"General service based","General"},Accounts!$E:$E,"QBDT")</f>
        <v>0</v>
      </c>
      <c r="ND4" s="59">
        <f>SUMIFS(Accounts!$AD:$AD,Accounts!$B:$B,"Customer",Accounts!$AS:$AS, {"General service based","General"},Accounts!$E:$E,"QBDT")+SUMIFS(Accounts!$AM:$AM,Accounts!$B:$B,"Customer",Accounts!$AS:$AS, {"General service based","General"},Accounts!$E:$E,"QBDT")+SUMIFS(Accounts!$AN:$AN,Accounts!$B:$B,"Customer",Accounts!$AS:$AS, {"General service based","General"},Accounts!$E:$E,"QBDT")</f>
        <v>0</v>
      </c>
      <c r="NE4" s="59">
        <f>SUMIFS(Accounts!$AE:$AE,Accounts!$B:$B,"Customer",Accounts!$AS:$AS, {"General service based","General"},Accounts!$E:$E,"QBDT") + SUMIFS(Accounts!$AP:$AP,Accounts!$B:$B,"Customer",Accounts!$AS:$AS, {"General service based","General"},Accounts!$E:$E,"QBDT")</f>
        <v>0</v>
      </c>
      <c r="NF4" s="59">
        <f>SUMIFS(Accounts!$Z:$Z,Accounts!$B:$B,"Customer",Accounts!$AS:$AS, {"General service based","General"},Accounts!$E:$E,"QBDT")</f>
        <v>0</v>
      </c>
      <c r="NG4" s="59">
        <f>SUMIFS(Accounts!$AG:$AG,Accounts!$B:$B,"Customer",Accounts!$AS:$AS, {"General service based","General"},Accounts!$E:$E,"QBDT") + SUMIFS(Accounts!$AL:$AL,Accounts!$B:$B,"Customer",Accounts!$AS:$AS, {"General service based","General"},Accounts!$E:$E,"QBDT")</f>
        <v>0</v>
      </c>
      <c r="NH4" s="59">
        <f>SUMIFS(Accounts!$AQ:$AQ,Accounts!$B:$B,"Customer",Accounts!$AS:$AS, {"General service based","General"},Accounts!$E:$E,"QBDT")</f>
        <v>0</v>
      </c>
      <c r="NI4" s="59">
        <f>SUMIFS(Accounts!$AA:$AA,Accounts!$B:$B,"none",Accounts!$AS:$AS, {"General service based","General"},Accounts!$E:$E,"QBDT") + SUMIFS(Accounts!$AH:$AH,Accounts!$B:$B,"none",Accounts!$AS:$AS, {"General service based","General"},Accounts!$E:$E,"QBDT") + SUMIFS(Accounts!$AJ:$AJ,Accounts!$B:$B,"none",Accounts!$AS:$AS, {"General service based","General"},Accounts!$E:$E,"QBDT") + SUMIFS(Accounts!$AI:$AI,Accounts!$B:$B,"none",Accounts!$AS:$AS, {"General service based","General"},Accounts!$E:$E,"QBDT") + SUMIFS(Accounts!$AO:$AO,Accounts!$B:$B,"none",Accounts!$AS:$AS, {"General service based","General"},Accounts!$E:$E,"QBDT")</f>
        <v>0</v>
      </c>
      <c r="NJ4" s="59">
        <f>(SUMIFS(Accounts!$AC:$AC,Accounts!$B:$B,"none",Accounts!$AS:$AS, {"General service based","General"},Accounts!$E:$E,"QBDT")+SUMIFS(Accounts!$AF:$AF,Accounts!$B:$B,"none",Accounts!$AS:$AS, {"General service based","General"},Accounts!$E:$E,"QBDT")+SUMIFS(Accounts!$AK:$AK,Accounts!$B:$B,"none",Accounts!$AS:$AS, {"General service based","General"},Accounts!$E:$E,"QBDT"))</f>
        <v>0</v>
      </c>
      <c r="NK4" s="59">
        <f>SUMIFS(Accounts!$AB:$AB,Accounts!$B:$B,"none",Accounts!$AS:$AS, {"General service based","General"},Accounts!$E:$E,"QBDT")</f>
        <v>0</v>
      </c>
      <c r="NL4" s="59">
        <f>SUMIFS(Accounts!$AD:$AD,Accounts!$B:$B,"none",Accounts!$AS:$AS, {"General service based","General"},Accounts!$E:$E,"QBDT")+SUMIFS(Accounts!$AM:$AM,Accounts!$B:$B,"none",Accounts!$AS:$AS, {"General service based","General"},Accounts!$E:$E,"QBDT")+SUMIFS(Accounts!$AN:$AN,Accounts!$B:$B,"none",Accounts!$AS:$AS, {"General service based","General"},Accounts!$E:$E,"QBDT")</f>
        <v>0</v>
      </c>
      <c r="NM4" s="43">
        <f>SUMIFS(Accounts!$AE:$AE,Accounts!$B:$B,"none",Accounts!$AS:$AS, {"General service based","General"},Accounts!$E:$E,"QBDT") + SUMIFS(Accounts!$AP:$AP,Accounts!$B:$B,"none",Accounts!$AS:$AS, {"General service based","General"},Accounts!$E:$E,"QBDT")</f>
        <v>0</v>
      </c>
      <c r="NN4" s="59">
        <f>SUMIFS(Accounts!$Z:$Z,Accounts!$B:$B,"none",Accounts!$AS:$AS, {"General service based","General"},Accounts!$E:$E,"QBDT")</f>
        <v>0</v>
      </c>
      <c r="NO4" s="43">
        <f>SUMIFS(Accounts!$AG:$AG,Accounts!$B:$B,"none",Accounts!$AS:$AS, {"General service based","General"},Accounts!$E:$E,"QBDT") + SUMIFS(Accounts!$AL:$AL,Accounts!$B:$B,"none",Accounts!$AS:$AS, {"General service based","General"},Accounts!$E:$E,"QBDT")</f>
        <v>0</v>
      </c>
      <c r="NP4" s="59">
        <f>SUMIFS(Accounts!$AQ:$AQ,Accounts!$B:$B,"none",Accounts!$AS:$AS, {"General service based","General"},Accounts!$E:$E,"QBDT")</f>
        <v>0</v>
      </c>
      <c r="NQ4" s="38" t="e">
        <f>((NQ22+NQ25)/((NQ21*$C$2)+(0.5*NQ24*$C$2)))*$C$2</f>
        <v>#VALUE!</v>
      </c>
      <c r="NR4" s="43">
        <f>COUNTIFS(Accounts!$AS:$AS, "Other",Accounts!$B:$B,"none",Accounts!$E:$E,"QBDT")</f>
        <v>0</v>
      </c>
      <c r="NS4" s="37">
        <f>COUNTIFS(Accounts!$AS:$AS, "Other",Accounts!$B:$B,"Customer",Accounts!$E:$E,"QBDT")</f>
        <v>0</v>
      </c>
      <c r="NT4" s="41">
        <f>SUMIFS(Accounts!$I:$I,Accounts!$AS:$AS, "Other",Accounts!$E:$E,"QBDT")</f>
        <v>0</v>
      </c>
      <c r="NU4" s="41">
        <f>SUMIFS(Accounts!$N:$N,Accounts!$AS:$AS, "Other",Accounts!$E:$E,"QBDT")</f>
        <v>0</v>
      </c>
      <c r="NV4" s="41" t="e">
        <f>NT4/(NS4+NQ24)</f>
        <v>#DIV/0!</v>
      </c>
      <c r="NW4" s="41" t="e">
        <f>(NT4+NU4)/(NS4+NQ24)</f>
        <v>#DIV/0!</v>
      </c>
      <c r="NX4" s="41" t="e">
        <f>NQ20*NV4</f>
        <v>#VALUE!</v>
      </c>
      <c r="NY4" s="41">
        <f>IFERROR(AVERAGEIFS(Accounts!$AY:$AY,Accounts!$AS:$AS, "Other",Accounts!$B:$B,"Customer",Accounts!$AY:$AY,"&gt;0",Accounts!$E:$E,"QBDT"),0)</f>
        <v>0</v>
      </c>
      <c r="NZ4" s="37">
        <f>IFERROR(AVERAGEIFS(Accounts!$AX:$AX,Accounts!$AS:$AS, "Other",Accounts!$B:$B,"Customer",Accounts!$AX:$AX,"&gt;0",Accounts!$E:$E,"QBDT"),0)</f>
        <v>0</v>
      </c>
      <c r="OA4" s="41">
        <f>IFERROR(AVERAGEIFS(Accounts!$AY:$AY,Accounts!$AS:$AS,"Other",Accounts!$B:$B,"none",Accounts!$AY:$AY,"&gt;0",Accounts!$E:$E,"QBDT"),0)</f>
        <v>0</v>
      </c>
      <c r="OB4" s="37">
        <f>IFERROR(AVERAGEIFS(Accounts!$AX:$AX,Accounts!$AS:$AS,"Other",Accounts!$B:$B,"none",Accounts!$AX:$AX,"&gt;0",Accounts!$E:$E,"QBDT"),0)</f>
        <v>0</v>
      </c>
      <c r="OC4" s="59">
        <f>SUMIFS(Accounts!$AA:$AA,Accounts!$B:$B,"Customer",Accounts!$AS:$AS, "Other",Accounts!$E:$E,"QBDT") + SUMIFS(Accounts!$AH:$AH,Accounts!$B:$B,"Customer",Accounts!$AS:$AS, "Other",Accounts!$E:$E,"QBDT") + SUMIFS(Accounts!$AJ:$AJ,Accounts!$B:$B,"Customer",Accounts!$AS:$AS, "Other",Accounts!$E:$E,"QBDT") + SUMIFS(Accounts!$AI:$AI,Accounts!$B:$B,"Customer",Accounts!$AS:$AS, "Other",Accounts!$E:$E,"QBDT") + SUMIFS(Accounts!$AO:$AO,Accounts!$B:$B,"Customer",Accounts!$AS:$AS, "Other",Accounts!$E:$E,"QBDT")</f>
        <v>0</v>
      </c>
      <c r="OD4" s="59">
        <f>(SUMIFS(Accounts!$AC:$AC,Accounts!$B:$B,"Customer",Accounts!$AS:$AS, "Other",Accounts!$E:$E,"QBDT")+SUMIFS(Accounts!$AF:$AF,Accounts!$B:$B,"Customer",Accounts!$AS:$AS, "Other",Accounts!$E:$E,"QBDT")+SUMIFS(Accounts!$AK:$AK,Accounts!$B:$B,"Customer",Accounts!$AS:$AS, "Other",Accounts!$E:$E,"QBDT"))</f>
        <v>0</v>
      </c>
      <c r="OE4" s="59">
        <f>SUMIFS(Accounts!$AB:$AB,Accounts!$B:$B,"Customer",Accounts!$AS:$AS, "Other",Accounts!$E:$E,"QBDT")</f>
        <v>0</v>
      </c>
      <c r="OF4" s="59">
        <f>SUMIFS(Accounts!$AD:$AD,Accounts!$B:$B,"Customer",Accounts!$AS:$AS, "Other",Accounts!$E:$E,"QBDT")+SUMIFS(Accounts!$AM:$AM,Accounts!$B:$B,"Customer",Accounts!$AS:$AS, "Other",Accounts!$E:$E,"QBDT")+SUMIFS(Accounts!$AN:$AN,Accounts!$B:$B,"Customer",Accounts!$AS:$AS, "Other",Accounts!$E:$E,"QBDT")</f>
        <v>0</v>
      </c>
      <c r="OG4" s="59">
        <f>SUMIFS(Accounts!$AE:$AE,Accounts!$B:$B,"Customer",Accounts!$AS:$AS, "Other",Accounts!$E:$E,"QBDT") + SUMIFS(Accounts!$AP:$AP,Accounts!$B:$B,"Customer",Accounts!$AS:$AS, "Other",Accounts!$E:$E,"QBDT")</f>
        <v>0</v>
      </c>
      <c r="OH4" s="59">
        <f>SUMIFS(Accounts!$Z:$Z,Accounts!$B:$B,"Customer",Accounts!$AS:$AS, "Other",Accounts!$E:$E,"QBDT")</f>
        <v>0</v>
      </c>
      <c r="OI4" s="59">
        <f>SUMIFS(Accounts!$AG:$AG,Accounts!$B:$B,"Customer",Accounts!$AS:$AS, "Other",Accounts!$E:$E,"QBDT") + SUMIFS(Accounts!$AL:$AL,Accounts!$B:$B,"Customer",Accounts!$AS:$AS, "Other",Accounts!$E:$E,"QBDT")</f>
        <v>0</v>
      </c>
      <c r="OJ4" s="59">
        <f>SUMIFS(Accounts!$AQ:$AQ,Accounts!$B:$B,"Customer",Accounts!$AS:$AS, "Other",Accounts!$E:$E,"QBDT")</f>
        <v>0</v>
      </c>
      <c r="OK4" s="59">
        <f>SUMIFS(Accounts!$AA:$AA,Accounts!$B:$B,"none",Accounts!$AS:$AS, "Other",Accounts!$E:$E,"QBDT") + SUMIFS(Accounts!$AH:$AH,Accounts!$B:$B,"none",Accounts!$AS:$AS, "Other",Accounts!$E:$E,"QBDT") + SUMIFS(Accounts!$AJ:$AJ,Accounts!$B:$B,"none",Accounts!$AS:$AS, "Other",Accounts!$E:$E,"QBDT") + SUMIFS(Accounts!$AI:$AI,Accounts!$B:$B,"none",Accounts!$AS:$AS, "Other",Accounts!$E:$E,"QBDT") + SUMIFS(Accounts!$AO:$AO,Accounts!$B:$B,"none",Accounts!$AS:$AS, "Other",Accounts!$E:$E,"QBDT")</f>
        <v>0</v>
      </c>
      <c r="OL4" s="59">
        <f>(SUMIFS(Accounts!$AC:$AC,Accounts!$B:$B,"none",Accounts!$AS:$AS, "Other",Accounts!$E:$E,"QBDT")+SUMIFS(Accounts!$AF:$AF,Accounts!$B:$B,"none",Accounts!$AS:$AS, "Other",Accounts!$E:$E,"QBDT")+SUMIFS(Accounts!$AK:$AK,Accounts!$B:$B,"none",Accounts!$AS:$AS, "Other",Accounts!$E:$E,"QBDT"))</f>
        <v>0</v>
      </c>
      <c r="OM4" s="59">
        <f>SUMIFS(Accounts!$AB:$AB,Accounts!$B:$B,"none",Accounts!$AS:$AS, "Other",Accounts!$E:$E,"QBDT")</f>
        <v>0</v>
      </c>
      <c r="ON4" s="59">
        <f>SUMIFS(Accounts!$AD:$AD,Accounts!$B:$B,"none",Accounts!$AS:$AS, "Other",Accounts!$E:$E,"QBDT")+SUMIFS(Accounts!$AM:$AM,Accounts!$B:$B,"none",Accounts!$AS:$AS, "Other",Accounts!$E:$E,"QBDT")+SUMIFS(Accounts!$AN:$AN,Accounts!$B:$B,"none",Accounts!$AS:$AS, "Other",Accounts!$E:$E,"QBDT")</f>
        <v>0</v>
      </c>
      <c r="OO4" s="43">
        <f>SUMIFS(Accounts!$AE:$AE,Accounts!$B:$B,"none",Accounts!$AS:$AS, "Other",Accounts!$E:$E,"QBDT") + SUMIFS(Accounts!$AP:$AP,Accounts!$B:$B,"none",Accounts!$AS:$AS, "Other",Accounts!$E:$E,"QBDT")</f>
        <v>0</v>
      </c>
      <c r="OP4" s="59">
        <f>SUMIFS(Accounts!$Z:$Z,Accounts!$B:$B,"none",Accounts!$AS:$AS, "Other",Accounts!$E:$E,"QBDT")</f>
        <v>0</v>
      </c>
      <c r="OQ4" s="43">
        <f>SUMIFS(Accounts!$AG:$AG,Accounts!$B:$B,"none",Accounts!$AS:$AS, "Other",Accounts!$E:$E,"QBDT") + SUMIFS(Accounts!$AL:$AL,Accounts!$B:$B,"none",Accounts!$AS:$AS, "Other",Accounts!$E:$E,"QBDT")</f>
        <v>0</v>
      </c>
      <c r="OR4" s="59">
        <f>SUMIFS(Accounts!$AQ:$AQ,Accounts!$B:$B,"none",Accounts!$AS:$AS, "Other",Accounts!$E:$E,"QBDT")</f>
        <v>0</v>
      </c>
      <c r="OS4" s="38" t="e">
        <f>((OS22+OS25)/((OS21*$C$2)+(0.5*OS24*$C$2)))*$C$2</f>
        <v>#VALUE!</v>
      </c>
      <c r="OT4" s="43">
        <f>COUNTIFS(Accounts!$AS:$AS, "Accounting and Bookkeeping",Accounts!$B:$B,"none",Accounts!$E:$E,"QBDT")</f>
        <v>0</v>
      </c>
      <c r="OU4" s="37">
        <f>COUNTIFS(Accounts!$AS:$AS, "Accounting and Bookkeeping",Accounts!$B:$B,"Customer",Accounts!$E:$E,"QBDT")</f>
        <v>1</v>
      </c>
      <c r="OV4" s="41">
        <f>SUMIFS(Accounts!$I:$I,Accounts!$AS:$AS, "Accounting and Bookkeeping",Accounts!$E:$E,"QBDT")</f>
        <v>0</v>
      </c>
      <c r="OW4" s="41">
        <f>SUMIFS(Accounts!$N:$N,Accounts!$AS:$AS, "Accounting and Bookkeeping",Accounts!$E:$E,"QBDT")</f>
        <v>0</v>
      </c>
      <c r="OX4" s="41">
        <f>OV4/(OU4+OS24)</f>
        <v>0</v>
      </c>
      <c r="OY4" s="41">
        <f>(OV4+OW4)/(OU4+OS24)</f>
        <v>0</v>
      </c>
      <c r="OZ4" s="41" t="e">
        <f>OS20*OX4</f>
        <v>#VALUE!</v>
      </c>
      <c r="PA4" s="41">
        <f>IFERROR(AVERAGEIFS(Accounts!$AY:$AY,Accounts!$AS:$AS, "Accounting and Bookkeeping",Accounts!$B:$B,"Customer",Accounts!$AY:$AY,"&gt;0",Accounts!$E:$E,"QBDT"),0)</f>
        <v>0</v>
      </c>
      <c r="PB4" s="37">
        <f>IFERROR(AVERAGEIFS(Accounts!$AX:$AX,Accounts!$AS:$AS, "Accounting and Bookkeeping",Accounts!$B:$B,"Customer",Accounts!$AX:$AX,"&gt;0",Accounts!$E:$E,"QBDT"),0)</f>
        <v>0</v>
      </c>
      <c r="PC4" s="41">
        <f>IFERROR(AVERAGEIFS(Accounts!$AY:$AY,Accounts!$AS:$AS,"Accounting and Bookkeeping",Accounts!$B:$B,"none",Accounts!$AY:$AY,"&gt;0",Accounts!$E:$E,"QBDT"),0)</f>
        <v>0</v>
      </c>
      <c r="PD4" s="37">
        <f>IFERROR(AVERAGEIFS(Accounts!$AX:$AX,Accounts!$AS:$AS,"Accounting and Bookkeeping",Accounts!$B:$B,"none",Accounts!$AX:$AX,"&gt;0",Accounts!$E:$E,"QBDT"),0)</f>
        <v>0</v>
      </c>
      <c r="PE4" s="59">
        <f>SUMIFS(Accounts!$AA:$AA,Accounts!$B:$B,"Customer",Accounts!$AS:$AS, "Accounting and Bookkeeping",Accounts!$E:$E,"QBDT") + SUMIFS(Accounts!$AH:$AH,Accounts!$B:$B,"Customer",Accounts!$AS:$AS, "Accounting and Bookkeeping",Accounts!$E:$E,"QBDT") + SUMIFS(Accounts!$AJ:$AJ,Accounts!$B:$B,"Customer",Accounts!$AS:$AS, "Accounting and Bookkeeping",Accounts!$E:$E,"QBDT") + SUMIFS(Accounts!$AI:$AI,Accounts!$B:$B,"Customer",Accounts!$AS:$AS, "Accounting and Bookkeeping",Accounts!$E:$E,"QBDT") + SUMIFS(Accounts!$AO:$AO,Accounts!$B:$B,"Customer",Accounts!$AS:$AS, "Accounting and Bookkeeping",Accounts!$E:$E,"QBDT")</f>
        <v>0</v>
      </c>
      <c r="PF4" s="59">
        <f>(SUMIFS(Accounts!$AC:$AC,Accounts!$B:$B,"Customer",Accounts!$AS:$AS, "Accounting and Bookkeeping",Accounts!$E:$E,"QBDT")+SUMIFS(Accounts!$AF:$AF,Accounts!$B:$B,"Customer",Accounts!$AS:$AS, "Accounting and Bookkeeping",Accounts!$E:$E,"QBDT")+SUMIFS(Accounts!$AK:$AK,Accounts!$B:$B,"Customer",Accounts!$AS:$AS, "Accounting and Bookkeeping",Accounts!$E:$E,"QBDT"))</f>
        <v>0</v>
      </c>
      <c r="PG4" s="59">
        <f>SUMIFS(Accounts!$AB:$AB,Accounts!$B:$B,"Customer",Accounts!$AS:$AS, "Accounting and Bookkeeping",Accounts!$E:$E,"QBDT")</f>
        <v>0</v>
      </c>
      <c r="PH4" s="59">
        <f>SUMIFS(Accounts!$AD:$AD,Accounts!$B:$B,"Customer",Accounts!$AS:$AS, "Accounting and Bookkeeping",Accounts!$E:$E,"QBDT")+SUMIFS(Accounts!$AM:$AM,Accounts!$B:$B,"Customer",Accounts!$AS:$AS, "Accounting and Bookkeeping",Accounts!$E:$E,"QBDT")+SUMIFS(Accounts!$AN:$AN,Accounts!$B:$B,"Customer",Accounts!$AS:$AS, "Accounting and Bookkeeping",Accounts!$E:$E,"QBDT")</f>
        <v>0</v>
      </c>
      <c r="PI4" s="59">
        <f>SUMIFS(Accounts!$AE:$AE,Accounts!$B:$B,"Customer",Accounts!$AS:$AS, "Accounting and Bookkeeping",Accounts!$E:$E,"QBDT") + SUMIFS(Accounts!$AP:$AP,Accounts!$B:$B,"Customer",Accounts!$AS:$AS, "Accounting and Bookkeeping",Accounts!$E:$E,"QBDT")</f>
        <v>0</v>
      </c>
      <c r="PJ4" s="59">
        <f>SUMIFS(Accounts!$Z:$Z,Accounts!$B:$B,"Customer",Accounts!$AS:$AS, "Accounting and Bookkeeping",Accounts!$E:$E,"QBDT")</f>
        <v>0</v>
      </c>
      <c r="PK4" s="59">
        <f>SUMIFS(Accounts!$AG:$AG,Accounts!$B:$B,"Customer",Accounts!$AS:$AS, "Accounting and Bookkeeping",Accounts!$E:$E,"QBDT") + SUMIFS(Accounts!$AL:$AL,Accounts!$B:$B,"Customer",Accounts!$AS:$AS, "Accounting and Bookkeeping",Accounts!$E:$E,"QBDT")</f>
        <v>0</v>
      </c>
      <c r="PL4" s="59">
        <f>SUMIFS(Accounts!$AQ:$AQ,Accounts!$B:$B,"Customer",Accounts!$AS:$AS, "Accounting and Bookkeeping",Accounts!$E:$E,"QBDT")</f>
        <v>1</v>
      </c>
      <c r="PM4" s="59">
        <f>SUMIFS(Accounts!$AA:$AA,Accounts!$B:$B,"none",Accounts!$AS:$AS, "Accounting and Bookkeeping",Accounts!$E:$E,"QBDT") + SUMIFS(Accounts!$AH:$AH,Accounts!$B:$B,"none",Accounts!$AS:$AS, "Accounting and Bookkeeping",Accounts!$E:$E,"QBDT") + SUMIFS(Accounts!$AJ:$AJ,Accounts!$B:$B,"none",Accounts!$AS:$AS, "Accounting and Bookkeeping",Accounts!$E:$E,"QBDT") + SUMIFS(Accounts!$AI:$AI,Accounts!$B:$B,"none",Accounts!$AS:$AS, "Accounting and Bookkeeping",Accounts!$E:$E,"QBDT") + SUMIFS(Accounts!$AO:$AO,Accounts!$B:$B,"none",Accounts!$AS:$AS, "Accounting and Bookkeeping",Accounts!$E:$E,"QBDT")</f>
        <v>0</v>
      </c>
      <c r="PN4" s="59">
        <f>(SUMIFS(Accounts!$AC:$AC,Accounts!$B:$B,"none",Accounts!$AS:$AS, "Accounting and Bookkeeping",Accounts!$E:$E,"QBDT")+SUMIFS(Accounts!$AF:$AF,Accounts!$B:$B,"none",Accounts!$AS:$AS, "Accounting and Bookkeeping",Accounts!$E:$E,"QBDT")+SUMIFS(Accounts!$AK:$AK,Accounts!$B:$B,"none",Accounts!$AS:$AS, "Accounting and Bookkeeping",Accounts!$E:$E,"QBDT"))</f>
        <v>0</v>
      </c>
      <c r="PO4" s="59">
        <f>SUMIFS(Accounts!$AB:$AB,Accounts!$B:$B,"none",Accounts!$AS:$AS, "Accounting and Bookkeeping",Accounts!$E:$E,"QBDT")</f>
        <v>0</v>
      </c>
      <c r="PP4" s="59">
        <f>SUMIFS(Accounts!$AD:$AD,Accounts!$B:$B,"none",Accounts!$AS:$AS, "Accounting and Bookkeeping",Accounts!$E:$E,"QBDT")+SUMIFS(Accounts!$AM:$AM,Accounts!$B:$B,"none",Accounts!$AS:$AS, "Accounting and Bookkeeping",Accounts!$E:$E,"QBDT")+SUMIFS(Accounts!$AN:$AN,Accounts!$B:$B,"none",Accounts!$AS:$AS, "Accounting and Bookkeeping",Accounts!$E:$E,"QBDT")</f>
        <v>0</v>
      </c>
      <c r="PQ4" s="43">
        <f>SUMIFS(Accounts!$AE:$AE,Accounts!$B:$B,"none",Accounts!$AS:$AS, "Accounting and Bookkeeping",Accounts!$E:$E,"QBDT") + SUMIFS(Accounts!$AP:$AP,Accounts!$B:$B,"none",Accounts!$AS:$AS, "Accounting and Bookkeeping",Accounts!$E:$E,"QBDT")</f>
        <v>0</v>
      </c>
      <c r="PR4" s="59">
        <f>SUMIFS(Accounts!$Z:$Z,Accounts!$B:$B,"none",Accounts!$AS:$AS, "Accounting and Bookkeeping",Accounts!$E:$E,"QBDT")</f>
        <v>0</v>
      </c>
      <c r="PS4" s="43">
        <f>SUMIFS(Accounts!$AG:$AG,Accounts!$B:$B,"none",Accounts!$AS:$AS, "Accounting and Bookkeeping",Accounts!$E:$E,"QBDT") + SUMIFS(Accounts!$AL:$AL,Accounts!$B:$B,"none",Accounts!$AS:$AS, "Accounting and Bookkeeping",Accounts!$E:$E,"QBDT")</f>
        <v>0</v>
      </c>
      <c r="PT4" s="59">
        <f>SUMIFS(Accounts!$AQ:$AQ,Accounts!$B:$B,"none",Accounts!$AS:$AS, "Accounting and Bookkeeping",Accounts!$E:$E,"QBDT")</f>
        <v>0</v>
      </c>
    </row>
    <row r="5" ht="16" s="35" customFormat="1">
      <c r="B5" s="36"/>
      <c r="C5" s="37"/>
    </row>
    <row r="6" ht="16" s="44" customFormat="1">
      <c r="B6" s="45"/>
      <c r="C6" s="46"/>
      <c r="S6" s="47"/>
      <c r="T6" s="47"/>
      <c r="AZ6" s="58" t="s">
        <v>1</v>
      </c>
      <c r="BA6" s="47" t="s">
        <v>6007</v>
      </c>
      <c r="BC6" s="48" t="e">
        <f ref="BC6:BL6" t="shared" si="3">IF(BC2&lt;0.005,120,1/BC2)</f>
        <v>#VALUE!</v>
      </c>
      <c r="BD6" s="48" t="e">
        <f t="shared" si="3"/>
        <v>#VALUE!</v>
      </c>
      <c r="BE6" s="48" t="e">
        <f t="shared" si="3"/>
        <v>#VALUE!</v>
      </c>
      <c r="BF6" s="48" t="e">
        <f t="shared" si="3"/>
        <v>#VALUE!</v>
      </c>
      <c r="BG6" s="48" t="e">
        <f t="shared" si="3"/>
        <v>#VALUE!</v>
      </c>
      <c r="BH6" s="48" t="e">
        <f t="shared" si="3"/>
        <v>#VALUE!</v>
      </c>
      <c r="BI6" s="48" t="e">
        <f t="shared" si="3"/>
        <v>#VALUE!</v>
      </c>
      <c r="BJ6" s="48" t="e">
        <f t="shared" si="3"/>
        <v>#VALUE!</v>
      </c>
      <c r="BK6" s="48" t="e">
        <f t="shared" si="3"/>
        <v>#VALUE!</v>
      </c>
      <c r="BL6" s="48" t="e">
        <f t="shared" si="3"/>
        <v>#VALUE!</v>
      </c>
      <c r="CJ6" s="47"/>
      <c r="CQ6" s="48"/>
      <c r="CR6" s="48"/>
      <c r="CS6" s="57"/>
      <c r="CT6" s="47"/>
      <c r="CU6" s="57" t="s">
        <v>1</v>
      </c>
      <c r="CV6" s="47" t="s">
        <v>6007</v>
      </c>
      <c r="CW6" s="48" t="e">
        <f>IF(CW$2=0,120,1/CW$2)</f>
        <v>#VALUE!</v>
      </c>
      <c r="DV6" s="57"/>
      <c r="DW6" s="57" t="s">
        <v>1</v>
      </c>
      <c r="DX6" s="47" t="s">
        <v>6007</v>
      </c>
      <c r="DY6" s="48" t="e">
        <f>IF(DY$2=0,120,1/DY$2)</f>
        <v>#VALUE!</v>
      </c>
      <c r="EX6" s="57"/>
      <c r="EY6" s="57" t="s">
        <v>1</v>
      </c>
      <c r="EZ6" s="47" t="s">
        <v>6007</v>
      </c>
      <c r="FA6" s="48" t="e">
        <f>IF(FA$2=0,120,1/FA$2)</f>
        <v>#VALUE!</v>
      </c>
      <c r="FZ6" s="57"/>
      <c r="GA6" s="57" t="s">
        <v>1</v>
      </c>
      <c r="GB6" s="47" t="s">
        <v>6007</v>
      </c>
      <c r="GC6" s="48" t="e">
        <f>IF(GC$2=0,120,1/GC$2)</f>
        <v>#VALUE!</v>
      </c>
      <c r="HB6" s="57"/>
      <c r="HC6" s="57" t="s">
        <v>1</v>
      </c>
      <c r="HD6" s="47" t="s">
        <v>6007</v>
      </c>
      <c r="HE6" s="48" t="e">
        <f>IF(HE$2=0,120,1/HE$2)</f>
        <v>#VALUE!</v>
      </c>
      <c r="ID6" s="57"/>
      <c r="IE6" s="57" t="s">
        <v>1</v>
      </c>
      <c r="IF6" s="47" t="s">
        <v>6007</v>
      </c>
      <c r="IG6" s="48" t="e">
        <f>IF(IG$2=0,120,1/IG$2)</f>
        <v>#VALUE!</v>
      </c>
      <c r="JF6" s="57"/>
      <c r="JG6" s="57" t="s">
        <v>1</v>
      </c>
      <c r="JH6" s="47" t="s">
        <v>6007</v>
      </c>
      <c r="JI6" s="48" t="e">
        <f>IF(JI$2=0,120,1/JI$2)</f>
        <v>#VALUE!</v>
      </c>
      <c r="KH6" s="57"/>
      <c r="KI6" s="57" t="s">
        <v>1</v>
      </c>
      <c r="KJ6" s="47" t="s">
        <v>6007</v>
      </c>
      <c r="KK6" s="48" t="e">
        <f>IF(KK$2=0,120,1/KK$2)</f>
        <v>#VALUE!</v>
      </c>
      <c r="LJ6" s="57"/>
      <c r="LK6" s="57" t="s">
        <v>1</v>
      </c>
      <c r="LL6" s="47" t="s">
        <v>6007</v>
      </c>
      <c r="LM6" s="48" t="e">
        <f>IF(LM$2=0,120,1/LM$2)</f>
        <v>#VALUE!</v>
      </c>
      <c r="ML6" s="57"/>
      <c r="MM6" s="57" t="s">
        <v>1</v>
      </c>
      <c r="MN6" s="47" t="s">
        <v>6007</v>
      </c>
      <c r="MO6" s="48" t="e">
        <f>IF(MO$2=0,120,1/MO$2)</f>
        <v>#VALUE!</v>
      </c>
      <c r="NN6" s="57"/>
      <c r="NO6" s="57" t="s">
        <v>1</v>
      </c>
      <c r="NP6" s="47" t="s">
        <v>6007</v>
      </c>
      <c r="NQ6" s="48" t="e">
        <f>IF(NQ$2=0,120,1/NQ$2)</f>
        <v>#VALUE!</v>
      </c>
      <c r="OP6" s="57"/>
      <c r="OQ6" s="57" t="s">
        <v>1</v>
      </c>
      <c r="OR6" s="47" t="s">
        <v>6007</v>
      </c>
      <c r="OS6" s="48" t="e">
        <f>IF(OS$2=0,120,1/OS$2)</f>
        <v>#VALUE!</v>
      </c>
      <c r="PR6" s="57"/>
      <c r="PS6" s="57"/>
      <c r="PT6" s="47"/>
    </row>
    <row r="7" ht="16" s="44" customFormat="1">
      <c r="B7" s="49" t="s">
        <v>6008</v>
      </c>
      <c r="C7" s="50" t="e">
        <f>YEAR(B2)</f>
        <v>#VALUE!</v>
      </c>
      <c r="S7" s="47"/>
      <c r="T7" s="47"/>
      <c r="AZ7" s="58" t="s">
        <v>1</v>
      </c>
      <c r="BA7" s="47" t="s">
        <v>6009</v>
      </c>
      <c r="BC7" s="48">
        <f>COUNTIF(Accounts!$B:$B,"Customer")</f>
        <v>1</v>
      </c>
      <c r="BD7" s="62">
        <f>SUMIFS(Accounts!$AA:$AA,Accounts!$B:$B,"Customer") + SUMIFS(Accounts!$AH:$AH,Accounts!$B:$B,"Customer") + SUMIFS(Accounts!$AJ:$AJ,Accounts!$B:$B,"Customer") + SUMIFS(Accounts!$AI:$AI,Accounts!$B:$B,"Customer") + SUMIFS(Accounts!$AO:$AO,Accounts!$B:$B,"Customer")</f>
        <v>0</v>
      </c>
      <c r="BE7" s="62">
        <f>(SUMIFS(Accounts!$AC:$AC,Accounts!$B:$B,"Customer")+SUMIFS(Accounts!$AF:$AF,Accounts!$B:$B,"Customer")+SUMIFS(Accounts!$AK:$AK,Accounts!$B:$B,"Customer"))</f>
        <v>0</v>
      </c>
      <c r="BF7" s="62">
        <f>SUMIFS(Accounts!$AB:$AB,Accounts!$B:$B,"Customer")</f>
        <v>0</v>
      </c>
      <c r="BG7" s="62">
        <f>SUMIFS(Accounts!$AD:$AD,Accounts!$B:$B,"Customer")+SUMIFS(Accounts!$AM:$AM,Accounts!$B:$B,"Customer")+SUMIFS(Accounts!$AN:$AN,Accounts!$B:$B,"Customer")</f>
        <v>0</v>
      </c>
      <c r="BH7" s="62">
        <f>SUMIFS(Accounts!$AE:$AE,Accounts!$B:$B,"Customer") + SUMIFS(Accounts!$AP:$AP,Accounts!$B:$B,"Customer")+SUMIFS(Accounts!$Z:$Z,Accounts!$B:$B,"Customer")+SUMIFS(Accounts!$AG:$AG,Accounts!$B:$B,"Customer") + SUMIFS(Accounts!$AL:$AL,Accounts!$B:$B,"Customer")</f>
        <v>0</v>
      </c>
      <c r="BI7" s="62">
        <f>SUMIFS(Accounts!$AE:$AE,Accounts!$B:$B,"Customer") + SUMIFS(Accounts!$AP:$AP,Accounts!$B:$B,"Customer")</f>
        <v>0</v>
      </c>
      <c r="BJ7" s="62">
        <f>SUMIFS(Accounts!$Z:$Z,Accounts!$B:$B,"Customer")</f>
        <v>0</v>
      </c>
      <c r="BK7" s="62">
        <f>SUMIFS(Accounts!$AG:$AG,Accounts!$B:$B,"Customer") + SUMIFS(Accounts!$AL:$AL,Accounts!$B:$B,"Customer")</f>
        <v>0</v>
      </c>
      <c r="BL7" s="62">
        <f>SUMIFS(Accounts!$AQ:$AQ,Accounts!$B:$B,"Customer")</f>
        <v>1</v>
      </c>
      <c r="CJ7" s="47"/>
      <c r="CM7" s="48"/>
      <c r="CS7" s="57"/>
      <c r="CT7" s="47"/>
      <c r="CU7" s="57" t="s">
        <v>1</v>
      </c>
      <c r="CV7" s="47" t="s">
        <v>6009</v>
      </c>
      <c r="CW7" s="48">
        <f>COUNTIFS(Accounts!$AS:$AS, "Manufacturing (MWD)",Accounts!$B:$B,"Customer")</f>
        <v>0</v>
      </c>
      <c r="DV7" s="57"/>
      <c r="DW7" s="57" t="s">
        <v>1</v>
      </c>
      <c r="DX7" s="47" t="s">
        <v>6009</v>
      </c>
      <c r="DY7" s="48">
        <f>COUNTIFS(Accounts!$AS:$AS, "Wholesale and distribution services (MWD)",Accounts!$B:$B,"Customer")</f>
        <v>0</v>
      </c>
      <c r="EX7" s="57"/>
      <c r="EY7" s="57" t="s">
        <v>1</v>
      </c>
      <c r="EZ7" s="47" t="s">
        <v>6009</v>
      </c>
      <c r="FA7" s="48">
        <f>COUNTIFS(Accounts!$AS:$AS, "Construction",Accounts!$B:$B,"Customer")</f>
        <v>0</v>
      </c>
      <c r="FZ7" s="57"/>
      <c r="GA7" s="57" t="s">
        <v>1</v>
      </c>
      <c r="GB7" s="47" t="s">
        <v>6009</v>
      </c>
      <c r="GC7" s="48">
        <f>COUNTIFS(Accounts!$AS:$AS, "Field Services",Accounts!$B:$B,"Customer")</f>
        <v>0</v>
      </c>
      <c r="HB7" s="57"/>
      <c r="HC7" s="57" t="s">
        <v>1</v>
      </c>
      <c r="HD7" s="47" t="s">
        <v>6009</v>
      </c>
      <c r="HE7" s="48">
        <f>COUNTIFS(Accounts!$AS:$AS, "Consulting and Professional Services",Accounts!$B:$B,"Customer")</f>
        <v>0</v>
      </c>
      <c r="ID7" s="57"/>
      <c r="IE7" s="57" t="s">
        <v>1</v>
      </c>
      <c r="IF7" s="47" t="s">
        <v>6009</v>
      </c>
      <c r="IG7" s="48">
        <f>COUNTIFS(Accounts!$AS:$AS, "Retail",Accounts!$B:$B,"Customer")</f>
        <v>0</v>
      </c>
      <c r="JF7" s="57"/>
      <c r="JG7" s="57" t="s">
        <v>1</v>
      </c>
      <c r="JH7" s="47" t="s">
        <v>6009</v>
      </c>
      <c r="JI7" s="48">
        <f>COUNTIFS(Accounts!$AS:$AS, "Non-profit, govt or religious organization",Accounts!$B:$B,"Customer")</f>
        <v>0</v>
      </c>
      <c r="KH7" s="57"/>
      <c r="KI7" s="57" t="s">
        <v>1</v>
      </c>
      <c r="KJ7" s="47" t="s">
        <v>6009</v>
      </c>
      <c r="KK7" s="48">
        <f>COUNTIFS(Accounts!$AS:$AS, "Communications, Entertainment and Media",Accounts!$B:$B,"Customer")</f>
        <v>0</v>
      </c>
      <c r="LJ7" s="57"/>
      <c r="LK7" s="57" t="s">
        <v>1</v>
      </c>
      <c r="LL7" s="47" t="s">
        <v>6009</v>
      </c>
      <c r="LM7" s="48">
        <f>COUNTIFS(Accounts!$AS:$AS, "IT and computer related",Accounts!$B:$B,"Customer")</f>
        <v>0</v>
      </c>
      <c r="ML7" s="57"/>
      <c r="MM7" s="57" t="s">
        <v>1</v>
      </c>
      <c r="MN7" s="47" t="s">
        <v>6009</v>
      </c>
      <c r="MO7" s="48">
        <f>COUNTIFS(Accounts!$AS:$AS, {"General service based","General"},Accounts!$B:$B,"Customer")</f>
        <v>0</v>
      </c>
      <c r="NN7" s="57"/>
      <c r="NO7" s="57" t="s">
        <v>1</v>
      </c>
      <c r="NP7" s="47" t="s">
        <v>6009</v>
      </c>
      <c r="NQ7" s="48">
        <f>COUNTIFS(Accounts!$AS:$AS, "Other",Accounts!$B:$B,"Customer")</f>
        <v>0</v>
      </c>
      <c r="OP7" s="57"/>
      <c r="OQ7" s="57" t="s">
        <v>1</v>
      </c>
      <c r="OR7" s="47" t="s">
        <v>6009</v>
      </c>
      <c r="OS7" s="48">
        <f>COUNTIFS(Accounts!$AS:$AS, "Accounting and Bookkeeping",Accounts!$B:$B,"Customer")</f>
        <v>1</v>
      </c>
      <c r="PR7" s="57"/>
      <c r="PS7" s="57"/>
      <c r="PT7" s="47"/>
    </row>
    <row r="8" ht="16" s="44" customFormat="1">
      <c r="B8" s="51" t="s">
        <v>6010</v>
      </c>
      <c r="C8" s="50" t="e">
        <f>MONTH(B2)</f>
        <v>#VALUE!</v>
      </c>
      <c r="J8" s="52"/>
      <c r="S8" s="47"/>
      <c r="T8" s="47"/>
      <c r="AZ8" s="58" t="s">
        <v>1</v>
      </c>
      <c r="BA8" s="47" t="s">
        <v>6011</v>
      </c>
      <c r="BC8" s="48">
        <f>COUNTIFS(Accounts!$B:$B,"Customer",Accounts!$C:$C,"Lost")</f>
        <v>0</v>
      </c>
      <c r="BD8" s="62">
        <f>SUMIFS(Accounts!$AA:$AA,Accounts!$B:$B,"Customer",Accounts!$C:$C,"Lost") + SUMIFS(Accounts!$AH:$AH,Accounts!$B:$B,"Customer",Accounts!$C:$C,"Lost") + SUMIFS(Accounts!$AJ:$AJ,Accounts!$B:$B,"Customer",Accounts!$C:$C,"Lost") + SUMIFS(Accounts!$AI:$AI,Accounts!$B:$B,"Customer",Accounts!$C:$C,"Lost") + SUMIFS(Accounts!$AO:$AO,Accounts!$B:$B,"Customer",Accounts!$C:$C,"Lost")</f>
        <v>0</v>
      </c>
      <c r="BE8" s="62">
        <f>(SUMIFS(Accounts!$AC:$AC,Accounts!$B:$B,"Customer",Accounts!$C:$C,"Lost")+SUMIFS(Accounts!$AF:$AF,Accounts!$B:$B,"Customer",Accounts!$C:$C,"Lost")+SUMIFS(Accounts!$AK:$AK,Accounts!$B:$B,"Customer",Accounts!$C:$C,"Lost"))</f>
        <v>0</v>
      </c>
      <c r="BF8" s="62">
        <f>SUMIFS(Accounts!$AB:$AB,Accounts!$B:$B,"Customer",Accounts!$C:$C,"Lost")</f>
        <v>0</v>
      </c>
      <c r="BG8" s="62">
        <f>SUMIFS(Accounts!$AD:$AD,Accounts!$B:$B,"Customer",Accounts!$C:$C,"Lost")+SUMIFS(Accounts!$AM:$AM,Accounts!$B:$B,"Customer",Accounts!$C:$C,"Lost")+SUMIFS(Accounts!$AN:$AN,Accounts!$B:$B,"Customer",Accounts!$C:$C,"Lost")</f>
        <v>0</v>
      </c>
      <c r="BH8" s="62">
        <f>SUMIFS(Accounts!$AE:$AE,Accounts!$B:$B,"Customer",Accounts!$C:$C,"Lost") + SUMIFS(Accounts!$AP:$AP,Accounts!$B:$B,"Customer",Accounts!$C:$C,"Lost")+SUMIFS(Accounts!$Z:$Z,Accounts!$B:$B,"Customer",Accounts!$C:$C,"Lost")+SUMIFS(Accounts!$AG:$AG,Accounts!$B:$B,"Customer",Accounts!$C:$C,"Lost") + SUMIFS(Accounts!$AL:$AL,Accounts!$B:$B,"Customer",Accounts!$C:$C,"Lost")</f>
        <v>0</v>
      </c>
      <c r="BI8" s="62">
        <f>SUMIFS(Accounts!$AE:$AE,Accounts!$B:$B,"Customer",Accounts!$C:$C,"Lost") + SUMIFS(Accounts!$AP:$AP,Accounts!$B:$B,"Customer",Accounts!$C:$C,"Lost")</f>
        <v>0</v>
      </c>
      <c r="BJ8" s="62">
        <f>SUMIFS(Accounts!$Z:$Z,Accounts!$B:$B,"Customer",Accounts!$C:$C,"Lost")</f>
        <v>0</v>
      </c>
      <c r="BK8" s="62">
        <f>SUMIFS(Accounts!$AG:$AG,Accounts!$B:$B,"Customer",Accounts!$C:$C,"Lost") + SUMIFS(Accounts!$AL:$AL,Accounts!$B:$B,"Customer",Accounts!$C:$C,"Lost")</f>
        <v>0</v>
      </c>
      <c r="BL8" s="62">
        <f>SUMIFS(Accounts!$AQ:$AQ,Accounts!$B:$B,"Customer",Accounts!$C:$C,"Lost")</f>
        <v>0</v>
      </c>
      <c r="CJ8" s="47"/>
      <c r="CS8" s="57"/>
      <c r="CT8" s="47"/>
      <c r="CU8" s="57" t="s">
        <v>1</v>
      </c>
      <c r="CV8" s="47" t="s">
        <v>6011</v>
      </c>
      <c r="CW8" s="48">
        <f>COUNTIFS(Accounts!$AS:$AS, "Manufacturing (MWD)",Accounts!$B:$B,"Customer",Accounts!$C:$C,"Lost")</f>
        <v>0</v>
      </c>
      <c r="DV8" s="57"/>
      <c r="DW8" s="57" t="s">
        <v>1</v>
      </c>
      <c r="DX8" s="47" t="s">
        <v>6011</v>
      </c>
      <c r="DY8" s="48">
        <f>COUNTIFS(Accounts!$AS:$AS, "Wholesale and distribution services (MWD)",Accounts!$B:$B,"Customer",Accounts!$C:$C,"Lost")</f>
        <v>0</v>
      </c>
      <c r="EX8" s="57"/>
      <c r="EY8" s="57" t="s">
        <v>1</v>
      </c>
      <c r="EZ8" s="47" t="s">
        <v>6011</v>
      </c>
      <c r="FA8" s="48">
        <f>COUNTIFS(Accounts!$AS:$AS, "Construction",Accounts!$B:$B,"Customer",Accounts!$C:$C,"Lost")</f>
        <v>0</v>
      </c>
      <c r="FZ8" s="57"/>
      <c r="GA8" s="57" t="s">
        <v>1</v>
      </c>
      <c r="GB8" s="47" t="s">
        <v>6011</v>
      </c>
      <c r="GC8" s="48">
        <f>COUNTIFS(Accounts!$AS:$AS, "Field Services",Accounts!$B:$B,"Customer",Accounts!$C:$C,"Lost")</f>
        <v>0</v>
      </c>
      <c r="HB8" s="57"/>
      <c r="HC8" s="57" t="s">
        <v>1</v>
      </c>
      <c r="HD8" s="47" t="s">
        <v>6011</v>
      </c>
      <c r="HE8" s="48">
        <f>COUNTIFS(Accounts!$AS:$AS, "Consulting and Professional Services",Accounts!$B:$B,"Customer",Accounts!$C:$C,"Lost")</f>
        <v>0</v>
      </c>
      <c r="ID8" s="57"/>
      <c r="IE8" s="57" t="s">
        <v>1</v>
      </c>
      <c r="IF8" s="47" t="s">
        <v>6011</v>
      </c>
      <c r="IG8" s="48">
        <f>COUNTIFS(Accounts!$AS:$AS, "Retail",Accounts!$B:$B,"Customer",Accounts!$C:$C,"Lost")</f>
        <v>0</v>
      </c>
      <c r="JF8" s="57"/>
      <c r="JG8" s="57" t="s">
        <v>1</v>
      </c>
      <c r="JH8" s="47" t="s">
        <v>6011</v>
      </c>
      <c r="JI8" s="48">
        <f>COUNTIFS(Accounts!$AS:$AS, "Non-profit, govt or religious organization",Accounts!$B:$B,"Customer",Accounts!$C:$C,"Lost")</f>
        <v>0</v>
      </c>
      <c r="KH8" s="57"/>
      <c r="KI8" s="57" t="s">
        <v>1</v>
      </c>
      <c r="KJ8" s="47" t="s">
        <v>6011</v>
      </c>
      <c r="KK8" s="48">
        <f>COUNTIFS(Accounts!$AS:$AS, "Communications, Entertainment and Media",Accounts!$B:$B,"Customer",Accounts!$C:$C,"Lost")</f>
        <v>0</v>
      </c>
      <c r="LJ8" s="57"/>
      <c r="LK8" s="57" t="s">
        <v>1</v>
      </c>
      <c r="LL8" s="47" t="s">
        <v>6011</v>
      </c>
      <c r="LM8" s="48">
        <f>COUNTIFS(Accounts!$AS:$AS, "IT and computer related",Accounts!$B:$B,"Customer",Accounts!$C:$C,"Lost")</f>
        <v>0</v>
      </c>
      <c r="ML8" s="57"/>
      <c r="MM8" s="57" t="s">
        <v>1</v>
      </c>
      <c r="MN8" s="47" t="s">
        <v>6011</v>
      </c>
      <c r="MO8" s="48">
        <f>COUNTIFS(Accounts!$AS:$AS, {"General service based","General"},Accounts!$B:$B,"Customer",Accounts!$C:$C,"Lost")</f>
        <v>0</v>
      </c>
      <c r="NN8" s="57"/>
      <c r="NO8" s="57" t="s">
        <v>1</v>
      </c>
      <c r="NP8" s="47" t="s">
        <v>6011</v>
      </c>
      <c r="NQ8" s="48">
        <f>COUNTIFS(Accounts!$AS:$AS, "Other",Accounts!$B:$B,"Customer",Accounts!$C:$C,"Lost")</f>
        <v>0</v>
      </c>
      <c r="OP8" s="57"/>
      <c r="OQ8" s="57" t="s">
        <v>1</v>
      </c>
      <c r="OR8" s="47" t="s">
        <v>6011</v>
      </c>
      <c r="OS8" s="48">
        <f>COUNTIFS(Accounts!$AS:$AS, "Accounting and Bookkeeping",Accounts!$B:$B,"Customer",Accounts!$C:$C,"Lost")</f>
        <v>0</v>
      </c>
      <c r="PR8" s="57"/>
      <c r="PS8" s="57"/>
      <c r="PT8" s="47"/>
    </row>
    <row r="9" ht="16" s="44" customFormat="1">
      <c r="B9" s="47" t="s">
        <v>6012</v>
      </c>
      <c r="C9" s="46" t="e">
        <f>EOMONTH($B$2,-1)</f>
        <v>#VALUE!</v>
      </c>
      <c r="J9" s="52"/>
      <c r="S9" s="47"/>
      <c r="T9" s="47"/>
      <c r="AZ9" s="58" t="s">
        <v>1</v>
      </c>
      <c r="BA9" s="47" t="s">
        <v>6013</v>
      </c>
      <c r="BC9" s="48">
        <f>COUNTIF(Accounts!$C:$C,"Customer")</f>
        <v>1</v>
      </c>
      <c r="BD9" s="62">
        <f>SUMIFS(Accounts!$AA:$AA,Accounts!$C:$C,"Customer") + SUMIFS(Accounts!$AH:$AH,Accounts!$C:$C,"Customer") + SUMIFS(Accounts!$AJ:$AJ,Accounts!$C:$C,"Customer") + SUMIFS(Accounts!$AI:$AI,Accounts!$C:$C,"Customer") + SUMIFS(Accounts!$AO:$AO,Accounts!$C:$C,"Customer")</f>
        <v>0</v>
      </c>
      <c r="BE9" s="62">
        <f>(SUMIFS(Accounts!$AC:$AC,Accounts!$C:$C,"Customer")+SUMIFS(Accounts!$AF:$AF,Accounts!$C:$C,"Customer")+SUMIFS(Accounts!$AK:$AK,Accounts!$C:$C,"Customer"))</f>
        <v>0</v>
      </c>
      <c r="BF9" s="62">
        <f>SUMIFS(Accounts!$AB:$AB,Accounts!$C:$C,"Customer")</f>
        <v>0</v>
      </c>
      <c r="BG9" s="62">
        <f>SUMIFS(Accounts!$AD:$AD,Accounts!$C:$C,"Customer")+SUMIFS(Accounts!$AM:$AM,Accounts!$C:$C,"Customer")+SUMIFS(Accounts!$AN:$AN,Accounts!$C:$C,"Customer")</f>
        <v>0</v>
      </c>
      <c r="BH9" s="62">
        <f>SUMIFS(Accounts!$AE:$AE,Accounts!$C:$C,"Customer") + SUMIFS(Accounts!$AP:$AP,Accounts!$C:$C,"Customer")+SUMIFS(Accounts!$Z:$Z,Accounts!$C:$C,"Customer")+SUMIFS(Accounts!$AG:$AG,Accounts!$C:$C,"Customer") + SUMIFS(Accounts!$AL:$AL,Accounts!$C:$C,"Customer")</f>
        <v>0</v>
      </c>
      <c r="BI9" s="62">
        <f>SUMIFS(Accounts!$AE:$AE,Accounts!$C:$C,"Customer") + SUMIFS(Accounts!$AP:$AP,Accounts!$C:$C,"Customer")</f>
        <v>0</v>
      </c>
      <c r="BJ9" s="62">
        <f>SUMIFS(Accounts!$Z:$Z,Accounts!$C:$C,"Customer")</f>
        <v>0</v>
      </c>
      <c r="BK9" s="62">
        <f>SUMIFS(Accounts!$AG:$AG,Accounts!$C:$C,"Customer") + SUMIFS(Accounts!$AL:$AL,Accounts!$C:$C,"Customer")</f>
        <v>0</v>
      </c>
      <c r="BL9" s="62">
        <f>SUMIFS(Accounts!$AQ:$AQ,Accounts!$C:$C,"Customer")</f>
        <v>1</v>
      </c>
      <c r="CJ9" s="47"/>
      <c r="CM9" s="48"/>
      <c r="CS9" s="57"/>
      <c r="CT9" s="47"/>
      <c r="CU9" s="57" t="s">
        <v>1</v>
      </c>
      <c r="CV9" s="47" t="s">
        <v>6013</v>
      </c>
      <c r="CW9" s="48">
        <f>COUNTIFS(Accounts!$AS:$AS, "Manufacturing (MWD)",Accounts!$C:$C,"Customer")</f>
        <v>0</v>
      </c>
      <c r="DV9" s="57"/>
      <c r="DW9" s="57" t="s">
        <v>1</v>
      </c>
      <c r="DX9" s="47" t="s">
        <v>6013</v>
      </c>
      <c r="DY9" s="48">
        <f>COUNTIFS(Accounts!$AS:$AS, "Wholesale and distribution services (MWD)",Accounts!$C:$C,"Customer")</f>
        <v>0</v>
      </c>
      <c r="EX9" s="57"/>
      <c r="EY9" s="57" t="s">
        <v>1</v>
      </c>
      <c r="EZ9" s="47" t="s">
        <v>6013</v>
      </c>
      <c r="FA9" s="48">
        <f>COUNTIFS(Accounts!$AS:$AS, "Construction",Accounts!$C:$C,"Customer")</f>
        <v>0</v>
      </c>
      <c r="FZ9" s="57"/>
      <c r="GA9" s="57" t="s">
        <v>1</v>
      </c>
      <c r="GB9" s="47" t="s">
        <v>6013</v>
      </c>
      <c r="GC9" s="48">
        <f>COUNTIFS(Accounts!$AS:$AS, "Field Services",Accounts!$C:$C,"Customer")</f>
        <v>0</v>
      </c>
      <c r="HB9" s="57"/>
      <c r="HC9" s="57" t="s">
        <v>1</v>
      </c>
      <c r="HD9" s="47" t="s">
        <v>6013</v>
      </c>
      <c r="HE9" s="48">
        <f>COUNTIFS(Accounts!$AS:$AS, "Consulting and Professional Services",Accounts!$C:$C,"Customer")</f>
        <v>0</v>
      </c>
      <c r="ID9" s="57"/>
      <c r="IE9" s="57" t="s">
        <v>1</v>
      </c>
      <c r="IF9" s="47" t="s">
        <v>6013</v>
      </c>
      <c r="IG9" s="48">
        <f>COUNTIFS(Accounts!$AS:$AS, "Retail",Accounts!$C:$C,"Customer")</f>
        <v>0</v>
      </c>
      <c r="JF9" s="57"/>
      <c r="JG9" s="57" t="s">
        <v>1</v>
      </c>
      <c r="JH9" s="47" t="s">
        <v>6013</v>
      </c>
      <c r="JI9" s="48">
        <f>COUNTIFS(Accounts!$AS:$AS, "Non-profit, govt or religious organization",Accounts!$C:$C,"Customer")</f>
        <v>0</v>
      </c>
      <c r="KH9" s="57"/>
      <c r="KI9" s="57" t="s">
        <v>1</v>
      </c>
      <c r="KJ9" s="47" t="s">
        <v>6013</v>
      </c>
      <c r="KK9" s="48">
        <f>COUNTIFS(Accounts!$AS:$AS, "Communications, Entertainment and Media",Accounts!$C:$C,"Customer")</f>
        <v>0</v>
      </c>
      <c r="LJ9" s="57"/>
      <c r="LK9" s="57" t="s">
        <v>1</v>
      </c>
      <c r="LL9" s="47" t="s">
        <v>6013</v>
      </c>
      <c r="LM9" s="48">
        <f>COUNTIFS(Accounts!$AS:$AS, "IT and computer related",Accounts!$C:$C,"Customer")</f>
        <v>0</v>
      </c>
      <c r="ML9" s="57"/>
      <c r="MM9" s="57" t="s">
        <v>1</v>
      </c>
      <c r="MN9" s="47" t="s">
        <v>6013</v>
      </c>
      <c r="MO9" s="48">
        <f>COUNTIFS(Accounts!$AS:$AS, {"General service based","General"},Accounts!$C:$C,"Customer")</f>
        <v>0</v>
      </c>
      <c r="NN9" s="57"/>
      <c r="NO9" s="57" t="s">
        <v>1</v>
      </c>
      <c r="NP9" s="47" t="s">
        <v>6013</v>
      </c>
      <c r="NQ9" s="48">
        <f>COUNTIFS(Accounts!$AS:$AS, "Other",Accounts!$C:$C,"Customer")</f>
        <v>0</v>
      </c>
      <c r="OP9" s="57"/>
      <c r="OQ9" s="57" t="s">
        <v>1</v>
      </c>
      <c r="OR9" s="47" t="s">
        <v>6013</v>
      </c>
      <c r="OS9" s="48">
        <f>COUNTIFS(Accounts!$AS:$AS, "Accounting and Bookkeeping",Accounts!$C:$C,"Customer")</f>
        <v>1</v>
      </c>
      <c r="PR9" s="57"/>
      <c r="PS9" s="57"/>
      <c r="PT9" s="47"/>
    </row>
    <row r="10" ht="16" s="44" customFormat="1">
      <c r="B10" s="51" t="s">
        <v>6014</v>
      </c>
      <c r="C10" s="50" t="e">
        <f>YEAR(C9)</f>
        <v>#VALUE!</v>
      </c>
      <c r="S10" s="47"/>
      <c r="T10" s="47"/>
      <c r="AZ10" s="58" t="s">
        <v>1</v>
      </c>
      <c r="BA10" s="47" t="s">
        <v>6015</v>
      </c>
      <c r="BC10" s="48">
        <f>SUMPRODUCT(COUNTIFS(Accounts!$B:$B,{"Trialer","none"},Accounts!$C:$C,"Customer"))</f>
        <v>0</v>
      </c>
      <c r="BD10" s="62">
        <f>SUMPRODUCT(SUMIFS(Accounts!$AA:$AA,Accounts!$B:$B,{"Trialer","none"},Accounts!$C:$C,"Customer") +
SUMIFS(Accounts!$AH:$AH,Accounts!$B:$B,{"Trialer","none"},Accounts!$C:$C,"Customer") +
SUMIFS(Accounts!$AJ:$AJ,Accounts!$B:$B,{"Trialer","none"},Accounts!$C:$C,"Customer") +
SUMIFS(Accounts!$AI:$AI,Accounts!$B:$B,{"Trialer","none"},Accounts!$C:$C,"Customer") +
SUMIFS(Accounts!$AO:$AO,Accounts!$B:$B,{"Trialer","none"},Accounts!$C:$C,"Customer"))</f>
        <v>0</v>
      </c>
      <c r="BE10" s="62">
        <f>SUMPRODUCT(SUM((SUMIFS(Accounts!$AC:$AC,Accounts!$B:$B,{"Trialer","none"},Accounts!$C:$C,"Customer"))+SUM(SUMIFS(Accounts!$AF:$AF,Accounts!$B:$B,{"Trialer","none"},Accounts!$C:$C,"Customer"))+SUM(SUMIFS(Accounts!$AK:$AK,Accounts!$B:$B,{"Trialer","none"},Accounts!$C:$C,"Customer"))))</f>
        <v>0</v>
      </c>
      <c r="BF10" s="62">
        <f>SUMPRODUCT(SUMIFS(Accounts!$AB:$AB,Accounts!$B:$B,{"Trialer","none"},Accounts!$C:$C,"Customer"))</f>
        <v>0</v>
      </c>
      <c r="BG10" s="62">
        <f>SUMPRODUCT(SUMIFS(Accounts!$AD:$AD,Accounts!$B:$B,{"Trialer","none"},Accounts!$C:$C,"Customer")+SUMIFS(Accounts!$AM:$AM,Accounts!$B:$B,{"Trialer","none"},Accounts!$C:$C,"Customer")+SUMIFS(Accounts!$AN:$AN,Accounts!$B:$B,{"Trialer","none"},Accounts!$C:$C,"Customer"))</f>
        <v>0</v>
      </c>
      <c r="BH10" s="62">
        <f>SUMPRODUCT(SUMIFS(Accounts!$AE:$AE,Accounts!$B:$B,{"Trialer","none"},Accounts!$C:$C,"Customer")+SUMIFS(Accounts!$AP:$AP,Accounts!$B:$B,{"Trialer","none"},Accounts!$C:$C,"Customer")+SUMIFS(Accounts!$Z:$Z,Accounts!$B:$B,{"Trialer","none"},Accounts!$C:$C,"Customer")+SUMIFS(Accounts!$AG:$AG,Accounts!$B:$B,{"Trialer","none"},Accounts!$C:$C,"Customer")+SUMIFS(Accounts!$AL:$AL,Accounts!$B:$B,{"Trialer","none"},Accounts!$C:$C,"Customer"))</f>
        <v>0</v>
      </c>
      <c r="BI10" s="62">
        <f>SUMPRODUCT(SUMIFS(Accounts!$AE:$AE,Accounts!$B:$B,{"Trialer","none"},Accounts!$C:$C,"Customer")+SUMIFS(Accounts!$AP:$AP,Accounts!$B:$B,{"Trialer","none"},Accounts!$C:$C,"Customer"))</f>
        <v>0</v>
      </c>
      <c r="BJ10" s="62">
        <f>SUMPRODUCT(SUMIFS(Accounts!$Z:$Z,Accounts!$B:$B,{"Trialer","none"},Accounts!$C:$C,"Customer"))</f>
        <v>0</v>
      </c>
      <c r="BK10" s="62">
        <f>SUMPRODUCT(SUMIFS(Accounts!$AG:$AG,Accounts!$B:$B,{"Trialer","none"},Accounts!$C:$C,"Customer") + SUMIFS(Accounts!$AL:$AL,Accounts!$B:$B,{"Trialer","none"},Accounts!$C:$C,"Customer"))</f>
        <v>0</v>
      </c>
      <c r="BL10" s="62">
        <f>SUMPRODUCT(SUMIFS(Accounts!$AQ:$AQ,Accounts!$B:$B,{"Trialer","none"},Accounts!$C:$C,"Customer"))</f>
        <v>0</v>
      </c>
      <c r="CJ10" s="47"/>
      <c r="CS10" s="57"/>
      <c r="CT10" s="47"/>
      <c r="CU10" s="57" t="s">
        <v>1</v>
      </c>
      <c r="CV10" s="47" t="s">
        <v>6015</v>
      </c>
      <c r="CW10" s="48">
        <f>SUMPRODUCT(COUNTIFS(Accounts!$AS:$AS,"Manufacturing (MWD)",Accounts!$B:$B,{"Trialer","none"},Accounts!$C:$C,"Customer"))</f>
        <v>0</v>
      </c>
      <c r="DV10" s="57"/>
      <c r="DW10" s="57" t="s">
        <v>1</v>
      </c>
      <c r="DX10" s="47" t="s">
        <v>6015</v>
      </c>
      <c r="DY10" s="48">
        <f>SUMPRODUCT(COUNTIFS(Accounts!$AS:$AS,"Wholesale and distribution services (MWD)",Accounts!$B:$B,{"Trialer","none"},Accounts!$C:$C,"Customer"))</f>
        <v>0</v>
      </c>
      <c r="EX10" s="57"/>
      <c r="EY10" s="57" t="s">
        <v>1</v>
      </c>
      <c r="EZ10" s="47" t="s">
        <v>6015</v>
      </c>
      <c r="FA10" s="48">
        <f>SUMPRODUCT(COUNTIFS(Accounts!$AS:$AS,"Construction",Accounts!$B:$B,{"Trialer","none"},Accounts!$C:$C,"Customer"))</f>
        <v>0</v>
      </c>
      <c r="FZ10" s="57"/>
      <c r="GA10" s="57" t="s">
        <v>1</v>
      </c>
      <c r="GB10" s="47" t="s">
        <v>6015</v>
      </c>
      <c r="GC10" s="48">
        <f>SUMPRODUCT(COUNTIFS(Accounts!$AS:$AS,"Field Services",Accounts!$B:$B,{"Trialer","none"},Accounts!$C:$C,"Customer"))</f>
        <v>0</v>
      </c>
      <c r="HB10" s="57"/>
      <c r="HC10" s="57" t="s">
        <v>1</v>
      </c>
      <c r="HD10" s="47" t="s">
        <v>6015</v>
      </c>
      <c r="HE10" s="48">
        <f>SUMPRODUCT(COUNTIFS(Accounts!$AS:$AS,"Consulting and Professional Services",Accounts!$B:$B,{"Trialer","none"},Accounts!$C:$C,"Customer"))</f>
        <v>0</v>
      </c>
      <c r="ID10" s="57"/>
      <c r="IE10" s="57" t="s">
        <v>1</v>
      </c>
      <c r="IF10" s="47" t="s">
        <v>6015</v>
      </c>
      <c r="IG10" s="48">
        <f>SUMPRODUCT(COUNTIFS(Accounts!$AS:$AS,"Retail",Accounts!$B:$B,{"Trialer","none"},Accounts!$C:$C,"Customer"))</f>
        <v>0</v>
      </c>
      <c r="JF10" s="57"/>
      <c r="JG10" s="57" t="s">
        <v>1</v>
      </c>
      <c r="JH10" s="47" t="s">
        <v>6015</v>
      </c>
      <c r="JI10" s="48">
        <f>SUMPRODUCT(COUNTIFS(Accounts!$AS:$AS,"Non-profit, govt or religious organization",Accounts!$B:$B,{"Trialer","none"},Accounts!$C:$C,"Customer"))</f>
        <v>0</v>
      </c>
      <c r="KH10" s="57"/>
      <c r="KI10" s="57" t="s">
        <v>1</v>
      </c>
      <c r="KJ10" s="47" t="s">
        <v>6015</v>
      </c>
      <c r="KK10" s="48">
        <f>SUMPRODUCT(COUNTIFS(Accounts!$AS:$AS,"Communications, Entertainment and Media",Accounts!$B:$B,{"Trialer","none"},Accounts!$C:$C,"Customer"))</f>
        <v>0</v>
      </c>
      <c r="LJ10" s="57"/>
      <c r="LK10" s="57" t="s">
        <v>1</v>
      </c>
      <c r="LL10" s="47" t="s">
        <v>6015</v>
      </c>
      <c r="LM10" s="48">
        <f>SUMPRODUCT(COUNTIFS(Accounts!$AS:$AS,"IT and computer related",Accounts!$B:$B,{"Trialer","none"},Accounts!$C:$C,"Customer"))</f>
        <v>0</v>
      </c>
      <c r="ML10" s="57"/>
      <c r="MM10" s="57" t="s">
        <v>1</v>
      </c>
      <c r="MN10" s="47" t="s">
        <v>6015</v>
      </c>
      <c r="MO10" s="48">
        <f>SUMPRODUCT(COUNTIFS(Accounts!$AS:$AS,{"General service based","General"},Accounts!$B:$B,{"Trialer","none"},Accounts!$C:$C,"Customer"))</f>
        <v>0</v>
      </c>
      <c r="NN10" s="57"/>
      <c r="NO10" s="57" t="s">
        <v>1</v>
      </c>
      <c r="NP10" s="47" t="s">
        <v>6015</v>
      </c>
      <c r="NQ10" s="48">
        <f>SUMPRODUCT(COUNTIFS(Accounts!$AS:$AS,"Other",Accounts!$B:$B,{"Trialer","none"},Accounts!$C:$C,"Customer"))</f>
        <v>0</v>
      </c>
      <c r="OP10" s="57"/>
      <c r="OQ10" s="57" t="s">
        <v>1</v>
      </c>
      <c r="OR10" s="47" t="s">
        <v>6015</v>
      </c>
      <c r="OS10" s="48">
        <f>SUMPRODUCT(COUNTIFS(Accounts!$AS:$AS,"Accounting and Bookkeeping",Accounts!$B:$B,{"Trialer","none"},Accounts!$C:$C,"Customer"))</f>
        <v>0</v>
      </c>
      <c r="PR10" s="57"/>
      <c r="PS10" s="57"/>
      <c r="PT10" s="47"/>
    </row>
    <row r="11" ht="16" s="44" customFormat="1">
      <c r="B11" s="51" t="s">
        <v>6016</v>
      </c>
      <c r="C11" s="50" t="e">
        <f>MONTH(C9)</f>
        <v>#VALUE!</v>
      </c>
      <c r="S11" s="47"/>
      <c r="T11" s="47"/>
      <c r="AZ11" s="58" t="s">
        <v>1</v>
      </c>
      <c r="BA11" s="47" t="s">
        <v>6017</v>
      </c>
      <c r="BC11" s="48">
        <f>SUMPRODUCT(COUNTIFS(Accounts!$B:$B,{"Trialer","none"},Accounts!$C:$C,"Lost"))</f>
        <v>0</v>
      </c>
      <c r="BD11" s="62">
        <f>SUMPRODUCT(SUMIFS(Accounts!$AA:$AA,Accounts!$B:$B,{"Trialer","none"},Accounts!$C:$C,"Lost") + SUMIFS(Accounts!$AH:$AH,Accounts!$B:$B,{"Trialer","none"},Accounts!$C:$C,"Lost") + SUMIFS(Accounts!$AJ:$AJ,Accounts!$B:$B,{"Trialer","none"},Accounts!$C:$C,"Lost") + SUMIFS(Accounts!$AI:$AI,Accounts!$B:$B,{"Trialer","none"},Accounts!$C:$C,"Lost") + SUMIFS(Accounts!$AO:$AO,Accounts!$B:$B,{"Trialer","none"},Accounts!$C:$C,"Lost"))</f>
        <v>0</v>
      </c>
      <c r="BE11" s="62">
        <f>SUMPRODUCT(SUMIFS(Accounts!$AC:$AC,Accounts!$B:$B,{"Trialer","none"},Accounts!$C:$C,"Lost")+SUMIFS(Accounts!$AF:$AF,Accounts!$B:$B,{"Trialer","none"},Accounts!$C:$C,"Lost")+SUMIFS(Accounts!$AK:$AK,Accounts!$B:$B,{"Trialer","none"},Accounts!$C:$C,"Lost"))</f>
        <v>0</v>
      </c>
      <c r="BF11" s="62">
        <f>SUMPRODUCT(SUMIFS(Accounts!$AB:$AB,Accounts!$B:$B,{"Trialer","none"},Accounts!$C:$C,"Lost"))</f>
        <v>0</v>
      </c>
      <c r="BG11" s="62">
        <f>SUMPRODUCT(SUMIFS(Accounts!$AD:$AD,Accounts!$B:$B,{"Trialer","none"},Accounts!$C:$C,"Lost")+SUMIFS(Accounts!$AM:$AM,Accounts!$B:$B,{"Trialer","none"},Accounts!$C:$C,"Lost")+SUMIFS(Accounts!$AN:$AN,Accounts!$B:$B,{"Trialer","none"},Accounts!$C:$C,"Lost"))</f>
        <v>0</v>
      </c>
      <c r="BH11" s="62">
        <f>SUMPRODUCT(SUMIFS(Accounts!$AE:$AE,Accounts!$B:$B,{"Trialer","none"},Accounts!$C:$C,"Lost")+SUMIFS(Accounts!$AP:$AP,Accounts!$B:$B,{"Trialer","none"},Accounts!$C:$C,"Lost")+SUMIFS(Accounts!$Z:$Z,Accounts!$B:$B,{"Trialer","none"},Accounts!$C:$C,"Lost")+SUMIFS(Accounts!$AG:$AG,Accounts!$B:$B,{"Trialer","none"},Accounts!$C:$C,"Lost")+SUMIFS(Accounts!$AL:$AL,Accounts!$B:$B,{"Trialer","none"},Accounts!$C:$C,"Lost"))</f>
        <v>0</v>
      </c>
      <c r="BI11" s="62">
        <f>SUMPRODUCT(SUMIFS(Accounts!$AE:$AE,Accounts!$B:$B,{"Trialer","none"},Accounts!$C:$C,"Lost")+SUMIFS(Accounts!$AP:$AP,Accounts!$B:$B,{"Trialer","none"},Accounts!$C:$C,"Lost"))</f>
        <v>0</v>
      </c>
      <c r="BJ11" s="62">
        <f>SUMPRODUCT(SUMIFS(Accounts!$Z:$Z,Accounts!$B:$B,{"Trialer","none"},Accounts!$C:$C,"Lost"))</f>
        <v>0</v>
      </c>
      <c r="BK11" s="62">
        <f>SUMPRODUCT(SUMIFS(Accounts!$AG:$AG,Accounts!$B:$B,{"Trialer","none"},Accounts!$C:$C,"Lost")+SUMIFS(Accounts!$AL:$AL,Accounts!$B:$B,{"Trialer","none"},Accounts!$C:$C,"Lost"))</f>
        <v>0</v>
      </c>
      <c r="BL11" s="62">
        <f>SUMPRODUCT(SUMIFS(Accounts!$AQ:$AQ,Accounts!$B:$B,{"Trialer","none"},Accounts!$C:$C,"Lost"))</f>
        <v>0</v>
      </c>
      <c r="CJ11" s="47"/>
      <c r="CS11" s="57"/>
      <c r="CT11" s="47"/>
      <c r="CU11" s="57" t="s">
        <v>1</v>
      </c>
      <c r="CV11" s="47" t="s">
        <v>6017</v>
      </c>
      <c r="CW11" s="48">
        <f>SUMPRODUCT(COUNTIFS(Accounts!$AS:$AS,"Manufacturing (MWD)",Accounts!$B:$B,{"Trialer","none"},Accounts!$C:$C,"Lost"))</f>
        <v>0</v>
      </c>
      <c r="DV11" s="57"/>
      <c r="DW11" s="57" t="s">
        <v>1</v>
      </c>
      <c r="DX11" s="47" t="s">
        <v>6017</v>
      </c>
      <c r="DY11" s="48">
        <f>SUMPRODUCT(COUNTIFS(Accounts!$AS:$AS,"Wholesale and distribution services (MWD)",Accounts!$B:$B,{"Trialer","none"},Accounts!$C:$C,"Lost"))</f>
        <v>0</v>
      </c>
      <c r="EX11" s="57"/>
      <c r="EY11" s="57" t="s">
        <v>1</v>
      </c>
      <c r="EZ11" s="47" t="s">
        <v>6017</v>
      </c>
      <c r="FA11" s="48">
        <f>SUMPRODUCT(COUNTIFS(Accounts!$AS:$AS,"Construction",Accounts!$B:$B,{"Trialer","none"},Accounts!$C:$C,"Lost"))</f>
        <v>0</v>
      </c>
      <c r="FZ11" s="57"/>
      <c r="GA11" s="57" t="s">
        <v>1</v>
      </c>
      <c r="GB11" s="47" t="s">
        <v>6017</v>
      </c>
      <c r="GC11" s="48">
        <f>SUMPRODUCT(COUNTIFS(Accounts!$AS:$AS,"Field Services",Accounts!$B:$B,{"Trialer","none"},Accounts!$C:$C,"Lost"))</f>
        <v>0</v>
      </c>
      <c r="HB11" s="57"/>
      <c r="HC11" s="57" t="s">
        <v>1</v>
      </c>
      <c r="HD11" s="47" t="s">
        <v>6017</v>
      </c>
      <c r="HE11" s="48">
        <f>SUMPRODUCT(COUNTIFS(Accounts!$AS:$AS,"Consulting and Professional Services",Accounts!$B:$B,{"Trialer","none"},Accounts!$C:$C,"Lost"))</f>
        <v>0</v>
      </c>
      <c r="ID11" s="57"/>
      <c r="IE11" s="57" t="s">
        <v>1</v>
      </c>
      <c r="IF11" s="47" t="s">
        <v>6017</v>
      </c>
      <c r="IG11" s="48">
        <f>SUMPRODUCT(COUNTIFS(Accounts!$AS:$AS,"Retail",Accounts!$B:$B,{"Trialer","none"},Accounts!$C:$C,"Lost"))</f>
        <v>0</v>
      </c>
      <c r="JF11" s="57"/>
      <c r="JG11" s="57" t="s">
        <v>1</v>
      </c>
      <c r="JH11" s="47" t="s">
        <v>6017</v>
      </c>
      <c r="JI11" s="48">
        <f>SUMPRODUCT(COUNTIFS(Accounts!$AS:$AS,"Non-profit, govt or religious organization",Accounts!$B:$B,{"Trialer","none"},Accounts!$C:$C,"Lost"))</f>
        <v>0</v>
      </c>
      <c r="KH11" s="57"/>
      <c r="KI11" s="57" t="s">
        <v>1</v>
      </c>
      <c r="KJ11" s="47" t="s">
        <v>6017</v>
      </c>
      <c r="KK11" s="48">
        <f>SUMPRODUCT(COUNTIFS(Accounts!$AS:$AS,"Communications, Entertainment and Media",Accounts!$B:$B,{"Trialer","none"},Accounts!$C:$C,"Lost"))</f>
        <v>0</v>
      </c>
      <c r="LJ11" s="57"/>
      <c r="LK11" s="57" t="s">
        <v>1</v>
      </c>
      <c r="LL11" s="47" t="s">
        <v>6017</v>
      </c>
      <c r="LM11" s="48">
        <f>SUMPRODUCT(COUNTIFS(Accounts!$AS:$AS,"IT and computer related",Accounts!$B:$B,{"Trialer","none"},Accounts!$C:$C,"Lost"))</f>
        <v>0</v>
      </c>
      <c r="ML11" s="57"/>
      <c r="MM11" s="57" t="s">
        <v>1</v>
      </c>
      <c r="MN11" s="47" t="s">
        <v>6017</v>
      </c>
      <c r="MO11" s="48">
        <f>SUMPRODUCT(COUNTIFS(Accounts!$AS:$AS,{"General service based","General"},Accounts!$B:$B,{"Trialer","none"},Accounts!$C:$C,"Lost"))</f>
        <v>0</v>
      </c>
      <c r="NN11" s="57"/>
      <c r="NO11" s="57" t="s">
        <v>1</v>
      </c>
      <c r="NP11" s="47" t="s">
        <v>6017</v>
      </c>
      <c r="NQ11" s="48">
        <f>SUMPRODUCT(COUNTIFS(Accounts!$AS:$AS,"Other",Accounts!$B:$B,{"Trialer","none"},Accounts!$C:$C,"Lost"))</f>
        <v>0</v>
      </c>
      <c r="OP11" s="57"/>
      <c r="OQ11" s="57" t="s">
        <v>1</v>
      </c>
      <c r="OR11" s="47" t="s">
        <v>6017</v>
      </c>
      <c r="OS11" s="48">
        <f>SUMPRODUCT(COUNTIFS(Accounts!$AS:$AS,"Accounting and Bookkeeping",Accounts!$B:$B,{"Trialer","none"},Accounts!$C:$C,"Lost"))</f>
        <v>0</v>
      </c>
      <c r="PR11" s="57"/>
      <c r="PS11" s="57"/>
      <c r="PT11" s="47"/>
    </row>
    <row r="12" ht="16" s="44" customFormat="1">
      <c r="B12" s="47" t="s">
        <v>6018</v>
      </c>
      <c r="C12" s="46" t="e">
        <f>EOMONTH($B$2,-2)</f>
        <v>#VALUE!</v>
      </c>
      <c r="BC12" s="48"/>
      <c r="BD12" s="48"/>
      <c r="BE12" s="48"/>
      <c r="BF12" s="48"/>
      <c r="BG12" s="48"/>
      <c r="BH12" s="48"/>
      <c r="BI12" s="48"/>
      <c r="BJ12" s="48"/>
      <c r="BK12" s="48"/>
      <c r="BL12" s="48"/>
    </row>
    <row r="13" ht="16" s="44" customFormat="1">
      <c r="B13" s="51" t="s">
        <v>6014</v>
      </c>
      <c r="C13" s="50" t="e">
        <f>YEAR(C12)</f>
        <v>#VALUE!</v>
      </c>
      <c r="T13" s="47"/>
      <c r="BA13" s="47" t="s">
        <v>6019</v>
      </c>
      <c r="BB13" s="44" t="s">
        <v>6020</v>
      </c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CU13" s="57" t="s">
        <v>3</v>
      </c>
      <c r="CV13" s="47" t="s">
        <v>6007</v>
      </c>
      <c r="CW13" s="48" t="e">
        <f>IF(CW$3=0,120,1/CW$3)</f>
        <v>#VALUE!</v>
      </c>
      <c r="DV13" s="57"/>
      <c r="DW13" s="57" t="s">
        <v>3</v>
      </c>
      <c r="DX13" s="47" t="s">
        <v>6007</v>
      </c>
      <c r="DY13" s="48" t="e">
        <f>IF(DY$3=0,120,1/DY$3)</f>
        <v>#VALUE!</v>
      </c>
      <c r="EX13" s="57"/>
      <c r="EY13" s="57" t="s">
        <v>3</v>
      </c>
      <c r="EZ13" s="47" t="s">
        <v>6007</v>
      </c>
      <c r="FA13" s="48" t="e">
        <f>IF(FA$3=0,120,1/FA$3)</f>
        <v>#VALUE!</v>
      </c>
      <c r="FZ13" s="57"/>
      <c r="GA13" s="57" t="s">
        <v>3</v>
      </c>
      <c r="GB13" s="47" t="s">
        <v>6007</v>
      </c>
      <c r="GC13" s="48" t="e">
        <f>IF(GC$3=0,120,1/GC$3)</f>
        <v>#VALUE!</v>
      </c>
      <c r="HB13" s="57"/>
      <c r="HC13" s="57" t="s">
        <v>3</v>
      </c>
      <c r="HD13" s="47" t="s">
        <v>6007</v>
      </c>
      <c r="HE13" s="48" t="e">
        <f>IF(HE$3=0,120,1/HE$3)</f>
        <v>#VALUE!</v>
      </c>
      <c r="ID13" s="57"/>
      <c r="IE13" s="57" t="s">
        <v>3</v>
      </c>
      <c r="IF13" s="47" t="s">
        <v>6007</v>
      </c>
      <c r="IG13" s="48" t="e">
        <f>IF(IG$3=0,120,1/IG$3)</f>
        <v>#VALUE!</v>
      </c>
      <c r="JF13" s="57"/>
      <c r="JG13" s="57" t="s">
        <v>3</v>
      </c>
      <c r="JH13" s="47" t="s">
        <v>6007</v>
      </c>
      <c r="JI13" s="48" t="e">
        <f>IF(JI$3=0,120,1/JI$3)</f>
        <v>#VALUE!</v>
      </c>
      <c r="KH13" s="57"/>
      <c r="KI13" s="57" t="s">
        <v>3</v>
      </c>
      <c r="KJ13" s="47" t="s">
        <v>6007</v>
      </c>
      <c r="KK13" s="48" t="e">
        <f>IF(KK$3=0,120,1/KK$3)</f>
        <v>#VALUE!</v>
      </c>
      <c r="LJ13" s="57"/>
      <c r="LK13" s="57" t="s">
        <v>3</v>
      </c>
      <c r="LL13" s="47" t="s">
        <v>6007</v>
      </c>
      <c r="LM13" s="48" t="e">
        <f>IF(LM$3=0,120,1/LM$3)</f>
        <v>#VALUE!</v>
      </c>
      <c r="ML13" s="57"/>
      <c r="MM13" s="57" t="s">
        <v>3</v>
      </c>
      <c r="MN13" s="47" t="s">
        <v>6007</v>
      </c>
      <c r="MO13" s="48" t="e">
        <f>IF(MO$3=0,120,1/MO$3)</f>
        <v>#VALUE!</v>
      </c>
      <c r="NN13" s="57"/>
      <c r="NO13" s="57" t="s">
        <v>3</v>
      </c>
      <c r="NP13" s="47" t="s">
        <v>6007</v>
      </c>
      <c r="NQ13" s="48" t="e">
        <f>IF(NQ$3=0,120,1/NQ$3)</f>
        <v>#VALUE!</v>
      </c>
      <c r="OP13" s="57"/>
      <c r="OQ13" s="57" t="s">
        <v>3</v>
      </c>
      <c r="OR13" s="47" t="s">
        <v>6007</v>
      </c>
      <c r="OS13" s="48" t="e">
        <f>IF(OS$3=0,120,1/OS$3)</f>
        <v>#VALUE!</v>
      </c>
      <c r="PR13" s="57"/>
      <c r="PS13" s="57"/>
      <c r="PT13" s="47"/>
    </row>
    <row r="14" ht="16" s="44" customFormat="1">
      <c r="B14" s="51" t="s">
        <v>6016</v>
      </c>
      <c r="C14" s="50" t="e">
        <f>MONTH(C12)</f>
        <v>#VALUE!</v>
      </c>
      <c r="BC14" s="48"/>
      <c r="BD14" s="48"/>
      <c r="BE14" s="48" t="s">
        <v>6021</v>
      </c>
      <c r="BF14" s="48"/>
      <c r="BG14" s="48"/>
      <c r="BH14" s="48"/>
      <c r="BI14" s="48"/>
      <c r="BJ14" s="48"/>
      <c r="BK14" s="48"/>
      <c r="BL14" s="48"/>
      <c r="CU14" s="57" t="s">
        <v>3</v>
      </c>
      <c r="CV14" s="47" t="s">
        <v>6009</v>
      </c>
      <c r="CW14" s="48">
        <f>COUNTIFS(Accounts!$AS:$AS, "Manufacturing (MWD)",Accounts!$B:$B,"Customer",Accounts!$E:$E,"QBO")</f>
        <v>0</v>
      </c>
      <c r="DV14" s="57"/>
      <c r="DW14" s="57" t="s">
        <v>3</v>
      </c>
      <c r="DX14" s="47" t="s">
        <v>6009</v>
      </c>
      <c r="DY14" s="48">
        <f>COUNTIFS(Accounts!$AS:$AS, "Wholesale and distribution services (MWD)",Accounts!$B:$B,"Customer",Accounts!$E:$E,"QBO")</f>
        <v>0</v>
      </c>
      <c r="EX14" s="57"/>
      <c r="EY14" s="57" t="s">
        <v>3</v>
      </c>
      <c r="EZ14" s="47" t="s">
        <v>6009</v>
      </c>
      <c r="FA14" s="48">
        <f>COUNTIFS(Accounts!$AS:$AS, "Construction",Accounts!$B:$B,"Customer",Accounts!$E:$E,"QBO")</f>
        <v>0</v>
      </c>
      <c r="FZ14" s="57"/>
      <c r="GA14" s="57" t="s">
        <v>3</v>
      </c>
      <c r="GB14" s="47" t="s">
        <v>6009</v>
      </c>
      <c r="GC14" s="48">
        <f>COUNTIFS(Accounts!$AS:$AS, "Field Services",Accounts!$B:$B,"Customer",Accounts!$E:$E,"QBO")</f>
        <v>0</v>
      </c>
      <c r="HB14" s="57"/>
      <c r="HC14" s="57" t="s">
        <v>3</v>
      </c>
      <c r="HD14" s="47" t="s">
        <v>6009</v>
      </c>
      <c r="HE14" s="48">
        <f>COUNTIFS(Accounts!$AS:$AS, "Consulting and Professional Services",Accounts!$B:$B,"Customer",Accounts!$E:$E,"QBO")</f>
        <v>0</v>
      </c>
      <c r="ID14" s="57"/>
      <c r="IE14" s="57" t="s">
        <v>3</v>
      </c>
      <c r="IF14" s="47" t="s">
        <v>6009</v>
      </c>
      <c r="IG14" s="48">
        <f>COUNTIFS(Accounts!$AS:$AS, "Retail",Accounts!$B:$B,"Customer",Accounts!$E:$E,"QBO")</f>
        <v>0</v>
      </c>
      <c r="JF14" s="57"/>
      <c r="JG14" s="57" t="s">
        <v>3</v>
      </c>
      <c r="JH14" s="47" t="s">
        <v>6009</v>
      </c>
      <c r="JI14" s="48">
        <f>COUNTIFS(Accounts!$AS:$AS, "Non-profit, govt or religious organization",Accounts!$B:$B,"Customer",Accounts!$E:$E,"QBO")</f>
        <v>0</v>
      </c>
      <c r="KH14" s="57"/>
      <c r="KI14" s="57" t="s">
        <v>3</v>
      </c>
      <c r="KJ14" s="47" t="s">
        <v>6009</v>
      </c>
      <c r="KK14" s="48">
        <f>COUNTIFS(Accounts!$AS:$AS, "Communications, Entertainment and Media",Accounts!$B:$B,"Customer",Accounts!$E:$E,"QBO")</f>
        <v>0</v>
      </c>
      <c r="LJ14" s="57"/>
      <c r="LK14" s="57" t="s">
        <v>3</v>
      </c>
      <c r="LL14" s="47" t="s">
        <v>6009</v>
      </c>
      <c r="LM14" s="48">
        <f>COUNTIFS(Accounts!$AS:$AS, "IT and computer related",Accounts!$B:$B,"Customer",Accounts!$E:$E,"QBO")</f>
        <v>0</v>
      </c>
      <c r="ML14" s="57"/>
      <c r="MM14" s="57" t="s">
        <v>3</v>
      </c>
      <c r="MN14" s="47" t="s">
        <v>6009</v>
      </c>
      <c r="MO14" s="48">
        <f>COUNTIFS(Accounts!$AS:$AS, {"General service based","General"},Accounts!$B:$B,"Customer",Accounts!$E:$E,"QBO")</f>
        <v>0</v>
      </c>
      <c r="NN14" s="57"/>
      <c r="NO14" s="57" t="s">
        <v>3</v>
      </c>
      <c r="NP14" s="47" t="s">
        <v>6009</v>
      </c>
      <c r="NQ14" s="48">
        <f>COUNTIFS(Accounts!$AS:$AS, "Other",Accounts!$B:$B,"Customer",Accounts!$E:$E,"QBO")</f>
        <v>0</v>
      </c>
      <c r="OP14" s="57"/>
      <c r="OQ14" s="57" t="s">
        <v>3</v>
      </c>
      <c r="OR14" s="47" t="s">
        <v>6009</v>
      </c>
      <c r="OS14" s="48">
        <f>COUNTIFS(Accounts!$AS:$AS, "Accounting and Bookkeeping",Accounts!$B:$B,"Customer",Accounts!$E:$E,"QBO")</f>
        <v>0</v>
      </c>
      <c r="PR14" s="57"/>
      <c r="PS14" s="57"/>
      <c r="PT14" s="47"/>
    </row>
    <row r="15" ht="16" s="35" customFormat="1">
      <c r="B15" s="47" t="s">
        <v>6022</v>
      </c>
      <c r="C15" s="46" t="e">
        <f>EOMONTH($B$2,-3)</f>
        <v>#VALUE!</v>
      </c>
      <c r="E15" s="38"/>
      <c r="AY15" s="66"/>
      <c r="AZ15" s="57" t="s">
        <v>3</v>
      </c>
      <c r="BA15" s="47" t="s">
        <v>6007</v>
      </c>
      <c r="BB15" s="44"/>
      <c r="BC15" s="48" t="e">
        <f>IF($BC$3&lt;0.005,120,1/$BC$3)</f>
        <v>#VALUE!</v>
      </c>
      <c r="BD15" s="48" t="e">
        <f>IF($BD$3&lt;0.005,120,1/$BD$3)</f>
        <v>#VALUE!</v>
      </c>
      <c r="BE15" s="48" t="e">
        <f>IF($BE$3&lt;0.005,120,1/$BE$3)</f>
        <v>#VALUE!</v>
      </c>
      <c r="BF15" s="48" t="e">
        <f>IF($BF$3&lt;0.005,120,1/$BF$3)</f>
        <v>#VALUE!</v>
      </c>
      <c r="BG15" s="48" t="e">
        <f>IF($BG$3&lt;0.005,120,1/$BG$3)</f>
        <v>#VALUE!</v>
      </c>
      <c r="BH15" s="48" t="e">
        <f>IF($BH$3&lt;0.005,120,1/$BH$3)</f>
        <v>#VALUE!</v>
      </c>
      <c r="BI15" s="48" t="e">
        <f>IF($BI$3&lt;0.005,120,1/$BI$3)</f>
        <v>#VALUE!</v>
      </c>
      <c r="BJ15" s="48" t="e">
        <f>IF($BJ$3&lt;0.005,120,1/$BJ$3)</f>
        <v>#VALUE!</v>
      </c>
      <c r="BK15" s="48" t="e">
        <f>IF($BK$3&lt;0.005,120,1/$BK$3)</f>
        <v>#VALUE!</v>
      </c>
      <c r="BL15" s="48" t="e">
        <f>IF($BL$3&lt;0.005,120,1/$BL$3)</f>
        <v>#VALUE!</v>
      </c>
      <c r="CU15" s="57" t="s">
        <v>3</v>
      </c>
      <c r="CV15" s="47" t="s">
        <v>6011</v>
      </c>
      <c r="CW15" s="48">
        <f>COUNTIFS(Accounts!$AS:$AS, "Manufacturing (MWD)",Accounts!$B:$B,"Customer",Accounts!$C:$C,"Lost",Accounts!$E:$E,"QBO")</f>
        <v>0</v>
      </c>
      <c r="DV15" s="53"/>
      <c r="DW15" s="57" t="s">
        <v>3</v>
      </c>
      <c r="DX15" s="47" t="s">
        <v>6011</v>
      </c>
      <c r="DY15" s="48">
        <f>COUNTIFS(Accounts!$AS:$AS, "Wholesale and distribution services (MWD)",Accounts!$B:$B,"Customer",Accounts!$C:$C,"Lost",Accounts!$E:$E,"QBO")</f>
        <v>0</v>
      </c>
      <c r="EX15" s="53"/>
      <c r="EY15" s="57" t="s">
        <v>3</v>
      </c>
      <c r="EZ15" s="47" t="s">
        <v>6011</v>
      </c>
      <c r="FA15" s="48">
        <f>COUNTIFS(Accounts!$AS:$AS, "Construction",Accounts!$B:$B,"Customer",Accounts!$C:$C,"Lost",Accounts!$E:$E,"QBO")</f>
        <v>0</v>
      </c>
      <c r="FZ15" s="53"/>
      <c r="GA15" s="57" t="s">
        <v>3</v>
      </c>
      <c r="GB15" s="47" t="s">
        <v>6011</v>
      </c>
      <c r="GC15" s="48">
        <f>COUNTIFS(Accounts!$AS:$AS, "Field Services",Accounts!$B:$B,"Customer",Accounts!$C:$C,"Lost",Accounts!$E:$E,"QBO")</f>
        <v>0</v>
      </c>
      <c r="HB15" s="53"/>
      <c r="HC15" s="57" t="s">
        <v>3</v>
      </c>
      <c r="HD15" s="47" t="s">
        <v>6011</v>
      </c>
      <c r="HE15" s="48">
        <f>COUNTIFS(Accounts!$AS:$AS, "Consulting and Professional Services",Accounts!$B:$B,"Customer",Accounts!$C:$C,"Lost",Accounts!$E:$E,"QBO")</f>
        <v>0</v>
      </c>
      <c r="ID15" s="53"/>
      <c r="IE15" s="57" t="s">
        <v>3</v>
      </c>
      <c r="IF15" s="47" t="s">
        <v>6011</v>
      </c>
      <c r="IG15" s="48">
        <f>COUNTIFS(Accounts!$AS:$AS, "Retail",Accounts!$B:$B,"Customer",Accounts!$C:$C,"Lost",Accounts!$E:$E,"QBO")</f>
        <v>0</v>
      </c>
      <c r="JF15" s="53"/>
      <c r="JG15" s="57" t="s">
        <v>3</v>
      </c>
      <c r="JH15" s="47" t="s">
        <v>6011</v>
      </c>
      <c r="JI15" s="48">
        <f>COUNTIFS(Accounts!$AS:$AS, "Non-profit, govt or religious organization",Accounts!$B:$B,"Customer",Accounts!$C:$C,"Lost",Accounts!$E:$E,"QBO")</f>
        <v>0</v>
      </c>
      <c r="KH15" s="53"/>
      <c r="KI15" s="57" t="s">
        <v>3</v>
      </c>
      <c r="KJ15" s="47" t="s">
        <v>6011</v>
      </c>
      <c r="KK15" s="48">
        <f>COUNTIFS(Accounts!$AS:$AS, "Communications, Entertainment and Media",Accounts!$B:$B,"Customer",Accounts!$C:$C,"Lost",Accounts!$E:$E,"QBO")</f>
        <v>0</v>
      </c>
      <c r="LJ15" s="53"/>
      <c r="LK15" s="57" t="s">
        <v>3</v>
      </c>
      <c r="LL15" s="47" t="s">
        <v>6011</v>
      </c>
      <c r="LM15" s="48">
        <f>COUNTIFS(Accounts!$AS:$AS, "IT and computer related",Accounts!$B:$B,"Customer",Accounts!$C:$C,"Lost",Accounts!$E:$E,"QBO")</f>
        <v>0</v>
      </c>
      <c r="ML15" s="53"/>
      <c r="MM15" s="57" t="s">
        <v>3</v>
      </c>
      <c r="MN15" s="47" t="s">
        <v>6011</v>
      </c>
      <c r="MO15" s="48">
        <f>COUNTIFS(Accounts!$AS:$AS, {"General service based","General"},Accounts!$B:$B,"Customer",Accounts!$C:$C,"Lost",Accounts!$E:$E,"QBO")</f>
        <v>0</v>
      </c>
      <c r="NN15" s="53"/>
      <c r="NO15" s="57" t="s">
        <v>3</v>
      </c>
      <c r="NP15" s="47" t="s">
        <v>6011</v>
      </c>
      <c r="NQ15" s="48">
        <f>COUNTIFS(Accounts!$AS:$AS, "Other",Accounts!$B:$B,"Customer",Accounts!$C:$C,"Lost",Accounts!$E:$E,"QBO")</f>
        <v>0</v>
      </c>
      <c r="OP15" s="53"/>
      <c r="OQ15" s="57" t="s">
        <v>3</v>
      </c>
      <c r="OR15" s="47" t="s">
        <v>6011</v>
      </c>
      <c r="OS15" s="48">
        <f>COUNTIFS(Accounts!$AS:$AS, "Accounting and Bookkeeping",Accounts!$B:$B,"Customer",Accounts!$C:$C,"Lost",Accounts!$E:$E,"QBO")</f>
        <v>0</v>
      </c>
      <c r="PR15" s="53"/>
      <c r="PS15" s="53"/>
      <c r="PT15" s="61"/>
    </row>
    <row r="16" ht="16" s="35" customFormat="1">
      <c r="B16" s="51" t="s">
        <v>6014</v>
      </c>
      <c r="C16" s="50" t="e">
        <f>YEAR(C15)</f>
        <v>#VALUE!</v>
      </c>
      <c r="E16" s="40"/>
      <c r="H16" s="54"/>
      <c r="J16" s="63"/>
      <c r="AT16" s="65"/>
      <c r="AZ16" s="57" t="s">
        <v>3</v>
      </c>
      <c r="BA16" s="47" t="s">
        <v>6009</v>
      </c>
      <c r="BB16" s="44"/>
      <c r="BC16" s="48">
        <f>COUNTIFS(Accounts!$B:$B,"Customer",Accounts!$E:$E,"QBO")</f>
        <v>0</v>
      </c>
      <c r="BD16" s="62">
        <f>SUMIFS(Accounts!$AA:$AA,Accounts!$B:$B,"Customer",Accounts!$E:$E,"QBO") + SUMIFS(Accounts!$AH:$AH,Accounts!$B:$B,"Customer",Accounts!$E:$E,"QBO") + SUMIFS(Accounts!$AJ:$AJ,Accounts!$B:$B,"Customer",Accounts!$E:$E,"QBO") + SUMIFS(Accounts!$AI:$AI,Accounts!$B:$B,"Customer",Accounts!$E:$E,"QBO") + SUMIFS(Accounts!$AO:$AO,Accounts!$B:$B,"Customer",Accounts!$E:$E,"QBO")</f>
        <v>0</v>
      </c>
      <c r="BE16" s="62">
        <f>(SUMIFS(Accounts!$AC:$AC,Accounts!$B:$B,"Customer",Accounts!$E:$E,"QBO")+SUMIFS(Accounts!$AF:$AF,Accounts!$B:$B,"Customer",Accounts!$E:$E,"QBO")+SUMIFS(Accounts!$AK:$AK,Accounts!$B:$B,"Customer",Accounts!$E:$E,"QBO"))</f>
        <v>0</v>
      </c>
      <c r="BF16" s="62">
        <f>SUMIFS(Accounts!$AB:$AB,Accounts!$B:$B,"Customer",Accounts!$E:$E,"QBO")</f>
        <v>0</v>
      </c>
      <c r="BG16" s="62">
        <f>SUMIFS(Accounts!$AD:$AD,Accounts!$B:$B,"Customer",Accounts!$E:$E,"QBO")+SUMIFS(Accounts!$AM:$AM,Accounts!$B:$B,"Customer",Accounts!$E:$E,"QBO")+SUMIFS(Accounts!$AN:$AN,Accounts!$B:$B,"Customer",Accounts!$E:$E,"QBO")</f>
        <v>0</v>
      </c>
      <c r="BH16" s="62">
        <f>SUMIFS(Accounts!$AE:$AE,Accounts!$B:$B,"Customer",Accounts!$E:$E,"QBO") + SUMIFS(Accounts!$AP:$AP,Accounts!$B:$B,"Customer",Accounts!$E:$E,"QBO")+SUMIFS(Accounts!$Z:$Z,Accounts!$B:$B,"Customer",Accounts!$E:$E,"QBO")+SUMIFS(Accounts!$AG:$AG,Accounts!$B:$B,"Customer",Accounts!$E:$E,"QBO") + SUMIFS(Accounts!$AL:$AL,Accounts!$B:$B,"Customer",Accounts!$E:$E,"QBO")</f>
        <v>0</v>
      </c>
      <c r="BI16" s="62">
        <f>SUMIFS(Accounts!$AE:$AE,Accounts!$B:$B,"Customer",Accounts!$E:$E,"QBO") + SUMIFS(Accounts!$AP:$AP,Accounts!$B:$B,"Customer",Accounts!$E:$E,"QBO")</f>
        <v>0</v>
      </c>
      <c r="BJ16" s="62">
        <f>SUMIFS(Accounts!$Z:$Z,Accounts!$B:$B,"Customer",Accounts!$E:$E,"QBO")</f>
        <v>0</v>
      </c>
      <c r="BK16" s="62">
        <f>SUMIFS(Accounts!$AG:$AG,Accounts!$B:$B,"Customer",Accounts!$E:$E,"QBO") + SUMIFS(Accounts!$AL:$AL,Accounts!$B:$B,"Customer",Accounts!$E:$E,"QBO")</f>
        <v>0</v>
      </c>
      <c r="BL16" s="62">
        <f>SUMIFS(Accounts!$AQ:$AQ,Accounts!$B:$B,"Customer",Accounts!$E:$E,"QBO")</f>
        <v>0</v>
      </c>
      <c r="CU16" s="57" t="s">
        <v>3</v>
      </c>
      <c r="CV16" s="47" t="s">
        <v>6013</v>
      </c>
      <c r="CW16" s="48">
        <f>COUNTIFS(Accounts!$AS:$AS, "Manufacturing (MWD)",Accounts!$C:$C,"Customer",Accounts!$E:$E,"QBO")</f>
        <v>0</v>
      </c>
      <c r="DV16" s="53"/>
      <c r="DW16" s="57" t="s">
        <v>3</v>
      </c>
      <c r="DX16" s="47" t="s">
        <v>6013</v>
      </c>
      <c r="DY16" s="48">
        <f>COUNTIFS(Accounts!$AS:$AS, "Wholesale and distribution services (MWD)",Accounts!$C:$C,"Customer",Accounts!$E:$E,"QBO")</f>
        <v>0</v>
      </c>
      <c r="EX16" s="53"/>
      <c r="EY16" s="57" t="s">
        <v>3</v>
      </c>
      <c r="EZ16" s="47" t="s">
        <v>6013</v>
      </c>
      <c r="FA16" s="48">
        <f>COUNTIFS(Accounts!$AS:$AS, "Construction",Accounts!$C:$C,"Customer",Accounts!$E:$E,"QBO")</f>
        <v>0</v>
      </c>
      <c r="FZ16" s="53"/>
      <c r="GA16" s="57" t="s">
        <v>3</v>
      </c>
      <c r="GB16" s="47" t="s">
        <v>6013</v>
      </c>
      <c r="GC16" s="48">
        <f>COUNTIFS(Accounts!$AS:$AS, "Field Services",Accounts!$C:$C,"Customer",Accounts!$E:$E,"QBO")</f>
        <v>0</v>
      </c>
      <c r="HB16" s="53"/>
      <c r="HC16" s="57" t="s">
        <v>3</v>
      </c>
      <c r="HD16" s="47" t="s">
        <v>6013</v>
      </c>
      <c r="HE16" s="48">
        <f>COUNTIFS(Accounts!$AS:$AS, "Consulting and Professional Services",Accounts!$C:$C,"Customer",Accounts!$E:$E,"QBO")</f>
        <v>0</v>
      </c>
      <c r="ID16" s="53"/>
      <c r="IE16" s="57" t="s">
        <v>3</v>
      </c>
      <c r="IF16" s="47" t="s">
        <v>6013</v>
      </c>
      <c r="IG16" s="48">
        <f>COUNTIFS(Accounts!$AS:$AS, "Retail",Accounts!$C:$C,"Customer",Accounts!$E:$E,"QBO")</f>
        <v>0</v>
      </c>
      <c r="JF16" s="53"/>
      <c r="JG16" s="57" t="s">
        <v>3</v>
      </c>
      <c r="JH16" s="47" t="s">
        <v>6013</v>
      </c>
      <c r="JI16" s="48">
        <f>COUNTIFS(Accounts!$AS:$AS, "Non-profit, govt or religious organization",Accounts!$C:$C,"Customer",Accounts!$E:$E,"QBO")</f>
        <v>0</v>
      </c>
      <c r="KH16" s="53"/>
      <c r="KI16" s="57" t="s">
        <v>3</v>
      </c>
      <c r="KJ16" s="47" t="s">
        <v>6013</v>
      </c>
      <c r="KK16" s="48">
        <f>COUNTIFS(Accounts!$AS:$AS, "Communications, Entertainment and Media",Accounts!$C:$C,"Customer",Accounts!$E:$E,"QBO")</f>
        <v>0</v>
      </c>
      <c r="LJ16" s="53"/>
      <c r="LK16" s="57" t="s">
        <v>3</v>
      </c>
      <c r="LL16" s="47" t="s">
        <v>6013</v>
      </c>
      <c r="LM16" s="48">
        <f>COUNTIFS(Accounts!$AS:$AS, "IT and computer related",Accounts!$C:$C,"Customer",Accounts!$E:$E,"QBO")</f>
        <v>0</v>
      </c>
      <c r="ML16" s="53"/>
      <c r="MM16" s="57" t="s">
        <v>3</v>
      </c>
      <c r="MN16" s="47" t="s">
        <v>6013</v>
      </c>
      <c r="MO16" s="48">
        <f>COUNTIFS(Accounts!$AS:$AS, {"General service based","General"},Accounts!$C:$C,"Customer",Accounts!$E:$E,"QBO")</f>
        <v>0</v>
      </c>
      <c r="NN16" s="53"/>
      <c r="NO16" s="57" t="s">
        <v>3</v>
      </c>
      <c r="NP16" s="47" t="s">
        <v>6013</v>
      </c>
      <c r="NQ16" s="48">
        <f>COUNTIFS(Accounts!$AS:$AS, "Other",Accounts!$C:$C,"Customer",Accounts!$E:$E,"QBO")</f>
        <v>0</v>
      </c>
      <c r="OP16" s="53"/>
      <c r="OQ16" s="57" t="s">
        <v>3</v>
      </c>
      <c r="OR16" s="47" t="s">
        <v>6013</v>
      </c>
      <c r="OS16" s="48">
        <f>COUNTIFS(Accounts!$AS:$AS, "Accounting and Bookkeeping",Accounts!$C:$C,"Customer",Accounts!$E:$E,"QBO")</f>
        <v>0</v>
      </c>
      <c r="PR16" s="53"/>
      <c r="PS16" s="53"/>
      <c r="PT16" s="61"/>
    </row>
    <row r="17" ht="16" s="35" customFormat="1">
      <c r="B17" s="51" t="s">
        <v>6016</v>
      </c>
      <c r="C17" s="50" t="e">
        <f>MONTH(C15)</f>
        <v>#VALUE!</v>
      </c>
      <c r="AZ17" s="57" t="s">
        <v>3</v>
      </c>
      <c r="BA17" s="47" t="s">
        <v>6011</v>
      </c>
      <c r="BB17" s="44"/>
      <c r="BC17" s="48">
        <f>COUNTIFS(Accounts!$B:$B,"Customer",Accounts!$C:$C,"Lost",Accounts!$E:$E,"QBO")</f>
        <v>0</v>
      </c>
      <c r="BD17" s="62">
        <f>SUMIFS(Accounts!$AA:$AA,Accounts!$B:$B,"Customer",Accounts!$C:$C,"Lost",Accounts!$E:$E,"QBO") + SUMIFS(Accounts!$AH:$AH,Accounts!$B:$B,"Customer",Accounts!$C:$C,"Lost",Accounts!$E:$E,"QBO") + SUMIFS(Accounts!$AJ:$AJ,Accounts!$B:$B,"Customer",Accounts!$C:$C,"Lost",Accounts!$E:$E,"QBO") + SUMIFS(Accounts!$AI:$AI,Accounts!$B:$B,"Customer",Accounts!$C:$C,"Lost",Accounts!$E:$E,"QBO") + SUMIFS(Accounts!$AO:$AO,Accounts!$B:$B,"Customer",Accounts!$C:$C,"Lost",Accounts!$E:$E,"QBO")</f>
        <v>0</v>
      </c>
      <c r="BE17" s="62">
        <f>(SUMIFS(Accounts!$AC:$AC,Accounts!$B:$B,"Customer",Accounts!$C:$C,"Lost",Accounts!$E:$E,"QBO")+SUMIFS(Accounts!$AF:$AF,Accounts!$B:$B,"Customer",Accounts!$C:$C,"Lost",Accounts!$E:$E,"QBO")+SUMIFS(Accounts!$AK:$AK,Accounts!$B:$B,"Customer",Accounts!$C:$C,"Lost",Accounts!$E:$E,"QBO"))</f>
        <v>0</v>
      </c>
      <c r="BF17" s="62">
        <f>SUMIFS(Accounts!$AB:$AB,Accounts!$B:$B,"Customer",Accounts!$C:$C,"Lost",Accounts!$E:$E,"QBO")</f>
        <v>0</v>
      </c>
      <c r="BG17" s="62">
        <f>SUMIFS(Accounts!$AD:$AD,Accounts!$B:$B,"Customer",Accounts!$C:$C,"Lost",Accounts!$E:$E,"QBO")+SUMIFS(Accounts!$AM:$AM,Accounts!$B:$B,"Customer",Accounts!$C:$C,"Lost",Accounts!$E:$E,"QBO")+SUMIFS(Accounts!$AN:$AN,Accounts!$B:$B,"Customer",Accounts!$C:$C,"Lost",Accounts!$E:$E,"QBO")</f>
        <v>0</v>
      </c>
      <c r="BH17" s="62">
        <f>SUMIFS(Accounts!$AE:$AE,Accounts!$B:$B,"Customer",Accounts!$C:$C,"Lost",Accounts!$E:$E,"QBO") + SUMIFS(Accounts!$AP:$AP,Accounts!$B:$B,"Customer",Accounts!$C:$C,"Lost",Accounts!$E:$E,"QBO")+SUMIFS(Accounts!$Z:$Z,Accounts!$B:$B,"Customer",Accounts!$C:$C,"Lost",Accounts!$E:$E,"QBO")+SUMIFS(Accounts!$AG:$AG,Accounts!$B:$B,"Customer",Accounts!$C:$C,"Lost",Accounts!$E:$E,"QBO") + SUMIFS(Accounts!$AL:$AL,Accounts!$B:$B,"Customer",Accounts!$C:$C,"Lost",Accounts!$E:$E,"QBO")</f>
        <v>0</v>
      </c>
      <c r="BI17" s="62">
        <f>SUMIFS(Accounts!$AE:$AE,Accounts!$B:$B,"Customer",Accounts!$C:$C,"Lost",Accounts!$E:$E,"QBO") + SUMIFS(Accounts!$AP:$AP,Accounts!$B:$B,"Customer",Accounts!$C:$C,"Lost",Accounts!$E:$E,"QBO")</f>
        <v>0</v>
      </c>
      <c r="BJ17" s="62">
        <f>SUMIFS(Accounts!$Z:$Z,Accounts!$B:$B,"Customer",Accounts!$C:$C,"Lost",Accounts!$E:$E,"QBO")</f>
        <v>0</v>
      </c>
      <c r="BK17" s="62">
        <f>SUMIFS(Accounts!$AG:$AG,Accounts!$B:$B,"Customer",Accounts!$C:$C,"Lost",Accounts!$E:$E,"QBO") + SUMIFS(Accounts!$AL:$AL,Accounts!$B:$B,"Customer",Accounts!$C:$C,"Lost",Accounts!$E:$E,"QBO")</f>
        <v>0</v>
      </c>
      <c r="BL17" s="62">
        <f>SUMIFS(Accounts!$AQ:$AQ,Accounts!$B:$B,"Customer",Accounts!$C:$C,"Lost",Accounts!$E:$E,"QBO")</f>
        <v>0</v>
      </c>
      <c r="CU17" s="57" t="s">
        <v>3</v>
      </c>
      <c r="CV17" s="47" t="s">
        <v>6015</v>
      </c>
      <c r="CW17" s="48">
        <f>SUMPRODUCT(COUNTIFS(Accounts!$AS:$AS,"Manufacturing (MWD)",Accounts!$B:$B,{"Trialer","none"},Accounts!$C:$C,"Customer",Accounts!$E:$E,"QBO"))</f>
        <v>0</v>
      </c>
      <c r="DI17" s="60"/>
      <c r="DJ17" s="60"/>
      <c r="DK17" s="60"/>
      <c r="DL17" s="60"/>
      <c r="DM17" s="60"/>
      <c r="DN17" s="60"/>
      <c r="DO17" s="60"/>
      <c r="DP17" s="60"/>
      <c r="DQ17" s="60"/>
      <c r="DR17" s="60"/>
      <c r="DV17" s="53"/>
      <c r="DW17" s="57" t="s">
        <v>3</v>
      </c>
      <c r="DX17" s="47" t="s">
        <v>6015</v>
      </c>
      <c r="DY17" s="48">
        <f>SUMPRODUCT(COUNTIFS(Accounts!$AS:$AS,"Wholesale and distribution services (MWD)",Accounts!$B:$B,{"Trialer","none"},Accounts!$C:$C,"Customer",Accounts!$E:$E,"QBO"))</f>
        <v>0</v>
      </c>
      <c r="EK17" s="60"/>
      <c r="EL17" s="60"/>
      <c r="EM17" s="60"/>
      <c r="EN17" s="60"/>
      <c r="EO17" s="60"/>
      <c r="EP17" s="60"/>
      <c r="EQ17" s="60"/>
      <c r="ER17" s="60"/>
      <c r="ES17" s="60"/>
      <c r="ET17" s="60"/>
      <c r="EX17" s="53"/>
      <c r="EY17" s="57" t="s">
        <v>3</v>
      </c>
      <c r="EZ17" s="47" t="s">
        <v>6015</v>
      </c>
      <c r="FA17" s="48">
        <f>SUMPRODUCT(COUNTIFS(Accounts!$AS:$AS,"Construction",Accounts!$B:$B,{"Trialer","none"},Accounts!$C:$C,"Customer",Accounts!$E:$E,"QBO"))</f>
        <v>0</v>
      </c>
      <c r="FM17" s="60"/>
      <c r="FN17" s="60"/>
      <c r="FO17" s="60"/>
      <c r="FP17" s="60"/>
      <c r="FQ17" s="60"/>
      <c r="FR17" s="60"/>
      <c r="FS17" s="60"/>
      <c r="FT17" s="60"/>
      <c r="FU17" s="60"/>
      <c r="FV17" s="60"/>
      <c r="FZ17" s="53"/>
      <c r="GA17" s="57" t="s">
        <v>3</v>
      </c>
      <c r="GB17" s="47" t="s">
        <v>6015</v>
      </c>
      <c r="GC17" s="48">
        <f>SUMPRODUCT(COUNTIFS(Accounts!$AS:$AS,"Field Services",Accounts!$B:$B,{"Trialer","none"},Accounts!$C:$C,"Customer",Accounts!$E:$E,"QBO"))</f>
        <v>0</v>
      </c>
      <c r="GO17" s="60"/>
      <c r="GP17" s="60"/>
      <c r="GQ17" s="60"/>
      <c r="GR17" s="60"/>
      <c r="GS17" s="60"/>
      <c r="GT17" s="60"/>
      <c r="GU17" s="60"/>
      <c r="GV17" s="60"/>
      <c r="GW17" s="60"/>
      <c r="GX17" s="60"/>
      <c r="HB17" s="53"/>
      <c r="HC17" s="57" t="s">
        <v>3</v>
      </c>
      <c r="HD17" s="47" t="s">
        <v>6015</v>
      </c>
      <c r="HE17" s="48">
        <f>SUMPRODUCT(COUNTIFS(Accounts!$AS:$AS,"Consulting and Professional Services",Accounts!$B:$B,{"Trialer","none"},Accounts!$C:$C,"Customer",Accounts!$E:$E,"QBO"))</f>
        <v>0</v>
      </c>
      <c r="HQ17" s="60"/>
      <c r="HR17" s="60"/>
      <c r="HS17" s="60"/>
      <c r="HT17" s="60"/>
      <c r="HU17" s="60"/>
      <c r="HV17" s="60"/>
      <c r="HW17" s="60"/>
      <c r="HX17" s="60"/>
      <c r="HY17" s="60"/>
      <c r="HZ17" s="60"/>
      <c r="ID17" s="53"/>
      <c r="IE17" s="57" t="s">
        <v>3</v>
      </c>
      <c r="IF17" s="47" t="s">
        <v>6015</v>
      </c>
      <c r="IG17" s="48">
        <f>SUMPRODUCT(COUNTIFS(Accounts!$AS:$AS,"Retail",Accounts!$B:$B,{"Trialer","none"},Accounts!$C:$C,"Customer",Accounts!$E:$E,"QBO"))</f>
        <v>0</v>
      </c>
      <c r="IS17" s="60"/>
      <c r="IT17" s="60"/>
      <c r="IU17" s="60"/>
      <c r="IV17" s="60"/>
      <c r="IW17" s="60"/>
      <c r="IX17" s="60"/>
      <c r="IY17" s="60"/>
      <c r="IZ17" s="60"/>
      <c r="JA17" s="60"/>
      <c r="JB17" s="60"/>
      <c r="JF17" s="53"/>
      <c r="JG17" s="57" t="s">
        <v>3</v>
      </c>
      <c r="JH17" s="47" t="s">
        <v>6015</v>
      </c>
      <c r="JI17" s="48">
        <f>SUMPRODUCT(COUNTIFS(Accounts!$AS:$AS,"Non-profit, govt or religious organization",Accounts!$B:$B,{"Trialer","none"},Accounts!$C:$C,"Customer",Accounts!$E:$E,"QBO"))</f>
        <v>0</v>
      </c>
      <c r="JU17" s="60"/>
      <c r="JV17" s="60"/>
      <c r="JW17" s="60"/>
      <c r="JX17" s="60"/>
      <c r="JY17" s="60"/>
      <c r="JZ17" s="60"/>
      <c r="KA17" s="60"/>
      <c r="KB17" s="60"/>
      <c r="KC17" s="60"/>
      <c r="KD17" s="60"/>
      <c r="KH17" s="53"/>
      <c r="KI17" s="57" t="s">
        <v>3</v>
      </c>
      <c r="KJ17" s="47" t="s">
        <v>6015</v>
      </c>
      <c r="KK17" s="48">
        <f>SUMPRODUCT(COUNTIFS(Accounts!$AS:$AS,"Communications, Entertainment and Media",Accounts!$B:$B,{"Trialer","none"},Accounts!$C:$C,"Customer",Accounts!$E:$E,"QBO"))</f>
        <v>0</v>
      </c>
      <c r="KW17" s="60"/>
      <c r="KX17" s="60"/>
      <c r="KY17" s="60"/>
      <c r="KZ17" s="60"/>
      <c r="LA17" s="60"/>
      <c r="LB17" s="60"/>
      <c r="LC17" s="60"/>
      <c r="LD17" s="60"/>
      <c r="LE17" s="60"/>
      <c r="LF17" s="60"/>
      <c r="LJ17" s="53"/>
      <c r="LK17" s="57" t="s">
        <v>3</v>
      </c>
      <c r="LL17" s="47" t="s">
        <v>6015</v>
      </c>
      <c r="LM17" s="48">
        <f>SUMPRODUCT(COUNTIFS(Accounts!$AS:$AS,"IT and computer related",Accounts!$B:$B,{"Trialer","none"},Accounts!$C:$C,"Customer",Accounts!$E:$E,"QBO"))</f>
        <v>0</v>
      </c>
      <c r="LY17" s="60"/>
      <c r="LZ17" s="60"/>
      <c r="MA17" s="60"/>
      <c r="MB17" s="60"/>
      <c r="MC17" s="60"/>
      <c r="MD17" s="60"/>
      <c r="ME17" s="60"/>
      <c r="MF17" s="60"/>
      <c r="MG17" s="60"/>
      <c r="MH17" s="60"/>
      <c r="ML17" s="53"/>
      <c r="MM17" s="57" t="s">
        <v>3</v>
      </c>
      <c r="MN17" s="47" t="s">
        <v>6015</v>
      </c>
      <c r="MO17" s="48">
        <f>SUMPRODUCT(COUNTIFS(Accounts!$AS:$AS,{"General service based","General"},Accounts!$B:$B,{"Trialer","none"},Accounts!$C:$C,"Customer",Accounts!$E:$E,"QBO"))</f>
        <v>0</v>
      </c>
      <c r="NA17" s="60"/>
      <c r="NB17" s="60"/>
      <c r="NC17" s="60"/>
      <c r="ND17" s="60"/>
      <c r="NE17" s="60"/>
      <c r="NF17" s="60"/>
      <c r="NG17" s="60"/>
      <c r="NH17" s="60"/>
      <c r="NI17" s="60"/>
      <c r="NJ17" s="60"/>
      <c r="NN17" s="53"/>
      <c r="NO17" s="57" t="s">
        <v>3</v>
      </c>
      <c r="NP17" s="47" t="s">
        <v>6015</v>
      </c>
      <c r="NQ17" s="48">
        <f>SUMPRODUCT(COUNTIFS(Accounts!$AS:$AS,"Other",Accounts!$B:$B,{"Trialer","none"},Accounts!$C:$C,"Customer",Accounts!$E:$E,"QBO"))</f>
        <v>0</v>
      </c>
      <c r="OC17" s="60"/>
      <c r="OD17" s="60"/>
      <c r="OE17" s="60"/>
      <c r="OF17" s="60"/>
      <c r="OG17" s="60"/>
      <c r="OH17" s="60"/>
      <c r="OI17" s="60"/>
      <c r="OJ17" s="60"/>
      <c r="OK17" s="60"/>
      <c r="OL17" s="60"/>
      <c r="OP17" s="53"/>
      <c r="OQ17" s="57" t="s">
        <v>3</v>
      </c>
      <c r="OR17" s="47" t="s">
        <v>6015</v>
      </c>
      <c r="OS17" s="48">
        <f>SUMPRODUCT(COUNTIFS(Accounts!$AS:$AS,"Accounting and Bookkeeping",Accounts!$B:$B,{"Trialer","none"},Accounts!$C:$C,"Customer",Accounts!$E:$E,"QBO"))</f>
        <v>0</v>
      </c>
      <c r="PE17" s="60"/>
      <c r="PF17" s="60"/>
      <c r="PG17" s="60"/>
      <c r="PH17" s="60"/>
      <c r="PI17" s="60"/>
      <c r="PJ17" s="60"/>
      <c r="PK17" s="60"/>
      <c r="PL17" s="60"/>
      <c r="PM17" s="60"/>
      <c r="PN17" s="60"/>
      <c r="PR17" s="53"/>
      <c r="PS17" s="53"/>
      <c r="PT17" s="61"/>
    </row>
    <row r="18" ht="16" s="35" customFormat="1">
      <c r="J18" s="39"/>
      <c r="K18" s="39"/>
      <c r="M18" s="38"/>
      <c r="AZ18" s="57" t="s">
        <v>3</v>
      </c>
      <c r="BA18" s="47" t="s">
        <v>6013</v>
      </c>
      <c r="BB18" s="44"/>
      <c r="BC18" s="48">
        <f>COUNTIFS(Accounts!$C:$C,"Customer",Accounts!$E:$E,"QBO")</f>
        <v>0</v>
      </c>
      <c r="BD18" s="62">
        <f>SUMIFS(Accounts!$AA:$AA,Accounts!$C:$C,"Customer",Accounts!$E:$E,"QBO") + SUMIFS(Accounts!$AH:$AH,Accounts!$C:$C,"Customer",Accounts!$E:$E,"QBO") + SUMIFS(Accounts!$AJ:$AJ,Accounts!$C:$C,"Customer",Accounts!$E:$E,"QBO") + SUMIFS(Accounts!$AI:$AI,Accounts!$C:$C,"Customer",Accounts!$E:$E,"QBO") + SUMIFS(Accounts!$AO:$AO,Accounts!$C:$C,"Customer",Accounts!$E:$E,"QBO")</f>
        <v>0</v>
      </c>
      <c r="BE18" s="62">
        <f>(SUMIFS(Accounts!$AC:$AC,Accounts!$C:$C,"Customer",Accounts!$E:$E,"QBO")+SUMIFS(Accounts!$AF:$AF,Accounts!$C:$C,"Customer",Accounts!$E:$E,"QBO")+SUMIFS(Accounts!$AK:$AK,Accounts!$C:$C,"Customer",Accounts!$E:$E,"QBO"))</f>
        <v>0</v>
      </c>
      <c r="BF18" s="62">
        <f>SUMIFS(Accounts!$AB:$AB,Accounts!$C:$C,"Customer",Accounts!$E:$E,"QBO")</f>
        <v>0</v>
      </c>
      <c r="BG18" s="62">
        <f>SUMIFS(Accounts!$AD:$AD,Accounts!$C:$C,"Customer",Accounts!$E:$E,"QBO")+SUMIFS(Accounts!$AM:$AM,Accounts!$C:$C,"Customer",Accounts!$E:$E,"QBO")+SUMIFS(Accounts!$AN:$AN,Accounts!$C:$C,"Customer",Accounts!$E:$E,"QBO")</f>
        <v>0</v>
      </c>
      <c r="BH18" s="62">
        <f>SUMIFS(Accounts!$AE:$AE,Accounts!$C:$C,"Customer",Accounts!$E:$E,"QBO") + SUMIFS(Accounts!$AP:$AP,Accounts!$C:$C,"Customer",Accounts!$E:$E,"QBO")+SUMIFS(Accounts!$Z:$Z,Accounts!$C:$C,"Customer",Accounts!$E:$E,"QBO")+SUMIFS(Accounts!$AG:$AG,Accounts!$C:$C,"Customer",Accounts!$E:$E,"QBO") + SUMIFS(Accounts!$AL:$AL,Accounts!$C:$C,"Customer",Accounts!$E:$E,"QBO")</f>
        <v>0</v>
      </c>
      <c r="BI18" s="62">
        <f>SUMIFS(Accounts!$AE:$AE,Accounts!$C:$C,"Customer",Accounts!$E:$E,"QBO") + SUMIFS(Accounts!$AP:$AP,Accounts!$C:$C,"Customer",Accounts!$E:$E,"QBO")</f>
        <v>0</v>
      </c>
      <c r="BJ18" s="62">
        <f>SUMIFS(Accounts!$Z:$Z,Accounts!$C:$C,"Customer",Accounts!$E:$E,"QBO")</f>
        <v>0</v>
      </c>
      <c r="BK18" s="62">
        <f>SUMIFS(Accounts!$AG:$AG,Accounts!$C:$C,"Customer",Accounts!$E:$E,"QBO") + SUMIFS(Accounts!$AL:$AL,Accounts!$C:$C,"Customer",Accounts!$E:$E,"QBO")</f>
        <v>0</v>
      </c>
      <c r="BL18" s="62">
        <f>SUMIFS(Accounts!$AQ:$AQ,Accounts!$C:$C,"Customer",Accounts!$E:$E,"QBO")</f>
        <v>0</v>
      </c>
      <c r="CU18" s="57" t="s">
        <v>3</v>
      </c>
      <c r="CV18" s="47" t="s">
        <v>6017</v>
      </c>
      <c r="CW18" s="48">
        <f>SUMPRODUCT(COUNTIFS(Accounts!$AS:$AS,"Manufacturing (MWD)",Accounts!$B:$B,{"Trialer","none"},Accounts!$C:$C,"Lost",Accounts!$E:$E,"QBO"))</f>
        <v>0</v>
      </c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V18" s="53"/>
      <c r="DW18" s="57" t="s">
        <v>3</v>
      </c>
      <c r="DX18" s="47" t="s">
        <v>6017</v>
      </c>
      <c r="DY18" s="48">
        <f>SUMPRODUCT(COUNTIFS(Accounts!$AS:$AS,"Wholesale and distribution services (MWD)",Accounts!$B:$B,{"Trialer","none"},Accounts!$C:$C,"Lost",Accounts!$E:$E,"QBO"))</f>
        <v>0</v>
      </c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X18" s="53"/>
      <c r="EY18" s="57" t="s">
        <v>3</v>
      </c>
      <c r="EZ18" s="47" t="s">
        <v>6017</v>
      </c>
      <c r="FA18" s="48">
        <f>SUMPRODUCT(COUNTIFS(Accounts!$AS:$AS,"Construction",Accounts!$B:$B,{"Trialer","none"},Accounts!$C:$C,"Lost",Accounts!$E:$E,"QBO"))</f>
        <v>0</v>
      </c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Z18" s="53"/>
      <c r="GA18" s="57" t="s">
        <v>3</v>
      </c>
      <c r="GB18" s="47" t="s">
        <v>6017</v>
      </c>
      <c r="GC18" s="48">
        <f>SUMPRODUCT(COUNTIFS(Accounts!$AS:$AS,"Field Services",Accounts!$B:$B,{"Trialer","none"},Accounts!$C:$C,"Lost",Accounts!$E:$E,"QBO"))</f>
        <v>0</v>
      </c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HB18" s="53"/>
      <c r="HC18" s="57" t="s">
        <v>3</v>
      </c>
      <c r="HD18" s="47" t="s">
        <v>6017</v>
      </c>
      <c r="HE18" s="48">
        <f>SUMPRODUCT(COUNTIFS(Accounts!$AS:$AS,"Consulting and Professional Services",Accounts!$B:$B,{"Trialer","none"},Accounts!$C:$C,"Lost",Accounts!$E:$E,"QBO"))</f>
        <v>0</v>
      </c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D18" s="53"/>
      <c r="IE18" s="57" t="s">
        <v>3</v>
      </c>
      <c r="IF18" s="47" t="s">
        <v>6017</v>
      </c>
      <c r="IG18" s="48">
        <f>SUMPRODUCT(COUNTIFS(Accounts!$AS:$AS,"Retail",Accounts!$B:$B,{"Trialer","none"},Accounts!$C:$C,"Lost",Accounts!$E:$E,"QBO"))</f>
        <v>0</v>
      </c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F18" s="53"/>
      <c r="JG18" s="57" t="s">
        <v>3</v>
      </c>
      <c r="JH18" s="47" t="s">
        <v>6017</v>
      </c>
      <c r="JI18" s="48">
        <f>SUMPRODUCT(COUNTIFS(Accounts!$AS:$AS,"Non-profit, govt or religious organization",Accounts!$B:$B,{"Trialer","none"},Accounts!$C:$C,"Lost",Accounts!$E:$E,"QBO"))</f>
        <v>0</v>
      </c>
      <c r="JU18" s="43"/>
      <c r="JV18" s="43"/>
      <c r="JW18" s="43"/>
      <c r="JX18" s="43"/>
      <c r="JY18" s="43"/>
      <c r="JZ18" s="43"/>
      <c r="KA18" s="43"/>
      <c r="KB18" s="43"/>
      <c r="KC18" s="43"/>
      <c r="KD18" s="43"/>
      <c r="KH18" s="53"/>
      <c r="KI18" s="57" t="s">
        <v>3</v>
      </c>
      <c r="KJ18" s="47" t="s">
        <v>6017</v>
      </c>
      <c r="KK18" s="48">
        <f>SUMPRODUCT(COUNTIFS(Accounts!$AS:$AS,"Communications, Entertainment and Media",Accounts!$B:$B,{"Trialer","none"},Accounts!$C:$C,"Lost",Accounts!$E:$E,"QBO"))</f>
        <v>0</v>
      </c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J18" s="53"/>
      <c r="LK18" s="57" t="s">
        <v>3</v>
      </c>
      <c r="LL18" s="47" t="s">
        <v>6017</v>
      </c>
      <c r="LM18" s="48">
        <f>SUMPRODUCT(COUNTIFS(Accounts!$AS:$AS,"IT and computer related",Accounts!$B:$B,{"Trialer","none"},Accounts!$C:$C,"Lost",Accounts!$E:$E,"QBO"))</f>
        <v>0</v>
      </c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L18" s="53"/>
      <c r="MM18" s="57" t="s">
        <v>3</v>
      </c>
      <c r="MN18" s="47" t="s">
        <v>6017</v>
      </c>
      <c r="MO18" s="48">
        <f>SUMPRODUCT(COUNTIFS(Accounts!$AS:$AS,{"General service based","General"},Accounts!$B:$B,{"Trialer","none"},Accounts!$C:$C,"Lost",Accounts!$E:$E,"QBO"))</f>
        <v>0</v>
      </c>
      <c r="NA18" s="43"/>
      <c r="NB18" s="43"/>
      <c r="NC18" s="43"/>
      <c r="ND18" s="43"/>
      <c r="NE18" s="43"/>
      <c r="NF18" s="43"/>
      <c r="NG18" s="43"/>
      <c r="NH18" s="43"/>
      <c r="NI18" s="43"/>
      <c r="NJ18" s="43"/>
      <c r="NN18" s="53"/>
      <c r="NO18" s="57" t="s">
        <v>3</v>
      </c>
      <c r="NP18" s="47" t="s">
        <v>6017</v>
      </c>
      <c r="NQ18" s="48">
        <f>SUMPRODUCT(COUNTIFS(Accounts!$AS:$AS,"Other",Accounts!$B:$B,{"Trialer","none"},Accounts!$C:$C,"Lost",Accounts!$E:$E,"QBO"))</f>
        <v>0</v>
      </c>
      <c r="OC18" s="43"/>
      <c r="OD18" s="43"/>
      <c r="OE18" s="43"/>
      <c r="OF18" s="43"/>
      <c r="OG18" s="43"/>
      <c r="OH18" s="43"/>
      <c r="OI18" s="43"/>
      <c r="OJ18" s="43"/>
      <c r="OK18" s="43"/>
      <c r="OL18" s="43"/>
      <c r="OP18" s="53"/>
      <c r="OQ18" s="57" t="s">
        <v>3</v>
      </c>
      <c r="OR18" s="47" t="s">
        <v>6017</v>
      </c>
      <c r="OS18" s="48">
        <f>SUMPRODUCT(COUNTIFS(Accounts!$AS:$AS,"Accounting and Bookkeeping",Accounts!$B:$B,{"Trialer","none"},Accounts!$C:$C,"Lost",Accounts!$E:$E,"QBO"))</f>
        <v>0</v>
      </c>
      <c r="PE18" s="43"/>
      <c r="PF18" s="43"/>
      <c r="PG18" s="43"/>
      <c r="PH18" s="43"/>
      <c r="PI18" s="43"/>
      <c r="PJ18" s="43"/>
      <c r="PK18" s="43"/>
      <c r="PL18" s="43"/>
      <c r="PM18" s="43"/>
      <c r="PN18" s="43"/>
      <c r="PR18" s="53"/>
      <c r="PS18" s="53"/>
      <c r="PT18" s="61"/>
    </row>
    <row r="19" ht="16" s="35" customFormat="1">
      <c r="G19" s="55"/>
      <c r="AZ19" s="57" t="s">
        <v>3</v>
      </c>
      <c r="BA19" s="47" t="s">
        <v>6015</v>
      </c>
      <c r="BB19" s="44"/>
      <c r="BC19" s="48">
        <f>SUMPRODUCT(COUNTIFS(Accounts!$B:$B,{"Trialer","none"},Accounts!$C:$C,"Customer",Accounts!$E:$E,"QBO"))</f>
        <v>0</v>
      </c>
      <c r="BD19" s="62">
        <f>SUMPRODUCT(SUMIFS(Accounts!$AA:$AA,Accounts!$B:$B,{"Trialer","none"},Accounts!$C:$C,"Customer",Accounts!$E:$E,"QBO") + SUMIFS(Accounts!$AH:$AH,Accounts!$B:$B,{"Trialer","none"},Accounts!$C:$C,"Customer",Accounts!$E:$E,"QBO") + SUMIFS(Accounts!$AJ:$AJ,Accounts!$B:$B,{"Trialer","none"},Accounts!$C:$C,"Customer",Accounts!$E:$E,"QBO") + SUMIFS(Accounts!$AI:$AI,Accounts!$B:$B,{"Trialer","none"},Accounts!$C:$C,"Customer",Accounts!$E:$E,"QBO") + SUMIFS(Accounts!$AO:$AO,Accounts!$B:$B,{"Trialer","none"},Accounts!$C:$C,"Customer",Accounts!$E:$E,"QBO"))</f>
        <v>0</v>
      </c>
      <c r="BE19" s="62">
        <f>SUMPRODUCT(SUMIFS(Accounts!$AC:$AC,Accounts!$B:$B,{"Trialer","none"},Accounts!$C:$C,"Customer",Accounts!$E:$E,"QBO")+SUMIFS(Accounts!$AF:$AF,Accounts!$B:$B,{"Trialer","none"},Accounts!$C:$C,"Customer",Accounts!$E:$E,"QBO")+SUMIFS(Accounts!$AK:$AK,Accounts!$B:$B,{"Trialer","none"},Accounts!$C:$C,"Customer",Accounts!$E:$E,"QBO"))</f>
        <v>0</v>
      </c>
      <c r="BF19" s="62">
        <f>SUMPRODUCT(SUMIFS(Accounts!$AB:$AB,Accounts!$B:$B,{"Trialer","none"},Accounts!$C:$C,"Customer",Accounts!$E:$E,"QBO"))</f>
        <v>0</v>
      </c>
      <c r="BG19" s="62">
        <f>SUMPRODUCT(SUMIFS(Accounts!$AD:$AD,Accounts!$B:$B,{"Trialer","none"},Accounts!$C:$C,"Customer",Accounts!$E:$E,"QBO")+SUMIFS(Accounts!$AM:$AM,Accounts!$B:$B,{"Trialer","none"},Accounts!$C:$C,"Customer",Accounts!$E:$E,"QBO")+SUMIFS(Accounts!$AN:$AN,Accounts!$B:$B,{"Trialer","none"},Accounts!$C:$C,"Customer",Accounts!$E:$E,"QBO"))</f>
        <v>0</v>
      </c>
      <c r="BH19" s="62">
        <f>SUMPRODUCT(SUMIFS(Accounts!$AE:$AE,Accounts!$B:$B,{"Trialer","none"},Accounts!$C:$C,"Customer",Accounts!$E:$E,"QBO")+SUMIFS(Accounts!$AP:$AP,Accounts!$B:$B,{"Trialer","none"},Accounts!$C:$C,"Customer",Accounts!$E:$E,"QBO")+SUMIFS(Accounts!$Z:$Z,Accounts!$B:$B,{"Trialer","none"},Accounts!$C:$C,"Customer",Accounts!$E:$E,"QBO")+SUMIFS(Accounts!$AG:$AG,Accounts!$B:$B,{"Trialer","none"},Accounts!$C:$C,"Customer",Accounts!$E:$E,"QBO")+SUMIFS(Accounts!$AL:$AL,Accounts!$B:$B,{"Trialer","none"},Accounts!$C:$C,"Customer",Accounts!$E:$E,"QBO"))</f>
        <v>0</v>
      </c>
      <c r="BI19" s="62">
        <f>SUMPRODUCT(SUMIFS(Accounts!$AE:$AE,Accounts!$B:$B,{"Trialer","none"},Accounts!$C:$C,"Customer",Accounts!$E:$E,"QBO")+SUMIFS(Accounts!$AP:$AP,Accounts!$B:$B,{"Trialer","none"},Accounts!$C:$C,"Customer",Accounts!$E:$E,"QBO"))</f>
        <v>0</v>
      </c>
      <c r="BJ19" s="62">
        <f>SUMPRODUCT(SUMIFS(Accounts!$Z:$Z,Accounts!$B:$B,{"Trialer","none"},Accounts!$C:$C,"Customer",Accounts!$E:$E,"QBO"))</f>
        <v>0</v>
      </c>
      <c r="BK19" s="62">
        <f>SUMPRODUCT(SUMIFS(Accounts!$AG:$AG,Accounts!$B:$B,{"Trialer","none"},Accounts!$C:$C,"Customer",Accounts!$E:$E,"QBO")+SUMIFS(Accounts!$AL:$AL,Accounts!$B:$B,{"Trialer","none"},Accounts!$C:$C,"Customer",Accounts!$E:$E,"QBO"))</f>
        <v>0</v>
      </c>
      <c r="BL19" s="62">
        <f>SUMPRODUCT(SUMIFS(Accounts!$AQ:$AQ,Accounts!$B:$B,{"Trialer","none"},Accounts!$C:$C,"Customer",Accounts!$E:$E,"QBO"))</f>
        <v>0</v>
      </c>
      <c r="CU19" s="44"/>
      <c r="CV19" s="44"/>
      <c r="CW19" s="44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W19" s="44"/>
      <c r="DX19" s="44"/>
      <c r="DY19" s="44"/>
      <c r="EK19" s="60"/>
      <c r="EL19" s="60"/>
      <c r="EM19" s="60"/>
      <c r="EN19" s="60"/>
      <c r="EO19" s="60"/>
      <c r="EP19" s="60"/>
      <c r="EQ19" s="60"/>
      <c r="ER19" s="60"/>
      <c r="ES19" s="60"/>
      <c r="ET19" s="60"/>
      <c r="EY19" s="44"/>
      <c r="EZ19" s="44"/>
      <c r="FA19" s="44"/>
      <c r="FM19" s="60"/>
      <c r="FN19" s="60"/>
      <c r="FO19" s="60"/>
      <c r="FP19" s="60"/>
      <c r="FQ19" s="60"/>
      <c r="FR19" s="60"/>
      <c r="FS19" s="60"/>
      <c r="FT19" s="60"/>
      <c r="FU19" s="60"/>
      <c r="FV19" s="60"/>
      <c r="GA19" s="44"/>
      <c r="GB19" s="44"/>
      <c r="GC19" s="44"/>
      <c r="GO19" s="60"/>
      <c r="GP19" s="60"/>
      <c r="GQ19" s="60"/>
      <c r="GR19" s="60"/>
      <c r="GS19" s="60"/>
      <c r="GT19" s="60"/>
      <c r="GU19" s="60"/>
      <c r="GV19" s="60"/>
      <c r="GW19" s="60"/>
      <c r="GX19" s="60"/>
      <c r="HC19" s="44"/>
      <c r="HD19" s="44"/>
      <c r="HE19" s="44"/>
      <c r="HQ19" s="60"/>
      <c r="HR19" s="60"/>
      <c r="HS19" s="60"/>
      <c r="HT19" s="60"/>
      <c r="HU19" s="60"/>
      <c r="HV19" s="60"/>
      <c r="HW19" s="60"/>
      <c r="HX19" s="60"/>
      <c r="HY19" s="60"/>
      <c r="HZ19" s="60"/>
      <c r="IE19" s="44"/>
      <c r="IF19" s="44"/>
      <c r="IG19" s="44"/>
      <c r="IS19" s="60"/>
      <c r="IT19" s="60"/>
      <c r="IU19" s="60"/>
      <c r="IV19" s="60"/>
      <c r="IW19" s="60"/>
      <c r="IX19" s="60"/>
      <c r="IY19" s="60"/>
      <c r="IZ19" s="60"/>
      <c r="JA19" s="60"/>
      <c r="JB19" s="60"/>
      <c r="JG19" s="44"/>
      <c r="JH19" s="44"/>
      <c r="JI19" s="44"/>
      <c r="JU19" s="60"/>
      <c r="JV19" s="60"/>
      <c r="JW19" s="60"/>
      <c r="JX19" s="60"/>
      <c r="JY19" s="60"/>
      <c r="JZ19" s="60"/>
      <c r="KA19" s="60"/>
      <c r="KB19" s="60"/>
      <c r="KC19" s="60"/>
      <c r="KD19" s="60"/>
      <c r="KI19" s="44"/>
      <c r="KJ19" s="44"/>
      <c r="KK19" s="44"/>
      <c r="KW19" s="60"/>
      <c r="KX19" s="60"/>
      <c r="KY19" s="60"/>
      <c r="KZ19" s="60"/>
      <c r="LA19" s="60"/>
      <c r="LB19" s="60"/>
      <c r="LC19" s="60"/>
      <c r="LD19" s="60"/>
      <c r="LE19" s="60"/>
      <c r="LF19" s="60"/>
      <c r="LK19" s="44"/>
      <c r="LL19" s="44"/>
      <c r="LM19" s="44"/>
      <c r="LY19" s="60"/>
      <c r="LZ19" s="60"/>
      <c r="MA19" s="60"/>
      <c r="MB19" s="60"/>
      <c r="MC19" s="60"/>
      <c r="MD19" s="60"/>
      <c r="ME19" s="60"/>
      <c r="MF19" s="60"/>
      <c r="MG19" s="60"/>
      <c r="MH19" s="60"/>
      <c r="MM19" s="44"/>
      <c r="MN19" s="44"/>
      <c r="MO19" s="44"/>
      <c r="NA19" s="60"/>
      <c r="NB19" s="60"/>
      <c r="NC19" s="60"/>
      <c r="ND19" s="60"/>
      <c r="NE19" s="60"/>
      <c r="NF19" s="60"/>
      <c r="NG19" s="60"/>
      <c r="NH19" s="60"/>
      <c r="NI19" s="60"/>
      <c r="NJ19" s="60"/>
      <c r="NO19" s="44"/>
      <c r="NP19" s="44"/>
      <c r="NQ19" s="44"/>
      <c r="OC19" s="60"/>
      <c r="OD19" s="60"/>
      <c r="OE19" s="60"/>
      <c r="OF19" s="60"/>
      <c r="OG19" s="60"/>
      <c r="OH19" s="60"/>
      <c r="OI19" s="60"/>
      <c r="OJ19" s="60"/>
      <c r="OK19" s="60"/>
      <c r="OL19" s="60"/>
      <c r="OQ19" s="44"/>
      <c r="OR19" s="44"/>
      <c r="OS19" s="44"/>
      <c r="PE19" s="60"/>
      <c r="PF19" s="60"/>
      <c r="PG19" s="60"/>
      <c r="PH19" s="60"/>
      <c r="PI19" s="60"/>
      <c r="PJ19" s="60"/>
      <c r="PK19" s="60"/>
      <c r="PL19" s="60"/>
      <c r="PM19" s="60"/>
      <c r="PN19" s="60"/>
    </row>
    <row r="20" ht="16" s="35" customFormat="1">
      <c r="F20" s="56"/>
      <c r="J20" s="64"/>
      <c r="AZ20" s="57" t="s">
        <v>3</v>
      </c>
      <c r="BA20" s="47" t="s">
        <v>6017</v>
      </c>
      <c r="BB20" s="44"/>
      <c r="BC20" s="48">
        <f>SUMPRODUCT(COUNTIFS(Accounts!$B:$B,{"Trialer","none"},Accounts!$C:$C,"Lost",Accounts!$E:$E,"QBO"))</f>
        <v>0</v>
      </c>
      <c r="BD20" s="62">
        <f>SUMPRODUCT(SUMIFS(Accounts!$AA:$AA,Accounts!$B:$B,{"Trialer","none"},Accounts!$C:$C,"Lost",Accounts!$E:$E,"QBO") + SUMIFS(Accounts!$AH:$AH,Accounts!$B:$B,{"Trialer","none"},Accounts!$C:$C,"Lost",Accounts!$E:$E,"QBO") + SUMIFS(Accounts!$AJ:$AJ,Accounts!$B:$B,{"Trialer","none"},Accounts!$C:$C,"Lost",Accounts!$E:$E,"QBO") + SUMIFS(Accounts!$AI:$AI,Accounts!$B:$B,{"Trialer","none"},Accounts!$C:$C,"Lost",Accounts!$E:$E,"QBO") + SUMIFS(Accounts!$AO:$AO,Accounts!$B:$B,{"Trialer","none"},Accounts!$C:$C,"Lost",Accounts!$E:$E,"QBO"))</f>
        <v>0</v>
      </c>
      <c r="BE20" s="62">
        <f>SUMPRODUCT((SUMIFS(Accounts!$AC:$AC,Accounts!$B:$B,{"Trialer","none"},Accounts!$C:$C,"Lost",Accounts!$E:$E,"QBO")+SUMIFS(Accounts!$AF:$AF,Accounts!$B:$B,{"Trialer","none"},Accounts!$C:$C,"Lost",Accounts!$E:$E,"QBO")+SUMIFS(Accounts!$AK:$AK,Accounts!$B:$B,{"Trialer","none"},Accounts!$C:$C,"Lost",Accounts!$E:$E,"QBO")))</f>
        <v>0</v>
      </c>
      <c r="BF20" s="62">
        <f>SUMPRODUCT(SUMIFS(Accounts!$AB:$AB,Accounts!$B:$B,{"Trialer","none"},Accounts!$C:$C,"Lost",Accounts!$E:$E,"QBO"))</f>
        <v>0</v>
      </c>
      <c r="BG20" s="62">
        <f>SUMPRODUCT(SUMIFS(Accounts!$AD:$AD,Accounts!$B:$B,{"Trialer","none"},Accounts!$C:$C,"Lost",Accounts!$E:$E,"QBO")+SUMIFS(Accounts!$AM:$AM,Accounts!$B:$B,{"Trialer","none"},Accounts!$C:$C,"Lost",Accounts!$E:$E,"QBO")+SUMIFS(Accounts!$AN:$AN,Accounts!$B:$B,{"Trialer","none"},Accounts!$C:$C,"Lost",Accounts!$E:$E,"QBO"))</f>
        <v>0</v>
      </c>
      <c r="BH20" s="62">
        <f>SUMPRODUCT(SUMIFS(Accounts!$AE:$AE,Accounts!$B:$B,{"Trialer","none"},Accounts!$C:$C,"Lost",Accounts!$E:$E,"QBO")+SUMIFS(Accounts!$AP:$AP,Accounts!$B:$B,{"Trialer","none"},Accounts!$C:$C,"Lost",Accounts!$E:$E,"QBO")+SUMIFS(Accounts!$Z:$Z,Accounts!$B:$B,{"Trialer","none"},Accounts!$C:$C,"Lost",Accounts!$E:$E,"QBO")+SUMIFS(Accounts!$AG:$AG,Accounts!$B:$B,{"Trialer","none"},Accounts!$C:$C,"Lost",Accounts!$E:$E,"QBO")+SUMIFS(Accounts!$AL:$AL,Accounts!$B:$B,{"Trialer","none"},Accounts!$C:$C,"Lost",Accounts!$E:$E,"QBO"))</f>
        <v>0</v>
      </c>
      <c r="BI20" s="62">
        <f>SUMPRODUCT(SUMIFS(Accounts!$AE:$AE,Accounts!$B:$B,{"Trialer","none"},Accounts!$C:$C,"Lost",Accounts!$E:$E,"QBO")+SUMIFS(Accounts!$AP:$AP,Accounts!$B:$B,{"Trialer","none"},Accounts!$C:$C,"Lost",Accounts!$E:$E,"QBO"))</f>
        <v>0</v>
      </c>
      <c r="BJ20" s="62">
        <f>SUMPRODUCT(SUMIFS(Accounts!$Z:$Z,Accounts!$B:$B,{"Trialer","none"},Accounts!$C:$C,"Lost",Accounts!$E:$E,"QBO"))</f>
        <v>0</v>
      </c>
      <c r="BK20" s="62">
        <f>SUMPRODUCT(SUMIFS(Accounts!$AG:$AG,Accounts!$B:$B,{"Trialer","none"},Accounts!$C:$C,"Lost",Accounts!$E:$E,"QBO")+SUMIFS(Accounts!$AL:$AL,Accounts!$B:$B,{"Trialer","none"},Accounts!$C:$C,"Lost",Accounts!$E:$E,"QBO"))</f>
        <v>0</v>
      </c>
      <c r="BL20" s="62">
        <f>SUMPRODUCT(SUMIFS(Accounts!$AQ:$AQ,Accounts!$B:$B,{"Trialer","none"},Accounts!$C:$C,"Lost",Accounts!$E:$E,"QBO"))</f>
        <v>0</v>
      </c>
      <c r="CU20" s="57" t="s">
        <v>2</v>
      </c>
      <c r="CV20" s="47" t="s">
        <v>6007</v>
      </c>
      <c r="CW20" s="48" t="e">
        <f>IF(CW$4=0,120,1/CW$4)</f>
        <v>#VALUE!</v>
      </c>
      <c r="DI20" s="43"/>
      <c r="DJ20" s="43"/>
      <c r="DK20" s="43"/>
      <c r="DL20" s="43"/>
      <c r="DM20" s="43"/>
      <c r="DN20" s="43"/>
      <c r="DO20" s="43"/>
      <c r="DP20" s="43"/>
      <c r="DQ20" s="42"/>
      <c r="DR20" s="42"/>
      <c r="DV20" s="53"/>
      <c r="DW20" s="57" t="s">
        <v>2</v>
      </c>
      <c r="DX20" s="47" t="s">
        <v>6007</v>
      </c>
      <c r="DY20" s="48" t="e">
        <f>IF(DY$4=0,120,1/DY$4)</f>
        <v>#VALUE!</v>
      </c>
      <c r="EK20" s="43"/>
      <c r="EL20" s="43"/>
      <c r="EM20" s="43"/>
      <c r="EN20" s="43"/>
      <c r="EO20" s="43"/>
      <c r="EP20" s="43"/>
      <c r="EQ20" s="43"/>
      <c r="ER20" s="43"/>
      <c r="ES20" s="42"/>
      <c r="ET20" s="42"/>
      <c r="EX20" s="53"/>
      <c r="EY20" s="57" t="s">
        <v>2</v>
      </c>
      <c r="EZ20" s="47" t="s">
        <v>6007</v>
      </c>
      <c r="FA20" s="48" t="e">
        <f>IF(FA$4=0,120,1/FA$4)</f>
        <v>#VALUE!</v>
      </c>
      <c r="FM20" s="43"/>
      <c r="FN20" s="43"/>
      <c r="FO20" s="43"/>
      <c r="FP20" s="43"/>
      <c r="FQ20" s="43"/>
      <c r="FR20" s="43"/>
      <c r="FS20" s="43"/>
      <c r="FT20" s="43"/>
      <c r="FU20" s="42"/>
      <c r="FV20" s="42"/>
      <c r="FZ20" s="53"/>
      <c r="GA20" s="57" t="s">
        <v>2</v>
      </c>
      <c r="GB20" s="47" t="s">
        <v>6007</v>
      </c>
      <c r="GC20" s="48" t="e">
        <f>IF(GC$4=0,120,1/GC$4)</f>
        <v>#VALUE!</v>
      </c>
      <c r="GO20" s="43"/>
      <c r="GP20" s="43"/>
      <c r="GQ20" s="43"/>
      <c r="GR20" s="43"/>
      <c r="GS20" s="43"/>
      <c r="GT20" s="43"/>
      <c r="GU20" s="43"/>
      <c r="GV20" s="43"/>
      <c r="GW20" s="42"/>
      <c r="GX20" s="42"/>
      <c r="HB20" s="53"/>
      <c r="HC20" s="57" t="s">
        <v>2</v>
      </c>
      <c r="HD20" s="47" t="s">
        <v>6007</v>
      </c>
      <c r="HE20" s="48" t="e">
        <f>IF(HE$4=0,120,1/HE$4)</f>
        <v>#VALUE!</v>
      </c>
      <c r="HQ20" s="43"/>
      <c r="HR20" s="43"/>
      <c r="HS20" s="43"/>
      <c r="HT20" s="43"/>
      <c r="HU20" s="43"/>
      <c r="HV20" s="43"/>
      <c r="HW20" s="43"/>
      <c r="HX20" s="43"/>
      <c r="HY20" s="42"/>
      <c r="HZ20" s="42"/>
      <c r="ID20" s="53"/>
      <c r="IE20" s="57" t="s">
        <v>2</v>
      </c>
      <c r="IF20" s="47" t="s">
        <v>6007</v>
      </c>
      <c r="IG20" s="48" t="e">
        <f>IF(IG$4=0,120,1/IG$4)</f>
        <v>#VALUE!</v>
      </c>
      <c r="IS20" s="43"/>
      <c r="IT20" s="43"/>
      <c r="IU20" s="43"/>
      <c r="IV20" s="43"/>
      <c r="IW20" s="43"/>
      <c r="IX20" s="43"/>
      <c r="IY20" s="43"/>
      <c r="IZ20" s="43"/>
      <c r="JA20" s="42"/>
      <c r="JB20" s="42"/>
      <c r="JF20" s="53"/>
      <c r="JG20" s="57" t="s">
        <v>2</v>
      </c>
      <c r="JH20" s="47" t="s">
        <v>6007</v>
      </c>
      <c r="JI20" s="48" t="e">
        <f>IF(JI$4=0,120,1/JI$4)</f>
        <v>#VALUE!</v>
      </c>
      <c r="JU20" s="43"/>
      <c r="JV20" s="43"/>
      <c r="JW20" s="43"/>
      <c r="JX20" s="43"/>
      <c r="JY20" s="43"/>
      <c r="JZ20" s="43"/>
      <c r="KA20" s="43"/>
      <c r="KB20" s="43"/>
      <c r="KC20" s="42"/>
      <c r="KD20" s="42"/>
      <c r="KH20" s="53"/>
      <c r="KI20" s="57" t="s">
        <v>2</v>
      </c>
      <c r="KJ20" s="47" t="s">
        <v>6007</v>
      </c>
      <c r="KK20" s="48" t="e">
        <f>IF(KK$4=0,120,1/KK$4)</f>
        <v>#VALUE!</v>
      </c>
      <c r="KW20" s="43"/>
      <c r="KX20" s="43"/>
      <c r="KY20" s="43"/>
      <c r="KZ20" s="43"/>
      <c r="LA20" s="43"/>
      <c r="LB20" s="43"/>
      <c r="LC20" s="43"/>
      <c r="LD20" s="43"/>
      <c r="LE20" s="42"/>
      <c r="LF20" s="42"/>
      <c r="LJ20" s="53"/>
      <c r="LK20" s="57" t="s">
        <v>2</v>
      </c>
      <c r="LL20" s="47" t="s">
        <v>6007</v>
      </c>
      <c r="LM20" s="48" t="e">
        <f>IF(LM$4=0,120,1/LM$4)</f>
        <v>#VALUE!</v>
      </c>
      <c r="LY20" s="43"/>
      <c r="LZ20" s="43"/>
      <c r="MA20" s="43"/>
      <c r="MB20" s="43"/>
      <c r="MC20" s="43"/>
      <c r="MD20" s="43"/>
      <c r="ME20" s="43"/>
      <c r="MF20" s="43"/>
      <c r="MG20" s="42"/>
      <c r="MH20" s="42"/>
      <c r="ML20" s="53"/>
      <c r="MM20" s="57" t="s">
        <v>2</v>
      </c>
      <c r="MN20" s="47" t="s">
        <v>6007</v>
      </c>
      <c r="MO20" s="48" t="e">
        <f>IF(MO$4=0,120,1/MO$4)</f>
        <v>#VALUE!</v>
      </c>
      <c r="NA20" s="43"/>
      <c r="NB20" s="43"/>
      <c r="NC20" s="43"/>
      <c r="ND20" s="43"/>
      <c r="NE20" s="43"/>
      <c r="NF20" s="43"/>
      <c r="NG20" s="43"/>
      <c r="NH20" s="43"/>
      <c r="NI20" s="42"/>
      <c r="NJ20" s="42"/>
      <c r="NN20" s="53"/>
      <c r="NO20" s="57" t="s">
        <v>2</v>
      </c>
      <c r="NP20" s="47" t="s">
        <v>6007</v>
      </c>
      <c r="NQ20" s="48" t="e">
        <f>IF(NQ$4=0,120,1/NQ$4)</f>
        <v>#VALUE!</v>
      </c>
      <c r="OC20" s="43"/>
      <c r="OD20" s="43"/>
      <c r="OE20" s="43"/>
      <c r="OF20" s="43"/>
      <c r="OG20" s="43"/>
      <c r="OH20" s="43"/>
      <c r="OI20" s="43"/>
      <c r="OJ20" s="43"/>
      <c r="OK20" s="42"/>
      <c r="OL20" s="42"/>
      <c r="OP20" s="53"/>
      <c r="OQ20" s="57" t="s">
        <v>2</v>
      </c>
      <c r="OR20" s="47" t="s">
        <v>6007</v>
      </c>
      <c r="OS20" s="48" t="e">
        <f>IF(OS$4=0,120,1/OS$4)</f>
        <v>#VALUE!</v>
      </c>
      <c r="PE20" s="43"/>
      <c r="PF20" s="43"/>
      <c r="PG20" s="43"/>
      <c r="PH20" s="43"/>
      <c r="PI20" s="43"/>
      <c r="PJ20" s="43"/>
      <c r="PK20" s="43"/>
      <c r="PL20" s="43"/>
      <c r="PM20" s="42"/>
      <c r="PN20" s="42"/>
      <c r="PR20" s="53"/>
      <c r="PS20" s="53"/>
      <c r="PT20" s="61"/>
    </row>
    <row r="21" ht="16" s="35" customFormat="1">
      <c r="C21" s="40"/>
      <c r="F21" s="56"/>
      <c r="AZ21" s="44"/>
      <c r="BA21" s="44"/>
      <c r="BB21" s="44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CU21" s="57" t="s">
        <v>2</v>
      </c>
      <c r="CV21" s="47" t="s">
        <v>6009</v>
      </c>
      <c r="CW21" s="48">
        <f>COUNTIFS(Accounts!$AS:$AS, "Manufacturing (MWD)",Accounts!$B:$B,"Customer",Accounts!$E:$E,"QBDT")</f>
        <v>0</v>
      </c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V21" s="53"/>
      <c r="DW21" s="57" t="s">
        <v>2</v>
      </c>
      <c r="DX21" s="47" t="s">
        <v>6009</v>
      </c>
      <c r="DY21" s="48">
        <f>COUNTIFS(Accounts!$AS:$AS, "Wholesale and distribution services (MWD)",Accounts!$B:$B,"Customer",Accounts!$E:$E,"QBDT")</f>
        <v>0</v>
      </c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X21" s="53"/>
      <c r="EY21" s="57" t="s">
        <v>2</v>
      </c>
      <c r="EZ21" s="47" t="s">
        <v>6009</v>
      </c>
      <c r="FA21" s="48">
        <f>COUNTIFS(Accounts!$AS:$AS, "Construction",Accounts!$B:$B,"Customer",Accounts!$E:$E,"QBDT")</f>
        <v>0</v>
      </c>
      <c r="FM21" s="42"/>
      <c r="FN21" s="42"/>
      <c r="FO21" s="42"/>
      <c r="FP21" s="42"/>
      <c r="FQ21" s="42"/>
      <c r="FR21" s="42"/>
      <c r="FS21" s="42"/>
      <c r="FT21" s="42"/>
      <c r="FU21" s="42"/>
      <c r="FV21" s="42"/>
      <c r="FZ21" s="53"/>
      <c r="GA21" s="57" t="s">
        <v>2</v>
      </c>
      <c r="GB21" s="47" t="s">
        <v>6009</v>
      </c>
      <c r="GC21" s="48">
        <f>COUNTIFS(Accounts!$AS:$AS, "Field Services",Accounts!$B:$B,"Customer",Accounts!$E:$E,"QBDT")</f>
        <v>0</v>
      </c>
      <c r="GO21" s="42"/>
      <c r="GP21" s="42"/>
      <c r="GQ21" s="42"/>
      <c r="GR21" s="42"/>
      <c r="GS21" s="42"/>
      <c r="GT21" s="42"/>
      <c r="GU21" s="42"/>
      <c r="GV21" s="42"/>
      <c r="GW21" s="42"/>
      <c r="GX21" s="42"/>
      <c r="HB21" s="53"/>
      <c r="HC21" s="57" t="s">
        <v>2</v>
      </c>
      <c r="HD21" s="47" t="s">
        <v>6009</v>
      </c>
      <c r="HE21" s="48">
        <f>COUNTIFS(Accounts!$AS:$AS, "Consulting and Professional Services",Accounts!$B:$B,"Customer",Accounts!$E:$E,"QBDT")</f>
        <v>0</v>
      </c>
      <c r="HQ21" s="42"/>
      <c r="HR21" s="42"/>
      <c r="HS21" s="42"/>
      <c r="HT21" s="42"/>
      <c r="HU21" s="42"/>
      <c r="HV21" s="42"/>
      <c r="HW21" s="42"/>
      <c r="HX21" s="42"/>
      <c r="HY21" s="42"/>
      <c r="HZ21" s="42"/>
      <c r="ID21" s="53"/>
      <c r="IE21" s="57" t="s">
        <v>2</v>
      </c>
      <c r="IF21" s="47" t="s">
        <v>6009</v>
      </c>
      <c r="IG21" s="48">
        <f>COUNTIFS(Accounts!$AS:$AS, "Retail",Accounts!$B:$B,"Customer",Accounts!$E:$E,"QBDT")</f>
        <v>0</v>
      </c>
      <c r="IS21" s="42"/>
      <c r="IT21" s="42"/>
      <c r="IU21" s="42"/>
      <c r="IV21" s="42"/>
      <c r="IW21" s="42"/>
      <c r="IX21" s="42"/>
      <c r="IY21" s="42"/>
      <c r="IZ21" s="42"/>
      <c r="JA21" s="42"/>
      <c r="JB21" s="42"/>
      <c r="JF21" s="53"/>
      <c r="JG21" s="57" t="s">
        <v>2</v>
      </c>
      <c r="JH21" s="47" t="s">
        <v>6009</v>
      </c>
      <c r="JI21" s="48">
        <f>COUNTIFS(Accounts!$AS:$AS, "Non-profit, govt or religious organization",Accounts!$B:$B,"Customer",Accounts!$E:$E,"QBDT")</f>
        <v>0</v>
      </c>
      <c r="JU21" s="42"/>
      <c r="JV21" s="42"/>
      <c r="JW21" s="42"/>
      <c r="JX21" s="42"/>
      <c r="JY21" s="42"/>
      <c r="JZ21" s="42"/>
      <c r="KA21" s="42"/>
      <c r="KB21" s="42"/>
      <c r="KC21" s="42"/>
      <c r="KD21" s="42"/>
      <c r="KH21" s="53"/>
      <c r="KI21" s="57" t="s">
        <v>2</v>
      </c>
      <c r="KJ21" s="47" t="s">
        <v>6009</v>
      </c>
      <c r="KK21" s="48">
        <f>COUNTIFS(Accounts!$AS:$AS, "Communications, Entertainment and Media",Accounts!$B:$B,"Customer",Accounts!$E:$E,"QBDT")</f>
        <v>0</v>
      </c>
      <c r="KW21" s="42"/>
      <c r="KX21" s="42"/>
      <c r="KY21" s="42"/>
      <c r="KZ21" s="42"/>
      <c r="LA21" s="42"/>
      <c r="LB21" s="42"/>
      <c r="LC21" s="42"/>
      <c r="LD21" s="42"/>
      <c r="LE21" s="42"/>
      <c r="LF21" s="42"/>
      <c r="LJ21" s="53"/>
      <c r="LK21" s="57" t="s">
        <v>2</v>
      </c>
      <c r="LL21" s="47" t="s">
        <v>6009</v>
      </c>
      <c r="LM21" s="48">
        <f>COUNTIFS(Accounts!$AS:$AS, "IT and computer related",Accounts!$B:$B,"Customer",Accounts!$E:$E,"QBDT")</f>
        <v>0</v>
      </c>
      <c r="LY21" s="42"/>
      <c r="LZ21" s="42"/>
      <c r="MA21" s="42"/>
      <c r="MB21" s="42"/>
      <c r="MC21" s="42"/>
      <c r="MD21" s="42"/>
      <c r="ME21" s="42"/>
      <c r="MF21" s="42"/>
      <c r="MG21" s="42"/>
      <c r="MH21" s="42"/>
      <c r="ML21" s="53"/>
      <c r="MM21" s="57" t="s">
        <v>2</v>
      </c>
      <c r="MN21" s="47" t="s">
        <v>6009</v>
      </c>
      <c r="MO21" s="48">
        <f>COUNTIFS(Accounts!$AS:$AS, {"General service based","General"},Accounts!$B:$B,"Customer",Accounts!$E:$E,"QBDT")</f>
        <v>0</v>
      </c>
      <c r="NA21" s="42"/>
      <c r="NB21" s="42"/>
      <c r="NC21" s="42"/>
      <c r="ND21" s="42"/>
      <c r="NE21" s="42"/>
      <c r="NF21" s="42"/>
      <c r="NG21" s="42"/>
      <c r="NH21" s="42"/>
      <c r="NI21" s="42"/>
      <c r="NJ21" s="42"/>
      <c r="NN21" s="53"/>
      <c r="NO21" s="57" t="s">
        <v>2</v>
      </c>
      <c r="NP21" s="47" t="s">
        <v>6009</v>
      </c>
      <c r="NQ21" s="48">
        <f>COUNTIFS(Accounts!$AS:$AS, "Other",Accounts!$B:$B,"Customer",Accounts!$E:$E,"QBDT")</f>
        <v>0</v>
      </c>
      <c r="OC21" s="42"/>
      <c r="OD21" s="42"/>
      <c r="OE21" s="42"/>
      <c r="OF21" s="42"/>
      <c r="OG21" s="42"/>
      <c r="OH21" s="42"/>
      <c r="OI21" s="42"/>
      <c r="OJ21" s="42"/>
      <c r="OK21" s="42"/>
      <c r="OL21" s="42"/>
      <c r="OP21" s="53"/>
      <c r="OQ21" s="57" t="s">
        <v>2</v>
      </c>
      <c r="OR21" s="47" t="s">
        <v>6009</v>
      </c>
      <c r="OS21" s="48">
        <f>COUNTIFS(Accounts!$AS:$AS, "Accounting and Bookkeeping",Accounts!$B:$B,"Customer",Accounts!$E:$E,"QBDT")</f>
        <v>1</v>
      </c>
      <c r="PE21" s="42"/>
      <c r="PF21" s="42"/>
      <c r="PG21" s="42"/>
      <c r="PH21" s="42"/>
      <c r="PI21" s="42"/>
      <c r="PJ21" s="42"/>
      <c r="PK21" s="42"/>
      <c r="PL21" s="42"/>
      <c r="PM21" s="42"/>
      <c r="PN21" s="42"/>
      <c r="PR21" s="53"/>
      <c r="PS21" s="53"/>
      <c r="PT21" s="61"/>
    </row>
    <row r="22" ht="16" s="35" customFormat="1">
      <c r="B22" s="43"/>
      <c r="C22" s="37"/>
      <c r="AZ22" s="57" t="s">
        <v>2</v>
      </c>
      <c r="BA22" s="47" t="s">
        <v>6007</v>
      </c>
      <c r="BB22" s="44"/>
      <c r="BC22" s="48" t="e">
        <f>IF($BC$4&lt;0.005,120,1/$BC$4)</f>
        <v>#VALUE!</v>
      </c>
      <c r="BD22" s="48" t="e">
        <f>IF($BD$4&lt;0.005,120,1/$BD$4)</f>
        <v>#VALUE!</v>
      </c>
      <c r="BE22" s="48" t="e">
        <f>IF($BE$4&lt;0.005,120,1/$BE$4)</f>
        <v>#VALUE!</v>
      </c>
      <c r="BF22" s="48" t="e">
        <f>IF($BF$4&lt;0.005,120,1/$BF$4)</f>
        <v>#VALUE!</v>
      </c>
      <c r="BG22" s="48" t="e">
        <f>IF($BG$4&lt;0.005,120,1/$BG$4)</f>
        <v>#VALUE!</v>
      </c>
      <c r="BH22" s="48" t="e">
        <f>IF($BH$4&lt;0.005,120,1/$BH$4)</f>
        <v>#VALUE!</v>
      </c>
      <c r="BI22" s="48" t="e">
        <f>IF($BI$4&lt;0.005,120,1/$BI$4)</f>
        <v>#VALUE!</v>
      </c>
      <c r="BJ22" s="48" t="e">
        <f>IF($BJ$4&lt;0.005,120,1/$BJ$4)</f>
        <v>#VALUE!</v>
      </c>
      <c r="BK22" s="48" t="e">
        <f>IF($BK$4&lt;0.005,120,1/$BK$4)</f>
        <v>#VALUE!</v>
      </c>
      <c r="BL22" s="48" t="e">
        <f>IF($BL$4&lt;0.005,120,1/$BL$4)</f>
        <v>#VALUE!</v>
      </c>
      <c r="CU22" s="57" t="s">
        <v>2</v>
      </c>
      <c r="CV22" s="47" t="s">
        <v>6011</v>
      </c>
      <c r="CW22" s="48">
        <f>COUNTIFS(Accounts!$AS:$AS, "Manufacturing (MWD)",Accounts!$B:$B,"Customer",Accounts!$C:$C,"Lost",Accounts!$E:$E,"QBDT")</f>
        <v>0</v>
      </c>
      <c r="DV22" s="53"/>
      <c r="DW22" s="57" t="s">
        <v>2</v>
      </c>
      <c r="DX22" s="47" t="s">
        <v>6011</v>
      </c>
      <c r="DY22" s="48">
        <f>COUNTIFS(Accounts!$AS:$AS, "Wholesale and distribution services (MWD)",Accounts!$B:$B,"Customer",Accounts!$C:$C,"Lost",Accounts!$E:$E,"QBDT")</f>
        <v>0</v>
      </c>
      <c r="EX22" s="53"/>
      <c r="EY22" s="57" t="s">
        <v>2</v>
      </c>
      <c r="EZ22" s="47" t="s">
        <v>6011</v>
      </c>
      <c r="FA22" s="48">
        <f>COUNTIFS(Accounts!$AS:$AS, "Construction",Accounts!$B:$B,"Customer",Accounts!$C:$C,"Lost",Accounts!$E:$E,"QBDT")</f>
        <v>0</v>
      </c>
      <c r="FZ22" s="53"/>
      <c r="GA22" s="57" t="s">
        <v>2</v>
      </c>
      <c r="GB22" s="47" t="s">
        <v>6011</v>
      </c>
      <c r="GC22" s="48">
        <f>COUNTIFS(Accounts!$AS:$AS, "Field Services",Accounts!$B:$B,"Customer",Accounts!$C:$C,"Lost",Accounts!$E:$E,"QBDT")</f>
        <v>0</v>
      </c>
      <c r="HB22" s="53"/>
      <c r="HC22" s="57" t="s">
        <v>2</v>
      </c>
      <c r="HD22" s="47" t="s">
        <v>6011</v>
      </c>
      <c r="HE22" s="48">
        <f>COUNTIFS(Accounts!$AS:$AS, "Consulting and Professional Services",Accounts!$B:$B,"Customer",Accounts!$C:$C,"Lost",Accounts!$E:$E,"QBDT")</f>
        <v>0</v>
      </c>
      <c r="ID22" s="53"/>
      <c r="IE22" s="57" t="s">
        <v>2</v>
      </c>
      <c r="IF22" s="47" t="s">
        <v>6011</v>
      </c>
      <c r="IG22" s="48">
        <f>COUNTIFS(Accounts!$AS:$AS, "Retail",Accounts!$B:$B,"Customer",Accounts!$C:$C,"Lost",Accounts!$E:$E,"QBDT")</f>
        <v>0</v>
      </c>
      <c r="JF22" s="53"/>
      <c r="JG22" s="57" t="s">
        <v>2</v>
      </c>
      <c r="JH22" s="47" t="s">
        <v>6011</v>
      </c>
      <c r="JI22" s="48">
        <f>COUNTIFS(Accounts!$AS:$AS, "Non-profit, govt or religious organization",Accounts!$B:$B,"Customer",Accounts!$C:$C,"Lost",Accounts!$E:$E,"QBDT")</f>
        <v>0</v>
      </c>
      <c r="KH22" s="53"/>
      <c r="KI22" s="57" t="s">
        <v>2</v>
      </c>
      <c r="KJ22" s="47" t="s">
        <v>6011</v>
      </c>
      <c r="KK22" s="48">
        <f>COUNTIFS(Accounts!$AS:$AS, "Communications, Entertainment and Media",Accounts!$B:$B,"Customer",Accounts!$C:$C,"Lost",Accounts!$E:$E,"QBDT")</f>
        <v>0</v>
      </c>
      <c r="LJ22" s="53"/>
      <c r="LK22" s="57" t="s">
        <v>2</v>
      </c>
      <c r="LL22" s="47" t="s">
        <v>6011</v>
      </c>
      <c r="LM22" s="48">
        <f>COUNTIFS(Accounts!$AS:$AS, "IT and computer related",Accounts!$B:$B,"Customer",Accounts!$C:$C,"Lost",Accounts!$E:$E,"QBDT")</f>
        <v>0</v>
      </c>
      <c r="ML22" s="53"/>
      <c r="MM22" s="57" t="s">
        <v>2</v>
      </c>
      <c r="MN22" s="47" t="s">
        <v>6011</v>
      </c>
      <c r="MO22" s="48">
        <f>COUNTIFS(Accounts!$AS:$AS, {"General service based","General"},Accounts!$B:$B,"Customer",Accounts!$C:$C,"Lost",Accounts!$E:$E,"QBDT")</f>
        <v>0</v>
      </c>
      <c r="NN22" s="53"/>
      <c r="NO22" s="57" t="s">
        <v>2</v>
      </c>
      <c r="NP22" s="47" t="s">
        <v>6011</v>
      </c>
      <c r="NQ22" s="48">
        <f>COUNTIFS(Accounts!$AS:$AS, "Other",Accounts!$B:$B,"Customer",Accounts!$C:$C,"Lost",Accounts!$E:$E,"QBDT")</f>
        <v>0</v>
      </c>
      <c r="OP22" s="53"/>
      <c r="OQ22" s="57" t="s">
        <v>2</v>
      </c>
      <c r="OR22" s="47" t="s">
        <v>6011</v>
      </c>
      <c r="OS22" s="48">
        <f>COUNTIFS(Accounts!$AS:$AS, "Accounting and Bookkeeping",Accounts!$B:$B,"Customer",Accounts!$C:$C,"Lost",Accounts!$E:$E,"QBDT")</f>
        <v>0</v>
      </c>
      <c r="PR22" s="53"/>
      <c r="PS22" s="53"/>
      <c r="PT22" s="61"/>
    </row>
    <row r="23" ht="16" s="35" customFormat="1">
      <c r="B23" s="43"/>
      <c r="C23" s="37"/>
      <c r="AZ23" s="57" t="s">
        <v>2</v>
      </c>
      <c r="BA23" s="47" t="s">
        <v>6009</v>
      </c>
      <c r="BB23" s="44"/>
      <c r="BC23" s="48">
        <f>COUNTIFS(Accounts!$B:$B,"Customer",Accounts!$E:$E,"QBDT")</f>
        <v>1</v>
      </c>
      <c r="BD23" s="62">
        <f>SUMIFS(Accounts!$AA:$AA,Accounts!$B:$B,"Customer",Accounts!$E:$E,"QBDT") + SUMIFS(Accounts!$AH:$AH,Accounts!$B:$B,"Customer",Accounts!$E:$E,"QBDT") + SUMIFS(Accounts!$AJ:$AJ,Accounts!$B:$B,"Customer",Accounts!$E:$E,"QBDT") + SUMIFS(Accounts!$AI:$AI,Accounts!$B:$B,"Customer",Accounts!$E:$E,"QBDT") + SUMIFS(Accounts!$AO:$AO,Accounts!$B:$B,"Customer",Accounts!$E:$E,"QBDT")</f>
        <v>0</v>
      </c>
      <c r="BE23" s="62">
        <f>(SUMIFS(Accounts!$AC:$AC,Accounts!$B:$B,"Customer",Accounts!$E:$E,"QBDT")+SUMIFS(Accounts!$AF:$AF,Accounts!$B:$B,"Customer",Accounts!$E:$E,"QBDT")+SUMIFS(Accounts!$AK:$AK,Accounts!$B:$B,"Customer",Accounts!$E:$E,"QBDT"))</f>
        <v>0</v>
      </c>
      <c r="BF23" s="62">
        <f>SUMIFS(Accounts!$AB:$AB,Accounts!$B:$B,"Customer",Accounts!$E:$E,"QBDT")</f>
        <v>0</v>
      </c>
      <c r="BG23" s="62">
        <f>SUMIFS(Accounts!$AD:$AD,Accounts!$B:$B,"Customer",Accounts!$E:$E,"QBDT")+SUMIFS(Accounts!$AM:$AM,Accounts!$B:$B,"Customer",Accounts!$E:$E,"QBDT")+SUMIFS(Accounts!$AN:$AN,Accounts!$B:$B,"Customer",Accounts!$E:$E,"QBDT")</f>
        <v>0</v>
      </c>
      <c r="BH23" s="62">
        <f>SUMIFS(Accounts!$AE:$AE,Accounts!$B:$B,"Customer",Accounts!$E:$E,"QBDT") + SUMIFS(Accounts!$AP:$AP,Accounts!$B:$B,"Customer",Accounts!$E:$E,"QBDT")+SUMIFS(Accounts!$Z:$Z,Accounts!$B:$B,"Customer",Accounts!$E:$E,"QBDT")+SUMIFS(Accounts!$AG:$AG,Accounts!$B:$B,"Customer",Accounts!$E:$E,"QBDT") + SUMIFS(Accounts!$AL:$AL,Accounts!$B:$B,"Customer",Accounts!$E:$E,"QBDT")</f>
        <v>0</v>
      </c>
      <c r="BI23" s="62">
        <f>SUMIFS(Accounts!$AE:$AE,Accounts!$B:$B,"Customer",Accounts!$E:$E,"QBDT") + SUMIFS(Accounts!$AP:$AP,Accounts!$B:$B,"Customer",Accounts!$E:$E,"QBDT")</f>
        <v>0</v>
      </c>
      <c r="BJ23" s="62">
        <f>SUMIFS(Accounts!$Z:$Z,Accounts!$B:$B,"Customer",Accounts!$E:$E,"QBDT")</f>
        <v>0</v>
      </c>
      <c r="BK23" s="62">
        <f>SUMIFS(Accounts!$AG:$AG,Accounts!$B:$B,"Customer",Accounts!$E:$E,"QBDT") + SUMIFS(Accounts!$AL:$AL,Accounts!$B:$B,"Customer",Accounts!$E:$E,"QBDT")</f>
        <v>0</v>
      </c>
      <c r="BL23" s="62">
        <f>SUMIFS(Accounts!$AQ:$AQ,Accounts!$B:$B,"Customer",Accounts!$E:$E,"QBDT")</f>
        <v>1</v>
      </c>
      <c r="CU23" s="57" t="s">
        <v>2</v>
      </c>
      <c r="CV23" s="47" t="s">
        <v>6013</v>
      </c>
      <c r="CW23" s="48">
        <f>COUNTIFS(Accounts!$AS:$AS, "Manufacturing (MWD)",Accounts!$C:$C,"Customer",Accounts!$E:$E,"QBDT")</f>
        <v>0</v>
      </c>
      <c r="DV23" s="53"/>
      <c r="DW23" s="57" t="s">
        <v>2</v>
      </c>
      <c r="DX23" s="47" t="s">
        <v>6013</v>
      </c>
      <c r="DY23" s="48">
        <f>COUNTIFS(Accounts!$AS:$AS, "Wholesale and distribution services (MWD)",Accounts!$C:$C,"Customer",Accounts!$E:$E,"QBDT")</f>
        <v>0</v>
      </c>
      <c r="EX23" s="53"/>
      <c r="EY23" s="57" t="s">
        <v>2</v>
      </c>
      <c r="EZ23" s="47" t="s">
        <v>6013</v>
      </c>
      <c r="FA23" s="48">
        <f>COUNTIFS(Accounts!$AS:$AS, "Construction",Accounts!$C:$C,"Customer",Accounts!$E:$E,"QBDT")</f>
        <v>0</v>
      </c>
      <c r="FZ23" s="53"/>
      <c r="GA23" s="57" t="s">
        <v>2</v>
      </c>
      <c r="GB23" s="47" t="s">
        <v>6013</v>
      </c>
      <c r="GC23" s="48">
        <f>COUNTIFS(Accounts!$AS:$AS, "Field Services",Accounts!$C:$C,"Customer",Accounts!$E:$E,"QBDT")</f>
        <v>0</v>
      </c>
      <c r="HB23" s="53"/>
      <c r="HC23" s="57" t="s">
        <v>2</v>
      </c>
      <c r="HD23" s="47" t="s">
        <v>6013</v>
      </c>
      <c r="HE23" s="48">
        <f>COUNTIFS(Accounts!$AS:$AS, "Consulting and Professional Services",Accounts!$C:$C,"Customer",Accounts!$E:$E,"QBDT")</f>
        <v>0</v>
      </c>
      <c r="ID23" s="53"/>
      <c r="IE23" s="57" t="s">
        <v>2</v>
      </c>
      <c r="IF23" s="47" t="s">
        <v>6013</v>
      </c>
      <c r="IG23" s="48">
        <f>COUNTIFS(Accounts!$AS:$AS, "Retail",Accounts!$C:$C,"Customer",Accounts!$E:$E,"QBDT")</f>
        <v>0</v>
      </c>
      <c r="JF23" s="53"/>
      <c r="JG23" s="57" t="s">
        <v>2</v>
      </c>
      <c r="JH23" s="47" t="s">
        <v>6013</v>
      </c>
      <c r="JI23" s="48">
        <f>COUNTIFS(Accounts!$AS:$AS, "Non-profit, govt or religious organization",Accounts!$C:$C,"Customer",Accounts!$E:$E,"QBDT")</f>
        <v>0</v>
      </c>
      <c r="KH23" s="53"/>
      <c r="KI23" s="57" t="s">
        <v>2</v>
      </c>
      <c r="KJ23" s="47" t="s">
        <v>6013</v>
      </c>
      <c r="KK23" s="48">
        <f>COUNTIFS(Accounts!$AS:$AS, "Communications, Entertainment and Media",Accounts!$C:$C,"Customer",Accounts!$E:$E,"QBDT")</f>
        <v>0</v>
      </c>
      <c r="LJ23" s="53"/>
      <c r="LK23" s="57" t="s">
        <v>2</v>
      </c>
      <c r="LL23" s="47" t="s">
        <v>6013</v>
      </c>
      <c r="LM23" s="48">
        <f>COUNTIFS(Accounts!$AS:$AS, "IT and computer related",Accounts!$C:$C,"Customer",Accounts!$E:$E,"QBDT")</f>
        <v>0</v>
      </c>
      <c r="ML23" s="53"/>
      <c r="MM23" s="57" t="s">
        <v>2</v>
      </c>
      <c r="MN23" s="47" t="s">
        <v>6013</v>
      </c>
      <c r="MO23" s="48">
        <f>COUNTIFS(Accounts!$AS:$AS, {"General service based","General"},Accounts!$C:$C,"Customer",Accounts!$E:$E,"QBDT")</f>
        <v>0</v>
      </c>
      <c r="NN23" s="53"/>
      <c r="NO23" s="57" t="s">
        <v>2</v>
      </c>
      <c r="NP23" s="47" t="s">
        <v>6013</v>
      </c>
      <c r="NQ23" s="48">
        <f>COUNTIFS(Accounts!$AS:$AS, "Other",Accounts!$C:$C,"Customer",Accounts!$E:$E,"QBDT")</f>
        <v>0</v>
      </c>
      <c r="OP23" s="53"/>
      <c r="OQ23" s="57" t="s">
        <v>2</v>
      </c>
      <c r="OR23" s="47" t="s">
        <v>6013</v>
      </c>
      <c r="OS23" s="48">
        <f>COUNTIFS(Accounts!$AS:$AS, "Accounting and Bookkeeping",Accounts!$C:$C,"Customer",Accounts!$E:$E,"QBDT")</f>
        <v>1</v>
      </c>
      <c r="PR23" s="53"/>
      <c r="PS23" s="53"/>
      <c r="PT23" s="61"/>
    </row>
    <row r="24" ht="16" s="35" customFormat="1">
      <c r="B24" s="43"/>
      <c r="C24" s="37"/>
      <c r="AZ24" s="57" t="s">
        <v>2</v>
      </c>
      <c r="BA24" s="47" t="s">
        <v>6011</v>
      </c>
      <c r="BB24" s="44"/>
      <c r="BC24" s="48">
        <f>COUNTIFS(Accounts!$B:$B,"Customer",Accounts!$C:$C,"Lost",Accounts!$E:$E,"QBDT")</f>
        <v>0</v>
      </c>
      <c r="BD24" s="62">
        <f>SUMIFS(Accounts!$AA:$AA,Accounts!$B:$B,"Customer",Accounts!$C:$C,"Lost",Accounts!$E:$E,"QBDT") + SUMIFS(Accounts!$AH:$AH,Accounts!$B:$B,"Customer",Accounts!$C:$C,"Lost",Accounts!$E:$E,"QBDT") + SUMIFS(Accounts!$AJ:$AJ,Accounts!$B:$B,"Customer",Accounts!$C:$C,"Lost",Accounts!$E:$E,"QBDT") + SUMIFS(Accounts!$AI:$AI,Accounts!$B:$B,"Customer",Accounts!$C:$C,"Lost",Accounts!$E:$E,"QBDT") + SUMIFS(Accounts!$AO:$AO,Accounts!$B:$B,"Customer",Accounts!$C:$C,"Lost",Accounts!$E:$E,"QBDT")</f>
        <v>0</v>
      </c>
      <c r="BE24" s="62">
        <f>(SUMIFS(Accounts!$AC:$AC,Accounts!$B:$B,"Customer",Accounts!$C:$C,"Lost",Accounts!$E:$E,"QBDT")+SUMIFS(Accounts!$AF:$AF,Accounts!$B:$B,"Customer",Accounts!$C:$C,"Lost",Accounts!$E:$E,"QBDT")+SUMIFS(Accounts!$AK:$AK,Accounts!$B:$B,"Customer",Accounts!$C:$C,"Lost",Accounts!$E:$E,"QBDT"))</f>
        <v>0</v>
      </c>
      <c r="BF24" s="62">
        <f>SUMIFS(Accounts!$AB:$AB,Accounts!$B:$B,"Customer",Accounts!$C:$C,"Lost",Accounts!$E:$E,"QBDT")</f>
        <v>0</v>
      </c>
      <c r="BG24" s="62">
        <f>SUMIFS(Accounts!$AD:$AD,Accounts!$B:$B,"Customer",Accounts!$C:$C,"Lost",Accounts!$E:$E,"QBDT")+SUMIFS(Accounts!$AM:$AM,Accounts!$B:$B,"Customer",Accounts!$C:$C,"Lost",Accounts!$E:$E,"QBDT")+SUMIFS(Accounts!$AN:$AN,Accounts!$B:$B,"Customer",Accounts!$C:$C,"Lost",Accounts!$E:$E,"QBDT")</f>
        <v>0</v>
      </c>
      <c r="BH24" s="62">
        <f>SUMPRODUCT(SUMIFS(Accounts!$AE:$AE,Accounts!$B:$B,"Customer",Accounts!$C:$C,"Lost",Accounts!$E:$E,"QBDT")+SUMIFS(Accounts!$AP:$AP,Accounts!$B:$B,"Customer",Accounts!$C:$C,"Lost",Accounts!$E:$E,"QBDT")+SUMIFS(Accounts!$Z:$Z,Accounts!$B:$B,"Customer",Accounts!$C:$C,"Lost",Accounts!$E:$E,"QBDT")+SUMIFS(Accounts!$AG:$AG,Accounts!$B:$B,"Customer",Accounts!$C:$C,"Lost",Accounts!$E:$E,"QBDT")+SUMIFS(Accounts!$AL:$AL,Accounts!$B:$B,"Customer",Accounts!$C:$C,"Lost",Accounts!$E:$E,"QBDT"))</f>
        <v>0</v>
      </c>
      <c r="BI24" s="62">
        <f>SUMIFS(Accounts!$AE:$AE,Accounts!$B:$B,"Customer",Accounts!$C:$C,"Lost",Accounts!$E:$E,"QBDT") + SUMIFS(Accounts!$AP:$AP,Accounts!$B:$B,"Customer",Accounts!$C:$C,"Lost",Accounts!$E:$E,"QBDT")</f>
        <v>0</v>
      </c>
      <c r="BJ24" s="62">
        <f>SUMIFS(Accounts!$Z:$Z,Accounts!$B:$B,"Customer",Accounts!$C:$C,"Lost",Accounts!$E:$E,"QBDT")</f>
        <v>0</v>
      </c>
      <c r="BK24" s="62">
        <f>SUMIFS(Accounts!$AG:$AG,Accounts!$B:$B,"Customer",Accounts!$C:$C,"Lost",Accounts!$E:$E,"QBDT") + SUMIFS(Accounts!$AL:$AL,Accounts!$B:$B,"Customer",Accounts!$C:$C,"Lost",Accounts!$E:$E,"QBDT")</f>
        <v>0</v>
      </c>
      <c r="BL24" s="62">
        <f>SUMIFS(Accounts!$AQ:$AQ,Accounts!$B:$B,"Customer",Accounts!$C:$C,"Lost",Accounts!$E:$E,"QBDT")</f>
        <v>0</v>
      </c>
      <c r="CU24" s="57" t="s">
        <v>2</v>
      </c>
      <c r="CV24" s="47" t="s">
        <v>6015</v>
      </c>
      <c r="CW24" s="48">
        <f>SUMPRODUCT(COUNTIFS(Accounts!$AS:$AS,"Manufacturing (MWD)",Accounts!$B:$B,{"Trialer","none"},Accounts!$C:$C,"Customer",Accounts!$E:$E,"QBDT"))</f>
        <v>0</v>
      </c>
      <c r="DV24" s="53"/>
      <c r="DW24" s="57" t="s">
        <v>2</v>
      </c>
      <c r="DX24" s="47" t="s">
        <v>6015</v>
      </c>
      <c r="DY24" s="48">
        <f>SUMPRODUCT(COUNTIFS(Accounts!$AS:$AS,"Wholesale and distribution services (MWD)",Accounts!$B:$B,{"Trialer","none"},Accounts!$C:$C,"Customer",Accounts!$E:$E,"QBDT"))</f>
        <v>0</v>
      </c>
      <c r="EX24" s="53"/>
      <c r="EY24" s="57" t="s">
        <v>2</v>
      </c>
      <c r="EZ24" s="47" t="s">
        <v>6015</v>
      </c>
      <c r="FA24" s="48">
        <f>SUMPRODUCT(COUNTIFS(Accounts!$AS:$AS,"Construction",Accounts!$B:$B,{"Trialer","none"},Accounts!$C:$C,"Customer",Accounts!$E:$E,"QBDT"))</f>
        <v>0</v>
      </c>
      <c r="FZ24" s="53"/>
      <c r="GA24" s="57" t="s">
        <v>2</v>
      </c>
      <c r="GB24" s="47" t="s">
        <v>6015</v>
      </c>
      <c r="GC24" s="48">
        <f>SUMPRODUCT(COUNTIFS(Accounts!$AS:$AS,"Field Services",Accounts!$B:$B,{"Trialer","none"},Accounts!$C:$C,"Customer",Accounts!$E:$E,"QBDT"))</f>
        <v>0</v>
      </c>
      <c r="HB24" s="53"/>
      <c r="HC24" s="57" t="s">
        <v>2</v>
      </c>
      <c r="HD24" s="47" t="s">
        <v>6015</v>
      </c>
      <c r="HE24" s="48">
        <f>SUMPRODUCT(COUNTIFS(Accounts!$AS:$AS,"Consulting and Professional Services",Accounts!$B:$B,{"Trialer","none"},Accounts!$C:$C,"Customer",Accounts!$E:$E,"QBDT"))</f>
        <v>0</v>
      </c>
      <c r="ID24" s="53"/>
      <c r="IE24" s="57" t="s">
        <v>2</v>
      </c>
      <c r="IF24" s="47" t="s">
        <v>6015</v>
      </c>
      <c r="IG24" s="48">
        <f>SUMPRODUCT(COUNTIFS(Accounts!$AS:$AS,"Retail",Accounts!$B:$B,{"Trialer","none"},Accounts!$C:$C,"Customer",Accounts!$E:$E,"QBDT"))</f>
        <v>0</v>
      </c>
      <c r="JF24" s="53"/>
      <c r="JG24" s="57" t="s">
        <v>2</v>
      </c>
      <c r="JH24" s="47" t="s">
        <v>6015</v>
      </c>
      <c r="JI24" s="48">
        <f>SUMPRODUCT(COUNTIFS(Accounts!$AS:$AS,"Non-profit, govt or religious organization",Accounts!$B:$B,{"Trialer","none"},Accounts!$C:$C,"Customer",Accounts!$E:$E,"QBDT"))</f>
        <v>0</v>
      </c>
      <c r="KH24" s="53"/>
      <c r="KI24" s="57" t="s">
        <v>2</v>
      </c>
      <c r="KJ24" s="47" t="s">
        <v>6015</v>
      </c>
      <c r="KK24" s="48">
        <f>SUMPRODUCT(COUNTIFS(Accounts!$AS:$AS,"Communications, Entertainment and Media",Accounts!$B:$B,{"Trialer","none"},Accounts!$C:$C,"Customer",Accounts!$E:$E,"QBDT"))</f>
        <v>0</v>
      </c>
      <c r="LJ24" s="53"/>
      <c r="LK24" s="57" t="s">
        <v>2</v>
      </c>
      <c r="LL24" s="47" t="s">
        <v>6015</v>
      </c>
      <c r="LM24" s="48">
        <f>SUMPRODUCT(COUNTIFS(Accounts!$AS:$AS,"IT and computer related",Accounts!$B:$B,{"Trialer","none"},Accounts!$C:$C,"Customer",Accounts!$E:$E,"QBDT"))</f>
        <v>0</v>
      </c>
      <c r="ML24" s="53"/>
      <c r="MM24" s="57" t="s">
        <v>2</v>
      </c>
      <c r="MN24" s="47" t="s">
        <v>6015</v>
      </c>
      <c r="MO24" s="48">
        <f>SUMPRODUCT(COUNTIFS(Accounts!$AS:$AS,{"General service based","General"},Accounts!$B:$B,{"Trialer","none"},Accounts!$C:$C,"Customer",Accounts!$E:$E,"QBDT"))</f>
        <v>0</v>
      </c>
      <c r="NN24" s="53"/>
      <c r="NO24" s="57" t="s">
        <v>2</v>
      </c>
      <c r="NP24" s="47" t="s">
        <v>6015</v>
      </c>
      <c r="NQ24" s="48">
        <f>SUMPRODUCT(COUNTIFS(Accounts!$AS:$AS,"Other",Accounts!$B:$B,{"Trialer","none"},Accounts!$C:$C,"Customer",Accounts!$E:$E,"QBDT"))</f>
        <v>0</v>
      </c>
      <c r="OP24" s="53"/>
      <c r="OQ24" s="57" t="s">
        <v>2</v>
      </c>
      <c r="OR24" s="47" t="s">
        <v>6015</v>
      </c>
      <c r="OS24" s="48">
        <f>SUMPRODUCT(COUNTIFS(Accounts!$AS:$AS,"Accounting and Bookkeeping",Accounts!$B:$B,{"Trialer","none"},Accounts!$C:$C,"Customer",Accounts!$E:$E,"QBDT"))</f>
        <v>0</v>
      </c>
      <c r="PR24" s="53"/>
      <c r="PS24" s="53"/>
      <c r="PT24" s="61"/>
    </row>
    <row r="25" ht="16" s="35" customFormat="1">
      <c r="B25" s="43"/>
      <c r="C25" s="37"/>
      <c r="AZ25" s="57" t="s">
        <v>2</v>
      </c>
      <c r="BA25" s="47" t="s">
        <v>6013</v>
      </c>
      <c r="BB25" s="44"/>
      <c r="BC25" s="48">
        <f>COUNTIFS(Accounts!$C:$C,"Customer",Accounts!$E:$E,"QBDT")</f>
        <v>1</v>
      </c>
      <c r="BD25" s="62">
        <f>SUMIFS(Accounts!$AA:$AA,Accounts!$C:$C,"Customer",Accounts!$E:$E,"QBDT") + SUMIFS(Accounts!$AH:$AH,Accounts!$C:$C,"Customer",Accounts!$E:$E,"QBDT") + SUMIFS(Accounts!$AJ:$AJ,Accounts!$C:$C,"Customer",Accounts!$E:$E,"QBDT") + SUMIFS(Accounts!$AI:$AI,Accounts!$C:$C,"Customer",Accounts!$E:$E,"QBDT") + SUMIFS(Accounts!$AO:$AO,Accounts!$C:$C,"Customer",Accounts!$E:$E,"QBDT")</f>
        <v>0</v>
      </c>
      <c r="BE25" s="62">
        <f>(SUMIFS(Accounts!$AC:$AC,Accounts!$C:$C,"Customer",Accounts!$E:$E,"QBDT")+SUMIFS(Accounts!$AF:$AF,Accounts!$C:$C,"Customer",Accounts!$E:$E,"QBDT")+SUMIFS(Accounts!$AK:$AK,Accounts!$C:$C,"Customer",Accounts!$E:$E,"QBDT"))</f>
        <v>0</v>
      </c>
      <c r="BF25" s="62">
        <f>SUMIFS(Accounts!$AB:$AB,Accounts!$C:$C,"Customer",Accounts!$E:$E,"QBDT")</f>
        <v>0</v>
      </c>
      <c r="BG25" s="62">
        <f>SUMIFS(Accounts!$AD:$AD,Accounts!$C:$C,"Customer",Accounts!$E:$E,"QBDT")+SUMIFS(Accounts!$AM:$AM,Accounts!$C:$C,"Customer",Accounts!$E:$E,"QBDT")+SUMIFS(Accounts!$AN:$AN,Accounts!$C:$C,"Customer",Accounts!$E:$E,"QBDT")</f>
        <v>0</v>
      </c>
      <c r="BH25" s="62">
        <f>SUMIFS(Accounts!$AE:$AE,Accounts!$C:$C,"Customer",Accounts!$E:$E,"QBDT") + SUMIFS(Accounts!$AP:$AP,Accounts!$C:$C,"Customer",Accounts!$E:$E,"QBDT")+SUMIFS(Accounts!$Z:$Z,Accounts!$C:$C,"Customer",Accounts!$E:$E,"QBDT")+SUMIFS(Accounts!$AG:$AG,Accounts!$C:$C,"Customer",Accounts!$E:$E,"QBDT") + SUMIFS(Accounts!$AL:$AL,Accounts!$C:$C,"Customer",Accounts!$E:$E,"QBDT")</f>
        <v>0</v>
      </c>
      <c r="BI25" s="62">
        <f>SUMIFS(Accounts!$AE:$AE,Accounts!$C:$C,"Customer",Accounts!$E:$E,"QBDT") + SUMIFS(Accounts!$AP:$AP,Accounts!$C:$C,"Customer",Accounts!$E:$E,"QBDT")</f>
        <v>0</v>
      </c>
      <c r="BJ25" s="62">
        <f>SUMIFS(Accounts!$Z:$Z,Accounts!$C:$C,"Customer",Accounts!$E:$E,"QBDT")</f>
        <v>0</v>
      </c>
      <c r="BK25" s="62">
        <f>SUMIFS(Accounts!$AG:$AG,Accounts!$C:$C,"Customer",Accounts!$E:$E,"QBDT") + SUMIFS(Accounts!$AL:$AL,Accounts!$C:$C,"Customer",Accounts!$E:$E,"QBDT")</f>
        <v>0</v>
      </c>
      <c r="BL25" s="62">
        <f>SUMIFS(Accounts!$AQ:$AQ,Accounts!$C:$C,"Customer",Accounts!$E:$E,"QBDT")</f>
        <v>1</v>
      </c>
      <c r="CU25" s="57" t="s">
        <v>2</v>
      </c>
      <c r="CV25" s="47" t="s">
        <v>6017</v>
      </c>
      <c r="CW25" s="48">
        <f>SUMPRODUCT(COUNTIFS(Accounts!$AS:$AS,"Manufacturing (MWD)",Accounts!$B:$B,{"Trialer","none"},Accounts!$C:$C,"Lost",Accounts!$E:$E,"QBDT"))</f>
        <v>0</v>
      </c>
      <c r="DV25" s="53"/>
      <c r="DW25" s="57" t="s">
        <v>2</v>
      </c>
      <c r="DX25" s="47" t="s">
        <v>6017</v>
      </c>
      <c r="DY25" s="48">
        <f>SUMPRODUCT(COUNTIFS(Accounts!$AS:$AS,"Wholesale and distribution services (MWD)",Accounts!$B:$B,{"Trialer","none"},Accounts!$C:$C,"Lost",Accounts!$E:$E,"QBDT"))</f>
        <v>0</v>
      </c>
      <c r="EX25" s="53"/>
      <c r="EY25" s="57" t="s">
        <v>2</v>
      </c>
      <c r="EZ25" s="47" t="s">
        <v>6017</v>
      </c>
      <c r="FA25" s="48">
        <f>SUMPRODUCT(COUNTIFS(Accounts!$AS:$AS,"Construction",Accounts!$B:$B,{"Trialer","none"},Accounts!$C:$C,"Lost",Accounts!$E:$E,"QBDT"))</f>
        <v>0</v>
      </c>
      <c r="FZ25" s="53"/>
      <c r="GA25" s="57" t="s">
        <v>2</v>
      </c>
      <c r="GB25" s="47" t="s">
        <v>6017</v>
      </c>
      <c r="GC25" s="48">
        <f>SUMPRODUCT(COUNTIFS(Accounts!$AS:$AS,"Field Services",Accounts!$B:$B,{"Trialer","none"},Accounts!$C:$C,"Lost",Accounts!$E:$E,"QBDT"))</f>
        <v>0</v>
      </c>
      <c r="HB25" s="53"/>
      <c r="HC25" s="57" t="s">
        <v>2</v>
      </c>
      <c r="HD25" s="47" t="s">
        <v>6017</v>
      </c>
      <c r="HE25" s="48">
        <f>SUMPRODUCT(COUNTIFS(Accounts!$AS:$AS,"Consulting and Professional Services",Accounts!$B:$B,{"Trialer","none"},Accounts!$C:$C,"Lost",Accounts!$E:$E,"QBDT"))</f>
        <v>0</v>
      </c>
      <c r="ID25" s="53"/>
      <c r="IE25" s="57" t="s">
        <v>2</v>
      </c>
      <c r="IF25" s="47" t="s">
        <v>6017</v>
      </c>
      <c r="IG25" s="48">
        <f>SUMPRODUCT(COUNTIFS(Accounts!$AS:$AS,"Retail",Accounts!$B:$B,{"Trialer","none"},Accounts!$C:$C,"Lost",Accounts!$E:$E,"QBDT"))</f>
        <v>0</v>
      </c>
      <c r="JF25" s="53"/>
      <c r="JG25" s="57" t="s">
        <v>2</v>
      </c>
      <c r="JH25" s="47" t="s">
        <v>6017</v>
      </c>
      <c r="JI25" s="48">
        <f>SUMPRODUCT(COUNTIFS(Accounts!$AS:$AS,"Non-profit, govt or religious organization",Accounts!$B:$B,{"Trialer","none"},Accounts!$C:$C,"Lost",Accounts!$E:$E,"QBDT"))</f>
        <v>0</v>
      </c>
      <c r="KH25" s="53"/>
      <c r="KI25" s="57" t="s">
        <v>2</v>
      </c>
      <c r="KJ25" s="47" t="s">
        <v>6017</v>
      </c>
      <c r="KK25" s="48">
        <f>SUMPRODUCT(COUNTIFS(Accounts!$AS:$AS,"Communications, Entertainment and Media",Accounts!$B:$B,{"Trialer","none"},Accounts!$C:$C,"Lost",Accounts!$E:$E,"QBDT"))</f>
        <v>0</v>
      </c>
      <c r="LJ25" s="53"/>
      <c r="LK25" s="57" t="s">
        <v>2</v>
      </c>
      <c r="LL25" s="47" t="s">
        <v>6017</v>
      </c>
      <c r="LM25" s="48">
        <f>SUMPRODUCT(COUNTIFS(Accounts!$AS:$AS,"IT and computer related",Accounts!$B:$B,{"Trialer","none"},Accounts!$C:$C,"Lost",Accounts!$E:$E,"QBDT"))</f>
        <v>0</v>
      </c>
      <c r="ML25" s="53"/>
      <c r="MM25" s="57" t="s">
        <v>2</v>
      </c>
      <c r="MN25" s="47" t="s">
        <v>6017</v>
      </c>
      <c r="MO25" s="48">
        <f>SUMPRODUCT(COUNTIFS(Accounts!$AS:$AS,{"General service based","General"},Accounts!$B:$B,{"Trialer","none"},Accounts!$C:$C,"Lost",Accounts!$E:$E,"QBDT"))</f>
        <v>0</v>
      </c>
      <c r="NN25" s="53"/>
      <c r="NO25" s="57" t="s">
        <v>2</v>
      </c>
      <c r="NP25" s="47" t="s">
        <v>6017</v>
      </c>
      <c r="NQ25" s="48">
        <f>SUMPRODUCT(COUNTIFS(Accounts!$AS:$AS,"Other",Accounts!$B:$B,{"Trialer","none"},Accounts!$C:$C,"Lost",Accounts!$E:$E,"QBDT"))</f>
        <v>0</v>
      </c>
      <c r="OP25" s="53"/>
      <c r="OQ25" s="57" t="s">
        <v>2</v>
      </c>
      <c r="OR25" s="47" t="s">
        <v>6017</v>
      </c>
      <c r="OS25" s="48">
        <f>SUMPRODUCT(COUNTIFS(Accounts!$AS:$AS,"Accounting and Bookkeeping",Accounts!$B:$B,{"Trialer","none"},Accounts!$C:$C,"Lost",Accounts!$E:$E,"QBDT"))</f>
        <v>0</v>
      </c>
      <c r="PR25" s="53"/>
      <c r="PS25" s="53"/>
      <c r="PT25" s="61"/>
    </row>
    <row r="26" ht="16" s="35" customFormat="1">
      <c r="B26" s="43"/>
      <c r="C26" s="37"/>
      <c r="AZ26" s="57" t="s">
        <v>2</v>
      </c>
      <c r="BA26" s="47" t="s">
        <v>6015</v>
      </c>
      <c r="BB26" s="44"/>
      <c r="BC26" s="48">
        <f>SUMPRODUCT(COUNTIFS(Accounts!$B:$B,{"Trialer","none"},Accounts!$C:$C,"Customer",Accounts!$E:$E,"QBDT"))</f>
        <v>0</v>
      </c>
      <c r="BD26" s="62">
        <f>SUMPRODUCT(SUMIFS(Accounts!$AA:$AA,Accounts!$B:$B,{"Trialer","none"},Accounts!$C:$C,"Customer",Accounts!$E:$E,"QBDT")+SUMIFS(Accounts!$AH:$AH,Accounts!$B:$B,{"Trialer","none"},Accounts!$C:$C,"Customer",Accounts!$E:$E,"QBDT")+SUMIFS(Accounts!$AJ:$AJ,Accounts!$B:$B,{"Trialer","none"},Accounts!$C:$C,"Customer",Accounts!$E:$E,"QBDT")+SUMIFS(Accounts!$AI:$AI,Accounts!$B:$B,{"Trialer","none"},Accounts!$C:$C,"Customer",Accounts!$E:$E,"QBDT")+SUMIFS(Accounts!$AO:$AO,Accounts!$B:$B,{"Trialer","none"},Accounts!$C:$C,"Customer",Accounts!$E:$E,"QBDT"))</f>
        <v>0</v>
      </c>
      <c r="BE26" s="62">
        <f>SUMPRODUCT(SUMIFS(Accounts!$AC:$AC,Accounts!$B:$B,{"Trialer","none"},Accounts!$C:$C,"Customer",Accounts!$E:$E,"QBDT")+SUMIFS(Accounts!$AF:$AF,Accounts!$B:$B,{"Trialer","none"},Accounts!$C:$C,"Customer",Accounts!$E:$E,"QBDT")+SUMIFS(Accounts!$AK:$AK,Accounts!$B:$B,{"Trialer","none"},Accounts!$C:$C,"Customer",Accounts!$E:$E,"QBDT"))</f>
        <v>0</v>
      </c>
      <c r="BF26" s="62">
        <f>SUMPRODUCT(SUMIFS(Accounts!$AB:$AB,Accounts!$B:$B,{"Trialer","none"},Accounts!$C:$C,"Customer",Accounts!$E:$E,"QBDT"))</f>
        <v>0</v>
      </c>
      <c r="BG26" s="62">
        <f>SUMPRODUCT(SUMIFS(Accounts!$AD:$AD,Accounts!$B:$B,{"Trialer","none"},Accounts!$C:$C,"Customer",Accounts!$E:$E,"QBDT")+SUMIFS(Accounts!$AM:$AM,Accounts!$B:$B,{"Trialer","none"},Accounts!$C:$C,"Customer",Accounts!$E:$E,"QBDT")+SUMIFS(Accounts!$AN:$AN,Accounts!$B:$B,{"Trialer","none"},Accounts!$C:$C,"Customer",Accounts!$E:$E,"QBDT"))</f>
        <v>0</v>
      </c>
      <c r="BH26" s="62">
        <f>SUMPRODUCT(SUMIFS(Accounts!$AE:$AE,Accounts!$B:$B,{"Trialer","none"},Accounts!$C:$C,"Customer",Accounts!$E:$E,"QBDT")+SUMIFS(Accounts!$AP:$AP,Accounts!$B:$B,{"Trialer","none"},Accounts!$C:$C,"Customer",Accounts!$E:$E,"QBDT")+SUMIFS(Accounts!$Z:$Z,Accounts!$B:$B,{"Trialer","none"},Accounts!$C:$C,"Customer",Accounts!$E:$E,"QBDT")+SUMIFS(Accounts!$AG:$AG,Accounts!$B:$B,{"Trialer","none"},Accounts!$C:$C,"Customer",Accounts!$E:$E,"QBDT")+SUMIFS(Accounts!$AL:$AL,Accounts!$B:$B,{"Trialer","none"},Accounts!$C:$C,"Customer",Accounts!$E:$E,"QBDT"))</f>
        <v>0</v>
      </c>
      <c r="BI26" s="62">
        <f>SUMPRODUCT(SUMIFS(Accounts!$AE:$AE,Accounts!$B:$B,{"Trialer","none"},Accounts!$C:$C,"Customer",Accounts!$E:$E,"QBDT")+SUMIFS(Accounts!$AP:$AP,Accounts!$B:$B,{"Trialer","none"},Accounts!$C:$C,"Customer",Accounts!$E:$E,"QBDT"))</f>
        <v>0</v>
      </c>
      <c r="BJ26" s="62">
        <f>SUMPRODUCT(SUMIFS(Accounts!$Z:$Z,Accounts!$B:$B,{"Trialer","none"},Accounts!$C:$C,"Customer",Accounts!$E:$E,"QBDT"))</f>
        <v>0</v>
      </c>
      <c r="BK26" s="62">
        <f>SUMPRODUCT(SUMIFS(Accounts!$AG:$AG,Accounts!$B:$B,{"Trialer","none"},Accounts!$C:$C,"Customer",Accounts!$E:$E,"QBDT")+SUMIFS(Accounts!$AL:$AL,Accounts!$B:$B,{"Trialer","none"},Accounts!$C:$C,"Customer",Accounts!$E:$E,"QBDT"))</f>
        <v>0</v>
      </c>
      <c r="BL26" s="62">
        <f>SUMPRODUCT(SUMIFS(Accounts!$AQ:$AQ,Accounts!$B:$B,{"Trialer","none"},Accounts!$C:$C,"Customer",Accounts!$E:$E,"QBDT"))</f>
        <v>0</v>
      </c>
    </row>
    <row r="27" ht="16" s="35" customFormat="1">
      <c r="B27" s="43"/>
      <c r="C27" s="37"/>
      <c r="AZ27" s="57" t="s">
        <v>2</v>
      </c>
      <c r="BA27" s="47" t="s">
        <v>6017</v>
      </c>
      <c r="BB27" s="44"/>
      <c r="BC27" s="48">
        <f>SUMPRODUCT(COUNTIFS(Accounts!$B:$B,{"Trialer","none"},Accounts!$C:$C,"Lost",Accounts!$E:$E,"QBDT"))</f>
        <v>0</v>
      </c>
      <c r="BD27" s="62">
        <f>SUMPRODUCT(SUMIFS(Accounts!$AA:$AA,Accounts!$B:$B,{"Trialer","none"},Accounts!$C:$C,"Lost",Accounts!$E:$E,"QBDT")+SUMIFS(Accounts!$AH:$AH,Accounts!$B:$B,{"Trialer","none"},Accounts!$C:$C,"Lost",Accounts!$E:$E,"QBDT")+SUMIFS(Accounts!$AJ:$AJ,Accounts!$B:$B,{"Trialer","none"},Accounts!$C:$C,"Lost",Accounts!$E:$E,"QBDT")+SUMIFS(Accounts!$AI:$AI,Accounts!$B:$B,{"Trialer","none"},Accounts!$C:$C,"Lost",Accounts!$E:$E,"QBDT")+SUMIFS(Accounts!$AO:$AO,Accounts!$B:$B,{"Trialer","none"},Accounts!$C:$C,"Lost",Accounts!$E:$E,"QBDT"))</f>
        <v>0</v>
      </c>
      <c r="BE27" s="62">
        <f>SUMPRODUCT((SUMIFS(Accounts!$AC:$AC,Accounts!$B:$B,{"Trialer","none"},Accounts!$C:$C,"Lost",Accounts!$E:$E,"QBDT")+SUMIFS(Accounts!$AF:$AF,Accounts!$B:$B,{"Trialer","none"},Accounts!$C:$C,"Lost",Accounts!$E:$E,"QBDT")+SUMIFS(Accounts!$AK:$AK,Accounts!$B:$B,{"Trialer","none"},Accounts!$C:$C,"Lost",Accounts!$E:$E,"QBDT")))</f>
        <v>0</v>
      </c>
      <c r="BF27" s="62">
        <f>SUMPRODUCT(SUMIFS(Accounts!$AB:$AB,Accounts!$B:$B,{"Trialer","none"},Accounts!$C:$C,"Lost",Accounts!$E:$E,"QBDT"))</f>
        <v>0</v>
      </c>
      <c r="BG27" s="62">
        <f>SUMPRODUCT(SUMIFS(Accounts!$AD:$AD,Accounts!$B:$B,{"Trialer","none"},Accounts!$C:$C,"Lost",Accounts!$E:$E,"QBDT")+SUMIFS(Accounts!$AM:$AM,Accounts!$B:$B,{"Trialer","none"},Accounts!$C:$C,"Lost",Accounts!$E:$E,"QBDT")+SUMIFS(Accounts!$AN:$AN,Accounts!$B:$B,{"Trialer","none"},Accounts!$C:$C,"Lost",Accounts!$E:$E,"QBDT"))</f>
        <v>0</v>
      </c>
      <c r="BH27" s="62">
        <f>SUMPRODUCT(SUMIFS(Accounts!$AE:$AE,Accounts!$B:$B,{"Trialer","none"},Accounts!$C:$C,"Lost",Accounts!$E:$E,"QBDT")+SUMIFS(Accounts!$AP:$AP,Accounts!$B:$B,{"Trialer","none"},Accounts!$C:$C,"Lost",Accounts!$E:$E,"QBDT")+SUMIFS(Accounts!$Z:$Z,Accounts!$B:$B,{"Trialer","none"},Accounts!$C:$C,"Lost",Accounts!$E:$E,"QBDT")+SUMIFS(Accounts!$AG:$AG,Accounts!$B:$B,{"Trialer","none"},Accounts!$C:$C,"Lost",Accounts!$E:$E,"QBDT")+SUMIFS(Accounts!$AL:$AL,Accounts!$B:$B,{"Trialer","none"},Accounts!$C:$C,"Lost",Accounts!$E:$E,"QBDT"))</f>
        <v>0</v>
      </c>
      <c r="BI27" s="62">
        <f>SUMPRODUCT(SUMIFS(Accounts!$AE:$AE,Accounts!$B:$B,{"Trialer","none"},Accounts!$C:$C,"Lost",Accounts!$E:$E,"QBDT")+SUMIFS(Accounts!$AP:$AP,Accounts!$B:$B,{"Trialer","none"},Accounts!$C:$C,"Lost",Accounts!$E:$E,"QBDT"))</f>
        <v>0</v>
      </c>
      <c r="BJ27" s="62">
        <f>SUMPRODUCT(SUMIFS(Accounts!$Z:$Z,Accounts!$B:$B,{"Trialer","none"},Accounts!$C:$C,"Lost",Accounts!$E:$E,"QBDT"))</f>
        <v>0</v>
      </c>
      <c r="BK27" s="62">
        <f>SUMPRODUCT(SUMIFS(Accounts!$AG:$AG,Accounts!$B:$B,{"Trialer","none"},Accounts!$C:$C,"Lost",Accounts!$E:$E,"QBDT")+SUMIFS(Accounts!$AL:$AL,Accounts!$B:$B,{"Trialer","none"},Accounts!$C:$C,"Lost",Accounts!$E:$E,"QBDT"))</f>
        <v>0</v>
      </c>
      <c r="BL27" s="62">
        <f>SUMPRODUCT(SUMIFS(Accounts!$AQ:$AQ,Accounts!$B:$B,{"Trialer","none"},Accounts!$C:$C,"Lost",Accounts!$E:$E,"QBDT"))</f>
        <v>0</v>
      </c>
    </row>
    <row r="28" ht="16" s="35" customFormat="1">
      <c r="B28" s="43"/>
      <c r="C28" s="37"/>
    </row>
    <row r="29" ht="16" s="35" customFormat="1">
      <c r="B29" s="43"/>
      <c r="C29" s="37"/>
    </row>
    <row r="30" ht="32">
      <c r="B30" s="31" t="s">
        <v>6023</v>
      </c>
      <c r="C30" s="31" t="s">
        <v>6024</v>
      </c>
      <c r="D30" s="31" t="s">
        <v>6025</v>
      </c>
      <c r="E30" s="31" t="s">
        <v>6026</v>
      </c>
      <c r="F30" s="31" t="s">
        <v>6027</v>
      </c>
      <c r="G30" s="31" t="s">
        <v>6028</v>
      </c>
      <c r="H30" s="31" t="s">
        <v>6029</v>
      </c>
      <c r="I30" s="31" t="s">
        <v>6030</v>
      </c>
      <c r="J30" s="31" t="s">
        <v>6031</v>
      </c>
      <c r="K30" s="31" t="s">
        <v>6032</v>
      </c>
      <c r="L30" s="31" t="s">
        <v>6033</v>
      </c>
      <c r="M30" s="31" t="s">
        <v>6034</v>
      </c>
      <c r="N30" s="31" t="s">
        <v>6035</v>
      </c>
      <c r="O30" s="31" t="s">
        <v>6036</v>
      </c>
      <c r="P30" s="31" t="s">
        <v>6037</v>
      </c>
      <c r="Q30" s="31" t="s">
        <v>6038</v>
      </c>
      <c r="R30" s="30"/>
      <c r="S30" s="31" t="s">
        <v>6039</v>
      </c>
      <c r="T30" s="31" t="s">
        <v>6040</v>
      </c>
      <c r="U30" s="31" t="s">
        <v>6041</v>
      </c>
      <c r="V30" s="31" t="s">
        <v>6042</v>
      </c>
      <c r="W30" s="31" t="s">
        <v>6043</v>
      </c>
      <c r="X30" s="31" t="s">
        <v>6044</v>
      </c>
      <c r="Y30" s="31" t="s">
        <v>6045</v>
      </c>
      <c r="Z30" s="31" t="s">
        <v>6046</v>
      </c>
      <c r="AA30" s="31" t="s">
        <v>6047</v>
      </c>
      <c r="AB30" s="31" t="s">
        <v>6048</v>
      </c>
      <c r="AC30" s="31" t="s">
        <v>6049</v>
      </c>
      <c r="AD30" s="31" t="s">
        <v>6050</v>
      </c>
      <c r="AE30" s="31" t="s">
        <v>6051</v>
      </c>
      <c r="AF30" s="31" t="s">
        <v>6052</v>
      </c>
      <c r="AG30" s="31" t="s">
        <v>6053</v>
      </c>
      <c r="AH30" s="31" t="s">
        <v>6054</v>
      </c>
      <c r="AI30" s="31" t="s">
        <v>6055</v>
      </c>
      <c r="AJ30" s="31" t="s">
        <v>6056</v>
      </c>
      <c r="AK30" s="31" t="s">
        <v>6057</v>
      </c>
      <c r="AL30" s="31" t="s">
        <v>6058</v>
      </c>
      <c r="AM30" s="31" t="s">
        <v>6059</v>
      </c>
      <c r="AN30" s="31" t="s">
        <v>6060</v>
      </c>
      <c r="AO30" s="31" t="s">
        <v>6061</v>
      </c>
      <c r="AP30" s="31" t="s">
        <v>6062</v>
      </c>
      <c r="AQ30" s="31" t="s">
        <v>6063</v>
      </c>
      <c r="AR30" s="31" t="s">
        <v>6064</v>
      </c>
      <c r="AS30" s="31" t="s">
        <v>6065</v>
      </c>
      <c r="AT30" s="31" t="s">
        <v>6066</v>
      </c>
      <c r="AU30" s="31" t="s">
        <v>6067</v>
      </c>
      <c r="AV30" s="31" t="s">
        <v>6068</v>
      </c>
      <c r="AW30" s="31" t="s">
        <v>6069</v>
      </c>
      <c r="AX30" s="31" t="s">
        <v>6070</v>
      </c>
    </row>
    <row r="31">
      <c r="B31" s="3">
        <f>SUMPRODUCT(Accounts!$I:$I,Accounts!$AA:$AA)+SUMPRODUCT(Accounts!$I:$I,Accounts!$AH:$AH)+SUMPRODUCT(Accounts!$I:$I,Accounts!$AJ:$AJ)+SUMPRODUCT(Accounts!$I:$I,Accounts!$AI:$AI)+SUMPRODUCT(Accounts!$I:$I,Accounts!$AO:$AO)</f>
        <v>0</v>
      </c>
      <c r="C31" s="3">
        <f>SUMPRODUCT(Accounts!$I:$I,Accounts!$AC:$AC)+SUMPRODUCT(Accounts!$I:$I,Accounts!$AF:$AF)+SUMPRODUCT(Accounts!$I:$I,Accounts!$AK:$AK)</f>
        <v>0</v>
      </c>
      <c r="D31" s="3">
        <f>SUMPRODUCT(Accounts!$I:$I,Accounts!$AB:$AB)</f>
        <v>0</v>
      </c>
      <c r="E31" s="3">
        <f>SUMPRODUCT(Accounts!$I:$I,Accounts!$AD:$AD)+SUMPRODUCT(Accounts!$I:$I,Accounts!$AM:$AM)+SUMPRODUCT(Accounts!$I:$I,Accounts!$AN:$AN)</f>
        <v>0</v>
      </c>
      <c r="F31" s="3">
        <f>SUMPRODUCT(Accounts!$I:$I,Accounts!$AE:$AE)+SUMPRODUCT(Accounts!$I:$I,Accounts!$AP:$AP)</f>
        <v>0</v>
      </c>
      <c r="G31" s="3">
        <f>SUMPRODUCT(Accounts!$I:$I,Accounts!$Z:$Z)</f>
        <v>0</v>
      </c>
      <c r="H31" s="3">
        <f>SUMPRODUCT(Accounts!$I:$I,Accounts!$AG:$AG)+SUMPRODUCT(Accounts!$I:$I,Accounts!$AL:$AL)</f>
        <v>0</v>
      </c>
      <c r="I31" s="3">
        <f>SUMPRODUCT(Accounts!$I:$I,Accounts!$AQ:$AQ)</f>
        <v>0</v>
      </c>
      <c r="J31" s="3">
        <f>SUMPRODUCT(Accounts!$N:$N,Accounts!$AA:$AA)+SUMPRODUCT(Accounts!$N:$N,Accounts!$AH:$AH)+SUMPRODUCT(Accounts!$N:$N,Accounts!$AJ:$AJ)+SUMPRODUCT(Accounts!$N:$N,Accounts!$AI:$AI)+SUMPRODUCT(Accounts!$N:$N,Accounts!$AO:$AO)</f>
        <v>0</v>
      </c>
      <c r="K31" s="3">
        <f>SUMPRODUCT(Accounts!$N:$N,Accounts!$AC:$AC)+SUMPRODUCT(Accounts!$N:$N,Accounts!$AF:$AF)+SUMPRODUCT(Accounts!$N:$N,Accounts!$AK:$AK)</f>
        <v>0</v>
      </c>
      <c r="L31" s="3">
        <f>SUMPRODUCT(Accounts!$N:$N,Accounts!$AB:$AB)</f>
        <v>0</v>
      </c>
      <c r="M31" s="3">
        <f>SUMPRODUCT(Accounts!$N:$N,Accounts!$AD:$AD)+SUMPRODUCT(Accounts!$N:$N,Accounts!$AM:$AM)+SUMPRODUCT(Accounts!$N:$N,Accounts!$AN:$AN)</f>
        <v>0</v>
      </c>
      <c r="N31" s="3">
        <f>SUMPRODUCT(Accounts!$N:$N,Accounts!$AE:$AE)+SUMPRODUCT(Accounts!$N:$N,Accounts!$AP:$AP)</f>
        <v>0</v>
      </c>
      <c r="O31" s="3">
        <f>SUMPRODUCT(Accounts!$N:$N,Accounts!$Z:$Z)</f>
        <v>0</v>
      </c>
      <c r="P31" s="3">
        <f>SUMPRODUCT(Accounts!$N:$N,Accounts!$AG:$AG)+SUMPRODUCT(Accounts!$N:$N,Accounts!$AL:$AL)</f>
        <v>0</v>
      </c>
      <c r="Q31" s="3">
        <f>SUMPRODUCT(Accounts!$N:$N,Accounts!$AQ:$AQ)</f>
        <v>0</v>
      </c>
      <c r="S31" s="3">
        <f>SUMPRODUCT(--(Accounts!$E:$E="QBO"),Accounts!$I:$I,Accounts!$AA:$AA)+SUMPRODUCT(--(Accounts!$E:$E="QBO"),Accounts!$I:$I,Accounts!$AH:$AH)+SUMPRODUCT(--(Accounts!$E:$E="QBO"),Accounts!$I:$I,Accounts!$AJ:$AJ)+SUMPRODUCT(--(Accounts!$E:$E="QBO"),Accounts!$I:$I,Accounts!$AI:$AI)+SUMPRODUCT(--(Accounts!$E:$E="QBO"),Accounts!$I:$I,Accounts!$AO:$AO)</f>
        <v>0</v>
      </c>
      <c r="T31" s="3">
        <f>SUMPRODUCT(--(Accounts!$E:$E="QBDT"),Accounts!$I:$I,Accounts!$AA:$AA)+SUMPRODUCT(--(Accounts!$E:$E="QBDT"),Accounts!$I:$I,Accounts!$AH:$AH)+SUMPRODUCT(--(Accounts!$E:$E="QBDT"),Accounts!$I:$I,Accounts!$AJ:$AJ)+SUMPRODUCT(--(Accounts!$E:$E="QBDT"),Accounts!$I:$I,Accounts!$AI:$AI)+SUMPRODUCT(--(Accounts!$E:$E="QBDT"),Accounts!$I:$I,Accounts!$AO:$AO)</f>
        <v>0</v>
      </c>
      <c r="U31" s="3">
        <f>SUMPRODUCT(--(Accounts!$E:$E="QBO"),Accounts!$I:$I,Accounts!$AC:$AC)+SUMPRODUCT(--(Accounts!$E:$E="QBO"),Accounts!$I:$I,Accounts!$AF:$AF)+SUMPRODUCT(--(Accounts!$E:$E="QBO"),Accounts!$I:$I,Accounts!$AK:$AK)</f>
        <v>0</v>
      </c>
      <c r="V31" s="3">
        <f>SUMPRODUCT(--(Accounts!$E:$E="QBDT"),Accounts!$I:$I,Accounts!$AC:$AC)+SUMPRODUCT(--(Accounts!$E:$E="QBDT"),Accounts!$I:$I,Accounts!$AF:$AF)+SUMPRODUCT(--(Accounts!$E:$E="QBDT"),Accounts!$I:$I,Accounts!$AK:$AK)</f>
        <v>0</v>
      </c>
      <c r="W31" s="3">
        <f>SUMPRODUCT(--(Accounts!$E:$E="QBO"),Accounts!$I:$I,Accounts!$AB:$AB)</f>
        <v>0</v>
      </c>
      <c r="X31" s="3">
        <f>SUMPRODUCT(--(Accounts!$E:$E="QBDT"),Accounts!$I:$I,Accounts!$AB:$AB)</f>
        <v>0</v>
      </c>
      <c r="Y31" s="3">
        <f>SUMPRODUCT(--(Accounts!$E:$E="QBO"),Accounts!$I:$I,Accounts!$AD:$AD)+SUMPRODUCT(--(Accounts!$E:$E="QBO"),Accounts!$I:$I,Accounts!$AM:$AM)+SUMPRODUCT(--(Accounts!$E:$E="QBO"),Accounts!$I:$I,Accounts!$AN:$AN)</f>
        <v>0</v>
      </c>
      <c r="Z31" s="3">
        <f>SUMPRODUCT(--(Accounts!$E:$E="QBDT"),Accounts!$I:$I,Accounts!$AD:$AD)+SUMPRODUCT(--(Accounts!$E:$E="QBDT"),Accounts!$I:$I,Accounts!$AM:$AM)+SUMPRODUCT(--(Accounts!$E:$E="QBDT"),Accounts!$I:$I,Accounts!$AN:$AN)</f>
        <v>0</v>
      </c>
      <c r="AA31" s="3">
        <f>SUMPRODUCT(--(Accounts!$E:$E="QBO"),Accounts!$I:$I,Accounts!$AE:$AE)+SUMPRODUCT(--(Accounts!$E:$E="QBO"),Accounts!$I:$I,Accounts!$AP:$AP)</f>
        <v>0</v>
      </c>
      <c r="AB31" s="3">
        <f>SUMPRODUCT(--(Accounts!$E:$E="QBDT"),Accounts!$I:$I,Accounts!$AE:$AE)+SUMPRODUCT(--(Accounts!$E:$E="QBDT"),Accounts!$I:$I,Accounts!$AP:$AP)</f>
        <v>0</v>
      </c>
      <c r="AC31" s="3">
        <f>SUMPRODUCT(--(Accounts!$E:$E="QBO"),Accounts!$I:$I,Accounts!$Z:$Z)</f>
        <v>0</v>
      </c>
      <c r="AD31" s="3">
        <f>SUMPRODUCT(--(Accounts!$E:$E="QBDT"),Accounts!$I:$I,Accounts!$Z:$Z)</f>
        <v>0</v>
      </c>
      <c r="AE31" s="3">
        <f>SUMPRODUCT(--(Accounts!$E:$E="QBO"),Accounts!$I:$I,Accounts!$AG:$AG)+SUMPRODUCT(--(Accounts!$E:$E="QBO"),Accounts!$I:$I,Accounts!$AL:$AL)</f>
        <v>0</v>
      </c>
      <c r="AF31" s="3">
        <f>SUMPRODUCT(--(Accounts!$E:$E="QBDT"),Accounts!$I:$I,Accounts!$AG:$AG)+SUMPRODUCT(--(Accounts!$E:$E="QBDT"),Accounts!$I:$I,Accounts!$AL:$AL)</f>
        <v>0</v>
      </c>
      <c r="AG31" s="3">
        <f>SUMPRODUCT(--(Accounts!$E:$E="QBO"),Accounts!$I:$I,Accounts!$AQ:$AQ)</f>
        <v>0</v>
      </c>
      <c r="AH31" s="3">
        <f>SUMPRODUCT(--(Accounts!$E:$E="QBDT"),Accounts!$I:$I,Accounts!$AQ:$AQ)</f>
        <v>0</v>
      </c>
      <c r="AI31" s="3">
        <f>SUMPRODUCT(--(Accounts!$E:$E="QBO"),Accounts!$N:$N,Accounts!$AA:$AA)+SUMPRODUCT(--(Accounts!$E:$E="QBO"),Accounts!$N:$N,Accounts!$AH:$AH)+SUMPRODUCT(--(Accounts!$E:$E="QBO"),Accounts!$N:$N,Accounts!$AJ:$AJ)+SUMPRODUCT(--(Accounts!$E:$E="QBO"),Accounts!$N:$N,Accounts!$AI:$AI)+SUMPRODUCT(--(Accounts!$E:$E="QBO"),Accounts!$N:$N,Accounts!$AO:$AO)</f>
        <v>0</v>
      </c>
      <c r="AJ31" s="3">
        <f>SUMPRODUCT(--(Accounts!$E:$E="QBDT"),Accounts!$N:$N,Accounts!$AA:$AA)+SUMPRODUCT(--(Accounts!$E:$E="QBDT"),Accounts!$N:$N,Accounts!$AH:$AH)+SUMPRODUCT(--(Accounts!$E:$E="QBDT"),Accounts!$N:$N,Accounts!$AJ:$AJ)+SUMPRODUCT(--(Accounts!$E:$E="QBDT"),Accounts!$N:$N,Accounts!$AI:$AI)+SUMPRODUCT(--(Accounts!$E:$E="QBDT"),Accounts!$N:$N,Accounts!$AO:$AO)</f>
        <v>0</v>
      </c>
      <c r="AK31" s="3">
        <f>SUMPRODUCT(--(Accounts!$E:$E="QBO"),Accounts!$N:$N,Accounts!$AC:$AC)+SUMPRODUCT(--(Accounts!$E:$E="QBO"),Accounts!$N:$N,Accounts!$AF:$AF)+SUMPRODUCT(--(Accounts!$E:$E="QBO"),Accounts!$N:$N,Accounts!$AK:$AK)</f>
        <v>0</v>
      </c>
      <c r="AL31" s="3">
        <f>SUMPRODUCT(--(Accounts!$E:$E="QBDT"),Accounts!$N:$N,Accounts!$AC:$AC)+SUMPRODUCT(--(Accounts!$E:$E="QBDT"),Accounts!$N:$N,Accounts!$AF:$AF)+SUMPRODUCT(--(Accounts!$E:$E="QBDT"),Accounts!$N:$N,Accounts!$AK:$AK)</f>
        <v>0</v>
      </c>
      <c r="AM31" s="3">
        <f>SUMPRODUCT(--(Accounts!$E:$E="QBO"),Accounts!$N:$N,Accounts!$AB:$AB)</f>
        <v>0</v>
      </c>
      <c r="AN31" s="3">
        <f>SUMPRODUCT(--(Accounts!$E:$E="QBDT"),Accounts!$N:$N,Accounts!$AB:$AB)</f>
        <v>0</v>
      </c>
      <c r="AO31" s="3">
        <f>SUMPRODUCT(--(Accounts!$E:$E="QBO"),Accounts!$N:$N,Accounts!$AD:$AD)+SUMPRODUCT(--(Accounts!$E:$E="QBO"),Accounts!$N:$N,Accounts!$AM:$AM)+SUMPRODUCT(--(Accounts!$E:$E="QBO"),Accounts!$N:$N,Accounts!$AN:$AN)</f>
        <v>0</v>
      </c>
      <c r="AP31" s="3">
        <f>SUMPRODUCT(--(Accounts!$E:$E="QBDT"),Accounts!$N:$N,Accounts!$AD:$AD)+SUMPRODUCT(--(Accounts!$E:$E="QBDT"),Accounts!$N:$N,Accounts!$AM:$AM)+SUMPRODUCT(--(Accounts!$E:$E="QBDT"),Accounts!$N:$N,Accounts!$AN:$AN)</f>
        <v>0</v>
      </c>
      <c r="AQ31" s="3">
        <f>SUMPRODUCT(--(Accounts!$E:$E="QBO"),Accounts!$N:$N,Accounts!$AE:$AE)+SUMPRODUCT(--(Accounts!$E:$E="QBO"),Accounts!$N:$N,Accounts!$AP:$AP)</f>
        <v>0</v>
      </c>
      <c r="AR31" s="3">
        <f>SUMPRODUCT(--(Accounts!$E:$E="QBDT"),Accounts!$N:$N,Accounts!$AE:$AE)+SUMPRODUCT(--(Accounts!$E:$E="QBDT"),Accounts!$N:$N,Accounts!$AP:$AP)</f>
        <v>0</v>
      </c>
      <c r="AS31" s="3">
        <f>SUMPRODUCT(--(Accounts!$E:$E="QBO"),Accounts!$N:$N,Accounts!$Z:$Z)</f>
        <v>0</v>
      </c>
      <c r="AT31" s="3">
        <f>SUMPRODUCT(--(Accounts!$E:$E="QBDT"),Accounts!$N:$N,Accounts!$Z:$Z)</f>
        <v>0</v>
      </c>
      <c r="AU31" s="3">
        <f>SUMPRODUCT(--(Accounts!$E:$E="QBO"),Accounts!$N:$N,Accounts!$AG:$AG)+SUMPRODUCT(--(Accounts!$E:$E="QBO"),Accounts!$N:$N,Accounts!$AL:$AL)</f>
        <v>0</v>
      </c>
      <c r="AV31" s="3">
        <f>SUMPRODUCT(--(Accounts!$E:$E="QBDT"),Accounts!$N:$N,Accounts!$AG:$AG)+SUMPRODUCT(--(Accounts!$E:$E="QBDT"),Accounts!$N:$N,Accounts!$AL:$AL)</f>
        <v>0</v>
      </c>
      <c r="AW31" s="3">
        <f>SUMPRODUCT(--(Accounts!$E:$E="QBO"),Accounts!$N:$N,Accounts!$AQ:$AQ)</f>
        <v>0</v>
      </c>
      <c r="AX31" s="3">
        <f>SUMPRODUCT(--(Accounts!$E:$E="QBDT"),Accounts!$N:$N,Accounts!$AQ:$AQ)</f>
        <v>0</v>
      </c>
    </row>
    <row r="33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</row>
    <row r="34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</row>
    <row r="36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</row>
    <row r="37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</row>
    <row r="38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</row>
    <row r="39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</row>
    <row r="40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</row>
    <row r="41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</row>
    <row r="42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</row>
    <row r="43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</row>
    <row r="44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</row>
    <row r="45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</row>
    <row r="46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</row>
    <row r="48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</row>
    <row r="49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</row>
    <row r="50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</row>
    <row r="51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</row>
    <row r="52"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</row>
    <row r="53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</row>
    <row r="54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</row>
    <row r="55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</row>
    <row r="56"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</row>
    <row r="57"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</row>
    <row r="58"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</row>
    <row r="59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</row>
    <row r="60"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</row>
    <row r="61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</row>
    <row r="62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</row>
    <row r="64"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</row>
    <row r="65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</row>
    <row r="66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</row>
    <row r="67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</row>
    <row r="68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</row>
    <row r="69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</row>
    <row r="70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</row>
    <row r="71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</row>
    <row r="72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</row>
    <row r="73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</row>
    <row r="74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</row>
    <row r="7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</row>
    <row r="76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</row>
    <row r="77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</row>
    <row r="78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</row>
    <row r="79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</row>
    <row r="80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</row>
    <row r="81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</row>
    <row r="82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</row>
    <row r="83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</row>
    <row r="84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</row>
    <row r="85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</row>
    <row r="86"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</row>
    <row r="87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</row>
    <row r="88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</row>
    <row r="89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</row>
    <row r="90"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</row>
    <row r="91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</row>
    <row r="92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</row>
    <row r="93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</row>
    <row r="94"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</row>
    <row r="95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</row>
    <row r="96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</row>
    <row r="97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</row>
    <row r="98"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</row>
    <row r="99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</row>
    <row r="100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</row>
    <row r="101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</row>
    <row r="102"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</row>
    <row r="103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</row>
    <row r="104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</row>
    <row r="105"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</row>
    <row r="106"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</row>
    <row r="107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</row>
    <row r="108"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</row>
    <row r="109"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</row>
    <row r="110"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</row>
    <row r="111"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</row>
    <row r="112"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</row>
    <row r="113"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</row>
    <row r="114"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</row>
    <row r="115"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</row>
    <row r="116"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</row>
    <row r="117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</row>
    <row r="118"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</row>
    <row r="119"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</row>
    <row r="120"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</row>
    <row r="121"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</row>
    <row r="122"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</row>
    <row r="123"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</row>
    <row r="124"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</row>
    <row r="125"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</row>
    <row r="126"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</row>
    <row r="127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</row>
    <row r="128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</row>
    <row r="129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</row>
    <row r="130"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</row>
    <row r="131"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</row>
    <row r="132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</row>
    <row r="133"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</row>
    <row r="134"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</row>
    <row r="135"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</row>
    <row r="136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</row>
    <row r="137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</row>
    <row r="138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</row>
    <row r="139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</row>
    <row r="140"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</row>
    <row r="14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</row>
    <row r="142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</row>
    <row r="143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</row>
    <row r="144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</row>
    <row r="145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</row>
    <row r="146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</row>
    <row r="147"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</row>
    <row r="148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</row>
    <row r="149"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</row>
    <row r="150"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</row>
    <row r="151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</row>
    <row r="152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</row>
    <row r="153"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</row>
    <row r="154"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</row>
    <row r="155"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</row>
    <row r="156"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</row>
    <row r="157"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</row>
    <row r="158"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</row>
    <row r="159"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</row>
    <row r="160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</row>
    <row r="161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</row>
    <row r="162"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</row>
    <row r="163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</row>
    <row r="164"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</row>
    <row r="165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</row>
    <row r="166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</row>
    <row r="167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</row>
    <row r="168"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</row>
    <row r="169"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</row>
    <row r="170"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</row>
    <row r="171"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</row>
    <row r="172"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</row>
    <row r="173"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</row>
    <row r="174"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</row>
    <row r="175"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</row>
    <row r="176"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</row>
    <row r="177"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</row>
    <row r="178"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</row>
    <row r="179"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</row>
    <row r="180"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</row>
    <row r="181"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</row>
    <row r="182"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</row>
    <row r="183"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</row>
    <row r="184"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</row>
    <row r="185"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</row>
    <row r="186"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</row>
    <row r="187"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</row>
    <row r="188"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</row>
    <row r="189"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</row>
    <row r="190"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</row>
    <row r="191"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</row>
    <row r="192"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</row>
    <row r="193"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</row>
    <row r="194"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</row>
    <row r="195"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</row>
    <row r="196"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</row>
    <row r="197"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</row>
    <row r="198"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</row>
    <row r="199"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</row>
    <row r="200"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</row>
    <row r="201"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</row>
    <row r="202"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</row>
    <row r="203"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</row>
    <row r="204"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</row>
    <row r="205"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</row>
    <row r="206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</row>
    <row r="207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</row>
    <row r="208"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</row>
    <row r="209"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</row>
    <row r="210"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</row>
    <row r="211"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</row>
    <row r="212"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</row>
    <row r="213"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</row>
    <row r="214"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</row>
    <row r="215"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</row>
    <row r="216"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</row>
    <row r="217"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</row>
    <row r="218"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</row>
    <row r="219"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</row>
    <row r="220"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</row>
    <row r="221"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</row>
    <row r="222"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</row>
    <row r="223"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</row>
    <row r="224"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</row>
    <row r="225"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</row>
    <row r="226"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</row>
    <row r="227"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</row>
    <row r="228"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</row>
    <row r="229"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</row>
    <row r="230"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</row>
    <row r="231"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</row>
    <row r="232"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</row>
    <row r="233"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</row>
    <row r="234"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</row>
    <row r="235"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</row>
    <row r="236"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</row>
    <row r="237"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</row>
    <row r="238"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</row>
    <row r="239"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</row>
    <row r="240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</row>
    <row r="241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</row>
    <row r="242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</row>
    <row r="243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</row>
    <row r="244"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</row>
    <row r="245"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</row>
    <row r="246"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</row>
    <row r="247"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</row>
    <row r="248"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</row>
    <row r="249"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</row>
    <row r="250"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</row>
    <row r="251"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</row>
    <row r="252"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</row>
    <row r="253"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</row>
    <row r="254"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</row>
    <row r="255"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</row>
    <row r="256"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</row>
    <row r="257"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</row>
    <row r="258"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</row>
    <row r="259"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</row>
    <row r="260"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</row>
    <row r="261"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</row>
    <row r="262"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</row>
    <row r="263"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</row>
    <row r="264"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</row>
    <row r="265"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</row>
    <row r="266"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</row>
    <row r="267"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</row>
    <row r="268"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</row>
    <row r="269"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</row>
    <row r="270"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</row>
    <row r="271"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</row>
    <row r="272"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</row>
    <row r="273"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</row>
    <row r="274"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</row>
    <row r="275"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</row>
    <row r="276"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</row>
    <row r="277"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</row>
    <row r="278"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</row>
    <row r="279"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</row>
    <row r="280"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</row>
    <row r="281"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</row>
    <row r="282"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</row>
    <row r="283"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</row>
    <row r="284"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</row>
    <row r="285"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</row>
    <row r="286"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</row>
    <row r="287"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</row>
    <row r="288"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</row>
    <row r="289"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</row>
    <row r="290"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</row>
    <row r="291"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</row>
    <row r="292"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</row>
    <row r="293"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</row>
    <row r="294"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</row>
    <row r="295"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</row>
    <row r="296"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</row>
    <row r="297"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</row>
    <row r="298"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</row>
    <row r="299"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</row>
    <row r="300"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</row>
    <row r="301"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</row>
    <row r="302"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</row>
    <row r="303"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</row>
    <row r="304"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</row>
    <row r="305"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</row>
    <row r="306"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</row>
    <row r="307"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</row>
    <row r="308"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</row>
    <row r="309"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</row>
    <row r="310"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</row>
    <row r="311"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</row>
    <row r="312"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</row>
    <row r="313"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</row>
    <row r="314"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</row>
    <row r="315"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</row>
    <row r="316"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</row>
    <row r="317"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</row>
    <row r="318"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</row>
    <row r="319"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</row>
    <row r="320"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</row>
    <row r="321"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</row>
    <row r="322"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</row>
    <row r="323"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</row>
    <row r="324"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</row>
    <row r="325"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</row>
    <row r="326"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</row>
    <row r="327"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</row>
    <row r="328"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</row>
    <row r="329"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</row>
    <row r="330"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</row>
    <row r="331"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</row>
    <row r="332"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</row>
    <row r="333"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</row>
    <row r="334"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</row>
    <row r="335"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</row>
    <row r="336"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</row>
    <row r="337"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</row>
    <row r="338"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</row>
    <row r="339"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</row>
    <row r="340"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</row>
    <row r="341"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</row>
    <row r="342"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</row>
    <row r="343"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</row>
    <row r="344"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</row>
    <row r="345"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</row>
    <row r="346"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</row>
    <row r="347"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</row>
    <row r="348"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</row>
    <row r="349"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</row>
    <row r="350"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</row>
    <row r="351"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</row>
    <row r="352"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</row>
    <row r="353"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</row>
    <row r="354"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</row>
    <row r="355"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</row>
    <row r="356"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</row>
    <row r="357"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</row>
    <row r="358"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</row>
    <row r="359"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</row>
    <row r="360"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</row>
    <row r="361"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</row>
    <row r="362"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</row>
    <row r="363"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</row>
    <row r="364"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</row>
    <row r="365"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</row>
    <row r="366"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</row>
    <row r="367"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</row>
    <row r="368"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</row>
    <row r="369"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</row>
    <row r="370"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</row>
    <row r="371"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</row>
    <row r="372"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</row>
    <row r="373"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</row>
    <row r="374"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</row>
    <row r="375"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</row>
    <row r="376"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</row>
    <row r="377"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</row>
    <row r="378"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</row>
    <row r="379"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</row>
    <row r="380"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</row>
    <row r="381"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</row>
    <row r="382"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</row>
    <row r="383"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</row>
    <row r="384"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</row>
    <row r="385"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</row>
    <row r="386"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</row>
    <row r="387"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</row>
    <row r="388"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</row>
    <row r="389"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</row>
    <row r="390"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</row>
    <row r="391"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</row>
    <row r="392"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</row>
    <row r="393"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</row>
    <row r="394"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</row>
    <row r="395"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</row>
    <row r="396"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</row>
    <row r="397"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</row>
    <row r="398"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</row>
    <row r="399"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</row>
    <row r="400"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</row>
    <row r="401"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</row>
    <row r="402"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</row>
    <row r="403"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</row>
    <row r="404"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</row>
    <row r="405"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</row>
    <row r="406"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</row>
    <row r="407"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</row>
    <row r="408"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</row>
    <row r="409"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</row>
    <row r="410"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</row>
    <row r="411"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</row>
    <row r="412"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</row>
    <row r="413"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</row>
    <row r="414"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</row>
    <row r="415"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</row>
    <row r="416"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</row>
    <row r="417"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</row>
    <row r="418"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</row>
    <row r="419"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</row>
    <row r="420"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</row>
    <row r="421"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</row>
    <row r="422"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</row>
    <row r="423"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</row>
    <row r="424"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</row>
    <row r="425"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</row>
    <row r="426"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</row>
    <row r="427"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</row>
    <row r="428"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</row>
    <row r="429"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</row>
    <row r="430"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</row>
    <row r="431"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</row>
    <row r="432"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</row>
    <row r="433"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</row>
    <row r="434"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</row>
    <row r="435"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</row>
    <row r="436"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</row>
    <row r="437"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</row>
    <row r="438"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</row>
    <row r="439"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</row>
    <row r="440"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</row>
    <row r="441"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</row>
    <row r="442"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</row>
    <row r="443"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</row>
    <row r="444"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</row>
    <row r="445"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</row>
    <row r="446"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</row>
    <row r="447"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</row>
    <row r="448"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</row>
    <row r="449"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</row>
    <row r="450"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</row>
    <row r="451"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</row>
    <row r="452"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</row>
    <row r="453"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</row>
    <row r="454"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</row>
    <row r="455"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</row>
    <row r="456"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</row>
    <row r="457"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</row>
    <row r="458"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</row>
    <row r="459"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</row>
    <row r="460"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</row>
    <row r="461"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</row>
    <row r="462"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</row>
    <row r="463"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</row>
    <row r="464"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</row>
    <row r="465"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</row>
    <row r="466"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</row>
    <row r="467"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</row>
    <row r="468"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</row>
    <row r="469"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</row>
    <row r="470"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</row>
    <row r="471"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</row>
    <row r="472"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</row>
    <row r="473"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</row>
    <row r="474"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</row>
    <row r="475"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</row>
    <row r="476"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</row>
    <row r="477"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</row>
    <row r="478"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</row>
    <row r="479"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</row>
    <row r="480"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</row>
    <row r="481"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</row>
    <row r="482"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</row>
    <row r="483"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</row>
    <row r="484"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</row>
    <row r="485"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</row>
    <row r="486"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</row>
    <row r="487"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</row>
    <row r="488"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</row>
    <row r="489"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</row>
    <row r="490"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</row>
    <row r="491"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</row>
    <row r="492"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</row>
    <row r="493"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</row>
    <row r="494"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</row>
    <row r="495"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</row>
    <row r="496"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</row>
    <row r="497"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</row>
    <row r="498"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</row>
    <row r="499"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</row>
    <row r="500"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</row>
    <row r="501"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</row>
    <row r="502"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</row>
    <row r="503"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</row>
    <row r="504"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</row>
    <row r="505"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</row>
    <row r="506"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</row>
    <row r="507"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</row>
    <row r="508"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</row>
    <row r="509"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</row>
    <row r="510"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</row>
    <row r="511"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</row>
    <row r="512"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</row>
    <row r="513"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</row>
    <row r="514"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</row>
    <row r="515"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</row>
    <row r="516"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</row>
    <row r="517"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</row>
    <row r="518"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</row>
    <row r="519"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</row>
    <row r="520"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</row>
    <row r="521"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</row>
    <row r="522"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</row>
    <row r="523"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</row>
    <row r="524"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</row>
    <row r="525"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</row>
    <row r="526"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</row>
    <row r="527"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</row>
    <row r="528"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</row>
    <row r="529"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</row>
    <row r="530"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</row>
    <row r="531"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</row>
    <row r="532"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</row>
    <row r="533"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</row>
    <row r="534"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</row>
    <row r="535"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</row>
    <row r="536"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</row>
    <row r="537"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</row>
    <row r="538"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</row>
    <row r="539"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</row>
    <row r="540"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</row>
    <row r="541"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</row>
    <row r="542"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</row>
    <row r="543"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</row>
    <row r="544"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</row>
    <row r="545"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</row>
    <row r="546"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</row>
    <row r="547"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</row>
    <row r="548"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</row>
    <row r="549"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</row>
    <row r="550"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</row>
    <row r="551"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</row>
    <row r="552"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</row>
    <row r="553"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</row>
    <row r="554"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</row>
    <row r="555"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</row>
    <row r="556"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</row>
    <row r="557"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</row>
    <row r="558"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</row>
    <row r="559"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</row>
    <row r="560"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</row>
    <row r="561"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</row>
    <row r="562"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</row>
    <row r="563"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</row>
    <row r="564"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</row>
    <row r="565"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</row>
    <row r="566"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</row>
    <row r="567"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</row>
    <row r="568"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</row>
    <row r="569"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</row>
    <row r="570"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</row>
    <row r="571"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</row>
    <row r="572"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</row>
    <row r="573"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</row>
    <row r="574"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</row>
    <row r="575"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</row>
    <row r="576"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</row>
    <row r="577"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</row>
    <row r="578"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</row>
    <row r="579"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</row>
    <row r="580"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</row>
    <row r="581"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</row>
    <row r="582"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</row>
    <row r="583"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</row>
    <row r="584"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</row>
    <row r="585"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</row>
    <row r="586"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</row>
    <row r="587"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</row>
    <row r="588"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</row>
    <row r="589"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</row>
    <row r="590"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</row>
    <row r="591"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</row>
    <row r="592"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</row>
    <row r="593"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</row>
    <row r="594"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</row>
    <row r="595"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</row>
    <row r="596"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</row>
    <row r="597"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</row>
    <row r="598"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</row>
    <row r="599"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</row>
    <row r="600"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</row>
    <row r="601"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</row>
    <row r="602"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</row>
    <row r="603"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</row>
    <row r="604"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</row>
    <row r="605"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</row>
    <row r="606"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</row>
    <row r="607"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</row>
    <row r="608"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</row>
    <row r="609"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</row>
    <row r="610"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</row>
    <row r="611"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</row>
    <row r="612"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</row>
    <row r="613"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</row>
    <row r="614"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</row>
    <row r="615"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</row>
    <row r="616"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</row>
    <row r="617"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</row>
    <row r="618"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</row>
    <row r="619"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</row>
    <row r="620"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</row>
    <row r="621"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</row>
    <row r="622"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</row>
    <row r="623"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</row>
    <row r="624"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</row>
    <row r="625"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</row>
    <row r="626"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</row>
    <row r="627"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</row>
    <row r="628"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</row>
    <row r="629"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</row>
    <row r="630"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</row>
    <row r="631"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</row>
    <row r="632"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</row>
    <row r="633"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</row>
    <row r="634"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</row>
    <row r="635"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</row>
    <row r="636"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</row>
    <row r="637"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</row>
    <row r="638"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</row>
    <row r="639"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</row>
    <row r="640"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</row>
    <row r="641"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</row>
    <row r="642"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</row>
    <row r="643"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</row>
    <row r="644"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</row>
    <row r="645"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</row>
    <row r="646"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</row>
    <row r="647"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</row>
    <row r="648"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</row>
    <row r="649"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</row>
    <row r="650"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</row>
    <row r="651"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</row>
    <row r="652"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</row>
    <row r="653"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</row>
    <row r="654"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</row>
    <row r="655"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</row>
    <row r="656"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</row>
    <row r="657"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</row>
    <row r="658"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</row>
    <row r="659"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</row>
    <row r="660"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</row>
    <row r="661"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</row>
    <row r="662"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</row>
    <row r="663"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</row>
    <row r="664"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</row>
    <row r="665"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</row>
    <row r="666"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</row>
    <row r="667"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</row>
    <row r="668"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</row>
    <row r="669"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</row>
    <row r="670"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</row>
    <row r="671"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</row>
    <row r="672"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</row>
    <row r="673"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</row>
    <row r="674"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</row>
    <row r="675"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</row>
    <row r="676"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</row>
    <row r="677"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</row>
    <row r="678"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</row>
    <row r="679"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</row>
    <row r="680"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</row>
    <row r="681"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</row>
    <row r="682"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</row>
    <row r="683"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</row>
    <row r="684"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</row>
    <row r="685"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</row>
    <row r="686"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</row>
    <row r="687"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</row>
    <row r="688"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</row>
    <row r="689"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</row>
    <row r="690"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</row>
    <row r="691"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</row>
    <row r="692"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</row>
    <row r="693"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</row>
    <row r="694"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</row>
    <row r="695"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</row>
    <row r="696"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</row>
    <row r="697"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</row>
    <row r="698"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</row>
    <row r="699"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</row>
    <row r="700"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</row>
    <row r="701"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</row>
    <row r="702"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</row>
    <row r="703"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</row>
    <row r="704"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</row>
    <row r="705"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</row>
    <row r="706"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</row>
    <row r="707"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</row>
    <row r="708"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</row>
    <row r="709"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</row>
    <row r="710"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</row>
    <row r="711"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</row>
    <row r="712"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</row>
    <row r="713"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</row>
    <row r="714"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</row>
    <row r="715"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</row>
    <row r="716"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</row>
    <row r="717"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</row>
    <row r="718"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</row>
    <row r="719"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</row>
    <row r="720"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</row>
    <row r="721"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</row>
    <row r="722"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</row>
    <row r="723"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</row>
    <row r="724"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</row>
    <row r="725"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</row>
    <row r="726"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</row>
    <row r="727"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</row>
    <row r="728"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</row>
    <row r="729"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</row>
    <row r="730"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</row>
    <row r="731"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</row>
    <row r="732"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</row>
    <row r="733"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</row>
    <row r="734"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</row>
    <row r="735"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</row>
    <row r="736"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</row>
    <row r="737"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</row>
    <row r="738"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</row>
    <row r="739"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</row>
    <row r="740"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</row>
    <row r="741"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</row>
    <row r="742"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</row>
    <row r="743"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</row>
    <row r="744"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</row>
    <row r="745"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</row>
    <row r="746"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</row>
    <row r="747"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</row>
    <row r="748"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</row>
    <row r="749"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</row>
    <row r="750"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</row>
    <row r="751"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</row>
    <row r="752"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</row>
    <row r="753"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</row>
    <row r="754"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</row>
    <row r="755"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</row>
    <row r="756"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</row>
    <row r="757"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</row>
    <row r="758"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</row>
    <row r="759"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</row>
    <row r="760"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</row>
    <row r="761"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</row>
    <row r="762"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</row>
    <row r="763"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</row>
    <row r="764"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</row>
    <row r="765"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</row>
    <row r="766"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</row>
    <row r="767"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</row>
    <row r="768"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</row>
    <row r="769"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</row>
    <row r="770"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</row>
    <row r="771"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</row>
    <row r="772"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</row>
    <row r="773"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</row>
    <row r="774"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</row>
    <row r="775"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</row>
    <row r="776"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</row>
    <row r="777"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</row>
    <row r="778"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</row>
    <row r="779"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</row>
    <row r="780"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</row>
    <row r="781"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</row>
    <row r="782"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</row>
    <row r="783"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</row>
    <row r="784"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</row>
    <row r="785"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</row>
    <row r="786"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</row>
    <row r="787"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</row>
    <row r="788"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</row>
    <row r="789"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</row>
    <row r="790"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</row>
    <row r="791"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</row>
    <row r="792"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</row>
    <row r="793"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</row>
    <row r="794"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</row>
    <row r="795"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</row>
    <row r="796"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</row>
    <row r="797"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</row>
    <row r="798"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</row>
    <row r="799"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</row>
    <row r="800"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</row>
    <row r="801"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</row>
    <row r="802"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</row>
    <row r="803"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</row>
    <row r="804"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</row>
    <row r="805"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</row>
    <row r="806"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</row>
    <row r="807"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</row>
    <row r="808"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</row>
    <row r="809"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</row>
    <row r="810"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</row>
    <row r="811"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</row>
    <row r="812"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</row>
    <row r="813"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</row>
    <row r="814"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</row>
    <row r="815"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</row>
    <row r="816"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</row>
    <row r="817"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</row>
    <row r="818"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</row>
    <row r="819"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</row>
    <row r="820"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</row>
    <row r="821"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</row>
    <row r="822"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</row>
    <row r="823"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</row>
    <row r="824"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</row>
    <row r="825"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</row>
    <row r="826"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</row>
    <row r="827"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</row>
    <row r="828"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</row>
    <row r="829"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</row>
    <row r="830"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</row>
    <row r="831"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</row>
    <row r="832"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</row>
    <row r="833"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</row>
    <row r="834"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</row>
    <row r="835"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</row>
    <row r="836"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</row>
    <row r="837"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</row>
    <row r="838"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</row>
    <row r="839"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</row>
    <row r="840"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</row>
    <row r="841"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</row>
    <row r="842"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</row>
    <row r="843"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</row>
    <row r="844"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</row>
    <row r="845"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</row>
    <row r="846"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</row>
    <row r="847"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</row>
    <row r="848"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</row>
    <row r="849"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</row>
    <row r="850"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</row>
    <row r="851"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</row>
    <row r="852"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</row>
    <row r="853"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</row>
    <row r="854"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</row>
    <row r="855"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</row>
    <row r="856"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</row>
    <row r="857"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</row>
    <row r="858"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</row>
    <row r="859"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</row>
    <row r="860"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</row>
    <row r="861"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</row>
    <row r="862"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</row>
    <row r="863"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</row>
    <row r="864"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</row>
    <row r="865"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</row>
    <row r="866"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</row>
    <row r="867"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</row>
    <row r="868"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</row>
    <row r="869"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</row>
    <row r="870"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</row>
    <row r="871"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</row>
    <row r="872"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</row>
    <row r="873"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</row>
    <row r="874"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</row>
    <row r="875"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</row>
    <row r="876"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</row>
    <row r="877"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</row>
    <row r="878"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</row>
    <row r="879"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</row>
    <row r="880"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</row>
    <row r="881"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</row>
    <row r="882"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</row>
    <row r="883"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</row>
    <row r="884"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</row>
    <row r="885"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</row>
    <row r="886"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</row>
    <row r="887"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</row>
    <row r="888"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</row>
    <row r="889"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</row>
    <row r="890"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</row>
    <row r="891"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</row>
    <row r="892"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</row>
    <row r="893"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</row>
    <row r="894"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</row>
    <row r="895"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</row>
    <row r="896"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</row>
    <row r="897"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</row>
    <row r="898"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</row>
    <row r="899"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</row>
    <row r="900"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</row>
    <row r="901"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</row>
    <row r="902"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</row>
    <row r="903"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</row>
    <row r="904"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</row>
    <row r="905"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</row>
    <row r="906"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</row>
    <row r="907"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</row>
    <row r="908"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</row>
    <row r="909"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</row>
    <row r="910"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</row>
    <row r="911"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</row>
    <row r="912"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</row>
    <row r="913"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</row>
    <row r="914"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</row>
    <row r="915"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</row>
    <row r="916"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</row>
    <row r="917"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</row>
    <row r="918"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</row>
    <row r="919"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</row>
    <row r="920"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</row>
    <row r="921"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</row>
    <row r="922"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</row>
    <row r="923"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</row>
    <row r="924"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</row>
    <row r="925"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</row>
    <row r="926"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</row>
    <row r="927"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</row>
    <row r="928"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</row>
    <row r="929"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</row>
    <row r="930"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</row>
    <row r="931"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</row>
    <row r="932"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</row>
    <row r="933"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</row>
    <row r="934"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</row>
    <row r="935"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</row>
    <row r="936"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</row>
    <row r="937"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</row>
    <row r="938"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</row>
    <row r="939"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</row>
    <row r="940"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</row>
    <row r="941"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</row>
    <row r="942"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</row>
    <row r="943"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</row>
    <row r="944"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</row>
    <row r="945"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</row>
    <row r="946"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</row>
    <row r="947"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</row>
    <row r="948"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</row>
    <row r="949"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</row>
    <row r="950"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</row>
    <row r="951"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</row>
    <row r="952"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</row>
    <row r="953"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</row>
    <row r="954"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</row>
    <row r="955"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</row>
    <row r="956"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</row>
    <row r="957"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</row>
    <row r="958"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</row>
    <row r="959"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</row>
    <row r="960"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</row>
    <row r="961"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</row>
    <row r="962"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</row>
    <row r="963"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</row>
    <row r="964"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</row>
    <row r="965"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</row>
    <row r="966"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</row>
    <row r="967"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</row>
    <row r="968"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</row>
    <row r="969"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</row>
    <row r="970"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</row>
    <row r="971"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</row>
    <row r="972"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</row>
    <row r="973"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</row>
    <row r="974"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</row>
    <row r="975"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</row>
    <row r="976"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</row>
    <row r="977"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</row>
    <row r="978"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</row>
    <row r="979"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</row>
    <row r="980"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</row>
    <row r="981"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</row>
    <row r="982"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</row>
    <row r="983"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</row>
    <row r="984"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</row>
    <row r="985"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</row>
    <row r="986"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</row>
    <row r="987"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</row>
    <row r="988"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</row>
    <row r="989"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</row>
    <row r="990"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</row>
    <row r="991"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</row>
    <row r="992"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</row>
    <row r="993"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</row>
    <row r="994"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</row>
    <row r="995"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</row>
    <row r="996"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</row>
    <row r="997"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</row>
    <row r="998"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</row>
    <row r="999"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</row>
    <row r="1000"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</row>
    <row r="1001"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</row>
    <row r="1002"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</row>
    <row r="1003"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</row>
    <row r="1004"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</row>
    <row r="1005"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</row>
    <row r="1006"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</row>
    <row r="1007"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</row>
    <row r="1008"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</row>
    <row r="1009"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</row>
    <row r="1010"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</row>
    <row r="1011"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</row>
    <row r="1012"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</row>
    <row r="1013"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</row>
    <row r="1014"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</row>
    <row r="1015"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</row>
    <row r="1016"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</row>
    <row r="1017"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</row>
    <row r="1018"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</row>
    <row r="1019"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</row>
    <row r="1020"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</row>
    <row r="1021"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</row>
    <row r="1022"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</row>
    <row r="1023"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</row>
    <row r="1024"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</row>
    <row r="1025"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</row>
    <row r="1026"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</row>
    <row r="1027"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</row>
    <row r="1028"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</row>
    <row r="1029"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</row>
    <row r="1030"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</row>
    <row r="1031">
      <c r="B1031" s="27"/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</row>
    <row r="1032">
      <c r="B1032" s="27"/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</row>
    <row r="1033">
      <c r="B1033" s="27"/>
      <c r="C1033" s="27"/>
      <c r="D1033" s="27"/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</row>
    <row r="1034">
      <c r="B1034" s="27"/>
      <c r="C1034" s="27"/>
      <c r="D1034" s="27"/>
      <c r="E1034" s="27"/>
      <c r="F1034" s="27"/>
      <c r="G1034" s="27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</row>
    <row r="1035">
      <c r="B1035" s="27"/>
      <c r="C1035" s="27"/>
      <c r="D1035" s="27"/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</row>
    <row r="1036">
      <c r="B1036" s="27"/>
      <c r="C1036" s="27"/>
      <c r="D1036" s="27"/>
      <c r="E1036" s="27"/>
      <c r="F1036" s="27"/>
      <c r="G1036" s="27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</row>
    <row r="1037">
      <c r="B1037" s="27"/>
      <c r="C1037" s="27"/>
      <c r="D1037" s="27"/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</row>
    <row r="1038">
      <c r="B1038" s="27"/>
      <c r="C1038" s="27"/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</row>
    <row r="1039">
      <c r="B1039" s="27"/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</row>
    <row r="1040">
      <c r="B1040" s="27"/>
      <c r="C1040" s="27"/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</row>
    <row r="1041">
      <c r="B1041" s="27"/>
      <c r="C1041" s="27"/>
      <c r="D1041" s="27"/>
      <c r="E1041" s="27"/>
      <c r="F1041" s="27"/>
      <c r="G1041" s="27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</row>
    <row r="1042">
      <c r="B1042" s="27"/>
      <c r="C1042" s="27"/>
      <c r="D1042" s="27"/>
      <c r="E1042" s="27"/>
      <c r="F1042" s="27"/>
      <c r="G1042" s="27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</row>
    <row r="1043">
      <c r="B1043" s="27"/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</row>
    <row r="1044">
      <c r="B1044" s="27"/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</row>
    <row r="1045">
      <c r="B1045" s="27"/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</row>
    <row r="1046">
      <c r="B1046" s="27"/>
      <c r="C1046" s="27"/>
      <c r="D1046" s="27"/>
      <c r="E1046" s="27"/>
      <c r="F1046" s="27"/>
      <c r="G1046" s="27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</row>
    <row r="1047">
      <c r="B1047" s="27"/>
      <c r="C1047" s="27"/>
      <c r="D1047" s="27"/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</row>
    <row r="1048">
      <c r="B1048" s="27"/>
      <c r="C1048" s="27"/>
      <c r="D1048" s="27"/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</row>
    <row r="1049">
      <c r="B1049" s="27"/>
      <c r="C1049" s="27"/>
      <c r="D1049" s="27"/>
      <c r="E1049" s="27"/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</row>
    <row r="1050">
      <c r="B1050" s="27"/>
      <c r="C1050" s="27"/>
      <c r="D1050" s="27"/>
      <c r="E1050" s="27"/>
      <c r="F1050" s="27"/>
      <c r="G1050" s="27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</row>
    <row r="1051">
      <c r="B1051" s="27"/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</row>
    <row r="1052">
      <c r="B1052" s="27"/>
      <c r="C1052" s="27"/>
      <c r="D1052" s="27"/>
      <c r="E1052" s="27"/>
      <c r="F1052" s="27"/>
      <c r="G1052" s="27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</row>
    <row r="1053">
      <c r="B1053" s="27"/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</row>
    <row r="1054">
      <c r="B1054" s="27"/>
      <c r="C1054" s="27"/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</row>
    <row r="1055">
      <c r="B1055" s="27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</row>
    <row r="1056">
      <c r="B1056" s="27"/>
      <c r="C1056" s="27"/>
      <c r="D1056" s="27"/>
      <c r="E1056" s="27"/>
      <c r="F1056" s="27"/>
      <c r="G1056" s="27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</row>
    <row r="1057">
      <c r="B1057" s="27"/>
      <c r="C1057" s="27"/>
      <c r="D1057" s="27"/>
      <c r="E1057" s="27"/>
      <c r="F1057" s="27"/>
      <c r="G1057" s="27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</row>
    <row r="1058">
      <c r="B1058" s="27"/>
      <c r="C1058" s="27"/>
      <c r="D1058" s="27"/>
      <c r="E1058" s="27"/>
      <c r="F1058" s="27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</row>
    <row r="1059">
      <c r="B1059" s="27"/>
      <c r="C1059" s="27"/>
      <c r="D1059" s="27"/>
      <c r="E1059" s="27"/>
      <c r="F1059" s="27"/>
      <c r="G1059" s="27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</row>
    <row r="1060">
      <c r="B1060" s="27"/>
      <c r="C1060" s="27"/>
      <c r="D1060" s="27"/>
      <c r="E1060" s="27"/>
      <c r="F1060" s="27"/>
      <c r="G1060" s="27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</row>
    <row r="1061">
      <c r="B1061" s="27"/>
      <c r="C1061" s="27"/>
      <c r="D1061" s="27"/>
      <c r="E1061" s="27"/>
      <c r="F1061" s="27"/>
      <c r="G1061" s="27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</row>
    <row r="1062">
      <c r="B1062" s="27"/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</row>
    <row r="1063">
      <c r="B1063" s="27"/>
      <c r="C1063" s="27"/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</row>
    <row r="1064">
      <c r="B1064" s="27"/>
      <c r="C1064" s="27"/>
      <c r="D1064" s="27"/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</row>
    <row r="1065">
      <c r="B1065" s="27"/>
      <c r="C1065" s="27"/>
      <c r="D1065" s="27"/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</row>
    <row r="1066">
      <c r="B1066" s="27"/>
      <c r="C1066" s="27"/>
      <c r="D1066" s="27"/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</row>
    <row r="1067">
      <c r="B1067" s="27"/>
      <c r="C1067" s="27"/>
      <c r="D1067" s="27"/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</row>
    <row r="1068">
      <c r="B1068" s="27"/>
      <c r="C1068" s="27"/>
      <c r="D1068" s="27"/>
      <c r="E1068" s="27"/>
      <c r="F1068" s="27"/>
      <c r="G1068" s="27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</row>
    <row r="1069">
      <c r="B1069" s="27"/>
      <c r="C1069" s="27"/>
      <c r="D1069" s="27"/>
      <c r="E1069" s="27"/>
      <c r="F1069" s="27"/>
      <c r="G1069" s="27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</row>
    <row r="1070">
      <c r="B1070" s="27"/>
      <c r="C1070" s="27"/>
      <c r="D1070" s="27"/>
      <c r="E1070" s="27"/>
      <c r="F1070" s="27"/>
      <c r="G1070" s="27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</row>
    <row r="1071">
      <c r="B1071" s="27"/>
      <c r="C1071" s="27"/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</row>
    <row r="1072">
      <c r="B1072" s="27"/>
      <c r="C1072" s="27"/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</row>
    <row r="1073">
      <c r="B1073" s="27"/>
      <c r="C1073" s="27"/>
      <c r="D1073" s="27"/>
      <c r="E1073" s="27"/>
      <c r="F1073" s="27"/>
      <c r="G1073" s="27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</row>
    <row r="1074">
      <c r="B1074" s="27"/>
      <c r="C1074" s="27"/>
      <c r="D1074" s="27"/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</row>
    <row r="1075">
      <c r="B1075" s="27"/>
      <c r="C1075" s="27"/>
      <c r="D1075" s="27"/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</row>
    <row r="1076">
      <c r="B1076" s="27"/>
      <c r="C1076" s="27"/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</row>
    <row r="1077">
      <c r="B1077" s="27"/>
      <c r="C1077" s="27"/>
      <c r="D1077" s="27"/>
      <c r="E1077" s="27"/>
      <c r="F1077" s="27"/>
      <c r="G1077" s="27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</row>
    <row r="1078">
      <c r="B1078" s="27"/>
      <c r="C1078" s="27"/>
      <c r="D1078" s="27"/>
      <c r="E1078" s="27"/>
      <c r="F1078" s="27"/>
      <c r="G1078" s="27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</row>
    <row r="1079">
      <c r="B1079" s="27"/>
      <c r="C1079" s="27"/>
      <c r="D1079" s="27"/>
      <c r="E1079" s="27"/>
      <c r="F1079" s="27"/>
      <c r="G1079" s="27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</row>
    <row r="1080">
      <c r="B1080" s="27"/>
      <c r="C1080" s="27"/>
      <c r="D1080" s="27"/>
      <c r="E1080" s="27"/>
      <c r="F1080" s="27"/>
      <c r="G1080" s="27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</row>
    <row r="1081">
      <c r="B1081" s="27"/>
      <c r="C1081" s="27"/>
      <c r="D1081" s="27"/>
      <c r="E1081" s="27"/>
      <c r="F1081" s="27"/>
      <c r="G1081" s="27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</row>
    <row r="1082">
      <c r="B1082" s="27"/>
      <c r="C1082" s="27"/>
      <c r="D1082" s="27"/>
      <c r="E1082" s="27"/>
      <c r="F1082" s="27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</row>
    <row r="1083">
      <c r="B1083" s="27"/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</row>
    <row r="1084">
      <c r="B1084" s="27"/>
      <c r="C1084" s="27"/>
      <c r="D1084" s="27"/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</row>
    <row r="1085">
      <c r="B1085" s="27"/>
      <c r="C1085" s="27"/>
      <c r="D1085" s="27"/>
      <c r="E1085" s="27"/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</row>
    <row r="1086">
      <c r="B1086" s="27"/>
      <c r="C1086" s="27"/>
      <c r="D1086" s="27"/>
      <c r="E1086" s="27"/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</row>
    <row r="1087">
      <c r="B1087" s="27"/>
      <c r="C1087" s="27"/>
      <c r="D1087" s="27"/>
      <c r="E1087" s="27"/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</row>
    <row r="1088">
      <c r="B1088" s="27"/>
      <c r="C1088" s="27"/>
      <c r="D1088" s="27"/>
      <c r="E1088" s="27"/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</row>
    <row r="1089">
      <c r="B1089" s="27"/>
      <c r="C1089" s="27"/>
      <c r="D1089" s="27"/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</row>
    <row r="1090">
      <c r="B1090" s="27"/>
      <c r="C1090" s="27"/>
      <c r="D1090" s="27"/>
      <c r="E1090" s="27"/>
      <c r="F1090" s="27"/>
      <c r="G1090" s="27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</row>
    <row r="1091">
      <c r="B1091" s="27"/>
      <c r="C1091" s="27"/>
      <c r="D1091" s="27"/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</row>
    <row r="1092">
      <c r="B1092" s="27"/>
      <c r="C1092" s="27"/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</row>
    <row r="1093">
      <c r="B1093" s="27"/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</row>
    <row r="1094">
      <c r="B1094" s="27"/>
      <c r="C1094" s="27"/>
      <c r="D1094" s="27"/>
      <c r="E1094" s="27"/>
      <c r="F1094" s="27"/>
      <c r="G1094" s="27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</row>
    <row r="1095">
      <c r="B1095" s="27"/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</row>
    <row r="1096">
      <c r="B1096" s="27"/>
      <c r="C1096" s="27"/>
      <c r="D1096" s="27"/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</row>
    <row r="1097">
      <c r="B1097" s="27"/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</row>
    <row r="1098">
      <c r="B1098" s="27"/>
      <c r="C1098" s="27"/>
      <c r="D1098" s="27"/>
      <c r="E1098" s="27"/>
      <c r="F1098" s="27"/>
      <c r="G1098" s="27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</row>
    <row r="1099">
      <c r="B1099" s="27"/>
      <c r="C1099" s="27"/>
      <c r="D1099" s="27"/>
      <c r="E1099" s="27"/>
      <c r="F1099" s="27"/>
      <c r="G1099" s="27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</row>
    <row r="1100">
      <c r="B1100" s="27"/>
      <c r="C1100" s="27"/>
      <c r="D1100" s="27"/>
      <c r="E1100" s="27"/>
      <c r="F1100" s="27"/>
      <c r="G1100" s="27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</row>
    <row r="1101">
      <c r="B1101" s="27"/>
      <c r="C1101" s="27"/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</row>
    <row r="1102">
      <c r="B1102" s="27"/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</row>
    <row r="1103">
      <c r="B1103" s="27"/>
      <c r="C1103" s="27"/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</row>
    <row r="1104">
      <c r="B1104" s="27"/>
      <c r="C1104" s="27"/>
      <c r="D1104" s="27"/>
      <c r="E1104" s="27"/>
      <c r="F1104" s="27"/>
      <c r="G1104" s="27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</row>
    <row r="1105">
      <c r="B1105" s="27"/>
      <c r="C1105" s="27"/>
      <c r="D1105" s="27"/>
      <c r="E1105" s="27"/>
      <c r="F1105" s="27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</row>
    <row r="1106">
      <c r="B1106" s="27"/>
      <c r="C1106" s="27"/>
      <c r="D1106" s="27"/>
      <c r="E1106" s="27"/>
      <c r="F1106" s="27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</row>
    <row r="1107">
      <c r="B1107" s="27"/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</row>
    <row r="1108">
      <c r="B1108" s="27"/>
      <c r="C1108" s="27"/>
      <c r="D1108" s="27"/>
      <c r="E1108" s="27"/>
      <c r="F1108" s="27"/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</row>
    <row r="1109">
      <c r="B1109" s="27"/>
      <c r="C1109" s="27"/>
      <c r="D1109" s="27"/>
      <c r="E1109" s="27"/>
      <c r="F1109" s="27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</row>
    <row r="1110">
      <c r="B1110" s="27"/>
      <c r="C1110" s="27"/>
      <c r="D1110" s="27"/>
      <c r="E1110" s="27"/>
      <c r="F1110" s="27"/>
      <c r="G1110" s="27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</row>
    <row r="1111">
      <c r="B1111" s="27"/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</row>
    <row r="1112">
      <c r="B1112" s="27"/>
      <c r="C1112" s="27"/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</row>
    <row r="1113">
      <c r="B1113" s="27"/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</row>
    <row r="1114">
      <c r="B1114" s="27"/>
      <c r="C1114" s="27"/>
      <c r="D1114" s="27"/>
      <c r="E1114" s="27"/>
      <c r="F1114" s="27"/>
      <c r="G1114" s="27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</row>
    <row r="1115">
      <c r="B1115" s="27"/>
      <c r="C1115" s="27"/>
      <c r="D1115" s="27"/>
      <c r="E1115" s="27"/>
      <c r="F1115" s="27"/>
      <c r="G1115" s="27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</row>
    <row r="1116">
      <c r="B1116" s="27"/>
      <c r="C1116" s="27"/>
      <c r="D1116" s="27"/>
      <c r="E1116" s="27"/>
      <c r="F1116" s="27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</row>
    <row r="1117">
      <c r="B1117" s="27"/>
      <c r="C1117" s="27"/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</row>
    <row r="1118">
      <c r="B1118" s="27"/>
      <c r="C1118" s="27"/>
      <c r="D1118" s="27"/>
      <c r="E1118" s="27"/>
      <c r="F1118" s="27"/>
      <c r="G1118" s="27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</row>
    <row r="1119">
      <c r="B1119" s="27"/>
      <c r="C1119" s="27"/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</row>
    <row r="1120">
      <c r="B1120" s="27"/>
      <c r="C1120" s="27"/>
      <c r="D1120" s="27"/>
      <c r="E1120" s="27"/>
      <c r="F1120" s="27"/>
      <c r="G1120" s="27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</row>
    <row r="1121">
      <c r="B1121" s="27"/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</row>
    <row r="1122">
      <c r="B1122" s="27"/>
      <c r="C1122" s="27"/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</row>
    <row r="1123">
      <c r="B1123" s="27"/>
      <c r="C1123" s="27"/>
      <c r="D1123" s="27"/>
      <c r="E1123" s="27"/>
      <c r="F1123" s="27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</row>
    <row r="1124">
      <c r="B1124" s="27"/>
      <c r="C1124" s="27"/>
      <c r="D1124" s="27"/>
      <c r="E1124" s="27"/>
      <c r="F1124" s="27"/>
      <c r="G1124" s="27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</row>
    <row r="1125">
      <c r="B1125" s="27"/>
      <c r="C1125" s="27"/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</row>
    <row r="1126">
      <c r="B1126" s="27"/>
      <c r="C1126" s="27"/>
      <c r="D1126" s="27"/>
      <c r="E1126" s="27"/>
      <c r="F1126" s="27"/>
      <c r="G1126" s="27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</row>
    <row r="1127">
      <c r="B1127" s="27"/>
      <c r="C1127" s="27"/>
      <c r="D1127" s="27"/>
      <c r="E1127" s="27"/>
      <c r="F1127" s="27"/>
      <c r="G1127" s="27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</row>
    <row r="1128">
      <c r="B1128" s="27"/>
      <c r="C1128" s="27"/>
      <c r="D1128" s="27"/>
      <c r="E1128" s="27"/>
      <c r="F1128" s="27"/>
      <c r="G1128" s="27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</row>
    <row r="1129">
      <c r="B1129" s="27"/>
      <c r="C1129" s="27"/>
      <c r="D1129" s="27"/>
      <c r="E1129" s="27"/>
      <c r="F1129" s="27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</row>
    <row r="1130">
      <c r="B1130" s="27"/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</row>
    <row r="1131">
      <c r="B1131" s="27"/>
      <c r="C1131" s="27"/>
      <c r="D1131" s="27"/>
      <c r="E1131" s="27"/>
      <c r="F1131" s="27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</row>
    <row r="1132">
      <c r="B1132" s="27"/>
      <c r="C1132" s="27"/>
      <c r="D1132" s="27"/>
      <c r="E1132" s="27"/>
      <c r="F1132" s="27"/>
      <c r="G1132" s="27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</row>
    <row r="1133">
      <c r="B1133" s="27"/>
      <c r="C1133" s="27"/>
      <c r="D1133" s="27"/>
      <c r="E1133" s="27"/>
      <c r="F1133" s="27"/>
      <c r="G1133" s="27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</row>
    <row r="1134">
      <c r="B1134" s="27"/>
      <c r="C1134" s="27"/>
      <c r="D1134" s="27"/>
      <c r="E1134" s="27"/>
      <c r="F1134" s="27"/>
      <c r="G1134" s="27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</row>
    <row r="1135">
      <c r="B1135" s="27"/>
      <c r="C1135" s="27"/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</row>
    <row r="1136">
      <c r="B1136" s="27"/>
      <c r="C1136" s="27"/>
      <c r="D1136" s="27"/>
      <c r="E1136" s="27"/>
      <c r="F1136" s="27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</row>
    <row r="1137"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</row>
    <row r="1138">
      <c r="B1138" s="27"/>
      <c r="C1138" s="27"/>
      <c r="D1138" s="27"/>
      <c r="E1138" s="27"/>
      <c r="F1138" s="27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</row>
    <row r="1139">
      <c r="B1139" s="27"/>
      <c r="C1139" s="27"/>
      <c r="D1139" s="27"/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</row>
    <row r="1140">
      <c r="B1140" s="27"/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</row>
    <row r="1141">
      <c r="B1141" s="27"/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</row>
    <row r="1142">
      <c r="B1142" s="27"/>
      <c r="C1142" s="27"/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</row>
    <row r="1143">
      <c r="B1143" s="27"/>
      <c r="C1143" s="27"/>
      <c r="D1143" s="27"/>
      <c r="E1143" s="27"/>
      <c r="F1143" s="27"/>
      <c r="G1143" s="27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</row>
    <row r="1144">
      <c r="B1144" s="27"/>
      <c r="C1144" s="27"/>
      <c r="D1144" s="27"/>
      <c r="E1144" s="27"/>
      <c r="F1144" s="27"/>
      <c r="G1144" s="27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</row>
    <row r="1145">
      <c r="B1145" s="27"/>
      <c r="C1145" s="27"/>
      <c r="D1145" s="27"/>
      <c r="E1145" s="27"/>
      <c r="F1145" s="27"/>
      <c r="G1145" s="27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</row>
    <row r="1146">
      <c r="B1146" s="27"/>
      <c r="C1146" s="27"/>
      <c r="D1146" s="27"/>
      <c r="E1146" s="27"/>
      <c r="F1146" s="27"/>
      <c r="G1146" s="27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</row>
    <row r="1147">
      <c r="B1147" s="27"/>
      <c r="C1147" s="27"/>
      <c r="D1147" s="27"/>
      <c r="E1147" s="27"/>
      <c r="F1147" s="27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</row>
    <row r="1148">
      <c r="B1148" s="27"/>
      <c r="C1148" s="27"/>
      <c r="D1148" s="27"/>
      <c r="E1148" s="27"/>
      <c r="F1148" s="27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</row>
    <row r="1149">
      <c r="B1149" s="27"/>
      <c r="C1149" s="27"/>
      <c r="D1149" s="27"/>
      <c r="E1149" s="27"/>
      <c r="F1149" s="27"/>
      <c r="G1149" s="27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</row>
    <row r="1150">
      <c r="B1150" s="27"/>
      <c r="C1150" s="27"/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</row>
    <row r="1151">
      <c r="B1151" s="27"/>
      <c r="C1151" s="27"/>
      <c r="D1151" s="27"/>
      <c r="E1151" s="27"/>
      <c r="F1151" s="27"/>
      <c r="G1151" s="27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</row>
    <row r="1152">
      <c r="B1152" s="27"/>
      <c r="C1152" s="27"/>
      <c r="D1152" s="27"/>
      <c r="E1152" s="27"/>
      <c r="F1152" s="27"/>
      <c r="G1152" s="27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</row>
    <row r="1153">
      <c r="B1153" s="27"/>
      <c r="C1153" s="27"/>
      <c r="D1153" s="27"/>
      <c r="E1153" s="27"/>
      <c r="F1153" s="27"/>
      <c r="G1153" s="27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</row>
    <row r="1154">
      <c r="B1154" s="27"/>
      <c r="C1154" s="27"/>
      <c r="D1154" s="27"/>
      <c r="E1154" s="27"/>
      <c r="F1154" s="27"/>
      <c r="G1154" s="27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</row>
    <row r="1155">
      <c r="B1155" s="27"/>
      <c r="C1155" s="27"/>
      <c r="D1155" s="27"/>
      <c r="E1155" s="27"/>
      <c r="F1155" s="27"/>
      <c r="G1155" s="27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</row>
    <row r="1156">
      <c r="B1156" s="27"/>
      <c r="C1156" s="27"/>
      <c r="D1156" s="27"/>
      <c r="E1156" s="27"/>
      <c r="F1156" s="27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</row>
    <row r="1157">
      <c r="B1157" s="27"/>
      <c r="C1157" s="27"/>
      <c r="D1157" s="27"/>
      <c r="E1157" s="27"/>
      <c r="F1157" s="27"/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</row>
    <row r="1158">
      <c r="B1158" s="27"/>
      <c r="C1158" s="27"/>
      <c r="D1158" s="27"/>
      <c r="E1158" s="27"/>
      <c r="F1158" s="27"/>
      <c r="G1158" s="27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</row>
    <row r="1159">
      <c r="B1159" s="27"/>
      <c r="C1159" s="27"/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</row>
    <row r="1160">
      <c r="B1160" s="27"/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</row>
    <row r="1161">
      <c r="B1161" s="27"/>
      <c r="C1161" s="27"/>
      <c r="D1161" s="27"/>
      <c r="E1161" s="27"/>
      <c r="F1161" s="27"/>
      <c r="G1161" s="27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</row>
    <row r="1162">
      <c r="B1162" s="27"/>
      <c r="C1162" s="27"/>
      <c r="D1162" s="27"/>
      <c r="E1162" s="27"/>
      <c r="F1162" s="27"/>
      <c r="G1162" s="27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</row>
    <row r="1163">
      <c r="B1163" s="27"/>
      <c r="C1163" s="27"/>
      <c r="D1163" s="27"/>
      <c r="E1163" s="27"/>
      <c r="F1163" s="27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</row>
    <row r="1164">
      <c r="B1164" s="27"/>
      <c r="C1164" s="27"/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</row>
    <row r="1165">
      <c r="B1165" s="27"/>
      <c r="C1165" s="27"/>
      <c r="D1165" s="27"/>
      <c r="E1165" s="27"/>
      <c r="F1165" s="27"/>
      <c r="G1165" s="27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</row>
    <row r="1166">
      <c r="B1166" s="27"/>
      <c r="C1166" s="27"/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</row>
    <row r="1167">
      <c r="B1167" s="27"/>
      <c r="C1167" s="27"/>
      <c r="D1167" s="27"/>
      <c r="E1167" s="27"/>
      <c r="F1167" s="27"/>
      <c r="G1167" s="27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</row>
    <row r="1168">
      <c r="B1168" s="27"/>
      <c r="C1168" s="27"/>
      <c r="D1168" s="27"/>
      <c r="E1168" s="27"/>
      <c r="F1168" s="27"/>
      <c r="G1168" s="27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</row>
    <row r="1169">
      <c r="B1169" s="27"/>
      <c r="C1169" s="27"/>
      <c r="D1169" s="27"/>
      <c r="E1169" s="27"/>
      <c r="F1169" s="27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</row>
    <row r="1170">
      <c r="B1170" s="27"/>
      <c r="C1170" s="27"/>
      <c r="D1170" s="27"/>
      <c r="E1170" s="27"/>
      <c r="F1170" s="27"/>
      <c r="G1170" s="27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</row>
    <row r="1171">
      <c r="B1171" s="27"/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</row>
    <row r="1172">
      <c r="B1172" s="27"/>
      <c r="C1172" s="27"/>
      <c r="D1172" s="27"/>
      <c r="E1172" s="27"/>
      <c r="F1172" s="27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</row>
    <row r="1173">
      <c r="B1173" s="27"/>
      <c r="C1173" s="27"/>
      <c r="D1173" s="27"/>
      <c r="E1173" s="27"/>
      <c r="F1173" s="27"/>
      <c r="G1173" s="27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</row>
    <row r="1174">
      <c r="B1174" s="27"/>
      <c r="C1174" s="27"/>
      <c r="D1174" s="27"/>
      <c r="E1174" s="27"/>
      <c r="F1174" s="27"/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</row>
    <row r="1175">
      <c r="B1175" s="27"/>
      <c r="C1175" s="27"/>
      <c r="D1175" s="27"/>
      <c r="E1175" s="27"/>
      <c r="F1175" s="27"/>
      <c r="G1175" s="27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</row>
    <row r="1176">
      <c r="B1176" s="27"/>
      <c r="C1176" s="27"/>
      <c r="D1176" s="27"/>
      <c r="E1176" s="27"/>
      <c r="F1176" s="27"/>
      <c r="G1176" s="27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</row>
    <row r="1177">
      <c r="B1177" s="27"/>
      <c r="C1177" s="27"/>
      <c r="D1177" s="27"/>
      <c r="E1177" s="27"/>
      <c r="F1177" s="27"/>
      <c r="G1177" s="27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</row>
    <row r="1178">
      <c r="B1178" s="27"/>
      <c r="C1178" s="27"/>
      <c r="D1178" s="27"/>
      <c r="E1178" s="27"/>
      <c r="F1178" s="27"/>
      <c r="G1178" s="27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</row>
    <row r="1179">
      <c r="B1179" s="27"/>
      <c r="C1179" s="27"/>
      <c r="D1179" s="27"/>
      <c r="E1179" s="27"/>
      <c r="F1179" s="27"/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</row>
    <row r="1180">
      <c r="B1180" s="27"/>
      <c r="C1180" s="27"/>
      <c r="D1180" s="27"/>
      <c r="E1180" s="27"/>
      <c r="F1180" s="27"/>
      <c r="G1180" s="27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</row>
    <row r="1181">
      <c r="B1181" s="27"/>
      <c r="C1181" s="27"/>
      <c r="D1181" s="27"/>
      <c r="E1181" s="27"/>
      <c r="F1181" s="27"/>
      <c r="G1181" s="27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</row>
    <row r="1182">
      <c r="B1182" s="27"/>
      <c r="C1182" s="27"/>
      <c r="D1182" s="27"/>
      <c r="E1182" s="27"/>
      <c r="F1182" s="27"/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</row>
    <row r="1183">
      <c r="B1183" s="27"/>
      <c r="C1183" s="27"/>
      <c r="D1183" s="27"/>
      <c r="E1183" s="27"/>
      <c r="F1183" s="27"/>
      <c r="G1183" s="27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</row>
    <row r="1184">
      <c r="B1184" s="27"/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</row>
    <row r="1185">
      <c r="B1185" s="27"/>
      <c r="C1185" s="27"/>
      <c r="D1185" s="27"/>
      <c r="E1185" s="27"/>
      <c r="F1185" s="27"/>
      <c r="G1185" s="27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</row>
    <row r="1186">
      <c r="B1186" s="27"/>
      <c r="C1186" s="27"/>
      <c r="D1186" s="27"/>
      <c r="E1186" s="27"/>
      <c r="F1186" s="27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</row>
    <row r="1187">
      <c r="B1187" s="27"/>
      <c r="C1187" s="27"/>
      <c r="D1187" s="27"/>
      <c r="E1187" s="27"/>
      <c r="F1187" s="27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</row>
    <row r="1188">
      <c r="B1188" s="27"/>
      <c r="C1188" s="27"/>
      <c r="D1188" s="27"/>
      <c r="E1188" s="27"/>
      <c r="F1188" s="27"/>
      <c r="G1188" s="27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</row>
    <row r="1189">
      <c r="B1189" s="27"/>
      <c r="C1189" s="27"/>
      <c r="D1189" s="27"/>
      <c r="E1189" s="27"/>
      <c r="F1189" s="27"/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</row>
    <row r="1190">
      <c r="B1190" s="27"/>
      <c r="C1190" s="27"/>
      <c r="D1190" s="27"/>
      <c r="E1190" s="27"/>
      <c r="F1190" s="27"/>
      <c r="G1190" s="27"/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</row>
    <row r="1191">
      <c r="B1191" s="27"/>
      <c r="C1191" s="27"/>
      <c r="D1191" s="27"/>
      <c r="E1191" s="27"/>
      <c r="F1191" s="27"/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</row>
    <row r="1192">
      <c r="B1192" s="27"/>
      <c r="C1192" s="27"/>
      <c r="D1192" s="27"/>
      <c r="E1192" s="27"/>
      <c r="F1192" s="27"/>
      <c r="G1192" s="27"/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</row>
    <row r="1193">
      <c r="B1193" s="27"/>
      <c r="C1193" s="27"/>
      <c r="D1193" s="27"/>
      <c r="E1193" s="27"/>
      <c r="F1193" s="27"/>
      <c r="G1193" s="27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</row>
    <row r="1194">
      <c r="B1194" s="27"/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</row>
    <row r="1195">
      <c r="B1195" s="27"/>
      <c r="C1195" s="27"/>
      <c r="D1195" s="27"/>
      <c r="E1195" s="27"/>
      <c r="F1195" s="27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</row>
    <row r="1196">
      <c r="B1196" s="27"/>
      <c r="C1196" s="27"/>
      <c r="D1196" s="27"/>
      <c r="E1196" s="27"/>
      <c r="F1196" s="27"/>
      <c r="G1196" s="27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</row>
    <row r="1197">
      <c r="B1197" s="27"/>
      <c r="C1197" s="27"/>
      <c r="D1197" s="27"/>
      <c r="E1197" s="27"/>
      <c r="F1197" s="27"/>
      <c r="G1197" s="27"/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</row>
    <row r="1198">
      <c r="B1198" s="27"/>
      <c r="C1198" s="27"/>
      <c r="D1198" s="27"/>
      <c r="E1198" s="27"/>
      <c r="F1198" s="27"/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</row>
    <row r="1199">
      <c r="B1199" s="27"/>
      <c r="C1199" s="27"/>
      <c r="D1199" s="27"/>
      <c r="E1199" s="27"/>
      <c r="F1199" s="27"/>
      <c r="G1199" s="27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</row>
    <row r="1200">
      <c r="B1200" s="27"/>
      <c r="C1200" s="27"/>
      <c r="D1200" s="27"/>
      <c r="E1200" s="27"/>
      <c r="F1200" s="27"/>
      <c r="G1200" s="27"/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</row>
    <row r="1201">
      <c r="B1201" s="27"/>
      <c r="C1201" s="27"/>
      <c r="D1201" s="27"/>
      <c r="E1201" s="27"/>
      <c r="F1201" s="27"/>
      <c r="G1201" s="27"/>
      <c r="H1201" s="27"/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</row>
    <row r="1202">
      <c r="B1202" s="27"/>
      <c r="C1202" s="27"/>
      <c r="D1202" s="27"/>
      <c r="E1202" s="27"/>
      <c r="F1202" s="27"/>
      <c r="G1202" s="27"/>
      <c r="H1202" s="27"/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</row>
    <row r="1203">
      <c r="B1203" s="27"/>
      <c r="C1203" s="27"/>
      <c r="D1203" s="27"/>
      <c r="E1203" s="27"/>
      <c r="F1203" s="27"/>
      <c r="G1203" s="27"/>
      <c r="H1203" s="27"/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</row>
    <row r="1204">
      <c r="B1204" s="27"/>
      <c r="C1204" s="27"/>
      <c r="D1204" s="27"/>
      <c r="E1204" s="27"/>
      <c r="F1204" s="27"/>
      <c r="G1204" s="27"/>
      <c r="H1204" s="27"/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</row>
    <row r="1205">
      <c r="B1205" s="27"/>
      <c r="C1205" s="27"/>
      <c r="D1205" s="27"/>
      <c r="E1205" s="27"/>
      <c r="F1205" s="27"/>
      <c r="G1205" s="27"/>
      <c r="H1205" s="27"/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</row>
    <row r="1206">
      <c r="B1206" s="27"/>
      <c r="C1206" s="27"/>
      <c r="D1206" s="27"/>
      <c r="E1206" s="27"/>
      <c r="F1206" s="27"/>
      <c r="G1206" s="27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</row>
    <row r="1207">
      <c r="B1207" s="27"/>
      <c r="C1207" s="27"/>
      <c r="D1207" s="27"/>
      <c r="E1207" s="27"/>
      <c r="F1207" s="27"/>
      <c r="G1207" s="27"/>
      <c r="H1207" s="27"/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</row>
    <row r="1208">
      <c r="B1208" s="27"/>
      <c r="C1208" s="27"/>
      <c r="D1208" s="27"/>
      <c r="E1208" s="27"/>
      <c r="F1208" s="27"/>
      <c r="G1208" s="27"/>
      <c r="H1208" s="27"/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</row>
    <row r="1209">
      <c r="B1209" s="27"/>
      <c r="C1209" s="27"/>
      <c r="D1209" s="27"/>
      <c r="E1209" s="27"/>
      <c r="F1209" s="27"/>
      <c r="G1209" s="27"/>
      <c r="H1209" s="27"/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</row>
    <row r="1210">
      <c r="B1210" s="27"/>
      <c r="C1210" s="27"/>
      <c r="D1210" s="27"/>
      <c r="E1210" s="27"/>
      <c r="F1210" s="27"/>
      <c r="G1210" s="27"/>
      <c r="H1210" s="27"/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</row>
    <row r="1211">
      <c r="B1211" s="27"/>
      <c r="C1211" s="27"/>
      <c r="D1211" s="27"/>
      <c r="E1211" s="27"/>
      <c r="F1211" s="27"/>
      <c r="G1211" s="27"/>
      <c r="H1211" s="27"/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</row>
    <row r="1212">
      <c r="B1212" s="27"/>
      <c r="C1212" s="27"/>
      <c r="D1212" s="27"/>
      <c r="E1212" s="27"/>
      <c r="F1212" s="27"/>
      <c r="G1212" s="27"/>
      <c r="H1212" s="27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</row>
    <row r="1213">
      <c r="B1213" s="27"/>
      <c r="C1213" s="27"/>
      <c r="D1213" s="27"/>
      <c r="E1213" s="27"/>
      <c r="F1213" s="27"/>
      <c r="G1213" s="27"/>
      <c r="H1213" s="27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</row>
    <row r="1214">
      <c r="B1214" s="27"/>
      <c r="C1214" s="27"/>
      <c r="D1214" s="27"/>
      <c r="E1214" s="27"/>
      <c r="F1214" s="27"/>
      <c r="G1214" s="27"/>
      <c r="H1214" s="27"/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</row>
    <row r="1215">
      <c r="B1215" s="27"/>
      <c r="C1215" s="27"/>
      <c r="D1215" s="27"/>
      <c r="E1215" s="27"/>
      <c r="F1215" s="27"/>
      <c r="G1215" s="27"/>
      <c r="H1215" s="27"/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</row>
    <row r="1216">
      <c r="B1216" s="27"/>
      <c r="C1216" s="27"/>
      <c r="D1216" s="27"/>
      <c r="E1216" s="27"/>
      <c r="F1216" s="27"/>
      <c r="G1216" s="27"/>
      <c r="H1216" s="27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</row>
    <row r="1217">
      <c r="B1217" s="27"/>
      <c r="C1217" s="27"/>
      <c r="D1217" s="27"/>
      <c r="E1217" s="27"/>
      <c r="F1217" s="27"/>
      <c r="G1217" s="27"/>
      <c r="H1217" s="27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</row>
    <row r="1218">
      <c r="B1218" s="27"/>
      <c r="C1218" s="27"/>
      <c r="D1218" s="27"/>
      <c r="E1218" s="27"/>
      <c r="F1218" s="27"/>
      <c r="G1218" s="27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</row>
    <row r="1219">
      <c r="B1219" s="27"/>
      <c r="C1219" s="27"/>
      <c r="D1219" s="27"/>
      <c r="E1219" s="27"/>
      <c r="F1219" s="27"/>
      <c r="G1219" s="27"/>
      <c r="H1219" s="27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</row>
    <row r="1220">
      <c r="B1220" s="27"/>
      <c r="C1220" s="27"/>
      <c r="D1220" s="27"/>
      <c r="E1220" s="27"/>
      <c r="F1220" s="27"/>
      <c r="G1220" s="27"/>
      <c r="H1220" s="27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</row>
    <row r="1221">
      <c r="B1221" s="27"/>
      <c r="C1221" s="27"/>
      <c r="D1221" s="27"/>
      <c r="E1221" s="27"/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</row>
    <row r="1222">
      <c r="B1222" s="27"/>
      <c r="C1222" s="27"/>
      <c r="D1222" s="27"/>
      <c r="E1222" s="27"/>
      <c r="F1222" s="27"/>
      <c r="G1222" s="27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</row>
    <row r="1223">
      <c r="B1223" s="27"/>
      <c r="C1223" s="27"/>
      <c r="D1223" s="27"/>
      <c r="E1223" s="27"/>
      <c r="F1223" s="27"/>
      <c r="G1223" s="27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</row>
    <row r="1224">
      <c r="B1224" s="27"/>
      <c r="C1224" s="27"/>
      <c r="D1224" s="27"/>
      <c r="E1224" s="27"/>
      <c r="F1224" s="27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</row>
    <row r="1225">
      <c r="B1225" s="27"/>
      <c r="C1225" s="27"/>
      <c r="D1225" s="27"/>
      <c r="E1225" s="27"/>
      <c r="F1225" s="27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</row>
    <row r="1226">
      <c r="B1226" s="27"/>
      <c r="C1226" s="27"/>
      <c r="D1226" s="27"/>
      <c r="E1226" s="27"/>
      <c r="F1226" s="27"/>
      <c r="G1226" s="27"/>
      <c r="H1226" s="27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</row>
    <row r="1227">
      <c r="B1227" s="27"/>
      <c r="C1227" s="27"/>
      <c r="D1227" s="27"/>
      <c r="E1227" s="27"/>
      <c r="F1227" s="27"/>
      <c r="G1227" s="27"/>
      <c r="H1227" s="27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</row>
    <row r="1228">
      <c r="B1228" s="27"/>
      <c r="C1228" s="27"/>
      <c r="D1228" s="27"/>
      <c r="E1228" s="27"/>
      <c r="F1228" s="27"/>
      <c r="G1228" s="27"/>
      <c r="H1228" s="27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</row>
    <row r="1229">
      <c r="B1229" s="27"/>
      <c r="C1229" s="27"/>
      <c r="D1229" s="27"/>
      <c r="E1229" s="27"/>
      <c r="F1229" s="27"/>
      <c r="G1229" s="27"/>
      <c r="H1229" s="27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</row>
    <row r="1230">
      <c r="B1230" s="27"/>
      <c r="C1230" s="27"/>
      <c r="D1230" s="27"/>
      <c r="E1230" s="27"/>
      <c r="F1230" s="27"/>
      <c r="G1230" s="27"/>
      <c r="H1230" s="27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</row>
    <row r="1231">
      <c r="B1231" s="27"/>
      <c r="C1231" s="27"/>
      <c r="D1231" s="27"/>
      <c r="E1231" s="27"/>
      <c r="F1231" s="27"/>
      <c r="G1231" s="27"/>
      <c r="H1231" s="27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</row>
    <row r="1232">
      <c r="B1232" s="27"/>
      <c r="C1232" s="27"/>
      <c r="D1232" s="27"/>
      <c r="E1232" s="27"/>
      <c r="F1232" s="27"/>
      <c r="G1232" s="27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</row>
    <row r="1233">
      <c r="B1233" s="27"/>
      <c r="C1233" s="27"/>
      <c r="D1233" s="27"/>
      <c r="E1233" s="27"/>
      <c r="F1233" s="27"/>
      <c r="G1233" s="27"/>
      <c r="H1233" s="27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</row>
    <row r="1234">
      <c r="B1234" s="27"/>
      <c r="C1234" s="27"/>
      <c r="D1234" s="27"/>
      <c r="E1234" s="27"/>
      <c r="F1234" s="27"/>
      <c r="G1234" s="27"/>
      <c r="H1234" s="27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</row>
    <row r="1235">
      <c r="B1235" s="27"/>
      <c r="C1235" s="27"/>
      <c r="D1235" s="27"/>
      <c r="E1235" s="27"/>
      <c r="F1235" s="27"/>
      <c r="G1235" s="27"/>
      <c r="H1235" s="27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</row>
    <row r="1236">
      <c r="B1236" s="27"/>
      <c r="C1236" s="27"/>
      <c r="D1236" s="27"/>
      <c r="E1236" s="27"/>
      <c r="F1236" s="27"/>
      <c r="G1236" s="27"/>
      <c r="H1236" s="27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</row>
    <row r="1237">
      <c r="B1237" s="27"/>
      <c r="C1237" s="27"/>
      <c r="D1237" s="27"/>
      <c r="E1237" s="27"/>
      <c r="F1237" s="27"/>
      <c r="G1237" s="27"/>
      <c r="H1237" s="27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</row>
    <row r="1238">
      <c r="B1238" s="27"/>
      <c r="C1238" s="27"/>
      <c r="D1238" s="27"/>
      <c r="E1238" s="27"/>
      <c r="F1238" s="27"/>
      <c r="G1238" s="27"/>
      <c r="H1238" s="27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</row>
    <row r="1239">
      <c r="B1239" s="27"/>
      <c r="C1239" s="27"/>
      <c r="D1239" s="27"/>
      <c r="E1239" s="27"/>
      <c r="F1239" s="27"/>
      <c r="G1239" s="27"/>
      <c r="H1239" s="27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</row>
    <row r="1240">
      <c r="B1240" s="27"/>
      <c r="C1240" s="27"/>
      <c r="D1240" s="27"/>
      <c r="E1240" s="27"/>
      <c r="F1240" s="27"/>
      <c r="G1240" s="27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</row>
    <row r="1241">
      <c r="B1241" s="27"/>
      <c r="C1241" s="27"/>
      <c r="D1241" s="27"/>
      <c r="E1241" s="27"/>
      <c r="F1241" s="27"/>
      <c r="G1241" s="27"/>
      <c r="H1241" s="27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</row>
    <row r="1242">
      <c r="B1242" s="27"/>
      <c r="C1242" s="27"/>
      <c r="D1242" s="27"/>
      <c r="E1242" s="27"/>
      <c r="F1242" s="27"/>
      <c r="G1242" s="27"/>
      <c r="H1242" s="27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</row>
    <row r="1243">
      <c r="B1243" s="27"/>
      <c r="C1243" s="27"/>
      <c r="D1243" s="27"/>
      <c r="E1243" s="27"/>
      <c r="F1243" s="27"/>
      <c r="G1243" s="27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</row>
    <row r="1244">
      <c r="B1244" s="27"/>
      <c r="C1244" s="27"/>
      <c r="D1244" s="27"/>
      <c r="E1244" s="27"/>
      <c r="F1244" s="27"/>
      <c r="G1244" s="27"/>
      <c r="H1244" s="27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</row>
    <row r="1245">
      <c r="B1245" s="27"/>
      <c r="C1245" s="27"/>
      <c r="D1245" s="27"/>
      <c r="E1245" s="27"/>
      <c r="F1245" s="27"/>
      <c r="G1245" s="27"/>
      <c r="H1245" s="27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</row>
    <row r="1246">
      <c r="B1246" s="27"/>
      <c r="C1246" s="27"/>
      <c r="D1246" s="27"/>
      <c r="E1246" s="27"/>
      <c r="F1246" s="27"/>
      <c r="G1246" s="27"/>
      <c r="H1246" s="27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</row>
    <row r="1247">
      <c r="B1247" s="27"/>
      <c r="C1247" s="27"/>
      <c r="D1247" s="27"/>
      <c r="E1247" s="27"/>
      <c r="F1247" s="27"/>
      <c r="G1247" s="27"/>
      <c r="H1247" s="27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</row>
    <row r="1248">
      <c r="B1248" s="27"/>
      <c r="C1248" s="27"/>
      <c r="D1248" s="27"/>
      <c r="E1248" s="27"/>
      <c r="F1248" s="27"/>
      <c r="G1248" s="27"/>
      <c r="H1248" s="27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</row>
    <row r="1249">
      <c r="B1249" s="27"/>
      <c r="C1249" s="27"/>
      <c r="D1249" s="27"/>
      <c r="E1249" s="27"/>
      <c r="F1249" s="27"/>
      <c r="G1249" s="27"/>
      <c r="H1249" s="27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</row>
    <row r="1250">
      <c r="B1250" s="27"/>
      <c r="C1250" s="27"/>
      <c r="D1250" s="27"/>
      <c r="E1250" s="27"/>
      <c r="F1250" s="27"/>
      <c r="G1250" s="27"/>
      <c r="H1250" s="27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</row>
    <row r="1251">
      <c r="B1251" s="27"/>
      <c r="C1251" s="27"/>
      <c r="D1251" s="27"/>
      <c r="E1251" s="27"/>
      <c r="F1251" s="27"/>
      <c r="G1251" s="27"/>
      <c r="H1251" s="27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</row>
    <row r="1252">
      <c r="B1252" s="27"/>
      <c r="C1252" s="27"/>
      <c r="D1252" s="27"/>
      <c r="E1252" s="27"/>
      <c r="F1252" s="27"/>
      <c r="G1252" s="27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</row>
    <row r="1253">
      <c r="B1253" s="27"/>
      <c r="C1253" s="27"/>
      <c r="D1253" s="27"/>
      <c r="E1253" s="27"/>
      <c r="F1253" s="27"/>
      <c r="G1253" s="27"/>
      <c r="H1253" s="27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</row>
    <row r="1254">
      <c r="B1254" s="27"/>
      <c r="C1254" s="27"/>
      <c r="D1254" s="27"/>
      <c r="E1254" s="27"/>
      <c r="F1254" s="27"/>
      <c r="G1254" s="27"/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</row>
    <row r="1255">
      <c r="B1255" s="27"/>
      <c r="C1255" s="27"/>
      <c r="D1255" s="27"/>
      <c r="E1255" s="27"/>
      <c r="F1255" s="27"/>
      <c r="G1255" s="27"/>
      <c r="H1255" s="27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</row>
    <row r="1256">
      <c r="B1256" s="27"/>
      <c r="C1256" s="27"/>
      <c r="D1256" s="27"/>
      <c r="E1256" s="27"/>
      <c r="F1256" s="27"/>
      <c r="G1256" s="27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</row>
    <row r="1257">
      <c r="B1257" s="27"/>
      <c r="C1257" s="27"/>
      <c r="D1257" s="27"/>
      <c r="E1257" s="27"/>
      <c r="F1257" s="27"/>
      <c r="G1257" s="27"/>
      <c r="H1257" s="27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</row>
    <row r="1258">
      <c r="B1258" s="27"/>
      <c r="C1258" s="27"/>
      <c r="D1258" s="27"/>
      <c r="E1258" s="27"/>
      <c r="F1258" s="27"/>
      <c r="G1258" s="27"/>
      <c r="H1258" s="27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</row>
    <row r="1259">
      <c r="B1259" s="27"/>
      <c r="C1259" s="27"/>
      <c r="D1259" s="27"/>
      <c r="E1259" s="27"/>
      <c r="F1259" s="27"/>
      <c r="G1259" s="27"/>
      <c r="H1259" s="27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</row>
    <row r="1260">
      <c r="B1260" s="27"/>
      <c r="C1260" s="27"/>
      <c r="D1260" s="27"/>
      <c r="E1260" s="27"/>
      <c r="F1260" s="27"/>
      <c r="G1260" s="27"/>
      <c r="H1260" s="27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</row>
    <row r="1261">
      <c r="B1261" s="27"/>
      <c r="C1261" s="27"/>
      <c r="D1261" s="27"/>
      <c r="E1261" s="27"/>
      <c r="F1261" s="27"/>
      <c r="G1261" s="27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</row>
    <row r="1262">
      <c r="B1262" s="27"/>
      <c r="C1262" s="27"/>
      <c r="D1262" s="27"/>
      <c r="E1262" s="27"/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</row>
    <row r="1263">
      <c r="B1263" s="27"/>
      <c r="C1263" s="27"/>
      <c r="D1263" s="27"/>
      <c r="E1263" s="27"/>
      <c r="F1263" s="27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</row>
    <row r="1264">
      <c r="B1264" s="27"/>
      <c r="C1264" s="27"/>
      <c r="D1264" s="27"/>
      <c r="E1264" s="27"/>
      <c r="F1264" s="27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</row>
    <row r="1265">
      <c r="B1265" s="27"/>
      <c r="C1265" s="27"/>
      <c r="D1265" s="27"/>
      <c r="E1265" s="27"/>
      <c r="F1265" s="27"/>
      <c r="G1265" s="27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</row>
    <row r="1266">
      <c r="B1266" s="27"/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</row>
    <row r="1267">
      <c r="B1267" s="27"/>
      <c r="C1267" s="27"/>
      <c r="D1267" s="27"/>
      <c r="E1267" s="27"/>
      <c r="F1267" s="27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</row>
    <row r="1268">
      <c r="B1268" s="27"/>
      <c r="C1268" s="27"/>
      <c r="D1268" s="27"/>
      <c r="E1268" s="27"/>
      <c r="F1268" s="27"/>
      <c r="G1268" s="27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</row>
    <row r="1269">
      <c r="B1269" s="27"/>
      <c r="C1269" s="27"/>
      <c r="D1269" s="27"/>
      <c r="E1269" s="27"/>
      <c r="F1269" s="27"/>
      <c r="G1269" s="27"/>
      <c r="H1269" s="27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</row>
    <row r="1270">
      <c r="B1270" s="27"/>
      <c r="C1270" s="27"/>
      <c r="D1270" s="27"/>
      <c r="E1270" s="27"/>
      <c r="F1270" s="27"/>
      <c r="G1270" s="27"/>
      <c r="H1270" s="27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</row>
    <row r="1271">
      <c r="B1271" s="27"/>
      <c r="C1271" s="27"/>
      <c r="D1271" s="27"/>
      <c r="E1271" s="27"/>
      <c r="F1271" s="27"/>
      <c r="G1271" s="27"/>
      <c r="H1271" s="27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</row>
    <row r="1272">
      <c r="B1272" s="27"/>
      <c r="C1272" s="27"/>
      <c r="D1272" s="27"/>
      <c r="E1272" s="27"/>
      <c r="F1272" s="27"/>
      <c r="G1272" s="27"/>
      <c r="H1272" s="27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</row>
    <row r="1273">
      <c r="B1273" s="27"/>
      <c r="C1273" s="27"/>
      <c r="D1273" s="27"/>
      <c r="E1273" s="27"/>
      <c r="F1273" s="27"/>
      <c r="G1273" s="27"/>
      <c r="H1273" s="27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</row>
    <row r="1274">
      <c r="B1274" s="27"/>
      <c r="C1274" s="27"/>
      <c r="D1274" s="27"/>
      <c r="E1274" s="27"/>
      <c r="F1274" s="27"/>
      <c r="G1274" s="27"/>
      <c r="H1274" s="27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</row>
    <row r="1275">
      <c r="B1275" s="27"/>
      <c r="C1275" s="27"/>
      <c r="D1275" s="27"/>
      <c r="E1275" s="27"/>
      <c r="F1275" s="27"/>
      <c r="G1275" s="27"/>
      <c r="H1275" s="27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</row>
    <row r="1276">
      <c r="B1276" s="27"/>
      <c r="C1276" s="27"/>
      <c r="D1276" s="27"/>
      <c r="E1276" s="27"/>
      <c r="F1276" s="27"/>
      <c r="G1276" s="27"/>
      <c r="H1276" s="27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</row>
    <row r="1277">
      <c r="B1277" s="27"/>
      <c r="C1277" s="27"/>
      <c r="D1277" s="27"/>
      <c r="E1277" s="27"/>
      <c r="F1277" s="27"/>
      <c r="G1277" s="27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</row>
    <row r="1278">
      <c r="B1278" s="27"/>
      <c r="C1278" s="27"/>
      <c r="D1278" s="27"/>
      <c r="E1278" s="27"/>
      <c r="F1278" s="27"/>
      <c r="G1278" s="27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</row>
    <row r="1279">
      <c r="B1279" s="27"/>
      <c r="C1279" s="27"/>
      <c r="D1279" s="27"/>
      <c r="E1279" s="27"/>
      <c r="F1279" s="27"/>
      <c r="G1279" s="27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</row>
    <row r="1280">
      <c r="B1280" s="27"/>
      <c r="C1280" s="27"/>
      <c r="D1280" s="27"/>
      <c r="E1280" s="27"/>
      <c r="F1280" s="27"/>
      <c r="G1280" s="27"/>
      <c r="H1280" s="27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</row>
    <row r="1281">
      <c r="B1281" s="27"/>
      <c r="C1281" s="27"/>
      <c r="D1281" s="27"/>
      <c r="E1281" s="27"/>
      <c r="F1281" s="27"/>
      <c r="G1281" s="27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</row>
    <row r="1282">
      <c r="B1282" s="27"/>
      <c r="C1282" s="27"/>
      <c r="D1282" s="27"/>
      <c r="E1282" s="27"/>
      <c r="F1282" s="27"/>
      <c r="G1282" s="27"/>
      <c r="H1282" s="27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</row>
    <row r="1283">
      <c r="B1283" s="27"/>
      <c r="C1283" s="27"/>
      <c r="D1283" s="27"/>
      <c r="E1283" s="27"/>
      <c r="F1283" s="27"/>
      <c r="G1283" s="27"/>
      <c r="H1283" s="27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</row>
    <row r="1284">
      <c r="B1284" s="27"/>
      <c r="C1284" s="27"/>
      <c r="D1284" s="27"/>
      <c r="E1284" s="27"/>
      <c r="F1284" s="27"/>
      <c r="G1284" s="27"/>
      <c r="H1284" s="27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</row>
    <row r="1285">
      <c r="B1285" s="27"/>
      <c r="C1285" s="27"/>
      <c r="D1285" s="27"/>
      <c r="E1285" s="27"/>
      <c r="F1285" s="27"/>
      <c r="G1285" s="27"/>
      <c r="H1285" s="27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</row>
    <row r="1286">
      <c r="B1286" s="27"/>
      <c r="C1286" s="27"/>
      <c r="D1286" s="27"/>
      <c r="E1286" s="27"/>
      <c r="F1286" s="27"/>
      <c r="G1286" s="27"/>
      <c r="H1286" s="27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</row>
    <row r="1287">
      <c r="B1287" s="27"/>
      <c r="C1287" s="27"/>
      <c r="D1287" s="27"/>
      <c r="E1287" s="27"/>
      <c r="F1287" s="27"/>
      <c r="G1287" s="27"/>
      <c r="H1287" s="27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</row>
    <row r="1288">
      <c r="B1288" s="27"/>
      <c r="C1288" s="27"/>
      <c r="D1288" s="27"/>
      <c r="E1288" s="27"/>
      <c r="F1288" s="27"/>
      <c r="G1288" s="27"/>
      <c r="H1288" s="27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</row>
    <row r="1289">
      <c r="B1289" s="27"/>
      <c r="C1289" s="27"/>
      <c r="D1289" s="27"/>
      <c r="E1289" s="27"/>
      <c r="F1289" s="27"/>
      <c r="G1289" s="27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</row>
    <row r="1290">
      <c r="B1290" s="27"/>
      <c r="C1290" s="27"/>
      <c r="D1290" s="27"/>
      <c r="E1290" s="27"/>
      <c r="F1290" s="27"/>
      <c r="G1290" s="27"/>
      <c r="H1290" s="27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</row>
    <row r="1291">
      <c r="B1291" s="27"/>
      <c r="C1291" s="27"/>
      <c r="D1291" s="27"/>
      <c r="E1291" s="27"/>
      <c r="F1291" s="27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</row>
    <row r="1292">
      <c r="B1292" s="27"/>
      <c r="C1292" s="27"/>
      <c r="D1292" s="27"/>
      <c r="E1292" s="27"/>
      <c r="F1292" s="27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</row>
    <row r="1293">
      <c r="B1293" s="27"/>
      <c r="C1293" s="27"/>
      <c r="D1293" s="27"/>
      <c r="E1293" s="27"/>
      <c r="F1293" s="27"/>
      <c r="G1293" s="27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</row>
    <row r="1294">
      <c r="B1294" s="27"/>
      <c r="C1294" s="27"/>
      <c r="D1294" s="27"/>
      <c r="E1294" s="27"/>
      <c r="F1294" s="27"/>
      <c r="G1294" s="27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</row>
    <row r="1295">
      <c r="B1295" s="27"/>
      <c r="C1295" s="27"/>
      <c r="D1295" s="27"/>
      <c r="E1295" s="27"/>
      <c r="F1295" s="27"/>
      <c r="G1295" s="27"/>
      <c r="H1295" s="27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</row>
    <row r="1296">
      <c r="B1296" s="27"/>
      <c r="C1296" s="27"/>
      <c r="D1296" s="27"/>
      <c r="E1296" s="27"/>
      <c r="F1296" s="27"/>
      <c r="G1296" s="27"/>
      <c r="H1296" s="27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</row>
    <row r="1297">
      <c r="B1297" s="27"/>
      <c r="C1297" s="27"/>
      <c r="D1297" s="27"/>
      <c r="E1297" s="27"/>
      <c r="F1297" s="27"/>
      <c r="G1297" s="27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</row>
    <row r="1298">
      <c r="B1298" s="27"/>
      <c r="C1298" s="27"/>
      <c r="D1298" s="27"/>
      <c r="E1298" s="27"/>
      <c r="F1298" s="27"/>
      <c r="G1298" s="27"/>
      <c r="H1298" s="27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</row>
    <row r="1299">
      <c r="B1299" s="27"/>
      <c r="C1299" s="27"/>
      <c r="D1299" s="27"/>
      <c r="E1299" s="27"/>
      <c r="F1299" s="27"/>
      <c r="G1299" s="27"/>
      <c r="H1299" s="27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</row>
    <row r="1300">
      <c r="B1300" s="27"/>
      <c r="C1300" s="27"/>
      <c r="D1300" s="27"/>
      <c r="E1300" s="27"/>
      <c r="F1300" s="27"/>
      <c r="G1300" s="27"/>
      <c r="H1300" s="27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</row>
    <row r="1301">
      <c r="B1301" s="27"/>
      <c r="C1301" s="27"/>
      <c r="D1301" s="27"/>
      <c r="E1301" s="27"/>
      <c r="F1301" s="27"/>
      <c r="G1301" s="27"/>
      <c r="H1301" s="27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</row>
    <row r="1302">
      <c r="B1302" s="27"/>
      <c r="C1302" s="27"/>
      <c r="D1302" s="27"/>
      <c r="E1302" s="27"/>
      <c r="F1302" s="27"/>
      <c r="G1302" s="27"/>
      <c r="H1302" s="27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</row>
    <row r="1303">
      <c r="B1303" s="27"/>
      <c r="C1303" s="27"/>
      <c r="D1303" s="27"/>
      <c r="E1303" s="27"/>
      <c r="F1303" s="27"/>
      <c r="G1303" s="27"/>
      <c r="H1303" s="27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</row>
    <row r="1304">
      <c r="B1304" s="27"/>
      <c r="C1304" s="27"/>
      <c r="D1304" s="27"/>
      <c r="E1304" s="27"/>
      <c r="F1304" s="27"/>
      <c r="G1304" s="27"/>
      <c r="H1304" s="27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</row>
    <row r="1305">
      <c r="B1305" s="27"/>
      <c r="C1305" s="27"/>
      <c r="D1305" s="27"/>
      <c r="E1305" s="27"/>
      <c r="F1305" s="27"/>
      <c r="G1305" s="27"/>
      <c r="H1305" s="27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</row>
    <row r="1306">
      <c r="B1306" s="27"/>
      <c r="C1306" s="27"/>
      <c r="D1306" s="27"/>
      <c r="E1306" s="27"/>
      <c r="F1306" s="27"/>
      <c r="G1306" s="27"/>
      <c r="H1306" s="27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</row>
    <row r="1307">
      <c r="B1307" s="27"/>
      <c r="C1307" s="27"/>
      <c r="D1307" s="27"/>
      <c r="E1307" s="27"/>
      <c r="F1307" s="27"/>
      <c r="G1307" s="27"/>
      <c r="H1307" s="27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</row>
    <row r="1308">
      <c r="B1308" s="27"/>
      <c r="C1308" s="27"/>
      <c r="D1308" s="27"/>
      <c r="E1308" s="27"/>
      <c r="F1308" s="27"/>
      <c r="G1308" s="27"/>
      <c r="H1308" s="27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</row>
    <row r="1309">
      <c r="B1309" s="27"/>
      <c r="C1309" s="27"/>
      <c r="D1309" s="27"/>
      <c r="E1309" s="27"/>
      <c r="F1309" s="27"/>
      <c r="G1309" s="27"/>
      <c r="H1309" s="27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</row>
    <row r="1310">
      <c r="B1310" s="27"/>
      <c r="C1310" s="27"/>
      <c r="D1310" s="27"/>
      <c r="E1310" s="27"/>
      <c r="F1310" s="27"/>
      <c r="G1310" s="27"/>
      <c r="H1310" s="27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</row>
    <row r="1311">
      <c r="B1311" s="27"/>
      <c r="C1311" s="27"/>
      <c r="D1311" s="27"/>
      <c r="E1311" s="27"/>
      <c r="F1311" s="27"/>
      <c r="G1311" s="27"/>
      <c r="H1311" s="27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</row>
    <row r="1312">
      <c r="B1312" s="27"/>
      <c r="C1312" s="27"/>
      <c r="D1312" s="27"/>
      <c r="E1312" s="27"/>
      <c r="F1312" s="27"/>
      <c r="G1312" s="27"/>
      <c r="H1312" s="27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</row>
    <row r="1313">
      <c r="B1313" s="27"/>
      <c r="C1313" s="27"/>
      <c r="D1313" s="27"/>
      <c r="E1313" s="27"/>
      <c r="F1313" s="27"/>
      <c r="G1313" s="27"/>
      <c r="H1313" s="27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</row>
    <row r="1314">
      <c r="B1314" s="27"/>
      <c r="C1314" s="27"/>
      <c r="D1314" s="27"/>
      <c r="E1314" s="27"/>
      <c r="F1314" s="27"/>
      <c r="G1314" s="27"/>
      <c r="H1314" s="27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</row>
    <row r="1315">
      <c r="B1315" s="27"/>
      <c r="C1315" s="27"/>
      <c r="D1315" s="27"/>
      <c r="E1315" s="27"/>
      <c r="F1315" s="27"/>
      <c r="G1315" s="27"/>
      <c r="H1315" s="27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</row>
    <row r="1316">
      <c r="B1316" s="27"/>
      <c r="C1316" s="27"/>
      <c r="D1316" s="27"/>
      <c r="E1316" s="27"/>
      <c r="F1316" s="27"/>
      <c r="G1316" s="27"/>
      <c r="H1316" s="27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</row>
    <row r="1317">
      <c r="B1317" s="27"/>
      <c r="C1317" s="27"/>
      <c r="D1317" s="27"/>
      <c r="E1317" s="27"/>
      <c r="F1317" s="27"/>
      <c r="G1317" s="27"/>
      <c r="H1317" s="27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</row>
    <row r="1318">
      <c r="B1318" s="27"/>
      <c r="C1318" s="27"/>
      <c r="D1318" s="27"/>
      <c r="E1318" s="27"/>
      <c r="F1318" s="27"/>
      <c r="G1318" s="27"/>
      <c r="H1318" s="27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</row>
    <row r="1319">
      <c r="B1319" s="27"/>
      <c r="C1319" s="27"/>
      <c r="D1319" s="27"/>
      <c r="E1319" s="27"/>
      <c r="F1319" s="27"/>
      <c r="G1319" s="27"/>
      <c r="H1319" s="27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</row>
    <row r="1320">
      <c r="B1320" s="27"/>
      <c r="C1320" s="27"/>
      <c r="D1320" s="27"/>
      <c r="E1320" s="27"/>
      <c r="F1320" s="27"/>
      <c r="G1320" s="27"/>
      <c r="H1320" s="27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</row>
    <row r="1321">
      <c r="B1321" s="27"/>
      <c r="C1321" s="27"/>
      <c r="D1321" s="27"/>
      <c r="E1321" s="27"/>
      <c r="F1321" s="27"/>
      <c r="G1321" s="27"/>
      <c r="H1321" s="27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</row>
    <row r="1322">
      <c r="B1322" s="27"/>
      <c r="C1322" s="27"/>
      <c r="D1322" s="27"/>
      <c r="E1322" s="27"/>
      <c r="F1322" s="27"/>
      <c r="G1322" s="27"/>
      <c r="H1322" s="27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</row>
    <row r="1323">
      <c r="B1323" s="27"/>
      <c r="C1323" s="27"/>
      <c r="D1323" s="27"/>
      <c r="E1323" s="27"/>
      <c r="F1323" s="27"/>
      <c r="G1323" s="27"/>
      <c r="H1323" s="27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</row>
    <row r="1324">
      <c r="B1324" s="27"/>
      <c r="C1324" s="27"/>
      <c r="D1324" s="27"/>
      <c r="E1324" s="27"/>
      <c r="F1324" s="27"/>
      <c r="G1324" s="27"/>
      <c r="H1324" s="27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</row>
    <row r="1325">
      <c r="B1325" s="27"/>
      <c r="C1325" s="27"/>
      <c r="D1325" s="27"/>
      <c r="E1325" s="27"/>
      <c r="F1325" s="27"/>
      <c r="G1325" s="27"/>
      <c r="H1325" s="27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</row>
    <row r="1326">
      <c r="B1326" s="27"/>
      <c r="C1326" s="27"/>
      <c r="D1326" s="27"/>
      <c r="E1326" s="27"/>
      <c r="F1326" s="27"/>
      <c r="G1326" s="27"/>
      <c r="H1326" s="27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</row>
    <row r="1327">
      <c r="B1327" s="27"/>
      <c r="C1327" s="27"/>
      <c r="D1327" s="27"/>
      <c r="E1327" s="27"/>
      <c r="F1327" s="27"/>
      <c r="G1327" s="27"/>
      <c r="H1327" s="27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</row>
    <row r="1328">
      <c r="B1328" s="27"/>
      <c r="C1328" s="27"/>
      <c r="D1328" s="27"/>
      <c r="E1328" s="27"/>
      <c r="F1328" s="27"/>
      <c r="G1328" s="27"/>
      <c r="H1328" s="27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</row>
    <row r="1329">
      <c r="B1329" s="27"/>
      <c r="C1329" s="27"/>
      <c r="D1329" s="27"/>
      <c r="E1329" s="27"/>
      <c r="F1329" s="27"/>
      <c r="G1329" s="27"/>
      <c r="H1329" s="27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</row>
    <row r="1330">
      <c r="B1330" s="27"/>
      <c r="C1330" s="27"/>
      <c r="D1330" s="27"/>
      <c r="E1330" s="27"/>
      <c r="F1330" s="27"/>
      <c r="G1330" s="27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</row>
    <row r="1331">
      <c r="B1331" s="27"/>
      <c r="C1331" s="27"/>
      <c r="D1331" s="27"/>
      <c r="E1331" s="27"/>
      <c r="F1331" s="27"/>
      <c r="G1331" s="27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</row>
    <row r="1332">
      <c r="B1332" s="27"/>
      <c r="C1332" s="27"/>
      <c r="D1332" s="27"/>
      <c r="E1332" s="27"/>
      <c r="F1332" s="27"/>
      <c r="G1332" s="27"/>
      <c r="H1332" s="27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</row>
    <row r="1333">
      <c r="B1333" s="27"/>
      <c r="C1333" s="27"/>
      <c r="D1333" s="27"/>
      <c r="E1333" s="27"/>
      <c r="F1333" s="27"/>
      <c r="G1333" s="27"/>
      <c r="H1333" s="27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</row>
    <row r="1334">
      <c r="B1334" s="27"/>
      <c r="C1334" s="27"/>
      <c r="D1334" s="27"/>
      <c r="E1334" s="27"/>
      <c r="F1334" s="27"/>
      <c r="G1334" s="27"/>
      <c r="H1334" s="27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</row>
    <row r="1335">
      <c r="B1335" s="27"/>
      <c r="C1335" s="27"/>
      <c r="D1335" s="27"/>
      <c r="E1335" s="27"/>
      <c r="F1335" s="27"/>
      <c r="G1335" s="27"/>
      <c r="H1335" s="27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</row>
    <row r="1336">
      <c r="B1336" s="27"/>
      <c r="C1336" s="27"/>
      <c r="D1336" s="27"/>
      <c r="E1336" s="27"/>
      <c r="F1336" s="27"/>
      <c r="G1336" s="27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</row>
    <row r="1337">
      <c r="B1337" s="27"/>
      <c r="C1337" s="27"/>
      <c r="D1337" s="27"/>
      <c r="E1337" s="27"/>
      <c r="F1337" s="27"/>
      <c r="G1337" s="27"/>
      <c r="H1337" s="27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</row>
    <row r="1338">
      <c r="B1338" s="27"/>
      <c r="C1338" s="27"/>
      <c r="D1338" s="27"/>
      <c r="E1338" s="27"/>
      <c r="F1338" s="27"/>
      <c r="G1338" s="27"/>
      <c r="H1338" s="27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</row>
    <row r="1339">
      <c r="B1339" s="27"/>
      <c r="C1339" s="27"/>
      <c r="D1339" s="27"/>
      <c r="E1339" s="27"/>
      <c r="F1339" s="27"/>
      <c r="G1339" s="27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</row>
    <row r="1340">
      <c r="B1340" s="27"/>
      <c r="C1340" s="27"/>
      <c r="D1340" s="27"/>
      <c r="E1340" s="27"/>
      <c r="F1340" s="27"/>
      <c r="G1340" s="27"/>
      <c r="H1340" s="27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</row>
    <row r="1341">
      <c r="B1341" s="27"/>
      <c r="C1341" s="27"/>
      <c r="D1341" s="27"/>
      <c r="E1341" s="27"/>
      <c r="F1341" s="27"/>
      <c r="G1341" s="27"/>
      <c r="H1341" s="27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</row>
    <row r="1342">
      <c r="B1342" s="27"/>
      <c r="C1342" s="27"/>
      <c r="D1342" s="27"/>
      <c r="E1342" s="27"/>
      <c r="F1342" s="27"/>
      <c r="G1342" s="27"/>
      <c r="H1342" s="27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</row>
    <row r="1343">
      <c r="B1343" s="27"/>
      <c r="C1343" s="27"/>
      <c r="D1343" s="27"/>
      <c r="E1343" s="27"/>
      <c r="F1343" s="27"/>
      <c r="G1343" s="27"/>
      <c r="H1343" s="27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</row>
    <row r="1344">
      <c r="B1344" s="27"/>
      <c r="C1344" s="27"/>
      <c r="D1344" s="27"/>
      <c r="E1344" s="27"/>
      <c r="F1344" s="27"/>
      <c r="G1344" s="27"/>
      <c r="H1344" s="27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</row>
    <row r="1345">
      <c r="B1345" s="27"/>
      <c r="C1345" s="27"/>
      <c r="D1345" s="27"/>
      <c r="E1345" s="27"/>
      <c r="F1345" s="27"/>
      <c r="G1345" s="27"/>
      <c r="H1345" s="27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</row>
    <row r="1346">
      <c r="B1346" s="27"/>
      <c r="C1346" s="27"/>
      <c r="D1346" s="27"/>
      <c r="E1346" s="27"/>
      <c r="F1346" s="27"/>
      <c r="G1346" s="27"/>
      <c r="H1346" s="27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</row>
    <row r="1347">
      <c r="B1347" s="27"/>
      <c r="C1347" s="27"/>
      <c r="D1347" s="27"/>
      <c r="E1347" s="27"/>
      <c r="F1347" s="27"/>
      <c r="G1347" s="27"/>
      <c r="H1347" s="27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</row>
    <row r="1348">
      <c r="B1348" s="27"/>
      <c r="C1348" s="27"/>
      <c r="D1348" s="27"/>
      <c r="E1348" s="27"/>
      <c r="F1348" s="27"/>
      <c r="G1348" s="27"/>
      <c r="H1348" s="27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</row>
    <row r="1349">
      <c r="B1349" s="27"/>
      <c r="C1349" s="27"/>
      <c r="D1349" s="27"/>
      <c r="E1349" s="27"/>
      <c r="F1349" s="27"/>
      <c r="G1349" s="27"/>
      <c r="H1349" s="27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</row>
    <row r="1350">
      <c r="B1350" s="27"/>
      <c r="C1350" s="27"/>
      <c r="D1350" s="27"/>
      <c r="E1350" s="27"/>
      <c r="F1350" s="27"/>
      <c r="G1350" s="27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</row>
    <row r="1351">
      <c r="B1351" s="27"/>
      <c r="C1351" s="27"/>
      <c r="D1351" s="27"/>
      <c r="E1351" s="27"/>
      <c r="F1351" s="27"/>
      <c r="G1351" s="27"/>
      <c r="H1351" s="27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</row>
    <row r="1352">
      <c r="B1352" s="27"/>
      <c r="C1352" s="27"/>
      <c r="D1352" s="27"/>
      <c r="E1352" s="27"/>
      <c r="F1352" s="27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</row>
    <row r="1353">
      <c r="B1353" s="27"/>
      <c r="C1353" s="27"/>
      <c r="D1353" s="27"/>
      <c r="E1353" s="27"/>
      <c r="F1353" s="27"/>
      <c r="G1353" s="27"/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</row>
    <row r="1354">
      <c r="B1354" s="27"/>
      <c r="C1354" s="27"/>
      <c r="D1354" s="27"/>
      <c r="E1354" s="27"/>
      <c r="F1354" s="27"/>
      <c r="G1354" s="27"/>
      <c r="H1354" s="27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</row>
    <row r="1355">
      <c r="B1355" s="27"/>
      <c r="C1355" s="27"/>
      <c r="D1355" s="27"/>
      <c r="E1355" s="27"/>
      <c r="F1355" s="27"/>
      <c r="G1355" s="27"/>
      <c r="H1355" s="27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</row>
    <row r="1356">
      <c r="B1356" s="27"/>
      <c r="C1356" s="27"/>
      <c r="D1356" s="27"/>
      <c r="E1356" s="27"/>
      <c r="F1356" s="27"/>
      <c r="G1356" s="27"/>
      <c r="H1356" s="27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</row>
    <row r="1357">
      <c r="B1357" s="27"/>
      <c r="C1357" s="27"/>
      <c r="D1357" s="27"/>
      <c r="E1357" s="27"/>
      <c r="F1357" s="27"/>
      <c r="G1357" s="27"/>
      <c r="H1357" s="27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</row>
    <row r="1358">
      <c r="B1358" s="27"/>
      <c r="C1358" s="27"/>
      <c r="D1358" s="27"/>
      <c r="E1358" s="27"/>
      <c r="F1358" s="27"/>
      <c r="G1358" s="27"/>
      <c r="H1358" s="27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</row>
    <row r="1359">
      <c r="B1359" s="27"/>
      <c r="C1359" s="27"/>
      <c r="D1359" s="27"/>
      <c r="E1359" s="27"/>
      <c r="F1359" s="27"/>
      <c r="G1359" s="27"/>
      <c r="H1359" s="27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</row>
    <row r="1360">
      <c r="B1360" s="27"/>
      <c r="C1360" s="27"/>
      <c r="D1360" s="27"/>
      <c r="E1360" s="27"/>
      <c r="F1360" s="27"/>
      <c r="G1360" s="27"/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</row>
    <row r="1361">
      <c r="B1361" s="27"/>
      <c r="C1361" s="27"/>
      <c r="D1361" s="27"/>
      <c r="E1361" s="27"/>
      <c r="F1361" s="27"/>
      <c r="G1361" s="27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</row>
    <row r="1362">
      <c r="B1362" s="27"/>
      <c r="C1362" s="27"/>
      <c r="D1362" s="27"/>
      <c r="E1362" s="27"/>
      <c r="F1362" s="27"/>
      <c r="G1362" s="27"/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</row>
    <row r="1363">
      <c r="B1363" s="27"/>
      <c r="C1363" s="27"/>
      <c r="D1363" s="27"/>
      <c r="E1363" s="27"/>
      <c r="F1363" s="27"/>
      <c r="G1363" s="27"/>
      <c r="H1363" s="27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</row>
    <row r="1364">
      <c r="B1364" s="27"/>
      <c r="C1364" s="27"/>
      <c r="D1364" s="27"/>
      <c r="E1364" s="27"/>
      <c r="F1364" s="27"/>
      <c r="G1364" s="27"/>
      <c r="H1364" s="27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</row>
    <row r="1365">
      <c r="B1365" s="27"/>
      <c r="C1365" s="27"/>
      <c r="D1365" s="27"/>
      <c r="E1365" s="27"/>
      <c r="F1365" s="27"/>
      <c r="G1365" s="27"/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</row>
    <row r="1366">
      <c r="B1366" s="27"/>
      <c r="C1366" s="27"/>
      <c r="D1366" s="27"/>
      <c r="E1366" s="27"/>
      <c r="F1366" s="27"/>
      <c r="G1366" s="27"/>
      <c r="H1366" s="27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</row>
    <row r="1367">
      <c r="B1367" s="27"/>
      <c r="C1367" s="27"/>
      <c r="D1367" s="27"/>
      <c r="E1367" s="27"/>
      <c r="F1367" s="27"/>
      <c r="G1367" s="27"/>
      <c r="H1367" s="27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</row>
    <row r="1368">
      <c r="B1368" s="27"/>
      <c r="C1368" s="27"/>
      <c r="D1368" s="27"/>
      <c r="E1368" s="27"/>
      <c r="F1368" s="27"/>
      <c r="G1368" s="27"/>
      <c r="H1368" s="27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</row>
    <row r="1369">
      <c r="B1369" s="27"/>
      <c r="C1369" s="27"/>
      <c r="D1369" s="27"/>
      <c r="E1369" s="27"/>
      <c r="F1369" s="27"/>
      <c r="G1369" s="27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</row>
    <row r="1370">
      <c r="B1370" s="27"/>
      <c r="C1370" s="27"/>
      <c r="D1370" s="27"/>
      <c r="E1370" s="27"/>
      <c r="F1370" s="27"/>
      <c r="G1370" s="27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</row>
    <row r="1371">
      <c r="B1371" s="27"/>
      <c r="C1371" s="27"/>
      <c r="D1371" s="27"/>
      <c r="E1371" s="27"/>
      <c r="F1371" s="27"/>
      <c r="G1371" s="27"/>
      <c r="H1371" s="27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</row>
    <row r="1372">
      <c r="B1372" s="27"/>
      <c r="C1372" s="27"/>
      <c r="D1372" s="27"/>
      <c r="E1372" s="27"/>
      <c r="F1372" s="27"/>
      <c r="G1372" s="27"/>
      <c r="H1372" s="27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</row>
    <row r="1373">
      <c r="B1373" s="27"/>
      <c r="C1373" s="27"/>
      <c r="D1373" s="27"/>
      <c r="E1373" s="27"/>
      <c r="F1373" s="27"/>
      <c r="G1373" s="27"/>
      <c r="H1373" s="27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</row>
    <row r="1374">
      <c r="B1374" s="27"/>
      <c r="C1374" s="27"/>
      <c r="D1374" s="27"/>
      <c r="E1374" s="27"/>
      <c r="F1374" s="27"/>
      <c r="G1374" s="27"/>
      <c r="H1374" s="27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</row>
    <row r="1375">
      <c r="B1375" s="27"/>
      <c r="C1375" s="27"/>
      <c r="D1375" s="27"/>
      <c r="E1375" s="27"/>
      <c r="F1375" s="27"/>
      <c r="G1375" s="27"/>
      <c r="H1375" s="27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</row>
    <row r="1376">
      <c r="B1376" s="27"/>
      <c r="C1376" s="27"/>
      <c r="D1376" s="27"/>
      <c r="E1376" s="27"/>
      <c r="F1376" s="27"/>
      <c r="G1376" s="27"/>
      <c r="H1376" s="27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</row>
    <row r="1377">
      <c r="B1377" s="27"/>
      <c r="C1377" s="27"/>
      <c r="D1377" s="27"/>
      <c r="E1377" s="27"/>
      <c r="F1377" s="27"/>
      <c r="G1377" s="27"/>
      <c r="H1377" s="27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</row>
    <row r="1378">
      <c r="B1378" s="27"/>
      <c r="C1378" s="27"/>
      <c r="D1378" s="27"/>
      <c r="E1378" s="27"/>
      <c r="F1378" s="27"/>
      <c r="G1378" s="27"/>
      <c r="H1378" s="27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</row>
    <row r="1379">
      <c r="B1379" s="27"/>
      <c r="C1379" s="27"/>
      <c r="D1379" s="27"/>
      <c r="E1379" s="27"/>
      <c r="F1379" s="27"/>
      <c r="G1379" s="27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</row>
    <row r="1380">
      <c r="B1380" s="27"/>
      <c r="C1380" s="27"/>
      <c r="D1380" s="27"/>
      <c r="E1380" s="27"/>
      <c r="F1380" s="27"/>
      <c r="G1380" s="27"/>
      <c r="H1380" s="27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</row>
    <row r="1381">
      <c r="B1381" s="27"/>
      <c r="C1381" s="27"/>
      <c r="D1381" s="27"/>
      <c r="E1381" s="27"/>
      <c r="F1381" s="27"/>
      <c r="G1381" s="27"/>
      <c r="H1381" s="27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</row>
    <row r="1382">
      <c r="B1382" s="27"/>
      <c r="C1382" s="27"/>
      <c r="D1382" s="27"/>
      <c r="E1382" s="27"/>
      <c r="F1382" s="27"/>
      <c r="G1382" s="27"/>
      <c r="H1382" s="27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</row>
    <row r="1383">
      <c r="B1383" s="27"/>
      <c r="C1383" s="27"/>
      <c r="D1383" s="27"/>
      <c r="E1383" s="27"/>
      <c r="F1383" s="27"/>
      <c r="G1383" s="27"/>
      <c r="H1383" s="27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</row>
    <row r="1384">
      <c r="B1384" s="27"/>
      <c r="C1384" s="27"/>
      <c r="D1384" s="27"/>
      <c r="E1384" s="27"/>
      <c r="F1384" s="27"/>
      <c r="G1384" s="27"/>
      <c r="H1384" s="27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</row>
    <row r="1385">
      <c r="B1385" s="27"/>
      <c r="C1385" s="27"/>
      <c r="D1385" s="27"/>
      <c r="E1385" s="27"/>
      <c r="F1385" s="27"/>
      <c r="G1385" s="27"/>
      <c r="H1385" s="27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</row>
    <row r="1386">
      <c r="B1386" s="27"/>
      <c r="C1386" s="27"/>
      <c r="D1386" s="27"/>
      <c r="E1386" s="27"/>
      <c r="F1386" s="27"/>
      <c r="G1386" s="27"/>
      <c r="H1386" s="27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</row>
    <row r="1387">
      <c r="B1387" s="27"/>
      <c r="C1387" s="27"/>
      <c r="D1387" s="27"/>
      <c r="E1387" s="27"/>
      <c r="F1387" s="27"/>
      <c r="G1387" s="27"/>
      <c r="H1387" s="27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</row>
    <row r="1388">
      <c r="B1388" s="27"/>
      <c r="C1388" s="27"/>
      <c r="D1388" s="27"/>
      <c r="E1388" s="27"/>
      <c r="F1388" s="27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</row>
    <row r="1389">
      <c r="B1389" s="27"/>
      <c r="C1389" s="27"/>
      <c r="D1389" s="27"/>
      <c r="E1389" s="27"/>
      <c r="F1389" s="27"/>
      <c r="G1389" s="27"/>
      <c r="H1389" s="27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</row>
    <row r="1390">
      <c r="B1390" s="27"/>
      <c r="C1390" s="27"/>
      <c r="D1390" s="27"/>
      <c r="E1390" s="27"/>
      <c r="F1390" s="27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</row>
    <row r="1391">
      <c r="B1391" s="27"/>
      <c r="C1391" s="27"/>
      <c r="D1391" s="27"/>
      <c r="E1391" s="27"/>
      <c r="F1391" s="27"/>
      <c r="G1391" s="27"/>
      <c r="H1391" s="27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</row>
    <row r="1392">
      <c r="B1392" s="27"/>
      <c r="C1392" s="27"/>
      <c r="D1392" s="27"/>
      <c r="E1392" s="27"/>
      <c r="F1392" s="27"/>
      <c r="G1392" s="27"/>
      <c r="H1392" s="27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</row>
    <row r="1393">
      <c r="B1393" s="27"/>
      <c r="C1393" s="27"/>
      <c r="D1393" s="27"/>
      <c r="E1393" s="27"/>
      <c r="F1393" s="27"/>
      <c r="G1393" s="27"/>
      <c r="H1393" s="27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</row>
    <row r="1394">
      <c r="B1394" s="27"/>
      <c r="C1394" s="27"/>
      <c r="D1394" s="27"/>
      <c r="E1394" s="27"/>
      <c r="F1394" s="27"/>
      <c r="G1394" s="27"/>
      <c r="H1394" s="27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</row>
    <row r="1395">
      <c r="B1395" s="27"/>
      <c r="C1395" s="27"/>
      <c r="D1395" s="27"/>
      <c r="E1395" s="27"/>
      <c r="F1395" s="27"/>
      <c r="G1395" s="27"/>
      <c r="H1395" s="27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</row>
    <row r="1396">
      <c r="B1396" s="27"/>
      <c r="C1396" s="27"/>
      <c r="D1396" s="27"/>
      <c r="E1396" s="27"/>
      <c r="F1396" s="27"/>
      <c r="G1396" s="27"/>
      <c r="H1396" s="27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</row>
    <row r="1397">
      <c r="B1397" s="27"/>
      <c r="C1397" s="27"/>
      <c r="D1397" s="27"/>
      <c r="E1397" s="27"/>
      <c r="F1397" s="27"/>
      <c r="G1397" s="27"/>
      <c r="H1397" s="27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</row>
    <row r="1398">
      <c r="B1398" s="27"/>
      <c r="C1398" s="27"/>
      <c r="D1398" s="27"/>
      <c r="E1398" s="27"/>
      <c r="F1398" s="27"/>
      <c r="G1398" s="27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</row>
    <row r="1399">
      <c r="B1399" s="27"/>
      <c r="C1399" s="27"/>
      <c r="D1399" s="27"/>
      <c r="E1399" s="27"/>
      <c r="F1399" s="27"/>
      <c r="G1399" s="27"/>
      <c r="H1399" s="27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</row>
    <row r="1400">
      <c r="B1400" s="27"/>
      <c r="C1400" s="27"/>
      <c r="D1400" s="27"/>
      <c r="E1400" s="27"/>
      <c r="F1400" s="27"/>
      <c r="G1400" s="27"/>
      <c r="H1400" s="27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</row>
    <row r="1401">
      <c r="B1401" s="27"/>
      <c r="C1401" s="27"/>
      <c r="D1401" s="27"/>
      <c r="E1401" s="27"/>
      <c r="F1401" s="27"/>
      <c r="G1401" s="27"/>
      <c r="H1401" s="27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</row>
    <row r="1402">
      <c r="B1402" s="27"/>
      <c r="C1402" s="27"/>
      <c r="D1402" s="27"/>
      <c r="E1402" s="27"/>
      <c r="F1402" s="27"/>
      <c r="G1402" s="27"/>
      <c r="H1402" s="27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</row>
    <row r="1403">
      <c r="B1403" s="27"/>
      <c r="C1403" s="27"/>
      <c r="D1403" s="27"/>
      <c r="E1403" s="27"/>
      <c r="F1403" s="27"/>
      <c r="G1403" s="27"/>
      <c r="H1403" s="27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</row>
    <row r="1404">
      <c r="B1404" s="27"/>
      <c r="C1404" s="27"/>
      <c r="D1404" s="27"/>
      <c r="E1404" s="27"/>
      <c r="F1404" s="27"/>
      <c r="G1404" s="27"/>
      <c r="H1404" s="27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</row>
    <row r="1405">
      <c r="B1405" s="27"/>
      <c r="C1405" s="27"/>
      <c r="D1405" s="27"/>
      <c r="E1405" s="27"/>
      <c r="F1405" s="27"/>
      <c r="G1405" s="27"/>
      <c r="H1405" s="27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</row>
    <row r="1406">
      <c r="B1406" s="27"/>
      <c r="C1406" s="27"/>
      <c r="D1406" s="27"/>
      <c r="E1406" s="27"/>
      <c r="F1406" s="27"/>
      <c r="G1406" s="27"/>
      <c r="H1406" s="27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</row>
    <row r="1407">
      <c r="B1407" s="27"/>
      <c r="C1407" s="27"/>
      <c r="D1407" s="27"/>
      <c r="E1407" s="27"/>
      <c r="F1407" s="27"/>
      <c r="G1407" s="27"/>
      <c r="H1407" s="27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</row>
    <row r="1408">
      <c r="B1408" s="27"/>
      <c r="C1408" s="27"/>
      <c r="D1408" s="27"/>
      <c r="E1408" s="27"/>
      <c r="F1408" s="27"/>
      <c r="G1408" s="27"/>
      <c r="H1408" s="27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</row>
    <row r="1409">
      <c r="B1409" s="27"/>
      <c r="C1409" s="27"/>
      <c r="D1409" s="27"/>
      <c r="E1409" s="27"/>
      <c r="F1409" s="27"/>
      <c r="G1409" s="27"/>
      <c r="H1409" s="27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</row>
    <row r="1410">
      <c r="B1410" s="27"/>
      <c r="C1410" s="27"/>
      <c r="D1410" s="27"/>
      <c r="E1410" s="27"/>
      <c r="F1410" s="27"/>
      <c r="G1410" s="27"/>
      <c r="H1410" s="27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</row>
    <row r="1411">
      <c r="B1411" s="27"/>
      <c r="C1411" s="27"/>
      <c r="D1411" s="27"/>
      <c r="E1411" s="27"/>
      <c r="F1411" s="27"/>
      <c r="G1411" s="27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</row>
    <row r="1412">
      <c r="B1412" s="27"/>
      <c r="C1412" s="27"/>
      <c r="D1412" s="27"/>
      <c r="E1412" s="27"/>
      <c r="F1412" s="27"/>
      <c r="G1412" s="27"/>
      <c r="H1412" s="27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</row>
    <row r="1413">
      <c r="B1413" s="27"/>
      <c r="C1413" s="27"/>
      <c r="D1413" s="27"/>
      <c r="E1413" s="27"/>
      <c r="F1413" s="27"/>
      <c r="G1413" s="27"/>
      <c r="H1413" s="27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</row>
    <row r="1414">
      <c r="B1414" s="27"/>
      <c r="C1414" s="27"/>
      <c r="D1414" s="27"/>
      <c r="E1414" s="27"/>
      <c r="F1414" s="27"/>
      <c r="G1414" s="27"/>
      <c r="H1414" s="27"/>
      <c r="I1414" s="27"/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</row>
    <row r="1415">
      <c r="B1415" s="27"/>
      <c r="C1415" s="27"/>
      <c r="D1415" s="27"/>
      <c r="E1415" s="27"/>
      <c r="F1415" s="27"/>
      <c r="G1415" s="27"/>
      <c r="H1415" s="27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</row>
    <row r="1416">
      <c r="B1416" s="27"/>
      <c r="C1416" s="27"/>
      <c r="D1416" s="27"/>
      <c r="E1416" s="27"/>
      <c r="F1416" s="27"/>
      <c r="G1416" s="27"/>
      <c r="H1416" s="27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</row>
    <row r="1417">
      <c r="B1417" s="27"/>
      <c r="C1417" s="27"/>
      <c r="D1417" s="27"/>
      <c r="E1417" s="27"/>
      <c r="F1417" s="27"/>
      <c r="G1417" s="27"/>
      <c r="H1417" s="27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</row>
    <row r="1418">
      <c r="B1418" s="27"/>
      <c r="C1418" s="27"/>
      <c r="D1418" s="27"/>
      <c r="E1418" s="27"/>
      <c r="F1418" s="27"/>
      <c r="G1418" s="27"/>
      <c r="H1418" s="27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</row>
    <row r="1419">
      <c r="B1419" s="27"/>
      <c r="C1419" s="27"/>
      <c r="D1419" s="27"/>
      <c r="E1419" s="27"/>
      <c r="F1419" s="27"/>
      <c r="G1419" s="27"/>
      <c r="H1419" s="27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</row>
    <row r="1420">
      <c r="B1420" s="27"/>
      <c r="C1420" s="27"/>
      <c r="D1420" s="27"/>
      <c r="E1420" s="27"/>
      <c r="F1420" s="27"/>
      <c r="G1420" s="27"/>
      <c r="H1420" s="27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</row>
    <row r="1421">
      <c r="B1421" s="27"/>
      <c r="C1421" s="27"/>
      <c r="D1421" s="27"/>
      <c r="E1421" s="27"/>
      <c r="F1421" s="27"/>
      <c r="G1421" s="27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</row>
    <row r="1422">
      <c r="B1422" s="27"/>
      <c r="C1422" s="27"/>
      <c r="D1422" s="27"/>
      <c r="E1422" s="27"/>
      <c r="F1422" s="27"/>
      <c r="G1422" s="27"/>
      <c r="H1422" s="27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</row>
    <row r="1423">
      <c r="B1423" s="27"/>
      <c r="C1423" s="27"/>
      <c r="D1423" s="27"/>
      <c r="E1423" s="27"/>
      <c r="F1423" s="27"/>
      <c r="G1423" s="27"/>
      <c r="H1423" s="27"/>
      <c r="I1423" s="27"/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</row>
    <row r="1424">
      <c r="B1424" s="27"/>
      <c r="C1424" s="27"/>
      <c r="D1424" s="27"/>
      <c r="E1424" s="27"/>
      <c r="F1424" s="27"/>
      <c r="G1424" s="27"/>
      <c r="H1424" s="27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</row>
    <row r="1425">
      <c r="B1425" s="27"/>
      <c r="C1425" s="27"/>
      <c r="D1425" s="27"/>
      <c r="E1425" s="27"/>
      <c r="F1425" s="27"/>
      <c r="G1425" s="27"/>
      <c r="H1425" s="27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</row>
    <row r="1426">
      <c r="B1426" s="27"/>
      <c r="C1426" s="27"/>
      <c r="D1426" s="27"/>
      <c r="E1426" s="27"/>
      <c r="F1426" s="27"/>
      <c r="G1426" s="27"/>
      <c r="H1426" s="27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</row>
    <row r="1427">
      <c r="B1427" s="27"/>
      <c r="C1427" s="27"/>
      <c r="D1427" s="27"/>
      <c r="E1427" s="27"/>
      <c r="F1427" s="27"/>
      <c r="G1427" s="27"/>
      <c r="H1427" s="27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</row>
    <row r="1428">
      <c r="B1428" s="27"/>
      <c r="C1428" s="27"/>
      <c r="D1428" s="27"/>
      <c r="E1428" s="27"/>
      <c r="F1428" s="27"/>
      <c r="G1428" s="27"/>
      <c r="H1428" s="27"/>
      <c r="I1428" s="27"/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</row>
    <row r="1429">
      <c r="B1429" s="27"/>
      <c r="C1429" s="27"/>
      <c r="D1429" s="27"/>
      <c r="E1429" s="27"/>
      <c r="F1429" s="27"/>
      <c r="G1429" s="27"/>
      <c r="H1429" s="27"/>
      <c r="I1429" s="27"/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</row>
    <row r="1430">
      <c r="B1430" s="27"/>
      <c r="C1430" s="27"/>
      <c r="D1430" s="27"/>
      <c r="E1430" s="27"/>
      <c r="F1430" s="27"/>
      <c r="G1430" s="27"/>
      <c r="H1430" s="27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</row>
    <row r="1431">
      <c r="B1431" s="27"/>
      <c r="C1431" s="27"/>
      <c r="D1431" s="27"/>
      <c r="E1431" s="27"/>
      <c r="F1431" s="27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</row>
    <row r="1432">
      <c r="B1432" s="27"/>
      <c r="C1432" s="27"/>
      <c r="D1432" s="27"/>
      <c r="E1432" s="27"/>
      <c r="F1432" s="27"/>
      <c r="G1432" s="27"/>
      <c r="H1432" s="27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</row>
    <row r="1433">
      <c r="B1433" s="27"/>
      <c r="C1433" s="27"/>
      <c r="D1433" s="27"/>
      <c r="E1433" s="27"/>
      <c r="F1433" s="27"/>
      <c r="G1433" s="27"/>
      <c r="H1433" s="27"/>
      <c r="I1433" s="27"/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</row>
    <row r="1434">
      <c r="B1434" s="27"/>
      <c r="C1434" s="27"/>
      <c r="D1434" s="27"/>
      <c r="E1434" s="27"/>
      <c r="F1434" s="27"/>
      <c r="G1434" s="27"/>
      <c r="H1434" s="27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</row>
    <row r="1435">
      <c r="B1435" s="27"/>
      <c r="C1435" s="27"/>
      <c r="D1435" s="27"/>
      <c r="E1435" s="27"/>
      <c r="F1435" s="27"/>
      <c r="G1435" s="27"/>
      <c r="H1435" s="27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</row>
    <row r="1436">
      <c r="B1436" s="27"/>
      <c r="C1436" s="27"/>
      <c r="D1436" s="27"/>
      <c r="E1436" s="27"/>
      <c r="F1436" s="27"/>
      <c r="G1436" s="27"/>
      <c r="H1436" s="27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</row>
    <row r="1437">
      <c r="B1437" s="27"/>
      <c r="C1437" s="27"/>
      <c r="D1437" s="27"/>
      <c r="E1437" s="27"/>
      <c r="F1437" s="27"/>
      <c r="G1437" s="27"/>
      <c r="H1437" s="27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</row>
    <row r="1438">
      <c r="B1438" s="27"/>
      <c r="C1438" s="27"/>
      <c r="D1438" s="27"/>
      <c r="E1438" s="27"/>
      <c r="F1438" s="27"/>
      <c r="G1438" s="27"/>
      <c r="H1438" s="27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</row>
    <row r="1439">
      <c r="B1439" s="27"/>
      <c r="C1439" s="27"/>
      <c r="D1439" s="27"/>
      <c r="E1439" s="27"/>
      <c r="F1439" s="27"/>
      <c r="G1439" s="27"/>
      <c r="H1439" s="27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</row>
    <row r="1440">
      <c r="B1440" s="27"/>
      <c r="C1440" s="27"/>
      <c r="D1440" s="27"/>
      <c r="E1440" s="27"/>
      <c r="F1440" s="27"/>
      <c r="G1440" s="27"/>
      <c r="H1440" s="27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</row>
    <row r="1441">
      <c r="B1441" s="27"/>
      <c r="C1441" s="27"/>
      <c r="D1441" s="27"/>
      <c r="E1441" s="27"/>
      <c r="F1441" s="27"/>
      <c r="G1441" s="27"/>
      <c r="H1441" s="27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</row>
    <row r="1442">
      <c r="B1442" s="27"/>
      <c r="C1442" s="27"/>
      <c r="D1442" s="27"/>
      <c r="E1442" s="27"/>
      <c r="F1442" s="27"/>
      <c r="G1442" s="27"/>
      <c r="H1442" s="27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</row>
    <row r="1443">
      <c r="B1443" s="27"/>
      <c r="C1443" s="27"/>
      <c r="D1443" s="27"/>
      <c r="E1443" s="27"/>
      <c r="F1443" s="27"/>
      <c r="G1443" s="27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</row>
    <row r="1444">
      <c r="B1444" s="27"/>
      <c r="C1444" s="27"/>
      <c r="D1444" s="27"/>
      <c r="E1444" s="27"/>
      <c r="F1444" s="27"/>
      <c r="G1444" s="27"/>
      <c r="H1444" s="27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</row>
    <row r="1445">
      <c r="B1445" s="27"/>
      <c r="C1445" s="27"/>
      <c r="D1445" s="27"/>
      <c r="E1445" s="27"/>
      <c r="F1445" s="27"/>
      <c r="G1445" s="27"/>
      <c r="H1445" s="27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</row>
    <row r="1446">
      <c r="B1446" s="27"/>
      <c r="C1446" s="27"/>
      <c r="D1446" s="27"/>
      <c r="E1446" s="27"/>
      <c r="F1446" s="27"/>
      <c r="G1446" s="27"/>
      <c r="H1446" s="27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</row>
    <row r="1447">
      <c r="B1447" s="27"/>
      <c r="C1447" s="27"/>
      <c r="D1447" s="27"/>
      <c r="E1447" s="27"/>
      <c r="F1447" s="27"/>
      <c r="G1447" s="27"/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</row>
    <row r="1448">
      <c r="B1448" s="27"/>
      <c r="C1448" s="27"/>
      <c r="D1448" s="27"/>
      <c r="E1448" s="27"/>
      <c r="F1448" s="27"/>
      <c r="G1448" s="27"/>
      <c r="H1448" s="27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</row>
    <row r="1449">
      <c r="B1449" s="27"/>
      <c r="C1449" s="27"/>
      <c r="D1449" s="27"/>
      <c r="E1449" s="27"/>
      <c r="F1449" s="27"/>
      <c r="G1449" s="27"/>
      <c r="H1449" s="27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</row>
    <row r="1450">
      <c r="B1450" s="27"/>
      <c r="C1450" s="27"/>
      <c r="D1450" s="27"/>
      <c r="E1450" s="27"/>
      <c r="F1450" s="27"/>
      <c r="G1450" s="27"/>
      <c r="H1450" s="27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</row>
    <row r="1451">
      <c r="B1451" s="27"/>
      <c r="C1451" s="27"/>
      <c r="D1451" s="27"/>
      <c r="E1451" s="27"/>
      <c r="F1451" s="27"/>
      <c r="G1451" s="27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</row>
    <row r="1452">
      <c r="B1452" s="27"/>
      <c r="C1452" s="27"/>
      <c r="D1452" s="27"/>
      <c r="E1452" s="27"/>
      <c r="F1452" s="27"/>
      <c r="G1452" s="27"/>
      <c r="H1452" s="27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</row>
    <row r="1453">
      <c r="B1453" s="27"/>
      <c r="C1453" s="27"/>
      <c r="D1453" s="27"/>
      <c r="E1453" s="27"/>
      <c r="F1453" s="27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</row>
    <row r="1454">
      <c r="B1454" s="27"/>
      <c r="C1454" s="27"/>
      <c r="D1454" s="27"/>
      <c r="E1454" s="27"/>
      <c r="F1454" s="27"/>
      <c r="G1454" s="27"/>
      <c r="H1454" s="27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</row>
    <row r="1455">
      <c r="B1455" s="27"/>
      <c r="C1455" s="27"/>
      <c r="D1455" s="27"/>
      <c r="E1455" s="27"/>
      <c r="F1455" s="27"/>
      <c r="G1455" s="27"/>
      <c r="H1455" s="27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</row>
    <row r="1456">
      <c r="B1456" s="27"/>
      <c r="C1456" s="27"/>
      <c r="D1456" s="27"/>
      <c r="E1456" s="27"/>
      <c r="F1456" s="27"/>
      <c r="G1456" s="27"/>
      <c r="H1456" s="27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</row>
    <row r="1457">
      <c r="B1457" s="27"/>
      <c r="C1457" s="27"/>
      <c r="D1457" s="27"/>
      <c r="E1457" s="27"/>
      <c r="F1457" s="27"/>
      <c r="G1457" s="27"/>
      <c r="H1457" s="27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</row>
    <row r="1458">
      <c r="B1458" s="27"/>
      <c r="C1458" s="27"/>
      <c r="D1458" s="27"/>
      <c r="E1458" s="27"/>
      <c r="F1458" s="27"/>
      <c r="G1458" s="27"/>
      <c r="H1458" s="27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</row>
    <row r="1459">
      <c r="B1459" s="27"/>
      <c r="C1459" s="27"/>
      <c r="D1459" s="27"/>
      <c r="E1459" s="27"/>
      <c r="F1459" s="27"/>
      <c r="G1459" s="27"/>
      <c r="H1459" s="27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</row>
    <row r="1460">
      <c r="B1460" s="27"/>
      <c r="C1460" s="27"/>
      <c r="D1460" s="27"/>
      <c r="E1460" s="27"/>
      <c r="F1460" s="27"/>
      <c r="G1460" s="27"/>
      <c r="H1460" s="27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</row>
    <row r="1461">
      <c r="B1461" s="27"/>
      <c r="C1461" s="27"/>
      <c r="D1461" s="27"/>
      <c r="E1461" s="27"/>
      <c r="F1461" s="27"/>
      <c r="G1461" s="27"/>
      <c r="H1461" s="27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</row>
    <row r="1462">
      <c r="B1462" s="27"/>
      <c r="C1462" s="27"/>
      <c r="D1462" s="27"/>
      <c r="E1462" s="27"/>
      <c r="F1462" s="27"/>
      <c r="G1462" s="27"/>
      <c r="H1462" s="27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</row>
    <row r="1463">
      <c r="B1463" s="27"/>
      <c r="C1463" s="27"/>
      <c r="D1463" s="27"/>
      <c r="E1463" s="27"/>
      <c r="F1463" s="27"/>
      <c r="G1463" s="27"/>
      <c r="H1463" s="27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</row>
    <row r="1464">
      <c r="B1464" s="27"/>
      <c r="C1464" s="27"/>
      <c r="D1464" s="27"/>
      <c r="E1464" s="27"/>
      <c r="F1464" s="27"/>
      <c r="G1464" s="27"/>
      <c r="H1464" s="27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</row>
    <row r="1465">
      <c r="B1465" s="27"/>
      <c r="C1465" s="27"/>
      <c r="D1465" s="27"/>
      <c r="E1465" s="27"/>
      <c r="F1465" s="27"/>
      <c r="G1465" s="27"/>
      <c r="H1465" s="27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</row>
    <row r="1466">
      <c r="B1466" s="27"/>
      <c r="C1466" s="27"/>
      <c r="D1466" s="27"/>
      <c r="E1466" s="27"/>
      <c r="F1466" s="27"/>
      <c r="G1466" s="27"/>
      <c r="H1466" s="27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</row>
    <row r="1467">
      <c r="B1467" s="27"/>
      <c r="C1467" s="27"/>
      <c r="D1467" s="27"/>
      <c r="E1467" s="27"/>
      <c r="F1467" s="27"/>
      <c r="G1467" s="27"/>
      <c r="H1467" s="27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</row>
    <row r="1468">
      <c r="B1468" s="27"/>
      <c r="C1468" s="27"/>
      <c r="D1468" s="27"/>
      <c r="E1468" s="27"/>
      <c r="F1468" s="27"/>
      <c r="G1468" s="27"/>
      <c r="H1468" s="27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</row>
    <row r="1469">
      <c r="B1469" s="27"/>
      <c r="C1469" s="27"/>
      <c r="D1469" s="27"/>
      <c r="E1469" s="27"/>
      <c r="F1469" s="27"/>
      <c r="G1469" s="27"/>
      <c r="H1469" s="27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</row>
    <row r="1470">
      <c r="B1470" s="27"/>
      <c r="C1470" s="27"/>
      <c r="D1470" s="27"/>
      <c r="E1470" s="27"/>
      <c r="F1470" s="27"/>
      <c r="G1470" s="27"/>
      <c r="H1470" s="27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</row>
    <row r="1471">
      <c r="B1471" s="27"/>
      <c r="C1471" s="27"/>
      <c r="D1471" s="27"/>
      <c r="E1471" s="27"/>
      <c r="F1471" s="27"/>
      <c r="G1471" s="27"/>
      <c r="H1471" s="27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</row>
    <row r="1472">
      <c r="B1472" s="27"/>
      <c r="C1472" s="27"/>
      <c r="D1472" s="27"/>
      <c r="E1472" s="27"/>
      <c r="F1472" s="27"/>
      <c r="G1472" s="27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</row>
    <row r="1473">
      <c r="B1473" s="27"/>
      <c r="C1473" s="27"/>
      <c r="D1473" s="27"/>
      <c r="E1473" s="27"/>
      <c r="F1473" s="27"/>
      <c r="G1473" s="27"/>
      <c r="H1473" s="27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</row>
    <row r="1474">
      <c r="B1474" s="27"/>
      <c r="C1474" s="27"/>
      <c r="D1474" s="27"/>
      <c r="E1474" s="27"/>
      <c r="F1474" s="27"/>
      <c r="G1474" s="27"/>
      <c r="H1474" s="27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</row>
    <row r="1475">
      <c r="B1475" s="27"/>
      <c r="C1475" s="27"/>
      <c r="D1475" s="27"/>
      <c r="E1475" s="27"/>
      <c r="F1475" s="27"/>
      <c r="G1475" s="27"/>
      <c r="H1475" s="27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</row>
    <row r="1476">
      <c r="B1476" s="27"/>
      <c r="C1476" s="27"/>
      <c r="D1476" s="27"/>
      <c r="E1476" s="27"/>
      <c r="F1476" s="27"/>
      <c r="G1476" s="27"/>
      <c r="H1476" s="27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</row>
    <row r="1477">
      <c r="B1477" s="27"/>
      <c r="C1477" s="27"/>
      <c r="D1477" s="27"/>
      <c r="E1477" s="27"/>
      <c r="F1477" s="27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</row>
    <row r="1478">
      <c r="B1478" s="27"/>
      <c r="C1478" s="27"/>
      <c r="D1478" s="27"/>
      <c r="E1478" s="27"/>
      <c r="F1478" s="27"/>
      <c r="G1478" s="27"/>
      <c r="H1478" s="27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</row>
    <row r="1479">
      <c r="B1479" s="27"/>
      <c r="C1479" s="27"/>
      <c r="D1479" s="27"/>
      <c r="E1479" s="27"/>
      <c r="F1479" s="27"/>
      <c r="G1479" s="27"/>
      <c r="H1479" s="27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</row>
    <row r="1480">
      <c r="B1480" s="27"/>
      <c r="C1480" s="27"/>
      <c r="D1480" s="27"/>
      <c r="E1480" s="27"/>
      <c r="F1480" s="27"/>
      <c r="G1480" s="27"/>
      <c r="H1480" s="27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</row>
    <row r="1481">
      <c r="B1481" s="27"/>
      <c r="C1481" s="27"/>
      <c r="D1481" s="27"/>
      <c r="E1481" s="27"/>
      <c r="F1481" s="27"/>
      <c r="G1481" s="27"/>
      <c r="H1481" s="27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</row>
    <row r="1482">
      <c r="B1482" s="27"/>
      <c r="C1482" s="27"/>
      <c r="D1482" s="27"/>
      <c r="E1482" s="27"/>
      <c r="F1482" s="27"/>
      <c r="G1482" s="27"/>
      <c r="H1482" s="27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</row>
    <row r="1483">
      <c r="B1483" s="27"/>
      <c r="C1483" s="27"/>
      <c r="D1483" s="27"/>
      <c r="E1483" s="27"/>
      <c r="F1483" s="27"/>
      <c r="G1483" s="27"/>
      <c r="H1483" s="27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</row>
    <row r="1484">
      <c r="B1484" s="27"/>
      <c r="C1484" s="27"/>
      <c r="D1484" s="27"/>
      <c r="E1484" s="27"/>
      <c r="F1484" s="27"/>
      <c r="G1484" s="27"/>
      <c r="H1484" s="27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</row>
    <row r="1485">
      <c r="B1485" s="27"/>
      <c r="C1485" s="27"/>
      <c r="D1485" s="27"/>
      <c r="E1485" s="27"/>
      <c r="F1485" s="27"/>
      <c r="G1485" s="27"/>
      <c r="H1485" s="27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</row>
    <row r="1486">
      <c r="B1486" s="27"/>
      <c r="C1486" s="27"/>
      <c r="D1486" s="27"/>
      <c r="E1486" s="27"/>
      <c r="F1486" s="27"/>
      <c r="G1486" s="27"/>
      <c r="H1486" s="27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</row>
    <row r="1487">
      <c r="B1487" s="27"/>
      <c r="C1487" s="27"/>
      <c r="D1487" s="27"/>
      <c r="E1487" s="27"/>
      <c r="F1487" s="27"/>
      <c r="G1487" s="27"/>
      <c r="H1487" s="27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</row>
    <row r="1488">
      <c r="B1488" s="27"/>
      <c r="C1488" s="27"/>
      <c r="D1488" s="27"/>
      <c r="E1488" s="27"/>
      <c r="F1488" s="27"/>
      <c r="G1488" s="27"/>
      <c r="H1488" s="27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</row>
    <row r="1489">
      <c r="B1489" s="27"/>
      <c r="C1489" s="27"/>
      <c r="D1489" s="27"/>
      <c r="E1489" s="27"/>
      <c r="F1489" s="27"/>
      <c r="G1489" s="27"/>
      <c r="H1489" s="27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</row>
    <row r="1490">
      <c r="B1490" s="27"/>
      <c r="C1490" s="27"/>
      <c r="D1490" s="27"/>
      <c r="E1490" s="27"/>
      <c r="F1490" s="27"/>
      <c r="G1490" s="27"/>
      <c r="H1490" s="27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</row>
    <row r="1491">
      <c r="B1491" s="27"/>
      <c r="C1491" s="27"/>
      <c r="D1491" s="27"/>
      <c r="E1491" s="27"/>
      <c r="F1491" s="27"/>
      <c r="G1491" s="27"/>
      <c r="H1491" s="27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</row>
    <row r="1492">
      <c r="B1492" s="27"/>
      <c r="C1492" s="27"/>
      <c r="D1492" s="27"/>
      <c r="E1492" s="27"/>
      <c r="F1492" s="27"/>
      <c r="G1492" s="27"/>
      <c r="H1492" s="27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</row>
    <row r="1493">
      <c r="B1493" s="27"/>
      <c r="C1493" s="27"/>
      <c r="D1493" s="27"/>
      <c r="E1493" s="27"/>
      <c r="F1493" s="27"/>
      <c r="G1493" s="27"/>
      <c r="H1493" s="27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</row>
    <row r="1494">
      <c r="B1494" s="27"/>
      <c r="C1494" s="27"/>
      <c r="D1494" s="27"/>
      <c r="E1494" s="27"/>
      <c r="F1494" s="27"/>
      <c r="G1494" s="27"/>
      <c r="H1494" s="27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</row>
    <row r="1495">
      <c r="B1495" s="27"/>
      <c r="C1495" s="27"/>
      <c r="D1495" s="27"/>
      <c r="E1495" s="27"/>
      <c r="F1495" s="27"/>
      <c r="G1495" s="27"/>
      <c r="H1495" s="27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</row>
    <row r="1496">
      <c r="B1496" s="27"/>
      <c r="C1496" s="27"/>
      <c r="D1496" s="27"/>
      <c r="E1496" s="27"/>
      <c r="F1496" s="27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</row>
    <row r="1497">
      <c r="B1497" s="27"/>
      <c r="C1497" s="27"/>
      <c r="D1497" s="27"/>
      <c r="E1497" s="27"/>
      <c r="F1497" s="27"/>
      <c r="G1497" s="27"/>
      <c r="H1497" s="27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</row>
    <row r="1498">
      <c r="B1498" s="27"/>
      <c r="C1498" s="27"/>
      <c r="D1498" s="27"/>
      <c r="E1498" s="27"/>
      <c r="F1498" s="27"/>
      <c r="G1498" s="27"/>
      <c r="H1498" s="27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</row>
    <row r="1499">
      <c r="B1499" s="27"/>
      <c r="C1499" s="27"/>
      <c r="D1499" s="27"/>
      <c r="E1499" s="27"/>
      <c r="F1499" s="27"/>
      <c r="G1499" s="27"/>
      <c r="H1499" s="27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</row>
    <row r="1500">
      <c r="B1500" s="27"/>
      <c r="C1500" s="27"/>
      <c r="D1500" s="27"/>
      <c r="E1500" s="27"/>
      <c r="F1500" s="27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</row>
    <row r="1501">
      <c r="B1501" s="27"/>
      <c r="C1501" s="27"/>
      <c r="D1501" s="27"/>
      <c r="E1501" s="27"/>
      <c r="F1501" s="27"/>
      <c r="G1501" s="27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</row>
    <row r="1502">
      <c r="B1502" s="27"/>
      <c r="C1502" s="27"/>
      <c r="D1502" s="27"/>
      <c r="E1502" s="27"/>
      <c r="F1502" s="27"/>
      <c r="G1502" s="27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</row>
    <row r="1503">
      <c r="B1503" s="27"/>
      <c r="C1503" s="27"/>
      <c r="D1503" s="27"/>
      <c r="E1503" s="27"/>
      <c r="F1503" s="27"/>
      <c r="G1503" s="27"/>
      <c r="H1503" s="27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</row>
    <row r="1504">
      <c r="B1504" s="27"/>
      <c r="C1504" s="27"/>
      <c r="D1504" s="27"/>
      <c r="E1504" s="27"/>
      <c r="F1504" s="27"/>
      <c r="G1504" s="27"/>
      <c r="H1504" s="27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</row>
    <row r="1505">
      <c r="B1505" s="27"/>
      <c r="C1505" s="27"/>
      <c r="D1505" s="27"/>
      <c r="E1505" s="27"/>
      <c r="F1505" s="27"/>
      <c r="G1505" s="27"/>
      <c r="H1505" s="27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</row>
    <row r="1506">
      <c r="B1506" s="27"/>
      <c r="C1506" s="27"/>
      <c r="D1506" s="27"/>
      <c r="E1506" s="27"/>
      <c r="F1506" s="27"/>
      <c r="G1506" s="27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</row>
    <row r="1507">
      <c r="B1507" s="27"/>
      <c r="C1507" s="27"/>
      <c r="D1507" s="27"/>
      <c r="E1507" s="27"/>
      <c r="F1507" s="27"/>
      <c r="G1507" s="27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</row>
    <row r="1508">
      <c r="B1508" s="27"/>
      <c r="C1508" s="27"/>
      <c r="D1508" s="27"/>
      <c r="E1508" s="27"/>
      <c r="F1508" s="27"/>
      <c r="G1508" s="27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</row>
    <row r="1509">
      <c r="B1509" s="27"/>
      <c r="C1509" s="27"/>
      <c r="D1509" s="27"/>
      <c r="E1509" s="27"/>
      <c r="F1509" s="27"/>
      <c r="G1509" s="27"/>
      <c r="H1509" s="27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</row>
    <row r="1510">
      <c r="B1510" s="27"/>
      <c r="C1510" s="27"/>
      <c r="D1510" s="27"/>
      <c r="E1510" s="27"/>
      <c r="F1510" s="27"/>
      <c r="G1510" s="27"/>
      <c r="H1510" s="27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</row>
    <row r="1511">
      <c r="B1511" s="27"/>
      <c r="C1511" s="27"/>
      <c r="D1511" s="27"/>
      <c r="E1511" s="27"/>
      <c r="F1511" s="27"/>
      <c r="G1511" s="27"/>
      <c r="H1511" s="27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</row>
    <row r="1512">
      <c r="B1512" s="27"/>
      <c r="C1512" s="27"/>
      <c r="D1512" s="27"/>
      <c r="E1512" s="27"/>
      <c r="F1512" s="27"/>
      <c r="G1512" s="27"/>
      <c r="H1512" s="27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</row>
    <row r="1513">
      <c r="B1513" s="27"/>
      <c r="C1513" s="27"/>
      <c r="D1513" s="27"/>
      <c r="E1513" s="27"/>
      <c r="F1513" s="27"/>
      <c r="G1513" s="27"/>
      <c r="H1513" s="27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</row>
    <row r="1514">
      <c r="B1514" s="27"/>
      <c r="C1514" s="27"/>
      <c r="D1514" s="27"/>
      <c r="E1514" s="27"/>
      <c r="F1514" s="27"/>
      <c r="G1514" s="27"/>
      <c r="H1514" s="27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</row>
    <row r="1515">
      <c r="B1515" s="27"/>
      <c r="C1515" s="27"/>
      <c r="D1515" s="27"/>
      <c r="E1515" s="27"/>
      <c r="F1515" s="27"/>
      <c r="G1515" s="27"/>
      <c r="H1515" s="27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</row>
    <row r="1516">
      <c r="B1516" s="27"/>
      <c r="C1516" s="27"/>
      <c r="D1516" s="27"/>
      <c r="E1516" s="27"/>
      <c r="F1516" s="27"/>
      <c r="G1516" s="27"/>
      <c r="H1516" s="27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</row>
    <row r="1517">
      <c r="B1517" s="27"/>
      <c r="C1517" s="27"/>
      <c r="D1517" s="27"/>
      <c r="E1517" s="27"/>
      <c r="F1517" s="27"/>
      <c r="G1517" s="27"/>
      <c r="H1517" s="27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</row>
    <row r="1518">
      <c r="B1518" s="27"/>
      <c r="C1518" s="27"/>
      <c r="D1518" s="27"/>
      <c r="E1518" s="27"/>
      <c r="F1518" s="27"/>
      <c r="G1518" s="27"/>
      <c r="H1518" s="27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</row>
    <row r="1519">
      <c r="B1519" s="27"/>
      <c r="C1519" s="27"/>
      <c r="D1519" s="27"/>
      <c r="E1519" s="27"/>
      <c r="F1519" s="27"/>
      <c r="G1519" s="27"/>
      <c r="H1519" s="27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</row>
    <row r="1520">
      <c r="B1520" s="27"/>
      <c r="C1520" s="27"/>
      <c r="D1520" s="27"/>
      <c r="E1520" s="27"/>
      <c r="F1520" s="27"/>
      <c r="G1520" s="27"/>
      <c r="H1520" s="27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</row>
    <row r="1521">
      <c r="B1521" s="27"/>
      <c r="C1521" s="27"/>
      <c r="D1521" s="27"/>
      <c r="E1521" s="27"/>
      <c r="F1521" s="27"/>
      <c r="G1521" s="27"/>
      <c r="H1521" s="27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</row>
    <row r="1522">
      <c r="B1522" s="27"/>
      <c r="C1522" s="27"/>
      <c r="D1522" s="27"/>
      <c r="E1522" s="27"/>
      <c r="F1522" s="27"/>
      <c r="G1522" s="27"/>
      <c r="H1522" s="27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</row>
    <row r="1523">
      <c r="B1523" s="27"/>
      <c r="C1523" s="27"/>
      <c r="D1523" s="27"/>
      <c r="E1523" s="27"/>
      <c r="F1523" s="27"/>
      <c r="G1523" s="27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</row>
    <row r="1524">
      <c r="B1524" s="27"/>
      <c r="C1524" s="27"/>
      <c r="D1524" s="27"/>
      <c r="E1524" s="27"/>
      <c r="F1524" s="27"/>
      <c r="G1524" s="27"/>
      <c r="H1524" s="27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</row>
    <row r="1525">
      <c r="B1525" s="27"/>
      <c r="C1525" s="27"/>
      <c r="D1525" s="27"/>
      <c r="E1525" s="27"/>
      <c r="F1525" s="27"/>
      <c r="G1525" s="27"/>
      <c r="H1525" s="27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</row>
    <row r="1526">
      <c r="B1526" s="27"/>
      <c r="C1526" s="27"/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</row>
    <row r="1527">
      <c r="B1527" s="27"/>
      <c r="C1527" s="27"/>
      <c r="D1527" s="27"/>
      <c r="E1527" s="27"/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</row>
    <row r="1528">
      <c r="B1528" s="27"/>
      <c r="C1528" s="27"/>
      <c r="D1528" s="27"/>
      <c r="E1528" s="27"/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</row>
    <row r="1529">
      <c r="B1529" s="27"/>
      <c r="C1529" s="27"/>
      <c r="D1529" s="27"/>
      <c r="E1529" s="27"/>
      <c r="F1529" s="27"/>
      <c r="G1529" s="27"/>
      <c r="H1529" s="27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</row>
    <row r="1530">
      <c r="B1530" s="27"/>
      <c r="C1530" s="27"/>
      <c r="D1530" s="27"/>
      <c r="E1530" s="27"/>
      <c r="F1530" s="27"/>
      <c r="G1530" s="27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</row>
    <row r="1531">
      <c r="B1531" s="27"/>
      <c r="C1531" s="27"/>
      <c r="D1531" s="27"/>
      <c r="E1531" s="27"/>
      <c r="F1531" s="27"/>
      <c r="G1531" s="27"/>
      <c r="H1531" s="27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</row>
    <row r="1532">
      <c r="B1532" s="27"/>
      <c r="C1532" s="27"/>
      <c r="D1532" s="27"/>
      <c r="E1532" s="27"/>
      <c r="F1532" s="27"/>
      <c r="G1532" s="27"/>
      <c r="H1532" s="27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</row>
    <row r="1533">
      <c r="B1533" s="27"/>
      <c r="C1533" s="27"/>
      <c r="D1533" s="27"/>
      <c r="E1533" s="27"/>
      <c r="F1533" s="27"/>
      <c r="G1533" s="27"/>
      <c r="H1533" s="27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</row>
    <row r="1534">
      <c r="B1534" s="27"/>
      <c r="C1534" s="27"/>
      <c r="D1534" s="27"/>
      <c r="E1534" s="27"/>
      <c r="F1534" s="27"/>
      <c r="G1534" s="27"/>
      <c r="H1534" s="27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</row>
    <row r="1535">
      <c r="B1535" s="27"/>
      <c r="C1535" s="27"/>
      <c r="D1535" s="27"/>
      <c r="E1535" s="27"/>
      <c r="F1535" s="27"/>
      <c r="G1535" s="27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</row>
    <row r="1536">
      <c r="B1536" s="27"/>
      <c r="C1536" s="27"/>
      <c r="D1536" s="27"/>
      <c r="E1536" s="27"/>
      <c r="F1536" s="27"/>
      <c r="G1536" s="27"/>
      <c r="H1536" s="27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</row>
    <row r="1537">
      <c r="B1537" s="27"/>
      <c r="C1537" s="27"/>
      <c r="D1537" s="27"/>
      <c r="E1537" s="27"/>
      <c r="F1537" s="27"/>
      <c r="G1537" s="27"/>
      <c r="H1537" s="27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</row>
    <row r="1538">
      <c r="B1538" s="27"/>
      <c r="C1538" s="27"/>
      <c r="D1538" s="27"/>
      <c r="E1538" s="27"/>
      <c r="F1538" s="27"/>
      <c r="G1538" s="27"/>
      <c r="H1538" s="27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</row>
    <row r="1539">
      <c r="B1539" s="27"/>
      <c r="C1539" s="27"/>
      <c r="D1539" s="27"/>
      <c r="E1539" s="27"/>
      <c r="F1539" s="27"/>
      <c r="G1539" s="27"/>
      <c r="H1539" s="27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</row>
    <row r="1540">
      <c r="B1540" s="27"/>
      <c r="C1540" s="27"/>
      <c r="D1540" s="27"/>
      <c r="E1540" s="27"/>
      <c r="F1540" s="27"/>
      <c r="G1540" s="27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</row>
    <row r="1541">
      <c r="B1541" s="27"/>
      <c r="C1541" s="27"/>
      <c r="D1541" s="27"/>
      <c r="E1541" s="27"/>
      <c r="F1541" s="27"/>
      <c r="G1541" s="27"/>
      <c r="H1541" s="27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</row>
    <row r="1542">
      <c r="B1542" s="27"/>
      <c r="C1542" s="27"/>
      <c r="D1542" s="27"/>
      <c r="E1542" s="27"/>
      <c r="F1542" s="27"/>
      <c r="G1542" s="27"/>
      <c r="H1542" s="27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</row>
    <row r="1543">
      <c r="B1543" s="27"/>
      <c r="C1543" s="27"/>
      <c r="D1543" s="27"/>
      <c r="E1543" s="27"/>
      <c r="F1543" s="27"/>
      <c r="G1543" s="27"/>
      <c r="H1543" s="27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</row>
    <row r="1544">
      <c r="B1544" s="27"/>
      <c r="C1544" s="27"/>
      <c r="D1544" s="27"/>
      <c r="E1544" s="27"/>
      <c r="F1544" s="27"/>
      <c r="G1544" s="27"/>
      <c r="H1544" s="27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</row>
    <row r="1545">
      <c r="B1545" s="27"/>
      <c r="C1545" s="27"/>
      <c r="D1545" s="27"/>
      <c r="E1545" s="27"/>
      <c r="F1545" s="27"/>
      <c r="G1545" s="27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</row>
    <row r="1546">
      <c r="B1546" s="27"/>
      <c r="C1546" s="27"/>
      <c r="D1546" s="27"/>
      <c r="E1546" s="27"/>
      <c r="F1546" s="27"/>
      <c r="G1546" s="27"/>
      <c r="H1546" s="27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</row>
    <row r="1547">
      <c r="B1547" s="27"/>
      <c r="C1547" s="27"/>
      <c r="D1547" s="27"/>
      <c r="E1547" s="27"/>
      <c r="F1547" s="27"/>
      <c r="G1547" s="27"/>
      <c r="H1547" s="27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</row>
    <row r="1548">
      <c r="B1548" s="27"/>
      <c r="C1548" s="27"/>
      <c r="D1548" s="27"/>
      <c r="E1548" s="27"/>
      <c r="F1548" s="27"/>
      <c r="G1548" s="27"/>
      <c r="H1548" s="27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</row>
    <row r="1549">
      <c r="B1549" s="27"/>
      <c r="C1549" s="27"/>
      <c r="D1549" s="27"/>
      <c r="E1549" s="27"/>
      <c r="F1549" s="27"/>
      <c r="G1549" s="27"/>
      <c r="H1549" s="27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</row>
    <row r="1550">
      <c r="B1550" s="27"/>
      <c r="C1550" s="27"/>
      <c r="D1550" s="27"/>
      <c r="E1550" s="27"/>
      <c r="F1550" s="27"/>
      <c r="G1550" s="27"/>
      <c r="H1550" s="27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</row>
    <row r="1551">
      <c r="B1551" s="27"/>
      <c r="C1551" s="27"/>
      <c r="D1551" s="27"/>
      <c r="E1551" s="27"/>
      <c r="F1551" s="27"/>
      <c r="G1551" s="27"/>
      <c r="H1551" s="27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</row>
    <row r="1552">
      <c r="B1552" s="27"/>
      <c r="C1552" s="27"/>
      <c r="D1552" s="27"/>
      <c r="E1552" s="27"/>
      <c r="F1552" s="27"/>
      <c r="G1552" s="27"/>
      <c r="H1552" s="27"/>
      <c r="I1552" s="27"/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</row>
    <row r="1553">
      <c r="B1553" s="27"/>
      <c r="C1553" s="27"/>
      <c r="D1553" s="27"/>
      <c r="E1553" s="27"/>
      <c r="F1553" s="27"/>
      <c r="G1553" s="27"/>
      <c r="H1553" s="27"/>
      <c r="I1553" s="27"/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</row>
    <row r="1554">
      <c r="B1554" s="27"/>
      <c r="C1554" s="27"/>
      <c r="D1554" s="27"/>
      <c r="E1554" s="27"/>
      <c r="F1554" s="27"/>
      <c r="G1554" s="27"/>
      <c r="H1554" s="27"/>
      <c r="I1554" s="27"/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</row>
    <row r="1555">
      <c r="B1555" s="27"/>
      <c r="C1555" s="27"/>
      <c r="D1555" s="27"/>
      <c r="E1555" s="27"/>
      <c r="F1555" s="27"/>
      <c r="G1555" s="27"/>
      <c r="H1555" s="27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</row>
    <row r="1556">
      <c r="B1556" s="27"/>
      <c r="C1556" s="27"/>
      <c r="D1556" s="27"/>
      <c r="E1556" s="27"/>
      <c r="F1556" s="27"/>
      <c r="G1556" s="27"/>
      <c r="H1556" s="27"/>
      <c r="I1556" s="27"/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</row>
    <row r="1557">
      <c r="B1557" s="27"/>
      <c r="C1557" s="27"/>
      <c r="D1557" s="27"/>
      <c r="E1557" s="27"/>
      <c r="F1557" s="27"/>
      <c r="G1557" s="27"/>
      <c r="H1557" s="27"/>
      <c r="I1557" s="27"/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</row>
    <row r="1558">
      <c r="B1558" s="27"/>
      <c r="C1558" s="27"/>
      <c r="D1558" s="27"/>
      <c r="E1558" s="27"/>
      <c r="F1558" s="27"/>
      <c r="G1558" s="27"/>
      <c r="H1558" s="27"/>
      <c r="I1558" s="27"/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</row>
    <row r="1559">
      <c r="B1559" s="27"/>
      <c r="C1559" s="27"/>
      <c r="D1559" s="27"/>
      <c r="E1559" s="27"/>
      <c r="F1559" s="27"/>
      <c r="G1559" s="27"/>
      <c r="H1559" s="27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</row>
    <row r="1560">
      <c r="B1560" s="27"/>
      <c r="C1560" s="27"/>
      <c r="D1560" s="27"/>
      <c r="E1560" s="27"/>
      <c r="F1560" s="27"/>
      <c r="G1560" s="27"/>
      <c r="H1560" s="27"/>
      <c r="I1560" s="27"/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</row>
    <row r="1561">
      <c r="B1561" s="27"/>
      <c r="C1561" s="27"/>
      <c r="D1561" s="27"/>
      <c r="E1561" s="27"/>
      <c r="F1561" s="27"/>
      <c r="G1561" s="27"/>
      <c r="H1561" s="27"/>
      <c r="I1561" s="27"/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</row>
    <row r="1562">
      <c r="B1562" s="27"/>
      <c r="C1562" s="27"/>
      <c r="D1562" s="27"/>
      <c r="E1562" s="27"/>
      <c r="F1562" s="27"/>
      <c r="G1562" s="27"/>
      <c r="H1562" s="27"/>
      <c r="I1562" s="27"/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</row>
    <row r="1563">
      <c r="B1563" s="27"/>
      <c r="C1563" s="27"/>
      <c r="D1563" s="27"/>
      <c r="E1563" s="27"/>
      <c r="F1563" s="27"/>
      <c r="G1563" s="27"/>
      <c r="H1563" s="27"/>
      <c r="I1563" s="27"/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</row>
    <row r="1564">
      <c r="B1564" s="27"/>
      <c r="C1564" s="27"/>
      <c r="D1564" s="27"/>
      <c r="E1564" s="27"/>
      <c r="F1564" s="27"/>
      <c r="G1564" s="27"/>
      <c r="H1564" s="27"/>
      <c r="I1564" s="27"/>
      <c r="J1564" s="27"/>
      <c r="K1564" s="27"/>
      <c r="L1564" s="27"/>
      <c r="M1564" s="27"/>
      <c r="N1564" s="27"/>
      <c r="O1564" s="27"/>
      <c r="P1564" s="27"/>
      <c r="Q1564" s="27"/>
      <c r="R1564" s="27"/>
      <c r="S1564" s="27"/>
    </row>
    <row r="1565">
      <c r="B1565" s="27"/>
      <c r="C1565" s="27"/>
      <c r="D1565" s="27"/>
      <c r="E1565" s="27"/>
      <c r="F1565" s="27"/>
      <c r="G1565" s="27"/>
      <c r="H1565" s="27"/>
      <c r="I1565" s="27"/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</row>
    <row r="1566">
      <c r="B1566" s="27"/>
      <c r="C1566" s="27"/>
      <c r="D1566" s="27"/>
      <c r="E1566" s="27"/>
      <c r="F1566" s="27"/>
      <c r="G1566" s="27"/>
      <c r="H1566" s="27"/>
      <c r="I1566" s="27"/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</row>
    <row r="1567">
      <c r="B1567" s="27"/>
      <c r="C1567" s="27"/>
      <c r="D1567" s="27"/>
      <c r="E1567" s="27"/>
      <c r="F1567" s="27"/>
      <c r="G1567" s="27"/>
      <c r="H1567" s="27"/>
      <c r="I1567" s="27"/>
      <c r="J1567" s="27"/>
      <c r="K1567" s="27"/>
      <c r="L1567" s="27"/>
      <c r="M1567" s="27"/>
      <c r="N1567" s="27"/>
      <c r="O1567" s="27"/>
      <c r="P1567" s="27"/>
      <c r="Q1567" s="27"/>
      <c r="R1567" s="27"/>
      <c r="S1567" s="27"/>
    </row>
    <row r="1568">
      <c r="B1568" s="27"/>
      <c r="C1568" s="27"/>
      <c r="D1568" s="27"/>
      <c r="E1568" s="27"/>
      <c r="F1568" s="27"/>
      <c r="G1568" s="27"/>
      <c r="H1568" s="27"/>
      <c r="I1568" s="27"/>
      <c r="J1568" s="27"/>
      <c r="K1568" s="27"/>
      <c r="L1568" s="27"/>
      <c r="M1568" s="27"/>
      <c r="N1568" s="27"/>
      <c r="O1568" s="27"/>
      <c r="P1568" s="27"/>
      <c r="Q1568" s="27"/>
      <c r="R1568" s="27"/>
      <c r="S1568" s="27"/>
    </row>
    <row r="1569">
      <c r="B1569" s="27"/>
      <c r="C1569" s="27"/>
      <c r="D1569" s="27"/>
      <c r="E1569" s="27"/>
      <c r="F1569" s="27"/>
      <c r="G1569" s="27"/>
      <c r="H1569" s="27"/>
      <c r="I1569" s="27"/>
      <c r="J1569" s="27"/>
      <c r="K1569" s="27"/>
      <c r="L1569" s="27"/>
      <c r="M1569" s="27"/>
      <c r="N1569" s="27"/>
      <c r="O1569" s="27"/>
      <c r="P1569" s="27"/>
      <c r="Q1569" s="27"/>
      <c r="R1569" s="27"/>
      <c r="S1569" s="27"/>
    </row>
    <row r="1570">
      <c r="B1570" s="27"/>
      <c r="C1570" s="27"/>
      <c r="D1570" s="27"/>
      <c r="E1570" s="27"/>
      <c r="F1570" s="27"/>
      <c r="G1570" s="27"/>
      <c r="H1570" s="27"/>
      <c r="I1570" s="27"/>
      <c r="J1570" s="27"/>
      <c r="K1570" s="27"/>
      <c r="L1570" s="27"/>
      <c r="M1570" s="27"/>
      <c r="N1570" s="27"/>
      <c r="O1570" s="27"/>
      <c r="P1570" s="27"/>
      <c r="Q1570" s="27"/>
      <c r="R1570" s="27"/>
      <c r="S1570" s="27"/>
    </row>
    <row r="1571">
      <c r="B1571" s="27"/>
      <c r="C1571" s="27"/>
      <c r="D1571" s="27"/>
      <c r="E1571" s="27"/>
      <c r="F1571" s="27"/>
      <c r="G1571" s="27"/>
      <c r="H1571" s="27"/>
      <c r="I1571" s="27"/>
      <c r="J1571" s="27"/>
      <c r="K1571" s="27"/>
      <c r="L1571" s="27"/>
      <c r="M1571" s="27"/>
      <c r="N1571" s="27"/>
      <c r="O1571" s="27"/>
      <c r="P1571" s="27"/>
      <c r="Q1571" s="27"/>
      <c r="R1571" s="27"/>
      <c r="S1571" s="27"/>
    </row>
    <row r="1572">
      <c r="B1572" s="27"/>
      <c r="C1572" s="27"/>
      <c r="D1572" s="27"/>
      <c r="E1572" s="27"/>
      <c r="F1572" s="27"/>
      <c r="G1572" s="27"/>
      <c r="H1572" s="27"/>
      <c r="I1572" s="27"/>
      <c r="J1572" s="27"/>
      <c r="K1572" s="27"/>
      <c r="L1572" s="27"/>
      <c r="M1572" s="27"/>
      <c r="N1572" s="27"/>
      <c r="O1572" s="27"/>
      <c r="P1572" s="27"/>
      <c r="Q1572" s="27"/>
      <c r="R1572" s="27"/>
      <c r="S1572" s="27"/>
    </row>
    <row r="1573">
      <c r="B1573" s="27"/>
      <c r="C1573" s="27"/>
      <c r="D1573" s="27"/>
      <c r="E1573" s="27"/>
      <c r="F1573" s="27"/>
      <c r="G1573" s="27"/>
      <c r="H1573" s="27"/>
      <c r="I1573" s="27"/>
      <c r="J1573" s="27"/>
      <c r="K1573" s="27"/>
      <c r="L1573" s="27"/>
      <c r="M1573" s="27"/>
      <c r="N1573" s="27"/>
      <c r="O1573" s="27"/>
      <c r="P1573" s="27"/>
      <c r="Q1573" s="27"/>
      <c r="R1573" s="27"/>
      <c r="S1573" s="27"/>
    </row>
    <row r="1574">
      <c r="B1574" s="27"/>
      <c r="C1574" s="27"/>
      <c r="D1574" s="27"/>
      <c r="E1574" s="27"/>
      <c r="F1574" s="27"/>
      <c r="G1574" s="27"/>
      <c r="H1574" s="27"/>
      <c r="I1574" s="27"/>
      <c r="J1574" s="27"/>
      <c r="K1574" s="27"/>
      <c r="L1574" s="27"/>
      <c r="M1574" s="27"/>
      <c r="N1574" s="27"/>
      <c r="O1574" s="27"/>
      <c r="P1574" s="27"/>
      <c r="Q1574" s="27"/>
      <c r="R1574" s="27"/>
      <c r="S1574" s="27"/>
    </row>
    <row r="1575">
      <c r="B1575" s="27"/>
      <c r="C1575" s="27"/>
      <c r="D1575" s="27"/>
      <c r="E1575" s="27"/>
      <c r="F1575" s="27"/>
      <c r="G1575" s="27"/>
      <c r="H1575" s="27"/>
      <c r="I1575" s="27"/>
      <c r="J1575" s="27"/>
      <c r="K1575" s="27"/>
      <c r="L1575" s="27"/>
      <c r="M1575" s="27"/>
      <c r="N1575" s="27"/>
      <c r="O1575" s="27"/>
      <c r="P1575" s="27"/>
      <c r="Q1575" s="27"/>
      <c r="R1575" s="27"/>
      <c r="S1575" s="27"/>
    </row>
    <row r="1576">
      <c r="B1576" s="27"/>
      <c r="C1576" s="27"/>
      <c r="D1576" s="27"/>
      <c r="E1576" s="27"/>
      <c r="F1576" s="27"/>
      <c r="G1576" s="27"/>
      <c r="H1576" s="27"/>
      <c r="I1576" s="27"/>
      <c r="J1576" s="27"/>
      <c r="K1576" s="27"/>
      <c r="L1576" s="27"/>
      <c r="M1576" s="27"/>
      <c r="N1576" s="27"/>
      <c r="O1576" s="27"/>
      <c r="P1576" s="27"/>
      <c r="Q1576" s="27"/>
      <c r="R1576" s="27"/>
      <c r="S1576" s="27"/>
    </row>
    <row r="1577">
      <c r="B1577" s="27"/>
      <c r="C1577" s="27"/>
      <c r="D1577" s="27"/>
      <c r="E1577" s="27"/>
      <c r="F1577" s="27"/>
      <c r="G1577" s="27"/>
      <c r="H1577" s="27"/>
      <c r="I1577" s="27"/>
      <c r="J1577" s="27"/>
      <c r="K1577" s="27"/>
      <c r="L1577" s="27"/>
      <c r="M1577" s="27"/>
      <c r="N1577" s="27"/>
      <c r="O1577" s="27"/>
      <c r="P1577" s="27"/>
      <c r="Q1577" s="27"/>
      <c r="R1577" s="27"/>
      <c r="S1577" s="27"/>
    </row>
    <row r="1578">
      <c r="B1578" s="27"/>
      <c r="C1578" s="27"/>
      <c r="D1578" s="27"/>
      <c r="E1578" s="27"/>
      <c r="F1578" s="27"/>
      <c r="G1578" s="27"/>
      <c r="H1578" s="27"/>
      <c r="I1578" s="27"/>
      <c r="J1578" s="27"/>
      <c r="K1578" s="27"/>
      <c r="L1578" s="27"/>
      <c r="M1578" s="27"/>
      <c r="N1578" s="27"/>
      <c r="O1578" s="27"/>
      <c r="P1578" s="27"/>
      <c r="Q1578" s="27"/>
      <c r="R1578" s="27"/>
      <c r="S1578" s="27"/>
    </row>
    <row r="1579">
      <c r="B1579" s="27"/>
      <c r="C1579" s="27"/>
      <c r="D1579" s="27"/>
      <c r="E1579" s="27"/>
      <c r="F1579" s="27"/>
      <c r="G1579" s="27"/>
      <c r="H1579" s="27"/>
      <c r="I1579" s="27"/>
      <c r="J1579" s="27"/>
      <c r="K1579" s="27"/>
      <c r="L1579" s="27"/>
      <c r="M1579" s="27"/>
      <c r="N1579" s="27"/>
      <c r="O1579" s="27"/>
      <c r="P1579" s="27"/>
      <c r="Q1579" s="27"/>
      <c r="R1579" s="27"/>
      <c r="S1579" s="27"/>
    </row>
    <row r="1580">
      <c r="B1580" s="27"/>
      <c r="C1580" s="27"/>
      <c r="D1580" s="27"/>
      <c r="E1580" s="27"/>
      <c r="F1580" s="27"/>
      <c r="G1580" s="27"/>
      <c r="H1580" s="27"/>
      <c r="I1580" s="27"/>
      <c r="J1580" s="27"/>
      <c r="K1580" s="27"/>
      <c r="L1580" s="27"/>
      <c r="M1580" s="27"/>
      <c r="N1580" s="27"/>
      <c r="O1580" s="27"/>
      <c r="P1580" s="27"/>
      <c r="Q1580" s="27"/>
      <c r="R1580" s="27"/>
      <c r="S1580" s="27"/>
    </row>
    <row r="1581">
      <c r="B1581" s="27"/>
      <c r="C1581" s="27"/>
      <c r="D1581" s="27"/>
      <c r="E1581" s="27"/>
      <c r="F1581" s="27"/>
      <c r="G1581" s="27"/>
      <c r="H1581" s="27"/>
      <c r="I1581" s="27"/>
      <c r="J1581" s="27"/>
      <c r="K1581" s="27"/>
      <c r="L1581" s="27"/>
      <c r="M1581" s="27"/>
      <c r="N1581" s="27"/>
      <c r="O1581" s="27"/>
      <c r="P1581" s="27"/>
      <c r="Q1581" s="27"/>
      <c r="R1581" s="27"/>
      <c r="S1581" s="27"/>
    </row>
    <row r="1582">
      <c r="B1582" s="27"/>
      <c r="C1582" s="27"/>
      <c r="D1582" s="27"/>
      <c r="E1582" s="27"/>
      <c r="F1582" s="27"/>
      <c r="G1582" s="27"/>
      <c r="H1582" s="27"/>
      <c r="I1582" s="27"/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</row>
    <row r="1583">
      <c r="B1583" s="27"/>
      <c r="C1583" s="27"/>
      <c r="D1583" s="27"/>
      <c r="E1583" s="27"/>
      <c r="F1583" s="27"/>
      <c r="G1583" s="27"/>
      <c r="H1583" s="27"/>
      <c r="I1583" s="27"/>
      <c r="J1583" s="27"/>
      <c r="K1583" s="27"/>
      <c r="L1583" s="27"/>
      <c r="M1583" s="27"/>
      <c r="N1583" s="27"/>
      <c r="O1583" s="27"/>
      <c r="P1583" s="27"/>
      <c r="Q1583" s="27"/>
      <c r="R1583" s="27"/>
      <c r="S1583" s="27"/>
    </row>
    <row r="1584">
      <c r="B1584" s="27"/>
      <c r="C1584" s="27"/>
      <c r="D1584" s="27"/>
      <c r="E1584" s="27"/>
      <c r="F1584" s="27"/>
      <c r="G1584" s="27"/>
      <c r="H1584" s="27"/>
      <c r="I1584" s="27"/>
      <c r="J1584" s="27"/>
      <c r="K1584" s="27"/>
      <c r="L1584" s="27"/>
      <c r="M1584" s="27"/>
      <c r="N1584" s="27"/>
      <c r="O1584" s="27"/>
      <c r="P1584" s="27"/>
      <c r="Q1584" s="27"/>
      <c r="R1584" s="27"/>
      <c r="S1584" s="27"/>
    </row>
    <row r="1585">
      <c r="B1585" s="27"/>
      <c r="C1585" s="27"/>
      <c r="D1585" s="27"/>
      <c r="E1585" s="27"/>
      <c r="F1585" s="27"/>
      <c r="G1585" s="27"/>
      <c r="H1585" s="27"/>
      <c r="I1585" s="27"/>
      <c r="J1585" s="27"/>
      <c r="K1585" s="27"/>
      <c r="L1585" s="27"/>
      <c r="M1585" s="27"/>
      <c r="N1585" s="27"/>
      <c r="O1585" s="27"/>
      <c r="P1585" s="27"/>
      <c r="Q1585" s="27"/>
      <c r="R1585" s="27"/>
      <c r="S1585" s="27"/>
    </row>
    <row r="1586">
      <c r="B1586" s="27"/>
      <c r="C1586" s="27"/>
      <c r="D1586" s="27"/>
      <c r="E1586" s="27"/>
      <c r="F1586" s="27"/>
      <c r="G1586" s="27"/>
      <c r="H1586" s="27"/>
      <c r="I1586" s="27"/>
      <c r="J1586" s="27"/>
      <c r="K1586" s="27"/>
      <c r="L1586" s="27"/>
      <c r="M1586" s="27"/>
      <c r="N1586" s="27"/>
      <c r="O1586" s="27"/>
      <c r="P1586" s="27"/>
      <c r="Q1586" s="27"/>
      <c r="R1586" s="27"/>
      <c r="S1586" s="27"/>
    </row>
    <row r="1587">
      <c r="B1587" s="27"/>
      <c r="C1587" s="27"/>
      <c r="D1587" s="27"/>
      <c r="E1587" s="27"/>
      <c r="F1587" s="27"/>
      <c r="G1587" s="27"/>
      <c r="H1587" s="27"/>
      <c r="I1587" s="27"/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</row>
    <row r="1588">
      <c r="B1588" s="27"/>
      <c r="C1588" s="27"/>
      <c r="D1588" s="27"/>
      <c r="E1588" s="27"/>
      <c r="F1588" s="27"/>
      <c r="G1588" s="27"/>
      <c r="H1588" s="27"/>
      <c r="I1588" s="27"/>
      <c r="J1588" s="27"/>
      <c r="K1588" s="27"/>
      <c r="L1588" s="27"/>
      <c r="M1588" s="27"/>
      <c r="N1588" s="27"/>
      <c r="O1588" s="27"/>
      <c r="P1588" s="27"/>
      <c r="Q1588" s="27"/>
      <c r="R1588" s="27"/>
      <c r="S1588" s="27"/>
    </row>
    <row r="1589">
      <c r="B1589" s="27"/>
      <c r="C1589" s="27"/>
      <c r="D1589" s="27"/>
      <c r="E1589" s="27"/>
      <c r="F1589" s="27"/>
      <c r="G1589" s="27"/>
      <c r="H1589" s="27"/>
      <c r="I1589" s="27"/>
      <c r="J1589" s="27"/>
      <c r="K1589" s="27"/>
      <c r="L1589" s="27"/>
      <c r="M1589" s="27"/>
      <c r="N1589" s="27"/>
      <c r="O1589" s="27"/>
      <c r="P1589" s="27"/>
      <c r="Q1589" s="27"/>
      <c r="R1589" s="27"/>
      <c r="S1589" s="27"/>
    </row>
    <row r="1590">
      <c r="B1590" s="27"/>
      <c r="C1590" s="27"/>
      <c r="D1590" s="27"/>
      <c r="E1590" s="27"/>
      <c r="F1590" s="27"/>
      <c r="G1590" s="27"/>
      <c r="H1590" s="27"/>
      <c r="I1590" s="27"/>
      <c r="J1590" s="27"/>
      <c r="K1590" s="27"/>
      <c r="L1590" s="27"/>
      <c r="M1590" s="27"/>
      <c r="N1590" s="27"/>
      <c r="O1590" s="27"/>
      <c r="P1590" s="27"/>
      <c r="Q1590" s="27"/>
      <c r="R1590" s="27"/>
      <c r="S1590" s="27"/>
    </row>
    <row r="1591">
      <c r="B1591" s="27"/>
      <c r="C1591" s="27"/>
      <c r="D1591" s="27"/>
      <c r="E1591" s="27"/>
      <c r="F1591" s="27"/>
      <c r="G1591" s="27"/>
      <c r="H1591" s="27"/>
      <c r="I1591" s="27"/>
      <c r="J1591" s="27"/>
      <c r="K1591" s="27"/>
      <c r="L1591" s="27"/>
      <c r="M1591" s="27"/>
      <c r="N1591" s="27"/>
      <c r="O1591" s="27"/>
      <c r="P1591" s="27"/>
      <c r="Q1591" s="27"/>
      <c r="R1591" s="27"/>
      <c r="S1591" s="27"/>
    </row>
    <row r="1592">
      <c r="B1592" s="27"/>
      <c r="C1592" s="27"/>
      <c r="D1592" s="27"/>
      <c r="E1592" s="27"/>
      <c r="F1592" s="27"/>
      <c r="G1592" s="27"/>
      <c r="H1592" s="27"/>
      <c r="I1592" s="27"/>
      <c r="J1592" s="27"/>
      <c r="K1592" s="27"/>
      <c r="L1592" s="27"/>
      <c r="M1592" s="27"/>
      <c r="N1592" s="27"/>
      <c r="O1592" s="27"/>
      <c r="P1592" s="27"/>
      <c r="Q1592" s="27"/>
      <c r="R1592" s="27"/>
      <c r="S1592" s="27"/>
    </row>
    <row r="1593">
      <c r="B1593" s="27"/>
      <c r="C1593" s="27"/>
      <c r="D1593" s="27"/>
      <c r="E1593" s="27"/>
      <c r="F1593" s="27"/>
      <c r="G1593" s="27"/>
      <c r="H1593" s="27"/>
      <c r="I1593" s="27"/>
      <c r="J1593" s="27"/>
      <c r="K1593" s="27"/>
      <c r="L1593" s="27"/>
      <c r="M1593" s="27"/>
      <c r="N1593" s="27"/>
      <c r="O1593" s="27"/>
      <c r="P1593" s="27"/>
      <c r="Q1593" s="27"/>
      <c r="R1593" s="27"/>
      <c r="S1593" s="27"/>
    </row>
    <row r="1594">
      <c r="B1594" s="27"/>
      <c r="C1594" s="27"/>
      <c r="D1594" s="27"/>
      <c r="E1594" s="27"/>
      <c r="F1594" s="27"/>
      <c r="G1594" s="27"/>
      <c r="H1594" s="27"/>
      <c r="I1594" s="27"/>
      <c r="J1594" s="27"/>
      <c r="K1594" s="27"/>
      <c r="L1594" s="27"/>
      <c r="M1594" s="27"/>
      <c r="N1594" s="27"/>
      <c r="O1594" s="27"/>
      <c r="P1594" s="27"/>
      <c r="Q1594" s="27"/>
      <c r="R1594" s="27"/>
      <c r="S1594" s="27"/>
    </row>
    <row r="1595">
      <c r="B1595" s="27"/>
      <c r="C1595" s="27"/>
      <c r="D1595" s="27"/>
      <c r="E1595" s="27"/>
      <c r="F1595" s="27"/>
      <c r="G1595" s="27"/>
      <c r="H1595" s="27"/>
      <c r="I1595" s="27"/>
      <c r="J1595" s="27"/>
      <c r="K1595" s="27"/>
      <c r="L1595" s="27"/>
      <c r="M1595" s="27"/>
      <c r="N1595" s="27"/>
      <c r="O1595" s="27"/>
      <c r="P1595" s="27"/>
      <c r="Q1595" s="27"/>
      <c r="R1595" s="27"/>
      <c r="S1595" s="27"/>
    </row>
    <row r="1596">
      <c r="B1596" s="27"/>
      <c r="C1596" s="27"/>
      <c r="D1596" s="27"/>
      <c r="E1596" s="27"/>
      <c r="F1596" s="27"/>
      <c r="G1596" s="27"/>
      <c r="H1596" s="27"/>
      <c r="I1596" s="27"/>
      <c r="J1596" s="27"/>
      <c r="K1596" s="27"/>
      <c r="L1596" s="27"/>
      <c r="M1596" s="27"/>
      <c r="N1596" s="27"/>
      <c r="O1596" s="27"/>
      <c r="P1596" s="27"/>
      <c r="Q1596" s="27"/>
      <c r="R1596" s="27"/>
      <c r="S1596" s="27"/>
    </row>
    <row r="1597">
      <c r="B1597" s="27"/>
      <c r="C1597" s="27"/>
      <c r="D1597" s="27"/>
      <c r="E1597" s="27"/>
      <c r="F1597" s="27"/>
      <c r="G1597" s="27"/>
      <c r="H1597" s="27"/>
      <c r="I1597" s="27"/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</row>
    <row r="1598">
      <c r="B1598" s="27"/>
      <c r="C1598" s="27"/>
      <c r="D1598" s="27"/>
      <c r="E1598" s="27"/>
      <c r="F1598" s="27"/>
      <c r="G1598" s="27"/>
      <c r="H1598" s="27"/>
      <c r="I1598" s="27"/>
      <c r="J1598" s="27"/>
      <c r="K1598" s="27"/>
      <c r="L1598" s="27"/>
      <c r="M1598" s="27"/>
      <c r="N1598" s="27"/>
      <c r="O1598" s="27"/>
      <c r="P1598" s="27"/>
      <c r="Q1598" s="27"/>
      <c r="R1598" s="27"/>
      <c r="S1598" s="27"/>
    </row>
    <row r="1599">
      <c r="B1599" s="27"/>
      <c r="C1599" s="27"/>
      <c r="D1599" s="27"/>
      <c r="E1599" s="27"/>
      <c r="F1599" s="27"/>
      <c r="G1599" s="27"/>
      <c r="H1599" s="27"/>
      <c r="I1599" s="27"/>
      <c r="J1599" s="27"/>
      <c r="K1599" s="27"/>
      <c r="L1599" s="27"/>
      <c r="M1599" s="27"/>
      <c r="N1599" s="27"/>
      <c r="O1599" s="27"/>
      <c r="P1599" s="27"/>
      <c r="Q1599" s="27"/>
      <c r="R1599" s="27"/>
      <c r="S1599" s="27"/>
    </row>
    <row r="1600">
      <c r="B1600" s="27"/>
      <c r="C1600" s="27"/>
      <c r="D1600" s="27"/>
      <c r="E1600" s="27"/>
      <c r="F1600" s="27"/>
      <c r="G1600" s="27"/>
      <c r="H1600" s="27"/>
      <c r="I1600" s="27"/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</row>
    <row r="1601">
      <c r="B1601" s="27"/>
      <c r="C1601" s="27"/>
      <c r="D1601" s="27"/>
      <c r="E1601" s="27"/>
      <c r="F1601" s="27"/>
      <c r="G1601" s="27"/>
      <c r="H1601" s="27"/>
      <c r="I1601" s="27"/>
      <c r="J1601" s="27"/>
      <c r="K1601" s="27"/>
      <c r="L1601" s="27"/>
      <c r="M1601" s="27"/>
      <c r="N1601" s="27"/>
      <c r="O1601" s="27"/>
      <c r="P1601" s="27"/>
      <c r="Q1601" s="27"/>
      <c r="R1601" s="27"/>
      <c r="S1601" s="27"/>
    </row>
    <row r="1602">
      <c r="B1602" s="27"/>
      <c r="C1602" s="27"/>
      <c r="D1602" s="27"/>
      <c r="E1602" s="27"/>
      <c r="F1602" s="27"/>
      <c r="G1602" s="27"/>
      <c r="H1602" s="27"/>
      <c r="I1602" s="27"/>
      <c r="J1602" s="27"/>
      <c r="K1602" s="27"/>
      <c r="L1602" s="27"/>
      <c r="M1602" s="27"/>
      <c r="N1602" s="27"/>
      <c r="O1602" s="27"/>
      <c r="P1602" s="27"/>
      <c r="Q1602" s="27"/>
      <c r="R1602" s="27"/>
      <c r="S1602" s="27"/>
    </row>
    <row r="1603">
      <c r="B1603" s="27"/>
      <c r="C1603" s="27"/>
      <c r="D1603" s="27"/>
      <c r="E1603" s="27"/>
      <c r="F1603" s="27"/>
      <c r="G1603" s="27"/>
      <c r="H1603" s="27"/>
      <c r="I1603" s="27"/>
      <c r="J1603" s="27"/>
      <c r="K1603" s="27"/>
      <c r="L1603" s="27"/>
      <c r="M1603" s="27"/>
      <c r="N1603" s="27"/>
      <c r="O1603" s="27"/>
      <c r="P1603" s="27"/>
      <c r="Q1603" s="27"/>
      <c r="R1603" s="27"/>
      <c r="S1603" s="27"/>
    </row>
    <row r="1604">
      <c r="B1604" s="27"/>
      <c r="C1604" s="27"/>
      <c r="D1604" s="27"/>
      <c r="E1604" s="27"/>
      <c r="F1604" s="27"/>
      <c r="G1604" s="27"/>
      <c r="H1604" s="27"/>
      <c r="I1604" s="27"/>
      <c r="J1604" s="27"/>
      <c r="K1604" s="27"/>
      <c r="L1604" s="27"/>
      <c r="M1604" s="27"/>
      <c r="N1604" s="27"/>
      <c r="O1604" s="27"/>
      <c r="P1604" s="27"/>
      <c r="Q1604" s="27"/>
      <c r="R1604" s="27"/>
      <c r="S1604" s="27"/>
    </row>
    <row r="1605">
      <c r="B1605" s="27"/>
      <c r="C1605" s="27"/>
      <c r="D1605" s="27"/>
      <c r="E1605" s="27"/>
      <c r="F1605" s="27"/>
      <c r="G1605" s="27"/>
      <c r="H1605" s="27"/>
      <c r="I1605" s="27"/>
      <c r="J1605" s="27"/>
      <c r="K1605" s="27"/>
      <c r="L1605" s="27"/>
      <c r="M1605" s="27"/>
      <c r="N1605" s="27"/>
      <c r="O1605" s="27"/>
      <c r="P1605" s="27"/>
      <c r="Q1605" s="27"/>
      <c r="R1605" s="27"/>
      <c r="S1605" s="27"/>
    </row>
    <row r="1606">
      <c r="B1606" s="27"/>
      <c r="C1606" s="27"/>
      <c r="D1606" s="27"/>
      <c r="E1606" s="27"/>
      <c r="F1606" s="27"/>
      <c r="G1606" s="27"/>
      <c r="H1606" s="27"/>
      <c r="I1606" s="27"/>
      <c r="J1606" s="27"/>
      <c r="K1606" s="27"/>
      <c r="L1606" s="27"/>
      <c r="M1606" s="27"/>
      <c r="N1606" s="27"/>
      <c r="O1606" s="27"/>
      <c r="P1606" s="27"/>
      <c r="Q1606" s="27"/>
      <c r="R1606" s="27"/>
      <c r="S1606" s="27"/>
    </row>
    <row r="1607">
      <c r="B1607" s="27"/>
      <c r="C1607" s="27"/>
      <c r="D1607" s="27"/>
      <c r="E1607" s="27"/>
      <c r="F1607" s="27"/>
      <c r="G1607" s="27"/>
      <c r="H1607" s="27"/>
      <c r="I1607" s="27"/>
      <c r="J1607" s="27"/>
      <c r="K1607" s="27"/>
      <c r="L1607" s="27"/>
      <c r="M1607" s="27"/>
      <c r="N1607" s="27"/>
      <c r="O1607" s="27"/>
      <c r="P1607" s="27"/>
      <c r="Q1607" s="27"/>
      <c r="R1607" s="27"/>
      <c r="S1607" s="27"/>
    </row>
    <row r="1608">
      <c r="B1608" s="27"/>
      <c r="C1608" s="27"/>
      <c r="D1608" s="27"/>
      <c r="E1608" s="27"/>
      <c r="F1608" s="27"/>
      <c r="G1608" s="27"/>
      <c r="H1608" s="27"/>
      <c r="I1608" s="27"/>
      <c r="J1608" s="27"/>
      <c r="K1608" s="27"/>
      <c r="L1608" s="27"/>
      <c r="M1608" s="27"/>
      <c r="N1608" s="27"/>
      <c r="O1608" s="27"/>
      <c r="P1608" s="27"/>
      <c r="Q1608" s="27"/>
      <c r="R1608" s="27"/>
      <c r="S1608" s="27"/>
    </row>
    <row r="1609">
      <c r="B1609" s="27"/>
      <c r="C1609" s="27"/>
      <c r="D1609" s="27"/>
      <c r="E1609" s="27"/>
      <c r="F1609" s="27"/>
      <c r="G1609" s="27"/>
      <c r="H1609" s="27"/>
      <c r="I1609" s="27"/>
      <c r="J1609" s="27"/>
      <c r="K1609" s="27"/>
      <c r="L1609" s="27"/>
      <c r="M1609" s="27"/>
      <c r="N1609" s="27"/>
      <c r="O1609" s="27"/>
      <c r="P1609" s="27"/>
      <c r="Q1609" s="27"/>
      <c r="R1609" s="27"/>
      <c r="S1609" s="27"/>
    </row>
    <row r="1610">
      <c r="B1610" s="27"/>
      <c r="C1610" s="27"/>
      <c r="D1610" s="27"/>
      <c r="E1610" s="27"/>
      <c r="F1610" s="27"/>
      <c r="G1610" s="27"/>
      <c r="H1610" s="27"/>
      <c r="I1610" s="27"/>
      <c r="J1610" s="27"/>
      <c r="K1610" s="27"/>
      <c r="L1610" s="27"/>
      <c r="M1610" s="27"/>
      <c r="N1610" s="27"/>
      <c r="O1610" s="27"/>
      <c r="P1610" s="27"/>
      <c r="Q1610" s="27"/>
      <c r="R1610" s="27"/>
      <c r="S1610" s="27"/>
    </row>
    <row r="1611">
      <c r="B1611" s="27"/>
      <c r="C1611" s="27"/>
      <c r="D1611" s="27"/>
      <c r="E1611" s="27"/>
      <c r="F1611" s="27"/>
      <c r="G1611" s="27"/>
      <c r="H1611" s="27"/>
      <c r="I1611" s="27"/>
      <c r="J1611" s="27"/>
      <c r="K1611" s="27"/>
      <c r="L1611" s="27"/>
      <c r="M1611" s="27"/>
      <c r="N1611" s="27"/>
      <c r="O1611" s="27"/>
      <c r="P1611" s="27"/>
      <c r="Q1611" s="27"/>
      <c r="R1611" s="27"/>
      <c r="S1611" s="27"/>
    </row>
    <row r="1612">
      <c r="B1612" s="27"/>
      <c r="C1612" s="27"/>
      <c r="D1612" s="27"/>
      <c r="E1612" s="27"/>
      <c r="F1612" s="27"/>
      <c r="G1612" s="27"/>
      <c r="H1612" s="27"/>
      <c r="I1612" s="27"/>
      <c r="J1612" s="27"/>
      <c r="K1612" s="27"/>
      <c r="L1612" s="27"/>
      <c r="M1612" s="27"/>
      <c r="N1612" s="27"/>
      <c r="O1612" s="27"/>
      <c r="P1612" s="27"/>
      <c r="Q1612" s="27"/>
      <c r="R1612" s="27"/>
      <c r="S1612" s="27"/>
    </row>
    <row r="1613">
      <c r="B1613" s="27"/>
      <c r="C1613" s="27"/>
      <c r="D1613" s="27"/>
      <c r="E1613" s="27"/>
      <c r="F1613" s="27"/>
      <c r="G1613" s="27"/>
      <c r="H1613" s="27"/>
      <c r="I1613" s="27"/>
      <c r="J1613" s="27"/>
      <c r="K1613" s="27"/>
      <c r="L1613" s="27"/>
      <c r="M1613" s="27"/>
      <c r="N1613" s="27"/>
      <c r="O1613" s="27"/>
      <c r="P1613" s="27"/>
      <c r="Q1613" s="27"/>
      <c r="R1613" s="27"/>
      <c r="S1613" s="27"/>
    </row>
    <row r="1614">
      <c r="B1614" s="27"/>
      <c r="C1614" s="27"/>
      <c r="D1614" s="27"/>
      <c r="E1614" s="27"/>
      <c r="F1614" s="27"/>
      <c r="G1614" s="27"/>
      <c r="H1614" s="27"/>
      <c r="I1614" s="27"/>
      <c r="J1614" s="27"/>
      <c r="K1614" s="27"/>
      <c r="L1614" s="27"/>
      <c r="M1614" s="27"/>
      <c r="N1614" s="27"/>
      <c r="O1614" s="27"/>
      <c r="P1614" s="27"/>
      <c r="Q1614" s="27"/>
      <c r="R1614" s="27"/>
      <c r="S1614" s="27"/>
    </row>
    <row r="1615">
      <c r="B1615" s="27"/>
      <c r="C1615" s="27"/>
      <c r="D1615" s="27"/>
      <c r="E1615" s="27"/>
      <c r="F1615" s="27"/>
      <c r="G1615" s="27"/>
      <c r="H1615" s="27"/>
      <c r="I1615" s="27"/>
      <c r="J1615" s="27"/>
      <c r="K1615" s="27"/>
      <c r="L1615" s="27"/>
      <c r="M1615" s="27"/>
      <c r="N1615" s="27"/>
      <c r="O1615" s="27"/>
      <c r="P1615" s="27"/>
      <c r="Q1615" s="27"/>
      <c r="R1615" s="27"/>
      <c r="S1615" s="27"/>
    </row>
    <row r="1616">
      <c r="B1616" s="27"/>
      <c r="C1616" s="27"/>
      <c r="D1616" s="27"/>
      <c r="E1616" s="27"/>
      <c r="F1616" s="27"/>
      <c r="G1616" s="27"/>
      <c r="H1616" s="27"/>
      <c r="I1616" s="27"/>
      <c r="J1616" s="27"/>
      <c r="K1616" s="27"/>
      <c r="L1616" s="27"/>
      <c r="M1616" s="27"/>
      <c r="N1616" s="27"/>
      <c r="O1616" s="27"/>
      <c r="P1616" s="27"/>
      <c r="Q1616" s="27"/>
      <c r="R1616" s="27"/>
      <c r="S1616" s="27"/>
    </row>
    <row r="1617">
      <c r="B1617" s="27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27"/>
      <c r="R1617" s="27"/>
      <c r="S1617" s="27"/>
    </row>
    <row r="1618">
      <c r="B1618" s="27"/>
      <c r="C1618" s="27"/>
      <c r="D1618" s="27"/>
      <c r="E1618" s="27"/>
      <c r="F1618" s="27"/>
      <c r="G1618" s="27"/>
      <c r="H1618" s="27"/>
      <c r="I1618" s="27"/>
      <c r="J1618" s="27"/>
      <c r="K1618" s="27"/>
      <c r="L1618" s="27"/>
      <c r="M1618" s="27"/>
      <c r="N1618" s="27"/>
      <c r="O1618" s="27"/>
      <c r="P1618" s="27"/>
      <c r="Q1618" s="27"/>
      <c r="R1618" s="27"/>
      <c r="S1618" s="27"/>
    </row>
    <row r="1619">
      <c r="B1619" s="27"/>
      <c r="C1619" s="27"/>
      <c r="D1619" s="27"/>
      <c r="E1619" s="27"/>
      <c r="F1619" s="27"/>
      <c r="G1619" s="27"/>
      <c r="H1619" s="27"/>
      <c r="I1619" s="27"/>
      <c r="J1619" s="27"/>
      <c r="K1619" s="27"/>
      <c r="L1619" s="27"/>
      <c r="M1619" s="27"/>
      <c r="N1619" s="27"/>
      <c r="O1619" s="27"/>
      <c r="P1619" s="27"/>
      <c r="Q1619" s="27"/>
      <c r="R1619" s="27"/>
      <c r="S1619" s="27"/>
    </row>
    <row r="1620">
      <c r="B1620" s="27"/>
      <c r="C1620" s="27"/>
      <c r="D1620" s="27"/>
      <c r="E1620" s="27"/>
      <c r="F1620" s="27"/>
      <c r="G1620" s="27"/>
      <c r="H1620" s="27"/>
      <c r="I1620" s="27"/>
      <c r="J1620" s="27"/>
      <c r="K1620" s="27"/>
      <c r="L1620" s="27"/>
      <c r="M1620" s="27"/>
      <c r="N1620" s="27"/>
      <c r="O1620" s="27"/>
      <c r="P1620" s="27"/>
      <c r="Q1620" s="27"/>
      <c r="R1620" s="27"/>
      <c r="S1620" s="27"/>
    </row>
    <row r="1621">
      <c r="B1621" s="27"/>
      <c r="C1621" s="27"/>
      <c r="D1621" s="27"/>
      <c r="E1621" s="27"/>
      <c r="F1621" s="27"/>
      <c r="G1621" s="27"/>
      <c r="H1621" s="27"/>
      <c r="I1621" s="27"/>
      <c r="J1621" s="27"/>
      <c r="K1621" s="27"/>
      <c r="L1621" s="27"/>
      <c r="M1621" s="27"/>
      <c r="N1621" s="27"/>
      <c r="O1621" s="27"/>
      <c r="P1621" s="27"/>
      <c r="Q1621" s="27"/>
      <c r="R1621" s="27"/>
      <c r="S1621" s="27"/>
    </row>
    <row r="1622">
      <c r="B1622" s="27"/>
      <c r="C1622" s="27"/>
      <c r="D1622" s="27"/>
      <c r="E1622" s="27"/>
      <c r="F1622" s="27"/>
      <c r="G1622" s="27"/>
      <c r="H1622" s="27"/>
      <c r="I1622" s="27"/>
      <c r="J1622" s="27"/>
      <c r="K1622" s="27"/>
      <c r="L1622" s="27"/>
      <c r="M1622" s="27"/>
      <c r="N1622" s="27"/>
      <c r="O1622" s="27"/>
      <c r="P1622" s="27"/>
      <c r="Q1622" s="27"/>
      <c r="R1622" s="27"/>
      <c r="S1622" s="27"/>
    </row>
    <row r="1623">
      <c r="B1623" s="27"/>
      <c r="C1623" s="27"/>
      <c r="D1623" s="27"/>
      <c r="E1623" s="27"/>
      <c r="F1623" s="27"/>
      <c r="G1623" s="27"/>
      <c r="H1623" s="27"/>
      <c r="I1623" s="27"/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</row>
    <row r="1624">
      <c r="B1624" s="27"/>
      <c r="C1624" s="27"/>
      <c r="D1624" s="27"/>
      <c r="E1624" s="27"/>
      <c r="F1624" s="27"/>
      <c r="G1624" s="27"/>
      <c r="H1624" s="27"/>
      <c r="I1624" s="27"/>
      <c r="J1624" s="27"/>
      <c r="K1624" s="27"/>
      <c r="L1624" s="27"/>
      <c r="M1624" s="27"/>
      <c r="N1624" s="27"/>
      <c r="O1624" s="27"/>
      <c r="P1624" s="27"/>
      <c r="Q1624" s="27"/>
      <c r="R1624" s="27"/>
      <c r="S1624" s="27"/>
    </row>
    <row r="1625">
      <c r="B1625" s="27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</row>
    <row r="1626">
      <c r="B1626" s="27"/>
      <c r="C1626" s="27"/>
      <c r="D1626" s="27"/>
      <c r="E1626" s="27"/>
      <c r="F1626" s="27"/>
      <c r="G1626" s="27"/>
      <c r="H1626" s="27"/>
      <c r="I1626" s="27"/>
      <c r="J1626" s="27"/>
      <c r="K1626" s="27"/>
      <c r="L1626" s="27"/>
      <c r="M1626" s="27"/>
      <c r="N1626" s="27"/>
      <c r="O1626" s="27"/>
      <c r="P1626" s="27"/>
      <c r="Q1626" s="27"/>
      <c r="R1626" s="27"/>
      <c r="S1626" s="27"/>
    </row>
    <row r="1627">
      <c r="B1627" s="27"/>
      <c r="C1627" s="27"/>
      <c r="D1627" s="27"/>
      <c r="E1627" s="27"/>
      <c r="F1627" s="27"/>
      <c r="G1627" s="27"/>
      <c r="H1627" s="27"/>
      <c r="I1627" s="27"/>
      <c r="J1627" s="27"/>
      <c r="K1627" s="27"/>
      <c r="L1627" s="27"/>
      <c r="M1627" s="27"/>
      <c r="N1627" s="27"/>
      <c r="O1627" s="27"/>
      <c r="P1627" s="27"/>
      <c r="Q1627" s="27"/>
      <c r="R1627" s="27"/>
      <c r="S1627" s="27"/>
    </row>
    <row r="1628">
      <c r="B1628" s="27"/>
      <c r="C1628" s="27"/>
      <c r="D1628" s="27"/>
      <c r="E1628" s="27"/>
      <c r="F1628" s="27"/>
      <c r="G1628" s="27"/>
      <c r="H1628" s="27"/>
      <c r="I1628" s="27"/>
      <c r="J1628" s="27"/>
      <c r="K1628" s="27"/>
      <c r="L1628" s="27"/>
      <c r="M1628" s="27"/>
      <c r="N1628" s="27"/>
      <c r="O1628" s="27"/>
      <c r="P1628" s="27"/>
      <c r="Q1628" s="27"/>
      <c r="R1628" s="27"/>
      <c r="S1628" s="27"/>
    </row>
    <row r="1629">
      <c r="B1629" s="27"/>
      <c r="C1629" s="27"/>
      <c r="D1629" s="27"/>
      <c r="E1629" s="27"/>
      <c r="F1629" s="27"/>
      <c r="G1629" s="27"/>
      <c r="H1629" s="27"/>
      <c r="I1629" s="27"/>
      <c r="J1629" s="27"/>
      <c r="K1629" s="27"/>
      <c r="L1629" s="27"/>
      <c r="M1629" s="27"/>
      <c r="N1629" s="27"/>
      <c r="O1629" s="27"/>
      <c r="P1629" s="27"/>
      <c r="Q1629" s="27"/>
      <c r="R1629" s="27"/>
      <c r="S1629" s="27"/>
    </row>
    <row r="1630">
      <c r="B1630" s="27"/>
      <c r="C1630" s="27"/>
      <c r="D1630" s="27"/>
      <c r="E1630" s="27"/>
      <c r="F1630" s="27"/>
      <c r="G1630" s="27"/>
      <c r="H1630" s="27"/>
      <c r="I1630" s="27"/>
      <c r="J1630" s="27"/>
      <c r="K1630" s="27"/>
      <c r="L1630" s="27"/>
      <c r="M1630" s="27"/>
      <c r="N1630" s="27"/>
      <c r="O1630" s="27"/>
      <c r="P1630" s="27"/>
      <c r="Q1630" s="27"/>
      <c r="R1630" s="27"/>
      <c r="S1630" s="27"/>
    </row>
    <row r="1631">
      <c r="B1631" s="27"/>
      <c r="C1631" s="27"/>
      <c r="D1631" s="27"/>
      <c r="E1631" s="27"/>
      <c r="F1631" s="27"/>
      <c r="G1631" s="27"/>
      <c r="H1631" s="27"/>
      <c r="I1631" s="27"/>
      <c r="J1631" s="27"/>
      <c r="K1631" s="27"/>
      <c r="L1631" s="27"/>
      <c r="M1631" s="27"/>
      <c r="N1631" s="27"/>
      <c r="O1631" s="27"/>
      <c r="P1631" s="27"/>
      <c r="Q1631" s="27"/>
      <c r="R1631" s="27"/>
      <c r="S1631" s="27"/>
    </row>
    <row r="1632">
      <c r="B1632" s="27"/>
      <c r="C1632" s="27"/>
      <c r="D1632" s="27"/>
      <c r="E1632" s="27"/>
      <c r="F1632" s="27"/>
      <c r="G1632" s="27"/>
      <c r="H1632" s="27"/>
      <c r="I1632" s="27"/>
      <c r="J1632" s="27"/>
      <c r="K1632" s="27"/>
      <c r="L1632" s="27"/>
      <c r="M1632" s="27"/>
      <c r="N1632" s="27"/>
      <c r="O1632" s="27"/>
      <c r="P1632" s="27"/>
      <c r="Q1632" s="27"/>
      <c r="R1632" s="27"/>
      <c r="S1632" s="27"/>
    </row>
    <row r="1633">
      <c r="B1633" s="27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27"/>
      <c r="R1633" s="27"/>
      <c r="S1633" s="27"/>
    </row>
    <row r="1634">
      <c r="B1634" s="27"/>
      <c r="C1634" s="27"/>
      <c r="D1634" s="27"/>
      <c r="E1634" s="27"/>
      <c r="F1634" s="27"/>
      <c r="G1634" s="27"/>
      <c r="H1634" s="27"/>
      <c r="I1634" s="27"/>
      <c r="J1634" s="27"/>
      <c r="K1634" s="27"/>
      <c r="L1634" s="27"/>
      <c r="M1634" s="27"/>
      <c r="N1634" s="27"/>
      <c r="O1634" s="27"/>
      <c r="P1634" s="27"/>
      <c r="Q1634" s="27"/>
      <c r="R1634" s="27"/>
      <c r="S1634" s="27"/>
    </row>
    <row r="1635">
      <c r="B1635" s="27"/>
      <c r="C1635" s="27"/>
      <c r="D1635" s="27"/>
      <c r="E1635" s="27"/>
      <c r="F1635" s="27"/>
      <c r="G1635" s="27"/>
      <c r="H1635" s="27"/>
      <c r="I1635" s="27"/>
      <c r="J1635" s="27"/>
      <c r="K1635" s="27"/>
      <c r="L1635" s="27"/>
      <c r="M1635" s="27"/>
      <c r="N1635" s="27"/>
      <c r="O1635" s="27"/>
      <c r="P1635" s="27"/>
      <c r="Q1635" s="27"/>
      <c r="R1635" s="27"/>
      <c r="S1635" s="27"/>
    </row>
    <row r="1636">
      <c r="B1636" s="27"/>
      <c r="C1636" s="27"/>
      <c r="D1636" s="27"/>
      <c r="E1636" s="27"/>
      <c r="F1636" s="27"/>
      <c r="G1636" s="27"/>
      <c r="H1636" s="27"/>
      <c r="I1636" s="27"/>
      <c r="J1636" s="27"/>
      <c r="K1636" s="27"/>
      <c r="L1636" s="27"/>
      <c r="M1636" s="27"/>
      <c r="N1636" s="27"/>
      <c r="O1636" s="27"/>
      <c r="P1636" s="27"/>
      <c r="Q1636" s="27"/>
      <c r="R1636" s="27"/>
      <c r="S1636" s="27"/>
    </row>
    <row r="1637">
      <c r="B1637" s="27"/>
      <c r="C1637" s="27"/>
      <c r="D1637" s="27"/>
      <c r="E1637" s="27"/>
      <c r="F1637" s="27"/>
      <c r="G1637" s="27"/>
      <c r="H1637" s="27"/>
      <c r="I1637" s="27"/>
      <c r="J1637" s="27"/>
      <c r="K1637" s="27"/>
      <c r="L1637" s="27"/>
      <c r="M1637" s="27"/>
      <c r="N1637" s="27"/>
      <c r="O1637" s="27"/>
      <c r="P1637" s="27"/>
      <c r="Q1637" s="27"/>
      <c r="R1637" s="27"/>
      <c r="S1637" s="27"/>
    </row>
    <row r="1638">
      <c r="B1638" s="27"/>
      <c r="C1638" s="27"/>
      <c r="D1638" s="27"/>
      <c r="E1638" s="27"/>
      <c r="F1638" s="27"/>
      <c r="G1638" s="27"/>
      <c r="H1638" s="27"/>
      <c r="I1638" s="27"/>
      <c r="J1638" s="27"/>
      <c r="K1638" s="27"/>
      <c r="L1638" s="27"/>
      <c r="M1638" s="27"/>
      <c r="N1638" s="27"/>
      <c r="O1638" s="27"/>
      <c r="P1638" s="27"/>
      <c r="Q1638" s="27"/>
      <c r="R1638" s="27"/>
      <c r="S1638" s="27"/>
    </row>
    <row r="1639">
      <c r="B1639" s="27"/>
      <c r="C1639" s="27"/>
      <c r="D1639" s="27"/>
      <c r="E1639" s="27"/>
      <c r="F1639" s="27"/>
      <c r="G1639" s="27"/>
      <c r="H1639" s="27"/>
      <c r="I1639" s="27"/>
      <c r="J1639" s="27"/>
      <c r="K1639" s="27"/>
      <c r="L1639" s="27"/>
      <c r="M1639" s="27"/>
      <c r="N1639" s="27"/>
      <c r="O1639" s="27"/>
      <c r="P1639" s="27"/>
      <c r="Q1639" s="27"/>
      <c r="R1639" s="27"/>
      <c r="S1639" s="27"/>
    </row>
    <row r="1640">
      <c r="B1640" s="27"/>
      <c r="C1640" s="27"/>
      <c r="D1640" s="27"/>
      <c r="E1640" s="27"/>
      <c r="F1640" s="27"/>
      <c r="G1640" s="27"/>
      <c r="H1640" s="27"/>
      <c r="I1640" s="27"/>
      <c r="J1640" s="27"/>
      <c r="K1640" s="27"/>
      <c r="L1640" s="27"/>
      <c r="M1640" s="27"/>
      <c r="N1640" s="27"/>
      <c r="O1640" s="27"/>
      <c r="P1640" s="27"/>
      <c r="Q1640" s="27"/>
      <c r="R1640" s="27"/>
      <c r="S1640" s="27"/>
    </row>
    <row r="1641">
      <c r="B1641" s="27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27"/>
      <c r="R1641" s="27"/>
      <c r="S1641" s="27"/>
    </row>
    <row r="1642">
      <c r="B1642" s="27"/>
      <c r="C1642" s="27"/>
      <c r="D1642" s="27"/>
      <c r="E1642" s="27"/>
      <c r="F1642" s="27"/>
      <c r="G1642" s="27"/>
      <c r="H1642" s="27"/>
      <c r="I1642" s="27"/>
      <c r="J1642" s="27"/>
      <c r="K1642" s="27"/>
      <c r="L1642" s="27"/>
      <c r="M1642" s="27"/>
      <c r="N1642" s="27"/>
      <c r="O1642" s="27"/>
      <c r="P1642" s="27"/>
      <c r="Q1642" s="27"/>
      <c r="R1642" s="27"/>
      <c r="S1642" s="27"/>
    </row>
    <row r="1643">
      <c r="B1643" s="27"/>
      <c r="C1643" s="27"/>
      <c r="D1643" s="27"/>
      <c r="E1643" s="27"/>
      <c r="F1643" s="27"/>
      <c r="G1643" s="27"/>
      <c r="H1643" s="27"/>
      <c r="I1643" s="27"/>
      <c r="J1643" s="27"/>
      <c r="K1643" s="27"/>
      <c r="L1643" s="27"/>
      <c r="M1643" s="27"/>
      <c r="N1643" s="27"/>
      <c r="O1643" s="27"/>
      <c r="P1643" s="27"/>
      <c r="Q1643" s="27"/>
      <c r="R1643" s="27"/>
      <c r="S1643" s="27"/>
    </row>
    <row r="1644">
      <c r="B1644" s="27"/>
      <c r="C1644" s="27"/>
      <c r="D1644" s="27"/>
      <c r="E1644" s="27"/>
      <c r="F1644" s="27"/>
      <c r="G1644" s="27"/>
      <c r="H1644" s="27"/>
      <c r="I1644" s="27"/>
      <c r="J1644" s="27"/>
      <c r="K1644" s="27"/>
      <c r="L1644" s="27"/>
      <c r="M1644" s="27"/>
      <c r="N1644" s="27"/>
      <c r="O1644" s="27"/>
      <c r="P1644" s="27"/>
      <c r="Q1644" s="27"/>
      <c r="R1644" s="27"/>
      <c r="S1644" s="27"/>
    </row>
    <row r="1645">
      <c r="B1645" s="27"/>
      <c r="C1645" s="27"/>
      <c r="D1645" s="27"/>
      <c r="E1645" s="27"/>
      <c r="F1645" s="27"/>
      <c r="G1645" s="27"/>
      <c r="H1645" s="27"/>
      <c r="I1645" s="27"/>
      <c r="J1645" s="27"/>
      <c r="K1645" s="27"/>
      <c r="L1645" s="27"/>
      <c r="M1645" s="27"/>
      <c r="N1645" s="27"/>
      <c r="O1645" s="27"/>
      <c r="P1645" s="27"/>
      <c r="Q1645" s="27"/>
      <c r="R1645" s="27"/>
      <c r="S1645" s="27"/>
    </row>
    <row r="1646">
      <c r="B1646" s="27"/>
      <c r="C1646" s="27"/>
      <c r="D1646" s="27"/>
      <c r="E1646" s="27"/>
      <c r="F1646" s="27"/>
      <c r="G1646" s="27"/>
      <c r="H1646" s="27"/>
      <c r="I1646" s="27"/>
      <c r="J1646" s="27"/>
      <c r="K1646" s="27"/>
      <c r="L1646" s="27"/>
      <c r="M1646" s="27"/>
      <c r="N1646" s="27"/>
      <c r="O1646" s="27"/>
      <c r="P1646" s="27"/>
      <c r="Q1646" s="27"/>
      <c r="R1646" s="27"/>
      <c r="S1646" s="27"/>
    </row>
    <row r="1647">
      <c r="B1647" s="27"/>
      <c r="C1647" s="27"/>
      <c r="D1647" s="27"/>
      <c r="E1647" s="27"/>
      <c r="F1647" s="27"/>
      <c r="G1647" s="27"/>
      <c r="H1647" s="27"/>
      <c r="I1647" s="27"/>
      <c r="J1647" s="27"/>
      <c r="K1647" s="27"/>
      <c r="L1647" s="27"/>
      <c r="M1647" s="27"/>
      <c r="N1647" s="27"/>
      <c r="O1647" s="27"/>
      <c r="P1647" s="27"/>
      <c r="Q1647" s="27"/>
      <c r="R1647" s="27"/>
      <c r="S1647" s="27"/>
    </row>
    <row r="1648">
      <c r="B1648" s="27"/>
      <c r="C1648" s="27"/>
      <c r="D1648" s="27"/>
      <c r="E1648" s="27"/>
      <c r="F1648" s="27"/>
      <c r="G1648" s="27"/>
      <c r="H1648" s="27"/>
      <c r="I1648" s="27"/>
      <c r="J1648" s="27"/>
      <c r="K1648" s="27"/>
      <c r="L1648" s="27"/>
      <c r="M1648" s="27"/>
      <c r="N1648" s="27"/>
      <c r="O1648" s="27"/>
      <c r="P1648" s="27"/>
      <c r="Q1648" s="27"/>
      <c r="R1648" s="27"/>
      <c r="S1648" s="27"/>
    </row>
    <row r="1649">
      <c r="B1649" s="27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27"/>
      <c r="R1649" s="27"/>
      <c r="S1649" s="27"/>
    </row>
    <row r="1650">
      <c r="B1650" s="27"/>
      <c r="C1650" s="27"/>
      <c r="D1650" s="27"/>
      <c r="E1650" s="27"/>
      <c r="F1650" s="27"/>
      <c r="G1650" s="27"/>
      <c r="H1650" s="27"/>
      <c r="I1650" s="27"/>
      <c r="J1650" s="27"/>
      <c r="K1650" s="27"/>
      <c r="L1650" s="27"/>
      <c r="M1650" s="27"/>
      <c r="N1650" s="27"/>
      <c r="O1650" s="27"/>
      <c r="P1650" s="27"/>
      <c r="Q1650" s="27"/>
      <c r="R1650" s="27"/>
      <c r="S1650" s="27"/>
    </row>
    <row r="1651">
      <c r="B1651" s="27"/>
      <c r="C1651" s="27"/>
      <c r="D1651" s="27"/>
      <c r="E1651" s="27"/>
      <c r="F1651" s="27"/>
      <c r="G1651" s="27"/>
      <c r="H1651" s="27"/>
      <c r="I1651" s="27"/>
      <c r="J1651" s="27"/>
      <c r="K1651" s="27"/>
      <c r="L1651" s="27"/>
      <c r="M1651" s="27"/>
      <c r="N1651" s="27"/>
      <c r="O1651" s="27"/>
      <c r="P1651" s="27"/>
      <c r="Q1651" s="27"/>
      <c r="R1651" s="27"/>
      <c r="S1651" s="27"/>
    </row>
    <row r="1652">
      <c r="B1652" s="27"/>
      <c r="C1652" s="27"/>
      <c r="D1652" s="27"/>
      <c r="E1652" s="27"/>
      <c r="F1652" s="27"/>
      <c r="G1652" s="27"/>
      <c r="H1652" s="27"/>
      <c r="I1652" s="27"/>
      <c r="J1652" s="27"/>
      <c r="K1652" s="27"/>
      <c r="L1652" s="27"/>
      <c r="M1652" s="27"/>
      <c r="N1652" s="27"/>
      <c r="O1652" s="27"/>
      <c r="P1652" s="27"/>
      <c r="Q1652" s="27"/>
      <c r="R1652" s="27"/>
      <c r="S1652" s="27"/>
    </row>
    <row r="1653">
      <c r="B1653" s="27"/>
      <c r="C1653" s="27"/>
      <c r="D1653" s="27"/>
      <c r="E1653" s="27"/>
      <c r="F1653" s="27"/>
      <c r="G1653" s="27"/>
      <c r="H1653" s="27"/>
      <c r="I1653" s="27"/>
      <c r="J1653" s="27"/>
      <c r="K1653" s="27"/>
      <c r="L1653" s="27"/>
      <c r="M1653" s="27"/>
      <c r="N1653" s="27"/>
      <c r="O1653" s="27"/>
      <c r="P1653" s="27"/>
      <c r="Q1653" s="27"/>
      <c r="R1653" s="27"/>
      <c r="S1653" s="27"/>
    </row>
    <row r="1654">
      <c r="B1654" s="27"/>
      <c r="C1654" s="27"/>
      <c r="D1654" s="27"/>
      <c r="E1654" s="27"/>
      <c r="F1654" s="27"/>
      <c r="G1654" s="27"/>
      <c r="H1654" s="27"/>
      <c r="I1654" s="27"/>
      <c r="J1654" s="27"/>
      <c r="K1654" s="27"/>
      <c r="L1654" s="27"/>
      <c r="M1654" s="27"/>
      <c r="N1654" s="27"/>
      <c r="O1654" s="27"/>
      <c r="P1654" s="27"/>
      <c r="Q1654" s="27"/>
      <c r="R1654" s="27"/>
      <c r="S1654" s="27"/>
    </row>
    <row r="1655">
      <c r="B1655" s="27"/>
      <c r="C1655" s="27"/>
      <c r="D1655" s="27"/>
      <c r="E1655" s="27"/>
      <c r="F1655" s="27"/>
      <c r="G1655" s="27"/>
      <c r="H1655" s="27"/>
      <c r="I1655" s="27"/>
      <c r="J1655" s="27"/>
      <c r="K1655" s="27"/>
      <c r="L1655" s="27"/>
      <c r="M1655" s="27"/>
      <c r="N1655" s="27"/>
      <c r="O1655" s="27"/>
      <c r="P1655" s="27"/>
      <c r="Q1655" s="27"/>
      <c r="R1655" s="27"/>
      <c r="S1655" s="27"/>
    </row>
    <row r="1656">
      <c r="B1656" s="27"/>
      <c r="C1656" s="27"/>
      <c r="D1656" s="27"/>
      <c r="E1656" s="27"/>
      <c r="F1656" s="27"/>
      <c r="G1656" s="27"/>
      <c r="H1656" s="27"/>
      <c r="I1656" s="27"/>
      <c r="J1656" s="27"/>
      <c r="K1656" s="27"/>
      <c r="L1656" s="27"/>
      <c r="M1656" s="27"/>
      <c r="N1656" s="27"/>
      <c r="O1656" s="27"/>
      <c r="P1656" s="27"/>
      <c r="Q1656" s="27"/>
      <c r="R1656" s="27"/>
      <c r="S1656" s="27"/>
    </row>
    <row r="1657">
      <c r="B1657" s="27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27"/>
      <c r="R1657" s="27"/>
      <c r="S1657" s="27"/>
    </row>
    <row r="1658">
      <c r="B1658" s="27"/>
      <c r="C1658" s="27"/>
      <c r="D1658" s="27"/>
      <c r="E1658" s="27"/>
      <c r="F1658" s="27"/>
      <c r="G1658" s="27"/>
      <c r="H1658" s="27"/>
      <c r="I1658" s="27"/>
      <c r="J1658" s="27"/>
      <c r="K1658" s="27"/>
      <c r="L1658" s="27"/>
      <c r="M1658" s="27"/>
      <c r="N1658" s="27"/>
      <c r="O1658" s="27"/>
      <c r="P1658" s="27"/>
      <c r="Q1658" s="27"/>
      <c r="R1658" s="27"/>
      <c r="S1658" s="27"/>
    </row>
    <row r="1659">
      <c r="B1659" s="27"/>
      <c r="C1659" s="27"/>
      <c r="D1659" s="27"/>
      <c r="E1659" s="27"/>
      <c r="F1659" s="27"/>
      <c r="G1659" s="27"/>
      <c r="H1659" s="27"/>
      <c r="I1659" s="27"/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</row>
    <row r="1660">
      <c r="B1660" s="27"/>
      <c r="C1660" s="27"/>
      <c r="D1660" s="27"/>
      <c r="E1660" s="27"/>
      <c r="F1660" s="27"/>
      <c r="G1660" s="27"/>
      <c r="H1660" s="27"/>
      <c r="I1660" s="27"/>
      <c r="J1660" s="27"/>
      <c r="K1660" s="27"/>
      <c r="L1660" s="27"/>
      <c r="M1660" s="27"/>
      <c r="N1660" s="27"/>
      <c r="O1660" s="27"/>
      <c r="P1660" s="27"/>
      <c r="Q1660" s="27"/>
      <c r="R1660" s="27"/>
      <c r="S1660" s="27"/>
    </row>
    <row r="1661">
      <c r="B1661" s="27"/>
      <c r="C1661" s="27"/>
      <c r="D1661" s="27"/>
      <c r="E1661" s="27"/>
      <c r="F1661" s="27"/>
      <c r="G1661" s="27"/>
      <c r="H1661" s="27"/>
      <c r="I1661" s="27"/>
      <c r="J1661" s="27"/>
      <c r="K1661" s="27"/>
      <c r="L1661" s="27"/>
      <c r="M1661" s="27"/>
      <c r="N1661" s="27"/>
      <c r="O1661" s="27"/>
      <c r="P1661" s="27"/>
      <c r="Q1661" s="27"/>
      <c r="R1661" s="27"/>
      <c r="S1661" s="27"/>
    </row>
    <row r="1662">
      <c r="B1662" s="27"/>
      <c r="C1662" s="27"/>
      <c r="D1662" s="27"/>
      <c r="E1662" s="27"/>
      <c r="F1662" s="27"/>
      <c r="G1662" s="27"/>
      <c r="H1662" s="27"/>
      <c r="I1662" s="27"/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</row>
    <row r="1663">
      <c r="B1663" s="27"/>
      <c r="C1663" s="27"/>
      <c r="D1663" s="27"/>
      <c r="E1663" s="27"/>
      <c r="F1663" s="27"/>
      <c r="G1663" s="27"/>
      <c r="H1663" s="27"/>
      <c r="I1663" s="27"/>
      <c r="J1663" s="27"/>
      <c r="K1663" s="27"/>
      <c r="L1663" s="27"/>
      <c r="M1663" s="27"/>
      <c r="N1663" s="27"/>
      <c r="O1663" s="27"/>
      <c r="P1663" s="27"/>
      <c r="Q1663" s="27"/>
      <c r="R1663" s="27"/>
      <c r="S1663" s="27"/>
    </row>
    <row r="1664">
      <c r="B1664" s="27"/>
      <c r="C1664" s="27"/>
      <c r="D1664" s="27"/>
      <c r="E1664" s="27"/>
      <c r="F1664" s="27"/>
      <c r="G1664" s="27"/>
      <c r="H1664" s="27"/>
      <c r="I1664" s="27"/>
      <c r="J1664" s="27"/>
      <c r="K1664" s="27"/>
      <c r="L1664" s="27"/>
      <c r="M1664" s="27"/>
      <c r="N1664" s="27"/>
      <c r="O1664" s="27"/>
      <c r="P1664" s="27"/>
      <c r="Q1664" s="27"/>
      <c r="R1664" s="27"/>
      <c r="S1664" s="27"/>
    </row>
    <row r="1665">
      <c r="B1665" s="27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27"/>
      <c r="R1665" s="27"/>
      <c r="S1665" s="27"/>
    </row>
    <row r="1666">
      <c r="B1666" s="27"/>
      <c r="C1666" s="27"/>
      <c r="D1666" s="27"/>
      <c r="E1666" s="27"/>
      <c r="F1666" s="27"/>
      <c r="G1666" s="27"/>
      <c r="H1666" s="27"/>
      <c r="I1666" s="27"/>
      <c r="J1666" s="27"/>
      <c r="K1666" s="27"/>
      <c r="L1666" s="27"/>
      <c r="M1666" s="27"/>
      <c r="N1666" s="27"/>
      <c r="O1666" s="27"/>
      <c r="P1666" s="27"/>
      <c r="Q1666" s="27"/>
      <c r="R1666" s="27"/>
      <c r="S1666" s="27"/>
    </row>
    <row r="1667">
      <c r="B1667" s="27"/>
      <c r="C1667" s="27"/>
      <c r="D1667" s="27"/>
      <c r="E1667" s="27"/>
      <c r="F1667" s="27"/>
      <c r="G1667" s="27"/>
      <c r="H1667" s="27"/>
      <c r="I1667" s="27"/>
      <c r="J1667" s="27"/>
      <c r="K1667" s="27"/>
      <c r="L1667" s="27"/>
      <c r="M1667" s="27"/>
      <c r="N1667" s="27"/>
      <c r="O1667" s="27"/>
      <c r="P1667" s="27"/>
      <c r="Q1667" s="27"/>
      <c r="R1667" s="27"/>
      <c r="S1667" s="27"/>
    </row>
    <row r="1668">
      <c r="B1668" s="27"/>
      <c r="C1668" s="27"/>
      <c r="D1668" s="27"/>
      <c r="E1668" s="27"/>
      <c r="F1668" s="27"/>
      <c r="G1668" s="27"/>
      <c r="H1668" s="27"/>
      <c r="I1668" s="27"/>
      <c r="J1668" s="27"/>
      <c r="K1668" s="27"/>
      <c r="L1668" s="27"/>
      <c r="M1668" s="27"/>
      <c r="N1668" s="27"/>
      <c r="O1668" s="27"/>
      <c r="P1668" s="27"/>
      <c r="Q1668" s="27"/>
      <c r="R1668" s="27"/>
      <c r="S1668" s="27"/>
    </row>
    <row r="1669">
      <c r="B1669" s="27"/>
      <c r="C1669" s="27"/>
      <c r="D1669" s="27"/>
      <c r="E1669" s="27"/>
      <c r="F1669" s="27"/>
      <c r="G1669" s="27"/>
      <c r="H1669" s="27"/>
      <c r="I1669" s="27"/>
      <c r="J1669" s="27"/>
      <c r="K1669" s="27"/>
      <c r="L1669" s="27"/>
      <c r="M1669" s="27"/>
      <c r="N1669" s="27"/>
      <c r="O1669" s="27"/>
      <c r="P1669" s="27"/>
      <c r="Q1669" s="27"/>
      <c r="R1669" s="27"/>
      <c r="S1669" s="27"/>
    </row>
    <row r="1670">
      <c r="B1670" s="27"/>
      <c r="C1670" s="27"/>
      <c r="D1670" s="27"/>
      <c r="E1670" s="27"/>
      <c r="F1670" s="27"/>
      <c r="G1670" s="27"/>
      <c r="H1670" s="27"/>
      <c r="I1670" s="27"/>
      <c r="J1670" s="27"/>
      <c r="K1670" s="27"/>
      <c r="L1670" s="27"/>
      <c r="M1670" s="27"/>
      <c r="N1670" s="27"/>
      <c r="O1670" s="27"/>
      <c r="P1670" s="27"/>
      <c r="Q1670" s="27"/>
      <c r="R1670" s="27"/>
      <c r="S1670" s="27"/>
    </row>
    <row r="1671">
      <c r="B1671" s="27"/>
      <c r="C1671" s="27"/>
      <c r="D1671" s="27"/>
      <c r="E1671" s="27"/>
      <c r="F1671" s="27"/>
      <c r="G1671" s="27"/>
      <c r="H1671" s="27"/>
      <c r="I1671" s="27"/>
      <c r="J1671" s="27"/>
      <c r="K1671" s="27"/>
      <c r="L1671" s="27"/>
      <c r="M1671" s="27"/>
      <c r="N1671" s="27"/>
      <c r="O1671" s="27"/>
      <c r="P1671" s="27"/>
      <c r="Q1671" s="27"/>
      <c r="R1671" s="27"/>
      <c r="S1671" s="27"/>
    </row>
    <row r="1672">
      <c r="B1672" s="27"/>
      <c r="C1672" s="27"/>
      <c r="D1672" s="27"/>
      <c r="E1672" s="27"/>
      <c r="F1672" s="27"/>
      <c r="G1672" s="27"/>
      <c r="H1672" s="27"/>
      <c r="I1672" s="27"/>
      <c r="J1672" s="27"/>
      <c r="K1672" s="27"/>
      <c r="L1672" s="27"/>
      <c r="M1672" s="27"/>
      <c r="N1672" s="27"/>
      <c r="O1672" s="27"/>
      <c r="P1672" s="27"/>
      <c r="Q1672" s="27"/>
      <c r="R1672" s="27"/>
      <c r="S1672" s="27"/>
    </row>
    <row r="1673">
      <c r="B1673" s="27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27"/>
      <c r="R1673" s="27"/>
      <c r="S1673" s="27"/>
    </row>
    <row r="1674">
      <c r="B1674" s="27"/>
      <c r="C1674" s="27"/>
      <c r="D1674" s="27"/>
      <c r="E1674" s="27"/>
      <c r="F1674" s="27"/>
      <c r="G1674" s="27"/>
      <c r="H1674" s="27"/>
      <c r="I1674" s="27"/>
      <c r="J1674" s="27"/>
      <c r="K1674" s="27"/>
      <c r="L1674" s="27"/>
      <c r="M1674" s="27"/>
      <c r="N1674" s="27"/>
      <c r="O1674" s="27"/>
      <c r="P1674" s="27"/>
      <c r="Q1674" s="27"/>
      <c r="R1674" s="27"/>
      <c r="S1674" s="27"/>
    </row>
    <row r="1675">
      <c r="B1675" s="27"/>
      <c r="C1675" s="27"/>
      <c r="D1675" s="27"/>
      <c r="E1675" s="27"/>
      <c r="F1675" s="27"/>
      <c r="G1675" s="27"/>
      <c r="H1675" s="27"/>
      <c r="I1675" s="27"/>
      <c r="J1675" s="27"/>
      <c r="K1675" s="27"/>
      <c r="L1675" s="27"/>
      <c r="M1675" s="27"/>
      <c r="N1675" s="27"/>
      <c r="O1675" s="27"/>
      <c r="P1675" s="27"/>
      <c r="Q1675" s="27"/>
      <c r="R1675" s="27"/>
      <c r="S1675" s="27"/>
    </row>
    <row r="1676">
      <c r="B1676" s="27"/>
      <c r="C1676" s="27"/>
      <c r="D1676" s="27"/>
      <c r="E1676" s="27"/>
      <c r="F1676" s="27"/>
      <c r="G1676" s="27"/>
      <c r="H1676" s="27"/>
      <c r="I1676" s="27"/>
      <c r="J1676" s="27"/>
      <c r="K1676" s="27"/>
      <c r="L1676" s="27"/>
      <c r="M1676" s="27"/>
      <c r="N1676" s="27"/>
      <c r="O1676" s="27"/>
      <c r="P1676" s="27"/>
      <c r="Q1676" s="27"/>
      <c r="R1676" s="27"/>
      <c r="S1676" s="27"/>
    </row>
    <row r="1677">
      <c r="B1677" s="27"/>
      <c r="C1677" s="27"/>
      <c r="D1677" s="27"/>
      <c r="E1677" s="27"/>
      <c r="F1677" s="27"/>
      <c r="G1677" s="27"/>
      <c r="H1677" s="27"/>
      <c r="I1677" s="27"/>
      <c r="J1677" s="27"/>
      <c r="K1677" s="27"/>
      <c r="L1677" s="27"/>
      <c r="M1677" s="27"/>
      <c r="N1677" s="27"/>
      <c r="O1677" s="27"/>
      <c r="P1677" s="27"/>
      <c r="Q1677" s="27"/>
      <c r="R1677" s="27"/>
      <c r="S1677" s="27"/>
    </row>
    <row r="1678">
      <c r="B1678" s="27"/>
      <c r="C1678" s="27"/>
      <c r="D1678" s="27"/>
      <c r="E1678" s="27"/>
      <c r="F1678" s="27"/>
      <c r="G1678" s="27"/>
      <c r="H1678" s="27"/>
      <c r="I1678" s="27"/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</row>
    <row r="1679">
      <c r="B1679" s="27"/>
      <c r="C1679" s="27"/>
      <c r="D1679" s="27"/>
      <c r="E1679" s="27"/>
      <c r="F1679" s="27"/>
      <c r="G1679" s="27"/>
      <c r="H1679" s="27"/>
      <c r="I1679" s="27"/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</row>
    <row r="1680">
      <c r="B1680" s="27"/>
      <c r="C1680" s="27"/>
      <c r="D1680" s="27"/>
      <c r="E1680" s="27"/>
      <c r="F1680" s="27"/>
      <c r="G1680" s="27"/>
      <c r="H1680" s="27"/>
      <c r="I1680" s="27"/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</row>
    <row r="1681">
      <c r="B1681" s="27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</row>
    <row r="1682">
      <c r="B1682" s="27"/>
      <c r="C1682" s="27"/>
      <c r="D1682" s="27"/>
      <c r="E1682" s="27"/>
      <c r="F1682" s="27"/>
      <c r="G1682" s="27"/>
      <c r="H1682" s="27"/>
      <c r="I1682" s="27"/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</row>
    <row r="1683">
      <c r="B1683" s="27"/>
      <c r="C1683" s="27"/>
      <c r="D1683" s="27"/>
      <c r="E1683" s="27"/>
      <c r="F1683" s="27"/>
      <c r="G1683" s="27"/>
      <c r="H1683" s="27"/>
      <c r="I1683" s="27"/>
      <c r="J1683" s="27"/>
      <c r="K1683" s="27"/>
      <c r="L1683" s="27"/>
      <c r="M1683" s="27"/>
      <c r="N1683" s="27"/>
      <c r="O1683" s="27"/>
      <c r="P1683" s="27"/>
      <c r="Q1683" s="27"/>
      <c r="R1683" s="27"/>
      <c r="S1683" s="27"/>
    </row>
    <row r="1684">
      <c r="B1684" s="27"/>
      <c r="C1684" s="27"/>
      <c r="D1684" s="27"/>
      <c r="E1684" s="27"/>
      <c r="F1684" s="27"/>
      <c r="G1684" s="27"/>
      <c r="H1684" s="27"/>
      <c r="I1684" s="27"/>
      <c r="J1684" s="27"/>
      <c r="K1684" s="27"/>
      <c r="L1684" s="27"/>
      <c r="M1684" s="27"/>
      <c r="N1684" s="27"/>
      <c r="O1684" s="27"/>
      <c r="P1684" s="27"/>
      <c r="Q1684" s="27"/>
      <c r="R1684" s="27"/>
      <c r="S1684" s="27"/>
    </row>
    <row r="1685">
      <c r="B1685" s="27"/>
      <c r="C1685" s="27"/>
      <c r="D1685" s="27"/>
      <c r="E1685" s="27"/>
      <c r="F1685" s="27"/>
      <c r="G1685" s="27"/>
      <c r="H1685" s="27"/>
      <c r="I1685" s="27"/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</row>
    <row r="1686">
      <c r="B1686" s="27"/>
      <c r="C1686" s="27"/>
      <c r="D1686" s="27"/>
      <c r="E1686" s="27"/>
      <c r="F1686" s="27"/>
      <c r="G1686" s="27"/>
      <c r="H1686" s="27"/>
      <c r="I1686" s="27"/>
      <c r="J1686" s="27"/>
      <c r="K1686" s="27"/>
      <c r="L1686" s="27"/>
      <c r="M1686" s="27"/>
      <c r="N1686" s="27"/>
      <c r="O1686" s="27"/>
      <c r="P1686" s="27"/>
      <c r="Q1686" s="27"/>
      <c r="R1686" s="27"/>
      <c r="S1686" s="27"/>
    </row>
    <row r="1687">
      <c r="B1687" s="27"/>
      <c r="C1687" s="27"/>
      <c r="D1687" s="27"/>
      <c r="E1687" s="27"/>
      <c r="F1687" s="27"/>
      <c r="G1687" s="27"/>
      <c r="H1687" s="27"/>
      <c r="I1687" s="27"/>
      <c r="J1687" s="27"/>
      <c r="K1687" s="27"/>
      <c r="L1687" s="27"/>
      <c r="M1687" s="27"/>
      <c r="N1687" s="27"/>
      <c r="O1687" s="27"/>
      <c r="P1687" s="27"/>
      <c r="Q1687" s="27"/>
      <c r="R1687" s="27"/>
      <c r="S1687" s="27"/>
    </row>
    <row r="1688">
      <c r="B1688" s="27"/>
      <c r="C1688" s="27"/>
      <c r="D1688" s="27"/>
      <c r="E1688" s="27"/>
      <c r="F1688" s="27"/>
      <c r="G1688" s="27"/>
      <c r="H1688" s="27"/>
      <c r="I1688" s="27"/>
      <c r="J1688" s="27"/>
      <c r="K1688" s="27"/>
      <c r="L1688" s="27"/>
      <c r="M1688" s="27"/>
      <c r="N1688" s="27"/>
      <c r="O1688" s="27"/>
      <c r="P1688" s="27"/>
      <c r="Q1688" s="27"/>
      <c r="R1688" s="27"/>
      <c r="S1688" s="27"/>
    </row>
    <row r="1689">
      <c r="B1689" s="27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</row>
    <row r="1690">
      <c r="B1690" s="27"/>
      <c r="C1690" s="27"/>
      <c r="D1690" s="27"/>
      <c r="E1690" s="27"/>
      <c r="F1690" s="27"/>
      <c r="G1690" s="27"/>
      <c r="H1690" s="27"/>
      <c r="I1690" s="27"/>
      <c r="J1690" s="27"/>
      <c r="K1690" s="27"/>
      <c r="L1690" s="27"/>
      <c r="M1690" s="27"/>
      <c r="N1690" s="27"/>
      <c r="O1690" s="27"/>
      <c r="P1690" s="27"/>
      <c r="Q1690" s="27"/>
      <c r="R1690" s="27"/>
      <c r="S1690" s="27"/>
    </row>
    <row r="1691">
      <c r="B1691" s="27"/>
      <c r="C1691" s="27"/>
      <c r="D1691" s="27"/>
      <c r="E1691" s="27"/>
      <c r="F1691" s="27"/>
      <c r="G1691" s="27"/>
      <c r="H1691" s="27"/>
      <c r="I1691" s="27"/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</row>
    <row r="1692">
      <c r="B1692" s="27"/>
      <c r="C1692" s="27"/>
      <c r="D1692" s="27"/>
      <c r="E1692" s="27"/>
      <c r="F1692" s="27"/>
      <c r="G1692" s="27"/>
      <c r="H1692" s="27"/>
      <c r="I1692" s="27"/>
      <c r="J1692" s="27"/>
      <c r="K1692" s="27"/>
      <c r="L1692" s="27"/>
      <c r="M1692" s="27"/>
      <c r="N1692" s="27"/>
      <c r="O1692" s="27"/>
      <c r="P1692" s="27"/>
      <c r="Q1692" s="27"/>
      <c r="R1692" s="27"/>
      <c r="S1692" s="27"/>
    </row>
    <row r="1693">
      <c r="B1693" s="27"/>
      <c r="C1693" s="27"/>
      <c r="D1693" s="27"/>
      <c r="E1693" s="27"/>
      <c r="F1693" s="27"/>
      <c r="G1693" s="27"/>
      <c r="H1693" s="27"/>
      <c r="I1693" s="27"/>
      <c r="J1693" s="27"/>
      <c r="K1693" s="27"/>
      <c r="L1693" s="27"/>
      <c r="M1693" s="27"/>
      <c r="N1693" s="27"/>
      <c r="O1693" s="27"/>
      <c r="P1693" s="27"/>
      <c r="Q1693" s="27"/>
      <c r="R1693" s="27"/>
      <c r="S1693" s="27"/>
    </row>
    <row r="1694">
      <c r="B1694" s="27"/>
      <c r="C1694" s="27"/>
      <c r="D1694" s="27"/>
      <c r="E1694" s="27"/>
      <c r="F1694" s="27"/>
      <c r="G1694" s="27"/>
      <c r="H1694" s="27"/>
      <c r="I1694" s="27"/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</row>
    <row r="1695">
      <c r="B1695" s="27"/>
      <c r="C1695" s="27"/>
      <c r="D1695" s="27"/>
      <c r="E1695" s="27"/>
      <c r="F1695" s="27"/>
      <c r="G1695" s="27"/>
      <c r="H1695" s="27"/>
      <c r="I1695" s="27"/>
      <c r="J1695" s="27"/>
      <c r="K1695" s="27"/>
      <c r="L1695" s="27"/>
      <c r="M1695" s="27"/>
      <c r="N1695" s="27"/>
      <c r="O1695" s="27"/>
      <c r="P1695" s="27"/>
      <c r="Q1695" s="27"/>
      <c r="R1695" s="27"/>
      <c r="S1695" s="27"/>
    </row>
    <row r="1696">
      <c r="B1696" s="27"/>
      <c r="C1696" s="27"/>
      <c r="D1696" s="27"/>
      <c r="E1696" s="27"/>
      <c r="F1696" s="27"/>
      <c r="G1696" s="27"/>
      <c r="H1696" s="27"/>
      <c r="I1696" s="27"/>
      <c r="J1696" s="27"/>
      <c r="K1696" s="27"/>
      <c r="L1696" s="27"/>
      <c r="M1696" s="27"/>
      <c r="N1696" s="27"/>
      <c r="O1696" s="27"/>
      <c r="P1696" s="27"/>
      <c r="Q1696" s="27"/>
      <c r="R1696" s="27"/>
      <c r="S1696" s="27"/>
    </row>
    <row r="1697">
      <c r="B1697" s="27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27"/>
      <c r="R1697" s="27"/>
      <c r="S1697" s="27"/>
    </row>
    <row r="1698">
      <c r="B1698" s="27"/>
      <c r="C1698" s="27"/>
      <c r="D1698" s="27"/>
      <c r="E1698" s="27"/>
      <c r="F1698" s="27"/>
      <c r="G1698" s="27"/>
      <c r="H1698" s="27"/>
      <c r="I1698" s="27"/>
      <c r="J1698" s="27"/>
      <c r="K1698" s="27"/>
      <c r="L1698" s="27"/>
      <c r="M1698" s="27"/>
      <c r="N1698" s="27"/>
      <c r="O1698" s="27"/>
      <c r="P1698" s="27"/>
      <c r="Q1698" s="27"/>
      <c r="R1698" s="27"/>
      <c r="S1698" s="27"/>
    </row>
    <row r="1699">
      <c r="B1699" s="27"/>
      <c r="C1699" s="27"/>
      <c r="D1699" s="27"/>
      <c r="E1699" s="27"/>
      <c r="F1699" s="27"/>
      <c r="G1699" s="27"/>
      <c r="H1699" s="27"/>
      <c r="I1699" s="27"/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</row>
    <row r="1700">
      <c r="B1700" s="27"/>
      <c r="C1700" s="27"/>
      <c r="D1700" s="27"/>
      <c r="E1700" s="27"/>
      <c r="F1700" s="27"/>
      <c r="G1700" s="27"/>
      <c r="H1700" s="27"/>
      <c r="I1700" s="27"/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</row>
    <row r="1701">
      <c r="B1701" s="27"/>
      <c r="C1701" s="27"/>
      <c r="D1701" s="27"/>
      <c r="E1701" s="27"/>
      <c r="F1701" s="27"/>
      <c r="G1701" s="27"/>
      <c r="H1701" s="27"/>
      <c r="I1701" s="27"/>
      <c r="J1701" s="27"/>
      <c r="K1701" s="27"/>
      <c r="L1701" s="27"/>
      <c r="M1701" s="27"/>
      <c r="N1701" s="27"/>
      <c r="O1701" s="27"/>
      <c r="P1701" s="27"/>
      <c r="Q1701" s="27"/>
      <c r="R1701" s="27"/>
      <c r="S1701" s="27"/>
    </row>
    <row r="1702">
      <c r="B1702" s="27"/>
      <c r="C1702" s="27"/>
      <c r="D1702" s="27"/>
      <c r="E1702" s="27"/>
      <c r="F1702" s="27"/>
      <c r="G1702" s="27"/>
      <c r="H1702" s="27"/>
      <c r="I1702" s="27"/>
      <c r="J1702" s="27"/>
      <c r="K1702" s="27"/>
      <c r="L1702" s="27"/>
      <c r="M1702" s="27"/>
      <c r="N1702" s="27"/>
      <c r="O1702" s="27"/>
      <c r="P1702" s="27"/>
      <c r="Q1702" s="27"/>
      <c r="R1702" s="27"/>
      <c r="S1702" s="27"/>
    </row>
    <row r="1703">
      <c r="B1703" s="27"/>
      <c r="C1703" s="27"/>
      <c r="D1703" s="27"/>
      <c r="E1703" s="27"/>
      <c r="F1703" s="27"/>
      <c r="G1703" s="27"/>
      <c r="H1703" s="27"/>
      <c r="I1703" s="27"/>
      <c r="J1703" s="27"/>
      <c r="K1703" s="27"/>
      <c r="L1703" s="27"/>
      <c r="M1703" s="27"/>
      <c r="N1703" s="27"/>
      <c r="O1703" s="27"/>
      <c r="P1703" s="27"/>
      <c r="Q1703" s="27"/>
      <c r="R1703" s="27"/>
      <c r="S1703" s="27"/>
    </row>
    <row r="1704">
      <c r="B1704" s="27"/>
      <c r="C1704" s="27"/>
      <c r="D1704" s="27"/>
      <c r="E1704" s="27"/>
      <c r="F1704" s="27"/>
      <c r="G1704" s="27"/>
      <c r="H1704" s="27"/>
      <c r="I1704" s="27"/>
      <c r="J1704" s="27"/>
      <c r="K1704" s="27"/>
      <c r="L1704" s="27"/>
      <c r="M1704" s="27"/>
      <c r="N1704" s="27"/>
      <c r="O1704" s="27"/>
      <c r="P1704" s="27"/>
      <c r="Q1704" s="27"/>
      <c r="R1704" s="27"/>
      <c r="S1704" s="27"/>
    </row>
    <row r="1705">
      <c r="B1705" s="27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27"/>
      <c r="R1705" s="27"/>
      <c r="S1705" s="27"/>
    </row>
    <row r="1706">
      <c r="B1706" s="27"/>
      <c r="C1706" s="27"/>
      <c r="D1706" s="27"/>
      <c r="E1706" s="27"/>
      <c r="F1706" s="27"/>
      <c r="G1706" s="27"/>
      <c r="H1706" s="27"/>
      <c r="I1706" s="27"/>
      <c r="J1706" s="27"/>
      <c r="K1706" s="27"/>
      <c r="L1706" s="27"/>
      <c r="M1706" s="27"/>
      <c r="N1706" s="27"/>
      <c r="O1706" s="27"/>
      <c r="P1706" s="27"/>
      <c r="Q1706" s="27"/>
      <c r="R1706" s="27"/>
      <c r="S1706" s="27"/>
    </row>
    <row r="1707">
      <c r="B1707" s="27"/>
      <c r="C1707" s="27"/>
      <c r="D1707" s="27"/>
      <c r="E1707" s="27"/>
      <c r="F1707" s="27"/>
      <c r="G1707" s="27"/>
      <c r="H1707" s="27"/>
      <c r="I1707" s="27"/>
      <c r="J1707" s="27"/>
      <c r="K1707" s="27"/>
      <c r="L1707" s="27"/>
      <c r="M1707" s="27"/>
      <c r="N1707" s="27"/>
      <c r="O1707" s="27"/>
      <c r="P1707" s="27"/>
      <c r="Q1707" s="27"/>
      <c r="R1707" s="27"/>
      <c r="S1707" s="27"/>
    </row>
    <row r="1708">
      <c r="B1708" s="27"/>
      <c r="C1708" s="27"/>
      <c r="D1708" s="27"/>
      <c r="E1708" s="27"/>
      <c r="F1708" s="27"/>
      <c r="G1708" s="27"/>
      <c r="H1708" s="27"/>
      <c r="I1708" s="27"/>
      <c r="J1708" s="27"/>
      <c r="K1708" s="27"/>
      <c r="L1708" s="27"/>
      <c r="M1708" s="27"/>
      <c r="N1708" s="27"/>
      <c r="O1708" s="27"/>
      <c r="P1708" s="27"/>
      <c r="Q1708" s="27"/>
      <c r="R1708" s="27"/>
      <c r="S1708" s="27"/>
    </row>
    <row r="1709">
      <c r="B1709" s="27"/>
      <c r="C1709" s="27"/>
      <c r="D1709" s="27"/>
      <c r="E1709" s="27"/>
      <c r="F1709" s="27"/>
      <c r="G1709" s="27"/>
      <c r="H1709" s="27"/>
      <c r="I1709" s="27"/>
      <c r="J1709" s="27"/>
      <c r="K1709" s="27"/>
      <c r="L1709" s="27"/>
      <c r="M1709" s="27"/>
      <c r="N1709" s="27"/>
      <c r="O1709" s="27"/>
      <c r="P1709" s="27"/>
      <c r="Q1709" s="27"/>
      <c r="R1709" s="27"/>
      <c r="S1709" s="27"/>
    </row>
    <row r="1710">
      <c r="B1710" s="27"/>
      <c r="C1710" s="27"/>
      <c r="D1710" s="27"/>
      <c r="E1710" s="27"/>
      <c r="F1710" s="27"/>
      <c r="G1710" s="27"/>
      <c r="H1710" s="27"/>
      <c r="I1710" s="27"/>
      <c r="J1710" s="27"/>
      <c r="K1710" s="27"/>
      <c r="L1710" s="27"/>
      <c r="M1710" s="27"/>
      <c r="N1710" s="27"/>
      <c r="O1710" s="27"/>
      <c r="P1710" s="27"/>
      <c r="Q1710" s="27"/>
      <c r="R1710" s="27"/>
      <c r="S1710" s="27"/>
    </row>
    <row r="1711">
      <c r="B1711" s="27"/>
      <c r="C1711" s="27"/>
      <c r="D1711" s="27"/>
      <c r="E1711" s="27"/>
      <c r="F1711" s="27"/>
      <c r="G1711" s="27"/>
      <c r="H1711" s="27"/>
      <c r="I1711" s="27"/>
      <c r="J1711" s="27"/>
      <c r="K1711" s="27"/>
      <c r="L1711" s="27"/>
      <c r="M1711" s="27"/>
      <c r="N1711" s="27"/>
      <c r="O1711" s="27"/>
      <c r="P1711" s="27"/>
      <c r="Q1711" s="27"/>
      <c r="R1711" s="27"/>
      <c r="S1711" s="27"/>
    </row>
    <row r="1712">
      <c r="B1712" s="27"/>
      <c r="C1712" s="27"/>
      <c r="D1712" s="27"/>
      <c r="E1712" s="27"/>
      <c r="F1712" s="27"/>
      <c r="G1712" s="27"/>
      <c r="H1712" s="27"/>
      <c r="I1712" s="27"/>
      <c r="J1712" s="27"/>
      <c r="K1712" s="27"/>
      <c r="L1712" s="27"/>
      <c r="M1712" s="27"/>
      <c r="N1712" s="27"/>
      <c r="O1712" s="27"/>
      <c r="P1712" s="27"/>
      <c r="Q1712" s="27"/>
      <c r="R1712" s="27"/>
      <c r="S1712" s="27"/>
    </row>
    <row r="1713">
      <c r="B1713" s="27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27"/>
      <c r="R1713" s="27"/>
      <c r="S1713" s="27"/>
    </row>
    <row r="1714">
      <c r="B1714" s="27"/>
      <c r="C1714" s="27"/>
      <c r="D1714" s="27"/>
      <c r="E1714" s="27"/>
      <c r="F1714" s="27"/>
      <c r="G1714" s="27"/>
      <c r="H1714" s="27"/>
      <c r="I1714" s="27"/>
      <c r="J1714" s="27"/>
      <c r="K1714" s="27"/>
      <c r="L1714" s="27"/>
      <c r="M1714" s="27"/>
      <c r="N1714" s="27"/>
      <c r="O1714" s="27"/>
      <c r="P1714" s="27"/>
      <c r="Q1714" s="27"/>
      <c r="R1714" s="27"/>
      <c r="S1714" s="27"/>
    </row>
    <row r="1715">
      <c r="B1715" s="27"/>
      <c r="C1715" s="27"/>
      <c r="D1715" s="27"/>
      <c r="E1715" s="27"/>
      <c r="F1715" s="27"/>
      <c r="G1715" s="27"/>
      <c r="H1715" s="27"/>
      <c r="I1715" s="27"/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</row>
    <row r="1716">
      <c r="B1716" s="27"/>
      <c r="C1716" s="27"/>
      <c r="D1716" s="27"/>
      <c r="E1716" s="27"/>
      <c r="F1716" s="27"/>
      <c r="G1716" s="27"/>
      <c r="H1716" s="27"/>
      <c r="I1716" s="27"/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</row>
    <row r="1717">
      <c r="B1717" s="27"/>
      <c r="C1717" s="27"/>
      <c r="D1717" s="27"/>
      <c r="E1717" s="27"/>
      <c r="F1717" s="27"/>
      <c r="G1717" s="27"/>
      <c r="H1717" s="27"/>
      <c r="I1717" s="27"/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</row>
    <row r="1718">
      <c r="B1718" s="27"/>
      <c r="C1718" s="27"/>
      <c r="D1718" s="27"/>
      <c r="E1718" s="27"/>
      <c r="F1718" s="27"/>
      <c r="G1718" s="27"/>
      <c r="H1718" s="27"/>
      <c r="I1718" s="27"/>
      <c r="J1718" s="27"/>
      <c r="K1718" s="27"/>
      <c r="L1718" s="27"/>
      <c r="M1718" s="27"/>
      <c r="N1718" s="27"/>
      <c r="O1718" s="27"/>
      <c r="P1718" s="27"/>
      <c r="Q1718" s="27"/>
      <c r="R1718" s="27"/>
      <c r="S1718" s="27"/>
    </row>
    <row r="1719">
      <c r="B1719" s="27"/>
      <c r="C1719" s="27"/>
      <c r="D1719" s="27"/>
      <c r="E1719" s="27"/>
      <c r="F1719" s="27"/>
      <c r="G1719" s="27"/>
      <c r="H1719" s="27"/>
      <c r="I1719" s="27"/>
      <c r="J1719" s="27"/>
      <c r="K1719" s="27"/>
      <c r="L1719" s="27"/>
      <c r="M1719" s="27"/>
      <c r="N1719" s="27"/>
      <c r="O1719" s="27"/>
      <c r="P1719" s="27"/>
      <c r="Q1719" s="27"/>
      <c r="R1719" s="27"/>
      <c r="S1719" s="27"/>
    </row>
    <row r="1720">
      <c r="B1720" s="27"/>
      <c r="C1720" s="27"/>
      <c r="D1720" s="27"/>
      <c r="E1720" s="27"/>
      <c r="F1720" s="27"/>
      <c r="G1720" s="27"/>
      <c r="H1720" s="27"/>
      <c r="I1720" s="27"/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</row>
    <row r="1721">
      <c r="B1721" s="27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</row>
    <row r="1722">
      <c r="B1722" s="27"/>
      <c r="C1722" s="27"/>
      <c r="D1722" s="27"/>
      <c r="E1722" s="27"/>
      <c r="F1722" s="27"/>
      <c r="G1722" s="27"/>
      <c r="H1722" s="27"/>
      <c r="I1722" s="27"/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</row>
    <row r="1723">
      <c r="B1723" s="27"/>
      <c r="C1723" s="27"/>
      <c r="D1723" s="27"/>
      <c r="E1723" s="27"/>
      <c r="F1723" s="27"/>
      <c r="G1723" s="27"/>
      <c r="H1723" s="27"/>
      <c r="I1723" s="27"/>
      <c r="J1723" s="27"/>
      <c r="K1723" s="27"/>
      <c r="L1723" s="27"/>
      <c r="M1723" s="27"/>
      <c r="N1723" s="27"/>
      <c r="O1723" s="27"/>
      <c r="P1723" s="27"/>
      <c r="Q1723" s="27"/>
      <c r="R1723" s="27"/>
      <c r="S1723" s="27"/>
    </row>
    <row r="1724">
      <c r="B1724" s="27"/>
      <c r="C1724" s="27"/>
      <c r="D1724" s="27"/>
      <c r="E1724" s="27"/>
      <c r="F1724" s="27"/>
      <c r="G1724" s="27"/>
      <c r="H1724" s="27"/>
      <c r="I1724" s="27"/>
      <c r="J1724" s="27"/>
      <c r="K1724" s="27"/>
      <c r="L1724" s="27"/>
      <c r="M1724" s="27"/>
      <c r="N1724" s="27"/>
      <c r="O1724" s="27"/>
      <c r="P1724" s="27"/>
      <c r="Q1724" s="27"/>
      <c r="R1724" s="27"/>
      <c r="S1724" s="27"/>
    </row>
    <row r="1725">
      <c r="B1725" s="27"/>
      <c r="C1725" s="27"/>
      <c r="D1725" s="27"/>
      <c r="E1725" s="27"/>
      <c r="F1725" s="27"/>
      <c r="G1725" s="27"/>
      <c r="H1725" s="27"/>
      <c r="I1725" s="27"/>
      <c r="J1725" s="27"/>
      <c r="K1725" s="27"/>
      <c r="L1725" s="27"/>
      <c r="M1725" s="27"/>
      <c r="N1725" s="27"/>
      <c r="O1725" s="27"/>
      <c r="P1725" s="27"/>
      <c r="Q1725" s="27"/>
      <c r="R1725" s="27"/>
      <c r="S1725" s="27"/>
    </row>
    <row r="1726">
      <c r="B1726" s="27"/>
      <c r="C1726" s="27"/>
      <c r="D1726" s="27"/>
      <c r="E1726" s="27"/>
      <c r="F1726" s="27"/>
      <c r="G1726" s="27"/>
      <c r="H1726" s="27"/>
      <c r="I1726" s="27"/>
      <c r="J1726" s="27"/>
      <c r="K1726" s="27"/>
      <c r="L1726" s="27"/>
      <c r="M1726" s="27"/>
      <c r="N1726" s="27"/>
      <c r="O1726" s="27"/>
      <c r="P1726" s="27"/>
      <c r="Q1726" s="27"/>
      <c r="R1726" s="27"/>
      <c r="S1726" s="27"/>
    </row>
    <row r="1727">
      <c r="B1727" s="27"/>
      <c r="C1727" s="27"/>
      <c r="D1727" s="27"/>
      <c r="E1727" s="27"/>
      <c r="F1727" s="27"/>
      <c r="G1727" s="27"/>
      <c r="H1727" s="27"/>
      <c r="I1727" s="27"/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</row>
    <row r="1728">
      <c r="B1728" s="27"/>
      <c r="C1728" s="27"/>
      <c r="D1728" s="27"/>
      <c r="E1728" s="27"/>
      <c r="F1728" s="27"/>
      <c r="G1728" s="27"/>
      <c r="H1728" s="27"/>
      <c r="I1728" s="27"/>
      <c r="J1728" s="27"/>
      <c r="K1728" s="27"/>
      <c r="L1728" s="27"/>
      <c r="M1728" s="27"/>
      <c r="N1728" s="27"/>
      <c r="O1728" s="27"/>
      <c r="P1728" s="27"/>
      <c r="Q1728" s="27"/>
      <c r="R1728" s="27"/>
      <c r="S1728" s="27"/>
    </row>
    <row r="1729">
      <c r="B1729" s="27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</row>
    <row r="1730">
      <c r="B1730" s="27"/>
      <c r="C1730" s="27"/>
      <c r="D1730" s="27"/>
      <c r="E1730" s="27"/>
      <c r="F1730" s="27"/>
      <c r="G1730" s="27"/>
      <c r="H1730" s="27"/>
      <c r="I1730" s="27"/>
      <c r="J1730" s="27"/>
      <c r="K1730" s="27"/>
      <c r="L1730" s="27"/>
      <c r="M1730" s="27"/>
      <c r="N1730" s="27"/>
      <c r="O1730" s="27"/>
      <c r="P1730" s="27"/>
      <c r="Q1730" s="27"/>
      <c r="R1730" s="27"/>
      <c r="S1730" s="27"/>
    </row>
    <row r="1731">
      <c r="B1731" s="27"/>
      <c r="C1731" s="27"/>
      <c r="D1731" s="27"/>
      <c r="E1731" s="27"/>
      <c r="F1731" s="27"/>
      <c r="G1731" s="27"/>
      <c r="H1731" s="27"/>
      <c r="I1731" s="27"/>
      <c r="J1731" s="27"/>
      <c r="K1731" s="27"/>
      <c r="L1731" s="27"/>
      <c r="M1731" s="27"/>
      <c r="N1731" s="27"/>
      <c r="O1731" s="27"/>
      <c r="P1731" s="27"/>
      <c r="Q1731" s="27"/>
      <c r="R1731" s="27"/>
      <c r="S1731" s="27"/>
    </row>
    <row r="1732">
      <c r="B1732" s="27"/>
      <c r="C1732" s="27"/>
      <c r="D1732" s="27"/>
      <c r="E1732" s="27"/>
      <c r="F1732" s="27"/>
      <c r="G1732" s="27"/>
      <c r="H1732" s="27"/>
      <c r="I1732" s="27"/>
      <c r="J1732" s="27"/>
      <c r="K1732" s="27"/>
      <c r="L1732" s="27"/>
      <c r="M1732" s="27"/>
      <c r="N1732" s="27"/>
      <c r="O1732" s="27"/>
      <c r="P1732" s="27"/>
      <c r="Q1732" s="27"/>
      <c r="R1732" s="27"/>
      <c r="S1732" s="27"/>
    </row>
    <row r="1733">
      <c r="B1733" s="27"/>
      <c r="C1733" s="27"/>
      <c r="D1733" s="27"/>
      <c r="E1733" s="27"/>
      <c r="F1733" s="27"/>
      <c r="G1733" s="27"/>
      <c r="H1733" s="27"/>
      <c r="I1733" s="27"/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</row>
    <row r="1734">
      <c r="B1734" s="27"/>
      <c r="C1734" s="27"/>
      <c r="D1734" s="27"/>
      <c r="E1734" s="27"/>
      <c r="F1734" s="27"/>
      <c r="G1734" s="27"/>
      <c r="H1734" s="27"/>
      <c r="I1734" s="27"/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</row>
    <row r="1735">
      <c r="B1735" s="27"/>
      <c r="C1735" s="27"/>
      <c r="D1735" s="27"/>
      <c r="E1735" s="27"/>
      <c r="F1735" s="27"/>
      <c r="G1735" s="27"/>
      <c r="H1735" s="27"/>
      <c r="I1735" s="27"/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</row>
    <row r="1736">
      <c r="B1736" s="27"/>
      <c r="C1736" s="27"/>
      <c r="D1736" s="27"/>
      <c r="E1736" s="27"/>
      <c r="F1736" s="27"/>
      <c r="G1736" s="27"/>
      <c r="H1736" s="27"/>
      <c r="I1736" s="27"/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</row>
    <row r="1737">
      <c r="B1737" s="27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27"/>
      <c r="R1737" s="27"/>
      <c r="S1737" s="27"/>
    </row>
    <row r="1738">
      <c r="B1738" s="27"/>
      <c r="C1738" s="27"/>
      <c r="D1738" s="27"/>
      <c r="E1738" s="27"/>
      <c r="F1738" s="27"/>
      <c r="G1738" s="27"/>
      <c r="H1738" s="27"/>
      <c r="I1738" s="27"/>
      <c r="J1738" s="27"/>
      <c r="K1738" s="27"/>
      <c r="L1738" s="27"/>
      <c r="M1738" s="27"/>
      <c r="N1738" s="27"/>
      <c r="O1738" s="27"/>
      <c r="P1738" s="27"/>
      <c r="Q1738" s="27"/>
      <c r="R1738" s="27"/>
      <c r="S1738" s="27"/>
    </row>
    <row r="1739">
      <c r="B1739" s="27"/>
      <c r="C1739" s="27"/>
      <c r="D1739" s="27"/>
      <c r="E1739" s="27"/>
      <c r="F1739" s="27"/>
      <c r="G1739" s="27"/>
      <c r="H1739" s="27"/>
      <c r="I1739" s="27"/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</row>
    <row r="1740">
      <c r="B1740" s="27"/>
      <c r="C1740" s="27"/>
      <c r="D1740" s="27"/>
      <c r="E1740" s="27"/>
      <c r="F1740" s="27"/>
      <c r="G1740" s="27"/>
      <c r="H1740" s="27"/>
      <c r="I1740" s="27"/>
      <c r="J1740" s="27"/>
      <c r="K1740" s="27"/>
      <c r="L1740" s="27"/>
      <c r="M1740" s="27"/>
      <c r="N1740" s="27"/>
      <c r="O1740" s="27"/>
      <c r="P1740" s="27"/>
      <c r="Q1740" s="27"/>
      <c r="R1740" s="27"/>
      <c r="S1740" s="27"/>
    </row>
    <row r="1741">
      <c r="B1741" s="27"/>
      <c r="C1741" s="27"/>
      <c r="D1741" s="27"/>
      <c r="E1741" s="27"/>
      <c r="F1741" s="27"/>
      <c r="G1741" s="27"/>
      <c r="H1741" s="27"/>
      <c r="I1741" s="27"/>
      <c r="J1741" s="27"/>
      <c r="K1741" s="27"/>
      <c r="L1741" s="27"/>
      <c r="M1741" s="27"/>
      <c r="N1741" s="27"/>
      <c r="O1741" s="27"/>
      <c r="P1741" s="27"/>
      <c r="Q1741" s="27"/>
      <c r="R1741" s="27"/>
      <c r="S1741" s="27"/>
    </row>
    <row r="1742">
      <c r="B1742" s="27"/>
      <c r="C1742" s="27"/>
      <c r="D1742" s="27"/>
      <c r="E1742" s="27"/>
      <c r="F1742" s="27"/>
      <c r="G1742" s="27"/>
      <c r="H1742" s="27"/>
      <c r="I1742" s="27"/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</row>
    <row r="1743">
      <c r="B1743" s="27"/>
      <c r="C1743" s="27"/>
      <c r="D1743" s="27"/>
      <c r="E1743" s="27"/>
      <c r="F1743" s="27"/>
      <c r="G1743" s="27"/>
      <c r="H1743" s="27"/>
      <c r="I1743" s="27"/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</row>
    <row r="1744">
      <c r="B1744" s="27"/>
      <c r="C1744" s="27"/>
      <c r="D1744" s="27"/>
      <c r="E1744" s="27"/>
      <c r="F1744" s="27"/>
      <c r="G1744" s="27"/>
      <c r="H1744" s="27"/>
      <c r="I1744" s="27"/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</row>
    <row r="1745">
      <c r="B1745" s="27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</row>
    <row r="1746">
      <c r="B1746" s="27"/>
      <c r="C1746" s="27"/>
      <c r="D1746" s="27"/>
      <c r="E1746" s="27"/>
      <c r="F1746" s="27"/>
      <c r="G1746" s="27"/>
      <c r="H1746" s="27"/>
      <c r="I1746" s="27"/>
      <c r="J1746" s="27"/>
      <c r="K1746" s="27"/>
      <c r="L1746" s="27"/>
      <c r="M1746" s="27"/>
      <c r="N1746" s="27"/>
      <c r="O1746" s="27"/>
      <c r="P1746" s="27"/>
      <c r="Q1746" s="27"/>
      <c r="R1746" s="27"/>
      <c r="S1746" s="27"/>
    </row>
    <row r="1747">
      <c r="B1747" s="27"/>
      <c r="C1747" s="27"/>
      <c r="D1747" s="27"/>
      <c r="E1747" s="27"/>
      <c r="F1747" s="27"/>
      <c r="G1747" s="27"/>
      <c r="H1747" s="27"/>
      <c r="I1747" s="27"/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</row>
    <row r="1748">
      <c r="B1748" s="27"/>
      <c r="C1748" s="27"/>
      <c r="D1748" s="27"/>
      <c r="E1748" s="27"/>
      <c r="F1748" s="27"/>
      <c r="G1748" s="27"/>
      <c r="H1748" s="27"/>
      <c r="I1748" s="27"/>
      <c r="J1748" s="27"/>
      <c r="K1748" s="27"/>
      <c r="L1748" s="27"/>
      <c r="M1748" s="27"/>
      <c r="N1748" s="27"/>
      <c r="O1748" s="27"/>
      <c r="P1748" s="27"/>
      <c r="Q1748" s="27"/>
      <c r="R1748" s="27"/>
      <c r="S1748" s="27"/>
    </row>
    <row r="1749">
      <c r="B1749" s="27"/>
      <c r="C1749" s="27"/>
      <c r="D1749" s="27"/>
      <c r="E1749" s="27"/>
      <c r="F1749" s="27"/>
      <c r="G1749" s="27"/>
      <c r="H1749" s="27"/>
      <c r="I1749" s="27"/>
      <c r="J1749" s="27"/>
      <c r="K1749" s="27"/>
      <c r="L1749" s="27"/>
      <c r="M1749" s="27"/>
      <c r="N1749" s="27"/>
      <c r="O1749" s="27"/>
      <c r="P1749" s="27"/>
      <c r="Q1749" s="27"/>
      <c r="R1749" s="27"/>
      <c r="S1749" s="27"/>
    </row>
    <row r="1750">
      <c r="B1750" s="27"/>
      <c r="C1750" s="27"/>
      <c r="D1750" s="27"/>
      <c r="E1750" s="27"/>
      <c r="F1750" s="27"/>
      <c r="G1750" s="27"/>
      <c r="H1750" s="27"/>
      <c r="I1750" s="27"/>
      <c r="J1750" s="27"/>
      <c r="K1750" s="27"/>
      <c r="L1750" s="27"/>
      <c r="M1750" s="27"/>
      <c r="N1750" s="27"/>
      <c r="O1750" s="27"/>
      <c r="P1750" s="27"/>
      <c r="Q1750" s="27"/>
      <c r="R1750" s="27"/>
      <c r="S1750" s="27"/>
    </row>
    <row r="1751">
      <c r="B1751" s="27"/>
      <c r="C1751" s="27"/>
      <c r="D1751" s="27"/>
      <c r="E1751" s="27"/>
      <c r="F1751" s="27"/>
      <c r="G1751" s="27"/>
      <c r="H1751" s="27"/>
      <c r="I1751" s="27"/>
      <c r="J1751" s="27"/>
      <c r="K1751" s="27"/>
      <c r="L1751" s="27"/>
      <c r="M1751" s="27"/>
      <c r="N1751" s="27"/>
      <c r="O1751" s="27"/>
      <c r="P1751" s="27"/>
      <c r="Q1751" s="27"/>
      <c r="R1751" s="27"/>
      <c r="S1751" s="27"/>
    </row>
    <row r="1752">
      <c r="B1752" s="27"/>
      <c r="C1752" s="27"/>
      <c r="D1752" s="27"/>
      <c r="E1752" s="27"/>
      <c r="F1752" s="27"/>
      <c r="G1752" s="27"/>
      <c r="H1752" s="27"/>
      <c r="I1752" s="27"/>
      <c r="J1752" s="27"/>
      <c r="K1752" s="27"/>
      <c r="L1752" s="27"/>
      <c r="M1752" s="27"/>
      <c r="N1752" s="27"/>
      <c r="O1752" s="27"/>
      <c r="P1752" s="27"/>
      <c r="Q1752" s="27"/>
      <c r="R1752" s="27"/>
      <c r="S1752" s="27"/>
    </row>
    <row r="1753">
      <c r="B1753" s="27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27"/>
      <c r="R1753" s="27"/>
      <c r="S1753" s="27"/>
    </row>
    <row r="1754">
      <c r="B1754" s="27"/>
      <c r="C1754" s="27"/>
      <c r="D1754" s="27"/>
      <c r="E1754" s="27"/>
      <c r="F1754" s="27"/>
      <c r="G1754" s="27"/>
      <c r="H1754" s="27"/>
      <c r="I1754" s="27"/>
      <c r="J1754" s="27"/>
      <c r="K1754" s="27"/>
      <c r="L1754" s="27"/>
      <c r="M1754" s="27"/>
      <c r="N1754" s="27"/>
      <c r="O1754" s="27"/>
      <c r="P1754" s="27"/>
      <c r="Q1754" s="27"/>
      <c r="R1754" s="27"/>
      <c r="S1754" s="27"/>
    </row>
    <row r="1755">
      <c r="B1755" s="27"/>
      <c r="C1755" s="27"/>
      <c r="D1755" s="27"/>
      <c r="E1755" s="27"/>
      <c r="F1755" s="27"/>
      <c r="G1755" s="27"/>
      <c r="H1755" s="27"/>
      <c r="I1755" s="27"/>
      <c r="J1755" s="27"/>
      <c r="K1755" s="27"/>
      <c r="L1755" s="27"/>
      <c r="M1755" s="27"/>
      <c r="N1755" s="27"/>
      <c r="O1755" s="27"/>
      <c r="P1755" s="27"/>
      <c r="Q1755" s="27"/>
      <c r="R1755" s="27"/>
      <c r="S1755" s="27"/>
    </row>
    <row r="1756">
      <c r="B1756" s="27"/>
      <c r="C1756" s="27"/>
      <c r="D1756" s="27"/>
      <c r="E1756" s="27"/>
      <c r="F1756" s="27"/>
      <c r="G1756" s="27"/>
      <c r="H1756" s="27"/>
      <c r="I1756" s="27"/>
      <c r="J1756" s="27"/>
      <c r="K1756" s="27"/>
      <c r="L1756" s="27"/>
      <c r="M1756" s="27"/>
      <c r="N1756" s="27"/>
      <c r="O1756" s="27"/>
      <c r="P1756" s="27"/>
      <c r="Q1756" s="27"/>
      <c r="R1756" s="27"/>
      <c r="S1756" s="27"/>
    </row>
    <row r="1757">
      <c r="B1757" s="27"/>
      <c r="C1757" s="27"/>
      <c r="D1757" s="27"/>
      <c r="E1757" s="27"/>
      <c r="F1757" s="27"/>
      <c r="G1757" s="27"/>
      <c r="H1757" s="27"/>
      <c r="I1757" s="27"/>
      <c r="J1757" s="27"/>
      <c r="K1757" s="27"/>
      <c r="L1757" s="27"/>
      <c r="M1757" s="27"/>
      <c r="N1757" s="27"/>
      <c r="O1757" s="27"/>
      <c r="P1757" s="27"/>
      <c r="Q1757" s="27"/>
      <c r="R1757" s="27"/>
      <c r="S1757" s="27"/>
    </row>
    <row r="1758">
      <c r="B1758" s="27"/>
      <c r="C1758" s="27"/>
      <c r="D1758" s="27"/>
      <c r="E1758" s="27"/>
      <c r="F1758" s="27"/>
      <c r="G1758" s="27"/>
      <c r="H1758" s="27"/>
      <c r="I1758" s="27"/>
      <c r="J1758" s="27"/>
      <c r="K1758" s="27"/>
      <c r="L1758" s="27"/>
      <c r="M1758" s="27"/>
      <c r="N1758" s="27"/>
      <c r="O1758" s="27"/>
      <c r="P1758" s="27"/>
      <c r="Q1758" s="27"/>
      <c r="R1758" s="27"/>
      <c r="S1758" s="27"/>
    </row>
    <row r="1759">
      <c r="B1759" s="27"/>
      <c r="C1759" s="27"/>
      <c r="D1759" s="27"/>
      <c r="E1759" s="27"/>
      <c r="F1759" s="27"/>
      <c r="G1759" s="27"/>
      <c r="H1759" s="27"/>
      <c r="I1759" s="27"/>
      <c r="J1759" s="27"/>
      <c r="K1759" s="27"/>
      <c r="L1759" s="27"/>
      <c r="M1759" s="27"/>
      <c r="N1759" s="27"/>
      <c r="O1759" s="27"/>
      <c r="P1759" s="27"/>
      <c r="Q1759" s="27"/>
      <c r="R1759" s="27"/>
      <c r="S1759" s="27"/>
    </row>
    <row r="1760">
      <c r="B1760" s="27"/>
      <c r="C1760" s="27"/>
      <c r="D1760" s="27"/>
      <c r="E1760" s="27"/>
      <c r="F1760" s="27"/>
      <c r="G1760" s="27"/>
      <c r="H1760" s="27"/>
      <c r="I1760" s="27"/>
      <c r="J1760" s="27"/>
      <c r="K1760" s="27"/>
      <c r="L1760" s="27"/>
      <c r="M1760" s="27"/>
      <c r="N1760" s="27"/>
      <c r="O1760" s="27"/>
      <c r="P1760" s="27"/>
      <c r="Q1760" s="27"/>
      <c r="R1760" s="27"/>
      <c r="S1760" s="27"/>
    </row>
    <row r="1761">
      <c r="B1761" s="27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27"/>
      <c r="R1761" s="27"/>
      <c r="S1761" s="27"/>
    </row>
    <row r="1762">
      <c r="B1762" s="27"/>
      <c r="C1762" s="27"/>
      <c r="D1762" s="27"/>
      <c r="E1762" s="27"/>
      <c r="F1762" s="27"/>
      <c r="G1762" s="27"/>
      <c r="H1762" s="27"/>
      <c r="I1762" s="27"/>
      <c r="J1762" s="27"/>
      <c r="K1762" s="27"/>
      <c r="L1762" s="27"/>
      <c r="M1762" s="27"/>
      <c r="N1762" s="27"/>
      <c r="O1762" s="27"/>
      <c r="P1762" s="27"/>
      <c r="Q1762" s="27"/>
      <c r="R1762" s="27"/>
      <c r="S1762" s="27"/>
    </row>
    <row r="1763">
      <c r="B1763" s="27"/>
      <c r="C1763" s="27"/>
      <c r="D1763" s="27"/>
      <c r="E1763" s="27"/>
      <c r="F1763" s="27"/>
      <c r="G1763" s="27"/>
      <c r="H1763" s="27"/>
      <c r="I1763" s="27"/>
      <c r="J1763" s="27"/>
      <c r="K1763" s="27"/>
      <c r="L1763" s="27"/>
      <c r="M1763" s="27"/>
      <c r="N1763" s="27"/>
      <c r="O1763" s="27"/>
      <c r="P1763" s="27"/>
      <c r="Q1763" s="27"/>
      <c r="R1763" s="27"/>
      <c r="S1763" s="27"/>
    </row>
    <row r="1764">
      <c r="B1764" s="27"/>
      <c r="C1764" s="27"/>
      <c r="D1764" s="27"/>
      <c r="E1764" s="27"/>
      <c r="F1764" s="27"/>
      <c r="G1764" s="27"/>
      <c r="H1764" s="27"/>
      <c r="I1764" s="27"/>
      <c r="J1764" s="27"/>
      <c r="K1764" s="27"/>
      <c r="L1764" s="27"/>
      <c r="M1764" s="27"/>
      <c r="N1764" s="27"/>
      <c r="O1764" s="27"/>
      <c r="P1764" s="27"/>
      <c r="Q1764" s="27"/>
      <c r="R1764" s="27"/>
      <c r="S1764" s="27"/>
    </row>
    <row r="1765">
      <c r="B1765" s="27"/>
      <c r="C1765" s="27"/>
      <c r="D1765" s="27"/>
      <c r="E1765" s="27"/>
      <c r="F1765" s="27"/>
      <c r="G1765" s="27"/>
      <c r="H1765" s="27"/>
      <c r="I1765" s="27"/>
      <c r="J1765" s="27"/>
      <c r="K1765" s="27"/>
      <c r="L1765" s="27"/>
      <c r="M1765" s="27"/>
      <c r="N1765" s="27"/>
      <c r="O1765" s="27"/>
      <c r="P1765" s="27"/>
      <c r="Q1765" s="27"/>
      <c r="R1765" s="27"/>
      <c r="S1765" s="27"/>
    </row>
    <row r="1766">
      <c r="B1766" s="27"/>
      <c r="C1766" s="27"/>
      <c r="D1766" s="27"/>
      <c r="E1766" s="27"/>
      <c r="F1766" s="27"/>
      <c r="G1766" s="27"/>
      <c r="H1766" s="27"/>
      <c r="I1766" s="27"/>
      <c r="J1766" s="27"/>
      <c r="K1766" s="27"/>
      <c r="L1766" s="27"/>
      <c r="M1766" s="27"/>
      <c r="N1766" s="27"/>
      <c r="O1766" s="27"/>
      <c r="P1766" s="27"/>
      <c r="Q1766" s="27"/>
      <c r="R1766" s="27"/>
      <c r="S1766" s="27"/>
    </row>
    <row r="1767">
      <c r="B1767" s="27"/>
      <c r="C1767" s="27"/>
      <c r="D1767" s="27"/>
      <c r="E1767" s="27"/>
      <c r="F1767" s="27"/>
      <c r="G1767" s="27"/>
      <c r="H1767" s="27"/>
      <c r="I1767" s="27"/>
      <c r="J1767" s="27"/>
      <c r="K1767" s="27"/>
      <c r="L1767" s="27"/>
      <c r="M1767" s="27"/>
      <c r="N1767" s="27"/>
      <c r="O1767" s="27"/>
      <c r="P1767" s="27"/>
      <c r="Q1767" s="27"/>
      <c r="R1767" s="27"/>
      <c r="S1767" s="27"/>
    </row>
    <row r="1768">
      <c r="B1768" s="27"/>
      <c r="C1768" s="27"/>
      <c r="D1768" s="27"/>
      <c r="E1768" s="27"/>
      <c r="F1768" s="27"/>
      <c r="G1768" s="27"/>
      <c r="H1768" s="27"/>
      <c r="I1768" s="27"/>
      <c r="J1768" s="27"/>
      <c r="K1768" s="27"/>
      <c r="L1768" s="27"/>
      <c r="M1768" s="27"/>
      <c r="N1768" s="27"/>
      <c r="O1768" s="27"/>
      <c r="P1768" s="27"/>
      <c r="Q1768" s="27"/>
      <c r="R1768" s="27"/>
      <c r="S1768" s="27"/>
    </row>
    <row r="1769">
      <c r="B1769" s="27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27"/>
      <c r="R1769" s="27"/>
      <c r="S1769" s="27"/>
    </row>
    <row r="1770">
      <c r="B1770" s="27"/>
      <c r="C1770" s="27"/>
      <c r="D1770" s="27"/>
      <c r="E1770" s="27"/>
      <c r="F1770" s="27"/>
      <c r="G1770" s="27"/>
      <c r="H1770" s="27"/>
      <c r="I1770" s="27"/>
      <c r="J1770" s="27"/>
      <c r="K1770" s="27"/>
      <c r="L1770" s="27"/>
      <c r="M1770" s="27"/>
      <c r="N1770" s="27"/>
      <c r="O1770" s="27"/>
      <c r="P1770" s="27"/>
      <c r="Q1770" s="27"/>
      <c r="R1770" s="27"/>
      <c r="S1770" s="27"/>
    </row>
    <row r="1771">
      <c r="B1771" s="27"/>
      <c r="C1771" s="27"/>
      <c r="D1771" s="27"/>
      <c r="E1771" s="27"/>
      <c r="F1771" s="27"/>
      <c r="G1771" s="27"/>
      <c r="H1771" s="27"/>
      <c r="I1771" s="27"/>
      <c r="J1771" s="27"/>
      <c r="K1771" s="27"/>
      <c r="L1771" s="27"/>
      <c r="M1771" s="27"/>
      <c r="N1771" s="27"/>
      <c r="O1771" s="27"/>
      <c r="P1771" s="27"/>
      <c r="Q1771" s="27"/>
      <c r="R1771" s="27"/>
      <c r="S1771" s="27"/>
    </row>
    <row r="1772">
      <c r="B1772" s="27"/>
      <c r="C1772" s="27"/>
      <c r="D1772" s="27"/>
      <c r="E1772" s="27"/>
      <c r="F1772" s="27"/>
      <c r="G1772" s="27"/>
      <c r="H1772" s="27"/>
      <c r="I1772" s="27"/>
      <c r="J1772" s="27"/>
      <c r="K1772" s="27"/>
      <c r="L1772" s="27"/>
      <c r="M1772" s="27"/>
      <c r="N1772" s="27"/>
      <c r="O1772" s="27"/>
      <c r="P1772" s="27"/>
      <c r="Q1772" s="27"/>
      <c r="R1772" s="27"/>
      <c r="S1772" s="27"/>
    </row>
    <row r="1773">
      <c r="B1773" s="27"/>
      <c r="C1773" s="27"/>
      <c r="D1773" s="27"/>
      <c r="E1773" s="27"/>
      <c r="F1773" s="27"/>
      <c r="G1773" s="27"/>
      <c r="H1773" s="27"/>
      <c r="I1773" s="27"/>
      <c r="J1773" s="27"/>
      <c r="K1773" s="27"/>
      <c r="L1773" s="27"/>
      <c r="M1773" s="27"/>
      <c r="N1773" s="27"/>
      <c r="O1773" s="27"/>
      <c r="P1773" s="27"/>
      <c r="Q1773" s="27"/>
      <c r="R1773" s="27"/>
      <c r="S1773" s="27"/>
    </row>
    <row r="1774">
      <c r="B1774" s="27"/>
      <c r="C1774" s="27"/>
      <c r="D1774" s="27"/>
      <c r="E1774" s="27"/>
      <c r="F1774" s="27"/>
      <c r="G1774" s="27"/>
      <c r="H1774" s="27"/>
      <c r="I1774" s="27"/>
      <c r="J1774" s="27"/>
      <c r="K1774" s="27"/>
      <c r="L1774" s="27"/>
      <c r="M1774" s="27"/>
      <c r="N1774" s="27"/>
      <c r="O1774" s="27"/>
      <c r="P1774" s="27"/>
      <c r="Q1774" s="27"/>
      <c r="R1774" s="27"/>
      <c r="S1774" s="27"/>
    </row>
    <row r="1775">
      <c r="B1775" s="27"/>
      <c r="C1775" s="27"/>
      <c r="D1775" s="27"/>
      <c r="E1775" s="27"/>
      <c r="F1775" s="27"/>
      <c r="G1775" s="27"/>
      <c r="H1775" s="27"/>
      <c r="I1775" s="27"/>
      <c r="J1775" s="27"/>
      <c r="K1775" s="27"/>
      <c r="L1775" s="27"/>
      <c r="M1775" s="27"/>
      <c r="N1775" s="27"/>
      <c r="O1775" s="27"/>
      <c r="P1775" s="27"/>
      <c r="Q1775" s="27"/>
      <c r="R1775" s="27"/>
      <c r="S1775" s="27"/>
    </row>
    <row r="1776">
      <c r="B1776" s="27"/>
      <c r="C1776" s="27"/>
      <c r="D1776" s="27"/>
      <c r="E1776" s="27"/>
      <c r="F1776" s="27"/>
      <c r="G1776" s="27"/>
      <c r="H1776" s="27"/>
      <c r="I1776" s="27"/>
      <c r="J1776" s="27"/>
      <c r="K1776" s="27"/>
      <c r="L1776" s="27"/>
      <c r="M1776" s="27"/>
      <c r="N1776" s="27"/>
      <c r="O1776" s="27"/>
      <c r="P1776" s="27"/>
      <c r="Q1776" s="27"/>
      <c r="R1776" s="27"/>
      <c r="S1776" s="27"/>
    </row>
    <row r="1777">
      <c r="B1777" s="27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27"/>
      <c r="R1777" s="27"/>
      <c r="S1777" s="27"/>
    </row>
    <row r="1778">
      <c r="B1778" s="27"/>
      <c r="C1778" s="27"/>
      <c r="D1778" s="27"/>
      <c r="E1778" s="27"/>
      <c r="F1778" s="27"/>
      <c r="G1778" s="27"/>
      <c r="H1778" s="27"/>
      <c r="I1778" s="27"/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</row>
    <row r="1779">
      <c r="B1779" s="27"/>
      <c r="C1779" s="27"/>
      <c r="D1779" s="27"/>
      <c r="E1779" s="27"/>
      <c r="F1779" s="27"/>
      <c r="G1779" s="27"/>
      <c r="H1779" s="27"/>
      <c r="I1779" s="27"/>
      <c r="J1779" s="27"/>
      <c r="K1779" s="27"/>
      <c r="L1779" s="27"/>
      <c r="M1779" s="27"/>
      <c r="N1779" s="27"/>
      <c r="O1779" s="27"/>
      <c r="P1779" s="27"/>
      <c r="Q1779" s="27"/>
      <c r="R1779" s="27"/>
      <c r="S1779" s="27"/>
    </row>
    <row r="1780">
      <c r="B1780" s="27"/>
      <c r="C1780" s="27"/>
      <c r="D1780" s="27"/>
      <c r="E1780" s="27"/>
      <c r="F1780" s="27"/>
      <c r="G1780" s="27"/>
      <c r="H1780" s="27"/>
      <c r="I1780" s="27"/>
      <c r="J1780" s="27"/>
      <c r="K1780" s="27"/>
      <c r="L1780" s="27"/>
      <c r="M1780" s="27"/>
      <c r="N1780" s="27"/>
      <c r="O1780" s="27"/>
      <c r="P1780" s="27"/>
      <c r="Q1780" s="27"/>
      <c r="R1780" s="27"/>
      <c r="S1780" s="27"/>
    </row>
    <row r="1781">
      <c r="B1781" s="27"/>
      <c r="C1781" s="27"/>
      <c r="D1781" s="27"/>
      <c r="E1781" s="27"/>
      <c r="F1781" s="27"/>
      <c r="G1781" s="27"/>
      <c r="H1781" s="27"/>
      <c r="I1781" s="27"/>
      <c r="J1781" s="27"/>
      <c r="K1781" s="27"/>
      <c r="L1781" s="27"/>
      <c r="M1781" s="27"/>
      <c r="N1781" s="27"/>
      <c r="O1781" s="27"/>
      <c r="P1781" s="27"/>
      <c r="Q1781" s="27"/>
      <c r="R1781" s="27"/>
      <c r="S1781" s="27"/>
    </row>
    <row r="1782">
      <c r="B1782" s="27"/>
      <c r="C1782" s="27"/>
      <c r="D1782" s="27"/>
      <c r="E1782" s="27"/>
      <c r="F1782" s="27"/>
      <c r="G1782" s="27"/>
      <c r="H1782" s="27"/>
      <c r="I1782" s="27"/>
      <c r="J1782" s="27"/>
      <c r="K1782" s="27"/>
      <c r="L1782" s="27"/>
      <c r="M1782" s="27"/>
      <c r="N1782" s="27"/>
      <c r="O1782" s="27"/>
      <c r="P1782" s="27"/>
      <c r="Q1782" s="27"/>
      <c r="R1782" s="27"/>
      <c r="S1782" s="27"/>
    </row>
    <row r="1783">
      <c r="B1783" s="27"/>
      <c r="C1783" s="27"/>
      <c r="D1783" s="27"/>
      <c r="E1783" s="27"/>
      <c r="F1783" s="27"/>
      <c r="G1783" s="27"/>
      <c r="H1783" s="27"/>
      <c r="I1783" s="27"/>
      <c r="J1783" s="27"/>
      <c r="K1783" s="27"/>
      <c r="L1783" s="27"/>
      <c r="M1783" s="27"/>
      <c r="N1783" s="27"/>
      <c r="O1783" s="27"/>
      <c r="P1783" s="27"/>
      <c r="Q1783" s="27"/>
      <c r="R1783" s="27"/>
      <c r="S1783" s="27"/>
    </row>
    <row r="1784">
      <c r="B1784" s="27"/>
      <c r="C1784" s="27"/>
      <c r="D1784" s="27"/>
      <c r="E1784" s="27"/>
      <c r="F1784" s="27"/>
      <c r="G1784" s="27"/>
      <c r="H1784" s="27"/>
      <c r="I1784" s="27"/>
      <c r="J1784" s="27"/>
      <c r="K1784" s="27"/>
      <c r="L1784" s="27"/>
      <c r="M1784" s="27"/>
      <c r="N1784" s="27"/>
      <c r="O1784" s="27"/>
      <c r="P1784" s="27"/>
      <c r="Q1784" s="27"/>
      <c r="R1784" s="27"/>
      <c r="S1784" s="27"/>
    </row>
    <row r="1785">
      <c r="B1785" s="27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27"/>
      <c r="R1785" s="27"/>
      <c r="S1785" s="27"/>
    </row>
    <row r="1786">
      <c r="B1786" s="27"/>
      <c r="C1786" s="27"/>
      <c r="D1786" s="27"/>
      <c r="E1786" s="27"/>
      <c r="F1786" s="27"/>
      <c r="G1786" s="27"/>
      <c r="H1786" s="27"/>
      <c r="I1786" s="27"/>
      <c r="J1786" s="27"/>
      <c r="K1786" s="27"/>
      <c r="L1786" s="27"/>
      <c r="M1786" s="27"/>
      <c r="N1786" s="27"/>
      <c r="O1786" s="27"/>
      <c r="P1786" s="27"/>
      <c r="Q1786" s="27"/>
      <c r="R1786" s="27"/>
      <c r="S1786" s="27"/>
    </row>
    <row r="1787">
      <c r="B1787" s="27"/>
      <c r="C1787" s="27"/>
      <c r="D1787" s="27"/>
      <c r="E1787" s="27"/>
      <c r="F1787" s="27"/>
      <c r="G1787" s="27"/>
      <c r="H1787" s="27"/>
      <c r="I1787" s="27"/>
      <c r="J1787" s="27"/>
      <c r="K1787" s="27"/>
      <c r="L1787" s="27"/>
      <c r="M1787" s="27"/>
      <c r="N1787" s="27"/>
      <c r="O1787" s="27"/>
      <c r="P1787" s="27"/>
      <c r="Q1787" s="27"/>
      <c r="R1787" s="27"/>
      <c r="S1787" s="27"/>
    </row>
    <row r="1788">
      <c r="B1788" s="27"/>
      <c r="C1788" s="27"/>
      <c r="D1788" s="27"/>
      <c r="E1788" s="27"/>
      <c r="F1788" s="27"/>
      <c r="G1788" s="27"/>
      <c r="H1788" s="27"/>
      <c r="I1788" s="27"/>
      <c r="J1788" s="27"/>
      <c r="K1788" s="27"/>
      <c r="L1788" s="27"/>
      <c r="M1788" s="27"/>
      <c r="N1788" s="27"/>
      <c r="O1788" s="27"/>
      <c r="P1788" s="27"/>
      <c r="Q1788" s="27"/>
      <c r="R1788" s="27"/>
      <c r="S1788" s="27"/>
    </row>
    <row r="1789">
      <c r="B1789" s="27"/>
      <c r="C1789" s="27"/>
      <c r="D1789" s="27"/>
      <c r="E1789" s="27"/>
      <c r="F1789" s="27"/>
      <c r="G1789" s="27"/>
      <c r="H1789" s="27"/>
      <c r="I1789" s="27"/>
      <c r="J1789" s="27"/>
      <c r="K1789" s="27"/>
      <c r="L1789" s="27"/>
      <c r="M1789" s="27"/>
      <c r="N1789" s="27"/>
      <c r="O1789" s="27"/>
      <c r="P1789" s="27"/>
      <c r="Q1789" s="27"/>
      <c r="R1789" s="27"/>
      <c r="S1789" s="27"/>
    </row>
    <row r="1790">
      <c r="B1790" s="27"/>
      <c r="C1790" s="27"/>
      <c r="D1790" s="27"/>
      <c r="E1790" s="27"/>
      <c r="F1790" s="27"/>
      <c r="G1790" s="27"/>
      <c r="H1790" s="27"/>
      <c r="I1790" s="27"/>
      <c r="J1790" s="27"/>
      <c r="K1790" s="27"/>
      <c r="L1790" s="27"/>
      <c r="M1790" s="27"/>
      <c r="N1790" s="27"/>
      <c r="O1790" s="27"/>
      <c r="P1790" s="27"/>
      <c r="Q1790" s="27"/>
      <c r="R1790" s="27"/>
      <c r="S1790" s="27"/>
    </row>
    <row r="1791">
      <c r="B1791" s="27"/>
      <c r="C1791" s="27"/>
      <c r="D1791" s="27"/>
      <c r="E1791" s="27"/>
      <c r="F1791" s="27"/>
      <c r="G1791" s="27"/>
      <c r="H1791" s="27"/>
      <c r="I1791" s="27"/>
      <c r="J1791" s="27"/>
      <c r="K1791" s="27"/>
      <c r="L1791" s="27"/>
      <c r="M1791" s="27"/>
      <c r="N1791" s="27"/>
      <c r="O1791" s="27"/>
      <c r="P1791" s="27"/>
      <c r="Q1791" s="27"/>
      <c r="R1791" s="27"/>
      <c r="S1791" s="27"/>
    </row>
    <row r="1792">
      <c r="B1792" s="27"/>
      <c r="C1792" s="27"/>
      <c r="D1792" s="27"/>
      <c r="E1792" s="27"/>
      <c r="F1792" s="27"/>
      <c r="G1792" s="27"/>
      <c r="H1792" s="27"/>
      <c r="I1792" s="27"/>
      <c r="J1792" s="27"/>
      <c r="K1792" s="27"/>
      <c r="L1792" s="27"/>
      <c r="M1792" s="27"/>
      <c r="N1792" s="27"/>
      <c r="O1792" s="27"/>
      <c r="P1792" s="27"/>
      <c r="Q1792" s="27"/>
      <c r="R1792" s="27"/>
      <c r="S1792" s="27"/>
    </row>
    <row r="1793">
      <c r="B1793" s="27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27"/>
      <c r="R1793" s="27"/>
      <c r="S1793" s="27"/>
    </row>
    <row r="1794">
      <c r="B1794" s="27"/>
      <c r="C1794" s="27"/>
      <c r="D1794" s="27"/>
      <c r="E1794" s="27"/>
      <c r="F1794" s="27"/>
      <c r="G1794" s="27"/>
      <c r="H1794" s="27"/>
      <c r="I1794" s="27"/>
      <c r="J1794" s="27"/>
      <c r="K1794" s="27"/>
      <c r="L1794" s="27"/>
      <c r="M1794" s="27"/>
      <c r="N1794" s="27"/>
      <c r="O1794" s="27"/>
      <c r="P1794" s="27"/>
      <c r="Q1794" s="27"/>
      <c r="R1794" s="27"/>
      <c r="S1794" s="27"/>
    </row>
    <row r="1795">
      <c r="B1795" s="27"/>
      <c r="C1795" s="27"/>
      <c r="D1795" s="27"/>
      <c r="E1795" s="27"/>
      <c r="F1795" s="27"/>
      <c r="G1795" s="27"/>
      <c r="H1795" s="27"/>
      <c r="I1795" s="27"/>
      <c r="J1795" s="27"/>
      <c r="K1795" s="27"/>
      <c r="L1795" s="27"/>
      <c r="M1795" s="27"/>
      <c r="N1795" s="27"/>
      <c r="O1795" s="27"/>
      <c r="P1795" s="27"/>
      <c r="Q1795" s="27"/>
      <c r="R1795" s="27"/>
      <c r="S1795" s="27"/>
    </row>
    <row r="1796">
      <c r="B1796" s="27"/>
      <c r="C1796" s="27"/>
      <c r="D1796" s="27"/>
      <c r="E1796" s="27"/>
      <c r="F1796" s="27"/>
      <c r="G1796" s="27"/>
      <c r="H1796" s="27"/>
      <c r="I1796" s="27"/>
      <c r="J1796" s="27"/>
      <c r="K1796" s="27"/>
      <c r="L1796" s="27"/>
      <c r="M1796" s="27"/>
      <c r="N1796" s="27"/>
      <c r="O1796" s="27"/>
      <c r="P1796" s="27"/>
      <c r="Q1796" s="27"/>
      <c r="R1796" s="27"/>
      <c r="S1796" s="27"/>
    </row>
    <row r="1797">
      <c r="B1797" s="27"/>
      <c r="C1797" s="27"/>
      <c r="D1797" s="27"/>
      <c r="E1797" s="27"/>
      <c r="F1797" s="27"/>
      <c r="G1797" s="27"/>
      <c r="H1797" s="27"/>
      <c r="I1797" s="27"/>
      <c r="J1797" s="27"/>
      <c r="K1797" s="27"/>
      <c r="L1797" s="27"/>
      <c r="M1797" s="27"/>
      <c r="N1797" s="27"/>
      <c r="O1797" s="27"/>
      <c r="P1797" s="27"/>
      <c r="Q1797" s="27"/>
      <c r="R1797" s="27"/>
      <c r="S1797" s="27"/>
    </row>
    <row r="1798">
      <c r="B1798" s="27"/>
      <c r="C1798" s="27"/>
      <c r="D1798" s="27"/>
      <c r="E1798" s="27"/>
      <c r="F1798" s="27"/>
      <c r="G1798" s="27"/>
      <c r="H1798" s="27"/>
      <c r="I1798" s="27"/>
      <c r="J1798" s="27"/>
      <c r="K1798" s="27"/>
      <c r="L1798" s="27"/>
      <c r="M1798" s="27"/>
      <c r="N1798" s="27"/>
      <c r="O1798" s="27"/>
      <c r="P1798" s="27"/>
      <c r="Q1798" s="27"/>
      <c r="R1798" s="27"/>
      <c r="S1798" s="27"/>
    </row>
    <row r="1799">
      <c r="B1799" s="27"/>
      <c r="C1799" s="27"/>
      <c r="D1799" s="27"/>
      <c r="E1799" s="27"/>
      <c r="F1799" s="27"/>
      <c r="G1799" s="27"/>
      <c r="H1799" s="27"/>
      <c r="I1799" s="27"/>
      <c r="J1799" s="27"/>
      <c r="K1799" s="27"/>
      <c r="L1799" s="27"/>
      <c r="M1799" s="27"/>
      <c r="N1799" s="27"/>
      <c r="O1799" s="27"/>
      <c r="P1799" s="27"/>
      <c r="Q1799" s="27"/>
      <c r="R1799" s="27"/>
      <c r="S1799" s="27"/>
    </row>
    <row r="1800">
      <c r="B1800" s="27"/>
      <c r="C1800" s="27"/>
      <c r="D1800" s="27"/>
      <c r="E1800" s="27"/>
      <c r="F1800" s="27"/>
      <c r="G1800" s="27"/>
      <c r="H1800" s="27"/>
      <c r="I1800" s="27"/>
      <c r="J1800" s="27"/>
      <c r="K1800" s="27"/>
      <c r="L1800" s="27"/>
      <c r="M1800" s="27"/>
      <c r="N1800" s="27"/>
      <c r="O1800" s="27"/>
      <c r="P1800" s="27"/>
      <c r="Q1800" s="27"/>
      <c r="R1800" s="27"/>
      <c r="S1800" s="27"/>
    </row>
    <row r="1801">
      <c r="B1801" s="27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27"/>
      <c r="R1801" s="27"/>
      <c r="S1801" s="27"/>
    </row>
    <row r="1802">
      <c r="B1802" s="27"/>
      <c r="C1802" s="27"/>
      <c r="D1802" s="27"/>
      <c r="E1802" s="27"/>
      <c r="F1802" s="27"/>
      <c r="G1802" s="27"/>
      <c r="H1802" s="27"/>
      <c r="I1802" s="27"/>
      <c r="J1802" s="27"/>
      <c r="K1802" s="27"/>
      <c r="L1802" s="27"/>
      <c r="M1802" s="27"/>
      <c r="N1802" s="27"/>
      <c r="O1802" s="27"/>
      <c r="P1802" s="27"/>
      <c r="Q1802" s="27"/>
      <c r="R1802" s="27"/>
      <c r="S1802" s="27"/>
    </row>
    <row r="1803">
      <c r="B1803" s="27"/>
      <c r="C1803" s="27"/>
      <c r="D1803" s="27"/>
      <c r="E1803" s="27"/>
      <c r="F1803" s="27"/>
      <c r="G1803" s="27"/>
      <c r="H1803" s="27"/>
      <c r="I1803" s="27"/>
      <c r="J1803" s="27"/>
      <c r="K1803" s="27"/>
      <c r="L1803" s="27"/>
      <c r="M1803" s="27"/>
      <c r="N1803" s="27"/>
      <c r="O1803" s="27"/>
      <c r="P1803" s="27"/>
      <c r="Q1803" s="27"/>
      <c r="R1803" s="27"/>
      <c r="S1803" s="27"/>
    </row>
    <row r="1804">
      <c r="B1804" s="27"/>
      <c r="C1804" s="27"/>
      <c r="D1804" s="27"/>
      <c r="E1804" s="27"/>
      <c r="F1804" s="27"/>
      <c r="G1804" s="27"/>
      <c r="H1804" s="27"/>
      <c r="I1804" s="27"/>
      <c r="J1804" s="27"/>
      <c r="K1804" s="27"/>
      <c r="L1804" s="27"/>
      <c r="M1804" s="27"/>
      <c r="N1804" s="27"/>
      <c r="O1804" s="27"/>
      <c r="P1804" s="27"/>
      <c r="Q1804" s="27"/>
      <c r="R1804" s="27"/>
      <c r="S1804" s="27"/>
    </row>
    <row r="1805">
      <c r="B1805" s="27"/>
      <c r="C1805" s="27"/>
      <c r="D1805" s="27"/>
      <c r="E1805" s="27"/>
      <c r="F1805" s="27"/>
      <c r="G1805" s="27"/>
      <c r="H1805" s="27"/>
      <c r="I1805" s="27"/>
      <c r="J1805" s="27"/>
      <c r="K1805" s="27"/>
      <c r="L1805" s="27"/>
      <c r="M1805" s="27"/>
      <c r="N1805" s="27"/>
      <c r="O1805" s="27"/>
      <c r="P1805" s="27"/>
      <c r="Q1805" s="27"/>
      <c r="R1805" s="27"/>
      <c r="S1805" s="27"/>
    </row>
    <row r="1806">
      <c r="B1806" s="27"/>
      <c r="C1806" s="27"/>
      <c r="D1806" s="27"/>
      <c r="E1806" s="27"/>
      <c r="F1806" s="27"/>
      <c r="G1806" s="27"/>
      <c r="H1806" s="27"/>
      <c r="I1806" s="27"/>
      <c r="J1806" s="27"/>
      <c r="K1806" s="27"/>
      <c r="L1806" s="27"/>
      <c r="M1806" s="27"/>
      <c r="N1806" s="27"/>
      <c r="O1806" s="27"/>
      <c r="P1806" s="27"/>
      <c r="Q1806" s="27"/>
      <c r="R1806" s="27"/>
      <c r="S1806" s="27"/>
    </row>
    <row r="1807">
      <c r="B1807" s="27"/>
      <c r="C1807" s="27"/>
      <c r="D1807" s="27"/>
      <c r="E1807" s="27"/>
      <c r="F1807" s="27"/>
      <c r="G1807" s="27"/>
      <c r="H1807" s="27"/>
      <c r="I1807" s="27"/>
      <c r="J1807" s="27"/>
      <c r="K1807" s="27"/>
      <c r="L1807" s="27"/>
      <c r="M1807" s="27"/>
      <c r="N1807" s="27"/>
      <c r="O1807" s="27"/>
      <c r="P1807" s="27"/>
      <c r="Q1807" s="27"/>
      <c r="R1807" s="27"/>
      <c r="S1807" s="27"/>
    </row>
    <row r="1808">
      <c r="B1808" s="27"/>
      <c r="C1808" s="27"/>
      <c r="D1808" s="27"/>
      <c r="E1808" s="27"/>
      <c r="F1808" s="27"/>
      <c r="G1808" s="27"/>
      <c r="H1808" s="27"/>
      <c r="I1808" s="27"/>
      <c r="J1808" s="27"/>
      <c r="K1808" s="27"/>
      <c r="L1808" s="27"/>
      <c r="M1808" s="27"/>
      <c r="N1808" s="27"/>
      <c r="O1808" s="27"/>
      <c r="P1808" s="27"/>
      <c r="Q1808" s="27"/>
      <c r="R1808" s="27"/>
      <c r="S1808" s="27"/>
    </row>
    <row r="1809">
      <c r="B1809" s="27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27"/>
      <c r="R1809" s="27"/>
      <c r="S1809" s="27"/>
    </row>
    <row r="1810">
      <c r="B1810" s="27"/>
      <c r="C1810" s="27"/>
      <c r="D1810" s="27"/>
      <c r="E1810" s="27"/>
      <c r="F1810" s="27"/>
      <c r="G1810" s="27"/>
      <c r="H1810" s="27"/>
      <c r="I1810" s="27"/>
      <c r="J1810" s="27"/>
      <c r="K1810" s="27"/>
      <c r="L1810" s="27"/>
      <c r="M1810" s="27"/>
      <c r="N1810" s="27"/>
      <c r="O1810" s="27"/>
      <c r="P1810" s="27"/>
      <c r="Q1810" s="27"/>
      <c r="R1810" s="27"/>
      <c r="S1810" s="27"/>
    </row>
    <row r="1811">
      <c r="B1811" s="27"/>
      <c r="C1811" s="27"/>
      <c r="D1811" s="27"/>
      <c r="E1811" s="27"/>
      <c r="F1811" s="27"/>
      <c r="G1811" s="27"/>
      <c r="H1811" s="27"/>
      <c r="I1811" s="27"/>
      <c r="J1811" s="27"/>
      <c r="K1811" s="27"/>
      <c r="L1811" s="27"/>
      <c r="M1811" s="27"/>
      <c r="N1811" s="27"/>
      <c r="O1811" s="27"/>
      <c r="P1811" s="27"/>
      <c r="Q1811" s="27"/>
      <c r="R1811" s="27"/>
      <c r="S1811" s="27"/>
    </row>
    <row r="1812">
      <c r="B1812" s="27"/>
      <c r="C1812" s="27"/>
      <c r="D1812" s="27"/>
      <c r="E1812" s="27"/>
      <c r="F1812" s="27"/>
      <c r="G1812" s="27"/>
      <c r="H1812" s="27"/>
      <c r="I1812" s="27"/>
      <c r="J1812" s="27"/>
      <c r="K1812" s="27"/>
      <c r="L1812" s="27"/>
      <c r="M1812" s="27"/>
      <c r="N1812" s="27"/>
      <c r="O1812" s="27"/>
      <c r="P1812" s="27"/>
      <c r="Q1812" s="27"/>
      <c r="R1812" s="27"/>
      <c r="S1812" s="27"/>
    </row>
    <row r="1813">
      <c r="B1813" s="27"/>
      <c r="C1813" s="27"/>
      <c r="D1813" s="27"/>
      <c r="E1813" s="27"/>
      <c r="F1813" s="27"/>
      <c r="G1813" s="27"/>
      <c r="H1813" s="27"/>
      <c r="I1813" s="27"/>
      <c r="J1813" s="27"/>
      <c r="K1813" s="27"/>
      <c r="L1813" s="27"/>
      <c r="M1813" s="27"/>
      <c r="N1813" s="27"/>
      <c r="O1813" s="27"/>
      <c r="P1813" s="27"/>
      <c r="Q1813" s="27"/>
      <c r="R1813" s="27"/>
      <c r="S1813" s="27"/>
    </row>
    <row r="1814">
      <c r="B1814" s="27"/>
      <c r="C1814" s="27"/>
      <c r="D1814" s="27"/>
      <c r="E1814" s="27"/>
      <c r="F1814" s="27"/>
      <c r="G1814" s="27"/>
      <c r="H1814" s="27"/>
      <c r="I1814" s="27"/>
      <c r="J1814" s="27"/>
      <c r="K1814" s="27"/>
      <c r="L1814" s="27"/>
      <c r="M1814" s="27"/>
      <c r="N1814" s="27"/>
      <c r="O1814" s="27"/>
      <c r="P1814" s="27"/>
      <c r="Q1814" s="27"/>
      <c r="R1814" s="27"/>
      <c r="S1814" s="27"/>
    </row>
    <row r="1815">
      <c r="B1815" s="27"/>
      <c r="C1815" s="27"/>
      <c r="D1815" s="27"/>
      <c r="E1815" s="27"/>
      <c r="F1815" s="27"/>
      <c r="G1815" s="27"/>
      <c r="H1815" s="27"/>
      <c r="I1815" s="27"/>
      <c r="J1815" s="27"/>
      <c r="K1815" s="27"/>
      <c r="L1815" s="27"/>
      <c r="M1815" s="27"/>
      <c r="N1815" s="27"/>
      <c r="O1815" s="27"/>
      <c r="P1815" s="27"/>
      <c r="Q1815" s="27"/>
      <c r="R1815" s="27"/>
      <c r="S1815" s="27"/>
    </row>
    <row r="1816">
      <c r="B1816" s="27"/>
      <c r="C1816" s="27"/>
      <c r="D1816" s="27"/>
      <c r="E1816" s="27"/>
      <c r="F1816" s="27"/>
      <c r="G1816" s="27"/>
      <c r="H1816" s="27"/>
      <c r="I1816" s="27"/>
      <c r="J1816" s="27"/>
      <c r="K1816" s="27"/>
      <c r="L1816" s="27"/>
      <c r="M1816" s="27"/>
      <c r="N1816" s="27"/>
      <c r="O1816" s="27"/>
      <c r="P1816" s="27"/>
      <c r="Q1816" s="27"/>
      <c r="R1816" s="27"/>
      <c r="S1816" s="27"/>
    </row>
    <row r="1817">
      <c r="B1817" s="27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27"/>
      <c r="R1817" s="27"/>
      <c r="S1817" s="27"/>
    </row>
    <row r="1818">
      <c r="B1818" s="27"/>
      <c r="C1818" s="27"/>
      <c r="D1818" s="27"/>
      <c r="E1818" s="27"/>
      <c r="F1818" s="27"/>
      <c r="G1818" s="27"/>
      <c r="H1818" s="27"/>
      <c r="I1818" s="27"/>
      <c r="J1818" s="27"/>
      <c r="K1818" s="27"/>
      <c r="L1818" s="27"/>
      <c r="M1818" s="27"/>
      <c r="N1818" s="27"/>
      <c r="O1818" s="27"/>
      <c r="P1818" s="27"/>
      <c r="Q1818" s="27"/>
      <c r="R1818" s="27"/>
      <c r="S1818" s="27"/>
    </row>
    <row r="1819">
      <c r="B1819" s="27"/>
      <c r="C1819" s="27"/>
      <c r="D1819" s="27"/>
      <c r="E1819" s="27"/>
      <c r="F1819" s="27"/>
      <c r="G1819" s="27"/>
      <c r="H1819" s="27"/>
      <c r="I1819" s="27"/>
      <c r="J1819" s="27"/>
      <c r="K1819" s="27"/>
      <c r="L1819" s="27"/>
      <c r="M1819" s="27"/>
      <c r="N1819" s="27"/>
      <c r="O1819" s="27"/>
      <c r="P1819" s="27"/>
      <c r="Q1819" s="27"/>
      <c r="R1819" s="27"/>
      <c r="S1819" s="27"/>
    </row>
    <row r="1820">
      <c r="B1820" s="27"/>
      <c r="C1820" s="27"/>
      <c r="D1820" s="27"/>
      <c r="E1820" s="27"/>
      <c r="F1820" s="27"/>
      <c r="G1820" s="27"/>
      <c r="H1820" s="27"/>
      <c r="I1820" s="27"/>
      <c r="J1820" s="27"/>
      <c r="K1820" s="27"/>
      <c r="L1820" s="27"/>
      <c r="M1820" s="27"/>
      <c r="N1820" s="27"/>
      <c r="O1820" s="27"/>
      <c r="P1820" s="27"/>
      <c r="Q1820" s="27"/>
      <c r="R1820" s="27"/>
      <c r="S1820" s="27"/>
    </row>
    <row r="1821">
      <c r="B1821" s="27"/>
      <c r="C1821" s="27"/>
      <c r="D1821" s="27"/>
      <c r="E1821" s="27"/>
      <c r="F1821" s="27"/>
      <c r="G1821" s="27"/>
      <c r="H1821" s="27"/>
      <c r="I1821" s="27"/>
      <c r="J1821" s="27"/>
      <c r="K1821" s="27"/>
      <c r="L1821" s="27"/>
      <c r="M1821" s="27"/>
      <c r="N1821" s="27"/>
      <c r="O1821" s="27"/>
      <c r="P1821" s="27"/>
      <c r="Q1821" s="27"/>
      <c r="R1821" s="27"/>
      <c r="S1821" s="27"/>
    </row>
    <row r="1822">
      <c r="B1822" s="27"/>
      <c r="C1822" s="27"/>
      <c r="D1822" s="27"/>
      <c r="E1822" s="27"/>
      <c r="F1822" s="27"/>
      <c r="G1822" s="27"/>
      <c r="H1822" s="27"/>
      <c r="I1822" s="27"/>
      <c r="J1822" s="27"/>
      <c r="K1822" s="27"/>
      <c r="L1822" s="27"/>
      <c r="M1822" s="27"/>
      <c r="N1822" s="27"/>
      <c r="O1822" s="27"/>
      <c r="P1822" s="27"/>
      <c r="Q1822" s="27"/>
      <c r="R1822" s="27"/>
      <c r="S1822" s="27"/>
    </row>
    <row r="1823">
      <c r="B1823" s="27"/>
      <c r="C1823" s="27"/>
      <c r="D1823" s="27"/>
      <c r="E1823" s="27"/>
      <c r="F1823" s="27"/>
      <c r="G1823" s="27"/>
      <c r="H1823" s="27"/>
      <c r="I1823" s="27"/>
      <c r="J1823" s="27"/>
      <c r="K1823" s="27"/>
      <c r="L1823" s="27"/>
      <c r="M1823" s="27"/>
      <c r="N1823" s="27"/>
      <c r="O1823" s="27"/>
      <c r="P1823" s="27"/>
      <c r="Q1823" s="27"/>
      <c r="R1823" s="27"/>
      <c r="S1823" s="27"/>
    </row>
    <row r="1824">
      <c r="B1824" s="27"/>
      <c r="C1824" s="27"/>
      <c r="D1824" s="27"/>
      <c r="E1824" s="27"/>
      <c r="F1824" s="27"/>
      <c r="G1824" s="27"/>
      <c r="H1824" s="27"/>
      <c r="I1824" s="27"/>
      <c r="J1824" s="27"/>
      <c r="K1824" s="27"/>
      <c r="L1824" s="27"/>
      <c r="M1824" s="27"/>
      <c r="N1824" s="27"/>
      <c r="O1824" s="27"/>
      <c r="P1824" s="27"/>
      <c r="Q1824" s="27"/>
      <c r="R1824" s="27"/>
      <c r="S1824" s="27"/>
    </row>
    <row r="1825">
      <c r="B1825" s="27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27"/>
      <c r="R1825" s="27"/>
      <c r="S1825" s="27"/>
    </row>
    <row r="1826">
      <c r="B1826" s="27"/>
      <c r="C1826" s="27"/>
      <c r="D1826" s="27"/>
      <c r="E1826" s="27"/>
      <c r="F1826" s="27"/>
      <c r="G1826" s="27"/>
      <c r="H1826" s="27"/>
      <c r="I1826" s="27"/>
      <c r="J1826" s="27"/>
      <c r="K1826" s="27"/>
      <c r="L1826" s="27"/>
      <c r="M1826" s="27"/>
      <c r="N1826" s="27"/>
      <c r="O1826" s="27"/>
      <c r="P1826" s="27"/>
      <c r="Q1826" s="27"/>
      <c r="R1826" s="27"/>
      <c r="S1826" s="27"/>
    </row>
    <row r="1827">
      <c r="B1827" s="27"/>
      <c r="C1827" s="27"/>
      <c r="D1827" s="27"/>
      <c r="E1827" s="27"/>
      <c r="F1827" s="27"/>
      <c r="G1827" s="27"/>
      <c r="H1827" s="27"/>
      <c r="I1827" s="27"/>
      <c r="J1827" s="27"/>
      <c r="K1827" s="27"/>
      <c r="L1827" s="27"/>
      <c r="M1827" s="27"/>
      <c r="N1827" s="27"/>
      <c r="O1827" s="27"/>
      <c r="P1827" s="27"/>
      <c r="Q1827" s="27"/>
      <c r="R1827" s="27"/>
      <c r="S1827" s="27"/>
    </row>
    <row r="1828">
      <c r="B1828" s="27"/>
      <c r="C1828" s="27"/>
      <c r="D1828" s="27"/>
      <c r="E1828" s="27"/>
      <c r="F1828" s="27"/>
      <c r="G1828" s="27"/>
      <c r="H1828" s="27"/>
      <c r="I1828" s="27"/>
      <c r="J1828" s="27"/>
      <c r="K1828" s="27"/>
      <c r="L1828" s="27"/>
      <c r="M1828" s="27"/>
      <c r="N1828" s="27"/>
      <c r="O1828" s="27"/>
      <c r="P1828" s="27"/>
      <c r="Q1828" s="27"/>
      <c r="R1828" s="27"/>
      <c r="S1828" s="27"/>
    </row>
    <row r="1829">
      <c r="B1829" s="27"/>
      <c r="C1829" s="27"/>
      <c r="D1829" s="27"/>
      <c r="E1829" s="27"/>
      <c r="F1829" s="27"/>
      <c r="G1829" s="27"/>
      <c r="H1829" s="27"/>
      <c r="I1829" s="27"/>
      <c r="J1829" s="27"/>
      <c r="K1829" s="27"/>
      <c r="L1829" s="27"/>
      <c r="M1829" s="27"/>
      <c r="N1829" s="27"/>
      <c r="O1829" s="27"/>
      <c r="P1829" s="27"/>
      <c r="Q1829" s="27"/>
      <c r="R1829" s="27"/>
      <c r="S1829" s="27"/>
    </row>
    <row r="1830">
      <c r="B1830" s="27"/>
      <c r="C1830" s="27"/>
      <c r="D1830" s="27"/>
      <c r="E1830" s="27"/>
      <c r="F1830" s="27"/>
      <c r="G1830" s="27"/>
      <c r="H1830" s="27"/>
      <c r="I1830" s="27"/>
      <c r="J1830" s="27"/>
      <c r="K1830" s="27"/>
      <c r="L1830" s="27"/>
      <c r="M1830" s="27"/>
      <c r="N1830" s="27"/>
      <c r="O1830" s="27"/>
      <c r="P1830" s="27"/>
      <c r="Q1830" s="27"/>
      <c r="R1830" s="27"/>
      <c r="S1830" s="27"/>
    </row>
    <row r="1831">
      <c r="B1831" s="27"/>
      <c r="C1831" s="27"/>
      <c r="D1831" s="27"/>
      <c r="E1831" s="27"/>
      <c r="F1831" s="27"/>
      <c r="G1831" s="27"/>
      <c r="H1831" s="27"/>
      <c r="I1831" s="27"/>
      <c r="J1831" s="27"/>
      <c r="K1831" s="27"/>
      <c r="L1831" s="27"/>
      <c r="M1831" s="27"/>
      <c r="N1831" s="27"/>
      <c r="O1831" s="27"/>
      <c r="P1831" s="27"/>
      <c r="Q1831" s="27"/>
      <c r="R1831" s="27"/>
      <c r="S1831" s="27"/>
    </row>
    <row r="1832">
      <c r="B1832" s="27"/>
      <c r="C1832" s="27"/>
      <c r="D1832" s="27"/>
      <c r="E1832" s="27"/>
      <c r="F1832" s="27"/>
      <c r="G1832" s="27"/>
      <c r="H1832" s="27"/>
      <c r="I1832" s="27"/>
      <c r="J1832" s="27"/>
      <c r="K1832" s="27"/>
      <c r="L1832" s="27"/>
      <c r="M1832" s="27"/>
      <c r="N1832" s="27"/>
      <c r="O1832" s="27"/>
      <c r="P1832" s="27"/>
      <c r="Q1832" s="27"/>
      <c r="R1832" s="27"/>
      <c r="S1832" s="27"/>
    </row>
    <row r="1833">
      <c r="B1833" s="27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27"/>
      <c r="R1833" s="27"/>
      <c r="S1833" s="27"/>
    </row>
    <row r="1834">
      <c r="B1834" s="27"/>
      <c r="C1834" s="27"/>
      <c r="D1834" s="27"/>
      <c r="E1834" s="27"/>
      <c r="F1834" s="27"/>
      <c r="G1834" s="27"/>
      <c r="H1834" s="27"/>
      <c r="I1834" s="27"/>
      <c r="J1834" s="27"/>
      <c r="K1834" s="27"/>
      <c r="L1834" s="27"/>
      <c r="M1834" s="27"/>
      <c r="N1834" s="27"/>
      <c r="O1834" s="27"/>
      <c r="P1834" s="27"/>
      <c r="Q1834" s="27"/>
      <c r="R1834" s="27"/>
      <c r="S1834" s="27"/>
    </row>
    <row r="1835">
      <c r="B1835" s="27"/>
      <c r="C1835" s="27"/>
      <c r="D1835" s="27"/>
      <c r="E1835" s="27"/>
      <c r="F1835" s="27"/>
      <c r="G1835" s="27"/>
      <c r="H1835" s="27"/>
      <c r="I1835" s="27"/>
      <c r="J1835" s="27"/>
      <c r="K1835" s="27"/>
      <c r="L1835" s="27"/>
      <c r="M1835" s="27"/>
      <c r="N1835" s="27"/>
      <c r="O1835" s="27"/>
      <c r="P1835" s="27"/>
      <c r="Q1835" s="27"/>
      <c r="R1835" s="27"/>
      <c r="S1835" s="27"/>
    </row>
    <row r="1836">
      <c r="B1836" s="27"/>
      <c r="C1836" s="27"/>
      <c r="D1836" s="27"/>
      <c r="E1836" s="27"/>
      <c r="F1836" s="27"/>
      <c r="G1836" s="27"/>
      <c r="H1836" s="27"/>
      <c r="I1836" s="27"/>
      <c r="J1836" s="27"/>
      <c r="K1836" s="27"/>
      <c r="L1836" s="27"/>
      <c r="M1836" s="27"/>
      <c r="N1836" s="27"/>
      <c r="O1836" s="27"/>
      <c r="P1836" s="27"/>
      <c r="Q1836" s="27"/>
      <c r="R1836" s="27"/>
      <c r="S1836" s="27"/>
    </row>
    <row r="1837">
      <c r="B1837" s="27"/>
      <c r="C1837" s="27"/>
      <c r="D1837" s="27"/>
      <c r="E1837" s="27"/>
      <c r="F1837" s="27"/>
      <c r="G1837" s="27"/>
      <c r="H1837" s="27"/>
      <c r="I1837" s="27"/>
      <c r="J1837" s="27"/>
      <c r="K1837" s="27"/>
      <c r="L1837" s="27"/>
      <c r="M1837" s="27"/>
      <c r="N1837" s="27"/>
      <c r="O1837" s="27"/>
      <c r="P1837" s="27"/>
      <c r="Q1837" s="27"/>
      <c r="R1837" s="27"/>
      <c r="S1837" s="27"/>
    </row>
    <row r="1838">
      <c r="B1838" s="27"/>
      <c r="C1838" s="27"/>
      <c r="D1838" s="27"/>
      <c r="E1838" s="27"/>
      <c r="F1838" s="27"/>
      <c r="G1838" s="27"/>
      <c r="H1838" s="27"/>
      <c r="I1838" s="27"/>
      <c r="J1838" s="27"/>
      <c r="K1838" s="27"/>
      <c r="L1838" s="27"/>
      <c r="M1838" s="27"/>
      <c r="N1838" s="27"/>
      <c r="O1838" s="27"/>
      <c r="P1838" s="27"/>
      <c r="Q1838" s="27"/>
      <c r="R1838" s="27"/>
      <c r="S1838" s="27"/>
    </row>
    <row r="1839">
      <c r="B1839" s="27"/>
      <c r="C1839" s="27"/>
      <c r="D1839" s="27"/>
      <c r="E1839" s="27"/>
      <c r="F1839" s="27"/>
      <c r="G1839" s="27"/>
      <c r="H1839" s="27"/>
      <c r="I1839" s="27"/>
      <c r="J1839" s="27"/>
      <c r="K1839" s="27"/>
      <c r="L1839" s="27"/>
      <c r="M1839" s="27"/>
      <c r="N1839" s="27"/>
      <c r="O1839" s="27"/>
      <c r="P1839" s="27"/>
      <c r="Q1839" s="27"/>
      <c r="R1839" s="27"/>
      <c r="S1839" s="27"/>
    </row>
    <row r="1840">
      <c r="B1840" s="27"/>
      <c r="C1840" s="27"/>
      <c r="D1840" s="27"/>
      <c r="E1840" s="27"/>
      <c r="F1840" s="27"/>
      <c r="G1840" s="27"/>
      <c r="H1840" s="27"/>
      <c r="I1840" s="27"/>
      <c r="J1840" s="27"/>
      <c r="K1840" s="27"/>
      <c r="L1840" s="27"/>
      <c r="M1840" s="27"/>
      <c r="N1840" s="27"/>
      <c r="O1840" s="27"/>
      <c r="P1840" s="27"/>
      <c r="Q1840" s="27"/>
      <c r="R1840" s="27"/>
      <c r="S1840" s="27"/>
    </row>
    <row r="1841">
      <c r="B1841" s="27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27"/>
      <c r="R1841" s="27"/>
      <c r="S1841" s="27"/>
    </row>
    <row r="1842">
      <c r="B1842" s="27"/>
      <c r="C1842" s="27"/>
      <c r="D1842" s="27"/>
      <c r="E1842" s="27"/>
      <c r="F1842" s="27"/>
      <c r="G1842" s="27"/>
      <c r="H1842" s="27"/>
      <c r="I1842" s="27"/>
      <c r="J1842" s="27"/>
      <c r="K1842" s="27"/>
      <c r="L1842" s="27"/>
      <c r="M1842" s="27"/>
      <c r="N1842" s="27"/>
      <c r="O1842" s="27"/>
      <c r="P1842" s="27"/>
      <c r="Q1842" s="27"/>
      <c r="R1842" s="27"/>
      <c r="S1842" s="27"/>
    </row>
    <row r="1843">
      <c r="B1843" s="27"/>
      <c r="C1843" s="27"/>
      <c r="D1843" s="27"/>
      <c r="E1843" s="27"/>
      <c r="F1843" s="27"/>
      <c r="G1843" s="27"/>
      <c r="H1843" s="27"/>
      <c r="I1843" s="27"/>
      <c r="J1843" s="27"/>
      <c r="K1843" s="27"/>
      <c r="L1843" s="27"/>
      <c r="M1843" s="27"/>
      <c r="N1843" s="27"/>
      <c r="O1843" s="27"/>
      <c r="P1843" s="27"/>
      <c r="Q1843" s="27"/>
      <c r="R1843" s="27"/>
      <c r="S1843" s="27"/>
    </row>
    <row r="1844">
      <c r="B1844" s="27"/>
      <c r="C1844" s="27"/>
      <c r="D1844" s="27"/>
      <c r="E1844" s="27"/>
      <c r="F1844" s="27"/>
      <c r="G1844" s="27"/>
      <c r="H1844" s="27"/>
      <c r="I1844" s="27"/>
      <c r="J1844" s="27"/>
      <c r="K1844" s="27"/>
      <c r="L1844" s="27"/>
      <c r="M1844" s="27"/>
      <c r="N1844" s="27"/>
      <c r="O1844" s="27"/>
      <c r="P1844" s="27"/>
      <c r="Q1844" s="27"/>
      <c r="R1844" s="27"/>
      <c r="S1844" s="27"/>
    </row>
    <row r="1845">
      <c r="B1845" s="27"/>
      <c r="C1845" s="27"/>
      <c r="D1845" s="27"/>
      <c r="E1845" s="27"/>
      <c r="F1845" s="27"/>
      <c r="G1845" s="27"/>
      <c r="H1845" s="27"/>
      <c r="I1845" s="27"/>
      <c r="J1845" s="27"/>
      <c r="K1845" s="27"/>
      <c r="L1845" s="27"/>
      <c r="M1845" s="27"/>
      <c r="N1845" s="27"/>
      <c r="O1845" s="27"/>
      <c r="P1845" s="27"/>
      <c r="Q1845" s="27"/>
      <c r="R1845" s="27"/>
      <c r="S1845" s="27"/>
    </row>
    <row r="1846">
      <c r="B1846" s="27"/>
      <c r="C1846" s="27"/>
      <c r="D1846" s="27"/>
      <c r="E1846" s="27"/>
      <c r="F1846" s="27"/>
      <c r="G1846" s="27"/>
      <c r="H1846" s="27"/>
      <c r="I1846" s="27"/>
      <c r="J1846" s="27"/>
      <c r="K1846" s="27"/>
      <c r="L1846" s="27"/>
      <c r="M1846" s="27"/>
      <c r="N1846" s="27"/>
      <c r="O1846" s="27"/>
      <c r="P1846" s="27"/>
      <c r="Q1846" s="27"/>
      <c r="R1846" s="27"/>
      <c r="S1846" s="27"/>
    </row>
    <row r="1847">
      <c r="B1847" s="27"/>
      <c r="C1847" s="27"/>
      <c r="D1847" s="27"/>
      <c r="E1847" s="27"/>
      <c r="F1847" s="27"/>
      <c r="G1847" s="27"/>
      <c r="H1847" s="27"/>
      <c r="I1847" s="27"/>
      <c r="J1847" s="27"/>
      <c r="K1847" s="27"/>
      <c r="L1847" s="27"/>
      <c r="M1847" s="27"/>
      <c r="N1847" s="27"/>
      <c r="O1847" s="27"/>
      <c r="P1847" s="27"/>
      <c r="Q1847" s="27"/>
      <c r="R1847" s="27"/>
      <c r="S1847" s="27"/>
    </row>
    <row r="1848">
      <c r="B1848" s="27"/>
      <c r="C1848" s="27"/>
      <c r="D1848" s="27"/>
      <c r="E1848" s="27"/>
      <c r="F1848" s="27"/>
      <c r="G1848" s="27"/>
      <c r="H1848" s="27"/>
      <c r="I1848" s="27"/>
      <c r="J1848" s="27"/>
      <c r="K1848" s="27"/>
      <c r="L1848" s="27"/>
      <c r="M1848" s="27"/>
      <c r="N1848" s="27"/>
      <c r="O1848" s="27"/>
      <c r="P1848" s="27"/>
      <c r="Q1848" s="27"/>
      <c r="R1848" s="27"/>
      <c r="S1848" s="27"/>
    </row>
    <row r="1849">
      <c r="B1849" s="27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27"/>
      <c r="R1849" s="27"/>
      <c r="S1849" s="27"/>
    </row>
    <row r="1850">
      <c r="B1850" s="27"/>
      <c r="C1850" s="27"/>
      <c r="D1850" s="27"/>
      <c r="E1850" s="27"/>
      <c r="F1850" s="27"/>
      <c r="G1850" s="27"/>
      <c r="H1850" s="27"/>
      <c r="I1850" s="27"/>
      <c r="J1850" s="27"/>
      <c r="K1850" s="27"/>
      <c r="L1850" s="27"/>
      <c r="M1850" s="27"/>
      <c r="N1850" s="27"/>
      <c r="O1850" s="27"/>
      <c r="P1850" s="27"/>
      <c r="Q1850" s="27"/>
      <c r="R1850" s="27"/>
      <c r="S1850" s="27"/>
    </row>
    <row r="1851">
      <c r="B1851" s="27"/>
      <c r="C1851" s="27"/>
      <c r="D1851" s="27"/>
      <c r="E1851" s="27"/>
      <c r="F1851" s="27"/>
      <c r="G1851" s="27"/>
      <c r="H1851" s="27"/>
      <c r="I1851" s="27"/>
      <c r="J1851" s="27"/>
      <c r="K1851" s="27"/>
      <c r="L1851" s="27"/>
      <c r="M1851" s="27"/>
      <c r="N1851" s="27"/>
      <c r="O1851" s="27"/>
      <c r="P1851" s="27"/>
      <c r="Q1851" s="27"/>
      <c r="R1851" s="27"/>
      <c r="S1851" s="27"/>
    </row>
    <row r="1852">
      <c r="B1852" s="27"/>
      <c r="C1852" s="27"/>
      <c r="D1852" s="27"/>
      <c r="E1852" s="27"/>
      <c r="F1852" s="27"/>
      <c r="G1852" s="27"/>
      <c r="H1852" s="27"/>
      <c r="I1852" s="27"/>
      <c r="J1852" s="27"/>
      <c r="K1852" s="27"/>
      <c r="L1852" s="27"/>
      <c r="M1852" s="27"/>
      <c r="N1852" s="27"/>
      <c r="O1852" s="27"/>
      <c r="P1852" s="27"/>
      <c r="Q1852" s="27"/>
      <c r="R1852" s="27"/>
      <c r="S1852" s="27"/>
    </row>
    <row r="1853">
      <c r="B1853" s="27"/>
      <c r="C1853" s="27"/>
      <c r="D1853" s="27"/>
      <c r="E1853" s="27"/>
      <c r="F1853" s="27"/>
      <c r="G1853" s="27"/>
      <c r="H1853" s="27"/>
      <c r="I1853" s="27"/>
      <c r="J1853" s="27"/>
      <c r="K1853" s="27"/>
      <c r="L1853" s="27"/>
      <c r="M1853" s="27"/>
      <c r="N1853" s="27"/>
      <c r="O1853" s="27"/>
      <c r="P1853" s="27"/>
      <c r="Q1853" s="27"/>
      <c r="R1853" s="27"/>
      <c r="S1853" s="27"/>
    </row>
    <row r="1854">
      <c r="B1854" s="27"/>
      <c r="C1854" s="27"/>
      <c r="D1854" s="27"/>
      <c r="E1854" s="27"/>
      <c r="F1854" s="27"/>
      <c r="G1854" s="27"/>
      <c r="H1854" s="27"/>
      <c r="I1854" s="27"/>
      <c r="J1854" s="27"/>
      <c r="K1854" s="27"/>
      <c r="L1854" s="27"/>
      <c r="M1854" s="27"/>
      <c r="N1854" s="27"/>
      <c r="O1854" s="27"/>
      <c r="P1854" s="27"/>
      <c r="Q1854" s="27"/>
      <c r="R1854" s="27"/>
      <c r="S1854" s="27"/>
    </row>
    <row r="1855">
      <c r="B1855" s="27"/>
      <c r="C1855" s="27"/>
      <c r="D1855" s="27"/>
      <c r="E1855" s="27"/>
      <c r="F1855" s="27"/>
      <c r="G1855" s="27"/>
      <c r="H1855" s="27"/>
      <c r="I1855" s="27"/>
      <c r="J1855" s="27"/>
      <c r="K1855" s="27"/>
      <c r="L1855" s="27"/>
      <c r="M1855" s="27"/>
      <c r="N1855" s="27"/>
      <c r="O1855" s="27"/>
      <c r="P1855" s="27"/>
      <c r="Q1855" s="27"/>
      <c r="R1855" s="27"/>
      <c r="S1855" s="27"/>
    </row>
    <row r="1856">
      <c r="B1856" s="27"/>
      <c r="C1856" s="27"/>
      <c r="D1856" s="27"/>
      <c r="E1856" s="27"/>
      <c r="F1856" s="27"/>
      <c r="G1856" s="27"/>
      <c r="H1856" s="27"/>
      <c r="I1856" s="27"/>
      <c r="J1856" s="27"/>
      <c r="K1856" s="27"/>
      <c r="L1856" s="27"/>
      <c r="M1856" s="27"/>
      <c r="N1856" s="27"/>
      <c r="O1856" s="27"/>
      <c r="P1856" s="27"/>
      <c r="Q1856" s="27"/>
      <c r="R1856" s="27"/>
      <c r="S1856" s="27"/>
    </row>
    <row r="1857">
      <c r="B1857" s="27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27"/>
      <c r="R1857" s="27"/>
      <c r="S1857" s="27"/>
    </row>
    <row r="1858">
      <c r="B1858" s="27"/>
      <c r="C1858" s="27"/>
      <c r="D1858" s="27"/>
      <c r="E1858" s="27"/>
      <c r="F1858" s="27"/>
      <c r="G1858" s="27"/>
      <c r="H1858" s="27"/>
      <c r="I1858" s="27"/>
      <c r="J1858" s="27"/>
      <c r="K1858" s="27"/>
      <c r="L1858" s="27"/>
      <c r="M1858" s="27"/>
      <c r="N1858" s="27"/>
      <c r="O1858" s="27"/>
      <c r="P1858" s="27"/>
      <c r="Q1858" s="27"/>
      <c r="R1858" s="27"/>
      <c r="S1858" s="27"/>
    </row>
    <row r="1859">
      <c r="B1859" s="27"/>
      <c r="C1859" s="27"/>
      <c r="D1859" s="27"/>
      <c r="E1859" s="27"/>
      <c r="F1859" s="27"/>
      <c r="G1859" s="27"/>
      <c r="H1859" s="27"/>
      <c r="I1859" s="27"/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</row>
    <row r="1860">
      <c r="B1860" s="27"/>
      <c r="C1860" s="27"/>
      <c r="D1860" s="27"/>
      <c r="E1860" s="27"/>
      <c r="F1860" s="27"/>
      <c r="G1860" s="27"/>
      <c r="H1860" s="27"/>
      <c r="I1860" s="27"/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</row>
    <row r="1861">
      <c r="B1861" s="27"/>
      <c r="C1861" s="27"/>
      <c r="D1861" s="27"/>
      <c r="E1861" s="27"/>
      <c r="F1861" s="27"/>
      <c r="G1861" s="27"/>
      <c r="H1861" s="27"/>
      <c r="I1861" s="27"/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</row>
    <row r="1862">
      <c r="B1862" s="27"/>
      <c r="C1862" s="27"/>
      <c r="D1862" s="27"/>
      <c r="E1862" s="27"/>
      <c r="F1862" s="27"/>
      <c r="G1862" s="27"/>
      <c r="H1862" s="27"/>
      <c r="I1862" s="27"/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</row>
    <row r="1863">
      <c r="B1863" s="27"/>
      <c r="C1863" s="27"/>
      <c r="D1863" s="27"/>
      <c r="E1863" s="27"/>
      <c r="F1863" s="27"/>
      <c r="G1863" s="27"/>
      <c r="H1863" s="27"/>
      <c r="I1863" s="27"/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</row>
    <row r="1864">
      <c r="B1864" s="27"/>
      <c r="C1864" s="27"/>
      <c r="D1864" s="27"/>
      <c r="E1864" s="27"/>
      <c r="F1864" s="27"/>
      <c r="G1864" s="27"/>
      <c r="H1864" s="27"/>
      <c r="I1864" s="27"/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</row>
    <row r="1865">
      <c r="B1865" s="27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27"/>
      <c r="R1865" s="27"/>
      <c r="S1865" s="27"/>
    </row>
    <row r="1866">
      <c r="B1866" s="27"/>
      <c r="C1866" s="27"/>
      <c r="D1866" s="27"/>
      <c r="E1866" s="27"/>
      <c r="F1866" s="27"/>
      <c r="G1866" s="27"/>
      <c r="H1866" s="27"/>
      <c r="I1866" s="27"/>
      <c r="J1866" s="27"/>
      <c r="K1866" s="27"/>
      <c r="L1866" s="27"/>
      <c r="M1866" s="27"/>
      <c r="N1866" s="27"/>
      <c r="O1866" s="27"/>
      <c r="P1866" s="27"/>
      <c r="Q1866" s="27"/>
      <c r="R1866" s="27"/>
      <c r="S1866" s="27"/>
    </row>
    <row r="1867">
      <c r="B1867" s="27"/>
      <c r="C1867" s="27"/>
      <c r="D1867" s="27"/>
      <c r="E1867" s="27"/>
      <c r="F1867" s="27"/>
      <c r="G1867" s="27"/>
      <c r="H1867" s="27"/>
      <c r="I1867" s="27"/>
      <c r="J1867" s="27"/>
      <c r="K1867" s="27"/>
      <c r="L1867" s="27"/>
      <c r="M1867" s="27"/>
      <c r="N1867" s="27"/>
      <c r="O1867" s="27"/>
      <c r="P1867" s="27"/>
      <c r="Q1867" s="27"/>
      <c r="R1867" s="27"/>
      <c r="S1867" s="27"/>
    </row>
    <row r="1868">
      <c r="B1868" s="27"/>
      <c r="C1868" s="27"/>
      <c r="D1868" s="27"/>
      <c r="E1868" s="27"/>
      <c r="F1868" s="27"/>
      <c r="G1868" s="27"/>
      <c r="H1868" s="27"/>
      <c r="I1868" s="27"/>
      <c r="J1868" s="27"/>
      <c r="K1868" s="27"/>
      <c r="L1868" s="27"/>
      <c r="M1868" s="27"/>
      <c r="N1868" s="27"/>
      <c r="O1868" s="27"/>
      <c r="P1868" s="27"/>
      <c r="Q1868" s="27"/>
      <c r="R1868" s="27"/>
      <c r="S1868" s="27"/>
    </row>
    <row r="1869">
      <c r="B1869" s="27"/>
      <c r="C1869" s="27"/>
      <c r="D1869" s="27"/>
      <c r="E1869" s="27"/>
      <c r="F1869" s="27"/>
      <c r="G1869" s="27"/>
      <c r="H1869" s="27"/>
      <c r="I1869" s="27"/>
      <c r="J1869" s="27"/>
      <c r="K1869" s="27"/>
      <c r="L1869" s="27"/>
      <c r="M1869" s="27"/>
      <c r="N1869" s="27"/>
      <c r="O1869" s="27"/>
      <c r="P1869" s="27"/>
      <c r="Q1869" s="27"/>
      <c r="R1869" s="27"/>
      <c r="S1869" s="27"/>
    </row>
    <row r="1870">
      <c r="B1870" s="27"/>
      <c r="C1870" s="27"/>
      <c r="D1870" s="27"/>
      <c r="E1870" s="27"/>
      <c r="F1870" s="27"/>
      <c r="G1870" s="27"/>
      <c r="H1870" s="27"/>
      <c r="I1870" s="27"/>
      <c r="J1870" s="27"/>
      <c r="K1870" s="27"/>
      <c r="L1870" s="27"/>
      <c r="M1870" s="27"/>
      <c r="N1870" s="27"/>
      <c r="O1870" s="27"/>
      <c r="P1870" s="27"/>
      <c r="Q1870" s="27"/>
      <c r="R1870" s="27"/>
      <c r="S1870" s="27"/>
    </row>
    <row r="1871">
      <c r="B1871" s="27"/>
      <c r="C1871" s="27"/>
      <c r="D1871" s="27"/>
      <c r="E1871" s="27"/>
      <c r="F1871" s="27"/>
      <c r="G1871" s="27"/>
      <c r="H1871" s="27"/>
      <c r="I1871" s="27"/>
      <c r="J1871" s="27"/>
      <c r="K1871" s="27"/>
      <c r="L1871" s="27"/>
      <c r="M1871" s="27"/>
      <c r="N1871" s="27"/>
      <c r="O1871" s="27"/>
      <c r="P1871" s="27"/>
      <c r="Q1871" s="27"/>
      <c r="R1871" s="27"/>
      <c r="S1871" s="27"/>
    </row>
    <row r="1872">
      <c r="B1872" s="27"/>
      <c r="C1872" s="27"/>
      <c r="D1872" s="27"/>
      <c r="E1872" s="27"/>
      <c r="F1872" s="27"/>
      <c r="G1872" s="27"/>
      <c r="H1872" s="27"/>
      <c r="I1872" s="27"/>
      <c r="J1872" s="27"/>
      <c r="K1872" s="27"/>
      <c r="L1872" s="27"/>
      <c r="M1872" s="27"/>
      <c r="N1872" s="27"/>
      <c r="O1872" s="27"/>
      <c r="P1872" s="27"/>
      <c r="Q1872" s="27"/>
      <c r="R1872" s="27"/>
      <c r="S1872" s="27"/>
    </row>
    <row r="1873">
      <c r="B1873" s="27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27"/>
      <c r="R1873" s="27"/>
      <c r="S1873" s="27"/>
    </row>
    <row r="1874">
      <c r="B1874" s="27"/>
      <c r="C1874" s="27"/>
      <c r="D1874" s="27"/>
      <c r="E1874" s="27"/>
      <c r="F1874" s="27"/>
      <c r="G1874" s="27"/>
      <c r="H1874" s="27"/>
      <c r="I1874" s="27"/>
      <c r="J1874" s="27"/>
      <c r="K1874" s="27"/>
      <c r="L1874" s="27"/>
      <c r="M1874" s="27"/>
      <c r="N1874" s="27"/>
      <c r="O1874" s="27"/>
      <c r="P1874" s="27"/>
      <c r="Q1874" s="27"/>
      <c r="R1874" s="27"/>
      <c r="S1874" s="27"/>
    </row>
    <row r="1875">
      <c r="B1875" s="27"/>
      <c r="C1875" s="27"/>
      <c r="D1875" s="27"/>
      <c r="E1875" s="27"/>
      <c r="F1875" s="27"/>
      <c r="G1875" s="27"/>
      <c r="H1875" s="27"/>
      <c r="I1875" s="27"/>
      <c r="J1875" s="27"/>
      <c r="K1875" s="27"/>
      <c r="L1875" s="27"/>
      <c r="M1875" s="27"/>
      <c r="N1875" s="27"/>
      <c r="O1875" s="27"/>
      <c r="P1875" s="27"/>
      <c r="Q1875" s="27"/>
      <c r="R1875" s="27"/>
      <c r="S1875" s="27"/>
    </row>
    <row r="1876">
      <c r="B1876" s="27"/>
      <c r="C1876" s="27"/>
      <c r="D1876" s="27"/>
      <c r="E1876" s="27"/>
      <c r="F1876" s="27"/>
      <c r="G1876" s="27"/>
      <c r="H1876" s="27"/>
      <c r="I1876" s="27"/>
      <c r="J1876" s="27"/>
      <c r="K1876" s="27"/>
      <c r="L1876" s="27"/>
      <c r="M1876" s="27"/>
      <c r="N1876" s="27"/>
      <c r="O1876" s="27"/>
      <c r="P1876" s="27"/>
      <c r="Q1876" s="27"/>
      <c r="R1876" s="27"/>
      <c r="S1876" s="27"/>
    </row>
    <row r="1877">
      <c r="B1877" s="27"/>
      <c r="C1877" s="27"/>
      <c r="D1877" s="27"/>
      <c r="E1877" s="27"/>
      <c r="F1877" s="27"/>
      <c r="G1877" s="27"/>
      <c r="H1877" s="27"/>
      <c r="I1877" s="27"/>
      <c r="J1877" s="27"/>
      <c r="K1877" s="27"/>
      <c r="L1877" s="27"/>
      <c r="M1877" s="27"/>
      <c r="N1877" s="27"/>
      <c r="O1877" s="27"/>
      <c r="P1877" s="27"/>
      <c r="Q1877" s="27"/>
      <c r="R1877" s="27"/>
      <c r="S1877" s="27"/>
    </row>
    <row r="1878">
      <c r="B1878" s="27"/>
      <c r="C1878" s="27"/>
      <c r="D1878" s="27"/>
      <c r="E1878" s="27"/>
      <c r="F1878" s="27"/>
      <c r="G1878" s="27"/>
      <c r="H1878" s="27"/>
      <c r="I1878" s="27"/>
      <c r="J1878" s="27"/>
      <c r="K1878" s="27"/>
      <c r="L1878" s="27"/>
      <c r="M1878" s="27"/>
      <c r="N1878" s="27"/>
      <c r="O1878" s="27"/>
      <c r="P1878" s="27"/>
      <c r="Q1878" s="27"/>
      <c r="R1878" s="27"/>
      <c r="S1878" s="27"/>
    </row>
    <row r="1879">
      <c r="B1879" s="27"/>
      <c r="C1879" s="27"/>
      <c r="D1879" s="27"/>
      <c r="E1879" s="27"/>
      <c r="F1879" s="27"/>
      <c r="G1879" s="27"/>
      <c r="H1879" s="27"/>
      <c r="I1879" s="27"/>
      <c r="J1879" s="27"/>
      <c r="K1879" s="27"/>
      <c r="L1879" s="27"/>
      <c r="M1879" s="27"/>
      <c r="N1879" s="27"/>
      <c r="O1879" s="27"/>
      <c r="P1879" s="27"/>
      <c r="Q1879" s="27"/>
      <c r="R1879" s="27"/>
      <c r="S1879" s="27"/>
    </row>
    <row r="1880">
      <c r="B1880" s="27"/>
      <c r="C1880" s="27"/>
      <c r="D1880" s="27"/>
      <c r="E1880" s="27"/>
      <c r="F1880" s="27"/>
      <c r="G1880" s="27"/>
      <c r="H1880" s="27"/>
      <c r="I1880" s="27"/>
      <c r="J1880" s="27"/>
      <c r="K1880" s="27"/>
      <c r="L1880" s="27"/>
      <c r="M1880" s="27"/>
      <c r="N1880" s="27"/>
      <c r="O1880" s="27"/>
      <c r="P1880" s="27"/>
      <c r="Q1880" s="27"/>
      <c r="R1880" s="27"/>
      <c r="S1880" s="27"/>
    </row>
    <row r="1881">
      <c r="B1881" s="27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27"/>
      <c r="R1881" s="27"/>
      <c r="S1881" s="27"/>
    </row>
    <row r="1882">
      <c r="B1882" s="27"/>
      <c r="C1882" s="27"/>
      <c r="D1882" s="27"/>
      <c r="E1882" s="27"/>
      <c r="F1882" s="27"/>
      <c r="G1882" s="27"/>
      <c r="H1882" s="27"/>
      <c r="I1882" s="27"/>
      <c r="J1882" s="27"/>
      <c r="K1882" s="27"/>
      <c r="L1882" s="27"/>
      <c r="M1882" s="27"/>
      <c r="N1882" s="27"/>
      <c r="O1882" s="27"/>
      <c r="P1882" s="27"/>
      <c r="Q1882" s="27"/>
      <c r="R1882" s="27"/>
      <c r="S1882" s="27"/>
    </row>
    <row r="1883">
      <c r="B1883" s="27"/>
      <c r="C1883" s="27"/>
      <c r="D1883" s="27"/>
      <c r="E1883" s="27"/>
      <c r="F1883" s="27"/>
      <c r="G1883" s="27"/>
      <c r="H1883" s="27"/>
      <c r="I1883" s="27"/>
      <c r="J1883" s="27"/>
      <c r="K1883" s="27"/>
      <c r="L1883" s="27"/>
      <c r="M1883" s="27"/>
      <c r="N1883" s="27"/>
      <c r="O1883" s="27"/>
      <c r="P1883" s="27"/>
      <c r="Q1883" s="27"/>
      <c r="R1883" s="27"/>
      <c r="S1883" s="27"/>
    </row>
    <row r="1884">
      <c r="B1884" s="27"/>
      <c r="C1884" s="27"/>
      <c r="D1884" s="27"/>
      <c r="E1884" s="27"/>
      <c r="F1884" s="27"/>
      <c r="G1884" s="27"/>
      <c r="H1884" s="27"/>
      <c r="I1884" s="27"/>
      <c r="J1884" s="27"/>
      <c r="K1884" s="27"/>
      <c r="L1884" s="27"/>
      <c r="M1884" s="27"/>
      <c r="N1884" s="27"/>
      <c r="O1884" s="27"/>
      <c r="P1884" s="27"/>
      <c r="Q1884" s="27"/>
      <c r="R1884" s="27"/>
      <c r="S1884" s="27"/>
    </row>
    <row r="1885">
      <c r="B1885" s="27"/>
      <c r="C1885" s="27"/>
      <c r="D1885" s="27"/>
      <c r="E1885" s="27"/>
      <c r="F1885" s="27"/>
      <c r="G1885" s="27"/>
      <c r="H1885" s="27"/>
      <c r="I1885" s="27"/>
      <c r="J1885" s="27"/>
      <c r="K1885" s="27"/>
      <c r="L1885" s="27"/>
      <c r="M1885" s="27"/>
      <c r="N1885" s="27"/>
      <c r="O1885" s="27"/>
      <c r="P1885" s="27"/>
      <c r="Q1885" s="27"/>
      <c r="R1885" s="27"/>
      <c r="S1885" s="27"/>
    </row>
    <row r="1886">
      <c r="B1886" s="27"/>
      <c r="C1886" s="27"/>
      <c r="D1886" s="27"/>
      <c r="E1886" s="27"/>
      <c r="F1886" s="27"/>
      <c r="G1886" s="27"/>
      <c r="H1886" s="27"/>
      <c r="I1886" s="27"/>
      <c r="J1886" s="27"/>
      <c r="K1886" s="27"/>
      <c r="L1886" s="27"/>
      <c r="M1886" s="27"/>
      <c r="N1886" s="27"/>
      <c r="O1886" s="27"/>
      <c r="P1886" s="27"/>
      <c r="Q1886" s="27"/>
      <c r="R1886" s="27"/>
      <c r="S1886" s="27"/>
    </row>
    <row r="1887">
      <c r="B1887" s="27"/>
      <c r="C1887" s="27"/>
      <c r="D1887" s="27"/>
      <c r="E1887" s="27"/>
      <c r="F1887" s="27"/>
      <c r="G1887" s="27"/>
      <c r="H1887" s="27"/>
      <c r="I1887" s="27"/>
      <c r="J1887" s="27"/>
      <c r="K1887" s="27"/>
      <c r="L1887" s="27"/>
      <c r="M1887" s="27"/>
      <c r="N1887" s="27"/>
      <c r="O1887" s="27"/>
      <c r="P1887" s="27"/>
      <c r="Q1887" s="27"/>
      <c r="R1887" s="27"/>
      <c r="S1887" s="27"/>
    </row>
    <row r="1888">
      <c r="B1888" s="27"/>
      <c r="C1888" s="27"/>
      <c r="D1888" s="27"/>
      <c r="E1888" s="27"/>
      <c r="F1888" s="27"/>
      <c r="G1888" s="27"/>
      <c r="H1888" s="27"/>
      <c r="I1888" s="27"/>
      <c r="J1888" s="27"/>
      <c r="K1888" s="27"/>
      <c r="L1888" s="27"/>
      <c r="M1888" s="27"/>
      <c r="N1888" s="27"/>
      <c r="O1888" s="27"/>
      <c r="P1888" s="27"/>
      <c r="Q1888" s="27"/>
      <c r="R1888" s="27"/>
      <c r="S1888" s="27"/>
    </row>
    <row r="1889">
      <c r="B1889" s="27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27"/>
      <c r="R1889" s="27"/>
      <c r="S1889" s="27"/>
    </row>
    <row r="1890">
      <c r="B1890" s="27"/>
      <c r="C1890" s="27"/>
      <c r="D1890" s="27"/>
      <c r="E1890" s="27"/>
      <c r="F1890" s="27"/>
      <c r="G1890" s="27"/>
      <c r="H1890" s="27"/>
      <c r="I1890" s="27"/>
      <c r="J1890" s="27"/>
      <c r="K1890" s="27"/>
      <c r="L1890" s="27"/>
      <c r="M1890" s="27"/>
      <c r="N1890" s="27"/>
      <c r="O1890" s="27"/>
      <c r="P1890" s="27"/>
      <c r="Q1890" s="27"/>
      <c r="R1890" s="27"/>
      <c r="S1890" s="27"/>
    </row>
    <row r="1891">
      <c r="B1891" s="27"/>
      <c r="C1891" s="27"/>
      <c r="D1891" s="27"/>
      <c r="E1891" s="27"/>
      <c r="F1891" s="27"/>
      <c r="G1891" s="27"/>
      <c r="H1891" s="27"/>
      <c r="I1891" s="27"/>
      <c r="J1891" s="27"/>
      <c r="K1891" s="27"/>
      <c r="L1891" s="27"/>
      <c r="M1891" s="27"/>
      <c r="N1891" s="27"/>
      <c r="O1891" s="27"/>
      <c r="P1891" s="27"/>
      <c r="Q1891" s="27"/>
      <c r="R1891" s="27"/>
      <c r="S1891" s="27"/>
    </row>
    <row r="1892">
      <c r="B1892" s="27"/>
      <c r="C1892" s="27"/>
      <c r="D1892" s="27"/>
      <c r="E1892" s="27"/>
      <c r="F1892" s="27"/>
      <c r="G1892" s="27"/>
      <c r="H1892" s="27"/>
      <c r="I1892" s="27"/>
      <c r="J1892" s="27"/>
      <c r="K1892" s="27"/>
      <c r="L1892" s="27"/>
      <c r="M1892" s="27"/>
      <c r="N1892" s="27"/>
      <c r="O1892" s="27"/>
      <c r="P1892" s="27"/>
      <c r="Q1892" s="27"/>
      <c r="R1892" s="27"/>
      <c r="S1892" s="27"/>
    </row>
    <row r="1893">
      <c r="B1893" s="27"/>
      <c r="C1893" s="27"/>
      <c r="D1893" s="27"/>
      <c r="E1893" s="27"/>
      <c r="F1893" s="27"/>
      <c r="G1893" s="27"/>
      <c r="H1893" s="27"/>
      <c r="I1893" s="27"/>
      <c r="J1893" s="27"/>
      <c r="K1893" s="27"/>
      <c r="L1893" s="27"/>
      <c r="M1893" s="27"/>
      <c r="N1893" s="27"/>
      <c r="O1893" s="27"/>
      <c r="P1893" s="27"/>
      <c r="Q1893" s="27"/>
      <c r="R1893" s="27"/>
      <c r="S1893" s="27"/>
    </row>
    <row r="1894">
      <c r="B1894" s="27"/>
      <c r="C1894" s="27"/>
      <c r="D1894" s="27"/>
      <c r="E1894" s="27"/>
      <c r="F1894" s="27"/>
      <c r="G1894" s="27"/>
      <c r="H1894" s="27"/>
      <c r="I1894" s="27"/>
      <c r="J1894" s="27"/>
      <c r="K1894" s="27"/>
      <c r="L1894" s="27"/>
      <c r="M1894" s="27"/>
      <c r="N1894" s="27"/>
      <c r="O1894" s="27"/>
      <c r="P1894" s="27"/>
      <c r="Q1894" s="27"/>
      <c r="R1894" s="27"/>
      <c r="S1894" s="27"/>
    </row>
    <row r="1895">
      <c r="B1895" s="27"/>
      <c r="C1895" s="27"/>
      <c r="D1895" s="27"/>
      <c r="E1895" s="27"/>
      <c r="F1895" s="27"/>
      <c r="G1895" s="27"/>
      <c r="H1895" s="27"/>
      <c r="I1895" s="27"/>
      <c r="J1895" s="27"/>
      <c r="K1895" s="27"/>
      <c r="L1895" s="27"/>
      <c r="M1895" s="27"/>
      <c r="N1895" s="27"/>
      <c r="O1895" s="27"/>
      <c r="P1895" s="27"/>
      <c r="Q1895" s="27"/>
      <c r="R1895" s="27"/>
      <c r="S1895" s="27"/>
    </row>
    <row r="1896">
      <c r="B1896" s="27"/>
      <c r="C1896" s="27"/>
      <c r="D1896" s="27"/>
      <c r="E1896" s="27"/>
      <c r="F1896" s="27"/>
      <c r="G1896" s="27"/>
      <c r="H1896" s="27"/>
      <c r="I1896" s="27"/>
      <c r="J1896" s="27"/>
      <c r="K1896" s="27"/>
      <c r="L1896" s="27"/>
      <c r="M1896" s="27"/>
      <c r="N1896" s="27"/>
      <c r="O1896" s="27"/>
      <c r="P1896" s="27"/>
      <c r="Q1896" s="27"/>
      <c r="R1896" s="27"/>
      <c r="S1896" s="27"/>
    </row>
    <row r="1897">
      <c r="B1897" s="27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27"/>
      <c r="R1897" s="27"/>
      <c r="S1897" s="27"/>
    </row>
    <row r="1898">
      <c r="B1898" s="27"/>
      <c r="C1898" s="27"/>
      <c r="D1898" s="27"/>
      <c r="E1898" s="27"/>
      <c r="F1898" s="27"/>
      <c r="G1898" s="27"/>
      <c r="H1898" s="27"/>
      <c r="I1898" s="27"/>
      <c r="J1898" s="27"/>
      <c r="K1898" s="27"/>
      <c r="L1898" s="27"/>
      <c r="M1898" s="27"/>
      <c r="N1898" s="27"/>
      <c r="O1898" s="27"/>
      <c r="P1898" s="27"/>
      <c r="Q1898" s="27"/>
      <c r="R1898" s="27"/>
      <c r="S1898" s="27"/>
    </row>
    <row r="1899">
      <c r="B1899" s="27"/>
      <c r="C1899" s="27"/>
      <c r="D1899" s="27"/>
      <c r="E1899" s="27"/>
      <c r="F1899" s="27"/>
      <c r="G1899" s="27"/>
      <c r="H1899" s="27"/>
      <c r="I1899" s="27"/>
      <c r="J1899" s="27"/>
      <c r="K1899" s="27"/>
      <c r="L1899" s="27"/>
      <c r="M1899" s="27"/>
      <c r="N1899" s="27"/>
      <c r="O1899" s="27"/>
      <c r="P1899" s="27"/>
      <c r="Q1899" s="27"/>
      <c r="R1899" s="27"/>
      <c r="S1899" s="27"/>
    </row>
    <row r="1900">
      <c r="B1900" s="27"/>
      <c r="C1900" s="27"/>
      <c r="D1900" s="27"/>
      <c r="E1900" s="27"/>
      <c r="F1900" s="27"/>
      <c r="G1900" s="27"/>
      <c r="H1900" s="27"/>
      <c r="I1900" s="27"/>
      <c r="J1900" s="27"/>
      <c r="K1900" s="27"/>
      <c r="L1900" s="27"/>
      <c r="M1900" s="27"/>
      <c r="N1900" s="27"/>
      <c r="O1900" s="27"/>
      <c r="P1900" s="27"/>
      <c r="Q1900" s="27"/>
      <c r="R1900" s="27"/>
      <c r="S1900" s="27"/>
    </row>
    <row r="1901">
      <c r="B1901" s="27"/>
      <c r="C1901" s="27"/>
      <c r="D1901" s="27"/>
      <c r="E1901" s="27"/>
      <c r="F1901" s="27"/>
      <c r="G1901" s="27"/>
      <c r="H1901" s="27"/>
      <c r="I1901" s="27"/>
      <c r="J1901" s="27"/>
      <c r="K1901" s="27"/>
      <c r="L1901" s="27"/>
      <c r="M1901" s="27"/>
      <c r="N1901" s="27"/>
      <c r="O1901" s="27"/>
      <c r="P1901" s="27"/>
      <c r="Q1901" s="27"/>
      <c r="R1901" s="27"/>
      <c r="S1901" s="27"/>
    </row>
    <row r="1902">
      <c r="B1902" s="27"/>
      <c r="C1902" s="27"/>
      <c r="D1902" s="27"/>
      <c r="E1902" s="27"/>
      <c r="F1902" s="27"/>
      <c r="G1902" s="27"/>
      <c r="H1902" s="27"/>
      <c r="I1902" s="27"/>
      <c r="J1902" s="27"/>
      <c r="K1902" s="27"/>
      <c r="L1902" s="27"/>
      <c r="M1902" s="27"/>
      <c r="N1902" s="27"/>
      <c r="O1902" s="27"/>
      <c r="P1902" s="27"/>
      <c r="Q1902" s="27"/>
      <c r="R1902" s="27"/>
      <c r="S1902" s="27"/>
    </row>
    <row r="1903">
      <c r="B1903" s="27"/>
      <c r="C1903" s="27"/>
      <c r="D1903" s="27"/>
      <c r="E1903" s="27"/>
      <c r="F1903" s="27"/>
      <c r="G1903" s="27"/>
      <c r="H1903" s="27"/>
      <c r="I1903" s="27"/>
      <c r="J1903" s="27"/>
      <c r="K1903" s="27"/>
      <c r="L1903" s="27"/>
      <c r="M1903" s="27"/>
      <c r="N1903" s="27"/>
      <c r="O1903" s="27"/>
      <c r="P1903" s="27"/>
      <c r="Q1903" s="27"/>
      <c r="R1903" s="27"/>
      <c r="S1903" s="27"/>
    </row>
    <row r="1904">
      <c r="B1904" s="27"/>
      <c r="C1904" s="27"/>
      <c r="D1904" s="27"/>
      <c r="E1904" s="27"/>
      <c r="F1904" s="27"/>
      <c r="G1904" s="27"/>
      <c r="H1904" s="27"/>
      <c r="I1904" s="27"/>
      <c r="J1904" s="27"/>
      <c r="K1904" s="27"/>
      <c r="L1904" s="27"/>
      <c r="M1904" s="27"/>
      <c r="N1904" s="27"/>
      <c r="O1904" s="27"/>
      <c r="P1904" s="27"/>
      <c r="Q1904" s="27"/>
      <c r="R1904" s="27"/>
      <c r="S1904" s="27"/>
    </row>
    <row r="1905">
      <c r="B1905" s="27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27"/>
      <c r="R1905" s="27"/>
      <c r="S1905" s="27"/>
    </row>
    <row r="1906">
      <c r="B1906" s="27"/>
      <c r="C1906" s="27"/>
      <c r="D1906" s="27"/>
      <c r="E1906" s="27"/>
      <c r="F1906" s="27"/>
      <c r="G1906" s="27"/>
      <c r="H1906" s="27"/>
      <c r="I1906" s="27"/>
      <c r="J1906" s="27"/>
      <c r="K1906" s="27"/>
      <c r="L1906" s="27"/>
      <c r="M1906" s="27"/>
      <c r="N1906" s="27"/>
      <c r="O1906" s="27"/>
      <c r="P1906" s="27"/>
      <c r="Q1906" s="27"/>
      <c r="R1906" s="27"/>
      <c r="S1906" s="27"/>
    </row>
    <row r="1907">
      <c r="B1907" s="27"/>
      <c r="C1907" s="27"/>
      <c r="D1907" s="27"/>
      <c r="E1907" s="27"/>
      <c r="F1907" s="27"/>
      <c r="G1907" s="27"/>
      <c r="H1907" s="27"/>
      <c r="I1907" s="27"/>
      <c r="J1907" s="27"/>
      <c r="K1907" s="27"/>
      <c r="L1907" s="27"/>
      <c r="M1907" s="27"/>
      <c r="N1907" s="27"/>
      <c r="O1907" s="27"/>
      <c r="P1907" s="27"/>
      <c r="Q1907" s="27"/>
      <c r="R1907" s="27"/>
      <c r="S1907" s="27"/>
    </row>
    <row r="1908">
      <c r="B1908" s="27"/>
      <c r="C1908" s="27"/>
      <c r="D1908" s="27"/>
      <c r="E1908" s="27"/>
      <c r="F1908" s="27"/>
      <c r="G1908" s="27"/>
      <c r="H1908" s="27"/>
      <c r="I1908" s="27"/>
      <c r="J1908" s="27"/>
      <c r="K1908" s="27"/>
      <c r="L1908" s="27"/>
      <c r="M1908" s="27"/>
      <c r="N1908" s="27"/>
      <c r="O1908" s="27"/>
      <c r="P1908" s="27"/>
      <c r="Q1908" s="27"/>
      <c r="R1908" s="27"/>
      <c r="S1908" s="27"/>
    </row>
    <row r="1909">
      <c r="B1909" s="27"/>
      <c r="C1909" s="27"/>
      <c r="D1909" s="27"/>
      <c r="E1909" s="27"/>
      <c r="F1909" s="27"/>
      <c r="G1909" s="27"/>
      <c r="H1909" s="27"/>
      <c r="I1909" s="27"/>
      <c r="J1909" s="27"/>
      <c r="K1909" s="27"/>
      <c r="L1909" s="27"/>
      <c r="M1909" s="27"/>
      <c r="N1909" s="27"/>
      <c r="O1909" s="27"/>
      <c r="P1909" s="27"/>
      <c r="Q1909" s="27"/>
      <c r="R1909" s="27"/>
      <c r="S1909" s="27"/>
    </row>
    <row r="1910">
      <c r="B1910" s="27"/>
      <c r="C1910" s="27"/>
      <c r="D1910" s="27"/>
      <c r="E1910" s="27"/>
      <c r="F1910" s="27"/>
      <c r="G1910" s="27"/>
      <c r="H1910" s="27"/>
      <c r="I1910" s="27"/>
      <c r="J1910" s="27"/>
      <c r="K1910" s="27"/>
      <c r="L1910" s="27"/>
      <c r="M1910" s="27"/>
      <c r="N1910" s="27"/>
      <c r="O1910" s="27"/>
      <c r="P1910" s="27"/>
      <c r="Q1910" s="27"/>
      <c r="R1910" s="27"/>
      <c r="S1910" s="27"/>
    </row>
    <row r="1911">
      <c r="B1911" s="27"/>
      <c r="C1911" s="27"/>
      <c r="D1911" s="27"/>
      <c r="E1911" s="27"/>
      <c r="F1911" s="27"/>
      <c r="G1911" s="27"/>
      <c r="H1911" s="27"/>
      <c r="I1911" s="27"/>
      <c r="J1911" s="27"/>
      <c r="K1911" s="27"/>
      <c r="L1911" s="27"/>
      <c r="M1911" s="27"/>
      <c r="N1911" s="27"/>
      <c r="O1911" s="27"/>
      <c r="P1911" s="27"/>
      <c r="Q1911" s="27"/>
      <c r="R1911" s="27"/>
      <c r="S1911" s="27"/>
    </row>
    <row r="1912">
      <c r="B1912" s="27"/>
      <c r="C1912" s="27"/>
      <c r="D1912" s="27"/>
      <c r="E1912" s="27"/>
      <c r="F1912" s="27"/>
      <c r="G1912" s="27"/>
      <c r="H1912" s="27"/>
      <c r="I1912" s="27"/>
      <c r="J1912" s="27"/>
      <c r="K1912" s="27"/>
      <c r="L1912" s="27"/>
      <c r="M1912" s="27"/>
      <c r="N1912" s="27"/>
      <c r="O1912" s="27"/>
      <c r="P1912" s="27"/>
      <c r="Q1912" s="27"/>
      <c r="R1912" s="27"/>
      <c r="S1912" s="27"/>
    </row>
    <row r="1913">
      <c r="B1913" s="27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27"/>
      <c r="R1913" s="27"/>
      <c r="S1913" s="27"/>
    </row>
    <row r="1914">
      <c r="B1914" s="27"/>
      <c r="C1914" s="27"/>
      <c r="D1914" s="27"/>
      <c r="E1914" s="27"/>
      <c r="F1914" s="27"/>
      <c r="G1914" s="27"/>
      <c r="H1914" s="27"/>
      <c r="I1914" s="27"/>
      <c r="J1914" s="27"/>
      <c r="K1914" s="27"/>
      <c r="L1914" s="27"/>
      <c r="M1914" s="27"/>
      <c r="N1914" s="27"/>
      <c r="O1914" s="27"/>
      <c r="P1914" s="27"/>
      <c r="Q1914" s="27"/>
      <c r="R1914" s="27"/>
      <c r="S1914" s="27"/>
    </row>
    <row r="1915">
      <c r="B1915" s="27"/>
      <c r="C1915" s="27"/>
      <c r="D1915" s="27"/>
      <c r="E1915" s="27"/>
      <c r="F1915" s="27"/>
      <c r="G1915" s="27"/>
      <c r="H1915" s="27"/>
      <c r="I1915" s="27"/>
      <c r="J1915" s="27"/>
      <c r="K1915" s="27"/>
      <c r="L1915" s="27"/>
      <c r="M1915" s="27"/>
      <c r="N1915" s="27"/>
      <c r="O1915" s="27"/>
      <c r="P1915" s="27"/>
      <c r="Q1915" s="27"/>
      <c r="R1915" s="27"/>
      <c r="S1915" s="27"/>
    </row>
    <row r="1916">
      <c r="B1916" s="27"/>
      <c r="C1916" s="27"/>
      <c r="D1916" s="27"/>
      <c r="E1916" s="27"/>
      <c r="F1916" s="27"/>
      <c r="G1916" s="27"/>
      <c r="H1916" s="27"/>
      <c r="I1916" s="27"/>
      <c r="J1916" s="27"/>
      <c r="K1916" s="27"/>
      <c r="L1916" s="27"/>
      <c r="M1916" s="27"/>
      <c r="N1916" s="27"/>
      <c r="O1916" s="27"/>
      <c r="P1916" s="27"/>
      <c r="Q1916" s="27"/>
      <c r="R1916" s="27"/>
      <c r="S1916" s="27"/>
    </row>
    <row r="1917">
      <c r="B1917" s="27"/>
      <c r="C1917" s="27"/>
      <c r="D1917" s="27"/>
      <c r="E1917" s="27"/>
      <c r="F1917" s="27"/>
      <c r="G1917" s="27"/>
      <c r="H1917" s="27"/>
      <c r="I1917" s="27"/>
      <c r="J1917" s="27"/>
      <c r="K1917" s="27"/>
      <c r="L1917" s="27"/>
      <c r="M1917" s="27"/>
      <c r="N1917" s="27"/>
      <c r="O1917" s="27"/>
      <c r="P1917" s="27"/>
      <c r="Q1917" s="27"/>
      <c r="R1917" s="27"/>
      <c r="S1917" s="27"/>
    </row>
    <row r="1918">
      <c r="B1918" s="27"/>
      <c r="C1918" s="27"/>
      <c r="D1918" s="27"/>
      <c r="E1918" s="27"/>
      <c r="F1918" s="27"/>
      <c r="G1918" s="27"/>
      <c r="H1918" s="27"/>
      <c r="I1918" s="27"/>
      <c r="J1918" s="27"/>
      <c r="K1918" s="27"/>
      <c r="L1918" s="27"/>
      <c r="M1918" s="27"/>
      <c r="N1918" s="27"/>
      <c r="O1918" s="27"/>
      <c r="P1918" s="27"/>
      <c r="Q1918" s="27"/>
      <c r="R1918" s="27"/>
      <c r="S1918" s="27"/>
    </row>
    <row r="1919">
      <c r="B1919" s="27"/>
      <c r="C1919" s="27"/>
      <c r="D1919" s="27"/>
      <c r="E1919" s="27"/>
      <c r="F1919" s="27"/>
      <c r="G1919" s="27"/>
      <c r="H1919" s="27"/>
      <c r="I1919" s="27"/>
      <c r="J1919" s="27"/>
      <c r="K1919" s="27"/>
      <c r="L1919" s="27"/>
      <c r="M1919" s="27"/>
      <c r="N1919" s="27"/>
      <c r="O1919" s="27"/>
      <c r="P1919" s="27"/>
      <c r="Q1919" s="27"/>
      <c r="R1919" s="27"/>
      <c r="S1919" s="27"/>
    </row>
    <row r="1920">
      <c r="B1920" s="27"/>
      <c r="C1920" s="27"/>
      <c r="D1920" s="27"/>
      <c r="E1920" s="27"/>
      <c r="F1920" s="27"/>
      <c r="G1920" s="27"/>
      <c r="H1920" s="27"/>
      <c r="I1920" s="27"/>
      <c r="J1920" s="27"/>
      <c r="K1920" s="27"/>
      <c r="L1920" s="27"/>
      <c r="M1920" s="27"/>
      <c r="N1920" s="27"/>
      <c r="O1920" s="27"/>
      <c r="P1920" s="27"/>
      <c r="Q1920" s="27"/>
      <c r="R1920" s="27"/>
      <c r="S1920" s="27"/>
    </row>
    <row r="1921">
      <c r="B1921" s="27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27"/>
      <c r="R1921" s="27"/>
      <c r="S1921" s="27"/>
    </row>
    <row r="1922">
      <c r="B1922" s="27"/>
      <c r="C1922" s="27"/>
      <c r="D1922" s="27"/>
      <c r="E1922" s="27"/>
      <c r="F1922" s="27"/>
      <c r="G1922" s="27"/>
      <c r="H1922" s="27"/>
      <c r="I1922" s="27"/>
      <c r="J1922" s="27"/>
      <c r="K1922" s="27"/>
      <c r="L1922" s="27"/>
      <c r="M1922" s="27"/>
      <c r="N1922" s="27"/>
      <c r="O1922" s="27"/>
      <c r="P1922" s="27"/>
      <c r="Q1922" s="27"/>
      <c r="R1922" s="27"/>
      <c r="S1922" s="27"/>
    </row>
    <row r="1923">
      <c r="B1923" s="27"/>
      <c r="C1923" s="27"/>
      <c r="D1923" s="27"/>
      <c r="E1923" s="27"/>
      <c r="F1923" s="27"/>
      <c r="G1923" s="27"/>
      <c r="H1923" s="27"/>
      <c r="I1923" s="27"/>
      <c r="J1923" s="27"/>
      <c r="K1923" s="27"/>
      <c r="L1923" s="27"/>
      <c r="M1923" s="27"/>
      <c r="N1923" s="27"/>
      <c r="O1923" s="27"/>
      <c r="P1923" s="27"/>
      <c r="Q1923" s="27"/>
      <c r="R1923" s="27"/>
      <c r="S1923" s="27"/>
    </row>
    <row r="1924">
      <c r="B1924" s="27"/>
      <c r="C1924" s="27"/>
      <c r="D1924" s="27"/>
      <c r="E1924" s="27"/>
      <c r="F1924" s="27"/>
      <c r="G1924" s="27"/>
      <c r="H1924" s="27"/>
      <c r="I1924" s="27"/>
      <c r="J1924" s="27"/>
      <c r="K1924" s="27"/>
      <c r="L1924" s="27"/>
      <c r="M1924" s="27"/>
      <c r="N1924" s="27"/>
      <c r="O1924" s="27"/>
      <c r="P1924" s="27"/>
      <c r="Q1924" s="27"/>
      <c r="R1924" s="27"/>
      <c r="S1924" s="27"/>
    </row>
    <row r="1925">
      <c r="B1925" s="27"/>
      <c r="C1925" s="27"/>
      <c r="D1925" s="27"/>
      <c r="E1925" s="27"/>
      <c r="F1925" s="27"/>
      <c r="G1925" s="27"/>
      <c r="H1925" s="27"/>
      <c r="I1925" s="27"/>
      <c r="J1925" s="27"/>
      <c r="K1925" s="27"/>
      <c r="L1925" s="27"/>
      <c r="M1925" s="27"/>
      <c r="N1925" s="27"/>
      <c r="O1925" s="27"/>
      <c r="P1925" s="27"/>
      <c r="Q1925" s="27"/>
      <c r="R1925" s="27"/>
      <c r="S1925" s="27"/>
    </row>
    <row r="1926">
      <c r="B1926" s="27"/>
      <c r="C1926" s="27"/>
      <c r="D1926" s="27"/>
      <c r="E1926" s="27"/>
      <c r="F1926" s="27"/>
      <c r="G1926" s="27"/>
      <c r="H1926" s="27"/>
      <c r="I1926" s="27"/>
      <c r="J1926" s="27"/>
      <c r="K1926" s="27"/>
      <c r="L1926" s="27"/>
      <c r="M1926" s="27"/>
      <c r="N1926" s="27"/>
      <c r="O1926" s="27"/>
      <c r="P1926" s="27"/>
      <c r="Q1926" s="27"/>
      <c r="R1926" s="27"/>
      <c r="S1926" s="27"/>
    </row>
    <row r="1927">
      <c r="B1927" s="27"/>
      <c r="C1927" s="27"/>
      <c r="D1927" s="27"/>
      <c r="E1927" s="27"/>
      <c r="F1927" s="27"/>
      <c r="G1927" s="27"/>
      <c r="H1927" s="27"/>
      <c r="I1927" s="27"/>
      <c r="J1927" s="27"/>
      <c r="K1927" s="27"/>
      <c r="L1927" s="27"/>
      <c r="M1927" s="27"/>
      <c r="N1927" s="27"/>
      <c r="O1927" s="27"/>
      <c r="P1927" s="27"/>
      <c r="Q1927" s="27"/>
      <c r="R1927" s="27"/>
      <c r="S1927" s="27"/>
    </row>
    <row r="1928">
      <c r="B1928" s="27"/>
      <c r="C1928" s="27"/>
      <c r="D1928" s="27"/>
      <c r="E1928" s="27"/>
      <c r="F1928" s="27"/>
      <c r="G1928" s="27"/>
      <c r="H1928" s="27"/>
      <c r="I1928" s="27"/>
      <c r="J1928" s="27"/>
      <c r="K1928" s="27"/>
      <c r="L1928" s="27"/>
      <c r="M1928" s="27"/>
      <c r="N1928" s="27"/>
      <c r="O1928" s="27"/>
      <c r="P1928" s="27"/>
      <c r="Q1928" s="27"/>
      <c r="R1928" s="27"/>
      <c r="S1928" s="27"/>
    </row>
    <row r="1929">
      <c r="B1929" s="27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27"/>
      <c r="R1929" s="27"/>
      <c r="S1929" s="27"/>
    </row>
    <row r="1930">
      <c r="B1930" s="27"/>
      <c r="C1930" s="27"/>
      <c r="D1930" s="27"/>
      <c r="E1930" s="27"/>
      <c r="F1930" s="27"/>
      <c r="G1930" s="27"/>
      <c r="H1930" s="27"/>
      <c r="I1930" s="27"/>
      <c r="J1930" s="27"/>
      <c r="K1930" s="27"/>
      <c r="L1930" s="27"/>
      <c r="M1930" s="27"/>
      <c r="N1930" s="27"/>
      <c r="O1930" s="27"/>
      <c r="P1930" s="27"/>
      <c r="Q1930" s="27"/>
      <c r="R1930" s="27"/>
      <c r="S1930" s="27"/>
    </row>
    <row r="1931">
      <c r="B1931" s="27"/>
      <c r="C1931" s="27"/>
      <c r="D1931" s="27"/>
      <c r="E1931" s="27"/>
      <c r="F1931" s="27"/>
      <c r="G1931" s="27"/>
      <c r="H1931" s="27"/>
      <c r="I1931" s="27"/>
      <c r="J1931" s="27"/>
      <c r="K1931" s="27"/>
      <c r="L1931" s="27"/>
      <c r="M1931" s="27"/>
      <c r="N1931" s="27"/>
      <c r="O1931" s="27"/>
      <c r="P1931" s="27"/>
      <c r="Q1931" s="27"/>
      <c r="R1931" s="27"/>
      <c r="S1931" s="27"/>
    </row>
    <row r="1932">
      <c r="B1932" s="27"/>
      <c r="C1932" s="27"/>
      <c r="D1932" s="27"/>
      <c r="E1932" s="27"/>
      <c r="F1932" s="27"/>
      <c r="G1932" s="27"/>
      <c r="H1932" s="27"/>
      <c r="I1932" s="27"/>
      <c r="J1932" s="27"/>
      <c r="K1932" s="27"/>
      <c r="L1932" s="27"/>
      <c r="M1932" s="27"/>
      <c r="N1932" s="27"/>
      <c r="O1932" s="27"/>
      <c r="P1932" s="27"/>
      <c r="Q1932" s="27"/>
      <c r="R1932" s="27"/>
      <c r="S1932" s="27"/>
    </row>
    <row r="1933">
      <c r="B1933" s="27"/>
      <c r="C1933" s="27"/>
      <c r="D1933" s="27"/>
      <c r="E1933" s="27"/>
      <c r="F1933" s="27"/>
      <c r="G1933" s="27"/>
      <c r="H1933" s="27"/>
      <c r="I1933" s="27"/>
      <c r="J1933" s="27"/>
      <c r="K1933" s="27"/>
      <c r="L1933" s="27"/>
      <c r="M1933" s="27"/>
      <c r="N1933" s="27"/>
      <c r="O1933" s="27"/>
      <c r="P1933" s="27"/>
      <c r="Q1933" s="27"/>
      <c r="R1933" s="27"/>
      <c r="S1933" s="27"/>
    </row>
    <row r="1934">
      <c r="B1934" s="27"/>
      <c r="C1934" s="27"/>
      <c r="D1934" s="27"/>
      <c r="E1934" s="27"/>
      <c r="F1934" s="27"/>
      <c r="G1934" s="27"/>
      <c r="H1934" s="27"/>
      <c r="I1934" s="27"/>
      <c r="J1934" s="27"/>
      <c r="K1934" s="27"/>
      <c r="L1934" s="27"/>
      <c r="M1934" s="27"/>
      <c r="N1934" s="27"/>
      <c r="O1934" s="27"/>
      <c r="P1934" s="27"/>
      <c r="Q1934" s="27"/>
      <c r="R1934" s="27"/>
      <c r="S1934" s="27"/>
    </row>
    <row r="1935">
      <c r="B1935" s="27"/>
      <c r="C1935" s="27"/>
      <c r="D1935" s="27"/>
      <c r="E1935" s="27"/>
      <c r="F1935" s="27"/>
      <c r="G1935" s="27"/>
      <c r="H1935" s="27"/>
      <c r="I1935" s="27"/>
      <c r="J1935" s="27"/>
      <c r="K1935" s="27"/>
      <c r="L1935" s="27"/>
      <c r="M1935" s="27"/>
      <c r="N1935" s="27"/>
      <c r="O1935" s="27"/>
      <c r="P1935" s="27"/>
      <c r="Q1935" s="27"/>
      <c r="R1935" s="27"/>
      <c r="S1935" s="27"/>
    </row>
    <row r="1936">
      <c r="B1936" s="27"/>
      <c r="C1936" s="27"/>
      <c r="D1936" s="27"/>
      <c r="E1936" s="27"/>
      <c r="F1936" s="27"/>
      <c r="G1936" s="27"/>
      <c r="H1936" s="27"/>
      <c r="I1936" s="27"/>
      <c r="J1936" s="27"/>
      <c r="K1936" s="27"/>
      <c r="L1936" s="27"/>
      <c r="M1936" s="27"/>
      <c r="N1936" s="27"/>
      <c r="O1936" s="27"/>
      <c r="P1936" s="27"/>
      <c r="Q1936" s="27"/>
      <c r="R1936" s="27"/>
      <c r="S1936" s="27"/>
    </row>
    <row r="1937">
      <c r="B1937" s="27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27"/>
      <c r="R1937" s="27"/>
      <c r="S1937" s="27"/>
    </row>
    <row r="1938">
      <c r="B1938" s="27"/>
      <c r="C1938" s="27"/>
      <c r="D1938" s="27"/>
      <c r="E1938" s="27"/>
      <c r="F1938" s="27"/>
      <c r="G1938" s="27"/>
      <c r="H1938" s="27"/>
      <c r="I1938" s="27"/>
      <c r="J1938" s="27"/>
      <c r="K1938" s="27"/>
      <c r="L1938" s="27"/>
      <c r="M1938" s="27"/>
      <c r="N1938" s="27"/>
      <c r="O1938" s="27"/>
      <c r="P1938" s="27"/>
      <c r="Q1938" s="27"/>
      <c r="R1938" s="27"/>
      <c r="S1938" s="27"/>
    </row>
    <row r="1939">
      <c r="B1939" s="27"/>
      <c r="C1939" s="27"/>
      <c r="D1939" s="27"/>
      <c r="E1939" s="27"/>
      <c r="F1939" s="27"/>
      <c r="G1939" s="27"/>
      <c r="H1939" s="27"/>
      <c r="I1939" s="27"/>
      <c r="J1939" s="27"/>
      <c r="K1939" s="27"/>
      <c r="L1939" s="27"/>
      <c r="M1939" s="27"/>
      <c r="N1939" s="27"/>
      <c r="O1939" s="27"/>
      <c r="P1939" s="27"/>
      <c r="Q1939" s="27"/>
      <c r="R1939" s="27"/>
      <c r="S1939" s="27"/>
    </row>
    <row r="1940">
      <c r="B1940" s="27"/>
      <c r="C1940" s="27"/>
      <c r="D1940" s="27"/>
      <c r="E1940" s="27"/>
      <c r="F1940" s="27"/>
      <c r="G1940" s="27"/>
      <c r="H1940" s="27"/>
      <c r="I1940" s="27"/>
      <c r="J1940" s="27"/>
      <c r="K1940" s="27"/>
      <c r="L1940" s="27"/>
      <c r="M1940" s="27"/>
      <c r="N1940" s="27"/>
      <c r="O1940" s="27"/>
      <c r="P1940" s="27"/>
      <c r="Q1940" s="27"/>
      <c r="R1940" s="27"/>
      <c r="S1940" s="27"/>
    </row>
    <row r="1941">
      <c r="B1941" s="27"/>
      <c r="C1941" s="27"/>
      <c r="D1941" s="27"/>
      <c r="E1941" s="27"/>
      <c r="F1941" s="27"/>
      <c r="G1941" s="27"/>
      <c r="H1941" s="27"/>
      <c r="I1941" s="27"/>
      <c r="J1941" s="27"/>
      <c r="K1941" s="27"/>
      <c r="L1941" s="27"/>
      <c r="M1941" s="27"/>
      <c r="N1941" s="27"/>
      <c r="O1941" s="27"/>
      <c r="P1941" s="27"/>
      <c r="Q1941" s="27"/>
      <c r="R1941" s="27"/>
      <c r="S1941" s="27"/>
    </row>
    <row r="1942">
      <c r="B1942" s="27"/>
      <c r="C1942" s="27"/>
      <c r="D1942" s="27"/>
      <c r="E1942" s="27"/>
      <c r="F1942" s="27"/>
      <c r="G1942" s="27"/>
      <c r="H1942" s="27"/>
      <c r="I1942" s="27"/>
      <c r="J1942" s="27"/>
      <c r="K1942" s="27"/>
      <c r="L1942" s="27"/>
      <c r="M1942" s="27"/>
      <c r="N1942" s="27"/>
      <c r="O1942" s="27"/>
      <c r="P1942" s="27"/>
      <c r="Q1942" s="27"/>
      <c r="R1942" s="27"/>
      <c r="S1942" s="27"/>
    </row>
    <row r="1943">
      <c r="B1943" s="27"/>
      <c r="C1943" s="27"/>
      <c r="D1943" s="27"/>
      <c r="E1943" s="27"/>
      <c r="F1943" s="27"/>
      <c r="G1943" s="27"/>
      <c r="H1943" s="27"/>
      <c r="I1943" s="27"/>
      <c r="J1943" s="27"/>
      <c r="K1943" s="27"/>
      <c r="L1943" s="27"/>
      <c r="M1943" s="27"/>
      <c r="N1943" s="27"/>
      <c r="O1943" s="27"/>
      <c r="P1943" s="27"/>
      <c r="Q1943" s="27"/>
      <c r="R1943" s="27"/>
      <c r="S1943" s="27"/>
    </row>
    <row r="1944">
      <c r="B1944" s="27"/>
      <c r="C1944" s="27"/>
      <c r="D1944" s="27"/>
      <c r="E1944" s="27"/>
      <c r="F1944" s="27"/>
      <c r="G1944" s="27"/>
      <c r="H1944" s="27"/>
      <c r="I1944" s="27"/>
      <c r="J1944" s="27"/>
      <c r="K1944" s="27"/>
      <c r="L1944" s="27"/>
      <c r="M1944" s="27"/>
      <c r="N1944" s="27"/>
      <c r="O1944" s="27"/>
      <c r="P1944" s="27"/>
      <c r="Q1944" s="27"/>
      <c r="R1944" s="27"/>
      <c r="S1944" s="27"/>
    </row>
    <row r="1945">
      <c r="B1945" s="27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27"/>
      <c r="R1945" s="27"/>
      <c r="S1945" s="27"/>
    </row>
    <row r="1946">
      <c r="B1946" s="27"/>
      <c r="C1946" s="27"/>
      <c r="D1946" s="27"/>
      <c r="E1946" s="27"/>
      <c r="F1946" s="27"/>
      <c r="G1946" s="27"/>
      <c r="H1946" s="27"/>
      <c r="I1946" s="27"/>
      <c r="J1946" s="27"/>
      <c r="K1946" s="27"/>
      <c r="L1946" s="27"/>
      <c r="M1946" s="27"/>
      <c r="N1946" s="27"/>
      <c r="O1946" s="27"/>
      <c r="P1946" s="27"/>
      <c r="Q1946" s="27"/>
      <c r="R1946" s="27"/>
      <c r="S1946" s="27"/>
    </row>
    <row r="1947">
      <c r="B1947" s="27"/>
      <c r="C1947" s="27"/>
      <c r="D1947" s="27"/>
      <c r="E1947" s="27"/>
      <c r="F1947" s="27"/>
      <c r="G1947" s="27"/>
      <c r="H1947" s="27"/>
      <c r="I1947" s="27"/>
      <c r="J1947" s="27"/>
      <c r="K1947" s="27"/>
      <c r="L1947" s="27"/>
      <c r="M1947" s="27"/>
      <c r="N1947" s="27"/>
      <c r="O1947" s="27"/>
      <c r="P1947" s="27"/>
      <c r="Q1947" s="27"/>
      <c r="R1947" s="27"/>
      <c r="S1947" s="27"/>
    </row>
    <row r="1948">
      <c r="B1948" s="27"/>
      <c r="C1948" s="27"/>
      <c r="D1948" s="27"/>
      <c r="E1948" s="27"/>
      <c r="F1948" s="27"/>
      <c r="G1948" s="27"/>
      <c r="H1948" s="27"/>
      <c r="I1948" s="27"/>
      <c r="J1948" s="27"/>
      <c r="K1948" s="27"/>
      <c r="L1948" s="27"/>
      <c r="M1948" s="27"/>
      <c r="N1948" s="27"/>
      <c r="O1948" s="27"/>
      <c r="P1948" s="27"/>
      <c r="Q1948" s="27"/>
      <c r="R1948" s="27"/>
      <c r="S1948" s="27"/>
    </row>
    <row r="1949">
      <c r="B1949" s="27"/>
      <c r="C1949" s="27"/>
      <c r="D1949" s="27"/>
      <c r="E1949" s="27"/>
      <c r="F1949" s="27"/>
      <c r="G1949" s="27"/>
      <c r="H1949" s="27"/>
      <c r="I1949" s="27"/>
      <c r="J1949" s="27"/>
      <c r="K1949" s="27"/>
      <c r="L1949" s="27"/>
      <c r="M1949" s="27"/>
      <c r="N1949" s="27"/>
      <c r="O1949" s="27"/>
      <c r="P1949" s="27"/>
      <c r="Q1949" s="27"/>
      <c r="R1949" s="27"/>
      <c r="S1949" s="27"/>
    </row>
    <row r="1950">
      <c r="B1950" s="27"/>
      <c r="C1950" s="27"/>
      <c r="D1950" s="27"/>
      <c r="E1950" s="27"/>
      <c r="F1950" s="27"/>
      <c r="G1950" s="27"/>
      <c r="H1950" s="27"/>
      <c r="I1950" s="27"/>
      <c r="J1950" s="27"/>
      <c r="K1950" s="27"/>
      <c r="L1950" s="27"/>
      <c r="M1950" s="27"/>
      <c r="N1950" s="27"/>
      <c r="O1950" s="27"/>
      <c r="P1950" s="27"/>
      <c r="Q1950" s="27"/>
      <c r="R1950" s="27"/>
      <c r="S1950" s="27"/>
    </row>
    <row r="1951">
      <c r="B1951" s="27"/>
      <c r="C1951" s="27"/>
      <c r="D1951" s="27"/>
      <c r="E1951" s="27"/>
      <c r="F1951" s="27"/>
      <c r="G1951" s="27"/>
      <c r="H1951" s="27"/>
      <c r="I1951" s="27"/>
      <c r="J1951" s="27"/>
      <c r="K1951" s="27"/>
      <c r="L1951" s="27"/>
      <c r="M1951" s="27"/>
      <c r="N1951" s="27"/>
      <c r="O1951" s="27"/>
      <c r="P1951" s="27"/>
      <c r="Q1951" s="27"/>
      <c r="R1951" s="27"/>
      <c r="S1951" s="27"/>
    </row>
    <row r="1952">
      <c r="B1952" s="27"/>
      <c r="C1952" s="27"/>
      <c r="D1952" s="27"/>
      <c r="E1952" s="27"/>
      <c r="F1952" s="27"/>
      <c r="G1952" s="27"/>
      <c r="H1952" s="27"/>
      <c r="I1952" s="27"/>
      <c r="J1952" s="27"/>
      <c r="K1952" s="27"/>
      <c r="L1952" s="27"/>
      <c r="M1952" s="27"/>
      <c r="N1952" s="27"/>
      <c r="O1952" s="27"/>
      <c r="P1952" s="27"/>
      <c r="Q1952" s="27"/>
      <c r="R1952" s="27"/>
      <c r="S1952" s="27"/>
    </row>
    <row r="1953">
      <c r="B1953" s="27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27"/>
      <c r="R1953" s="27"/>
      <c r="S1953" s="27"/>
    </row>
    <row r="1954">
      <c r="B1954" s="27"/>
      <c r="C1954" s="27"/>
      <c r="D1954" s="27"/>
      <c r="E1954" s="27"/>
      <c r="F1954" s="27"/>
      <c r="G1954" s="27"/>
      <c r="H1954" s="27"/>
      <c r="I1954" s="27"/>
      <c r="J1954" s="27"/>
      <c r="K1954" s="27"/>
      <c r="L1954" s="27"/>
      <c r="M1954" s="27"/>
      <c r="N1954" s="27"/>
      <c r="O1954" s="27"/>
      <c r="P1954" s="27"/>
      <c r="Q1954" s="27"/>
      <c r="R1954" s="27"/>
      <c r="S1954" s="27"/>
    </row>
    <row r="1955">
      <c r="B1955" s="27"/>
      <c r="C1955" s="27"/>
      <c r="D1955" s="27"/>
      <c r="E1955" s="27"/>
      <c r="F1955" s="27"/>
      <c r="G1955" s="27"/>
      <c r="H1955" s="27"/>
      <c r="I1955" s="27"/>
      <c r="J1955" s="27"/>
      <c r="K1955" s="27"/>
      <c r="L1955" s="27"/>
      <c r="M1955" s="27"/>
      <c r="N1955" s="27"/>
      <c r="O1955" s="27"/>
      <c r="P1955" s="27"/>
      <c r="Q1955" s="27"/>
      <c r="R1955" s="27"/>
      <c r="S1955" s="27"/>
    </row>
    <row r="1956">
      <c r="B1956" s="27"/>
      <c r="C1956" s="27"/>
      <c r="D1956" s="27"/>
      <c r="E1956" s="27"/>
      <c r="F1956" s="27"/>
      <c r="G1956" s="27"/>
      <c r="H1956" s="27"/>
      <c r="I1956" s="27"/>
      <c r="J1956" s="27"/>
      <c r="K1956" s="27"/>
      <c r="L1956" s="27"/>
      <c r="M1956" s="27"/>
      <c r="N1956" s="27"/>
      <c r="O1956" s="27"/>
      <c r="P1956" s="27"/>
      <c r="Q1956" s="27"/>
      <c r="R1956" s="27"/>
      <c r="S1956" s="27"/>
    </row>
    <row r="1957">
      <c r="B1957" s="27"/>
      <c r="C1957" s="27"/>
      <c r="D1957" s="27"/>
      <c r="E1957" s="27"/>
      <c r="F1957" s="27"/>
      <c r="G1957" s="27"/>
      <c r="H1957" s="27"/>
      <c r="I1957" s="27"/>
      <c r="J1957" s="27"/>
      <c r="K1957" s="27"/>
      <c r="L1957" s="27"/>
      <c r="M1957" s="27"/>
      <c r="N1957" s="27"/>
      <c r="O1957" s="27"/>
      <c r="P1957" s="27"/>
      <c r="Q1957" s="27"/>
      <c r="R1957" s="27"/>
      <c r="S1957" s="27"/>
    </row>
    <row r="1958">
      <c r="B1958" s="27"/>
      <c r="C1958" s="27"/>
      <c r="D1958" s="27"/>
      <c r="E1958" s="27"/>
      <c r="F1958" s="27"/>
      <c r="G1958" s="27"/>
      <c r="H1958" s="27"/>
      <c r="I1958" s="27"/>
      <c r="J1958" s="27"/>
      <c r="K1958" s="27"/>
      <c r="L1958" s="27"/>
      <c r="M1958" s="27"/>
      <c r="N1958" s="27"/>
      <c r="O1958" s="27"/>
      <c r="P1958" s="27"/>
      <c r="Q1958" s="27"/>
      <c r="R1958" s="27"/>
      <c r="S1958" s="27"/>
    </row>
    <row r="1959">
      <c r="B1959" s="27"/>
      <c r="C1959" s="27"/>
      <c r="D1959" s="27"/>
      <c r="E1959" s="27"/>
      <c r="F1959" s="27"/>
      <c r="G1959" s="27"/>
      <c r="H1959" s="27"/>
      <c r="I1959" s="27"/>
      <c r="J1959" s="27"/>
      <c r="K1959" s="27"/>
      <c r="L1959" s="27"/>
      <c r="M1959" s="27"/>
      <c r="N1959" s="27"/>
      <c r="O1959" s="27"/>
      <c r="P1959" s="27"/>
      <c r="Q1959" s="27"/>
      <c r="R1959" s="27"/>
      <c r="S1959" s="27"/>
    </row>
    <row r="1960">
      <c r="B1960" s="27"/>
      <c r="C1960" s="27"/>
      <c r="D1960" s="27"/>
      <c r="E1960" s="27"/>
      <c r="F1960" s="27"/>
      <c r="G1960" s="27"/>
      <c r="H1960" s="27"/>
      <c r="I1960" s="27"/>
      <c r="J1960" s="27"/>
      <c r="K1960" s="27"/>
      <c r="L1960" s="27"/>
      <c r="M1960" s="27"/>
      <c r="N1960" s="27"/>
      <c r="O1960" s="27"/>
      <c r="P1960" s="27"/>
      <c r="Q1960" s="27"/>
      <c r="R1960" s="27"/>
      <c r="S1960" s="27"/>
    </row>
    <row r="1961">
      <c r="B1961" s="27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27"/>
      <c r="R1961" s="27"/>
      <c r="S1961" s="27"/>
    </row>
    <row r="1962">
      <c r="B1962" s="27"/>
      <c r="C1962" s="27"/>
      <c r="D1962" s="27"/>
      <c r="E1962" s="27"/>
      <c r="F1962" s="27"/>
      <c r="G1962" s="27"/>
      <c r="H1962" s="27"/>
      <c r="I1962" s="27"/>
      <c r="J1962" s="27"/>
      <c r="K1962" s="27"/>
      <c r="L1962" s="27"/>
      <c r="M1962" s="27"/>
      <c r="N1962" s="27"/>
      <c r="O1962" s="27"/>
      <c r="P1962" s="27"/>
      <c r="Q1962" s="27"/>
      <c r="R1962" s="27"/>
      <c r="S1962" s="27"/>
    </row>
    <row r="1963">
      <c r="B1963" s="27"/>
      <c r="C1963" s="27"/>
      <c r="D1963" s="27"/>
      <c r="E1963" s="27"/>
      <c r="F1963" s="27"/>
      <c r="G1963" s="27"/>
      <c r="H1963" s="27"/>
      <c r="I1963" s="27"/>
      <c r="J1963" s="27"/>
      <c r="K1963" s="27"/>
      <c r="L1963" s="27"/>
      <c r="M1963" s="27"/>
      <c r="N1963" s="27"/>
      <c r="O1963" s="27"/>
      <c r="P1963" s="27"/>
      <c r="Q1963" s="27"/>
      <c r="R1963" s="27"/>
      <c r="S1963" s="27"/>
    </row>
    <row r="1964">
      <c r="B1964" s="27"/>
      <c r="C1964" s="27"/>
      <c r="D1964" s="27"/>
      <c r="E1964" s="27"/>
      <c r="F1964" s="27"/>
      <c r="G1964" s="27"/>
      <c r="H1964" s="27"/>
      <c r="I1964" s="27"/>
      <c r="J1964" s="27"/>
      <c r="K1964" s="27"/>
      <c r="L1964" s="27"/>
      <c r="M1964" s="27"/>
      <c r="N1964" s="27"/>
      <c r="O1964" s="27"/>
      <c r="P1964" s="27"/>
      <c r="Q1964" s="27"/>
      <c r="R1964" s="27"/>
      <c r="S1964" s="27"/>
    </row>
    <row r="1965">
      <c r="B1965" s="27"/>
      <c r="C1965" s="27"/>
      <c r="D1965" s="27"/>
      <c r="E1965" s="27"/>
      <c r="F1965" s="27"/>
      <c r="G1965" s="27"/>
      <c r="H1965" s="27"/>
      <c r="I1965" s="27"/>
      <c r="J1965" s="27"/>
      <c r="K1965" s="27"/>
      <c r="L1965" s="27"/>
      <c r="M1965" s="27"/>
      <c r="N1965" s="27"/>
      <c r="O1965" s="27"/>
      <c r="P1965" s="27"/>
      <c r="Q1965" s="27"/>
      <c r="R1965" s="27"/>
      <c r="S1965" s="27"/>
    </row>
    <row r="1966">
      <c r="B1966" s="27"/>
      <c r="C1966" s="27"/>
      <c r="D1966" s="27"/>
      <c r="E1966" s="27"/>
      <c r="F1966" s="27"/>
      <c r="G1966" s="27"/>
      <c r="H1966" s="27"/>
      <c r="I1966" s="27"/>
      <c r="J1966" s="27"/>
      <c r="K1966" s="27"/>
      <c r="L1966" s="27"/>
      <c r="M1966" s="27"/>
      <c r="N1966" s="27"/>
      <c r="O1966" s="27"/>
      <c r="P1966" s="27"/>
      <c r="Q1966" s="27"/>
      <c r="R1966" s="27"/>
      <c r="S1966" s="27"/>
    </row>
    <row r="1967">
      <c r="B1967" s="27"/>
      <c r="C1967" s="27"/>
      <c r="D1967" s="27"/>
      <c r="E1967" s="27"/>
      <c r="F1967" s="27"/>
      <c r="G1967" s="27"/>
      <c r="H1967" s="27"/>
      <c r="I1967" s="27"/>
      <c r="J1967" s="27"/>
      <c r="K1967" s="27"/>
      <c r="L1967" s="27"/>
      <c r="M1967" s="27"/>
      <c r="N1967" s="27"/>
      <c r="O1967" s="27"/>
      <c r="P1967" s="27"/>
      <c r="Q1967" s="27"/>
      <c r="R1967" s="27"/>
      <c r="S1967" s="27"/>
    </row>
    <row r="1968">
      <c r="B1968" s="27"/>
      <c r="C1968" s="27"/>
      <c r="D1968" s="27"/>
      <c r="E1968" s="27"/>
      <c r="F1968" s="27"/>
      <c r="G1968" s="27"/>
      <c r="H1968" s="27"/>
      <c r="I1968" s="27"/>
      <c r="J1968" s="27"/>
      <c r="K1968" s="27"/>
      <c r="L1968" s="27"/>
      <c r="M1968" s="27"/>
      <c r="N1968" s="27"/>
      <c r="O1968" s="27"/>
      <c r="P1968" s="27"/>
      <c r="Q1968" s="27"/>
      <c r="R1968" s="27"/>
      <c r="S1968" s="27"/>
    </row>
    <row r="1969">
      <c r="B1969" s="27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27"/>
      <c r="R1969" s="27"/>
      <c r="S1969" s="27"/>
    </row>
    <row r="1970">
      <c r="B1970" s="27"/>
      <c r="C1970" s="27"/>
      <c r="D1970" s="27"/>
      <c r="E1970" s="27"/>
      <c r="F1970" s="27"/>
      <c r="G1970" s="27"/>
      <c r="H1970" s="27"/>
      <c r="I1970" s="27"/>
      <c r="J1970" s="27"/>
      <c r="K1970" s="27"/>
      <c r="L1970" s="27"/>
      <c r="M1970" s="27"/>
      <c r="N1970" s="27"/>
      <c r="O1970" s="27"/>
      <c r="P1970" s="27"/>
      <c r="Q1970" s="27"/>
      <c r="R1970" s="27"/>
      <c r="S1970" s="27"/>
    </row>
    <row r="1971">
      <c r="B1971" s="27"/>
      <c r="C1971" s="27"/>
      <c r="D1971" s="27"/>
      <c r="E1971" s="27"/>
      <c r="F1971" s="27"/>
      <c r="G1971" s="27"/>
      <c r="H1971" s="27"/>
      <c r="I1971" s="27"/>
      <c r="J1971" s="27"/>
      <c r="K1971" s="27"/>
      <c r="L1971" s="27"/>
      <c r="M1971" s="27"/>
      <c r="N1971" s="27"/>
      <c r="O1971" s="27"/>
      <c r="P1971" s="27"/>
      <c r="Q1971" s="27"/>
      <c r="R1971" s="27"/>
      <c r="S1971" s="27"/>
    </row>
    <row r="1972">
      <c r="B1972" s="27"/>
      <c r="C1972" s="27"/>
      <c r="D1972" s="27"/>
      <c r="E1972" s="27"/>
      <c r="F1972" s="27"/>
      <c r="G1972" s="27"/>
      <c r="H1972" s="27"/>
      <c r="I1972" s="27"/>
      <c r="J1972" s="27"/>
      <c r="K1972" s="27"/>
      <c r="L1972" s="27"/>
      <c r="M1972" s="27"/>
      <c r="N1972" s="27"/>
      <c r="O1972" s="27"/>
      <c r="P1972" s="27"/>
      <c r="Q1972" s="27"/>
      <c r="R1972" s="27"/>
      <c r="S1972" s="27"/>
    </row>
    <row r="1973">
      <c r="B1973" s="27"/>
      <c r="C1973" s="27"/>
      <c r="D1973" s="27"/>
      <c r="E1973" s="27"/>
      <c r="F1973" s="27"/>
      <c r="G1973" s="27"/>
      <c r="H1973" s="27"/>
      <c r="I1973" s="27"/>
      <c r="J1973" s="27"/>
      <c r="K1973" s="27"/>
      <c r="L1973" s="27"/>
      <c r="M1973" s="27"/>
      <c r="N1973" s="27"/>
      <c r="O1973" s="27"/>
      <c r="P1973" s="27"/>
      <c r="Q1973" s="27"/>
      <c r="R1973" s="27"/>
      <c r="S1973" s="27"/>
    </row>
    <row r="1974">
      <c r="B1974" s="27"/>
      <c r="C1974" s="27"/>
      <c r="D1974" s="27"/>
      <c r="E1974" s="27"/>
      <c r="F1974" s="27"/>
      <c r="G1974" s="27"/>
      <c r="H1974" s="27"/>
      <c r="I1974" s="27"/>
      <c r="J1974" s="27"/>
      <c r="K1974" s="27"/>
      <c r="L1974" s="27"/>
      <c r="M1974" s="27"/>
      <c r="N1974" s="27"/>
      <c r="O1974" s="27"/>
      <c r="P1974" s="27"/>
      <c r="Q1974" s="27"/>
      <c r="R1974" s="27"/>
      <c r="S1974" s="27"/>
    </row>
    <row r="1975">
      <c r="B1975" s="27"/>
      <c r="C1975" s="27"/>
      <c r="D1975" s="27"/>
      <c r="E1975" s="27"/>
      <c r="F1975" s="27"/>
      <c r="G1975" s="27"/>
      <c r="H1975" s="27"/>
      <c r="I1975" s="27"/>
      <c r="J1975" s="27"/>
      <c r="K1975" s="27"/>
      <c r="L1975" s="27"/>
      <c r="M1975" s="27"/>
      <c r="N1975" s="27"/>
      <c r="O1975" s="27"/>
      <c r="P1975" s="27"/>
      <c r="Q1975" s="27"/>
      <c r="R1975" s="27"/>
      <c r="S1975" s="27"/>
    </row>
    <row r="1976">
      <c r="B1976" s="27"/>
      <c r="C1976" s="27"/>
      <c r="D1976" s="27"/>
      <c r="E1976" s="27"/>
      <c r="F1976" s="27"/>
      <c r="G1976" s="27"/>
      <c r="H1976" s="27"/>
      <c r="I1976" s="27"/>
      <c r="J1976" s="27"/>
      <c r="K1976" s="27"/>
      <c r="L1976" s="27"/>
      <c r="M1976" s="27"/>
      <c r="N1976" s="27"/>
      <c r="O1976" s="27"/>
      <c r="P1976" s="27"/>
      <c r="Q1976" s="27"/>
      <c r="R1976" s="27"/>
      <c r="S1976" s="27"/>
    </row>
    <row r="1977">
      <c r="B1977" s="27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27"/>
      <c r="R1977" s="27"/>
      <c r="S1977" s="27"/>
    </row>
    <row r="1978">
      <c r="B1978" s="27"/>
      <c r="C1978" s="27"/>
      <c r="D1978" s="27"/>
      <c r="E1978" s="27"/>
      <c r="F1978" s="27"/>
      <c r="G1978" s="27"/>
      <c r="H1978" s="27"/>
      <c r="I1978" s="27"/>
      <c r="J1978" s="27"/>
      <c r="K1978" s="27"/>
      <c r="L1978" s="27"/>
      <c r="M1978" s="27"/>
      <c r="N1978" s="27"/>
      <c r="O1978" s="27"/>
      <c r="P1978" s="27"/>
      <c r="Q1978" s="27"/>
      <c r="R1978" s="27"/>
      <c r="S1978" s="27"/>
    </row>
    <row r="1979">
      <c r="B1979" s="27"/>
      <c r="C1979" s="27"/>
      <c r="D1979" s="27"/>
      <c r="E1979" s="27"/>
      <c r="F1979" s="27"/>
      <c r="G1979" s="27"/>
      <c r="H1979" s="27"/>
      <c r="I1979" s="27"/>
      <c r="J1979" s="27"/>
      <c r="K1979" s="27"/>
      <c r="L1979" s="27"/>
      <c r="M1979" s="27"/>
      <c r="N1979" s="27"/>
      <c r="O1979" s="27"/>
      <c r="P1979" s="27"/>
      <c r="Q1979" s="27"/>
      <c r="R1979" s="27"/>
      <c r="S1979" s="27"/>
    </row>
    <row r="1980">
      <c r="B1980" s="27"/>
      <c r="C1980" s="27"/>
      <c r="D1980" s="27"/>
      <c r="E1980" s="27"/>
      <c r="F1980" s="27"/>
      <c r="G1980" s="27"/>
      <c r="H1980" s="27"/>
      <c r="I1980" s="27"/>
      <c r="J1980" s="27"/>
      <c r="K1980" s="27"/>
      <c r="L1980" s="27"/>
      <c r="M1980" s="27"/>
      <c r="N1980" s="27"/>
      <c r="O1980" s="27"/>
      <c r="P1980" s="27"/>
      <c r="Q1980" s="27"/>
      <c r="R1980" s="27"/>
      <c r="S1980" s="27"/>
    </row>
    <row r="1981">
      <c r="B1981" s="27"/>
      <c r="C1981" s="27"/>
      <c r="D1981" s="27"/>
      <c r="E1981" s="27"/>
      <c r="F1981" s="27"/>
      <c r="G1981" s="27"/>
      <c r="H1981" s="27"/>
      <c r="I1981" s="27"/>
      <c r="J1981" s="27"/>
      <c r="K1981" s="27"/>
      <c r="L1981" s="27"/>
      <c r="M1981" s="27"/>
      <c r="N1981" s="27"/>
      <c r="O1981" s="27"/>
      <c r="P1981" s="27"/>
      <c r="Q1981" s="27"/>
      <c r="R1981" s="27"/>
      <c r="S1981" s="27"/>
    </row>
    <row r="1982">
      <c r="B1982" s="27"/>
      <c r="C1982" s="27"/>
      <c r="D1982" s="27"/>
      <c r="E1982" s="27"/>
      <c r="F1982" s="27"/>
      <c r="G1982" s="27"/>
      <c r="H1982" s="27"/>
      <c r="I1982" s="27"/>
      <c r="J1982" s="27"/>
      <c r="K1982" s="27"/>
      <c r="L1982" s="27"/>
      <c r="M1982" s="27"/>
      <c r="N1982" s="27"/>
      <c r="O1982" s="27"/>
      <c r="P1982" s="27"/>
      <c r="Q1982" s="27"/>
      <c r="R1982" s="27"/>
      <c r="S1982" s="27"/>
    </row>
    <row r="1983">
      <c r="B1983" s="27"/>
      <c r="C1983" s="27"/>
      <c r="D1983" s="27"/>
      <c r="E1983" s="27"/>
      <c r="F1983" s="27"/>
      <c r="G1983" s="27"/>
      <c r="H1983" s="27"/>
      <c r="I1983" s="27"/>
      <c r="J1983" s="27"/>
      <c r="K1983" s="27"/>
      <c r="L1983" s="27"/>
      <c r="M1983" s="27"/>
      <c r="N1983" s="27"/>
      <c r="O1983" s="27"/>
      <c r="P1983" s="27"/>
      <c r="Q1983" s="27"/>
      <c r="R1983" s="27"/>
      <c r="S1983" s="27"/>
    </row>
    <row r="1984">
      <c r="B1984" s="27"/>
      <c r="C1984" s="27"/>
      <c r="D1984" s="27"/>
      <c r="E1984" s="27"/>
      <c r="F1984" s="27"/>
      <c r="G1984" s="27"/>
      <c r="H1984" s="27"/>
      <c r="I1984" s="27"/>
      <c r="J1984" s="27"/>
      <c r="K1984" s="27"/>
      <c r="L1984" s="27"/>
      <c r="M1984" s="27"/>
      <c r="N1984" s="27"/>
      <c r="O1984" s="27"/>
      <c r="P1984" s="27"/>
      <c r="Q1984" s="27"/>
      <c r="R1984" s="27"/>
      <c r="S1984" s="27"/>
    </row>
    <row r="1985">
      <c r="B1985" s="27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27"/>
      <c r="R1985" s="27"/>
      <c r="S1985" s="27"/>
    </row>
    <row r="1986">
      <c r="B1986" s="27"/>
      <c r="C1986" s="27"/>
      <c r="D1986" s="27"/>
      <c r="E1986" s="27"/>
      <c r="F1986" s="27"/>
      <c r="G1986" s="27"/>
      <c r="H1986" s="27"/>
      <c r="I1986" s="27"/>
      <c r="J1986" s="27"/>
      <c r="K1986" s="27"/>
      <c r="L1986" s="27"/>
      <c r="M1986" s="27"/>
      <c r="N1986" s="27"/>
      <c r="O1986" s="27"/>
      <c r="P1986" s="27"/>
      <c r="Q1986" s="27"/>
      <c r="R1986" s="27"/>
      <c r="S1986" s="27"/>
    </row>
    <row r="1987">
      <c r="B1987" s="27"/>
      <c r="C1987" s="27"/>
      <c r="D1987" s="27"/>
      <c r="E1987" s="27"/>
      <c r="F1987" s="27"/>
      <c r="G1987" s="27"/>
      <c r="H1987" s="27"/>
      <c r="I1987" s="27"/>
      <c r="J1987" s="27"/>
      <c r="K1987" s="27"/>
      <c r="L1987" s="27"/>
      <c r="M1987" s="27"/>
      <c r="N1987" s="27"/>
      <c r="O1987" s="27"/>
      <c r="P1987" s="27"/>
      <c r="Q1987" s="27"/>
      <c r="R1987" s="27"/>
      <c r="S1987" s="27"/>
    </row>
    <row r="1988">
      <c r="B1988" s="27"/>
      <c r="C1988" s="27"/>
      <c r="D1988" s="27"/>
      <c r="E1988" s="27"/>
      <c r="F1988" s="27"/>
      <c r="G1988" s="27"/>
      <c r="H1988" s="27"/>
      <c r="I1988" s="27"/>
      <c r="J1988" s="27"/>
      <c r="K1988" s="27"/>
      <c r="L1988" s="27"/>
      <c r="M1988" s="27"/>
      <c r="N1988" s="27"/>
      <c r="O1988" s="27"/>
      <c r="P1988" s="27"/>
      <c r="Q1988" s="27"/>
      <c r="R1988" s="27"/>
      <c r="S1988" s="27"/>
    </row>
    <row r="1989">
      <c r="B1989" s="27"/>
      <c r="C1989" s="27"/>
      <c r="D1989" s="27"/>
      <c r="E1989" s="27"/>
      <c r="F1989" s="27"/>
      <c r="G1989" s="27"/>
      <c r="H1989" s="27"/>
      <c r="I1989" s="27"/>
      <c r="J1989" s="27"/>
      <c r="K1989" s="27"/>
      <c r="L1989" s="27"/>
      <c r="M1989" s="27"/>
      <c r="N1989" s="27"/>
      <c r="O1989" s="27"/>
      <c r="P1989" s="27"/>
      <c r="Q1989" s="27"/>
      <c r="R1989" s="27"/>
      <c r="S1989" s="27"/>
    </row>
    <row r="1990">
      <c r="B1990" s="27"/>
      <c r="C1990" s="27"/>
      <c r="D1990" s="27"/>
      <c r="E1990" s="27"/>
      <c r="F1990" s="27"/>
      <c r="G1990" s="27"/>
      <c r="H1990" s="27"/>
      <c r="I1990" s="27"/>
      <c r="J1990" s="27"/>
      <c r="K1990" s="27"/>
      <c r="L1990" s="27"/>
      <c r="M1990" s="27"/>
      <c r="N1990" s="27"/>
      <c r="O1990" s="27"/>
      <c r="P1990" s="27"/>
      <c r="Q1990" s="27"/>
      <c r="R1990" s="27"/>
      <c r="S1990" s="27"/>
    </row>
    <row r="1991">
      <c r="B1991" s="27"/>
      <c r="C1991" s="27"/>
      <c r="D1991" s="27"/>
      <c r="E1991" s="27"/>
      <c r="F1991" s="27"/>
      <c r="G1991" s="27"/>
      <c r="H1991" s="27"/>
      <c r="I1991" s="27"/>
      <c r="J1991" s="27"/>
      <c r="K1991" s="27"/>
      <c r="L1991" s="27"/>
      <c r="M1991" s="27"/>
      <c r="N1991" s="27"/>
      <c r="O1991" s="27"/>
      <c r="P1991" s="27"/>
      <c r="Q1991" s="27"/>
      <c r="R1991" s="27"/>
      <c r="S1991" s="27"/>
    </row>
    <row r="1992">
      <c r="B1992" s="27"/>
      <c r="C1992" s="27"/>
      <c r="D1992" s="27"/>
      <c r="E1992" s="27"/>
      <c r="F1992" s="27"/>
      <c r="G1992" s="27"/>
      <c r="H1992" s="27"/>
      <c r="I1992" s="27"/>
      <c r="J1992" s="27"/>
      <c r="K1992" s="27"/>
      <c r="L1992" s="27"/>
      <c r="M1992" s="27"/>
      <c r="N1992" s="27"/>
      <c r="O1992" s="27"/>
      <c r="P1992" s="27"/>
      <c r="Q1992" s="27"/>
      <c r="R1992" s="27"/>
      <c r="S1992" s="27"/>
    </row>
    <row r="1993">
      <c r="B1993" s="27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27"/>
      <c r="R1993" s="27"/>
      <c r="S1993" s="27"/>
    </row>
    <row r="1994">
      <c r="B1994" s="27"/>
      <c r="C1994" s="27"/>
      <c r="D1994" s="27"/>
      <c r="E1994" s="27"/>
      <c r="F1994" s="27"/>
      <c r="G1994" s="27"/>
      <c r="H1994" s="27"/>
      <c r="I1994" s="27"/>
      <c r="J1994" s="27"/>
      <c r="K1994" s="27"/>
      <c r="L1994" s="27"/>
      <c r="M1994" s="27"/>
      <c r="N1994" s="27"/>
      <c r="O1994" s="27"/>
      <c r="P1994" s="27"/>
      <c r="Q1994" s="27"/>
      <c r="R1994" s="27"/>
      <c r="S1994" s="27"/>
    </row>
    <row r="1995">
      <c r="B1995" s="27"/>
      <c r="C1995" s="27"/>
      <c r="D1995" s="27"/>
      <c r="E1995" s="27"/>
      <c r="F1995" s="27"/>
      <c r="G1995" s="27"/>
      <c r="H1995" s="27"/>
      <c r="I1995" s="27"/>
      <c r="J1995" s="27"/>
      <c r="K1995" s="27"/>
      <c r="L1995" s="27"/>
      <c r="M1995" s="27"/>
      <c r="N1995" s="27"/>
      <c r="O1995" s="27"/>
      <c r="P1995" s="27"/>
      <c r="Q1995" s="27"/>
      <c r="R1995" s="27"/>
      <c r="S1995" s="27"/>
    </row>
    <row r="1996">
      <c r="B1996" s="27"/>
      <c r="C1996" s="27"/>
      <c r="D1996" s="27"/>
      <c r="E1996" s="27"/>
      <c r="F1996" s="27"/>
      <c r="G1996" s="27"/>
      <c r="H1996" s="27"/>
      <c r="I1996" s="27"/>
      <c r="J1996" s="27"/>
      <c r="K1996" s="27"/>
      <c r="L1996" s="27"/>
      <c r="M1996" s="27"/>
      <c r="N1996" s="27"/>
      <c r="O1996" s="27"/>
      <c r="P1996" s="27"/>
      <c r="Q1996" s="27"/>
      <c r="R1996" s="27"/>
      <c r="S1996" s="27"/>
    </row>
    <row r="1997">
      <c r="B1997" s="27"/>
      <c r="C1997" s="27"/>
      <c r="D1997" s="27"/>
      <c r="E1997" s="27"/>
      <c r="F1997" s="27"/>
      <c r="G1997" s="27"/>
      <c r="H1997" s="27"/>
      <c r="I1997" s="27"/>
      <c r="J1997" s="27"/>
      <c r="K1997" s="27"/>
      <c r="L1997" s="27"/>
      <c r="M1997" s="27"/>
      <c r="N1997" s="27"/>
      <c r="O1997" s="27"/>
      <c r="P1997" s="27"/>
      <c r="Q1997" s="27"/>
      <c r="R1997" s="27"/>
      <c r="S1997" s="27"/>
    </row>
    <row r="1998">
      <c r="B1998" s="27"/>
      <c r="C1998" s="27"/>
      <c r="D1998" s="27"/>
      <c r="E1998" s="27"/>
      <c r="F1998" s="27"/>
      <c r="G1998" s="27"/>
      <c r="H1998" s="27"/>
      <c r="I1998" s="27"/>
      <c r="J1998" s="27"/>
      <c r="K1998" s="27"/>
      <c r="L1998" s="27"/>
      <c r="M1998" s="27"/>
      <c r="N1998" s="27"/>
      <c r="O1998" s="27"/>
      <c r="P1998" s="27"/>
      <c r="Q1998" s="27"/>
      <c r="R1998" s="27"/>
      <c r="S1998" s="27"/>
    </row>
    <row r="1999">
      <c r="B1999" s="27"/>
      <c r="C1999" s="27"/>
      <c r="D1999" s="27"/>
      <c r="E1999" s="27"/>
      <c r="F1999" s="27"/>
      <c r="G1999" s="27"/>
      <c r="H1999" s="27"/>
      <c r="I1999" s="27"/>
      <c r="J1999" s="27"/>
      <c r="K1999" s="27"/>
      <c r="L1999" s="27"/>
      <c r="M1999" s="27"/>
      <c r="N1999" s="27"/>
      <c r="O1999" s="27"/>
      <c r="P1999" s="27"/>
      <c r="Q1999" s="27"/>
      <c r="R1999" s="27"/>
      <c r="S1999" s="27"/>
    </row>
    <row r="2000">
      <c r="B2000" s="27"/>
      <c r="C2000" s="27"/>
      <c r="D2000" s="27"/>
      <c r="E2000" s="27"/>
      <c r="F2000" s="27"/>
      <c r="G2000" s="27"/>
      <c r="H2000" s="27"/>
      <c r="I2000" s="27"/>
      <c r="J2000" s="27"/>
      <c r="K2000" s="27"/>
      <c r="L2000" s="27"/>
      <c r="M2000" s="27"/>
      <c r="N2000" s="27"/>
      <c r="O2000" s="27"/>
      <c r="P2000" s="27"/>
      <c r="Q2000" s="27"/>
      <c r="R2000" s="27"/>
      <c r="S2000" s="27"/>
    </row>
    <row r="2001">
      <c r="B2001" s="27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27"/>
      <c r="R2001" s="27"/>
      <c r="S2001" s="27"/>
    </row>
    <row r="2002">
      <c r="B2002" s="27"/>
      <c r="C2002" s="27"/>
      <c r="D2002" s="27"/>
      <c r="E2002" s="27"/>
      <c r="F2002" s="27"/>
      <c r="G2002" s="27"/>
      <c r="H2002" s="27"/>
      <c r="I2002" s="27"/>
      <c r="J2002" s="27"/>
      <c r="K2002" s="27"/>
      <c r="L2002" s="27"/>
      <c r="M2002" s="27"/>
      <c r="N2002" s="27"/>
      <c r="O2002" s="27"/>
      <c r="P2002" s="27"/>
      <c r="Q2002" s="27"/>
      <c r="R2002" s="27"/>
      <c r="S2002" s="27"/>
    </row>
    <row r="2003">
      <c r="B2003" s="27"/>
      <c r="C2003" s="27"/>
      <c r="D2003" s="27"/>
      <c r="E2003" s="27"/>
      <c r="F2003" s="27"/>
      <c r="G2003" s="27"/>
      <c r="H2003" s="27"/>
      <c r="I2003" s="27"/>
      <c r="J2003" s="27"/>
      <c r="K2003" s="27"/>
      <c r="L2003" s="27"/>
      <c r="M2003" s="27"/>
      <c r="N2003" s="27"/>
      <c r="O2003" s="27"/>
      <c r="P2003" s="27"/>
      <c r="Q2003" s="27"/>
      <c r="R2003" s="27"/>
      <c r="S2003" s="27"/>
    </row>
    <row r="2004">
      <c r="B2004" s="27"/>
      <c r="C2004" s="27"/>
      <c r="D2004" s="27"/>
      <c r="E2004" s="27"/>
      <c r="F2004" s="27"/>
      <c r="G2004" s="27"/>
      <c r="H2004" s="27"/>
      <c r="I2004" s="27"/>
      <c r="J2004" s="27"/>
      <c r="K2004" s="27"/>
      <c r="L2004" s="27"/>
      <c r="M2004" s="27"/>
      <c r="N2004" s="27"/>
      <c r="O2004" s="27"/>
      <c r="P2004" s="27"/>
      <c r="Q2004" s="27"/>
      <c r="R2004" s="27"/>
      <c r="S2004" s="27"/>
    </row>
    <row r="2005">
      <c r="B2005" s="27"/>
      <c r="C2005" s="27"/>
      <c r="D2005" s="27"/>
      <c r="E2005" s="27"/>
      <c r="F2005" s="27"/>
      <c r="G2005" s="27"/>
      <c r="H2005" s="27"/>
      <c r="I2005" s="27"/>
      <c r="J2005" s="27"/>
      <c r="K2005" s="27"/>
      <c r="L2005" s="27"/>
      <c r="M2005" s="27"/>
      <c r="N2005" s="27"/>
      <c r="O2005" s="27"/>
      <c r="P2005" s="27"/>
      <c r="Q2005" s="27"/>
      <c r="R2005" s="27"/>
      <c r="S2005" s="27"/>
    </row>
    <row r="2006">
      <c r="B2006" s="27"/>
      <c r="C2006" s="27"/>
      <c r="D2006" s="27"/>
      <c r="E2006" s="27"/>
      <c r="F2006" s="27"/>
      <c r="G2006" s="27"/>
      <c r="H2006" s="27"/>
      <c r="I2006" s="27"/>
      <c r="J2006" s="27"/>
      <c r="K2006" s="27"/>
      <c r="L2006" s="27"/>
      <c r="M2006" s="27"/>
      <c r="N2006" s="27"/>
      <c r="O2006" s="27"/>
      <c r="P2006" s="27"/>
      <c r="Q2006" s="27"/>
      <c r="R2006" s="27"/>
      <c r="S2006" s="27"/>
    </row>
    <row r="2007">
      <c r="B2007" s="27"/>
      <c r="C2007" s="27"/>
      <c r="D2007" s="27"/>
      <c r="E2007" s="27"/>
      <c r="F2007" s="27"/>
      <c r="G2007" s="27"/>
      <c r="H2007" s="27"/>
      <c r="I2007" s="27"/>
      <c r="J2007" s="27"/>
      <c r="K2007" s="27"/>
      <c r="L2007" s="27"/>
      <c r="M2007" s="27"/>
      <c r="N2007" s="27"/>
      <c r="O2007" s="27"/>
      <c r="P2007" s="27"/>
      <c r="Q2007" s="27"/>
      <c r="R2007" s="27"/>
      <c r="S2007" s="27"/>
    </row>
    <row r="2008">
      <c r="B2008" s="27"/>
      <c r="C2008" s="27"/>
      <c r="D2008" s="27"/>
      <c r="E2008" s="27"/>
      <c r="F2008" s="27"/>
      <c r="G2008" s="27"/>
      <c r="H2008" s="27"/>
      <c r="I2008" s="27"/>
      <c r="J2008" s="27"/>
      <c r="K2008" s="27"/>
      <c r="L2008" s="27"/>
      <c r="M2008" s="27"/>
      <c r="N2008" s="27"/>
      <c r="O2008" s="27"/>
      <c r="P2008" s="27"/>
      <c r="Q2008" s="27"/>
      <c r="R2008" s="27"/>
      <c r="S2008" s="27"/>
    </row>
    <row r="2009">
      <c r="B2009" s="27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27"/>
      <c r="R2009" s="27"/>
      <c r="S2009" s="27"/>
    </row>
    <row r="2010">
      <c r="B2010" s="27"/>
      <c r="C2010" s="27"/>
      <c r="D2010" s="27"/>
      <c r="E2010" s="27"/>
      <c r="F2010" s="27"/>
      <c r="G2010" s="27"/>
      <c r="H2010" s="27"/>
      <c r="I2010" s="27"/>
      <c r="J2010" s="27"/>
      <c r="K2010" s="27"/>
      <c r="L2010" s="27"/>
      <c r="M2010" s="27"/>
      <c r="N2010" s="27"/>
      <c r="O2010" s="27"/>
      <c r="P2010" s="27"/>
      <c r="Q2010" s="27"/>
      <c r="R2010" s="27"/>
      <c r="S2010" s="27"/>
    </row>
    <row r="2011">
      <c r="B2011" s="27"/>
      <c r="C2011" s="27"/>
      <c r="D2011" s="27"/>
      <c r="E2011" s="27"/>
      <c r="F2011" s="27"/>
      <c r="G2011" s="27"/>
      <c r="H2011" s="27"/>
      <c r="I2011" s="27"/>
      <c r="J2011" s="27"/>
      <c r="K2011" s="27"/>
      <c r="L2011" s="27"/>
      <c r="M2011" s="27"/>
      <c r="N2011" s="27"/>
      <c r="O2011" s="27"/>
      <c r="P2011" s="27"/>
      <c r="Q2011" s="27"/>
      <c r="R2011" s="27"/>
      <c r="S2011" s="27"/>
    </row>
    <row r="2012">
      <c r="B2012" s="27"/>
      <c r="C2012" s="27"/>
      <c r="D2012" s="27"/>
      <c r="E2012" s="27"/>
      <c r="F2012" s="27"/>
      <c r="G2012" s="27"/>
      <c r="H2012" s="27"/>
      <c r="I2012" s="27"/>
      <c r="J2012" s="27"/>
      <c r="K2012" s="27"/>
      <c r="L2012" s="27"/>
      <c r="M2012" s="27"/>
      <c r="N2012" s="27"/>
      <c r="O2012" s="27"/>
      <c r="P2012" s="27"/>
      <c r="Q2012" s="27"/>
      <c r="R2012" s="27"/>
      <c r="S2012" s="27"/>
    </row>
    <row r="2013">
      <c r="B2013" s="27"/>
      <c r="C2013" s="27"/>
      <c r="D2013" s="27"/>
      <c r="E2013" s="27"/>
      <c r="F2013" s="27"/>
      <c r="G2013" s="27"/>
      <c r="H2013" s="27"/>
      <c r="I2013" s="27"/>
      <c r="J2013" s="27"/>
      <c r="K2013" s="27"/>
      <c r="L2013" s="27"/>
      <c r="M2013" s="27"/>
      <c r="N2013" s="27"/>
      <c r="O2013" s="27"/>
      <c r="P2013" s="27"/>
      <c r="Q2013" s="27"/>
      <c r="R2013" s="27"/>
      <c r="S2013" s="27"/>
    </row>
    <row r="2014">
      <c r="B2014" s="27"/>
      <c r="C2014" s="27"/>
      <c r="D2014" s="27"/>
      <c r="E2014" s="27"/>
      <c r="F2014" s="27"/>
      <c r="G2014" s="27"/>
      <c r="H2014" s="27"/>
      <c r="I2014" s="27"/>
      <c r="J2014" s="27"/>
      <c r="K2014" s="27"/>
      <c r="L2014" s="27"/>
      <c r="M2014" s="27"/>
      <c r="N2014" s="27"/>
      <c r="O2014" s="27"/>
      <c r="P2014" s="27"/>
      <c r="Q2014" s="27"/>
      <c r="R2014" s="27"/>
      <c r="S2014" s="27"/>
    </row>
    <row r="2015">
      <c r="B2015" s="27"/>
      <c r="C2015" s="27"/>
      <c r="D2015" s="27"/>
      <c r="E2015" s="27"/>
      <c r="F2015" s="27"/>
      <c r="G2015" s="27"/>
      <c r="H2015" s="27"/>
      <c r="I2015" s="27"/>
      <c r="J2015" s="27"/>
      <c r="K2015" s="27"/>
      <c r="L2015" s="27"/>
      <c r="M2015" s="27"/>
      <c r="N2015" s="27"/>
      <c r="O2015" s="27"/>
      <c r="P2015" s="27"/>
      <c r="Q2015" s="27"/>
      <c r="R2015" s="27"/>
      <c r="S2015" s="27"/>
    </row>
    <row r="2016">
      <c r="B2016" s="27"/>
      <c r="C2016" s="27"/>
      <c r="D2016" s="27"/>
      <c r="E2016" s="27"/>
      <c r="F2016" s="27"/>
      <c r="G2016" s="27"/>
      <c r="H2016" s="27"/>
      <c r="I2016" s="27"/>
      <c r="J2016" s="27"/>
      <c r="K2016" s="27"/>
      <c r="L2016" s="27"/>
      <c r="M2016" s="27"/>
      <c r="N2016" s="27"/>
      <c r="O2016" s="27"/>
      <c r="P2016" s="27"/>
      <c r="Q2016" s="27"/>
      <c r="R2016" s="27"/>
      <c r="S2016" s="27"/>
    </row>
    <row r="2017">
      <c r="B2017" s="27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27"/>
      <c r="R2017" s="27"/>
      <c r="S2017" s="27"/>
    </row>
    <row r="2018">
      <c r="B2018" s="27"/>
      <c r="C2018" s="27"/>
      <c r="D2018" s="27"/>
      <c r="E2018" s="27"/>
      <c r="F2018" s="27"/>
      <c r="G2018" s="27"/>
      <c r="H2018" s="27"/>
      <c r="I2018" s="27"/>
      <c r="J2018" s="27"/>
      <c r="K2018" s="27"/>
      <c r="L2018" s="27"/>
      <c r="M2018" s="27"/>
      <c r="N2018" s="27"/>
      <c r="O2018" s="27"/>
      <c r="P2018" s="27"/>
      <c r="Q2018" s="27"/>
      <c r="R2018" s="27"/>
      <c r="S2018" s="27"/>
    </row>
    <row r="2019">
      <c r="B2019" s="27"/>
      <c r="C2019" s="27"/>
      <c r="D2019" s="27"/>
      <c r="E2019" s="27"/>
      <c r="F2019" s="27"/>
      <c r="G2019" s="27"/>
      <c r="H2019" s="27"/>
      <c r="I2019" s="27"/>
      <c r="J2019" s="27"/>
      <c r="K2019" s="27"/>
      <c r="L2019" s="27"/>
      <c r="M2019" s="27"/>
      <c r="N2019" s="27"/>
      <c r="O2019" s="27"/>
      <c r="P2019" s="27"/>
      <c r="Q2019" s="27"/>
      <c r="R2019" s="27"/>
      <c r="S2019" s="27"/>
    </row>
    <row r="2020">
      <c r="B2020" s="27"/>
      <c r="C2020" s="27"/>
      <c r="D2020" s="27"/>
      <c r="E2020" s="27"/>
      <c r="F2020" s="27"/>
      <c r="G2020" s="27"/>
      <c r="H2020" s="27"/>
      <c r="I2020" s="27"/>
      <c r="J2020" s="27"/>
      <c r="K2020" s="27"/>
      <c r="L2020" s="27"/>
      <c r="M2020" s="27"/>
      <c r="N2020" s="27"/>
      <c r="O2020" s="27"/>
      <c r="P2020" s="27"/>
      <c r="Q2020" s="27"/>
      <c r="R2020" s="27"/>
      <c r="S2020" s="27"/>
    </row>
    <row r="2021">
      <c r="B2021" s="27"/>
      <c r="C2021" s="27"/>
      <c r="D2021" s="27"/>
      <c r="E2021" s="27"/>
      <c r="F2021" s="27"/>
      <c r="G2021" s="27"/>
      <c r="H2021" s="27"/>
      <c r="I2021" s="27"/>
      <c r="J2021" s="27"/>
      <c r="K2021" s="27"/>
      <c r="L2021" s="27"/>
      <c r="M2021" s="27"/>
      <c r="N2021" s="27"/>
      <c r="O2021" s="27"/>
      <c r="P2021" s="27"/>
      <c r="Q2021" s="27"/>
      <c r="R2021" s="27"/>
      <c r="S2021" s="27"/>
    </row>
    <row r="2022">
      <c r="B2022" s="27"/>
      <c r="C2022" s="27"/>
      <c r="D2022" s="27"/>
      <c r="E2022" s="27"/>
      <c r="F2022" s="27"/>
      <c r="G2022" s="27"/>
      <c r="H2022" s="27"/>
      <c r="I2022" s="27"/>
      <c r="J2022" s="27"/>
      <c r="K2022" s="27"/>
      <c r="L2022" s="27"/>
      <c r="M2022" s="27"/>
      <c r="N2022" s="27"/>
      <c r="O2022" s="27"/>
      <c r="P2022" s="27"/>
      <c r="Q2022" s="27"/>
      <c r="R2022" s="27"/>
      <c r="S2022" s="27"/>
    </row>
    <row r="2023">
      <c r="B2023" s="27"/>
      <c r="C2023" s="27"/>
      <c r="D2023" s="27"/>
      <c r="E2023" s="27"/>
      <c r="F2023" s="27"/>
      <c r="G2023" s="27"/>
      <c r="H2023" s="27"/>
      <c r="I2023" s="27"/>
      <c r="J2023" s="27"/>
      <c r="K2023" s="27"/>
      <c r="L2023" s="27"/>
      <c r="M2023" s="27"/>
      <c r="N2023" s="27"/>
      <c r="O2023" s="27"/>
      <c r="P2023" s="27"/>
      <c r="Q2023" s="27"/>
      <c r="R2023" s="27"/>
      <c r="S2023" s="27"/>
    </row>
    <row r="2024">
      <c r="B2024" s="27"/>
      <c r="C2024" s="27"/>
      <c r="D2024" s="27"/>
      <c r="E2024" s="27"/>
      <c r="F2024" s="27"/>
      <c r="G2024" s="27"/>
      <c r="H2024" s="27"/>
      <c r="I2024" s="27"/>
      <c r="J2024" s="27"/>
      <c r="K2024" s="27"/>
      <c r="L2024" s="27"/>
      <c r="M2024" s="27"/>
      <c r="N2024" s="27"/>
      <c r="O2024" s="27"/>
      <c r="P2024" s="27"/>
      <c r="Q2024" s="27"/>
      <c r="R2024" s="27"/>
      <c r="S2024" s="27"/>
    </row>
    <row r="2025">
      <c r="B2025" s="27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27"/>
      <c r="R2025" s="27"/>
      <c r="S2025" s="27"/>
    </row>
    <row r="2026">
      <c r="B2026" s="27"/>
      <c r="C2026" s="27"/>
      <c r="D2026" s="27"/>
      <c r="E2026" s="27"/>
      <c r="F2026" s="27"/>
      <c r="G2026" s="27"/>
      <c r="H2026" s="27"/>
      <c r="I2026" s="27"/>
      <c r="J2026" s="27"/>
      <c r="K2026" s="27"/>
      <c r="L2026" s="27"/>
      <c r="M2026" s="27"/>
      <c r="N2026" s="27"/>
      <c r="O2026" s="27"/>
      <c r="P2026" s="27"/>
      <c r="Q2026" s="27"/>
      <c r="R2026" s="27"/>
      <c r="S2026" s="27"/>
    </row>
    <row r="2027">
      <c r="B2027" s="27"/>
      <c r="C2027" s="27"/>
      <c r="D2027" s="27"/>
      <c r="E2027" s="27"/>
      <c r="F2027" s="27"/>
      <c r="G2027" s="27"/>
      <c r="H2027" s="27"/>
      <c r="I2027" s="27"/>
      <c r="J2027" s="27"/>
      <c r="K2027" s="27"/>
      <c r="L2027" s="27"/>
      <c r="M2027" s="27"/>
      <c r="N2027" s="27"/>
      <c r="O2027" s="27"/>
      <c r="P2027" s="27"/>
      <c r="Q2027" s="27"/>
      <c r="R2027" s="27"/>
      <c r="S2027" s="27"/>
    </row>
    <row r="2028">
      <c r="B2028" s="27"/>
      <c r="C2028" s="27"/>
      <c r="D2028" s="27"/>
      <c r="E2028" s="27"/>
      <c r="F2028" s="27"/>
      <c r="G2028" s="27"/>
      <c r="H2028" s="27"/>
      <c r="I2028" s="27"/>
      <c r="J2028" s="27"/>
      <c r="K2028" s="27"/>
      <c r="L2028" s="27"/>
      <c r="M2028" s="27"/>
      <c r="N2028" s="27"/>
      <c r="O2028" s="27"/>
      <c r="P2028" s="27"/>
      <c r="Q2028" s="27"/>
      <c r="R2028" s="27"/>
      <c r="S2028" s="27"/>
    </row>
    <row r="2029">
      <c r="B2029" s="27"/>
      <c r="C2029" s="27"/>
      <c r="D2029" s="27"/>
      <c r="E2029" s="27"/>
      <c r="F2029" s="27"/>
      <c r="G2029" s="27"/>
      <c r="H2029" s="27"/>
      <c r="I2029" s="27"/>
      <c r="J2029" s="27"/>
      <c r="K2029" s="27"/>
      <c r="L2029" s="27"/>
      <c r="M2029" s="27"/>
      <c r="N2029" s="27"/>
      <c r="O2029" s="27"/>
      <c r="P2029" s="27"/>
      <c r="Q2029" s="27"/>
      <c r="R2029" s="27"/>
      <c r="S2029" s="27"/>
    </row>
    <row r="2030">
      <c r="B2030" s="27"/>
      <c r="C2030" s="27"/>
      <c r="D2030" s="27"/>
      <c r="E2030" s="27"/>
      <c r="F2030" s="27"/>
      <c r="G2030" s="27"/>
      <c r="H2030" s="27"/>
      <c r="I2030" s="27"/>
      <c r="J2030" s="27"/>
      <c r="K2030" s="27"/>
      <c r="L2030" s="27"/>
      <c r="M2030" s="27"/>
      <c r="N2030" s="27"/>
      <c r="O2030" s="27"/>
      <c r="P2030" s="27"/>
      <c r="Q2030" s="27"/>
      <c r="R2030" s="27"/>
      <c r="S2030" s="27"/>
    </row>
    <row r="2031">
      <c r="B2031" s="27"/>
      <c r="C2031" s="27"/>
      <c r="D2031" s="27"/>
      <c r="E2031" s="27"/>
      <c r="F2031" s="27"/>
      <c r="G2031" s="27"/>
      <c r="H2031" s="27"/>
      <c r="I2031" s="27"/>
      <c r="J2031" s="27"/>
      <c r="K2031" s="27"/>
      <c r="L2031" s="27"/>
      <c r="M2031" s="27"/>
      <c r="N2031" s="27"/>
      <c r="O2031" s="27"/>
      <c r="P2031" s="27"/>
      <c r="Q2031" s="27"/>
      <c r="R2031" s="27"/>
      <c r="S2031" s="27"/>
    </row>
    <row r="2032">
      <c r="B2032" s="27"/>
      <c r="C2032" s="27"/>
      <c r="D2032" s="27"/>
      <c r="E2032" s="27"/>
      <c r="F2032" s="27"/>
      <c r="G2032" s="27"/>
      <c r="H2032" s="27"/>
      <c r="I2032" s="27"/>
      <c r="J2032" s="27"/>
      <c r="K2032" s="27"/>
      <c r="L2032" s="27"/>
      <c r="M2032" s="27"/>
      <c r="N2032" s="27"/>
      <c r="O2032" s="27"/>
      <c r="P2032" s="27"/>
      <c r="Q2032" s="27"/>
      <c r="R2032" s="27"/>
      <c r="S2032" s="27"/>
    </row>
    <row r="2033">
      <c r="B2033" s="27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7"/>
      <c r="R2033" s="27"/>
      <c r="S2033" s="27"/>
    </row>
    <row r="2034">
      <c r="B2034" s="27"/>
      <c r="C2034" s="27"/>
      <c r="D2034" s="27"/>
      <c r="E2034" s="27"/>
      <c r="F2034" s="27"/>
      <c r="G2034" s="27"/>
      <c r="H2034" s="27"/>
      <c r="I2034" s="27"/>
      <c r="J2034" s="27"/>
      <c r="K2034" s="27"/>
      <c r="L2034" s="27"/>
      <c r="M2034" s="27"/>
      <c r="N2034" s="27"/>
      <c r="O2034" s="27"/>
      <c r="P2034" s="27"/>
      <c r="Q2034" s="27"/>
      <c r="R2034" s="27"/>
      <c r="S2034" s="27"/>
    </row>
    <row r="2035">
      <c r="B2035" s="27"/>
      <c r="C2035" s="27"/>
      <c r="D2035" s="27"/>
      <c r="E2035" s="27"/>
      <c r="F2035" s="27"/>
      <c r="G2035" s="27"/>
      <c r="H2035" s="27"/>
      <c r="I2035" s="27"/>
      <c r="J2035" s="27"/>
      <c r="K2035" s="27"/>
      <c r="L2035" s="27"/>
      <c r="M2035" s="27"/>
      <c r="N2035" s="27"/>
      <c r="O2035" s="27"/>
      <c r="P2035" s="27"/>
      <c r="Q2035" s="27"/>
      <c r="R2035" s="27"/>
      <c r="S2035" s="27"/>
    </row>
    <row r="2036">
      <c r="B2036" s="27"/>
      <c r="C2036" s="27"/>
      <c r="D2036" s="27"/>
      <c r="E2036" s="27"/>
      <c r="F2036" s="27"/>
      <c r="G2036" s="27"/>
      <c r="H2036" s="27"/>
      <c r="I2036" s="27"/>
      <c r="J2036" s="27"/>
      <c r="K2036" s="27"/>
      <c r="L2036" s="27"/>
      <c r="M2036" s="27"/>
      <c r="N2036" s="27"/>
      <c r="O2036" s="27"/>
      <c r="P2036" s="27"/>
      <c r="Q2036" s="27"/>
      <c r="R2036" s="27"/>
      <c r="S2036" s="27"/>
    </row>
    <row r="2037">
      <c r="B2037" s="27"/>
      <c r="C2037" s="27"/>
      <c r="D2037" s="27"/>
      <c r="E2037" s="27"/>
      <c r="F2037" s="27"/>
      <c r="G2037" s="27"/>
      <c r="H2037" s="27"/>
      <c r="I2037" s="27"/>
      <c r="J2037" s="27"/>
      <c r="K2037" s="27"/>
      <c r="L2037" s="27"/>
      <c r="M2037" s="27"/>
      <c r="N2037" s="27"/>
      <c r="O2037" s="27"/>
      <c r="P2037" s="27"/>
      <c r="Q2037" s="27"/>
      <c r="R2037" s="27"/>
      <c r="S2037" s="27"/>
    </row>
    <row r="2038">
      <c r="B2038" s="27"/>
      <c r="C2038" s="27"/>
      <c r="D2038" s="27"/>
      <c r="E2038" s="27"/>
      <c r="F2038" s="27"/>
      <c r="G2038" s="27"/>
      <c r="H2038" s="27"/>
      <c r="I2038" s="27"/>
      <c r="J2038" s="27"/>
      <c r="K2038" s="27"/>
      <c r="L2038" s="27"/>
      <c r="M2038" s="27"/>
      <c r="N2038" s="27"/>
      <c r="O2038" s="27"/>
      <c r="P2038" s="27"/>
      <c r="Q2038" s="27"/>
      <c r="R2038" s="27"/>
      <c r="S2038" s="27"/>
    </row>
    <row r="2039">
      <c r="B2039" s="27"/>
      <c r="C2039" s="27"/>
      <c r="D2039" s="27"/>
      <c r="E2039" s="27"/>
      <c r="F2039" s="27"/>
      <c r="G2039" s="27"/>
      <c r="H2039" s="27"/>
      <c r="I2039" s="27"/>
      <c r="J2039" s="27"/>
      <c r="K2039" s="27"/>
      <c r="L2039" s="27"/>
      <c r="M2039" s="27"/>
      <c r="N2039" s="27"/>
      <c r="O2039" s="27"/>
      <c r="P2039" s="27"/>
      <c r="Q2039" s="27"/>
      <c r="R2039" s="27"/>
      <c r="S2039" s="27"/>
    </row>
    <row r="2040">
      <c r="B2040" s="27"/>
      <c r="C2040" s="27"/>
      <c r="D2040" s="27"/>
      <c r="E2040" s="27"/>
      <c r="F2040" s="27"/>
      <c r="G2040" s="27"/>
      <c r="H2040" s="27"/>
      <c r="I2040" s="27"/>
      <c r="J2040" s="27"/>
      <c r="K2040" s="27"/>
      <c r="L2040" s="27"/>
      <c r="M2040" s="27"/>
      <c r="N2040" s="27"/>
      <c r="O2040" s="27"/>
      <c r="P2040" s="27"/>
      <c r="Q2040" s="27"/>
      <c r="R2040" s="27"/>
      <c r="S2040" s="27"/>
    </row>
    <row r="2041">
      <c r="B2041" s="27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27"/>
      <c r="Q2041" s="27"/>
      <c r="R2041" s="27"/>
      <c r="S2041" s="27"/>
    </row>
    <row r="2042">
      <c r="B2042" s="27"/>
      <c r="C2042" s="27"/>
      <c r="D2042" s="27"/>
      <c r="E2042" s="27"/>
      <c r="F2042" s="27"/>
      <c r="G2042" s="27"/>
      <c r="H2042" s="27"/>
      <c r="I2042" s="27"/>
      <c r="J2042" s="27"/>
      <c r="K2042" s="27"/>
      <c r="L2042" s="27"/>
      <c r="M2042" s="27"/>
      <c r="N2042" s="27"/>
      <c r="O2042" s="27"/>
      <c r="P2042" s="27"/>
      <c r="Q2042" s="27"/>
      <c r="R2042" s="27"/>
      <c r="S2042" s="27"/>
    </row>
    <row r="2043">
      <c r="B2043" s="27"/>
      <c r="C2043" s="27"/>
      <c r="D2043" s="27"/>
      <c r="E2043" s="27"/>
      <c r="F2043" s="27"/>
      <c r="G2043" s="27"/>
      <c r="H2043" s="27"/>
      <c r="I2043" s="27"/>
      <c r="J2043" s="27"/>
      <c r="K2043" s="27"/>
      <c r="L2043" s="27"/>
      <c r="M2043" s="27"/>
      <c r="N2043" s="27"/>
      <c r="O2043" s="27"/>
      <c r="P2043" s="27"/>
      <c r="Q2043" s="27"/>
      <c r="R2043" s="27"/>
      <c r="S2043" s="27"/>
    </row>
    <row r="2044">
      <c r="B2044" s="27"/>
      <c r="C2044" s="27"/>
      <c r="D2044" s="27"/>
      <c r="E2044" s="27"/>
      <c r="F2044" s="27"/>
      <c r="G2044" s="27"/>
      <c r="H2044" s="27"/>
      <c r="I2044" s="27"/>
      <c r="J2044" s="27"/>
      <c r="K2044" s="27"/>
      <c r="L2044" s="27"/>
      <c r="M2044" s="27"/>
      <c r="N2044" s="27"/>
      <c r="O2044" s="27"/>
      <c r="P2044" s="27"/>
      <c r="Q2044" s="27"/>
      <c r="R2044" s="27"/>
      <c r="S2044" s="27"/>
    </row>
    <row r="2045">
      <c r="B2045" s="27"/>
      <c r="C2045" s="27"/>
      <c r="D2045" s="27"/>
      <c r="E2045" s="27"/>
      <c r="F2045" s="27"/>
      <c r="G2045" s="27"/>
      <c r="H2045" s="27"/>
      <c r="I2045" s="27"/>
      <c r="J2045" s="27"/>
      <c r="K2045" s="27"/>
      <c r="L2045" s="27"/>
      <c r="M2045" s="27"/>
      <c r="N2045" s="27"/>
      <c r="O2045" s="27"/>
      <c r="P2045" s="27"/>
      <c r="Q2045" s="27"/>
      <c r="R2045" s="27"/>
      <c r="S2045" s="27"/>
    </row>
    <row r="2046">
      <c r="B2046" s="27"/>
      <c r="C2046" s="27"/>
      <c r="D2046" s="27"/>
      <c r="E2046" s="27"/>
      <c r="F2046" s="27"/>
      <c r="G2046" s="27"/>
      <c r="H2046" s="27"/>
      <c r="I2046" s="27"/>
      <c r="J2046" s="27"/>
      <c r="K2046" s="27"/>
      <c r="L2046" s="27"/>
      <c r="M2046" s="27"/>
      <c r="N2046" s="27"/>
      <c r="O2046" s="27"/>
      <c r="P2046" s="27"/>
      <c r="Q2046" s="27"/>
      <c r="R2046" s="27"/>
      <c r="S2046" s="27"/>
    </row>
    <row r="2047">
      <c r="B2047" s="27"/>
      <c r="C2047" s="27"/>
      <c r="D2047" s="27"/>
      <c r="E2047" s="27"/>
      <c r="F2047" s="27"/>
      <c r="G2047" s="27"/>
      <c r="H2047" s="27"/>
      <c r="I2047" s="27"/>
      <c r="J2047" s="27"/>
      <c r="K2047" s="27"/>
      <c r="L2047" s="27"/>
      <c r="M2047" s="27"/>
      <c r="N2047" s="27"/>
      <c r="O2047" s="27"/>
      <c r="P2047" s="27"/>
      <c r="Q2047" s="27"/>
      <c r="R2047" s="27"/>
      <c r="S2047" s="27"/>
    </row>
    <row r="2048">
      <c r="B2048" s="27"/>
      <c r="C2048" s="27"/>
      <c r="D2048" s="27"/>
      <c r="E2048" s="27"/>
      <c r="F2048" s="27"/>
      <c r="G2048" s="27"/>
      <c r="H2048" s="27"/>
      <c r="I2048" s="27"/>
      <c r="J2048" s="27"/>
      <c r="K2048" s="27"/>
      <c r="L2048" s="27"/>
      <c r="M2048" s="27"/>
      <c r="N2048" s="27"/>
      <c r="O2048" s="27"/>
      <c r="P2048" s="27"/>
      <c r="Q2048" s="27"/>
      <c r="R2048" s="27"/>
      <c r="S2048" s="27"/>
    </row>
    <row r="2049">
      <c r="B2049" s="27"/>
      <c r="C2049" s="27"/>
      <c r="D2049" s="27"/>
      <c r="E2049" s="27"/>
      <c r="F2049" s="27"/>
      <c r="G2049" s="27"/>
      <c r="H2049" s="27"/>
      <c r="I2049" s="27"/>
      <c r="J2049" s="27"/>
      <c r="K2049" s="27"/>
      <c r="L2049" s="27"/>
      <c r="M2049" s="27"/>
      <c r="N2049" s="27"/>
      <c r="O2049" s="27"/>
      <c r="P2049" s="27"/>
      <c r="Q2049" s="27"/>
      <c r="R2049" s="27"/>
      <c r="S2049" s="27"/>
    </row>
    <row r="2050">
      <c r="B2050" s="27"/>
      <c r="C2050" s="27"/>
      <c r="D2050" s="27"/>
      <c r="E2050" s="27"/>
      <c r="F2050" s="27"/>
      <c r="G2050" s="27"/>
      <c r="H2050" s="27"/>
      <c r="I2050" s="27"/>
      <c r="J2050" s="27"/>
      <c r="K2050" s="27"/>
      <c r="L2050" s="27"/>
      <c r="M2050" s="27"/>
      <c r="N2050" s="27"/>
      <c r="O2050" s="27"/>
      <c r="P2050" s="27"/>
      <c r="Q2050" s="27"/>
      <c r="R2050" s="27"/>
      <c r="S2050" s="27"/>
    </row>
    <row r="2051">
      <c r="B2051" s="27"/>
      <c r="C2051" s="27"/>
      <c r="D2051" s="27"/>
      <c r="E2051" s="27"/>
      <c r="F2051" s="27"/>
      <c r="G2051" s="27"/>
      <c r="H2051" s="27"/>
      <c r="I2051" s="27"/>
      <c r="J2051" s="27"/>
      <c r="K2051" s="27"/>
      <c r="L2051" s="27"/>
      <c r="M2051" s="27"/>
      <c r="N2051" s="27"/>
      <c r="O2051" s="27"/>
      <c r="P2051" s="27"/>
      <c r="Q2051" s="27"/>
      <c r="R2051" s="27"/>
      <c r="S2051" s="27"/>
    </row>
    <row r="2052">
      <c r="B2052" s="27"/>
      <c r="C2052" s="27"/>
      <c r="D2052" s="27"/>
      <c r="E2052" s="27"/>
      <c r="F2052" s="27"/>
      <c r="G2052" s="27"/>
      <c r="H2052" s="27"/>
      <c r="I2052" s="27"/>
      <c r="J2052" s="27"/>
      <c r="K2052" s="27"/>
      <c r="L2052" s="27"/>
      <c r="M2052" s="27"/>
      <c r="N2052" s="27"/>
      <c r="O2052" s="27"/>
      <c r="P2052" s="27"/>
      <c r="Q2052" s="27"/>
      <c r="R2052" s="27"/>
      <c r="S2052" s="27"/>
    </row>
    <row r="2053">
      <c r="B2053" s="27"/>
      <c r="C2053" s="27"/>
      <c r="D2053" s="27"/>
      <c r="E2053" s="27"/>
      <c r="F2053" s="27"/>
      <c r="G2053" s="27"/>
      <c r="H2053" s="27"/>
      <c r="I2053" s="27"/>
      <c r="J2053" s="27"/>
      <c r="K2053" s="27"/>
      <c r="L2053" s="27"/>
      <c r="M2053" s="27"/>
      <c r="N2053" s="27"/>
      <c r="O2053" s="27"/>
      <c r="P2053" s="27"/>
      <c r="Q2053" s="27"/>
      <c r="R2053" s="27"/>
      <c r="S2053" s="27"/>
    </row>
    <row r="2054">
      <c r="B2054" s="27"/>
      <c r="C2054" s="27"/>
      <c r="D2054" s="27"/>
      <c r="E2054" s="27"/>
      <c r="F2054" s="27"/>
      <c r="G2054" s="27"/>
      <c r="H2054" s="27"/>
      <c r="I2054" s="27"/>
      <c r="J2054" s="27"/>
      <c r="K2054" s="27"/>
      <c r="L2054" s="27"/>
      <c r="M2054" s="27"/>
      <c r="N2054" s="27"/>
      <c r="O2054" s="27"/>
      <c r="P2054" s="27"/>
      <c r="Q2054" s="27"/>
      <c r="R2054" s="27"/>
      <c r="S2054" s="27"/>
    </row>
    <row r="2055">
      <c r="B2055" s="27"/>
      <c r="C2055" s="27"/>
      <c r="D2055" s="27"/>
      <c r="E2055" s="27"/>
      <c r="F2055" s="27"/>
      <c r="G2055" s="27"/>
      <c r="H2055" s="27"/>
      <c r="I2055" s="27"/>
      <c r="J2055" s="27"/>
      <c r="K2055" s="27"/>
      <c r="L2055" s="27"/>
      <c r="M2055" s="27"/>
      <c r="N2055" s="27"/>
      <c r="O2055" s="27"/>
      <c r="P2055" s="27"/>
      <c r="Q2055" s="27"/>
      <c r="R2055" s="27"/>
      <c r="S2055" s="27"/>
    </row>
    <row r="2056">
      <c r="B2056" s="27"/>
      <c r="C2056" s="27"/>
      <c r="D2056" s="27"/>
      <c r="E2056" s="27"/>
      <c r="F2056" s="27"/>
      <c r="G2056" s="27"/>
      <c r="H2056" s="27"/>
      <c r="I2056" s="27"/>
      <c r="J2056" s="27"/>
      <c r="K2056" s="27"/>
      <c r="L2056" s="27"/>
      <c r="M2056" s="27"/>
      <c r="N2056" s="27"/>
      <c r="O2056" s="27"/>
      <c r="P2056" s="27"/>
      <c r="Q2056" s="27"/>
      <c r="R2056" s="27"/>
      <c r="S2056" s="27"/>
    </row>
    <row r="2057">
      <c r="B2057" s="27"/>
      <c r="C2057" s="27"/>
      <c r="D2057" s="27"/>
      <c r="E2057" s="27"/>
      <c r="F2057" s="27"/>
      <c r="G2057" s="27"/>
      <c r="H2057" s="27"/>
      <c r="I2057" s="27"/>
      <c r="J2057" s="27"/>
      <c r="K2057" s="27"/>
      <c r="L2057" s="27"/>
      <c r="M2057" s="27"/>
      <c r="N2057" s="27"/>
      <c r="O2057" s="27"/>
      <c r="P2057" s="27"/>
      <c r="Q2057" s="27"/>
      <c r="R2057" s="27"/>
      <c r="S2057" s="27"/>
    </row>
    <row r="2058">
      <c r="B2058" s="27"/>
      <c r="C2058" s="27"/>
      <c r="D2058" s="27"/>
      <c r="E2058" s="27"/>
      <c r="F2058" s="27"/>
      <c r="G2058" s="27"/>
      <c r="H2058" s="27"/>
      <c r="I2058" s="27"/>
      <c r="J2058" s="27"/>
      <c r="K2058" s="27"/>
      <c r="L2058" s="27"/>
      <c r="M2058" s="27"/>
      <c r="N2058" s="27"/>
      <c r="O2058" s="27"/>
      <c r="P2058" s="27"/>
      <c r="Q2058" s="27"/>
      <c r="R2058" s="27"/>
      <c r="S2058" s="27"/>
    </row>
    <row r="2059">
      <c r="B2059" s="27"/>
      <c r="C2059" s="27"/>
      <c r="D2059" s="27"/>
      <c r="E2059" s="27"/>
      <c r="F2059" s="27"/>
      <c r="G2059" s="27"/>
      <c r="H2059" s="27"/>
      <c r="I2059" s="27"/>
      <c r="J2059" s="27"/>
      <c r="K2059" s="27"/>
      <c r="L2059" s="27"/>
      <c r="M2059" s="27"/>
      <c r="N2059" s="27"/>
      <c r="O2059" s="27"/>
      <c r="P2059" s="27"/>
      <c r="Q2059" s="27"/>
      <c r="R2059" s="27"/>
      <c r="S2059" s="27"/>
    </row>
    <row r="2060">
      <c r="B2060" s="27"/>
      <c r="C2060" s="27"/>
      <c r="D2060" s="27"/>
      <c r="E2060" s="27"/>
      <c r="F2060" s="27"/>
      <c r="G2060" s="27"/>
      <c r="H2060" s="27"/>
      <c r="I2060" s="27"/>
      <c r="J2060" s="27"/>
      <c r="K2060" s="27"/>
      <c r="L2060" s="27"/>
      <c r="M2060" s="27"/>
      <c r="N2060" s="27"/>
      <c r="O2060" s="27"/>
      <c r="P2060" s="27"/>
      <c r="Q2060" s="27"/>
      <c r="R2060" s="27"/>
      <c r="S2060" s="27"/>
    </row>
    <row r="2061">
      <c r="B2061" s="27"/>
      <c r="C2061" s="27"/>
      <c r="D2061" s="27"/>
      <c r="E2061" s="27"/>
      <c r="F2061" s="27"/>
      <c r="G2061" s="27"/>
      <c r="H2061" s="27"/>
      <c r="I2061" s="27"/>
      <c r="J2061" s="27"/>
      <c r="K2061" s="27"/>
      <c r="L2061" s="27"/>
      <c r="M2061" s="27"/>
      <c r="N2061" s="27"/>
      <c r="O2061" s="27"/>
      <c r="P2061" s="27"/>
      <c r="Q2061" s="27"/>
      <c r="R2061" s="27"/>
      <c r="S2061" s="27"/>
    </row>
    <row r="2062">
      <c r="B2062" s="27"/>
      <c r="C2062" s="27"/>
      <c r="D2062" s="27"/>
      <c r="E2062" s="27"/>
      <c r="F2062" s="27"/>
      <c r="G2062" s="27"/>
      <c r="H2062" s="27"/>
      <c r="I2062" s="27"/>
      <c r="J2062" s="27"/>
      <c r="K2062" s="27"/>
      <c r="L2062" s="27"/>
      <c r="M2062" s="27"/>
      <c r="N2062" s="27"/>
      <c r="O2062" s="27"/>
      <c r="P2062" s="27"/>
      <c r="Q2062" s="27"/>
      <c r="R2062" s="27"/>
      <c r="S2062" s="27"/>
    </row>
    <row r="2063">
      <c r="B2063" s="27"/>
      <c r="C2063" s="27"/>
      <c r="D2063" s="27"/>
      <c r="E2063" s="27"/>
      <c r="F2063" s="27"/>
      <c r="G2063" s="27"/>
      <c r="H2063" s="27"/>
      <c r="I2063" s="27"/>
      <c r="J2063" s="27"/>
      <c r="K2063" s="27"/>
      <c r="L2063" s="27"/>
      <c r="M2063" s="27"/>
      <c r="N2063" s="27"/>
      <c r="O2063" s="27"/>
      <c r="P2063" s="27"/>
      <c r="Q2063" s="27"/>
      <c r="R2063" s="27"/>
      <c r="S2063" s="27"/>
    </row>
    <row r="2064">
      <c r="B2064" s="27"/>
      <c r="C2064" s="27"/>
      <c r="D2064" s="27"/>
      <c r="E2064" s="27"/>
      <c r="F2064" s="27"/>
      <c r="G2064" s="27"/>
      <c r="H2064" s="27"/>
      <c r="I2064" s="27"/>
      <c r="J2064" s="27"/>
      <c r="K2064" s="27"/>
      <c r="L2064" s="27"/>
      <c r="M2064" s="27"/>
      <c r="N2064" s="27"/>
      <c r="O2064" s="27"/>
      <c r="P2064" s="27"/>
      <c r="Q2064" s="27"/>
      <c r="R2064" s="27"/>
      <c r="S2064" s="27"/>
    </row>
    <row r="2065">
      <c r="B2065" s="27"/>
      <c r="C2065" s="27"/>
      <c r="D2065" s="27"/>
      <c r="E2065" s="27"/>
      <c r="F2065" s="27"/>
      <c r="G2065" s="27"/>
      <c r="H2065" s="27"/>
      <c r="I2065" s="27"/>
      <c r="J2065" s="27"/>
      <c r="K2065" s="27"/>
      <c r="L2065" s="27"/>
      <c r="M2065" s="27"/>
      <c r="N2065" s="27"/>
      <c r="O2065" s="27"/>
      <c r="P2065" s="27"/>
      <c r="Q2065" s="27"/>
      <c r="R2065" s="27"/>
      <c r="S2065" s="27"/>
    </row>
    <row r="2066">
      <c r="B2066" s="27"/>
      <c r="C2066" s="27"/>
      <c r="D2066" s="27"/>
      <c r="E2066" s="27"/>
      <c r="F2066" s="27"/>
      <c r="G2066" s="27"/>
      <c r="H2066" s="27"/>
      <c r="I2066" s="27"/>
      <c r="J2066" s="27"/>
      <c r="K2066" s="27"/>
      <c r="L2066" s="27"/>
      <c r="M2066" s="27"/>
      <c r="N2066" s="27"/>
      <c r="O2066" s="27"/>
      <c r="P2066" s="27"/>
      <c r="Q2066" s="27"/>
      <c r="R2066" s="27"/>
      <c r="S2066" s="27"/>
    </row>
    <row r="2067">
      <c r="B2067" s="27"/>
      <c r="C2067" s="27"/>
      <c r="D2067" s="27"/>
      <c r="E2067" s="27"/>
      <c r="F2067" s="27"/>
      <c r="G2067" s="27"/>
      <c r="H2067" s="27"/>
      <c r="I2067" s="27"/>
      <c r="J2067" s="27"/>
      <c r="K2067" s="27"/>
      <c r="L2067" s="27"/>
      <c r="M2067" s="27"/>
      <c r="N2067" s="27"/>
      <c r="O2067" s="27"/>
      <c r="P2067" s="27"/>
      <c r="Q2067" s="27"/>
      <c r="R2067" s="27"/>
      <c r="S2067" s="27"/>
    </row>
    <row r="2068">
      <c r="B2068" s="27"/>
      <c r="C2068" s="27"/>
      <c r="D2068" s="27"/>
      <c r="E2068" s="27"/>
      <c r="F2068" s="27"/>
      <c r="G2068" s="27"/>
      <c r="H2068" s="27"/>
      <c r="I2068" s="27"/>
      <c r="J2068" s="27"/>
      <c r="K2068" s="27"/>
      <c r="L2068" s="27"/>
      <c r="M2068" s="27"/>
      <c r="N2068" s="27"/>
      <c r="O2068" s="27"/>
      <c r="P2068" s="27"/>
      <c r="Q2068" s="27"/>
      <c r="R2068" s="27"/>
      <c r="S2068" s="27"/>
    </row>
    <row r="2069">
      <c r="B2069" s="27"/>
      <c r="C2069" s="27"/>
      <c r="D2069" s="27"/>
      <c r="E2069" s="27"/>
      <c r="F2069" s="27"/>
      <c r="G2069" s="27"/>
      <c r="H2069" s="27"/>
      <c r="I2069" s="27"/>
      <c r="J2069" s="27"/>
      <c r="K2069" s="27"/>
      <c r="L2069" s="27"/>
      <c r="M2069" s="27"/>
      <c r="N2069" s="27"/>
      <c r="O2069" s="27"/>
      <c r="P2069" s="27"/>
      <c r="Q2069" s="27"/>
      <c r="R2069" s="27"/>
      <c r="S2069" s="27"/>
    </row>
    <row r="2070">
      <c r="B2070" s="27"/>
      <c r="C2070" s="27"/>
      <c r="D2070" s="27"/>
      <c r="E2070" s="27"/>
      <c r="F2070" s="27"/>
      <c r="G2070" s="27"/>
      <c r="H2070" s="27"/>
      <c r="I2070" s="27"/>
      <c r="J2070" s="27"/>
      <c r="K2070" s="27"/>
      <c r="L2070" s="27"/>
      <c r="M2070" s="27"/>
      <c r="N2070" s="27"/>
      <c r="O2070" s="27"/>
      <c r="P2070" s="27"/>
      <c r="Q2070" s="27"/>
      <c r="R2070" s="27"/>
      <c r="S2070" s="27"/>
    </row>
    <row r="2071">
      <c r="B2071" s="27"/>
      <c r="C2071" s="27"/>
      <c r="D2071" s="27"/>
      <c r="E2071" s="27"/>
      <c r="F2071" s="27"/>
      <c r="G2071" s="27"/>
      <c r="H2071" s="27"/>
      <c r="I2071" s="27"/>
      <c r="J2071" s="27"/>
      <c r="K2071" s="27"/>
      <c r="L2071" s="27"/>
      <c r="M2071" s="27"/>
      <c r="N2071" s="27"/>
      <c r="O2071" s="27"/>
      <c r="P2071" s="27"/>
      <c r="Q2071" s="27"/>
      <c r="R2071" s="27"/>
      <c r="S2071" s="27"/>
    </row>
    <row r="2072">
      <c r="B2072" s="27"/>
      <c r="C2072" s="27"/>
      <c r="D2072" s="27"/>
      <c r="E2072" s="27"/>
      <c r="F2072" s="27"/>
      <c r="G2072" s="27"/>
      <c r="H2072" s="27"/>
      <c r="I2072" s="27"/>
      <c r="J2072" s="27"/>
      <c r="K2072" s="27"/>
      <c r="L2072" s="27"/>
      <c r="M2072" s="27"/>
      <c r="N2072" s="27"/>
      <c r="O2072" s="27"/>
      <c r="P2072" s="27"/>
      <c r="Q2072" s="27"/>
      <c r="R2072" s="27"/>
      <c r="S2072" s="27"/>
    </row>
    <row r="2073">
      <c r="B2073" s="27"/>
      <c r="C2073" s="27"/>
      <c r="D2073" s="27"/>
      <c r="E2073" s="27"/>
      <c r="F2073" s="27"/>
      <c r="G2073" s="27"/>
      <c r="H2073" s="27"/>
      <c r="I2073" s="27"/>
      <c r="J2073" s="27"/>
      <c r="K2073" s="27"/>
      <c r="L2073" s="27"/>
      <c r="M2073" s="27"/>
      <c r="N2073" s="27"/>
      <c r="O2073" s="27"/>
      <c r="P2073" s="27"/>
      <c r="Q2073" s="27"/>
      <c r="R2073" s="27"/>
      <c r="S2073" s="27"/>
    </row>
    <row r="2074">
      <c r="B2074" s="27"/>
      <c r="C2074" s="27"/>
      <c r="D2074" s="27"/>
      <c r="E2074" s="27"/>
      <c r="F2074" s="27"/>
      <c r="G2074" s="27"/>
      <c r="H2074" s="27"/>
      <c r="I2074" s="27"/>
      <c r="J2074" s="27"/>
      <c r="K2074" s="27"/>
      <c r="L2074" s="27"/>
      <c r="M2074" s="27"/>
      <c r="N2074" s="27"/>
      <c r="O2074" s="27"/>
      <c r="P2074" s="27"/>
      <c r="Q2074" s="27"/>
      <c r="R2074" s="27"/>
      <c r="S2074" s="27"/>
    </row>
    <row r="2075">
      <c r="B2075" s="27"/>
      <c r="C2075" s="27"/>
      <c r="D2075" s="27"/>
      <c r="E2075" s="27"/>
      <c r="F2075" s="27"/>
      <c r="G2075" s="27"/>
      <c r="H2075" s="27"/>
      <c r="I2075" s="27"/>
      <c r="J2075" s="27"/>
      <c r="K2075" s="27"/>
      <c r="L2075" s="27"/>
      <c r="M2075" s="27"/>
      <c r="N2075" s="27"/>
      <c r="O2075" s="27"/>
      <c r="P2075" s="27"/>
      <c r="Q2075" s="27"/>
      <c r="R2075" s="27"/>
      <c r="S2075" s="27"/>
    </row>
    <row r="2076">
      <c r="B2076" s="27"/>
      <c r="C2076" s="27"/>
      <c r="D2076" s="27"/>
      <c r="E2076" s="27"/>
      <c r="F2076" s="27"/>
      <c r="G2076" s="27"/>
      <c r="H2076" s="27"/>
      <c r="I2076" s="27"/>
      <c r="J2076" s="27"/>
      <c r="K2076" s="27"/>
      <c r="L2076" s="27"/>
      <c r="M2076" s="27"/>
      <c r="N2076" s="27"/>
      <c r="O2076" s="27"/>
      <c r="P2076" s="27"/>
      <c r="Q2076" s="27"/>
      <c r="R2076" s="27"/>
      <c r="S2076" s="27"/>
    </row>
    <row r="2077">
      <c r="B2077" s="27"/>
      <c r="C2077" s="27"/>
      <c r="D2077" s="27"/>
      <c r="E2077" s="27"/>
      <c r="F2077" s="27"/>
      <c r="G2077" s="27"/>
      <c r="H2077" s="27"/>
      <c r="I2077" s="27"/>
      <c r="J2077" s="27"/>
      <c r="K2077" s="27"/>
      <c r="L2077" s="27"/>
      <c r="M2077" s="27"/>
      <c r="N2077" s="27"/>
      <c r="O2077" s="27"/>
      <c r="P2077" s="27"/>
      <c r="Q2077" s="27"/>
      <c r="R2077" s="27"/>
      <c r="S2077" s="27"/>
    </row>
    <row r="2078">
      <c r="B2078" s="27"/>
      <c r="C2078" s="27"/>
      <c r="D2078" s="27"/>
      <c r="E2078" s="27"/>
      <c r="F2078" s="27"/>
      <c r="G2078" s="27"/>
      <c r="H2078" s="27"/>
      <c r="I2078" s="27"/>
      <c r="J2078" s="27"/>
      <c r="K2078" s="27"/>
      <c r="L2078" s="27"/>
      <c r="M2078" s="27"/>
      <c r="N2078" s="27"/>
      <c r="O2078" s="27"/>
      <c r="P2078" s="27"/>
      <c r="Q2078" s="27"/>
      <c r="R2078" s="27"/>
      <c r="S2078" s="27"/>
    </row>
    <row r="2079">
      <c r="B2079" s="27"/>
      <c r="C2079" s="27"/>
      <c r="D2079" s="27"/>
      <c r="E2079" s="27"/>
      <c r="F2079" s="27"/>
      <c r="G2079" s="27"/>
      <c r="H2079" s="27"/>
      <c r="I2079" s="27"/>
      <c r="J2079" s="27"/>
      <c r="K2079" s="27"/>
      <c r="L2079" s="27"/>
      <c r="M2079" s="27"/>
      <c r="N2079" s="27"/>
      <c r="O2079" s="27"/>
      <c r="P2079" s="27"/>
      <c r="Q2079" s="27"/>
      <c r="R2079" s="27"/>
      <c r="S2079" s="27"/>
    </row>
    <row r="2080">
      <c r="B2080" s="27"/>
      <c r="C2080" s="27"/>
      <c r="D2080" s="27"/>
      <c r="E2080" s="27"/>
      <c r="F2080" s="27"/>
      <c r="G2080" s="27"/>
      <c r="H2080" s="27"/>
      <c r="I2080" s="27"/>
      <c r="J2080" s="27"/>
      <c r="K2080" s="27"/>
      <c r="L2080" s="27"/>
      <c r="M2080" s="27"/>
      <c r="N2080" s="27"/>
      <c r="O2080" s="27"/>
      <c r="P2080" s="27"/>
      <c r="Q2080" s="27"/>
      <c r="R2080" s="27"/>
      <c r="S2080" s="27"/>
    </row>
    <row r="2081">
      <c r="B2081" s="27"/>
      <c r="C2081" s="27"/>
      <c r="D2081" s="27"/>
      <c r="E2081" s="27"/>
      <c r="F2081" s="27"/>
      <c r="G2081" s="27"/>
      <c r="H2081" s="27"/>
      <c r="I2081" s="27"/>
      <c r="J2081" s="27"/>
      <c r="K2081" s="27"/>
      <c r="L2081" s="27"/>
      <c r="M2081" s="27"/>
      <c r="N2081" s="27"/>
      <c r="O2081" s="27"/>
      <c r="P2081" s="27"/>
      <c r="Q2081" s="27"/>
      <c r="R2081" s="27"/>
      <c r="S2081" s="27"/>
    </row>
    <row r="2082">
      <c r="B2082" s="27"/>
      <c r="C2082" s="27"/>
      <c r="D2082" s="27"/>
      <c r="E2082" s="27"/>
      <c r="F2082" s="27"/>
      <c r="G2082" s="27"/>
      <c r="H2082" s="27"/>
      <c r="I2082" s="27"/>
      <c r="J2082" s="27"/>
      <c r="K2082" s="27"/>
      <c r="L2082" s="27"/>
      <c r="M2082" s="27"/>
      <c r="N2082" s="27"/>
      <c r="O2082" s="27"/>
      <c r="P2082" s="27"/>
      <c r="Q2082" s="27"/>
      <c r="R2082" s="27"/>
      <c r="S2082" s="27"/>
    </row>
    <row r="2083">
      <c r="B2083" s="27"/>
      <c r="C2083" s="27"/>
      <c r="D2083" s="27"/>
      <c r="E2083" s="27"/>
      <c r="F2083" s="27"/>
      <c r="G2083" s="27"/>
      <c r="H2083" s="27"/>
      <c r="I2083" s="27"/>
      <c r="J2083" s="27"/>
      <c r="K2083" s="27"/>
      <c r="L2083" s="27"/>
      <c r="M2083" s="27"/>
      <c r="N2083" s="27"/>
      <c r="O2083" s="27"/>
      <c r="P2083" s="27"/>
      <c r="Q2083" s="27"/>
      <c r="R2083" s="27"/>
      <c r="S2083" s="27"/>
    </row>
    <row r="2084">
      <c r="B2084" s="27"/>
      <c r="C2084" s="27"/>
      <c r="D2084" s="27"/>
      <c r="E2084" s="27"/>
      <c r="F2084" s="27"/>
      <c r="G2084" s="27"/>
      <c r="H2084" s="27"/>
      <c r="I2084" s="27"/>
      <c r="J2084" s="27"/>
      <c r="K2084" s="27"/>
      <c r="L2084" s="27"/>
      <c r="M2084" s="27"/>
      <c r="N2084" s="27"/>
      <c r="O2084" s="27"/>
      <c r="P2084" s="27"/>
      <c r="Q2084" s="27"/>
      <c r="R2084" s="27"/>
      <c r="S2084" s="27"/>
    </row>
    <row r="2085">
      <c r="B2085" s="27"/>
      <c r="C2085" s="27"/>
      <c r="D2085" s="27"/>
      <c r="E2085" s="27"/>
      <c r="F2085" s="27"/>
      <c r="G2085" s="27"/>
      <c r="H2085" s="27"/>
      <c r="I2085" s="27"/>
      <c r="J2085" s="27"/>
      <c r="K2085" s="27"/>
      <c r="L2085" s="27"/>
      <c r="M2085" s="27"/>
      <c r="N2085" s="27"/>
      <c r="O2085" s="27"/>
      <c r="P2085" s="27"/>
      <c r="Q2085" s="27"/>
      <c r="R2085" s="27"/>
      <c r="S2085" s="27"/>
    </row>
    <row r="2086">
      <c r="B2086" s="27"/>
      <c r="C2086" s="27"/>
      <c r="D2086" s="27"/>
      <c r="E2086" s="27"/>
      <c r="F2086" s="27"/>
      <c r="G2086" s="27"/>
      <c r="H2086" s="27"/>
      <c r="I2086" s="27"/>
      <c r="J2086" s="27"/>
      <c r="K2086" s="27"/>
      <c r="L2086" s="27"/>
      <c r="M2086" s="27"/>
      <c r="N2086" s="27"/>
      <c r="O2086" s="27"/>
      <c r="P2086" s="27"/>
      <c r="Q2086" s="27"/>
      <c r="R2086" s="27"/>
      <c r="S2086" s="27"/>
    </row>
    <row r="2087">
      <c r="B2087" s="27"/>
      <c r="C2087" s="27"/>
      <c r="D2087" s="27"/>
      <c r="E2087" s="27"/>
      <c r="F2087" s="27"/>
      <c r="G2087" s="27"/>
      <c r="H2087" s="27"/>
      <c r="I2087" s="27"/>
      <c r="J2087" s="27"/>
      <c r="K2087" s="27"/>
      <c r="L2087" s="27"/>
      <c r="M2087" s="27"/>
      <c r="N2087" s="27"/>
      <c r="O2087" s="27"/>
      <c r="P2087" s="27"/>
      <c r="Q2087" s="27"/>
      <c r="R2087" s="27"/>
      <c r="S2087" s="27"/>
    </row>
    <row r="2088">
      <c r="B2088" s="27"/>
      <c r="C2088" s="27"/>
      <c r="D2088" s="27"/>
      <c r="E2088" s="27"/>
      <c r="F2088" s="27"/>
      <c r="G2088" s="27"/>
      <c r="H2088" s="27"/>
      <c r="I2088" s="27"/>
      <c r="J2088" s="27"/>
      <c r="K2088" s="27"/>
      <c r="L2088" s="27"/>
      <c r="M2088" s="27"/>
      <c r="N2088" s="27"/>
      <c r="O2088" s="27"/>
      <c r="P2088" s="27"/>
      <c r="Q2088" s="27"/>
      <c r="R2088" s="27"/>
      <c r="S2088" s="27"/>
    </row>
    <row r="2089">
      <c r="B2089" s="27"/>
      <c r="C2089" s="27"/>
      <c r="D2089" s="27"/>
      <c r="E2089" s="27"/>
      <c r="F2089" s="27"/>
      <c r="G2089" s="27"/>
      <c r="H2089" s="27"/>
      <c r="I2089" s="27"/>
      <c r="J2089" s="27"/>
      <c r="K2089" s="27"/>
      <c r="L2089" s="27"/>
      <c r="M2089" s="27"/>
      <c r="N2089" s="27"/>
      <c r="O2089" s="27"/>
      <c r="P2089" s="27"/>
      <c r="Q2089" s="27"/>
      <c r="R2089" s="27"/>
      <c r="S2089" s="27"/>
    </row>
    <row r="2090">
      <c r="B2090" s="27"/>
      <c r="C2090" s="27"/>
      <c r="D2090" s="27"/>
      <c r="E2090" s="27"/>
      <c r="F2090" s="27"/>
      <c r="G2090" s="27"/>
      <c r="H2090" s="27"/>
      <c r="I2090" s="27"/>
      <c r="J2090" s="27"/>
      <c r="K2090" s="27"/>
      <c r="L2090" s="27"/>
      <c r="M2090" s="27"/>
      <c r="N2090" s="27"/>
      <c r="O2090" s="27"/>
      <c r="P2090" s="27"/>
      <c r="Q2090" s="27"/>
      <c r="R2090" s="27"/>
      <c r="S2090" s="27"/>
    </row>
    <row r="2091">
      <c r="B2091" s="27"/>
      <c r="C2091" s="27"/>
      <c r="D2091" s="27"/>
      <c r="E2091" s="27"/>
      <c r="F2091" s="27"/>
      <c r="G2091" s="27"/>
      <c r="H2091" s="27"/>
      <c r="I2091" s="27"/>
      <c r="J2091" s="27"/>
      <c r="K2091" s="27"/>
      <c r="L2091" s="27"/>
      <c r="M2091" s="27"/>
      <c r="N2091" s="27"/>
      <c r="O2091" s="27"/>
      <c r="P2091" s="27"/>
      <c r="Q2091" s="27"/>
      <c r="R2091" s="27"/>
      <c r="S2091" s="27"/>
    </row>
    <row r="2092">
      <c r="B2092" s="27"/>
      <c r="C2092" s="27"/>
      <c r="D2092" s="27"/>
      <c r="E2092" s="27"/>
      <c r="F2092" s="27"/>
      <c r="G2092" s="27"/>
      <c r="H2092" s="27"/>
      <c r="I2092" s="27"/>
      <c r="J2092" s="27"/>
      <c r="K2092" s="27"/>
      <c r="L2092" s="27"/>
      <c r="M2092" s="27"/>
      <c r="N2092" s="27"/>
      <c r="O2092" s="27"/>
      <c r="P2092" s="27"/>
      <c r="Q2092" s="27"/>
      <c r="R2092" s="27"/>
      <c r="S2092" s="27"/>
    </row>
    <row r="2093">
      <c r="B2093" s="27"/>
      <c r="C2093" s="27"/>
      <c r="D2093" s="27"/>
      <c r="E2093" s="27"/>
      <c r="F2093" s="27"/>
      <c r="G2093" s="27"/>
      <c r="H2093" s="27"/>
      <c r="I2093" s="27"/>
      <c r="J2093" s="27"/>
      <c r="K2093" s="27"/>
      <c r="L2093" s="27"/>
      <c r="M2093" s="27"/>
      <c r="N2093" s="27"/>
      <c r="O2093" s="27"/>
      <c r="P2093" s="27"/>
      <c r="Q2093" s="27"/>
      <c r="R2093" s="27"/>
      <c r="S2093" s="27"/>
    </row>
    <row r="2094">
      <c r="B2094" s="27"/>
      <c r="C2094" s="27"/>
      <c r="D2094" s="27"/>
      <c r="E2094" s="27"/>
      <c r="F2094" s="27"/>
      <c r="G2094" s="27"/>
      <c r="H2094" s="27"/>
      <c r="I2094" s="27"/>
      <c r="J2094" s="27"/>
      <c r="K2094" s="27"/>
      <c r="L2094" s="27"/>
      <c r="M2094" s="27"/>
      <c r="N2094" s="27"/>
      <c r="O2094" s="27"/>
      <c r="P2094" s="27"/>
      <c r="Q2094" s="27"/>
      <c r="R2094" s="27"/>
      <c r="S2094" s="27"/>
    </row>
    <row r="2095">
      <c r="B2095" s="27"/>
      <c r="C2095" s="27"/>
      <c r="D2095" s="27"/>
      <c r="E2095" s="27"/>
      <c r="F2095" s="27"/>
      <c r="G2095" s="27"/>
      <c r="H2095" s="27"/>
      <c r="I2095" s="27"/>
      <c r="J2095" s="27"/>
      <c r="K2095" s="27"/>
      <c r="L2095" s="27"/>
      <c r="M2095" s="27"/>
      <c r="N2095" s="27"/>
      <c r="O2095" s="27"/>
      <c r="P2095" s="27"/>
      <c r="Q2095" s="27"/>
      <c r="R2095" s="27"/>
      <c r="S2095" s="27"/>
    </row>
    <row r="2096">
      <c r="B2096" s="27"/>
      <c r="C2096" s="27"/>
      <c r="D2096" s="27"/>
      <c r="E2096" s="27"/>
      <c r="F2096" s="27"/>
      <c r="G2096" s="27"/>
      <c r="H2096" s="27"/>
      <c r="I2096" s="27"/>
      <c r="J2096" s="27"/>
      <c r="K2096" s="27"/>
      <c r="L2096" s="27"/>
      <c r="M2096" s="27"/>
      <c r="N2096" s="27"/>
      <c r="O2096" s="27"/>
      <c r="P2096" s="27"/>
      <c r="Q2096" s="27"/>
      <c r="R2096" s="27"/>
      <c r="S2096" s="27"/>
    </row>
    <row r="2097">
      <c r="B2097" s="27"/>
      <c r="C2097" s="27"/>
      <c r="D2097" s="27"/>
      <c r="E2097" s="27"/>
      <c r="F2097" s="27"/>
      <c r="G2097" s="27"/>
      <c r="H2097" s="27"/>
      <c r="I2097" s="27"/>
      <c r="J2097" s="27"/>
      <c r="K2097" s="27"/>
      <c r="L2097" s="27"/>
      <c r="M2097" s="27"/>
      <c r="N2097" s="27"/>
      <c r="O2097" s="27"/>
      <c r="P2097" s="27"/>
      <c r="Q2097" s="27"/>
      <c r="R2097" s="27"/>
      <c r="S2097" s="27"/>
    </row>
    <row r="2098">
      <c r="B2098" s="27"/>
      <c r="C2098" s="27"/>
      <c r="D2098" s="27"/>
      <c r="E2098" s="27"/>
      <c r="F2098" s="27"/>
      <c r="G2098" s="27"/>
      <c r="H2098" s="27"/>
      <c r="I2098" s="27"/>
      <c r="J2098" s="27"/>
      <c r="K2098" s="27"/>
      <c r="L2098" s="27"/>
      <c r="M2098" s="27"/>
      <c r="N2098" s="27"/>
      <c r="O2098" s="27"/>
      <c r="P2098" s="27"/>
      <c r="Q2098" s="27"/>
      <c r="R2098" s="27"/>
      <c r="S2098" s="27"/>
    </row>
    <row r="2099">
      <c r="B2099" s="27"/>
      <c r="C2099" s="27"/>
      <c r="D2099" s="27"/>
      <c r="E2099" s="27"/>
      <c r="F2099" s="27"/>
      <c r="G2099" s="27"/>
      <c r="H2099" s="27"/>
      <c r="I2099" s="27"/>
      <c r="J2099" s="27"/>
      <c r="K2099" s="27"/>
      <c r="L2099" s="27"/>
      <c r="M2099" s="27"/>
      <c r="N2099" s="27"/>
      <c r="O2099" s="27"/>
      <c r="P2099" s="27"/>
      <c r="Q2099" s="27"/>
      <c r="R2099" s="27"/>
      <c r="S2099" s="27"/>
    </row>
    <row r="2100">
      <c r="B2100" s="27"/>
      <c r="C2100" s="27"/>
      <c r="D2100" s="27"/>
      <c r="E2100" s="27"/>
      <c r="F2100" s="27"/>
      <c r="G2100" s="27"/>
      <c r="H2100" s="27"/>
      <c r="I2100" s="27"/>
      <c r="J2100" s="27"/>
      <c r="K2100" s="27"/>
      <c r="L2100" s="27"/>
      <c r="M2100" s="27"/>
      <c r="N2100" s="27"/>
      <c r="O2100" s="27"/>
      <c r="P2100" s="27"/>
      <c r="Q2100" s="27"/>
      <c r="R2100" s="27"/>
      <c r="S2100" s="27"/>
    </row>
    <row r="2101">
      <c r="B2101" s="27"/>
      <c r="C2101" s="27"/>
      <c r="D2101" s="27"/>
      <c r="E2101" s="27"/>
      <c r="F2101" s="27"/>
      <c r="G2101" s="27"/>
      <c r="H2101" s="27"/>
      <c r="I2101" s="27"/>
      <c r="J2101" s="27"/>
      <c r="K2101" s="27"/>
      <c r="L2101" s="27"/>
      <c r="M2101" s="27"/>
      <c r="N2101" s="27"/>
      <c r="O2101" s="27"/>
      <c r="P2101" s="27"/>
      <c r="Q2101" s="27"/>
      <c r="R2101" s="27"/>
      <c r="S2101" s="27"/>
    </row>
    <row r="2102">
      <c r="B2102" s="27"/>
      <c r="C2102" s="27"/>
      <c r="D2102" s="27"/>
      <c r="E2102" s="27"/>
      <c r="F2102" s="27"/>
      <c r="G2102" s="27"/>
      <c r="H2102" s="27"/>
      <c r="I2102" s="27"/>
      <c r="J2102" s="27"/>
      <c r="K2102" s="27"/>
      <c r="L2102" s="27"/>
      <c r="M2102" s="27"/>
      <c r="N2102" s="27"/>
      <c r="O2102" s="27"/>
      <c r="P2102" s="27"/>
      <c r="Q2102" s="27"/>
      <c r="R2102" s="27"/>
      <c r="S2102" s="27"/>
    </row>
    <row r="2103">
      <c r="B2103" s="27"/>
      <c r="C2103" s="27"/>
      <c r="D2103" s="27"/>
      <c r="E2103" s="27"/>
      <c r="F2103" s="27"/>
      <c r="G2103" s="27"/>
      <c r="H2103" s="27"/>
      <c r="I2103" s="27"/>
      <c r="J2103" s="27"/>
      <c r="K2103" s="27"/>
      <c r="L2103" s="27"/>
      <c r="M2103" s="27"/>
      <c r="N2103" s="27"/>
      <c r="O2103" s="27"/>
      <c r="P2103" s="27"/>
      <c r="Q2103" s="27"/>
      <c r="R2103" s="27"/>
      <c r="S2103" s="27"/>
    </row>
    <row r="2104">
      <c r="B2104" s="27"/>
      <c r="C2104" s="27"/>
      <c r="D2104" s="27"/>
      <c r="E2104" s="27"/>
      <c r="F2104" s="27"/>
      <c r="G2104" s="27"/>
      <c r="H2104" s="27"/>
      <c r="I2104" s="27"/>
      <c r="J2104" s="27"/>
      <c r="K2104" s="27"/>
      <c r="L2104" s="27"/>
      <c r="M2104" s="27"/>
      <c r="N2104" s="27"/>
      <c r="O2104" s="27"/>
      <c r="P2104" s="27"/>
      <c r="Q2104" s="27"/>
      <c r="R2104" s="27"/>
      <c r="S2104" s="27"/>
    </row>
    <row r="2105">
      <c r="B2105" s="27"/>
      <c r="C2105" s="27"/>
      <c r="D2105" s="27"/>
      <c r="E2105" s="27"/>
      <c r="F2105" s="27"/>
      <c r="G2105" s="27"/>
      <c r="H2105" s="27"/>
      <c r="I2105" s="27"/>
      <c r="J2105" s="27"/>
      <c r="K2105" s="27"/>
      <c r="L2105" s="27"/>
      <c r="M2105" s="27"/>
      <c r="N2105" s="27"/>
      <c r="O2105" s="27"/>
      <c r="P2105" s="27"/>
      <c r="Q2105" s="27"/>
      <c r="R2105" s="27"/>
      <c r="S2105" s="27"/>
    </row>
    <row r="2106">
      <c r="B2106" s="27"/>
      <c r="C2106" s="27"/>
      <c r="D2106" s="27"/>
      <c r="E2106" s="27"/>
      <c r="F2106" s="27"/>
      <c r="G2106" s="27"/>
      <c r="H2106" s="27"/>
      <c r="I2106" s="27"/>
      <c r="J2106" s="27"/>
      <c r="K2106" s="27"/>
      <c r="L2106" s="27"/>
      <c r="M2106" s="27"/>
      <c r="N2106" s="27"/>
      <c r="O2106" s="27"/>
      <c r="P2106" s="27"/>
      <c r="Q2106" s="27"/>
      <c r="R2106" s="27"/>
      <c r="S2106" s="27"/>
    </row>
    <row r="2107">
      <c r="B2107" s="27"/>
      <c r="C2107" s="27"/>
      <c r="D2107" s="27"/>
      <c r="E2107" s="27"/>
      <c r="F2107" s="27"/>
      <c r="G2107" s="27"/>
      <c r="H2107" s="27"/>
      <c r="I2107" s="27"/>
      <c r="J2107" s="27"/>
      <c r="K2107" s="27"/>
      <c r="L2107" s="27"/>
      <c r="M2107" s="27"/>
      <c r="N2107" s="27"/>
      <c r="O2107" s="27"/>
      <c r="P2107" s="27"/>
      <c r="Q2107" s="27"/>
      <c r="R2107" s="27"/>
      <c r="S2107" s="27"/>
    </row>
    <row r="2108">
      <c r="B2108" s="27"/>
      <c r="C2108" s="27"/>
      <c r="D2108" s="27"/>
      <c r="E2108" s="27"/>
      <c r="F2108" s="27"/>
      <c r="G2108" s="27"/>
      <c r="H2108" s="27"/>
      <c r="I2108" s="27"/>
      <c r="J2108" s="27"/>
      <c r="K2108" s="27"/>
      <c r="L2108" s="27"/>
      <c r="M2108" s="27"/>
      <c r="N2108" s="27"/>
      <c r="O2108" s="27"/>
      <c r="P2108" s="27"/>
      <c r="Q2108" s="27"/>
      <c r="R2108" s="27"/>
      <c r="S2108" s="27"/>
    </row>
    <row r="2109">
      <c r="B2109" s="27"/>
      <c r="C2109" s="27"/>
      <c r="D2109" s="27"/>
      <c r="E2109" s="27"/>
      <c r="F2109" s="27"/>
      <c r="G2109" s="27"/>
      <c r="H2109" s="27"/>
      <c r="I2109" s="27"/>
      <c r="J2109" s="27"/>
      <c r="K2109" s="27"/>
      <c r="L2109" s="27"/>
      <c r="M2109" s="27"/>
      <c r="N2109" s="27"/>
      <c r="O2109" s="27"/>
      <c r="P2109" s="27"/>
      <c r="Q2109" s="27"/>
      <c r="R2109" s="27"/>
      <c r="S2109" s="27"/>
    </row>
    <row r="2110">
      <c r="B2110" s="27"/>
      <c r="C2110" s="27"/>
      <c r="D2110" s="27"/>
      <c r="E2110" s="27"/>
      <c r="F2110" s="27"/>
      <c r="G2110" s="27"/>
      <c r="H2110" s="27"/>
      <c r="I2110" s="27"/>
      <c r="J2110" s="27"/>
      <c r="K2110" s="27"/>
      <c r="L2110" s="27"/>
      <c r="M2110" s="27"/>
      <c r="N2110" s="27"/>
      <c r="O2110" s="27"/>
      <c r="P2110" s="27"/>
      <c r="Q2110" s="27"/>
      <c r="R2110" s="27"/>
      <c r="S2110" s="27"/>
    </row>
    <row r="2111">
      <c r="B2111" s="27"/>
      <c r="C2111" s="27"/>
      <c r="D2111" s="27"/>
      <c r="E2111" s="27"/>
      <c r="F2111" s="27"/>
      <c r="G2111" s="27"/>
      <c r="H2111" s="27"/>
      <c r="I2111" s="27"/>
      <c r="J2111" s="27"/>
      <c r="K2111" s="27"/>
      <c r="L2111" s="27"/>
      <c r="M2111" s="27"/>
      <c r="N2111" s="27"/>
      <c r="O2111" s="27"/>
      <c r="P2111" s="27"/>
      <c r="Q2111" s="27"/>
      <c r="R2111" s="27"/>
      <c r="S2111" s="27"/>
    </row>
    <row r="2112">
      <c r="B2112" s="27"/>
      <c r="C2112" s="27"/>
      <c r="D2112" s="27"/>
      <c r="E2112" s="27"/>
      <c r="F2112" s="27"/>
      <c r="G2112" s="27"/>
      <c r="H2112" s="27"/>
      <c r="I2112" s="27"/>
      <c r="J2112" s="27"/>
      <c r="K2112" s="27"/>
      <c r="L2112" s="27"/>
      <c r="M2112" s="27"/>
      <c r="N2112" s="27"/>
      <c r="O2112" s="27"/>
      <c r="P2112" s="27"/>
      <c r="Q2112" s="27"/>
      <c r="R2112" s="27"/>
      <c r="S2112" s="27"/>
    </row>
    <row r="2113">
      <c r="B2113" s="27"/>
      <c r="C2113" s="27"/>
      <c r="D2113" s="27"/>
      <c r="E2113" s="27"/>
      <c r="F2113" s="27"/>
      <c r="G2113" s="27"/>
      <c r="H2113" s="27"/>
      <c r="I2113" s="27"/>
      <c r="J2113" s="27"/>
      <c r="K2113" s="27"/>
      <c r="L2113" s="27"/>
      <c r="M2113" s="27"/>
      <c r="N2113" s="27"/>
      <c r="O2113" s="27"/>
      <c r="P2113" s="27"/>
      <c r="Q2113" s="27"/>
      <c r="R2113" s="27"/>
      <c r="S2113" s="27"/>
    </row>
    <row r="2114">
      <c r="B2114" s="27"/>
      <c r="C2114" s="27"/>
      <c r="D2114" s="27"/>
      <c r="E2114" s="27"/>
      <c r="F2114" s="27"/>
      <c r="G2114" s="27"/>
      <c r="H2114" s="27"/>
      <c r="I2114" s="27"/>
      <c r="J2114" s="27"/>
      <c r="K2114" s="27"/>
      <c r="L2114" s="27"/>
      <c r="M2114" s="27"/>
      <c r="N2114" s="27"/>
      <c r="O2114" s="27"/>
      <c r="P2114" s="27"/>
      <c r="Q2114" s="27"/>
      <c r="R2114" s="27"/>
      <c r="S2114" s="27"/>
    </row>
    <row r="2115">
      <c r="B2115" s="27"/>
      <c r="C2115" s="27"/>
      <c r="D2115" s="27"/>
      <c r="E2115" s="27"/>
      <c r="F2115" s="27"/>
      <c r="G2115" s="27"/>
      <c r="H2115" s="27"/>
      <c r="I2115" s="27"/>
      <c r="J2115" s="27"/>
      <c r="K2115" s="27"/>
      <c r="L2115" s="27"/>
      <c r="M2115" s="27"/>
      <c r="N2115" s="27"/>
      <c r="O2115" s="27"/>
      <c r="P2115" s="27"/>
      <c r="Q2115" s="27"/>
      <c r="R2115" s="27"/>
      <c r="S2115" s="27"/>
    </row>
    <row r="2116">
      <c r="B2116" s="27"/>
      <c r="C2116" s="27"/>
      <c r="D2116" s="27"/>
      <c r="E2116" s="27"/>
      <c r="F2116" s="27"/>
      <c r="G2116" s="27"/>
      <c r="H2116" s="27"/>
      <c r="I2116" s="27"/>
      <c r="J2116" s="27"/>
      <c r="K2116" s="27"/>
      <c r="L2116" s="27"/>
      <c r="M2116" s="27"/>
      <c r="N2116" s="27"/>
      <c r="O2116" s="27"/>
      <c r="P2116" s="27"/>
      <c r="Q2116" s="27"/>
      <c r="R2116" s="27"/>
      <c r="S2116" s="27"/>
    </row>
    <row r="2117">
      <c r="B2117" s="27"/>
      <c r="C2117" s="27"/>
      <c r="D2117" s="27"/>
      <c r="E2117" s="27"/>
      <c r="F2117" s="27"/>
      <c r="G2117" s="27"/>
      <c r="H2117" s="27"/>
      <c r="I2117" s="27"/>
      <c r="J2117" s="27"/>
      <c r="K2117" s="27"/>
      <c r="L2117" s="27"/>
      <c r="M2117" s="27"/>
      <c r="N2117" s="27"/>
      <c r="O2117" s="27"/>
      <c r="P2117" s="27"/>
      <c r="Q2117" s="27"/>
      <c r="R2117" s="27"/>
      <c r="S2117" s="27"/>
    </row>
    <row r="2118">
      <c r="B2118" s="27"/>
      <c r="C2118" s="27"/>
      <c r="D2118" s="27"/>
      <c r="E2118" s="27"/>
      <c r="F2118" s="27"/>
      <c r="G2118" s="27"/>
      <c r="H2118" s="27"/>
      <c r="I2118" s="27"/>
      <c r="J2118" s="27"/>
      <c r="K2118" s="27"/>
      <c r="L2118" s="27"/>
      <c r="M2118" s="27"/>
      <c r="N2118" s="27"/>
      <c r="O2118" s="27"/>
      <c r="P2118" s="27"/>
      <c r="Q2118" s="27"/>
      <c r="R2118" s="27"/>
      <c r="S2118" s="27"/>
    </row>
    <row r="2119">
      <c r="B2119" s="27"/>
      <c r="C2119" s="27"/>
      <c r="D2119" s="27"/>
      <c r="E2119" s="27"/>
      <c r="F2119" s="27"/>
      <c r="G2119" s="27"/>
      <c r="H2119" s="27"/>
      <c r="I2119" s="27"/>
      <c r="J2119" s="27"/>
      <c r="K2119" s="27"/>
      <c r="L2119" s="27"/>
      <c r="M2119" s="27"/>
      <c r="N2119" s="27"/>
      <c r="O2119" s="27"/>
      <c r="P2119" s="27"/>
      <c r="Q2119" s="27"/>
      <c r="R2119" s="27"/>
      <c r="S2119" s="27"/>
    </row>
    <row r="2120">
      <c r="B2120" s="27"/>
      <c r="C2120" s="27"/>
      <c r="D2120" s="27"/>
      <c r="E2120" s="27"/>
      <c r="F2120" s="27"/>
      <c r="G2120" s="27"/>
      <c r="H2120" s="27"/>
      <c r="I2120" s="27"/>
      <c r="J2120" s="27"/>
      <c r="K2120" s="27"/>
      <c r="L2120" s="27"/>
      <c r="M2120" s="27"/>
      <c r="N2120" s="27"/>
      <c r="O2120" s="27"/>
      <c r="P2120" s="27"/>
      <c r="Q2120" s="27"/>
      <c r="R2120" s="27"/>
      <c r="S2120" s="27"/>
    </row>
    <row r="2121">
      <c r="B2121" s="27"/>
      <c r="C2121" s="27"/>
      <c r="D2121" s="27"/>
      <c r="E2121" s="27"/>
      <c r="F2121" s="27"/>
      <c r="G2121" s="27"/>
      <c r="H2121" s="27"/>
      <c r="I2121" s="27"/>
      <c r="J2121" s="27"/>
      <c r="K2121" s="27"/>
      <c r="L2121" s="27"/>
      <c r="M2121" s="27"/>
      <c r="N2121" s="27"/>
      <c r="O2121" s="27"/>
      <c r="P2121" s="27"/>
      <c r="Q2121" s="27"/>
      <c r="R2121" s="27"/>
      <c r="S2121" s="27"/>
    </row>
    <row r="2122">
      <c r="B2122" s="27"/>
      <c r="C2122" s="27"/>
      <c r="D2122" s="27"/>
      <c r="E2122" s="27"/>
      <c r="F2122" s="27"/>
      <c r="G2122" s="27"/>
      <c r="H2122" s="27"/>
      <c r="I2122" s="27"/>
      <c r="J2122" s="27"/>
      <c r="K2122" s="27"/>
      <c r="L2122" s="27"/>
      <c r="M2122" s="27"/>
      <c r="N2122" s="27"/>
      <c r="O2122" s="27"/>
      <c r="P2122" s="27"/>
      <c r="Q2122" s="27"/>
      <c r="R2122" s="27"/>
      <c r="S2122" s="27"/>
    </row>
    <row r="2123">
      <c r="B2123" s="27"/>
      <c r="C2123" s="27"/>
      <c r="D2123" s="27"/>
      <c r="E2123" s="27"/>
      <c r="F2123" s="27"/>
      <c r="G2123" s="27"/>
      <c r="H2123" s="27"/>
      <c r="I2123" s="27"/>
      <c r="J2123" s="27"/>
      <c r="K2123" s="27"/>
      <c r="L2123" s="27"/>
      <c r="M2123" s="27"/>
      <c r="N2123" s="27"/>
      <c r="O2123" s="27"/>
      <c r="P2123" s="27"/>
      <c r="Q2123" s="27"/>
      <c r="R2123" s="27"/>
      <c r="S2123" s="27"/>
    </row>
    <row r="2124">
      <c r="B2124" s="27"/>
      <c r="C2124" s="27"/>
      <c r="D2124" s="27"/>
      <c r="E2124" s="27"/>
      <c r="F2124" s="27"/>
      <c r="G2124" s="27"/>
      <c r="H2124" s="27"/>
      <c r="I2124" s="27"/>
      <c r="J2124" s="27"/>
      <c r="K2124" s="27"/>
      <c r="L2124" s="27"/>
      <c r="M2124" s="27"/>
      <c r="N2124" s="27"/>
      <c r="O2124" s="27"/>
      <c r="P2124" s="27"/>
      <c r="Q2124" s="27"/>
      <c r="R2124" s="27"/>
      <c r="S2124" s="27"/>
    </row>
    <row r="2125">
      <c r="B2125" s="27"/>
      <c r="C2125" s="27"/>
      <c r="D2125" s="27"/>
      <c r="E2125" s="27"/>
      <c r="F2125" s="27"/>
      <c r="G2125" s="27"/>
      <c r="H2125" s="27"/>
      <c r="I2125" s="27"/>
      <c r="J2125" s="27"/>
      <c r="K2125" s="27"/>
      <c r="L2125" s="27"/>
      <c r="M2125" s="27"/>
      <c r="N2125" s="27"/>
      <c r="O2125" s="27"/>
      <c r="P2125" s="27"/>
      <c r="Q2125" s="27"/>
      <c r="R2125" s="27"/>
      <c r="S2125" s="27"/>
    </row>
    <row r="2126">
      <c r="B2126" s="27"/>
      <c r="C2126" s="27"/>
      <c r="D2126" s="27"/>
      <c r="E2126" s="27"/>
      <c r="F2126" s="27"/>
      <c r="G2126" s="27"/>
      <c r="H2126" s="27"/>
      <c r="I2126" s="27"/>
      <c r="J2126" s="27"/>
      <c r="K2126" s="27"/>
      <c r="L2126" s="27"/>
      <c r="M2126" s="27"/>
      <c r="N2126" s="27"/>
      <c r="O2126" s="27"/>
      <c r="P2126" s="27"/>
      <c r="Q2126" s="27"/>
      <c r="R2126" s="27"/>
      <c r="S2126" s="27"/>
    </row>
    <row r="2127">
      <c r="B2127" s="27"/>
      <c r="C2127" s="27"/>
      <c r="D2127" s="27"/>
      <c r="E2127" s="27"/>
      <c r="F2127" s="27"/>
      <c r="G2127" s="27"/>
      <c r="H2127" s="27"/>
      <c r="I2127" s="27"/>
      <c r="J2127" s="27"/>
      <c r="K2127" s="27"/>
      <c r="L2127" s="27"/>
      <c r="M2127" s="27"/>
      <c r="N2127" s="27"/>
      <c r="O2127" s="27"/>
      <c r="P2127" s="27"/>
      <c r="Q2127" s="27"/>
      <c r="R2127" s="27"/>
      <c r="S2127" s="27"/>
    </row>
    <row r="2128">
      <c r="B2128" s="27"/>
      <c r="C2128" s="27"/>
      <c r="D2128" s="27"/>
      <c r="E2128" s="27"/>
      <c r="F2128" s="27"/>
      <c r="G2128" s="27"/>
      <c r="H2128" s="27"/>
      <c r="I2128" s="27"/>
      <c r="J2128" s="27"/>
      <c r="K2128" s="27"/>
      <c r="L2128" s="27"/>
      <c r="M2128" s="27"/>
      <c r="N2128" s="27"/>
      <c r="O2128" s="27"/>
      <c r="P2128" s="27"/>
      <c r="Q2128" s="27"/>
      <c r="R2128" s="27"/>
      <c r="S2128" s="27"/>
    </row>
    <row r="2129">
      <c r="B2129" s="27"/>
      <c r="C2129" s="27"/>
      <c r="D2129" s="27"/>
      <c r="E2129" s="27"/>
      <c r="F2129" s="27"/>
      <c r="G2129" s="27"/>
      <c r="H2129" s="27"/>
      <c r="I2129" s="27"/>
      <c r="J2129" s="27"/>
      <c r="K2129" s="27"/>
      <c r="L2129" s="27"/>
      <c r="M2129" s="27"/>
      <c r="N2129" s="27"/>
      <c r="O2129" s="27"/>
      <c r="P2129" s="27"/>
      <c r="Q2129" s="27"/>
      <c r="R2129" s="27"/>
      <c r="S2129" s="27"/>
    </row>
    <row r="2130">
      <c r="B2130" s="27"/>
      <c r="C2130" s="27"/>
      <c r="D2130" s="27"/>
      <c r="E2130" s="27"/>
      <c r="F2130" s="27"/>
      <c r="G2130" s="27"/>
      <c r="H2130" s="27"/>
      <c r="I2130" s="27"/>
      <c r="J2130" s="27"/>
      <c r="K2130" s="27"/>
      <c r="L2130" s="27"/>
      <c r="M2130" s="27"/>
      <c r="N2130" s="27"/>
      <c r="O2130" s="27"/>
      <c r="P2130" s="27"/>
      <c r="Q2130" s="27"/>
      <c r="R2130" s="27"/>
      <c r="S2130" s="27"/>
    </row>
    <row r="2131">
      <c r="B2131" s="27"/>
      <c r="C2131" s="27"/>
      <c r="D2131" s="27"/>
      <c r="E2131" s="27"/>
      <c r="F2131" s="27"/>
      <c r="G2131" s="27"/>
      <c r="H2131" s="27"/>
      <c r="I2131" s="27"/>
      <c r="J2131" s="27"/>
      <c r="K2131" s="27"/>
      <c r="L2131" s="27"/>
      <c r="M2131" s="27"/>
      <c r="N2131" s="27"/>
      <c r="O2131" s="27"/>
      <c r="P2131" s="27"/>
      <c r="Q2131" s="27"/>
      <c r="R2131" s="27"/>
      <c r="S2131" s="27"/>
    </row>
    <row r="2132">
      <c r="B2132" s="27"/>
      <c r="C2132" s="27"/>
      <c r="D2132" s="27"/>
      <c r="E2132" s="27"/>
      <c r="F2132" s="27"/>
      <c r="G2132" s="27"/>
      <c r="H2132" s="27"/>
      <c r="I2132" s="27"/>
      <c r="J2132" s="27"/>
      <c r="K2132" s="27"/>
      <c r="L2132" s="27"/>
      <c r="M2132" s="27"/>
      <c r="N2132" s="27"/>
      <c r="O2132" s="27"/>
      <c r="P2132" s="27"/>
      <c r="Q2132" s="27"/>
      <c r="R2132" s="27"/>
      <c r="S2132" s="27"/>
    </row>
    <row r="2133">
      <c r="B2133" s="27"/>
      <c r="C2133" s="27"/>
      <c r="D2133" s="27"/>
      <c r="E2133" s="27"/>
      <c r="F2133" s="27"/>
      <c r="G2133" s="27"/>
      <c r="H2133" s="27"/>
      <c r="I2133" s="27"/>
      <c r="J2133" s="27"/>
      <c r="K2133" s="27"/>
      <c r="L2133" s="27"/>
      <c r="M2133" s="27"/>
      <c r="N2133" s="27"/>
      <c r="O2133" s="27"/>
      <c r="P2133" s="27"/>
      <c r="Q2133" s="27"/>
      <c r="R2133" s="27"/>
      <c r="S2133" s="27"/>
    </row>
    <row r="2134">
      <c r="B2134" s="27"/>
      <c r="C2134" s="27"/>
      <c r="D2134" s="27"/>
      <c r="E2134" s="27"/>
      <c r="F2134" s="27"/>
      <c r="G2134" s="27"/>
      <c r="H2134" s="27"/>
      <c r="I2134" s="27"/>
      <c r="J2134" s="27"/>
      <c r="K2134" s="27"/>
      <c r="L2134" s="27"/>
      <c r="M2134" s="27"/>
      <c r="N2134" s="27"/>
      <c r="O2134" s="27"/>
      <c r="P2134" s="27"/>
      <c r="Q2134" s="27"/>
      <c r="R2134" s="27"/>
      <c r="S2134" s="27"/>
    </row>
    <row r="2135">
      <c r="B2135" s="27"/>
      <c r="C2135" s="27"/>
      <c r="D2135" s="27"/>
      <c r="E2135" s="27"/>
      <c r="F2135" s="27"/>
      <c r="G2135" s="27"/>
      <c r="H2135" s="27"/>
      <c r="I2135" s="27"/>
      <c r="J2135" s="27"/>
      <c r="K2135" s="27"/>
      <c r="L2135" s="27"/>
      <c r="M2135" s="27"/>
      <c r="N2135" s="27"/>
      <c r="O2135" s="27"/>
      <c r="P2135" s="27"/>
      <c r="Q2135" s="27"/>
      <c r="R2135" s="27"/>
      <c r="S2135" s="27"/>
    </row>
    <row r="2136">
      <c r="B2136" s="27"/>
      <c r="C2136" s="27"/>
      <c r="D2136" s="27"/>
      <c r="E2136" s="27"/>
      <c r="F2136" s="27"/>
      <c r="G2136" s="27"/>
      <c r="H2136" s="27"/>
      <c r="I2136" s="27"/>
      <c r="J2136" s="27"/>
      <c r="K2136" s="27"/>
      <c r="L2136" s="27"/>
      <c r="M2136" s="27"/>
      <c r="N2136" s="27"/>
      <c r="O2136" s="27"/>
      <c r="P2136" s="27"/>
      <c r="Q2136" s="27"/>
      <c r="R2136" s="27"/>
      <c r="S2136" s="27"/>
    </row>
    <row r="2137">
      <c r="B2137" s="27"/>
      <c r="C2137" s="27"/>
      <c r="D2137" s="27"/>
      <c r="E2137" s="27"/>
      <c r="F2137" s="27"/>
      <c r="G2137" s="27"/>
      <c r="H2137" s="27"/>
      <c r="I2137" s="27"/>
      <c r="J2137" s="27"/>
      <c r="K2137" s="27"/>
      <c r="L2137" s="27"/>
      <c r="M2137" s="27"/>
      <c r="N2137" s="27"/>
      <c r="O2137" s="27"/>
      <c r="P2137" s="27"/>
      <c r="Q2137" s="27"/>
      <c r="R2137" s="27"/>
      <c r="S2137" s="27"/>
    </row>
    <row r="2138">
      <c r="B2138" s="27"/>
      <c r="C2138" s="27"/>
      <c r="D2138" s="27"/>
      <c r="E2138" s="27"/>
      <c r="F2138" s="27"/>
      <c r="G2138" s="27"/>
      <c r="H2138" s="27"/>
      <c r="I2138" s="27"/>
      <c r="J2138" s="27"/>
      <c r="K2138" s="27"/>
      <c r="L2138" s="27"/>
      <c r="M2138" s="27"/>
      <c r="N2138" s="27"/>
      <c r="O2138" s="27"/>
      <c r="P2138" s="27"/>
      <c r="Q2138" s="27"/>
      <c r="R2138" s="27"/>
      <c r="S2138" s="27"/>
    </row>
    <row r="2139">
      <c r="B2139" s="27"/>
      <c r="C2139" s="27"/>
      <c r="D2139" s="27"/>
      <c r="E2139" s="27"/>
      <c r="F2139" s="27"/>
      <c r="G2139" s="27"/>
      <c r="H2139" s="27"/>
      <c r="I2139" s="27"/>
      <c r="J2139" s="27"/>
      <c r="K2139" s="27"/>
      <c r="L2139" s="27"/>
      <c r="M2139" s="27"/>
      <c r="N2139" s="27"/>
      <c r="O2139" s="27"/>
      <c r="P2139" s="27"/>
      <c r="Q2139" s="27"/>
      <c r="R2139" s="27"/>
      <c r="S2139" s="27"/>
    </row>
    <row r="2140">
      <c r="B2140" s="27"/>
      <c r="C2140" s="27"/>
      <c r="D2140" s="27"/>
      <c r="E2140" s="27"/>
      <c r="F2140" s="27"/>
      <c r="G2140" s="27"/>
      <c r="H2140" s="27"/>
      <c r="I2140" s="27"/>
      <c r="J2140" s="27"/>
      <c r="K2140" s="27"/>
      <c r="L2140" s="27"/>
      <c r="M2140" s="27"/>
      <c r="N2140" s="27"/>
      <c r="O2140" s="27"/>
      <c r="P2140" s="27"/>
      <c r="Q2140" s="27"/>
      <c r="R2140" s="27"/>
      <c r="S2140" s="27"/>
    </row>
    <row r="2141">
      <c r="B2141" s="27"/>
      <c r="C2141" s="27"/>
      <c r="D2141" s="27"/>
      <c r="E2141" s="27"/>
      <c r="F2141" s="27"/>
      <c r="G2141" s="27"/>
      <c r="H2141" s="27"/>
      <c r="I2141" s="27"/>
      <c r="J2141" s="27"/>
      <c r="K2141" s="27"/>
      <c r="L2141" s="27"/>
      <c r="M2141" s="27"/>
      <c r="N2141" s="27"/>
      <c r="O2141" s="27"/>
      <c r="P2141" s="27"/>
      <c r="Q2141" s="27"/>
      <c r="R2141" s="27"/>
      <c r="S2141" s="27"/>
    </row>
    <row r="2142">
      <c r="B2142" s="27"/>
      <c r="C2142" s="27"/>
      <c r="D2142" s="27"/>
      <c r="E2142" s="27"/>
      <c r="F2142" s="27"/>
      <c r="G2142" s="27"/>
      <c r="H2142" s="27"/>
      <c r="I2142" s="27"/>
      <c r="J2142" s="27"/>
      <c r="K2142" s="27"/>
      <c r="L2142" s="27"/>
      <c r="M2142" s="27"/>
      <c r="N2142" s="27"/>
      <c r="O2142" s="27"/>
      <c r="P2142" s="27"/>
      <c r="Q2142" s="27"/>
      <c r="R2142" s="27"/>
      <c r="S2142" s="27"/>
    </row>
    <row r="2143">
      <c r="B2143" s="27"/>
      <c r="C2143" s="27"/>
      <c r="D2143" s="27"/>
      <c r="E2143" s="27"/>
      <c r="F2143" s="27"/>
      <c r="G2143" s="27"/>
      <c r="H2143" s="27"/>
      <c r="I2143" s="27"/>
      <c r="J2143" s="27"/>
      <c r="K2143" s="27"/>
      <c r="L2143" s="27"/>
      <c r="M2143" s="27"/>
      <c r="N2143" s="27"/>
      <c r="O2143" s="27"/>
      <c r="P2143" s="27"/>
      <c r="Q2143" s="27"/>
      <c r="R2143" s="27"/>
      <c r="S2143" s="27"/>
    </row>
    <row r="2144">
      <c r="B2144" s="27"/>
      <c r="C2144" s="27"/>
      <c r="D2144" s="27"/>
      <c r="E2144" s="27"/>
      <c r="F2144" s="27"/>
      <c r="G2144" s="27"/>
      <c r="H2144" s="27"/>
      <c r="I2144" s="27"/>
      <c r="J2144" s="27"/>
      <c r="K2144" s="27"/>
      <c r="L2144" s="27"/>
      <c r="M2144" s="27"/>
      <c r="N2144" s="27"/>
      <c r="O2144" s="27"/>
      <c r="P2144" s="27"/>
      <c r="Q2144" s="27"/>
      <c r="R2144" s="27"/>
      <c r="S2144" s="27"/>
    </row>
    <row r="2145">
      <c r="B2145" s="27"/>
      <c r="C2145" s="27"/>
      <c r="D2145" s="27"/>
      <c r="E2145" s="27"/>
      <c r="F2145" s="27"/>
      <c r="G2145" s="27"/>
      <c r="H2145" s="27"/>
      <c r="I2145" s="27"/>
      <c r="J2145" s="27"/>
      <c r="K2145" s="27"/>
      <c r="L2145" s="27"/>
      <c r="M2145" s="27"/>
      <c r="N2145" s="27"/>
      <c r="O2145" s="27"/>
      <c r="P2145" s="27"/>
      <c r="Q2145" s="27"/>
      <c r="R2145" s="27"/>
      <c r="S2145" s="27"/>
    </row>
    <row r="2146">
      <c r="B2146" s="27"/>
      <c r="C2146" s="27"/>
      <c r="D2146" s="27"/>
      <c r="E2146" s="27"/>
      <c r="F2146" s="27"/>
      <c r="G2146" s="27"/>
      <c r="H2146" s="27"/>
      <c r="I2146" s="27"/>
      <c r="J2146" s="27"/>
      <c r="K2146" s="27"/>
      <c r="L2146" s="27"/>
      <c r="M2146" s="27"/>
      <c r="N2146" s="27"/>
      <c r="O2146" s="27"/>
      <c r="P2146" s="27"/>
      <c r="Q2146" s="27"/>
      <c r="R2146" s="27"/>
      <c r="S2146" s="27"/>
    </row>
    <row r="2147">
      <c r="B2147" s="27"/>
      <c r="C2147" s="27"/>
      <c r="D2147" s="27"/>
      <c r="E2147" s="27"/>
      <c r="F2147" s="27"/>
      <c r="G2147" s="27"/>
      <c r="H2147" s="27"/>
      <c r="I2147" s="27"/>
      <c r="J2147" s="27"/>
      <c r="K2147" s="27"/>
      <c r="L2147" s="27"/>
      <c r="M2147" s="27"/>
      <c r="N2147" s="27"/>
      <c r="O2147" s="27"/>
      <c r="P2147" s="27"/>
      <c r="Q2147" s="27"/>
      <c r="R2147" s="27"/>
      <c r="S2147" s="27"/>
    </row>
    <row r="2148">
      <c r="B2148" s="27"/>
      <c r="C2148" s="27"/>
      <c r="D2148" s="27"/>
      <c r="E2148" s="27"/>
      <c r="F2148" s="27"/>
      <c r="G2148" s="27"/>
      <c r="H2148" s="27"/>
      <c r="I2148" s="27"/>
      <c r="J2148" s="27"/>
      <c r="K2148" s="27"/>
      <c r="L2148" s="27"/>
      <c r="M2148" s="27"/>
      <c r="N2148" s="27"/>
      <c r="O2148" s="27"/>
      <c r="P2148" s="27"/>
      <c r="Q2148" s="27"/>
      <c r="R2148" s="27"/>
      <c r="S2148" s="27"/>
    </row>
    <row r="2149">
      <c r="B2149" s="27"/>
      <c r="C2149" s="27"/>
      <c r="D2149" s="27"/>
      <c r="E2149" s="27"/>
      <c r="F2149" s="27"/>
      <c r="G2149" s="27"/>
      <c r="H2149" s="27"/>
      <c r="I2149" s="27"/>
      <c r="J2149" s="27"/>
      <c r="K2149" s="27"/>
      <c r="L2149" s="27"/>
      <c r="M2149" s="27"/>
      <c r="N2149" s="27"/>
      <c r="O2149" s="27"/>
      <c r="P2149" s="27"/>
      <c r="Q2149" s="27"/>
      <c r="R2149" s="27"/>
      <c r="S2149" s="27"/>
    </row>
    <row r="2150">
      <c r="B2150" s="27"/>
      <c r="C2150" s="27"/>
      <c r="D2150" s="27"/>
      <c r="E2150" s="27"/>
      <c r="F2150" s="27"/>
      <c r="G2150" s="27"/>
      <c r="H2150" s="27"/>
      <c r="I2150" s="27"/>
      <c r="J2150" s="27"/>
      <c r="K2150" s="27"/>
      <c r="L2150" s="27"/>
      <c r="M2150" s="27"/>
      <c r="N2150" s="27"/>
      <c r="O2150" s="27"/>
      <c r="P2150" s="27"/>
      <c r="Q2150" s="27"/>
      <c r="R2150" s="27"/>
      <c r="S2150" s="27"/>
    </row>
    <row r="2151">
      <c r="B2151" s="27"/>
      <c r="C2151" s="27"/>
      <c r="D2151" s="27"/>
      <c r="E2151" s="27"/>
      <c r="F2151" s="27"/>
      <c r="G2151" s="27"/>
      <c r="H2151" s="27"/>
      <c r="I2151" s="27"/>
      <c r="J2151" s="27"/>
      <c r="K2151" s="27"/>
      <c r="L2151" s="27"/>
      <c r="M2151" s="27"/>
      <c r="N2151" s="27"/>
      <c r="O2151" s="27"/>
      <c r="P2151" s="27"/>
      <c r="Q2151" s="27"/>
      <c r="R2151" s="27"/>
      <c r="S2151" s="27"/>
    </row>
    <row r="2152">
      <c r="B2152" s="27"/>
      <c r="C2152" s="27"/>
      <c r="D2152" s="27"/>
      <c r="E2152" s="27"/>
      <c r="F2152" s="27"/>
      <c r="G2152" s="27"/>
      <c r="H2152" s="27"/>
      <c r="I2152" s="27"/>
      <c r="J2152" s="27"/>
      <c r="K2152" s="27"/>
      <c r="L2152" s="27"/>
      <c r="M2152" s="27"/>
      <c r="N2152" s="27"/>
      <c r="O2152" s="27"/>
      <c r="P2152" s="27"/>
      <c r="Q2152" s="27"/>
      <c r="R2152" s="27"/>
      <c r="S2152" s="27"/>
    </row>
    <row r="2153">
      <c r="B2153" s="27"/>
      <c r="C2153" s="27"/>
      <c r="D2153" s="27"/>
      <c r="E2153" s="27"/>
      <c r="F2153" s="27"/>
      <c r="G2153" s="27"/>
      <c r="H2153" s="27"/>
      <c r="I2153" s="27"/>
      <c r="J2153" s="27"/>
      <c r="K2153" s="27"/>
      <c r="L2153" s="27"/>
      <c r="M2153" s="27"/>
      <c r="N2153" s="27"/>
      <c r="O2153" s="27"/>
      <c r="P2153" s="27"/>
      <c r="Q2153" s="27"/>
      <c r="R2153" s="27"/>
      <c r="S2153" s="27"/>
    </row>
    <row r="2154">
      <c r="B2154" s="27"/>
      <c r="C2154" s="27"/>
      <c r="D2154" s="27"/>
      <c r="E2154" s="27"/>
      <c r="F2154" s="27"/>
      <c r="G2154" s="27"/>
      <c r="H2154" s="27"/>
      <c r="I2154" s="27"/>
      <c r="J2154" s="27"/>
      <c r="K2154" s="27"/>
      <c r="L2154" s="27"/>
      <c r="M2154" s="27"/>
      <c r="N2154" s="27"/>
      <c r="O2154" s="27"/>
      <c r="P2154" s="27"/>
      <c r="Q2154" s="27"/>
      <c r="R2154" s="27"/>
      <c r="S2154" s="27"/>
    </row>
    <row r="2155">
      <c r="B2155" s="27"/>
      <c r="C2155" s="27"/>
      <c r="D2155" s="27"/>
      <c r="E2155" s="27"/>
      <c r="F2155" s="27"/>
      <c r="G2155" s="27"/>
      <c r="H2155" s="27"/>
      <c r="I2155" s="27"/>
      <c r="J2155" s="27"/>
      <c r="K2155" s="27"/>
      <c r="L2155" s="27"/>
      <c r="M2155" s="27"/>
      <c r="N2155" s="27"/>
      <c r="O2155" s="27"/>
      <c r="P2155" s="27"/>
      <c r="Q2155" s="27"/>
      <c r="R2155" s="27"/>
      <c r="S2155" s="27"/>
    </row>
    <row r="2156">
      <c r="B2156" s="27"/>
      <c r="C2156" s="27"/>
      <c r="D2156" s="27"/>
      <c r="E2156" s="27"/>
      <c r="F2156" s="27"/>
      <c r="G2156" s="27"/>
      <c r="H2156" s="27"/>
      <c r="I2156" s="27"/>
      <c r="J2156" s="27"/>
      <c r="K2156" s="27"/>
      <c r="L2156" s="27"/>
      <c r="M2156" s="27"/>
      <c r="N2156" s="27"/>
      <c r="O2156" s="27"/>
      <c r="P2156" s="27"/>
      <c r="Q2156" s="27"/>
      <c r="R2156" s="27"/>
      <c r="S2156" s="27"/>
    </row>
    <row r="2157">
      <c r="B2157" s="27"/>
      <c r="C2157" s="27"/>
      <c r="D2157" s="27"/>
      <c r="E2157" s="27"/>
      <c r="F2157" s="27"/>
      <c r="G2157" s="27"/>
      <c r="H2157" s="27"/>
      <c r="I2157" s="27"/>
      <c r="J2157" s="27"/>
      <c r="K2157" s="27"/>
      <c r="L2157" s="27"/>
      <c r="M2157" s="27"/>
      <c r="N2157" s="27"/>
      <c r="O2157" s="27"/>
      <c r="P2157" s="27"/>
      <c r="Q2157" s="27"/>
      <c r="R2157" s="27"/>
      <c r="S2157" s="27"/>
    </row>
    <row r="2158">
      <c r="B2158" s="27"/>
      <c r="C2158" s="27"/>
      <c r="D2158" s="27"/>
      <c r="E2158" s="27"/>
      <c r="F2158" s="27"/>
      <c r="G2158" s="27"/>
      <c r="H2158" s="27"/>
      <c r="I2158" s="27"/>
      <c r="J2158" s="27"/>
      <c r="K2158" s="27"/>
      <c r="L2158" s="27"/>
      <c r="M2158" s="27"/>
      <c r="N2158" s="27"/>
      <c r="O2158" s="27"/>
      <c r="P2158" s="27"/>
      <c r="Q2158" s="27"/>
      <c r="R2158" s="27"/>
      <c r="S2158" s="27"/>
    </row>
    <row r="2159">
      <c r="B2159" s="27"/>
      <c r="C2159" s="27"/>
      <c r="D2159" s="27"/>
      <c r="E2159" s="27"/>
      <c r="F2159" s="27"/>
      <c r="G2159" s="27"/>
      <c r="H2159" s="27"/>
      <c r="I2159" s="27"/>
      <c r="J2159" s="27"/>
      <c r="K2159" s="27"/>
      <c r="L2159" s="27"/>
      <c r="M2159" s="27"/>
      <c r="N2159" s="27"/>
      <c r="O2159" s="27"/>
      <c r="P2159" s="27"/>
      <c r="Q2159" s="27"/>
      <c r="R2159" s="27"/>
      <c r="S2159" s="27"/>
    </row>
    <row r="2160">
      <c r="B2160" s="27"/>
      <c r="C2160" s="27"/>
      <c r="D2160" s="27"/>
      <c r="E2160" s="27"/>
      <c r="F2160" s="27"/>
      <c r="G2160" s="27"/>
      <c r="H2160" s="27"/>
      <c r="I2160" s="27"/>
      <c r="J2160" s="27"/>
      <c r="K2160" s="27"/>
      <c r="L2160" s="27"/>
      <c r="M2160" s="27"/>
      <c r="N2160" s="27"/>
      <c r="O2160" s="27"/>
      <c r="P2160" s="27"/>
      <c r="Q2160" s="27"/>
      <c r="R2160" s="27"/>
      <c r="S2160" s="27"/>
    </row>
    <row r="2161">
      <c r="B2161" s="27"/>
      <c r="C2161" s="27"/>
      <c r="D2161" s="27"/>
      <c r="E2161" s="27"/>
      <c r="F2161" s="27"/>
      <c r="G2161" s="27"/>
      <c r="H2161" s="27"/>
      <c r="I2161" s="27"/>
      <c r="J2161" s="27"/>
      <c r="K2161" s="27"/>
      <c r="L2161" s="27"/>
      <c r="M2161" s="27"/>
      <c r="N2161" s="27"/>
      <c r="O2161" s="27"/>
      <c r="P2161" s="27"/>
      <c r="Q2161" s="27"/>
      <c r="R2161" s="27"/>
      <c r="S2161" s="27"/>
    </row>
    <row r="2162">
      <c r="B2162" s="27"/>
      <c r="C2162" s="27"/>
      <c r="D2162" s="27"/>
      <c r="E2162" s="27"/>
      <c r="F2162" s="27"/>
      <c r="G2162" s="27"/>
      <c r="H2162" s="27"/>
      <c r="I2162" s="27"/>
      <c r="J2162" s="27"/>
      <c r="K2162" s="27"/>
      <c r="L2162" s="27"/>
      <c r="M2162" s="27"/>
      <c r="N2162" s="27"/>
      <c r="O2162" s="27"/>
      <c r="P2162" s="27"/>
      <c r="Q2162" s="27"/>
      <c r="R2162" s="27"/>
      <c r="S2162" s="27"/>
    </row>
    <row r="2163">
      <c r="B2163" s="27"/>
      <c r="C2163" s="27"/>
      <c r="D2163" s="27"/>
      <c r="E2163" s="27"/>
      <c r="F2163" s="27"/>
      <c r="G2163" s="27"/>
      <c r="H2163" s="27"/>
      <c r="I2163" s="27"/>
      <c r="J2163" s="27"/>
      <c r="K2163" s="27"/>
      <c r="L2163" s="27"/>
      <c r="M2163" s="27"/>
      <c r="N2163" s="27"/>
      <c r="O2163" s="27"/>
      <c r="P2163" s="27"/>
      <c r="Q2163" s="27"/>
      <c r="R2163" s="27"/>
      <c r="S2163" s="27"/>
    </row>
    <row r="2164">
      <c r="B2164" s="27"/>
      <c r="C2164" s="27"/>
      <c r="D2164" s="27"/>
      <c r="E2164" s="27"/>
      <c r="F2164" s="27"/>
      <c r="G2164" s="27"/>
      <c r="H2164" s="27"/>
      <c r="I2164" s="27"/>
      <c r="J2164" s="27"/>
      <c r="K2164" s="27"/>
      <c r="L2164" s="27"/>
      <c r="M2164" s="27"/>
      <c r="N2164" s="27"/>
      <c r="O2164" s="27"/>
      <c r="P2164" s="27"/>
      <c r="Q2164" s="27"/>
      <c r="R2164" s="27"/>
      <c r="S2164" s="27"/>
    </row>
    <row r="2165">
      <c r="B2165" s="27"/>
      <c r="C2165" s="27"/>
      <c r="D2165" s="27"/>
      <c r="E2165" s="27"/>
      <c r="F2165" s="27"/>
      <c r="G2165" s="27"/>
      <c r="H2165" s="27"/>
      <c r="I2165" s="27"/>
      <c r="J2165" s="27"/>
      <c r="K2165" s="27"/>
      <c r="L2165" s="27"/>
      <c r="M2165" s="27"/>
      <c r="N2165" s="27"/>
      <c r="O2165" s="27"/>
      <c r="P2165" s="27"/>
      <c r="Q2165" s="27"/>
      <c r="R2165" s="27"/>
      <c r="S2165" s="27"/>
    </row>
    <row r="2166">
      <c r="B2166" s="27"/>
      <c r="C2166" s="27"/>
      <c r="D2166" s="27"/>
      <c r="E2166" s="27"/>
      <c r="F2166" s="27"/>
      <c r="G2166" s="27"/>
      <c r="H2166" s="27"/>
      <c r="I2166" s="27"/>
      <c r="J2166" s="27"/>
      <c r="K2166" s="27"/>
      <c r="L2166" s="27"/>
      <c r="M2166" s="27"/>
      <c r="N2166" s="27"/>
      <c r="O2166" s="27"/>
      <c r="P2166" s="27"/>
      <c r="Q2166" s="27"/>
      <c r="R2166" s="27"/>
      <c r="S2166" s="27"/>
    </row>
    <row r="2167">
      <c r="B2167" s="27"/>
      <c r="C2167" s="27"/>
      <c r="D2167" s="27"/>
      <c r="E2167" s="27"/>
      <c r="F2167" s="27"/>
      <c r="G2167" s="27"/>
      <c r="H2167" s="27"/>
      <c r="I2167" s="27"/>
      <c r="J2167" s="27"/>
      <c r="K2167" s="27"/>
      <c r="L2167" s="27"/>
      <c r="M2167" s="27"/>
      <c r="N2167" s="27"/>
      <c r="O2167" s="27"/>
      <c r="P2167" s="27"/>
      <c r="Q2167" s="27"/>
      <c r="R2167" s="27"/>
      <c r="S2167" s="27"/>
    </row>
    <row r="2168">
      <c r="B2168" s="27"/>
      <c r="C2168" s="27"/>
      <c r="D2168" s="27"/>
      <c r="E2168" s="27"/>
      <c r="F2168" s="27"/>
      <c r="G2168" s="27"/>
      <c r="H2168" s="27"/>
      <c r="I2168" s="27"/>
      <c r="J2168" s="27"/>
      <c r="K2168" s="27"/>
      <c r="L2168" s="27"/>
      <c r="M2168" s="27"/>
      <c r="N2168" s="27"/>
      <c r="O2168" s="27"/>
      <c r="P2168" s="27"/>
      <c r="Q2168" s="27"/>
      <c r="R2168" s="27"/>
      <c r="S2168" s="27"/>
    </row>
    <row r="2169">
      <c r="B2169" s="27"/>
      <c r="C2169" s="27"/>
      <c r="D2169" s="27"/>
      <c r="E2169" s="27"/>
      <c r="F2169" s="27"/>
      <c r="G2169" s="27"/>
      <c r="H2169" s="27"/>
      <c r="I2169" s="27"/>
      <c r="J2169" s="27"/>
      <c r="K2169" s="27"/>
      <c r="L2169" s="27"/>
      <c r="M2169" s="27"/>
      <c r="N2169" s="27"/>
      <c r="O2169" s="27"/>
      <c r="P2169" s="27"/>
      <c r="Q2169" s="27"/>
      <c r="R2169" s="27"/>
      <c r="S2169" s="27"/>
    </row>
    <row r="2170">
      <c r="B2170" s="27"/>
      <c r="C2170" s="27"/>
      <c r="D2170" s="27"/>
      <c r="E2170" s="27"/>
      <c r="F2170" s="27"/>
      <c r="G2170" s="27"/>
      <c r="H2170" s="27"/>
      <c r="I2170" s="27"/>
      <c r="J2170" s="27"/>
      <c r="K2170" s="27"/>
      <c r="L2170" s="27"/>
      <c r="M2170" s="27"/>
      <c r="N2170" s="27"/>
      <c r="O2170" s="27"/>
      <c r="P2170" s="27"/>
      <c r="Q2170" s="27"/>
      <c r="R2170" s="27"/>
      <c r="S2170" s="27"/>
    </row>
    <row r="2171">
      <c r="B2171" s="27"/>
      <c r="C2171" s="27"/>
      <c r="D2171" s="27"/>
      <c r="E2171" s="27"/>
      <c r="F2171" s="27"/>
      <c r="G2171" s="27"/>
      <c r="H2171" s="27"/>
      <c r="I2171" s="27"/>
      <c r="J2171" s="27"/>
      <c r="K2171" s="27"/>
      <c r="L2171" s="27"/>
      <c r="M2171" s="27"/>
      <c r="N2171" s="27"/>
      <c r="O2171" s="27"/>
      <c r="P2171" s="27"/>
      <c r="Q2171" s="27"/>
      <c r="R2171" s="27"/>
      <c r="S2171" s="27"/>
    </row>
    <row r="2172">
      <c r="B2172" s="27"/>
      <c r="C2172" s="27"/>
      <c r="D2172" s="27"/>
      <c r="E2172" s="27"/>
      <c r="F2172" s="27"/>
      <c r="G2172" s="27"/>
      <c r="H2172" s="27"/>
      <c r="I2172" s="27"/>
      <c r="J2172" s="27"/>
      <c r="K2172" s="27"/>
      <c r="L2172" s="27"/>
      <c r="M2172" s="27"/>
      <c r="N2172" s="27"/>
      <c r="O2172" s="27"/>
      <c r="P2172" s="27"/>
      <c r="Q2172" s="27"/>
      <c r="R2172" s="27"/>
      <c r="S2172" s="27"/>
    </row>
    <row r="2173">
      <c r="B2173" s="27"/>
      <c r="C2173" s="27"/>
      <c r="D2173" s="27"/>
      <c r="E2173" s="27"/>
      <c r="F2173" s="27"/>
      <c r="G2173" s="27"/>
      <c r="H2173" s="27"/>
      <c r="I2173" s="27"/>
      <c r="J2173" s="27"/>
      <c r="K2173" s="27"/>
      <c r="L2173" s="27"/>
      <c r="M2173" s="27"/>
      <c r="N2173" s="27"/>
      <c r="O2173" s="27"/>
      <c r="P2173" s="27"/>
      <c r="Q2173" s="27"/>
      <c r="R2173" s="27"/>
      <c r="S2173" s="27"/>
    </row>
    <row r="2174">
      <c r="B2174" s="27"/>
      <c r="C2174" s="27"/>
      <c r="D2174" s="27"/>
      <c r="E2174" s="27"/>
      <c r="F2174" s="27"/>
      <c r="G2174" s="27"/>
      <c r="H2174" s="27"/>
      <c r="I2174" s="27"/>
      <c r="J2174" s="27"/>
      <c r="K2174" s="27"/>
      <c r="L2174" s="27"/>
      <c r="M2174" s="27"/>
      <c r="N2174" s="27"/>
      <c r="O2174" s="27"/>
      <c r="P2174" s="27"/>
      <c r="Q2174" s="27"/>
      <c r="R2174" s="27"/>
      <c r="S2174" s="27"/>
    </row>
    <row r="2175">
      <c r="B2175" s="27"/>
      <c r="C2175" s="27"/>
      <c r="D2175" s="27"/>
      <c r="E2175" s="27"/>
      <c r="F2175" s="27"/>
      <c r="G2175" s="27"/>
      <c r="H2175" s="27"/>
      <c r="I2175" s="27"/>
      <c r="J2175" s="27"/>
      <c r="K2175" s="27"/>
      <c r="L2175" s="27"/>
      <c r="M2175" s="27"/>
      <c r="N2175" s="27"/>
      <c r="O2175" s="27"/>
      <c r="P2175" s="27"/>
      <c r="Q2175" s="27"/>
      <c r="R2175" s="27"/>
      <c r="S2175" s="27"/>
    </row>
    <row r="2176">
      <c r="B2176" s="27"/>
      <c r="C2176" s="27"/>
      <c r="D2176" s="27"/>
      <c r="E2176" s="27"/>
      <c r="F2176" s="27"/>
      <c r="G2176" s="27"/>
      <c r="H2176" s="27"/>
      <c r="I2176" s="27"/>
      <c r="J2176" s="27"/>
      <c r="K2176" s="27"/>
      <c r="L2176" s="27"/>
      <c r="M2176" s="27"/>
      <c r="N2176" s="27"/>
      <c r="O2176" s="27"/>
      <c r="P2176" s="27"/>
      <c r="Q2176" s="27"/>
      <c r="R2176" s="27"/>
      <c r="S2176" s="27"/>
    </row>
    <row r="2177">
      <c r="B2177" s="27"/>
      <c r="C2177" s="27"/>
      <c r="D2177" s="27"/>
      <c r="E2177" s="27"/>
      <c r="F2177" s="27"/>
      <c r="G2177" s="27"/>
      <c r="H2177" s="27"/>
      <c r="I2177" s="27"/>
      <c r="J2177" s="27"/>
      <c r="K2177" s="27"/>
      <c r="L2177" s="27"/>
      <c r="M2177" s="27"/>
      <c r="N2177" s="27"/>
      <c r="O2177" s="27"/>
      <c r="P2177" s="27"/>
      <c r="Q2177" s="27"/>
      <c r="R2177" s="27"/>
      <c r="S2177" s="27"/>
    </row>
    <row r="2178">
      <c r="B2178" s="27"/>
      <c r="C2178" s="27"/>
      <c r="D2178" s="27"/>
      <c r="E2178" s="27"/>
      <c r="F2178" s="27"/>
      <c r="G2178" s="27"/>
      <c r="H2178" s="27"/>
      <c r="I2178" s="27"/>
      <c r="J2178" s="27"/>
      <c r="K2178" s="27"/>
      <c r="L2178" s="27"/>
      <c r="M2178" s="27"/>
      <c r="N2178" s="27"/>
      <c r="O2178" s="27"/>
      <c r="P2178" s="27"/>
      <c r="Q2178" s="27"/>
      <c r="R2178" s="27"/>
      <c r="S2178" s="27"/>
    </row>
    <row r="2179">
      <c r="B2179" s="27"/>
      <c r="C2179" s="27"/>
      <c r="D2179" s="27"/>
      <c r="E2179" s="27"/>
      <c r="F2179" s="27"/>
      <c r="G2179" s="27"/>
      <c r="H2179" s="27"/>
      <c r="I2179" s="27"/>
      <c r="J2179" s="27"/>
      <c r="K2179" s="27"/>
      <c r="L2179" s="27"/>
      <c r="M2179" s="27"/>
      <c r="N2179" s="27"/>
      <c r="O2179" s="27"/>
      <c r="P2179" s="27"/>
      <c r="Q2179" s="27"/>
      <c r="R2179" s="27"/>
      <c r="S2179" s="27"/>
    </row>
    <row r="2180">
      <c r="B2180" s="27"/>
      <c r="C2180" s="27"/>
      <c r="D2180" s="27"/>
      <c r="E2180" s="27"/>
      <c r="F2180" s="27"/>
      <c r="G2180" s="27"/>
      <c r="H2180" s="27"/>
      <c r="I2180" s="27"/>
      <c r="J2180" s="27"/>
      <c r="K2180" s="27"/>
      <c r="L2180" s="27"/>
      <c r="M2180" s="27"/>
      <c r="N2180" s="27"/>
      <c r="O2180" s="27"/>
      <c r="P2180" s="27"/>
      <c r="Q2180" s="27"/>
      <c r="R2180" s="27"/>
      <c r="S2180" s="27"/>
    </row>
    <row r="2181">
      <c r="B2181" s="27"/>
      <c r="C2181" s="27"/>
      <c r="D2181" s="27"/>
      <c r="E2181" s="27"/>
      <c r="F2181" s="27"/>
      <c r="G2181" s="27"/>
      <c r="H2181" s="27"/>
      <c r="I2181" s="27"/>
      <c r="J2181" s="27"/>
      <c r="K2181" s="27"/>
      <c r="L2181" s="27"/>
      <c r="M2181" s="27"/>
      <c r="N2181" s="27"/>
      <c r="O2181" s="27"/>
      <c r="P2181" s="27"/>
      <c r="Q2181" s="27"/>
      <c r="R2181" s="27"/>
      <c r="S2181" s="27"/>
    </row>
    <row r="2182">
      <c r="B2182" s="27"/>
      <c r="C2182" s="27"/>
      <c r="D2182" s="27"/>
      <c r="E2182" s="27"/>
      <c r="F2182" s="27"/>
      <c r="G2182" s="27"/>
      <c r="H2182" s="27"/>
      <c r="I2182" s="27"/>
      <c r="J2182" s="27"/>
      <c r="K2182" s="27"/>
      <c r="L2182" s="27"/>
      <c r="M2182" s="27"/>
      <c r="N2182" s="27"/>
      <c r="O2182" s="27"/>
      <c r="P2182" s="27"/>
      <c r="Q2182" s="27"/>
      <c r="R2182" s="27"/>
      <c r="S2182" s="27"/>
    </row>
    <row r="2183">
      <c r="B2183" s="27"/>
      <c r="C2183" s="27"/>
      <c r="D2183" s="27"/>
      <c r="E2183" s="27"/>
      <c r="F2183" s="27"/>
      <c r="G2183" s="27"/>
      <c r="H2183" s="27"/>
      <c r="I2183" s="27"/>
      <c r="J2183" s="27"/>
      <c r="K2183" s="27"/>
      <c r="L2183" s="27"/>
      <c r="M2183" s="27"/>
      <c r="N2183" s="27"/>
      <c r="O2183" s="27"/>
      <c r="P2183" s="27"/>
      <c r="Q2183" s="27"/>
      <c r="R2183" s="27"/>
      <c r="S2183" s="27"/>
    </row>
    <row r="2184">
      <c r="B2184" s="27"/>
      <c r="C2184" s="27"/>
      <c r="D2184" s="27"/>
      <c r="E2184" s="27"/>
      <c r="F2184" s="27"/>
      <c r="G2184" s="27"/>
      <c r="H2184" s="27"/>
      <c r="I2184" s="27"/>
      <c r="J2184" s="27"/>
      <c r="K2184" s="27"/>
      <c r="L2184" s="27"/>
      <c r="M2184" s="27"/>
      <c r="N2184" s="27"/>
      <c r="O2184" s="27"/>
      <c r="P2184" s="27"/>
      <c r="Q2184" s="27"/>
      <c r="R2184" s="27"/>
      <c r="S2184" s="27"/>
    </row>
    <row r="2185">
      <c r="B2185" s="27"/>
      <c r="C2185" s="27"/>
      <c r="D2185" s="27"/>
      <c r="E2185" s="27"/>
      <c r="F2185" s="27"/>
      <c r="G2185" s="27"/>
      <c r="H2185" s="27"/>
      <c r="I2185" s="27"/>
      <c r="J2185" s="27"/>
      <c r="K2185" s="27"/>
      <c r="L2185" s="27"/>
      <c r="M2185" s="27"/>
      <c r="N2185" s="27"/>
      <c r="O2185" s="27"/>
      <c r="P2185" s="27"/>
      <c r="Q2185" s="27"/>
      <c r="R2185" s="27"/>
      <c r="S2185" s="27"/>
    </row>
    <row r="2186">
      <c r="B2186" s="27"/>
      <c r="C2186" s="27"/>
      <c r="D2186" s="27"/>
      <c r="E2186" s="27"/>
      <c r="F2186" s="27"/>
      <c r="G2186" s="27"/>
      <c r="H2186" s="27"/>
      <c r="I2186" s="27"/>
      <c r="J2186" s="27"/>
      <c r="K2186" s="27"/>
      <c r="L2186" s="27"/>
      <c r="M2186" s="27"/>
      <c r="N2186" s="27"/>
      <c r="O2186" s="27"/>
      <c r="P2186" s="27"/>
      <c r="Q2186" s="27"/>
      <c r="R2186" s="27"/>
      <c r="S2186" s="27"/>
    </row>
    <row r="2187">
      <c r="B2187" s="27"/>
      <c r="C2187" s="27"/>
      <c r="D2187" s="27"/>
      <c r="E2187" s="27"/>
      <c r="F2187" s="27"/>
      <c r="G2187" s="27"/>
      <c r="H2187" s="27"/>
      <c r="I2187" s="27"/>
      <c r="J2187" s="27"/>
      <c r="K2187" s="27"/>
      <c r="L2187" s="27"/>
      <c r="M2187" s="27"/>
      <c r="N2187" s="27"/>
      <c r="O2187" s="27"/>
      <c r="P2187" s="27"/>
      <c r="Q2187" s="27"/>
      <c r="R2187" s="27"/>
      <c r="S2187" s="27"/>
    </row>
    <row r="2188">
      <c r="B2188" s="27"/>
      <c r="C2188" s="27"/>
      <c r="D2188" s="27"/>
      <c r="E2188" s="27"/>
      <c r="F2188" s="27"/>
      <c r="G2188" s="27"/>
      <c r="H2188" s="27"/>
      <c r="I2188" s="27"/>
      <c r="J2188" s="27"/>
      <c r="K2188" s="27"/>
      <c r="L2188" s="27"/>
      <c r="M2188" s="27"/>
      <c r="N2188" s="27"/>
      <c r="O2188" s="27"/>
      <c r="P2188" s="27"/>
      <c r="Q2188" s="27"/>
      <c r="R2188" s="27"/>
      <c r="S2188" s="27"/>
    </row>
    <row r="2189">
      <c r="B2189" s="27"/>
      <c r="C2189" s="27"/>
      <c r="D2189" s="27"/>
      <c r="E2189" s="27"/>
      <c r="F2189" s="27"/>
      <c r="G2189" s="27"/>
      <c r="H2189" s="27"/>
      <c r="I2189" s="27"/>
      <c r="J2189" s="27"/>
      <c r="K2189" s="27"/>
      <c r="L2189" s="27"/>
      <c r="M2189" s="27"/>
      <c r="N2189" s="27"/>
      <c r="O2189" s="27"/>
      <c r="P2189" s="27"/>
      <c r="Q2189" s="27"/>
      <c r="R2189" s="27"/>
      <c r="S2189" s="27"/>
    </row>
    <row r="2190">
      <c r="B2190" s="27"/>
      <c r="C2190" s="27"/>
      <c r="D2190" s="27"/>
      <c r="E2190" s="27"/>
      <c r="F2190" s="27"/>
      <c r="G2190" s="27"/>
      <c r="H2190" s="27"/>
      <c r="I2190" s="27"/>
      <c r="J2190" s="27"/>
      <c r="K2190" s="27"/>
      <c r="L2190" s="27"/>
      <c r="M2190" s="27"/>
      <c r="N2190" s="27"/>
      <c r="O2190" s="27"/>
      <c r="P2190" s="27"/>
      <c r="Q2190" s="27"/>
      <c r="R2190" s="27"/>
      <c r="S2190" s="27"/>
    </row>
    <row r="2191">
      <c r="B2191" s="27"/>
      <c r="C2191" s="27"/>
      <c r="D2191" s="27"/>
      <c r="E2191" s="27"/>
      <c r="F2191" s="27"/>
      <c r="G2191" s="27"/>
      <c r="H2191" s="27"/>
      <c r="I2191" s="27"/>
      <c r="J2191" s="27"/>
      <c r="K2191" s="27"/>
      <c r="L2191" s="27"/>
      <c r="M2191" s="27"/>
      <c r="N2191" s="27"/>
      <c r="O2191" s="27"/>
      <c r="P2191" s="27"/>
      <c r="Q2191" s="27"/>
      <c r="R2191" s="27"/>
      <c r="S2191" s="27"/>
    </row>
    <row r="2192">
      <c r="B2192" s="27"/>
      <c r="C2192" s="27"/>
      <c r="D2192" s="27"/>
      <c r="E2192" s="27"/>
      <c r="F2192" s="27"/>
      <c r="G2192" s="27"/>
      <c r="H2192" s="27"/>
      <c r="I2192" s="27"/>
      <c r="J2192" s="27"/>
      <c r="K2192" s="27"/>
      <c r="L2192" s="27"/>
      <c r="M2192" s="27"/>
      <c r="N2192" s="27"/>
      <c r="O2192" s="27"/>
      <c r="P2192" s="27"/>
      <c r="Q2192" s="27"/>
      <c r="R2192" s="27"/>
      <c r="S2192" s="27"/>
    </row>
    <row r="2193">
      <c r="B2193" s="27"/>
      <c r="C2193" s="27"/>
      <c r="D2193" s="27"/>
      <c r="E2193" s="27"/>
      <c r="F2193" s="27"/>
      <c r="G2193" s="27"/>
      <c r="H2193" s="27"/>
      <c r="I2193" s="27"/>
      <c r="J2193" s="27"/>
      <c r="K2193" s="27"/>
      <c r="L2193" s="27"/>
      <c r="M2193" s="27"/>
      <c r="N2193" s="27"/>
      <c r="O2193" s="27"/>
      <c r="P2193" s="27"/>
      <c r="Q2193" s="27"/>
      <c r="R2193" s="27"/>
      <c r="S2193" s="27"/>
    </row>
    <row r="2194">
      <c r="B2194" s="27"/>
      <c r="C2194" s="27"/>
      <c r="D2194" s="27"/>
      <c r="E2194" s="27"/>
      <c r="F2194" s="27"/>
      <c r="G2194" s="27"/>
      <c r="H2194" s="27"/>
      <c r="I2194" s="27"/>
      <c r="J2194" s="27"/>
      <c r="K2194" s="27"/>
      <c r="L2194" s="27"/>
      <c r="M2194" s="27"/>
      <c r="N2194" s="27"/>
      <c r="O2194" s="27"/>
      <c r="P2194" s="27"/>
      <c r="Q2194" s="27"/>
      <c r="R2194" s="27"/>
      <c r="S2194" s="27"/>
    </row>
    <row r="2195">
      <c r="B2195" s="27"/>
      <c r="C2195" s="27"/>
      <c r="D2195" s="27"/>
      <c r="E2195" s="27"/>
      <c r="F2195" s="27"/>
      <c r="G2195" s="27"/>
      <c r="H2195" s="27"/>
      <c r="I2195" s="27"/>
      <c r="J2195" s="27"/>
      <c r="K2195" s="27"/>
      <c r="L2195" s="27"/>
      <c r="M2195" s="27"/>
      <c r="N2195" s="27"/>
      <c r="O2195" s="27"/>
      <c r="P2195" s="27"/>
      <c r="Q2195" s="27"/>
      <c r="R2195" s="27"/>
      <c r="S2195" s="27"/>
    </row>
    <row r="2196">
      <c r="B2196" s="27"/>
      <c r="C2196" s="27"/>
      <c r="D2196" s="27"/>
      <c r="E2196" s="27"/>
      <c r="F2196" s="27"/>
      <c r="G2196" s="27"/>
      <c r="H2196" s="27"/>
      <c r="I2196" s="27"/>
      <c r="J2196" s="27"/>
      <c r="K2196" s="27"/>
      <c r="L2196" s="27"/>
      <c r="M2196" s="27"/>
      <c r="N2196" s="27"/>
      <c r="O2196" s="27"/>
      <c r="P2196" s="27"/>
      <c r="Q2196" s="27"/>
      <c r="R2196" s="27"/>
      <c r="S2196" s="27"/>
    </row>
    <row r="2197">
      <c r="B2197" s="27"/>
      <c r="C2197" s="27"/>
      <c r="D2197" s="27"/>
      <c r="E2197" s="27"/>
      <c r="F2197" s="27"/>
      <c r="G2197" s="27"/>
      <c r="H2197" s="27"/>
      <c r="I2197" s="27"/>
      <c r="J2197" s="27"/>
      <c r="K2197" s="27"/>
      <c r="L2197" s="27"/>
      <c r="M2197" s="27"/>
      <c r="N2197" s="27"/>
      <c r="O2197" s="27"/>
      <c r="P2197" s="27"/>
      <c r="Q2197" s="27"/>
      <c r="R2197" s="27"/>
      <c r="S2197" s="27"/>
    </row>
    <row r="2198">
      <c r="B2198" s="27"/>
      <c r="C2198" s="27"/>
      <c r="D2198" s="27"/>
      <c r="E2198" s="27"/>
      <c r="F2198" s="27"/>
      <c r="G2198" s="27"/>
      <c r="H2198" s="27"/>
      <c r="I2198" s="27"/>
      <c r="J2198" s="27"/>
      <c r="K2198" s="27"/>
      <c r="L2198" s="27"/>
      <c r="M2198" s="27"/>
      <c r="N2198" s="27"/>
      <c r="O2198" s="27"/>
      <c r="P2198" s="27"/>
      <c r="Q2198" s="27"/>
      <c r="R2198" s="27"/>
      <c r="S2198" s="27"/>
    </row>
    <row r="2199">
      <c r="B2199" s="27"/>
      <c r="C2199" s="27"/>
      <c r="D2199" s="27"/>
      <c r="E2199" s="27"/>
      <c r="F2199" s="27"/>
      <c r="G2199" s="27"/>
      <c r="H2199" s="27"/>
      <c r="I2199" s="27"/>
      <c r="J2199" s="27"/>
      <c r="K2199" s="27"/>
      <c r="L2199" s="27"/>
      <c r="M2199" s="27"/>
      <c r="N2199" s="27"/>
      <c r="O2199" s="27"/>
      <c r="P2199" s="27"/>
      <c r="Q2199" s="27"/>
      <c r="R2199" s="27"/>
      <c r="S2199" s="27"/>
    </row>
    <row r="2200">
      <c r="B2200" s="27"/>
      <c r="C2200" s="27"/>
      <c r="D2200" s="27"/>
      <c r="E2200" s="27"/>
      <c r="F2200" s="27"/>
      <c r="G2200" s="27"/>
      <c r="H2200" s="27"/>
      <c r="I2200" s="27"/>
      <c r="J2200" s="27"/>
      <c r="K2200" s="27"/>
      <c r="L2200" s="27"/>
      <c r="M2200" s="27"/>
      <c r="N2200" s="27"/>
      <c r="O2200" s="27"/>
      <c r="P2200" s="27"/>
      <c r="Q2200" s="27"/>
      <c r="R2200" s="27"/>
      <c r="S2200" s="27"/>
    </row>
    <row r="2201">
      <c r="B2201" s="27"/>
      <c r="C2201" s="27"/>
      <c r="D2201" s="27"/>
      <c r="E2201" s="27"/>
      <c r="F2201" s="27"/>
      <c r="G2201" s="27"/>
      <c r="H2201" s="27"/>
      <c r="I2201" s="27"/>
      <c r="J2201" s="27"/>
      <c r="K2201" s="27"/>
      <c r="L2201" s="27"/>
      <c r="M2201" s="27"/>
      <c r="N2201" s="27"/>
      <c r="O2201" s="27"/>
      <c r="P2201" s="27"/>
      <c r="Q2201" s="27"/>
      <c r="R2201" s="27"/>
      <c r="S2201" s="27"/>
    </row>
    <row r="2202">
      <c r="B2202" s="27"/>
      <c r="C2202" s="27"/>
      <c r="D2202" s="27"/>
      <c r="E2202" s="27"/>
      <c r="F2202" s="27"/>
      <c r="G2202" s="27"/>
      <c r="H2202" s="27"/>
      <c r="I2202" s="27"/>
      <c r="J2202" s="27"/>
      <c r="K2202" s="27"/>
      <c r="L2202" s="27"/>
      <c r="M2202" s="27"/>
      <c r="N2202" s="27"/>
      <c r="O2202" s="27"/>
      <c r="P2202" s="27"/>
      <c r="Q2202" s="27"/>
      <c r="R2202" s="27"/>
      <c r="S2202" s="27"/>
    </row>
    <row r="2203">
      <c r="B2203" s="27"/>
      <c r="C2203" s="27"/>
      <c r="D2203" s="27"/>
      <c r="E2203" s="27"/>
      <c r="F2203" s="27"/>
      <c r="G2203" s="27"/>
      <c r="H2203" s="27"/>
      <c r="I2203" s="27"/>
      <c r="J2203" s="27"/>
      <c r="K2203" s="27"/>
      <c r="L2203" s="27"/>
      <c r="M2203" s="27"/>
      <c r="N2203" s="27"/>
      <c r="O2203" s="27"/>
      <c r="P2203" s="27"/>
      <c r="Q2203" s="27"/>
      <c r="R2203" s="27"/>
      <c r="S2203" s="27"/>
    </row>
    <row r="2204">
      <c r="B2204" s="27"/>
      <c r="C2204" s="27"/>
      <c r="D2204" s="27"/>
      <c r="E2204" s="27"/>
      <c r="F2204" s="27"/>
      <c r="G2204" s="27"/>
      <c r="H2204" s="27"/>
      <c r="I2204" s="27"/>
      <c r="J2204" s="27"/>
      <c r="K2204" s="27"/>
      <c r="L2204" s="27"/>
      <c r="M2204" s="27"/>
      <c r="N2204" s="27"/>
      <c r="O2204" s="27"/>
      <c r="P2204" s="27"/>
      <c r="Q2204" s="27"/>
      <c r="R2204" s="27"/>
      <c r="S2204" s="27"/>
    </row>
    <row r="2205">
      <c r="B2205" s="27"/>
      <c r="C2205" s="27"/>
      <c r="D2205" s="27"/>
      <c r="E2205" s="27"/>
      <c r="F2205" s="27"/>
      <c r="G2205" s="27"/>
      <c r="H2205" s="27"/>
      <c r="I2205" s="27"/>
      <c r="J2205" s="27"/>
      <c r="K2205" s="27"/>
      <c r="L2205" s="27"/>
      <c r="M2205" s="27"/>
      <c r="N2205" s="27"/>
      <c r="O2205" s="27"/>
      <c r="P2205" s="27"/>
      <c r="Q2205" s="27"/>
      <c r="R2205" s="27"/>
      <c r="S2205" s="27"/>
    </row>
    <row r="2206">
      <c r="B2206" s="27"/>
      <c r="C2206" s="27"/>
      <c r="D2206" s="27"/>
      <c r="E2206" s="27"/>
      <c r="F2206" s="27"/>
      <c r="G2206" s="27"/>
      <c r="H2206" s="27"/>
      <c r="I2206" s="27"/>
      <c r="J2206" s="27"/>
      <c r="K2206" s="27"/>
      <c r="L2206" s="27"/>
      <c r="M2206" s="27"/>
      <c r="N2206" s="27"/>
      <c r="O2206" s="27"/>
      <c r="P2206" s="27"/>
      <c r="Q2206" s="27"/>
      <c r="R2206" s="27"/>
      <c r="S2206" s="27"/>
    </row>
    <row r="2207">
      <c r="B2207" s="27"/>
      <c r="C2207" s="27"/>
      <c r="D2207" s="27"/>
      <c r="E2207" s="27"/>
      <c r="F2207" s="27"/>
      <c r="G2207" s="27"/>
      <c r="H2207" s="27"/>
      <c r="I2207" s="27"/>
      <c r="J2207" s="27"/>
      <c r="K2207" s="27"/>
      <c r="L2207" s="27"/>
      <c r="M2207" s="27"/>
      <c r="N2207" s="27"/>
      <c r="O2207" s="27"/>
      <c r="P2207" s="27"/>
      <c r="Q2207" s="27"/>
      <c r="R2207" s="27"/>
      <c r="S2207" s="27"/>
    </row>
    <row r="2208">
      <c r="B2208" s="27"/>
      <c r="C2208" s="27"/>
      <c r="D2208" s="27"/>
      <c r="E2208" s="27"/>
      <c r="F2208" s="27"/>
      <c r="G2208" s="27"/>
      <c r="H2208" s="27"/>
      <c r="I2208" s="27"/>
      <c r="J2208" s="27"/>
      <c r="K2208" s="27"/>
      <c r="L2208" s="27"/>
      <c r="M2208" s="27"/>
      <c r="N2208" s="27"/>
      <c r="O2208" s="27"/>
      <c r="P2208" s="27"/>
      <c r="Q2208" s="27"/>
      <c r="R2208" s="27"/>
      <c r="S2208" s="27"/>
    </row>
    <row r="2209">
      <c r="B2209" s="27"/>
      <c r="C2209" s="27"/>
      <c r="D2209" s="27"/>
      <c r="E2209" s="27"/>
      <c r="F2209" s="27"/>
      <c r="G2209" s="27"/>
      <c r="H2209" s="27"/>
      <c r="I2209" s="27"/>
      <c r="J2209" s="27"/>
      <c r="K2209" s="27"/>
      <c r="L2209" s="27"/>
      <c r="M2209" s="27"/>
      <c r="N2209" s="27"/>
      <c r="O2209" s="27"/>
      <c r="P2209" s="27"/>
      <c r="Q2209" s="27"/>
      <c r="R2209" s="27"/>
      <c r="S2209" s="27"/>
    </row>
    <row r="2210">
      <c r="B2210" s="27"/>
      <c r="C2210" s="27"/>
      <c r="D2210" s="27"/>
      <c r="E2210" s="27"/>
      <c r="F2210" s="27"/>
      <c r="G2210" s="27"/>
      <c r="H2210" s="27"/>
      <c r="I2210" s="27"/>
      <c r="J2210" s="27"/>
      <c r="K2210" s="27"/>
      <c r="L2210" s="27"/>
      <c r="M2210" s="27"/>
      <c r="N2210" s="27"/>
      <c r="O2210" s="27"/>
      <c r="P2210" s="27"/>
      <c r="Q2210" s="27"/>
      <c r="R2210" s="27"/>
      <c r="S2210" s="27"/>
    </row>
    <row r="2211">
      <c r="B2211" s="27"/>
      <c r="C2211" s="27"/>
      <c r="D2211" s="27"/>
      <c r="E2211" s="27"/>
      <c r="F2211" s="27"/>
      <c r="G2211" s="27"/>
      <c r="H2211" s="27"/>
      <c r="I2211" s="27"/>
      <c r="J2211" s="27"/>
      <c r="K2211" s="27"/>
      <c r="L2211" s="27"/>
      <c r="M2211" s="27"/>
      <c r="N2211" s="27"/>
      <c r="O2211" s="27"/>
      <c r="P2211" s="27"/>
      <c r="Q2211" s="27"/>
      <c r="R2211" s="27"/>
      <c r="S2211" s="27"/>
    </row>
    <row r="2212">
      <c r="B2212" s="27"/>
      <c r="C2212" s="27"/>
      <c r="D2212" s="27"/>
      <c r="E2212" s="27"/>
      <c r="F2212" s="27"/>
      <c r="G2212" s="27"/>
      <c r="H2212" s="27"/>
      <c r="I2212" s="27"/>
      <c r="J2212" s="27"/>
      <c r="K2212" s="27"/>
      <c r="L2212" s="27"/>
      <c r="M2212" s="27"/>
      <c r="N2212" s="27"/>
      <c r="O2212" s="27"/>
      <c r="P2212" s="27"/>
      <c r="Q2212" s="27"/>
      <c r="R2212" s="27"/>
      <c r="S2212" s="27"/>
    </row>
    <row r="2213">
      <c r="B2213" s="27"/>
      <c r="C2213" s="27"/>
      <c r="D2213" s="27"/>
      <c r="E2213" s="27"/>
      <c r="F2213" s="27"/>
      <c r="G2213" s="27"/>
      <c r="H2213" s="27"/>
      <c r="I2213" s="27"/>
      <c r="J2213" s="27"/>
      <c r="K2213" s="27"/>
      <c r="L2213" s="27"/>
      <c r="M2213" s="27"/>
      <c r="N2213" s="27"/>
      <c r="O2213" s="27"/>
      <c r="P2213" s="27"/>
      <c r="Q2213" s="27"/>
      <c r="R2213" s="27"/>
      <c r="S2213" s="27"/>
    </row>
    <row r="2214">
      <c r="B2214" s="27"/>
      <c r="C2214" s="27"/>
      <c r="D2214" s="27"/>
      <c r="E2214" s="27"/>
      <c r="F2214" s="27"/>
      <c r="G2214" s="27"/>
      <c r="H2214" s="27"/>
      <c r="I2214" s="27"/>
      <c r="J2214" s="27"/>
      <c r="K2214" s="27"/>
      <c r="L2214" s="27"/>
      <c r="M2214" s="27"/>
      <c r="N2214" s="27"/>
      <c r="O2214" s="27"/>
      <c r="P2214" s="27"/>
      <c r="Q2214" s="27"/>
      <c r="R2214" s="27"/>
      <c r="S2214" s="27"/>
    </row>
    <row r="2215">
      <c r="B2215" s="27"/>
      <c r="C2215" s="27"/>
      <c r="D2215" s="27"/>
      <c r="E2215" s="27"/>
      <c r="F2215" s="27"/>
      <c r="G2215" s="27"/>
      <c r="H2215" s="27"/>
      <c r="I2215" s="27"/>
      <c r="J2215" s="27"/>
      <c r="K2215" s="27"/>
      <c r="L2215" s="27"/>
      <c r="M2215" s="27"/>
      <c r="N2215" s="27"/>
      <c r="O2215" s="27"/>
      <c r="P2215" s="27"/>
      <c r="Q2215" s="27"/>
      <c r="R2215" s="27"/>
      <c r="S2215" s="27"/>
    </row>
    <row r="2216">
      <c r="B2216" s="27"/>
      <c r="C2216" s="27"/>
      <c r="D2216" s="27"/>
      <c r="E2216" s="27"/>
      <c r="F2216" s="27"/>
      <c r="G2216" s="27"/>
      <c r="H2216" s="27"/>
      <c r="I2216" s="27"/>
      <c r="J2216" s="27"/>
      <c r="K2216" s="27"/>
      <c r="L2216" s="27"/>
      <c r="M2216" s="27"/>
      <c r="N2216" s="27"/>
      <c r="O2216" s="27"/>
      <c r="P2216" s="27"/>
      <c r="Q2216" s="27"/>
      <c r="R2216" s="27"/>
      <c r="S2216" s="27"/>
    </row>
    <row r="2217">
      <c r="B2217" s="27"/>
      <c r="C2217" s="27"/>
      <c r="D2217" s="27"/>
      <c r="E2217" s="27"/>
      <c r="F2217" s="27"/>
      <c r="G2217" s="27"/>
      <c r="H2217" s="27"/>
      <c r="I2217" s="27"/>
      <c r="J2217" s="27"/>
      <c r="K2217" s="27"/>
      <c r="L2217" s="27"/>
      <c r="M2217" s="27"/>
      <c r="N2217" s="27"/>
      <c r="O2217" s="27"/>
      <c r="P2217" s="27"/>
      <c r="Q2217" s="27"/>
      <c r="R2217" s="27"/>
      <c r="S2217" s="27"/>
    </row>
    <row r="2218">
      <c r="B2218" s="27"/>
      <c r="C2218" s="27"/>
      <c r="D2218" s="27"/>
      <c r="E2218" s="27"/>
      <c r="F2218" s="27"/>
      <c r="G2218" s="27"/>
      <c r="H2218" s="27"/>
      <c r="I2218" s="27"/>
      <c r="J2218" s="27"/>
      <c r="K2218" s="27"/>
      <c r="L2218" s="27"/>
      <c r="M2218" s="27"/>
      <c r="N2218" s="27"/>
      <c r="O2218" s="27"/>
      <c r="P2218" s="27"/>
      <c r="Q2218" s="27"/>
      <c r="R2218" s="27"/>
      <c r="S2218" s="27"/>
    </row>
    <row r="2219">
      <c r="B2219" s="27"/>
      <c r="C2219" s="27"/>
      <c r="D2219" s="27"/>
      <c r="E2219" s="27"/>
      <c r="F2219" s="27"/>
      <c r="G2219" s="27"/>
      <c r="H2219" s="27"/>
      <c r="I2219" s="27"/>
      <c r="J2219" s="27"/>
      <c r="K2219" s="27"/>
      <c r="L2219" s="27"/>
      <c r="M2219" s="27"/>
      <c r="N2219" s="27"/>
      <c r="O2219" s="27"/>
      <c r="P2219" s="27"/>
      <c r="Q2219" s="27"/>
      <c r="R2219" s="27"/>
      <c r="S2219" s="27"/>
    </row>
    <row r="2220">
      <c r="B2220" s="27"/>
      <c r="C2220" s="27"/>
      <c r="D2220" s="27"/>
      <c r="E2220" s="27"/>
      <c r="F2220" s="27"/>
      <c r="G2220" s="27"/>
      <c r="H2220" s="27"/>
      <c r="I2220" s="27"/>
      <c r="J2220" s="27"/>
      <c r="K2220" s="27"/>
      <c r="L2220" s="27"/>
      <c r="M2220" s="27"/>
      <c r="N2220" s="27"/>
      <c r="O2220" s="27"/>
      <c r="P2220" s="27"/>
      <c r="Q2220" s="27"/>
      <c r="R2220" s="27"/>
      <c r="S2220" s="27"/>
    </row>
    <row r="2221">
      <c r="B2221" s="27"/>
      <c r="C2221" s="27"/>
      <c r="D2221" s="27"/>
      <c r="E2221" s="27"/>
      <c r="F2221" s="27"/>
      <c r="G2221" s="27"/>
      <c r="H2221" s="27"/>
      <c r="I2221" s="27"/>
      <c r="J2221" s="27"/>
      <c r="K2221" s="27"/>
      <c r="L2221" s="27"/>
      <c r="M2221" s="27"/>
      <c r="N2221" s="27"/>
      <c r="O2221" s="27"/>
      <c r="P2221" s="27"/>
      <c r="Q2221" s="27"/>
      <c r="R2221" s="27"/>
      <c r="S2221" s="27"/>
    </row>
    <row r="2222">
      <c r="B2222" s="27"/>
      <c r="C2222" s="27"/>
      <c r="D2222" s="27"/>
      <c r="E2222" s="27"/>
      <c r="F2222" s="27"/>
      <c r="G2222" s="27"/>
      <c r="H2222" s="27"/>
      <c r="I2222" s="27"/>
      <c r="J2222" s="27"/>
      <c r="K2222" s="27"/>
      <c r="L2222" s="27"/>
      <c r="M2222" s="27"/>
      <c r="N2222" s="27"/>
      <c r="O2222" s="27"/>
      <c r="P2222" s="27"/>
      <c r="Q2222" s="27"/>
      <c r="R2222" s="27"/>
      <c r="S2222" s="27"/>
    </row>
    <row r="2223">
      <c r="B2223" s="27"/>
      <c r="C2223" s="27"/>
      <c r="D2223" s="27"/>
      <c r="E2223" s="27"/>
      <c r="F2223" s="27"/>
      <c r="G2223" s="27"/>
      <c r="H2223" s="27"/>
      <c r="I2223" s="27"/>
      <c r="J2223" s="27"/>
      <c r="K2223" s="27"/>
      <c r="L2223" s="27"/>
      <c r="M2223" s="27"/>
      <c r="N2223" s="27"/>
      <c r="O2223" s="27"/>
      <c r="P2223" s="27"/>
      <c r="Q2223" s="27"/>
      <c r="R2223" s="27"/>
      <c r="S2223" s="27"/>
    </row>
    <row r="2224">
      <c r="B2224" s="27"/>
      <c r="C2224" s="27"/>
      <c r="D2224" s="27"/>
      <c r="E2224" s="27"/>
      <c r="F2224" s="27"/>
      <c r="G2224" s="27"/>
      <c r="H2224" s="27"/>
      <c r="I2224" s="27"/>
      <c r="J2224" s="27"/>
      <c r="K2224" s="27"/>
      <c r="L2224" s="27"/>
      <c r="M2224" s="27"/>
      <c r="N2224" s="27"/>
      <c r="O2224" s="27"/>
      <c r="P2224" s="27"/>
      <c r="Q2224" s="27"/>
      <c r="R2224" s="27"/>
      <c r="S2224" s="27"/>
    </row>
    <row r="2225">
      <c r="B2225" s="27"/>
      <c r="C2225" s="27"/>
      <c r="D2225" s="27"/>
      <c r="E2225" s="27"/>
      <c r="F2225" s="27"/>
      <c r="G2225" s="27"/>
      <c r="H2225" s="27"/>
      <c r="I2225" s="27"/>
      <c r="J2225" s="27"/>
      <c r="K2225" s="27"/>
      <c r="L2225" s="27"/>
      <c r="M2225" s="27"/>
      <c r="N2225" s="27"/>
      <c r="O2225" s="27"/>
      <c r="P2225" s="27"/>
      <c r="Q2225" s="27"/>
      <c r="R2225" s="27"/>
      <c r="S2225" s="27"/>
    </row>
    <row r="2226">
      <c r="B2226" s="27"/>
      <c r="C2226" s="27"/>
      <c r="D2226" s="27"/>
      <c r="E2226" s="27"/>
      <c r="F2226" s="27"/>
      <c r="G2226" s="27"/>
      <c r="H2226" s="27"/>
      <c r="I2226" s="27"/>
      <c r="J2226" s="27"/>
      <c r="K2226" s="27"/>
      <c r="L2226" s="27"/>
      <c r="M2226" s="27"/>
      <c r="N2226" s="27"/>
      <c r="O2226" s="27"/>
      <c r="P2226" s="27"/>
      <c r="Q2226" s="27"/>
      <c r="R2226" s="27"/>
      <c r="S2226" s="27"/>
    </row>
    <row r="2227">
      <c r="B2227" s="27"/>
      <c r="C2227" s="27"/>
      <c r="D2227" s="27"/>
      <c r="E2227" s="27"/>
      <c r="F2227" s="27"/>
      <c r="G2227" s="27"/>
      <c r="H2227" s="27"/>
      <c r="I2227" s="27"/>
      <c r="J2227" s="27"/>
      <c r="K2227" s="27"/>
      <c r="L2227" s="27"/>
      <c r="M2227" s="27"/>
      <c r="N2227" s="27"/>
      <c r="O2227" s="27"/>
      <c r="P2227" s="27"/>
      <c r="Q2227" s="27"/>
      <c r="R2227" s="27"/>
      <c r="S2227" s="27"/>
    </row>
    <row r="2228">
      <c r="B2228" s="27"/>
      <c r="C2228" s="27"/>
      <c r="D2228" s="27"/>
      <c r="E2228" s="27"/>
      <c r="F2228" s="27"/>
      <c r="G2228" s="27"/>
      <c r="H2228" s="27"/>
      <c r="I2228" s="27"/>
      <c r="J2228" s="27"/>
      <c r="K2228" s="27"/>
      <c r="L2228" s="27"/>
      <c r="M2228" s="27"/>
      <c r="N2228" s="27"/>
      <c r="O2228" s="27"/>
      <c r="P2228" s="27"/>
      <c r="Q2228" s="27"/>
      <c r="R2228" s="27"/>
      <c r="S2228" s="27"/>
    </row>
    <row r="2229">
      <c r="B2229" s="27"/>
      <c r="C2229" s="27"/>
      <c r="D2229" s="27"/>
      <c r="E2229" s="27"/>
      <c r="F2229" s="27"/>
      <c r="G2229" s="27"/>
      <c r="H2229" s="27"/>
      <c r="I2229" s="27"/>
      <c r="J2229" s="27"/>
      <c r="K2229" s="27"/>
      <c r="L2229" s="27"/>
      <c r="M2229" s="27"/>
      <c r="N2229" s="27"/>
      <c r="O2229" s="27"/>
      <c r="P2229" s="27"/>
      <c r="Q2229" s="27"/>
      <c r="R2229" s="27"/>
      <c r="S2229" s="27"/>
    </row>
    <row r="2230">
      <c r="B2230" s="27"/>
      <c r="C2230" s="27"/>
      <c r="D2230" s="27"/>
      <c r="E2230" s="27"/>
      <c r="F2230" s="27"/>
      <c r="G2230" s="27"/>
      <c r="H2230" s="27"/>
      <c r="I2230" s="27"/>
      <c r="J2230" s="27"/>
      <c r="K2230" s="27"/>
      <c r="L2230" s="27"/>
      <c r="M2230" s="27"/>
      <c r="N2230" s="27"/>
      <c r="O2230" s="27"/>
      <c r="P2230" s="27"/>
      <c r="Q2230" s="27"/>
      <c r="R2230" s="27"/>
      <c r="S2230" s="27"/>
    </row>
    <row r="2231">
      <c r="B2231" s="27"/>
      <c r="C2231" s="27"/>
      <c r="D2231" s="27"/>
      <c r="E2231" s="27"/>
      <c r="F2231" s="27"/>
      <c r="G2231" s="27"/>
      <c r="H2231" s="27"/>
      <c r="I2231" s="27"/>
      <c r="J2231" s="27"/>
      <c r="K2231" s="27"/>
      <c r="L2231" s="27"/>
      <c r="M2231" s="27"/>
      <c r="N2231" s="27"/>
      <c r="O2231" s="27"/>
      <c r="P2231" s="27"/>
      <c r="Q2231" s="27"/>
      <c r="R2231" s="27"/>
      <c r="S2231" s="27"/>
    </row>
    <row r="2232">
      <c r="B2232" s="27"/>
      <c r="C2232" s="27"/>
      <c r="D2232" s="27"/>
      <c r="E2232" s="27"/>
      <c r="F2232" s="27"/>
      <c r="G2232" s="27"/>
      <c r="H2232" s="27"/>
      <c r="I2232" s="27"/>
      <c r="J2232" s="27"/>
      <c r="K2232" s="27"/>
      <c r="L2232" s="27"/>
      <c r="M2232" s="27"/>
      <c r="N2232" s="27"/>
      <c r="O2232" s="27"/>
      <c r="P2232" s="27"/>
      <c r="Q2232" s="27"/>
      <c r="R2232" s="27"/>
      <c r="S2232" s="27"/>
    </row>
    <row r="2233">
      <c r="B2233" s="27"/>
      <c r="C2233" s="27"/>
      <c r="D2233" s="27"/>
      <c r="E2233" s="27"/>
      <c r="F2233" s="27"/>
      <c r="G2233" s="27"/>
      <c r="H2233" s="27"/>
      <c r="I2233" s="27"/>
      <c r="J2233" s="27"/>
      <c r="K2233" s="27"/>
      <c r="L2233" s="27"/>
      <c r="M2233" s="27"/>
      <c r="N2233" s="27"/>
      <c r="O2233" s="27"/>
      <c r="P2233" s="27"/>
      <c r="Q2233" s="27"/>
      <c r="R2233" s="27"/>
      <c r="S2233" s="27"/>
    </row>
    <row r="2234">
      <c r="B2234" s="27"/>
      <c r="C2234" s="27"/>
      <c r="D2234" s="27"/>
      <c r="E2234" s="27"/>
      <c r="F2234" s="27"/>
      <c r="G2234" s="27"/>
      <c r="H2234" s="27"/>
      <c r="I2234" s="27"/>
      <c r="J2234" s="27"/>
      <c r="K2234" s="27"/>
      <c r="L2234" s="27"/>
      <c r="M2234" s="27"/>
      <c r="N2234" s="27"/>
      <c r="O2234" s="27"/>
      <c r="P2234" s="27"/>
      <c r="Q2234" s="27"/>
      <c r="R2234" s="27"/>
      <c r="S2234" s="27"/>
    </row>
    <row r="2235">
      <c r="B2235" s="27"/>
      <c r="C2235" s="27"/>
      <c r="D2235" s="27"/>
      <c r="E2235" s="27"/>
      <c r="F2235" s="27"/>
      <c r="G2235" s="27"/>
      <c r="H2235" s="27"/>
      <c r="I2235" s="27"/>
      <c r="J2235" s="27"/>
      <c r="K2235" s="27"/>
      <c r="L2235" s="27"/>
      <c r="M2235" s="27"/>
      <c r="N2235" s="27"/>
      <c r="O2235" s="27"/>
      <c r="P2235" s="27"/>
      <c r="Q2235" s="27"/>
      <c r="R2235" s="27"/>
      <c r="S2235" s="27"/>
    </row>
    <row r="2236">
      <c r="B2236" s="27"/>
      <c r="C2236" s="27"/>
      <c r="D2236" s="27"/>
      <c r="E2236" s="27"/>
      <c r="F2236" s="27"/>
      <c r="G2236" s="27"/>
      <c r="H2236" s="27"/>
      <c r="I2236" s="27"/>
      <c r="J2236" s="27"/>
      <c r="K2236" s="27"/>
      <c r="L2236" s="27"/>
      <c r="M2236" s="27"/>
      <c r="N2236" s="27"/>
      <c r="O2236" s="27"/>
      <c r="P2236" s="27"/>
      <c r="Q2236" s="27"/>
      <c r="R2236" s="27"/>
      <c r="S2236" s="27"/>
    </row>
    <row r="2237">
      <c r="B2237" s="27"/>
      <c r="C2237" s="27"/>
      <c r="D2237" s="27"/>
      <c r="E2237" s="27"/>
      <c r="F2237" s="27"/>
      <c r="G2237" s="27"/>
      <c r="H2237" s="27"/>
      <c r="I2237" s="27"/>
      <c r="J2237" s="27"/>
      <c r="K2237" s="27"/>
      <c r="L2237" s="27"/>
      <c r="M2237" s="27"/>
      <c r="N2237" s="27"/>
      <c r="O2237" s="27"/>
      <c r="P2237" s="27"/>
      <c r="Q2237" s="27"/>
      <c r="R2237" s="27"/>
      <c r="S2237" s="27"/>
    </row>
    <row r="2238">
      <c r="B2238" s="27"/>
      <c r="C2238" s="27"/>
      <c r="D2238" s="27"/>
      <c r="E2238" s="27"/>
      <c r="F2238" s="27"/>
      <c r="G2238" s="27"/>
      <c r="H2238" s="27"/>
      <c r="I2238" s="27"/>
      <c r="J2238" s="27"/>
      <c r="K2238" s="27"/>
      <c r="L2238" s="27"/>
      <c r="M2238" s="27"/>
      <c r="N2238" s="27"/>
      <c r="O2238" s="27"/>
      <c r="P2238" s="27"/>
      <c r="Q2238" s="27"/>
      <c r="R2238" s="27"/>
      <c r="S2238" s="27"/>
    </row>
    <row r="2239">
      <c r="B2239" s="27"/>
      <c r="C2239" s="27"/>
      <c r="D2239" s="27"/>
      <c r="E2239" s="27"/>
      <c r="F2239" s="27"/>
      <c r="G2239" s="27"/>
      <c r="H2239" s="27"/>
      <c r="I2239" s="27"/>
      <c r="J2239" s="27"/>
      <c r="K2239" s="27"/>
      <c r="L2239" s="27"/>
      <c r="M2239" s="27"/>
      <c r="N2239" s="27"/>
      <c r="O2239" s="27"/>
      <c r="P2239" s="27"/>
      <c r="Q2239" s="27"/>
      <c r="R2239" s="27"/>
      <c r="S2239" s="27"/>
    </row>
    <row r="2240">
      <c r="B2240" s="27"/>
      <c r="C2240" s="27"/>
      <c r="D2240" s="27"/>
      <c r="E2240" s="27"/>
      <c r="F2240" s="27"/>
      <c r="G2240" s="27"/>
      <c r="H2240" s="27"/>
      <c r="I2240" s="27"/>
      <c r="J2240" s="27"/>
      <c r="K2240" s="27"/>
      <c r="L2240" s="27"/>
      <c r="M2240" s="27"/>
      <c r="N2240" s="27"/>
      <c r="O2240" s="27"/>
      <c r="P2240" s="27"/>
      <c r="Q2240" s="27"/>
      <c r="R2240" s="27"/>
      <c r="S2240" s="27"/>
    </row>
    <row r="2241">
      <c r="B2241" s="27"/>
      <c r="C2241" s="27"/>
      <c r="D2241" s="27"/>
      <c r="E2241" s="27"/>
      <c r="F2241" s="27"/>
      <c r="G2241" s="27"/>
      <c r="H2241" s="27"/>
      <c r="I2241" s="27"/>
      <c r="J2241" s="27"/>
      <c r="K2241" s="27"/>
      <c r="L2241" s="27"/>
      <c r="M2241" s="27"/>
      <c r="N2241" s="27"/>
      <c r="O2241" s="27"/>
      <c r="P2241" s="27"/>
      <c r="Q2241" s="27"/>
      <c r="R2241" s="27"/>
      <c r="S2241" s="27"/>
    </row>
    <row r="2242">
      <c r="B2242" s="27"/>
      <c r="C2242" s="27"/>
      <c r="D2242" s="27"/>
      <c r="E2242" s="27"/>
      <c r="F2242" s="27"/>
      <c r="G2242" s="27"/>
      <c r="H2242" s="27"/>
      <c r="I2242" s="27"/>
      <c r="J2242" s="27"/>
      <c r="K2242" s="27"/>
      <c r="L2242" s="27"/>
      <c r="M2242" s="27"/>
      <c r="N2242" s="27"/>
      <c r="O2242" s="27"/>
      <c r="P2242" s="27"/>
      <c r="Q2242" s="27"/>
      <c r="R2242" s="27"/>
      <c r="S2242" s="27"/>
    </row>
    <row r="2243">
      <c r="B2243" s="27"/>
      <c r="C2243" s="27"/>
      <c r="D2243" s="27"/>
      <c r="E2243" s="27"/>
      <c r="F2243" s="27"/>
      <c r="G2243" s="27"/>
      <c r="H2243" s="27"/>
      <c r="I2243" s="27"/>
      <c r="J2243" s="27"/>
      <c r="K2243" s="27"/>
      <c r="L2243" s="27"/>
      <c r="M2243" s="27"/>
      <c r="N2243" s="27"/>
      <c r="O2243" s="27"/>
      <c r="P2243" s="27"/>
      <c r="Q2243" s="27"/>
      <c r="R2243" s="27"/>
      <c r="S2243" s="27"/>
    </row>
    <row r="2244">
      <c r="B2244" s="27"/>
      <c r="C2244" s="27"/>
      <c r="D2244" s="27"/>
      <c r="E2244" s="27"/>
      <c r="F2244" s="27"/>
      <c r="G2244" s="27"/>
      <c r="H2244" s="27"/>
      <c r="I2244" s="27"/>
      <c r="J2244" s="27"/>
      <c r="K2244" s="27"/>
      <c r="L2244" s="27"/>
      <c r="M2244" s="27"/>
      <c r="N2244" s="27"/>
      <c r="O2244" s="27"/>
      <c r="P2244" s="27"/>
      <c r="Q2244" s="27"/>
      <c r="R2244" s="27"/>
      <c r="S2244" s="27"/>
    </row>
    <row r="2245">
      <c r="B2245" s="27"/>
      <c r="C2245" s="27"/>
      <c r="D2245" s="27"/>
      <c r="E2245" s="27"/>
      <c r="F2245" s="27"/>
      <c r="G2245" s="27"/>
      <c r="H2245" s="27"/>
      <c r="I2245" s="27"/>
      <c r="J2245" s="27"/>
      <c r="K2245" s="27"/>
      <c r="L2245" s="27"/>
      <c r="M2245" s="27"/>
      <c r="N2245" s="27"/>
      <c r="O2245" s="27"/>
      <c r="P2245" s="27"/>
      <c r="Q2245" s="27"/>
      <c r="R2245" s="27"/>
      <c r="S2245" s="27"/>
    </row>
    <row r="2246">
      <c r="B2246" s="27"/>
      <c r="C2246" s="27"/>
      <c r="D2246" s="27"/>
      <c r="E2246" s="27"/>
      <c r="F2246" s="27"/>
      <c r="G2246" s="27"/>
      <c r="H2246" s="27"/>
      <c r="I2246" s="27"/>
      <c r="J2246" s="27"/>
      <c r="K2246" s="27"/>
      <c r="L2246" s="27"/>
      <c r="M2246" s="27"/>
      <c r="N2246" s="27"/>
      <c r="O2246" s="27"/>
      <c r="P2246" s="27"/>
      <c r="Q2246" s="27"/>
      <c r="R2246" s="27"/>
      <c r="S2246" s="27"/>
    </row>
    <row r="2247">
      <c r="B2247" s="27"/>
      <c r="C2247" s="27"/>
      <c r="D2247" s="27"/>
      <c r="E2247" s="27"/>
      <c r="F2247" s="27"/>
      <c r="G2247" s="27"/>
      <c r="H2247" s="27"/>
      <c r="I2247" s="27"/>
      <c r="J2247" s="27"/>
      <c r="K2247" s="27"/>
      <c r="L2247" s="27"/>
      <c r="M2247" s="27"/>
      <c r="N2247" s="27"/>
      <c r="O2247" s="27"/>
      <c r="P2247" s="27"/>
      <c r="Q2247" s="27"/>
      <c r="R2247" s="27"/>
      <c r="S2247" s="27"/>
    </row>
    <row r="2248">
      <c r="B2248" s="27"/>
      <c r="C2248" s="27"/>
      <c r="D2248" s="27"/>
      <c r="E2248" s="27"/>
      <c r="F2248" s="27"/>
      <c r="G2248" s="27"/>
      <c r="H2248" s="27"/>
      <c r="I2248" s="27"/>
      <c r="J2248" s="27"/>
      <c r="K2248" s="27"/>
      <c r="L2248" s="27"/>
      <c r="M2248" s="27"/>
      <c r="N2248" s="27"/>
      <c r="O2248" s="27"/>
      <c r="P2248" s="27"/>
      <c r="Q2248" s="27"/>
      <c r="R2248" s="27"/>
      <c r="S2248" s="27"/>
    </row>
    <row r="2249">
      <c r="B2249" s="27"/>
      <c r="C2249" s="27"/>
      <c r="D2249" s="27"/>
      <c r="E2249" s="27"/>
      <c r="F2249" s="27"/>
      <c r="G2249" s="27"/>
      <c r="H2249" s="27"/>
      <c r="I2249" s="27"/>
      <c r="J2249" s="27"/>
      <c r="K2249" s="27"/>
      <c r="L2249" s="27"/>
      <c r="M2249" s="27"/>
      <c r="N2249" s="27"/>
      <c r="O2249" s="27"/>
      <c r="P2249" s="27"/>
      <c r="Q2249" s="27"/>
      <c r="R2249" s="27"/>
      <c r="S2249" s="27"/>
    </row>
    <row r="2250">
      <c r="B2250" s="27"/>
      <c r="C2250" s="27"/>
      <c r="D2250" s="27"/>
      <c r="E2250" s="27"/>
      <c r="F2250" s="27"/>
      <c r="G2250" s="27"/>
      <c r="H2250" s="27"/>
      <c r="I2250" s="27"/>
      <c r="J2250" s="27"/>
      <c r="K2250" s="27"/>
      <c r="L2250" s="27"/>
      <c r="M2250" s="27"/>
      <c r="N2250" s="27"/>
      <c r="O2250" s="27"/>
      <c r="P2250" s="27"/>
      <c r="Q2250" s="27"/>
      <c r="R2250" s="27"/>
      <c r="S2250" s="27"/>
    </row>
    <row r="2251">
      <c r="B2251" s="27"/>
      <c r="C2251" s="27"/>
      <c r="D2251" s="27"/>
      <c r="E2251" s="27"/>
      <c r="F2251" s="27"/>
      <c r="G2251" s="27"/>
      <c r="H2251" s="27"/>
      <c r="I2251" s="27"/>
      <c r="J2251" s="27"/>
      <c r="K2251" s="27"/>
      <c r="L2251" s="27"/>
      <c r="M2251" s="27"/>
      <c r="N2251" s="27"/>
      <c r="O2251" s="27"/>
      <c r="P2251" s="27"/>
      <c r="Q2251" s="27"/>
      <c r="R2251" s="27"/>
      <c r="S2251" s="27"/>
    </row>
    <row r="2252">
      <c r="B2252" s="27"/>
      <c r="C2252" s="27"/>
      <c r="D2252" s="27"/>
      <c r="E2252" s="27"/>
      <c r="F2252" s="27"/>
      <c r="G2252" s="27"/>
      <c r="H2252" s="27"/>
      <c r="I2252" s="27"/>
      <c r="J2252" s="27"/>
      <c r="K2252" s="27"/>
      <c r="L2252" s="27"/>
      <c r="M2252" s="27"/>
      <c r="N2252" s="27"/>
      <c r="O2252" s="27"/>
      <c r="P2252" s="27"/>
      <c r="Q2252" s="27"/>
      <c r="R2252" s="27"/>
      <c r="S2252" s="27"/>
    </row>
    <row r="2253">
      <c r="B2253" s="27"/>
      <c r="C2253" s="27"/>
      <c r="D2253" s="27"/>
      <c r="E2253" s="27"/>
      <c r="F2253" s="27"/>
      <c r="G2253" s="27"/>
      <c r="H2253" s="27"/>
      <c r="I2253" s="27"/>
      <c r="J2253" s="27"/>
      <c r="K2253" s="27"/>
      <c r="L2253" s="27"/>
      <c r="M2253" s="27"/>
      <c r="N2253" s="27"/>
      <c r="O2253" s="27"/>
      <c r="P2253" s="27"/>
      <c r="Q2253" s="27"/>
      <c r="R2253" s="27"/>
      <c r="S2253" s="27"/>
    </row>
    <row r="2254">
      <c r="B2254" s="27"/>
      <c r="C2254" s="27"/>
      <c r="D2254" s="27"/>
      <c r="E2254" s="27"/>
      <c r="F2254" s="27"/>
      <c r="G2254" s="27"/>
      <c r="H2254" s="27"/>
      <c r="I2254" s="27"/>
      <c r="J2254" s="27"/>
      <c r="K2254" s="27"/>
      <c r="L2254" s="27"/>
      <c r="M2254" s="27"/>
      <c r="N2254" s="27"/>
      <c r="O2254" s="27"/>
      <c r="P2254" s="27"/>
      <c r="Q2254" s="27"/>
      <c r="R2254" s="27"/>
      <c r="S2254" s="27"/>
    </row>
    <row r="2255">
      <c r="B2255" s="27"/>
      <c r="C2255" s="27"/>
      <c r="D2255" s="27"/>
      <c r="E2255" s="27"/>
      <c r="F2255" s="27"/>
      <c r="G2255" s="27"/>
      <c r="H2255" s="27"/>
      <c r="I2255" s="27"/>
      <c r="J2255" s="27"/>
      <c r="K2255" s="27"/>
      <c r="L2255" s="27"/>
      <c r="M2255" s="27"/>
      <c r="N2255" s="27"/>
      <c r="O2255" s="27"/>
      <c r="P2255" s="27"/>
      <c r="Q2255" s="27"/>
      <c r="R2255" s="27"/>
      <c r="S2255" s="27"/>
    </row>
    <row r="2256">
      <c r="B2256" s="27"/>
      <c r="C2256" s="27"/>
      <c r="D2256" s="27"/>
      <c r="E2256" s="27"/>
      <c r="F2256" s="27"/>
      <c r="G2256" s="27"/>
      <c r="H2256" s="27"/>
      <c r="I2256" s="27"/>
      <c r="J2256" s="27"/>
      <c r="K2256" s="27"/>
      <c r="L2256" s="27"/>
      <c r="M2256" s="27"/>
      <c r="N2256" s="27"/>
      <c r="O2256" s="27"/>
      <c r="P2256" s="27"/>
      <c r="Q2256" s="27"/>
      <c r="R2256" s="27"/>
      <c r="S2256" s="27"/>
    </row>
    <row r="2257">
      <c r="B2257" s="27"/>
      <c r="C2257" s="27"/>
      <c r="D2257" s="27"/>
      <c r="E2257" s="27"/>
      <c r="F2257" s="27"/>
      <c r="G2257" s="27"/>
      <c r="H2257" s="27"/>
      <c r="I2257" s="27"/>
      <c r="J2257" s="27"/>
      <c r="K2257" s="27"/>
      <c r="L2257" s="27"/>
      <c r="M2257" s="27"/>
      <c r="N2257" s="27"/>
      <c r="O2257" s="27"/>
      <c r="P2257" s="27"/>
      <c r="Q2257" s="27"/>
      <c r="R2257" s="27"/>
      <c r="S2257" s="27"/>
    </row>
    <row r="2258">
      <c r="B2258" s="27"/>
      <c r="C2258" s="27"/>
      <c r="D2258" s="27"/>
      <c r="E2258" s="27"/>
      <c r="F2258" s="27"/>
      <c r="G2258" s="27"/>
      <c r="H2258" s="27"/>
      <c r="I2258" s="27"/>
      <c r="J2258" s="27"/>
      <c r="K2258" s="27"/>
      <c r="L2258" s="27"/>
      <c r="M2258" s="27"/>
      <c r="N2258" s="27"/>
      <c r="O2258" s="27"/>
      <c r="P2258" s="27"/>
      <c r="Q2258" s="27"/>
      <c r="R2258" s="27"/>
      <c r="S2258" s="27"/>
    </row>
    <row r="2259">
      <c r="B2259" s="27"/>
      <c r="C2259" s="27"/>
      <c r="D2259" s="27"/>
      <c r="E2259" s="27"/>
      <c r="F2259" s="27"/>
      <c r="G2259" s="27"/>
      <c r="H2259" s="27"/>
      <c r="I2259" s="27"/>
      <c r="J2259" s="27"/>
      <c r="K2259" s="27"/>
      <c r="L2259" s="27"/>
      <c r="M2259" s="27"/>
      <c r="N2259" s="27"/>
      <c r="O2259" s="27"/>
      <c r="P2259" s="27"/>
      <c r="Q2259" s="27"/>
      <c r="R2259" s="27"/>
      <c r="S2259" s="27"/>
    </row>
    <row r="2260">
      <c r="B2260" s="27"/>
      <c r="C2260" s="27"/>
      <c r="D2260" s="27"/>
      <c r="E2260" s="27"/>
      <c r="F2260" s="27"/>
      <c r="G2260" s="27"/>
      <c r="H2260" s="27"/>
      <c r="I2260" s="27"/>
      <c r="J2260" s="27"/>
      <c r="K2260" s="27"/>
      <c r="L2260" s="27"/>
      <c r="M2260" s="27"/>
      <c r="N2260" s="27"/>
      <c r="O2260" s="27"/>
      <c r="P2260" s="27"/>
      <c r="Q2260" s="27"/>
      <c r="R2260" s="27"/>
      <c r="S2260" s="27"/>
    </row>
    <row r="2261">
      <c r="B2261" s="27"/>
      <c r="C2261" s="27"/>
      <c r="D2261" s="27"/>
      <c r="E2261" s="27"/>
      <c r="F2261" s="27"/>
      <c r="G2261" s="27"/>
      <c r="H2261" s="27"/>
      <c r="I2261" s="27"/>
      <c r="J2261" s="27"/>
      <c r="K2261" s="27"/>
      <c r="L2261" s="27"/>
      <c r="M2261" s="27"/>
      <c r="N2261" s="27"/>
      <c r="O2261" s="27"/>
      <c r="P2261" s="27"/>
      <c r="Q2261" s="27"/>
      <c r="R2261" s="27"/>
      <c r="S2261" s="27"/>
    </row>
    <row r="2262">
      <c r="B2262" s="27"/>
      <c r="C2262" s="27"/>
      <c r="D2262" s="27"/>
      <c r="E2262" s="27"/>
      <c r="F2262" s="27"/>
      <c r="G2262" s="27"/>
      <c r="H2262" s="27"/>
      <c r="I2262" s="27"/>
      <c r="J2262" s="27"/>
      <c r="K2262" s="27"/>
      <c r="L2262" s="27"/>
      <c r="M2262" s="27"/>
      <c r="N2262" s="27"/>
      <c r="O2262" s="27"/>
      <c r="P2262" s="27"/>
      <c r="Q2262" s="27"/>
      <c r="R2262" s="27"/>
      <c r="S2262" s="27"/>
    </row>
    <row r="2263">
      <c r="B2263" s="27"/>
      <c r="C2263" s="27"/>
      <c r="D2263" s="27"/>
      <c r="E2263" s="27"/>
      <c r="F2263" s="27"/>
      <c r="G2263" s="27"/>
      <c r="H2263" s="27"/>
      <c r="I2263" s="27"/>
      <c r="J2263" s="27"/>
      <c r="K2263" s="27"/>
      <c r="L2263" s="27"/>
      <c r="M2263" s="27"/>
      <c r="N2263" s="27"/>
      <c r="O2263" s="27"/>
      <c r="P2263" s="27"/>
      <c r="Q2263" s="27"/>
      <c r="R2263" s="27"/>
      <c r="S2263" s="27"/>
    </row>
    <row r="2264">
      <c r="B2264" s="27"/>
      <c r="C2264" s="27"/>
      <c r="D2264" s="27"/>
      <c r="E2264" s="27"/>
      <c r="F2264" s="27"/>
      <c r="G2264" s="27"/>
      <c r="H2264" s="27"/>
      <c r="I2264" s="27"/>
      <c r="J2264" s="27"/>
      <c r="K2264" s="27"/>
      <c r="L2264" s="27"/>
      <c r="M2264" s="27"/>
      <c r="N2264" s="27"/>
      <c r="O2264" s="27"/>
      <c r="P2264" s="27"/>
      <c r="Q2264" s="27"/>
      <c r="R2264" s="27"/>
      <c r="S2264" s="27"/>
    </row>
    <row r="2265">
      <c r="B2265" s="27"/>
      <c r="C2265" s="27"/>
      <c r="D2265" s="27"/>
      <c r="E2265" s="27"/>
      <c r="F2265" s="27"/>
      <c r="G2265" s="27"/>
      <c r="H2265" s="27"/>
      <c r="I2265" s="27"/>
      <c r="J2265" s="27"/>
      <c r="K2265" s="27"/>
      <c r="L2265" s="27"/>
      <c r="M2265" s="27"/>
      <c r="N2265" s="27"/>
      <c r="O2265" s="27"/>
      <c r="P2265" s="27"/>
      <c r="Q2265" s="27"/>
      <c r="R2265" s="27"/>
      <c r="S2265" s="27"/>
    </row>
    <row r="2266">
      <c r="B2266" s="27"/>
      <c r="C2266" s="27"/>
      <c r="D2266" s="27"/>
      <c r="E2266" s="27"/>
      <c r="F2266" s="27"/>
      <c r="G2266" s="27"/>
      <c r="H2266" s="27"/>
      <c r="I2266" s="27"/>
      <c r="J2266" s="27"/>
      <c r="K2266" s="27"/>
      <c r="L2266" s="27"/>
      <c r="M2266" s="27"/>
      <c r="N2266" s="27"/>
      <c r="O2266" s="27"/>
      <c r="P2266" s="27"/>
      <c r="Q2266" s="27"/>
      <c r="R2266" s="27"/>
      <c r="S2266" s="27"/>
    </row>
    <row r="2267">
      <c r="B2267" s="27"/>
      <c r="C2267" s="27"/>
      <c r="D2267" s="27"/>
      <c r="E2267" s="27"/>
      <c r="F2267" s="27"/>
      <c r="G2267" s="27"/>
      <c r="H2267" s="27"/>
      <c r="I2267" s="27"/>
      <c r="J2267" s="27"/>
      <c r="K2267" s="27"/>
      <c r="L2267" s="27"/>
      <c r="M2267" s="27"/>
      <c r="N2267" s="27"/>
      <c r="O2267" s="27"/>
      <c r="P2267" s="27"/>
      <c r="Q2267" s="27"/>
      <c r="R2267" s="27"/>
      <c r="S2267" s="27"/>
    </row>
    <row r="2268">
      <c r="B2268" s="27"/>
      <c r="C2268" s="27"/>
      <c r="D2268" s="27"/>
      <c r="E2268" s="27"/>
      <c r="F2268" s="27"/>
      <c r="G2268" s="27"/>
      <c r="H2268" s="27"/>
      <c r="I2268" s="27"/>
      <c r="J2268" s="27"/>
      <c r="K2268" s="27"/>
      <c r="L2268" s="27"/>
      <c r="M2268" s="27"/>
      <c r="N2268" s="27"/>
      <c r="O2268" s="27"/>
      <c r="P2268" s="27"/>
      <c r="Q2268" s="27"/>
      <c r="R2268" s="27"/>
      <c r="S2268" s="27"/>
    </row>
    <row r="2269">
      <c r="B2269" s="27"/>
      <c r="C2269" s="27"/>
      <c r="D2269" s="27"/>
      <c r="E2269" s="27"/>
      <c r="F2269" s="27"/>
      <c r="G2269" s="27"/>
      <c r="H2269" s="27"/>
      <c r="I2269" s="27"/>
      <c r="J2269" s="27"/>
      <c r="K2269" s="27"/>
      <c r="L2269" s="27"/>
      <c r="M2269" s="27"/>
      <c r="N2269" s="27"/>
      <c r="O2269" s="27"/>
      <c r="P2269" s="27"/>
      <c r="Q2269" s="27"/>
      <c r="R2269" s="27"/>
      <c r="S2269" s="27"/>
    </row>
    <row r="2270">
      <c r="B2270" s="27"/>
      <c r="C2270" s="27"/>
      <c r="D2270" s="27"/>
      <c r="E2270" s="27"/>
      <c r="F2270" s="27"/>
      <c r="G2270" s="27"/>
      <c r="H2270" s="27"/>
      <c r="I2270" s="27"/>
      <c r="J2270" s="27"/>
      <c r="K2270" s="27"/>
      <c r="L2270" s="27"/>
      <c r="M2270" s="27"/>
      <c r="N2270" s="27"/>
      <c r="O2270" s="27"/>
      <c r="P2270" s="27"/>
      <c r="Q2270" s="27"/>
      <c r="R2270" s="27"/>
      <c r="S2270" s="27"/>
    </row>
    <row r="2271">
      <c r="B2271" s="27"/>
      <c r="C2271" s="27"/>
      <c r="D2271" s="27"/>
      <c r="E2271" s="27"/>
      <c r="F2271" s="27"/>
      <c r="G2271" s="27"/>
      <c r="H2271" s="27"/>
      <c r="I2271" s="27"/>
      <c r="J2271" s="27"/>
      <c r="K2271" s="27"/>
      <c r="L2271" s="27"/>
      <c r="M2271" s="27"/>
      <c r="N2271" s="27"/>
      <c r="O2271" s="27"/>
      <c r="P2271" s="27"/>
      <c r="Q2271" s="27"/>
      <c r="R2271" s="27"/>
      <c r="S2271" s="27"/>
    </row>
    <row r="2272">
      <c r="B2272" s="27"/>
      <c r="C2272" s="27"/>
      <c r="D2272" s="27"/>
      <c r="E2272" s="27"/>
      <c r="F2272" s="27"/>
      <c r="G2272" s="27"/>
      <c r="H2272" s="27"/>
      <c r="I2272" s="27"/>
      <c r="J2272" s="27"/>
      <c r="K2272" s="27"/>
      <c r="L2272" s="27"/>
      <c r="M2272" s="27"/>
      <c r="N2272" s="27"/>
      <c r="O2272" s="27"/>
      <c r="P2272" s="27"/>
      <c r="Q2272" s="27"/>
      <c r="R2272" s="27"/>
      <c r="S2272" s="27"/>
    </row>
    <row r="2273">
      <c r="B2273" s="27"/>
      <c r="C2273" s="27"/>
      <c r="D2273" s="27"/>
      <c r="E2273" s="27"/>
      <c r="F2273" s="27"/>
      <c r="G2273" s="27"/>
      <c r="H2273" s="27"/>
      <c r="I2273" s="27"/>
      <c r="J2273" s="27"/>
      <c r="K2273" s="27"/>
      <c r="L2273" s="27"/>
      <c r="M2273" s="27"/>
      <c r="N2273" s="27"/>
      <c r="O2273" s="27"/>
      <c r="P2273" s="27"/>
      <c r="Q2273" s="27"/>
      <c r="R2273" s="27"/>
      <c r="S2273" s="27"/>
    </row>
    <row r="2274">
      <c r="B2274" s="27"/>
      <c r="C2274" s="27"/>
      <c r="D2274" s="27"/>
      <c r="E2274" s="27"/>
      <c r="F2274" s="27"/>
      <c r="G2274" s="27"/>
      <c r="H2274" s="27"/>
      <c r="I2274" s="27"/>
      <c r="J2274" s="27"/>
      <c r="K2274" s="27"/>
      <c r="L2274" s="27"/>
      <c r="M2274" s="27"/>
      <c r="N2274" s="27"/>
      <c r="O2274" s="27"/>
      <c r="P2274" s="27"/>
      <c r="Q2274" s="27"/>
      <c r="R2274" s="27"/>
      <c r="S2274" s="27"/>
    </row>
    <row r="2275">
      <c r="B2275" s="27"/>
      <c r="C2275" s="27"/>
      <c r="D2275" s="27"/>
      <c r="E2275" s="27"/>
      <c r="F2275" s="27"/>
      <c r="G2275" s="27"/>
      <c r="H2275" s="27"/>
      <c r="I2275" s="27"/>
      <c r="J2275" s="27"/>
      <c r="K2275" s="27"/>
      <c r="L2275" s="27"/>
      <c r="M2275" s="27"/>
      <c r="N2275" s="27"/>
      <c r="O2275" s="27"/>
      <c r="P2275" s="27"/>
      <c r="Q2275" s="27"/>
      <c r="R2275" s="27"/>
      <c r="S2275" s="27"/>
    </row>
    <row r="2276">
      <c r="B2276" s="27"/>
      <c r="C2276" s="27"/>
      <c r="D2276" s="27"/>
      <c r="E2276" s="27"/>
      <c r="F2276" s="27"/>
      <c r="G2276" s="27"/>
      <c r="H2276" s="27"/>
      <c r="I2276" s="27"/>
      <c r="J2276" s="27"/>
      <c r="K2276" s="27"/>
      <c r="L2276" s="27"/>
      <c r="M2276" s="27"/>
      <c r="N2276" s="27"/>
      <c r="O2276" s="27"/>
      <c r="P2276" s="27"/>
      <c r="Q2276" s="27"/>
      <c r="R2276" s="27"/>
      <c r="S2276" s="27"/>
    </row>
    <row r="2277">
      <c r="B2277" s="27"/>
      <c r="C2277" s="27"/>
      <c r="D2277" s="27"/>
      <c r="E2277" s="27"/>
      <c r="F2277" s="27"/>
      <c r="G2277" s="27"/>
      <c r="H2277" s="27"/>
      <c r="I2277" s="27"/>
      <c r="J2277" s="27"/>
      <c r="K2277" s="27"/>
      <c r="L2277" s="27"/>
      <c r="M2277" s="27"/>
      <c r="N2277" s="27"/>
      <c r="O2277" s="27"/>
      <c r="P2277" s="27"/>
      <c r="Q2277" s="27"/>
      <c r="R2277" s="27"/>
      <c r="S2277" s="27"/>
    </row>
    <row r="2278">
      <c r="B2278" s="27"/>
      <c r="C2278" s="27"/>
      <c r="D2278" s="27"/>
      <c r="E2278" s="27"/>
      <c r="F2278" s="27"/>
      <c r="G2278" s="27"/>
      <c r="H2278" s="27"/>
      <c r="I2278" s="27"/>
      <c r="J2278" s="27"/>
      <c r="K2278" s="27"/>
      <c r="L2278" s="27"/>
      <c r="M2278" s="27"/>
      <c r="N2278" s="27"/>
      <c r="O2278" s="27"/>
      <c r="P2278" s="27"/>
      <c r="Q2278" s="27"/>
      <c r="R2278" s="27"/>
      <c r="S2278" s="27"/>
    </row>
    <row r="2279">
      <c r="B2279" s="27"/>
      <c r="C2279" s="27"/>
      <c r="D2279" s="27"/>
      <c r="E2279" s="27"/>
      <c r="F2279" s="27"/>
      <c r="G2279" s="27"/>
      <c r="H2279" s="27"/>
      <c r="I2279" s="27"/>
      <c r="J2279" s="27"/>
      <c r="K2279" s="27"/>
      <c r="L2279" s="27"/>
      <c r="M2279" s="27"/>
      <c r="N2279" s="27"/>
      <c r="O2279" s="27"/>
      <c r="P2279" s="27"/>
      <c r="Q2279" s="27"/>
      <c r="R2279" s="27"/>
      <c r="S2279" s="27"/>
    </row>
    <row r="2280">
      <c r="B2280" s="27"/>
      <c r="C2280" s="27"/>
      <c r="D2280" s="27"/>
      <c r="E2280" s="27"/>
      <c r="F2280" s="27"/>
      <c r="G2280" s="27"/>
      <c r="H2280" s="27"/>
      <c r="I2280" s="27"/>
      <c r="J2280" s="27"/>
      <c r="K2280" s="27"/>
      <c r="L2280" s="27"/>
      <c r="M2280" s="27"/>
      <c r="N2280" s="27"/>
      <c r="O2280" s="27"/>
      <c r="P2280" s="27"/>
      <c r="Q2280" s="27"/>
      <c r="R2280" s="27"/>
      <c r="S2280" s="27"/>
    </row>
    <row r="2281">
      <c r="B2281" s="27"/>
      <c r="C2281" s="27"/>
      <c r="D2281" s="27"/>
      <c r="E2281" s="27"/>
      <c r="F2281" s="27"/>
      <c r="G2281" s="27"/>
      <c r="H2281" s="27"/>
      <c r="I2281" s="27"/>
      <c r="J2281" s="27"/>
      <c r="K2281" s="27"/>
      <c r="L2281" s="27"/>
      <c r="M2281" s="27"/>
      <c r="N2281" s="27"/>
      <c r="O2281" s="27"/>
      <c r="P2281" s="27"/>
      <c r="Q2281" s="27"/>
      <c r="R2281" s="27"/>
      <c r="S2281" s="27"/>
    </row>
    <row r="2282">
      <c r="B2282" s="27"/>
      <c r="C2282" s="27"/>
      <c r="D2282" s="27"/>
      <c r="E2282" s="27"/>
      <c r="F2282" s="27"/>
      <c r="G2282" s="27"/>
      <c r="H2282" s="27"/>
      <c r="I2282" s="27"/>
      <c r="J2282" s="27"/>
      <c r="K2282" s="27"/>
      <c r="L2282" s="27"/>
      <c r="M2282" s="27"/>
      <c r="N2282" s="27"/>
      <c r="O2282" s="27"/>
      <c r="P2282" s="27"/>
      <c r="Q2282" s="27"/>
      <c r="R2282" s="27"/>
      <c r="S2282" s="27"/>
    </row>
    <row r="2283">
      <c r="B2283" s="27"/>
      <c r="C2283" s="27"/>
      <c r="D2283" s="27"/>
      <c r="E2283" s="27"/>
      <c r="F2283" s="27"/>
      <c r="G2283" s="27"/>
      <c r="H2283" s="27"/>
      <c r="I2283" s="27"/>
      <c r="J2283" s="27"/>
      <c r="K2283" s="27"/>
      <c r="L2283" s="27"/>
      <c r="M2283" s="27"/>
      <c r="N2283" s="27"/>
      <c r="O2283" s="27"/>
      <c r="P2283" s="27"/>
      <c r="Q2283" s="27"/>
      <c r="R2283" s="27"/>
      <c r="S2283" s="27"/>
    </row>
    <row r="2284">
      <c r="B2284" s="27"/>
      <c r="C2284" s="27"/>
      <c r="D2284" s="27"/>
      <c r="E2284" s="27"/>
      <c r="F2284" s="27"/>
      <c r="G2284" s="27"/>
      <c r="H2284" s="27"/>
      <c r="I2284" s="27"/>
      <c r="J2284" s="27"/>
      <c r="K2284" s="27"/>
      <c r="L2284" s="27"/>
      <c r="M2284" s="27"/>
      <c r="N2284" s="27"/>
      <c r="O2284" s="27"/>
      <c r="P2284" s="27"/>
      <c r="Q2284" s="27"/>
      <c r="R2284" s="27"/>
      <c r="S2284" s="27"/>
    </row>
    <row r="2285">
      <c r="B2285" s="27"/>
      <c r="C2285" s="27"/>
      <c r="D2285" s="27"/>
      <c r="E2285" s="27"/>
      <c r="F2285" s="27"/>
      <c r="G2285" s="27"/>
      <c r="H2285" s="27"/>
      <c r="I2285" s="27"/>
      <c r="J2285" s="27"/>
      <c r="K2285" s="27"/>
      <c r="L2285" s="27"/>
      <c r="M2285" s="27"/>
      <c r="N2285" s="27"/>
      <c r="O2285" s="27"/>
      <c r="P2285" s="27"/>
      <c r="Q2285" s="27"/>
      <c r="R2285" s="27"/>
      <c r="S2285" s="27"/>
    </row>
    <row r="2286">
      <c r="B2286" s="27"/>
      <c r="C2286" s="27"/>
      <c r="D2286" s="27"/>
      <c r="E2286" s="27"/>
      <c r="F2286" s="27"/>
      <c r="G2286" s="27"/>
      <c r="H2286" s="27"/>
      <c r="I2286" s="27"/>
      <c r="J2286" s="27"/>
      <c r="K2286" s="27"/>
      <c r="L2286" s="27"/>
      <c r="M2286" s="27"/>
      <c r="N2286" s="27"/>
      <c r="O2286" s="27"/>
      <c r="P2286" s="27"/>
      <c r="Q2286" s="27"/>
      <c r="R2286" s="27"/>
      <c r="S2286" s="27"/>
    </row>
    <row r="2287">
      <c r="B2287" s="27"/>
      <c r="C2287" s="27"/>
      <c r="D2287" s="27"/>
      <c r="E2287" s="27"/>
      <c r="F2287" s="27"/>
      <c r="G2287" s="27"/>
      <c r="H2287" s="27"/>
      <c r="I2287" s="27"/>
      <c r="J2287" s="27"/>
      <c r="K2287" s="27"/>
      <c r="L2287" s="27"/>
      <c r="M2287" s="27"/>
      <c r="N2287" s="27"/>
      <c r="O2287" s="27"/>
      <c r="P2287" s="27"/>
      <c r="Q2287" s="27"/>
      <c r="R2287" s="27"/>
      <c r="S2287" s="27"/>
    </row>
    <row r="2288">
      <c r="B2288" s="27"/>
      <c r="C2288" s="27"/>
      <c r="D2288" s="27"/>
      <c r="E2288" s="27"/>
      <c r="F2288" s="27"/>
      <c r="G2288" s="27"/>
      <c r="H2288" s="27"/>
      <c r="I2288" s="27"/>
      <c r="J2288" s="27"/>
      <c r="K2288" s="27"/>
      <c r="L2288" s="27"/>
      <c r="M2288" s="27"/>
      <c r="N2288" s="27"/>
      <c r="O2288" s="27"/>
      <c r="P2288" s="27"/>
      <c r="Q2288" s="27"/>
      <c r="R2288" s="27"/>
      <c r="S2288" s="27"/>
    </row>
    <row r="2289">
      <c r="B2289" s="27"/>
      <c r="C2289" s="27"/>
      <c r="D2289" s="27"/>
      <c r="E2289" s="27"/>
      <c r="F2289" s="27"/>
      <c r="G2289" s="27"/>
      <c r="H2289" s="27"/>
      <c r="I2289" s="27"/>
      <c r="J2289" s="27"/>
      <c r="K2289" s="27"/>
      <c r="L2289" s="27"/>
      <c r="M2289" s="27"/>
      <c r="N2289" s="27"/>
      <c r="O2289" s="27"/>
      <c r="P2289" s="27"/>
      <c r="Q2289" s="27"/>
      <c r="R2289" s="27"/>
      <c r="S2289" s="27"/>
    </row>
    <row r="2290">
      <c r="B2290" s="27"/>
      <c r="C2290" s="27"/>
      <c r="D2290" s="27"/>
      <c r="E2290" s="27"/>
      <c r="F2290" s="27"/>
      <c r="G2290" s="27"/>
      <c r="H2290" s="27"/>
      <c r="I2290" s="27"/>
      <c r="J2290" s="27"/>
      <c r="K2290" s="27"/>
      <c r="L2290" s="27"/>
      <c r="M2290" s="27"/>
      <c r="N2290" s="27"/>
      <c r="O2290" s="27"/>
      <c r="P2290" s="27"/>
      <c r="Q2290" s="27"/>
      <c r="R2290" s="27"/>
      <c r="S2290" s="27"/>
    </row>
    <row r="2291">
      <c r="B2291" s="27"/>
      <c r="C2291" s="27"/>
      <c r="D2291" s="27"/>
      <c r="E2291" s="27"/>
      <c r="F2291" s="27"/>
      <c r="G2291" s="27"/>
      <c r="H2291" s="27"/>
      <c r="I2291" s="27"/>
      <c r="J2291" s="27"/>
      <c r="K2291" s="27"/>
      <c r="L2291" s="27"/>
      <c r="M2291" s="27"/>
      <c r="N2291" s="27"/>
      <c r="O2291" s="27"/>
      <c r="P2291" s="27"/>
      <c r="Q2291" s="27"/>
      <c r="R2291" s="27"/>
      <c r="S2291" s="27"/>
    </row>
    <row r="2292">
      <c r="B2292" s="27"/>
      <c r="C2292" s="27"/>
      <c r="D2292" s="27"/>
      <c r="E2292" s="27"/>
      <c r="F2292" s="27"/>
      <c r="G2292" s="27"/>
      <c r="H2292" s="27"/>
      <c r="I2292" s="27"/>
      <c r="J2292" s="27"/>
      <c r="K2292" s="27"/>
      <c r="L2292" s="27"/>
      <c r="M2292" s="27"/>
      <c r="N2292" s="27"/>
      <c r="O2292" s="27"/>
      <c r="P2292" s="27"/>
      <c r="Q2292" s="27"/>
      <c r="R2292" s="27"/>
      <c r="S2292" s="27"/>
    </row>
    <row r="2293">
      <c r="B2293" s="27"/>
      <c r="C2293" s="27"/>
      <c r="D2293" s="27"/>
      <c r="E2293" s="27"/>
      <c r="F2293" s="27"/>
      <c r="G2293" s="27"/>
      <c r="H2293" s="27"/>
      <c r="I2293" s="27"/>
      <c r="J2293" s="27"/>
      <c r="K2293" s="27"/>
      <c r="L2293" s="27"/>
      <c r="M2293" s="27"/>
      <c r="N2293" s="27"/>
      <c r="O2293" s="27"/>
      <c r="P2293" s="27"/>
      <c r="Q2293" s="27"/>
      <c r="R2293" s="27"/>
      <c r="S2293" s="27"/>
    </row>
    <row r="2294">
      <c r="B2294" s="27"/>
      <c r="C2294" s="27"/>
      <c r="D2294" s="27"/>
      <c r="E2294" s="27"/>
      <c r="F2294" s="27"/>
      <c r="G2294" s="27"/>
      <c r="H2294" s="27"/>
      <c r="I2294" s="27"/>
      <c r="J2294" s="27"/>
      <c r="K2294" s="27"/>
      <c r="L2294" s="27"/>
      <c r="M2294" s="27"/>
      <c r="N2294" s="27"/>
      <c r="O2294" s="27"/>
      <c r="P2294" s="27"/>
      <c r="Q2294" s="27"/>
      <c r="R2294" s="27"/>
      <c r="S2294" s="27"/>
    </row>
    <row r="2295">
      <c r="B2295" s="27"/>
      <c r="C2295" s="27"/>
      <c r="D2295" s="27"/>
      <c r="E2295" s="27"/>
      <c r="F2295" s="27"/>
      <c r="G2295" s="27"/>
      <c r="H2295" s="27"/>
      <c r="I2295" s="27"/>
      <c r="J2295" s="27"/>
      <c r="K2295" s="27"/>
      <c r="L2295" s="27"/>
      <c r="M2295" s="27"/>
      <c r="N2295" s="27"/>
      <c r="O2295" s="27"/>
      <c r="P2295" s="27"/>
      <c r="Q2295" s="27"/>
      <c r="R2295" s="27"/>
      <c r="S2295" s="27"/>
    </row>
    <row r="2296">
      <c r="B2296" s="27"/>
      <c r="C2296" s="27"/>
      <c r="D2296" s="27"/>
      <c r="E2296" s="27"/>
      <c r="F2296" s="27"/>
      <c r="G2296" s="27"/>
      <c r="H2296" s="27"/>
      <c r="I2296" s="27"/>
      <c r="J2296" s="27"/>
      <c r="K2296" s="27"/>
      <c r="L2296" s="27"/>
      <c r="M2296" s="27"/>
      <c r="N2296" s="27"/>
      <c r="O2296" s="27"/>
      <c r="P2296" s="27"/>
      <c r="Q2296" s="27"/>
      <c r="R2296" s="27"/>
      <c r="S2296" s="27"/>
    </row>
    <row r="2297">
      <c r="B2297" s="27"/>
      <c r="C2297" s="27"/>
      <c r="D2297" s="27"/>
      <c r="E2297" s="27"/>
      <c r="F2297" s="27"/>
      <c r="G2297" s="27"/>
      <c r="H2297" s="27"/>
      <c r="I2297" s="27"/>
      <c r="J2297" s="27"/>
      <c r="K2297" s="27"/>
      <c r="L2297" s="27"/>
      <c r="M2297" s="27"/>
      <c r="N2297" s="27"/>
      <c r="O2297" s="27"/>
      <c r="P2297" s="27"/>
      <c r="Q2297" s="27"/>
      <c r="R2297" s="27"/>
      <c r="S2297" s="27"/>
    </row>
    <row r="2298">
      <c r="B2298" s="27"/>
      <c r="C2298" s="27"/>
      <c r="D2298" s="27"/>
      <c r="E2298" s="27"/>
      <c r="F2298" s="27"/>
      <c r="G2298" s="27"/>
      <c r="H2298" s="27"/>
      <c r="I2298" s="27"/>
      <c r="J2298" s="27"/>
      <c r="K2298" s="27"/>
      <c r="L2298" s="27"/>
      <c r="M2298" s="27"/>
      <c r="N2298" s="27"/>
      <c r="O2298" s="27"/>
      <c r="P2298" s="27"/>
      <c r="Q2298" s="27"/>
      <c r="R2298" s="27"/>
      <c r="S2298" s="27"/>
    </row>
    <row r="2299">
      <c r="B2299" s="27"/>
      <c r="C2299" s="27"/>
      <c r="D2299" s="27"/>
      <c r="E2299" s="27"/>
      <c r="F2299" s="27"/>
      <c r="G2299" s="27"/>
      <c r="H2299" s="27"/>
      <c r="I2299" s="27"/>
      <c r="J2299" s="27"/>
      <c r="K2299" s="27"/>
      <c r="L2299" s="27"/>
      <c r="M2299" s="27"/>
      <c r="N2299" s="27"/>
      <c r="O2299" s="27"/>
      <c r="P2299" s="27"/>
      <c r="Q2299" s="27"/>
      <c r="R2299" s="27"/>
      <c r="S2299" s="27"/>
    </row>
    <row r="2300">
      <c r="B2300" s="27"/>
      <c r="C2300" s="27"/>
      <c r="D2300" s="27"/>
      <c r="E2300" s="27"/>
      <c r="F2300" s="27"/>
      <c r="G2300" s="27"/>
      <c r="H2300" s="27"/>
      <c r="I2300" s="27"/>
      <c r="J2300" s="27"/>
      <c r="K2300" s="27"/>
      <c r="L2300" s="27"/>
      <c r="M2300" s="27"/>
      <c r="N2300" s="27"/>
      <c r="O2300" s="27"/>
      <c r="P2300" s="27"/>
      <c r="Q2300" s="27"/>
      <c r="R2300" s="27"/>
      <c r="S2300" s="27"/>
    </row>
    <row r="2301">
      <c r="B2301" s="27"/>
      <c r="C2301" s="27"/>
      <c r="D2301" s="27"/>
      <c r="E2301" s="27"/>
      <c r="F2301" s="27"/>
      <c r="G2301" s="27"/>
      <c r="H2301" s="27"/>
      <c r="I2301" s="27"/>
      <c r="J2301" s="27"/>
      <c r="K2301" s="27"/>
      <c r="L2301" s="27"/>
      <c r="M2301" s="27"/>
      <c r="N2301" s="27"/>
      <c r="O2301" s="27"/>
      <c r="P2301" s="27"/>
      <c r="Q2301" s="27"/>
      <c r="R2301" s="27"/>
      <c r="S2301" s="27"/>
    </row>
    <row r="2302">
      <c r="B2302" s="27"/>
      <c r="C2302" s="27"/>
      <c r="D2302" s="27"/>
      <c r="E2302" s="27"/>
      <c r="F2302" s="27"/>
      <c r="G2302" s="27"/>
      <c r="H2302" s="27"/>
      <c r="I2302" s="27"/>
      <c r="J2302" s="27"/>
      <c r="K2302" s="27"/>
      <c r="L2302" s="27"/>
      <c r="M2302" s="27"/>
      <c r="N2302" s="27"/>
      <c r="O2302" s="27"/>
      <c r="P2302" s="27"/>
      <c r="Q2302" s="27"/>
      <c r="R2302" s="27"/>
      <c r="S2302" s="27"/>
    </row>
    <row r="2303">
      <c r="B2303" s="27"/>
      <c r="C2303" s="27"/>
      <c r="D2303" s="27"/>
      <c r="E2303" s="27"/>
      <c r="F2303" s="27"/>
      <c r="G2303" s="27"/>
      <c r="H2303" s="27"/>
      <c r="I2303" s="27"/>
      <c r="J2303" s="27"/>
      <c r="K2303" s="27"/>
      <c r="L2303" s="27"/>
      <c r="M2303" s="27"/>
      <c r="N2303" s="27"/>
      <c r="O2303" s="27"/>
      <c r="P2303" s="27"/>
      <c r="Q2303" s="27"/>
      <c r="R2303" s="27"/>
      <c r="S2303" s="27"/>
    </row>
    <row r="2304">
      <c r="B2304" s="27"/>
      <c r="C2304" s="27"/>
      <c r="D2304" s="27"/>
      <c r="E2304" s="27"/>
      <c r="F2304" s="27"/>
      <c r="G2304" s="27"/>
      <c r="H2304" s="27"/>
      <c r="I2304" s="27"/>
      <c r="J2304" s="27"/>
      <c r="K2304" s="27"/>
      <c r="L2304" s="27"/>
      <c r="M2304" s="27"/>
      <c r="N2304" s="27"/>
      <c r="O2304" s="27"/>
      <c r="P2304" s="27"/>
      <c r="Q2304" s="27"/>
      <c r="R2304" s="27"/>
      <c r="S2304" s="27"/>
    </row>
    <row r="2305">
      <c r="B2305" s="27"/>
      <c r="C2305" s="27"/>
      <c r="D2305" s="27"/>
      <c r="E2305" s="27"/>
      <c r="F2305" s="27"/>
      <c r="G2305" s="27"/>
      <c r="H2305" s="27"/>
      <c r="I2305" s="27"/>
      <c r="J2305" s="27"/>
      <c r="K2305" s="27"/>
      <c r="L2305" s="27"/>
      <c r="M2305" s="27"/>
      <c r="N2305" s="27"/>
      <c r="O2305" s="27"/>
      <c r="P2305" s="27"/>
      <c r="Q2305" s="27"/>
      <c r="R2305" s="27"/>
      <c r="S2305" s="27"/>
    </row>
    <row r="2306">
      <c r="B2306" s="27"/>
      <c r="C2306" s="27"/>
      <c r="D2306" s="27"/>
      <c r="E2306" s="27"/>
      <c r="F2306" s="27"/>
      <c r="G2306" s="27"/>
      <c r="H2306" s="27"/>
      <c r="I2306" s="27"/>
      <c r="J2306" s="27"/>
      <c r="K2306" s="27"/>
      <c r="L2306" s="27"/>
      <c r="M2306" s="27"/>
      <c r="N2306" s="27"/>
      <c r="O2306" s="27"/>
      <c r="P2306" s="27"/>
      <c r="Q2306" s="27"/>
      <c r="R2306" s="27"/>
      <c r="S2306" s="27"/>
    </row>
    <row r="2307">
      <c r="B2307" s="27"/>
      <c r="C2307" s="27"/>
      <c r="D2307" s="27"/>
      <c r="E2307" s="27"/>
      <c r="F2307" s="27"/>
      <c r="G2307" s="27"/>
      <c r="H2307" s="27"/>
      <c r="I2307" s="27"/>
      <c r="J2307" s="27"/>
      <c r="K2307" s="27"/>
      <c r="L2307" s="27"/>
      <c r="M2307" s="27"/>
      <c r="N2307" s="27"/>
      <c r="O2307" s="27"/>
      <c r="P2307" s="27"/>
      <c r="Q2307" s="27"/>
      <c r="R2307" s="27"/>
      <c r="S2307" s="27"/>
    </row>
    <row r="2308">
      <c r="B2308" s="27"/>
      <c r="C2308" s="27"/>
      <c r="D2308" s="27"/>
      <c r="E2308" s="27"/>
      <c r="F2308" s="27"/>
      <c r="G2308" s="27"/>
      <c r="H2308" s="27"/>
      <c r="I2308" s="27"/>
      <c r="J2308" s="27"/>
      <c r="K2308" s="27"/>
      <c r="L2308" s="27"/>
      <c r="M2308" s="27"/>
      <c r="N2308" s="27"/>
      <c r="O2308" s="27"/>
      <c r="P2308" s="27"/>
      <c r="Q2308" s="27"/>
      <c r="R2308" s="27"/>
      <c r="S2308" s="27"/>
    </row>
    <row r="2309">
      <c r="B2309" s="27"/>
      <c r="C2309" s="27"/>
      <c r="D2309" s="27"/>
      <c r="E2309" s="27"/>
      <c r="F2309" s="27"/>
      <c r="G2309" s="27"/>
      <c r="H2309" s="27"/>
      <c r="I2309" s="27"/>
      <c r="J2309" s="27"/>
      <c r="K2309" s="27"/>
      <c r="L2309" s="27"/>
      <c r="M2309" s="27"/>
      <c r="N2309" s="27"/>
      <c r="O2309" s="27"/>
      <c r="P2309" s="27"/>
      <c r="Q2309" s="27"/>
      <c r="R2309" s="27"/>
      <c r="S2309" s="27"/>
    </row>
    <row r="2310">
      <c r="B2310" s="27"/>
      <c r="C2310" s="27"/>
      <c r="D2310" s="27"/>
      <c r="E2310" s="27"/>
      <c r="F2310" s="27"/>
      <c r="G2310" s="27"/>
      <c r="H2310" s="27"/>
      <c r="I2310" s="27"/>
      <c r="J2310" s="27"/>
      <c r="K2310" s="27"/>
      <c r="L2310" s="27"/>
      <c r="M2310" s="27"/>
      <c r="N2310" s="27"/>
      <c r="O2310" s="27"/>
      <c r="P2310" s="27"/>
      <c r="Q2310" s="27"/>
      <c r="R2310" s="27"/>
      <c r="S2310" s="27"/>
    </row>
    <row r="2311">
      <c r="B2311" s="27"/>
      <c r="C2311" s="27"/>
      <c r="D2311" s="27"/>
      <c r="E2311" s="27"/>
      <c r="F2311" s="27"/>
      <c r="G2311" s="27"/>
      <c r="H2311" s="27"/>
      <c r="I2311" s="27"/>
      <c r="J2311" s="27"/>
      <c r="K2311" s="27"/>
      <c r="L2311" s="27"/>
      <c r="M2311" s="27"/>
      <c r="N2311" s="27"/>
      <c r="O2311" s="27"/>
      <c r="P2311" s="27"/>
      <c r="Q2311" s="27"/>
      <c r="R2311" s="27"/>
      <c r="S2311" s="27"/>
    </row>
    <row r="2312">
      <c r="B2312" s="27"/>
      <c r="C2312" s="27"/>
      <c r="D2312" s="27"/>
      <c r="E2312" s="27"/>
      <c r="F2312" s="27"/>
      <c r="G2312" s="27"/>
      <c r="H2312" s="27"/>
      <c r="I2312" s="27"/>
      <c r="J2312" s="27"/>
      <c r="K2312" s="27"/>
      <c r="L2312" s="27"/>
      <c r="M2312" s="27"/>
      <c r="N2312" s="27"/>
      <c r="O2312" s="27"/>
      <c r="P2312" s="27"/>
      <c r="Q2312" s="27"/>
      <c r="R2312" s="27"/>
      <c r="S2312" s="27"/>
    </row>
    <row r="2313">
      <c r="B2313" s="27"/>
      <c r="C2313" s="27"/>
      <c r="D2313" s="27"/>
      <c r="E2313" s="27"/>
      <c r="F2313" s="27"/>
      <c r="G2313" s="27"/>
      <c r="H2313" s="27"/>
      <c r="I2313" s="27"/>
      <c r="J2313" s="27"/>
      <c r="K2313" s="27"/>
      <c r="L2313" s="27"/>
      <c r="M2313" s="27"/>
      <c r="N2313" s="27"/>
      <c r="O2313" s="27"/>
      <c r="P2313" s="27"/>
      <c r="Q2313" s="27"/>
      <c r="R2313" s="27"/>
      <c r="S2313" s="27"/>
    </row>
    <row r="2314">
      <c r="B2314" s="27"/>
      <c r="C2314" s="27"/>
      <c r="D2314" s="27"/>
      <c r="E2314" s="27"/>
      <c r="F2314" s="27"/>
      <c r="G2314" s="27"/>
      <c r="H2314" s="27"/>
      <c r="I2314" s="27"/>
      <c r="J2314" s="27"/>
      <c r="K2314" s="27"/>
      <c r="L2314" s="27"/>
      <c r="M2314" s="27"/>
      <c r="N2314" s="27"/>
      <c r="O2314" s="27"/>
      <c r="P2314" s="27"/>
      <c r="Q2314" s="27"/>
      <c r="R2314" s="27"/>
      <c r="S2314" s="27"/>
    </row>
    <row r="2315">
      <c r="B2315" s="27"/>
      <c r="C2315" s="27"/>
      <c r="D2315" s="27"/>
      <c r="E2315" s="27"/>
      <c r="F2315" s="27"/>
      <c r="G2315" s="27"/>
      <c r="H2315" s="27"/>
      <c r="I2315" s="27"/>
      <c r="J2315" s="27"/>
      <c r="K2315" s="27"/>
      <c r="L2315" s="27"/>
      <c r="M2315" s="27"/>
      <c r="N2315" s="27"/>
      <c r="O2315" s="27"/>
      <c r="P2315" s="27"/>
      <c r="Q2315" s="27"/>
      <c r="R2315" s="27"/>
      <c r="S2315" s="27"/>
    </row>
    <row r="2316">
      <c r="B2316" s="27"/>
      <c r="C2316" s="27"/>
      <c r="D2316" s="27"/>
      <c r="E2316" s="27"/>
      <c r="F2316" s="27"/>
      <c r="G2316" s="27"/>
      <c r="H2316" s="27"/>
      <c r="I2316" s="27"/>
      <c r="J2316" s="27"/>
      <c r="K2316" s="27"/>
      <c r="L2316" s="27"/>
      <c r="M2316" s="27"/>
      <c r="N2316" s="27"/>
      <c r="O2316" s="27"/>
      <c r="P2316" s="27"/>
      <c r="Q2316" s="27"/>
      <c r="R2316" s="27"/>
      <c r="S2316" s="27"/>
    </row>
    <row r="2317">
      <c r="B2317" s="27"/>
      <c r="C2317" s="27"/>
      <c r="D2317" s="27"/>
      <c r="E2317" s="27"/>
      <c r="F2317" s="27"/>
      <c r="G2317" s="27"/>
      <c r="H2317" s="27"/>
      <c r="I2317" s="27"/>
      <c r="J2317" s="27"/>
      <c r="K2317" s="27"/>
      <c r="L2317" s="27"/>
      <c r="M2317" s="27"/>
      <c r="N2317" s="27"/>
      <c r="O2317" s="27"/>
      <c r="P2317" s="27"/>
      <c r="Q2317" s="27"/>
      <c r="R2317" s="27"/>
      <c r="S2317" s="27"/>
    </row>
    <row r="2318">
      <c r="B2318" s="27"/>
      <c r="C2318" s="27"/>
      <c r="D2318" s="27"/>
      <c r="E2318" s="27"/>
      <c r="F2318" s="27"/>
      <c r="G2318" s="27"/>
      <c r="H2318" s="27"/>
      <c r="I2318" s="27"/>
      <c r="J2318" s="27"/>
      <c r="K2318" s="27"/>
      <c r="L2318" s="27"/>
      <c r="M2318" s="27"/>
      <c r="N2318" s="27"/>
      <c r="O2318" s="27"/>
      <c r="P2318" s="27"/>
      <c r="Q2318" s="27"/>
      <c r="R2318" s="27"/>
      <c r="S2318" s="27"/>
    </row>
    <row r="2319">
      <c r="B2319" s="27"/>
      <c r="C2319" s="27"/>
      <c r="D2319" s="27"/>
      <c r="E2319" s="27"/>
      <c r="F2319" s="27"/>
      <c r="G2319" s="27"/>
      <c r="H2319" s="27"/>
      <c r="I2319" s="27"/>
      <c r="J2319" s="27"/>
      <c r="K2319" s="27"/>
      <c r="L2319" s="27"/>
      <c r="M2319" s="27"/>
      <c r="N2319" s="27"/>
      <c r="O2319" s="27"/>
      <c r="P2319" s="27"/>
      <c r="Q2319" s="27"/>
      <c r="R2319" s="27"/>
      <c r="S2319" s="27"/>
    </row>
    <row r="2320">
      <c r="B2320" s="27"/>
      <c r="C2320" s="27"/>
      <c r="D2320" s="27"/>
      <c r="E2320" s="27"/>
      <c r="F2320" s="27"/>
      <c r="G2320" s="27"/>
      <c r="H2320" s="27"/>
      <c r="I2320" s="27"/>
      <c r="J2320" s="27"/>
      <c r="K2320" s="27"/>
      <c r="L2320" s="27"/>
      <c r="M2320" s="27"/>
      <c r="N2320" s="27"/>
      <c r="O2320" s="27"/>
      <c r="P2320" s="27"/>
      <c r="Q2320" s="27"/>
      <c r="R2320" s="27"/>
      <c r="S2320" s="27"/>
    </row>
    <row r="2321">
      <c r="B2321" s="27"/>
      <c r="C2321" s="27"/>
      <c r="D2321" s="27"/>
      <c r="E2321" s="27"/>
      <c r="F2321" s="27"/>
      <c r="G2321" s="27"/>
      <c r="H2321" s="27"/>
      <c r="I2321" s="27"/>
      <c r="J2321" s="27"/>
      <c r="K2321" s="27"/>
      <c r="L2321" s="27"/>
      <c r="M2321" s="27"/>
      <c r="N2321" s="27"/>
      <c r="O2321" s="27"/>
      <c r="P2321" s="27"/>
      <c r="Q2321" s="27"/>
      <c r="R2321" s="27"/>
      <c r="S2321" s="27"/>
    </row>
    <row r="2322">
      <c r="B2322" s="27"/>
      <c r="C2322" s="27"/>
      <c r="D2322" s="27"/>
      <c r="E2322" s="27"/>
      <c r="F2322" s="27"/>
      <c r="G2322" s="27"/>
      <c r="H2322" s="27"/>
      <c r="I2322" s="27"/>
      <c r="J2322" s="27"/>
      <c r="K2322" s="27"/>
      <c r="L2322" s="27"/>
      <c r="M2322" s="27"/>
      <c r="N2322" s="27"/>
      <c r="O2322" s="27"/>
      <c r="P2322" s="27"/>
      <c r="Q2322" s="27"/>
      <c r="R2322" s="27"/>
      <c r="S2322" s="27"/>
    </row>
    <row r="2323">
      <c r="B2323" s="27"/>
      <c r="C2323" s="27"/>
      <c r="D2323" s="27"/>
      <c r="E2323" s="27"/>
      <c r="F2323" s="27"/>
      <c r="G2323" s="27"/>
      <c r="H2323" s="27"/>
      <c r="I2323" s="27"/>
      <c r="J2323" s="27"/>
      <c r="K2323" s="27"/>
      <c r="L2323" s="27"/>
      <c r="M2323" s="27"/>
      <c r="N2323" s="27"/>
      <c r="O2323" s="27"/>
      <c r="P2323" s="27"/>
      <c r="Q2323" s="27"/>
      <c r="R2323" s="27"/>
      <c r="S2323" s="27"/>
    </row>
    <row r="2324">
      <c r="B2324" s="27"/>
      <c r="C2324" s="27"/>
      <c r="D2324" s="27"/>
      <c r="E2324" s="27"/>
      <c r="F2324" s="27"/>
      <c r="G2324" s="27"/>
      <c r="H2324" s="27"/>
      <c r="I2324" s="27"/>
      <c r="J2324" s="27"/>
      <c r="K2324" s="27"/>
      <c r="L2324" s="27"/>
      <c r="M2324" s="27"/>
      <c r="N2324" s="27"/>
      <c r="O2324" s="27"/>
      <c r="P2324" s="27"/>
      <c r="Q2324" s="27"/>
      <c r="R2324" s="27"/>
      <c r="S2324" s="27"/>
    </row>
    <row r="2325">
      <c r="B2325" s="27"/>
      <c r="C2325" s="27"/>
      <c r="D2325" s="27"/>
      <c r="E2325" s="27"/>
      <c r="F2325" s="27"/>
      <c r="G2325" s="27"/>
      <c r="H2325" s="27"/>
      <c r="I2325" s="27"/>
      <c r="J2325" s="27"/>
      <c r="K2325" s="27"/>
      <c r="L2325" s="27"/>
      <c r="M2325" s="27"/>
      <c r="N2325" s="27"/>
      <c r="O2325" s="27"/>
      <c r="P2325" s="27"/>
      <c r="Q2325" s="27"/>
      <c r="R2325" s="27"/>
      <c r="S2325" s="27"/>
    </row>
    <row r="2326">
      <c r="B2326" s="27"/>
      <c r="C2326" s="27"/>
      <c r="D2326" s="27"/>
      <c r="E2326" s="27"/>
      <c r="F2326" s="27"/>
      <c r="G2326" s="27"/>
      <c r="H2326" s="27"/>
      <c r="I2326" s="27"/>
      <c r="J2326" s="27"/>
      <c r="K2326" s="27"/>
      <c r="L2326" s="27"/>
      <c r="M2326" s="27"/>
      <c r="N2326" s="27"/>
      <c r="O2326" s="27"/>
      <c r="P2326" s="27"/>
      <c r="Q2326" s="27"/>
      <c r="R2326" s="27"/>
      <c r="S2326" s="27"/>
    </row>
    <row r="2327">
      <c r="B2327" s="27"/>
      <c r="C2327" s="27"/>
      <c r="D2327" s="27"/>
      <c r="E2327" s="27"/>
      <c r="F2327" s="27"/>
      <c r="G2327" s="27"/>
      <c r="H2327" s="27"/>
      <c r="I2327" s="27"/>
      <c r="J2327" s="27"/>
      <c r="K2327" s="27"/>
      <c r="L2327" s="27"/>
      <c r="M2327" s="27"/>
      <c r="N2327" s="27"/>
      <c r="O2327" s="27"/>
      <c r="P2327" s="27"/>
      <c r="Q2327" s="27"/>
      <c r="R2327" s="27"/>
      <c r="S2327" s="27"/>
    </row>
    <row r="2328">
      <c r="B2328" s="27"/>
      <c r="C2328" s="27"/>
      <c r="D2328" s="27"/>
      <c r="E2328" s="27"/>
      <c r="F2328" s="27"/>
      <c r="G2328" s="27"/>
      <c r="H2328" s="27"/>
      <c r="I2328" s="27"/>
      <c r="J2328" s="27"/>
      <c r="K2328" s="27"/>
      <c r="L2328" s="27"/>
      <c r="M2328" s="27"/>
      <c r="N2328" s="27"/>
      <c r="O2328" s="27"/>
      <c r="P2328" s="27"/>
      <c r="Q2328" s="27"/>
      <c r="R2328" s="27"/>
      <c r="S2328" s="27"/>
    </row>
    <row r="2329">
      <c r="B2329" s="27"/>
      <c r="C2329" s="27"/>
      <c r="D2329" s="27"/>
      <c r="E2329" s="27"/>
      <c r="F2329" s="27"/>
      <c r="G2329" s="27"/>
      <c r="H2329" s="27"/>
      <c r="I2329" s="27"/>
      <c r="J2329" s="27"/>
      <c r="K2329" s="27"/>
      <c r="L2329" s="27"/>
      <c r="M2329" s="27"/>
      <c r="N2329" s="27"/>
      <c r="O2329" s="27"/>
      <c r="P2329" s="27"/>
      <c r="Q2329" s="27"/>
      <c r="R2329" s="27"/>
      <c r="S2329" s="27"/>
    </row>
    <row r="2330">
      <c r="B2330" s="27"/>
      <c r="C2330" s="27"/>
      <c r="D2330" s="27"/>
      <c r="E2330" s="27"/>
      <c r="F2330" s="27"/>
      <c r="G2330" s="27"/>
      <c r="H2330" s="27"/>
      <c r="I2330" s="27"/>
      <c r="J2330" s="27"/>
      <c r="K2330" s="27"/>
      <c r="L2330" s="27"/>
      <c r="M2330" s="27"/>
      <c r="N2330" s="27"/>
      <c r="O2330" s="27"/>
      <c r="P2330" s="27"/>
      <c r="Q2330" s="27"/>
      <c r="R2330" s="27"/>
      <c r="S2330" s="27"/>
    </row>
    <row r="2331">
      <c r="B2331" s="27"/>
      <c r="C2331" s="27"/>
      <c r="D2331" s="27"/>
      <c r="E2331" s="27"/>
      <c r="F2331" s="27"/>
      <c r="G2331" s="27"/>
      <c r="H2331" s="27"/>
      <c r="I2331" s="27"/>
      <c r="J2331" s="27"/>
      <c r="K2331" s="27"/>
      <c r="L2331" s="27"/>
      <c r="M2331" s="27"/>
      <c r="N2331" s="27"/>
      <c r="O2331" s="27"/>
      <c r="P2331" s="27"/>
      <c r="Q2331" s="27"/>
      <c r="R2331" s="27"/>
      <c r="S2331" s="27"/>
    </row>
    <row r="2332">
      <c r="B2332" s="27"/>
      <c r="C2332" s="27"/>
      <c r="D2332" s="27"/>
      <c r="E2332" s="27"/>
      <c r="F2332" s="27"/>
      <c r="G2332" s="27"/>
      <c r="H2332" s="27"/>
      <c r="I2332" s="27"/>
      <c r="J2332" s="27"/>
      <c r="K2332" s="27"/>
      <c r="L2332" s="27"/>
      <c r="M2332" s="27"/>
      <c r="N2332" s="27"/>
      <c r="O2332" s="27"/>
      <c r="P2332" s="27"/>
      <c r="Q2332" s="27"/>
      <c r="R2332" s="27"/>
      <c r="S2332" s="27"/>
    </row>
    <row r="2333">
      <c r="B2333" s="27"/>
      <c r="C2333" s="27"/>
      <c r="D2333" s="27"/>
      <c r="E2333" s="27"/>
      <c r="F2333" s="27"/>
      <c r="G2333" s="27"/>
      <c r="H2333" s="27"/>
      <c r="I2333" s="27"/>
      <c r="J2333" s="27"/>
      <c r="K2333" s="27"/>
      <c r="L2333" s="27"/>
      <c r="M2333" s="27"/>
      <c r="N2333" s="27"/>
      <c r="O2333" s="27"/>
      <c r="P2333" s="27"/>
      <c r="Q2333" s="27"/>
      <c r="R2333" s="27"/>
      <c r="S2333" s="27"/>
    </row>
    <row r="2334">
      <c r="B2334" s="27"/>
      <c r="C2334" s="27"/>
      <c r="D2334" s="27"/>
      <c r="E2334" s="27"/>
      <c r="F2334" s="27"/>
      <c r="G2334" s="27"/>
      <c r="H2334" s="27"/>
      <c r="I2334" s="27"/>
      <c r="J2334" s="27"/>
      <c r="K2334" s="27"/>
      <c r="L2334" s="27"/>
      <c r="M2334" s="27"/>
      <c r="N2334" s="27"/>
      <c r="O2334" s="27"/>
      <c r="P2334" s="27"/>
      <c r="Q2334" s="27"/>
      <c r="R2334" s="27"/>
      <c r="S2334" s="27"/>
    </row>
    <row r="2335">
      <c r="B2335" s="27"/>
      <c r="C2335" s="27"/>
      <c r="D2335" s="27"/>
      <c r="E2335" s="27"/>
      <c r="F2335" s="27"/>
      <c r="G2335" s="27"/>
      <c r="H2335" s="27"/>
      <c r="I2335" s="27"/>
      <c r="J2335" s="27"/>
      <c r="K2335" s="27"/>
      <c r="L2335" s="27"/>
      <c r="M2335" s="27"/>
      <c r="N2335" s="27"/>
      <c r="O2335" s="27"/>
      <c r="P2335" s="27"/>
      <c r="Q2335" s="27"/>
      <c r="R2335" s="27"/>
      <c r="S2335" s="27"/>
    </row>
    <row r="2336">
      <c r="B2336" s="27"/>
      <c r="C2336" s="27"/>
      <c r="D2336" s="27"/>
      <c r="E2336" s="27"/>
      <c r="F2336" s="27"/>
      <c r="G2336" s="27"/>
      <c r="H2336" s="27"/>
      <c r="I2336" s="27"/>
      <c r="J2336" s="27"/>
      <c r="K2336" s="27"/>
      <c r="L2336" s="27"/>
      <c r="M2336" s="27"/>
      <c r="N2336" s="27"/>
      <c r="O2336" s="27"/>
      <c r="P2336" s="27"/>
      <c r="Q2336" s="27"/>
      <c r="R2336" s="27"/>
      <c r="S2336" s="27"/>
    </row>
    <row r="2337">
      <c r="B2337" s="27"/>
      <c r="C2337" s="27"/>
      <c r="D2337" s="27"/>
      <c r="E2337" s="27"/>
      <c r="F2337" s="27"/>
      <c r="G2337" s="27"/>
      <c r="H2337" s="27"/>
      <c r="I2337" s="27"/>
      <c r="J2337" s="27"/>
      <c r="K2337" s="27"/>
      <c r="L2337" s="27"/>
      <c r="M2337" s="27"/>
      <c r="N2337" s="27"/>
      <c r="O2337" s="27"/>
      <c r="P2337" s="27"/>
      <c r="Q2337" s="27"/>
      <c r="R2337" s="27"/>
      <c r="S2337" s="27"/>
    </row>
    <row r="2338">
      <c r="B2338" s="27"/>
      <c r="C2338" s="27"/>
      <c r="D2338" s="27"/>
      <c r="E2338" s="27"/>
      <c r="F2338" s="27"/>
      <c r="G2338" s="27"/>
      <c r="H2338" s="27"/>
      <c r="I2338" s="27"/>
      <c r="J2338" s="27"/>
      <c r="K2338" s="27"/>
      <c r="L2338" s="27"/>
      <c r="M2338" s="27"/>
      <c r="N2338" s="27"/>
      <c r="O2338" s="27"/>
      <c r="P2338" s="27"/>
      <c r="Q2338" s="27"/>
      <c r="R2338" s="27"/>
      <c r="S2338" s="27"/>
    </row>
    <row r="2339">
      <c r="B2339" s="27"/>
      <c r="C2339" s="27"/>
      <c r="D2339" s="27"/>
      <c r="E2339" s="27"/>
      <c r="F2339" s="27"/>
      <c r="G2339" s="27"/>
      <c r="H2339" s="27"/>
      <c r="I2339" s="27"/>
      <c r="J2339" s="27"/>
      <c r="K2339" s="27"/>
      <c r="L2339" s="27"/>
      <c r="M2339" s="27"/>
      <c r="N2339" s="27"/>
      <c r="O2339" s="27"/>
      <c r="P2339" s="27"/>
      <c r="Q2339" s="27"/>
      <c r="R2339" s="27"/>
      <c r="S2339" s="27"/>
    </row>
    <row r="2340">
      <c r="B2340" s="27"/>
      <c r="C2340" s="27"/>
      <c r="D2340" s="27"/>
      <c r="E2340" s="27"/>
      <c r="F2340" s="27"/>
      <c r="G2340" s="27"/>
      <c r="H2340" s="27"/>
      <c r="I2340" s="27"/>
      <c r="J2340" s="27"/>
      <c r="K2340" s="27"/>
      <c r="L2340" s="27"/>
      <c r="M2340" s="27"/>
      <c r="N2340" s="27"/>
      <c r="O2340" s="27"/>
      <c r="P2340" s="27"/>
      <c r="Q2340" s="27"/>
      <c r="R2340" s="27"/>
      <c r="S2340" s="27"/>
    </row>
    <row r="2341">
      <c r="B2341" s="27"/>
      <c r="C2341" s="27"/>
      <c r="D2341" s="27"/>
      <c r="E2341" s="27"/>
      <c r="F2341" s="27"/>
      <c r="G2341" s="27"/>
      <c r="H2341" s="27"/>
      <c r="I2341" s="27"/>
      <c r="J2341" s="27"/>
      <c r="K2341" s="27"/>
      <c r="L2341" s="27"/>
      <c r="M2341" s="27"/>
      <c r="N2341" s="27"/>
      <c r="O2341" s="27"/>
      <c r="P2341" s="27"/>
      <c r="Q2341" s="27"/>
      <c r="R2341" s="27"/>
      <c r="S2341" s="27"/>
    </row>
    <row r="2342">
      <c r="B2342" s="27"/>
      <c r="C2342" s="27"/>
      <c r="D2342" s="27"/>
      <c r="E2342" s="27"/>
      <c r="F2342" s="27"/>
      <c r="G2342" s="27"/>
      <c r="H2342" s="27"/>
      <c r="I2342" s="27"/>
      <c r="J2342" s="27"/>
      <c r="K2342" s="27"/>
      <c r="L2342" s="27"/>
      <c r="M2342" s="27"/>
      <c r="N2342" s="27"/>
      <c r="O2342" s="27"/>
      <c r="P2342" s="27"/>
      <c r="Q2342" s="27"/>
      <c r="R2342" s="27"/>
      <c r="S2342" s="27"/>
    </row>
    <row r="2343">
      <c r="B2343" s="27"/>
      <c r="C2343" s="27"/>
      <c r="D2343" s="27"/>
      <c r="E2343" s="27"/>
      <c r="F2343" s="27"/>
      <c r="G2343" s="27"/>
      <c r="H2343" s="27"/>
      <c r="I2343" s="27"/>
      <c r="J2343" s="27"/>
      <c r="K2343" s="27"/>
      <c r="L2343" s="27"/>
      <c r="M2343" s="27"/>
      <c r="N2343" s="27"/>
      <c r="O2343" s="27"/>
      <c r="P2343" s="27"/>
      <c r="Q2343" s="27"/>
      <c r="R2343" s="27"/>
      <c r="S2343" s="27"/>
    </row>
    <row r="2344">
      <c r="B2344" s="27"/>
      <c r="C2344" s="27"/>
      <c r="D2344" s="27"/>
      <c r="E2344" s="27"/>
      <c r="F2344" s="27"/>
      <c r="G2344" s="27"/>
      <c r="H2344" s="27"/>
      <c r="I2344" s="27"/>
      <c r="J2344" s="27"/>
      <c r="K2344" s="27"/>
      <c r="L2344" s="27"/>
      <c r="M2344" s="27"/>
      <c r="N2344" s="27"/>
      <c r="O2344" s="27"/>
      <c r="P2344" s="27"/>
      <c r="Q2344" s="27"/>
      <c r="R2344" s="27"/>
      <c r="S2344" s="27"/>
    </row>
    <row r="2345">
      <c r="B2345" s="27"/>
      <c r="C2345" s="27"/>
      <c r="D2345" s="27"/>
      <c r="E2345" s="27"/>
      <c r="F2345" s="27"/>
      <c r="G2345" s="27"/>
      <c r="H2345" s="27"/>
      <c r="I2345" s="27"/>
      <c r="J2345" s="27"/>
      <c r="K2345" s="27"/>
      <c r="L2345" s="27"/>
      <c r="M2345" s="27"/>
      <c r="N2345" s="27"/>
      <c r="O2345" s="27"/>
      <c r="P2345" s="27"/>
      <c r="Q2345" s="27"/>
      <c r="R2345" s="27"/>
      <c r="S2345" s="27"/>
    </row>
    <row r="2346">
      <c r="B2346" s="27"/>
      <c r="C2346" s="27"/>
      <c r="D2346" s="27"/>
      <c r="E2346" s="27"/>
      <c r="F2346" s="27"/>
      <c r="G2346" s="27"/>
      <c r="H2346" s="27"/>
      <c r="I2346" s="27"/>
      <c r="J2346" s="27"/>
      <c r="K2346" s="27"/>
      <c r="L2346" s="27"/>
      <c r="M2346" s="27"/>
      <c r="N2346" s="27"/>
      <c r="O2346" s="27"/>
      <c r="P2346" s="27"/>
      <c r="Q2346" s="27"/>
      <c r="R2346" s="27"/>
      <c r="S2346" s="27"/>
    </row>
    <row r="2347">
      <c r="B2347" s="27"/>
      <c r="C2347" s="27"/>
      <c r="D2347" s="27"/>
      <c r="E2347" s="27"/>
      <c r="F2347" s="27"/>
      <c r="G2347" s="27"/>
      <c r="H2347" s="27"/>
      <c r="I2347" s="27"/>
      <c r="J2347" s="27"/>
      <c r="K2347" s="27"/>
      <c r="L2347" s="27"/>
      <c r="M2347" s="27"/>
      <c r="N2347" s="27"/>
      <c r="O2347" s="27"/>
      <c r="P2347" s="27"/>
      <c r="Q2347" s="27"/>
      <c r="R2347" s="27"/>
      <c r="S2347" s="27"/>
    </row>
    <row r="2348">
      <c r="B2348" s="27"/>
      <c r="C2348" s="27"/>
      <c r="D2348" s="27"/>
      <c r="E2348" s="27"/>
      <c r="F2348" s="27"/>
      <c r="G2348" s="27"/>
      <c r="H2348" s="27"/>
      <c r="I2348" s="27"/>
      <c r="J2348" s="27"/>
      <c r="K2348" s="27"/>
      <c r="L2348" s="27"/>
      <c r="M2348" s="27"/>
      <c r="N2348" s="27"/>
      <c r="O2348" s="27"/>
      <c r="P2348" s="27"/>
      <c r="Q2348" s="27"/>
      <c r="R2348" s="27"/>
      <c r="S2348" s="27"/>
    </row>
    <row r="2349">
      <c r="B2349" s="27"/>
      <c r="C2349" s="27"/>
      <c r="D2349" s="27"/>
      <c r="E2349" s="27"/>
      <c r="F2349" s="27"/>
      <c r="G2349" s="27"/>
      <c r="H2349" s="27"/>
      <c r="I2349" s="27"/>
      <c r="J2349" s="27"/>
      <c r="K2349" s="27"/>
      <c r="L2349" s="27"/>
      <c r="M2349" s="27"/>
      <c r="N2349" s="27"/>
      <c r="O2349" s="27"/>
      <c r="P2349" s="27"/>
      <c r="Q2349" s="27"/>
      <c r="R2349" s="27"/>
      <c r="S2349" s="27"/>
    </row>
    <row r="2350">
      <c r="B2350" s="27"/>
      <c r="C2350" s="27"/>
      <c r="D2350" s="27"/>
      <c r="E2350" s="27"/>
      <c r="F2350" s="27"/>
      <c r="G2350" s="27"/>
      <c r="H2350" s="27"/>
      <c r="I2350" s="27"/>
      <c r="J2350" s="27"/>
      <c r="K2350" s="27"/>
      <c r="L2350" s="27"/>
      <c r="M2350" s="27"/>
      <c r="N2350" s="27"/>
      <c r="O2350" s="27"/>
      <c r="P2350" s="27"/>
      <c r="Q2350" s="27"/>
      <c r="R2350" s="27"/>
      <c r="S2350" s="27"/>
    </row>
    <row r="2351">
      <c r="B2351" s="27"/>
      <c r="C2351" s="27"/>
      <c r="D2351" s="27"/>
      <c r="E2351" s="27"/>
      <c r="F2351" s="27"/>
      <c r="G2351" s="27"/>
      <c r="H2351" s="27"/>
      <c r="I2351" s="27"/>
      <c r="J2351" s="27"/>
      <c r="K2351" s="27"/>
      <c r="L2351" s="27"/>
      <c r="M2351" s="27"/>
      <c r="N2351" s="27"/>
      <c r="O2351" s="27"/>
      <c r="P2351" s="27"/>
      <c r="Q2351" s="27"/>
      <c r="R2351" s="27"/>
      <c r="S2351" s="27"/>
    </row>
    <row r="2352">
      <c r="B2352" s="27"/>
      <c r="C2352" s="27"/>
      <c r="D2352" s="27"/>
      <c r="E2352" s="27"/>
      <c r="F2352" s="27"/>
      <c r="G2352" s="27"/>
      <c r="H2352" s="27"/>
      <c r="I2352" s="27"/>
      <c r="J2352" s="27"/>
      <c r="K2352" s="27"/>
      <c r="L2352" s="27"/>
      <c r="M2352" s="27"/>
      <c r="N2352" s="27"/>
      <c r="O2352" s="27"/>
      <c r="P2352" s="27"/>
      <c r="Q2352" s="27"/>
      <c r="R2352" s="27"/>
      <c r="S2352" s="27"/>
    </row>
    <row r="2353">
      <c r="B2353" s="27"/>
      <c r="C2353" s="27"/>
      <c r="D2353" s="27"/>
      <c r="E2353" s="27"/>
      <c r="F2353" s="27"/>
      <c r="G2353" s="27"/>
      <c r="H2353" s="27"/>
      <c r="I2353" s="27"/>
      <c r="J2353" s="27"/>
      <c r="K2353" s="27"/>
      <c r="L2353" s="27"/>
      <c r="M2353" s="27"/>
      <c r="N2353" s="27"/>
      <c r="O2353" s="27"/>
      <c r="P2353" s="27"/>
      <c r="Q2353" s="27"/>
      <c r="R2353" s="27"/>
      <c r="S2353" s="27"/>
    </row>
    <row r="2354">
      <c r="B2354" s="27"/>
      <c r="C2354" s="27"/>
      <c r="D2354" s="27"/>
      <c r="E2354" s="27"/>
      <c r="F2354" s="27"/>
      <c r="G2354" s="27"/>
      <c r="H2354" s="27"/>
      <c r="I2354" s="27"/>
      <c r="J2354" s="27"/>
      <c r="K2354" s="27"/>
      <c r="L2354" s="27"/>
      <c r="M2354" s="27"/>
      <c r="N2354" s="27"/>
      <c r="O2354" s="27"/>
      <c r="P2354" s="27"/>
      <c r="Q2354" s="27"/>
      <c r="R2354" s="27"/>
      <c r="S2354" s="27"/>
    </row>
    <row r="2355">
      <c r="B2355" s="27"/>
      <c r="C2355" s="27"/>
      <c r="D2355" s="27"/>
      <c r="E2355" s="27"/>
      <c r="F2355" s="27"/>
      <c r="G2355" s="27"/>
      <c r="H2355" s="27"/>
      <c r="I2355" s="27"/>
      <c r="J2355" s="27"/>
      <c r="K2355" s="27"/>
      <c r="L2355" s="27"/>
      <c r="M2355" s="27"/>
      <c r="N2355" s="27"/>
      <c r="O2355" s="27"/>
      <c r="P2355" s="27"/>
      <c r="Q2355" s="27"/>
      <c r="R2355" s="27"/>
      <c r="S2355" s="27"/>
    </row>
    <row r="2356">
      <c r="B2356" s="27"/>
      <c r="C2356" s="27"/>
      <c r="D2356" s="27"/>
      <c r="E2356" s="27"/>
      <c r="F2356" s="27"/>
      <c r="G2356" s="27"/>
      <c r="H2356" s="27"/>
      <c r="I2356" s="27"/>
      <c r="J2356" s="27"/>
      <c r="K2356" s="27"/>
      <c r="L2356" s="27"/>
      <c r="M2356" s="27"/>
      <c r="N2356" s="27"/>
      <c r="O2356" s="27"/>
      <c r="P2356" s="27"/>
      <c r="Q2356" s="27"/>
      <c r="R2356" s="27"/>
      <c r="S2356" s="27"/>
    </row>
    <row r="2357">
      <c r="B2357" s="27"/>
      <c r="C2357" s="27"/>
      <c r="D2357" s="27"/>
      <c r="E2357" s="27"/>
      <c r="F2357" s="27"/>
      <c r="G2357" s="27"/>
      <c r="H2357" s="27"/>
      <c r="I2357" s="27"/>
      <c r="J2357" s="27"/>
      <c r="K2357" s="27"/>
      <c r="L2357" s="27"/>
      <c r="M2357" s="27"/>
      <c r="N2357" s="27"/>
      <c r="O2357" s="27"/>
      <c r="P2357" s="27"/>
      <c r="Q2357" s="27"/>
      <c r="R2357" s="27"/>
      <c r="S2357" s="27"/>
    </row>
    <row r="2358">
      <c r="B2358" s="27"/>
      <c r="C2358" s="27"/>
      <c r="D2358" s="27"/>
      <c r="E2358" s="27"/>
      <c r="F2358" s="27"/>
      <c r="G2358" s="27"/>
      <c r="H2358" s="27"/>
      <c r="I2358" s="27"/>
      <c r="J2358" s="27"/>
      <c r="K2358" s="27"/>
      <c r="L2358" s="27"/>
      <c r="M2358" s="27"/>
      <c r="N2358" s="27"/>
      <c r="O2358" s="27"/>
      <c r="P2358" s="27"/>
      <c r="Q2358" s="27"/>
      <c r="R2358" s="27"/>
      <c r="S2358" s="27"/>
    </row>
    <row r="2359">
      <c r="B2359" s="27"/>
      <c r="C2359" s="27"/>
      <c r="D2359" s="27"/>
      <c r="E2359" s="27"/>
      <c r="F2359" s="27"/>
      <c r="G2359" s="27"/>
      <c r="H2359" s="27"/>
      <c r="I2359" s="27"/>
      <c r="J2359" s="27"/>
      <c r="K2359" s="27"/>
      <c r="L2359" s="27"/>
      <c r="M2359" s="27"/>
      <c r="N2359" s="27"/>
      <c r="O2359" s="27"/>
      <c r="P2359" s="27"/>
      <c r="Q2359" s="27"/>
      <c r="R2359" s="27"/>
      <c r="S2359" s="27"/>
    </row>
    <row r="2360">
      <c r="B2360" s="27"/>
      <c r="C2360" s="27"/>
      <c r="D2360" s="27"/>
      <c r="E2360" s="27"/>
      <c r="F2360" s="27"/>
      <c r="G2360" s="27"/>
      <c r="H2360" s="27"/>
      <c r="I2360" s="27"/>
      <c r="J2360" s="27"/>
      <c r="K2360" s="27"/>
      <c r="L2360" s="27"/>
      <c r="M2360" s="27"/>
      <c r="N2360" s="27"/>
      <c r="O2360" s="27"/>
      <c r="P2360" s="27"/>
      <c r="Q2360" s="27"/>
      <c r="R2360" s="27"/>
      <c r="S2360" s="27"/>
    </row>
    <row r="2361">
      <c r="B2361" s="27"/>
      <c r="C2361" s="27"/>
      <c r="D2361" s="27"/>
      <c r="E2361" s="27"/>
      <c r="F2361" s="27"/>
      <c r="G2361" s="27"/>
      <c r="H2361" s="27"/>
      <c r="I2361" s="27"/>
      <c r="J2361" s="27"/>
      <c r="K2361" s="27"/>
      <c r="L2361" s="27"/>
      <c r="M2361" s="27"/>
      <c r="N2361" s="27"/>
      <c r="O2361" s="27"/>
      <c r="P2361" s="27"/>
      <c r="Q2361" s="27"/>
      <c r="R2361" s="27"/>
      <c r="S2361" s="27"/>
    </row>
    <row r="2362">
      <c r="B2362" s="27"/>
      <c r="C2362" s="27"/>
      <c r="D2362" s="27"/>
      <c r="E2362" s="27"/>
      <c r="F2362" s="27"/>
      <c r="G2362" s="27"/>
      <c r="H2362" s="27"/>
      <c r="I2362" s="27"/>
      <c r="J2362" s="27"/>
      <c r="K2362" s="27"/>
      <c r="L2362" s="27"/>
      <c r="M2362" s="27"/>
      <c r="N2362" s="27"/>
      <c r="O2362" s="27"/>
      <c r="P2362" s="27"/>
      <c r="Q2362" s="27"/>
      <c r="R2362" s="27"/>
      <c r="S2362" s="27"/>
    </row>
    <row r="2363">
      <c r="B2363" s="27"/>
      <c r="C2363" s="27"/>
      <c r="D2363" s="27"/>
      <c r="E2363" s="27"/>
      <c r="F2363" s="27"/>
      <c r="G2363" s="27"/>
      <c r="H2363" s="27"/>
      <c r="I2363" s="27"/>
      <c r="J2363" s="27"/>
      <c r="K2363" s="27"/>
      <c r="L2363" s="27"/>
      <c r="M2363" s="27"/>
      <c r="N2363" s="27"/>
      <c r="O2363" s="27"/>
      <c r="P2363" s="27"/>
      <c r="Q2363" s="27"/>
      <c r="R2363" s="27"/>
      <c r="S2363" s="27"/>
    </row>
    <row r="2364">
      <c r="B2364" s="27"/>
      <c r="C2364" s="27"/>
      <c r="D2364" s="27"/>
      <c r="E2364" s="27"/>
      <c r="F2364" s="27"/>
      <c r="G2364" s="27"/>
      <c r="H2364" s="27"/>
      <c r="I2364" s="27"/>
      <c r="J2364" s="27"/>
      <c r="K2364" s="27"/>
      <c r="L2364" s="27"/>
      <c r="M2364" s="27"/>
      <c r="N2364" s="27"/>
      <c r="O2364" s="27"/>
      <c r="P2364" s="27"/>
      <c r="Q2364" s="27"/>
      <c r="R2364" s="27"/>
      <c r="S2364" s="27"/>
    </row>
    <row r="2365">
      <c r="B2365" s="27"/>
      <c r="C2365" s="27"/>
      <c r="D2365" s="27"/>
      <c r="E2365" s="27"/>
      <c r="F2365" s="27"/>
      <c r="G2365" s="27"/>
      <c r="H2365" s="27"/>
      <c r="I2365" s="27"/>
      <c r="J2365" s="27"/>
      <c r="K2365" s="27"/>
      <c r="L2365" s="27"/>
      <c r="M2365" s="27"/>
      <c r="N2365" s="27"/>
      <c r="O2365" s="27"/>
      <c r="P2365" s="27"/>
      <c r="Q2365" s="27"/>
      <c r="R2365" s="27"/>
      <c r="S2365" s="27"/>
    </row>
    <row r="2366">
      <c r="B2366" s="27"/>
      <c r="C2366" s="27"/>
      <c r="D2366" s="27"/>
      <c r="E2366" s="27"/>
      <c r="F2366" s="27"/>
      <c r="G2366" s="27"/>
      <c r="H2366" s="27"/>
      <c r="I2366" s="27"/>
      <c r="J2366" s="27"/>
      <c r="K2366" s="27"/>
      <c r="L2366" s="27"/>
      <c r="M2366" s="27"/>
      <c r="N2366" s="27"/>
      <c r="O2366" s="27"/>
      <c r="P2366" s="27"/>
      <c r="Q2366" s="27"/>
      <c r="R2366" s="27"/>
      <c r="S2366" s="27"/>
    </row>
    <row r="2367">
      <c r="B2367" s="27"/>
      <c r="C2367" s="27"/>
      <c r="D2367" s="27"/>
      <c r="E2367" s="27"/>
      <c r="F2367" s="27"/>
      <c r="G2367" s="27"/>
      <c r="H2367" s="27"/>
      <c r="I2367" s="27"/>
      <c r="J2367" s="27"/>
      <c r="K2367" s="27"/>
      <c r="L2367" s="27"/>
      <c r="M2367" s="27"/>
      <c r="N2367" s="27"/>
      <c r="O2367" s="27"/>
      <c r="P2367" s="27"/>
      <c r="Q2367" s="27"/>
      <c r="R2367" s="27"/>
      <c r="S2367" s="27"/>
    </row>
    <row r="2368">
      <c r="B2368" s="27"/>
      <c r="C2368" s="27"/>
      <c r="D2368" s="27"/>
      <c r="E2368" s="27"/>
      <c r="F2368" s="27"/>
      <c r="G2368" s="27"/>
      <c r="H2368" s="27"/>
      <c r="I2368" s="27"/>
      <c r="J2368" s="27"/>
      <c r="K2368" s="27"/>
      <c r="L2368" s="27"/>
      <c r="M2368" s="27"/>
      <c r="N2368" s="27"/>
      <c r="O2368" s="27"/>
      <c r="P2368" s="27"/>
      <c r="Q2368" s="27"/>
      <c r="R2368" s="27"/>
      <c r="S2368" s="27"/>
    </row>
    <row r="2369">
      <c r="B2369" s="27"/>
      <c r="C2369" s="27"/>
      <c r="D2369" s="27"/>
      <c r="E2369" s="27"/>
      <c r="F2369" s="27"/>
      <c r="G2369" s="27"/>
      <c r="H2369" s="27"/>
      <c r="I2369" s="27"/>
      <c r="J2369" s="27"/>
      <c r="K2369" s="27"/>
      <c r="L2369" s="27"/>
      <c r="M2369" s="27"/>
      <c r="N2369" s="27"/>
      <c r="O2369" s="27"/>
      <c r="P2369" s="27"/>
      <c r="Q2369" s="27"/>
      <c r="R2369" s="27"/>
      <c r="S2369" s="27"/>
    </row>
    <row r="2370">
      <c r="B2370" s="27"/>
      <c r="C2370" s="27"/>
      <c r="D2370" s="27"/>
      <c r="E2370" s="27"/>
      <c r="F2370" s="27"/>
      <c r="G2370" s="27"/>
      <c r="H2370" s="27"/>
      <c r="I2370" s="27"/>
      <c r="J2370" s="27"/>
      <c r="K2370" s="27"/>
      <c r="L2370" s="27"/>
      <c r="M2370" s="27"/>
      <c r="N2370" s="27"/>
      <c r="O2370" s="27"/>
      <c r="P2370" s="27"/>
      <c r="Q2370" s="27"/>
      <c r="R2370" s="27"/>
      <c r="S2370" s="27"/>
    </row>
    <row r="2371">
      <c r="B2371" s="27"/>
      <c r="C2371" s="27"/>
      <c r="D2371" s="27"/>
      <c r="E2371" s="27"/>
      <c r="F2371" s="27"/>
      <c r="G2371" s="27"/>
      <c r="H2371" s="27"/>
      <c r="I2371" s="27"/>
      <c r="J2371" s="27"/>
      <c r="K2371" s="27"/>
      <c r="L2371" s="27"/>
      <c r="M2371" s="27"/>
      <c r="N2371" s="27"/>
      <c r="O2371" s="27"/>
      <c r="P2371" s="27"/>
      <c r="Q2371" s="27"/>
      <c r="R2371" s="27"/>
      <c r="S2371" s="27"/>
    </row>
    <row r="2372">
      <c r="B2372" s="27"/>
      <c r="C2372" s="27"/>
      <c r="D2372" s="27"/>
      <c r="E2372" s="27"/>
      <c r="F2372" s="27"/>
      <c r="G2372" s="27"/>
      <c r="H2372" s="27"/>
      <c r="I2372" s="27"/>
      <c r="J2372" s="27"/>
      <c r="K2372" s="27"/>
      <c r="L2372" s="27"/>
      <c r="M2372" s="27"/>
      <c r="N2372" s="27"/>
      <c r="O2372" s="27"/>
      <c r="P2372" s="27"/>
      <c r="Q2372" s="27"/>
      <c r="R2372" s="27"/>
      <c r="S2372" s="27"/>
    </row>
    <row r="2373">
      <c r="B2373" s="27"/>
      <c r="C2373" s="27"/>
      <c r="D2373" s="27"/>
      <c r="E2373" s="27"/>
      <c r="F2373" s="27"/>
      <c r="G2373" s="27"/>
      <c r="H2373" s="27"/>
      <c r="I2373" s="27"/>
      <c r="J2373" s="27"/>
      <c r="K2373" s="27"/>
      <c r="L2373" s="27"/>
      <c r="M2373" s="27"/>
      <c r="N2373" s="27"/>
      <c r="O2373" s="27"/>
      <c r="P2373" s="27"/>
      <c r="Q2373" s="27"/>
      <c r="R2373" s="27"/>
      <c r="S2373" s="27"/>
    </row>
    <row r="2374">
      <c r="B2374" s="27"/>
      <c r="C2374" s="27"/>
      <c r="D2374" s="27"/>
      <c r="E2374" s="27"/>
      <c r="F2374" s="27"/>
      <c r="G2374" s="27"/>
      <c r="H2374" s="27"/>
      <c r="I2374" s="27"/>
      <c r="J2374" s="27"/>
      <c r="K2374" s="27"/>
      <c r="L2374" s="27"/>
      <c r="M2374" s="27"/>
      <c r="N2374" s="27"/>
      <c r="O2374" s="27"/>
      <c r="P2374" s="27"/>
      <c r="Q2374" s="27"/>
      <c r="R2374" s="27"/>
      <c r="S2374" s="27"/>
    </row>
    <row r="2375">
      <c r="B2375" s="27"/>
      <c r="C2375" s="27"/>
      <c r="D2375" s="27"/>
      <c r="E2375" s="27"/>
      <c r="F2375" s="27"/>
      <c r="G2375" s="27"/>
      <c r="H2375" s="27"/>
      <c r="I2375" s="27"/>
      <c r="J2375" s="27"/>
      <c r="K2375" s="27"/>
      <c r="L2375" s="27"/>
      <c r="M2375" s="27"/>
      <c r="N2375" s="27"/>
      <c r="O2375" s="27"/>
      <c r="P2375" s="27"/>
      <c r="Q2375" s="27"/>
      <c r="R2375" s="27"/>
      <c r="S2375" s="27"/>
    </row>
    <row r="2376">
      <c r="B2376" s="27"/>
      <c r="C2376" s="27"/>
      <c r="D2376" s="27"/>
      <c r="E2376" s="27"/>
      <c r="F2376" s="27"/>
      <c r="G2376" s="27"/>
      <c r="H2376" s="27"/>
      <c r="I2376" s="27"/>
      <c r="J2376" s="27"/>
      <c r="K2376" s="27"/>
      <c r="L2376" s="27"/>
      <c r="M2376" s="27"/>
      <c r="N2376" s="27"/>
      <c r="O2376" s="27"/>
      <c r="P2376" s="27"/>
      <c r="Q2376" s="27"/>
      <c r="R2376" s="27"/>
      <c r="S2376" s="27"/>
    </row>
    <row r="2377">
      <c r="B2377" s="27"/>
      <c r="C2377" s="27"/>
      <c r="D2377" s="27"/>
      <c r="E2377" s="27"/>
      <c r="F2377" s="27"/>
      <c r="G2377" s="27"/>
      <c r="H2377" s="27"/>
      <c r="I2377" s="27"/>
      <c r="J2377" s="27"/>
      <c r="K2377" s="27"/>
      <c r="L2377" s="27"/>
      <c r="M2377" s="27"/>
      <c r="N2377" s="27"/>
      <c r="O2377" s="27"/>
      <c r="P2377" s="27"/>
      <c r="Q2377" s="27"/>
      <c r="R2377" s="27"/>
      <c r="S2377" s="27"/>
    </row>
    <row r="2378">
      <c r="B2378" s="27"/>
      <c r="C2378" s="27"/>
      <c r="D2378" s="27"/>
      <c r="E2378" s="27"/>
      <c r="F2378" s="27"/>
      <c r="G2378" s="27"/>
      <c r="H2378" s="27"/>
      <c r="I2378" s="27"/>
      <c r="J2378" s="27"/>
      <c r="K2378" s="27"/>
      <c r="L2378" s="27"/>
      <c r="M2378" s="27"/>
      <c r="N2378" s="27"/>
      <c r="O2378" s="27"/>
      <c r="P2378" s="27"/>
      <c r="Q2378" s="27"/>
      <c r="R2378" s="27"/>
      <c r="S2378" s="27"/>
    </row>
    <row r="2379">
      <c r="B2379" s="27"/>
      <c r="C2379" s="27"/>
      <c r="D2379" s="27"/>
      <c r="E2379" s="27"/>
      <c r="F2379" s="27"/>
      <c r="G2379" s="27"/>
      <c r="H2379" s="27"/>
      <c r="I2379" s="27"/>
      <c r="J2379" s="27"/>
      <c r="K2379" s="27"/>
      <c r="L2379" s="27"/>
      <c r="M2379" s="27"/>
      <c r="N2379" s="27"/>
      <c r="O2379" s="27"/>
      <c r="P2379" s="27"/>
      <c r="Q2379" s="27"/>
      <c r="R2379" s="27"/>
      <c r="S2379" s="27"/>
    </row>
    <row r="2380">
      <c r="B2380" s="27"/>
      <c r="C2380" s="27"/>
      <c r="D2380" s="27"/>
      <c r="E2380" s="27"/>
      <c r="F2380" s="27"/>
      <c r="G2380" s="27"/>
      <c r="H2380" s="27"/>
      <c r="I2380" s="27"/>
      <c r="J2380" s="27"/>
      <c r="K2380" s="27"/>
      <c r="L2380" s="27"/>
      <c r="M2380" s="27"/>
      <c r="N2380" s="27"/>
      <c r="O2380" s="27"/>
      <c r="P2380" s="27"/>
      <c r="Q2380" s="27"/>
      <c r="R2380" s="27"/>
      <c r="S2380" s="27"/>
    </row>
    <row r="2381">
      <c r="B2381" s="27"/>
      <c r="C2381" s="27"/>
      <c r="D2381" s="27"/>
      <c r="E2381" s="27"/>
      <c r="F2381" s="27"/>
      <c r="G2381" s="27"/>
      <c r="H2381" s="27"/>
      <c r="I2381" s="27"/>
      <c r="J2381" s="27"/>
      <c r="K2381" s="27"/>
      <c r="L2381" s="27"/>
      <c r="M2381" s="27"/>
      <c r="N2381" s="27"/>
      <c r="O2381" s="27"/>
      <c r="P2381" s="27"/>
      <c r="Q2381" s="27"/>
      <c r="R2381" s="27"/>
      <c r="S2381" s="27"/>
    </row>
    <row r="2382">
      <c r="B2382" s="27"/>
      <c r="C2382" s="27"/>
      <c r="D2382" s="27"/>
      <c r="E2382" s="27"/>
      <c r="F2382" s="27"/>
      <c r="G2382" s="27"/>
      <c r="H2382" s="27"/>
      <c r="I2382" s="27"/>
      <c r="J2382" s="27"/>
      <c r="K2382" s="27"/>
      <c r="L2382" s="27"/>
      <c r="M2382" s="27"/>
      <c r="N2382" s="27"/>
      <c r="O2382" s="27"/>
      <c r="P2382" s="27"/>
      <c r="Q2382" s="27"/>
      <c r="R2382" s="27"/>
      <c r="S2382" s="27"/>
    </row>
    <row r="2383">
      <c r="B2383" s="27"/>
      <c r="C2383" s="27"/>
      <c r="D2383" s="27"/>
      <c r="E2383" s="27"/>
      <c r="F2383" s="27"/>
      <c r="G2383" s="27"/>
      <c r="H2383" s="27"/>
      <c r="I2383" s="27"/>
      <c r="J2383" s="27"/>
      <c r="K2383" s="27"/>
      <c r="L2383" s="27"/>
      <c r="M2383" s="27"/>
      <c r="N2383" s="27"/>
      <c r="O2383" s="27"/>
      <c r="P2383" s="27"/>
      <c r="Q2383" s="27"/>
      <c r="R2383" s="27"/>
      <c r="S2383" s="27"/>
    </row>
    <row r="2384">
      <c r="B2384" s="27"/>
      <c r="C2384" s="27"/>
      <c r="D2384" s="27"/>
      <c r="E2384" s="27"/>
      <c r="F2384" s="27"/>
      <c r="G2384" s="27"/>
      <c r="H2384" s="27"/>
      <c r="I2384" s="27"/>
      <c r="J2384" s="27"/>
      <c r="K2384" s="27"/>
      <c r="L2384" s="27"/>
      <c r="M2384" s="27"/>
      <c r="N2384" s="27"/>
      <c r="O2384" s="27"/>
      <c r="P2384" s="27"/>
      <c r="Q2384" s="27"/>
      <c r="R2384" s="27"/>
      <c r="S2384" s="27"/>
    </row>
    <row r="2385">
      <c r="B2385" s="27"/>
      <c r="C2385" s="27"/>
      <c r="D2385" s="27"/>
      <c r="E2385" s="27"/>
      <c r="F2385" s="27"/>
      <c r="G2385" s="27"/>
      <c r="H2385" s="27"/>
      <c r="I2385" s="27"/>
      <c r="J2385" s="27"/>
      <c r="K2385" s="27"/>
      <c r="L2385" s="27"/>
      <c r="M2385" s="27"/>
      <c r="N2385" s="27"/>
      <c r="O2385" s="27"/>
      <c r="P2385" s="27"/>
      <c r="Q2385" s="27"/>
      <c r="R2385" s="27"/>
      <c r="S2385" s="27"/>
    </row>
    <row r="2386">
      <c r="B2386" s="27"/>
      <c r="C2386" s="27"/>
      <c r="D2386" s="27"/>
      <c r="E2386" s="27"/>
      <c r="F2386" s="27"/>
      <c r="G2386" s="27"/>
      <c r="H2386" s="27"/>
      <c r="I2386" s="27"/>
      <c r="J2386" s="27"/>
      <c r="K2386" s="27"/>
      <c r="L2386" s="27"/>
      <c r="M2386" s="27"/>
      <c r="N2386" s="27"/>
      <c r="O2386" s="27"/>
      <c r="P2386" s="27"/>
      <c r="Q2386" s="27"/>
      <c r="R2386" s="27"/>
      <c r="S2386" s="27"/>
    </row>
    <row r="2387">
      <c r="B2387" s="27"/>
      <c r="C2387" s="27"/>
      <c r="D2387" s="27"/>
      <c r="E2387" s="27"/>
      <c r="F2387" s="27"/>
      <c r="G2387" s="27"/>
      <c r="H2387" s="27"/>
      <c r="I2387" s="27"/>
      <c r="J2387" s="27"/>
      <c r="K2387" s="27"/>
      <c r="L2387" s="27"/>
      <c r="M2387" s="27"/>
      <c r="N2387" s="27"/>
      <c r="O2387" s="27"/>
      <c r="P2387" s="27"/>
      <c r="Q2387" s="27"/>
      <c r="R2387" s="27"/>
      <c r="S2387" s="27"/>
    </row>
    <row r="2388">
      <c r="B2388" s="27"/>
      <c r="C2388" s="27"/>
      <c r="D2388" s="27"/>
      <c r="E2388" s="27"/>
      <c r="F2388" s="27"/>
      <c r="G2388" s="27"/>
      <c r="H2388" s="27"/>
      <c r="I2388" s="27"/>
      <c r="J2388" s="27"/>
      <c r="K2388" s="27"/>
      <c r="L2388" s="27"/>
      <c r="M2388" s="27"/>
      <c r="N2388" s="27"/>
      <c r="O2388" s="27"/>
      <c r="P2388" s="27"/>
      <c r="Q2388" s="27"/>
      <c r="R2388" s="27"/>
      <c r="S2388" s="27"/>
    </row>
    <row r="2389">
      <c r="B2389" s="27"/>
      <c r="C2389" s="27"/>
      <c r="D2389" s="27"/>
      <c r="E2389" s="27"/>
      <c r="F2389" s="27"/>
      <c r="G2389" s="27"/>
      <c r="H2389" s="27"/>
      <c r="I2389" s="27"/>
      <c r="J2389" s="27"/>
      <c r="K2389" s="27"/>
      <c r="L2389" s="27"/>
      <c r="M2389" s="27"/>
      <c r="N2389" s="27"/>
      <c r="O2389" s="27"/>
      <c r="P2389" s="27"/>
      <c r="Q2389" s="27"/>
      <c r="R2389" s="27"/>
      <c r="S2389" s="27"/>
    </row>
    <row r="2390">
      <c r="B2390" s="27"/>
      <c r="C2390" s="27"/>
      <c r="D2390" s="27"/>
      <c r="E2390" s="27"/>
      <c r="F2390" s="27"/>
      <c r="G2390" s="27"/>
      <c r="H2390" s="27"/>
      <c r="I2390" s="27"/>
      <c r="J2390" s="27"/>
      <c r="K2390" s="27"/>
      <c r="L2390" s="27"/>
      <c r="M2390" s="27"/>
      <c r="N2390" s="27"/>
      <c r="O2390" s="27"/>
      <c r="P2390" s="27"/>
      <c r="Q2390" s="27"/>
      <c r="R2390" s="27"/>
      <c r="S2390" s="27"/>
    </row>
    <row r="2391">
      <c r="B2391" s="27"/>
      <c r="C2391" s="27"/>
      <c r="D2391" s="27"/>
      <c r="E2391" s="27"/>
      <c r="F2391" s="27"/>
      <c r="G2391" s="27"/>
      <c r="H2391" s="27"/>
      <c r="I2391" s="27"/>
      <c r="J2391" s="27"/>
      <c r="K2391" s="27"/>
      <c r="L2391" s="27"/>
      <c r="M2391" s="27"/>
      <c r="N2391" s="27"/>
      <c r="O2391" s="27"/>
      <c r="P2391" s="27"/>
      <c r="Q2391" s="27"/>
      <c r="R2391" s="27"/>
      <c r="S2391" s="27"/>
    </row>
    <row r="2392">
      <c r="B2392" s="27"/>
      <c r="C2392" s="27"/>
      <c r="D2392" s="27"/>
      <c r="E2392" s="27"/>
      <c r="F2392" s="27"/>
      <c r="G2392" s="27"/>
      <c r="H2392" s="27"/>
      <c r="I2392" s="27"/>
      <c r="J2392" s="27"/>
      <c r="K2392" s="27"/>
      <c r="L2392" s="27"/>
      <c r="M2392" s="27"/>
      <c r="N2392" s="27"/>
      <c r="O2392" s="27"/>
      <c r="P2392" s="27"/>
      <c r="Q2392" s="27"/>
      <c r="R2392" s="27"/>
      <c r="S2392" s="27"/>
    </row>
    <row r="2393">
      <c r="B2393" s="27"/>
      <c r="C2393" s="27"/>
      <c r="D2393" s="27"/>
      <c r="E2393" s="27"/>
      <c r="F2393" s="27"/>
      <c r="G2393" s="27"/>
      <c r="H2393" s="27"/>
      <c r="I2393" s="27"/>
      <c r="J2393" s="27"/>
      <c r="K2393" s="27"/>
      <c r="L2393" s="27"/>
      <c r="M2393" s="27"/>
      <c r="N2393" s="27"/>
      <c r="O2393" s="27"/>
      <c r="P2393" s="27"/>
      <c r="Q2393" s="27"/>
      <c r="R2393" s="27"/>
      <c r="S2393" s="27"/>
    </row>
    <row r="2394">
      <c r="B2394" s="27"/>
      <c r="C2394" s="27"/>
      <c r="D2394" s="27"/>
      <c r="E2394" s="27"/>
      <c r="F2394" s="27"/>
      <c r="G2394" s="27"/>
      <c r="H2394" s="27"/>
      <c r="I2394" s="27"/>
      <c r="J2394" s="27"/>
      <c r="K2394" s="27"/>
      <c r="L2394" s="27"/>
      <c r="M2394" s="27"/>
      <c r="N2394" s="27"/>
      <c r="O2394" s="27"/>
      <c r="P2394" s="27"/>
      <c r="Q2394" s="27"/>
      <c r="R2394" s="27"/>
      <c r="S2394" s="27"/>
    </row>
    <row r="2395">
      <c r="B2395" s="27"/>
      <c r="C2395" s="27"/>
      <c r="D2395" s="27"/>
      <c r="E2395" s="27"/>
      <c r="F2395" s="27"/>
      <c r="G2395" s="27"/>
      <c r="H2395" s="27"/>
      <c r="I2395" s="27"/>
      <c r="J2395" s="27"/>
      <c r="K2395" s="27"/>
      <c r="L2395" s="27"/>
      <c r="M2395" s="27"/>
      <c r="N2395" s="27"/>
      <c r="O2395" s="27"/>
      <c r="P2395" s="27"/>
      <c r="Q2395" s="27"/>
      <c r="R2395" s="27"/>
      <c r="S2395" s="27"/>
    </row>
    <row r="2396">
      <c r="B2396" s="27"/>
      <c r="C2396" s="27"/>
      <c r="D2396" s="27"/>
      <c r="E2396" s="27"/>
      <c r="F2396" s="27"/>
      <c r="G2396" s="27"/>
      <c r="H2396" s="27"/>
      <c r="I2396" s="27"/>
      <c r="J2396" s="27"/>
      <c r="K2396" s="27"/>
      <c r="L2396" s="27"/>
      <c r="M2396" s="27"/>
      <c r="N2396" s="27"/>
      <c r="O2396" s="27"/>
      <c r="P2396" s="27"/>
      <c r="Q2396" s="27"/>
      <c r="R2396" s="27"/>
      <c r="S2396" s="27"/>
    </row>
    <row r="2397">
      <c r="B2397" s="27"/>
      <c r="C2397" s="27"/>
      <c r="D2397" s="27"/>
      <c r="E2397" s="27"/>
      <c r="F2397" s="27"/>
      <c r="G2397" s="27"/>
      <c r="H2397" s="27"/>
      <c r="I2397" s="27"/>
      <c r="J2397" s="27"/>
      <c r="K2397" s="27"/>
      <c r="L2397" s="27"/>
      <c r="M2397" s="27"/>
      <c r="N2397" s="27"/>
      <c r="O2397" s="27"/>
      <c r="P2397" s="27"/>
      <c r="Q2397" s="27"/>
      <c r="R2397" s="27"/>
      <c r="S2397" s="27"/>
    </row>
    <row r="2398">
      <c r="B2398" s="27"/>
      <c r="C2398" s="27"/>
      <c r="D2398" s="27"/>
      <c r="E2398" s="27"/>
      <c r="F2398" s="27"/>
      <c r="G2398" s="27"/>
      <c r="H2398" s="27"/>
      <c r="I2398" s="27"/>
      <c r="J2398" s="27"/>
      <c r="K2398" s="27"/>
      <c r="L2398" s="27"/>
      <c r="M2398" s="27"/>
      <c r="N2398" s="27"/>
      <c r="O2398" s="27"/>
      <c r="P2398" s="27"/>
      <c r="Q2398" s="27"/>
      <c r="R2398" s="27"/>
      <c r="S2398" s="27"/>
    </row>
    <row r="2399">
      <c r="B2399" s="27"/>
      <c r="C2399" s="27"/>
      <c r="D2399" s="27"/>
      <c r="E2399" s="27"/>
      <c r="F2399" s="27"/>
      <c r="G2399" s="27"/>
      <c r="H2399" s="27"/>
      <c r="I2399" s="27"/>
      <c r="J2399" s="27"/>
      <c r="K2399" s="27"/>
      <c r="L2399" s="27"/>
      <c r="M2399" s="27"/>
      <c r="N2399" s="27"/>
      <c r="O2399" s="27"/>
      <c r="P2399" s="27"/>
      <c r="Q2399" s="27"/>
      <c r="R2399" s="27"/>
      <c r="S2399" s="27"/>
    </row>
    <row r="2400">
      <c r="B2400" s="27"/>
      <c r="C2400" s="27"/>
      <c r="D2400" s="27"/>
      <c r="E2400" s="27"/>
      <c r="F2400" s="27"/>
      <c r="G2400" s="27"/>
      <c r="H2400" s="27"/>
      <c r="I2400" s="27"/>
      <c r="J2400" s="27"/>
      <c r="K2400" s="27"/>
      <c r="L2400" s="27"/>
      <c r="M2400" s="27"/>
      <c r="N2400" s="27"/>
      <c r="O2400" s="27"/>
      <c r="P2400" s="27"/>
      <c r="Q2400" s="27"/>
      <c r="R2400" s="27"/>
      <c r="S2400" s="27"/>
    </row>
    <row r="2401">
      <c r="B2401" s="27"/>
      <c r="C2401" s="27"/>
      <c r="D2401" s="27"/>
      <c r="E2401" s="27"/>
      <c r="F2401" s="27"/>
      <c r="G2401" s="27"/>
      <c r="H2401" s="27"/>
      <c r="I2401" s="27"/>
      <c r="J2401" s="27"/>
      <c r="K2401" s="27"/>
      <c r="L2401" s="27"/>
      <c r="M2401" s="27"/>
      <c r="N2401" s="27"/>
      <c r="O2401" s="27"/>
      <c r="P2401" s="27"/>
      <c r="Q2401" s="27"/>
      <c r="R2401" s="27"/>
      <c r="S2401" s="27"/>
    </row>
    <row r="2402">
      <c r="B2402" s="27"/>
      <c r="C2402" s="27"/>
      <c r="D2402" s="27"/>
      <c r="E2402" s="27"/>
      <c r="F2402" s="27"/>
      <c r="G2402" s="27"/>
      <c r="H2402" s="27"/>
      <c r="I2402" s="27"/>
      <c r="J2402" s="27"/>
      <c r="K2402" s="27"/>
      <c r="L2402" s="27"/>
      <c r="M2402" s="27"/>
      <c r="N2402" s="27"/>
      <c r="O2402" s="27"/>
      <c r="P2402" s="27"/>
      <c r="Q2402" s="27"/>
      <c r="R2402" s="27"/>
      <c r="S2402" s="27"/>
    </row>
    <row r="2403">
      <c r="B2403" s="27"/>
      <c r="C2403" s="27"/>
      <c r="D2403" s="27"/>
      <c r="E2403" s="27"/>
      <c r="F2403" s="27"/>
      <c r="G2403" s="27"/>
      <c r="H2403" s="27"/>
      <c r="I2403" s="27"/>
      <c r="J2403" s="27"/>
      <c r="K2403" s="27"/>
      <c r="L2403" s="27"/>
      <c r="M2403" s="27"/>
      <c r="N2403" s="27"/>
      <c r="O2403" s="27"/>
      <c r="P2403" s="27"/>
      <c r="Q2403" s="27"/>
      <c r="R2403" s="27"/>
      <c r="S2403" s="27"/>
    </row>
    <row r="2404">
      <c r="B2404" s="27"/>
      <c r="C2404" s="27"/>
      <c r="D2404" s="27"/>
      <c r="E2404" s="27"/>
      <c r="F2404" s="27"/>
      <c r="G2404" s="27"/>
      <c r="H2404" s="27"/>
      <c r="I2404" s="27"/>
      <c r="J2404" s="27"/>
      <c r="K2404" s="27"/>
      <c r="L2404" s="27"/>
      <c r="M2404" s="27"/>
      <c r="N2404" s="27"/>
      <c r="O2404" s="27"/>
      <c r="P2404" s="27"/>
      <c r="Q2404" s="27"/>
      <c r="R2404" s="27"/>
      <c r="S2404" s="27"/>
    </row>
    <row r="2405">
      <c r="B2405" s="27"/>
      <c r="C2405" s="27"/>
      <c r="D2405" s="27"/>
      <c r="E2405" s="27"/>
      <c r="F2405" s="27"/>
      <c r="G2405" s="27"/>
      <c r="H2405" s="27"/>
      <c r="I2405" s="27"/>
      <c r="J2405" s="27"/>
      <c r="K2405" s="27"/>
      <c r="L2405" s="27"/>
      <c r="M2405" s="27"/>
      <c r="N2405" s="27"/>
      <c r="O2405" s="27"/>
      <c r="P2405" s="27"/>
      <c r="Q2405" s="27"/>
      <c r="R2405" s="27"/>
      <c r="S2405" s="27"/>
    </row>
    <row r="2406">
      <c r="B2406" s="27"/>
      <c r="C2406" s="27"/>
      <c r="D2406" s="27"/>
      <c r="E2406" s="27"/>
      <c r="F2406" s="27"/>
      <c r="G2406" s="27"/>
      <c r="H2406" s="27"/>
      <c r="I2406" s="27"/>
      <c r="J2406" s="27"/>
      <c r="K2406" s="27"/>
      <c r="L2406" s="27"/>
      <c r="M2406" s="27"/>
      <c r="N2406" s="27"/>
      <c r="O2406" s="27"/>
      <c r="P2406" s="27"/>
      <c r="Q2406" s="27"/>
      <c r="R2406" s="27"/>
      <c r="S2406" s="27"/>
    </row>
    <row r="2407">
      <c r="B2407" s="27"/>
      <c r="C2407" s="27"/>
      <c r="D2407" s="27"/>
      <c r="E2407" s="27"/>
      <c r="F2407" s="27"/>
      <c r="G2407" s="27"/>
      <c r="H2407" s="27"/>
      <c r="I2407" s="27"/>
      <c r="J2407" s="27"/>
      <c r="K2407" s="27"/>
      <c r="L2407" s="27"/>
      <c r="M2407" s="27"/>
      <c r="N2407" s="27"/>
      <c r="O2407" s="27"/>
      <c r="P2407" s="27"/>
      <c r="Q2407" s="27"/>
      <c r="R2407" s="27"/>
      <c r="S2407" s="27"/>
    </row>
    <row r="2408">
      <c r="B2408" s="27"/>
      <c r="C2408" s="27"/>
      <c r="D2408" s="27"/>
      <c r="E2408" s="27"/>
      <c r="F2408" s="27"/>
      <c r="G2408" s="27"/>
      <c r="H2408" s="27"/>
      <c r="I2408" s="27"/>
      <c r="J2408" s="27"/>
      <c r="K2408" s="27"/>
      <c r="L2408" s="27"/>
      <c r="M2408" s="27"/>
      <c r="N2408" s="27"/>
      <c r="O2408" s="27"/>
      <c r="P2408" s="27"/>
      <c r="Q2408" s="27"/>
      <c r="R2408" s="27"/>
      <c r="S2408" s="27"/>
    </row>
    <row r="2409">
      <c r="B2409" s="27"/>
      <c r="C2409" s="27"/>
      <c r="D2409" s="27"/>
      <c r="E2409" s="27"/>
      <c r="F2409" s="27"/>
      <c r="G2409" s="27"/>
      <c r="H2409" s="27"/>
      <c r="I2409" s="27"/>
      <c r="J2409" s="27"/>
      <c r="K2409" s="27"/>
      <c r="L2409" s="27"/>
      <c r="M2409" s="27"/>
      <c r="N2409" s="27"/>
      <c r="O2409" s="27"/>
      <c r="P2409" s="27"/>
      <c r="Q2409" s="27"/>
      <c r="R2409" s="27"/>
      <c r="S2409" s="27"/>
    </row>
    <row r="2410">
      <c r="B2410" s="27"/>
      <c r="C2410" s="27"/>
      <c r="D2410" s="27"/>
      <c r="E2410" s="27"/>
      <c r="F2410" s="27"/>
      <c r="G2410" s="27"/>
      <c r="H2410" s="27"/>
      <c r="I2410" s="27"/>
      <c r="J2410" s="27"/>
      <c r="K2410" s="27"/>
      <c r="L2410" s="27"/>
      <c r="M2410" s="27"/>
      <c r="N2410" s="27"/>
      <c r="O2410" s="27"/>
      <c r="P2410" s="27"/>
      <c r="Q2410" s="27"/>
      <c r="R2410" s="27"/>
      <c r="S2410" s="27"/>
    </row>
    <row r="2411">
      <c r="B2411" s="27"/>
      <c r="C2411" s="27"/>
      <c r="D2411" s="27"/>
      <c r="E2411" s="27"/>
      <c r="F2411" s="27"/>
      <c r="G2411" s="27"/>
      <c r="H2411" s="27"/>
      <c r="I2411" s="27"/>
      <c r="J2411" s="27"/>
      <c r="K2411" s="27"/>
      <c r="L2411" s="27"/>
      <c r="M2411" s="27"/>
      <c r="N2411" s="27"/>
      <c r="O2411" s="27"/>
      <c r="P2411" s="27"/>
      <c r="Q2411" s="27"/>
      <c r="R2411" s="27"/>
      <c r="S2411" s="27"/>
    </row>
    <row r="2412">
      <c r="B2412" s="27"/>
      <c r="C2412" s="27"/>
      <c r="D2412" s="27"/>
      <c r="E2412" s="27"/>
      <c r="F2412" s="27"/>
      <c r="G2412" s="27"/>
      <c r="H2412" s="27"/>
      <c r="I2412" s="27"/>
      <c r="J2412" s="27"/>
      <c r="K2412" s="27"/>
      <c r="L2412" s="27"/>
      <c r="M2412" s="27"/>
      <c r="N2412" s="27"/>
      <c r="O2412" s="27"/>
      <c r="P2412" s="27"/>
      <c r="Q2412" s="27"/>
      <c r="R2412" s="27"/>
      <c r="S2412" s="27"/>
    </row>
    <row r="2413">
      <c r="B2413" s="27"/>
      <c r="C2413" s="27"/>
      <c r="D2413" s="27"/>
      <c r="E2413" s="27"/>
      <c r="F2413" s="27"/>
      <c r="G2413" s="27"/>
      <c r="H2413" s="27"/>
      <c r="I2413" s="27"/>
      <c r="J2413" s="27"/>
      <c r="K2413" s="27"/>
      <c r="L2413" s="27"/>
      <c r="M2413" s="27"/>
      <c r="N2413" s="27"/>
      <c r="O2413" s="27"/>
      <c r="P2413" s="27"/>
      <c r="Q2413" s="27"/>
      <c r="R2413" s="27"/>
      <c r="S2413" s="27"/>
    </row>
    <row r="2414">
      <c r="B2414" s="27"/>
      <c r="C2414" s="27"/>
      <c r="D2414" s="27"/>
      <c r="E2414" s="27"/>
      <c r="F2414" s="27"/>
      <c r="G2414" s="27"/>
      <c r="H2414" s="27"/>
      <c r="I2414" s="27"/>
      <c r="J2414" s="27"/>
      <c r="K2414" s="27"/>
      <c r="L2414" s="27"/>
      <c r="M2414" s="27"/>
      <c r="N2414" s="27"/>
      <c r="O2414" s="27"/>
      <c r="P2414" s="27"/>
      <c r="Q2414" s="27"/>
      <c r="R2414" s="27"/>
      <c r="S2414" s="27"/>
    </row>
    <row r="2415">
      <c r="B2415" s="27"/>
      <c r="C2415" s="27"/>
      <c r="D2415" s="27"/>
      <c r="E2415" s="27"/>
      <c r="F2415" s="27"/>
      <c r="G2415" s="27"/>
      <c r="H2415" s="27"/>
      <c r="I2415" s="27"/>
      <c r="J2415" s="27"/>
      <c r="K2415" s="27"/>
      <c r="L2415" s="27"/>
      <c r="M2415" s="27"/>
      <c r="N2415" s="27"/>
      <c r="O2415" s="27"/>
      <c r="P2415" s="27"/>
      <c r="Q2415" s="27"/>
      <c r="R2415" s="27"/>
      <c r="S2415" s="27"/>
    </row>
    <row r="2416">
      <c r="B2416" s="27"/>
      <c r="C2416" s="27"/>
      <c r="D2416" s="27"/>
      <c r="E2416" s="27"/>
      <c r="F2416" s="27"/>
      <c r="G2416" s="27"/>
      <c r="H2416" s="27"/>
      <c r="I2416" s="27"/>
      <c r="J2416" s="27"/>
      <c r="K2416" s="27"/>
      <c r="L2416" s="27"/>
      <c r="M2416" s="27"/>
      <c r="N2416" s="27"/>
      <c r="O2416" s="27"/>
      <c r="P2416" s="27"/>
      <c r="Q2416" s="27"/>
      <c r="R2416" s="27"/>
      <c r="S2416" s="27"/>
    </row>
    <row r="2417">
      <c r="B2417" s="27"/>
      <c r="C2417" s="27"/>
      <c r="D2417" s="27"/>
      <c r="E2417" s="27"/>
      <c r="F2417" s="27"/>
      <c r="G2417" s="27"/>
      <c r="H2417" s="27"/>
      <c r="I2417" s="27"/>
      <c r="J2417" s="27"/>
      <c r="K2417" s="27"/>
      <c r="L2417" s="27"/>
      <c r="M2417" s="27"/>
      <c r="N2417" s="27"/>
      <c r="O2417" s="27"/>
      <c r="P2417" s="27"/>
      <c r="Q2417" s="27"/>
      <c r="R2417" s="27"/>
      <c r="S2417" s="27"/>
    </row>
    <row r="2418">
      <c r="B2418" s="27"/>
      <c r="C2418" s="27"/>
      <c r="D2418" s="27"/>
      <c r="E2418" s="27"/>
      <c r="F2418" s="27"/>
      <c r="G2418" s="27"/>
      <c r="H2418" s="27"/>
      <c r="I2418" s="27"/>
      <c r="J2418" s="27"/>
      <c r="K2418" s="27"/>
      <c r="L2418" s="27"/>
      <c r="M2418" s="27"/>
      <c r="N2418" s="27"/>
      <c r="O2418" s="27"/>
      <c r="P2418" s="27"/>
      <c r="Q2418" s="27"/>
      <c r="R2418" s="27"/>
      <c r="S2418" s="27"/>
    </row>
    <row r="2419">
      <c r="B2419" s="27"/>
      <c r="C2419" s="27"/>
      <c r="D2419" s="27"/>
      <c r="E2419" s="27"/>
      <c r="F2419" s="27"/>
      <c r="G2419" s="27"/>
      <c r="H2419" s="27"/>
      <c r="I2419" s="27"/>
      <c r="J2419" s="27"/>
      <c r="K2419" s="27"/>
      <c r="L2419" s="27"/>
      <c r="M2419" s="27"/>
      <c r="N2419" s="27"/>
      <c r="O2419" s="27"/>
      <c r="P2419" s="27"/>
      <c r="Q2419" s="27"/>
      <c r="R2419" s="27"/>
      <c r="S2419" s="27"/>
    </row>
    <row r="2420">
      <c r="B2420" s="27"/>
      <c r="C2420" s="27"/>
      <c r="D2420" s="27"/>
      <c r="E2420" s="27"/>
      <c r="F2420" s="27"/>
      <c r="G2420" s="27"/>
      <c r="H2420" s="27"/>
      <c r="I2420" s="27"/>
      <c r="J2420" s="27"/>
      <c r="K2420" s="27"/>
      <c r="L2420" s="27"/>
      <c r="M2420" s="27"/>
      <c r="N2420" s="27"/>
      <c r="O2420" s="27"/>
      <c r="P2420" s="27"/>
      <c r="Q2420" s="27"/>
      <c r="R2420" s="27"/>
      <c r="S2420" s="27"/>
    </row>
    <row r="2421">
      <c r="B2421" s="27"/>
      <c r="C2421" s="27"/>
      <c r="D2421" s="27"/>
      <c r="E2421" s="27"/>
      <c r="F2421" s="27"/>
      <c r="G2421" s="27"/>
      <c r="H2421" s="27"/>
      <c r="I2421" s="27"/>
      <c r="J2421" s="27"/>
      <c r="K2421" s="27"/>
      <c r="L2421" s="27"/>
      <c r="M2421" s="27"/>
      <c r="N2421" s="27"/>
      <c r="O2421" s="27"/>
      <c r="P2421" s="27"/>
      <c r="Q2421" s="27"/>
      <c r="R2421" s="27"/>
      <c r="S2421" s="27"/>
    </row>
    <row r="2422">
      <c r="B2422" s="27"/>
      <c r="C2422" s="27"/>
      <c r="D2422" s="27"/>
      <c r="E2422" s="27"/>
      <c r="F2422" s="27"/>
      <c r="G2422" s="27"/>
      <c r="H2422" s="27"/>
      <c r="I2422" s="27"/>
      <c r="J2422" s="27"/>
      <c r="K2422" s="27"/>
      <c r="L2422" s="27"/>
      <c r="M2422" s="27"/>
      <c r="N2422" s="27"/>
      <c r="O2422" s="27"/>
      <c r="P2422" s="27"/>
      <c r="Q2422" s="27"/>
      <c r="R2422" s="27"/>
      <c r="S2422" s="27"/>
    </row>
    <row r="2423">
      <c r="B2423" s="27"/>
      <c r="C2423" s="27"/>
      <c r="D2423" s="27"/>
      <c r="E2423" s="27"/>
      <c r="F2423" s="27"/>
      <c r="G2423" s="27"/>
      <c r="H2423" s="27"/>
      <c r="I2423" s="27"/>
      <c r="J2423" s="27"/>
      <c r="K2423" s="27"/>
      <c r="L2423" s="27"/>
      <c r="M2423" s="27"/>
      <c r="N2423" s="27"/>
      <c r="O2423" s="27"/>
      <c r="P2423" s="27"/>
      <c r="Q2423" s="27"/>
      <c r="R2423" s="27"/>
      <c r="S2423" s="27"/>
    </row>
    <row r="2424">
      <c r="B2424" s="27"/>
      <c r="C2424" s="27"/>
      <c r="D2424" s="27"/>
      <c r="E2424" s="27"/>
      <c r="F2424" s="27"/>
      <c r="G2424" s="27"/>
      <c r="H2424" s="27"/>
      <c r="I2424" s="27"/>
      <c r="J2424" s="27"/>
      <c r="K2424" s="27"/>
      <c r="L2424" s="27"/>
      <c r="M2424" s="27"/>
      <c r="N2424" s="27"/>
      <c r="O2424" s="27"/>
      <c r="P2424" s="27"/>
      <c r="Q2424" s="27"/>
      <c r="R2424" s="27"/>
      <c r="S2424" s="27"/>
    </row>
    <row r="2425">
      <c r="B2425" s="27"/>
      <c r="C2425" s="27"/>
      <c r="D2425" s="27"/>
      <c r="E2425" s="27"/>
      <c r="F2425" s="27"/>
      <c r="G2425" s="27"/>
      <c r="H2425" s="27"/>
      <c r="I2425" s="27"/>
      <c r="J2425" s="27"/>
      <c r="K2425" s="27"/>
      <c r="L2425" s="27"/>
      <c r="M2425" s="27"/>
      <c r="N2425" s="27"/>
      <c r="O2425" s="27"/>
      <c r="P2425" s="27"/>
      <c r="Q2425" s="27"/>
      <c r="R2425" s="27"/>
      <c r="S2425" s="27"/>
    </row>
    <row r="2426">
      <c r="B2426" s="27"/>
      <c r="C2426" s="27"/>
      <c r="D2426" s="27"/>
      <c r="E2426" s="27"/>
      <c r="F2426" s="27"/>
      <c r="G2426" s="27"/>
      <c r="H2426" s="27"/>
      <c r="I2426" s="27"/>
      <c r="J2426" s="27"/>
      <c r="K2426" s="27"/>
      <c r="L2426" s="27"/>
      <c r="M2426" s="27"/>
      <c r="N2426" s="27"/>
      <c r="O2426" s="27"/>
      <c r="P2426" s="27"/>
      <c r="Q2426" s="27"/>
      <c r="R2426" s="27"/>
      <c r="S2426" s="27"/>
    </row>
    <row r="2427">
      <c r="B2427" s="27"/>
      <c r="C2427" s="27"/>
      <c r="D2427" s="27"/>
      <c r="E2427" s="27"/>
      <c r="F2427" s="27"/>
      <c r="G2427" s="27"/>
      <c r="H2427" s="27"/>
      <c r="I2427" s="27"/>
      <c r="J2427" s="27"/>
      <c r="K2427" s="27"/>
      <c r="L2427" s="27"/>
      <c r="M2427" s="27"/>
      <c r="N2427" s="27"/>
      <c r="O2427" s="27"/>
      <c r="P2427" s="27"/>
      <c r="Q2427" s="27"/>
      <c r="R2427" s="27"/>
      <c r="S2427" s="27"/>
    </row>
    <row r="2428">
      <c r="B2428" s="27"/>
      <c r="C2428" s="27"/>
      <c r="D2428" s="27"/>
      <c r="E2428" s="27"/>
      <c r="F2428" s="27"/>
      <c r="G2428" s="27"/>
      <c r="H2428" s="27"/>
      <c r="I2428" s="27"/>
      <c r="J2428" s="27"/>
      <c r="K2428" s="27"/>
      <c r="L2428" s="27"/>
      <c r="M2428" s="27"/>
      <c r="N2428" s="27"/>
      <c r="O2428" s="27"/>
      <c r="P2428" s="27"/>
      <c r="Q2428" s="27"/>
      <c r="R2428" s="27"/>
      <c r="S2428" s="27"/>
    </row>
    <row r="2429">
      <c r="B2429" s="27"/>
      <c r="C2429" s="27"/>
      <c r="D2429" s="27"/>
      <c r="E2429" s="27"/>
      <c r="F2429" s="27"/>
      <c r="G2429" s="27"/>
      <c r="H2429" s="27"/>
      <c r="I2429" s="27"/>
      <c r="J2429" s="27"/>
      <c r="K2429" s="27"/>
      <c r="L2429" s="27"/>
      <c r="M2429" s="27"/>
      <c r="N2429" s="27"/>
      <c r="O2429" s="27"/>
      <c r="P2429" s="27"/>
      <c r="Q2429" s="27"/>
      <c r="R2429" s="27"/>
      <c r="S2429" s="27"/>
    </row>
    <row r="2430">
      <c r="B2430" s="27"/>
      <c r="C2430" s="27"/>
      <c r="D2430" s="27"/>
      <c r="E2430" s="27"/>
      <c r="F2430" s="27"/>
      <c r="G2430" s="27"/>
      <c r="H2430" s="27"/>
      <c r="I2430" s="27"/>
      <c r="J2430" s="27"/>
      <c r="K2430" s="27"/>
      <c r="L2430" s="27"/>
      <c r="M2430" s="27"/>
      <c r="N2430" s="27"/>
      <c r="O2430" s="27"/>
      <c r="P2430" s="27"/>
      <c r="Q2430" s="27"/>
      <c r="R2430" s="27"/>
      <c r="S2430" s="27"/>
    </row>
    <row r="2431">
      <c r="B2431" s="27"/>
      <c r="C2431" s="27"/>
      <c r="D2431" s="27"/>
      <c r="E2431" s="27"/>
      <c r="F2431" s="27"/>
      <c r="G2431" s="27"/>
      <c r="H2431" s="27"/>
      <c r="I2431" s="27"/>
      <c r="J2431" s="27"/>
      <c r="K2431" s="27"/>
      <c r="L2431" s="27"/>
      <c r="M2431" s="27"/>
      <c r="N2431" s="27"/>
      <c r="O2431" s="27"/>
      <c r="P2431" s="27"/>
      <c r="Q2431" s="27"/>
      <c r="R2431" s="27"/>
      <c r="S2431" s="27"/>
    </row>
    <row r="2432">
      <c r="B2432" s="27"/>
      <c r="C2432" s="27"/>
      <c r="D2432" s="27"/>
      <c r="E2432" s="27"/>
      <c r="F2432" s="27"/>
      <c r="G2432" s="27"/>
      <c r="H2432" s="27"/>
      <c r="I2432" s="27"/>
      <c r="J2432" s="27"/>
      <c r="K2432" s="27"/>
      <c r="L2432" s="27"/>
      <c r="M2432" s="27"/>
      <c r="N2432" s="27"/>
      <c r="O2432" s="27"/>
      <c r="P2432" s="27"/>
      <c r="Q2432" s="27"/>
      <c r="R2432" s="27"/>
      <c r="S2432" s="27"/>
    </row>
    <row r="2433">
      <c r="B2433" s="27"/>
      <c r="C2433" s="27"/>
      <c r="D2433" s="27"/>
      <c r="E2433" s="27"/>
      <c r="F2433" s="27"/>
      <c r="G2433" s="27"/>
      <c r="H2433" s="27"/>
      <c r="I2433" s="27"/>
      <c r="J2433" s="27"/>
      <c r="K2433" s="27"/>
      <c r="L2433" s="27"/>
      <c r="M2433" s="27"/>
      <c r="N2433" s="27"/>
      <c r="O2433" s="27"/>
      <c r="P2433" s="27"/>
      <c r="Q2433" s="27"/>
      <c r="R2433" s="27"/>
      <c r="S2433" s="27"/>
    </row>
    <row r="2434">
      <c r="B2434" s="27"/>
      <c r="C2434" s="27"/>
      <c r="D2434" s="27"/>
      <c r="E2434" s="27"/>
      <c r="F2434" s="27"/>
      <c r="G2434" s="27"/>
      <c r="H2434" s="27"/>
      <c r="I2434" s="27"/>
      <c r="J2434" s="27"/>
      <c r="K2434" s="27"/>
      <c r="L2434" s="27"/>
      <c r="M2434" s="27"/>
      <c r="N2434" s="27"/>
      <c r="O2434" s="27"/>
      <c r="P2434" s="27"/>
      <c r="Q2434" s="27"/>
      <c r="R2434" s="27"/>
      <c r="S2434" s="27"/>
    </row>
    <row r="2435">
      <c r="B2435" s="27"/>
      <c r="C2435" s="27"/>
      <c r="D2435" s="27"/>
      <c r="E2435" s="27"/>
      <c r="F2435" s="27"/>
      <c r="G2435" s="27"/>
      <c r="H2435" s="27"/>
      <c r="I2435" s="27"/>
      <c r="J2435" s="27"/>
      <c r="K2435" s="27"/>
      <c r="L2435" s="27"/>
      <c r="M2435" s="27"/>
      <c r="N2435" s="27"/>
      <c r="O2435" s="27"/>
      <c r="P2435" s="27"/>
      <c r="Q2435" s="27"/>
      <c r="R2435" s="27"/>
      <c r="S2435" s="27"/>
    </row>
    <row r="2436">
      <c r="B2436" s="27"/>
      <c r="C2436" s="27"/>
      <c r="D2436" s="27"/>
      <c r="E2436" s="27"/>
      <c r="F2436" s="27"/>
      <c r="G2436" s="27"/>
      <c r="H2436" s="27"/>
      <c r="I2436" s="27"/>
      <c r="J2436" s="27"/>
      <c r="K2436" s="27"/>
      <c r="L2436" s="27"/>
      <c r="M2436" s="27"/>
      <c r="N2436" s="27"/>
      <c r="O2436" s="27"/>
      <c r="P2436" s="27"/>
      <c r="Q2436" s="27"/>
      <c r="R2436" s="27"/>
      <c r="S2436" s="27"/>
    </row>
    <row r="2437">
      <c r="B2437" s="27"/>
      <c r="C2437" s="27"/>
      <c r="D2437" s="27"/>
      <c r="E2437" s="27"/>
      <c r="F2437" s="27"/>
      <c r="G2437" s="27"/>
      <c r="H2437" s="27"/>
      <c r="I2437" s="27"/>
      <c r="J2437" s="27"/>
      <c r="K2437" s="27"/>
      <c r="L2437" s="27"/>
      <c r="M2437" s="27"/>
      <c r="N2437" s="27"/>
      <c r="O2437" s="27"/>
      <c r="P2437" s="27"/>
      <c r="Q2437" s="27"/>
      <c r="R2437" s="27"/>
      <c r="S2437" s="27"/>
    </row>
    <row r="2438">
      <c r="B2438" s="27"/>
      <c r="C2438" s="27"/>
      <c r="D2438" s="27"/>
      <c r="E2438" s="27"/>
      <c r="F2438" s="27"/>
      <c r="G2438" s="27"/>
      <c r="H2438" s="27"/>
      <c r="I2438" s="27"/>
      <c r="J2438" s="27"/>
      <c r="K2438" s="27"/>
      <c r="L2438" s="27"/>
      <c r="M2438" s="27"/>
      <c r="N2438" s="27"/>
      <c r="O2438" s="27"/>
      <c r="P2438" s="27"/>
      <c r="Q2438" s="27"/>
      <c r="R2438" s="27"/>
      <c r="S2438" s="27"/>
    </row>
    <row r="2439">
      <c r="B2439" s="27"/>
      <c r="C2439" s="27"/>
      <c r="D2439" s="27"/>
      <c r="E2439" s="27"/>
      <c r="F2439" s="27"/>
      <c r="G2439" s="27"/>
      <c r="H2439" s="27"/>
      <c r="I2439" s="27"/>
      <c r="J2439" s="27"/>
      <c r="K2439" s="27"/>
      <c r="L2439" s="27"/>
      <c r="M2439" s="27"/>
      <c r="N2439" s="27"/>
      <c r="O2439" s="27"/>
      <c r="P2439" s="27"/>
      <c r="Q2439" s="27"/>
      <c r="R2439" s="27"/>
      <c r="S2439" s="27"/>
    </row>
    <row r="2440">
      <c r="B2440" s="27"/>
      <c r="C2440" s="27"/>
      <c r="D2440" s="27"/>
      <c r="E2440" s="27"/>
      <c r="F2440" s="27"/>
      <c r="G2440" s="27"/>
      <c r="H2440" s="27"/>
      <c r="I2440" s="27"/>
      <c r="J2440" s="27"/>
      <c r="K2440" s="27"/>
      <c r="L2440" s="27"/>
      <c r="M2440" s="27"/>
      <c r="N2440" s="27"/>
      <c r="O2440" s="27"/>
      <c r="P2440" s="27"/>
      <c r="Q2440" s="27"/>
      <c r="R2440" s="27"/>
      <c r="S2440" s="27"/>
    </row>
    <row r="2441">
      <c r="B2441" s="27"/>
      <c r="C2441" s="27"/>
      <c r="D2441" s="27"/>
      <c r="E2441" s="27"/>
      <c r="F2441" s="27"/>
      <c r="G2441" s="27"/>
      <c r="H2441" s="27"/>
      <c r="I2441" s="27"/>
      <c r="J2441" s="27"/>
      <c r="K2441" s="27"/>
      <c r="L2441" s="27"/>
      <c r="M2441" s="27"/>
      <c r="N2441" s="27"/>
      <c r="O2441" s="27"/>
      <c r="P2441" s="27"/>
      <c r="Q2441" s="27"/>
      <c r="R2441" s="27"/>
      <c r="S2441" s="27"/>
    </row>
    <row r="2442">
      <c r="B2442" s="27"/>
      <c r="C2442" s="27"/>
      <c r="D2442" s="27"/>
      <c r="E2442" s="27"/>
      <c r="F2442" s="27"/>
      <c r="G2442" s="27"/>
      <c r="H2442" s="27"/>
      <c r="I2442" s="27"/>
      <c r="J2442" s="27"/>
      <c r="K2442" s="27"/>
      <c r="L2442" s="27"/>
      <c r="M2442" s="27"/>
      <c r="N2442" s="27"/>
      <c r="O2442" s="27"/>
      <c r="P2442" s="27"/>
      <c r="Q2442" s="27"/>
      <c r="R2442" s="27"/>
      <c r="S2442" s="27"/>
    </row>
    <row r="2443">
      <c r="B2443" s="27"/>
      <c r="C2443" s="27"/>
      <c r="D2443" s="27"/>
      <c r="E2443" s="27"/>
      <c r="F2443" s="27"/>
      <c r="G2443" s="27"/>
      <c r="H2443" s="27"/>
      <c r="I2443" s="27"/>
      <c r="J2443" s="27"/>
      <c r="K2443" s="27"/>
      <c r="L2443" s="27"/>
      <c r="M2443" s="27"/>
      <c r="N2443" s="27"/>
      <c r="O2443" s="27"/>
      <c r="P2443" s="27"/>
      <c r="Q2443" s="27"/>
      <c r="R2443" s="27"/>
      <c r="S2443" s="27"/>
    </row>
    <row r="2444">
      <c r="B2444" s="27"/>
      <c r="C2444" s="27"/>
      <c r="D2444" s="27"/>
      <c r="E2444" s="27"/>
      <c r="F2444" s="27"/>
      <c r="G2444" s="27"/>
      <c r="H2444" s="27"/>
      <c r="I2444" s="27"/>
      <c r="J2444" s="27"/>
      <c r="K2444" s="27"/>
      <c r="L2444" s="27"/>
      <c r="M2444" s="27"/>
      <c r="N2444" s="27"/>
      <c r="O2444" s="27"/>
      <c r="P2444" s="27"/>
      <c r="Q2444" s="27"/>
      <c r="R2444" s="27"/>
      <c r="S2444" s="27"/>
    </row>
    <row r="2445">
      <c r="B2445" s="27"/>
      <c r="C2445" s="27"/>
      <c r="D2445" s="27"/>
      <c r="E2445" s="27"/>
      <c r="F2445" s="27"/>
      <c r="G2445" s="27"/>
      <c r="H2445" s="27"/>
      <c r="I2445" s="27"/>
      <c r="J2445" s="27"/>
      <c r="K2445" s="27"/>
      <c r="L2445" s="27"/>
      <c r="M2445" s="27"/>
      <c r="N2445" s="27"/>
      <c r="O2445" s="27"/>
      <c r="P2445" s="27"/>
      <c r="Q2445" s="27"/>
      <c r="R2445" s="27"/>
      <c r="S2445" s="27"/>
    </row>
    <row r="2446">
      <c r="B2446" s="27"/>
      <c r="C2446" s="27"/>
      <c r="D2446" s="27"/>
      <c r="E2446" s="27"/>
      <c r="F2446" s="27"/>
      <c r="G2446" s="27"/>
      <c r="H2446" s="27"/>
      <c r="I2446" s="27"/>
      <c r="J2446" s="27"/>
      <c r="K2446" s="27"/>
      <c r="L2446" s="27"/>
      <c r="M2446" s="27"/>
      <c r="N2446" s="27"/>
      <c r="O2446" s="27"/>
      <c r="P2446" s="27"/>
      <c r="Q2446" s="27"/>
      <c r="R2446" s="27"/>
      <c r="S2446" s="27"/>
    </row>
    <row r="2447">
      <c r="B2447" s="27"/>
      <c r="C2447" s="27"/>
      <c r="D2447" s="27"/>
      <c r="E2447" s="27"/>
      <c r="F2447" s="27"/>
      <c r="G2447" s="27"/>
      <c r="H2447" s="27"/>
      <c r="I2447" s="27"/>
      <c r="J2447" s="27"/>
      <c r="K2447" s="27"/>
      <c r="L2447" s="27"/>
      <c r="M2447" s="27"/>
      <c r="N2447" s="27"/>
      <c r="O2447" s="27"/>
      <c r="P2447" s="27"/>
      <c r="Q2447" s="27"/>
      <c r="R2447" s="27"/>
      <c r="S2447" s="27"/>
    </row>
    <row r="2448">
      <c r="B2448" s="27"/>
      <c r="C2448" s="27"/>
      <c r="D2448" s="27"/>
      <c r="E2448" s="27"/>
      <c r="F2448" s="27"/>
      <c r="G2448" s="27"/>
      <c r="H2448" s="27"/>
      <c r="I2448" s="27"/>
      <c r="J2448" s="27"/>
      <c r="K2448" s="27"/>
      <c r="L2448" s="27"/>
      <c r="M2448" s="27"/>
      <c r="N2448" s="27"/>
      <c r="O2448" s="27"/>
      <c r="P2448" s="27"/>
      <c r="Q2448" s="27"/>
      <c r="R2448" s="27"/>
      <c r="S2448" s="27"/>
    </row>
    <row r="2449">
      <c r="B2449" s="27"/>
      <c r="C2449" s="27"/>
      <c r="D2449" s="27"/>
      <c r="E2449" s="27"/>
      <c r="F2449" s="27"/>
      <c r="G2449" s="27"/>
      <c r="H2449" s="27"/>
      <c r="I2449" s="27"/>
      <c r="J2449" s="27"/>
      <c r="K2449" s="27"/>
      <c r="L2449" s="27"/>
      <c r="M2449" s="27"/>
      <c r="N2449" s="27"/>
      <c r="O2449" s="27"/>
      <c r="P2449" s="27"/>
      <c r="Q2449" s="27"/>
      <c r="R2449" s="27"/>
      <c r="S2449" s="27"/>
    </row>
    <row r="2450">
      <c r="B2450" s="27"/>
      <c r="C2450" s="27"/>
      <c r="D2450" s="27"/>
      <c r="E2450" s="27"/>
      <c r="F2450" s="27"/>
      <c r="G2450" s="27"/>
      <c r="H2450" s="27"/>
      <c r="I2450" s="27"/>
      <c r="J2450" s="27"/>
      <c r="K2450" s="27"/>
      <c r="L2450" s="27"/>
      <c r="M2450" s="27"/>
      <c r="N2450" s="27"/>
      <c r="O2450" s="27"/>
      <c r="P2450" s="27"/>
      <c r="Q2450" s="27"/>
      <c r="R2450" s="27"/>
      <c r="S2450" s="27"/>
    </row>
    <row r="2451">
      <c r="B2451" s="27"/>
      <c r="C2451" s="27"/>
      <c r="D2451" s="27"/>
      <c r="E2451" s="27"/>
      <c r="F2451" s="27"/>
      <c r="G2451" s="27"/>
      <c r="H2451" s="27"/>
      <c r="I2451" s="27"/>
      <c r="J2451" s="27"/>
      <c r="K2451" s="27"/>
      <c r="L2451" s="27"/>
      <c r="M2451" s="27"/>
      <c r="N2451" s="27"/>
      <c r="O2451" s="27"/>
      <c r="P2451" s="27"/>
      <c r="Q2451" s="27"/>
      <c r="R2451" s="27"/>
      <c r="S2451" s="27"/>
    </row>
    <row r="2452">
      <c r="B2452" s="27"/>
      <c r="C2452" s="27"/>
      <c r="D2452" s="27"/>
      <c r="E2452" s="27"/>
      <c r="F2452" s="27"/>
      <c r="G2452" s="27"/>
      <c r="H2452" s="27"/>
      <c r="I2452" s="27"/>
      <c r="J2452" s="27"/>
      <c r="K2452" s="27"/>
      <c r="L2452" s="27"/>
      <c r="M2452" s="27"/>
      <c r="N2452" s="27"/>
      <c r="O2452" s="27"/>
      <c r="P2452" s="27"/>
      <c r="Q2452" s="27"/>
      <c r="R2452" s="27"/>
      <c r="S2452" s="27"/>
    </row>
    <row r="2453">
      <c r="B2453" s="27"/>
      <c r="C2453" s="27"/>
      <c r="D2453" s="27"/>
      <c r="E2453" s="27"/>
      <c r="F2453" s="27"/>
      <c r="G2453" s="27"/>
      <c r="H2453" s="27"/>
      <c r="I2453" s="27"/>
      <c r="J2453" s="27"/>
      <c r="K2453" s="27"/>
      <c r="L2453" s="27"/>
      <c r="M2453" s="27"/>
      <c r="N2453" s="27"/>
      <c r="O2453" s="27"/>
      <c r="P2453" s="27"/>
      <c r="Q2453" s="27"/>
      <c r="R2453" s="27"/>
      <c r="S2453" s="27"/>
    </row>
    <row r="2454">
      <c r="B2454" s="27"/>
      <c r="C2454" s="27"/>
      <c r="D2454" s="27"/>
      <c r="E2454" s="27"/>
      <c r="F2454" s="27"/>
      <c r="G2454" s="27"/>
      <c r="H2454" s="27"/>
      <c r="I2454" s="27"/>
      <c r="J2454" s="27"/>
      <c r="K2454" s="27"/>
      <c r="L2454" s="27"/>
      <c r="M2454" s="27"/>
      <c r="N2454" s="27"/>
      <c r="O2454" s="27"/>
      <c r="P2454" s="27"/>
      <c r="Q2454" s="27"/>
      <c r="R2454" s="27"/>
      <c r="S2454" s="27"/>
    </row>
    <row r="2455">
      <c r="B2455" s="27"/>
      <c r="C2455" s="27"/>
      <c r="D2455" s="27"/>
      <c r="E2455" s="27"/>
      <c r="F2455" s="27"/>
      <c r="G2455" s="27"/>
      <c r="H2455" s="27"/>
      <c r="I2455" s="27"/>
      <c r="J2455" s="27"/>
      <c r="K2455" s="27"/>
      <c r="L2455" s="27"/>
      <c r="M2455" s="27"/>
      <c r="N2455" s="27"/>
      <c r="O2455" s="27"/>
      <c r="P2455" s="27"/>
      <c r="Q2455" s="27"/>
      <c r="R2455" s="27"/>
      <c r="S2455" s="27"/>
    </row>
    <row r="2456">
      <c r="B2456" s="27"/>
      <c r="C2456" s="27"/>
      <c r="D2456" s="27"/>
      <c r="E2456" s="27"/>
      <c r="F2456" s="27"/>
      <c r="G2456" s="27"/>
      <c r="H2456" s="27"/>
      <c r="I2456" s="27"/>
      <c r="J2456" s="27"/>
      <c r="K2456" s="27"/>
      <c r="L2456" s="27"/>
      <c r="M2456" s="27"/>
      <c r="N2456" s="27"/>
      <c r="O2456" s="27"/>
      <c r="P2456" s="27"/>
      <c r="Q2456" s="27"/>
      <c r="R2456" s="27"/>
      <c r="S2456" s="27"/>
    </row>
    <row r="2457">
      <c r="B2457" s="27"/>
      <c r="C2457" s="27"/>
      <c r="D2457" s="27"/>
      <c r="E2457" s="27"/>
      <c r="F2457" s="27"/>
      <c r="G2457" s="27"/>
      <c r="H2457" s="27"/>
      <c r="I2457" s="27"/>
      <c r="J2457" s="27"/>
      <c r="K2457" s="27"/>
      <c r="L2457" s="27"/>
      <c r="M2457" s="27"/>
      <c r="N2457" s="27"/>
      <c r="O2457" s="27"/>
      <c r="P2457" s="27"/>
      <c r="Q2457" s="27"/>
      <c r="R2457" s="27"/>
      <c r="S2457" s="27"/>
    </row>
    <row r="2458">
      <c r="B2458" s="27"/>
      <c r="C2458" s="27"/>
      <c r="D2458" s="27"/>
      <c r="E2458" s="27"/>
      <c r="F2458" s="27"/>
      <c r="G2458" s="27"/>
      <c r="H2458" s="27"/>
      <c r="I2458" s="27"/>
      <c r="J2458" s="27"/>
      <c r="K2458" s="27"/>
      <c r="L2458" s="27"/>
      <c r="M2458" s="27"/>
      <c r="N2458" s="27"/>
      <c r="O2458" s="27"/>
      <c r="P2458" s="27"/>
      <c r="Q2458" s="27"/>
      <c r="R2458" s="27"/>
      <c r="S2458" s="27"/>
    </row>
    <row r="2459">
      <c r="B2459" s="27"/>
      <c r="C2459" s="27"/>
      <c r="D2459" s="27"/>
      <c r="E2459" s="27"/>
      <c r="F2459" s="27"/>
      <c r="G2459" s="27"/>
      <c r="H2459" s="27"/>
      <c r="I2459" s="27"/>
      <c r="J2459" s="27"/>
      <c r="K2459" s="27"/>
      <c r="L2459" s="27"/>
      <c r="M2459" s="27"/>
      <c r="N2459" s="27"/>
      <c r="O2459" s="27"/>
      <c r="P2459" s="27"/>
      <c r="Q2459" s="27"/>
      <c r="R2459" s="27"/>
      <c r="S2459" s="27"/>
    </row>
    <row r="2460">
      <c r="B2460" s="27"/>
      <c r="C2460" s="27"/>
      <c r="D2460" s="27"/>
      <c r="E2460" s="27"/>
      <c r="F2460" s="27"/>
      <c r="G2460" s="27"/>
      <c r="H2460" s="27"/>
      <c r="I2460" s="27"/>
      <c r="J2460" s="27"/>
      <c r="K2460" s="27"/>
      <c r="L2460" s="27"/>
      <c r="M2460" s="27"/>
      <c r="N2460" s="27"/>
      <c r="O2460" s="27"/>
      <c r="P2460" s="27"/>
      <c r="Q2460" s="27"/>
      <c r="R2460" s="27"/>
      <c r="S2460" s="27"/>
    </row>
    <row r="2461">
      <c r="B2461" s="27"/>
      <c r="C2461" s="27"/>
      <c r="D2461" s="27"/>
      <c r="E2461" s="27"/>
      <c r="F2461" s="27"/>
      <c r="G2461" s="27"/>
      <c r="H2461" s="27"/>
      <c r="I2461" s="27"/>
      <c r="J2461" s="27"/>
      <c r="K2461" s="27"/>
      <c r="L2461" s="27"/>
      <c r="M2461" s="27"/>
      <c r="N2461" s="27"/>
      <c r="O2461" s="27"/>
      <c r="P2461" s="27"/>
      <c r="Q2461" s="27"/>
      <c r="R2461" s="27"/>
      <c r="S2461" s="27"/>
    </row>
    <row r="2462">
      <c r="B2462" s="27"/>
      <c r="C2462" s="27"/>
      <c r="D2462" s="27"/>
      <c r="E2462" s="27"/>
      <c r="F2462" s="27"/>
      <c r="G2462" s="27"/>
      <c r="H2462" s="27"/>
      <c r="I2462" s="27"/>
      <c r="J2462" s="27"/>
      <c r="K2462" s="27"/>
      <c r="L2462" s="27"/>
      <c r="M2462" s="27"/>
      <c r="N2462" s="27"/>
      <c r="O2462" s="27"/>
      <c r="P2462" s="27"/>
      <c r="Q2462" s="27"/>
      <c r="R2462" s="27"/>
      <c r="S2462" s="27"/>
    </row>
    <row r="2463">
      <c r="B2463" s="27"/>
      <c r="C2463" s="27"/>
      <c r="D2463" s="27"/>
      <c r="E2463" s="27"/>
      <c r="F2463" s="27"/>
      <c r="G2463" s="27"/>
      <c r="H2463" s="27"/>
      <c r="I2463" s="27"/>
      <c r="J2463" s="27"/>
      <c r="K2463" s="27"/>
      <c r="L2463" s="27"/>
      <c r="M2463" s="27"/>
      <c r="N2463" s="27"/>
      <c r="O2463" s="27"/>
      <c r="P2463" s="27"/>
      <c r="Q2463" s="27"/>
      <c r="R2463" s="27"/>
      <c r="S2463" s="27"/>
    </row>
    <row r="2464">
      <c r="B2464" s="27"/>
      <c r="C2464" s="27"/>
      <c r="D2464" s="27"/>
      <c r="E2464" s="27"/>
      <c r="F2464" s="27"/>
      <c r="G2464" s="27"/>
      <c r="H2464" s="27"/>
      <c r="I2464" s="27"/>
      <c r="J2464" s="27"/>
      <c r="K2464" s="27"/>
      <c r="L2464" s="27"/>
      <c r="M2464" s="27"/>
      <c r="N2464" s="27"/>
      <c r="O2464" s="27"/>
      <c r="P2464" s="27"/>
      <c r="Q2464" s="27"/>
      <c r="R2464" s="27"/>
      <c r="S2464" s="27"/>
    </row>
    <row r="2465">
      <c r="B2465" s="27"/>
      <c r="C2465" s="27"/>
      <c r="D2465" s="27"/>
      <c r="E2465" s="27"/>
      <c r="F2465" s="27"/>
      <c r="G2465" s="27"/>
      <c r="H2465" s="27"/>
      <c r="I2465" s="27"/>
      <c r="J2465" s="27"/>
      <c r="K2465" s="27"/>
      <c r="L2465" s="27"/>
      <c r="M2465" s="27"/>
      <c r="N2465" s="27"/>
      <c r="O2465" s="27"/>
      <c r="P2465" s="27"/>
      <c r="Q2465" s="27"/>
      <c r="R2465" s="27"/>
      <c r="S2465" s="27"/>
    </row>
    <row r="2466">
      <c r="B2466" s="27"/>
      <c r="C2466" s="27"/>
      <c r="D2466" s="27"/>
      <c r="E2466" s="27"/>
      <c r="F2466" s="27"/>
      <c r="G2466" s="27"/>
      <c r="H2466" s="27"/>
      <c r="I2466" s="27"/>
      <c r="J2466" s="27"/>
      <c r="K2466" s="27"/>
      <c r="L2466" s="27"/>
      <c r="M2466" s="27"/>
      <c r="N2466" s="27"/>
      <c r="O2466" s="27"/>
      <c r="P2466" s="27"/>
      <c r="Q2466" s="27"/>
      <c r="R2466" s="27"/>
      <c r="S2466" s="27"/>
    </row>
    <row r="2467">
      <c r="B2467" s="27"/>
      <c r="C2467" s="27"/>
      <c r="D2467" s="27"/>
      <c r="E2467" s="27"/>
      <c r="F2467" s="27"/>
      <c r="G2467" s="27"/>
      <c r="H2467" s="27"/>
      <c r="I2467" s="27"/>
      <c r="J2467" s="27"/>
      <c r="K2467" s="27"/>
      <c r="L2467" s="27"/>
      <c r="M2467" s="27"/>
      <c r="N2467" s="27"/>
      <c r="O2467" s="27"/>
      <c r="P2467" s="27"/>
      <c r="Q2467" s="27"/>
      <c r="R2467" s="27"/>
      <c r="S2467" s="27"/>
    </row>
    <row r="2468">
      <c r="B2468" s="27"/>
      <c r="C2468" s="27"/>
      <c r="D2468" s="27"/>
      <c r="E2468" s="27"/>
      <c r="F2468" s="27"/>
      <c r="G2468" s="27"/>
      <c r="H2468" s="27"/>
      <c r="I2468" s="27"/>
      <c r="J2468" s="27"/>
      <c r="K2468" s="27"/>
      <c r="L2468" s="27"/>
      <c r="M2468" s="27"/>
      <c r="N2468" s="27"/>
      <c r="O2468" s="27"/>
      <c r="P2468" s="27"/>
      <c r="Q2468" s="27"/>
      <c r="R2468" s="27"/>
      <c r="S2468" s="27"/>
    </row>
    <row r="2469">
      <c r="B2469" s="27"/>
      <c r="C2469" s="27"/>
      <c r="D2469" s="27"/>
      <c r="E2469" s="27"/>
      <c r="F2469" s="27"/>
      <c r="G2469" s="27"/>
      <c r="H2469" s="27"/>
      <c r="I2469" s="27"/>
      <c r="J2469" s="27"/>
      <c r="K2469" s="27"/>
      <c r="L2469" s="27"/>
      <c r="M2469" s="27"/>
      <c r="N2469" s="27"/>
      <c r="O2469" s="27"/>
      <c r="P2469" s="27"/>
      <c r="Q2469" s="27"/>
      <c r="R2469" s="27"/>
      <c r="S2469" s="27"/>
    </row>
    <row r="2470">
      <c r="B2470" s="27"/>
      <c r="C2470" s="27"/>
      <c r="D2470" s="27"/>
      <c r="E2470" s="27"/>
      <c r="F2470" s="27"/>
      <c r="G2470" s="27"/>
      <c r="H2470" s="27"/>
      <c r="I2470" s="27"/>
      <c r="J2470" s="27"/>
      <c r="K2470" s="27"/>
      <c r="L2470" s="27"/>
      <c r="M2470" s="27"/>
      <c r="N2470" s="27"/>
      <c r="O2470" s="27"/>
      <c r="P2470" s="27"/>
      <c r="Q2470" s="27"/>
      <c r="R2470" s="27"/>
      <c r="S2470" s="27"/>
    </row>
    <row r="2471">
      <c r="B2471" s="27"/>
      <c r="C2471" s="27"/>
      <c r="D2471" s="27"/>
      <c r="E2471" s="27"/>
      <c r="F2471" s="27"/>
      <c r="G2471" s="27"/>
      <c r="H2471" s="27"/>
      <c r="I2471" s="27"/>
      <c r="J2471" s="27"/>
      <c r="K2471" s="27"/>
      <c r="L2471" s="27"/>
      <c r="M2471" s="27"/>
      <c r="N2471" s="27"/>
      <c r="O2471" s="27"/>
      <c r="P2471" s="27"/>
      <c r="Q2471" s="27"/>
      <c r="R2471" s="27"/>
      <c r="S2471" s="27"/>
    </row>
    <row r="2472">
      <c r="B2472" s="27"/>
      <c r="C2472" s="27"/>
      <c r="D2472" s="27"/>
      <c r="E2472" s="27"/>
      <c r="F2472" s="27"/>
      <c r="G2472" s="27"/>
      <c r="H2472" s="27"/>
      <c r="I2472" s="27"/>
      <c r="J2472" s="27"/>
      <c r="K2472" s="27"/>
      <c r="L2472" s="27"/>
      <c r="M2472" s="27"/>
      <c r="N2472" s="27"/>
      <c r="O2472" s="27"/>
      <c r="P2472" s="27"/>
      <c r="Q2472" s="27"/>
      <c r="R2472" s="27"/>
      <c r="S2472" s="27"/>
    </row>
    <row r="2473">
      <c r="B2473" s="27"/>
      <c r="C2473" s="27"/>
      <c r="D2473" s="27"/>
      <c r="E2473" s="27"/>
      <c r="F2473" s="27"/>
      <c r="G2473" s="27"/>
      <c r="H2473" s="27"/>
      <c r="I2473" s="27"/>
      <c r="J2473" s="27"/>
      <c r="K2473" s="27"/>
      <c r="L2473" s="27"/>
      <c r="M2473" s="27"/>
      <c r="N2473" s="27"/>
      <c r="O2473" s="27"/>
      <c r="P2473" s="27"/>
      <c r="Q2473" s="27"/>
      <c r="R2473" s="27"/>
      <c r="S2473" s="27"/>
    </row>
    <row r="2474">
      <c r="B2474" s="27"/>
      <c r="C2474" s="27"/>
      <c r="D2474" s="27"/>
      <c r="E2474" s="27"/>
      <c r="F2474" s="27"/>
      <c r="G2474" s="27"/>
      <c r="H2474" s="27"/>
      <c r="I2474" s="27"/>
      <c r="J2474" s="27"/>
      <c r="K2474" s="27"/>
      <c r="L2474" s="27"/>
      <c r="M2474" s="27"/>
      <c r="N2474" s="27"/>
      <c r="O2474" s="27"/>
      <c r="P2474" s="27"/>
      <c r="Q2474" s="27"/>
      <c r="R2474" s="27"/>
      <c r="S2474" s="27"/>
    </row>
    <row r="2475">
      <c r="B2475" s="27"/>
      <c r="C2475" s="27"/>
      <c r="D2475" s="27"/>
      <c r="E2475" s="27"/>
      <c r="F2475" s="27"/>
      <c r="G2475" s="27"/>
      <c r="H2475" s="27"/>
      <c r="I2475" s="27"/>
      <c r="J2475" s="27"/>
      <c r="K2475" s="27"/>
      <c r="L2475" s="27"/>
      <c r="M2475" s="27"/>
      <c r="N2475" s="27"/>
      <c r="O2475" s="27"/>
      <c r="P2475" s="27"/>
      <c r="Q2475" s="27"/>
      <c r="R2475" s="27"/>
      <c r="S2475" s="27"/>
    </row>
    <row r="2476">
      <c r="B2476" s="27"/>
      <c r="C2476" s="27"/>
      <c r="D2476" s="27"/>
      <c r="E2476" s="27"/>
      <c r="F2476" s="27"/>
      <c r="G2476" s="27"/>
      <c r="H2476" s="27"/>
      <c r="I2476" s="27"/>
      <c r="J2476" s="27"/>
      <c r="K2476" s="27"/>
      <c r="L2476" s="27"/>
      <c r="M2476" s="27"/>
      <c r="N2476" s="27"/>
      <c r="O2476" s="27"/>
      <c r="P2476" s="27"/>
      <c r="Q2476" s="27"/>
      <c r="R2476" s="27"/>
      <c r="S2476" s="27"/>
    </row>
    <row r="2477">
      <c r="B2477" s="27"/>
      <c r="C2477" s="27"/>
      <c r="D2477" s="27"/>
      <c r="E2477" s="27"/>
      <c r="F2477" s="27"/>
      <c r="G2477" s="27"/>
      <c r="H2477" s="27"/>
      <c r="I2477" s="27"/>
      <c r="J2477" s="27"/>
      <c r="K2477" s="27"/>
      <c r="L2477" s="27"/>
      <c r="M2477" s="27"/>
      <c r="N2477" s="27"/>
      <c r="O2477" s="27"/>
      <c r="P2477" s="27"/>
      <c r="Q2477" s="27"/>
      <c r="R2477" s="27"/>
      <c r="S2477" s="27"/>
    </row>
    <row r="2478">
      <c r="B2478" s="27"/>
      <c r="C2478" s="27"/>
      <c r="D2478" s="27"/>
      <c r="E2478" s="27"/>
      <c r="F2478" s="27"/>
      <c r="G2478" s="27"/>
      <c r="H2478" s="27"/>
      <c r="I2478" s="27"/>
      <c r="J2478" s="27"/>
      <c r="K2478" s="27"/>
      <c r="L2478" s="27"/>
      <c r="M2478" s="27"/>
      <c r="N2478" s="27"/>
      <c r="O2478" s="27"/>
      <c r="P2478" s="27"/>
      <c r="Q2478" s="27"/>
      <c r="R2478" s="27"/>
      <c r="S2478" s="27"/>
    </row>
    <row r="2479">
      <c r="B2479" s="27"/>
      <c r="C2479" s="27"/>
      <c r="D2479" s="27"/>
      <c r="E2479" s="27"/>
      <c r="F2479" s="27"/>
      <c r="G2479" s="27"/>
      <c r="H2479" s="27"/>
      <c r="I2479" s="27"/>
      <c r="J2479" s="27"/>
      <c r="K2479" s="27"/>
      <c r="L2479" s="27"/>
      <c r="M2479" s="27"/>
      <c r="N2479" s="27"/>
      <c r="O2479" s="27"/>
      <c r="P2479" s="27"/>
      <c r="Q2479" s="27"/>
      <c r="R2479" s="27"/>
      <c r="S2479" s="27"/>
    </row>
    <row r="2480">
      <c r="B2480" s="27"/>
      <c r="C2480" s="27"/>
      <c r="D2480" s="27"/>
      <c r="E2480" s="27"/>
      <c r="F2480" s="27"/>
      <c r="G2480" s="27"/>
      <c r="H2480" s="27"/>
      <c r="I2480" s="27"/>
      <c r="J2480" s="27"/>
      <c r="K2480" s="27"/>
      <c r="L2480" s="27"/>
      <c r="M2480" s="27"/>
      <c r="N2480" s="27"/>
      <c r="O2480" s="27"/>
      <c r="P2480" s="27"/>
      <c r="Q2480" s="27"/>
      <c r="R2480" s="27"/>
      <c r="S2480" s="27"/>
    </row>
    <row r="2481">
      <c r="B2481" s="27"/>
      <c r="C2481" s="27"/>
      <c r="D2481" s="27"/>
      <c r="E2481" s="27"/>
      <c r="F2481" s="27"/>
      <c r="G2481" s="27"/>
      <c r="H2481" s="27"/>
      <c r="I2481" s="27"/>
      <c r="J2481" s="27"/>
      <c r="K2481" s="27"/>
      <c r="L2481" s="27"/>
      <c r="M2481" s="27"/>
      <c r="N2481" s="27"/>
      <c r="O2481" s="27"/>
      <c r="P2481" s="27"/>
      <c r="Q2481" s="27"/>
      <c r="R2481" s="27"/>
      <c r="S2481" s="27"/>
    </row>
    <row r="2482">
      <c r="B2482" s="27"/>
      <c r="C2482" s="27"/>
      <c r="D2482" s="27"/>
      <c r="E2482" s="27"/>
      <c r="F2482" s="27"/>
      <c r="G2482" s="27"/>
      <c r="H2482" s="27"/>
      <c r="I2482" s="27"/>
      <c r="J2482" s="27"/>
      <c r="K2482" s="27"/>
      <c r="L2482" s="27"/>
      <c r="M2482" s="27"/>
      <c r="N2482" s="27"/>
      <c r="O2482" s="27"/>
      <c r="P2482" s="27"/>
      <c r="Q2482" s="27"/>
      <c r="R2482" s="27"/>
      <c r="S2482" s="27"/>
    </row>
    <row r="2483">
      <c r="B2483" s="27"/>
      <c r="C2483" s="27"/>
      <c r="D2483" s="27"/>
      <c r="E2483" s="27"/>
      <c r="F2483" s="27"/>
      <c r="G2483" s="27"/>
      <c r="H2483" s="27"/>
      <c r="I2483" s="27"/>
      <c r="J2483" s="27"/>
      <c r="K2483" s="27"/>
      <c r="L2483" s="27"/>
      <c r="M2483" s="27"/>
      <c r="N2483" s="27"/>
      <c r="O2483" s="27"/>
      <c r="P2483" s="27"/>
      <c r="Q2483" s="27"/>
      <c r="R2483" s="27"/>
      <c r="S2483" s="27"/>
    </row>
    <row r="2484">
      <c r="B2484" s="27"/>
      <c r="C2484" s="27"/>
      <c r="D2484" s="27"/>
      <c r="E2484" s="27"/>
      <c r="F2484" s="27"/>
      <c r="G2484" s="27"/>
      <c r="H2484" s="27"/>
      <c r="I2484" s="27"/>
      <c r="J2484" s="27"/>
      <c r="K2484" s="27"/>
      <c r="L2484" s="27"/>
      <c r="M2484" s="27"/>
      <c r="N2484" s="27"/>
      <c r="O2484" s="27"/>
      <c r="P2484" s="27"/>
      <c r="Q2484" s="27"/>
      <c r="R2484" s="27"/>
      <c r="S2484" s="27"/>
    </row>
    <row r="2485">
      <c r="B2485" s="27"/>
      <c r="C2485" s="27"/>
      <c r="D2485" s="27"/>
      <c r="E2485" s="27"/>
      <c r="F2485" s="27"/>
      <c r="G2485" s="27"/>
      <c r="H2485" s="27"/>
      <c r="I2485" s="27"/>
      <c r="J2485" s="27"/>
      <c r="K2485" s="27"/>
      <c r="L2485" s="27"/>
      <c r="M2485" s="27"/>
      <c r="N2485" s="27"/>
      <c r="O2485" s="27"/>
      <c r="P2485" s="27"/>
      <c r="Q2485" s="27"/>
      <c r="R2485" s="27"/>
      <c r="S2485" s="27"/>
    </row>
    <row r="2486">
      <c r="B2486" s="27"/>
      <c r="C2486" s="27"/>
      <c r="D2486" s="27"/>
      <c r="E2486" s="27"/>
      <c r="F2486" s="27"/>
      <c r="G2486" s="27"/>
      <c r="H2486" s="27"/>
      <c r="I2486" s="27"/>
      <c r="J2486" s="27"/>
      <c r="K2486" s="27"/>
      <c r="L2486" s="27"/>
      <c r="M2486" s="27"/>
      <c r="N2486" s="27"/>
      <c r="O2486" s="27"/>
      <c r="P2486" s="27"/>
      <c r="Q2486" s="27"/>
      <c r="R2486" s="27"/>
      <c r="S2486" s="27"/>
    </row>
    <row r="2487">
      <c r="B2487" s="27"/>
      <c r="C2487" s="27"/>
      <c r="D2487" s="27"/>
      <c r="E2487" s="27"/>
      <c r="F2487" s="27"/>
      <c r="G2487" s="27"/>
      <c r="H2487" s="27"/>
      <c r="I2487" s="27"/>
      <c r="J2487" s="27"/>
      <c r="K2487" s="27"/>
      <c r="L2487" s="27"/>
      <c r="M2487" s="27"/>
      <c r="N2487" s="27"/>
      <c r="O2487" s="27"/>
      <c r="P2487" s="27"/>
      <c r="Q2487" s="27"/>
      <c r="R2487" s="27"/>
      <c r="S2487" s="27"/>
    </row>
    <row r="2488">
      <c r="B2488" s="27"/>
      <c r="C2488" s="27"/>
      <c r="D2488" s="27"/>
      <c r="E2488" s="27"/>
      <c r="F2488" s="27"/>
      <c r="G2488" s="27"/>
      <c r="H2488" s="27"/>
      <c r="I2488" s="27"/>
      <c r="J2488" s="27"/>
      <c r="K2488" s="27"/>
      <c r="L2488" s="27"/>
      <c r="M2488" s="27"/>
      <c r="N2488" s="27"/>
      <c r="O2488" s="27"/>
      <c r="P2488" s="27"/>
      <c r="Q2488" s="27"/>
      <c r="R2488" s="27"/>
      <c r="S2488" s="27"/>
    </row>
    <row r="2489">
      <c r="B2489" s="27"/>
      <c r="C2489" s="27"/>
      <c r="D2489" s="27"/>
      <c r="E2489" s="27"/>
      <c r="F2489" s="27"/>
      <c r="G2489" s="27"/>
      <c r="H2489" s="27"/>
      <c r="I2489" s="27"/>
      <c r="J2489" s="27"/>
      <c r="K2489" s="27"/>
      <c r="L2489" s="27"/>
      <c r="M2489" s="27"/>
      <c r="N2489" s="27"/>
      <c r="O2489" s="27"/>
      <c r="P2489" s="27"/>
      <c r="Q2489" s="27"/>
      <c r="R2489" s="27"/>
      <c r="S2489" s="27"/>
    </row>
    <row r="2490">
      <c r="B2490" s="27"/>
      <c r="C2490" s="27"/>
      <c r="D2490" s="27"/>
      <c r="E2490" s="27"/>
      <c r="F2490" s="27"/>
      <c r="G2490" s="27"/>
      <c r="H2490" s="27"/>
      <c r="I2490" s="27"/>
      <c r="J2490" s="27"/>
      <c r="K2490" s="27"/>
      <c r="L2490" s="27"/>
      <c r="M2490" s="27"/>
      <c r="N2490" s="27"/>
      <c r="O2490" s="27"/>
      <c r="P2490" s="27"/>
      <c r="Q2490" s="27"/>
      <c r="R2490" s="27"/>
      <c r="S2490" s="27"/>
    </row>
    <row r="2491">
      <c r="B2491" s="27"/>
      <c r="C2491" s="27"/>
      <c r="D2491" s="27"/>
      <c r="E2491" s="27"/>
      <c r="F2491" s="27"/>
      <c r="G2491" s="27"/>
      <c r="H2491" s="27"/>
      <c r="I2491" s="27"/>
      <c r="J2491" s="27"/>
      <c r="K2491" s="27"/>
      <c r="L2491" s="27"/>
      <c r="M2491" s="27"/>
      <c r="N2491" s="27"/>
      <c r="O2491" s="27"/>
      <c r="P2491" s="27"/>
      <c r="Q2491" s="27"/>
      <c r="R2491" s="27"/>
      <c r="S2491" s="27"/>
    </row>
    <row r="2492">
      <c r="B2492" s="27"/>
      <c r="C2492" s="27"/>
      <c r="D2492" s="27"/>
      <c r="E2492" s="27"/>
      <c r="F2492" s="27"/>
      <c r="G2492" s="27"/>
      <c r="H2492" s="27"/>
      <c r="I2492" s="27"/>
      <c r="J2492" s="27"/>
      <c r="K2492" s="27"/>
      <c r="L2492" s="27"/>
      <c r="M2492" s="27"/>
      <c r="N2492" s="27"/>
      <c r="O2492" s="27"/>
      <c r="P2492" s="27"/>
      <c r="Q2492" s="27"/>
      <c r="R2492" s="27"/>
      <c r="S2492" s="27"/>
    </row>
    <row r="2493">
      <c r="B2493" s="27"/>
      <c r="C2493" s="27"/>
      <c r="D2493" s="27"/>
      <c r="E2493" s="27"/>
      <c r="F2493" s="27"/>
      <c r="G2493" s="27"/>
      <c r="H2493" s="27"/>
      <c r="I2493" s="27"/>
      <c r="J2493" s="27"/>
      <c r="K2493" s="27"/>
      <c r="L2493" s="27"/>
      <c r="M2493" s="27"/>
      <c r="N2493" s="27"/>
      <c r="O2493" s="27"/>
      <c r="P2493" s="27"/>
      <c r="Q2493" s="27"/>
      <c r="R2493" s="27"/>
      <c r="S2493" s="27"/>
    </row>
    <row r="2494">
      <c r="B2494" s="27"/>
      <c r="C2494" s="27"/>
      <c r="D2494" s="27"/>
      <c r="E2494" s="27"/>
      <c r="F2494" s="27"/>
      <c r="G2494" s="27"/>
      <c r="H2494" s="27"/>
      <c r="I2494" s="27"/>
      <c r="J2494" s="27"/>
      <c r="K2494" s="27"/>
      <c r="L2494" s="27"/>
      <c r="M2494" s="27"/>
      <c r="N2494" s="27"/>
      <c r="O2494" s="27"/>
      <c r="P2494" s="27"/>
      <c r="Q2494" s="27"/>
      <c r="R2494" s="27"/>
      <c r="S2494" s="27"/>
    </row>
    <row r="2495">
      <c r="B2495" s="27"/>
      <c r="C2495" s="27"/>
      <c r="D2495" s="27"/>
      <c r="E2495" s="27"/>
      <c r="F2495" s="27"/>
      <c r="G2495" s="27"/>
      <c r="H2495" s="27"/>
      <c r="I2495" s="27"/>
      <c r="J2495" s="27"/>
      <c r="K2495" s="27"/>
      <c r="L2495" s="27"/>
      <c r="M2495" s="27"/>
      <c r="N2495" s="27"/>
      <c r="O2495" s="27"/>
      <c r="P2495" s="27"/>
      <c r="Q2495" s="27"/>
      <c r="R2495" s="27"/>
      <c r="S2495" s="27"/>
    </row>
    <row r="2496">
      <c r="B2496" s="27"/>
      <c r="C2496" s="27"/>
      <c r="D2496" s="27"/>
      <c r="E2496" s="27"/>
      <c r="F2496" s="27"/>
      <c r="G2496" s="27"/>
      <c r="H2496" s="27"/>
      <c r="I2496" s="27"/>
      <c r="J2496" s="27"/>
      <c r="K2496" s="27"/>
      <c r="L2496" s="27"/>
      <c r="M2496" s="27"/>
      <c r="N2496" s="27"/>
      <c r="O2496" s="27"/>
      <c r="P2496" s="27"/>
      <c r="Q2496" s="27"/>
      <c r="R2496" s="27"/>
      <c r="S2496" s="27"/>
    </row>
    <row r="2497">
      <c r="B2497" s="27"/>
      <c r="C2497" s="27"/>
      <c r="D2497" s="27"/>
      <c r="E2497" s="27"/>
      <c r="F2497" s="27"/>
      <c r="G2497" s="27"/>
      <c r="H2497" s="27"/>
      <c r="I2497" s="27"/>
      <c r="J2497" s="27"/>
      <c r="K2497" s="27"/>
      <c r="L2497" s="27"/>
      <c r="M2497" s="27"/>
      <c r="N2497" s="27"/>
      <c r="O2497" s="27"/>
      <c r="P2497" s="27"/>
      <c r="Q2497" s="27"/>
      <c r="R2497" s="27"/>
      <c r="S2497" s="27"/>
    </row>
    <row r="2498">
      <c r="B2498" s="27"/>
      <c r="C2498" s="27"/>
      <c r="D2498" s="27"/>
      <c r="E2498" s="27"/>
      <c r="F2498" s="27"/>
      <c r="G2498" s="27"/>
      <c r="H2498" s="27"/>
      <c r="I2498" s="27"/>
      <c r="J2498" s="27"/>
      <c r="K2498" s="27"/>
      <c r="L2498" s="27"/>
      <c r="M2498" s="27"/>
      <c r="N2498" s="27"/>
      <c r="O2498" s="27"/>
      <c r="P2498" s="27"/>
      <c r="Q2498" s="27"/>
      <c r="R2498" s="27"/>
      <c r="S2498" s="27"/>
    </row>
    <row r="2499">
      <c r="B2499" s="27"/>
      <c r="C2499" s="27"/>
      <c r="D2499" s="27"/>
      <c r="E2499" s="27"/>
      <c r="F2499" s="27"/>
      <c r="G2499" s="27"/>
      <c r="H2499" s="27"/>
      <c r="I2499" s="27"/>
      <c r="J2499" s="27"/>
      <c r="K2499" s="27"/>
      <c r="L2499" s="27"/>
      <c r="M2499" s="27"/>
      <c r="N2499" s="27"/>
      <c r="O2499" s="27"/>
      <c r="P2499" s="27"/>
      <c r="Q2499" s="27"/>
      <c r="R2499" s="27"/>
      <c r="S2499" s="27"/>
    </row>
    <row r="2500">
      <c r="B2500" s="27"/>
      <c r="C2500" s="27"/>
      <c r="D2500" s="27"/>
      <c r="E2500" s="27"/>
      <c r="F2500" s="27"/>
      <c r="G2500" s="27"/>
      <c r="H2500" s="27"/>
      <c r="I2500" s="27"/>
      <c r="J2500" s="27"/>
      <c r="K2500" s="27"/>
      <c r="L2500" s="27"/>
      <c r="M2500" s="27"/>
      <c r="N2500" s="27"/>
      <c r="O2500" s="27"/>
      <c r="P2500" s="27"/>
      <c r="Q2500" s="27"/>
      <c r="R2500" s="27"/>
      <c r="S2500" s="27"/>
    </row>
    <row r="2501">
      <c r="B2501" s="27"/>
      <c r="C2501" s="27"/>
      <c r="D2501" s="27"/>
      <c r="E2501" s="27"/>
      <c r="F2501" s="27"/>
      <c r="G2501" s="27"/>
      <c r="H2501" s="27"/>
      <c r="I2501" s="27"/>
      <c r="J2501" s="27"/>
      <c r="K2501" s="27"/>
      <c r="L2501" s="27"/>
      <c r="M2501" s="27"/>
      <c r="N2501" s="27"/>
      <c r="O2501" s="27"/>
      <c r="P2501" s="27"/>
      <c r="Q2501" s="27"/>
      <c r="R2501" s="27"/>
      <c r="S2501" s="27"/>
    </row>
    <row r="2502">
      <c r="B2502" s="27"/>
      <c r="C2502" s="27"/>
      <c r="D2502" s="27"/>
      <c r="E2502" s="27"/>
      <c r="F2502" s="27"/>
      <c r="G2502" s="27"/>
      <c r="H2502" s="27"/>
      <c r="I2502" s="27"/>
      <c r="J2502" s="27"/>
      <c r="K2502" s="27"/>
      <c r="L2502" s="27"/>
      <c r="M2502" s="27"/>
      <c r="N2502" s="27"/>
      <c r="O2502" s="27"/>
      <c r="P2502" s="27"/>
      <c r="Q2502" s="27"/>
      <c r="R2502" s="27"/>
      <c r="S2502" s="27"/>
    </row>
    <row r="2503">
      <c r="B2503" s="27"/>
      <c r="C2503" s="27"/>
      <c r="D2503" s="27"/>
      <c r="E2503" s="27"/>
      <c r="F2503" s="27"/>
      <c r="G2503" s="27"/>
      <c r="H2503" s="27"/>
      <c r="I2503" s="27"/>
      <c r="J2503" s="27"/>
      <c r="K2503" s="27"/>
      <c r="L2503" s="27"/>
      <c r="M2503" s="27"/>
      <c r="N2503" s="27"/>
      <c r="O2503" s="27"/>
      <c r="P2503" s="27"/>
      <c r="Q2503" s="27"/>
      <c r="R2503" s="27"/>
      <c r="S2503" s="27"/>
    </row>
    <row r="2504">
      <c r="B2504" s="27"/>
      <c r="C2504" s="27"/>
      <c r="D2504" s="27"/>
      <c r="E2504" s="27"/>
      <c r="F2504" s="27"/>
      <c r="G2504" s="27"/>
      <c r="H2504" s="27"/>
      <c r="I2504" s="27"/>
      <c r="J2504" s="27"/>
      <c r="K2504" s="27"/>
      <c r="L2504" s="27"/>
      <c r="M2504" s="27"/>
      <c r="N2504" s="27"/>
      <c r="O2504" s="27"/>
      <c r="P2504" s="27"/>
      <c r="Q2504" s="27"/>
      <c r="R2504" s="27"/>
      <c r="S2504" s="27"/>
    </row>
    <row r="2505">
      <c r="B2505" s="27"/>
      <c r="C2505" s="27"/>
      <c r="D2505" s="27"/>
      <c r="E2505" s="27"/>
      <c r="F2505" s="27"/>
      <c r="G2505" s="27"/>
      <c r="H2505" s="27"/>
      <c r="I2505" s="27"/>
      <c r="J2505" s="27"/>
      <c r="K2505" s="27"/>
      <c r="L2505" s="27"/>
      <c r="M2505" s="27"/>
      <c r="N2505" s="27"/>
      <c r="O2505" s="27"/>
      <c r="P2505" s="27"/>
      <c r="Q2505" s="27"/>
      <c r="R2505" s="27"/>
      <c r="S2505" s="27"/>
    </row>
    <row r="2506">
      <c r="B2506" s="27"/>
      <c r="C2506" s="27"/>
      <c r="D2506" s="27"/>
      <c r="E2506" s="27"/>
      <c r="F2506" s="27"/>
      <c r="G2506" s="27"/>
      <c r="H2506" s="27"/>
      <c r="I2506" s="27"/>
      <c r="J2506" s="27"/>
      <c r="K2506" s="27"/>
      <c r="L2506" s="27"/>
      <c r="M2506" s="27"/>
      <c r="N2506" s="27"/>
      <c r="O2506" s="27"/>
      <c r="P2506" s="27"/>
      <c r="Q2506" s="27"/>
      <c r="R2506" s="27"/>
      <c r="S2506" s="27"/>
    </row>
    <row r="2507">
      <c r="B2507" s="27"/>
      <c r="C2507" s="27"/>
      <c r="D2507" s="27"/>
      <c r="E2507" s="27"/>
      <c r="F2507" s="27"/>
      <c r="G2507" s="27"/>
      <c r="H2507" s="27"/>
      <c r="I2507" s="27"/>
      <c r="J2507" s="27"/>
      <c r="K2507" s="27"/>
      <c r="L2507" s="27"/>
      <c r="M2507" s="27"/>
      <c r="N2507" s="27"/>
      <c r="O2507" s="27"/>
      <c r="P2507" s="27"/>
      <c r="Q2507" s="27"/>
      <c r="R2507" s="27"/>
      <c r="S2507" s="27"/>
    </row>
    <row r="2508">
      <c r="B2508" s="27"/>
      <c r="C2508" s="27"/>
      <c r="D2508" s="27"/>
      <c r="E2508" s="27"/>
      <c r="F2508" s="27"/>
      <c r="G2508" s="27"/>
      <c r="H2508" s="27"/>
      <c r="I2508" s="27"/>
      <c r="J2508" s="27"/>
      <c r="K2508" s="27"/>
      <c r="L2508" s="27"/>
      <c r="M2508" s="27"/>
      <c r="N2508" s="27"/>
      <c r="O2508" s="27"/>
      <c r="P2508" s="27"/>
      <c r="Q2508" s="27"/>
      <c r="R2508" s="27"/>
      <c r="S2508" s="27"/>
    </row>
    <row r="2509">
      <c r="B2509" s="27"/>
      <c r="C2509" s="27"/>
      <c r="D2509" s="27"/>
      <c r="E2509" s="27"/>
      <c r="F2509" s="27"/>
      <c r="G2509" s="27"/>
      <c r="H2509" s="27"/>
      <c r="I2509" s="27"/>
      <c r="J2509" s="27"/>
      <c r="K2509" s="27"/>
      <c r="L2509" s="27"/>
      <c r="M2509" s="27"/>
      <c r="N2509" s="27"/>
      <c r="O2509" s="27"/>
      <c r="P2509" s="27"/>
      <c r="Q2509" s="27"/>
      <c r="R2509" s="27"/>
      <c r="S2509" s="27"/>
    </row>
    <row r="2510">
      <c r="B2510" s="27"/>
      <c r="C2510" s="27"/>
      <c r="D2510" s="27"/>
      <c r="E2510" s="27"/>
      <c r="F2510" s="27"/>
      <c r="G2510" s="27"/>
      <c r="H2510" s="27"/>
      <c r="I2510" s="27"/>
      <c r="J2510" s="27"/>
      <c r="K2510" s="27"/>
      <c r="L2510" s="27"/>
      <c r="M2510" s="27"/>
      <c r="N2510" s="27"/>
      <c r="O2510" s="27"/>
      <c r="P2510" s="27"/>
      <c r="Q2510" s="27"/>
      <c r="R2510" s="27"/>
      <c r="S2510" s="27"/>
    </row>
    <row r="2511">
      <c r="B2511" s="27"/>
      <c r="C2511" s="27"/>
      <c r="D2511" s="27"/>
      <c r="E2511" s="27"/>
      <c r="F2511" s="27"/>
      <c r="G2511" s="27"/>
      <c r="H2511" s="27"/>
      <c r="I2511" s="27"/>
      <c r="J2511" s="27"/>
      <c r="K2511" s="27"/>
      <c r="L2511" s="27"/>
      <c r="M2511" s="27"/>
      <c r="N2511" s="27"/>
      <c r="O2511" s="27"/>
      <c r="P2511" s="27"/>
      <c r="Q2511" s="27"/>
      <c r="R2511" s="27"/>
      <c r="S2511" s="27"/>
    </row>
    <row r="2512">
      <c r="B2512" s="27"/>
      <c r="C2512" s="27"/>
      <c r="D2512" s="27"/>
      <c r="E2512" s="27"/>
      <c r="F2512" s="27"/>
      <c r="G2512" s="27"/>
      <c r="H2512" s="27"/>
      <c r="I2512" s="27"/>
      <c r="J2512" s="27"/>
      <c r="K2512" s="27"/>
      <c r="L2512" s="27"/>
      <c r="M2512" s="27"/>
      <c r="N2512" s="27"/>
      <c r="O2512" s="27"/>
      <c r="P2512" s="27"/>
      <c r="Q2512" s="27"/>
      <c r="R2512" s="27"/>
      <c r="S2512" s="27"/>
    </row>
    <row r="2513">
      <c r="B2513" s="27"/>
      <c r="C2513" s="27"/>
      <c r="D2513" s="27"/>
      <c r="E2513" s="27"/>
      <c r="F2513" s="27"/>
      <c r="G2513" s="27"/>
      <c r="H2513" s="27"/>
      <c r="I2513" s="27"/>
      <c r="J2513" s="27"/>
      <c r="K2513" s="27"/>
      <c r="L2513" s="27"/>
      <c r="M2513" s="27"/>
      <c r="N2513" s="27"/>
      <c r="O2513" s="27"/>
      <c r="P2513" s="27"/>
      <c r="Q2513" s="27"/>
      <c r="R2513" s="27"/>
      <c r="S2513" s="27"/>
    </row>
    <row r="2514">
      <c r="B2514" s="27"/>
      <c r="C2514" s="27"/>
      <c r="D2514" s="27"/>
      <c r="E2514" s="27"/>
      <c r="F2514" s="27"/>
      <c r="G2514" s="27"/>
      <c r="H2514" s="27"/>
      <c r="I2514" s="27"/>
      <c r="J2514" s="27"/>
      <c r="K2514" s="27"/>
      <c r="L2514" s="27"/>
      <c r="M2514" s="27"/>
      <c r="N2514" s="27"/>
      <c r="O2514" s="27"/>
      <c r="P2514" s="27"/>
      <c r="Q2514" s="27"/>
      <c r="R2514" s="27"/>
      <c r="S2514" s="27"/>
    </row>
    <row r="2515">
      <c r="B2515" s="27"/>
      <c r="C2515" s="27"/>
      <c r="D2515" s="27"/>
      <c r="E2515" s="27"/>
      <c r="F2515" s="27"/>
      <c r="G2515" s="27"/>
      <c r="H2515" s="27"/>
      <c r="I2515" s="27"/>
      <c r="J2515" s="27"/>
      <c r="K2515" s="27"/>
      <c r="L2515" s="27"/>
      <c r="M2515" s="27"/>
      <c r="N2515" s="27"/>
      <c r="O2515" s="27"/>
      <c r="P2515" s="27"/>
      <c r="Q2515" s="27"/>
      <c r="R2515" s="27"/>
      <c r="S2515" s="27"/>
    </row>
    <row r="2516">
      <c r="B2516" s="27"/>
      <c r="C2516" s="27"/>
      <c r="D2516" s="27"/>
      <c r="E2516" s="27"/>
      <c r="F2516" s="27"/>
      <c r="G2516" s="27"/>
      <c r="H2516" s="27"/>
      <c r="I2516" s="27"/>
      <c r="J2516" s="27"/>
      <c r="K2516" s="27"/>
      <c r="L2516" s="27"/>
      <c r="M2516" s="27"/>
      <c r="N2516" s="27"/>
      <c r="O2516" s="27"/>
      <c r="P2516" s="27"/>
      <c r="Q2516" s="27"/>
      <c r="R2516" s="27"/>
      <c r="S2516" s="27"/>
    </row>
    <row r="2517">
      <c r="B2517" s="27"/>
      <c r="C2517" s="27"/>
      <c r="D2517" s="27"/>
      <c r="E2517" s="27"/>
      <c r="F2517" s="27"/>
      <c r="G2517" s="27"/>
      <c r="H2517" s="27"/>
      <c r="I2517" s="27"/>
      <c r="J2517" s="27"/>
      <c r="K2517" s="27"/>
      <c r="L2517" s="27"/>
      <c r="M2517" s="27"/>
      <c r="N2517" s="27"/>
      <c r="O2517" s="27"/>
      <c r="P2517" s="27"/>
      <c r="Q2517" s="27"/>
      <c r="R2517" s="27"/>
      <c r="S2517" s="27"/>
    </row>
    <row r="2518">
      <c r="B2518" s="27"/>
      <c r="C2518" s="27"/>
      <c r="D2518" s="27"/>
      <c r="E2518" s="27"/>
      <c r="F2518" s="27"/>
      <c r="G2518" s="27"/>
      <c r="H2518" s="27"/>
      <c r="I2518" s="27"/>
      <c r="J2518" s="27"/>
      <c r="K2518" s="27"/>
      <c r="L2518" s="27"/>
      <c r="M2518" s="27"/>
      <c r="N2518" s="27"/>
      <c r="O2518" s="27"/>
      <c r="P2518" s="27"/>
      <c r="Q2518" s="27"/>
      <c r="R2518" s="27"/>
      <c r="S2518" s="27"/>
    </row>
    <row r="2519">
      <c r="B2519" s="27"/>
      <c r="C2519" s="27"/>
      <c r="D2519" s="27"/>
      <c r="E2519" s="27"/>
      <c r="F2519" s="27"/>
      <c r="G2519" s="27"/>
      <c r="H2519" s="27"/>
      <c r="I2519" s="27"/>
      <c r="J2519" s="27"/>
      <c r="K2519" s="27"/>
      <c r="L2519" s="27"/>
      <c r="M2519" s="27"/>
      <c r="N2519" s="27"/>
      <c r="O2519" s="27"/>
      <c r="P2519" s="27"/>
      <c r="Q2519" s="27"/>
      <c r="R2519" s="27"/>
      <c r="S2519" s="27"/>
    </row>
    <row r="2520">
      <c r="B2520" s="27"/>
      <c r="C2520" s="27"/>
      <c r="D2520" s="27"/>
      <c r="E2520" s="27"/>
      <c r="F2520" s="27"/>
      <c r="G2520" s="27"/>
      <c r="H2520" s="27"/>
      <c r="I2520" s="27"/>
      <c r="J2520" s="27"/>
      <c r="K2520" s="27"/>
      <c r="L2520" s="27"/>
      <c r="M2520" s="27"/>
      <c r="N2520" s="27"/>
      <c r="O2520" s="27"/>
      <c r="P2520" s="27"/>
      <c r="Q2520" s="27"/>
      <c r="R2520" s="27"/>
      <c r="S2520" s="27"/>
    </row>
    <row r="2521">
      <c r="B2521" s="27"/>
      <c r="C2521" s="27"/>
      <c r="D2521" s="27"/>
      <c r="E2521" s="27"/>
      <c r="F2521" s="27"/>
      <c r="G2521" s="27"/>
      <c r="H2521" s="27"/>
      <c r="I2521" s="27"/>
      <c r="J2521" s="27"/>
      <c r="K2521" s="27"/>
      <c r="L2521" s="27"/>
      <c r="M2521" s="27"/>
      <c r="N2521" s="27"/>
      <c r="O2521" s="27"/>
      <c r="P2521" s="27"/>
      <c r="Q2521" s="27"/>
      <c r="R2521" s="27"/>
      <c r="S2521" s="27"/>
    </row>
    <row r="2522">
      <c r="B2522" s="27"/>
      <c r="C2522" s="27"/>
      <c r="D2522" s="27"/>
      <c r="E2522" s="27"/>
      <c r="F2522" s="27"/>
      <c r="G2522" s="27"/>
      <c r="H2522" s="27"/>
      <c r="I2522" s="27"/>
      <c r="J2522" s="27"/>
      <c r="K2522" s="27"/>
      <c r="L2522" s="27"/>
      <c r="M2522" s="27"/>
      <c r="N2522" s="27"/>
      <c r="O2522" s="27"/>
      <c r="P2522" s="27"/>
      <c r="Q2522" s="27"/>
      <c r="R2522" s="27"/>
      <c r="S2522" s="27"/>
    </row>
    <row r="2523">
      <c r="B2523" s="27"/>
      <c r="C2523" s="27"/>
      <c r="D2523" s="27"/>
      <c r="E2523" s="27"/>
      <c r="F2523" s="27"/>
      <c r="G2523" s="27"/>
      <c r="H2523" s="27"/>
      <c r="I2523" s="27"/>
      <c r="J2523" s="27"/>
      <c r="K2523" s="27"/>
      <c r="L2523" s="27"/>
      <c r="M2523" s="27"/>
      <c r="N2523" s="27"/>
      <c r="O2523" s="27"/>
      <c r="P2523" s="27"/>
      <c r="Q2523" s="27"/>
      <c r="R2523" s="27"/>
      <c r="S2523" s="27"/>
    </row>
    <row r="2524">
      <c r="B2524" s="27"/>
      <c r="C2524" s="27"/>
      <c r="D2524" s="27"/>
      <c r="E2524" s="27"/>
      <c r="F2524" s="27"/>
      <c r="G2524" s="27"/>
      <c r="H2524" s="27"/>
      <c r="I2524" s="27"/>
      <c r="J2524" s="27"/>
      <c r="K2524" s="27"/>
      <c r="L2524" s="27"/>
      <c r="M2524" s="27"/>
      <c r="N2524" s="27"/>
      <c r="O2524" s="27"/>
      <c r="P2524" s="27"/>
      <c r="Q2524" s="27"/>
      <c r="R2524" s="27"/>
      <c r="S2524" s="27"/>
    </row>
    <row r="2525">
      <c r="B2525" s="27"/>
      <c r="C2525" s="27"/>
      <c r="D2525" s="27"/>
      <c r="E2525" s="27"/>
      <c r="F2525" s="27"/>
      <c r="G2525" s="27"/>
      <c r="H2525" s="27"/>
      <c r="I2525" s="27"/>
      <c r="J2525" s="27"/>
      <c r="K2525" s="27"/>
      <c r="L2525" s="27"/>
      <c r="M2525" s="27"/>
      <c r="N2525" s="27"/>
      <c r="O2525" s="27"/>
      <c r="P2525" s="27"/>
      <c r="Q2525" s="27"/>
      <c r="R2525" s="27"/>
      <c r="S2525" s="27"/>
    </row>
    <row r="2526">
      <c r="B2526" s="27"/>
      <c r="C2526" s="27"/>
      <c r="D2526" s="27"/>
      <c r="E2526" s="27"/>
      <c r="F2526" s="27"/>
      <c r="G2526" s="27"/>
      <c r="H2526" s="27"/>
      <c r="I2526" s="27"/>
      <c r="J2526" s="27"/>
      <c r="K2526" s="27"/>
      <c r="L2526" s="27"/>
      <c r="M2526" s="27"/>
      <c r="N2526" s="27"/>
      <c r="O2526" s="27"/>
      <c r="P2526" s="27"/>
      <c r="Q2526" s="27"/>
      <c r="R2526" s="27"/>
      <c r="S2526" s="27"/>
    </row>
    <row r="2527">
      <c r="B2527" s="27"/>
      <c r="C2527" s="27"/>
      <c r="D2527" s="27"/>
      <c r="E2527" s="27"/>
      <c r="F2527" s="27"/>
      <c r="G2527" s="27"/>
      <c r="H2527" s="27"/>
      <c r="I2527" s="27"/>
      <c r="J2527" s="27"/>
      <c r="K2527" s="27"/>
      <c r="L2527" s="27"/>
      <c r="M2527" s="27"/>
      <c r="N2527" s="27"/>
      <c r="O2527" s="27"/>
      <c r="P2527" s="27"/>
      <c r="Q2527" s="27"/>
      <c r="R2527" s="27"/>
      <c r="S2527" s="27"/>
    </row>
    <row r="2528">
      <c r="B2528" s="27"/>
      <c r="C2528" s="27"/>
      <c r="D2528" s="27"/>
      <c r="E2528" s="27"/>
      <c r="F2528" s="27"/>
      <c r="G2528" s="27"/>
      <c r="H2528" s="27"/>
      <c r="I2528" s="27"/>
      <c r="J2528" s="27"/>
      <c r="K2528" s="27"/>
      <c r="L2528" s="27"/>
      <c r="M2528" s="27"/>
      <c r="N2528" s="27"/>
      <c r="O2528" s="27"/>
      <c r="P2528" s="27"/>
      <c r="Q2528" s="27"/>
      <c r="R2528" s="27"/>
      <c r="S2528" s="27"/>
    </row>
    <row r="2529">
      <c r="B2529" s="27"/>
      <c r="C2529" s="27"/>
      <c r="D2529" s="27"/>
      <c r="E2529" s="27"/>
      <c r="F2529" s="27"/>
      <c r="G2529" s="27"/>
      <c r="H2529" s="27"/>
      <c r="I2529" s="27"/>
      <c r="J2529" s="27"/>
      <c r="K2529" s="27"/>
      <c r="L2529" s="27"/>
      <c r="M2529" s="27"/>
      <c r="N2529" s="27"/>
      <c r="O2529" s="27"/>
      <c r="P2529" s="27"/>
      <c r="Q2529" s="27"/>
      <c r="R2529" s="27"/>
      <c r="S2529" s="27"/>
    </row>
    <row r="2530">
      <c r="B2530" s="27"/>
      <c r="C2530" s="27"/>
      <c r="D2530" s="27"/>
      <c r="E2530" s="27"/>
      <c r="F2530" s="27"/>
      <c r="G2530" s="27"/>
      <c r="H2530" s="27"/>
      <c r="I2530" s="27"/>
      <c r="J2530" s="27"/>
      <c r="K2530" s="27"/>
      <c r="L2530" s="27"/>
      <c r="M2530" s="27"/>
      <c r="N2530" s="27"/>
      <c r="O2530" s="27"/>
      <c r="P2530" s="27"/>
      <c r="Q2530" s="27"/>
      <c r="R2530" s="27"/>
      <c r="S2530" s="27"/>
    </row>
    <row r="2531">
      <c r="B2531" s="27"/>
      <c r="C2531" s="27"/>
      <c r="D2531" s="27"/>
      <c r="E2531" s="27"/>
      <c r="F2531" s="27"/>
      <c r="G2531" s="27"/>
      <c r="H2531" s="27"/>
      <c r="I2531" s="27"/>
      <c r="J2531" s="27"/>
      <c r="K2531" s="27"/>
      <c r="L2531" s="27"/>
      <c r="M2531" s="27"/>
      <c r="N2531" s="27"/>
      <c r="O2531" s="27"/>
      <c r="P2531" s="27"/>
      <c r="Q2531" s="27"/>
      <c r="R2531" s="27"/>
      <c r="S2531" s="27"/>
    </row>
    <row r="2532">
      <c r="B2532" s="27"/>
      <c r="C2532" s="27"/>
      <c r="D2532" s="27"/>
      <c r="E2532" s="27"/>
      <c r="F2532" s="27"/>
      <c r="G2532" s="27"/>
      <c r="H2532" s="27"/>
      <c r="I2532" s="27"/>
      <c r="J2532" s="27"/>
      <c r="K2532" s="27"/>
      <c r="L2532" s="27"/>
      <c r="M2532" s="27"/>
      <c r="N2532" s="27"/>
      <c r="O2532" s="27"/>
      <c r="P2532" s="27"/>
      <c r="Q2532" s="27"/>
      <c r="R2532" s="27"/>
      <c r="S2532" s="27"/>
    </row>
    <row r="2533">
      <c r="B2533" s="27"/>
      <c r="C2533" s="27"/>
      <c r="D2533" s="27"/>
      <c r="E2533" s="27"/>
      <c r="F2533" s="27"/>
      <c r="G2533" s="27"/>
      <c r="H2533" s="27"/>
      <c r="I2533" s="27"/>
      <c r="J2533" s="27"/>
      <c r="K2533" s="27"/>
      <c r="L2533" s="27"/>
      <c r="M2533" s="27"/>
      <c r="N2533" s="27"/>
      <c r="O2533" s="27"/>
      <c r="P2533" s="27"/>
      <c r="Q2533" s="27"/>
      <c r="R2533" s="27"/>
      <c r="S2533" s="27"/>
    </row>
    <row r="2534">
      <c r="B2534" s="27"/>
      <c r="C2534" s="27"/>
      <c r="D2534" s="27"/>
      <c r="E2534" s="27"/>
      <c r="F2534" s="27"/>
      <c r="G2534" s="27"/>
      <c r="H2534" s="27"/>
      <c r="I2534" s="27"/>
      <c r="J2534" s="27"/>
      <c r="K2534" s="27"/>
      <c r="L2534" s="27"/>
      <c r="M2534" s="27"/>
      <c r="N2534" s="27"/>
      <c r="O2534" s="27"/>
      <c r="P2534" s="27"/>
      <c r="Q2534" s="27"/>
      <c r="R2534" s="27"/>
      <c r="S2534" s="27"/>
    </row>
    <row r="2535">
      <c r="B2535" s="27"/>
      <c r="C2535" s="27"/>
      <c r="D2535" s="27"/>
      <c r="E2535" s="27"/>
      <c r="F2535" s="27"/>
      <c r="G2535" s="27"/>
      <c r="H2535" s="27"/>
      <c r="I2535" s="27"/>
      <c r="J2535" s="27"/>
      <c r="K2535" s="27"/>
      <c r="L2535" s="27"/>
      <c r="M2535" s="27"/>
      <c r="N2535" s="27"/>
      <c r="O2535" s="27"/>
      <c r="P2535" s="27"/>
      <c r="Q2535" s="27"/>
      <c r="R2535" s="27"/>
      <c r="S2535" s="27"/>
    </row>
    <row r="2536">
      <c r="B2536" s="27"/>
      <c r="C2536" s="27"/>
      <c r="D2536" s="27"/>
      <c r="E2536" s="27"/>
      <c r="F2536" s="27"/>
      <c r="G2536" s="27"/>
      <c r="H2536" s="27"/>
      <c r="I2536" s="27"/>
      <c r="J2536" s="27"/>
      <c r="K2536" s="27"/>
      <c r="L2536" s="27"/>
      <c r="M2536" s="27"/>
      <c r="N2536" s="27"/>
      <c r="O2536" s="27"/>
      <c r="P2536" s="27"/>
      <c r="Q2536" s="27"/>
      <c r="R2536" s="27"/>
      <c r="S2536" s="27"/>
    </row>
    <row r="2537">
      <c r="B2537" s="27"/>
      <c r="C2537" s="27"/>
      <c r="D2537" s="27"/>
      <c r="E2537" s="27"/>
      <c r="F2537" s="27"/>
      <c r="G2537" s="27"/>
      <c r="H2537" s="27"/>
      <c r="I2537" s="27"/>
      <c r="J2537" s="27"/>
      <c r="K2537" s="27"/>
      <c r="L2537" s="27"/>
      <c r="M2537" s="27"/>
      <c r="N2537" s="27"/>
      <c r="O2537" s="27"/>
      <c r="P2537" s="27"/>
      <c r="Q2537" s="27"/>
      <c r="R2537" s="27"/>
      <c r="S2537" s="27"/>
    </row>
    <row r="2538">
      <c r="B2538" s="27"/>
      <c r="C2538" s="27"/>
      <c r="D2538" s="27"/>
      <c r="E2538" s="27"/>
      <c r="F2538" s="27"/>
      <c r="G2538" s="27"/>
      <c r="H2538" s="27"/>
      <c r="I2538" s="27"/>
      <c r="J2538" s="27"/>
      <c r="K2538" s="27"/>
      <c r="L2538" s="27"/>
      <c r="M2538" s="27"/>
      <c r="N2538" s="27"/>
      <c r="O2538" s="27"/>
      <c r="P2538" s="27"/>
      <c r="Q2538" s="27"/>
      <c r="R2538" s="27"/>
      <c r="S2538" s="27"/>
    </row>
    <row r="2539">
      <c r="B2539" s="27"/>
      <c r="C2539" s="27"/>
      <c r="D2539" s="27"/>
      <c r="E2539" s="27"/>
      <c r="F2539" s="27"/>
      <c r="G2539" s="27"/>
      <c r="H2539" s="27"/>
      <c r="I2539" s="27"/>
      <c r="J2539" s="27"/>
      <c r="K2539" s="27"/>
      <c r="L2539" s="27"/>
      <c r="M2539" s="27"/>
      <c r="N2539" s="27"/>
      <c r="O2539" s="27"/>
      <c r="P2539" s="27"/>
      <c r="Q2539" s="27"/>
      <c r="R2539" s="27"/>
      <c r="S2539" s="27"/>
    </row>
    <row r="2540">
      <c r="B2540" s="27"/>
      <c r="C2540" s="27"/>
      <c r="D2540" s="27"/>
      <c r="E2540" s="27"/>
      <c r="F2540" s="27"/>
      <c r="G2540" s="27"/>
      <c r="H2540" s="27"/>
      <c r="I2540" s="27"/>
      <c r="J2540" s="27"/>
      <c r="K2540" s="27"/>
      <c r="L2540" s="27"/>
      <c r="M2540" s="27"/>
      <c r="N2540" s="27"/>
      <c r="O2540" s="27"/>
      <c r="P2540" s="27"/>
      <c r="Q2540" s="27"/>
      <c r="R2540" s="27"/>
      <c r="S2540" s="27"/>
    </row>
    <row r="2541">
      <c r="B2541" s="27"/>
      <c r="C2541" s="27"/>
      <c r="D2541" s="27"/>
      <c r="E2541" s="27"/>
      <c r="F2541" s="27"/>
      <c r="G2541" s="27"/>
      <c r="H2541" s="27"/>
      <c r="I2541" s="27"/>
      <c r="J2541" s="27"/>
      <c r="K2541" s="27"/>
      <c r="L2541" s="27"/>
      <c r="M2541" s="27"/>
      <c r="N2541" s="27"/>
      <c r="O2541" s="27"/>
      <c r="P2541" s="27"/>
      <c r="Q2541" s="27"/>
      <c r="R2541" s="27"/>
      <c r="S2541" s="27"/>
    </row>
    <row r="2542">
      <c r="B2542" s="27"/>
      <c r="C2542" s="27"/>
      <c r="D2542" s="27"/>
      <c r="E2542" s="27"/>
      <c r="F2542" s="27"/>
      <c r="G2542" s="27"/>
      <c r="H2542" s="27"/>
      <c r="I2542" s="27"/>
      <c r="J2542" s="27"/>
      <c r="K2542" s="27"/>
      <c r="L2542" s="27"/>
      <c r="M2542" s="27"/>
      <c r="N2542" s="27"/>
      <c r="O2542" s="27"/>
      <c r="P2542" s="27"/>
      <c r="Q2542" s="27"/>
      <c r="R2542" s="27"/>
      <c r="S2542" s="27"/>
    </row>
    <row r="2543">
      <c r="B2543" s="27"/>
      <c r="C2543" s="27"/>
      <c r="D2543" s="27"/>
      <c r="E2543" s="27"/>
      <c r="F2543" s="27"/>
      <c r="G2543" s="27"/>
      <c r="H2543" s="27"/>
      <c r="I2543" s="27"/>
      <c r="J2543" s="27"/>
      <c r="K2543" s="27"/>
      <c r="L2543" s="27"/>
      <c r="M2543" s="27"/>
      <c r="N2543" s="27"/>
      <c r="O2543" s="27"/>
      <c r="P2543" s="27"/>
      <c r="Q2543" s="27"/>
      <c r="R2543" s="27"/>
      <c r="S2543" s="27"/>
    </row>
    <row r="2544">
      <c r="B2544" s="27"/>
      <c r="C2544" s="27"/>
      <c r="D2544" s="27"/>
      <c r="E2544" s="27"/>
      <c r="F2544" s="27"/>
      <c r="G2544" s="27"/>
      <c r="H2544" s="27"/>
      <c r="I2544" s="27"/>
      <c r="J2544" s="27"/>
      <c r="K2544" s="27"/>
      <c r="L2544" s="27"/>
      <c r="M2544" s="27"/>
      <c r="N2544" s="27"/>
      <c r="O2544" s="27"/>
      <c r="P2544" s="27"/>
      <c r="Q2544" s="27"/>
      <c r="R2544" s="27"/>
      <c r="S2544" s="27"/>
    </row>
    <row r="2545">
      <c r="B2545" s="27"/>
      <c r="C2545" s="27"/>
      <c r="D2545" s="27"/>
      <c r="E2545" s="27"/>
      <c r="F2545" s="27"/>
      <c r="G2545" s="27"/>
      <c r="H2545" s="27"/>
      <c r="I2545" s="27"/>
      <c r="J2545" s="27"/>
      <c r="K2545" s="27"/>
      <c r="L2545" s="27"/>
      <c r="M2545" s="27"/>
      <c r="N2545" s="27"/>
      <c r="O2545" s="27"/>
      <c r="P2545" s="27"/>
      <c r="Q2545" s="27"/>
      <c r="R2545" s="27"/>
      <c r="S2545" s="27"/>
    </row>
    <row r="2546">
      <c r="B2546" s="27"/>
      <c r="C2546" s="27"/>
      <c r="D2546" s="27"/>
      <c r="E2546" s="27"/>
      <c r="F2546" s="27"/>
      <c r="G2546" s="27"/>
      <c r="H2546" s="27"/>
      <c r="I2546" s="27"/>
      <c r="J2546" s="27"/>
      <c r="K2546" s="27"/>
      <c r="L2546" s="27"/>
      <c r="M2546" s="27"/>
      <c r="N2546" s="27"/>
      <c r="O2546" s="27"/>
      <c r="P2546" s="27"/>
      <c r="Q2546" s="27"/>
      <c r="R2546" s="27"/>
      <c r="S2546" s="27"/>
    </row>
    <row r="2547">
      <c r="B2547" s="27"/>
      <c r="C2547" s="27"/>
      <c r="D2547" s="27"/>
      <c r="E2547" s="27"/>
      <c r="F2547" s="27"/>
      <c r="G2547" s="27"/>
      <c r="H2547" s="27"/>
      <c r="I2547" s="27"/>
      <c r="J2547" s="27"/>
      <c r="K2547" s="27"/>
      <c r="L2547" s="27"/>
      <c r="M2547" s="27"/>
      <c r="N2547" s="27"/>
      <c r="O2547" s="27"/>
      <c r="P2547" s="27"/>
      <c r="Q2547" s="27"/>
      <c r="R2547" s="27"/>
      <c r="S2547" s="27"/>
    </row>
    <row r="2548">
      <c r="B2548" s="27"/>
      <c r="C2548" s="27"/>
      <c r="D2548" s="27"/>
      <c r="E2548" s="27"/>
      <c r="F2548" s="27"/>
      <c r="G2548" s="27"/>
      <c r="H2548" s="27"/>
      <c r="I2548" s="27"/>
      <c r="J2548" s="27"/>
      <c r="K2548" s="27"/>
      <c r="L2548" s="27"/>
      <c r="M2548" s="27"/>
      <c r="N2548" s="27"/>
      <c r="O2548" s="27"/>
      <c r="P2548" s="27"/>
      <c r="Q2548" s="27"/>
      <c r="R2548" s="27"/>
      <c r="S2548" s="27"/>
    </row>
    <row r="2549">
      <c r="B2549" s="27"/>
      <c r="C2549" s="27"/>
      <c r="D2549" s="27"/>
      <c r="E2549" s="27"/>
      <c r="F2549" s="27"/>
      <c r="G2549" s="27"/>
      <c r="H2549" s="27"/>
      <c r="I2549" s="27"/>
      <c r="J2549" s="27"/>
      <c r="K2549" s="27"/>
      <c r="L2549" s="27"/>
      <c r="M2549" s="27"/>
      <c r="N2549" s="27"/>
      <c r="O2549" s="27"/>
      <c r="P2549" s="27"/>
      <c r="Q2549" s="27"/>
      <c r="R2549" s="27"/>
      <c r="S2549" s="27"/>
    </row>
    <row r="2550">
      <c r="B2550" s="27"/>
      <c r="C2550" s="27"/>
      <c r="D2550" s="27"/>
      <c r="E2550" s="27"/>
      <c r="F2550" s="27"/>
      <c r="G2550" s="27"/>
      <c r="H2550" s="27"/>
      <c r="I2550" s="27"/>
      <c r="J2550" s="27"/>
      <c r="K2550" s="27"/>
      <c r="L2550" s="27"/>
      <c r="M2550" s="27"/>
      <c r="N2550" s="27"/>
      <c r="O2550" s="27"/>
      <c r="P2550" s="27"/>
      <c r="Q2550" s="27"/>
      <c r="R2550" s="27"/>
      <c r="S2550" s="27"/>
    </row>
    <row r="2551">
      <c r="B2551" s="27"/>
      <c r="C2551" s="27"/>
      <c r="D2551" s="27"/>
      <c r="E2551" s="27"/>
      <c r="F2551" s="27"/>
      <c r="G2551" s="27"/>
      <c r="H2551" s="27"/>
      <c r="I2551" s="27"/>
      <c r="J2551" s="27"/>
      <c r="K2551" s="27"/>
      <c r="L2551" s="27"/>
      <c r="M2551" s="27"/>
      <c r="N2551" s="27"/>
      <c r="O2551" s="27"/>
      <c r="P2551" s="27"/>
      <c r="Q2551" s="27"/>
      <c r="R2551" s="27"/>
      <c r="S2551" s="27"/>
    </row>
    <row r="2552">
      <c r="B2552" s="27"/>
      <c r="C2552" s="27"/>
      <c r="D2552" s="27"/>
      <c r="E2552" s="27"/>
      <c r="F2552" s="27"/>
      <c r="G2552" s="27"/>
      <c r="H2552" s="27"/>
      <c r="I2552" s="27"/>
      <c r="J2552" s="27"/>
      <c r="K2552" s="27"/>
      <c r="L2552" s="27"/>
      <c r="M2552" s="27"/>
      <c r="N2552" s="27"/>
      <c r="O2552" s="27"/>
      <c r="P2552" s="27"/>
      <c r="Q2552" s="27"/>
      <c r="R2552" s="27"/>
      <c r="S2552" s="27"/>
    </row>
    <row r="2553">
      <c r="B2553" s="27"/>
      <c r="C2553" s="27"/>
      <c r="D2553" s="27"/>
      <c r="E2553" s="27"/>
      <c r="F2553" s="27"/>
      <c r="G2553" s="27"/>
      <c r="H2553" s="27"/>
      <c r="I2553" s="27"/>
      <c r="J2553" s="27"/>
      <c r="K2553" s="27"/>
      <c r="L2553" s="27"/>
      <c r="M2553" s="27"/>
      <c r="N2553" s="27"/>
      <c r="O2553" s="27"/>
      <c r="P2553" s="27"/>
      <c r="Q2553" s="27"/>
      <c r="R2553" s="27"/>
      <c r="S2553" s="27"/>
    </row>
    <row r="2554">
      <c r="B2554" s="27"/>
      <c r="C2554" s="27"/>
      <c r="D2554" s="27"/>
      <c r="E2554" s="27"/>
      <c r="F2554" s="27"/>
      <c r="G2554" s="27"/>
      <c r="H2554" s="27"/>
      <c r="I2554" s="27"/>
      <c r="J2554" s="27"/>
      <c r="K2554" s="27"/>
      <c r="L2554" s="27"/>
      <c r="M2554" s="27"/>
      <c r="N2554" s="27"/>
      <c r="O2554" s="27"/>
      <c r="P2554" s="27"/>
      <c r="Q2554" s="27"/>
      <c r="R2554" s="27"/>
      <c r="S2554" s="27"/>
    </row>
    <row r="2555">
      <c r="B2555" s="27"/>
      <c r="C2555" s="27"/>
      <c r="D2555" s="27"/>
      <c r="E2555" s="27"/>
      <c r="F2555" s="27"/>
      <c r="G2555" s="27"/>
      <c r="H2555" s="27"/>
      <c r="I2555" s="27"/>
      <c r="J2555" s="27"/>
      <c r="K2555" s="27"/>
      <c r="L2555" s="27"/>
      <c r="M2555" s="27"/>
      <c r="N2555" s="27"/>
      <c r="O2555" s="27"/>
      <c r="P2555" s="27"/>
      <c r="Q2555" s="27"/>
      <c r="R2555" s="27"/>
      <c r="S2555" s="27"/>
    </row>
    <row r="2556">
      <c r="B2556" s="27"/>
      <c r="C2556" s="27"/>
      <c r="D2556" s="27"/>
      <c r="E2556" s="27"/>
      <c r="F2556" s="27"/>
      <c r="G2556" s="27"/>
      <c r="H2556" s="27"/>
      <c r="I2556" s="27"/>
      <c r="J2556" s="27"/>
      <c r="K2556" s="27"/>
      <c r="L2556" s="27"/>
      <c r="M2556" s="27"/>
      <c r="N2556" s="27"/>
      <c r="O2556" s="27"/>
      <c r="P2556" s="27"/>
      <c r="Q2556" s="27"/>
      <c r="R2556" s="27"/>
      <c r="S2556" s="27"/>
    </row>
    <row r="2557">
      <c r="B2557" s="27"/>
      <c r="C2557" s="27"/>
      <c r="D2557" s="27"/>
      <c r="E2557" s="27"/>
      <c r="F2557" s="27"/>
      <c r="G2557" s="27"/>
      <c r="H2557" s="27"/>
      <c r="I2557" s="27"/>
      <c r="J2557" s="27"/>
      <c r="K2557" s="27"/>
      <c r="L2557" s="27"/>
      <c r="M2557" s="27"/>
      <c r="N2557" s="27"/>
      <c r="O2557" s="27"/>
      <c r="P2557" s="27"/>
      <c r="Q2557" s="27"/>
      <c r="R2557" s="27"/>
      <c r="S2557" s="27"/>
    </row>
    <row r="2558">
      <c r="B2558" s="27"/>
      <c r="C2558" s="27"/>
      <c r="D2558" s="27"/>
      <c r="E2558" s="27"/>
      <c r="F2558" s="27"/>
      <c r="G2558" s="27"/>
      <c r="H2558" s="27"/>
      <c r="I2558" s="27"/>
      <c r="J2558" s="27"/>
      <c r="K2558" s="27"/>
      <c r="L2558" s="27"/>
      <c r="M2558" s="27"/>
      <c r="N2558" s="27"/>
      <c r="O2558" s="27"/>
      <c r="P2558" s="27"/>
      <c r="Q2558" s="27"/>
      <c r="R2558" s="27"/>
      <c r="S2558" s="27"/>
    </row>
    <row r="2559">
      <c r="B2559" s="27"/>
      <c r="C2559" s="27"/>
      <c r="D2559" s="27"/>
      <c r="E2559" s="27"/>
      <c r="F2559" s="27"/>
      <c r="G2559" s="27"/>
      <c r="H2559" s="27"/>
      <c r="I2559" s="27"/>
      <c r="J2559" s="27"/>
      <c r="K2559" s="27"/>
      <c r="L2559" s="27"/>
      <c r="M2559" s="27"/>
      <c r="N2559" s="27"/>
      <c r="O2559" s="27"/>
      <c r="P2559" s="27"/>
      <c r="Q2559" s="27"/>
      <c r="R2559" s="27"/>
      <c r="S2559" s="27"/>
    </row>
    <row r="2560">
      <c r="B2560" s="27"/>
      <c r="C2560" s="27"/>
      <c r="D2560" s="27"/>
      <c r="E2560" s="27"/>
      <c r="F2560" s="27"/>
      <c r="G2560" s="27"/>
      <c r="H2560" s="27"/>
      <c r="I2560" s="27"/>
      <c r="J2560" s="27"/>
      <c r="K2560" s="27"/>
      <c r="L2560" s="27"/>
      <c r="M2560" s="27"/>
      <c r="N2560" s="27"/>
      <c r="O2560" s="27"/>
      <c r="P2560" s="27"/>
      <c r="Q2560" s="27"/>
      <c r="R2560" s="27"/>
      <c r="S2560" s="27"/>
    </row>
    <row r="2561">
      <c r="B2561" s="27"/>
      <c r="C2561" s="27"/>
      <c r="D2561" s="27"/>
      <c r="E2561" s="27"/>
      <c r="F2561" s="27"/>
      <c r="G2561" s="27"/>
      <c r="H2561" s="27"/>
      <c r="I2561" s="27"/>
      <c r="J2561" s="27"/>
      <c r="K2561" s="27"/>
      <c r="L2561" s="27"/>
      <c r="M2561" s="27"/>
      <c r="N2561" s="27"/>
      <c r="O2561" s="27"/>
      <c r="P2561" s="27"/>
      <c r="Q2561" s="27"/>
      <c r="R2561" s="27"/>
      <c r="S2561" s="27"/>
    </row>
    <row r="2562">
      <c r="B2562" s="27"/>
      <c r="C2562" s="27"/>
      <c r="D2562" s="27"/>
      <c r="E2562" s="27"/>
      <c r="F2562" s="27"/>
      <c r="G2562" s="27"/>
      <c r="H2562" s="27"/>
      <c r="I2562" s="27"/>
      <c r="J2562" s="27"/>
      <c r="K2562" s="27"/>
      <c r="L2562" s="27"/>
      <c r="M2562" s="27"/>
      <c r="N2562" s="27"/>
      <c r="O2562" s="27"/>
      <c r="P2562" s="27"/>
      <c r="Q2562" s="27"/>
      <c r="R2562" s="27"/>
      <c r="S2562" s="27"/>
    </row>
    <row r="2563">
      <c r="B2563" s="27"/>
      <c r="C2563" s="27"/>
      <c r="D2563" s="27"/>
      <c r="E2563" s="27"/>
      <c r="F2563" s="27"/>
      <c r="G2563" s="27"/>
      <c r="H2563" s="27"/>
      <c r="I2563" s="27"/>
      <c r="J2563" s="27"/>
      <c r="K2563" s="27"/>
      <c r="L2563" s="27"/>
      <c r="M2563" s="27"/>
      <c r="N2563" s="27"/>
      <c r="O2563" s="27"/>
      <c r="P2563" s="27"/>
      <c r="Q2563" s="27"/>
      <c r="R2563" s="27"/>
      <c r="S2563" s="27"/>
    </row>
    <row r="2564">
      <c r="B2564" s="27"/>
      <c r="C2564" s="27"/>
      <c r="D2564" s="27"/>
      <c r="E2564" s="27"/>
      <c r="F2564" s="27"/>
      <c r="G2564" s="27"/>
      <c r="H2564" s="27"/>
      <c r="I2564" s="27"/>
      <c r="J2564" s="27"/>
      <c r="K2564" s="27"/>
      <c r="L2564" s="27"/>
      <c r="M2564" s="27"/>
      <c r="N2564" s="27"/>
      <c r="O2564" s="27"/>
      <c r="P2564" s="27"/>
      <c r="Q2564" s="27"/>
      <c r="R2564" s="27"/>
      <c r="S2564" s="27"/>
    </row>
    <row r="2565">
      <c r="B2565" s="27"/>
      <c r="C2565" s="27"/>
      <c r="D2565" s="27"/>
      <c r="E2565" s="27"/>
      <c r="F2565" s="27"/>
      <c r="G2565" s="27"/>
      <c r="H2565" s="27"/>
      <c r="I2565" s="27"/>
      <c r="J2565" s="27"/>
      <c r="K2565" s="27"/>
      <c r="L2565" s="27"/>
      <c r="M2565" s="27"/>
      <c r="N2565" s="27"/>
      <c r="O2565" s="27"/>
      <c r="P2565" s="27"/>
      <c r="Q2565" s="27"/>
      <c r="R2565" s="27"/>
      <c r="S2565" s="27"/>
    </row>
    <row r="2566">
      <c r="B2566" s="27"/>
      <c r="C2566" s="27"/>
      <c r="D2566" s="27"/>
      <c r="E2566" s="27"/>
      <c r="F2566" s="27"/>
      <c r="G2566" s="27"/>
      <c r="H2566" s="27"/>
      <c r="I2566" s="27"/>
      <c r="J2566" s="27"/>
      <c r="K2566" s="27"/>
      <c r="L2566" s="27"/>
      <c r="M2566" s="27"/>
      <c r="N2566" s="27"/>
      <c r="O2566" s="27"/>
      <c r="P2566" s="27"/>
      <c r="Q2566" s="27"/>
      <c r="R2566" s="27"/>
      <c r="S2566" s="27"/>
    </row>
    <row r="2567">
      <c r="B2567" s="27"/>
      <c r="C2567" s="27"/>
      <c r="D2567" s="27"/>
      <c r="E2567" s="27"/>
      <c r="F2567" s="27"/>
      <c r="G2567" s="27"/>
      <c r="H2567" s="27"/>
      <c r="I2567" s="27"/>
      <c r="J2567" s="27"/>
      <c r="K2567" s="27"/>
      <c r="L2567" s="27"/>
      <c r="M2567" s="27"/>
      <c r="N2567" s="27"/>
      <c r="O2567" s="27"/>
      <c r="P2567" s="27"/>
      <c r="Q2567" s="27"/>
      <c r="R2567" s="27"/>
      <c r="S2567" s="27"/>
    </row>
    <row r="2568">
      <c r="B2568" s="27"/>
      <c r="C2568" s="27"/>
      <c r="D2568" s="27"/>
      <c r="E2568" s="27"/>
      <c r="F2568" s="27"/>
      <c r="G2568" s="27"/>
      <c r="H2568" s="27"/>
      <c r="I2568" s="27"/>
      <c r="J2568" s="27"/>
      <c r="K2568" s="27"/>
      <c r="L2568" s="27"/>
      <c r="M2568" s="27"/>
      <c r="N2568" s="27"/>
      <c r="O2568" s="27"/>
      <c r="P2568" s="27"/>
      <c r="Q2568" s="27"/>
      <c r="R2568" s="27"/>
      <c r="S2568" s="27"/>
    </row>
    <row r="2569">
      <c r="B2569" s="27"/>
      <c r="C2569" s="27"/>
      <c r="D2569" s="27"/>
      <c r="E2569" s="27"/>
      <c r="F2569" s="27"/>
      <c r="G2569" s="27"/>
      <c r="H2569" s="27"/>
      <c r="I2569" s="27"/>
      <c r="J2569" s="27"/>
      <c r="K2569" s="27"/>
      <c r="L2569" s="27"/>
      <c r="M2569" s="27"/>
      <c r="N2569" s="27"/>
      <c r="O2569" s="27"/>
      <c r="P2569" s="27"/>
      <c r="Q2569" s="27"/>
      <c r="R2569" s="27"/>
      <c r="S2569" s="27"/>
    </row>
    <row r="2570">
      <c r="B2570" s="27"/>
      <c r="C2570" s="27"/>
      <c r="D2570" s="27"/>
      <c r="E2570" s="27"/>
      <c r="F2570" s="27"/>
      <c r="G2570" s="27"/>
      <c r="H2570" s="27"/>
      <c r="I2570" s="27"/>
      <c r="J2570" s="27"/>
      <c r="K2570" s="27"/>
      <c r="L2570" s="27"/>
      <c r="M2570" s="27"/>
      <c r="N2570" s="27"/>
      <c r="O2570" s="27"/>
      <c r="P2570" s="27"/>
      <c r="Q2570" s="27"/>
      <c r="R2570" s="27"/>
      <c r="S2570" s="27"/>
    </row>
    <row r="2571">
      <c r="B2571" s="27"/>
      <c r="C2571" s="27"/>
      <c r="D2571" s="27"/>
      <c r="E2571" s="27"/>
      <c r="F2571" s="27"/>
      <c r="G2571" s="27"/>
      <c r="H2571" s="27"/>
      <c r="I2571" s="27"/>
      <c r="J2571" s="27"/>
      <c r="K2571" s="27"/>
      <c r="L2571" s="27"/>
      <c r="M2571" s="27"/>
      <c r="N2571" s="27"/>
      <c r="O2571" s="27"/>
      <c r="P2571" s="27"/>
      <c r="Q2571" s="27"/>
      <c r="R2571" s="27"/>
      <c r="S2571" s="27"/>
    </row>
    <row r="2572">
      <c r="B2572" s="27"/>
      <c r="C2572" s="27"/>
      <c r="D2572" s="27"/>
      <c r="E2572" s="27"/>
      <c r="F2572" s="27"/>
      <c r="G2572" s="27"/>
      <c r="H2572" s="27"/>
      <c r="I2572" s="27"/>
      <c r="J2572" s="27"/>
      <c r="K2572" s="27"/>
      <c r="L2572" s="27"/>
      <c r="M2572" s="27"/>
      <c r="N2572" s="27"/>
      <c r="O2572" s="27"/>
      <c r="P2572" s="27"/>
      <c r="Q2572" s="27"/>
      <c r="R2572" s="27"/>
      <c r="S2572" s="27"/>
    </row>
    <row r="2573">
      <c r="B2573" s="27"/>
      <c r="C2573" s="27"/>
      <c r="D2573" s="27"/>
      <c r="E2573" s="27"/>
      <c r="F2573" s="27"/>
      <c r="G2573" s="27"/>
      <c r="H2573" s="27"/>
      <c r="I2573" s="27"/>
      <c r="J2573" s="27"/>
      <c r="K2573" s="27"/>
      <c r="L2573" s="27"/>
      <c r="M2573" s="27"/>
      <c r="N2573" s="27"/>
      <c r="O2573" s="27"/>
      <c r="P2573" s="27"/>
      <c r="Q2573" s="27"/>
      <c r="R2573" s="27"/>
      <c r="S2573" s="27"/>
    </row>
    <row r="2574">
      <c r="B2574" s="27"/>
      <c r="C2574" s="27"/>
      <c r="D2574" s="27"/>
      <c r="E2574" s="27"/>
      <c r="F2574" s="27"/>
      <c r="G2574" s="27"/>
      <c r="H2574" s="27"/>
      <c r="I2574" s="27"/>
      <c r="J2574" s="27"/>
      <c r="K2574" s="27"/>
      <c r="L2574" s="27"/>
      <c r="M2574" s="27"/>
      <c r="N2574" s="27"/>
      <c r="O2574" s="27"/>
      <c r="P2574" s="27"/>
      <c r="Q2574" s="27"/>
      <c r="R2574" s="27"/>
      <c r="S2574" s="27"/>
    </row>
    <row r="2575">
      <c r="B2575" s="27"/>
      <c r="C2575" s="27"/>
      <c r="D2575" s="27"/>
      <c r="E2575" s="27"/>
      <c r="F2575" s="27"/>
      <c r="G2575" s="27"/>
      <c r="H2575" s="27"/>
      <c r="I2575" s="27"/>
      <c r="J2575" s="27"/>
      <c r="K2575" s="27"/>
      <c r="L2575" s="27"/>
      <c r="M2575" s="27"/>
      <c r="N2575" s="27"/>
      <c r="O2575" s="27"/>
      <c r="P2575" s="27"/>
      <c r="Q2575" s="27"/>
      <c r="R2575" s="27"/>
      <c r="S2575" s="27"/>
    </row>
    <row r="2576">
      <c r="B2576" s="27"/>
      <c r="C2576" s="27"/>
      <c r="D2576" s="27"/>
      <c r="E2576" s="27"/>
      <c r="F2576" s="27"/>
      <c r="G2576" s="27"/>
      <c r="H2576" s="27"/>
      <c r="I2576" s="27"/>
      <c r="J2576" s="27"/>
      <c r="K2576" s="27"/>
      <c r="L2576" s="27"/>
      <c r="M2576" s="27"/>
      <c r="N2576" s="27"/>
      <c r="O2576" s="27"/>
      <c r="P2576" s="27"/>
      <c r="Q2576" s="27"/>
      <c r="R2576" s="27"/>
      <c r="S2576" s="27"/>
    </row>
    <row r="2577">
      <c r="B2577" s="27"/>
      <c r="C2577" s="27"/>
      <c r="D2577" s="27"/>
      <c r="E2577" s="27"/>
      <c r="F2577" s="27"/>
      <c r="G2577" s="27"/>
      <c r="H2577" s="27"/>
      <c r="I2577" s="27"/>
      <c r="J2577" s="27"/>
      <c r="K2577" s="27"/>
      <c r="L2577" s="27"/>
      <c r="M2577" s="27"/>
      <c r="N2577" s="27"/>
      <c r="O2577" s="27"/>
      <c r="P2577" s="27"/>
      <c r="Q2577" s="27"/>
      <c r="R2577" s="27"/>
      <c r="S2577" s="27"/>
    </row>
    <row r="2578">
      <c r="B2578" s="27"/>
      <c r="C2578" s="27"/>
      <c r="D2578" s="27"/>
      <c r="E2578" s="27"/>
      <c r="F2578" s="27"/>
      <c r="G2578" s="27"/>
      <c r="H2578" s="27"/>
      <c r="I2578" s="27"/>
      <c r="J2578" s="27"/>
      <c r="K2578" s="27"/>
      <c r="L2578" s="27"/>
      <c r="M2578" s="27"/>
      <c r="N2578" s="27"/>
      <c r="O2578" s="27"/>
      <c r="P2578" s="27"/>
      <c r="Q2578" s="27"/>
      <c r="R2578" s="27"/>
      <c r="S2578" s="27"/>
    </row>
    <row r="2579">
      <c r="B2579" s="27"/>
      <c r="C2579" s="27"/>
      <c r="D2579" s="27"/>
      <c r="E2579" s="27"/>
      <c r="F2579" s="27"/>
      <c r="G2579" s="27"/>
      <c r="H2579" s="27"/>
      <c r="I2579" s="27"/>
      <c r="J2579" s="27"/>
      <c r="K2579" s="27"/>
      <c r="L2579" s="27"/>
      <c r="M2579" s="27"/>
      <c r="N2579" s="27"/>
      <c r="O2579" s="27"/>
      <c r="P2579" s="27"/>
      <c r="Q2579" s="27"/>
      <c r="R2579" s="27"/>
      <c r="S2579" s="27"/>
    </row>
    <row r="2580">
      <c r="B2580" s="27"/>
      <c r="C2580" s="27"/>
      <c r="D2580" s="27"/>
      <c r="E2580" s="27"/>
      <c r="F2580" s="27"/>
      <c r="G2580" s="27"/>
      <c r="H2580" s="27"/>
      <c r="I2580" s="27"/>
      <c r="J2580" s="27"/>
      <c r="K2580" s="27"/>
      <c r="L2580" s="27"/>
      <c r="M2580" s="27"/>
      <c r="N2580" s="27"/>
      <c r="O2580" s="27"/>
      <c r="P2580" s="27"/>
      <c r="Q2580" s="27"/>
      <c r="R2580" s="27"/>
      <c r="S2580" s="27"/>
    </row>
    <row r="2581">
      <c r="B2581" s="27"/>
      <c r="C2581" s="27"/>
      <c r="D2581" s="27"/>
      <c r="E2581" s="27"/>
      <c r="F2581" s="27"/>
      <c r="G2581" s="27"/>
      <c r="H2581" s="27"/>
      <c r="I2581" s="27"/>
      <c r="J2581" s="27"/>
      <c r="K2581" s="27"/>
      <c r="L2581" s="27"/>
      <c r="M2581" s="27"/>
      <c r="N2581" s="27"/>
      <c r="O2581" s="27"/>
      <c r="P2581" s="27"/>
      <c r="Q2581" s="27"/>
      <c r="R2581" s="27"/>
      <c r="S2581" s="27"/>
    </row>
    <row r="2582">
      <c r="B2582" s="27"/>
      <c r="C2582" s="27"/>
      <c r="D2582" s="27"/>
      <c r="E2582" s="27"/>
      <c r="F2582" s="27"/>
      <c r="G2582" s="27"/>
      <c r="H2582" s="27"/>
      <c r="I2582" s="27"/>
      <c r="J2582" s="27"/>
      <c r="K2582" s="27"/>
      <c r="L2582" s="27"/>
      <c r="M2582" s="27"/>
      <c r="N2582" s="27"/>
      <c r="O2582" s="27"/>
      <c r="P2582" s="27"/>
      <c r="Q2582" s="27"/>
      <c r="R2582" s="27"/>
      <c r="S2582" s="27"/>
    </row>
    <row r="2583">
      <c r="B2583" s="27"/>
      <c r="C2583" s="27"/>
      <c r="D2583" s="27"/>
      <c r="E2583" s="27"/>
      <c r="F2583" s="27"/>
      <c r="G2583" s="27"/>
      <c r="H2583" s="27"/>
      <c r="I2583" s="27"/>
      <c r="J2583" s="27"/>
      <c r="K2583" s="27"/>
      <c r="L2583" s="27"/>
      <c r="M2583" s="27"/>
      <c r="N2583" s="27"/>
      <c r="O2583" s="27"/>
      <c r="P2583" s="27"/>
      <c r="Q2583" s="27"/>
      <c r="R2583" s="27"/>
      <c r="S2583" s="27"/>
    </row>
    <row r="2584">
      <c r="B2584" s="27"/>
      <c r="C2584" s="27"/>
      <c r="D2584" s="27"/>
      <c r="E2584" s="27"/>
      <c r="F2584" s="27"/>
      <c r="G2584" s="27"/>
      <c r="H2584" s="27"/>
      <c r="I2584" s="27"/>
      <c r="J2584" s="27"/>
      <c r="K2584" s="27"/>
      <c r="L2584" s="27"/>
      <c r="M2584" s="27"/>
      <c r="N2584" s="27"/>
      <c r="O2584" s="27"/>
      <c r="P2584" s="27"/>
      <c r="Q2584" s="27"/>
      <c r="R2584" s="27"/>
      <c r="S2584" s="27"/>
    </row>
    <row r="2585">
      <c r="B2585" s="27"/>
      <c r="C2585" s="27"/>
      <c r="D2585" s="27"/>
      <c r="E2585" s="27"/>
      <c r="F2585" s="27"/>
      <c r="G2585" s="27"/>
      <c r="H2585" s="27"/>
      <c r="I2585" s="27"/>
      <c r="J2585" s="27"/>
      <c r="K2585" s="27"/>
      <c r="L2585" s="27"/>
      <c r="M2585" s="27"/>
      <c r="N2585" s="27"/>
      <c r="O2585" s="27"/>
      <c r="P2585" s="27"/>
      <c r="Q2585" s="27"/>
      <c r="R2585" s="27"/>
      <c r="S2585" s="27"/>
    </row>
    <row r="2586">
      <c r="B2586" s="27"/>
      <c r="C2586" s="27"/>
      <c r="D2586" s="27"/>
      <c r="E2586" s="27"/>
      <c r="F2586" s="27"/>
      <c r="G2586" s="27"/>
      <c r="H2586" s="27"/>
      <c r="I2586" s="27"/>
      <c r="J2586" s="27"/>
      <c r="K2586" s="27"/>
      <c r="L2586" s="27"/>
      <c r="M2586" s="27"/>
      <c r="N2586" s="27"/>
      <c r="O2586" s="27"/>
      <c r="P2586" s="27"/>
      <c r="Q2586" s="27"/>
      <c r="R2586" s="27"/>
      <c r="S2586" s="27"/>
    </row>
    <row r="2587">
      <c r="B2587" s="27"/>
      <c r="C2587" s="27"/>
      <c r="D2587" s="27"/>
      <c r="E2587" s="27"/>
      <c r="F2587" s="27"/>
      <c r="G2587" s="27"/>
      <c r="H2587" s="27"/>
      <c r="I2587" s="27"/>
      <c r="J2587" s="27"/>
      <c r="K2587" s="27"/>
      <c r="L2587" s="27"/>
      <c r="M2587" s="27"/>
      <c r="N2587" s="27"/>
      <c r="O2587" s="27"/>
      <c r="P2587" s="27"/>
      <c r="Q2587" s="27"/>
      <c r="R2587" s="27"/>
      <c r="S2587" s="27"/>
    </row>
    <row r="2588">
      <c r="B2588" s="27"/>
      <c r="C2588" s="27"/>
      <c r="D2588" s="27"/>
      <c r="E2588" s="27"/>
      <c r="F2588" s="27"/>
      <c r="G2588" s="27"/>
      <c r="H2588" s="27"/>
      <c r="I2588" s="27"/>
      <c r="J2588" s="27"/>
      <c r="K2588" s="27"/>
      <c r="L2588" s="27"/>
      <c r="M2588" s="27"/>
      <c r="N2588" s="27"/>
      <c r="O2588" s="27"/>
      <c r="P2588" s="27"/>
      <c r="Q2588" s="27"/>
      <c r="R2588" s="27"/>
      <c r="S2588" s="27"/>
    </row>
    <row r="2589">
      <c r="B2589" s="27"/>
      <c r="C2589" s="27"/>
      <c r="D2589" s="27"/>
      <c r="E2589" s="27"/>
      <c r="F2589" s="27"/>
      <c r="G2589" s="27"/>
      <c r="H2589" s="27"/>
      <c r="I2589" s="27"/>
      <c r="J2589" s="27"/>
      <c r="K2589" s="27"/>
      <c r="L2589" s="27"/>
      <c r="M2589" s="27"/>
      <c r="N2589" s="27"/>
      <c r="O2589" s="27"/>
      <c r="P2589" s="27"/>
      <c r="Q2589" s="27"/>
      <c r="R2589" s="27"/>
      <c r="S2589" s="27"/>
    </row>
    <row r="2590">
      <c r="B2590" s="27"/>
      <c r="C2590" s="27"/>
      <c r="D2590" s="27"/>
      <c r="E2590" s="27"/>
      <c r="F2590" s="27"/>
      <c r="G2590" s="27"/>
      <c r="H2590" s="27"/>
      <c r="I2590" s="27"/>
      <c r="J2590" s="27"/>
      <c r="K2590" s="27"/>
      <c r="L2590" s="27"/>
      <c r="M2590" s="27"/>
      <c r="N2590" s="27"/>
      <c r="O2590" s="27"/>
      <c r="P2590" s="27"/>
      <c r="Q2590" s="27"/>
      <c r="R2590" s="27"/>
      <c r="S2590" s="27"/>
    </row>
    <row r="2591">
      <c r="B2591" s="27"/>
      <c r="C2591" s="27"/>
      <c r="D2591" s="27"/>
      <c r="E2591" s="27"/>
      <c r="F2591" s="27"/>
      <c r="G2591" s="27"/>
      <c r="H2591" s="27"/>
      <c r="I2591" s="27"/>
      <c r="J2591" s="27"/>
      <c r="K2591" s="27"/>
      <c r="L2591" s="27"/>
      <c r="M2591" s="27"/>
      <c r="N2591" s="27"/>
      <c r="O2591" s="27"/>
      <c r="P2591" s="27"/>
      <c r="Q2591" s="27"/>
      <c r="R2591" s="27"/>
      <c r="S2591" s="27"/>
    </row>
    <row r="2592">
      <c r="B2592" s="27"/>
      <c r="C2592" s="27"/>
      <c r="D2592" s="27"/>
      <c r="E2592" s="27"/>
      <c r="F2592" s="27"/>
      <c r="G2592" s="27"/>
      <c r="H2592" s="27"/>
      <c r="I2592" s="27"/>
      <c r="J2592" s="27"/>
      <c r="K2592" s="27"/>
      <c r="L2592" s="27"/>
      <c r="M2592" s="27"/>
      <c r="N2592" s="27"/>
      <c r="O2592" s="27"/>
      <c r="P2592" s="27"/>
      <c r="Q2592" s="27"/>
      <c r="R2592" s="27"/>
      <c r="S2592" s="27"/>
    </row>
    <row r="2593">
      <c r="B2593" s="27"/>
      <c r="C2593" s="27"/>
      <c r="D2593" s="27"/>
      <c r="E2593" s="27"/>
      <c r="F2593" s="27"/>
      <c r="G2593" s="27"/>
      <c r="H2593" s="27"/>
      <c r="I2593" s="27"/>
      <c r="J2593" s="27"/>
      <c r="K2593" s="27"/>
      <c r="L2593" s="27"/>
      <c r="M2593" s="27"/>
      <c r="N2593" s="27"/>
      <c r="O2593" s="27"/>
      <c r="P2593" s="27"/>
      <c r="Q2593" s="27"/>
      <c r="R2593" s="27"/>
      <c r="S2593" s="27"/>
    </row>
    <row r="2594">
      <c r="B2594" s="27"/>
      <c r="C2594" s="27"/>
      <c r="D2594" s="27"/>
      <c r="E2594" s="27"/>
      <c r="F2594" s="27"/>
      <c r="G2594" s="27"/>
      <c r="H2594" s="27"/>
      <c r="I2594" s="27"/>
      <c r="J2594" s="27"/>
      <c r="K2594" s="27"/>
      <c r="L2594" s="27"/>
      <c r="M2594" s="27"/>
      <c r="N2594" s="27"/>
      <c r="O2594" s="27"/>
      <c r="P2594" s="27"/>
      <c r="Q2594" s="27"/>
      <c r="R2594" s="27"/>
      <c r="S2594" s="27"/>
    </row>
    <row r="2595">
      <c r="B2595" s="27"/>
      <c r="C2595" s="27"/>
      <c r="D2595" s="27"/>
      <c r="E2595" s="27"/>
      <c r="F2595" s="27"/>
      <c r="G2595" s="27"/>
      <c r="H2595" s="27"/>
      <c r="I2595" s="27"/>
      <c r="J2595" s="27"/>
      <c r="K2595" s="27"/>
      <c r="L2595" s="27"/>
      <c r="M2595" s="27"/>
      <c r="N2595" s="27"/>
      <c r="O2595" s="27"/>
      <c r="P2595" s="27"/>
      <c r="Q2595" s="27"/>
      <c r="R2595" s="27"/>
      <c r="S2595" s="27"/>
    </row>
    <row r="2596">
      <c r="B2596" s="27"/>
      <c r="C2596" s="27"/>
      <c r="D2596" s="27"/>
      <c r="E2596" s="27"/>
      <c r="F2596" s="27"/>
      <c r="G2596" s="27"/>
      <c r="H2596" s="27"/>
      <c r="I2596" s="27"/>
      <c r="J2596" s="27"/>
      <c r="K2596" s="27"/>
      <c r="L2596" s="27"/>
      <c r="M2596" s="27"/>
      <c r="N2596" s="27"/>
      <c r="O2596" s="27"/>
      <c r="P2596" s="27"/>
      <c r="Q2596" s="27"/>
      <c r="R2596" s="27"/>
      <c r="S2596" s="27"/>
    </row>
    <row r="2597">
      <c r="B2597" s="27"/>
      <c r="C2597" s="27"/>
      <c r="D2597" s="27"/>
      <c r="E2597" s="27"/>
      <c r="F2597" s="27"/>
      <c r="G2597" s="27"/>
      <c r="H2597" s="27"/>
      <c r="I2597" s="27"/>
      <c r="J2597" s="27"/>
      <c r="K2597" s="27"/>
      <c r="L2597" s="27"/>
      <c r="M2597" s="27"/>
      <c r="N2597" s="27"/>
      <c r="O2597" s="27"/>
      <c r="P2597" s="27"/>
      <c r="Q2597" s="27"/>
      <c r="R2597" s="27"/>
      <c r="S2597" s="27"/>
    </row>
    <row r="2598">
      <c r="B2598" s="27"/>
      <c r="C2598" s="27"/>
      <c r="D2598" s="27"/>
      <c r="E2598" s="27"/>
      <c r="F2598" s="27"/>
      <c r="G2598" s="27"/>
      <c r="H2598" s="27"/>
      <c r="I2598" s="27"/>
      <c r="J2598" s="27"/>
      <c r="K2598" s="27"/>
      <c r="L2598" s="27"/>
      <c r="M2598" s="27"/>
      <c r="N2598" s="27"/>
      <c r="O2598" s="27"/>
      <c r="P2598" s="27"/>
      <c r="Q2598" s="27"/>
      <c r="R2598" s="27"/>
      <c r="S2598" s="27"/>
    </row>
    <row r="2599">
      <c r="B2599" s="27"/>
      <c r="C2599" s="27"/>
      <c r="D2599" s="27"/>
      <c r="E2599" s="27"/>
      <c r="F2599" s="27"/>
      <c r="G2599" s="27"/>
      <c r="H2599" s="27"/>
      <c r="I2599" s="27"/>
      <c r="J2599" s="27"/>
      <c r="K2599" s="27"/>
      <c r="L2599" s="27"/>
      <c r="M2599" s="27"/>
      <c r="N2599" s="27"/>
      <c r="O2599" s="27"/>
      <c r="P2599" s="27"/>
      <c r="Q2599" s="27"/>
      <c r="R2599" s="27"/>
      <c r="S2599" s="27"/>
    </row>
    <row r="2600">
      <c r="B2600" s="27"/>
      <c r="C2600" s="27"/>
      <c r="D2600" s="27"/>
      <c r="E2600" s="27"/>
      <c r="F2600" s="27"/>
      <c r="G2600" s="27"/>
      <c r="H2600" s="27"/>
      <c r="I2600" s="27"/>
      <c r="J2600" s="27"/>
      <c r="K2600" s="27"/>
      <c r="L2600" s="27"/>
      <c r="M2600" s="27"/>
      <c r="N2600" s="27"/>
      <c r="O2600" s="27"/>
      <c r="P2600" s="27"/>
      <c r="Q2600" s="27"/>
      <c r="R2600" s="27"/>
      <c r="S2600" s="27"/>
    </row>
    <row r="2601">
      <c r="B2601" s="27"/>
      <c r="C2601" s="27"/>
      <c r="D2601" s="27"/>
      <c r="E2601" s="27"/>
      <c r="F2601" s="27"/>
      <c r="G2601" s="27"/>
      <c r="H2601" s="27"/>
      <c r="I2601" s="27"/>
      <c r="J2601" s="27"/>
      <c r="K2601" s="27"/>
      <c r="L2601" s="27"/>
      <c r="M2601" s="27"/>
      <c r="N2601" s="27"/>
      <c r="O2601" s="27"/>
      <c r="P2601" s="27"/>
      <c r="Q2601" s="27"/>
      <c r="R2601" s="27"/>
      <c r="S2601" s="27"/>
    </row>
    <row r="2602">
      <c r="B2602" s="27"/>
      <c r="C2602" s="27"/>
      <c r="D2602" s="27"/>
      <c r="E2602" s="27"/>
      <c r="F2602" s="27"/>
      <c r="G2602" s="27"/>
      <c r="H2602" s="27"/>
      <c r="I2602" s="27"/>
      <c r="J2602" s="27"/>
      <c r="K2602" s="27"/>
      <c r="L2602" s="27"/>
      <c r="M2602" s="27"/>
      <c r="N2602" s="27"/>
      <c r="O2602" s="27"/>
      <c r="P2602" s="27"/>
      <c r="Q2602" s="27"/>
      <c r="R2602" s="27"/>
      <c r="S2602" s="27"/>
    </row>
    <row r="2603">
      <c r="B2603" s="27"/>
      <c r="C2603" s="27"/>
      <c r="D2603" s="27"/>
      <c r="E2603" s="27"/>
      <c r="F2603" s="27"/>
      <c r="G2603" s="27"/>
      <c r="H2603" s="27"/>
      <c r="I2603" s="27"/>
      <c r="J2603" s="27"/>
      <c r="K2603" s="27"/>
      <c r="L2603" s="27"/>
      <c r="M2603" s="27"/>
      <c r="N2603" s="27"/>
      <c r="O2603" s="27"/>
      <c r="P2603" s="27"/>
      <c r="Q2603" s="27"/>
      <c r="R2603" s="27"/>
      <c r="S2603" s="27"/>
    </row>
    <row r="2604">
      <c r="B2604" s="27"/>
      <c r="C2604" s="27"/>
      <c r="D2604" s="27"/>
      <c r="E2604" s="27"/>
      <c r="F2604" s="27"/>
      <c r="G2604" s="27"/>
      <c r="H2604" s="27"/>
      <c r="I2604" s="27"/>
      <c r="J2604" s="27"/>
      <c r="K2604" s="27"/>
      <c r="L2604" s="27"/>
      <c r="M2604" s="27"/>
      <c r="N2604" s="27"/>
      <c r="O2604" s="27"/>
      <c r="P2604" s="27"/>
      <c r="Q2604" s="27"/>
      <c r="R2604" s="27"/>
      <c r="S2604" s="27"/>
    </row>
    <row r="2605">
      <c r="B2605" s="27"/>
      <c r="C2605" s="27"/>
      <c r="D2605" s="27"/>
      <c r="E2605" s="27"/>
      <c r="F2605" s="27"/>
      <c r="G2605" s="27"/>
      <c r="H2605" s="27"/>
      <c r="I2605" s="27"/>
      <c r="J2605" s="27"/>
      <c r="K2605" s="27"/>
      <c r="L2605" s="27"/>
      <c r="M2605" s="27"/>
      <c r="N2605" s="27"/>
      <c r="O2605" s="27"/>
      <c r="P2605" s="27"/>
      <c r="Q2605" s="27"/>
      <c r="R2605" s="27"/>
      <c r="S2605" s="27"/>
    </row>
    <row r="2606">
      <c r="B2606" s="27"/>
      <c r="C2606" s="27"/>
      <c r="D2606" s="27"/>
      <c r="E2606" s="27"/>
      <c r="F2606" s="27"/>
      <c r="G2606" s="27"/>
      <c r="H2606" s="27"/>
      <c r="I2606" s="27"/>
      <c r="J2606" s="27"/>
      <c r="K2606" s="27"/>
      <c r="L2606" s="27"/>
      <c r="M2606" s="27"/>
      <c r="N2606" s="27"/>
      <c r="O2606" s="27"/>
      <c r="P2606" s="27"/>
      <c r="Q2606" s="27"/>
      <c r="R2606" s="27"/>
      <c r="S2606" s="27"/>
    </row>
    <row r="2607">
      <c r="B2607" s="27"/>
      <c r="C2607" s="27"/>
      <c r="D2607" s="27"/>
      <c r="E2607" s="27"/>
      <c r="F2607" s="27"/>
      <c r="G2607" s="27"/>
      <c r="H2607" s="27"/>
      <c r="I2607" s="27"/>
      <c r="J2607" s="27"/>
      <c r="K2607" s="27"/>
      <c r="L2607" s="27"/>
      <c r="M2607" s="27"/>
      <c r="N2607" s="27"/>
      <c r="O2607" s="27"/>
      <c r="P2607" s="27"/>
      <c r="Q2607" s="27"/>
      <c r="R2607" s="27"/>
      <c r="S2607" s="27"/>
    </row>
    <row r="2608">
      <c r="B2608" s="27"/>
      <c r="C2608" s="27"/>
      <c r="D2608" s="27"/>
      <c r="E2608" s="27"/>
      <c r="F2608" s="27"/>
      <c r="G2608" s="27"/>
      <c r="H2608" s="27"/>
      <c r="I2608" s="27"/>
      <c r="J2608" s="27"/>
      <c r="K2608" s="27"/>
      <c r="L2608" s="27"/>
      <c r="M2608" s="27"/>
      <c r="N2608" s="27"/>
      <c r="O2608" s="27"/>
      <c r="P2608" s="27"/>
      <c r="Q2608" s="27"/>
      <c r="R2608" s="27"/>
      <c r="S2608" s="27"/>
    </row>
    <row r="2609">
      <c r="B2609" s="27"/>
      <c r="C2609" s="27"/>
      <c r="D2609" s="27"/>
      <c r="E2609" s="27"/>
      <c r="F2609" s="27"/>
      <c r="G2609" s="27"/>
      <c r="H2609" s="27"/>
      <c r="I2609" s="27"/>
      <c r="J2609" s="27"/>
      <c r="K2609" s="27"/>
      <c r="L2609" s="27"/>
      <c r="M2609" s="27"/>
      <c r="N2609" s="27"/>
      <c r="O2609" s="27"/>
      <c r="P2609" s="27"/>
      <c r="Q2609" s="27"/>
      <c r="R2609" s="27"/>
      <c r="S2609" s="27"/>
    </row>
    <row r="2610">
      <c r="B2610" s="27"/>
      <c r="C2610" s="27"/>
      <c r="D2610" s="27"/>
      <c r="E2610" s="27"/>
      <c r="F2610" s="27"/>
      <c r="G2610" s="27"/>
      <c r="H2610" s="27"/>
      <c r="I2610" s="27"/>
      <c r="J2610" s="27"/>
      <c r="K2610" s="27"/>
      <c r="L2610" s="27"/>
      <c r="M2610" s="27"/>
      <c r="N2610" s="27"/>
      <c r="O2610" s="27"/>
      <c r="P2610" s="27"/>
      <c r="Q2610" s="27"/>
      <c r="R2610" s="27"/>
      <c r="S2610" s="27"/>
    </row>
    <row r="2611">
      <c r="B2611" s="27"/>
      <c r="C2611" s="27"/>
      <c r="D2611" s="27"/>
      <c r="E2611" s="27"/>
      <c r="F2611" s="27"/>
      <c r="G2611" s="27"/>
      <c r="H2611" s="27"/>
      <c r="I2611" s="27"/>
      <c r="J2611" s="27"/>
      <c r="K2611" s="27"/>
      <c r="L2611" s="27"/>
      <c r="M2611" s="27"/>
      <c r="N2611" s="27"/>
      <c r="O2611" s="27"/>
      <c r="P2611" s="27"/>
      <c r="Q2611" s="27"/>
      <c r="R2611" s="27"/>
      <c r="S2611" s="27"/>
    </row>
    <row r="2612">
      <c r="B2612" s="27"/>
      <c r="C2612" s="27"/>
      <c r="D2612" s="27"/>
      <c r="E2612" s="27"/>
      <c r="F2612" s="27"/>
      <c r="G2612" s="27"/>
      <c r="H2612" s="27"/>
      <c r="I2612" s="27"/>
      <c r="J2612" s="27"/>
      <c r="K2612" s="27"/>
      <c r="L2612" s="27"/>
      <c r="M2612" s="27"/>
      <c r="N2612" s="27"/>
      <c r="O2612" s="27"/>
      <c r="P2612" s="27"/>
      <c r="Q2612" s="27"/>
      <c r="R2612" s="27"/>
      <c r="S2612" s="27"/>
    </row>
    <row r="2613">
      <c r="B2613" s="27"/>
      <c r="C2613" s="27"/>
      <c r="D2613" s="27"/>
      <c r="E2613" s="27"/>
      <c r="F2613" s="27"/>
      <c r="G2613" s="27"/>
      <c r="H2613" s="27"/>
      <c r="I2613" s="27"/>
      <c r="J2613" s="27"/>
      <c r="K2613" s="27"/>
      <c r="L2613" s="27"/>
      <c r="M2613" s="27"/>
      <c r="N2613" s="27"/>
      <c r="O2613" s="27"/>
      <c r="P2613" s="27"/>
      <c r="Q2613" s="27"/>
      <c r="R2613" s="27"/>
      <c r="S2613" s="27"/>
    </row>
    <row r="2614">
      <c r="B2614" s="27"/>
      <c r="C2614" s="27"/>
      <c r="D2614" s="27"/>
      <c r="E2614" s="27"/>
      <c r="F2614" s="27"/>
      <c r="G2614" s="27"/>
      <c r="H2614" s="27"/>
      <c r="I2614" s="27"/>
      <c r="J2614" s="27"/>
      <c r="K2614" s="27"/>
      <c r="L2614" s="27"/>
      <c r="M2614" s="27"/>
      <c r="N2614" s="27"/>
      <c r="O2614" s="27"/>
      <c r="P2614" s="27"/>
      <c r="Q2614" s="27"/>
      <c r="R2614" s="27"/>
      <c r="S2614" s="27"/>
    </row>
    <row r="2615">
      <c r="B2615" s="27"/>
      <c r="C2615" s="27"/>
      <c r="D2615" s="27"/>
      <c r="E2615" s="27"/>
      <c r="F2615" s="27"/>
      <c r="G2615" s="27"/>
      <c r="H2615" s="27"/>
      <c r="I2615" s="27"/>
      <c r="J2615" s="27"/>
      <c r="K2615" s="27"/>
      <c r="L2615" s="27"/>
      <c r="M2615" s="27"/>
      <c r="N2615" s="27"/>
      <c r="O2615" s="27"/>
      <c r="P2615" s="27"/>
      <c r="Q2615" s="27"/>
      <c r="R2615" s="27"/>
      <c r="S2615" s="27"/>
    </row>
    <row r="2616">
      <c r="B2616" s="27"/>
      <c r="C2616" s="27"/>
      <c r="D2616" s="27"/>
      <c r="E2616" s="27"/>
      <c r="F2616" s="27"/>
      <c r="G2616" s="27"/>
      <c r="H2616" s="27"/>
      <c r="I2616" s="27"/>
      <c r="J2616" s="27"/>
      <c r="K2616" s="27"/>
      <c r="L2616" s="27"/>
      <c r="M2616" s="27"/>
      <c r="N2616" s="27"/>
      <c r="O2616" s="27"/>
      <c r="P2616" s="27"/>
      <c r="Q2616" s="27"/>
      <c r="R2616" s="27"/>
      <c r="S2616" s="27"/>
    </row>
    <row r="2617">
      <c r="B2617" s="27"/>
      <c r="C2617" s="27"/>
      <c r="D2617" s="27"/>
      <c r="E2617" s="27"/>
      <c r="F2617" s="27"/>
      <c r="G2617" s="27"/>
      <c r="H2617" s="27"/>
      <c r="I2617" s="27"/>
      <c r="J2617" s="27"/>
      <c r="K2617" s="27"/>
      <c r="L2617" s="27"/>
      <c r="M2617" s="27"/>
      <c r="N2617" s="27"/>
      <c r="O2617" s="27"/>
      <c r="P2617" s="27"/>
      <c r="Q2617" s="27"/>
      <c r="R2617" s="27"/>
      <c r="S2617" s="27"/>
    </row>
    <row r="2618">
      <c r="B2618" s="27"/>
      <c r="C2618" s="27"/>
      <c r="D2618" s="27"/>
      <c r="E2618" s="27"/>
      <c r="F2618" s="27"/>
      <c r="G2618" s="27"/>
      <c r="H2618" s="27"/>
      <c r="I2618" s="27"/>
      <c r="J2618" s="27"/>
      <c r="K2618" s="27"/>
      <c r="L2618" s="27"/>
      <c r="M2618" s="27"/>
      <c r="N2618" s="27"/>
      <c r="O2618" s="27"/>
      <c r="P2618" s="27"/>
      <c r="Q2618" s="27"/>
      <c r="R2618" s="27"/>
      <c r="S2618" s="27"/>
    </row>
    <row r="2619">
      <c r="B2619" s="27"/>
      <c r="C2619" s="27"/>
      <c r="D2619" s="27"/>
      <c r="E2619" s="27"/>
      <c r="F2619" s="27"/>
      <c r="G2619" s="27"/>
      <c r="H2619" s="27"/>
      <c r="I2619" s="27"/>
      <c r="J2619" s="27"/>
      <c r="K2619" s="27"/>
      <c r="L2619" s="27"/>
      <c r="M2619" s="27"/>
      <c r="N2619" s="27"/>
      <c r="O2619" s="27"/>
      <c r="P2619" s="27"/>
      <c r="Q2619" s="27"/>
      <c r="R2619" s="27"/>
      <c r="S2619" s="27"/>
    </row>
    <row r="2620">
      <c r="B2620" s="27"/>
      <c r="C2620" s="27"/>
      <c r="D2620" s="27"/>
      <c r="E2620" s="27"/>
      <c r="F2620" s="27"/>
      <c r="G2620" s="27"/>
      <c r="H2620" s="27"/>
      <c r="I2620" s="27"/>
      <c r="J2620" s="27"/>
      <c r="K2620" s="27"/>
      <c r="L2620" s="27"/>
      <c r="M2620" s="27"/>
      <c r="N2620" s="27"/>
      <c r="O2620" s="27"/>
      <c r="P2620" s="27"/>
      <c r="Q2620" s="27"/>
      <c r="R2620" s="27"/>
      <c r="S2620" s="27"/>
    </row>
    <row r="2621">
      <c r="B2621" s="27"/>
      <c r="C2621" s="27"/>
      <c r="D2621" s="27"/>
      <c r="E2621" s="27"/>
      <c r="F2621" s="27"/>
      <c r="G2621" s="27"/>
      <c r="H2621" s="27"/>
      <c r="I2621" s="27"/>
      <c r="J2621" s="27"/>
      <c r="K2621" s="27"/>
      <c r="L2621" s="27"/>
      <c r="M2621" s="27"/>
      <c r="N2621" s="27"/>
      <c r="O2621" s="27"/>
      <c r="P2621" s="27"/>
      <c r="Q2621" s="27"/>
      <c r="R2621" s="27"/>
      <c r="S2621" s="27"/>
    </row>
    <row r="2622">
      <c r="B2622" s="27"/>
      <c r="C2622" s="27"/>
      <c r="D2622" s="27"/>
      <c r="E2622" s="27"/>
      <c r="F2622" s="27"/>
      <c r="G2622" s="27"/>
      <c r="H2622" s="27"/>
      <c r="I2622" s="27"/>
      <c r="J2622" s="27"/>
      <c r="K2622" s="27"/>
      <c r="L2622" s="27"/>
      <c r="M2622" s="27"/>
      <c r="N2622" s="27"/>
      <c r="O2622" s="27"/>
      <c r="P2622" s="27"/>
      <c r="Q2622" s="27"/>
      <c r="R2622" s="27"/>
      <c r="S2622" s="27"/>
    </row>
    <row r="2623">
      <c r="B2623" s="27"/>
      <c r="C2623" s="27"/>
      <c r="D2623" s="27"/>
      <c r="E2623" s="27"/>
      <c r="F2623" s="27"/>
      <c r="G2623" s="27"/>
      <c r="H2623" s="27"/>
      <c r="I2623" s="27"/>
      <c r="J2623" s="27"/>
      <c r="K2623" s="27"/>
      <c r="L2623" s="27"/>
      <c r="M2623" s="27"/>
      <c r="N2623" s="27"/>
      <c r="O2623" s="27"/>
      <c r="P2623" s="27"/>
      <c r="Q2623" s="27"/>
      <c r="R2623" s="27"/>
      <c r="S2623" s="27"/>
    </row>
    <row r="2624">
      <c r="B2624" s="27"/>
      <c r="C2624" s="27"/>
      <c r="D2624" s="27"/>
      <c r="E2624" s="27"/>
      <c r="F2624" s="27"/>
      <c r="G2624" s="27"/>
      <c r="H2624" s="27"/>
      <c r="I2624" s="27"/>
      <c r="J2624" s="27"/>
      <c r="K2624" s="27"/>
      <c r="L2624" s="27"/>
      <c r="M2624" s="27"/>
      <c r="N2624" s="27"/>
      <c r="O2624" s="27"/>
      <c r="P2624" s="27"/>
      <c r="Q2624" s="27"/>
      <c r="R2624" s="27"/>
      <c r="S2624" s="27"/>
    </row>
    <row r="2625">
      <c r="B2625" s="27"/>
      <c r="C2625" s="27"/>
      <c r="D2625" s="27"/>
      <c r="E2625" s="27"/>
      <c r="F2625" s="27"/>
      <c r="G2625" s="27"/>
      <c r="H2625" s="27"/>
      <c r="I2625" s="27"/>
      <c r="J2625" s="27"/>
      <c r="K2625" s="27"/>
      <c r="L2625" s="27"/>
      <c r="M2625" s="27"/>
      <c r="N2625" s="27"/>
      <c r="O2625" s="27"/>
      <c r="P2625" s="27"/>
      <c r="Q2625" s="27"/>
      <c r="R2625" s="27"/>
      <c r="S2625" s="27"/>
    </row>
    <row r="2626">
      <c r="B2626" s="27"/>
      <c r="C2626" s="27"/>
      <c r="D2626" s="27"/>
      <c r="E2626" s="27"/>
      <c r="F2626" s="27"/>
      <c r="G2626" s="27"/>
      <c r="H2626" s="27"/>
      <c r="I2626" s="27"/>
      <c r="J2626" s="27"/>
      <c r="K2626" s="27"/>
      <c r="L2626" s="27"/>
      <c r="M2626" s="27"/>
      <c r="N2626" s="27"/>
      <c r="O2626" s="27"/>
      <c r="P2626" s="27"/>
      <c r="Q2626" s="27"/>
      <c r="R2626" s="27"/>
      <c r="S2626" s="27"/>
    </row>
  </sheetData>
  <pageMargins left="0.7" right="0.7" top="0.75" bottom="0.75" header="0.3" footer="0.3"/>
  <pageSetup orientation="portrait" horizontalDpi="0" verticalDpi="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D5"/>
  <sheetViews>
    <sheetView workbookViewId="0">
      <selection activeCell="F9" sqref="F9"/>
    </sheetView>
  </sheetViews>
  <sheetFormatPr baseColWidth="10" defaultColWidth="8.83203125" defaultRowHeight="15" x14ac:dyDescent="0.2"/>
  <sheetData>
    <row r="2">
      <c r="A2" s="0" t="s">
        <v>6071</v>
      </c>
    </row>
    <row r="3">
      <c r="A3" s="7" t="s">
        <v>6072</v>
      </c>
      <c r="D3" s="0">
        <v>5304</v>
      </c>
    </row>
    <row r="4">
      <c r="A4" s="0" t="s">
        <v>6073</v>
      </c>
      <c r="D4" s="0">
        <v>0</v>
      </c>
    </row>
    <row r="5">
      <c r="A5" s="0" t="s">
        <v>6074</v>
      </c>
      <c r="D5" s="0">
        <v>0</v>
      </c>
    </row>
    <row r="14" ht="16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AccountSummary (New)</vt:lpstr>
      <vt:lpstr>AccountSummary</vt:lpstr>
      <vt:lpstr>CurrentSaaS</vt:lpstr>
      <vt:lpstr>PrepaySummary</vt:lpstr>
      <vt:lpstr>Invoices</vt:lpstr>
      <vt:lpstr>Accounts</vt:lpstr>
      <vt:lpstr>InvoiceLines</vt:lpstr>
      <vt:lpstr>CreditMemos</vt:lpstr>
      <vt:lpstr>CreditMemoLines</vt:lpstr>
      <vt:lpstr>Marketing Metrics</vt:lpstr>
      <vt:lpstr>CountsForFormulas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Jackson</dc:creator>
  <cp:lastModifiedBy>Paul Jackson</cp:lastModifiedBy>
  <dcterms:created xsi:type="dcterms:W3CDTF">2017-05-04T15:47:11Z</dcterms:created>
  <dcterms:modified xsi:type="dcterms:W3CDTF">2024-09-17T23:35:56Z</dcterms:modified>
</cp:coreProperties>
</file>